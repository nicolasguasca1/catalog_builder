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4"/>
    <sheet state="visible" name="1) Artists list" sheetId="2" r:id="rId5"/>
    <sheet state="visible" name="2) Labels list" sheetId="3" r:id="rId6"/>
    <sheet state="visible" name="3) Release_Label" sheetId="4" r:id="rId7"/>
    <sheet state="visible" name="4) Release_Artist(s)" sheetId="5" r:id="rId8"/>
    <sheet state="visible" name="5) Release_Track" sheetId="6" r:id="rId9"/>
    <sheet state="visible" name="6) Track_Artist(s)" sheetId="7" r:id="rId10"/>
    <sheet state="visible" name="7) Comp ContributorPublisher li" sheetId="8" r:id="rId11"/>
    <sheet state="visible" name="8) Track_Composition(s)" sheetId="9" r:id="rId12"/>
    <sheet state="visible" name="9) Audio_Properties" sheetId="10" r:id="rId13"/>
    <sheet state="visible" name="Reference info" sheetId="11" r:id="rId14"/>
    <sheet state="visible" name="Sample Data" sheetId="12" r:id="rId15"/>
  </sheets>
  <definedNames>
    <definedName name="EntId">'1) Artists list'!$H$1</definedName>
    <definedName name="CompContributor">'7) Comp ContributorPublisher li'!$A$5:$A$1001</definedName>
    <definedName name="TrackProperties">'Reference info'!$R$3:$R$10</definedName>
    <definedName name="ReleaseType">'Reference info'!$G$3:$G$7</definedName>
    <definedName name="Language">'Reference info'!$K$3:$K$418</definedName>
    <definedName name="Publishing">'Reference info'!$O$3:$O$5</definedName>
    <definedName name="ArtistRole">'Reference info'!$J$3:$J$430</definedName>
    <definedName name="CompositionRole">'Reference info'!$Q$3:$Q$14</definedName>
    <definedName name="Label">'2) Labels list'!$A$5:$A$999</definedName>
    <definedName name="Genre">'Reference info'!$H$3:$H$419</definedName>
    <definedName name="Publisher">'7) Comp ContributorPublisher li'!$G$5:$G$1001</definedName>
    <definedName name="Artist">'1) Artists list'!$A$5:$A$999</definedName>
    <definedName name="TenantId">'1) Artists list'!$J$2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0">
      <text>
        <t xml:space="preserve">This is a note example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URL link to the file on a public server (Dropbox, Azure, S3, etc.) that triggers a direct download of the file when the link is clicked.
IMPORTANT: 
We DO NOT support importing files from Google Drive
Sample download url formats -
[Note: the server's id used for the file is represented as 'ID_CHARS']
Dropbox:
https://www.dropbox.com/s/ID_CHARS/FileName?dl=1</t>
      </text>
    </comment>
    <comment authorId="0" ref="C4">
      <text>
        <t xml:space="preserve">Enter the Artist's AppleId or 'NEW' to indicate that the Artist needs an AppleId created for them.
Required for Distribution of content to APPLE where the Artist has one of the following roles: 'Primary - Top', 'Primary - Other', 'Featuring', 'Remixer'</t>
      </text>
    </comment>
    <comment authorId="0" ref="D4">
      <text>
        <t xml:space="preserve">Enter the Artist's full Spotify URI address, for example, 
spotify:artist:acAr6E0nzuEeDIcg5XBqax
If the Artist needs a Spotify URI created for them, then enter 'NEW'.
Required for Distribution of content to SPOTIFY where the Artist has one of the following roles: 'Primary - Top', 'Primary - Other', 'Featuring', 'Remixer'</t>
      </text>
    </comment>
    <comment authorId="0" ref="E4">
      <text>
        <t xml:space="preserve">NOT the Instagram URL of the Artist</t>
      </text>
    </comment>
    <comment authorId="0" ref="F4">
      <text>
        <t xml:space="preserve">The "username" part of the artist's SoundCloud URL; e.g., /soundcloud.com/username</t>
      </text>
    </comment>
    <comment authorId="0" ref="G4">
      <text>
        <t xml:space="preserve">The ISNI is a 16-digit code that uniquely identifies individuals and organizations in the creative industries.
To learn more or register for your own identifier, visit https://isni.org.</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EXACTLY means that EVERYTHING must be the same as your label copy and that any difference will result in creating different labels:
  Rolling Stones Records 
Is not identical to 
  ROLLING STONES REC. LTD.</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J3">
      <text>
        <t xml:space="preserve">Product Copyright Holder: the name of the person or entity that owns the exclusive rights to the complete product, including both sound recording and artwork, preceded by the year the rights were obtained. For example: 2008 Acme Inc.</t>
      </text>
    </comment>
    <comment authorId="0" ref="L3">
      <text>
        <t xml:space="preserve">Sound Recording Copyright Holder: the name of the person or entity that owns the exclusive rights to the sound recording, preceded by the year the rights were obtained. For example: 2008 Acme Inc.</t>
      </text>
    </comment>
    <comment authorId="0" ref="B4">
      <text>
        <t xml:space="preserve">URL link to the file on a public server (Dropbox, Azure, S3, etc.) that triggers a direct download of the file when the link is clicked.
Image file size must be less than 10 MB.
IMPORTANT: 
We DO NOT support importing files from Google Drive
Sample download url formats -
[Note: the server's id used for the file is represented as 'ID_CHARS']
Dropbox:
https://www.dropbox.com/s/ID_CHARS/FileName?dl=1</t>
      </text>
    </comment>
    <comment authorId="0" ref="C4">
      <text>
        <t xml:space="preserve">image files can only be in jpeg/jpg format</t>
      </text>
    </comment>
    <comment authorId="0" ref="D4">
      <text>
        <t xml:space="preserve">leave blank if no UPC / EAN / JAN yet</t>
      </text>
    </comment>
    <comment authorId="0" ref="E4">
      <text>
        <t xml:space="preserve">1. required if no UPC / EAN / JAN yet
2. Must contain 2 letters among any mix of letters or numbers
3. Minimum of 3 characters
4. Maximum of 20 characters
5. alphanumeric (letter or number) characters ONLY (no dashes, spaces, punctuation marks, etc.)
6. Best to leave blank unless you really use these</t>
      </text>
    </comment>
    <comment authorId="0" ref="F4">
      <text>
        <t xml:space="preserve">EXACTLY means that you should respect proper casing and punctuation:
  Exile on Main St. (vs)
  Exile On Main St</t>
      </text>
    </comment>
    <comment authorId="0" ref="G4">
      <text>
        <t xml:space="preserve">The language of the release TITLE; NOT the language of the songs/lyrics.</t>
      </text>
    </comment>
    <comment authorId="0" ref="N4">
      <text>
        <t xml:space="preserve">Can be:
YYYY-MM-DD
YYYY/MM/DD
YYYY MM DD.</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leave blank if no UPC / EAN / JAN yet</t>
      </text>
    </comment>
    <comment authorId="0" ref="B4">
      <text>
        <t xml:space="preserve">1. required if no UPC / EAN / JAN yet
2. Must contain 2 letters among any mix of letters or numbers
3. Minimum of 3 characters
4. Maximum of 20 characters
5. alphanumeric (letter or number) characters ONLY (no dashes, spaces, punctuation marks, etc.)
6. Best to leave blank unless you really use these</t>
      </text>
    </comment>
    <comment authorId="0" ref="F4">
      <text>
        <t xml:space="preserve">Each Release MUST have ONLY ONE Artist assigned the 'Primary - Top' role.  Any other primary artist should be assigned 'Primary - Other'.</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
      <text>
        <t xml:space="preserve">vISRCs MUST be distinct from regular track ISRCs</t>
      </text>
    </comment>
    <comment authorId="0" ref="A4">
      <text>
        <t xml:space="preserve">leave blank if no UPC / EAN / JAN yet</t>
      </text>
    </comment>
    <comment authorId="0" ref="B4">
      <text>
        <t xml:space="preserve">1. required if no UPC / EAN / JAN yet
2. Must contain 2 letters among any mix of letters or numbers
3. Minimum of 3 characters
4. Maximum of 20 characters
5. alphanumeric (letter or number) characters ONLY (no dashes, spaces, punctuation marks, etc.)
6. Best to leave blank unless you really use these</t>
      </text>
    </comment>
    <comment authorId="0" ref="F4">
      <text>
        <t xml:space="preserve">No dashes or spaces.
CCXXXYY#####
CC = Country code (2 characters)
XXX = Registrant code (3 characters)
YY = Year of release (2 digits)
##### = Release identifier (5 digits)</t>
      </text>
    </comment>
    <comment authorId="0" ref="G4">
      <text>
        <t xml:space="preserve">1. required if no ISRC or vISRC
2. Must contain 2 letters among any mix of letters or numbers
3. Minimum of 3 characters
4. Maximum of 20 characters
5. alphanumeric (letter or number) characters ONLY (no dashes, spaces, punctuation marks, etc.)
6. Best to leave blank unless you really use these</t>
      </text>
    </comment>
    <comment authorId="0" ref="H4">
      <text>
        <t xml:space="preserve">EXACTLY means that you should respect proper casing and punctuation:
  Exile on Main St. (vs)
  Exile On Main St</t>
      </text>
    </comment>
    <comment authorId="0" ref="L4">
      <text>
        <t xml:space="preserve">An​ ​original​ ​composition​ ​is​ ​a​ ​track​ ​to​ ​which​ ​you’ve​ ​contributed lyrics​ ​and/or​ ​music,​ ​but​ ​which​ ​does​ ​NOT​ ​borrow​ ​elements from​ ​previously​ ​created​ ​works.
Public​ ​domain​ ​compositions​ ​are​ ​ones​ ​in​ ​which​ ​the intellectual​ ​property​ ​rights​ ​have​ ​expired​ ​or​ ​been​ ​forfeited. This​ ​generally​ ​applies​ ​to​ ​songs​ ​written​ ​before​ ​1923.</t>
      </text>
    </comment>
    <comment authorId="0" ref="M4">
      <text>
        <t xml:space="preserve">Required if distributing content.
FLAC or 2 channel (stereo) WAV file.
16-24 bit depth; minimum sample rate: 44.1 kHz
URL link to the file on a public server (Dropbox, Azure, S3, etc.) that triggers a direct download of the file when the link is clicked.
IMPORTANT: 
We DO NOT support importing files from Google Drive
Sample download url formats -
[Note: the server's id used for the file is represented as 'ID_CHARS']
Dropbox:
https://www.dropbox.com/s/ID_CHARS/FileName?dl=1</t>
      </text>
    </comment>
    <comment authorId="0" ref="N4">
      <text>
        <t xml:space="preserve">audio file extension
Required if audio URL provided</t>
      </text>
    </comment>
    <comment authorId="0" ref="O4">
      <text>
        <t xml:space="preserve">From where should your track start when people preview it? 
The value must be the number of seconds into the track. Example: 93.</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vISRCs MUST be distinct from regular track ISRCs</t>
      </text>
    </comment>
    <comment authorId="0" ref="A4">
      <text>
        <t xml:space="preserve">leave blank if no ISRC yet</t>
      </text>
    </comment>
    <comment authorId="0" ref="B4">
      <text>
        <t xml:space="preserve">1. required if no ISRC or vISRC
2. Must contain 2 letters among any mix of letters or numbers
3. Minimum of 3 characters
4. Maximum of 20 characters
5. alphanumeric (letter or number) characters ONLY (no dashes, spaces, punctuation marks, etc.)
6. Best to leave blank unless you really use these</t>
      </text>
    </comment>
    <comment authorId="0" ref="F4">
      <text>
        <t xml:space="preserve">Each Track MUST have ONLY ONE Artist assigned the 'Primary - Top' role.  Any other primary artist should be assigned 'Primary - Other'.</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The ISNI is a 16-digit code that uniquely identifies individuals and organizations in the creative industries.
To learn more or register for your own identifier, visit https://isni.org.</t>
      </text>
    </comment>
    <comment authorId="0" ref="C4">
      <text>
        <t xml:space="preserve">Choose the country in which this contributor officially resides; used for legal and payout requirements.</t>
      </text>
    </comment>
    <comment authorId="0" ref="D4">
      <text>
        <t xml:space="preserve">The IPI/CAE number is a unique identifier assigned through the CISAC-managed IPI database by member societies to track rights holders in creative works.
To obtain or look up your number, join or log in to your local CISAC-member PRO (such as ASCAP, PRS, SACEM) or search the IPI database at cisac.org.</t>
      </text>
    </comment>
    <comment authorId="0" ref="I4">
      <text>
        <t xml:space="preserve">The IPI/CAE number is a unique identifier assigned through the CISAC-managed IPI database by member societies to track rights holders in creative works.
To obtain or look up your number, join or log in to your local CISAC-member PRO (such as ASCAP, PRS, SACEM) or search the IPI database at cisac.org.</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vISRCs MUST be distinct from regular track ISRCs</t>
      </text>
    </comment>
    <comment authorId="0" ref="A4">
      <text>
        <t xml:space="preserve">leave blank if no ISRC yet</t>
      </text>
    </comment>
    <comment authorId="0" ref="B4">
      <text>
        <t xml:space="preserve">1. required if no ISRC or vISRC
2. Must contain 2 letters among any mix of letters or numbers
3. Minimum of 3 characters
4. Maximum of 20 characters
5. alphanumeric (letter or number) characters ONLY (no dashes, spaces, punctuation marks, etc.)
6. Best to leave blank unless you really use these</t>
      </text>
    </comment>
    <comment authorId="0" ref="H4">
      <text>
        <t xml:space="preserve">Only positive values up to 100%, total of all Contributors for a track must equal 100%
Maximum decimal places: 
2 in Percent format, e.g. 33.34%; 
or 
4 in Number format, e.g. 0.3334;
If there are 3 Contributors:
33.33%
33.33%
33.34%</t>
      </text>
    </comment>
    <comment authorId="0" ref="I4">
      <text>
        <t xml:space="preserve">Total of all Contributors for a track must equal 100%</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vISRCs MUST be distinct from regular track ISRCs</t>
      </text>
    </comment>
    <comment authorId="0" ref="A4">
      <text>
        <t xml:space="preserve">leave blank if no ISRC yet</t>
      </text>
    </comment>
    <comment authorId="0" ref="B4">
      <text>
        <t xml:space="preserve">1. required if no ISRC or vISRC
2. Must contain 2 letters among any mix of letters or numbers
3. Minimum of 3 characters
4. Maximum of 20 characters
5. alphanumeric (letter or number) characters ONLY (no dashes, spaces, punctuation marks, etc.)
6. Best to leave blank unless you really use these</t>
      </text>
    </comment>
    <comment authorId="0" ref="E4">
      <text>
        <t xml:space="preserve">A new version that alters an original recording. Any derivative work, including modified versions such as sped-up, slowed-down, boosted, nightcore, etc. A remix can be produced by the original artist or by another artist/producer. Note that covers with translated, modified or added lyrics should also be identified as derivative works due to the modification of the lyrics.</t>
      </text>
    </comment>
    <comment authorId="0" ref="F4">
      <text>
        <t xml:space="preserve">Any recording containing samples or any stock music, be it a royalty free beat, or any loops from a sample pack or music creation software.</t>
      </text>
    </comment>
    <comment authorId="0" ref="G4">
      <text>
        <t xml:space="preserve">Mix or Compilation - Any form of mashup (multiple track segments joined together) or medley (multiple full tracks joined together), as well as any track in a DJ set/mix or compilation (which does not have the same ISRC as the original).</t>
      </text>
    </comment>
    <comment authorId="0" ref="H4">
      <text>
        <t xml:space="preserve">Radio edit, extended or shortened versions, as well lofi, live or remastered versions.</t>
      </text>
    </comment>
    <comment authorId="0" ref="I4">
      <text>
        <t xml:space="preserve">White noise or sleep music, ambient, new age or meditation, karaoke or instrumental, classical (in the sense of older music like Beethoven and not contemporary music in the classical genre) — or any other similar genre where your recording is likely to be mistaken for another recording.</t>
      </text>
    </comment>
    <comment authorId="0" ref="J4">
      <text>
        <t xml:space="preserve">ASMR, sound effects, nature sounds, speech, spoken word, podcast or radio show.</t>
      </text>
    </comment>
    <comment authorId="0" ref="K4">
      <text>
        <t xml:space="preserve">Includes music generated through artificial intelligence (AI), either in whole or in part.</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
      <text>
        <t xml:space="preserve">URL link to the file on a public server (Google Drive, Dropbox, Azure, S3, etc.) that triggers a direct download of the file when the link is clicked.
Sample download url formats -
[Note: the server's id used for the file is represented as 'ID_CHARS']
Google Drive: 
https://drive.google.com/u/0/uc?id=ID_CHARS&amp;export=download
Dropbox:
https://www.dropbox.com/s/ID_CHARS/FileName?dl=1</t>
      </text>
    </comment>
    <comment authorId="0" ref="C6">
      <text>
        <t xml:space="preserve">Enter the Artist's AppleId or 'NEW' to indicate that the Artist needs an AppleId created for them.
Required for Distribution of content where the Artist has one of the following roles: 'Primary - Top', 'Primary - Other', 'Featuring', 'Remixer'</t>
      </text>
    </comment>
    <comment authorId="0" ref="D6">
      <text>
        <t xml:space="preserve">Enter the Artist's full Spotify URI address or 'NEW' to indicate that the Artist needs a Spotify URI created for them.
Required for Distribution of content where the Artist has one of the following roles: 'Primary - Top', 'Primary - Other', 'Featuring', 'Remixer'</t>
      </text>
    </comment>
    <comment authorId="0" ref="A14">
      <text>
        <t xml:space="preserve">EXACTLY means that EVERYTHING must be the same as your label copy and that any difference will result in creating different labels:
  Rolling Stones Records 
Is not identical to 
  ROLLING STONES REC. LTD.</t>
      </text>
    </comment>
    <comment authorId="0" ref="J20">
      <text>
        <t xml:space="preserve">Product Copyright Holder: the name of the person or entity that owns the exclusive rights to the complete product, including both sound recording and artwork, preceded by the year the rights were obtained. For example: 2008 Acme Inc.</t>
      </text>
    </comment>
    <comment authorId="0" ref="L20">
      <text>
        <t xml:space="preserve">Sound Recording Copyright Holder: the name of the person or entity that owns the exclusive rights to the sound recording, preceded by the year the rights were obtained. For example: 2008 Acme Inc.</t>
      </text>
    </comment>
    <comment authorId="0" ref="B21">
      <text>
        <t xml:space="preserve">URL link to the file on a public server (Google Drive, Dropbox, Azure, S3, etc.) that triggers a direct download of the file when the link is clicked.
Sample download url formats -
[Note: the server's id used for the file is represented as 'ID_CHARS']
Google Drive: 
https://drive.google.com/u/0/uc?id=ID_CHARS&amp;export=download
Dropbox:
https://www.dropbox.com/s/ID_CHARS/FileName?dl=1</t>
      </text>
    </comment>
    <comment authorId="0" ref="C21">
      <text>
        <t xml:space="preserve">image files can only be in jpeg/jpg format</t>
      </text>
    </comment>
    <comment authorId="0" ref="D21">
      <text>
        <t xml:space="preserve">leave blank if no UPC / EAN / JAN yet</t>
      </text>
    </comment>
    <comment authorId="0" ref="E21">
      <text>
        <t xml:space="preserve">1. required if no UPC / EAN / JAN yet
2. alphanumeric (letter or number) characters ONLY (no dashes, spaces, punctuation marks, etc.)
3. at least 3 characters</t>
      </text>
    </comment>
    <comment authorId="0" ref="F21">
      <text>
        <t xml:space="preserve">EXACTLY means that you should respect proper casing and punctuation:
  Exile on Main St. (vs)
  Exile On Main St</t>
      </text>
    </comment>
    <comment authorId="0" ref="G21">
      <text>
        <t xml:space="preserve">The language of the release TITLE; NOT the language of the songs/lyrics.</t>
      </text>
    </comment>
    <comment authorId="0" ref="N21">
      <text>
        <t xml:space="preserve">Can be:
YYYY-MM-DD
YYYY/MM/DD
YYYY MM DD.</t>
      </text>
    </comment>
    <comment authorId="0" ref="A28">
      <text>
        <t xml:space="preserve">leave blank if no UPC / EAN / JAN yet</t>
      </text>
    </comment>
    <comment authorId="0" ref="B28">
      <text>
        <t xml:space="preserve">1. required if no UPC / EAN / JAN yet
2. alphanumeric (letter or number) characters ONLY (no dashes, spaces, punctuation marks, etc.)
3. at least 3 characters</t>
      </text>
    </comment>
    <comment authorId="0" ref="F28">
      <text>
        <t xml:space="preserve">Each Release MUST have ONLY ONE Artist assigned the 'Primary - Top' role.  Any other primary artist should be assigned 'Primary - Other'.</t>
      </text>
    </comment>
    <comment authorId="0" ref="F35">
      <text>
        <t xml:space="preserve">vISRCs MUST be distinct from regular track ISRCs</t>
      </text>
    </comment>
    <comment authorId="0" ref="A36">
      <text>
        <t xml:space="preserve">leave blank if no UPC / EAN / JAN yet</t>
      </text>
    </comment>
    <comment authorId="0" ref="B36">
      <text>
        <t xml:space="preserve">1. required if no UPC / EAN / JAN yet
2. alphanumeric (letter or number) characters ONLY (no dashes, spaces, punctuation marks, etc.)
3. at least 3 characters</t>
      </text>
    </comment>
    <comment authorId="0" ref="F36">
      <text>
        <t xml:space="preserve">No dashes or spaces.
CCXXXYY#####
CC = Country code (2 characters)
XXX = Registrant code (3 characters)
YY = Year of release (2 digits)
##### = Release identifier (5 digits)</t>
      </text>
    </comment>
    <comment authorId="0" ref="G36">
      <text>
        <t xml:space="preserve">1. required if no ISRC or vISRC yet
2. alphanumeric (letter or number) characters ONLY (no dashes, spaces, punctuation marks, etc.)
3. at least 3 characters</t>
      </text>
    </comment>
    <comment authorId="0" ref="H36">
      <text>
        <t xml:space="preserve">EXACTLY means that you should respect proper casing and punctuation:
  Exile on Main St. (vs)
  Exile On Main St</t>
      </text>
    </comment>
    <comment authorId="0" ref="L36">
      <text>
        <t xml:space="preserve">An​ ​original​ ​composition​ ​is​ ​a​ ​track​ ​to​ ​which​ ​you’ve​ ​contributed lyrics​ ​and/or​ ​music,​ ​but​ ​which​ ​does​ ​NOT​ ​borrow​ ​elements from​ ​previously​ ​created​ ​works.
Public​ ​domain​ ​compositions​ ​are​ ​ones​ ​in​ ​which​ ​the intellectual​ ​property​ ​rights​ ​have​ ​expired​ ​or​ ​been​ ​forfeited. This​ ​generally​ ​applies​ ​to​ ​songs​ ​written​ ​before​ ​1923.</t>
      </text>
    </comment>
    <comment authorId="0" ref="M36">
      <text>
        <t xml:space="preserve">Required if distributing content.
FLAC or stereo WAV file.
Minimum bit depth: 16 bit; sample rate: 44.1 kHz
URL link to the file on a public server (Google Drive, Dropbox, Azure, S3, etc.) that triggers a direct download of the file when the link is clicked.
Sample download url formats -
[Note: the server's id used for the file is represented as 'ID_CHARS']
Google Drive: 
https://drive.google.com/u/0/uc?id=ID_CHARS&amp;export=download
Dropbox:
https://www.dropbox.com/s/ID_CHARS/FileName?dl=1</t>
      </text>
    </comment>
    <comment authorId="0" ref="N36">
      <text>
        <t xml:space="preserve">audio file extension
Required if audio URL provided</t>
      </text>
    </comment>
    <comment authorId="0" ref="O36">
      <text>
        <t xml:space="preserve">From where should your track start when people preview it? 
The value must be the number of seconds into the track. Example: 93.</t>
      </text>
    </comment>
    <comment authorId="0" ref="A44">
      <text>
        <t xml:space="preserve">vISRCs MUST be distinct from regular track ISRCs</t>
      </text>
    </comment>
    <comment authorId="0" ref="A45">
      <text>
        <t xml:space="preserve">leave blank if no ISRC yet</t>
      </text>
    </comment>
    <comment authorId="0" ref="B45">
      <text>
        <t xml:space="preserve">1. required if no ISRC or vISRC
2. alphanumeric (letter or number) characters ONLY (no dashes, spaces, punctuation marks, etc.)
3. at least 3 characters</t>
      </text>
    </comment>
    <comment authorId="0" ref="F45">
      <text>
        <t xml:space="preserve">Each Track MUST have ONLY ONE Artist assigned the 'Primary - Top' role.  Any other primary artist should be assigned 'Primary - Other'.</t>
      </text>
    </comment>
    <comment authorId="0" ref="A62">
      <text>
        <t xml:space="preserve">vISRCs MUST be distinct from regular track ISRCs</t>
      </text>
    </comment>
    <comment authorId="0" ref="A63">
      <text>
        <t xml:space="preserve">leave blank if no ISRC yet</t>
      </text>
    </comment>
    <comment authorId="0" ref="B63">
      <text>
        <t xml:space="preserve">1. required if no ISRC or vISRC
2. alphanumeric (letter or number) characters ONLY (no dashes, spaces, punctuation marks, etc.)
3. at least 3 characters</t>
      </text>
    </comment>
    <comment authorId="0" ref="G63">
      <text>
        <t xml:space="preserve">Only positive values up to 100%, total of all Contributors for a track must equal 100%
Maximum decimal places: 
2 in Percent format, e.g. 33.34%; 
or 
4 in Number format, e.g. 0.3334;
If there are 3 Contributors:
33.33%
33.33%
33.34%</t>
      </text>
    </comment>
    <comment authorId="0" ref="H63">
      <text>
        <t xml:space="preserve">Total of all Contributors for a track must equal 100%</t>
      </text>
    </comment>
  </commentList>
</comments>
</file>

<file path=xl/sharedStrings.xml><?xml version="1.0" encoding="utf-8"?>
<sst xmlns="http://schemas.openxmlformats.org/spreadsheetml/2006/main" count="5739" uniqueCount="2083">
  <si>
    <t>INTRODUCTION</t>
  </si>
  <si>
    <t>1)</t>
  </si>
  <si>
    <t>Please make a copy of the master document in order to start filling it out.  Make a copy by going to: File &gt; Make a copy</t>
  </si>
  <si>
    <t>2)</t>
  </si>
  <si>
    <t>Rename this document by replacing "MASTER" with your company name.</t>
  </si>
  <si>
    <t>You can also add anyone else from your team as needed.</t>
  </si>
  <si>
    <t>• Please fill out the catalog insert tabs enumerated in this spreadsheet by following the instructions in the corresponding fields and reading any applicable notes throughout</t>
  </si>
  <si>
    <t>• A black triangle in the top right corner of a cell means that there is a note — mouse over it to read it</t>
  </si>
  <si>
    <t>• If you are importing catalog metadata for reporting purposes only, then you only need to complete fields marked as REQUIRED as well as any UPC/ISRC or ID fields through tab 6</t>
  </si>
  <si>
    <t>Use the 'Sample Data' tab for additional guidance</t>
  </si>
  <si>
    <t>NOTE: Batch importing new catalog from the worksheet is generally not available on an ongoing basis so be sure all releases and tracks for import are included in the worksheet beforehand.</t>
  </si>
  <si>
    <t>After the initial import, adding catalog is meant to be done from the frontend of your account (or with the API if you are on an API plan).  There are liable to be additional fees if the worksheet is to be used for new catalog after the initial import.</t>
  </si>
  <si>
    <t>• We DO NOT support importing files from Google Drive</t>
  </si>
  <si>
    <t>NO DSP sale reports should be uploaded and reporting feeds should NOT be set up until the account's catalog has been finalized, which includes the following steps:</t>
  </si>
  <si>
    <t>• ALL EXISTING catalog content has been imported</t>
  </si>
  <si>
    <r>
      <rPr>
        <rFont val="Arial"/>
        <color rgb="FF172B4D"/>
        <sz val="11.0"/>
      </rPr>
      <t xml:space="preserve">• ALL catalog </t>
    </r>
    <r>
      <rPr>
        <rFont val="Arial"/>
        <b/>
        <color rgb="FF172B4D"/>
        <sz val="11.0"/>
      </rPr>
      <t>Delivery/Ingestion</t>
    </r>
    <r>
      <rPr>
        <rFont val="Arial"/>
        <color rgb="FF172B4D"/>
        <sz val="11.0"/>
      </rPr>
      <t xml:space="preserve"> FEEDS have been DISABLED</t>
    </r>
  </si>
  <si>
    <t>• Existing catalog has been validated (based on catalog export from account)</t>
  </si>
  <si>
    <t>• ALL catalog has been attributed to the proper accounts</t>
  </si>
  <si>
    <t>• ALL catalog fixes and updates have been completed</t>
  </si>
  <si>
    <t>If any DSP sale reports were uploaded or auto-imported before the catalog has been finalized, then the following corrective actions must be taken:</t>
  </si>
  <si>
    <t>• Unapprove and delete ALL DSP sale reports</t>
  </si>
  <si>
    <t>• Delete ALL error matching rules</t>
  </si>
  <si>
    <t>List all Artists to Import</t>
  </si>
  <si>
    <t>EnterpriseId=</t>
  </si>
  <si>
    <t>= REQUIRED FIELD</t>
  </si>
  <si>
    <t>= OPTIONAL FIELD</t>
  </si>
  <si>
    <t>= READ NOTES / INSTRUCTIONS</t>
  </si>
  <si>
    <t>TenantId=</t>
  </si>
  <si>
    <t>Artist Name</t>
  </si>
  <si>
    <t>Artist Image url</t>
  </si>
  <si>
    <t>Apple ArtistId</t>
  </si>
  <si>
    <t>Spotify Artist URI</t>
  </si>
  <si>
    <t>Meta ArtistId</t>
  </si>
  <si>
    <t>SoundCloud ProfileId</t>
  </si>
  <si>
    <t>ISNI</t>
  </si>
  <si>
    <t>Duplicate Names</t>
  </si>
  <si>
    <t>Written EXACTLY
as per label copy</t>
  </si>
  <si>
    <t>public URL triggering DIRECT DOWNLOAD of file</t>
  </si>
  <si>
    <t>Enter Artist's AppleId or 'NEW'=new AppleId</t>
  </si>
  <si>
    <t>Enter Artist's Spotify URI link 
or 'NEW'=new Spotify URI link</t>
  </si>
  <si>
    <t>Facebook Audio Library &amp; Rights Manager ArtistId</t>
  </si>
  <si>
    <t>SoundCloud Artist Username</t>
  </si>
  <si>
    <t>Ranjit Bawa</t>
  </si>
  <si>
    <t>spotify:artist:6pU5oz09VUYtnFTd4P1Mxn</t>
  </si>
  <si>
    <t/>
  </si>
  <si>
    <t>Sunidhi Chauhan</t>
  </si>
  <si>
    <t>spotify:artist:3eDT9fwXKuHWFvgZaaYC5v</t>
  </si>
  <si>
    <t>Gurmoh</t>
  </si>
  <si>
    <t>spotify:artist:3mgciNhvc5PbGOjbmfcU2s</t>
  </si>
  <si>
    <t>Amrinder Gill</t>
  </si>
  <si>
    <t>spotify:artist:1x02ug1CLkx7mrQP9FRswh</t>
  </si>
  <si>
    <t>Jatinder Shah</t>
  </si>
  <si>
    <t>spotify:artist:4vGVzTMuXsO1vb5YA8vKEr</t>
  </si>
  <si>
    <t>Nimrat Khaira</t>
  </si>
  <si>
    <t>spotify:artist:0ea0y5ZxnN5TbEDzNtx5Fk</t>
  </si>
  <si>
    <t>Ammy Virk</t>
  </si>
  <si>
    <t>spotify:artist:2RlWC7XKizSOsZ8F3uGi59</t>
  </si>
  <si>
    <t>Gurshabad</t>
  </si>
  <si>
    <t>spotify:artist:557gXmWZK1P5T3yNLjvLXP</t>
  </si>
  <si>
    <t>Tarsem Jassar</t>
  </si>
  <si>
    <t>spotify:artist:67XQGZSc63AMXMINY8H7Fx</t>
  </si>
  <si>
    <t>R. Guru</t>
  </si>
  <si>
    <t>spotify:artist:2LKgaY0VVvgyQniOk6JA3V</t>
  </si>
  <si>
    <t>Bir Singh</t>
  </si>
  <si>
    <t>spotify:artist:6Su06O6MCxKJXOtxkM8iBi</t>
  </si>
  <si>
    <t>Satta Vairowalia</t>
  </si>
  <si>
    <t>spotify:artist:6NXhW9mHzDrkMl3SfFoCuG</t>
  </si>
  <si>
    <t>Gurpreet Maan</t>
  </si>
  <si>
    <t>spotify:artist:5ukG4Kfwgbpt2oUWWTKNTM</t>
  </si>
  <si>
    <t>Kaur-B</t>
  </si>
  <si>
    <t>spotify:artist:43iOhUGMAnS6QbPEUYqkpg</t>
  </si>
  <si>
    <t>Jyotica Tangri</t>
  </si>
  <si>
    <t>spotify:artist:5wQDQFm7Ku8WWGi5xqJ9lp</t>
  </si>
  <si>
    <t>Jaidev Kumar</t>
  </si>
  <si>
    <t>spotify:artist:3jFf4UnboFrqsHZA8qBkH8</t>
  </si>
  <si>
    <t>Prabh Gill</t>
  </si>
  <si>
    <t>spotify:artist:4F5ZNBJDep3GTrMip2tpI4</t>
  </si>
  <si>
    <t>Harbhajan Mann</t>
  </si>
  <si>
    <t>spotify:artist:6NhiWVGtq25QmacOUbTXKf</t>
  </si>
  <si>
    <t>Desi Routz</t>
  </si>
  <si>
    <t>spotify:artist:1PPuO6mkbUFNCEh6uU0i71</t>
  </si>
  <si>
    <t>Yuvraj Hans</t>
  </si>
  <si>
    <t>spotify:artist:1Yg4AAFUmI287seRf8oBWA</t>
  </si>
  <si>
    <t>Yuvika Chaudhary</t>
  </si>
  <si>
    <t>spotify:artist:2xWgTpxwqLZegsJEj5ZAUr</t>
  </si>
  <si>
    <t>Neha Bhasin</t>
  </si>
  <si>
    <t>spotify:artist:4E5oyNFcB3uXLkLdjYmP9Z</t>
  </si>
  <si>
    <t>Raashi Sood</t>
  </si>
  <si>
    <t>spotify:artist:0ZEiDnkNsdY6IXWUjWuBU2</t>
  </si>
  <si>
    <t>Manmohan Waris</t>
  </si>
  <si>
    <t>spotify:artist:5p94H6vd1uZ4WiiFPelfQ5</t>
  </si>
  <si>
    <t>Bikk Dhillon</t>
  </si>
  <si>
    <t>spotify:artist:50wNheiGSkdjx5RVHJDhTV</t>
  </si>
  <si>
    <t>Sajjan Adeeb</t>
  </si>
  <si>
    <t>spotify:artist:10cESI2qXWXWxfkeomFOON</t>
  </si>
  <si>
    <t>Tigerstyle</t>
  </si>
  <si>
    <t>spotify:artist:5DPXmKUA7F5ZKDNww9jWIS</t>
  </si>
  <si>
    <t>Ninja</t>
  </si>
  <si>
    <t>spotify:artist:2praKdsjYPKh2yNXBdTWGT</t>
  </si>
  <si>
    <t>Jordan Sandhu</t>
  </si>
  <si>
    <t>spotify:artist:3TozxPbDes76aGFdfv7PMv</t>
  </si>
  <si>
    <t>Bunty Bains</t>
  </si>
  <si>
    <t>spotify:artist:4eHycMGKslAXJLcLO4F82x</t>
  </si>
  <si>
    <t>Davvy Singh</t>
  </si>
  <si>
    <t>spotify:artist:5Kq8UpbqjCdPBGshVrYnsc</t>
  </si>
  <si>
    <t>Rakesh Maini</t>
  </si>
  <si>
    <t>spotify:artist:7pfPZ5tXoa5wB8F544YZIR</t>
  </si>
  <si>
    <t>Arif Lohar</t>
  </si>
  <si>
    <t>spotify:artist:1zs5AOsqD2b0YfmGNfWni4a</t>
  </si>
  <si>
    <t>Ritu Bhaggi</t>
  </si>
  <si>
    <t>spotify:artist:0HhjkugAR8RSgHoBqzPd0R</t>
  </si>
  <si>
    <t>Raj Ranjodh</t>
  </si>
  <si>
    <t>spotify:artist:183DgO92lAqgpVVNKI7ZKF</t>
  </si>
  <si>
    <t>Intense</t>
  </si>
  <si>
    <t>spotify:artist:0OS0NZnK7TGIAWx8MkWNFN</t>
  </si>
  <si>
    <t>Dr. Zeus</t>
  </si>
  <si>
    <t>spotify:artist:1zrFFDzoE9XXyjEqqgDpMm</t>
  </si>
  <si>
    <t>Maninder Buttar</t>
  </si>
  <si>
    <t>spotify:artist:2sN4fSzAm2rAL0HIurPCEM</t>
  </si>
  <si>
    <t>MixSingh</t>
  </si>
  <si>
    <t>spotify:artist:05dG9pMLRWenxzvSmefE6U</t>
  </si>
  <si>
    <t>Garry Sandhu</t>
  </si>
  <si>
    <t>spotify:artist:7M3xY5iHSzEtoL3FpqOD75</t>
  </si>
  <si>
    <t>Snappy</t>
  </si>
  <si>
    <t>spotify:artist:4HYqQGd6sHdPhq6qwikEix</t>
  </si>
  <si>
    <t>Diljit Dosanjh</t>
  </si>
  <si>
    <t>spotify:artist:2FKWNmZWDBZR4dE5KX4plR</t>
  </si>
  <si>
    <t>Desi Crew</t>
  </si>
  <si>
    <t>spotify:artist:6lMIhndzcevFkVWSJnXPt2</t>
  </si>
  <si>
    <t>Ikwinder Singh</t>
  </si>
  <si>
    <t>spotify:artist:0gv7hUkKAlpoDixKDJA2vs</t>
  </si>
  <si>
    <t>Kapil Sharma</t>
  </si>
  <si>
    <t>spotify:artist:7gCrPei1AoPMh80yt5jrDA</t>
  </si>
  <si>
    <t>Jenny Johal</t>
  </si>
  <si>
    <t>spotify:artist:7wM3DMc1NCh9sjDrUf3QOd</t>
  </si>
  <si>
    <t>B Praak</t>
  </si>
  <si>
    <t>spotify:artist:56SjZARoEvag3RoKWIb16j</t>
  </si>
  <si>
    <t>Various Artists</t>
  </si>
  <si>
    <t>List all Labels to Import</t>
  </si>
  <si>
    <t>Label Name</t>
  </si>
  <si>
    <t>Rhythm Boyz</t>
  </si>
  <si>
    <t>= OPTIONAL</t>
  </si>
  <si>
    <t>RELEASE LEVEL - Label&lt;&gt;UPC/ID</t>
  </si>
  <si>
    <t>LABEL</t>
  </si>
  <si>
    <t>COVER IMAGE URL</t>
  </si>
  <si>
    <t>IMAGE TYPE</t>
  </si>
  <si>
    <t>UPC / EAN / JAN</t>
  </si>
  <si>
    <t>CATALOG RELEASE ID</t>
  </si>
  <si>
    <t>RELEASE TITLE</t>
  </si>
  <si>
    <t>TITLE LANGUAGE</t>
  </si>
  <si>
    <t>RELEASE VERSION</t>
  </si>
  <si>
    <t>RELEASE TYPE</t>
  </si>
  <si>
    <t>(P) Copyright</t>
  </si>
  <si>
    <t>(C) Copyright</t>
  </si>
  <si>
    <t>ORIGINAL
RELEASE DATE</t>
  </si>
  <si>
    <t>GENRE 1</t>
  </si>
  <si>
    <t>GENRE 2</t>
  </si>
  <si>
    <t>(select from Labels list, start typing or drag)</t>
  </si>
  <si>
    <r>
      <rPr>
        <rFont val="Arial"/>
        <color theme="1"/>
      </rPr>
      <t xml:space="preserve">public URL triggering DIRECT DOWNLOAD of file (10 MB max)
</t>
    </r>
    <r>
      <rPr>
        <rFont val="Arial"/>
        <i/>
        <color theme="1"/>
      </rPr>
      <t>required if distributing content</t>
    </r>
  </si>
  <si>
    <t>jpeg /
jpg
ONLY</t>
  </si>
  <si>
    <r>
      <rPr>
        <rFont val="Arial"/>
        <color theme="1"/>
      </rPr>
      <t xml:space="preserve">UPC: 12 digits
EAN: 13 digits
</t>
    </r>
    <r>
      <rPr>
        <rFont val="Arial"/>
        <i/>
        <color theme="1"/>
      </rPr>
      <t>blank if no code yet</t>
    </r>
  </si>
  <si>
    <r>
      <rPr>
        <rFont val="Arial"/>
        <color theme="1"/>
      </rPr>
      <t xml:space="preserve">Internal Ref. ID
</t>
    </r>
    <r>
      <rPr>
        <rFont val="Arial"/>
        <i/>
        <color theme="1"/>
      </rPr>
      <t>required if no code yet</t>
    </r>
  </si>
  <si>
    <t>Written EXACTLY as per label copy
(no version, type or contributor info)</t>
  </si>
  <si>
    <t>(select from list, start 
typing or drag)</t>
  </si>
  <si>
    <t>If applicable</t>
  </si>
  <si>
    <t>(select from list, start typing or drag)</t>
  </si>
  <si>
    <t>Year</t>
  </si>
  <si>
    <t>Holder</t>
  </si>
  <si>
    <t xml:space="preserve">YYYY-MM-DD
</t>
  </si>
  <si>
    <t xml:space="preserve">
(select from list, start typing or drag)</t>
  </si>
  <si>
    <t>https://www.dropbox.com/scl/fi/qufijuq6phjyuq27sgstf/9995964332174.jpg?rlkey=wbd7ow19kc9yjnzje9xip5sok&amp;st=ejmpczbx&amp;dl=1</t>
  </si>
  <si>
    <t>jpg</t>
  </si>
  <si>
    <t>Aakad (From "Bhalwan Singh" Soundtrack)</t>
  </si>
  <si>
    <t>Punjabi</t>
  </si>
  <si>
    <t>https://www.dropbox.com/scl/fi/jk53oygv0mtn5g0z4ph2q/9995964356132.jpg?rlkey=cnw9bgvu42zneygn88zu9y25k&amp;st=kukw5670&amp;dl=1</t>
  </si>
  <si>
    <t>Aisi Taisi (From "Golak Bugni Bank Te Batua" Soundtrack)</t>
  </si>
  <si>
    <t>https://www.dropbox.com/scl/fi/ooqoh3adyfd75t3fp8b8f/9995964330651.jpg?rlkey=i3ia0ggccao5jx3v1xm2ds9gx&amp;st=jp53xlf8&amp;dl=1</t>
  </si>
  <si>
    <t>Akhar - Female Version (From "Lahoriye" Soundtrack)</t>
  </si>
  <si>
    <t>https://www.dropbox.com/scl/fi/kl3plq1efi0h99ig931pi/9995964330088.jpg?rlkey=ljx8c2idx1y64f1agfxabpj8d&amp;st=gdpx78pq&amp;dl=1</t>
  </si>
  <si>
    <t>Akhar (From "Lahoriye" Soundtrack)</t>
  </si>
  <si>
    <t>https://www.dropbox.com/scl/fi/9clnttcj5jh46hdnem2yf/9995964312657.jpg?rlkey=6a2gv031koqn7lab2xhbpstaz&amp;st=5qrd9q82&amp;dl=1</t>
  </si>
  <si>
    <t>Angrej (Original Motion Picture Soundtrack)</t>
  </si>
  <si>
    <t>https://www.dropbox.com/scl/fi/qu9mon6dhf6zcd9nf9u8j/9995964321390.jpg?rlkey=gh1yqcjqd6tndpkoltu0d0bsj&amp;st=4fodrmi1&amp;dl=1</t>
  </si>
  <si>
    <t>Bambukat (From "Bambukat" Soundtrack)</t>
  </si>
  <si>
    <t>https://www.dropbox.com/scl/fi/5obuv3byyzpudqegm9jem/9995964330187.jpg?rlkey=6ircnk2t5wpgozit6qdyvug5d&amp;st=kqit24nw&amp;dl=1</t>
  </si>
  <si>
    <t>Chann Ve</t>
  </si>
  <si>
    <t>https://www.dropbox.com/scl/fi/v2ej6tz1ohnn9yzgo0nfg/9995964330446.jpg?rlkey=fj0gio1t6j8557388vocmiciv&amp;st=p4p8aqe3&amp;dl=1</t>
  </si>
  <si>
    <t>Chunni (From "Lahoriye" Soundtrack)</t>
  </si>
  <si>
    <t>https://www.dropbox.com/scl/fi/cwnf46zcvczf2vgkpl1i8/9995964357078.jpg?rlkey=3v5943hxc8x37zndmkav2xyyh&amp;st=lme4npqz&amp;dl=1</t>
  </si>
  <si>
    <t>Daana Paani - Title Song (From "Daana Paani" Soundtrack)</t>
  </si>
  <si>
    <t>https://www.dropbox.com/scl/fi/h7aax7ov58o7p2o5u9oxp/9995964357016.jpg?rlkey=bwegzrcmkipujshp1nftrux4m&amp;st=bep1drs0&amp;dl=1</t>
  </si>
  <si>
    <t>Daana Paani (From "Daana Paani" Soundtrack)</t>
  </si>
  <si>
    <t>https://www.dropbox.com/scl/fi/5jwtx12fg73gb30md8itr/9995964332198.jpg?rlkey=a1at9qaz0izecnw7xc6wxmosb&amp;st=sg9a4blk&amp;dl=1</t>
  </si>
  <si>
    <t>Dil Di Dua (From "Bhalwan Singh" Soundtrack)</t>
  </si>
  <si>
    <t>https://www.dropbox.com/scl/fi/ko30g71pn0qpbl4y8i68v/9995964321710.jpg?rlkey=jun4sw5svvh55ypuurnia559t&amp;st=841t61xv&amp;dl=1</t>
  </si>
  <si>
    <t>Geetkariyan</t>
  </si>
  <si>
    <t>https://www.dropbox.com/scl/fi/jzplmhi26i3c6ccxz7izh/9995964330514.jpg?rlkey=d0z0s62s1hia2ausrwd6audz7&amp;st=dnihk0ku&amp;dl=1</t>
  </si>
  <si>
    <t>Janjhan (From "Lahoriye" Soundtrack)</t>
  </si>
  <si>
    <t>https://www.dropbox.com/scl/fi/z7yoyiz3872e7nb08igzp/9995964330576.jpg?rlkey=gslp76tx7fqc0l1z4uazkr75f&amp;st=xhjjwr4g&amp;dl=1</t>
  </si>
  <si>
    <t>Jeeondean Ch (From "Lahoriye" Soundtrack)</t>
  </si>
  <si>
    <t>https://www.dropbox.com/scl/fi/cfenmhq5uzl01j10ukbl1/9995964321130.jpg?rlkey=lmrzs4cddc4lml05q90bcgbtj&amp;st=l5ixfki1&amp;dl=1</t>
  </si>
  <si>
    <t>Jind (From "Bambukat" Soundtrack)</t>
  </si>
  <si>
    <t>https://www.dropbox.com/scl/fi/i7tm9rsjhegeo3hhp4b3y/9995964321208.jpg?rlkey=el4r9xkeo4rus3onk2hqapp7z&amp;st=2ghs3htt&amp;dl=1</t>
  </si>
  <si>
    <t>Kainthe Wala (From "Bambukat" Soundtrack)</t>
  </si>
  <si>
    <t>https://www.dropbox.com/scl/fi/dhwej3oa500oi5crmgpz4/9995964357160.jpg?rlkey=7vnyort9g611szpyg3pb1fi81&amp;st=2m1igrg6&amp;dl=1</t>
  </si>
  <si>
    <t>Kanda Kacheya Ne (From "Daana Paani" Soundtrack)</t>
  </si>
  <si>
    <t>https://www.dropbox.com/scl/fi/eh2ljxawlrqif64fy98d4/9995964356552.jpg?rlkey=bp2fwt3lnmx9naku5g3t20awb&amp;st=2tlh7r5f&amp;dl=1</t>
  </si>
  <si>
    <t>Lakh Vaari (From "Golak Bugni Bank Te Batua" Soundtrack)</t>
  </si>
  <si>
    <t>https://www.dropbox.com/scl/fi/arkbnyx448dpgn4mkrlbg/9995964321284.jpg?rlkey=8wo4m50x7nsl27e1f2lydb71m&amp;st=zscsbcag&amp;dl=1</t>
  </si>
  <si>
    <t>Langhe Paani (From "Bambukat" Soundtrack)</t>
  </si>
  <si>
    <t>https://www.dropbox.com/scl/fi/apb6s9ycqkn8paxy63d05/9995964320096.jpg?rlkey=0ejqhybtscdpym49dtfjiyeig&amp;st=tn35bsrd&amp;dl=1</t>
  </si>
  <si>
    <t>Love Punjab (Original Motion Picture Soundtrack)</t>
  </si>
  <si>
    <t>https://www.dropbox.com/scl/fi/1an68s164whwewy487zkp/9995964356712.jpg?rlkey=jzpmweqop145t7mdd3nbk8urh&amp;st=ayepjs4w&amp;dl=1</t>
  </si>
  <si>
    <t>Maavan (From "Daana Paani" Soundtrack)</t>
  </si>
  <si>
    <t>https://www.dropbox.com/scl/fi/89p7tbzgx0162383yjwuq/9995964332129.jpg?rlkey=w6spn4pz5r6nl46yi8cnois73&amp;st=pr0ngf1g&amp;dl=1</t>
  </si>
  <si>
    <t>Manak Di Kali (From "Bhalwan Singh" Soundtrack) [with Jatinder Shah]</t>
  </si>
  <si>
    <t>https://www.dropbox.com/scl/fi/nxor4qjnybsz2m0fd50fi/9995964320355.jpg?rlkey=haobhm1vuscxuob0xpnd2cyp7&amp;st=1n680lb5&amp;dl=1</t>
  </si>
  <si>
    <t>Milne Di Rutt</t>
  </si>
  <si>
    <t>https://www.dropbox.com/scl/fi/zadc0wr8uetj5kc842aqn/9995964331320.jpg?rlkey=j9zpy297l76grb5g07e2o7oej&amp;st=hbznuvmo&amp;dl=1</t>
  </si>
  <si>
    <t>Noonh Labhni (From "Vekh Baraatan Challiyan" Soundtrack)</t>
  </si>
  <si>
    <t>https://www.dropbox.com/scl/fi/sh9lv3bie4xlrt0sr02c0/9995964313159.jpg?rlkey=qp0r9myrzz4pfh5i5j61ajhf1&amp;st=qbw1diqu&amp;dl=1</t>
  </si>
  <si>
    <t>Paani</t>
  </si>
  <si>
    <t>https://www.dropbox.com/scl/fi/ahgcyo3hr7rrzr7nv4fcq/9995964330590.jpg?rlkey=9svrt5baupyhkctn6pfr56c18&amp;st=okkal2pd&amp;dl=1</t>
  </si>
  <si>
    <t>Paani Raavi Da (From "Lahoriye" Soundtrack)</t>
  </si>
  <si>
    <t>https://www.dropbox.com/scl/fi/795w0j184bukgqz4p3mfe/9995964356668.jpg?rlkey=zitonzieqj0g93szefc9uakz6&amp;st=2uyerzab&amp;dl=1</t>
  </si>
  <si>
    <t>Phullan Di Vel (From "Golak Bugni Bank Te Batua" Soundtrack)</t>
  </si>
  <si>
    <t>https://www.dropbox.com/scl/fi/k83lilamtmhayq1e3h30z/9995964356774.jpg?rlkey=nhxmwvfjm0f49uf74g8vhgcu2&amp;st=nks84p8m&amp;dl=1</t>
  </si>
  <si>
    <t>Rabb Khair Kare (From "Daana Paani" Soundtrack)</t>
  </si>
  <si>
    <t>https://www.dropbox.com/scl/fi/fgr0ww5inkgzpfko5zmx2/9995964321383.jpg?rlkey=dap079jsuzuq39wxen1qz18c6&amp;st=x8xlfb7y&amp;dl=1</t>
  </si>
  <si>
    <t>Rakhi Soneya Ve (From "Bambukat" Soundtrack)</t>
  </si>
  <si>
    <t>https://www.dropbox.com/scl/fi/4rzqlull0vexhcvr9kcd0/9995964332334.jpg?rlkey=5swbcudwnfhxo1ixactxdd5o1&amp;st=hcijiuoo&amp;dl=1</t>
  </si>
  <si>
    <t>Rani (From "Bhalwan Singh" Soundtrack)</t>
  </si>
  <si>
    <t>https://www.dropbox.com/scl/fi/5hjpf2ks7m9rmmq125iia/9995964356880.jpg?rlkey=1bi6a2vjxexwzi4iraqpgfx7w&amp;st=4afy5ox9&amp;dl=1</t>
  </si>
  <si>
    <t>Refugee (From "Daana Paani" Soundtrack)</t>
  </si>
  <si>
    <t>https://www.dropbox.com/scl/fi/ss68113zngq2h6zwsj31v/9995964330781.jpg?rlkey=2lgm2nf58vaqeafmtt3xopts7&amp;st=by1ccl3a&amp;dl=1</t>
  </si>
  <si>
    <t>Saah (From "Lahoriye" Soundtrack)</t>
  </si>
  <si>
    <t>https://www.dropbox.com/scl/fi/mhwz0skqd3elo6f9yqsoa/9995964356941.jpg?rlkey=5jy5ahjcsg994msuwdv04kka2&amp;st=opdvdukx&amp;dl=1</t>
  </si>
  <si>
    <t>Sarkaare (From "Golak Bugni Bank Te Batua" Soundtrack)</t>
  </si>
  <si>
    <t>https://www.dropbox.com/scl/fi/0jxf2pvfkd26duxp5znzu/9995964356491.jpg?rlkey=kiv39hpet1osovkjenipdyfal&amp;st=xvdy4cct&amp;dl=1</t>
  </si>
  <si>
    <t>Selfie Photo (From "Golak Bugni Bank Te Batua" Soundtrack)</t>
  </si>
  <si>
    <t>https://www.dropbox.com/scl/fi/gcp9e55vwvpgf0qemgit2/9995964331283.jpg?rlkey=zxdrkopj96k64k87sdggigbvo&amp;st=yegq86db&amp;dl=1</t>
  </si>
  <si>
    <t>Sukh Da Saah (From "Vekh Baraatan Challiyan" Soundtrack)</t>
  </si>
  <si>
    <t>https://www.dropbox.com/scl/fi/orjmt36d91ki1o9vmjs6b/9995964332242.jpg?rlkey=zyg6kb2ow1p918fdh26pkx30b&amp;st=l38cttsq&amp;dl=1</t>
  </si>
  <si>
    <t>Sun Hawa Dya Bulleya (From "Bhalwan Singh" Soundtrack)</t>
  </si>
  <si>
    <t>https://www.dropbox.com/scl/fi/ge1emcr8xf12nu13xm7xh/9995964319601.jpg?rlkey=zgwtl6e55e1iegffn2aene5k9&amp;st=th73mem9&amp;dl=1</t>
  </si>
  <si>
    <t>Supna</t>
  </si>
  <si>
    <t>https://www.dropbox.com/scl/fi/pqau4al4a3smbllo6nc2p/9995964329112.jpg?rlkey=oe9zxxbgsaolppcc39pt0b0vr&amp;st=dyxb4l2f&amp;dl=1</t>
  </si>
  <si>
    <t>Tarakiyaan</t>
  </si>
  <si>
    <t>https://www.dropbox.com/scl/fi/jnvppvr6lza2tymdwatun/9995964356590.jpg?rlkey=yoa9un11tr9i8h4j2qhjgm1ff&amp;st=42mheonc&amp;dl=1</t>
  </si>
  <si>
    <t>Tu Te Main (From "Golak Bugni Bank Te Batua" Soundtrack)</t>
  </si>
  <si>
    <t>https://www.dropbox.com/scl/fi/7rqk172yfdruak7fuskgp/9995964332228.jpg?rlkey=5o065yq706fk0amx9qwtlxl4e&amp;st=7314sgrt&amp;dl=1</t>
  </si>
  <si>
    <t>Vaar (From "Bhalwan Singh" Soundtrack)</t>
  </si>
  <si>
    <t>https://www.dropbox.com/scl/fi/pm5ixbi856x9pplxrofd2/9995964331528.jpg?rlkey=znfevffvv5acacaivbobp2f2r&amp;st=dxxuzct6&amp;dl=1</t>
  </si>
  <si>
    <t>Vekh Baraatan Challiyan - Title Song (From "Vekh Baraatan Challiyan" Soundtrack)</t>
  </si>
  <si>
    <t>https://www.dropbox.com/scl/fi/yv5xhe6n8voe8dr5x8y1u/9995964357931.jpg?rlkey=d9qyski622rgafe0bukjbs2cp&amp;st=xvmhl9km&amp;dl=1</t>
  </si>
  <si>
    <t>Leekan (From "Ashke" Soundtrack)</t>
  </si>
  <si>
    <t>https://www.dropbox.com/scl/fi/ruvrinhvo1003b9vspb25/9995964357917.jpg?rlkey=a6khphrt8svul4jr1hdne3qwl&amp;st=laslfdsg&amp;dl=1</t>
  </si>
  <si>
    <t>Handsome Jatta (From "Ashke" Soundtrack)</t>
  </si>
  <si>
    <t>https://www.dropbox.com/scl/fi/ttsqgqd0tvzb3fiixn8ee/9995964359133.jpg?rlkey=9xa13w4v462jpqi8g028uff95&amp;st=l0i7zw2p&amp;dl=1</t>
  </si>
  <si>
    <t>Bholepan (From "Ashke" Soundtrack)</t>
  </si>
  <si>
    <t>https://www.dropbox.com/scl/fi/3mtlagmuubveo7o683tow/9995964359270.jpg?rlkey=elxty3azt38cpu2dz2fbr7v0d&amp;st=3gca8jd7&amp;dl=1</t>
  </si>
  <si>
    <t>Eh Tanhayi</t>
  </si>
  <si>
    <t>https://www.dropbox.com/scl/fi/kyzioqt5ly6kcvvbcxgsp/9995964359225.jpg?rlkey=3b85fiv9m19fkricvdsn900dt&amp;st=g0vvpsmy&amp;dl=1</t>
  </si>
  <si>
    <t>Tere Naal Viahi</t>
  </si>
  <si>
    <t>https://www.dropbox.com/scl/fi/r0rhpnsd008xijn0h35qz/9995964357948.jpg?rlkey=e0dbu6xb0r5afcnvko583ysvm&amp;st=webjm2g7&amp;dl=0</t>
  </si>
  <si>
    <t>Ashke - Title Song (From "Ashke" Soundtrack)</t>
  </si>
  <si>
    <t>https://www.dropbox.com/scl/fi/uypmkqts8tyqkqgcivd08/9995964357979.jpg?rlkey=7evtckbol0lptt70n5pp2gwj9&amp;st=j559k4bn&amp;dl=</t>
  </si>
  <si>
    <t>Ashke Boliyan (From "Ashke" Soundtrack)</t>
  </si>
  <si>
    <t>https://www.dropbox.com/scl/fi/jqavbmnn4ddk0dukhxwgs/9995964336714.jpg?rlkey=o6vi3lzds2o4g9ryiej1ohva1&amp;st=pqas6ir9&amp;dl=1</t>
  </si>
  <si>
    <t>Motion Poster Theme (From "Bhajjo Veero Ve" Soundtrack)</t>
  </si>
  <si>
    <t>https://www.dropbox.com/scl/fi/7lvajph2khqhvwp397h76/9995964336943.jpg?rlkey=nzth4dx7xqodirqk56vvd2hu9&amp;st=wkguynql&amp;dl=1</t>
  </si>
  <si>
    <t>Khyaal (From "Bhajjo Veero Ve" Soundtrack)</t>
  </si>
  <si>
    <t>https://www.dropbox.com/scl/fi/yzwopysspx9a5zd7s8vec/9995964336981.jpg?rlkey=0kb7v8hqwy4vs967di67tx6ar&amp;st=of2bhm29&amp;dl=1</t>
  </si>
  <si>
    <t>Car Reebna Wali (From "Bhajjo Veero Ve" Soundtrack)</t>
  </si>
  <si>
    <t>https://www.dropbox.com/scl/fi/wz5dkfyue9ss17h2kvuxu/9995964337339.jpg?rlkey=2vasx0a0fgn4omgckb52buwxi&amp;st=df7r3bvd&amp;dl=1</t>
  </si>
  <si>
    <t>Bhaggi Love</t>
  </si>
  <si>
    <t>https://www.dropbox.com/scl/fi/uxmda5bzfr0hil59z70yq/9995964337346.jpg?rlkey=ozd32ho21vtas4zpx0o0t051n&amp;st=0cufr9ev&amp;dl=1</t>
  </si>
  <si>
    <t>Chunni Cho Asmaan (From "Bhajjo Veero Ve" Soundtrack)</t>
  </si>
  <si>
    <t>https://www.dropbox.com/scl/fi/uelnpygff0yaxpsovawzq/9995964338275.jpg?rlkey=hbxfx81fb372qdxp77c75g0t4&amp;st=r7j5hin2&amp;dl=1</t>
  </si>
  <si>
    <t>Lehnga (From "Bhajjo Veero Ve" Soundtrack)</t>
  </si>
  <si>
    <t>https://www.dropbox.com/scl/fi/ld1adb2f6ojdxd4mz1ql7/9995964340322.jpg?rlkey=te8j9x1lghu8iokbbs1drjnb8&amp;st=15b24r1h&amp;dl=1</t>
  </si>
  <si>
    <t>Darshan Mehnge (From "Laiye Je Yaarian" Soundtrack)</t>
  </si>
  <si>
    <t>https://www.dropbox.com/scl/fi/a3ltusrm4zc4pjpsyh2sl/9995964340483.jpg?rlkey=5uh8f6cufbqikj5wwpp0atajx&amp;st=jhcfzzb1&amp;dl=1</t>
  </si>
  <si>
    <t>Aah Ki Hoya (From "Laiye Je Yaarian" Soundtrack)</t>
  </si>
  <si>
    <t>https://www.dropbox.com/scl/fi/2yxabt4yhcdsaaka5je59/9995964340612.jpg?rlkey=zi5siydcgtu2z3myksvd75q63&amp;st=ho1p9d88&amp;dl=1</t>
  </si>
  <si>
    <t>Mathi Mathi (From "Laiye Je Yaarian" Soundtrack)</t>
  </si>
  <si>
    <t>https://www.dropbox.com/scl/fi/dbgkrsjzydutrnwv1d59t/9995964340759.jpg?rlkey=sx8o55gtg8b1mkiuqzpr49i4c&amp;st=d4yazxki&amp;dl=1</t>
  </si>
  <si>
    <t>Meri Aakad (From "Laiye Je Yaarian" Soundtrack)</t>
  </si>
  <si>
    <t>https://www.dropbox.com/scl/fi/npi7mvs7gai4g7a993z96/9995964340933.jpg?rlkey=1i3f61yc20o8wkptm29tbg8wq&amp;st=cna7f1xp&amp;dl=1</t>
  </si>
  <si>
    <t>Dil Main Nahi Laona (From "Laiye Je Yaarian" Soundtrack)</t>
  </si>
  <si>
    <t>https://www.dropbox.com/scl/fi/71kmciw304uncdtjo4kek/9995964341268.jpg?rlkey=znjcgrrgsanjirk6qpvf3r9jl&amp;st=m5np68eg&amp;dl=1</t>
  </si>
  <si>
    <t>U &amp; I (From "Laiye Je Yaarian" Soundtrack)</t>
  </si>
  <si>
    <t>https://www.dropbox.com/scl/fi/zi3atw88mw804q1wh8zh6/9995964341831.jpg?rlkey=7cgg23eraee3quctck1vkwbfx&amp;st=f1bb36uu&amp;dl=1</t>
  </si>
  <si>
    <t>Kurti De Mor (From "Laiye Je Yaarian" Soundtrack)</t>
  </si>
  <si>
    <t>https://www.dropbox.com/scl/fi/e04egegm4us10hjqfqvon/9995964342975.jpg?rlkey=h38ohxfoxgwyj1vh58n5zmlpj&amp;st=slwb5yzl&amp;dl=1</t>
  </si>
  <si>
    <t>Baddlan De Kaalje (From "Chal Mera Putt" Soundtrack)</t>
  </si>
  <si>
    <t>https://www.dropbox.com/scl/fi/tacigdb2uh2naa57d2c4k/9995964343125.jpg?rlkey=xqoymrn88dn0g29o0gap6mxl9&amp;st=zhwrb1vo&amp;dl=1</t>
  </si>
  <si>
    <t>Chal Mera Putt - Title Track (From "Chal Mera Putt" Soundtrack)</t>
  </si>
  <si>
    <t>https://www.dropbox.com/scl/fi/v12cia3lvzqjdcese149j/9995964343309.jpg?rlkey=qgs6s1ybl0ov4iht24d9s74kj&amp;st=emnnjzkg&amp;dl=1</t>
  </si>
  <si>
    <t>Aaban De Deson (From "Chal Mera Putt" Soundtrack)</t>
  </si>
  <si>
    <t>https://www.dropbox.com/scl/fi/qkskz65pq4s6hk1g9wh5r/9995964343538.jpg?rlkey=ashffqvenfhpsokk4kz4i43qi&amp;st=mchcituy&amp;dl=1</t>
  </si>
  <si>
    <t>Shiftaan (From "Chal Mera Putt" Soundtrack)</t>
  </si>
  <si>
    <t>https://www.dropbox.com/scl/fi/ecnv9xar0rgezkjjm219o/9995964343910.jpg?rlkey=u8nyxe1kfwyghamw3l7h4ew8k&amp;st=vw3mhh3t&amp;dl=1</t>
  </si>
  <si>
    <t>Gallan Na Changian (From "Chal Mera Putt" Soundtrack)</t>
  </si>
  <si>
    <t>https://www.dropbox.com/scl/fi/t2ig6jn6m90lazjmo0nhx/9995964351885.jpeg?rlkey=b6gwu7oyh1ybzzsl7eud2efzk&amp;st=do6mefez&amp;dl=1</t>
  </si>
  <si>
    <t>Nanak Aadh Jugaadh Jiyo</t>
  </si>
  <si>
    <t>https://www.dropbox.com/scl/fi/6d3ilqjqj5cajn3ewa6kw/9995964366124.jpg?rlkey=0pzjj4ber27ik38ivhxsc2xsd&amp;st=26j5r3sm&amp;dl=1</t>
  </si>
  <si>
    <t>Boota Gaalan Kad Da Ae (From "Chal Mera Putt 2" Soundtrack)</t>
  </si>
  <si>
    <t>https://www.dropbox.com/scl/fi/mtug71v11gr796upf1shz/9995964367343.jpg?rlkey=y8n2ewzamj4wn3d8p728u7qkx&amp;st=heov3ngr&amp;dl=1</t>
  </si>
  <si>
    <t>Majboori (From "Chal Mera Putt 2" Soundtrack)</t>
  </si>
  <si>
    <t>https://www.dropbox.com/scl/fi/5z2d4qxm6nwm33xojj6oz/9995964368173.jpg?rlkey=k201xpc8aqemrichvtotjkomg&amp;st=mptx8wz4&amp;dl=1</t>
  </si>
  <si>
    <t>Majhe Wal Da (From "Chal Mera Putt 2" Soundtrack)</t>
  </si>
  <si>
    <t>https://www.dropbox.com/scl/fi/c5wehe6pilb75qcb31hdc/9999552111417.jpg?rlkey=n01eo7wlj1hrhu3wojo0901mc&amp;st=yr73bn1l&amp;dl=1</t>
  </si>
  <si>
    <t>Doubt</t>
  </si>
  <si>
    <t>= FILLED AUTOMATICALLY IF CODES/IDS MATCH</t>
  </si>
  <si>
    <t>RELEASE LEVEL - Artist&lt;&gt;UPC/ID : One Arist per row.  If a Release has multiple Artists, add the same Release Code/ID to a new row for each Artist.</t>
  </si>
  <si>
    <t>ARTIST</t>
  </si>
  <si>
    <t>ARTIST ROLE</t>
  </si>
  <si>
    <t>ARTIST ROLE
CATEGORY</t>
  </si>
  <si>
    <t>from Release_Label tab</t>
  </si>
  <si>
    <t>auto-fills if Release Code/Id matches 
Code/Id in Release_Label tab</t>
  </si>
  <si>
    <r>
      <rPr>
        <rFont val="Arial"/>
        <color theme="1"/>
        <sz val="10.0"/>
      </rPr>
      <t xml:space="preserve">ONE ARTIST PER ROW
select from Artists list, start typing or drag
</t>
    </r>
    <r>
      <rPr>
        <rFont val="Arial"/>
        <i/>
        <color theme="1"/>
        <sz val="10.0"/>
      </rPr>
      <t>If compilation: Various Artists</t>
    </r>
  </si>
  <si>
    <t>artist category auto-fills based on artist role</t>
  </si>
  <si>
    <t>Main Primary Artist</t>
  </si>
  <si>
    <t>Primary Artist</t>
  </si>
  <si>
    <t>With</t>
  </si>
  <si>
    <t>Producer</t>
  </si>
  <si>
    <t>sort(if(countif($A$5:$A&amp;$B$5:$B,'3) Release_Label'!$D$5:$D&amp;'3) Release_Label'!$E$5:$E)=0,'3) Release_Label'!$D$5:$D&amp;" "&amp;'3) Release_Label'!$E$5:$E,))</t>
  </si>
  <si>
    <t>sort(if(countif({A5:A,B5:B},{'3) Release_Label'!D5:D,'3) Release_Label'!E5:E})=0,{'3) Release_Label'!D5:D,'3) Release_Label'!E5:E},))</t>
  </si>
  <si>
    <t>sort(if(countif(filter($A:$B,$F:$F="Main Primary Artist"),'3) Release_Label'!$D$5:$E)=0,'3) Release_Label'!$D$5:$E,))</t>
  </si>
  <si>
    <t>sort(if(countif(filter($A:$B,$F:$F="Main Primary Artist"),'3) Release_Label'!$D$5:$E)&gt;1,'3) Release_Label'!$D$5:$E,))</t>
  </si>
  <si>
    <t>Featuring</t>
  </si>
  <si>
    <t>TRACK LEVEL - UPC/ID&lt;&gt;ISRC/ID</t>
  </si>
  <si>
    <t>TRACK</t>
  </si>
  <si>
    <t>ISRC/vISRC</t>
  </si>
  <si>
    <t>CATALOG TRACK ID</t>
  </si>
  <si>
    <t>TRACK TITLE</t>
  </si>
  <si>
    <t>TRACK VERSION</t>
  </si>
  <si>
    <t>LANGUAGE OF LYRICS</t>
  </si>
  <si>
    <t>EXPLICIT</t>
  </si>
  <si>
    <t>TYPE</t>
  </si>
  <si>
    <t>AUDIO FILE URL</t>
  </si>
  <si>
    <t>AUDIO TYPE</t>
  </si>
  <si>
    <t>TRACK PREVIEW</t>
  </si>
  <si>
    <t>COMPOSITION
 ISWC</t>
  </si>
  <si>
    <t>NUMBER</t>
  </si>
  <si>
    <r>
      <rPr>
        <rFont val="Arial"/>
        <color theme="1"/>
        <sz val="9.0"/>
      </rPr>
      <t xml:space="preserve">CCXXXYY#####
</t>
    </r>
    <r>
      <rPr>
        <rFont val="Arial"/>
        <i/>
        <color theme="1"/>
        <sz val="9.0"/>
      </rPr>
      <t>blank if no ISRC yet</t>
    </r>
  </si>
  <si>
    <r>
      <rPr>
        <rFont val="Arial"/>
        <color theme="1"/>
      </rPr>
      <t xml:space="preserve">Internal Ref. ID </t>
    </r>
    <r>
      <rPr>
        <rFont val="Arial"/>
        <i/>
        <color theme="1"/>
      </rPr>
      <t>required if no ISRC/vISRC</t>
    </r>
  </si>
  <si>
    <r>
      <rPr>
        <rFont val="Arial"/>
        <color theme="1"/>
        <sz val="10.0"/>
      </rPr>
      <t xml:space="preserve">(select from list, start 
typing or drag)
</t>
    </r>
    <r>
      <rPr>
        <rFont val="Arial"/>
        <i/>
        <color theme="1"/>
        <sz val="10.0"/>
      </rPr>
      <t>If no lyrics, select Instrumental</t>
    </r>
  </si>
  <si>
    <t>YES / NO</t>
  </si>
  <si>
    <t>Original / 
Public Domain</t>
  </si>
  <si>
    <t>public URL MUST trigger audio file DOWNLOAD</t>
  </si>
  <si>
    <t>wav /
flac
ONLY</t>
  </si>
  <si>
    <t>Preview Start Time (in seconds)</t>
  </si>
  <si>
    <t>COL5K1701302</t>
  </si>
  <si>
    <t>NO</t>
  </si>
  <si>
    <t>Original</t>
  </si>
  <si>
    <t>wav</t>
  </si>
  <si>
    <t>COL5K1701401</t>
  </si>
  <si>
    <t>https://www.dropbox.com/scl/fi/2d413hc2judi27t1p7gn6/9995964356132_01_01.wav?rlkey=tdi2ehfcymx6azogfce25h08t&amp;st=xfb9tl9e&amp;dl=1</t>
  </si>
  <si>
    <t>COL5K1701106</t>
  </si>
  <si>
    <t>https://www.dropbox.com/scl/fi/mt80iu3snvjc8x7v0jda4/9995964330651_01_01.wav?rlkey=f9jhqvo6z8hm6fkdiu7sdcqwr&amp;st=ysssu5b9&amp;dl=1</t>
  </si>
  <si>
    <t>COL5K1701101</t>
  </si>
  <si>
    <t>https://www.dropbox.com/scl/fi/51be91fnf990uy3xppc8h/9995964330088_01_01.wav?rlkey=9i3qvvt1dylg7zdqpj32lyhw2&amp;st=jo1cjqyz&amp;dl=1</t>
  </si>
  <si>
    <t>COL5K1500304</t>
  </si>
  <si>
    <t>Mil Ke Baithange</t>
  </si>
  <si>
    <t>https://www.dropbox.com/scl/fi/xejl12xu41h64xub3t85g/9995964312657_01_01.wav?rlkey=k6c7c6f2qfw0kh53i9pfd1qr6&amp;st=y2r9az98&amp;dl=1</t>
  </si>
  <si>
    <t>COL5K1500301</t>
  </si>
  <si>
    <t>Kurta Suha</t>
  </si>
  <si>
    <t>https://www.dropbox.com/scl/fi/46kmf4di2gcsizr1ms2w2/9995964312657_01_02.wav?rlkey=x1vh84cdn8upbm7m4a5c4e55f&amp;st=rfq8o6il&amp;dl=1</t>
  </si>
  <si>
    <t>COL5K1500305</t>
  </si>
  <si>
    <t>Family Di Member</t>
  </si>
  <si>
    <t>https://www.dropbox.com/scl/fi/el72e57se2gibs3nuhbqu/9995964312657_01_03.wav?rlkey=fet0q8s28ncmlnos08xrbfwxp&amp;st=j7sn2dtg&amp;dl=1</t>
  </si>
  <si>
    <t>COL5K1500306</t>
  </si>
  <si>
    <t>Chete Kar Kar Ke</t>
  </si>
  <si>
    <t>https://www.dropbox.com/scl/fi/mhnq6jkn79av91aomu540/9995964312657_01_04.wav?rlkey=n8fr35g21d0k0oedz5pn8v6b5&amp;st=4t15ykq4&amp;dl=1</t>
  </si>
  <si>
    <t>COL5K1500302</t>
  </si>
  <si>
    <t>Vanjhali Vaja</t>
  </si>
  <si>
    <t>https://www.dropbox.com/scl/fi/ac5qbi9hg2ytvih0j35aj/9995964312657_01_05.wav?rlkey=r54bzxsw97eyejv6kph3l5vfv&amp;st=fqaxpux2&amp;dl=1</t>
  </si>
  <si>
    <t>COL5K1500303</t>
  </si>
  <si>
    <t>Jind Mahi</t>
  </si>
  <si>
    <t>https://www.dropbox.com/scl/fi/84g4ito22mafv4bbvq4qa/9995964312657_01_06.wav?rlkey=xhhkxpihkb0fdwf1r3eay37n6&amp;st=iivad8xh&amp;dl=1</t>
  </si>
  <si>
    <t>COL5K1500307</t>
  </si>
  <si>
    <t>Angrej Tappe</t>
  </si>
  <si>
    <t>https://www.dropbox.com/scl/fi/8swn4p7sz00r0jucudzrh/9995964312657_01_07.wav?rlkey=x4vdni9l17imymze3ssyclbbc&amp;st=6kxmqzxs&amp;dl=1</t>
  </si>
  <si>
    <t>COL5K1600805</t>
  </si>
  <si>
    <t>https://www.dropbox.com/scl/fi/xoc4s2yn64ikd4ne844fv/9995964321390_01_01.wav?rlkey=cyb19g434dywt5yutd8gfxyda&amp;st=n4omxpyi&amp;dl=1</t>
  </si>
  <si>
    <t>COL5K1701201</t>
  </si>
  <si>
    <t>https://www.dropbox.com/scl/fi/ktwhl5qswhxeojfiqofcd/9995964330187_01_01.wav?rlkey=sa7qkiugychl27mja03sfnxh0&amp;st=r2luteo0&amp;dl=1</t>
  </si>
  <si>
    <t>COL5K1701102</t>
  </si>
  <si>
    <t>https://www.dropbox.com/scl/fi/9et6ghc6e7udkj6i0naq9/9995964330446_01_01.wav?rlkey=5theicrbmhv8n87pg3airavqi&amp;st=x050t5r3&amp;dl=1</t>
  </si>
  <si>
    <t>COL5K1801999</t>
  </si>
  <si>
    <t>https://www.dropbox.com/scl/fi/lh7qtd8pt3768rcwqwkyu/9995964357078_01_01.wav?rlkey=ruayt406o8iouh2oixez7063q&amp;st=6dpem57t&amp;dl=1</t>
  </si>
  <si>
    <t>COL5K1801504</t>
  </si>
  <si>
    <t>https://www.dropbox.com/scl/fi/et5521iog2qia882i603q/9995964357016_01_01.wav?rlkey=yq6jq4sme9u971mw4r706am05&amp;st=0eghrzb3&amp;dl=1</t>
  </si>
  <si>
    <t>COL5K1701303</t>
  </si>
  <si>
    <t>https://www.dropbox.com/scl/fi/ovwz6fx7xxeouqwpmajbg/9995964332198_01_01.wav?rlkey=j4cxwycz5vpbs44ilanbcbexe&amp;st=y56edhnb&amp;dl=1</t>
  </si>
  <si>
    <t>COL5K1600901</t>
  </si>
  <si>
    <t>https://www.dropbox.com/scl/fi/4lg5rudazmxjvbgx0qla9/9995964321710_01_01.wav?rlkey=ahhzx8mghnuflw6e7f6d8l218&amp;st=fnqa9zyy&amp;dl=1</t>
  </si>
  <si>
    <t>COL5K1701103</t>
  </si>
  <si>
    <t>https://www.dropbox.com/scl/fi/9reyzulz3xnlty7tknynb/9995964330514_01_01.wav?rlkey=alajhrsk52e26sg3733y0vrzo&amp;st=gwkm8sdm&amp;dl=1</t>
  </si>
  <si>
    <t>COL5K1701104</t>
  </si>
  <si>
    <t>https://www.dropbox.com/scl/fi/1sw30bskn6ubhxfszdo98/9995964330576_01_01.wav?rlkey=7qkfjcqf5t14e7ijdwvax4r81&amp;st=n2sfoymi&amp;dl=1</t>
  </si>
  <si>
    <t>COL5K1600801</t>
  </si>
  <si>
    <t>https://www.dropbox.com/scl/fi/eowjdswyr5s10rhy1e43v/9995964321130_01_01.wav?rlkey=qd0vhhx6mfl7c0wws0xjzmk2h&amp;st=zeagqy8q&amp;dl=1</t>
  </si>
  <si>
    <t>COL5K1600802</t>
  </si>
  <si>
    <t>https://www.dropbox.com/scl/fi/ggzceaqpgoqg5owzndlt6/9995964321208_01_01.wav?rlkey=uppoj96k03i4z2vpjc8o1ygm5&amp;st=71vrtr4s&amp;dl=1</t>
  </si>
  <si>
    <t>COL5K1801506</t>
  </si>
  <si>
    <t>https://www.dropbox.com/scl/fi/da408pjvxpjd8snij7hpu/9995964357160_01_01.wav?rlkey=6g8ohlotst67zdqgqr7dhkknm&amp;st=gux4rqwz&amp;dl=1</t>
  </si>
  <si>
    <t>COL5K1701403</t>
  </si>
  <si>
    <t>https://www.dropbox.com/scl/fi/cze30yv9v5aducg446zia/9995964356552_01_01.wav?rlkey=tn95n5z7a0n41ffvlqk3pl3j2&amp;st=p8s01lgz&amp;dl=1</t>
  </si>
  <si>
    <t>COL5K1600803</t>
  </si>
  <si>
    <t>https://www.dropbox.com/scl/fi/3om9l5sp1xyhk8aztepza/9995964321284_01_01.wav?rlkey=zqeq1p7zuox1zblhct5rkdoxh&amp;st=wlvzxyh5&amp;dl=1</t>
  </si>
  <si>
    <t>COL5K1600601</t>
  </si>
  <si>
    <t>Heerey</t>
  </si>
  <si>
    <t>https://www.dropbox.com/scl/fi/g937id9jw0mwcehldl504/9995964320096_01_01.wav?rlkey=d2onn4f01rkb5twvs3ozylurm&amp;st=59bjjwml&amp;dl=1</t>
  </si>
  <si>
    <t>COL5K1600602</t>
  </si>
  <si>
    <t>Shaan Vakhri</t>
  </si>
  <si>
    <t>https://www.dropbox.com/scl/fi/f68dym357s2ktsgaaklnl/9995964320096_01_02.wav?rlkey=m1tev7pxh1zqn3yb84t8xoiwf&amp;st=63ptyfds&amp;dl=1</t>
  </si>
  <si>
    <t>COL5K1600603</t>
  </si>
  <si>
    <t>Zindagi</t>
  </si>
  <si>
    <t>https://www.dropbox.com/scl/fi/iwx8zv7ef056q9issi5qb/9995964320096_01_03.wav?rlkey=zpupaqbi2a7judu5xlheievz7&amp;st=liwm1dy9&amp;dl=1</t>
  </si>
  <si>
    <t>COL5K1600604</t>
  </si>
  <si>
    <t>Goriyan Bhavaan</t>
  </si>
  <si>
    <t>https://www.dropbox.com/scl/fi/4l4ty2q6m6nnk48qf08xb/9995964320096_01_04.wav?rlkey=gk4esteu2l7z3lidzqkgilkva&amp;st=ns0m632j&amp;dl=1</t>
  </si>
  <si>
    <t>COL5K1600605</t>
  </si>
  <si>
    <t>Akhiyan De Taare</t>
  </si>
  <si>
    <t>https://www.dropbox.com/scl/fi/27osdyr9j8nexiv4pt019/9995964320096_01_05.wav?rlkey=tbclof6vhv36m93hqpcs3wcqv&amp;st=8xe87qaq&amp;dl=1</t>
  </si>
  <si>
    <t>COL5K1600606</t>
  </si>
  <si>
    <t>Dovein Nain</t>
  </si>
  <si>
    <t>https://www.dropbox.com/scl/fi/54474ndbqglpxraqxhslr/9995964320096_01_06.wav?rlkey=iqesmslx7dst1xrxi54m4klk3&amp;st=pq0814j1&amp;dl=1</t>
  </si>
  <si>
    <t>COL5K1600607</t>
  </si>
  <si>
    <t>Des</t>
  </si>
  <si>
    <t>https://www.dropbox.com/scl/fi/v3g3tw1g1j0oc94jsr6y6/9995964320096_01_07.wav?rlkey=967y0hupjlwzcutxva69614ds&amp;st=12znzp0b&amp;dl=1</t>
  </si>
  <si>
    <t>COL5K1801501</t>
  </si>
  <si>
    <t>https://www.dropbox.com/scl/fi/oiunaazn9128aeh7m9rvx/9995964356712_01_01.wav?rlkey=t3smikq1gsprf59wbjxjylvwn&amp;st=g4yybdfp&amp;dl=1</t>
  </si>
  <si>
    <t>COL5K1701301</t>
  </si>
  <si>
    <t>https://www.dropbox.com/scl/fi/sxqdyd1bs6o9zngchvq0p/9995964332129_01_01.wav?rlkey=1b395gewcgh3aqqu54nwgr30o&amp;st=z2l7f101&amp;dl=1</t>
  </si>
  <si>
    <t>COL5K1600701</t>
  </si>
  <si>
    <t>https://www.dropbox.com/scl/fi/vlopc8wu51nemkej3c6oa/9995964320355_01_01.wav?rlkey=b1drhmvoyyd5z7csxpus501vy&amp;st=4frr43ss&amp;dl=1</t>
  </si>
  <si>
    <t>COL5K1701203</t>
  </si>
  <si>
    <t>https://www.dropbox.com/scl/fi/5o1o3loqvujvejssy7epp/9995964331320_01_01.wav?rlkey=4fx8b0upo4f49p1n2ofqch0f1&amp;st=si4l5exs&amp;dl=1</t>
  </si>
  <si>
    <t>COL5K1500401</t>
  </si>
  <si>
    <t>https://www.dropbox.com/scl/fi/o657ag8m5gn4f37ufrq9q/9995964313159_01_01.wav?rlkey=f8ehxfdl3xoiynu18t275utgt&amp;st=w98wemrg&amp;dl=1</t>
  </si>
  <si>
    <t>COL5K1701105</t>
  </si>
  <si>
    <t>https://www.dropbox.com/scl/fi/9huiygha006a5lftis66u/9995964330590_01_01.wav?rlkey=fcdbcc7uivlrund1st1dj3q7l&amp;st=vyhd2r5z&amp;dl=1</t>
  </si>
  <si>
    <t>COL5K1701405</t>
  </si>
  <si>
    <t>https://www.dropbox.com/scl/fi/rwlrfjtnc1sf8c53esd1h/9995964356668_01_01.wav?rlkey=0arrdgr0s8pzvowiluv30ntaf&amp;st=9dqc550x&amp;dl=1</t>
  </si>
  <si>
    <t>COL5K1801502</t>
  </si>
  <si>
    <t>https://www.dropbox.com/scl/fi/gfrw3kwf4tpofwerr0w0c/9995964356774_01_01.wav?rlkey=sb98nufdko1nw3qc1tgkh1ru5&amp;st=jzqetcw7&amp;dl=1</t>
  </si>
  <si>
    <t>COL5K1600804</t>
  </si>
  <si>
    <t>https://www.dropbox.com/scl/fi/p0d4ljm77u5t76gf8fubj/9995964321383_01_01.wav?rlkey=y3jet259twbh6k22sf0467fgh&amp;st=ce3hjgvw&amp;dl=1</t>
  </si>
  <si>
    <t>COL5K1701306</t>
  </si>
  <si>
    <t>https://www.dropbox.com/scl/fi/noya2kedqpyr19dru1ql6/9995964332334_01_01.wav?rlkey=xt6nufdja9z98d7ipkqxg7npk&amp;st=847wualt&amp;dl=1</t>
  </si>
  <si>
    <t>COL5K1801503</t>
  </si>
  <si>
    <t>https://www.dropbox.com/scl/fi/92nn56jymieqc1ce6uzn1/9995964356880_01_01.wav?rlkey=dfgj6nrcenlfs8ksrna2fj4fh&amp;st=fm80th97&amp;dl=1</t>
  </si>
  <si>
    <t>COL5K1701107</t>
  </si>
  <si>
    <t>https://www.dropbox.com/scl/fi/gzgyzyq4lkgrdw3lzfe3k/9995964330781_01_01.wav?rlkey=iftefes72f4rzzdzfh3rh4hif&amp;st=3oh0q9cv&amp;dl=1</t>
  </si>
  <si>
    <t>COL5K1701406</t>
  </si>
  <si>
    <t>https://www.dropbox.com/scl/fi/zg1dwft4uhy8zw1pyzs8u/9995964356941_01_01.wav?rlkey=a41c0u68v84o2jantxoa3um9e&amp;st=oo9q8wab&amp;dl=1</t>
  </si>
  <si>
    <t>COL5K1701402</t>
  </si>
  <si>
    <t>https://www.dropbox.com/scl/fi/7l7mkmnqrpxnzxjy64660/9995964356491_01_01.wav?rlkey=yuxjgb6jl1vvg5obriyszl6au&amp;st=06xn2895&amp;dl=1</t>
  </si>
  <si>
    <t>COL5K1701202</t>
  </si>
  <si>
    <t>https://www.dropbox.com/scl/fi/tjzvhk1lwwyca3cwhwvtb/9995964331283_01_01.wav?rlkey=6obx1x8pzshfmuo1kfwyo281o&amp;st=vgh8xbv9&amp;dl=1</t>
  </si>
  <si>
    <t>COL5K1701305</t>
  </si>
  <si>
    <t>https://www.dropbox.com/scl/fi/zm1jwz229v626xfy8xp3b/9995964332242_01_01.wav?rlkey=oktnoq2tn0n7t8qzvua1yvges&amp;st=23d2go70&amp;dl=1</t>
  </si>
  <si>
    <t>COL5K1500501</t>
  </si>
  <si>
    <t>https://www.dropbox.com/scl/fi/21wjwioygl3q83ljlpuam/9995964319601_01_01.wav?rlkey=3y4vjars2gj16eogvpdthdcas&amp;st=eux9q9lh&amp;dl=1</t>
  </si>
  <si>
    <t>COL5K1701001</t>
  </si>
  <si>
    <t>https://www.dropbox.com/scl/fi/qv7wocqk1y09w3graf181/9995964329112_01_01.wav?rlkey=y5gq3cyfcd90ggypanhsty4jh&amp;st=2qgzywny&amp;dl=1</t>
  </si>
  <si>
    <t>COL5K1701404</t>
  </si>
  <si>
    <t>https://www.dropbox.com/scl/fi/yk6fu64j7l5onp6yv5fy7/9995964356590_01_01.wav?rlkey=tmy51t51erudj9hzj75nuzib2&amp;st=expmhmxf&amp;dl=1</t>
  </si>
  <si>
    <t>COL5K1701304</t>
  </si>
  <si>
    <t>https://www.dropbox.com/scl/fi/of8bwy367vv8bxcy84ag7/9995964332228_01_01.wav?rlkey=0hxg650ma94n66xkbdasxnlli&amp;st=uzk3zb0w&amp;dl=1</t>
  </si>
  <si>
    <t>COL5K1701204</t>
  </si>
  <si>
    <t>https://www.dropbox.com/scl/fi/tbt23l7vipyk756ehkyl0/9995964331528_01_01.wav?rlkey=p6o0zsxzwkzbvjyezypsq3kfx&amp;st=mofo4hgb&amp;dl=1</t>
  </si>
  <si>
    <t>COL5K1801602</t>
  </si>
  <si>
    <t>https://www.dropbox.com/scl/fi/ink9w3h35szihd97y1uqq/9995964357931_01_01.wav?rlkey=jwzfkqecunxyy2g2axk5wmcun&amp;st=prsvtm19&amp;dl=1</t>
  </si>
  <si>
    <t>COL5K1801601</t>
  </si>
  <si>
    <t>https://www.dropbox.com/scl/fi/e56221qflgyrwoi1e191c/9995964357917_01_01.wav?rlkey=2esj8lfznf0sjf5qw68l09wso&amp;st=8zdsjrrf&amp;dl=1</t>
  </si>
  <si>
    <t>COL5K1801605</t>
  </si>
  <si>
    <t>https://www.dropbox.com/scl/fi/ki5u6kp368suba8e43k9x/9995964359133_01_01.wav?rlkey=l404vb91vya2jwpt881wrud1o&amp;st=7mkbepq2&amp;dl=1</t>
  </si>
  <si>
    <t>COL5K1801801</t>
  </si>
  <si>
    <t>https://www.dropbox.com/scl/fi/3696z07s0uymqgio6yawz/9995964359270_01_01.wav?rlkey=iqf13ib2ryqjh1ac5f74aacxw&amp;st=f6em8m9s&amp;dl=1</t>
  </si>
  <si>
    <t>COL5K1801701</t>
  </si>
  <si>
    <t>https://www.dropbox.com/scl/fi/6ajapxi6ukpn3q5ugtvn0/9995964359225_01_01.wav?rlkey=iujcb22y8rrfvjikfrgtcsvai&amp;st=rk0oxiii&amp;dl=1</t>
  </si>
  <si>
    <t>COL5K1801603</t>
  </si>
  <si>
    <t>https://www.dropbox.com/scl/fi/e5o7n8imqzhr4zv5itfja/9995964357948_01_01.wav?rlkey=qo82ws4kaovhvvw1sskghx5wb&amp;st=zziw8jxy&amp;dl=1</t>
  </si>
  <si>
    <t>COL5K1801604</t>
  </si>
  <si>
    <t>https://www.dropbox.com/scl/fi/2o4f58d3ihbbhezpzs0ga/9995964357979_01_01.wav?rlkey=nr4qi8y0u91s195sl5qdlg29v&amp;st=xw22uc7z&amp;dl=1</t>
  </si>
  <si>
    <t>COL5K1801901</t>
  </si>
  <si>
    <t>https://www.dropbox.com/scl/fi/o79eqhx1uyaamqrx7m1ao/9995964336714_01_01.wav?rlkey=1niwofw93kruo2bsv3nqx172u&amp;st=exacfgtm&amp;dl=1</t>
  </si>
  <si>
    <t>COL5K1801902</t>
  </si>
  <si>
    <t>https://www.dropbox.com/scl/fi/l9hun9mw8fhz8ofvzfipq/9995964336943_01_01.wav?rlkey=4nmkll6vzpwltdqvvpw8npkxr&amp;st=2s4i28w7&amp;dl=1</t>
  </si>
  <si>
    <t>COL5K1801903</t>
  </si>
  <si>
    <t>https://www.dropbox.com/scl/fi/asa03x9p379gthkqklp5g/9995964336981_01_01.wav?rlkey=qwbntce9q82bedor6h8z8dtb0&amp;st=9syo8pw1&amp;dl=1</t>
  </si>
  <si>
    <t>COL5K1802003</t>
  </si>
  <si>
    <t>https://www.dropbox.com/scl/fi/s8lr637jiqazpfhyy4nzf/9995964337339_01_01.wav?rlkey=2ovgf84ghh0m5yb171txqv06l&amp;st=l49d2ea1&amp;dl=1</t>
  </si>
  <si>
    <t>COL5K1801904</t>
  </si>
  <si>
    <t>https://www.dropbox.com/scl/fi/1rw0e0dild3exvpwqwjl0/9995964337346_01_01.wav?rlkey=2rpnoatk60ods5fca1cqif5pp&amp;st=bdn2hcwn&amp;dl=1</t>
  </si>
  <si>
    <t>COL5K1801905</t>
  </si>
  <si>
    <t>https://www.dropbox.com/scl/fi/975zvxlty5i6u7hw0ht37/9995964338275_01_01.wav?rlkey=brvfjleksnq65qm7t1bntba47&amp;st=brkk3a63&amp;dl=1</t>
  </si>
  <si>
    <t>COL5K1902101</t>
  </si>
  <si>
    <t>https://www.dropbox.com/scl/fi/hv2vuncetqmnz9or7fnuy/9995964340322_01_01.wav?rlkey=q6s5uuj9l4xsl4eoedm8itz7a&amp;st=nme7qt8r&amp;dl=1</t>
  </si>
  <si>
    <t>COL5K1902102</t>
  </si>
  <si>
    <t>https://www.dropbox.com/scl/fi/e4qsh8ojnz2hbpsg1rc68/9995964340483_01_01.wav?rlkey=upa0h1kmzbr4whhbqi87notrb&amp;st=02vrn3vu&amp;dl=1</t>
  </si>
  <si>
    <t>COL5K1902103</t>
  </si>
  <si>
    <t>https://www.dropbox.com/scl/fi/dxtd46tiqa6ma9gn7106t/9995964340612_01_01.wav?rlkey=vz8rxnqkt3kdvg989ecbvq63o&amp;st=657n1wqq&amp;dl=1</t>
  </si>
  <si>
    <t>COL5K1902104</t>
  </si>
  <si>
    <t>https://www.dropbox.com/scl/fi/0jgjwugldnbxhutkp85s5/9995964340759_01_01.wav?rlkey=cdgufx3bgttc7nt9glv9car8j&amp;st=ap87xob4&amp;dl=1</t>
  </si>
  <si>
    <t>COL5K1902105</t>
  </si>
  <si>
    <t>https://www.dropbox.com/scl/fi/emnn35sfibznul8vw6re4/9995964340933_01_01.wav?rlkey=ttkzmpxw11qpqiiyudhc3kpq9&amp;st=eweqgiwj&amp;dl=1</t>
  </si>
  <si>
    <t>COL5K1902106</t>
  </si>
  <si>
    <t>Acoustic</t>
  </si>
  <si>
    <t>https://www.dropbox.com/scl/fi/1oylxl8l8isnao8fsb1hb/9995964340933_01_02.wav?rlkey=4qn3k8ej2pzid77h2skcublq6&amp;st=6udhspxb&amp;dl=1</t>
  </si>
  <si>
    <t>COL5K1902107</t>
  </si>
  <si>
    <t>https://www.dropbox.com/scl/fi/9d3uovw7e9b2hp5g2m2mx/9995964341268_01_01.wav?rlkey=w8z7bhmpu6ftx9hurqkc4a3zq&amp;st=ybdffesx&amp;dl=1</t>
  </si>
  <si>
    <t>COL5K1902108</t>
  </si>
  <si>
    <t>https://www.dropbox.com/scl/fi/m03xvl8d1mzr2xmm7wpln/9995964341831_01_01.wav?rlkey=kj29t2a2bqa4e65uh4vcmqr4g&amp;st=swwo91r7&amp;dl=1</t>
  </si>
  <si>
    <t>COL5K1902201</t>
  </si>
  <si>
    <t>https://www.dropbox.com/scl/fi/kl1sto663kgarci68ooij/9995964342975_01_01.wav?rlkey=ypuuyoisg6zp0owo6bjgdljvo&amp;st=cqknj04k&amp;dl=1</t>
  </si>
  <si>
    <t>COL5K1902202</t>
  </si>
  <si>
    <t>https://www.dropbox.com/scl/fi/iqqyzgzi7d3r9ydskvhoi/9995964343125_01_01.wav?rlkey=58yavh0gj0pemdp2km7fa3lqw&amp;st=leehlx7a&amp;dl=1</t>
  </si>
  <si>
    <t>COL5K1902203</t>
  </si>
  <si>
    <t>https://www.dropbox.com/scl/fi/0n8cb4kqen35o2f65w9c0/9995964343309_01_01.wav?rlkey=2onxuw0p36s7vgov7iwth4bu2&amp;st=5c4dlrzv&amp;dl=1</t>
  </si>
  <si>
    <t>COL5K1902204</t>
  </si>
  <si>
    <t>https://www.dropbox.com/scl/fi/16lkamu4z33ixu351mdhb/9995964343538_01_01.wav?rlkey=ng32e2u35gthtionq94czbinz&amp;st=c2n20iyu&amp;dl=1</t>
  </si>
  <si>
    <t>COL5K1902205</t>
  </si>
  <si>
    <t>https://www.dropbox.com/scl/fi/bb60agcs520fayoyas8dz/9995964343910_01_01.wav?rlkey=5ol699nendjhq2ni4tiiktqs0&amp;st=fl6vg4rw&amp;dl=1</t>
  </si>
  <si>
    <t>COL5K1902301</t>
  </si>
  <si>
    <t>https://www.dropbox.com/scl/fi/3f7ggi7geey6osev3zrao/9995964351885_01_01.wav?rlkey=get6yxmibxm1x4j38bzf3ca2x&amp;st=u11bpmsb&amp;dl=1</t>
  </si>
  <si>
    <t>COL5K2002901</t>
  </si>
  <si>
    <t>https://www.dropbox.com/scl/fi/oqmcwzmrrs9d0qdswrmx7/9995964366117_01_01.wav?rlkey=3g3z221nz50sy6n6tbtp2ujbj&amp;st=i1vv1tht&amp;dl=1</t>
  </si>
  <si>
    <t>COL5K2002802</t>
  </si>
  <si>
    <t>https://www.dropbox.com/scl/fi/q9u8kn48fpeqep192whkb/9995964367343_01_01.wav?rlkey=c7lyff5cj0qjuef1cvkm5nbh1&amp;st=r3z6bkot&amp;dl=1</t>
  </si>
  <si>
    <t>COL5K2002803</t>
  </si>
  <si>
    <t>https://www.dropbox.com/scl/fi/nvvsw92skyc6jcrbpydl2/9995964368173_01_01.wav?rlkey=6eggg3znb7tbpe1fxjch5gq0y&amp;st=4wdew6he&amp;dl=1</t>
  </si>
  <si>
    <t>COL5K2003001</t>
  </si>
  <si>
    <t>https://www.dropbox.com/scl/fi/g9el2guwvmm0b5uxdbt0z/9999552111417_01_01.wav?rlkey=uc5fhulk2q4p9nfrhuf7c2vs7&amp;st=7we6o81q&amp;dl=1</t>
  </si>
  <si>
    <t>TRACK LEVEL - Artist&lt;&gt;ISRC/ID: One Arist per row.  If a Track has multiple Artists, add the same Track ISRC/ID to a new row for each Artist.</t>
  </si>
  <si>
    <t>from Release_Track tab</t>
  </si>
  <si>
    <t>auto-fills if Track Code/Id matches 
Code/Id in Release_Track tab</t>
  </si>
  <si>
    <t>ONE ARTIST PER ROW
select from Artists list, start typing or drag</t>
  </si>
  <si>
    <t>if(A5&lt;&gt;"",countif('5) Release_Track'!F:F,A5),countif('5) Release_Track'!G:G,B5))</t>
  </si>
  <si>
    <t>sort(if(countif($A$5:$A&amp;$B$5:$B,'5) Release_Track'!$F$5:$F&amp;'5) Release_Track'!$G$5:$G)=0,'5) Release_Track'!$F$5:$F&amp;" "&amp;'5) Release_Track'!$G$5:$G,))</t>
  </si>
  <si>
    <t>IF(NOT(ISBLANK(A5)),COUNTIF('5) Release_Track'!F:F,A5),COUNTIF('5) Release_Track'!G:G,B5))</t>
  </si>
  <si>
    <t>sort(if(countif(filter($A:$B,$F:$F="Main Primary Artist"),'5) Release_Track'!$F$5:$G)=0,'5) Release_Track'!$F$5:$G,))</t>
  </si>
  <si>
    <t>sort(if(countif(filter($A:$B,$F:$F="Main Primary Artist"),'5) Release_Track'!$F$5:$G)&gt;1,'5) Release_Track'!$F$5:$G,))</t>
  </si>
  <si>
    <t>List all Composition Parties to Import</t>
  </si>
  <si>
    <t>List all Compostion Publishers to Import</t>
  </si>
  <si>
    <t>Composition Contributor</t>
  </si>
  <si>
    <t>Contributor Country</t>
  </si>
  <si>
    <t>IPI/CAE</t>
  </si>
  <si>
    <t>Publisher Name</t>
  </si>
  <si>
    <t>Publisher Country</t>
  </si>
  <si>
    <t>Only publishers that manage compositions.
Do not include publishers that are self-publishing.</t>
  </si>
  <si>
    <t>DJ Intense</t>
  </si>
  <si>
    <t>Rajesh Chalotra</t>
  </si>
  <si>
    <t>TRACK LEVEL - Composition&lt;&gt;ISRC/ID: One composition Contributor per row.  If a Track has multiple Contributors, add the same Track ISRC/ID to a new row for each Contributor.</t>
  </si>
  <si>
    <t>LYRICS
LANGUAGE</t>
  </si>
  <si>
    <t>COMPOSITION CONTRIBUTOR</t>
  </si>
  <si>
    <t>ROLE</t>
  </si>
  <si>
    <t>SHARE%</t>
  </si>
  <si>
    <t>TOTAL%</t>
  </si>
  <si>
    <t>PUBLISHING</t>
  </si>
  <si>
    <t>PUBLISHER</t>
  </si>
  <si>
    <t>(select from Comp Contributors list, start typing or drag)</t>
  </si>
  <si>
    <t>read note</t>
  </si>
  <si>
    <t>auto sums</t>
  </si>
  <si>
    <t>fill out ONLY when 'Published' selected</t>
  </si>
  <si>
    <t>Composer</t>
  </si>
  <si>
    <t>Published (managed by a publisher)</t>
  </si>
  <si>
    <t>Composer &amp; Lyricist</t>
  </si>
  <si>
    <t>TRACK LEVEL - Special Audio Properties&lt;&gt;ISRC/ID: Relates to the track's recording, meaning its master metadata.  (Multiple options can be selected for each track)</t>
  </si>
  <si>
    <t>SPECIAL AUDIO PROPERTIES</t>
  </si>
  <si>
    <t>REMIX or 
DERIVATIVE</t>
  </si>
  <si>
    <t>SAMPLES
or STOCK</t>
  </si>
  <si>
    <t>MIx or 
COMPILATION</t>
  </si>
  <si>
    <t>ALTERNATE 
VERSION</t>
  </si>
  <si>
    <t>SPECIAL
GENRE</t>
  </si>
  <si>
    <t>NON MUSICAL
CONTENT</t>
  </si>
  <si>
    <t>INCLUDES
 AI</t>
  </si>
  <si>
    <t>NONE APPLY</t>
  </si>
  <si>
    <t>DO NOT REMOVE THESE COLUMNS</t>
  </si>
  <si>
    <t>GENRES</t>
  </si>
  <si>
    <t>Genre ID</t>
  </si>
  <si>
    <t>Language</t>
  </si>
  <si>
    <t>Language ID</t>
  </si>
  <si>
    <t>Track Type</t>
  </si>
  <si>
    <t>Track Type ID</t>
  </si>
  <si>
    <t>RightsName</t>
  </si>
  <si>
    <t>RightsId</t>
  </si>
  <si>
    <t>Composition Role</t>
  </si>
  <si>
    <t>Track Properties</t>
  </si>
  <si>
    <t>TrackRecordingFileFormats</t>
  </si>
  <si>
    <t>Country</t>
  </si>
  <si>
    <t>This genre list is the same as the one used by iTunes/Apple Music. If you wish to use a genre that isn't listed, please select the closest match.</t>
  </si>
  <si>
    <t>Album</t>
  </si>
  <si>
    <t>Acoustic Blues</t>
  </si>
  <si>
    <t>Abkhazian</t>
  </si>
  <si>
    <t>Cover</t>
  </si>
  <si>
    <t>Copyright control (self-published)</t>
  </si>
  <si>
    <t>Adaptor</t>
  </si>
  <si>
    <t>Remix or Derivative</t>
  </si>
  <si>
    <t>Afghanistan</t>
  </si>
  <si>
    <t>Subgenres can also be used as genres.</t>
  </si>
  <si>
    <t>EP</t>
  </si>
  <si>
    <t>Adult Alternative</t>
  </si>
  <si>
    <t>-- KEY ARTIST --</t>
  </si>
  <si>
    <t>Afar</t>
  </si>
  <si>
    <t>Arranger</t>
  </si>
  <si>
    <t>Samples or Stock</t>
  </si>
  <si>
    <t>flac</t>
  </si>
  <si>
    <t>Aland Islands</t>
  </si>
  <si>
    <t>Genres</t>
  </si>
  <si>
    <t>Subgenre</t>
  </si>
  <si>
    <t>Single</t>
  </si>
  <si>
    <t>Adult Contemporary</t>
  </si>
  <si>
    <t>Afrikaans</t>
  </si>
  <si>
    <t>Public domain</t>
  </si>
  <si>
    <t>Public domain (no publisher)</t>
  </si>
  <si>
    <t>Mix or Compilation</t>
  </si>
  <si>
    <t>mp3</t>
  </si>
  <si>
    <t>Albania</t>
  </si>
  <si>
    <t>Name</t>
  </si>
  <si>
    <t>Keywords</t>
  </si>
  <si>
    <t>Video</t>
  </si>
  <si>
    <t>African</t>
  </si>
  <si>
    <t>Akan</t>
  </si>
  <si>
    <t>Undeclared</t>
  </si>
  <si>
    <t>Alternate Version</t>
  </si>
  <si>
    <t>Algeria</t>
  </si>
  <si>
    <t>|Africa|Morocco|</t>
  </si>
  <si>
    <t>Ringtone</t>
  </si>
  <si>
    <t>African Dancehall</t>
  </si>
  <si>
    <t>Remixer</t>
  </si>
  <si>
    <t>Albanian</t>
  </si>
  <si>
    <t>Income Participant</t>
  </si>
  <si>
    <t>Special Genre</t>
  </si>
  <si>
    <t>American Samoa</t>
  </si>
  <si>
    <t>Alternative</t>
  </si>
  <si>
    <t>|00s Alternative|10s Alternative|80s Alternative|90s Alternative|Alt-Rock|Alt. Rock|Alternative Rock|Alternative-Rock|</t>
  </si>
  <si>
    <t>Britpop</t>
  </si>
  <si>
    <t>|Brit-Pop|Brit Pop|Brit Pop/Brit Rock|</t>
  </si>
  <si>
    <t>African Reggae</t>
  </si>
  <si>
    <t>Amharic</t>
  </si>
  <si>
    <t>Lyricist</t>
  </si>
  <si>
    <t>Non-Musical Content</t>
  </si>
  <si>
    <t>Americas</t>
  </si>
  <si>
    <t>Anime</t>
  </si>
  <si>
    <t>|Cartoon Music|</t>
  </si>
  <si>
    <t>French Pop</t>
  </si>
  <si>
    <t>|French|Variete Francaise|French Rock|</t>
  </si>
  <si>
    <t>-- PRODUCER &amp; ENGINEER --</t>
  </si>
  <si>
    <t>Arabic</t>
  </si>
  <si>
    <t>Sub Arranger</t>
  </si>
  <si>
    <t>Includes AI</t>
  </si>
  <si>
    <t>Andorra</t>
  </si>
  <si>
    <t>|Arabic Belly-Dance|Arabic Children|Arabic Classic|Arabic Dance|Arabic Folklore|Arabic Rock|Arabic Romantic|Middle East|Middle Eastern|Pakistan|Rai|</t>
  </si>
  <si>
    <t>German Pop</t>
  </si>
  <si>
    <t>|German|German Rock|</t>
  </si>
  <si>
    <t>Afro House</t>
  </si>
  <si>
    <t>Aragonese</t>
  </si>
  <si>
    <t>Sub-Author</t>
  </si>
  <si>
    <t>Angola</t>
  </si>
  <si>
    <t>Blues</t>
  </si>
  <si>
    <t>|Blues Revival|Boogie Woogie|Harmonica Blues|Juke Joint Blues|Jump-Blues|New Orleans R&amp;B|Piano Blues|Piedmont Blues|Pre-War|Songster|Texas Blues|Traditional Blues|Urban Blues|Vaudeville Blues|Work Song|</t>
  </si>
  <si>
    <t>Indo Pop</t>
  </si>
  <si>
    <t>|Indo|</t>
  </si>
  <si>
    <t>Afro Soul</t>
  </si>
  <si>
    <t>Art Direction</t>
  </si>
  <si>
    <t>Armenian</t>
  </si>
  <si>
    <t>Translator</t>
  </si>
  <si>
    <t>Anguilla</t>
  </si>
  <si>
    <t>Brazilian</t>
  </si>
  <si>
    <t>|Afro|Afro Brazilian|Afro-Brazilian|Baiao|Boi Bumba|Bossa Nova|Brazil|Brazilian|Brazilian Afro|Brazilian Alternative/Indie|Brazilian Blues|Brazilian Boi Bumba|Brazilian Brega|Brazilian Caipira|Brazilian Candomble|Brazilian Capoiera|Brazilian Children's|Brazilian Children’s|Brazilian Christian|Brazilian Classical|Brazilian Gaucho|Brazilian Hip Hop|Brazilian Hip-Hop|Brazilian Instrumental|Brazilian Jovem Guarda|Brazilian Mangue Beat/Pernambuco|Brazilian Metal|Brazilian Pop|Brazilian Reggae|Brazilian Regional|Brazilian Rock|Brazilian Soul|Brazilian Spoken Word|Brazilian Tropicalia|Brazilian-Afro|Brazilian-Boi Bumba|Brazilian-Brega|Brazilian-Caipira|Brazilian-Candomble|Brazilian-Capoiera|Brazilian-Children's|Brazilian-Children’s|Brazilian-Christian|Brazilian-Classical|Brazilian-Gaucho|Brazilian-Instrumental|Brazilian-Jovem Guarda|Brazilian-Mangue Beat/Pernambuco|Brazilian-Regional|Brazilian-Spoken Word|Brazilian-Tropicalia|Brega|Caipira|Candomble|Capoiera|Funk Carioca|Gaucho|Jovem Guarda|Mangue Beat/Pernambuco|Musica Religiosa|Pop Brasileiro|Tropicalia|</t>
  </si>
  <si>
    <t>J-Pop</t>
  </si>
  <si>
    <t>Afro-Beat</t>
  </si>
  <si>
    <t>Artwork</t>
  </si>
  <si>
    <t>Assamese</t>
  </si>
  <si>
    <t>Writer</t>
  </si>
  <si>
    <t>Antarctica</t>
  </si>
  <si>
    <t>Children's Music</t>
  </si>
  <si>
    <t>|Ancient Tales|Children's|Children’s|Children's Classical|Children’s Classical|Circus|Educational|Horspiele Fur Kinder|Kindermusik|Portuguese Children's Music|Portuguese Children’s Music|Rhymes/Fairytales|Spanish Children's Music|Spanish Children’s Music|</t>
  </si>
  <si>
    <t>Kayokyoku</t>
  </si>
  <si>
    <t>Afro-Pop</t>
  </si>
  <si>
    <t>Assistant Director</t>
  </si>
  <si>
    <t>Avaric</t>
  </si>
  <si>
    <t>Antigua and Barbuda</t>
  </si>
  <si>
    <t>Chinese</t>
  </si>
  <si>
    <t>|Chinese Children's|Chinese Children’s|Chinese Comedy|Chinese Electrical|Chinese Instrumental|Chinese R&amp;B|Chinese Singer/Songwriter|Chinese Soundtrack|Chinese Soundtracks|Chinese Spoken Word|Chinese Vocalist|</t>
  </si>
  <si>
    <t>Malaysian Pop</t>
  </si>
  <si>
    <t>Afro-folk</t>
  </si>
  <si>
    <t>Assistant Mastering Engineer</t>
  </si>
  <si>
    <t>Avestan</t>
  </si>
  <si>
    <t>Argentina</t>
  </si>
  <si>
    <t>Christian &amp; Gospel</t>
  </si>
  <si>
    <t>|Alt Contemporary Christian|Christian|Christian/Gospel|Contemporary Christian|</t>
  </si>
  <si>
    <t>Mandopop</t>
  </si>
  <si>
    <t>|Mandarin Pop|Mandarin-Pop|</t>
  </si>
  <si>
    <t>Afro-fusion</t>
  </si>
  <si>
    <t>Assistant Mixing Engineer</t>
  </si>
  <si>
    <t>Aymara</t>
  </si>
  <si>
    <t>Armenia</t>
  </si>
  <si>
    <t>Classical</t>
  </si>
  <si>
    <t>|Ballet|Classical Period|Classical Sacred|Zarzuela|</t>
  </si>
  <si>
    <t>Manilla Sound</t>
  </si>
  <si>
    <t>Afrobeats</t>
  </si>
  <si>
    <t>Assistant Producer</t>
  </si>
  <si>
    <t>Azerbaijani</t>
  </si>
  <si>
    <t>Aruba</t>
  </si>
  <si>
    <t>Comedy</t>
  </si>
  <si>
    <t>|Blue Humor|Christian Comedy|Ethnic Comedy|Gay Comedy|Musical Comedy|Observational Humor|Political Humor|Prank Calls|Radio Comedy|Satire|Sketch Comedy|Standup|</t>
  </si>
  <si>
    <t>Oldies</t>
  </si>
  <si>
    <t>Alte</t>
  </si>
  <si>
    <t>Assistant Recording Engineer</t>
  </si>
  <si>
    <t>Bambara</t>
  </si>
  <si>
    <t>Australia</t>
  </si>
  <si>
    <t>|Classic Country|Country Boogie|Country Folk|Country Pop|Country-Pop|Country Singer-Songwriter|Country Singer/Songwriter|Live Country|Nashville Sound/Countrypolitan|Old-Timey|String Bands|Western Swing|Yodeling|</t>
  </si>
  <si>
    <t>Original Pilipino Music</t>
  </si>
  <si>
    <t>Assistant Sound Engineer</t>
  </si>
  <si>
    <t>Bashkir</t>
  </si>
  <si>
    <t>Austria</t>
  </si>
  <si>
    <t>Cuban</t>
  </si>
  <si>
    <t>|Cuba|</t>
  </si>
  <si>
    <t>Pinoy Pop</t>
  </si>
  <si>
    <t>Alternative &amp; Rock in Spanish</t>
  </si>
  <si>
    <t>Co-Producer</t>
  </si>
  <si>
    <t>Basque</t>
  </si>
  <si>
    <t>Azerbaijan</t>
  </si>
  <si>
    <t>Dance</t>
  </si>
  <si>
    <t>|Abstract|Acid Jazz|Acid-Jazz|Big Beat|Chill|Chill Out|Club/Dance|Dance Compilations|Dance Crossover|Dark|Dark Wave|DJ|DJ Mix|Euro-Beat|Euro-Dance|Dance/Electronic|Freestyle|Funky Breaks|Future Pop-Synth|Gabba|Glitch|Global Groove|Gloom Wave|Groove|Illbient|Newbeat|Nu Breaks|Nu-Jazz/Broken Beat|Psychedelic|Rave|Remix|Space|Tribal|Trip Hop|</t>
  </si>
  <si>
    <t>Pop/Rock</t>
  </si>
  <si>
    <t>Alternative Country</t>
  </si>
  <si>
    <t>Cover Art</t>
  </si>
  <si>
    <t>Belarusian</t>
  </si>
  <si>
    <t>Bahamas</t>
  </si>
  <si>
    <t>Disney</t>
  </si>
  <si>
    <t>Shows</t>
  </si>
  <si>
    <t>Alternative Folk</t>
  </si>
  <si>
    <t>Creative Director</t>
  </si>
  <si>
    <t>Bengali</t>
  </si>
  <si>
    <t>Bahrain</t>
  </si>
  <si>
    <t>Easy Listening</t>
  </si>
  <si>
    <t>Soft Rock</t>
  </si>
  <si>
    <t>Alternative Rap</t>
  </si>
  <si>
    <t>Engineer</t>
  </si>
  <si>
    <t>Bhojpuri</t>
  </si>
  <si>
    <t>Bangladesh</t>
  </si>
  <si>
    <t>Electronic</t>
  </si>
  <si>
    <t>|Electro|Electro Dark|Electroclash|Electropop|Electronic 12-inches|Electronic Dub|</t>
  </si>
  <si>
    <t>Tai-Pop</t>
  </si>
  <si>
    <t>|Tai|</t>
  </si>
  <si>
    <t>Amapiano</t>
  </si>
  <si>
    <t>Executive Producer</t>
  </si>
  <si>
    <t>Barbados</t>
  </si>
  <si>
    <t>Fitness &amp; Workout</t>
  </si>
  <si>
    <t>|Exercise|</t>
  </si>
  <si>
    <t>Teen Pop</t>
  </si>
  <si>
    <t>|Teen|</t>
  </si>
  <si>
    <t>Ambient</t>
  </si>
  <si>
    <t>Illustration</t>
  </si>
  <si>
    <t>Bihari languages</t>
  </si>
  <si>
    <t>Belarus</t>
  </si>
  <si>
    <t>Folk</t>
  </si>
  <si>
    <t>|Modern Folk|Neo Folk|Neo-Folk|</t>
  </si>
  <si>
    <t>Thai Pop</t>
  </si>
  <si>
    <t>|Thai|</t>
  </si>
  <si>
    <t>American Trad Rock</t>
  </si>
  <si>
    <t>Mastering Engineer</t>
  </si>
  <si>
    <t>Bislama</t>
  </si>
  <si>
    <t>Belgium</t>
  </si>
  <si>
    <t>Hip Hop/Rap</t>
  </si>
  <si>
    <t>|00s Hip-Hop|10s Hip-Hop|80s Hip-Hop|90s Hip-Hop|A Cappellas|Beats &amp; Breaks|Comedy Rap|Electro-Funk|Foreign Language Rap|French Hip-Hop|German Hip-Hop|Grime|Hip-Hop Hitmakers|Hip-Hop/Rap|Indie/Underground Hip-Hop|Instrumental Hip-Hop|International Hip-Hop|Italian Hip-Hop|Midwest Hip-Hop|New Jack Swing|Southern Hip-Hop|Turntablism|UK Hip-Hop|</t>
  </si>
  <si>
    <t>|Adult Alternative Pop/Rock|Adult Contemporary|Commercial Alternative|</t>
  </si>
  <si>
    <t>Americana</t>
  </si>
  <si>
    <t>Mixer</t>
  </si>
  <si>
    <t>Bosnian</t>
  </si>
  <si>
    <t>Belize</t>
  </si>
  <si>
    <t>Holiday</t>
  </si>
  <si>
    <t>|Buddhist|Hindu|Kwaanza|Muslim|Zorastrian|Holiday: Other|Holiday - Other|Holiday Other|</t>
  </si>
  <si>
    <t>|Americana|</t>
  </si>
  <si>
    <t>Mixing Engineer</t>
  </si>
  <si>
    <t>Breton</t>
  </si>
  <si>
    <t>Benin</t>
  </si>
  <si>
    <t>Indian</t>
  </si>
  <si>
    <t>|Indian DJ|Indian-DJ|Indian-Fusion|Indian Fusion|</t>
  </si>
  <si>
    <t>Arena Rock</t>
  </si>
  <si>
    <t>|Arena|</t>
  </si>
  <si>
    <t>Arabesque</t>
  </si>
  <si>
    <t>Package Design</t>
  </si>
  <si>
    <t>Bulgarian</t>
  </si>
  <si>
    <t>Bermuda</t>
  </si>
  <si>
    <t>Indian Classical</t>
  </si>
  <si>
    <t>Blues-Rock</t>
  </si>
  <si>
    <t>|Blues Rock|</t>
  </si>
  <si>
    <t>Photographer</t>
  </si>
  <si>
    <t>Burmese</t>
  </si>
  <si>
    <t>Bhutan</t>
  </si>
  <si>
    <t>Inspirational</t>
  </si>
  <si>
    <t>British Invasion</t>
  </si>
  <si>
    <t>Arabic Pop</t>
  </si>
  <si>
    <t>Post-Production</t>
  </si>
  <si>
    <t>Cantonese</t>
  </si>
  <si>
    <t>Bolivia</t>
  </si>
  <si>
    <t>Instrumental</t>
  </si>
  <si>
    <t>Death Metal/Black Metal</t>
  </si>
  <si>
    <t>|Black|Black/Death Metal|Death|Doom|Doom Metal|</t>
  </si>
  <si>
    <t>Production Assistant</t>
  </si>
  <si>
    <t>Catalan</t>
  </si>
  <si>
    <t>Bonaire, Sint Eustatius and Saba</t>
  </si>
  <si>
    <t>Jazz</t>
  </si>
  <si>
    <t>|African Jazz|Bop|Brass Bands|Cabaret|Classic Jazz|Electronic Jazz|Free Jazz|Funk Jazz|Jazz/Blues|Jazz Vocals|Jive|Live Jazz|Post-Bop|Progressive Jazz|Soul Jazz|</t>
  </si>
  <si>
    <t>Glam Rock</t>
  </si>
  <si>
    <t>|Glam|</t>
  </si>
  <si>
    <t>Art Song</t>
  </si>
  <si>
    <t>Recording Engineer</t>
  </si>
  <si>
    <t>Central Khmer</t>
  </si>
  <si>
    <t>Bosnia and Herzegovina</t>
  </si>
  <si>
    <t>Karaoke</t>
  </si>
  <si>
    <t>Hair Metal</t>
  </si>
  <si>
    <t>|Hair Band|</t>
  </si>
  <si>
    <t>Asia</t>
  </si>
  <si>
    <t>Sound Editor</t>
  </si>
  <si>
    <t>Chamorro</t>
  </si>
  <si>
    <t>Botswana</t>
  </si>
  <si>
    <t>Korean</t>
  </si>
  <si>
    <t>|Korean Ballads|Korean CCM|Korean Children's Music|Korean Dance/Electronic|Korean OST|Korean R&amp;B|Korean Religion|Korean Trot|</t>
  </si>
  <si>
    <t>Hard Rock</t>
  </si>
  <si>
    <t>Sound Engineer</t>
  </si>
  <si>
    <t>Chechen</t>
  </si>
  <si>
    <t>Bouvet Island</t>
  </si>
  <si>
    <t>Latin</t>
  </si>
  <si>
    <t>|Afro-Cuban|Afro-Peruvian|Argentine Folklore|Bachata|Banda|Big Band Latino|Bomba|Can|Candombe|Cantautor|Caribbean|Cha Cha Cha|Conjunto|Copla|Cuatro|Cumbia|Danzon|Guaganco|Italian|Jibaro|Latin Folk|Latin Music|Latin Soul|Mariachi|Merengue|Norte|Nueva Canci|Pachanga|Piena|Quechua|Ranchero|Rumba|Son|Spanish|Tejano|Toque|Trova|Vallenato|</t>
  </si>
  <si>
    <t>Heavy Metal</t>
  </si>
  <si>
    <t>|70's Metal|70’s Metal|80's Metal|80’s Metal|90's Metal|90’s Metal|Alt Metal|British Metal|Classic Metal|Funk Metal|Glitter|Goth-Metal|Grindcore|Guitar Virtuoso|Heavy|Industrial Metal|Instrumental Metal|Metal|Metal/Punk|Metalcore|Neo-Classical Metal|New Wave of British Heavy Metal|Pop-Metal|Pop Metal|Power Metal|Progressive Metal|Punk Metal|Rap Metal|Scandinavian Metal|Sludge|Sludge Metal|Speed|Speedcore|Speed Metal|Stoner Metal|Stoner Rock|Straight-Edge|Teenager|Thrash|Thrash/Speed Metal|</t>
  </si>
  <si>
    <t>Tonmeister</t>
  </si>
  <si>
    <t>Chichewa</t>
  </si>
  <si>
    <t>Brazil</t>
  </si>
  <si>
    <t>Marching Bands</t>
  </si>
  <si>
    <t>Jam Bands</t>
  </si>
  <si>
    <t>|Jam Band|Jam Rock|</t>
  </si>
  <si>
    <t>Avant-Garde</t>
  </si>
  <si>
    <t>Vocal Producer</t>
  </si>
  <si>
    <t>Chinese Simplified</t>
  </si>
  <si>
    <t>British Indian Ocean Territory</t>
  </si>
  <si>
    <t>New Age</t>
  </si>
  <si>
    <t>|Ambient/Atmospheres|Contemporary Instrumental|Electro-Acoustic|Ethnic Fusion|Minimalism|Neo-Classical|(New Age) Instrumental|Self-Help|Self Help|Spiritual|</t>
  </si>
  <si>
    <t>Prog-Rock/Art Rock</t>
  </si>
  <si>
    <t>|Art Rock|Art-Rock|Experimental Rock|Krautrock|Progressive Rock|Progressive/Art Rock|Prog-Rock|Post-Rock/Experimental|Post-Rock|Synthrock|</t>
  </si>
  <si>
    <t>Avant-Garde Jazz</t>
  </si>
  <si>
    <t>-- PERFORMER --</t>
  </si>
  <si>
    <t>Chinese Traditional</t>
  </si>
  <si>
    <t>British Virgin Islands</t>
  </si>
  <si>
    <t>Opera</t>
  </si>
  <si>
    <t>Psychedelic</t>
  </si>
  <si>
    <t>|Psychedelic Rock|Psychobilly|</t>
  </si>
  <si>
    <t>Axé</t>
  </si>
  <si>
    <t>Singer</t>
  </si>
  <si>
    <t>Church Slavic</t>
  </si>
  <si>
    <t>Brunei Darussalam</t>
  </si>
  <si>
    <t>Orchestral</t>
  </si>
  <si>
    <t>Rock &amp; Roll</t>
  </si>
  <si>
    <t>|50s Rock 'n' Roll|Rock 'n' Roll|Rock and Roll|</t>
  </si>
  <si>
    <t>Bachata</t>
  </si>
  <si>
    <t>Alto</t>
  </si>
  <si>
    <t>Chuvash</t>
  </si>
  <si>
    <t>Bulgaria</t>
  </si>
  <si>
    <t>Pop</t>
  </si>
  <si>
    <t>|50s Pop|60s Pop|70s Pop|80s Pop|90s Pop|00s Pop|10s Pop|Bubble Gum|Chamber Pop|Dance-Pop|Dance Pop|Diva|Dream Pop|Dream-Pop|Euro-Pop|Girl Group|Parody|Power Pop|Power-Pop|</t>
  </si>
  <si>
    <t>Rockabilly</t>
  </si>
  <si>
    <t>Baile Funk</t>
  </si>
  <si>
    <t>Baritone</t>
  </si>
  <si>
    <t>Cornish</t>
  </si>
  <si>
    <t>Burkina Faso</t>
  </si>
  <si>
    <t>R&amp;B/Soul</t>
  </si>
  <si>
    <t>|Classic R&amp;B|Funk|Go-Go|Golden Age|Quiet Storm|R&amp;B|R&amp;B Pop Crossover|R&amp;B Rap mix|R&amp;B Soul|R&amp;B-Soul|R&amp;B/Soul Gospel|Rhythm &amp; Blues|Soul / R&amp;B|Traditional R&amp;B|Urban|Urban Adult Contemporary|Urban/R&amp;B|</t>
  </si>
  <si>
    <t>Roots Rock</t>
  </si>
  <si>
    <t>Baladas y Boleros</t>
  </si>
  <si>
    <t>Chorus</t>
  </si>
  <si>
    <t>Corsican</t>
  </si>
  <si>
    <t>Burundi</t>
  </si>
  <si>
    <t>Reggae</t>
  </si>
  <si>
    <t>|Ragga|Reggae Gospel|Reggae/Ska|</t>
  </si>
  <si>
    <t>Singer/Songwriter</t>
  </si>
  <si>
    <t>Baroque Era</t>
  </si>
  <si>
    <t>Conductor</t>
  </si>
  <si>
    <t>Cree</t>
  </si>
  <si>
    <t>Cambodia</t>
  </si>
  <si>
    <t>Regional Indian</t>
  </si>
  <si>
    <t>|Bhangra|Hindi|Hindi Devotional|Hindi Film|Hindi Non-Film|Indian Bhangra|Indian Hindi|Indian Hindi Devotional|Indian Hindi Film|Indian Hindi Non Film|Indian Konkani|Indian Oriya|Indian Oriya Film|Indian Regional|Indian-Bhangra|Indian-Hindi|Indian-Hindi Devotional|Indian-Hindi Film|Indian-Hindi Non-Film|Indian-Konkani|Indian-Oriya|Indian-Oriya Film|Konkani|Oriya|Oriya Film|</t>
  </si>
  <si>
    <t>Southern Rock</t>
  </si>
  <si>
    <t>Bass</t>
  </si>
  <si>
    <t>Ensemble</t>
  </si>
  <si>
    <t>Croatian</t>
  </si>
  <si>
    <t>Cameroon</t>
  </si>
  <si>
    <t>Rock</t>
  </si>
  <si>
    <t>|00s Rock|00's Rock|10s Rock|10's Rock|60s Rock|60's Rock|70s Rock|70's Rock|80's|80s Rock|90s Rock|90's Rock|Boogie Rock|Classic Rock|Country Rock|Country-Rock|Digital Rock|Digital-Rock|Drone|Duro|Electronic Rock|Electrorock|Folk Rock|Folk-Rock|Foreign Language Rock|Funk Rock|Garage Rock|Goth|Grunge|Indie Rock|Instrumental Rock|Instrumental-Rock|Live Rock|Lo-fi|Math Rock|Modern Rock|New Wave|New-Wave|Noise-Rock|Pop Rock|Pop-Rock|Proto-Punk|Radical|Rock Brasileiro|Rock Instrumental|Rock-Instrumental|Soft Rock|Techno Rock|Techno-rock|Urbano|</t>
  </si>
  <si>
    <t>Surf</t>
  </si>
  <si>
    <t>Bebop</t>
  </si>
  <si>
    <t>Mezzo Soprano</t>
  </si>
  <si>
    <t>Czech</t>
  </si>
  <si>
    <t>Canada</t>
  </si>
  <si>
    <t>|Singer-Songwriter|</t>
  </si>
  <si>
    <t>Tex-Mex</t>
  </si>
  <si>
    <t>Benga</t>
  </si>
  <si>
    <t>Orchestra</t>
  </si>
  <si>
    <t>Danish</t>
  </si>
  <si>
    <t>Cape Verde</t>
  </si>
  <si>
    <t>Soundtrack</t>
  </si>
  <si>
    <t>|Radio|Soundtracks|Soundtracks/Cast Albums|</t>
  </si>
  <si>
    <t>|Ambient Dub|</t>
  </si>
  <si>
    <t>Soloist</t>
  </si>
  <si>
    <t>Divehi</t>
  </si>
  <si>
    <t>Cayman Islands</t>
  </si>
  <si>
    <t>Spoken Word</t>
  </si>
  <si>
    <t>|Comedy/Spoken Word/Other|Horbucher|Hörbücher|Horspiele|Hörspiele|Lectures|Poetry|</t>
  </si>
  <si>
    <t>Soprano</t>
  </si>
  <si>
    <t>Dutch</t>
  </si>
  <si>
    <t>Central African Republic</t>
  </si>
  <si>
    <t>Turkish</t>
  </si>
  <si>
    <t>|Turkish Arabesque|Turkish Ashik Songs|Turkish Blacksee Reg.|Turkish Children's|Turkish Children’s|Turkish Classical|Turkish Dance|Turkish Electronic|Turkish Hip Hop|Turkish Hip-Hop|Turkish Instrumental|Turkish Islamic and Sufi|Turkish Islamic Spoken|Turkish Jazz|Turkish Metal|Turkish New Age|Turkish Oriental|Turkish Poetry|Turkish Punk|Turkish Sountrack|Turkish Standup|Turkish Tango|Turkish Techno|Turkish Traditional|Turkish Trip Hop|Turkish World|Turkish Arabesk|</t>
  </si>
  <si>
    <t>Downtempo</t>
  </si>
  <si>
    <t>|Downbeat|</t>
  </si>
  <si>
    <t>Big Band</t>
  </si>
  <si>
    <t>Tenor</t>
  </si>
  <si>
    <t>Dzongkha</t>
  </si>
  <si>
    <t>Chad</t>
  </si>
  <si>
    <t>Vocal</t>
  </si>
  <si>
    <t>|Cocktail/Lounge|Female Vocalist|Male Vocalist|Vocal/Easy Listening|</t>
  </si>
  <si>
    <t>Dubstep</t>
  </si>
  <si>
    <t>Bluegrass</t>
  </si>
  <si>
    <t>Accordion</t>
  </si>
  <si>
    <t>English</t>
  </si>
  <si>
    <t>Chile</t>
  </si>
  <si>
    <t>World</t>
  </si>
  <si>
    <t>|Drinking Songs|Folklore|Indigenous|International Pop|Mediterranean|Music Francophone|Pacific Islands|Pan Global|South Pacific|World Chants|World Classical|World Country-Rock|World Electronic|World Electronica|World Folk|World Folklore|World Jazz|World Metal|World Music|World New Age|World Pop|World Punk|World R&amp;B|World Rock|World Soundtrack|World Soundtracks|</t>
  </si>
  <si>
    <t>Electronica</t>
  </si>
  <si>
    <t>Acoustic Baritone Guitar</t>
  </si>
  <si>
    <t>Esperanto</t>
  </si>
  <si>
    <t>China</t>
  </si>
  <si>
    <t>IDM/Experimental</t>
  </si>
  <si>
    <t>|I.D.M.|IDM Experimental|Experimental|</t>
  </si>
  <si>
    <t>Acoustic Bass Guitar</t>
  </si>
  <si>
    <t>Estonian</t>
  </si>
  <si>
    <t>Christmas Island</t>
  </si>
  <si>
    <t>Industrial</t>
  </si>
  <si>
    <t>Bolero</t>
  </si>
  <si>
    <t>Acoustic Fretless Guitar</t>
  </si>
  <si>
    <t>Ewe</t>
  </si>
  <si>
    <t>Cocos (Keeling) Islands</t>
  </si>
  <si>
    <t>Classic/Modern Dancehall</t>
  </si>
  <si>
    <t>|Dancehall|</t>
  </si>
  <si>
    <t>Bollywood</t>
  </si>
  <si>
    <t>Acoustic Guitar</t>
  </si>
  <si>
    <t>Faroese</t>
  </si>
  <si>
    <t>Colombia</t>
  </si>
  <si>
    <t>Dub</t>
  </si>
  <si>
    <t>Bongo-Flava</t>
  </si>
  <si>
    <t>Actor</t>
  </si>
  <si>
    <t>Fijian</t>
  </si>
  <si>
    <t>Comoros</t>
  </si>
  <si>
    <t>Lovers Rock</t>
  </si>
  <si>
    <t>Bossa Nova</t>
  </si>
  <si>
    <t>Alto Clarinet</t>
  </si>
  <si>
    <t>Finnish</t>
  </si>
  <si>
    <t>Congo</t>
  </si>
  <si>
    <t>Roots Reggae</t>
  </si>
  <si>
    <t>Brass &amp; Woodwinds</t>
  </si>
  <si>
    <t>Alto Flute</t>
  </si>
  <si>
    <t>French</t>
  </si>
  <si>
    <t>Cook Islands</t>
  </si>
  <si>
    <t>Ska</t>
  </si>
  <si>
    <t>|Rocksteady|Ska/Rocksteady|</t>
  </si>
  <si>
    <t>Alto Horn</t>
  </si>
  <si>
    <t>Fulah</t>
  </si>
  <si>
    <t>Costa Rica</t>
  </si>
  <si>
    <t>Breakbeat</t>
  </si>
  <si>
    <t>Alto Recorder</t>
  </si>
  <si>
    <t>Gaelic</t>
  </si>
  <si>
    <t>Cote D'Ivoire</t>
  </si>
  <si>
    <t>Contemporary Folk</t>
  </si>
  <si>
    <t>|Progressive Folk|</t>
  </si>
  <si>
    <t>Alto Saxophone</t>
  </si>
  <si>
    <t>Galician</t>
  </si>
  <si>
    <t>Croatia</t>
  </si>
  <si>
    <t>Contemporary Singer/Songwriter</t>
  </si>
  <si>
    <t>|Contemporary Singer-Songwriter|</t>
  </si>
  <si>
    <t>Alto Trombone</t>
  </si>
  <si>
    <t>Ganda</t>
  </si>
  <si>
    <t>Cuba</t>
  </si>
  <si>
    <t>Folk-Rock</t>
  </si>
  <si>
    <t>|Folk|</t>
  </si>
  <si>
    <t>CCM</t>
  </si>
  <si>
    <t>Alto Violin</t>
  </si>
  <si>
    <t>Georgian</t>
  </si>
  <si>
    <t>Curacao</t>
  </si>
  <si>
    <t>New Acoustic</t>
  </si>
  <si>
    <t>Cajun</t>
  </si>
  <si>
    <t>Alto Vocals</t>
  </si>
  <si>
    <t>German</t>
  </si>
  <si>
    <t>Cyprus</t>
  </si>
  <si>
    <t>Traditional Folk</t>
  </si>
  <si>
    <t>|Acoustic|Anti-Folk|Bluegrass|Chassidic|Field Recordings|Folk Revival|Folk Spoken Word|Folk Traditional|Gypsy|Historical|Jota|Jug Bands|Live Folk|Medieval Folk|Mediterranean Folk|Old Times|Political/Protest|Sardana|Scottish Folk|Sea Shanties|Sepharad|Skiffle|</t>
  </si>
  <si>
    <t>Calypso</t>
  </si>
  <si>
    <t>Appalachian Dulcimer</t>
  </si>
  <si>
    <t>Greek</t>
  </si>
  <si>
    <t>Czech Republic</t>
  </si>
  <si>
    <t>Cantata</t>
  </si>
  <si>
    <t>Archlute</t>
  </si>
  <si>
    <t>Guarani</t>
  </si>
  <si>
    <t>Democratic Republic of the Congo</t>
  </si>
  <si>
    <t>|Afro Beat|Afrobeat|</t>
  </si>
  <si>
    <t>Cantopop</t>
  </si>
  <si>
    <t>Assistant Conductor</t>
  </si>
  <si>
    <t>Gujarati</t>
  </si>
  <si>
    <t>Denmark</t>
  </si>
  <si>
    <t>|Afro Pop|African Pop|</t>
  </si>
  <si>
    <t>Caribbean</t>
  </si>
  <si>
    <t>Autoharp</t>
  </si>
  <si>
    <t>Haitian</t>
  </si>
  <si>
    <t>Djibouti</t>
  </si>
  <si>
    <t>Carnatic Classical</t>
  </si>
  <si>
    <t>Background Vocals</t>
  </si>
  <si>
    <t>Haryanvi</t>
  </si>
  <si>
    <t>Dominica</t>
  </si>
  <si>
    <t>|Central Asian|East Asia|Far Eastern|Gamelan|Indonesia|South Asia|Southeast Asian|</t>
  </si>
  <si>
    <t>Cello</t>
  </si>
  <si>
    <t>Baglama</t>
  </si>
  <si>
    <t>Dominican Republic</t>
  </si>
  <si>
    <t>|Australian|Australian Folk|Australian Indigenous|Australian Rock|Australia/South Pacific|Maori Traditional|</t>
  </si>
  <si>
    <t>Celtic</t>
  </si>
  <si>
    <t>Bagpipes</t>
  </si>
  <si>
    <t>Hausa</t>
  </si>
  <si>
    <t>Ecuador</t>
  </si>
  <si>
    <t>Celtic Folk</t>
  </si>
  <si>
    <t>Balafon</t>
  </si>
  <si>
    <t>Hebrew</t>
  </si>
  <si>
    <t>Egypt</t>
  </si>
  <si>
    <t>Chachacha</t>
  </si>
  <si>
    <t>Balalaika</t>
  </si>
  <si>
    <t>Herero</t>
  </si>
  <si>
    <t>El Salvador</t>
  </si>
  <si>
    <t>|Cap-verde|Mestizo|</t>
  </si>
  <si>
    <t>Chamber Music</t>
  </si>
  <si>
    <t>Band</t>
  </si>
  <si>
    <t>Hindi</t>
  </si>
  <si>
    <t>Equatorial Guinea</t>
  </si>
  <si>
    <t>Chant</t>
  </si>
  <si>
    <t>Bandoneon</t>
  </si>
  <si>
    <t>Hiri Motu</t>
  </si>
  <si>
    <t>Eritrea</t>
  </si>
  <si>
    <t>Chanukah</t>
  </si>
  <si>
    <t>Bandurria</t>
  </si>
  <si>
    <t>Hungarian</t>
  </si>
  <si>
    <t>Estonia</t>
  </si>
  <si>
    <t>Contemporary Celtic</t>
  </si>
  <si>
    <t>Chicago Blues</t>
  </si>
  <si>
    <t>Banjo</t>
  </si>
  <si>
    <t>Icelandic</t>
  </si>
  <si>
    <t>Eswatini</t>
  </si>
  <si>
    <t>Dangdut</t>
  </si>
  <si>
    <t>Bansuri</t>
  </si>
  <si>
    <t>Ido</t>
  </si>
  <si>
    <t>Ethiopia</t>
  </si>
  <si>
    <t>Dini</t>
  </si>
  <si>
    <t>Barbat</t>
  </si>
  <si>
    <t>Igbo</t>
  </si>
  <si>
    <t>Europe</t>
  </si>
  <si>
    <t>Enka</t>
  </si>
  <si>
    <t>Chinese Alt</t>
  </si>
  <si>
    <t>Baritone Guitar</t>
  </si>
  <si>
    <t>Indonesian</t>
  </si>
  <si>
    <t>Falkland Islands</t>
  </si>
  <si>
    <t>|Alternative/Indie Aus Deutschland|Asturias|Basque|Belgian|Castilla|Central Europe|Central European|Eastern Europe|Eastern European|English Folk|Levenslied|Galicia|Greece|Greek|Irish|Italy|Nordic|Portugal|Romanian|Romanian Manele|Scandinavian|Scottish|Schlager|Swiss|Viennese Folk|Western Europe|Western European|</t>
  </si>
  <si>
    <t>Chinese Classical</t>
  </si>
  <si>
    <t>Baritone Horn</t>
  </si>
  <si>
    <t>Interlingua</t>
  </si>
  <si>
    <t>Faroe Islands</t>
  </si>
  <si>
    <t>Fado</t>
  </si>
  <si>
    <t>|Novo Fado|</t>
  </si>
  <si>
    <t>Chinese Flute</t>
  </si>
  <si>
    <t>Baritone Vocals</t>
  </si>
  <si>
    <t>Interlingue</t>
  </si>
  <si>
    <t>Fiji</t>
  </si>
  <si>
    <t>Farsi</t>
  </si>
  <si>
    <t>Chinese Hip-Hop</t>
  </si>
  <si>
    <t>Baroque guitar</t>
  </si>
  <si>
    <t>Inuktitut</t>
  </si>
  <si>
    <t>Finland</t>
  </si>
  <si>
    <t>Flamenco</t>
  </si>
  <si>
    <t>|Nuevo Flamenco|</t>
  </si>
  <si>
    <t>Chinese Opera</t>
  </si>
  <si>
    <t>Barrel Organ</t>
  </si>
  <si>
    <t>Inupiaq</t>
  </si>
  <si>
    <t>France</t>
  </si>
  <si>
    <t>Chinese Orchestral</t>
  </si>
  <si>
    <t>Irish</t>
  </si>
  <si>
    <t>French Guiana</t>
  </si>
  <si>
    <t>German Folk</t>
  </si>
  <si>
    <t>Chinese Regional Folk</t>
  </si>
  <si>
    <t>Bass Clarinet</t>
  </si>
  <si>
    <t>Italian</t>
  </si>
  <si>
    <t>French Polynesia</t>
  </si>
  <si>
    <t>Halk</t>
  </si>
  <si>
    <t>|Turkish Folk|</t>
  </si>
  <si>
    <t>Chinese Rock</t>
  </si>
  <si>
    <t>Bass Drum</t>
  </si>
  <si>
    <t>Japanese</t>
  </si>
  <si>
    <t>French Southern Territories</t>
  </si>
  <si>
    <t>Hawaii</t>
  </si>
  <si>
    <t>Chinese Strings</t>
  </si>
  <si>
    <t>Bass Flute</t>
  </si>
  <si>
    <t>Javanese</t>
  </si>
  <si>
    <t>Gabon</t>
  </si>
  <si>
    <t>Iberia</t>
  </si>
  <si>
    <t>|Cantautores|Spanish Traditional|Spain|Spain-Asturias|Spain-Castillian|Spain-Galician|</t>
  </si>
  <si>
    <t>Choral</t>
  </si>
  <si>
    <t>Bass Guitar</t>
  </si>
  <si>
    <t>Kalaallisut</t>
  </si>
  <si>
    <t>Gambia</t>
  </si>
  <si>
    <t>Indonesian Religious</t>
  </si>
  <si>
    <t>Choro</t>
  </si>
  <si>
    <t>Bass Harmonica</t>
  </si>
  <si>
    <t>Kannada</t>
  </si>
  <si>
    <t>Georgia</t>
  </si>
  <si>
    <t>Israeli</t>
  </si>
  <si>
    <t>Bass Oboe</t>
  </si>
  <si>
    <t>Kanuri</t>
  </si>
  <si>
    <t>Germany</t>
  </si>
  <si>
    <t>Japan</t>
  </si>
  <si>
    <t>|J-Rock|Japan Anime|Japan Dance/Electronic|Japan Hip-Hop/Rap|Japanese Pop|Japan Rock|</t>
  </si>
  <si>
    <t>Christian Metal</t>
  </si>
  <si>
    <t>Bass Recorder</t>
  </si>
  <si>
    <t>Kashmiri</t>
  </si>
  <si>
    <t>Ghana</t>
  </si>
  <si>
    <t>Klezmer</t>
  </si>
  <si>
    <t>|Jewish Folk|</t>
  </si>
  <si>
    <t>Christian Pop</t>
  </si>
  <si>
    <t>Bass Saxaphone</t>
  </si>
  <si>
    <t>Kazakh</t>
  </si>
  <si>
    <t>Gibraltar</t>
  </si>
  <si>
    <t>North America</t>
  </si>
  <si>
    <t>|Native American|</t>
  </si>
  <si>
    <t>Christian Rap</t>
  </si>
  <si>
    <t>Bass Trombone</t>
  </si>
  <si>
    <t>Kikuyu</t>
  </si>
  <si>
    <t>Greece</t>
  </si>
  <si>
    <t>Polka</t>
  </si>
  <si>
    <t>Christian Rock</t>
  </si>
  <si>
    <t>Bass Trumpet</t>
  </si>
  <si>
    <t>Kinyarwanda</t>
  </si>
  <si>
    <t>Greenland</t>
  </si>
  <si>
    <t>Russian</t>
  </si>
  <si>
    <t>|Russian Alternative|Russian Banner Singing|Russian Bard Songs|Russian Church Choir Singing|Russian Estrada|Russian Folk|Russian Folk-Chastooshkas|Russian Folk-Cossack's singing|Russian Folk-Cossack’s singing|Russian Folk-Cossacks' chorus singing|Russian Folk-Cossacks’ chorus singing|Russian Folk-Feast songs|Russian Folk-Russian gypsy songs|Russian Folk-Russian humour|Russian Folk-Russian romances|Russian Folk-Weeping|Russian Great Patronimic War Songs|Russian Hard-rock|Russian Military Marches|Russian Military Songs|Russian National Music|Russian Opera|Russian Pop|Russian Revolution Songs|Russian Rock|Russian Symphonic|Russian WWI Songs|Soviet Times Songs|</t>
  </si>
  <si>
    <t>Christmas</t>
  </si>
  <si>
    <t>Bass Vocals</t>
  </si>
  <si>
    <t>Kirghiz</t>
  </si>
  <si>
    <t>Grenada</t>
  </si>
  <si>
    <t>Russian Chanson</t>
  </si>
  <si>
    <t>|Shanson|</t>
  </si>
  <si>
    <t>Christmas: Children's</t>
  </si>
  <si>
    <t>Basset Clarinet</t>
  </si>
  <si>
    <t>Komi</t>
  </si>
  <si>
    <t>Guadeloupe</t>
  </si>
  <si>
    <t>Sanat</t>
  </si>
  <si>
    <t>Christmas: Classic</t>
  </si>
  <si>
    <t>Basset Horn</t>
  </si>
  <si>
    <t>Kongo</t>
  </si>
  <si>
    <t>Guam</t>
  </si>
  <si>
    <t>Soca</t>
  </si>
  <si>
    <t>Christmas: Classical</t>
  </si>
  <si>
    <t>Bassoon</t>
  </si>
  <si>
    <t>Konkani</t>
  </si>
  <si>
    <t>Guatemala</t>
  </si>
  <si>
    <t>South Africa</t>
  </si>
  <si>
    <t>Christmas: Country</t>
  </si>
  <si>
    <t>Batá Drums</t>
  </si>
  <si>
    <t>Guernsey</t>
  </si>
  <si>
    <t>South America</t>
  </si>
  <si>
    <t>|Mexico|Peru|South American|</t>
  </si>
  <si>
    <t>Christmas: Jazz</t>
  </si>
  <si>
    <t>Beat Boxing</t>
  </si>
  <si>
    <t>Guinea</t>
  </si>
  <si>
    <t>Tango</t>
  </si>
  <si>
    <t>|Flamenco/Tango|</t>
  </si>
  <si>
    <t>Christmas: Modern</t>
  </si>
  <si>
    <t>Bells</t>
  </si>
  <si>
    <t>Kuanyama</t>
  </si>
  <si>
    <t>Guinea-Bissau</t>
  </si>
  <si>
    <t>Traditional Celtic</t>
  </si>
  <si>
    <t>Christmas: Pop</t>
  </si>
  <si>
    <t>Bendir</t>
  </si>
  <si>
    <t>Kurdish</t>
  </si>
  <si>
    <t>Guyana</t>
  </si>
  <si>
    <t>Worldbeat</t>
  </si>
  <si>
    <t>Christmas: R&amp;B</t>
  </si>
  <si>
    <t>Berimbau</t>
  </si>
  <si>
    <t>Lao</t>
  </si>
  <si>
    <t>Haiti</t>
  </si>
  <si>
    <t>Zydeco</t>
  </si>
  <si>
    <t>|Cajun &amp; Zydeco|</t>
  </si>
  <si>
    <t>Christmas: Religious</t>
  </si>
  <si>
    <t>Biwa</t>
  </si>
  <si>
    <t>Heard Island and McDonald Islands</t>
  </si>
  <si>
    <t>|Break Beat|Breaks|</t>
  </si>
  <si>
    <t>Christmas: Rock</t>
  </si>
  <si>
    <t>Bonang</t>
  </si>
  <si>
    <t>Latvian</t>
  </si>
  <si>
    <t>Holy See</t>
  </si>
  <si>
    <t>Garage</t>
  </si>
  <si>
    <t>|2-Step/British Garage|UK Garage|</t>
  </si>
  <si>
    <t>Classic Blues</t>
  </si>
  <si>
    <t>Bongos</t>
  </si>
  <si>
    <t>Limburgan</t>
  </si>
  <si>
    <t>Honduras</t>
  </si>
  <si>
    <t>Hardcore</t>
  </si>
  <si>
    <t>|Happy Hardcore|Hi-NRG|</t>
  </si>
  <si>
    <t>Classic Christian</t>
  </si>
  <si>
    <t>Bouzouki</t>
  </si>
  <si>
    <t>Lingala</t>
  </si>
  <si>
    <t>Hong Kong</t>
  </si>
  <si>
    <t>House</t>
  </si>
  <si>
    <t>|Deep House|Hard House|Tech-House|Tribal House|</t>
  </si>
  <si>
    <t>Bugle</t>
  </si>
  <si>
    <t>Lithuanian</t>
  </si>
  <si>
    <t>Hungary</t>
  </si>
  <si>
    <t>Jungle/Drum'n'bass</t>
  </si>
  <si>
    <t>|Drum'n'Bass/Jungle|Drum‘n’Bass/Jungle|Jungle/Drum&amp;Bass|</t>
  </si>
  <si>
    <t>Button Accordion</t>
  </si>
  <si>
    <t>Luba-Katanga</t>
  </si>
  <si>
    <t>Iceland</t>
  </si>
  <si>
    <t>Techno</t>
  </si>
  <si>
    <t>|Hard Techno|Minimal Techno|Techno Clash|Techno Dark|Techno Dub|Teknobody|</t>
  </si>
  <si>
    <t>Classical Crossover</t>
  </si>
  <si>
    <t>Cajon</t>
  </si>
  <si>
    <t>Luxembourgish</t>
  </si>
  <si>
    <t>India</t>
  </si>
  <si>
    <t>Trance</t>
  </si>
  <si>
    <t>Classical Era</t>
  </si>
  <si>
    <t>Calliope</t>
  </si>
  <si>
    <t>Macedonian</t>
  </si>
  <si>
    <t>Indonesia</t>
  </si>
  <si>
    <t>|Rock en Espa|Rock En Espanol|Alternativo &amp; Rock Latino|Latin Alternative|Rock Latino|</t>
  </si>
  <si>
    <t>College Rock</t>
  </si>
  <si>
    <t>Castanets</t>
  </si>
  <si>
    <t>Malagasy</t>
  </si>
  <si>
    <t>Iran</t>
  </si>
  <si>
    <t>Cavaquinho</t>
  </si>
  <si>
    <t>Malay</t>
  </si>
  <si>
    <t>Iraq</t>
  </si>
  <si>
    <t>Contemporary Latin</t>
  </si>
  <si>
    <t>Contemporary Bluegrass</t>
  </si>
  <si>
    <t>Caxixi</t>
  </si>
  <si>
    <t>Malayalam</t>
  </si>
  <si>
    <t>Ireland</t>
  </si>
  <si>
    <t>Latin Jazz</t>
  </si>
  <si>
    <t>Contemporary Blues</t>
  </si>
  <si>
    <t>Celeste</t>
  </si>
  <si>
    <t>Maltese</t>
  </si>
  <si>
    <t>Isle of Man</t>
  </si>
  <si>
    <t>Pop in Spanish</t>
  </si>
  <si>
    <t>|Latin Pop|Pop Latino|Pop Rock Latino|</t>
  </si>
  <si>
    <t>Manx</t>
  </si>
  <si>
    <t>Israel</t>
  </si>
  <si>
    <t>Raices</t>
  </si>
  <si>
    <t>|Raíces|</t>
  </si>
  <si>
    <t>Contemporary Country</t>
  </si>
  <si>
    <t>Chamber Organ</t>
  </si>
  <si>
    <t>Maori</t>
  </si>
  <si>
    <t>Italy</t>
  </si>
  <si>
    <t>Reggaeton / Latin Urban</t>
  </si>
  <si>
    <t>|Reggaeton|Reggaeton y Hip-Hop|</t>
  </si>
  <si>
    <t>Contemporary Era</t>
  </si>
  <si>
    <t>Chamberlin</t>
  </si>
  <si>
    <t>Marathi</t>
  </si>
  <si>
    <t>Jamaica</t>
  </si>
  <si>
    <t>Regional Mexicano</t>
  </si>
  <si>
    <t>|Regional Mexican|</t>
  </si>
  <si>
    <t>Chant Vocals</t>
  </si>
  <si>
    <t>Marshallese</t>
  </si>
  <si>
    <t>Salsa y Tropical</t>
  </si>
  <si>
    <t>|Salsa|</t>
  </si>
  <si>
    <t>Contemporary Gospel</t>
  </si>
  <si>
    <t>Chapman Stick</t>
  </si>
  <si>
    <t>Mongolian</t>
  </si>
  <si>
    <t>Jersey</t>
  </si>
  <si>
    <t>Healing</t>
  </si>
  <si>
    <t>Contemporary Jazz</t>
  </si>
  <si>
    <t>Charango</t>
  </si>
  <si>
    <t>Nauru</t>
  </si>
  <si>
    <t>Jordan</t>
  </si>
  <si>
    <t>Meditation</t>
  </si>
  <si>
    <t>|Meditation/Relaxation|</t>
  </si>
  <si>
    <t>Chekere</t>
  </si>
  <si>
    <t>Navajo</t>
  </si>
  <si>
    <t>Kazakhstan</t>
  </si>
  <si>
    <t>Nature</t>
  </si>
  <si>
    <t>|Environmental|Nature Sounds|</t>
  </si>
  <si>
    <t>Contemporary R&amp;B</t>
  </si>
  <si>
    <t>Chimes</t>
  </si>
  <si>
    <t>Ndonga</t>
  </si>
  <si>
    <t>Kenya</t>
  </si>
  <si>
    <t>Relaxation</t>
  </si>
  <si>
    <t>Choir</t>
  </si>
  <si>
    <t>Nepali</t>
  </si>
  <si>
    <t>Kiribati</t>
  </si>
  <si>
    <t>Travel</t>
  </si>
  <si>
    <t>|World|</t>
  </si>
  <si>
    <t>Cool</t>
  </si>
  <si>
    <t>Choir Conductor</t>
  </si>
  <si>
    <t>North Ndebele</t>
  </si>
  <si>
    <t>Kosovo</t>
  </si>
  <si>
    <t>Yoga</t>
  </si>
  <si>
    <t>Chorus Master</t>
  </si>
  <si>
    <t>Northern Sami</t>
  </si>
  <si>
    <t>Kuwait</t>
  </si>
  <si>
    <t>|Hanukkah|</t>
  </si>
  <si>
    <t>Country Blues</t>
  </si>
  <si>
    <t>Chromatic Harmonica</t>
  </si>
  <si>
    <t>Norwegian</t>
  </si>
  <si>
    <t>Kyrgyzstan</t>
  </si>
  <si>
    <t>Country Gospel</t>
  </si>
  <si>
    <t>Cimbalom</t>
  </si>
  <si>
    <t>Norwegian Bokmål</t>
  </si>
  <si>
    <t>Laos</t>
  </si>
  <si>
    <t>Coupé-Décalé</t>
  </si>
  <si>
    <t>Cittern</t>
  </si>
  <si>
    <t>Norwegian Nynorsk</t>
  </si>
  <si>
    <t>Latin America and the Caribbean</t>
  </si>
  <si>
    <t>Crossover Jazz</t>
  </si>
  <si>
    <t>Clarinet</t>
  </si>
  <si>
    <t>Occitan</t>
  </si>
  <si>
    <t>Latvia</t>
  </si>
  <si>
    <t>Classical Guitar</t>
  </si>
  <si>
    <t>Ojibwa</t>
  </si>
  <si>
    <t>Lebanon</t>
  </si>
  <si>
    <t>Cumbia</t>
  </si>
  <si>
    <t>Claves</t>
  </si>
  <si>
    <t>Oriya</t>
  </si>
  <si>
    <t>Lesotho</t>
  </si>
  <si>
    <t>Dabke</t>
  </si>
  <si>
    <t>Clavichord</t>
  </si>
  <si>
    <t>Oromo</t>
  </si>
  <si>
    <t>Liberia</t>
  </si>
  <si>
    <t>Clavinet</t>
  </si>
  <si>
    <t>Libya</t>
  </si>
  <si>
    <t>C-Melody Sax</t>
  </si>
  <si>
    <t>Ossetian</t>
  </si>
  <si>
    <t>Liechtenstein</t>
  </si>
  <si>
    <t>Concert Harp</t>
  </si>
  <si>
    <t>Pali</t>
  </si>
  <si>
    <t>Lithuania</t>
  </si>
  <si>
    <t>Delta Blues</t>
  </si>
  <si>
    <t>Concertina</t>
  </si>
  <si>
    <t>Pashto</t>
  </si>
  <si>
    <t>Luxembourg</t>
  </si>
  <si>
    <t>Easter</t>
  </si>
  <si>
    <t>Devotional &amp; Spiritual</t>
  </si>
  <si>
    <t>Conch Shells</t>
  </si>
  <si>
    <t>Persian</t>
  </si>
  <si>
    <t>Macau</t>
  </si>
  <si>
    <t>Halloween</t>
  </si>
  <si>
    <t>Congas</t>
  </si>
  <si>
    <t>Polish</t>
  </si>
  <si>
    <t>Macedonia</t>
  </si>
  <si>
    <t>Thanksgiving</t>
  </si>
  <si>
    <t>Dirty South</t>
  </si>
  <si>
    <t>Contrabass</t>
  </si>
  <si>
    <t>Portuguese</t>
  </si>
  <si>
    <t>Madagascar</t>
  </si>
  <si>
    <t>Disco</t>
  </si>
  <si>
    <t>Contrabass Clarinet</t>
  </si>
  <si>
    <t>Malawi</t>
  </si>
  <si>
    <t>Islamic</t>
  </si>
  <si>
    <t>Contrabass Flute</t>
  </si>
  <si>
    <t>Quechua</t>
  </si>
  <si>
    <t>Malaysia</t>
  </si>
  <si>
    <t>Khaleeji</t>
  </si>
  <si>
    <t>Dixieland</t>
  </si>
  <si>
    <t>Contrabass Recorder</t>
  </si>
  <si>
    <t>Rajasthani</t>
  </si>
  <si>
    <t>Maldives</t>
  </si>
  <si>
    <t>North African</t>
  </si>
  <si>
    <t>Doo Wop</t>
  </si>
  <si>
    <t>Contrabass Sarrusophone</t>
  </si>
  <si>
    <t>Mali</t>
  </si>
  <si>
    <t>|Avant Garde Jazz|</t>
  </si>
  <si>
    <t>Contrabass Saxophone</t>
  </si>
  <si>
    <t>Romanian</t>
  </si>
  <si>
    <t>Malta</t>
  </si>
  <si>
    <t>Contrabass Trombone</t>
  </si>
  <si>
    <t>Romansh</t>
  </si>
  <si>
    <t>Marshall Islands</t>
  </si>
  <si>
    <t>Contrabassoon</t>
  </si>
  <si>
    <t>Rundi</t>
  </si>
  <si>
    <t>Martinique</t>
  </si>
  <si>
    <t>EMO</t>
  </si>
  <si>
    <t>Contralto Clarinet</t>
  </si>
  <si>
    <t>Mauritania</t>
  </si>
  <si>
    <t>Early Music</t>
  </si>
  <si>
    <t>Contralto Vocals</t>
  </si>
  <si>
    <t>Samoan</t>
  </si>
  <si>
    <t>Mauritius</t>
  </si>
  <si>
    <t>|Cool Jazz|Cool/West Coast Jazz|</t>
  </si>
  <si>
    <t>East Coast Rap</t>
  </si>
  <si>
    <t>Cornet</t>
  </si>
  <si>
    <t>Sango</t>
  </si>
  <si>
    <t>Mayotte</t>
  </si>
  <si>
    <t>|Crossover-Jazz|</t>
  </si>
  <si>
    <t>Counter Tenor</t>
  </si>
  <si>
    <t>Sanskrit</t>
  </si>
  <si>
    <t>Mexico</t>
  </si>
  <si>
    <t>Cowbell</t>
  </si>
  <si>
    <t>Sardinian</t>
  </si>
  <si>
    <t>Micronesia</t>
  </si>
  <si>
    <t>Fusion</t>
  </si>
  <si>
    <t>|Afro-Cuban Jazz|World Fusion|</t>
  </si>
  <si>
    <t>Egyptian Hip-Hop</t>
  </si>
  <si>
    <t>Crotales</t>
  </si>
  <si>
    <t>Serbian</t>
  </si>
  <si>
    <t>Moldova</t>
  </si>
  <si>
    <t>Hard Bop</t>
  </si>
  <si>
    <t>Egyptian Pop</t>
  </si>
  <si>
    <t>Crumhorn</t>
  </si>
  <si>
    <t>Shona</t>
  </si>
  <si>
    <t>Monaco</t>
  </si>
  <si>
    <t>Egyptian Tarab</t>
  </si>
  <si>
    <t>Cuatro</t>
  </si>
  <si>
    <t>Sichuan Yi</t>
  </si>
  <si>
    <t>Mongolia</t>
  </si>
  <si>
    <t>Mainstream Jazz</t>
  </si>
  <si>
    <t>|New Orleans Jazz|Orchestral Jazz|</t>
  </si>
  <si>
    <t>Electric Blues</t>
  </si>
  <si>
    <t>Cuesnophone</t>
  </si>
  <si>
    <t>Sindhi</t>
  </si>
  <si>
    <t>Montenegro</t>
  </si>
  <si>
    <t>Ragtime</t>
  </si>
  <si>
    <t>Electro-Cha'abi</t>
  </si>
  <si>
    <t>Curtal</t>
  </si>
  <si>
    <t>Sinhala</t>
  </si>
  <si>
    <t>Montserrat</t>
  </si>
  <si>
    <t>Smooth Jazz</t>
  </si>
  <si>
    <t>Cymbals</t>
  </si>
  <si>
    <t>Slovak</t>
  </si>
  <si>
    <t>Morocco</t>
  </si>
  <si>
    <t>Trad Jazz</t>
  </si>
  <si>
    <t>|Traditional Jazz|</t>
  </si>
  <si>
    <t>Daf</t>
  </si>
  <si>
    <t>Slovenian</t>
  </si>
  <si>
    <t>Mozambique</t>
  </si>
  <si>
    <t>Lullabies</t>
  </si>
  <si>
    <t>Somali</t>
  </si>
  <si>
    <t>Myanmar</t>
  </si>
  <si>
    <t>Sing-Along</t>
  </si>
  <si>
    <t>Dancer</t>
  </si>
  <si>
    <t>South Ndebele</t>
  </si>
  <si>
    <t>Namibia</t>
  </si>
  <si>
    <t>Stories</t>
  </si>
  <si>
    <t>Dhol</t>
  </si>
  <si>
    <t>Southern Sotho</t>
  </si>
  <si>
    <t>|Contemporary Urban|</t>
  </si>
  <si>
    <t>Diddley Bow</t>
  </si>
  <si>
    <t>Spanish</t>
  </si>
  <si>
    <t>Nepal</t>
  </si>
  <si>
    <t>|Disco (R&amp;B)|</t>
  </si>
  <si>
    <t>Fantezi</t>
  </si>
  <si>
    <t>Didgeridoo</t>
  </si>
  <si>
    <t>Spanish (Latin America)</t>
  </si>
  <si>
    <t>Netherlands</t>
  </si>
  <si>
    <t>|Doo-Wop|</t>
  </si>
  <si>
    <t>Director</t>
  </si>
  <si>
    <t>Sundanese</t>
  </si>
  <si>
    <t>New Caledonia</t>
  </si>
  <si>
    <t>Funk</t>
  </si>
  <si>
    <t>|Deep Funk|</t>
  </si>
  <si>
    <t>Film Soundtrack</t>
  </si>
  <si>
    <t>DJ</t>
  </si>
  <si>
    <t>Swahili</t>
  </si>
  <si>
    <t>New Zealand</t>
  </si>
  <si>
    <t>Motown</t>
  </si>
  <si>
    <t>Djembe</t>
  </si>
  <si>
    <t>Swati</t>
  </si>
  <si>
    <t>Nicaragua</t>
  </si>
  <si>
    <t>Neo-Soul</t>
  </si>
  <si>
    <t>|Neo Soul|</t>
  </si>
  <si>
    <t>Dobro Guitar</t>
  </si>
  <si>
    <t>Swedish</t>
  </si>
  <si>
    <t>Niger</t>
  </si>
  <si>
    <t>Soul</t>
  </si>
  <si>
    <t>|Blaxploitation|Blue-Eyed Soul|Brown-Eyed Soul|Chicago Soul|Classic Soul|Country-Soul|Deep Soul|Memphis Soul|Northern Soul|Philly Soul|Psychedelic Soul|Retro-Soul|Smooth Soul|Southern Soul|</t>
  </si>
  <si>
    <t>Double Bass</t>
  </si>
  <si>
    <t>Tagalog</t>
  </si>
  <si>
    <t>Nigeria</t>
  </si>
  <si>
    <t>Doumbek</t>
  </si>
  <si>
    <t>Tahitian</t>
  </si>
  <si>
    <t>Niue</t>
  </si>
  <si>
    <t>Foreign Cinema</t>
  </si>
  <si>
    <t>Drum Machine</t>
  </si>
  <si>
    <t>Tajik</t>
  </si>
  <si>
    <t>Norfolk Island</t>
  </si>
  <si>
    <t>Goth Rock</t>
  </si>
  <si>
    <t>|Goth/Industrial|</t>
  </si>
  <si>
    <t>Forró</t>
  </si>
  <si>
    <t>Drum Programming</t>
  </si>
  <si>
    <t>Tamil</t>
  </si>
  <si>
    <t>North Korea</t>
  </si>
  <si>
    <t>Grunge</t>
  </si>
  <si>
    <t>Drums</t>
  </si>
  <si>
    <t>Tatar</t>
  </si>
  <si>
    <t>Northern Mariana Islands</t>
  </si>
  <si>
    <t>Indie Pop</t>
  </si>
  <si>
    <t>|Indie-Pop|</t>
  </si>
  <si>
    <t>Duduk</t>
  </si>
  <si>
    <t>Telugu</t>
  </si>
  <si>
    <t>Norway</t>
  </si>
  <si>
    <t>Indie Rock</t>
  </si>
  <si>
    <t>|Alternative/Indie|Indie|</t>
  </si>
  <si>
    <t>Frevo</t>
  </si>
  <si>
    <t>Dulcimer</t>
  </si>
  <si>
    <t>Thai</t>
  </si>
  <si>
    <t>Oman</t>
  </si>
  <si>
    <t>New Wave</t>
  </si>
  <si>
    <t>|New Wave/Post-Punk|</t>
  </si>
  <si>
    <t>E-Bow</t>
  </si>
  <si>
    <t>Tibetan</t>
  </si>
  <si>
    <t>Pakistan</t>
  </si>
  <si>
    <t>Pop Punk</t>
  </si>
  <si>
    <t>Effects</t>
  </si>
  <si>
    <t>Tigrinya</t>
  </si>
  <si>
    <t>Palau</t>
  </si>
  <si>
    <t>Punk</t>
  </si>
  <si>
    <t>|Alt/Punk Ska|American Punk|Anarchist|Brit-Punk|British Punk|Cowpunk|Digital Hardcore|Emo/Hardcore|Garage Punk|Hardcore|Hardcore Punk|International Punk|L.A. Punk|Live Alt/Punk|New York Punk|No Wave|Oi!|Oil|Pop-Punk|Post-Grunge|Post-Hardcore|Post-Punk|Punkabilly|Queencore|Queercore|Rapcore|Riot Girl|Ska-Punk|Skate-Punk|Skatepunk|Straight Edge|</t>
  </si>
  <si>
    <t>Gangsta Rap</t>
  </si>
  <si>
    <t>Electric Bass Guitar</t>
  </si>
  <si>
    <t>Tonga</t>
  </si>
  <si>
    <t>Palestinian Territory</t>
  </si>
  <si>
    <t>|Acoustic/Folk Blues|</t>
  </si>
  <si>
    <t>Electric Cello</t>
  </si>
  <si>
    <t>Tsonga</t>
  </si>
  <si>
    <t>Panama</t>
  </si>
  <si>
    <t>Electric Fretless Guitar</t>
  </si>
  <si>
    <t>Tswana</t>
  </si>
  <si>
    <t>Papua New Guinea</t>
  </si>
  <si>
    <t>Electric Guitar</t>
  </si>
  <si>
    <t>Paraguay</t>
  </si>
  <si>
    <t>Ghazals</t>
  </si>
  <si>
    <t>Electric Piano</t>
  </si>
  <si>
    <t>Turkmen</t>
  </si>
  <si>
    <t>Peru</t>
  </si>
  <si>
    <t>Electric Sitar</t>
  </si>
  <si>
    <t>Twi</t>
  </si>
  <si>
    <t>Philippines</t>
  </si>
  <si>
    <t>|Dirty Blues|Louisiana Blues|Memphis Blues|Swamp Blues|</t>
  </si>
  <si>
    <t>Gospel</t>
  </si>
  <si>
    <t>Electric Upright Bass</t>
  </si>
  <si>
    <t>Uighur</t>
  </si>
  <si>
    <t>Pitcairn</t>
  </si>
  <si>
    <t>Electric Viola</t>
  </si>
  <si>
    <t>Ukrainian</t>
  </si>
  <si>
    <t>Poland</t>
  </si>
  <si>
    <t>|Ax|Axe|Brazilian Ax|Brazilian Axe|Brazilian-Ax|Brazilian-Axe|</t>
  </si>
  <si>
    <t>Gqom</t>
  </si>
  <si>
    <t>Electric Violin</t>
  </si>
  <si>
    <t>Urdu</t>
  </si>
  <si>
    <t>Portugal</t>
  </si>
  <si>
    <t>|Brazilian Baiao|Brazilian-Baile|Brazilian Baile|Brazilian-Baiao|Brazilian Funk|Brazilian Funk Carioca|Brazilian-Funk Carioca|</t>
  </si>
  <si>
    <t>Electronic Valve Instrument</t>
  </si>
  <si>
    <t>Uzbek</t>
  </si>
  <si>
    <t>Puerto Rico</t>
  </si>
  <si>
    <t>|Brazilian-Bossa Nova|</t>
  </si>
  <si>
    <t>Guajira</t>
  </si>
  <si>
    <t>Electronic Wind Instrument</t>
  </si>
  <si>
    <t>Venda</t>
  </si>
  <si>
    <t>Qatar</t>
  </si>
  <si>
    <t>|Brazilian Choro|Brazilian-Choro|Choro|</t>
  </si>
  <si>
    <t>Guaracha</t>
  </si>
  <si>
    <t>English Horn</t>
  </si>
  <si>
    <t>Vietnamese</t>
  </si>
  <si>
    <t>Rest of World</t>
  </si>
  <si>
    <t>|Brazilian Forr|Brazilian-Forr|Brazilian Forro|Brazilian-Forro|Forr|Forro|</t>
  </si>
  <si>
    <t>Guitar</t>
  </si>
  <si>
    <t>Euphonium</t>
  </si>
  <si>
    <t>Volapük</t>
  </si>
  <si>
    <t>Reunion</t>
  </si>
  <si>
    <t>Farfisa</t>
  </si>
  <si>
    <t>Walloon</t>
  </si>
  <si>
    <t>Romania</t>
  </si>
  <si>
    <t>MPB</t>
  </si>
  <si>
    <t>|Brazilian MPB|Brazilian-MPB|MPB|Musica Popular Brasileira (MPB)|</t>
  </si>
  <si>
    <t>Fender Rhodes</t>
  </si>
  <si>
    <t>Welsh</t>
  </si>
  <si>
    <t>Russian Federation</t>
  </si>
  <si>
    <t>Pagode</t>
  </si>
  <si>
    <t>Fiddle</t>
  </si>
  <si>
    <t>Western Frisian</t>
  </si>
  <si>
    <t>Rwanda</t>
  </si>
  <si>
    <t>Samba</t>
  </si>
  <si>
    <t>|Brazilian Samba/Pagode|Brazilian-Samba/Pagode|Samba Rock|</t>
  </si>
  <si>
    <t>Fife</t>
  </si>
  <si>
    <t>Wolof</t>
  </si>
  <si>
    <t>Saint Barthelemy</t>
  </si>
  <si>
    <t>Sertanejo</t>
  </si>
  <si>
    <t>|Brazilian Sertaneja|Brazilian-Sertaneja|</t>
  </si>
  <si>
    <t>Finger Cymbals</t>
  </si>
  <si>
    <t>Xhosa</t>
  </si>
  <si>
    <t>Saint Helena</t>
  </si>
  <si>
    <t>C-Pop</t>
  </si>
  <si>
    <t>|Chinese Pop|Chinese-Pop|</t>
  </si>
  <si>
    <t>Finger Snaps</t>
  </si>
  <si>
    <t>Yiddish</t>
  </si>
  <si>
    <t>Saint Kitts and Nevis</t>
  </si>
  <si>
    <t>|Cantopop/HK-Pop|Cantopop / HK-Pop|Cantopop / HK Pop|Cantopop/HK Pop|</t>
  </si>
  <si>
    <t>First Cello</t>
  </si>
  <si>
    <t>Yoruba</t>
  </si>
  <si>
    <t>Saint Lucia</t>
  </si>
  <si>
    <t>|Chinese Alternative|</t>
  </si>
  <si>
    <t>Hardcore Rap</t>
  </si>
  <si>
    <t>First Violin</t>
  </si>
  <si>
    <t>Zhuang</t>
  </si>
  <si>
    <t>Saint Martin</t>
  </si>
  <si>
    <t>Flamenco Guitar</t>
  </si>
  <si>
    <t>Zulu</t>
  </si>
  <si>
    <t>Saint Pierre and Miquelon</t>
  </si>
  <si>
    <t>Flugelhorn</t>
  </si>
  <si>
    <t>Saint Vincent and the Grenadines</t>
  </si>
  <si>
    <t>Flute</t>
  </si>
  <si>
    <t>Samoa</t>
  </si>
  <si>
    <t>|Chinese Traditional Opera|Chinese Local Opera|Peking Opera|Local Opera|Traditional Opera|</t>
  </si>
  <si>
    <t>Fortepiano</t>
  </si>
  <si>
    <t>San Marino</t>
  </si>
  <si>
    <t>Highlife</t>
  </si>
  <si>
    <t>Frame Drum</t>
  </si>
  <si>
    <t>Sao Tome And Principe</t>
  </si>
  <si>
    <t>|Chinese Folk|</t>
  </si>
  <si>
    <t>Hindustani Classical</t>
  </si>
  <si>
    <t>French Horn</t>
  </si>
  <si>
    <t>Saudi Arabia</t>
  </si>
  <si>
    <t>Gendèr</t>
  </si>
  <si>
    <t>Senegal</t>
  </si>
  <si>
    <t>Hip-Hop</t>
  </si>
  <si>
    <t>Ghatam</t>
  </si>
  <si>
    <t>Serbia</t>
  </si>
  <si>
    <t>Taiwanese Folk</t>
  </si>
  <si>
    <t>Gitern</t>
  </si>
  <si>
    <t>Seychelles</t>
  </si>
  <si>
    <t>Tibetan Native Music</t>
  </si>
  <si>
    <t>Honky Tonk</t>
  </si>
  <si>
    <t>Glockenspiel</t>
  </si>
  <si>
    <t>Sierra Leone</t>
  </si>
  <si>
    <t>|Alternative CCM|</t>
  </si>
  <si>
    <t>Gong</t>
  </si>
  <si>
    <t>Singapore</t>
  </si>
  <si>
    <t>Hörspiele</t>
  </si>
  <si>
    <t>Group</t>
  </si>
  <si>
    <t>Sint Maarten</t>
  </si>
  <si>
    <t>Guest Vocals</t>
  </si>
  <si>
    <t>Slovakia</t>
  </si>
  <si>
    <t>Güiro</t>
  </si>
  <si>
    <t>Slovenia</t>
  </si>
  <si>
    <t>|Christian Punk|</t>
  </si>
  <si>
    <t>Impressionist</t>
  </si>
  <si>
    <t>Solomon Islands</t>
  </si>
  <si>
    <t>Hag'houge</t>
  </si>
  <si>
    <t>Somalia</t>
  </si>
  <si>
    <t>Hammered Dulcimer</t>
  </si>
  <si>
    <t>|Gospel Choir|Instrumental Gospel|</t>
  </si>
  <si>
    <t>Indian Folk</t>
  </si>
  <si>
    <t>Hammond Organ</t>
  </si>
  <si>
    <t>South Georgia and the South Sandwich Islands</t>
  </si>
  <si>
    <t>Praise &amp; Worship</t>
  </si>
  <si>
    <t>Indian Pop</t>
  </si>
  <si>
    <t>Handclaps</t>
  </si>
  <si>
    <t>South Korea</t>
  </si>
  <si>
    <t>Southern Gospel</t>
  </si>
  <si>
    <t>Indie Egyptian</t>
  </si>
  <si>
    <t>Hardingfele</t>
  </si>
  <si>
    <t>South Sudan</t>
  </si>
  <si>
    <t>Traditional Gospel</t>
  </si>
  <si>
    <t>Indie Levant</t>
  </si>
  <si>
    <t>Harmonica</t>
  </si>
  <si>
    <t>Spain</t>
  </si>
  <si>
    <t>Indie Maghreb</t>
  </si>
  <si>
    <t>Harmonium</t>
  </si>
  <si>
    <t>Sri Lanka</t>
  </si>
  <si>
    <t>|Avant Garde|</t>
  </si>
  <si>
    <t>Harmony Vocals</t>
  </si>
  <si>
    <t>Sudan</t>
  </si>
  <si>
    <t>|Pre-Baroque|Baroque|</t>
  </si>
  <si>
    <t>Harp</t>
  </si>
  <si>
    <t>Suriname</t>
  </si>
  <si>
    <t>Harpsichord</t>
  </si>
  <si>
    <t>Svalbard and Jan Mayen</t>
  </si>
  <si>
    <t>Horn Section</t>
  </si>
  <si>
    <t>Sweden</t>
  </si>
  <si>
    <t>Horns</t>
  </si>
  <si>
    <t>Switzerland</t>
  </si>
  <si>
    <t>Hurdy Gurdy</t>
  </si>
  <si>
    <t>Syria</t>
  </si>
  <si>
    <t>|Classical Vocal|Lieder|Vocal Classics|</t>
  </si>
  <si>
    <t>Kalimba</t>
  </si>
  <si>
    <t>Taiwan</t>
  </si>
  <si>
    <t>|Choral Music|</t>
  </si>
  <si>
    <t>Iraqi Folk</t>
  </si>
  <si>
    <t>Karkaba (Metal Castanets)</t>
  </si>
  <si>
    <t>Tajikistan</t>
  </si>
  <si>
    <t>Iraqi Pop</t>
  </si>
  <si>
    <t>Kazoo</t>
  </si>
  <si>
    <t>Tanzania</t>
  </si>
  <si>
    <t>Iraqi Tarab</t>
  </si>
  <si>
    <t>Kendang</t>
  </si>
  <si>
    <t>Thailand</t>
  </si>
  <si>
    <t>Kenong/Kethuk</t>
  </si>
  <si>
    <t>Timor-Leste</t>
  </si>
  <si>
    <t>Keyboard Bass</t>
  </si>
  <si>
    <t>Togo</t>
  </si>
  <si>
    <t>Keyboards</t>
  </si>
  <si>
    <t>Tokelau</t>
  </si>
  <si>
    <t>|Classical Guitar|</t>
  </si>
  <si>
    <t>Keytar</t>
  </si>
  <si>
    <t>Kora</t>
  </si>
  <si>
    <t>Trinidad and Tobago</t>
  </si>
  <si>
    <t>Medieval Era</t>
  </si>
  <si>
    <t>|Medieval|Gregorian|</t>
  </si>
  <si>
    <t>Koto</t>
  </si>
  <si>
    <t>Tunisia</t>
  </si>
  <si>
    <t>Minimalism</t>
  </si>
  <si>
    <t>Lap Steel Guitar</t>
  </si>
  <si>
    <t>Turkey</t>
  </si>
  <si>
    <t>Modern Era</t>
  </si>
  <si>
    <t>|Keyboard Music|Modern Classical|Postmodern Classical|Modern Composition|</t>
  </si>
  <si>
    <t>K-Pop</t>
  </si>
  <si>
    <t>Lead Guitar</t>
  </si>
  <si>
    <t>Turkmenistan</t>
  </si>
  <si>
    <t>Lead Violin</t>
  </si>
  <si>
    <t>Turks and Caicos Islands</t>
  </si>
  <si>
    <t>Oratorio</t>
  </si>
  <si>
    <t>Lead Vocals</t>
  </si>
  <si>
    <t>Tuvalu</t>
  </si>
  <si>
    <t>|Orchestra|</t>
  </si>
  <si>
    <t>Low Whistle</t>
  </si>
  <si>
    <t>U.S. Virgin Islands</t>
  </si>
  <si>
    <t>Percussion</t>
  </si>
  <si>
    <t>Lute</t>
  </si>
  <si>
    <t>Uganda</t>
  </si>
  <si>
    <t>Piano</t>
  </si>
  <si>
    <t>Khaleeji Folk</t>
  </si>
  <si>
    <t>Lyricon</t>
  </si>
  <si>
    <t>Ukraine</t>
  </si>
  <si>
    <t>Renaissance</t>
  </si>
  <si>
    <t>|Medieval/Renaissance|</t>
  </si>
  <si>
    <t>Khaleeji Hip-Hop</t>
  </si>
  <si>
    <t>Mandocello</t>
  </si>
  <si>
    <t>United Arab Emirates</t>
  </si>
  <si>
    <t>Romantic Era</t>
  </si>
  <si>
    <t>|Romantic|</t>
  </si>
  <si>
    <t>Khaleeji Jalsat</t>
  </si>
  <si>
    <t>Mandola</t>
  </si>
  <si>
    <t>United Kingdom</t>
  </si>
  <si>
    <t>Sacred</t>
  </si>
  <si>
    <t>Khaleeji Pop</t>
  </si>
  <si>
    <t>Mandolin</t>
  </si>
  <si>
    <t>United States</t>
  </si>
  <si>
    <t>Solo Instrumental</t>
  </si>
  <si>
    <t>Khaleeji Shailat</t>
  </si>
  <si>
    <t>Manzello</t>
  </si>
  <si>
    <t>United States Minor Outlying Islands</t>
  </si>
  <si>
    <t>Violin</t>
  </si>
  <si>
    <t>Khaleeji Tarab</t>
  </si>
  <si>
    <t>Maracas</t>
  </si>
  <si>
    <t>Unknown</t>
  </si>
  <si>
    <t>Wedding Music</t>
  </si>
  <si>
    <t>Kizomba</t>
  </si>
  <si>
    <t>Marimba</t>
  </si>
  <si>
    <t>Uruguay</t>
  </si>
  <si>
    <t>Novelty</t>
  </si>
  <si>
    <t>MC</t>
  </si>
  <si>
    <t>Uzbekistan</t>
  </si>
  <si>
    <t>Standup Comedy</t>
  </si>
  <si>
    <t>Mellophone</t>
  </si>
  <si>
    <t>Vanuatu</t>
  </si>
  <si>
    <t>|Alt. Country|Alt Country|</t>
  </si>
  <si>
    <t>Korean Folk-Pop</t>
  </si>
  <si>
    <t>Mellophonium</t>
  </si>
  <si>
    <t>Venezuela</t>
  </si>
  <si>
    <t>Korean Hip-Hop</t>
  </si>
  <si>
    <t>Mellotron</t>
  </si>
  <si>
    <t>Vietnam</t>
  </si>
  <si>
    <t>Korean Indie</t>
  </si>
  <si>
    <t>Melodica</t>
  </si>
  <si>
    <t>Wallis and Futuna</t>
  </si>
  <si>
    <t>Korean Rock</t>
  </si>
  <si>
    <t>Mezzo-soprano Vocals</t>
  </si>
  <si>
    <t>Western Sahara</t>
  </si>
  <si>
    <t>|Modern Country|Progressive Country|</t>
  </si>
  <si>
    <t>Korean Traditional</t>
  </si>
  <si>
    <t>Modular Synth</t>
  </si>
  <si>
    <t>Yemen</t>
  </si>
  <si>
    <t>Kuduro</t>
  </si>
  <si>
    <t>Mouth Organ</t>
  </si>
  <si>
    <t>Zambia</t>
  </si>
  <si>
    <t>Kwaito</t>
  </si>
  <si>
    <t>Mridangam</t>
  </si>
  <si>
    <t>Zimbabwe</t>
  </si>
  <si>
    <t>Outlaw Country</t>
  </si>
  <si>
    <t>|Outlaw|</t>
  </si>
  <si>
    <t>Musette</t>
  </si>
  <si>
    <t>Thai Country</t>
  </si>
  <si>
    <t>Narrator</t>
  </si>
  <si>
    <t>Traditional Bluegrass</t>
  </si>
  <si>
    <t>Ney</t>
  </si>
  <si>
    <t>Traditional Country</t>
  </si>
  <si>
    <t>Latin Rap</t>
  </si>
  <si>
    <t>Noises</t>
  </si>
  <si>
    <t>Urban Cowboy</t>
  </si>
  <si>
    <t>|Cowboy|</t>
  </si>
  <si>
    <t>Levant</t>
  </si>
  <si>
    <t>Nylon-String Guitar</t>
  </si>
  <si>
    <t>Levant Electronic</t>
  </si>
  <si>
    <t>Oboe</t>
  </si>
  <si>
    <t>|Dirty South/Crunk|</t>
  </si>
  <si>
    <t>Levant Hip-Hop</t>
  </si>
  <si>
    <t>Oboe D'Amore</t>
  </si>
  <si>
    <t>|East Coast|East Coast Hip-Hop|</t>
  </si>
  <si>
    <t>Levant Pop</t>
  </si>
  <si>
    <t>Ocarina</t>
  </si>
  <si>
    <t>|Gangsta|</t>
  </si>
  <si>
    <t>Lounge</t>
  </si>
  <si>
    <t>Omnichord</t>
  </si>
  <si>
    <t>Ondes Martenot</t>
  </si>
  <si>
    <t>|Hip-Hop 12-inches|Live Urban/Hip-Hop|</t>
  </si>
  <si>
    <t>Organ</t>
  </si>
  <si>
    <t>|Hip-Hop En Espanol|</t>
  </si>
  <si>
    <t>Oud</t>
  </si>
  <si>
    <t>Old School Rap</t>
  </si>
  <si>
    <t>|Old School Hip-Hop|</t>
  </si>
  <si>
    <t>Maghreb Dance</t>
  </si>
  <si>
    <t>Pan Flute</t>
  </si>
  <si>
    <t>Rap</t>
  </si>
  <si>
    <t>|Party Rap|</t>
  </si>
  <si>
    <t>Maghreb Electronic</t>
  </si>
  <si>
    <t>Panpipes</t>
  </si>
  <si>
    <t>Turkish Hip-Hop/Rap</t>
  </si>
  <si>
    <t>Maghreb Hip-Hop</t>
  </si>
  <si>
    <t>Parlour Guitar</t>
  </si>
  <si>
    <t>UK Hip Hop</t>
  </si>
  <si>
    <t>Maghreb Pop</t>
  </si>
  <si>
    <t>Pedal Steel Guitar</t>
  </si>
  <si>
    <t>Underground Rap</t>
  </si>
  <si>
    <t>|Underground|</t>
  </si>
  <si>
    <t>Maghreb Rai</t>
  </si>
  <si>
    <t>Peking</t>
  </si>
  <si>
    <t>West Coast Rap</t>
  </si>
  <si>
    <t>|West Coast|West Coast Hip Hop|West Coast Hip-Hop|</t>
  </si>
  <si>
    <t>Penny Whistle</t>
  </si>
  <si>
    <t>|Indian Devotional/Spiritual|</t>
  </si>
  <si>
    <t>|Ghazal|Indian Ghazal|Indian-Ghazal|</t>
  </si>
  <si>
    <t>Mambo</t>
  </si>
  <si>
    <t>Piccolo</t>
  </si>
  <si>
    <t>Piccolo Bass</t>
  </si>
  <si>
    <t>|Indian-Pop|</t>
  </si>
  <si>
    <t>Piccolo Oboe</t>
  </si>
  <si>
    <t>Sufi</t>
  </si>
  <si>
    <t>Piccolo Trumpet</t>
  </si>
  <si>
    <t>|Indian Tamil|Indian Tamil Film|Indian-Tamil|Indian-Tamil Film|Tamil|Tamil Film|</t>
  </si>
  <si>
    <t>Pikasa Guitar</t>
  </si>
  <si>
    <t>|Indian Telegu|Indian Telegu Film|Indian-Telegu|Indian-Telegu Film|Telegu|Telegu Film|</t>
  </si>
  <si>
    <t>Maskandi</t>
  </si>
  <si>
    <t>Pipe Organ</t>
  </si>
  <si>
    <t>Mbalax</t>
  </si>
  <si>
    <t>Portuguese Guitar</t>
  </si>
  <si>
    <t>|Korean Folk|</t>
  </si>
  <si>
    <t>Prepared Piano</t>
  </si>
  <si>
    <t>Programmer</t>
  </si>
  <si>
    <t>|Korean Alternative/Indie|</t>
  </si>
  <si>
    <t>Merengue</t>
  </si>
  <si>
    <t>Psaltery</t>
  </si>
  <si>
    <t>|Korean Classical|Korean-Classical|Korean Traditional Music|Korean Trad Instrumental|Korean Trad Song|Korean Trad Theater|</t>
  </si>
  <si>
    <t>Rebab</t>
  </si>
  <si>
    <t>|Film Music|Film Scores|Film Soundtracks|</t>
  </si>
  <si>
    <t>Rebec</t>
  </si>
  <si>
    <t>|Theatre Scores|</t>
  </si>
  <si>
    <t>Musicals</t>
  </si>
  <si>
    <t>Recorder</t>
  </si>
  <si>
    <t>|Musical Theatre|</t>
  </si>
  <si>
    <t>Reed Organ</t>
  </si>
  <si>
    <t>Original Score</t>
  </si>
  <si>
    <t>Ndombolo</t>
  </si>
  <si>
    <t>Requinto Guitar</t>
  </si>
  <si>
    <t>Sound Effects</t>
  </si>
  <si>
    <t>Rhodes Piano</t>
  </si>
  <si>
    <t>TV Soundtrack</t>
  </si>
  <si>
    <t>|TV Soundtracks|</t>
  </si>
  <si>
    <t>Rhythm Guitar</t>
  </si>
  <si>
    <t>Video Game</t>
  </si>
  <si>
    <t>Sackbut</t>
  </si>
  <si>
    <t>Standards</t>
  </si>
  <si>
    <t>|Vocal/Nostalgia|</t>
  </si>
  <si>
    <t>Sampler</t>
  </si>
  <si>
    <t>Traditional Pop</t>
  </si>
  <si>
    <t>Santoor</t>
  </si>
  <si>
    <t>Trot</t>
  </si>
  <si>
    <t>Santur</t>
  </si>
  <si>
    <t>Vocal Jazz</t>
  </si>
  <si>
    <t>Sarangi</t>
  </si>
  <si>
    <t>Vocal Pop</t>
  </si>
  <si>
    <t>Odia</t>
  </si>
  <si>
    <t>Sarod</t>
  </si>
  <si>
    <t>Saron</t>
  </si>
  <si>
    <t>Swing</t>
  </si>
  <si>
    <t>Sarrusophone</t>
  </si>
  <si>
    <t>|Indian Carnatic Classical|Indian-Carnatic Classical|</t>
  </si>
  <si>
    <t>Saxello</t>
  </si>
  <si>
    <t>|Indian Hindustani Classical|Indian-Hindustani Classical|</t>
  </si>
  <si>
    <t>Saxophone</t>
  </si>
  <si>
    <t>|Assamese Film|Indian Assamese|Indian Assamese Film|Indian-Assamese|Indian-Assamese Film|</t>
  </si>
  <si>
    <t>Saz</t>
  </si>
  <si>
    <t>|Bengali Film|Indian Bengali|Indian Bengali Film|Indian-Bengali|Indian-Bengali Film|</t>
  </si>
  <si>
    <t>Second Cello</t>
  </si>
  <si>
    <t>|Punjabi Punjabi Pop|Punjabi-Punjabi Pop|Regional Indian Punjabi Pop|Regional Indian-Punjabi Pop|Indian Punjabi Pop|Indian-Punjabi Pop|</t>
  </si>
  <si>
    <t>Second Soprano Vocals</t>
  </si>
  <si>
    <t>|Gujarati Film|Gujurati|Gujurati Film|Indian Gujarati|Indian Gujarati Film|Indian Gujurati|Indian Gujurati Film|Indian-Gujarati|Indian-Gujarati Film|Indian-Gujurati|Indian-Gujurati Film|</t>
  </si>
  <si>
    <t>Second Violin</t>
  </si>
  <si>
    <t>Serpent</t>
  </si>
  <si>
    <t>|Kannada Film|Indian Kannada|Indian Kannada Film|Indian-Kannada|Indian-Kannada Film|</t>
  </si>
  <si>
    <t>Shakers</t>
  </si>
  <si>
    <t>|Indian Malayalam|Indian Malayalam Film|Indian-Malayalam|Indian-Malayalam Film|Malayalam Film|</t>
  </si>
  <si>
    <t>Shakuhachi</t>
  </si>
  <si>
    <t>|Indian Marathi|Indian Marathi Film|Indian-Marathi|Indian-Marathi Film|Marathi Film|</t>
  </si>
  <si>
    <t>Shawm</t>
  </si>
  <si>
    <t>Shekere</t>
  </si>
  <si>
    <t>|Indian Punjabi|Indian Punjabi Film|Indian-Punjabi|Indian-Punjabi Film|Punjabi Film|</t>
  </si>
  <si>
    <t>Shenai</t>
  </si>
  <si>
    <t>Punjabi Pop</t>
  </si>
  <si>
    <t>Sitar</t>
  </si>
  <si>
    <t>Rabindra Sangeet</t>
  </si>
  <si>
    <t>|Bengali Rabindra Sangeet|Bengali-Rabindra Sangeet|Regional Indian Rabindra Sangeet|Regional Indian-Rabindra Sangeet|Indian Rabindra Sangeet|Indian-Rabindra Sangeet|</t>
  </si>
  <si>
    <t>Sleigh Bells</t>
  </si>
  <si>
    <t>Slenthem</t>
  </si>
  <si>
    <t>Slide Guitar</t>
  </si>
  <si>
    <t>Slide Saxophone</t>
  </si>
  <si>
    <t>Slide Trumpet</t>
  </si>
  <si>
    <t>Slide Whistle</t>
  </si>
  <si>
    <t>Snare Drum</t>
  </si>
  <si>
    <t>Solo Flute</t>
  </si>
  <si>
    <t>Solo Guitar</t>
  </si>
  <si>
    <t>Sopranino Clarinet</t>
  </si>
  <si>
    <t>Sopranino Saxophone</t>
  </si>
  <si>
    <t>Soprano Clarinet</t>
  </si>
  <si>
    <t>Soprano Flute</t>
  </si>
  <si>
    <t>Soprano Recorder</t>
  </si>
  <si>
    <t>Soprano Saxophone</t>
  </si>
  <si>
    <t>Soprano Violin</t>
  </si>
  <si>
    <t>Soprano Vocals</t>
  </si>
  <si>
    <t>Shangaan Electro</t>
  </si>
  <si>
    <t>Sousaphone</t>
  </si>
  <si>
    <t>Soukous</t>
  </si>
  <si>
    <t>Spanish Guitar</t>
  </si>
  <si>
    <t>Taarab</t>
  </si>
  <si>
    <t>Spinet</t>
  </si>
  <si>
    <t>Zouglou</t>
  </si>
  <si>
    <t>Religious</t>
  </si>
  <si>
    <t>Spoken word</t>
  </si>
  <si>
    <t>Spoons</t>
  </si>
  <si>
    <t>Steel Drums</t>
  </si>
  <si>
    <t>Turkish Alternative</t>
  </si>
  <si>
    <t>String Bass</t>
  </si>
  <si>
    <t>Turkish Pop</t>
  </si>
  <si>
    <t>Strings</t>
  </si>
  <si>
    <t>Turkish Rock</t>
  </si>
  <si>
    <t>Strings Conductor</t>
  </si>
  <si>
    <t>Ozgün</t>
  </si>
  <si>
    <t>Stritch</t>
  </si>
  <si>
    <t>Surdo</t>
  </si>
  <si>
    <t>Synclavier</t>
  </si>
  <si>
    <t>Russian Bard</t>
  </si>
  <si>
    <t>Synthesizer</t>
  </si>
  <si>
    <t>Tabla</t>
  </si>
  <si>
    <t>Russian Hip-Hop</t>
  </si>
  <si>
    <t>Tabor Pipe</t>
  </si>
  <si>
    <t>Son</t>
  </si>
  <si>
    <t>Russian Pop</t>
  </si>
  <si>
    <t>Tack Piano</t>
  </si>
  <si>
    <t>Timba</t>
  </si>
  <si>
    <t>Russian Rock</t>
  </si>
  <si>
    <t>Talkbox</t>
  </si>
  <si>
    <t>Russian Romance</t>
  </si>
  <si>
    <t>Talking Drum</t>
  </si>
  <si>
    <t>Tamborim</t>
  </si>
  <si>
    <t>Tamboura</t>
  </si>
  <si>
    <t>Tambourine</t>
  </si>
  <si>
    <t>Tanpura</t>
  </si>
  <si>
    <t>Tarogato</t>
  </si>
  <si>
    <t>Temple Blocks</t>
  </si>
  <si>
    <t>Tenor Banjo</t>
  </si>
  <si>
    <t>Tenor Drum</t>
  </si>
  <si>
    <t>Tenor Guitar</t>
  </si>
  <si>
    <t>Tenor Horn</t>
  </si>
  <si>
    <t>Tenor Recorder</t>
  </si>
  <si>
    <t>Tenor Saxophone</t>
  </si>
  <si>
    <t>Tenor Trombone</t>
  </si>
  <si>
    <t>Tenor Violin</t>
  </si>
  <si>
    <t>Tenor Vocals</t>
  </si>
  <si>
    <t>Thavil</t>
  </si>
  <si>
    <t>Theorbo</t>
  </si>
  <si>
    <t>Theremin</t>
  </si>
  <si>
    <t>Timbales</t>
  </si>
  <si>
    <t>Timpani</t>
  </si>
  <si>
    <t>Tin Whistle</t>
  </si>
  <si>
    <t>Toy Piano</t>
  </si>
  <si>
    <t>Tres</t>
  </si>
  <si>
    <t>Triangle</t>
  </si>
  <si>
    <t>Trombone</t>
  </si>
  <si>
    <t>Trombonium</t>
  </si>
  <si>
    <t>Trumpet</t>
  </si>
  <si>
    <t>Tuba</t>
  </si>
  <si>
    <t>Tubular Bells</t>
  </si>
  <si>
    <t>Turntable</t>
  </si>
  <si>
    <t>Udu</t>
  </si>
  <si>
    <t>Uilleann Pipes</t>
  </si>
  <si>
    <t>Ukulele</t>
  </si>
  <si>
    <t>Upright Piano</t>
  </si>
  <si>
    <t>Valve Trombone</t>
  </si>
  <si>
    <t>Veena</t>
  </si>
  <si>
    <t>Vibraphone</t>
  </si>
  <si>
    <t>Tarab</t>
  </si>
  <si>
    <t>Vibraslap</t>
  </si>
  <si>
    <t>Vielle</t>
  </si>
  <si>
    <t>Viol</t>
  </si>
  <si>
    <t>Viola</t>
  </si>
  <si>
    <t>Viola Da Gamba</t>
  </si>
  <si>
    <t>Violoncello</t>
  </si>
  <si>
    <t>Vocals</t>
  </si>
  <si>
    <t>Vocoder</t>
  </si>
  <si>
    <t>Washboard</t>
  </si>
  <si>
    <t>Whistle</t>
  </si>
  <si>
    <t>Wood Block</t>
  </si>
  <si>
    <t>Wood Flute</t>
  </si>
  <si>
    <t>Wurlitzer</t>
  </si>
  <si>
    <t>Xylophone</t>
  </si>
  <si>
    <t>Zarb</t>
  </si>
  <si>
    <t>Zither</t>
  </si>
  <si>
    <t>Özgün</t>
  </si>
  <si>
    <t>Sample Data</t>
  </si>
  <si>
    <t>1) Artists list</t>
  </si>
  <si>
    <t>Bob Dylan</t>
  </si>
  <si>
    <t>https://artlistdata.blob.core.windows.net/artlist-artistpage/Assaf_Ayalon_-_P_-_3000.jpg</t>
  </si>
  <si>
    <t>The Doors</t>
  </si>
  <si>
    <t>2) Labels list</t>
  </si>
  <si>
    <t>Epic</t>
  </si>
  <si>
    <t>3) Release_Label</t>
  </si>
  <si>
    <t>RELEASE IMAGE URL</t>
  </si>
  <si>
    <t>public URL triggering DIRECT DOWNLOAD of file
(required if distributing content)</t>
  </si>
  <si>
    <t>UPC: 12 digits
EAN: 13 digits
blank if no code yet</t>
  </si>
  <si>
    <t>Internal Ref. ID
required if no code yet</t>
  </si>
  <si>
    <t>Genre
(select from list, start typing or drag)</t>
  </si>
  <si>
    <t>Other/Sub-genre
(select from list, start typing or drag)</t>
  </si>
  <si>
    <t>https://artlistdata.blob.core.windows.net/artlist-images/Soul_Salvation_-_3000_-_18.6.19.jpg</t>
  </si>
  <si>
    <t>Soul Salvation</t>
  </si>
  <si>
    <t>Artlist Original</t>
  </si>
  <si>
    <t>4) Release_Artist(s)</t>
  </si>
  <si>
    <t>ONE ARTIST PER ROW
select from Artists list, start typing or drag
If compilation: Various Artists</t>
  </si>
  <si>
    <t>filter(A:B,F:F="Main Primary Artist")</t>
  </si>
  <si>
    <t>5) Release_Track</t>
  </si>
  <si>
    <t>ISRC</t>
  </si>
  <si>
    <t>CCXXXYY#####
blank if no ISRC yet</t>
  </si>
  <si>
    <t>Internal Ref. ID required if no ISRC/vISRC</t>
  </si>
  <si>
    <t>(select from list, start 
typing or drag)
If no lyrics, select Instrumental</t>
  </si>
  <si>
    <t>public URL triggering audio file DOWNLOAD</t>
  </si>
  <si>
    <t>IL6651901116</t>
  </si>
  <si>
    <t>https://artlistdata.blob.core.windows.net/artlist-wave/Soul_Salvation_-_Soul_Salvation_-_Master_(16-44.1).wav</t>
  </si>
  <si>
    <t>IL6651901117</t>
  </si>
  <si>
    <t>https://artlistdata.blob.core.windows.net/artlist-wave/Soul_Salvation_-_Soul_Salvation_-_Instrumental_-_Master_(16-44.1).wav</t>
  </si>
  <si>
    <t>IL6651901128</t>
  </si>
  <si>
    <t>Going Back</t>
  </si>
  <si>
    <t>https://artlistdata.blob.core.windows.net/artlist-wave/Soul_Salvation_-_Going_Back_(16-44.1).wav</t>
  </si>
  <si>
    <t>6) Track_Artist(s)</t>
  </si>
  <si>
    <t>7) Comp Contributor/Publisher lists</t>
  </si>
  <si>
    <t>Jan Dough</t>
  </si>
  <si>
    <t>AK publishing, LLC (BMI)</t>
  </si>
  <si>
    <t>Elliot Cook</t>
  </si>
  <si>
    <t>AK The Savior Publishing (BMI)</t>
  </si>
  <si>
    <t>8) Track_Composition(s)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</si>
</sst>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h:mm:ss"/>
    <numFmt numFmtId="165" formatCode="yyyy-mm-dd"/>
    <numFmt numFmtId="166" formatCode="yyyy&quot;-&quot;mm&quot;-&quot;dd"/>
    <numFmt numFmtId="167" formatCode="yyyy-mm"/>
  </numFmts>
  <fonts count="60">
    <font>
      <sz val="10.0"/>
      <color rgb="FF000000"/>
      <name val="Arial"/>
      <scheme val="minor"/>
    </font>
    <font>
      <color theme="1"/>
      <name val="Arial"/>
      <scheme val="minor"/>
    </font>
    <font>
      <b/>
      <color rgb="FFFFFFFF"/>
      <name val="Arial"/>
      <scheme val="minor"/>
    </font>
    <font>
      <b/>
      <color theme="1"/>
      <name val="Arial"/>
    </font>
    <font>
      <i/>
      <color rgb="FF000000"/>
      <name val="Arial"/>
      <scheme val="minor"/>
    </font>
    <font>
      <b/>
      <color theme="1"/>
      <name val="-apple-system"/>
    </font>
    <font>
      <b/>
      <color rgb="FFFF0000"/>
      <name val="Arial"/>
    </font>
    <font>
      <sz val="11.0"/>
      <color rgb="FF172B4D"/>
      <name val="-apple-system"/>
    </font>
    <font>
      <sz val="11.0"/>
      <color rgb="FF172B4D"/>
      <name val="Arial"/>
    </font>
    <font>
      <b/>
      <sz val="9.0"/>
      <color rgb="FF000000"/>
      <name val="Calibri"/>
    </font>
    <font>
      <sz val="9.0"/>
      <color rgb="FF000000"/>
      <name val="Calibri"/>
    </font>
    <font>
      <sz val="9.0"/>
      <color theme="1"/>
      <name val="Calibri"/>
    </font>
    <font>
      <b/>
      <sz val="9.0"/>
      <color theme="1"/>
      <name val="Calibri"/>
    </font>
    <font>
      <b/>
      <sz val="9.0"/>
      <color theme="1"/>
      <name val="Arial"/>
    </font>
    <font>
      <b/>
      <sz val="10.0"/>
      <color theme="1"/>
      <name val="Arial"/>
    </font>
    <font>
      <color theme="1"/>
      <name val="Arial"/>
    </font>
    <font>
      <color theme="1"/>
      <name val="'Consolas'"/>
    </font>
    <font>
      <b/>
      <color rgb="FF000000"/>
      <name val="Arial"/>
    </font>
    <font>
      <color rgb="FF000000"/>
      <name val="Arial"/>
    </font>
    <font>
      <sz val="11.0"/>
      <color rgb="FF000000"/>
      <name val="&quot;Aptos Narrow&quot;"/>
    </font>
    <font>
      <u/>
      <color rgb="FF0000FF"/>
    </font>
    <font>
      <color rgb="FF000000"/>
      <name val="Arial"/>
      <scheme val="minor"/>
    </font>
    <font>
      <sz val="11.0"/>
      <color rgb="FF000000"/>
      <name val="Inconsolata"/>
    </font>
    <font>
      <sz val="11.0"/>
      <color rgb="FF000000"/>
      <name val="Arial"/>
    </font>
    <font>
      <b/>
      <color theme="1"/>
      <name val="Arial"/>
      <scheme val="minor"/>
    </font>
    <font>
      <sz val="12.0"/>
      <color theme="1"/>
      <name val="Calibri"/>
    </font>
    <font>
      <b/>
      <sz val="13.0"/>
      <color rgb="FFFFFFFF"/>
      <name val="Calibri"/>
    </font>
    <font>
      <color rgb="FF1750EB"/>
      <name val="Consolas"/>
    </font>
    <font>
      <sz val="12.0"/>
      <color rgb="FF000000"/>
      <name val="Calibri"/>
    </font>
    <font>
      <sz val="11.0"/>
      <color rgb="FF000000"/>
      <name val="Calibri"/>
    </font>
    <font>
      <color rgb="FFEA4335"/>
      <name val="Arial"/>
      <scheme val="minor"/>
    </font>
    <font>
      <u/>
      <color rgb="FF0000FF"/>
      <name val="'Consolas'"/>
    </font>
    <font>
      <b/>
      <i/>
      <color rgb="FF0000FF"/>
      <name val="Consolas"/>
    </font>
    <font>
      <b/>
      <sz val="14.0"/>
      <color rgb="FFFFFFFF"/>
      <name val="Calibri"/>
    </font>
    <font>
      <sz val="10.0"/>
      <color theme="1"/>
      <name val="Arial"/>
    </font>
    <font>
      <sz val="11.0"/>
      <color theme="1"/>
      <name val="Aptos Narrow"/>
    </font>
    <font>
      <color theme="1"/>
      <name val="Calibri"/>
    </font>
    <font>
      <sz val="9.0"/>
      <color theme="1"/>
      <name val="Arial"/>
    </font>
    <font>
      <u/>
      <color rgb="FF0000FF"/>
    </font>
    <font>
      <color rgb="FF871094"/>
      <name val="Consolas"/>
    </font>
    <font>
      <u/>
      <color rgb="FF0000FF"/>
      <name val="'Consolas'"/>
    </font>
    <font>
      <color rgb="FF0033B3"/>
      <name val="Consolas"/>
    </font>
    <font>
      <i/>
      <color rgb="FF1750EB"/>
      <name val="Consolas"/>
    </font>
    <font>
      <sz val="11.0"/>
      <color theme="1"/>
      <name val="Arial"/>
    </font>
    <font>
      <sz val="12.0"/>
      <color rgb="FFFF0000"/>
      <name val="Calibri"/>
    </font>
    <font>
      <b/>
      <sz val="12.0"/>
      <color rgb="FFFF0000"/>
      <name val="Calibri"/>
    </font>
    <font>
      <sz val="12.0"/>
      <color rgb="FFFFFFFF"/>
      <name val="Calibri"/>
    </font>
    <font>
      <sz val="10.0"/>
      <color rgb="FFFF0000"/>
      <name val="Arial"/>
    </font>
    <font>
      <sz val="12.0"/>
      <color rgb="FF000000"/>
      <name val="Arial"/>
    </font>
    <font>
      <sz val="11.0"/>
      <color theme="1"/>
      <name val="Calibri"/>
    </font>
    <font>
      <sz val="12.0"/>
      <color theme="1"/>
      <name val="Arial"/>
    </font>
    <font>
      <b/>
      <sz val="12.0"/>
      <color theme="1"/>
      <name val="Arial"/>
    </font>
    <font>
      <sz val="12.0"/>
      <color rgb="FFFFFFFF"/>
      <name val="Arial"/>
    </font>
    <font>
      <b/>
      <sz val="12.0"/>
      <color rgb="FF000000"/>
      <name val="Arial"/>
    </font>
    <font>
      <color rgb="FF080808"/>
      <name val="Consolas"/>
    </font>
    <font>
      <sz val="10.0"/>
      <color rgb="FF222222"/>
      <name val="Arial"/>
      <scheme val="minor"/>
    </font>
    <font>
      <sz val="11.0"/>
      <color rgb="FF222222"/>
      <name val="&quot;Google Sans&quot;"/>
    </font>
    <font>
      <name val="'Consolas'"/>
    </font>
    <font>
      <sz val="11.0"/>
      <color rgb="FF222222"/>
      <name val="Arial"/>
    </font>
    <font/>
  </fonts>
  <fills count="16">
    <fill>
      <patternFill patternType="none"/>
    </fill>
    <fill>
      <patternFill patternType="lightGray"/>
    </fill>
    <fill>
      <patternFill patternType="solid">
        <fgColor rgb="FFFFFFFF"/>
        <bgColor rgb="FFFFFFFF"/>
      </patternFill>
    </fill>
    <fill>
      <patternFill patternType="solid">
        <fgColor rgb="FF4611EA"/>
        <bgColor rgb="FF4611EA"/>
      </patternFill>
    </fill>
    <fill>
      <patternFill patternType="solid">
        <fgColor rgb="FFD9D9D9"/>
        <bgColor rgb="FFD9D9D9"/>
      </patternFill>
    </fill>
    <fill>
      <patternFill patternType="solid">
        <fgColor rgb="FF000000"/>
        <bgColor rgb="FF000000"/>
      </patternFill>
    </fill>
    <fill>
      <patternFill patternType="solid">
        <fgColor rgb="FFFFF2CC"/>
        <bgColor rgb="FFFFF2CC"/>
      </patternFill>
    </fill>
    <fill>
      <patternFill patternType="solid">
        <fgColor rgb="FFCFE2F3"/>
        <bgColor rgb="FFCFE2F3"/>
      </patternFill>
    </fill>
    <fill>
      <patternFill patternType="solid">
        <fgColor rgb="FFEAD1DC"/>
        <bgColor rgb="FFEAD1DC"/>
      </patternFill>
    </fill>
    <fill>
      <patternFill patternType="solid">
        <fgColor rgb="FFB7E1CD"/>
        <bgColor rgb="FFB7E1CD"/>
      </patternFill>
    </fill>
    <fill>
      <patternFill patternType="solid">
        <fgColor rgb="FF4711EA"/>
        <bgColor rgb="FF4711EA"/>
      </patternFill>
    </fill>
    <fill>
      <patternFill patternType="solid">
        <fgColor theme="0"/>
        <bgColor theme="0"/>
      </patternFill>
    </fill>
    <fill>
      <patternFill patternType="solid">
        <fgColor rgb="FFEFEFEF"/>
        <bgColor rgb="FFEFEFEF"/>
      </patternFill>
    </fill>
    <fill>
      <patternFill patternType="solid">
        <fgColor rgb="FF999999"/>
        <bgColor rgb="FF999999"/>
      </patternFill>
    </fill>
    <fill>
      <patternFill patternType="solid">
        <fgColor rgb="FF4A86E8"/>
        <bgColor rgb="FF4A86E8"/>
      </patternFill>
    </fill>
    <fill>
      <patternFill patternType="solid">
        <fgColor rgb="FF00FFFF"/>
        <bgColor rgb="FF00FFFF"/>
      </patternFill>
    </fill>
  </fills>
  <borders count="11">
    <border/>
    <border>
      <right/>
    </border>
    <border>
      <left style="thin">
        <color rgb="FF000000"/>
      </left>
      <right style="thin">
        <color rgb="FF000000"/>
      </right>
      <top style="thin">
        <color rgb="FF000000"/>
      </top>
      <bottom style="thin">
        <color rgb="FF000000"/>
      </bottom>
    </border>
    <border>
      <left/>
      <right/>
      <top/>
    </border>
    <border>
      <bottom/>
    </border>
    <border>
      <left/>
      <right/>
      <top/>
      <bottom/>
    </border>
    <border>
      <left/>
      <right/>
    </border>
    <border>
      <left/>
      <right style="thin">
        <color rgb="FFFFFFFF"/>
      </right>
      <bottom/>
    </border>
    <border>
      <left style="thin">
        <color rgb="FFFFFFFF"/>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52">
    <xf borderId="0" fillId="0" fontId="0" numFmtId="0" xfId="0" applyAlignment="1" applyFont="1">
      <alignment readingOrder="0" shrinkToFit="0" vertical="bottom" wrapText="0"/>
    </xf>
    <xf borderId="0" fillId="2" fontId="1" numFmtId="0" xfId="0" applyFill="1" applyFont="1"/>
    <xf borderId="0" fillId="3" fontId="2" numFmtId="0" xfId="0" applyAlignment="1" applyFill="1" applyFont="1">
      <alignment horizontal="center" readingOrder="0"/>
    </xf>
    <xf borderId="0" fillId="2" fontId="1" numFmtId="0" xfId="0" applyAlignment="1" applyFont="1">
      <alignment horizontal="right" readingOrder="0"/>
    </xf>
    <xf borderId="1" fillId="2" fontId="3" numFmtId="0" xfId="0" applyAlignment="1" applyBorder="1" applyFont="1">
      <alignment shrinkToFit="0" vertical="bottom" wrapText="0"/>
    </xf>
    <xf borderId="1" fillId="2" fontId="3" numFmtId="0" xfId="0" applyAlignment="1" applyBorder="1" applyFont="1">
      <alignment readingOrder="0" shrinkToFit="0" vertical="bottom" wrapText="0"/>
    </xf>
    <xf borderId="0" fillId="2" fontId="3" numFmtId="0" xfId="0" applyAlignment="1" applyFont="1">
      <alignment readingOrder="0"/>
    </xf>
    <xf borderId="0" fillId="2" fontId="4" numFmtId="0" xfId="0" applyAlignment="1" applyFont="1">
      <alignment readingOrder="0"/>
    </xf>
    <xf borderId="0" fillId="0" fontId="1" numFmtId="0" xfId="0" applyAlignment="1" applyFont="1">
      <alignment readingOrder="0"/>
    </xf>
    <xf borderId="0" fillId="2" fontId="5" numFmtId="0" xfId="0" applyFont="1"/>
    <xf borderId="0" fillId="2" fontId="6"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4" fontId="9" numFmtId="0" xfId="0" applyAlignment="1" applyFill="1" applyFont="1">
      <alignment horizontal="center" shrinkToFit="0" wrapText="1"/>
    </xf>
    <xf borderId="0" fillId="5" fontId="2" numFmtId="0" xfId="0" applyAlignment="1" applyFill="1" applyFont="1">
      <alignment horizontal="center" readingOrder="0"/>
    </xf>
    <xf borderId="0" fillId="4" fontId="10" numFmtId="0" xfId="0" applyAlignment="1" applyFont="1">
      <alignment horizontal="center" shrinkToFit="0" vertical="bottom" wrapText="1"/>
    </xf>
    <xf borderId="0" fillId="4" fontId="9" numFmtId="0" xfId="0" applyAlignment="1" applyFont="1">
      <alignment horizontal="center" shrinkToFit="0" vertical="bottom" wrapText="1"/>
    </xf>
    <xf borderId="0" fillId="4" fontId="11" numFmtId="0" xfId="0" applyAlignment="1" applyFont="1">
      <alignment horizontal="center" shrinkToFit="0" vertical="bottom" wrapText="1"/>
    </xf>
    <xf borderId="0" fillId="4" fontId="12" numFmtId="0" xfId="0" applyAlignment="1" applyFont="1">
      <alignment horizontal="center" shrinkToFit="0" vertical="bottom" wrapText="1"/>
    </xf>
    <xf borderId="0" fillId="0" fontId="13" numFmtId="0" xfId="0" applyAlignment="1" applyFont="1">
      <alignment horizontal="right" shrinkToFit="0" vertical="bottom" wrapText="0"/>
    </xf>
    <xf borderId="0" fillId="0" fontId="1" numFmtId="164" xfId="0" applyAlignment="1" applyFont="1" applyNumberFormat="1">
      <alignment readingOrder="0"/>
    </xf>
    <xf borderId="0" fillId="6" fontId="14" numFmtId="49" xfId="0" applyAlignment="1" applyFill="1" applyFont="1" applyNumberFormat="1">
      <alignment horizontal="center" shrinkToFit="0" vertical="center" wrapText="1"/>
    </xf>
    <xf borderId="0" fillId="7" fontId="14" numFmtId="49" xfId="0" applyAlignment="1" applyFill="1" applyFont="1" applyNumberFormat="1">
      <alignment horizontal="center" shrinkToFit="0" vertical="center" wrapText="1"/>
    </xf>
    <xf borderId="0" fillId="8" fontId="3" numFmtId="0" xfId="0" applyAlignment="1" applyFill="1" applyFont="1">
      <alignment horizontal="center" vertical="bottom"/>
    </xf>
    <xf quotePrefix="1" borderId="0" fillId="8" fontId="3" numFmtId="0" xfId="0" applyAlignment="1" applyFont="1">
      <alignment horizontal="right" vertical="bottom"/>
    </xf>
    <xf borderId="0" fillId="7" fontId="3" numFmtId="49" xfId="0" applyAlignment="1" applyFont="1" applyNumberFormat="1">
      <alignment shrinkToFit="0" wrapText="1"/>
    </xf>
    <xf borderId="0" fillId="7" fontId="15" numFmtId="49" xfId="0" applyAlignment="1" applyFont="1" applyNumberFormat="1">
      <alignment vertical="bottom"/>
    </xf>
    <xf borderId="0" fillId="4" fontId="12" numFmtId="0" xfId="0" applyAlignment="1" applyFont="1">
      <alignment horizontal="center" shrinkToFit="0" vertical="bottom" wrapText="1"/>
    </xf>
    <xf borderId="0" fillId="2" fontId="16" numFmtId="0" xfId="0" applyAlignment="1" applyFont="1">
      <alignment readingOrder="0"/>
    </xf>
    <xf borderId="0" fillId="6" fontId="14" numFmtId="49" xfId="0" applyAlignment="1" applyFont="1" applyNumberFormat="1">
      <alignment horizontal="center" readingOrder="0" shrinkToFit="0" vertical="center" wrapText="1"/>
    </xf>
    <xf borderId="0" fillId="7" fontId="3" numFmtId="0" xfId="0" applyAlignment="1" applyFont="1">
      <alignment horizontal="center" readingOrder="0"/>
    </xf>
    <xf borderId="0" fillId="8" fontId="17" numFmtId="0" xfId="0" applyAlignment="1" applyFont="1">
      <alignment horizontal="center" shrinkToFit="0" vertical="bottom" wrapText="1"/>
    </xf>
    <xf borderId="0" fillId="8" fontId="3" numFmtId="0" xfId="0" applyAlignment="1" applyFont="1">
      <alignment horizontal="center" shrinkToFit="0" vertical="bottom" wrapText="1"/>
    </xf>
    <xf borderId="0" fillId="7" fontId="3" numFmtId="0" xfId="0" applyAlignment="1" applyFont="1">
      <alignment horizontal="center" vertical="bottom"/>
    </xf>
    <xf borderId="0" fillId="0" fontId="15" numFmtId="0" xfId="0" applyAlignment="1" applyFont="1">
      <alignment vertical="bottom"/>
    </xf>
    <xf borderId="0" fillId="6" fontId="15" numFmtId="0" xfId="0" applyAlignment="1" applyFont="1">
      <alignment horizontal="center" readingOrder="0" shrinkToFit="0" wrapText="1"/>
    </xf>
    <xf borderId="0" fillId="7" fontId="15" numFmtId="0" xfId="0" applyAlignment="1" applyFont="1">
      <alignment horizontal="center" readingOrder="0" shrinkToFit="0" wrapText="1"/>
    </xf>
    <xf borderId="0" fillId="8" fontId="18" numFmtId="0" xfId="0" applyAlignment="1" applyFont="1">
      <alignment horizontal="center" shrinkToFit="0" vertical="bottom" wrapText="1"/>
    </xf>
    <xf borderId="0" fillId="8" fontId="15" numFmtId="0" xfId="0" applyAlignment="1" applyFont="1">
      <alignment horizontal="center" shrinkToFit="0" vertical="bottom" wrapText="1"/>
    </xf>
    <xf borderId="0" fillId="7" fontId="15" numFmtId="0" xfId="0" applyAlignment="1" applyFont="1">
      <alignment horizontal="center" shrinkToFit="0" vertical="bottom" wrapText="1"/>
    </xf>
    <xf borderId="0" fillId="7" fontId="15" numFmtId="0" xfId="0" applyAlignment="1" applyFont="1">
      <alignment horizontal="center" shrinkToFit="0" vertical="bottom" wrapText="1"/>
    </xf>
    <xf borderId="0" fillId="7" fontId="15" numFmtId="0" xfId="0" applyAlignment="1" applyFont="1">
      <alignment vertical="bottom"/>
    </xf>
    <xf borderId="0" fillId="9" fontId="12" numFmtId="0" xfId="0" applyAlignment="1" applyFill="1" applyFont="1">
      <alignment horizontal="center" shrinkToFit="0" vertical="bottom" wrapText="1"/>
    </xf>
    <xf borderId="0" fillId="2" fontId="16" numFmtId="164" xfId="0" applyAlignment="1" applyFont="1" applyNumberFormat="1">
      <alignment readingOrder="0"/>
    </xf>
    <xf borderId="0" fillId="0" fontId="19" numFmtId="0" xfId="0" applyAlignment="1" applyFont="1">
      <alignment readingOrder="0" shrinkToFit="0" vertical="bottom" wrapText="0"/>
    </xf>
    <xf borderId="0" fillId="0" fontId="20" numFmtId="0" xfId="0" applyAlignment="1" applyFont="1">
      <alignment readingOrder="0"/>
    </xf>
    <xf borderId="0" fillId="0" fontId="1" numFmtId="0" xfId="0" applyAlignment="1" applyFont="1">
      <alignment readingOrder="0"/>
    </xf>
    <xf borderId="0" fillId="0" fontId="15" numFmtId="0" xfId="0" applyAlignment="1" applyFont="1">
      <alignment vertical="bottom"/>
    </xf>
    <xf borderId="0" fillId="0" fontId="21" numFmtId="0" xfId="0" applyAlignment="1" applyFont="1">
      <alignment readingOrder="0"/>
    </xf>
    <xf borderId="0" fillId="2" fontId="22" numFmtId="0" xfId="0" applyAlignment="1" applyFont="1">
      <alignment readingOrder="0"/>
    </xf>
    <xf borderId="0" fillId="0" fontId="23" numFmtId="0" xfId="0" applyAlignment="1" applyFont="1">
      <alignment readingOrder="0" shrinkToFit="0" vertical="bottom" wrapText="0"/>
    </xf>
    <xf borderId="0" fillId="0" fontId="19" numFmtId="0" xfId="0" applyAlignment="1" applyFont="1">
      <alignment readingOrder="0" shrinkToFit="0" vertical="bottom" wrapText="0"/>
    </xf>
    <xf borderId="0" fillId="0" fontId="1" numFmtId="165" xfId="0" applyAlignment="1" applyFont="1" applyNumberFormat="1">
      <alignment readingOrder="0"/>
    </xf>
    <xf borderId="0" fillId="6" fontId="3" numFmtId="0" xfId="0" applyAlignment="1" applyFont="1">
      <alignment horizontal="center" readingOrder="0" shrinkToFit="0" wrapText="1"/>
    </xf>
    <xf borderId="0" fillId="0" fontId="9" numFmtId="0" xfId="0" applyAlignment="1" applyFont="1">
      <alignment horizontal="center" shrinkToFit="0" vertical="bottom" wrapText="1"/>
    </xf>
    <xf quotePrefix="1" borderId="0" fillId="8" fontId="24" numFmtId="49" xfId="0" applyAlignment="1" applyFont="1" applyNumberFormat="1">
      <alignment readingOrder="0"/>
    </xf>
    <xf quotePrefix="1" borderId="0" fillId="7" fontId="14" numFmtId="49" xfId="0" applyAlignment="1" applyFont="1" applyNumberFormat="1">
      <alignment horizontal="center" readingOrder="0" shrinkToFit="0" vertical="center" wrapText="1"/>
    </xf>
    <xf borderId="0" fillId="4" fontId="9" numFmtId="49" xfId="0" applyAlignment="1" applyFont="1" applyNumberFormat="1">
      <alignment horizontal="center" shrinkToFit="0" wrapText="1"/>
    </xf>
    <xf borderId="0" fillId="0" fontId="25" numFmtId="49" xfId="0" applyFont="1" applyNumberFormat="1"/>
    <xf borderId="0" fillId="0" fontId="25" numFmtId="0" xfId="0" applyFont="1"/>
    <xf quotePrefix="1" borderId="0" fillId="7" fontId="14" numFmtId="166" xfId="0" applyAlignment="1" applyFont="1" applyNumberFormat="1">
      <alignment horizontal="center" readingOrder="0" shrinkToFit="0" vertical="center" wrapText="1"/>
    </xf>
    <xf borderId="0" fillId="0" fontId="1" numFmtId="0" xfId="0" applyFont="1"/>
    <xf borderId="0" fillId="10" fontId="26" numFmtId="0" xfId="0" applyAlignment="1" applyFill="1" applyFont="1">
      <alignment readingOrder="0" shrinkToFit="0" vertical="bottom" wrapText="0"/>
    </xf>
    <xf borderId="0" fillId="10" fontId="15" numFmtId="0" xfId="0" applyAlignment="1" applyFont="1">
      <alignment vertical="bottom"/>
    </xf>
    <xf borderId="0" fillId="10" fontId="15" numFmtId="49" xfId="0" applyAlignment="1" applyFont="1" applyNumberFormat="1">
      <alignment vertical="bottom"/>
    </xf>
    <xf borderId="0" fillId="10" fontId="15" numFmtId="0" xfId="0" applyAlignment="1" applyFont="1">
      <alignment vertical="bottom"/>
    </xf>
    <xf borderId="0" fillId="10" fontId="15" numFmtId="166" xfId="0" applyAlignment="1" applyFont="1" applyNumberFormat="1">
      <alignment vertical="bottom"/>
    </xf>
    <xf borderId="0" fillId="6" fontId="3" numFmtId="0" xfId="0" applyAlignment="1" applyFont="1">
      <alignment horizontal="center" shrinkToFit="0" wrapText="1"/>
    </xf>
    <xf borderId="0" fillId="8" fontId="3" numFmtId="49" xfId="0" applyAlignment="1" applyFont="1" applyNumberFormat="1">
      <alignment horizontal="center" readingOrder="0" shrinkToFit="0" wrapText="1"/>
    </xf>
    <xf borderId="0" fillId="8" fontId="3" numFmtId="49" xfId="0" applyAlignment="1" applyFont="1" applyNumberFormat="1">
      <alignment horizontal="center" shrinkToFit="0" vertical="bottom" wrapText="1"/>
    </xf>
    <xf borderId="0" fillId="8" fontId="3" numFmtId="49" xfId="0" applyAlignment="1" applyFont="1" applyNumberFormat="1">
      <alignment horizontal="center" shrinkToFit="0" wrapText="1"/>
    </xf>
    <xf borderId="0" fillId="8" fontId="3" numFmtId="49" xfId="0" applyAlignment="1" applyFont="1" applyNumberFormat="1">
      <alignment horizontal="center" readingOrder="0" shrinkToFit="0" wrapText="1"/>
    </xf>
    <xf borderId="0" fillId="6" fontId="3" numFmtId="49" xfId="0" applyAlignment="1" applyFont="1" applyNumberFormat="1">
      <alignment horizontal="center" shrinkToFit="0" wrapText="1"/>
    </xf>
    <xf borderId="0" fillId="7" fontId="3" numFmtId="49" xfId="0" applyAlignment="1" applyFont="1" applyNumberFormat="1">
      <alignment horizontal="center" shrinkToFit="0" wrapText="1"/>
    </xf>
    <xf borderId="0" fillId="6" fontId="3" numFmtId="0" xfId="0" applyAlignment="1" applyFont="1">
      <alignment horizontal="left" readingOrder="0" shrinkToFit="0" wrapText="0"/>
    </xf>
    <xf borderId="0" fillId="7" fontId="3" numFmtId="166" xfId="0" applyAlignment="1" applyFont="1" applyNumberFormat="1">
      <alignment horizontal="center" shrinkToFit="0" wrapText="1"/>
    </xf>
    <xf borderId="0" fillId="6" fontId="3" numFmtId="0" xfId="0" applyAlignment="1" applyFont="1">
      <alignment horizontal="center" shrinkToFit="0" vertical="bottom" wrapText="1"/>
    </xf>
    <xf borderId="0" fillId="7" fontId="3" numFmtId="0" xfId="0" applyAlignment="1" applyFont="1">
      <alignment horizontal="center" shrinkToFit="0" vertical="bottom" wrapText="1"/>
    </xf>
    <xf borderId="0" fillId="2" fontId="27" numFmtId="0" xfId="0" applyAlignment="1" applyFont="1">
      <alignment readingOrder="0"/>
    </xf>
    <xf borderId="0" fillId="6" fontId="18" numFmtId="0" xfId="0" applyAlignment="1" applyFont="1">
      <alignment horizontal="center" readingOrder="0" shrinkToFit="0" wrapText="1"/>
    </xf>
    <xf borderId="0" fillId="8" fontId="15" numFmtId="49" xfId="0" applyAlignment="1" applyFont="1" applyNumberFormat="1">
      <alignment horizontal="center" readingOrder="0" shrinkToFit="0" wrapText="1"/>
    </xf>
    <xf borderId="0" fillId="8" fontId="15" numFmtId="49" xfId="0" applyAlignment="1" applyFont="1" applyNumberFormat="1">
      <alignment horizontal="center" readingOrder="0" shrinkToFit="0" wrapText="1"/>
    </xf>
    <xf borderId="0" fillId="8" fontId="15" numFmtId="49" xfId="0" applyAlignment="1" applyFont="1" applyNumberFormat="1">
      <alignment horizontal="center" readingOrder="0" shrinkToFit="0" wrapText="1"/>
    </xf>
    <xf borderId="0" fillId="6" fontId="15" numFmtId="49" xfId="0" applyAlignment="1" applyFont="1" applyNumberFormat="1">
      <alignment horizontal="center" readingOrder="0" shrinkToFit="0" wrapText="1"/>
    </xf>
    <xf borderId="0" fillId="7" fontId="15" numFmtId="0" xfId="0" applyAlignment="1" applyFont="1">
      <alignment horizontal="center" shrinkToFit="0" wrapText="1"/>
    </xf>
    <xf borderId="0" fillId="0" fontId="23" numFmtId="0" xfId="0" applyAlignment="1" applyFont="1">
      <alignment horizontal="right" readingOrder="0" shrinkToFit="0" vertical="bottom" wrapText="0"/>
    </xf>
    <xf borderId="0" fillId="0" fontId="15" numFmtId="49" xfId="0" applyAlignment="1" applyFont="1" applyNumberFormat="1">
      <alignment readingOrder="0" vertical="bottom"/>
    </xf>
    <xf borderId="0" fillId="0" fontId="19" numFmtId="49" xfId="0" applyAlignment="1" applyFont="1" applyNumberFormat="1">
      <alignment readingOrder="0" shrinkToFit="0" vertical="bottom" wrapText="0"/>
    </xf>
    <xf borderId="0" fillId="0" fontId="19" numFmtId="0" xfId="0" applyAlignment="1" applyFont="1">
      <alignment horizontal="right" readingOrder="0" shrinkToFit="0" vertical="bottom" wrapText="0"/>
    </xf>
    <xf borderId="0" fillId="0" fontId="28" numFmtId="166" xfId="0" applyAlignment="1" applyFont="1" applyNumberFormat="1">
      <alignment readingOrder="0" shrinkToFit="0" vertical="bottom" wrapText="0"/>
    </xf>
    <xf borderId="0" fillId="0" fontId="29" numFmtId="0" xfId="0" applyAlignment="1" applyFont="1">
      <alignment horizontal="left" readingOrder="0" shrinkToFit="0" vertical="bottom" wrapText="0"/>
    </xf>
    <xf borderId="0" fillId="2" fontId="15" numFmtId="0" xfId="0" applyAlignment="1" applyFont="1">
      <alignment readingOrder="0"/>
    </xf>
    <xf borderId="0" fillId="0" fontId="15" numFmtId="0" xfId="0" applyAlignment="1" applyFont="1">
      <alignment horizontal="center"/>
    </xf>
    <xf borderId="0" fillId="0" fontId="30" numFmtId="0" xfId="0" applyAlignment="1" applyFont="1">
      <alignment readingOrder="0"/>
    </xf>
    <xf borderId="0" fillId="2" fontId="31" numFmtId="0" xfId="0" applyAlignment="1" applyFont="1">
      <alignment readingOrder="0"/>
    </xf>
    <xf borderId="0" fillId="0" fontId="15" numFmtId="49" xfId="0" applyAlignment="1" applyFont="1" applyNumberFormat="1">
      <alignment vertical="bottom"/>
    </xf>
    <xf borderId="0" fillId="2" fontId="23" numFmtId="0" xfId="0" applyAlignment="1" applyFont="1">
      <alignment horizontal="right" readingOrder="0" shrinkToFit="0" vertical="bottom" wrapText="0"/>
    </xf>
    <xf borderId="0" fillId="0" fontId="23" numFmtId="49" xfId="0" applyAlignment="1" applyFont="1" applyNumberFormat="1">
      <alignment readingOrder="0" shrinkToFit="0" vertical="bottom" wrapText="0"/>
    </xf>
    <xf borderId="0" fillId="11" fontId="19" numFmtId="0" xfId="0" applyAlignment="1" applyFill="1" applyFont="1">
      <alignment horizontal="right" readingOrder="0" shrinkToFit="0" vertical="bottom" wrapText="0"/>
    </xf>
    <xf borderId="0" fillId="0" fontId="1" numFmtId="0" xfId="0" applyFont="1"/>
    <xf borderId="0" fillId="0" fontId="15" numFmtId="0" xfId="0" applyAlignment="1" applyFont="1">
      <alignment horizontal="right" vertical="bottom"/>
    </xf>
    <xf borderId="0" fillId="0" fontId="1" numFmtId="166" xfId="0" applyFont="1" applyNumberFormat="1"/>
    <xf borderId="0" fillId="0" fontId="29" numFmtId="0" xfId="0" applyAlignment="1" applyFont="1">
      <alignment horizontal="right" readingOrder="0" shrinkToFit="0" vertical="bottom" wrapText="0"/>
    </xf>
    <xf borderId="0" fillId="0" fontId="1" numFmtId="49" xfId="0" applyFont="1" applyNumberFormat="1"/>
    <xf borderId="0" fillId="0" fontId="1" numFmtId="0" xfId="0" applyAlignment="1" applyFont="1">
      <alignment horizontal="center"/>
    </xf>
    <xf quotePrefix="1" borderId="0" fillId="4" fontId="3" numFmtId="49" xfId="0" applyAlignment="1" applyFont="1" applyNumberFormat="1">
      <alignment horizontal="left" readingOrder="0" shrinkToFit="0" wrapText="0"/>
    </xf>
    <xf borderId="0" fillId="4" fontId="15" numFmtId="49" xfId="0" applyAlignment="1" applyFont="1" applyNumberFormat="1">
      <alignment horizontal="center" readingOrder="0" shrinkToFit="0" wrapText="1"/>
    </xf>
    <xf quotePrefix="1" borderId="0" fillId="8" fontId="24" numFmtId="0" xfId="0" applyAlignment="1" applyFont="1">
      <alignment readingOrder="0"/>
    </xf>
    <xf borderId="0" fillId="2" fontId="32" numFmtId="0" xfId="0" applyAlignment="1" applyFont="1">
      <alignment readingOrder="0"/>
    </xf>
    <xf borderId="0" fillId="10" fontId="26" numFmtId="0" xfId="0" applyAlignment="1" applyFont="1">
      <alignment readingOrder="0"/>
    </xf>
    <xf borderId="0" fillId="10" fontId="25" numFmtId="49" xfId="0" applyFont="1" applyNumberFormat="1"/>
    <xf borderId="0" fillId="10" fontId="33" numFmtId="0" xfId="0" applyAlignment="1" applyFont="1">
      <alignment readingOrder="0"/>
    </xf>
    <xf borderId="0" fillId="10" fontId="25" numFmtId="0" xfId="0" applyFont="1"/>
    <xf borderId="0" fillId="12" fontId="3" numFmtId="49" xfId="0" applyAlignment="1" applyFill="1" applyFont="1" applyNumberFormat="1">
      <alignment horizontal="center" shrinkToFit="0" wrapText="1"/>
    </xf>
    <xf borderId="0" fillId="6" fontId="3" numFmtId="49" xfId="0" applyAlignment="1" applyFont="1" applyNumberFormat="1">
      <alignment horizontal="center" readingOrder="0" shrinkToFit="0" wrapText="1"/>
    </xf>
    <xf borderId="0" fillId="12" fontId="3" numFmtId="49" xfId="0" applyAlignment="1" applyFont="1" applyNumberFormat="1">
      <alignment horizontal="center" shrinkToFit="0" vertical="bottom" wrapText="1"/>
    </xf>
    <xf borderId="0" fillId="12" fontId="15" numFmtId="49" xfId="0" applyAlignment="1" applyFont="1" applyNumberFormat="1">
      <alignment horizontal="center" readingOrder="0" shrinkToFit="0" wrapText="1"/>
    </xf>
    <xf borderId="0" fillId="6" fontId="34" numFmtId="49" xfId="0" applyAlignment="1" applyFont="1" applyNumberFormat="1">
      <alignment horizontal="center" readingOrder="0" shrinkToFit="0" vertical="bottom" wrapText="1"/>
    </xf>
    <xf borderId="0" fillId="12" fontId="15" numFmtId="0" xfId="0" applyAlignment="1" applyFont="1">
      <alignment horizontal="center" shrinkToFit="0" vertical="bottom" wrapText="1"/>
    </xf>
    <xf borderId="0" fillId="0" fontId="19" numFmtId="0" xfId="0" applyAlignment="1" applyFont="1">
      <alignment horizontal="right" readingOrder="0" shrinkToFit="0" vertical="bottom" wrapText="0"/>
    </xf>
    <xf borderId="0" fillId="0" fontId="1" numFmtId="49" xfId="0" applyAlignment="1" applyFont="1" applyNumberFormat="1">
      <alignment readingOrder="0"/>
    </xf>
    <xf borderId="0" fillId="12" fontId="16" numFmtId="0" xfId="0" applyAlignment="1" applyFont="1">
      <alignment readingOrder="0"/>
    </xf>
    <xf borderId="0" fillId="0" fontId="15" numFmtId="0" xfId="0" applyAlignment="1" applyFont="1">
      <alignment horizontal="center" readingOrder="0"/>
    </xf>
    <xf borderId="0" fillId="12" fontId="15" numFmtId="0" xfId="0" applyAlignment="1" applyFont="1">
      <alignment vertical="bottom"/>
    </xf>
    <xf borderId="0" fillId="2" fontId="16" numFmtId="49" xfId="0" applyAlignment="1" applyFont="1" applyNumberFormat="1">
      <alignment readingOrder="0"/>
    </xf>
    <xf borderId="0" fillId="12" fontId="15" numFmtId="0" xfId="0" applyAlignment="1" applyFont="1">
      <alignment vertical="bottom"/>
    </xf>
    <xf borderId="0" fillId="0" fontId="18" numFmtId="0" xfId="0" applyAlignment="1" applyFont="1">
      <alignment horizontal="right" readingOrder="0" shrinkToFit="0" vertical="bottom" wrapText="0"/>
    </xf>
    <xf borderId="0" fillId="0" fontId="16" numFmtId="0" xfId="0" applyAlignment="1" applyFont="1">
      <alignment readingOrder="0"/>
    </xf>
    <xf borderId="0" fillId="0" fontId="35" numFmtId="0" xfId="0" applyAlignment="1" applyFont="1">
      <alignment vertical="bottom"/>
    </xf>
    <xf borderId="0" fillId="10" fontId="25" numFmtId="0" xfId="0" applyAlignment="1" applyFont="1">
      <alignment horizontal="center"/>
    </xf>
    <xf borderId="0" fillId="10" fontId="25" numFmtId="0" xfId="0" applyAlignment="1" applyFont="1">
      <alignment horizontal="left"/>
    </xf>
    <xf borderId="0" fillId="0" fontId="36" numFmtId="0" xfId="0" applyFont="1"/>
    <xf borderId="0" fillId="8" fontId="3" numFmtId="0" xfId="0" applyAlignment="1" applyFont="1">
      <alignment horizontal="center" readingOrder="0" shrinkToFit="0" wrapText="1"/>
    </xf>
    <xf borderId="0" fillId="7" fontId="3" numFmtId="0" xfId="0" applyAlignment="1" applyFont="1">
      <alignment horizontal="center" shrinkToFit="0" wrapText="1"/>
    </xf>
    <xf borderId="0" fillId="7" fontId="3" numFmtId="0" xfId="0" applyAlignment="1" applyFont="1">
      <alignment horizontal="center" readingOrder="0" shrinkToFit="0" wrapText="1"/>
    </xf>
    <xf borderId="0" fillId="7" fontId="3" numFmtId="0" xfId="0" applyAlignment="1" applyFont="1">
      <alignment horizontal="center" shrinkToFit="0" vertical="bottom" wrapText="1"/>
    </xf>
    <xf borderId="0" fillId="12" fontId="15" numFmtId="49" xfId="0" applyAlignment="1" applyFont="1" applyNumberFormat="1">
      <alignment horizontal="center" readingOrder="0" shrinkToFit="0" wrapText="0"/>
    </xf>
    <xf borderId="0" fillId="12" fontId="17" numFmtId="49" xfId="0" applyAlignment="1" applyFont="1" applyNumberFormat="1">
      <alignment horizontal="center" readingOrder="0" vertical="center"/>
    </xf>
    <xf borderId="0" fillId="8" fontId="37" numFmtId="49" xfId="0" applyAlignment="1" applyFont="1" applyNumberFormat="1">
      <alignment horizontal="center" readingOrder="0" shrinkToFit="0" wrapText="1"/>
    </xf>
    <xf borderId="0" fillId="6" fontId="34" numFmtId="49" xfId="0" applyAlignment="1" applyFont="1" applyNumberFormat="1">
      <alignment horizontal="center" readingOrder="0" shrinkToFit="0" wrapText="1"/>
    </xf>
    <xf borderId="0" fillId="8" fontId="15" numFmtId="49" xfId="0" applyAlignment="1" applyFont="1" applyNumberFormat="1">
      <alignment horizontal="center" shrinkToFit="0" vertical="bottom" wrapText="1"/>
    </xf>
    <xf borderId="0" fillId="12" fontId="16" numFmtId="0" xfId="0" applyAlignment="1" applyFont="1">
      <alignment horizontal="left" readingOrder="0"/>
    </xf>
    <xf borderId="0" fillId="0" fontId="1" numFmtId="0" xfId="0" applyAlignment="1" applyFont="1">
      <alignment horizontal="center" readingOrder="0"/>
    </xf>
    <xf borderId="0" fillId="0" fontId="38" numFmtId="0" xfId="0" applyAlignment="1" applyFont="1">
      <alignment readingOrder="0" shrinkToFit="0" wrapText="0"/>
    </xf>
    <xf borderId="0" fillId="2" fontId="23" numFmtId="0" xfId="0" applyAlignment="1" applyFont="1">
      <alignment readingOrder="0"/>
    </xf>
    <xf borderId="0" fillId="2" fontId="15" numFmtId="0" xfId="0" applyAlignment="1" applyFont="1">
      <alignment vertical="bottom"/>
    </xf>
    <xf borderId="0" fillId="0" fontId="15" numFmtId="0" xfId="0" applyAlignment="1" applyFont="1">
      <alignment shrinkToFit="0" vertical="bottom" wrapText="0"/>
    </xf>
    <xf borderId="0" fillId="0" fontId="15" numFmtId="0" xfId="0" applyAlignment="1" applyFont="1">
      <alignment readingOrder="0" vertical="bottom"/>
    </xf>
    <xf borderId="0" fillId="2" fontId="39" numFmtId="0" xfId="0" applyAlignment="1" applyFont="1">
      <alignment readingOrder="0"/>
    </xf>
    <xf borderId="0" fillId="0" fontId="40" numFmtId="0" xfId="0" applyAlignment="1" applyFont="1">
      <alignment readingOrder="0" shrinkToFit="0" wrapText="0"/>
    </xf>
    <xf borderId="0" fillId="2" fontId="41" numFmtId="0" xfId="0" applyAlignment="1" applyFont="1">
      <alignment readingOrder="0"/>
    </xf>
    <xf borderId="0" fillId="0" fontId="18" numFmtId="0" xfId="0" applyAlignment="1" applyFont="1">
      <alignment readingOrder="0" shrinkToFit="0" vertical="bottom" wrapText="0"/>
    </xf>
    <xf borderId="0" fillId="0" fontId="1" numFmtId="0" xfId="0" applyAlignment="1" applyFont="1">
      <alignment horizontal="left"/>
    </xf>
    <xf borderId="0" fillId="2" fontId="42" numFmtId="0" xfId="0" applyAlignment="1" applyFont="1">
      <alignment readingOrder="0"/>
    </xf>
    <xf borderId="0" fillId="10" fontId="33" numFmtId="0" xfId="0" applyFont="1"/>
    <xf borderId="0" fillId="12" fontId="3" numFmtId="49" xfId="0" applyAlignment="1" applyFont="1" applyNumberFormat="1">
      <alignment horizontal="center" readingOrder="0" shrinkToFit="0" wrapText="1"/>
    </xf>
    <xf borderId="0" fillId="8" fontId="15" numFmtId="49" xfId="0" applyAlignment="1" applyFont="1" applyNumberFormat="1">
      <alignment horizontal="center" readingOrder="0" shrinkToFit="0" vertical="bottom" wrapText="1"/>
    </xf>
    <xf borderId="0" fillId="0" fontId="1" numFmtId="167" xfId="0" applyAlignment="1" applyFont="1" applyNumberFormat="1">
      <alignment readingOrder="0"/>
    </xf>
    <xf borderId="0" fillId="0" fontId="15" numFmtId="0" xfId="0" applyAlignment="1" applyFont="1">
      <alignment readingOrder="0" vertical="bottom"/>
    </xf>
    <xf quotePrefix="1" borderId="0" fillId="7" fontId="3" numFmtId="49" xfId="0" applyAlignment="1" applyFont="1" applyNumberFormat="1">
      <alignment horizontal="center" shrinkToFit="0" vertical="bottom" wrapText="1"/>
    </xf>
    <xf quotePrefix="1" borderId="0" fillId="8" fontId="24" numFmtId="0" xfId="0" applyAlignment="1" applyFont="1">
      <alignment horizontal="center" readingOrder="0"/>
    </xf>
    <xf borderId="0" fillId="8" fontId="15" numFmtId="0" xfId="0" applyAlignment="1" applyFont="1">
      <alignment vertical="bottom"/>
    </xf>
    <xf quotePrefix="1" borderId="0" fillId="7" fontId="3" numFmtId="49" xfId="0" applyAlignment="1" applyFont="1" applyNumberFormat="1">
      <alignment horizontal="center" shrinkToFit="0" wrapText="1"/>
    </xf>
    <xf borderId="0" fillId="7" fontId="3" numFmtId="49" xfId="0" applyAlignment="1" applyFont="1" applyNumberFormat="1">
      <alignment horizontal="center" shrinkToFit="0" vertical="bottom" wrapText="1"/>
    </xf>
    <xf borderId="0" fillId="7" fontId="15" numFmtId="49" xfId="0" applyAlignment="1" applyFont="1" applyNumberFormat="1">
      <alignment horizontal="center" shrinkToFit="0" vertical="bottom" wrapText="1"/>
    </xf>
    <xf borderId="0" fillId="2" fontId="43" numFmtId="0" xfId="0" applyAlignment="1" applyFont="1">
      <alignment readingOrder="0"/>
    </xf>
    <xf quotePrefix="1" borderId="0" fillId="12" fontId="3" numFmtId="49" xfId="0" applyAlignment="1" applyFont="1" applyNumberFormat="1">
      <alignment horizontal="left" readingOrder="0" shrinkToFit="0" wrapText="0"/>
    </xf>
    <xf borderId="0" fillId="12" fontId="15" numFmtId="49" xfId="0" applyAlignment="1" applyFont="1" applyNumberFormat="1">
      <alignment vertical="bottom"/>
    </xf>
    <xf borderId="0" fillId="4" fontId="9" numFmtId="4" xfId="0" applyAlignment="1" applyFont="1" applyNumberFormat="1">
      <alignment horizontal="center" shrinkToFit="0" wrapText="1"/>
    </xf>
    <xf borderId="2" fillId="10" fontId="33" numFmtId="0" xfId="0" applyAlignment="1" applyBorder="1" applyFont="1">
      <alignment readingOrder="0" shrinkToFit="0" vertical="bottom" wrapText="0"/>
    </xf>
    <xf borderId="0" fillId="8" fontId="24" numFmtId="0" xfId="0" applyAlignment="1" applyFont="1">
      <alignment readingOrder="0"/>
    </xf>
    <xf borderId="0" fillId="6" fontId="3" numFmtId="10" xfId="0" applyAlignment="1" applyFont="1" applyNumberFormat="1">
      <alignment horizontal="center" readingOrder="0" shrinkToFit="0" wrapText="1"/>
    </xf>
    <xf borderId="0" fillId="6" fontId="34" numFmtId="10" xfId="0" applyAlignment="1" applyFont="1" applyNumberFormat="1">
      <alignment horizontal="center" readingOrder="0" shrinkToFit="0" vertical="bottom" wrapText="1"/>
    </xf>
    <xf borderId="0" fillId="8" fontId="15" numFmtId="0" xfId="0" applyAlignment="1" applyFont="1">
      <alignment horizontal="center" readingOrder="0" shrinkToFit="0" wrapText="1"/>
    </xf>
    <xf borderId="0" fillId="0" fontId="1" numFmtId="10" xfId="0" applyAlignment="1" applyFont="1" applyNumberFormat="1">
      <alignment readingOrder="0"/>
    </xf>
    <xf borderId="0" fillId="12" fontId="16" numFmtId="10" xfId="0" applyAlignment="1" applyFont="1" applyNumberFormat="1">
      <alignment readingOrder="0"/>
    </xf>
    <xf borderId="0" fillId="0" fontId="18" numFmtId="0" xfId="0" applyAlignment="1" applyFont="1">
      <alignment horizontal="left" readingOrder="0"/>
    </xf>
    <xf borderId="0" fillId="0" fontId="16" numFmtId="10" xfId="0" applyAlignment="1" applyFont="1" applyNumberFormat="1">
      <alignment readingOrder="0"/>
    </xf>
    <xf borderId="0" fillId="0" fontId="1" numFmtId="10" xfId="0" applyFont="1" applyNumberFormat="1"/>
    <xf borderId="0" fillId="6" fontId="14" numFmtId="49" xfId="0" applyAlignment="1" applyFont="1" applyNumberFormat="1">
      <alignment horizontal="left" shrinkToFit="0" vertical="center" wrapText="0"/>
    </xf>
    <xf borderId="0" fillId="6" fontId="3" numFmtId="49" xfId="0" applyAlignment="1" applyFont="1" applyNumberFormat="1">
      <alignment horizontal="center" readingOrder="0" shrinkToFit="0" vertical="center" wrapText="0"/>
    </xf>
    <xf borderId="0" fillId="2" fontId="44" numFmtId="0" xfId="0" applyAlignment="1" applyFont="1">
      <alignment shrinkToFit="0" wrapText="0"/>
    </xf>
    <xf borderId="0" fillId="0" fontId="28" numFmtId="0" xfId="0" applyAlignment="1" applyFont="1">
      <alignment readingOrder="0" shrinkToFit="0" wrapText="0"/>
    </xf>
    <xf borderId="0" fillId="0" fontId="28" numFmtId="0" xfId="0" applyAlignment="1" applyFont="1">
      <alignment shrinkToFit="0" wrapText="0"/>
    </xf>
    <xf borderId="3" fillId="13" fontId="45" numFmtId="0" xfId="0" applyAlignment="1" applyBorder="1" applyFill="1" applyFont="1">
      <alignment vertical="bottom"/>
    </xf>
    <xf borderId="0" fillId="13" fontId="15" numFmtId="0" xfId="0" applyAlignment="1" applyFont="1">
      <alignment vertical="bottom"/>
    </xf>
    <xf borderId="4" fillId="13" fontId="15" numFmtId="0" xfId="0" applyAlignment="1" applyBorder="1" applyFont="1">
      <alignment horizontal="center" vertical="bottom"/>
    </xf>
    <xf borderId="4" fillId="13" fontId="15" numFmtId="0" xfId="0" applyAlignment="1" applyBorder="1" applyFont="1">
      <alignment vertical="bottom"/>
    </xf>
    <xf borderId="0" fillId="13" fontId="15" numFmtId="0" xfId="0" applyAlignment="1" applyFont="1">
      <alignment vertical="bottom"/>
    </xf>
    <xf borderId="3" fillId="13" fontId="46" numFmtId="0" xfId="0" applyAlignment="1" applyBorder="1" applyFont="1">
      <alignment vertical="bottom"/>
    </xf>
    <xf borderId="5" fillId="13" fontId="46" numFmtId="0" xfId="0" applyAlignment="1" applyBorder="1" applyFont="1">
      <alignment vertical="bottom"/>
    </xf>
    <xf borderId="0" fillId="13" fontId="46" numFmtId="0" xfId="0" applyAlignment="1" applyFont="1">
      <alignment vertical="bottom"/>
    </xf>
    <xf borderId="3" fillId="13" fontId="46" numFmtId="0" xfId="0" applyAlignment="1" applyBorder="1" applyFont="1">
      <alignment vertical="bottom"/>
    </xf>
    <xf borderId="6" fillId="13" fontId="46" numFmtId="0" xfId="0" applyAlignment="1" applyBorder="1" applyFont="1">
      <alignment vertical="bottom"/>
    </xf>
    <xf borderId="6" fillId="13" fontId="46" numFmtId="0" xfId="0" applyAlignment="1" applyBorder="1" applyFont="1">
      <alignment vertical="bottom"/>
    </xf>
    <xf borderId="0" fillId="13" fontId="46" numFmtId="0" xfId="0" applyAlignment="1" applyFont="1">
      <alignment vertical="bottom"/>
    </xf>
    <xf borderId="0" fillId="2" fontId="47" numFmtId="0" xfId="0" applyAlignment="1" applyFont="1">
      <alignment readingOrder="0" shrinkToFit="0" vertical="center" wrapText="0"/>
    </xf>
    <xf borderId="0" fillId="2" fontId="48" numFmtId="0" xfId="0" applyAlignment="1" applyFont="1">
      <alignment shrinkToFit="0" wrapText="0"/>
    </xf>
    <xf borderId="0" fillId="0" fontId="25" numFmtId="0" xfId="0" applyAlignment="1" applyFont="1">
      <alignment vertical="bottom"/>
    </xf>
    <xf borderId="0" fillId="0" fontId="49" numFmtId="0" xfId="0" applyAlignment="1" applyFont="1">
      <alignment vertical="bottom"/>
    </xf>
    <xf borderId="0" fillId="0" fontId="49" numFmtId="0" xfId="0" applyAlignment="1" applyFont="1">
      <alignment horizontal="right" vertical="bottom"/>
    </xf>
    <xf borderId="3" fillId="2" fontId="50" numFmtId="0" xfId="0" applyAlignment="1" applyBorder="1" applyFont="1">
      <alignment vertical="bottom"/>
    </xf>
    <xf borderId="0" fillId="0" fontId="50" numFmtId="0" xfId="0" applyAlignment="1" applyFont="1">
      <alignment vertical="bottom"/>
    </xf>
    <xf borderId="0" fillId="0" fontId="50" numFmtId="0" xfId="0" applyAlignment="1" applyFont="1">
      <alignment horizontal="right" vertical="bottom"/>
    </xf>
    <xf borderId="0" fillId="0" fontId="47" numFmtId="0" xfId="0" applyAlignment="1" applyFont="1">
      <alignment readingOrder="0" shrinkToFit="0" vertical="center" wrapText="0"/>
    </xf>
    <xf borderId="0" fillId="0" fontId="48" numFmtId="0" xfId="0" applyAlignment="1" applyFont="1">
      <alignment shrinkToFit="0" wrapText="0"/>
    </xf>
    <xf borderId="0" fillId="0" fontId="25" numFmtId="0" xfId="0" applyAlignment="1" applyFont="1">
      <alignment vertical="bottom"/>
    </xf>
    <xf borderId="3" fillId="2" fontId="51" numFmtId="0" xfId="0" applyAlignment="1" applyBorder="1" applyFont="1">
      <alignment vertical="bottom"/>
    </xf>
    <xf borderId="0" fillId="0" fontId="50" numFmtId="0" xfId="0" applyAlignment="1" applyFont="1">
      <alignment vertical="bottom"/>
    </xf>
    <xf borderId="7" fillId="14" fontId="52" numFmtId="0" xfId="0" applyAlignment="1" applyBorder="1" applyFill="1" applyFont="1">
      <alignment horizontal="center" readingOrder="0" shrinkToFit="0" wrapText="0"/>
    </xf>
    <xf borderId="8" fillId="14" fontId="52" numFmtId="0" xfId="0" applyAlignment="1" applyBorder="1" applyFont="1">
      <alignment horizontal="center" shrinkToFit="0" wrapText="0"/>
    </xf>
    <xf borderId="0" fillId="0" fontId="53" numFmtId="0" xfId="0" applyAlignment="1" applyFont="1">
      <alignment readingOrder="0" shrinkToFit="0" wrapText="0"/>
    </xf>
    <xf borderId="1" fillId="0" fontId="50" numFmtId="0" xfId="0" applyAlignment="1" applyBorder="1" applyFont="1">
      <alignment vertical="bottom"/>
    </xf>
    <xf borderId="1" fillId="0" fontId="50" numFmtId="0" xfId="0" applyAlignment="1" applyBorder="1" applyFont="1">
      <alignment horizontal="right" vertical="bottom"/>
    </xf>
    <xf borderId="0" fillId="0" fontId="15" numFmtId="0" xfId="0" applyAlignment="1" applyFont="1">
      <alignment horizontal="right" vertical="bottom"/>
    </xf>
    <xf borderId="0" fillId="2" fontId="54" numFmtId="0" xfId="0" applyAlignment="1" applyFont="1">
      <alignment vertical="bottom"/>
    </xf>
    <xf borderId="0" fillId="0" fontId="48" numFmtId="0" xfId="0" applyAlignment="1" applyFont="1">
      <alignment readingOrder="0" shrinkToFit="0" wrapText="0"/>
    </xf>
    <xf borderId="0" fillId="0" fontId="51" numFmtId="0" xfId="0" applyAlignment="1" applyFont="1">
      <alignment vertical="bottom"/>
    </xf>
    <xf borderId="0" fillId="0" fontId="51" numFmtId="0" xfId="0" applyAlignment="1" applyFont="1">
      <alignment vertical="bottom"/>
    </xf>
    <xf borderId="0" fillId="0" fontId="50" numFmtId="0" xfId="0" applyAlignment="1" applyFont="1">
      <alignment horizontal="right" vertical="bottom"/>
    </xf>
    <xf borderId="0" fillId="15" fontId="55" numFmtId="0" xfId="0" applyAlignment="1" applyFill="1" applyFont="1">
      <alignment readingOrder="0"/>
    </xf>
    <xf borderId="2" fillId="2" fontId="56" numFmtId="0" xfId="0" applyAlignment="1" applyBorder="1" applyFont="1">
      <alignment readingOrder="0"/>
    </xf>
    <xf borderId="0" fillId="15" fontId="15" numFmtId="0" xfId="0" applyAlignment="1" applyFont="1">
      <alignment vertical="bottom"/>
    </xf>
    <xf borderId="0" fillId="15" fontId="57" numFmtId="0" xfId="0" applyAlignment="1" applyFont="1">
      <alignment readingOrder="0" shrinkToFit="0" wrapText="0"/>
    </xf>
    <xf borderId="0" fillId="15" fontId="16" numFmtId="0" xfId="0" applyFont="1"/>
    <xf borderId="0" fillId="15" fontId="18" numFmtId="0" xfId="0" applyAlignment="1" applyFont="1">
      <alignment vertical="bottom"/>
    </xf>
    <xf borderId="0" fillId="0" fontId="9" numFmtId="0" xfId="0" applyAlignment="1" applyFont="1">
      <alignment horizontal="center" readingOrder="0" shrinkToFit="0" vertical="bottom" wrapText="1"/>
    </xf>
    <xf borderId="0" fillId="15" fontId="15" numFmtId="0" xfId="0" applyAlignment="1" applyFont="1">
      <alignment readingOrder="0"/>
    </xf>
    <xf borderId="2" fillId="2" fontId="58" numFmtId="0" xfId="0" applyAlignment="1" applyBorder="1" applyFont="1">
      <alignment readingOrder="0"/>
    </xf>
    <xf borderId="0" fillId="15" fontId="1" numFmtId="0" xfId="0" applyAlignment="1" applyFont="1">
      <alignment readingOrder="0"/>
    </xf>
    <xf borderId="0" fillId="15" fontId="57" numFmtId="0" xfId="0" applyAlignment="1" applyFont="1">
      <alignment readingOrder="0"/>
    </xf>
    <xf borderId="0" fillId="15" fontId="16" numFmtId="0" xfId="0" applyAlignment="1" applyFont="1">
      <alignment horizontal="center" readingOrder="0"/>
    </xf>
    <xf borderId="0" fillId="15" fontId="16" numFmtId="0" xfId="0" applyAlignment="1" applyFont="1">
      <alignment readingOrder="0"/>
    </xf>
    <xf borderId="0" fillId="15" fontId="16" numFmtId="0" xfId="0" applyAlignment="1" applyFont="1">
      <alignment horizontal="center" readingOrder="0"/>
    </xf>
    <xf borderId="0" fillId="15" fontId="1" numFmtId="0" xfId="0" applyFont="1"/>
    <xf borderId="0" fillId="15" fontId="15" numFmtId="0" xfId="0" applyAlignment="1" applyFont="1">
      <alignment horizontal="center" readingOrder="0"/>
    </xf>
    <xf borderId="0" fillId="15" fontId="15" numFmtId="0" xfId="0" applyAlignment="1" applyFont="1">
      <alignment horizontal="center"/>
    </xf>
    <xf borderId="2" fillId="2" fontId="56" numFmtId="0" xfId="0" applyAlignment="1" applyBorder="1" applyFont="1">
      <alignment readingOrder="0"/>
    </xf>
    <xf borderId="0" fillId="4" fontId="9" numFmtId="0" xfId="0" applyAlignment="1" applyFont="1">
      <alignment horizontal="center" readingOrder="0" shrinkToFit="0" wrapText="1"/>
    </xf>
    <xf borderId="0" fillId="12" fontId="16" numFmtId="0" xfId="0" applyAlignment="1" applyFont="1">
      <alignment horizontal="center" readingOrder="0"/>
    </xf>
    <xf borderId="0" fillId="15" fontId="15" numFmtId="0" xfId="0" applyAlignment="1" applyFont="1">
      <alignment horizontal="left" readingOrder="0"/>
    </xf>
    <xf borderId="0" fillId="15" fontId="1" numFmtId="0" xfId="0" applyAlignment="1" applyFont="1">
      <alignment horizontal="center" readingOrder="0"/>
    </xf>
    <xf borderId="0" fillId="15" fontId="59" numFmtId="0" xfId="0" applyAlignment="1" applyFont="1">
      <alignment readingOrder="0" shrinkToFit="0" wrapText="0"/>
    </xf>
    <xf borderId="0" fillId="15" fontId="15" numFmtId="0" xfId="0" applyAlignment="1" applyFont="1">
      <alignment readingOrder="0" vertical="bottom"/>
    </xf>
    <xf borderId="9" fillId="2" fontId="58" numFmtId="0" xfId="0" applyAlignment="1" applyBorder="1" applyFont="1">
      <alignment readingOrder="0"/>
    </xf>
    <xf borderId="10" fillId="0" fontId="1" numFmtId="0" xfId="0" applyBorder="1" applyFont="1"/>
    <xf borderId="0" fillId="15" fontId="15" numFmtId="0" xfId="0" applyAlignment="1" applyFont="1">
      <alignment vertical="bottom"/>
    </xf>
    <xf borderId="0" fillId="15" fontId="15" numFmtId="0" xfId="0" applyAlignment="1" applyFont="1">
      <alignment readingOrder="0" vertical="bottom"/>
    </xf>
    <xf borderId="0" fillId="2" fontId="56" numFmtId="0" xfId="0" applyAlignment="1" applyFont="1">
      <alignment readingOrder="0"/>
    </xf>
    <xf borderId="0" fillId="15" fontId="1" numFmtId="10" xfId="0" applyAlignment="1" applyFont="1" applyNumberFormat="1">
      <alignment readingOrder="0"/>
    </xf>
    <xf borderId="0" fillId="15" fontId="18" numFmtId="0" xfId="0" applyAlignment="1" applyFont="1">
      <alignment horizontal="left" readingOrder="0"/>
    </xf>
    <xf borderId="0" fillId="15" fontId="16" numFmtId="10" xfId="0" applyAlignment="1" applyFont="1" applyNumberFormat="1">
      <alignment readingOrder="0"/>
    </xf>
  </cellXfs>
  <cellStyles count="1">
    <cellStyle xfId="0" name="Normal" builtinId="0"/>
  </cellStyles>
  <dxfs count="11">
    <dxf>
      <font/>
      <fill>
        <patternFill patternType="solid">
          <fgColor rgb="FFFFFF00"/>
          <bgColor rgb="FFFFFF00"/>
        </patternFill>
      </fill>
      <border/>
    </dxf>
    <dxf>
      <font/>
      <fill>
        <patternFill patternType="solid">
          <fgColor rgb="FFB7E1CD"/>
          <bgColor rgb="FFB7E1CD"/>
        </patternFill>
      </fill>
      <border/>
    </dxf>
    <dxf>
      <font/>
      <fill>
        <patternFill patternType="solid">
          <fgColor rgb="FFF4C7C3"/>
          <bgColor rgb="FFF4C7C3"/>
        </patternFill>
      </fill>
      <border/>
    </dxf>
    <dxf>
      <font/>
      <fill>
        <patternFill patternType="solid">
          <fgColor rgb="FFFF9900"/>
          <bgColor rgb="FFFF9900"/>
        </patternFill>
      </fill>
      <border/>
    </dxf>
    <dxf>
      <font/>
      <fill>
        <patternFill patternType="solid">
          <fgColor rgb="FFF4CCCC"/>
          <bgColor rgb="FFF4CCCC"/>
        </patternFill>
      </fill>
      <border/>
    </dxf>
    <dxf>
      <font/>
      <fill>
        <patternFill patternType="solid">
          <fgColor rgb="FFF9CB9C"/>
          <bgColor rgb="FFF9CB9C"/>
        </patternFill>
      </fill>
      <border/>
    </dxf>
    <dxf>
      <font/>
      <fill>
        <patternFill patternType="solid">
          <fgColor rgb="FFCC0000"/>
          <bgColor rgb="FFCC0000"/>
        </patternFill>
      </fill>
      <border/>
    </dxf>
    <dxf>
      <font/>
      <fill>
        <patternFill patternType="solid">
          <fgColor rgb="FFFFF2CC"/>
          <bgColor rgb="FFFFF2CC"/>
        </patternFill>
      </fill>
      <border/>
    </dxf>
    <dxf>
      <font/>
      <fill>
        <patternFill patternType="solid">
          <fgColor rgb="FFE6B8AF"/>
          <bgColor rgb="FFE6B8AF"/>
        </patternFill>
      </fill>
      <border/>
    </dxf>
    <dxf>
      <font/>
      <fill>
        <patternFill patternType="solid">
          <fgColor rgb="FF434343"/>
          <bgColor rgb="FF434343"/>
        </patternFill>
      </fill>
      <border/>
    </dxf>
    <dxf>
      <font/>
      <fill>
        <patternFill patternType="solid">
          <fgColor rgb="FFFCE8B2"/>
          <bgColor rgb="FFFCE8B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40" Type="http://schemas.openxmlformats.org/officeDocument/2006/relationships/hyperlink" Target="https://music.apple.com/us/artist/mixsingh/202159700" TargetMode="External"/><Relationship Id="rId20" Type="http://schemas.openxmlformats.org/officeDocument/2006/relationships/hyperlink" Target="https://music.apple.com/us/artist/desi-routz/1107038927" TargetMode="External"/><Relationship Id="rId42" Type="http://schemas.openxmlformats.org/officeDocument/2006/relationships/hyperlink" Target="https://music.apple.com/us/artist/snappy/163055730" TargetMode="External"/><Relationship Id="rId41" Type="http://schemas.openxmlformats.org/officeDocument/2006/relationships/hyperlink" Target="https://music.apple.com/us/artist/garry-sandhu/391498767" TargetMode="External"/><Relationship Id="rId22" Type="http://schemas.openxmlformats.org/officeDocument/2006/relationships/hyperlink" Target="https://music.apple.com/us/artist/yuvika-chaudhary/858285248" TargetMode="External"/><Relationship Id="rId44" Type="http://schemas.openxmlformats.org/officeDocument/2006/relationships/hyperlink" Target="https://music.apple.com/us/artist/desi-crew/376677851" TargetMode="External"/><Relationship Id="rId21" Type="http://schemas.openxmlformats.org/officeDocument/2006/relationships/hyperlink" Target="https://music.apple.com/us/artist/yuvraj-hans/560567244" TargetMode="External"/><Relationship Id="rId43" Type="http://schemas.openxmlformats.org/officeDocument/2006/relationships/hyperlink" Target="https://music.apple.com/us/artist/diljit-dosanjh/423087540" TargetMode="External"/><Relationship Id="rId24" Type="http://schemas.openxmlformats.org/officeDocument/2006/relationships/hyperlink" Target="https://music.apple.com/us/artist/raashi-sood/906576348" TargetMode="External"/><Relationship Id="rId46" Type="http://schemas.openxmlformats.org/officeDocument/2006/relationships/drawing" Target="../drawings/drawing2.xml"/><Relationship Id="rId23" Type="http://schemas.openxmlformats.org/officeDocument/2006/relationships/hyperlink" Target="https://music.apple.com/us/artist/neha-bhasin/135309766" TargetMode="External"/><Relationship Id="rId45" Type="http://schemas.openxmlformats.org/officeDocument/2006/relationships/hyperlink" Target="https://music.apple.com/us/artist/ikwinder-singh/1276090079" TargetMode="External"/><Relationship Id="rId1" Type="http://schemas.openxmlformats.org/officeDocument/2006/relationships/comments" Target="../comments2.xml"/><Relationship Id="rId2" Type="http://schemas.openxmlformats.org/officeDocument/2006/relationships/hyperlink" Target="https://music.apple.com/us/artist/ranjit-bawa/505098231" TargetMode="External"/><Relationship Id="rId3" Type="http://schemas.openxmlformats.org/officeDocument/2006/relationships/hyperlink" Target="https://music.apple.com/us/artist/sunidhi-chauhan/14291650" TargetMode="External"/><Relationship Id="rId4" Type="http://schemas.openxmlformats.org/officeDocument/2006/relationships/hyperlink" Target="https://music.apple.com/us/artist/gurmoh/591803144" TargetMode="External"/><Relationship Id="rId9" Type="http://schemas.openxmlformats.org/officeDocument/2006/relationships/hyperlink" Target="https://music.apple.com/us/artist/gurshabad/1042246708" TargetMode="External"/><Relationship Id="rId26" Type="http://schemas.openxmlformats.org/officeDocument/2006/relationships/hyperlink" Target="https://music.apple.com/us/artist/bikk-dhillon/1090669183" TargetMode="External"/><Relationship Id="rId25" Type="http://schemas.openxmlformats.org/officeDocument/2006/relationships/hyperlink" Target="https://music.apple.com/us/artist/manmohan-waris/130115299" TargetMode="External"/><Relationship Id="rId47" Type="http://schemas.openxmlformats.org/officeDocument/2006/relationships/vmlDrawing" Target="../drawings/vmlDrawing2.vml"/><Relationship Id="rId28" Type="http://schemas.openxmlformats.org/officeDocument/2006/relationships/hyperlink" Target="https://music.apple.com/us/artist/tigerstyle/209050474" TargetMode="External"/><Relationship Id="rId27" Type="http://schemas.openxmlformats.org/officeDocument/2006/relationships/hyperlink" Target="https://music.apple.com/us/artist/sajjan-adeeb/1419791339" TargetMode="External"/><Relationship Id="rId5" Type="http://schemas.openxmlformats.org/officeDocument/2006/relationships/hyperlink" Target="https://music.apple.com/us/artist/amrinder-gill/205696074" TargetMode="External"/><Relationship Id="rId6" Type="http://schemas.openxmlformats.org/officeDocument/2006/relationships/hyperlink" Target="https://music.apple.com/us/artist/jatinder-shah/442638980" TargetMode="External"/><Relationship Id="rId29" Type="http://schemas.openxmlformats.org/officeDocument/2006/relationships/hyperlink" Target="https://music.apple.com/us/artist/ninja/5633826" TargetMode="External"/><Relationship Id="rId7" Type="http://schemas.openxmlformats.org/officeDocument/2006/relationships/hyperlink" Target="https://music.apple.com/us/artist/nimrat-khaira/1043132330" TargetMode="External"/><Relationship Id="rId8" Type="http://schemas.openxmlformats.org/officeDocument/2006/relationships/hyperlink" Target="https://music.apple.com/us/artist/ammy-virk/492592838" TargetMode="External"/><Relationship Id="rId31" Type="http://schemas.openxmlformats.org/officeDocument/2006/relationships/hyperlink" Target="https://music.apple.com/us/artist/bunty-bains/493271109" TargetMode="External"/><Relationship Id="rId30" Type="http://schemas.openxmlformats.org/officeDocument/2006/relationships/hyperlink" Target="https://music.apple.com/us/artist/jordan-sandhu/1189926963" TargetMode="External"/><Relationship Id="rId11" Type="http://schemas.openxmlformats.org/officeDocument/2006/relationships/hyperlink" Target="https://music.apple.com/us/artist/r-guru/1490004980" TargetMode="External"/><Relationship Id="rId33" Type="http://schemas.openxmlformats.org/officeDocument/2006/relationships/hyperlink" Target="https://music.apple.com/us/artist/rakesh-maini/1290261398" TargetMode="External"/><Relationship Id="rId10" Type="http://schemas.openxmlformats.org/officeDocument/2006/relationships/hyperlink" Target="https://music.apple.com/us/artist/tarsem-jassar/598287173" TargetMode="External"/><Relationship Id="rId32" Type="http://schemas.openxmlformats.org/officeDocument/2006/relationships/hyperlink" Target="https://music.apple.com/us/artist/davvy-singh/1158456304" TargetMode="External"/><Relationship Id="rId13" Type="http://schemas.openxmlformats.org/officeDocument/2006/relationships/hyperlink" Target="https://music.apple.com/us/artist/satta-vairowalia/1017611432" TargetMode="External"/><Relationship Id="rId35" Type="http://schemas.openxmlformats.org/officeDocument/2006/relationships/hyperlink" Target="https://music.apple.com/us/artist/ritu-bhaggi/1448179296" TargetMode="External"/><Relationship Id="rId12" Type="http://schemas.openxmlformats.org/officeDocument/2006/relationships/hyperlink" Target="https://music.apple.com/us/artist/bir-singh/1088182751" TargetMode="External"/><Relationship Id="rId34" Type="http://schemas.openxmlformats.org/officeDocument/2006/relationships/hyperlink" Target="https://music.apple.com/us/artist/arif-lohar/251200696" TargetMode="External"/><Relationship Id="rId15" Type="http://schemas.openxmlformats.org/officeDocument/2006/relationships/hyperlink" Target="https://music.apple.com/us/artist/kaur-b/650061592" TargetMode="External"/><Relationship Id="rId37" Type="http://schemas.openxmlformats.org/officeDocument/2006/relationships/hyperlink" Target="https://music.apple.com/us/artist/intense/48725162" TargetMode="External"/><Relationship Id="rId14" Type="http://schemas.openxmlformats.org/officeDocument/2006/relationships/hyperlink" Target="https://music.apple.com/us/artist/gurpreet-mann/935676399" TargetMode="External"/><Relationship Id="rId36" Type="http://schemas.openxmlformats.org/officeDocument/2006/relationships/hyperlink" Target="https://music.apple.com/us/artist/raj-ranjodh/477144828" TargetMode="External"/><Relationship Id="rId17" Type="http://schemas.openxmlformats.org/officeDocument/2006/relationships/hyperlink" Target="https://music.apple.com/us/artist/jaidev-kumar/275743752" TargetMode="External"/><Relationship Id="rId39" Type="http://schemas.openxmlformats.org/officeDocument/2006/relationships/hyperlink" Target="https://music.apple.com/us/artist/maninder-buttar/808665479" TargetMode="External"/><Relationship Id="rId16" Type="http://schemas.openxmlformats.org/officeDocument/2006/relationships/hyperlink" Target="https://music.apple.com/us/artist/jyotica-tangri/1181896798" TargetMode="External"/><Relationship Id="rId38" Type="http://schemas.openxmlformats.org/officeDocument/2006/relationships/hyperlink" Target="https://music.apple.com/us/artist/dr-zeus/262031919" TargetMode="External"/><Relationship Id="rId19" Type="http://schemas.openxmlformats.org/officeDocument/2006/relationships/hyperlink" Target="https://music.apple.com/us/artist/harbhajan-mann/129558723" TargetMode="External"/><Relationship Id="rId18" Type="http://schemas.openxmlformats.org/officeDocument/2006/relationships/hyperlink" Target="https://music.apple.com/us/artist/prabh-gill/392517044"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dropbox.com/scl/fi/jnvppvr6lza2tymdwatun/5055964356590.jpg?rlkey=yoa9un11tr9i8h4j2qhjgm1ff&amp;st=42mheonc&amp;dl=1" TargetMode="External"/><Relationship Id="rId42" Type="http://schemas.openxmlformats.org/officeDocument/2006/relationships/hyperlink" Target="https://www.dropbox.com/scl/fi/pm5ixbi856x9pplxrofd2/5055964331528.jpg?rlkey=znfevffvv5acacaivbobp2f2r&amp;st=dxxuzct6&amp;dl=1" TargetMode="External"/><Relationship Id="rId41" Type="http://schemas.openxmlformats.org/officeDocument/2006/relationships/hyperlink" Target="https://www.dropbox.com/scl/fi/7rqk172yfdruak7fuskgp/5055964332228.jpg?rlkey=5o065yq706fk0amx9qwtlxl4e&amp;st=7314sgrt&amp;dl=1" TargetMode="External"/><Relationship Id="rId44" Type="http://schemas.openxmlformats.org/officeDocument/2006/relationships/hyperlink" Target="https://www.dropbox.com/scl/fi/ruvrinhvo1003b9vspb25/5055964357917.jpg?rlkey=a6khphrt8svul4jr1hdne3qwl&amp;st=laslfdsg&amp;dl=1" TargetMode="External"/><Relationship Id="rId43" Type="http://schemas.openxmlformats.org/officeDocument/2006/relationships/hyperlink" Target="https://www.dropbox.com/scl/fi/yv5xhe6n8voe8dr5x8y1u/5055964357931.jpg?rlkey=d9qyski622rgafe0bukjbs2cp&amp;st=xvmhl9km&amp;dl=1" TargetMode="External"/><Relationship Id="rId46" Type="http://schemas.openxmlformats.org/officeDocument/2006/relationships/hyperlink" Target="https://www.dropbox.com/scl/fi/3mtlagmuubveo7o683tow/5055964359270.jpg?rlkey=elxty3azt38cpu2dz2fbr7v0d&amp;st=3gca8jd7&amp;dl=1" TargetMode="External"/><Relationship Id="rId45" Type="http://schemas.openxmlformats.org/officeDocument/2006/relationships/hyperlink" Target="https://www.dropbox.com/scl/fi/ttsqgqd0tvzb3fiixn8ee/5055964359133.jpg?rlkey=9xa13w4v462jpqi8g028uff95&amp;st=l0i7zw2p&amp;dl=1" TargetMode="External"/><Relationship Id="rId1" Type="http://schemas.openxmlformats.org/officeDocument/2006/relationships/comments" Target="../comments4.xml"/><Relationship Id="rId2" Type="http://schemas.openxmlformats.org/officeDocument/2006/relationships/hyperlink" Target="https://www.dropbox.com/scl/fi/qufijuq6phjyuq27sgstf/5055964332174.jpg?rlkey=wbd7ow19kc9yjnzje9xip5sok&amp;st=ejmpczbx&amp;dl=1" TargetMode="External"/><Relationship Id="rId3" Type="http://schemas.openxmlformats.org/officeDocument/2006/relationships/hyperlink" Target="https://www.dropbox.com/scl/fi/jk53oygv0mtn5g0z4ph2q/5055964356132.jpg?rlkey=cnw9bgvu42zneygn88zu9y25k&amp;st=kukw5670&amp;dl=1" TargetMode="External"/><Relationship Id="rId4" Type="http://schemas.openxmlformats.org/officeDocument/2006/relationships/hyperlink" Target="https://www.dropbox.com/scl/fi/ooqoh3adyfd75t3fp8b8f/5055964330651.jpg?rlkey=i3ia0ggccao5jx3v1xm2ds9gx&amp;st=jp53xlf8&amp;dl=1" TargetMode="External"/><Relationship Id="rId9" Type="http://schemas.openxmlformats.org/officeDocument/2006/relationships/hyperlink" Target="https://www.dropbox.com/scl/fi/v2ej6tz1ohnn9yzgo0nfg/5055964330446.jpg?rlkey=fj0gio1t6j8557388vocmiciv&amp;st=p4p8aqe3&amp;dl=1" TargetMode="External"/><Relationship Id="rId48" Type="http://schemas.openxmlformats.org/officeDocument/2006/relationships/hyperlink" Target="https://www.dropbox.com/scl/fi/r0rhpnsd008xijn0h35qz/5055964357948.jpg?rlkey=e0dbu6xb0r5afcnvko583ysvm&amp;st=webjm2g7&amp;dl=0" TargetMode="External"/><Relationship Id="rId47" Type="http://schemas.openxmlformats.org/officeDocument/2006/relationships/hyperlink" Target="https://www.dropbox.com/scl/fi/kyzioqt5ly6kcvvbcxgsp/5055964359225.jpg?rlkey=3b85fiv9m19fkricvdsn900dt&amp;st=g0vvpsmy&amp;dl=1" TargetMode="External"/><Relationship Id="rId49" Type="http://schemas.openxmlformats.org/officeDocument/2006/relationships/hyperlink" Target="https://www.dropbox.com/scl/fi/uypmkqts8tyqkqgcivd08/5055964357979.jpg?rlkey=7evtckbol0lptt70n5pp2gwj9&amp;st=j559k4bn&amp;dl=0" TargetMode="External"/><Relationship Id="rId5" Type="http://schemas.openxmlformats.org/officeDocument/2006/relationships/hyperlink" Target="https://www.dropbox.com/scl/fi/kl3plq1efi0h99ig931pi/5055964330088.jpg?rlkey=ljx8c2idx1y64f1agfxabpj8d&amp;st=gdpx78pq&amp;dl=1" TargetMode="External"/><Relationship Id="rId6" Type="http://schemas.openxmlformats.org/officeDocument/2006/relationships/hyperlink" Target="https://www.dropbox.com/scl/fi/9clnttcj5jh46hdnem2yf/5055964312657.jpg?rlkey=6a2gv031koqn7lab2xhbpstaz&amp;st=5qrd9q82&amp;dl=1" TargetMode="External"/><Relationship Id="rId7" Type="http://schemas.openxmlformats.org/officeDocument/2006/relationships/hyperlink" Target="https://www.dropbox.com/scl/fi/qu9mon6dhf6zcd9nf9u8j/5055964321390.jpg?rlkey=gh1yqcjqd6tndpkoltu0d0bsj&amp;st=4fodrmi1&amp;dl=1" TargetMode="External"/><Relationship Id="rId8" Type="http://schemas.openxmlformats.org/officeDocument/2006/relationships/hyperlink" Target="https://www.dropbox.com/scl/fi/5obuv3byyzpudqegm9jem/5055964330187.jpg?rlkey=6ircnk2t5wpgozit6qdyvug5d&amp;st=kqit24nw&amp;dl=1" TargetMode="External"/><Relationship Id="rId73" Type="http://schemas.openxmlformats.org/officeDocument/2006/relationships/drawing" Target="../drawings/drawing4.xml"/><Relationship Id="rId72" Type="http://schemas.openxmlformats.org/officeDocument/2006/relationships/hyperlink" Target="https://www.dropbox.com/scl/fi/c5wehe6pilb75qcb31hdc/5059552111417.jpg?rlkey=n01eo7wlj1hrhu3wojo0901mc&amp;st=yr73bn1l&amp;dl=1" TargetMode="External"/><Relationship Id="rId31" Type="http://schemas.openxmlformats.org/officeDocument/2006/relationships/hyperlink" Target="https://www.dropbox.com/scl/fi/4rzqlull0vexhcvr9kcd0/5055964332334.jpg?rlkey=5swbcudwnfhxo1ixactxdd5o1&amp;st=hcijiuoo&amp;dl=1" TargetMode="External"/><Relationship Id="rId30" Type="http://schemas.openxmlformats.org/officeDocument/2006/relationships/hyperlink" Target="https://www.dropbox.com/scl/fi/fgr0ww5inkgzpfko5zmx2/5055964321383.jpg?rlkey=dap079jsuzuq39wxen1qz18c6&amp;st=x8xlfb7y&amp;dl=1" TargetMode="External"/><Relationship Id="rId74" Type="http://schemas.openxmlformats.org/officeDocument/2006/relationships/vmlDrawing" Target="../drawings/vmlDrawing4.vml"/><Relationship Id="rId33" Type="http://schemas.openxmlformats.org/officeDocument/2006/relationships/hyperlink" Target="https://www.dropbox.com/scl/fi/ss68113zngq2h6zwsj31v/5055964330781.jpg?rlkey=2lgm2nf58vaqeafmtt3xopts7&amp;st=by1ccl3a&amp;dl=1" TargetMode="External"/><Relationship Id="rId32" Type="http://schemas.openxmlformats.org/officeDocument/2006/relationships/hyperlink" Target="https://www.dropbox.com/scl/fi/5hjpf2ks7m9rmmq125iia/5055964356880.jpg?rlkey=1bi6a2vjxexwzi4iraqpgfx7w&amp;st=4afy5ox9&amp;dl=1" TargetMode="External"/><Relationship Id="rId35" Type="http://schemas.openxmlformats.org/officeDocument/2006/relationships/hyperlink" Target="https://www.dropbox.com/scl/fi/0jxf2pvfkd26duxp5znzu/5055964356491.jpg?rlkey=kiv39hpet1osovkjenipdyfal&amp;st=xvdy4cct&amp;dl=1" TargetMode="External"/><Relationship Id="rId34" Type="http://schemas.openxmlformats.org/officeDocument/2006/relationships/hyperlink" Target="https://www.dropbox.com/scl/fi/mhwz0skqd3elo6f9yqsoa/5055964356941.jpg?rlkey=5jy5ahjcsg994msuwdv04kka2&amp;st=opdvdukx&amp;dl=1" TargetMode="External"/><Relationship Id="rId71" Type="http://schemas.openxmlformats.org/officeDocument/2006/relationships/hyperlink" Target="https://www.dropbox.com/scl/fi/5z2d4qxm6nwm33xojj6oz/5055964368173.jpg?rlkey=k201xpc8aqemrichvtotjkomg&amp;st=mptx8wz4&amp;dl=1" TargetMode="External"/><Relationship Id="rId70" Type="http://schemas.openxmlformats.org/officeDocument/2006/relationships/hyperlink" Target="https://www.dropbox.com/scl/fi/mtug71v11gr796upf1shz/5055964367343.jpg?rlkey=y8n2ewzamj4wn3d8p728u7qkx&amp;st=heov3ngr&amp;dl=1" TargetMode="External"/><Relationship Id="rId37" Type="http://schemas.openxmlformats.org/officeDocument/2006/relationships/hyperlink" Target="https://www.dropbox.com/scl/fi/orjmt36d91ki1o9vmjs6b/5055964332242.jpg?rlkey=zyg6kb2ow1p918fdh26pkx30b&amp;st=l38cttsq&amp;dl=1" TargetMode="External"/><Relationship Id="rId36" Type="http://schemas.openxmlformats.org/officeDocument/2006/relationships/hyperlink" Target="https://www.dropbox.com/scl/fi/gcp9e55vwvpgf0qemgit2/5055964331283.jpg?rlkey=zxdrkopj96k64k87sdggigbvo&amp;st=yegq86db&amp;dl=1" TargetMode="External"/><Relationship Id="rId39" Type="http://schemas.openxmlformats.org/officeDocument/2006/relationships/hyperlink" Target="https://www.dropbox.com/scl/fi/pqau4al4a3smbllo6nc2p/5055964329112.jpg?rlkey=oe9zxxbgsaolppcc39pt0b0vr&amp;st=dyxb4l2f&amp;dl=1" TargetMode="External"/><Relationship Id="rId38" Type="http://schemas.openxmlformats.org/officeDocument/2006/relationships/hyperlink" Target="https://www.dropbox.com/scl/fi/ge1emcr8xf12nu13xm7xh/5055964319601.jpg?rlkey=zgwtl6e55e1iegffn2aene5k9&amp;st=th73mem9&amp;dl=1" TargetMode="External"/><Relationship Id="rId62" Type="http://schemas.openxmlformats.org/officeDocument/2006/relationships/hyperlink" Target="https://www.dropbox.com/scl/fi/zi3atw88mw804q1wh8zh6/5055964341831.jpg?rlkey=7cgg23eraee3quctck1vkwbfx&amp;st=f1bb36uu&amp;dl=1" TargetMode="External"/><Relationship Id="rId61" Type="http://schemas.openxmlformats.org/officeDocument/2006/relationships/hyperlink" Target="https://www.dropbox.com/scl/fi/71kmciw304uncdtjo4kek/5055964341268.jpg?rlkey=znjcgrrgsanjirk6qpvf3r9jl&amp;st=m5np68eg&amp;dl=1" TargetMode="External"/><Relationship Id="rId20" Type="http://schemas.openxmlformats.org/officeDocument/2006/relationships/hyperlink" Target="https://www.dropbox.com/scl/fi/arkbnyx448dpgn4mkrlbg/5055964321284.jpg?rlkey=8wo4m50x7nsl27e1f2lydb71m&amp;st=zscsbcag&amp;dl=1" TargetMode="External"/><Relationship Id="rId64" Type="http://schemas.openxmlformats.org/officeDocument/2006/relationships/hyperlink" Target="https://www.dropbox.com/scl/fi/tacigdb2uh2naa57d2c4k/5055964343125.jpg?rlkey=xqoymrn88dn0g29o0gap6mxl9&amp;st=zhwrb1vo&amp;dl=1" TargetMode="External"/><Relationship Id="rId63" Type="http://schemas.openxmlformats.org/officeDocument/2006/relationships/hyperlink" Target="https://www.dropbox.com/scl/fi/e04egegm4us10hjqfqvon/5055964342975.jpg?rlkey=h38ohxfoxgwyj1vh58n5zmlpj&amp;st=slwb5yzl&amp;dl=1" TargetMode="External"/><Relationship Id="rId22" Type="http://schemas.openxmlformats.org/officeDocument/2006/relationships/hyperlink" Target="https://www.dropbox.com/scl/fi/1an68s164whwewy487zkp/5055964356712.jpg?rlkey=jzpmweqop145t7mdd3nbk8urh&amp;st=ayepjs4w&amp;dl=1" TargetMode="External"/><Relationship Id="rId66" Type="http://schemas.openxmlformats.org/officeDocument/2006/relationships/hyperlink" Target="https://www.dropbox.com/scl/fi/qkskz65pq4s6hk1g9wh5r/5055964343538.jpg?rlkey=ashffqvenfhpsokk4kz4i43qi&amp;st=mchcituy&amp;dl=1" TargetMode="External"/><Relationship Id="rId21" Type="http://schemas.openxmlformats.org/officeDocument/2006/relationships/hyperlink" Target="https://www.dropbox.com/scl/fi/apb6s9ycqkn8paxy63d05/5055964320096.jpg?rlkey=0ejqhybtscdpym49dtfjiyeig&amp;st=tn35bsrd&amp;dl=1" TargetMode="External"/><Relationship Id="rId65" Type="http://schemas.openxmlformats.org/officeDocument/2006/relationships/hyperlink" Target="https://www.dropbox.com/scl/fi/v12cia3lvzqjdcese149j/5055964343309.jpg?rlkey=qgs6s1ybl0ov4iht24d9s74kj&amp;st=emnnjzkg&amp;dl=1" TargetMode="External"/><Relationship Id="rId24" Type="http://schemas.openxmlformats.org/officeDocument/2006/relationships/hyperlink" Target="https://www.dropbox.com/scl/fi/nxor4qjnybsz2m0fd50fi/5055964320355.jpg?rlkey=haobhm1vuscxuob0xpnd2cyp7&amp;st=1n680lb5&amp;dl=1" TargetMode="External"/><Relationship Id="rId68" Type="http://schemas.openxmlformats.org/officeDocument/2006/relationships/hyperlink" Target="https://www.dropbox.com/scl/fi/t2ig6jn6m90lazjmo0nhx/5055964351885.jpeg?rlkey=b6gwu7oyh1ybzzsl7eud2efzk&amp;st=do6mefez&amp;dl=1" TargetMode="External"/><Relationship Id="rId23" Type="http://schemas.openxmlformats.org/officeDocument/2006/relationships/hyperlink" Target="https://www.dropbox.com/scl/fi/89p7tbzgx0162383yjwuq/5055964332129.jpg?rlkey=w6spn4pz5r6nl46yi8cnois73&amp;st=pr0ngf1g&amp;dl=1" TargetMode="External"/><Relationship Id="rId67" Type="http://schemas.openxmlformats.org/officeDocument/2006/relationships/hyperlink" Target="https://www.dropbox.com/scl/fi/ecnv9xar0rgezkjjm219o/5055964343910.jpg?rlkey=u8nyxe1kfwyghamw3l7h4ew8k&amp;st=vw3mhh3t&amp;dl=1" TargetMode="External"/><Relationship Id="rId60" Type="http://schemas.openxmlformats.org/officeDocument/2006/relationships/hyperlink" Target="https://www.dropbox.com/scl/fi/npi7mvs7gai4g7a993z96/5055964340933.jpg?rlkey=1i3f61yc20o8wkptm29tbg8wq&amp;st=cna7f1xp&amp;dl=1" TargetMode="External"/><Relationship Id="rId26" Type="http://schemas.openxmlformats.org/officeDocument/2006/relationships/hyperlink" Target="https://www.dropbox.com/scl/fi/sh9lv3bie4xlrt0sr02c0/5055964313159.jpg?rlkey=qp0r9myrzz4pfh5i5j61ajhf1&amp;st=qbw1diqu&amp;dl=1" TargetMode="External"/><Relationship Id="rId25" Type="http://schemas.openxmlformats.org/officeDocument/2006/relationships/hyperlink" Target="https://www.dropbox.com/scl/fi/zadc0wr8uetj5kc842aqn/5055964331320.jpg?rlkey=j9zpy297l76grb5g07e2o7oej&amp;st=hbznuvmo&amp;dl=1" TargetMode="External"/><Relationship Id="rId69" Type="http://schemas.openxmlformats.org/officeDocument/2006/relationships/hyperlink" Target="https://www.dropbox.com/scl/fi/6d3ilqjqj5cajn3ewa6kw/5055964366124.jpg?rlkey=0pzjj4ber27ik38ivhxsc2xsd&amp;st=26j5r3sm&amp;dl=1" TargetMode="External"/><Relationship Id="rId28" Type="http://schemas.openxmlformats.org/officeDocument/2006/relationships/hyperlink" Target="https://www.dropbox.com/scl/fi/795w0j184bukgqz4p3mfe/5055964356668.jpg?rlkey=zitonzieqj0g93szefc9uakz6&amp;st=2uyerzab&amp;dl=1" TargetMode="External"/><Relationship Id="rId27" Type="http://schemas.openxmlformats.org/officeDocument/2006/relationships/hyperlink" Target="https://www.dropbox.com/scl/fi/ahgcyo3hr7rrzr7nv4fcq/5055964330590.jpg?rlkey=9svrt5baupyhkctn6pfr56c18&amp;st=okkal2pd&amp;dl=1" TargetMode="External"/><Relationship Id="rId29" Type="http://schemas.openxmlformats.org/officeDocument/2006/relationships/hyperlink" Target="https://www.dropbox.com/scl/fi/k83lilamtmhayq1e3h30z/5055964356774.jpg?rlkey=nhxmwvfjm0f49uf74g8vhgcu2&amp;st=nks84p8m&amp;dl=1" TargetMode="External"/><Relationship Id="rId51" Type="http://schemas.openxmlformats.org/officeDocument/2006/relationships/hyperlink" Target="https://www.dropbox.com/scl/fi/7lvajph2khqhvwp397h76/5055964336943.jpg?rlkey=nzth4dx7xqodirqk56vvd2hu9&amp;st=wkguynql&amp;dl=1" TargetMode="External"/><Relationship Id="rId50" Type="http://schemas.openxmlformats.org/officeDocument/2006/relationships/hyperlink" Target="https://www.dropbox.com/scl/fi/jqavbmnn4ddk0dukhxwgs/5055964336714.jpg?rlkey=o6vi3lzds2o4g9ryiej1ohva1&amp;st=pqas6ir9&amp;dl=1" TargetMode="External"/><Relationship Id="rId53" Type="http://schemas.openxmlformats.org/officeDocument/2006/relationships/hyperlink" Target="https://www.dropbox.com/scl/fi/wz5dkfyue9ss17h2kvuxu/5055964337339.jpg?rlkey=2vasx0a0fgn4omgckb52buwxi&amp;st=df7r3bvd&amp;dl=1" TargetMode="External"/><Relationship Id="rId52" Type="http://schemas.openxmlformats.org/officeDocument/2006/relationships/hyperlink" Target="https://www.dropbox.com/scl/fi/yzwopysspx9a5zd7s8vec/5055964336981.jpg?rlkey=0kb7v8hqwy4vs967di67tx6ar&amp;st=of2bhm29&amp;dl=1" TargetMode="External"/><Relationship Id="rId11" Type="http://schemas.openxmlformats.org/officeDocument/2006/relationships/hyperlink" Target="https://www.dropbox.com/scl/fi/h7aax7ov58o7p2o5u9oxp/5055964357016.jpg?rlkey=bwegzrcmkipujshp1nftrux4m&amp;st=bep1drs0&amp;dl=1" TargetMode="External"/><Relationship Id="rId55" Type="http://schemas.openxmlformats.org/officeDocument/2006/relationships/hyperlink" Target="https://www.dropbox.com/scl/fi/uelnpygff0yaxpsovawzq/5055964338275.jpg?rlkey=hbxfx81fb372qdxp77c75g0t4&amp;st=r7j5hin2&amp;dl=1" TargetMode="External"/><Relationship Id="rId10" Type="http://schemas.openxmlformats.org/officeDocument/2006/relationships/hyperlink" Target="https://www.dropbox.com/scl/fi/cwnf46zcvczf2vgkpl1i8/5055964357078.jpg?rlkey=3v5943hxc8x37zndmkav2xyyh&amp;st=lme4npqz&amp;dl=1" TargetMode="External"/><Relationship Id="rId54" Type="http://schemas.openxmlformats.org/officeDocument/2006/relationships/hyperlink" Target="https://www.dropbox.com/scl/fi/uxmda5bzfr0hil59z70yq/5055964337346.jpg?rlkey=ozd32ho21vtas4zpx0o0t051n&amp;st=0cufr9ev&amp;dl=1" TargetMode="External"/><Relationship Id="rId13" Type="http://schemas.openxmlformats.org/officeDocument/2006/relationships/hyperlink" Target="https://www.dropbox.com/scl/fi/ko30g71pn0qpbl4y8i68v/5055964321710.jpg?rlkey=jun4sw5svvh55ypuurnia559t&amp;st=841t61xv&amp;dl=1" TargetMode="External"/><Relationship Id="rId57" Type="http://schemas.openxmlformats.org/officeDocument/2006/relationships/hyperlink" Target="https://www.dropbox.com/scl/fi/a3ltusrm4zc4pjpsyh2sl/5055964340483.jpg?rlkey=5uh8f6cufbqikj5wwpp0atajx&amp;st=jhcfzzb1&amp;dl=1" TargetMode="External"/><Relationship Id="rId12" Type="http://schemas.openxmlformats.org/officeDocument/2006/relationships/hyperlink" Target="https://www.dropbox.com/scl/fi/5jwtx12fg73gb30md8itr/5055964332198.jpg?rlkey=a1at9qaz0izecnw7xc6wxmosb&amp;st=sg9a4blk&amp;dl=1" TargetMode="External"/><Relationship Id="rId56" Type="http://schemas.openxmlformats.org/officeDocument/2006/relationships/hyperlink" Target="https://www.dropbox.com/scl/fi/ld1adb2f6ojdxd4mz1ql7/5055964340322.jpg?rlkey=te8j9x1lghu8iokbbs1drjnb8&amp;st=15b24r1h&amp;dl=1" TargetMode="External"/><Relationship Id="rId15" Type="http://schemas.openxmlformats.org/officeDocument/2006/relationships/hyperlink" Target="https://www.dropbox.com/scl/fi/z7yoyiz3872e7nb08igzp/5055964330576.jpg?rlkey=gslp76tx7fqc0l1z4uazkr75f&amp;st=xhjjwr4g&amp;dl=1" TargetMode="External"/><Relationship Id="rId59" Type="http://schemas.openxmlformats.org/officeDocument/2006/relationships/hyperlink" Target="https://www.dropbox.com/scl/fi/dbgkrsjzydutrnwv1d59t/5055964340759.jpg?rlkey=sx8o55gtg8b1mkiuqzpr49i4c&amp;st=d4yazxki&amp;dl=1" TargetMode="External"/><Relationship Id="rId14" Type="http://schemas.openxmlformats.org/officeDocument/2006/relationships/hyperlink" Target="https://www.dropbox.com/scl/fi/jzplmhi26i3c6ccxz7izh/5055964330514.jpg?rlkey=d0z0s62s1hia2ausrwd6audz7&amp;st=dnihk0ku&amp;dl=1" TargetMode="External"/><Relationship Id="rId58" Type="http://schemas.openxmlformats.org/officeDocument/2006/relationships/hyperlink" Target="https://www.dropbox.com/scl/fi/2yxabt4yhcdsaaka5je59/5055964340612.jpg?rlkey=zi5siydcgtu2z3myksvd75q63&amp;st=ho1p9d88&amp;dl=1" TargetMode="External"/><Relationship Id="rId17" Type="http://schemas.openxmlformats.org/officeDocument/2006/relationships/hyperlink" Target="https://www.dropbox.com/scl/fi/i7tm9rsjhegeo3hhp4b3y/5055964321208.jpg?rlkey=el4r9xkeo4rus3onk2hqapp7z&amp;st=2ghs3htt&amp;dl=1" TargetMode="External"/><Relationship Id="rId16" Type="http://schemas.openxmlformats.org/officeDocument/2006/relationships/hyperlink" Target="https://www.dropbox.com/scl/fi/cfenmhq5uzl01j10ukbl1/5055964321130.jpg?rlkey=lmrzs4cddc4lml05q90bcgbtj&amp;st=l5ixfki1&amp;dl=1" TargetMode="External"/><Relationship Id="rId19" Type="http://schemas.openxmlformats.org/officeDocument/2006/relationships/hyperlink" Target="https://www.dropbox.com/scl/fi/eh2ljxawlrqif64fy98d4/5055964356552.jpg?rlkey=bp2fwt3lnmx9naku5g3t20awb&amp;st=2tlh7r5f&amp;dl=1" TargetMode="External"/><Relationship Id="rId18" Type="http://schemas.openxmlformats.org/officeDocument/2006/relationships/hyperlink" Target="https://www.dropbox.com/scl/fi/dhwej3oa500oi5crmgpz4/5055964357160.jpg?rlkey=7vnyort9g611szpyg3pb1fi81&amp;st=2m1igrg6&amp;dl=1"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40" Type="http://schemas.openxmlformats.org/officeDocument/2006/relationships/hyperlink" Target="https://www.dropbox.com/scl/fi/rwlrfjtnc1sf8c53esd1h/5055964356668_01_01.wav?rlkey=0arrdgr0s8pzvowiluv30ntaf&amp;st=9dqc550x&amp;dl=1" TargetMode="External"/><Relationship Id="rId84" Type="http://schemas.openxmlformats.org/officeDocument/2006/relationships/hyperlink" Target="https://www.dropbox.com/scl/fi/nvvsw92skyc6jcrbpydl2/5055964368173_01_01.wav?rlkey=6eggg3znb7tbpe1fxjch5gq0y&amp;st=4wdew6he&amp;dl=1" TargetMode="External"/><Relationship Id="rId83" Type="http://schemas.openxmlformats.org/officeDocument/2006/relationships/hyperlink" Target="https://www.dropbox.com/scl/fi/q9u8kn48fpeqep192whkb/5055964367343_01_01.wav?rlkey=c7lyff5cj0qjuef1cvkm5nbh1&amp;st=r3z6bkot&amp;dl=1" TargetMode="External"/><Relationship Id="rId42" Type="http://schemas.openxmlformats.org/officeDocument/2006/relationships/hyperlink" Target="https://www.dropbox.com/scl/fi/p0d4ljm77u5t76gf8fubj/5055964321383_01_01.wav?rlkey=y3jet259twbh6k22sf0467fgh&amp;st=ce3hjgvw&amp;dl=1" TargetMode="External"/><Relationship Id="rId86" Type="http://schemas.openxmlformats.org/officeDocument/2006/relationships/drawing" Target="../drawings/drawing6.xml"/><Relationship Id="rId41" Type="http://schemas.openxmlformats.org/officeDocument/2006/relationships/hyperlink" Target="https://www.dropbox.com/scl/fi/gfrw3kwf4tpofwerr0w0c/5055964356774_01_01.wav?rlkey=sb98nufdko1nw3qc1tgkh1ru5&amp;st=jzqetcw7&amp;dl=1" TargetMode="External"/><Relationship Id="rId85" Type="http://schemas.openxmlformats.org/officeDocument/2006/relationships/hyperlink" Target="https://www.dropbox.com/scl/fi/g9el2guwvmm0b5uxdbt0z/5059552111417_01_01.wav?rlkey=uc5fhulk2q4p9nfrhuf7c2vs7&amp;st=7we6o81q&amp;dl=1" TargetMode="External"/><Relationship Id="rId44" Type="http://schemas.openxmlformats.org/officeDocument/2006/relationships/hyperlink" Target="https://www.dropbox.com/scl/fi/92nn56jymieqc1ce6uzn1/5055964356880_01_01.wav?rlkey=dfgj6nrcenlfs8ksrna2fj4fh&amp;st=fm80th97&amp;dl=1" TargetMode="External"/><Relationship Id="rId43" Type="http://schemas.openxmlformats.org/officeDocument/2006/relationships/hyperlink" Target="https://www.dropbox.com/scl/fi/noya2kedqpyr19dru1ql6/5055964332334_01_01.wav?rlkey=xt6nufdja9z98d7ipkqxg7npk&amp;st=847wualt&amp;dl=1" TargetMode="External"/><Relationship Id="rId87" Type="http://schemas.openxmlformats.org/officeDocument/2006/relationships/vmlDrawing" Target="../drawings/vmlDrawing6.vml"/><Relationship Id="rId46" Type="http://schemas.openxmlformats.org/officeDocument/2006/relationships/hyperlink" Target="https://www.dropbox.com/scl/fi/zg1dwft4uhy8zw1pyzs8u/5055964356941_01_01.wav?rlkey=a41c0u68v84o2jantxoa3um9e&amp;st=oo9q8wab&amp;dl=1" TargetMode="External"/><Relationship Id="rId45" Type="http://schemas.openxmlformats.org/officeDocument/2006/relationships/hyperlink" Target="https://www.dropbox.com/scl/fi/gzgyzyq4lkgrdw3lzfe3k/5055964330781_01_01.wav?rlkey=iftefes72f4rzzdzfh3rh4hif&amp;st=3oh0q9cv&amp;dl=1" TargetMode="External"/><Relationship Id="rId80" Type="http://schemas.openxmlformats.org/officeDocument/2006/relationships/hyperlink" Target="https://www.dropbox.com/scl/fi/bb60agcs520fayoyas8dz/5055964343910_01_01.wav?rlkey=5ol699nendjhq2ni4tiiktqs0&amp;st=fl6vg4rw&amp;dl=1" TargetMode="External"/><Relationship Id="rId82" Type="http://schemas.openxmlformats.org/officeDocument/2006/relationships/hyperlink" Target="https://www.dropbox.com/scl/fi/oqmcwzmrrs9d0qdswrmx7/5055964366117_01_01.wav?rlkey=3g3z221nz50sy6n6tbtp2ujbj&amp;st=i1vv1tht&amp;dl=1" TargetMode="External"/><Relationship Id="rId81" Type="http://schemas.openxmlformats.org/officeDocument/2006/relationships/hyperlink" Target="https://www.dropbox.com/scl/fi/3f7ggi7geey6osev3zrao/5055964351885_01_01.wav?rlkey=get6yxmibxm1x4j38bzf3ca2x&amp;st=u11bpmsb&amp;dl=1" TargetMode="External"/><Relationship Id="rId1" Type="http://schemas.openxmlformats.org/officeDocument/2006/relationships/comments" Target="../comments6.xml"/><Relationship Id="rId2" Type="http://schemas.openxmlformats.org/officeDocument/2006/relationships/hyperlink" Target="https://www.dropbox.com/scl/fi/qufijuq6phjyuq27sgstf/5055964332174.jpg?rlkey=wbd7ow19kc9yjnzje9xip5sok&amp;st=ejmpczbx&amp;dl=1" TargetMode="External"/><Relationship Id="rId3" Type="http://schemas.openxmlformats.org/officeDocument/2006/relationships/hyperlink" Target="https://www.dropbox.com/scl/fi/2d413hc2judi27t1p7gn6/5055964356132_01_01.wav?rlkey=tdi2ehfcymx6azogfce25h08t&amp;st=xfb9tl9e&amp;dl=1" TargetMode="External"/><Relationship Id="rId4" Type="http://schemas.openxmlformats.org/officeDocument/2006/relationships/hyperlink" Target="https://www.dropbox.com/scl/fi/mt80iu3snvjc8x7v0jda4/5055964330651_01_01.wav?rlkey=f9jhqvo6z8hm6fkdiu7sdcqwr&amp;st=ysssu5b9&amp;dl=1" TargetMode="External"/><Relationship Id="rId9" Type="http://schemas.openxmlformats.org/officeDocument/2006/relationships/hyperlink" Target="https://www.dropbox.com/scl/fi/mhnq6jkn79av91aomu540/5055964312657_01_04.wav?rlkey=n8fr35g21d0k0oedz5pn8v6b5&amp;st=4t15ykq4&amp;dl=1" TargetMode="External"/><Relationship Id="rId48" Type="http://schemas.openxmlformats.org/officeDocument/2006/relationships/hyperlink" Target="https://www.dropbox.com/scl/fi/tjzvhk1lwwyca3cwhwvtb/5055964331283_01_01.wav?rlkey=6obx1x8pzshfmuo1kfwyo281o&amp;st=vgh8xbv9&amp;dl=1" TargetMode="External"/><Relationship Id="rId47" Type="http://schemas.openxmlformats.org/officeDocument/2006/relationships/hyperlink" Target="https://www.dropbox.com/scl/fi/7l7mkmnqrpxnzxjy64660/5055964356491_01_01.wav?rlkey=yuxjgb6jl1vvg5obriyszl6au&amp;st=06xn2895&amp;dl=1" TargetMode="External"/><Relationship Id="rId49" Type="http://schemas.openxmlformats.org/officeDocument/2006/relationships/hyperlink" Target="https://www.dropbox.com/scl/fi/zm1jwz229v626xfy8xp3b/5055964332242_01_01.wav?rlkey=oktnoq2tn0n7t8qzvua1yvges&amp;st=23d2go70&amp;dl=1" TargetMode="External"/><Relationship Id="rId5" Type="http://schemas.openxmlformats.org/officeDocument/2006/relationships/hyperlink" Target="https://www.dropbox.com/scl/fi/51be91fnf990uy3xppc8h/5055964330088_01_01.wav?rlkey=9i3qvvt1dylg7zdqpj32lyhw2&amp;st=jo1cjqyz&amp;dl=1" TargetMode="External"/><Relationship Id="rId6" Type="http://schemas.openxmlformats.org/officeDocument/2006/relationships/hyperlink" Target="https://www.dropbox.com/scl/fi/xejl12xu41h64xub3t85g/5055964312657_01_01.wav?rlkey=k6c7c6f2qfw0kh53i9pfd1qr6&amp;st=y2r9az98&amp;dl=1" TargetMode="External"/><Relationship Id="rId7" Type="http://schemas.openxmlformats.org/officeDocument/2006/relationships/hyperlink" Target="https://www.dropbox.com/scl/fi/46kmf4di2gcsizr1ms2w2/5055964312657_01_02.wav?rlkey=x1vh84cdn8upbm7m4a5c4e55f&amp;st=rfq8o6il&amp;dl=1" TargetMode="External"/><Relationship Id="rId8" Type="http://schemas.openxmlformats.org/officeDocument/2006/relationships/hyperlink" Target="https://www.dropbox.com/scl/fi/el72e57se2gibs3nuhbqu/5055964312657_01_03.wav?rlkey=fet0q8s28ncmlnos08xrbfwxp&amp;st=j7sn2dtg&amp;dl=1" TargetMode="External"/><Relationship Id="rId73" Type="http://schemas.openxmlformats.org/officeDocument/2006/relationships/hyperlink" Target="https://www.dropbox.com/scl/fi/1oylxl8l8isnao8fsb1hb/5055964340933_01_02.wav?rlkey=4qn3k8ej2pzid77h2skcublq6&amp;st=6udhspxb&amp;dl=1" TargetMode="External"/><Relationship Id="rId72" Type="http://schemas.openxmlformats.org/officeDocument/2006/relationships/hyperlink" Target="https://www.dropbox.com/scl/fi/emnn35sfibznul8vw6re4/5055964340933_01_01.wav?rlkey=ttkzmpxw11qpqiiyudhc3kpq9&amp;st=eweqgiwj&amp;dl=1" TargetMode="External"/><Relationship Id="rId31" Type="http://schemas.openxmlformats.org/officeDocument/2006/relationships/hyperlink" Target="https://www.dropbox.com/scl/fi/27osdyr9j8nexiv4pt019/5055964320096_01_05.wav?rlkey=tbclof6vhv36m93hqpcs3wcqv&amp;st=8xe87qaq&amp;dl=1" TargetMode="External"/><Relationship Id="rId75" Type="http://schemas.openxmlformats.org/officeDocument/2006/relationships/hyperlink" Target="https://www.dropbox.com/scl/fi/m03xvl8d1mzr2xmm7wpln/5055964341831_01_01.wav?rlkey=kj29t2a2bqa4e65uh4vcmqr4g&amp;st=swwo91r7&amp;dl=1" TargetMode="External"/><Relationship Id="rId30" Type="http://schemas.openxmlformats.org/officeDocument/2006/relationships/hyperlink" Target="https://www.dropbox.com/scl/fi/4l4ty2q6m6nnk48qf08xb/5055964320096_01_04.wav?rlkey=gk4esteu2l7z3lidzqkgilkva&amp;st=ns0m632j&amp;dl=1" TargetMode="External"/><Relationship Id="rId74" Type="http://schemas.openxmlformats.org/officeDocument/2006/relationships/hyperlink" Target="https://www.dropbox.com/scl/fi/9d3uovw7e9b2hp5g2m2mx/5055964341268_01_01.wav?rlkey=w8z7bhmpu6ftx9hurqkc4a3zq&amp;st=ybdffesx&amp;dl=1" TargetMode="External"/><Relationship Id="rId33" Type="http://schemas.openxmlformats.org/officeDocument/2006/relationships/hyperlink" Target="https://www.dropbox.com/scl/fi/v3g3tw1g1j0oc94jsr6y6/5055964320096_01_07.wav?rlkey=967y0hupjlwzcutxva69614ds&amp;st=12znzp0b&amp;dl=1" TargetMode="External"/><Relationship Id="rId77" Type="http://schemas.openxmlformats.org/officeDocument/2006/relationships/hyperlink" Target="https://www.dropbox.com/scl/fi/iqqyzgzi7d3r9ydskvhoi/5055964343125_01_01.wav?rlkey=58yavh0gj0pemdp2km7fa3lqw&amp;st=leehlx7a&amp;dl=1" TargetMode="External"/><Relationship Id="rId32" Type="http://schemas.openxmlformats.org/officeDocument/2006/relationships/hyperlink" Target="https://www.dropbox.com/scl/fi/54474ndbqglpxraqxhslr/5055964320096_01_06.wav?rlkey=iqesmslx7dst1xrxi54m4klk3&amp;st=pq0814j1&amp;dl=1" TargetMode="External"/><Relationship Id="rId76" Type="http://schemas.openxmlformats.org/officeDocument/2006/relationships/hyperlink" Target="https://www.dropbox.com/scl/fi/kl1sto663kgarci68ooij/5055964342975_01_01.wav?rlkey=ypuuyoisg6zp0owo6bjgdljvo&amp;st=cqknj04k&amp;dl=1" TargetMode="External"/><Relationship Id="rId35" Type="http://schemas.openxmlformats.org/officeDocument/2006/relationships/hyperlink" Target="https://www.dropbox.com/scl/fi/sxqdyd1bs6o9zngchvq0p/5055964332129_01_01.wav?rlkey=1b395gewcgh3aqqu54nwgr30o&amp;st=z2l7f101&amp;dl=1" TargetMode="External"/><Relationship Id="rId79" Type="http://schemas.openxmlformats.org/officeDocument/2006/relationships/hyperlink" Target="https://www.dropbox.com/scl/fi/16lkamu4z33ixu351mdhb/5055964343538_01_01.wav?rlkey=ng32e2u35gthtionq94czbinz&amp;st=c2n20iyu&amp;dl=1" TargetMode="External"/><Relationship Id="rId34" Type="http://schemas.openxmlformats.org/officeDocument/2006/relationships/hyperlink" Target="https://www.dropbox.com/scl/fi/oiunaazn9128aeh7m9rvx/5055964356712_01_01.wav?rlkey=t3smikq1gsprf59wbjxjylvwn&amp;st=g4yybdfp&amp;dl=1" TargetMode="External"/><Relationship Id="rId78" Type="http://schemas.openxmlformats.org/officeDocument/2006/relationships/hyperlink" Target="https://www.dropbox.com/scl/fi/0n8cb4kqen35o2f65w9c0/5055964343309_01_01.wav?rlkey=2onxuw0p36s7vgov7iwth4bu2&amp;st=5c4dlrzv&amp;dl=1" TargetMode="External"/><Relationship Id="rId71" Type="http://schemas.openxmlformats.org/officeDocument/2006/relationships/hyperlink" Target="https://www.dropbox.com/scl/fi/0jgjwugldnbxhutkp85s5/5055964340759_01_01.wav?rlkey=cdgufx3bgttc7nt9glv9car8j&amp;st=ap87xob4&amp;dl=1" TargetMode="External"/><Relationship Id="rId70" Type="http://schemas.openxmlformats.org/officeDocument/2006/relationships/hyperlink" Target="https://www.dropbox.com/scl/fi/dxtd46tiqa6ma9gn7106t/5055964340612_01_01.wav?rlkey=vz8rxnqkt3kdvg989ecbvq63o&amp;st=657n1wqq&amp;dl=1" TargetMode="External"/><Relationship Id="rId37" Type="http://schemas.openxmlformats.org/officeDocument/2006/relationships/hyperlink" Target="https://www.dropbox.com/scl/fi/5o1o3loqvujvejssy7epp/5055964331320_01_01.wav?rlkey=4fx8b0upo4f49p1n2ofqch0f1&amp;st=si4l5exs&amp;dl=1" TargetMode="External"/><Relationship Id="rId36" Type="http://schemas.openxmlformats.org/officeDocument/2006/relationships/hyperlink" Target="https://www.dropbox.com/scl/fi/vlopc8wu51nemkej3c6oa/5055964320355_01_01.wav?rlkey=b1drhmvoyyd5z7csxpus501vy&amp;st=4frr43ss&amp;dl=1" TargetMode="External"/><Relationship Id="rId39" Type="http://schemas.openxmlformats.org/officeDocument/2006/relationships/hyperlink" Target="https://www.dropbox.com/scl/fi/9huiygha006a5lftis66u/5055964330590_01_01.wav?rlkey=fcdbcc7uivlrund1st1dj3q7l&amp;st=vyhd2r5z&amp;dl=1" TargetMode="External"/><Relationship Id="rId38" Type="http://schemas.openxmlformats.org/officeDocument/2006/relationships/hyperlink" Target="https://www.dropbox.com/scl/fi/o657ag8m5gn4f37ufrq9q/5055964313159_01_01.wav?rlkey=f8ehxfdl3xoiynu18t275utgt&amp;st=w98wemrg&amp;dl=1" TargetMode="External"/><Relationship Id="rId62" Type="http://schemas.openxmlformats.org/officeDocument/2006/relationships/hyperlink" Target="https://www.dropbox.com/scl/fi/o79eqhx1uyaamqrx7m1ao/5055964336714_01_01.wav?rlkey=1niwofw93kruo2bsv3nqx172u&amp;st=exacfgtm&amp;dl=1" TargetMode="External"/><Relationship Id="rId61" Type="http://schemas.openxmlformats.org/officeDocument/2006/relationships/hyperlink" Target="https://www.dropbox.com/scl/fi/2o4f58d3ihbbhezpzs0ga/5055964357979_01_01.wav?rlkey=nr4qi8y0u91s195sl5qdlg29v&amp;st=xw22uc7z&amp;dl=1" TargetMode="External"/><Relationship Id="rId20" Type="http://schemas.openxmlformats.org/officeDocument/2006/relationships/hyperlink" Target="https://www.dropbox.com/scl/fi/9reyzulz3xnlty7tknynb/5055964330514_01_01.wav?rlkey=alajhrsk52e26sg3733y0vrzo&amp;st=gwkm8sdm&amp;dl=1" TargetMode="External"/><Relationship Id="rId64" Type="http://schemas.openxmlformats.org/officeDocument/2006/relationships/hyperlink" Target="https://www.dropbox.com/scl/fi/asa03x9p379gthkqklp5g/5055964336981_01_01.wav?rlkey=qwbntce9q82bedor6h8z8dtb0&amp;st=9syo8pw1&amp;dl=1" TargetMode="External"/><Relationship Id="rId63" Type="http://schemas.openxmlformats.org/officeDocument/2006/relationships/hyperlink" Target="https://www.dropbox.com/scl/fi/l9hun9mw8fhz8ofvzfipq/5055964336943_01_01.wav?rlkey=4nmkll6vzpwltdqvvpw8npkxr&amp;st=2s4i28w7&amp;dl=1" TargetMode="External"/><Relationship Id="rId22" Type="http://schemas.openxmlformats.org/officeDocument/2006/relationships/hyperlink" Target="https://www.dropbox.com/scl/fi/eowjdswyr5s10rhy1e43v/5055964321130_01_01.wav?rlkey=qd0vhhx6mfl7c0wws0xjzmk2h&amp;st=zeagqy8q&amp;dl=1" TargetMode="External"/><Relationship Id="rId66" Type="http://schemas.openxmlformats.org/officeDocument/2006/relationships/hyperlink" Target="https://www.dropbox.com/scl/fi/1rw0e0dild3exvpwqwjl0/5055964337346_01_01.wav?rlkey=2rpnoatk60ods5fca1cqif5pp&amp;st=bdn2hcwn&amp;dl=1" TargetMode="External"/><Relationship Id="rId21" Type="http://schemas.openxmlformats.org/officeDocument/2006/relationships/hyperlink" Target="https://www.dropbox.com/scl/fi/1sw30bskn6ubhxfszdo98/5055964330576_01_01.wav?rlkey=7qkfjcqf5t14e7ijdwvax4r81&amp;st=n2sfoymi&amp;dl=1" TargetMode="External"/><Relationship Id="rId65" Type="http://schemas.openxmlformats.org/officeDocument/2006/relationships/hyperlink" Target="https://www.dropbox.com/scl/fi/s8lr637jiqazpfhyy4nzf/5055964337339_01_01.wav?rlkey=2ovgf84ghh0m5yb171txqv06l&amp;st=l49d2ea1&amp;dl=1" TargetMode="External"/><Relationship Id="rId24" Type="http://schemas.openxmlformats.org/officeDocument/2006/relationships/hyperlink" Target="https://www.dropbox.com/scl/fi/da408pjvxpjd8snij7hpu/5055964357160_01_01.wav?rlkey=6g8ohlotst67zdqgqr7dhkknm&amp;st=gux4rqwz&amp;dl=1" TargetMode="External"/><Relationship Id="rId68" Type="http://schemas.openxmlformats.org/officeDocument/2006/relationships/hyperlink" Target="https://www.dropbox.com/scl/fi/hv2vuncetqmnz9or7fnuy/5055964340322_01_01.wav?rlkey=q6s5uuj9l4xsl4eoedm8itz7a&amp;st=nme7qt8r&amp;dl=1" TargetMode="External"/><Relationship Id="rId23" Type="http://schemas.openxmlformats.org/officeDocument/2006/relationships/hyperlink" Target="https://www.dropbox.com/scl/fi/ggzceaqpgoqg5owzndlt6/5055964321208_01_01.wav?rlkey=uppoj96k03i4z2vpjc8o1ygm5&amp;st=71vrtr4s&amp;dl=1" TargetMode="External"/><Relationship Id="rId67" Type="http://schemas.openxmlformats.org/officeDocument/2006/relationships/hyperlink" Target="https://www.dropbox.com/scl/fi/975zvxlty5i6u7hw0ht37/5055964338275_01_01.wav?rlkey=brvfjleksnq65qm7t1bntba47&amp;st=brkk3a63&amp;dl=1" TargetMode="External"/><Relationship Id="rId60" Type="http://schemas.openxmlformats.org/officeDocument/2006/relationships/hyperlink" Target="https://www.dropbox.com/scl/fi/e5o7n8imqzhr4zv5itfja/5055964357948_01_01.wav?rlkey=qo82ws4kaovhvvw1sskghx5wb&amp;st=zziw8jxy&amp;dl=1" TargetMode="External"/><Relationship Id="rId26" Type="http://schemas.openxmlformats.org/officeDocument/2006/relationships/hyperlink" Target="https://www.dropbox.com/scl/fi/3om9l5sp1xyhk8aztepza/5055964321284_01_01.wav?rlkey=zqeq1p7zuox1zblhct5rkdoxh&amp;st=wlvzxyh5&amp;dl=1" TargetMode="External"/><Relationship Id="rId25" Type="http://schemas.openxmlformats.org/officeDocument/2006/relationships/hyperlink" Target="https://www.dropbox.com/scl/fi/cze30yv9v5aducg446zia/5055964356552_01_01.wav?rlkey=tn95n5z7a0n41ffvlqk3pl3j2&amp;st=p8s01lgz&amp;dl=1" TargetMode="External"/><Relationship Id="rId69" Type="http://schemas.openxmlformats.org/officeDocument/2006/relationships/hyperlink" Target="https://www.dropbox.com/scl/fi/e4qsh8ojnz2hbpsg1rc68/5055964340483_01_01.wav?rlkey=upa0h1kmzbr4whhbqi87notrb&amp;st=02vrn3vu&amp;dl=1" TargetMode="External"/><Relationship Id="rId28" Type="http://schemas.openxmlformats.org/officeDocument/2006/relationships/hyperlink" Target="https://www.dropbox.com/scl/fi/f68dym357s2ktsgaaklnl/5055964320096_01_02.wav?rlkey=m1tev7pxh1zqn3yb84t8xoiwf&amp;st=63ptyfds&amp;dl=1" TargetMode="External"/><Relationship Id="rId27" Type="http://schemas.openxmlformats.org/officeDocument/2006/relationships/hyperlink" Target="https://www.dropbox.com/scl/fi/g937id9jw0mwcehldl504/5055964320096_01_01.wav?rlkey=d2onn4f01rkb5twvs3ozylurm&amp;st=59bjjwml&amp;dl=1" TargetMode="External"/><Relationship Id="rId29" Type="http://schemas.openxmlformats.org/officeDocument/2006/relationships/hyperlink" Target="https://www.dropbox.com/scl/fi/iwx8zv7ef056q9issi5qb/5055964320096_01_03.wav?rlkey=zpupaqbi2a7judu5xlheievz7&amp;st=liwm1dy9&amp;dl=1" TargetMode="External"/><Relationship Id="rId51" Type="http://schemas.openxmlformats.org/officeDocument/2006/relationships/hyperlink" Target="https://www.dropbox.com/scl/fi/qv7wocqk1y09w3graf181/5055964329112_01_01.wav?rlkey=y5gq3cyfcd90ggypanhsty4jh&amp;st=2qgzywny&amp;dl=1" TargetMode="External"/><Relationship Id="rId50" Type="http://schemas.openxmlformats.org/officeDocument/2006/relationships/hyperlink" Target="https://www.dropbox.com/scl/fi/21wjwioygl3q83ljlpuam/5055964319601_01_01.wav?rlkey=3y4vjars2gj16eogvpdthdcas&amp;st=eux9q9lh&amp;dl=1" TargetMode="External"/><Relationship Id="rId53" Type="http://schemas.openxmlformats.org/officeDocument/2006/relationships/hyperlink" Target="https://www.dropbox.com/scl/fi/of8bwy367vv8bxcy84ag7/5055964332228_01_01.wav?rlkey=0hxg650ma94n66xkbdasxnlli&amp;st=uzk3zb0w&amp;dl=1" TargetMode="External"/><Relationship Id="rId52" Type="http://schemas.openxmlformats.org/officeDocument/2006/relationships/hyperlink" Target="https://www.dropbox.com/scl/fi/yk6fu64j7l5onp6yv5fy7/5055964356590_01_01.wav?rlkey=tmy51t51erudj9hzj75nuzib2&amp;st=expmhmxf&amp;dl=1" TargetMode="External"/><Relationship Id="rId11" Type="http://schemas.openxmlformats.org/officeDocument/2006/relationships/hyperlink" Target="https://www.dropbox.com/scl/fi/84g4ito22mafv4bbvq4qa/5055964312657_01_06.wav?rlkey=xhhkxpihkb0fdwf1r3eay37n6&amp;st=iivad8xh&amp;dl=1" TargetMode="External"/><Relationship Id="rId55" Type="http://schemas.openxmlformats.org/officeDocument/2006/relationships/hyperlink" Target="https://www.dropbox.com/scl/fi/ink9w3h35szihd97y1uqq/5055964357931_01_01.wav?rlkey=jwzfkqecunxyy2g2axk5wmcun&amp;st=prsvtm19&amp;dl=1" TargetMode="External"/><Relationship Id="rId10" Type="http://schemas.openxmlformats.org/officeDocument/2006/relationships/hyperlink" Target="https://www.dropbox.com/scl/fi/ac5qbi9hg2ytvih0j35aj/5055964312657_01_05.wav?rlkey=r54bzxsw97eyejv6kph3l5vfv&amp;st=fqaxpux2&amp;dl=1" TargetMode="External"/><Relationship Id="rId54" Type="http://schemas.openxmlformats.org/officeDocument/2006/relationships/hyperlink" Target="https://www.dropbox.com/scl/fi/tbt23l7vipyk756ehkyl0/5055964331528_01_01.wav?rlkey=p6o0zsxzwkzbvjyezypsq3kfx&amp;st=mofo4hgb&amp;dl=1" TargetMode="External"/><Relationship Id="rId13" Type="http://schemas.openxmlformats.org/officeDocument/2006/relationships/hyperlink" Target="https://www.dropbox.com/scl/fi/xoc4s2yn64ikd4ne844fv/5055964321390_01_01.wav?rlkey=cyb19g434dywt5yutd8gfxyda&amp;st=n4omxpyi&amp;dl=1" TargetMode="External"/><Relationship Id="rId57" Type="http://schemas.openxmlformats.org/officeDocument/2006/relationships/hyperlink" Target="https://www.dropbox.com/scl/fi/ki5u6kp368suba8e43k9x/5055964359133_01_01.wav?rlkey=l404vb91vya2jwpt881wrud1o&amp;st=7mkbepq2&amp;dl=1" TargetMode="External"/><Relationship Id="rId12" Type="http://schemas.openxmlformats.org/officeDocument/2006/relationships/hyperlink" Target="https://www.dropbox.com/scl/fi/8swn4p7sz00r0jucudzrh/5055964312657_01_07.wav?rlkey=x4vdni9l17imymze3ssyclbbc&amp;st=6kxmqzxs&amp;dl=1" TargetMode="External"/><Relationship Id="rId56" Type="http://schemas.openxmlformats.org/officeDocument/2006/relationships/hyperlink" Target="https://www.dropbox.com/scl/fi/e56221qflgyrwoi1e191c/5055964357917_01_01.wav?rlkey=2esj8lfznf0sjf5qw68l09wso&amp;st=8zdsjrrf&amp;dl=1" TargetMode="External"/><Relationship Id="rId15" Type="http://schemas.openxmlformats.org/officeDocument/2006/relationships/hyperlink" Target="https://www.dropbox.com/scl/fi/9et6ghc6e7udkj6i0naq9/5055964330446_01_01.wav?rlkey=5theicrbmhv8n87pg3airavqi&amp;st=x050t5r3&amp;dl=1" TargetMode="External"/><Relationship Id="rId59" Type="http://schemas.openxmlformats.org/officeDocument/2006/relationships/hyperlink" Target="https://www.dropbox.com/scl/fi/6ajapxi6ukpn3q5ugtvn0/5055964359225_01_01.wav?rlkey=iujcb22y8rrfvjikfrgtcsvai&amp;st=rk0oxiii&amp;dl=1" TargetMode="External"/><Relationship Id="rId14" Type="http://schemas.openxmlformats.org/officeDocument/2006/relationships/hyperlink" Target="https://www.dropbox.com/scl/fi/ktwhl5qswhxeojfiqofcd/5055964330187_01_01.wav?rlkey=sa7qkiugychl27mja03sfnxh0&amp;st=r2luteo0&amp;dl=1" TargetMode="External"/><Relationship Id="rId58" Type="http://schemas.openxmlformats.org/officeDocument/2006/relationships/hyperlink" Target="https://www.dropbox.com/scl/fi/3696z07s0uymqgio6yawz/5055964359270_01_01.wav?rlkey=iqf13ib2ryqjh1ac5f74aacxw&amp;st=f6em8m9s&amp;dl=1" TargetMode="External"/><Relationship Id="rId17" Type="http://schemas.openxmlformats.org/officeDocument/2006/relationships/hyperlink" Target="https://www.dropbox.com/scl/fi/et5521iog2qia882i603q/5055964357016_01_01.wav?rlkey=yq6jq4sme9u971mw4r706am05&amp;st=0eghrzb3&amp;dl=1" TargetMode="External"/><Relationship Id="rId16" Type="http://schemas.openxmlformats.org/officeDocument/2006/relationships/hyperlink" Target="https://www.dropbox.com/scl/fi/lh7qtd8pt3768rcwqwkyu/5055964357078_01_01.wav?rlkey=ruayt406o8iouh2oixez7063q&amp;st=6dpem57t&amp;dl=1" TargetMode="External"/><Relationship Id="rId19" Type="http://schemas.openxmlformats.org/officeDocument/2006/relationships/hyperlink" Target="https://www.dropbox.com/scl/fi/4lg5rudazmxjvbgx0qla9/5055964321710_01_01.wav?rlkey=ahhzx8mghnuflw6e7f6d8l218&amp;st=fnqa9zyy&amp;dl=1" TargetMode="External"/><Relationship Id="rId18" Type="http://schemas.openxmlformats.org/officeDocument/2006/relationships/hyperlink" Target="https://www.dropbox.com/scl/fi/ovwz6fx7xxeouqwpmajbg/5055964332198_01_01.wav?rlkey=j4cxwycz5vpbs44ilanbcbexe&amp;st=y56edhnb&amp;dl=1" TargetMode="Externa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9.xml"/><Relationship Id="rId3"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0.xml"/><Relationship Id="rId3"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hyperlink" Target="https://artlistdata.blob.core.windows.net/artlist-artistpage/Assaf_Ayalon_-_P_-_3000.jpg" TargetMode="External"/><Relationship Id="rId3" Type="http://schemas.openxmlformats.org/officeDocument/2006/relationships/hyperlink" Target="https://artlistdata.blob.core.windows.net/artlist-images/Soul_Salvation_-_3000_-_18.6.19.jpg" TargetMode="External"/><Relationship Id="rId4" Type="http://schemas.openxmlformats.org/officeDocument/2006/relationships/hyperlink" Target="https://artlistdata.blob.core.windows.net/artlist-wave/Soul_Salvation_-_Soul_Salvation_-_Master_(16-44.1).wav" TargetMode="External"/><Relationship Id="rId5" Type="http://schemas.openxmlformats.org/officeDocument/2006/relationships/hyperlink" Target="https://artlistdata.blob.core.windows.net/artlist-wave/Soul_Salvation_-_Soul_Salvation_-_Instrumental_-_Master_(16-44.1).wav" TargetMode="External"/><Relationship Id="rId6" Type="http://schemas.openxmlformats.org/officeDocument/2006/relationships/hyperlink" Target="https://artlistdata.blob.core.windows.net/artlist-wave/Soul_Salvation_-_Going_Back_(16-44.1).wav" TargetMode="External"/><Relationship Id="rId7" Type="http://schemas.openxmlformats.org/officeDocument/2006/relationships/drawing" Target="../drawings/drawing12.xml"/><Relationship Id="rId8"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showGridLines="0" workbookViewId="0"/>
  </sheetViews>
  <sheetFormatPr customHeight="1" defaultColWidth="12.63" defaultRowHeight="15.75"/>
  <cols>
    <col customWidth="1" min="2" max="2" width="14.13"/>
  </cols>
  <sheetData>
    <row r="1">
      <c r="A1" s="1"/>
      <c r="B1" s="2" t="s">
        <v>0</v>
      </c>
      <c r="C1" s="1"/>
      <c r="D1" s="1"/>
      <c r="E1" s="1"/>
      <c r="F1" s="1"/>
      <c r="G1" s="1"/>
      <c r="H1" s="1"/>
      <c r="I1" s="1"/>
      <c r="J1" s="1"/>
      <c r="K1" s="1"/>
      <c r="L1" s="1"/>
      <c r="M1" s="1"/>
      <c r="N1" s="1"/>
      <c r="O1" s="1"/>
      <c r="P1" s="1"/>
    </row>
    <row r="2">
      <c r="A2" s="3" t="s">
        <v>1</v>
      </c>
      <c r="B2" s="4" t="s">
        <v>2</v>
      </c>
      <c r="C2" s="1"/>
      <c r="D2" s="1"/>
      <c r="E2" s="1"/>
      <c r="F2" s="1"/>
      <c r="G2" s="1"/>
      <c r="H2" s="1"/>
      <c r="I2" s="1"/>
      <c r="J2" s="1"/>
      <c r="K2" s="1"/>
      <c r="L2" s="1"/>
      <c r="M2" s="1"/>
      <c r="N2" s="1"/>
      <c r="O2" s="1"/>
      <c r="P2" s="1"/>
    </row>
    <row r="3">
      <c r="A3" s="3" t="s">
        <v>3</v>
      </c>
      <c r="B3" s="5" t="s">
        <v>4</v>
      </c>
      <c r="C3" s="1"/>
      <c r="D3" s="1"/>
      <c r="E3" s="1"/>
      <c r="F3" s="1"/>
      <c r="G3" s="1"/>
      <c r="H3" s="1"/>
      <c r="I3" s="1"/>
      <c r="J3" s="1"/>
      <c r="K3" s="1"/>
      <c r="L3" s="1"/>
      <c r="M3" s="1"/>
      <c r="N3" s="1"/>
      <c r="O3" s="1"/>
      <c r="P3" s="1"/>
    </row>
    <row r="4">
      <c r="A4" s="3"/>
      <c r="B4" s="6"/>
      <c r="C4" s="1"/>
      <c r="D4" s="1"/>
      <c r="E4" s="1"/>
      <c r="F4" s="1"/>
      <c r="G4" s="1"/>
      <c r="H4" s="1"/>
      <c r="I4" s="1"/>
      <c r="J4" s="1"/>
      <c r="K4" s="1"/>
      <c r="L4" s="1"/>
      <c r="M4" s="1"/>
      <c r="N4" s="1"/>
      <c r="O4" s="1"/>
      <c r="P4" s="1"/>
    </row>
    <row r="5">
      <c r="A5" s="1"/>
      <c r="B5" s="7"/>
      <c r="C5" s="1"/>
      <c r="D5" s="1"/>
      <c r="E5" s="1"/>
      <c r="F5" s="1"/>
      <c r="G5" s="1"/>
      <c r="H5" s="1"/>
      <c r="I5" s="1"/>
      <c r="J5" s="1"/>
      <c r="K5" s="1"/>
      <c r="L5" s="1"/>
      <c r="M5" s="1"/>
      <c r="N5" s="1"/>
      <c r="O5" s="1"/>
      <c r="P5" s="1"/>
    </row>
    <row r="6">
      <c r="A6" s="1"/>
      <c r="C6" s="1"/>
      <c r="D6" s="1"/>
      <c r="E6" s="1"/>
      <c r="F6" s="1"/>
      <c r="G6" s="1"/>
      <c r="H6" s="1"/>
      <c r="I6" s="1"/>
      <c r="J6" s="1"/>
      <c r="K6" s="1"/>
      <c r="L6" s="1"/>
      <c r="M6" s="1"/>
      <c r="N6" s="1"/>
      <c r="O6" s="1"/>
      <c r="P6" s="1"/>
    </row>
    <row r="7">
      <c r="A7" s="1"/>
      <c r="B7" s="6" t="s">
        <v>5</v>
      </c>
      <c r="C7" s="1"/>
      <c r="D7" s="1"/>
      <c r="E7" s="1"/>
      <c r="F7" s="1"/>
      <c r="G7" s="1"/>
      <c r="H7" s="1"/>
      <c r="I7" s="1"/>
      <c r="J7" s="1"/>
      <c r="K7" s="1"/>
      <c r="L7" s="1"/>
      <c r="M7" s="1"/>
      <c r="N7" s="1"/>
      <c r="O7" s="1"/>
      <c r="P7" s="1"/>
    </row>
    <row r="8">
      <c r="A8" s="1"/>
      <c r="B8" s="6"/>
      <c r="C8" s="1"/>
      <c r="D8" s="1"/>
      <c r="E8" s="1"/>
      <c r="F8" s="1"/>
      <c r="G8" s="1"/>
      <c r="H8" s="1"/>
      <c r="I8" s="1"/>
      <c r="J8" s="1"/>
      <c r="K8" s="1"/>
      <c r="L8" s="1"/>
      <c r="M8" s="1"/>
      <c r="N8" s="1"/>
      <c r="O8" s="1"/>
      <c r="P8" s="1"/>
    </row>
    <row r="9">
      <c r="A9" s="1"/>
      <c r="B9" s="6" t="s">
        <v>6</v>
      </c>
      <c r="C9" s="1"/>
      <c r="D9" s="1"/>
      <c r="E9" s="1"/>
      <c r="F9" s="1"/>
      <c r="G9" s="1"/>
      <c r="H9" s="1"/>
      <c r="I9" s="1"/>
      <c r="J9" s="1"/>
      <c r="K9" s="1"/>
      <c r="L9" s="1"/>
      <c r="M9" s="1"/>
      <c r="N9" s="1"/>
      <c r="O9" s="1"/>
      <c r="P9" s="1"/>
    </row>
    <row r="10">
      <c r="A10" s="1"/>
      <c r="B10" s="6" t="s">
        <v>7</v>
      </c>
      <c r="C10" s="1"/>
      <c r="D10" s="1"/>
      <c r="E10" s="1"/>
      <c r="F10" s="1"/>
      <c r="G10" s="1"/>
      <c r="H10" s="1"/>
      <c r="I10" s="1"/>
      <c r="J10" s="1"/>
      <c r="K10" s="1"/>
      <c r="L10" s="1"/>
      <c r="M10" s="1"/>
      <c r="N10" s="1"/>
      <c r="O10" s="1"/>
      <c r="P10" s="1"/>
    </row>
    <row r="11">
      <c r="A11" s="1"/>
      <c r="B11" s="6" t="s">
        <v>8</v>
      </c>
      <c r="C11" s="1"/>
      <c r="D11" s="1"/>
      <c r="E11" s="1"/>
      <c r="F11" s="1"/>
      <c r="G11" s="1"/>
      <c r="H11" s="1"/>
      <c r="I11" s="1"/>
      <c r="J11" s="1"/>
      <c r="K11" s="1"/>
      <c r="L11" s="1"/>
      <c r="M11" s="1"/>
      <c r="N11" s="1"/>
      <c r="O11" s="1"/>
      <c r="P11" s="1"/>
    </row>
    <row r="12">
      <c r="A12" s="1"/>
      <c r="B12" s="6"/>
      <c r="C12" s="1"/>
      <c r="D12" s="1"/>
      <c r="E12" s="1"/>
      <c r="F12" s="1"/>
      <c r="G12" s="1"/>
      <c r="H12" s="1"/>
      <c r="I12" s="1"/>
      <c r="J12" s="1"/>
      <c r="K12" s="1"/>
      <c r="L12" s="1"/>
      <c r="M12" s="1"/>
      <c r="N12" s="1"/>
      <c r="O12" s="1"/>
      <c r="P12" s="1"/>
    </row>
    <row r="13">
      <c r="A13" s="1"/>
      <c r="B13" s="6" t="s">
        <v>9</v>
      </c>
      <c r="C13" s="1"/>
      <c r="D13" s="1"/>
      <c r="E13" s="1"/>
      <c r="F13" s="1"/>
      <c r="G13" s="1"/>
      <c r="H13" s="1"/>
      <c r="I13" s="1"/>
      <c r="J13" s="1"/>
      <c r="K13" s="1"/>
      <c r="L13" s="1"/>
      <c r="M13" s="1"/>
      <c r="N13" s="1"/>
      <c r="O13" s="1"/>
      <c r="P13" s="1"/>
    </row>
    <row r="14">
      <c r="A14" s="1"/>
      <c r="B14" s="1"/>
      <c r="C14" s="1"/>
      <c r="D14" s="1"/>
      <c r="E14" s="1"/>
      <c r="F14" s="1"/>
      <c r="G14" s="1"/>
      <c r="H14" s="1"/>
      <c r="I14" s="1"/>
      <c r="J14" s="1"/>
      <c r="K14" s="1"/>
      <c r="L14" s="1"/>
      <c r="M14" s="1"/>
      <c r="N14" s="1"/>
      <c r="O14" s="1"/>
      <c r="P14" s="1"/>
    </row>
    <row r="15">
      <c r="A15" s="1"/>
      <c r="B15" s="8" t="s">
        <v>10</v>
      </c>
      <c r="C15" s="1"/>
      <c r="D15" s="1"/>
      <c r="E15" s="1"/>
      <c r="F15" s="1"/>
      <c r="G15" s="1"/>
      <c r="H15" s="1"/>
      <c r="I15" s="1"/>
      <c r="J15" s="1"/>
      <c r="K15" s="1"/>
      <c r="L15" s="1"/>
      <c r="M15" s="1"/>
      <c r="N15" s="1"/>
      <c r="O15" s="1"/>
      <c r="P15" s="1"/>
    </row>
    <row r="16">
      <c r="A16" s="1"/>
      <c r="B16" s="8" t="s">
        <v>11</v>
      </c>
      <c r="C16" s="1"/>
      <c r="D16" s="1"/>
      <c r="E16" s="1"/>
      <c r="F16" s="1"/>
      <c r="G16" s="1"/>
      <c r="H16" s="1"/>
      <c r="I16" s="1"/>
      <c r="J16" s="1"/>
      <c r="K16" s="1"/>
      <c r="L16" s="1"/>
      <c r="M16" s="1"/>
      <c r="N16" s="1"/>
      <c r="O16" s="1"/>
      <c r="P16" s="1"/>
    </row>
    <row r="17">
      <c r="A17" s="1"/>
      <c r="B17" s="9"/>
      <c r="C17" s="1"/>
      <c r="D17" s="1"/>
      <c r="E17" s="1"/>
      <c r="F17" s="1"/>
      <c r="G17" s="1"/>
      <c r="H17" s="1"/>
      <c r="I17" s="1"/>
      <c r="J17" s="1"/>
      <c r="K17" s="1"/>
      <c r="L17" s="1"/>
      <c r="M17" s="1"/>
      <c r="N17" s="1"/>
      <c r="O17" s="1"/>
      <c r="P17" s="1"/>
    </row>
    <row r="18">
      <c r="A18" s="1"/>
      <c r="B18" s="10" t="s">
        <v>12</v>
      </c>
      <c r="C18" s="1"/>
      <c r="D18" s="1"/>
      <c r="E18" s="1"/>
      <c r="F18" s="1"/>
      <c r="G18" s="1"/>
      <c r="H18" s="1"/>
      <c r="I18" s="1"/>
      <c r="J18" s="1"/>
      <c r="K18" s="1"/>
      <c r="L18" s="1"/>
      <c r="M18" s="1"/>
      <c r="N18" s="1"/>
      <c r="O18" s="1"/>
      <c r="P18" s="1"/>
    </row>
    <row r="19">
      <c r="A19" s="1"/>
      <c r="B19" s="6"/>
      <c r="C19" s="1"/>
      <c r="D19" s="1"/>
      <c r="E19" s="1"/>
      <c r="F19" s="1"/>
      <c r="G19" s="1"/>
      <c r="H19" s="1"/>
      <c r="I19" s="1"/>
      <c r="J19" s="1"/>
      <c r="K19" s="1"/>
      <c r="L19" s="1"/>
      <c r="M19" s="1"/>
      <c r="N19" s="1"/>
      <c r="O19" s="1"/>
      <c r="P19" s="1"/>
    </row>
    <row r="20">
      <c r="A20" s="1"/>
      <c r="B20" s="1"/>
      <c r="C20" s="1"/>
      <c r="D20" s="1"/>
      <c r="E20" s="1"/>
      <c r="F20" s="1"/>
      <c r="G20" s="1"/>
      <c r="H20" s="1"/>
      <c r="I20" s="1"/>
      <c r="J20" s="1"/>
      <c r="K20" s="1"/>
      <c r="L20" s="1"/>
      <c r="M20" s="1"/>
      <c r="N20" s="1"/>
      <c r="O20" s="1"/>
      <c r="P20" s="1"/>
    </row>
    <row r="21">
      <c r="A21" s="1"/>
      <c r="B21" s="11" t="s">
        <v>13</v>
      </c>
      <c r="C21" s="1"/>
      <c r="D21" s="1"/>
      <c r="E21" s="1"/>
      <c r="F21" s="1"/>
      <c r="G21" s="1"/>
      <c r="H21" s="1"/>
      <c r="I21" s="1"/>
      <c r="J21" s="1"/>
      <c r="K21" s="1"/>
      <c r="L21" s="1"/>
      <c r="M21" s="1"/>
      <c r="N21" s="1"/>
      <c r="O21" s="1"/>
      <c r="P21" s="1"/>
    </row>
    <row r="22">
      <c r="A22" s="1"/>
      <c r="B22" s="12" t="s">
        <v>14</v>
      </c>
      <c r="C22" s="1"/>
      <c r="D22" s="1"/>
      <c r="E22" s="1"/>
      <c r="F22" s="1"/>
      <c r="G22" s="1"/>
      <c r="H22" s="1"/>
      <c r="I22" s="1"/>
      <c r="J22" s="1"/>
      <c r="K22" s="1"/>
      <c r="L22" s="1"/>
      <c r="M22" s="1"/>
      <c r="N22" s="1"/>
      <c r="O22" s="1"/>
      <c r="P22" s="1"/>
    </row>
    <row r="23">
      <c r="A23" s="1"/>
      <c r="B23" s="12" t="s">
        <v>15</v>
      </c>
      <c r="C23" s="1"/>
      <c r="D23" s="1"/>
      <c r="E23" s="1"/>
      <c r="F23" s="1"/>
      <c r="G23" s="1"/>
      <c r="H23" s="1"/>
      <c r="I23" s="1"/>
      <c r="J23" s="1"/>
      <c r="K23" s="1"/>
      <c r="L23" s="1"/>
      <c r="M23" s="1"/>
      <c r="N23" s="1"/>
      <c r="O23" s="1"/>
      <c r="P23" s="1"/>
    </row>
    <row r="24">
      <c r="A24" s="1"/>
      <c r="B24" s="12" t="s">
        <v>16</v>
      </c>
      <c r="C24" s="1"/>
      <c r="D24" s="1"/>
      <c r="E24" s="1"/>
      <c r="F24" s="1"/>
      <c r="G24" s="1"/>
      <c r="H24" s="1"/>
      <c r="I24" s="1"/>
      <c r="J24" s="1"/>
      <c r="K24" s="1"/>
      <c r="L24" s="1"/>
      <c r="M24" s="1"/>
      <c r="N24" s="1"/>
      <c r="O24" s="1"/>
      <c r="P24" s="1"/>
    </row>
    <row r="25">
      <c r="A25" s="1"/>
      <c r="B25" s="12" t="s">
        <v>17</v>
      </c>
      <c r="C25" s="1"/>
      <c r="D25" s="1"/>
      <c r="E25" s="1"/>
      <c r="F25" s="1"/>
      <c r="G25" s="1"/>
      <c r="H25" s="1"/>
      <c r="I25" s="1"/>
      <c r="J25" s="1"/>
      <c r="K25" s="1"/>
      <c r="L25" s="1"/>
      <c r="M25" s="1"/>
      <c r="N25" s="1"/>
      <c r="O25" s="1"/>
      <c r="P25" s="1"/>
    </row>
    <row r="26">
      <c r="A26" s="1"/>
      <c r="B26" s="12" t="s">
        <v>18</v>
      </c>
      <c r="C26" s="1"/>
      <c r="D26" s="1"/>
      <c r="E26" s="1"/>
      <c r="F26" s="1"/>
      <c r="G26" s="1"/>
      <c r="H26" s="1"/>
      <c r="I26" s="1"/>
      <c r="J26" s="1"/>
      <c r="K26" s="1"/>
      <c r="L26" s="1"/>
      <c r="M26" s="1"/>
      <c r="N26" s="1"/>
      <c r="O26" s="1"/>
      <c r="P26" s="1"/>
    </row>
    <row r="27">
      <c r="A27" s="1"/>
      <c r="B27" s="11"/>
      <c r="C27" s="1"/>
      <c r="D27" s="1"/>
      <c r="E27" s="1"/>
      <c r="F27" s="1"/>
      <c r="G27" s="1"/>
      <c r="H27" s="1"/>
      <c r="I27" s="1"/>
      <c r="J27" s="1"/>
      <c r="K27" s="1"/>
      <c r="L27" s="1"/>
      <c r="M27" s="1"/>
      <c r="N27" s="1"/>
      <c r="O27" s="1"/>
      <c r="P27" s="1"/>
    </row>
    <row r="28">
      <c r="A28" s="1"/>
      <c r="B28" s="11" t="s">
        <v>19</v>
      </c>
      <c r="C28" s="1"/>
      <c r="D28" s="1"/>
      <c r="E28" s="1"/>
      <c r="F28" s="1"/>
      <c r="G28" s="1"/>
      <c r="H28" s="1"/>
      <c r="I28" s="1"/>
      <c r="J28" s="1"/>
      <c r="K28" s="1"/>
      <c r="L28" s="1"/>
      <c r="M28" s="1"/>
      <c r="N28" s="1"/>
      <c r="O28" s="1"/>
      <c r="P28" s="1"/>
    </row>
    <row r="29">
      <c r="A29" s="1"/>
      <c r="B29" s="12" t="s">
        <v>20</v>
      </c>
      <c r="C29" s="1"/>
      <c r="D29" s="1"/>
      <c r="E29" s="1"/>
      <c r="F29" s="1"/>
      <c r="G29" s="1"/>
      <c r="H29" s="1"/>
      <c r="I29" s="1"/>
      <c r="J29" s="1"/>
      <c r="K29" s="1"/>
      <c r="L29" s="1"/>
      <c r="M29" s="1"/>
      <c r="N29" s="1"/>
      <c r="O29" s="1"/>
      <c r="P29" s="1"/>
    </row>
    <row r="30">
      <c r="A30" s="1"/>
      <c r="B30" s="12" t="s">
        <v>21</v>
      </c>
      <c r="C30" s="1"/>
      <c r="D30" s="1"/>
      <c r="E30" s="1"/>
      <c r="F30" s="1"/>
      <c r="G30" s="1"/>
      <c r="H30" s="1"/>
      <c r="I30" s="1"/>
      <c r="J30" s="1"/>
      <c r="K30" s="1"/>
      <c r="L30" s="1"/>
      <c r="M30" s="1"/>
      <c r="N30" s="1"/>
      <c r="O30" s="1"/>
      <c r="P30" s="1"/>
    </row>
    <row r="31">
      <c r="A31" s="1"/>
      <c r="B31" s="1"/>
      <c r="C31" s="1"/>
      <c r="D31" s="1"/>
      <c r="E31" s="1"/>
      <c r="F31" s="1"/>
      <c r="G31" s="1"/>
      <c r="H31" s="1"/>
      <c r="I31" s="1"/>
      <c r="J31" s="1"/>
      <c r="K31" s="1"/>
      <c r="L31" s="1"/>
      <c r="M31" s="1"/>
      <c r="N31" s="1"/>
      <c r="O31" s="1"/>
      <c r="P31" s="1"/>
    </row>
    <row r="32">
      <c r="A32" s="1"/>
      <c r="B32" s="1"/>
      <c r="C32" s="1"/>
      <c r="D32" s="1"/>
      <c r="E32" s="1"/>
      <c r="F32" s="1"/>
      <c r="G32" s="1"/>
      <c r="H32" s="1"/>
      <c r="I32" s="1"/>
      <c r="J32" s="1"/>
      <c r="K32" s="1"/>
      <c r="L32" s="1"/>
      <c r="M32" s="1"/>
      <c r="N32" s="1"/>
      <c r="O32" s="1"/>
      <c r="P32" s="1"/>
    </row>
    <row r="33">
      <c r="A33" s="1"/>
      <c r="B33" s="1"/>
      <c r="C33" s="1"/>
      <c r="D33" s="1"/>
      <c r="E33" s="1"/>
      <c r="F33" s="1"/>
      <c r="G33" s="1"/>
      <c r="H33" s="1"/>
      <c r="I33" s="1"/>
      <c r="J33" s="1"/>
      <c r="K33" s="1"/>
      <c r="L33" s="1"/>
      <c r="M33" s="1"/>
      <c r="N33" s="1"/>
      <c r="O33" s="1"/>
      <c r="P33" s="1"/>
    </row>
    <row r="34">
      <c r="A34" s="1"/>
      <c r="B34" s="1"/>
      <c r="C34" s="1"/>
      <c r="D34" s="1"/>
      <c r="E34" s="1"/>
      <c r="F34" s="1"/>
      <c r="G34" s="1"/>
      <c r="H34" s="1"/>
      <c r="I34" s="1"/>
      <c r="J34" s="1"/>
      <c r="K34" s="1"/>
      <c r="L34" s="1"/>
      <c r="M34" s="1"/>
      <c r="N34" s="1"/>
      <c r="O34" s="1"/>
      <c r="P34" s="1"/>
    </row>
    <row r="35">
      <c r="A35" s="1"/>
      <c r="B35" s="1"/>
      <c r="C35" s="1"/>
      <c r="D35" s="1"/>
      <c r="E35" s="1"/>
      <c r="F35" s="1"/>
      <c r="G35" s="1"/>
      <c r="H35" s="1"/>
      <c r="I35" s="1"/>
      <c r="J35" s="1"/>
      <c r="K35" s="1"/>
      <c r="L35" s="1"/>
      <c r="M35" s="1"/>
      <c r="N35" s="1"/>
      <c r="O35" s="1"/>
      <c r="P35" s="1"/>
    </row>
    <row r="36">
      <c r="A36" s="1"/>
      <c r="B36" s="1"/>
      <c r="C36" s="1"/>
      <c r="D36" s="1"/>
      <c r="E36" s="1"/>
      <c r="F36" s="1"/>
      <c r="G36" s="1"/>
      <c r="H36" s="1"/>
      <c r="I36" s="1"/>
      <c r="J36" s="1"/>
      <c r="K36" s="1"/>
      <c r="L36" s="1"/>
      <c r="M36" s="1"/>
      <c r="N36" s="1"/>
      <c r="O36" s="1"/>
      <c r="P36" s="1"/>
    </row>
    <row r="37">
      <c r="A37" s="1"/>
      <c r="B37" s="1"/>
      <c r="C37" s="1"/>
      <c r="D37" s="1"/>
      <c r="E37" s="1"/>
      <c r="F37" s="1"/>
      <c r="G37" s="1"/>
      <c r="H37" s="1"/>
      <c r="I37" s="1"/>
      <c r="J37" s="1"/>
      <c r="K37" s="1"/>
      <c r="L37" s="1"/>
      <c r="M37" s="1"/>
      <c r="N37" s="1"/>
      <c r="O37" s="1"/>
      <c r="P37" s="1"/>
    </row>
    <row r="38">
      <c r="A38" s="1"/>
      <c r="B38" s="1"/>
      <c r="C38" s="1"/>
      <c r="D38" s="1"/>
      <c r="E38" s="1"/>
      <c r="F38" s="1"/>
      <c r="G38" s="1"/>
      <c r="H38" s="1"/>
      <c r="I38" s="1"/>
      <c r="J38" s="1"/>
      <c r="K38" s="1"/>
      <c r="L38" s="1"/>
      <c r="M38" s="1"/>
      <c r="N38" s="1"/>
      <c r="O38" s="1"/>
      <c r="P38" s="1"/>
    </row>
    <row r="39">
      <c r="A39" s="1"/>
      <c r="B39" s="1"/>
      <c r="C39" s="1"/>
      <c r="D39" s="1"/>
      <c r="E39" s="1"/>
      <c r="F39" s="1"/>
      <c r="G39" s="1"/>
      <c r="H39" s="1"/>
      <c r="I39" s="1"/>
      <c r="J39" s="1"/>
      <c r="K39" s="1"/>
      <c r="L39" s="1"/>
      <c r="M39" s="1"/>
      <c r="N39" s="1"/>
      <c r="O39" s="1"/>
      <c r="P39" s="1"/>
    </row>
    <row r="40">
      <c r="A40" s="1"/>
      <c r="B40" s="1"/>
      <c r="C40" s="1"/>
      <c r="D40" s="1"/>
      <c r="E40" s="1"/>
      <c r="F40" s="1"/>
      <c r="G40" s="1"/>
      <c r="H40" s="1"/>
      <c r="I40" s="1"/>
      <c r="J40" s="1"/>
      <c r="K40" s="1"/>
      <c r="L40" s="1"/>
      <c r="M40" s="1"/>
      <c r="N40" s="1"/>
      <c r="O40" s="1"/>
      <c r="P40" s="1"/>
    </row>
    <row r="41">
      <c r="A41" s="1"/>
      <c r="B41" s="1"/>
      <c r="C41" s="1"/>
      <c r="D41" s="1"/>
      <c r="E41" s="1"/>
      <c r="F41" s="1"/>
      <c r="G41" s="1"/>
      <c r="H41" s="1"/>
      <c r="I41" s="1"/>
      <c r="J41" s="1"/>
      <c r="K41" s="1"/>
      <c r="L41" s="1"/>
      <c r="M41" s="1"/>
      <c r="N41" s="1"/>
      <c r="O41" s="1"/>
      <c r="P41" s="1"/>
    </row>
    <row r="42">
      <c r="A42" s="1"/>
      <c r="B42" s="1"/>
      <c r="C42" s="1"/>
      <c r="D42" s="1"/>
      <c r="E42" s="1"/>
      <c r="F42" s="1"/>
      <c r="G42" s="1"/>
      <c r="H42" s="1"/>
      <c r="I42" s="1"/>
      <c r="J42" s="1"/>
      <c r="K42" s="1"/>
      <c r="L42" s="1"/>
      <c r="M42" s="1"/>
      <c r="N42" s="1"/>
      <c r="O42" s="1"/>
      <c r="P42" s="1"/>
    </row>
    <row r="43">
      <c r="A43" s="1"/>
      <c r="B43" s="1"/>
      <c r="C43" s="1"/>
      <c r="D43" s="1"/>
      <c r="E43" s="1"/>
      <c r="F43" s="1"/>
      <c r="G43" s="1"/>
      <c r="H43" s="1"/>
      <c r="I43" s="1"/>
      <c r="J43" s="1"/>
      <c r="K43" s="1"/>
      <c r="L43" s="1"/>
      <c r="M43" s="1"/>
      <c r="N43" s="1"/>
      <c r="O43" s="1"/>
      <c r="P43" s="1"/>
    </row>
    <row r="44">
      <c r="A44" s="1"/>
      <c r="B44" s="1"/>
      <c r="C44" s="1"/>
      <c r="D44" s="1"/>
      <c r="E44" s="1"/>
      <c r="F44" s="1"/>
      <c r="G44" s="1"/>
      <c r="H44" s="1"/>
      <c r="I44" s="1"/>
      <c r="J44" s="1"/>
      <c r="K44" s="1"/>
      <c r="L44" s="1"/>
      <c r="M44" s="1"/>
      <c r="N44" s="1"/>
      <c r="O44" s="1"/>
      <c r="P44" s="1"/>
    </row>
    <row r="45">
      <c r="A45" s="1"/>
      <c r="B45" s="1"/>
      <c r="C45" s="1"/>
      <c r="D45" s="1"/>
      <c r="E45" s="1"/>
      <c r="F45" s="1"/>
      <c r="G45" s="1"/>
      <c r="H45" s="1"/>
      <c r="I45" s="1"/>
      <c r="J45" s="1"/>
      <c r="K45" s="1"/>
      <c r="L45" s="1"/>
      <c r="M45" s="1"/>
      <c r="N45" s="1"/>
      <c r="O45" s="1"/>
      <c r="P45" s="1"/>
    </row>
    <row r="46">
      <c r="A46" s="1"/>
      <c r="B46" s="1"/>
      <c r="C46" s="1"/>
      <c r="D46" s="1"/>
      <c r="E46" s="1"/>
      <c r="F46" s="1"/>
      <c r="G46" s="1"/>
      <c r="H46" s="1"/>
      <c r="I46" s="1"/>
      <c r="J46" s="1"/>
      <c r="K46" s="1"/>
      <c r="L46" s="1"/>
      <c r="M46" s="1"/>
      <c r="N46" s="1"/>
      <c r="O46" s="1"/>
      <c r="P46" s="1"/>
    </row>
    <row r="47">
      <c r="A47" s="1"/>
      <c r="B47" s="1"/>
      <c r="C47" s="1"/>
      <c r="D47" s="1"/>
      <c r="E47" s="1"/>
      <c r="F47" s="1"/>
      <c r="G47" s="1"/>
      <c r="H47" s="1"/>
      <c r="I47" s="1"/>
      <c r="J47" s="1"/>
      <c r="K47" s="1"/>
      <c r="L47" s="1"/>
      <c r="M47" s="1"/>
      <c r="N47" s="1"/>
      <c r="O47" s="1"/>
      <c r="P47" s="1"/>
    </row>
    <row r="48">
      <c r="A48" s="1"/>
      <c r="B48" s="1"/>
      <c r="C48" s="1"/>
      <c r="D48" s="1"/>
      <c r="E48" s="1"/>
      <c r="F48" s="1"/>
      <c r="G48" s="1"/>
      <c r="H48" s="1"/>
      <c r="I48" s="1"/>
      <c r="J48" s="1"/>
      <c r="K48" s="1"/>
      <c r="L48" s="1"/>
      <c r="M48" s="1"/>
      <c r="N48" s="1"/>
      <c r="O48" s="1"/>
      <c r="P48" s="1"/>
    </row>
    <row r="49">
      <c r="A49" s="1"/>
      <c r="B49" s="1"/>
      <c r="C49" s="1"/>
      <c r="D49" s="1"/>
      <c r="E49" s="1"/>
      <c r="F49" s="1"/>
      <c r="G49" s="1"/>
      <c r="H49" s="1"/>
      <c r="I49" s="1"/>
      <c r="J49" s="1"/>
      <c r="K49" s="1"/>
      <c r="L49" s="1"/>
      <c r="M49" s="1"/>
      <c r="N49" s="1"/>
      <c r="O49" s="1"/>
      <c r="P49" s="1"/>
    </row>
    <row r="50">
      <c r="A50" s="1"/>
      <c r="B50" s="1"/>
      <c r="C50" s="1"/>
      <c r="D50" s="1"/>
      <c r="E50" s="1"/>
      <c r="F50" s="1"/>
      <c r="G50" s="1"/>
      <c r="H50" s="1"/>
      <c r="I50" s="1"/>
      <c r="J50" s="1"/>
      <c r="K50" s="1"/>
      <c r="L50" s="1"/>
      <c r="M50" s="1"/>
      <c r="N50" s="1"/>
      <c r="O50" s="1"/>
      <c r="P50" s="1"/>
    </row>
    <row r="51">
      <c r="A51" s="1"/>
      <c r="B51" s="1"/>
      <c r="C51" s="1"/>
      <c r="D51" s="1"/>
      <c r="E51" s="1"/>
      <c r="F51" s="1"/>
      <c r="G51" s="1"/>
      <c r="H51" s="1"/>
      <c r="I51" s="1"/>
      <c r="J51" s="1"/>
      <c r="K51" s="1"/>
      <c r="L51" s="1"/>
      <c r="M51" s="1"/>
      <c r="N51" s="1"/>
      <c r="O51" s="1"/>
      <c r="P51" s="1"/>
    </row>
    <row r="52">
      <c r="A52" s="1"/>
      <c r="B52" s="1"/>
      <c r="C52" s="1"/>
      <c r="D52" s="1"/>
      <c r="E52" s="1"/>
      <c r="F52" s="1"/>
      <c r="G52" s="1"/>
      <c r="H52" s="1"/>
      <c r="I52" s="1"/>
      <c r="J52" s="1"/>
      <c r="K52" s="1"/>
      <c r="L52" s="1"/>
      <c r="M52" s="1"/>
      <c r="N52" s="1"/>
      <c r="O52" s="1"/>
      <c r="P52" s="1"/>
    </row>
    <row r="53">
      <c r="A53" s="1"/>
      <c r="B53" s="1"/>
      <c r="C53" s="1"/>
      <c r="D53" s="1"/>
      <c r="E53" s="1"/>
      <c r="F53" s="1"/>
      <c r="G53" s="1"/>
      <c r="H53" s="1"/>
      <c r="I53" s="1"/>
      <c r="J53" s="1"/>
      <c r="K53" s="1"/>
      <c r="L53" s="1"/>
      <c r="M53" s="1"/>
      <c r="N53" s="1"/>
      <c r="O53" s="1"/>
      <c r="P53" s="1"/>
    </row>
    <row r="54">
      <c r="A54" s="1"/>
      <c r="B54" s="1"/>
      <c r="C54" s="1"/>
      <c r="D54" s="1"/>
      <c r="E54" s="1"/>
      <c r="F54" s="1"/>
      <c r="G54" s="1"/>
      <c r="H54" s="1"/>
      <c r="I54" s="1"/>
      <c r="J54" s="1"/>
      <c r="K54" s="1"/>
      <c r="L54" s="1"/>
      <c r="M54" s="1"/>
      <c r="N54" s="1"/>
      <c r="O54" s="1"/>
      <c r="P54" s="1"/>
    </row>
    <row r="55">
      <c r="A55" s="1"/>
      <c r="B55" s="1"/>
      <c r="C55" s="1"/>
      <c r="D55" s="1"/>
      <c r="E55" s="1"/>
      <c r="F55" s="1"/>
      <c r="G55" s="1"/>
      <c r="H55" s="1"/>
      <c r="I55" s="1"/>
      <c r="J55" s="1"/>
      <c r="K55" s="1"/>
      <c r="L55" s="1"/>
      <c r="M55" s="1"/>
      <c r="N55" s="1"/>
      <c r="O55" s="1"/>
      <c r="P55" s="1"/>
    </row>
    <row r="56">
      <c r="A56" s="1"/>
      <c r="B56" s="1"/>
      <c r="C56" s="1"/>
      <c r="D56" s="1"/>
      <c r="E56" s="1"/>
      <c r="F56" s="1"/>
      <c r="G56" s="1"/>
      <c r="H56" s="1"/>
      <c r="I56" s="1"/>
      <c r="J56" s="1"/>
      <c r="K56" s="1"/>
      <c r="L56" s="1"/>
      <c r="M56" s="1"/>
      <c r="N56" s="1"/>
      <c r="O56" s="1"/>
      <c r="P56" s="1"/>
    </row>
    <row r="57">
      <c r="A57" s="1"/>
      <c r="B57" s="1"/>
      <c r="C57" s="1"/>
      <c r="D57" s="1"/>
      <c r="E57" s="1"/>
      <c r="F57" s="1"/>
      <c r="G57" s="1"/>
      <c r="H57" s="1"/>
      <c r="I57" s="1"/>
      <c r="J57" s="1"/>
      <c r="K57" s="1"/>
      <c r="L57" s="1"/>
      <c r="M57" s="1"/>
      <c r="N57" s="1"/>
      <c r="O57" s="1"/>
      <c r="P57" s="1"/>
    </row>
    <row r="58">
      <c r="A58" s="1"/>
      <c r="B58" s="1"/>
      <c r="C58" s="1"/>
      <c r="D58" s="1"/>
      <c r="E58" s="1"/>
      <c r="F58" s="1"/>
      <c r="G58" s="1"/>
      <c r="H58" s="1"/>
      <c r="I58" s="1"/>
      <c r="J58" s="1"/>
      <c r="K58" s="1"/>
      <c r="L58" s="1"/>
      <c r="M58" s="1"/>
      <c r="N58" s="1"/>
      <c r="O58" s="1"/>
      <c r="P58" s="1"/>
    </row>
    <row r="59">
      <c r="A59" s="1"/>
      <c r="B59" s="1"/>
      <c r="C59" s="1"/>
      <c r="D59" s="1"/>
      <c r="E59" s="1"/>
      <c r="F59" s="1"/>
      <c r="G59" s="1"/>
      <c r="H59" s="1"/>
      <c r="I59" s="1"/>
      <c r="J59" s="1"/>
      <c r="K59" s="1"/>
      <c r="L59" s="1"/>
      <c r="M59" s="1"/>
      <c r="N59" s="1"/>
      <c r="O59" s="1"/>
      <c r="P59" s="1"/>
    </row>
    <row r="60">
      <c r="A60" s="1"/>
      <c r="B60" s="1"/>
      <c r="C60" s="1"/>
      <c r="D60" s="1"/>
      <c r="E60" s="1"/>
      <c r="F60" s="1"/>
      <c r="G60" s="1"/>
      <c r="H60" s="1"/>
      <c r="I60" s="1"/>
      <c r="J60" s="1"/>
      <c r="K60" s="1"/>
      <c r="L60" s="1"/>
      <c r="M60" s="1"/>
      <c r="N60" s="1"/>
      <c r="O60" s="1"/>
      <c r="P60" s="1"/>
    </row>
    <row r="61">
      <c r="A61" s="1"/>
      <c r="B61" s="1"/>
      <c r="C61" s="1"/>
      <c r="D61" s="1"/>
      <c r="E61" s="1"/>
      <c r="F61" s="1"/>
      <c r="G61" s="1"/>
      <c r="H61" s="1"/>
      <c r="I61" s="1"/>
      <c r="J61" s="1"/>
      <c r="K61" s="1"/>
      <c r="L61" s="1"/>
      <c r="M61" s="1"/>
      <c r="N61" s="1"/>
      <c r="O61" s="1"/>
      <c r="P61" s="1"/>
    </row>
    <row r="62">
      <c r="A62" s="1"/>
      <c r="B62" s="1"/>
      <c r="C62" s="1"/>
      <c r="D62" s="1"/>
      <c r="E62" s="1"/>
      <c r="F62" s="1"/>
      <c r="G62" s="1"/>
      <c r="H62" s="1"/>
      <c r="I62" s="1"/>
      <c r="J62" s="1"/>
      <c r="K62" s="1"/>
      <c r="L62" s="1"/>
      <c r="M62" s="1"/>
      <c r="N62" s="1"/>
      <c r="O62" s="1"/>
      <c r="P62" s="1"/>
    </row>
    <row r="63">
      <c r="A63" s="1"/>
      <c r="B63" s="1"/>
      <c r="C63" s="1"/>
      <c r="D63" s="1"/>
      <c r="E63" s="1"/>
      <c r="F63" s="1"/>
      <c r="G63" s="1"/>
      <c r="H63" s="1"/>
      <c r="I63" s="1"/>
      <c r="J63" s="1"/>
      <c r="K63" s="1"/>
      <c r="L63" s="1"/>
      <c r="M63" s="1"/>
      <c r="N63" s="1"/>
      <c r="O63" s="1"/>
      <c r="P63" s="1"/>
    </row>
    <row r="64">
      <c r="A64" s="1"/>
      <c r="B64" s="1"/>
      <c r="C64" s="1"/>
      <c r="D64" s="1"/>
      <c r="E64" s="1"/>
      <c r="F64" s="1"/>
      <c r="G64" s="1"/>
      <c r="H64" s="1"/>
      <c r="I64" s="1"/>
      <c r="J64" s="1"/>
      <c r="K64" s="1"/>
      <c r="L64" s="1"/>
      <c r="M64" s="1"/>
      <c r="N64" s="1"/>
      <c r="O64" s="1"/>
      <c r="P64" s="1"/>
    </row>
    <row r="65">
      <c r="A65" s="1"/>
      <c r="B65" s="1"/>
      <c r="C65" s="1"/>
      <c r="D65" s="1"/>
      <c r="E65" s="1"/>
      <c r="F65" s="1"/>
      <c r="G65" s="1"/>
      <c r="H65" s="1"/>
      <c r="I65" s="1"/>
      <c r="J65" s="1"/>
      <c r="K65" s="1"/>
      <c r="L65" s="1"/>
      <c r="M65" s="1"/>
      <c r="N65" s="1"/>
      <c r="O65" s="1"/>
      <c r="P65" s="1"/>
    </row>
    <row r="66">
      <c r="A66" s="1"/>
      <c r="B66" s="1"/>
      <c r="C66" s="1"/>
      <c r="D66" s="1"/>
      <c r="E66" s="1"/>
      <c r="F66" s="1"/>
      <c r="G66" s="1"/>
      <c r="H66" s="1"/>
      <c r="I66" s="1"/>
      <c r="J66" s="1"/>
      <c r="K66" s="1"/>
      <c r="L66" s="1"/>
      <c r="M66" s="1"/>
      <c r="N66" s="1"/>
      <c r="O66" s="1"/>
      <c r="P66" s="1"/>
    </row>
    <row r="67">
      <c r="A67" s="1"/>
      <c r="B67" s="1"/>
      <c r="C67" s="1"/>
      <c r="D67" s="1"/>
      <c r="E67" s="1"/>
      <c r="F67" s="1"/>
      <c r="G67" s="1"/>
      <c r="H67" s="1"/>
      <c r="I67" s="1"/>
      <c r="J67" s="1"/>
      <c r="K67" s="1"/>
      <c r="L67" s="1"/>
      <c r="M67" s="1"/>
      <c r="N67" s="1"/>
      <c r="O67" s="1"/>
      <c r="P67" s="1"/>
    </row>
    <row r="68">
      <c r="A68" s="1"/>
      <c r="B68" s="1"/>
      <c r="C68" s="1"/>
      <c r="D68" s="1"/>
      <c r="E68" s="1"/>
      <c r="F68" s="1"/>
      <c r="G68" s="1"/>
      <c r="H68" s="1"/>
      <c r="I68" s="1"/>
      <c r="J68" s="1"/>
      <c r="K68" s="1"/>
      <c r="L68" s="1"/>
      <c r="M68" s="1"/>
      <c r="N68" s="1"/>
      <c r="O68" s="1"/>
      <c r="P68" s="1"/>
    </row>
    <row r="69">
      <c r="A69" s="1"/>
      <c r="B69" s="1"/>
      <c r="C69" s="1"/>
      <c r="D69" s="1"/>
      <c r="E69" s="1"/>
      <c r="F69" s="1"/>
      <c r="G69" s="1"/>
      <c r="H69" s="1"/>
      <c r="I69" s="1"/>
      <c r="J69" s="1"/>
      <c r="K69" s="1"/>
      <c r="L69" s="1"/>
      <c r="M69" s="1"/>
      <c r="N69" s="1"/>
      <c r="O69" s="1"/>
      <c r="P69" s="1"/>
    </row>
    <row r="70">
      <c r="A70" s="1"/>
      <c r="B70" s="1"/>
      <c r="C70" s="1"/>
      <c r="D70" s="1"/>
      <c r="E70" s="1"/>
      <c r="F70" s="1"/>
      <c r="G70" s="1"/>
      <c r="H70" s="1"/>
      <c r="I70" s="1"/>
      <c r="J70" s="1"/>
      <c r="K70" s="1"/>
      <c r="L70" s="1"/>
      <c r="M70" s="1"/>
      <c r="N70" s="1"/>
      <c r="O70" s="1"/>
      <c r="P70" s="1"/>
    </row>
    <row r="71">
      <c r="A71" s="1"/>
      <c r="B71" s="1"/>
      <c r="C71" s="1"/>
      <c r="D71" s="1"/>
      <c r="E71" s="1"/>
      <c r="F71" s="1"/>
      <c r="G71" s="1"/>
      <c r="H71" s="1"/>
      <c r="I71" s="1"/>
      <c r="J71" s="1"/>
      <c r="K71" s="1"/>
      <c r="L71" s="1"/>
      <c r="M71" s="1"/>
      <c r="N71" s="1"/>
      <c r="O71" s="1"/>
      <c r="P71" s="1"/>
    </row>
    <row r="72">
      <c r="A72" s="1"/>
      <c r="B72" s="1"/>
      <c r="C72" s="1"/>
      <c r="D72" s="1"/>
      <c r="E72" s="1"/>
      <c r="F72" s="1"/>
      <c r="G72" s="1"/>
      <c r="H72" s="1"/>
      <c r="I72" s="1"/>
      <c r="J72" s="1"/>
      <c r="K72" s="1"/>
      <c r="L72" s="1"/>
      <c r="M72" s="1"/>
      <c r="N72" s="1"/>
      <c r="O72" s="1"/>
      <c r="P72" s="1"/>
    </row>
    <row r="73">
      <c r="A73" s="1"/>
      <c r="B73" s="1"/>
      <c r="C73" s="1"/>
      <c r="D73" s="1"/>
      <c r="E73" s="1"/>
      <c r="F73" s="1"/>
      <c r="G73" s="1"/>
      <c r="H73" s="1"/>
      <c r="I73" s="1"/>
      <c r="J73" s="1"/>
      <c r="K73" s="1"/>
      <c r="L73" s="1"/>
      <c r="M73" s="1"/>
      <c r="N73" s="1"/>
      <c r="O73" s="1"/>
      <c r="P73" s="1"/>
    </row>
    <row r="74">
      <c r="A74" s="1"/>
      <c r="B74" s="1"/>
      <c r="C74" s="1"/>
      <c r="D74" s="1"/>
      <c r="E74" s="1"/>
      <c r="F74" s="1"/>
      <c r="G74" s="1"/>
      <c r="H74" s="1"/>
      <c r="I74" s="1"/>
      <c r="J74" s="1"/>
      <c r="K74" s="1"/>
      <c r="L74" s="1"/>
      <c r="M74" s="1"/>
      <c r="N74" s="1"/>
      <c r="O74" s="1"/>
      <c r="P74" s="1"/>
    </row>
    <row r="75">
      <c r="A75" s="1"/>
      <c r="B75" s="1"/>
      <c r="C75" s="1"/>
      <c r="D75" s="1"/>
      <c r="E75" s="1"/>
      <c r="F75" s="1"/>
      <c r="G75" s="1"/>
      <c r="H75" s="1"/>
      <c r="I75" s="1"/>
      <c r="J75" s="1"/>
      <c r="K75" s="1"/>
      <c r="L75" s="1"/>
      <c r="M75" s="1"/>
      <c r="N75" s="1"/>
      <c r="O75" s="1"/>
      <c r="P75" s="1"/>
    </row>
    <row r="76">
      <c r="A76" s="1"/>
      <c r="B76" s="1"/>
      <c r="C76" s="1"/>
      <c r="D76" s="1"/>
      <c r="E76" s="1"/>
      <c r="F76" s="1"/>
      <c r="G76" s="1"/>
      <c r="H76" s="1"/>
      <c r="I76" s="1"/>
      <c r="J76" s="1"/>
      <c r="K76" s="1"/>
      <c r="L76" s="1"/>
      <c r="M76" s="1"/>
      <c r="N76" s="1"/>
      <c r="O76" s="1"/>
      <c r="P76" s="1"/>
    </row>
    <row r="77">
      <c r="A77" s="1"/>
      <c r="B77" s="1"/>
      <c r="C77" s="1"/>
      <c r="D77" s="1"/>
      <c r="E77" s="1"/>
      <c r="F77" s="1"/>
      <c r="G77" s="1"/>
      <c r="H77" s="1"/>
      <c r="I77" s="1"/>
      <c r="J77" s="1"/>
      <c r="K77" s="1"/>
      <c r="L77" s="1"/>
      <c r="M77" s="1"/>
      <c r="N77" s="1"/>
      <c r="O77" s="1"/>
      <c r="P77" s="1"/>
    </row>
    <row r="78">
      <c r="A78" s="1"/>
      <c r="B78" s="1"/>
      <c r="C78" s="1"/>
      <c r="D78" s="1"/>
      <c r="E78" s="1"/>
      <c r="F78" s="1"/>
      <c r="G78" s="1"/>
      <c r="H78" s="1"/>
      <c r="I78" s="1"/>
      <c r="J78" s="1"/>
      <c r="K78" s="1"/>
      <c r="L78" s="1"/>
      <c r="M78" s="1"/>
      <c r="N78" s="1"/>
      <c r="O78" s="1"/>
      <c r="P78" s="1"/>
    </row>
    <row r="79">
      <c r="A79" s="1"/>
      <c r="B79" s="1"/>
      <c r="C79" s="1"/>
      <c r="D79" s="1"/>
      <c r="E79" s="1"/>
      <c r="F79" s="1"/>
      <c r="G79" s="1"/>
      <c r="H79" s="1"/>
      <c r="I79" s="1"/>
      <c r="J79" s="1"/>
      <c r="K79" s="1"/>
      <c r="L79" s="1"/>
      <c r="M79" s="1"/>
      <c r="N79" s="1"/>
      <c r="O79" s="1"/>
      <c r="P79" s="1"/>
    </row>
    <row r="80">
      <c r="A80" s="1"/>
      <c r="B80" s="1"/>
      <c r="C80" s="1"/>
      <c r="D80" s="1"/>
      <c r="E80" s="1"/>
      <c r="F80" s="1"/>
      <c r="G80" s="1"/>
      <c r="H80" s="1"/>
      <c r="I80" s="1"/>
      <c r="J80" s="1"/>
      <c r="K80" s="1"/>
      <c r="L80" s="1"/>
      <c r="M80" s="1"/>
      <c r="N80" s="1"/>
      <c r="O80" s="1"/>
      <c r="P80" s="1"/>
    </row>
    <row r="81">
      <c r="A81" s="1"/>
      <c r="B81" s="1"/>
      <c r="C81" s="1"/>
      <c r="D81" s="1"/>
      <c r="E81" s="1"/>
      <c r="F81" s="1"/>
      <c r="G81" s="1"/>
      <c r="H81" s="1"/>
      <c r="I81" s="1"/>
      <c r="J81" s="1"/>
      <c r="K81" s="1"/>
      <c r="L81" s="1"/>
      <c r="M81" s="1"/>
      <c r="N81" s="1"/>
      <c r="O81" s="1"/>
      <c r="P81" s="1"/>
    </row>
    <row r="82">
      <c r="A82" s="1"/>
      <c r="B82" s="1"/>
      <c r="C82" s="1"/>
      <c r="D82" s="1"/>
      <c r="E82" s="1"/>
      <c r="F82" s="1"/>
      <c r="G82" s="1"/>
      <c r="H82" s="1"/>
      <c r="I82" s="1"/>
      <c r="J82" s="1"/>
      <c r="K82" s="1"/>
      <c r="L82" s="1"/>
      <c r="M82" s="1"/>
      <c r="N82" s="1"/>
      <c r="O82" s="1"/>
      <c r="P82" s="1"/>
    </row>
    <row r="83">
      <c r="A83" s="1"/>
      <c r="B83" s="1"/>
      <c r="C83" s="1"/>
      <c r="D83" s="1"/>
      <c r="E83" s="1"/>
      <c r="F83" s="1"/>
      <c r="G83" s="1"/>
      <c r="H83" s="1"/>
      <c r="I83" s="1"/>
      <c r="J83" s="1"/>
      <c r="K83" s="1"/>
      <c r="L83" s="1"/>
      <c r="M83" s="1"/>
      <c r="N83" s="1"/>
      <c r="O83" s="1"/>
      <c r="P83" s="1"/>
    </row>
    <row r="84">
      <c r="A84" s="1"/>
      <c r="B84" s="1"/>
      <c r="C84" s="1"/>
      <c r="D84" s="1"/>
      <c r="E84" s="1"/>
      <c r="F84" s="1"/>
      <c r="G84" s="1"/>
      <c r="H84" s="1"/>
      <c r="I84" s="1"/>
      <c r="J84" s="1"/>
      <c r="K84" s="1"/>
      <c r="L84" s="1"/>
      <c r="M84" s="1"/>
      <c r="N84" s="1"/>
      <c r="O84" s="1"/>
      <c r="P84" s="1"/>
    </row>
    <row r="85">
      <c r="A85" s="1"/>
      <c r="B85" s="1"/>
      <c r="C85" s="1"/>
      <c r="D85" s="1"/>
      <c r="E85" s="1"/>
      <c r="F85" s="1"/>
      <c r="G85" s="1"/>
      <c r="H85" s="1"/>
      <c r="I85" s="1"/>
      <c r="J85" s="1"/>
      <c r="K85" s="1"/>
      <c r="L85" s="1"/>
      <c r="M85" s="1"/>
      <c r="N85" s="1"/>
      <c r="O85" s="1"/>
      <c r="P85" s="1"/>
    </row>
    <row r="86">
      <c r="A86" s="1"/>
      <c r="B86" s="1"/>
      <c r="C86" s="1"/>
      <c r="D86" s="1"/>
      <c r="E86" s="1"/>
      <c r="F86" s="1"/>
      <c r="G86" s="1"/>
      <c r="H86" s="1"/>
      <c r="I86" s="1"/>
      <c r="J86" s="1"/>
      <c r="K86" s="1"/>
      <c r="L86" s="1"/>
      <c r="M86" s="1"/>
      <c r="N86" s="1"/>
      <c r="O86" s="1"/>
      <c r="P86" s="1"/>
    </row>
    <row r="87">
      <c r="A87" s="1"/>
      <c r="B87" s="1"/>
      <c r="C87" s="1"/>
      <c r="D87" s="1"/>
      <c r="E87" s="1"/>
      <c r="F87" s="1"/>
      <c r="G87" s="1"/>
      <c r="H87" s="1"/>
      <c r="I87" s="1"/>
      <c r="J87" s="1"/>
      <c r="K87" s="1"/>
      <c r="L87" s="1"/>
      <c r="M87" s="1"/>
      <c r="N87" s="1"/>
      <c r="O87" s="1"/>
      <c r="P87" s="1"/>
    </row>
    <row r="88">
      <c r="A88" s="1"/>
      <c r="B88" s="1"/>
      <c r="C88" s="1"/>
      <c r="D88" s="1"/>
      <c r="E88" s="1"/>
      <c r="F88" s="1"/>
      <c r="G88" s="1"/>
      <c r="H88" s="1"/>
      <c r="I88" s="1"/>
      <c r="J88" s="1"/>
      <c r="K88" s="1"/>
      <c r="L88" s="1"/>
      <c r="M88" s="1"/>
      <c r="N88" s="1"/>
      <c r="O88" s="1"/>
      <c r="P88" s="1"/>
    </row>
    <row r="89">
      <c r="A89" s="1"/>
      <c r="B89" s="1"/>
      <c r="C89" s="1"/>
      <c r="D89" s="1"/>
      <c r="E89" s="1"/>
      <c r="F89" s="1"/>
      <c r="G89" s="1"/>
      <c r="H89" s="1"/>
      <c r="I89" s="1"/>
      <c r="J89" s="1"/>
      <c r="K89" s="1"/>
      <c r="L89" s="1"/>
      <c r="M89" s="1"/>
      <c r="N89" s="1"/>
      <c r="O89" s="1"/>
      <c r="P89" s="1"/>
    </row>
    <row r="90">
      <c r="A90" s="1"/>
      <c r="B90" s="1"/>
      <c r="C90" s="1"/>
      <c r="D90" s="1"/>
      <c r="E90" s="1"/>
      <c r="F90" s="1"/>
      <c r="G90" s="1"/>
      <c r="H90" s="1"/>
      <c r="I90" s="1"/>
      <c r="J90" s="1"/>
      <c r="K90" s="1"/>
      <c r="L90" s="1"/>
      <c r="M90" s="1"/>
      <c r="N90" s="1"/>
      <c r="O90" s="1"/>
      <c r="P90" s="1"/>
    </row>
    <row r="91">
      <c r="A91" s="1"/>
      <c r="B91" s="1"/>
      <c r="C91" s="1"/>
      <c r="D91" s="1"/>
      <c r="E91" s="1"/>
      <c r="F91" s="1"/>
      <c r="G91" s="1"/>
      <c r="H91" s="1"/>
      <c r="I91" s="1"/>
      <c r="J91" s="1"/>
      <c r="K91" s="1"/>
      <c r="L91" s="1"/>
      <c r="M91" s="1"/>
      <c r="N91" s="1"/>
      <c r="O91" s="1"/>
      <c r="P91" s="1"/>
    </row>
    <row r="92">
      <c r="A92" s="1"/>
      <c r="B92" s="1"/>
      <c r="C92" s="1"/>
      <c r="D92" s="1"/>
      <c r="E92" s="1"/>
      <c r="F92" s="1"/>
      <c r="G92" s="1"/>
      <c r="H92" s="1"/>
      <c r="I92" s="1"/>
      <c r="J92" s="1"/>
      <c r="K92" s="1"/>
      <c r="L92" s="1"/>
      <c r="M92" s="1"/>
      <c r="N92" s="1"/>
      <c r="O92" s="1"/>
      <c r="P92" s="1"/>
    </row>
    <row r="93">
      <c r="A93" s="1"/>
      <c r="B93" s="1"/>
      <c r="C93" s="1"/>
      <c r="D93" s="1"/>
      <c r="E93" s="1"/>
      <c r="F93" s="1"/>
      <c r="G93" s="1"/>
      <c r="H93" s="1"/>
      <c r="I93" s="1"/>
      <c r="J93" s="1"/>
      <c r="K93" s="1"/>
      <c r="L93" s="1"/>
      <c r="M93" s="1"/>
      <c r="N93" s="1"/>
      <c r="O93" s="1"/>
      <c r="P93" s="1"/>
    </row>
    <row r="94">
      <c r="A94" s="1"/>
      <c r="B94" s="1"/>
      <c r="C94" s="1"/>
      <c r="D94" s="1"/>
      <c r="E94" s="1"/>
      <c r="F94" s="1"/>
      <c r="G94" s="1"/>
      <c r="H94" s="1"/>
      <c r="I94" s="1"/>
      <c r="J94" s="1"/>
      <c r="K94" s="1"/>
      <c r="L94" s="1"/>
      <c r="M94" s="1"/>
      <c r="N94" s="1"/>
      <c r="O94" s="1"/>
      <c r="P94" s="1"/>
    </row>
    <row r="95">
      <c r="A95" s="1"/>
      <c r="B95" s="1"/>
      <c r="C95" s="1"/>
      <c r="D95" s="1"/>
      <c r="E95" s="1"/>
      <c r="F95" s="1"/>
      <c r="G95" s="1"/>
      <c r="H95" s="1"/>
      <c r="I95" s="1"/>
      <c r="J95" s="1"/>
      <c r="K95" s="1"/>
      <c r="L95" s="1"/>
      <c r="M95" s="1"/>
      <c r="N95" s="1"/>
      <c r="O95" s="1"/>
      <c r="P95" s="1"/>
    </row>
    <row r="96">
      <c r="A96" s="1"/>
      <c r="B96" s="1"/>
      <c r="C96" s="1"/>
      <c r="D96" s="1"/>
      <c r="E96" s="1"/>
      <c r="F96" s="1"/>
      <c r="G96" s="1"/>
      <c r="H96" s="1"/>
      <c r="I96" s="1"/>
      <c r="J96" s="1"/>
      <c r="K96" s="1"/>
      <c r="L96" s="1"/>
      <c r="M96" s="1"/>
      <c r="N96" s="1"/>
      <c r="O96" s="1"/>
      <c r="P96" s="1"/>
    </row>
    <row r="97">
      <c r="A97" s="1"/>
      <c r="B97" s="1"/>
      <c r="C97" s="1"/>
      <c r="D97" s="1"/>
      <c r="E97" s="1"/>
      <c r="F97" s="1"/>
      <c r="G97" s="1"/>
      <c r="H97" s="1"/>
      <c r="I97" s="1"/>
      <c r="J97" s="1"/>
      <c r="K97" s="1"/>
      <c r="L97" s="1"/>
      <c r="M97" s="1"/>
      <c r="N97" s="1"/>
      <c r="O97" s="1"/>
      <c r="P97" s="1"/>
    </row>
    <row r="98">
      <c r="A98" s="1"/>
      <c r="B98" s="1"/>
      <c r="C98" s="1"/>
      <c r="D98" s="1"/>
      <c r="E98" s="1"/>
      <c r="F98" s="1"/>
      <c r="G98" s="1"/>
      <c r="H98" s="1"/>
      <c r="I98" s="1"/>
      <c r="J98" s="1"/>
      <c r="K98" s="1"/>
      <c r="L98" s="1"/>
      <c r="M98" s="1"/>
      <c r="N98" s="1"/>
      <c r="O98" s="1"/>
      <c r="P98" s="1"/>
    </row>
    <row r="99">
      <c r="A99" s="1"/>
      <c r="B99" s="1"/>
      <c r="C99" s="1"/>
      <c r="D99" s="1"/>
      <c r="E99" s="1"/>
      <c r="F99" s="1"/>
      <c r="G99" s="1"/>
      <c r="H99" s="1"/>
      <c r="I99" s="1"/>
      <c r="J99" s="1"/>
      <c r="K99" s="1"/>
      <c r="L99" s="1"/>
      <c r="M99" s="1"/>
      <c r="N99" s="1"/>
      <c r="O99" s="1"/>
      <c r="P99" s="1"/>
    </row>
    <row r="100">
      <c r="A100" s="1"/>
      <c r="B100" s="1"/>
      <c r="C100" s="1"/>
      <c r="D100" s="1"/>
      <c r="E100" s="1"/>
      <c r="F100" s="1"/>
      <c r="G100" s="1"/>
      <c r="H100" s="1"/>
      <c r="I100" s="1"/>
      <c r="J100" s="1"/>
      <c r="K100" s="1"/>
      <c r="L100" s="1"/>
      <c r="M100" s="1"/>
      <c r="N100" s="1"/>
      <c r="O100" s="1"/>
      <c r="P100" s="1"/>
    </row>
    <row r="101">
      <c r="A101" s="1"/>
      <c r="B101" s="1"/>
      <c r="C101" s="1"/>
      <c r="D101" s="1"/>
      <c r="E101" s="1"/>
      <c r="F101" s="1"/>
      <c r="G101" s="1"/>
      <c r="H101" s="1"/>
      <c r="I101" s="1"/>
      <c r="J101" s="1"/>
      <c r="K101" s="1"/>
      <c r="L101" s="1"/>
      <c r="M101" s="1"/>
      <c r="N101" s="1"/>
      <c r="O101" s="1"/>
      <c r="P101" s="1"/>
    </row>
    <row r="102">
      <c r="A102" s="1"/>
      <c r="B102" s="1"/>
      <c r="C102" s="1"/>
      <c r="D102" s="1"/>
      <c r="E102" s="1"/>
      <c r="F102" s="1"/>
      <c r="G102" s="1"/>
      <c r="H102" s="1"/>
      <c r="I102" s="1"/>
      <c r="J102" s="1"/>
      <c r="K102" s="1"/>
      <c r="L102" s="1"/>
      <c r="M102" s="1"/>
      <c r="N102" s="1"/>
      <c r="O102" s="1"/>
      <c r="P102" s="1"/>
    </row>
    <row r="103">
      <c r="A103" s="1"/>
      <c r="B103" s="1"/>
      <c r="C103" s="1"/>
      <c r="D103" s="1"/>
      <c r="E103" s="1"/>
      <c r="F103" s="1"/>
      <c r="G103" s="1"/>
      <c r="H103" s="1"/>
      <c r="I103" s="1"/>
      <c r="J103" s="1"/>
      <c r="K103" s="1"/>
      <c r="L103" s="1"/>
      <c r="M103" s="1"/>
      <c r="N103" s="1"/>
      <c r="O103" s="1"/>
      <c r="P103" s="1"/>
    </row>
    <row r="104">
      <c r="A104" s="1"/>
      <c r="B104" s="1"/>
      <c r="C104" s="1"/>
      <c r="D104" s="1"/>
      <c r="E104" s="1"/>
      <c r="F104" s="1"/>
      <c r="G104" s="1"/>
      <c r="H104" s="1"/>
      <c r="I104" s="1"/>
      <c r="J104" s="1"/>
      <c r="K104" s="1"/>
      <c r="L104" s="1"/>
      <c r="M104" s="1"/>
      <c r="N104" s="1"/>
      <c r="O104" s="1"/>
      <c r="P104" s="1"/>
    </row>
    <row r="105">
      <c r="A105" s="1"/>
      <c r="B105" s="1"/>
      <c r="C105" s="1"/>
      <c r="D105" s="1"/>
      <c r="E105" s="1"/>
      <c r="F105" s="1"/>
      <c r="G105" s="1"/>
      <c r="H105" s="1"/>
      <c r="I105" s="1"/>
      <c r="J105" s="1"/>
      <c r="K105" s="1"/>
      <c r="L105" s="1"/>
      <c r="M105" s="1"/>
      <c r="N105" s="1"/>
      <c r="O105" s="1"/>
      <c r="P105" s="1"/>
    </row>
    <row r="106">
      <c r="A106" s="1"/>
      <c r="B106" s="1"/>
      <c r="C106" s="1"/>
      <c r="D106" s="1"/>
      <c r="E106" s="1"/>
      <c r="F106" s="1"/>
      <c r="G106" s="1"/>
      <c r="H106" s="1"/>
      <c r="I106" s="1"/>
      <c r="J106" s="1"/>
      <c r="K106" s="1"/>
      <c r="L106" s="1"/>
      <c r="M106" s="1"/>
      <c r="N106" s="1"/>
      <c r="O106" s="1"/>
      <c r="P106" s="1"/>
    </row>
    <row r="107">
      <c r="A107" s="1"/>
      <c r="B107" s="1"/>
      <c r="C107" s="1"/>
      <c r="D107" s="1"/>
      <c r="E107" s="1"/>
      <c r="F107" s="1"/>
      <c r="G107" s="1"/>
      <c r="H107" s="1"/>
      <c r="I107" s="1"/>
      <c r="J107" s="1"/>
      <c r="K107" s="1"/>
      <c r="L107" s="1"/>
      <c r="M107" s="1"/>
      <c r="N107" s="1"/>
      <c r="O107" s="1"/>
      <c r="P107" s="1"/>
    </row>
    <row r="108">
      <c r="A108" s="1"/>
      <c r="B108" s="1"/>
      <c r="C108" s="1"/>
      <c r="D108" s="1"/>
      <c r="E108" s="1"/>
      <c r="F108" s="1"/>
      <c r="G108" s="1"/>
      <c r="H108" s="1"/>
      <c r="I108" s="1"/>
      <c r="J108" s="1"/>
      <c r="K108" s="1"/>
      <c r="L108" s="1"/>
      <c r="M108" s="1"/>
      <c r="N108" s="1"/>
      <c r="O108" s="1"/>
      <c r="P108" s="1"/>
    </row>
    <row r="109">
      <c r="A109" s="1"/>
      <c r="B109" s="1"/>
      <c r="C109" s="1"/>
      <c r="D109" s="1"/>
      <c r="E109" s="1"/>
      <c r="F109" s="1"/>
      <c r="G109" s="1"/>
      <c r="H109" s="1"/>
      <c r="I109" s="1"/>
      <c r="J109" s="1"/>
      <c r="K109" s="1"/>
      <c r="L109" s="1"/>
      <c r="M109" s="1"/>
      <c r="N109" s="1"/>
      <c r="O109" s="1"/>
      <c r="P109" s="1"/>
    </row>
    <row r="110">
      <c r="A110" s="1"/>
      <c r="B110" s="1"/>
      <c r="C110" s="1"/>
      <c r="D110" s="1"/>
      <c r="E110" s="1"/>
      <c r="F110" s="1"/>
      <c r="G110" s="1"/>
      <c r="H110" s="1"/>
      <c r="I110" s="1"/>
      <c r="J110" s="1"/>
      <c r="K110" s="1"/>
      <c r="L110" s="1"/>
      <c r="M110" s="1"/>
      <c r="N110" s="1"/>
      <c r="O110" s="1"/>
      <c r="P110" s="1"/>
    </row>
    <row r="111">
      <c r="A111" s="1"/>
      <c r="B111" s="1"/>
      <c r="C111" s="1"/>
      <c r="D111" s="1"/>
      <c r="E111" s="1"/>
      <c r="F111" s="1"/>
      <c r="G111" s="1"/>
      <c r="H111" s="1"/>
      <c r="I111" s="1"/>
      <c r="J111" s="1"/>
      <c r="K111" s="1"/>
      <c r="L111" s="1"/>
      <c r="M111" s="1"/>
      <c r="N111" s="1"/>
      <c r="O111" s="1"/>
      <c r="P111" s="1"/>
    </row>
    <row r="112">
      <c r="A112" s="1"/>
      <c r="B112" s="1"/>
      <c r="C112" s="1"/>
      <c r="D112" s="1"/>
      <c r="E112" s="1"/>
      <c r="F112" s="1"/>
      <c r="G112" s="1"/>
      <c r="H112" s="1"/>
      <c r="I112" s="1"/>
      <c r="J112" s="1"/>
      <c r="K112" s="1"/>
      <c r="L112" s="1"/>
      <c r="M112" s="1"/>
      <c r="N112" s="1"/>
      <c r="O112" s="1"/>
      <c r="P112" s="1"/>
    </row>
    <row r="113">
      <c r="A113" s="1"/>
      <c r="B113" s="1"/>
      <c r="C113" s="1"/>
      <c r="D113" s="1"/>
      <c r="E113" s="1"/>
      <c r="F113" s="1"/>
      <c r="G113" s="1"/>
      <c r="H113" s="1"/>
      <c r="I113" s="1"/>
      <c r="J113" s="1"/>
      <c r="K113" s="1"/>
      <c r="L113" s="1"/>
      <c r="M113" s="1"/>
      <c r="N113" s="1"/>
      <c r="O113" s="1"/>
      <c r="P113" s="1"/>
    </row>
    <row r="114">
      <c r="A114" s="1"/>
      <c r="B114" s="1"/>
      <c r="C114" s="1"/>
      <c r="D114" s="1"/>
      <c r="E114" s="1"/>
      <c r="F114" s="1"/>
      <c r="G114" s="1"/>
      <c r="H114" s="1"/>
      <c r="I114" s="1"/>
      <c r="J114" s="1"/>
      <c r="K114" s="1"/>
      <c r="L114" s="1"/>
      <c r="M114" s="1"/>
      <c r="N114" s="1"/>
      <c r="O114" s="1"/>
      <c r="P114" s="1"/>
    </row>
    <row r="115">
      <c r="A115" s="1"/>
      <c r="B115" s="1"/>
      <c r="C115" s="1"/>
      <c r="D115" s="1"/>
      <c r="E115" s="1"/>
      <c r="F115" s="1"/>
      <c r="G115" s="1"/>
      <c r="H115" s="1"/>
      <c r="I115" s="1"/>
      <c r="J115" s="1"/>
      <c r="K115" s="1"/>
      <c r="L115" s="1"/>
      <c r="M115" s="1"/>
      <c r="N115" s="1"/>
      <c r="O115" s="1"/>
      <c r="P115" s="1"/>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6.5"/>
    <col customWidth="1" min="2" max="2" width="31.25"/>
    <col customWidth="1" min="3" max="3" width="18.38"/>
    <col customWidth="1" min="4" max="4" width="26.5"/>
    <col customWidth="1" min="5" max="5" width="20.0"/>
    <col customWidth="1" min="6" max="7" width="18.0"/>
    <col customWidth="1" min="8" max="8" width="14.5"/>
    <col customWidth="1" min="9" max="9" width="11.5"/>
    <col customWidth="1" min="10" max="10" width="8.38"/>
    <col customWidth="1" min="11" max="11" width="16.13"/>
    <col customWidth="1" min="12" max="12" width="12.75"/>
    <col customWidth="1" min="13" max="13" width="12.13"/>
    <col customWidth="1" min="14" max="14" width="8.0"/>
    <col customWidth="1" min="15" max="15" width="6.5"/>
    <col customWidth="1" min="16" max="16" width="6.38"/>
    <col customWidth="1" min="17" max="17" width="9.75"/>
    <col customWidth="1" min="18" max="18" width="9.5"/>
    <col customWidth="1" min="19" max="19" width="9.0"/>
    <col customWidth="1" min="20" max="20" width="12.5"/>
    <col customWidth="1" min="21" max="21" width="4.38"/>
    <col customWidth="1" min="22" max="22" width="7.38"/>
    <col customWidth="1" min="23" max="23" width="7.88"/>
  </cols>
  <sheetData>
    <row r="1">
      <c r="A1" s="13">
        <f>IFERROR(__xludf.DUMMYFUNCTION("COUNTUNIQUE(A5:A999)-if(COUNTIF('4) Release_Artist(s)'!E:E, ""Various Artists"")&gt;0,0,1)"),47.0)</f>
        <v>47</v>
      </c>
      <c r="B1" s="14" t="s">
        <v>22</v>
      </c>
      <c r="C1" s="15">
        <f>IFERROR(__xludf.DUMMYFUNCTION("COUNTUNIQUE(C5:C999)"),47.0)</f>
        <v>47</v>
      </c>
      <c r="D1" s="16">
        <f>IFERROR(__xludf.DUMMYFUNCTION("COUNTUNIQUE(D5:D999)"),47.0)</f>
        <v>47</v>
      </c>
      <c r="E1" s="17">
        <f>IFERROR(__xludf.DUMMYFUNCTION("COUNTUNIQUE(E5:E999)"),0.0)</f>
        <v>0</v>
      </c>
      <c r="F1" s="18">
        <f>IFERROR(__xludf.DUMMYFUNCTION("COUNTUNIQUE(F5:F999)"),0.0)</f>
        <v>0</v>
      </c>
      <c r="G1" s="18">
        <f>IFERROR(__xludf.DUMMYFUNCTION("COUNTUNIQUE(G5:G999)"),0.0)</f>
        <v>0</v>
      </c>
      <c r="H1" s="18">
        <f>IFERROR(__xludf.DUMMYFUNCTION("COUNTUNIQUE(B5:B999)"),0.0)</f>
        <v>0</v>
      </c>
      <c r="I1" s="19" t="s">
        <v>23</v>
      </c>
      <c r="J1" s="8">
        <v>693619.0</v>
      </c>
      <c r="O1" s="8"/>
      <c r="P1" s="8"/>
      <c r="R1" s="8"/>
      <c r="S1" s="8"/>
      <c r="T1" s="8"/>
      <c r="U1" s="8"/>
      <c r="V1" s="8"/>
      <c r="W1" s="8"/>
      <c r="X1" s="8"/>
      <c r="Y1" s="20"/>
      <c r="Z1" s="8"/>
    </row>
    <row r="2">
      <c r="A2" s="21" t="s">
        <v>24</v>
      </c>
      <c r="B2" s="22" t="s">
        <v>25</v>
      </c>
      <c r="C2" s="23"/>
      <c r="D2" s="24" t="s">
        <v>26</v>
      </c>
      <c r="E2" s="25"/>
      <c r="F2" s="25" t="s">
        <v>25</v>
      </c>
      <c r="G2" s="26"/>
      <c r="H2" s="27">
        <f>countif(B5:B999,"&lt;&gt;""")-countif(B5:B999,"")</f>
        <v>0</v>
      </c>
      <c r="I2" s="19" t="s">
        <v>27</v>
      </c>
      <c r="J2" s="28">
        <v>332920.0</v>
      </c>
      <c r="K2" s="28"/>
      <c r="L2" s="28"/>
      <c r="M2" s="28"/>
      <c r="N2" s="28"/>
      <c r="O2" s="28"/>
      <c r="P2" s="28"/>
      <c r="Q2" s="28"/>
      <c r="R2" s="28"/>
      <c r="S2" s="28"/>
      <c r="T2" s="28"/>
      <c r="U2" s="28"/>
      <c r="V2" s="28"/>
      <c r="W2" s="28"/>
    </row>
    <row r="3">
      <c r="A3" s="29" t="s">
        <v>28</v>
      </c>
      <c r="B3" s="30" t="s">
        <v>29</v>
      </c>
      <c r="C3" s="31" t="s">
        <v>30</v>
      </c>
      <c r="D3" s="32" t="s">
        <v>31</v>
      </c>
      <c r="E3" s="33" t="s">
        <v>32</v>
      </c>
      <c r="F3" s="33" t="s">
        <v>33</v>
      </c>
      <c r="G3" s="33" t="s">
        <v>34</v>
      </c>
      <c r="H3" s="34"/>
      <c r="I3" s="18" t="s">
        <v>35</v>
      </c>
      <c r="J3" s="28"/>
      <c r="K3" s="28"/>
      <c r="L3" s="28"/>
      <c r="M3" s="28"/>
      <c r="N3" s="28"/>
      <c r="O3" s="28"/>
      <c r="P3" s="28"/>
      <c r="Q3" s="28"/>
      <c r="R3" s="28"/>
      <c r="S3" s="28"/>
      <c r="T3" s="28"/>
      <c r="U3" s="28"/>
      <c r="V3" s="28"/>
      <c r="W3" s="28"/>
      <c r="X3" s="28"/>
      <c r="Y3" s="28"/>
    </row>
    <row r="4">
      <c r="A4" s="35" t="s">
        <v>36</v>
      </c>
      <c r="B4" s="36" t="s">
        <v>37</v>
      </c>
      <c r="C4" s="37" t="s">
        <v>38</v>
      </c>
      <c r="D4" s="38" t="s">
        <v>39</v>
      </c>
      <c r="E4" s="39" t="s">
        <v>40</v>
      </c>
      <c r="F4" s="40" t="s">
        <v>41</v>
      </c>
      <c r="G4" s="41"/>
      <c r="H4" s="34"/>
      <c r="I4" s="42">
        <f>IFERROR(__xludf.DUMMYFUNCTION("counta(A5:A999)-COUNTUNIQUE(A5:A999)"),0.0)</f>
        <v>0</v>
      </c>
      <c r="J4" s="28"/>
      <c r="K4" s="28"/>
      <c r="L4" s="28"/>
      <c r="M4" s="43"/>
      <c r="N4" s="43"/>
      <c r="O4" s="28"/>
      <c r="P4" s="28"/>
      <c r="Q4" s="28"/>
      <c r="R4" s="28"/>
      <c r="S4" s="28"/>
      <c r="T4" s="28"/>
      <c r="U4" s="28"/>
      <c r="V4" s="28"/>
      <c r="W4" s="28"/>
      <c r="X4" s="28"/>
      <c r="Y4" s="28"/>
    </row>
    <row r="5">
      <c r="A5" s="44" t="s">
        <v>42</v>
      </c>
      <c r="C5" s="45">
        <v>9.99098231E8</v>
      </c>
      <c r="D5" s="46" t="s">
        <v>43</v>
      </c>
      <c r="E5" s="34"/>
      <c r="F5" s="34"/>
      <c r="G5" s="34"/>
      <c r="H5" s="47"/>
      <c r="I5" s="34" t="str">
        <f>IFERROR(__xludf.DUMMYFUNCTION("if(B5="""","""",""insert into Images VALUES (NEWID(),'""&amp;REGEXREPLACE(A5,""[^[:alnum:]]"","""")&amp;EntId&amp;H5&amp;""', '""&amp;H5&amp;""', getdate(), 0, null, '""&amp;trim(B5)&amp;""', 0, getdate(), null, null)"")"),"")</f>
        <v/>
      </c>
      <c r="W5" s="28" t="s">
        <v>44</v>
      </c>
      <c r="Y5" s="20"/>
    </row>
    <row r="6">
      <c r="A6" s="44" t="s">
        <v>45</v>
      </c>
      <c r="C6" s="45">
        <v>1.429165E7</v>
      </c>
      <c r="D6" s="48" t="s">
        <v>46</v>
      </c>
      <c r="E6" s="34"/>
      <c r="F6" s="34"/>
      <c r="G6" s="34"/>
      <c r="H6" s="47"/>
      <c r="I6" s="34"/>
      <c r="K6" s="49"/>
    </row>
    <row r="7">
      <c r="A7" s="44" t="s">
        <v>47</v>
      </c>
      <c r="C7" s="45">
        <v>5.91803144E8</v>
      </c>
      <c r="D7" s="48" t="s">
        <v>48</v>
      </c>
      <c r="E7" s="34"/>
      <c r="F7" s="34"/>
      <c r="G7" s="34"/>
      <c r="H7" s="34"/>
      <c r="I7" s="34"/>
    </row>
    <row r="8">
      <c r="A8" s="44" t="s">
        <v>49</v>
      </c>
      <c r="C8" s="45">
        <v>2.05696074E8</v>
      </c>
      <c r="D8" s="48" t="s">
        <v>50</v>
      </c>
      <c r="E8" s="34"/>
      <c r="F8" s="34"/>
      <c r="G8" s="34"/>
      <c r="H8" s="34"/>
      <c r="I8" s="34"/>
    </row>
    <row r="9">
      <c r="A9" s="44" t="s">
        <v>51</v>
      </c>
      <c r="C9" s="45">
        <v>4.4263898E8</v>
      </c>
      <c r="D9" s="48" t="s">
        <v>52</v>
      </c>
      <c r="E9" s="34"/>
      <c r="F9" s="34"/>
      <c r="G9" s="34"/>
      <c r="H9" s="34"/>
      <c r="I9" s="34"/>
      <c r="J9" s="20"/>
      <c r="M9" s="8" t="s">
        <v>44</v>
      </c>
    </row>
    <row r="10">
      <c r="A10" s="44" t="s">
        <v>53</v>
      </c>
      <c r="C10" s="45">
        <v>1.04313233E9</v>
      </c>
      <c r="D10" s="48" t="s">
        <v>54</v>
      </c>
      <c r="E10" s="34"/>
      <c r="F10" s="34"/>
      <c r="G10" s="34"/>
      <c r="H10" s="34"/>
      <c r="I10" s="34"/>
    </row>
    <row r="11">
      <c r="A11" s="44" t="s">
        <v>55</v>
      </c>
      <c r="C11" s="45">
        <v>4.92592838E8</v>
      </c>
      <c r="D11" s="48" t="s">
        <v>56</v>
      </c>
      <c r="E11" s="34"/>
      <c r="F11" s="34"/>
      <c r="G11" s="34"/>
      <c r="H11" s="34"/>
      <c r="I11" s="34"/>
    </row>
    <row r="12">
      <c r="A12" s="44" t="s">
        <v>57</v>
      </c>
      <c r="C12" s="45">
        <v>1.042246708E9</v>
      </c>
      <c r="D12" s="48" t="s">
        <v>58</v>
      </c>
      <c r="E12" s="34"/>
      <c r="F12" s="34"/>
      <c r="G12" s="34"/>
      <c r="H12" s="34"/>
      <c r="I12" s="34"/>
    </row>
    <row r="13">
      <c r="A13" s="44" t="s">
        <v>59</v>
      </c>
      <c r="C13" s="45">
        <v>5.98287173E8</v>
      </c>
      <c r="D13" s="48" t="s">
        <v>60</v>
      </c>
      <c r="E13" s="34"/>
      <c r="F13" s="34"/>
      <c r="G13" s="34"/>
      <c r="H13" s="34"/>
      <c r="I13" s="34"/>
    </row>
    <row r="14">
      <c r="A14" s="44" t="s">
        <v>61</v>
      </c>
      <c r="C14" s="45">
        <v>1.49000498E9</v>
      </c>
      <c r="D14" s="48" t="s">
        <v>62</v>
      </c>
      <c r="E14" s="34"/>
      <c r="F14" s="34"/>
      <c r="G14" s="34"/>
      <c r="H14" s="34"/>
      <c r="I14" s="34"/>
    </row>
    <row r="15">
      <c r="A15" s="44" t="s">
        <v>63</v>
      </c>
      <c r="C15" s="45">
        <v>1.088182751E9</v>
      </c>
      <c r="D15" s="48" t="s">
        <v>64</v>
      </c>
      <c r="E15" s="34"/>
      <c r="F15" s="34"/>
      <c r="G15" s="34"/>
      <c r="H15" s="34"/>
      <c r="I15" s="34"/>
    </row>
    <row r="16">
      <c r="A16" s="50" t="s">
        <v>65</v>
      </c>
      <c r="C16" s="45">
        <v>1.017611432E9</v>
      </c>
      <c r="D16" s="48" t="s">
        <v>66</v>
      </c>
      <c r="E16" s="34"/>
      <c r="F16" s="34"/>
      <c r="G16" s="34"/>
      <c r="H16" s="34"/>
      <c r="I16" s="34"/>
    </row>
    <row r="17">
      <c r="A17" s="44" t="s">
        <v>67</v>
      </c>
      <c r="C17" s="45">
        <v>9.35676399E8</v>
      </c>
      <c r="D17" s="48" t="s">
        <v>68</v>
      </c>
      <c r="E17" s="34"/>
      <c r="F17" s="34"/>
      <c r="G17" s="34"/>
      <c r="H17" s="34"/>
      <c r="I17" s="34"/>
    </row>
    <row r="18">
      <c r="A18" s="44" t="s">
        <v>69</v>
      </c>
      <c r="C18" s="45">
        <v>6.50061592E8</v>
      </c>
      <c r="D18" s="48" t="s">
        <v>70</v>
      </c>
      <c r="E18" s="34"/>
      <c r="F18" s="34"/>
      <c r="G18" s="34"/>
      <c r="H18" s="34"/>
      <c r="I18" s="34"/>
    </row>
    <row r="19">
      <c r="A19" s="44" t="s">
        <v>71</v>
      </c>
      <c r="C19" s="45">
        <v>1.181896798E9</v>
      </c>
      <c r="D19" s="48" t="s">
        <v>72</v>
      </c>
      <c r="E19" s="34"/>
      <c r="F19" s="34"/>
      <c r="G19" s="34"/>
      <c r="H19" s="34"/>
      <c r="I19" s="34"/>
    </row>
    <row r="20">
      <c r="A20" s="44" t="s">
        <v>73</v>
      </c>
      <c r="C20" s="45">
        <v>2.75743752E8</v>
      </c>
      <c r="D20" s="48" t="s">
        <v>74</v>
      </c>
      <c r="E20" s="34"/>
      <c r="F20" s="34"/>
      <c r="G20" s="34"/>
      <c r="H20" s="34"/>
      <c r="I20" s="34"/>
    </row>
    <row r="21">
      <c r="A21" s="44" t="s">
        <v>75</v>
      </c>
      <c r="C21" s="45">
        <v>3.92517044E8</v>
      </c>
      <c r="D21" s="48" t="s">
        <v>76</v>
      </c>
      <c r="E21" s="34"/>
      <c r="F21" s="34"/>
      <c r="G21" s="34"/>
      <c r="H21" s="34"/>
      <c r="I21" s="34"/>
    </row>
    <row r="22">
      <c r="A22" s="44" t="s">
        <v>77</v>
      </c>
      <c r="C22" s="45">
        <v>1.29558723E8</v>
      </c>
      <c r="D22" s="48" t="s">
        <v>78</v>
      </c>
      <c r="E22" s="34"/>
      <c r="F22" s="34"/>
      <c r="G22" s="34"/>
      <c r="H22" s="34"/>
      <c r="I22" s="34"/>
    </row>
    <row r="23">
      <c r="A23" s="44" t="s">
        <v>79</v>
      </c>
      <c r="C23" s="45">
        <v>1.107038927E9</v>
      </c>
      <c r="D23" s="48" t="s">
        <v>80</v>
      </c>
      <c r="E23" s="34"/>
      <c r="F23" s="34"/>
      <c r="G23" s="34"/>
      <c r="H23" s="34"/>
      <c r="I23" s="34"/>
    </row>
    <row r="24">
      <c r="A24" s="44" t="s">
        <v>81</v>
      </c>
      <c r="C24" s="45">
        <v>5.60567244E8</v>
      </c>
      <c r="D24" s="48" t="s">
        <v>82</v>
      </c>
      <c r="E24" s="34"/>
      <c r="F24" s="34"/>
      <c r="G24" s="34"/>
      <c r="H24" s="34"/>
      <c r="I24" s="34"/>
    </row>
    <row r="25">
      <c r="A25" s="44" t="s">
        <v>83</v>
      </c>
      <c r="C25" s="45">
        <v>8.58285248E8</v>
      </c>
      <c r="D25" s="48" t="s">
        <v>84</v>
      </c>
      <c r="E25" s="34"/>
      <c r="F25" s="34"/>
      <c r="G25" s="34"/>
      <c r="H25" s="34"/>
      <c r="I25" s="34"/>
    </row>
    <row r="26">
      <c r="A26" s="44" t="s">
        <v>85</v>
      </c>
      <c r="C26" s="45">
        <v>1.35309766E8</v>
      </c>
      <c r="D26" s="48" t="s">
        <v>86</v>
      </c>
      <c r="E26" s="34"/>
      <c r="F26" s="34"/>
      <c r="G26" s="34"/>
      <c r="H26" s="34"/>
      <c r="I26" s="34"/>
    </row>
    <row r="27">
      <c r="A27" s="44" t="s">
        <v>87</v>
      </c>
      <c r="C27" s="45">
        <v>9.06576348E8</v>
      </c>
      <c r="D27" s="48" t="s">
        <v>88</v>
      </c>
      <c r="E27" s="34"/>
      <c r="F27" s="34"/>
      <c r="G27" s="34"/>
      <c r="H27" s="34"/>
      <c r="I27" s="34"/>
    </row>
    <row r="28">
      <c r="A28" s="44" t="s">
        <v>89</v>
      </c>
      <c r="C28" s="45">
        <v>1.30115299E8</v>
      </c>
      <c r="D28" s="48" t="s">
        <v>90</v>
      </c>
      <c r="E28" s="34"/>
      <c r="F28" s="34"/>
      <c r="G28" s="34"/>
      <c r="H28" s="34"/>
      <c r="I28" s="34"/>
    </row>
    <row r="29">
      <c r="A29" s="44" t="s">
        <v>91</v>
      </c>
      <c r="C29" s="45">
        <v>1.090669183E9</v>
      </c>
      <c r="D29" s="48" t="s">
        <v>92</v>
      </c>
      <c r="E29" s="34"/>
      <c r="F29" s="34"/>
      <c r="G29" s="34"/>
      <c r="H29" s="34"/>
      <c r="I29" s="34"/>
    </row>
    <row r="30">
      <c r="A30" s="44" t="s">
        <v>93</v>
      </c>
      <c r="C30" s="45">
        <v>1.419791339E9</v>
      </c>
      <c r="D30" s="46" t="s">
        <v>94</v>
      </c>
      <c r="E30" s="34"/>
      <c r="F30" s="34"/>
      <c r="G30" s="34"/>
      <c r="H30" s="34"/>
      <c r="I30" s="34"/>
    </row>
    <row r="31">
      <c r="A31" s="44" t="s">
        <v>95</v>
      </c>
      <c r="C31" s="45">
        <v>2.09050474E8</v>
      </c>
      <c r="D31" s="48" t="s">
        <v>96</v>
      </c>
      <c r="E31" s="34"/>
      <c r="F31" s="34"/>
      <c r="G31" s="34"/>
      <c r="H31" s="34"/>
      <c r="I31" s="34"/>
    </row>
    <row r="32">
      <c r="A32" s="44" t="s">
        <v>97</v>
      </c>
      <c r="C32" s="45">
        <v>5633826.0</v>
      </c>
      <c r="D32" s="48" t="s">
        <v>98</v>
      </c>
      <c r="E32" s="34"/>
      <c r="F32" s="34"/>
      <c r="G32" s="34"/>
      <c r="H32" s="34"/>
      <c r="I32" s="34"/>
    </row>
    <row r="33">
      <c r="A33" s="44" t="s">
        <v>99</v>
      </c>
      <c r="C33" s="45">
        <v>1.189926963E9</v>
      </c>
      <c r="D33" s="48" t="s">
        <v>100</v>
      </c>
      <c r="E33" s="34"/>
      <c r="F33" s="34"/>
      <c r="G33" s="34"/>
      <c r="H33" s="34"/>
      <c r="I33" s="34"/>
    </row>
    <row r="34">
      <c r="A34" s="44" t="s">
        <v>101</v>
      </c>
      <c r="C34" s="45">
        <v>4.93271109E8</v>
      </c>
      <c r="D34" s="46" t="s">
        <v>102</v>
      </c>
      <c r="E34" s="34"/>
      <c r="F34" s="34"/>
      <c r="G34" s="34"/>
      <c r="H34" s="34"/>
      <c r="I34" s="34"/>
    </row>
    <row r="35">
      <c r="A35" s="44" t="s">
        <v>103</v>
      </c>
      <c r="C35" s="45">
        <v>1.158456304E9</v>
      </c>
      <c r="D35" s="48" t="s">
        <v>104</v>
      </c>
      <c r="E35" s="34"/>
      <c r="F35" s="34"/>
      <c r="G35" s="34"/>
      <c r="H35" s="34"/>
      <c r="I35" s="34"/>
    </row>
    <row r="36">
      <c r="A36" s="44" t="s">
        <v>105</v>
      </c>
      <c r="C36" s="45">
        <v>1.290261398E9</v>
      </c>
      <c r="D36" s="48" t="s">
        <v>106</v>
      </c>
      <c r="E36" s="34"/>
      <c r="F36" s="34"/>
      <c r="G36" s="34"/>
      <c r="H36" s="34"/>
      <c r="I36" s="34"/>
    </row>
    <row r="37">
      <c r="A37" s="44" t="s">
        <v>107</v>
      </c>
      <c r="C37" s="45">
        <v>2.51200696E8</v>
      </c>
      <c r="D37" s="48" t="s">
        <v>108</v>
      </c>
      <c r="E37" s="34"/>
      <c r="F37" s="34"/>
      <c r="G37" s="34"/>
      <c r="H37" s="34"/>
      <c r="I37" s="34"/>
    </row>
    <row r="38">
      <c r="A38" s="44" t="s">
        <v>109</v>
      </c>
      <c r="C38" s="45">
        <v>1.448179296E9</v>
      </c>
      <c r="D38" s="48" t="s">
        <v>110</v>
      </c>
      <c r="E38" s="34"/>
      <c r="F38" s="34"/>
      <c r="G38" s="34"/>
      <c r="H38" s="34"/>
      <c r="I38" s="34"/>
    </row>
    <row r="39">
      <c r="A39" s="44" t="s">
        <v>111</v>
      </c>
      <c r="C39" s="45">
        <v>4.77144828E8</v>
      </c>
      <c r="D39" s="48" t="s">
        <v>112</v>
      </c>
      <c r="E39" s="34"/>
      <c r="F39" s="34"/>
      <c r="G39" s="34"/>
      <c r="H39" s="34"/>
      <c r="I39" s="34"/>
    </row>
    <row r="40">
      <c r="A40" s="44" t="s">
        <v>113</v>
      </c>
      <c r="C40" s="45">
        <v>4.8725162E7</v>
      </c>
      <c r="D40" s="48" t="s">
        <v>114</v>
      </c>
      <c r="E40" s="34"/>
      <c r="F40" s="34"/>
      <c r="G40" s="34"/>
      <c r="H40" s="34"/>
      <c r="I40" s="34"/>
    </row>
    <row r="41">
      <c r="A41" s="44" t="s">
        <v>115</v>
      </c>
      <c r="C41" s="45">
        <v>2.62031919E8</v>
      </c>
      <c r="D41" s="48" t="s">
        <v>116</v>
      </c>
      <c r="E41" s="34"/>
      <c r="F41" s="34"/>
      <c r="G41" s="34"/>
      <c r="H41" s="34"/>
      <c r="I41" s="34"/>
    </row>
    <row r="42">
      <c r="A42" s="44" t="s">
        <v>117</v>
      </c>
      <c r="C42" s="45">
        <v>8.08665479E8</v>
      </c>
      <c r="D42" s="48" t="s">
        <v>118</v>
      </c>
      <c r="E42" s="34"/>
      <c r="F42" s="34"/>
      <c r="G42" s="34"/>
      <c r="H42" s="34"/>
      <c r="I42" s="34"/>
    </row>
    <row r="43">
      <c r="A43" s="44" t="s">
        <v>119</v>
      </c>
      <c r="C43" s="45">
        <v>2.021597E8</v>
      </c>
      <c r="D43" s="48" t="s">
        <v>120</v>
      </c>
      <c r="E43" s="34"/>
      <c r="F43" s="34"/>
      <c r="G43" s="34"/>
      <c r="H43" s="34"/>
      <c r="I43" s="34"/>
    </row>
    <row r="44">
      <c r="A44" s="44" t="s">
        <v>121</v>
      </c>
      <c r="C44" s="45">
        <v>3.91498767E8</v>
      </c>
      <c r="D44" s="48" t="s">
        <v>122</v>
      </c>
      <c r="E44" s="34"/>
      <c r="F44" s="34"/>
      <c r="G44" s="34"/>
      <c r="H44" s="34"/>
      <c r="I44" s="34"/>
    </row>
    <row r="45">
      <c r="A45" s="44" t="s">
        <v>123</v>
      </c>
      <c r="C45" s="45">
        <v>1.6305573E8</v>
      </c>
      <c r="D45" s="48" t="s">
        <v>124</v>
      </c>
      <c r="E45" s="34"/>
      <c r="F45" s="34"/>
      <c r="G45" s="34"/>
      <c r="H45" s="34"/>
      <c r="I45" s="34"/>
    </row>
    <row r="46">
      <c r="A46" s="44" t="s">
        <v>125</v>
      </c>
      <c r="C46" s="45">
        <v>4.2308754E8</v>
      </c>
      <c r="D46" s="48" t="s">
        <v>126</v>
      </c>
      <c r="E46" s="34"/>
      <c r="F46" s="34"/>
      <c r="G46" s="34"/>
      <c r="H46" s="34"/>
      <c r="I46" s="34"/>
    </row>
    <row r="47">
      <c r="A47" s="44" t="s">
        <v>127</v>
      </c>
      <c r="C47" s="45">
        <v>3.76677851E8</v>
      </c>
      <c r="D47" s="48" t="s">
        <v>128</v>
      </c>
      <c r="E47" s="34"/>
      <c r="F47" s="34"/>
      <c r="G47" s="34"/>
      <c r="H47" s="34"/>
      <c r="I47" s="34"/>
    </row>
    <row r="48">
      <c r="A48" s="44" t="s">
        <v>129</v>
      </c>
      <c r="C48" s="45">
        <v>1.276090079E9</v>
      </c>
      <c r="D48" s="48" t="s">
        <v>130</v>
      </c>
      <c r="E48" s="34"/>
      <c r="F48" s="34"/>
      <c r="G48" s="34"/>
      <c r="H48" s="34"/>
      <c r="I48" s="34"/>
    </row>
    <row r="49">
      <c r="A49" s="50" t="s">
        <v>131</v>
      </c>
      <c r="C49" s="8">
        <v>1.090880192E9</v>
      </c>
      <c r="D49" s="8" t="s">
        <v>132</v>
      </c>
      <c r="E49" s="34"/>
      <c r="F49" s="34"/>
      <c r="G49" s="34"/>
      <c r="H49" s="34"/>
      <c r="I49" s="34"/>
    </row>
    <row r="50">
      <c r="A50" s="50" t="s">
        <v>133</v>
      </c>
      <c r="C50" s="8">
        <v>1.54666487E9</v>
      </c>
      <c r="D50" s="8" t="s">
        <v>134</v>
      </c>
      <c r="E50" s="34"/>
      <c r="F50" s="34"/>
      <c r="G50" s="34"/>
      <c r="H50" s="34"/>
      <c r="I50" s="34"/>
    </row>
    <row r="51">
      <c r="A51" s="50" t="s">
        <v>135</v>
      </c>
      <c r="C51" s="8">
        <v>7.47872156E8</v>
      </c>
      <c r="D51" s="8" t="s">
        <v>136</v>
      </c>
      <c r="E51" s="34"/>
      <c r="F51" s="34"/>
      <c r="G51" s="34"/>
      <c r="H51" s="34"/>
      <c r="I51" s="34"/>
    </row>
    <row r="52">
      <c r="A52" s="51"/>
      <c r="E52" s="34"/>
      <c r="F52" s="34"/>
      <c r="G52" s="34"/>
      <c r="H52" s="34"/>
      <c r="I52" s="34"/>
    </row>
    <row r="53">
      <c r="A53" s="51"/>
      <c r="E53" s="34"/>
      <c r="F53" s="34"/>
      <c r="G53" s="34"/>
      <c r="H53" s="34"/>
      <c r="I53" s="34"/>
    </row>
    <row r="54">
      <c r="A54" s="51"/>
      <c r="E54" s="34"/>
      <c r="F54" s="34"/>
      <c r="G54" s="34"/>
      <c r="H54" s="34"/>
      <c r="I54" s="34"/>
    </row>
    <row r="55">
      <c r="A55" s="51"/>
      <c r="E55" s="34"/>
      <c r="F55" s="34"/>
      <c r="G55" s="34"/>
      <c r="H55" s="34"/>
      <c r="I55" s="34"/>
    </row>
    <row r="56">
      <c r="A56" s="51"/>
      <c r="E56" s="34"/>
      <c r="F56" s="34"/>
      <c r="G56" s="34"/>
      <c r="H56" s="34"/>
      <c r="I56" s="34"/>
    </row>
    <row r="57">
      <c r="A57" s="51"/>
      <c r="E57" s="34"/>
      <c r="F57" s="34"/>
      <c r="G57" s="34"/>
      <c r="H57" s="34"/>
      <c r="I57" s="34"/>
    </row>
    <row r="58">
      <c r="A58" s="51"/>
      <c r="E58" s="34"/>
      <c r="F58" s="34"/>
      <c r="G58" s="34"/>
      <c r="H58" s="34"/>
      <c r="I58" s="34"/>
    </row>
    <row r="59">
      <c r="A59" s="51"/>
      <c r="E59" s="34"/>
      <c r="F59" s="34"/>
      <c r="G59" s="34"/>
      <c r="H59" s="34"/>
      <c r="I59" s="34"/>
    </row>
    <row r="60">
      <c r="A60" s="51"/>
      <c r="E60" s="34"/>
      <c r="F60" s="34"/>
      <c r="G60" s="34"/>
      <c r="H60" s="34"/>
      <c r="I60" s="34"/>
    </row>
    <row r="61">
      <c r="A61" s="51"/>
      <c r="E61" s="34"/>
      <c r="F61" s="34"/>
      <c r="G61" s="34"/>
      <c r="H61" s="34"/>
      <c r="I61" s="34"/>
    </row>
    <row r="62">
      <c r="A62" s="51"/>
      <c r="E62" s="34"/>
      <c r="F62" s="34"/>
      <c r="G62" s="34"/>
      <c r="H62" s="34"/>
      <c r="I62" s="34"/>
    </row>
    <row r="63">
      <c r="E63" s="34"/>
      <c r="F63" s="34"/>
      <c r="G63" s="34"/>
      <c r="H63" s="34"/>
      <c r="I63" s="34"/>
    </row>
    <row r="64">
      <c r="E64" s="34"/>
      <c r="F64" s="34"/>
      <c r="G64" s="34"/>
      <c r="H64" s="34"/>
      <c r="I64" s="34"/>
    </row>
    <row r="65">
      <c r="E65" s="34"/>
      <c r="F65" s="34"/>
      <c r="G65" s="34"/>
      <c r="H65" s="34"/>
      <c r="I65" s="34"/>
    </row>
    <row r="66">
      <c r="E66" s="34"/>
      <c r="F66" s="34"/>
      <c r="G66" s="34"/>
      <c r="H66" s="34"/>
      <c r="I66" s="34"/>
    </row>
    <row r="67">
      <c r="E67" s="34"/>
      <c r="F67" s="34"/>
      <c r="G67" s="34"/>
      <c r="H67" s="34"/>
      <c r="I67" s="34"/>
    </row>
    <row r="68">
      <c r="E68" s="34"/>
      <c r="F68" s="34"/>
      <c r="G68" s="34"/>
      <c r="H68" s="34"/>
      <c r="I68" s="34"/>
    </row>
    <row r="69">
      <c r="E69" s="34"/>
      <c r="F69" s="34"/>
      <c r="G69" s="34"/>
      <c r="H69" s="34"/>
      <c r="I69" s="34"/>
    </row>
    <row r="70">
      <c r="E70" s="34"/>
      <c r="F70" s="34"/>
      <c r="G70" s="34"/>
      <c r="H70" s="34"/>
      <c r="I70" s="34"/>
    </row>
    <row r="71">
      <c r="E71" s="34"/>
      <c r="F71" s="34"/>
      <c r="G71" s="34"/>
      <c r="H71" s="34"/>
      <c r="I71" s="34"/>
    </row>
    <row r="72">
      <c r="E72" s="34"/>
      <c r="F72" s="34"/>
      <c r="G72" s="34"/>
      <c r="H72" s="34"/>
      <c r="I72" s="34"/>
    </row>
    <row r="73">
      <c r="E73" s="34"/>
      <c r="F73" s="34"/>
      <c r="G73" s="34"/>
      <c r="H73" s="34"/>
      <c r="I73" s="34"/>
    </row>
    <row r="74">
      <c r="E74" s="34"/>
      <c r="F74" s="34"/>
      <c r="G74" s="34"/>
      <c r="H74" s="34"/>
      <c r="I74" s="34"/>
    </row>
    <row r="75">
      <c r="E75" s="34"/>
      <c r="F75" s="34"/>
      <c r="G75" s="34"/>
      <c r="H75" s="34"/>
      <c r="I75" s="34"/>
    </row>
    <row r="76">
      <c r="E76" s="34"/>
      <c r="F76" s="34"/>
      <c r="G76" s="34"/>
      <c r="H76" s="34"/>
      <c r="I76" s="34"/>
    </row>
    <row r="77">
      <c r="E77" s="34"/>
      <c r="F77" s="34"/>
      <c r="G77" s="34"/>
      <c r="H77" s="34"/>
      <c r="I77" s="34"/>
    </row>
    <row r="78">
      <c r="E78" s="34"/>
      <c r="F78" s="34"/>
      <c r="G78" s="34"/>
      <c r="H78" s="34"/>
      <c r="I78" s="34"/>
    </row>
    <row r="79">
      <c r="E79" s="34"/>
      <c r="F79" s="34"/>
      <c r="G79" s="34"/>
      <c r="H79" s="34"/>
      <c r="I79" s="34"/>
    </row>
    <row r="80">
      <c r="E80" s="34"/>
      <c r="F80" s="34"/>
      <c r="G80" s="34"/>
      <c r="H80" s="34"/>
      <c r="I80" s="34"/>
    </row>
    <row r="81">
      <c r="E81" s="34"/>
      <c r="F81" s="34"/>
      <c r="G81" s="34"/>
      <c r="H81" s="34"/>
      <c r="I81" s="34"/>
    </row>
    <row r="82">
      <c r="E82" s="34"/>
      <c r="F82" s="34"/>
      <c r="G82" s="34"/>
      <c r="H82" s="34"/>
      <c r="I82" s="34"/>
    </row>
    <row r="83">
      <c r="E83" s="34"/>
      <c r="F83" s="34"/>
      <c r="G83" s="34"/>
      <c r="H83" s="34"/>
      <c r="I83" s="34"/>
    </row>
    <row r="84">
      <c r="E84" s="34"/>
      <c r="F84" s="34"/>
      <c r="G84" s="34"/>
      <c r="H84" s="34"/>
      <c r="I84" s="34"/>
    </row>
    <row r="85">
      <c r="E85" s="34"/>
      <c r="F85" s="34"/>
      <c r="G85" s="34"/>
      <c r="H85" s="34"/>
      <c r="I85" s="34"/>
    </row>
    <row r="86">
      <c r="E86" s="34"/>
      <c r="F86" s="34"/>
      <c r="G86" s="34"/>
      <c r="H86" s="34"/>
      <c r="I86" s="34"/>
    </row>
    <row r="87">
      <c r="E87" s="34"/>
      <c r="F87" s="34"/>
      <c r="G87" s="34"/>
      <c r="H87" s="34"/>
      <c r="I87" s="34"/>
    </row>
    <row r="88">
      <c r="E88" s="34"/>
      <c r="F88" s="34"/>
      <c r="G88" s="34"/>
      <c r="H88" s="34"/>
      <c r="I88" s="34"/>
    </row>
    <row r="89">
      <c r="E89" s="34"/>
      <c r="F89" s="34"/>
      <c r="G89" s="34"/>
      <c r="H89" s="34"/>
      <c r="I89" s="34"/>
    </row>
    <row r="90">
      <c r="E90" s="34"/>
      <c r="F90" s="34"/>
      <c r="G90" s="34"/>
      <c r="H90" s="34"/>
      <c r="I90" s="34"/>
    </row>
    <row r="91">
      <c r="E91" s="34"/>
      <c r="F91" s="34"/>
      <c r="G91" s="34"/>
      <c r="H91" s="34"/>
      <c r="I91" s="34"/>
    </row>
    <row r="92">
      <c r="E92" s="34"/>
      <c r="F92" s="34"/>
      <c r="G92" s="34"/>
      <c r="H92" s="34"/>
      <c r="I92" s="34"/>
    </row>
    <row r="93">
      <c r="E93" s="34"/>
      <c r="F93" s="34"/>
      <c r="G93" s="34"/>
      <c r="H93" s="34"/>
      <c r="I93" s="34"/>
    </row>
    <row r="94">
      <c r="E94" s="34"/>
      <c r="F94" s="34"/>
      <c r="G94" s="34"/>
      <c r="H94" s="34"/>
      <c r="I94" s="34"/>
    </row>
    <row r="95">
      <c r="E95" s="34"/>
      <c r="F95" s="34"/>
      <c r="G95" s="34"/>
      <c r="H95" s="34"/>
      <c r="I95" s="34"/>
    </row>
    <row r="96">
      <c r="E96" s="34"/>
      <c r="F96" s="34"/>
      <c r="G96" s="34"/>
      <c r="H96" s="34"/>
      <c r="I96" s="34"/>
    </row>
    <row r="97">
      <c r="E97" s="34"/>
      <c r="F97" s="34"/>
      <c r="G97" s="34"/>
      <c r="H97" s="34"/>
      <c r="I97" s="34"/>
    </row>
    <row r="98">
      <c r="E98" s="34"/>
      <c r="F98" s="34"/>
      <c r="G98" s="34"/>
      <c r="H98" s="34"/>
      <c r="I98" s="34"/>
    </row>
    <row r="99">
      <c r="E99" s="34"/>
      <c r="F99" s="34"/>
      <c r="G99" s="34"/>
      <c r="H99" s="34"/>
      <c r="I99" s="34"/>
    </row>
    <row r="100">
      <c r="E100" s="34"/>
      <c r="F100" s="34"/>
      <c r="G100" s="34"/>
      <c r="H100" s="34"/>
      <c r="I100" s="34"/>
    </row>
    <row r="101">
      <c r="E101" s="34"/>
      <c r="F101" s="34"/>
      <c r="G101" s="34"/>
      <c r="H101" s="34"/>
      <c r="I101" s="34"/>
    </row>
    <row r="102">
      <c r="E102" s="34"/>
      <c r="F102" s="34"/>
      <c r="G102" s="34"/>
      <c r="H102" s="34"/>
      <c r="I102" s="34"/>
    </row>
    <row r="103">
      <c r="E103" s="34"/>
      <c r="F103" s="34"/>
      <c r="G103" s="34"/>
      <c r="H103" s="34"/>
      <c r="I103" s="34"/>
    </row>
    <row r="104">
      <c r="E104" s="34"/>
      <c r="F104" s="34"/>
      <c r="G104" s="34"/>
      <c r="H104" s="34"/>
      <c r="I104" s="34"/>
    </row>
    <row r="105">
      <c r="E105" s="34"/>
      <c r="F105" s="34"/>
      <c r="G105" s="34"/>
      <c r="H105" s="34"/>
      <c r="I105" s="34"/>
    </row>
    <row r="106">
      <c r="E106" s="34"/>
      <c r="F106" s="34"/>
      <c r="G106" s="34"/>
      <c r="H106" s="34"/>
      <c r="I106" s="34"/>
    </row>
    <row r="107">
      <c r="E107" s="34"/>
      <c r="F107" s="34"/>
      <c r="G107" s="34"/>
      <c r="H107" s="34"/>
      <c r="I107" s="34"/>
    </row>
    <row r="108">
      <c r="E108" s="34"/>
      <c r="F108" s="34"/>
      <c r="G108" s="34"/>
      <c r="H108" s="34"/>
      <c r="I108" s="34"/>
    </row>
    <row r="109">
      <c r="E109" s="34"/>
      <c r="F109" s="34"/>
      <c r="G109" s="34"/>
      <c r="H109" s="34"/>
      <c r="I109" s="34"/>
    </row>
    <row r="110">
      <c r="E110" s="34"/>
      <c r="F110" s="34"/>
      <c r="G110" s="34"/>
      <c r="H110" s="34"/>
      <c r="I110" s="34"/>
    </row>
    <row r="111">
      <c r="E111" s="34"/>
      <c r="F111" s="34"/>
      <c r="G111" s="34"/>
      <c r="H111" s="34"/>
      <c r="I111" s="34"/>
    </row>
    <row r="112">
      <c r="E112" s="34"/>
      <c r="F112" s="34"/>
      <c r="G112" s="34"/>
      <c r="H112" s="34"/>
      <c r="I112" s="34"/>
    </row>
    <row r="113">
      <c r="E113" s="34"/>
      <c r="F113" s="34"/>
      <c r="G113" s="34"/>
      <c r="H113" s="34"/>
      <c r="I113" s="34"/>
    </row>
    <row r="114">
      <c r="E114" s="34"/>
      <c r="F114" s="34"/>
      <c r="G114" s="34"/>
      <c r="H114" s="34"/>
      <c r="I114" s="34"/>
    </row>
    <row r="115">
      <c r="E115" s="34"/>
      <c r="F115" s="34"/>
      <c r="G115" s="34"/>
      <c r="H115" s="34"/>
      <c r="I115" s="34"/>
    </row>
    <row r="116">
      <c r="E116" s="34"/>
      <c r="F116" s="34"/>
      <c r="G116" s="34"/>
      <c r="H116" s="34"/>
      <c r="I116" s="34"/>
    </row>
    <row r="117">
      <c r="E117" s="34"/>
      <c r="F117" s="34"/>
      <c r="G117" s="34"/>
      <c r="H117" s="34"/>
      <c r="I117" s="34"/>
    </row>
    <row r="118">
      <c r="E118" s="34"/>
      <c r="F118" s="34"/>
      <c r="G118" s="34"/>
      <c r="H118" s="34"/>
      <c r="I118" s="34"/>
    </row>
    <row r="119">
      <c r="E119" s="34"/>
      <c r="F119" s="34"/>
      <c r="G119" s="34"/>
      <c r="H119" s="34"/>
      <c r="I119" s="34"/>
    </row>
    <row r="120">
      <c r="E120" s="34"/>
      <c r="F120" s="34"/>
      <c r="G120" s="34"/>
      <c r="H120" s="34"/>
      <c r="I120" s="34"/>
    </row>
    <row r="121">
      <c r="E121" s="34"/>
      <c r="F121" s="34"/>
      <c r="G121" s="34"/>
      <c r="H121" s="34"/>
      <c r="I121" s="34"/>
    </row>
    <row r="122">
      <c r="E122" s="34"/>
      <c r="F122" s="34"/>
      <c r="G122" s="34"/>
      <c r="H122" s="34"/>
      <c r="I122" s="34"/>
    </row>
    <row r="123">
      <c r="E123" s="34"/>
      <c r="F123" s="34"/>
      <c r="G123" s="34"/>
      <c r="H123" s="34"/>
      <c r="I123" s="34"/>
    </row>
    <row r="124">
      <c r="E124" s="34"/>
      <c r="F124" s="34"/>
      <c r="G124" s="34"/>
      <c r="H124" s="34"/>
      <c r="I124" s="34"/>
    </row>
    <row r="125">
      <c r="E125" s="34"/>
      <c r="F125" s="34"/>
      <c r="G125" s="34"/>
      <c r="H125" s="34"/>
      <c r="I125" s="34"/>
    </row>
    <row r="126">
      <c r="E126" s="34"/>
      <c r="F126" s="34"/>
      <c r="G126" s="34"/>
      <c r="H126" s="34"/>
      <c r="I126" s="34"/>
    </row>
    <row r="127">
      <c r="E127" s="34"/>
      <c r="F127" s="34"/>
      <c r="G127" s="34"/>
      <c r="H127" s="34"/>
      <c r="I127" s="34"/>
    </row>
    <row r="128">
      <c r="E128" s="34"/>
      <c r="F128" s="34"/>
      <c r="G128" s="34"/>
      <c r="H128" s="34"/>
      <c r="I128" s="34"/>
    </row>
    <row r="129">
      <c r="E129" s="34"/>
      <c r="F129" s="34"/>
      <c r="G129" s="34"/>
      <c r="H129" s="34"/>
      <c r="I129" s="34"/>
    </row>
    <row r="130">
      <c r="E130" s="34"/>
      <c r="F130" s="34"/>
      <c r="G130" s="34"/>
      <c r="H130" s="34"/>
      <c r="I130" s="34"/>
    </row>
    <row r="131">
      <c r="E131" s="34"/>
      <c r="F131" s="34"/>
      <c r="G131" s="34"/>
      <c r="H131" s="34"/>
      <c r="I131" s="34"/>
    </row>
    <row r="132">
      <c r="E132" s="34"/>
      <c r="F132" s="34"/>
      <c r="G132" s="34"/>
      <c r="H132" s="34"/>
      <c r="I132" s="34"/>
    </row>
    <row r="133">
      <c r="E133" s="34"/>
      <c r="F133" s="34"/>
      <c r="G133" s="34"/>
      <c r="H133" s="34"/>
      <c r="I133" s="34"/>
    </row>
    <row r="134">
      <c r="E134" s="34"/>
      <c r="F134" s="34"/>
      <c r="G134" s="34"/>
      <c r="H134" s="34"/>
      <c r="I134" s="34"/>
    </row>
    <row r="135">
      <c r="E135" s="34"/>
      <c r="F135" s="34"/>
      <c r="G135" s="34"/>
      <c r="H135" s="34"/>
      <c r="I135" s="34"/>
    </row>
    <row r="136">
      <c r="E136" s="34"/>
      <c r="F136" s="34"/>
      <c r="G136" s="34"/>
      <c r="H136" s="34"/>
      <c r="I136" s="34"/>
    </row>
    <row r="137">
      <c r="E137" s="34"/>
      <c r="F137" s="34"/>
      <c r="G137" s="34"/>
      <c r="H137" s="34"/>
      <c r="I137" s="34"/>
    </row>
    <row r="138">
      <c r="E138" s="34"/>
      <c r="F138" s="34"/>
      <c r="G138" s="34"/>
      <c r="H138" s="34"/>
      <c r="I138" s="34"/>
    </row>
    <row r="139">
      <c r="E139" s="34"/>
      <c r="F139" s="34"/>
      <c r="G139" s="34"/>
      <c r="H139" s="34"/>
      <c r="I139" s="34"/>
    </row>
    <row r="140">
      <c r="E140" s="34"/>
      <c r="F140" s="34"/>
      <c r="G140" s="34"/>
      <c r="H140" s="34"/>
      <c r="I140" s="34"/>
    </row>
    <row r="141">
      <c r="E141" s="34"/>
      <c r="F141" s="34"/>
      <c r="G141" s="34"/>
      <c r="H141" s="34"/>
      <c r="I141" s="34"/>
    </row>
    <row r="142">
      <c r="E142" s="34"/>
      <c r="F142" s="34"/>
      <c r="G142" s="34"/>
      <c r="H142" s="34"/>
      <c r="I142" s="34"/>
    </row>
    <row r="143">
      <c r="E143" s="34"/>
      <c r="F143" s="34"/>
      <c r="G143" s="34"/>
      <c r="H143" s="34"/>
      <c r="I143" s="34"/>
    </row>
    <row r="144">
      <c r="E144" s="34"/>
      <c r="F144" s="34"/>
      <c r="G144" s="34"/>
      <c r="H144" s="34"/>
      <c r="I144" s="34"/>
    </row>
    <row r="145">
      <c r="E145" s="34"/>
      <c r="F145" s="34"/>
      <c r="G145" s="34"/>
      <c r="H145" s="34"/>
      <c r="I145" s="34"/>
    </row>
    <row r="146">
      <c r="E146" s="34"/>
      <c r="F146" s="34"/>
      <c r="G146" s="34"/>
      <c r="H146" s="34"/>
      <c r="I146" s="34"/>
    </row>
    <row r="147">
      <c r="E147" s="34"/>
      <c r="F147" s="34"/>
      <c r="G147" s="34"/>
      <c r="H147" s="34"/>
      <c r="I147" s="34"/>
    </row>
    <row r="148">
      <c r="E148" s="34"/>
      <c r="F148" s="34"/>
      <c r="G148" s="34"/>
      <c r="H148" s="34"/>
      <c r="I148" s="34"/>
    </row>
    <row r="149">
      <c r="E149" s="34"/>
      <c r="F149" s="34"/>
      <c r="G149" s="34"/>
      <c r="H149" s="34"/>
      <c r="I149" s="34"/>
    </row>
    <row r="150">
      <c r="E150" s="34"/>
      <c r="F150" s="34"/>
      <c r="G150" s="34"/>
      <c r="H150" s="34"/>
      <c r="I150" s="34"/>
    </row>
    <row r="151">
      <c r="E151" s="34"/>
      <c r="F151" s="34"/>
      <c r="G151" s="34"/>
      <c r="H151" s="34"/>
      <c r="I151" s="34"/>
    </row>
    <row r="152">
      <c r="E152" s="34"/>
      <c r="F152" s="34"/>
      <c r="G152" s="34"/>
      <c r="H152" s="34"/>
      <c r="I152" s="34"/>
    </row>
    <row r="153">
      <c r="E153" s="34"/>
      <c r="F153" s="34"/>
      <c r="G153" s="34"/>
      <c r="H153" s="34"/>
      <c r="I153" s="34"/>
    </row>
    <row r="154">
      <c r="E154" s="34"/>
      <c r="F154" s="34"/>
      <c r="G154" s="34"/>
      <c r="H154" s="34"/>
      <c r="I154" s="34"/>
    </row>
    <row r="155">
      <c r="E155" s="34"/>
      <c r="F155" s="34"/>
      <c r="G155" s="34"/>
      <c r="H155" s="34"/>
      <c r="I155" s="34"/>
    </row>
    <row r="156">
      <c r="E156" s="34"/>
      <c r="F156" s="34"/>
      <c r="G156" s="34"/>
      <c r="H156" s="34"/>
      <c r="I156" s="34"/>
    </row>
    <row r="157">
      <c r="E157" s="34"/>
      <c r="F157" s="34"/>
      <c r="G157" s="34"/>
      <c r="H157" s="34"/>
      <c r="I157" s="34"/>
    </row>
    <row r="158">
      <c r="E158" s="34"/>
      <c r="F158" s="34"/>
      <c r="G158" s="34"/>
      <c r="H158" s="34"/>
      <c r="I158" s="34"/>
    </row>
    <row r="159">
      <c r="E159" s="34"/>
      <c r="F159" s="34"/>
      <c r="G159" s="34"/>
      <c r="H159" s="34"/>
      <c r="I159" s="34"/>
    </row>
    <row r="160">
      <c r="E160" s="34"/>
      <c r="F160" s="34"/>
      <c r="G160" s="34"/>
      <c r="H160" s="34"/>
      <c r="I160" s="34"/>
    </row>
    <row r="161">
      <c r="E161" s="34"/>
      <c r="F161" s="34"/>
      <c r="G161" s="34"/>
      <c r="H161" s="34"/>
      <c r="I161" s="34"/>
    </row>
    <row r="162">
      <c r="E162" s="34"/>
      <c r="F162" s="34"/>
      <c r="G162" s="34"/>
      <c r="H162" s="34"/>
      <c r="I162" s="34"/>
    </row>
    <row r="163">
      <c r="E163" s="34"/>
      <c r="F163" s="34"/>
      <c r="G163" s="34"/>
      <c r="H163" s="34"/>
      <c r="I163" s="34"/>
    </row>
    <row r="164">
      <c r="E164" s="34"/>
      <c r="F164" s="34"/>
      <c r="G164" s="34"/>
      <c r="H164" s="34"/>
      <c r="I164" s="34"/>
    </row>
    <row r="165">
      <c r="E165" s="34"/>
      <c r="F165" s="34"/>
      <c r="G165" s="34"/>
      <c r="H165" s="34"/>
      <c r="I165" s="34"/>
    </row>
    <row r="166">
      <c r="E166" s="34"/>
      <c r="F166" s="34"/>
      <c r="G166" s="34"/>
      <c r="H166" s="34"/>
      <c r="I166" s="34"/>
    </row>
    <row r="167">
      <c r="E167" s="34"/>
      <c r="F167" s="34"/>
      <c r="G167" s="34"/>
      <c r="H167" s="34"/>
      <c r="I167" s="34"/>
    </row>
    <row r="168">
      <c r="E168" s="34"/>
      <c r="F168" s="34"/>
      <c r="G168" s="34"/>
      <c r="H168" s="34"/>
      <c r="I168" s="34"/>
    </row>
    <row r="169">
      <c r="E169" s="34"/>
      <c r="F169" s="34"/>
      <c r="G169" s="34"/>
      <c r="H169" s="34"/>
      <c r="I169" s="34"/>
    </row>
    <row r="170">
      <c r="E170" s="34"/>
      <c r="F170" s="34"/>
      <c r="G170" s="34"/>
      <c r="H170" s="34"/>
      <c r="I170" s="34"/>
    </row>
    <row r="171">
      <c r="E171" s="34"/>
      <c r="F171" s="34"/>
      <c r="G171" s="34"/>
      <c r="H171" s="34"/>
      <c r="I171" s="34"/>
    </row>
    <row r="172">
      <c r="E172" s="34"/>
      <c r="F172" s="34"/>
      <c r="G172" s="34"/>
      <c r="H172" s="34"/>
      <c r="I172" s="34"/>
    </row>
    <row r="173">
      <c r="E173" s="34"/>
      <c r="F173" s="34"/>
      <c r="G173" s="34"/>
      <c r="H173" s="34"/>
      <c r="I173" s="34"/>
    </row>
    <row r="174">
      <c r="E174" s="34"/>
      <c r="F174" s="34"/>
      <c r="G174" s="34"/>
      <c r="H174" s="34"/>
      <c r="I174" s="34"/>
    </row>
    <row r="175">
      <c r="E175" s="34"/>
      <c r="F175" s="34"/>
      <c r="G175" s="34"/>
      <c r="H175" s="34"/>
      <c r="I175" s="34"/>
    </row>
    <row r="176">
      <c r="E176" s="34"/>
      <c r="F176" s="34"/>
      <c r="G176" s="34"/>
      <c r="H176" s="34"/>
      <c r="I176" s="34"/>
    </row>
    <row r="177">
      <c r="E177" s="34"/>
      <c r="F177" s="34"/>
      <c r="G177" s="34"/>
      <c r="H177" s="34"/>
      <c r="I177" s="34"/>
    </row>
    <row r="178">
      <c r="E178" s="34"/>
      <c r="F178" s="34"/>
      <c r="G178" s="34"/>
      <c r="H178" s="34"/>
      <c r="I178" s="34"/>
    </row>
    <row r="179">
      <c r="E179" s="34"/>
      <c r="F179" s="34"/>
      <c r="G179" s="34"/>
      <c r="H179" s="34"/>
      <c r="I179" s="34"/>
    </row>
    <row r="180">
      <c r="E180" s="34"/>
      <c r="F180" s="34"/>
      <c r="G180" s="34"/>
      <c r="H180" s="34"/>
      <c r="I180" s="34"/>
    </row>
    <row r="181">
      <c r="E181" s="34"/>
      <c r="F181" s="34"/>
      <c r="G181" s="34"/>
      <c r="H181" s="34"/>
      <c r="I181" s="34"/>
    </row>
    <row r="182">
      <c r="E182" s="34"/>
      <c r="F182" s="34"/>
      <c r="G182" s="34"/>
      <c r="H182" s="34"/>
      <c r="I182" s="34"/>
    </row>
    <row r="183">
      <c r="E183" s="34"/>
      <c r="F183" s="34"/>
      <c r="G183" s="34"/>
      <c r="H183" s="34"/>
      <c r="I183" s="34"/>
    </row>
    <row r="184">
      <c r="E184" s="34"/>
      <c r="F184" s="34"/>
      <c r="G184" s="34"/>
      <c r="H184" s="34"/>
      <c r="I184" s="34"/>
    </row>
    <row r="185">
      <c r="E185" s="34"/>
      <c r="F185" s="34"/>
      <c r="G185" s="34"/>
      <c r="H185" s="34"/>
      <c r="I185" s="34"/>
    </row>
    <row r="186">
      <c r="E186" s="34"/>
      <c r="F186" s="34"/>
      <c r="G186" s="34"/>
      <c r="H186" s="34"/>
      <c r="I186" s="34"/>
    </row>
    <row r="187">
      <c r="E187" s="34"/>
      <c r="F187" s="34"/>
      <c r="G187" s="34"/>
      <c r="H187" s="34"/>
      <c r="I187" s="34"/>
    </row>
    <row r="188">
      <c r="E188" s="34"/>
      <c r="F188" s="34"/>
      <c r="G188" s="34"/>
      <c r="H188" s="34"/>
      <c r="I188" s="34"/>
    </row>
    <row r="189">
      <c r="E189" s="34"/>
      <c r="F189" s="34"/>
      <c r="G189" s="34"/>
      <c r="H189" s="34"/>
      <c r="I189" s="34"/>
    </row>
    <row r="190">
      <c r="E190" s="34"/>
      <c r="F190" s="34"/>
      <c r="G190" s="34"/>
      <c r="H190" s="34"/>
      <c r="I190" s="34"/>
    </row>
    <row r="191">
      <c r="E191" s="34"/>
      <c r="F191" s="34"/>
      <c r="G191" s="34"/>
      <c r="H191" s="34"/>
      <c r="I191" s="34"/>
    </row>
    <row r="192">
      <c r="E192" s="34"/>
      <c r="F192" s="34"/>
      <c r="G192" s="34"/>
      <c r="H192" s="34"/>
      <c r="I192" s="34"/>
    </row>
    <row r="193">
      <c r="E193" s="34"/>
      <c r="F193" s="34"/>
      <c r="G193" s="34"/>
      <c r="H193" s="34"/>
      <c r="I193" s="34"/>
    </row>
    <row r="194">
      <c r="E194" s="34"/>
      <c r="F194" s="34"/>
      <c r="G194" s="34"/>
      <c r="H194" s="34"/>
      <c r="I194" s="34"/>
    </row>
    <row r="195">
      <c r="E195" s="34"/>
      <c r="F195" s="34"/>
      <c r="G195" s="34"/>
      <c r="H195" s="34"/>
      <c r="I195" s="34"/>
    </row>
    <row r="196">
      <c r="E196" s="34"/>
      <c r="F196" s="34"/>
      <c r="G196" s="34"/>
      <c r="H196" s="34"/>
      <c r="I196" s="34"/>
    </row>
    <row r="197">
      <c r="E197" s="34"/>
      <c r="F197" s="34"/>
      <c r="G197" s="34"/>
      <c r="H197" s="34"/>
      <c r="I197" s="34"/>
    </row>
    <row r="198">
      <c r="E198" s="34"/>
      <c r="F198" s="34"/>
      <c r="G198" s="34"/>
      <c r="H198" s="34"/>
      <c r="I198" s="34"/>
    </row>
    <row r="199">
      <c r="E199" s="34"/>
      <c r="F199" s="34"/>
      <c r="G199" s="34"/>
      <c r="H199" s="34"/>
      <c r="I199" s="34"/>
    </row>
    <row r="200">
      <c r="E200" s="34"/>
      <c r="F200" s="34"/>
      <c r="G200" s="34"/>
      <c r="H200" s="34"/>
      <c r="I200" s="34"/>
    </row>
    <row r="201">
      <c r="E201" s="34"/>
      <c r="F201" s="34"/>
      <c r="G201" s="34"/>
      <c r="H201" s="34"/>
      <c r="I201" s="34"/>
    </row>
    <row r="202">
      <c r="E202" s="34"/>
      <c r="F202" s="34"/>
      <c r="G202" s="34"/>
      <c r="H202" s="34"/>
      <c r="I202" s="34"/>
    </row>
    <row r="203">
      <c r="E203" s="34"/>
      <c r="F203" s="34"/>
      <c r="G203" s="34"/>
      <c r="H203" s="34"/>
      <c r="I203" s="34"/>
    </row>
    <row r="204">
      <c r="E204" s="34"/>
      <c r="F204" s="34"/>
      <c r="G204" s="34"/>
      <c r="H204" s="34"/>
      <c r="I204" s="34"/>
    </row>
    <row r="205">
      <c r="E205" s="34"/>
      <c r="F205" s="34"/>
      <c r="G205" s="34"/>
      <c r="H205" s="34"/>
      <c r="I205" s="34"/>
    </row>
    <row r="206">
      <c r="E206" s="34"/>
      <c r="F206" s="34"/>
      <c r="G206" s="34"/>
      <c r="H206" s="34"/>
      <c r="I206" s="34"/>
    </row>
    <row r="207">
      <c r="E207" s="34"/>
      <c r="F207" s="34"/>
      <c r="G207" s="34"/>
      <c r="H207" s="34"/>
      <c r="I207" s="34"/>
    </row>
    <row r="208">
      <c r="E208" s="34"/>
      <c r="F208" s="34"/>
      <c r="G208" s="34"/>
      <c r="H208" s="34"/>
      <c r="I208" s="34"/>
    </row>
    <row r="209">
      <c r="E209" s="34"/>
      <c r="F209" s="34"/>
      <c r="G209" s="34"/>
      <c r="H209" s="34"/>
      <c r="I209" s="34"/>
    </row>
    <row r="210">
      <c r="E210" s="34"/>
      <c r="F210" s="34"/>
      <c r="G210" s="34"/>
      <c r="H210" s="34"/>
      <c r="I210" s="34"/>
    </row>
    <row r="211">
      <c r="E211" s="34"/>
      <c r="F211" s="34"/>
      <c r="G211" s="34"/>
      <c r="H211" s="34"/>
      <c r="I211" s="34"/>
    </row>
    <row r="212">
      <c r="E212" s="34"/>
      <c r="F212" s="34"/>
      <c r="G212" s="34"/>
      <c r="H212" s="34"/>
      <c r="I212" s="34"/>
    </row>
    <row r="213">
      <c r="E213" s="34"/>
      <c r="F213" s="34"/>
      <c r="G213" s="34"/>
      <c r="H213" s="34"/>
      <c r="I213" s="34"/>
    </row>
    <row r="214">
      <c r="E214" s="34"/>
      <c r="F214" s="34"/>
      <c r="G214" s="34"/>
      <c r="H214" s="34"/>
      <c r="I214" s="34"/>
    </row>
    <row r="215">
      <c r="E215" s="34"/>
      <c r="F215" s="34"/>
      <c r="G215" s="34"/>
      <c r="H215" s="34"/>
      <c r="I215" s="34"/>
    </row>
    <row r="216">
      <c r="E216" s="34"/>
      <c r="F216" s="34"/>
      <c r="G216" s="34"/>
      <c r="H216" s="34"/>
      <c r="I216" s="34"/>
    </row>
    <row r="217">
      <c r="E217" s="34"/>
      <c r="F217" s="34"/>
      <c r="G217" s="34"/>
      <c r="H217" s="34"/>
      <c r="I217" s="34"/>
    </row>
    <row r="218">
      <c r="E218" s="34"/>
      <c r="F218" s="34"/>
      <c r="G218" s="34"/>
      <c r="H218" s="34"/>
      <c r="I218" s="34"/>
    </row>
    <row r="219">
      <c r="E219" s="34"/>
      <c r="F219" s="34"/>
      <c r="G219" s="34"/>
      <c r="H219" s="34"/>
      <c r="I219" s="34"/>
    </row>
    <row r="220">
      <c r="E220" s="34"/>
      <c r="F220" s="34"/>
      <c r="G220" s="34"/>
      <c r="H220" s="34"/>
      <c r="I220" s="34"/>
    </row>
    <row r="221">
      <c r="E221" s="34"/>
      <c r="F221" s="34"/>
      <c r="G221" s="34"/>
      <c r="H221" s="34"/>
      <c r="I221" s="34"/>
    </row>
    <row r="222">
      <c r="E222" s="34"/>
      <c r="F222" s="34"/>
      <c r="G222" s="34"/>
      <c r="H222" s="34"/>
      <c r="I222" s="34"/>
    </row>
    <row r="223">
      <c r="E223" s="34"/>
      <c r="F223" s="34"/>
      <c r="G223" s="34"/>
      <c r="H223" s="34"/>
      <c r="I223" s="34"/>
    </row>
    <row r="224">
      <c r="E224" s="34"/>
      <c r="F224" s="34"/>
      <c r="G224" s="34"/>
      <c r="H224" s="34"/>
      <c r="I224" s="34"/>
    </row>
    <row r="225">
      <c r="E225" s="34"/>
      <c r="F225" s="34"/>
      <c r="G225" s="34"/>
      <c r="H225" s="34"/>
      <c r="I225" s="34"/>
    </row>
    <row r="226">
      <c r="E226" s="34"/>
      <c r="F226" s="34"/>
      <c r="G226" s="34"/>
      <c r="H226" s="34"/>
      <c r="I226" s="34"/>
    </row>
    <row r="227">
      <c r="E227" s="34"/>
      <c r="F227" s="34"/>
      <c r="G227" s="34"/>
      <c r="H227" s="34"/>
      <c r="I227" s="34"/>
    </row>
    <row r="228">
      <c r="E228" s="34"/>
      <c r="F228" s="34"/>
      <c r="G228" s="34"/>
      <c r="H228" s="34"/>
      <c r="I228" s="34"/>
    </row>
    <row r="229">
      <c r="E229" s="34"/>
      <c r="F229" s="34"/>
      <c r="G229" s="34"/>
      <c r="H229" s="34"/>
      <c r="I229" s="34"/>
    </row>
    <row r="230">
      <c r="E230" s="34"/>
      <c r="F230" s="34"/>
      <c r="G230" s="34"/>
      <c r="H230" s="34"/>
      <c r="I230" s="34"/>
    </row>
    <row r="231">
      <c r="E231" s="34"/>
      <c r="F231" s="34"/>
      <c r="G231" s="34"/>
      <c r="H231" s="34"/>
      <c r="I231" s="34"/>
    </row>
    <row r="232">
      <c r="E232" s="34"/>
      <c r="F232" s="34"/>
      <c r="G232" s="34"/>
      <c r="H232" s="34"/>
      <c r="I232" s="34"/>
    </row>
    <row r="233">
      <c r="E233" s="34"/>
      <c r="F233" s="34"/>
      <c r="G233" s="34"/>
      <c r="H233" s="34"/>
      <c r="I233" s="34"/>
    </row>
    <row r="234">
      <c r="E234" s="34"/>
      <c r="F234" s="34"/>
      <c r="G234" s="34"/>
      <c r="H234" s="34"/>
      <c r="I234" s="34"/>
    </row>
    <row r="235">
      <c r="E235" s="34"/>
      <c r="F235" s="34"/>
      <c r="G235" s="34"/>
      <c r="H235" s="34"/>
      <c r="I235" s="34"/>
    </row>
    <row r="236">
      <c r="E236" s="34"/>
      <c r="F236" s="34"/>
      <c r="G236" s="34"/>
      <c r="H236" s="34"/>
      <c r="I236" s="34"/>
    </row>
    <row r="237">
      <c r="E237" s="34"/>
      <c r="F237" s="34"/>
      <c r="G237" s="34"/>
      <c r="H237" s="34"/>
      <c r="I237" s="34"/>
    </row>
    <row r="238">
      <c r="E238" s="34"/>
      <c r="F238" s="34"/>
      <c r="G238" s="34"/>
      <c r="H238" s="34"/>
      <c r="I238" s="34"/>
    </row>
    <row r="239">
      <c r="E239" s="34"/>
      <c r="F239" s="34"/>
      <c r="G239" s="34"/>
      <c r="H239" s="34"/>
      <c r="I239" s="34"/>
    </row>
    <row r="240">
      <c r="E240" s="34"/>
      <c r="F240" s="34"/>
      <c r="G240" s="34"/>
      <c r="H240" s="34"/>
      <c r="I240" s="34"/>
    </row>
    <row r="241">
      <c r="E241" s="34"/>
      <c r="F241" s="34"/>
      <c r="G241" s="34"/>
      <c r="H241" s="34"/>
      <c r="I241" s="34"/>
    </row>
    <row r="242">
      <c r="E242" s="34"/>
      <c r="F242" s="34"/>
      <c r="G242" s="34"/>
      <c r="H242" s="34"/>
      <c r="I242" s="34"/>
    </row>
    <row r="243">
      <c r="E243" s="34"/>
      <c r="F243" s="34"/>
      <c r="G243" s="34"/>
      <c r="H243" s="34"/>
      <c r="I243" s="34"/>
    </row>
    <row r="244">
      <c r="E244" s="34"/>
      <c r="F244" s="34"/>
      <c r="G244" s="34"/>
      <c r="H244" s="34"/>
      <c r="I244" s="34"/>
    </row>
    <row r="245">
      <c r="E245" s="34"/>
      <c r="F245" s="34"/>
      <c r="G245" s="34"/>
      <c r="H245" s="34"/>
      <c r="I245" s="34"/>
    </row>
    <row r="246">
      <c r="E246" s="34"/>
      <c r="F246" s="34"/>
      <c r="G246" s="34"/>
      <c r="H246" s="34"/>
      <c r="I246" s="34"/>
    </row>
    <row r="247">
      <c r="E247" s="34"/>
      <c r="F247" s="34"/>
      <c r="G247" s="34"/>
      <c r="H247" s="34"/>
      <c r="I247" s="34"/>
    </row>
    <row r="248">
      <c r="E248" s="34"/>
      <c r="F248" s="34"/>
      <c r="G248" s="34"/>
      <c r="H248" s="34"/>
      <c r="I248" s="34"/>
    </row>
    <row r="249">
      <c r="E249" s="34"/>
      <c r="F249" s="34"/>
      <c r="G249" s="34"/>
      <c r="H249" s="34"/>
      <c r="I249" s="34"/>
    </row>
    <row r="250">
      <c r="E250" s="34"/>
      <c r="F250" s="34"/>
      <c r="G250" s="34"/>
      <c r="H250" s="34"/>
      <c r="I250" s="34"/>
    </row>
    <row r="251">
      <c r="E251" s="34"/>
      <c r="F251" s="34"/>
      <c r="G251" s="34"/>
      <c r="H251" s="34"/>
      <c r="I251" s="34"/>
    </row>
    <row r="252">
      <c r="E252" s="34"/>
      <c r="F252" s="34"/>
      <c r="G252" s="34"/>
      <c r="H252" s="34"/>
      <c r="I252" s="34"/>
    </row>
    <row r="253">
      <c r="E253" s="34"/>
      <c r="F253" s="34"/>
      <c r="G253" s="34"/>
      <c r="H253" s="34"/>
      <c r="I253" s="34"/>
    </row>
    <row r="254">
      <c r="E254" s="34"/>
      <c r="F254" s="34"/>
      <c r="G254" s="34"/>
      <c r="H254" s="34"/>
      <c r="I254" s="34"/>
    </row>
    <row r="255">
      <c r="E255" s="34"/>
      <c r="F255" s="34"/>
      <c r="G255" s="34"/>
      <c r="H255" s="34"/>
      <c r="I255" s="34"/>
    </row>
    <row r="256">
      <c r="E256" s="34"/>
      <c r="F256" s="34"/>
      <c r="G256" s="34"/>
      <c r="H256" s="34"/>
      <c r="I256" s="34"/>
    </row>
    <row r="257">
      <c r="E257" s="34"/>
      <c r="F257" s="34"/>
      <c r="G257" s="34"/>
      <c r="H257" s="34"/>
      <c r="I257" s="34"/>
    </row>
    <row r="258">
      <c r="E258" s="34"/>
      <c r="F258" s="34"/>
      <c r="G258" s="34"/>
      <c r="H258" s="34"/>
      <c r="I258" s="34"/>
    </row>
    <row r="259">
      <c r="E259" s="34"/>
      <c r="F259" s="34"/>
      <c r="G259" s="34"/>
      <c r="H259" s="34"/>
      <c r="I259" s="34"/>
    </row>
    <row r="260">
      <c r="E260" s="34"/>
      <c r="F260" s="34"/>
      <c r="G260" s="34"/>
      <c r="H260" s="34"/>
      <c r="I260" s="34"/>
    </row>
    <row r="261">
      <c r="E261" s="34"/>
      <c r="F261" s="34"/>
      <c r="G261" s="34"/>
      <c r="H261" s="34"/>
      <c r="I261" s="34"/>
    </row>
    <row r="262">
      <c r="E262" s="34"/>
      <c r="F262" s="34"/>
      <c r="G262" s="34"/>
      <c r="H262" s="34"/>
      <c r="I262" s="34"/>
    </row>
    <row r="263">
      <c r="E263" s="34"/>
      <c r="F263" s="34"/>
      <c r="G263" s="34"/>
      <c r="H263" s="34"/>
      <c r="I263" s="34"/>
    </row>
    <row r="264">
      <c r="E264" s="34"/>
      <c r="F264" s="34"/>
      <c r="G264" s="34"/>
      <c r="H264" s="34"/>
      <c r="I264" s="34"/>
    </row>
    <row r="265">
      <c r="E265" s="34"/>
      <c r="F265" s="34"/>
      <c r="G265" s="34"/>
      <c r="H265" s="34"/>
      <c r="I265" s="34"/>
    </row>
    <row r="266">
      <c r="E266" s="34"/>
      <c r="F266" s="34"/>
      <c r="G266" s="34"/>
      <c r="H266" s="34"/>
      <c r="I266" s="34"/>
    </row>
    <row r="267">
      <c r="E267" s="34"/>
      <c r="F267" s="34"/>
      <c r="G267" s="34"/>
      <c r="H267" s="34"/>
      <c r="I267" s="34"/>
    </row>
    <row r="268">
      <c r="E268" s="34"/>
      <c r="F268" s="34"/>
      <c r="G268" s="34"/>
      <c r="H268" s="34"/>
      <c r="I268" s="34"/>
    </row>
    <row r="269">
      <c r="E269" s="34"/>
      <c r="F269" s="34"/>
      <c r="G269" s="34"/>
      <c r="H269" s="34"/>
      <c r="I269" s="34"/>
    </row>
    <row r="270">
      <c r="E270" s="34"/>
      <c r="F270" s="34"/>
      <c r="G270" s="34"/>
      <c r="H270" s="34"/>
      <c r="I270" s="34"/>
    </row>
    <row r="271">
      <c r="E271" s="34"/>
      <c r="F271" s="34"/>
      <c r="G271" s="34"/>
      <c r="H271" s="34"/>
      <c r="I271" s="34"/>
    </row>
    <row r="272">
      <c r="E272" s="34"/>
      <c r="F272" s="34"/>
      <c r="G272" s="34"/>
      <c r="H272" s="34"/>
      <c r="I272" s="34"/>
    </row>
    <row r="273">
      <c r="E273" s="34"/>
      <c r="F273" s="34"/>
      <c r="G273" s="34"/>
      <c r="H273" s="34"/>
      <c r="I273" s="34"/>
    </row>
    <row r="274">
      <c r="E274" s="34"/>
      <c r="F274" s="34"/>
      <c r="G274" s="34"/>
      <c r="H274" s="34"/>
      <c r="I274" s="34"/>
    </row>
    <row r="275">
      <c r="E275" s="34"/>
      <c r="F275" s="34"/>
      <c r="G275" s="34"/>
      <c r="H275" s="34"/>
      <c r="I275" s="34"/>
    </row>
    <row r="276">
      <c r="E276" s="34"/>
      <c r="F276" s="34"/>
      <c r="G276" s="34"/>
      <c r="H276" s="34"/>
      <c r="I276" s="34"/>
    </row>
    <row r="277">
      <c r="E277" s="34"/>
      <c r="F277" s="34"/>
      <c r="G277" s="34"/>
      <c r="H277" s="34"/>
      <c r="I277" s="34"/>
    </row>
    <row r="278">
      <c r="E278" s="34"/>
      <c r="F278" s="34"/>
      <c r="G278" s="34"/>
      <c r="H278" s="34"/>
      <c r="I278" s="34"/>
    </row>
    <row r="279">
      <c r="E279" s="34"/>
      <c r="F279" s="34"/>
      <c r="G279" s="34"/>
      <c r="H279" s="34"/>
      <c r="I279" s="34"/>
    </row>
    <row r="280">
      <c r="E280" s="34"/>
      <c r="F280" s="34"/>
      <c r="G280" s="34"/>
      <c r="H280" s="34"/>
      <c r="I280" s="34"/>
    </row>
    <row r="281">
      <c r="E281" s="34"/>
      <c r="F281" s="34"/>
      <c r="G281" s="34"/>
      <c r="H281" s="34"/>
      <c r="I281" s="34"/>
    </row>
    <row r="282">
      <c r="E282" s="34"/>
      <c r="F282" s="34"/>
      <c r="G282" s="34"/>
      <c r="H282" s="34"/>
      <c r="I282" s="34"/>
    </row>
    <row r="283">
      <c r="E283" s="34"/>
      <c r="F283" s="34"/>
      <c r="G283" s="34"/>
      <c r="H283" s="34"/>
      <c r="I283" s="34"/>
    </row>
    <row r="284">
      <c r="E284" s="34"/>
      <c r="F284" s="34"/>
      <c r="G284" s="34"/>
      <c r="H284" s="34"/>
      <c r="I284" s="34"/>
    </row>
    <row r="285">
      <c r="E285" s="34"/>
      <c r="F285" s="34"/>
      <c r="G285" s="34"/>
      <c r="H285" s="34"/>
      <c r="I285" s="34"/>
    </row>
    <row r="286">
      <c r="E286" s="34"/>
      <c r="F286" s="34"/>
      <c r="G286" s="34"/>
      <c r="H286" s="34"/>
      <c r="I286" s="34"/>
    </row>
    <row r="287">
      <c r="E287" s="34"/>
      <c r="F287" s="34"/>
      <c r="G287" s="34"/>
      <c r="H287" s="34"/>
      <c r="I287" s="34"/>
    </row>
    <row r="288">
      <c r="E288" s="34"/>
      <c r="F288" s="34"/>
      <c r="G288" s="34"/>
      <c r="H288" s="34"/>
      <c r="I288" s="34"/>
    </row>
    <row r="289">
      <c r="E289" s="34"/>
      <c r="F289" s="34"/>
      <c r="G289" s="34"/>
      <c r="H289" s="34"/>
      <c r="I289" s="34"/>
    </row>
    <row r="290">
      <c r="E290" s="34"/>
      <c r="F290" s="34"/>
      <c r="G290" s="34"/>
      <c r="H290" s="34"/>
      <c r="I290" s="34"/>
    </row>
    <row r="291">
      <c r="E291" s="34"/>
      <c r="F291" s="34"/>
      <c r="G291" s="34"/>
      <c r="H291" s="34"/>
      <c r="I291" s="34"/>
    </row>
    <row r="292">
      <c r="E292" s="34"/>
      <c r="F292" s="34"/>
      <c r="G292" s="34"/>
      <c r="H292" s="34"/>
      <c r="I292" s="34"/>
    </row>
    <row r="293">
      <c r="E293" s="34"/>
      <c r="F293" s="34"/>
      <c r="G293" s="34"/>
      <c r="H293" s="34"/>
      <c r="I293" s="34"/>
    </row>
    <row r="294">
      <c r="E294" s="34"/>
      <c r="F294" s="34"/>
      <c r="G294" s="34"/>
      <c r="H294" s="34"/>
      <c r="I294" s="34"/>
    </row>
    <row r="295">
      <c r="E295" s="34"/>
      <c r="F295" s="34"/>
      <c r="G295" s="34"/>
      <c r="H295" s="34"/>
      <c r="I295" s="34"/>
    </row>
    <row r="296">
      <c r="E296" s="34"/>
      <c r="F296" s="34"/>
      <c r="G296" s="34"/>
      <c r="H296" s="34"/>
      <c r="I296" s="34"/>
    </row>
    <row r="297">
      <c r="E297" s="34"/>
      <c r="F297" s="34"/>
      <c r="G297" s="34"/>
      <c r="H297" s="34"/>
      <c r="I297" s="34"/>
    </row>
    <row r="298">
      <c r="E298" s="34"/>
      <c r="F298" s="34"/>
      <c r="G298" s="34"/>
      <c r="H298" s="34"/>
      <c r="I298" s="34"/>
    </row>
    <row r="299">
      <c r="E299" s="34"/>
      <c r="F299" s="34"/>
      <c r="G299" s="34"/>
      <c r="H299" s="34"/>
      <c r="I299" s="34"/>
    </row>
    <row r="300">
      <c r="E300" s="34"/>
      <c r="F300" s="34"/>
      <c r="G300" s="34"/>
      <c r="H300" s="34"/>
      <c r="I300" s="34"/>
    </row>
    <row r="301">
      <c r="E301" s="34"/>
      <c r="F301" s="34"/>
      <c r="G301" s="34"/>
      <c r="H301" s="34"/>
      <c r="I301" s="34"/>
    </row>
    <row r="302">
      <c r="E302" s="34"/>
      <c r="F302" s="34"/>
      <c r="G302" s="34"/>
      <c r="H302" s="34"/>
      <c r="I302" s="34"/>
    </row>
    <row r="303">
      <c r="E303" s="34"/>
      <c r="F303" s="34"/>
      <c r="G303" s="34"/>
      <c r="H303" s="34"/>
      <c r="I303" s="34"/>
    </row>
    <row r="304">
      <c r="E304" s="34"/>
      <c r="F304" s="34"/>
      <c r="G304" s="34"/>
      <c r="H304" s="34"/>
      <c r="I304" s="34"/>
    </row>
    <row r="305">
      <c r="E305" s="34"/>
      <c r="F305" s="34"/>
      <c r="G305" s="34"/>
      <c r="H305" s="34"/>
      <c r="I305" s="34"/>
    </row>
    <row r="306">
      <c r="E306" s="34"/>
      <c r="F306" s="34"/>
      <c r="G306" s="34"/>
      <c r="H306" s="34"/>
      <c r="I306" s="34"/>
    </row>
    <row r="307">
      <c r="E307" s="34"/>
      <c r="F307" s="34"/>
      <c r="G307" s="34"/>
      <c r="H307" s="34"/>
      <c r="I307" s="34"/>
    </row>
    <row r="308">
      <c r="E308" s="34"/>
      <c r="F308" s="34"/>
      <c r="G308" s="34"/>
      <c r="H308" s="34"/>
      <c r="I308" s="34"/>
    </row>
    <row r="309">
      <c r="E309" s="34"/>
      <c r="F309" s="34"/>
      <c r="G309" s="34"/>
      <c r="H309" s="34"/>
      <c r="I309" s="34"/>
    </row>
    <row r="310">
      <c r="E310" s="34"/>
      <c r="F310" s="34"/>
      <c r="G310" s="34"/>
      <c r="H310" s="34"/>
      <c r="I310" s="34"/>
    </row>
    <row r="311">
      <c r="E311" s="34"/>
      <c r="F311" s="34"/>
      <c r="G311" s="34"/>
      <c r="H311" s="34"/>
      <c r="I311" s="34"/>
    </row>
    <row r="312">
      <c r="E312" s="34"/>
      <c r="F312" s="34"/>
      <c r="G312" s="34"/>
      <c r="H312" s="34"/>
      <c r="I312" s="34"/>
    </row>
    <row r="313">
      <c r="E313" s="34"/>
      <c r="F313" s="34"/>
      <c r="G313" s="34"/>
      <c r="H313" s="34"/>
      <c r="I313" s="34"/>
    </row>
    <row r="314">
      <c r="E314" s="34"/>
      <c r="F314" s="34"/>
      <c r="G314" s="34"/>
      <c r="H314" s="34"/>
      <c r="I314" s="34"/>
    </row>
    <row r="315">
      <c r="E315" s="34"/>
      <c r="F315" s="34"/>
      <c r="G315" s="34"/>
      <c r="H315" s="34"/>
      <c r="I315" s="34"/>
    </row>
    <row r="316">
      <c r="E316" s="34"/>
      <c r="F316" s="34"/>
      <c r="G316" s="34"/>
      <c r="H316" s="34"/>
      <c r="I316" s="34"/>
    </row>
    <row r="317">
      <c r="E317" s="34"/>
      <c r="F317" s="34"/>
      <c r="G317" s="34"/>
      <c r="H317" s="34"/>
      <c r="I317" s="34"/>
    </row>
    <row r="318">
      <c r="E318" s="34"/>
      <c r="F318" s="34"/>
      <c r="G318" s="34"/>
      <c r="H318" s="34"/>
      <c r="I318" s="34"/>
    </row>
    <row r="319">
      <c r="E319" s="34"/>
      <c r="F319" s="34"/>
      <c r="G319" s="34"/>
      <c r="H319" s="34"/>
      <c r="I319" s="34"/>
    </row>
    <row r="320">
      <c r="E320" s="34"/>
      <c r="F320" s="34"/>
      <c r="G320" s="34"/>
      <c r="H320" s="34"/>
      <c r="I320" s="34"/>
    </row>
    <row r="321">
      <c r="E321" s="34"/>
      <c r="F321" s="34"/>
      <c r="G321" s="34"/>
      <c r="H321" s="34"/>
      <c r="I321" s="34"/>
    </row>
    <row r="322">
      <c r="E322" s="34"/>
      <c r="F322" s="34"/>
      <c r="G322" s="34"/>
      <c r="H322" s="34"/>
      <c r="I322" s="34"/>
    </row>
    <row r="323">
      <c r="E323" s="34"/>
      <c r="F323" s="34"/>
      <c r="G323" s="34"/>
      <c r="H323" s="34"/>
      <c r="I323" s="34"/>
    </row>
    <row r="324">
      <c r="E324" s="34"/>
      <c r="F324" s="34"/>
      <c r="G324" s="34"/>
      <c r="H324" s="34"/>
      <c r="I324" s="34"/>
    </row>
    <row r="325">
      <c r="E325" s="34"/>
      <c r="F325" s="34"/>
      <c r="G325" s="34"/>
      <c r="H325" s="34"/>
      <c r="I325" s="34"/>
    </row>
    <row r="326">
      <c r="E326" s="34"/>
      <c r="F326" s="34"/>
      <c r="G326" s="34"/>
      <c r="H326" s="34"/>
      <c r="I326" s="34"/>
    </row>
    <row r="327">
      <c r="E327" s="34"/>
      <c r="F327" s="34"/>
      <c r="G327" s="34"/>
      <c r="H327" s="34"/>
      <c r="I327" s="34"/>
    </row>
    <row r="328">
      <c r="E328" s="34"/>
      <c r="F328" s="34"/>
      <c r="G328" s="34"/>
      <c r="H328" s="34"/>
      <c r="I328" s="34"/>
    </row>
    <row r="329">
      <c r="E329" s="34"/>
      <c r="F329" s="34"/>
      <c r="G329" s="34"/>
      <c r="H329" s="34"/>
      <c r="I329" s="34"/>
    </row>
    <row r="330">
      <c r="E330" s="34"/>
      <c r="F330" s="34"/>
      <c r="G330" s="34"/>
      <c r="H330" s="34"/>
      <c r="I330" s="34"/>
    </row>
    <row r="331">
      <c r="E331" s="34"/>
      <c r="F331" s="34"/>
      <c r="G331" s="34"/>
      <c r="H331" s="34"/>
      <c r="I331" s="34"/>
    </row>
    <row r="332">
      <c r="E332" s="34"/>
      <c r="F332" s="34"/>
      <c r="G332" s="34"/>
      <c r="H332" s="34"/>
      <c r="I332" s="34"/>
    </row>
    <row r="333">
      <c r="E333" s="34"/>
      <c r="F333" s="34"/>
      <c r="G333" s="34"/>
      <c r="H333" s="34"/>
      <c r="I333" s="34"/>
    </row>
    <row r="334">
      <c r="E334" s="34"/>
      <c r="F334" s="34"/>
      <c r="G334" s="34"/>
      <c r="H334" s="34"/>
      <c r="I334" s="34"/>
    </row>
    <row r="335">
      <c r="E335" s="34"/>
      <c r="F335" s="34"/>
      <c r="G335" s="34"/>
      <c r="H335" s="34"/>
      <c r="I335" s="34"/>
    </row>
    <row r="336">
      <c r="E336" s="34"/>
      <c r="F336" s="34"/>
      <c r="G336" s="34"/>
      <c r="H336" s="34"/>
      <c r="I336" s="34"/>
    </row>
    <row r="337">
      <c r="E337" s="34"/>
      <c r="F337" s="34"/>
      <c r="G337" s="34"/>
      <c r="H337" s="34"/>
      <c r="I337" s="34"/>
    </row>
    <row r="338">
      <c r="E338" s="34"/>
      <c r="F338" s="34"/>
      <c r="G338" s="34"/>
      <c r="H338" s="34"/>
      <c r="I338" s="34"/>
    </row>
    <row r="339">
      <c r="E339" s="34"/>
      <c r="F339" s="34"/>
      <c r="G339" s="34"/>
      <c r="H339" s="34"/>
      <c r="I339" s="34"/>
    </row>
    <row r="340">
      <c r="E340" s="34"/>
      <c r="F340" s="34"/>
      <c r="G340" s="34"/>
      <c r="H340" s="34"/>
      <c r="I340" s="34"/>
    </row>
    <row r="341">
      <c r="E341" s="34"/>
      <c r="F341" s="34"/>
      <c r="G341" s="34"/>
      <c r="H341" s="34"/>
      <c r="I341" s="34"/>
    </row>
    <row r="342">
      <c r="E342" s="34"/>
      <c r="F342" s="34"/>
      <c r="G342" s="34"/>
      <c r="H342" s="34"/>
      <c r="I342" s="34"/>
    </row>
    <row r="343">
      <c r="E343" s="34"/>
      <c r="F343" s="34"/>
      <c r="G343" s="34"/>
      <c r="H343" s="34"/>
      <c r="I343" s="34"/>
    </row>
    <row r="344">
      <c r="E344" s="34"/>
      <c r="F344" s="34"/>
      <c r="G344" s="34"/>
      <c r="H344" s="34"/>
      <c r="I344" s="34"/>
    </row>
    <row r="345">
      <c r="E345" s="34"/>
      <c r="F345" s="34"/>
      <c r="G345" s="34"/>
      <c r="H345" s="34"/>
      <c r="I345" s="34"/>
    </row>
    <row r="346">
      <c r="E346" s="34"/>
      <c r="F346" s="34"/>
      <c r="G346" s="34"/>
      <c r="H346" s="34"/>
      <c r="I346" s="34"/>
    </row>
    <row r="347">
      <c r="E347" s="34"/>
      <c r="F347" s="34"/>
      <c r="G347" s="34"/>
      <c r="H347" s="34"/>
      <c r="I347" s="34"/>
    </row>
    <row r="348">
      <c r="E348" s="34"/>
      <c r="F348" s="34"/>
      <c r="G348" s="34"/>
      <c r="H348" s="34"/>
      <c r="I348" s="34"/>
    </row>
    <row r="349">
      <c r="E349" s="34"/>
      <c r="F349" s="34"/>
      <c r="G349" s="34"/>
      <c r="H349" s="34"/>
      <c r="I349" s="34"/>
    </row>
    <row r="350">
      <c r="E350" s="34"/>
      <c r="F350" s="34"/>
      <c r="G350" s="34"/>
      <c r="H350" s="34"/>
      <c r="I350" s="34"/>
    </row>
    <row r="351">
      <c r="E351" s="34"/>
      <c r="F351" s="34"/>
      <c r="G351" s="34"/>
      <c r="H351" s="34"/>
      <c r="I351" s="34"/>
    </row>
    <row r="352">
      <c r="E352" s="34"/>
      <c r="F352" s="34"/>
      <c r="G352" s="34"/>
      <c r="H352" s="34"/>
      <c r="I352" s="34"/>
    </row>
    <row r="353">
      <c r="E353" s="34"/>
      <c r="F353" s="34"/>
      <c r="G353" s="34"/>
      <c r="H353" s="34"/>
      <c r="I353" s="34"/>
    </row>
    <row r="354">
      <c r="E354" s="34"/>
      <c r="F354" s="34"/>
      <c r="G354" s="34"/>
      <c r="H354" s="34"/>
      <c r="I354" s="34"/>
    </row>
    <row r="355">
      <c r="E355" s="34"/>
      <c r="F355" s="34"/>
      <c r="G355" s="34"/>
      <c r="H355" s="34"/>
      <c r="I355" s="34"/>
    </row>
    <row r="356">
      <c r="E356" s="34"/>
      <c r="F356" s="34"/>
      <c r="G356" s="34"/>
      <c r="H356" s="34"/>
      <c r="I356" s="34"/>
    </row>
    <row r="357">
      <c r="E357" s="34"/>
      <c r="F357" s="34"/>
      <c r="G357" s="34"/>
      <c r="H357" s="34"/>
      <c r="I357" s="34"/>
    </row>
    <row r="358">
      <c r="E358" s="34"/>
      <c r="F358" s="34"/>
      <c r="G358" s="34"/>
      <c r="H358" s="34"/>
      <c r="I358" s="34"/>
    </row>
    <row r="359">
      <c r="E359" s="34"/>
      <c r="F359" s="34"/>
      <c r="G359" s="34"/>
      <c r="H359" s="34"/>
      <c r="I359" s="34"/>
    </row>
    <row r="360">
      <c r="E360" s="34"/>
      <c r="F360" s="34"/>
      <c r="G360" s="34"/>
      <c r="H360" s="34"/>
      <c r="I360" s="34"/>
    </row>
    <row r="361">
      <c r="E361" s="34"/>
      <c r="F361" s="34"/>
      <c r="G361" s="34"/>
      <c r="H361" s="34"/>
      <c r="I361" s="34"/>
    </row>
    <row r="362">
      <c r="E362" s="34"/>
      <c r="F362" s="34"/>
      <c r="G362" s="34"/>
      <c r="H362" s="34"/>
      <c r="I362" s="34"/>
    </row>
    <row r="363">
      <c r="E363" s="34"/>
      <c r="F363" s="34"/>
      <c r="G363" s="34"/>
      <c r="H363" s="34"/>
      <c r="I363" s="34"/>
    </row>
    <row r="364">
      <c r="E364" s="34"/>
      <c r="F364" s="34"/>
      <c r="G364" s="34"/>
      <c r="H364" s="34"/>
      <c r="I364" s="34"/>
    </row>
    <row r="365">
      <c r="E365" s="34"/>
      <c r="F365" s="34"/>
      <c r="G365" s="34"/>
      <c r="H365" s="34"/>
      <c r="I365" s="34"/>
    </row>
    <row r="366">
      <c r="E366" s="34"/>
      <c r="F366" s="34"/>
      <c r="G366" s="34"/>
      <c r="H366" s="34"/>
      <c r="I366" s="34"/>
    </row>
    <row r="367">
      <c r="E367" s="34"/>
      <c r="F367" s="34"/>
      <c r="G367" s="34"/>
      <c r="H367" s="34"/>
      <c r="I367" s="34"/>
    </row>
    <row r="368">
      <c r="E368" s="34"/>
      <c r="F368" s="34"/>
      <c r="G368" s="34"/>
      <c r="H368" s="34"/>
      <c r="I368" s="34"/>
    </row>
    <row r="369">
      <c r="E369" s="34"/>
      <c r="F369" s="34"/>
      <c r="G369" s="34"/>
      <c r="H369" s="34"/>
      <c r="I369" s="34"/>
    </row>
    <row r="370">
      <c r="E370" s="34"/>
      <c r="F370" s="34"/>
      <c r="G370" s="34"/>
      <c r="H370" s="34"/>
      <c r="I370" s="34"/>
    </row>
    <row r="371">
      <c r="E371" s="34"/>
      <c r="F371" s="34"/>
      <c r="G371" s="34"/>
      <c r="H371" s="34"/>
      <c r="I371" s="34"/>
    </row>
    <row r="372">
      <c r="E372" s="34"/>
      <c r="F372" s="34"/>
      <c r="G372" s="34"/>
      <c r="H372" s="34"/>
      <c r="I372" s="34"/>
    </row>
    <row r="373">
      <c r="E373" s="34"/>
      <c r="F373" s="34"/>
      <c r="G373" s="34"/>
      <c r="H373" s="34"/>
      <c r="I373" s="34"/>
    </row>
    <row r="374">
      <c r="E374" s="34"/>
      <c r="F374" s="34"/>
      <c r="G374" s="34"/>
      <c r="H374" s="34"/>
      <c r="I374" s="34"/>
    </row>
    <row r="375">
      <c r="E375" s="34"/>
      <c r="F375" s="34"/>
      <c r="G375" s="34"/>
      <c r="H375" s="34"/>
      <c r="I375" s="34"/>
    </row>
    <row r="376">
      <c r="E376" s="34"/>
      <c r="F376" s="34"/>
      <c r="G376" s="34"/>
      <c r="H376" s="34"/>
      <c r="I376" s="34"/>
    </row>
    <row r="377">
      <c r="E377" s="34"/>
      <c r="F377" s="34"/>
      <c r="G377" s="34"/>
      <c r="H377" s="34"/>
      <c r="I377" s="34"/>
    </row>
    <row r="378">
      <c r="E378" s="34"/>
      <c r="F378" s="34"/>
      <c r="G378" s="34"/>
      <c r="H378" s="34"/>
      <c r="I378" s="34"/>
    </row>
    <row r="379">
      <c r="E379" s="34"/>
      <c r="F379" s="34"/>
      <c r="G379" s="34"/>
      <c r="H379" s="34"/>
      <c r="I379" s="34"/>
    </row>
    <row r="380">
      <c r="E380" s="34"/>
      <c r="F380" s="34"/>
      <c r="G380" s="34"/>
      <c r="H380" s="34"/>
      <c r="I380" s="34"/>
    </row>
    <row r="381">
      <c r="E381" s="34"/>
      <c r="F381" s="34"/>
      <c r="G381" s="34"/>
      <c r="H381" s="34"/>
      <c r="I381" s="34"/>
    </row>
    <row r="382">
      <c r="E382" s="34"/>
      <c r="F382" s="34"/>
      <c r="G382" s="34"/>
      <c r="H382" s="34"/>
      <c r="I382" s="34"/>
    </row>
    <row r="383">
      <c r="E383" s="34"/>
      <c r="F383" s="34"/>
      <c r="G383" s="34"/>
      <c r="H383" s="34"/>
      <c r="I383" s="34"/>
    </row>
    <row r="384">
      <c r="E384" s="34"/>
      <c r="F384" s="34"/>
      <c r="G384" s="34"/>
      <c r="H384" s="34"/>
      <c r="I384" s="34"/>
    </row>
    <row r="385">
      <c r="E385" s="34"/>
      <c r="F385" s="34"/>
      <c r="G385" s="34"/>
      <c r="H385" s="34"/>
      <c r="I385" s="34"/>
    </row>
    <row r="386">
      <c r="E386" s="34"/>
      <c r="F386" s="34"/>
      <c r="G386" s="34"/>
      <c r="H386" s="34"/>
      <c r="I386" s="34"/>
    </row>
    <row r="387">
      <c r="E387" s="34"/>
      <c r="F387" s="34"/>
      <c r="G387" s="34"/>
      <c r="H387" s="34"/>
      <c r="I387" s="34"/>
    </row>
    <row r="388">
      <c r="E388" s="34"/>
      <c r="F388" s="34"/>
      <c r="G388" s="34"/>
      <c r="H388" s="34"/>
      <c r="I388" s="34"/>
    </row>
    <row r="389">
      <c r="E389" s="34"/>
      <c r="F389" s="34"/>
      <c r="G389" s="34"/>
      <c r="H389" s="34"/>
      <c r="I389" s="34"/>
    </row>
    <row r="390">
      <c r="E390" s="34"/>
      <c r="F390" s="34"/>
      <c r="G390" s="34"/>
      <c r="H390" s="34"/>
      <c r="I390" s="34"/>
    </row>
    <row r="391">
      <c r="E391" s="34"/>
      <c r="F391" s="34"/>
      <c r="G391" s="34"/>
      <c r="H391" s="34"/>
      <c r="I391" s="34"/>
    </row>
    <row r="392">
      <c r="E392" s="34"/>
      <c r="F392" s="34"/>
      <c r="G392" s="34"/>
      <c r="H392" s="34"/>
      <c r="I392" s="34"/>
    </row>
    <row r="393">
      <c r="E393" s="34"/>
      <c r="F393" s="34"/>
      <c r="G393" s="34"/>
      <c r="H393" s="34"/>
      <c r="I393" s="34"/>
    </row>
    <row r="394">
      <c r="E394" s="34"/>
      <c r="F394" s="34"/>
      <c r="G394" s="34"/>
      <c r="H394" s="34"/>
      <c r="I394" s="34"/>
    </row>
    <row r="395">
      <c r="E395" s="34"/>
      <c r="F395" s="34"/>
      <c r="G395" s="34"/>
      <c r="H395" s="34"/>
      <c r="I395" s="34"/>
    </row>
    <row r="396">
      <c r="E396" s="34"/>
      <c r="F396" s="34"/>
      <c r="G396" s="34"/>
      <c r="H396" s="34"/>
      <c r="I396" s="34"/>
    </row>
    <row r="397">
      <c r="E397" s="34"/>
      <c r="F397" s="34"/>
      <c r="G397" s="34"/>
      <c r="H397" s="34"/>
      <c r="I397" s="34"/>
    </row>
    <row r="398">
      <c r="E398" s="34"/>
      <c r="F398" s="34"/>
      <c r="G398" s="34"/>
      <c r="H398" s="34"/>
      <c r="I398" s="34"/>
    </row>
    <row r="399">
      <c r="E399" s="34"/>
      <c r="F399" s="34"/>
      <c r="G399" s="34"/>
      <c r="H399" s="34"/>
      <c r="I399" s="34"/>
    </row>
    <row r="400">
      <c r="E400" s="34"/>
      <c r="F400" s="34"/>
      <c r="G400" s="34"/>
      <c r="H400" s="34"/>
      <c r="I400" s="34"/>
    </row>
    <row r="401">
      <c r="E401" s="34"/>
      <c r="F401" s="34"/>
      <c r="G401" s="34"/>
      <c r="H401" s="34"/>
      <c r="I401" s="34"/>
    </row>
    <row r="402">
      <c r="E402" s="34"/>
      <c r="F402" s="34"/>
      <c r="G402" s="34"/>
      <c r="H402" s="34"/>
      <c r="I402" s="34"/>
    </row>
    <row r="403">
      <c r="E403" s="34"/>
      <c r="F403" s="34"/>
      <c r="G403" s="34"/>
      <c r="H403" s="34"/>
      <c r="I403" s="34"/>
    </row>
    <row r="404">
      <c r="E404" s="34"/>
      <c r="F404" s="34"/>
      <c r="G404" s="34"/>
      <c r="H404" s="34"/>
      <c r="I404" s="34"/>
    </row>
    <row r="405">
      <c r="E405" s="34"/>
      <c r="F405" s="34"/>
      <c r="G405" s="34"/>
      <c r="H405" s="34"/>
      <c r="I405" s="34"/>
    </row>
    <row r="406">
      <c r="E406" s="34"/>
      <c r="F406" s="34"/>
      <c r="G406" s="34"/>
      <c r="H406" s="34"/>
      <c r="I406" s="34"/>
    </row>
    <row r="407">
      <c r="E407" s="34"/>
      <c r="F407" s="34"/>
      <c r="G407" s="34"/>
      <c r="H407" s="34"/>
      <c r="I407" s="34"/>
    </row>
    <row r="408">
      <c r="E408" s="34"/>
      <c r="F408" s="34"/>
      <c r="G408" s="34"/>
      <c r="H408" s="34"/>
      <c r="I408" s="34"/>
    </row>
    <row r="409">
      <c r="E409" s="34"/>
      <c r="F409" s="34"/>
      <c r="G409" s="34"/>
      <c r="H409" s="34"/>
      <c r="I409" s="34"/>
    </row>
    <row r="410">
      <c r="E410" s="34"/>
      <c r="F410" s="34"/>
      <c r="G410" s="34"/>
      <c r="H410" s="34"/>
      <c r="I410" s="34"/>
    </row>
    <row r="411">
      <c r="E411" s="34"/>
      <c r="F411" s="34"/>
      <c r="G411" s="34"/>
      <c r="H411" s="34"/>
      <c r="I411" s="34"/>
    </row>
    <row r="412">
      <c r="E412" s="34"/>
      <c r="F412" s="34"/>
      <c r="G412" s="34"/>
      <c r="H412" s="34"/>
      <c r="I412" s="34"/>
    </row>
    <row r="413">
      <c r="E413" s="34"/>
      <c r="F413" s="34"/>
      <c r="G413" s="34"/>
      <c r="H413" s="34"/>
      <c r="I413" s="34"/>
    </row>
    <row r="414">
      <c r="E414" s="34"/>
      <c r="F414" s="34"/>
      <c r="G414" s="34"/>
      <c r="H414" s="34"/>
      <c r="I414" s="34"/>
    </row>
    <row r="415">
      <c r="E415" s="34"/>
      <c r="F415" s="34"/>
      <c r="G415" s="34"/>
      <c r="H415" s="34"/>
      <c r="I415" s="34"/>
    </row>
    <row r="416">
      <c r="E416" s="34"/>
      <c r="F416" s="34"/>
      <c r="G416" s="34"/>
      <c r="H416" s="34"/>
      <c r="I416" s="34"/>
    </row>
    <row r="417">
      <c r="E417" s="34"/>
      <c r="F417" s="34"/>
      <c r="G417" s="34"/>
      <c r="H417" s="34"/>
      <c r="I417" s="34"/>
    </row>
    <row r="418">
      <c r="E418" s="34"/>
      <c r="F418" s="34"/>
      <c r="G418" s="34"/>
      <c r="H418" s="34"/>
      <c r="I418" s="34"/>
    </row>
    <row r="419">
      <c r="E419" s="34"/>
      <c r="F419" s="34"/>
      <c r="G419" s="34"/>
      <c r="H419" s="34"/>
      <c r="I419" s="34"/>
    </row>
    <row r="420">
      <c r="E420" s="34"/>
      <c r="F420" s="34"/>
      <c r="G420" s="34"/>
      <c r="H420" s="34"/>
      <c r="I420" s="34"/>
    </row>
    <row r="421">
      <c r="E421" s="34"/>
      <c r="F421" s="34"/>
      <c r="G421" s="34"/>
      <c r="H421" s="34"/>
      <c r="I421" s="34"/>
    </row>
    <row r="422">
      <c r="E422" s="34"/>
      <c r="F422" s="34"/>
      <c r="G422" s="34"/>
      <c r="H422" s="34"/>
      <c r="I422" s="34"/>
    </row>
    <row r="423">
      <c r="E423" s="34"/>
      <c r="F423" s="34"/>
      <c r="G423" s="34"/>
      <c r="H423" s="34"/>
      <c r="I423" s="34"/>
    </row>
    <row r="424">
      <c r="E424" s="34"/>
      <c r="F424" s="34"/>
      <c r="G424" s="34"/>
      <c r="H424" s="34"/>
      <c r="I424" s="34"/>
    </row>
    <row r="425">
      <c r="E425" s="34"/>
      <c r="F425" s="34"/>
      <c r="G425" s="34"/>
      <c r="H425" s="34"/>
      <c r="I425" s="34"/>
    </row>
    <row r="426">
      <c r="E426" s="34"/>
      <c r="F426" s="34"/>
      <c r="G426" s="34"/>
      <c r="H426" s="34"/>
      <c r="I426" s="34"/>
    </row>
    <row r="427">
      <c r="E427" s="34"/>
      <c r="F427" s="34"/>
      <c r="G427" s="34"/>
      <c r="H427" s="34"/>
      <c r="I427" s="34"/>
    </row>
    <row r="428">
      <c r="E428" s="34"/>
      <c r="F428" s="34"/>
      <c r="G428" s="34"/>
      <c r="H428" s="34"/>
      <c r="I428" s="34"/>
    </row>
    <row r="429">
      <c r="E429" s="34"/>
      <c r="F429" s="34"/>
      <c r="G429" s="34"/>
      <c r="H429" s="34"/>
      <c r="I429" s="34"/>
    </row>
    <row r="430">
      <c r="E430" s="34"/>
      <c r="F430" s="34"/>
      <c r="G430" s="34"/>
      <c r="H430" s="34"/>
      <c r="I430" s="34"/>
    </row>
    <row r="431">
      <c r="E431" s="34"/>
      <c r="F431" s="34"/>
      <c r="G431" s="34"/>
      <c r="H431" s="34"/>
      <c r="I431" s="34"/>
    </row>
    <row r="432">
      <c r="E432" s="34"/>
      <c r="F432" s="34"/>
      <c r="G432" s="34"/>
      <c r="H432" s="34"/>
      <c r="I432" s="34"/>
    </row>
    <row r="433">
      <c r="E433" s="34"/>
      <c r="F433" s="34"/>
      <c r="G433" s="34"/>
      <c r="H433" s="34"/>
      <c r="I433" s="34"/>
    </row>
    <row r="434">
      <c r="E434" s="34"/>
      <c r="F434" s="34"/>
      <c r="G434" s="34"/>
      <c r="H434" s="34"/>
      <c r="I434" s="34"/>
    </row>
    <row r="435">
      <c r="E435" s="34"/>
      <c r="F435" s="34"/>
      <c r="G435" s="34"/>
      <c r="H435" s="34"/>
      <c r="I435" s="34"/>
    </row>
    <row r="436">
      <c r="E436" s="34"/>
      <c r="F436" s="34"/>
      <c r="G436" s="34"/>
      <c r="H436" s="34"/>
      <c r="I436" s="34"/>
    </row>
    <row r="437">
      <c r="E437" s="34"/>
      <c r="F437" s="34"/>
      <c r="G437" s="34"/>
      <c r="H437" s="34"/>
      <c r="I437" s="34"/>
    </row>
    <row r="438">
      <c r="E438" s="34"/>
      <c r="F438" s="34"/>
      <c r="G438" s="34"/>
      <c r="H438" s="34"/>
      <c r="I438" s="34"/>
    </row>
    <row r="439">
      <c r="E439" s="34"/>
      <c r="F439" s="34"/>
      <c r="G439" s="34"/>
      <c r="H439" s="34"/>
      <c r="I439" s="34"/>
    </row>
    <row r="440">
      <c r="E440" s="34"/>
      <c r="F440" s="34"/>
      <c r="G440" s="34"/>
      <c r="H440" s="34"/>
      <c r="I440" s="34"/>
    </row>
    <row r="441">
      <c r="E441" s="34"/>
      <c r="F441" s="34"/>
      <c r="G441" s="34"/>
      <c r="H441" s="34"/>
      <c r="I441" s="34"/>
    </row>
    <row r="442">
      <c r="E442" s="34"/>
      <c r="F442" s="34"/>
      <c r="G442" s="34"/>
      <c r="H442" s="34"/>
      <c r="I442" s="34"/>
    </row>
    <row r="443">
      <c r="E443" s="34"/>
      <c r="F443" s="34"/>
      <c r="G443" s="34"/>
      <c r="H443" s="34"/>
      <c r="I443" s="34"/>
    </row>
    <row r="444">
      <c r="E444" s="34"/>
      <c r="F444" s="34"/>
      <c r="G444" s="34"/>
      <c r="H444" s="34"/>
      <c r="I444" s="34"/>
    </row>
    <row r="445">
      <c r="E445" s="34"/>
      <c r="F445" s="34"/>
      <c r="G445" s="34"/>
      <c r="H445" s="34"/>
      <c r="I445" s="34"/>
    </row>
    <row r="446">
      <c r="E446" s="34"/>
      <c r="F446" s="34"/>
      <c r="G446" s="34"/>
      <c r="H446" s="34"/>
      <c r="I446" s="34"/>
    </row>
    <row r="447">
      <c r="E447" s="34"/>
      <c r="F447" s="34"/>
      <c r="G447" s="34"/>
      <c r="H447" s="34"/>
      <c r="I447" s="34"/>
    </row>
    <row r="448">
      <c r="E448" s="34"/>
      <c r="F448" s="34"/>
      <c r="G448" s="34"/>
      <c r="H448" s="34"/>
      <c r="I448" s="34"/>
    </row>
    <row r="449">
      <c r="E449" s="34"/>
      <c r="F449" s="34"/>
      <c r="G449" s="34"/>
      <c r="H449" s="34"/>
      <c r="I449" s="34"/>
    </row>
    <row r="450">
      <c r="E450" s="34"/>
      <c r="F450" s="34"/>
      <c r="G450" s="34"/>
      <c r="H450" s="34"/>
      <c r="I450" s="34"/>
    </row>
    <row r="451">
      <c r="E451" s="34"/>
      <c r="F451" s="34"/>
      <c r="G451" s="34"/>
      <c r="H451" s="34"/>
      <c r="I451" s="34"/>
    </row>
    <row r="452">
      <c r="E452" s="34"/>
      <c r="F452" s="34"/>
      <c r="G452" s="34"/>
      <c r="H452" s="34"/>
      <c r="I452" s="34"/>
    </row>
    <row r="453">
      <c r="E453" s="34"/>
      <c r="F453" s="34"/>
      <c r="G453" s="34"/>
      <c r="H453" s="34"/>
      <c r="I453" s="34"/>
    </row>
    <row r="454">
      <c r="E454" s="34"/>
      <c r="F454" s="34"/>
      <c r="G454" s="34"/>
      <c r="H454" s="34"/>
      <c r="I454" s="34"/>
    </row>
    <row r="455">
      <c r="E455" s="34"/>
      <c r="F455" s="34"/>
      <c r="G455" s="34"/>
      <c r="H455" s="34"/>
      <c r="I455" s="34"/>
    </row>
    <row r="456">
      <c r="E456" s="34"/>
      <c r="F456" s="34"/>
      <c r="G456" s="34"/>
      <c r="H456" s="34"/>
      <c r="I456" s="34"/>
    </row>
    <row r="457">
      <c r="E457" s="34"/>
      <c r="F457" s="34"/>
      <c r="G457" s="34"/>
      <c r="H457" s="34"/>
      <c r="I457" s="34"/>
    </row>
    <row r="458">
      <c r="E458" s="34"/>
      <c r="F458" s="34"/>
      <c r="G458" s="34"/>
      <c r="H458" s="34"/>
      <c r="I458" s="34"/>
    </row>
    <row r="459">
      <c r="E459" s="34"/>
      <c r="F459" s="34"/>
      <c r="G459" s="34"/>
      <c r="H459" s="34"/>
      <c r="I459" s="34"/>
    </row>
    <row r="460">
      <c r="E460" s="34"/>
      <c r="F460" s="34"/>
      <c r="G460" s="34"/>
      <c r="H460" s="34"/>
      <c r="I460" s="34"/>
    </row>
    <row r="461">
      <c r="E461" s="34"/>
      <c r="F461" s="34"/>
      <c r="G461" s="34"/>
      <c r="H461" s="34"/>
      <c r="I461" s="34"/>
    </row>
    <row r="462">
      <c r="E462" s="34"/>
      <c r="F462" s="34"/>
      <c r="G462" s="34"/>
      <c r="H462" s="34"/>
      <c r="I462" s="34"/>
    </row>
    <row r="463">
      <c r="E463" s="34"/>
      <c r="F463" s="34"/>
      <c r="G463" s="34"/>
      <c r="H463" s="34"/>
      <c r="I463" s="34"/>
    </row>
    <row r="464">
      <c r="E464" s="34"/>
      <c r="F464" s="34"/>
      <c r="G464" s="34"/>
      <c r="H464" s="34"/>
      <c r="I464" s="34"/>
    </row>
    <row r="465">
      <c r="E465" s="34"/>
      <c r="F465" s="34"/>
      <c r="G465" s="34"/>
      <c r="H465" s="34"/>
      <c r="I465" s="34"/>
    </row>
    <row r="466">
      <c r="E466" s="34"/>
      <c r="F466" s="34"/>
      <c r="G466" s="34"/>
      <c r="H466" s="34"/>
      <c r="I466" s="34"/>
    </row>
    <row r="467">
      <c r="E467" s="34"/>
      <c r="F467" s="34"/>
      <c r="G467" s="34"/>
      <c r="H467" s="34"/>
      <c r="I467" s="34"/>
    </row>
    <row r="468">
      <c r="E468" s="34"/>
      <c r="F468" s="34"/>
      <c r="G468" s="34"/>
      <c r="H468" s="34"/>
      <c r="I468" s="34"/>
    </row>
    <row r="469">
      <c r="E469" s="34"/>
      <c r="F469" s="34"/>
      <c r="G469" s="34"/>
      <c r="H469" s="34"/>
      <c r="I469" s="34"/>
    </row>
    <row r="470">
      <c r="E470" s="34"/>
      <c r="F470" s="34"/>
      <c r="G470" s="34"/>
      <c r="H470" s="34"/>
      <c r="I470" s="34"/>
    </row>
    <row r="471">
      <c r="E471" s="34"/>
      <c r="F471" s="34"/>
      <c r="G471" s="34"/>
      <c r="H471" s="34"/>
      <c r="I471" s="34"/>
    </row>
    <row r="472">
      <c r="E472" s="34"/>
      <c r="F472" s="34"/>
      <c r="G472" s="34"/>
      <c r="H472" s="34"/>
      <c r="I472" s="34"/>
    </row>
    <row r="473">
      <c r="E473" s="34"/>
      <c r="F473" s="34"/>
      <c r="G473" s="34"/>
      <c r="H473" s="34"/>
      <c r="I473" s="34"/>
    </row>
    <row r="474">
      <c r="E474" s="34"/>
      <c r="F474" s="34"/>
      <c r="G474" s="34"/>
      <c r="H474" s="34"/>
      <c r="I474" s="34"/>
    </row>
    <row r="475">
      <c r="E475" s="34"/>
      <c r="F475" s="34"/>
      <c r="G475" s="34"/>
      <c r="H475" s="34"/>
      <c r="I475" s="34"/>
    </row>
    <row r="476">
      <c r="E476" s="34"/>
      <c r="F476" s="34"/>
      <c r="G476" s="34"/>
      <c r="H476" s="34"/>
      <c r="I476" s="34"/>
    </row>
    <row r="477">
      <c r="E477" s="34"/>
      <c r="F477" s="34"/>
      <c r="G477" s="34"/>
      <c r="H477" s="34"/>
      <c r="I477" s="34"/>
    </row>
    <row r="478">
      <c r="E478" s="34"/>
      <c r="F478" s="34"/>
      <c r="G478" s="34"/>
      <c r="H478" s="34"/>
      <c r="I478" s="34"/>
    </row>
    <row r="479">
      <c r="E479" s="34"/>
      <c r="F479" s="34"/>
      <c r="G479" s="34"/>
      <c r="H479" s="34"/>
      <c r="I479" s="34"/>
    </row>
    <row r="480">
      <c r="E480" s="34"/>
      <c r="F480" s="34"/>
      <c r="G480" s="34"/>
      <c r="H480" s="34"/>
      <c r="I480" s="34"/>
    </row>
    <row r="481">
      <c r="E481" s="34"/>
      <c r="F481" s="34"/>
      <c r="G481" s="34"/>
      <c r="H481" s="34"/>
      <c r="I481" s="34"/>
    </row>
    <row r="482">
      <c r="E482" s="34"/>
      <c r="F482" s="34"/>
      <c r="G482" s="34"/>
      <c r="H482" s="34"/>
      <c r="I482" s="34"/>
    </row>
    <row r="483">
      <c r="E483" s="34"/>
      <c r="F483" s="34"/>
      <c r="G483" s="34"/>
      <c r="H483" s="34"/>
      <c r="I483" s="34"/>
    </row>
    <row r="484">
      <c r="E484" s="34"/>
      <c r="F484" s="34"/>
      <c r="G484" s="34"/>
      <c r="H484" s="34"/>
      <c r="I484" s="34"/>
    </row>
    <row r="485">
      <c r="E485" s="34"/>
      <c r="F485" s="34"/>
      <c r="G485" s="34"/>
      <c r="H485" s="34"/>
      <c r="I485" s="34"/>
    </row>
    <row r="486">
      <c r="E486" s="34"/>
      <c r="F486" s="34"/>
      <c r="G486" s="34"/>
      <c r="H486" s="34"/>
      <c r="I486" s="34"/>
    </row>
    <row r="487">
      <c r="E487" s="34"/>
      <c r="F487" s="34"/>
      <c r="G487" s="34"/>
      <c r="H487" s="34"/>
      <c r="I487" s="34"/>
    </row>
    <row r="488">
      <c r="E488" s="34"/>
      <c r="F488" s="34"/>
      <c r="G488" s="34"/>
      <c r="H488" s="34"/>
      <c r="I488" s="34"/>
    </row>
    <row r="489">
      <c r="E489" s="34"/>
      <c r="F489" s="34"/>
      <c r="G489" s="34"/>
      <c r="H489" s="34"/>
      <c r="I489" s="34"/>
    </row>
    <row r="490">
      <c r="E490" s="34"/>
      <c r="F490" s="34"/>
      <c r="G490" s="34"/>
      <c r="H490" s="34"/>
      <c r="I490" s="34"/>
    </row>
    <row r="491">
      <c r="E491" s="34"/>
      <c r="F491" s="34"/>
      <c r="G491" s="34"/>
      <c r="H491" s="34"/>
      <c r="I491" s="34"/>
    </row>
    <row r="492">
      <c r="E492" s="34"/>
      <c r="F492" s="34"/>
      <c r="G492" s="34"/>
      <c r="H492" s="34"/>
      <c r="I492" s="34"/>
    </row>
    <row r="493">
      <c r="E493" s="34"/>
      <c r="F493" s="34"/>
      <c r="G493" s="34"/>
      <c r="H493" s="34"/>
      <c r="I493" s="34"/>
    </row>
    <row r="494">
      <c r="E494" s="34"/>
      <c r="F494" s="34"/>
      <c r="G494" s="34"/>
      <c r="H494" s="34"/>
      <c r="I494" s="34"/>
    </row>
    <row r="495">
      <c r="E495" s="34"/>
      <c r="F495" s="34"/>
      <c r="G495" s="34"/>
      <c r="H495" s="34"/>
      <c r="I495" s="34"/>
    </row>
    <row r="496">
      <c r="E496" s="34"/>
      <c r="F496" s="34"/>
      <c r="G496" s="34"/>
      <c r="H496" s="34"/>
      <c r="I496" s="34"/>
    </row>
    <row r="497">
      <c r="E497" s="34"/>
      <c r="F497" s="34"/>
      <c r="G497" s="34"/>
      <c r="H497" s="34"/>
      <c r="I497" s="34"/>
    </row>
    <row r="498">
      <c r="E498" s="34"/>
      <c r="F498" s="34"/>
      <c r="G498" s="34"/>
      <c r="H498" s="34"/>
      <c r="I498" s="34"/>
    </row>
    <row r="499">
      <c r="E499" s="34"/>
      <c r="F499" s="34"/>
      <c r="G499" s="34"/>
      <c r="H499" s="34"/>
      <c r="I499" s="34"/>
    </row>
    <row r="500">
      <c r="E500" s="34"/>
      <c r="F500" s="34"/>
      <c r="G500" s="34"/>
      <c r="H500" s="34"/>
      <c r="I500" s="34"/>
    </row>
    <row r="501">
      <c r="E501" s="34"/>
      <c r="F501" s="34"/>
      <c r="G501" s="34"/>
      <c r="H501" s="34"/>
      <c r="I501" s="34"/>
    </row>
    <row r="502">
      <c r="E502" s="34"/>
      <c r="F502" s="34"/>
      <c r="G502" s="34"/>
      <c r="H502" s="34"/>
      <c r="I502" s="34"/>
    </row>
    <row r="503">
      <c r="E503" s="34"/>
      <c r="F503" s="34"/>
      <c r="G503" s="34"/>
      <c r="H503" s="34"/>
      <c r="I503" s="34"/>
    </row>
    <row r="504">
      <c r="E504" s="34"/>
      <c r="F504" s="34"/>
      <c r="G504" s="34"/>
      <c r="H504" s="34"/>
      <c r="I504" s="34"/>
    </row>
    <row r="505">
      <c r="E505" s="34"/>
      <c r="F505" s="34"/>
      <c r="G505" s="34"/>
      <c r="H505" s="34"/>
      <c r="I505" s="34"/>
    </row>
    <row r="506">
      <c r="E506" s="34"/>
      <c r="F506" s="34"/>
      <c r="G506" s="34"/>
      <c r="H506" s="34"/>
      <c r="I506" s="34"/>
    </row>
    <row r="507">
      <c r="E507" s="34"/>
      <c r="F507" s="34"/>
      <c r="G507" s="34"/>
      <c r="H507" s="34"/>
      <c r="I507" s="34"/>
    </row>
    <row r="508">
      <c r="E508" s="34"/>
      <c r="F508" s="34"/>
      <c r="G508" s="34"/>
      <c r="H508" s="34"/>
      <c r="I508" s="34"/>
    </row>
    <row r="509">
      <c r="E509" s="34"/>
      <c r="F509" s="34"/>
      <c r="G509" s="34"/>
      <c r="H509" s="34"/>
      <c r="I509" s="34"/>
    </row>
    <row r="510">
      <c r="E510" s="34"/>
      <c r="F510" s="34"/>
      <c r="G510" s="34"/>
      <c r="H510" s="34"/>
      <c r="I510" s="34"/>
    </row>
    <row r="511">
      <c r="E511" s="34"/>
      <c r="F511" s="34"/>
      <c r="G511" s="34"/>
      <c r="H511" s="34"/>
      <c r="I511" s="34"/>
    </row>
    <row r="512">
      <c r="E512" s="34"/>
      <c r="F512" s="34"/>
      <c r="G512" s="34"/>
      <c r="H512" s="34"/>
      <c r="I512" s="34"/>
    </row>
    <row r="513">
      <c r="E513" s="34"/>
      <c r="F513" s="34"/>
      <c r="G513" s="34"/>
      <c r="H513" s="34"/>
      <c r="I513" s="34"/>
    </row>
    <row r="514">
      <c r="E514" s="34"/>
      <c r="F514" s="34"/>
      <c r="G514" s="34"/>
      <c r="H514" s="34"/>
      <c r="I514" s="34"/>
    </row>
    <row r="515">
      <c r="E515" s="34"/>
      <c r="F515" s="34"/>
      <c r="G515" s="34"/>
      <c r="H515" s="34"/>
      <c r="I515" s="34"/>
    </row>
    <row r="516">
      <c r="E516" s="34"/>
      <c r="F516" s="34"/>
      <c r="G516" s="34"/>
      <c r="H516" s="34"/>
      <c r="I516" s="34"/>
    </row>
    <row r="517">
      <c r="E517" s="34"/>
      <c r="F517" s="34"/>
      <c r="G517" s="34"/>
      <c r="H517" s="34"/>
      <c r="I517" s="34"/>
    </row>
    <row r="518">
      <c r="E518" s="34"/>
      <c r="F518" s="34"/>
      <c r="G518" s="34"/>
      <c r="H518" s="34"/>
      <c r="I518" s="34"/>
    </row>
    <row r="519">
      <c r="E519" s="34"/>
      <c r="F519" s="34"/>
      <c r="G519" s="34"/>
      <c r="H519" s="34"/>
      <c r="I519" s="34"/>
    </row>
    <row r="520">
      <c r="E520" s="34"/>
      <c r="F520" s="34"/>
      <c r="G520" s="34"/>
      <c r="H520" s="34"/>
      <c r="I520" s="34"/>
    </row>
    <row r="521">
      <c r="E521" s="34"/>
      <c r="F521" s="34"/>
      <c r="G521" s="34"/>
      <c r="H521" s="34"/>
      <c r="I521" s="34"/>
    </row>
    <row r="522">
      <c r="E522" s="34"/>
      <c r="F522" s="34"/>
      <c r="G522" s="34"/>
      <c r="H522" s="34"/>
      <c r="I522" s="34"/>
    </row>
    <row r="523">
      <c r="E523" s="34"/>
      <c r="F523" s="34"/>
      <c r="G523" s="34"/>
      <c r="H523" s="34"/>
      <c r="I523" s="34"/>
    </row>
    <row r="524">
      <c r="E524" s="34"/>
      <c r="F524" s="34"/>
      <c r="G524" s="34"/>
      <c r="H524" s="34"/>
      <c r="I524" s="34"/>
    </row>
    <row r="525">
      <c r="E525" s="34"/>
      <c r="F525" s="34"/>
      <c r="G525" s="34"/>
      <c r="H525" s="34"/>
      <c r="I525" s="34"/>
    </row>
    <row r="526">
      <c r="E526" s="34"/>
      <c r="F526" s="34"/>
      <c r="G526" s="34"/>
      <c r="H526" s="34"/>
      <c r="I526" s="34"/>
    </row>
    <row r="527">
      <c r="E527" s="34"/>
      <c r="F527" s="34"/>
      <c r="G527" s="34"/>
      <c r="H527" s="34"/>
      <c r="I527" s="34"/>
    </row>
    <row r="528">
      <c r="E528" s="34"/>
      <c r="F528" s="34"/>
      <c r="G528" s="34"/>
      <c r="H528" s="34"/>
      <c r="I528" s="34"/>
    </row>
    <row r="529">
      <c r="E529" s="34"/>
      <c r="F529" s="34"/>
      <c r="G529" s="34"/>
      <c r="H529" s="34"/>
      <c r="I529" s="34"/>
    </row>
    <row r="530">
      <c r="E530" s="34"/>
      <c r="F530" s="34"/>
      <c r="G530" s="34"/>
      <c r="H530" s="34"/>
      <c r="I530" s="34"/>
    </row>
    <row r="531">
      <c r="E531" s="34"/>
      <c r="F531" s="34"/>
      <c r="G531" s="34"/>
      <c r="H531" s="34"/>
      <c r="I531" s="34"/>
    </row>
    <row r="532">
      <c r="E532" s="34"/>
      <c r="F532" s="34"/>
      <c r="G532" s="34"/>
      <c r="H532" s="34"/>
      <c r="I532" s="34"/>
    </row>
    <row r="533">
      <c r="E533" s="34"/>
      <c r="F533" s="34"/>
      <c r="G533" s="34"/>
      <c r="H533" s="34"/>
      <c r="I533" s="34"/>
    </row>
    <row r="534">
      <c r="E534" s="34"/>
      <c r="F534" s="34"/>
      <c r="G534" s="34"/>
      <c r="H534" s="34"/>
      <c r="I534" s="34"/>
    </row>
    <row r="535">
      <c r="E535" s="34"/>
      <c r="F535" s="34"/>
      <c r="G535" s="34"/>
      <c r="H535" s="34"/>
      <c r="I535" s="34"/>
    </row>
    <row r="536">
      <c r="E536" s="34"/>
      <c r="F536" s="34"/>
      <c r="G536" s="34"/>
      <c r="H536" s="34"/>
      <c r="I536" s="34"/>
    </row>
    <row r="537">
      <c r="E537" s="34"/>
      <c r="F537" s="34"/>
      <c r="G537" s="34"/>
      <c r="H537" s="34"/>
      <c r="I537" s="34"/>
    </row>
    <row r="538">
      <c r="E538" s="34"/>
      <c r="F538" s="34"/>
      <c r="G538" s="34"/>
      <c r="H538" s="34"/>
      <c r="I538" s="34"/>
    </row>
    <row r="539">
      <c r="E539" s="34"/>
      <c r="F539" s="34"/>
      <c r="G539" s="34"/>
      <c r="H539" s="34"/>
      <c r="I539" s="34"/>
    </row>
    <row r="540">
      <c r="E540" s="34"/>
      <c r="F540" s="34"/>
      <c r="G540" s="34"/>
      <c r="H540" s="34"/>
      <c r="I540" s="34"/>
    </row>
    <row r="541">
      <c r="E541" s="34"/>
      <c r="F541" s="34"/>
      <c r="G541" s="34"/>
      <c r="H541" s="34"/>
      <c r="I541" s="34"/>
    </row>
    <row r="542">
      <c r="E542" s="34"/>
      <c r="F542" s="34"/>
      <c r="G542" s="34"/>
      <c r="H542" s="34"/>
      <c r="I542" s="34"/>
    </row>
    <row r="543">
      <c r="E543" s="34"/>
      <c r="F543" s="34"/>
      <c r="G543" s="34"/>
      <c r="H543" s="34"/>
      <c r="I543" s="34"/>
    </row>
    <row r="544">
      <c r="E544" s="34"/>
      <c r="F544" s="34"/>
      <c r="G544" s="34"/>
      <c r="H544" s="34"/>
      <c r="I544" s="34"/>
    </row>
    <row r="545">
      <c r="E545" s="34"/>
      <c r="F545" s="34"/>
      <c r="G545" s="34"/>
      <c r="H545" s="34"/>
      <c r="I545" s="34"/>
    </row>
    <row r="546">
      <c r="E546" s="34"/>
      <c r="F546" s="34"/>
      <c r="G546" s="34"/>
      <c r="H546" s="34"/>
      <c r="I546" s="34"/>
    </row>
    <row r="547">
      <c r="E547" s="34"/>
      <c r="F547" s="34"/>
      <c r="G547" s="34"/>
      <c r="H547" s="34"/>
      <c r="I547" s="34"/>
    </row>
    <row r="548">
      <c r="E548" s="34"/>
      <c r="F548" s="34"/>
      <c r="G548" s="34"/>
      <c r="H548" s="34"/>
      <c r="I548" s="34"/>
    </row>
    <row r="549">
      <c r="E549" s="34"/>
      <c r="F549" s="34"/>
      <c r="G549" s="34"/>
      <c r="H549" s="34"/>
      <c r="I549" s="34"/>
    </row>
    <row r="550">
      <c r="E550" s="34"/>
      <c r="F550" s="34"/>
      <c r="G550" s="34"/>
      <c r="H550" s="34"/>
      <c r="I550" s="34"/>
    </row>
    <row r="551">
      <c r="E551" s="34"/>
      <c r="F551" s="34"/>
      <c r="G551" s="34"/>
      <c r="H551" s="34"/>
      <c r="I551" s="34"/>
    </row>
    <row r="552">
      <c r="E552" s="34"/>
      <c r="F552" s="34"/>
      <c r="G552" s="34"/>
      <c r="H552" s="34"/>
      <c r="I552" s="34"/>
    </row>
    <row r="553">
      <c r="E553" s="34"/>
      <c r="F553" s="34"/>
      <c r="G553" s="34"/>
      <c r="H553" s="34"/>
      <c r="I553" s="34"/>
    </row>
    <row r="554">
      <c r="E554" s="34"/>
      <c r="F554" s="34"/>
      <c r="G554" s="34"/>
      <c r="H554" s="34"/>
      <c r="I554" s="34"/>
    </row>
    <row r="555">
      <c r="E555" s="34"/>
      <c r="F555" s="34"/>
      <c r="G555" s="34"/>
      <c r="H555" s="34"/>
      <c r="I555" s="34"/>
    </row>
    <row r="556">
      <c r="E556" s="34"/>
      <c r="F556" s="34"/>
      <c r="G556" s="34"/>
      <c r="H556" s="34"/>
      <c r="I556" s="34"/>
    </row>
    <row r="557">
      <c r="E557" s="34"/>
      <c r="F557" s="34"/>
      <c r="G557" s="34"/>
      <c r="H557" s="34"/>
      <c r="I557" s="34"/>
    </row>
    <row r="558">
      <c r="E558" s="34"/>
      <c r="F558" s="34"/>
      <c r="G558" s="34"/>
      <c r="H558" s="34"/>
      <c r="I558" s="34"/>
    </row>
    <row r="559">
      <c r="E559" s="34"/>
      <c r="F559" s="34"/>
      <c r="G559" s="34"/>
      <c r="H559" s="34"/>
      <c r="I559" s="34"/>
    </row>
    <row r="560">
      <c r="E560" s="34"/>
      <c r="F560" s="34"/>
      <c r="G560" s="34"/>
      <c r="H560" s="34"/>
      <c r="I560" s="34"/>
    </row>
    <row r="561">
      <c r="E561" s="34"/>
      <c r="F561" s="34"/>
      <c r="G561" s="34"/>
      <c r="H561" s="34"/>
      <c r="I561" s="34"/>
    </row>
    <row r="562">
      <c r="E562" s="34"/>
      <c r="F562" s="34"/>
      <c r="G562" s="34"/>
      <c r="H562" s="34"/>
      <c r="I562" s="34"/>
    </row>
    <row r="563">
      <c r="E563" s="34"/>
      <c r="F563" s="34"/>
      <c r="G563" s="34"/>
      <c r="H563" s="34"/>
      <c r="I563" s="34"/>
    </row>
    <row r="564">
      <c r="E564" s="34"/>
      <c r="F564" s="34"/>
      <c r="G564" s="34"/>
      <c r="H564" s="34"/>
      <c r="I564" s="34"/>
    </row>
    <row r="565">
      <c r="E565" s="34"/>
      <c r="F565" s="34"/>
      <c r="G565" s="34"/>
      <c r="H565" s="34"/>
      <c r="I565" s="34"/>
    </row>
    <row r="566">
      <c r="E566" s="34"/>
      <c r="F566" s="34"/>
      <c r="G566" s="34"/>
      <c r="H566" s="34"/>
      <c r="I566" s="34"/>
    </row>
    <row r="567">
      <c r="E567" s="34"/>
      <c r="F567" s="34"/>
      <c r="G567" s="34"/>
      <c r="H567" s="34"/>
      <c r="I567" s="34"/>
    </row>
    <row r="568">
      <c r="E568" s="34"/>
      <c r="F568" s="34"/>
      <c r="G568" s="34"/>
      <c r="H568" s="34"/>
      <c r="I568" s="34"/>
    </row>
    <row r="569">
      <c r="E569" s="34"/>
      <c r="F569" s="34"/>
      <c r="G569" s="34"/>
      <c r="H569" s="34"/>
      <c r="I569" s="34"/>
    </row>
    <row r="570">
      <c r="E570" s="34"/>
      <c r="F570" s="34"/>
      <c r="G570" s="34"/>
      <c r="H570" s="34"/>
      <c r="I570" s="34"/>
    </row>
    <row r="571">
      <c r="E571" s="34"/>
      <c r="F571" s="34"/>
      <c r="G571" s="34"/>
      <c r="H571" s="34"/>
      <c r="I571" s="34"/>
    </row>
    <row r="572">
      <c r="E572" s="34"/>
      <c r="F572" s="34"/>
      <c r="G572" s="34"/>
      <c r="H572" s="34"/>
      <c r="I572" s="34"/>
    </row>
    <row r="573">
      <c r="E573" s="34"/>
      <c r="F573" s="34"/>
      <c r="G573" s="34"/>
      <c r="H573" s="34"/>
      <c r="I573" s="34"/>
    </row>
    <row r="574">
      <c r="E574" s="34"/>
      <c r="F574" s="34"/>
      <c r="G574" s="34"/>
      <c r="H574" s="34"/>
      <c r="I574" s="34"/>
    </row>
    <row r="575">
      <c r="E575" s="34"/>
      <c r="F575" s="34"/>
      <c r="G575" s="34"/>
      <c r="H575" s="34"/>
      <c r="I575" s="34"/>
    </row>
    <row r="576">
      <c r="E576" s="34"/>
      <c r="F576" s="34"/>
      <c r="G576" s="34"/>
      <c r="H576" s="34"/>
      <c r="I576" s="34"/>
    </row>
    <row r="577">
      <c r="E577" s="34"/>
      <c r="F577" s="34"/>
      <c r="G577" s="34"/>
      <c r="H577" s="34"/>
      <c r="I577" s="34"/>
    </row>
    <row r="578">
      <c r="E578" s="34"/>
      <c r="F578" s="34"/>
      <c r="G578" s="34"/>
      <c r="H578" s="34"/>
      <c r="I578" s="34"/>
    </row>
    <row r="579">
      <c r="E579" s="34"/>
      <c r="F579" s="34"/>
      <c r="G579" s="34"/>
      <c r="H579" s="34"/>
      <c r="I579" s="34"/>
    </row>
    <row r="580">
      <c r="E580" s="34"/>
      <c r="F580" s="34"/>
      <c r="G580" s="34"/>
      <c r="H580" s="34"/>
      <c r="I580" s="34"/>
    </row>
    <row r="581">
      <c r="E581" s="34"/>
      <c r="F581" s="34"/>
      <c r="G581" s="34"/>
      <c r="H581" s="34"/>
      <c r="I581" s="34"/>
    </row>
    <row r="582">
      <c r="E582" s="34"/>
      <c r="F582" s="34"/>
      <c r="G582" s="34"/>
      <c r="H582" s="34"/>
      <c r="I582" s="34"/>
    </row>
    <row r="583">
      <c r="E583" s="34"/>
      <c r="F583" s="34"/>
      <c r="G583" s="34"/>
      <c r="H583" s="34"/>
      <c r="I583" s="34"/>
    </row>
    <row r="584">
      <c r="E584" s="34"/>
      <c r="F584" s="34"/>
      <c r="G584" s="34"/>
      <c r="H584" s="34"/>
      <c r="I584" s="34"/>
    </row>
    <row r="585">
      <c r="E585" s="34"/>
      <c r="F585" s="34"/>
      <c r="G585" s="34"/>
      <c r="H585" s="34"/>
      <c r="I585" s="34"/>
    </row>
    <row r="586">
      <c r="E586" s="34"/>
      <c r="F586" s="34"/>
      <c r="G586" s="34"/>
      <c r="H586" s="34"/>
      <c r="I586" s="34"/>
    </row>
    <row r="587">
      <c r="E587" s="34"/>
      <c r="F587" s="34"/>
      <c r="G587" s="34"/>
      <c r="H587" s="34"/>
      <c r="I587" s="34"/>
    </row>
    <row r="588">
      <c r="E588" s="34"/>
      <c r="F588" s="34"/>
      <c r="G588" s="34"/>
      <c r="H588" s="34"/>
      <c r="I588" s="34"/>
    </row>
    <row r="589">
      <c r="E589" s="34"/>
      <c r="F589" s="34"/>
      <c r="G589" s="34"/>
      <c r="H589" s="34"/>
      <c r="I589" s="34"/>
    </row>
    <row r="590">
      <c r="E590" s="34"/>
      <c r="F590" s="34"/>
      <c r="G590" s="34"/>
      <c r="H590" s="34"/>
      <c r="I590" s="34"/>
    </row>
    <row r="591">
      <c r="E591" s="34"/>
      <c r="F591" s="34"/>
      <c r="G591" s="34"/>
      <c r="H591" s="34"/>
      <c r="I591" s="34"/>
    </row>
    <row r="592">
      <c r="E592" s="34"/>
      <c r="F592" s="34"/>
      <c r="G592" s="34"/>
      <c r="H592" s="34"/>
      <c r="I592" s="34"/>
    </row>
    <row r="593">
      <c r="E593" s="34"/>
      <c r="F593" s="34"/>
      <c r="G593" s="34"/>
      <c r="H593" s="34"/>
      <c r="I593" s="34"/>
    </row>
    <row r="594">
      <c r="E594" s="34"/>
      <c r="F594" s="34"/>
      <c r="G594" s="34"/>
      <c r="H594" s="34"/>
      <c r="I594" s="34"/>
    </row>
    <row r="595">
      <c r="E595" s="34"/>
      <c r="F595" s="34"/>
      <c r="G595" s="34"/>
      <c r="H595" s="34"/>
      <c r="I595" s="34"/>
    </row>
    <row r="596">
      <c r="E596" s="34"/>
      <c r="F596" s="34"/>
      <c r="G596" s="34"/>
      <c r="H596" s="34"/>
      <c r="I596" s="34"/>
    </row>
    <row r="597">
      <c r="E597" s="34"/>
      <c r="F597" s="34"/>
      <c r="G597" s="34"/>
      <c r="H597" s="34"/>
      <c r="I597" s="34"/>
    </row>
    <row r="598">
      <c r="E598" s="34"/>
      <c r="F598" s="34"/>
      <c r="G598" s="34"/>
      <c r="H598" s="34"/>
      <c r="I598" s="34"/>
    </row>
    <row r="599">
      <c r="E599" s="34"/>
      <c r="F599" s="34"/>
      <c r="G599" s="34"/>
      <c r="H599" s="34"/>
      <c r="I599" s="34"/>
    </row>
    <row r="600">
      <c r="E600" s="34"/>
      <c r="F600" s="34"/>
      <c r="G600" s="34"/>
      <c r="H600" s="34"/>
      <c r="I600" s="34"/>
    </row>
    <row r="601">
      <c r="E601" s="34"/>
      <c r="F601" s="34"/>
      <c r="G601" s="34"/>
      <c r="H601" s="34"/>
      <c r="I601" s="34"/>
    </row>
    <row r="602">
      <c r="E602" s="34"/>
      <c r="F602" s="34"/>
      <c r="G602" s="34"/>
      <c r="H602" s="34"/>
      <c r="I602" s="34"/>
    </row>
    <row r="603">
      <c r="E603" s="34"/>
      <c r="F603" s="34"/>
      <c r="G603" s="34"/>
      <c r="H603" s="34"/>
      <c r="I603" s="34"/>
    </row>
    <row r="604">
      <c r="E604" s="34"/>
      <c r="F604" s="34"/>
      <c r="G604" s="34"/>
      <c r="H604" s="34"/>
      <c r="I604" s="34"/>
    </row>
    <row r="605">
      <c r="E605" s="34"/>
      <c r="F605" s="34"/>
      <c r="G605" s="34"/>
      <c r="H605" s="34"/>
      <c r="I605" s="34"/>
    </row>
    <row r="606">
      <c r="E606" s="34"/>
      <c r="F606" s="34"/>
      <c r="G606" s="34"/>
      <c r="H606" s="34"/>
      <c r="I606" s="34"/>
    </row>
    <row r="607">
      <c r="E607" s="34"/>
      <c r="F607" s="34"/>
      <c r="G607" s="34"/>
      <c r="H607" s="34"/>
      <c r="I607" s="34"/>
    </row>
    <row r="608">
      <c r="E608" s="34"/>
      <c r="F608" s="34"/>
      <c r="G608" s="34"/>
      <c r="H608" s="34"/>
      <c r="I608" s="34"/>
    </row>
    <row r="609">
      <c r="E609" s="34"/>
      <c r="F609" s="34"/>
      <c r="G609" s="34"/>
      <c r="H609" s="34"/>
      <c r="I609" s="34"/>
    </row>
    <row r="610">
      <c r="E610" s="34"/>
      <c r="F610" s="34"/>
      <c r="G610" s="34"/>
      <c r="H610" s="34"/>
      <c r="I610" s="34"/>
    </row>
    <row r="611">
      <c r="E611" s="34"/>
      <c r="F611" s="34"/>
      <c r="G611" s="34"/>
      <c r="H611" s="34"/>
      <c r="I611" s="34"/>
    </row>
    <row r="612">
      <c r="E612" s="34"/>
      <c r="F612" s="34"/>
      <c r="G612" s="34"/>
      <c r="H612" s="34"/>
      <c r="I612" s="34"/>
    </row>
    <row r="613">
      <c r="E613" s="34"/>
      <c r="F613" s="34"/>
      <c r="G613" s="34"/>
      <c r="H613" s="34"/>
      <c r="I613" s="34"/>
    </row>
    <row r="614">
      <c r="E614" s="34"/>
      <c r="F614" s="34"/>
      <c r="G614" s="34"/>
      <c r="H614" s="34"/>
      <c r="I614" s="34"/>
    </row>
    <row r="615">
      <c r="E615" s="34"/>
      <c r="F615" s="34"/>
      <c r="G615" s="34"/>
      <c r="H615" s="34"/>
      <c r="I615" s="34"/>
    </row>
    <row r="616">
      <c r="E616" s="34"/>
      <c r="F616" s="34"/>
      <c r="G616" s="34"/>
      <c r="H616" s="34"/>
      <c r="I616" s="34"/>
    </row>
    <row r="617">
      <c r="E617" s="34"/>
      <c r="F617" s="34"/>
      <c r="G617" s="34"/>
      <c r="H617" s="34"/>
      <c r="I617" s="34"/>
    </row>
    <row r="618">
      <c r="E618" s="34"/>
      <c r="F618" s="34"/>
      <c r="G618" s="34"/>
      <c r="H618" s="34"/>
      <c r="I618" s="34"/>
    </row>
    <row r="619">
      <c r="E619" s="34"/>
      <c r="F619" s="34"/>
      <c r="G619" s="34"/>
      <c r="H619" s="34"/>
      <c r="I619" s="34"/>
    </row>
    <row r="620">
      <c r="E620" s="34"/>
      <c r="F620" s="34"/>
      <c r="G620" s="34"/>
      <c r="H620" s="34"/>
      <c r="I620" s="34"/>
    </row>
    <row r="621">
      <c r="E621" s="34"/>
      <c r="F621" s="34"/>
      <c r="G621" s="34"/>
      <c r="H621" s="34"/>
      <c r="I621" s="34"/>
    </row>
    <row r="622">
      <c r="E622" s="34"/>
      <c r="F622" s="34"/>
      <c r="G622" s="34"/>
      <c r="H622" s="34"/>
      <c r="I622" s="34"/>
    </row>
    <row r="623">
      <c r="E623" s="34"/>
      <c r="F623" s="34"/>
      <c r="G623" s="34"/>
      <c r="H623" s="34"/>
      <c r="I623" s="34"/>
    </row>
    <row r="624">
      <c r="E624" s="34"/>
      <c r="F624" s="34"/>
      <c r="G624" s="34"/>
      <c r="H624" s="34"/>
      <c r="I624" s="34"/>
    </row>
    <row r="625">
      <c r="E625" s="34"/>
      <c r="F625" s="34"/>
      <c r="G625" s="34"/>
      <c r="H625" s="34"/>
      <c r="I625" s="34"/>
    </row>
    <row r="626">
      <c r="E626" s="34"/>
      <c r="F626" s="34"/>
      <c r="G626" s="34"/>
      <c r="H626" s="34"/>
      <c r="I626" s="34"/>
    </row>
    <row r="627">
      <c r="E627" s="34"/>
      <c r="F627" s="34"/>
      <c r="G627" s="34"/>
      <c r="H627" s="34"/>
      <c r="I627" s="34"/>
    </row>
    <row r="628">
      <c r="E628" s="34"/>
      <c r="F628" s="34"/>
      <c r="G628" s="34"/>
      <c r="H628" s="34"/>
      <c r="I628" s="34"/>
    </row>
    <row r="629">
      <c r="E629" s="34"/>
      <c r="F629" s="34"/>
      <c r="G629" s="34"/>
      <c r="H629" s="34"/>
      <c r="I629" s="34"/>
    </row>
    <row r="630">
      <c r="E630" s="34"/>
      <c r="F630" s="34"/>
      <c r="G630" s="34"/>
      <c r="H630" s="34"/>
      <c r="I630" s="34"/>
    </row>
    <row r="631">
      <c r="E631" s="34"/>
      <c r="F631" s="34"/>
      <c r="G631" s="34"/>
      <c r="H631" s="34"/>
      <c r="I631" s="34"/>
    </row>
    <row r="632">
      <c r="E632" s="34"/>
      <c r="F632" s="34"/>
      <c r="G632" s="34"/>
      <c r="H632" s="34"/>
      <c r="I632" s="34"/>
    </row>
    <row r="633">
      <c r="E633" s="34"/>
      <c r="F633" s="34"/>
      <c r="G633" s="34"/>
      <c r="H633" s="34"/>
      <c r="I633" s="34"/>
    </row>
    <row r="634">
      <c r="E634" s="34"/>
      <c r="F634" s="34"/>
      <c r="G634" s="34"/>
      <c r="H634" s="34"/>
      <c r="I634" s="34"/>
    </row>
    <row r="635">
      <c r="E635" s="34"/>
      <c r="F635" s="34"/>
      <c r="G635" s="34"/>
      <c r="H635" s="34"/>
      <c r="I635" s="34"/>
    </row>
    <row r="636">
      <c r="E636" s="34"/>
      <c r="F636" s="34"/>
      <c r="G636" s="34"/>
      <c r="H636" s="34"/>
      <c r="I636" s="34"/>
    </row>
    <row r="637">
      <c r="E637" s="34"/>
      <c r="F637" s="34"/>
      <c r="G637" s="34"/>
      <c r="H637" s="34"/>
      <c r="I637" s="34"/>
    </row>
    <row r="638">
      <c r="E638" s="34"/>
      <c r="F638" s="34"/>
      <c r="G638" s="34"/>
      <c r="H638" s="34"/>
      <c r="I638" s="34"/>
    </row>
    <row r="639">
      <c r="E639" s="34"/>
      <c r="F639" s="34"/>
      <c r="G639" s="34"/>
      <c r="H639" s="34"/>
      <c r="I639" s="34"/>
    </row>
    <row r="640">
      <c r="E640" s="34"/>
      <c r="F640" s="34"/>
      <c r="G640" s="34"/>
      <c r="H640" s="34"/>
      <c r="I640" s="34"/>
    </row>
    <row r="641">
      <c r="E641" s="34"/>
      <c r="F641" s="34"/>
      <c r="G641" s="34"/>
      <c r="H641" s="34"/>
      <c r="I641" s="34"/>
    </row>
    <row r="642">
      <c r="E642" s="34"/>
      <c r="F642" s="34"/>
      <c r="G642" s="34"/>
      <c r="H642" s="34"/>
      <c r="I642" s="34"/>
    </row>
    <row r="643">
      <c r="E643" s="34"/>
      <c r="F643" s="34"/>
      <c r="G643" s="34"/>
      <c r="H643" s="34"/>
      <c r="I643" s="34"/>
    </row>
    <row r="644">
      <c r="E644" s="34"/>
      <c r="F644" s="34"/>
      <c r="G644" s="34"/>
      <c r="H644" s="34"/>
      <c r="I644" s="34"/>
    </row>
    <row r="645">
      <c r="E645" s="34"/>
      <c r="F645" s="34"/>
      <c r="G645" s="34"/>
      <c r="H645" s="34"/>
      <c r="I645" s="34"/>
    </row>
    <row r="646">
      <c r="E646" s="34"/>
      <c r="F646" s="34"/>
      <c r="G646" s="34"/>
      <c r="H646" s="34"/>
      <c r="I646" s="34"/>
    </row>
    <row r="647">
      <c r="E647" s="34"/>
      <c r="F647" s="34"/>
      <c r="G647" s="34"/>
      <c r="H647" s="34"/>
      <c r="I647" s="34"/>
    </row>
    <row r="648">
      <c r="E648" s="34"/>
      <c r="F648" s="34"/>
      <c r="G648" s="34"/>
      <c r="H648" s="34"/>
      <c r="I648" s="34"/>
    </row>
    <row r="649">
      <c r="E649" s="34"/>
      <c r="F649" s="34"/>
      <c r="G649" s="34"/>
      <c r="H649" s="34"/>
      <c r="I649" s="34"/>
    </row>
    <row r="650">
      <c r="E650" s="34"/>
      <c r="F650" s="34"/>
      <c r="G650" s="34"/>
      <c r="H650" s="34"/>
      <c r="I650" s="34"/>
    </row>
    <row r="651">
      <c r="E651" s="34"/>
      <c r="F651" s="34"/>
      <c r="G651" s="34"/>
      <c r="H651" s="34"/>
      <c r="I651" s="34"/>
    </row>
    <row r="652">
      <c r="E652" s="34"/>
      <c r="F652" s="34"/>
      <c r="G652" s="34"/>
      <c r="H652" s="34"/>
      <c r="I652" s="34"/>
    </row>
    <row r="653">
      <c r="E653" s="34"/>
      <c r="F653" s="34"/>
      <c r="G653" s="34"/>
      <c r="H653" s="34"/>
      <c r="I653" s="34"/>
    </row>
    <row r="654">
      <c r="E654" s="34"/>
      <c r="F654" s="34"/>
      <c r="G654" s="34"/>
      <c r="H654" s="34"/>
      <c r="I654" s="34"/>
    </row>
    <row r="655">
      <c r="E655" s="34"/>
      <c r="F655" s="34"/>
      <c r="G655" s="34"/>
      <c r="H655" s="34"/>
      <c r="I655" s="34"/>
    </row>
    <row r="656">
      <c r="E656" s="34"/>
      <c r="F656" s="34"/>
      <c r="G656" s="34"/>
      <c r="H656" s="34"/>
      <c r="I656" s="34"/>
    </row>
    <row r="657">
      <c r="E657" s="34"/>
      <c r="F657" s="34"/>
      <c r="G657" s="34"/>
      <c r="H657" s="34"/>
      <c r="I657" s="34"/>
    </row>
    <row r="658">
      <c r="E658" s="34"/>
      <c r="F658" s="34"/>
      <c r="G658" s="34"/>
      <c r="H658" s="34"/>
      <c r="I658" s="34"/>
    </row>
    <row r="659">
      <c r="E659" s="34"/>
      <c r="F659" s="34"/>
      <c r="G659" s="34"/>
      <c r="H659" s="34"/>
      <c r="I659" s="34"/>
    </row>
    <row r="660">
      <c r="E660" s="34"/>
      <c r="F660" s="34"/>
      <c r="G660" s="34"/>
      <c r="H660" s="34"/>
      <c r="I660" s="34"/>
    </row>
    <row r="661">
      <c r="E661" s="34"/>
      <c r="F661" s="34"/>
      <c r="G661" s="34"/>
      <c r="H661" s="34"/>
      <c r="I661" s="34"/>
    </row>
    <row r="662">
      <c r="E662" s="34"/>
      <c r="F662" s="34"/>
      <c r="G662" s="34"/>
      <c r="H662" s="34"/>
      <c r="I662" s="34"/>
    </row>
    <row r="663">
      <c r="E663" s="34"/>
      <c r="F663" s="34"/>
      <c r="G663" s="34"/>
      <c r="H663" s="34"/>
      <c r="I663" s="34"/>
    </row>
    <row r="664">
      <c r="E664" s="34"/>
      <c r="F664" s="34"/>
      <c r="G664" s="34"/>
      <c r="H664" s="34"/>
      <c r="I664" s="34"/>
    </row>
    <row r="665">
      <c r="E665" s="34"/>
      <c r="F665" s="34"/>
      <c r="G665" s="34"/>
      <c r="H665" s="34"/>
      <c r="I665" s="34"/>
    </row>
    <row r="666">
      <c r="E666" s="34"/>
      <c r="F666" s="34"/>
      <c r="G666" s="34"/>
      <c r="H666" s="34"/>
      <c r="I666" s="34"/>
    </row>
    <row r="667">
      <c r="E667" s="34"/>
      <c r="F667" s="34"/>
      <c r="G667" s="34"/>
      <c r="H667" s="34"/>
      <c r="I667" s="34"/>
    </row>
    <row r="668">
      <c r="E668" s="34"/>
      <c r="F668" s="34"/>
      <c r="G668" s="34"/>
      <c r="H668" s="34"/>
      <c r="I668" s="34"/>
    </row>
    <row r="669">
      <c r="E669" s="34"/>
      <c r="F669" s="34"/>
      <c r="G669" s="34"/>
      <c r="H669" s="34"/>
      <c r="I669" s="34"/>
    </row>
    <row r="670">
      <c r="E670" s="34"/>
      <c r="F670" s="34"/>
      <c r="G670" s="34"/>
      <c r="H670" s="34"/>
      <c r="I670" s="34"/>
    </row>
    <row r="671">
      <c r="E671" s="34"/>
      <c r="F671" s="34"/>
      <c r="G671" s="34"/>
      <c r="H671" s="34"/>
      <c r="I671" s="34"/>
    </row>
    <row r="672">
      <c r="E672" s="34"/>
      <c r="F672" s="34"/>
      <c r="G672" s="34"/>
      <c r="H672" s="34"/>
      <c r="I672" s="34"/>
    </row>
    <row r="673">
      <c r="E673" s="34"/>
      <c r="F673" s="34"/>
      <c r="G673" s="34"/>
      <c r="H673" s="34"/>
      <c r="I673" s="34"/>
    </row>
    <row r="674">
      <c r="E674" s="34"/>
      <c r="F674" s="34"/>
      <c r="G674" s="34"/>
      <c r="H674" s="34"/>
      <c r="I674" s="34"/>
    </row>
    <row r="675">
      <c r="E675" s="34"/>
      <c r="F675" s="34"/>
      <c r="G675" s="34"/>
      <c r="H675" s="34"/>
      <c r="I675" s="34"/>
    </row>
    <row r="676">
      <c r="E676" s="34"/>
      <c r="F676" s="34"/>
      <c r="G676" s="34"/>
      <c r="H676" s="34"/>
      <c r="I676" s="34"/>
    </row>
    <row r="677">
      <c r="E677" s="34"/>
      <c r="F677" s="34"/>
      <c r="G677" s="34"/>
      <c r="H677" s="34"/>
      <c r="I677" s="34"/>
    </row>
    <row r="678">
      <c r="E678" s="34"/>
      <c r="F678" s="34"/>
      <c r="G678" s="34"/>
      <c r="H678" s="34"/>
      <c r="I678" s="34"/>
    </row>
    <row r="679">
      <c r="E679" s="34"/>
      <c r="F679" s="34"/>
      <c r="G679" s="34"/>
      <c r="H679" s="34"/>
      <c r="I679" s="34"/>
    </row>
    <row r="680">
      <c r="E680" s="34"/>
      <c r="F680" s="34"/>
      <c r="G680" s="34"/>
      <c r="H680" s="34"/>
      <c r="I680" s="34"/>
    </row>
    <row r="681">
      <c r="E681" s="34"/>
      <c r="F681" s="34"/>
      <c r="G681" s="34"/>
      <c r="H681" s="34"/>
      <c r="I681" s="34"/>
    </row>
    <row r="682">
      <c r="E682" s="34"/>
      <c r="F682" s="34"/>
      <c r="G682" s="34"/>
      <c r="H682" s="34"/>
      <c r="I682" s="34"/>
    </row>
    <row r="683">
      <c r="E683" s="34"/>
      <c r="F683" s="34"/>
      <c r="G683" s="34"/>
      <c r="H683" s="34"/>
      <c r="I683" s="34"/>
    </row>
    <row r="684">
      <c r="E684" s="34"/>
      <c r="F684" s="34"/>
      <c r="G684" s="34"/>
      <c r="H684" s="34"/>
      <c r="I684" s="34"/>
    </row>
    <row r="685">
      <c r="E685" s="34"/>
      <c r="F685" s="34"/>
      <c r="G685" s="34"/>
      <c r="H685" s="34"/>
      <c r="I685" s="34"/>
    </row>
    <row r="686">
      <c r="E686" s="34"/>
      <c r="F686" s="34"/>
      <c r="G686" s="34"/>
      <c r="H686" s="34"/>
      <c r="I686" s="34"/>
    </row>
    <row r="687">
      <c r="E687" s="34"/>
      <c r="F687" s="34"/>
      <c r="G687" s="34"/>
      <c r="H687" s="34"/>
      <c r="I687" s="34"/>
    </row>
    <row r="688">
      <c r="E688" s="34"/>
      <c r="F688" s="34"/>
      <c r="G688" s="34"/>
      <c r="H688" s="34"/>
      <c r="I688" s="34"/>
    </row>
    <row r="689">
      <c r="E689" s="34"/>
      <c r="F689" s="34"/>
      <c r="G689" s="34"/>
      <c r="H689" s="34"/>
      <c r="I689" s="34"/>
    </row>
    <row r="690">
      <c r="E690" s="34"/>
      <c r="F690" s="34"/>
      <c r="G690" s="34"/>
      <c r="H690" s="34"/>
      <c r="I690" s="34"/>
    </row>
    <row r="691">
      <c r="E691" s="34"/>
      <c r="F691" s="34"/>
      <c r="G691" s="34"/>
      <c r="H691" s="34"/>
      <c r="I691" s="34"/>
    </row>
    <row r="692">
      <c r="E692" s="34"/>
      <c r="F692" s="34"/>
      <c r="G692" s="34"/>
      <c r="H692" s="34"/>
      <c r="I692" s="34"/>
    </row>
    <row r="693">
      <c r="E693" s="34"/>
      <c r="F693" s="34"/>
      <c r="G693" s="34"/>
      <c r="H693" s="34"/>
      <c r="I693" s="34"/>
    </row>
    <row r="694">
      <c r="E694" s="34"/>
      <c r="F694" s="34"/>
      <c r="G694" s="34"/>
      <c r="H694" s="34"/>
      <c r="I694" s="34"/>
    </row>
    <row r="695">
      <c r="E695" s="34"/>
      <c r="F695" s="34"/>
      <c r="G695" s="34"/>
      <c r="H695" s="34"/>
      <c r="I695" s="34"/>
    </row>
    <row r="696">
      <c r="E696" s="34"/>
      <c r="F696" s="34"/>
      <c r="G696" s="34"/>
      <c r="H696" s="34"/>
      <c r="I696" s="34"/>
    </row>
    <row r="697">
      <c r="E697" s="34"/>
      <c r="F697" s="34"/>
      <c r="G697" s="34"/>
      <c r="H697" s="34"/>
      <c r="I697" s="34"/>
    </row>
    <row r="698">
      <c r="E698" s="34"/>
      <c r="F698" s="34"/>
      <c r="G698" s="34"/>
      <c r="H698" s="34"/>
      <c r="I698" s="34"/>
    </row>
    <row r="699">
      <c r="E699" s="34"/>
      <c r="F699" s="34"/>
      <c r="G699" s="34"/>
      <c r="H699" s="34"/>
      <c r="I699" s="34"/>
    </row>
    <row r="700">
      <c r="E700" s="34"/>
      <c r="F700" s="34"/>
      <c r="G700" s="34"/>
      <c r="H700" s="34"/>
      <c r="I700" s="34"/>
    </row>
    <row r="701">
      <c r="E701" s="34"/>
      <c r="F701" s="34"/>
      <c r="G701" s="34"/>
      <c r="H701" s="34"/>
      <c r="I701" s="34"/>
    </row>
    <row r="702">
      <c r="E702" s="34"/>
      <c r="F702" s="34"/>
      <c r="G702" s="34"/>
      <c r="H702" s="34"/>
      <c r="I702" s="34"/>
    </row>
    <row r="703">
      <c r="E703" s="34"/>
      <c r="F703" s="34"/>
      <c r="G703" s="34"/>
      <c r="H703" s="34"/>
      <c r="I703" s="34"/>
    </row>
    <row r="704">
      <c r="E704" s="34"/>
      <c r="F704" s="34"/>
      <c r="G704" s="34"/>
      <c r="H704" s="34"/>
      <c r="I704" s="34"/>
    </row>
    <row r="705">
      <c r="E705" s="34"/>
      <c r="F705" s="34"/>
      <c r="G705" s="34"/>
      <c r="H705" s="34"/>
      <c r="I705" s="34"/>
    </row>
    <row r="706">
      <c r="E706" s="34"/>
      <c r="F706" s="34"/>
      <c r="G706" s="34"/>
      <c r="H706" s="34"/>
      <c r="I706" s="34"/>
    </row>
    <row r="707">
      <c r="E707" s="34"/>
      <c r="F707" s="34"/>
      <c r="G707" s="34"/>
      <c r="H707" s="34"/>
      <c r="I707" s="34"/>
    </row>
    <row r="708">
      <c r="E708" s="34"/>
      <c r="F708" s="34"/>
      <c r="G708" s="34"/>
      <c r="H708" s="34"/>
      <c r="I708" s="34"/>
    </row>
    <row r="709">
      <c r="E709" s="34"/>
      <c r="F709" s="34"/>
      <c r="G709" s="34"/>
      <c r="H709" s="34"/>
      <c r="I709" s="34"/>
    </row>
    <row r="710">
      <c r="E710" s="34"/>
      <c r="F710" s="34"/>
      <c r="G710" s="34"/>
      <c r="H710" s="34"/>
      <c r="I710" s="34"/>
    </row>
    <row r="711">
      <c r="E711" s="34"/>
      <c r="F711" s="34"/>
      <c r="G711" s="34"/>
      <c r="H711" s="34"/>
      <c r="I711" s="34"/>
    </row>
    <row r="712">
      <c r="E712" s="34"/>
      <c r="F712" s="34"/>
      <c r="G712" s="34"/>
      <c r="H712" s="34"/>
      <c r="I712" s="34"/>
    </row>
    <row r="713">
      <c r="E713" s="34"/>
      <c r="F713" s="34"/>
      <c r="G713" s="34"/>
      <c r="H713" s="34"/>
      <c r="I713" s="34"/>
    </row>
    <row r="714">
      <c r="E714" s="34"/>
      <c r="F714" s="34"/>
      <c r="G714" s="34"/>
      <c r="H714" s="34"/>
      <c r="I714" s="34"/>
    </row>
    <row r="715">
      <c r="E715" s="34"/>
      <c r="F715" s="34"/>
      <c r="G715" s="34"/>
      <c r="H715" s="34"/>
      <c r="I715" s="34"/>
    </row>
    <row r="716">
      <c r="E716" s="34"/>
      <c r="F716" s="34"/>
      <c r="G716" s="34"/>
      <c r="H716" s="34"/>
      <c r="I716" s="34"/>
    </row>
    <row r="717">
      <c r="E717" s="34"/>
      <c r="F717" s="34"/>
      <c r="G717" s="34"/>
      <c r="H717" s="34"/>
      <c r="I717" s="34"/>
    </row>
    <row r="718">
      <c r="E718" s="34"/>
      <c r="F718" s="34"/>
      <c r="G718" s="34"/>
      <c r="H718" s="34"/>
      <c r="I718" s="34"/>
    </row>
    <row r="719">
      <c r="E719" s="34"/>
      <c r="F719" s="34"/>
      <c r="G719" s="34"/>
      <c r="H719" s="34"/>
      <c r="I719" s="34"/>
    </row>
    <row r="720">
      <c r="E720" s="34"/>
      <c r="F720" s="34"/>
      <c r="G720" s="34"/>
      <c r="H720" s="34"/>
      <c r="I720" s="34"/>
    </row>
    <row r="721">
      <c r="E721" s="34"/>
      <c r="F721" s="34"/>
      <c r="G721" s="34"/>
      <c r="H721" s="34"/>
      <c r="I721" s="34"/>
    </row>
    <row r="722">
      <c r="E722" s="34"/>
      <c r="F722" s="34"/>
      <c r="G722" s="34"/>
      <c r="H722" s="34"/>
      <c r="I722" s="34"/>
    </row>
    <row r="723">
      <c r="E723" s="34"/>
      <c r="F723" s="34"/>
      <c r="G723" s="34"/>
      <c r="H723" s="34"/>
      <c r="I723" s="34"/>
    </row>
    <row r="724">
      <c r="E724" s="34"/>
      <c r="F724" s="34"/>
      <c r="G724" s="34"/>
      <c r="H724" s="34"/>
      <c r="I724" s="34"/>
    </row>
    <row r="725">
      <c r="E725" s="34"/>
      <c r="F725" s="34"/>
      <c r="G725" s="34"/>
      <c r="H725" s="34"/>
      <c r="I725" s="34"/>
    </row>
    <row r="726">
      <c r="E726" s="34"/>
      <c r="F726" s="34"/>
      <c r="G726" s="34"/>
      <c r="H726" s="34"/>
      <c r="I726" s="34"/>
    </row>
    <row r="727">
      <c r="E727" s="34"/>
      <c r="F727" s="34"/>
      <c r="G727" s="34"/>
      <c r="H727" s="34"/>
      <c r="I727" s="34"/>
    </row>
    <row r="728">
      <c r="E728" s="34"/>
      <c r="F728" s="34"/>
      <c r="G728" s="34"/>
      <c r="H728" s="34"/>
      <c r="I728" s="34"/>
    </row>
    <row r="729">
      <c r="E729" s="34"/>
      <c r="F729" s="34"/>
      <c r="G729" s="34"/>
      <c r="H729" s="34"/>
      <c r="I729" s="34"/>
    </row>
    <row r="730">
      <c r="E730" s="34"/>
      <c r="F730" s="34"/>
      <c r="G730" s="34"/>
      <c r="H730" s="34"/>
      <c r="I730" s="34"/>
    </row>
    <row r="731">
      <c r="E731" s="34"/>
      <c r="F731" s="34"/>
      <c r="G731" s="34"/>
      <c r="H731" s="34"/>
      <c r="I731" s="34"/>
    </row>
    <row r="732">
      <c r="E732" s="34"/>
      <c r="F732" s="34"/>
      <c r="G732" s="34"/>
      <c r="H732" s="34"/>
      <c r="I732" s="34"/>
    </row>
    <row r="733">
      <c r="E733" s="34"/>
      <c r="F733" s="34"/>
      <c r="G733" s="34"/>
      <c r="H733" s="34"/>
      <c r="I733" s="34"/>
    </row>
    <row r="734">
      <c r="E734" s="34"/>
      <c r="F734" s="34"/>
      <c r="G734" s="34"/>
      <c r="H734" s="34"/>
      <c r="I734" s="34"/>
    </row>
    <row r="735">
      <c r="E735" s="34"/>
      <c r="F735" s="34"/>
      <c r="G735" s="34"/>
      <c r="H735" s="34"/>
      <c r="I735" s="34"/>
    </row>
    <row r="736">
      <c r="E736" s="34"/>
      <c r="F736" s="34"/>
      <c r="G736" s="34"/>
      <c r="H736" s="34"/>
      <c r="I736" s="34"/>
    </row>
    <row r="737">
      <c r="E737" s="34"/>
      <c r="F737" s="34"/>
      <c r="G737" s="34"/>
      <c r="H737" s="34"/>
      <c r="I737" s="34"/>
    </row>
    <row r="738">
      <c r="E738" s="34"/>
      <c r="F738" s="34"/>
      <c r="G738" s="34"/>
      <c r="H738" s="34"/>
      <c r="I738" s="34"/>
    </row>
    <row r="739">
      <c r="E739" s="34"/>
      <c r="F739" s="34"/>
      <c r="G739" s="34"/>
      <c r="H739" s="34"/>
      <c r="I739" s="34"/>
    </row>
    <row r="740">
      <c r="E740" s="34"/>
      <c r="F740" s="34"/>
      <c r="G740" s="34"/>
      <c r="H740" s="34"/>
      <c r="I740" s="34"/>
    </row>
    <row r="741">
      <c r="E741" s="34"/>
      <c r="F741" s="34"/>
      <c r="G741" s="34"/>
      <c r="H741" s="34"/>
      <c r="I741" s="34"/>
    </row>
    <row r="742">
      <c r="E742" s="34"/>
      <c r="F742" s="34"/>
      <c r="G742" s="34"/>
      <c r="H742" s="34"/>
      <c r="I742" s="34"/>
    </row>
    <row r="743">
      <c r="E743" s="34"/>
      <c r="F743" s="34"/>
      <c r="G743" s="34"/>
      <c r="H743" s="34"/>
      <c r="I743" s="34"/>
    </row>
    <row r="744">
      <c r="E744" s="34"/>
      <c r="F744" s="34"/>
      <c r="G744" s="34"/>
      <c r="H744" s="34"/>
      <c r="I744" s="34"/>
    </row>
    <row r="745">
      <c r="E745" s="34"/>
      <c r="F745" s="34"/>
      <c r="G745" s="34"/>
      <c r="H745" s="34"/>
      <c r="I745" s="34"/>
    </row>
    <row r="746">
      <c r="E746" s="34"/>
      <c r="F746" s="34"/>
      <c r="G746" s="34"/>
      <c r="H746" s="34"/>
      <c r="I746" s="34"/>
    </row>
    <row r="747">
      <c r="E747" s="34"/>
      <c r="F747" s="34"/>
      <c r="G747" s="34"/>
      <c r="H747" s="34"/>
      <c r="I747" s="34"/>
    </row>
    <row r="748">
      <c r="E748" s="34"/>
      <c r="F748" s="34"/>
      <c r="G748" s="34"/>
      <c r="H748" s="34"/>
      <c r="I748" s="34"/>
    </row>
    <row r="749">
      <c r="E749" s="34"/>
      <c r="F749" s="34"/>
      <c r="G749" s="34"/>
      <c r="H749" s="34"/>
      <c r="I749" s="34"/>
    </row>
    <row r="750">
      <c r="E750" s="34"/>
      <c r="F750" s="34"/>
      <c r="G750" s="34"/>
      <c r="H750" s="34"/>
      <c r="I750" s="34"/>
    </row>
    <row r="751">
      <c r="E751" s="34"/>
      <c r="F751" s="34"/>
      <c r="G751" s="34"/>
      <c r="H751" s="34"/>
      <c r="I751" s="34"/>
    </row>
    <row r="752">
      <c r="E752" s="34"/>
      <c r="F752" s="34"/>
      <c r="G752" s="34"/>
      <c r="H752" s="34"/>
      <c r="I752" s="34"/>
    </row>
    <row r="753">
      <c r="E753" s="34"/>
      <c r="F753" s="34"/>
      <c r="G753" s="34"/>
      <c r="H753" s="34"/>
      <c r="I753" s="34"/>
    </row>
    <row r="754">
      <c r="E754" s="34"/>
      <c r="F754" s="34"/>
      <c r="G754" s="34"/>
      <c r="H754" s="34"/>
      <c r="I754" s="34"/>
    </row>
    <row r="755">
      <c r="E755" s="34"/>
      <c r="F755" s="34"/>
      <c r="G755" s="34"/>
      <c r="H755" s="34"/>
      <c r="I755" s="34"/>
    </row>
    <row r="756">
      <c r="E756" s="34"/>
      <c r="F756" s="34"/>
      <c r="G756" s="34"/>
      <c r="H756" s="34"/>
      <c r="I756" s="34"/>
    </row>
    <row r="757">
      <c r="E757" s="34"/>
      <c r="F757" s="34"/>
      <c r="G757" s="34"/>
      <c r="H757" s="34"/>
      <c r="I757" s="34"/>
    </row>
    <row r="758">
      <c r="E758" s="34"/>
      <c r="F758" s="34"/>
      <c r="G758" s="34"/>
      <c r="H758" s="34"/>
      <c r="I758" s="34"/>
    </row>
    <row r="759">
      <c r="E759" s="34"/>
      <c r="F759" s="34"/>
      <c r="G759" s="34"/>
      <c r="H759" s="34"/>
      <c r="I759" s="34"/>
    </row>
    <row r="760">
      <c r="E760" s="34"/>
      <c r="F760" s="34"/>
      <c r="G760" s="34"/>
      <c r="H760" s="34"/>
      <c r="I760" s="34"/>
    </row>
    <row r="761">
      <c r="E761" s="34"/>
      <c r="F761" s="34"/>
      <c r="G761" s="34"/>
      <c r="H761" s="34"/>
      <c r="I761" s="34"/>
    </row>
    <row r="762">
      <c r="E762" s="34"/>
      <c r="F762" s="34"/>
      <c r="G762" s="34"/>
      <c r="H762" s="34"/>
      <c r="I762" s="34"/>
    </row>
    <row r="763">
      <c r="E763" s="34"/>
      <c r="F763" s="34"/>
      <c r="G763" s="34"/>
      <c r="H763" s="34"/>
      <c r="I763" s="34"/>
    </row>
    <row r="764">
      <c r="E764" s="34"/>
      <c r="F764" s="34"/>
      <c r="G764" s="34"/>
      <c r="H764" s="34"/>
      <c r="I764" s="34"/>
    </row>
    <row r="765">
      <c r="E765" s="34"/>
      <c r="F765" s="34"/>
      <c r="G765" s="34"/>
      <c r="H765" s="34"/>
      <c r="I765" s="34"/>
    </row>
    <row r="766">
      <c r="E766" s="34"/>
      <c r="F766" s="34"/>
      <c r="G766" s="34"/>
      <c r="H766" s="34"/>
      <c r="I766" s="34"/>
    </row>
    <row r="767">
      <c r="E767" s="34"/>
      <c r="F767" s="34"/>
      <c r="G767" s="34"/>
      <c r="H767" s="34"/>
      <c r="I767" s="34"/>
    </row>
    <row r="768">
      <c r="E768" s="34"/>
      <c r="F768" s="34"/>
      <c r="G768" s="34"/>
      <c r="H768" s="34"/>
      <c r="I768" s="34"/>
    </row>
    <row r="769">
      <c r="E769" s="34"/>
      <c r="F769" s="34"/>
      <c r="G769" s="34"/>
      <c r="H769" s="34"/>
      <c r="I769" s="34"/>
    </row>
    <row r="770">
      <c r="E770" s="34"/>
      <c r="F770" s="34"/>
      <c r="G770" s="34"/>
      <c r="H770" s="34"/>
      <c r="I770" s="34"/>
    </row>
    <row r="771">
      <c r="E771" s="34"/>
      <c r="F771" s="34"/>
      <c r="G771" s="34"/>
      <c r="H771" s="34"/>
      <c r="I771" s="34"/>
    </row>
    <row r="772">
      <c r="E772" s="34"/>
      <c r="F772" s="34"/>
      <c r="G772" s="34"/>
      <c r="H772" s="34"/>
      <c r="I772" s="34"/>
    </row>
    <row r="773">
      <c r="E773" s="34"/>
      <c r="F773" s="34"/>
      <c r="G773" s="34"/>
      <c r="H773" s="34"/>
      <c r="I773" s="34"/>
    </row>
    <row r="774">
      <c r="E774" s="34"/>
      <c r="F774" s="34"/>
      <c r="G774" s="34"/>
      <c r="H774" s="34"/>
      <c r="I774" s="34"/>
    </row>
    <row r="775">
      <c r="E775" s="34"/>
      <c r="F775" s="34"/>
      <c r="G775" s="34"/>
      <c r="H775" s="34"/>
      <c r="I775" s="34"/>
    </row>
    <row r="776">
      <c r="E776" s="34"/>
      <c r="F776" s="34"/>
      <c r="G776" s="34"/>
      <c r="H776" s="34"/>
      <c r="I776" s="34"/>
    </row>
    <row r="777">
      <c r="E777" s="34"/>
      <c r="F777" s="34"/>
      <c r="G777" s="34"/>
      <c r="H777" s="34"/>
      <c r="I777" s="34"/>
    </row>
    <row r="778">
      <c r="E778" s="34"/>
      <c r="F778" s="34"/>
      <c r="G778" s="34"/>
      <c r="H778" s="34"/>
      <c r="I778" s="34"/>
    </row>
    <row r="779">
      <c r="E779" s="34"/>
      <c r="F779" s="34"/>
      <c r="G779" s="34"/>
      <c r="H779" s="34"/>
      <c r="I779" s="34"/>
    </row>
    <row r="780">
      <c r="E780" s="34"/>
      <c r="F780" s="34"/>
      <c r="G780" s="34"/>
      <c r="H780" s="34"/>
      <c r="I780" s="34"/>
    </row>
    <row r="781">
      <c r="E781" s="34"/>
      <c r="F781" s="34"/>
      <c r="G781" s="34"/>
      <c r="H781" s="34"/>
      <c r="I781" s="34"/>
    </row>
    <row r="782">
      <c r="E782" s="34"/>
      <c r="F782" s="34"/>
      <c r="G782" s="34"/>
      <c r="H782" s="34"/>
      <c r="I782" s="34"/>
    </row>
    <row r="783">
      <c r="E783" s="34"/>
      <c r="F783" s="34"/>
      <c r="G783" s="34"/>
      <c r="H783" s="34"/>
      <c r="I783" s="34"/>
    </row>
    <row r="784">
      <c r="E784" s="34"/>
      <c r="F784" s="34"/>
      <c r="G784" s="34"/>
      <c r="H784" s="34"/>
      <c r="I784" s="34"/>
    </row>
    <row r="785">
      <c r="E785" s="34"/>
      <c r="F785" s="34"/>
      <c r="G785" s="34"/>
      <c r="H785" s="34"/>
      <c r="I785" s="34"/>
    </row>
    <row r="786">
      <c r="E786" s="34"/>
      <c r="F786" s="34"/>
      <c r="G786" s="34"/>
      <c r="H786" s="34"/>
      <c r="I786" s="34"/>
    </row>
    <row r="787">
      <c r="E787" s="34"/>
      <c r="F787" s="34"/>
      <c r="G787" s="34"/>
      <c r="H787" s="34"/>
      <c r="I787" s="34"/>
    </row>
    <row r="788">
      <c r="E788" s="34"/>
      <c r="F788" s="34"/>
      <c r="G788" s="34"/>
      <c r="H788" s="34"/>
      <c r="I788" s="34"/>
    </row>
    <row r="789">
      <c r="E789" s="34"/>
      <c r="F789" s="34"/>
      <c r="G789" s="34"/>
      <c r="H789" s="34"/>
      <c r="I789" s="34"/>
    </row>
    <row r="790">
      <c r="E790" s="34"/>
      <c r="F790" s="34"/>
      <c r="G790" s="34"/>
      <c r="H790" s="34"/>
      <c r="I790" s="34"/>
    </row>
    <row r="791">
      <c r="E791" s="34"/>
      <c r="F791" s="34"/>
      <c r="G791" s="34"/>
      <c r="H791" s="34"/>
      <c r="I791" s="34"/>
    </row>
    <row r="792">
      <c r="E792" s="34"/>
      <c r="F792" s="34"/>
      <c r="G792" s="34"/>
      <c r="H792" s="34"/>
      <c r="I792" s="34"/>
    </row>
    <row r="793">
      <c r="E793" s="34"/>
      <c r="F793" s="34"/>
      <c r="G793" s="34"/>
      <c r="H793" s="34"/>
      <c r="I793" s="34"/>
    </row>
    <row r="794">
      <c r="E794" s="34"/>
      <c r="F794" s="34"/>
      <c r="G794" s="34"/>
      <c r="H794" s="34"/>
      <c r="I794" s="34"/>
    </row>
    <row r="795">
      <c r="E795" s="34"/>
      <c r="F795" s="34"/>
      <c r="G795" s="34"/>
      <c r="H795" s="34"/>
      <c r="I795" s="34"/>
    </row>
    <row r="796">
      <c r="E796" s="34"/>
      <c r="F796" s="34"/>
      <c r="G796" s="34"/>
      <c r="H796" s="34"/>
      <c r="I796" s="34"/>
    </row>
    <row r="797">
      <c r="E797" s="34"/>
      <c r="F797" s="34"/>
      <c r="G797" s="34"/>
      <c r="H797" s="34"/>
      <c r="I797" s="34"/>
    </row>
    <row r="798">
      <c r="E798" s="34"/>
      <c r="F798" s="34"/>
      <c r="G798" s="34"/>
      <c r="H798" s="34"/>
      <c r="I798" s="34"/>
    </row>
    <row r="799">
      <c r="E799" s="34"/>
      <c r="F799" s="34"/>
      <c r="G799" s="34"/>
      <c r="H799" s="34"/>
      <c r="I799" s="34"/>
    </row>
    <row r="800">
      <c r="E800" s="34"/>
      <c r="F800" s="34"/>
      <c r="G800" s="34"/>
      <c r="H800" s="34"/>
      <c r="I800" s="34"/>
    </row>
    <row r="801">
      <c r="E801" s="34"/>
      <c r="F801" s="34"/>
      <c r="G801" s="34"/>
      <c r="H801" s="34"/>
      <c r="I801" s="34"/>
    </row>
    <row r="802">
      <c r="E802" s="34"/>
      <c r="F802" s="34"/>
      <c r="G802" s="34"/>
      <c r="H802" s="34"/>
      <c r="I802" s="34"/>
    </row>
    <row r="803">
      <c r="E803" s="34"/>
      <c r="F803" s="34"/>
      <c r="G803" s="34"/>
      <c r="H803" s="34"/>
      <c r="I803" s="34"/>
    </row>
    <row r="804">
      <c r="E804" s="34"/>
      <c r="F804" s="34"/>
      <c r="G804" s="34"/>
      <c r="H804" s="34"/>
      <c r="I804" s="34"/>
    </row>
    <row r="805">
      <c r="E805" s="34"/>
      <c r="F805" s="34"/>
      <c r="G805" s="34"/>
      <c r="H805" s="34"/>
      <c r="I805" s="34"/>
    </row>
    <row r="806">
      <c r="E806" s="34"/>
      <c r="F806" s="34"/>
      <c r="G806" s="34"/>
      <c r="H806" s="34"/>
      <c r="I806" s="34"/>
    </row>
    <row r="807">
      <c r="E807" s="34"/>
      <c r="F807" s="34"/>
      <c r="G807" s="34"/>
      <c r="H807" s="34"/>
      <c r="I807" s="34"/>
    </row>
    <row r="808">
      <c r="E808" s="34"/>
      <c r="F808" s="34"/>
      <c r="G808" s="34"/>
      <c r="H808" s="34"/>
      <c r="I808" s="34"/>
    </row>
    <row r="809">
      <c r="E809" s="34"/>
      <c r="F809" s="34"/>
      <c r="G809" s="34"/>
      <c r="H809" s="34"/>
      <c r="I809" s="34"/>
    </row>
    <row r="810">
      <c r="E810" s="34"/>
      <c r="F810" s="34"/>
      <c r="G810" s="34"/>
      <c r="H810" s="34"/>
      <c r="I810" s="34"/>
    </row>
    <row r="811">
      <c r="E811" s="34"/>
      <c r="F811" s="34"/>
      <c r="G811" s="34"/>
      <c r="H811" s="34"/>
      <c r="I811" s="34"/>
    </row>
    <row r="812">
      <c r="E812" s="34"/>
      <c r="F812" s="34"/>
      <c r="G812" s="34"/>
      <c r="H812" s="34"/>
      <c r="I812" s="34"/>
    </row>
    <row r="813">
      <c r="E813" s="34"/>
      <c r="F813" s="34"/>
      <c r="G813" s="34"/>
      <c r="H813" s="34"/>
      <c r="I813" s="34"/>
    </row>
    <row r="814">
      <c r="E814" s="34"/>
      <c r="F814" s="34"/>
      <c r="G814" s="34"/>
      <c r="H814" s="34"/>
      <c r="I814" s="34"/>
    </row>
    <row r="815">
      <c r="E815" s="34"/>
      <c r="F815" s="34"/>
      <c r="G815" s="34"/>
      <c r="H815" s="34"/>
      <c r="I815" s="34"/>
    </row>
    <row r="816">
      <c r="E816" s="34"/>
      <c r="F816" s="34"/>
      <c r="G816" s="34"/>
      <c r="H816" s="34"/>
      <c r="I816" s="34"/>
    </row>
    <row r="817">
      <c r="E817" s="34"/>
      <c r="F817" s="34"/>
      <c r="G817" s="34"/>
      <c r="H817" s="34"/>
      <c r="I817" s="34"/>
    </row>
    <row r="818">
      <c r="E818" s="34"/>
      <c r="F818" s="34"/>
      <c r="G818" s="34"/>
      <c r="H818" s="34"/>
      <c r="I818" s="34"/>
    </row>
    <row r="819">
      <c r="E819" s="34"/>
      <c r="F819" s="34"/>
      <c r="G819" s="34"/>
      <c r="H819" s="34"/>
      <c r="I819" s="34"/>
    </row>
    <row r="820">
      <c r="E820" s="34"/>
      <c r="F820" s="34"/>
      <c r="G820" s="34"/>
      <c r="H820" s="34"/>
      <c r="I820" s="34"/>
    </row>
    <row r="821">
      <c r="E821" s="34"/>
      <c r="F821" s="34"/>
      <c r="G821" s="34"/>
      <c r="H821" s="34"/>
      <c r="I821" s="34"/>
    </row>
    <row r="822">
      <c r="E822" s="34"/>
      <c r="F822" s="34"/>
      <c r="G822" s="34"/>
      <c r="H822" s="34"/>
      <c r="I822" s="34"/>
    </row>
    <row r="823">
      <c r="E823" s="34"/>
      <c r="F823" s="34"/>
      <c r="G823" s="34"/>
      <c r="H823" s="34"/>
      <c r="I823" s="34"/>
    </row>
    <row r="824">
      <c r="E824" s="34"/>
      <c r="F824" s="34"/>
      <c r="G824" s="34"/>
      <c r="H824" s="34"/>
      <c r="I824" s="34"/>
    </row>
    <row r="825">
      <c r="E825" s="34"/>
      <c r="F825" s="34"/>
      <c r="G825" s="34"/>
      <c r="H825" s="34"/>
      <c r="I825" s="34"/>
    </row>
    <row r="826">
      <c r="E826" s="34"/>
      <c r="F826" s="34"/>
      <c r="G826" s="34"/>
      <c r="H826" s="34"/>
      <c r="I826" s="34"/>
    </row>
    <row r="827">
      <c r="E827" s="34"/>
      <c r="F827" s="34"/>
      <c r="G827" s="34"/>
      <c r="H827" s="34"/>
      <c r="I827" s="34"/>
    </row>
    <row r="828">
      <c r="E828" s="34"/>
      <c r="F828" s="34"/>
      <c r="G828" s="34"/>
      <c r="H828" s="34"/>
      <c r="I828" s="34"/>
    </row>
    <row r="829">
      <c r="E829" s="34"/>
      <c r="F829" s="34"/>
      <c r="G829" s="34"/>
      <c r="H829" s="34"/>
      <c r="I829" s="34"/>
    </row>
    <row r="830">
      <c r="E830" s="34"/>
      <c r="F830" s="34"/>
      <c r="G830" s="34"/>
      <c r="H830" s="34"/>
      <c r="I830" s="34"/>
    </row>
    <row r="831">
      <c r="E831" s="34"/>
      <c r="F831" s="34"/>
      <c r="G831" s="34"/>
      <c r="H831" s="34"/>
      <c r="I831" s="34"/>
    </row>
    <row r="832">
      <c r="E832" s="34"/>
      <c r="F832" s="34"/>
      <c r="G832" s="34"/>
      <c r="H832" s="34"/>
      <c r="I832" s="34"/>
    </row>
    <row r="833">
      <c r="E833" s="34"/>
      <c r="F833" s="34"/>
      <c r="G833" s="34"/>
      <c r="H833" s="34"/>
      <c r="I833" s="34"/>
    </row>
    <row r="834">
      <c r="E834" s="34"/>
      <c r="F834" s="34"/>
      <c r="G834" s="34"/>
      <c r="H834" s="34"/>
      <c r="I834" s="34"/>
    </row>
    <row r="835">
      <c r="E835" s="34"/>
      <c r="F835" s="34"/>
      <c r="G835" s="34"/>
      <c r="H835" s="34"/>
      <c r="I835" s="34"/>
    </row>
    <row r="836">
      <c r="E836" s="34"/>
      <c r="F836" s="34"/>
      <c r="G836" s="34"/>
      <c r="H836" s="34"/>
      <c r="I836" s="34"/>
    </row>
    <row r="837">
      <c r="E837" s="34"/>
      <c r="F837" s="34"/>
      <c r="G837" s="34"/>
      <c r="H837" s="34"/>
      <c r="I837" s="34"/>
    </row>
    <row r="838">
      <c r="E838" s="34"/>
      <c r="F838" s="34"/>
      <c r="G838" s="34"/>
      <c r="H838" s="34"/>
      <c r="I838" s="34"/>
    </row>
    <row r="839">
      <c r="E839" s="34"/>
      <c r="F839" s="34"/>
      <c r="G839" s="34"/>
      <c r="H839" s="34"/>
      <c r="I839" s="34"/>
    </row>
    <row r="840">
      <c r="E840" s="34"/>
      <c r="F840" s="34"/>
      <c r="G840" s="34"/>
      <c r="H840" s="34"/>
      <c r="I840" s="34"/>
    </row>
    <row r="841">
      <c r="E841" s="34"/>
      <c r="F841" s="34"/>
      <c r="G841" s="34"/>
      <c r="H841" s="34"/>
      <c r="I841" s="34"/>
    </row>
    <row r="842">
      <c r="E842" s="34"/>
      <c r="F842" s="34"/>
      <c r="G842" s="34"/>
      <c r="H842" s="34"/>
      <c r="I842" s="34"/>
    </row>
    <row r="843">
      <c r="E843" s="34"/>
      <c r="F843" s="34"/>
      <c r="G843" s="34"/>
      <c r="H843" s="34"/>
      <c r="I843" s="34"/>
    </row>
    <row r="844">
      <c r="E844" s="34"/>
      <c r="F844" s="34"/>
      <c r="G844" s="34"/>
      <c r="H844" s="34"/>
      <c r="I844" s="34"/>
    </row>
    <row r="845">
      <c r="E845" s="34"/>
      <c r="F845" s="34"/>
      <c r="G845" s="34"/>
      <c r="H845" s="34"/>
      <c r="I845" s="34"/>
    </row>
    <row r="846">
      <c r="E846" s="34"/>
      <c r="F846" s="34"/>
      <c r="G846" s="34"/>
      <c r="H846" s="34"/>
      <c r="I846" s="34"/>
    </row>
    <row r="847">
      <c r="E847" s="34"/>
      <c r="F847" s="34"/>
      <c r="G847" s="34"/>
      <c r="H847" s="34"/>
      <c r="I847" s="34"/>
    </row>
    <row r="848">
      <c r="E848" s="34"/>
      <c r="F848" s="34"/>
      <c r="G848" s="34"/>
      <c r="H848" s="34"/>
      <c r="I848" s="34"/>
    </row>
    <row r="849">
      <c r="E849" s="34"/>
      <c r="F849" s="34"/>
      <c r="G849" s="34"/>
      <c r="H849" s="34"/>
      <c r="I849" s="34"/>
    </row>
    <row r="850">
      <c r="E850" s="34"/>
      <c r="F850" s="34"/>
      <c r="G850" s="34"/>
      <c r="H850" s="34"/>
      <c r="I850" s="34"/>
    </row>
    <row r="851">
      <c r="E851" s="34"/>
      <c r="F851" s="34"/>
      <c r="G851" s="34"/>
      <c r="H851" s="34"/>
      <c r="I851" s="34"/>
    </row>
    <row r="852">
      <c r="E852" s="34"/>
      <c r="F852" s="34"/>
      <c r="G852" s="34"/>
      <c r="H852" s="34"/>
      <c r="I852" s="34"/>
    </row>
    <row r="853">
      <c r="E853" s="34"/>
      <c r="F853" s="34"/>
      <c r="G853" s="34"/>
      <c r="H853" s="34"/>
      <c r="I853" s="34"/>
    </row>
    <row r="854">
      <c r="E854" s="34"/>
      <c r="F854" s="34"/>
      <c r="G854" s="34"/>
      <c r="H854" s="34"/>
      <c r="I854" s="34"/>
    </row>
    <row r="855">
      <c r="E855" s="34"/>
      <c r="F855" s="34"/>
      <c r="G855" s="34"/>
      <c r="H855" s="34"/>
      <c r="I855" s="34"/>
    </row>
    <row r="856">
      <c r="E856" s="34"/>
      <c r="F856" s="34"/>
      <c r="G856" s="34"/>
      <c r="H856" s="34"/>
      <c r="I856" s="34"/>
    </row>
    <row r="857">
      <c r="E857" s="34"/>
      <c r="F857" s="34"/>
      <c r="G857" s="34"/>
      <c r="H857" s="34"/>
      <c r="I857" s="34"/>
    </row>
    <row r="858">
      <c r="E858" s="34"/>
      <c r="F858" s="34"/>
      <c r="G858" s="34"/>
      <c r="H858" s="34"/>
      <c r="I858" s="34"/>
    </row>
    <row r="859">
      <c r="E859" s="34"/>
      <c r="F859" s="34"/>
      <c r="G859" s="34"/>
      <c r="H859" s="34"/>
      <c r="I859" s="34"/>
    </row>
    <row r="860">
      <c r="E860" s="34"/>
      <c r="F860" s="34"/>
      <c r="G860" s="34"/>
      <c r="H860" s="34"/>
      <c r="I860" s="34"/>
    </row>
    <row r="861">
      <c r="E861" s="34"/>
      <c r="F861" s="34"/>
      <c r="G861" s="34"/>
      <c r="H861" s="34"/>
      <c r="I861" s="34"/>
    </row>
    <row r="862">
      <c r="E862" s="34"/>
      <c r="F862" s="34"/>
      <c r="G862" s="34"/>
      <c r="H862" s="34"/>
      <c r="I862" s="34"/>
    </row>
    <row r="863">
      <c r="E863" s="34"/>
      <c r="F863" s="34"/>
      <c r="G863" s="34"/>
      <c r="H863" s="34"/>
      <c r="I863" s="34"/>
    </row>
    <row r="864">
      <c r="E864" s="34"/>
      <c r="F864" s="34"/>
      <c r="G864" s="34"/>
      <c r="H864" s="34"/>
      <c r="I864" s="34"/>
    </row>
    <row r="865">
      <c r="E865" s="34"/>
      <c r="F865" s="34"/>
      <c r="G865" s="34"/>
      <c r="H865" s="34"/>
      <c r="I865" s="34"/>
    </row>
    <row r="866">
      <c r="E866" s="34"/>
      <c r="F866" s="34"/>
      <c r="G866" s="34"/>
      <c r="H866" s="34"/>
      <c r="I866" s="34"/>
    </row>
    <row r="867">
      <c r="E867" s="34"/>
      <c r="F867" s="34"/>
      <c r="G867" s="34"/>
      <c r="H867" s="34"/>
      <c r="I867" s="34"/>
    </row>
    <row r="868">
      <c r="E868" s="34"/>
      <c r="F868" s="34"/>
      <c r="G868" s="34"/>
      <c r="H868" s="34"/>
      <c r="I868" s="34"/>
    </row>
    <row r="869">
      <c r="E869" s="34"/>
      <c r="F869" s="34"/>
      <c r="G869" s="34"/>
      <c r="H869" s="34"/>
      <c r="I869" s="34"/>
    </row>
    <row r="870">
      <c r="E870" s="34"/>
      <c r="F870" s="34"/>
      <c r="G870" s="34"/>
      <c r="H870" s="34"/>
      <c r="I870" s="34"/>
    </row>
    <row r="871">
      <c r="E871" s="34"/>
      <c r="F871" s="34"/>
      <c r="G871" s="34"/>
      <c r="H871" s="34"/>
      <c r="I871" s="34"/>
    </row>
    <row r="872">
      <c r="E872" s="34"/>
      <c r="F872" s="34"/>
      <c r="G872" s="34"/>
      <c r="H872" s="34"/>
      <c r="I872" s="34"/>
    </row>
    <row r="873">
      <c r="E873" s="34"/>
      <c r="F873" s="34"/>
      <c r="G873" s="34"/>
      <c r="H873" s="34"/>
      <c r="I873" s="34"/>
    </row>
    <row r="874">
      <c r="E874" s="34"/>
      <c r="F874" s="34"/>
      <c r="G874" s="34"/>
      <c r="H874" s="34"/>
      <c r="I874" s="34"/>
    </row>
    <row r="875">
      <c r="E875" s="34"/>
      <c r="F875" s="34"/>
      <c r="G875" s="34"/>
      <c r="H875" s="34"/>
      <c r="I875" s="34"/>
    </row>
    <row r="876">
      <c r="E876" s="34"/>
      <c r="F876" s="34"/>
      <c r="G876" s="34"/>
      <c r="H876" s="34"/>
      <c r="I876" s="34"/>
    </row>
    <row r="877">
      <c r="E877" s="34"/>
      <c r="F877" s="34"/>
      <c r="G877" s="34"/>
      <c r="H877" s="34"/>
      <c r="I877" s="34"/>
    </row>
    <row r="878">
      <c r="E878" s="34"/>
      <c r="F878" s="34"/>
      <c r="G878" s="34"/>
      <c r="H878" s="34"/>
      <c r="I878" s="34"/>
    </row>
    <row r="879">
      <c r="E879" s="34"/>
      <c r="F879" s="34"/>
      <c r="G879" s="34"/>
      <c r="H879" s="34"/>
      <c r="I879" s="34"/>
    </row>
    <row r="880">
      <c r="E880" s="34"/>
      <c r="F880" s="34"/>
      <c r="G880" s="34"/>
      <c r="H880" s="34"/>
      <c r="I880" s="34"/>
    </row>
    <row r="881">
      <c r="E881" s="34"/>
      <c r="F881" s="34"/>
      <c r="G881" s="34"/>
      <c r="H881" s="34"/>
      <c r="I881" s="34"/>
    </row>
    <row r="882">
      <c r="E882" s="34"/>
      <c r="F882" s="34"/>
      <c r="G882" s="34"/>
      <c r="H882" s="34"/>
      <c r="I882" s="34"/>
    </row>
    <row r="883">
      <c r="E883" s="34"/>
      <c r="F883" s="34"/>
      <c r="G883" s="34"/>
      <c r="H883" s="34"/>
      <c r="I883" s="34"/>
    </row>
    <row r="884">
      <c r="E884" s="34"/>
      <c r="F884" s="34"/>
      <c r="G884" s="34"/>
      <c r="H884" s="34"/>
      <c r="I884" s="34"/>
    </row>
    <row r="885">
      <c r="E885" s="34"/>
      <c r="F885" s="34"/>
      <c r="G885" s="34"/>
      <c r="H885" s="34"/>
      <c r="I885" s="34"/>
    </row>
    <row r="886">
      <c r="E886" s="34"/>
      <c r="F886" s="34"/>
      <c r="G886" s="34"/>
      <c r="H886" s="34"/>
      <c r="I886" s="34"/>
    </row>
    <row r="887">
      <c r="E887" s="34"/>
      <c r="F887" s="34"/>
      <c r="G887" s="34"/>
      <c r="H887" s="34"/>
      <c r="I887" s="34"/>
    </row>
    <row r="888">
      <c r="E888" s="34"/>
      <c r="F888" s="34"/>
      <c r="G888" s="34"/>
      <c r="H888" s="34"/>
      <c r="I888" s="34"/>
    </row>
    <row r="889">
      <c r="E889" s="34"/>
      <c r="F889" s="34"/>
      <c r="G889" s="34"/>
      <c r="H889" s="34"/>
      <c r="I889" s="34"/>
    </row>
    <row r="890">
      <c r="E890" s="34"/>
      <c r="F890" s="34"/>
      <c r="G890" s="34"/>
      <c r="H890" s="34"/>
      <c r="I890" s="34"/>
    </row>
    <row r="891">
      <c r="E891" s="34"/>
      <c r="F891" s="34"/>
      <c r="G891" s="34"/>
      <c r="H891" s="34"/>
      <c r="I891" s="34"/>
    </row>
    <row r="892">
      <c r="E892" s="34"/>
      <c r="F892" s="34"/>
      <c r="G892" s="34"/>
      <c r="H892" s="34"/>
      <c r="I892" s="34"/>
    </row>
    <row r="893">
      <c r="E893" s="34"/>
      <c r="F893" s="34"/>
      <c r="G893" s="34"/>
      <c r="H893" s="34"/>
      <c r="I893" s="34"/>
    </row>
    <row r="894">
      <c r="E894" s="34"/>
      <c r="F894" s="34"/>
      <c r="G894" s="34"/>
      <c r="H894" s="34"/>
      <c r="I894" s="34"/>
    </row>
    <row r="895">
      <c r="E895" s="34"/>
      <c r="F895" s="34"/>
      <c r="G895" s="34"/>
      <c r="H895" s="34"/>
      <c r="I895" s="34"/>
    </row>
    <row r="896">
      <c r="E896" s="34"/>
      <c r="F896" s="34"/>
      <c r="G896" s="34"/>
      <c r="H896" s="34"/>
      <c r="I896" s="34"/>
    </row>
    <row r="897">
      <c r="E897" s="34"/>
      <c r="F897" s="34"/>
      <c r="G897" s="34"/>
      <c r="H897" s="34"/>
      <c r="I897" s="34"/>
    </row>
    <row r="898">
      <c r="E898" s="34"/>
      <c r="F898" s="34"/>
      <c r="G898" s="34"/>
      <c r="H898" s="34"/>
      <c r="I898" s="34"/>
    </row>
    <row r="899">
      <c r="E899" s="34"/>
      <c r="F899" s="34"/>
      <c r="G899" s="34"/>
      <c r="H899" s="34"/>
      <c r="I899" s="34"/>
    </row>
    <row r="900">
      <c r="E900" s="34"/>
      <c r="F900" s="34"/>
      <c r="G900" s="34"/>
      <c r="H900" s="34"/>
      <c r="I900" s="34"/>
    </row>
    <row r="901">
      <c r="E901" s="34"/>
      <c r="F901" s="34"/>
      <c r="G901" s="34"/>
      <c r="H901" s="34"/>
      <c r="I901" s="34"/>
    </row>
    <row r="902">
      <c r="E902" s="34"/>
      <c r="F902" s="34"/>
      <c r="G902" s="34"/>
      <c r="H902" s="34"/>
      <c r="I902" s="34"/>
    </row>
    <row r="903">
      <c r="E903" s="34"/>
      <c r="F903" s="34"/>
      <c r="G903" s="34"/>
      <c r="H903" s="34"/>
      <c r="I903" s="34"/>
    </row>
    <row r="904">
      <c r="E904" s="34"/>
      <c r="F904" s="34"/>
      <c r="G904" s="34"/>
      <c r="H904" s="34"/>
      <c r="I904" s="34"/>
    </row>
    <row r="905">
      <c r="E905" s="34"/>
      <c r="F905" s="34"/>
      <c r="G905" s="34"/>
      <c r="H905" s="34"/>
      <c r="I905" s="34"/>
    </row>
    <row r="906">
      <c r="E906" s="34"/>
      <c r="F906" s="34"/>
      <c r="G906" s="34"/>
      <c r="H906" s="34"/>
      <c r="I906" s="34"/>
    </row>
    <row r="907">
      <c r="E907" s="34"/>
      <c r="F907" s="34"/>
      <c r="G907" s="34"/>
      <c r="H907" s="34"/>
      <c r="I907" s="34"/>
    </row>
    <row r="908">
      <c r="E908" s="34"/>
      <c r="F908" s="34"/>
      <c r="G908" s="34"/>
      <c r="H908" s="34"/>
      <c r="I908" s="34"/>
    </row>
    <row r="909">
      <c r="E909" s="34"/>
      <c r="F909" s="34"/>
      <c r="G909" s="34"/>
      <c r="H909" s="34"/>
      <c r="I909" s="34"/>
    </row>
    <row r="910">
      <c r="E910" s="34"/>
      <c r="F910" s="34"/>
      <c r="G910" s="34"/>
      <c r="H910" s="34"/>
      <c r="I910" s="34"/>
    </row>
    <row r="911">
      <c r="E911" s="34"/>
      <c r="F911" s="34"/>
      <c r="G911" s="34"/>
      <c r="H911" s="34"/>
      <c r="I911" s="34"/>
    </row>
    <row r="912">
      <c r="E912" s="34"/>
      <c r="F912" s="34"/>
      <c r="G912" s="34"/>
      <c r="H912" s="34"/>
      <c r="I912" s="34"/>
    </row>
    <row r="913">
      <c r="E913" s="34"/>
      <c r="F913" s="34"/>
      <c r="G913" s="34"/>
      <c r="H913" s="34"/>
      <c r="I913" s="34"/>
    </row>
    <row r="914">
      <c r="E914" s="34"/>
      <c r="F914" s="34"/>
      <c r="G914" s="34"/>
      <c r="H914" s="34"/>
      <c r="I914" s="34"/>
    </row>
    <row r="915">
      <c r="E915" s="34"/>
      <c r="F915" s="34"/>
      <c r="G915" s="34"/>
      <c r="H915" s="34"/>
      <c r="I915" s="34"/>
    </row>
    <row r="916">
      <c r="E916" s="34"/>
      <c r="F916" s="34"/>
      <c r="G916" s="34"/>
      <c r="H916" s="34"/>
      <c r="I916" s="34"/>
    </row>
    <row r="917">
      <c r="E917" s="34"/>
      <c r="F917" s="34"/>
      <c r="G917" s="34"/>
      <c r="H917" s="34"/>
      <c r="I917" s="34"/>
    </row>
    <row r="918">
      <c r="E918" s="34"/>
      <c r="F918" s="34"/>
      <c r="G918" s="34"/>
      <c r="H918" s="34"/>
      <c r="I918" s="34"/>
    </row>
    <row r="919">
      <c r="E919" s="34"/>
      <c r="F919" s="34"/>
      <c r="G919" s="34"/>
      <c r="H919" s="34"/>
      <c r="I919" s="34"/>
    </row>
    <row r="920">
      <c r="E920" s="34"/>
      <c r="F920" s="34"/>
      <c r="G920" s="34"/>
      <c r="H920" s="34"/>
      <c r="I920" s="34"/>
    </row>
    <row r="921">
      <c r="E921" s="34"/>
      <c r="F921" s="34"/>
      <c r="G921" s="34"/>
      <c r="H921" s="34"/>
      <c r="I921" s="34"/>
    </row>
    <row r="922">
      <c r="E922" s="34"/>
      <c r="F922" s="34"/>
      <c r="G922" s="34"/>
      <c r="H922" s="34"/>
      <c r="I922" s="34"/>
    </row>
    <row r="923">
      <c r="E923" s="34"/>
      <c r="F923" s="34"/>
      <c r="G923" s="34"/>
      <c r="H923" s="34"/>
      <c r="I923" s="34"/>
    </row>
    <row r="924">
      <c r="E924" s="34"/>
      <c r="F924" s="34"/>
      <c r="G924" s="34"/>
      <c r="H924" s="34"/>
      <c r="I924" s="34"/>
    </row>
    <row r="925">
      <c r="E925" s="34"/>
      <c r="F925" s="34"/>
      <c r="G925" s="34"/>
      <c r="H925" s="34"/>
      <c r="I925" s="34"/>
    </row>
    <row r="926">
      <c r="E926" s="34"/>
      <c r="F926" s="34"/>
      <c r="G926" s="34"/>
      <c r="H926" s="34"/>
      <c r="I926" s="34"/>
    </row>
    <row r="927">
      <c r="E927" s="34"/>
      <c r="F927" s="34"/>
      <c r="G927" s="34"/>
      <c r="H927" s="34"/>
      <c r="I927" s="34"/>
    </row>
    <row r="928">
      <c r="E928" s="34"/>
      <c r="F928" s="34"/>
      <c r="G928" s="34"/>
      <c r="H928" s="34"/>
      <c r="I928" s="34"/>
    </row>
    <row r="929">
      <c r="E929" s="34"/>
      <c r="F929" s="34"/>
      <c r="G929" s="34"/>
      <c r="H929" s="34"/>
      <c r="I929" s="34"/>
    </row>
    <row r="930">
      <c r="E930" s="34"/>
      <c r="F930" s="34"/>
      <c r="G930" s="34"/>
      <c r="H930" s="34"/>
      <c r="I930" s="34"/>
    </row>
    <row r="931">
      <c r="E931" s="34"/>
      <c r="F931" s="34"/>
      <c r="G931" s="34"/>
      <c r="H931" s="34"/>
      <c r="I931" s="34"/>
    </row>
    <row r="932">
      <c r="E932" s="34"/>
      <c r="F932" s="34"/>
      <c r="G932" s="34"/>
      <c r="H932" s="34"/>
      <c r="I932" s="34"/>
    </row>
    <row r="933">
      <c r="E933" s="34"/>
      <c r="F933" s="34"/>
      <c r="G933" s="34"/>
      <c r="H933" s="34"/>
      <c r="I933" s="34"/>
    </row>
    <row r="934">
      <c r="E934" s="34"/>
      <c r="F934" s="34"/>
      <c r="G934" s="34"/>
      <c r="H934" s="34"/>
      <c r="I934" s="34"/>
    </row>
    <row r="935">
      <c r="E935" s="34"/>
      <c r="F935" s="34"/>
      <c r="G935" s="34"/>
      <c r="H935" s="34"/>
      <c r="I935" s="34"/>
    </row>
    <row r="936">
      <c r="E936" s="34"/>
      <c r="F936" s="34"/>
      <c r="G936" s="34"/>
      <c r="H936" s="34"/>
      <c r="I936" s="34"/>
    </row>
    <row r="937">
      <c r="E937" s="34"/>
      <c r="F937" s="34"/>
      <c r="G937" s="34"/>
      <c r="H937" s="34"/>
      <c r="I937" s="34"/>
    </row>
    <row r="938">
      <c r="E938" s="34"/>
      <c r="F938" s="34"/>
      <c r="G938" s="34"/>
      <c r="H938" s="34"/>
      <c r="I938" s="34"/>
    </row>
    <row r="939">
      <c r="E939" s="34"/>
      <c r="F939" s="34"/>
      <c r="G939" s="34"/>
      <c r="H939" s="34"/>
      <c r="I939" s="34"/>
    </row>
    <row r="940">
      <c r="E940" s="34"/>
      <c r="F940" s="34"/>
      <c r="G940" s="34"/>
      <c r="H940" s="34"/>
      <c r="I940" s="34"/>
    </row>
    <row r="941">
      <c r="E941" s="34"/>
      <c r="F941" s="34"/>
      <c r="G941" s="34"/>
      <c r="H941" s="34"/>
      <c r="I941" s="34"/>
    </row>
    <row r="942">
      <c r="E942" s="34"/>
      <c r="F942" s="34"/>
      <c r="G942" s="34"/>
      <c r="H942" s="34"/>
      <c r="I942" s="34"/>
    </row>
    <row r="943">
      <c r="E943" s="34"/>
      <c r="F943" s="34"/>
      <c r="G943" s="34"/>
      <c r="H943" s="34"/>
      <c r="I943" s="34"/>
    </row>
    <row r="944">
      <c r="E944" s="34"/>
      <c r="F944" s="34"/>
      <c r="G944" s="34"/>
      <c r="H944" s="34"/>
      <c r="I944" s="34"/>
    </row>
    <row r="945">
      <c r="E945" s="34"/>
      <c r="F945" s="34"/>
      <c r="G945" s="34"/>
      <c r="H945" s="34"/>
      <c r="I945" s="34"/>
    </row>
    <row r="946">
      <c r="E946" s="34"/>
      <c r="F946" s="34"/>
      <c r="G946" s="34"/>
      <c r="H946" s="34"/>
      <c r="I946" s="34"/>
    </row>
    <row r="947">
      <c r="E947" s="34"/>
      <c r="F947" s="34"/>
      <c r="G947" s="34"/>
      <c r="H947" s="34"/>
      <c r="I947" s="34"/>
    </row>
    <row r="948">
      <c r="E948" s="34"/>
      <c r="F948" s="34"/>
      <c r="G948" s="34"/>
      <c r="H948" s="34"/>
      <c r="I948" s="34"/>
    </row>
    <row r="949">
      <c r="E949" s="34"/>
      <c r="F949" s="34"/>
      <c r="G949" s="34"/>
      <c r="H949" s="34"/>
      <c r="I949" s="34"/>
    </row>
    <row r="950">
      <c r="E950" s="34"/>
      <c r="F950" s="34"/>
      <c r="G950" s="34"/>
      <c r="H950" s="34"/>
      <c r="I950" s="34"/>
    </row>
    <row r="951">
      <c r="E951" s="34"/>
      <c r="F951" s="34"/>
      <c r="G951" s="34"/>
      <c r="H951" s="34"/>
      <c r="I951" s="34"/>
    </row>
    <row r="952">
      <c r="E952" s="34"/>
      <c r="F952" s="34"/>
      <c r="G952" s="34"/>
      <c r="H952" s="34"/>
      <c r="I952" s="34"/>
    </row>
    <row r="953">
      <c r="E953" s="34"/>
      <c r="F953" s="34"/>
      <c r="G953" s="34"/>
      <c r="H953" s="34"/>
      <c r="I953" s="34"/>
    </row>
    <row r="954">
      <c r="E954" s="34"/>
      <c r="F954" s="34"/>
      <c r="G954" s="34"/>
      <c r="H954" s="34"/>
      <c r="I954" s="34"/>
    </row>
    <row r="955">
      <c r="E955" s="34"/>
      <c r="F955" s="34"/>
      <c r="G955" s="34"/>
      <c r="H955" s="34"/>
      <c r="I955" s="34"/>
    </row>
    <row r="956">
      <c r="E956" s="34"/>
      <c r="F956" s="34"/>
      <c r="G956" s="34"/>
      <c r="H956" s="34"/>
      <c r="I956" s="34"/>
    </row>
    <row r="957">
      <c r="E957" s="34"/>
      <c r="F957" s="34"/>
      <c r="G957" s="34"/>
      <c r="H957" s="34"/>
      <c r="I957" s="34"/>
    </row>
    <row r="958">
      <c r="E958" s="34"/>
      <c r="F958" s="34"/>
      <c r="G958" s="34"/>
      <c r="H958" s="34"/>
      <c r="I958" s="34"/>
    </row>
    <row r="959">
      <c r="E959" s="34"/>
      <c r="F959" s="34"/>
      <c r="G959" s="34"/>
      <c r="H959" s="34"/>
      <c r="I959" s="34"/>
    </row>
    <row r="960">
      <c r="E960" s="34"/>
      <c r="F960" s="34"/>
      <c r="G960" s="34"/>
      <c r="H960" s="34"/>
      <c r="I960" s="34"/>
    </row>
    <row r="961">
      <c r="E961" s="34"/>
      <c r="F961" s="34"/>
      <c r="G961" s="34"/>
      <c r="H961" s="34"/>
      <c r="I961" s="34"/>
    </row>
    <row r="962">
      <c r="E962" s="34"/>
      <c r="F962" s="34"/>
      <c r="G962" s="34"/>
      <c r="H962" s="34"/>
      <c r="I962" s="34"/>
    </row>
    <row r="963">
      <c r="E963" s="34"/>
      <c r="F963" s="34"/>
      <c r="G963" s="34"/>
      <c r="H963" s="34"/>
      <c r="I963" s="34"/>
    </row>
    <row r="964">
      <c r="E964" s="34"/>
      <c r="F964" s="34"/>
      <c r="G964" s="34"/>
      <c r="H964" s="34"/>
      <c r="I964" s="34"/>
    </row>
    <row r="965">
      <c r="E965" s="34"/>
      <c r="F965" s="34"/>
      <c r="G965" s="34"/>
      <c r="H965" s="34"/>
      <c r="I965" s="34"/>
    </row>
    <row r="966">
      <c r="E966" s="34"/>
      <c r="F966" s="34"/>
      <c r="G966" s="34"/>
      <c r="H966" s="34"/>
      <c r="I966" s="34"/>
    </row>
    <row r="967">
      <c r="E967" s="34"/>
      <c r="F967" s="34"/>
      <c r="G967" s="34"/>
      <c r="H967" s="34"/>
      <c r="I967" s="34"/>
    </row>
    <row r="968">
      <c r="E968" s="34"/>
      <c r="F968" s="34"/>
      <c r="G968" s="34"/>
      <c r="H968" s="34"/>
      <c r="I968" s="34"/>
    </row>
    <row r="969">
      <c r="E969" s="34"/>
      <c r="F969" s="34"/>
      <c r="G969" s="34"/>
      <c r="H969" s="34"/>
      <c r="I969" s="34"/>
    </row>
    <row r="970">
      <c r="E970" s="34"/>
      <c r="F970" s="34"/>
      <c r="G970" s="34"/>
      <c r="H970" s="34"/>
      <c r="I970" s="34"/>
    </row>
    <row r="971">
      <c r="E971" s="34"/>
      <c r="F971" s="34"/>
      <c r="G971" s="34"/>
      <c r="H971" s="34"/>
      <c r="I971" s="34"/>
    </row>
    <row r="972">
      <c r="E972" s="34"/>
      <c r="F972" s="34"/>
      <c r="G972" s="34"/>
      <c r="H972" s="34"/>
      <c r="I972" s="34"/>
    </row>
    <row r="973">
      <c r="E973" s="34"/>
      <c r="F973" s="34"/>
      <c r="G973" s="34"/>
      <c r="H973" s="34"/>
      <c r="I973" s="34"/>
    </row>
    <row r="974">
      <c r="E974" s="34"/>
      <c r="F974" s="34"/>
      <c r="G974" s="34"/>
      <c r="H974" s="34"/>
      <c r="I974" s="34"/>
    </row>
    <row r="975">
      <c r="E975" s="34"/>
      <c r="F975" s="34"/>
      <c r="G975" s="34"/>
      <c r="H975" s="34"/>
      <c r="I975" s="34"/>
    </row>
    <row r="976">
      <c r="E976" s="34"/>
      <c r="F976" s="34"/>
      <c r="G976" s="34"/>
      <c r="H976" s="34"/>
      <c r="I976" s="34"/>
    </row>
    <row r="977">
      <c r="E977" s="34"/>
      <c r="F977" s="34"/>
      <c r="G977" s="34"/>
      <c r="H977" s="34"/>
      <c r="I977" s="34"/>
    </row>
    <row r="978">
      <c r="E978" s="34"/>
      <c r="F978" s="34"/>
      <c r="G978" s="34"/>
      <c r="H978" s="34"/>
      <c r="I978" s="34"/>
    </row>
    <row r="979">
      <c r="E979" s="34"/>
      <c r="F979" s="34"/>
      <c r="G979" s="34"/>
      <c r="H979" s="34"/>
      <c r="I979" s="34"/>
    </row>
    <row r="980">
      <c r="E980" s="34"/>
      <c r="F980" s="34"/>
      <c r="G980" s="34"/>
      <c r="H980" s="34"/>
      <c r="I980" s="34"/>
    </row>
    <row r="981">
      <c r="E981" s="34"/>
      <c r="F981" s="34"/>
      <c r="G981" s="34"/>
      <c r="H981" s="34"/>
      <c r="I981" s="34"/>
    </row>
    <row r="982">
      <c r="E982" s="34"/>
      <c r="F982" s="34"/>
      <c r="G982" s="34"/>
      <c r="H982" s="34"/>
      <c r="I982" s="34"/>
    </row>
    <row r="983">
      <c r="E983" s="34"/>
      <c r="F983" s="34"/>
      <c r="G983" s="34"/>
      <c r="H983" s="34"/>
      <c r="I983" s="34"/>
    </row>
    <row r="984">
      <c r="E984" s="34"/>
      <c r="F984" s="34"/>
      <c r="G984" s="34"/>
      <c r="H984" s="34"/>
      <c r="I984" s="34"/>
    </row>
    <row r="985">
      <c r="E985" s="34"/>
      <c r="F985" s="34"/>
      <c r="G985" s="34"/>
      <c r="H985" s="34"/>
      <c r="I985" s="34"/>
    </row>
    <row r="986">
      <c r="E986" s="34"/>
      <c r="F986" s="34"/>
      <c r="G986" s="34"/>
      <c r="H986" s="34"/>
      <c r="I986" s="34"/>
    </row>
    <row r="987">
      <c r="E987" s="34"/>
      <c r="F987" s="34"/>
      <c r="G987" s="34"/>
      <c r="H987" s="34"/>
      <c r="I987" s="34"/>
    </row>
    <row r="988">
      <c r="E988" s="34"/>
      <c r="F988" s="34"/>
      <c r="G988" s="34"/>
      <c r="H988" s="34"/>
      <c r="I988" s="34"/>
    </row>
    <row r="989">
      <c r="E989" s="34"/>
      <c r="F989" s="34"/>
      <c r="G989" s="34"/>
      <c r="H989" s="34"/>
      <c r="I989" s="34"/>
    </row>
    <row r="990">
      <c r="E990" s="34"/>
      <c r="F990" s="34"/>
      <c r="G990" s="34"/>
      <c r="H990" s="34"/>
      <c r="I990" s="34"/>
    </row>
    <row r="991">
      <c r="E991" s="34"/>
      <c r="F991" s="34"/>
      <c r="G991" s="34"/>
      <c r="H991" s="34"/>
      <c r="I991" s="34"/>
    </row>
    <row r="992">
      <c r="E992" s="34"/>
      <c r="F992" s="34"/>
      <c r="G992" s="34"/>
      <c r="H992" s="34"/>
      <c r="I992" s="34"/>
    </row>
    <row r="993">
      <c r="E993" s="34"/>
      <c r="F993" s="34"/>
      <c r="G993" s="34"/>
      <c r="H993" s="34"/>
      <c r="I993" s="34"/>
    </row>
    <row r="994">
      <c r="E994" s="34"/>
      <c r="F994" s="34"/>
      <c r="G994" s="34"/>
      <c r="H994" s="34"/>
      <c r="I994" s="34"/>
    </row>
    <row r="995">
      <c r="E995" s="34"/>
      <c r="F995" s="34"/>
      <c r="G995" s="34"/>
      <c r="H995" s="34"/>
      <c r="I995" s="34"/>
    </row>
    <row r="996">
      <c r="E996" s="34"/>
      <c r="F996" s="34"/>
      <c r="G996" s="34"/>
      <c r="H996" s="34"/>
      <c r="I996" s="34"/>
    </row>
    <row r="997">
      <c r="E997" s="34"/>
      <c r="F997" s="34"/>
      <c r="G997" s="34"/>
      <c r="H997" s="34"/>
      <c r="I997" s="34"/>
    </row>
    <row r="998">
      <c r="E998" s="34"/>
      <c r="F998" s="34"/>
      <c r="G998" s="34"/>
      <c r="H998" s="34"/>
      <c r="I998" s="34"/>
    </row>
    <row r="999">
      <c r="A999" s="8" t="s">
        <v>137</v>
      </c>
      <c r="E999" s="34"/>
      <c r="F999" s="34"/>
      <c r="G999" s="34"/>
      <c r="H999" s="34"/>
      <c r="I999" s="34"/>
    </row>
  </sheetData>
  <conditionalFormatting sqref="A5:A999">
    <cfRule type="expression" dxfId="0" priority="1">
      <formula>REGEXMATCH(A5,"(?i)[\(\[\{\-][ ]*(feat|ft)| feat(ur|\.| )| ft|f\/|w\/")</formula>
    </cfRule>
  </conditionalFormatting>
  <conditionalFormatting sqref="I4">
    <cfRule type="cellIs" dxfId="1" priority="2" operator="equal">
      <formula>0</formula>
    </cfRule>
  </conditionalFormatting>
  <conditionalFormatting sqref="I4">
    <cfRule type="cellIs" dxfId="2" priority="3" operator="notEqual">
      <formula>0</formula>
    </cfRule>
  </conditionalFormatting>
  <conditionalFormatting sqref="D5:D999">
    <cfRule type="expression" dxfId="0" priority="4">
      <formula>and(D5&lt;&gt;"",D5&lt;&gt;"new",not(REGEXMATCH(D5,"(?i)spotify:artist:[[:alnum:]]{22}")))</formula>
    </cfRule>
  </conditionalFormatting>
  <conditionalFormatting sqref="A5:A999">
    <cfRule type="expression" dxfId="3" priority="5">
      <formula>countif(H:H,A5)&gt;0</formula>
    </cfRule>
  </conditionalFormatting>
  <conditionalFormatting sqref="C5:C999">
    <cfRule type="expression" dxfId="0" priority="6">
      <formula>and(C5&lt;&gt;"",C5&lt;&gt;"new",not(REGEXMATCH(C5,"^[[:digit:]]+$")))</formula>
    </cfRule>
  </conditionalFormatting>
  <conditionalFormatting sqref="E5:E999">
    <cfRule type="expression" dxfId="0" priority="7">
      <formula>and(E5&lt;&gt;"",E5&lt;&gt;"new",not(REGEXMATCH(E5,"^[[:digit:]]+$")))</formula>
    </cfRule>
  </conditionalFormatting>
  <conditionalFormatting sqref="F5:F999">
    <cfRule type="expression" dxfId="0" priority="8">
      <formula>and(F5&lt;&gt;"",F5&lt;&gt;"new",not(REGEXMATCH(F5,"^[[:alnum:]-]+$")))</formula>
    </cfRule>
  </conditionalFormatting>
  <conditionalFormatting sqref="H2">
    <cfRule type="cellIs" dxfId="4" priority="9" operator="notEqual">
      <formula>H1</formula>
    </cfRule>
  </conditionalFormatting>
  <conditionalFormatting sqref="A1">
    <cfRule type="notContainsBlanks" dxfId="1" priority="10">
      <formula>LEN(TRIM(A1))&gt;0</formula>
    </cfRule>
  </conditionalFormatting>
  <hyperlinks>
    <hyperlink r:id="rId2" ref="C5"/>
    <hyperlink r:id="rId3" ref="C6"/>
    <hyperlink r:id="rId4" ref="C7"/>
    <hyperlink r:id="rId5" ref="C8"/>
    <hyperlink r:id="rId6" ref="C9"/>
    <hyperlink r:id="rId7" ref="C10"/>
    <hyperlink r:id="rId8" ref="C11"/>
    <hyperlink r:id="rId9" ref="C12"/>
    <hyperlink r:id="rId10" ref="C13"/>
    <hyperlink r:id="rId11" ref="C14"/>
    <hyperlink r:id="rId12" ref="C15"/>
    <hyperlink r:id="rId13" ref="C16"/>
    <hyperlink r:id="rId14" ref="C17"/>
    <hyperlink r:id="rId15" ref="C18"/>
    <hyperlink r:id="rId16" ref="C19"/>
    <hyperlink r:id="rId17" ref="C20"/>
    <hyperlink r:id="rId18" ref="C21"/>
    <hyperlink r:id="rId19" ref="C22"/>
    <hyperlink r:id="rId20" ref="C23"/>
    <hyperlink r:id="rId21" ref="C24"/>
    <hyperlink r:id="rId22" ref="C25"/>
    <hyperlink r:id="rId23" ref="C26"/>
    <hyperlink r:id="rId24" ref="C27"/>
    <hyperlink r:id="rId25" ref="C28"/>
    <hyperlink r:id="rId26" ref="C29"/>
    <hyperlink r:id="rId27" ref="C30"/>
    <hyperlink r:id="rId28" ref="C31"/>
    <hyperlink r:id="rId29" ref="C32"/>
    <hyperlink r:id="rId30" ref="C33"/>
    <hyperlink r:id="rId31" ref="C34"/>
    <hyperlink r:id="rId32" ref="C35"/>
    <hyperlink r:id="rId33" ref="C36"/>
    <hyperlink r:id="rId34" ref="C37"/>
    <hyperlink r:id="rId35" ref="C38"/>
    <hyperlink r:id="rId36" ref="C39"/>
    <hyperlink r:id="rId37" ref="C40"/>
    <hyperlink r:id="rId38" ref="C41"/>
    <hyperlink r:id="rId39" ref="C42"/>
    <hyperlink r:id="rId40" ref="C43"/>
    <hyperlink r:id="rId41" ref="C44"/>
    <hyperlink r:id="rId42" ref="C45"/>
    <hyperlink r:id="rId43" ref="C46"/>
    <hyperlink r:id="rId44" ref="C47"/>
    <hyperlink r:id="rId45" ref="C48"/>
  </hyperlinks>
  <drawing r:id="rId46"/>
  <legacyDrawing r:id="rId4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7.5"/>
    <col customWidth="1" min="2" max="2" width="20.88"/>
    <col customWidth="1" min="3" max="3" width="34.75"/>
    <col customWidth="1" min="4" max="4" width="10.5"/>
    <col customWidth="1" min="5" max="5" width="9.13"/>
    <col customWidth="1" min="6" max="6" width="21.75"/>
    <col customWidth="1" min="7" max="7" width="21.88"/>
    <col customWidth="1" min="8" max="8" width="8.38"/>
    <col customWidth="1" min="9" max="9" width="16.0"/>
    <col customWidth="1" min="10" max="10" width="12.13"/>
    <col customWidth="1" min="11" max="11" width="12.75"/>
    <col customWidth="1" min="12" max="12" width="9.75"/>
    <col customWidth="1" min="13" max="13" width="8.0"/>
    <col customWidth="1" min="14" max="14" width="9.5"/>
    <col customWidth="1" min="15" max="15" width="9.0"/>
    <col customWidth="1" min="16" max="16" width="12.5"/>
    <col customWidth="1" min="17" max="17" width="4.38"/>
    <col customWidth="1" min="18" max="18" width="8.38"/>
  </cols>
  <sheetData>
    <row r="1">
      <c r="A1" s="14" t="s">
        <v>138</v>
      </c>
      <c r="B1" s="13">
        <f>IFERROR(__xludf.DUMMYFUNCTION("COUNTUNIQUE(A5:A999)"),1.0)</f>
        <v>1</v>
      </c>
      <c r="F1" s="52"/>
      <c r="G1" s="52"/>
      <c r="H1" s="8"/>
      <c r="I1" s="8"/>
      <c r="J1" s="8"/>
      <c r="K1" s="8"/>
      <c r="L1" s="8"/>
      <c r="N1" s="8"/>
      <c r="O1" s="8"/>
      <c r="P1" s="8"/>
      <c r="Q1" s="8"/>
      <c r="R1" s="8"/>
    </row>
    <row r="2">
      <c r="A2" s="21" t="s">
        <v>24</v>
      </c>
      <c r="B2" s="16" t="s">
        <v>35</v>
      </c>
      <c r="F2" s="8"/>
      <c r="G2" s="8"/>
      <c r="H2" s="8"/>
      <c r="I2" s="8"/>
      <c r="J2" s="8"/>
      <c r="K2" s="8"/>
      <c r="L2" s="8"/>
      <c r="M2" s="8"/>
      <c r="N2" s="8"/>
      <c r="O2" s="8"/>
      <c r="P2" s="8"/>
      <c r="Q2" s="8"/>
      <c r="R2" s="8"/>
    </row>
    <row r="3">
      <c r="A3" s="53" t="s">
        <v>139</v>
      </c>
      <c r="B3" s="54">
        <f>IFERROR(__xludf.DUMMYFUNCTION("counta(A5:A999)-COUNTUNIQUE(A5:A999)"),0.0)</f>
        <v>0</v>
      </c>
    </row>
    <row r="4">
      <c r="A4" s="35" t="s">
        <v>36</v>
      </c>
      <c r="I4" s="20"/>
    </row>
    <row r="5">
      <c r="A5" s="8" t="s">
        <v>140</v>
      </c>
      <c r="C5" s="28"/>
      <c r="N5" s="8" t="s">
        <v>44</v>
      </c>
      <c r="O5" s="8" t="s">
        <v>44</v>
      </c>
      <c r="P5" s="8" t="s">
        <v>44</v>
      </c>
      <c r="Q5" s="8" t="s">
        <v>44</v>
      </c>
      <c r="R5" s="8"/>
    </row>
    <row r="6">
      <c r="C6" s="28"/>
    </row>
  </sheetData>
  <conditionalFormatting sqref="B3">
    <cfRule type="cellIs" dxfId="1" priority="1" operator="equal">
      <formula>0</formula>
    </cfRule>
  </conditionalFormatting>
  <conditionalFormatting sqref="B3">
    <cfRule type="cellIs" dxfId="2" priority="2" operator="notEqual">
      <formula>0</formula>
    </cfRule>
  </conditionalFormatting>
  <conditionalFormatting sqref="A5:A999">
    <cfRule type="expression" dxfId="3" priority="3">
      <formula>countif(B:B,A5)&gt;0</formula>
    </cfRule>
  </conditionalFormatting>
  <conditionalFormatting sqref="A1">
    <cfRule type="notContainsBlanks" dxfId="1" priority="4">
      <formula>LEN(TRIM(A1))&gt;0</formula>
    </cfRule>
  </conditionalFormatting>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7.63"/>
    <col customWidth="1" min="2" max="2" width="25.5"/>
    <col customWidth="1" min="3" max="3" width="7.25"/>
    <col customWidth="1" min="4" max="4" width="16.38"/>
    <col customWidth="1" min="5" max="5" width="13.0"/>
    <col customWidth="1" min="6" max="6" width="27.75"/>
    <col customWidth="1" min="7" max="8" width="13.38"/>
    <col customWidth="1" min="9" max="9" width="15.0"/>
    <col customWidth="1" min="10" max="10" width="5.5"/>
    <col customWidth="1" min="11" max="11" width="17.0"/>
    <col customWidth="1" min="12" max="12" width="6.25"/>
    <col customWidth="1" min="13" max="13" width="16.5"/>
    <col customWidth="1" min="14" max="14" width="15.13"/>
    <col customWidth="1" min="15" max="16" width="16.0"/>
    <col customWidth="1" min="17" max="17" width="10.0"/>
    <col customWidth="1" min="18" max="18" width="9.5"/>
    <col customWidth="1" min="19" max="19" width="9.0"/>
    <col customWidth="1" min="20" max="20" width="12.5"/>
    <col customWidth="1" min="21" max="21" width="4.38"/>
    <col customWidth="1" min="22" max="22" width="8.38"/>
    <col customWidth="1" min="23" max="23" width="6.75"/>
    <col customWidth="1" min="27" max="27" width="11.0"/>
  </cols>
  <sheetData>
    <row r="1">
      <c r="A1" s="13">
        <f>IFERROR(__xludf.DUMMYFUNCTION("COUNTUNIQUE(A5:A996)"),1.0)</f>
        <v>1</v>
      </c>
      <c r="B1" s="21" t="s">
        <v>24</v>
      </c>
      <c r="C1" s="13">
        <f>IFERROR(__xludf.DUMMYFUNCTION("COUNTUNIQUE(B5:B996)"),71.0)</f>
        <v>71</v>
      </c>
      <c r="D1" s="13">
        <f>IFERROR(__xludf.DUMMYFUNCTION("COUNTUNIQUE(D5:D996)"),71.0)</f>
        <v>71</v>
      </c>
      <c r="E1" s="13">
        <f>IFERROR(__xludf.DUMMYFUNCTION("COUNTUNIQUE(E5:E996)"),0.0)</f>
        <v>0</v>
      </c>
      <c r="F1" s="55" t="s">
        <v>26</v>
      </c>
      <c r="G1" s="13">
        <f>COUNTA(F5:F996)</f>
        <v>71</v>
      </c>
      <c r="H1" s="56" t="s">
        <v>141</v>
      </c>
      <c r="I1" s="57">
        <f>countif(I5:I996,"Video")+countif(I5:I996,"Ringtone")</f>
        <v>0</v>
      </c>
      <c r="J1" s="58"/>
      <c r="L1" s="59"/>
      <c r="M1" s="21" t="s">
        <v>24</v>
      </c>
      <c r="N1" s="60" t="s">
        <v>141</v>
      </c>
      <c r="O1" s="61"/>
      <c r="P1" s="61"/>
    </row>
    <row r="2">
      <c r="A2" s="62" t="s">
        <v>142</v>
      </c>
      <c r="B2" s="63"/>
      <c r="C2" s="63"/>
      <c r="D2" s="63"/>
      <c r="E2" s="64"/>
      <c r="F2" s="63"/>
      <c r="G2" s="63"/>
      <c r="H2" s="63"/>
      <c r="I2" s="65"/>
      <c r="J2" s="63"/>
      <c r="K2" s="63"/>
      <c r="L2" s="63"/>
      <c r="M2" s="63"/>
      <c r="N2" s="66"/>
      <c r="O2" s="65"/>
      <c r="P2" s="65"/>
    </row>
    <row r="3">
      <c r="A3" s="67" t="s">
        <v>143</v>
      </c>
      <c r="B3" s="68" t="s">
        <v>144</v>
      </c>
      <c r="C3" s="69" t="s">
        <v>145</v>
      </c>
      <c r="D3" s="70" t="s">
        <v>146</v>
      </c>
      <c r="E3" s="71" t="s">
        <v>147</v>
      </c>
      <c r="F3" s="72" t="s">
        <v>148</v>
      </c>
      <c r="G3" s="72" t="s">
        <v>149</v>
      </c>
      <c r="H3" s="73" t="s">
        <v>150</v>
      </c>
      <c r="I3" s="67" t="s">
        <v>151</v>
      </c>
      <c r="J3" s="74" t="s">
        <v>152</v>
      </c>
      <c r="K3" s="74"/>
      <c r="L3" s="74" t="s">
        <v>153</v>
      </c>
      <c r="M3" s="74"/>
      <c r="N3" s="75" t="s">
        <v>154</v>
      </c>
      <c r="O3" s="76" t="s">
        <v>155</v>
      </c>
      <c r="P3" s="77" t="s">
        <v>156</v>
      </c>
      <c r="S3" s="78"/>
    </row>
    <row r="4">
      <c r="A4" s="79" t="s">
        <v>157</v>
      </c>
      <c r="B4" s="80" t="s">
        <v>158</v>
      </c>
      <c r="C4" s="81" t="s">
        <v>159</v>
      </c>
      <c r="D4" s="80" t="s">
        <v>160</v>
      </c>
      <c r="E4" s="82" t="s">
        <v>161</v>
      </c>
      <c r="F4" s="83" t="s">
        <v>162</v>
      </c>
      <c r="G4" s="83" t="s">
        <v>163</v>
      </c>
      <c r="H4" s="84" t="s">
        <v>164</v>
      </c>
      <c r="I4" s="35" t="s">
        <v>165</v>
      </c>
      <c r="J4" s="35" t="s">
        <v>166</v>
      </c>
      <c r="K4" s="83" t="s">
        <v>167</v>
      </c>
      <c r="L4" s="35" t="s">
        <v>166</v>
      </c>
      <c r="M4" s="83" t="s">
        <v>167</v>
      </c>
      <c r="N4" s="36" t="s">
        <v>168</v>
      </c>
      <c r="O4" s="35" t="s">
        <v>165</v>
      </c>
      <c r="P4" s="36" t="s">
        <v>169</v>
      </c>
    </row>
    <row r="5">
      <c r="A5" s="28" t="s">
        <v>140</v>
      </c>
      <c r="B5" s="45" t="s">
        <v>170</v>
      </c>
      <c r="C5" s="8" t="s">
        <v>171</v>
      </c>
      <c r="D5" s="85">
        <v>9.995964332174E12</v>
      </c>
      <c r="E5" s="86"/>
      <c r="F5" s="87" t="s">
        <v>172</v>
      </c>
      <c r="G5" s="8" t="s">
        <v>173</v>
      </c>
      <c r="I5" s="8"/>
      <c r="J5" s="88">
        <v>2017.0</v>
      </c>
      <c r="K5" s="8" t="s">
        <v>140</v>
      </c>
      <c r="L5" s="88">
        <v>2017.0</v>
      </c>
      <c r="M5" s="8" t="s">
        <v>140</v>
      </c>
      <c r="N5" s="89">
        <v>43029.0</v>
      </c>
      <c r="O5" s="90" t="s">
        <v>173</v>
      </c>
      <c r="P5" s="90"/>
      <c r="R5" s="91"/>
    </row>
    <row r="6">
      <c r="A6" s="28" t="s">
        <v>140</v>
      </c>
      <c r="B6" s="45" t="s">
        <v>174</v>
      </c>
      <c r="C6" s="8" t="s">
        <v>171</v>
      </c>
      <c r="D6" s="88">
        <v>9.995964356132E12</v>
      </c>
      <c r="E6" s="86"/>
      <c r="F6" s="87" t="s">
        <v>175</v>
      </c>
      <c r="G6" s="8" t="s">
        <v>173</v>
      </c>
      <c r="I6" s="8"/>
      <c r="J6" s="88">
        <v>2018.0</v>
      </c>
      <c r="K6" s="8" t="s">
        <v>140</v>
      </c>
      <c r="L6" s="88">
        <v>2018.0</v>
      </c>
      <c r="M6" s="8" t="s">
        <v>140</v>
      </c>
      <c r="N6" s="89">
        <v>43186.0</v>
      </c>
      <c r="O6" s="90" t="s">
        <v>173</v>
      </c>
      <c r="P6" s="92"/>
      <c r="S6" s="93"/>
    </row>
    <row r="7">
      <c r="A7" s="28" t="s">
        <v>140</v>
      </c>
      <c r="B7" s="94" t="s">
        <v>176</v>
      </c>
      <c r="C7" s="28" t="s">
        <v>171</v>
      </c>
      <c r="D7" s="88">
        <v>9.995964330651E12</v>
      </c>
      <c r="E7" s="95"/>
      <c r="F7" s="87" t="s">
        <v>177</v>
      </c>
      <c r="G7" s="8" t="s">
        <v>173</v>
      </c>
      <c r="H7" s="28"/>
      <c r="I7" s="8"/>
      <c r="J7" s="88">
        <v>2017.0</v>
      </c>
      <c r="K7" s="8" t="s">
        <v>140</v>
      </c>
      <c r="L7" s="88">
        <v>2017.0</v>
      </c>
      <c r="M7" s="8" t="s">
        <v>140</v>
      </c>
      <c r="N7" s="89">
        <v>43013.0</v>
      </c>
      <c r="O7" s="90" t="s">
        <v>173</v>
      </c>
      <c r="P7" s="92"/>
      <c r="R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row>
    <row r="8">
      <c r="A8" s="28" t="s">
        <v>140</v>
      </c>
      <c r="B8" s="94" t="s">
        <v>178</v>
      </c>
      <c r="C8" s="28" t="s">
        <v>171</v>
      </c>
      <c r="D8" s="88">
        <v>9.995964330088E12</v>
      </c>
      <c r="E8" s="86"/>
      <c r="F8" s="87" t="s">
        <v>179</v>
      </c>
      <c r="G8" s="8" t="s">
        <v>173</v>
      </c>
      <c r="H8" s="28"/>
      <c r="I8" s="8"/>
      <c r="J8" s="88">
        <v>2017.0</v>
      </c>
      <c r="K8" s="8" t="s">
        <v>140</v>
      </c>
      <c r="L8" s="88">
        <v>2017.0</v>
      </c>
      <c r="M8" s="8" t="s">
        <v>140</v>
      </c>
      <c r="N8" s="89">
        <v>42815.0</v>
      </c>
      <c r="O8" s="90" t="s">
        <v>173</v>
      </c>
      <c r="P8" s="92"/>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row>
    <row r="9">
      <c r="A9" s="28" t="s">
        <v>140</v>
      </c>
      <c r="B9" s="94" t="s">
        <v>180</v>
      </c>
      <c r="C9" s="28" t="s">
        <v>171</v>
      </c>
      <c r="D9" s="96">
        <v>9.995964312657E12</v>
      </c>
      <c r="E9" s="95"/>
      <c r="F9" s="97" t="s">
        <v>181</v>
      </c>
      <c r="G9" s="8" t="s">
        <v>173</v>
      </c>
      <c r="H9" s="28"/>
      <c r="I9" s="8"/>
      <c r="J9" s="88">
        <v>2015.0</v>
      </c>
      <c r="K9" s="8" t="s">
        <v>140</v>
      </c>
      <c r="L9" s="88">
        <v>2015.0</v>
      </c>
      <c r="M9" s="8" t="s">
        <v>140</v>
      </c>
      <c r="N9" s="89">
        <v>42208.0</v>
      </c>
      <c r="O9" s="90" t="s">
        <v>173</v>
      </c>
      <c r="P9" s="92"/>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row>
    <row r="10">
      <c r="A10" s="28" t="s">
        <v>140</v>
      </c>
      <c r="B10" s="94" t="s">
        <v>182</v>
      </c>
      <c r="C10" s="28" t="s">
        <v>171</v>
      </c>
      <c r="D10" s="98">
        <v>9.99596432139E12</v>
      </c>
      <c r="E10" s="95"/>
      <c r="F10" s="87" t="s">
        <v>183</v>
      </c>
      <c r="G10" s="8" t="s">
        <v>173</v>
      </c>
      <c r="H10" s="28"/>
      <c r="I10" s="28"/>
      <c r="J10" s="88">
        <v>2016.0</v>
      </c>
      <c r="K10" s="8" t="s">
        <v>140</v>
      </c>
      <c r="L10" s="88">
        <v>2016.0</v>
      </c>
      <c r="M10" s="8" t="s">
        <v>140</v>
      </c>
      <c r="N10" s="89">
        <v>42578.0</v>
      </c>
      <c r="O10" s="90" t="s">
        <v>173</v>
      </c>
      <c r="P10" s="28"/>
      <c r="R10" s="28"/>
      <c r="S10" s="28"/>
      <c r="T10" s="28"/>
      <c r="U10" s="28"/>
      <c r="V10" s="28"/>
      <c r="W10" s="43"/>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row>
    <row r="11">
      <c r="A11" s="28" t="s">
        <v>140</v>
      </c>
      <c r="B11" s="45" t="s">
        <v>184</v>
      </c>
      <c r="C11" s="28" t="s">
        <v>171</v>
      </c>
      <c r="D11" s="88">
        <v>9.995964330187E12</v>
      </c>
      <c r="E11" s="95"/>
      <c r="F11" s="87" t="s">
        <v>185</v>
      </c>
      <c r="G11" s="8" t="s">
        <v>173</v>
      </c>
      <c r="I11" s="61"/>
      <c r="J11" s="88">
        <v>2017.0</v>
      </c>
      <c r="K11" s="8" t="s">
        <v>140</v>
      </c>
      <c r="L11" s="88">
        <v>2017.0</v>
      </c>
      <c r="M11" s="8" t="s">
        <v>140</v>
      </c>
      <c r="N11" s="89">
        <v>42824.0</v>
      </c>
      <c r="O11" s="90" t="s">
        <v>173</v>
      </c>
      <c r="P11" s="61"/>
    </row>
    <row r="12">
      <c r="A12" s="28" t="s">
        <v>140</v>
      </c>
      <c r="B12" s="45" t="s">
        <v>186</v>
      </c>
      <c r="C12" s="28" t="s">
        <v>171</v>
      </c>
      <c r="D12" s="88">
        <v>9.995964330446E12</v>
      </c>
      <c r="E12" s="95"/>
      <c r="F12" s="87" t="s">
        <v>187</v>
      </c>
      <c r="G12" s="8" t="s">
        <v>173</v>
      </c>
      <c r="I12" s="61"/>
      <c r="J12" s="88">
        <v>2017.0</v>
      </c>
      <c r="K12" s="8" t="s">
        <v>140</v>
      </c>
      <c r="L12" s="88">
        <v>2017.0</v>
      </c>
      <c r="M12" s="8" t="s">
        <v>140</v>
      </c>
      <c r="N12" s="89">
        <v>42848.0</v>
      </c>
      <c r="O12" s="90" t="s">
        <v>173</v>
      </c>
      <c r="P12" s="61"/>
    </row>
    <row r="13">
      <c r="A13" s="28" t="s">
        <v>140</v>
      </c>
      <c r="B13" s="45" t="s">
        <v>188</v>
      </c>
      <c r="C13" s="28" t="s">
        <v>171</v>
      </c>
      <c r="D13" s="88">
        <v>9.995964357078E12</v>
      </c>
      <c r="E13" s="95"/>
      <c r="F13" s="87" t="s">
        <v>189</v>
      </c>
      <c r="G13" s="8" t="s">
        <v>173</v>
      </c>
      <c r="I13" s="61"/>
      <c r="J13" s="88">
        <v>2018.0</v>
      </c>
      <c r="K13" s="8" t="s">
        <v>140</v>
      </c>
      <c r="L13" s="88">
        <v>2018.0</v>
      </c>
      <c r="M13" s="8" t="s">
        <v>140</v>
      </c>
      <c r="N13" s="89">
        <v>43286.0</v>
      </c>
      <c r="O13" s="90" t="s">
        <v>173</v>
      </c>
      <c r="P13" s="61"/>
    </row>
    <row r="14">
      <c r="A14" s="28" t="s">
        <v>140</v>
      </c>
      <c r="B14" s="45" t="s">
        <v>190</v>
      </c>
      <c r="C14" s="28" t="s">
        <v>171</v>
      </c>
      <c r="D14" s="88">
        <v>9.995964357016E12</v>
      </c>
      <c r="E14" s="95"/>
      <c r="F14" s="87" t="s">
        <v>191</v>
      </c>
      <c r="G14" s="8" t="s">
        <v>173</v>
      </c>
      <c r="I14" s="61"/>
      <c r="J14" s="88">
        <v>2018.0</v>
      </c>
      <c r="K14" s="8" t="s">
        <v>140</v>
      </c>
      <c r="L14" s="88">
        <v>2018.0</v>
      </c>
      <c r="M14" s="8" t="s">
        <v>140</v>
      </c>
      <c r="N14" s="89">
        <v>43105.0</v>
      </c>
      <c r="O14" s="90" t="s">
        <v>173</v>
      </c>
      <c r="P14" s="61"/>
    </row>
    <row r="15">
      <c r="A15" s="28" t="s">
        <v>140</v>
      </c>
      <c r="B15" s="45" t="s">
        <v>192</v>
      </c>
      <c r="C15" s="8" t="s">
        <v>171</v>
      </c>
      <c r="D15" s="88">
        <v>9.995964332198E12</v>
      </c>
      <c r="E15" s="95"/>
      <c r="F15" s="87" t="s">
        <v>193</v>
      </c>
      <c r="G15" s="8" t="s">
        <v>173</v>
      </c>
      <c r="I15" s="61"/>
      <c r="J15" s="88">
        <v>2017.0</v>
      </c>
      <c r="K15" s="8" t="s">
        <v>140</v>
      </c>
      <c r="L15" s="88">
        <v>2017.0</v>
      </c>
      <c r="M15" s="8" t="s">
        <v>140</v>
      </c>
      <c r="N15" s="89">
        <v>43031.0</v>
      </c>
      <c r="O15" s="90" t="s">
        <v>173</v>
      </c>
      <c r="P15" s="61"/>
    </row>
    <row r="16">
      <c r="A16" s="28" t="s">
        <v>140</v>
      </c>
      <c r="B16" s="45" t="s">
        <v>194</v>
      </c>
      <c r="C16" s="8" t="s">
        <v>171</v>
      </c>
      <c r="D16" s="88">
        <v>9.99596432171E12</v>
      </c>
      <c r="E16" s="95"/>
      <c r="F16" s="87" t="s">
        <v>195</v>
      </c>
      <c r="G16" s="8" t="s">
        <v>173</v>
      </c>
      <c r="I16" s="99"/>
      <c r="J16" s="88">
        <v>2016.0</v>
      </c>
      <c r="K16" s="8" t="s">
        <v>140</v>
      </c>
      <c r="L16" s="88">
        <v>2016.0</v>
      </c>
      <c r="M16" s="8" t="s">
        <v>140</v>
      </c>
      <c r="N16" s="89">
        <v>42600.0</v>
      </c>
      <c r="O16" s="90" t="s">
        <v>173</v>
      </c>
      <c r="P16" s="61"/>
    </row>
    <row r="17">
      <c r="A17" s="28" t="s">
        <v>140</v>
      </c>
      <c r="B17" s="45" t="s">
        <v>196</v>
      </c>
      <c r="C17" s="8" t="s">
        <v>171</v>
      </c>
      <c r="D17" s="88">
        <v>9.995964330514E12</v>
      </c>
      <c r="E17" s="95"/>
      <c r="F17" s="87" t="s">
        <v>197</v>
      </c>
      <c r="G17" s="8" t="s">
        <v>173</v>
      </c>
      <c r="I17" s="99"/>
      <c r="J17" s="88">
        <v>2017.0</v>
      </c>
      <c r="K17" s="8" t="s">
        <v>140</v>
      </c>
      <c r="L17" s="88">
        <v>2017.0</v>
      </c>
      <c r="M17" s="8" t="s">
        <v>140</v>
      </c>
      <c r="N17" s="89">
        <v>42852.0</v>
      </c>
      <c r="O17" s="90" t="s">
        <v>173</v>
      </c>
      <c r="P17" s="61"/>
    </row>
    <row r="18">
      <c r="A18" s="28" t="s">
        <v>140</v>
      </c>
      <c r="B18" s="45" t="s">
        <v>198</v>
      </c>
      <c r="C18" s="8" t="s">
        <v>171</v>
      </c>
      <c r="D18" s="88">
        <v>9.995964330576E12</v>
      </c>
      <c r="E18" s="95"/>
      <c r="F18" s="87" t="s">
        <v>199</v>
      </c>
      <c r="G18" s="8" t="s">
        <v>173</v>
      </c>
      <c r="I18" s="99"/>
      <c r="J18" s="88">
        <v>2017.0</v>
      </c>
      <c r="K18" s="8" t="s">
        <v>140</v>
      </c>
      <c r="L18" s="88">
        <v>2017.0</v>
      </c>
      <c r="M18" s="8" t="s">
        <v>140</v>
      </c>
      <c r="N18" s="89">
        <v>42799.0</v>
      </c>
      <c r="O18" s="90" t="s">
        <v>173</v>
      </c>
      <c r="P18" s="61"/>
    </row>
    <row r="19">
      <c r="A19" s="28" t="s">
        <v>140</v>
      </c>
      <c r="B19" s="45" t="s">
        <v>200</v>
      </c>
      <c r="C19" s="8" t="s">
        <v>171</v>
      </c>
      <c r="D19" s="88">
        <v>9.99596432113E12</v>
      </c>
      <c r="E19" s="95"/>
      <c r="F19" s="87" t="s">
        <v>201</v>
      </c>
      <c r="G19" s="8" t="s">
        <v>173</v>
      </c>
      <c r="I19" s="99"/>
      <c r="J19" s="88">
        <v>2016.0</v>
      </c>
      <c r="K19" s="8" t="s">
        <v>140</v>
      </c>
      <c r="L19" s="88">
        <v>2016.0</v>
      </c>
      <c r="M19" s="8" t="s">
        <v>140</v>
      </c>
      <c r="N19" s="89">
        <v>42620.0</v>
      </c>
      <c r="O19" s="90" t="s">
        <v>173</v>
      </c>
      <c r="P19" s="61"/>
    </row>
    <row r="20">
      <c r="A20" s="28" t="s">
        <v>140</v>
      </c>
      <c r="B20" s="45" t="s">
        <v>202</v>
      </c>
      <c r="C20" s="8" t="s">
        <v>171</v>
      </c>
      <c r="D20" s="88">
        <v>9.995964321208E12</v>
      </c>
      <c r="E20" s="95"/>
      <c r="F20" s="87" t="s">
        <v>203</v>
      </c>
      <c r="G20" s="8" t="s">
        <v>173</v>
      </c>
      <c r="I20" s="61"/>
      <c r="J20" s="88">
        <v>2016.0</v>
      </c>
      <c r="K20" s="8" t="s">
        <v>140</v>
      </c>
      <c r="L20" s="88">
        <v>2016.0</v>
      </c>
      <c r="M20" s="8" t="s">
        <v>140</v>
      </c>
      <c r="N20" s="89">
        <v>42565.0</v>
      </c>
      <c r="O20" s="90" t="s">
        <v>173</v>
      </c>
      <c r="P20" s="61"/>
    </row>
    <row r="21">
      <c r="A21" s="28" t="s">
        <v>140</v>
      </c>
      <c r="B21" s="45" t="s">
        <v>204</v>
      </c>
      <c r="C21" s="8" t="s">
        <v>171</v>
      </c>
      <c r="D21" s="88">
        <v>9.99596435716E12</v>
      </c>
      <c r="E21" s="95"/>
      <c r="F21" s="87" t="s">
        <v>205</v>
      </c>
      <c r="G21" s="8" t="s">
        <v>173</v>
      </c>
      <c r="I21" s="61"/>
      <c r="J21" s="88">
        <v>2018.0</v>
      </c>
      <c r="K21" s="8" t="s">
        <v>140</v>
      </c>
      <c r="L21" s="88">
        <v>2018.0</v>
      </c>
      <c r="M21" s="8" t="s">
        <v>140</v>
      </c>
      <c r="N21" s="89">
        <v>43409.0</v>
      </c>
      <c r="O21" s="90" t="s">
        <v>173</v>
      </c>
      <c r="P21" s="61"/>
    </row>
    <row r="22">
      <c r="A22" s="28" t="s">
        <v>140</v>
      </c>
      <c r="B22" s="45" t="s">
        <v>206</v>
      </c>
      <c r="C22" s="8" t="s">
        <v>171</v>
      </c>
      <c r="D22" s="88">
        <v>9.995964356552E12</v>
      </c>
      <c r="E22" s="95"/>
      <c r="F22" s="87" t="s">
        <v>207</v>
      </c>
      <c r="G22" s="8" t="s">
        <v>173</v>
      </c>
      <c r="I22" s="61"/>
      <c r="J22" s="88">
        <v>2018.0</v>
      </c>
      <c r="K22" s="8" t="s">
        <v>140</v>
      </c>
      <c r="L22" s="88">
        <v>2018.0</v>
      </c>
      <c r="M22" s="8" t="s">
        <v>140</v>
      </c>
      <c r="N22" s="89">
        <v>43255.0</v>
      </c>
      <c r="O22" s="90" t="s">
        <v>173</v>
      </c>
      <c r="P22" s="61"/>
    </row>
    <row r="23">
      <c r="A23" s="28" t="s">
        <v>140</v>
      </c>
      <c r="B23" s="45" t="s">
        <v>208</v>
      </c>
      <c r="C23" s="8" t="s">
        <v>171</v>
      </c>
      <c r="D23" s="88">
        <v>9.995964321284E12</v>
      </c>
      <c r="E23" s="95"/>
      <c r="F23" s="87" t="s">
        <v>209</v>
      </c>
      <c r="G23" s="8" t="s">
        <v>173</v>
      </c>
      <c r="I23" s="61"/>
      <c r="J23" s="88">
        <v>2016.0</v>
      </c>
      <c r="K23" s="8" t="s">
        <v>140</v>
      </c>
      <c r="L23" s="88">
        <v>2016.0</v>
      </c>
      <c r="M23" s="8" t="s">
        <v>140</v>
      </c>
      <c r="N23" s="89">
        <v>42570.0</v>
      </c>
      <c r="O23" s="90" t="s">
        <v>173</v>
      </c>
      <c r="P23" s="61"/>
    </row>
    <row r="24">
      <c r="A24" s="28" t="s">
        <v>140</v>
      </c>
      <c r="B24" s="45" t="s">
        <v>210</v>
      </c>
      <c r="C24" s="8" t="s">
        <v>171</v>
      </c>
      <c r="D24" s="88">
        <v>9.995964320096E12</v>
      </c>
      <c r="E24" s="95"/>
      <c r="F24" s="87" t="s">
        <v>211</v>
      </c>
      <c r="G24" s="8" t="s">
        <v>173</v>
      </c>
      <c r="I24" s="61"/>
      <c r="J24" s="88">
        <v>2016.0</v>
      </c>
      <c r="K24" s="8" t="s">
        <v>140</v>
      </c>
      <c r="L24" s="88">
        <v>2016.0</v>
      </c>
      <c r="M24" s="8" t="s">
        <v>140</v>
      </c>
      <c r="N24" s="89">
        <v>42554.0</v>
      </c>
      <c r="O24" s="90" t="s">
        <v>173</v>
      </c>
      <c r="P24" s="61"/>
    </row>
    <row r="25">
      <c r="A25" s="28" t="s">
        <v>140</v>
      </c>
      <c r="B25" s="45" t="s">
        <v>212</v>
      </c>
      <c r="C25" s="8" t="s">
        <v>171</v>
      </c>
      <c r="D25" s="88">
        <v>9.995964356712E12</v>
      </c>
      <c r="E25" s="95"/>
      <c r="F25" s="87" t="s">
        <v>213</v>
      </c>
      <c r="G25" s="8" t="s">
        <v>173</v>
      </c>
      <c r="I25" s="61"/>
      <c r="J25" s="88">
        <v>2018.0</v>
      </c>
      <c r="K25" s="8" t="s">
        <v>140</v>
      </c>
      <c r="L25" s="88">
        <v>2018.0</v>
      </c>
      <c r="M25" s="8" t="s">
        <v>140</v>
      </c>
      <c r="N25" s="89">
        <v>43204.0</v>
      </c>
      <c r="O25" s="90" t="s">
        <v>173</v>
      </c>
      <c r="P25" s="61"/>
    </row>
    <row r="26">
      <c r="A26" s="28" t="s">
        <v>140</v>
      </c>
      <c r="B26" s="45" t="s">
        <v>214</v>
      </c>
      <c r="C26" s="8" t="s">
        <v>171</v>
      </c>
      <c r="D26" s="88">
        <v>9.995964332129E12</v>
      </c>
      <c r="E26" s="95"/>
      <c r="F26" s="87" t="s">
        <v>215</v>
      </c>
      <c r="G26" s="8" t="s">
        <v>173</v>
      </c>
      <c r="I26" s="61"/>
      <c r="J26" s="88">
        <v>2017.0</v>
      </c>
      <c r="K26" s="8" t="s">
        <v>140</v>
      </c>
      <c r="L26" s="88">
        <v>2017.0</v>
      </c>
      <c r="M26" s="8" t="s">
        <v>140</v>
      </c>
      <c r="N26" s="89">
        <v>43021.0</v>
      </c>
      <c r="O26" s="90" t="s">
        <v>173</v>
      </c>
      <c r="P26" s="61"/>
    </row>
    <row r="27">
      <c r="A27" s="28" t="s">
        <v>140</v>
      </c>
      <c r="B27" s="45" t="s">
        <v>216</v>
      </c>
      <c r="C27" s="8" t="s">
        <v>171</v>
      </c>
      <c r="D27" s="88">
        <v>9.995964320355E12</v>
      </c>
      <c r="E27" s="95"/>
      <c r="F27" s="87" t="s">
        <v>217</v>
      </c>
      <c r="G27" s="8" t="s">
        <v>173</v>
      </c>
      <c r="I27" s="61"/>
      <c r="J27" s="88">
        <v>2016.0</v>
      </c>
      <c r="K27" s="8" t="s">
        <v>140</v>
      </c>
      <c r="L27" s="88">
        <v>2016.0</v>
      </c>
      <c r="M27" s="8" t="s">
        <v>140</v>
      </c>
      <c r="N27" s="89">
        <v>42617.0</v>
      </c>
      <c r="O27" s="90" t="s">
        <v>173</v>
      </c>
      <c r="P27" s="61"/>
    </row>
    <row r="28">
      <c r="A28" s="28" t="s">
        <v>140</v>
      </c>
      <c r="B28" s="45" t="s">
        <v>218</v>
      </c>
      <c r="C28" s="8" t="s">
        <v>171</v>
      </c>
      <c r="D28" s="88">
        <v>9.99596433132E12</v>
      </c>
      <c r="E28" s="95"/>
      <c r="F28" s="87" t="s">
        <v>219</v>
      </c>
      <c r="G28" s="8" t="s">
        <v>173</v>
      </c>
      <c r="I28" s="61"/>
      <c r="J28" s="88">
        <v>2017.0</v>
      </c>
      <c r="K28" s="8" t="s">
        <v>140</v>
      </c>
      <c r="L28" s="88">
        <v>2017.0</v>
      </c>
      <c r="M28" s="8" t="s">
        <v>140</v>
      </c>
      <c r="N28" s="89">
        <v>42941.0</v>
      </c>
      <c r="O28" s="90" t="s">
        <v>173</v>
      </c>
      <c r="P28" s="61"/>
    </row>
    <row r="29">
      <c r="A29" s="28" t="s">
        <v>140</v>
      </c>
      <c r="B29" s="45" t="s">
        <v>220</v>
      </c>
      <c r="C29" s="8" t="s">
        <v>171</v>
      </c>
      <c r="D29" s="88">
        <v>9.995964313159E12</v>
      </c>
      <c r="E29" s="95"/>
      <c r="F29" s="87" t="s">
        <v>221</v>
      </c>
      <c r="G29" s="8" t="s">
        <v>173</v>
      </c>
      <c r="I29" s="61"/>
      <c r="J29" s="88">
        <v>2015.0</v>
      </c>
      <c r="K29" s="8" t="s">
        <v>140</v>
      </c>
      <c r="L29" s="88">
        <v>2015.0</v>
      </c>
      <c r="M29" s="8" t="s">
        <v>140</v>
      </c>
      <c r="N29" s="89">
        <v>42167.0</v>
      </c>
      <c r="O29" s="90" t="s">
        <v>173</v>
      </c>
      <c r="P29" s="61"/>
    </row>
    <row r="30">
      <c r="A30" s="28" t="s">
        <v>140</v>
      </c>
      <c r="B30" s="45" t="s">
        <v>222</v>
      </c>
      <c r="C30" s="8" t="s">
        <v>171</v>
      </c>
      <c r="D30" s="88">
        <v>9.99596433059E12</v>
      </c>
      <c r="E30" s="95"/>
      <c r="F30" s="87" t="s">
        <v>223</v>
      </c>
      <c r="G30" s="8" t="s">
        <v>173</v>
      </c>
      <c r="I30" s="61"/>
      <c r="J30" s="88">
        <v>2017.0</v>
      </c>
      <c r="K30" s="8" t="s">
        <v>140</v>
      </c>
      <c r="L30" s="88">
        <v>2017.0</v>
      </c>
      <c r="M30" s="8" t="s">
        <v>140</v>
      </c>
      <c r="N30" s="89">
        <v>42860.0</v>
      </c>
      <c r="O30" s="90" t="s">
        <v>173</v>
      </c>
      <c r="P30" s="61"/>
    </row>
    <row r="31">
      <c r="A31" s="28" t="s">
        <v>140</v>
      </c>
      <c r="B31" s="45" t="s">
        <v>224</v>
      </c>
      <c r="C31" s="8" t="s">
        <v>171</v>
      </c>
      <c r="D31" s="88">
        <v>9.995964356668E12</v>
      </c>
      <c r="E31" s="95"/>
      <c r="F31" s="87" t="s">
        <v>225</v>
      </c>
      <c r="G31" s="8" t="s">
        <v>173</v>
      </c>
      <c r="I31" s="61"/>
      <c r="J31" s="88">
        <v>2018.0</v>
      </c>
      <c r="K31" s="8" t="s">
        <v>140</v>
      </c>
      <c r="L31" s="88">
        <v>2018.0</v>
      </c>
      <c r="M31" s="8" t="s">
        <v>140</v>
      </c>
      <c r="N31" s="89">
        <v>43377.0</v>
      </c>
      <c r="O31" s="90" t="s">
        <v>173</v>
      </c>
      <c r="P31" s="61"/>
    </row>
    <row r="32">
      <c r="A32" s="28" t="s">
        <v>140</v>
      </c>
      <c r="B32" s="45" t="s">
        <v>226</v>
      </c>
      <c r="C32" s="8" t="s">
        <v>171</v>
      </c>
      <c r="D32" s="88">
        <v>9.995964356774E12</v>
      </c>
      <c r="E32" s="95"/>
      <c r="F32" s="87" t="s">
        <v>227</v>
      </c>
      <c r="G32" s="8" t="s">
        <v>173</v>
      </c>
      <c r="I32" s="61"/>
      <c r="J32" s="88">
        <v>2018.0</v>
      </c>
      <c r="K32" s="8" t="s">
        <v>140</v>
      </c>
      <c r="L32" s="88">
        <v>2018.0</v>
      </c>
      <c r="M32" s="8" t="s">
        <v>140</v>
      </c>
      <c r="N32" s="89">
        <v>43209.0</v>
      </c>
      <c r="O32" s="90" t="s">
        <v>173</v>
      </c>
      <c r="P32" s="61"/>
    </row>
    <row r="33">
      <c r="A33" s="28" t="s">
        <v>140</v>
      </c>
      <c r="B33" s="45" t="s">
        <v>228</v>
      </c>
      <c r="C33" s="8" t="s">
        <v>171</v>
      </c>
      <c r="D33" s="88">
        <v>9.995964321383E12</v>
      </c>
      <c r="E33" s="95"/>
      <c r="F33" s="87" t="s">
        <v>229</v>
      </c>
      <c r="G33" s="8" t="s">
        <v>173</v>
      </c>
      <c r="I33" s="61"/>
      <c r="J33" s="88">
        <v>2016.0</v>
      </c>
      <c r="K33" s="8" t="s">
        <v>140</v>
      </c>
      <c r="L33" s="88">
        <v>2016.0</v>
      </c>
      <c r="M33" s="8" t="s">
        <v>140</v>
      </c>
      <c r="N33" s="89">
        <v>42576.0</v>
      </c>
      <c r="O33" s="90" t="s">
        <v>173</v>
      </c>
      <c r="P33" s="61"/>
    </row>
    <row r="34">
      <c r="A34" s="28" t="s">
        <v>140</v>
      </c>
      <c r="B34" s="45" t="s">
        <v>230</v>
      </c>
      <c r="C34" s="8" t="s">
        <v>171</v>
      </c>
      <c r="D34" s="88">
        <v>9.995964332334E12</v>
      </c>
      <c r="E34" s="95"/>
      <c r="F34" s="87" t="s">
        <v>231</v>
      </c>
      <c r="G34" s="8" t="s">
        <v>173</v>
      </c>
      <c r="I34" s="61"/>
      <c r="J34" s="88">
        <v>2017.0</v>
      </c>
      <c r="K34" s="8" t="s">
        <v>140</v>
      </c>
      <c r="L34" s="88">
        <v>2017.0</v>
      </c>
      <c r="M34" s="8" t="s">
        <v>140</v>
      </c>
      <c r="N34" s="89">
        <v>42805.0</v>
      </c>
      <c r="O34" s="90" t="s">
        <v>173</v>
      </c>
      <c r="P34" s="61"/>
    </row>
    <row r="35">
      <c r="A35" s="28" t="s">
        <v>140</v>
      </c>
      <c r="B35" s="45" t="s">
        <v>232</v>
      </c>
      <c r="C35" s="8" t="s">
        <v>171</v>
      </c>
      <c r="D35" s="88">
        <v>9.99596435688E12</v>
      </c>
      <c r="E35" s="95"/>
      <c r="F35" s="87" t="s">
        <v>233</v>
      </c>
      <c r="G35" s="8" t="s">
        <v>173</v>
      </c>
      <c r="I35" s="61"/>
      <c r="J35" s="88">
        <v>2018.0</v>
      </c>
      <c r="K35" s="8" t="s">
        <v>140</v>
      </c>
      <c r="L35" s="88">
        <v>2018.0</v>
      </c>
      <c r="M35" s="8" t="s">
        <v>140</v>
      </c>
      <c r="N35" s="89">
        <v>43214.0</v>
      </c>
      <c r="O35" s="90" t="s">
        <v>173</v>
      </c>
      <c r="P35" s="61"/>
    </row>
    <row r="36">
      <c r="A36" s="28" t="s">
        <v>140</v>
      </c>
      <c r="B36" s="45" t="s">
        <v>234</v>
      </c>
      <c r="C36" s="8" t="s">
        <v>171</v>
      </c>
      <c r="D36" s="88">
        <v>9.995964330781E12</v>
      </c>
      <c r="E36" s="95"/>
      <c r="F36" s="87" t="s">
        <v>235</v>
      </c>
      <c r="G36" s="8" t="s">
        <v>173</v>
      </c>
      <c r="I36" s="61"/>
      <c r="J36" s="88">
        <v>2017.0</v>
      </c>
      <c r="K36" s="8" t="s">
        <v>140</v>
      </c>
      <c r="L36" s="88">
        <v>2017.0</v>
      </c>
      <c r="M36" s="8" t="s">
        <v>140</v>
      </c>
      <c r="N36" s="89">
        <v>42872.0</v>
      </c>
      <c r="O36" s="90" t="s">
        <v>173</v>
      </c>
      <c r="P36" s="61"/>
    </row>
    <row r="37">
      <c r="A37" s="28" t="s">
        <v>140</v>
      </c>
      <c r="B37" s="45" t="s">
        <v>236</v>
      </c>
      <c r="C37" s="8" t="s">
        <v>171</v>
      </c>
      <c r="D37" s="88">
        <v>9.995964356941E12</v>
      </c>
      <c r="E37" s="95"/>
      <c r="F37" s="87" t="s">
        <v>237</v>
      </c>
      <c r="G37" s="8" t="s">
        <v>173</v>
      </c>
      <c r="I37" s="61"/>
      <c r="J37" s="88">
        <v>2018.0</v>
      </c>
      <c r="K37" s="8" t="s">
        <v>140</v>
      </c>
      <c r="L37" s="88">
        <v>2018.0</v>
      </c>
      <c r="M37" s="8" t="s">
        <v>140</v>
      </c>
      <c r="N37" s="89">
        <v>43216.0</v>
      </c>
      <c r="O37" s="90" t="s">
        <v>173</v>
      </c>
      <c r="P37" s="61"/>
    </row>
    <row r="38">
      <c r="A38" s="28" t="s">
        <v>140</v>
      </c>
      <c r="B38" s="45" t="s">
        <v>238</v>
      </c>
      <c r="C38" s="8" t="s">
        <v>171</v>
      </c>
      <c r="D38" s="88">
        <v>9.995964356491E12</v>
      </c>
      <c r="E38" s="95"/>
      <c r="F38" s="87" t="s">
        <v>239</v>
      </c>
      <c r="G38" s="8" t="s">
        <v>173</v>
      </c>
      <c r="I38" s="61"/>
      <c r="J38" s="88">
        <v>2018.0</v>
      </c>
      <c r="K38" s="8" t="s">
        <v>140</v>
      </c>
      <c r="L38" s="88">
        <v>2018.0</v>
      </c>
      <c r="M38" s="8" t="s">
        <v>140</v>
      </c>
      <c r="N38" s="89">
        <v>43163.0</v>
      </c>
      <c r="O38" s="90" t="s">
        <v>173</v>
      </c>
      <c r="P38" s="61"/>
    </row>
    <row r="39">
      <c r="A39" s="28" t="s">
        <v>140</v>
      </c>
      <c r="B39" s="45" t="s">
        <v>240</v>
      </c>
      <c r="C39" s="8" t="s">
        <v>171</v>
      </c>
      <c r="D39" s="88">
        <v>9.995964331283E12</v>
      </c>
      <c r="E39" s="95"/>
      <c r="F39" s="87" t="s">
        <v>241</v>
      </c>
      <c r="G39" s="8" t="s">
        <v>173</v>
      </c>
      <c r="I39" s="61"/>
      <c r="J39" s="88">
        <v>2017.0</v>
      </c>
      <c r="K39" s="8" t="s">
        <v>140</v>
      </c>
      <c r="L39" s="88">
        <v>2017.0</v>
      </c>
      <c r="M39" s="8" t="s">
        <v>140</v>
      </c>
      <c r="N39" s="89">
        <v>42938.0</v>
      </c>
      <c r="O39" s="90" t="s">
        <v>173</v>
      </c>
      <c r="P39" s="61"/>
    </row>
    <row r="40">
      <c r="A40" s="28" t="s">
        <v>140</v>
      </c>
      <c r="B40" s="45" t="s">
        <v>242</v>
      </c>
      <c r="C40" s="8" t="s">
        <v>171</v>
      </c>
      <c r="D40" s="88">
        <v>9.995964332242E12</v>
      </c>
      <c r="E40" s="95"/>
      <c r="F40" s="87" t="s">
        <v>243</v>
      </c>
      <c r="G40" s="8" t="s">
        <v>173</v>
      </c>
      <c r="I40" s="61"/>
      <c r="J40" s="88">
        <v>2017.0</v>
      </c>
      <c r="K40" s="8" t="s">
        <v>140</v>
      </c>
      <c r="L40" s="88">
        <v>2017.0</v>
      </c>
      <c r="M40" s="8" t="s">
        <v>140</v>
      </c>
      <c r="N40" s="89">
        <v>43036.0</v>
      </c>
      <c r="O40" s="90" t="s">
        <v>173</v>
      </c>
      <c r="P40" s="61"/>
    </row>
    <row r="41">
      <c r="A41" s="28" t="s">
        <v>140</v>
      </c>
      <c r="B41" s="45" t="s">
        <v>244</v>
      </c>
      <c r="C41" s="8" t="s">
        <v>171</v>
      </c>
      <c r="D41" s="88">
        <v>9.995964319601E12</v>
      </c>
      <c r="E41" s="95"/>
      <c r="F41" s="87" t="s">
        <v>245</v>
      </c>
      <c r="G41" s="8" t="s">
        <v>173</v>
      </c>
      <c r="I41" s="61"/>
      <c r="J41" s="88">
        <v>2015.0</v>
      </c>
      <c r="K41" s="8" t="s">
        <v>140</v>
      </c>
      <c r="L41" s="88">
        <v>2015.0</v>
      </c>
      <c r="M41" s="8" t="s">
        <v>140</v>
      </c>
      <c r="N41" s="89">
        <v>42363.0</v>
      </c>
      <c r="O41" s="90" t="s">
        <v>173</v>
      </c>
      <c r="P41" s="61"/>
    </row>
    <row r="42">
      <c r="A42" s="28" t="s">
        <v>140</v>
      </c>
      <c r="B42" s="45" t="s">
        <v>246</v>
      </c>
      <c r="C42" s="8" t="s">
        <v>171</v>
      </c>
      <c r="D42" s="88">
        <v>9.995964329112E12</v>
      </c>
      <c r="E42" s="95"/>
      <c r="F42" s="87" t="s">
        <v>247</v>
      </c>
      <c r="G42" s="8" t="s">
        <v>173</v>
      </c>
      <c r="I42" s="61"/>
      <c r="J42" s="88">
        <v>2017.0</v>
      </c>
      <c r="K42" s="8" t="s">
        <v>140</v>
      </c>
      <c r="L42" s="88">
        <v>2017.0</v>
      </c>
      <c r="M42" s="8" t="s">
        <v>140</v>
      </c>
      <c r="N42" s="89">
        <v>42751.0</v>
      </c>
      <c r="O42" s="90" t="s">
        <v>173</v>
      </c>
      <c r="P42" s="61"/>
    </row>
    <row r="43">
      <c r="A43" s="28" t="s">
        <v>140</v>
      </c>
      <c r="B43" s="45" t="s">
        <v>248</v>
      </c>
      <c r="C43" s="8" t="s">
        <v>171</v>
      </c>
      <c r="D43" s="88">
        <v>9.99596435659E12</v>
      </c>
      <c r="E43" s="95"/>
      <c r="F43" s="87" t="s">
        <v>249</v>
      </c>
      <c r="G43" s="8" t="s">
        <v>173</v>
      </c>
      <c r="I43" s="61"/>
      <c r="J43" s="88">
        <v>2018.0</v>
      </c>
      <c r="K43" s="8" t="s">
        <v>140</v>
      </c>
      <c r="L43" s="88">
        <v>2018.0</v>
      </c>
      <c r="M43" s="8" t="s">
        <v>140</v>
      </c>
      <c r="N43" s="89">
        <v>43316.0</v>
      </c>
      <c r="O43" s="90" t="s">
        <v>173</v>
      </c>
      <c r="P43" s="61"/>
    </row>
    <row r="44">
      <c r="A44" s="28" t="s">
        <v>140</v>
      </c>
      <c r="B44" s="45" t="s">
        <v>250</v>
      </c>
      <c r="C44" s="8" t="s">
        <v>171</v>
      </c>
      <c r="D44" s="88">
        <v>9.995964332228E12</v>
      </c>
      <c r="E44" s="95"/>
      <c r="F44" s="87" t="s">
        <v>251</v>
      </c>
      <c r="G44" s="8" t="s">
        <v>173</v>
      </c>
      <c r="I44" s="61"/>
      <c r="J44" s="88">
        <v>2017.0</v>
      </c>
      <c r="K44" s="8" t="s">
        <v>140</v>
      </c>
      <c r="L44" s="88">
        <v>2017.0</v>
      </c>
      <c r="M44" s="8" t="s">
        <v>140</v>
      </c>
      <c r="N44" s="89">
        <v>43034.0</v>
      </c>
      <c r="O44" s="90" t="s">
        <v>173</v>
      </c>
      <c r="P44" s="61"/>
    </row>
    <row r="45">
      <c r="A45" s="28" t="s">
        <v>140</v>
      </c>
      <c r="B45" s="45" t="s">
        <v>252</v>
      </c>
      <c r="C45" s="8" t="s">
        <v>171</v>
      </c>
      <c r="D45" s="88">
        <v>9.995964331528E12</v>
      </c>
      <c r="E45" s="95"/>
      <c r="F45" s="87" t="s">
        <v>253</v>
      </c>
      <c r="G45" s="8" t="s">
        <v>173</v>
      </c>
      <c r="I45" s="61"/>
      <c r="J45" s="88">
        <v>2017.0</v>
      </c>
      <c r="K45" s="8" t="s">
        <v>140</v>
      </c>
      <c r="L45" s="88">
        <v>2017.0</v>
      </c>
      <c r="M45" s="8" t="s">
        <v>140</v>
      </c>
      <c r="N45" s="89">
        <v>42962.0</v>
      </c>
      <c r="O45" s="90" t="s">
        <v>173</v>
      </c>
      <c r="P45" s="61"/>
    </row>
    <row r="46">
      <c r="A46" s="28" t="s">
        <v>140</v>
      </c>
      <c r="B46" s="45" t="s">
        <v>254</v>
      </c>
      <c r="C46" s="8" t="s">
        <v>171</v>
      </c>
      <c r="D46" s="88">
        <v>9.995964357931E12</v>
      </c>
      <c r="E46" s="95"/>
      <c r="F46" s="87" t="s">
        <v>255</v>
      </c>
      <c r="G46" s="8" t="s">
        <v>173</v>
      </c>
      <c r="I46" s="61"/>
      <c r="J46" s="88">
        <v>2018.0</v>
      </c>
      <c r="K46" s="8" t="s">
        <v>140</v>
      </c>
      <c r="L46" s="88">
        <v>2018.0</v>
      </c>
      <c r="M46" s="8" t="s">
        <v>140</v>
      </c>
      <c r="N46" s="89">
        <v>43308.0</v>
      </c>
      <c r="O46" s="90" t="s">
        <v>173</v>
      </c>
      <c r="P46" s="61"/>
    </row>
    <row r="47">
      <c r="A47" s="28" t="s">
        <v>140</v>
      </c>
      <c r="B47" s="45" t="s">
        <v>256</v>
      </c>
      <c r="C47" s="8" t="s">
        <v>171</v>
      </c>
      <c r="D47" s="88">
        <v>9.995964357917E12</v>
      </c>
      <c r="E47" s="95"/>
      <c r="F47" s="87" t="s">
        <v>257</v>
      </c>
      <c r="G47" s="8" t="s">
        <v>173</v>
      </c>
      <c r="I47" s="61"/>
      <c r="J47" s="88">
        <v>2018.0</v>
      </c>
      <c r="K47" s="8" t="s">
        <v>140</v>
      </c>
      <c r="L47" s="88">
        <v>2018.0</v>
      </c>
      <c r="M47" s="8" t="s">
        <v>140</v>
      </c>
      <c r="N47" s="89">
        <v>43305.0</v>
      </c>
      <c r="O47" s="90" t="s">
        <v>173</v>
      </c>
      <c r="P47" s="61"/>
    </row>
    <row r="48">
      <c r="A48" s="28" t="s">
        <v>140</v>
      </c>
      <c r="B48" s="45" t="s">
        <v>258</v>
      </c>
      <c r="C48" s="8" t="s">
        <v>171</v>
      </c>
      <c r="D48" s="88">
        <v>9.995964359133E12</v>
      </c>
      <c r="E48" s="95"/>
      <c r="F48" s="87" t="s">
        <v>259</v>
      </c>
      <c r="G48" s="8" t="s">
        <v>173</v>
      </c>
      <c r="I48" s="61"/>
      <c r="J48" s="88">
        <v>2018.0</v>
      </c>
      <c r="K48" s="8" t="s">
        <v>140</v>
      </c>
      <c r="L48" s="88">
        <v>2018.0</v>
      </c>
      <c r="M48" s="8" t="s">
        <v>140</v>
      </c>
      <c r="N48" s="89">
        <v>43412.0</v>
      </c>
      <c r="O48" s="90" t="s">
        <v>173</v>
      </c>
      <c r="P48" s="61"/>
    </row>
    <row r="49">
      <c r="A49" s="28" t="s">
        <v>140</v>
      </c>
      <c r="B49" s="45" t="s">
        <v>260</v>
      </c>
      <c r="C49" s="8" t="s">
        <v>171</v>
      </c>
      <c r="D49" s="88">
        <v>9.99596435927E12</v>
      </c>
      <c r="E49" s="95"/>
      <c r="F49" s="87" t="s">
        <v>261</v>
      </c>
      <c r="G49" s="8" t="s">
        <v>173</v>
      </c>
      <c r="I49" s="61"/>
      <c r="J49" s="88">
        <v>2018.0</v>
      </c>
      <c r="K49" s="8" t="s">
        <v>140</v>
      </c>
      <c r="L49" s="88">
        <v>2018.0</v>
      </c>
      <c r="M49" s="8" t="s">
        <v>140</v>
      </c>
      <c r="N49" s="89">
        <v>43229.0</v>
      </c>
      <c r="O49" s="90" t="s">
        <v>173</v>
      </c>
      <c r="P49" s="61"/>
    </row>
    <row r="50">
      <c r="A50" s="28" t="s">
        <v>140</v>
      </c>
      <c r="B50" s="45" t="s">
        <v>262</v>
      </c>
      <c r="C50" s="8" t="s">
        <v>171</v>
      </c>
      <c r="D50" s="88">
        <v>9.995964359225E12</v>
      </c>
      <c r="E50" s="95"/>
      <c r="F50" s="87" t="s">
        <v>263</v>
      </c>
      <c r="G50" s="8" t="s">
        <v>173</v>
      </c>
      <c r="I50" s="61"/>
      <c r="J50" s="88">
        <v>2018.0</v>
      </c>
      <c r="K50" s="8" t="s">
        <v>140</v>
      </c>
      <c r="L50" s="88">
        <v>2018.0</v>
      </c>
      <c r="M50" s="8" t="s">
        <v>140</v>
      </c>
      <c r="N50" s="89">
        <v>43340.0</v>
      </c>
      <c r="O50" s="90" t="s">
        <v>173</v>
      </c>
      <c r="P50" s="61"/>
    </row>
    <row r="51">
      <c r="A51" s="28" t="s">
        <v>140</v>
      </c>
      <c r="B51" s="45" t="s">
        <v>264</v>
      </c>
      <c r="C51" s="8" t="s">
        <v>171</v>
      </c>
      <c r="D51" s="88">
        <v>9.995964357948E12</v>
      </c>
      <c r="E51" s="95"/>
      <c r="F51" s="87" t="s">
        <v>265</v>
      </c>
      <c r="G51" s="8" t="s">
        <v>173</v>
      </c>
      <c r="I51" s="61"/>
      <c r="J51" s="88">
        <v>2018.0</v>
      </c>
      <c r="K51" s="8" t="s">
        <v>140</v>
      </c>
      <c r="L51" s="88">
        <v>2018.0</v>
      </c>
      <c r="M51" s="8" t="s">
        <v>140</v>
      </c>
      <c r="N51" s="89">
        <v>43139.0</v>
      </c>
      <c r="O51" s="90" t="s">
        <v>173</v>
      </c>
      <c r="P51" s="61"/>
    </row>
    <row r="52">
      <c r="A52" s="28" t="s">
        <v>140</v>
      </c>
      <c r="B52" s="45" t="s">
        <v>266</v>
      </c>
      <c r="C52" s="8" t="s">
        <v>171</v>
      </c>
      <c r="D52" s="88">
        <v>9.995964357979E12</v>
      </c>
      <c r="E52" s="95"/>
      <c r="F52" s="87" t="s">
        <v>267</v>
      </c>
      <c r="G52" s="8" t="s">
        <v>173</v>
      </c>
      <c r="I52" s="61"/>
      <c r="J52" s="88">
        <v>2018.0</v>
      </c>
      <c r="K52" s="8" t="s">
        <v>140</v>
      </c>
      <c r="L52" s="88">
        <v>2018.0</v>
      </c>
      <c r="M52" s="8" t="s">
        <v>140</v>
      </c>
      <c r="N52" s="89">
        <v>43167.0</v>
      </c>
      <c r="O52" s="90" t="s">
        <v>173</v>
      </c>
      <c r="P52" s="61"/>
    </row>
    <row r="53">
      <c r="A53" s="28" t="s">
        <v>140</v>
      </c>
      <c r="B53" s="45" t="s">
        <v>268</v>
      </c>
      <c r="C53" s="8" t="s">
        <v>171</v>
      </c>
      <c r="D53" s="88">
        <v>9.995964336714E12</v>
      </c>
      <c r="E53" s="95"/>
      <c r="F53" s="87" t="s">
        <v>269</v>
      </c>
      <c r="G53" s="8" t="s">
        <v>173</v>
      </c>
      <c r="I53" s="61"/>
      <c r="J53" s="88">
        <v>2018.0</v>
      </c>
      <c r="K53" s="8" t="s">
        <v>140</v>
      </c>
      <c r="L53" s="88">
        <v>2018.0</v>
      </c>
      <c r="M53" s="8" t="s">
        <v>140</v>
      </c>
      <c r="N53" s="89">
        <v>43415.0</v>
      </c>
      <c r="O53" s="90" t="s">
        <v>173</v>
      </c>
      <c r="P53" s="61"/>
    </row>
    <row r="54">
      <c r="A54" s="28" t="s">
        <v>140</v>
      </c>
      <c r="B54" s="45" t="s">
        <v>270</v>
      </c>
      <c r="C54" s="8" t="s">
        <v>171</v>
      </c>
      <c r="D54" s="88">
        <v>9.995964336943E12</v>
      </c>
      <c r="E54" s="95"/>
      <c r="F54" s="87" t="s">
        <v>271</v>
      </c>
      <c r="G54" s="8" t="s">
        <v>173</v>
      </c>
      <c r="I54" s="61"/>
      <c r="J54" s="88">
        <v>2018.0</v>
      </c>
      <c r="K54" s="8" t="s">
        <v>140</v>
      </c>
      <c r="L54" s="88">
        <v>2018.0</v>
      </c>
      <c r="M54" s="8" t="s">
        <v>140</v>
      </c>
      <c r="N54" s="89">
        <v>43437.0</v>
      </c>
      <c r="O54" s="90" t="s">
        <v>173</v>
      </c>
      <c r="P54" s="61"/>
    </row>
    <row r="55">
      <c r="A55" s="28" t="s">
        <v>140</v>
      </c>
      <c r="B55" s="45" t="s">
        <v>272</v>
      </c>
      <c r="C55" s="8" t="s">
        <v>171</v>
      </c>
      <c r="D55" s="88">
        <v>9.995964336981E12</v>
      </c>
      <c r="E55" s="95"/>
      <c r="F55" s="87" t="s">
        <v>273</v>
      </c>
      <c r="G55" s="8" t="s">
        <v>173</v>
      </c>
      <c r="I55" s="61"/>
      <c r="J55" s="88">
        <v>2018.0</v>
      </c>
      <c r="K55" s="8" t="s">
        <v>140</v>
      </c>
      <c r="L55" s="88">
        <v>2018.0</v>
      </c>
      <c r="M55" s="8" t="s">
        <v>140</v>
      </c>
      <c r="N55" s="89">
        <v>43442.0</v>
      </c>
      <c r="O55" s="90" t="s">
        <v>173</v>
      </c>
      <c r="P55" s="61"/>
    </row>
    <row r="56">
      <c r="A56" s="28" t="s">
        <v>140</v>
      </c>
      <c r="B56" s="45" t="s">
        <v>274</v>
      </c>
      <c r="C56" s="8" t="s">
        <v>171</v>
      </c>
      <c r="D56" s="88">
        <v>9.995964337339E12</v>
      </c>
      <c r="E56" s="95"/>
      <c r="F56" s="87" t="s">
        <v>275</v>
      </c>
      <c r="G56" s="8" t="s">
        <v>173</v>
      </c>
      <c r="I56" s="61"/>
      <c r="J56" s="88">
        <v>2018.0</v>
      </c>
      <c r="K56" s="8" t="s">
        <v>140</v>
      </c>
      <c r="L56" s="88">
        <v>2024.0</v>
      </c>
      <c r="M56" s="8" t="s">
        <v>140</v>
      </c>
      <c r="N56" s="89">
        <v>43463.0</v>
      </c>
      <c r="O56" s="90" t="s">
        <v>173</v>
      </c>
      <c r="P56" s="61"/>
    </row>
    <row r="57">
      <c r="A57" s="28" t="s">
        <v>140</v>
      </c>
      <c r="B57" s="45" t="s">
        <v>276</v>
      </c>
      <c r="C57" s="8" t="s">
        <v>171</v>
      </c>
      <c r="D57" s="88">
        <v>9.995964337346E12</v>
      </c>
      <c r="E57" s="95"/>
      <c r="F57" s="87" t="s">
        <v>277</v>
      </c>
      <c r="G57" s="8" t="s">
        <v>173</v>
      </c>
      <c r="I57" s="61"/>
      <c r="J57" s="88">
        <v>2018.0</v>
      </c>
      <c r="K57" s="8" t="s">
        <v>140</v>
      </c>
      <c r="L57" s="88">
        <v>2018.0</v>
      </c>
      <c r="M57" s="8" t="s">
        <v>140</v>
      </c>
      <c r="N57" s="89">
        <v>43464.0</v>
      </c>
      <c r="O57" s="90" t="s">
        <v>173</v>
      </c>
      <c r="P57" s="61"/>
    </row>
    <row r="58">
      <c r="A58" s="28" t="s">
        <v>140</v>
      </c>
      <c r="B58" s="45" t="s">
        <v>278</v>
      </c>
      <c r="C58" s="8" t="s">
        <v>171</v>
      </c>
      <c r="D58" s="88">
        <v>9.995964338275E12</v>
      </c>
      <c r="E58" s="95"/>
      <c r="F58" s="87" t="s">
        <v>279</v>
      </c>
      <c r="G58" s="8" t="s">
        <v>173</v>
      </c>
      <c r="I58" s="61"/>
      <c r="J58" s="88">
        <v>2018.0</v>
      </c>
      <c r="K58" s="8" t="s">
        <v>140</v>
      </c>
      <c r="L58" s="88">
        <v>2018.0</v>
      </c>
      <c r="M58" s="8" t="s">
        <v>140</v>
      </c>
      <c r="N58" s="89">
        <v>43448.0</v>
      </c>
      <c r="O58" s="90" t="s">
        <v>173</v>
      </c>
      <c r="P58" s="61"/>
    </row>
    <row r="59">
      <c r="A59" s="28" t="s">
        <v>140</v>
      </c>
      <c r="B59" s="45" t="s">
        <v>280</v>
      </c>
      <c r="C59" s="8" t="s">
        <v>171</v>
      </c>
      <c r="D59" s="88">
        <v>9.995964340322E12</v>
      </c>
      <c r="E59" s="95"/>
      <c r="F59" s="87" t="s">
        <v>281</v>
      </c>
      <c r="G59" s="8" t="s">
        <v>173</v>
      </c>
      <c r="I59" s="61"/>
      <c r="J59" s="88">
        <v>2019.0</v>
      </c>
      <c r="K59" s="8" t="s">
        <v>140</v>
      </c>
      <c r="L59" s="88">
        <v>2019.0</v>
      </c>
      <c r="M59" s="8" t="s">
        <v>140</v>
      </c>
      <c r="N59" s="89">
        <v>43608.0</v>
      </c>
      <c r="O59" s="90" t="s">
        <v>173</v>
      </c>
      <c r="P59" s="61"/>
    </row>
    <row r="60">
      <c r="A60" s="28" t="s">
        <v>140</v>
      </c>
      <c r="B60" s="45" t="s">
        <v>282</v>
      </c>
      <c r="C60" s="8" t="s">
        <v>171</v>
      </c>
      <c r="D60" s="88">
        <v>9.995964340483E12</v>
      </c>
      <c r="E60" s="95"/>
      <c r="F60" s="87" t="s">
        <v>283</v>
      </c>
      <c r="G60" s="8" t="s">
        <v>173</v>
      </c>
      <c r="I60" s="61"/>
      <c r="J60" s="88">
        <v>2019.0</v>
      </c>
      <c r="K60" s="8" t="s">
        <v>140</v>
      </c>
      <c r="L60" s="88">
        <v>2019.0</v>
      </c>
      <c r="M60" s="8" t="s">
        <v>140</v>
      </c>
      <c r="N60" s="89">
        <v>43614.0</v>
      </c>
      <c r="O60" s="90" t="s">
        <v>173</v>
      </c>
      <c r="P60" s="61"/>
    </row>
    <row r="61">
      <c r="A61" s="28" t="s">
        <v>140</v>
      </c>
      <c r="B61" s="45" t="s">
        <v>284</v>
      </c>
      <c r="C61" s="8" t="s">
        <v>171</v>
      </c>
      <c r="D61" s="88">
        <v>9.995964340612E12</v>
      </c>
      <c r="E61" s="95"/>
      <c r="F61" s="87" t="s">
        <v>285</v>
      </c>
      <c r="G61" s="8" t="s">
        <v>173</v>
      </c>
      <c r="I61" s="61"/>
      <c r="J61" s="88">
        <v>2019.0</v>
      </c>
      <c r="K61" s="8" t="s">
        <v>140</v>
      </c>
      <c r="L61" s="88">
        <v>2019.0</v>
      </c>
      <c r="M61" s="8" t="s">
        <v>140</v>
      </c>
      <c r="N61" s="89">
        <v>43617.0</v>
      </c>
      <c r="O61" s="90" t="s">
        <v>173</v>
      </c>
      <c r="P61" s="61"/>
    </row>
    <row r="62">
      <c r="A62" s="28" t="s">
        <v>140</v>
      </c>
      <c r="B62" s="45" t="s">
        <v>286</v>
      </c>
      <c r="C62" s="8" t="s">
        <v>171</v>
      </c>
      <c r="D62" s="88">
        <v>9.995964340759E12</v>
      </c>
      <c r="E62" s="95"/>
      <c r="F62" s="87" t="s">
        <v>287</v>
      </c>
      <c r="G62" s="8" t="s">
        <v>173</v>
      </c>
      <c r="I62" s="61"/>
      <c r="J62" s="88">
        <v>2019.0</v>
      </c>
      <c r="K62" s="8" t="s">
        <v>140</v>
      </c>
      <c r="L62" s="88">
        <v>2019.0</v>
      </c>
      <c r="M62" s="8" t="s">
        <v>140</v>
      </c>
      <c r="N62" s="89">
        <v>43619.0</v>
      </c>
      <c r="O62" s="90" t="s">
        <v>173</v>
      </c>
      <c r="P62" s="61"/>
    </row>
    <row r="63">
      <c r="A63" s="28" t="s">
        <v>140</v>
      </c>
      <c r="B63" s="45" t="s">
        <v>288</v>
      </c>
      <c r="C63" s="8" t="s">
        <v>171</v>
      </c>
      <c r="D63" s="88">
        <v>9.995964340933E12</v>
      </c>
      <c r="E63" s="95"/>
      <c r="F63" s="87" t="s">
        <v>289</v>
      </c>
      <c r="G63" s="8" t="s">
        <v>173</v>
      </c>
      <c r="I63" s="61"/>
      <c r="J63" s="88">
        <v>2019.0</v>
      </c>
      <c r="K63" s="8" t="s">
        <v>140</v>
      </c>
      <c r="L63" s="88">
        <v>2019.0</v>
      </c>
      <c r="M63" s="8" t="s">
        <v>140</v>
      </c>
      <c r="N63" s="89">
        <v>43620.0</v>
      </c>
      <c r="O63" s="90" t="s">
        <v>173</v>
      </c>
      <c r="P63" s="61"/>
    </row>
    <row r="64">
      <c r="A64" s="28" t="s">
        <v>140</v>
      </c>
      <c r="B64" s="45" t="s">
        <v>290</v>
      </c>
      <c r="C64" s="8" t="s">
        <v>171</v>
      </c>
      <c r="D64" s="88">
        <v>9.995964341268E12</v>
      </c>
      <c r="E64" s="95"/>
      <c r="F64" s="87" t="s">
        <v>291</v>
      </c>
      <c r="G64" s="8" t="s">
        <v>173</v>
      </c>
      <c r="I64" s="61"/>
      <c r="J64" s="88">
        <v>2019.0</v>
      </c>
      <c r="K64" s="8" t="s">
        <v>140</v>
      </c>
      <c r="L64" s="88">
        <v>2019.0</v>
      </c>
      <c r="M64" s="8" t="s">
        <v>140</v>
      </c>
      <c r="N64" s="89">
        <v>43624.0</v>
      </c>
      <c r="O64" s="90" t="s">
        <v>173</v>
      </c>
      <c r="P64" s="61"/>
    </row>
    <row r="65">
      <c r="A65" s="28" t="s">
        <v>140</v>
      </c>
      <c r="B65" s="45" t="s">
        <v>292</v>
      </c>
      <c r="C65" s="8" t="s">
        <v>171</v>
      </c>
      <c r="D65" s="88">
        <v>9.995964341831E12</v>
      </c>
      <c r="E65" s="95"/>
      <c r="F65" s="87" t="s">
        <v>293</v>
      </c>
      <c r="G65" s="8" t="s">
        <v>173</v>
      </c>
      <c r="I65" s="61"/>
      <c r="J65" s="88">
        <v>2019.0</v>
      </c>
      <c r="K65" s="8" t="s">
        <v>140</v>
      </c>
      <c r="L65" s="88">
        <v>2019.0</v>
      </c>
      <c r="M65" s="8" t="s">
        <v>140</v>
      </c>
      <c r="N65" s="89">
        <v>43639.0</v>
      </c>
      <c r="O65" s="90" t="s">
        <v>173</v>
      </c>
      <c r="P65" s="61"/>
    </row>
    <row r="66">
      <c r="A66" s="28" t="s">
        <v>140</v>
      </c>
      <c r="B66" s="45" t="s">
        <v>294</v>
      </c>
      <c r="C66" s="8" t="s">
        <v>171</v>
      </c>
      <c r="D66" s="88">
        <v>9.995964342975E12</v>
      </c>
      <c r="E66" s="95"/>
      <c r="F66" s="87" t="s">
        <v>295</v>
      </c>
      <c r="G66" s="8" t="s">
        <v>173</v>
      </c>
      <c r="I66" s="61"/>
      <c r="J66" s="88">
        <v>2019.0</v>
      </c>
      <c r="K66" s="8" t="s">
        <v>140</v>
      </c>
      <c r="L66" s="88">
        <v>2019.0</v>
      </c>
      <c r="M66" s="8" t="s">
        <v>140</v>
      </c>
      <c r="N66" s="89">
        <v>43667.0</v>
      </c>
      <c r="O66" s="90" t="s">
        <v>173</v>
      </c>
      <c r="P66" s="61"/>
    </row>
    <row r="67">
      <c r="A67" s="28" t="s">
        <v>140</v>
      </c>
      <c r="B67" s="45" t="s">
        <v>296</v>
      </c>
      <c r="C67" s="8" t="s">
        <v>171</v>
      </c>
      <c r="D67" s="88">
        <v>9.995964343125E12</v>
      </c>
      <c r="E67" s="95"/>
      <c r="F67" s="87" t="s">
        <v>297</v>
      </c>
      <c r="G67" s="8" t="s">
        <v>173</v>
      </c>
      <c r="I67" s="61"/>
      <c r="J67" s="88">
        <v>2019.0</v>
      </c>
      <c r="K67" s="8" t="s">
        <v>140</v>
      </c>
      <c r="L67" s="88">
        <v>2019.0</v>
      </c>
      <c r="M67" s="8" t="s">
        <v>140</v>
      </c>
      <c r="N67" s="89">
        <v>43669.0</v>
      </c>
      <c r="O67" s="90" t="s">
        <v>173</v>
      </c>
      <c r="P67" s="61"/>
    </row>
    <row r="68">
      <c r="A68" s="28" t="s">
        <v>140</v>
      </c>
      <c r="B68" s="45" t="s">
        <v>298</v>
      </c>
      <c r="C68" s="8" t="s">
        <v>171</v>
      </c>
      <c r="D68" s="88">
        <v>9.995964343309E12</v>
      </c>
      <c r="E68" s="95"/>
      <c r="F68" s="87" t="s">
        <v>299</v>
      </c>
      <c r="G68" s="8" t="s">
        <v>173</v>
      </c>
      <c r="I68" s="61"/>
      <c r="J68" s="88">
        <v>2019.0</v>
      </c>
      <c r="K68" s="8" t="s">
        <v>140</v>
      </c>
      <c r="L68" s="88">
        <v>2019.0</v>
      </c>
      <c r="M68" s="8" t="s">
        <v>140</v>
      </c>
      <c r="N68" s="89">
        <v>43671.0</v>
      </c>
      <c r="O68" s="90" t="s">
        <v>173</v>
      </c>
      <c r="P68" s="61"/>
    </row>
    <row r="69">
      <c r="A69" s="28" t="s">
        <v>140</v>
      </c>
      <c r="B69" s="45" t="s">
        <v>300</v>
      </c>
      <c r="C69" s="8" t="s">
        <v>171</v>
      </c>
      <c r="D69" s="88">
        <v>9.995964343538E12</v>
      </c>
      <c r="E69" s="95"/>
      <c r="F69" s="87" t="s">
        <v>301</v>
      </c>
      <c r="G69" s="8" t="s">
        <v>173</v>
      </c>
      <c r="I69" s="61"/>
      <c r="J69" s="88">
        <v>2019.0</v>
      </c>
      <c r="K69" s="8" t="s">
        <v>140</v>
      </c>
      <c r="L69" s="88">
        <v>2019.0</v>
      </c>
      <c r="M69" s="8" t="s">
        <v>140</v>
      </c>
      <c r="N69" s="89">
        <v>43673.0</v>
      </c>
      <c r="O69" s="90" t="s">
        <v>173</v>
      </c>
      <c r="P69" s="61"/>
    </row>
    <row r="70">
      <c r="A70" s="28" t="s">
        <v>140</v>
      </c>
      <c r="B70" s="45" t="s">
        <v>302</v>
      </c>
      <c r="C70" s="8" t="s">
        <v>171</v>
      </c>
      <c r="D70" s="88">
        <v>9.99596434391E12</v>
      </c>
      <c r="E70" s="95"/>
      <c r="F70" s="87" t="s">
        <v>303</v>
      </c>
      <c r="G70" s="8" t="s">
        <v>173</v>
      </c>
      <c r="I70" s="61"/>
      <c r="J70" s="88">
        <v>2019.0</v>
      </c>
      <c r="K70" s="8" t="s">
        <v>140</v>
      </c>
      <c r="L70" s="88">
        <v>2019.0</v>
      </c>
      <c r="M70" s="8" t="s">
        <v>140</v>
      </c>
      <c r="N70" s="89">
        <v>43680.0</v>
      </c>
      <c r="O70" s="90" t="s">
        <v>173</v>
      </c>
      <c r="P70" s="61"/>
    </row>
    <row r="71">
      <c r="A71" s="28" t="s">
        <v>140</v>
      </c>
      <c r="B71" s="45" t="s">
        <v>304</v>
      </c>
      <c r="C71" s="8" t="s">
        <v>171</v>
      </c>
      <c r="D71" s="88">
        <v>9.995964351885E12</v>
      </c>
      <c r="E71" s="95"/>
      <c r="F71" s="87" t="s">
        <v>305</v>
      </c>
      <c r="G71" s="8" t="s">
        <v>173</v>
      </c>
      <c r="I71" s="61"/>
      <c r="J71" s="88">
        <v>2019.0</v>
      </c>
      <c r="K71" s="8" t="s">
        <v>140</v>
      </c>
      <c r="L71" s="88">
        <v>2019.0</v>
      </c>
      <c r="M71" s="8" t="s">
        <v>140</v>
      </c>
      <c r="N71" s="89">
        <v>43779.0</v>
      </c>
      <c r="O71" s="90" t="s">
        <v>173</v>
      </c>
      <c r="P71" s="61"/>
    </row>
    <row r="72">
      <c r="A72" s="28" t="s">
        <v>140</v>
      </c>
      <c r="B72" s="45" t="s">
        <v>306</v>
      </c>
      <c r="C72" s="8" t="s">
        <v>171</v>
      </c>
      <c r="D72" s="88">
        <v>9.995964366124E12</v>
      </c>
      <c r="E72" s="95"/>
      <c r="F72" s="87" t="s">
        <v>307</v>
      </c>
      <c r="G72" s="8" t="s">
        <v>173</v>
      </c>
      <c r="I72" s="61"/>
      <c r="J72" s="88">
        <v>2020.0</v>
      </c>
      <c r="K72" s="8" t="s">
        <v>140</v>
      </c>
      <c r="L72" s="88">
        <v>2020.0</v>
      </c>
      <c r="M72" s="8" t="s">
        <v>140</v>
      </c>
      <c r="N72" s="89">
        <v>43880.0</v>
      </c>
      <c r="O72" s="90" t="s">
        <v>173</v>
      </c>
      <c r="P72" s="61"/>
    </row>
    <row r="73">
      <c r="A73" s="28" t="s">
        <v>140</v>
      </c>
      <c r="B73" s="45" t="s">
        <v>308</v>
      </c>
      <c r="C73" s="8" t="s">
        <v>171</v>
      </c>
      <c r="D73" s="88">
        <v>9.995964367343E12</v>
      </c>
      <c r="E73" s="95"/>
      <c r="F73" s="87" t="s">
        <v>309</v>
      </c>
      <c r="G73" s="8" t="s">
        <v>173</v>
      </c>
      <c r="I73" s="61"/>
      <c r="J73" s="88">
        <v>2020.0</v>
      </c>
      <c r="K73" s="8" t="s">
        <v>140</v>
      </c>
      <c r="L73" s="88">
        <v>2020.0</v>
      </c>
      <c r="M73" s="8" t="s">
        <v>140</v>
      </c>
      <c r="N73" s="89">
        <v>43891.0</v>
      </c>
      <c r="O73" s="90" t="s">
        <v>173</v>
      </c>
      <c r="P73" s="61"/>
    </row>
    <row r="74">
      <c r="A74" s="28" t="s">
        <v>140</v>
      </c>
      <c r="B74" s="45" t="s">
        <v>310</v>
      </c>
      <c r="C74" s="8" t="s">
        <v>171</v>
      </c>
      <c r="D74" s="88">
        <v>9.995964368173E12</v>
      </c>
      <c r="E74" s="95"/>
      <c r="F74" s="87" t="s">
        <v>311</v>
      </c>
      <c r="G74" s="8" t="s">
        <v>173</v>
      </c>
      <c r="I74" s="61"/>
      <c r="J74" s="88">
        <v>2020.0</v>
      </c>
      <c r="K74" s="8" t="s">
        <v>140</v>
      </c>
      <c r="L74" s="88">
        <v>2020.0</v>
      </c>
      <c r="M74" s="8" t="s">
        <v>140</v>
      </c>
      <c r="N74" s="89">
        <v>43901.0</v>
      </c>
      <c r="O74" s="90" t="s">
        <v>173</v>
      </c>
      <c r="P74" s="61"/>
    </row>
    <row r="75">
      <c r="A75" s="28" t="s">
        <v>140</v>
      </c>
      <c r="B75" s="45" t="s">
        <v>312</v>
      </c>
      <c r="C75" s="8" t="s">
        <v>171</v>
      </c>
      <c r="D75" s="88">
        <v>9.999552111417E12</v>
      </c>
      <c r="E75" s="95"/>
      <c r="F75" s="87" t="s">
        <v>313</v>
      </c>
      <c r="G75" s="8" t="s">
        <v>173</v>
      </c>
      <c r="I75" s="61"/>
      <c r="J75" s="88">
        <v>2020.0</v>
      </c>
      <c r="K75" s="8" t="s">
        <v>140</v>
      </c>
      <c r="L75" s="88">
        <v>2020.0</v>
      </c>
      <c r="M75" s="8" t="s">
        <v>140</v>
      </c>
      <c r="N75" s="89">
        <v>44047.0</v>
      </c>
      <c r="O75" s="90" t="s">
        <v>173</v>
      </c>
      <c r="P75" s="61"/>
    </row>
    <row r="76">
      <c r="A76" s="99"/>
      <c r="G76" s="99"/>
      <c r="I76" s="99"/>
      <c r="O76" s="99"/>
      <c r="P76" s="99"/>
    </row>
    <row r="77">
      <c r="A77" s="99"/>
      <c r="G77" s="99"/>
      <c r="I77" s="99"/>
      <c r="O77" s="99"/>
      <c r="P77" s="99"/>
    </row>
    <row r="78">
      <c r="A78" s="99"/>
      <c r="G78" s="99"/>
      <c r="I78" s="99"/>
      <c r="O78" s="99"/>
      <c r="P78" s="99"/>
    </row>
    <row r="79">
      <c r="A79" s="99"/>
      <c r="G79" s="99"/>
      <c r="I79" s="99"/>
      <c r="O79" s="99"/>
      <c r="P79" s="99"/>
    </row>
    <row r="80">
      <c r="A80" s="99"/>
      <c r="G80" s="99"/>
      <c r="I80" s="99"/>
      <c r="O80" s="99"/>
      <c r="P80" s="99"/>
    </row>
    <row r="81">
      <c r="A81" s="99"/>
      <c r="G81" s="99"/>
      <c r="I81" s="99"/>
      <c r="O81" s="99"/>
      <c r="P81" s="99"/>
    </row>
    <row r="82">
      <c r="A82" s="99"/>
      <c r="G82" s="99"/>
      <c r="I82" s="99"/>
      <c r="O82" s="99"/>
      <c r="P82" s="99"/>
    </row>
    <row r="83">
      <c r="A83" s="99"/>
      <c r="G83" s="99"/>
      <c r="I83" s="99"/>
      <c r="O83" s="99"/>
      <c r="P83" s="99"/>
    </row>
    <row r="84">
      <c r="A84" s="99"/>
      <c r="G84" s="99"/>
      <c r="I84" s="99"/>
      <c r="O84" s="99"/>
      <c r="P84" s="99"/>
    </row>
    <row r="85">
      <c r="A85" s="99"/>
      <c r="G85" s="99"/>
      <c r="I85" s="99"/>
      <c r="O85" s="99"/>
      <c r="P85" s="99"/>
    </row>
    <row r="86">
      <c r="A86" s="99"/>
      <c r="G86" s="99"/>
      <c r="I86" s="99"/>
      <c r="O86" s="99"/>
      <c r="P86" s="99"/>
    </row>
    <row r="87">
      <c r="A87" s="99"/>
      <c r="G87" s="99"/>
      <c r="I87" s="99"/>
      <c r="O87" s="99"/>
      <c r="P87" s="99"/>
    </row>
    <row r="88">
      <c r="A88" s="99"/>
      <c r="G88" s="99"/>
      <c r="I88" s="99"/>
      <c r="O88" s="99"/>
      <c r="P88" s="99"/>
    </row>
    <row r="89">
      <c r="A89" s="28"/>
      <c r="C89" s="99"/>
      <c r="D89" s="100"/>
      <c r="E89" s="95"/>
      <c r="F89" s="95"/>
      <c r="G89" s="8"/>
      <c r="I89" s="61"/>
      <c r="J89" s="99"/>
      <c r="L89" s="99"/>
      <c r="N89" s="101"/>
      <c r="O89" s="61"/>
      <c r="P89" s="61"/>
    </row>
    <row r="90">
      <c r="A90" s="28"/>
      <c r="C90" s="99"/>
      <c r="D90" s="100"/>
      <c r="E90" s="95"/>
      <c r="F90" s="95"/>
      <c r="G90" s="8"/>
      <c r="I90" s="61"/>
      <c r="J90" s="99"/>
      <c r="L90" s="99"/>
      <c r="N90" s="101"/>
      <c r="O90" s="61"/>
      <c r="P90" s="61"/>
    </row>
    <row r="91">
      <c r="A91" s="28"/>
      <c r="C91" s="99"/>
      <c r="D91" s="100"/>
      <c r="E91" s="95"/>
      <c r="F91" s="95"/>
      <c r="G91" s="8"/>
      <c r="I91" s="61"/>
      <c r="J91" s="99"/>
      <c r="L91" s="99"/>
      <c r="N91" s="101"/>
      <c r="O91" s="61"/>
      <c r="P91" s="61"/>
    </row>
    <row r="92">
      <c r="A92" s="28"/>
      <c r="C92" s="99"/>
      <c r="D92" s="100"/>
      <c r="E92" s="95"/>
      <c r="F92" s="95"/>
      <c r="G92" s="8"/>
      <c r="I92" s="61"/>
      <c r="J92" s="99"/>
      <c r="L92" s="99"/>
      <c r="N92" s="101"/>
      <c r="O92" s="61"/>
      <c r="P92" s="61"/>
    </row>
    <row r="93">
      <c r="A93" s="28"/>
      <c r="C93" s="99"/>
      <c r="D93" s="100"/>
      <c r="E93" s="95"/>
      <c r="F93" s="95"/>
      <c r="G93" s="8"/>
      <c r="I93" s="61"/>
      <c r="J93" s="99"/>
      <c r="L93" s="99"/>
      <c r="N93" s="101"/>
      <c r="O93" s="61"/>
      <c r="P93" s="61"/>
    </row>
    <row r="94">
      <c r="A94" s="28"/>
      <c r="C94" s="99"/>
      <c r="D94" s="100"/>
      <c r="E94" s="95"/>
      <c r="F94" s="95"/>
      <c r="G94" s="8"/>
      <c r="I94" s="61"/>
      <c r="J94" s="99"/>
      <c r="L94" s="99"/>
      <c r="N94" s="101"/>
      <c r="O94" s="61"/>
      <c r="P94" s="61"/>
    </row>
    <row r="95">
      <c r="A95" s="28"/>
      <c r="C95" s="99"/>
      <c r="D95" s="100"/>
      <c r="E95" s="95"/>
      <c r="F95" s="95"/>
      <c r="G95" s="8"/>
      <c r="I95" s="61"/>
      <c r="J95" s="99"/>
      <c r="L95" s="99"/>
      <c r="N95" s="101"/>
      <c r="O95" s="61"/>
      <c r="P95" s="61"/>
    </row>
    <row r="96">
      <c r="A96" s="28"/>
      <c r="C96" s="99"/>
      <c r="D96" s="100"/>
      <c r="E96" s="95"/>
      <c r="F96" s="95"/>
      <c r="G96" s="8"/>
      <c r="I96" s="61"/>
      <c r="J96" s="99"/>
      <c r="L96" s="99"/>
      <c r="N96" s="101"/>
      <c r="O96" s="61"/>
      <c r="P96" s="61"/>
    </row>
    <row r="97">
      <c r="A97" s="28"/>
      <c r="C97" s="99"/>
      <c r="D97" s="100"/>
      <c r="E97" s="95"/>
      <c r="F97" s="95"/>
      <c r="G97" s="8"/>
      <c r="I97" s="61"/>
      <c r="J97" s="99"/>
      <c r="L97" s="99"/>
      <c r="N97" s="101"/>
      <c r="O97" s="61"/>
      <c r="P97" s="61"/>
    </row>
    <row r="98">
      <c r="A98" s="28"/>
      <c r="C98" s="99"/>
      <c r="D98" s="100"/>
      <c r="E98" s="95"/>
      <c r="F98" s="95"/>
      <c r="G98" s="8"/>
      <c r="I98" s="61"/>
      <c r="J98" s="99"/>
      <c r="L98" s="99"/>
      <c r="N98" s="101"/>
      <c r="O98" s="61"/>
      <c r="P98" s="61"/>
    </row>
    <row r="99">
      <c r="A99" s="28"/>
      <c r="C99" s="99"/>
      <c r="D99" s="100"/>
      <c r="E99" s="95"/>
      <c r="F99" s="95"/>
      <c r="G99" s="8"/>
      <c r="I99" s="61"/>
      <c r="J99" s="99"/>
      <c r="L99" s="99"/>
      <c r="N99" s="101"/>
      <c r="O99" s="61"/>
      <c r="P99" s="61"/>
    </row>
    <row r="100">
      <c r="A100" s="28"/>
      <c r="C100" s="99"/>
      <c r="D100" s="100"/>
      <c r="E100" s="95"/>
      <c r="F100" s="95"/>
      <c r="G100" s="8"/>
      <c r="I100" s="61"/>
      <c r="J100" s="99"/>
      <c r="L100" s="99"/>
      <c r="N100" s="101"/>
      <c r="O100" s="61"/>
      <c r="P100" s="61"/>
    </row>
    <row r="101">
      <c r="A101" s="28"/>
      <c r="C101" s="99"/>
      <c r="D101" s="100"/>
      <c r="E101" s="95"/>
      <c r="F101" s="95"/>
      <c r="G101" s="8"/>
      <c r="I101" s="61"/>
      <c r="J101" s="99"/>
      <c r="L101" s="99"/>
      <c r="N101" s="101"/>
      <c r="O101" s="61"/>
      <c r="P101" s="61"/>
    </row>
    <row r="102">
      <c r="A102" s="28"/>
      <c r="C102" s="99"/>
      <c r="D102" s="100"/>
      <c r="E102" s="95"/>
      <c r="F102" s="95"/>
      <c r="G102" s="8"/>
      <c r="I102" s="61"/>
      <c r="J102" s="99"/>
      <c r="L102" s="99"/>
      <c r="N102" s="101"/>
      <c r="O102" s="61"/>
      <c r="P102" s="61"/>
    </row>
    <row r="103">
      <c r="A103" s="28"/>
      <c r="C103" s="99"/>
      <c r="D103" s="100"/>
      <c r="E103" s="95"/>
      <c r="F103" s="95"/>
      <c r="G103" s="8"/>
      <c r="I103" s="61"/>
      <c r="J103" s="99"/>
      <c r="L103" s="99"/>
      <c r="N103" s="101"/>
      <c r="O103" s="61"/>
      <c r="P103" s="61"/>
    </row>
    <row r="104">
      <c r="A104" s="28"/>
      <c r="C104" s="99"/>
      <c r="D104" s="100"/>
      <c r="E104" s="95"/>
      <c r="F104" s="95"/>
      <c r="G104" s="8"/>
      <c r="I104" s="61"/>
      <c r="J104" s="99"/>
      <c r="L104" s="99"/>
      <c r="N104" s="101"/>
      <c r="O104" s="61"/>
      <c r="P104" s="61"/>
    </row>
    <row r="105">
      <c r="A105" s="28"/>
      <c r="C105" s="99"/>
      <c r="D105" s="100"/>
      <c r="E105" s="95"/>
      <c r="F105" s="95"/>
      <c r="G105" s="8"/>
      <c r="I105" s="61"/>
      <c r="J105" s="99"/>
      <c r="L105" s="99"/>
      <c r="N105" s="101"/>
      <c r="O105" s="61"/>
      <c r="P105" s="61"/>
    </row>
    <row r="106">
      <c r="A106" s="28"/>
      <c r="C106" s="99"/>
      <c r="D106" s="100"/>
      <c r="E106" s="95"/>
      <c r="F106" s="95"/>
      <c r="G106" s="8"/>
      <c r="I106" s="61"/>
      <c r="J106" s="99"/>
      <c r="L106" s="99"/>
      <c r="N106" s="101"/>
      <c r="O106" s="61"/>
      <c r="P106" s="61"/>
    </row>
    <row r="107">
      <c r="A107" s="28"/>
      <c r="C107" s="99"/>
      <c r="D107" s="100"/>
      <c r="E107" s="95"/>
      <c r="F107" s="95"/>
      <c r="G107" s="8"/>
      <c r="I107" s="61"/>
      <c r="J107" s="99"/>
      <c r="L107" s="99"/>
      <c r="N107" s="101"/>
      <c r="O107" s="61"/>
      <c r="P107" s="61"/>
    </row>
    <row r="108">
      <c r="A108" s="28"/>
      <c r="C108" s="99"/>
      <c r="D108" s="100"/>
      <c r="E108" s="95"/>
      <c r="F108" s="95"/>
      <c r="G108" s="8"/>
      <c r="I108" s="61"/>
      <c r="J108" s="99"/>
      <c r="L108" s="99"/>
      <c r="N108" s="101"/>
      <c r="O108" s="61"/>
      <c r="P108" s="61"/>
    </row>
    <row r="109">
      <c r="A109" s="28"/>
      <c r="C109" s="99"/>
      <c r="D109" s="100"/>
      <c r="E109" s="95"/>
      <c r="F109" s="95"/>
      <c r="G109" s="8"/>
      <c r="I109" s="61"/>
      <c r="J109" s="99"/>
      <c r="L109" s="99"/>
      <c r="N109" s="101"/>
      <c r="O109" s="61"/>
      <c r="P109" s="61"/>
    </row>
    <row r="110">
      <c r="A110" s="28"/>
      <c r="C110" s="99"/>
      <c r="D110" s="100"/>
      <c r="E110" s="95"/>
      <c r="F110" s="95"/>
      <c r="G110" s="8"/>
      <c r="I110" s="61"/>
      <c r="J110" s="99"/>
      <c r="L110" s="99"/>
      <c r="N110" s="101"/>
      <c r="O110" s="61"/>
      <c r="P110" s="61"/>
    </row>
    <row r="111">
      <c r="A111" s="28"/>
      <c r="C111" s="99"/>
      <c r="D111" s="100"/>
      <c r="E111" s="95"/>
      <c r="F111" s="95"/>
      <c r="G111" s="8"/>
      <c r="I111" s="61"/>
      <c r="J111" s="99"/>
      <c r="L111" s="99"/>
      <c r="N111" s="101"/>
      <c r="O111" s="61"/>
      <c r="P111" s="61"/>
    </row>
    <row r="112">
      <c r="A112" s="28"/>
      <c r="C112" s="99"/>
      <c r="D112" s="100"/>
      <c r="E112" s="95"/>
      <c r="F112" s="95"/>
      <c r="G112" s="8"/>
      <c r="I112" s="61"/>
      <c r="J112" s="99"/>
      <c r="L112" s="99"/>
      <c r="N112" s="101"/>
      <c r="O112" s="61"/>
      <c r="P112" s="61"/>
    </row>
    <row r="113">
      <c r="A113" s="28"/>
      <c r="C113" s="99"/>
      <c r="D113" s="100"/>
      <c r="E113" s="95"/>
      <c r="F113" s="95"/>
      <c r="G113" s="8"/>
      <c r="I113" s="61"/>
      <c r="J113" s="99"/>
      <c r="L113" s="99"/>
      <c r="N113" s="101"/>
      <c r="O113" s="61"/>
      <c r="P113" s="61"/>
    </row>
    <row r="114">
      <c r="A114" s="28"/>
      <c r="C114" s="99"/>
      <c r="D114" s="100"/>
      <c r="E114" s="95"/>
      <c r="F114" s="95"/>
      <c r="G114" s="8"/>
      <c r="I114" s="61"/>
      <c r="J114" s="99"/>
      <c r="L114" s="99"/>
      <c r="N114" s="101"/>
      <c r="O114" s="61"/>
      <c r="P114" s="61"/>
    </row>
    <row r="115">
      <c r="A115" s="28"/>
      <c r="C115" s="99"/>
      <c r="D115" s="100"/>
      <c r="E115" s="95"/>
      <c r="F115" s="95"/>
      <c r="G115" s="8"/>
      <c r="I115" s="61"/>
      <c r="J115" s="99"/>
      <c r="L115" s="99"/>
      <c r="N115" s="101"/>
      <c r="O115" s="61"/>
      <c r="P115" s="61"/>
    </row>
    <row r="116">
      <c r="A116" s="28"/>
      <c r="C116" s="99"/>
      <c r="D116" s="100"/>
      <c r="E116" s="95"/>
      <c r="F116" s="95"/>
      <c r="G116" s="8"/>
      <c r="I116" s="61"/>
      <c r="J116" s="99"/>
      <c r="L116" s="99"/>
      <c r="N116" s="101"/>
      <c r="O116" s="61"/>
      <c r="P116" s="61"/>
    </row>
    <row r="117">
      <c r="A117" s="28"/>
      <c r="C117" s="99"/>
      <c r="D117" s="100"/>
      <c r="E117" s="95"/>
      <c r="F117" s="95"/>
      <c r="G117" s="8"/>
      <c r="I117" s="61"/>
      <c r="J117" s="99"/>
      <c r="L117" s="99"/>
      <c r="N117" s="101"/>
      <c r="O117" s="61"/>
      <c r="P117" s="61"/>
    </row>
    <row r="118">
      <c r="A118" s="28"/>
      <c r="C118" s="99"/>
      <c r="D118" s="100"/>
      <c r="E118" s="95"/>
      <c r="F118" s="95"/>
      <c r="G118" s="8"/>
      <c r="I118" s="61"/>
      <c r="J118" s="99"/>
      <c r="L118" s="99"/>
      <c r="N118" s="101"/>
      <c r="O118" s="61"/>
      <c r="P118" s="61"/>
    </row>
    <row r="119">
      <c r="A119" s="28"/>
      <c r="C119" s="99"/>
      <c r="D119" s="100"/>
      <c r="E119" s="95"/>
      <c r="F119" s="95"/>
      <c r="G119" s="8"/>
      <c r="I119" s="61"/>
      <c r="J119" s="99"/>
      <c r="L119" s="99"/>
      <c r="N119" s="101"/>
      <c r="O119" s="61"/>
      <c r="P119" s="61"/>
    </row>
    <row r="120">
      <c r="A120" s="28"/>
      <c r="C120" s="99"/>
      <c r="D120" s="100"/>
      <c r="E120" s="95"/>
      <c r="F120" s="95"/>
      <c r="G120" s="8"/>
      <c r="I120" s="61"/>
      <c r="J120" s="99"/>
      <c r="L120" s="99"/>
      <c r="N120" s="101"/>
      <c r="O120" s="61"/>
      <c r="P120" s="61"/>
    </row>
    <row r="121">
      <c r="A121" s="28"/>
      <c r="C121" s="99"/>
      <c r="D121" s="100"/>
      <c r="E121" s="95"/>
      <c r="F121" s="95"/>
      <c r="G121" s="8"/>
      <c r="I121" s="61"/>
      <c r="J121" s="99"/>
      <c r="L121" s="99"/>
      <c r="N121" s="101"/>
      <c r="O121" s="61"/>
      <c r="P121" s="61"/>
    </row>
    <row r="122">
      <c r="A122" s="28"/>
      <c r="C122" s="99"/>
      <c r="D122" s="100"/>
      <c r="E122" s="95"/>
      <c r="F122" s="95"/>
      <c r="G122" s="8"/>
      <c r="I122" s="61"/>
      <c r="J122" s="99"/>
      <c r="L122" s="99"/>
      <c r="N122" s="101"/>
      <c r="O122" s="61"/>
      <c r="P122" s="61"/>
    </row>
    <row r="123">
      <c r="A123" s="28"/>
      <c r="C123" s="99"/>
      <c r="D123" s="100"/>
      <c r="E123" s="95"/>
      <c r="F123" s="95"/>
      <c r="G123" s="8"/>
      <c r="I123" s="61"/>
      <c r="J123" s="99"/>
      <c r="L123" s="99"/>
      <c r="N123" s="101"/>
      <c r="O123" s="61"/>
      <c r="P123" s="61"/>
    </row>
    <row r="124">
      <c r="A124" s="28"/>
      <c r="C124" s="99"/>
      <c r="D124" s="100"/>
      <c r="E124" s="95"/>
      <c r="F124" s="95"/>
      <c r="G124" s="8"/>
      <c r="I124" s="61"/>
      <c r="J124" s="99"/>
      <c r="L124" s="99"/>
      <c r="N124" s="101"/>
      <c r="O124" s="61"/>
      <c r="P124" s="61"/>
    </row>
    <row r="125">
      <c r="A125" s="28"/>
      <c r="C125" s="99"/>
      <c r="D125" s="100"/>
      <c r="E125" s="95"/>
      <c r="F125" s="95"/>
      <c r="G125" s="8"/>
      <c r="I125" s="61"/>
      <c r="J125" s="99"/>
      <c r="L125" s="99"/>
      <c r="N125" s="101"/>
      <c r="O125" s="61"/>
      <c r="P125" s="61"/>
    </row>
    <row r="126">
      <c r="A126" s="28"/>
      <c r="C126" s="99"/>
      <c r="D126" s="100"/>
      <c r="E126" s="95"/>
      <c r="F126" s="95"/>
      <c r="G126" s="8"/>
      <c r="I126" s="61"/>
      <c r="J126" s="99"/>
      <c r="L126" s="99"/>
      <c r="N126" s="101"/>
      <c r="O126" s="61"/>
      <c r="P126" s="61"/>
    </row>
    <row r="127">
      <c r="A127" s="28"/>
      <c r="C127" s="99"/>
      <c r="D127" s="100"/>
      <c r="E127" s="95"/>
      <c r="F127" s="95"/>
      <c r="G127" s="8"/>
      <c r="I127" s="61"/>
      <c r="J127" s="99"/>
      <c r="L127" s="99"/>
      <c r="N127" s="101"/>
      <c r="O127" s="61"/>
      <c r="P127" s="61"/>
    </row>
    <row r="128">
      <c r="A128" s="28"/>
      <c r="C128" s="99"/>
      <c r="D128" s="100"/>
      <c r="E128" s="95"/>
      <c r="F128" s="95"/>
      <c r="G128" s="8"/>
      <c r="I128" s="61"/>
      <c r="J128" s="99"/>
      <c r="L128" s="99"/>
      <c r="N128" s="101"/>
      <c r="O128" s="61"/>
      <c r="P128" s="61"/>
    </row>
    <row r="129">
      <c r="A129" s="28"/>
      <c r="C129" s="99"/>
      <c r="D129" s="100"/>
      <c r="E129" s="95"/>
      <c r="F129" s="95"/>
      <c r="G129" s="8"/>
      <c r="I129" s="61"/>
      <c r="J129" s="99"/>
      <c r="L129" s="99"/>
      <c r="N129" s="101"/>
      <c r="O129" s="61"/>
      <c r="P129" s="61"/>
    </row>
    <row r="130">
      <c r="A130" s="28"/>
      <c r="C130" s="99"/>
      <c r="D130" s="100"/>
      <c r="E130" s="95"/>
      <c r="F130" s="95"/>
      <c r="G130" s="8"/>
      <c r="I130" s="61"/>
      <c r="J130" s="99"/>
      <c r="L130" s="99"/>
      <c r="N130" s="101"/>
      <c r="O130" s="61"/>
      <c r="P130" s="61"/>
    </row>
    <row r="131">
      <c r="A131" s="28"/>
      <c r="C131" s="99"/>
      <c r="D131" s="100"/>
      <c r="E131" s="95"/>
      <c r="F131" s="95"/>
      <c r="G131" s="8"/>
      <c r="I131" s="61"/>
      <c r="J131" s="99"/>
      <c r="L131" s="99"/>
      <c r="N131" s="101"/>
      <c r="O131" s="61"/>
      <c r="P131" s="61"/>
    </row>
    <row r="132">
      <c r="A132" s="28"/>
      <c r="C132" s="99"/>
      <c r="D132" s="100"/>
      <c r="E132" s="95"/>
      <c r="F132" s="95"/>
      <c r="G132" s="8"/>
      <c r="I132" s="61"/>
      <c r="J132" s="99"/>
      <c r="L132" s="99"/>
      <c r="N132" s="101"/>
      <c r="O132" s="61"/>
      <c r="P132" s="61"/>
    </row>
    <row r="133">
      <c r="A133" s="28"/>
      <c r="C133" s="99"/>
      <c r="D133" s="100"/>
      <c r="E133" s="95"/>
      <c r="F133" s="95"/>
      <c r="G133" s="8"/>
      <c r="I133" s="61"/>
      <c r="J133" s="99"/>
      <c r="L133" s="99"/>
      <c r="N133" s="101"/>
      <c r="O133" s="61"/>
      <c r="P133" s="61"/>
    </row>
    <row r="134">
      <c r="A134" s="28"/>
      <c r="C134" s="99"/>
      <c r="D134" s="100"/>
      <c r="E134" s="95"/>
      <c r="F134" s="95"/>
      <c r="G134" s="8"/>
      <c r="I134" s="61"/>
      <c r="J134" s="99"/>
      <c r="L134" s="99"/>
      <c r="N134" s="101"/>
      <c r="O134" s="61"/>
      <c r="P134" s="61"/>
    </row>
    <row r="135">
      <c r="A135" s="28"/>
      <c r="C135" s="99"/>
      <c r="D135" s="100"/>
      <c r="E135" s="95"/>
      <c r="F135" s="95"/>
      <c r="G135" s="8"/>
      <c r="I135" s="61"/>
      <c r="J135" s="99"/>
      <c r="L135" s="99"/>
      <c r="N135" s="101"/>
      <c r="O135" s="61"/>
      <c r="P135" s="61"/>
    </row>
    <row r="136">
      <c r="A136" s="28"/>
      <c r="C136" s="99"/>
      <c r="D136" s="100"/>
      <c r="E136" s="95"/>
      <c r="F136" s="95"/>
      <c r="G136" s="8"/>
      <c r="I136" s="61"/>
      <c r="J136" s="99"/>
      <c r="L136" s="99"/>
      <c r="N136" s="101"/>
      <c r="O136" s="61"/>
      <c r="P136" s="61"/>
    </row>
    <row r="137">
      <c r="A137" s="28"/>
      <c r="C137" s="99"/>
      <c r="D137" s="100"/>
      <c r="E137" s="95"/>
      <c r="F137" s="95"/>
      <c r="G137" s="8"/>
      <c r="I137" s="61"/>
      <c r="J137" s="99"/>
      <c r="L137" s="99"/>
      <c r="N137" s="101"/>
      <c r="O137" s="61"/>
      <c r="P137" s="61"/>
    </row>
    <row r="138">
      <c r="A138" s="28"/>
      <c r="C138" s="99"/>
      <c r="D138" s="100"/>
      <c r="E138" s="95"/>
      <c r="F138" s="95"/>
      <c r="G138" s="8"/>
      <c r="I138" s="61"/>
      <c r="J138" s="99"/>
      <c r="L138" s="99"/>
      <c r="N138" s="101"/>
      <c r="O138" s="61"/>
      <c r="P138" s="61"/>
    </row>
    <row r="139">
      <c r="A139" s="28"/>
      <c r="C139" s="99"/>
      <c r="D139" s="100"/>
      <c r="E139" s="95"/>
      <c r="F139" s="95"/>
      <c r="G139" s="8"/>
      <c r="I139" s="61"/>
      <c r="J139" s="99"/>
      <c r="L139" s="99"/>
      <c r="N139" s="101"/>
      <c r="O139" s="61"/>
      <c r="P139" s="61"/>
    </row>
    <row r="140">
      <c r="A140" s="28"/>
      <c r="C140" s="99"/>
      <c r="D140" s="100"/>
      <c r="E140" s="95"/>
      <c r="F140" s="95"/>
      <c r="G140" s="8"/>
      <c r="I140" s="61"/>
      <c r="J140" s="99"/>
      <c r="L140" s="99"/>
      <c r="N140" s="101"/>
      <c r="O140" s="61"/>
      <c r="P140" s="61"/>
    </row>
    <row r="141">
      <c r="A141" s="28"/>
      <c r="C141" s="99"/>
      <c r="D141" s="100"/>
      <c r="E141" s="95"/>
      <c r="F141" s="95"/>
      <c r="G141" s="8"/>
      <c r="I141" s="61"/>
      <c r="J141" s="99"/>
      <c r="L141" s="99"/>
      <c r="N141" s="101"/>
      <c r="O141" s="61"/>
      <c r="P141" s="61"/>
    </row>
    <row r="142">
      <c r="A142" s="28"/>
      <c r="C142" s="99"/>
      <c r="D142" s="100"/>
      <c r="E142" s="95"/>
      <c r="F142" s="95"/>
      <c r="G142" s="8"/>
      <c r="I142" s="61"/>
      <c r="J142" s="99"/>
      <c r="L142" s="99"/>
      <c r="N142" s="101"/>
      <c r="O142" s="61"/>
      <c r="P142" s="61"/>
    </row>
    <row r="143">
      <c r="A143" s="28"/>
      <c r="C143" s="99"/>
      <c r="D143" s="100"/>
      <c r="E143" s="95"/>
      <c r="F143" s="95"/>
      <c r="G143" s="8"/>
      <c r="I143" s="61"/>
      <c r="J143" s="99"/>
      <c r="L143" s="99"/>
      <c r="N143" s="101"/>
      <c r="O143" s="61"/>
      <c r="P143" s="61"/>
    </row>
    <row r="144">
      <c r="A144" s="99"/>
      <c r="C144" s="99"/>
      <c r="D144" s="100"/>
      <c r="E144" s="95"/>
      <c r="F144" s="95"/>
      <c r="G144" s="8"/>
      <c r="I144" s="61"/>
      <c r="J144" s="99"/>
      <c r="L144" s="99"/>
      <c r="N144" s="101"/>
      <c r="O144" s="61"/>
      <c r="P144" s="61"/>
    </row>
    <row r="145">
      <c r="A145" s="99"/>
      <c r="C145" s="99"/>
      <c r="D145" s="100"/>
      <c r="E145" s="95"/>
      <c r="F145" s="95"/>
      <c r="G145" s="8"/>
      <c r="I145" s="61"/>
      <c r="J145" s="99"/>
      <c r="L145" s="99"/>
      <c r="N145" s="101"/>
      <c r="O145" s="61"/>
      <c r="P145" s="61"/>
    </row>
    <row r="146">
      <c r="A146" s="99"/>
      <c r="C146" s="99"/>
      <c r="D146" s="100"/>
      <c r="E146" s="95"/>
      <c r="F146" s="95"/>
      <c r="G146" s="8"/>
      <c r="I146" s="61"/>
      <c r="J146" s="99"/>
      <c r="L146" s="99"/>
      <c r="N146" s="101"/>
      <c r="O146" s="61"/>
      <c r="P146" s="61"/>
    </row>
    <row r="147">
      <c r="A147" s="99"/>
      <c r="C147" s="99"/>
      <c r="D147" s="100"/>
      <c r="E147" s="95"/>
      <c r="F147" s="95"/>
      <c r="G147" s="8"/>
      <c r="I147" s="61"/>
      <c r="J147" s="99"/>
      <c r="L147" s="99"/>
      <c r="N147" s="101"/>
      <c r="O147" s="61"/>
      <c r="P147" s="61"/>
    </row>
    <row r="148">
      <c r="A148" s="99"/>
      <c r="C148" s="99"/>
      <c r="D148" s="100"/>
      <c r="E148" s="95"/>
      <c r="F148" s="95"/>
      <c r="G148" s="8"/>
      <c r="I148" s="61"/>
      <c r="J148" s="99"/>
      <c r="L148" s="99"/>
      <c r="N148" s="101"/>
      <c r="O148" s="61"/>
      <c r="P148" s="61"/>
    </row>
    <row r="149">
      <c r="A149" s="99"/>
      <c r="C149" s="99"/>
      <c r="D149" s="100"/>
      <c r="E149" s="95"/>
      <c r="F149" s="95"/>
      <c r="G149" s="8"/>
      <c r="I149" s="61"/>
      <c r="J149" s="99"/>
      <c r="L149" s="99"/>
      <c r="N149" s="101"/>
      <c r="O149" s="61"/>
      <c r="P149" s="61"/>
    </row>
    <row r="150">
      <c r="A150" s="99"/>
      <c r="C150" s="99"/>
      <c r="D150" s="100"/>
      <c r="E150" s="95"/>
      <c r="F150" s="95"/>
      <c r="G150" s="8"/>
      <c r="I150" s="61"/>
      <c r="J150" s="99"/>
      <c r="L150" s="99"/>
      <c r="N150" s="101"/>
      <c r="O150" s="61"/>
      <c r="P150" s="61"/>
    </row>
    <row r="151">
      <c r="A151" s="99"/>
      <c r="C151" s="99"/>
      <c r="D151" s="100"/>
      <c r="E151" s="95"/>
      <c r="F151" s="95"/>
      <c r="G151" s="8"/>
      <c r="I151" s="61"/>
      <c r="J151" s="99"/>
      <c r="L151" s="99"/>
      <c r="N151" s="101"/>
      <c r="O151" s="61"/>
      <c r="P151" s="61"/>
    </row>
    <row r="152">
      <c r="A152" s="99"/>
      <c r="C152" s="99"/>
      <c r="D152" s="100"/>
      <c r="E152" s="95"/>
      <c r="F152" s="95"/>
      <c r="G152" s="8"/>
      <c r="I152" s="61"/>
      <c r="J152" s="99"/>
      <c r="L152" s="99"/>
      <c r="N152" s="101"/>
      <c r="O152" s="61"/>
      <c r="P152" s="61"/>
    </row>
    <row r="153">
      <c r="A153" s="99"/>
      <c r="C153" s="99"/>
      <c r="D153" s="100"/>
      <c r="E153" s="95"/>
      <c r="F153" s="95"/>
      <c r="G153" s="8"/>
      <c r="I153" s="61"/>
      <c r="J153" s="99"/>
      <c r="L153" s="99"/>
      <c r="N153" s="101"/>
      <c r="O153" s="61"/>
      <c r="P153" s="61"/>
    </row>
    <row r="154">
      <c r="A154" s="99"/>
      <c r="C154" s="99"/>
      <c r="D154" s="100"/>
      <c r="E154" s="95"/>
      <c r="F154" s="95"/>
      <c r="G154" s="8"/>
      <c r="I154" s="61"/>
      <c r="J154" s="99"/>
      <c r="L154" s="99"/>
      <c r="N154" s="101"/>
      <c r="O154" s="61"/>
      <c r="P154" s="61"/>
    </row>
    <row r="155">
      <c r="A155" s="99"/>
      <c r="C155" s="99"/>
      <c r="D155" s="100"/>
      <c r="E155" s="95"/>
      <c r="F155" s="95"/>
      <c r="G155" s="8"/>
      <c r="I155" s="61"/>
      <c r="J155" s="99"/>
      <c r="L155" s="99"/>
      <c r="N155" s="101"/>
      <c r="O155" s="61"/>
      <c r="P155" s="61"/>
    </row>
    <row r="156">
      <c r="A156" s="99"/>
      <c r="C156" s="99"/>
      <c r="D156" s="100"/>
      <c r="E156" s="95"/>
      <c r="F156" s="95"/>
      <c r="G156" s="8"/>
      <c r="I156" s="61"/>
      <c r="J156" s="99"/>
      <c r="L156" s="99"/>
      <c r="N156" s="101"/>
      <c r="O156" s="61"/>
      <c r="P156" s="61"/>
    </row>
    <row r="157">
      <c r="A157" s="99"/>
      <c r="C157" s="99"/>
      <c r="D157" s="100"/>
      <c r="E157" s="95"/>
      <c r="F157" s="95"/>
      <c r="G157" s="8"/>
      <c r="I157" s="61"/>
      <c r="J157" s="99"/>
      <c r="L157" s="99"/>
      <c r="N157" s="101"/>
      <c r="O157" s="61"/>
      <c r="P157" s="61"/>
    </row>
    <row r="158">
      <c r="A158" s="99"/>
      <c r="C158" s="99"/>
      <c r="D158" s="100"/>
      <c r="E158" s="95"/>
      <c r="F158" s="95"/>
      <c r="G158" s="8"/>
      <c r="I158" s="61"/>
      <c r="J158" s="99"/>
      <c r="L158" s="99"/>
      <c r="N158" s="101"/>
      <c r="O158" s="61"/>
      <c r="P158" s="61"/>
    </row>
    <row r="159">
      <c r="A159" s="99"/>
      <c r="C159" s="99"/>
      <c r="D159" s="100"/>
      <c r="E159" s="95"/>
      <c r="F159" s="95"/>
      <c r="G159" s="8"/>
      <c r="I159" s="61"/>
      <c r="J159" s="99"/>
      <c r="L159" s="99"/>
      <c r="N159" s="101"/>
      <c r="O159" s="61"/>
      <c r="P159" s="61"/>
    </row>
    <row r="160">
      <c r="A160" s="99"/>
      <c r="C160" s="99"/>
      <c r="D160" s="100"/>
      <c r="E160" s="95"/>
      <c r="F160" s="95"/>
      <c r="G160" s="8"/>
      <c r="I160" s="61"/>
      <c r="J160" s="99"/>
      <c r="L160" s="99"/>
      <c r="N160" s="101"/>
      <c r="O160" s="61"/>
      <c r="P160" s="61"/>
    </row>
    <row r="161">
      <c r="A161" s="99"/>
      <c r="C161" s="99"/>
      <c r="D161" s="100"/>
      <c r="E161" s="95"/>
      <c r="F161" s="95"/>
      <c r="G161" s="8"/>
      <c r="I161" s="61"/>
      <c r="J161" s="99"/>
      <c r="L161" s="99"/>
      <c r="N161" s="101"/>
      <c r="O161" s="61"/>
      <c r="P161" s="61"/>
    </row>
    <row r="162">
      <c r="A162" s="99"/>
      <c r="C162" s="99"/>
      <c r="D162" s="100"/>
      <c r="E162" s="95"/>
      <c r="F162" s="95"/>
      <c r="G162" s="8"/>
      <c r="I162" s="61"/>
      <c r="J162" s="99"/>
      <c r="L162" s="99"/>
      <c r="N162" s="101"/>
      <c r="O162" s="61"/>
      <c r="P162" s="61"/>
    </row>
    <row r="163">
      <c r="A163" s="99"/>
      <c r="C163" s="99"/>
      <c r="D163" s="100"/>
      <c r="E163" s="95"/>
      <c r="F163" s="95"/>
      <c r="G163" s="8"/>
      <c r="I163" s="61"/>
      <c r="J163" s="99"/>
      <c r="L163" s="99"/>
      <c r="N163" s="101"/>
      <c r="O163" s="61"/>
      <c r="P163" s="61"/>
    </row>
    <row r="164">
      <c r="A164" s="99"/>
      <c r="C164" s="99"/>
      <c r="D164" s="100"/>
      <c r="E164" s="95"/>
      <c r="F164" s="95"/>
      <c r="G164" s="8"/>
      <c r="I164" s="61"/>
      <c r="J164" s="99"/>
      <c r="L164" s="99"/>
      <c r="N164" s="101"/>
      <c r="O164" s="61"/>
      <c r="P164" s="61"/>
    </row>
    <row r="165">
      <c r="A165" s="99"/>
      <c r="C165" s="99"/>
      <c r="D165" s="100"/>
      <c r="E165" s="95"/>
      <c r="F165" s="95"/>
      <c r="G165" s="8"/>
      <c r="I165" s="61"/>
      <c r="J165" s="99"/>
      <c r="L165" s="99"/>
      <c r="N165" s="101"/>
      <c r="O165" s="61"/>
      <c r="P165" s="61"/>
    </row>
    <row r="166">
      <c r="A166" s="99"/>
      <c r="C166" s="99"/>
      <c r="D166" s="100"/>
      <c r="E166" s="95"/>
      <c r="F166" s="95"/>
      <c r="G166" s="8"/>
      <c r="I166" s="61"/>
      <c r="J166" s="99"/>
      <c r="L166" s="99"/>
      <c r="N166" s="101"/>
      <c r="O166" s="61"/>
      <c r="P166" s="61"/>
    </row>
    <row r="167">
      <c r="A167" s="99"/>
      <c r="C167" s="99"/>
      <c r="D167" s="100"/>
      <c r="E167" s="95"/>
      <c r="F167" s="95"/>
      <c r="G167" s="8"/>
      <c r="I167" s="61"/>
      <c r="J167" s="99"/>
      <c r="L167" s="99"/>
      <c r="N167" s="101"/>
      <c r="O167" s="61"/>
      <c r="P167" s="61"/>
    </row>
    <row r="168">
      <c r="A168" s="99"/>
      <c r="C168" s="99"/>
      <c r="D168" s="100"/>
      <c r="E168" s="95"/>
      <c r="F168" s="95"/>
      <c r="G168" s="8"/>
      <c r="I168" s="61"/>
      <c r="J168" s="99"/>
      <c r="L168" s="99"/>
      <c r="N168" s="101"/>
      <c r="O168" s="61"/>
      <c r="P168" s="61"/>
    </row>
    <row r="169">
      <c r="A169" s="99"/>
      <c r="C169" s="99"/>
      <c r="D169" s="100"/>
      <c r="E169" s="95"/>
      <c r="F169" s="95"/>
      <c r="G169" s="8"/>
      <c r="I169" s="61"/>
      <c r="J169" s="99"/>
      <c r="L169" s="99"/>
      <c r="N169" s="101"/>
      <c r="O169" s="61"/>
      <c r="P169" s="61"/>
    </row>
    <row r="170">
      <c r="A170" s="99"/>
      <c r="C170" s="99"/>
      <c r="D170" s="100"/>
      <c r="E170" s="95"/>
      <c r="F170" s="95"/>
      <c r="G170" s="8"/>
      <c r="I170" s="61"/>
      <c r="J170" s="99"/>
      <c r="L170" s="99"/>
      <c r="N170" s="101"/>
      <c r="O170" s="61"/>
      <c r="P170" s="61"/>
    </row>
    <row r="171">
      <c r="A171" s="99"/>
      <c r="C171" s="99"/>
      <c r="D171" s="100"/>
      <c r="E171" s="95"/>
      <c r="F171" s="95"/>
      <c r="G171" s="8"/>
      <c r="I171" s="61"/>
      <c r="J171" s="99"/>
      <c r="L171" s="99"/>
      <c r="N171" s="101"/>
      <c r="O171" s="61"/>
      <c r="P171" s="61"/>
    </row>
    <row r="172">
      <c r="A172" s="99"/>
      <c r="C172" s="99"/>
      <c r="D172" s="100"/>
      <c r="E172" s="95"/>
      <c r="F172" s="95"/>
      <c r="G172" s="8"/>
      <c r="I172" s="61"/>
      <c r="J172" s="99"/>
      <c r="L172" s="99"/>
      <c r="N172" s="101"/>
      <c r="O172" s="61"/>
      <c r="P172" s="61"/>
    </row>
    <row r="173">
      <c r="A173" s="99"/>
      <c r="C173" s="99"/>
      <c r="D173" s="100"/>
      <c r="E173" s="95"/>
      <c r="F173" s="95"/>
      <c r="G173" s="8"/>
      <c r="I173" s="61"/>
      <c r="J173" s="99"/>
      <c r="L173" s="99"/>
      <c r="N173" s="101"/>
      <c r="O173" s="61"/>
      <c r="P173" s="61"/>
    </row>
    <row r="174">
      <c r="A174" s="99"/>
      <c r="C174" s="99"/>
      <c r="D174" s="100"/>
      <c r="E174" s="95"/>
      <c r="F174" s="95"/>
      <c r="G174" s="8"/>
      <c r="I174" s="61"/>
      <c r="J174" s="99"/>
      <c r="L174" s="99"/>
      <c r="N174" s="101"/>
      <c r="O174" s="61"/>
      <c r="P174" s="61"/>
    </row>
    <row r="175">
      <c r="A175" s="99"/>
      <c r="C175" s="99"/>
      <c r="D175" s="100"/>
      <c r="E175" s="95"/>
      <c r="F175" s="95"/>
      <c r="G175" s="8"/>
      <c r="I175" s="61"/>
      <c r="J175" s="99"/>
      <c r="L175" s="99"/>
      <c r="N175" s="101"/>
      <c r="O175" s="61"/>
      <c r="P175" s="61"/>
    </row>
    <row r="176">
      <c r="A176" s="99"/>
      <c r="C176" s="99"/>
      <c r="D176" s="100"/>
      <c r="E176" s="95"/>
      <c r="F176" s="95"/>
      <c r="G176" s="8"/>
      <c r="I176" s="61"/>
      <c r="J176" s="99"/>
      <c r="L176" s="99"/>
      <c r="N176" s="101"/>
      <c r="O176" s="61"/>
      <c r="P176" s="61"/>
    </row>
    <row r="177">
      <c r="A177" s="99"/>
      <c r="C177" s="99"/>
      <c r="D177" s="100"/>
      <c r="E177" s="95"/>
      <c r="F177" s="95"/>
      <c r="G177" s="8"/>
      <c r="I177" s="61"/>
      <c r="J177" s="99"/>
      <c r="L177" s="99"/>
      <c r="N177" s="101"/>
      <c r="O177" s="61"/>
      <c r="P177" s="61"/>
    </row>
    <row r="178">
      <c r="A178" s="99"/>
      <c r="C178" s="99"/>
      <c r="D178" s="100"/>
      <c r="E178" s="95"/>
      <c r="F178" s="95"/>
      <c r="G178" s="8"/>
      <c r="I178" s="61"/>
      <c r="J178" s="99"/>
      <c r="L178" s="99"/>
      <c r="N178" s="101"/>
      <c r="O178" s="61"/>
      <c r="P178" s="61"/>
    </row>
    <row r="179">
      <c r="A179" s="99"/>
      <c r="C179" s="99"/>
      <c r="D179" s="100"/>
      <c r="E179" s="95"/>
      <c r="F179" s="95"/>
      <c r="G179" s="8"/>
      <c r="I179" s="61"/>
      <c r="J179" s="99"/>
      <c r="L179" s="99"/>
      <c r="N179" s="101"/>
      <c r="O179" s="61"/>
      <c r="P179" s="61"/>
    </row>
    <row r="180">
      <c r="A180" s="99"/>
      <c r="C180" s="99"/>
      <c r="D180" s="100"/>
      <c r="E180" s="95"/>
      <c r="F180" s="95"/>
      <c r="G180" s="8"/>
      <c r="I180" s="61"/>
      <c r="J180" s="99"/>
      <c r="L180" s="99"/>
      <c r="N180" s="101"/>
      <c r="O180" s="61"/>
      <c r="P180" s="61"/>
    </row>
    <row r="181">
      <c r="A181" s="99"/>
      <c r="C181" s="99"/>
      <c r="D181" s="100"/>
      <c r="E181" s="95"/>
      <c r="F181" s="95"/>
      <c r="G181" s="8"/>
      <c r="I181" s="61"/>
      <c r="J181" s="99"/>
      <c r="L181" s="99"/>
      <c r="N181" s="101"/>
      <c r="O181" s="61"/>
      <c r="P181" s="61"/>
    </row>
    <row r="182">
      <c r="A182" s="99"/>
      <c r="C182" s="99"/>
      <c r="D182" s="100"/>
      <c r="E182" s="95"/>
      <c r="F182" s="95"/>
      <c r="G182" s="8"/>
      <c r="I182" s="61"/>
      <c r="J182" s="99"/>
      <c r="L182" s="99"/>
      <c r="N182" s="101"/>
      <c r="O182" s="61"/>
      <c r="P182" s="61"/>
    </row>
    <row r="183">
      <c r="A183" s="99"/>
      <c r="C183" s="99"/>
      <c r="D183" s="100"/>
      <c r="E183" s="95"/>
      <c r="F183" s="95"/>
      <c r="G183" s="8"/>
      <c r="I183" s="61"/>
      <c r="J183" s="99"/>
      <c r="L183" s="99"/>
      <c r="N183" s="101"/>
      <c r="O183" s="61"/>
      <c r="P183" s="61"/>
    </row>
    <row r="184">
      <c r="A184" s="99"/>
      <c r="C184" s="99"/>
      <c r="D184" s="100"/>
      <c r="E184" s="95"/>
      <c r="F184" s="95"/>
      <c r="G184" s="8"/>
      <c r="I184" s="61"/>
      <c r="J184" s="99"/>
      <c r="L184" s="99"/>
      <c r="N184" s="101"/>
      <c r="O184" s="61"/>
      <c r="P184" s="61"/>
    </row>
    <row r="185">
      <c r="A185" s="99"/>
      <c r="C185" s="99"/>
      <c r="D185" s="100"/>
      <c r="E185" s="95"/>
      <c r="F185" s="95"/>
      <c r="G185" s="8"/>
      <c r="I185" s="61"/>
      <c r="J185" s="99"/>
      <c r="L185" s="99"/>
      <c r="N185" s="101"/>
      <c r="O185" s="61"/>
      <c r="P185" s="61"/>
    </row>
    <row r="186">
      <c r="A186" s="99"/>
      <c r="C186" s="99"/>
      <c r="D186" s="100"/>
      <c r="E186" s="95"/>
      <c r="F186" s="95"/>
      <c r="G186" s="8"/>
      <c r="I186" s="61"/>
      <c r="J186" s="99"/>
      <c r="L186" s="99"/>
      <c r="N186" s="101"/>
      <c r="O186" s="61"/>
      <c r="P186" s="61"/>
    </row>
    <row r="187">
      <c r="A187" s="99"/>
      <c r="C187" s="99"/>
      <c r="D187" s="100"/>
      <c r="E187" s="95"/>
      <c r="F187" s="95"/>
      <c r="G187" s="8"/>
      <c r="I187" s="61"/>
      <c r="J187" s="99"/>
      <c r="L187" s="99"/>
      <c r="N187" s="101"/>
      <c r="O187" s="61"/>
      <c r="P187" s="61"/>
    </row>
    <row r="188">
      <c r="A188" s="99"/>
      <c r="C188" s="99"/>
      <c r="D188" s="100"/>
      <c r="E188" s="95"/>
      <c r="F188" s="95"/>
      <c r="G188" s="8"/>
      <c r="I188" s="61"/>
      <c r="J188" s="99"/>
      <c r="L188" s="99"/>
      <c r="N188" s="101"/>
      <c r="O188" s="61"/>
      <c r="P188" s="61"/>
    </row>
    <row r="189">
      <c r="A189" s="99"/>
      <c r="C189" s="99"/>
      <c r="D189" s="100"/>
      <c r="E189" s="95"/>
      <c r="F189" s="95"/>
      <c r="G189" s="8"/>
      <c r="I189" s="61"/>
      <c r="J189" s="99"/>
      <c r="L189" s="99"/>
      <c r="N189" s="101"/>
      <c r="O189" s="61"/>
      <c r="P189" s="61"/>
    </row>
    <row r="190">
      <c r="A190" s="99"/>
      <c r="C190" s="99"/>
      <c r="D190" s="100"/>
      <c r="E190" s="95"/>
      <c r="F190" s="95"/>
      <c r="G190" s="8"/>
      <c r="I190" s="61"/>
      <c r="J190" s="99"/>
      <c r="L190" s="99"/>
      <c r="N190" s="101"/>
      <c r="O190" s="61"/>
      <c r="P190" s="61"/>
    </row>
    <row r="191">
      <c r="A191" s="99"/>
      <c r="C191" s="99"/>
      <c r="D191" s="100"/>
      <c r="E191" s="95"/>
      <c r="F191" s="95"/>
      <c r="G191" s="8"/>
      <c r="I191" s="61"/>
      <c r="J191" s="99"/>
      <c r="L191" s="99"/>
      <c r="N191" s="101"/>
      <c r="O191" s="61"/>
      <c r="P191" s="61"/>
    </row>
    <row r="192">
      <c r="A192" s="99"/>
      <c r="C192" s="99"/>
      <c r="D192" s="100"/>
      <c r="E192" s="95"/>
      <c r="F192" s="95"/>
      <c r="G192" s="8"/>
      <c r="I192" s="61"/>
      <c r="J192" s="99"/>
      <c r="L192" s="99"/>
      <c r="N192" s="101"/>
      <c r="O192" s="61"/>
      <c r="P192" s="61"/>
    </row>
    <row r="193">
      <c r="A193" s="99"/>
      <c r="C193" s="99"/>
      <c r="D193" s="100"/>
      <c r="E193" s="95"/>
      <c r="F193" s="95"/>
      <c r="G193" s="8"/>
      <c r="I193" s="61"/>
      <c r="J193" s="99"/>
      <c r="L193" s="99"/>
      <c r="N193" s="101"/>
      <c r="O193" s="61"/>
      <c r="P193" s="61"/>
    </row>
    <row r="194">
      <c r="A194" s="99"/>
      <c r="C194" s="99"/>
      <c r="D194" s="100"/>
      <c r="E194" s="95"/>
      <c r="F194" s="95"/>
      <c r="G194" s="8"/>
      <c r="I194" s="61"/>
      <c r="J194" s="99"/>
      <c r="L194" s="99"/>
      <c r="N194" s="101"/>
      <c r="O194" s="61"/>
      <c r="P194" s="61"/>
    </row>
    <row r="195">
      <c r="A195" s="99"/>
      <c r="C195" s="99"/>
      <c r="D195" s="100"/>
      <c r="E195" s="95"/>
      <c r="F195" s="95"/>
      <c r="G195" s="8"/>
      <c r="I195" s="61"/>
      <c r="J195" s="99"/>
      <c r="L195" s="99"/>
      <c r="N195" s="101"/>
      <c r="O195" s="61"/>
      <c r="P195" s="61"/>
    </row>
    <row r="196">
      <c r="A196" s="99"/>
      <c r="C196" s="99"/>
      <c r="D196" s="100"/>
      <c r="E196" s="95"/>
      <c r="F196" s="95"/>
      <c r="G196" s="8"/>
      <c r="I196" s="61"/>
      <c r="J196" s="99"/>
      <c r="L196" s="99"/>
      <c r="N196" s="101"/>
      <c r="O196" s="61"/>
      <c r="P196" s="61"/>
    </row>
    <row r="197">
      <c r="A197" s="99"/>
      <c r="C197" s="99"/>
      <c r="D197" s="100"/>
      <c r="E197" s="95"/>
      <c r="F197" s="95"/>
      <c r="G197" s="8"/>
      <c r="I197" s="61"/>
      <c r="J197" s="99"/>
      <c r="L197" s="99"/>
      <c r="N197" s="101"/>
      <c r="O197" s="61"/>
      <c r="P197" s="61"/>
    </row>
    <row r="198">
      <c r="A198" s="99"/>
      <c r="C198" s="99"/>
      <c r="D198" s="100"/>
      <c r="E198" s="95"/>
      <c r="F198" s="95"/>
      <c r="G198" s="8"/>
      <c r="I198" s="61"/>
      <c r="J198" s="99"/>
      <c r="L198" s="99"/>
      <c r="N198" s="101"/>
      <c r="O198" s="61"/>
      <c r="P198" s="61"/>
    </row>
    <row r="199">
      <c r="A199" s="99"/>
      <c r="C199" s="99"/>
      <c r="D199" s="100"/>
      <c r="E199" s="95"/>
      <c r="F199" s="95"/>
      <c r="G199" s="8"/>
      <c r="I199" s="61"/>
      <c r="J199" s="99"/>
      <c r="L199" s="99"/>
      <c r="N199" s="101"/>
      <c r="O199" s="61"/>
      <c r="P199" s="61"/>
    </row>
    <row r="200">
      <c r="A200" s="99"/>
      <c r="C200" s="99"/>
      <c r="D200" s="100"/>
      <c r="E200" s="95"/>
      <c r="F200" s="95"/>
      <c r="G200" s="8"/>
      <c r="I200" s="61"/>
      <c r="J200" s="99"/>
      <c r="L200" s="99"/>
      <c r="N200" s="101"/>
      <c r="O200" s="61"/>
      <c r="P200" s="61"/>
    </row>
    <row r="201">
      <c r="A201" s="99"/>
      <c r="C201" s="99"/>
      <c r="D201" s="100"/>
      <c r="E201" s="95"/>
      <c r="F201" s="95"/>
      <c r="G201" s="8"/>
      <c r="I201" s="61"/>
      <c r="J201" s="99"/>
      <c r="L201" s="99"/>
      <c r="N201" s="101"/>
      <c r="O201" s="61"/>
      <c r="P201" s="61"/>
    </row>
    <row r="202">
      <c r="A202" s="99"/>
      <c r="C202" s="99"/>
      <c r="D202" s="100"/>
      <c r="E202" s="95"/>
      <c r="F202" s="95"/>
      <c r="G202" s="8"/>
      <c r="I202" s="61"/>
      <c r="J202" s="99"/>
      <c r="L202" s="99"/>
      <c r="N202" s="101"/>
      <c r="O202" s="61"/>
      <c r="P202" s="61"/>
    </row>
    <row r="203">
      <c r="A203" s="99"/>
      <c r="C203" s="99"/>
      <c r="D203" s="100"/>
      <c r="E203" s="95"/>
      <c r="F203" s="95"/>
      <c r="G203" s="8"/>
      <c r="I203" s="61"/>
      <c r="J203" s="99"/>
      <c r="L203" s="99"/>
      <c r="N203" s="101"/>
      <c r="O203" s="61"/>
      <c r="P203" s="61"/>
    </row>
    <row r="204">
      <c r="A204" s="99"/>
      <c r="C204" s="99"/>
      <c r="D204" s="100"/>
      <c r="E204" s="95"/>
      <c r="F204" s="95"/>
      <c r="G204" s="8"/>
      <c r="I204" s="61"/>
      <c r="J204" s="99"/>
      <c r="L204" s="99"/>
      <c r="N204" s="101"/>
      <c r="O204" s="61"/>
      <c r="P204" s="61"/>
    </row>
    <row r="205">
      <c r="A205" s="99"/>
      <c r="C205" s="99"/>
      <c r="D205" s="100"/>
      <c r="E205" s="95"/>
      <c r="F205" s="95"/>
      <c r="G205" s="8"/>
      <c r="I205" s="61"/>
      <c r="J205" s="99"/>
      <c r="L205" s="99"/>
      <c r="N205" s="101"/>
      <c r="O205" s="61"/>
      <c r="P205" s="61"/>
    </row>
    <row r="206">
      <c r="A206" s="99"/>
      <c r="C206" s="99"/>
      <c r="D206" s="100"/>
      <c r="E206" s="95"/>
      <c r="F206" s="95"/>
      <c r="G206" s="8"/>
      <c r="I206" s="61"/>
      <c r="J206" s="99"/>
      <c r="L206" s="99"/>
      <c r="N206" s="101"/>
      <c r="O206" s="61"/>
      <c r="P206" s="61"/>
    </row>
    <row r="207">
      <c r="A207" s="99"/>
      <c r="C207" s="99"/>
      <c r="D207" s="100"/>
      <c r="E207" s="95"/>
      <c r="F207" s="95"/>
      <c r="G207" s="8"/>
      <c r="I207" s="61"/>
      <c r="J207" s="99"/>
      <c r="L207" s="99"/>
      <c r="N207" s="101"/>
      <c r="O207" s="61"/>
      <c r="P207" s="61"/>
    </row>
    <row r="208">
      <c r="A208" s="99"/>
      <c r="C208" s="99"/>
      <c r="D208" s="100"/>
      <c r="E208" s="95"/>
      <c r="F208" s="95"/>
      <c r="G208" s="8"/>
      <c r="I208" s="61"/>
      <c r="J208" s="99"/>
      <c r="L208" s="99"/>
      <c r="N208" s="101"/>
      <c r="O208" s="61"/>
      <c r="P208" s="61"/>
    </row>
    <row r="209">
      <c r="A209" s="99"/>
      <c r="C209" s="99"/>
      <c r="D209" s="100"/>
      <c r="E209" s="95"/>
      <c r="F209" s="95"/>
      <c r="G209" s="8"/>
      <c r="I209" s="61"/>
      <c r="J209" s="99"/>
      <c r="L209" s="99"/>
      <c r="N209" s="101"/>
      <c r="O209" s="61"/>
      <c r="P209" s="61"/>
    </row>
    <row r="210">
      <c r="A210" s="99"/>
      <c r="C210" s="99"/>
      <c r="D210" s="100"/>
      <c r="E210" s="95"/>
      <c r="F210" s="95"/>
      <c r="G210" s="8"/>
      <c r="I210" s="61"/>
      <c r="J210" s="99"/>
      <c r="L210" s="99"/>
      <c r="N210" s="101"/>
      <c r="O210" s="61"/>
      <c r="P210" s="61"/>
    </row>
    <row r="211">
      <c r="A211" s="99"/>
      <c r="C211" s="99"/>
      <c r="D211" s="100"/>
      <c r="E211" s="95"/>
      <c r="F211" s="95"/>
      <c r="G211" s="8"/>
      <c r="I211" s="61"/>
      <c r="J211" s="99"/>
      <c r="L211" s="99"/>
      <c r="N211" s="101"/>
      <c r="O211" s="61"/>
      <c r="P211" s="61"/>
    </row>
    <row r="212">
      <c r="A212" s="99"/>
      <c r="C212" s="99"/>
      <c r="D212" s="100"/>
      <c r="E212" s="95"/>
      <c r="F212" s="95"/>
      <c r="G212" s="8"/>
      <c r="I212" s="61"/>
      <c r="J212" s="99"/>
      <c r="L212" s="99"/>
      <c r="N212" s="101"/>
      <c r="O212" s="61"/>
      <c r="P212" s="61"/>
    </row>
    <row r="213">
      <c r="A213" s="99"/>
      <c r="C213" s="99"/>
      <c r="D213" s="100"/>
      <c r="E213" s="95"/>
      <c r="F213" s="95"/>
      <c r="G213" s="8"/>
      <c r="I213" s="61"/>
      <c r="J213" s="99"/>
      <c r="L213" s="99"/>
      <c r="N213" s="101"/>
      <c r="O213" s="61"/>
      <c r="P213" s="61"/>
    </row>
    <row r="214">
      <c r="A214" s="99"/>
      <c r="C214" s="99"/>
      <c r="D214" s="100"/>
      <c r="E214" s="95"/>
      <c r="F214" s="95"/>
      <c r="G214" s="8"/>
      <c r="I214" s="61"/>
      <c r="J214" s="99"/>
      <c r="L214" s="99"/>
      <c r="N214" s="101"/>
      <c r="O214" s="61"/>
      <c r="P214" s="61"/>
    </row>
    <row r="215">
      <c r="A215" s="99"/>
      <c r="C215" s="99"/>
      <c r="D215" s="100"/>
      <c r="E215" s="95"/>
      <c r="F215" s="95"/>
      <c r="G215" s="8"/>
      <c r="I215" s="61"/>
      <c r="J215" s="99"/>
      <c r="L215" s="99"/>
      <c r="N215" s="101"/>
      <c r="O215" s="61"/>
      <c r="P215" s="61"/>
    </row>
    <row r="216">
      <c r="A216" s="99"/>
      <c r="C216" s="99"/>
      <c r="D216" s="100"/>
      <c r="E216" s="95"/>
      <c r="F216" s="95"/>
      <c r="G216" s="8"/>
      <c r="I216" s="61"/>
      <c r="J216" s="99"/>
      <c r="L216" s="99"/>
      <c r="N216" s="101"/>
      <c r="O216" s="61"/>
      <c r="P216" s="61"/>
    </row>
    <row r="217">
      <c r="A217" s="99"/>
      <c r="C217" s="99"/>
      <c r="D217" s="100"/>
      <c r="E217" s="95"/>
      <c r="F217" s="95"/>
      <c r="G217" s="8"/>
      <c r="I217" s="61"/>
      <c r="J217" s="99"/>
      <c r="L217" s="99"/>
      <c r="N217" s="101"/>
      <c r="O217" s="61"/>
      <c r="P217" s="61"/>
    </row>
    <row r="218">
      <c r="A218" s="99"/>
      <c r="C218" s="99"/>
      <c r="D218" s="100"/>
      <c r="E218" s="95"/>
      <c r="F218" s="95"/>
      <c r="G218" s="8"/>
      <c r="I218" s="61"/>
      <c r="J218" s="99"/>
      <c r="L218" s="99"/>
      <c r="N218" s="101"/>
      <c r="O218" s="61"/>
      <c r="P218" s="61"/>
    </row>
    <row r="219">
      <c r="A219" s="99"/>
      <c r="C219" s="99"/>
      <c r="D219" s="100"/>
      <c r="E219" s="95"/>
      <c r="F219" s="95"/>
      <c r="G219" s="8"/>
      <c r="I219" s="61"/>
      <c r="J219" s="99"/>
      <c r="L219" s="99"/>
      <c r="N219" s="101"/>
      <c r="O219" s="61"/>
      <c r="P219" s="61"/>
    </row>
    <row r="220">
      <c r="A220" s="99"/>
      <c r="C220" s="99"/>
      <c r="D220" s="100"/>
      <c r="E220" s="95"/>
      <c r="F220" s="95"/>
      <c r="G220" s="8"/>
      <c r="I220" s="61"/>
      <c r="J220" s="99"/>
      <c r="L220" s="99"/>
      <c r="N220" s="101"/>
      <c r="O220" s="61"/>
      <c r="P220" s="61"/>
    </row>
    <row r="221">
      <c r="A221" s="99"/>
      <c r="C221" s="99"/>
      <c r="D221" s="100"/>
      <c r="E221" s="95"/>
      <c r="F221" s="95"/>
      <c r="G221" s="8"/>
      <c r="I221" s="61"/>
      <c r="J221" s="99"/>
      <c r="L221" s="99"/>
      <c r="N221" s="101"/>
      <c r="O221" s="61"/>
      <c r="P221" s="61"/>
    </row>
    <row r="222">
      <c r="A222" s="99"/>
      <c r="C222" s="99"/>
      <c r="D222" s="100"/>
      <c r="E222" s="95"/>
      <c r="F222" s="95"/>
      <c r="G222" s="8"/>
      <c r="I222" s="61"/>
      <c r="J222" s="99"/>
      <c r="L222" s="99"/>
      <c r="N222" s="101"/>
      <c r="O222" s="61"/>
      <c r="P222" s="61"/>
    </row>
    <row r="223">
      <c r="A223" s="99"/>
      <c r="C223" s="99"/>
      <c r="D223" s="100"/>
      <c r="E223" s="95"/>
      <c r="F223" s="95"/>
      <c r="G223" s="8"/>
      <c r="I223" s="61"/>
      <c r="J223" s="99"/>
      <c r="L223" s="99"/>
      <c r="N223" s="101"/>
      <c r="O223" s="61"/>
      <c r="P223" s="61"/>
    </row>
    <row r="224">
      <c r="A224" s="99"/>
      <c r="C224" s="99"/>
      <c r="D224" s="100"/>
      <c r="E224" s="95"/>
      <c r="F224" s="95"/>
      <c r="G224" s="8"/>
      <c r="I224" s="61"/>
      <c r="J224" s="99"/>
      <c r="L224" s="99"/>
      <c r="N224" s="101"/>
      <c r="O224" s="61"/>
      <c r="P224" s="61"/>
    </row>
    <row r="225">
      <c r="A225" s="99"/>
      <c r="C225" s="99"/>
      <c r="D225" s="100"/>
      <c r="E225" s="95"/>
      <c r="F225" s="95"/>
      <c r="G225" s="8"/>
      <c r="I225" s="61"/>
      <c r="J225" s="99"/>
      <c r="L225" s="99"/>
      <c r="N225" s="101"/>
      <c r="O225" s="61"/>
      <c r="P225" s="61"/>
    </row>
    <row r="226">
      <c r="A226" s="99"/>
      <c r="C226" s="99"/>
      <c r="D226" s="100"/>
      <c r="E226" s="95"/>
      <c r="F226" s="95"/>
      <c r="G226" s="8"/>
      <c r="I226" s="61"/>
      <c r="J226" s="99"/>
      <c r="L226" s="99"/>
      <c r="N226" s="101"/>
      <c r="O226" s="61"/>
      <c r="P226" s="61"/>
    </row>
    <row r="227">
      <c r="A227" s="99"/>
      <c r="C227" s="99"/>
      <c r="D227" s="100"/>
      <c r="E227" s="95"/>
      <c r="F227" s="95"/>
      <c r="G227" s="8"/>
      <c r="I227" s="61"/>
      <c r="J227" s="99"/>
      <c r="L227" s="99"/>
      <c r="N227" s="101"/>
      <c r="O227" s="61"/>
      <c r="P227" s="61"/>
    </row>
    <row r="228">
      <c r="A228" s="99"/>
      <c r="C228" s="99"/>
      <c r="D228" s="100"/>
      <c r="E228" s="95"/>
      <c r="F228" s="95"/>
      <c r="G228" s="8"/>
      <c r="I228" s="61"/>
      <c r="J228" s="99"/>
      <c r="L228" s="99"/>
      <c r="N228" s="101"/>
      <c r="O228" s="61"/>
      <c r="P228" s="61"/>
    </row>
    <row r="229">
      <c r="A229" s="99"/>
      <c r="C229" s="99"/>
      <c r="D229" s="100"/>
      <c r="E229" s="95"/>
      <c r="F229" s="95"/>
      <c r="G229" s="8"/>
      <c r="I229" s="61"/>
      <c r="J229" s="99"/>
      <c r="L229" s="99"/>
      <c r="N229" s="101"/>
      <c r="O229" s="61"/>
      <c r="P229" s="61"/>
    </row>
    <row r="230">
      <c r="A230" s="99"/>
      <c r="C230" s="99"/>
      <c r="D230" s="100"/>
      <c r="E230" s="95"/>
      <c r="F230" s="95"/>
      <c r="G230" s="8"/>
      <c r="I230" s="61"/>
      <c r="J230" s="99"/>
      <c r="L230" s="99"/>
      <c r="N230" s="101"/>
      <c r="O230" s="61"/>
      <c r="P230" s="61"/>
    </row>
    <row r="231">
      <c r="A231" s="99"/>
      <c r="C231" s="99"/>
      <c r="D231" s="100"/>
      <c r="E231" s="95"/>
      <c r="F231" s="95"/>
      <c r="G231" s="8"/>
      <c r="I231" s="61"/>
      <c r="J231" s="99"/>
      <c r="L231" s="99"/>
      <c r="N231" s="101"/>
      <c r="O231" s="61"/>
      <c r="P231" s="61"/>
    </row>
    <row r="232">
      <c r="A232" s="99"/>
      <c r="C232" s="99"/>
      <c r="D232" s="100"/>
      <c r="E232" s="95"/>
      <c r="F232" s="95"/>
      <c r="G232" s="8"/>
      <c r="I232" s="61"/>
      <c r="J232" s="99"/>
      <c r="L232" s="99"/>
      <c r="N232" s="101"/>
      <c r="O232" s="61"/>
      <c r="P232" s="61"/>
    </row>
    <row r="233">
      <c r="A233" s="99"/>
      <c r="C233" s="99"/>
      <c r="D233" s="100"/>
      <c r="E233" s="95"/>
      <c r="F233" s="95"/>
      <c r="G233" s="8"/>
      <c r="I233" s="61"/>
      <c r="J233" s="99"/>
      <c r="L233" s="99"/>
      <c r="N233" s="101"/>
      <c r="O233" s="61"/>
      <c r="P233" s="61"/>
    </row>
    <row r="234">
      <c r="A234" s="99"/>
      <c r="C234" s="99"/>
      <c r="D234" s="100"/>
      <c r="E234" s="95"/>
      <c r="F234" s="95"/>
      <c r="G234" s="8"/>
      <c r="I234" s="61"/>
      <c r="J234" s="99"/>
      <c r="L234" s="99"/>
      <c r="N234" s="101"/>
      <c r="O234" s="61"/>
      <c r="P234" s="61"/>
    </row>
    <row r="235">
      <c r="A235" s="99"/>
      <c r="C235" s="99"/>
      <c r="D235" s="100"/>
      <c r="E235" s="95"/>
      <c r="F235" s="95"/>
      <c r="G235" s="8"/>
      <c r="I235" s="61"/>
      <c r="J235" s="99"/>
      <c r="L235" s="99"/>
      <c r="N235" s="101"/>
      <c r="O235" s="61"/>
      <c r="P235" s="61"/>
    </row>
    <row r="236">
      <c r="A236" s="99"/>
      <c r="C236" s="99"/>
      <c r="D236" s="100"/>
      <c r="E236" s="95"/>
      <c r="F236" s="95"/>
      <c r="G236" s="8"/>
      <c r="I236" s="61"/>
      <c r="J236" s="99"/>
      <c r="L236" s="99"/>
      <c r="N236" s="101"/>
      <c r="O236" s="61"/>
      <c r="P236" s="61"/>
    </row>
    <row r="237">
      <c r="A237" s="99"/>
      <c r="C237" s="99"/>
      <c r="D237" s="100"/>
      <c r="E237" s="95"/>
      <c r="F237" s="95"/>
      <c r="G237" s="8"/>
      <c r="I237" s="61"/>
      <c r="J237" s="99"/>
      <c r="L237" s="99"/>
      <c r="N237" s="101"/>
      <c r="O237" s="61"/>
      <c r="P237" s="61"/>
    </row>
    <row r="238">
      <c r="A238" s="99"/>
      <c r="C238" s="99"/>
      <c r="D238" s="100"/>
      <c r="E238" s="95"/>
      <c r="F238" s="95"/>
      <c r="G238" s="8"/>
      <c r="I238" s="61"/>
      <c r="J238" s="99"/>
      <c r="L238" s="99"/>
      <c r="N238" s="101"/>
      <c r="O238" s="61"/>
      <c r="P238" s="61"/>
    </row>
    <row r="239">
      <c r="A239" s="99"/>
      <c r="C239" s="99"/>
      <c r="D239" s="100"/>
      <c r="E239" s="95"/>
      <c r="F239" s="95"/>
      <c r="G239" s="8"/>
      <c r="I239" s="61"/>
      <c r="J239" s="99"/>
      <c r="L239" s="99"/>
      <c r="N239" s="101"/>
      <c r="O239" s="61"/>
      <c r="P239" s="61"/>
    </row>
    <row r="240">
      <c r="A240" s="99"/>
      <c r="C240" s="99"/>
      <c r="D240" s="100"/>
      <c r="E240" s="95"/>
      <c r="F240" s="95"/>
      <c r="G240" s="8"/>
      <c r="I240" s="61"/>
      <c r="J240" s="99"/>
      <c r="L240" s="99"/>
      <c r="N240" s="101"/>
      <c r="O240" s="61"/>
      <c r="P240" s="61"/>
    </row>
    <row r="241">
      <c r="A241" s="99"/>
      <c r="C241" s="99"/>
      <c r="D241" s="100"/>
      <c r="E241" s="95"/>
      <c r="F241" s="95"/>
      <c r="G241" s="8"/>
      <c r="I241" s="61"/>
      <c r="J241" s="99"/>
      <c r="L241" s="99"/>
      <c r="N241" s="101"/>
      <c r="O241" s="61"/>
      <c r="P241" s="61"/>
    </row>
    <row r="242">
      <c r="A242" s="99"/>
      <c r="C242" s="99"/>
      <c r="D242" s="100"/>
      <c r="E242" s="95"/>
      <c r="F242" s="95"/>
      <c r="G242" s="8"/>
      <c r="I242" s="61"/>
      <c r="J242" s="99"/>
      <c r="L242" s="99"/>
      <c r="N242" s="101"/>
      <c r="O242" s="61"/>
      <c r="P242" s="61"/>
    </row>
    <row r="243">
      <c r="A243" s="99"/>
      <c r="C243" s="99"/>
      <c r="D243" s="100"/>
      <c r="E243" s="95"/>
      <c r="F243" s="95"/>
      <c r="G243" s="8"/>
      <c r="I243" s="61"/>
      <c r="J243" s="99"/>
      <c r="L243" s="99"/>
      <c r="N243" s="101"/>
      <c r="O243" s="61"/>
      <c r="P243" s="61"/>
    </row>
    <row r="244">
      <c r="A244" s="99"/>
      <c r="C244" s="99"/>
      <c r="D244" s="100"/>
      <c r="E244" s="95"/>
      <c r="F244" s="95"/>
      <c r="G244" s="8"/>
      <c r="I244" s="61"/>
      <c r="J244" s="99"/>
      <c r="L244" s="99"/>
      <c r="N244" s="101"/>
      <c r="O244" s="61"/>
      <c r="P244" s="61"/>
    </row>
    <row r="245">
      <c r="A245" s="99"/>
      <c r="C245" s="99"/>
      <c r="D245" s="100"/>
      <c r="E245" s="95"/>
      <c r="F245" s="95"/>
      <c r="G245" s="8"/>
      <c r="I245" s="61"/>
      <c r="J245" s="99"/>
      <c r="L245" s="99"/>
      <c r="N245" s="101"/>
      <c r="O245" s="61"/>
      <c r="P245" s="61"/>
    </row>
    <row r="246">
      <c r="A246" s="99"/>
      <c r="C246" s="99"/>
      <c r="D246" s="100"/>
      <c r="E246" s="95"/>
      <c r="F246" s="95"/>
      <c r="G246" s="8"/>
      <c r="I246" s="61"/>
      <c r="J246" s="99"/>
      <c r="L246" s="99"/>
      <c r="N246" s="101"/>
      <c r="O246" s="61"/>
      <c r="P246" s="61"/>
    </row>
    <row r="247">
      <c r="A247" s="99"/>
      <c r="C247" s="99"/>
      <c r="D247" s="100"/>
      <c r="E247" s="95"/>
      <c r="F247" s="95"/>
      <c r="G247" s="8"/>
      <c r="I247" s="61"/>
      <c r="J247" s="99"/>
      <c r="L247" s="99"/>
      <c r="N247" s="101"/>
      <c r="O247" s="61"/>
      <c r="P247" s="61"/>
    </row>
    <row r="248">
      <c r="A248" s="99"/>
      <c r="C248" s="99"/>
      <c r="D248" s="100"/>
      <c r="E248" s="95"/>
      <c r="F248" s="95"/>
      <c r="G248" s="8"/>
      <c r="I248" s="61"/>
      <c r="J248" s="99"/>
      <c r="L248" s="99"/>
      <c r="N248" s="101"/>
      <c r="O248" s="61"/>
      <c r="P248" s="61"/>
    </row>
    <row r="249">
      <c r="A249" s="99"/>
      <c r="C249" s="99"/>
      <c r="D249" s="100"/>
      <c r="E249" s="95"/>
      <c r="F249" s="95"/>
      <c r="G249" s="8"/>
      <c r="I249" s="61"/>
      <c r="J249" s="99"/>
      <c r="L249" s="99"/>
      <c r="N249" s="101"/>
      <c r="O249" s="61"/>
      <c r="P249" s="61"/>
    </row>
    <row r="250">
      <c r="A250" s="99"/>
      <c r="C250" s="99"/>
      <c r="D250" s="100"/>
      <c r="E250" s="95"/>
      <c r="F250" s="95"/>
      <c r="G250" s="8"/>
      <c r="I250" s="61"/>
      <c r="J250" s="99"/>
      <c r="L250" s="99"/>
      <c r="N250" s="101"/>
      <c r="O250" s="61"/>
      <c r="P250" s="61"/>
    </row>
    <row r="251">
      <c r="A251" s="99"/>
      <c r="C251" s="99"/>
      <c r="D251" s="100"/>
      <c r="E251" s="95"/>
      <c r="F251" s="95"/>
      <c r="G251" s="8"/>
      <c r="I251" s="61"/>
      <c r="J251" s="99"/>
      <c r="L251" s="99"/>
      <c r="N251" s="101"/>
      <c r="O251" s="61"/>
      <c r="P251" s="61"/>
    </row>
    <row r="252">
      <c r="A252" s="99"/>
      <c r="C252" s="99"/>
      <c r="D252" s="100"/>
      <c r="E252" s="95"/>
      <c r="F252" s="95"/>
      <c r="G252" s="8"/>
      <c r="I252" s="61"/>
      <c r="J252" s="99"/>
      <c r="L252" s="99"/>
      <c r="N252" s="101"/>
      <c r="O252" s="61"/>
      <c r="P252" s="61"/>
    </row>
    <row r="253">
      <c r="A253" s="99"/>
      <c r="C253" s="99"/>
      <c r="D253" s="100"/>
      <c r="E253" s="95"/>
      <c r="F253" s="95"/>
      <c r="G253" s="8"/>
      <c r="I253" s="61"/>
      <c r="J253" s="99"/>
      <c r="L253" s="99"/>
      <c r="N253" s="101"/>
      <c r="O253" s="61"/>
      <c r="P253" s="61"/>
    </row>
    <row r="254">
      <c r="A254" s="99"/>
      <c r="C254" s="99"/>
      <c r="D254" s="100"/>
      <c r="E254" s="95"/>
      <c r="F254" s="95"/>
      <c r="G254" s="8"/>
      <c r="I254" s="61"/>
      <c r="J254" s="99"/>
      <c r="L254" s="99"/>
      <c r="N254" s="101"/>
      <c r="O254" s="61"/>
      <c r="P254" s="61"/>
    </row>
    <row r="255">
      <c r="A255" s="99"/>
      <c r="C255" s="99"/>
      <c r="D255" s="100"/>
      <c r="E255" s="95"/>
      <c r="F255" s="95"/>
      <c r="G255" s="8"/>
      <c r="I255" s="61"/>
      <c r="J255" s="99"/>
      <c r="L255" s="99"/>
      <c r="N255" s="101"/>
      <c r="O255" s="61"/>
      <c r="P255" s="61"/>
    </row>
    <row r="256">
      <c r="A256" s="99"/>
      <c r="C256" s="99"/>
      <c r="D256" s="100"/>
      <c r="E256" s="95"/>
      <c r="F256" s="95"/>
      <c r="G256" s="8"/>
      <c r="I256" s="61"/>
      <c r="J256" s="99"/>
      <c r="L256" s="99"/>
      <c r="N256" s="101"/>
      <c r="O256" s="61"/>
      <c r="P256" s="61"/>
    </row>
    <row r="257">
      <c r="A257" s="99"/>
      <c r="C257" s="99"/>
      <c r="D257" s="100"/>
      <c r="E257" s="95"/>
      <c r="F257" s="95"/>
      <c r="G257" s="8"/>
      <c r="I257" s="61"/>
      <c r="J257" s="99"/>
      <c r="L257" s="99"/>
      <c r="N257" s="101"/>
      <c r="O257" s="61"/>
      <c r="P257" s="61"/>
    </row>
    <row r="258">
      <c r="A258" s="99"/>
      <c r="C258" s="99"/>
      <c r="D258" s="100"/>
      <c r="E258" s="95"/>
      <c r="F258" s="95"/>
      <c r="G258" s="8"/>
      <c r="I258" s="61"/>
      <c r="J258" s="99"/>
      <c r="L258" s="99"/>
      <c r="N258" s="101"/>
      <c r="O258" s="61"/>
      <c r="P258" s="61"/>
    </row>
    <row r="259">
      <c r="A259" s="99"/>
      <c r="C259" s="99"/>
      <c r="D259" s="100"/>
      <c r="E259" s="95"/>
      <c r="F259" s="95"/>
      <c r="G259" s="8"/>
      <c r="I259" s="61"/>
      <c r="J259" s="99"/>
      <c r="L259" s="99"/>
      <c r="N259" s="101"/>
      <c r="O259" s="61"/>
      <c r="P259" s="61"/>
    </row>
    <row r="260">
      <c r="A260" s="99"/>
      <c r="C260" s="99"/>
      <c r="D260" s="100"/>
      <c r="E260" s="95"/>
      <c r="F260" s="95"/>
      <c r="G260" s="8"/>
      <c r="I260" s="61"/>
      <c r="J260" s="99"/>
      <c r="L260" s="99"/>
      <c r="N260" s="101"/>
      <c r="O260" s="61"/>
      <c r="P260" s="61"/>
    </row>
    <row r="261">
      <c r="A261" s="99"/>
      <c r="C261" s="99"/>
      <c r="D261" s="100"/>
      <c r="E261" s="95"/>
      <c r="F261" s="95"/>
      <c r="G261" s="8"/>
      <c r="I261" s="61"/>
      <c r="J261" s="99"/>
      <c r="L261" s="99"/>
      <c r="N261" s="101"/>
      <c r="O261" s="61"/>
      <c r="P261" s="61"/>
    </row>
    <row r="262">
      <c r="A262" s="99"/>
      <c r="C262" s="99"/>
      <c r="D262" s="100"/>
      <c r="E262" s="95"/>
      <c r="F262" s="95"/>
      <c r="G262" s="8"/>
      <c r="I262" s="61"/>
      <c r="J262" s="99"/>
      <c r="L262" s="99"/>
      <c r="N262" s="101"/>
      <c r="O262" s="61"/>
      <c r="P262" s="61"/>
    </row>
    <row r="263">
      <c r="A263" s="99"/>
      <c r="C263" s="99"/>
      <c r="D263" s="100"/>
      <c r="E263" s="95"/>
      <c r="F263" s="95"/>
      <c r="G263" s="8"/>
      <c r="I263" s="61"/>
      <c r="J263" s="99"/>
      <c r="L263" s="99"/>
      <c r="N263" s="101"/>
      <c r="O263" s="61"/>
      <c r="P263" s="61"/>
    </row>
    <row r="264">
      <c r="A264" s="99"/>
      <c r="C264" s="99"/>
      <c r="D264" s="100"/>
      <c r="E264" s="95"/>
      <c r="F264" s="95"/>
      <c r="G264" s="8"/>
      <c r="I264" s="61"/>
      <c r="J264" s="99"/>
      <c r="L264" s="99"/>
      <c r="N264" s="101"/>
      <c r="O264" s="61"/>
      <c r="P264" s="61"/>
    </row>
    <row r="265">
      <c r="A265" s="99"/>
      <c r="C265" s="99"/>
      <c r="D265" s="100"/>
      <c r="E265" s="95"/>
      <c r="F265" s="95"/>
      <c r="G265" s="8"/>
      <c r="I265" s="61"/>
      <c r="J265" s="99"/>
      <c r="L265" s="99"/>
      <c r="N265" s="101"/>
      <c r="O265" s="61"/>
      <c r="P265" s="61"/>
    </row>
    <row r="266">
      <c r="A266" s="99"/>
      <c r="C266" s="99"/>
      <c r="D266" s="100"/>
      <c r="E266" s="95"/>
      <c r="F266" s="95"/>
      <c r="G266" s="8"/>
      <c r="I266" s="61"/>
      <c r="J266" s="99"/>
      <c r="L266" s="99"/>
      <c r="N266" s="101"/>
      <c r="O266" s="61"/>
      <c r="P266" s="61"/>
    </row>
    <row r="267">
      <c r="A267" s="99"/>
      <c r="C267" s="99"/>
      <c r="D267" s="100"/>
      <c r="E267" s="95"/>
      <c r="F267" s="95"/>
      <c r="G267" s="8"/>
      <c r="I267" s="61"/>
      <c r="J267" s="99"/>
      <c r="L267" s="99"/>
      <c r="N267" s="101"/>
      <c r="O267" s="61"/>
      <c r="P267" s="61"/>
    </row>
    <row r="268">
      <c r="A268" s="99"/>
      <c r="C268" s="99"/>
      <c r="D268" s="100"/>
      <c r="E268" s="95"/>
      <c r="F268" s="95"/>
      <c r="G268" s="8"/>
      <c r="I268" s="61"/>
      <c r="J268" s="99"/>
      <c r="L268" s="99"/>
      <c r="N268" s="101"/>
      <c r="O268" s="61"/>
      <c r="P268" s="61"/>
    </row>
    <row r="269">
      <c r="A269" s="99"/>
      <c r="C269" s="99"/>
      <c r="D269" s="100"/>
      <c r="E269" s="95"/>
      <c r="F269" s="95"/>
      <c r="G269" s="8"/>
      <c r="I269" s="61"/>
      <c r="J269" s="99"/>
      <c r="L269" s="99"/>
      <c r="N269" s="101"/>
      <c r="O269" s="61"/>
      <c r="P269" s="61"/>
    </row>
    <row r="270">
      <c r="A270" s="99"/>
      <c r="C270" s="99"/>
      <c r="D270" s="100"/>
      <c r="E270" s="95"/>
      <c r="F270" s="95"/>
      <c r="G270" s="8"/>
      <c r="I270" s="61"/>
      <c r="J270" s="99"/>
      <c r="L270" s="99"/>
      <c r="N270" s="101"/>
      <c r="O270" s="61"/>
      <c r="P270" s="61"/>
    </row>
    <row r="271">
      <c r="A271" s="99"/>
      <c r="C271" s="99"/>
      <c r="D271" s="100"/>
      <c r="E271" s="95"/>
      <c r="F271" s="95"/>
      <c r="G271" s="8"/>
      <c r="I271" s="61"/>
      <c r="J271" s="99"/>
      <c r="L271" s="99"/>
      <c r="N271" s="101"/>
      <c r="O271" s="61"/>
      <c r="P271" s="61"/>
    </row>
    <row r="272">
      <c r="A272" s="99"/>
      <c r="C272" s="99"/>
      <c r="D272" s="100"/>
      <c r="E272" s="95"/>
      <c r="F272" s="95"/>
      <c r="G272" s="8"/>
      <c r="I272" s="61"/>
      <c r="J272" s="99"/>
      <c r="L272" s="99"/>
      <c r="N272" s="101"/>
      <c r="O272" s="61"/>
      <c r="P272" s="61"/>
    </row>
    <row r="273">
      <c r="A273" s="99"/>
      <c r="C273" s="99"/>
      <c r="D273" s="100"/>
      <c r="E273" s="95"/>
      <c r="F273" s="95"/>
      <c r="G273" s="8"/>
      <c r="I273" s="61"/>
      <c r="J273" s="99"/>
      <c r="L273" s="99"/>
      <c r="N273" s="101"/>
      <c r="O273" s="61"/>
      <c r="P273" s="61"/>
    </row>
    <row r="274">
      <c r="A274" s="99"/>
      <c r="C274" s="99"/>
      <c r="D274" s="100"/>
      <c r="E274" s="95"/>
      <c r="F274" s="95"/>
      <c r="G274" s="8"/>
      <c r="I274" s="61"/>
      <c r="J274" s="99"/>
      <c r="L274" s="99"/>
      <c r="N274" s="101"/>
      <c r="O274" s="61"/>
      <c r="P274" s="61"/>
    </row>
    <row r="275">
      <c r="A275" s="99"/>
      <c r="C275" s="99"/>
      <c r="D275" s="100"/>
      <c r="E275" s="95"/>
      <c r="F275" s="95"/>
      <c r="G275" s="8"/>
      <c r="I275" s="61"/>
      <c r="J275" s="99"/>
      <c r="L275" s="99"/>
      <c r="N275" s="101"/>
      <c r="O275" s="61"/>
      <c r="P275" s="61"/>
    </row>
    <row r="276">
      <c r="A276" s="99"/>
      <c r="C276" s="99"/>
      <c r="D276" s="100"/>
      <c r="E276" s="95"/>
      <c r="F276" s="95"/>
      <c r="G276" s="8"/>
      <c r="I276" s="61"/>
      <c r="J276" s="99"/>
      <c r="L276" s="99"/>
      <c r="N276" s="101"/>
      <c r="O276" s="61"/>
      <c r="P276" s="61"/>
    </row>
    <row r="277">
      <c r="A277" s="99"/>
      <c r="C277" s="99"/>
      <c r="D277" s="100"/>
      <c r="E277" s="95"/>
      <c r="F277" s="95"/>
      <c r="G277" s="8"/>
      <c r="I277" s="61"/>
      <c r="J277" s="99"/>
      <c r="L277" s="99"/>
      <c r="N277" s="101"/>
      <c r="O277" s="61"/>
      <c r="P277" s="61"/>
    </row>
    <row r="278">
      <c r="A278" s="99"/>
      <c r="C278" s="99"/>
      <c r="D278" s="100"/>
      <c r="E278" s="95"/>
      <c r="F278" s="95"/>
      <c r="G278" s="8"/>
      <c r="I278" s="61"/>
      <c r="J278" s="99"/>
      <c r="L278" s="99"/>
      <c r="N278" s="101"/>
      <c r="O278" s="61"/>
      <c r="P278" s="61"/>
    </row>
    <row r="279">
      <c r="A279" s="99"/>
      <c r="C279" s="99"/>
      <c r="D279" s="100"/>
      <c r="E279" s="95"/>
      <c r="F279" s="95"/>
      <c r="G279" s="8"/>
      <c r="I279" s="61"/>
      <c r="J279" s="99"/>
      <c r="L279" s="99"/>
      <c r="N279" s="101"/>
      <c r="O279" s="61"/>
      <c r="P279" s="61"/>
    </row>
    <row r="280">
      <c r="A280" s="99"/>
      <c r="C280" s="99"/>
      <c r="D280" s="100"/>
      <c r="E280" s="95"/>
      <c r="F280" s="95"/>
      <c r="G280" s="8"/>
      <c r="I280" s="61"/>
      <c r="J280" s="99"/>
      <c r="L280" s="99"/>
      <c r="N280" s="101"/>
      <c r="O280" s="61"/>
      <c r="P280" s="61"/>
    </row>
    <row r="281">
      <c r="A281" s="99"/>
      <c r="C281" s="99"/>
      <c r="D281" s="100"/>
      <c r="E281" s="95"/>
      <c r="F281" s="95"/>
      <c r="G281" s="8"/>
      <c r="I281" s="61"/>
      <c r="J281" s="99"/>
      <c r="L281" s="99"/>
      <c r="N281" s="101"/>
      <c r="O281" s="61"/>
      <c r="P281" s="61"/>
    </row>
    <row r="282">
      <c r="A282" s="99"/>
      <c r="C282" s="99"/>
      <c r="D282" s="100"/>
      <c r="E282" s="95"/>
      <c r="F282" s="95"/>
      <c r="G282" s="8"/>
      <c r="I282" s="61"/>
      <c r="J282" s="99"/>
      <c r="L282" s="99"/>
      <c r="N282" s="101"/>
      <c r="O282" s="61"/>
      <c r="P282" s="61"/>
    </row>
    <row r="283">
      <c r="A283" s="99"/>
      <c r="C283" s="99"/>
      <c r="D283" s="100"/>
      <c r="E283" s="95"/>
      <c r="F283" s="95"/>
      <c r="G283" s="8"/>
      <c r="I283" s="61"/>
      <c r="J283" s="99"/>
      <c r="L283" s="99"/>
      <c r="N283" s="101"/>
      <c r="O283" s="61"/>
      <c r="P283" s="61"/>
    </row>
    <row r="284">
      <c r="A284" s="99"/>
      <c r="C284" s="99"/>
      <c r="D284" s="100"/>
      <c r="E284" s="95"/>
      <c r="F284" s="95"/>
      <c r="G284" s="8"/>
      <c r="I284" s="61"/>
      <c r="J284" s="99"/>
      <c r="L284" s="99"/>
      <c r="N284" s="101"/>
      <c r="O284" s="61"/>
      <c r="P284" s="61"/>
    </row>
    <row r="285">
      <c r="A285" s="99"/>
      <c r="C285" s="99"/>
      <c r="D285" s="100"/>
      <c r="E285" s="95"/>
      <c r="F285" s="95"/>
      <c r="G285" s="8"/>
      <c r="I285" s="61"/>
      <c r="J285" s="99"/>
      <c r="L285" s="99"/>
      <c r="N285" s="101"/>
      <c r="O285" s="61"/>
      <c r="P285" s="61"/>
    </row>
    <row r="286">
      <c r="A286" s="99"/>
      <c r="C286" s="99"/>
      <c r="D286" s="100"/>
      <c r="E286" s="95"/>
      <c r="F286" s="95"/>
      <c r="G286" s="8"/>
      <c r="I286" s="61"/>
      <c r="J286" s="99"/>
      <c r="L286" s="99"/>
      <c r="N286" s="101"/>
      <c r="O286" s="61"/>
      <c r="P286" s="61"/>
    </row>
    <row r="287">
      <c r="A287" s="99"/>
      <c r="C287" s="99"/>
      <c r="D287" s="100"/>
      <c r="E287" s="95"/>
      <c r="F287" s="95"/>
      <c r="G287" s="8"/>
      <c r="I287" s="61"/>
      <c r="J287" s="99"/>
      <c r="L287" s="99"/>
      <c r="N287" s="101"/>
      <c r="O287" s="61"/>
      <c r="P287" s="61"/>
    </row>
    <row r="288">
      <c r="A288" s="99"/>
      <c r="C288" s="99"/>
      <c r="D288" s="100"/>
      <c r="E288" s="95"/>
      <c r="F288" s="95"/>
      <c r="G288" s="8"/>
      <c r="I288" s="61"/>
      <c r="J288" s="99"/>
      <c r="L288" s="99"/>
      <c r="N288" s="101"/>
      <c r="O288" s="61"/>
      <c r="P288" s="61"/>
    </row>
    <row r="289">
      <c r="A289" s="99"/>
      <c r="C289" s="99"/>
      <c r="D289" s="100"/>
      <c r="E289" s="95"/>
      <c r="F289" s="95"/>
      <c r="G289" s="8"/>
      <c r="I289" s="61"/>
      <c r="J289" s="99"/>
      <c r="L289" s="99"/>
      <c r="N289" s="101"/>
      <c r="O289" s="61"/>
      <c r="P289" s="61"/>
    </row>
    <row r="290">
      <c r="A290" s="99"/>
      <c r="C290" s="99"/>
      <c r="D290" s="100"/>
      <c r="E290" s="95"/>
      <c r="F290" s="95"/>
      <c r="G290" s="8"/>
      <c r="I290" s="61"/>
      <c r="J290" s="99"/>
      <c r="L290" s="99"/>
      <c r="N290" s="101"/>
      <c r="O290" s="61"/>
      <c r="P290" s="61"/>
    </row>
    <row r="291">
      <c r="A291" s="99"/>
      <c r="C291" s="99"/>
      <c r="D291" s="100"/>
      <c r="E291" s="95"/>
      <c r="F291" s="95"/>
      <c r="G291" s="8"/>
      <c r="I291" s="61"/>
      <c r="J291" s="99"/>
      <c r="L291" s="99"/>
      <c r="N291" s="101"/>
      <c r="O291" s="61"/>
      <c r="P291" s="61"/>
    </row>
    <row r="292">
      <c r="A292" s="99"/>
      <c r="C292" s="99"/>
      <c r="D292" s="100"/>
      <c r="E292" s="95"/>
      <c r="F292" s="95"/>
      <c r="G292" s="8"/>
      <c r="I292" s="61"/>
      <c r="J292" s="99"/>
      <c r="L292" s="99"/>
      <c r="N292" s="101"/>
      <c r="O292" s="61"/>
      <c r="P292" s="61"/>
    </row>
    <row r="293">
      <c r="A293" s="99"/>
      <c r="C293" s="99"/>
      <c r="D293" s="100"/>
      <c r="E293" s="95"/>
      <c r="F293" s="95"/>
      <c r="G293" s="8"/>
      <c r="I293" s="61"/>
      <c r="J293" s="99"/>
      <c r="L293" s="99"/>
      <c r="N293" s="101"/>
      <c r="O293" s="61"/>
      <c r="P293" s="61"/>
    </row>
    <row r="294">
      <c r="A294" s="99"/>
      <c r="C294" s="99"/>
      <c r="D294" s="100"/>
      <c r="E294" s="95"/>
      <c r="F294" s="95"/>
      <c r="G294" s="8"/>
      <c r="I294" s="61"/>
      <c r="J294" s="99"/>
      <c r="L294" s="99"/>
      <c r="N294" s="101"/>
      <c r="O294" s="61"/>
      <c r="P294" s="61"/>
    </row>
    <row r="295">
      <c r="A295" s="99"/>
      <c r="C295" s="99"/>
      <c r="D295" s="100"/>
      <c r="E295" s="95"/>
      <c r="F295" s="95"/>
      <c r="G295" s="8"/>
      <c r="I295" s="61"/>
      <c r="J295" s="99"/>
      <c r="L295" s="99"/>
      <c r="N295" s="101"/>
      <c r="O295" s="61"/>
      <c r="P295" s="61"/>
    </row>
    <row r="296">
      <c r="A296" s="99"/>
      <c r="C296" s="99"/>
      <c r="D296" s="100"/>
      <c r="E296" s="95"/>
      <c r="F296" s="95"/>
      <c r="G296" s="8"/>
      <c r="I296" s="61"/>
      <c r="J296" s="99"/>
      <c r="L296" s="99"/>
      <c r="N296" s="101"/>
      <c r="O296" s="61"/>
      <c r="P296" s="61"/>
    </row>
    <row r="297">
      <c r="A297" s="99"/>
      <c r="C297" s="99"/>
      <c r="D297" s="100"/>
      <c r="E297" s="95"/>
      <c r="F297" s="95"/>
      <c r="G297" s="8"/>
      <c r="I297" s="61"/>
      <c r="J297" s="99"/>
      <c r="L297" s="99"/>
      <c r="N297" s="101"/>
      <c r="O297" s="61"/>
      <c r="P297" s="61"/>
    </row>
    <row r="298">
      <c r="A298" s="99"/>
      <c r="C298" s="99"/>
      <c r="D298" s="100"/>
      <c r="E298" s="95"/>
      <c r="F298" s="95"/>
      <c r="G298" s="8"/>
      <c r="I298" s="61"/>
      <c r="J298" s="99"/>
      <c r="L298" s="99"/>
      <c r="N298" s="101"/>
      <c r="O298" s="61"/>
      <c r="P298" s="61"/>
    </row>
    <row r="299">
      <c r="A299" s="99"/>
      <c r="C299" s="99"/>
      <c r="D299" s="100"/>
      <c r="E299" s="95"/>
      <c r="F299" s="95"/>
      <c r="G299" s="8"/>
      <c r="I299" s="61"/>
      <c r="J299" s="99"/>
      <c r="L299" s="99"/>
      <c r="N299" s="101"/>
      <c r="O299" s="61"/>
      <c r="P299" s="61"/>
    </row>
    <row r="300">
      <c r="A300" s="99"/>
      <c r="C300" s="99"/>
      <c r="D300" s="100"/>
      <c r="E300" s="95"/>
      <c r="F300" s="95"/>
      <c r="G300" s="8"/>
      <c r="I300" s="61"/>
      <c r="J300" s="99"/>
      <c r="L300" s="99"/>
      <c r="N300" s="101"/>
      <c r="O300" s="61"/>
      <c r="P300" s="61"/>
    </row>
    <row r="301">
      <c r="A301" s="99"/>
      <c r="C301" s="99"/>
      <c r="D301" s="100"/>
      <c r="E301" s="95"/>
      <c r="F301" s="95"/>
      <c r="G301" s="8"/>
      <c r="I301" s="61"/>
      <c r="J301" s="99"/>
      <c r="L301" s="99"/>
      <c r="N301" s="101"/>
      <c r="O301" s="61"/>
      <c r="P301" s="61"/>
    </row>
    <row r="302">
      <c r="A302" s="99"/>
      <c r="C302" s="99"/>
      <c r="D302" s="100"/>
      <c r="E302" s="95"/>
      <c r="F302" s="95"/>
      <c r="G302" s="8"/>
      <c r="I302" s="61"/>
      <c r="J302" s="99"/>
      <c r="L302" s="99"/>
      <c r="N302" s="101"/>
      <c r="O302" s="61"/>
      <c r="P302" s="61"/>
    </row>
    <row r="303">
      <c r="A303" s="99"/>
      <c r="C303" s="99"/>
      <c r="D303" s="100"/>
      <c r="E303" s="95"/>
      <c r="F303" s="95"/>
      <c r="G303" s="8"/>
      <c r="I303" s="61"/>
      <c r="J303" s="99"/>
      <c r="L303" s="99"/>
      <c r="N303" s="101"/>
      <c r="O303" s="61"/>
      <c r="P303" s="61"/>
    </row>
    <row r="304">
      <c r="A304" s="99"/>
      <c r="C304" s="99"/>
      <c r="D304" s="100"/>
      <c r="E304" s="95"/>
      <c r="F304" s="95"/>
      <c r="G304" s="8"/>
      <c r="I304" s="61"/>
      <c r="J304" s="99"/>
      <c r="L304" s="99"/>
      <c r="N304" s="101"/>
      <c r="O304" s="61"/>
      <c r="P304" s="61"/>
    </row>
    <row r="305">
      <c r="A305" s="99"/>
      <c r="C305" s="99"/>
      <c r="D305" s="100"/>
      <c r="E305" s="95"/>
      <c r="F305" s="95"/>
      <c r="G305" s="8"/>
      <c r="I305" s="61"/>
      <c r="J305" s="99"/>
      <c r="L305" s="99"/>
      <c r="N305" s="101"/>
      <c r="O305" s="61"/>
      <c r="P305" s="61"/>
    </row>
    <row r="306">
      <c r="A306" s="99"/>
      <c r="C306" s="99"/>
      <c r="D306" s="100"/>
      <c r="E306" s="95"/>
      <c r="F306" s="95"/>
      <c r="G306" s="8"/>
      <c r="I306" s="61"/>
      <c r="J306" s="99"/>
      <c r="L306" s="99"/>
      <c r="N306" s="101"/>
      <c r="O306" s="61"/>
      <c r="P306" s="61"/>
    </row>
    <row r="307">
      <c r="A307" s="99"/>
      <c r="C307" s="99"/>
      <c r="D307" s="100"/>
      <c r="E307" s="95"/>
      <c r="F307" s="95"/>
      <c r="G307" s="8"/>
      <c r="I307" s="61"/>
      <c r="J307" s="99"/>
      <c r="L307" s="99"/>
      <c r="N307" s="101"/>
      <c r="O307" s="61"/>
      <c r="P307" s="61"/>
    </row>
    <row r="308">
      <c r="A308" s="99"/>
      <c r="C308" s="99"/>
      <c r="D308" s="100"/>
      <c r="E308" s="95"/>
      <c r="F308" s="95"/>
      <c r="G308" s="8"/>
      <c r="I308" s="61"/>
      <c r="J308" s="99"/>
      <c r="L308" s="99"/>
      <c r="N308" s="101"/>
      <c r="O308" s="61"/>
      <c r="P308" s="61"/>
    </row>
    <row r="309">
      <c r="A309" s="99"/>
      <c r="C309" s="99"/>
      <c r="D309" s="100"/>
      <c r="E309" s="95"/>
      <c r="F309" s="95"/>
      <c r="G309" s="8"/>
      <c r="I309" s="61"/>
      <c r="J309" s="99"/>
      <c r="L309" s="99"/>
      <c r="N309" s="101"/>
      <c r="O309" s="61"/>
      <c r="P309" s="61"/>
    </row>
    <row r="310">
      <c r="A310" s="99"/>
      <c r="C310" s="99"/>
      <c r="D310" s="100"/>
      <c r="E310" s="95"/>
      <c r="F310" s="95"/>
      <c r="G310" s="8"/>
      <c r="I310" s="61"/>
      <c r="J310" s="99"/>
      <c r="L310" s="99"/>
      <c r="N310" s="101"/>
      <c r="O310" s="61"/>
      <c r="P310" s="61"/>
    </row>
    <row r="311">
      <c r="A311" s="99"/>
      <c r="C311" s="99"/>
      <c r="D311" s="100"/>
      <c r="E311" s="95"/>
      <c r="F311" s="95"/>
      <c r="G311" s="8"/>
      <c r="I311" s="61"/>
      <c r="J311" s="99"/>
      <c r="L311" s="99"/>
      <c r="N311" s="101"/>
      <c r="O311" s="61"/>
      <c r="P311" s="61"/>
    </row>
    <row r="312">
      <c r="A312" s="99"/>
      <c r="C312" s="99"/>
      <c r="D312" s="100"/>
      <c r="E312" s="95"/>
      <c r="F312" s="95"/>
      <c r="G312" s="8"/>
      <c r="I312" s="61"/>
      <c r="J312" s="99"/>
      <c r="L312" s="99"/>
      <c r="N312" s="101"/>
      <c r="O312" s="61"/>
      <c r="P312" s="61"/>
    </row>
    <row r="313">
      <c r="A313" s="99"/>
      <c r="C313" s="99"/>
      <c r="D313" s="100"/>
      <c r="E313" s="95"/>
      <c r="F313" s="95"/>
      <c r="G313" s="8"/>
      <c r="I313" s="61"/>
      <c r="J313" s="99"/>
      <c r="L313" s="99"/>
      <c r="N313" s="101"/>
      <c r="O313" s="61"/>
      <c r="P313" s="61"/>
    </row>
    <row r="314">
      <c r="A314" s="99"/>
      <c r="C314" s="99"/>
      <c r="D314" s="100"/>
      <c r="E314" s="95"/>
      <c r="F314" s="95"/>
      <c r="G314" s="8"/>
      <c r="I314" s="61"/>
      <c r="J314" s="99"/>
      <c r="L314" s="99"/>
      <c r="N314" s="101"/>
      <c r="O314" s="61"/>
      <c r="P314" s="61"/>
    </row>
    <row r="315">
      <c r="A315" s="99"/>
      <c r="C315" s="99"/>
      <c r="D315" s="100"/>
      <c r="E315" s="95"/>
      <c r="F315" s="95"/>
      <c r="G315" s="8"/>
      <c r="I315" s="61"/>
      <c r="J315" s="99"/>
      <c r="L315" s="99"/>
      <c r="N315" s="101"/>
      <c r="O315" s="61"/>
      <c r="P315" s="61"/>
    </row>
    <row r="316">
      <c r="A316" s="99"/>
      <c r="C316" s="99"/>
      <c r="D316" s="100"/>
      <c r="E316" s="95"/>
      <c r="F316" s="95"/>
      <c r="G316" s="8"/>
      <c r="I316" s="61"/>
      <c r="J316" s="99"/>
      <c r="L316" s="99"/>
      <c r="N316" s="101"/>
      <c r="O316" s="61"/>
      <c r="P316" s="61"/>
    </row>
    <row r="317">
      <c r="A317" s="99"/>
      <c r="C317" s="99"/>
      <c r="D317" s="100"/>
      <c r="E317" s="95"/>
      <c r="F317" s="95"/>
      <c r="G317" s="8"/>
      <c r="I317" s="61"/>
      <c r="J317" s="99"/>
      <c r="L317" s="99"/>
      <c r="N317" s="101"/>
      <c r="O317" s="61"/>
      <c r="P317" s="61"/>
    </row>
    <row r="318">
      <c r="A318" s="99"/>
      <c r="C318" s="99"/>
      <c r="D318" s="100"/>
      <c r="E318" s="95"/>
      <c r="F318" s="95"/>
      <c r="G318" s="8"/>
      <c r="I318" s="61"/>
      <c r="J318" s="99"/>
      <c r="L318" s="99"/>
      <c r="N318" s="101"/>
      <c r="O318" s="61"/>
      <c r="P318" s="61"/>
    </row>
    <row r="319">
      <c r="A319" s="99"/>
      <c r="C319" s="99"/>
      <c r="D319" s="100"/>
      <c r="E319" s="95"/>
      <c r="F319" s="95"/>
      <c r="G319" s="8"/>
      <c r="I319" s="61"/>
      <c r="J319" s="99"/>
      <c r="L319" s="99"/>
      <c r="N319" s="101"/>
      <c r="O319" s="61"/>
      <c r="P319" s="61"/>
    </row>
    <row r="320">
      <c r="A320" s="99"/>
      <c r="C320" s="99"/>
      <c r="D320" s="100"/>
      <c r="E320" s="95"/>
      <c r="F320" s="95"/>
      <c r="G320" s="8"/>
      <c r="I320" s="61"/>
      <c r="J320" s="99"/>
      <c r="L320" s="99"/>
      <c r="N320" s="101"/>
      <c r="O320" s="61"/>
      <c r="P320" s="61"/>
    </row>
    <row r="321">
      <c r="A321" s="99"/>
      <c r="C321" s="99"/>
      <c r="D321" s="100"/>
      <c r="E321" s="95"/>
      <c r="F321" s="95"/>
      <c r="G321" s="8"/>
      <c r="I321" s="61"/>
      <c r="J321" s="99"/>
      <c r="L321" s="99"/>
      <c r="N321" s="101"/>
      <c r="O321" s="61"/>
      <c r="P321" s="61"/>
    </row>
    <row r="322">
      <c r="A322" s="99"/>
      <c r="C322" s="99"/>
      <c r="D322" s="100"/>
      <c r="E322" s="95"/>
      <c r="F322" s="95"/>
      <c r="G322" s="8"/>
      <c r="I322" s="61"/>
      <c r="J322" s="99"/>
      <c r="L322" s="99"/>
      <c r="N322" s="101"/>
      <c r="O322" s="61"/>
      <c r="P322" s="61"/>
    </row>
    <row r="323">
      <c r="A323" s="99"/>
      <c r="C323" s="99"/>
      <c r="D323" s="100"/>
      <c r="E323" s="95"/>
      <c r="F323" s="95"/>
      <c r="G323" s="8"/>
      <c r="I323" s="61"/>
      <c r="J323" s="99"/>
      <c r="L323" s="99"/>
      <c r="N323" s="101"/>
      <c r="O323" s="61"/>
      <c r="P323" s="61"/>
    </row>
    <row r="324">
      <c r="A324" s="99"/>
      <c r="C324" s="99"/>
      <c r="D324" s="100"/>
      <c r="E324" s="95"/>
      <c r="F324" s="95"/>
      <c r="G324" s="8"/>
      <c r="I324" s="61"/>
      <c r="J324" s="99"/>
      <c r="L324" s="99"/>
      <c r="N324" s="101"/>
      <c r="O324" s="61"/>
      <c r="P324" s="61"/>
    </row>
    <row r="325">
      <c r="A325" s="99"/>
      <c r="C325" s="99"/>
      <c r="D325" s="100"/>
      <c r="E325" s="95"/>
      <c r="F325" s="95"/>
      <c r="G325" s="8"/>
      <c r="I325" s="61"/>
      <c r="J325" s="99"/>
      <c r="L325" s="99"/>
      <c r="N325" s="101"/>
      <c r="O325" s="61"/>
      <c r="P325" s="61"/>
    </row>
    <row r="326">
      <c r="A326" s="99"/>
      <c r="C326" s="99"/>
      <c r="D326" s="100"/>
      <c r="E326" s="95"/>
      <c r="F326" s="95"/>
      <c r="G326" s="8"/>
      <c r="I326" s="61"/>
      <c r="J326" s="99"/>
      <c r="L326" s="99"/>
      <c r="N326" s="101"/>
      <c r="O326" s="61"/>
      <c r="P326" s="61"/>
    </row>
    <row r="327">
      <c r="A327" s="99"/>
      <c r="C327" s="99"/>
      <c r="D327" s="100"/>
      <c r="E327" s="95"/>
      <c r="F327" s="95"/>
      <c r="G327" s="8"/>
      <c r="I327" s="61"/>
      <c r="J327" s="99"/>
      <c r="L327" s="99"/>
      <c r="N327" s="101"/>
      <c r="O327" s="61"/>
      <c r="P327" s="61"/>
    </row>
    <row r="328">
      <c r="A328" s="99"/>
      <c r="C328" s="99"/>
      <c r="D328" s="100"/>
      <c r="E328" s="95"/>
      <c r="F328" s="95"/>
      <c r="G328" s="8"/>
      <c r="I328" s="61"/>
      <c r="J328" s="99"/>
      <c r="L328" s="99"/>
      <c r="N328" s="101"/>
      <c r="O328" s="61"/>
      <c r="P328" s="61"/>
    </row>
    <row r="329">
      <c r="A329" s="99"/>
      <c r="C329" s="99"/>
      <c r="D329" s="100"/>
      <c r="E329" s="95"/>
      <c r="F329" s="95"/>
      <c r="G329" s="8"/>
      <c r="I329" s="61"/>
      <c r="J329" s="99"/>
      <c r="L329" s="99"/>
      <c r="N329" s="101"/>
      <c r="O329" s="61"/>
      <c r="P329" s="61"/>
    </row>
    <row r="330">
      <c r="A330" s="99"/>
      <c r="C330" s="99"/>
      <c r="D330" s="100"/>
      <c r="E330" s="95"/>
      <c r="F330" s="95"/>
      <c r="G330" s="8"/>
      <c r="I330" s="61"/>
      <c r="J330" s="99"/>
      <c r="L330" s="99"/>
      <c r="N330" s="101"/>
      <c r="O330" s="61"/>
      <c r="P330" s="61"/>
    </row>
    <row r="331">
      <c r="A331" s="99"/>
      <c r="C331" s="99"/>
      <c r="D331" s="100"/>
      <c r="E331" s="95"/>
      <c r="F331" s="95"/>
      <c r="G331" s="8"/>
      <c r="I331" s="61"/>
      <c r="J331" s="99"/>
      <c r="L331" s="99"/>
      <c r="N331" s="101"/>
      <c r="O331" s="61"/>
      <c r="P331" s="61"/>
    </row>
    <row r="332">
      <c r="A332" s="99"/>
      <c r="C332" s="99"/>
      <c r="D332" s="100"/>
      <c r="E332" s="95"/>
      <c r="F332" s="95"/>
      <c r="G332" s="8"/>
      <c r="I332" s="61"/>
      <c r="J332" s="99"/>
      <c r="L332" s="99"/>
      <c r="N332" s="101"/>
      <c r="O332" s="61"/>
      <c r="P332" s="61"/>
    </row>
    <row r="333">
      <c r="A333" s="99"/>
      <c r="C333" s="99"/>
      <c r="D333" s="100"/>
      <c r="E333" s="95"/>
      <c r="F333" s="95"/>
      <c r="G333" s="8"/>
      <c r="I333" s="61"/>
      <c r="J333" s="99"/>
      <c r="L333" s="99"/>
      <c r="N333" s="101"/>
      <c r="O333" s="61"/>
      <c r="P333" s="61"/>
    </row>
    <row r="334">
      <c r="A334" s="99"/>
      <c r="C334" s="99"/>
      <c r="D334" s="100"/>
      <c r="E334" s="95"/>
      <c r="F334" s="95"/>
      <c r="G334" s="8"/>
      <c r="I334" s="61"/>
      <c r="J334" s="99"/>
      <c r="L334" s="99"/>
      <c r="N334" s="101"/>
      <c r="O334" s="61"/>
      <c r="P334" s="61"/>
    </row>
    <row r="335">
      <c r="A335" s="99"/>
      <c r="C335" s="99"/>
      <c r="D335" s="100"/>
      <c r="E335" s="95"/>
      <c r="F335" s="95"/>
      <c r="G335" s="8"/>
      <c r="I335" s="61"/>
      <c r="J335" s="99"/>
      <c r="L335" s="99"/>
      <c r="N335" s="101"/>
      <c r="O335" s="61"/>
      <c r="P335" s="61"/>
    </row>
    <row r="336">
      <c r="A336" s="99"/>
      <c r="C336" s="99"/>
      <c r="D336" s="100"/>
      <c r="E336" s="95"/>
      <c r="F336" s="95"/>
      <c r="G336" s="8"/>
      <c r="I336" s="61"/>
      <c r="J336" s="99"/>
      <c r="L336" s="99"/>
      <c r="N336" s="101"/>
      <c r="O336" s="61"/>
      <c r="P336" s="61"/>
    </row>
    <row r="337">
      <c r="A337" s="99"/>
      <c r="C337" s="99"/>
      <c r="D337" s="100"/>
      <c r="E337" s="95"/>
      <c r="F337" s="95"/>
      <c r="G337" s="8"/>
      <c r="I337" s="61"/>
      <c r="J337" s="99"/>
      <c r="L337" s="99"/>
      <c r="N337" s="101"/>
      <c r="O337" s="61"/>
      <c r="P337" s="61"/>
    </row>
    <row r="338">
      <c r="A338" s="99"/>
      <c r="C338" s="99"/>
      <c r="D338" s="100"/>
      <c r="E338" s="95"/>
      <c r="F338" s="95"/>
      <c r="G338" s="8"/>
      <c r="I338" s="61"/>
      <c r="J338" s="99"/>
      <c r="L338" s="99"/>
      <c r="N338" s="101"/>
      <c r="O338" s="61"/>
      <c r="P338" s="61"/>
    </row>
    <row r="339">
      <c r="A339" s="99"/>
      <c r="C339" s="99"/>
      <c r="D339" s="100"/>
      <c r="E339" s="95"/>
      <c r="F339" s="95"/>
      <c r="G339" s="8"/>
      <c r="I339" s="61"/>
      <c r="J339" s="99"/>
      <c r="L339" s="99"/>
      <c r="N339" s="101"/>
      <c r="O339" s="61"/>
      <c r="P339" s="61"/>
    </row>
    <row r="340">
      <c r="A340" s="99"/>
      <c r="C340" s="99"/>
      <c r="D340" s="100"/>
      <c r="E340" s="95"/>
      <c r="F340" s="95"/>
      <c r="G340" s="8"/>
      <c r="I340" s="61"/>
      <c r="J340" s="99"/>
      <c r="L340" s="99"/>
      <c r="N340" s="101"/>
      <c r="O340" s="61"/>
      <c r="P340" s="61"/>
    </row>
    <row r="341">
      <c r="A341" s="99"/>
      <c r="C341" s="99"/>
      <c r="D341" s="100"/>
      <c r="E341" s="95"/>
      <c r="F341" s="95"/>
      <c r="G341" s="8"/>
      <c r="I341" s="61"/>
      <c r="J341" s="99"/>
      <c r="L341" s="99"/>
      <c r="N341" s="101"/>
      <c r="O341" s="61"/>
      <c r="P341" s="61"/>
    </row>
    <row r="342">
      <c r="A342" s="99"/>
      <c r="C342" s="99"/>
      <c r="D342" s="100"/>
      <c r="E342" s="95"/>
      <c r="F342" s="95"/>
      <c r="G342" s="8"/>
      <c r="I342" s="61"/>
      <c r="J342" s="99"/>
      <c r="L342" s="99"/>
      <c r="N342" s="101"/>
      <c r="O342" s="61"/>
      <c r="P342" s="61"/>
    </row>
    <row r="343">
      <c r="A343" s="99"/>
      <c r="C343" s="99"/>
      <c r="D343" s="100"/>
      <c r="E343" s="95"/>
      <c r="F343" s="95"/>
      <c r="G343" s="8"/>
      <c r="I343" s="61"/>
      <c r="J343" s="99"/>
      <c r="L343" s="99"/>
      <c r="N343" s="101"/>
      <c r="O343" s="61"/>
      <c r="P343" s="61"/>
    </row>
    <row r="344">
      <c r="A344" s="99"/>
      <c r="C344" s="99"/>
      <c r="D344" s="100"/>
      <c r="E344" s="95"/>
      <c r="F344" s="95"/>
      <c r="G344" s="8"/>
      <c r="I344" s="61"/>
      <c r="J344" s="99"/>
      <c r="L344" s="99"/>
      <c r="N344" s="101"/>
      <c r="O344" s="61"/>
      <c r="P344" s="61"/>
    </row>
    <row r="345">
      <c r="A345" s="99"/>
      <c r="C345" s="99"/>
      <c r="D345" s="100"/>
      <c r="E345" s="95"/>
      <c r="F345" s="95"/>
      <c r="G345" s="8"/>
      <c r="I345" s="61"/>
      <c r="J345" s="99"/>
      <c r="L345" s="99"/>
      <c r="N345" s="101"/>
      <c r="O345" s="61"/>
      <c r="P345" s="61"/>
    </row>
    <row r="346">
      <c r="A346" s="99"/>
      <c r="C346" s="99"/>
      <c r="D346" s="100"/>
      <c r="E346" s="95"/>
      <c r="F346" s="95"/>
      <c r="G346" s="8"/>
      <c r="I346" s="61"/>
      <c r="J346" s="99"/>
      <c r="L346" s="99"/>
      <c r="N346" s="101"/>
      <c r="O346" s="61"/>
      <c r="P346" s="61"/>
    </row>
    <row r="347">
      <c r="A347" s="99"/>
      <c r="C347" s="99"/>
      <c r="D347" s="100"/>
      <c r="E347" s="95"/>
      <c r="F347" s="95"/>
      <c r="G347" s="8"/>
      <c r="I347" s="61"/>
      <c r="J347" s="99"/>
      <c r="L347" s="99"/>
      <c r="N347" s="101"/>
      <c r="O347" s="61"/>
      <c r="P347" s="61"/>
    </row>
    <row r="348">
      <c r="A348" s="99"/>
      <c r="C348" s="99"/>
      <c r="D348" s="100"/>
      <c r="E348" s="95"/>
      <c r="F348" s="95"/>
      <c r="G348" s="8"/>
      <c r="I348" s="61"/>
      <c r="J348" s="99"/>
      <c r="L348" s="99"/>
      <c r="N348" s="101"/>
      <c r="O348" s="61"/>
      <c r="P348" s="61"/>
    </row>
    <row r="349">
      <c r="A349" s="99"/>
      <c r="C349" s="99"/>
      <c r="D349" s="100"/>
      <c r="E349" s="95"/>
      <c r="F349" s="95"/>
      <c r="G349" s="8"/>
      <c r="I349" s="61"/>
      <c r="J349" s="99"/>
      <c r="L349" s="99"/>
      <c r="N349" s="101"/>
      <c r="O349" s="61"/>
      <c r="P349" s="61"/>
    </row>
    <row r="350">
      <c r="A350" s="99"/>
      <c r="C350" s="99"/>
      <c r="D350" s="100"/>
      <c r="E350" s="95"/>
      <c r="F350" s="95"/>
      <c r="G350" s="8"/>
      <c r="I350" s="61"/>
      <c r="J350" s="99"/>
      <c r="L350" s="99"/>
      <c r="N350" s="101"/>
      <c r="O350" s="61"/>
      <c r="P350" s="61"/>
    </row>
    <row r="351">
      <c r="A351" s="99"/>
      <c r="C351" s="99"/>
      <c r="D351" s="100"/>
      <c r="E351" s="95"/>
      <c r="F351" s="95"/>
      <c r="G351" s="8"/>
      <c r="I351" s="61"/>
      <c r="J351" s="99"/>
      <c r="L351" s="99"/>
      <c r="N351" s="101"/>
      <c r="O351" s="61"/>
      <c r="P351" s="61"/>
    </row>
    <row r="352">
      <c r="A352" s="99"/>
      <c r="C352" s="99"/>
      <c r="D352" s="100"/>
      <c r="E352" s="95"/>
      <c r="F352" s="95"/>
      <c r="G352" s="8"/>
      <c r="I352" s="61"/>
      <c r="J352" s="99"/>
      <c r="L352" s="99"/>
      <c r="N352" s="101"/>
      <c r="O352" s="61"/>
      <c r="P352" s="61"/>
    </row>
    <row r="353">
      <c r="A353" s="99"/>
      <c r="C353" s="99"/>
      <c r="D353" s="100"/>
      <c r="E353" s="95"/>
      <c r="F353" s="95"/>
      <c r="G353" s="8"/>
      <c r="I353" s="61"/>
      <c r="J353" s="99"/>
      <c r="L353" s="99"/>
      <c r="N353" s="101"/>
      <c r="O353" s="61"/>
      <c r="P353" s="61"/>
    </row>
    <row r="354">
      <c r="A354" s="99"/>
      <c r="C354" s="99"/>
      <c r="D354" s="100"/>
      <c r="E354" s="95"/>
      <c r="F354" s="95"/>
      <c r="G354" s="8"/>
      <c r="I354" s="61"/>
      <c r="J354" s="99"/>
      <c r="L354" s="99"/>
      <c r="N354" s="101"/>
      <c r="O354" s="61"/>
      <c r="P354" s="61"/>
    </row>
    <row r="355">
      <c r="A355" s="99"/>
      <c r="C355" s="99"/>
      <c r="D355" s="100"/>
      <c r="E355" s="95"/>
      <c r="F355" s="95"/>
      <c r="G355" s="8"/>
      <c r="I355" s="61"/>
      <c r="J355" s="99"/>
      <c r="L355" s="99"/>
      <c r="N355" s="101"/>
      <c r="O355" s="61"/>
      <c r="P355" s="61"/>
    </row>
    <row r="356">
      <c r="A356" s="99"/>
      <c r="C356" s="99"/>
      <c r="D356" s="100"/>
      <c r="E356" s="95"/>
      <c r="F356" s="95"/>
      <c r="G356" s="8"/>
      <c r="I356" s="61"/>
      <c r="J356" s="99"/>
      <c r="L356" s="99"/>
      <c r="N356" s="101"/>
      <c r="O356" s="61"/>
      <c r="P356" s="61"/>
    </row>
    <row r="357">
      <c r="A357" s="99"/>
      <c r="C357" s="99"/>
      <c r="D357" s="100"/>
      <c r="E357" s="95"/>
      <c r="F357" s="95"/>
      <c r="G357" s="8"/>
      <c r="I357" s="61"/>
      <c r="J357" s="99"/>
      <c r="L357" s="99"/>
      <c r="N357" s="101"/>
      <c r="O357" s="61"/>
      <c r="P357" s="61"/>
    </row>
    <row r="358">
      <c r="A358" s="99"/>
      <c r="C358" s="99"/>
      <c r="D358" s="100"/>
      <c r="E358" s="95"/>
      <c r="F358" s="95"/>
      <c r="G358" s="8"/>
      <c r="I358" s="61"/>
      <c r="J358" s="99"/>
      <c r="L358" s="99"/>
      <c r="N358" s="101"/>
      <c r="O358" s="61"/>
      <c r="P358" s="61"/>
    </row>
    <row r="359">
      <c r="A359" s="99"/>
      <c r="C359" s="99"/>
      <c r="D359" s="100"/>
      <c r="E359" s="95"/>
      <c r="F359" s="95"/>
      <c r="G359" s="8"/>
      <c r="I359" s="61"/>
      <c r="J359" s="99"/>
      <c r="L359" s="99"/>
      <c r="N359" s="101"/>
      <c r="O359" s="61"/>
      <c r="P359" s="61"/>
    </row>
    <row r="360">
      <c r="A360" s="99"/>
      <c r="C360" s="99"/>
      <c r="D360" s="100"/>
      <c r="E360" s="95"/>
      <c r="F360" s="95"/>
      <c r="G360" s="8"/>
      <c r="I360" s="61"/>
      <c r="J360" s="99"/>
      <c r="L360" s="99"/>
      <c r="N360" s="101"/>
      <c r="O360" s="61"/>
      <c r="P360" s="61"/>
    </row>
    <row r="361">
      <c r="A361" s="99"/>
      <c r="C361" s="99"/>
      <c r="D361" s="100"/>
      <c r="E361" s="95"/>
      <c r="F361" s="95"/>
      <c r="G361" s="8"/>
      <c r="I361" s="61"/>
      <c r="J361" s="99"/>
      <c r="L361" s="99"/>
      <c r="N361" s="101"/>
      <c r="O361" s="61"/>
      <c r="P361" s="61"/>
    </row>
    <row r="362">
      <c r="A362" s="99"/>
      <c r="C362" s="99"/>
      <c r="D362" s="100"/>
      <c r="E362" s="95"/>
      <c r="F362" s="95"/>
      <c r="G362" s="8"/>
      <c r="I362" s="61"/>
      <c r="J362" s="99"/>
      <c r="L362" s="99"/>
      <c r="N362" s="101"/>
      <c r="O362" s="61"/>
      <c r="P362" s="61"/>
    </row>
    <row r="363">
      <c r="A363" s="99"/>
      <c r="C363" s="99"/>
      <c r="D363" s="100"/>
      <c r="E363" s="95"/>
      <c r="F363" s="95"/>
      <c r="G363" s="8"/>
      <c r="I363" s="61"/>
      <c r="J363" s="99"/>
      <c r="L363" s="99"/>
      <c r="N363" s="101"/>
      <c r="O363" s="61"/>
      <c r="P363" s="61"/>
    </row>
    <row r="364">
      <c r="A364" s="99"/>
      <c r="C364" s="99"/>
      <c r="D364" s="100"/>
      <c r="E364" s="95"/>
      <c r="F364" s="95"/>
      <c r="G364" s="8"/>
      <c r="I364" s="61"/>
      <c r="J364" s="99"/>
      <c r="L364" s="99"/>
      <c r="N364" s="101"/>
      <c r="O364" s="61"/>
      <c r="P364" s="61"/>
    </row>
    <row r="365">
      <c r="A365" s="99"/>
      <c r="C365" s="99"/>
      <c r="D365" s="100"/>
      <c r="E365" s="95"/>
      <c r="F365" s="95"/>
      <c r="G365" s="8"/>
      <c r="I365" s="61"/>
      <c r="J365" s="99"/>
      <c r="L365" s="99"/>
      <c r="N365" s="101"/>
      <c r="O365" s="61"/>
      <c r="P365" s="61"/>
    </row>
    <row r="366">
      <c r="A366" s="99"/>
      <c r="C366" s="99"/>
      <c r="D366" s="100"/>
      <c r="E366" s="95"/>
      <c r="F366" s="95"/>
      <c r="G366" s="8"/>
      <c r="I366" s="61"/>
      <c r="J366" s="99"/>
      <c r="L366" s="99"/>
      <c r="N366" s="101"/>
      <c r="O366" s="61"/>
      <c r="P366" s="61"/>
    </row>
    <row r="367">
      <c r="A367" s="99"/>
      <c r="C367" s="99"/>
      <c r="D367" s="100"/>
      <c r="E367" s="95"/>
      <c r="F367" s="95"/>
      <c r="G367" s="8"/>
      <c r="I367" s="61"/>
      <c r="J367" s="99"/>
      <c r="L367" s="99"/>
      <c r="N367" s="101"/>
      <c r="O367" s="61"/>
      <c r="P367" s="61"/>
    </row>
    <row r="368">
      <c r="A368" s="99"/>
      <c r="C368" s="99"/>
      <c r="D368" s="100"/>
      <c r="E368" s="95"/>
      <c r="F368" s="95"/>
      <c r="G368" s="8"/>
      <c r="I368" s="61"/>
      <c r="J368" s="99"/>
      <c r="L368" s="99"/>
      <c r="N368" s="101"/>
      <c r="O368" s="61"/>
      <c r="P368" s="61"/>
    </row>
    <row r="369">
      <c r="A369" s="99"/>
      <c r="C369" s="99"/>
      <c r="D369" s="100"/>
      <c r="E369" s="95"/>
      <c r="F369" s="95"/>
      <c r="G369" s="8"/>
      <c r="I369" s="61"/>
      <c r="J369" s="99"/>
      <c r="L369" s="99"/>
      <c r="N369" s="101"/>
      <c r="O369" s="61"/>
      <c r="P369" s="61"/>
    </row>
    <row r="370">
      <c r="A370" s="99"/>
      <c r="C370" s="99"/>
      <c r="D370" s="100"/>
      <c r="E370" s="95"/>
      <c r="F370" s="95"/>
      <c r="G370" s="8"/>
      <c r="I370" s="61"/>
      <c r="J370" s="99"/>
      <c r="L370" s="99"/>
      <c r="N370" s="101"/>
      <c r="O370" s="61"/>
      <c r="P370" s="61"/>
    </row>
    <row r="371">
      <c r="A371" s="99"/>
      <c r="C371" s="99"/>
      <c r="D371" s="100"/>
      <c r="E371" s="95"/>
      <c r="F371" s="95"/>
      <c r="G371" s="8"/>
      <c r="I371" s="61"/>
      <c r="J371" s="99"/>
      <c r="L371" s="99"/>
      <c r="N371" s="101"/>
      <c r="O371" s="61"/>
      <c r="P371" s="61"/>
    </row>
    <row r="372">
      <c r="A372" s="99"/>
      <c r="C372" s="99"/>
      <c r="D372" s="100"/>
      <c r="E372" s="95"/>
      <c r="F372" s="95"/>
      <c r="G372" s="8"/>
      <c r="I372" s="61"/>
      <c r="J372" s="99"/>
      <c r="L372" s="99"/>
      <c r="N372" s="101"/>
      <c r="O372" s="61"/>
      <c r="P372" s="61"/>
    </row>
    <row r="373">
      <c r="A373" s="99"/>
      <c r="C373" s="99"/>
      <c r="D373" s="100"/>
      <c r="E373" s="95"/>
      <c r="F373" s="95"/>
      <c r="G373" s="8"/>
      <c r="I373" s="61"/>
      <c r="J373" s="99"/>
      <c r="L373" s="99"/>
      <c r="N373" s="101"/>
      <c r="O373" s="61"/>
      <c r="P373" s="61"/>
    </row>
    <row r="374">
      <c r="A374" s="99"/>
      <c r="C374" s="99"/>
      <c r="D374" s="100"/>
      <c r="E374" s="95"/>
      <c r="F374" s="95"/>
      <c r="G374" s="8"/>
      <c r="I374" s="61"/>
      <c r="J374" s="99"/>
      <c r="L374" s="99"/>
      <c r="N374" s="101"/>
      <c r="O374" s="61"/>
      <c r="P374" s="61"/>
    </row>
    <row r="375">
      <c r="A375" s="99"/>
      <c r="C375" s="99"/>
      <c r="D375" s="100"/>
      <c r="E375" s="95"/>
      <c r="F375" s="95"/>
      <c r="G375" s="8"/>
      <c r="I375" s="61"/>
      <c r="J375" s="99"/>
      <c r="L375" s="99"/>
      <c r="N375" s="101"/>
      <c r="O375" s="61"/>
      <c r="P375" s="61"/>
    </row>
    <row r="376">
      <c r="A376" s="99"/>
      <c r="C376" s="99"/>
      <c r="D376" s="100"/>
      <c r="E376" s="95"/>
      <c r="F376" s="95"/>
      <c r="G376" s="8"/>
      <c r="I376" s="61"/>
      <c r="J376" s="99"/>
      <c r="L376" s="99"/>
      <c r="N376" s="101"/>
      <c r="O376" s="61"/>
      <c r="P376" s="61"/>
    </row>
    <row r="377">
      <c r="A377" s="99"/>
      <c r="C377" s="99"/>
      <c r="D377" s="100"/>
      <c r="E377" s="95"/>
      <c r="F377" s="95"/>
      <c r="G377" s="8"/>
      <c r="I377" s="61"/>
      <c r="J377" s="99"/>
      <c r="L377" s="99"/>
      <c r="N377" s="101"/>
      <c r="O377" s="61"/>
      <c r="P377" s="61"/>
    </row>
    <row r="378">
      <c r="A378" s="99"/>
      <c r="C378" s="99"/>
      <c r="D378" s="100"/>
      <c r="E378" s="95"/>
      <c r="F378" s="95"/>
      <c r="G378" s="8"/>
      <c r="I378" s="61"/>
      <c r="J378" s="99"/>
      <c r="L378" s="99"/>
      <c r="N378" s="101"/>
      <c r="O378" s="61"/>
      <c r="P378" s="61"/>
    </row>
    <row r="379">
      <c r="A379" s="99"/>
      <c r="C379" s="99"/>
      <c r="D379" s="100"/>
      <c r="E379" s="95"/>
      <c r="F379" s="95"/>
      <c r="G379" s="8"/>
      <c r="I379" s="61"/>
      <c r="J379" s="99"/>
      <c r="L379" s="99"/>
      <c r="N379" s="101"/>
      <c r="O379" s="61"/>
      <c r="P379" s="61"/>
    </row>
    <row r="380">
      <c r="A380" s="99"/>
      <c r="C380" s="99"/>
      <c r="D380" s="100"/>
      <c r="E380" s="95"/>
      <c r="F380" s="95"/>
      <c r="G380" s="8"/>
      <c r="I380" s="61"/>
      <c r="J380" s="99"/>
      <c r="L380" s="99"/>
      <c r="N380" s="101"/>
      <c r="O380" s="61"/>
      <c r="P380" s="61"/>
    </row>
    <row r="381">
      <c r="A381" s="99"/>
      <c r="C381" s="99"/>
      <c r="D381" s="100"/>
      <c r="E381" s="95"/>
      <c r="F381" s="95"/>
      <c r="G381" s="8"/>
      <c r="I381" s="61"/>
      <c r="J381" s="99"/>
      <c r="L381" s="99"/>
      <c r="N381" s="101"/>
      <c r="O381" s="61"/>
      <c r="P381" s="61"/>
    </row>
    <row r="382">
      <c r="A382" s="99"/>
      <c r="C382" s="99"/>
      <c r="D382" s="100"/>
      <c r="E382" s="95"/>
      <c r="F382" s="95"/>
      <c r="G382" s="8"/>
      <c r="I382" s="61"/>
      <c r="J382" s="99"/>
      <c r="L382" s="99"/>
      <c r="N382" s="101"/>
      <c r="O382" s="61"/>
      <c r="P382" s="61"/>
    </row>
    <row r="383">
      <c r="A383" s="99"/>
      <c r="C383" s="99"/>
      <c r="D383" s="100"/>
      <c r="E383" s="95"/>
      <c r="F383" s="95"/>
      <c r="G383" s="8"/>
      <c r="I383" s="61"/>
      <c r="J383" s="99"/>
      <c r="L383" s="99"/>
      <c r="N383" s="101"/>
      <c r="O383" s="61"/>
      <c r="P383" s="61"/>
    </row>
    <row r="384">
      <c r="A384" s="99"/>
      <c r="C384" s="99"/>
      <c r="D384" s="100"/>
      <c r="E384" s="95"/>
      <c r="F384" s="95"/>
      <c r="G384" s="8"/>
      <c r="I384" s="61"/>
      <c r="J384" s="99"/>
      <c r="L384" s="99"/>
      <c r="N384" s="101"/>
      <c r="O384" s="61"/>
      <c r="P384" s="61"/>
    </row>
    <row r="385">
      <c r="A385" s="99"/>
      <c r="C385" s="99"/>
      <c r="D385" s="100"/>
      <c r="E385" s="95"/>
      <c r="F385" s="95"/>
      <c r="G385" s="8"/>
      <c r="I385" s="61"/>
      <c r="J385" s="99"/>
      <c r="L385" s="99"/>
      <c r="N385" s="101"/>
      <c r="O385" s="61"/>
      <c r="P385" s="61"/>
    </row>
    <row r="386">
      <c r="A386" s="99"/>
      <c r="C386" s="99"/>
      <c r="D386" s="100"/>
      <c r="E386" s="95"/>
      <c r="F386" s="95"/>
      <c r="G386" s="8"/>
      <c r="I386" s="61"/>
      <c r="J386" s="99"/>
      <c r="L386" s="99"/>
      <c r="N386" s="101"/>
      <c r="O386" s="61"/>
      <c r="P386" s="61"/>
    </row>
    <row r="387">
      <c r="A387" s="99"/>
      <c r="C387" s="99"/>
      <c r="D387" s="100"/>
      <c r="E387" s="95"/>
      <c r="F387" s="95"/>
      <c r="G387" s="8"/>
      <c r="I387" s="61"/>
      <c r="J387" s="99"/>
      <c r="L387" s="99"/>
      <c r="N387" s="101"/>
      <c r="O387" s="61"/>
      <c r="P387" s="61"/>
    </row>
    <row r="388">
      <c r="A388" s="99"/>
      <c r="C388" s="99"/>
      <c r="D388" s="100"/>
      <c r="E388" s="95"/>
      <c r="F388" s="95"/>
      <c r="G388" s="8"/>
      <c r="I388" s="61"/>
      <c r="J388" s="99"/>
      <c r="L388" s="99"/>
      <c r="N388" s="101"/>
      <c r="O388" s="61"/>
      <c r="P388" s="61"/>
    </row>
    <row r="389">
      <c r="A389" s="99"/>
      <c r="C389" s="99"/>
      <c r="D389" s="100"/>
      <c r="E389" s="95"/>
      <c r="F389" s="95"/>
      <c r="G389" s="8"/>
      <c r="I389" s="61"/>
      <c r="J389" s="99"/>
      <c r="L389" s="99"/>
      <c r="N389" s="101"/>
      <c r="O389" s="61"/>
      <c r="P389" s="61"/>
    </row>
    <row r="390">
      <c r="A390" s="99"/>
      <c r="C390" s="99"/>
      <c r="D390" s="100"/>
      <c r="E390" s="95"/>
      <c r="F390" s="95"/>
      <c r="G390" s="8"/>
      <c r="I390" s="61"/>
      <c r="J390" s="99"/>
      <c r="L390" s="99"/>
      <c r="N390" s="101"/>
      <c r="O390" s="61"/>
      <c r="P390" s="61"/>
    </row>
    <row r="391">
      <c r="A391" s="99"/>
      <c r="C391" s="99"/>
      <c r="D391" s="100"/>
      <c r="E391" s="95"/>
      <c r="F391" s="95"/>
      <c r="G391" s="8"/>
      <c r="I391" s="61"/>
      <c r="J391" s="99"/>
      <c r="L391" s="99"/>
      <c r="N391" s="101"/>
      <c r="O391" s="61"/>
      <c r="P391" s="61"/>
    </row>
    <row r="392">
      <c r="A392" s="99"/>
      <c r="C392" s="99"/>
      <c r="D392" s="100"/>
      <c r="E392" s="95"/>
      <c r="F392" s="95"/>
      <c r="G392" s="8"/>
      <c r="I392" s="61"/>
      <c r="J392" s="99"/>
      <c r="L392" s="99"/>
      <c r="N392" s="101"/>
      <c r="O392" s="61"/>
      <c r="P392" s="61"/>
    </row>
    <row r="393">
      <c r="A393" s="99"/>
      <c r="C393" s="99"/>
      <c r="D393" s="100"/>
      <c r="E393" s="95"/>
      <c r="F393" s="95"/>
      <c r="G393" s="8"/>
      <c r="I393" s="61"/>
      <c r="J393" s="99"/>
      <c r="L393" s="99"/>
      <c r="N393" s="101"/>
      <c r="O393" s="61"/>
      <c r="P393" s="61"/>
    </row>
    <row r="394">
      <c r="A394" s="99"/>
      <c r="C394" s="99"/>
      <c r="D394" s="100"/>
      <c r="E394" s="95"/>
      <c r="F394" s="95"/>
      <c r="G394" s="8"/>
      <c r="I394" s="61"/>
      <c r="J394" s="99"/>
      <c r="L394" s="99"/>
      <c r="N394" s="101"/>
      <c r="O394" s="61"/>
      <c r="P394" s="61"/>
    </row>
    <row r="395">
      <c r="A395" s="99"/>
      <c r="C395" s="99"/>
      <c r="D395" s="100"/>
      <c r="E395" s="95"/>
      <c r="F395" s="95"/>
      <c r="G395" s="8"/>
      <c r="I395" s="61"/>
      <c r="J395" s="99"/>
      <c r="L395" s="99"/>
      <c r="N395" s="101"/>
      <c r="O395" s="61"/>
      <c r="P395" s="61"/>
    </row>
    <row r="396">
      <c r="A396" s="99"/>
      <c r="C396" s="99"/>
      <c r="D396" s="100"/>
      <c r="E396" s="95"/>
      <c r="F396" s="95"/>
      <c r="G396" s="8"/>
      <c r="I396" s="61"/>
      <c r="J396" s="99"/>
      <c r="L396" s="99"/>
      <c r="N396" s="101"/>
      <c r="O396" s="61"/>
      <c r="P396" s="61"/>
    </row>
    <row r="397">
      <c r="A397" s="99"/>
      <c r="C397" s="99"/>
      <c r="D397" s="100"/>
      <c r="E397" s="95"/>
      <c r="F397" s="95"/>
      <c r="G397" s="8"/>
      <c r="I397" s="61"/>
      <c r="J397" s="99"/>
      <c r="L397" s="99"/>
      <c r="N397" s="101"/>
      <c r="O397" s="61"/>
      <c r="P397" s="61"/>
    </row>
    <row r="398">
      <c r="A398" s="99"/>
      <c r="C398" s="99"/>
      <c r="D398" s="100"/>
      <c r="E398" s="95"/>
      <c r="F398" s="95"/>
      <c r="G398" s="8"/>
      <c r="I398" s="61"/>
      <c r="J398" s="99"/>
      <c r="L398" s="99"/>
      <c r="N398" s="101"/>
      <c r="O398" s="61"/>
      <c r="P398" s="61"/>
    </row>
    <row r="399">
      <c r="A399" s="99"/>
      <c r="C399" s="99"/>
      <c r="D399" s="100"/>
      <c r="E399" s="95"/>
      <c r="F399" s="95"/>
      <c r="G399" s="8"/>
      <c r="I399" s="61"/>
      <c r="J399" s="99"/>
      <c r="L399" s="99"/>
      <c r="N399" s="101"/>
      <c r="O399" s="61"/>
      <c r="P399" s="61"/>
    </row>
    <row r="400">
      <c r="A400" s="99"/>
      <c r="C400" s="99"/>
      <c r="D400" s="100"/>
      <c r="E400" s="95"/>
      <c r="F400" s="95"/>
      <c r="G400" s="8"/>
      <c r="I400" s="61"/>
      <c r="J400" s="99"/>
      <c r="L400" s="99"/>
      <c r="N400" s="101"/>
      <c r="O400" s="61"/>
      <c r="P400" s="61"/>
    </row>
    <row r="401">
      <c r="A401" s="99"/>
      <c r="C401" s="99"/>
      <c r="D401" s="100"/>
      <c r="E401" s="95"/>
      <c r="F401" s="95"/>
      <c r="G401" s="8"/>
      <c r="I401" s="61"/>
      <c r="J401" s="99"/>
      <c r="L401" s="99"/>
      <c r="N401" s="101"/>
      <c r="O401" s="61"/>
      <c r="P401" s="61"/>
    </row>
    <row r="402">
      <c r="A402" s="99"/>
      <c r="C402" s="99"/>
      <c r="D402" s="100"/>
      <c r="E402" s="95"/>
      <c r="F402" s="95"/>
      <c r="G402" s="8"/>
      <c r="I402" s="61"/>
      <c r="J402" s="99"/>
      <c r="L402" s="99"/>
      <c r="N402" s="101"/>
      <c r="O402" s="61"/>
      <c r="P402" s="61"/>
    </row>
    <row r="403">
      <c r="A403" s="99"/>
      <c r="C403" s="99"/>
      <c r="D403" s="100"/>
      <c r="E403" s="95"/>
      <c r="F403" s="95"/>
      <c r="G403" s="8"/>
      <c r="I403" s="61"/>
      <c r="J403" s="99"/>
      <c r="L403" s="99"/>
      <c r="N403" s="101"/>
      <c r="O403" s="61"/>
      <c r="P403" s="61"/>
    </row>
    <row r="404">
      <c r="A404" s="99"/>
      <c r="C404" s="99"/>
      <c r="D404" s="100"/>
      <c r="E404" s="95"/>
      <c r="F404" s="95"/>
      <c r="G404" s="8"/>
      <c r="I404" s="61"/>
      <c r="J404" s="99"/>
      <c r="L404" s="99"/>
      <c r="N404" s="101"/>
      <c r="O404" s="61"/>
      <c r="P404" s="61"/>
    </row>
    <row r="405">
      <c r="A405" s="99"/>
      <c r="C405" s="99"/>
      <c r="D405" s="100"/>
      <c r="E405" s="95"/>
      <c r="F405" s="95"/>
      <c r="G405" s="8"/>
      <c r="I405" s="61"/>
      <c r="J405" s="99"/>
      <c r="L405" s="99"/>
      <c r="N405" s="101"/>
      <c r="O405" s="61"/>
      <c r="P405" s="61"/>
    </row>
    <row r="406">
      <c r="A406" s="99"/>
      <c r="C406" s="99"/>
      <c r="D406" s="100"/>
      <c r="E406" s="95"/>
      <c r="F406" s="95"/>
      <c r="G406" s="8"/>
      <c r="I406" s="61"/>
      <c r="J406" s="99"/>
      <c r="L406" s="99"/>
      <c r="N406" s="101"/>
      <c r="O406" s="61"/>
      <c r="P406" s="61"/>
    </row>
    <row r="407">
      <c r="A407" s="99"/>
      <c r="C407" s="99"/>
      <c r="D407" s="100"/>
      <c r="E407" s="95"/>
      <c r="F407" s="95"/>
      <c r="G407" s="8"/>
      <c r="I407" s="61"/>
      <c r="J407" s="99"/>
      <c r="L407" s="99"/>
      <c r="N407" s="101"/>
      <c r="O407" s="61"/>
      <c r="P407" s="61"/>
    </row>
    <row r="408">
      <c r="A408" s="99"/>
      <c r="C408" s="99"/>
      <c r="D408" s="100"/>
      <c r="E408" s="95"/>
      <c r="F408" s="95"/>
      <c r="G408" s="8"/>
      <c r="I408" s="61"/>
      <c r="J408" s="99"/>
      <c r="L408" s="99"/>
      <c r="N408" s="101"/>
      <c r="O408" s="61"/>
      <c r="P408" s="61"/>
    </row>
    <row r="409">
      <c r="A409" s="99"/>
      <c r="C409" s="99"/>
      <c r="D409" s="100"/>
      <c r="E409" s="95"/>
      <c r="F409" s="95"/>
      <c r="G409" s="8"/>
      <c r="I409" s="61"/>
      <c r="J409" s="99"/>
      <c r="L409" s="99"/>
      <c r="N409" s="101"/>
      <c r="O409" s="61"/>
      <c r="P409" s="61"/>
    </row>
    <row r="410">
      <c r="A410" s="99"/>
      <c r="C410" s="99"/>
      <c r="D410" s="100"/>
      <c r="E410" s="95"/>
      <c r="F410" s="95"/>
      <c r="G410" s="8"/>
      <c r="I410" s="61"/>
      <c r="J410" s="99"/>
      <c r="L410" s="99"/>
      <c r="N410" s="101"/>
      <c r="O410" s="61"/>
      <c r="P410" s="61"/>
    </row>
    <row r="411">
      <c r="A411" s="99"/>
      <c r="C411" s="99"/>
      <c r="D411" s="100"/>
      <c r="E411" s="95"/>
      <c r="F411" s="95"/>
      <c r="G411" s="8"/>
      <c r="I411" s="61"/>
      <c r="J411" s="99"/>
      <c r="L411" s="99"/>
      <c r="N411" s="101"/>
      <c r="O411" s="61"/>
      <c r="P411" s="61"/>
    </row>
    <row r="412">
      <c r="A412" s="99"/>
      <c r="C412" s="99"/>
      <c r="D412" s="100"/>
      <c r="E412" s="95"/>
      <c r="F412" s="95"/>
      <c r="G412" s="8"/>
      <c r="I412" s="61"/>
      <c r="J412" s="99"/>
      <c r="L412" s="99"/>
      <c r="N412" s="101"/>
      <c r="O412" s="61"/>
      <c r="P412" s="61"/>
    </row>
    <row r="413">
      <c r="A413" s="99"/>
      <c r="C413" s="99"/>
      <c r="D413" s="100"/>
      <c r="E413" s="95"/>
      <c r="F413" s="95"/>
      <c r="G413" s="8"/>
      <c r="I413" s="61"/>
      <c r="J413" s="99"/>
      <c r="L413" s="99"/>
      <c r="N413" s="101"/>
      <c r="O413" s="61"/>
      <c r="P413" s="61"/>
    </row>
    <row r="414">
      <c r="A414" s="99"/>
      <c r="C414" s="99"/>
      <c r="D414" s="100"/>
      <c r="E414" s="95"/>
      <c r="F414" s="95"/>
      <c r="G414" s="8"/>
      <c r="I414" s="61"/>
      <c r="J414" s="99"/>
      <c r="L414" s="99"/>
      <c r="N414" s="101"/>
      <c r="O414" s="61"/>
      <c r="P414" s="61"/>
    </row>
    <row r="415">
      <c r="A415" s="99"/>
      <c r="C415" s="99"/>
      <c r="D415" s="100"/>
      <c r="E415" s="95"/>
      <c r="F415" s="95"/>
      <c r="G415" s="8"/>
      <c r="I415" s="61"/>
      <c r="J415" s="99"/>
      <c r="L415" s="99"/>
      <c r="N415" s="101"/>
      <c r="O415" s="61"/>
      <c r="P415" s="61"/>
    </row>
    <row r="416">
      <c r="A416" s="99"/>
      <c r="C416" s="99"/>
      <c r="D416" s="100"/>
      <c r="E416" s="95"/>
      <c r="F416" s="95"/>
      <c r="G416" s="8"/>
      <c r="I416" s="61"/>
      <c r="J416" s="99"/>
      <c r="L416" s="99"/>
      <c r="N416" s="101"/>
      <c r="O416" s="61"/>
      <c r="P416" s="61"/>
    </row>
    <row r="417">
      <c r="A417" s="99"/>
      <c r="C417" s="99"/>
      <c r="D417" s="100"/>
      <c r="E417" s="95"/>
      <c r="F417" s="95"/>
      <c r="G417" s="8"/>
      <c r="I417" s="61"/>
      <c r="J417" s="99"/>
      <c r="L417" s="99"/>
      <c r="N417" s="101"/>
      <c r="O417" s="61"/>
      <c r="P417" s="61"/>
    </row>
    <row r="418">
      <c r="A418" s="99"/>
      <c r="C418" s="99"/>
      <c r="D418" s="100"/>
      <c r="E418" s="95"/>
      <c r="F418" s="95"/>
      <c r="G418" s="8"/>
      <c r="I418" s="61"/>
      <c r="J418" s="99"/>
      <c r="L418" s="99"/>
      <c r="N418" s="101"/>
      <c r="O418" s="61"/>
      <c r="P418" s="61"/>
    </row>
    <row r="419">
      <c r="A419" s="99"/>
      <c r="C419" s="99"/>
      <c r="D419" s="100"/>
      <c r="E419" s="95"/>
      <c r="F419" s="95"/>
      <c r="G419" s="8"/>
      <c r="I419" s="61"/>
      <c r="J419" s="99"/>
      <c r="L419" s="99"/>
      <c r="N419" s="101"/>
      <c r="O419" s="61"/>
      <c r="P419" s="61"/>
    </row>
    <row r="420">
      <c r="A420" s="99"/>
      <c r="C420" s="99"/>
      <c r="D420" s="100"/>
      <c r="E420" s="95"/>
      <c r="F420" s="95"/>
      <c r="G420" s="8"/>
      <c r="I420" s="61"/>
      <c r="J420" s="99"/>
      <c r="L420" s="99"/>
      <c r="N420" s="101"/>
      <c r="O420" s="61"/>
      <c r="P420" s="61"/>
    </row>
    <row r="421">
      <c r="A421" s="99"/>
      <c r="C421" s="99"/>
      <c r="D421" s="100"/>
      <c r="E421" s="95"/>
      <c r="F421" s="95"/>
      <c r="G421" s="8"/>
      <c r="I421" s="61"/>
      <c r="J421" s="99"/>
      <c r="L421" s="99"/>
      <c r="N421" s="101"/>
      <c r="O421" s="61"/>
      <c r="P421" s="61"/>
    </row>
    <row r="422">
      <c r="A422" s="99"/>
      <c r="C422" s="99"/>
      <c r="D422" s="100"/>
      <c r="E422" s="95"/>
      <c r="F422" s="95"/>
      <c r="G422" s="8"/>
      <c r="I422" s="61"/>
      <c r="J422" s="99"/>
      <c r="L422" s="99"/>
      <c r="N422" s="101"/>
      <c r="O422" s="61"/>
      <c r="P422" s="61"/>
    </row>
    <row r="423">
      <c r="A423" s="99"/>
      <c r="C423" s="99"/>
      <c r="D423" s="100"/>
      <c r="E423" s="95"/>
      <c r="F423" s="95"/>
      <c r="G423" s="8"/>
      <c r="I423" s="61"/>
      <c r="J423" s="99"/>
      <c r="L423" s="99"/>
      <c r="N423" s="101"/>
      <c r="O423" s="61"/>
      <c r="P423" s="61"/>
    </row>
    <row r="424">
      <c r="A424" s="99"/>
      <c r="C424" s="99"/>
      <c r="D424" s="100"/>
      <c r="E424" s="95"/>
      <c r="F424" s="95"/>
      <c r="G424" s="8"/>
      <c r="I424" s="61"/>
      <c r="J424" s="99"/>
      <c r="L424" s="99"/>
      <c r="N424" s="101"/>
      <c r="O424" s="61"/>
      <c r="P424" s="61"/>
    </row>
    <row r="425">
      <c r="A425" s="99"/>
      <c r="C425" s="99"/>
      <c r="D425" s="100"/>
      <c r="E425" s="95"/>
      <c r="F425" s="95"/>
      <c r="G425" s="8"/>
      <c r="I425" s="61"/>
      <c r="J425" s="99"/>
      <c r="L425" s="99"/>
      <c r="N425" s="101"/>
      <c r="O425" s="61"/>
      <c r="P425" s="61"/>
    </row>
    <row r="426">
      <c r="A426" s="99"/>
      <c r="C426" s="99"/>
      <c r="D426" s="100"/>
      <c r="E426" s="95"/>
      <c r="F426" s="95"/>
      <c r="G426" s="8"/>
      <c r="I426" s="61"/>
      <c r="J426" s="99"/>
      <c r="L426" s="99"/>
      <c r="N426" s="101"/>
      <c r="O426" s="61"/>
      <c r="P426" s="61"/>
    </row>
    <row r="427">
      <c r="A427" s="99"/>
      <c r="C427" s="99"/>
      <c r="D427" s="100"/>
      <c r="E427" s="95"/>
      <c r="F427" s="95"/>
      <c r="G427" s="8"/>
      <c r="I427" s="61"/>
      <c r="J427" s="99"/>
      <c r="L427" s="99"/>
      <c r="N427" s="101"/>
      <c r="O427" s="61"/>
      <c r="P427" s="61"/>
    </row>
    <row r="428">
      <c r="A428" s="99"/>
      <c r="C428" s="99"/>
      <c r="D428" s="100"/>
      <c r="E428" s="95"/>
      <c r="F428" s="95"/>
      <c r="G428" s="8"/>
      <c r="I428" s="61"/>
      <c r="J428" s="99"/>
      <c r="L428" s="99"/>
      <c r="N428" s="101"/>
      <c r="O428" s="61"/>
      <c r="P428" s="61"/>
    </row>
    <row r="429">
      <c r="A429" s="99"/>
      <c r="C429" s="99"/>
      <c r="D429" s="100"/>
      <c r="E429" s="95"/>
      <c r="F429" s="95"/>
      <c r="G429" s="8"/>
      <c r="I429" s="61"/>
      <c r="J429" s="99"/>
      <c r="L429" s="99"/>
      <c r="N429" s="101"/>
      <c r="O429" s="61"/>
      <c r="P429" s="61"/>
    </row>
    <row r="430">
      <c r="A430" s="99"/>
      <c r="C430" s="99"/>
      <c r="D430" s="100"/>
      <c r="E430" s="95"/>
      <c r="F430" s="95"/>
      <c r="G430" s="8"/>
      <c r="I430" s="61"/>
      <c r="J430" s="99"/>
      <c r="L430" s="99"/>
      <c r="N430" s="101"/>
      <c r="O430" s="61"/>
      <c r="P430" s="61"/>
    </row>
    <row r="431">
      <c r="A431" s="99"/>
      <c r="C431" s="99"/>
      <c r="D431" s="100"/>
      <c r="E431" s="95"/>
      <c r="F431" s="95"/>
      <c r="G431" s="8"/>
      <c r="I431" s="61"/>
      <c r="J431" s="99"/>
      <c r="L431" s="99"/>
      <c r="N431" s="101"/>
      <c r="O431" s="61"/>
      <c r="P431" s="61"/>
    </row>
    <row r="432">
      <c r="A432" s="99"/>
      <c r="C432" s="99"/>
      <c r="D432" s="100"/>
      <c r="E432" s="95"/>
      <c r="F432" s="95"/>
      <c r="G432" s="8"/>
      <c r="I432" s="61"/>
      <c r="J432" s="99"/>
      <c r="L432" s="99"/>
      <c r="N432" s="101"/>
      <c r="O432" s="61"/>
      <c r="P432" s="61"/>
    </row>
    <row r="433">
      <c r="A433" s="99"/>
      <c r="C433" s="99"/>
      <c r="D433" s="100"/>
      <c r="E433" s="95"/>
      <c r="F433" s="95"/>
      <c r="G433" s="8"/>
      <c r="I433" s="61"/>
      <c r="J433" s="99"/>
      <c r="L433" s="99"/>
      <c r="N433" s="101"/>
      <c r="O433" s="61"/>
      <c r="P433" s="61"/>
    </row>
    <row r="434">
      <c r="A434" s="99"/>
      <c r="C434" s="99"/>
      <c r="D434" s="100"/>
      <c r="E434" s="95"/>
      <c r="F434" s="95"/>
      <c r="G434" s="8"/>
      <c r="I434" s="61"/>
      <c r="J434" s="99"/>
      <c r="L434" s="99"/>
      <c r="N434" s="101"/>
      <c r="O434" s="61"/>
      <c r="P434" s="61"/>
    </row>
    <row r="435">
      <c r="A435" s="99"/>
      <c r="C435" s="99"/>
      <c r="D435" s="100"/>
      <c r="E435" s="95"/>
      <c r="F435" s="95"/>
      <c r="G435" s="8"/>
      <c r="I435" s="61"/>
      <c r="J435" s="99"/>
      <c r="L435" s="99"/>
      <c r="N435" s="101"/>
      <c r="O435" s="61"/>
      <c r="P435" s="61"/>
    </row>
    <row r="436">
      <c r="A436" s="99"/>
      <c r="C436" s="99"/>
      <c r="D436" s="100"/>
      <c r="E436" s="95"/>
      <c r="F436" s="95"/>
      <c r="G436" s="8"/>
      <c r="I436" s="61"/>
      <c r="J436" s="99"/>
      <c r="L436" s="99"/>
      <c r="N436" s="101"/>
      <c r="O436" s="61"/>
      <c r="P436" s="61"/>
    </row>
    <row r="437">
      <c r="A437" s="99"/>
      <c r="C437" s="99"/>
      <c r="D437" s="102"/>
      <c r="E437" s="103"/>
      <c r="F437" s="104"/>
      <c r="G437" s="8"/>
      <c r="I437" s="61"/>
      <c r="J437" s="99"/>
      <c r="L437" s="99"/>
      <c r="N437" s="101"/>
      <c r="O437" s="61"/>
      <c r="P437" s="61"/>
    </row>
    <row r="438">
      <c r="A438" s="99"/>
      <c r="C438" s="99"/>
      <c r="D438" s="102"/>
      <c r="E438" s="103"/>
      <c r="F438" s="104"/>
      <c r="G438" s="8"/>
      <c r="I438" s="61"/>
      <c r="J438" s="99"/>
      <c r="L438" s="99"/>
      <c r="N438" s="101"/>
      <c r="O438" s="61"/>
      <c r="P438" s="61"/>
    </row>
    <row r="439">
      <c r="A439" s="99"/>
      <c r="C439" s="99"/>
      <c r="D439" s="102"/>
      <c r="E439" s="103"/>
      <c r="F439" s="104"/>
      <c r="G439" s="8"/>
      <c r="I439" s="61"/>
      <c r="J439" s="99"/>
      <c r="L439" s="99"/>
      <c r="N439" s="101"/>
      <c r="O439" s="61"/>
      <c r="P439" s="61"/>
    </row>
    <row r="440">
      <c r="A440" s="99"/>
      <c r="C440" s="99"/>
      <c r="D440" s="102"/>
      <c r="E440" s="103"/>
      <c r="F440" s="104"/>
      <c r="G440" s="8"/>
      <c r="I440" s="61"/>
      <c r="J440" s="99"/>
      <c r="L440" s="99"/>
      <c r="N440" s="101"/>
      <c r="O440" s="61"/>
      <c r="P440" s="61"/>
    </row>
    <row r="441">
      <c r="A441" s="99"/>
      <c r="C441" s="99"/>
      <c r="D441" s="102"/>
      <c r="E441" s="103"/>
      <c r="F441" s="104"/>
      <c r="G441" s="8"/>
      <c r="I441" s="61"/>
      <c r="J441" s="99"/>
      <c r="L441" s="99"/>
      <c r="N441" s="101"/>
      <c r="O441" s="61"/>
      <c r="P441" s="61"/>
    </row>
    <row r="442">
      <c r="A442" s="99"/>
      <c r="C442" s="99"/>
      <c r="D442" s="102"/>
      <c r="E442" s="103"/>
      <c r="F442" s="104"/>
      <c r="G442" s="8"/>
      <c r="I442" s="61"/>
      <c r="J442" s="99"/>
      <c r="L442" s="99"/>
      <c r="N442" s="101"/>
      <c r="O442" s="61"/>
      <c r="P442" s="61"/>
    </row>
    <row r="443">
      <c r="A443" s="99"/>
      <c r="C443" s="99"/>
      <c r="D443" s="102"/>
      <c r="E443" s="103"/>
      <c r="F443" s="104"/>
      <c r="G443" s="8"/>
      <c r="I443" s="61"/>
      <c r="J443" s="99"/>
      <c r="L443" s="99"/>
      <c r="N443" s="101"/>
      <c r="O443" s="61"/>
      <c r="P443" s="61"/>
    </row>
    <row r="444">
      <c r="A444" s="99"/>
      <c r="C444" s="99"/>
      <c r="D444" s="102"/>
      <c r="E444" s="103"/>
      <c r="F444" s="104"/>
      <c r="G444" s="8"/>
      <c r="I444" s="61"/>
      <c r="J444" s="99"/>
      <c r="L444" s="99"/>
      <c r="N444" s="101"/>
      <c r="O444" s="61"/>
      <c r="P444" s="61"/>
    </row>
    <row r="445">
      <c r="A445" s="99"/>
      <c r="C445" s="99"/>
      <c r="D445" s="102"/>
      <c r="E445" s="103"/>
      <c r="F445" s="104"/>
      <c r="G445" s="8"/>
      <c r="I445" s="61"/>
      <c r="J445" s="99"/>
      <c r="L445" s="99"/>
      <c r="N445" s="101"/>
      <c r="O445" s="61"/>
      <c r="P445" s="61"/>
    </row>
    <row r="446">
      <c r="A446" s="99"/>
      <c r="C446" s="99"/>
      <c r="D446" s="102"/>
      <c r="E446" s="103"/>
      <c r="F446" s="104"/>
      <c r="G446" s="8"/>
      <c r="I446" s="61"/>
      <c r="J446" s="99"/>
      <c r="L446" s="99"/>
      <c r="N446" s="101"/>
      <c r="O446" s="61"/>
      <c r="P446" s="61"/>
    </row>
    <row r="447">
      <c r="A447" s="99"/>
      <c r="C447" s="99"/>
      <c r="D447" s="102"/>
      <c r="E447" s="103"/>
      <c r="F447" s="104"/>
      <c r="G447" s="8"/>
      <c r="I447" s="61"/>
      <c r="J447" s="99"/>
      <c r="L447" s="99"/>
      <c r="N447" s="101"/>
      <c r="O447" s="61"/>
      <c r="P447" s="61"/>
    </row>
    <row r="448">
      <c r="A448" s="99"/>
      <c r="C448" s="99"/>
      <c r="D448" s="102"/>
      <c r="E448" s="103"/>
      <c r="F448" s="104"/>
      <c r="G448" s="8"/>
      <c r="I448" s="61"/>
      <c r="J448" s="99"/>
      <c r="L448" s="99"/>
      <c r="N448" s="101"/>
      <c r="O448" s="61"/>
      <c r="P448" s="61"/>
    </row>
    <row r="449">
      <c r="A449" s="99"/>
      <c r="C449" s="99"/>
      <c r="D449" s="102"/>
      <c r="E449" s="103"/>
      <c r="F449" s="104"/>
      <c r="G449" s="8"/>
      <c r="I449" s="61"/>
      <c r="J449" s="99"/>
      <c r="L449" s="99"/>
      <c r="N449" s="101"/>
      <c r="O449" s="61"/>
      <c r="P449" s="61"/>
    </row>
    <row r="450">
      <c r="A450" s="99"/>
      <c r="C450" s="99"/>
      <c r="D450" s="102"/>
      <c r="E450" s="103"/>
      <c r="F450" s="104"/>
      <c r="G450" s="8"/>
      <c r="I450" s="61"/>
      <c r="J450" s="99"/>
      <c r="L450" s="99"/>
      <c r="N450" s="101"/>
      <c r="O450" s="61"/>
      <c r="P450" s="61"/>
    </row>
    <row r="451">
      <c r="A451" s="99"/>
      <c r="C451" s="99"/>
      <c r="D451" s="102"/>
      <c r="E451" s="103"/>
      <c r="F451" s="104"/>
      <c r="G451" s="8"/>
      <c r="I451" s="61"/>
      <c r="J451" s="99"/>
      <c r="L451" s="99"/>
      <c r="N451" s="101"/>
      <c r="O451" s="61"/>
      <c r="P451" s="61"/>
    </row>
    <row r="452">
      <c r="A452" s="99"/>
      <c r="C452" s="99"/>
      <c r="D452" s="102"/>
      <c r="E452" s="103"/>
      <c r="F452" s="104"/>
      <c r="G452" s="8"/>
      <c r="I452" s="61"/>
      <c r="J452" s="99"/>
      <c r="L452" s="99"/>
      <c r="N452" s="101"/>
      <c r="O452" s="61"/>
      <c r="P452" s="61"/>
    </row>
    <row r="453">
      <c r="A453" s="99"/>
      <c r="C453" s="99"/>
      <c r="D453" s="102"/>
      <c r="E453" s="103"/>
      <c r="F453" s="104"/>
      <c r="G453" s="8"/>
      <c r="I453" s="61"/>
      <c r="J453" s="99"/>
      <c r="L453" s="99"/>
      <c r="N453" s="101"/>
      <c r="O453" s="61"/>
      <c r="P453" s="61"/>
    </row>
    <row r="454">
      <c r="A454" s="99"/>
      <c r="C454" s="99"/>
      <c r="D454" s="102"/>
      <c r="E454" s="103"/>
      <c r="F454" s="104"/>
      <c r="G454" s="8"/>
      <c r="I454" s="61"/>
      <c r="J454" s="99"/>
      <c r="L454" s="99"/>
      <c r="N454" s="101"/>
      <c r="O454" s="61"/>
      <c r="P454" s="61"/>
    </row>
    <row r="455">
      <c r="A455" s="99"/>
      <c r="C455" s="99"/>
      <c r="D455" s="102"/>
      <c r="E455" s="103"/>
      <c r="F455" s="104"/>
      <c r="G455" s="8"/>
      <c r="I455" s="61"/>
      <c r="J455" s="99"/>
      <c r="L455" s="99"/>
      <c r="N455" s="101"/>
      <c r="O455" s="61"/>
      <c r="P455" s="61"/>
    </row>
    <row r="456">
      <c r="A456" s="99"/>
      <c r="C456" s="99"/>
      <c r="D456" s="102"/>
      <c r="E456" s="103"/>
      <c r="F456" s="104"/>
      <c r="G456" s="8"/>
      <c r="I456" s="61"/>
      <c r="J456" s="99"/>
      <c r="L456" s="99"/>
      <c r="N456" s="101"/>
      <c r="O456" s="61"/>
      <c r="P456" s="61"/>
    </row>
    <row r="457">
      <c r="A457" s="99"/>
      <c r="C457" s="99"/>
      <c r="D457" s="102"/>
      <c r="E457" s="103"/>
      <c r="F457" s="104"/>
      <c r="G457" s="8"/>
      <c r="I457" s="61"/>
      <c r="J457" s="99"/>
      <c r="L457" s="99"/>
      <c r="N457" s="101"/>
      <c r="O457" s="61"/>
      <c r="P457" s="61"/>
    </row>
    <row r="458">
      <c r="A458" s="99"/>
      <c r="C458" s="99"/>
      <c r="D458" s="102"/>
      <c r="E458" s="103"/>
      <c r="F458" s="104"/>
      <c r="G458" s="8"/>
      <c r="I458" s="61"/>
      <c r="J458" s="99"/>
      <c r="L458" s="99"/>
      <c r="N458" s="101"/>
      <c r="O458" s="61"/>
      <c r="P458" s="61"/>
    </row>
    <row r="459">
      <c r="A459" s="99"/>
      <c r="C459" s="99"/>
      <c r="D459" s="102"/>
      <c r="E459" s="103"/>
      <c r="F459" s="104"/>
      <c r="G459" s="8"/>
      <c r="I459" s="61"/>
      <c r="J459" s="99"/>
      <c r="L459" s="99"/>
      <c r="N459" s="101"/>
      <c r="O459" s="61"/>
      <c r="P459" s="61"/>
    </row>
    <row r="460">
      <c r="A460" s="99"/>
      <c r="C460" s="99"/>
      <c r="D460" s="102"/>
      <c r="E460" s="103"/>
      <c r="F460" s="104"/>
      <c r="G460" s="8"/>
      <c r="I460" s="61"/>
      <c r="J460" s="99"/>
      <c r="L460" s="99"/>
      <c r="N460" s="101"/>
      <c r="O460" s="61"/>
      <c r="P460" s="61"/>
    </row>
    <row r="461">
      <c r="A461" s="99"/>
      <c r="C461" s="99"/>
      <c r="D461" s="102"/>
      <c r="E461" s="103"/>
      <c r="F461" s="104"/>
      <c r="G461" s="8"/>
      <c r="I461" s="61"/>
      <c r="J461" s="99"/>
      <c r="L461" s="99"/>
      <c r="N461" s="101"/>
      <c r="O461" s="61"/>
      <c r="P461" s="61"/>
    </row>
    <row r="462">
      <c r="A462" s="99"/>
      <c r="C462" s="99"/>
      <c r="D462" s="102"/>
      <c r="E462" s="103"/>
      <c r="F462" s="104"/>
      <c r="G462" s="8"/>
      <c r="I462" s="61"/>
      <c r="J462" s="99"/>
      <c r="L462" s="99"/>
      <c r="N462" s="101"/>
      <c r="O462" s="61"/>
      <c r="P462" s="61"/>
    </row>
    <row r="463">
      <c r="A463" s="99"/>
      <c r="C463" s="99"/>
      <c r="D463" s="102"/>
      <c r="E463" s="103"/>
      <c r="F463" s="104"/>
      <c r="G463" s="8"/>
      <c r="I463" s="61"/>
      <c r="J463" s="99"/>
      <c r="L463" s="99"/>
      <c r="N463" s="101"/>
      <c r="O463" s="61"/>
      <c r="P463" s="61"/>
    </row>
    <row r="464">
      <c r="A464" s="99"/>
      <c r="C464" s="99"/>
      <c r="D464" s="102"/>
      <c r="E464" s="103"/>
      <c r="F464" s="104"/>
      <c r="G464" s="8"/>
      <c r="I464" s="61"/>
      <c r="J464" s="99"/>
      <c r="L464" s="99"/>
      <c r="N464" s="101"/>
      <c r="O464" s="61"/>
      <c r="P464" s="61"/>
    </row>
    <row r="465">
      <c r="A465" s="99"/>
      <c r="C465" s="99"/>
      <c r="D465" s="102"/>
      <c r="E465" s="103"/>
      <c r="F465" s="104"/>
      <c r="G465" s="8"/>
      <c r="I465" s="61"/>
      <c r="J465" s="99"/>
      <c r="L465" s="99"/>
      <c r="N465" s="101"/>
      <c r="O465" s="61"/>
      <c r="P465" s="61"/>
    </row>
    <row r="466">
      <c r="A466" s="99"/>
      <c r="C466" s="99"/>
      <c r="D466" s="102"/>
      <c r="E466" s="103"/>
      <c r="F466" s="104"/>
      <c r="G466" s="8"/>
      <c r="I466" s="61"/>
      <c r="J466" s="99"/>
      <c r="L466" s="99"/>
      <c r="N466" s="101"/>
      <c r="O466" s="61"/>
      <c r="P466" s="61"/>
    </row>
    <row r="467">
      <c r="A467" s="99"/>
      <c r="C467" s="99"/>
      <c r="D467" s="102"/>
      <c r="E467" s="103"/>
      <c r="F467" s="104"/>
      <c r="G467" s="8"/>
      <c r="I467" s="61"/>
      <c r="J467" s="99"/>
      <c r="L467" s="99"/>
      <c r="N467" s="101"/>
      <c r="O467" s="61"/>
      <c r="P467" s="61"/>
    </row>
    <row r="468">
      <c r="A468" s="99"/>
      <c r="C468" s="99"/>
      <c r="D468" s="102"/>
      <c r="E468" s="103"/>
      <c r="F468" s="104"/>
      <c r="G468" s="8"/>
      <c r="I468" s="61"/>
      <c r="J468" s="99"/>
      <c r="L468" s="99"/>
      <c r="N468" s="101"/>
      <c r="O468" s="61"/>
      <c r="P468" s="61"/>
    </row>
    <row r="469">
      <c r="A469" s="99"/>
      <c r="C469" s="99"/>
      <c r="D469" s="102"/>
      <c r="E469" s="103"/>
      <c r="F469" s="104"/>
      <c r="G469" s="8"/>
      <c r="I469" s="61"/>
      <c r="J469" s="99"/>
      <c r="L469" s="99"/>
      <c r="N469" s="101"/>
      <c r="O469" s="61"/>
      <c r="P469" s="61"/>
    </row>
    <row r="470">
      <c r="A470" s="99"/>
      <c r="C470" s="99"/>
      <c r="D470" s="102"/>
      <c r="E470" s="103"/>
      <c r="F470" s="104"/>
      <c r="G470" s="8"/>
      <c r="I470" s="61"/>
      <c r="J470" s="99"/>
      <c r="L470" s="99"/>
      <c r="N470" s="101"/>
      <c r="O470" s="61"/>
      <c r="P470" s="61"/>
    </row>
    <row r="471">
      <c r="A471" s="99"/>
      <c r="C471" s="99"/>
      <c r="D471" s="102"/>
      <c r="E471" s="103"/>
      <c r="F471" s="104"/>
      <c r="G471" s="8"/>
      <c r="I471" s="61"/>
      <c r="J471" s="99"/>
      <c r="L471" s="99"/>
      <c r="N471" s="101"/>
      <c r="O471" s="61"/>
      <c r="P471" s="61"/>
    </row>
    <row r="472">
      <c r="A472" s="99"/>
      <c r="C472" s="99"/>
      <c r="D472" s="102"/>
      <c r="E472" s="103"/>
      <c r="F472" s="104"/>
      <c r="G472" s="8"/>
      <c r="I472" s="61"/>
      <c r="J472" s="99"/>
      <c r="L472" s="99"/>
      <c r="N472" s="101"/>
      <c r="O472" s="61"/>
      <c r="P472" s="61"/>
    </row>
    <row r="473">
      <c r="A473" s="99"/>
      <c r="C473" s="99"/>
      <c r="D473" s="102"/>
      <c r="E473" s="103"/>
      <c r="F473" s="104"/>
      <c r="G473" s="8"/>
      <c r="I473" s="61"/>
      <c r="J473" s="99"/>
      <c r="L473" s="99"/>
      <c r="N473" s="101"/>
      <c r="O473" s="61"/>
      <c r="P473" s="61"/>
    </row>
    <row r="474">
      <c r="A474" s="99"/>
      <c r="C474" s="99"/>
      <c r="D474" s="102"/>
      <c r="E474" s="103"/>
      <c r="F474" s="104"/>
      <c r="G474" s="8"/>
      <c r="I474" s="61"/>
      <c r="J474" s="99"/>
      <c r="L474" s="99"/>
      <c r="N474" s="101"/>
      <c r="O474" s="61"/>
      <c r="P474" s="61"/>
    </row>
    <row r="475">
      <c r="A475" s="99"/>
      <c r="C475" s="99"/>
      <c r="D475" s="102"/>
      <c r="E475" s="103"/>
      <c r="F475" s="104"/>
      <c r="G475" s="8"/>
      <c r="I475" s="61"/>
      <c r="J475" s="99"/>
      <c r="L475" s="99"/>
      <c r="N475" s="101"/>
      <c r="O475" s="61"/>
      <c r="P475" s="61"/>
    </row>
    <row r="476">
      <c r="A476" s="99"/>
      <c r="C476" s="99"/>
      <c r="D476" s="102"/>
      <c r="E476" s="103"/>
      <c r="F476" s="104"/>
      <c r="G476" s="8"/>
      <c r="I476" s="61"/>
      <c r="J476" s="99"/>
      <c r="L476" s="99"/>
      <c r="N476" s="101"/>
      <c r="O476" s="61"/>
      <c r="P476" s="61"/>
    </row>
    <row r="477">
      <c r="A477" s="99"/>
      <c r="C477" s="99"/>
      <c r="D477" s="102"/>
      <c r="E477" s="103"/>
      <c r="F477" s="104"/>
      <c r="G477" s="8"/>
      <c r="I477" s="61"/>
      <c r="J477" s="99"/>
      <c r="L477" s="99"/>
      <c r="N477" s="101"/>
      <c r="O477" s="61"/>
      <c r="P477" s="61"/>
    </row>
    <row r="478">
      <c r="A478" s="99"/>
      <c r="C478" s="99"/>
      <c r="D478" s="102"/>
      <c r="E478" s="103"/>
      <c r="F478" s="104"/>
      <c r="G478" s="8"/>
      <c r="I478" s="61"/>
      <c r="J478" s="99"/>
      <c r="L478" s="99"/>
      <c r="N478" s="101"/>
      <c r="O478" s="61"/>
      <c r="P478" s="61"/>
    </row>
    <row r="479">
      <c r="A479" s="99"/>
      <c r="C479" s="99"/>
      <c r="D479" s="102"/>
      <c r="E479" s="103"/>
      <c r="F479" s="104"/>
      <c r="G479" s="8"/>
      <c r="I479" s="61"/>
      <c r="J479" s="99"/>
      <c r="L479" s="99"/>
      <c r="N479" s="101"/>
      <c r="O479" s="61"/>
      <c r="P479" s="61"/>
    </row>
    <row r="480">
      <c r="A480" s="99"/>
      <c r="C480" s="99"/>
      <c r="D480" s="102"/>
      <c r="E480" s="103"/>
      <c r="F480" s="104"/>
      <c r="G480" s="8"/>
      <c r="I480" s="61"/>
      <c r="J480" s="99"/>
      <c r="L480" s="99"/>
      <c r="N480" s="101"/>
      <c r="O480" s="61"/>
      <c r="P480" s="61"/>
    </row>
    <row r="481">
      <c r="A481" s="99"/>
      <c r="C481" s="99"/>
      <c r="D481" s="102"/>
      <c r="E481" s="103"/>
      <c r="F481" s="104"/>
      <c r="G481" s="8"/>
      <c r="I481" s="61"/>
      <c r="J481" s="99"/>
      <c r="L481" s="99"/>
      <c r="N481" s="101"/>
      <c r="O481" s="61"/>
      <c r="P481" s="61"/>
    </row>
    <row r="482">
      <c r="A482" s="99"/>
      <c r="C482" s="99"/>
      <c r="D482" s="102"/>
      <c r="E482" s="103"/>
      <c r="F482" s="104"/>
      <c r="G482" s="8"/>
      <c r="I482" s="61"/>
      <c r="J482" s="99"/>
      <c r="L482" s="99"/>
      <c r="N482" s="101"/>
      <c r="O482" s="61"/>
      <c r="P482" s="61"/>
    </row>
    <row r="483">
      <c r="A483" s="99"/>
      <c r="C483" s="99"/>
      <c r="D483" s="102"/>
      <c r="E483" s="103"/>
      <c r="F483" s="104"/>
      <c r="G483" s="8"/>
      <c r="I483" s="61"/>
      <c r="J483" s="99"/>
      <c r="L483" s="99"/>
      <c r="N483" s="101"/>
      <c r="O483" s="61"/>
      <c r="P483" s="61"/>
    </row>
    <row r="484">
      <c r="A484" s="99"/>
      <c r="C484" s="99"/>
      <c r="D484" s="102"/>
      <c r="E484" s="103"/>
      <c r="F484" s="104"/>
      <c r="G484" s="8"/>
      <c r="I484" s="61"/>
      <c r="J484" s="99"/>
      <c r="L484" s="99"/>
      <c r="N484" s="101"/>
      <c r="O484" s="61"/>
      <c r="P484" s="61"/>
    </row>
    <row r="485">
      <c r="A485" s="99"/>
      <c r="C485" s="99"/>
      <c r="D485" s="102"/>
      <c r="E485" s="103"/>
      <c r="F485" s="104"/>
      <c r="G485" s="8"/>
      <c r="I485" s="61"/>
      <c r="J485" s="99"/>
      <c r="L485" s="99"/>
      <c r="N485" s="101"/>
      <c r="O485" s="61"/>
      <c r="P485" s="61"/>
    </row>
    <row r="486">
      <c r="A486" s="99"/>
      <c r="C486" s="99"/>
      <c r="D486" s="102"/>
      <c r="E486" s="103"/>
      <c r="F486" s="104"/>
      <c r="G486" s="8"/>
      <c r="I486" s="61"/>
      <c r="J486" s="99"/>
      <c r="L486" s="99"/>
      <c r="N486" s="101"/>
      <c r="O486" s="61"/>
      <c r="P486" s="61"/>
    </row>
    <row r="487">
      <c r="A487" s="99"/>
      <c r="C487" s="99"/>
      <c r="D487" s="102"/>
      <c r="E487" s="103"/>
      <c r="F487" s="104"/>
      <c r="G487" s="8"/>
      <c r="I487" s="61"/>
      <c r="J487" s="99"/>
      <c r="L487" s="99"/>
      <c r="N487" s="101"/>
      <c r="O487" s="61"/>
      <c r="P487" s="61"/>
    </row>
    <row r="488">
      <c r="A488" s="99"/>
      <c r="C488" s="99"/>
      <c r="D488" s="102"/>
      <c r="E488" s="103"/>
      <c r="F488" s="104"/>
      <c r="G488" s="8"/>
      <c r="I488" s="61"/>
      <c r="J488" s="99"/>
      <c r="L488" s="99"/>
      <c r="N488" s="101"/>
      <c r="O488" s="61"/>
      <c r="P488" s="61"/>
    </row>
    <row r="489">
      <c r="A489" s="99"/>
      <c r="C489" s="99"/>
      <c r="D489" s="102"/>
      <c r="E489" s="103"/>
      <c r="F489" s="104"/>
      <c r="G489" s="8"/>
      <c r="I489" s="61"/>
      <c r="J489" s="99"/>
      <c r="L489" s="99"/>
      <c r="N489" s="101"/>
      <c r="O489" s="61"/>
      <c r="P489" s="61"/>
    </row>
    <row r="490">
      <c r="A490" s="99"/>
      <c r="C490" s="99"/>
      <c r="D490" s="102"/>
      <c r="E490" s="103"/>
      <c r="F490" s="104"/>
      <c r="G490" s="8"/>
      <c r="I490" s="61"/>
      <c r="J490" s="99"/>
      <c r="L490" s="99"/>
      <c r="N490" s="101"/>
      <c r="O490" s="61"/>
      <c r="P490" s="61"/>
    </row>
    <row r="491">
      <c r="A491" s="99"/>
      <c r="C491" s="99"/>
      <c r="D491" s="102"/>
      <c r="E491" s="103"/>
      <c r="F491" s="104"/>
      <c r="G491" s="8"/>
      <c r="I491" s="61"/>
      <c r="J491" s="99"/>
      <c r="L491" s="99"/>
      <c r="N491" s="101"/>
      <c r="O491" s="61"/>
      <c r="P491" s="61"/>
    </row>
    <row r="492">
      <c r="A492" s="99"/>
      <c r="C492" s="99"/>
      <c r="D492" s="102"/>
      <c r="E492" s="103"/>
      <c r="F492" s="104"/>
      <c r="G492" s="8"/>
      <c r="I492" s="61"/>
      <c r="J492" s="99"/>
      <c r="L492" s="99"/>
      <c r="N492" s="101"/>
      <c r="O492" s="61"/>
      <c r="P492" s="61"/>
    </row>
    <row r="493">
      <c r="A493" s="99"/>
      <c r="C493" s="99"/>
      <c r="D493" s="102"/>
      <c r="E493" s="103"/>
      <c r="F493" s="104"/>
      <c r="G493" s="8"/>
      <c r="I493" s="61"/>
      <c r="J493" s="99"/>
      <c r="L493" s="99"/>
      <c r="N493" s="101"/>
      <c r="O493" s="61"/>
      <c r="P493" s="61"/>
    </row>
    <row r="494">
      <c r="A494" s="99"/>
      <c r="C494" s="99"/>
      <c r="D494" s="102"/>
      <c r="E494" s="103"/>
      <c r="F494" s="104"/>
      <c r="G494" s="8"/>
      <c r="I494" s="61"/>
      <c r="J494" s="99"/>
      <c r="L494" s="99"/>
      <c r="N494" s="101"/>
      <c r="O494" s="61"/>
      <c r="P494" s="61"/>
    </row>
    <row r="495">
      <c r="A495" s="99"/>
      <c r="C495" s="99"/>
      <c r="D495" s="102"/>
      <c r="E495" s="103"/>
      <c r="F495" s="104"/>
      <c r="G495" s="8"/>
      <c r="I495" s="61"/>
      <c r="J495" s="99"/>
      <c r="L495" s="99"/>
      <c r="N495" s="101"/>
      <c r="O495" s="61"/>
      <c r="P495" s="61"/>
    </row>
    <row r="496">
      <c r="A496" s="99"/>
      <c r="C496" s="99"/>
      <c r="D496" s="102"/>
      <c r="E496" s="103"/>
      <c r="F496" s="104"/>
      <c r="G496" s="8"/>
      <c r="I496" s="61"/>
      <c r="J496" s="99"/>
      <c r="L496" s="99"/>
      <c r="N496" s="101"/>
      <c r="O496" s="61"/>
      <c r="P496" s="61"/>
    </row>
    <row r="497">
      <c r="A497" s="99"/>
      <c r="C497" s="99"/>
      <c r="D497" s="102"/>
      <c r="E497" s="103"/>
      <c r="F497" s="104"/>
      <c r="G497" s="8"/>
      <c r="I497" s="61"/>
      <c r="J497" s="99"/>
      <c r="L497" s="99"/>
      <c r="N497" s="101"/>
      <c r="O497" s="61"/>
      <c r="P497" s="61"/>
    </row>
    <row r="498">
      <c r="A498" s="99"/>
      <c r="C498" s="99"/>
      <c r="D498" s="102"/>
      <c r="E498" s="103"/>
      <c r="F498" s="104"/>
      <c r="G498" s="8"/>
      <c r="I498" s="61"/>
      <c r="J498" s="99"/>
      <c r="L498" s="99"/>
      <c r="N498" s="101"/>
      <c r="O498" s="61"/>
      <c r="P498" s="61"/>
    </row>
    <row r="499">
      <c r="A499" s="99"/>
      <c r="C499" s="99"/>
      <c r="D499" s="102"/>
      <c r="E499" s="103"/>
      <c r="F499" s="104"/>
      <c r="G499" s="8"/>
      <c r="I499" s="61"/>
      <c r="J499" s="99"/>
      <c r="L499" s="99"/>
      <c r="N499" s="101"/>
      <c r="O499" s="61"/>
      <c r="P499" s="61"/>
    </row>
    <row r="500">
      <c r="A500" s="99"/>
      <c r="C500" s="99"/>
      <c r="D500" s="102"/>
      <c r="E500" s="103"/>
      <c r="F500" s="104"/>
      <c r="G500" s="8"/>
      <c r="I500" s="61"/>
      <c r="J500" s="99"/>
      <c r="L500" s="99"/>
      <c r="N500" s="101"/>
      <c r="O500" s="61"/>
      <c r="P500" s="61"/>
    </row>
    <row r="501">
      <c r="A501" s="99"/>
      <c r="C501" s="99"/>
      <c r="D501" s="102"/>
      <c r="E501" s="103"/>
      <c r="F501" s="104"/>
      <c r="G501" s="8"/>
      <c r="I501" s="61"/>
      <c r="J501" s="99"/>
      <c r="L501" s="99"/>
      <c r="N501" s="101"/>
      <c r="O501" s="61"/>
      <c r="P501" s="61"/>
    </row>
    <row r="502">
      <c r="A502" s="99"/>
      <c r="C502" s="99"/>
      <c r="D502" s="102"/>
      <c r="E502" s="103"/>
      <c r="F502" s="104"/>
      <c r="G502" s="8"/>
      <c r="I502" s="61"/>
      <c r="J502" s="99"/>
      <c r="L502" s="99"/>
      <c r="N502" s="101"/>
      <c r="O502" s="61"/>
      <c r="P502" s="61"/>
    </row>
    <row r="503">
      <c r="A503" s="99"/>
      <c r="C503" s="99"/>
      <c r="D503" s="102"/>
      <c r="E503" s="103"/>
      <c r="F503" s="104"/>
      <c r="G503" s="8"/>
      <c r="I503" s="61"/>
      <c r="J503" s="99"/>
      <c r="L503" s="99"/>
      <c r="N503" s="101"/>
      <c r="O503" s="61"/>
      <c r="P503" s="61"/>
    </row>
    <row r="504">
      <c r="A504" s="99"/>
      <c r="C504" s="99"/>
      <c r="D504" s="102"/>
      <c r="E504" s="103"/>
      <c r="F504" s="104"/>
      <c r="G504" s="8"/>
      <c r="I504" s="61"/>
      <c r="J504" s="99"/>
      <c r="L504" s="99"/>
      <c r="N504" s="101"/>
      <c r="O504" s="61"/>
      <c r="P504" s="61"/>
    </row>
    <row r="505">
      <c r="A505" s="99"/>
      <c r="C505" s="99"/>
      <c r="D505" s="102"/>
      <c r="E505" s="103"/>
      <c r="F505" s="104"/>
      <c r="G505" s="8"/>
      <c r="I505" s="61"/>
      <c r="J505" s="99"/>
      <c r="L505" s="99"/>
      <c r="N505" s="101"/>
      <c r="O505" s="61"/>
      <c r="P505" s="61"/>
    </row>
    <row r="506">
      <c r="A506" s="99"/>
      <c r="C506" s="99"/>
      <c r="D506" s="102"/>
      <c r="E506" s="103"/>
      <c r="F506" s="104"/>
      <c r="G506" s="8"/>
      <c r="I506" s="61"/>
      <c r="J506" s="99"/>
      <c r="L506" s="99"/>
      <c r="N506" s="101"/>
      <c r="O506" s="61"/>
      <c r="P506" s="61"/>
    </row>
    <row r="507">
      <c r="A507" s="99"/>
      <c r="C507" s="99"/>
      <c r="D507" s="102"/>
      <c r="E507" s="103"/>
      <c r="F507" s="104"/>
      <c r="G507" s="8"/>
      <c r="I507" s="61"/>
      <c r="J507" s="99"/>
      <c r="L507" s="99"/>
      <c r="N507" s="101"/>
      <c r="O507" s="61"/>
      <c r="P507" s="61"/>
    </row>
    <row r="508">
      <c r="A508" s="99"/>
      <c r="C508" s="99"/>
      <c r="D508" s="102"/>
      <c r="E508" s="103"/>
      <c r="F508" s="104"/>
      <c r="G508" s="8"/>
      <c r="I508" s="61"/>
      <c r="J508" s="99"/>
      <c r="L508" s="99"/>
      <c r="N508" s="101"/>
      <c r="O508" s="61"/>
      <c r="P508" s="61"/>
    </row>
    <row r="509">
      <c r="A509" s="99"/>
      <c r="C509" s="99"/>
      <c r="D509" s="102"/>
      <c r="E509" s="103"/>
      <c r="F509" s="104"/>
      <c r="G509" s="8"/>
      <c r="I509" s="61"/>
      <c r="J509" s="99"/>
      <c r="L509" s="99"/>
      <c r="N509" s="101"/>
      <c r="O509" s="61"/>
      <c r="P509" s="61"/>
    </row>
    <row r="510">
      <c r="A510" s="99"/>
      <c r="C510" s="99"/>
      <c r="D510" s="102"/>
      <c r="E510" s="103"/>
      <c r="F510" s="104"/>
      <c r="G510" s="8"/>
      <c r="I510" s="61"/>
      <c r="J510" s="99"/>
      <c r="L510" s="99"/>
      <c r="N510" s="101"/>
      <c r="O510" s="61"/>
      <c r="P510" s="61"/>
    </row>
    <row r="511">
      <c r="A511" s="99"/>
      <c r="C511" s="99"/>
      <c r="D511" s="102"/>
      <c r="E511" s="103"/>
      <c r="F511" s="104"/>
      <c r="G511" s="8"/>
      <c r="I511" s="61"/>
      <c r="J511" s="99"/>
      <c r="L511" s="99"/>
      <c r="N511" s="101"/>
      <c r="O511" s="61"/>
      <c r="P511" s="61"/>
    </row>
    <row r="512">
      <c r="A512" s="99"/>
      <c r="C512" s="99"/>
      <c r="D512" s="102"/>
      <c r="E512" s="103"/>
      <c r="F512" s="104"/>
      <c r="G512" s="8"/>
      <c r="I512" s="61"/>
      <c r="J512" s="99"/>
      <c r="L512" s="99"/>
      <c r="N512" s="101"/>
      <c r="O512" s="61"/>
      <c r="P512" s="61"/>
    </row>
    <row r="513">
      <c r="A513" s="99"/>
      <c r="C513" s="99"/>
      <c r="D513" s="102"/>
      <c r="E513" s="103"/>
      <c r="F513" s="104"/>
      <c r="G513" s="8"/>
      <c r="I513" s="61"/>
      <c r="J513" s="99"/>
      <c r="L513" s="99"/>
      <c r="N513" s="101"/>
      <c r="O513" s="61"/>
      <c r="P513" s="61"/>
    </row>
    <row r="514">
      <c r="A514" s="99"/>
      <c r="C514" s="99"/>
      <c r="D514" s="102"/>
      <c r="E514" s="103"/>
      <c r="F514" s="104"/>
      <c r="G514" s="8"/>
      <c r="I514" s="61"/>
      <c r="J514" s="99"/>
      <c r="L514" s="99"/>
      <c r="N514" s="101"/>
      <c r="O514" s="61"/>
      <c r="P514" s="61"/>
    </row>
    <row r="515">
      <c r="A515" s="99"/>
      <c r="C515" s="99"/>
      <c r="D515" s="102"/>
      <c r="E515" s="103"/>
      <c r="F515" s="104"/>
      <c r="G515" s="8"/>
      <c r="I515" s="61"/>
      <c r="J515" s="99"/>
      <c r="L515" s="99"/>
      <c r="N515" s="101"/>
      <c r="O515" s="61"/>
      <c r="P515" s="61"/>
    </row>
    <row r="516">
      <c r="A516" s="99"/>
      <c r="C516" s="99"/>
      <c r="D516" s="102"/>
      <c r="E516" s="103"/>
      <c r="F516" s="104"/>
      <c r="G516" s="8"/>
      <c r="I516" s="61"/>
      <c r="J516" s="99"/>
      <c r="L516" s="99"/>
      <c r="N516" s="101"/>
      <c r="O516" s="61"/>
      <c r="P516" s="61"/>
    </row>
    <row r="517">
      <c r="A517" s="99"/>
      <c r="C517" s="99"/>
      <c r="D517" s="102"/>
      <c r="E517" s="103"/>
      <c r="F517" s="104"/>
      <c r="G517" s="8"/>
      <c r="I517" s="61"/>
      <c r="J517" s="99"/>
      <c r="L517" s="99"/>
      <c r="N517" s="101"/>
      <c r="O517" s="61"/>
      <c r="P517" s="61"/>
    </row>
    <row r="518">
      <c r="A518" s="99"/>
      <c r="C518" s="99"/>
      <c r="D518" s="102"/>
      <c r="E518" s="103"/>
      <c r="F518" s="104"/>
      <c r="G518" s="8"/>
      <c r="I518" s="61"/>
      <c r="J518" s="99"/>
      <c r="L518" s="99"/>
      <c r="N518" s="101"/>
      <c r="O518" s="61"/>
      <c r="P518" s="61"/>
    </row>
    <row r="519">
      <c r="A519" s="99"/>
      <c r="C519" s="99"/>
      <c r="D519" s="102"/>
      <c r="E519" s="103"/>
      <c r="F519" s="104"/>
      <c r="G519" s="8"/>
      <c r="I519" s="61"/>
      <c r="J519" s="99"/>
      <c r="L519" s="99"/>
      <c r="N519" s="101"/>
      <c r="O519" s="61"/>
      <c r="P519" s="61"/>
    </row>
    <row r="520">
      <c r="A520" s="99"/>
      <c r="C520" s="99"/>
      <c r="D520" s="102"/>
      <c r="E520" s="103"/>
      <c r="F520" s="104"/>
      <c r="G520" s="8"/>
      <c r="I520" s="61"/>
      <c r="J520" s="99"/>
      <c r="L520" s="99"/>
      <c r="N520" s="101"/>
      <c r="O520" s="61"/>
      <c r="P520" s="61"/>
    </row>
    <row r="521">
      <c r="A521" s="99"/>
      <c r="C521" s="99"/>
      <c r="D521" s="102"/>
      <c r="E521" s="103"/>
      <c r="F521" s="104"/>
      <c r="G521" s="8"/>
      <c r="I521" s="61"/>
      <c r="J521" s="99"/>
      <c r="L521" s="99"/>
      <c r="N521" s="101"/>
      <c r="O521" s="61"/>
      <c r="P521" s="61"/>
    </row>
    <row r="522">
      <c r="A522" s="99"/>
      <c r="C522" s="99"/>
      <c r="D522" s="102"/>
      <c r="E522" s="103"/>
      <c r="F522" s="104"/>
      <c r="G522" s="8"/>
      <c r="I522" s="61"/>
      <c r="J522" s="99"/>
      <c r="L522" s="99"/>
      <c r="N522" s="101"/>
      <c r="O522" s="61"/>
      <c r="P522" s="61"/>
    </row>
    <row r="523">
      <c r="A523" s="99"/>
      <c r="C523" s="99"/>
      <c r="D523" s="102"/>
      <c r="E523" s="103"/>
      <c r="F523" s="104"/>
      <c r="G523" s="8"/>
      <c r="I523" s="61"/>
      <c r="J523" s="99"/>
      <c r="L523" s="99"/>
      <c r="N523" s="101"/>
      <c r="O523" s="61"/>
      <c r="P523" s="61"/>
    </row>
    <row r="524">
      <c r="A524" s="99"/>
      <c r="C524" s="99"/>
      <c r="D524" s="102"/>
      <c r="E524" s="103"/>
      <c r="F524" s="104"/>
      <c r="G524" s="8"/>
      <c r="I524" s="61"/>
      <c r="J524" s="99"/>
      <c r="L524" s="99"/>
      <c r="N524" s="101"/>
      <c r="O524" s="61"/>
      <c r="P524" s="61"/>
    </row>
    <row r="525">
      <c r="A525" s="99"/>
      <c r="C525" s="99"/>
      <c r="D525" s="102"/>
      <c r="E525" s="103"/>
      <c r="F525" s="104"/>
      <c r="G525" s="8"/>
      <c r="I525" s="61"/>
      <c r="J525" s="99"/>
      <c r="L525" s="99"/>
      <c r="N525" s="101"/>
      <c r="O525" s="61"/>
      <c r="P525" s="61"/>
    </row>
    <row r="526">
      <c r="A526" s="99"/>
      <c r="C526" s="99"/>
      <c r="D526" s="102"/>
      <c r="E526" s="103"/>
      <c r="F526" s="104"/>
      <c r="G526" s="8"/>
      <c r="I526" s="61"/>
      <c r="J526" s="99"/>
      <c r="L526" s="99"/>
      <c r="N526" s="101"/>
      <c r="O526" s="61"/>
      <c r="P526" s="61"/>
    </row>
    <row r="527">
      <c r="A527" s="99"/>
      <c r="C527" s="99"/>
      <c r="D527" s="102"/>
      <c r="E527" s="103"/>
      <c r="F527" s="104"/>
      <c r="G527" s="8"/>
      <c r="I527" s="61"/>
      <c r="J527" s="99"/>
      <c r="L527" s="99"/>
      <c r="N527" s="101"/>
      <c r="O527" s="61"/>
      <c r="P527" s="61"/>
    </row>
    <row r="528">
      <c r="A528" s="99"/>
      <c r="C528" s="99"/>
      <c r="D528" s="102"/>
      <c r="E528" s="103"/>
      <c r="F528" s="104"/>
      <c r="G528" s="8"/>
      <c r="I528" s="61"/>
      <c r="J528" s="99"/>
      <c r="L528" s="99"/>
      <c r="N528" s="101"/>
      <c r="O528" s="61"/>
      <c r="P528" s="61"/>
    </row>
    <row r="529">
      <c r="A529" s="99"/>
      <c r="C529" s="99"/>
      <c r="D529" s="102"/>
      <c r="E529" s="103"/>
      <c r="F529" s="104"/>
      <c r="G529" s="8"/>
      <c r="I529" s="61"/>
      <c r="J529" s="99"/>
      <c r="L529" s="99"/>
      <c r="N529" s="101"/>
      <c r="O529" s="61"/>
      <c r="P529" s="61"/>
    </row>
    <row r="530">
      <c r="A530" s="99"/>
      <c r="C530" s="99"/>
      <c r="D530" s="102"/>
      <c r="E530" s="103"/>
      <c r="F530" s="104"/>
      <c r="G530" s="8"/>
      <c r="I530" s="61"/>
      <c r="J530" s="99"/>
      <c r="L530" s="99"/>
      <c r="N530" s="101"/>
      <c r="O530" s="61"/>
      <c r="P530" s="61"/>
    </row>
    <row r="531">
      <c r="A531" s="99"/>
      <c r="C531" s="99"/>
      <c r="D531" s="102"/>
      <c r="E531" s="103"/>
      <c r="F531" s="104"/>
      <c r="G531" s="8"/>
      <c r="I531" s="61"/>
      <c r="J531" s="99"/>
      <c r="L531" s="99"/>
      <c r="N531" s="101"/>
      <c r="O531" s="61"/>
      <c r="P531" s="61"/>
    </row>
    <row r="532">
      <c r="A532" s="99"/>
      <c r="C532" s="99"/>
      <c r="D532" s="102"/>
      <c r="E532" s="103"/>
      <c r="F532" s="104"/>
      <c r="G532" s="8"/>
      <c r="I532" s="61"/>
      <c r="J532" s="99"/>
      <c r="L532" s="99"/>
      <c r="N532" s="101"/>
      <c r="O532" s="61"/>
      <c r="P532" s="61"/>
    </row>
    <row r="533">
      <c r="A533" s="99"/>
      <c r="C533" s="99"/>
      <c r="D533" s="102"/>
      <c r="E533" s="103"/>
      <c r="F533" s="104"/>
      <c r="G533" s="8"/>
      <c r="I533" s="61"/>
      <c r="J533" s="99"/>
      <c r="L533" s="99"/>
      <c r="N533" s="101"/>
      <c r="O533" s="61"/>
      <c r="P533" s="61"/>
    </row>
    <row r="534">
      <c r="A534" s="99"/>
      <c r="C534" s="99"/>
      <c r="D534" s="102"/>
      <c r="E534" s="103"/>
      <c r="F534" s="104"/>
      <c r="G534" s="8"/>
      <c r="I534" s="61"/>
      <c r="J534" s="99"/>
      <c r="L534" s="99"/>
      <c r="N534" s="101"/>
      <c r="O534" s="61"/>
      <c r="P534" s="61"/>
    </row>
    <row r="535">
      <c r="A535" s="99"/>
      <c r="C535" s="99"/>
      <c r="D535" s="102"/>
      <c r="E535" s="103"/>
      <c r="F535" s="104"/>
      <c r="G535" s="8"/>
      <c r="I535" s="61"/>
      <c r="J535" s="99"/>
      <c r="L535" s="99"/>
      <c r="N535" s="101"/>
      <c r="O535" s="61"/>
      <c r="P535" s="61"/>
    </row>
    <row r="536">
      <c r="A536" s="99"/>
      <c r="C536" s="99"/>
      <c r="D536" s="102"/>
      <c r="E536" s="103"/>
      <c r="F536" s="104"/>
      <c r="G536" s="8"/>
      <c r="I536" s="61"/>
      <c r="J536" s="99"/>
      <c r="L536" s="99"/>
      <c r="N536" s="101"/>
      <c r="O536" s="61"/>
      <c r="P536" s="61"/>
    </row>
    <row r="537">
      <c r="A537" s="99"/>
      <c r="C537" s="99"/>
      <c r="D537" s="102"/>
      <c r="E537" s="103"/>
      <c r="F537" s="104"/>
      <c r="G537" s="8"/>
      <c r="I537" s="61"/>
      <c r="J537" s="99"/>
      <c r="L537" s="99"/>
      <c r="N537" s="101"/>
      <c r="O537" s="61"/>
      <c r="P537" s="61"/>
    </row>
    <row r="538">
      <c r="A538" s="99"/>
      <c r="C538" s="99"/>
      <c r="D538" s="102"/>
      <c r="E538" s="103"/>
      <c r="F538" s="104"/>
      <c r="G538" s="8"/>
      <c r="I538" s="61"/>
      <c r="J538" s="99"/>
      <c r="L538" s="99"/>
      <c r="N538" s="101"/>
      <c r="O538" s="61"/>
      <c r="P538" s="61"/>
    </row>
    <row r="539">
      <c r="A539" s="99"/>
      <c r="C539" s="99"/>
      <c r="D539" s="102"/>
      <c r="E539" s="103"/>
      <c r="F539" s="104"/>
      <c r="G539" s="8"/>
      <c r="I539" s="61"/>
      <c r="J539" s="99"/>
      <c r="L539" s="99"/>
      <c r="N539" s="101"/>
      <c r="O539" s="61"/>
      <c r="P539" s="61"/>
    </row>
    <row r="540">
      <c r="A540" s="99"/>
      <c r="C540" s="99"/>
      <c r="D540" s="102"/>
      <c r="E540" s="103"/>
      <c r="F540" s="104"/>
      <c r="G540" s="8"/>
      <c r="I540" s="61"/>
      <c r="J540" s="99"/>
      <c r="L540" s="99"/>
      <c r="N540" s="101"/>
      <c r="O540" s="61"/>
      <c r="P540" s="61"/>
    </row>
    <row r="541">
      <c r="A541" s="99"/>
      <c r="C541" s="99"/>
      <c r="D541" s="102"/>
      <c r="E541" s="103"/>
      <c r="F541" s="104"/>
      <c r="G541" s="8"/>
      <c r="I541" s="61"/>
      <c r="J541" s="99"/>
      <c r="L541" s="99"/>
      <c r="N541" s="101"/>
      <c r="O541" s="61"/>
      <c r="P541" s="61"/>
    </row>
    <row r="542">
      <c r="A542" s="99"/>
      <c r="C542" s="99"/>
      <c r="D542" s="102"/>
      <c r="E542" s="103"/>
      <c r="F542" s="104"/>
      <c r="G542" s="8"/>
      <c r="I542" s="61"/>
      <c r="J542" s="99"/>
      <c r="L542" s="99"/>
      <c r="N542" s="101"/>
      <c r="O542" s="61"/>
      <c r="P542" s="61"/>
    </row>
    <row r="543">
      <c r="A543" s="99"/>
      <c r="C543" s="99"/>
      <c r="D543" s="102"/>
      <c r="E543" s="103"/>
      <c r="F543" s="104"/>
      <c r="G543" s="8"/>
      <c r="I543" s="61"/>
      <c r="J543" s="99"/>
      <c r="L543" s="99"/>
      <c r="N543" s="101"/>
      <c r="O543" s="61"/>
      <c r="P543" s="61"/>
    </row>
    <row r="544">
      <c r="A544" s="99"/>
      <c r="C544" s="99"/>
      <c r="D544" s="102"/>
      <c r="E544" s="103"/>
      <c r="F544" s="104"/>
      <c r="G544" s="8"/>
      <c r="I544" s="61"/>
      <c r="J544" s="99"/>
      <c r="L544" s="99"/>
      <c r="N544" s="101"/>
      <c r="O544" s="61"/>
      <c r="P544" s="61"/>
    </row>
    <row r="545">
      <c r="A545" s="99"/>
      <c r="C545" s="99"/>
      <c r="D545" s="102"/>
      <c r="E545" s="103"/>
      <c r="F545" s="104"/>
      <c r="G545" s="8"/>
      <c r="I545" s="61"/>
      <c r="J545" s="99"/>
      <c r="L545" s="99"/>
      <c r="N545" s="101"/>
      <c r="O545" s="61"/>
      <c r="P545" s="61"/>
    </row>
    <row r="546">
      <c r="A546" s="99"/>
      <c r="C546" s="99"/>
      <c r="D546" s="102"/>
      <c r="E546" s="103"/>
      <c r="F546" s="104"/>
      <c r="G546" s="8"/>
      <c r="I546" s="61"/>
      <c r="J546" s="99"/>
      <c r="L546" s="99"/>
      <c r="N546" s="101"/>
      <c r="O546" s="61"/>
      <c r="P546" s="61"/>
    </row>
    <row r="547">
      <c r="A547" s="99"/>
      <c r="C547" s="99"/>
      <c r="D547" s="102"/>
      <c r="E547" s="103"/>
      <c r="F547" s="104"/>
      <c r="G547" s="8"/>
      <c r="I547" s="61"/>
      <c r="J547" s="99"/>
      <c r="L547" s="99"/>
      <c r="N547" s="101"/>
      <c r="O547" s="61"/>
      <c r="P547" s="61"/>
    </row>
    <row r="548">
      <c r="A548" s="99"/>
      <c r="C548" s="99"/>
      <c r="D548" s="102"/>
      <c r="E548" s="103"/>
      <c r="F548" s="104"/>
      <c r="G548" s="8"/>
      <c r="I548" s="61"/>
      <c r="J548" s="99"/>
      <c r="L548" s="99"/>
      <c r="N548" s="101"/>
      <c r="O548" s="61"/>
      <c r="P548" s="61"/>
    </row>
    <row r="549">
      <c r="A549" s="99"/>
      <c r="C549" s="99"/>
      <c r="D549" s="102"/>
      <c r="E549" s="103"/>
      <c r="F549" s="104"/>
      <c r="G549" s="8"/>
      <c r="I549" s="61"/>
      <c r="J549" s="99"/>
      <c r="L549" s="99"/>
      <c r="N549" s="101"/>
      <c r="O549" s="61"/>
      <c r="P549" s="61"/>
    </row>
    <row r="550">
      <c r="A550" s="99"/>
      <c r="C550" s="99"/>
      <c r="D550" s="102"/>
      <c r="E550" s="103"/>
      <c r="F550" s="104"/>
      <c r="G550" s="8"/>
      <c r="I550" s="61"/>
      <c r="J550" s="99"/>
      <c r="L550" s="99"/>
      <c r="N550" s="101"/>
      <c r="O550" s="61"/>
      <c r="P550" s="61"/>
    </row>
    <row r="551">
      <c r="A551" s="99"/>
      <c r="C551" s="99"/>
      <c r="D551" s="102"/>
      <c r="E551" s="103"/>
      <c r="F551" s="104"/>
      <c r="G551" s="8"/>
      <c r="I551" s="61"/>
      <c r="J551" s="99"/>
      <c r="L551" s="99"/>
      <c r="N551" s="101"/>
      <c r="O551" s="61"/>
      <c r="P551" s="61"/>
    </row>
    <row r="552">
      <c r="A552" s="99"/>
      <c r="C552" s="99"/>
      <c r="D552" s="102"/>
      <c r="E552" s="103"/>
      <c r="F552" s="104"/>
      <c r="G552" s="8"/>
      <c r="I552" s="61"/>
      <c r="J552" s="99"/>
      <c r="L552" s="99"/>
      <c r="N552" s="101"/>
      <c r="O552" s="61"/>
      <c r="P552" s="61"/>
    </row>
    <row r="553">
      <c r="A553" s="99"/>
      <c r="C553" s="99"/>
      <c r="D553" s="102"/>
      <c r="E553" s="103"/>
      <c r="F553" s="104"/>
      <c r="G553" s="8"/>
      <c r="I553" s="61"/>
      <c r="J553" s="99"/>
      <c r="L553" s="99"/>
      <c r="N553" s="101"/>
      <c r="O553" s="61"/>
      <c r="P553" s="61"/>
    </row>
    <row r="554">
      <c r="A554" s="99"/>
      <c r="C554" s="99"/>
      <c r="D554" s="102"/>
      <c r="E554" s="103"/>
      <c r="F554" s="104"/>
      <c r="G554" s="8"/>
      <c r="I554" s="61"/>
      <c r="J554" s="99"/>
      <c r="L554" s="99"/>
      <c r="N554" s="101"/>
      <c r="O554" s="61"/>
      <c r="P554" s="61"/>
    </row>
    <row r="555">
      <c r="A555" s="99"/>
      <c r="C555" s="99"/>
      <c r="D555" s="102"/>
      <c r="E555" s="103"/>
      <c r="F555" s="104"/>
      <c r="G555" s="8"/>
      <c r="I555" s="61"/>
      <c r="J555" s="99"/>
      <c r="L555" s="99"/>
      <c r="N555" s="101"/>
      <c r="O555" s="61"/>
      <c r="P555" s="61"/>
    </row>
    <row r="556">
      <c r="A556" s="99"/>
      <c r="C556" s="99"/>
      <c r="D556" s="102"/>
      <c r="E556" s="103"/>
      <c r="F556" s="104"/>
      <c r="G556" s="8"/>
      <c r="I556" s="61"/>
      <c r="J556" s="99"/>
      <c r="L556" s="99"/>
      <c r="N556" s="101"/>
      <c r="O556" s="61"/>
      <c r="P556" s="61"/>
    </row>
    <row r="557">
      <c r="A557" s="99"/>
      <c r="C557" s="99"/>
      <c r="D557" s="102"/>
      <c r="E557" s="103"/>
      <c r="F557" s="104"/>
      <c r="G557" s="8"/>
      <c r="I557" s="61"/>
      <c r="J557" s="99"/>
      <c r="L557" s="99"/>
      <c r="N557" s="101"/>
      <c r="O557" s="61"/>
      <c r="P557" s="61"/>
    </row>
    <row r="558">
      <c r="A558" s="99"/>
      <c r="C558" s="99"/>
      <c r="D558" s="102"/>
      <c r="E558" s="103"/>
      <c r="F558" s="104"/>
      <c r="G558" s="8"/>
      <c r="I558" s="61"/>
      <c r="J558" s="99"/>
      <c r="L558" s="99"/>
      <c r="N558" s="101"/>
      <c r="O558" s="61"/>
      <c r="P558" s="61"/>
    </row>
    <row r="559">
      <c r="A559" s="99"/>
      <c r="C559" s="99"/>
      <c r="D559" s="102"/>
      <c r="E559" s="103"/>
      <c r="F559" s="104"/>
      <c r="G559" s="8"/>
      <c r="I559" s="61"/>
      <c r="J559" s="99"/>
      <c r="L559" s="99"/>
      <c r="N559" s="101"/>
      <c r="O559" s="61"/>
      <c r="P559" s="61"/>
    </row>
    <row r="560">
      <c r="A560" s="99"/>
      <c r="C560" s="99"/>
      <c r="D560" s="102"/>
      <c r="E560" s="103"/>
      <c r="F560" s="104"/>
      <c r="G560" s="8"/>
      <c r="I560" s="61"/>
      <c r="J560" s="99"/>
      <c r="L560" s="99"/>
      <c r="N560" s="101"/>
      <c r="O560" s="61"/>
      <c r="P560" s="61"/>
    </row>
    <row r="561">
      <c r="A561" s="99"/>
      <c r="C561" s="99"/>
      <c r="D561" s="102"/>
      <c r="E561" s="103"/>
      <c r="F561" s="104"/>
      <c r="G561" s="8"/>
      <c r="I561" s="61"/>
      <c r="J561" s="99"/>
      <c r="L561" s="99"/>
      <c r="N561" s="101"/>
      <c r="O561" s="61"/>
      <c r="P561" s="61"/>
    </row>
    <row r="562">
      <c r="A562" s="99"/>
      <c r="C562" s="99"/>
      <c r="D562" s="102"/>
      <c r="E562" s="103"/>
      <c r="F562" s="104"/>
      <c r="G562" s="8"/>
      <c r="I562" s="61"/>
      <c r="J562" s="99"/>
      <c r="L562" s="99"/>
      <c r="N562" s="101"/>
      <c r="O562" s="61"/>
      <c r="P562" s="61"/>
    </row>
    <row r="563">
      <c r="A563" s="99"/>
      <c r="C563" s="99"/>
      <c r="D563" s="102"/>
      <c r="E563" s="103"/>
      <c r="F563" s="104"/>
      <c r="G563" s="8"/>
      <c r="I563" s="61"/>
      <c r="J563" s="99"/>
      <c r="L563" s="99"/>
      <c r="N563" s="101"/>
      <c r="O563" s="61"/>
      <c r="P563" s="61"/>
    </row>
    <row r="564">
      <c r="A564" s="99"/>
      <c r="C564" s="99"/>
      <c r="D564" s="102"/>
      <c r="E564" s="103"/>
      <c r="F564" s="104"/>
      <c r="G564" s="8"/>
      <c r="I564" s="61"/>
      <c r="J564" s="99"/>
      <c r="L564" s="99"/>
      <c r="N564" s="101"/>
      <c r="O564" s="61"/>
      <c r="P564" s="61"/>
    </row>
    <row r="565">
      <c r="A565" s="99"/>
      <c r="C565" s="99"/>
      <c r="D565" s="102"/>
      <c r="E565" s="103"/>
      <c r="F565" s="104"/>
      <c r="G565" s="8"/>
      <c r="I565" s="61"/>
      <c r="J565" s="99"/>
      <c r="L565" s="99"/>
      <c r="N565" s="101"/>
      <c r="O565" s="61"/>
      <c r="P565" s="61"/>
    </row>
    <row r="566">
      <c r="A566" s="99"/>
      <c r="C566" s="99"/>
      <c r="D566" s="102"/>
      <c r="E566" s="103"/>
      <c r="F566" s="104"/>
      <c r="G566" s="8"/>
      <c r="I566" s="61"/>
      <c r="J566" s="99"/>
      <c r="L566" s="99"/>
      <c r="N566" s="101"/>
      <c r="O566" s="61"/>
      <c r="P566" s="61"/>
    </row>
    <row r="567">
      <c r="A567" s="99"/>
      <c r="C567" s="99"/>
      <c r="D567" s="102"/>
      <c r="E567" s="103"/>
      <c r="F567" s="104"/>
      <c r="G567" s="8"/>
      <c r="I567" s="61"/>
      <c r="J567" s="99"/>
      <c r="L567" s="99"/>
      <c r="N567" s="101"/>
      <c r="O567" s="61"/>
      <c r="P567" s="61"/>
    </row>
    <row r="568">
      <c r="A568" s="99"/>
      <c r="C568" s="99"/>
      <c r="D568" s="102"/>
      <c r="E568" s="103"/>
      <c r="F568" s="104"/>
      <c r="G568" s="8"/>
      <c r="I568" s="61"/>
      <c r="J568" s="99"/>
      <c r="L568" s="99"/>
      <c r="N568" s="101"/>
      <c r="O568" s="61"/>
      <c r="P568" s="61"/>
    </row>
    <row r="569">
      <c r="A569" s="99"/>
      <c r="C569" s="99"/>
      <c r="D569" s="102"/>
      <c r="E569" s="103"/>
      <c r="F569" s="104"/>
      <c r="G569" s="8"/>
      <c r="I569" s="61"/>
      <c r="J569" s="99"/>
      <c r="L569" s="99"/>
      <c r="N569" s="101"/>
      <c r="O569" s="61"/>
      <c r="P569" s="61"/>
    </row>
    <row r="570">
      <c r="A570" s="99"/>
      <c r="C570" s="99"/>
      <c r="D570" s="102"/>
      <c r="E570" s="103"/>
      <c r="F570" s="104"/>
      <c r="G570" s="8"/>
      <c r="I570" s="61"/>
      <c r="J570" s="99"/>
      <c r="L570" s="99"/>
      <c r="N570" s="101"/>
      <c r="O570" s="61"/>
      <c r="P570" s="61"/>
    </row>
    <row r="571">
      <c r="A571" s="99"/>
      <c r="C571" s="99"/>
      <c r="D571" s="102"/>
      <c r="E571" s="103"/>
      <c r="F571" s="104"/>
      <c r="G571" s="8"/>
      <c r="I571" s="61"/>
      <c r="J571" s="99"/>
      <c r="L571" s="99"/>
      <c r="N571" s="101"/>
      <c r="O571" s="61"/>
      <c r="P571" s="61"/>
    </row>
    <row r="572">
      <c r="A572" s="99"/>
      <c r="C572" s="99"/>
      <c r="D572" s="102"/>
      <c r="E572" s="103"/>
      <c r="F572" s="104"/>
      <c r="G572" s="8"/>
      <c r="I572" s="61"/>
      <c r="J572" s="99"/>
      <c r="L572" s="99"/>
      <c r="N572" s="101"/>
      <c r="O572" s="61"/>
      <c r="P572" s="61"/>
    </row>
    <row r="573">
      <c r="A573" s="99"/>
      <c r="C573" s="99"/>
      <c r="D573" s="102"/>
      <c r="E573" s="103"/>
      <c r="F573" s="104"/>
      <c r="G573" s="8"/>
      <c r="I573" s="61"/>
      <c r="J573" s="99"/>
      <c r="L573" s="99"/>
      <c r="N573" s="101"/>
      <c r="O573" s="61"/>
      <c r="P573" s="61"/>
    </row>
    <row r="574">
      <c r="A574" s="99"/>
      <c r="C574" s="99"/>
      <c r="D574" s="102"/>
      <c r="E574" s="103"/>
      <c r="F574" s="104"/>
      <c r="G574" s="8"/>
      <c r="I574" s="61"/>
      <c r="J574" s="99"/>
      <c r="L574" s="99"/>
      <c r="N574" s="101"/>
      <c r="O574" s="61"/>
      <c r="P574" s="61"/>
    </row>
    <row r="575">
      <c r="A575" s="99"/>
      <c r="C575" s="99"/>
      <c r="D575" s="102"/>
      <c r="E575" s="103"/>
      <c r="F575" s="104"/>
      <c r="G575" s="8"/>
      <c r="I575" s="61"/>
      <c r="J575" s="99"/>
      <c r="L575" s="99"/>
      <c r="N575" s="101"/>
      <c r="O575" s="61"/>
      <c r="P575" s="61"/>
    </row>
    <row r="576">
      <c r="A576" s="99"/>
      <c r="C576" s="99"/>
      <c r="D576" s="102"/>
      <c r="E576" s="103"/>
      <c r="F576" s="104"/>
      <c r="G576" s="8"/>
      <c r="I576" s="61"/>
      <c r="J576" s="99"/>
      <c r="L576" s="99"/>
      <c r="N576" s="101"/>
      <c r="O576" s="61"/>
      <c r="P576" s="61"/>
    </row>
    <row r="577">
      <c r="A577" s="99"/>
      <c r="C577" s="99"/>
      <c r="D577" s="102"/>
      <c r="E577" s="103"/>
      <c r="F577" s="104"/>
      <c r="G577" s="8"/>
      <c r="I577" s="61"/>
      <c r="J577" s="99"/>
      <c r="L577" s="99"/>
      <c r="N577" s="101"/>
      <c r="O577" s="61"/>
      <c r="P577" s="61"/>
    </row>
    <row r="578">
      <c r="A578" s="99"/>
      <c r="C578" s="99"/>
      <c r="D578" s="102"/>
      <c r="E578" s="103"/>
      <c r="F578" s="104"/>
      <c r="G578" s="8"/>
      <c r="I578" s="61"/>
      <c r="J578" s="99"/>
      <c r="L578" s="99"/>
      <c r="N578" s="101"/>
      <c r="O578" s="61"/>
      <c r="P578" s="61"/>
    </row>
    <row r="579">
      <c r="A579" s="99"/>
      <c r="C579" s="99"/>
      <c r="D579" s="102"/>
      <c r="E579" s="103"/>
      <c r="F579" s="104"/>
      <c r="G579" s="8"/>
      <c r="I579" s="61"/>
      <c r="J579" s="99"/>
      <c r="L579" s="99"/>
      <c r="N579" s="101"/>
      <c r="O579" s="61"/>
      <c r="P579" s="61"/>
    </row>
    <row r="580">
      <c r="A580" s="99"/>
      <c r="C580" s="99"/>
      <c r="D580" s="102"/>
      <c r="E580" s="103"/>
      <c r="F580" s="104"/>
      <c r="G580" s="8"/>
      <c r="I580" s="61"/>
      <c r="J580" s="99"/>
      <c r="L580" s="99"/>
      <c r="N580" s="101"/>
      <c r="O580" s="61"/>
      <c r="P580" s="61"/>
    </row>
    <row r="581">
      <c r="A581" s="99"/>
      <c r="C581" s="99"/>
      <c r="D581" s="102"/>
      <c r="E581" s="103"/>
      <c r="F581" s="104"/>
      <c r="G581" s="8"/>
      <c r="I581" s="61"/>
      <c r="J581" s="99"/>
      <c r="L581" s="99"/>
      <c r="N581" s="101"/>
      <c r="O581" s="61"/>
      <c r="P581" s="61"/>
    </row>
    <row r="582">
      <c r="A582" s="99"/>
      <c r="C582" s="99"/>
      <c r="D582" s="102"/>
      <c r="E582" s="103"/>
      <c r="F582" s="104"/>
      <c r="G582" s="8"/>
      <c r="I582" s="61"/>
      <c r="J582" s="99"/>
      <c r="L582" s="99"/>
      <c r="N582" s="101"/>
      <c r="O582" s="61"/>
      <c r="P582" s="61"/>
    </row>
    <row r="583">
      <c r="A583" s="99"/>
      <c r="C583" s="99"/>
      <c r="D583" s="102"/>
      <c r="E583" s="103"/>
      <c r="F583" s="104"/>
      <c r="G583" s="8"/>
      <c r="I583" s="61"/>
      <c r="J583" s="99"/>
      <c r="L583" s="99"/>
      <c r="N583" s="101"/>
      <c r="O583" s="61"/>
      <c r="P583" s="61"/>
    </row>
    <row r="584">
      <c r="A584" s="99"/>
      <c r="C584" s="99"/>
      <c r="D584" s="102"/>
      <c r="E584" s="103"/>
      <c r="F584" s="104"/>
      <c r="G584" s="8"/>
      <c r="I584" s="61"/>
      <c r="J584" s="99"/>
      <c r="L584" s="99"/>
      <c r="N584" s="101"/>
      <c r="O584" s="61"/>
      <c r="P584" s="61"/>
    </row>
    <row r="585">
      <c r="A585" s="99"/>
      <c r="C585" s="99"/>
      <c r="D585" s="102"/>
      <c r="E585" s="103"/>
      <c r="F585" s="104"/>
      <c r="G585" s="8"/>
      <c r="I585" s="61"/>
      <c r="J585" s="99"/>
      <c r="L585" s="99"/>
      <c r="N585" s="101"/>
      <c r="O585" s="61"/>
      <c r="P585" s="61"/>
    </row>
    <row r="586">
      <c r="A586" s="99"/>
      <c r="C586" s="99"/>
      <c r="D586" s="102"/>
      <c r="E586" s="103"/>
      <c r="F586" s="104"/>
      <c r="G586" s="8"/>
      <c r="I586" s="61"/>
      <c r="J586" s="99"/>
      <c r="L586" s="99"/>
      <c r="N586" s="101"/>
      <c r="O586" s="61"/>
      <c r="P586" s="61"/>
    </row>
    <row r="587">
      <c r="A587" s="99"/>
      <c r="C587" s="99"/>
      <c r="D587" s="102"/>
      <c r="E587" s="103"/>
      <c r="F587" s="104"/>
      <c r="G587" s="8"/>
      <c r="I587" s="61"/>
      <c r="J587" s="99"/>
      <c r="L587" s="99"/>
      <c r="N587" s="101"/>
      <c r="O587" s="61"/>
      <c r="P587" s="61"/>
    </row>
    <row r="588">
      <c r="A588" s="99"/>
      <c r="C588" s="99"/>
      <c r="D588" s="102"/>
      <c r="E588" s="103"/>
      <c r="F588" s="104"/>
      <c r="G588" s="8"/>
      <c r="I588" s="61"/>
      <c r="J588" s="99"/>
      <c r="L588" s="99"/>
      <c r="N588" s="101"/>
      <c r="O588" s="61"/>
      <c r="P588" s="61"/>
    </row>
    <row r="589">
      <c r="A589" s="99"/>
      <c r="C589" s="99"/>
      <c r="D589" s="102"/>
      <c r="E589" s="103"/>
      <c r="F589" s="104"/>
      <c r="G589" s="8"/>
      <c r="I589" s="61"/>
      <c r="J589" s="99"/>
      <c r="L589" s="99"/>
      <c r="N589" s="101"/>
      <c r="O589" s="61"/>
      <c r="P589" s="61"/>
    </row>
    <row r="590">
      <c r="A590" s="99"/>
      <c r="C590" s="99"/>
      <c r="D590" s="102"/>
      <c r="E590" s="103"/>
      <c r="F590" s="104"/>
      <c r="G590" s="8"/>
      <c r="I590" s="61"/>
      <c r="J590" s="99"/>
      <c r="L590" s="99"/>
      <c r="N590" s="101"/>
      <c r="O590" s="61"/>
      <c r="P590" s="61"/>
    </row>
    <row r="591">
      <c r="A591" s="99"/>
      <c r="C591" s="99"/>
      <c r="D591" s="102"/>
      <c r="E591" s="103"/>
      <c r="F591" s="104"/>
      <c r="G591" s="8"/>
      <c r="I591" s="61"/>
      <c r="J591" s="99"/>
      <c r="L591" s="99"/>
      <c r="N591" s="101"/>
      <c r="O591" s="61"/>
      <c r="P591" s="61"/>
    </row>
    <row r="592">
      <c r="A592" s="99"/>
      <c r="C592" s="99"/>
      <c r="D592" s="102"/>
      <c r="E592" s="103"/>
      <c r="F592" s="104"/>
      <c r="G592" s="8"/>
      <c r="I592" s="61"/>
      <c r="J592" s="99"/>
      <c r="L592" s="99"/>
      <c r="N592" s="101"/>
      <c r="O592" s="61"/>
      <c r="P592" s="61"/>
    </row>
    <row r="593">
      <c r="A593" s="99"/>
      <c r="C593" s="99"/>
      <c r="D593" s="102"/>
      <c r="E593" s="103"/>
      <c r="F593" s="104"/>
      <c r="G593" s="8"/>
      <c r="I593" s="61"/>
      <c r="J593" s="99"/>
      <c r="L593" s="99"/>
      <c r="N593" s="101"/>
      <c r="O593" s="61"/>
      <c r="P593" s="61"/>
    </row>
    <row r="594">
      <c r="A594" s="99"/>
      <c r="C594" s="99"/>
      <c r="D594" s="102"/>
      <c r="E594" s="103"/>
      <c r="F594" s="104"/>
      <c r="G594" s="8"/>
      <c r="I594" s="61"/>
      <c r="J594" s="99"/>
      <c r="L594" s="99"/>
      <c r="N594" s="101"/>
      <c r="O594" s="61"/>
      <c r="P594" s="61"/>
    </row>
    <row r="595">
      <c r="A595" s="99"/>
      <c r="C595" s="99"/>
      <c r="D595" s="102"/>
      <c r="E595" s="103"/>
      <c r="F595" s="104"/>
      <c r="G595" s="8"/>
      <c r="I595" s="61"/>
      <c r="J595" s="99"/>
      <c r="L595" s="99"/>
      <c r="N595" s="101"/>
      <c r="O595" s="61"/>
      <c r="P595" s="61"/>
    </row>
    <row r="596">
      <c r="A596" s="99"/>
      <c r="C596" s="99"/>
      <c r="D596" s="102"/>
      <c r="E596" s="103"/>
      <c r="F596" s="104"/>
      <c r="G596" s="8"/>
      <c r="I596" s="61"/>
      <c r="J596" s="99"/>
      <c r="L596" s="99"/>
      <c r="N596" s="101"/>
      <c r="O596" s="61"/>
      <c r="P596" s="61"/>
    </row>
    <row r="597">
      <c r="A597" s="99"/>
      <c r="C597" s="99"/>
      <c r="D597" s="102"/>
      <c r="E597" s="103"/>
      <c r="F597" s="104"/>
      <c r="G597" s="8"/>
      <c r="I597" s="61"/>
      <c r="J597" s="99"/>
      <c r="L597" s="99"/>
      <c r="N597" s="101"/>
      <c r="O597" s="61"/>
      <c r="P597" s="61"/>
    </row>
    <row r="598">
      <c r="A598" s="99"/>
      <c r="C598" s="99"/>
      <c r="D598" s="102"/>
      <c r="E598" s="103"/>
      <c r="F598" s="104"/>
      <c r="G598" s="8"/>
      <c r="I598" s="61"/>
      <c r="J598" s="99"/>
      <c r="L598" s="99"/>
      <c r="N598" s="101"/>
      <c r="O598" s="61"/>
      <c r="P598" s="61"/>
    </row>
    <row r="599">
      <c r="A599" s="99"/>
      <c r="C599" s="99"/>
      <c r="D599" s="102"/>
      <c r="E599" s="103"/>
      <c r="F599" s="104"/>
      <c r="G599" s="8"/>
      <c r="I599" s="61"/>
      <c r="J599" s="99"/>
      <c r="L599" s="99"/>
      <c r="N599" s="101"/>
      <c r="O599" s="61"/>
      <c r="P599" s="61"/>
    </row>
    <row r="600">
      <c r="A600" s="99"/>
      <c r="C600" s="99"/>
      <c r="D600" s="102"/>
      <c r="E600" s="103"/>
      <c r="F600" s="104"/>
      <c r="G600" s="8"/>
      <c r="I600" s="61"/>
      <c r="J600" s="99"/>
      <c r="L600" s="99"/>
      <c r="N600" s="101"/>
      <c r="O600" s="61"/>
      <c r="P600" s="61"/>
    </row>
    <row r="601">
      <c r="A601" s="99"/>
      <c r="C601" s="99"/>
      <c r="D601" s="102"/>
      <c r="E601" s="103"/>
      <c r="F601" s="104"/>
      <c r="G601" s="8"/>
      <c r="I601" s="61"/>
      <c r="J601" s="99"/>
      <c r="L601" s="99"/>
      <c r="N601" s="101"/>
      <c r="O601" s="61"/>
      <c r="P601" s="61"/>
    </row>
    <row r="602">
      <c r="A602" s="99"/>
      <c r="C602" s="99"/>
      <c r="D602" s="102"/>
      <c r="E602" s="103"/>
      <c r="F602" s="104"/>
      <c r="G602" s="8"/>
      <c r="I602" s="61"/>
      <c r="J602" s="99"/>
      <c r="L602" s="99"/>
      <c r="N602" s="101"/>
      <c r="O602" s="61"/>
      <c r="P602" s="61"/>
    </row>
    <row r="603">
      <c r="A603" s="99"/>
      <c r="C603" s="99"/>
      <c r="D603" s="102"/>
      <c r="E603" s="103"/>
      <c r="F603" s="104"/>
      <c r="G603" s="8"/>
      <c r="I603" s="61"/>
      <c r="J603" s="99"/>
      <c r="L603" s="99"/>
      <c r="N603" s="101"/>
      <c r="O603" s="61"/>
      <c r="P603" s="61"/>
    </row>
    <row r="604">
      <c r="A604" s="99"/>
      <c r="C604" s="99"/>
      <c r="D604" s="102"/>
      <c r="E604" s="103"/>
      <c r="F604" s="104"/>
      <c r="G604" s="8"/>
      <c r="I604" s="61"/>
      <c r="J604" s="99"/>
      <c r="L604" s="99"/>
      <c r="N604" s="101"/>
      <c r="O604" s="61"/>
      <c r="P604" s="61"/>
    </row>
    <row r="605">
      <c r="A605" s="99"/>
      <c r="C605" s="99"/>
      <c r="D605" s="102"/>
      <c r="E605" s="103"/>
      <c r="F605" s="104"/>
      <c r="G605" s="8"/>
      <c r="I605" s="61"/>
      <c r="J605" s="99"/>
      <c r="L605" s="99"/>
      <c r="N605" s="101"/>
      <c r="O605" s="61"/>
      <c r="P605" s="61"/>
    </row>
    <row r="606">
      <c r="A606" s="99"/>
      <c r="C606" s="99"/>
      <c r="D606" s="102"/>
      <c r="E606" s="103"/>
      <c r="F606" s="104"/>
      <c r="G606" s="8"/>
      <c r="I606" s="61"/>
      <c r="J606" s="99"/>
      <c r="L606" s="99"/>
      <c r="N606" s="101"/>
      <c r="O606" s="61"/>
      <c r="P606" s="61"/>
    </row>
    <row r="607">
      <c r="A607" s="99"/>
      <c r="C607" s="99"/>
      <c r="D607" s="102"/>
      <c r="E607" s="103"/>
      <c r="F607" s="104"/>
      <c r="G607" s="8"/>
      <c r="I607" s="61"/>
      <c r="J607" s="99"/>
      <c r="L607" s="99"/>
      <c r="N607" s="101"/>
      <c r="O607" s="61"/>
      <c r="P607" s="61"/>
    </row>
    <row r="608">
      <c r="A608" s="99"/>
      <c r="C608" s="99"/>
      <c r="D608" s="102"/>
      <c r="E608" s="103"/>
      <c r="F608" s="104"/>
      <c r="G608" s="8"/>
      <c r="I608" s="61"/>
      <c r="J608" s="99"/>
      <c r="L608" s="99"/>
      <c r="N608" s="101"/>
      <c r="O608" s="61"/>
      <c r="P608" s="61"/>
    </row>
    <row r="609">
      <c r="A609" s="99"/>
      <c r="C609" s="99"/>
      <c r="D609" s="102"/>
      <c r="E609" s="103"/>
      <c r="F609" s="104"/>
      <c r="G609" s="8"/>
      <c r="I609" s="61"/>
      <c r="J609" s="99"/>
      <c r="L609" s="99"/>
      <c r="N609" s="101"/>
      <c r="O609" s="61"/>
      <c r="P609" s="61"/>
    </row>
    <row r="610">
      <c r="A610" s="99"/>
      <c r="C610" s="99"/>
      <c r="D610" s="102"/>
      <c r="E610" s="103"/>
      <c r="F610" s="104"/>
      <c r="G610" s="8"/>
      <c r="I610" s="61"/>
      <c r="J610" s="99"/>
      <c r="L610" s="99"/>
      <c r="N610" s="101"/>
      <c r="O610" s="61"/>
      <c r="P610" s="61"/>
    </row>
    <row r="611">
      <c r="A611" s="99"/>
      <c r="C611" s="99"/>
      <c r="D611" s="102"/>
      <c r="E611" s="103"/>
      <c r="F611" s="104"/>
      <c r="G611" s="8"/>
      <c r="I611" s="61"/>
      <c r="J611" s="99"/>
      <c r="L611" s="99"/>
      <c r="N611" s="101"/>
      <c r="O611" s="61"/>
      <c r="P611" s="61"/>
    </row>
    <row r="612">
      <c r="A612" s="99"/>
      <c r="C612" s="99"/>
      <c r="D612" s="102"/>
      <c r="E612" s="103"/>
      <c r="F612" s="104"/>
      <c r="G612" s="8"/>
      <c r="I612" s="61"/>
      <c r="J612" s="99"/>
      <c r="L612" s="99"/>
      <c r="N612" s="101"/>
      <c r="O612" s="61"/>
      <c r="P612" s="61"/>
    </row>
    <row r="613">
      <c r="A613" s="99"/>
      <c r="C613" s="99"/>
      <c r="D613" s="102"/>
      <c r="E613" s="103"/>
      <c r="F613" s="104"/>
      <c r="G613" s="8"/>
      <c r="I613" s="61"/>
      <c r="J613" s="99"/>
      <c r="L613" s="99"/>
      <c r="N613" s="101"/>
      <c r="O613" s="61"/>
      <c r="P613" s="61"/>
    </row>
    <row r="614">
      <c r="A614" s="99"/>
      <c r="C614" s="99"/>
      <c r="D614" s="102"/>
      <c r="E614" s="103"/>
      <c r="F614" s="104"/>
      <c r="G614" s="8"/>
      <c r="I614" s="61"/>
      <c r="J614" s="99"/>
      <c r="L614" s="99"/>
      <c r="N614" s="101"/>
      <c r="O614" s="61"/>
      <c r="P614" s="61"/>
    </row>
    <row r="615">
      <c r="A615" s="99"/>
      <c r="C615" s="99"/>
      <c r="D615" s="102"/>
      <c r="E615" s="103"/>
      <c r="F615" s="104"/>
      <c r="G615" s="8"/>
      <c r="I615" s="61"/>
      <c r="J615" s="99"/>
      <c r="L615" s="99"/>
      <c r="N615" s="101"/>
      <c r="O615" s="61"/>
      <c r="P615" s="61"/>
    </row>
    <row r="616">
      <c r="A616" s="99"/>
      <c r="C616" s="99"/>
      <c r="D616" s="102"/>
      <c r="E616" s="103"/>
      <c r="F616" s="104"/>
      <c r="G616" s="8"/>
      <c r="I616" s="61"/>
      <c r="J616" s="99"/>
      <c r="L616" s="99"/>
      <c r="N616" s="101"/>
      <c r="O616" s="61"/>
      <c r="P616" s="61"/>
    </row>
    <row r="617">
      <c r="A617" s="99"/>
      <c r="C617" s="99"/>
      <c r="D617" s="102"/>
      <c r="E617" s="103"/>
      <c r="F617" s="104"/>
      <c r="G617" s="8"/>
      <c r="I617" s="61"/>
      <c r="J617" s="99"/>
      <c r="L617" s="99"/>
      <c r="N617" s="101"/>
      <c r="O617" s="61"/>
      <c r="P617" s="61"/>
    </row>
    <row r="618">
      <c r="A618" s="99"/>
      <c r="C618" s="99"/>
      <c r="D618" s="102"/>
      <c r="E618" s="103"/>
      <c r="F618" s="104"/>
      <c r="G618" s="8"/>
      <c r="I618" s="61"/>
      <c r="J618" s="99"/>
      <c r="L618" s="99"/>
      <c r="N618" s="101"/>
      <c r="O618" s="61"/>
      <c r="P618" s="61"/>
    </row>
    <row r="619">
      <c r="A619" s="99"/>
      <c r="C619" s="99"/>
      <c r="D619" s="102"/>
      <c r="E619" s="103"/>
      <c r="F619" s="104"/>
      <c r="G619" s="8"/>
      <c r="I619" s="61"/>
      <c r="J619" s="99"/>
      <c r="L619" s="99"/>
      <c r="N619" s="101"/>
      <c r="O619" s="61"/>
      <c r="P619" s="61"/>
    </row>
    <row r="620">
      <c r="A620" s="99"/>
      <c r="C620" s="99"/>
      <c r="D620" s="102"/>
      <c r="E620" s="103"/>
      <c r="F620" s="104"/>
      <c r="G620" s="8"/>
      <c r="I620" s="61"/>
      <c r="J620" s="99"/>
      <c r="L620" s="99"/>
      <c r="N620" s="101"/>
      <c r="O620" s="61"/>
      <c r="P620" s="61"/>
    </row>
    <row r="621">
      <c r="A621" s="99"/>
      <c r="C621" s="99"/>
      <c r="D621" s="102"/>
      <c r="E621" s="103"/>
      <c r="F621" s="104"/>
      <c r="G621" s="8"/>
      <c r="I621" s="61"/>
      <c r="J621" s="99"/>
      <c r="L621" s="99"/>
      <c r="N621" s="101"/>
      <c r="O621" s="61"/>
      <c r="P621" s="61"/>
    </row>
    <row r="622">
      <c r="A622" s="99"/>
      <c r="C622" s="99"/>
      <c r="D622" s="102"/>
      <c r="E622" s="103"/>
      <c r="F622" s="104"/>
      <c r="G622" s="8"/>
      <c r="I622" s="61"/>
      <c r="J622" s="99"/>
      <c r="L622" s="99"/>
      <c r="N622" s="101"/>
      <c r="O622" s="61"/>
      <c r="P622" s="61"/>
    </row>
    <row r="623">
      <c r="A623" s="99"/>
      <c r="C623" s="99"/>
      <c r="D623" s="102"/>
      <c r="E623" s="103"/>
      <c r="F623" s="104"/>
      <c r="G623" s="8"/>
      <c r="I623" s="61"/>
      <c r="J623" s="99"/>
      <c r="L623" s="99"/>
      <c r="N623" s="101"/>
      <c r="O623" s="61"/>
      <c r="P623" s="61"/>
    </row>
    <row r="624">
      <c r="A624" s="99"/>
      <c r="C624" s="99"/>
      <c r="D624" s="102"/>
      <c r="E624" s="103"/>
      <c r="F624" s="104"/>
      <c r="G624" s="8"/>
      <c r="I624" s="61"/>
      <c r="J624" s="99"/>
      <c r="L624" s="99"/>
      <c r="N624" s="101"/>
      <c r="O624" s="61"/>
      <c r="P624" s="61"/>
    </row>
    <row r="625">
      <c r="A625" s="99"/>
      <c r="C625" s="99"/>
      <c r="D625" s="102"/>
      <c r="E625" s="103"/>
      <c r="F625" s="104"/>
      <c r="G625" s="8"/>
      <c r="I625" s="61"/>
      <c r="J625" s="99"/>
      <c r="L625" s="99"/>
      <c r="N625" s="101"/>
      <c r="O625" s="61"/>
      <c r="P625" s="61"/>
    </row>
    <row r="626">
      <c r="A626" s="99"/>
      <c r="C626" s="99"/>
      <c r="D626" s="102"/>
      <c r="E626" s="103"/>
      <c r="F626" s="104"/>
      <c r="G626" s="8"/>
      <c r="I626" s="61"/>
      <c r="J626" s="99"/>
      <c r="L626" s="99"/>
      <c r="N626" s="101"/>
      <c r="O626" s="61"/>
      <c r="P626" s="61"/>
    </row>
    <row r="627">
      <c r="A627" s="99"/>
      <c r="C627" s="99"/>
      <c r="D627" s="102"/>
      <c r="E627" s="103"/>
      <c r="F627" s="104"/>
      <c r="G627" s="8"/>
      <c r="I627" s="61"/>
      <c r="J627" s="99"/>
      <c r="L627" s="99"/>
      <c r="N627" s="101"/>
      <c r="O627" s="61"/>
      <c r="P627" s="61"/>
    </row>
    <row r="628">
      <c r="A628" s="99"/>
      <c r="C628" s="99"/>
      <c r="D628" s="102"/>
      <c r="E628" s="103"/>
      <c r="F628" s="104"/>
      <c r="G628" s="8"/>
      <c r="I628" s="61"/>
      <c r="J628" s="99"/>
      <c r="L628" s="99"/>
      <c r="N628" s="101"/>
      <c r="O628" s="61"/>
      <c r="P628" s="61"/>
    </row>
    <row r="629">
      <c r="A629" s="99"/>
      <c r="C629" s="99"/>
      <c r="D629" s="102"/>
      <c r="E629" s="103"/>
      <c r="F629" s="104"/>
      <c r="G629" s="8"/>
      <c r="I629" s="61"/>
      <c r="J629" s="99"/>
      <c r="L629" s="99"/>
      <c r="N629" s="101"/>
      <c r="O629" s="61"/>
      <c r="P629" s="61"/>
    </row>
    <row r="630">
      <c r="A630" s="99"/>
      <c r="C630" s="99"/>
      <c r="D630" s="102"/>
      <c r="E630" s="103"/>
      <c r="F630" s="104"/>
      <c r="G630" s="8"/>
      <c r="I630" s="61"/>
      <c r="J630" s="99"/>
      <c r="L630" s="99"/>
      <c r="N630" s="101"/>
      <c r="O630" s="61"/>
      <c r="P630" s="61"/>
    </row>
    <row r="631">
      <c r="A631" s="99"/>
      <c r="C631" s="99"/>
      <c r="D631" s="102"/>
      <c r="E631" s="103"/>
      <c r="F631" s="104"/>
      <c r="G631" s="8"/>
      <c r="I631" s="61"/>
      <c r="J631" s="99"/>
      <c r="L631" s="99"/>
      <c r="N631" s="101"/>
      <c r="O631" s="61"/>
      <c r="P631" s="61"/>
    </row>
    <row r="632">
      <c r="A632" s="99"/>
      <c r="C632" s="99"/>
      <c r="D632" s="102"/>
      <c r="E632" s="103"/>
      <c r="F632" s="104"/>
      <c r="G632" s="8"/>
      <c r="I632" s="61"/>
      <c r="J632" s="99"/>
      <c r="L632" s="99"/>
      <c r="N632" s="101"/>
      <c r="O632" s="61"/>
      <c r="P632" s="61"/>
    </row>
    <row r="633">
      <c r="A633" s="99"/>
      <c r="C633" s="99"/>
      <c r="D633" s="102"/>
      <c r="E633" s="103"/>
      <c r="F633" s="104"/>
      <c r="G633" s="8"/>
      <c r="I633" s="61"/>
      <c r="J633" s="99"/>
      <c r="L633" s="99"/>
      <c r="N633" s="101"/>
      <c r="O633" s="61"/>
      <c r="P633" s="61"/>
    </row>
    <row r="634">
      <c r="A634" s="99"/>
      <c r="C634" s="99"/>
      <c r="D634" s="102"/>
      <c r="E634" s="103"/>
      <c r="F634" s="104"/>
      <c r="G634" s="8"/>
      <c r="I634" s="61"/>
      <c r="J634" s="99"/>
      <c r="L634" s="99"/>
      <c r="N634" s="101"/>
      <c r="O634" s="61"/>
      <c r="P634" s="61"/>
    </row>
    <row r="635">
      <c r="A635" s="99"/>
      <c r="C635" s="99"/>
      <c r="D635" s="102"/>
      <c r="E635" s="103"/>
      <c r="F635" s="104"/>
      <c r="G635" s="8"/>
      <c r="I635" s="61"/>
      <c r="J635" s="99"/>
      <c r="L635" s="99"/>
      <c r="N635" s="101"/>
      <c r="O635" s="61"/>
      <c r="P635" s="61"/>
    </row>
    <row r="636">
      <c r="A636" s="99"/>
      <c r="C636" s="99"/>
      <c r="D636" s="102"/>
      <c r="E636" s="103"/>
      <c r="F636" s="104"/>
      <c r="G636" s="8"/>
      <c r="I636" s="61"/>
      <c r="J636" s="99"/>
      <c r="L636" s="99"/>
      <c r="N636" s="101"/>
      <c r="O636" s="61"/>
      <c r="P636" s="61"/>
    </row>
    <row r="637">
      <c r="A637" s="99"/>
      <c r="C637" s="99"/>
      <c r="D637" s="102"/>
      <c r="E637" s="103"/>
      <c r="F637" s="104"/>
      <c r="G637" s="8"/>
      <c r="I637" s="61"/>
      <c r="J637" s="99"/>
      <c r="L637" s="99"/>
      <c r="N637" s="101"/>
      <c r="O637" s="61"/>
      <c r="P637" s="61"/>
    </row>
    <row r="638">
      <c r="A638" s="99"/>
      <c r="C638" s="99"/>
      <c r="D638" s="102"/>
      <c r="E638" s="103"/>
      <c r="F638" s="104"/>
      <c r="G638" s="8"/>
      <c r="I638" s="61"/>
      <c r="J638" s="99"/>
      <c r="L638" s="99"/>
      <c r="N638" s="101"/>
      <c r="O638" s="61"/>
      <c r="P638" s="61"/>
    </row>
    <row r="639">
      <c r="A639" s="99"/>
      <c r="C639" s="99"/>
      <c r="D639" s="102"/>
      <c r="E639" s="103"/>
      <c r="F639" s="104"/>
      <c r="G639" s="8"/>
      <c r="I639" s="61"/>
      <c r="J639" s="99"/>
      <c r="L639" s="99"/>
      <c r="N639" s="101"/>
      <c r="O639" s="61"/>
      <c r="P639" s="61"/>
    </row>
    <row r="640">
      <c r="A640" s="99"/>
      <c r="C640" s="99"/>
      <c r="D640" s="102"/>
      <c r="E640" s="103"/>
      <c r="F640" s="104"/>
      <c r="G640" s="8"/>
      <c r="I640" s="61"/>
      <c r="J640" s="99"/>
      <c r="L640" s="99"/>
      <c r="N640" s="101"/>
      <c r="O640" s="61"/>
      <c r="P640" s="61"/>
    </row>
    <row r="641">
      <c r="A641" s="99"/>
      <c r="C641" s="99"/>
      <c r="D641" s="102"/>
      <c r="E641" s="103"/>
      <c r="F641" s="104"/>
      <c r="G641" s="8"/>
      <c r="I641" s="61"/>
      <c r="J641" s="99"/>
      <c r="L641" s="99"/>
      <c r="N641" s="101"/>
      <c r="O641" s="61"/>
      <c r="P641" s="61"/>
    </row>
    <row r="642">
      <c r="A642" s="99"/>
      <c r="C642" s="99"/>
      <c r="D642" s="102"/>
      <c r="E642" s="103"/>
      <c r="F642" s="104"/>
      <c r="G642" s="8"/>
      <c r="I642" s="61"/>
      <c r="J642" s="99"/>
      <c r="L642" s="99"/>
      <c r="N642" s="101"/>
      <c r="O642" s="61"/>
      <c r="P642" s="61"/>
    </row>
    <row r="643">
      <c r="A643" s="99"/>
      <c r="C643" s="99"/>
      <c r="D643" s="102"/>
      <c r="E643" s="103"/>
      <c r="F643" s="104"/>
      <c r="G643" s="8"/>
      <c r="I643" s="61"/>
      <c r="J643" s="99"/>
      <c r="L643" s="99"/>
      <c r="N643" s="101"/>
      <c r="O643" s="61"/>
      <c r="P643" s="61"/>
    </row>
    <row r="644">
      <c r="A644" s="99"/>
      <c r="C644" s="99"/>
      <c r="D644" s="102"/>
      <c r="E644" s="103"/>
      <c r="F644" s="104"/>
      <c r="G644" s="8"/>
      <c r="I644" s="61"/>
      <c r="J644" s="99"/>
      <c r="L644" s="99"/>
      <c r="N644" s="101"/>
      <c r="O644" s="61"/>
      <c r="P644" s="61"/>
    </row>
    <row r="645">
      <c r="A645" s="99"/>
      <c r="C645" s="99"/>
      <c r="D645" s="102"/>
      <c r="E645" s="103"/>
      <c r="F645" s="104"/>
      <c r="G645" s="8"/>
      <c r="I645" s="61"/>
      <c r="J645" s="99"/>
      <c r="L645" s="99"/>
      <c r="N645" s="101"/>
      <c r="O645" s="61"/>
      <c r="P645" s="61"/>
    </row>
    <row r="646">
      <c r="A646" s="99"/>
      <c r="C646" s="99"/>
      <c r="D646" s="102"/>
      <c r="E646" s="103"/>
      <c r="F646" s="104"/>
      <c r="G646" s="8"/>
      <c r="I646" s="61"/>
      <c r="J646" s="99"/>
      <c r="L646" s="99"/>
      <c r="N646" s="101"/>
      <c r="O646" s="61"/>
      <c r="P646" s="61"/>
    </row>
    <row r="647">
      <c r="A647" s="99"/>
      <c r="C647" s="99"/>
      <c r="D647" s="102"/>
      <c r="E647" s="103"/>
      <c r="F647" s="104"/>
      <c r="G647" s="8"/>
      <c r="I647" s="61"/>
      <c r="J647" s="99"/>
      <c r="L647" s="99"/>
      <c r="N647" s="101"/>
      <c r="O647" s="61"/>
      <c r="P647" s="61"/>
    </row>
    <row r="648">
      <c r="A648" s="99"/>
      <c r="C648" s="99"/>
      <c r="D648" s="102"/>
      <c r="E648" s="103"/>
      <c r="F648" s="104"/>
      <c r="G648" s="8"/>
      <c r="I648" s="61"/>
      <c r="J648" s="99"/>
      <c r="L648" s="99"/>
      <c r="N648" s="101"/>
      <c r="O648" s="61"/>
      <c r="P648" s="61"/>
    </row>
    <row r="649">
      <c r="A649" s="99"/>
      <c r="C649" s="99"/>
      <c r="D649" s="102"/>
      <c r="E649" s="103"/>
      <c r="F649" s="104"/>
      <c r="G649" s="8"/>
      <c r="I649" s="61"/>
      <c r="J649" s="99"/>
      <c r="L649" s="99"/>
      <c r="N649" s="101"/>
      <c r="O649" s="61"/>
      <c r="P649" s="61"/>
    </row>
    <row r="650">
      <c r="A650" s="99"/>
      <c r="C650" s="99"/>
      <c r="D650" s="102"/>
      <c r="E650" s="103"/>
      <c r="F650" s="104"/>
      <c r="G650" s="8"/>
      <c r="I650" s="61"/>
      <c r="J650" s="99"/>
      <c r="L650" s="99"/>
      <c r="N650" s="101"/>
      <c r="O650" s="61"/>
      <c r="P650" s="61"/>
    </row>
    <row r="651">
      <c r="A651" s="99"/>
      <c r="C651" s="99"/>
      <c r="D651" s="102"/>
      <c r="E651" s="103"/>
      <c r="F651" s="104"/>
      <c r="G651" s="8"/>
      <c r="I651" s="61"/>
      <c r="J651" s="99"/>
      <c r="L651" s="99"/>
      <c r="N651" s="101"/>
      <c r="O651" s="61"/>
      <c r="P651" s="61"/>
    </row>
    <row r="652">
      <c r="A652" s="99"/>
      <c r="C652" s="99"/>
      <c r="D652" s="102"/>
      <c r="E652" s="103"/>
      <c r="F652" s="104"/>
      <c r="G652" s="8"/>
      <c r="I652" s="61"/>
      <c r="J652" s="99"/>
      <c r="L652" s="99"/>
      <c r="N652" s="101"/>
      <c r="O652" s="61"/>
      <c r="P652" s="61"/>
    </row>
    <row r="653">
      <c r="A653" s="99"/>
      <c r="C653" s="99"/>
      <c r="D653" s="102"/>
      <c r="E653" s="103"/>
      <c r="F653" s="104"/>
      <c r="G653" s="8"/>
      <c r="I653" s="61"/>
      <c r="J653" s="99"/>
      <c r="L653" s="99"/>
      <c r="N653" s="101"/>
      <c r="O653" s="61"/>
      <c r="P653" s="61"/>
    </row>
    <row r="654">
      <c r="A654" s="99"/>
      <c r="C654" s="99"/>
      <c r="D654" s="102"/>
      <c r="E654" s="103"/>
      <c r="F654" s="104"/>
      <c r="G654" s="8"/>
      <c r="I654" s="61"/>
      <c r="J654" s="99"/>
      <c r="L654" s="99"/>
      <c r="N654" s="101"/>
      <c r="O654" s="61"/>
      <c r="P654" s="61"/>
    </row>
    <row r="655">
      <c r="A655" s="99"/>
      <c r="C655" s="99"/>
      <c r="D655" s="102"/>
      <c r="E655" s="103"/>
      <c r="F655" s="104"/>
      <c r="G655" s="8"/>
      <c r="I655" s="61"/>
      <c r="J655" s="99"/>
      <c r="L655" s="99"/>
      <c r="N655" s="101"/>
      <c r="O655" s="61"/>
      <c r="P655" s="61"/>
    </row>
    <row r="656">
      <c r="A656" s="99"/>
      <c r="C656" s="99"/>
      <c r="D656" s="102"/>
      <c r="E656" s="103"/>
      <c r="F656" s="104"/>
      <c r="G656" s="8"/>
      <c r="I656" s="61"/>
      <c r="J656" s="99"/>
      <c r="L656" s="99"/>
      <c r="N656" s="101"/>
      <c r="O656" s="61"/>
      <c r="P656" s="61"/>
    </row>
    <row r="657">
      <c r="A657" s="99"/>
      <c r="C657" s="99"/>
      <c r="D657" s="102"/>
      <c r="E657" s="103"/>
      <c r="F657" s="104"/>
      <c r="G657" s="8"/>
      <c r="I657" s="61"/>
      <c r="J657" s="99"/>
      <c r="L657" s="99"/>
      <c r="N657" s="101"/>
      <c r="O657" s="61"/>
      <c r="P657" s="61"/>
    </row>
    <row r="658">
      <c r="A658" s="99"/>
      <c r="C658" s="99"/>
      <c r="D658" s="102"/>
      <c r="E658" s="103"/>
      <c r="F658" s="104"/>
      <c r="G658" s="8"/>
      <c r="I658" s="61"/>
      <c r="J658" s="99"/>
      <c r="L658" s="99"/>
      <c r="N658" s="101"/>
      <c r="O658" s="61"/>
      <c r="P658" s="61"/>
    </row>
    <row r="659">
      <c r="A659" s="99"/>
      <c r="C659" s="99"/>
      <c r="D659" s="102"/>
      <c r="E659" s="103"/>
      <c r="F659" s="104"/>
      <c r="G659" s="8"/>
      <c r="I659" s="61"/>
      <c r="J659" s="99"/>
      <c r="L659" s="99"/>
      <c r="N659" s="101"/>
      <c r="O659" s="61"/>
      <c r="P659" s="61"/>
    </row>
    <row r="660">
      <c r="A660" s="99"/>
      <c r="C660" s="99"/>
      <c r="D660" s="102"/>
      <c r="E660" s="103"/>
      <c r="F660" s="104"/>
      <c r="G660" s="8"/>
      <c r="I660" s="61"/>
      <c r="J660" s="99"/>
      <c r="L660" s="99"/>
      <c r="N660" s="101"/>
      <c r="O660" s="61"/>
      <c r="P660" s="61"/>
    </row>
    <row r="661">
      <c r="A661" s="99"/>
      <c r="C661" s="99"/>
      <c r="D661" s="102"/>
      <c r="E661" s="103"/>
      <c r="F661" s="104"/>
      <c r="G661" s="8"/>
      <c r="I661" s="61"/>
      <c r="J661" s="99"/>
      <c r="L661" s="99"/>
      <c r="N661" s="101"/>
      <c r="O661" s="61"/>
      <c r="P661" s="61"/>
    </row>
    <row r="662">
      <c r="A662" s="99"/>
      <c r="C662" s="99"/>
      <c r="D662" s="102"/>
      <c r="E662" s="103"/>
      <c r="F662" s="104"/>
      <c r="G662" s="8"/>
      <c r="I662" s="61"/>
      <c r="J662" s="99"/>
      <c r="L662" s="99"/>
      <c r="N662" s="101"/>
      <c r="O662" s="61"/>
      <c r="P662" s="61"/>
    </row>
    <row r="663">
      <c r="A663" s="99"/>
      <c r="C663" s="99"/>
      <c r="D663" s="102"/>
      <c r="E663" s="103"/>
      <c r="F663" s="104"/>
      <c r="G663" s="8"/>
      <c r="I663" s="61"/>
      <c r="J663" s="99"/>
      <c r="L663" s="99"/>
      <c r="N663" s="101"/>
      <c r="O663" s="61"/>
      <c r="P663" s="61"/>
    </row>
    <row r="664">
      <c r="A664" s="99"/>
      <c r="C664" s="99"/>
      <c r="D664" s="102"/>
      <c r="E664" s="103"/>
      <c r="F664" s="104"/>
      <c r="G664" s="8"/>
      <c r="I664" s="61"/>
      <c r="J664" s="99"/>
      <c r="L664" s="99"/>
      <c r="N664" s="101"/>
      <c r="O664" s="61"/>
      <c r="P664" s="61"/>
    </row>
    <row r="665">
      <c r="A665" s="99"/>
      <c r="C665" s="99"/>
      <c r="D665" s="102"/>
      <c r="E665" s="103"/>
      <c r="F665" s="104"/>
      <c r="G665" s="8"/>
      <c r="I665" s="61"/>
      <c r="J665" s="99"/>
      <c r="L665" s="99"/>
      <c r="N665" s="101"/>
      <c r="O665" s="61"/>
      <c r="P665" s="61"/>
    </row>
    <row r="666">
      <c r="A666" s="99"/>
      <c r="C666" s="99"/>
      <c r="D666" s="102"/>
      <c r="E666" s="103"/>
      <c r="F666" s="104"/>
      <c r="G666" s="8"/>
      <c r="I666" s="61"/>
      <c r="J666" s="99"/>
      <c r="L666" s="99"/>
      <c r="N666" s="101"/>
      <c r="O666" s="61"/>
      <c r="P666" s="61"/>
    </row>
    <row r="667">
      <c r="A667" s="99"/>
      <c r="C667" s="99"/>
      <c r="D667" s="102"/>
      <c r="E667" s="103"/>
      <c r="F667" s="104"/>
      <c r="G667" s="8"/>
      <c r="I667" s="61"/>
      <c r="J667" s="99"/>
      <c r="L667" s="99"/>
      <c r="N667" s="101"/>
      <c r="O667" s="61"/>
      <c r="P667" s="61"/>
    </row>
    <row r="668">
      <c r="A668" s="99"/>
      <c r="C668" s="99"/>
      <c r="D668" s="102"/>
      <c r="E668" s="103"/>
      <c r="F668" s="104"/>
      <c r="G668" s="8"/>
      <c r="I668" s="61"/>
      <c r="J668" s="99"/>
      <c r="L668" s="99"/>
      <c r="N668" s="101"/>
      <c r="O668" s="61"/>
      <c r="P668" s="61"/>
    </row>
    <row r="669">
      <c r="A669" s="99"/>
      <c r="C669" s="99"/>
      <c r="D669" s="102"/>
      <c r="E669" s="103"/>
      <c r="F669" s="104"/>
      <c r="G669" s="8"/>
      <c r="I669" s="61"/>
      <c r="J669" s="99"/>
      <c r="L669" s="99"/>
      <c r="N669" s="101"/>
      <c r="O669" s="61"/>
      <c r="P669" s="61"/>
    </row>
    <row r="670">
      <c r="A670" s="99"/>
      <c r="C670" s="99"/>
      <c r="D670" s="102"/>
      <c r="E670" s="103"/>
      <c r="F670" s="104"/>
      <c r="G670" s="8"/>
      <c r="I670" s="61"/>
      <c r="J670" s="99"/>
      <c r="L670" s="99"/>
      <c r="N670" s="101"/>
      <c r="O670" s="61"/>
      <c r="P670" s="61"/>
    </row>
    <row r="671">
      <c r="A671" s="99"/>
      <c r="C671" s="99"/>
      <c r="D671" s="102"/>
      <c r="E671" s="103"/>
      <c r="F671" s="104"/>
      <c r="G671" s="8"/>
      <c r="I671" s="61"/>
      <c r="J671" s="99"/>
      <c r="L671" s="99"/>
      <c r="N671" s="101"/>
      <c r="O671" s="61"/>
      <c r="P671" s="61"/>
    </row>
    <row r="672">
      <c r="A672" s="99"/>
      <c r="C672" s="99"/>
      <c r="D672" s="102"/>
      <c r="E672" s="103"/>
      <c r="F672" s="104"/>
      <c r="G672" s="8"/>
      <c r="I672" s="61"/>
      <c r="J672" s="99"/>
      <c r="L672" s="99"/>
      <c r="N672" s="101"/>
      <c r="O672" s="61"/>
      <c r="P672" s="61"/>
    </row>
    <row r="673">
      <c r="A673" s="99"/>
      <c r="C673" s="99"/>
      <c r="D673" s="102"/>
      <c r="E673" s="103"/>
      <c r="F673" s="104"/>
      <c r="G673" s="8"/>
      <c r="I673" s="61"/>
      <c r="J673" s="99"/>
      <c r="L673" s="99"/>
      <c r="N673" s="101"/>
      <c r="O673" s="61"/>
      <c r="P673" s="61"/>
    </row>
    <row r="674">
      <c r="A674" s="99"/>
      <c r="C674" s="99"/>
      <c r="D674" s="102"/>
      <c r="E674" s="103"/>
      <c r="F674" s="104"/>
      <c r="G674" s="8"/>
      <c r="I674" s="61"/>
      <c r="J674" s="99"/>
      <c r="L674" s="99"/>
      <c r="N674" s="101"/>
      <c r="O674" s="61"/>
      <c r="P674" s="61"/>
    </row>
    <row r="675">
      <c r="A675" s="99"/>
      <c r="C675" s="99"/>
      <c r="D675" s="102"/>
      <c r="E675" s="103"/>
      <c r="F675" s="104"/>
      <c r="G675" s="8"/>
      <c r="I675" s="61"/>
      <c r="J675" s="99"/>
      <c r="L675" s="99"/>
      <c r="N675" s="101"/>
      <c r="O675" s="61"/>
      <c r="P675" s="61"/>
    </row>
    <row r="676">
      <c r="A676" s="99"/>
      <c r="C676" s="99"/>
      <c r="D676" s="102"/>
      <c r="E676" s="103"/>
      <c r="F676" s="104"/>
      <c r="G676" s="8"/>
      <c r="I676" s="61"/>
      <c r="J676" s="99"/>
      <c r="L676" s="99"/>
      <c r="N676" s="101"/>
      <c r="O676" s="61"/>
      <c r="P676" s="61"/>
    </row>
    <row r="677">
      <c r="A677" s="99"/>
      <c r="C677" s="99"/>
      <c r="D677" s="102"/>
      <c r="E677" s="103"/>
      <c r="F677" s="104"/>
      <c r="G677" s="8"/>
      <c r="I677" s="61"/>
      <c r="J677" s="99"/>
      <c r="L677" s="99"/>
      <c r="N677" s="101"/>
      <c r="O677" s="61"/>
      <c r="P677" s="61"/>
    </row>
    <row r="678">
      <c r="A678" s="99"/>
      <c r="C678" s="99"/>
      <c r="D678" s="102"/>
      <c r="E678" s="103"/>
      <c r="F678" s="104"/>
      <c r="G678" s="8"/>
      <c r="I678" s="61"/>
      <c r="J678" s="99"/>
      <c r="L678" s="99"/>
      <c r="N678" s="101"/>
      <c r="O678" s="61"/>
      <c r="P678" s="61"/>
    </row>
    <row r="679">
      <c r="A679" s="99"/>
      <c r="C679" s="99"/>
      <c r="D679" s="102"/>
      <c r="E679" s="103"/>
      <c r="F679" s="104"/>
      <c r="G679" s="8"/>
      <c r="I679" s="61"/>
      <c r="J679" s="99"/>
      <c r="L679" s="99"/>
      <c r="N679" s="101"/>
      <c r="O679" s="61"/>
      <c r="P679" s="61"/>
    </row>
    <row r="680">
      <c r="A680" s="99"/>
      <c r="C680" s="99"/>
      <c r="D680" s="102"/>
      <c r="E680" s="103"/>
      <c r="F680" s="104"/>
      <c r="G680" s="8"/>
      <c r="I680" s="61"/>
      <c r="J680" s="99"/>
      <c r="L680" s="99"/>
      <c r="N680" s="101"/>
      <c r="O680" s="61"/>
      <c r="P680" s="61"/>
    </row>
    <row r="681">
      <c r="A681" s="99"/>
      <c r="C681" s="99"/>
      <c r="D681" s="102"/>
      <c r="E681" s="103"/>
      <c r="F681" s="104"/>
      <c r="G681" s="8"/>
      <c r="I681" s="61"/>
      <c r="J681" s="99"/>
      <c r="L681" s="99"/>
      <c r="N681" s="101"/>
      <c r="O681" s="61"/>
      <c r="P681" s="61"/>
    </row>
    <row r="682">
      <c r="A682" s="99"/>
      <c r="C682" s="99"/>
      <c r="D682" s="102"/>
      <c r="E682" s="103"/>
      <c r="F682" s="104"/>
      <c r="G682" s="8"/>
      <c r="I682" s="61"/>
      <c r="J682" s="99"/>
      <c r="L682" s="99"/>
      <c r="N682" s="101"/>
      <c r="O682" s="61"/>
      <c r="P682" s="61"/>
    </row>
    <row r="683">
      <c r="A683" s="99"/>
      <c r="C683" s="99"/>
      <c r="D683" s="102"/>
      <c r="E683" s="103"/>
      <c r="F683" s="104"/>
      <c r="G683" s="8"/>
      <c r="I683" s="61"/>
      <c r="J683" s="99"/>
      <c r="L683" s="99"/>
      <c r="N683" s="101"/>
      <c r="O683" s="61"/>
      <c r="P683" s="61"/>
    </row>
    <row r="684">
      <c r="A684" s="99"/>
      <c r="C684" s="99"/>
      <c r="D684" s="102"/>
      <c r="E684" s="103"/>
      <c r="F684" s="104"/>
      <c r="G684" s="8"/>
      <c r="I684" s="61"/>
      <c r="J684" s="99"/>
      <c r="L684" s="99"/>
      <c r="N684" s="101"/>
      <c r="O684" s="61"/>
      <c r="P684" s="61"/>
    </row>
    <row r="685">
      <c r="A685" s="99"/>
      <c r="C685" s="99"/>
      <c r="D685" s="102"/>
      <c r="E685" s="103"/>
      <c r="F685" s="104"/>
      <c r="G685" s="8"/>
      <c r="I685" s="61"/>
      <c r="J685" s="99"/>
      <c r="L685" s="99"/>
      <c r="N685" s="101"/>
      <c r="O685" s="61"/>
      <c r="P685" s="61"/>
    </row>
    <row r="686">
      <c r="A686" s="99"/>
      <c r="C686" s="99"/>
      <c r="D686" s="102"/>
      <c r="E686" s="103"/>
      <c r="F686" s="104"/>
      <c r="G686" s="8"/>
      <c r="I686" s="61"/>
      <c r="J686" s="99"/>
      <c r="L686" s="99"/>
      <c r="N686" s="101"/>
      <c r="O686" s="61"/>
      <c r="P686" s="61"/>
    </row>
    <row r="687">
      <c r="A687" s="99"/>
      <c r="C687" s="99"/>
      <c r="D687" s="102"/>
      <c r="E687" s="103"/>
      <c r="F687" s="104"/>
      <c r="G687" s="8"/>
      <c r="I687" s="61"/>
      <c r="J687" s="99"/>
      <c r="L687" s="99"/>
      <c r="N687" s="101"/>
      <c r="O687" s="61"/>
      <c r="P687" s="61"/>
    </row>
    <row r="688">
      <c r="A688" s="99"/>
      <c r="C688" s="99"/>
      <c r="D688" s="102"/>
      <c r="E688" s="103"/>
      <c r="F688" s="104"/>
      <c r="G688" s="8"/>
      <c r="I688" s="61"/>
      <c r="J688" s="99"/>
      <c r="L688" s="99"/>
      <c r="N688" s="101"/>
      <c r="O688" s="61"/>
      <c r="P688" s="61"/>
    </row>
    <row r="689">
      <c r="A689" s="99"/>
      <c r="C689" s="99"/>
      <c r="D689" s="102"/>
      <c r="E689" s="103"/>
      <c r="F689" s="104"/>
      <c r="G689" s="8"/>
      <c r="I689" s="61"/>
      <c r="J689" s="99"/>
      <c r="L689" s="99"/>
      <c r="N689" s="101"/>
      <c r="O689" s="61"/>
      <c r="P689" s="61"/>
    </row>
    <row r="690">
      <c r="A690" s="99"/>
      <c r="C690" s="99"/>
      <c r="D690" s="102"/>
      <c r="E690" s="103"/>
      <c r="F690" s="104"/>
      <c r="G690" s="8"/>
      <c r="I690" s="61"/>
      <c r="J690" s="99"/>
      <c r="L690" s="99"/>
      <c r="N690" s="101"/>
      <c r="O690" s="61"/>
      <c r="P690" s="61"/>
    </row>
    <row r="691">
      <c r="A691" s="99"/>
      <c r="C691" s="99"/>
      <c r="D691" s="102"/>
      <c r="E691" s="103"/>
      <c r="F691" s="104"/>
      <c r="G691" s="8"/>
      <c r="I691" s="61"/>
      <c r="J691" s="99"/>
      <c r="L691" s="99"/>
      <c r="N691" s="101"/>
      <c r="O691" s="61"/>
      <c r="P691" s="61"/>
    </row>
    <row r="692">
      <c r="A692" s="99"/>
      <c r="C692" s="99"/>
      <c r="D692" s="102"/>
      <c r="E692" s="103"/>
      <c r="F692" s="104"/>
      <c r="G692" s="8"/>
      <c r="I692" s="61"/>
      <c r="J692" s="99"/>
      <c r="L692" s="99"/>
      <c r="N692" s="101"/>
      <c r="O692" s="61"/>
      <c r="P692" s="61"/>
    </row>
    <row r="693">
      <c r="A693" s="99"/>
      <c r="C693" s="99"/>
      <c r="D693" s="102"/>
      <c r="E693" s="103"/>
      <c r="F693" s="104"/>
      <c r="G693" s="8"/>
      <c r="I693" s="61"/>
      <c r="J693" s="99"/>
      <c r="L693" s="99"/>
      <c r="N693" s="101"/>
      <c r="O693" s="61"/>
      <c r="P693" s="61"/>
    </row>
    <row r="694">
      <c r="A694" s="99"/>
      <c r="C694" s="99"/>
      <c r="D694" s="102"/>
      <c r="E694" s="103"/>
      <c r="F694" s="104"/>
      <c r="G694" s="8"/>
      <c r="I694" s="61"/>
      <c r="J694" s="99"/>
      <c r="L694" s="99"/>
      <c r="N694" s="101"/>
      <c r="O694" s="61"/>
      <c r="P694" s="61"/>
    </row>
    <row r="695">
      <c r="A695" s="99"/>
      <c r="C695" s="99"/>
      <c r="D695" s="102"/>
      <c r="E695" s="103"/>
      <c r="F695" s="104"/>
      <c r="G695" s="8"/>
      <c r="I695" s="61"/>
      <c r="J695" s="99"/>
      <c r="L695" s="99"/>
      <c r="N695" s="101"/>
      <c r="O695" s="61"/>
      <c r="P695" s="61"/>
    </row>
    <row r="696">
      <c r="A696" s="99"/>
      <c r="C696" s="99"/>
      <c r="D696" s="102"/>
      <c r="E696" s="103"/>
      <c r="F696" s="104"/>
      <c r="G696" s="8"/>
      <c r="I696" s="61"/>
      <c r="J696" s="99"/>
      <c r="L696" s="99"/>
      <c r="N696" s="101"/>
      <c r="O696" s="61"/>
      <c r="P696" s="61"/>
    </row>
    <row r="697">
      <c r="A697" s="99"/>
      <c r="C697" s="99"/>
      <c r="D697" s="102"/>
      <c r="E697" s="103"/>
      <c r="F697" s="104"/>
      <c r="G697" s="8"/>
      <c r="I697" s="61"/>
      <c r="J697" s="99"/>
      <c r="L697" s="99"/>
      <c r="N697" s="101"/>
      <c r="O697" s="61"/>
      <c r="P697" s="61"/>
    </row>
    <row r="698">
      <c r="A698" s="99"/>
      <c r="C698" s="99"/>
      <c r="D698" s="102"/>
      <c r="E698" s="103"/>
      <c r="F698" s="104"/>
      <c r="G698" s="8"/>
      <c r="I698" s="61"/>
      <c r="J698" s="99"/>
      <c r="L698" s="99"/>
      <c r="N698" s="101"/>
      <c r="O698" s="61"/>
      <c r="P698" s="61"/>
    </row>
    <row r="699">
      <c r="A699" s="99"/>
      <c r="C699" s="99"/>
      <c r="D699" s="102"/>
      <c r="E699" s="103"/>
      <c r="F699" s="104"/>
      <c r="G699" s="8"/>
      <c r="I699" s="61"/>
      <c r="J699" s="99"/>
      <c r="L699" s="99"/>
      <c r="N699" s="101"/>
      <c r="O699" s="61"/>
      <c r="P699" s="61"/>
    </row>
    <row r="700">
      <c r="A700" s="99"/>
      <c r="C700" s="99"/>
      <c r="D700" s="102"/>
      <c r="E700" s="103"/>
      <c r="F700" s="104"/>
      <c r="G700" s="8"/>
      <c r="I700" s="61"/>
      <c r="J700" s="99"/>
      <c r="L700" s="99"/>
      <c r="N700" s="101"/>
      <c r="O700" s="61"/>
      <c r="P700" s="61"/>
    </row>
    <row r="701">
      <c r="A701" s="99"/>
      <c r="C701" s="99"/>
      <c r="D701" s="102"/>
      <c r="E701" s="103"/>
      <c r="F701" s="104"/>
      <c r="G701" s="8"/>
      <c r="I701" s="61"/>
      <c r="J701" s="99"/>
      <c r="L701" s="99"/>
      <c r="N701" s="101"/>
      <c r="O701" s="61"/>
      <c r="P701" s="61"/>
    </row>
    <row r="702">
      <c r="A702" s="99"/>
      <c r="C702" s="99"/>
      <c r="D702" s="102"/>
      <c r="E702" s="103"/>
      <c r="F702" s="104"/>
      <c r="G702" s="8"/>
      <c r="I702" s="61"/>
      <c r="J702" s="99"/>
      <c r="L702" s="99"/>
      <c r="N702" s="101"/>
      <c r="O702" s="61"/>
      <c r="P702" s="61"/>
    </row>
    <row r="703">
      <c r="A703" s="99"/>
      <c r="C703" s="99"/>
      <c r="D703" s="102"/>
      <c r="E703" s="103"/>
      <c r="F703" s="104"/>
      <c r="G703" s="8"/>
      <c r="I703" s="61"/>
      <c r="J703" s="99"/>
      <c r="L703" s="99"/>
      <c r="N703" s="101"/>
      <c r="O703" s="61"/>
      <c r="P703" s="61"/>
    </row>
    <row r="704">
      <c r="A704" s="99"/>
      <c r="C704" s="99"/>
      <c r="D704" s="102"/>
      <c r="E704" s="103"/>
      <c r="F704" s="104"/>
      <c r="G704" s="8"/>
      <c r="I704" s="61"/>
      <c r="J704" s="99"/>
      <c r="L704" s="99"/>
      <c r="N704" s="101"/>
      <c r="O704" s="61"/>
      <c r="P704" s="61"/>
    </row>
    <row r="705">
      <c r="A705" s="99"/>
      <c r="C705" s="99"/>
      <c r="D705" s="102"/>
      <c r="E705" s="103"/>
      <c r="F705" s="104"/>
      <c r="G705" s="8"/>
      <c r="I705" s="61"/>
      <c r="J705" s="99"/>
      <c r="L705" s="99"/>
      <c r="N705" s="101"/>
      <c r="O705" s="61"/>
      <c r="P705" s="61"/>
    </row>
    <row r="706">
      <c r="A706" s="99"/>
      <c r="C706" s="99"/>
      <c r="D706" s="102"/>
      <c r="E706" s="103"/>
      <c r="F706" s="104"/>
      <c r="G706" s="8"/>
      <c r="I706" s="61"/>
      <c r="J706" s="99"/>
      <c r="L706" s="99"/>
      <c r="N706" s="101"/>
      <c r="O706" s="61"/>
      <c r="P706" s="61"/>
    </row>
    <row r="707">
      <c r="A707" s="99"/>
      <c r="C707" s="99"/>
      <c r="D707" s="102"/>
      <c r="E707" s="103"/>
      <c r="F707" s="104"/>
      <c r="G707" s="8"/>
      <c r="I707" s="61"/>
      <c r="J707" s="99"/>
      <c r="L707" s="99"/>
      <c r="N707" s="101"/>
      <c r="O707" s="61"/>
      <c r="P707" s="61"/>
    </row>
    <row r="708">
      <c r="A708" s="99"/>
      <c r="C708" s="99"/>
      <c r="D708" s="102"/>
      <c r="E708" s="103"/>
      <c r="F708" s="104"/>
      <c r="G708" s="8"/>
      <c r="I708" s="61"/>
      <c r="J708" s="99"/>
      <c r="L708" s="99"/>
      <c r="N708" s="101"/>
      <c r="O708" s="61"/>
      <c r="P708" s="61"/>
    </row>
    <row r="709">
      <c r="A709" s="99"/>
      <c r="C709" s="99"/>
      <c r="D709" s="102"/>
      <c r="E709" s="103"/>
      <c r="F709" s="104"/>
      <c r="G709" s="8"/>
      <c r="I709" s="61"/>
      <c r="J709" s="99"/>
      <c r="L709" s="99"/>
      <c r="N709" s="101"/>
      <c r="O709" s="61"/>
      <c r="P709" s="61"/>
    </row>
    <row r="710">
      <c r="A710" s="99"/>
      <c r="C710" s="99"/>
      <c r="D710" s="102"/>
      <c r="E710" s="103"/>
      <c r="F710" s="104"/>
      <c r="G710" s="8"/>
      <c r="I710" s="61"/>
      <c r="J710" s="99"/>
      <c r="L710" s="99"/>
      <c r="N710" s="101"/>
      <c r="O710" s="61"/>
      <c r="P710" s="61"/>
    </row>
    <row r="711">
      <c r="A711" s="99"/>
      <c r="C711" s="99"/>
      <c r="D711" s="102"/>
      <c r="E711" s="103"/>
      <c r="F711" s="104"/>
      <c r="G711" s="8"/>
      <c r="I711" s="61"/>
      <c r="J711" s="99"/>
      <c r="L711" s="99"/>
      <c r="N711" s="101"/>
      <c r="O711" s="61"/>
      <c r="P711" s="61"/>
    </row>
    <row r="712">
      <c r="A712" s="99"/>
      <c r="C712" s="99"/>
      <c r="D712" s="102"/>
      <c r="E712" s="103"/>
      <c r="F712" s="104"/>
      <c r="G712" s="8"/>
      <c r="I712" s="61"/>
      <c r="J712" s="99"/>
      <c r="L712" s="99"/>
      <c r="N712" s="101"/>
      <c r="O712" s="61"/>
      <c r="P712" s="61"/>
    </row>
    <row r="713">
      <c r="A713" s="99"/>
      <c r="C713" s="99"/>
      <c r="D713" s="102"/>
      <c r="E713" s="103"/>
      <c r="F713" s="104"/>
      <c r="G713" s="8"/>
      <c r="I713" s="61"/>
      <c r="J713" s="99"/>
      <c r="L713" s="99"/>
      <c r="N713" s="101"/>
      <c r="O713" s="61"/>
      <c r="P713" s="61"/>
    </row>
    <row r="714">
      <c r="A714" s="99"/>
      <c r="C714" s="99"/>
      <c r="D714" s="102"/>
      <c r="E714" s="103"/>
      <c r="F714" s="104"/>
      <c r="G714" s="8"/>
      <c r="I714" s="61"/>
      <c r="J714" s="99"/>
      <c r="L714" s="99"/>
      <c r="N714" s="101"/>
      <c r="O714" s="61"/>
      <c r="P714" s="61"/>
    </row>
    <row r="715">
      <c r="A715" s="99"/>
      <c r="C715" s="99"/>
      <c r="D715" s="102"/>
      <c r="E715" s="103"/>
      <c r="F715" s="104"/>
      <c r="G715" s="8"/>
      <c r="I715" s="61"/>
      <c r="J715" s="99"/>
      <c r="L715" s="99"/>
      <c r="N715" s="101"/>
      <c r="O715" s="61"/>
      <c r="P715" s="61"/>
    </row>
    <row r="716">
      <c r="A716" s="99"/>
      <c r="C716" s="99"/>
      <c r="D716" s="102"/>
      <c r="E716" s="103"/>
      <c r="F716" s="104"/>
      <c r="G716" s="8"/>
      <c r="I716" s="61"/>
      <c r="J716" s="99"/>
      <c r="L716" s="99"/>
      <c r="N716" s="101"/>
      <c r="O716" s="61"/>
      <c r="P716" s="61"/>
    </row>
    <row r="717">
      <c r="A717" s="99"/>
      <c r="C717" s="99"/>
      <c r="D717" s="102"/>
      <c r="E717" s="103"/>
      <c r="F717" s="104"/>
      <c r="G717" s="8"/>
      <c r="I717" s="61"/>
      <c r="J717" s="99"/>
      <c r="L717" s="99"/>
      <c r="N717" s="101"/>
      <c r="O717" s="61"/>
      <c r="P717" s="61"/>
    </row>
    <row r="718">
      <c r="A718" s="99"/>
      <c r="C718" s="99"/>
      <c r="D718" s="102"/>
      <c r="E718" s="103"/>
      <c r="F718" s="104"/>
      <c r="G718" s="8"/>
      <c r="I718" s="61"/>
      <c r="J718" s="99"/>
      <c r="L718" s="99"/>
      <c r="N718" s="101"/>
      <c r="O718" s="61"/>
      <c r="P718" s="61"/>
    </row>
    <row r="719">
      <c r="A719" s="99"/>
      <c r="C719" s="99"/>
      <c r="D719" s="102"/>
      <c r="E719" s="103"/>
      <c r="F719" s="104"/>
      <c r="G719" s="8"/>
      <c r="I719" s="61"/>
      <c r="J719" s="99"/>
      <c r="L719" s="99"/>
      <c r="N719" s="101"/>
      <c r="O719" s="61"/>
      <c r="P719" s="61"/>
    </row>
    <row r="720">
      <c r="A720" s="99"/>
      <c r="C720" s="99"/>
      <c r="D720" s="102"/>
      <c r="E720" s="103"/>
      <c r="F720" s="104"/>
      <c r="G720" s="8"/>
      <c r="I720" s="61"/>
      <c r="J720" s="99"/>
      <c r="L720" s="99"/>
      <c r="N720" s="101"/>
      <c r="O720" s="61"/>
      <c r="P720" s="61"/>
    </row>
    <row r="721">
      <c r="A721" s="99"/>
      <c r="C721" s="99"/>
      <c r="D721" s="102"/>
      <c r="E721" s="103"/>
      <c r="F721" s="104"/>
      <c r="G721" s="8"/>
      <c r="I721" s="61"/>
      <c r="J721" s="99"/>
      <c r="L721" s="99"/>
      <c r="N721" s="101"/>
      <c r="O721" s="61"/>
      <c r="P721" s="61"/>
    </row>
    <row r="722">
      <c r="A722" s="99"/>
      <c r="C722" s="99"/>
      <c r="D722" s="102"/>
      <c r="E722" s="103"/>
      <c r="F722" s="104"/>
      <c r="G722" s="8"/>
      <c r="I722" s="61"/>
      <c r="J722" s="99"/>
      <c r="L722" s="99"/>
      <c r="N722" s="101"/>
      <c r="O722" s="61"/>
      <c r="P722" s="61"/>
    </row>
    <row r="723">
      <c r="A723" s="99"/>
      <c r="C723" s="99"/>
      <c r="D723" s="102"/>
      <c r="E723" s="103"/>
      <c r="F723" s="104"/>
      <c r="G723" s="8"/>
      <c r="I723" s="61"/>
      <c r="J723" s="99"/>
      <c r="L723" s="99"/>
      <c r="N723" s="101"/>
      <c r="O723" s="61"/>
      <c r="P723" s="61"/>
    </row>
    <row r="724">
      <c r="A724" s="99"/>
      <c r="C724" s="99"/>
      <c r="D724" s="102"/>
      <c r="E724" s="103"/>
      <c r="F724" s="104"/>
      <c r="G724" s="8"/>
      <c r="I724" s="61"/>
      <c r="J724" s="99"/>
      <c r="L724" s="99"/>
      <c r="N724" s="101"/>
      <c r="O724" s="61"/>
      <c r="P724" s="61"/>
    </row>
    <row r="725">
      <c r="A725" s="99"/>
      <c r="C725" s="99"/>
      <c r="D725" s="102"/>
      <c r="E725" s="103"/>
      <c r="F725" s="104"/>
      <c r="G725" s="8"/>
      <c r="I725" s="61"/>
      <c r="J725" s="99"/>
      <c r="L725" s="99"/>
      <c r="N725" s="101"/>
      <c r="O725" s="61"/>
      <c r="P725" s="61"/>
    </row>
    <row r="726">
      <c r="A726" s="99"/>
      <c r="C726" s="99"/>
      <c r="D726" s="102"/>
      <c r="E726" s="103"/>
      <c r="F726" s="104"/>
      <c r="G726" s="8"/>
      <c r="I726" s="61"/>
      <c r="J726" s="99"/>
      <c r="L726" s="99"/>
      <c r="N726" s="101"/>
      <c r="O726" s="61"/>
      <c r="P726" s="61"/>
    </row>
    <row r="727">
      <c r="A727" s="99"/>
      <c r="C727" s="99"/>
      <c r="D727" s="102"/>
      <c r="E727" s="103"/>
      <c r="F727" s="104"/>
      <c r="G727" s="8"/>
      <c r="I727" s="61"/>
      <c r="J727" s="99"/>
      <c r="L727" s="99"/>
      <c r="N727" s="101"/>
      <c r="O727" s="61"/>
      <c r="P727" s="61"/>
    </row>
    <row r="728">
      <c r="A728" s="99"/>
      <c r="C728" s="99"/>
      <c r="D728" s="102"/>
      <c r="E728" s="103"/>
      <c r="F728" s="104"/>
      <c r="G728" s="8"/>
      <c r="I728" s="61"/>
      <c r="J728" s="99"/>
      <c r="L728" s="99"/>
      <c r="N728" s="101"/>
      <c r="O728" s="61"/>
      <c r="P728" s="61"/>
    </row>
    <row r="729">
      <c r="A729" s="99"/>
      <c r="C729" s="99"/>
      <c r="D729" s="102"/>
      <c r="E729" s="103"/>
      <c r="F729" s="104"/>
      <c r="G729" s="8"/>
      <c r="I729" s="61"/>
      <c r="J729" s="99"/>
      <c r="L729" s="99"/>
      <c r="N729" s="101"/>
      <c r="O729" s="61"/>
      <c r="P729" s="61"/>
    </row>
    <row r="730">
      <c r="A730" s="99"/>
      <c r="C730" s="99"/>
      <c r="D730" s="102"/>
      <c r="E730" s="103"/>
      <c r="F730" s="104"/>
      <c r="G730" s="8"/>
      <c r="I730" s="61"/>
      <c r="J730" s="99"/>
      <c r="L730" s="99"/>
      <c r="N730" s="101"/>
      <c r="O730" s="61"/>
      <c r="P730" s="61"/>
    </row>
    <row r="731">
      <c r="A731" s="99"/>
      <c r="C731" s="99"/>
      <c r="D731" s="102"/>
      <c r="E731" s="103"/>
      <c r="F731" s="104"/>
      <c r="G731" s="8"/>
      <c r="I731" s="61"/>
      <c r="J731" s="99"/>
      <c r="L731" s="99"/>
      <c r="N731" s="101"/>
      <c r="O731" s="61"/>
      <c r="P731" s="61"/>
    </row>
    <row r="732">
      <c r="A732" s="99"/>
      <c r="C732" s="99"/>
      <c r="D732" s="102"/>
      <c r="E732" s="103"/>
      <c r="F732" s="104"/>
      <c r="G732" s="8"/>
      <c r="I732" s="61"/>
      <c r="J732" s="99"/>
      <c r="L732" s="99"/>
      <c r="N732" s="101"/>
      <c r="O732" s="61"/>
      <c r="P732" s="61"/>
    </row>
    <row r="733">
      <c r="A733" s="99"/>
      <c r="C733" s="99"/>
      <c r="D733" s="102"/>
      <c r="E733" s="103"/>
      <c r="F733" s="104"/>
      <c r="G733" s="8"/>
      <c r="I733" s="61"/>
      <c r="J733" s="99"/>
      <c r="L733" s="99"/>
      <c r="N733" s="101"/>
      <c r="O733" s="61"/>
      <c r="P733" s="61"/>
    </row>
    <row r="734">
      <c r="A734" s="99"/>
      <c r="C734" s="99"/>
      <c r="D734" s="102"/>
      <c r="E734" s="103"/>
      <c r="F734" s="104"/>
      <c r="G734" s="8"/>
      <c r="I734" s="61"/>
      <c r="J734" s="99"/>
      <c r="L734" s="99"/>
      <c r="N734" s="101"/>
      <c r="O734" s="61"/>
      <c r="P734" s="61"/>
    </row>
    <row r="735">
      <c r="A735" s="99"/>
      <c r="C735" s="99"/>
      <c r="D735" s="102"/>
      <c r="E735" s="103"/>
      <c r="F735" s="104"/>
      <c r="G735" s="8"/>
      <c r="I735" s="61"/>
      <c r="J735" s="99"/>
      <c r="L735" s="99"/>
      <c r="N735" s="101"/>
      <c r="O735" s="61"/>
      <c r="P735" s="61"/>
    </row>
    <row r="736">
      <c r="A736" s="99"/>
      <c r="C736" s="99"/>
      <c r="D736" s="102"/>
      <c r="E736" s="103"/>
      <c r="F736" s="104"/>
      <c r="G736" s="8"/>
      <c r="I736" s="61"/>
      <c r="J736" s="99"/>
      <c r="L736" s="99"/>
      <c r="N736" s="101"/>
      <c r="O736" s="61"/>
      <c r="P736" s="61"/>
    </row>
    <row r="737">
      <c r="A737" s="99"/>
      <c r="C737" s="99"/>
      <c r="D737" s="102"/>
      <c r="E737" s="103"/>
      <c r="F737" s="104"/>
      <c r="G737" s="8"/>
      <c r="I737" s="61"/>
      <c r="J737" s="99"/>
      <c r="L737" s="99"/>
      <c r="N737" s="101"/>
      <c r="O737" s="61"/>
      <c r="P737" s="61"/>
    </row>
    <row r="738">
      <c r="A738" s="99"/>
      <c r="C738" s="99"/>
      <c r="D738" s="102"/>
      <c r="E738" s="103"/>
      <c r="F738" s="104"/>
      <c r="G738" s="8"/>
      <c r="I738" s="61"/>
      <c r="J738" s="99"/>
      <c r="L738" s="99"/>
      <c r="N738" s="101"/>
      <c r="O738" s="61"/>
      <c r="P738" s="61"/>
    </row>
    <row r="739">
      <c r="A739" s="99"/>
      <c r="C739" s="99"/>
      <c r="D739" s="102"/>
      <c r="E739" s="103"/>
      <c r="F739" s="104"/>
      <c r="G739" s="8"/>
      <c r="I739" s="61"/>
      <c r="J739" s="99"/>
      <c r="L739" s="99"/>
      <c r="N739" s="101"/>
      <c r="O739" s="61"/>
      <c r="P739" s="61"/>
    </row>
    <row r="740">
      <c r="A740" s="99"/>
      <c r="C740" s="99"/>
      <c r="D740" s="102"/>
      <c r="E740" s="103"/>
      <c r="F740" s="104"/>
      <c r="G740" s="8"/>
      <c r="I740" s="61"/>
      <c r="J740" s="99"/>
      <c r="L740" s="99"/>
      <c r="N740" s="101"/>
      <c r="O740" s="61"/>
      <c r="P740" s="61"/>
    </row>
    <row r="741">
      <c r="A741" s="99"/>
      <c r="C741" s="99"/>
      <c r="D741" s="102"/>
      <c r="E741" s="103"/>
      <c r="F741" s="104"/>
      <c r="G741" s="8"/>
      <c r="I741" s="61"/>
      <c r="J741" s="99"/>
      <c r="L741" s="99"/>
      <c r="N741" s="101"/>
      <c r="O741" s="61"/>
      <c r="P741" s="61"/>
    </row>
    <row r="742">
      <c r="A742" s="99"/>
      <c r="C742" s="99"/>
      <c r="D742" s="102"/>
      <c r="E742" s="103"/>
      <c r="F742" s="104"/>
      <c r="G742" s="8"/>
      <c r="I742" s="61"/>
      <c r="J742" s="99"/>
      <c r="L742" s="99"/>
      <c r="N742" s="101"/>
      <c r="O742" s="61"/>
      <c r="P742" s="61"/>
    </row>
    <row r="743">
      <c r="A743" s="99"/>
      <c r="C743" s="99"/>
      <c r="D743" s="102"/>
      <c r="E743" s="103"/>
      <c r="F743" s="104"/>
      <c r="G743" s="8"/>
      <c r="I743" s="61"/>
      <c r="J743" s="99"/>
      <c r="L743" s="99"/>
      <c r="N743" s="101"/>
      <c r="O743" s="61"/>
      <c r="P743" s="61"/>
    </row>
    <row r="744">
      <c r="A744" s="99"/>
      <c r="C744" s="99"/>
      <c r="D744" s="102"/>
      <c r="E744" s="103"/>
      <c r="F744" s="104"/>
      <c r="G744" s="8"/>
      <c r="I744" s="61"/>
      <c r="J744" s="99"/>
      <c r="L744" s="99"/>
      <c r="N744" s="101"/>
      <c r="O744" s="61"/>
      <c r="P744" s="61"/>
    </row>
    <row r="745">
      <c r="A745" s="99"/>
      <c r="C745" s="99"/>
      <c r="D745" s="102"/>
      <c r="E745" s="103"/>
      <c r="F745" s="104"/>
      <c r="G745" s="8"/>
      <c r="I745" s="61"/>
      <c r="J745" s="99"/>
      <c r="L745" s="99"/>
      <c r="N745" s="101"/>
      <c r="O745" s="61"/>
      <c r="P745" s="61"/>
    </row>
    <row r="746">
      <c r="A746" s="99"/>
      <c r="C746" s="99"/>
      <c r="D746" s="102"/>
      <c r="E746" s="103"/>
      <c r="F746" s="104"/>
      <c r="G746" s="8"/>
      <c r="I746" s="61"/>
      <c r="J746" s="99"/>
      <c r="L746" s="99"/>
      <c r="N746" s="101"/>
      <c r="O746" s="61"/>
      <c r="P746" s="61"/>
    </row>
    <row r="747">
      <c r="A747" s="99"/>
      <c r="C747" s="99"/>
      <c r="D747" s="102"/>
      <c r="E747" s="103"/>
      <c r="F747" s="104"/>
      <c r="G747" s="8"/>
      <c r="I747" s="61"/>
      <c r="J747" s="99"/>
      <c r="L747" s="99"/>
      <c r="N747" s="101"/>
      <c r="O747" s="61"/>
      <c r="P747" s="61"/>
    </row>
    <row r="748">
      <c r="A748" s="99"/>
      <c r="C748" s="99"/>
      <c r="D748" s="102"/>
      <c r="E748" s="103"/>
      <c r="F748" s="104"/>
      <c r="G748" s="8"/>
      <c r="I748" s="61"/>
      <c r="J748" s="99"/>
      <c r="L748" s="99"/>
      <c r="N748" s="101"/>
      <c r="O748" s="61"/>
      <c r="P748" s="61"/>
    </row>
    <row r="749">
      <c r="A749" s="99"/>
      <c r="C749" s="99"/>
      <c r="D749" s="102"/>
      <c r="E749" s="103"/>
      <c r="F749" s="104"/>
      <c r="G749" s="8"/>
      <c r="I749" s="61"/>
      <c r="J749" s="99"/>
      <c r="L749" s="99"/>
      <c r="N749" s="101"/>
      <c r="O749" s="61"/>
      <c r="P749" s="61"/>
    </row>
    <row r="750">
      <c r="A750" s="99"/>
      <c r="C750" s="99"/>
      <c r="D750" s="102"/>
      <c r="E750" s="103"/>
      <c r="F750" s="104"/>
      <c r="G750" s="8"/>
      <c r="I750" s="61"/>
      <c r="J750" s="99"/>
      <c r="L750" s="99"/>
      <c r="N750" s="101"/>
      <c r="O750" s="61"/>
      <c r="P750" s="61"/>
    </row>
    <row r="751">
      <c r="A751" s="99"/>
      <c r="C751" s="99"/>
      <c r="D751" s="102"/>
      <c r="E751" s="103"/>
      <c r="F751" s="104"/>
      <c r="G751" s="8"/>
      <c r="I751" s="61"/>
      <c r="J751" s="99"/>
      <c r="L751" s="99"/>
      <c r="N751" s="101"/>
      <c r="O751" s="61"/>
      <c r="P751" s="61"/>
    </row>
    <row r="752">
      <c r="A752" s="99"/>
      <c r="C752" s="99"/>
      <c r="D752" s="102"/>
      <c r="E752" s="103"/>
      <c r="F752" s="104"/>
      <c r="G752" s="8"/>
      <c r="I752" s="61"/>
      <c r="J752" s="99"/>
      <c r="L752" s="99"/>
      <c r="N752" s="101"/>
      <c r="O752" s="61"/>
      <c r="P752" s="61"/>
    </row>
    <row r="753">
      <c r="A753" s="99"/>
      <c r="C753" s="99"/>
      <c r="D753" s="102"/>
      <c r="E753" s="103"/>
      <c r="F753" s="104"/>
      <c r="G753" s="8"/>
      <c r="I753" s="61"/>
      <c r="J753" s="99"/>
      <c r="L753" s="99"/>
      <c r="N753" s="101"/>
      <c r="O753" s="61"/>
      <c r="P753" s="61"/>
    </row>
    <row r="754">
      <c r="A754" s="99"/>
      <c r="C754" s="99"/>
      <c r="D754" s="102"/>
      <c r="E754" s="103"/>
      <c r="F754" s="104"/>
      <c r="G754" s="8"/>
      <c r="I754" s="61"/>
      <c r="J754" s="99"/>
      <c r="L754" s="99"/>
      <c r="N754" s="101"/>
      <c r="O754" s="61"/>
      <c r="P754" s="61"/>
    </row>
    <row r="755">
      <c r="A755" s="99"/>
      <c r="C755" s="99"/>
      <c r="D755" s="102"/>
      <c r="E755" s="103"/>
      <c r="F755" s="104"/>
      <c r="G755" s="8"/>
      <c r="I755" s="61"/>
      <c r="J755" s="99"/>
      <c r="L755" s="99"/>
      <c r="N755" s="101"/>
      <c r="O755" s="61"/>
      <c r="P755" s="61"/>
    </row>
    <row r="756">
      <c r="A756" s="99"/>
      <c r="C756" s="99"/>
      <c r="D756" s="102"/>
      <c r="E756" s="103"/>
      <c r="F756" s="104"/>
      <c r="G756" s="8"/>
      <c r="I756" s="61"/>
      <c r="J756" s="99"/>
      <c r="L756" s="99"/>
      <c r="N756" s="101"/>
      <c r="O756" s="61"/>
      <c r="P756" s="61"/>
    </row>
    <row r="757">
      <c r="A757" s="99"/>
      <c r="C757" s="99"/>
      <c r="D757" s="102"/>
      <c r="E757" s="103"/>
      <c r="F757" s="104"/>
      <c r="G757" s="8"/>
      <c r="I757" s="61"/>
      <c r="J757" s="99"/>
      <c r="L757" s="99"/>
      <c r="N757" s="101"/>
      <c r="O757" s="61"/>
      <c r="P757" s="61"/>
    </row>
    <row r="758">
      <c r="A758" s="99"/>
      <c r="C758" s="99"/>
      <c r="D758" s="102"/>
      <c r="E758" s="103"/>
      <c r="F758" s="104"/>
      <c r="G758" s="8"/>
      <c r="I758" s="61"/>
      <c r="J758" s="99"/>
      <c r="L758" s="99"/>
      <c r="N758" s="101"/>
      <c r="O758" s="61"/>
      <c r="P758" s="61"/>
    </row>
    <row r="759">
      <c r="A759" s="99"/>
      <c r="C759" s="99"/>
      <c r="D759" s="102"/>
      <c r="E759" s="103"/>
      <c r="F759" s="104"/>
      <c r="G759" s="8"/>
      <c r="I759" s="61"/>
      <c r="J759" s="99"/>
      <c r="L759" s="99"/>
      <c r="N759" s="101"/>
      <c r="O759" s="61"/>
      <c r="P759" s="61"/>
    </row>
    <row r="760">
      <c r="A760" s="99"/>
      <c r="C760" s="99"/>
      <c r="D760" s="102"/>
      <c r="E760" s="103"/>
      <c r="F760" s="104"/>
      <c r="G760" s="8"/>
      <c r="I760" s="61"/>
      <c r="J760" s="99"/>
      <c r="L760" s="99"/>
      <c r="N760" s="101"/>
      <c r="O760" s="61"/>
      <c r="P760" s="61"/>
    </row>
    <row r="761">
      <c r="A761" s="99"/>
      <c r="C761" s="99"/>
      <c r="D761" s="102"/>
      <c r="E761" s="103"/>
      <c r="F761" s="104"/>
      <c r="G761" s="8"/>
      <c r="I761" s="61"/>
      <c r="J761" s="99"/>
      <c r="L761" s="99"/>
      <c r="N761" s="101"/>
      <c r="O761" s="61"/>
      <c r="P761" s="61"/>
    </row>
    <row r="762">
      <c r="A762" s="99"/>
      <c r="C762" s="99"/>
      <c r="D762" s="102"/>
      <c r="E762" s="103"/>
      <c r="F762" s="104"/>
      <c r="G762" s="8"/>
      <c r="I762" s="61"/>
      <c r="J762" s="99"/>
      <c r="L762" s="99"/>
      <c r="N762" s="101"/>
      <c r="O762" s="61"/>
      <c r="P762" s="61"/>
    </row>
    <row r="763">
      <c r="A763" s="99"/>
      <c r="C763" s="99"/>
      <c r="D763" s="102"/>
      <c r="E763" s="103"/>
      <c r="F763" s="104"/>
      <c r="G763" s="8"/>
      <c r="I763" s="61"/>
      <c r="J763" s="99"/>
      <c r="L763" s="99"/>
      <c r="N763" s="101"/>
      <c r="O763" s="61"/>
      <c r="P763" s="61"/>
    </row>
    <row r="764">
      <c r="A764" s="99"/>
      <c r="C764" s="99"/>
      <c r="D764" s="102"/>
      <c r="E764" s="103"/>
      <c r="F764" s="104"/>
      <c r="G764" s="8"/>
      <c r="I764" s="61"/>
      <c r="J764" s="99"/>
      <c r="L764" s="99"/>
      <c r="N764" s="101"/>
      <c r="O764" s="61"/>
      <c r="P764" s="61"/>
    </row>
    <row r="765">
      <c r="A765" s="99"/>
      <c r="C765" s="99"/>
      <c r="D765" s="102"/>
      <c r="E765" s="103"/>
      <c r="F765" s="104"/>
      <c r="G765" s="8"/>
      <c r="I765" s="61"/>
      <c r="J765" s="99"/>
      <c r="L765" s="99"/>
      <c r="N765" s="101"/>
      <c r="O765" s="61"/>
      <c r="P765" s="61"/>
    </row>
    <row r="766">
      <c r="A766" s="99"/>
      <c r="C766" s="99"/>
      <c r="D766" s="102"/>
      <c r="E766" s="103"/>
      <c r="F766" s="104"/>
      <c r="G766" s="8"/>
      <c r="I766" s="61"/>
      <c r="J766" s="99"/>
      <c r="L766" s="99"/>
      <c r="N766" s="101"/>
      <c r="O766" s="61"/>
      <c r="P766" s="61"/>
    </row>
    <row r="767">
      <c r="A767" s="99"/>
      <c r="C767" s="99"/>
      <c r="D767" s="102"/>
      <c r="E767" s="103"/>
      <c r="F767" s="104"/>
      <c r="G767" s="8"/>
      <c r="I767" s="61"/>
      <c r="J767" s="99"/>
      <c r="L767" s="99"/>
      <c r="N767" s="101"/>
      <c r="O767" s="61"/>
      <c r="P767" s="61"/>
    </row>
    <row r="768">
      <c r="A768" s="99"/>
      <c r="C768" s="99"/>
      <c r="D768" s="102"/>
      <c r="E768" s="103"/>
      <c r="F768" s="104"/>
      <c r="G768" s="8"/>
      <c r="I768" s="61"/>
      <c r="J768" s="99"/>
      <c r="L768" s="99"/>
      <c r="N768" s="101"/>
      <c r="O768" s="61"/>
      <c r="P768" s="61"/>
    </row>
    <row r="769">
      <c r="A769" s="99"/>
      <c r="C769" s="99"/>
      <c r="D769" s="102"/>
      <c r="E769" s="103"/>
      <c r="F769" s="104"/>
      <c r="G769" s="8"/>
      <c r="I769" s="61"/>
      <c r="J769" s="99"/>
      <c r="L769" s="99"/>
      <c r="N769" s="101"/>
      <c r="O769" s="61"/>
      <c r="P769" s="61"/>
    </row>
    <row r="770">
      <c r="A770" s="99"/>
      <c r="C770" s="99"/>
      <c r="D770" s="102"/>
      <c r="E770" s="103"/>
      <c r="F770" s="104"/>
      <c r="G770" s="8"/>
      <c r="I770" s="61"/>
      <c r="J770" s="99"/>
      <c r="L770" s="99"/>
      <c r="N770" s="101"/>
      <c r="O770" s="61"/>
      <c r="P770" s="61"/>
    </row>
    <row r="771">
      <c r="A771" s="99"/>
      <c r="C771" s="99"/>
      <c r="D771" s="102"/>
      <c r="E771" s="103"/>
      <c r="F771" s="104"/>
      <c r="G771" s="8"/>
      <c r="I771" s="61"/>
      <c r="J771" s="99"/>
      <c r="L771" s="99"/>
      <c r="N771" s="101"/>
      <c r="O771" s="61"/>
      <c r="P771" s="61"/>
    </row>
    <row r="772">
      <c r="A772" s="99"/>
      <c r="C772" s="99"/>
      <c r="D772" s="102"/>
      <c r="E772" s="103"/>
      <c r="F772" s="104"/>
      <c r="G772" s="8"/>
      <c r="I772" s="61"/>
      <c r="J772" s="99"/>
      <c r="L772" s="99"/>
      <c r="N772" s="101"/>
      <c r="O772" s="61"/>
      <c r="P772" s="61"/>
    </row>
    <row r="773">
      <c r="A773" s="99"/>
      <c r="C773" s="99"/>
      <c r="D773" s="102"/>
      <c r="E773" s="103"/>
      <c r="F773" s="104"/>
      <c r="G773" s="8"/>
      <c r="I773" s="61"/>
      <c r="J773" s="99"/>
      <c r="L773" s="99"/>
      <c r="N773" s="101"/>
      <c r="O773" s="61"/>
      <c r="P773" s="61"/>
    </row>
    <row r="774">
      <c r="A774" s="99"/>
      <c r="C774" s="99"/>
      <c r="D774" s="102"/>
      <c r="E774" s="103"/>
      <c r="F774" s="104"/>
      <c r="G774" s="8"/>
      <c r="I774" s="61"/>
      <c r="J774" s="99"/>
      <c r="L774" s="99"/>
      <c r="N774" s="101"/>
      <c r="O774" s="61"/>
      <c r="P774" s="61"/>
    </row>
    <row r="775">
      <c r="A775" s="99"/>
      <c r="C775" s="99"/>
      <c r="D775" s="102"/>
      <c r="E775" s="103"/>
      <c r="F775" s="104"/>
      <c r="G775" s="8"/>
      <c r="I775" s="61"/>
      <c r="J775" s="99"/>
      <c r="L775" s="99"/>
      <c r="N775" s="101"/>
      <c r="O775" s="61"/>
      <c r="P775" s="61"/>
    </row>
    <row r="776">
      <c r="A776" s="99"/>
      <c r="C776" s="99"/>
      <c r="D776" s="102"/>
      <c r="E776" s="103"/>
      <c r="F776" s="104"/>
      <c r="G776" s="8"/>
      <c r="I776" s="61"/>
      <c r="J776" s="99"/>
      <c r="L776" s="99"/>
      <c r="N776" s="101"/>
      <c r="O776" s="61"/>
      <c r="P776" s="61"/>
    </row>
    <row r="777">
      <c r="A777" s="99"/>
      <c r="C777" s="99"/>
      <c r="D777" s="102"/>
      <c r="E777" s="103"/>
      <c r="F777" s="104"/>
      <c r="G777" s="8"/>
      <c r="I777" s="61"/>
      <c r="J777" s="99"/>
      <c r="L777" s="99"/>
      <c r="N777" s="101"/>
      <c r="O777" s="61"/>
      <c r="P777" s="61"/>
    </row>
    <row r="778">
      <c r="A778" s="99"/>
      <c r="C778" s="99"/>
      <c r="D778" s="102"/>
      <c r="E778" s="103"/>
      <c r="F778" s="104"/>
      <c r="G778" s="8"/>
      <c r="I778" s="61"/>
      <c r="J778" s="99"/>
      <c r="L778" s="99"/>
      <c r="N778" s="101"/>
      <c r="O778" s="61"/>
      <c r="P778" s="61"/>
    </row>
    <row r="779">
      <c r="A779" s="99"/>
      <c r="C779" s="99"/>
      <c r="D779" s="102"/>
      <c r="E779" s="103"/>
      <c r="F779" s="104"/>
      <c r="G779" s="8"/>
      <c r="I779" s="61"/>
      <c r="J779" s="99"/>
      <c r="L779" s="99"/>
      <c r="N779" s="101"/>
      <c r="O779" s="61"/>
      <c r="P779" s="61"/>
    </row>
    <row r="780">
      <c r="A780" s="99"/>
      <c r="C780" s="99"/>
      <c r="D780" s="102"/>
      <c r="E780" s="103"/>
      <c r="F780" s="104"/>
      <c r="G780" s="8"/>
      <c r="I780" s="61"/>
      <c r="J780" s="99"/>
      <c r="L780" s="99"/>
      <c r="N780" s="101"/>
      <c r="O780" s="61"/>
      <c r="P780" s="61"/>
    </row>
    <row r="781">
      <c r="A781" s="99"/>
      <c r="C781" s="99"/>
      <c r="D781" s="102"/>
      <c r="E781" s="103"/>
      <c r="F781" s="104"/>
      <c r="G781" s="8"/>
      <c r="I781" s="61"/>
      <c r="J781" s="99"/>
      <c r="L781" s="99"/>
      <c r="N781" s="101"/>
      <c r="O781" s="61"/>
      <c r="P781" s="61"/>
    </row>
    <row r="782">
      <c r="A782" s="99"/>
      <c r="C782" s="99"/>
      <c r="D782" s="102"/>
      <c r="E782" s="103"/>
      <c r="F782" s="104"/>
      <c r="G782" s="8"/>
      <c r="I782" s="61"/>
      <c r="J782" s="99"/>
      <c r="L782" s="99"/>
      <c r="N782" s="101"/>
      <c r="O782" s="61"/>
      <c r="P782" s="61"/>
    </row>
    <row r="783">
      <c r="A783" s="99"/>
      <c r="C783" s="99"/>
      <c r="D783" s="102"/>
      <c r="E783" s="103"/>
      <c r="F783" s="104"/>
      <c r="G783" s="8"/>
      <c r="I783" s="61"/>
      <c r="J783" s="99"/>
      <c r="L783" s="99"/>
      <c r="N783" s="101"/>
      <c r="O783" s="61"/>
      <c r="P783" s="61"/>
    </row>
    <row r="784">
      <c r="A784" s="99"/>
      <c r="C784" s="99"/>
      <c r="D784" s="102"/>
      <c r="E784" s="103"/>
      <c r="F784" s="104"/>
      <c r="G784" s="8"/>
      <c r="I784" s="61"/>
      <c r="J784" s="99"/>
      <c r="L784" s="99"/>
      <c r="N784" s="101"/>
      <c r="O784" s="61"/>
      <c r="P784" s="61"/>
    </row>
    <row r="785">
      <c r="A785" s="99"/>
      <c r="C785" s="99"/>
      <c r="D785" s="102"/>
      <c r="E785" s="103"/>
      <c r="F785" s="104"/>
      <c r="G785" s="8"/>
      <c r="I785" s="61"/>
      <c r="J785" s="99"/>
      <c r="L785" s="99"/>
      <c r="N785" s="101"/>
      <c r="O785" s="61"/>
      <c r="P785" s="61"/>
    </row>
    <row r="786">
      <c r="A786" s="99"/>
      <c r="C786" s="99"/>
      <c r="D786" s="102"/>
      <c r="E786" s="103"/>
      <c r="F786" s="104"/>
      <c r="G786" s="8"/>
      <c r="I786" s="61"/>
      <c r="J786" s="99"/>
      <c r="L786" s="99"/>
      <c r="N786" s="101"/>
      <c r="O786" s="61"/>
      <c r="P786" s="61"/>
    </row>
    <row r="787">
      <c r="A787" s="99"/>
      <c r="C787" s="99"/>
      <c r="D787" s="102"/>
      <c r="E787" s="103"/>
      <c r="F787" s="104"/>
      <c r="G787" s="8"/>
      <c r="I787" s="61"/>
      <c r="J787" s="99"/>
      <c r="L787" s="99"/>
      <c r="N787" s="101"/>
      <c r="O787" s="61"/>
      <c r="P787" s="61"/>
    </row>
    <row r="788">
      <c r="A788" s="99"/>
      <c r="C788" s="99"/>
      <c r="D788" s="102"/>
      <c r="E788" s="103"/>
      <c r="F788" s="104"/>
      <c r="G788" s="8"/>
      <c r="I788" s="61"/>
      <c r="J788" s="99"/>
      <c r="L788" s="99"/>
      <c r="N788" s="101"/>
      <c r="O788" s="61"/>
      <c r="P788" s="61"/>
    </row>
    <row r="789">
      <c r="A789" s="99"/>
      <c r="C789" s="99"/>
      <c r="D789" s="102"/>
      <c r="E789" s="103"/>
      <c r="F789" s="104"/>
      <c r="G789" s="8"/>
      <c r="I789" s="61"/>
      <c r="J789" s="99"/>
      <c r="L789" s="99"/>
      <c r="N789" s="101"/>
      <c r="O789" s="61"/>
      <c r="P789" s="61"/>
    </row>
    <row r="790">
      <c r="A790" s="99"/>
      <c r="C790" s="99"/>
      <c r="D790" s="102"/>
      <c r="E790" s="103"/>
      <c r="F790" s="104"/>
      <c r="G790" s="8"/>
      <c r="I790" s="61"/>
      <c r="J790" s="99"/>
      <c r="L790" s="99"/>
      <c r="N790" s="101"/>
      <c r="O790" s="61"/>
      <c r="P790" s="61"/>
    </row>
    <row r="791">
      <c r="A791" s="99"/>
      <c r="C791" s="99"/>
      <c r="D791" s="102"/>
      <c r="E791" s="103"/>
      <c r="F791" s="104"/>
      <c r="G791" s="8"/>
      <c r="I791" s="61"/>
      <c r="J791" s="99"/>
      <c r="L791" s="99"/>
      <c r="N791" s="101"/>
      <c r="O791" s="61"/>
      <c r="P791" s="61"/>
    </row>
    <row r="792">
      <c r="A792" s="99"/>
      <c r="C792" s="99"/>
      <c r="D792" s="102"/>
      <c r="E792" s="103"/>
      <c r="F792" s="104"/>
      <c r="G792" s="8"/>
      <c r="I792" s="61"/>
      <c r="J792" s="99"/>
      <c r="L792" s="99"/>
      <c r="N792" s="101"/>
      <c r="O792" s="61"/>
      <c r="P792" s="61"/>
    </row>
    <row r="793">
      <c r="A793" s="99"/>
      <c r="C793" s="99"/>
      <c r="D793" s="102"/>
      <c r="E793" s="103"/>
      <c r="F793" s="104"/>
      <c r="G793" s="8"/>
      <c r="I793" s="61"/>
      <c r="J793" s="99"/>
      <c r="L793" s="99"/>
      <c r="N793" s="101"/>
      <c r="O793" s="61"/>
      <c r="P793" s="61"/>
    </row>
    <row r="794">
      <c r="A794" s="99"/>
      <c r="C794" s="99"/>
      <c r="D794" s="102"/>
      <c r="E794" s="103"/>
      <c r="F794" s="104"/>
      <c r="G794" s="8"/>
      <c r="I794" s="61"/>
      <c r="J794" s="99"/>
      <c r="L794" s="99"/>
      <c r="N794" s="101"/>
      <c r="O794" s="61"/>
      <c r="P794" s="61"/>
    </row>
    <row r="795">
      <c r="A795" s="99"/>
      <c r="C795" s="99"/>
      <c r="D795" s="102"/>
      <c r="E795" s="103"/>
      <c r="F795" s="104"/>
      <c r="G795" s="8"/>
      <c r="I795" s="61"/>
      <c r="J795" s="99"/>
      <c r="L795" s="99"/>
      <c r="N795" s="101"/>
      <c r="O795" s="61"/>
      <c r="P795" s="61"/>
    </row>
    <row r="796">
      <c r="A796" s="99"/>
      <c r="C796" s="99"/>
      <c r="D796" s="102"/>
      <c r="E796" s="103"/>
      <c r="F796" s="104"/>
      <c r="G796" s="8"/>
      <c r="I796" s="61"/>
      <c r="J796" s="99"/>
      <c r="L796" s="99"/>
      <c r="N796" s="101"/>
      <c r="O796" s="61"/>
      <c r="P796" s="61"/>
    </row>
    <row r="797">
      <c r="A797" s="99"/>
      <c r="C797" s="99"/>
      <c r="D797" s="102"/>
      <c r="E797" s="103"/>
      <c r="F797" s="104"/>
      <c r="G797" s="8"/>
      <c r="I797" s="61"/>
      <c r="J797" s="99"/>
      <c r="L797" s="99"/>
      <c r="N797" s="101"/>
      <c r="O797" s="61"/>
      <c r="P797" s="61"/>
    </row>
    <row r="798">
      <c r="A798" s="99"/>
      <c r="C798" s="99"/>
      <c r="D798" s="102"/>
      <c r="E798" s="103"/>
      <c r="F798" s="104"/>
      <c r="G798" s="8"/>
      <c r="I798" s="61"/>
      <c r="J798" s="99"/>
      <c r="L798" s="99"/>
      <c r="N798" s="101"/>
      <c r="O798" s="61"/>
      <c r="P798" s="61"/>
    </row>
    <row r="799">
      <c r="A799" s="99"/>
      <c r="C799" s="99"/>
      <c r="D799" s="102"/>
      <c r="E799" s="103"/>
      <c r="F799" s="104"/>
      <c r="G799" s="8"/>
      <c r="I799" s="61"/>
      <c r="J799" s="99"/>
      <c r="L799" s="99"/>
      <c r="N799" s="101"/>
      <c r="O799" s="61"/>
      <c r="P799" s="61"/>
    </row>
    <row r="800">
      <c r="A800" s="99"/>
      <c r="C800" s="99"/>
      <c r="D800" s="102"/>
      <c r="E800" s="103"/>
      <c r="F800" s="104"/>
      <c r="G800" s="8"/>
      <c r="I800" s="61"/>
      <c r="J800" s="99"/>
      <c r="L800" s="99"/>
      <c r="N800" s="101"/>
      <c r="O800" s="61"/>
      <c r="P800" s="61"/>
    </row>
    <row r="801">
      <c r="A801" s="99"/>
      <c r="C801" s="99"/>
      <c r="D801" s="102"/>
      <c r="E801" s="103"/>
      <c r="F801" s="104"/>
      <c r="G801" s="8"/>
      <c r="I801" s="61"/>
      <c r="J801" s="99"/>
      <c r="L801" s="99"/>
      <c r="N801" s="101"/>
      <c r="O801" s="61"/>
      <c r="P801" s="61"/>
    </row>
    <row r="802">
      <c r="A802" s="99"/>
      <c r="C802" s="99"/>
      <c r="D802" s="102"/>
      <c r="E802" s="103"/>
      <c r="F802" s="104"/>
      <c r="G802" s="8"/>
      <c r="I802" s="61"/>
      <c r="J802" s="99"/>
      <c r="L802" s="99"/>
      <c r="N802" s="101"/>
      <c r="O802" s="61"/>
      <c r="P802" s="61"/>
    </row>
    <row r="803">
      <c r="A803" s="99"/>
      <c r="C803" s="99"/>
      <c r="D803" s="102"/>
      <c r="E803" s="103"/>
      <c r="F803" s="104"/>
      <c r="G803" s="8"/>
      <c r="I803" s="61"/>
      <c r="J803" s="99"/>
      <c r="L803" s="99"/>
      <c r="N803" s="101"/>
      <c r="O803" s="61"/>
      <c r="P803" s="61"/>
    </row>
    <row r="804">
      <c r="A804" s="99"/>
      <c r="C804" s="99"/>
      <c r="D804" s="102"/>
      <c r="E804" s="103"/>
      <c r="F804" s="104"/>
      <c r="G804" s="8"/>
      <c r="I804" s="61"/>
      <c r="J804" s="99"/>
      <c r="L804" s="99"/>
      <c r="N804" s="101"/>
      <c r="O804" s="61"/>
      <c r="P804" s="61"/>
    </row>
    <row r="805">
      <c r="A805" s="99"/>
      <c r="C805" s="99"/>
      <c r="D805" s="102"/>
      <c r="E805" s="103"/>
      <c r="F805" s="104"/>
      <c r="G805" s="8"/>
      <c r="I805" s="61"/>
      <c r="J805" s="99"/>
      <c r="L805" s="99"/>
      <c r="N805" s="101"/>
      <c r="O805" s="61"/>
      <c r="P805" s="61"/>
    </row>
    <row r="806">
      <c r="A806" s="99"/>
      <c r="C806" s="99"/>
      <c r="D806" s="102"/>
      <c r="E806" s="103"/>
      <c r="F806" s="104"/>
      <c r="G806" s="8"/>
      <c r="I806" s="61"/>
      <c r="J806" s="99"/>
      <c r="L806" s="99"/>
      <c r="N806" s="101"/>
      <c r="O806" s="61"/>
      <c r="P806" s="61"/>
    </row>
    <row r="807">
      <c r="A807" s="99"/>
      <c r="C807" s="99"/>
      <c r="D807" s="102"/>
      <c r="E807" s="103"/>
      <c r="F807" s="104"/>
      <c r="G807" s="8"/>
      <c r="I807" s="61"/>
      <c r="J807" s="99"/>
      <c r="L807" s="99"/>
      <c r="N807" s="101"/>
      <c r="O807" s="61"/>
      <c r="P807" s="61"/>
    </row>
    <row r="808">
      <c r="A808" s="99"/>
      <c r="C808" s="99"/>
      <c r="D808" s="102"/>
      <c r="E808" s="103"/>
      <c r="F808" s="104"/>
      <c r="G808" s="8"/>
      <c r="I808" s="61"/>
      <c r="J808" s="99"/>
      <c r="L808" s="99"/>
      <c r="N808" s="101"/>
      <c r="O808" s="61"/>
      <c r="P808" s="61"/>
    </row>
    <row r="809">
      <c r="A809" s="99"/>
      <c r="C809" s="99"/>
      <c r="D809" s="102"/>
      <c r="E809" s="103"/>
      <c r="F809" s="104"/>
      <c r="G809" s="8"/>
      <c r="I809" s="61"/>
      <c r="J809" s="99"/>
      <c r="L809" s="99"/>
      <c r="N809" s="101"/>
      <c r="O809" s="61"/>
      <c r="P809" s="61"/>
    </row>
    <row r="810">
      <c r="A810" s="99"/>
      <c r="C810" s="99"/>
      <c r="D810" s="102"/>
      <c r="E810" s="103"/>
      <c r="F810" s="104"/>
      <c r="G810" s="8"/>
      <c r="I810" s="61"/>
      <c r="J810" s="99"/>
      <c r="L810" s="99"/>
      <c r="N810" s="101"/>
      <c r="O810" s="61"/>
      <c r="P810" s="61"/>
    </row>
    <row r="811">
      <c r="A811" s="99"/>
      <c r="C811" s="99"/>
      <c r="D811" s="102"/>
      <c r="E811" s="103"/>
      <c r="F811" s="104"/>
      <c r="G811" s="8"/>
      <c r="I811" s="61"/>
      <c r="J811" s="99"/>
      <c r="L811" s="99"/>
      <c r="N811" s="101"/>
      <c r="O811" s="61"/>
      <c r="P811" s="61"/>
    </row>
    <row r="812">
      <c r="A812" s="99"/>
      <c r="C812" s="99"/>
      <c r="D812" s="102"/>
      <c r="E812" s="103"/>
      <c r="F812" s="104"/>
      <c r="G812" s="8"/>
      <c r="I812" s="61"/>
      <c r="J812" s="99"/>
      <c r="L812" s="99"/>
      <c r="N812" s="101"/>
      <c r="O812" s="61"/>
      <c r="P812" s="61"/>
    </row>
    <row r="813">
      <c r="A813" s="99"/>
      <c r="C813" s="99"/>
      <c r="D813" s="102"/>
      <c r="E813" s="103"/>
      <c r="F813" s="104"/>
      <c r="G813" s="8"/>
      <c r="I813" s="61"/>
      <c r="J813" s="99"/>
      <c r="L813" s="99"/>
      <c r="N813" s="101"/>
      <c r="O813" s="61"/>
      <c r="P813" s="61"/>
    </row>
    <row r="814">
      <c r="A814" s="99"/>
      <c r="C814" s="99"/>
      <c r="D814" s="102"/>
      <c r="E814" s="103"/>
      <c r="F814" s="104"/>
      <c r="G814" s="8"/>
      <c r="I814" s="61"/>
      <c r="J814" s="99"/>
      <c r="L814" s="99"/>
      <c r="N814" s="101"/>
      <c r="O814" s="61"/>
      <c r="P814" s="61"/>
    </row>
    <row r="815">
      <c r="A815" s="99"/>
      <c r="C815" s="99"/>
      <c r="D815" s="102"/>
      <c r="E815" s="103"/>
      <c r="F815" s="104"/>
      <c r="G815" s="8"/>
      <c r="I815" s="61"/>
      <c r="J815" s="99"/>
      <c r="L815" s="99"/>
      <c r="N815" s="101"/>
      <c r="O815" s="61"/>
      <c r="P815" s="61"/>
    </row>
    <row r="816">
      <c r="A816" s="99"/>
      <c r="C816" s="99"/>
      <c r="D816" s="102"/>
      <c r="E816" s="103"/>
      <c r="F816" s="104"/>
      <c r="G816" s="8"/>
      <c r="I816" s="61"/>
      <c r="J816" s="99"/>
      <c r="L816" s="99"/>
      <c r="N816" s="101"/>
      <c r="O816" s="61"/>
      <c r="P816" s="61"/>
    </row>
    <row r="817">
      <c r="A817" s="99"/>
      <c r="C817" s="99"/>
      <c r="D817" s="102"/>
      <c r="E817" s="103"/>
      <c r="F817" s="104"/>
      <c r="G817" s="8"/>
      <c r="I817" s="61"/>
      <c r="J817" s="99"/>
      <c r="L817" s="99"/>
      <c r="N817" s="101"/>
      <c r="O817" s="61"/>
      <c r="P817" s="61"/>
    </row>
    <row r="818">
      <c r="A818" s="99"/>
      <c r="C818" s="99"/>
      <c r="D818" s="102"/>
      <c r="E818" s="103"/>
      <c r="F818" s="104"/>
      <c r="G818" s="8"/>
      <c r="I818" s="61"/>
      <c r="J818" s="99"/>
      <c r="L818" s="99"/>
      <c r="N818" s="101"/>
      <c r="O818" s="61"/>
      <c r="P818" s="61"/>
    </row>
    <row r="819">
      <c r="A819" s="99"/>
      <c r="C819" s="99"/>
      <c r="D819" s="102"/>
      <c r="E819" s="103"/>
      <c r="F819" s="104"/>
      <c r="G819" s="8"/>
      <c r="I819" s="61"/>
      <c r="J819" s="99"/>
      <c r="L819" s="99"/>
      <c r="N819" s="101"/>
      <c r="O819" s="61"/>
      <c r="P819" s="61"/>
    </row>
    <row r="820">
      <c r="A820" s="99"/>
      <c r="C820" s="99"/>
      <c r="D820" s="102"/>
      <c r="E820" s="103"/>
      <c r="F820" s="104"/>
      <c r="G820" s="8"/>
      <c r="I820" s="61"/>
      <c r="J820" s="99"/>
      <c r="L820" s="99"/>
      <c r="N820" s="101"/>
      <c r="O820" s="61"/>
      <c r="P820" s="61"/>
    </row>
    <row r="821">
      <c r="A821" s="99"/>
      <c r="C821" s="99"/>
      <c r="D821" s="102"/>
      <c r="E821" s="103"/>
      <c r="F821" s="104"/>
      <c r="G821" s="8"/>
      <c r="I821" s="61"/>
      <c r="J821" s="99"/>
      <c r="L821" s="99"/>
      <c r="N821" s="101"/>
      <c r="O821" s="61"/>
      <c r="P821" s="61"/>
    </row>
    <row r="822">
      <c r="A822" s="99"/>
      <c r="C822" s="99"/>
      <c r="D822" s="102"/>
      <c r="E822" s="103"/>
      <c r="F822" s="104"/>
      <c r="G822" s="8"/>
      <c r="I822" s="61"/>
      <c r="J822" s="99"/>
      <c r="L822" s="99"/>
      <c r="N822" s="101"/>
      <c r="O822" s="61"/>
      <c r="P822" s="61"/>
    </row>
    <row r="823">
      <c r="A823" s="99"/>
      <c r="C823" s="99"/>
      <c r="D823" s="102"/>
      <c r="E823" s="103"/>
      <c r="F823" s="104"/>
      <c r="G823" s="8"/>
      <c r="I823" s="61"/>
      <c r="J823" s="99"/>
      <c r="L823" s="99"/>
      <c r="N823" s="101"/>
      <c r="O823" s="61"/>
      <c r="P823" s="61"/>
    </row>
    <row r="824">
      <c r="A824" s="99"/>
      <c r="C824" s="99"/>
      <c r="D824" s="102"/>
      <c r="E824" s="103"/>
      <c r="F824" s="104"/>
      <c r="G824" s="8"/>
      <c r="I824" s="61"/>
      <c r="J824" s="99"/>
      <c r="L824" s="99"/>
      <c r="N824" s="101"/>
      <c r="O824" s="61"/>
      <c r="P824" s="61"/>
    </row>
    <row r="825">
      <c r="A825" s="99"/>
      <c r="C825" s="99"/>
      <c r="D825" s="102"/>
      <c r="E825" s="103"/>
      <c r="F825" s="104"/>
      <c r="G825" s="8"/>
      <c r="I825" s="61"/>
      <c r="J825" s="99"/>
      <c r="L825" s="99"/>
      <c r="N825" s="101"/>
      <c r="O825" s="61"/>
      <c r="P825" s="61"/>
    </row>
    <row r="826">
      <c r="A826" s="99"/>
      <c r="C826" s="99"/>
      <c r="D826" s="102"/>
      <c r="E826" s="103"/>
      <c r="F826" s="104"/>
      <c r="G826" s="8"/>
      <c r="I826" s="61"/>
      <c r="J826" s="99"/>
      <c r="L826" s="99"/>
      <c r="N826" s="101"/>
      <c r="O826" s="61"/>
      <c r="P826" s="61"/>
    </row>
    <row r="827">
      <c r="A827" s="99"/>
      <c r="C827" s="99"/>
      <c r="D827" s="102"/>
      <c r="E827" s="103"/>
      <c r="F827" s="104"/>
      <c r="G827" s="8"/>
      <c r="I827" s="61"/>
      <c r="J827" s="99"/>
      <c r="L827" s="99"/>
      <c r="N827" s="101"/>
      <c r="O827" s="61"/>
      <c r="P827" s="61"/>
    </row>
    <row r="828">
      <c r="A828" s="99"/>
      <c r="C828" s="99"/>
      <c r="D828" s="102"/>
      <c r="E828" s="103"/>
      <c r="F828" s="104"/>
      <c r="G828" s="8"/>
      <c r="I828" s="61"/>
      <c r="J828" s="99"/>
      <c r="L828" s="99"/>
      <c r="N828" s="101"/>
      <c r="O828" s="61"/>
      <c r="P828" s="61"/>
    </row>
    <row r="829">
      <c r="A829" s="99"/>
      <c r="C829" s="99"/>
      <c r="D829" s="102"/>
      <c r="E829" s="103"/>
      <c r="F829" s="104"/>
      <c r="G829" s="8"/>
      <c r="I829" s="61"/>
      <c r="J829" s="99"/>
      <c r="L829" s="99"/>
      <c r="N829" s="101"/>
      <c r="O829" s="61"/>
      <c r="P829" s="61"/>
    </row>
    <row r="830">
      <c r="A830" s="99"/>
      <c r="C830" s="99"/>
      <c r="D830" s="102"/>
      <c r="E830" s="103"/>
      <c r="F830" s="104"/>
      <c r="G830" s="8"/>
      <c r="I830" s="61"/>
      <c r="J830" s="99"/>
      <c r="L830" s="99"/>
      <c r="N830" s="101"/>
      <c r="O830" s="61"/>
      <c r="P830" s="61"/>
    </row>
    <row r="831">
      <c r="A831" s="99"/>
      <c r="C831" s="99"/>
      <c r="D831" s="102"/>
      <c r="E831" s="103"/>
      <c r="F831" s="104"/>
      <c r="G831" s="8"/>
      <c r="I831" s="61"/>
      <c r="J831" s="99"/>
      <c r="L831" s="99"/>
      <c r="N831" s="101"/>
      <c r="O831" s="61"/>
      <c r="P831" s="61"/>
    </row>
    <row r="832">
      <c r="A832" s="99"/>
      <c r="C832" s="99"/>
      <c r="D832" s="102"/>
      <c r="E832" s="103"/>
      <c r="F832" s="104"/>
      <c r="G832" s="8"/>
      <c r="I832" s="61"/>
      <c r="J832" s="99"/>
      <c r="L832" s="99"/>
      <c r="N832" s="101"/>
      <c r="O832" s="61"/>
      <c r="P832" s="61"/>
    </row>
    <row r="833">
      <c r="A833" s="99"/>
      <c r="C833" s="99"/>
      <c r="D833" s="102"/>
      <c r="E833" s="103"/>
      <c r="F833" s="104"/>
      <c r="G833" s="8"/>
      <c r="I833" s="61"/>
      <c r="J833" s="99"/>
      <c r="L833" s="99"/>
      <c r="N833" s="101"/>
      <c r="O833" s="61"/>
      <c r="P833" s="61"/>
    </row>
    <row r="834">
      <c r="A834" s="99"/>
      <c r="C834" s="99"/>
      <c r="D834" s="102"/>
      <c r="E834" s="103"/>
      <c r="F834" s="104"/>
      <c r="G834" s="8"/>
      <c r="I834" s="61"/>
      <c r="J834" s="99"/>
      <c r="L834" s="99"/>
      <c r="N834" s="101"/>
      <c r="O834" s="61"/>
      <c r="P834" s="61"/>
    </row>
    <row r="835">
      <c r="A835" s="99"/>
      <c r="C835" s="99"/>
      <c r="D835" s="102"/>
      <c r="E835" s="103"/>
      <c r="F835" s="104"/>
      <c r="G835" s="8"/>
      <c r="I835" s="61"/>
      <c r="J835" s="99"/>
      <c r="L835" s="99"/>
      <c r="N835" s="101"/>
      <c r="O835" s="61"/>
      <c r="P835" s="61"/>
    </row>
    <row r="836">
      <c r="A836" s="99"/>
      <c r="C836" s="99"/>
      <c r="D836" s="102"/>
      <c r="E836" s="103"/>
      <c r="F836" s="104"/>
      <c r="G836" s="8"/>
      <c r="I836" s="61"/>
      <c r="J836" s="99"/>
      <c r="L836" s="99"/>
      <c r="N836" s="101"/>
      <c r="O836" s="61"/>
      <c r="P836" s="61"/>
    </row>
    <row r="837">
      <c r="A837" s="99"/>
      <c r="C837" s="99"/>
      <c r="D837" s="102"/>
      <c r="E837" s="103"/>
      <c r="F837" s="104"/>
      <c r="G837" s="8"/>
      <c r="I837" s="61"/>
      <c r="J837" s="99"/>
      <c r="L837" s="99"/>
      <c r="N837" s="101"/>
      <c r="O837" s="61"/>
      <c r="P837" s="61"/>
    </row>
    <row r="838">
      <c r="A838" s="99"/>
      <c r="C838" s="99"/>
      <c r="D838" s="102"/>
      <c r="E838" s="103"/>
      <c r="F838" s="104"/>
      <c r="G838" s="8"/>
      <c r="I838" s="61"/>
      <c r="J838" s="99"/>
      <c r="L838" s="99"/>
      <c r="N838" s="101"/>
      <c r="O838" s="61"/>
      <c r="P838" s="61"/>
    </row>
    <row r="839">
      <c r="A839" s="99"/>
      <c r="C839" s="99"/>
      <c r="D839" s="102"/>
      <c r="E839" s="103"/>
      <c r="F839" s="104"/>
      <c r="G839" s="8"/>
      <c r="I839" s="61"/>
      <c r="J839" s="99"/>
      <c r="L839" s="99"/>
      <c r="N839" s="101"/>
      <c r="O839" s="61"/>
      <c r="P839" s="61"/>
    </row>
    <row r="840">
      <c r="A840" s="99"/>
      <c r="C840" s="99"/>
      <c r="D840" s="102"/>
      <c r="E840" s="103"/>
      <c r="F840" s="104"/>
      <c r="G840" s="8"/>
      <c r="I840" s="61"/>
      <c r="J840" s="99"/>
      <c r="L840" s="99"/>
      <c r="N840" s="101"/>
      <c r="O840" s="61"/>
      <c r="P840" s="61"/>
    </row>
    <row r="841">
      <c r="A841" s="99"/>
      <c r="C841" s="99"/>
      <c r="D841" s="102"/>
      <c r="E841" s="103"/>
      <c r="F841" s="104"/>
      <c r="G841" s="8"/>
      <c r="I841" s="61"/>
      <c r="J841" s="99"/>
      <c r="L841" s="99"/>
      <c r="N841" s="101"/>
      <c r="O841" s="61"/>
      <c r="P841" s="61"/>
    </row>
    <row r="842">
      <c r="A842" s="99"/>
      <c r="C842" s="99"/>
      <c r="D842" s="102"/>
      <c r="E842" s="103"/>
      <c r="F842" s="104"/>
      <c r="G842" s="8"/>
      <c r="I842" s="61"/>
      <c r="J842" s="99"/>
      <c r="L842" s="99"/>
      <c r="N842" s="101"/>
      <c r="O842" s="61"/>
      <c r="P842" s="61"/>
    </row>
    <row r="843">
      <c r="A843" s="99"/>
      <c r="C843" s="99"/>
      <c r="D843" s="102"/>
      <c r="E843" s="103"/>
      <c r="F843" s="104"/>
      <c r="G843" s="8"/>
      <c r="I843" s="61"/>
      <c r="J843" s="99"/>
      <c r="L843" s="99"/>
      <c r="N843" s="101"/>
      <c r="O843" s="61"/>
      <c r="P843" s="61"/>
    </row>
    <row r="844">
      <c r="A844" s="99"/>
      <c r="C844" s="99"/>
      <c r="D844" s="102"/>
      <c r="E844" s="103"/>
      <c r="F844" s="104"/>
      <c r="G844" s="8"/>
      <c r="I844" s="61"/>
      <c r="J844" s="99"/>
      <c r="L844" s="99"/>
      <c r="N844" s="101"/>
      <c r="O844" s="61"/>
      <c r="P844" s="61"/>
    </row>
    <row r="845">
      <c r="A845" s="99"/>
      <c r="C845" s="99"/>
      <c r="D845" s="102"/>
      <c r="E845" s="103"/>
      <c r="F845" s="104"/>
      <c r="G845" s="8"/>
      <c r="I845" s="61"/>
      <c r="J845" s="99"/>
      <c r="L845" s="99"/>
      <c r="N845" s="101"/>
      <c r="O845" s="61"/>
      <c r="P845" s="61"/>
    </row>
    <row r="846">
      <c r="A846" s="99"/>
      <c r="C846" s="99"/>
      <c r="D846" s="102"/>
      <c r="E846" s="103"/>
      <c r="F846" s="104"/>
      <c r="G846" s="8"/>
      <c r="I846" s="61"/>
      <c r="J846" s="99"/>
      <c r="L846" s="99"/>
      <c r="N846" s="101"/>
      <c r="O846" s="61"/>
      <c r="P846" s="61"/>
    </row>
    <row r="847">
      <c r="A847" s="99"/>
      <c r="C847" s="99"/>
      <c r="D847" s="102"/>
      <c r="E847" s="103"/>
      <c r="F847" s="104"/>
      <c r="G847" s="8"/>
      <c r="I847" s="61"/>
      <c r="J847" s="99"/>
      <c r="L847" s="99"/>
      <c r="N847" s="101"/>
      <c r="O847" s="61"/>
      <c r="P847" s="61"/>
    </row>
    <row r="848">
      <c r="A848" s="99"/>
      <c r="C848" s="99"/>
      <c r="D848" s="102"/>
      <c r="E848" s="103"/>
      <c r="F848" s="104"/>
      <c r="G848" s="8"/>
      <c r="I848" s="61"/>
      <c r="J848" s="99"/>
      <c r="L848" s="99"/>
      <c r="N848" s="101"/>
      <c r="O848" s="61"/>
      <c r="P848" s="61"/>
    </row>
    <row r="849">
      <c r="A849" s="99"/>
      <c r="C849" s="99"/>
      <c r="D849" s="102"/>
      <c r="E849" s="103"/>
      <c r="F849" s="104"/>
      <c r="G849" s="8"/>
      <c r="I849" s="61"/>
      <c r="J849" s="99"/>
      <c r="L849" s="99"/>
      <c r="N849" s="101"/>
      <c r="O849" s="61"/>
      <c r="P849" s="61"/>
    </row>
    <row r="850">
      <c r="A850" s="99"/>
      <c r="C850" s="99"/>
      <c r="D850" s="102"/>
      <c r="E850" s="103"/>
      <c r="F850" s="104"/>
      <c r="G850" s="8"/>
      <c r="I850" s="61"/>
      <c r="J850" s="99"/>
      <c r="L850" s="99"/>
      <c r="N850" s="101"/>
      <c r="O850" s="61"/>
      <c r="P850" s="61"/>
    </row>
    <row r="851">
      <c r="A851" s="99"/>
      <c r="C851" s="99"/>
      <c r="D851" s="102"/>
      <c r="E851" s="103"/>
      <c r="F851" s="104"/>
      <c r="G851" s="8"/>
      <c r="I851" s="61"/>
      <c r="J851" s="99"/>
      <c r="L851" s="99"/>
      <c r="N851" s="101"/>
      <c r="O851" s="61"/>
      <c r="P851" s="61"/>
    </row>
    <row r="852">
      <c r="A852" s="99"/>
      <c r="C852" s="99"/>
      <c r="D852" s="102"/>
      <c r="E852" s="103"/>
      <c r="F852" s="104"/>
      <c r="G852" s="8"/>
      <c r="I852" s="61"/>
      <c r="J852" s="99"/>
      <c r="L852" s="99"/>
      <c r="N852" s="101"/>
      <c r="O852" s="61"/>
      <c r="P852" s="61"/>
    </row>
    <row r="853">
      <c r="A853" s="99"/>
      <c r="C853" s="99"/>
      <c r="D853" s="102"/>
      <c r="E853" s="103"/>
      <c r="F853" s="104"/>
      <c r="G853" s="8"/>
      <c r="I853" s="61"/>
      <c r="J853" s="99"/>
      <c r="L853" s="99"/>
      <c r="N853" s="101"/>
      <c r="O853" s="61"/>
      <c r="P853" s="61"/>
    </row>
    <row r="854">
      <c r="A854" s="99"/>
      <c r="C854" s="99"/>
      <c r="D854" s="102"/>
      <c r="E854" s="103"/>
      <c r="F854" s="104"/>
      <c r="G854" s="8"/>
      <c r="I854" s="61"/>
      <c r="J854" s="99"/>
      <c r="L854" s="99"/>
      <c r="N854" s="101"/>
      <c r="O854" s="61"/>
      <c r="P854" s="61"/>
    </row>
    <row r="855">
      <c r="A855" s="99"/>
      <c r="C855" s="99"/>
      <c r="D855" s="102"/>
      <c r="E855" s="103"/>
      <c r="F855" s="104"/>
      <c r="G855" s="8"/>
      <c r="I855" s="61"/>
      <c r="J855" s="99"/>
      <c r="L855" s="99"/>
      <c r="N855" s="101"/>
      <c r="O855" s="61"/>
      <c r="P855" s="61"/>
    </row>
    <row r="856">
      <c r="A856" s="99"/>
      <c r="C856" s="99"/>
      <c r="D856" s="102"/>
      <c r="E856" s="103"/>
      <c r="F856" s="104"/>
      <c r="G856" s="8"/>
      <c r="I856" s="61"/>
      <c r="J856" s="99"/>
      <c r="L856" s="99"/>
      <c r="N856" s="101"/>
      <c r="O856" s="61"/>
      <c r="P856" s="61"/>
    </row>
    <row r="857">
      <c r="A857" s="99"/>
      <c r="C857" s="99"/>
      <c r="D857" s="102"/>
      <c r="E857" s="103"/>
      <c r="F857" s="104"/>
      <c r="G857" s="8"/>
      <c r="I857" s="61"/>
      <c r="J857" s="99"/>
      <c r="L857" s="99"/>
      <c r="N857" s="101"/>
      <c r="O857" s="61"/>
      <c r="P857" s="61"/>
    </row>
    <row r="858">
      <c r="A858" s="99"/>
      <c r="C858" s="99"/>
      <c r="D858" s="102"/>
      <c r="E858" s="103"/>
      <c r="F858" s="104"/>
      <c r="G858" s="8"/>
      <c r="I858" s="61"/>
      <c r="J858" s="99"/>
      <c r="L858" s="99"/>
      <c r="N858" s="101"/>
      <c r="O858" s="61"/>
      <c r="P858" s="61"/>
    </row>
    <row r="859">
      <c r="A859" s="99"/>
      <c r="C859" s="99"/>
      <c r="D859" s="102"/>
      <c r="E859" s="103"/>
      <c r="F859" s="104"/>
      <c r="G859" s="8"/>
      <c r="I859" s="61"/>
      <c r="J859" s="99"/>
      <c r="L859" s="99"/>
      <c r="N859" s="101"/>
      <c r="O859" s="61"/>
      <c r="P859" s="61"/>
    </row>
    <row r="860">
      <c r="A860" s="99"/>
      <c r="C860" s="99"/>
      <c r="D860" s="102"/>
      <c r="E860" s="103"/>
      <c r="F860" s="104"/>
      <c r="G860" s="8"/>
      <c r="I860" s="61"/>
      <c r="J860" s="99"/>
      <c r="L860" s="99"/>
      <c r="N860" s="101"/>
      <c r="O860" s="61"/>
      <c r="P860" s="61"/>
    </row>
    <row r="861">
      <c r="A861" s="99"/>
      <c r="C861" s="99"/>
      <c r="D861" s="102"/>
      <c r="E861" s="103"/>
      <c r="F861" s="104"/>
      <c r="G861" s="8"/>
      <c r="I861" s="61"/>
      <c r="J861" s="99"/>
      <c r="L861" s="99"/>
      <c r="N861" s="101"/>
      <c r="O861" s="61"/>
      <c r="P861" s="61"/>
    </row>
    <row r="862">
      <c r="A862" s="99"/>
      <c r="C862" s="99"/>
      <c r="D862" s="102"/>
      <c r="E862" s="103"/>
      <c r="F862" s="104"/>
      <c r="G862" s="8"/>
      <c r="I862" s="61"/>
      <c r="J862" s="99"/>
      <c r="L862" s="99"/>
      <c r="N862" s="101"/>
      <c r="O862" s="61"/>
      <c r="P862" s="61"/>
    </row>
    <row r="863">
      <c r="A863" s="99"/>
      <c r="C863" s="99"/>
      <c r="D863" s="102"/>
      <c r="E863" s="103"/>
      <c r="F863" s="104"/>
      <c r="G863" s="8"/>
      <c r="I863" s="61"/>
      <c r="J863" s="99"/>
      <c r="L863" s="99"/>
      <c r="N863" s="101"/>
      <c r="O863" s="61"/>
      <c r="P863" s="61"/>
    </row>
    <row r="864">
      <c r="A864" s="99"/>
      <c r="C864" s="99"/>
      <c r="D864" s="102"/>
      <c r="E864" s="103"/>
      <c r="F864" s="104"/>
      <c r="G864" s="8"/>
      <c r="I864" s="61"/>
      <c r="J864" s="99"/>
      <c r="L864" s="99"/>
      <c r="N864" s="101"/>
      <c r="O864" s="61"/>
      <c r="P864" s="61"/>
    </row>
    <row r="865">
      <c r="A865" s="99"/>
      <c r="C865" s="99"/>
      <c r="D865" s="102"/>
      <c r="E865" s="103"/>
      <c r="F865" s="104"/>
      <c r="G865" s="8"/>
      <c r="I865" s="61"/>
      <c r="J865" s="99"/>
      <c r="L865" s="99"/>
      <c r="N865" s="101"/>
      <c r="O865" s="61"/>
      <c r="P865" s="61"/>
    </row>
    <row r="866">
      <c r="A866" s="99"/>
      <c r="C866" s="99"/>
      <c r="D866" s="102"/>
      <c r="E866" s="103"/>
      <c r="F866" s="104"/>
      <c r="G866" s="8"/>
      <c r="I866" s="61"/>
      <c r="J866" s="99"/>
      <c r="L866" s="99"/>
      <c r="N866" s="101"/>
      <c r="O866" s="61"/>
      <c r="P866" s="61"/>
    </row>
    <row r="867">
      <c r="A867" s="99"/>
      <c r="C867" s="99"/>
      <c r="D867" s="102"/>
      <c r="E867" s="103"/>
      <c r="F867" s="104"/>
      <c r="G867" s="8"/>
      <c r="I867" s="61"/>
      <c r="J867" s="99"/>
      <c r="L867" s="99"/>
      <c r="N867" s="101"/>
      <c r="O867" s="61"/>
      <c r="P867" s="61"/>
    </row>
    <row r="868">
      <c r="A868" s="99"/>
      <c r="C868" s="99"/>
      <c r="D868" s="102"/>
      <c r="E868" s="103"/>
      <c r="F868" s="104"/>
      <c r="G868" s="8"/>
      <c r="I868" s="61"/>
      <c r="J868" s="99"/>
      <c r="L868" s="99"/>
      <c r="N868" s="101"/>
      <c r="O868" s="61"/>
      <c r="P868" s="61"/>
    </row>
    <row r="869">
      <c r="A869" s="99"/>
      <c r="C869" s="99"/>
      <c r="D869" s="102"/>
      <c r="E869" s="103"/>
      <c r="F869" s="104"/>
      <c r="G869" s="8"/>
      <c r="I869" s="61"/>
      <c r="J869" s="99"/>
      <c r="L869" s="99"/>
      <c r="N869" s="101"/>
      <c r="O869" s="61"/>
      <c r="P869" s="61"/>
    </row>
    <row r="870">
      <c r="A870" s="99"/>
      <c r="C870" s="99"/>
      <c r="D870" s="102"/>
      <c r="E870" s="103"/>
      <c r="F870" s="104"/>
      <c r="G870" s="8"/>
      <c r="I870" s="61"/>
      <c r="J870" s="99"/>
      <c r="L870" s="99"/>
      <c r="N870" s="101"/>
      <c r="O870" s="61"/>
      <c r="P870" s="61"/>
    </row>
    <row r="871">
      <c r="A871" s="99"/>
      <c r="C871" s="99"/>
      <c r="D871" s="102"/>
      <c r="E871" s="103"/>
      <c r="F871" s="104"/>
      <c r="G871" s="8"/>
      <c r="I871" s="61"/>
      <c r="J871" s="99"/>
      <c r="L871" s="99"/>
      <c r="N871" s="101"/>
      <c r="O871" s="61"/>
      <c r="P871" s="61"/>
    </row>
    <row r="872">
      <c r="A872" s="99"/>
      <c r="C872" s="99"/>
      <c r="D872" s="102"/>
      <c r="E872" s="103"/>
      <c r="F872" s="104"/>
      <c r="G872" s="8"/>
      <c r="I872" s="61"/>
      <c r="J872" s="99"/>
      <c r="L872" s="99"/>
      <c r="N872" s="101"/>
      <c r="O872" s="61"/>
      <c r="P872" s="61"/>
    </row>
    <row r="873">
      <c r="A873" s="99"/>
      <c r="C873" s="99"/>
      <c r="D873" s="102"/>
      <c r="E873" s="103"/>
      <c r="F873" s="104"/>
      <c r="G873" s="8"/>
      <c r="I873" s="61"/>
      <c r="J873" s="99"/>
      <c r="L873" s="99"/>
      <c r="N873" s="101"/>
      <c r="O873" s="61"/>
      <c r="P873" s="61"/>
    </row>
    <row r="874">
      <c r="A874" s="99"/>
      <c r="C874" s="99"/>
      <c r="D874" s="102"/>
      <c r="E874" s="103"/>
      <c r="F874" s="104"/>
      <c r="G874" s="8"/>
      <c r="I874" s="61"/>
      <c r="J874" s="99"/>
      <c r="L874" s="99"/>
      <c r="N874" s="101"/>
      <c r="O874" s="61"/>
      <c r="P874" s="61"/>
    </row>
    <row r="875">
      <c r="A875" s="99"/>
      <c r="C875" s="99"/>
      <c r="D875" s="102"/>
      <c r="E875" s="103"/>
      <c r="F875" s="104"/>
      <c r="G875" s="8"/>
      <c r="I875" s="61"/>
      <c r="J875" s="99"/>
      <c r="L875" s="99"/>
      <c r="N875" s="101"/>
      <c r="O875" s="61"/>
      <c r="P875" s="61"/>
    </row>
    <row r="876">
      <c r="A876" s="99"/>
      <c r="C876" s="99"/>
      <c r="D876" s="102"/>
      <c r="E876" s="103"/>
      <c r="F876" s="104"/>
      <c r="G876" s="8"/>
      <c r="I876" s="61"/>
      <c r="J876" s="99"/>
      <c r="L876" s="99"/>
      <c r="N876" s="101"/>
      <c r="O876" s="61"/>
      <c r="P876" s="61"/>
    </row>
    <row r="877">
      <c r="A877" s="99"/>
      <c r="C877" s="99"/>
      <c r="D877" s="102"/>
      <c r="E877" s="103"/>
      <c r="F877" s="104"/>
      <c r="G877" s="8"/>
      <c r="I877" s="61"/>
      <c r="J877" s="99"/>
      <c r="L877" s="99"/>
      <c r="N877" s="101"/>
      <c r="O877" s="61"/>
      <c r="P877" s="61"/>
    </row>
    <row r="878">
      <c r="A878" s="99"/>
      <c r="C878" s="99"/>
      <c r="D878" s="102"/>
      <c r="E878" s="103"/>
      <c r="F878" s="104"/>
      <c r="G878" s="8"/>
      <c r="I878" s="61"/>
      <c r="J878" s="99"/>
      <c r="L878" s="99"/>
      <c r="N878" s="101"/>
      <c r="O878" s="61"/>
      <c r="P878" s="61"/>
    </row>
    <row r="879">
      <c r="A879" s="99"/>
      <c r="C879" s="99"/>
      <c r="D879" s="102"/>
      <c r="E879" s="103"/>
      <c r="F879" s="104"/>
      <c r="G879" s="8"/>
      <c r="I879" s="61"/>
      <c r="J879" s="99"/>
      <c r="L879" s="99"/>
      <c r="N879" s="101"/>
      <c r="O879" s="61"/>
      <c r="P879" s="61"/>
    </row>
    <row r="880">
      <c r="A880" s="99"/>
      <c r="C880" s="99"/>
      <c r="D880" s="102"/>
      <c r="E880" s="103"/>
      <c r="F880" s="104"/>
      <c r="G880" s="8"/>
      <c r="I880" s="61"/>
      <c r="J880" s="99"/>
      <c r="L880" s="99"/>
      <c r="N880" s="101"/>
      <c r="O880" s="61"/>
      <c r="P880" s="61"/>
    </row>
    <row r="881">
      <c r="A881" s="99"/>
      <c r="C881" s="99"/>
      <c r="D881" s="102"/>
      <c r="E881" s="103"/>
      <c r="F881" s="104"/>
      <c r="G881" s="8"/>
      <c r="I881" s="61"/>
      <c r="J881" s="99"/>
      <c r="L881" s="99"/>
      <c r="N881" s="101"/>
      <c r="O881" s="61"/>
      <c r="P881" s="61"/>
    </row>
    <row r="882">
      <c r="A882" s="99"/>
      <c r="C882" s="99"/>
      <c r="D882" s="102"/>
      <c r="E882" s="103"/>
      <c r="F882" s="104"/>
      <c r="G882" s="8"/>
      <c r="I882" s="61"/>
      <c r="J882" s="99"/>
      <c r="L882" s="99"/>
      <c r="N882" s="101"/>
      <c r="O882" s="61"/>
      <c r="P882" s="61"/>
    </row>
    <row r="883">
      <c r="A883" s="99"/>
      <c r="C883" s="99"/>
      <c r="D883" s="102"/>
      <c r="E883" s="103"/>
      <c r="F883" s="104"/>
      <c r="G883" s="8"/>
      <c r="I883" s="61"/>
      <c r="J883" s="99"/>
      <c r="L883" s="99"/>
      <c r="N883" s="101"/>
      <c r="O883" s="61"/>
      <c r="P883" s="61"/>
    </row>
    <row r="884">
      <c r="A884" s="99"/>
      <c r="C884" s="99"/>
      <c r="D884" s="102"/>
      <c r="E884" s="103"/>
      <c r="F884" s="104"/>
      <c r="G884" s="8"/>
      <c r="I884" s="61"/>
      <c r="J884" s="99"/>
      <c r="L884" s="99"/>
      <c r="N884" s="101"/>
      <c r="O884" s="61"/>
      <c r="P884" s="61"/>
    </row>
    <row r="885">
      <c r="A885" s="99"/>
      <c r="C885" s="99"/>
      <c r="D885" s="102"/>
      <c r="E885" s="103"/>
      <c r="F885" s="104"/>
      <c r="G885" s="8"/>
      <c r="I885" s="61"/>
      <c r="J885" s="99"/>
      <c r="L885" s="99"/>
      <c r="N885" s="101"/>
      <c r="O885" s="61"/>
      <c r="P885" s="61"/>
    </row>
    <row r="886">
      <c r="A886" s="99"/>
      <c r="C886" s="99"/>
      <c r="D886" s="102"/>
      <c r="E886" s="103"/>
      <c r="F886" s="104"/>
      <c r="G886" s="8"/>
      <c r="I886" s="61"/>
      <c r="J886" s="99"/>
      <c r="L886" s="99"/>
      <c r="N886" s="101"/>
      <c r="O886" s="61"/>
      <c r="P886" s="61"/>
    </row>
    <row r="887">
      <c r="A887" s="99"/>
      <c r="C887" s="99"/>
      <c r="D887" s="102"/>
      <c r="E887" s="103"/>
      <c r="F887" s="104"/>
      <c r="G887" s="8"/>
      <c r="I887" s="61"/>
      <c r="J887" s="99"/>
      <c r="L887" s="99"/>
      <c r="N887" s="101"/>
      <c r="O887" s="61"/>
      <c r="P887" s="61"/>
    </row>
    <row r="888">
      <c r="A888" s="99"/>
      <c r="C888" s="99"/>
      <c r="D888" s="102"/>
      <c r="E888" s="103"/>
      <c r="F888" s="104"/>
      <c r="G888" s="8"/>
      <c r="I888" s="61"/>
      <c r="J888" s="99"/>
      <c r="L888" s="99"/>
      <c r="N888" s="101"/>
      <c r="O888" s="61"/>
      <c r="P888" s="61"/>
    </row>
    <row r="889">
      <c r="A889" s="99"/>
      <c r="C889" s="99"/>
      <c r="D889" s="102"/>
      <c r="E889" s="103"/>
      <c r="F889" s="104"/>
      <c r="G889" s="8"/>
      <c r="I889" s="61"/>
      <c r="J889" s="99"/>
      <c r="L889" s="99"/>
      <c r="N889" s="101"/>
      <c r="O889" s="61"/>
      <c r="P889" s="61"/>
    </row>
    <row r="890">
      <c r="A890" s="99"/>
      <c r="C890" s="99"/>
      <c r="D890" s="102"/>
      <c r="E890" s="103"/>
      <c r="F890" s="104"/>
      <c r="G890" s="8"/>
      <c r="I890" s="61"/>
      <c r="J890" s="99"/>
      <c r="L890" s="99"/>
      <c r="N890" s="101"/>
      <c r="O890" s="61"/>
      <c r="P890" s="61"/>
    </row>
    <row r="891">
      <c r="A891" s="99"/>
      <c r="C891" s="99"/>
      <c r="D891" s="102"/>
      <c r="E891" s="103"/>
      <c r="F891" s="104"/>
      <c r="G891" s="8"/>
      <c r="I891" s="61"/>
      <c r="J891" s="99"/>
      <c r="L891" s="99"/>
      <c r="N891" s="101"/>
      <c r="O891" s="61"/>
      <c r="P891" s="61"/>
    </row>
    <row r="892">
      <c r="A892" s="99"/>
      <c r="C892" s="99"/>
      <c r="D892" s="102"/>
      <c r="E892" s="103"/>
      <c r="F892" s="104"/>
      <c r="G892" s="8"/>
      <c r="I892" s="61"/>
      <c r="J892" s="99"/>
      <c r="L892" s="99"/>
      <c r="N892" s="101"/>
      <c r="O892" s="61"/>
      <c r="P892" s="61"/>
    </row>
    <row r="893">
      <c r="A893" s="99"/>
      <c r="C893" s="99"/>
      <c r="D893" s="102"/>
      <c r="E893" s="103"/>
      <c r="F893" s="104"/>
      <c r="G893" s="8"/>
      <c r="I893" s="61"/>
      <c r="J893" s="99"/>
      <c r="L893" s="99"/>
      <c r="N893" s="101"/>
      <c r="O893" s="61"/>
      <c r="P893" s="61"/>
    </row>
    <row r="894">
      <c r="A894" s="99"/>
      <c r="C894" s="99"/>
      <c r="D894" s="102"/>
      <c r="E894" s="103"/>
      <c r="F894" s="104"/>
      <c r="G894" s="8"/>
      <c r="I894" s="61"/>
      <c r="J894" s="99"/>
      <c r="L894" s="99"/>
      <c r="N894" s="101"/>
      <c r="O894" s="61"/>
      <c r="P894" s="61"/>
    </row>
    <row r="895">
      <c r="A895" s="99"/>
      <c r="C895" s="99"/>
      <c r="D895" s="102"/>
      <c r="E895" s="103"/>
      <c r="F895" s="104"/>
      <c r="G895" s="8"/>
      <c r="I895" s="61"/>
      <c r="J895" s="99"/>
      <c r="L895" s="99"/>
      <c r="N895" s="101"/>
      <c r="O895" s="61"/>
      <c r="P895" s="61"/>
    </row>
    <row r="896">
      <c r="A896" s="99"/>
      <c r="C896" s="99"/>
      <c r="D896" s="102"/>
      <c r="E896" s="103"/>
      <c r="F896" s="104"/>
      <c r="G896" s="8"/>
      <c r="I896" s="61"/>
      <c r="J896" s="99"/>
      <c r="L896" s="99"/>
      <c r="N896" s="101"/>
      <c r="O896" s="61"/>
      <c r="P896" s="61"/>
    </row>
    <row r="897">
      <c r="A897" s="99"/>
      <c r="C897" s="99"/>
      <c r="D897" s="102"/>
      <c r="E897" s="103"/>
      <c r="F897" s="104"/>
      <c r="G897" s="8"/>
      <c r="I897" s="61"/>
      <c r="J897" s="99"/>
      <c r="L897" s="99"/>
      <c r="N897" s="101"/>
      <c r="O897" s="61"/>
      <c r="P897" s="61"/>
    </row>
    <row r="898">
      <c r="A898" s="99"/>
      <c r="C898" s="99"/>
      <c r="D898" s="102"/>
      <c r="E898" s="103"/>
      <c r="F898" s="104"/>
      <c r="G898" s="8"/>
      <c r="I898" s="61"/>
      <c r="J898" s="99"/>
      <c r="L898" s="99"/>
      <c r="N898" s="101"/>
      <c r="O898" s="61"/>
      <c r="P898" s="61"/>
    </row>
    <row r="899">
      <c r="A899" s="99"/>
      <c r="C899" s="99"/>
      <c r="D899" s="102"/>
      <c r="E899" s="103"/>
      <c r="F899" s="104"/>
      <c r="G899" s="8"/>
      <c r="I899" s="61"/>
      <c r="J899" s="99"/>
      <c r="L899" s="99"/>
      <c r="N899" s="101"/>
      <c r="O899" s="61"/>
      <c r="P899" s="61"/>
    </row>
    <row r="900">
      <c r="A900" s="99"/>
      <c r="C900" s="99"/>
      <c r="D900" s="102"/>
      <c r="E900" s="103"/>
      <c r="F900" s="104"/>
      <c r="G900" s="8"/>
      <c r="I900" s="61"/>
      <c r="J900" s="99"/>
      <c r="L900" s="99"/>
      <c r="N900" s="101"/>
      <c r="O900" s="61"/>
      <c r="P900" s="61"/>
    </row>
    <row r="901">
      <c r="A901" s="99"/>
      <c r="C901" s="99"/>
      <c r="D901" s="102"/>
      <c r="E901" s="103"/>
      <c r="F901" s="104"/>
      <c r="G901" s="8"/>
      <c r="I901" s="61"/>
      <c r="J901" s="99"/>
      <c r="L901" s="99"/>
      <c r="N901" s="101"/>
      <c r="O901" s="61"/>
      <c r="P901" s="61"/>
    </row>
    <row r="902">
      <c r="A902" s="99"/>
      <c r="C902" s="99"/>
      <c r="D902" s="102"/>
      <c r="E902" s="103"/>
      <c r="F902" s="104"/>
      <c r="G902" s="8"/>
      <c r="I902" s="61"/>
      <c r="J902" s="99"/>
      <c r="L902" s="99"/>
      <c r="N902" s="101"/>
      <c r="O902" s="61"/>
      <c r="P902" s="61"/>
    </row>
    <row r="903">
      <c r="A903" s="99"/>
      <c r="C903" s="99"/>
      <c r="D903" s="102"/>
      <c r="E903" s="103"/>
      <c r="F903" s="104"/>
      <c r="G903" s="8"/>
      <c r="I903" s="61"/>
      <c r="J903" s="99"/>
      <c r="L903" s="99"/>
      <c r="N903" s="101"/>
      <c r="O903" s="61"/>
      <c r="P903" s="61"/>
    </row>
    <row r="904">
      <c r="A904" s="99"/>
      <c r="C904" s="99"/>
      <c r="D904" s="102"/>
      <c r="E904" s="103"/>
      <c r="F904" s="104"/>
      <c r="G904" s="8"/>
      <c r="I904" s="61"/>
      <c r="J904" s="99"/>
      <c r="L904" s="99"/>
      <c r="N904" s="101"/>
      <c r="O904" s="61"/>
      <c r="P904" s="61"/>
    </row>
    <row r="905">
      <c r="A905" s="99"/>
      <c r="C905" s="99"/>
      <c r="D905" s="102"/>
      <c r="E905" s="103"/>
      <c r="F905" s="104"/>
      <c r="G905" s="8"/>
      <c r="I905" s="61"/>
      <c r="J905" s="99"/>
      <c r="L905" s="99"/>
      <c r="N905" s="101"/>
      <c r="O905" s="61"/>
      <c r="P905" s="61"/>
    </row>
    <row r="906">
      <c r="A906" s="99"/>
      <c r="C906" s="99"/>
      <c r="D906" s="102"/>
      <c r="E906" s="103"/>
      <c r="F906" s="104"/>
      <c r="G906" s="8"/>
      <c r="I906" s="61"/>
      <c r="J906" s="99"/>
      <c r="L906" s="99"/>
      <c r="N906" s="101"/>
      <c r="O906" s="61"/>
      <c r="P906" s="61"/>
    </row>
    <row r="907">
      <c r="A907" s="99"/>
      <c r="C907" s="99"/>
      <c r="D907" s="102"/>
      <c r="E907" s="103"/>
      <c r="F907" s="104"/>
      <c r="G907" s="8"/>
      <c r="I907" s="61"/>
      <c r="J907" s="99"/>
      <c r="L907" s="99"/>
      <c r="N907" s="101"/>
      <c r="O907" s="61"/>
      <c r="P907" s="61"/>
    </row>
    <row r="908">
      <c r="A908" s="99"/>
      <c r="C908" s="99"/>
      <c r="D908" s="102"/>
      <c r="E908" s="103"/>
      <c r="F908" s="104"/>
      <c r="G908" s="8"/>
      <c r="I908" s="61"/>
      <c r="J908" s="99"/>
      <c r="L908" s="99"/>
      <c r="N908" s="101"/>
      <c r="O908" s="61"/>
      <c r="P908" s="61"/>
    </row>
    <row r="909">
      <c r="A909" s="99"/>
      <c r="C909" s="99"/>
      <c r="D909" s="102"/>
      <c r="E909" s="103"/>
      <c r="F909" s="104"/>
      <c r="G909" s="8"/>
      <c r="I909" s="61"/>
      <c r="J909" s="99"/>
      <c r="L909" s="99"/>
      <c r="N909" s="101"/>
      <c r="O909" s="61"/>
      <c r="P909" s="61"/>
    </row>
    <row r="910">
      <c r="A910" s="99"/>
      <c r="C910" s="99"/>
      <c r="D910" s="102"/>
      <c r="E910" s="103"/>
      <c r="F910" s="104"/>
      <c r="G910" s="8"/>
      <c r="I910" s="61"/>
      <c r="J910" s="99"/>
      <c r="L910" s="99"/>
      <c r="N910" s="101"/>
      <c r="O910" s="61"/>
      <c r="P910" s="61"/>
    </row>
    <row r="911">
      <c r="A911" s="99"/>
      <c r="C911" s="99"/>
      <c r="D911" s="102"/>
      <c r="E911" s="103"/>
      <c r="F911" s="104"/>
      <c r="G911" s="8"/>
      <c r="I911" s="61"/>
      <c r="J911" s="99"/>
      <c r="L911" s="99"/>
      <c r="N911" s="101"/>
      <c r="O911" s="61"/>
      <c r="P911" s="61"/>
    </row>
    <row r="912">
      <c r="A912" s="99"/>
      <c r="C912" s="99"/>
      <c r="D912" s="102"/>
      <c r="E912" s="103"/>
      <c r="F912" s="104"/>
      <c r="G912" s="8"/>
      <c r="I912" s="61"/>
      <c r="J912" s="99"/>
      <c r="L912" s="99"/>
      <c r="N912" s="101"/>
      <c r="O912" s="61"/>
      <c r="P912" s="61"/>
    </row>
    <row r="913">
      <c r="A913" s="99"/>
      <c r="C913" s="99"/>
      <c r="D913" s="102"/>
      <c r="E913" s="103"/>
      <c r="F913" s="104"/>
      <c r="G913" s="8"/>
      <c r="I913" s="61"/>
      <c r="J913" s="99"/>
      <c r="L913" s="99"/>
      <c r="N913" s="101"/>
      <c r="O913" s="61"/>
      <c r="P913" s="61"/>
    </row>
    <row r="914">
      <c r="A914" s="99"/>
      <c r="C914" s="99"/>
      <c r="D914" s="102"/>
      <c r="E914" s="103"/>
      <c r="F914" s="104"/>
      <c r="G914" s="8"/>
      <c r="I914" s="61"/>
      <c r="J914" s="99"/>
      <c r="L914" s="99"/>
      <c r="N914" s="101"/>
      <c r="O914" s="61"/>
      <c r="P914" s="61"/>
    </row>
    <row r="915">
      <c r="A915" s="99"/>
      <c r="C915" s="99"/>
      <c r="D915" s="102"/>
      <c r="E915" s="103"/>
      <c r="F915" s="104"/>
      <c r="G915" s="8"/>
      <c r="I915" s="61"/>
      <c r="J915" s="99"/>
      <c r="L915" s="99"/>
      <c r="N915" s="101"/>
      <c r="O915" s="61"/>
      <c r="P915" s="61"/>
    </row>
    <row r="916">
      <c r="A916" s="99"/>
      <c r="C916" s="99"/>
      <c r="D916" s="102"/>
      <c r="E916" s="103"/>
      <c r="F916" s="104"/>
      <c r="G916" s="8"/>
      <c r="I916" s="61"/>
      <c r="J916" s="99"/>
      <c r="L916" s="99"/>
      <c r="N916" s="101"/>
      <c r="O916" s="61"/>
      <c r="P916" s="61"/>
    </row>
    <row r="917">
      <c r="A917" s="99"/>
      <c r="C917" s="99"/>
      <c r="D917" s="102"/>
      <c r="E917" s="103"/>
      <c r="F917" s="104"/>
      <c r="G917" s="8"/>
      <c r="I917" s="61"/>
      <c r="J917" s="99"/>
      <c r="L917" s="99"/>
      <c r="N917" s="101"/>
      <c r="O917" s="61"/>
      <c r="P917" s="61"/>
    </row>
    <row r="918">
      <c r="A918" s="99"/>
      <c r="C918" s="99"/>
      <c r="D918" s="102"/>
      <c r="E918" s="103"/>
      <c r="F918" s="104"/>
      <c r="G918" s="8"/>
      <c r="I918" s="61"/>
      <c r="J918" s="99"/>
      <c r="L918" s="99"/>
      <c r="N918" s="101"/>
      <c r="O918" s="61"/>
      <c r="P918" s="61"/>
    </row>
    <row r="919">
      <c r="A919" s="99"/>
      <c r="C919" s="99"/>
      <c r="D919" s="102"/>
      <c r="E919" s="103"/>
      <c r="F919" s="104"/>
      <c r="G919" s="8"/>
      <c r="I919" s="61"/>
      <c r="J919" s="99"/>
      <c r="L919" s="99"/>
      <c r="N919" s="101"/>
      <c r="O919" s="61"/>
      <c r="P919" s="61"/>
    </row>
    <row r="920">
      <c r="A920" s="99"/>
      <c r="C920" s="99"/>
      <c r="D920" s="102"/>
      <c r="E920" s="103"/>
      <c r="F920" s="104"/>
      <c r="G920" s="8"/>
      <c r="I920" s="61"/>
      <c r="J920" s="99"/>
      <c r="L920" s="99"/>
      <c r="N920" s="101"/>
      <c r="O920" s="61"/>
      <c r="P920" s="61"/>
    </row>
    <row r="921">
      <c r="A921" s="99"/>
      <c r="C921" s="99"/>
      <c r="D921" s="102"/>
      <c r="E921" s="103"/>
      <c r="F921" s="104"/>
      <c r="G921" s="8"/>
      <c r="I921" s="61"/>
      <c r="J921" s="99"/>
      <c r="L921" s="99"/>
      <c r="N921" s="101"/>
      <c r="O921" s="61"/>
      <c r="P921" s="61"/>
    </row>
    <row r="922">
      <c r="A922" s="99"/>
      <c r="C922" s="99"/>
      <c r="D922" s="102"/>
      <c r="E922" s="103"/>
      <c r="F922" s="104"/>
      <c r="G922" s="8"/>
      <c r="I922" s="61"/>
      <c r="J922" s="99"/>
      <c r="L922" s="99"/>
      <c r="N922" s="101"/>
      <c r="O922" s="61"/>
      <c r="P922" s="61"/>
    </row>
    <row r="923">
      <c r="A923" s="99"/>
      <c r="C923" s="99"/>
      <c r="D923" s="102"/>
      <c r="E923" s="103"/>
      <c r="F923" s="104"/>
      <c r="G923" s="8"/>
      <c r="I923" s="61"/>
      <c r="J923" s="99"/>
      <c r="L923" s="99"/>
      <c r="N923" s="101"/>
      <c r="O923" s="61"/>
      <c r="P923" s="61"/>
    </row>
    <row r="924">
      <c r="A924" s="99"/>
      <c r="C924" s="99"/>
      <c r="D924" s="102"/>
      <c r="E924" s="103"/>
      <c r="F924" s="104"/>
      <c r="G924" s="8"/>
      <c r="I924" s="61"/>
      <c r="J924" s="99"/>
      <c r="L924" s="99"/>
      <c r="N924" s="101"/>
      <c r="O924" s="61"/>
      <c r="P924" s="61"/>
    </row>
    <row r="925">
      <c r="A925" s="99"/>
      <c r="C925" s="99"/>
      <c r="D925" s="102"/>
      <c r="E925" s="103"/>
      <c r="F925" s="104"/>
      <c r="G925" s="8"/>
      <c r="I925" s="61"/>
      <c r="J925" s="99"/>
      <c r="L925" s="99"/>
      <c r="N925" s="101"/>
      <c r="O925" s="61"/>
      <c r="P925" s="61"/>
    </row>
    <row r="926">
      <c r="A926" s="99"/>
      <c r="C926" s="99"/>
      <c r="D926" s="102"/>
      <c r="E926" s="103"/>
      <c r="F926" s="104"/>
      <c r="G926" s="8"/>
      <c r="I926" s="61"/>
      <c r="J926" s="99"/>
      <c r="L926" s="99"/>
      <c r="N926" s="101"/>
      <c r="O926" s="61"/>
      <c r="P926" s="61"/>
    </row>
    <row r="927">
      <c r="A927" s="99"/>
      <c r="C927" s="99"/>
      <c r="D927" s="102"/>
      <c r="E927" s="103"/>
      <c r="F927" s="104"/>
      <c r="G927" s="8"/>
      <c r="I927" s="61"/>
      <c r="J927" s="99"/>
      <c r="L927" s="99"/>
      <c r="N927" s="101"/>
      <c r="O927" s="61"/>
      <c r="P927" s="61"/>
    </row>
    <row r="928">
      <c r="A928" s="99"/>
      <c r="C928" s="99"/>
      <c r="D928" s="102"/>
      <c r="E928" s="103"/>
      <c r="F928" s="104"/>
      <c r="G928" s="8"/>
      <c r="I928" s="61"/>
      <c r="J928" s="99"/>
      <c r="L928" s="99"/>
      <c r="N928" s="101"/>
      <c r="O928" s="61"/>
      <c r="P928" s="61"/>
    </row>
    <row r="929">
      <c r="A929" s="99"/>
      <c r="C929" s="99"/>
      <c r="D929" s="102"/>
      <c r="E929" s="103"/>
      <c r="F929" s="104"/>
      <c r="G929" s="8"/>
      <c r="I929" s="61"/>
      <c r="J929" s="99"/>
      <c r="L929" s="99"/>
      <c r="N929" s="101"/>
      <c r="O929" s="61"/>
      <c r="P929" s="61"/>
    </row>
    <row r="930">
      <c r="A930" s="99"/>
      <c r="C930" s="99"/>
      <c r="D930" s="102"/>
      <c r="E930" s="103"/>
      <c r="F930" s="104"/>
      <c r="G930" s="8"/>
      <c r="I930" s="61"/>
      <c r="J930" s="99"/>
      <c r="L930" s="99"/>
      <c r="N930" s="101"/>
      <c r="O930" s="61"/>
      <c r="P930" s="61"/>
    </row>
    <row r="931">
      <c r="A931" s="99"/>
      <c r="C931" s="99"/>
      <c r="D931" s="102"/>
      <c r="E931" s="103"/>
      <c r="F931" s="104"/>
      <c r="G931" s="8"/>
      <c r="I931" s="61"/>
      <c r="J931" s="99"/>
      <c r="L931" s="99"/>
      <c r="N931" s="101"/>
      <c r="O931" s="61"/>
      <c r="P931" s="61"/>
    </row>
    <row r="932">
      <c r="A932" s="99"/>
      <c r="C932" s="99"/>
      <c r="D932" s="102"/>
      <c r="E932" s="103"/>
      <c r="F932" s="104"/>
      <c r="G932" s="8"/>
      <c r="I932" s="61"/>
      <c r="J932" s="99"/>
      <c r="L932" s="99"/>
      <c r="N932" s="101"/>
      <c r="O932" s="61"/>
      <c r="P932" s="61"/>
    </row>
    <row r="933">
      <c r="A933" s="99"/>
      <c r="C933" s="99"/>
      <c r="D933" s="102"/>
      <c r="E933" s="103"/>
      <c r="F933" s="104"/>
      <c r="G933" s="8"/>
      <c r="I933" s="61"/>
      <c r="J933" s="99"/>
      <c r="L933" s="99"/>
      <c r="N933" s="101"/>
      <c r="O933" s="61"/>
      <c r="P933" s="61"/>
    </row>
    <row r="934">
      <c r="A934" s="99"/>
      <c r="C934" s="99"/>
      <c r="D934" s="102"/>
      <c r="E934" s="103"/>
      <c r="F934" s="104"/>
      <c r="G934" s="8"/>
      <c r="I934" s="61"/>
      <c r="J934" s="99"/>
      <c r="L934" s="99"/>
      <c r="N934" s="101"/>
      <c r="O934" s="61"/>
      <c r="P934" s="61"/>
    </row>
    <row r="935">
      <c r="A935" s="99"/>
      <c r="C935" s="99"/>
      <c r="D935" s="102"/>
      <c r="E935" s="103"/>
      <c r="F935" s="104"/>
      <c r="G935" s="8"/>
      <c r="I935" s="61"/>
      <c r="J935" s="99"/>
      <c r="L935" s="99"/>
      <c r="N935" s="101"/>
      <c r="O935" s="61"/>
      <c r="P935" s="61"/>
    </row>
    <row r="936">
      <c r="A936" s="99"/>
      <c r="C936" s="99"/>
      <c r="D936" s="102"/>
      <c r="E936" s="103"/>
      <c r="F936" s="104"/>
      <c r="G936" s="8"/>
      <c r="I936" s="61"/>
      <c r="J936" s="99"/>
      <c r="L936" s="99"/>
      <c r="N936" s="101"/>
      <c r="O936" s="61"/>
      <c r="P936" s="61"/>
    </row>
    <row r="937">
      <c r="A937" s="99"/>
      <c r="C937" s="99"/>
      <c r="D937" s="102"/>
      <c r="E937" s="103"/>
      <c r="F937" s="104"/>
      <c r="G937" s="8"/>
      <c r="I937" s="61"/>
      <c r="J937" s="99"/>
      <c r="L937" s="99"/>
      <c r="N937" s="101"/>
      <c r="O937" s="61"/>
      <c r="P937" s="61"/>
    </row>
    <row r="938">
      <c r="A938" s="99"/>
      <c r="C938" s="99"/>
      <c r="D938" s="102"/>
      <c r="E938" s="103"/>
      <c r="F938" s="104"/>
      <c r="G938" s="8"/>
      <c r="I938" s="61"/>
      <c r="J938" s="99"/>
      <c r="L938" s="99"/>
      <c r="N938" s="101"/>
      <c r="O938" s="61"/>
      <c r="P938" s="61"/>
    </row>
    <row r="939">
      <c r="A939" s="99"/>
      <c r="C939" s="99"/>
      <c r="D939" s="102"/>
      <c r="E939" s="103"/>
      <c r="F939" s="104"/>
      <c r="G939" s="8"/>
      <c r="I939" s="61"/>
      <c r="J939" s="99"/>
      <c r="L939" s="99"/>
      <c r="N939" s="101"/>
      <c r="O939" s="61"/>
      <c r="P939" s="61"/>
    </row>
    <row r="940">
      <c r="A940" s="99"/>
      <c r="C940" s="99"/>
      <c r="D940" s="102"/>
      <c r="E940" s="103"/>
      <c r="F940" s="104"/>
      <c r="G940" s="8"/>
      <c r="I940" s="61"/>
      <c r="J940" s="99"/>
      <c r="L940" s="99"/>
      <c r="N940" s="101"/>
      <c r="O940" s="61"/>
      <c r="P940" s="61"/>
    </row>
    <row r="941">
      <c r="A941" s="99"/>
      <c r="C941" s="99"/>
      <c r="D941" s="102"/>
      <c r="E941" s="103"/>
      <c r="F941" s="104"/>
      <c r="G941" s="8"/>
      <c r="I941" s="61"/>
      <c r="J941" s="99"/>
      <c r="L941" s="99"/>
      <c r="N941" s="101"/>
      <c r="O941" s="61"/>
      <c r="P941" s="61"/>
    </row>
    <row r="942">
      <c r="A942" s="99"/>
      <c r="C942" s="99"/>
      <c r="D942" s="102"/>
      <c r="E942" s="103"/>
      <c r="F942" s="104"/>
      <c r="G942" s="8"/>
      <c r="I942" s="61"/>
      <c r="J942" s="99"/>
      <c r="L942" s="99"/>
      <c r="N942" s="101"/>
      <c r="O942" s="61"/>
      <c r="P942" s="61"/>
    </row>
    <row r="943">
      <c r="A943" s="99"/>
      <c r="C943" s="99"/>
      <c r="D943" s="102"/>
      <c r="E943" s="103"/>
      <c r="F943" s="104"/>
      <c r="G943" s="8"/>
      <c r="I943" s="61"/>
      <c r="J943" s="99"/>
      <c r="L943" s="99"/>
      <c r="N943" s="101"/>
      <c r="O943" s="61"/>
      <c r="P943" s="61"/>
    </row>
    <row r="944">
      <c r="A944" s="99"/>
      <c r="C944" s="99"/>
      <c r="D944" s="102"/>
      <c r="E944" s="103"/>
      <c r="F944" s="104"/>
      <c r="G944" s="8"/>
      <c r="I944" s="61"/>
      <c r="J944" s="99"/>
      <c r="L944" s="99"/>
      <c r="N944" s="101"/>
      <c r="O944" s="61"/>
      <c r="P944" s="61"/>
    </row>
    <row r="945">
      <c r="A945" s="99"/>
      <c r="C945" s="99"/>
      <c r="D945" s="102"/>
      <c r="E945" s="103"/>
      <c r="F945" s="104"/>
      <c r="G945" s="8"/>
      <c r="I945" s="61"/>
      <c r="J945" s="99"/>
      <c r="L945" s="99"/>
      <c r="N945" s="101"/>
      <c r="O945" s="61"/>
      <c r="P945" s="61"/>
    </row>
    <row r="946">
      <c r="A946" s="99"/>
      <c r="C946" s="99"/>
      <c r="D946" s="102"/>
      <c r="E946" s="103"/>
      <c r="F946" s="104"/>
      <c r="G946" s="8"/>
      <c r="I946" s="61"/>
      <c r="J946" s="99"/>
      <c r="L946" s="99"/>
      <c r="N946" s="101"/>
      <c r="O946" s="61"/>
      <c r="P946" s="61"/>
    </row>
    <row r="947">
      <c r="A947" s="99"/>
      <c r="C947" s="99"/>
      <c r="D947" s="102"/>
      <c r="E947" s="103"/>
      <c r="F947" s="104"/>
      <c r="G947" s="8"/>
      <c r="I947" s="61"/>
      <c r="J947" s="99"/>
      <c r="L947" s="99"/>
      <c r="N947" s="101"/>
      <c r="O947" s="61"/>
      <c r="P947" s="61"/>
    </row>
    <row r="948">
      <c r="A948" s="99"/>
      <c r="C948" s="99"/>
      <c r="D948" s="102"/>
      <c r="E948" s="103"/>
      <c r="F948" s="104"/>
      <c r="G948" s="8"/>
      <c r="I948" s="61"/>
      <c r="J948" s="99"/>
      <c r="L948" s="99"/>
      <c r="N948" s="101"/>
      <c r="O948" s="61"/>
      <c r="P948" s="61"/>
    </row>
    <row r="949">
      <c r="A949" s="99"/>
      <c r="C949" s="99"/>
      <c r="D949" s="102"/>
      <c r="E949" s="103"/>
      <c r="F949" s="104"/>
      <c r="G949" s="8"/>
      <c r="I949" s="61"/>
      <c r="J949" s="99"/>
      <c r="L949" s="99"/>
      <c r="N949" s="101"/>
      <c r="O949" s="61"/>
      <c r="P949" s="61"/>
    </row>
    <row r="950">
      <c r="A950" s="99"/>
      <c r="C950" s="99"/>
      <c r="D950" s="102"/>
      <c r="E950" s="103"/>
      <c r="F950" s="104"/>
      <c r="G950" s="8"/>
      <c r="I950" s="61"/>
      <c r="J950" s="99"/>
      <c r="L950" s="99"/>
      <c r="N950" s="101"/>
      <c r="O950" s="61"/>
      <c r="P950" s="61"/>
    </row>
    <row r="951">
      <c r="A951" s="99"/>
      <c r="C951" s="99"/>
      <c r="D951" s="102"/>
      <c r="E951" s="103"/>
      <c r="F951" s="104"/>
      <c r="G951" s="8"/>
      <c r="I951" s="61"/>
      <c r="J951" s="99"/>
      <c r="L951" s="99"/>
      <c r="N951" s="101"/>
      <c r="O951" s="61"/>
      <c r="P951" s="61"/>
    </row>
    <row r="952">
      <c r="A952" s="99"/>
      <c r="C952" s="99"/>
      <c r="D952" s="102"/>
      <c r="E952" s="103"/>
      <c r="F952" s="104"/>
      <c r="G952" s="8"/>
      <c r="I952" s="61"/>
      <c r="J952" s="99"/>
      <c r="L952" s="99"/>
      <c r="N952" s="101"/>
      <c r="O952" s="61"/>
      <c r="P952" s="61"/>
    </row>
    <row r="953">
      <c r="A953" s="99"/>
      <c r="C953" s="99"/>
      <c r="D953" s="102"/>
      <c r="E953" s="103"/>
      <c r="F953" s="104"/>
      <c r="G953" s="8"/>
      <c r="I953" s="61"/>
      <c r="J953" s="99"/>
      <c r="L953" s="99"/>
      <c r="N953" s="101"/>
      <c r="O953" s="61"/>
      <c r="P953" s="61"/>
    </row>
    <row r="954">
      <c r="A954" s="99"/>
      <c r="C954" s="99"/>
      <c r="D954" s="102"/>
      <c r="E954" s="103"/>
      <c r="F954" s="104"/>
      <c r="G954" s="8"/>
      <c r="I954" s="61"/>
      <c r="J954" s="99"/>
      <c r="L954" s="99"/>
      <c r="N954" s="101"/>
      <c r="O954" s="61"/>
      <c r="P954" s="61"/>
    </row>
    <row r="955">
      <c r="A955" s="99"/>
      <c r="C955" s="99"/>
      <c r="D955" s="102"/>
      <c r="E955" s="103"/>
      <c r="F955" s="104"/>
      <c r="G955" s="8"/>
      <c r="I955" s="61"/>
      <c r="J955" s="99"/>
      <c r="L955" s="99"/>
      <c r="N955" s="101"/>
      <c r="O955" s="61"/>
      <c r="P955" s="61"/>
    </row>
    <row r="956">
      <c r="A956" s="99"/>
      <c r="C956" s="99"/>
      <c r="D956" s="102"/>
      <c r="E956" s="103"/>
      <c r="F956" s="104"/>
      <c r="G956" s="8"/>
      <c r="I956" s="61"/>
      <c r="J956" s="99"/>
      <c r="L956" s="99"/>
      <c r="N956" s="101"/>
      <c r="O956" s="61"/>
      <c r="P956" s="61"/>
    </row>
    <row r="957">
      <c r="A957" s="99"/>
      <c r="C957" s="99"/>
      <c r="D957" s="102"/>
      <c r="E957" s="103"/>
      <c r="F957" s="104"/>
      <c r="G957" s="8"/>
      <c r="I957" s="61"/>
      <c r="J957" s="99"/>
      <c r="L957" s="99"/>
      <c r="N957" s="101"/>
      <c r="O957" s="61"/>
      <c r="P957" s="61"/>
    </row>
    <row r="958">
      <c r="A958" s="99"/>
      <c r="C958" s="99"/>
      <c r="D958" s="102"/>
      <c r="E958" s="103"/>
      <c r="F958" s="104"/>
      <c r="G958" s="8"/>
      <c r="I958" s="61"/>
      <c r="J958" s="99"/>
      <c r="L958" s="99"/>
      <c r="N958" s="101"/>
      <c r="O958" s="61"/>
      <c r="P958" s="61"/>
    </row>
    <row r="959">
      <c r="A959" s="99"/>
      <c r="C959" s="99"/>
      <c r="D959" s="102"/>
      <c r="E959" s="103"/>
      <c r="F959" s="104"/>
      <c r="G959" s="8"/>
      <c r="I959" s="61"/>
      <c r="J959" s="99"/>
      <c r="L959" s="99"/>
      <c r="N959" s="101"/>
      <c r="O959" s="61"/>
      <c r="P959" s="61"/>
    </row>
    <row r="960">
      <c r="A960" s="99"/>
      <c r="C960" s="99"/>
      <c r="D960" s="102"/>
      <c r="E960" s="103"/>
      <c r="F960" s="104"/>
      <c r="G960" s="8"/>
      <c r="I960" s="61"/>
      <c r="J960" s="99"/>
      <c r="L960" s="99"/>
      <c r="N960" s="101"/>
      <c r="O960" s="61"/>
      <c r="P960" s="61"/>
    </row>
    <row r="961">
      <c r="A961" s="99"/>
      <c r="C961" s="99"/>
      <c r="D961" s="102"/>
      <c r="E961" s="103"/>
      <c r="F961" s="104"/>
      <c r="G961" s="8"/>
      <c r="I961" s="61"/>
      <c r="J961" s="99"/>
      <c r="L961" s="99"/>
      <c r="N961" s="101"/>
      <c r="O961" s="61"/>
      <c r="P961" s="61"/>
    </row>
    <row r="962">
      <c r="A962" s="99"/>
      <c r="C962" s="99"/>
      <c r="D962" s="102"/>
      <c r="E962" s="103"/>
      <c r="F962" s="104"/>
      <c r="G962" s="8"/>
      <c r="I962" s="61"/>
      <c r="J962" s="99"/>
      <c r="L962" s="99"/>
      <c r="N962" s="101"/>
      <c r="O962" s="61"/>
      <c r="P962" s="61"/>
    </row>
    <row r="963">
      <c r="A963" s="99"/>
      <c r="C963" s="99"/>
      <c r="D963" s="102"/>
      <c r="E963" s="103"/>
      <c r="F963" s="104"/>
      <c r="G963" s="8"/>
      <c r="I963" s="61"/>
      <c r="J963" s="99"/>
      <c r="L963" s="99"/>
      <c r="N963" s="101"/>
      <c r="O963" s="61"/>
      <c r="P963" s="61"/>
    </row>
    <row r="964">
      <c r="A964" s="99"/>
      <c r="C964" s="99"/>
      <c r="D964" s="102"/>
      <c r="E964" s="103"/>
      <c r="F964" s="104"/>
      <c r="G964" s="8"/>
      <c r="I964" s="61"/>
      <c r="J964" s="99"/>
      <c r="L964" s="99"/>
      <c r="N964" s="101"/>
      <c r="O964" s="61"/>
      <c r="P964" s="61"/>
    </row>
    <row r="965">
      <c r="A965" s="99"/>
      <c r="C965" s="99"/>
      <c r="D965" s="102"/>
      <c r="E965" s="103"/>
      <c r="F965" s="104"/>
      <c r="G965" s="8"/>
      <c r="I965" s="61"/>
      <c r="J965" s="99"/>
      <c r="L965" s="99"/>
      <c r="N965" s="101"/>
      <c r="O965" s="61"/>
      <c r="P965" s="61"/>
    </row>
    <row r="966">
      <c r="A966" s="99"/>
      <c r="C966" s="99"/>
      <c r="D966" s="102"/>
      <c r="E966" s="103"/>
      <c r="F966" s="104"/>
      <c r="G966" s="8"/>
      <c r="I966" s="61"/>
      <c r="J966" s="99"/>
      <c r="L966" s="99"/>
      <c r="N966" s="101"/>
      <c r="O966" s="61"/>
      <c r="P966" s="61"/>
    </row>
    <row r="967">
      <c r="A967" s="99"/>
      <c r="C967" s="99"/>
      <c r="D967" s="102"/>
      <c r="E967" s="103"/>
      <c r="F967" s="104"/>
      <c r="G967" s="8"/>
      <c r="I967" s="61"/>
      <c r="J967" s="99"/>
      <c r="L967" s="99"/>
      <c r="N967" s="101"/>
      <c r="O967" s="61"/>
      <c r="P967" s="61"/>
    </row>
    <row r="968">
      <c r="A968" s="99"/>
      <c r="C968" s="99"/>
      <c r="D968" s="102"/>
      <c r="E968" s="103"/>
      <c r="F968" s="104"/>
      <c r="G968" s="8"/>
      <c r="I968" s="61"/>
      <c r="J968" s="99"/>
      <c r="L968" s="99"/>
      <c r="N968" s="101"/>
      <c r="O968" s="61"/>
      <c r="P968" s="61"/>
    </row>
    <row r="969">
      <c r="A969" s="99"/>
      <c r="C969" s="99"/>
      <c r="D969" s="102"/>
      <c r="E969" s="103"/>
      <c r="F969" s="104"/>
      <c r="G969" s="8"/>
      <c r="I969" s="61"/>
      <c r="J969" s="99"/>
      <c r="L969" s="99"/>
      <c r="N969" s="101"/>
      <c r="O969" s="61"/>
      <c r="P969" s="61"/>
    </row>
    <row r="970">
      <c r="A970" s="99"/>
      <c r="C970" s="99"/>
      <c r="D970" s="102"/>
      <c r="E970" s="103"/>
      <c r="F970" s="104"/>
      <c r="G970" s="8"/>
      <c r="I970" s="61"/>
      <c r="J970" s="99"/>
      <c r="L970" s="99"/>
      <c r="N970" s="101"/>
      <c r="O970" s="61"/>
      <c r="P970" s="61"/>
    </row>
    <row r="971">
      <c r="A971" s="99"/>
      <c r="C971" s="99"/>
      <c r="D971" s="102"/>
      <c r="E971" s="103"/>
      <c r="F971" s="104"/>
      <c r="G971" s="8"/>
      <c r="I971" s="61"/>
      <c r="J971" s="99"/>
      <c r="L971" s="99"/>
      <c r="N971" s="101"/>
      <c r="O971" s="61"/>
      <c r="P971" s="61"/>
    </row>
    <row r="972">
      <c r="A972" s="99"/>
      <c r="C972" s="99"/>
      <c r="D972" s="102"/>
      <c r="E972" s="103"/>
      <c r="F972" s="104"/>
      <c r="G972" s="8"/>
      <c r="I972" s="61"/>
      <c r="J972" s="99"/>
      <c r="L972" s="99"/>
      <c r="N972" s="101"/>
      <c r="O972" s="61"/>
      <c r="P972" s="61"/>
    </row>
    <row r="973">
      <c r="A973" s="99"/>
      <c r="C973" s="99"/>
      <c r="D973" s="102"/>
      <c r="E973" s="103"/>
      <c r="F973" s="104"/>
      <c r="G973" s="8"/>
      <c r="I973" s="61"/>
      <c r="J973" s="99"/>
      <c r="L973" s="99"/>
      <c r="N973" s="101"/>
      <c r="O973" s="61"/>
      <c r="P973" s="61"/>
    </row>
    <row r="974">
      <c r="A974" s="99"/>
      <c r="C974" s="99"/>
      <c r="D974" s="102"/>
      <c r="E974" s="103"/>
      <c r="F974" s="104"/>
      <c r="G974" s="8"/>
      <c r="I974" s="61"/>
      <c r="J974" s="99"/>
      <c r="L974" s="99"/>
      <c r="N974" s="101"/>
      <c r="O974" s="61"/>
      <c r="P974" s="61"/>
    </row>
    <row r="975">
      <c r="A975" s="99"/>
      <c r="C975" s="99"/>
      <c r="D975" s="102"/>
      <c r="E975" s="103"/>
      <c r="F975" s="104"/>
      <c r="G975" s="8"/>
      <c r="I975" s="61"/>
      <c r="J975" s="99"/>
      <c r="L975" s="99"/>
      <c r="N975" s="101"/>
      <c r="O975" s="61"/>
      <c r="P975" s="61"/>
    </row>
    <row r="976">
      <c r="A976" s="99"/>
      <c r="C976" s="99"/>
      <c r="D976" s="102"/>
      <c r="E976" s="103"/>
      <c r="F976" s="104"/>
      <c r="G976" s="8"/>
      <c r="I976" s="61"/>
      <c r="J976" s="99"/>
      <c r="L976" s="99"/>
      <c r="N976" s="101"/>
      <c r="O976" s="61"/>
      <c r="P976" s="61"/>
    </row>
    <row r="977">
      <c r="A977" s="99"/>
      <c r="C977" s="99"/>
      <c r="D977" s="102"/>
      <c r="E977" s="103"/>
      <c r="F977" s="104"/>
      <c r="G977" s="8"/>
      <c r="I977" s="61"/>
      <c r="J977" s="99"/>
      <c r="L977" s="99"/>
      <c r="N977" s="101"/>
      <c r="O977" s="61"/>
      <c r="P977" s="61"/>
    </row>
    <row r="978">
      <c r="A978" s="99"/>
      <c r="C978" s="99"/>
      <c r="D978" s="102"/>
      <c r="E978" s="103"/>
      <c r="F978" s="104"/>
      <c r="G978" s="8"/>
      <c r="I978" s="61"/>
      <c r="J978" s="99"/>
      <c r="L978" s="99"/>
      <c r="N978" s="101"/>
      <c r="O978" s="61"/>
      <c r="P978" s="61"/>
    </row>
    <row r="979">
      <c r="A979" s="99"/>
      <c r="C979" s="99"/>
      <c r="D979" s="102"/>
      <c r="E979" s="103"/>
      <c r="F979" s="104"/>
      <c r="G979" s="8"/>
      <c r="I979" s="61"/>
      <c r="J979" s="99"/>
      <c r="L979" s="99"/>
      <c r="N979" s="101"/>
      <c r="O979" s="61"/>
      <c r="P979" s="61"/>
    </row>
    <row r="980">
      <c r="A980" s="99"/>
      <c r="C980" s="99"/>
      <c r="D980" s="102"/>
      <c r="E980" s="103"/>
      <c r="F980" s="104"/>
      <c r="G980" s="8"/>
      <c r="I980" s="61"/>
      <c r="J980" s="99"/>
      <c r="L980" s="99"/>
      <c r="N980" s="101"/>
      <c r="O980" s="61"/>
      <c r="P980" s="61"/>
    </row>
    <row r="981">
      <c r="A981" s="99"/>
      <c r="C981" s="99"/>
      <c r="D981" s="102"/>
      <c r="E981" s="103"/>
      <c r="F981" s="104"/>
      <c r="G981" s="8"/>
      <c r="I981" s="61"/>
      <c r="J981" s="99"/>
      <c r="L981" s="99"/>
      <c r="N981" s="101"/>
      <c r="O981" s="61"/>
      <c r="P981" s="61"/>
    </row>
    <row r="982">
      <c r="A982" s="99"/>
      <c r="C982" s="99"/>
      <c r="D982" s="102"/>
      <c r="E982" s="103"/>
      <c r="F982" s="104"/>
      <c r="G982" s="8"/>
      <c r="I982" s="61"/>
      <c r="J982" s="99"/>
      <c r="L982" s="99"/>
      <c r="N982" s="101"/>
      <c r="O982" s="61"/>
      <c r="P982" s="61"/>
    </row>
    <row r="983">
      <c r="A983" s="99"/>
      <c r="C983" s="99"/>
      <c r="D983" s="102"/>
      <c r="E983" s="103"/>
      <c r="F983" s="104"/>
      <c r="G983" s="8"/>
      <c r="I983" s="61"/>
      <c r="J983" s="99"/>
      <c r="L983" s="99"/>
      <c r="N983" s="101"/>
      <c r="O983" s="61"/>
      <c r="P983" s="61"/>
    </row>
    <row r="984">
      <c r="A984" s="99"/>
      <c r="C984" s="99"/>
      <c r="D984" s="102"/>
      <c r="E984" s="103"/>
      <c r="F984" s="104"/>
      <c r="G984" s="8"/>
      <c r="I984" s="61"/>
      <c r="J984" s="99"/>
      <c r="L984" s="99"/>
      <c r="N984" s="101"/>
      <c r="O984" s="61"/>
      <c r="P984" s="61"/>
    </row>
    <row r="985">
      <c r="A985" s="99"/>
      <c r="C985" s="99"/>
      <c r="D985" s="102"/>
      <c r="E985" s="103"/>
      <c r="F985" s="104"/>
      <c r="G985" s="8"/>
      <c r="I985" s="61"/>
      <c r="J985" s="99"/>
      <c r="L985" s="99"/>
      <c r="N985" s="101"/>
      <c r="O985" s="61"/>
      <c r="P985" s="61"/>
    </row>
    <row r="986">
      <c r="A986" s="99"/>
      <c r="C986" s="99"/>
      <c r="D986" s="102"/>
      <c r="E986" s="103"/>
      <c r="F986" s="104"/>
      <c r="G986" s="8"/>
      <c r="I986" s="61"/>
      <c r="J986" s="99"/>
      <c r="L986" s="99"/>
      <c r="N986" s="101"/>
      <c r="O986" s="61"/>
      <c r="P986" s="61"/>
    </row>
    <row r="987">
      <c r="A987" s="99"/>
      <c r="C987" s="99"/>
      <c r="D987" s="102"/>
      <c r="E987" s="103"/>
      <c r="F987" s="104"/>
      <c r="G987" s="8"/>
      <c r="I987" s="61"/>
      <c r="J987" s="99"/>
      <c r="L987" s="99"/>
      <c r="N987" s="101"/>
      <c r="O987" s="61"/>
      <c r="P987" s="61"/>
    </row>
    <row r="988">
      <c r="A988" s="99"/>
      <c r="C988" s="99"/>
      <c r="D988" s="102"/>
      <c r="E988" s="103"/>
      <c r="F988" s="104"/>
      <c r="G988" s="8"/>
      <c r="I988" s="61"/>
      <c r="J988" s="99"/>
      <c r="L988" s="99"/>
      <c r="N988" s="101"/>
      <c r="O988" s="61"/>
      <c r="P988" s="61"/>
    </row>
    <row r="989">
      <c r="A989" s="99"/>
      <c r="C989" s="99"/>
      <c r="D989" s="102"/>
      <c r="E989" s="103"/>
      <c r="F989" s="104"/>
      <c r="G989" s="8"/>
      <c r="I989" s="61"/>
      <c r="J989" s="99"/>
      <c r="L989" s="99"/>
      <c r="N989" s="101"/>
      <c r="O989" s="61"/>
      <c r="P989" s="61"/>
    </row>
    <row r="990">
      <c r="A990" s="99"/>
      <c r="C990" s="99"/>
      <c r="D990" s="102"/>
      <c r="E990" s="103"/>
      <c r="F990" s="104"/>
      <c r="G990" s="8"/>
      <c r="I990" s="61"/>
      <c r="J990" s="99"/>
      <c r="L990" s="99"/>
      <c r="N990" s="101"/>
      <c r="O990" s="61"/>
      <c r="P990" s="61"/>
    </row>
    <row r="991">
      <c r="A991" s="99"/>
      <c r="C991" s="99"/>
      <c r="D991" s="102"/>
      <c r="E991" s="103"/>
      <c r="F991" s="104"/>
      <c r="G991" s="8"/>
      <c r="I991" s="61"/>
      <c r="J991" s="99"/>
      <c r="L991" s="99"/>
      <c r="N991" s="101"/>
      <c r="O991" s="61"/>
      <c r="P991" s="61"/>
    </row>
    <row r="992">
      <c r="A992" s="99"/>
      <c r="C992" s="99"/>
      <c r="D992" s="102"/>
      <c r="E992" s="103"/>
      <c r="F992" s="104"/>
      <c r="G992" s="8"/>
      <c r="I992" s="61"/>
      <c r="J992" s="99"/>
      <c r="L992" s="99"/>
      <c r="N992" s="101"/>
      <c r="O992" s="61"/>
      <c r="P992" s="61"/>
    </row>
    <row r="993">
      <c r="A993" s="99"/>
      <c r="C993" s="99"/>
      <c r="D993" s="102"/>
      <c r="E993" s="103"/>
      <c r="F993" s="104"/>
      <c r="G993" s="8"/>
      <c r="I993" s="61"/>
      <c r="J993" s="99"/>
      <c r="L993" s="99"/>
      <c r="N993" s="101"/>
      <c r="O993" s="61"/>
      <c r="P993" s="61"/>
    </row>
    <row r="994">
      <c r="A994" s="99"/>
      <c r="C994" s="99"/>
      <c r="D994" s="102"/>
      <c r="E994" s="103"/>
      <c r="F994" s="104"/>
      <c r="G994" s="8"/>
      <c r="I994" s="61"/>
      <c r="J994" s="99"/>
      <c r="L994" s="99"/>
      <c r="N994" s="101"/>
      <c r="O994" s="61"/>
      <c r="P994" s="61"/>
    </row>
    <row r="995">
      <c r="A995" s="99"/>
      <c r="C995" s="99"/>
      <c r="D995" s="102"/>
      <c r="E995" s="103"/>
      <c r="F995" s="104"/>
      <c r="G995" s="8"/>
      <c r="I995" s="61"/>
      <c r="J995" s="99"/>
      <c r="L995" s="99"/>
      <c r="N995" s="101"/>
      <c r="O995" s="61"/>
      <c r="P995" s="61"/>
    </row>
    <row r="996">
      <c r="A996" s="99"/>
      <c r="C996" s="99"/>
      <c r="D996" s="102"/>
      <c r="E996" s="103"/>
      <c r="F996" s="104"/>
      <c r="G996" s="8"/>
      <c r="I996" s="61"/>
      <c r="J996" s="99"/>
      <c r="L996" s="99"/>
      <c r="N996" s="101"/>
      <c r="O996" s="61"/>
      <c r="P996" s="61"/>
    </row>
  </sheetData>
  <conditionalFormatting sqref="F5:F996">
    <cfRule type="expression" dxfId="0" priority="1">
      <formula>and(REGEXMATCH(F5,"(?i)[\(\[\{\-][ ]*(feat|ft|explic|dirt|single|ep|video|acoustic)| feat(ur|\.| )| ft|f\/|w\/"),I5&lt;&gt;"Video")</formula>
    </cfRule>
  </conditionalFormatting>
  <conditionalFormatting sqref="N5:N996">
    <cfRule type="expression" dxfId="0" priority="2">
      <formula>and(not(N5&lt;today()),not(isblank(N5)))</formula>
    </cfRule>
  </conditionalFormatting>
  <conditionalFormatting sqref="O5:O996">
    <cfRule type="expression" dxfId="0" priority="3">
      <formula>and(not(isblank(O5)),iserror(match(O5,indirect("'Reference info'!H:H"),0)))</formula>
    </cfRule>
  </conditionalFormatting>
  <conditionalFormatting sqref="P5:P996">
    <cfRule type="expression" dxfId="0" priority="4">
      <formula>and(not(isblank(P5)), iserror(match(P5,indirect("'Reference info'!H:H"),0)))</formula>
    </cfRule>
  </conditionalFormatting>
  <conditionalFormatting sqref="A5:A996">
    <cfRule type="expression" dxfId="0" priority="5">
      <formula>or(and(not(isblank(F5)),isblank(A5)),and(not(isblank(A5)),iserror(match(A5,indirect("'2) Labels list'!a:a"),0))))</formula>
    </cfRule>
  </conditionalFormatting>
  <conditionalFormatting sqref="C5:C996">
    <cfRule type="expression" dxfId="0" priority="6">
      <formula>and(not(isblank(B5)),C5&lt;&gt;"jpeg",C5&lt;&gt;"jpg")</formula>
    </cfRule>
  </conditionalFormatting>
  <conditionalFormatting sqref="G5:G996">
    <cfRule type="expression" dxfId="0" priority="7">
      <formula>and(not(isblank(G5)),iserror(match(G5,indirect("'Reference info'!k:k"),0)))</formula>
    </cfRule>
  </conditionalFormatting>
  <conditionalFormatting sqref="I5:I996">
    <cfRule type="expression" dxfId="0" priority="8">
      <formula>and(not(isblank(I5)),iserror(match(I5,indirect("'Reference info'!g:g"),0)))</formula>
    </cfRule>
  </conditionalFormatting>
  <conditionalFormatting sqref="J5:J996">
    <cfRule type="expression" dxfId="0" priority="9">
      <formula>or(and(isblank(J5),not(isblank(F5))),type(J5)&lt;&gt;1,and(not(isblank(J5)),J5&lt;1900),J5&gt;Year(Now())+1)</formula>
    </cfRule>
  </conditionalFormatting>
  <conditionalFormatting sqref="L5:L996">
    <cfRule type="expression" dxfId="0" priority="10">
      <formula>or(and(isblank(L5),not(isblank(F5))),type(L5)&lt;&gt;1,and(not(isblank(L5)),L5&lt;1900),L5&gt;Year(Now())+1)</formula>
    </cfRule>
  </conditionalFormatting>
  <conditionalFormatting sqref="D5:D996">
    <cfRule type="expression" dxfId="3" priority="11">
      <formula>countif(D:D,D5)&gt;1</formula>
    </cfRule>
  </conditionalFormatting>
  <conditionalFormatting sqref="P5:P996">
    <cfRule type="expression" dxfId="3" priority="12">
      <formula>and(not(isblank(P5)),P5=O5)</formula>
    </cfRule>
  </conditionalFormatting>
  <conditionalFormatting sqref="E5:E996">
    <cfRule type="expression" dxfId="3" priority="13">
      <formula>countif(E:E,E5)&gt;1</formula>
    </cfRule>
  </conditionalFormatting>
  <conditionalFormatting sqref="D5:D996">
    <cfRule type="expression" dxfId="3" priority="14">
      <formula>countif(Q:Q,D5)&gt;0</formula>
    </cfRule>
  </conditionalFormatting>
  <conditionalFormatting sqref="E5:E996">
    <cfRule type="expression" dxfId="3" priority="15">
      <formula>countif(Q:Q,E5)&gt;0</formula>
    </cfRule>
  </conditionalFormatting>
  <conditionalFormatting sqref="A1">
    <cfRule type="notContainsBlanks" dxfId="1" priority="16">
      <formula>LEN(TRIM(A1))&gt;0</formula>
    </cfRule>
  </conditionalFormatting>
  <dataValidations>
    <dataValidation type="list" allowBlank="1" showInputMessage="1" showErrorMessage="1" prompt="select from list, start typing or drag" sqref="O5:P75 O89:P996">
      <formula1>Genre</formula1>
    </dataValidation>
    <dataValidation type="list" allowBlank="1" showInputMessage="1" showErrorMessage="1" prompt="select from Labels list, start typing or drag" sqref="A5:A75 A89:A996">
      <formula1>Label</formula1>
    </dataValidation>
    <dataValidation type="custom" allowBlank="1" showDropDown="1" showInputMessage="1" showErrorMessage="1" prompt="Enter a Valid Year from after 1899" sqref="J5:J75 L5:L75 J89:J996 L89:L996">
      <formula1>and(INT(J5)=J5,J5&gt;=1900,J5&lt;=Year(Now())+1)</formula1>
    </dataValidation>
    <dataValidation type="custom" allowBlank="1" showDropDown="1" showInputMessage="1" showErrorMessage="1" prompt="must contain 2 letters, 3 character minimum, 20 character maximum, alphanumeric ONLY (letter or number; no dashes, spaces, punctuation marks, etc.)" sqref="E5:E75 E89:E996">
      <formula1>and(regexmatch(E5,"^[a-zA-Z0-9]*$"), len(E5)&gt;=3, len(E5)&lt;=20)</formula1>
    </dataValidation>
    <dataValidation type="custom" allowBlank="1" showDropDown="1" showInputMessage="1" showErrorMessage="1" prompt="Enter a valid UPC/EAN/JAN" sqref="D5:D75 D89:D996">
      <formula1>and(INT(D5)=D5,D5&gt;9999999999)</formula1>
    </dataValidation>
    <dataValidation type="list" allowBlank="1" showInputMessage="1" showErrorMessage="1" prompt="Click and enter a value from range" sqref="G5:G75 G89:G996">
      <formula1>Language</formula1>
    </dataValidation>
    <dataValidation type="list" allowBlank="1" showInputMessage="1" showErrorMessage="1" prompt="select from list, start typing or drag" sqref="I5:I75 I89:I996">
      <formula1>ReleaseType</formula1>
    </dataValidation>
    <dataValidation type="custom" allowBlank="1" showDropDown="1" showInputMessage="1" showErrorMessage="1" prompt="Enter a valid date." sqref="N5:N75 N89:N996">
      <formula1>OR(NOT(ISERROR(DATEVALUE(N5))), AND(ISNUMBER(N5), LEFT(CELL("format", N5))="D"))</formula1>
    </dataValidation>
    <dataValidation type="list" allowBlank="1" showInputMessage="1" showErrorMessage="1" prompt="select from list, start typing or drag" sqref="C5:C75 C89:C996">
      <formula1>"jpeg,jpg"</formula1>
    </dataValidation>
  </dataValidations>
  <hyperlinks>
    <hyperlink r:id="rId2" ref="B5"/>
    <hyperlink r:id="rId3" ref="B6"/>
    <hyperlink r:id="rId4" ref="B7"/>
    <hyperlink r:id="rId5" ref="B8"/>
    <hyperlink r:id="rId6" ref="B9"/>
    <hyperlink r:id="rId7" ref="B10"/>
    <hyperlink r:id="rId8" ref="B11"/>
    <hyperlink r:id="rId9" ref="B12"/>
    <hyperlink r:id="rId10" ref="B13"/>
    <hyperlink r:id="rId11" ref="B14"/>
    <hyperlink r:id="rId12" ref="B15"/>
    <hyperlink r:id="rId13" ref="B16"/>
    <hyperlink r:id="rId14" ref="B17"/>
    <hyperlink r:id="rId15" ref="B18"/>
    <hyperlink r:id="rId16" ref="B19"/>
    <hyperlink r:id="rId17" ref="B20"/>
    <hyperlink r:id="rId18" ref="B21"/>
    <hyperlink r:id="rId19" ref="B22"/>
    <hyperlink r:id="rId20" ref="B23"/>
    <hyperlink r:id="rId21" ref="B24"/>
    <hyperlink r:id="rId22" ref="B25"/>
    <hyperlink r:id="rId23" ref="B26"/>
    <hyperlink r:id="rId24" ref="B27"/>
    <hyperlink r:id="rId25" ref="B28"/>
    <hyperlink r:id="rId26" ref="B29"/>
    <hyperlink r:id="rId27" ref="B30"/>
    <hyperlink r:id="rId28" ref="B31"/>
    <hyperlink r:id="rId29" ref="B32"/>
    <hyperlink r:id="rId30" ref="B33"/>
    <hyperlink r:id="rId31" ref="B34"/>
    <hyperlink r:id="rId32" ref="B35"/>
    <hyperlink r:id="rId33" ref="B36"/>
    <hyperlink r:id="rId34" ref="B37"/>
    <hyperlink r:id="rId35" ref="B38"/>
    <hyperlink r:id="rId36" ref="B39"/>
    <hyperlink r:id="rId37" ref="B40"/>
    <hyperlink r:id="rId38" ref="B41"/>
    <hyperlink r:id="rId39" ref="B42"/>
    <hyperlink r:id="rId40" ref="B43"/>
    <hyperlink r:id="rId41" ref="B44"/>
    <hyperlink r:id="rId42" ref="B45"/>
    <hyperlink r:id="rId43" ref="B46"/>
    <hyperlink r:id="rId44" ref="B47"/>
    <hyperlink r:id="rId45" ref="B48"/>
    <hyperlink r:id="rId46" ref="B49"/>
    <hyperlink r:id="rId47" ref="B50"/>
    <hyperlink r:id="rId48" ref="B51"/>
    <hyperlink r:id="rId49" ref="B52"/>
    <hyperlink r:id="rId50" ref="B53"/>
    <hyperlink r:id="rId51" ref="B54"/>
    <hyperlink r:id="rId52" ref="B55"/>
    <hyperlink r:id="rId53" ref="B56"/>
    <hyperlink r:id="rId54" ref="B57"/>
    <hyperlink r:id="rId55" ref="B58"/>
    <hyperlink r:id="rId56" ref="B59"/>
    <hyperlink r:id="rId57" ref="B60"/>
    <hyperlink r:id="rId58" ref="B61"/>
    <hyperlink r:id="rId59" ref="B62"/>
    <hyperlink r:id="rId60" ref="B63"/>
    <hyperlink r:id="rId61" ref="B64"/>
    <hyperlink r:id="rId62" ref="B65"/>
    <hyperlink r:id="rId63" ref="B66"/>
    <hyperlink r:id="rId64" ref="B67"/>
    <hyperlink r:id="rId65" ref="B68"/>
    <hyperlink r:id="rId66" ref="B69"/>
    <hyperlink r:id="rId67" ref="B70"/>
    <hyperlink r:id="rId68" ref="B71"/>
    <hyperlink r:id="rId69" ref="B72"/>
    <hyperlink r:id="rId70" ref="B73"/>
    <hyperlink r:id="rId71" ref="B74"/>
    <hyperlink r:id="rId72" ref="B75"/>
  </hyperlinks>
  <drawing r:id="rId73"/>
  <legacyDrawing r:id="rId7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8.38"/>
    <col customWidth="1" min="2" max="2" width="13.0"/>
    <col customWidth="1" min="3" max="3" width="31.13"/>
    <col customWidth="1" min="4" max="4" width="41.63"/>
    <col customWidth="1" min="5" max="5" width="31.75"/>
    <col customWidth="1" min="6" max="6" width="19.63"/>
    <col customWidth="1" min="7" max="8" width="26.63"/>
    <col customWidth="1" min="9" max="9" width="21.88"/>
    <col customWidth="1" min="10" max="10" width="8.38"/>
    <col customWidth="1" min="11" max="11" width="16.0"/>
    <col customWidth="1" min="12" max="12" width="12.13"/>
    <col customWidth="1" min="13" max="13" width="12.75"/>
    <col customWidth="1" min="14" max="14" width="9.75"/>
    <col customWidth="1" min="15" max="15" width="8.0"/>
    <col customWidth="1" min="16" max="16" width="9.5"/>
    <col customWidth="1" min="17" max="17" width="9.0"/>
    <col customWidth="1" min="18" max="18" width="12.5"/>
    <col customWidth="1" min="19" max="19" width="4.38"/>
    <col customWidth="1" min="20" max="20" width="8.38"/>
    <col customWidth="1" min="21" max="21" width="6.75"/>
    <col customWidth="1" min="25" max="25" width="11.0"/>
  </cols>
  <sheetData>
    <row r="1">
      <c r="A1" s="13">
        <f>IFERROR(__xludf.DUMMYFUNCTION("COUNTUNIQUE(A5:A926)-'3) Release_Label'!D1"),0.0)</f>
        <v>0</v>
      </c>
      <c r="B1" s="13">
        <f>IFERROR(__xludf.DUMMYFUNCTION("COUNTUNIQUE(B5:B926)-'3) Release_Label'!E1"),0.0)</f>
        <v>0</v>
      </c>
      <c r="C1" s="105" t="s">
        <v>314</v>
      </c>
      <c r="D1" s="106"/>
      <c r="E1" s="13">
        <f>IFERROR(__xludf.DUMMYFUNCTION("COUNTUNIQUE(E5:E926)"),45.0)</f>
        <v>45</v>
      </c>
      <c r="F1" s="21" t="s">
        <v>24</v>
      </c>
      <c r="G1" s="18">
        <f>countif(F:F,"Main Primary Artist")-'3) Release_Label'!G1</f>
        <v>0</v>
      </c>
      <c r="H1" s="107" t="s">
        <v>26</v>
      </c>
      <c r="I1" s="108"/>
    </row>
    <row r="2">
      <c r="A2" s="109" t="s">
        <v>315</v>
      </c>
      <c r="B2" s="110"/>
      <c r="C2" s="111"/>
      <c r="D2" s="112"/>
      <c r="E2" s="112"/>
      <c r="F2" s="112"/>
      <c r="G2" s="63"/>
      <c r="H2" s="112"/>
      <c r="I2" s="108"/>
    </row>
    <row r="3">
      <c r="A3" s="68" t="s">
        <v>146</v>
      </c>
      <c r="B3" s="71" t="s">
        <v>147</v>
      </c>
      <c r="C3" s="113" t="s">
        <v>148</v>
      </c>
      <c r="D3" s="113" t="s">
        <v>150</v>
      </c>
      <c r="E3" s="114" t="s">
        <v>316</v>
      </c>
      <c r="F3" s="114" t="s">
        <v>317</v>
      </c>
      <c r="G3" s="115" t="s">
        <v>318</v>
      </c>
      <c r="H3" s="18">
        <f>IFERROR(__xludf.DUMMYFUNCTION("if(iserror(filter(A:B,G:G=""Producer &amp; Engineer"")),0, countunique(filter(A:B,G:G=""Producer &amp; Engineer"")))-'3) Release_Label'!G1"),0.0)</f>
        <v>0</v>
      </c>
      <c r="I3" s="108"/>
    </row>
    <row r="4">
      <c r="A4" s="80" t="s">
        <v>319</v>
      </c>
      <c r="B4" s="82" t="s">
        <v>319</v>
      </c>
      <c r="C4" s="116" t="s">
        <v>320</v>
      </c>
      <c r="E4" s="117" t="s">
        <v>321</v>
      </c>
      <c r="F4" s="35" t="s">
        <v>165</v>
      </c>
      <c r="G4" s="118" t="s">
        <v>322</v>
      </c>
      <c r="H4" s="18">
        <f>IFERROR(__xludf.DUMMYFUNCTION("if(iserror(filter(A:B,G:G=""Performer"")),0, countunique(filter(A:B,G:G=""Performer"")))-'3) Release_Label'!G1"),-71.0)</f>
        <v>-71</v>
      </c>
    </row>
    <row r="5">
      <c r="A5" s="119">
        <v>9.995964332174E12</v>
      </c>
      <c r="B5" s="120"/>
      <c r="C5" s="121" t="str">
        <f t="array" ref="C5">ifs(and(isblank($A5),isblank($B5)),"", not(iserror(vlookup($A5&amp;$B5,'3) Release_Label'!$D:$D&amp;'3) Release_Label'!$E:$E,1,0))),vlookup($A5&amp;$B5,{'3) Release_Label'!$D:$D&amp;'3) Release_Label'!$E:$E,'3) Release_Label'!$F:$F},2,0), or(and(not(isblank($B5)),$B5=$B4,$A5&lt;&gt;$A4),and(not(isblank($A5)),$A5=$A4,$B5&lt;&gt;$B4)),"ID LISTS UNALIGNED",and($A5&lt;&gt;"",countif('3) Release_Label'!$D:$D,$A5)=0),"NO UPC MATCH in Release_Label",and($B5&lt;&gt;"",countif('3) Release_Label'!$E:$E,$B5)=0),"NO CATALOG ID MATCH in Release_Label",iserror(vlookup($A5&amp;$B5,'3) Release_Label'!$D:$D&amp;'3) Release_Label'!$E:$E,1,0)),"NO UPC-CATALOG ID pair MATCH in Release_Label" )</f>
        <v>Aakad (From "Bhalwan Singh" Soundtrack)</v>
      </c>
      <c r="D5" s="121" t="str">
        <f t="array" ref="D5">ifs(and(isblank($A5),isblank($B5)),"", not(iserror(vlookup($A5&amp;$B5,'3) Release_Label'!$D:$D&amp;'3) Release_Label'!$E:$E,1,0))),vlookup($A5&amp;$B5,{'3) Release_Label'!$D:$D&amp;'3) Release_Label'!$E:$E,'3) Release_Label'!$H:$H},2,0), or(and(not(isblank($B5)),$B5=$B4,$A5&lt;&gt;$A4),and(not(isblank($A5)),$A5=$A4,$B5&lt;&gt;$B4)),"ID LISTS UNALIGNED",and($A5&lt;&gt;"",countif('3) Release_Label'!$D:$D,$A5)=0),"NO UPC MATCH in Release_Label",and($B5&lt;&gt;"",countif('3) Release_Label'!$E:$E,$B5)=0),"NO CATALOG ID MATCH in Release_Label",iserror(vlookup($A5&amp;$B5,'3) Release_Label'!$D:$D&amp;'3) Release_Label'!$E:$E,1,0)),"NO UPC-CATALOG ID pair MATCH in Release_Label" )</f>
        <v/>
      </c>
      <c r="E5" s="44" t="s">
        <v>42</v>
      </c>
      <c r="F5" s="122" t="s">
        <v>323</v>
      </c>
      <c r="G5" s="123" t="str">
        <f t="array" ref="G5">ifs(or($F5="",$F5="Main Primary Artist"),$F5,not(iserror(vlookup($F5,'Reference info'!$J$5:$J$8,1,0))),"Key Artist",not(iserror(vlookup($F5,'Reference info'!$J$38:$J$405,1,0))),"Performer",not(iserror(vlookup($F5,'Reference info'!$J$10:$J$36,1,0))),"Producer &amp; Engineer")</f>
        <v>Main Primary Artist</v>
      </c>
    </row>
    <row r="6">
      <c r="A6" s="119">
        <v>9.995964332174E12</v>
      </c>
      <c r="B6" s="103"/>
      <c r="C6" s="121" t="str">
        <f t="array" ref="C6">ifs(and(isblank($A6),isblank($B6)),"", not(iserror(vlookup($A6&amp;$B6,'3) Release_Label'!$D:$D&amp;'3) Release_Label'!$E:$E,1,0))),vlookup($A6&amp;$B6,{'3) Release_Label'!$D:$D&amp;'3) Release_Label'!$E:$E,'3) Release_Label'!$F:$F},2,0), or(and(not(isblank($B6)),$B6=$B5,$A6&lt;&gt;$A5),and(not(isblank($A6)),$A6=$A5,$B6&lt;&gt;$B5)),"ID LISTS UNALIGNED",and($A6&lt;&gt;"",countif('3) Release_Label'!$D:$D,$A6)=0),"NO UPC MATCH in Release_Label",and($B6&lt;&gt;"",countif('3) Release_Label'!$E:$E,$B6)=0),"NO CATALOG ID MATCH in Release_Label",iserror(vlookup($A6&amp;$B6,'3) Release_Label'!$D:$D&amp;'3) Release_Label'!$E:$E,1,0)),"NO UPC-CATALOG ID pair MATCH in Release_Label" )</f>
        <v>Aakad (From "Bhalwan Singh" Soundtrack)</v>
      </c>
      <c r="D6" s="121" t="str">
        <f t="array" ref="D6">ifs(and(isblank($A6),isblank($B6)),"", not(iserror(vlookup($A6&amp;$B6,'3) Release_Label'!$D:$D&amp;'3) Release_Label'!$E:$E,1,0))),vlookup($A6&amp;$B6,{'3) Release_Label'!$D:$D&amp;'3) Release_Label'!$E:$E,'3) Release_Label'!$H:$H},2,0), or(and(not(isblank($B6)),$B6=$B5,$A6&lt;&gt;$A5),and(not(isblank($A6)),$A6=$A5,$B6&lt;&gt;$B5)),"ID LISTS UNALIGNED",and($A6&lt;&gt;"",countif('3) Release_Label'!$D:$D,$A6)=0),"NO UPC MATCH in Release_Label",and($B6&lt;&gt;"",countif('3) Release_Label'!$E:$E,$B6)=0),"NO CATALOG ID MATCH in Release_Label",iserror(vlookup($A6&amp;$B6,'3) Release_Label'!$D:$D&amp;'3) Release_Label'!$E:$E,1,0)),"NO UPC-CATALOG ID pair MATCH in Release_Label" )</f>
        <v/>
      </c>
      <c r="E6" s="44" t="s">
        <v>45</v>
      </c>
      <c r="F6" s="122" t="s">
        <v>324</v>
      </c>
      <c r="G6" s="123" t="str">
        <f t="array" ref="G6">ifs(or($F6="",$F6="Main Primary Artist"),$F6,not(iserror(vlookup($F6,'Reference info'!$J$5:$J$8,1,0))),"Key Artist",not(iserror(vlookup($F6,'Reference info'!$J$38:$J$405,1,0))),"Performer",not(iserror(vlookup($F6,'Reference info'!$J$10:$J$36,1,0))),"Producer &amp; Engineer")</f>
        <v>Key Artist</v>
      </c>
      <c r="I6" s="28"/>
    </row>
    <row r="7">
      <c r="A7" s="119">
        <v>9.995964332174E12</v>
      </c>
      <c r="B7" s="124"/>
      <c r="C7" s="121" t="str">
        <f t="array" ref="C7">ifs(and(isblank($A7),isblank($B7)),"", not(iserror(vlookup($A7&amp;$B7,'3) Release_Label'!$D:$D&amp;'3) Release_Label'!$E:$E,1,0))),vlookup($A7&amp;$B7,{'3) Release_Label'!$D:$D&amp;'3) Release_Label'!$E:$E,'3) Release_Label'!$F:$F},2,0), or(and(not(isblank($B7)),$B7=$B6,$A7&lt;&gt;$A6),and(not(isblank($A7)),$A7=$A6,$B7&lt;&gt;$B6)),"ID LISTS UNALIGNED",and($A7&lt;&gt;"",countif('3) Release_Label'!$D:$D,$A7)=0),"NO UPC MATCH in Release_Label",and($B7&lt;&gt;"",countif('3) Release_Label'!$E:$E,$B7)=0),"NO CATALOG ID MATCH in Release_Label",iserror(vlookup($A7&amp;$B7,'3) Release_Label'!$D:$D&amp;'3) Release_Label'!$E:$E,1,0)),"NO UPC-CATALOG ID pair MATCH in Release_Label" )</f>
        <v>Aakad (From "Bhalwan Singh" Soundtrack)</v>
      </c>
      <c r="D7" s="121" t="str">
        <f t="array" ref="D7">ifs(and(isblank($A7),isblank($B7)),"", not(iserror(vlookup($A7&amp;$B7,'3) Release_Label'!$D:$D&amp;'3) Release_Label'!$E:$E,1,0))),vlookup($A7&amp;$B7,{'3) Release_Label'!$D:$D&amp;'3) Release_Label'!$E:$E,'3) Release_Label'!$H:$H},2,0), or(and(not(isblank($B7)),$B7=$B6,$A7&lt;&gt;$A6),and(not(isblank($A7)),$A7=$A6,$B7&lt;&gt;$B6)),"ID LISTS UNALIGNED",and($A7&lt;&gt;"",countif('3) Release_Label'!$D:$D,$A7)=0),"NO UPC MATCH in Release_Label",and($B7&lt;&gt;"",countif('3) Release_Label'!$E:$E,$B7)=0),"NO CATALOG ID MATCH in Release_Label",iserror(vlookup($A7&amp;$B7,'3) Release_Label'!$D:$D&amp;'3) Release_Label'!$E:$E,1,0)),"NO UPC-CATALOG ID pair MATCH in Release_Label" )</f>
        <v/>
      </c>
      <c r="E7" s="44" t="s">
        <v>47</v>
      </c>
      <c r="F7" s="122" t="s">
        <v>325</v>
      </c>
      <c r="G7" s="125" t="str">
        <f t="array" ref="G7">ifs(or($F7="",$F7="Main Primary Artist"),$F7,not(iserror(vlookup($F7,'Reference info'!$J$5:$J$8,1,0))),"Key Artist",not(iserror(vlookup($F7,'Reference info'!$J$38:$J$405,1,0))),"Performer",not(iserror(vlookup($F7,'Reference info'!$J$10:$J$36,1,0))),"Producer &amp; Engineer")</f>
        <v>Key Artist</v>
      </c>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row>
    <row r="8">
      <c r="A8" s="119">
        <v>9.995964332174E12</v>
      </c>
      <c r="B8" s="103"/>
      <c r="C8" s="121" t="str">
        <f t="array" ref="C8">ifs(and(isblank($A8),isblank($B8)),"", not(iserror(vlookup($A8&amp;$B8,'3) Release_Label'!$D:$D&amp;'3) Release_Label'!$E:$E,1,0))),vlookup($A8&amp;$B8,{'3) Release_Label'!$D:$D&amp;'3) Release_Label'!$E:$E,'3) Release_Label'!$F:$F},2,0), or(and(not(isblank($B8)),$B8=$B6,$A8&lt;&gt;$A6),and(not(isblank($A8)),$A8=$A6,$B8&lt;&gt;$B6)),"ID LISTS UNALIGNED",and($A8&lt;&gt;"",countif('3) Release_Label'!$D:$D,$A8)=0),"NO UPC MATCH in Release_Label",and($B8&lt;&gt;"",countif('3) Release_Label'!$E:$E,$B8)=0),"NO CATALOG ID MATCH in Release_Label",iserror(vlookup($A8&amp;$B8,'3) Release_Label'!$D:$D&amp;'3) Release_Label'!$E:$E,1,0)),"NO UPC-CATALOG ID pair MATCH in Release_Label" )</f>
        <v>Aakad (From "Bhalwan Singh" Soundtrack)</v>
      </c>
      <c r="D8" s="121" t="str">
        <f t="array" ref="D8">ifs(and(isblank($A8),isblank($B8)),"", not(iserror(vlookup($A8&amp;$B8,'3) Release_Label'!$D:$D&amp;'3) Release_Label'!$E:$E,1,0))),vlookup($A8&amp;$B8,{'3) Release_Label'!$D:$D&amp;'3) Release_Label'!$E:$E,'3) Release_Label'!$H:$H},2,0), or(and(not(isblank($B8)),$B8=$B6,$A8&lt;&gt;$A6),and(not(isblank($A8)),$A8=$A6,$B8&lt;&gt;$B6)),"ID LISTS UNALIGNED",and($A8&lt;&gt;"",countif('3) Release_Label'!$D:$D,$A8)=0),"NO UPC MATCH in Release_Label",and($B8&lt;&gt;"",countif('3) Release_Label'!$E:$E,$B8)=0),"NO CATALOG ID MATCH in Release_Label",iserror(vlookup($A8&amp;$B8,'3) Release_Label'!$D:$D&amp;'3) Release_Label'!$E:$E,1,0)),"NO UPC-CATALOG ID pair MATCH in Release_Label" )</f>
        <v/>
      </c>
      <c r="E8" s="50" t="s">
        <v>47</v>
      </c>
      <c r="F8" s="122" t="s">
        <v>326</v>
      </c>
      <c r="G8" s="123" t="str">
        <f t="array" ref="G8">ifs(or($F8="",$F8="Main Primary Artist"),$F8,not(iserror(vlookup($F8,'Reference info'!$J$5:$J$8,1,0))),"Key Artist",not(iserror(vlookup($F8,'Reference info'!$J$38:$J$405,1,0))),"Performer",not(iserror(vlookup($F8,'Reference info'!$J$10:$J$36,1,0))),"Producer &amp; Engineer")</f>
        <v>Producer &amp; Engineer</v>
      </c>
      <c r="I8" s="28"/>
    </row>
    <row r="9">
      <c r="A9" s="119">
        <v>9.995964356132E12</v>
      </c>
      <c r="B9" s="124"/>
      <c r="C9" s="121" t="str">
        <f t="array" ref="C9">ifs(and(isblank($A9),isblank($B9)),"", not(iserror(vlookup($A9&amp;$B9,'3) Release_Label'!$D:$D&amp;'3) Release_Label'!$E:$E,1,0))),vlookup($A9&amp;$B9,{'3) Release_Label'!$D:$D&amp;'3) Release_Label'!$E:$E,'3) Release_Label'!$F:$F},2,0), or(and(not(isblank($B9)),$B9=$B7,$A9&lt;&gt;$A7),and(not(isblank($A9)),$A9=$A7,$B9&lt;&gt;$B7)),"ID LISTS UNALIGNED",and($A9&lt;&gt;"",countif('3) Release_Label'!$D:$D,$A9)=0),"NO UPC MATCH in Release_Label",and($B9&lt;&gt;"",countif('3) Release_Label'!$E:$E,$B9)=0),"NO CATALOG ID MATCH in Release_Label",iserror(vlookup($A9&amp;$B9,'3) Release_Label'!$D:$D&amp;'3) Release_Label'!$E:$E,1,0)),"NO UPC-CATALOG ID pair MATCH in Release_Label" )</f>
        <v>Aisi Taisi (From "Golak Bugni Bank Te Batua" Soundtrack)</v>
      </c>
      <c r="D9" s="121" t="str">
        <f t="array" ref="D9">ifs(and(isblank($A9),isblank($B9)),"", not(iserror(vlookup($A9&amp;$B9,'3) Release_Label'!$D:$D&amp;'3) Release_Label'!$E:$E,1,0))),vlookup($A9&amp;$B9,{'3) Release_Label'!$D:$D&amp;'3) Release_Label'!$E:$E,'3) Release_Label'!$H:$H},2,0), or(and(not(isblank($B9)),$B9=$B7,$A9&lt;&gt;$A7),and(not(isblank($A9)),$A9=$A7,$B9&lt;&gt;$B7)),"ID LISTS UNALIGNED",and($A9&lt;&gt;"",countif('3) Release_Label'!$D:$D,$A9)=0),"NO UPC MATCH in Release_Label",and($B9&lt;&gt;"",countif('3) Release_Label'!$E:$E,$B9)=0),"NO CATALOG ID MATCH in Release_Label",iserror(vlookup($A9&amp;$B9,'3) Release_Label'!$D:$D&amp;'3) Release_Label'!$E:$E,1,0)),"NO UPC-CATALOG ID pair MATCH in Release_Label" )</f>
        <v/>
      </c>
      <c r="E9" s="44" t="s">
        <v>49</v>
      </c>
      <c r="F9" s="122" t="s">
        <v>323</v>
      </c>
      <c r="G9" s="125" t="str">
        <f t="array" ref="G9">ifs(or($F9="",$F9="Main Primary Artist"),$F9,not(iserror(vlookup($F9,'Reference info'!$J$5:$J$8,1,0))),"Key Artist",not(iserror(vlookup($F9,'Reference info'!$J$38:$J$405,1,0))),"Performer",not(iserror(vlookup($F9,'Reference info'!$J$10:$J$36,1,0))),"Producer &amp; Engineer")</f>
        <v>Main Primary Artist</v>
      </c>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row>
    <row r="10">
      <c r="A10" s="119">
        <v>9.995964356132E12</v>
      </c>
      <c r="B10" s="124"/>
      <c r="C10" s="121" t="str">
        <f t="array" ref="C10">ifs(and(isblank($A10),isblank($B10)),"", not(iserror(vlookup($A10&amp;$B10,'3) Release_Label'!$D:$D&amp;'3) Release_Label'!$E:$E,1,0))),vlookup($A10&amp;$B10,{'3) Release_Label'!$D:$D&amp;'3) Release_Label'!$E:$E,'3) Release_Label'!$F:$F},2,0), or(and(not(isblank($B10)),$B10=$B9,$A10&lt;&gt;$A9),and(not(isblank($A10)),$A10=$A9,$B10&lt;&gt;$B9)),"ID LISTS UNALIGNED",and($A10&lt;&gt;"",countif('3) Release_Label'!$D:$D,$A10)=0),"NO UPC MATCH in Release_Label",and($B10&lt;&gt;"",countif('3) Release_Label'!$E:$E,$B10)=0),"NO CATALOG ID MATCH in Release_Label",iserror(vlookup($A10&amp;$B10,'3) Release_Label'!$D:$D&amp;'3) Release_Label'!$E:$E,1,0)),"NO UPC-CATALOG ID pair MATCH in Release_Label" )</f>
        <v>Aisi Taisi (From "Golak Bugni Bank Te Batua" Soundtrack)</v>
      </c>
      <c r="D10" s="121" t="str">
        <f t="array" ref="D10">ifs(and(isblank($A10),isblank($B10)),"", not(iserror(vlookup($A10&amp;$B10,'3) Release_Label'!$D:$D&amp;'3) Release_Label'!$E:$E,1,0))),vlookup($A10&amp;$B10,{'3) Release_Label'!$D:$D&amp;'3) Release_Label'!$E:$E,'3) Release_Label'!$H:$H},2,0), or(and(not(isblank($B10)),$B10=$B9,$A10&lt;&gt;$A9),and(not(isblank($A10)),$A10=$A9,$B10&lt;&gt;$B9)),"ID LISTS UNALIGNED",and($A10&lt;&gt;"",countif('3) Release_Label'!$D:$D,$A10)=0),"NO UPC MATCH in Release_Label",and($B10&lt;&gt;"",countif('3) Release_Label'!$E:$E,$B10)=0),"NO CATALOG ID MATCH in Release_Label",iserror(vlookup($A10&amp;$B10,'3) Release_Label'!$D:$D&amp;'3) Release_Label'!$E:$E,1,0)),"NO UPC-CATALOG ID pair MATCH in Release_Label" )</f>
        <v/>
      </c>
      <c r="E10" s="44" t="s">
        <v>51</v>
      </c>
      <c r="F10" s="122" t="s">
        <v>325</v>
      </c>
      <c r="G10" s="125" t="str">
        <f t="array" ref="G10">ifs(or($F10="",$F10="Main Primary Artist"),$F10,not(iserror(vlookup($F10,'Reference info'!$J$5:$J$8,1,0))),"Key Artist",not(iserror(vlookup($F10,'Reference info'!$J$38:$J$405,1,0))),"Performer",not(iserror(vlookup($F10,'Reference info'!$J$10:$J$36,1,0))),"Producer &amp; Engineer")</f>
        <v>Key Artist</v>
      </c>
      <c r="H10" s="28"/>
      <c r="I10" s="28"/>
      <c r="J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row>
    <row r="11">
      <c r="A11" s="119">
        <v>9.995964330651E12</v>
      </c>
      <c r="B11" s="124"/>
      <c r="C11" s="121" t="str">
        <f t="array" ref="C11">ifs(and(isblank($A11),isblank($B11)),"", not(iserror(vlookup($A11&amp;$B11,'3) Release_Label'!$D:$D&amp;'3) Release_Label'!$E:$E,1,0))),vlookup($A11&amp;$B11,{'3) Release_Label'!$D:$D&amp;'3) Release_Label'!$E:$E,'3) Release_Label'!$F:$F},2,0), or(and(not(isblank($B11)),$B11=$B10,$A11&lt;&gt;$A10),and(not(isblank($A11)),$A11=$A10,$B11&lt;&gt;$B10)),"ID LISTS UNALIGNED",and($A11&lt;&gt;"",countif('3) Release_Label'!$D:$D,$A11)=0),"NO UPC MATCH in Release_Label",and($B11&lt;&gt;"",countif('3) Release_Label'!$E:$E,$B11)=0),"NO CATALOG ID MATCH in Release_Label",iserror(vlookup($A11&amp;$B11,'3) Release_Label'!$D:$D&amp;'3) Release_Label'!$E:$E,1,0)),"NO UPC-CATALOG ID pair MATCH in Release_Label" )</f>
        <v>Akhar - Female Version (From "Lahoriye" Soundtrack)</v>
      </c>
      <c r="D11" s="121" t="str">
        <f t="array" ref="D11">ifs(and(isblank($A11),isblank($B11)),"", not(iserror(vlookup($A11&amp;$B11,'3) Release_Label'!$D:$D&amp;'3) Release_Label'!$E:$E,1,0))),vlookup($A11&amp;$B11,{'3) Release_Label'!$D:$D&amp;'3) Release_Label'!$E:$E,'3) Release_Label'!$H:$H},2,0), or(and(not(isblank($B11)),$B11=$B10,$A11&lt;&gt;$A10),and(not(isblank($A11)),$A11=$A10,$B11&lt;&gt;$B10)),"ID LISTS UNALIGNED",and($A11&lt;&gt;"",countif('3) Release_Label'!$D:$D,$A11)=0),"NO UPC MATCH in Release_Label",and($B11&lt;&gt;"",countif('3) Release_Label'!$E:$E,$B11)=0),"NO CATALOG ID MATCH in Release_Label",iserror(vlookup($A11&amp;$B11,'3) Release_Label'!$D:$D&amp;'3) Release_Label'!$E:$E,1,0)),"NO UPC-CATALOG ID pair MATCH in Release_Label" )</f>
        <v/>
      </c>
      <c r="E11" s="44" t="s">
        <v>53</v>
      </c>
      <c r="F11" s="122" t="s">
        <v>323</v>
      </c>
      <c r="G11" s="125" t="str">
        <f t="array" ref="G11">ifs(or($F11="",$F11="Main Primary Artist"),$F11,not(iserror(vlookup($F11,'Reference info'!$J$5:$J$8,1,0))),"Key Artist",not(iserror(vlookup($F11,'Reference info'!$J$38:$J$405,1,0))),"Performer",not(iserror(vlookup($F11,'Reference info'!$J$10:$J$36,1,0))),"Producer &amp; Engineer")</f>
        <v>Main Primary Artist</v>
      </c>
      <c r="H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row>
    <row r="12">
      <c r="A12" s="119">
        <v>9.995964330651E12</v>
      </c>
      <c r="B12" s="124"/>
      <c r="C12" s="121" t="str">
        <f t="array" ref="C12">ifs(and(isblank($A12),isblank($B12)),"", not(iserror(vlookup($A12&amp;$B12,'3) Release_Label'!$D:$D&amp;'3) Release_Label'!$E:$E,1,0))),vlookup($A12&amp;$B12,{'3) Release_Label'!$D:$D&amp;'3) Release_Label'!$E:$E,'3) Release_Label'!$F:$F},2,0), or(and(not(isblank($B12)),$B12=$B11,$A12&lt;&gt;$A11),and(not(isblank($A12)),$A12=$A11,$B12&lt;&gt;$B11)),"ID LISTS UNALIGNED",and($A12&lt;&gt;"",countif('3) Release_Label'!$D:$D,$A12)=0),"NO UPC MATCH in Release_Label",and($B12&lt;&gt;"",countif('3) Release_Label'!$E:$E,$B12)=0),"NO CATALOG ID MATCH in Release_Label",iserror(vlookup($A12&amp;$B12,'3) Release_Label'!$D:$D&amp;'3) Release_Label'!$E:$E,1,0)),"NO UPC-CATALOG ID pair MATCH in Release_Label" )</f>
        <v>Akhar - Female Version (From "Lahoriye" Soundtrack)</v>
      </c>
      <c r="D12" s="121" t="str">
        <f t="array" ref="D12">ifs(and(isblank($A12),isblank($B12)),"", not(iserror(vlookup($A12&amp;$B12,'3) Release_Label'!$D:$D&amp;'3) Release_Label'!$E:$E,1,0))),vlookup($A12&amp;$B12,{'3) Release_Label'!$D:$D&amp;'3) Release_Label'!$E:$E,'3) Release_Label'!$H:$H},2,0), or(and(not(isblank($B12)),$B12=$B11,$A12&lt;&gt;$A11),and(not(isblank($A12)),$A12=$A11,$B12&lt;&gt;$B11)),"ID LISTS UNALIGNED",and($A12&lt;&gt;"",countif('3) Release_Label'!$D:$D,$A12)=0),"NO UPC MATCH in Release_Label",and($B12&lt;&gt;"",countif('3) Release_Label'!$E:$E,$B12)=0),"NO CATALOG ID MATCH in Release_Label",iserror(vlookup($A12&amp;$B12,'3) Release_Label'!$D:$D&amp;'3) Release_Label'!$E:$E,1,0)),"NO UPC-CATALOG ID pair MATCH in Release_Label" )</f>
        <v/>
      </c>
      <c r="E12" s="44" t="s">
        <v>51</v>
      </c>
      <c r="F12" s="122" t="s">
        <v>325</v>
      </c>
      <c r="G12" s="125" t="str">
        <f t="array" ref="G12">ifs(or($F12="",$F12="Main Primary Artist"),$F12,not(iserror(vlookup($F12,'Reference info'!$J$5:$J$8,1,0))),"Key Artist",not(iserror(vlookup($F12,'Reference info'!$J$38:$J$405,1,0))),"Performer",not(iserror(vlookup($F12,'Reference info'!$J$10:$J$36,1,0))),"Producer &amp; Engineer")</f>
        <v>Key Artist</v>
      </c>
      <c r="H12" s="8" t="s">
        <v>327</v>
      </c>
      <c r="I12" s="126"/>
      <c r="J12" s="28"/>
      <c r="K12" s="127"/>
      <c r="L12" s="127"/>
      <c r="M12" s="127"/>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row>
    <row r="13">
      <c r="A13" s="119">
        <v>9.995964330088E12</v>
      </c>
      <c r="B13" s="124"/>
      <c r="C13" s="121" t="str">
        <f t="array" ref="C13">ifs(and(isblank($A13),isblank($B13)),"", not(iserror(vlookup($A13&amp;$B13,'3) Release_Label'!$D:$D&amp;'3) Release_Label'!$E:$E,1,0))),vlookup($A13&amp;$B13,{'3) Release_Label'!$D:$D&amp;'3) Release_Label'!$E:$E,'3) Release_Label'!$F:$F},2,0), or(and(not(isblank($B13)),$B13=$B12,$A13&lt;&gt;$A12),and(not(isblank($A13)),$A13=$A12,$B13&lt;&gt;$B12)),"ID LISTS UNALIGNED",and($A13&lt;&gt;"",countif('3) Release_Label'!$D:$D,$A13)=0),"NO UPC MATCH in Release_Label",and($B13&lt;&gt;"",countif('3) Release_Label'!$E:$E,$B13)=0),"NO CATALOG ID MATCH in Release_Label",iserror(vlookup($A13&amp;$B13,'3) Release_Label'!$D:$D&amp;'3) Release_Label'!$E:$E,1,0)),"NO UPC-CATALOG ID pair MATCH in Release_Label" )</f>
        <v>Akhar (From "Lahoriye" Soundtrack)</v>
      </c>
      <c r="D13" s="121" t="str">
        <f t="array" ref="D13">ifs(and(isblank($A13),isblank($B13)),"", not(iserror(vlookup($A13&amp;$B13,'3) Release_Label'!$D:$D&amp;'3) Release_Label'!$E:$E,1,0))),vlookup($A13&amp;$B13,{'3) Release_Label'!$D:$D&amp;'3) Release_Label'!$E:$E,'3) Release_Label'!$H:$H},2,0), or(and(not(isblank($B13)),$B13=$B12,$A13&lt;&gt;$A12),and(not(isblank($A13)),$A13=$A12,$B13&lt;&gt;$B12)),"ID LISTS UNALIGNED",and($A13&lt;&gt;"",countif('3) Release_Label'!$D:$D,$A13)=0),"NO UPC MATCH in Release_Label",and($B13&lt;&gt;"",countif('3) Release_Label'!$E:$E,$B13)=0),"NO CATALOG ID MATCH in Release_Label",iserror(vlookup($A13&amp;$B13,'3) Release_Label'!$D:$D&amp;'3) Release_Label'!$E:$E,1,0)),"NO UPC-CATALOG ID pair MATCH in Release_Label" )</f>
        <v/>
      </c>
      <c r="E13" s="44" t="s">
        <v>49</v>
      </c>
      <c r="F13" s="122" t="s">
        <v>323</v>
      </c>
      <c r="G13" s="125" t="str">
        <f t="array" ref="G13">ifs(or($F13="",$F13="Main Primary Artist"),$F13,not(iserror(vlookup($F13,'Reference info'!$J$5:$J$8,1,0))),"Key Artist",not(iserror(vlookup($F13,'Reference info'!$J$38:$J$405,1,0))),"Performer",not(iserror(vlookup($F13,'Reference info'!$J$10:$J$36,1,0))),"Producer &amp; Engineer")</f>
        <v>Main Primary Artist</v>
      </c>
      <c r="H13" s="8" t="s">
        <v>328</v>
      </c>
      <c r="I13" s="126"/>
      <c r="J13" s="28"/>
      <c r="K13" s="127"/>
      <c r="L13" s="102"/>
      <c r="M13" s="127"/>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row>
    <row r="14">
      <c r="A14" s="119">
        <v>9.995964330088E12</v>
      </c>
      <c r="B14" s="124"/>
      <c r="C14" s="121" t="str">
        <f t="array" ref="C14">ifs(and(isblank($A14),isblank($B14)),"", not(iserror(vlookup($A14&amp;$B14,'3) Release_Label'!$D:$D&amp;'3) Release_Label'!$E:$E,1,0))),vlookup($A14&amp;$B14,{'3) Release_Label'!$D:$D&amp;'3) Release_Label'!$E:$E,'3) Release_Label'!$F:$F},2,0), or(and(not(isblank($B14)),$B14=$B13,$A14&lt;&gt;$A13),and(not(isblank($A14)),$A14=$A13,$B14&lt;&gt;$B13)),"ID LISTS UNALIGNED",and($A14&lt;&gt;"",countif('3) Release_Label'!$D:$D,$A14)=0),"NO UPC MATCH in Release_Label",and($B14&lt;&gt;"",countif('3) Release_Label'!$E:$E,$B14)=0),"NO CATALOG ID MATCH in Release_Label",iserror(vlookup($A14&amp;$B14,'3) Release_Label'!$D:$D&amp;'3) Release_Label'!$E:$E,1,0)),"NO UPC-CATALOG ID pair MATCH in Release_Label" )</f>
        <v>Akhar (From "Lahoriye" Soundtrack)</v>
      </c>
      <c r="D14" s="121" t="str">
        <f t="array" ref="D14">ifs(and(isblank($A14),isblank($B14)),"", not(iserror(vlookup($A14&amp;$B14,'3) Release_Label'!$D:$D&amp;'3) Release_Label'!$E:$E,1,0))),vlookup($A14&amp;$B14,{'3) Release_Label'!$D:$D&amp;'3) Release_Label'!$E:$E,'3) Release_Label'!$H:$H},2,0), or(and(not(isblank($B14)),$B14=$B13,$A14&lt;&gt;$A13),and(not(isblank($A14)),$A14=$A13,$B14&lt;&gt;$B13)),"ID LISTS UNALIGNED",and($A14&lt;&gt;"",countif('3) Release_Label'!$D:$D,$A14)=0),"NO UPC MATCH in Release_Label",and($B14&lt;&gt;"",countif('3) Release_Label'!$E:$E,$B14)=0),"NO CATALOG ID MATCH in Release_Label",iserror(vlookup($A14&amp;$B14,'3) Release_Label'!$D:$D&amp;'3) Release_Label'!$E:$E,1,0)),"NO UPC-CATALOG ID pair MATCH in Release_Label" )</f>
        <v/>
      </c>
      <c r="E14" s="44" t="s">
        <v>51</v>
      </c>
      <c r="F14" s="122" t="s">
        <v>325</v>
      </c>
      <c r="G14" s="125" t="str">
        <f t="array" ref="G14">ifs(or($F14="",$F14="Main Primary Artist"),$F14,not(iserror(vlookup($F14,'Reference info'!$J$5:$J$8,1,0))),"Key Artist",not(iserror(vlookup($F14,'Reference info'!$J$38:$J$405,1,0))),"Performer",not(iserror(vlookup($F14,'Reference info'!$J$10:$J$36,1,0))),"Producer &amp; Engineer")</f>
        <v>Key Artist</v>
      </c>
      <c r="H14" s="49" t="s">
        <v>329</v>
      </c>
      <c r="I14" s="126"/>
      <c r="J14" s="28"/>
      <c r="K14" s="127"/>
      <c r="L14" s="102"/>
      <c r="M14" s="127"/>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row>
    <row r="15">
      <c r="A15" s="119">
        <v>9.995964312657E12</v>
      </c>
      <c r="B15" s="124"/>
      <c r="C15" s="121" t="str">
        <f t="array" ref="C15">ifs(and(isblank($A15),isblank($B15)),"", not(iserror(vlookup($A15&amp;$B15,'3) Release_Label'!$D:$D&amp;'3) Release_Label'!$E:$E,1,0))),vlookup($A15&amp;$B15,{'3) Release_Label'!$D:$D&amp;'3) Release_Label'!$E:$E,'3) Release_Label'!$F:$F},2,0), or(and(not(isblank($B15)),$B15=$B14,$A15&lt;&gt;$A14),and(not(isblank($A15)),$A15=$A14,$B15&lt;&gt;$B14)),"ID LISTS UNALIGNED",and($A15&lt;&gt;"",countif('3) Release_Label'!$D:$D,$A15)=0),"NO UPC MATCH in Release_Label",and($B15&lt;&gt;"",countif('3) Release_Label'!$E:$E,$B15)=0),"NO CATALOG ID MATCH in Release_Label",iserror(vlookup($A15&amp;$B15,'3) Release_Label'!$D:$D&amp;'3) Release_Label'!$E:$E,1,0)),"NO UPC-CATALOG ID pair MATCH in Release_Label" )</f>
        <v>Angrej (Original Motion Picture Soundtrack)</v>
      </c>
      <c r="D15" s="121" t="str">
        <f t="array" ref="D15">ifs(and(isblank($A15),isblank($B15)),"", not(iserror(vlookup($A15&amp;$B15,'3) Release_Label'!$D:$D&amp;'3) Release_Label'!$E:$E,1,0))),vlookup($A15&amp;$B15,{'3) Release_Label'!$D:$D&amp;'3) Release_Label'!$E:$E,'3) Release_Label'!$H:$H},2,0), or(and(not(isblank($B15)),$B15=$B14,$A15&lt;&gt;$A14),and(not(isblank($A15)),$A15=$A14,$B15&lt;&gt;$B14)),"ID LISTS UNALIGNED",and($A15&lt;&gt;"",countif('3) Release_Label'!$D:$D,$A15)=0),"NO UPC MATCH in Release_Label",and($B15&lt;&gt;"",countif('3) Release_Label'!$E:$E,$B15)=0),"NO CATALOG ID MATCH in Release_Label",iserror(vlookup($A15&amp;$B15,'3) Release_Label'!$D:$D&amp;'3) Release_Label'!$E:$E,1,0)),"NO UPC-CATALOG ID pair MATCH in Release_Label" )</f>
        <v/>
      </c>
      <c r="E15" s="44" t="s">
        <v>49</v>
      </c>
      <c r="F15" s="122" t="s">
        <v>323</v>
      </c>
      <c r="G15" s="125" t="str">
        <f t="array" ref="G15">ifs(or($F15="",$F15="Main Primary Artist"),$F15,not(iserror(vlookup($F15,'Reference info'!$J$5:$J$8,1,0))),"Key Artist",not(iserror(vlookup($F15,'Reference info'!$J$38:$J$405,1,0))),"Performer",not(iserror(vlookup($F15,'Reference info'!$J$10:$J$36,1,0))),"Producer &amp; Engineer")</f>
        <v>Main Primary Artist</v>
      </c>
      <c r="H15" s="49" t="s">
        <v>330</v>
      </c>
      <c r="I15" s="102"/>
      <c r="J15" s="28"/>
      <c r="K15" s="127"/>
      <c r="L15" s="102"/>
      <c r="M15" s="127"/>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row>
    <row r="16">
      <c r="A16" s="119">
        <v>9.99596432139E12</v>
      </c>
      <c r="B16" s="103"/>
      <c r="C16" s="121" t="str">
        <f t="array" ref="C16">ifs(and(isblank($A16),isblank($B16)),"", not(iserror(vlookup($A16&amp;$B16,'3) Release_Label'!$D:$D&amp;'3) Release_Label'!$E:$E,1,0))),vlookup($A16&amp;$B16,{'3) Release_Label'!$D:$D&amp;'3) Release_Label'!$E:$E,'3) Release_Label'!$F:$F},2,0), or(and(not(isblank($B16)),$B16=#REF!,$A16&lt;&gt;#REF!),and(not(isblank($A16)),$A16=#REF!,$B16&lt;&gt;#REF!)),"ID LISTS UNALIGNED",and($A16&lt;&gt;"",countif('3) Release_Label'!$D:$D,$A16)=0),"NO UPC MATCH in Release_Label",and($B16&lt;&gt;"",countif('3) Release_Label'!$E:$E,$B16)=0),"NO CATALOG ID MATCH in Release_Label",iserror(vlookup($A16&amp;$B16,'3) Release_Label'!$D:$D&amp;'3) Release_Label'!$E:$E,1,0)),"NO UPC-CATALOG ID pair MATCH in Release_Label" )</f>
        <v>Bambukat (From "Bambukat" Soundtrack)</v>
      </c>
      <c r="D16" s="121" t="str">
        <f t="array" ref="D16">ifs(and(isblank($A16),isblank($B16)),"", not(iserror(vlookup($A16&amp;$B16,'3) Release_Label'!$D:$D&amp;'3) Release_Label'!$E:$E,1,0))),vlookup($A16&amp;$B16,{'3) Release_Label'!$D:$D&amp;'3) Release_Label'!$E:$E,'3) Release_Label'!$H:$H},2,0), or(and(not(isblank($B16)),$B16=#REF!,$A16&lt;&gt;#REF!),and(not(isblank($A16)),$A16=#REF!,$B16&lt;&gt;#REF!)),"ID LISTS UNALIGNED",and($A16&lt;&gt;"",countif('3) Release_Label'!$D:$D,$A16)=0),"NO UPC MATCH in Release_Label",and($B16&lt;&gt;"",countif('3) Release_Label'!$E:$E,$B16)=0),"NO CATALOG ID MATCH in Release_Label",iserror(vlookup($A16&amp;$B16,'3) Release_Label'!$D:$D&amp;'3) Release_Label'!$E:$E,1,0)),"NO UPC-CATALOG ID pair MATCH in Release_Label" )</f>
        <v/>
      </c>
      <c r="E16" s="44" t="s">
        <v>55</v>
      </c>
      <c r="F16" s="8" t="s">
        <v>323</v>
      </c>
      <c r="G16" s="123" t="str">
        <f t="array" ref="G16">ifs(or($F16="",$F16="Main Primary Artist"),$F16,not(iserror(vlookup($F16,'Reference info'!$J$5:$J$8,1,0))),"Key Artist",not(iserror(vlookup($F16,'Reference info'!$J$38:$J$405,1,0))),"Performer",not(iserror(vlookup($F16,'Reference info'!$J$10:$J$36,1,0))),"Producer &amp; Engineer")</f>
        <v>Main Primary Artist</v>
      </c>
    </row>
    <row r="17">
      <c r="A17" s="119">
        <v>9.99596432139E12</v>
      </c>
      <c r="B17" s="103"/>
      <c r="C17" s="121" t="str">
        <f t="array" ref="C17">ifs(and(isblank($A17),isblank($B17)),"", not(iserror(vlookup($A17&amp;$B17,'3) Release_Label'!$D:$D&amp;'3) Release_Label'!$E:$E,1,0))),vlookup($A17&amp;$B17,{'3) Release_Label'!$D:$D&amp;'3) Release_Label'!$E:$E,'3) Release_Label'!$F:$F},2,0), or(and(not(isblank($B17)),$B17=$B16,$A17&lt;&gt;$A16),and(not(isblank($A17)),$A17=$A16,$B17&lt;&gt;$B16)),"ID LISTS UNALIGNED",and($A17&lt;&gt;"",countif('3) Release_Label'!$D:$D,$A17)=0),"NO UPC MATCH in Release_Label",and($B17&lt;&gt;"",countif('3) Release_Label'!$E:$E,$B17)=0),"NO CATALOG ID MATCH in Release_Label",iserror(vlookup($A17&amp;$B17,'3) Release_Label'!$D:$D&amp;'3) Release_Label'!$E:$E,1,0)),"NO UPC-CATALOG ID pair MATCH in Release_Label" )</f>
        <v>Bambukat (From "Bambukat" Soundtrack)</v>
      </c>
      <c r="D17" s="121" t="str">
        <f t="array" ref="D17">ifs(and(isblank($A17),isblank($B17)),"", not(iserror(vlookup($A17&amp;$B17,'3) Release_Label'!$D:$D&amp;'3) Release_Label'!$E:$E,1,0))),vlookup($A17&amp;$B17,{'3) Release_Label'!$D:$D&amp;'3) Release_Label'!$E:$E,'3) Release_Label'!$H:$H},2,0), or(and(not(isblank($B17)),$B17=$B16,$A17&lt;&gt;$A16),and(not(isblank($A17)),$A17=$A16,$B17&lt;&gt;$B16)),"ID LISTS UNALIGNED",and($A17&lt;&gt;"",countif('3) Release_Label'!$D:$D,$A17)=0),"NO UPC MATCH in Release_Label",and($B17&lt;&gt;"",countif('3) Release_Label'!$E:$E,$B17)=0),"NO CATALOG ID MATCH in Release_Label",iserror(vlookup($A17&amp;$B17,'3) Release_Label'!$D:$D&amp;'3) Release_Label'!$E:$E,1,0)),"NO UPC-CATALOG ID pair MATCH in Release_Label" )</f>
        <v/>
      </c>
      <c r="E17" s="44" t="s">
        <v>51</v>
      </c>
      <c r="F17" s="8" t="s">
        <v>325</v>
      </c>
      <c r="G17" s="123" t="str">
        <f t="array" ref="G17">ifs(or($F17="",$F17="Main Primary Artist"),$F17,not(iserror(vlookup($F17,'Reference info'!$J$5:$J$8,1,0))),"Key Artist",not(iserror(vlookup($F17,'Reference info'!$J$38:$J$405,1,0))),"Performer",not(iserror(vlookup($F17,'Reference info'!$J$10:$J$36,1,0))),"Producer &amp; Engineer")</f>
        <v>Key Artist</v>
      </c>
    </row>
    <row r="18">
      <c r="A18" s="119">
        <v>9.995964330187E12</v>
      </c>
      <c r="B18" s="103"/>
      <c r="C18" s="121" t="str">
        <f t="array" ref="C18">ifs(and(isblank($A18),isblank($B18)),"", not(iserror(vlookup($A18&amp;$B18,'3) Release_Label'!$D:$D&amp;'3) Release_Label'!$E:$E,1,0))),vlookup($A18&amp;$B18,{'3) Release_Label'!$D:$D&amp;'3) Release_Label'!$E:$E,'3) Release_Label'!$F:$F},2,0), or(and(not(isblank($B18)),$B18=$B17,$A18&lt;&gt;$A17),and(not(isblank($A18)),$A18=$A17,$B18&lt;&gt;$B17)),"ID LISTS UNALIGNED",and($A18&lt;&gt;"",countif('3) Release_Label'!$D:$D,$A18)=0),"NO UPC MATCH in Release_Label",and($B18&lt;&gt;"",countif('3) Release_Label'!$E:$E,$B18)=0),"NO CATALOG ID MATCH in Release_Label",iserror(vlookup($A18&amp;$B18,'3) Release_Label'!$D:$D&amp;'3) Release_Label'!$E:$E,1,0)),"NO UPC-CATALOG ID pair MATCH in Release_Label" )</f>
        <v>Chann Ve</v>
      </c>
      <c r="D18" s="121" t="str">
        <f t="array" ref="D18">ifs(and(isblank($A18),isblank($B18)),"", not(iserror(vlookup($A18&amp;$B18,'3) Release_Label'!$D:$D&amp;'3) Release_Label'!$E:$E,1,0))),vlookup($A18&amp;$B18,{'3) Release_Label'!$D:$D&amp;'3) Release_Label'!$E:$E,'3) Release_Label'!$H:$H},2,0), or(and(not(isblank($B18)),$B18=$B17,$A18&lt;&gt;$A17),and(not(isblank($A18)),$A18=$A17,$B18&lt;&gt;$B17)),"ID LISTS UNALIGNED",and($A18&lt;&gt;"",countif('3) Release_Label'!$D:$D,$A18)=0),"NO UPC MATCH in Release_Label",and($B18&lt;&gt;"",countif('3) Release_Label'!$E:$E,$B18)=0),"NO CATALOG ID MATCH in Release_Label",iserror(vlookup($A18&amp;$B18,'3) Release_Label'!$D:$D&amp;'3) Release_Label'!$E:$E,1,0)),"NO UPC-CATALOG ID pair MATCH in Release_Label" )</f>
        <v/>
      </c>
      <c r="E18" s="44" t="s">
        <v>57</v>
      </c>
      <c r="F18" s="8" t="s">
        <v>323</v>
      </c>
      <c r="G18" s="123" t="str">
        <f t="array" ref="G18">ifs(or($F18="",$F18="Main Primary Artist"),$F18,not(iserror(vlookup($F18,'Reference info'!$J$5:$J$8,1,0))),"Key Artist",not(iserror(vlookup($F18,'Reference info'!$J$38:$J$405,1,0))),"Performer",not(iserror(vlookup($F18,'Reference info'!$J$10:$J$36,1,0))),"Producer &amp; Engineer")</f>
        <v>Main Primary Artist</v>
      </c>
    </row>
    <row r="19">
      <c r="A19" s="119">
        <v>9.995964330187E12</v>
      </c>
      <c r="B19" s="103"/>
      <c r="C19" s="121" t="str">
        <f t="array" ref="C19">ifs(and(isblank($A19),isblank($B19)),"", not(iserror(vlookup($A19&amp;$B19,'3) Release_Label'!$D:$D&amp;'3) Release_Label'!$E:$E,1,0))),vlookup($A19&amp;$B19,{'3) Release_Label'!$D:$D&amp;'3) Release_Label'!$E:$E,'3) Release_Label'!$F:$F},2,0), or(and(not(isblank($B19)),$B19=$B18,$A19&lt;&gt;$A18),and(not(isblank($A19)),$A19=$A18,$B19&lt;&gt;$B18)),"ID LISTS UNALIGNED",and($A19&lt;&gt;"",countif('3) Release_Label'!$D:$D,$A19)=0),"NO UPC MATCH in Release_Label",and($B19&lt;&gt;"",countif('3) Release_Label'!$E:$E,$B19)=0),"NO CATALOG ID MATCH in Release_Label",iserror(vlookup($A19&amp;$B19,'3) Release_Label'!$D:$D&amp;'3) Release_Label'!$E:$E,1,0)),"NO UPC-CATALOG ID pair MATCH in Release_Label" )</f>
        <v>Chann Ve</v>
      </c>
      <c r="D19" s="121" t="str">
        <f t="array" ref="D19">ifs(and(isblank($A19),isblank($B19)),"", not(iserror(vlookup($A19&amp;$B19,'3) Release_Label'!$D:$D&amp;'3) Release_Label'!$E:$E,1,0))),vlookup($A19&amp;$B19,{'3) Release_Label'!$D:$D&amp;'3) Release_Label'!$E:$E,'3) Release_Label'!$H:$H},2,0), or(and(not(isblank($B19)),$B19=$B18,$A19&lt;&gt;$A18),and(not(isblank($A19)),$A19=$A18,$B19&lt;&gt;$B18)),"ID LISTS UNALIGNED",and($A19&lt;&gt;"",countif('3) Release_Label'!$D:$D,$A19)=0),"NO UPC MATCH in Release_Label",and($B19&lt;&gt;"",countif('3) Release_Label'!$E:$E,$B19)=0),"NO CATALOG ID MATCH in Release_Label",iserror(vlookup($A19&amp;$B19,'3) Release_Label'!$D:$D&amp;'3) Release_Label'!$E:$E,1,0)),"NO UPC-CATALOG ID pair MATCH in Release_Label" )</f>
        <v/>
      </c>
      <c r="E19" s="44" t="s">
        <v>47</v>
      </c>
      <c r="F19" s="8" t="s">
        <v>325</v>
      </c>
      <c r="G19" s="123" t="str">
        <f t="array" ref="G19">ifs(or($F19="",$F19="Main Primary Artist"),$F19,not(iserror(vlookup($F19,'Reference info'!$J$5:$J$8,1,0))),"Key Artist",not(iserror(vlookup($F19,'Reference info'!$J$38:$J$405,1,0))),"Performer",not(iserror(vlookup($F19,'Reference info'!$J$10:$J$36,1,0))),"Producer &amp; Engineer")</f>
        <v>Key Artist</v>
      </c>
    </row>
    <row r="20">
      <c r="A20" s="119">
        <v>9.995964330446E12</v>
      </c>
      <c r="B20" s="103"/>
      <c r="C20" s="121" t="str">
        <f t="array" ref="C20">ifs(and(isblank($A20),isblank($B20)),"", not(iserror(vlookup($A20&amp;$B20,'3) Release_Label'!$D:$D&amp;'3) Release_Label'!$E:$E,1,0))),vlookup($A20&amp;$B20,{'3) Release_Label'!$D:$D&amp;'3) Release_Label'!$E:$E,'3) Release_Label'!$F:$F},2,0), or(and(not(isblank($B20)),$B20=$B19,$A20&lt;&gt;$A19),and(not(isblank($A20)),$A20=$A19,$B20&lt;&gt;$B19)),"ID LISTS UNALIGNED",and($A20&lt;&gt;"",countif('3) Release_Label'!$D:$D,$A20)=0),"NO UPC MATCH in Release_Label",and($B20&lt;&gt;"",countif('3) Release_Label'!$E:$E,$B20)=0),"NO CATALOG ID MATCH in Release_Label",iserror(vlookup($A20&amp;$B20,'3) Release_Label'!$D:$D&amp;'3) Release_Label'!$E:$E,1,0)),"NO UPC-CATALOG ID pair MATCH in Release_Label" )</f>
        <v>Chunni (From "Lahoriye" Soundtrack)</v>
      </c>
      <c r="D20" s="121" t="str">
        <f t="array" ref="D20">ifs(and(isblank($A20),isblank($B20)),"", not(iserror(vlookup($A20&amp;$B20,'3) Release_Label'!$D:$D&amp;'3) Release_Label'!$E:$E,1,0))),vlookup($A20&amp;$B20,{'3) Release_Label'!$D:$D&amp;'3) Release_Label'!$E:$E,'3) Release_Label'!$H:$H},2,0), or(and(not(isblank($B20)),$B20=$B19,$A20&lt;&gt;$A19),and(not(isblank($A20)),$A20=$A19,$B20&lt;&gt;$B19)),"ID LISTS UNALIGNED",and($A20&lt;&gt;"",countif('3) Release_Label'!$D:$D,$A20)=0),"NO UPC MATCH in Release_Label",and($B20&lt;&gt;"",countif('3) Release_Label'!$E:$E,$B20)=0),"NO CATALOG ID MATCH in Release_Label",iserror(vlookup($A20&amp;$B20,'3) Release_Label'!$D:$D&amp;'3) Release_Label'!$E:$E,1,0)),"NO UPC-CATALOG ID pair MATCH in Release_Label" )</f>
        <v/>
      </c>
      <c r="E20" s="44" t="s">
        <v>49</v>
      </c>
      <c r="F20" s="8" t="s">
        <v>323</v>
      </c>
      <c r="G20" s="123" t="str">
        <f t="array" ref="G20">ifs(or($F20="",$F20="Main Primary Artist"),$F20,not(iserror(vlookup($F20,'Reference info'!$J$5:$J$8,1,0))),"Key Artist",not(iserror(vlookup($F20,'Reference info'!$J$38:$J$405,1,0))),"Performer",not(iserror(vlookup($F20,'Reference info'!$J$10:$J$36,1,0))),"Producer &amp; Engineer")</f>
        <v>Main Primary Artist</v>
      </c>
    </row>
    <row r="21">
      <c r="A21" s="119">
        <v>9.995964330446E12</v>
      </c>
      <c r="B21" s="103"/>
      <c r="C21" s="121" t="str">
        <f t="array" ref="C21">ifs(and(isblank($A21),isblank($B21)),"", not(iserror(vlookup($A21&amp;$B21,'3) Release_Label'!$D:$D&amp;'3) Release_Label'!$E:$E,1,0))),vlookup($A21&amp;$B21,{'3) Release_Label'!$D:$D&amp;'3) Release_Label'!$E:$E,'3) Release_Label'!$F:$F},2,0), or(and(not(isblank($B21)),$B21=$B20,$A21&lt;&gt;$A20),and(not(isblank($A21)),$A21=$A20,$B21&lt;&gt;$B20)),"ID LISTS UNALIGNED",and($A21&lt;&gt;"",countif('3) Release_Label'!$D:$D,$A21)=0),"NO UPC MATCH in Release_Label",and($B21&lt;&gt;"",countif('3) Release_Label'!$E:$E,$B21)=0),"NO CATALOG ID MATCH in Release_Label",iserror(vlookup($A21&amp;$B21,'3) Release_Label'!$D:$D&amp;'3) Release_Label'!$E:$E,1,0)),"NO UPC-CATALOG ID pair MATCH in Release_Label" )</f>
        <v>Chunni (From "Lahoriye" Soundtrack)</v>
      </c>
      <c r="D21" s="121" t="str">
        <f t="array" ref="D21">ifs(and(isblank($A21),isblank($B21)),"", not(iserror(vlookup($A21&amp;$B21,'3) Release_Label'!$D:$D&amp;'3) Release_Label'!$E:$E,1,0))),vlookup($A21&amp;$B21,{'3) Release_Label'!$D:$D&amp;'3) Release_Label'!$E:$E,'3) Release_Label'!$H:$H},2,0), or(and(not(isblank($B21)),$B21=$B20,$A21&lt;&gt;$A20),and(not(isblank($A21)),$A21=$A20,$B21&lt;&gt;$B20)),"ID LISTS UNALIGNED",and($A21&lt;&gt;"",countif('3) Release_Label'!$D:$D,$A21)=0),"NO UPC MATCH in Release_Label",and($B21&lt;&gt;"",countif('3) Release_Label'!$E:$E,$B21)=0),"NO CATALOG ID MATCH in Release_Label",iserror(vlookup($A21&amp;$B21,'3) Release_Label'!$D:$D&amp;'3) Release_Label'!$E:$E,1,0)),"NO UPC-CATALOG ID pair MATCH in Release_Label" )</f>
        <v/>
      </c>
      <c r="E21" s="44" t="s">
        <v>51</v>
      </c>
      <c r="F21" s="8" t="s">
        <v>325</v>
      </c>
      <c r="G21" s="123" t="str">
        <f t="array" ref="G21">ifs(or($F21="",$F21="Main Primary Artist"),$F21,not(iserror(vlookup($F21,'Reference info'!$J$5:$J$8,1,0))),"Key Artist",not(iserror(vlookup($F21,'Reference info'!$J$38:$J$405,1,0))),"Performer",not(iserror(vlookup($F21,'Reference info'!$J$10:$J$36,1,0))),"Producer &amp; Engineer")</f>
        <v>Key Artist</v>
      </c>
    </row>
    <row r="22">
      <c r="A22" s="119">
        <v>9.995964357078E12</v>
      </c>
      <c r="B22" s="103"/>
      <c r="C22" s="121" t="str">
        <f t="array" ref="C22">ifs(and(isblank($A22),isblank($B22)),"", not(iserror(vlookup($A22&amp;$B22,'3) Release_Label'!$D:$D&amp;'3) Release_Label'!$E:$E,1,0))),vlookup($A22&amp;$B22,{'3) Release_Label'!$D:$D&amp;'3) Release_Label'!$E:$E,'3) Release_Label'!$F:$F},2,0), or(and(not(isblank($B22)),$B22=$B21,$A22&lt;&gt;$A21),and(not(isblank($A22)),$A22=$A21,$B22&lt;&gt;$B21)),"ID LISTS UNALIGNED",and($A22&lt;&gt;"",countif('3) Release_Label'!$D:$D,$A22)=0),"NO UPC MATCH in Release_Label",and($B22&lt;&gt;"",countif('3) Release_Label'!$E:$E,$B22)=0),"NO CATALOG ID MATCH in Release_Label",iserror(vlookup($A22&amp;$B22,'3) Release_Label'!$D:$D&amp;'3) Release_Label'!$E:$E,1,0)),"NO UPC-CATALOG ID pair MATCH in Release_Label" )</f>
        <v>Daana Paani - Title Song (From "Daana Paani" Soundtrack)</v>
      </c>
      <c r="D22" s="121" t="str">
        <f t="array" ref="D22">ifs(and(isblank($A22),isblank($B22)),"", not(iserror(vlookup($A22&amp;$B22,'3) Release_Label'!$D:$D&amp;'3) Release_Label'!$E:$E,1,0))),vlookup($A22&amp;$B22,{'3) Release_Label'!$D:$D&amp;'3) Release_Label'!$E:$E,'3) Release_Label'!$H:$H},2,0), or(and(not(isblank($B22)),$B22=$B21,$A22&lt;&gt;$A21),and(not(isblank($A22)),$A22=$A21,$B22&lt;&gt;$B21)),"ID LISTS UNALIGNED",and($A22&lt;&gt;"",countif('3) Release_Label'!$D:$D,$A22)=0),"NO UPC MATCH in Release_Label",and($B22&lt;&gt;"",countif('3) Release_Label'!$E:$E,$B22)=0),"NO CATALOG ID MATCH in Release_Label",iserror(vlookup($A22&amp;$B22,'3) Release_Label'!$D:$D&amp;'3) Release_Label'!$E:$E,1,0)),"NO UPC-CATALOG ID pair MATCH in Release_Label" )</f>
        <v/>
      </c>
      <c r="E22" s="44" t="s">
        <v>59</v>
      </c>
      <c r="F22" s="8" t="s">
        <v>323</v>
      </c>
      <c r="G22" s="123" t="str">
        <f t="array" ref="G22">ifs(or($F22="",$F22="Main Primary Artist"),$F22,not(iserror(vlookup($F22,'Reference info'!$J$5:$J$8,1,0))),"Key Artist",not(iserror(vlookup($F22,'Reference info'!$J$38:$J$405,1,0))),"Performer",not(iserror(vlookup($F22,'Reference info'!$J$10:$J$36,1,0))),"Producer &amp; Engineer")</f>
        <v>Main Primary Artist</v>
      </c>
    </row>
    <row r="23">
      <c r="A23" s="119">
        <v>9.995964357078E12</v>
      </c>
      <c r="B23" s="103"/>
      <c r="C23" s="121" t="str">
        <f t="array" ref="C23">ifs(and(isblank($A23),isblank($B23)),"", not(iserror(vlookup($A23&amp;$B23,'3) Release_Label'!$D:$D&amp;'3) Release_Label'!$E:$E,1,0))),vlookup($A23&amp;$B23,{'3) Release_Label'!$D:$D&amp;'3) Release_Label'!$E:$E,'3) Release_Label'!$F:$F},2,0), or(and(not(isblank($B23)),$B23=$B22,$A23&lt;&gt;$A22),and(not(isblank($A23)),$A23=$A22,$B23&lt;&gt;$B22)),"ID LISTS UNALIGNED",and($A23&lt;&gt;"",countif('3) Release_Label'!$D:$D,$A23)=0),"NO UPC MATCH in Release_Label",and($B23&lt;&gt;"",countif('3) Release_Label'!$E:$E,$B23)=0),"NO CATALOG ID MATCH in Release_Label",iserror(vlookup($A23&amp;$B23,'3) Release_Label'!$D:$D&amp;'3) Release_Label'!$E:$E,1,0)),"NO UPC-CATALOG ID pair MATCH in Release_Label" )</f>
        <v>Daana Paani - Title Song (From "Daana Paani" Soundtrack)</v>
      </c>
      <c r="D23" s="121" t="str">
        <f t="array" ref="D23">ifs(and(isblank($A23),isblank($B23)),"", not(iserror(vlookup($A23&amp;$B23,'3) Release_Label'!$D:$D&amp;'3) Release_Label'!$E:$E,1,0))),vlookup($A23&amp;$B23,{'3) Release_Label'!$D:$D&amp;'3) Release_Label'!$E:$E,'3) Release_Label'!$H:$H},2,0), or(and(not(isblank($B23)),$B23=$B22,$A23&lt;&gt;$A22),and(not(isblank($A23)),$A23=$A22,$B23&lt;&gt;$B22)),"ID LISTS UNALIGNED",and($A23&lt;&gt;"",countif('3) Release_Label'!$D:$D,$A23)=0),"NO UPC MATCH in Release_Label",and($B23&lt;&gt;"",countif('3) Release_Label'!$E:$E,$B23)=0),"NO CATALOG ID MATCH in Release_Label",iserror(vlookup($A23&amp;$B23,'3) Release_Label'!$D:$D&amp;'3) Release_Label'!$E:$E,1,0)),"NO UPC-CATALOG ID pair MATCH in Release_Label" )</f>
        <v/>
      </c>
      <c r="E23" s="44" t="s">
        <v>61</v>
      </c>
      <c r="F23" s="8" t="s">
        <v>325</v>
      </c>
      <c r="G23" s="123" t="str">
        <f t="array" ref="G23">ifs(or($F23="",$F23="Main Primary Artist"),$F23,not(iserror(vlookup($F23,'Reference info'!$J$5:$J$8,1,0))),"Key Artist",not(iserror(vlookup($F23,'Reference info'!$J$38:$J$405,1,0))),"Performer",not(iserror(vlookup($F23,'Reference info'!$J$10:$J$36,1,0))),"Producer &amp; Engineer")</f>
        <v>Key Artist</v>
      </c>
    </row>
    <row r="24">
      <c r="A24" s="119">
        <v>9.995964357016E12</v>
      </c>
      <c r="B24" s="103"/>
      <c r="C24" s="121" t="str">
        <f t="array" ref="C24">ifs(and(isblank($A24),isblank($B24)),"", not(iserror(vlookup($A24&amp;$B24,'3) Release_Label'!$D:$D&amp;'3) Release_Label'!$E:$E,1,0))),vlookup($A24&amp;$B24,{'3) Release_Label'!$D:$D&amp;'3) Release_Label'!$E:$E,'3) Release_Label'!$F:$F},2,0), or(and(not(isblank($B24)),$B24=$B23,$A24&lt;&gt;$A23),and(not(isblank($A24)),$A24=$A23,$B24&lt;&gt;$B23)),"ID LISTS UNALIGNED",and($A24&lt;&gt;"",countif('3) Release_Label'!$D:$D,$A24)=0),"NO UPC MATCH in Release_Label",and($B24&lt;&gt;"",countif('3) Release_Label'!$E:$E,$B24)=0),"NO CATALOG ID MATCH in Release_Label",iserror(vlookup($A24&amp;$B24,'3) Release_Label'!$D:$D&amp;'3) Release_Label'!$E:$E,1,0)),"NO UPC-CATALOG ID pair MATCH in Release_Label" )</f>
        <v>Daana Paani (From "Daana Paani" Soundtrack)</v>
      </c>
      <c r="D24" s="121" t="str">
        <f t="array" ref="D24">ifs(and(isblank($A24),isblank($B24)),"", not(iserror(vlookup($A24&amp;$B24,'3) Release_Label'!$D:$D&amp;'3) Release_Label'!$E:$E,1,0))),vlookup($A24&amp;$B24,{'3) Release_Label'!$D:$D&amp;'3) Release_Label'!$E:$E,'3) Release_Label'!$H:$H},2,0), or(and(not(isblank($B24)),$B24=$B23,$A24&lt;&gt;$A23),and(not(isblank($A24)),$A24=$A23,$B24&lt;&gt;$B23)),"ID LISTS UNALIGNED",and($A24&lt;&gt;"",countif('3) Release_Label'!$D:$D,$A24)=0),"NO UPC MATCH in Release_Label",and($B24&lt;&gt;"",countif('3) Release_Label'!$E:$E,$B24)=0),"NO CATALOG ID MATCH in Release_Label",iserror(vlookup($A24&amp;$B24,'3) Release_Label'!$D:$D&amp;'3) Release_Label'!$E:$E,1,0)),"NO UPC-CATALOG ID pair MATCH in Release_Label" )</f>
        <v/>
      </c>
      <c r="E24" s="44" t="s">
        <v>49</v>
      </c>
      <c r="F24" s="8" t="s">
        <v>323</v>
      </c>
      <c r="G24" s="123" t="str">
        <f t="array" ref="G24">ifs(or($F24="",$F24="Main Primary Artist"),$F24,not(iserror(vlookup($F24,'Reference info'!$J$5:$J$8,1,0))),"Key Artist",not(iserror(vlookup($F24,'Reference info'!$J$38:$J$405,1,0))),"Performer",not(iserror(vlookup($F24,'Reference info'!$J$10:$J$36,1,0))),"Producer &amp; Engineer")</f>
        <v>Main Primary Artist</v>
      </c>
    </row>
    <row r="25">
      <c r="A25" s="119">
        <v>9.995964357016E12</v>
      </c>
      <c r="B25" s="103"/>
      <c r="C25" s="121" t="str">
        <f t="array" ref="C25">ifs(and(isblank($A25),isblank($B25)),"", not(iserror(vlookup($A25&amp;$B25,'3) Release_Label'!$D:$D&amp;'3) Release_Label'!$E:$E,1,0))),vlookup($A25&amp;$B25,{'3) Release_Label'!$D:$D&amp;'3) Release_Label'!$E:$E,'3) Release_Label'!$F:$F},2,0), or(and(not(isblank($B25)),$B25=$B24,$A25&lt;&gt;$A24),and(not(isblank($A25)),$A25=$A24,$B25&lt;&gt;$B24)),"ID LISTS UNALIGNED",and($A25&lt;&gt;"",countif('3) Release_Label'!$D:$D,$A25)=0),"NO UPC MATCH in Release_Label",and($B25&lt;&gt;"",countif('3) Release_Label'!$E:$E,$B25)=0),"NO CATALOG ID MATCH in Release_Label",iserror(vlookup($A25&amp;$B25,'3) Release_Label'!$D:$D&amp;'3) Release_Label'!$E:$E,1,0)),"NO UPC-CATALOG ID pair MATCH in Release_Label" )</f>
        <v>Daana Paani (From "Daana Paani" Soundtrack)</v>
      </c>
      <c r="D25" s="121" t="str">
        <f t="array" ref="D25">ifs(and(isblank($A25),isblank($B25)),"", not(iserror(vlookup($A25&amp;$B25,'3) Release_Label'!$D:$D&amp;'3) Release_Label'!$E:$E,1,0))),vlookup($A25&amp;$B25,{'3) Release_Label'!$D:$D&amp;'3) Release_Label'!$E:$E,'3) Release_Label'!$H:$H},2,0), or(and(not(isblank($B25)),$B25=$B24,$A25&lt;&gt;$A24),and(not(isblank($A25)),$A25=$A24,$B25&lt;&gt;$B24)),"ID LISTS UNALIGNED",and($A25&lt;&gt;"",countif('3) Release_Label'!$D:$D,$A25)=0),"NO UPC MATCH in Release_Label",and($B25&lt;&gt;"",countif('3) Release_Label'!$E:$E,$B25)=0),"NO CATALOG ID MATCH in Release_Label",iserror(vlookup($A25&amp;$B25,'3) Release_Label'!$D:$D&amp;'3) Release_Label'!$E:$E,1,0)),"NO UPC-CATALOG ID pair MATCH in Release_Label" )</f>
        <v/>
      </c>
      <c r="E25" s="44" t="s">
        <v>63</v>
      </c>
      <c r="F25" s="8" t="s">
        <v>325</v>
      </c>
      <c r="G25" s="123" t="str">
        <f t="array" ref="G25">ifs(or($F25="",$F25="Main Primary Artist"),$F25,not(iserror(vlookup($F25,'Reference info'!$J$5:$J$8,1,0))),"Key Artist",not(iserror(vlookup($F25,'Reference info'!$J$38:$J$405,1,0))),"Performer",not(iserror(vlookup($F25,'Reference info'!$J$10:$J$36,1,0))),"Producer &amp; Engineer")</f>
        <v>Key Artist</v>
      </c>
    </row>
    <row r="26">
      <c r="A26" s="119">
        <v>9.995964332198E12</v>
      </c>
      <c r="B26" s="103"/>
      <c r="C26" s="121" t="str">
        <f t="array" ref="C26">ifs(and(isblank($A26),isblank($B26)),"", not(iserror(vlookup($A26&amp;$B26,'3) Release_Label'!$D:$D&amp;'3) Release_Label'!$E:$E,1,0))),vlookup($A26&amp;$B26,{'3) Release_Label'!$D:$D&amp;'3) Release_Label'!$E:$E,'3) Release_Label'!$F:$F},2,0), or(and(not(isblank($B26)),$B26=$B25,$A26&lt;&gt;$A25),and(not(isblank($A26)),$A26=$A25,$B26&lt;&gt;$B25)),"ID LISTS UNALIGNED",and($A26&lt;&gt;"",countif('3) Release_Label'!$D:$D,$A26)=0),"NO UPC MATCH in Release_Label",and($B26&lt;&gt;"",countif('3) Release_Label'!$E:$E,$B26)=0),"NO CATALOG ID MATCH in Release_Label",iserror(vlookup($A26&amp;$B26,'3) Release_Label'!$D:$D&amp;'3) Release_Label'!$E:$E,1,0)),"NO UPC-CATALOG ID pair MATCH in Release_Label" )</f>
        <v>Dil Di Dua (From "Bhalwan Singh" Soundtrack)</v>
      </c>
      <c r="D26" s="121" t="str">
        <f t="array" ref="D26">ifs(and(isblank($A26),isblank($B26)),"", not(iserror(vlookup($A26&amp;$B26,'3) Release_Label'!$D:$D&amp;'3) Release_Label'!$E:$E,1,0))),vlookup($A26&amp;$B26,{'3) Release_Label'!$D:$D&amp;'3) Release_Label'!$E:$E,'3) Release_Label'!$H:$H},2,0), or(and(not(isblank($B26)),$B26=$B25,$A26&lt;&gt;$A25),and(not(isblank($A26)),$A26=$A25,$B26&lt;&gt;$B25)),"ID LISTS UNALIGNED",and($A26&lt;&gt;"",countif('3) Release_Label'!$D:$D,$A26)=0),"NO UPC MATCH in Release_Label",and($B26&lt;&gt;"",countif('3) Release_Label'!$E:$E,$B26)=0),"NO CATALOG ID MATCH in Release_Label",iserror(vlookup($A26&amp;$B26,'3) Release_Label'!$D:$D&amp;'3) Release_Label'!$E:$E,1,0)),"NO UPC-CATALOG ID pair MATCH in Release_Label" )</f>
        <v/>
      </c>
      <c r="E26" s="44" t="s">
        <v>49</v>
      </c>
      <c r="F26" s="8" t="s">
        <v>323</v>
      </c>
      <c r="G26" s="123" t="str">
        <f t="array" ref="G26">ifs(or($F26="",$F26="Main Primary Artist"),$F26,not(iserror(vlookup($F26,'Reference info'!$J$5:$J$8,1,0))),"Key Artist",not(iserror(vlookup($F26,'Reference info'!$J$38:$J$405,1,0))),"Performer",not(iserror(vlookup($F26,'Reference info'!$J$10:$J$36,1,0))),"Producer &amp; Engineer")</f>
        <v>Main Primary Artist</v>
      </c>
    </row>
    <row r="27">
      <c r="A27" s="119">
        <v>9.995964332198E12</v>
      </c>
      <c r="B27" s="103"/>
      <c r="C27" s="121" t="str">
        <f t="array" ref="C27">ifs(and(isblank($A27),isblank($B27)),"", not(iserror(vlookup($A27&amp;$B27,'3) Release_Label'!$D:$D&amp;'3) Release_Label'!$E:$E,1,0))),vlookup($A27&amp;$B27,{'3) Release_Label'!$D:$D&amp;'3) Release_Label'!$E:$E,'3) Release_Label'!$F:$F},2,0), or(and(not(isblank($B27)),$B27=$B26,$A27&lt;&gt;$A26),and(not(isblank($A27)),$A27=$A26,$B27&lt;&gt;$B26)),"ID LISTS UNALIGNED",and($A27&lt;&gt;"",countif('3) Release_Label'!$D:$D,$A27)=0),"NO UPC MATCH in Release_Label",and($B27&lt;&gt;"",countif('3) Release_Label'!$E:$E,$B27)=0),"NO CATALOG ID MATCH in Release_Label",iserror(vlookup($A27&amp;$B27,'3) Release_Label'!$D:$D&amp;'3) Release_Label'!$E:$E,1,0)),"NO UPC-CATALOG ID pair MATCH in Release_Label" )</f>
        <v>Dil Di Dua (From "Bhalwan Singh" Soundtrack)</v>
      </c>
      <c r="D27" s="121" t="str">
        <f t="array" ref="D27">ifs(and(isblank($A27),isblank($B27)),"", not(iserror(vlookup($A27&amp;$B27,'3) Release_Label'!$D:$D&amp;'3) Release_Label'!$E:$E,1,0))),vlookup($A27&amp;$B27,{'3) Release_Label'!$D:$D&amp;'3) Release_Label'!$E:$E,'3) Release_Label'!$H:$H},2,0), or(and(not(isblank($B27)),$B27=$B26,$A27&lt;&gt;$A26),and(not(isblank($A27)),$A27=$A26,$B27&lt;&gt;$B26)),"ID LISTS UNALIGNED",and($A27&lt;&gt;"",countif('3) Release_Label'!$D:$D,$A27)=0),"NO UPC MATCH in Release_Label",and($B27&lt;&gt;"",countif('3) Release_Label'!$E:$E,$B27)=0),"NO CATALOG ID MATCH in Release_Label",iserror(vlookup($A27&amp;$B27,'3) Release_Label'!$D:$D&amp;'3) Release_Label'!$E:$E,1,0)),"NO UPC-CATALOG ID pair MATCH in Release_Label" )</f>
        <v/>
      </c>
      <c r="E27" s="44" t="s">
        <v>47</v>
      </c>
      <c r="F27" s="8" t="s">
        <v>325</v>
      </c>
      <c r="G27" s="123" t="str">
        <f t="array" ref="G27">ifs(or($F27="",$F27="Main Primary Artist"),$F27,not(iserror(vlookup($F27,'Reference info'!$J$5:$J$8,1,0))),"Key Artist",not(iserror(vlookup($F27,'Reference info'!$J$38:$J$405,1,0))),"Performer",not(iserror(vlookup($F27,'Reference info'!$J$10:$J$36,1,0))),"Producer &amp; Engineer")</f>
        <v>Key Artist</v>
      </c>
    </row>
    <row r="28">
      <c r="A28" s="119">
        <v>9.99596432171E12</v>
      </c>
      <c r="B28" s="120"/>
      <c r="C28" s="121" t="str">
        <f t="array" ref="C28">ifs(and(isblank($A28),isblank($B28)),"", not(iserror(vlookup($A28&amp;$B28,'3) Release_Label'!$D:$D&amp;'3) Release_Label'!$E:$E,1,0))),vlookup($A28&amp;$B28,{'3) Release_Label'!$D:$D&amp;'3) Release_Label'!$E:$E,'3) Release_Label'!$F:$F},2,0), or(and(not(isblank($B28)),$B28=$B27,$A28&lt;&gt;$A27),and(not(isblank($A28)),$A28=$A27,$B28&lt;&gt;$B27)),"ID LISTS UNALIGNED",and($A28&lt;&gt;"",countif('3) Release_Label'!$D:$D,$A28)=0),"NO UPC MATCH in Release_Label",and($B28&lt;&gt;"",countif('3) Release_Label'!$E:$E,$B28)=0),"NO CATALOG ID MATCH in Release_Label",iserror(vlookup($A28&amp;$B28,'3) Release_Label'!$D:$D&amp;'3) Release_Label'!$E:$E,1,0)),"NO UPC-CATALOG ID pair MATCH in Release_Label" )</f>
        <v>Geetkariyan</v>
      </c>
      <c r="D28" s="121" t="str">
        <f t="array" ref="D28">ifs(and(isblank($A28),isblank($B28)),"", not(iserror(vlookup($A28&amp;$B28,'3) Release_Label'!$D:$D&amp;'3) Release_Label'!$E:$E,1,0))),vlookup($A28&amp;$B28,{'3) Release_Label'!$D:$D&amp;'3) Release_Label'!$E:$E,'3) Release_Label'!$H:$H},2,0), or(and(not(isblank($B28)),$B28=$B27,$A28&lt;&gt;$A27),and(not(isblank($A28)),$A28=$A27,$B28&lt;&gt;$B27)),"ID LISTS UNALIGNED",and($A28&lt;&gt;"",countif('3) Release_Label'!$D:$D,$A28)=0),"NO UPC MATCH in Release_Label",and($B28&lt;&gt;"",countif('3) Release_Label'!$E:$E,$B28)=0),"NO CATALOG ID MATCH in Release_Label",iserror(vlookup($A28&amp;$B28,'3) Release_Label'!$D:$D&amp;'3) Release_Label'!$E:$E,1,0)),"NO UPC-CATALOG ID pair MATCH in Release_Label" )</f>
        <v/>
      </c>
      <c r="E28" s="44" t="s">
        <v>57</v>
      </c>
      <c r="F28" s="8" t="s">
        <v>323</v>
      </c>
      <c r="G28" s="123" t="str">
        <f t="array" ref="G28">ifs(or($F28="",$F28="Main Primary Artist"),$F28,not(iserror(vlookup($F28,'Reference info'!$J$5:$J$8,1,0))),"Key Artist",not(iserror(vlookup($F28,'Reference info'!$J$38:$J$405,1,0))),"Performer",not(iserror(vlookup($F28,'Reference info'!$J$10:$J$36,1,0))),"Producer &amp; Engineer")</f>
        <v>Main Primary Artist</v>
      </c>
    </row>
    <row r="29">
      <c r="A29" s="119">
        <v>9.99596432171E12</v>
      </c>
      <c r="B29" s="103"/>
      <c r="C29" s="121" t="str">
        <f t="array" ref="C29">ifs(and(isblank($A29),isblank($B29)),"", not(iserror(vlookup($A29&amp;$B29,'3) Release_Label'!$D:$D&amp;'3) Release_Label'!$E:$E,1,0))),vlookup($A29&amp;$B29,{'3) Release_Label'!$D:$D&amp;'3) Release_Label'!$E:$E,'3) Release_Label'!$F:$F},2,0), or(and(not(isblank($B29)),$B29=$B28,$A29&lt;&gt;$A28),and(not(isblank($A29)),$A29=$A28,$B29&lt;&gt;$B28)),"ID LISTS UNALIGNED",and($A29&lt;&gt;"",countif('3) Release_Label'!$D:$D,$A29)=0),"NO UPC MATCH in Release_Label",and($B29&lt;&gt;"",countif('3) Release_Label'!$E:$E,$B29)=0),"NO CATALOG ID MATCH in Release_Label",iserror(vlookup($A29&amp;$B29,'3) Release_Label'!$D:$D&amp;'3) Release_Label'!$E:$E,1,0)),"NO UPC-CATALOG ID pair MATCH in Release_Label" )</f>
        <v>Geetkariyan</v>
      </c>
      <c r="D29" s="121" t="str">
        <f t="array" ref="D29">ifs(and(isblank($A29),isblank($B29)),"", not(iserror(vlookup($A29&amp;$B29,'3) Release_Label'!$D:$D&amp;'3) Release_Label'!$E:$E,1,0))),vlookup($A29&amp;$B29,{'3) Release_Label'!$D:$D&amp;'3) Release_Label'!$E:$E,'3) Release_Label'!$H:$H},2,0), or(and(not(isblank($B29)),$B29=$B28,$A29&lt;&gt;$A28),and(not(isblank($A29)),$A29=$A28,$B29&lt;&gt;$B28)),"ID LISTS UNALIGNED",and($A29&lt;&gt;"",countif('3) Release_Label'!$D:$D,$A29)=0),"NO UPC MATCH in Release_Label",and($B29&lt;&gt;"",countif('3) Release_Label'!$E:$E,$B29)=0),"NO CATALOG ID MATCH in Release_Label",iserror(vlookup($A29&amp;$B29,'3) Release_Label'!$D:$D&amp;'3) Release_Label'!$E:$E,1,0)),"NO UPC-CATALOG ID pair MATCH in Release_Label" )</f>
        <v/>
      </c>
      <c r="E29" s="44" t="s">
        <v>65</v>
      </c>
      <c r="F29" s="8" t="s">
        <v>324</v>
      </c>
      <c r="G29" s="123" t="str">
        <f t="array" ref="G29">ifs(or($F29="",$F29="Main Primary Artist"),$F29,not(iserror(vlookup($F29,'Reference info'!$J$5:$J$8,1,0))),"Key Artist",not(iserror(vlookup($F29,'Reference info'!$J$38:$J$405,1,0))),"Performer",not(iserror(vlookup($F29,'Reference info'!$J$10:$J$36,1,0))),"Producer &amp; Engineer")</f>
        <v>Key Artist</v>
      </c>
    </row>
    <row r="30">
      <c r="A30" s="119">
        <v>9.99596432171E12</v>
      </c>
      <c r="B30" s="103"/>
      <c r="C30" s="121" t="str">
        <f t="array" ref="C30">ifs(and(isblank($A30),isblank($B30)),"", not(iserror(vlookup($A30&amp;$B30,'3) Release_Label'!$D:$D&amp;'3) Release_Label'!$E:$E,1,0))),vlookup($A30&amp;$B30,{'3) Release_Label'!$D:$D&amp;'3) Release_Label'!$E:$E,'3) Release_Label'!$F:$F},2,0), or(and(not(isblank($B30)),$B30=$B29,$A30&lt;&gt;$A29),and(not(isblank($A30)),$A30=$A29,$B30&lt;&gt;$B29)),"ID LISTS UNALIGNED",and($A30&lt;&gt;"",countif('3) Release_Label'!$D:$D,$A30)=0),"NO UPC MATCH in Release_Label",and($B30&lt;&gt;"",countif('3) Release_Label'!$E:$E,$B30)=0),"NO CATALOG ID MATCH in Release_Label",iserror(vlookup($A30&amp;$B30,'3) Release_Label'!$D:$D&amp;'3) Release_Label'!$E:$E,1,0)),"NO UPC-CATALOG ID pair MATCH in Release_Label" )</f>
        <v>Geetkariyan</v>
      </c>
      <c r="D30" s="121" t="str">
        <f t="array" ref="D30">ifs(and(isblank($A30),isblank($B30)),"", not(iserror(vlookup($A30&amp;$B30,'3) Release_Label'!$D:$D&amp;'3) Release_Label'!$E:$E,1,0))),vlookup($A30&amp;$B30,{'3) Release_Label'!$D:$D&amp;'3) Release_Label'!$E:$E,'3) Release_Label'!$H:$H},2,0), or(and(not(isblank($B30)),$B30=$B29,$A30&lt;&gt;$A29),and(not(isblank($A30)),$A30=$A29,$B30&lt;&gt;$B29)),"ID LISTS UNALIGNED",and($A30&lt;&gt;"",countif('3) Release_Label'!$D:$D,$A30)=0),"NO UPC MATCH in Release_Label",and($B30&lt;&gt;"",countif('3) Release_Label'!$E:$E,$B30)=0),"NO CATALOG ID MATCH in Release_Label",iserror(vlookup($A30&amp;$B30,'3) Release_Label'!$D:$D&amp;'3) Release_Label'!$E:$E,1,0)),"NO UPC-CATALOG ID pair MATCH in Release_Label" )</f>
        <v/>
      </c>
      <c r="E30" s="44" t="s">
        <v>47</v>
      </c>
      <c r="F30" s="8" t="s">
        <v>325</v>
      </c>
      <c r="G30" s="123" t="str">
        <f t="array" ref="G30">ifs(or($F30="",$F30="Main Primary Artist"),$F30,not(iserror(vlookup($F30,'Reference info'!$J$5:$J$8,1,0))),"Key Artist",not(iserror(vlookup($F30,'Reference info'!$J$38:$J$405,1,0))),"Performer",not(iserror(vlookup($F30,'Reference info'!$J$10:$J$36,1,0))),"Producer &amp; Engineer")</f>
        <v>Key Artist</v>
      </c>
    </row>
    <row r="31">
      <c r="A31" s="119">
        <v>9.995964330514E12</v>
      </c>
      <c r="B31" s="103"/>
      <c r="C31" s="121" t="str">
        <f t="array" ref="C31">ifs(and(isblank($A31),isblank($B31)),"", not(iserror(vlookup($A31&amp;$B31,'3) Release_Label'!$D:$D&amp;'3) Release_Label'!$E:$E,1,0))),vlookup($A31&amp;$B31,{'3) Release_Label'!$D:$D&amp;'3) Release_Label'!$E:$E,'3) Release_Label'!$F:$F},2,0), or(and(not(isblank($B31)),$B31=#REF!,$A31&lt;&gt;#REF!),and(not(isblank($A31)),$A31=#REF!,$B31&lt;&gt;#REF!)),"ID LISTS UNALIGNED",and($A31&lt;&gt;"",countif('3) Release_Label'!$D:$D,$A31)=0),"NO UPC MATCH in Release_Label",and($B31&lt;&gt;"",countif('3) Release_Label'!$E:$E,$B31)=0),"NO CATALOG ID MATCH in Release_Label",iserror(vlookup($A31&amp;$B31,'3) Release_Label'!$D:$D&amp;'3) Release_Label'!$E:$E,1,0)),"NO UPC-CATALOG ID pair MATCH in Release_Label" )</f>
        <v>Janjhan (From "Lahoriye" Soundtrack)</v>
      </c>
      <c r="D31" s="121" t="str">
        <f t="array" ref="D31">ifs(and(isblank($A31),isblank($B31)),"", not(iserror(vlookup($A31&amp;$B31,'3) Release_Label'!$D:$D&amp;'3) Release_Label'!$E:$E,1,0))),vlookup($A31&amp;$B31,{'3) Release_Label'!$D:$D&amp;'3) Release_Label'!$E:$E,'3) Release_Label'!$H:$H},2,0), or(and(not(isblank($B31)),$B31=#REF!,$A31&lt;&gt;#REF!),and(not(isblank($A31)),$A31=#REF!,$B31&lt;&gt;#REF!)),"ID LISTS UNALIGNED",and($A31&lt;&gt;"",countif('3) Release_Label'!$D:$D,$A31)=0),"NO UPC MATCH in Release_Label",and($B31&lt;&gt;"",countif('3) Release_Label'!$E:$E,$B31)=0),"NO CATALOG ID MATCH in Release_Label",iserror(vlookup($A31&amp;$B31,'3) Release_Label'!$D:$D&amp;'3) Release_Label'!$E:$E,1,0)),"NO UPC-CATALOG ID pair MATCH in Release_Label" )</f>
        <v/>
      </c>
      <c r="E31" s="44" t="s">
        <v>67</v>
      </c>
      <c r="F31" s="8" t="s">
        <v>323</v>
      </c>
      <c r="G31" s="123" t="str">
        <f t="array" ref="G31">ifs(or($F31="",$F31="Main Primary Artist"),$F31,not(iserror(vlookup($F31,'Reference info'!$J$5:$J$8,1,0))),"Key Artist",not(iserror(vlookup($F31,'Reference info'!$J$38:$J$405,1,0))),"Performer",not(iserror(vlookup($F31,'Reference info'!$J$10:$J$36,1,0))),"Producer &amp; Engineer")</f>
        <v>Main Primary Artist</v>
      </c>
    </row>
    <row r="32">
      <c r="A32" s="119">
        <v>9.995964330514E12</v>
      </c>
      <c r="B32" s="103"/>
      <c r="C32" s="121" t="str">
        <f t="array" ref="C32">ifs(and(isblank($A32),isblank($B32)),"", not(iserror(vlookup($A32&amp;$B32,'3) Release_Label'!$D:$D&amp;'3) Release_Label'!$E:$E,1,0))),vlookup($A32&amp;$B32,{'3) Release_Label'!$D:$D&amp;'3) Release_Label'!$E:$E,'3) Release_Label'!$F:$F},2,0), or(and(not(isblank($B32)),$B32=$B31,$A32&lt;&gt;$A31),and(not(isblank($A32)),$A32=$A31,$B32&lt;&gt;$B31)),"ID LISTS UNALIGNED",and($A32&lt;&gt;"",countif('3) Release_Label'!$D:$D,$A32)=0),"NO UPC MATCH in Release_Label",and($B32&lt;&gt;"",countif('3) Release_Label'!$E:$E,$B32)=0),"NO CATALOG ID MATCH in Release_Label",iserror(vlookup($A32&amp;$B32,'3) Release_Label'!$D:$D&amp;'3) Release_Label'!$E:$E,1,0)),"NO UPC-CATALOG ID pair MATCH in Release_Label" )</f>
        <v>Janjhan (From "Lahoriye" Soundtrack)</v>
      </c>
      <c r="D32" s="121" t="str">
        <f t="array" ref="D32">ifs(and(isblank($A32),isblank($B32)),"", not(iserror(vlookup($A32&amp;$B32,'3) Release_Label'!$D:$D&amp;'3) Release_Label'!$E:$E,1,0))),vlookup($A32&amp;$B32,{'3) Release_Label'!$D:$D&amp;'3) Release_Label'!$E:$E,'3) Release_Label'!$H:$H},2,0), or(and(not(isblank($B32)),$B32=$B31,$A32&lt;&gt;$A31),and(not(isblank($A32)),$A32=$A31,$B32&lt;&gt;$B31)),"ID LISTS UNALIGNED",and($A32&lt;&gt;"",countif('3) Release_Label'!$D:$D,$A32)=0),"NO UPC MATCH in Release_Label",and($B32&lt;&gt;"",countif('3) Release_Label'!$E:$E,$B32)=0),"NO CATALOG ID MATCH in Release_Label",iserror(vlookup($A32&amp;$B32,'3) Release_Label'!$D:$D&amp;'3) Release_Label'!$E:$E,1,0)),"NO UPC-CATALOG ID pair MATCH in Release_Label" )</f>
        <v/>
      </c>
      <c r="E32" s="44" t="s">
        <v>51</v>
      </c>
      <c r="F32" s="8" t="s">
        <v>325</v>
      </c>
      <c r="G32" s="123" t="str">
        <f t="array" ref="G32">ifs(or($F32="",$F32="Main Primary Artist"),$F32,not(iserror(vlookup($F32,'Reference info'!$J$5:$J$8,1,0))),"Key Artist",not(iserror(vlookup($F32,'Reference info'!$J$38:$J$405,1,0))),"Performer",not(iserror(vlookup($F32,'Reference info'!$J$10:$J$36,1,0))),"Producer &amp; Engineer")</f>
        <v>Key Artist</v>
      </c>
    </row>
    <row r="33">
      <c r="A33" s="119">
        <v>9.995964330576E12</v>
      </c>
      <c r="B33" s="103"/>
      <c r="C33" s="121" t="str">
        <f t="array" ref="C33">ifs(and(isblank($A33),isblank($B33)),"", not(iserror(vlookup($A33&amp;$B33,'3) Release_Label'!$D:$D&amp;'3) Release_Label'!$E:$E,1,0))),vlookup($A33&amp;$B33,{'3) Release_Label'!$D:$D&amp;'3) Release_Label'!$E:$E,'3) Release_Label'!$F:$F},2,0), or(and(not(isblank($B33)),$B33=$B32,$A33&lt;&gt;$A32),and(not(isblank($A33)),$A33=$A32,$B33&lt;&gt;$B32)),"ID LISTS UNALIGNED",and($A33&lt;&gt;"",countif('3) Release_Label'!$D:$D,$A33)=0),"NO UPC MATCH in Release_Label",and($B33&lt;&gt;"",countif('3) Release_Label'!$E:$E,$B33)=0),"NO CATALOG ID MATCH in Release_Label",iserror(vlookup($A33&amp;$B33,'3) Release_Label'!$D:$D&amp;'3) Release_Label'!$E:$E,1,0)),"NO UPC-CATALOG ID pair MATCH in Release_Label" )</f>
        <v>Jeeondean Ch (From "Lahoriye" Soundtrack)</v>
      </c>
      <c r="D33" s="121" t="str">
        <f t="array" ref="D33">ifs(and(isblank($A33),isblank($B33)),"", not(iserror(vlookup($A33&amp;$B33,'3) Release_Label'!$D:$D&amp;'3) Release_Label'!$E:$E,1,0))),vlookup($A33&amp;$B33,{'3) Release_Label'!$D:$D&amp;'3) Release_Label'!$E:$E,'3) Release_Label'!$H:$H},2,0), or(and(not(isblank($B33)),$B33=$B32,$A33&lt;&gt;$A32),and(not(isblank($A33)),$A33=$A32,$B33&lt;&gt;$B32)),"ID LISTS UNALIGNED",and($A33&lt;&gt;"",countif('3) Release_Label'!$D:$D,$A33)=0),"NO UPC MATCH in Release_Label",and($B33&lt;&gt;"",countif('3) Release_Label'!$E:$E,$B33)=0),"NO CATALOG ID MATCH in Release_Label",iserror(vlookup($A33&amp;$B33,'3) Release_Label'!$D:$D&amp;'3) Release_Label'!$E:$E,1,0)),"NO UPC-CATALOG ID pair MATCH in Release_Label" )</f>
        <v/>
      </c>
      <c r="E33" s="44" t="s">
        <v>49</v>
      </c>
      <c r="F33" s="8" t="s">
        <v>323</v>
      </c>
      <c r="G33" s="123" t="str">
        <f t="array" ref="G33">ifs(or($F33="",$F33="Main Primary Artist"),$F33,not(iserror(vlookup($F33,'Reference info'!$J$5:$J$8,1,0))),"Key Artist",not(iserror(vlookup($F33,'Reference info'!$J$38:$J$405,1,0))),"Performer",not(iserror(vlookup($F33,'Reference info'!$J$10:$J$36,1,0))),"Producer &amp; Engineer")</f>
        <v>Main Primary Artist</v>
      </c>
    </row>
    <row r="34">
      <c r="A34" s="119">
        <v>9.995964330576E12</v>
      </c>
      <c r="B34" s="103"/>
      <c r="C34" s="121" t="str">
        <f t="array" ref="C34">ifs(and(isblank($A34),isblank($B34)),"", not(iserror(vlookup($A34&amp;$B34,'3) Release_Label'!$D:$D&amp;'3) Release_Label'!$E:$E,1,0))),vlookup($A34&amp;$B34,{'3) Release_Label'!$D:$D&amp;'3) Release_Label'!$E:$E,'3) Release_Label'!$F:$F},2,0), or(and(not(isblank($B34)),$B34=$B33,$A34&lt;&gt;$A33),and(not(isblank($A34)),$A34=$A33,$B34&lt;&gt;$B33)),"ID LISTS UNALIGNED",and($A34&lt;&gt;"",countif('3) Release_Label'!$D:$D,$A34)=0),"NO UPC MATCH in Release_Label",and($B34&lt;&gt;"",countif('3) Release_Label'!$E:$E,$B34)=0),"NO CATALOG ID MATCH in Release_Label",iserror(vlookup($A34&amp;$B34,'3) Release_Label'!$D:$D&amp;'3) Release_Label'!$E:$E,1,0)),"NO UPC-CATALOG ID pair MATCH in Release_Label" )</f>
        <v>Jeeondean Ch (From "Lahoriye" Soundtrack)</v>
      </c>
      <c r="D34" s="121" t="str">
        <f t="array" ref="D34">ifs(and(isblank($A34),isblank($B34)),"", not(iserror(vlookup($A34&amp;$B34,'3) Release_Label'!$D:$D&amp;'3) Release_Label'!$E:$E,1,0))),vlookup($A34&amp;$B34,{'3) Release_Label'!$D:$D&amp;'3) Release_Label'!$E:$E,'3) Release_Label'!$H:$H},2,0), or(and(not(isblank($B34)),$B34=$B33,$A34&lt;&gt;$A33),and(not(isblank($A34)),$A34=$A33,$B34&lt;&gt;$B33)),"ID LISTS UNALIGNED",and($A34&lt;&gt;"",countif('3) Release_Label'!$D:$D,$A34)=0),"NO UPC MATCH in Release_Label",and($B34&lt;&gt;"",countif('3) Release_Label'!$E:$E,$B34)=0),"NO CATALOG ID MATCH in Release_Label",iserror(vlookup($A34&amp;$B34,'3) Release_Label'!$D:$D&amp;'3) Release_Label'!$E:$E,1,0)),"NO UPC-CATALOG ID pair MATCH in Release_Label" )</f>
        <v/>
      </c>
      <c r="E34" s="44" t="s">
        <v>51</v>
      </c>
      <c r="F34" s="8" t="s">
        <v>325</v>
      </c>
      <c r="G34" s="123" t="str">
        <f t="array" ref="G34">ifs(or($F34="",$F34="Main Primary Artist"),$F34,not(iserror(vlookup($F34,'Reference info'!$J$5:$J$8,1,0))),"Key Artist",not(iserror(vlookup($F34,'Reference info'!$J$38:$J$405,1,0))),"Performer",not(iserror(vlookup($F34,'Reference info'!$J$10:$J$36,1,0))),"Producer &amp; Engineer")</f>
        <v>Key Artist</v>
      </c>
    </row>
    <row r="35">
      <c r="A35" s="119">
        <v>9.99596432113E12</v>
      </c>
      <c r="B35" s="103"/>
      <c r="C35" s="121" t="str">
        <f t="array" ref="C35">ifs(and(isblank($A35),isblank($B35)),"", not(iserror(vlookup($A35&amp;$B35,'3) Release_Label'!$D:$D&amp;'3) Release_Label'!$E:$E,1,0))),vlookup($A35&amp;$B35,{'3) Release_Label'!$D:$D&amp;'3) Release_Label'!$E:$E,'3) Release_Label'!$F:$F},2,0), or(and(not(isblank($B35)),$B35=$B34,$A35&lt;&gt;$A34),and(not(isblank($A35)),$A35=$A34,$B35&lt;&gt;$B34)),"ID LISTS UNALIGNED",and($A35&lt;&gt;"",countif('3) Release_Label'!$D:$D,$A35)=0),"NO UPC MATCH in Release_Label",and($B35&lt;&gt;"",countif('3) Release_Label'!$E:$E,$B35)=0),"NO CATALOG ID MATCH in Release_Label",iserror(vlookup($A35&amp;$B35,'3) Release_Label'!$D:$D&amp;'3) Release_Label'!$E:$E,1,0)),"NO UPC-CATALOG ID pair MATCH in Release_Label" )</f>
        <v>Jind (From "Bambukat" Soundtrack)</v>
      </c>
      <c r="D35" s="121" t="str">
        <f t="array" ref="D35">ifs(and(isblank($A35),isblank($B35)),"", not(iserror(vlookup($A35&amp;$B35,'3) Release_Label'!$D:$D&amp;'3) Release_Label'!$E:$E,1,0))),vlookup($A35&amp;$B35,{'3) Release_Label'!$D:$D&amp;'3) Release_Label'!$E:$E,'3) Release_Label'!$H:$H},2,0), or(and(not(isblank($B35)),$B35=$B34,$A35&lt;&gt;$A34),and(not(isblank($A35)),$A35=$A34,$B35&lt;&gt;$B34)),"ID LISTS UNALIGNED",and($A35&lt;&gt;"",countif('3) Release_Label'!$D:$D,$A35)=0),"NO UPC MATCH in Release_Label",and($B35&lt;&gt;"",countif('3) Release_Label'!$E:$E,$B35)=0),"NO CATALOG ID MATCH in Release_Label",iserror(vlookup($A35&amp;$B35,'3) Release_Label'!$D:$D&amp;'3) Release_Label'!$E:$E,1,0)),"NO UPC-CATALOG ID pair MATCH in Release_Label" )</f>
        <v/>
      </c>
      <c r="E35" s="44" t="s">
        <v>49</v>
      </c>
      <c r="F35" s="8" t="s">
        <v>323</v>
      </c>
      <c r="G35" s="123" t="str">
        <f t="array" ref="G35">ifs(or($F35="",$F35="Main Primary Artist"),$F35,not(iserror(vlookup($F35,'Reference info'!$J$5:$J$8,1,0))),"Key Artist",not(iserror(vlookup($F35,'Reference info'!$J$38:$J$405,1,0))),"Performer",not(iserror(vlookup($F35,'Reference info'!$J$10:$J$36,1,0))),"Producer &amp; Engineer")</f>
        <v>Main Primary Artist</v>
      </c>
    </row>
    <row r="36">
      <c r="A36" s="119">
        <v>9.99596432113E12</v>
      </c>
      <c r="B36" s="103"/>
      <c r="C36" s="121" t="str">
        <f t="array" ref="C36">ifs(and(isblank($A36),isblank($B36)),"", not(iserror(vlookup($A36&amp;$B36,'3) Release_Label'!$D:$D&amp;'3) Release_Label'!$E:$E,1,0))),vlookup($A36&amp;$B36,{'3) Release_Label'!$D:$D&amp;'3) Release_Label'!$E:$E,'3) Release_Label'!$F:$F},2,0), or(and(not(isblank($B36)),$B36=$B35,$A36&lt;&gt;$A35),and(not(isblank($A36)),$A36=$A35,$B36&lt;&gt;$B35)),"ID LISTS UNALIGNED",and($A36&lt;&gt;"",countif('3) Release_Label'!$D:$D,$A36)=0),"NO UPC MATCH in Release_Label",and($B36&lt;&gt;"",countif('3) Release_Label'!$E:$E,$B36)=0),"NO CATALOG ID MATCH in Release_Label",iserror(vlookup($A36&amp;$B36,'3) Release_Label'!$D:$D&amp;'3) Release_Label'!$E:$E,1,0)),"NO UPC-CATALOG ID pair MATCH in Release_Label" )</f>
        <v>Jind (From "Bambukat" Soundtrack)</v>
      </c>
      <c r="D36" s="121" t="str">
        <f t="array" ref="D36">ifs(and(isblank($A36),isblank($B36)),"", not(iserror(vlookup($A36&amp;$B36,'3) Release_Label'!$D:$D&amp;'3) Release_Label'!$E:$E,1,0))),vlookup($A36&amp;$B36,{'3) Release_Label'!$D:$D&amp;'3) Release_Label'!$E:$E,'3) Release_Label'!$H:$H},2,0), or(and(not(isblank($B36)),$B36=$B35,$A36&lt;&gt;$A35),and(not(isblank($A36)),$A36=$A35,$B36&lt;&gt;$B35)),"ID LISTS UNALIGNED",and($A36&lt;&gt;"",countif('3) Release_Label'!$D:$D,$A36)=0),"NO UPC MATCH in Release_Label",and($B36&lt;&gt;"",countif('3) Release_Label'!$E:$E,$B36)=0),"NO CATALOG ID MATCH in Release_Label",iserror(vlookup($A36&amp;$B36,'3) Release_Label'!$D:$D&amp;'3) Release_Label'!$E:$E,1,0)),"NO UPC-CATALOG ID pair MATCH in Release_Label" )</f>
        <v/>
      </c>
      <c r="E36" s="44" t="s">
        <v>51</v>
      </c>
      <c r="F36" s="8" t="s">
        <v>325</v>
      </c>
      <c r="G36" s="123" t="str">
        <f t="array" ref="G36">ifs(or($F36="",$F36="Main Primary Artist"),$F36,not(iserror(vlookup($F36,'Reference info'!$J$5:$J$8,1,0))),"Key Artist",not(iserror(vlookup($F36,'Reference info'!$J$38:$J$405,1,0))),"Performer",not(iserror(vlookup($F36,'Reference info'!$J$10:$J$36,1,0))),"Producer &amp; Engineer")</f>
        <v>Key Artist</v>
      </c>
    </row>
    <row r="37">
      <c r="A37" s="119">
        <v>9.995964321208E12</v>
      </c>
      <c r="B37" s="103"/>
      <c r="C37" s="121" t="str">
        <f t="array" ref="C37">ifs(and(isblank($A37),isblank($B37)),"", not(iserror(vlookup($A37&amp;$B37,'3) Release_Label'!$D:$D&amp;'3) Release_Label'!$E:$E,1,0))),vlookup($A37&amp;$B37,{'3) Release_Label'!$D:$D&amp;'3) Release_Label'!$E:$E,'3) Release_Label'!$F:$F},2,0), or(and(not(isblank($B37)),$B37=#REF!,$A37&lt;&gt;#REF!),and(not(isblank($A37)),$A37=#REF!,$B37&lt;&gt;#REF!)),"ID LISTS UNALIGNED",and($A37&lt;&gt;"",countif('3) Release_Label'!$D:$D,$A37)=0),"NO UPC MATCH in Release_Label",and($B37&lt;&gt;"",countif('3) Release_Label'!$E:$E,$B37)=0),"NO CATALOG ID MATCH in Release_Label",iserror(vlookup($A37&amp;$B37,'3) Release_Label'!$D:$D&amp;'3) Release_Label'!$E:$E,1,0)),"NO UPC-CATALOG ID pair MATCH in Release_Label" )</f>
        <v>Kainthe Wala (From "Bambukat" Soundtrack)</v>
      </c>
      <c r="D37" s="121" t="str">
        <f t="array" ref="D37">ifs(and(isblank($A37),isblank($B37)),"", not(iserror(vlookup($A37&amp;$B37,'3) Release_Label'!$D:$D&amp;'3) Release_Label'!$E:$E,1,0))),vlookup($A37&amp;$B37,{'3) Release_Label'!$D:$D&amp;'3) Release_Label'!$E:$E,'3) Release_Label'!$H:$H},2,0), or(and(not(isblank($B37)),$B37=#REF!,$A37&lt;&gt;#REF!),and(not(isblank($A37)),$A37=#REF!,$B37&lt;&gt;#REF!)),"ID LISTS UNALIGNED",and($A37&lt;&gt;"",countif('3) Release_Label'!$D:$D,$A37)=0),"NO UPC MATCH in Release_Label",and($B37&lt;&gt;"",countif('3) Release_Label'!$E:$E,$B37)=0),"NO CATALOG ID MATCH in Release_Label",iserror(vlookup($A37&amp;$B37,'3) Release_Label'!$D:$D&amp;'3) Release_Label'!$E:$E,1,0)),"NO UPC-CATALOG ID pair MATCH in Release_Label" )</f>
        <v/>
      </c>
      <c r="E37" s="44" t="s">
        <v>55</v>
      </c>
      <c r="F37" s="8" t="s">
        <v>323</v>
      </c>
      <c r="G37" s="123" t="str">
        <f t="array" ref="G37">ifs(or($F37="",$F37="Main Primary Artist"),$F37,not(iserror(vlookup($F37,'Reference info'!$J$5:$J$8,1,0))),"Key Artist",not(iserror(vlookup($F37,'Reference info'!$J$38:$J$405,1,0))),"Performer",not(iserror(vlookup($F37,'Reference info'!$J$10:$J$36,1,0))),"Producer &amp; Engineer")</f>
        <v>Main Primary Artist</v>
      </c>
    </row>
    <row r="38">
      <c r="A38" s="119">
        <v>9.995964321208E12</v>
      </c>
      <c r="B38" s="103"/>
      <c r="C38" s="121" t="str">
        <f t="array" ref="C38">ifs(and(isblank($A38),isblank($B38)),"", not(iserror(vlookup($A38&amp;$B38,'3) Release_Label'!$D:$D&amp;'3) Release_Label'!$E:$E,1,0))),vlookup($A38&amp;$B38,{'3) Release_Label'!$D:$D&amp;'3) Release_Label'!$E:$E,'3) Release_Label'!$F:$F},2,0), or(and(not(isblank($B38)),$B38=$B37,$A38&lt;&gt;$A37),and(not(isblank($A38)),$A38=$A37,$B38&lt;&gt;$B37)),"ID LISTS UNALIGNED",and($A38&lt;&gt;"",countif('3) Release_Label'!$D:$D,$A38)=0),"NO UPC MATCH in Release_Label",and($B38&lt;&gt;"",countif('3) Release_Label'!$E:$E,$B38)=0),"NO CATALOG ID MATCH in Release_Label",iserror(vlookup($A38&amp;$B38,'3) Release_Label'!$D:$D&amp;'3) Release_Label'!$E:$E,1,0)),"NO UPC-CATALOG ID pair MATCH in Release_Label" )</f>
        <v>Kainthe Wala (From "Bambukat" Soundtrack)</v>
      </c>
      <c r="D38" s="121" t="str">
        <f t="array" ref="D38">ifs(and(isblank($A38),isblank($B38)),"", not(iserror(vlookup($A38&amp;$B38,'3) Release_Label'!$D:$D&amp;'3) Release_Label'!$E:$E,1,0))),vlookup($A38&amp;$B38,{'3) Release_Label'!$D:$D&amp;'3) Release_Label'!$E:$E,'3) Release_Label'!$H:$H},2,0), or(and(not(isblank($B38)),$B38=$B37,$A38&lt;&gt;$A37),and(not(isblank($A38)),$A38=$A37,$B38&lt;&gt;$B37)),"ID LISTS UNALIGNED",and($A38&lt;&gt;"",countif('3) Release_Label'!$D:$D,$A38)=0),"NO UPC MATCH in Release_Label",and($B38&lt;&gt;"",countif('3) Release_Label'!$E:$E,$B38)=0),"NO CATALOG ID MATCH in Release_Label",iserror(vlookup($A38&amp;$B38,'3) Release_Label'!$D:$D&amp;'3) Release_Label'!$E:$E,1,0)),"NO UPC-CATALOG ID pair MATCH in Release_Label" )</f>
        <v/>
      </c>
      <c r="E38" s="44" t="s">
        <v>69</v>
      </c>
      <c r="F38" s="8" t="s">
        <v>324</v>
      </c>
      <c r="G38" s="123" t="str">
        <f t="array" ref="G38">ifs(or($F38="",$F38="Main Primary Artist"),$F38,not(iserror(vlookup($F38,'Reference info'!$J$5:$J$8,1,0))),"Key Artist",not(iserror(vlookup($F38,'Reference info'!$J$38:$J$405,1,0))),"Performer",not(iserror(vlookup($F38,'Reference info'!$J$10:$J$36,1,0))),"Producer &amp; Engineer")</f>
        <v>Key Artist</v>
      </c>
    </row>
    <row r="39">
      <c r="A39" s="119">
        <v>9.995964321208E12</v>
      </c>
      <c r="B39" s="103"/>
      <c r="C39" s="121" t="str">
        <f t="array" ref="C39">ifs(and(isblank($A39),isblank($B39)),"", not(iserror(vlookup($A39&amp;$B39,'3) Release_Label'!$D:$D&amp;'3) Release_Label'!$E:$E,1,0))),vlookup($A39&amp;$B39,{'3) Release_Label'!$D:$D&amp;'3) Release_Label'!$E:$E,'3) Release_Label'!$F:$F},2,0), or(and(not(isblank($B39)),$B39=$B38,$A39&lt;&gt;$A38),and(not(isblank($A39)),$A39=$A38,$B39&lt;&gt;$B38)),"ID LISTS UNALIGNED",and($A39&lt;&gt;"",countif('3) Release_Label'!$D:$D,$A39)=0),"NO UPC MATCH in Release_Label",and($B39&lt;&gt;"",countif('3) Release_Label'!$E:$E,$B39)=0),"NO CATALOG ID MATCH in Release_Label",iserror(vlookup($A39&amp;$B39,'3) Release_Label'!$D:$D&amp;'3) Release_Label'!$E:$E,1,0)),"NO UPC-CATALOG ID pair MATCH in Release_Label" )</f>
        <v>Kainthe Wala (From "Bambukat" Soundtrack)</v>
      </c>
      <c r="D39" s="121" t="str">
        <f t="array" ref="D39">ifs(and(isblank($A39),isblank($B39)),"", not(iserror(vlookup($A39&amp;$B39,'3) Release_Label'!$D:$D&amp;'3) Release_Label'!$E:$E,1,0))),vlookup($A39&amp;$B39,{'3) Release_Label'!$D:$D&amp;'3) Release_Label'!$E:$E,'3) Release_Label'!$H:$H},2,0), or(and(not(isblank($B39)),$B39=$B38,$A39&lt;&gt;$A38),and(not(isblank($A39)),$A39=$A38,$B39&lt;&gt;$B38)),"ID LISTS UNALIGNED",and($A39&lt;&gt;"",countif('3) Release_Label'!$D:$D,$A39)=0),"NO UPC MATCH in Release_Label",and($B39&lt;&gt;"",countif('3) Release_Label'!$E:$E,$B39)=0),"NO CATALOG ID MATCH in Release_Label",iserror(vlookup($A39&amp;$B39,'3) Release_Label'!$D:$D&amp;'3) Release_Label'!$E:$E,1,0)),"NO UPC-CATALOG ID pair MATCH in Release_Label" )</f>
        <v/>
      </c>
      <c r="E39" s="44" t="s">
        <v>51</v>
      </c>
      <c r="F39" s="8" t="s">
        <v>325</v>
      </c>
      <c r="G39" s="123" t="str">
        <f t="array" ref="G39">ifs(or($F39="",$F39="Main Primary Artist"),$F39,not(iserror(vlookup($F39,'Reference info'!$J$5:$J$8,1,0))),"Key Artist",not(iserror(vlookup($F39,'Reference info'!$J$38:$J$405,1,0))),"Performer",not(iserror(vlookup($F39,'Reference info'!$J$10:$J$36,1,0))),"Producer &amp; Engineer")</f>
        <v>Key Artist</v>
      </c>
    </row>
    <row r="40">
      <c r="A40" s="119">
        <v>9.99596435716E12</v>
      </c>
      <c r="B40" s="103"/>
      <c r="C40" s="121" t="str">
        <f t="array" ref="C40">ifs(and(isblank($A40),isblank($B40)),"", not(iserror(vlookup($A40&amp;$B40,'3) Release_Label'!$D:$D&amp;'3) Release_Label'!$E:$E,1,0))),vlookup($A40&amp;$B40,{'3) Release_Label'!$D:$D&amp;'3) Release_Label'!$E:$E,'3) Release_Label'!$F:$F},2,0), or(and(not(isblank($B40)),$B40=$B39,$A40&lt;&gt;$A39),and(not(isblank($A40)),$A40=$A39,$B40&lt;&gt;$B39)),"ID LISTS UNALIGNED",and($A40&lt;&gt;"",countif('3) Release_Label'!$D:$D,$A40)=0),"NO UPC MATCH in Release_Label",and($B40&lt;&gt;"",countif('3) Release_Label'!$E:$E,$B40)=0),"NO CATALOG ID MATCH in Release_Label",iserror(vlookup($A40&amp;$B40,'3) Release_Label'!$D:$D&amp;'3) Release_Label'!$E:$E,1,0)),"NO UPC-CATALOG ID pair MATCH in Release_Label" )</f>
        <v>Kanda Kacheya Ne (From "Daana Paani" Soundtrack)</v>
      </c>
      <c r="D40" s="121" t="str">
        <f t="array" ref="D40">ifs(and(isblank($A40),isblank($B40)),"", not(iserror(vlookup($A40&amp;$B40,'3) Release_Label'!$D:$D&amp;'3) Release_Label'!$E:$E,1,0))),vlookup($A40&amp;$B40,{'3) Release_Label'!$D:$D&amp;'3) Release_Label'!$E:$E,'3) Release_Label'!$H:$H},2,0), or(and(not(isblank($B40)),$B40=$B39,$A40&lt;&gt;$A39),and(not(isblank($A40)),$A40=$A39,$B40&lt;&gt;$B39)),"ID LISTS UNALIGNED",and($A40&lt;&gt;"",countif('3) Release_Label'!$D:$D,$A40)=0),"NO UPC MATCH in Release_Label",and($B40&lt;&gt;"",countif('3) Release_Label'!$E:$E,$B40)=0),"NO CATALOG ID MATCH in Release_Label",iserror(vlookup($A40&amp;$B40,'3) Release_Label'!$D:$D&amp;'3) Release_Label'!$E:$E,1,0)),"NO UPC-CATALOG ID pair MATCH in Release_Label" )</f>
        <v/>
      </c>
      <c r="E40" s="44" t="s">
        <v>71</v>
      </c>
      <c r="F40" s="8" t="s">
        <v>323</v>
      </c>
      <c r="G40" s="123" t="str">
        <f t="array" ref="G40">ifs(or($F40="",$F40="Main Primary Artist"),$F40,not(iserror(vlookup($F40,'Reference info'!$J$5:$J$8,1,0))),"Key Artist",not(iserror(vlookup($F40,'Reference info'!$J$38:$J$405,1,0))),"Performer",not(iserror(vlookup($F40,'Reference info'!$J$10:$J$36,1,0))),"Producer &amp; Engineer")</f>
        <v>Main Primary Artist</v>
      </c>
    </row>
    <row r="41">
      <c r="A41" s="119">
        <v>9.99596435716E12</v>
      </c>
      <c r="B41" s="103"/>
      <c r="C41" s="121" t="str">
        <f t="array" ref="C41">ifs(and(isblank($A41),isblank($B41)),"", not(iserror(vlookup($A41&amp;$B41,'3) Release_Label'!$D:$D&amp;'3) Release_Label'!$E:$E,1,0))),vlookup($A41&amp;$B41,{'3) Release_Label'!$D:$D&amp;'3) Release_Label'!$E:$E,'3) Release_Label'!$F:$F},2,0), or(and(not(isblank($B41)),$B41=$B40,$A41&lt;&gt;$A40),and(not(isblank($A41)),$A41=$A40,$B41&lt;&gt;$B40)),"ID LISTS UNALIGNED",and($A41&lt;&gt;"",countif('3) Release_Label'!$D:$D,$A41)=0),"NO UPC MATCH in Release_Label",and($B41&lt;&gt;"",countif('3) Release_Label'!$E:$E,$B41)=0),"NO CATALOG ID MATCH in Release_Label",iserror(vlookup($A41&amp;$B41,'3) Release_Label'!$D:$D&amp;'3) Release_Label'!$E:$E,1,0)),"NO UPC-CATALOG ID pair MATCH in Release_Label" )</f>
        <v>Kanda Kacheya Ne (From "Daana Paani" Soundtrack)</v>
      </c>
      <c r="D41" s="121" t="str">
        <f t="array" ref="D41">ifs(and(isblank($A41),isblank($B41)),"", not(iserror(vlookup($A41&amp;$B41,'3) Release_Label'!$D:$D&amp;'3) Release_Label'!$E:$E,1,0))),vlookup($A41&amp;$B41,{'3) Release_Label'!$D:$D&amp;'3) Release_Label'!$E:$E,'3) Release_Label'!$H:$H},2,0), or(and(not(isblank($B41)),$B41=$B40,$A41&lt;&gt;$A40),and(not(isblank($A41)),$A41=$A40,$B41&lt;&gt;$B40)),"ID LISTS UNALIGNED",and($A41&lt;&gt;"",countif('3) Release_Label'!$D:$D,$A41)=0),"NO UPC MATCH in Release_Label",and($B41&lt;&gt;"",countif('3) Release_Label'!$E:$E,$B41)=0),"NO CATALOG ID MATCH in Release_Label",iserror(vlookup($A41&amp;$B41,'3) Release_Label'!$D:$D&amp;'3) Release_Label'!$E:$E,1,0)),"NO UPC-CATALOG ID pair MATCH in Release_Label" )</f>
        <v/>
      </c>
      <c r="E41" s="44" t="s">
        <v>73</v>
      </c>
      <c r="F41" s="8" t="s">
        <v>325</v>
      </c>
      <c r="G41" s="123" t="str">
        <f t="array" ref="G41">ifs(or($F41="",$F41="Main Primary Artist"),$F41,not(iserror(vlookup($F41,'Reference info'!$J$5:$J$8,1,0))),"Key Artist",not(iserror(vlookup($F41,'Reference info'!$J$38:$J$405,1,0))),"Performer",not(iserror(vlookup($F41,'Reference info'!$J$10:$J$36,1,0))),"Producer &amp; Engineer")</f>
        <v>Key Artist</v>
      </c>
    </row>
    <row r="42">
      <c r="A42" s="119">
        <v>9.995964356552E12</v>
      </c>
      <c r="B42" s="103"/>
      <c r="C42" s="121" t="str">
        <f t="array" ref="C42">ifs(and(isblank($A42),isblank($B42)),"", not(iserror(vlookup($A42&amp;$B42,'3) Release_Label'!$D:$D&amp;'3) Release_Label'!$E:$E,1,0))),vlookup($A42&amp;$B42,{'3) Release_Label'!$D:$D&amp;'3) Release_Label'!$E:$E,'3) Release_Label'!$F:$F},2,0), or(and(not(isblank($B42)),$B42=#REF!,$A42&lt;&gt;#REF!),and(not(isblank($A42)),$A42=#REF!,$B42&lt;&gt;#REF!)),"ID LISTS UNALIGNED",and($A42&lt;&gt;"",countif('3) Release_Label'!$D:$D,$A42)=0),"NO UPC MATCH in Release_Label",and($B42&lt;&gt;"",countif('3) Release_Label'!$E:$E,$B42)=0),"NO CATALOG ID MATCH in Release_Label",iserror(vlookup($A42&amp;$B42,'3) Release_Label'!$D:$D&amp;'3) Release_Label'!$E:$E,1,0)),"NO UPC-CATALOG ID pair MATCH in Release_Label" )</f>
        <v>Lakh Vaari (From "Golak Bugni Bank Te Batua" Soundtrack)</v>
      </c>
      <c r="D42" s="121" t="str">
        <f t="array" ref="D42">ifs(and(isblank($A42),isblank($B42)),"", not(iserror(vlookup($A42&amp;$B42,'3) Release_Label'!$D:$D&amp;'3) Release_Label'!$E:$E,1,0))),vlookup($A42&amp;$B42,{'3) Release_Label'!$D:$D&amp;'3) Release_Label'!$E:$E,'3) Release_Label'!$H:$H},2,0), or(and(not(isblank($B42)),$B42=#REF!,$A42&lt;&gt;#REF!),and(not(isblank($A42)),$A42=#REF!,$B42&lt;&gt;#REF!)),"ID LISTS UNALIGNED",and($A42&lt;&gt;"",countif('3) Release_Label'!$D:$D,$A42)=0),"NO UPC MATCH in Release_Label",and($B42&lt;&gt;"",countif('3) Release_Label'!$E:$E,$B42)=0),"NO CATALOG ID MATCH in Release_Label",iserror(vlookup($A42&amp;$B42,'3) Release_Label'!$D:$D&amp;'3) Release_Label'!$E:$E,1,0)),"NO UPC-CATALOG ID pair MATCH in Release_Label" )</f>
        <v/>
      </c>
      <c r="E42" s="44" t="s">
        <v>49</v>
      </c>
      <c r="F42" s="8" t="s">
        <v>323</v>
      </c>
      <c r="G42" s="123" t="str">
        <f t="array" ref="G42">ifs(or($F42="",$F42="Main Primary Artist"),$F42,not(iserror(vlookup($F42,'Reference info'!$J$5:$J$8,1,0))),"Key Artist",not(iserror(vlookup($F42,'Reference info'!$J$38:$J$405,1,0))),"Performer",not(iserror(vlookup($F42,'Reference info'!$J$10:$J$36,1,0))),"Producer &amp; Engineer")</f>
        <v>Main Primary Artist</v>
      </c>
    </row>
    <row r="43">
      <c r="A43" s="119">
        <v>9.995964356552E12</v>
      </c>
      <c r="B43" s="103"/>
      <c r="C43" s="121" t="str">
        <f t="array" ref="C43">ifs(and(isblank($A43),isblank($B43)),"", not(iserror(vlookup($A43&amp;$B43,'3) Release_Label'!$D:$D&amp;'3) Release_Label'!$E:$E,1,0))),vlookup($A43&amp;$B43,{'3) Release_Label'!$D:$D&amp;'3) Release_Label'!$E:$E,'3) Release_Label'!$F:$F},2,0), or(and(not(isblank($B43)),$B43=$B42,$A43&lt;&gt;$A42),and(not(isblank($A43)),$A43=$A42,$B43&lt;&gt;$B42)),"ID LISTS UNALIGNED",and($A43&lt;&gt;"",countif('3) Release_Label'!$D:$D,$A43)=0),"NO UPC MATCH in Release_Label",and($B43&lt;&gt;"",countif('3) Release_Label'!$E:$E,$B43)=0),"NO CATALOG ID MATCH in Release_Label",iserror(vlookup($A43&amp;$B43,'3) Release_Label'!$D:$D&amp;'3) Release_Label'!$E:$E,1,0)),"NO UPC-CATALOG ID pair MATCH in Release_Label" )</f>
        <v>Lakh Vaari (From "Golak Bugni Bank Te Batua" Soundtrack)</v>
      </c>
      <c r="D43" s="121" t="str">
        <f t="array" ref="D43">ifs(and(isblank($A43),isblank($B43)),"", not(iserror(vlookup($A43&amp;$B43,'3) Release_Label'!$D:$D&amp;'3) Release_Label'!$E:$E,1,0))),vlookup($A43&amp;$B43,{'3) Release_Label'!$D:$D&amp;'3) Release_Label'!$E:$E,'3) Release_Label'!$H:$H},2,0), or(and(not(isblank($B43)),$B43=$B42,$A43&lt;&gt;$A42),and(not(isblank($A43)),$A43=$A42,$B43&lt;&gt;$B42)),"ID LISTS UNALIGNED",and($A43&lt;&gt;"",countif('3) Release_Label'!$D:$D,$A43)=0),"NO UPC MATCH in Release_Label",and($B43&lt;&gt;"",countif('3) Release_Label'!$E:$E,$B43)=0),"NO CATALOG ID MATCH in Release_Label",iserror(vlookup($A43&amp;$B43,'3) Release_Label'!$D:$D&amp;'3) Release_Label'!$E:$E,1,0)),"NO UPC-CATALOG ID pair MATCH in Release_Label" )</f>
        <v/>
      </c>
      <c r="E43" s="44" t="s">
        <v>51</v>
      </c>
      <c r="F43" s="8" t="s">
        <v>325</v>
      </c>
      <c r="G43" s="123" t="str">
        <f t="array" ref="G43">ifs(or($F43="",$F43="Main Primary Artist"),$F43,not(iserror(vlookup($F43,'Reference info'!$J$5:$J$8,1,0))),"Key Artist",not(iserror(vlookup($F43,'Reference info'!$J$38:$J$405,1,0))),"Performer",not(iserror(vlookup($F43,'Reference info'!$J$10:$J$36,1,0))),"Producer &amp; Engineer")</f>
        <v>Key Artist</v>
      </c>
    </row>
    <row r="44">
      <c r="A44" s="119">
        <v>9.995964321284E12</v>
      </c>
      <c r="B44" s="103"/>
      <c r="C44" s="121" t="str">
        <f t="array" ref="C44">ifs(and(isblank($A44),isblank($B44)),"", not(iserror(vlookup($A44&amp;$B44,'3) Release_Label'!$D:$D&amp;'3) Release_Label'!$E:$E,1,0))),vlookup($A44&amp;$B44,{'3) Release_Label'!$D:$D&amp;'3) Release_Label'!$E:$E,'3) Release_Label'!$F:$F},2,0), or(and(not(isblank($B44)),$B44=$B43,$A44&lt;&gt;$A43),and(not(isblank($A44)),$A44=$A43,$B44&lt;&gt;$B43)),"ID LISTS UNALIGNED",and($A44&lt;&gt;"",countif('3) Release_Label'!$D:$D,$A44)=0),"NO UPC MATCH in Release_Label",and($B44&lt;&gt;"",countif('3) Release_Label'!$E:$E,$B44)=0),"NO CATALOG ID MATCH in Release_Label",iserror(vlookup($A44&amp;$B44,'3) Release_Label'!$D:$D&amp;'3) Release_Label'!$E:$E,1,0)),"NO UPC-CATALOG ID pair MATCH in Release_Label" )</f>
        <v>Langhe Paani (From "Bambukat" Soundtrack)</v>
      </c>
      <c r="D44" s="121" t="str">
        <f t="array" ref="D44">ifs(and(isblank($A44),isblank($B44)),"", not(iserror(vlookup($A44&amp;$B44,'3) Release_Label'!$D:$D&amp;'3) Release_Label'!$E:$E,1,0))),vlookup($A44&amp;$B44,{'3) Release_Label'!$D:$D&amp;'3) Release_Label'!$E:$E,'3) Release_Label'!$H:$H},2,0), or(and(not(isblank($B44)),$B44=$B43,$A44&lt;&gt;$A43),and(not(isblank($A44)),$A44=$A43,$B44&lt;&gt;$B43)),"ID LISTS UNALIGNED",and($A44&lt;&gt;"",countif('3) Release_Label'!$D:$D,$A44)=0),"NO UPC MATCH in Release_Label",and($B44&lt;&gt;"",countif('3) Release_Label'!$E:$E,$B44)=0),"NO CATALOG ID MATCH in Release_Label",iserror(vlookup($A44&amp;$B44,'3) Release_Label'!$D:$D&amp;'3) Release_Label'!$E:$E,1,0)),"NO UPC-CATALOG ID pair MATCH in Release_Label" )</f>
        <v/>
      </c>
      <c r="E44" s="44" t="s">
        <v>75</v>
      </c>
      <c r="F44" s="8" t="s">
        <v>323</v>
      </c>
      <c r="G44" s="123" t="str">
        <f t="array" ref="G44">ifs(or($F44="",$F44="Main Primary Artist"),$F44,not(iserror(vlookup($F44,'Reference info'!$J$5:$J$8,1,0))),"Key Artist",not(iserror(vlookup($F44,'Reference info'!$J$38:$J$405,1,0))),"Performer",not(iserror(vlookup($F44,'Reference info'!$J$10:$J$36,1,0))),"Producer &amp; Engineer")</f>
        <v>Main Primary Artist</v>
      </c>
    </row>
    <row r="45">
      <c r="A45" s="119">
        <v>9.995964321284E12</v>
      </c>
      <c r="B45" s="103"/>
      <c r="C45" s="121" t="str">
        <f t="array" ref="C45">ifs(and(isblank($A45),isblank($B45)),"", not(iserror(vlookup($A45&amp;$B45,'3) Release_Label'!$D:$D&amp;'3) Release_Label'!$E:$E,1,0))),vlookup($A45&amp;$B45,{'3) Release_Label'!$D:$D&amp;'3) Release_Label'!$E:$E,'3) Release_Label'!$F:$F},2,0), or(and(not(isblank($B45)),$B45=$B44,$A45&lt;&gt;$A44),and(not(isblank($A45)),$A45=$A44,$B45&lt;&gt;$B44)),"ID LISTS UNALIGNED",and($A45&lt;&gt;"",countif('3) Release_Label'!$D:$D,$A45)=0),"NO UPC MATCH in Release_Label",and($B45&lt;&gt;"",countif('3) Release_Label'!$E:$E,$B45)=0),"NO CATALOG ID MATCH in Release_Label",iserror(vlookup($A45&amp;$B45,'3) Release_Label'!$D:$D&amp;'3) Release_Label'!$E:$E,1,0)),"NO UPC-CATALOG ID pair MATCH in Release_Label" )</f>
        <v>Langhe Paani (From "Bambukat" Soundtrack)</v>
      </c>
      <c r="D45" s="121" t="str">
        <f t="array" ref="D45">ifs(and(isblank($A45),isblank($B45)),"", not(iserror(vlookup($A45&amp;$B45,'3) Release_Label'!$D:$D&amp;'3) Release_Label'!$E:$E,1,0))),vlookup($A45&amp;$B45,{'3) Release_Label'!$D:$D&amp;'3) Release_Label'!$E:$E,'3) Release_Label'!$H:$H},2,0), or(and(not(isblank($B45)),$B45=$B44,$A45&lt;&gt;$A44),and(not(isblank($A45)),$A45=$A44,$B45&lt;&gt;$B44)),"ID LISTS UNALIGNED",and($A45&lt;&gt;"",countif('3) Release_Label'!$D:$D,$A45)=0),"NO UPC MATCH in Release_Label",and($B45&lt;&gt;"",countif('3) Release_Label'!$E:$E,$B45)=0),"NO CATALOG ID MATCH in Release_Label",iserror(vlookup($A45&amp;$B45,'3) Release_Label'!$D:$D&amp;'3) Release_Label'!$E:$E,1,0)),"NO UPC-CATALOG ID pair MATCH in Release_Label" )</f>
        <v/>
      </c>
      <c r="E45" s="44" t="s">
        <v>51</v>
      </c>
      <c r="F45" s="8" t="s">
        <v>325</v>
      </c>
      <c r="G45" s="123" t="str">
        <f t="array" ref="G45">ifs(or($F45="",$F45="Main Primary Artist"),$F45,not(iserror(vlookup($F45,'Reference info'!$J$5:$J$8,1,0))),"Key Artist",not(iserror(vlookup($F45,'Reference info'!$J$38:$J$405,1,0))),"Performer",not(iserror(vlookup($F45,'Reference info'!$J$10:$J$36,1,0))),"Producer &amp; Engineer")</f>
        <v>Key Artist</v>
      </c>
    </row>
    <row r="46">
      <c r="A46" s="119">
        <v>9.995964320096E12</v>
      </c>
      <c r="B46" s="103"/>
      <c r="C46" s="121" t="str">
        <f t="array" ref="C46">ifs(and(isblank($A46),isblank($B46)),"", not(iserror(vlookup($A46&amp;$B46,'3) Release_Label'!$D:$D&amp;'3) Release_Label'!$E:$E,1,0))),vlookup($A46&amp;$B46,{'3) Release_Label'!$D:$D&amp;'3) Release_Label'!$E:$E,'3) Release_Label'!$F:$F},2,0), or(and(not(isblank($B46)),$B46=#REF!,$A46&lt;&gt;#REF!),and(not(isblank($A46)),$A46=#REF!,$B46&lt;&gt;#REF!)),"ID LISTS UNALIGNED",and($A46&lt;&gt;"",countif('3) Release_Label'!$D:$D,$A46)=0),"NO UPC MATCH in Release_Label",and($B46&lt;&gt;"",countif('3) Release_Label'!$E:$E,$B46)=0),"NO CATALOG ID MATCH in Release_Label",iserror(vlookup($A46&amp;$B46,'3) Release_Label'!$D:$D&amp;'3) Release_Label'!$E:$E,1,0)),"NO UPC-CATALOG ID pair MATCH in Release_Label" )</f>
        <v>Love Punjab (Original Motion Picture Soundtrack)</v>
      </c>
      <c r="D46" s="121" t="str">
        <f t="array" ref="D46">ifs(and(isblank($A46),isblank($B46)),"", not(iserror(vlookup($A46&amp;$B46,'3) Release_Label'!$D:$D&amp;'3) Release_Label'!$E:$E,1,0))),vlookup($A46&amp;$B46,{'3) Release_Label'!$D:$D&amp;'3) Release_Label'!$E:$E,'3) Release_Label'!$H:$H},2,0), or(and(not(isblank($B46)),$B46=#REF!,$A46&lt;&gt;#REF!),and(not(isblank($A46)),$A46=#REF!,$B46&lt;&gt;#REF!)),"ID LISTS UNALIGNED",and($A46&lt;&gt;"",countif('3) Release_Label'!$D:$D,$A46)=0),"NO UPC MATCH in Release_Label",and($B46&lt;&gt;"",countif('3) Release_Label'!$E:$E,$B46)=0),"NO CATALOG ID MATCH in Release_Label",iserror(vlookup($A46&amp;$B46,'3) Release_Label'!$D:$D&amp;'3) Release_Label'!$E:$E,1,0)),"NO UPC-CATALOG ID pair MATCH in Release_Label" )</f>
        <v/>
      </c>
      <c r="E46" s="44" t="s">
        <v>49</v>
      </c>
      <c r="F46" s="8" t="s">
        <v>323</v>
      </c>
      <c r="G46" s="123" t="str">
        <f t="array" ref="G46">ifs(or($F46="",$F46="Main Primary Artist"),$F46,not(iserror(vlookup($F46,'Reference info'!$J$5:$J$8,1,0))),"Key Artist",not(iserror(vlookup($F46,'Reference info'!$J$38:$J$405,1,0))),"Performer",not(iserror(vlookup($F46,'Reference info'!$J$10:$J$36,1,0))),"Producer &amp; Engineer")</f>
        <v>Main Primary Artist</v>
      </c>
    </row>
    <row r="47">
      <c r="A47" s="119">
        <v>9.995964320096E12</v>
      </c>
      <c r="B47" s="103"/>
      <c r="C47" s="121" t="str">
        <f t="array" ref="C47">ifs(and(isblank($A47),isblank($B47)),"", not(iserror(vlookup($A47&amp;$B47,'3) Release_Label'!$D:$D&amp;'3) Release_Label'!$E:$E,1,0))),vlookup($A47&amp;$B47,{'3) Release_Label'!$D:$D&amp;'3) Release_Label'!$E:$E,'3) Release_Label'!$F:$F},2,0), or(and(not(isblank($B47)),$B47=$B46,$A47&lt;&gt;$A46),and(not(isblank($A47)),$A47=$A46,$B47&lt;&gt;$B46)),"ID LISTS UNALIGNED",and($A47&lt;&gt;"",countif('3) Release_Label'!$D:$D,$A47)=0),"NO UPC MATCH in Release_Label",and($B47&lt;&gt;"",countif('3) Release_Label'!$E:$E,$B47)=0),"NO CATALOG ID MATCH in Release_Label",iserror(vlookup($A47&amp;$B47,'3) Release_Label'!$D:$D&amp;'3) Release_Label'!$E:$E,1,0)),"NO UPC-CATALOG ID pair MATCH in Release_Label" )</f>
        <v>Love Punjab (Original Motion Picture Soundtrack)</v>
      </c>
      <c r="D47" s="121" t="str">
        <f t="array" ref="D47">ifs(and(isblank($A47),isblank($B47)),"", not(iserror(vlookup($A47&amp;$B47,'3) Release_Label'!$D:$D&amp;'3) Release_Label'!$E:$E,1,0))),vlookup($A47&amp;$B47,{'3) Release_Label'!$D:$D&amp;'3) Release_Label'!$E:$E,'3) Release_Label'!$H:$H},2,0), or(and(not(isblank($B47)),$B47=$B46,$A47&lt;&gt;$A46),and(not(isblank($A47)),$A47=$A46,$B47&lt;&gt;$B46)),"ID LISTS UNALIGNED",and($A47&lt;&gt;"",countif('3) Release_Label'!$D:$D,$A47)=0),"NO UPC MATCH in Release_Label",and($B47&lt;&gt;"",countif('3) Release_Label'!$E:$E,$B47)=0),"NO CATALOG ID MATCH in Release_Label",iserror(vlookup($A47&amp;$B47,'3) Release_Label'!$D:$D&amp;'3) Release_Label'!$E:$E,1,0)),"NO UPC-CATALOG ID pair MATCH in Release_Label" )</f>
        <v/>
      </c>
      <c r="E47" s="44" t="s">
        <v>51</v>
      </c>
      <c r="F47" s="8" t="s">
        <v>325</v>
      </c>
      <c r="G47" s="123" t="str">
        <f t="array" ref="G47">ifs(or($F47="",$F47="Main Primary Artist"),$F47,not(iserror(vlookup($F47,'Reference info'!$J$5:$J$8,1,0))),"Key Artist",not(iserror(vlookup($F47,'Reference info'!$J$38:$J$405,1,0))),"Performer",not(iserror(vlookup($F47,'Reference info'!$J$10:$J$36,1,0))),"Producer &amp; Engineer")</f>
        <v>Key Artist</v>
      </c>
    </row>
    <row r="48">
      <c r="A48" s="119">
        <v>9.995964356712E12</v>
      </c>
      <c r="B48" s="103"/>
      <c r="C48" s="121" t="str">
        <f t="array" ref="C48">ifs(and(isblank($A48),isblank($B48)),"", not(iserror(vlookup($A48&amp;$B48,'3) Release_Label'!$D:$D&amp;'3) Release_Label'!$E:$E,1,0))),vlookup($A48&amp;$B48,{'3) Release_Label'!$D:$D&amp;'3) Release_Label'!$E:$E,'3) Release_Label'!$F:$F},2,0), or(and(not(isblank($B48)),$B48=#REF!,$A48&lt;&gt;#REF!),and(not(isblank($A48)),$A48=#REF!,$B48&lt;&gt;#REF!)),"ID LISTS UNALIGNED",and($A48&lt;&gt;"",countif('3) Release_Label'!$D:$D,$A48)=0),"NO UPC MATCH in Release_Label",and($B48&lt;&gt;"",countif('3) Release_Label'!$E:$E,$B48)=0),"NO CATALOG ID MATCH in Release_Label",iserror(vlookup($A48&amp;$B48,'3) Release_Label'!$D:$D&amp;'3) Release_Label'!$E:$E,1,0)),"NO UPC-CATALOG ID pair MATCH in Release_Label" )</f>
        <v>Maavan (From "Daana Paani" Soundtrack)</v>
      </c>
      <c r="D48" s="121" t="str">
        <f t="array" ref="D48">ifs(and(isblank($A48),isblank($B48)),"", not(iserror(vlookup($A48&amp;$B48,'3) Release_Label'!$D:$D&amp;'3) Release_Label'!$E:$E,1,0))),vlookup($A48&amp;$B48,{'3) Release_Label'!$D:$D&amp;'3) Release_Label'!$E:$E,'3) Release_Label'!$H:$H},2,0), or(and(not(isblank($B48)),$B48=#REF!,$A48&lt;&gt;#REF!),and(not(isblank($A48)),$A48=#REF!,$B48&lt;&gt;#REF!)),"ID LISTS UNALIGNED",and($A48&lt;&gt;"",countif('3) Release_Label'!$D:$D,$A48)=0),"NO UPC MATCH in Release_Label",and($B48&lt;&gt;"",countif('3) Release_Label'!$E:$E,$B48)=0),"NO CATALOG ID MATCH in Release_Label",iserror(vlookup($A48&amp;$B48,'3) Release_Label'!$D:$D&amp;'3) Release_Label'!$E:$E,1,0)),"NO UPC-CATALOG ID pair MATCH in Release_Label" )</f>
        <v/>
      </c>
      <c r="E48" s="50" t="s">
        <v>77</v>
      </c>
      <c r="F48" s="8" t="s">
        <v>323</v>
      </c>
      <c r="G48" s="123" t="str">
        <f t="array" ref="G48">ifs(or($F48="",$F48="Main Primary Artist"),$F48,not(iserror(vlookup($F48,'Reference info'!$J$5:$J$8,1,0))),"Key Artist",not(iserror(vlookup($F48,'Reference info'!$J$38:$J$405,1,0))),"Performer",not(iserror(vlookup($F48,'Reference info'!$J$10:$J$36,1,0))),"Producer &amp; Engineer")</f>
        <v>Main Primary Artist</v>
      </c>
    </row>
    <row r="49">
      <c r="A49" s="119">
        <v>9.995964356712E12</v>
      </c>
      <c r="B49" s="103"/>
      <c r="C49" s="121" t="str">
        <f t="array" ref="C49">ifs(and(isblank($A49),isblank($B49)),"", not(iserror(vlookup($A49&amp;$B49,'3) Release_Label'!$D:$D&amp;'3) Release_Label'!$E:$E,1,0))),vlookup($A49&amp;$B49,{'3) Release_Label'!$D:$D&amp;'3) Release_Label'!$E:$E,'3) Release_Label'!$F:$F},2,0), or(and(not(isblank($B49)),$B49=$B48,$A49&lt;&gt;$A48),and(not(isblank($A49)),$A49=$A48,$B49&lt;&gt;$B48)),"ID LISTS UNALIGNED",and($A49&lt;&gt;"",countif('3) Release_Label'!$D:$D,$A49)=0),"NO UPC MATCH in Release_Label",and($B49&lt;&gt;"",countif('3) Release_Label'!$E:$E,$B49)=0),"NO CATALOG ID MATCH in Release_Label",iserror(vlookup($A49&amp;$B49,'3) Release_Label'!$D:$D&amp;'3) Release_Label'!$E:$E,1,0)),"NO UPC-CATALOG ID pair MATCH in Release_Label" )</f>
        <v>Maavan (From "Daana Paani" Soundtrack)</v>
      </c>
      <c r="D49" s="121" t="str">
        <f t="array" ref="D49">ifs(and(isblank($A49),isblank($B49)),"", not(iserror(vlookup($A49&amp;$B49,'3) Release_Label'!$D:$D&amp;'3) Release_Label'!$E:$E,1,0))),vlookup($A49&amp;$B49,{'3) Release_Label'!$D:$D&amp;'3) Release_Label'!$E:$E,'3) Release_Label'!$H:$H},2,0), or(and(not(isblank($B49)),$B49=$B48,$A49&lt;&gt;$A48),and(not(isblank($A49)),$A49=$A48,$B49&lt;&gt;$B48)),"ID LISTS UNALIGNED",and($A49&lt;&gt;"",countif('3) Release_Label'!$D:$D,$A49)=0),"NO UPC MATCH in Release_Label",and($B49&lt;&gt;"",countif('3) Release_Label'!$E:$E,$B49)=0),"NO CATALOG ID MATCH in Release_Label",iserror(vlookup($A49&amp;$B49,'3) Release_Label'!$D:$D&amp;'3) Release_Label'!$E:$E,1,0)),"NO UPC-CATALOG ID pair MATCH in Release_Label" )</f>
        <v/>
      </c>
      <c r="E49" s="128" t="s">
        <v>73</v>
      </c>
      <c r="F49" s="8" t="s">
        <v>325</v>
      </c>
      <c r="G49" s="123" t="str">
        <f t="array" ref="G49">ifs(or($F49="",$F49="Main Primary Artist"),$F49,not(iserror(vlookup($F49,'Reference info'!$J$5:$J$8,1,0))),"Key Artist",not(iserror(vlookup($F49,'Reference info'!$J$38:$J$405,1,0))),"Performer",not(iserror(vlookup($F49,'Reference info'!$J$10:$J$36,1,0))),"Producer &amp; Engineer")</f>
        <v>Key Artist</v>
      </c>
    </row>
    <row r="50">
      <c r="A50" s="119">
        <v>9.995964332129E12</v>
      </c>
      <c r="B50" s="103"/>
      <c r="C50" s="121" t="str">
        <f t="array" ref="C50">ifs(and(isblank($A50),isblank($B50)),"", not(iserror(vlookup($A50&amp;$B50,'3) Release_Label'!$D:$D&amp;'3) Release_Label'!$E:$E,1,0))),vlookup($A50&amp;$B50,{'3) Release_Label'!$D:$D&amp;'3) Release_Label'!$E:$E,'3) Release_Label'!$F:$F},2,0), or(and(not(isblank($B50)),$B50=$B49,$A50&lt;&gt;$A49),and(not(isblank($A50)),$A50=$A49,$B50&lt;&gt;$B49)),"ID LISTS UNALIGNED",and($A50&lt;&gt;"",countif('3) Release_Label'!$D:$D,$A50)=0),"NO UPC MATCH in Release_Label",and($B50&lt;&gt;"",countif('3) Release_Label'!$E:$E,$B50)=0),"NO CATALOG ID MATCH in Release_Label",iserror(vlookup($A50&amp;$B50,'3) Release_Label'!$D:$D&amp;'3) Release_Label'!$E:$E,1,0)),"NO UPC-CATALOG ID pair MATCH in Release_Label" )</f>
        <v>Manak Di Kali (From "Bhalwan Singh" Soundtrack) [with Jatinder Shah]</v>
      </c>
      <c r="D50" s="121" t="str">
        <f t="array" ref="D50">ifs(and(isblank($A50),isblank($B50)),"", not(iserror(vlookup($A50&amp;$B50,'3) Release_Label'!$D:$D&amp;'3) Release_Label'!$E:$E,1,0))),vlookup($A50&amp;$B50,{'3) Release_Label'!$D:$D&amp;'3) Release_Label'!$E:$E,'3) Release_Label'!$H:$H},2,0), or(and(not(isblank($B50)),$B50=$B49,$A50&lt;&gt;$A49),and(not(isblank($A50)),$A50=$A49,$B50&lt;&gt;$B49)),"ID LISTS UNALIGNED",and($A50&lt;&gt;"",countif('3) Release_Label'!$D:$D,$A50)=0),"NO UPC MATCH in Release_Label",and($B50&lt;&gt;"",countif('3) Release_Label'!$E:$E,$B50)=0),"NO CATALOG ID MATCH in Release_Label",iserror(vlookup($A50&amp;$B50,'3) Release_Label'!$D:$D&amp;'3) Release_Label'!$E:$E,1,0)),"NO UPC-CATALOG ID pair MATCH in Release_Label" )</f>
        <v/>
      </c>
      <c r="E50" s="128" t="s">
        <v>42</v>
      </c>
      <c r="F50" s="8" t="s">
        <v>323</v>
      </c>
      <c r="G50" s="123" t="str">
        <f t="array" ref="G50">ifs(or($F50="",$F50="Main Primary Artist"),$F50,not(iserror(vlookup($F50,'Reference info'!$J$5:$J$8,1,0))),"Key Artist",not(iserror(vlookup($F50,'Reference info'!$J$38:$J$405,1,0))),"Performer",not(iserror(vlookup($F50,'Reference info'!$J$10:$J$36,1,0))),"Producer &amp; Engineer")</f>
        <v>Main Primary Artist</v>
      </c>
    </row>
    <row r="51">
      <c r="A51" s="119">
        <v>9.995964332129E12</v>
      </c>
      <c r="B51" s="103"/>
      <c r="C51" s="121" t="str">
        <f t="array" ref="C51">ifs(and(isblank($A51),isblank($B51)),"", not(iserror(vlookup($A51&amp;$B51,'3) Release_Label'!$D:$D&amp;'3) Release_Label'!$E:$E,1,0))),vlookup($A51&amp;$B51,{'3) Release_Label'!$D:$D&amp;'3) Release_Label'!$E:$E,'3) Release_Label'!$F:$F},2,0), or(and(not(isblank($B51)),$B51=$B50,$A51&lt;&gt;$A50),and(not(isblank($A51)),$A51=$A50,$B51&lt;&gt;$B50)),"ID LISTS UNALIGNED",and($A51&lt;&gt;"",countif('3) Release_Label'!$D:$D,$A51)=0),"NO UPC MATCH in Release_Label",and($B51&lt;&gt;"",countif('3) Release_Label'!$E:$E,$B51)=0),"NO CATALOG ID MATCH in Release_Label",iserror(vlookup($A51&amp;$B51,'3) Release_Label'!$D:$D&amp;'3) Release_Label'!$E:$E,1,0)),"NO UPC-CATALOG ID pair MATCH in Release_Label" )</f>
        <v>Manak Di Kali (From "Bhalwan Singh" Soundtrack) [with Jatinder Shah]</v>
      </c>
      <c r="D51" s="121" t="str">
        <f t="array" ref="D51">ifs(and(isblank($A51),isblank($B51)),"", not(iserror(vlookup($A51&amp;$B51,'3) Release_Label'!$D:$D&amp;'3) Release_Label'!$E:$E,1,0))),vlookup($A51&amp;$B51,{'3) Release_Label'!$D:$D&amp;'3) Release_Label'!$E:$E,'3) Release_Label'!$H:$H},2,0), or(and(not(isblank($B51)),$B51=$B50,$A51&lt;&gt;$A50),and(not(isblank($A51)),$A51=$A50,$B51&lt;&gt;$B50)),"ID LISTS UNALIGNED",and($A51&lt;&gt;"",countif('3) Release_Label'!$D:$D,$A51)=0),"NO UPC MATCH in Release_Label",and($B51&lt;&gt;"",countif('3) Release_Label'!$E:$E,$B51)=0),"NO CATALOG ID MATCH in Release_Label",iserror(vlookup($A51&amp;$B51,'3) Release_Label'!$D:$D&amp;'3) Release_Label'!$E:$E,1,0)),"NO UPC-CATALOG ID pair MATCH in Release_Label" )</f>
        <v/>
      </c>
      <c r="E51" s="128" t="s">
        <v>51</v>
      </c>
      <c r="F51" s="8" t="s">
        <v>325</v>
      </c>
      <c r="G51" s="123" t="str">
        <f t="array" ref="G51">ifs(or($F51="",$F51="Main Primary Artist"),$F51,not(iserror(vlookup($F51,'Reference info'!$J$5:$J$8,1,0))),"Key Artist",not(iserror(vlookup($F51,'Reference info'!$J$38:$J$405,1,0))),"Performer",not(iserror(vlookup($F51,'Reference info'!$J$10:$J$36,1,0))),"Producer &amp; Engineer")</f>
        <v>Key Artist</v>
      </c>
    </row>
    <row r="52">
      <c r="A52" s="119">
        <v>9.995964320355E12</v>
      </c>
      <c r="B52" s="103"/>
      <c r="C52" s="121" t="str">
        <f t="array" ref="C52">ifs(and(isblank($A52),isblank($B52)),"", not(iserror(vlookup($A52&amp;$B52,'3) Release_Label'!$D:$D&amp;'3) Release_Label'!$E:$E,1,0))),vlookup($A52&amp;$B52,{'3) Release_Label'!$D:$D&amp;'3) Release_Label'!$E:$E,'3) Release_Label'!$F:$F},2,0), or(and(not(isblank($B52)),$B52=$B51,$A52&lt;&gt;$A51),and(not(isblank($A52)),$A52=$A51,$B52&lt;&gt;$B51)),"ID LISTS UNALIGNED",and($A52&lt;&gt;"",countif('3) Release_Label'!$D:$D,$A52)=0),"NO UPC MATCH in Release_Label",and($B52&lt;&gt;"",countif('3) Release_Label'!$E:$E,$B52)=0),"NO CATALOG ID MATCH in Release_Label",iserror(vlookup($A52&amp;$B52,'3) Release_Label'!$D:$D&amp;'3) Release_Label'!$E:$E,1,0)),"NO UPC-CATALOG ID pair MATCH in Release_Label" )</f>
        <v>Milne Di Rutt</v>
      </c>
      <c r="D52" s="121" t="str">
        <f t="array" ref="D52">ifs(and(isblank($A52),isblank($B52)),"", not(iserror(vlookup($A52&amp;$B52,'3) Release_Label'!$D:$D&amp;'3) Release_Label'!$E:$E,1,0))),vlookup($A52&amp;$B52,{'3) Release_Label'!$D:$D&amp;'3) Release_Label'!$E:$E,'3) Release_Label'!$H:$H},2,0), or(and(not(isblank($B52)),$B52=$B51,$A52&lt;&gt;$A51),and(not(isblank($A52)),$A52=$A51,$B52&lt;&gt;$B51)),"ID LISTS UNALIGNED",and($A52&lt;&gt;"",countif('3) Release_Label'!$D:$D,$A52)=0),"NO UPC MATCH in Release_Label",and($B52&lt;&gt;"",countif('3) Release_Label'!$E:$E,$B52)=0),"NO CATALOG ID MATCH in Release_Label",iserror(vlookup($A52&amp;$B52,'3) Release_Label'!$D:$D&amp;'3) Release_Label'!$E:$E,1,0)),"NO UPC-CATALOG ID pair MATCH in Release_Label" )</f>
        <v/>
      </c>
      <c r="E52" s="128" t="s">
        <v>57</v>
      </c>
      <c r="F52" s="8" t="s">
        <v>323</v>
      </c>
      <c r="G52" s="123" t="str">
        <f t="array" ref="G52">ifs(or($F52="",$F52="Main Primary Artist"),$F52,not(iserror(vlookup($F52,'Reference info'!$J$5:$J$8,1,0))),"Key Artist",not(iserror(vlookup($F52,'Reference info'!$J$38:$J$405,1,0))),"Performer",not(iserror(vlookup($F52,'Reference info'!$J$10:$J$36,1,0))),"Producer &amp; Engineer")</f>
        <v>Main Primary Artist</v>
      </c>
    </row>
    <row r="53">
      <c r="A53" s="119">
        <v>9.995964320355E12</v>
      </c>
      <c r="B53" s="103"/>
      <c r="C53" s="121" t="str">
        <f t="array" ref="C53">ifs(and(isblank($A53),isblank($B53)),"", not(iserror(vlookup($A53&amp;$B53,'3) Release_Label'!$D:$D&amp;'3) Release_Label'!$E:$E,1,0))),vlookup($A53&amp;$B53,{'3) Release_Label'!$D:$D&amp;'3) Release_Label'!$E:$E,'3) Release_Label'!$F:$F},2,0), or(and(not(isblank($B53)),$B53=$B52,$A53&lt;&gt;$A52),and(not(isblank($A53)),$A53=$A52,$B53&lt;&gt;$B52)),"ID LISTS UNALIGNED",and($A53&lt;&gt;"",countif('3) Release_Label'!$D:$D,$A53)=0),"NO UPC MATCH in Release_Label",and($B53&lt;&gt;"",countif('3) Release_Label'!$E:$E,$B53)=0),"NO CATALOG ID MATCH in Release_Label",iserror(vlookup($A53&amp;$B53,'3) Release_Label'!$D:$D&amp;'3) Release_Label'!$E:$E,1,0)),"NO UPC-CATALOG ID pair MATCH in Release_Label" )</f>
        <v>Milne Di Rutt</v>
      </c>
      <c r="D53" s="121" t="str">
        <f t="array" ref="D53">ifs(and(isblank($A53),isblank($B53)),"", not(iserror(vlookup($A53&amp;$B53,'3) Release_Label'!$D:$D&amp;'3) Release_Label'!$E:$E,1,0))),vlookup($A53&amp;$B53,{'3) Release_Label'!$D:$D&amp;'3) Release_Label'!$E:$E,'3) Release_Label'!$H:$H},2,0), or(and(not(isblank($B53)),$B53=$B52,$A53&lt;&gt;$A52),and(not(isblank($A53)),$A53=$A52,$B53&lt;&gt;$B52)),"ID LISTS UNALIGNED",and($A53&lt;&gt;"",countif('3) Release_Label'!$D:$D,$A53)=0),"NO UPC MATCH in Release_Label",and($B53&lt;&gt;"",countif('3) Release_Label'!$E:$E,$B53)=0),"NO CATALOG ID MATCH in Release_Label",iserror(vlookup($A53&amp;$B53,'3) Release_Label'!$D:$D&amp;'3) Release_Label'!$E:$E,1,0)),"NO UPC-CATALOG ID pair MATCH in Release_Label" )</f>
        <v/>
      </c>
      <c r="E53" s="128" t="s">
        <v>79</v>
      </c>
      <c r="F53" s="8" t="s">
        <v>325</v>
      </c>
      <c r="G53" s="123" t="str">
        <f t="array" ref="G53">ifs(or($F53="",$F53="Main Primary Artist"),$F53,not(iserror(vlookup($F53,'Reference info'!$J$5:$J$8,1,0))),"Key Artist",not(iserror(vlookup($F53,'Reference info'!$J$38:$J$405,1,0))),"Performer",not(iserror(vlookup($F53,'Reference info'!$J$10:$J$36,1,0))),"Producer &amp; Engineer")</f>
        <v>Key Artist</v>
      </c>
    </row>
    <row r="54">
      <c r="A54" s="119">
        <v>9.99596433132E12</v>
      </c>
      <c r="B54" s="103"/>
      <c r="C54" s="121" t="str">
        <f t="array" ref="C54">ifs(and(isblank($A54),isblank($B54)),"", not(iserror(vlookup($A54&amp;$B54,'3) Release_Label'!$D:$D&amp;'3) Release_Label'!$E:$E,1,0))),vlookup($A54&amp;$B54,{'3) Release_Label'!$D:$D&amp;'3) Release_Label'!$E:$E,'3) Release_Label'!$F:$F},2,0), or(and(not(isblank($B54)),$B54=$B53,$A54&lt;&gt;$A53),and(not(isblank($A54)),$A54=$A53,$B54&lt;&gt;$B53)),"ID LISTS UNALIGNED",and($A54&lt;&gt;"",countif('3) Release_Label'!$D:$D,$A54)=0),"NO UPC MATCH in Release_Label",and($B54&lt;&gt;"",countif('3) Release_Label'!$E:$E,$B54)=0),"NO CATALOG ID MATCH in Release_Label",iserror(vlookup($A54&amp;$B54,'3) Release_Label'!$D:$D&amp;'3) Release_Label'!$E:$E,1,0)),"NO UPC-CATALOG ID pair MATCH in Release_Label" )</f>
        <v>Noonh Labhni (From "Vekh Baraatan Challiyan" Soundtrack)</v>
      </c>
      <c r="D54" s="121" t="str">
        <f t="array" ref="D54">ifs(and(isblank($A54),isblank($B54)),"", not(iserror(vlookup($A54&amp;$B54,'3) Release_Label'!$D:$D&amp;'3) Release_Label'!$E:$E,1,0))),vlookup($A54&amp;$B54,{'3) Release_Label'!$D:$D&amp;'3) Release_Label'!$E:$E,'3) Release_Label'!$H:$H},2,0), or(and(not(isblank($B54)),$B54=$B53,$A54&lt;&gt;$A53),and(not(isblank($A54)),$A54=$A53,$B54&lt;&gt;$B53)),"ID LISTS UNALIGNED",and($A54&lt;&gt;"",countif('3) Release_Label'!$D:$D,$A54)=0),"NO UPC MATCH in Release_Label",and($B54&lt;&gt;"",countif('3) Release_Label'!$E:$E,$B54)=0),"NO CATALOG ID MATCH in Release_Label",iserror(vlookup($A54&amp;$B54,'3) Release_Label'!$D:$D&amp;'3) Release_Label'!$E:$E,1,0)),"NO UPC-CATALOG ID pair MATCH in Release_Label" )</f>
        <v/>
      </c>
      <c r="E54" s="128" t="s">
        <v>42</v>
      </c>
      <c r="F54" s="8" t="s">
        <v>323</v>
      </c>
      <c r="G54" s="123" t="str">
        <f t="array" ref="G54">ifs(or($F54="",$F54="Main Primary Artist"),$F54,not(iserror(vlookup($F54,'Reference info'!$J$5:$J$8,1,0))),"Key Artist",not(iserror(vlookup($F54,'Reference info'!$J$38:$J$405,1,0))),"Performer",not(iserror(vlookup($F54,'Reference info'!$J$10:$J$36,1,0))),"Producer &amp; Engineer")</f>
        <v>Main Primary Artist</v>
      </c>
    </row>
    <row r="55">
      <c r="A55" s="119">
        <v>9.99596433132E12</v>
      </c>
      <c r="B55" s="103"/>
      <c r="C55" s="121" t="str">
        <f t="array" ref="C55">ifs(and(isblank($A55),isblank($B55)),"", not(iserror(vlookup($A55&amp;$B55,'3) Release_Label'!$D:$D&amp;'3) Release_Label'!$E:$E,1,0))),vlookup($A55&amp;$B55,{'3) Release_Label'!$D:$D&amp;'3) Release_Label'!$E:$E,'3) Release_Label'!$F:$F},2,0), or(and(not(isblank($B55)),$B55=$B54,$A55&lt;&gt;$A54),and(not(isblank($A55)),$A55=$A54,$B55&lt;&gt;$B54)),"ID LISTS UNALIGNED",and($A55&lt;&gt;"",countif('3) Release_Label'!$D:$D,$A55)=0),"NO UPC MATCH in Release_Label",and($B55&lt;&gt;"",countif('3) Release_Label'!$E:$E,$B55)=0),"NO CATALOG ID MATCH in Release_Label",iserror(vlookup($A55&amp;$B55,'3) Release_Label'!$D:$D&amp;'3) Release_Label'!$E:$E,1,0)),"NO UPC-CATALOG ID pair MATCH in Release_Label" )</f>
        <v>Noonh Labhni (From "Vekh Baraatan Challiyan" Soundtrack)</v>
      </c>
      <c r="D55" s="121" t="str">
        <f t="array" ref="D55">ifs(and(isblank($A55),isblank($B55)),"", not(iserror(vlookup($A55&amp;$B55,'3) Release_Label'!$D:$D&amp;'3) Release_Label'!$E:$E,1,0))),vlookup($A55&amp;$B55,{'3) Release_Label'!$D:$D&amp;'3) Release_Label'!$E:$E,'3) Release_Label'!$H:$H},2,0), or(and(not(isblank($B55)),$B55=$B54,$A55&lt;&gt;$A54),and(not(isblank($A55)),$A55=$A54,$B55&lt;&gt;$B54)),"ID LISTS UNALIGNED",and($A55&lt;&gt;"",countif('3) Release_Label'!$D:$D,$A55)=0),"NO UPC MATCH in Release_Label",and($B55&lt;&gt;"",countif('3) Release_Label'!$E:$E,$B55)=0),"NO CATALOG ID MATCH in Release_Label",iserror(vlookup($A55&amp;$B55,'3) Release_Label'!$D:$D&amp;'3) Release_Label'!$E:$E,1,0)),"NO UPC-CATALOG ID pair MATCH in Release_Label" )</f>
        <v/>
      </c>
      <c r="E55" s="128" t="s">
        <v>47</v>
      </c>
      <c r="F55" s="8" t="s">
        <v>325</v>
      </c>
      <c r="G55" s="123" t="str">
        <f t="array" ref="G55">ifs(or($F55="",$F55="Main Primary Artist"),$F55,not(iserror(vlookup($F55,'Reference info'!$J$5:$J$8,1,0))),"Key Artist",not(iserror(vlookup($F55,'Reference info'!$J$38:$J$405,1,0))),"Performer",not(iserror(vlookup($F55,'Reference info'!$J$10:$J$36,1,0))),"Producer &amp; Engineer")</f>
        <v>Key Artist</v>
      </c>
    </row>
    <row r="56">
      <c r="A56" s="119">
        <v>9.995964313159E12</v>
      </c>
      <c r="B56" s="103"/>
      <c r="C56" s="121" t="str">
        <f t="array" ref="C56">ifs(and(isblank($A56),isblank($B56)),"", not(iserror(vlookup($A56&amp;$B56,'3) Release_Label'!$D:$D&amp;'3) Release_Label'!$E:$E,1,0))),vlookup($A56&amp;$B56,{'3) Release_Label'!$D:$D&amp;'3) Release_Label'!$E:$E,'3) Release_Label'!$F:$F},2,0), or(and(not(isblank($B56)),$B56=$B55,$A56&lt;&gt;$A55),and(not(isblank($A56)),$A56=$A55,$B56&lt;&gt;$B55)),"ID LISTS UNALIGNED",and($A56&lt;&gt;"",countif('3) Release_Label'!$D:$D,$A56)=0),"NO UPC MATCH in Release_Label",and($B56&lt;&gt;"",countif('3) Release_Label'!$E:$E,$B56)=0),"NO CATALOG ID MATCH in Release_Label",iserror(vlookup($A56&amp;$B56,'3) Release_Label'!$D:$D&amp;'3) Release_Label'!$E:$E,1,0)),"NO UPC-CATALOG ID pair MATCH in Release_Label" )</f>
        <v>Paani</v>
      </c>
      <c r="D56" s="121" t="str">
        <f t="array" ref="D56">ifs(and(isblank($A56),isblank($B56)),"", not(iserror(vlookup($A56&amp;$B56,'3) Release_Label'!$D:$D&amp;'3) Release_Label'!$E:$E,1,0))),vlookup($A56&amp;$B56,{'3) Release_Label'!$D:$D&amp;'3) Release_Label'!$E:$E,'3) Release_Label'!$H:$H},2,0), or(and(not(isblank($B56)),$B56=$B55,$A56&lt;&gt;$A55),and(not(isblank($A56)),$A56=$A55,$B56&lt;&gt;$B55)),"ID LISTS UNALIGNED",and($A56&lt;&gt;"",countif('3) Release_Label'!$D:$D,$A56)=0),"NO UPC MATCH in Release_Label",and($B56&lt;&gt;"",countif('3) Release_Label'!$E:$E,$B56)=0),"NO CATALOG ID MATCH in Release_Label",iserror(vlookup($A56&amp;$B56,'3) Release_Label'!$D:$D&amp;'3) Release_Label'!$E:$E,1,0)),"NO UPC-CATALOG ID pair MATCH in Release_Label" )</f>
        <v/>
      </c>
      <c r="E56" s="128" t="s">
        <v>81</v>
      </c>
      <c r="F56" s="8" t="s">
        <v>323</v>
      </c>
      <c r="G56" s="123" t="str">
        <f t="array" ref="G56">ifs(or($F56="",$F56="Main Primary Artist"),$F56,not(iserror(vlookup($F56,'Reference info'!$J$5:$J$8,1,0))),"Key Artist",not(iserror(vlookup($F56,'Reference info'!$J$38:$J$405,1,0))),"Performer",not(iserror(vlookup($F56,'Reference info'!$J$10:$J$36,1,0))),"Producer &amp; Engineer")</f>
        <v>Main Primary Artist</v>
      </c>
    </row>
    <row r="57">
      <c r="A57" s="119">
        <v>9.995964313159E12</v>
      </c>
      <c r="B57" s="103"/>
      <c r="C57" s="121" t="str">
        <f t="array" ref="C57">ifs(and(isblank($A57),isblank($B57)),"", not(iserror(vlookup($A57&amp;$B57,'3) Release_Label'!$D:$D&amp;'3) Release_Label'!$E:$E,1,0))),vlookup($A57&amp;$B57,{'3) Release_Label'!$D:$D&amp;'3) Release_Label'!$E:$E,'3) Release_Label'!$F:$F},2,0), or(and(not(isblank($B57)),$B57=$B56,$A57&lt;&gt;$A56),and(not(isblank($A57)),$A57=$A56,$B57&lt;&gt;$B56)),"ID LISTS UNALIGNED",and($A57&lt;&gt;"",countif('3) Release_Label'!$D:$D,$A57)=0),"NO UPC MATCH in Release_Label",and($B57&lt;&gt;"",countif('3) Release_Label'!$E:$E,$B57)=0),"NO CATALOG ID MATCH in Release_Label",iserror(vlookup($A57&amp;$B57,'3) Release_Label'!$D:$D&amp;'3) Release_Label'!$E:$E,1,0)),"NO UPC-CATALOG ID pair MATCH in Release_Label" )</f>
        <v>Paani</v>
      </c>
      <c r="D57" s="121" t="str">
        <f t="array" ref="D57">ifs(and(isblank($A57),isblank($B57)),"", not(iserror(vlookup($A57&amp;$B57,'3) Release_Label'!$D:$D&amp;'3) Release_Label'!$E:$E,1,0))),vlookup($A57&amp;$B57,{'3) Release_Label'!$D:$D&amp;'3) Release_Label'!$E:$E,'3) Release_Label'!$H:$H},2,0), or(and(not(isblank($B57)),$B57=$B56,$A57&lt;&gt;$A56),and(not(isblank($A57)),$A57=$A56,$B57&lt;&gt;$B56)),"ID LISTS UNALIGNED",and($A57&lt;&gt;"",countif('3) Release_Label'!$D:$D,$A57)=0),"NO UPC MATCH in Release_Label",and($B57&lt;&gt;"",countif('3) Release_Label'!$E:$E,$B57)=0),"NO CATALOG ID MATCH in Release_Label",iserror(vlookup($A57&amp;$B57,'3) Release_Label'!$D:$D&amp;'3) Release_Label'!$E:$E,1,0)),"NO UPC-CATALOG ID pair MATCH in Release_Label" )</f>
        <v/>
      </c>
      <c r="E57" s="128" t="s">
        <v>83</v>
      </c>
      <c r="F57" s="8" t="s">
        <v>331</v>
      </c>
      <c r="G57" s="123" t="str">
        <f t="array" ref="G57">ifs(or($F57="",$F57="Main Primary Artist"),$F57,not(iserror(vlookup($F57,'Reference info'!$J$5:$J$8,1,0))),"Key Artist",not(iserror(vlookup($F57,'Reference info'!$J$38:$J$405,1,0))),"Performer",not(iserror(vlookup($F57,'Reference info'!$J$10:$J$36,1,0))),"Producer &amp; Engineer")</f>
        <v>Key Artist</v>
      </c>
    </row>
    <row r="58">
      <c r="A58" s="119">
        <v>9.99596433059E12</v>
      </c>
      <c r="B58" s="103"/>
      <c r="C58" s="121" t="str">
        <f t="array" ref="C58">ifs(and(isblank($A58),isblank($B58)),"", not(iserror(vlookup($A58&amp;$B58,'3) Release_Label'!$D:$D&amp;'3) Release_Label'!$E:$E,1,0))),vlookup($A58&amp;$B58,{'3) Release_Label'!$D:$D&amp;'3) Release_Label'!$E:$E,'3) Release_Label'!$F:$F},2,0), or(and(not(isblank($B58)),$B58=$B57,$A58&lt;&gt;$A57),and(not(isblank($A58)),$A58=$A57,$B58&lt;&gt;$B57)),"ID LISTS UNALIGNED",and($A58&lt;&gt;"",countif('3) Release_Label'!$D:$D,$A58)=0),"NO UPC MATCH in Release_Label",and($B58&lt;&gt;"",countif('3) Release_Label'!$E:$E,$B58)=0),"NO CATALOG ID MATCH in Release_Label",iserror(vlookup($A58&amp;$B58,'3) Release_Label'!$D:$D&amp;'3) Release_Label'!$E:$E,1,0)),"NO UPC-CATALOG ID pair MATCH in Release_Label" )</f>
        <v>Paani Raavi Da (From "Lahoriye" Soundtrack)</v>
      </c>
      <c r="D58" s="121" t="str">
        <f t="array" ref="D58">ifs(and(isblank($A58),isblank($B58)),"", not(iserror(vlookup($A58&amp;$B58,'3) Release_Label'!$D:$D&amp;'3) Release_Label'!$E:$E,1,0))),vlookup($A58&amp;$B58,{'3) Release_Label'!$D:$D&amp;'3) Release_Label'!$E:$E,'3) Release_Label'!$H:$H},2,0), or(and(not(isblank($B58)),$B58=$B57,$A58&lt;&gt;$A57),and(not(isblank($A58)),$A58=$A57,$B58&lt;&gt;$B57)),"ID LISTS UNALIGNED",and($A58&lt;&gt;"",countif('3) Release_Label'!$D:$D,$A58)=0),"NO UPC MATCH in Release_Label",and($B58&lt;&gt;"",countif('3) Release_Label'!$E:$E,$B58)=0),"NO CATALOG ID MATCH in Release_Label",iserror(vlookup($A58&amp;$B58,'3) Release_Label'!$D:$D&amp;'3) Release_Label'!$E:$E,1,0)),"NO UPC-CATALOG ID pair MATCH in Release_Label" )</f>
        <v/>
      </c>
      <c r="E58" s="128" t="s">
        <v>85</v>
      </c>
      <c r="F58" s="8" t="s">
        <v>323</v>
      </c>
      <c r="G58" s="123" t="str">
        <f t="array" ref="G58">ifs(or($F58="",$F58="Main Primary Artist"),$F58,not(iserror(vlookup($F58,'Reference info'!$J$5:$J$8,1,0))),"Key Artist",not(iserror(vlookup($F58,'Reference info'!$J$38:$J$405,1,0))),"Performer",not(iserror(vlookup($F58,'Reference info'!$J$10:$J$36,1,0))),"Producer &amp; Engineer")</f>
        <v>Main Primary Artist</v>
      </c>
    </row>
    <row r="59">
      <c r="A59" s="119">
        <v>9.99596433059E12</v>
      </c>
      <c r="B59" s="103"/>
      <c r="C59" s="121" t="str">
        <f t="array" ref="C59">ifs(and(isblank($A59),isblank($B59)),"", not(iserror(vlookup($A59&amp;$B59,'3) Release_Label'!$D:$D&amp;'3) Release_Label'!$E:$E,1,0))),vlookup($A59&amp;$B59,{'3) Release_Label'!$D:$D&amp;'3) Release_Label'!$E:$E,'3) Release_Label'!$F:$F},2,0), or(and(not(isblank($B59)),$B59=$B58,$A59&lt;&gt;$A58),and(not(isblank($A59)),$A59=$A58,$B59&lt;&gt;$B58)),"ID LISTS UNALIGNED",and($A59&lt;&gt;"",countif('3) Release_Label'!$D:$D,$A59)=0),"NO UPC MATCH in Release_Label",and($B59&lt;&gt;"",countif('3) Release_Label'!$E:$E,$B59)=0),"NO CATALOG ID MATCH in Release_Label",iserror(vlookup($A59&amp;$B59,'3) Release_Label'!$D:$D&amp;'3) Release_Label'!$E:$E,1,0)),"NO UPC-CATALOG ID pair MATCH in Release_Label" )</f>
        <v>Paani Raavi Da (From "Lahoriye" Soundtrack)</v>
      </c>
      <c r="D59" s="121" t="str">
        <f t="array" ref="D59">ifs(and(isblank($A59),isblank($B59)),"", not(iserror(vlookup($A59&amp;$B59,'3) Release_Label'!$D:$D&amp;'3) Release_Label'!$E:$E,1,0))),vlookup($A59&amp;$B59,{'3) Release_Label'!$D:$D&amp;'3) Release_Label'!$E:$E,'3) Release_Label'!$H:$H},2,0), or(and(not(isblank($B59)),$B59=$B58,$A59&lt;&gt;$A58),and(not(isblank($A59)),$A59=$A58,$B59&lt;&gt;$B58)),"ID LISTS UNALIGNED",and($A59&lt;&gt;"",countif('3) Release_Label'!$D:$D,$A59)=0),"NO UPC MATCH in Release_Label",and($B59&lt;&gt;"",countif('3) Release_Label'!$E:$E,$B59)=0),"NO CATALOG ID MATCH in Release_Label",iserror(vlookup($A59&amp;$B59,'3) Release_Label'!$D:$D&amp;'3) Release_Label'!$E:$E,1,0)),"NO UPC-CATALOG ID pair MATCH in Release_Label" )</f>
        <v/>
      </c>
      <c r="E59" s="128" t="s">
        <v>49</v>
      </c>
      <c r="F59" s="8" t="s">
        <v>324</v>
      </c>
      <c r="G59" s="123" t="str">
        <f t="array" ref="G59">ifs(or($F59="",$F59="Main Primary Artist"),$F59,not(iserror(vlookup($F59,'Reference info'!$J$5:$J$8,1,0))),"Key Artist",not(iserror(vlookup($F59,'Reference info'!$J$38:$J$405,1,0))),"Performer",not(iserror(vlookup($F59,'Reference info'!$J$10:$J$36,1,0))),"Producer &amp; Engineer")</f>
        <v>Key Artist</v>
      </c>
    </row>
    <row r="60">
      <c r="A60" s="119">
        <v>9.99596433059E12</v>
      </c>
      <c r="B60" s="103"/>
      <c r="C60" s="121" t="str">
        <f t="array" ref="C60">ifs(and(isblank($A60),isblank($B60)),"", not(iserror(vlookup($A60&amp;$B60,'3) Release_Label'!$D:$D&amp;'3) Release_Label'!$E:$E,1,0))),vlookup($A60&amp;$B60,{'3) Release_Label'!$D:$D&amp;'3) Release_Label'!$E:$E,'3) Release_Label'!$F:$F},2,0), or(and(not(isblank($B60)),$B60=$B59,$A60&lt;&gt;$A59),and(not(isblank($A60)),$A60=$A59,$B60&lt;&gt;$B59)),"ID LISTS UNALIGNED",and($A60&lt;&gt;"",countif('3) Release_Label'!$D:$D,$A60)=0),"NO UPC MATCH in Release_Label",and($B60&lt;&gt;"",countif('3) Release_Label'!$E:$E,$B60)=0),"NO CATALOG ID MATCH in Release_Label",iserror(vlookup($A60&amp;$B60,'3) Release_Label'!$D:$D&amp;'3) Release_Label'!$E:$E,1,0)),"NO UPC-CATALOG ID pair MATCH in Release_Label" )</f>
        <v>Paani Raavi Da (From "Lahoriye" Soundtrack)</v>
      </c>
      <c r="D60" s="121" t="str">
        <f t="array" ref="D60">ifs(and(isblank($A60),isblank($B60)),"", not(iserror(vlookup($A60&amp;$B60,'3) Release_Label'!$D:$D&amp;'3) Release_Label'!$E:$E,1,0))),vlookup($A60&amp;$B60,{'3) Release_Label'!$D:$D&amp;'3) Release_Label'!$E:$E,'3) Release_Label'!$H:$H},2,0), or(and(not(isblank($B60)),$B60=$B59,$A60&lt;&gt;$A59),and(not(isblank($A60)),$A60=$A59,$B60&lt;&gt;$B59)),"ID LISTS UNALIGNED",and($A60&lt;&gt;"",countif('3) Release_Label'!$D:$D,$A60)=0),"NO UPC MATCH in Release_Label",and($B60&lt;&gt;"",countif('3) Release_Label'!$E:$E,$B60)=0),"NO CATALOG ID MATCH in Release_Label",iserror(vlookup($A60&amp;$B60,'3) Release_Label'!$D:$D&amp;'3) Release_Label'!$E:$E,1,0)),"NO UPC-CATALOG ID pair MATCH in Release_Label" )</f>
        <v/>
      </c>
      <c r="E60" s="128" t="s">
        <v>51</v>
      </c>
      <c r="F60" s="8" t="s">
        <v>325</v>
      </c>
      <c r="G60" s="123" t="str">
        <f t="array" ref="G60">ifs(or($F60="",$F60="Main Primary Artist"),$F60,not(iserror(vlookup($F60,'Reference info'!$J$5:$J$8,1,0))),"Key Artist",not(iserror(vlookup($F60,'Reference info'!$J$38:$J$405,1,0))),"Performer",not(iserror(vlookup($F60,'Reference info'!$J$10:$J$36,1,0))),"Producer &amp; Engineer")</f>
        <v>Key Artist</v>
      </c>
    </row>
    <row r="61">
      <c r="A61" s="119">
        <v>9.995964356668E12</v>
      </c>
      <c r="B61" s="103"/>
      <c r="C61" s="121" t="str">
        <f t="array" ref="C61">ifs(and(isblank($A61),isblank($B61)),"", not(iserror(vlookup($A61&amp;$B61,'3) Release_Label'!$D:$D&amp;'3) Release_Label'!$E:$E,1,0))),vlookup($A61&amp;$B61,{'3) Release_Label'!$D:$D&amp;'3) Release_Label'!$E:$E,'3) Release_Label'!$F:$F},2,0), or(and(not(isblank($B61)),$B61=$B60,$A61&lt;&gt;$A60),and(not(isblank($A61)),$A61=$A60,$B61&lt;&gt;$B60)),"ID LISTS UNALIGNED",and($A61&lt;&gt;"",countif('3) Release_Label'!$D:$D,$A61)=0),"NO UPC MATCH in Release_Label",and($B61&lt;&gt;"",countif('3) Release_Label'!$E:$E,$B61)=0),"NO CATALOG ID MATCH in Release_Label",iserror(vlookup($A61&amp;$B61,'3) Release_Label'!$D:$D&amp;'3) Release_Label'!$E:$E,1,0)),"NO UPC-CATALOG ID pair MATCH in Release_Label" )</f>
        <v>Phullan Di Vel (From "Golak Bugni Bank Te Batua" Soundtrack)</v>
      </c>
      <c r="D61" s="121" t="str">
        <f t="array" ref="D61">ifs(and(isblank($A61),isblank($B61)),"", not(iserror(vlookup($A61&amp;$B61,'3) Release_Label'!$D:$D&amp;'3) Release_Label'!$E:$E,1,0))),vlookup($A61&amp;$B61,{'3) Release_Label'!$D:$D&amp;'3) Release_Label'!$E:$E,'3) Release_Label'!$H:$H},2,0), or(and(not(isblank($B61)),$B61=$B60,$A61&lt;&gt;$A60),and(not(isblank($A61)),$A61=$A60,$B61&lt;&gt;$B60)),"ID LISTS UNALIGNED",and($A61&lt;&gt;"",countif('3) Release_Label'!$D:$D,$A61)=0),"NO UPC MATCH in Release_Label",and($B61&lt;&gt;"",countif('3) Release_Label'!$E:$E,$B61)=0),"NO CATALOG ID MATCH in Release_Label",iserror(vlookup($A61&amp;$B61,'3) Release_Label'!$D:$D&amp;'3) Release_Label'!$E:$E,1,0)),"NO UPC-CATALOG ID pair MATCH in Release_Label" )</f>
        <v/>
      </c>
      <c r="E61" s="128" t="s">
        <v>45</v>
      </c>
      <c r="F61" s="8" t="s">
        <v>323</v>
      </c>
      <c r="G61" s="123" t="str">
        <f t="array" ref="G61">ifs(or($F61="",$F61="Main Primary Artist"),$F61,not(iserror(vlookup($F61,'Reference info'!$J$5:$J$8,1,0))),"Key Artist",not(iserror(vlookup($F61,'Reference info'!$J$38:$J$405,1,0))),"Performer",not(iserror(vlookup($F61,'Reference info'!$J$10:$J$36,1,0))),"Producer &amp; Engineer")</f>
        <v>Main Primary Artist</v>
      </c>
    </row>
    <row r="62">
      <c r="A62" s="119">
        <v>9.995964356668E12</v>
      </c>
      <c r="B62" s="103"/>
      <c r="C62" s="121" t="str">
        <f t="array" ref="C62">ifs(and(isblank($A62),isblank($B62)),"", not(iserror(vlookup($A62&amp;$B62,'3) Release_Label'!$D:$D&amp;'3) Release_Label'!$E:$E,1,0))),vlookup($A62&amp;$B62,{'3) Release_Label'!$D:$D&amp;'3) Release_Label'!$E:$E,'3) Release_Label'!$F:$F},2,0), or(and(not(isblank($B62)),$B62=$B61,$A62&lt;&gt;$A61),and(not(isblank($A62)),$A62=$A61,$B62&lt;&gt;$B61)),"ID LISTS UNALIGNED",and($A62&lt;&gt;"",countif('3) Release_Label'!$D:$D,$A62)=0),"NO UPC MATCH in Release_Label",and($B62&lt;&gt;"",countif('3) Release_Label'!$E:$E,$B62)=0),"NO CATALOG ID MATCH in Release_Label",iserror(vlookup($A62&amp;$B62,'3) Release_Label'!$D:$D&amp;'3) Release_Label'!$E:$E,1,0)),"NO UPC-CATALOG ID pair MATCH in Release_Label" )</f>
        <v>Phullan Di Vel (From "Golak Bugni Bank Te Batua" Soundtrack)</v>
      </c>
      <c r="D62" s="121" t="str">
        <f t="array" ref="D62">ifs(and(isblank($A62),isblank($B62)),"", not(iserror(vlookup($A62&amp;$B62,'3) Release_Label'!$D:$D&amp;'3) Release_Label'!$E:$E,1,0))),vlookup($A62&amp;$B62,{'3) Release_Label'!$D:$D&amp;'3) Release_Label'!$E:$E,'3) Release_Label'!$H:$H},2,0), or(and(not(isblank($B62)),$B62=$B61,$A62&lt;&gt;$A61),and(not(isblank($A62)),$A62=$A61,$B62&lt;&gt;$B61)),"ID LISTS UNALIGNED",and($A62&lt;&gt;"",countif('3) Release_Label'!$D:$D,$A62)=0),"NO UPC MATCH in Release_Label",and($B62&lt;&gt;"",countif('3) Release_Label'!$E:$E,$B62)=0),"NO CATALOG ID MATCH in Release_Label",iserror(vlookup($A62&amp;$B62,'3) Release_Label'!$D:$D&amp;'3) Release_Label'!$E:$E,1,0)),"NO UPC-CATALOG ID pair MATCH in Release_Label" )</f>
        <v/>
      </c>
      <c r="E62" s="128" t="s">
        <v>51</v>
      </c>
      <c r="F62" s="8" t="s">
        <v>325</v>
      </c>
      <c r="G62" s="123" t="str">
        <f t="array" ref="G62">ifs(or($F62="",$F62="Main Primary Artist"),$F62,not(iserror(vlookup($F62,'Reference info'!$J$5:$J$8,1,0))),"Key Artist",not(iserror(vlookup($F62,'Reference info'!$J$38:$J$405,1,0))),"Performer",not(iserror(vlookup($F62,'Reference info'!$J$10:$J$36,1,0))),"Producer &amp; Engineer")</f>
        <v>Key Artist</v>
      </c>
    </row>
    <row r="63">
      <c r="A63" s="119">
        <v>9.995964356774E12</v>
      </c>
      <c r="B63" s="103"/>
      <c r="C63" s="121" t="str">
        <f t="array" ref="C63">ifs(and(isblank($A63),isblank($B63)),"", not(iserror(vlookup($A63&amp;$B63,'3) Release_Label'!$D:$D&amp;'3) Release_Label'!$E:$E,1,0))),vlookup($A63&amp;$B63,{'3) Release_Label'!$D:$D&amp;'3) Release_Label'!$E:$E,'3) Release_Label'!$F:$F},2,0), or(and(not(isblank($B63)),$B63=$B62,$A63&lt;&gt;$A62),and(not(isblank($A63)),$A63=$A62,$B63&lt;&gt;$B62)),"ID LISTS UNALIGNED",and($A63&lt;&gt;"",countif('3) Release_Label'!$D:$D,$A63)=0),"NO UPC MATCH in Release_Label",and($B63&lt;&gt;"",countif('3) Release_Label'!$E:$E,$B63)=0),"NO CATALOG ID MATCH in Release_Label",iserror(vlookup($A63&amp;$B63,'3) Release_Label'!$D:$D&amp;'3) Release_Label'!$E:$E,1,0)),"NO UPC-CATALOG ID pair MATCH in Release_Label" )</f>
        <v>Rabb Khair Kare (From "Daana Paani" Soundtrack)</v>
      </c>
      <c r="D63" s="121" t="str">
        <f t="array" ref="D63">ifs(and(isblank($A63),isblank($B63)),"", not(iserror(vlookup($A63&amp;$B63,'3) Release_Label'!$D:$D&amp;'3) Release_Label'!$E:$E,1,0))),vlookup($A63&amp;$B63,{'3) Release_Label'!$D:$D&amp;'3) Release_Label'!$E:$E,'3) Release_Label'!$H:$H},2,0), or(and(not(isblank($B63)),$B63=$B62,$A63&lt;&gt;$A62),and(not(isblank($A63)),$A63=$A62,$B63&lt;&gt;$B62)),"ID LISTS UNALIGNED",and($A63&lt;&gt;"",countif('3) Release_Label'!$D:$D,$A63)=0),"NO UPC MATCH in Release_Label",and($B63&lt;&gt;"",countif('3) Release_Label'!$E:$E,$B63)=0),"NO CATALOG ID MATCH in Release_Label",iserror(vlookup($A63&amp;$B63,'3) Release_Label'!$D:$D&amp;'3) Release_Label'!$E:$E,1,0)),"NO UPC-CATALOG ID pair MATCH in Release_Label" )</f>
        <v/>
      </c>
      <c r="E63" s="128" t="s">
        <v>75</v>
      </c>
      <c r="F63" s="8" t="s">
        <v>323</v>
      </c>
      <c r="G63" s="123" t="str">
        <f t="array" ref="G63">ifs(or($F63="",$F63="Main Primary Artist"),$F63,not(iserror(vlookup($F63,'Reference info'!$J$5:$J$8,1,0))),"Key Artist",not(iserror(vlookup($F63,'Reference info'!$J$38:$J$405,1,0))),"Performer",not(iserror(vlookup($F63,'Reference info'!$J$10:$J$36,1,0))),"Producer &amp; Engineer")</f>
        <v>Main Primary Artist</v>
      </c>
    </row>
    <row r="64">
      <c r="A64" s="119">
        <v>9.995964356774E12</v>
      </c>
      <c r="B64" s="103"/>
      <c r="C64" s="121" t="str">
        <f t="array" ref="C64">ifs(and(isblank($A64),isblank($B64)),"", not(iserror(vlookup($A64&amp;$B64,'3) Release_Label'!$D:$D&amp;'3) Release_Label'!$E:$E,1,0))),vlookup($A64&amp;$B64,{'3) Release_Label'!$D:$D&amp;'3) Release_Label'!$E:$E,'3) Release_Label'!$F:$F},2,0), or(and(not(isblank($B64)),$B64=$B63,$A64&lt;&gt;$A63),and(not(isblank($A64)),$A64=$A63,$B64&lt;&gt;$B63)),"ID LISTS UNALIGNED",and($A64&lt;&gt;"",countif('3) Release_Label'!$D:$D,$A64)=0),"NO UPC MATCH in Release_Label",and($B64&lt;&gt;"",countif('3) Release_Label'!$E:$E,$B64)=0),"NO CATALOG ID MATCH in Release_Label",iserror(vlookup($A64&amp;$B64,'3) Release_Label'!$D:$D&amp;'3) Release_Label'!$E:$E,1,0)),"NO UPC-CATALOG ID pair MATCH in Release_Label" )</f>
        <v>Rabb Khair Kare (From "Daana Paani" Soundtrack)</v>
      </c>
      <c r="D64" s="121" t="str">
        <f t="array" ref="D64">ifs(and(isblank($A64),isblank($B64)),"", not(iserror(vlookup($A64&amp;$B64,'3) Release_Label'!$D:$D&amp;'3) Release_Label'!$E:$E,1,0))),vlookup($A64&amp;$B64,{'3) Release_Label'!$D:$D&amp;'3) Release_Label'!$E:$E,'3) Release_Label'!$H:$H},2,0), or(and(not(isblank($B64)),$B64=$B63,$A64&lt;&gt;$A63),and(not(isblank($A64)),$A64=$A63,$B64&lt;&gt;$B63)),"ID LISTS UNALIGNED",and($A64&lt;&gt;"",countif('3) Release_Label'!$D:$D,$A64)=0),"NO UPC MATCH in Release_Label",and($B64&lt;&gt;"",countif('3) Release_Label'!$E:$E,$B64)=0),"NO CATALOG ID MATCH in Release_Label",iserror(vlookup($A64&amp;$B64,'3) Release_Label'!$D:$D&amp;'3) Release_Label'!$E:$E,1,0)),"NO UPC-CATALOG ID pair MATCH in Release_Label" )</f>
        <v/>
      </c>
      <c r="E64" s="128" t="s">
        <v>73</v>
      </c>
      <c r="F64" s="8" t="s">
        <v>325</v>
      </c>
      <c r="G64" s="123" t="str">
        <f t="array" ref="G64">ifs(or($F64="",$F64="Main Primary Artist"),$F64,not(iserror(vlookup($F64,'Reference info'!$J$5:$J$8,1,0))),"Key Artist",not(iserror(vlookup($F64,'Reference info'!$J$38:$J$405,1,0))),"Performer",not(iserror(vlookup($F64,'Reference info'!$J$10:$J$36,1,0))),"Producer &amp; Engineer")</f>
        <v>Key Artist</v>
      </c>
    </row>
    <row r="65">
      <c r="A65" s="119">
        <v>9.995964321383E12</v>
      </c>
      <c r="B65" s="103"/>
      <c r="C65" s="121" t="str">
        <f t="array" ref="C65">ifs(and(isblank($A65),isblank($B65)),"", not(iserror(vlookup($A65&amp;$B65,'3) Release_Label'!$D:$D&amp;'3) Release_Label'!$E:$E,1,0))),vlookup($A65&amp;$B65,{'3) Release_Label'!$D:$D&amp;'3) Release_Label'!$E:$E,'3) Release_Label'!$F:$F},2,0), or(and(not(isblank($B65)),$B65=$B64,$A65&lt;&gt;$A64),and(not(isblank($A65)),$A65=$A64,$B65&lt;&gt;$B64)),"ID LISTS UNALIGNED",and($A65&lt;&gt;"",countif('3) Release_Label'!$D:$D,$A65)=0),"NO UPC MATCH in Release_Label",and($B65&lt;&gt;"",countif('3) Release_Label'!$E:$E,$B65)=0),"NO CATALOG ID MATCH in Release_Label",iserror(vlookup($A65&amp;$B65,'3) Release_Label'!$D:$D&amp;'3) Release_Label'!$E:$E,1,0)),"NO UPC-CATALOG ID pair MATCH in Release_Label" )</f>
        <v>Rakhi Soneya Ve (From "Bambukat" Soundtrack)</v>
      </c>
      <c r="D65" s="121" t="str">
        <f t="array" ref="D65">ifs(and(isblank($A65),isblank($B65)),"", not(iserror(vlookup($A65&amp;$B65,'3) Release_Label'!$D:$D&amp;'3) Release_Label'!$E:$E,1,0))),vlookup($A65&amp;$B65,{'3) Release_Label'!$D:$D&amp;'3) Release_Label'!$E:$E,'3) Release_Label'!$H:$H},2,0), or(and(not(isblank($B65)),$B65=$B64,$A65&lt;&gt;$A64),and(not(isblank($A65)),$A65=$A64,$B65&lt;&gt;$B64)),"ID LISTS UNALIGNED",and($A65&lt;&gt;"",countif('3) Release_Label'!$D:$D,$A65)=0),"NO UPC MATCH in Release_Label",and($B65&lt;&gt;"",countif('3) Release_Label'!$E:$E,$B65)=0),"NO CATALOG ID MATCH in Release_Label",iserror(vlookup($A65&amp;$B65,'3) Release_Label'!$D:$D&amp;'3) Release_Label'!$E:$E,1,0)),"NO UPC-CATALOG ID pair MATCH in Release_Label" )</f>
        <v/>
      </c>
      <c r="E65" s="128" t="s">
        <v>55</v>
      </c>
      <c r="F65" s="8" t="s">
        <v>323</v>
      </c>
      <c r="G65" s="123" t="str">
        <f t="array" ref="G65">ifs(or($F65="",$F65="Main Primary Artist"),$F65,not(iserror(vlookup($F65,'Reference info'!$J$5:$J$8,1,0))),"Key Artist",not(iserror(vlookup($F65,'Reference info'!$J$38:$J$405,1,0))),"Performer",not(iserror(vlookup($F65,'Reference info'!$J$10:$J$36,1,0))),"Producer &amp; Engineer")</f>
        <v>Main Primary Artist</v>
      </c>
    </row>
    <row r="66">
      <c r="A66" s="119">
        <v>9.995964321383E12</v>
      </c>
      <c r="B66" s="103"/>
      <c r="C66" s="121" t="str">
        <f t="array" ref="C66">ifs(and(isblank($A66),isblank($B66)),"", not(iserror(vlookup($A66&amp;$B66,'3) Release_Label'!$D:$D&amp;'3) Release_Label'!$E:$E,1,0))),vlookup($A66&amp;$B66,{'3) Release_Label'!$D:$D&amp;'3) Release_Label'!$E:$E,'3) Release_Label'!$F:$F},2,0), or(and(not(isblank($B66)),$B66=$B65,$A66&lt;&gt;$A65),and(not(isblank($A66)),$A66=$A65,$B66&lt;&gt;$B65)),"ID LISTS UNALIGNED",and($A66&lt;&gt;"",countif('3) Release_Label'!$D:$D,$A66)=0),"NO UPC MATCH in Release_Label",and($B66&lt;&gt;"",countif('3) Release_Label'!$E:$E,$B66)=0),"NO CATALOG ID MATCH in Release_Label",iserror(vlookup($A66&amp;$B66,'3) Release_Label'!$D:$D&amp;'3) Release_Label'!$E:$E,1,0)),"NO UPC-CATALOG ID pair MATCH in Release_Label" )</f>
        <v>Rakhi Soneya Ve (From "Bambukat" Soundtrack)</v>
      </c>
      <c r="D66" s="121" t="str">
        <f t="array" ref="D66">ifs(and(isblank($A66),isblank($B66)),"", not(iserror(vlookup($A66&amp;$B66,'3) Release_Label'!$D:$D&amp;'3) Release_Label'!$E:$E,1,0))),vlookup($A66&amp;$B66,{'3) Release_Label'!$D:$D&amp;'3) Release_Label'!$E:$E,'3) Release_Label'!$H:$H},2,0), or(and(not(isblank($B66)),$B66=$B65,$A66&lt;&gt;$A65),and(not(isblank($A66)),$A66=$A65,$B66&lt;&gt;$B65)),"ID LISTS UNALIGNED",and($A66&lt;&gt;"",countif('3) Release_Label'!$D:$D,$A66)=0),"NO UPC MATCH in Release_Label",and($B66&lt;&gt;"",countif('3) Release_Label'!$E:$E,$B66)=0),"NO CATALOG ID MATCH in Release_Label",iserror(vlookup($A66&amp;$B66,'3) Release_Label'!$D:$D&amp;'3) Release_Label'!$E:$E,1,0)),"NO UPC-CATALOG ID pair MATCH in Release_Label" )</f>
        <v/>
      </c>
      <c r="E66" s="128" t="s">
        <v>87</v>
      </c>
      <c r="F66" s="8" t="s">
        <v>324</v>
      </c>
      <c r="G66" s="123" t="str">
        <f t="array" ref="G66">ifs(or($F66="",$F66="Main Primary Artist"),$F66,not(iserror(vlookup($F66,'Reference info'!$J$5:$J$8,1,0))),"Key Artist",not(iserror(vlookup($F66,'Reference info'!$J$38:$J$405,1,0))),"Performer",not(iserror(vlookup($F66,'Reference info'!$J$10:$J$36,1,0))),"Producer &amp; Engineer")</f>
        <v>Key Artist</v>
      </c>
    </row>
    <row r="67">
      <c r="A67" s="119">
        <v>9.995964321383E12</v>
      </c>
      <c r="B67" s="103"/>
      <c r="C67" s="121" t="str">
        <f t="array" ref="C67">ifs(and(isblank($A67),isblank($B67)),"", not(iserror(vlookup($A67&amp;$B67,'3) Release_Label'!$D:$D&amp;'3) Release_Label'!$E:$E,1,0))),vlookup($A67&amp;$B67,{'3) Release_Label'!$D:$D&amp;'3) Release_Label'!$E:$E,'3) Release_Label'!$F:$F},2,0), or(and(not(isblank($B67)),$B67=$B66,$A67&lt;&gt;$A66),and(not(isblank($A67)),$A67=$A66,$B67&lt;&gt;$B66)),"ID LISTS UNALIGNED",and($A67&lt;&gt;"",countif('3) Release_Label'!$D:$D,$A67)=0),"NO UPC MATCH in Release_Label",and($B67&lt;&gt;"",countif('3) Release_Label'!$E:$E,$B67)=0),"NO CATALOG ID MATCH in Release_Label",iserror(vlookup($A67&amp;$B67,'3) Release_Label'!$D:$D&amp;'3) Release_Label'!$E:$E,1,0)),"NO UPC-CATALOG ID pair MATCH in Release_Label" )</f>
        <v>Rakhi Soneya Ve (From "Bambukat" Soundtrack)</v>
      </c>
      <c r="D67" s="121" t="str">
        <f t="array" ref="D67">ifs(and(isblank($A67),isblank($B67)),"", not(iserror(vlookup($A67&amp;$B67,'3) Release_Label'!$D:$D&amp;'3) Release_Label'!$E:$E,1,0))),vlookup($A67&amp;$B67,{'3) Release_Label'!$D:$D&amp;'3) Release_Label'!$E:$E,'3) Release_Label'!$H:$H},2,0), or(and(not(isblank($B67)),$B67=$B66,$A67&lt;&gt;$A66),and(not(isblank($A67)),$A67=$A66,$B67&lt;&gt;$B66)),"ID LISTS UNALIGNED",and($A67&lt;&gt;"",countif('3) Release_Label'!$D:$D,$A67)=0),"NO UPC MATCH in Release_Label",and($B67&lt;&gt;"",countif('3) Release_Label'!$E:$E,$B67)=0),"NO CATALOG ID MATCH in Release_Label",iserror(vlookup($A67&amp;$B67,'3) Release_Label'!$D:$D&amp;'3) Release_Label'!$E:$E,1,0)),"NO UPC-CATALOG ID pair MATCH in Release_Label" )</f>
        <v/>
      </c>
      <c r="E67" s="128" t="s">
        <v>51</v>
      </c>
      <c r="F67" s="8" t="s">
        <v>325</v>
      </c>
      <c r="G67" s="123" t="str">
        <f t="array" ref="G67">ifs(or($F67="",$F67="Main Primary Artist"),$F67,not(iserror(vlookup($F67,'Reference info'!$J$5:$J$8,1,0))),"Key Artist",not(iserror(vlookup($F67,'Reference info'!$J$38:$J$405,1,0))),"Performer",not(iserror(vlookup($F67,'Reference info'!$J$10:$J$36,1,0))),"Producer &amp; Engineer")</f>
        <v>Key Artist</v>
      </c>
    </row>
    <row r="68">
      <c r="A68" s="119">
        <v>9.995964332334E12</v>
      </c>
      <c r="B68" s="103"/>
      <c r="C68" s="121" t="str">
        <f t="array" ref="C68">ifs(and(isblank($A68),isblank($B68)),"", not(iserror(vlookup($A68&amp;$B68,'3) Release_Label'!$D:$D&amp;'3) Release_Label'!$E:$E,1,0))),vlookup($A68&amp;$B68,{'3) Release_Label'!$D:$D&amp;'3) Release_Label'!$E:$E,'3) Release_Label'!$F:$F},2,0), or(and(not(isblank($B68)),$B68=$B67,$A68&lt;&gt;$A67),and(not(isblank($A68)),$A68=$A67,$B68&lt;&gt;$B67)),"ID LISTS UNALIGNED",and($A68&lt;&gt;"",countif('3) Release_Label'!$D:$D,$A68)=0),"NO UPC MATCH in Release_Label",and($B68&lt;&gt;"",countif('3) Release_Label'!$E:$E,$B68)=0),"NO CATALOG ID MATCH in Release_Label",iserror(vlookup($A68&amp;$B68,'3) Release_Label'!$D:$D&amp;'3) Release_Label'!$E:$E,1,0)),"NO UPC-CATALOG ID pair MATCH in Release_Label" )</f>
        <v>Rani (From "Bhalwan Singh" Soundtrack)</v>
      </c>
      <c r="D68" s="121" t="str">
        <f t="array" ref="D68">ifs(and(isblank($A68),isblank($B68)),"", not(iserror(vlookup($A68&amp;$B68,'3) Release_Label'!$D:$D&amp;'3) Release_Label'!$E:$E,1,0))),vlookup($A68&amp;$B68,{'3) Release_Label'!$D:$D&amp;'3) Release_Label'!$E:$E,'3) Release_Label'!$H:$H},2,0), or(and(not(isblank($B68)),$B68=$B67,$A68&lt;&gt;$A67),and(not(isblank($A68)),$A68=$A67,$B68&lt;&gt;$B67)),"ID LISTS UNALIGNED",and($A68&lt;&gt;"",countif('3) Release_Label'!$D:$D,$A68)=0),"NO UPC MATCH in Release_Label",and($B68&lt;&gt;"",countif('3) Release_Label'!$E:$E,$B68)=0),"NO CATALOG ID MATCH in Release_Label",iserror(vlookup($A68&amp;$B68,'3) Release_Label'!$D:$D&amp;'3) Release_Label'!$E:$E,1,0)),"NO UPC-CATALOG ID pair MATCH in Release_Label" )</f>
        <v/>
      </c>
      <c r="E68" s="128" t="s">
        <v>42</v>
      </c>
      <c r="F68" s="8" t="s">
        <v>323</v>
      </c>
      <c r="G68" s="123" t="str">
        <f t="array" ref="G68">ifs(or($F68="",$F68="Main Primary Artist"),$F68,not(iserror(vlookup($F68,'Reference info'!$J$5:$J$8,1,0))),"Key Artist",not(iserror(vlookup($F68,'Reference info'!$J$38:$J$405,1,0))),"Performer",not(iserror(vlookup($F68,'Reference info'!$J$10:$J$36,1,0))),"Producer &amp; Engineer")</f>
        <v>Main Primary Artist</v>
      </c>
    </row>
    <row r="69">
      <c r="A69" s="119">
        <v>9.995964332334E12</v>
      </c>
      <c r="B69" s="103"/>
      <c r="C69" s="121" t="str">
        <f t="array" ref="C69">ifs(and(isblank($A69),isblank($B69)),"", not(iserror(vlookup($A69&amp;$B69,'3) Release_Label'!$D:$D&amp;'3) Release_Label'!$E:$E,1,0))),vlookup($A69&amp;$B69,{'3) Release_Label'!$D:$D&amp;'3) Release_Label'!$E:$E,'3) Release_Label'!$F:$F},2,0), or(and(not(isblank($B69)),$B69=$B68,$A69&lt;&gt;$A68),and(not(isblank($A69)),$A69=$A68,$B69&lt;&gt;$B68)),"ID LISTS UNALIGNED",and($A69&lt;&gt;"",countif('3) Release_Label'!$D:$D,$A69)=0),"NO UPC MATCH in Release_Label",and($B69&lt;&gt;"",countif('3) Release_Label'!$E:$E,$B69)=0),"NO CATALOG ID MATCH in Release_Label",iserror(vlookup($A69&amp;$B69,'3) Release_Label'!$D:$D&amp;'3) Release_Label'!$E:$E,1,0)),"NO UPC-CATALOG ID pair MATCH in Release_Label" )</f>
        <v>Rani (From "Bhalwan Singh" Soundtrack)</v>
      </c>
      <c r="D69" s="121" t="str">
        <f t="array" ref="D69">ifs(and(isblank($A69),isblank($B69)),"", not(iserror(vlookup($A69&amp;$B69,'3) Release_Label'!$D:$D&amp;'3) Release_Label'!$E:$E,1,0))),vlookup($A69&amp;$B69,{'3) Release_Label'!$D:$D&amp;'3) Release_Label'!$E:$E,'3) Release_Label'!$H:$H},2,0), or(and(not(isblank($B69)),$B69=$B68,$A69&lt;&gt;$A68),and(not(isblank($A69)),$A69=$A68,$B69&lt;&gt;$B68)),"ID LISTS UNALIGNED",and($A69&lt;&gt;"",countif('3) Release_Label'!$D:$D,$A69)=0),"NO UPC MATCH in Release_Label",and($B69&lt;&gt;"",countif('3) Release_Label'!$E:$E,$B69)=0),"NO CATALOG ID MATCH in Release_Label",iserror(vlookup($A69&amp;$B69,'3) Release_Label'!$D:$D&amp;'3) Release_Label'!$E:$E,1,0)),"NO UPC-CATALOG ID pair MATCH in Release_Label" )</f>
        <v/>
      </c>
      <c r="E69" s="128" t="s">
        <v>47</v>
      </c>
      <c r="F69" s="8" t="s">
        <v>325</v>
      </c>
      <c r="G69" s="123" t="str">
        <f t="array" ref="G69">ifs(or($F69="",$F69="Main Primary Artist"),$F69,not(iserror(vlookup($F69,'Reference info'!$J$5:$J$8,1,0))),"Key Artist",not(iserror(vlookup($F69,'Reference info'!$J$38:$J$405,1,0))),"Performer",not(iserror(vlookup($F69,'Reference info'!$J$10:$J$36,1,0))),"Producer &amp; Engineer")</f>
        <v>Key Artist</v>
      </c>
    </row>
    <row r="70">
      <c r="A70" s="119">
        <v>9.99596435688E12</v>
      </c>
      <c r="B70" s="103"/>
      <c r="C70" s="121" t="str">
        <f t="array" ref="C70">ifs(and(isblank($A70),isblank($B70)),"", not(iserror(vlookup($A70&amp;$B70,'3) Release_Label'!$D:$D&amp;'3) Release_Label'!$E:$E,1,0))),vlookup($A70&amp;$B70,{'3) Release_Label'!$D:$D&amp;'3) Release_Label'!$E:$E,'3) Release_Label'!$F:$F},2,0), or(and(not(isblank($B70)),$B70=$B69,$A70&lt;&gt;$A69),and(not(isblank($A70)),$A70=$A69,$B70&lt;&gt;$B69)),"ID LISTS UNALIGNED",and($A70&lt;&gt;"",countif('3) Release_Label'!$D:$D,$A70)=0),"NO UPC MATCH in Release_Label",and($B70&lt;&gt;"",countif('3) Release_Label'!$E:$E,$B70)=0),"NO CATALOG ID MATCH in Release_Label",iserror(vlookup($A70&amp;$B70,'3) Release_Label'!$D:$D&amp;'3) Release_Label'!$E:$E,1,0)),"NO UPC-CATALOG ID pair MATCH in Release_Label" )</f>
        <v>Refugee (From "Daana Paani" Soundtrack)</v>
      </c>
      <c r="D70" s="121" t="str">
        <f t="array" ref="D70">ifs(and(isblank($A70),isblank($B70)),"", not(iserror(vlookup($A70&amp;$B70,'3) Release_Label'!$D:$D&amp;'3) Release_Label'!$E:$E,1,0))),vlookup($A70&amp;$B70,{'3) Release_Label'!$D:$D&amp;'3) Release_Label'!$E:$E,'3) Release_Label'!$H:$H},2,0), or(and(not(isblank($B70)),$B70=$B69,$A70&lt;&gt;$A69),and(not(isblank($A70)),$A70=$A69,$B70&lt;&gt;$B69)),"ID LISTS UNALIGNED",and($A70&lt;&gt;"",countif('3) Release_Label'!$D:$D,$A70)=0),"NO UPC MATCH in Release_Label",and($B70&lt;&gt;"",countif('3) Release_Label'!$E:$E,$B70)=0),"NO CATALOG ID MATCH in Release_Label",iserror(vlookup($A70&amp;$B70,'3) Release_Label'!$D:$D&amp;'3) Release_Label'!$E:$E,1,0)),"NO UPC-CATALOG ID pair MATCH in Release_Label" )</f>
        <v/>
      </c>
      <c r="E70" s="128" t="s">
        <v>89</v>
      </c>
      <c r="F70" s="8" t="s">
        <v>323</v>
      </c>
      <c r="G70" s="123" t="str">
        <f t="array" ref="G70">ifs(or($F70="",$F70="Main Primary Artist"),$F70,not(iserror(vlookup($F70,'Reference info'!$J$5:$J$8,1,0))),"Key Artist",not(iserror(vlookup($F70,'Reference info'!$J$38:$J$405,1,0))),"Performer",not(iserror(vlookup($F70,'Reference info'!$J$10:$J$36,1,0))),"Producer &amp; Engineer")</f>
        <v>Main Primary Artist</v>
      </c>
    </row>
    <row r="71">
      <c r="A71" s="119">
        <v>9.99596435688E12</v>
      </c>
      <c r="B71" s="103"/>
      <c r="C71" s="121" t="str">
        <f t="array" ref="C71">ifs(and(isblank($A71),isblank($B71)),"", not(iserror(vlookup($A71&amp;$B71,'3) Release_Label'!$D:$D&amp;'3) Release_Label'!$E:$E,1,0))),vlookup($A71&amp;$B71,{'3) Release_Label'!$D:$D&amp;'3) Release_Label'!$E:$E,'3) Release_Label'!$F:$F},2,0), or(and(not(isblank($B71)),$B71=$B70,$A71&lt;&gt;$A70),and(not(isblank($A71)),$A71=$A70,$B71&lt;&gt;$B70)),"ID LISTS UNALIGNED",and($A71&lt;&gt;"",countif('3) Release_Label'!$D:$D,$A71)=0),"NO UPC MATCH in Release_Label",and($B71&lt;&gt;"",countif('3) Release_Label'!$E:$E,$B71)=0),"NO CATALOG ID MATCH in Release_Label",iserror(vlookup($A71&amp;$B71,'3) Release_Label'!$D:$D&amp;'3) Release_Label'!$E:$E,1,0)),"NO UPC-CATALOG ID pair MATCH in Release_Label" )</f>
        <v>Refugee (From "Daana Paani" Soundtrack)</v>
      </c>
      <c r="D71" s="121" t="str">
        <f t="array" ref="D71">ifs(and(isblank($A71),isblank($B71)),"", not(iserror(vlookup($A71&amp;$B71,'3) Release_Label'!$D:$D&amp;'3) Release_Label'!$E:$E,1,0))),vlookup($A71&amp;$B71,{'3) Release_Label'!$D:$D&amp;'3) Release_Label'!$E:$E,'3) Release_Label'!$H:$H},2,0), or(and(not(isblank($B71)),$B71=$B70,$A71&lt;&gt;$A70),and(not(isblank($A71)),$A71=$A70,$B71&lt;&gt;$B70)),"ID LISTS UNALIGNED",and($A71&lt;&gt;"",countif('3) Release_Label'!$D:$D,$A71)=0),"NO UPC MATCH in Release_Label",and($B71&lt;&gt;"",countif('3) Release_Label'!$E:$E,$B71)=0),"NO CATALOG ID MATCH in Release_Label",iserror(vlookup($A71&amp;$B71,'3) Release_Label'!$D:$D&amp;'3) Release_Label'!$E:$E,1,0)),"NO UPC-CATALOG ID pair MATCH in Release_Label" )</f>
        <v/>
      </c>
      <c r="E71" s="128" t="s">
        <v>73</v>
      </c>
      <c r="F71" s="8" t="s">
        <v>325</v>
      </c>
      <c r="G71" s="123" t="str">
        <f t="array" ref="G71">ifs(or($F71="",$F71="Main Primary Artist"),$F71,not(iserror(vlookup($F71,'Reference info'!$J$5:$J$8,1,0))),"Key Artist",not(iserror(vlookup($F71,'Reference info'!$J$38:$J$405,1,0))),"Performer",not(iserror(vlookup($F71,'Reference info'!$J$10:$J$36,1,0))),"Producer &amp; Engineer")</f>
        <v>Key Artist</v>
      </c>
    </row>
    <row r="72">
      <c r="A72" s="119">
        <v>9.995964330781E12</v>
      </c>
      <c r="B72" s="103"/>
      <c r="C72" s="121" t="str">
        <f t="array" ref="C72">ifs(and(isblank($A72),isblank($B72)),"", not(iserror(vlookup($A72&amp;$B72,'3) Release_Label'!$D:$D&amp;'3) Release_Label'!$E:$E,1,0))),vlookup($A72&amp;$B72,{'3) Release_Label'!$D:$D&amp;'3) Release_Label'!$E:$E,'3) Release_Label'!$F:$F},2,0), or(and(not(isblank($B72)),$B72=$B71,$A72&lt;&gt;$A71),and(not(isblank($A72)),$A72=$A71,$B72&lt;&gt;$B71)),"ID LISTS UNALIGNED",and($A72&lt;&gt;"",countif('3) Release_Label'!$D:$D,$A72)=0),"NO UPC MATCH in Release_Label",and($B72&lt;&gt;"",countif('3) Release_Label'!$E:$E,$B72)=0),"NO CATALOG ID MATCH in Release_Label",iserror(vlookup($A72&amp;$B72,'3) Release_Label'!$D:$D&amp;'3) Release_Label'!$E:$E,1,0)),"NO UPC-CATALOG ID pair MATCH in Release_Label" )</f>
        <v>Saah (From "Lahoriye" Soundtrack)</v>
      </c>
      <c r="D72" s="121" t="str">
        <f t="array" ref="D72">ifs(and(isblank($A72),isblank($B72)),"", not(iserror(vlookup($A72&amp;$B72,'3) Release_Label'!$D:$D&amp;'3) Release_Label'!$E:$E,1,0))),vlookup($A72&amp;$B72,{'3) Release_Label'!$D:$D&amp;'3) Release_Label'!$E:$E,'3) Release_Label'!$H:$H},2,0), or(and(not(isblank($B72)),$B72=$B71,$A72&lt;&gt;$A71),and(not(isblank($A72)),$A72=$A71,$B72&lt;&gt;$B71)),"ID LISTS UNALIGNED",and($A72&lt;&gt;"",countif('3) Release_Label'!$D:$D,$A72)=0),"NO UPC MATCH in Release_Label",and($B72&lt;&gt;"",countif('3) Release_Label'!$E:$E,$B72)=0),"NO CATALOG ID MATCH in Release_Label",iserror(vlookup($A72&amp;$B72,'3) Release_Label'!$D:$D&amp;'3) Release_Label'!$E:$E,1,0)),"NO UPC-CATALOG ID pair MATCH in Release_Label" )</f>
        <v/>
      </c>
      <c r="E72" s="128" t="s">
        <v>63</v>
      </c>
      <c r="F72" s="8" t="s">
        <v>323</v>
      </c>
      <c r="G72" s="123" t="str">
        <f t="array" ref="G72">ifs(or($F72="",$F72="Main Primary Artist"),$F72,not(iserror(vlookup($F72,'Reference info'!$J$5:$J$8,1,0))),"Key Artist",not(iserror(vlookup($F72,'Reference info'!$J$38:$J$405,1,0))),"Performer",not(iserror(vlookup($F72,'Reference info'!$J$10:$J$36,1,0))),"Producer &amp; Engineer")</f>
        <v>Main Primary Artist</v>
      </c>
    </row>
    <row r="73">
      <c r="A73" s="119">
        <v>9.995964330781E12</v>
      </c>
      <c r="B73" s="103"/>
      <c r="C73" s="121" t="str">
        <f t="array" ref="C73">ifs(and(isblank($A73),isblank($B73)),"", not(iserror(vlookup($A73&amp;$B73,'3) Release_Label'!$D:$D&amp;'3) Release_Label'!$E:$E,1,0))),vlookup($A73&amp;$B73,{'3) Release_Label'!$D:$D&amp;'3) Release_Label'!$E:$E,'3) Release_Label'!$F:$F},2,0), or(and(not(isblank($B73)),$B73=$B72,$A73&lt;&gt;$A72),and(not(isblank($A73)),$A73=$A72,$B73&lt;&gt;$B72)),"ID LISTS UNALIGNED",and($A73&lt;&gt;"",countif('3) Release_Label'!$D:$D,$A73)=0),"NO UPC MATCH in Release_Label",and($B73&lt;&gt;"",countif('3) Release_Label'!$E:$E,$B73)=0),"NO CATALOG ID MATCH in Release_Label",iserror(vlookup($A73&amp;$B73,'3) Release_Label'!$D:$D&amp;'3) Release_Label'!$E:$E,1,0)),"NO UPC-CATALOG ID pair MATCH in Release_Label" )</f>
        <v>Saah (From "Lahoriye" Soundtrack)</v>
      </c>
      <c r="D73" s="121" t="str">
        <f t="array" ref="D73">ifs(and(isblank($A73),isblank($B73)),"", not(iserror(vlookup($A73&amp;$B73,'3) Release_Label'!$D:$D&amp;'3) Release_Label'!$E:$E,1,0))),vlookup($A73&amp;$B73,{'3) Release_Label'!$D:$D&amp;'3) Release_Label'!$E:$E,'3) Release_Label'!$H:$H},2,0), or(and(not(isblank($B73)),$B73=$B72,$A73&lt;&gt;$A72),and(not(isblank($A73)),$A73=$A72,$B73&lt;&gt;$B72)),"ID LISTS UNALIGNED",and($A73&lt;&gt;"",countif('3) Release_Label'!$D:$D,$A73)=0),"NO UPC MATCH in Release_Label",and($B73&lt;&gt;"",countif('3) Release_Label'!$E:$E,$B73)=0),"NO CATALOG ID MATCH in Release_Label",iserror(vlookup($A73&amp;$B73,'3) Release_Label'!$D:$D&amp;'3) Release_Label'!$E:$E,1,0)),"NO UPC-CATALOG ID pair MATCH in Release_Label" )</f>
        <v/>
      </c>
      <c r="E73" s="128" t="s">
        <v>51</v>
      </c>
      <c r="F73" s="8" t="s">
        <v>325</v>
      </c>
      <c r="G73" s="123" t="str">
        <f t="array" ref="G73">ifs(or($F73="",$F73="Main Primary Artist"),$F73,not(iserror(vlookup($F73,'Reference info'!$J$5:$J$8,1,0))),"Key Artist",not(iserror(vlookup($F73,'Reference info'!$J$38:$J$405,1,0))),"Performer",not(iserror(vlookup($F73,'Reference info'!$J$10:$J$36,1,0))),"Producer &amp; Engineer")</f>
        <v>Key Artist</v>
      </c>
    </row>
    <row r="74">
      <c r="A74" s="119">
        <v>9.995964356941E12</v>
      </c>
      <c r="B74" s="103"/>
      <c r="C74" s="121" t="str">
        <f t="array" ref="C74">ifs(and(isblank($A74),isblank($B74)),"", not(iserror(vlookup($A74&amp;$B74,'3) Release_Label'!$D:$D&amp;'3) Release_Label'!$E:$E,1,0))),vlookup($A74&amp;$B74,{'3) Release_Label'!$D:$D&amp;'3) Release_Label'!$E:$E,'3) Release_Label'!$F:$F},2,0), or(and(not(isblank($B74)),$B74=$B73,$A74&lt;&gt;$A73),and(not(isblank($A74)),$A74=$A73,$B74&lt;&gt;$B73)),"ID LISTS UNALIGNED",and($A74&lt;&gt;"",countif('3) Release_Label'!$D:$D,$A74)=0),"NO UPC MATCH in Release_Label",and($B74&lt;&gt;"",countif('3) Release_Label'!$E:$E,$B74)=0),"NO CATALOG ID MATCH in Release_Label",iserror(vlookup($A74&amp;$B74,'3) Release_Label'!$D:$D&amp;'3) Release_Label'!$E:$E,1,0)),"NO UPC-CATALOG ID pair MATCH in Release_Label" )</f>
        <v>Sarkaare (From "Golak Bugni Bank Te Batua" Soundtrack)</v>
      </c>
      <c r="D74" s="121" t="str">
        <f t="array" ref="D74">ifs(and(isblank($A74),isblank($B74)),"", not(iserror(vlookup($A74&amp;$B74,'3) Release_Label'!$D:$D&amp;'3) Release_Label'!$E:$E,1,0))),vlookup($A74&amp;$B74,{'3) Release_Label'!$D:$D&amp;'3) Release_Label'!$E:$E,'3) Release_Label'!$H:$H},2,0), or(and(not(isblank($B74)),$B74=$B73,$A74&lt;&gt;$A73),and(not(isblank($A74)),$A74=$A73,$B74&lt;&gt;$B73)),"ID LISTS UNALIGNED",and($A74&lt;&gt;"",countif('3) Release_Label'!$D:$D,$A74)=0),"NO UPC MATCH in Release_Label",and($B74&lt;&gt;"",countif('3) Release_Label'!$E:$E,$B74)=0),"NO CATALOG ID MATCH in Release_Label",iserror(vlookup($A74&amp;$B74,'3) Release_Label'!$D:$D&amp;'3) Release_Label'!$E:$E,1,0)),"NO UPC-CATALOG ID pair MATCH in Release_Label" )</f>
        <v/>
      </c>
      <c r="E74" s="128" t="s">
        <v>67</v>
      </c>
      <c r="F74" s="8" t="s">
        <v>323</v>
      </c>
      <c r="G74" s="123" t="str">
        <f t="array" ref="G74">ifs(or($F74="",$F74="Main Primary Artist"),$F74,not(iserror(vlookup($F74,'Reference info'!$J$5:$J$8,1,0))),"Key Artist",not(iserror(vlookup($F74,'Reference info'!$J$38:$J$405,1,0))),"Performer",not(iserror(vlookup($F74,'Reference info'!$J$10:$J$36,1,0))),"Producer &amp; Engineer")</f>
        <v>Main Primary Artist</v>
      </c>
    </row>
    <row r="75">
      <c r="A75" s="119">
        <v>9.995964356941E12</v>
      </c>
      <c r="B75" s="103"/>
      <c r="C75" s="121" t="str">
        <f t="array" ref="C75">ifs(and(isblank($A75),isblank($B75)),"", not(iserror(vlookup($A75&amp;$B75,'3) Release_Label'!$D:$D&amp;'3) Release_Label'!$E:$E,1,0))),vlookup($A75&amp;$B75,{'3) Release_Label'!$D:$D&amp;'3) Release_Label'!$E:$E,'3) Release_Label'!$F:$F},2,0), or(and(not(isblank($B75)),$B75=$B74,$A75&lt;&gt;$A74),and(not(isblank($A75)),$A75=$A74,$B75&lt;&gt;$B74)),"ID LISTS UNALIGNED",and($A75&lt;&gt;"",countif('3) Release_Label'!$D:$D,$A75)=0),"NO UPC MATCH in Release_Label",and($B75&lt;&gt;"",countif('3) Release_Label'!$E:$E,$B75)=0),"NO CATALOG ID MATCH in Release_Label",iserror(vlookup($A75&amp;$B75,'3) Release_Label'!$D:$D&amp;'3) Release_Label'!$E:$E,1,0)),"NO UPC-CATALOG ID pair MATCH in Release_Label" )</f>
        <v>Sarkaare (From "Golak Bugni Bank Te Batua" Soundtrack)</v>
      </c>
      <c r="D75" s="121" t="str">
        <f t="array" ref="D75">ifs(and(isblank($A75),isblank($B75)),"", not(iserror(vlookup($A75&amp;$B75,'3) Release_Label'!$D:$D&amp;'3) Release_Label'!$E:$E,1,0))),vlookup($A75&amp;$B75,{'3) Release_Label'!$D:$D&amp;'3) Release_Label'!$E:$E,'3) Release_Label'!$H:$H},2,0), or(and(not(isblank($B75)),$B75=$B74,$A75&lt;&gt;$A74),and(not(isblank($A75)),$A75=$A74,$B75&lt;&gt;$B74)),"ID LISTS UNALIGNED",and($A75&lt;&gt;"",countif('3) Release_Label'!$D:$D,$A75)=0),"NO UPC MATCH in Release_Label",and($B75&lt;&gt;"",countif('3) Release_Label'!$E:$E,$B75)=0),"NO CATALOG ID MATCH in Release_Label",iserror(vlookup($A75&amp;$B75,'3) Release_Label'!$D:$D&amp;'3) Release_Label'!$E:$E,1,0)),"NO UPC-CATALOG ID pair MATCH in Release_Label" )</f>
        <v/>
      </c>
      <c r="E75" s="128" t="s">
        <v>51</v>
      </c>
      <c r="F75" s="8" t="s">
        <v>325</v>
      </c>
      <c r="G75" s="123" t="str">
        <f t="array" ref="G75">ifs(or($F75="",$F75="Main Primary Artist"),$F75,not(iserror(vlookup($F75,'Reference info'!$J$5:$J$8,1,0))),"Key Artist",not(iserror(vlookup($F75,'Reference info'!$J$38:$J$405,1,0))),"Performer",not(iserror(vlookup($F75,'Reference info'!$J$10:$J$36,1,0))),"Producer &amp; Engineer")</f>
        <v>Key Artist</v>
      </c>
    </row>
    <row r="76">
      <c r="A76" s="119">
        <v>9.995964356941E12</v>
      </c>
      <c r="B76" s="103"/>
      <c r="C76" s="121" t="str">
        <f t="array" ref="C76">ifs(and(isblank($A76),isblank($B76)),"", not(iserror(vlookup($A76&amp;$B76,'3) Release_Label'!$D:$D&amp;'3) Release_Label'!$E:$E,1,0))),vlookup($A76&amp;$B76,{'3) Release_Label'!$D:$D&amp;'3) Release_Label'!$E:$E,'3) Release_Label'!$F:$F},2,0), or(and(not(isblank($B76)),$B76=$B75,$A76&lt;&gt;$A75),and(not(isblank($A76)),$A76=$A75,$B76&lt;&gt;$B75)),"ID LISTS UNALIGNED",and($A76&lt;&gt;"",countif('3) Release_Label'!$D:$D,$A76)=0),"NO UPC MATCH in Release_Label",and($B76&lt;&gt;"",countif('3) Release_Label'!$E:$E,$B76)=0),"NO CATALOG ID MATCH in Release_Label",iserror(vlookup($A76&amp;$B76,'3) Release_Label'!$D:$D&amp;'3) Release_Label'!$E:$E,1,0)),"NO UPC-CATALOG ID pair MATCH in Release_Label" )</f>
        <v>Sarkaare (From "Golak Bugni Bank Te Batua" Soundtrack)</v>
      </c>
      <c r="D76" s="121" t="str">
        <f t="array" ref="D76">ifs(and(isblank($A76),isblank($B76)),"", not(iserror(vlookup($A76&amp;$B76,'3) Release_Label'!$D:$D&amp;'3) Release_Label'!$E:$E,1,0))),vlookup($A76&amp;$B76,{'3) Release_Label'!$D:$D&amp;'3) Release_Label'!$E:$E,'3) Release_Label'!$H:$H},2,0), or(and(not(isblank($B76)),$B76=$B75,$A76&lt;&gt;$A75),and(not(isblank($A76)),$A76=$A75,$B76&lt;&gt;$B75)),"ID LISTS UNALIGNED",and($A76&lt;&gt;"",countif('3) Release_Label'!$D:$D,$A76)=0),"NO UPC MATCH in Release_Label",and($B76&lt;&gt;"",countif('3) Release_Label'!$E:$E,$B76)=0),"NO CATALOG ID MATCH in Release_Label",iserror(vlookup($A76&amp;$B76,'3) Release_Label'!$D:$D&amp;'3) Release_Label'!$E:$E,1,0)),"NO UPC-CATALOG ID pair MATCH in Release_Label" )</f>
        <v/>
      </c>
      <c r="E76" s="128" t="s">
        <v>91</v>
      </c>
      <c r="F76" s="8" t="s">
        <v>324</v>
      </c>
      <c r="G76" s="123" t="str">
        <f t="array" ref="G76">ifs(or($F76="",$F76="Main Primary Artist"),$F76,not(iserror(vlookup($F76,'Reference info'!$J$5:$J$8,1,0))),"Key Artist",not(iserror(vlookup($F76,'Reference info'!$J$38:$J$405,1,0))),"Performer",not(iserror(vlookup($F76,'Reference info'!$J$10:$J$36,1,0))),"Producer &amp; Engineer")</f>
        <v>Key Artist</v>
      </c>
    </row>
    <row r="77">
      <c r="A77" s="119">
        <v>9.995964356491E12</v>
      </c>
      <c r="B77" s="103"/>
      <c r="C77" s="121" t="str">
        <f t="array" ref="C77">ifs(and(isblank($A77),isblank($B77)),"", not(iserror(vlookup($A77&amp;$B77,'3) Release_Label'!$D:$D&amp;'3) Release_Label'!$E:$E,1,0))),vlookup($A77&amp;$B77,{'3) Release_Label'!$D:$D&amp;'3) Release_Label'!$E:$E,'3) Release_Label'!$F:$F},2,0), or(and(not(isblank($B77)),$B77=$B76,$A77&lt;&gt;$A76),and(not(isblank($A77)),$A77=$A76,$B77&lt;&gt;$B76)),"ID LISTS UNALIGNED",and($A77&lt;&gt;"",countif('3) Release_Label'!$D:$D,$A77)=0),"NO UPC MATCH in Release_Label",and($B77&lt;&gt;"",countif('3) Release_Label'!$E:$E,$B77)=0),"NO CATALOG ID MATCH in Release_Label",iserror(vlookup($A77&amp;$B77,'3) Release_Label'!$D:$D&amp;'3) Release_Label'!$E:$E,1,0)),"NO UPC-CATALOG ID pair MATCH in Release_Label" )</f>
        <v>Selfie Photo (From "Golak Bugni Bank Te Batua" Soundtrack)</v>
      </c>
      <c r="D77" s="121" t="str">
        <f t="array" ref="D77">ifs(and(isblank($A77),isblank($B77)),"", not(iserror(vlookup($A77&amp;$B77,'3) Release_Label'!$D:$D&amp;'3) Release_Label'!$E:$E,1,0))),vlookup($A77&amp;$B77,{'3) Release_Label'!$D:$D&amp;'3) Release_Label'!$E:$E,'3) Release_Label'!$H:$H},2,0), or(and(not(isblank($B77)),$B77=$B76,$A77&lt;&gt;$A76),and(not(isblank($A77)),$A77=$A76,$B77&lt;&gt;$B76)),"ID LISTS UNALIGNED",and($A77&lt;&gt;"",countif('3) Release_Label'!$D:$D,$A77)=0),"NO UPC MATCH in Release_Label",and($B77&lt;&gt;"",countif('3) Release_Label'!$E:$E,$B77)=0),"NO CATALOG ID MATCH in Release_Label",iserror(vlookup($A77&amp;$B77,'3) Release_Label'!$D:$D&amp;'3) Release_Label'!$E:$E,1,0)),"NO UPC-CATALOG ID pair MATCH in Release_Label" )</f>
        <v/>
      </c>
      <c r="E77" s="128" t="s">
        <v>57</v>
      </c>
      <c r="F77" s="8" t="s">
        <v>323</v>
      </c>
      <c r="G77" s="123" t="str">
        <f t="array" ref="G77">ifs(or($F77="",$F77="Main Primary Artist"),$F77,not(iserror(vlookup($F77,'Reference info'!$J$5:$J$8,1,0))),"Key Artist",not(iserror(vlookup($F77,'Reference info'!$J$38:$J$405,1,0))),"Performer",not(iserror(vlookup($F77,'Reference info'!$J$10:$J$36,1,0))),"Producer &amp; Engineer")</f>
        <v>Main Primary Artist</v>
      </c>
    </row>
    <row r="78">
      <c r="A78" s="119">
        <v>9.995964356491E12</v>
      </c>
      <c r="B78" s="103"/>
      <c r="C78" s="121" t="str">
        <f t="array" ref="C78">ifs(and(isblank($A78),isblank($B78)),"", not(iserror(vlookup($A78&amp;$B78,'3) Release_Label'!$D:$D&amp;'3) Release_Label'!$E:$E,1,0))),vlookup($A78&amp;$B78,{'3) Release_Label'!$D:$D&amp;'3) Release_Label'!$E:$E,'3) Release_Label'!$F:$F},2,0), or(and(not(isblank($B78)),$B78=$B77,$A78&lt;&gt;$A77),and(not(isblank($A78)),$A78=$A77,$B78&lt;&gt;$B77)),"ID LISTS UNALIGNED",and($A78&lt;&gt;"",countif('3) Release_Label'!$D:$D,$A78)=0),"NO UPC MATCH in Release_Label",and($B78&lt;&gt;"",countif('3) Release_Label'!$E:$E,$B78)=0),"NO CATALOG ID MATCH in Release_Label",iserror(vlookup($A78&amp;$B78,'3) Release_Label'!$D:$D&amp;'3) Release_Label'!$E:$E,1,0)),"NO UPC-CATALOG ID pair MATCH in Release_Label" )</f>
        <v>Selfie Photo (From "Golak Bugni Bank Te Batua" Soundtrack)</v>
      </c>
      <c r="D78" s="121" t="str">
        <f t="array" ref="D78">ifs(and(isblank($A78),isblank($B78)),"", not(iserror(vlookup($A78&amp;$B78,'3) Release_Label'!$D:$D&amp;'3) Release_Label'!$E:$E,1,0))),vlookup($A78&amp;$B78,{'3) Release_Label'!$D:$D&amp;'3) Release_Label'!$E:$E,'3) Release_Label'!$H:$H},2,0), or(and(not(isblank($B78)),$B78=$B77,$A78&lt;&gt;$A77),and(not(isblank($A78)),$A78=$A77,$B78&lt;&gt;$B77)),"ID LISTS UNALIGNED",and($A78&lt;&gt;"",countif('3) Release_Label'!$D:$D,$A78)=0),"NO UPC MATCH in Release_Label",and($B78&lt;&gt;"",countif('3) Release_Label'!$E:$E,$B78)=0),"NO CATALOG ID MATCH in Release_Label",iserror(vlookup($A78&amp;$B78,'3) Release_Label'!$D:$D&amp;'3) Release_Label'!$E:$E,1,0)),"NO UPC-CATALOG ID pair MATCH in Release_Label" )</f>
        <v/>
      </c>
      <c r="E78" s="128" t="s">
        <v>51</v>
      </c>
      <c r="F78" s="8" t="s">
        <v>325</v>
      </c>
      <c r="G78" s="123" t="str">
        <f t="array" ref="G78">ifs(or($F78="",$F78="Main Primary Artist"),$F78,not(iserror(vlookup($F78,'Reference info'!$J$5:$J$8,1,0))),"Key Artist",not(iserror(vlookup($F78,'Reference info'!$J$38:$J$405,1,0))),"Performer",not(iserror(vlookup($F78,'Reference info'!$J$10:$J$36,1,0))),"Producer &amp; Engineer")</f>
        <v>Key Artist</v>
      </c>
    </row>
    <row r="79">
      <c r="A79" s="119">
        <v>9.995964331283E12</v>
      </c>
      <c r="B79" s="103"/>
      <c r="C79" s="121" t="str">
        <f t="array" ref="C79">ifs(and(isblank($A79),isblank($B79)),"", not(iserror(vlookup($A79&amp;$B79,'3) Release_Label'!$D:$D&amp;'3) Release_Label'!$E:$E,1,0))),vlookup($A79&amp;$B79,{'3) Release_Label'!$D:$D&amp;'3) Release_Label'!$E:$E,'3) Release_Label'!$F:$F},2,0), or(and(not(isblank($B79)),$B79=#REF!,$A79&lt;&gt;#REF!),and(not(isblank($A79)),$A79=#REF!,$B79&lt;&gt;#REF!)),"ID LISTS UNALIGNED",and($A79&lt;&gt;"",countif('3) Release_Label'!$D:$D,$A79)=0),"NO UPC MATCH in Release_Label",and($B79&lt;&gt;"",countif('3) Release_Label'!$E:$E,$B79)=0),"NO CATALOG ID MATCH in Release_Label",iserror(vlookup($A79&amp;$B79,'3) Release_Label'!$D:$D&amp;'3) Release_Label'!$E:$E,1,0)),"NO UPC-CATALOG ID pair MATCH in Release_Label" )</f>
        <v>Sukh Da Saah (From "Vekh Baraatan Challiyan" Soundtrack)</v>
      </c>
      <c r="D79" s="121" t="str">
        <f t="array" ref="D79">ifs(and(isblank($A79),isblank($B79)),"", not(iserror(vlookup($A79&amp;$B79,'3) Release_Label'!$D:$D&amp;'3) Release_Label'!$E:$E,1,0))),vlookup($A79&amp;$B79,{'3) Release_Label'!$D:$D&amp;'3) Release_Label'!$E:$E,'3) Release_Label'!$H:$H},2,0), or(and(not(isblank($B79)),$B79=#REF!,$A79&lt;&gt;#REF!),and(not(isblank($A79)),$A79=#REF!,$B79&lt;&gt;#REF!)),"ID LISTS UNALIGNED",and($A79&lt;&gt;"",countif('3) Release_Label'!$D:$D,$A79)=0),"NO UPC MATCH in Release_Label",and($B79&lt;&gt;"",countif('3) Release_Label'!$E:$E,$B79)=0),"NO CATALOG ID MATCH in Release_Label",iserror(vlookup($A79&amp;$B79,'3) Release_Label'!$D:$D&amp;'3) Release_Label'!$E:$E,1,0)),"NO UPC-CATALOG ID pair MATCH in Release_Label" )</f>
        <v/>
      </c>
      <c r="E79" s="128" t="s">
        <v>49</v>
      </c>
      <c r="F79" s="8" t="s">
        <v>323</v>
      </c>
      <c r="G79" s="123" t="str">
        <f t="array" ref="G79">ifs(or($F79="",$F79="Main Primary Artist"),$F79,not(iserror(vlookup($F79,'Reference info'!$J$5:$J$8,1,0))),"Key Artist",not(iserror(vlookup($F79,'Reference info'!$J$38:$J$405,1,0))),"Performer",not(iserror(vlookup($F79,'Reference info'!$J$10:$J$36,1,0))),"Producer &amp; Engineer")</f>
        <v>Main Primary Artist</v>
      </c>
    </row>
    <row r="80">
      <c r="A80" s="119">
        <v>9.995964331283E12</v>
      </c>
      <c r="B80" s="103"/>
      <c r="C80" s="121" t="str">
        <f t="array" ref="C80">ifs(and(isblank($A80),isblank($B80)),"", not(iserror(vlookup($A80&amp;$B80,'3) Release_Label'!$D:$D&amp;'3) Release_Label'!$E:$E,1,0))),vlookup($A80&amp;$B80,{'3) Release_Label'!$D:$D&amp;'3) Release_Label'!$E:$E,'3) Release_Label'!$F:$F},2,0), or(and(not(isblank($B80)),$B80=$B79,$A80&lt;&gt;$A79),and(not(isblank($A80)),$A80=$A79,$B80&lt;&gt;$B79)),"ID LISTS UNALIGNED",and($A80&lt;&gt;"",countif('3) Release_Label'!$D:$D,$A80)=0),"NO UPC MATCH in Release_Label",and($B80&lt;&gt;"",countif('3) Release_Label'!$E:$E,$B80)=0),"NO CATALOG ID MATCH in Release_Label",iserror(vlookup($A80&amp;$B80,'3) Release_Label'!$D:$D&amp;'3) Release_Label'!$E:$E,1,0)),"NO UPC-CATALOG ID pair MATCH in Release_Label" )</f>
        <v>Sukh Da Saah (From "Vekh Baraatan Challiyan" Soundtrack)</v>
      </c>
      <c r="D80" s="121" t="str">
        <f t="array" ref="D80">ifs(and(isblank($A80),isblank($B80)),"", not(iserror(vlookup($A80&amp;$B80,'3) Release_Label'!$D:$D&amp;'3) Release_Label'!$E:$E,1,0))),vlookup($A80&amp;$B80,{'3) Release_Label'!$D:$D&amp;'3) Release_Label'!$E:$E,'3) Release_Label'!$H:$H},2,0), or(and(not(isblank($B80)),$B80=$B79,$A80&lt;&gt;$A79),and(not(isblank($A80)),$A80=$A79,$B80&lt;&gt;$B79)),"ID LISTS UNALIGNED",and($A80&lt;&gt;"",countif('3) Release_Label'!$D:$D,$A80)=0),"NO UPC MATCH in Release_Label",and($B80&lt;&gt;"",countif('3) Release_Label'!$E:$E,$B80)=0),"NO CATALOG ID MATCH in Release_Label",iserror(vlookup($A80&amp;$B80,'3) Release_Label'!$D:$D&amp;'3) Release_Label'!$E:$E,1,0)),"NO UPC-CATALOG ID pair MATCH in Release_Label" )</f>
        <v/>
      </c>
      <c r="E80" s="128" t="s">
        <v>51</v>
      </c>
      <c r="F80" s="8" t="s">
        <v>325</v>
      </c>
      <c r="G80" s="123" t="str">
        <f t="array" ref="G80">ifs(or($F80="",$F80="Main Primary Artist"),$F80,not(iserror(vlookup($F80,'Reference info'!$J$5:$J$8,1,0))),"Key Artist",not(iserror(vlookup($F80,'Reference info'!$J$38:$J$405,1,0))),"Performer",not(iserror(vlookup($F80,'Reference info'!$J$10:$J$36,1,0))),"Producer &amp; Engineer")</f>
        <v>Key Artist</v>
      </c>
    </row>
    <row r="81">
      <c r="A81" s="119">
        <v>9.995964332242E12</v>
      </c>
      <c r="B81" s="103"/>
      <c r="C81" s="121" t="str">
        <f t="array" ref="C81">ifs(and(isblank($A81),isblank($B81)),"", not(iserror(vlookup($A81&amp;$B81,'3) Release_Label'!$D:$D&amp;'3) Release_Label'!$E:$E,1,0))),vlookup($A81&amp;$B81,{'3) Release_Label'!$D:$D&amp;'3) Release_Label'!$E:$E,'3) Release_Label'!$F:$F},2,0), or(and(not(isblank($B81)),$B81=$B80,$A81&lt;&gt;$A80),and(not(isblank($A81)),$A81=$A80,$B81&lt;&gt;$B80)),"ID LISTS UNALIGNED",and($A81&lt;&gt;"",countif('3) Release_Label'!$D:$D,$A81)=0),"NO UPC MATCH in Release_Label",and($B81&lt;&gt;"",countif('3) Release_Label'!$E:$E,$B81)=0),"NO CATALOG ID MATCH in Release_Label",iserror(vlookup($A81&amp;$B81,'3) Release_Label'!$D:$D&amp;'3) Release_Label'!$E:$E,1,0)),"NO UPC-CATALOG ID pair MATCH in Release_Label" )</f>
        <v>Sun Hawa Dya Bulleya (From "Bhalwan Singh" Soundtrack)</v>
      </c>
      <c r="D81" s="121" t="str">
        <f t="array" ref="D81">ifs(and(isblank($A81),isblank($B81)),"", not(iserror(vlookup($A81&amp;$B81,'3) Release_Label'!$D:$D&amp;'3) Release_Label'!$E:$E,1,0))),vlookup($A81&amp;$B81,{'3) Release_Label'!$D:$D&amp;'3) Release_Label'!$E:$E,'3) Release_Label'!$H:$H},2,0), or(and(not(isblank($B81)),$B81=$B80,$A81&lt;&gt;$A80),and(not(isblank($A81)),$A81=$A80,$B81&lt;&gt;$B80)),"ID LISTS UNALIGNED",and($A81&lt;&gt;"",countif('3) Release_Label'!$D:$D,$A81)=0),"NO UPC MATCH in Release_Label",and($B81&lt;&gt;"",countif('3) Release_Label'!$E:$E,$B81)=0),"NO CATALOG ID MATCH in Release_Label",iserror(vlookup($A81&amp;$B81,'3) Release_Label'!$D:$D&amp;'3) Release_Label'!$E:$E,1,0)),"NO UPC-CATALOG ID pair MATCH in Release_Label" )</f>
        <v/>
      </c>
      <c r="E81" s="128" t="s">
        <v>93</v>
      </c>
      <c r="F81" s="8" t="s">
        <v>323</v>
      </c>
      <c r="G81" s="123" t="str">
        <f t="array" ref="G81">ifs(or($F81="",$F81="Main Primary Artist"),$F81,not(iserror(vlookup($F81,'Reference info'!$J$5:$J$8,1,0))),"Key Artist",not(iserror(vlookup($F81,'Reference info'!$J$38:$J$405,1,0))),"Performer",not(iserror(vlookup($F81,'Reference info'!$J$10:$J$36,1,0))),"Producer &amp; Engineer")</f>
        <v>Main Primary Artist</v>
      </c>
    </row>
    <row r="82">
      <c r="A82" s="119">
        <v>9.995964332242E12</v>
      </c>
      <c r="B82" s="103"/>
      <c r="C82" s="121" t="str">
        <f t="array" ref="C82">ifs(and(isblank($A82),isblank($B82)),"", not(iserror(vlookup($A82&amp;$B82,'3) Release_Label'!$D:$D&amp;'3) Release_Label'!$E:$E,1,0))),vlookup($A82&amp;$B82,{'3) Release_Label'!$D:$D&amp;'3) Release_Label'!$E:$E,'3) Release_Label'!$F:$F},2,0), or(and(not(isblank($B82)),$B82=$B81,$A82&lt;&gt;$A81),and(not(isblank($A82)),$A82=$A81,$B82&lt;&gt;$B81)),"ID LISTS UNALIGNED",and($A82&lt;&gt;"",countif('3) Release_Label'!$D:$D,$A82)=0),"NO UPC MATCH in Release_Label",and($B82&lt;&gt;"",countif('3) Release_Label'!$E:$E,$B82)=0),"NO CATALOG ID MATCH in Release_Label",iserror(vlookup($A82&amp;$B82,'3) Release_Label'!$D:$D&amp;'3) Release_Label'!$E:$E,1,0)),"NO UPC-CATALOG ID pair MATCH in Release_Label" )</f>
        <v>Sun Hawa Dya Bulleya (From "Bhalwan Singh" Soundtrack)</v>
      </c>
      <c r="D82" s="121" t="str">
        <f t="array" ref="D82">ifs(and(isblank($A82),isblank($B82)),"", not(iserror(vlookup($A82&amp;$B82,'3) Release_Label'!$D:$D&amp;'3) Release_Label'!$E:$E,1,0))),vlookup($A82&amp;$B82,{'3) Release_Label'!$D:$D&amp;'3) Release_Label'!$E:$E,'3) Release_Label'!$H:$H},2,0), or(and(not(isblank($B82)),$B82=$B81,$A82&lt;&gt;$A81),and(not(isblank($A82)),$A82=$A81,$B82&lt;&gt;$B81)),"ID LISTS UNALIGNED",and($A82&lt;&gt;"",countif('3) Release_Label'!$D:$D,$A82)=0),"NO UPC MATCH in Release_Label",and($B82&lt;&gt;"",countif('3) Release_Label'!$E:$E,$B82)=0),"NO CATALOG ID MATCH in Release_Label",iserror(vlookup($A82&amp;$B82,'3) Release_Label'!$D:$D&amp;'3) Release_Label'!$E:$E,1,0)),"NO UPC-CATALOG ID pair MATCH in Release_Label" )</f>
        <v/>
      </c>
      <c r="E82" s="128" t="s">
        <v>47</v>
      </c>
      <c r="F82" s="8" t="s">
        <v>325</v>
      </c>
      <c r="G82" s="123" t="str">
        <f t="array" ref="G82">ifs(or($F82="",$F82="Main Primary Artist"),$F82,not(iserror(vlookup($F82,'Reference info'!$J$5:$J$8,1,0))),"Key Artist",not(iserror(vlookup($F82,'Reference info'!$J$38:$J$405,1,0))),"Performer",not(iserror(vlookup($F82,'Reference info'!$J$10:$J$36,1,0))),"Producer &amp; Engineer")</f>
        <v>Key Artist</v>
      </c>
    </row>
    <row r="83">
      <c r="A83" s="119">
        <v>9.995964319601E12</v>
      </c>
      <c r="B83" s="103"/>
      <c r="C83" s="121" t="str">
        <f t="array" ref="C83">ifs(and(isblank($A83),isblank($B83)),"", not(iserror(vlookup($A83&amp;$B83,'3) Release_Label'!$D:$D&amp;'3) Release_Label'!$E:$E,1,0))),vlookup($A83&amp;$B83,{'3) Release_Label'!$D:$D&amp;'3) Release_Label'!$E:$E,'3) Release_Label'!$F:$F},2,0), or(and(not(isblank($B83)),$B83=$B82,$A83&lt;&gt;$A82),and(not(isblank($A83)),$A83=$A82,$B83&lt;&gt;$B82)),"ID LISTS UNALIGNED",and($A83&lt;&gt;"",countif('3) Release_Label'!$D:$D,$A83)=0),"NO UPC MATCH in Release_Label",and($B83&lt;&gt;"",countif('3) Release_Label'!$E:$E,$B83)=0),"NO CATALOG ID MATCH in Release_Label",iserror(vlookup($A83&amp;$B83,'3) Release_Label'!$D:$D&amp;'3) Release_Label'!$E:$E,1,0)),"NO UPC-CATALOG ID pair MATCH in Release_Label" )</f>
        <v>Supna</v>
      </c>
      <c r="D83" s="121" t="str">
        <f t="array" ref="D83">ifs(and(isblank($A83),isblank($B83)),"", not(iserror(vlookup($A83&amp;$B83,'3) Release_Label'!$D:$D&amp;'3) Release_Label'!$E:$E,1,0))),vlookup($A83&amp;$B83,{'3) Release_Label'!$D:$D&amp;'3) Release_Label'!$E:$E,'3) Release_Label'!$H:$H},2,0), or(and(not(isblank($B83)),$B83=$B82,$A83&lt;&gt;$A82),and(not(isblank($A83)),$A83=$A82,$B83&lt;&gt;$B82)),"ID LISTS UNALIGNED",and($A83&lt;&gt;"",countif('3) Release_Label'!$D:$D,$A83)=0),"NO UPC MATCH in Release_Label",and($B83&lt;&gt;"",countif('3) Release_Label'!$E:$E,$B83)=0),"NO CATALOG ID MATCH in Release_Label",iserror(vlookup($A83&amp;$B83,'3) Release_Label'!$D:$D&amp;'3) Release_Label'!$E:$E,1,0)),"NO UPC-CATALOG ID pair MATCH in Release_Label" )</f>
        <v/>
      </c>
      <c r="E83" s="128" t="s">
        <v>49</v>
      </c>
      <c r="F83" s="8" t="s">
        <v>323</v>
      </c>
      <c r="G83" s="123" t="str">
        <f t="array" ref="G83">ifs(or($F83="",$F83="Main Primary Artist"),$F83,not(iserror(vlookup($F83,'Reference info'!$J$5:$J$8,1,0))),"Key Artist",not(iserror(vlookup($F83,'Reference info'!$J$38:$J$405,1,0))),"Performer",not(iserror(vlookup($F83,'Reference info'!$J$10:$J$36,1,0))),"Producer &amp; Engineer")</f>
        <v>Main Primary Artist</v>
      </c>
    </row>
    <row r="84">
      <c r="A84" s="119">
        <v>9.995964329112E12</v>
      </c>
      <c r="B84" s="103"/>
      <c r="C84" s="121" t="str">
        <f t="array" ref="C84">ifs(and(isblank($A84),isblank($B84)),"", not(iserror(vlookup($A84&amp;$B84,'3) Release_Label'!$D:$D&amp;'3) Release_Label'!$E:$E,1,0))),vlookup($A84&amp;$B84,{'3) Release_Label'!$D:$D&amp;'3) Release_Label'!$E:$E,'3) Release_Label'!$F:$F},2,0), or(and(not(isblank($B84)),$B84=$B83,$A84&lt;&gt;$A83),and(not(isblank($A84)),$A84=$A83,$B84&lt;&gt;$B83)),"ID LISTS UNALIGNED",and($A84&lt;&gt;"",countif('3) Release_Label'!$D:$D,$A84)=0),"NO UPC MATCH in Release_Label",and($B84&lt;&gt;"",countif('3) Release_Label'!$E:$E,$B84)=0),"NO CATALOG ID MATCH in Release_Label",iserror(vlookup($A84&amp;$B84,'3) Release_Label'!$D:$D&amp;'3) Release_Label'!$E:$E,1,0)),"NO UPC-CATALOG ID pair MATCH in Release_Label" )</f>
        <v>Tarakiyaan</v>
      </c>
      <c r="D84" s="121" t="str">
        <f t="array" ref="D84">ifs(and(isblank($A84),isblank($B84)),"", not(iserror(vlookup($A84&amp;$B84,'3) Release_Label'!$D:$D&amp;'3) Release_Label'!$E:$E,1,0))),vlookup($A84&amp;$B84,{'3) Release_Label'!$D:$D&amp;'3) Release_Label'!$E:$E,'3) Release_Label'!$H:$H},2,0), or(and(not(isblank($B84)),$B84=$B83,$A84&lt;&gt;$A83),and(not(isblank($A84)),$A84=$A83,$B84&lt;&gt;$B83)),"ID LISTS UNALIGNED",and($A84&lt;&gt;"",countif('3) Release_Label'!$D:$D,$A84)=0),"NO UPC MATCH in Release_Label",and($B84&lt;&gt;"",countif('3) Release_Label'!$E:$E,$B84)=0),"NO CATALOG ID MATCH in Release_Label",iserror(vlookup($A84&amp;$B84,'3) Release_Label'!$D:$D&amp;'3) Release_Label'!$E:$E,1,0)),"NO UPC-CATALOG ID pair MATCH in Release_Label" )</f>
        <v/>
      </c>
      <c r="E84" s="128" t="s">
        <v>57</v>
      </c>
      <c r="F84" s="8" t="s">
        <v>323</v>
      </c>
      <c r="G84" s="123" t="str">
        <f t="array" ref="G84">ifs(or($F84="",$F84="Main Primary Artist"),$F84,not(iserror(vlookup($F84,'Reference info'!$J$5:$J$8,1,0))),"Key Artist",not(iserror(vlookup($F84,'Reference info'!$J$38:$J$405,1,0))),"Performer",not(iserror(vlookup($F84,'Reference info'!$J$10:$J$36,1,0))),"Producer &amp; Engineer")</f>
        <v>Main Primary Artist</v>
      </c>
    </row>
    <row r="85">
      <c r="A85" s="119">
        <v>9.995964329112E12</v>
      </c>
      <c r="B85" s="103"/>
      <c r="C85" s="121" t="str">
        <f t="array" ref="C85">ifs(and(isblank($A85),isblank($B85)),"", not(iserror(vlookup($A85&amp;$B85,'3) Release_Label'!$D:$D&amp;'3) Release_Label'!$E:$E,1,0))),vlookup($A85&amp;$B85,{'3) Release_Label'!$D:$D&amp;'3) Release_Label'!$E:$E,'3) Release_Label'!$F:$F},2,0), or(and(not(isblank($B85)),$B85=$B84,$A85&lt;&gt;$A84),and(not(isblank($A85)),$A85=$A84,$B85&lt;&gt;$B84)),"ID LISTS UNALIGNED",and($A85&lt;&gt;"",countif('3) Release_Label'!$D:$D,$A85)=0),"NO UPC MATCH in Release_Label",and($B85&lt;&gt;"",countif('3) Release_Label'!$E:$E,$B85)=0),"NO CATALOG ID MATCH in Release_Label",iserror(vlookup($A85&amp;$B85,'3) Release_Label'!$D:$D&amp;'3) Release_Label'!$E:$E,1,0)),"NO UPC-CATALOG ID pair MATCH in Release_Label" )</f>
        <v>Tarakiyaan</v>
      </c>
      <c r="D85" s="121" t="str">
        <f t="array" ref="D85">ifs(and(isblank($A85),isblank($B85)),"", not(iserror(vlookup($A85&amp;$B85,'3) Release_Label'!$D:$D&amp;'3) Release_Label'!$E:$E,1,0))),vlookup($A85&amp;$B85,{'3) Release_Label'!$D:$D&amp;'3) Release_Label'!$E:$E,'3) Release_Label'!$H:$H},2,0), or(and(not(isblank($B85)),$B85=$B84,$A85&lt;&gt;$A84),and(not(isblank($A85)),$A85=$A84,$B85&lt;&gt;$B84)),"ID LISTS UNALIGNED",and($A85&lt;&gt;"",countif('3) Release_Label'!$D:$D,$A85)=0),"NO UPC MATCH in Release_Label",and($B85&lt;&gt;"",countif('3) Release_Label'!$E:$E,$B85)=0),"NO CATALOG ID MATCH in Release_Label",iserror(vlookup($A85&amp;$B85,'3) Release_Label'!$D:$D&amp;'3) Release_Label'!$E:$E,1,0)),"NO UPC-CATALOG ID pair MATCH in Release_Label" )</f>
        <v/>
      </c>
      <c r="E85" s="128" t="s">
        <v>95</v>
      </c>
      <c r="F85" s="8" t="s">
        <v>325</v>
      </c>
      <c r="G85" s="123" t="str">
        <f t="array" ref="G85">ifs(or($F85="",$F85="Main Primary Artist"),$F85,not(iserror(vlookup($F85,'Reference info'!$J$5:$J$8,1,0))),"Key Artist",not(iserror(vlookup($F85,'Reference info'!$J$38:$J$405,1,0))),"Performer",not(iserror(vlookup($F85,'Reference info'!$J$10:$J$36,1,0))),"Producer &amp; Engineer")</f>
        <v>Key Artist</v>
      </c>
    </row>
    <row r="86">
      <c r="A86" s="119">
        <v>9.99596435659E12</v>
      </c>
      <c r="B86" s="103"/>
      <c r="C86" s="121" t="str">
        <f t="array" ref="C86">ifs(and(isblank($A86),isblank($B86)),"", not(iserror(vlookup($A86&amp;$B86,'3) Release_Label'!$D:$D&amp;'3) Release_Label'!$E:$E,1,0))),vlookup($A86&amp;$B86,{'3) Release_Label'!$D:$D&amp;'3) Release_Label'!$E:$E,'3) Release_Label'!$F:$F},2,0), or(and(not(isblank($B86)),$B86=$B85,$A86&lt;&gt;$A85),and(not(isblank($A86)),$A86=$A85,$B86&lt;&gt;$B85)),"ID LISTS UNALIGNED",and($A86&lt;&gt;"",countif('3) Release_Label'!$D:$D,$A86)=0),"NO UPC MATCH in Release_Label",and($B86&lt;&gt;"",countif('3) Release_Label'!$E:$E,$B86)=0),"NO CATALOG ID MATCH in Release_Label",iserror(vlookup($A86&amp;$B86,'3) Release_Label'!$D:$D&amp;'3) Release_Label'!$E:$E,1,0)),"NO UPC-CATALOG ID pair MATCH in Release_Label" )</f>
        <v>Tu Te Main (From "Golak Bugni Bank Te Batua" Soundtrack)</v>
      </c>
      <c r="D86" s="121" t="str">
        <f t="array" ref="D86">ifs(and(isblank($A86),isblank($B86)),"", not(iserror(vlookup($A86&amp;$B86,'3) Release_Label'!$D:$D&amp;'3) Release_Label'!$E:$E,1,0))),vlookup($A86&amp;$B86,{'3) Release_Label'!$D:$D&amp;'3) Release_Label'!$E:$E,'3) Release_Label'!$H:$H},2,0), or(and(not(isblank($B86)),$B86=$B85,$A86&lt;&gt;$A85),and(not(isblank($A86)),$A86=$A85,$B86&lt;&gt;$B85)),"ID LISTS UNALIGNED",and($A86&lt;&gt;"",countif('3) Release_Label'!$D:$D,$A86)=0),"NO UPC MATCH in Release_Label",and($B86&lt;&gt;"",countif('3) Release_Label'!$E:$E,$B86)=0),"NO CATALOG ID MATCH in Release_Label",iserror(vlookup($A86&amp;$B86,'3) Release_Label'!$D:$D&amp;'3) Release_Label'!$E:$E,1,0)),"NO UPC-CATALOG ID pair MATCH in Release_Label" )</f>
        <v/>
      </c>
      <c r="E86" s="128" t="s">
        <v>63</v>
      </c>
      <c r="F86" s="8" t="s">
        <v>323</v>
      </c>
      <c r="G86" s="123" t="str">
        <f t="array" ref="G86">ifs(or($F86="",$F86="Main Primary Artist"),$F86,not(iserror(vlookup($F86,'Reference info'!$J$5:$J$8,1,0))),"Key Artist",not(iserror(vlookup($F86,'Reference info'!$J$38:$J$405,1,0))),"Performer",not(iserror(vlookup($F86,'Reference info'!$J$10:$J$36,1,0))),"Producer &amp; Engineer")</f>
        <v>Main Primary Artist</v>
      </c>
    </row>
    <row r="87">
      <c r="A87" s="119">
        <v>9.99596435659E12</v>
      </c>
      <c r="B87" s="103"/>
      <c r="C87" s="121" t="str">
        <f t="array" ref="C87">ifs(and(isblank($A87),isblank($B87)),"", not(iserror(vlookup($A87&amp;$B87,'3) Release_Label'!$D:$D&amp;'3) Release_Label'!$E:$E,1,0))),vlookup($A87&amp;$B87,{'3) Release_Label'!$D:$D&amp;'3) Release_Label'!$E:$E,'3) Release_Label'!$F:$F},2,0), or(and(not(isblank($B87)),$B87=$B86,$A87&lt;&gt;$A86),and(not(isblank($A87)),$A87=$A86,$B87&lt;&gt;$B86)),"ID LISTS UNALIGNED",and($A87&lt;&gt;"",countif('3) Release_Label'!$D:$D,$A87)=0),"NO UPC MATCH in Release_Label",and($B87&lt;&gt;"",countif('3) Release_Label'!$E:$E,$B87)=0),"NO CATALOG ID MATCH in Release_Label",iserror(vlookup($A87&amp;$B87,'3) Release_Label'!$D:$D&amp;'3) Release_Label'!$E:$E,1,0)),"NO UPC-CATALOG ID pair MATCH in Release_Label" )</f>
        <v>Tu Te Main (From "Golak Bugni Bank Te Batua" Soundtrack)</v>
      </c>
      <c r="D87" s="121" t="str">
        <f t="array" ref="D87">ifs(and(isblank($A87),isblank($B87)),"", not(iserror(vlookup($A87&amp;$B87,'3) Release_Label'!$D:$D&amp;'3) Release_Label'!$E:$E,1,0))),vlookup($A87&amp;$B87,{'3) Release_Label'!$D:$D&amp;'3) Release_Label'!$E:$E,'3) Release_Label'!$H:$H},2,0), or(and(not(isblank($B87)),$B87=$B86,$A87&lt;&gt;$A86),and(not(isblank($A87)),$A87=$A86,$B87&lt;&gt;$B86)),"ID LISTS UNALIGNED",and($A87&lt;&gt;"",countif('3) Release_Label'!$D:$D,$A87)=0),"NO UPC MATCH in Release_Label",and($B87&lt;&gt;"",countif('3) Release_Label'!$E:$E,$B87)=0),"NO CATALOG ID MATCH in Release_Label",iserror(vlookup($A87&amp;$B87,'3) Release_Label'!$D:$D&amp;'3) Release_Label'!$E:$E,1,0)),"NO UPC-CATALOG ID pair MATCH in Release_Label" )</f>
        <v/>
      </c>
      <c r="E87" s="128" t="s">
        <v>51</v>
      </c>
      <c r="F87" s="8" t="s">
        <v>325</v>
      </c>
      <c r="G87" s="123" t="str">
        <f t="array" ref="G87">ifs(or($F87="",$F87="Main Primary Artist"),$F87,not(iserror(vlookup($F87,'Reference info'!$J$5:$J$8,1,0))),"Key Artist",not(iserror(vlookup($F87,'Reference info'!$J$38:$J$405,1,0))),"Performer",not(iserror(vlookup($F87,'Reference info'!$J$10:$J$36,1,0))),"Producer &amp; Engineer")</f>
        <v>Key Artist</v>
      </c>
    </row>
    <row r="88">
      <c r="A88" s="119">
        <v>9.995964332228E12</v>
      </c>
      <c r="B88" s="103"/>
      <c r="C88" s="121" t="str">
        <f t="array" ref="C88">ifs(and(isblank($A88),isblank($B88)),"", not(iserror(vlookup($A88&amp;$B88,'3) Release_Label'!$D:$D&amp;'3) Release_Label'!$E:$E,1,0))),vlookup($A88&amp;$B88,{'3) Release_Label'!$D:$D&amp;'3) Release_Label'!$E:$E,'3) Release_Label'!$F:$F},2,0), or(and(not(isblank($B88)),$B88=$B87,$A88&lt;&gt;$A87),and(not(isblank($A88)),$A88=$A87,$B88&lt;&gt;$B87)),"ID LISTS UNALIGNED",and($A88&lt;&gt;"",countif('3) Release_Label'!$D:$D,$A88)=0),"NO UPC MATCH in Release_Label",and($B88&lt;&gt;"",countif('3) Release_Label'!$E:$E,$B88)=0),"NO CATALOG ID MATCH in Release_Label",iserror(vlookup($A88&amp;$B88,'3) Release_Label'!$D:$D&amp;'3) Release_Label'!$E:$E,1,0)),"NO UPC-CATALOG ID pair MATCH in Release_Label" )</f>
        <v>Vaar (From "Bhalwan Singh" Soundtrack)</v>
      </c>
      <c r="D88" s="121" t="str">
        <f t="array" ref="D88">ifs(and(isblank($A88),isblank($B88)),"", not(iserror(vlookup($A88&amp;$B88,'3) Release_Label'!$D:$D&amp;'3) Release_Label'!$E:$E,1,0))),vlookup($A88&amp;$B88,{'3) Release_Label'!$D:$D&amp;'3) Release_Label'!$E:$E,'3) Release_Label'!$H:$H},2,0), or(and(not(isblank($B88)),$B88=$B87,$A88&lt;&gt;$A87),and(not(isblank($A88)),$A88=$A87,$B88&lt;&gt;$B87)),"ID LISTS UNALIGNED",and($A88&lt;&gt;"",countif('3) Release_Label'!$D:$D,$A88)=0),"NO UPC MATCH in Release_Label",and($B88&lt;&gt;"",countif('3) Release_Label'!$E:$E,$B88)=0),"NO CATALOG ID MATCH in Release_Label",iserror(vlookup($A88&amp;$B88,'3) Release_Label'!$D:$D&amp;'3) Release_Label'!$E:$E,1,0)),"NO UPC-CATALOG ID pair MATCH in Release_Label" )</f>
        <v/>
      </c>
      <c r="E88" s="128" t="s">
        <v>97</v>
      </c>
      <c r="F88" s="8" t="s">
        <v>323</v>
      </c>
      <c r="G88" s="123" t="str">
        <f t="array" ref="G88">ifs(or($F88="",$F88="Main Primary Artist"),$F88,not(iserror(vlookup($F88,'Reference info'!$J$5:$J$8,1,0))),"Key Artist",not(iserror(vlookup($F88,'Reference info'!$J$38:$J$405,1,0))),"Performer",not(iserror(vlookup($F88,'Reference info'!$J$10:$J$36,1,0))),"Producer &amp; Engineer")</f>
        <v>Main Primary Artist</v>
      </c>
    </row>
    <row r="89">
      <c r="A89" s="119">
        <v>9.995964332228E12</v>
      </c>
      <c r="B89" s="103"/>
      <c r="C89" s="121" t="str">
        <f t="array" ref="C89">ifs(and(isblank($A89),isblank($B89)),"", not(iserror(vlookup($A89&amp;$B89,'3) Release_Label'!$D:$D&amp;'3) Release_Label'!$E:$E,1,0))),vlookup($A89&amp;$B89,{'3) Release_Label'!$D:$D&amp;'3) Release_Label'!$E:$E,'3) Release_Label'!$F:$F},2,0), or(and(not(isblank($B89)),$B89=$B88,$A89&lt;&gt;$A88),and(not(isblank($A89)),$A89=$A88,$B89&lt;&gt;$B88)),"ID LISTS UNALIGNED",and($A89&lt;&gt;"",countif('3) Release_Label'!$D:$D,$A89)=0),"NO UPC MATCH in Release_Label",and($B89&lt;&gt;"",countif('3) Release_Label'!$E:$E,$B89)=0),"NO CATALOG ID MATCH in Release_Label",iserror(vlookup($A89&amp;$B89,'3) Release_Label'!$D:$D&amp;'3) Release_Label'!$E:$E,1,0)),"NO UPC-CATALOG ID pair MATCH in Release_Label" )</f>
        <v>Vaar (From "Bhalwan Singh" Soundtrack)</v>
      </c>
      <c r="D89" s="121" t="str">
        <f t="array" ref="D89">ifs(and(isblank($A89),isblank($B89)),"", not(iserror(vlookup($A89&amp;$B89,'3) Release_Label'!$D:$D&amp;'3) Release_Label'!$E:$E,1,0))),vlookup($A89&amp;$B89,{'3) Release_Label'!$D:$D&amp;'3) Release_Label'!$E:$E,'3) Release_Label'!$H:$H},2,0), or(and(not(isblank($B89)),$B89=$B88,$A89&lt;&gt;$A88),and(not(isblank($A89)),$A89=$A88,$B89&lt;&gt;$B88)),"ID LISTS UNALIGNED",and($A89&lt;&gt;"",countif('3) Release_Label'!$D:$D,$A89)=0),"NO UPC MATCH in Release_Label",and($B89&lt;&gt;"",countif('3) Release_Label'!$E:$E,$B89)=0),"NO CATALOG ID MATCH in Release_Label",iserror(vlookup($A89&amp;$B89,'3) Release_Label'!$D:$D&amp;'3) Release_Label'!$E:$E,1,0)),"NO UPC-CATALOG ID pair MATCH in Release_Label" )</f>
        <v/>
      </c>
      <c r="E89" s="128" t="s">
        <v>47</v>
      </c>
      <c r="F89" s="8" t="s">
        <v>325</v>
      </c>
      <c r="G89" s="123" t="str">
        <f t="array" ref="G89">ifs(or($F89="",$F89="Main Primary Artist"),$F89,not(iserror(vlookup($F89,'Reference info'!$J$5:$J$8,1,0))),"Key Artist",not(iserror(vlookup($F89,'Reference info'!$J$38:$J$405,1,0))),"Performer",not(iserror(vlookup($F89,'Reference info'!$J$10:$J$36,1,0))),"Producer &amp; Engineer")</f>
        <v>Key Artist</v>
      </c>
    </row>
    <row r="90">
      <c r="A90" s="119">
        <v>9.995964331528E12</v>
      </c>
      <c r="B90" s="103"/>
      <c r="C90" s="121" t="str">
        <f t="array" ref="C90">ifs(and(isblank($A90),isblank($B90)),"", not(iserror(vlookup($A90&amp;$B90,'3) Release_Label'!$D:$D&amp;'3) Release_Label'!$E:$E,1,0))),vlookup($A90&amp;$B90,{'3) Release_Label'!$D:$D&amp;'3) Release_Label'!$E:$E,'3) Release_Label'!$F:$F},2,0), or(and(not(isblank($B90)),$B90=#REF!,$A90&lt;&gt;#REF!),and(not(isblank($A90)),$A90=#REF!,$B90&lt;&gt;#REF!)),"ID LISTS UNALIGNED",and($A90&lt;&gt;"",countif('3) Release_Label'!$D:$D,$A90)=0),"NO UPC MATCH in Release_Label",and($B90&lt;&gt;"",countif('3) Release_Label'!$E:$E,$B90)=0),"NO CATALOG ID MATCH in Release_Label",iserror(vlookup($A90&amp;$B90,'3) Release_Label'!$D:$D&amp;'3) Release_Label'!$E:$E,1,0)),"NO UPC-CATALOG ID pair MATCH in Release_Label" )</f>
        <v>Vekh Baraatan Challiyan - Title Song (From "Vekh Baraatan Challiyan" Soundtrack)</v>
      </c>
      <c r="D90" s="121" t="str">
        <f t="array" ref="D90">ifs(and(isblank($A90),isblank($B90)),"", not(iserror(vlookup($A90&amp;$B90,'3) Release_Label'!$D:$D&amp;'3) Release_Label'!$E:$E,1,0))),vlookup($A90&amp;$B90,{'3) Release_Label'!$D:$D&amp;'3) Release_Label'!$E:$E,'3) Release_Label'!$H:$H},2,0), or(and(not(isblank($B90)),$B90=#REF!,$A90&lt;&gt;#REF!),and(not(isblank($A90)),$A90=#REF!,$B90&lt;&gt;#REF!)),"ID LISTS UNALIGNED",and($A90&lt;&gt;"",countif('3) Release_Label'!$D:$D,$A90)=0),"NO UPC MATCH in Release_Label",and($B90&lt;&gt;"",countif('3) Release_Label'!$E:$E,$B90)=0),"NO CATALOG ID MATCH in Release_Label",iserror(vlookup($A90&amp;$B90,'3) Release_Label'!$D:$D&amp;'3) Release_Label'!$E:$E,1,0)),"NO UPC-CATALOG ID pair MATCH in Release_Label" )</f>
        <v/>
      </c>
      <c r="E90" s="128" t="s">
        <v>42</v>
      </c>
      <c r="F90" s="8" t="s">
        <v>323</v>
      </c>
      <c r="G90" s="123" t="str">
        <f t="array" ref="G90">ifs(or($F90="",$F90="Main Primary Artist"),$F90,not(iserror(vlookup($F90,'Reference info'!$J$5:$J$8,1,0))),"Key Artist",not(iserror(vlookup($F90,'Reference info'!$J$38:$J$405,1,0))),"Performer",not(iserror(vlookup($F90,'Reference info'!$J$10:$J$36,1,0))),"Producer &amp; Engineer")</f>
        <v>Main Primary Artist</v>
      </c>
    </row>
    <row r="91">
      <c r="A91" s="119">
        <v>9.995964331528E12</v>
      </c>
      <c r="B91" s="103"/>
      <c r="C91" s="121" t="str">
        <f t="array" ref="C91">ifs(and(isblank($A91),isblank($B91)),"", not(iserror(vlookup($A91&amp;$B91,'3) Release_Label'!$D:$D&amp;'3) Release_Label'!$E:$E,1,0))),vlookup($A91&amp;$B91,{'3) Release_Label'!$D:$D&amp;'3) Release_Label'!$E:$E,'3) Release_Label'!$F:$F},2,0), or(and(not(isblank($B91)),$B91=$B90,$A91&lt;&gt;$A90),and(not(isblank($A91)),$A91=$A90,$B91&lt;&gt;$B90)),"ID LISTS UNALIGNED",and($A91&lt;&gt;"",countif('3) Release_Label'!$D:$D,$A91)=0),"NO UPC MATCH in Release_Label",and($B91&lt;&gt;"",countif('3) Release_Label'!$E:$E,$B91)=0),"NO CATALOG ID MATCH in Release_Label",iserror(vlookup($A91&amp;$B91,'3) Release_Label'!$D:$D&amp;'3) Release_Label'!$E:$E,1,0)),"NO UPC-CATALOG ID pair MATCH in Release_Label" )</f>
        <v>Vekh Baraatan Challiyan - Title Song (From "Vekh Baraatan Challiyan" Soundtrack)</v>
      </c>
      <c r="D91" s="121" t="str">
        <f t="array" ref="D91">ifs(and(isblank($A91),isblank($B91)),"", not(iserror(vlookup($A91&amp;$B91,'3) Release_Label'!$D:$D&amp;'3) Release_Label'!$E:$E,1,0))),vlookup($A91&amp;$B91,{'3) Release_Label'!$D:$D&amp;'3) Release_Label'!$E:$E,'3) Release_Label'!$H:$H},2,0), or(and(not(isblank($B91)),$B91=$B90,$A91&lt;&gt;$A90),and(not(isblank($A91)),$A91=$A90,$B91&lt;&gt;$B90)),"ID LISTS UNALIGNED",and($A91&lt;&gt;"",countif('3) Release_Label'!$D:$D,$A91)=0),"NO UPC MATCH in Release_Label",and($B91&lt;&gt;"",countif('3) Release_Label'!$E:$E,$B91)=0),"NO CATALOG ID MATCH in Release_Label",iserror(vlookup($A91&amp;$B91,'3) Release_Label'!$D:$D&amp;'3) Release_Label'!$E:$E,1,0)),"NO UPC-CATALOG ID pair MATCH in Release_Label" )</f>
        <v/>
      </c>
      <c r="E91" s="128" t="s">
        <v>63</v>
      </c>
      <c r="F91" s="8" t="s">
        <v>324</v>
      </c>
      <c r="G91" s="123" t="str">
        <f t="array" ref="G91">ifs(or($F91="",$F91="Main Primary Artist"),$F91,not(iserror(vlookup($F91,'Reference info'!$J$5:$J$8,1,0))),"Key Artist",not(iserror(vlookup($F91,'Reference info'!$J$38:$J$405,1,0))),"Performer",not(iserror(vlookup($F91,'Reference info'!$J$10:$J$36,1,0))),"Producer &amp; Engineer")</f>
        <v>Key Artist</v>
      </c>
    </row>
    <row r="92">
      <c r="A92" s="119">
        <v>9.995964331528E12</v>
      </c>
      <c r="B92" s="103"/>
      <c r="C92" s="121" t="str">
        <f t="array" ref="C92">ifs(and(isblank($A92),isblank($B92)),"", not(iserror(vlookup($A92&amp;$B92,'3) Release_Label'!$D:$D&amp;'3) Release_Label'!$E:$E,1,0))),vlookup($A92&amp;$B92,{'3) Release_Label'!$D:$D&amp;'3) Release_Label'!$E:$E,'3) Release_Label'!$F:$F},2,0), or(and(not(isblank($B92)),$B92=$B91,$A92&lt;&gt;$A91),and(not(isblank($A92)),$A92=$A91,$B92&lt;&gt;$B91)),"ID LISTS UNALIGNED",and($A92&lt;&gt;"",countif('3) Release_Label'!$D:$D,$A92)=0),"NO UPC MATCH in Release_Label",and($B92&lt;&gt;"",countif('3) Release_Label'!$E:$E,$B92)=0),"NO CATALOG ID MATCH in Release_Label",iserror(vlookup($A92&amp;$B92,'3) Release_Label'!$D:$D&amp;'3) Release_Label'!$E:$E,1,0)),"NO UPC-CATALOG ID pair MATCH in Release_Label" )</f>
        <v>Vekh Baraatan Challiyan - Title Song (From "Vekh Baraatan Challiyan" Soundtrack)</v>
      </c>
      <c r="D92" s="121" t="str">
        <f t="array" ref="D92">ifs(and(isblank($A92),isblank($B92)),"", not(iserror(vlookup($A92&amp;$B92,'3) Release_Label'!$D:$D&amp;'3) Release_Label'!$E:$E,1,0))),vlookup($A92&amp;$B92,{'3) Release_Label'!$D:$D&amp;'3) Release_Label'!$E:$E,'3) Release_Label'!$H:$H},2,0), or(and(not(isblank($B92)),$B92=$B91,$A92&lt;&gt;$A91),and(not(isblank($A92)),$A92=$A91,$B92&lt;&gt;$B91)),"ID LISTS UNALIGNED",and($A92&lt;&gt;"",countif('3) Release_Label'!$D:$D,$A92)=0),"NO UPC MATCH in Release_Label",and($B92&lt;&gt;"",countif('3) Release_Label'!$E:$E,$B92)=0),"NO CATALOG ID MATCH in Release_Label",iserror(vlookup($A92&amp;$B92,'3) Release_Label'!$D:$D&amp;'3) Release_Label'!$E:$E,1,0)),"NO UPC-CATALOG ID pair MATCH in Release_Label" )</f>
        <v/>
      </c>
      <c r="E92" s="128" t="s">
        <v>57</v>
      </c>
      <c r="F92" s="8" t="s">
        <v>324</v>
      </c>
      <c r="G92" s="123" t="str">
        <f t="array" ref="G92">ifs(or($F92="",$F92="Main Primary Artist"),$F92,not(iserror(vlookup($F92,'Reference info'!$J$5:$J$8,1,0))),"Key Artist",not(iserror(vlookup($F92,'Reference info'!$J$38:$J$405,1,0))),"Performer",not(iserror(vlookup($F92,'Reference info'!$J$10:$J$36,1,0))),"Producer &amp; Engineer")</f>
        <v>Key Artist</v>
      </c>
    </row>
    <row r="93">
      <c r="A93" s="119">
        <v>9.995964331528E12</v>
      </c>
      <c r="B93" s="103"/>
      <c r="C93" s="121" t="str">
        <f t="array" ref="C93">ifs(and(isblank($A93),isblank($B93)),"", not(iserror(vlookup($A93&amp;$B93,'3) Release_Label'!$D:$D&amp;'3) Release_Label'!$E:$E,1,0))),vlookup($A93&amp;$B93,{'3) Release_Label'!$D:$D&amp;'3) Release_Label'!$E:$E,'3) Release_Label'!$F:$F},2,0), or(and(not(isblank($B93)),$B93=$B92,$A93&lt;&gt;$A92),and(not(isblank($A93)),$A93=$A92,$B93&lt;&gt;$B92)),"ID LISTS UNALIGNED",and($A93&lt;&gt;"",countif('3) Release_Label'!$D:$D,$A93)=0),"NO UPC MATCH in Release_Label",and($B93&lt;&gt;"",countif('3) Release_Label'!$E:$E,$B93)=0),"NO CATALOG ID MATCH in Release_Label",iserror(vlookup($A93&amp;$B93,'3) Release_Label'!$D:$D&amp;'3) Release_Label'!$E:$E,1,0)),"NO UPC-CATALOG ID pair MATCH in Release_Label" )</f>
        <v>Vekh Baraatan Challiyan - Title Song (From "Vekh Baraatan Challiyan" Soundtrack)</v>
      </c>
      <c r="D93" s="121" t="str">
        <f t="array" ref="D93">ifs(and(isblank($A93),isblank($B93)),"", not(iserror(vlookup($A93&amp;$B93,'3) Release_Label'!$D:$D&amp;'3) Release_Label'!$E:$E,1,0))),vlookup($A93&amp;$B93,{'3) Release_Label'!$D:$D&amp;'3) Release_Label'!$E:$E,'3) Release_Label'!$H:$H},2,0), or(and(not(isblank($B93)),$B93=$B92,$A93&lt;&gt;$A92),and(not(isblank($A93)),$A93=$A92,$B93&lt;&gt;$B92)),"ID LISTS UNALIGNED",and($A93&lt;&gt;"",countif('3) Release_Label'!$D:$D,$A93)=0),"NO UPC MATCH in Release_Label",and($B93&lt;&gt;"",countif('3) Release_Label'!$E:$E,$B93)=0),"NO CATALOG ID MATCH in Release_Label",iserror(vlookup($A93&amp;$B93,'3) Release_Label'!$D:$D&amp;'3) Release_Label'!$E:$E,1,0)),"NO UPC-CATALOG ID pair MATCH in Release_Label" )</f>
        <v/>
      </c>
      <c r="E93" s="128" t="s">
        <v>47</v>
      </c>
      <c r="F93" s="8" t="s">
        <v>325</v>
      </c>
      <c r="G93" s="123" t="str">
        <f t="array" ref="G93">ifs(or($F93="",$F93="Main Primary Artist"),$F93,not(iserror(vlookup($F93,'Reference info'!$J$5:$J$8,1,0))),"Key Artist",not(iserror(vlookup($F93,'Reference info'!$J$38:$J$405,1,0))),"Performer",not(iserror(vlookup($F93,'Reference info'!$J$10:$J$36,1,0))),"Producer &amp; Engineer")</f>
        <v>Key Artist</v>
      </c>
    </row>
    <row r="94">
      <c r="A94" s="119">
        <v>9.995964357931E12</v>
      </c>
      <c r="B94" s="103"/>
      <c r="C94" s="121" t="str">
        <f t="array" ref="C94">ifs(and(isblank($A94),isblank($B94)),"", not(iserror(vlookup($A94&amp;$B94,'3) Release_Label'!$D:$D&amp;'3) Release_Label'!$E:$E,1,0))),vlookup($A94&amp;$B94,{'3) Release_Label'!$D:$D&amp;'3) Release_Label'!$E:$E,'3) Release_Label'!$F:$F},2,0), or(and(not(isblank($B94)),$B94=$B93,$A94&lt;&gt;$A93),and(not(isblank($A94)),$A94=$A93,$B94&lt;&gt;$B93)),"ID LISTS UNALIGNED",and($A94&lt;&gt;"",countif('3) Release_Label'!$D:$D,$A94)=0),"NO UPC MATCH in Release_Label",and($B94&lt;&gt;"",countif('3) Release_Label'!$E:$E,$B94)=0),"NO CATALOG ID MATCH in Release_Label",iserror(vlookup($A94&amp;$B94,'3) Release_Label'!$D:$D&amp;'3) Release_Label'!$E:$E,1,0)),"NO UPC-CATALOG ID pair MATCH in Release_Label" )</f>
        <v>Leekan (From "Ashke" Soundtrack)</v>
      </c>
      <c r="D94" s="121" t="str">
        <f t="array" ref="D94">ifs(and(isblank($A94),isblank($B94)),"", not(iserror(vlookup($A94&amp;$B94,'3) Release_Label'!$D:$D&amp;'3) Release_Label'!$E:$E,1,0))),vlookup($A94&amp;$B94,{'3) Release_Label'!$D:$D&amp;'3) Release_Label'!$E:$E,'3) Release_Label'!$H:$H},2,0), or(and(not(isblank($B94)),$B94=$B93,$A94&lt;&gt;$A93),and(not(isblank($A94)),$A94=$A93,$B94&lt;&gt;$B93)),"ID LISTS UNALIGNED",and($A94&lt;&gt;"",countif('3) Release_Label'!$D:$D,$A94)=0),"NO UPC MATCH in Release_Label",and($B94&lt;&gt;"",countif('3) Release_Label'!$E:$E,$B94)=0),"NO CATALOG ID MATCH in Release_Label",iserror(vlookup($A94&amp;$B94,'3) Release_Label'!$D:$D&amp;'3) Release_Label'!$E:$E,1,0)),"NO UPC-CATALOG ID pair MATCH in Release_Label" )</f>
        <v/>
      </c>
      <c r="E94" s="128" t="s">
        <v>49</v>
      </c>
      <c r="F94" s="8" t="s">
        <v>323</v>
      </c>
      <c r="G94" s="123" t="str">
        <f t="array" ref="G94">ifs(or($F94="",$F94="Main Primary Artist"),$F94,not(iserror(vlookup($F94,'Reference info'!$J$5:$J$8,1,0))),"Key Artist",not(iserror(vlookup($F94,'Reference info'!$J$38:$J$405,1,0))),"Performer",not(iserror(vlookup($F94,'Reference info'!$J$10:$J$36,1,0))),"Producer &amp; Engineer")</f>
        <v>Main Primary Artist</v>
      </c>
    </row>
    <row r="95">
      <c r="A95" s="119">
        <v>9.995964357931E12</v>
      </c>
      <c r="B95" s="103"/>
      <c r="C95" s="121" t="str">
        <f t="array" ref="C95">ifs(and(isblank($A95),isblank($B95)),"", not(iserror(vlookup($A95&amp;$B95,'3) Release_Label'!$D:$D&amp;'3) Release_Label'!$E:$E,1,0))),vlookup($A95&amp;$B95,{'3) Release_Label'!$D:$D&amp;'3) Release_Label'!$E:$E,'3) Release_Label'!$F:$F},2,0), or(and(not(isblank($B95)),$B95=$B94,$A95&lt;&gt;$A94),and(not(isblank($A95)),$A95=$A94,$B95&lt;&gt;$B94)),"ID LISTS UNALIGNED",and($A95&lt;&gt;"",countif('3) Release_Label'!$D:$D,$A95)=0),"NO UPC MATCH in Release_Label",and($B95&lt;&gt;"",countif('3) Release_Label'!$E:$E,$B95)=0),"NO CATALOG ID MATCH in Release_Label",iserror(vlookup($A95&amp;$B95,'3) Release_Label'!$D:$D&amp;'3) Release_Label'!$E:$E,1,0)),"NO UPC-CATALOG ID pair MATCH in Release_Label" )</f>
        <v>Leekan (From "Ashke" Soundtrack)</v>
      </c>
      <c r="D95" s="121" t="str">
        <f t="array" ref="D95">ifs(and(isblank($A95),isblank($B95)),"", not(iserror(vlookup($A95&amp;$B95,'3) Release_Label'!$D:$D&amp;'3) Release_Label'!$E:$E,1,0))),vlookup($A95&amp;$B95,{'3) Release_Label'!$D:$D&amp;'3) Release_Label'!$E:$E,'3) Release_Label'!$H:$H},2,0), or(and(not(isblank($B95)),$B95=$B94,$A95&lt;&gt;$A94),and(not(isblank($A95)),$A95=$A94,$B95&lt;&gt;$B94)),"ID LISTS UNALIGNED",and($A95&lt;&gt;"",countif('3) Release_Label'!$D:$D,$A95)=0),"NO UPC MATCH in Release_Label",and($B95&lt;&gt;"",countif('3) Release_Label'!$E:$E,$B95)=0),"NO CATALOG ID MATCH in Release_Label",iserror(vlookup($A95&amp;$B95,'3) Release_Label'!$D:$D&amp;'3) Release_Label'!$E:$E,1,0)),"NO UPC-CATALOG ID pair MATCH in Release_Label" )</f>
        <v/>
      </c>
      <c r="E95" s="128" t="s">
        <v>51</v>
      </c>
      <c r="F95" s="8" t="s">
        <v>325</v>
      </c>
      <c r="G95" s="123" t="str">
        <f t="array" ref="G95">ifs(or($F95="",$F95="Main Primary Artist"),$F95,not(iserror(vlookup($F95,'Reference info'!$J$5:$J$8,1,0))),"Key Artist",not(iserror(vlookup($F95,'Reference info'!$J$38:$J$405,1,0))),"Performer",not(iserror(vlookup($F95,'Reference info'!$J$10:$J$36,1,0))),"Producer &amp; Engineer")</f>
        <v>Key Artist</v>
      </c>
    </row>
    <row r="96">
      <c r="A96" s="119">
        <v>9.995964357917E12</v>
      </c>
      <c r="B96" s="103"/>
      <c r="C96" s="121" t="str">
        <f t="array" ref="C96">ifs(and(isblank($A96),isblank($B96)),"", not(iserror(vlookup($A96&amp;$B96,'3) Release_Label'!$D:$D&amp;'3) Release_Label'!$E:$E,1,0))),vlookup($A96&amp;$B96,{'3) Release_Label'!$D:$D&amp;'3) Release_Label'!$E:$E,'3) Release_Label'!$F:$F},2,0), or(and(not(isblank($B96)),$B96=$B95,$A96&lt;&gt;$A95),and(not(isblank($A96)),$A96=$A95,$B96&lt;&gt;$B95)),"ID LISTS UNALIGNED",and($A96&lt;&gt;"",countif('3) Release_Label'!$D:$D,$A96)=0),"NO UPC MATCH in Release_Label",and($B96&lt;&gt;"",countif('3) Release_Label'!$E:$E,$B96)=0),"NO CATALOG ID MATCH in Release_Label",iserror(vlookup($A96&amp;$B96,'3) Release_Label'!$D:$D&amp;'3) Release_Label'!$E:$E,1,0)),"NO UPC-CATALOG ID pair MATCH in Release_Label" )</f>
        <v>Handsome Jatta (From "Ashke" Soundtrack)</v>
      </c>
      <c r="D96" s="121" t="str">
        <f t="array" ref="D96">ifs(and(isblank($A96),isblank($B96)),"", not(iserror(vlookup($A96&amp;$B96,'3) Release_Label'!$D:$D&amp;'3) Release_Label'!$E:$E,1,0))),vlookup($A96&amp;$B96,{'3) Release_Label'!$D:$D&amp;'3) Release_Label'!$E:$E,'3) Release_Label'!$H:$H},2,0), or(and(not(isblank($B96)),$B96=$B95,$A96&lt;&gt;$A95),and(not(isblank($A96)),$A96=$A95,$B96&lt;&gt;$B95)),"ID LISTS UNALIGNED",and($A96&lt;&gt;"",countif('3) Release_Label'!$D:$D,$A96)=0),"NO UPC MATCH in Release_Label",and($B96&lt;&gt;"",countif('3) Release_Label'!$E:$E,$B96)=0),"NO CATALOG ID MATCH in Release_Label",iserror(vlookup($A96&amp;$B96,'3) Release_Label'!$D:$D&amp;'3) Release_Label'!$E:$E,1,0)),"NO UPC-CATALOG ID pair MATCH in Release_Label" )</f>
        <v/>
      </c>
      <c r="E96" s="128" t="s">
        <v>99</v>
      </c>
      <c r="F96" s="8" t="s">
        <v>323</v>
      </c>
      <c r="G96" s="123" t="str">
        <f t="array" ref="G96">ifs(or($F96="",$F96="Main Primary Artist"),$F96,not(iserror(vlookup($F96,'Reference info'!$J$5:$J$8,1,0))),"Key Artist",not(iserror(vlookup($F96,'Reference info'!$J$38:$J$405,1,0))),"Performer",not(iserror(vlookup($F96,'Reference info'!$J$10:$J$36,1,0))),"Producer &amp; Engineer")</f>
        <v>Main Primary Artist</v>
      </c>
    </row>
    <row r="97">
      <c r="A97" s="119">
        <v>9.995964357917E12</v>
      </c>
      <c r="B97" s="103"/>
      <c r="C97" s="121" t="str">
        <f t="array" ref="C97">ifs(and(isblank($A97),isblank($B97)),"", not(iserror(vlookup($A97&amp;$B97,'3) Release_Label'!$D:$D&amp;'3) Release_Label'!$E:$E,1,0))),vlookup($A97&amp;$B97,{'3) Release_Label'!$D:$D&amp;'3) Release_Label'!$E:$E,'3) Release_Label'!$F:$F},2,0), or(and(not(isblank($B97)),$B97=$B96,$A97&lt;&gt;$A96),and(not(isblank($A97)),$A97=$A96,$B97&lt;&gt;$B96)),"ID LISTS UNALIGNED",and($A97&lt;&gt;"",countif('3) Release_Label'!$D:$D,$A97)=0),"NO UPC MATCH in Release_Label",and($B97&lt;&gt;"",countif('3) Release_Label'!$E:$E,$B97)=0),"NO CATALOG ID MATCH in Release_Label",iserror(vlookup($A97&amp;$B97,'3) Release_Label'!$D:$D&amp;'3) Release_Label'!$E:$E,1,0)),"NO UPC-CATALOG ID pair MATCH in Release_Label" )</f>
        <v>Handsome Jatta (From "Ashke" Soundtrack)</v>
      </c>
      <c r="D97" s="121" t="str">
        <f t="array" ref="D97">ifs(and(isblank($A97),isblank($B97)),"", not(iserror(vlookup($A97&amp;$B97,'3) Release_Label'!$D:$D&amp;'3) Release_Label'!$E:$E,1,0))),vlookup($A97&amp;$B97,{'3) Release_Label'!$D:$D&amp;'3) Release_Label'!$E:$E,'3) Release_Label'!$H:$H},2,0), or(and(not(isblank($B97)),$B97=$B96,$A97&lt;&gt;$A96),and(not(isblank($A97)),$A97=$A96,$B97&lt;&gt;$B96)),"ID LISTS UNALIGNED",and($A97&lt;&gt;"",countif('3) Release_Label'!$D:$D,$A97)=0),"NO UPC MATCH in Release_Label",and($B97&lt;&gt;"",countif('3) Release_Label'!$E:$E,$B97)=0),"NO CATALOG ID MATCH in Release_Label",iserror(vlookup($A97&amp;$B97,'3) Release_Label'!$D:$D&amp;'3) Release_Label'!$E:$E,1,0)),"NO UPC-CATALOG ID pair MATCH in Release_Label" )</f>
        <v/>
      </c>
      <c r="E97" s="128" t="s">
        <v>101</v>
      </c>
      <c r="F97" s="8" t="s">
        <v>325</v>
      </c>
      <c r="G97" s="123" t="str">
        <f t="array" ref="G97">ifs(or($F97="",$F97="Main Primary Artist"),$F97,not(iserror(vlookup($F97,'Reference info'!$J$5:$J$8,1,0))),"Key Artist",not(iserror(vlookup($F97,'Reference info'!$J$38:$J$405,1,0))),"Performer",not(iserror(vlookup($F97,'Reference info'!$J$10:$J$36,1,0))),"Producer &amp; Engineer")</f>
        <v>Key Artist</v>
      </c>
    </row>
    <row r="98">
      <c r="A98" s="119">
        <v>9.995964357917E12</v>
      </c>
      <c r="B98" s="103"/>
      <c r="C98" s="121" t="str">
        <f t="array" ref="C98">ifs(and(isblank($A98),isblank($B98)),"", not(iserror(vlookup($A98&amp;$B98,'3) Release_Label'!$D:$D&amp;'3) Release_Label'!$E:$E,1,0))),vlookup($A98&amp;$B98,{'3) Release_Label'!$D:$D&amp;'3) Release_Label'!$E:$E,'3) Release_Label'!$F:$F},2,0), or(and(not(isblank($B98)),$B98=$B97,$A98&lt;&gt;$A97),and(not(isblank($A98)),$A98=$A97,$B98&lt;&gt;$B97)),"ID LISTS UNALIGNED",and($A98&lt;&gt;"",countif('3) Release_Label'!$D:$D,$A98)=0),"NO UPC MATCH in Release_Label",and($B98&lt;&gt;"",countif('3) Release_Label'!$E:$E,$B98)=0),"NO CATALOG ID MATCH in Release_Label",iserror(vlookup($A98&amp;$B98,'3) Release_Label'!$D:$D&amp;'3) Release_Label'!$E:$E,1,0)),"NO UPC-CATALOG ID pair MATCH in Release_Label" )</f>
        <v>Handsome Jatta (From "Ashke" Soundtrack)</v>
      </c>
      <c r="D98" s="121" t="str">
        <f t="array" ref="D98">ifs(and(isblank($A98),isblank($B98)),"", not(iserror(vlookup($A98&amp;$B98,'3) Release_Label'!$D:$D&amp;'3) Release_Label'!$E:$E,1,0))),vlookup($A98&amp;$B98,{'3) Release_Label'!$D:$D&amp;'3) Release_Label'!$E:$E,'3) Release_Label'!$H:$H},2,0), or(and(not(isblank($B98)),$B98=$B97,$A98&lt;&gt;$A97),and(not(isblank($A98)),$A98=$A97,$B98&lt;&gt;$B97)),"ID LISTS UNALIGNED",and($A98&lt;&gt;"",countif('3) Release_Label'!$D:$D,$A98)=0),"NO UPC MATCH in Release_Label",and($B98&lt;&gt;"",countif('3) Release_Label'!$E:$E,$B98)=0),"NO CATALOG ID MATCH in Release_Label",iserror(vlookup($A98&amp;$B98,'3) Release_Label'!$D:$D&amp;'3) Release_Label'!$E:$E,1,0)),"NO UPC-CATALOG ID pair MATCH in Release_Label" )</f>
        <v/>
      </c>
      <c r="E98" s="128" t="s">
        <v>103</v>
      </c>
      <c r="F98" s="8" t="s">
        <v>325</v>
      </c>
      <c r="G98" s="123" t="str">
        <f t="array" ref="G98">ifs(or($F98="",$F98="Main Primary Artist"),$F98,not(iserror(vlookup($F98,'Reference info'!$J$5:$J$8,1,0))),"Key Artist",not(iserror(vlookup($F98,'Reference info'!$J$38:$J$405,1,0))),"Performer",not(iserror(vlookup($F98,'Reference info'!$J$10:$J$36,1,0))),"Producer &amp; Engineer")</f>
        <v>Key Artist</v>
      </c>
    </row>
    <row r="99">
      <c r="A99" s="119">
        <v>9.995964359133E12</v>
      </c>
      <c r="B99" s="103"/>
      <c r="C99" s="121" t="str">
        <f t="array" ref="C99">ifs(and(isblank($A99),isblank($B99)),"", not(iserror(vlookup($A99&amp;$B99,'3) Release_Label'!$D:$D&amp;'3) Release_Label'!$E:$E,1,0))),vlookup($A99&amp;$B99,{'3) Release_Label'!$D:$D&amp;'3) Release_Label'!$E:$E,'3) Release_Label'!$F:$F},2,0), or(and(not(isblank($B99)),$B99=$B98,$A99&lt;&gt;$A98),and(not(isblank($A99)),$A99=$A98,$B99&lt;&gt;$B98)),"ID LISTS UNALIGNED",and($A99&lt;&gt;"",countif('3) Release_Label'!$D:$D,$A99)=0),"NO UPC MATCH in Release_Label",and($B99&lt;&gt;"",countif('3) Release_Label'!$E:$E,$B99)=0),"NO CATALOG ID MATCH in Release_Label",iserror(vlookup($A99&amp;$B99,'3) Release_Label'!$D:$D&amp;'3) Release_Label'!$E:$E,1,0)),"NO UPC-CATALOG ID pair MATCH in Release_Label" )</f>
        <v>Bholepan (From "Ashke" Soundtrack)</v>
      </c>
      <c r="D99" s="121" t="str">
        <f t="array" ref="D99">ifs(and(isblank($A99),isblank($B99)),"", not(iserror(vlookup($A99&amp;$B99,'3) Release_Label'!$D:$D&amp;'3) Release_Label'!$E:$E,1,0))),vlookup($A99&amp;$B99,{'3) Release_Label'!$D:$D&amp;'3) Release_Label'!$E:$E,'3) Release_Label'!$H:$H},2,0), or(and(not(isblank($B99)),$B99=$B98,$A99&lt;&gt;$A98),and(not(isblank($A99)),$A99=$A98,$B99&lt;&gt;$B98)),"ID LISTS UNALIGNED",and($A99&lt;&gt;"",countif('3) Release_Label'!$D:$D,$A99)=0),"NO UPC MATCH in Release_Label",and($B99&lt;&gt;"",countif('3) Release_Label'!$E:$E,$B99)=0),"NO CATALOG ID MATCH in Release_Label",iserror(vlookup($A99&amp;$B99,'3) Release_Label'!$D:$D&amp;'3) Release_Label'!$E:$E,1,0)),"NO UPC-CATALOG ID pair MATCH in Release_Label" )</f>
        <v/>
      </c>
      <c r="E99" s="128" t="s">
        <v>105</v>
      </c>
      <c r="F99" s="8" t="s">
        <v>323</v>
      </c>
      <c r="G99" s="123" t="str">
        <f t="array" ref="G99">ifs(or($F99="",$F99="Main Primary Artist"),$F99,not(iserror(vlookup($F99,'Reference info'!$J$5:$J$8,1,0))),"Key Artist",not(iserror(vlookup($F99,'Reference info'!$J$38:$J$405,1,0))),"Performer",not(iserror(vlookup($F99,'Reference info'!$J$10:$J$36,1,0))),"Producer &amp; Engineer")</f>
        <v>Main Primary Artist</v>
      </c>
    </row>
    <row r="100">
      <c r="A100" s="119">
        <v>9.995964359133E12</v>
      </c>
      <c r="B100" s="103"/>
      <c r="C100" s="121" t="str">
        <f t="array" ref="C100">ifs(and(isblank($A100),isblank($B100)),"", not(iserror(vlookup($A100&amp;$B100,'3) Release_Label'!$D:$D&amp;'3) Release_Label'!$E:$E,1,0))),vlookup($A100&amp;$B100,{'3) Release_Label'!$D:$D&amp;'3) Release_Label'!$E:$E,'3) Release_Label'!$F:$F},2,0), or(and(not(isblank($B100)),$B100=$B99,$A100&lt;&gt;$A99),and(not(isblank($A100)),$A100=$A99,$B100&lt;&gt;$B99)),"ID LISTS UNALIGNED",and($A100&lt;&gt;"",countif('3) Release_Label'!$D:$D,$A100)=0),"NO UPC MATCH in Release_Label",and($B100&lt;&gt;"",countif('3) Release_Label'!$E:$E,$B100)=0),"NO CATALOG ID MATCH in Release_Label",iserror(vlookup($A100&amp;$B100,'3) Release_Label'!$D:$D&amp;'3) Release_Label'!$E:$E,1,0)),"NO UPC-CATALOG ID pair MATCH in Release_Label" )</f>
        <v>Bholepan (From "Ashke" Soundtrack)</v>
      </c>
      <c r="D100" s="121" t="str">
        <f t="array" ref="D100">ifs(and(isblank($A100),isblank($B100)),"", not(iserror(vlookup($A100&amp;$B100,'3) Release_Label'!$D:$D&amp;'3) Release_Label'!$E:$E,1,0))),vlookup($A100&amp;$B100,{'3) Release_Label'!$D:$D&amp;'3) Release_Label'!$E:$E,'3) Release_Label'!$H:$H},2,0), or(and(not(isblank($B100)),$B100=$B99,$A100&lt;&gt;$A99),and(not(isblank($A100)),$A100=$A99,$B100&lt;&gt;$B99)),"ID LISTS UNALIGNED",and($A100&lt;&gt;"",countif('3) Release_Label'!$D:$D,$A100)=0),"NO UPC MATCH in Release_Label",and($B100&lt;&gt;"",countif('3) Release_Label'!$E:$E,$B100)=0),"NO CATALOG ID MATCH in Release_Label",iserror(vlookup($A100&amp;$B100,'3) Release_Label'!$D:$D&amp;'3) Release_Label'!$E:$E,1,0)),"NO UPC-CATALOG ID pair MATCH in Release_Label" )</f>
        <v/>
      </c>
      <c r="E100" s="128" t="s">
        <v>51</v>
      </c>
      <c r="F100" s="8" t="s">
        <v>325</v>
      </c>
      <c r="G100" s="123" t="str">
        <f t="array" ref="G100">ifs(or($F100="",$F100="Main Primary Artist"),$F100,not(iserror(vlookup($F100,'Reference info'!$J$5:$J$8,1,0))),"Key Artist",not(iserror(vlookup($F100,'Reference info'!$J$38:$J$405,1,0))),"Performer",not(iserror(vlookup($F100,'Reference info'!$J$10:$J$36,1,0))),"Producer &amp; Engineer")</f>
        <v>Key Artist</v>
      </c>
    </row>
    <row r="101">
      <c r="A101" s="119">
        <v>9.99596435927E12</v>
      </c>
      <c r="B101" s="103"/>
      <c r="C101" s="121" t="str">
        <f t="array" ref="C101">ifs(and(isblank($A101),isblank($B101)),"", not(iserror(vlookup($A101&amp;$B101,'3) Release_Label'!$D:$D&amp;'3) Release_Label'!$E:$E,1,0))),vlookup($A101&amp;$B101,{'3) Release_Label'!$D:$D&amp;'3) Release_Label'!$E:$E,'3) Release_Label'!$F:$F},2,0), or(and(not(isblank($B101)),$B101=$B100,$A101&lt;&gt;$A100),and(not(isblank($A101)),$A101=$A100,$B101&lt;&gt;$B100)),"ID LISTS UNALIGNED",and($A101&lt;&gt;"",countif('3) Release_Label'!$D:$D,$A101)=0),"NO UPC MATCH in Release_Label",and($B101&lt;&gt;"",countif('3) Release_Label'!$E:$E,$B101)=0),"NO CATALOG ID MATCH in Release_Label",iserror(vlookup($A101&amp;$B101,'3) Release_Label'!$D:$D&amp;'3) Release_Label'!$E:$E,1,0)),"NO UPC-CATALOG ID pair MATCH in Release_Label" )</f>
        <v>Eh Tanhayi</v>
      </c>
      <c r="D101" s="121" t="str">
        <f t="array" ref="D101">ifs(and(isblank($A101),isblank($B101)),"", not(iserror(vlookup($A101&amp;$B101,'3) Release_Label'!$D:$D&amp;'3) Release_Label'!$E:$E,1,0))),vlookup($A101&amp;$B101,{'3) Release_Label'!$D:$D&amp;'3) Release_Label'!$E:$E,'3) Release_Label'!$H:$H},2,0), or(and(not(isblank($B101)),$B101=$B100,$A101&lt;&gt;$A100),and(not(isblank($A101)),$A101=$A100,$B101&lt;&gt;$B100)),"ID LISTS UNALIGNED",and($A101&lt;&gt;"",countif('3) Release_Label'!$D:$D,$A101)=0),"NO UPC MATCH in Release_Label",and($B101&lt;&gt;"",countif('3) Release_Label'!$E:$E,$B101)=0),"NO CATALOG ID MATCH in Release_Label",iserror(vlookup($A101&amp;$B101,'3) Release_Label'!$D:$D&amp;'3) Release_Label'!$E:$E,1,0)),"NO UPC-CATALOG ID pair MATCH in Release_Label" )</f>
        <v/>
      </c>
      <c r="E101" s="128" t="s">
        <v>63</v>
      </c>
      <c r="F101" s="8" t="s">
        <v>323</v>
      </c>
      <c r="G101" s="123" t="str">
        <f t="array" ref="G101">ifs(or($F101="",$F101="Main Primary Artist"),$F101,not(iserror(vlookup($F101,'Reference info'!$J$5:$J$8,1,0))),"Key Artist",not(iserror(vlookup($F101,'Reference info'!$J$38:$J$405,1,0))),"Performer",not(iserror(vlookup($F101,'Reference info'!$J$10:$J$36,1,0))),"Producer &amp; Engineer")</f>
        <v>Main Primary Artist</v>
      </c>
    </row>
    <row r="102">
      <c r="A102" s="119">
        <v>9.99596435927E12</v>
      </c>
      <c r="B102" s="103"/>
      <c r="C102" s="121" t="str">
        <f t="array" ref="C102">ifs(and(isblank($A102),isblank($B102)),"", not(iserror(vlookup($A102&amp;$B102,'3) Release_Label'!$D:$D&amp;'3) Release_Label'!$E:$E,1,0))),vlookup($A102&amp;$B102,{'3) Release_Label'!$D:$D&amp;'3) Release_Label'!$E:$E,'3) Release_Label'!$F:$F},2,0), or(and(not(isblank($B102)),$B102=$B101,$A102&lt;&gt;$A101),and(not(isblank($A102)),$A102=$A101,$B102&lt;&gt;$B101)),"ID LISTS UNALIGNED",and($A102&lt;&gt;"",countif('3) Release_Label'!$D:$D,$A102)=0),"NO UPC MATCH in Release_Label",and($B102&lt;&gt;"",countif('3) Release_Label'!$E:$E,$B102)=0),"NO CATALOG ID MATCH in Release_Label",iserror(vlookup($A102&amp;$B102,'3) Release_Label'!$D:$D&amp;'3) Release_Label'!$E:$E,1,0)),"NO UPC-CATALOG ID pair MATCH in Release_Label" )</f>
        <v>Eh Tanhayi</v>
      </c>
      <c r="D102" s="121" t="str">
        <f t="array" ref="D102">ifs(and(isblank($A102),isblank($B102)),"", not(iserror(vlookup($A102&amp;$B102,'3) Release_Label'!$D:$D&amp;'3) Release_Label'!$E:$E,1,0))),vlookup($A102&amp;$B102,{'3) Release_Label'!$D:$D&amp;'3) Release_Label'!$E:$E,'3) Release_Label'!$H:$H},2,0), or(and(not(isblank($B102)),$B102=$B101,$A102&lt;&gt;$A101),and(not(isblank($A102)),$A102=$A101,$B102&lt;&gt;$B101)),"ID LISTS UNALIGNED",and($A102&lt;&gt;"",countif('3) Release_Label'!$D:$D,$A102)=0),"NO UPC MATCH in Release_Label",and($B102&lt;&gt;"",countif('3) Release_Label'!$E:$E,$B102)=0),"NO CATALOG ID MATCH in Release_Label",iserror(vlookup($A102&amp;$B102,'3) Release_Label'!$D:$D&amp;'3) Release_Label'!$E:$E,1,0)),"NO UPC-CATALOG ID pair MATCH in Release_Label" )</f>
        <v/>
      </c>
      <c r="E102" s="128" t="s">
        <v>47</v>
      </c>
      <c r="F102" s="8" t="s">
        <v>325</v>
      </c>
      <c r="G102" s="123" t="str">
        <f t="array" ref="G102">ifs(or($F102="",$F102="Main Primary Artist"),$F102,not(iserror(vlookup($F102,'Reference info'!$J$5:$J$8,1,0))),"Key Artist",not(iserror(vlookup($F102,'Reference info'!$J$38:$J$405,1,0))),"Performer",not(iserror(vlookup($F102,'Reference info'!$J$10:$J$36,1,0))),"Producer &amp; Engineer")</f>
        <v>Key Artist</v>
      </c>
    </row>
    <row r="103">
      <c r="A103" s="119">
        <v>9.995964359225E12</v>
      </c>
      <c r="B103" s="103"/>
      <c r="C103" s="121" t="str">
        <f t="array" ref="C103">ifs(and(isblank($A103),isblank($B103)),"", not(iserror(vlookup($A103&amp;$B103,'3) Release_Label'!$D:$D&amp;'3) Release_Label'!$E:$E,1,0))),vlookup($A103&amp;$B103,{'3) Release_Label'!$D:$D&amp;'3) Release_Label'!$E:$E,'3) Release_Label'!$F:$F},2,0), or(and(not(isblank($B103)),$B103=$B102,$A103&lt;&gt;$A102),and(not(isblank($A103)),$A103=$A102,$B103&lt;&gt;$B102)),"ID LISTS UNALIGNED",and($A103&lt;&gt;"",countif('3) Release_Label'!$D:$D,$A103)=0),"NO UPC MATCH in Release_Label",and($B103&lt;&gt;"",countif('3) Release_Label'!$E:$E,$B103)=0),"NO CATALOG ID MATCH in Release_Label",iserror(vlookup($A103&amp;$B103,'3) Release_Label'!$D:$D&amp;'3) Release_Label'!$E:$E,1,0)),"NO UPC-CATALOG ID pair MATCH in Release_Label" )</f>
        <v>Tere Naal Viahi</v>
      </c>
      <c r="D103" s="121" t="str">
        <f t="array" ref="D103">ifs(and(isblank($A103),isblank($B103)),"", not(iserror(vlookup($A103&amp;$B103,'3) Release_Label'!$D:$D&amp;'3) Release_Label'!$E:$E,1,0))),vlookup($A103&amp;$B103,{'3) Release_Label'!$D:$D&amp;'3) Release_Label'!$E:$E,'3) Release_Label'!$H:$H},2,0), or(and(not(isblank($B103)),$B103=$B102,$A103&lt;&gt;$A102),and(not(isblank($A103)),$A103=$A102,$B103&lt;&gt;$B102)),"ID LISTS UNALIGNED",and($A103&lt;&gt;"",countif('3) Release_Label'!$D:$D,$A103)=0),"NO UPC MATCH in Release_Label",and($B103&lt;&gt;"",countif('3) Release_Label'!$E:$E,$B103)=0),"NO CATALOG ID MATCH in Release_Label",iserror(vlookup($A103&amp;$B103,'3) Release_Label'!$D:$D&amp;'3) Release_Label'!$E:$E,1,0)),"NO UPC-CATALOG ID pair MATCH in Release_Label" )</f>
        <v/>
      </c>
      <c r="E103" s="128" t="s">
        <v>67</v>
      </c>
      <c r="F103" s="8" t="s">
        <v>323</v>
      </c>
      <c r="G103" s="123" t="str">
        <f t="array" ref="G103">ifs(or($F103="",$F103="Main Primary Artist"),$F103,not(iserror(vlookup($F103,'Reference info'!$J$5:$J$8,1,0))),"Key Artist",not(iserror(vlookup($F103,'Reference info'!$J$38:$J$405,1,0))),"Performer",not(iserror(vlookup($F103,'Reference info'!$J$10:$J$36,1,0))),"Producer &amp; Engineer")</f>
        <v>Main Primary Artist</v>
      </c>
    </row>
    <row r="104">
      <c r="A104" s="119">
        <v>9.995964359225E12</v>
      </c>
      <c r="B104" s="103"/>
      <c r="C104" s="121" t="str">
        <f t="array" ref="C104">ifs(and(isblank($A104),isblank($B104)),"", not(iserror(vlookup($A104&amp;$B104,'3) Release_Label'!$D:$D&amp;'3) Release_Label'!$E:$E,1,0))),vlookup($A104&amp;$B104,{'3) Release_Label'!$D:$D&amp;'3) Release_Label'!$E:$E,'3) Release_Label'!$F:$F},2,0), or(and(not(isblank($B104)),$B104=$B103,$A104&lt;&gt;$A103),and(not(isblank($A104)),$A104=$A103,$B104&lt;&gt;$B103)),"ID LISTS UNALIGNED",and($A104&lt;&gt;"",countif('3) Release_Label'!$D:$D,$A104)=0),"NO UPC MATCH in Release_Label",and($B104&lt;&gt;"",countif('3) Release_Label'!$E:$E,$B104)=0),"NO CATALOG ID MATCH in Release_Label",iserror(vlookup($A104&amp;$B104,'3) Release_Label'!$D:$D&amp;'3) Release_Label'!$E:$E,1,0)),"NO UPC-CATALOG ID pair MATCH in Release_Label" )</f>
        <v>Tere Naal Viahi</v>
      </c>
      <c r="D104" s="121" t="str">
        <f t="array" ref="D104">ifs(and(isblank($A104),isblank($B104)),"", not(iserror(vlookup($A104&amp;$B104,'3) Release_Label'!$D:$D&amp;'3) Release_Label'!$E:$E,1,0))),vlookup($A104&amp;$B104,{'3) Release_Label'!$D:$D&amp;'3) Release_Label'!$E:$E,'3) Release_Label'!$H:$H},2,0), or(and(not(isblank($B104)),$B104=$B103,$A104&lt;&gt;$A103),and(not(isblank($A104)),$A104=$A103,$B104&lt;&gt;$B103)),"ID LISTS UNALIGNED",and($A104&lt;&gt;"",countif('3) Release_Label'!$D:$D,$A104)=0),"NO UPC MATCH in Release_Label",and($B104&lt;&gt;"",countif('3) Release_Label'!$E:$E,$B104)=0),"NO CATALOG ID MATCH in Release_Label",iserror(vlookup($A104&amp;$B104,'3) Release_Label'!$D:$D&amp;'3) Release_Label'!$E:$E,1,0)),"NO UPC-CATALOG ID pair MATCH in Release_Label" )</f>
        <v/>
      </c>
      <c r="E104" s="128" t="s">
        <v>51</v>
      </c>
      <c r="F104" s="8" t="s">
        <v>325</v>
      </c>
      <c r="G104" s="123" t="str">
        <f t="array" ref="G104">ifs(or($F104="",$F104="Main Primary Artist"),$F104,not(iserror(vlookup($F104,'Reference info'!$J$5:$J$8,1,0))),"Key Artist",not(iserror(vlookup($F104,'Reference info'!$J$38:$J$405,1,0))),"Performer",not(iserror(vlookup($F104,'Reference info'!$J$10:$J$36,1,0))),"Producer &amp; Engineer")</f>
        <v>Key Artist</v>
      </c>
    </row>
    <row r="105">
      <c r="A105" s="119">
        <v>9.995964357948E12</v>
      </c>
      <c r="B105" s="103"/>
      <c r="C105" s="121" t="str">
        <f t="array" ref="C105">ifs(and(isblank($A105),isblank($B105)),"", not(iserror(vlookup($A105&amp;$B105,'3) Release_Label'!$D:$D&amp;'3) Release_Label'!$E:$E,1,0))),vlookup($A105&amp;$B105,{'3) Release_Label'!$D:$D&amp;'3) Release_Label'!$E:$E,'3) Release_Label'!$F:$F},2,0), or(and(not(isblank($B105)),$B105=$B104,$A105&lt;&gt;$A104),and(not(isblank($A105)),$A105=$A104,$B105&lt;&gt;$B104)),"ID LISTS UNALIGNED",and($A105&lt;&gt;"",countif('3) Release_Label'!$D:$D,$A105)=0),"NO UPC MATCH in Release_Label",and($B105&lt;&gt;"",countif('3) Release_Label'!$E:$E,$B105)=0),"NO CATALOG ID MATCH in Release_Label",iserror(vlookup($A105&amp;$B105,'3) Release_Label'!$D:$D&amp;'3) Release_Label'!$E:$E,1,0)),"NO UPC-CATALOG ID pair MATCH in Release_Label" )</f>
        <v>Ashke - Title Song (From "Ashke" Soundtrack)</v>
      </c>
      <c r="D105" s="121" t="str">
        <f t="array" ref="D105">ifs(and(isblank($A105),isblank($B105)),"", not(iserror(vlookup($A105&amp;$B105,'3) Release_Label'!$D:$D&amp;'3) Release_Label'!$E:$E,1,0))),vlookup($A105&amp;$B105,{'3) Release_Label'!$D:$D&amp;'3) Release_Label'!$E:$E,'3) Release_Label'!$H:$H},2,0), or(and(not(isblank($B105)),$B105=$B104,$A105&lt;&gt;$A104),and(not(isblank($A105)),$A105=$A104,$B105&lt;&gt;$B104)),"ID LISTS UNALIGNED",and($A105&lt;&gt;"",countif('3) Release_Label'!$D:$D,$A105)=0),"NO UPC MATCH in Release_Label",and($B105&lt;&gt;"",countif('3) Release_Label'!$E:$E,$B105)=0),"NO CATALOG ID MATCH in Release_Label",iserror(vlookup($A105&amp;$B105,'3) Release_Label'!$D:$D&amp;'3) Release_Label'!$E:$E,1,0)),"NO UPC-CATALOG ID pair MATCH in Release_Label" )</f>
        <v/>
      </c>
      <c r="E105" s="128" t="s">
        <v>107</v>
      </c>
      <c r="F105" s="8" t="s">
        <v>323</v>
      </c>
      <c r="G105" s="123" t="str">
        <f t="array" ref="G105">ifs(or($F105="",$F105="Main Primary Artist"),$F105,not(iserror(vlookup($F105,'Reference info'!$J$5:$J$8,1,0))),"Key Artist",not(iserror(vlookup($F105,'Reference info'!$J$38:$J$405,1,0))),"Performer",not(iserror(vlookup($F105,'Reference info'!$J$10:$J$36,1,0))),"Producer &amp; Engineer")</f>
        <v>Main Primary Artist</v>
      </c>
    </row>
    <row r="106">
      <c r="A106" s="119">
        <v>9.995964357948E12</v>
      </c>
      <c r="B106" s="103"/>
      <c r="C106" s="121" t="str">
        <f t="array" ref="C106">ifs(and(isblank($A106),isblank($B106)),"", not(iserror(vlookup($A106&amp;$B106,'3) Release_Label'!$D:$D&amp;'3) Release_Label'!$E:$E,1,0))),vlookup($A106&amp;$B106,{'3) Release_Label'!$D:$D&amp;'3) Release_Label'!$E:$E,'3) Release_Label'!$F:$F},2,0), or(and(not(isblank($B106)),$B106=$B105,$A106&lt;&gt;$A105),and(not(isblank($A106)),$A106=$A105,$B106&lt;&gt;$B105)),"ID LISTS UNALIGNED",and($A106&lt;&gt;"",countif('3) Release_Label'!$D:$D,$A106)=0),"NO UPC MATCH in Release_Label",and($B106&lt;&gt;"",countif('3) Release_Label'!$E:$E,$B106)=0),"NO CATALOG ID MATCH in Release_Label",iserror(vlookup($A106&amp;$B106,'3) Release_Label'!$D:$D&amp;'3) Release_Label'!$E:$E,1,0)),"NO UPC-CATALOG ID pair MATCH in Release_Label" )</f>
        <v>Ashke - Title Song (From "Ashke" Soundtrack)</v>
      </c>
      <c r="D106" s="121" t="str">
        <f t="array" ref="D106">ifs(and(isblank($A106),isblank($B106)),"", not(iserror(vlookup($A106&amp;$B106,'3) Release_Label'!$D:$D&amp;'3) Release_Label'!$E:$E,1,0))),vlookup($A106&amp;$B106,{'3) Release_Label'!$D:$D&amp;'3) Release_Label'!$E:$E,'3) Release_Label'!$H:$H},2,0), or(and(not(isblank($B106)),$B106=$B105,$A106&lt;&gt;$A105),and(not(isblank($A106)),$A106=$A105,$B106&lt;&gt;$B105)),"ID LISTS UNALIGNED",and($A106&lt;&gt;"",countif('3) Release_Label'!$D:$D,$A106)=0),"NO UPC MATCH in Release_Label",and($B106&lt;&gt;"",countif('3) Release_Label'!$E:$E,$B106)=0),"NO CATALOG ID MATCH in Release_Label",iserror(vlookup($A106&amp;$B106,'3) Release_Label'!$D:$D&amp;'3) Release_Label'!$E:$E,1,0)),"NO UPC-CATALOG ID pair MATCH in Release_Label" )</f>
        <v/>
      </c>
      <c r="E106" s="128" t="s">
        <v>51</v>
      </c>
      <c r="F106" s="8" t="s">
        <v>325</v>
      </c>
      <c r="G106" s="123" t="str">
        <f t="array" ref="G106">ifs(or($F106="",$F106="Main Primary Artist"),$F106,not(iserror(vlookup($F106,'Reference info'!$J$5:$J$8,1,0))),"Key Artist",not(iserror(vlookup($F106,'Reference info'!$J$38:$J$405,1,0))),"Performer",not(iserror(vlookup($F106,'Reference info'!$J$10:$J$36,1,0))),"Producer &amp; Engineer")</f>
        <v>Key Artist</v>
      </c>
    </row>
    <row r="107">
      <c r="A107" s="119">
        <v>9.995964357979E12</v>
      </c>
      <c r="B107" s="103"/>
      <c r="C107" s="121" t="str">
        <f t="array" ref="C107">ifs(and(isblank($A107),isblank($B107)),"", not(iserror(vlookup($A107&amp;$B107,'3) Release_Label'!$D:$D&amp;'3) Release_Label'!$E:$E,1,0))),vlookup($A107&amp;$B107,{'3) Release_Label'!$D:$D&amp;'3) Release_Label'!$E:$E,'3) Release_Label'!$F:$F},2,0), or(and(not(isblank($B107)),$B107=$B106,$A107&lt;&gt;$A106),and(not(isblank($A107)),$A107=$A106,$B107&lt;&gt;$B106)),"ID LISTS UNALIGNED",and($A107&lt;&gt;"",countif('3) Release_Label'!$D:$D,$A107)=0),"NO UPC MATCH in Release_Label",and($B107&lt;&gt;"",countif('3) Release_Label'!$E:$E,$B107)=0),"NO CATALOG ID MATCH in Release_Label",iserror(vlookup($A107&amp;$B107,'3) Release_Label'!$D:$D&amp;'3) Release_Label'!$E:$E,1,0)),"NO UPC-CATALOG ID pair MATCH in Release_Label" )</f>
        <v>Ashke Boliyan (From "Ashke" Soundtrack)</v>
      </c>
      <c r="D107" s="121" t="str">
        <f t="array" ref="D107">ifs(and(isblank($A107),isblank($B107)),"", not(iserror(vlookup($A107&amp;$B107,'3) Release_Label'!$D:$D&amp;'3) Release_Label'!$E:$E,1,0))),vlookup($A107&amp;$B107,{'3) Release_Label'!$D:$D&amp;'3) Release_Label'!$E:$E,'3) Release_Label'!$H:$H},2,0), or(and(not(isblank($B107)),$B107=$B106,$A107&lt;&gt;$A106),and(not(isblank($A107)),$A107=$A106,$B107&lt;&gt;$B106)),"ID LISTS UNALIGNED",and($A107&lt;&gt;"",countif('3) Release_Label'!$D:$D,$A107)=0),"NO UPC MATCH in Release_Label",and($B107&lt;&gt;"",countif('3) Release_Label'!$E:$E,$B107)=0),"NO CATALOG ID MATCH in Release_Label",iserror(vlookup($A107&amp;$B107,'3) Release_Label'!$D:$D&amp;'3) Release_Label'!$E:$E,1,0)),"NO UPC-CATALOG ID pair MATCH in Release_Label" )</f>
        <v/>
      </c>
      <c r="E107" s="128" t="s">
        <v>57</v>
      </c>
      <c r="F107" s="8" t="s">
        <v>323</v>
      </c>
      <c r="G107" s="123" t="str">
        <f t="array" ref="G107">ifs(or($F107="",$F107="Main Primary Artist"),$F107,not(iserror(vlookup($F107,'Reference info'!$J$5:$J$8,1,0))),"Key Artist",not(iserror(vlookup($F107,'Reference info'!$J$38:$J$405,1,0))),"Performer",not(iserror(vlookup($F107,'Reference info'!$J$10:$J$36,1,0))),"Producer &amp; Engineer")</f>
        <v>Main Primary Artist</v>
      </c>
    </row>
    <row r="108">
      <c r="A108" s="119">
        <v>9.995964357979E12</v>
      </c>
      <c r="B108" s="103"/>
      <c r="C108" s="121" t="str">
        <f t="array" ref="C108">ifs(and(isblank($A108),isblank($B108)),"", not(iserror(vlookup($A108&amp;$B108,'3) Release_Label'!$D:$D&amp;'3) Release_Label'!$E:$E,1,0))),vlookup($A108&amp;$B108,{'3) Release_Label'!$D:$D&amp;'3) Release_Label'!$E:$E,'3) Release_Label'!$F:$F},2,0), or(and(not(isblank($B108)),$B108=$B107,$A108&lt;&gt;$A107),and(not(isblank($A108)),$A108=$A107,$B108&lt;&gt;$B107)),"ID LISTS UNALIGNED",and($A108&lt;&gt;"",countif('3) Release_Label'!$D:$D,$A108)=0),"NO UPC MATCH in Release_Label",and($B108&lt;&gt;"",countif('3) Release_Label'!$E:$E,$B108)=0),"NO CATALOG ID MATCH in Release_Label",iserror(vlookup($A108&amp;$B108,'3) Release_Label'!$D:$D&amp;'3) Release_Label'!$E:$E,1,0)),"NO UPC-CATALOG ID pair MATCH in Release_Label" )</f>
        <v>Ashke Boliyan (From "Ashke" Soundtrack)</v>
      </c>
      <c r="D108" s="121" t="str">
        <f t="array" ref="D108">ifs(and(isblank($A108),isblank($B108)),"", not(iserror(vlookup($A108&amp;$B108,'3) Release_Label'!$D:$D&amp;'3) Release_Label'!$E:$E,1,0))),vlookup($A108&amp;$B108,{'3) Release_Label'!$D:$D&amp;'3) Release_Label'!$E:$E,'3) Release_Label'!$H:$H},2,0), or(and(not(isblank($B108)),$B108=$B107,$A108&lt;&gt;$A107),and(not(isblank($A108)),$A108=$A107,$B108&lt;&gt;$B107)),"ID LISTS UNALIGNED",and($A108&lt;&gt;"",countif('3) Release_Label'!$D:$D,$A108)=0),"NO UPC MATCH in Release_Label",and($B108&lt;&gt;"",countif('3) Release_Label'!$E:$E,$B108)=0),"NO CATALOG ID MATCH in Release_Label",iserror(vlookup($A108&amp;$B108,'3) Release_Label'!$D:$D&amp;'3) Release_Label'!$E:$E,1,0)),"NO UPC-CATALOG ID pair MATCH in Release_Label" )</f>
        <v/>
      </c>
      <c r="E108" s="128" t="s">
        <v>51</v>
      </c>
      <c r="F108" s="8" t="s">
        <v>325</v>
      </c>
      <c r="G108" s="123" t="str">
        <f t="array" ref="G108">ifs(or($F108="",$F108="Main Primary Artist"),$F108,not(iserror(vlookup($F108,'Reference info'!$J$5:$J$8,1,0))),"Key Artist",not(iserror(vlookup($F108,'Reference info'!$J$38:$J$405,1,0))),"Performer",not(iserror(vlookup($F108,'Reference info'!$J$10:$J$36,1,0))),"Producer &amp; Engineer")</f>
        <v>Key Artist</v>
      </c>
    </row>
    <row r="109">
      <c r="A109" s="119">
        <v>9.995964336714E12</v>
      </c>
      <c r="B109" s="103"/>
      <c r="C109" s="121" t="str">
        <f t="array" ref="C109">ifs(and(isblank($A109),isblank($B109)),"", not(iserror(vlookup($A109&amp;$B109,'3) Release_Label'!$D:$D&amp;'3) Release_Label'!$E:$E,1,0))),vlookup($A109&amp;$B109,{'3) Release_Label'!$D:$D&amp;'3) Release_Label'!$E:$E,'3) Release_Label'!$F:$F},2,0), or(and(not(isblank($B109)),$B109=$B108,$A109&lt;&gt;$A108),and(not(isblank($A109)),$A109=$A108,$B109&lt;&gt;$B108)),"ID LISTS UNALIGNED",and($A109&lt;&gt;"",countif('3) Release_Label'!$D:$D,$A109)=0),"NO UPC MATCH in Release_Label",and($B109&lt;&gt;"",countif('3) Release_Label'!$E:$E,$B109)=0),"NO CATALOG ID MATCH in Release_Label",iserror(vlookup($A109&amp;$B109,'3) Release_Label'!$D:$D&amp;'3) Release_Label'!$E:$E,1,0)),"NO UPC-CATALOG ID pair MATCH in Release_Label" )</f>
        <v>Motion Poster Theme (From "Bhajjo Veero Ve" Soundtrack)</v>
      </c>
      <c r="D109" s="121" t="str">
        <f t="array" ref="D109">ifs(and(isblank($A109),isblank($B109)),"", not(iserror(vlookup($A109&amp;$B109,'3) Release_Label'!$D:$D&amp;'3) Release_Label'!$E:$E,1,0))),vlookup($A109&amp;$B109,{'3) Release_Label'!$D:$D&amp;'3) Release_Label'!$E:$E,'3) Release_Label'!$H:$H},2,0), or(and(not(isblank($B109)),$B109=$B108,$A109&lt;&gt;$A108),and(not(isblank($A109)),$A109=$A108,$B109&lt;&gt;$B108)),"ID LISTS UNALIGNED",and($A109&lt;&gt;"",countif('3) Release_Label'!$D:$D,$A109)=0),"NO UPC MATCH in Release_Label",and($B109&lt;&gt;"",countif('3) Release_Label'!$E:$E,$B109)=0),"NO CATALOG ID MATCH in Release_Label",iserror(vlookup($A109&amp;$B109,'3) Release_Label'!$D:$D&amp;'3) Release_Label'!$E:$E,1,0)),"NO UPC-CATALOG ID pair MATCH in Release_Label" )</f>
        <v/>
      </c>
      <c r="E109" s="128" t="s">
        <v>51</v>
      </c>
      <c r="F109" s="8" t="s">
        <v>323</v>
      </c>
      <c r="G109" s="123" t="str">
        <f t="array" ref="G109">ifs(or($F109="",$F109="Main Primary Artist"),$F109,not(iserror(vlookup($F109,'Reference info'!$J$5:$J$8,1,0))),"Key Artist",not(iserror(vlookup($F109,'Reference info'!$J$38:$J$405,1,0))),"Performer",not(iserror(vlookup($F109,'Reference info'!$J$10:$J$36,1,0))),"Producer &amp; Engineer")</f>
        <v>Main Primary Artist</v>
      </c>
    </row>
    <row r="110">
      <c r="A110" s="119">
        <v>9.995964336943E12</v>
      </c>
      <c r="B110" s="103"/>
      <c r="C110" s="121" t="str">
        <f t="array" ref="C110">ifs(and(isblank($A110),isblank($B110)),"", not(iserror(vlookup($A110&amp;$B110,'3) Release_Label'!$D:$D&amp;'3) Release_Label'!$E:$E,1,0))),vlookup($A110&amp;$B110,{'3) Release_Label'!$D:$D&amp;'3) Release_Label'!$E:$E,'3) Release_Label'!$F:$F},2,0), or(and(not(isblank($B110)),$B110=$B109,$A110&lt;&gt;$A109),and(not(isblank($A110)),$A110=$A109,$B110&lt;&gt;$B109)),"ID LISTS UNALIGNED",and($A110&lt;&gt;"",countif('3) Release_Label'!$D:$D,$A110)=0),"NO UPC MATCH in Release_Label",and($B110&lt;&gt;"",countif('3) Release_Label'!$E:$E,$B110)=0),"NO CATALOG ID MATCH in Release_Label",iserror(vlookup($A110&amp;$B110,'3) Release_Label'!$D:$D&amp;'3) Release_Label'!$E:$E,1,0)),"NO UPC-CATALOG ID pair MATCH in Release_Label" )</f>
        <v>Khyaal (From "Bhajjo Veero Ve" Soundtrack)</v>
      </c>
      <c r="D110" s="121" t="str">
        <f t="array" ref="D110">ifs(and(isblank($A110),isblank($B110)),"", not(iserror(vlookup($A110&amp;$B110,'3) Release_Label'!$D:$D&amp;'3) Release_Label'!$E:$E,1,0))),vlookup($A110&amp;$B110,{'3) Release_Label'!$D:$D&amp;'3) Release_Label'!$E:$E,'3) Release_Label'!$H:$H},2,0), or(and(not(isblank($B110)),$B110=$B109,$A110&lt;&gt;$A109),and(not(isblank($A110)),$A110=$A109,$B110&lt;&gt;$B109)),"ID LISTS UNALIGNED",and($A110&lt;&gt;"",countif('3) Release_Label'!$D:$D,$A110)=0),"NO UPC MATCH in Release_Label",and($B110&lt;&gt;"",countif('3) Release_Label'!$E:$E,$B110)=0),"NO CATALOG ID MATCH in Release_Label",iserror(vlookup($A110&amp;$B110,'3) Release_Label'!$D:$D&amp;'3) Release_Label'!$E:$E,1,0)),"NO UPC-CATALOG ID pair MATCH in Release_Label" )</f>
        <v/>
      </c>
      <c r="E110" s="128" t="s">
        <v>57</v>
      </c>
      <c r="F110" s="8" t="s">
        <v>323</v>
      </c>
      <c r="G110" s="123" t="str">
        <f t="array" ref="G110">ifs(or($F110="",$F110="Main Primary Artist"),$F110,not(iserror(vlookup($F110,'Reference info'!$J$5:$J$8,1,0))),"Key Artist",not(iserror(vlookup($F110,'Reference info'!$J$38:$J$405,1,0))),"Performer",not(iserror(vlookup($F110,'Reference info'!$J$10:$J$36,1,0))),"Producer &amp; Engineer")</f>
        <v>Main Primary Artist</v>
      </c>
    </row>
    <row r="111">
      <c r="A111" s="119">
        <v>9.995964336981E12</v>
      </c>
      <c r="B111" s="103"/>
      <c r="C111" s="121" t="str">
        <f t="array" ref="C111">ifs(and(isblank($A111),isblank($B111)),"", not(iserror(vlookup($A111&amp;$B111,'3) Release_Label'!$D:$D&amp;'3) Release_Label'!$E:$E,1,0))),vlookup($A111&amp;$B111,{'3) Release_Label'!$D:$D&amp;'3) Release_Label'!$E:$E,'3) Release_Label'!$F:$F},2,0), or(and(not(isblank($B111)),$B111=$B110,$A111&lt;&gt;$A110),and(not(isblank($A111)),$A111=$A110,$B111&lt;&gt;$B110)),"ID LISTS UNALIGNED",and($A111&lt;&gt;"",countif('3) Release_Label'!$D:$D,$A111)=0),"NO UPC MATCH in Release_Label",and($B111&lt;&gt;"",countif('3) Release_Label'!$E:$E,$B111)=0),"NO CATALOG ID MATCH in Release_Label",iserror(vlookup($A111&amp;$B111,'3) Release_Label'!$D:$D&amp;'3) Release_Label'!$E:$E,1,0)),"NO UPC-CATALOG ID pair MATCH in Release_Label" )</f>
        <v>Car Reebna Wali (From "Bhajjo Veero Ve" Soundtrack)</v>
      </c>
      <c r="D111" s="121" t="str">
        <f t="array" ref="D111">ifs(and(isblank($A111),isblank($B111)),"", not(iserror(vlookup($A111&amp;$B111,'3) Release_Label'!$D:$D&amp;'3) Release_Label'!$E:$E,1,0))),vlookup($A111&amp;$B111,{'3) Release_Label'!$D:$D&amp;'3) Release_Label'!$E:$E,'3) Release_Label'!$H:$H},2,0), or(and(not(isblank($B111)),$B111=$B110,$A111&lt;&gt;$A110),and(not(isblank($A111)),$A111=$A110,$B111&lt;&gt;$B110)),"ID LISTS UNALIGNED",and($A111&lt;&gt;"",countif('3) Release_Label'!$D:$D,$A111)=0),"NO UPC MATCH in Release_Label",and($B111&lt;&gt;"",countif('3) Release_Label'!$E:$E,$B111)=0),"NO CATALOG ID MATCH in Release_Label",iserror(vlookup($A111&amp;$B111,'3) Release_Label'!$D:$D&amp;'3) Release_Label'!$E:$E,1,0)),"NO UPC-CATALOG ID pair MATCH in Release_Label" )</f>
        <v/>
      </c>
      <c r="E111" s="44" t="s">
        <v>49</v>
      </c>
      <c r="F111" s="8" t="s">
        <v>323</v>
      </c>
      <c r="G111" s="123" t="str">
        <f t="array" ref="G111">ifs(or($F111="",$F111="Main Primary Artist"),$F111,not(iserror(vlookup($F111,'Reference info'!$J$5:$J$8,1,0))),"Key Artist",not(iserror(vlookup($F111,'Reference info'!$J$38:$J$405,1,0))),"Performer",not(iserror(vlookup($F111,'Reference info'!$J$10:$J$36,1,0))),"Producer &amp; Engineer")</f>
        <v>Main Primary Artist</v>
      </c>
    </row>
    <row r="112">
      <c r="A112" s="119">
        <v>9.995964336981E12</v>
      </c>
      <c r="B112" s="103"/>
      <c r="C112" s="121" t="str">
        <f t="array" ref="C112">ifs(and(isblank($A112),isblank($B112)),"", not(iserror(vlookup($A112&amp;$B112,'3) Release_Label'!$D:$D&amp;'3) Release_Label'!$E:$E,1,0))),vlookup($A112&amp;$B112,{'3) Release_Label'!$D:$D&amp;'3) Release_Label'!$E:$E,'3) Release_Label'!$F:$F},2,0), or(and(not(isblank($B112)),$B112=$B111,$A112&lt;&gt;$A111),and(not(isblank($A112)),$A112=$A111,$B112&lt;&gt;$B111)),"ID LISTS UNALIGNED",and($A112&lt;&gt;"",countif('3) Release_Label'!$D:$D,$A112)=0),"NO UPC MATCH in Release_Label",and($B112&lt;&gt;"",countif('3) Release_Label'!$E:$E,$B112)=0),"NO CATALOG ID MATCH in Release_Label",iserror(vlookup($A112&amp;$B112,'3) Release_Label'!$D:$D&amp;'3) Release_Label'!$E:$E,1,0)),"NO UPC-CATALOG ID pair MATCH in Release_Label" )</f>
        <v>Car Reebna Wali (From "Bhajjo Veero Ve" Soundtrack)</v>
      </c>
      <c r="D112" s="121" t="str">
        <f t="array" ref="D112">ifs(and(isblank($A112),isblank($B112)),"", not(iserror(vlookup($A112&amp;$B112,'3) Release_Label'!$D:$D&amp;'3) Release_Label'!$E:$E,1,0))),vlookup($A112&amp;$B112,{'3) Release_Label'!$D:$D&amp;'3) Release_Label'!$E:$E,'3) Release_Label'!$H:$H},2,0), or(and(not(isblank($B112)),$B112=$B111,$A112&lt;&gt;$A111),and(not(isblank($A112)),$A112=$A111,$B112&lt;&gt;$B111)),"ID LISTS UNALIGNED",and($A112&lt;&gt;"",countif('3) Release_Label'!$D:$D,$A112)=0),"NO UPC MATCH in Release_Label",and($B112&lt;&gt;"",countif('3) Release_Label'!$E:$E,$B112)=0),"NO CATALOG ID MATCH in Release_Label",iserror(vlookup($A112&amp;$B112,'3) Release_Label'!$D:$D&amp;'3) Release_Label'!$E:$E,1,0)),"NO UPC-CATALOG ID pair MATCH in Release_Label" )</f>
        <v/>
      </c>
      <c r="E112" s="44" t="s">
        <v>51</v>
      </c>
      <c r="F112" s="8" t="s">
        <v>331</v>
      </c>
      <c r="G112" s="123" t="str">
        <f t="array" ref="G112">ifs(or($F112="",$F112="Main Primary Artist"),$F112,not(iserror(vlookup($F112,'Reference info'!$J$5:$J$8,1,0))),"Key Artist",not(iserror(vlookup($F112,'Reference info'!$J$38:$J$405,1,0))),"Performer",not(iserror(vlookup($F112,'Reference info'!$J$10:$J$36,1,0))),"Producer &amp; Engineer")</f>
        <v>Key Artist</v>
      </c>
    </row>
    <row r="113">
      <c r="A113" s="119">
        <v>9.995964337339E12</v>
      </c>
      <c r="B113" s="103"/>
      <c r="C113" s="121" t="str">
        <f t="array" ref="C113">ifs(and(isblank($A113),isblank($B113)),"", not(iserror(vlookup($A113&amp;$B113,'3) Release_Label'!$D:$D&amp;'3) Release_Label'!$E:$E,1,0))),vlookup($A113&amp;$B113,{'3) Release_Label'!$D:$D&amp;'3) Release_Label'!$E:$E,'3) Release_Label'!$F:$F},2,0), or(and(not(isblank($B113)),$B113=$B112,$A113&lt;&gt;$A112),and(not(isblank($A113)),$A113=$A112,$B113&lt;&gt;$B112)),"ID LISTS UNALIGNED",and($A113&lt;&gt;"",countif('3) Release_Label'!$D:$D,$A113)=0),"NO UPC MATCH in Release_Label",and($B113&lt;&gt;"",countif('3) Release_Label'!$E:$E,$B113)=0),"NO CATALOG ID MATCH in Release_Label",iserror(vlookup($A113&amp;$B113,'3) Release_Label'!$D:$D&amp;'3) Release_Label'!$E:$E,1,0)),"NO UPC-CATALOG ID pair MATCH in Release_Label" )</f>
        <v>Bhaggi Love</v>
      </c>
      <c r="D113" s="121" t="str">
        <f t="array" ref="D113">ifs(and(isblank($A113),isblank($B113)),"", not(iserror(vlookup($A113&amp;$B113,'3) Release_Label'!$D:$D&amp;'3) Release_Label'!$E:$E,1,0))),vlookup($A113&amp;$B113,{'3) Release_Label'!$D:$D&amp;'3) Release_Label'!$E:$E,'3) Release_Label'!$H:$H},2,0), or(and(not(isblank($B113)),$B113=$B112,$A113&lt;&gt;$A112),and(not(isblank($A113)),$A113=$A112,$B113&lt;&gt;$B112)),"ID LISTS UNALIGNED",and($A113&lt;&gt;"",countif('3) Release_Label'!$D:$D,$A113)=0),"NO UPC MATCH in Release_Label",and($B113&lt;&gt;"",countif('3) Release_Label'!$E:$E,$B113)=0),"NO CATALOG ID MATCH in Release_Label",iserror(vlookup($A113&amp;$B113,'3) Release_Label'!$D:$D&amp;'3) Release_Label'!$E:$E,1,0)),"NO UPC-CATALOG ID pair MATCH in Release_Label" )</f>
        <v/>
      </c>
      <c r="E113" s="44" t="s">
        <v>109</v>
      </c>
      <c r="F113" s="8" t="s">
        <v>323</v>
      </c>
      <c r="G113" s="123" t="str">
        <f t="array" ref="G113">ifs(or($F113="",$F113="Main Primary Artist"),$F113,not(iserror(vlookup($F113,'Reference info'!$J$5:$J$8,1,0))),"Key Artist",not(iserror(vlookup($F113,'Reference info'!$J$38:$J$405,1,0))),"Performer",not(iserror(vlookup($F113,'Reference info'!$J$10:$J$36,1,0))),"Producer &amp; Engineer")</f>
        <v>Main Primary Artist</v>
      </c>
    </row>
    <row r="114">
      <c r="A114" s="119">
        <v>9.995964337339E12</v>
      </c>
      <c r="B114" s="103"/>
      <c r="C114" s="121" t="str">
        <f t="array" ref="C114">ifs(and(isblank($A114),isblank($B114)),"", not(iserror(vlookup($A114&amp;$B114,'3) Release_Label'!$D:$D&amp;'3) Release_Label'!$E:$E,1,0))),vlookup($A114&amp;$B114,{'3) Release_Label'!$D:$D&amp;'3) Release_Label'!$E:$E,'3) Release_Label'!$F:$F},2,0), or(and(not(isblank($B114)),$B114=$B113,$A114&lt;&gt;$A113),and(not(isblank($A114)),$A114=$A113,$B114&lt;&gt;$B113)),"ID LISTS UNALIGNED",and($A114&lt;&gt;"",countif('3) Release_Label'!$D:$D,$A114)=0),"NO UPC MATCH in Release_Label",and($B114&lt;&gt;"",countif('3) Release_Label'!$E:$E,$B114)=0),"NO CATALOG ID MATCH in Release_Label",iserror(vlookup($A114&amp;$B114,'3) Release_Label'!$D:$D&amp;'3) Release_Label'!$E:$E,1,0)),"NO UPC-CATALOG ID pair MATCH in Release_Label" )</f>
        <v>Bhaggi Love</v>
      </c>
      <c r="D114" s="121" t="str">
        <f t="array" ref="D114">ifs(and(isblank($A114),isblank($B114)),"", not(iserror(vlookup($A114&amp;$B114,'3) Release_Label'!$D:$D&amp;'3) Release_Label'!$E:$E,1,0))),vlookup($A114&amp;$B114,{'3) Release_Label'!$D:$D&amp;'3) Release_Label'!$E:$E,'3) Release_Label'!$H:$H},2,0), or(and(not(isblank($B114)),$B114=$B113,$A114&lt;&gt;$A113),and(not(isblank($A114)),$A114=$A113,$B114&lt;&gt;$B113)),"ID LISTS UNALIGNED",and($A114&lt;&gt;"",countif('3) Release_Label'!$D:$D,$A114)=0),"NO UPC MATCH in Release_Label",and($B114&lt;&gt;"",countif('3) Release_Label'!$E:$E,$B114)=0),"NO CATALOG ID MATCH in Release_Label",iserror(vlookup($A114&amp;$B114,'3) Release_Label'!$D:$D&amp;'3) Release_Label'!$E:$E,1,0)),"NO UPC-CATALOG ID pair MATCH in Release_Label" )</f>
        <v/>
      </c>
      <c r="E114" s="44" t="s">
        <v>111</v>
      </c>
      <c r="F114" s="8" t="s">
        <v>331</v>
      </c>
      <c r="G114" s="123" t="str">
        <f t="array" ref="G114">ifs(or($F114="",$F114="Main Primary Artist"),$F114,not(iserror(vlookup($F114,'Reference info'!$J$5:$J$8,1,0))),"Key Artist",not(iserror(vlookup($F114,'Reference info'!$J$38:$J$405,1,0))),"Performer",not(iserror(vlookup($F114,'Reference info'!$J$10:$J$36,1,0))),"Producer &amp; Engineer")</f>
        <v>Key Artist</v>
      </c>
    </row>
    <row r="115">
      <c r="A115" s="119">
        <v>9.995964337346E12</v>
      </c>
      <c r="B115" s="103"/>
      <c r="C115" s="121" t="str">
        <f t="array" ref="C115">ifs(and(isblank($A115),isblank($B115)),"", not(iserror(vlookup($A115&amp;$B115,'3) Release_Label'!$D:$D&amp;'3) Release_Label'!$E:$E,1,0))),vlookup($A115&amp;$B115,{'3) Release_Label'!$D:$D&amp;'3) Release_Label'!$E:$E,'3) Release_Label'!$F:$F},2,0), or(and(not(isblank($B115)),$B115=$B114,$A115&lt;&gt;$A114),and(not(isblank($A115)),$A115=$A114,$B115&lt;&gt;$B114)),"ID LISTS UNALIGNED",and($A115&lt;&gt;"",countif('3) Release_Label'!$D:$D,$A115)=0),"NO UPC MATCH in Release_Label",and($B115&lt;&gt;"",countif('3) Release_Label'!$E:$E,$B115)=0),"NO CATALOG ID MATCH in Release_Label",iserror(vlookup($A115&amp;$B115,'3) Release_Label'!$D:$D&amp;'3) Release_Label'!$E:$E,1,0)),"NO UPC-CATALOG ID pair MATCH in Release_Label" )</f>
        <v>Chunni Cho Asmaan (From "Bhajjo Veero Ve" Soundtrack)</v>
      </c>
      <c r="D115" s="121" t="str">
        <f t="array" ref="D115">ifs(and(isblank($A115),isblank($B115)),"", not(iserror(vlookup($A115&amp;$B115,'3) Release_Label'!$D:$D&amp;'3) Release_Label'!$E:$E,1,0))),vlookup($A115&amp;$B115,{'3) Release_Label'!$D:$D&amp;'3) Release_Label'!$E:$E,'3) Release_Label'!$H:$H},2,0), or(and(not(isblank($B115)),$B115=$B114,$A115&lt;&gt;$A114),and(not(isblank($A115)),$A115=$A114,$B115&lt;&gt;$B114)),"ID LISTS UNALIGNED",and($A115&lt;&gt;"",countif('3) Release_Label'!$D:$D,$A115)=0),"NO UPC MATCH in Release_Label",and($B115&lt;&gt;"",countif('3) Release_Label'!$E:$E,$B115)=0),"NO CATALOG ID MATCH in Release_Label",iserror(vlookup($A115&amp;$B115,'3) Release_Label'!$D:$D&amp;'3) Release_Label'!$E:$E,1,0)),"NO UPC-CATALOG ID pair MATCH in Release_Label" )</f>
        <v/>
      </c>
      <c r="E115" s="44" t="s">
        <v>63</v>
      </c>
      <c r="F115" s="8" t="s">
        <v>323</v>
      </c>
      <c r="G115" s="123" t="str">
        <f t="array" ref="G115">ifs(or($F115="",$F115="Main Primary Artist"),$F115,not(iserror(vlookup($F115,'Reference info'!$J$5:$J$8,1,0))),"Key Artist",not(iserror(vlookup($F115,'Reference info'!$J$38:$J$405,1,0))),"Performer",not(iserror(vlookup($F115,'Reference info'!$J$10:$J$36,1,0))),"Producer &amp; Engineer")</f>
        <v>Main Primary Artist</v>
      </c>
    </row>
    <row r="116">
      <c r="A116" s="119">
        <v>9.995964337346E12</v>
      </c>
      <c r="B116" s="103"/>
      <c r="C116" s="121" t="str">
        <f t="array" ref="C116">ifs(and(isblank($A116),isblank($B116)),"", not(iserror(vlookup($A116&amp;$B116,'3) Release_Label'!$D:$D&amp;'3) Release_Label'!$E:$E,1,0))),vlookup($A116&amp;$B116,{'3) Release_Label'!$D:$D&amp;'3) Release_Label'!$E:$E,'3) Release_Label'!$F:$F},2,0), or(and(not(isblank($B116)),$B116=$B115,$A116&lt;&gt;$A115),and(not(isblank($A116)),$A116=$A115,$B116&lt;&gt;$B115)),"ID LISTS UNALIGNED",and($A116&lt;&gt;"",countif('3) Release_Label'!$D:$D,$A116)=0),"NO UPC MATCH in Release_Label",and($B116&lt;&gt;"",countif('3) Release_Label'!$E:$E,$B116)=0),"NO CATALOG ID MATCH in Release_Label",iserror(vlookup($A116&amp;$B116,'3) Release_Label'!$D:$D&amp;'3) Release_Label'!$E:$E,1,0)),"NO UPC-CATALOG ID pair MATCH in Release_Label" )</f>
        <v>Chunni Cho Asmaan (From "Bhajjo Veero Ve" Soundtrack)</v>
      </c>
      <c r="D116" s="121" t="str">
        <f t="array" ref="D116">ifs(and(isblank($A116),isblank($B116)),"", not(iserror(vlookup($A116&amp;$B116,'3) Release_Label'!$D:$D&amp;'3) Release_Label'!$E:$E,1,0))),vlookup($A116&amp;$B116,{'3) Release_Label'!$D:$D&amp;'3) Release_Label'!$E:$E,'3) Release_Label'!$H:$H},2,0), or(and(not(isblank($B116)),$B116=$B115,$A116&lt;&gt;$A115),and(not(isblank($A116)),$A116=$A115,$B116&lt;&gt;$B115)),"ID LISTS UNALIGNED",and($A116&lt;&gt;"",countif('3) Release_Label'!$D:$D,$A116)=0),"NO UPC MATCH in Release_Label",and($B116&lt;&gt;"",countif('3) Release_Label'!$E:$E,$B116)=0),"NO CATALOG ID MATCH in Release_Label",iserror(vlookup($A116&amp;$B116,'3) Release_Label'!$D:$D&amp;'3) Release_Label'!$E:$E,1,0)),"NO UPC-CATALOG ID pair MATCH in Release_Label" )</f>
        <v/>
      </c>
      <c r="E116" s="44" t="s">
        <v>51</v>
      </c>
      <c r="F116" s="8" t="s">
        <v>331</v>
      </c>
      <c r="G116" s="123" t="str">
        <f t="array" ref="G116">ifs(or($F116="",$F116="Main Primary Artist"),$F116,not(iserror(vlookup($F116,'Reference info'!$J$5:$J$8,1,0))),"Key Artist",not(iserror(vlookup($F116,'Reference info'!$J$38:$J$405,1,0))),"Performer",not(iserror(vlookup($F116,'Reference info'!$J$10:$J$36,1,0))),"Producer &amp; Engineer")</f>
        <v>Key Artist</v>
      </c>
    </row>
    <row r="117">
      <c r="A117" s="119">
        <v>9.995964338275E12</v>
      </c>
      <c r="B117" s="103"/>
      <c r="C117" s="121" t="str">
        <f t="array" ref="C117">ifs(and(isblank($A117),isblank($B117)),"", not(iserror(vlookup($A117&amp;$B117,'3) Release_Label'!$D:$D&amp;'3) Release_Label'!$E:$E,1,0))),vlookup($A117&amp;$B117,{'3) Release_Label'!$D:$D&amp;'3) Release_Label'!$E:$E,'3) Release_Label'!$F:$F},2,0), or(and(not(isblank($B117)),$B117=$B116,$A117&lt;&gt;$A116),and(not(isblank($A117)),$A117=$A116,$B117&lt;&gt;$B116)),"ID LISTS UNALIGNED",and($A117&lt;&gt;"",countif('3) Release_Label'!$D:$D,$A117)=0),"NO UPC MATCH in Release_Label",and($B117&lt;&gt;"",countif('3) Release_Label'!$E:$E,$B117)=0),"NO CATALOG ID MATCH in Release_Label",iserror(vlookup($A117&amp;$B117,'3) Release_Label'!$D:$D&amp;'3) Release_Label'!$E:$E,1,0)),"NO UPC-CATALOG ID pair MATCH in Release_Label" )</f>
        <v>Lehnga (From "Bhajjo Veero Ve" Soundtrack)</v>
      </c>
      <c r="D117" s="121" t="str">
        <f t="array" ref="D117">ifs(and(isblank($A117),isblank($B117)),"", not(iserror(vlookup($A117&amp;$B117,'3) Release_Label'!$D:$D&amp;'3) Release_Label'!$E:$E,1,0))),vlookup($A117&amp;$B117,{'3) Release_Label'!$D:$D&amp;'3) Release_Label'!$E:$E,'3) Release_Label'!$H:$H},2,0), or(and(not(isblank($B117)),$B117=$B116,$A117&lt;&gt;$A116),and(not(isblank($A117)),$A117=$A116,$B117&lt;&gt;$B116)),"ID LISTS UNALIGNED",and($A117&lt;&gt;"",countif('3) Release_Label'!$D:$D,$A117)=0),"NO UPC MATCH in Release_Label",and($B117&lt;&gt;"",countif('3) Release_Label'!$E:$E,$B117)=0),"NO CATALOG ID MATCH in Release_Label",iserror(vlookup($A117&amp;$B117,'3) Release_Label'!$D:$D&amp;'3) Release_Label'!$E:$E,1,0)),"NO UPC-CATALOG ID pair MATCH in Release_Label" )</f>
        <v/>
      </c>
      <c r="E117" s="44" t="s">
        <v>57</v>
      </c>
      <c r="F117" s="8" t="s">
        <v>323</v>
      </c>
      <c r="G117" s="123" t="str">
        <f t="array" ref="G117">ifs(or($F117="",$F117="Main Primary Artist"),$F117,not(iserror(vlookup($F117,'Reference info'!$J$5:$J$8,1,0))),"Key Artist",not(iserror(vlookup($F117,'Reference info'!$J$38:$J$405,1,0))),"Performer",not(iserror(vlookup($F117,'Reference info'!$J$10:$J$36,1,0))),"Producer &amp; Engineer")</f>
        <v>Main Primary Artist</v>
      </c>
    </row>
    <row r="118">
      <c r="A118" s="119">
        <v>9.995964338275E12</v>
      </c>
      <c r="B118" s="103"/>
      <c r="C118" s="121" t="str">
        <f t="array" ref="C118">ifs(and(isblank($A118),isblank($B118)),"", not(iserror(vlookup($A118&amp;$B118,'3) Release_Label'!$D:$D&amp;'3) Release_Label'!$E:$E,1,0))),vlookup($A118&amp;$B118,{'3) Release_Label'!$D:$D&amp;'3) Release_Label'!$E:$E,'3) Release_Label'!$F:$F},2,0), or(and(not(isblank($B118)),$B118=$B117,$A118&lt;&gt;$A117),and(not(isblank($A118)),$A118=$A117,$B118&lt;&gt;$B117)),"ID LISTS UNALIGNED",and($A118&lt;&gt;"",countif('3) Release_Label'!$D:$D,$A118)=0),"NO UPC MATCH in Release_Label",and($B118&lt;&gt;"",countif('3) Release_Label'!$E:$E,$B118)=0),"NO CATALOG ID MATCH in Release_Label",iserror(vlookup($A118&amp;$B118,'3) Release_Label'!$D:$D&amp;'3) Release_Label'!$E:$E,1,0)),"NO UPC-CATALOG ID pair MATCH in Release_Label" )</f>
        <v>Lehnga (From "Bhajjo Veero Ve" Soundtrack)</v>
      </c>
      <c r="D118" s="121" t="str">
        <f t="array" ref="D118">ifs(and(isblank($A118),isblank($B118)),"", not(iserror(vlookup($A118&amp;$B118,'3) Release_Label'!$D:$D&amp;'3) Release_Label'!$E:$E,1,0))),vlookup($A118&amp;$B118,{'3) Release_Label'!$D:$D&amp;'3) Release_Label'!$E:$E,'3) Release_Label'!$H:$H},2,0), or(and(not(isblank($B118)),$B118=$B117,$A118&lt;&gt;$A117),and(not(isblank($A118)),$A118=$A117,$B118&lt;&gt;$B117)),"ID LISTS UNALIGNED",and($A118&lt;&gt;"",countif('3) Release_Label'!$D:$D,$A118)=0),"NO UPC MATCH in Release_Label",and($B118&lt;&gt;"",countif('3) Release_Label'!$E:$E,$B118)=0),"NO CATALOG ID MATCH in Release_Label",iserror(vlookup($A118&amp;$B118,'3) Release_Label'!$D:$D&amp;'3) Release_Label'!$E:$E,1,0)),"NO UPC-CATALOG ID pair MATCH in Release_Label" )</f>
        <v/>
      </c>
      <c r="E118" s="44" t="s">
        <v>51</v>
      </c>
      <c r="F118" s="8" t="s">
        <v>331</v>
      </c>
      <c r="G118" s="123" t="str">
        <f t="array" ref="G118">ifs(or($F118="",$F118="Main Primary Artist"),$F118,not(iserror(vlookup($F118,'Reference info'!$J$5:$J$8,1,0))),"Key Artist",not(iserror(vlookup($F118,'Reference info'!$J$38:$J$405,1,0))),"Performer",not(iserror(vlookup($F118,'Reference info'!$J$10:$J$36,1,0))),"Producer &amp; Engineer")</f>
        <v>Key Artist</v>
      </c>
    </row>
    <row r="119">
      <c r="A119" s="119">
        <v>9.995964340322E12</v>
      </c>
      <c r="B119" s="103"/>
      <c r="C119" s="121" t="str">
        <f t="array" ref="C119">ifs(and(isblank($A119),isblank($B119)),"", not(iserror(vlookup($A119&amp;$B119,'3) Release_Label'!$D:$D&amp;'3) Release_Label'!$E:$E,1,0))),vlookup($A119&amp;$B119,{'3) Release_Label'!$D:$D&amp;'3) Release_Label'!$E:$E,'3) Release_Label'!$F:$F},2,0), or(and(not(isblank($B119)),$B119=$B118,$A119&lt;&gt;$A118),and(not(isblank($A119)),$A119=$A118,$B119&lt;&gt;$B118)),"ID LISTS UNALIGNED",and($A119&lt;&gt;"",countif('3) Release_Label'!$D:$D,$A119)=0),"NO UPC MATCH in Release_Label",and($B119&lt;&gt;"",countif('3) Release_Label'!$E:$E,$B119)=0),"NO CATALOG ID MATCH in Release_Label",iserror(vlookup($A119&amp;$B119,'3) Release_Label'!$D:$D&amp;'3) Release_Label'!$E:$E,1,0)),"NO UPC-CATALOG ID pair MATCH in Release_Label" )</f>
        <v>Darshan Mehnge (From "Laiye Je Yaarian" Soundtrack)</v>
      </c>
      <c r="D119" s="121" t="str">
        <f t="array" ref="D119">ifs(and(isblank($A119),isblank($B119)),"", not(iserror(vlookup($A119&amp;$B119,'3) Release_Label'!$D:$D&amp;'3) Release_Label'!$E:$E,1,0))),vlookup($A119&amp;$B119,{'3) Release_Label'!$D:$D&amp;'3) Release_Label'!$E:$E,'3) Release_Label'!$H:$H},2,0), or(and(not(isblank($B119)),$B119=$B118,$A119&lt;&gt;$A118),and(not(isblank($A119)),$A119=$A118,$B119&lt;&gt;$B118)),"ID LISTS UNALIGNED",and($A119&lt;&gt;"",countif('3) Release_Label'!$D:$D,$A119)=0),"NO UPC MATCH in Release_Label",and($B119&lt;&gt;"",countif('3) Release_Label'!$E:$E,$B119)=0),"NO CATALOG ID MATCH in Release_Label",iserror(vlookup($A119&amp;$B119,'3) Release_Label'!$D:$D&amp;'3) Release_Label'!$E:$E,1,0)),"NO UPC-CATALOG ID pair MATCH in Release_Label" )</f>
        <v/>
      </c>
      <c r="E119" s="44" t="s">
        <v>49</v>
      </c>
      <c r="F119" s="8" t="s">
        <v>323</v>
      </c>
      <c r="G119" s="123" t="str">
        <f t="array" ref="G119">ifs(or($F119="",$F119="Main Primary Artist"),$F119,not(iserror(vlookup($F119,'Reference info'!$J$5:$J$8,1,0))),"Key Artist",not(iserror(vlookup($F119,'Reference info'!$J$38:$J$405,1,0))),"Performer",not(iserror(vlookup($F119,'Reference info'!$J$10:$J$36,1,0))),"Producer &amp; Engineer")</f>
        <v>Main Primary Artist</v>
      </c>
    </row>
    <row r="120">
      <c r="A120" s="119">
        <v>9.995964340322E12</v>
      </c>
      <c r="B120" s="103"/>
      <c r="C120" s="121" t="str">
        <f t="array" ref="C120">ifs(and(isblank($A120),isblank($B120)),"", not(iserror(vlookup($A120&amp;$B120,'3) Release_Label'!$D:$D&amp;'3) Release_Label'!$E:$E,1,0))),vlookup($A120&amp;$B120,{'3) Release_Label'!$D:$D&amp;'3) Release_Label'!$E:$E,'3) Release_Label'!$F:$F},2,0), or(and(not(isblank($B120)),$B120=$B119,$A120&lt;&gt;$A119),and(not(isblank($A120)),$A120=$A119,$B120&lt;&gt;$B119)),"ID LISTS UNALIGNED",and($A120&lt;&gt;"",countif('3) Release_Label'!$D:$D,$A120)=0),"NO UPC MATCH in Release_Label",and($B120&lt;&gt;"",countif('3) Release_Label'!$E:$E,$B120)=0),"NO CATALOG ID MATCH in Release_Label",iserror(vlookup($A120&amp;$B120,'3) Release_Label'!$D:$D&amp;'3) Release_Label'!$E:$E,1,0)),"NO UPC-CATALOG ID pair MATCH in Release_Label" )</f>
        <v>Darshan Mehnge (From "Laiye Je Yaarian" Soundtrack)</v>
      </c>
      <c r="D120" s="121" t="str">
        <f t="array" ref="D120">ifs(and(isblank($A120),isblank($B120)),"", not(iserror(vlookup($A120&amp;$B120,'3) Release_Label'!$D:$D&amp;'3) Release_Label'!$E:$E,1,0))),vlookup($A120&amp;$B120,{'3) Release_Label'!$D:$D&amp;'3) Release_Label'!$E:$E,'3) Release_Label'!$H:$H},2,0), or(and(not(isblank($B120)),$B120=$B119,$A120&lt;&gt;$A119),and(not(isblank($A120)),$A120=$A119,$B120&lt;&gt;$B119)),"ID LISTS UNALIGNED",and($A120&lt;&gt;"",countif('3) Release_Label'!$D:$D,$A120)=0),"NO UPC MATCH in Release_Label",and($B120&lt;&gt;"",countif('3) Release_Label'!$E:$E,$B120)=0),"NO CATALOG ID MATCH in Release_Label",iserror(vlookup($A120&amp;$B120,'3) Release_Label'!$D:$D&amp;'3) Release_Label'!$E:$E,1,0)),"NO UPC-CATALOG ID pair MATCH in Release_Label" )</f>
        <v/>
      </c>
      <c r="E120" s="44" t="s">
        <v>93</v>
      </c>
      <c r="F120" s="8" t="s">
        <v>324</v>
      </c>
      <c r="G120" s="123" t="str">
        <f t="array" ref="G120">ifs(or($F120="",$F120="Main Primary Artist"),$F120,not(iserror(vlookup($F120,'Reference info'!$J$5:$J$8,1,0))),"Key Artist",not(iserror(vlookup($F120,'Reference info'!$J$38:$J$405,1,0))),"Performer",not(iserror(vlookup($F120,'Reference info'!$J$10:$J$36,1,0))),"Producer &amp; Engineer")</f>
        <v>Key Artist</v>
      </c>
    </row>
    <row r="121">
      <c r="A121" s="119">
        <v>9.995964340322E12</v>
      </c>
      <c r="B121" s="103"/>
      <c r="C121" s="121" t="str">
        <f t="array" ref="C121">ifs(and(isblank($A121),isblank($B121)),"", not(iserror(vlookup($A121&amp;$B121,'3) Release_Label'!$D:$D&amp;'3) Release_Label'!$E:$E,1,0))),vlookup($A121&amp;$B121,{'3) Release_Label'!$D:$D&amp;'3) Release_Label'!$E:$E,'3) Release_Label'!$F:$F},2,0), or(and(not(isblank($B121)),$B121=$B120,$A121&lt;&gt;$A120),and(not(isblank($A121)),$A121=$A120,$B121&lt;&gt;$B120)),"ID LISTS UNALIGNED",and($A121&lt;&gt;"",countif('3) Release_Label'!$D:$D,$A121)=0),"NO UPC MATCH in Release_Label",and($B121&lt;&gt;"",countif('3) Release_Label'!$E:$E,$B121)=0),"NO CATALOG ID MATCH in Release_Label",iserror(vlookup($A121&amp;$B121,'3) Release_Label'!$D:$D&amp;'3) Release_Label'!$E:$E,1,0)),"NO UPC-CATALOG ID pair MATCH in Release_Label" )</f>
        <v>Darshan Mehnge (From "Laiye Je Yaarian" Soundtrack)</v>
      </c>
      <c r="D121" s="121" t="str">
        <f t="array" ref="D121">ifs(and(isblank($A121),isblank($B121)),"", not(iserror(vlookup($A121&amp;$B121,'3) Release_Label'!$D:$D&amp;'3) Release_Label'!$E:$E,1,0))),vlookup($A121&amp;$B121,{'3) Release_Label'!$D:$D&amp;'3) Release_Label'!$E:$E,'3) Release_Label'!$H:$H},2,0), or(and(not(isblank($B121)),$B121=$B120,$A121&lt;&gt;$A120),and(not(isblank($A121)),$A121=$A120,$B121&lt;&gt;$B120)),"ID LISTS UNALIGNED",and($A121&lt;&gt;"",countif('3) Release_Label'!$D:$D,$A121)=0),"NO UPC MATCH in Release_Label",and($B121&lt;&gt;"",countif('3) Release_Label'!$E:$E,$B121)=0),"NO CATALOG ID MATCH in Release_Label",iserror(vlookup($A121&amp;$B121,'3) Release_Label'!$D:$D&amp;'3) Release_Label'!$E:$E,1,0)),"NO UPC-CATALOG ID pair MATCH in Release_Label" )</f>
        <v/>
      </c>
      <c r="E121" s="44" t="s">
        <v>113</v>
      </c>
      <c r="F121" s="8" t="s">
        <v>331</v>
      </c>
      <c r="G121" s="123" t="str">
        <f t="array" ref="G121">ifs(or($F121="",$F121="Main Primary Artist"),$F121,not(iserror(vlookup($F121,'Reference info'!$J$5:$J$8,1,0))),"Key Artist",not(iserror(vlookup($F121,'Reference info'!$J$38:$J$405,1,0))),"Performer",not(iserror(vlookup($F121,'Reference info'!$J$10:$J$36,1,0))),"Producer &amp; Engineer")</f>
        <v>Key Artist</v>
      </c>
    </row>
    <row r="122">
      <c r="A122" s="119">
        <v>9.995964340483E12</v>
      </c>
      <c r="B122" s="103"/>
      <c r="C122" s="121" t="str">
        <f t="array" ref="C122">ifs(and(isblank($A122),isblank($B122)),"", not(iserror(vlookup($A122&amp;$B122,'3) Release_Label'!$D:$D&amp;'3) Release_Label'!$E:$E,1,0))),vlookup($A122&amp;$B122,{'3) Release_Label'!$D:$D&amp;'3) Release_Label'!$E:$E,'3) Release_Label'!$F:$F},2,0), or(and(not(isblank($B122)),$B122=$B121,$A122&lt;&gt;$A121),and(not(isblank($A122)),$A122=$A121,$B122&lt;&gt;$B121)),"ID LISTS UNALIGNED",and($A122&lt;&gt;"",countif('3) Release_Label'!$D:$D,$A122)=0),"NO UPC MATCH in Release_Label",and($B122&lt;&gt;"",countif('3) Release_Label'!$E:$E,$B122)=0),"NO CATALOG ID MATCH in Release_Label",iserror(vlookup($A122&amp;$B122,'3) Release_Label'!$D:$D&amp;'3) Release_Label'!$E:$E,1,0)),"NO UPC-CATALOG ID pair MATCH in Release_Label" )</f>
        <v>Aah Ki Hoya (From "Laiye Je Yaarian" Soundtrack)</v>
      </c>
      <c r="D122" s="121" t="str">
        <f t="array" ref="D122">ifs(and(isblank($A122),isblank($B122)),"", not(iserror(vlookup($A122&amp;$B122,'3) Release_Label'!$D:$D&amp;'3) Release_Label'!$E:$E,1,0))),vlookup($A122&amp;$B122,{'3) Release_Label'!$D:$D&amp;'3) Release_Label'!$E:$E,'3) Release_Label'!$H:$H},2,0), or(and(not(isblank($B122)),$B122=$B121,$A122&lt;&gt;$A121),and(not(isblank($A122)),$A122=$A121,$B122&lt;&gt;$B121)),"ID LISTS UNALIGNED",and($A122&lt;&gt;"",countif('3) Release_Label'!$D:$D,$A122)=0),"NO UPC MATCH in Release_Label",and($B122&lt;&gt;"",countif('3) Release_Label'!$E:$E,$B122)=0),"NO CATALOG ID MATCH in Release_Label",iserror(vlookup($A122&amp;$B122,'3) Release_Label'!$D:$D&amp;'3) Release_Label'!$E:$E,1,0)),"NO UPC-CATALOG ID pair MATCH in Release_Label" )</f>
        <v/>
      </c>
      <c r="E122" s="44" t="s">
        <v>111</v>
      </c>
      <c r="F122" s="8" t="s">
        <v>323</v>
      </c>
      <c r="G122" s="123" t="str">
        <f t="array" ref="G122">ifs(or($F122="",$F122="Main Primary Artist"),$F122,not(iserror(vlookup($F122,'Reference info'!$J$5:$J$8,1,0))),"Key Artist",not(iserror(vlookup($F122,'Reference info'!$J$38:$J$405,1,0))),"Performer",not(iserror(vlookup($F122,'Reference info'!$J$10:$J$36,1,0))),"Producer &amp; Engineer")</f>
        <v>Main Primary Artist</v>
      </c>
    </row>
    <row r="123">
      <c r="A123" s="119">
        <v>9.995964340483E12</v>
      </c>
      <c r="B123" s="103"/>
      <c r="C123" s="121" t="str">
        <f t="array" ref="C123">ifs(and(isblank($A123),isblank($B123)),"", not(iserror(vlookup($A123&amp;$B123,'3) Release_Label'!$D:$D&amp;'3) Release_Label'!$E:$E,1,0))),vlookup($A123&amp;$B123,{'3) Release_Label'!$D:$D&amp;'3) Release_Label'!$E:$E,'3) Release_Label'!$F:$F},2,0), or(and(not(isblank($B123)),$B123=$B122,$A123&lt;&gt;$A122),and(not(isblank($A123)),$A123=$A122,$B123&lt;&gt;$B122)),"ID LISTS UNALIGNED",and($A123&lt;&gt;"",countif('3) Release_Label'!$D:$D,$A123)=0),"NO UPC MATCH in Release_Label",and($B123&lt;&gt;"",countif('3) Release_Label'!$E:$E,$B123)=0),"NO CATALOG ID MATCH in Release_Label",iserror(vlookup($A123&amp;$B123,'3) Release_Label'!$D:$D&amp;'3) Release_Label'!$E:$E,1,0)),"NO UPC-CATALOG ID pair MATCH in Release_Label" )</f>
        <v>Aah Ki Hoya (From "Laiye Je Yaarian" Soundtrack)</v>
      </c>
      <c r="D123" s="121" t="str">
        <f t="array" ref="D123">ifs(and(isblank($A123),isblank($B123)),"", not(iserror(vlookup($A123&amp;$B123,'3) Release_Label'!$D:$D&amp;'3) Release_Label'!$E:$E,1,0))),vlookup($A123&amp;$B123,{'3) Release_Label'!$D:$D&amp;'3) Release_Label'!$E:$E,'3) Release_Label'!$H:$H},2,0), or(and(not(isblank($B123)),$B123=$B122,$A123&lt;&gt;$A122),and(not(isblank($A123)),$A123=$A122,$B123&lt;&gt;$B122)),"ID LISTS UNALIGNED",and($A123&lt;&gt;"",countif('3) Release_Label'!$D:$D,$A123)=0),"NO UPC MATCH in Release_Label",and($B123&lt;&gt;"",countif('3) Release_Label'!$E:$E,$B123)=0),"NO CATALOG ID MATCH in Release_Label",iserror(vlookup($A123&amp;$B123,'3) Release_Label'!$D:$D&amp;'3) Release_Label'!$E:$E,1,0)),"NO UPC-CATALOG ID pair MATCH in Release_Label" )</f>
        <v/>
      </c>
      <c r="E123" s="44" t="s">
        <v>113</v>
      </c>
      <c r="F123" s="8" t="s">
        <v>331</v>
      </c>
      <c r="G123" s="123" t="str">
        <f t="array" ref="G123">ifs(or($F123="",$F123="Main Primary Artist"),$F123,not(iserror(vlookup($F123,'Reference info'!$J$5:$J$8,1,0))),"Key Artist",not(iserror(vlookup($F123,'Reference info'!$J$38:$J$405,1,0))),"Performer",not(iserror(vlookup($F123,'Reference info'!$J$10:$J$36,1,0))),"Producer &amp; Engineer")</f>
        <v>Key Artist</v>
      </c>
    </row>
    <row r="124">
      <c r="A124" s="119">
        <v>9.995964340612E12</v>
      </c>
      <c r="B124" s="103"/>
      <c r="C124" s="121" t="str">
        <f t="array" ref="C124">ifs(and(isblank($A124),isblank($B124)),"", not(iserror(vlookup($A124&amp;$B124,'3) Release_Label'!$D:$D&amp;'3) Release_Label'!$E:$E,1,0))),vlookup($A124&amp;$B124,{'3) Release_Label'!$D:$D&amp;'3) Release_Label'!$E:$E,'3) Release_Label'!$F:$F},2,0), or(and(not(isblank($B124)),$B124=$B123,$A124&lt;&gt;$A123),and(not(isblank($A124)),$A124=$A123,$B124&lt;&gt;$B123)),"ID LISTS UNALIGNED",and($A124&lt;&gt;"",countif('3) Release_Label'!$D:$D,$A124)=0),"NO UPC MATCH in Release_Label",and($B124&lt;&gt;"",countif('3) Release_Label'!$E:$E,$B124)=0),"NO CATALOG ID MATCH in Release_Label",iserror(vlookup($A124&amp;$B124,'3) Release_Label'!$D:$D&amp;'3) Release_Label'!$E:$E,1,0)),"NO UPC-CATALOG ID pair MATCH in Release_Label" )</f>
        <v>Mathi Mathi (From "Laiye Je Yaarian" Soundtrack)</v>
      </c>
      <c r="D124" s="121" t="str">
        <f t="array" ref="D124">ifs(and(isblank($A124),isblank($B124)),"", not(iserror(vlookup($A124&amp;$B124,'3) Release_Label'!$D:$D&amp;'3) Release_Label'!$E:$E,1,0))),vlookup($A124&amp;$B124,{'3) Release_Label'!$D:$D&amp;'3) Release_Label'!$E:$E,'3) Release_Label'!$H:$H},2,0), or(and(not(isblank($B124)),$B124=$B123,$A124&lt;&gt;$A123),and(not(isblank($A124)),$A124=$A123,$B124&lt;&gt;$B123)),"ID LISTS UNALIGNED",and($A124&lt;&gt;"",countif('3) Release_Label'!$D:$D,$A124)=0),"NO UPC MATCH in Release_Label",and($B124&lt;&gt;"",countif('3) Release_Label'!$E:$E,$B124)=0),"NO CATALOG ID MATCH in Release_Label",iserror(vlookup($A124&amp;$B124,'3) Release_Label'!$D:$D&amp;'3) Release_Label'!$E:$E,1,0)),"NO UPC-CATALOG ID pair MATCH in Release_Label" )</f>
        <v/>
      </c>
      <c r="E124" s="44" t="s">
        <v>49</v>
      </c>
      <c r="F124" s="8" t="s">
        <v>323</v>
      </c>
      <c r="G124" s="123" t="str">
        <f t="array" ref="G124">ifs(or($F124="",$F124="Main Primary Artist"),$F124,not(iserror(vlookup($F124,'Reference info'!$J$5:$J$8,1,0))),"Key Artist",not(iserror(vlookup($F124,'Reference info'!$J$38:$J$405,1,0))),"Performer",not(iserror(vlookup($F124,'Reference info'!$J$10:$J$36,1,0))),"Producer &amp; Engineer")</f>
        <v>Main Primary Artist</v>
      </c>
    </row>
    <row r="125">
      <c r="A125" s="119">
        <v>9.995964340612E12</v>
      </c>
      <c r="B125" s="103"/>
      <c r="C125" s="121" t="str">
        <f t="array" ref="C125">ifs(and(isblank($A125),isblank($B125)),"", not(iserror(vlookup($A125&amp;$B125,'3) Release_Label'!$D:$D&amp;'3) Release_Label'!$E:$E,1,0))),vlookup($A125&amp;$B125,{'3) Release_Label'!$D:$D&amp;'3) Release_Label'!$E:$E,'3) Release_Label'!$F:$F},2,0), or(and(not(isblank($B125)),$B125=$B124,$A125&lt;&gt;$A124),and(not(isblank($A125)),$A125=$A124,$B125&lt;&gt;$B124)),"ID LISTS UNALIGNED",and($A125&lt;&gt;"",countif('3) Release_Label'!$D:$D,$A125)=0),"NO UPC MATCH in Release_Label",and($B125&lt;&gt;"",countif('3) Release_Label'!$E:$E,$B125)=0),"NO CATALOG ID MATCH in Release_Label",iserror(vlookup($A125&amp;$B125,'3) Release_Label'!$D:$D&amp;'3) Release_Label'!$E:$E,1,0)),"NO UPC-CATALOG ID pair MATCH in Release_Label" )</f>
        <v>Mathi Mathi (From "Laiye Je Yaarian" Soundtrack)</v>
      </c>
      <c r="D125" s="121" t="str">
        <f t="array" ref="D125">ifs(and(isblank($A125),isblank($B125)),"", not(iserror(vlookup($A125&amp;$B125,'3) Release_Label'!$D:$D&amp;'3) Release_Label'!$E:$E,1,0))),vlookup($A125&amp;$B125,{'3) Release_Label'!$D:$D&amp;'3) Release_Label'!$E:$E,'3) Release_Label'!$H:$H},2,0), or(and(not(isblank($B125)),$B125=$B124,$A125&lt;&gt;$A124),and(not(isblank($A125)),$A125=$A124,$B125&lt;&gt;$B124)),"ID LISTS UNALIGNED",and($A125&lt;&gt;"",countif('3) Release_Label'!$D:$D,$A125)=0),"NO UPC MATCH in Release_Label",and($B125&lt;&gt;"",countif('3) Release_Label'!$E:$E,$B125)=0),"NO CATALOG ID MATCH in Release_Label",iserror(vlookup($A125&amp;$B125,'3) Release_Label'!$D:$D&amp;'3) Release_Label'!$E:$E,1,0)),"NO UPC-CATALOG ID pair MATCH in Release_Label" )</f>
        <v/>
      </c>
      <c r="E125" s="44" t="s">
        <v>115</v>
      </c>
      <c r="F125" s="8" t="s">
        <v>331</v>
      </c>
      <c r="G125" s="123" t="str">
        <f t="array" ref="G125">ifs(or($F125="",$F125="Main Primary Artist"),$F125,not(iserror(vlookup($F125,'Reference info'!$J$5:$J$8,1,0))),"Key Artist",not(iserror(vlookup($F125,'Reference info'!$J$38:$J$405,1,0))),"Performer",not(iserror(vlookup($F125,'Reference info'!$J$10:$J$36,1,0))),"Producer &amp; Engineer")</f>
        <v>Key Artist</v>
      </c>
    </row>
    <row r="126">
      <c r="A126" s="119">
        <v>9.995964340759E12</v>
      </c>
      <c r="B126" s="103"/>
      <c r="C126" s="121" t="str">
        <f t="array" ref="C126">ifs(and(isblank($A126),isblank($B126)),"", not(iserror(vlookup($A126&amp;$B126,'3) Release_Label'!$D:$D&amp;'3) Release_Label'!$E:$E,1,0))),vlookup($A126&amp;$B126,{'3) Release_Label'!$D:$D&amp;'3) Release_Label'!$E:$E,'3) Release_Label'!$F:$F},2,0), or(and(not(isblank($B126)),$B126=$B125,$A126&lt;&gt;$A125),and(not(isblank($A126)),$A126=$A125,$B126&lt;&gt;$B125)),"ID LISTS UNALIGNED",and($A126&lt;&gt;"",countif('3) Release_Label'!$D:$D,$A126)=0),"NO UPC MATCH in Release_Label",and($B126&lt;&gt;"",countif('3) Release_Label'!$E:$E,$B126)=0),"NO CATALOG ID MATCH in Release_Label",iserror(vlookup($A126&amp;$B126,'3) Release_Label'!$D:$D&amp;'3) Release_Label'!$E:$E,1,0)),"NO UPC-CATALOG ID pair MATCH in Release_Label" )</f>
        <v>Meri Aakad (From "Laiye Je Yaarian" Soundtrack)</v>
      </c>
      <c r="D126" s="121" t="str">
        <f t="array" ref="D126">ifs(and(isblank($A126),isblank($B126)),"", not(iserror(vlookup($A126&amp;$B126,'3) Release_Label'!$D:$D&amp;'3) Release_Label'!$E:$E,1,0))),vlookup($A126&amp;$B126,{'3) Release_Label'!$D:$D&amp;'3) Release_Label'!$E:$E,'3) Release_Label'!$H:$H},2,0), or(and(not(isblank($B126)),$B126=$B125,$A126&lt;&gt;$A125),and(not(isblank($A126)),$A126=$A125,$B126&lt;&gt;$B125)),"ID LISTS UNALIGNED",and($A126&lt;&gt;"",countif('3) Release_Label'!$D:$D,$A126)=0),"NO UPC MATCH in Release_Label",and($B126&lt;&gt;"",countif('3) Release_Label'!$E:$E,$B126)=0),"NO CATALOG ID MATCH in Release_Label",iserror(vlookup($A126&amp;$B126,'3) Release_Label'!$D:$D&amp;'3) Release_Label'!$E:$E,1,0)),"NO UPC-CATALOG ID pair MATCH in Release_Label" )</f>
        <v/>
      </c>
      <c r="E126" s="44" t="s">
        <v>121</v>
      </c>
      <c r="F126" s="8" t="s">
        <v>323</v>
      </c>
      <c r="G126" s="123" t="str">
        <f t="array" ref="G126">ifs(or($F126="",$F126="Main Primary Artist"),$F126,not(iserror(vlookup($F126,'Reference info'!$J$5:$J$8,1,0))),"Key Artist",not(iserror(vlookup($F126,'Reference info'!$J$38:$J$405,1,0))),"Performer",not(iserror(vlookup($F126,'Reference info'!$J$10:$J$36,1,0))),"Producer &amp; Engineer")</f>
        <v>Main Primary Artist</v>
      </c>
    </row>
    <row r="127">
      <c r="A127" s="119">
        <v>9.995964340759E12</v>
      </c>
      <c r="B127" s="103"/>
      <c r="C127" s="121" t="str">
        <f t="array" ref="C127">ifs(and(isblank($A127),isblank($B127)),"", not(iserror(vlookup($A127&amp;$B127,'3) Release_Label'!$D:$D&amp;'3) Release_Label'!$E:$E,1,0))),vlookup($A127&amp;$B127,{'3) Release_Label'!$D:$D&amp;'3) Release_Label'!$E:$E,'3) Release_Label'!$F:$F},2,0), or(and(not(isblank($B127)),$B127=$B126,$A127&lt;&gt;$A126),and(not(isblank($A127)),$A127=$A126,$B127&lt;&gt;$B126)),"ID LISTS UNALIGNED",and($A127&lt;&gt;"",countif('3) Release_Label'!$D:$D,$A127)=0),"NO UPC MATCH in Release_Label",and($B127&lt;&gt;"",countif('3) Release_Label'!$E:$E,$B127)=0),"NO CATALOG ID MATCH in Release_Label",iserror(vlookup($A127&amp;$B127,'3) Release_Label'!$D:$D&amp;'3) Release_Label'!$E:$E,1,0)),"NO UPC-CATALOG ID pair MATCH in Release_Label" )</f>
        <v>Meri Aakad (From "Laiye Je Yaarian" Soundtrack)</v>
      </c>
      <c r="D127" s="121" t="str">
        <f t="array" ref="D127">ifs(and(isblank($A127),isblank($B127)),"", not(iserror(vlookup($A127&amp;$B127,'3) Release_Label'!$D:$D&amp;'3) Release_Label'!$E:$E,1,0))),vlookup($A127&amp;$B127,{'3) Release_Label'!$D:$D&amp;'3) Release_Label'!$E:$E,'3) Release_Label'!$H:$H},2,0), or(and(not(isblank($B127)),$B127=$B126,$A127&lt;&gt;$A126),and(not(isblank($A127)),$A127=$A126,$B127&lt;&gt;$B126)),"ID LISTS UNALIGNED",and($A127&lt;&gt;"",countif('3) Release_Label'!$D:$D,$A127)=0),"NO UPC MATCH in Release_Label",and($B127&lt;&gt;"",countif('3) Release_Label'!$E:$E,$B127)=0),"NO CATALOG ID MATCH in Release_Label",iserror(vlookup($A127&amp;$B127,'3) Release_Label'!$D:$D&amp;'3) Release_Label'!$E:$E,1,0)),"NO UPC-CATALOG ID pair MATCH in Release_Label" )</f>
        <v/>
      </c>
      <c r="E127" s="44" t="s">
        <v>113</v>
      </c>
      <c r="F127" s="8" t="s">
        <v>331</v>
      </c>
      <c r="G127" s="123" t="str">
        <f t="array" ref="G127">ifs(or($F127="",$F127="Main Primary Artist"),$F127,not(iserror(vlookup($F127,'Reference info'!$J$5:$J$8,1,0))),"Key Artist",not(iserror(vlookup($F127,'Reference info'!$J$38:$J$405,1,0))),"Performer",not(iserror(vlookup($F127,'Reference info'!$J$10:$J$36,1,0))),"Producer &amp; Engineer")</f>
        <v>Key Artist</v>
      </c>
    </row>
    <row r="128">
      <c r="A128" s="119">
        <v>9.995964340933E12</v>
      </c>
      <c r="B128" s="103"/>
      <c r="C128" s="121" t="str">
        <f t="array" ref="C128">ifs(and(isblank($A128),isblank($B128)),"", not(iserror(vlookup($A128&amp;$B128,'3) Release_Label'!$D:$D&amp;'3) Release_Label'!$E:$E,1,0))),vlookup($A128&amp;$B128,{'3) Release_Label'!$D:$D&amp;'3) Release_Label'!$E:$E,'3) Release_Label'!$F:$F},2,0), or(and(not(isblank($B128)),$B128=$B127,$A128&lt;&gt;$A127),and(not(isblank($A128)),$A128=$A127,$B128&lt;&gt;$B127)),"ID LISTS UNALIGNED",and($A128&lt;&gt;"",countif('3) Release_Label'!$D:$D,$A128)=0),"NO UPC MATCH in Release_Label",and($B128&lt;&gt;"",countif('3) Release_Label'!$E:$E,$B128)=0),"NO CATALOG ID MATCH in Release_Label",iserror(vlookup($A128&amp;$B128,'3) Release_Label'!$D:$D&amp;'3) Release_Label'!$E:$E,1,0)),"NO UPC-CATALOG ID pair MATCH in Release_Label" )</f>
        <v>Dil Main Nahi Laona (From "Laiye Je Yaarian" Soundtrack)</v>
      </c>
      <c r="D128" s="121" t="str">
        <f t="array" ref="D128">ifs(and(isblank($A128),isblank($B128)),"", not(iserror(vlookup($A128&amp;$B128,'3) Release_Label'!$D:$D&amp;'3) Release_Label'!$E:$E,1,0))),vlookup($A128&amp;$B128,{'3) Release_Label'!$D:$D&amp;'3) Release_Label'!$E:$E,'3) Release_Label'!$H:$H},2,0), or(and(not(isblank($B128)),$B128=$B127,$A128&lt;&gt;$A127),and(not(isblank($A128)),$A128=$A127,$B128&lt;&gt;$B127)),"ID LISTS UNALIGNED",and($A128&lt;&gt;"",countif('3) Release_Label'!$D:$D,$A128)=0),"NO UPC MATCH in Release_Label",and($B128&lt;&gt;"",countif('3) Release_Label'!$E:$E,$B128)=0),"NO CATALOG ID MATCH in Release_Label",iserror(vlookup($A128&amp;$B128,'3) Release_Label'!$D:$D&amp;'3) Release_Label'!$E:$E,1,0)),"NO UPC-CATALOG ID pair MATCH in Release_Label" )</f>
        <v/>
      </c>
      <c r="E128" s="44" t="s">
        <v>117</v>
      </c>
      <c r="F128" s="8" t="s">
        <v>323</v>
      </c>
      <c r="G128" s="123" t="str">
        <f t="array" ref="G128">ifs(or($F128="",$F128="Main Primary Artist"),$F128,not(iserror(vlookup($F128,'Reference info'!$J$5:$J$8,1,0))),"Key Artist",not(iserror(vlookup($F128,'Reference info'!$J$38:$J$405,1,0))),"Performer",not(iserror(vlookup($F128,'Reference info'!$J$10:$J$36,1,0))),"Producer &amp; Engineer")</f>
        <v>Main Primary Artist</v>
      </c>
    </row>
    <row r="129">
      <c r="A129" s="119">
        <v>9.995964340933E12</v>
      </c>
      <c r="B129" s="103"/>
      <c r="C129" s="121" t="str">
        <f t="array" ref="C129">ifs(and(isblank($A129),isblank($B129)),"", not(iserror(vlookup($A129&amp;$B129,'3) Release_Label'!$D:$D&amp;'3) Release_Label'!$E:$E,1,0))),vlookup($A129&amp;$B129,{'3) Release_Label'!$D:$D&amp;'3) Release_Label'!$E:$E,'3) Release_Label'!$F:$F},2,0), or(and(not(isblank($B129)),$B129=$B128,$A129&lt;&gt;$A128),and(not(isblank($A129)),$A129=$A128,$B129&lt;&gt;$B128)),"ID LISTS UNALIGNED",and($A129&lt;&gt;"",countif('3) Release_Label'!$D:$D,$A129)=0),"NO UPC MATCH in Release_Label",and($B129&lt;&gt;"",countif('3) Release_Label'!$E:$E,$B129)=0),"NO CATALOG ID MATCH in Release_Label",iserror(vlookup($A129&amp;$B129,'3) Release_Label'!$D:$D&amp;'3) Release_Label'!$E:$E,1,0)),"NO UPC-CATALOG ID pair MATCH in Release_Label" )</f>
        <v>Dil Main Nahi Laona (From "Laiye Je Yaarian" Soundtrack)</v>
      </c>
      <c r="D129" s="121" t="str">
        <f t="array" ref="D129">ifs(and(isblank($A129),isblank($B129)),"", not(iserror(vlookup($A129&amp;$B129,'3) Release_Label'!$D:$D&amp;'3) Release_Label'!$E:$E,1,0))),vlookup($A129&amp;$B129,{'3) Release_Label'!$D:$D&amp;'3) Release_Label'!$E:$E,'3) Release_Label'!$H:$H},2,0), or(and(not(isblank($B129)),$B129=$B128,$A129&lt;&gt;$A128),and(not(isblank($A129)),$A129=$A128,$B129&lt;&gt;$B128)),"ID LISTS UNALIGNED",and($A129&lt;&gt;"",countif('3) Release_Label'!$D:$D,$A129)=0),"NO UPC MATCH in Release_Label",and($B129&lt;&gt;"",countif('3) Release_Label'!$E:$E,$B129)=0),"NO CATALOG ID MATCH in Release_Label",iserror(vlookup($A129&amp;$B129,'3) Release_Label'!$D:$D&amp;'3) Release_Label'!$E:$E,1,0)),"NO UPC-CATALOG ID pair MATCH in Release_Label" )</f>
        <v/>
      </c>
      <c r="E129" s="44" t="s">
        <v>119</v>
      </c>
      <c r="F129" s="8" t="s">
        <v>331</v>
      </c>
      <c r="G129" s="123" t="str">
        <f t="array" ref="G129">ifs(or($F129="",$F129="Main Primary Artist"),$F129,not(iserror(vlookup($F129,'Reference info'!$J$5:$J$8,1,0))),"Key Artist",not(iserror(vlookup($F129,'Reference info'!$J$38:$J$405,1,0))),"Performer",not(iserror(vlookup($F129,'Reference info'!$J$10:$J$36,1,0))),"Producer &amp; Engineer")</f>
        <v>Key Artist</v>
      </c>
    </row>
    <row r="130">
      <c r="A130" s="119">
        <v>9.995964341268E12</v>
      </c>
      <c r="B130" s="103"/>
      <c r="C130" s="121" t="str">
        <f t="array" ref="C130">ifs(and(isblank($A130),isblank($B130)),"", not(iserror(vlookup($A130&amp;$B130,'3) Release_Label'!$D:$D&amp;'3) Release_Label'!$E:$E,1,0))),vlookup($A130&amp;$B130,{'3) Release_Label'!$D:$D&amp;'3) Release_Label'!$E:$E,'3) Release_Label'!$F:$F},2,0), or(and(not(isblank($B130)),$B130=#REF!,$A130&lt;&gt;#REF!),and(not(isblank($A130)),$A130=#REF!,$B130&lt;&gt;#REF!)),"ID LISTS UNALIGNED",and($A130&lt;&gt;"",countif('3) Release_Label'!$D:$D,$A130)=0),"NO UPC MATCH in Release_Label",and($B130&lt;&gt;"",countif('3) Release_Label'!$E:$E,$B130)=0),"NO CATALOG ID MATCH in Release_Label",iserror(vlookup($A130&amp;$B130,'3) Release_Label'!$D:$D&amp;'3) Release_Label'!$E:$E,1,0)),"NO UPC-CATALOG ID pair MATCH in Release_Label" )</f>
        <v>U &amp; I (From "Laiye Je Yaarian" Soundtrack)</v>
      </c>
      <c r="D130" s="121" t="str">
        <f t="array" ref="D130">ifs(and(isblank($A130),isblank($B130)),"", not(iserror(vlookup($A130&amp;$B130,'3) Release_Label'!$D:$D&amp;'3) Release_Label'!$E:$E,1,0))),vlookup($A130&amp;$B130,{'3) Release_Label'!$D:$D&amp;'3) Release_Label'!$E:$E,'3) Release_Label'!$H:$H},2,0), or(and(not(isblank($B130)),$B130=#REF!,$A130&lt;&gt;#REF!),and(not(isblank($A130)),$A130=#REF!,$B130&lt;&gt;#REF!)),"ID LISTS UNALIGNED",and($A130&lt;&gt;"",countif('3) Release_Label'!$D:$D,$A130)=0),"NO UPC MATCH in Release_Label",and($B130&lt;&gt;"",countif('3) Release_Label'!$E:$E,$B130)=0),"NO CATALOG ID MATCH in Release_Label",iserror(vlookup($A130&amp;$B130,'3) Release_Label'!$D:$D&amp;'3) Release_Label'!$E:$E,1,0)),"NO UPC-CATALOG ID pair MATCH in Release_Label" )</f>
        <v/>
      </c>
      <c r="E130" s="44" t="s">
        <v>121</v>
      </c>
      <c r="F130" s="8" t="s">
        <v>323</v>
      </c>
      <c r="G130" s="123" t="str">
        <f t="array" ref="G130">ifs(or($F130="",$F130="Main Primary Artist"),$F130,not(iserror(vlookup($F130,'Reference info'!$J$5:$J$8,1,0))),"Key Artist",not(iserror(vlookup($F130,'Reference info'!$J$38:$J$405,1,0))),"Performer",not(iserror(vlookup($F130,'Reference info'!$J$10:$J$36,1,0))),"Producer &amp; Engineer")</f>
        <v>Main Primary Artist</v>
      </c>
    </row>
    <row r="131">
      <c r="A131" s="119">
        <v>9.995964341268E12</v>
      </c>
      <c r="B131" s="103"/>
      <c r="C131" s="121" t="str">
        <f t="array" ref="C131">ifs(and(isblank($A131),isblank($B131)),"", not(iserror(vlookup($A131&amp;$B131,'3) Release_Label'!$D:$D&amp;'3) Release_Label'!$E:$E,1,0))),vlookup($A131&amp;$B131,{'3) Release_Label'!$D:$D&amp;'3) Release_Label'!$E:$E,'3) Release_Label'!$F:$F},2,0), or(and(not(isblank($B131)),$B131=$B130,$A131&lt;&gt;$A130),and(not(isblank($A131)),$A131=$A130,$B131&lt;&gt;$B130)),"ID LISTS UNALIGNED",and($A131&lt;&gt;"",countif('3) Release_Label'!$D:$D,$A131)=0),"NO UPC MATCH in Release_Label",and($B131&lt;&gt;"",countif('3) Release_Label'!$E:$E,$B131)=0),"NO CATALOG ID MATCH in Release_Label",iserror(vlookup($A131&amp;$B131,'3) Release_Label'!$D:$D&amp;'3) Release_Label'!$E:$E,1,0)),"NO UPC-CATALOG ID pair MATCH in Release_Label" )</f>
        <v>U &amp; I (From "Laiye Je Yaarian" Soundtrack)</v>
      </c>
      <c r="D131" s="121" t="str">
        <f t="array" ref="D131">ifs(and(isblank($A131),isblank($B131)),"", not(iserror(vlookup($A131&amp;$B131,'3) Release_Label'!$D:$D&amp;'3) Release_Label'!$E:$E,1,0))),vlookup($A131&amp;$B131,{'3) Release_Label'!$D:$D&amp;'3) Release_Label'!$E:$E,'3) Release_Label'!$H:$H},2,0), or(and(not(isblank($B131)),$B131=$B130,$A131&lt;&gt;$A130),and(not(isblank($A131)),$A131=$A130,$B131&lt;&gt;$B130)),"ID LISTS UNALIGNED",and($A131&lt;&gt;"",countif('3) Release_Label'!$D:$D,$A131)=0),"NO UPC MATCH in Release_Label",and($B131&lt;&gt;"",countif('3) Release_Label'!$E:$E,$B131)=0),"NO CATALOG ID MATCH in Release_Label",iserror(vlookup($A131&amp;$B131,'3) Release_Label'!$D:$D&amp;'3) Release_Label'!$E:$E,1,0)),"NO UPC-CATALOG ID pair MATCH in Release_Label" )</f>
        <v/>
      </c>
      <c r="E131" s="44" t="s">
        <v>123</v>
      </c>
      <c r="F131" s="8" t="s">
        <v>331</v>
      </c>
      <c r="G131" s="123" t="str">
        <f t="array" ref="G131">ifs(or($F131="",$F131="Main Primary Artist"),$F131,not(iserror(vlookup($F131,'Reference info'!$J$5:$J$8,1,0))),"Key Artist",not(iserror(vlookup($F131,'Reference info'!$J$38:$J$405,1,0))),"Performer",not(iserror(vlookup($F131,'Reference info'!$J$10:$J$36,1,0))),"Producer &amp; Engineer")</f>
        <v>Key Artist</v>
      </c>
    </row>
    <row r="132">
      <c r="A132" s="119">
        <v>9.995964341831E12</v>
      </c>
      <c r="B132" s="103"/>
      <c r="C132" s="121" t="str">
        <f t="array" ref="C132">ifs(and(isblank($A132),isblank($B132)),"", not(iserror(vlookup($A132&amp;$B132,'3) Release_Label'!$D:$D&amp;'3) Release_Label'!$E:$E,1,0))),vlookup($A132&amp;$B132,{'3) Release_Label'!$D:$D&amp;'3) Release_Label'!$E:$E,'3) Release_Label'!$F:$F},2,0), or(and(not(isblank($B132)),$B132=$B131,$A132&lt;&gt;$A131),and(not(isblank($A132)),$A132=$A131,$B132&lt;&gt;$B131)),"ID LISTS UNALIGNED",and($A132&lt;&gt;"",countif('3) Release_Label'!$D:$D,$A132)=0),"NO UPC MATCH in Release_Label",and($B132&lt;&gt;"",countif('3) Release_Label'!$E:$E,$B132)=0),"NO CATALOG ID MATCH in Release_Label",iserror(vlookup($A132&amp;$B132,'3) Release_Label'!$D:$D&amp;'3) Release_Label'!$E:$E,1,0)),"NO UPC-CATALOG ID pair MATCH in Release_Label" )</f>
        <v>Kurti De Mor (From "Laiye Je Yaarian" Soundtrack)</v>
      </c>
      <c r="D132" s="121" t="str">
        <f t="array" ref="D132">ifs(and(isblank($A132),isblank($B132)),"", not(iserror(vlookup($A132&amp;$B132,'3) Release_Label'!$D:$D&amp;'3) Release_Label'!$E:$E,1,0))),vlookup($A132&amp;$B132,{'3) Release_Label'!$D:$D&amp;'3) Release_Label'!$E:$E,'3) Release_Label'!$H:$H},2,0), or(and(not(isblank($B132)),$B132=$B131,$A132&lt;&gt;$A131),and(not(isblank($A132)),$A132=$A131,$B132&lt;&gt;$B131)),"ID LISTS UNALIGNED",and($A132&lt;&gt;"",countif('3) Release_Label'!$D:$D,$A132)=0),"NO UPC MATCH in Release_Label",and($B132&lt;&gt;"",countif('3) Release_Label'!$E:$E,$B132)=0),"NO CATALOG ID MATCH in Release_Label",iserror(vlookup($A132&amp;$B132,'3) Release_Label'!$D:$D&amp;'3) Release_Label'!$E:$E,1,0)),"NO UPC-CATALOG ID pair MATCH in Release_Label" )</f>
        <v/>
      </c>
      <c r="E132" s="44" t="s">
        <v>49</v>
      </c>
      <c r="F132" s="8" t="s">
        <v>323</v>
      </c>
      <c r="G132" s="123" t="str">
        <f t="array" ref="G132">ifs(or($F132="",$F132="Main Primary Artist"),$F132,not(iserror(vlookup($F132,'Reference info'!$J$5:$J$8,1,0))),"Key Artist",not(iserror(vlookup($F132,'Reference info'!$J$38:$J$405,1,0))),"Performer",not(iserror(vlookup($F132,'Reference info'!$J$10:$J$36,1,0))),"Producer &amp; Engineer")</f>
        <v>Main Primary Artist</v>
      </c>
    </row>
    <row r="133">
      <c r="A133" s="119">
        <v>9.995964341831E12</v>
      </c>
      <c r="B133" s="103"/>
      <c r="C133" s="121" t="str">
        <f t="array" ref="C133">ifs(and(isblank($A133),isblank($B133)),"", not(iserror(vlookup($A133&amp;$B133,'3) Release_Label'!$D:$D&amp;'3) Release_Label'!$E:$E,1,0))),vlookup($A133&amp;$B133,{'3) Release_Label'!$D:$D&amp;'3) Release_Label'!$E:$E,'3) Release_Label'!$F:$F},2,0), or(and(not(isblank($B133)),$B133=$B132,$A133&lt;&gt;$A132),and(not(isblank($A133)),$A133=$A132,$B133&lt;&gt;$B132)),"ID LISTS UNALIGNED",and($A133&lt;&gt;"",countif('3) Release_Label'!$D:$D,$A133)=0),"NO UPC MATCH in Release_Label",and($B133&lt;&gt;"",countif('3) Release_Label'!$E:$E,$B133)=0),"NO CATALOG ID MATCH in Release_Label",iserror(vlookup($A133&amp;$B133,'3) Release_Label'!$D:$D&amp;'3) Release_Label'!$E:$E,1,0)),"NO UPC-CATALOG ID pair MATCH in Release_Label" )</f>
        <v>Kurti De Mor (From "Laiye Je Yaarian" Soundtrack)</v>
      </c>
      <c r="D133" s="121" t="str">
        <f t="array" ref="D133">ifs(and(isblank($A133),isblank($B133)),"", not(iserror(vlookup($A133&amp;$B133,'3) Release_Label'!$D:$D&amp;'3) Release_Label'!$E:$E,1,0))),vlookup($A133&amp;$B133,{'3) Release_Label'!$D:$D&amp;'3) Release_Label'!$E:$E,'3) Release_Label'!$H:$H},2,0), or(and(not(isblank($B133)),$B133=$B132,$A133&lt;&gt;$A132),and(not(isblank($A133)),$A133=$A132,$B133&lt;&gt;$B132)),"ID LISTS UNALIGNED",and($A133&lt;&gt;"",countif('3) Release_Label'!$D:$D,$A133)=0),"NO UPC MATCH in Release_Label",and($B133&lt;&gt;"",countif('3) Release_Label'!$E:$E,$B133)=0),"NO CATALOG ID MATCH in Release_Label",iserror(vlookup($A133&amp;$B133,'3) Release_Label'!$D:$D&amp;'3) Release_Label'!$E:$E,1,0)),"NO UPC-CATALOG ID pair MATCH in Release_Label" )</f>
        <v/>
      </c>
      <c r="E133" s="44" t="s">
        <v>51</v>
      </c>
      <c r="F133" s="8" t="s">
        <v>331</v>
      </c>
      <c r="G133" s="123" t="str">
        <f t="array" ref="G133">ifs(or($F133="",$F133="Main Primary Artist"),$F133,not(iserror(vlookup($F133,'Reference info'!$J$5:$J$8,1,0))),"Key Artist",not(iserror(vlookup($F133,'Reference info'!$J$38:$J$405,1,0))),"Performer",not(iserror(vlookup($F133,'Reference info'!$J$10:$J$36,1,0))),"Producer &amp; Engineer")</f>
        <v>Key Artist</v>
      </c>
    </row>
    <row r="134">
      <c r="A134" s="119">
        <v>9.995964342975E12</v>
      </c>
      <c r="B134" s="103"/>
      <c r="C134" s="121" t="str">
        <f t="array" ref="C134">ifs(and(isblank($A134),isblank($B134)),"", not(iserror(vlookup($A134&amp;$B134,'3) Release_Label'!$D:$D&amp;'3) Release_Label'!$E:$E,1,0))),vlookup($A134&amp;$B134,{'3) Release_Label'!$D:$D&amp;'3) Release_Label'!$E:$E,'3) Release_Label'!$F:$F},2,0), or(and(not(isblank($B134)),$B134=$B133,$A134&lt;&gt;$A133),and(not(isblank($A134)),$A134=$A133,$B134&lt;&gt;$B133)),"ID LISTS UNALIGNED",and($A134&lt;&gt;"",countif('3) Release_Label'!$D:$D,$A134)=0),"NO UPC MATCH in Release_Label",and($B134&lt;&gt;"",countif('3) Release_Label'!$E:$E,$B134)=0),"NO CATALOG ID MATCH in Release_Label",iserror(vlookup($A134&amp;$B134,'3) Release_Label'!$D:$D&amp;'3) Release_Label'!$E:$E,1,0)),"NO UPC-CATALOG ID pair MATCH in Release_Label" )</f>
        <v>Baddlan De Kaalje (From "Chal Mera Putt" Soundtrack)</v>
      </c>
      <c r="D134" s="121" t="str">
        <f t="array" ref="D134">ifs(and(isblank($A134),isblank($B134)),"", not(iserror(vlookup($A134&amp;$B134,'3) Release_Label'!$D:$D&amp;'3) Release_Label'!$E:$E,1,0))),vlookup($A134&amp;$B134,{'3) Release_Label'!$D:$D&amp;'3) Release_Label'!$E:$E,'3) Release_Label'!$H:$H},2,0), or(and(not(isblank($B134)),$B134=$B133,$A134&lt;&gt;$A133),and(not(isblank($A134)),$A134=$A133,$B134&lt;&gt;$B133)),"ID LISTS UNALIGNED",and($A134&lt;&gt;"",countif('3) Release_Label'!$D:$D,$A134)=0),"NO UPC MATCH in Release_Label",and($B134&lt;&gt;"",countif('3) Release_Label'!$E:$E,$B134)=0),"NO CATALOG ID MATCH in Release_Label",iserror(vlookup($A134&amp;$B134,'3) Release_Label'!$D:$D&amp;'3) Release_Label'!$E:$E,1,0)),"NO UPC-CATALOG ID pair MATCH in Release_Label" )</f>
        <v/>
      </c>
      <c r="E134" s="44" t="s">
        <v>49</v>
      </c>
      <c r="F134" s="8" t="s">
        <v>323</v>
      </c>
      <c r="G134" s="123" t="str">
        <f t="array" ref="G134">ifs(or($F134="",$F134="Main Primary Artist"),$F134,not(iserror(vlookup($F134,'Reference info'!$J$5:$J$8,1,0))),"Key Artist",not(iserror(vlookup($F134,'Reference info'!$J$38:$J$405,1,0))),"Performer",not(iserror(vlookup($F134,'Reference info'!$J$10:$J$36,1,0))),"Producer &amp; Engineer")</f>
        <v>Main Primary Artist</v>
      </c>
    </row>
    <row r="135">
      <c r="A135" s="119">
        <v>9.995964342975E12</v>
      </c>
      <c r="B135" s="103"/>
      <c r="C135" s="121" t="str">
        <f t="array" ref="C135">ifs(and(isblank($A135),isblank($B135)),"", not(iserror(vlookup($A135&amp;$B135,'3) Release_Label'!$D:$D&amp;'3) Release_Label'!$E:$E,1,0))),vlookup($A135&amp;$B135,{'3) Release_Label'!$D:$D&amp;'3) Release_Label'!$E:$E,'3) Release_Label'!$F:$F},2,0), or(and(not(isblank($B135)),$B135=$B134,$A135&lt;&gt;$A134),and(not(isblank($A135)),$A135=$A134,$B135&lt;&gt;$B134)),"ID LISTS UNALIGNED",and($A135&lt;&gt;"",countif('3) Release_Label'!$D:$D,$A135)=0),"NO UPC MATCH in Release_Label",and($B135&lt;&gt;"",countif('3) Release_Label'!$E:$E,$B135)=0),"NO CATALOG ID MATCH in Release_Label",iserror(vlookup($A135&amp;$B135,'3) Release_Label'!$D:$D&amp;'3) Release_Label'!$E:$E,1,0)),"NO UPC-CATALOG ID pair MATCH in Release_Label" )</f>
        <v>Baddlan De Kaalje (From "Chal Mera Putt" Soundtrack)</v>
      </c>
      <c r="D135" s="121" t="str">
        <f t="array" ref="D135">ifs(and(isblank($A135),isblank($B135)),"", not(iserror(vlookup($A135&amp;$B135,'3) Release_Label'!$D:$D&amp;'3) Release_Label'!$E:$E,1,0))),vlookup($A135&amp;$B135,{'3) Release_Label'!$D:$D&amp;'3) Release_Label'!$E:$E,'3) Release_Label'!$H:$H},2,0), or(and(not(isblank($B135)),$B135=$B134,$A135&lt;&gt;$A134),and(not(isblank($A135)),$A135=$A134,$B135&lt;&gt;$B134)),"ID LISTS UNALIGNED",and($A135&lt;&gt;"",countif('3) Release_Label'!$D:$D,$A135)=0),"NO UPC MATCH in Release_Label",and($B135&lt;&gt;"",countif('3) Release_Label'!$E:$E,$B135)=0),"NO CATALOG ID MATCH in Release_Label",iserror(vlookup($A135&amp;$B135,'3) Release_Label'!$D:$D&amp;'3) Release_Label'!$E:$E,1,0)),"NO UPC-CATALOG ID pair MATCH in Release_Label" )</f>
        <v/>
      </c>
      <c r="E135" s="44" t="s">
        <v>53</v>
      </c>
      <c r="F135" s="8" t="s">
        <v>324</v>
      </c>
      <c r="G135" s="123" t="str">
        <f t="array" ref="G135">ifs(or($F135="",$F135="Main Primary Artist"),$F135,not(iserror(vlookup($F135,'Reference info'!$J$5:$J$8,1,0))),"Key Artist",not(iserror(vlookup($F135,'Reference info'!$J$38:$J$405,1,0))),"Performer",not(iserror(vlookup($F135,'Reference info'!$J$10:$J$36,1,0))),"Producer &amp; Engineer")</f>
        <v>Key Artist</v>
      </c>
    </row>
    <row r="136">
      <c r="A136" s="119">
        <v>9.995964342975E12</v>
      </c>
      <c r="B136" s="103"/>
      <c r="C136" s="121" t="str">
        <f t="array" ref="C136">ifs(and(isblank($A136),isblank($B136)),"", not(iserror(vlookup($A136&amp;$B136,'3) Release_Label'!$D:$D&amp;'3) Release_Label'!$E:$E,1,0))),vlookup($A136&amp;$B136,{'3) Release_Label'!$D:$D&amp;'3) Release_Label'!$E:$E,'3) Release_Label'!$F:$F},2,0), or(and(not(isblank($B136)),$B136=$B135,$A136&lt;&gt;$A135),and(not(isblank($A136)),$A136=$A135,$B136&lt;&gt;$B135)),"ID LISTS UNALIGNED",and($A136&lt;&gt;"",countif('3) Release_Label'!$D:$D,$A136)=0),"NO UPC MATCH in Release_Label",and($B136&lt;&gt;"",countif('3) Release_Label'!$E:$E,$B136)=0),"NO CATALOG ID MATCH in Release_Label",iserror(vlookup($A136&amp;$B136,'3) Release_Label'!$D:$D&amp;'3) Release_Label'!$E:$E,1,0)),"NO UPC-CATALOG ID pair MATCH in Release_Label" )</f>
        <v>Baddlan De Kaalje (From "Chal Mera Putt" Soundtrack)</v>
      </c>
      <c r="D136" s="121" t="str">
        <f t="array" ref="D136">ifs(and(isblank($A136),isblank($B136)),"", not(iserror(vlookup($A136&amp;$B136,'3) Release_Label'!$D:$D&amp;'3) Release_Label'!$E:$E,1,0))),vlookup($A136&amp;$B136,{'3) Release_Label'!$D:$D&amp;'3) Release_Label'!$E:$E,'3) Release_Label'!$H:$H},2,0), or(and(not(isblank($B136)),$B136=$B135,$A136&lt;&gt;$A135),and(not(isblank($A136)),$A136=$A135,$B136&lt;&gt;$B135)),"ID LISTS UNALIGNED",and($A136&lt;&gt;"",countif('3) Release_Label'!$D:$D,$A136)=0),"NO UPC MATCH in Release_Label",and($B136&lt;&gt;"",countif('3) Release_Label'!$E:$E,$B136)=0),"NO CATALOG ID MATCH in Release_Label",iserror(vlookup($A136&amp;$B136,'3) Release_Label'!$D:$D&amp;'3) Release_Label'!$E:$E,1,0)),"NO UPC-CATALOG ID pair MATCH in Release_Label" )</f>
        <v/>
      </c>
      <c r="E136" s="44" t="s">
        <v>115</v>
      </c>
      <c r="F136" s="8" t="s">
        <v>331</v>
      </c>
      <c r="G136" s="123" t="str">
        <f t="array" ref="G136">ifs(or($F136="",$F136="Main Primary Artist"),$F136,not(iserror(vlookup($F136,'Reference info'!$J$5:$J$8,1,0))),"Key Artist",not(iserror(vlookup($F136,'Reference info'!$J$38:$J$405,1,0))),"Performer",not(iserror(vlookup($F136,'Reference info'!$J$10:$J$36,1,0))),"Producer &amp; Engineer")</f>
        <v>Key Artist</v>
      </c>
    </row>
    <row r="137">
      <c r="A137" s="119">
        <v>9.995964343125E12</v>
      </c>
      <c r="B137" s="103"/>
      <c r="C137" s="121" t="str">
        <f t="array" ref="C137">ifs(and(isblank($A137),isblank($B137)),"", not(iserror(vlookup($A137&amp;$B137,'3) Release_Label'!$D:$D&amp;'3) Release_Label'!$E:$E,1,0))),vlookup($A137&amp;$B137,{'3) Release_Label'!$D:$D&amp;'3) Release_Label'!$E:$E,'3) Release_Label'!$F:$F},2,0), or(and(not(isblank($B137)),$B137=$B136,$A137&lt;&gt;$A136),and(not(isblank($A137)),$A137=$A136,$B137&lt;&gt;$B136)),"ID LISTS UNALIGNED",and($A137&lt;&gt;"",countif('3) Release_Label'!$D:$D,$A137)=0),"NO UPC MATCH in Release_Label",and($B137&lt;&gt;"",countif('3) Release_Label'!$E:$E,$B137)=0),"NO CATALOG ID MATCH in Release_Label",iserror(vlookup($A137&amp;$B137,'3) Release_Label'!$D:$D&amp;'3) Release_Label'!$E:$E,1,0)),"NO UPC-CATALOG ID pair MATCH in Release_Label" )</f>
        <v>Chal Mera Putt - Title Track (From "Chal Mera Putt" Soundtrack)</v>
      </c>
      <c r="D137" s="121" t="str">
        <f t="array" ref="D137">ifs(and(isblank($A137),isblank($B137)),"", not(iserror(vlookup($A137&amp;$B137,'3) Release_Label'!$D:$D&amp;'3) Release_Label'!$E:$E,1,0))),vlookup($A137&amp;$B137,{'3) Release_Label'!$D:$D&amp;'3) Release_Label'!$E:$E,'3) Release_Label'!$H:$H},2,0), or(and(not(isblank($B137)),$B137=$B136,$A137&lt;&gt;$A136),and(not(isblank($A137)),$A137=$A136,$B137&lt;&gt;$B136)),"ID LISTS UNALIGNED",and($A137&lt;&gt;"",countif('3) Release_Label'!$D:$D,$A137)=0),"NO UPC MATCH in Release_Label",and($B137&lt;&gt;"",countif('3) Release_Label'!$E:$E,$B137)=0),"NO CATALOG ID MATCH in Release_Label",iserror(vlookup($A137&amp;$B137,'3) Release_Label'!$D:$D&amp;'3) Release_Label'!$E:$E,1,0)),"NO UPC-CATALOG ID pair MATCH in Release_Label" )</f>
        <v/>
      </c>
      <c r="E137" s="44" t="s">
        <v>49</v>
      </c>
      <c r="F137" s="8" t="s">
        <v>323</v>
      </c>
      <c r="G137" s="123" t="str">
        <f t="array" ref="G137">ifs(or($F137="",$F137="Main Primary Artist"),$F137,not(iserror(vlookup($F137,'Reference info'!$J$5:$J$8,1,0))),"Key Artist",not(iserror(vlookup($F137,'Reference info'!$J$38:$J$405,1,0))),"Performer",not(iserror(vlookup($F137,'Reference info'!$J$10:$J$36,1,0))),"Producer &amp; Engineer")</f>
        <v>Main Primary Artist</v>
      </c>
    </row>
    <row r="138">
      <c r="A138" s="119">
        <v>9.995964343125E12</v>
      </c>
      <c r="B138" s="103"/>
      <c r="C138" s="121" t="str">
        <f t="array" ref="C138">ifs(and(isblank($A138),isblank($B138)),"", not(iserror(vlookup($A138&amp;$B138,'3) Release_Label'!$D:$D&amp;'3) Release_Label'!$E:$E,1,0))),vlookup($A138&amp;$B138,{'3) Release_Label'!$D:$D&amp;'3) Release_Label'!$E:$E,'3) Release_Label'!$F:$F},2,0), or(and(not(isblank($B138)),$B138=$B137,$A138&lt;&gt;$A137),and(not(isblank($A138)),$A138=$A137,$B138&lt;&gt;$B137)),"ID LISTS UNALIGNED",and($A138&lt;&gt;"",countif('3) Release_Label'!$D:$D,$A138)=0),"NO UPC MATCH in Release_Label",and($B138&lt;&gt;"",countif('3) Release_Label'!$E:$E,$B138)=0),"NO CATALOG ID MATCH in Release_Label",iserror(vlookup($A138&amp;$B138,'3) Release_Label'!$D:$D&amp;'3) Release_Label'!$E:$E,1,0)),"NO UPC-CATALOG ID pair MATCH in Release_Label" )</f>
        <v>Chal Mera Putt - Title Track (From "Chal Mera Putt" Soundtrack)</v>
      </c>
      <c r="D138" s="121" t="str">
        <f t="array" ref="D138">ifs(and(isblank($A138),isblank($B138)),"", not(iserror(vlookup($A138&amp;$B138,'3) Release_Label'!$D:$D&amp;'3) Release_Label'!$E:$E,1,0))),vlookup($A138&amp;$B138,{'3) Release_Label'!$D:$D&amp;'3) Release_Label'!$E:$E,'3) Release_Label'!$H:$H},2,0), or(and(not(isblank($B138)),$B138=$B137,$A138&lt;&gt;$A137),and(not(isblank($A138)),$A138=$A137,$B138&lt;&gt;$B137)),"ID LISTS UNALIGNED",and($A138&lt;&gt;"",countif('3) Release_Label'!$D:$D,$A138)=0),"NO UPC MATCH in Release_Label",and($B138&lt;&gt;"",countif('3) Release_Label'!$E:$E,$B138)=0),"NO CATALOG ID MATCH in Release_Label",iserror(vlookup($A138&amp;$B138,'3) Release_Label'!$D:$D&amp;'3) Release_Label'!$E:$E,1,0)),"NO UPC-CATALOG ID pair MATCH in Release_Label" )</f>
        <v/>
      </c>
      <c r="E138" s="44" t="s">
        <v>115</v>
      </c>
      <c r="F138" s="8" t="s">
        <v>331</v>
      </c>
      <c r="G138" s="123" t="str">
        <f t="array" ref="G138">ifs(or($F138="",$F138="Main Primary Artist"),$F138,not(iserror(vlookup($F138,'Reference info'!$J$5:$J$8,1,0))),"Key Artist",not(iserror(vlookup($F138,'Reference info'!$J$38:$J$405,1,0))),"Performer",not(iserror(vlookup($F138,'Reference info'!$J$10:$J$36,1,0))),"Producer &amp; Engineer")</f>
        <v>Key Artist</v>
      </c>
    </row>
    <row r="139">
      <c r="A139" s="119">
        <v>9.995964343309E12</v>
      </c>
      <c r="B139" s="103"/>
      <c r="C139" s="121" t="str">
        <f t="array" ref="C139">ifs(and(isblank($A139),isblank($B139)),"", not(iserror(vlookup($A139&amp;$B139,'3) Release_Label'!$D:$D&amp;'3) Release_Label'!$E:$E,1,0))),vlookup($A139&amp;$B139,{'3) Release_Label'!$D:$D&amp;'3) Release_Label'!$E:$E,'3) Release_Label'!$F:$F},2,0), or(and(not(isblank($B139)),$B139=$B138,$A139&lt;&gt;$A138),and(not(isblank($A139)),$A139=$A138,$B139&lt;&gt;$B138)),"ID LISTS UNALIGNED",and($A139&lt;&gt;"",countif('3) Release_Label'!$D:$D,$A139)=0),"NO UPC MATCH in Release_Label",and($B139&lt;&gt;"",countif('3) Release_Label'!$E:$E,$B139)=0),"NO CATALOG ID MATCH in Release_Label",iserror(vlookup($A139&amp;$B139,'3) Release_Label'!$D:$D&amp;'3) Release_Label'!$E:$E,1,0)),"NO UPC-CATALOG ID pair MATCH in Release_Label" )</f>
        <v>Aaban De Deson (From "Chal Mera Putt" Soundtrack)</v>
      </c>
      <c r="D139" s="121" t="str">
        <f t="array" ref="D139">ifs(and(isblank($A139),isblank($B139)),"", not(iserror(vlookup($A139&amp;$B139,'3) Release_Label'!$D:$D&amp;'3) Release_Label'!$E:$E,1,0))),vlookup($A139&amp;$B139,{'3) Release_Label'!$D:$D&amp;'3) Release_Label'!$E:$E,'3) Release_Label'!$H:$H},2,0), or(and(not(isblank($B139)),$B139=$B138,$A139&lt;&gt;$A138),and(not(isblank($A139)),$A139=$A138,$B139&lt;&gt;$B138)),"ID LISTS UNALIGNED",and($A139&lt;&gt;"",countif('3) Release_Label'!$D:$D,$A139)=0),"NO UPC MATCH in Release_Label",and($B139&lt;&gt;"",countif('3) Release_Label'!$E:$E,$B139)=0),"NO CATALOG ID MATCH in Release_Label",iserror(vlookup($A139&amp;$B139,'3) Release_Label'!$D:$D&amp;'3) Release_Label'!$E:$E,1,0)),"NO UPC-CATALOG ID pair MATCH in Release_Label" )</f>
        <v/>
      </c>
      <c r="E139" s="44" t="s">
        <v>49</v>
      </c>
      <c r="F139" s="8" t="s">
        <v>323</v>
      </c>
      <c r="G139" s="123" t="str">
        <f t="array" ref="G139">ifs(or($F139="",$F139="Main Primary Artist"),$F139,not(iserror(vlookup($F139,'Reference info'!$J$5:$J$8,1,0))),"Key Artist",not(iserror(vlookup($F139,'Reference info'!$J$38:$J$405,1,0))),"Performer",not(iserror(vlookup($F139,'Reference info'!$J$10:$J$36,1,0))),"Producer &amp; Engineer")</f>
        <v>Main Primary Artist</v>
      </c>
    </row>
    <row r="140">
      <c r="A140" s="119">
        <v>9.995964343309E12</v>
      </c>
      <c r="B140" s="103"/>
      <c r="C140" s="121" t="str">
        <f t="array" ref="C140">ifs(and(isblank($A140),isblank($B140)),"", not(iserror(vlookup($A140&amp;$B140,'3) Release_Label'!$D:$D&amp;'3) Release_Label'!$E:$E,1,0))),vlookup($A140&amp;$B140,{'3) Release_Label'!$D:$D&amp;'3) Release_Label'!$E:$E,'3) Release_Label'!$F:$F},2,0), or(and(not(isblank($B140)),$B140=$B139,$A140&lt;&gt;$A139),and(not(isblank($A140)),$A140=$A139,$B140&lt;&gt;$B139)),"ID LISTS UNALIGNED",and($A140&lt;&gt;"",countif('3) Release_Label'!$D:$D,$A140)=0),"NO UPC MATCH in Release_Label",and($B140&lt;&gt;"",countif('3) Release_Label'!$E:$E,$B140)=0),"NO CATALOG ID MATCH in Release_Label",iserror(vlookup($A140&amp;$B140,'3) Release_Label'!$D:$D&amp;'3) Release_Label'!$E:$E,1,0)),"NO UPC-CATALOG ID pair MATCH in Release_Label" )</f>
        <v>Aaban De Deson (From "Chal Mera Putt" Soundtrack)</v>
      </c>
      <c r="D140" s="121" t="str">
        <f t="array" ref="D140">ifs(and(isblank($A140),isblank($B140)),"", not(iserror(vlookup($A140&amp;$B140,'3) Release_Label'!$D:$D&amp;'3) Release_Label'!$E:$E,1,0))),vlookup($A140&amp;$B140,{'3) Release_Label'!$D:$D&amp;'3) Release_Label'!$E:$E,'3) Release_Label'!$H:$H},2,0), or(and(not(isblank($B140)),$B140=$B139,$A140&lt;&gt;$A139),and(not(isblank($A140)),$A140=$A139,$B140&lt;&gt;$B139)),"ID LISTS UNALIGNED",and($A140&lt;&gt;"",countif('3) Release_Label'!$D:$D,$A140)=0),"NO UPC MATCH in Release_Label",and($B140&lt;&gt;"",countif('3) Release_Label'!$E:$E,$B140)=0),"NO CATALOG ID MATCH in Release_Label",iserror(vlookup($A140&amp;$B140,'3) Release_Label'!$D:$D&amp;'3) Release_Label'!$E:$E,1,0)),"NO UPC-CATALOG ID pair MATCH in Release_Label" )</f>
        <v/>
      </c>
      <c r="E140" s="44" t="s">
        <v>115</v>
      </c>
      <c r="F140" s="8" t="s">
        <v>331</v>
      </c>
      <c r="G140" s="123" t="str">
        <f t="array" ref="G140">ifs(or($F140="",$F140="Main Primary Artist"),$F140,not(iserror(vlookup($F140,'Reference info'!$J$5:$J$8,1,0))),"Key Artist",not(iserror(vlookup($F140,'Reference info'!$J$38:$J$405,1,0))),"Performer",not(iserror(vlookup($F140,'Reference info'!$J$10:$J$36,1,0))),"Producer &amp; Engineer")</f>
        <v>Key Artist</v>
      </c>
    </row>
    <row r="141">
      <c r="A141" s="119">
        <v>9.995964343538E12</v>
      </c>
      <c r="B141" s="103"/>
      <c r="C141" s="121" t="str">
        <f t="array" ref="C141">ifs(and(isblank($A141),isblank($B141)),"", not(iserror(vlookup($A141&amp;$B141,'3) Release_Label'!$D:$D&amp;'3) Release_Label'!$E:$E,1,0))),vlookup($A141&amp;$B141,{'3) Release_Label'!$D:$D&amp;'3) Release_Label'!$E:$E,'3) Release_Label'!$F:$F},2,0), or(and(not(isblank($B141)),$B141=$B140,$A141&lt;&gt;$A140),and(not(isblank($A141)),$A141=$A140,$B141&lt;&gt;$B140)),"ID LISTS UNALIGNED",and($A141&lt;&gt;"",countif('3) Release_Label'!$D:$D,$A141)=0),"NO UPC MATCH in Release_Label",and($B141&lt;&gt;"",countif('3) Release_Label'!$E:$E,$B141)=0),"NO CATALOG ID MATCH in Release_Label",iserror(vlookup($A141&amp;$B141,'3) Release_Label'!$D:$D&amp;'3) Release_Label'!$E:$E,1,0)),"NO UPC-CATALOG ID pair MATCH in Release_Label" )</f>
        <v>Shiftaan (From "Chal Mera Putt" Soundtrack)</v>
      </c>
      <c r="D141" s="121" t="str">
        <f t="array" ref="D141">ifs(and(isblank($A141),isblank($B141)),"", not(iserror(vlookup($A141&amp;$B141,'3) Release_Label'!$D:$D&amp;'3) Release_Label'!$E:$E,1,0))),vlookup($A141&amp;$B141,{'3) Release_Label'!$D:$D&amp;'3) Release_Label'!$E:$E,'3) Release_Label'!$H:$H},2,0), or(and(not(isblank($B141)),$B141=$B140,$A141&lt;&gt;$A140),and(not(isblank($A141)),$A141=$A140,$B141&lt;&gt;$B140)),"ID LISTS UNALIGNED",and($A141&lt;&gt;"",countif('3) Release_Label'!$D:$D,$A141)=0),"NO UPC MATCH in Release_Label",and($B141&lt;&gt;"",countif('3) Release_Label'!$E:$E,$B141)=0),"NO CATALOG ID MATCH in Release_Label",iserror(vlookup($A141&amp;$B141,'3) Release_Label'!$D:$D&amp;'3) Release_Label'!$E:$E,1,0)),"NO UPC-CATALOG ID pair MATCH in Release_Label" )</f>
        <v/>
      </c>
      <c r="E141" s="44" t="s">
        <v>57</v>
      </c>
      <c r="F141" s="8" t="s">
        <v>323</v>
      </c>
      <c r="G141" s="123" t="str">
        <f t="array" ref="G141">ifs(or($F141="",$F141="Main Primary Artist"),$F141,not(iserror(vlookup($F141,'Reference info'!$J$5:$J$8,1,0))),"Key Artist",not(iserror(vlookup($F141,'Reference info'!$J$38:$J$405,1,0))),"Performer",not(iserror(vlookup($F141,'Reference info'!$J$10:$J$36,1,0))),"Producer &amp; Engineer")</f>
        <v>Main Primary Artist</v>
      </c>
    </row>
    <row r="142">
      <c r="A142" s="119">
        <v>9.995964343538E12</v>
      </c>
      <c r="B142" s="103"/>
      <c r="C142" s="121" t="str">
        <f t="array" ref="C142">ifs(and(isblank($A142),isblank($B142)),"", not(iserror(vlookup($A142&amp;$B142,'3) Release_Label'!$D:$D&amp;'3) Release_Label'!$E:$E,1,0))),vlookup($A142&amp;$B142,{'3) Release_Label'!$D:$D&amp;'3) Release_Label'!$E:$E,'3) Release_Label'!$F:$F},2,0), or(and(not(isblank($B142)),$B142=$B141,$A142&lt;&gt;$A141),and(not(isblank($A142)),$A142=$A141,$B142&lt;&gt;$B141)),"ID LISTS UNALIGNED",and($A142&lt;&gt;"",countif('3) Release_Label'!$D:$D,$A142)=0),"NO UPC MATCH in Release_Label",and($B142&lt;&gt;"",countif('3) Release_Label'!$E:$E,$B142)=0),"NO CATALOG ID MATCH in Release_Label",iserror(vlookup($A142&amp;$B142,'3) Release_Label'!$D:$D&amp;'3) Release_Label'!$E:$E,1,0)),"NO UPC-CATALOG ID pair MATCH in Release_Label" )</f>
        <v>Shiftaan (From "Chal Mera Putt" Soundtrack)</v>
      </c>
      <c r="D142" s="121" t="str">
        <f t="array" ref="D142">ifs(and(isblank($A142),isblank($B142)),"", not(iserror(vlookup($A142&amp;$B142,'3) Release_Label'!$D:$D&amp;'3) Release_Label'!$E:$E,1,0))),vlookup($A142&amp;$B142,{'3) Release_Label'!$D:$D&amp;'3) Release_Label'!$E:$E,'3) Release_Label'!$H:$H},2,0), or(and(not(isblank($B142)),$B142=$B141,$A142&lt;&gt;$A141),and(not(isblank($A142)),$A142=$A141,$B142&lt;&gt;$B141)),"ID LISTS UNALIGNED",and($A142&lt;&gt;"",countif('3) Release_Label'!$D:$D,$A142)=0),"NO UPC MATCH in Release_Label",and($B142&lt;&gt;"",countif('3) Release_Label'!$E:$E,$B142)=0),"NO CATALOG ID MATCH in Release_Label",iserror(vlookup($A142&amp;$B142,'3) Release_Label'!$D:$D&amp;'3) Release_Label'!$E:$E,1,0)),"NO UPC-CATALOG ID pair MATCH in Release_Label" )</f>
        <v/>
      </c>
      <c r="E142" s="44" t="s">
        <v>115</v>
      </c>
      <c r="F142" s="8" t="s">
        <v>331</v>
      </c>
      <c r="G142" s="123" t="str">
        <f t="array" ref="G142">ifs(or($F142="",$F142="Main Primary Artist"),$F142,not(iserror(vlookup($F142,'Reference info'!$J$5:$J$8,1,0))),"Key Artist",not(iserror(vlookup($F142,'Reference info'!$J$38:$J$405,1,0))),"Performer",not(iserror(vlookup($F142,'Reference info'!$J$10:$J$36,1,0))),"Producer &amp; Engineer")</f>
        <v>Key Artist</v>
      </c>
    </row>
    <row r="143">
      <c r="A143" s="119">
        <v>9.99596434391E12</v>
      </c>
      <c r="B143" s="103"/>
      <c r="C143" s="121" t="str">
        <f t="array" ref="C143">ifs(and(isblank($A143),isblank($B143)),"", not(iserror(vlookup($A143&amp;$B143,'3) Release_Label'!$D:$D&amp;'3) Release_Label'!$E:$E,1,0))),vlookup($A143&amp;$B143,{'3) Release_Label'!$D:$D&amp;'3) Release_Label'!$E:$E,'3) Release_Label'!$F:$F},2,0), or(and(not(isblank($B143)),$B143=$B142,$A143&lt;&gt;$A142),and(not(isblank($A143)),$A143=$A142,$B143&lt;&gt;$B142)),"ID LISTS UNALIGNED",and($A143&lt;&gt;"",countif('3) Release_Label'!$D:$D,$A143)=0),"NO UPC MATCH in Release_Label",and($B143&lt;&gt;"",countif('3) Release_Label'!$E:$E,$B143)=0),"NO CATALOG ID MATCH in Release_Label",iserror(vlookup($A143&amp;$B143,'3) Release_Label'!$D:$D&amp;'3) Release_Label'!$E:$E,1,0)),"NO UPC-CATALOG ID pair MATCH in Release_Label" )</f>
        <v>Gallan Na Changian (From "Chal Mera Putt" Soundtrack)</v>
      </c>
      <c r="D143" s="121" t="str">
        <f t="array" ref="D143">ifs(and(isblank($A143),isblank($B143)),"", not(iserror(vlookup($A143&amp;$B143,'3) Release_Label'!$D:$D&amp;'3) Release_Label'!$E:$E,1,0))),vlookup($A143&amp;$B143,{'3) Release_Label'!$D:$D&amp;'3) Release_Label'!$E:$E,'3) Release_Label'!$H:$H},2,0), or(and(not(isblank($B143)),$B143=$B142,$A143&lt;&gt;$A142),and(not(isblank($A143)),$A143=$A142,$B143&lt;&gt;$B142)),"ID LISTS UNALIGNED",and($A143&lt;&gt;"",countif('3) Release_Label'!$D:$D,$A143)=0),"NO UPC MATCH in Release_Label",and($B143&lt;&gt;"",countif('3) Release_Label'!$E:$E,$B143)=0),"NO CATALOG ID MATCH in Release_Label",iserror(vlookup($A143&amp;$B143,'3) Release_Label'!$D:$D&amp;'3) Release_Label'!$E:$E,1,0)),"NO UPC-CATALOG ID pair MATCH in Release_Label" )</f>
        <v/>
      </c>
      <c r="E143" s="44" t="s">
        <v>57</v>
      </c>
      <c r="F143" s="8" t="s">
        <v>323</v>
      </c>
      <c r="G143" s="123" t="str">
        <f t="array" ref="G143">ifs(or($F143="",$F143="Main Primary Artist"),$F143,not(iserror(vlookup($F143,'Reference info'!$J$5:$J$8,1,0))),"Key Artist",not(iserror(vlookup($F143,'Reference info'!$J$38:$J$405,1,0))),"Performer",not(iserror(vlookup($F143,'Reference info'!$J$10:$J$36,1,0))),"Producer &amp; Engineer")</f>
        <v>Main Primary Artist</v>
      </c>
    </row>
    <row r="144">
      <c r="A144" s="119">
        <v>9.99596434391E12</v>
      </c>
      <c r="B144" s="103"/>
      <c r="C144" s="121" t="str">
        <f t="array" ref="C144">ifs(and(isblank($A144),isblank($B144)),"", not(iserror(vlookup($A144&amp;$B144,'3) Release_Label'!$D:$D&amp;'3) Release_Label'!$E:$E,1,0))),vlookup($A144&amp;$B144,{'3) Release_Label'!$D:$D&amp;'3) Release_Label'!$E:$E,'3) Release_Label'!$F:$F},2,0), or(and(not(isblank($B144)),$B144=$B143,$A144&lt;&gt;$A143),and(not(isblank($A144)),$A144=$A143,$B144&lt;&gt;$B143)),"ID LISTS UNALIGNED",and($A144&lt;&gt;"",countif('3) Release_Label'!$D:$D,$A144)=0),"NO UPC MATCH in Release_Label",and($B144&lt;&gt;"",countif('3) Release_Label'!$E:$E,$B144)=0),"NO CATALOG ID MATCH in Release_Label",iserror(vlookup($A144&amp;$B144,'3) Release_Label'!$D:$D&amp;'3) Release_Label'!$E:$E,1,0)),"NO UPC-CATALOG ID pair MATCH in Release_Label" )</f>
        <v>Gallan Na Changian (From "Chal Mera Putt" Soundtrack)</v>
      </c>
      <c r="D144" s="121" t="str">
        <f t="array" ref="D144">ifs(and(isblank($A144),isblank($B144)),"", not(iserror(vlookup($A144&amp;$B144,'3) Release_Label'!$D:$D&amp;'3) Release_Label'!$E:$E,1,0))),vlookup($A144&amp;$B144,{'3) Release_Label'!$D:$D&amp;'3) Release_Label'!$E:$E,'3) Release_Label'!$H:$H},2,0), or(and(not(isblank($B144)),$B144=$B143,$A144&lt;&gt;$A143),and(not(isblank($A144)),$A144=$A143,$B144&lt;&gt;$B143)),"ID LISTS UNALIGNED",and($A144&lt;&gt;"",countif('3) Release_Label'!$D:$D,$A144)=0),"NO UPC MATCH in Release_Label",and($B144&lt;&gt;"",countif('3) Release_Label'!$E:$E,$B144)=0),"NO CATALOG ID MATCH in Release_Label",iserror(vlookup($A144&amp;$B144,'3) Release_Label'!$D:$D&amp;'3) Release_Label'!$E:$E,1,0)),"NO UPC-CATALOG ID pair MATCH in Release_Label" )</f>
        <v/>
      </c>
      <c r="E144" s="44" t="s">
        <v>115</v>
      </c>
      <c r="F144" s="8" t="s">
        <v>331</v>
      </c>
      <c r="G144" s="123" t="str">
        <f t="array" ref="G144">ifs(or($F144="",$F144="Main Primary Artist"),$F144,not(iserror(vlookup($F144,'Reference info'!$J$5:$J$8,1,0))),"Key Artist",not(iserror(vlookup($F144,'Reference info'!$J$38:$J$405,1,0))),"Performer",not(iserror(vlookup($F144,'Reference info'!$J$10:$J$36,1,0))),"Producer &amp; Engineer")</f>
        <v>Key Artist</v>
      </c>
    </row>
    <row r="145">
      <c r="A145" s="119">
        <v>9.995964351885E12</v>
      </c>
      <c r="B145" s="103"/>
      <c r="C145" s="121" t="str">
        <f t="array" ref="C145">ifs(and(isblank($A145),isblank($B145)),"", not(iserror(vlookup($A145&amp;$B145,'3) Release_Label'!$D:$D&amp;'3) Release_Label'!$E:$E,1,0))),vlookup($A145&amp;$B145,{'3) Release_Label'!$D:$D&amp;'3) Release_Label'!$E:$E,'3) Release_Label'!$F:$F},2,0), or(and(not(isblank($B145)),$B145=$B144,$A145&lt;&gt;$A144),and(not(isblank($A145)),$A145=$A144,$B145&lt;&gt;$B144)),"ID LISTS UNALIGNED",and($A145&lt;&gt;"",countif('3) Release_Label'!$D:$D,$A145)=0),"NO UPC MATCH in Release_Label",and($B145&lt;&gt;"",countif('3) Release_Label'!$E:$E,$B145)=0),"NO CATALOG ID MATCH in Release_Label",iserror(vlookup($A145&amp;$B145,'3) Release_Label'!$D:$D&amp;'3) Release_Label'!$E:$E,1,0)),"NO UPC-CATALOG ID pair MATCH in Release_Label" )</f>
        <v>Nanak Aadh Jugaadh Jiyo</v>
      </c>
      <c r="D145" s="121" t="str">
        <f t="array" ref="D145">ifs(and(isblank($A145),isblank($B145)),"", not(iserror(vlookup($A145&amp;$B145,'3) Release_Label'!$D:$D&amp;'3) Release_Label'!$E:$E,1,0))),vlookup($A145&amp;$B145,{'3) Release_Label'!$D:$D&amp;'3) Release_Label'!$E:$E,'3) Release_Label'!$H:$H},2,0), or(and(not(isblank($B145)),$B145=$B144,$A145&lt;&gt;$A144),and(not(isblank($A145)),$A145=$A144,$B145&lt;&gt;$B144)),"ID LISTS UNALIGNED",and($A145&lt;&gt;"",countif('3) Release_Label'!$D:$D,$A145)=0),"NO UPC MATCH in Release_Label",and($B145&lt;&gt;"",countif('3) Release_Label'!$E:$E,$B145)=0),"NO CATALOG ID MATCH in Release_Label",iserror(vlookup($A145&amp;$B145,'3) Release_Label'!$D:$D&amp;'3) Release_Label'!$E:$E,1,0)),"NO UPC-CATALOG ID pair MATCH in Release_Label" )</f>
        <v/>
      </c>
      <c r="E145" s="44" t="s">
        <v>125</v>
      </c>
      <c r="F145" s="8" t="s">
        <v>323</v>
      </c>
      <c r="G145" s="123" t="str">
        <f t="array" ref="G145">ifs(or($F145="",$F145="Main Primary Artist"),$F145,not(iserror(vlookup($F145,'Reference info'!$J$5:$J$8,1,0))),"Key Artist",not(iserror(vlookup($F145,'Reference info'!$J$38:$J$405,1,0))),"Performer",not(iserror(vlookup($F145,'Reference info'!$J$10:$J$36,1,0))),"Producer &amp; Engineer")</f>
        <v>Main Primary Artist</v>
      </c>
    </row>
    <row r="146">
      <c r="A146" s="119">
        <v>9.995964366124E12</v>
      </c>
      <c r="B146" s="103"/>
      <c r="C146" s="121" t="str">
        <f t="array" ref="C146">ifs(and(isblank($A146),isblank($B146)),"", not(iserror(vlookup($A146&amp;$B146,'3) Release_Label'!$D:$D&amp;'3) Release_Label'!$E:$E,1,0))),vlookup($A146&amp;$B146,{'3) Release_Label'!$D:$D&amp;'3) Release_Label'!$E:$E,'3) Release_Label'!$F:$F},2,0), or(and(not(isblank($B146)),$B146=#REF!,$A146&lt;&gt;#REF!),and(not(isblank($A146)),$A146=#REF!,$B146&lt;&gt;#REF!)),"ID LISTS UNALIGNED",and($A146&lt;&gt;"",countif('3) Release_Label'!$D:$D,$A146)=0),"NO UPC MATCH in Release_Label",and($B146&lt;&gt;"",countif('3) Release_Label'!$E:$E,$B146)=0),"NO CATALOG ID MATCH in Release_Label",iserror(vlookup($A146&amp;$B146,'3) Release_Label'!$D:$D&amp;'3) Release_Label'!$E:$E,1,0)),"NO UPC-CATALOG ID pair MATCH in Release_Label" )</f>
        <v>Boota Gaalan Kad Da Ae (From "Chal Mera Putt 2" Soundtrack)</v>
      </c>
      <c r="D146" s="121" t="str">
        <f t="array" ref="D146">ifs(and(isblank($A146),isblank($B146)),"", not(iserror(vlookup($A146&amp;$B146,'3) Release_Label'!$D:$D&amp;'3) Release_Label'!$E:$E,1,0))),vlookup($A146&amp;$B146,{'3) Release_Label'!$D:$D&amp;'3) Release_Label'!$E:$E,'3) Release_Label'!$H:$H},2,0), or(and(not(isblank($B146)),$B146=#REF!,$A146&lt;&gt;#REF!),and(not(isblank($A146)),$A146=#REF!,$B146&lt;&gt;#REF!)),"ID LISTS UNALIGNED",and($A146&lt;&gt;"",countif('3) Release_Label'!$D:$D,$A146)=0),"NO UPC MATCH in Release_Label",and($B146&lt;&gt;"",countif('3) Release_Label'!$E:$E,$B146)=0),"NO CATALOG ID MATCH in Release_Label",iserror(vlookup($A146&amp;$B146,'3) Release_Label'!$D:$D&amp;'3) Release_Label'!$E:$E,1,0)),"NO UPC-CATALOG ID pair MATCH in Release_Label" )</f>
        <v/>
      </c>
      <c r="E146" s="44" t="s">
        <v>49</v>
      </c>
      <c r="F146" s="8" t="s">
        <v>323</v>
      </c>
      <c r="G146" s="123" t="str">
        <f t="array" ref="G146">ifs(or($F146="",$F146="Main Primary Artist"),$F146,not(iserror(vlookup($F146,'Reference info'!$J$5:$J$8,1,0))),"Key Artist",not(iserror(vlookup($F146,'Reference info'!$J$38:$J$405,1,0))),"Performer",not(iserror(vlookup($F146,'Reference info'!$J$10:$J$36,1,0))),"Producer &amp; Engineer")</f>
        <v>Main Primary Artist</v>
      </c>
    </row>
    <row r="147">
      <c r="A147" s="119">
        <v>9.995964366124E12</v>
      </c>
      <c r="B147" s="103"/>
      <c r="C147" s="121" t="str">
        <f t="array" ref="C147">ifs(and(isblank($A147),isblank($B147)),"", not(iserror(vlookup($A147&amp;$B147,'3) Release_Label'!$D:$D&amp;'3) Release_Label'!$E:$E,1,0))),vlookup($A147&amp;$B147,{'3) Release_Label'!$D:$D&amp;'3) Release_Label'!$E:$E,'3) Release_Label'!$F:$F},2,0), or(and(not(isblank($B147)),$B147=$B146,$A147&lt;&gt;$A146),and(not(isblank($A147)),$A147=$A146,$B147&lt;&gt;$B146)),"ID LISTS UNALIGNED",and($A147&lt;&gt;"",countif('3) Release_Label'!$D:$D,$A147)=0),"NO UPC MATCH in Release_Label",and($B147&lt;&gt;"",countif('3) Release_Label'!$E:$E,$B147)=0),"NO CATALOG ID MATCH in Release_Label",iserror(vlookup($A147&amp;$B147,'3) Release_Label'!$D:$D&amp;'3) Release_Label'!$E:$E,1,0)),"NO UPC-CATALOG ID pair MATCH in Release_Label" )</f>
        <v>Boota Gaalan Kad Da Ae (From "Chal Mera Putt 2" Soundtrack)</v>
      </c>
      <c r="D147" s="121" t="str">
        <f t="array" ref="D147">ifs(and(isblank($A147),isblank($B147)),"", not(iserror(vlookup($A147&amp;$B147,'3) Release_Label'!$D:$D&amp;'3) Release_Label'!$E:$E,1,0))),vlookup($A147&amp;$B147,{'3) Release_Label'!$D:$D&amp;'3) Release_Label'!$E:$E,'3) Release_Label'!$H:$H},2,0), or(and(not(isblank($B147)),$B147=$B146,$A147&lt;&gt;$A146),and(not(isblank($A147)),$A147=$A146,$B147&lt;&gt;$B146)),"ID LISTS UNALIGNED",and($A147&lt;&gt;"",countif('3) Release_Label'!$D:$D,$A147)=0),"NO UPC MATCH in Release_Label",and($B147&lt;&gt;"",countif('3) Release_Label'!$E:$E,$B147)=0),"NO CATALOG ID MATCH in Release_Label",iserror(vlookup($A147&amp;$B147,'3) Release_Label'!$D:$D&amp;'3) Release_Label'!$E:$E,1,0)),"NO UPC-CATALOG ID pair MATCH in Release_Label" )</f>
        <v/>
      </c>
      <c r="E147" s="44" t="s">
        <v>57</v>
      </c>
      <c r="F147" s="8" t="s">
        <v>324</v>
      </c>
      <c r="G147" s="123" t="str">
        <f t="array" ref="G147">ifs(or($F147="",$F147="Main Primary Artist"),$F147,not(iserror(vlookup($F147,'Reference info'!$J$5:$J$8,1,0))),"Key Artist",not(iserror(vlookup($F147,'Reference info'!$J$38:$J$405,1,0))),"Performer",not(iserror(vlookup($F147,'Reference info'!$J$10:$J$36,1,0))),"Producer &amp; Engineer")</f>
        <v>Key Artist</v>
      </c>
    </row>
    <row r="148">
      <c r="A148" s="119">
        <v>9.995964366124E12</v>
      </c>
      <c r="B148" s="103"/>
      <c r="C148" s="121" t="str">
        <f t="array" ref="C148">ifs(and(isblank($A148),isblank($B148)),"", not(iserror(vlookup($A148&amp;$B148,'3) Release_Label'!$D:$D&amp;'3) Release_Label'!$E:$E,1,0))),vlookup($A148&amp;$B148,{'3) Release_Label'!$D:$D&amp;'3) Release_Label'!$E:$E,'3) Release_Label'!$F:$F},2,0), or(and(not(isblank($B148)),$B148=$B147,$A148&lt;&gt;$A147),and(not(isblank($A148)),$A148=$A147,$B148&lt;&gt;$B147)),"ID LISTS UNALIGNED",and($A148&lt;&gt;"",countif('3) Release_Label'!$D:$D,$A148)=0),"NO UPC MATCH in Release_Label",and($B148&lt;&gt;"",countif('3) Release_Label'!$E:$E,$B148)=0),"NO CATALOG ID MATCH in Release_Label",iserror(vlookup($A148&amp;$B148,'3) Release_Label'!$D:$D&amp;'3) Release_Label'!$E:$E,1,0)),"NO UPC-CATALOG ID pair MATCH in Release_Label" )</f>
        <v>Boota Gaalan Kad Da Ae (From "Chal Mera Putt 2" Soundtrack)</v>
      </c>
      <c r="D148" s="121" t="str">
        <f t="array" ref="D148">ifs(and(isblank($A148),isblank($B148)),"", not(iserror(vlookup($A148&amp;$B148,'3) Release_Label'!$D:$D&amp;'3) Release_Label'!$E:$E,1,0))),vlookup($A148&amp;$B148,{'3) Release_Label'!$D:$D&amp;'3) Release_Label'!$E:$E,'3) Release_Label'!$H:$H},2,0), or(and(not(isblank($B148)),$B148=$B147,$A148&lt;&gt;$A147),and(not(isblank($A148)),$A148=$A147,$B148&lt;&gt;$B147)),"ID LISTS UNALIGNED",and($A148&lt;&gt;"",countif('3) Release_Label'!$D:$D,$A148)=0),"NO UPC MATCH in Release_Label",and($B148&lt;&gt;"",countif('3) Release_Label'!$E:$E,$B148)=0),"NO CATALOG ID MATCH in Release_Label",iserror(vlookup($A148&amp;$B148,'3) Release_Label'!$D:$D&amp;'3) Release_Label'!$E:$E,1,0)),"NO UPC-CATALOG ID pair MATCH in Release_Label" )</f>
        <v/>
      </c>
      <c r="E148" s="44" t="s">
        <v>115</v>
      </c>
      <c r="F148" s="8" t="s">
        <v>331</v>
      </c>
      <c r="G148" s="123" t="str">
        <f t="array" ref="G148">ifs(or($F148="",$F148="Main Primary Artist"),$F148,not(iserror(vlookup($F148,'Reference info'!$J$5:$J$8,1,0))),"Key Artist",not(iserror(vlookup($F148,'Reference info'!$J$38:$J$405,1,0))),"Performer",not(iserror(vlookup($F148,'Reference info'!$J$10:$J$36,1,0))),"Producer &amp; Engineer")</f>
        <v>Key Artist</v>
      </c>
    </row>
    <row r="149">
      <c r="A149" s="119">
        <v>9.995964367343E12</v>
      </c>
      <c r="B149" s="103"/>
      <c r="C149" s="121" t="str">
        <f t="array" ref="C149">ifs(and(isblank($A149),isblank($B149)),"", not(iserror(vlookup($A149&amp;$B149,'3) Release_Label'!$D:$D&amp;'3) Release_Label'!$E:$E,1,0))),vlookup($A149&amp;$B149,{'3) Release_Label'!$D:$D&amp;'3) Release_Label'!$E:$E,'3) Release_Label'!$F:$F},2,0), or(and(not(isblank($B149)),$B149=$B148,$A149&lt;&gt;$A148),and(not(isblank($A149)),$A149=$A148,$B149&lt;&gt;$B148)),"ID LISTS UNALIGNED",and($A149&lt;&gt;"",countif('3) Release_Label'!$D:$D,$A149)=0),"NO UPC MATCH in Release_Label",and($B149&lt;&gt;"",countif('3) Release_Label'!$E:$E,$B149)=0),"NO CATALOG ID MATCH in Release_Label",iserror(vlookup($A149&amp;$B149,'3) Release_Label'!$D:$D&amp;'3) Release_Label'!$E:$E,1,0)),"NO UPC-CATALOG ID pair MATCH in Release_Label" )</f>
        <v>Majboori (From "Chal Mera Putt 2" Soundtrack)</v>
      </c>
      <c r="D149" s="121" t="str">
        <f t="array" ref="D149">ifs(and(isblank($A149),isblank($B149)),"", not(iserror(vlookup($A149&amp;$B149,'3) Release_Label'!$D:$D&amp;'3) Release_Label'!$E:$E,1,0))),vlookup($A149&amp;$B149,{'3) Release_Label'!$D:$D&amp;'3) Release_Label'!$E:$E,'3) Release_Label'!$H:$H},2,0), or(and(not(isblank($B149)),$B149=$B148,$A149&lt;&gt;$A148),and(not(isblank($A149)),$A149=$A148,$B149&lt;&gt;$B148)),"ID LISTS UNALIGNED",and($A149&lt;&gt;"",countif('3) Release_Label'!$D:$D,$A149)=0),"NO UPC MATCH in Release_Label",and($B149&lt;&gt;"",countif('3) Release_Label'!$E:$E,$B149)=0),"NO CATALOG ID MATCH in Release_Label",iserror(vlookup($A149&amp;$B149,'3) Release_Label'!$D:$D&amp;'3) Release_Label'!$E:$E,1,0)),"NO UPC-CATALOG ID pair MATCH in Release_Label" )</f>
        <v/>
      </c>
      <c r="E149" s="44" t="s">
        <v>57</v>
      </c>
      <c r="F149" s="8" t="s">
        <v>323</v>
      </c>
      <c r="G149" s="123" t="str">
        <f t="array" ref="G149">ifs(or($F149="",$F149="Main Primary Artist"),$F149,not(iserror(vlookup($F149,'Reference info'!$J$5:$J$8,1,0))),"Key Artist",not(iserror(vlookup($F149,'Reference info'!$J$38:$J$405,1,0))),"Performer",not(iserror(vlookup($F149,'Reference info'!$J$10:$J$36,1,0))),"Producer &amp; Engineer")</f>
        <v>Main Primary Artist</v>
      </c>
    </row>
    <row r="150">
      <c r="A150" s="119">
        <v>9.995964367343E12</v>
      </c>
      <c r="B150" s="103"/>
      <c r="C150" s="121" t="str">
        <f t="array" ref="C150">ifs(and(isblank($A150),isblank($B150)),"", not(iserror(vlookup($A150&amp;$B150,'3) Release_Label'!$D:$D&amp;'3) Release_Label'!$E:$E,1,0))),vlookup($A150&amp;$B150,{'3) Release_Label'!$D:$D&amp;'3) Release_Label'!$E:$E,'3) Release_Label'!$F:$F},2,0), or(and(not(isblank($B150)),$B150=$B149,$A150&lt;&gt;$A149),and(not(isblank($A150)),$A150=$A149,$B150&lt;&gt;$B149)),"ID LISTS UNALIGNED",and($A150&lt;&gt;"",countif('3) Release_Label'!$D:$D,$A150)=0),"NO UPC MATCH in Release_Label",and($B150&lt;&gt;"",countif('3) Release_Label'!$E:$E,$B150)=0),"NO CATALOG ID MATCH in Release_Label",iserror(vlookup($A150&amp;$B150,'3) Release_Label'!$D:$D&amp;'3) Release_Label'!$E:$E,1,0)),"NO UPC-CATALOG ID pair MATCH in Release_Label" )</f>
        <v>Majboori (From "Chal Mera Putt 2" Soundtrack)</v>
      </c>
      <c r="D150" s="121" t="str">
        <f t="array" ref="D150">ifs(and(isblank($A150),isblank($B150)),"", not(iserror(vlookup($A150&amp;$B150,'3) Release_Label'!$D:$D&amp;'3) Release_Label'!$E:$E,1,0))),vlookup($A150&amp;$B150,{'3) Release_Label'!$D:$D&amp;'3) Release_Label'!$E:$E,'3) Release_Label'!$H:$H},2,0), or(and(not(isblank($B150)),$B150=$B149,$A150&lt;&gt;$A149),and(not(isblank($A150)),$A150=$A149,$B150&lt;&gt;$B149)),"ID LISTS UNALIGNED",and($A150&lt;&gt;"",countif('3) Release_Label'!$D:$D,$A150)=0),"NO UPC MATCH in Release_Label",and($B150&lt;&gt;"",countif('3) Release_Label'!$E:$E,$B150)=0),"NO CATALOG ID MATCH in Release_Label",iserror(vlookup($A150&amp;$B150,'3) Release_Label'!$D:$D&amp;'3) Release_Label'!$E:$E,1,0)),"NO UPC-CATALOG ID pair MATCH in Release_Label" )</f>
        <v/>
      </c>
      <c r="E150" s="44" t="s">
        <v>115</v>
      </c>
      <c r="F150" s="8" t="s">
        <v>331</v>
      </c>
      <c r="G150" s="123" t="str">
        <f t="array" ref="G150">ifs(or($F150="",$F150="Main Primary Artist"),$F150,not(iserror(vlookup($F150,'Reference info'!$J$5:$J$8,1,0))),"Key Artist",not(iserror(vlookup($F150,'Reference info'!$J$38:$J$405,1,0))),"Performer",not(iserror(vlookup($F150,'Reference info'!$J$10:$J$36,1,0))),"Producer &amp; Engineer")</f>
        <v>Key Artist</v>
      </c>
    </row>
    <row r="151">
      <c r="A151" s="119">
        <v>9.995964368173E12</v>
      </c>
      <c r="B151" s="103"/>
      <c r="C151" s="121" t="str">
        <f t="array" ref="C151">ifs(and(isblank($A151),isblank($B151)),"", not(iserror(vlookup($A151&amp;$B151,'3) Release_Label'!$D:$D&amp;'3) Release_Label'!$E:$E,1,0))),vlookup($A151&amp;$B151,{'3) Release_Label'!$D:$D&amp;'3) Release_Label'!$E:$E,'3) Release_Label'!$F:$F},2,0), or(and(not(isblank($B151)),$B151=$B150,$A151&lt;&gt;$A150),and(not(isblank($A151)),$A151=$A150,$B151&lt;&gt;$B150)),"ID LISTS UNALIGNED",and($A151&lt;&gt;"",countif('3) Release_Label'!$D:$D,$A151)=0),"NO UPC MATCH in Release_Label",and($B151&lt;&gt;"",countif('3) Release_Label'!$E:$E,$B151)=0),"NO CATALOG ID MATCH in Release_Label",iserror(vlookup($A151&amp;$B151,'3) Release_Label'!$D:$D&amp;'3) Release_Label'!$E:$E,1,0)),"NO UPC-CATALOG ID pair MATCH in Release_Label" )</f>
        <v>Majhe Wal Da (From "Chal Mera Putt 2" Soundtrack)</v>
      </c>
      <c r="D151" s="121" t="str">
        <f t="array" ref="D151">ifs(and(isblank($A151),isblank($B151)),"", not(iserror(vlookup($A151&amp;$B151,'3) Release_Label'!$D:$D&amp;'3) Release_Label'!$E:$E,1,0))),vlookup($A151&amp;$B151,{'3) Release_Label'!$D:$D&amp;'3) Release_Label'!$E:$E,'3) Release_Label'!$H:$H},2,0), or(and(not(isblank($B151)),$B151=$B150,$A151&lt;&gt;$A150),and(not(isblank($A151)),$A151=$A150,$B151&lt;&gt;$B150)),"ID LISTS UNALIGNED",and($A151&lt;&gt;"",countif('3) Release_Label'!$D:$D,$A151)=0),"NO UPC MATCH in Release_Label",and($B151&lt;&gt;"",countif('3) Release_Label'!$E:$E,$B151)=0),"NO CATALOG ID MATCH in Release_Label",iserror(vlookup($A151&amp;$B151,'3) Release_Label'!$D:$D&amp;'3) Release_Label'!$E:$E,1,0)),"NO UPC-CATALOG ID pair MATCH in Release_Label" )</f>
        <v/>
      </c>
      <c r="E151" s="44" t="s">
        <v>49</v>
      </c>
      <c r="F151" s="8" t="s">
        <v>323</v>
      </c>
      <c r="G151" s="123" t="str">
        <f t="array" ref="G151">ifs(or($F151="",$F151="Main Primary Artist"),$F151,not(iserror(vlookup($F151,'Reference info'!$J$5:$J$8,1,0))),"Key Artist",not(iserror(vlookup($F151,'Reference info'!$J$38:$J$405,1,0))),"Performer",not(iserror(vlookup($F151,'Reference info'!$J$10:$J$36,1,0))),"Producer &amp; Engineer")</f>
        <v>Main Primary Artist</v>
      </c>
    </row>
    <row r="152">
      <c r="A152" s="119">
        <v>9.995964368173E12</v>
      </c>
      <c r="B152" s="103"/>
      <c r="C152" s="121" t="str">
        <f t="array" ref="C152">ifs(and(isblank($A152),isblank($B152)),"", not(iserror(vlookup($A152&amp;$B152,'3) Release_Label'!$D:$D&amp;'3) Release_Label'!$E:$E,1,0))),vlookup($A152&amp;$B152,{'3) Release_Label'!$D:$D&amp;'3) Release_Label'!$E:$E,'3) Release_Label'!$F:$F},2,0), or(and(not(isblank($B152)),$B152=$B151,$A152&lt;&gt;$A151),and(not(isblank($A152)),$A152=$A151,$B152&lt;&gt;$B151)),"ID LISTS UNALIGNED",and($A152&lt;&gt;"",countif('3) Release_Label'!$D:$D,$A152)=0),"NO UPC MATCH in Release_Label",and($B152&lt;&gt;"",countif('3) Release_Label'!$E:$E,$B152)=0),"NO CATALOG ID MATCH in Release_Label",iserror(vlookup($A152&amp;$B152,'3) Release_Label'!$D:$D&amp;'3) Release_Label'!$E:$E,1,0)),"NO UPC-CATALOG ID pair MATCH in Release_Label" )</f>
        <v>Majhe Wal Da (From "Chal Mera Putt 2" Soundtrack)</v>
      </c>
      <c r="D152" s="121" t="str">
        <f t="array" ref="D152">ifs(and(isblank($A152),isblank($B152)),"", not(iserror(vlookup($A152&amp;$B152,'3) Release_Label'!$D:$D&amp;'3) Release_Label'!$E:$E,1,0))),vlookup($A152&amp;$B152,{'3) Release_Label'!$D:$D&amp;'3) Release_Label'!$E:$E,'3) Release_Label'!$H:$H},2,0), or(and(not(isblank($B152)),$B152=$B151,$A152&lt;&gt;$A151),and(not(isblank($A152)),$A152=$A151,$B152&lt;&gt;$B151)),"ID LISTS UNALIGNED",and($A152&lt;&gt;"",countif('3) Release_Label'!$D:$D,$A152)=0),"NO UPC MATCH in Release_Label",and($B152&lt;&gt;"",countif('3) Release_Label'!$E:$E,$B152)=0),"NO CATALOG ID MATCH in Release_Label",iserror(vlookup($A152&amp;$B152,'3) Release_Label'!$D:$D&amp;'3) Release_Label'!$E:$E,1,0)),"NO UPC-CATALOG ID pair MATCH in Release_Label" )</f>
        <v/>
      </c>
      <c r="E152" s="44" t="s">
        <v>53</v>
      </c>
      <c r="F152" s="8" t="s">
        <v>324</v>
      </c>
      <c r="G152" s="123" t="str">
        <f t="array" ref="G152">ifs(or($F152="",$F152="Main Primary Artist"),$F152,not(iserror(vlookup($F152,'Reference info'!$J$5:$J$8,1,0))),"Key Artist",not(iserror(vlookup($F152,'Reference info'!$J$38:$J$405,1,0))),"Performer",not(iserror(vlookup($F152,'Reference info'!$J$10:$J$36,1,0))),"Producer &amp; Engineer")</f>
        <v>Key Artist</v>
      </c>
    </row>
    <row r="153">
      <c r="A153" s="119">
        <v>9.995964368173E12</v>
      </c>
      <c r="B153" s="103"/>
      <c r="C153" s="121" t="str">
        <f t="array" ref="C153">ifs(and(isblank($A153),isblank($B153)),"", not(iserror(vlookup($A153&amp;$B153,'3) Release_Label'!$D:$D&amp;'3) Release_Label'!$E:$E,1,0))),vlookup($A153&amp;$B153,{'3) Release_Label'!$D:$D&amp;'3) Release_Label'!$E:$E,'3) Release_Label'!$F:$F},2,0), or(and(not(isblank($B153)),$B153=$B152,$A153&lt;&gt;$A152),and(not(isblank($A153)),$A153=$A152,$B153&lt;&gt;$B152)),"ID LISTS UNALIGNED",and($A153&lt;&gt;"",countif('3) Release_Label'!$D:$D,$A153)=0),"NO UPC MATCH in Release_Label",and($B153&lt;&gt;"",countif('3) Release_Label'!$E:$E,$B153)=0),"NO CATALOG ID MATCH in Release_Label",iserror(vlookup($A153&amp;$B153,'3) Release_Label'!$D:$D&amp;'3) Release_Label'!$E:$E,1,0)),"NO UPC-CATALOG ID pair MATCH in Release_Label" )</f>
        <v>Majhe Wal Da (From "Chal Mera Putt 2" Soundtrack)</v>
      </c>
      <c r="D153" s="121" t="str">
        <f t="array" ref="D153">ifs(and(isblank($A153),isblank($B153)),"", not(iserror(vlookup($A153&amp;$B153,'3) Release_Label'!$D:$D&amp;'3) Release_Label'!$E:$E,1,0))),vlookup($A153&amp;$B153,{'3) Release_Label'!$D:$D&amp;'3) Release_Label'!$E:$E,'3) Release_Label'!$H:$H},2,0), or(and(not(isblank($B153)),$B153=$B152,$A153&lt;&gt;$A152),and(not(isblank($A153)),$A153=$A152,$B153&lt;&gt;$B152)),"ID LISTS UNALIGNED",and($A153&lt;&gt;"",countif('3) Release_Label'!$D:$D,$A153)=0),"NO UPC MATCH in Release_Label",and($B153&lt;&gt;"",countif('3) Release_Label'!$E:$E,$B153)=0),"NO CATALOG ID MATCH in Release_Label",iserror(vlookup($A153&amp;$B153,'3) Release_Label'!$D:$D&amp;'3) Release_Label'!$E:$E,1,0)),"NO UPC-CATALOG ID pair MATCH in Release_Label" )</f>
        <v/>
      </c>
      <c r="E153" s="44" t="s">
        <v>127</v>
      </c>
      <c r="F153" s="8" t="s">
        <v>331</v>
      </c>
      <c r="G153" s="123" t="str">
        <f t="array" ref="G153">ifs(or($F153="",$F153="Main Primary Artist"),$F153,not(iserror(vlookup($F153,'Reference info'!$J$5:$J$8,1,0))),"Key Artist",not(iserror(vlookup($F153,'Reference info'!$J$38:$J$405,1,0))),"Performer",not(iserror(vlookup($F153,'Reference info'!$J$10:$J$36,1,0))),"Producer &amp; Engineer")</f>
        <v>Key Artist</v>
      </c>
    </row>
    <row r="154">
      <c r="A154" s="119">
        <v>9.999552111417E12</v>
      </c>
      <c r="B154" s="103"/>
      <c r="C154" s="121" t="str">
        <f t="array" ref="C154">ifs(and(isblank($A154),isblank($B154)),"", not(iserror(vlookup($A154&amp;$B154,'3) Release_Label'!$D:$D&amp;'3) Release_Label'!$E:$E,1,0))),vlookup($A154&amp;$B154,{'3) Release_Label'!$D:$D&amp;'3) Release_Label'!$E:$E,'3) Release_Label'!$F:$F},2,0), or(and(not(isblank($B154)),$B154=$B153,$A154&lt;&gt;$A153),and(not(isblank($A154)),$A154=$A153,$B154&lt;&gt;$B153)),"ID LISTS UNALIGNED",and($A154&lt;&gt;"",countif('3) Release_Label'!$D:$D,$A154)=0),"NO UPC MATCH in Release_Label",and($B154&lt;&gt;"",countif('3) Release_Label'!$E:$E,$B154)=0),"NO CATALOG ID MATCH in Release_Label",iserror(vlookup($A154&amp;$B154,'3) Release_Label'!$D:$D&amp;'3) Release_Label'!$E:$E,1,0)),"NO UPC-CATALOG ID pair MATCH in Release_Label" )</f>
        <v>Doubt</v>
      </c>
      <c r="D154" s="121" t="str">
        <f t="array" ref="D154">ifs(and(isblank($A154),isblank($B154)),"", not(iserror(vlookup($A154&amp;$B154,'3) Release_Label'!$D:$D&amp;'3) Release_Label'!$E:$E,1,0))),vlookup($A154&amp;$B154,{'3) Release_Label'!$D:$D&amp;'3) Release_Label'!$E:$E,'3) Release_Label'!$H:$H},2,0), or(and(not(isblank($B154)),$B154=$B153,$A154&lt;&gt;$A153),and(not(isblank($A154)),$A154=$A153,$B154&lt;&gt;$B153)),"ID LISTS UNALIGNED",and($A154&lt;&gt;"",countif('3) Release_Label'!$D:$D,$A154)=0),"NO UPC MATCH in Release_Label",and($B154&lt;&gt;"",countif('3) Release_Label'!$E:$E,$B154)=0),"NO CATALOG ID MATCH in Release_Label",iserror(vlookup($A154&amp;$B154,'3) Release_Label'!$D:$D&amp;'3) Release_Label'!$E:$E,1,0)),"NO UPC-CATALOG ID pair MATCH in Release_Label" )</f>
        <v/>
      </c>
      <c r="E154" s="44" t="s">
        <v>67</v>
      </c>
      <c r="F154" s="8" t="s">
        <v>323</v>
      </c>
      <c r="G154" s="123" t="str">
        <f t="array" ref="G154">ifs(or($F154="",$F154="Main Primary Artist"),$F154,not(iserror(vlookup($F154,'Reference info'!$J$5:$J$8,1,0))),"Key Artist",not(iserror(vlookup($F154,'Reference info'!$J$38:$J$405,1,0))),"Performer",not(iserror(vlookup($F154,'Reference info'!$J$10:$J$36,1,0))),"Producer &amp; Engineer")</f>
        <v>Main Primary Artist</v>
      </c>
    </row>
    <row r="155">
      <c r="A155" s="119">
        <v>9.999552111417E12</v>
      </c>
      <c r="B155" s="103"/>
      <c r="C155" s="121" t="str">
        <f t="array" ref="C155">ifs(and(isblank($A155),isblank($B155)),"", not(iserror(vlookup($A155&amp;$B155,'3) Release_Label'!$D:$D&amp;'3) Release_Label'!$E:$E,1,0))),vlookup($A155&amp;$B155,{'3) Release_Label'!$D:$D&amp;'3) Release_Label'!$E:$E,'3) Release_Label'!$F:$F},2,0), or(and(not(isblank($B155)),$B155=$B154,$A155&lt;&gt;$A154),and(not(isblank($A155)),$A155=$A154,$B155&lt;&gt;$B154)),"ID LISTS UNALIGNED",and($A155&lt;&gt;"",countif('3) Release_Label'!$D:$D,$A155)=0),"NO UPC MATCH in Release_Label",and($B155&lt;&gt;"",countif('3) Release_Label'!$E:$E,$B155)=0),"NO CATALOG ID MATCH in Release_Label",iserror(vlookup($A155&amp;$B155,'3) Release_Label'!$D:$D&amp;'3) Release_Label'!$E:$E,1,0)),"NO UPC-CATALOG ID pair MATCH in Release_Label" )</f>
        <v>Doubt</v>
      </c>
      <c r="D155" s="121" t="str">
        <f t="array" ref="D155">ifs(and(isblank($A155),isblank($B155)),"", not(iserror(vlookup($A155&amp;$B155,'3) Release_Label'!$D:$D&amp;'3) Release_Label'!$E:$E,1,0))),vlookup($A155&amp;$B155,{'3) Release_Label'!$D:$D&amp;'3) Release_Label'!$E:$E,'3) Release_Label'!$H:$H},2,0), or(and(not(isblank($B155)),$B155=$B154,$A155&lt;&gt;$A154),and(not(isblank($A155)),$A155=$A154,$B155&lt;&gt;$B154)),"ID LISTS UNALIGNED",and($A155&lt;&gt;"",countif('3) Release_Label'!$D:$D,$A155)=0),"NO UPC MATCH in Release_Label",and($B155&lt;&gt;"",countif('3) Release_Label'!$E:$E,$B155)=0),"NO CATALOG ID MATCH in Release_Label",iserror(vlookup($A155&amp;$B155,'3) Release_Label'!$D:$D&amp;'3) Release_Label'!$E:$E,1,0)),"NO UPC-CATALOG ID pair MATCH in Release_Label" )</f>
        <v/>
      </c>
      <c r="E155" s="44" t="s">
        <v>129</v>
      </c>
      <c r="F155" s="8" t="s">
        <v>324</v>
      </c>
      <c r="G155" s="123" t="str">
        <f t="array" ref="G155">ifs(or($F155="",$F155="Main Primary Artist"),$F155,not(iserror(vlookup($F155,'Reference info'!$J$5:$J$8,1,0))),"Key Artist",not(iserror(vlookup($F155,'Reference info'!$J$38:$J$405,1,0))),"Performer",not(iserror(vlookup($F155,'Reference info'!$J$10:$J$36,1,0))),"Producer &amp; Engineer")</f>
        <v>Key Artist</v>
      </c>
    </row>
    <row r="156">
      <c r="A156" s="8">
        <v>9.995964356132E12</v>
      </c>
      <c r="B156" s="120"/>
      <c r="C156" s="8" t="s">
        <v>175</v>
      </c>
      <c r="D156" s="121" t="str">
        <f t="array" ref="D156">ifs(and(isblank($A156),isblank($B156)),"", not(iserror(vlookup($A156&amp;$B156,'3) Release_Label'!$D:$D&amp;'3) Release_Label'!$E:$E,1,0))),vlookup($A156&amp;$B156,{'3) Release_Label'!$D:$D&amp;'3) Release_Label'!$E:$E,'3) Release_Label'!$H:$H},2,0), or(and(not(isblank($B156)),$B156=$B155,$A156&lt;&gt;$A155),and(not(isblank($A156)),$A156=$A155,$B156&lt;&gt;$B155)),"ID LISTS UNALIGNED",and($A156&lt;&gt;"",countif('3) Release_Label'!$D:$D,$A156)=0),"NO UPC MATCH in Release_Label",and($B156&lt;&gt;"",countif('3) Release_Label'!$E:$E,$B156)=0),"NO CATALOG ID MATCH in Release_Label",iserror(vlookup($A156&amp;$B156,'3) Release_Label'!$D:$D&amp;'3) Release_Label'!$E:$E,1,0)),"NO UPC-CATALOG ID pair MATCH in Release_Label" )</f>
        <v/>
      </c>
      <c r="E156" s="8" t="s">
        <v>51</v>
      </c>
      <c r="F156" s="8" t="s">
        <v>326</v>
      </c>
      <c r="G156" s="123" t="str">
        <f t="array" ref="G156">ifs(or($F156="",$F156="Main Primary Artist"),$F156,not(iserror(vlookup($F156,'Reference info'!$J$5:$J$8,1,0))),"Key Artist",not(iserror(vlookup($F156,'Reference info'!$J$38:$J$405,1,0))),"Performer",not(iserror(vlookup($F156,'Reference info'!$J$10:$J$36,1,0))),"Producer &amp; Engineer")</f>
        <v>Producer &amp; Engineer</v>
      </c>
    </row>
    <row r="157">
      <c r="A157" s="8">
        <v>9.995964330651E12</v>
      </c>
      <c r="B157" s="120"/>
      <c r="C157" s="8" t="s">
        <v>177</v>
      </c>
      <c r="D157" s="121" t="str">
        <f t="array" ref="D157">ifs(and(isblank($A157),isblank($B157)),"", not(iserror(vlookup($A157&amp;$B157,'3) Release_Label'!$D:$D&amp;'3) Release_Label'!$E:$E,1,0))),vlookup($A157&amp;$B157,{'3) Release_Label'!$D:$D&amp;'3) Release_Label'!$E:$E,'3) Release_Label'!$H:$H},2,0), or(and(not(isblank($B157)),$B157=$B156,$A157&lt;&gt;$A156),and(not(isblank($A157)),$A157=$A156,$B157&lt;&gt;$B156)),"ID LISTS UNALIGNED",and($A157&lt;&gt;"",countif('3) Release_Label'!$D:$D,$A157)=0),"NO UPC MATCH in Release_Label",and($B157&lt;&gt;"",countif('3) Release_Label'!$E:$E,$B157)=0),"NO CATALOG ID MATCH in Release_Label",iserror(vlookup($A157&amp;$B157,'3) Release_Label'!$D:$D&amp;'3) Release_Label'!$E:$E,1,0)),"NO UPC-CATALOG ID pair MATCH in Release_Label" )</f>
        <v/>
      </c>
      <c r="E157" s="8" t="s">
        <v>51</v>
      </c>
      <c r="F157" s="8" t="s">
        <v>326</v>
      </c>
      <c r="G157" s="123" t="str">
        <f t="array" ref="G157">ifs(or($F157="",$F157="Main Primary Artist"),$F157,not(iserror(vlookup($F157,'Reference info'!$J$5:$J$8,1,0))),"Key Artist",not(iserror(vlookup($F157,'Reference info'!$J$38:$J$405,1,0))),"Performer",not(iserror(vlookup($F157,'Reference info'!$J$10:$J$36,1,0))),"Producer &amp; Engineer")</f>
        <v>Producer &amp; Engineer</v>
      </c>
    </row>
    <row r="158">
      <c r="A158" s="8">
        <v>9.995964330088E12</v>
      </c>
      <c r="B158" s="120"/>
      <c r="C158" s="8" t="s">
        <v>179</v>
      </c>
      <c r="D158" s="121" t="str">
        <f t="array" ref="D158">ifs(and(isblank($A158),isblank($B158)),"", not(iserror(vlookup($A158&amp;$B158,'3) Release_Label'!$D:$D&amp;'3) Release_Label'!$E:$E,1,0))),vlookup($A158&amp;$B158,{'3) Release_Label'!$D:$D&amp;'3) Release_Label'!$E:$E,'3) Release_Label'!$H:$H},2,0), or(and(not(isblank($B158)),$B158=$B157,$A158&lt;&gt;$A157),and(not(isblank($A158)),$A158=$A157,$B158&lt;&gt;$B157)),"ID LISTS UNALIGNED",and($A158&lt;&gt;"",countif('3) Release_Label'!$D:$D,$A158)=0),"NO UPC MATCH in Release_Label",and($B158&lt;&gt;"",countif('3) Release_Label'!$E:$E,$B158)=0),"NO CATALOG ID MATCH in Release_Label",iserror(vlookup($A158&amp;$B158,'3) Release_Label'!$D:$D&amp;'3) Release_Label'!$E:$E,1,0)),"NO UPC-CATALOG ID pair MATCH in Release_Label" )</f>
        <v/>
      </c>
      <c r="E158" s="8" t="s">
        <v>51</v>
      </c>
      <c r="F158" s="8" t="s">
        <v>326</v>
      </c>
      <c r="G158" s="123" t="str">
        <f t="array" ref="G158">ifs(or($F158="",$F158="Main Primary Artist"),$F158,not(iserror(vlookup($F158,'Reference info'!$J$5:$J$8,1,0))),"Key Artist",not(iserror(vlookup($F158,'Reference info'!$J$38:$J$405,1,0))),"Performer",not(iserror(vlookup($F158,'Reference info'!$J$10:$J$36,1,0))),"Producer &amp; Engineer")</f>
        <v>Producer &amp; Engineer</v>
      </c>
    </row>
    <row r="159">
      <c r="A159" s="8">
        <v>9.995964312657E12</v>
      </c>
      <c r="B159" s="120"/>
      <c r="C159" s="8" t="s">
        <v>181</v>
      </c>
      <c r="D159" s="121" t="str">
        <f t="array" ref="D159">ifs(and(isblank($A159),isblank($B159)),"", not(iserror(vlookup($A159&amp;$B159,'3) Release_Label'!$D:$D&amp;'3) Release_Label'!$E:$E,1,0))),vlookup($A159&amp;$B159,{'3) Release_Label'!$D:$D&amp;'3) Release_Label'!$E:$E,'3) Release_Label'!$H:$H},2,0), or(and(not(isblank($B159)),$B159=$B158,$A159&lt;&gt;$A158),and(not(isblank($A159)),$A159=$A158,$B159&lt;&gt;$B158)),"ID LISTS UNALIGNED",and($A159&lt;&gt;"",countif('3) Release_Label'!$D:$D,$A159)=0),"NO UPC MATCH in Release_Label",and($B159&lt;&gt;"",countif('3) Release_Label'!$E:$E,$B159)=0),"NO CATALOG ID MATCH in Release_Label",iserror(vlookup($A159&amp;$B159,'3) Release_Label'!$D:$D&amp;'3) Release_Label'!$E:$E,1,0)),"NO UPC-CATALOG ID pair MATCH in Release_Label" )</f>
        <v/>
      </c>
      <c r="E159" s="8" t="s">
        <v>51</v>
      </c>
      <c r="F159" s="8" t="s">
        <v>326</v>
      </c>
      <c r="G159" s="123" t="str">
        <f t="array" ref="G159">ifs(or($F159="",$F159="Main Primary Artist"),$F159,not(iserror(vlookup($F159,'Reference info'!$J$5:$J$8,1,0))),"Key Artist",not(iserror(vlookup($F159,'Reference info'!$J$38:$J$405,1,0))),"Performer",not(iserror(vlookup($F159,'Reference info'!$J$10:$J$36,1,0))),"Producer &amp; Engineer")</f>
        <v>Producer &amp; Engineer</v>
      </c>
    </row>
    <row r="160">
      <c r="A160" s="8">
        <v>9.99596432139E12</v>
      </c>
      <c r="B160" s="103"/>
      <c r="C160" s="8" t="s">
        <v>183</v>
      </c>
      <c r="D160" s="121" t="str">
        <f t="array" ref="D160">ifs(and(isblank($A160),isblank($B160)),"", not(iserror(vlookup($A160&amp;$B160,'3) Release_Label'!$D:$D&amp;'3) Release_Label'!$E:$E,1,0))),vlookup($A160&amp;$B160,{'3) Release_Label'!$D:$D&amp;'3) Release_Label'!$E:$E,'3) Release_Label'!$H:$H},2,0), or(and(not(isblank($B160)),$B160=$B159,$A160&lt;&gt;$A159),and(not(isblank($A160)),$A160=$A159,$B160&lt;&gt;$B159)),"ID LISTS UNALIGNED",and($A160&lt;&gt;"",countif('3) Release_Label'!$D:$D,$A160)=0),"NO UPC MATCH in Release_Label",and($B160&lt;&gt;"",countif('3) Release_Label'!$E:$E,$B160)=0),"NO CATALOG ID MATCH in Release_Label",iserror(vlookup($A160&amp;$B160,'3) Release_Label'!$D:$D&amp;'3) Release_Label'!$E:$E,1,0)),"NO UPC-CATALOG ID pair MATCH in Release_Label" )</f>
        <v/>
      </c>
      <c r="E160" s="8" t="s">
        <v>51</v>
      </c>
      <c r="F160" s="8" t="s">
        <v>326</v>
      </c>
      <c r="G160" s="123" t="str">
        <f t="array" ref="G160">ifs(or($F160="",$F160="Main Primary Artist"),$F160,not(iserror(vlookup($F160,'Reference info'!$J$5:$J$8,1,0))),"Key Artist",not(iserror(vlookup($F160,'Reference info'!$J$38:$J$405,1,0))),"Performer",not(iserror(vlookup($F160,'Reference info'!$J$10:$J$36,1,0))),"Producer &amp; Engineer")</f>
        <v>Producer &amp; Engineer</v>
      </c>
    </row>
    <row r="161">
      <c r="A161" s="8">
        <v>9.995964330187E12</v>
      </c>
      <c r="B161" s="103"/>
      <c r="C161" s="8" t="s">
        <v>185</v>
      </c>
      <c r="D161" s="121" t="str">
        <f t="array" ref="D161">ifs(and(isblank($A161),isblank($B161)),"", not(iserror(vlookup($A161&amp;$B161,'3) Release_Label'!$D:$D&amp;'3) Release_Label'!$E:$E,1,0))),vlookup($A161&amp;$B161,{'3) Release_Label'!$D:$D&amp;'3) Release_Label'!$E:$E,'3) Release_Label'!$H:$H},2,0), or(and(not(isblank($B161)),$B161=$B160,$A161&lt;&gt;$A160),and(not(isblank($A161)),$A161=$A160,$B161&lt;&gt;$B160)),"ID LISTS UNALIGNED",and($A161&lt;&gt;"",countif('3) Release_Label'!$D:$D,$A161)=0),"NO UPC MATCH in Release_Label",and($B161&lt;&gt;"",countif('3) Release_Label'!$E:$E,$B161)=0),"NO CATALOG ID MATCH in Release_Label",iserror(vlookup($A161&amp;$B161,'3) Release_Label'!$D:$D&amp;'3) Release_Label'!$E:$E,1,0)),"NO UPC-CATALOG ID pair MATCH in Release_Label" )</f>
        <v/>
      </c>
      <c r="E161" s="8" t="s">
        <v>47</v>
      </c>
      <c r="F161" s="8" t="s">
        <v>326</v>
      </c>
      <c r="G161" s="123" t="str">
        <f t="array" ref="G161">ifs(or($F161="",$F161="Main Primary Artist"),$F161,not(iserror(vlookup($F161,'Reference info'!$J$5:$J$8,1,0))),"Key Artist",not(iserror(vlookup($F161,'Reference info'!$J$38:$J$405,1,0))),"Performer",not(iserror(vlookup($F161,'Reference info'!$J$10:$J$36,1,0))),"Producer &amp; Engineer")</f>
        <v>Producer &amp; Engineer</v>
      </c>
    </row>
    <row r="162">
      <c r="A162" s="8">
        <v>9.995964330446E12</v>
      </c>
      <c r="B162" s="103"/>
      <c r="C162" s="8" t="s">
        <v>187</v>
      </c>
      <c r="D162" s="121" t="str">
        <f t="array" ref="D162">ifs(and(isblank($A162),isblank($B162)),"", not(iserror(vlookup($A162&amp;$B162,'3) Release_Label'!$D:$D&amp;'3) Release_Label'!$E:$E,1,0))),vlookup($A162&amp;$B162,{'3) Release_Label'!$D:$D&amp;'3) Release_Label'!$E:$E,'3) Release_Label'!$H:$H},2,0), or(and(not(isblank($B162)),$B162=$B161,$A162&lt;&gt;$A161),and(not(isblank($A162)),$A162=$A161,$B162&lt;&gt;$B161)),"ID LISTS UNALIGNED",and($A162&lt;&gt;"",countif('3) Release_Label'!$D:$D,$A162)=0),"NO UPC MATCH in Release_Label",and($B162&lt;&gt;"",countif('3) Release_Label'!$E:$E,$B162)=0),"NO CATALOG ID MATCH in Release_Label",iserror(vlookup($A162&amp;$B162,'3) Release_Label'!$D:$D&amp;'3) Release_Label'!$E:$E,1,0)),"NO UPC-CATALOG ID pair MATCH in Release_Label" )</f>
        <v/>
      </c>
      <c r="E162" s="8" t="s">
        <v>51</v>
      </c>
      <c r="F162" s="8" t="s">
        <v>326</v>
      </c>
      <c r="G162" s="123" t="str">
        <f t="array" ref="G162">ifs(or($F162="",$F162="Main Primary Artist"),$F162,not(iserror(vlookup($F162,'Reference info'!$J$5:$J$8,1,0))),"Key Artist",not(iserror(vlookup($F162,'Reference info'!$J$38:$J$405,1,0))),"Performer",not(iserror(vlookup($F162,'Reference info'!$J$10:$J$36,1,0))),"Producer &amp; Engineer")</f>
        <v>Producer &amp; Engineer</v>
      </c>
    </row>
    <row r="163">
      <c r="A163" s="8">
        <v>9.995964357078E12</v>
      </c>
      <c r="B163" s="103"/>
      <c r="C163" s="8" t="s">
        <v>189</v>
      </c>
      <c r="D163" s="121" t="str">
        <f t="array" ref="D163">ifs(and(isblank($A163),isblank($B163)),"", not(iserror(vlookup($A163&amp;$B163,'3) Release_Label'!$D:$D&amp;'3) Release_Label'!$E:$E,1,0))),vlookup($A163&amp;$B163,{'3) Release_Label'!$D:$D&amp;'3) Release_Label'!$E:$E,'3) Release_Label'!$H:$H},2,0), or(and(not(isblank($B163)),$B163=$B162,$A163&lt;&gt;$A162),and(not(isblank($A163)),$A163=$A162,$B163&lt;&gt;$B162)),"ID LISTS UNALIGNED",and($A163&lt;&gt;"",countif('3) Release_Label'!$D:$D,$A163)=0),"NO UPC MATCH in Release_Label",and($B163&lt;&gt;"",countif('3) Release_Label'!$E:$E,$B163)=0),"NO CATALOG ID MATCH in Release_Label",iserror(vlookup($A163&amp;$B163,'3) Release_Label'!$D:$D&amp;'3) Release_Label'!$E:$E,1,0)),"NO UPC-CATALOG ID pair MATCH in Release_Label" )</f>
        <v/>
      </c>
      <c r="E163" s="8" t="s">
        <v>61</v>
      </c>
      <c r="F163" s="8" t="s">
        <v>326</v>
      </c>
      <c r="G163" s="123" t="str">
        <f t="array" ref="G163">ifs(or($F163="",$F163="Main Primary Artist"),$F163,not(iserror(vlookup($F163,'Reference info'!$J$5:$J$8,1,0))),"Key Artist",not(iserror(vlookup($F163,'Reference info'!$J$38:$J$405,1,0))),"Performer",not(iserror(vlookup($F163,'Reference info'!$J$10:$J$36,1,0))),"Producer &amp; Engineer")</f>
        <v>Producer &amp; Engineer</v>
      </c>
    </row>
    <row r="164">
      <c r="A164" s="8">
        <v>9.995964357016E12</v>
      </c>
      <c r="B164" s="103"/>
      <c r="C164" s="8" t="s">
        <v>191</v>
      </c>
      <c r="D164" s="121" t="str">
        <f t="array" ref="D164">ifs(and(isblank($A164),isblank($B164)),"", not(iserror(vlookup($A164&amp;$B164,'3) Release_Label'!$D:$D&amp;'3) Release_Label'!$E:$E,1,0))),vlookup($A164&amp;$B164,{'3) Release_Label'!$D:$D&amp;'3) Release_Label'!$E:$E,'3) Release_Label'!$H:$H},2,0), or(and(not(isblank($B164)),$B164=$B163,$A164&lt;&gt;$A163),and(not(isblank($A164)),$A164=$A163,$B164&lt;&gt;$B163)),"ID LISTS UNALIGNED",and($A164&lt;&gt;"",countif('3) Release_Label'!$D:$D,$A164)=0),"NO UPC MATCH in Release_Label",and($B164&lt;&gt;"",countif('3) Release_Label'!$E:$E,$B164)=0),"NO CATALOG ID MATCH in Release_Label",iserror(vlookup($A164&amp;$B164,'3) Release_Label'!$D:$D&amp;'3) Release_Label'!$E:$E,1,0)),"NO UPC-CATALOG ID pair MATCH in Release_Label" )</f>
        <v/>
      </c>
      <c r="E164" s="8" t="s">
        <v>51</v>
      </c>
      <c r="F164" s="8" t="s">
        <v>326</v>
      </c>
      <c r="G164" s="123" t="str">
        <f t="array" ref="G164">ifs(or($F164="",$F164="Main Primary Artist"),$F164,not(iserror(vlookup($F164,'Reference info'!$J$5:$J$8,1,0))),"Key Artist",not(iserror(vlookup($F164,'Reference info'!$J$38:$J$405,1,0))),"Performer",not(iserror(vlookup($F164,'Reference info'!$J$10:$J$36,1,0))),"Producer &amp; Engineer")</f>
        <v>Producer &amp; Engineer</v>
      </c>
    </row>
    <row r="165">
      <c r="A165" s="8">
        <v>9.995964332198E12</v>
      </c>
      <c r="B165" s="103"/>
      <c r="C165" s="8" t="s">
        <v>193</v>
      </c>
      <c r="D165" s="121" t="str">
        <f t="array" ref="D165">ifs(and(isblank($A165),isblank($B165)),"", not(iserror(vlookup($A165&amp;$B165,'3) Release_Label'!$D:$D&amp;'3) Release_Label'!$E:$E,1,0))),vlookup($A165&amp;$B165,{'3) Release_Label'!$D:$D&amp;'3) Release_Label'!$E:$E,'3) Release_Label'!$H:$H},2,0), or(and(not(isblank($B165)),$B165=$B164,$A165&lt;&gt;$A164),and(not(isblank($A165)),$A165=$A164,$B165&lt;&gt;$B164)),"ID LISTS UNALIGNED",and($A165&lt;&gt;"",countif('3) Release_Label'!$D:$D,$A165)=0),"NO UPC MATCH in Release_Label",and($B165&lt;&gt;"",countif('3) Release_Label'!$E:$E,$B165)=0),"NO CATALOG ID MATCH in Release_Label",iserror(vlookup($A165&amp;$B165,'3) Release_Label'!$D:$D&amp;'3) Release_Label'!$E:$E,1,0)),"NO UPC-CATALOG ID pair MATCH in Release_Label" )</f>
        <v/>
      </c>
      <c r="E165" s="8" t="s">
        <v>47</v>
      </c>
      <c r="F165" s="8" t="s">
        <v>326</v>
      </c>
      <c r="G165" s="123" t="str">
        <f t="array" ref="G165">ifs(or($F165="",$F165="Main Primary Artist"),$F165,not(iserror(vlookup($F165,'Reference info'!$J$5:$J$8,1,0))),"Key Artist",not(iserror(vlookup($F165,'Reference info'!$J$38:$J$405,1,0))),"Performer",not(iserror(vlookup($F165,'Reference info'!$J$10:$J$36,1,0))),"Producer &amp; Engineer")</f>
        <v>Producer &amp; Engineer</v>
      </c>
    </row>
    <row r="166">
      <c r="A166" s="8">
        <v>9.99596432171E12</v>
      </c>
      <c r="B166" s="120"/>
      <c r="C166" s="8" t="s">
        <v>195</v>
      </c>
      <c r="D166" s="121" t="str">
        <f t="array" ref="D166">ifs(and(isblank($A166),isblank($B166)),"", not(iserror(vlookup($A166&amp;$B166,'3) Release_Label'!$D:$D&amp;'3) Release_Label'!$E:$E,1,0))),vlookup($A166&amp;$B166,{'3) Release_Label'!$D:$D&amp;'3) Release_Label'!$E:$E,'3) Release_Label'!$H:$H},2,0), or(and(not(isblank($B166)),$B166=$B165,$A166&lt;&gt;$A165),and(not(isblank($A166)),$A166=$A165,$B166&lt;&gt;$B165)),"ID LISTS UNALIGNED",and($A166&lt;&gt;"",countif('3) Release_Label'!$D:$D,$A166)=0),"NO UPC MATCH in Release_Label",and($B166&lt;&gt;"",countif('3) Release_Label'!$E:$E,$B166)=0),"NO CATALOG ID MATCH in Release_Label",iserror(vlookup($A166&amp;$B166,'3) Release_Label'!$D:$D&amp;'3) Release_Label'!$E:$E,1,0)),"NO UPC-CATALOG ID pair MATCH in Release_Label" )</f>
        <v/>
      </c>
      <c r="E166" s="8" t="s">
        <v>47</v>
      </c>
      <c r="F166" s="8" t="s">
        <v>326</v>
      </c>
      <c r="G166" s="123" t="str">
        <f t="array" ref="G166">ifs(or($F166="",$F166="Main Primary Artist"),$F166,not(iserror(vlookup($F166,'Reference info'!$J$5:$J$8,1,0))),"Key Artist",not(iserror(vlookup($F166,'Reference info'!$J$38:$J$405,1,0))),"Performer",not(iserror(vlookup($F166,'Reference info'!$J$10:$J$36,1,0))),"Producer &amp; Engineer")</f>
        <v>Producer &amp; Engineer</v>
      </c>
    </row>
    <row r="167">
      <c r="A167" s="8">
        <v>9.995964330514E12</v>
      </c>
      <c r="B167" s="103"/>
      <c r="C167" s="8" t="s">
        <v>197</v>
      </c>
      <c r="D167" s="121" t="str">
        <f t="array" ref="D167">ifs(and(isblank($A167),isblank($B167)),"", not(iserror(vlookup($A167&amp;$B167,'3) Release_Label'!$D:$D&amp;'3) Release_Label'!$E:$E,1,0))),vlookup($A167&amp;$B167,{'3) Release_Label'!$D:$D&amp;'3) Release_Label'!$E:$E,'3) Release_Label'!$H:$H},2,0), or(and(not(isblank($B167)),$B167=$B166,$A167&lt;&gt;$A166),and(not(isblank($A167)),$A167=$A166,$B167&lt;&gt;$B166)),"ID LISTS UNALIGNED",and($A167&lt;&gt;"",countif('3) Release_Label'!$D:$D,$A167)=0),"NO UPC MATCH in Release_Label",and($B167&lt;&gt;"",countif('3) Release_Label'!$E:$E,$B167)=0),"NO CATALOG ID MATCH in Release_Label",iserror(vlookup($A167&amp;$B167,'3) Release_Label'!$D:$D&amp;'3) Release_Label'!$E:$E,1,0)),"NO UPC-CATALOG ID pair MATCH in Release_Label" )</f>
        <v/>
      </c>
      <c r="E167" s="8" t="s">
        <v>51</v>
      </c>
      <c r="F167" s="8" t="s">
        <v>326</v>
      </c>
      <c r="G167" s="123" t="str">
        <f t="array" ref="G167">ifs(or($F167="",$F167="Main Primary Artist"),$F167,not(iserror(vlookup($F167,'Reference info'!$J$5:$J$8,1,0))),"Key Artist",not(iserror(vlookup($F167,'Reference info'!$J$38:$J$405,1,0))),"Performer",not(iserror(vlookup($F167,'Reference info'!$J$10:$J$36,1,0))),"Producer &amp; Engineer")</f>
        <v>Producer &amp; Engineer</v>
      </c>
    </row>
    <row r="168">
      <c r="A168" s="8">
        <v>9.995964330576E12</v>
      </c>
      <c r="B168" s="103"/>
      <c r="C168" s="8" t="s">
        <v>199</v>
      </c>
      <c r="D168" s="121" t="str">
        <f t="array" ref="D168">ifs(and(isblank($A168),isblank($B168)),"", not(iserror(vlookup($A168&amp;$B168,'3) Release_Label'!$D:$D&amp;'3) Release_Label'!$E:$E,1,0))),vlookup($A168&amp;$B168,{'3) Release_Label'!$D:$D&amp;'3) Release_Label'!$E:$E,'3) Release_Label'!$H:$H},2,0), or(and(not(isblank($B168)),$B168=$B167,$A168&lt;&gt;$A167),and(not(isblank($A168)),$A168=$A167,$B168&lt;&gt;$B167)),"ID LISTS UNALIGNED",and($A168&lt;&gt;"",countif('3) Release_Label'!$D:$D,$A168)=0),"NO UPC MATCH in Release_Label",and($B168&lt;&gt;"",countif('3) Release_Label'!$E:$E,$B168)=0),"NO CATALOG ID MATCH in Release_Label",iserror(vlookup($A168&amp;$B168,'3) Release_Label'!$D:$D&amp;'3) Release_Label'!$E:$E,1,0)),"NO UPC-CATALOG ID pair MATCH in Release_Label" )</f>
        <v/>
      </c>
      <c r="E168" s="8" t="s">
        <v>51</v>
      </c>
      <c r="F168" s="8" t="s">
        <v>326</v>
      </c>
      <c r="G168" s="123" t="str">
        <f t="array" ref="G168">ifs(or($F168="",$F168="Main Primary Artist"),$F168,not(iserror(vlookup($F168,'Reference info'!$J$5:$J$8,1,0))),"Key Artist",not(iserror(vlookup($F168,'Reference info'!$J$38:$J$405,1,0))),"Performer",not(iserror(vlookup($F168,'Reference info'!$J$10:$J$36,1,0))),"Producer &amp; Engineer")</f>
        <v>Producer &amp; Engineer</v>
      </c>
    </row>
    <row r="169">
      <c r="A169" s="8">
        <v>9.99596432113E12</v>
      </c>
      <c r="B169" s="103"/>
      <c r="C169" s="8" t="s">
        <v>201</v>
      </c>
      <c r="D169" s="121" t="str">
        <f t="array" ref="D169">ifs(and(isblank($A169),isblank($B169)),"", not(iserror(vlookup($A169&amp;$B169,'3) Release_Label'!$D:$D&amp;'3) Release_Label'!$E:$E,1,0))),vlookup($A169&amp;$B169,{'3) Release_Label'!$D:$D&amp;'3) Release_Label'!$E:$E,'3) Release_Label'!$H:$H},2,0), or(and(not(isblank($B169)),$B169=$B168,$A169&lt;&gt;$A168),and(not(isblank($A169)),$A169=$A168,$B169&lt;&gt;$B168)),"ID LISTS UNALIGNED",and($A169&lt;&gt;"",countif('3) Release_Label'!$D:$D,$A169)=0),"NO UPC MATCH in Release_Label",and($B169&lt;&gt;"",countif('3) Release_Label'!$E:$E,$B169)=0),"NO CATALOG ID MATCH in Release_Label",iserror(vlookup($A169&amp;$B169,'3) Release_Label'!$D:$D&amp;'3) Release_Label'!$E:$E,1,0)),"NO UPC-CATALOG ID pair MATCH in Release_Label" )</f>
        <v/>
      </c>
      <c r="E169" s="8" t="s">
        <v>51</v>
      </c>
      <c r="F169" s="8" t="s">
        <v>326</v>
      </c>
      <c r="G169" s="123" t="str">
        <f t="array" ref="G169">ifs(or($F169="",$F169="Main Primary Artist"),$F169,not(iserror(vlookup($F169,'Reference info'!$J$5:$J$8,1,0))),"Key Artist",not(iserror(vlookup($F169,'Reference info'!$J$38:$J$405,1,0))),"Performer",not(iserror(vlookup($F169,'Reference info'!$J$10:$J$36,1,0))),"Producer &amp; Engineer")</f>
        <v>Producer &amp; Engineer</v>
      </c>
    </row>
    <row r="170">
      <c r="A170" s="8">
        <v>9.995964321208E12</v>
      </c>
      <c r="B170" s="103"/>
      <c r="C170" s="8" t="s">
        <v>203</v>
      </c>
      <c r="D170" s="121" t="str">
        <f t="array" ref="D170">ifs(and(isblank($A170),isblank($B170)),"", not(iserror(vlookup($A170&amp;$B170,'3) Release_Label'!$D:$D&amp;'3) Release_Label'!$E:$E,1,0))),vlookup($A170&amp;$B170,{'3) Release_Label'!$D:$D&amp;'3) Release_Label'!$E:$E,'3) Release_Label'!$H:$H},2,0), or(and(not(isblank($B170)),$B170=$B169,$A170&lt;&gt;$A169),and(not(isblank($A170)),$A170=$A169,$B170&lt;&gt;$B169)),"ID LISTS UNALIGNED",and($A170&lt;&gt;"",countif('3) Release_Label'!$D:$D,$A170)=0),"NO UPC MATCH in Release_Label",and($B170&lt;&gt;"",countif('3) Release_Label'!$E:$E,$B170)=0),"NO CATALOG ID MATCH in Release_Label",iserror(vlookup($A170&amp;$B170,'3) Release_Label'!$D:$D&amp;'3) Release_Label'!$E:$E,1,0)),"NO UPC-CATALOG ID pair MATCH in Release_Label" )</f>
        <v/>
      </c>
      <c r="E170" s="8" t="s">
        <v>51</v>
      </c>
      <c r="F170" s="8" t="s">
        <v>326</v>
      </c>
      <c r="G170" s="123" t="str">
        <f t="array" ref="G170">ifs(or($F170="",$F170="Main Primary Artist"),$F170,not(iserror(vlookup($F170,'Reference info'!$J$5:$J$8,1,0))),"Key Artist",not(iserror(vlookup($F170,'Reference info'!$J$38:$J$405,1,0))),"Performer",not(iserror(vlookup($F170,'Reference info'!$J$10:$J$36,1,0))),"Producer &amp; Engineer")</f>
        <v>Producer &amp; Engineer</v>
      </c>
    </row>
    <row r="171">
      <c r="A171" s="8">
        <v>9.99596435716E12</v>
      </c>
      <c r="B171" s="103"/>
      <c r="C171" s="8" t="s">
        <v>205</v>
      </c>
      <c r="D171" s="121" t="str">
        <f t="array" ref="D171">ifs(and(isblank($A171),isblank($B171)),"", not(iserror(vlookup($A171&amp;$B171,'3) Release_Label'!$D:$D&amp;'3) Release_Label'!$E:$E,1,0))),vlookup($A171&amp;$B171,{'3) Release_Label'!$D:$D&amp;'3) Release_Label'!$E:$E,'3) Release_Label'!$H:$H},2,0), or(and(not(isblank($B171)),$B171=$B170,$A171&lt;&gt;$A170),and(not(isblank($A171)),$A171=$A170,$B171&lt;&gt;$B170)),"ID LISTS UNALIGNED",and($A171&lt;&gt;"",countif('3) Release_Label'!$D:$D,$A171)=0),"NO UPC MATCH in Release_Label",and($B171&lt;&gt;"",countif('3) Release_Label'!$E:$E,$B171)=0),"NO CATALOG ID MATCH in Release_Label",iserror(vlookup($A171&amp;$B171,'3) Release_Label'!$D:$D&amp;'3) Release_Label'!$E:$E,1,0)),"NO UPC-CATALOG ID pair MATCH in Release_Label" )</f>
        <v/>
      </c>
      <c r="E171" s="8" t="s">
        <v>73</v>
      </c>
      <c r="F171" s="8" t="s">
        <v>326</v>
      </c>
      <c r="G171" s="123" t="str">
        <f t="array" ref="G171">ifs(or($F171="",$F171="Main Primary Artist"),$F171,not(iserror(vlookup($F171,'Reference info'!$J$5:$J$8,1,0))),"Key Artist",not(iserror(vlookup($F171,'Reference info'!$J$38:$J$405,1,0))),"Performer",not(iserror(vlookup($F171,'Reference info'!$J$10:$J$36,1,0))),"Producer &amp; Engineer")</f>
        <v>Producer &amp; Engineer</v>
      </c>
    </row>
    <row r="172">
      <c r="A172" s="8">
        <v>9.995964356552E12</v>
      </c>
      <c r="B172" s="103"/>
      <c r="C172" s="8" t="s">
        <v>207</v>
      </c>
      <c r="D172" s="121" t="str">
        <f t="array" ref="D172">ifs(and(isblank($A172),isblank($B172)),"", not(iserror(vlookup($A172&amp;$B172,'3) Release_Label'!$D:$D&amp;'3) Release_Label'!$E:$E,1,0))),vlookup($A172&amp;$B172,{'3) Release_Label'!$D:$D&amp;'3) Release_Label'!$E:$E,'3) Release_Label'!$H:$H},2,0), or(and(not(isblank($B172)),$B172=$B171,$A172&lt;&gt;$A171),and(not(isblank($A172)),$A172=$A171,$B172&lt;&gt;$B171)),"ID LISTS UNALIGNED",and($A172&lt;&gt;"",countif('3) Release_Label'!$D:$D,$A172)=0),"NO UPC MATCH in Release_Label",and($B172&lt;&gt;"",countif('3) Release_Label'!$E:$E,$B172)=0),"NO CATALOG ID MATCH in Release_Label",iserror(vlookup($A172&amp;$B172,'3) Release_Label'!$D:$D&amp;'3) Release_Label'!$E:$E,1,0)),"NO UPC-CATALOG ID pair MATCH in Release_Label" )</f>
        <v/>
      </c>
      <c r="E172" s="8" t="s">
        <v>51</v>
      </c>
      <c r="F172" s="8" t="s">
        <v>326</v>
      </c>
      <c r="G172" s="123" t="str">
        <f t="array" ref="G172">ifs(or($F172="",$F172="Main Primary Artist"),$F172,not(iserror(vlookup($F172,'Reference info'!$J$5:$J$8,1,0))),"Key Artist",not(iserror(vlookup($F172,'Reference info'!$J$38:$J$405,1,0))),"Performer",not(iserror(vlookup($F172,'Reference info'!$J$10:$J$36,1,0))),"Producer &amp; Engineer")</f>
        <v>Producer &amp; Engineer</v>
      </c>
    </row>
    <row r="173">
      <c r="A173" s="8">
        <v>9.995964321284E12</v>
      </c>
      <c r="B173" s="103"/>
      <c r="C173" s="8" t="s">
        <v>209</v>
      </c>
      <c r="D173" s="121" t="str">
        <f t="array" ref="D173">ifs(and(isblank($A173),isblank($B173)),"", not(iserror(vlookup($A173&amp;$B173,'3) Release_Label'!$D:$D&amp;'3) Release_Label'!$E:$E,1,0))),vlookup($A173&amp;$B173,{'3) Release_Label'!$D:$D&amp;'3) Release_Label'!$E:$E,'3) Release_Label'!$H:$H},2,0), or(and(not(isblank($B173)),$B173=$B172,$A173&lt;&gt;$A172),and(not(isblank($A173)),$A173=$A172,$B173&lt;&gt;$B172)),"ID LISTS UNALIGNED",and($A173&lt;&gt;"",countif('3) Release_Label'!$D:$D,$A173)=0),"NO UPC MATCH in Release_Label",and($B173&lt;&gt;"",countif('3) Release_Label'!$E:$E,$B173)=0),"NO CATALOG ID MATCH in Release_Label",iserror(vlookup($A173&amp;$B173,'3) Release_Label'!$D:$D&amp;'3) Release_Label'!$E:$E,1,0)),"NO UPC-CATALOG ID pair MATCH in Release_Label" )</f>
        <v/>
      </c>
      <c r="E173" s="8" t="s">
        <v>51</v>
      </c>
      <c r="F173" s="8" t="s">
        <v>326</v>
      </c>
      <c r="G173" s="123" t="str">
        <f t="array" ref="G173">ifs(or($F173="",$F173="Main Primary Artist"),$F173,not(iserror(vlookup($F173,'Reference info'!$J$5:$J$8,1,0))),"Key Artist",not(iserror(vlookup($F173,'Reference info'!$J$38:$J$405,1,0))),"Performer",not(iserror(vlookup($F173,'Reference info'!$J$10:$J$36,1,0))),"Producer &amp; Engineer")</f>
        <v>Producer &amp; Engineer</v>
      </c>
    </row>
    <row r="174">
      <c r="A174" s="8">
        <v>9.995964320096E12</v>
      </c>
      <c r="B174" s="103"/>
      <c r="C174" s="8" t="s">
        <v>211</v>
      </c>
      <c r="D174" s="121" t="str">
        <f t="array" ref="D174">ifs(and(isblank($A174),isblank($B174)),"", not(iserror(vlookup($A174&amp;$B174,'3) Release_Label'!$D:$D&amp;'3) Release_Label'!$E:$E,1,0))),vlookup($A174&amp;$B174,{'3) Release_Label'!$D:$D&amp;'3) Release_Label'!$E:$E,'3) Release_Label'!$H:$H},2,0), or(and(not(isblank($B174)),$B174=$B173,$A174&lt;&gt;$A173),and(not(isblank($A174)),$A174=$A173,$B174&lt;&gt;$B173)),"ID LISTS UNALIGNED",and($A174&lt;&gt;"",countif('3) Release_Label'!$D:$D,$A174)=0),"NO UPC MATCH in Release_Label",and($B174&lt;&gt;"",countif('3) Release_Label'!$E:$E,$B174)=0),"NO CATALOG ID MATCH in Release_Label",iserror(vlookup($A174&amp;$B174,'3) Release_Label'!$D:$D&amp;'3) Release_Label'!$E:$E,1,0)),"NO UPC-CATALOG ID pair MATCH in Release_Label" )</f>
        <v/>
      </c>
      <c r="E174" s="8" t="s">
        <v>51</v>
      </c>
      <c r="F174" s="8" t="s">
        <v>326</v>
      </c>
      <c r="G174" s="123" t="str">
        <f t="array" ref="G174">ifs(or($F174="",$F174="Main Primary Artist"),$F174,not(iserror(vlookup($F174,'Reference info'!$J$5:$J$8,1,0))),"Key Artist",not(iserror(vlookup($F174,'Reference info'!$J$38:$J$405,1,0))),"Performer",not(iserror(vlookup($F174,'Reference info'!$J$10:$J$36,1,0))),"Producer &amp; Engineer")</f>
        <v>Producer &amp; Engineer</v>
      </c>
    </row>
    <row r="175">
      <c r="A175" s="8">
        <v>9.995964356712E12</v>
      </c>
      <c r="B175" s="103"/>
      <c r="C175" s="8" t="s">
        <v>213</v>
      </c>
      <c r="D175" s="121" t="str">
        <f t="array" ref="D175">ifs(and(isblank($A175),isblank($B175)),"", not(iserror(vlookup($A175&amp;$B175,'3) Release_Label'!$D:$D&amp;'3) Release_Label'!$E:$E,1,0))),vlookup($A175&amp;$B175,{'3) Release_Label'!$D:$D&amp;'3) Release_Label'!$E:$E,'3) Release_Label'!$H:$H},2,0), or(and(not(isblank($B175)),$B175=$B174,$A175&lt;&gt;$A174),and(not(isblank($A175)),$A175=$A174,$B175&lt;&gt;$B174)),"ID LISTS UNALIGNED",and($A175&lt;&gt;"",countif('3) Release_Label'!$D:$D,$A175)=0),"NO UPC MATCH in Release_Label",and($B175&lt;&gt;"",countif('3) Release_Label'!$E:$E,$B175)=0),"NO CATALOG ID MATCH in Release_Label",iserror(vlookup($A175&amp;$B175,'3) Release_Label'!$D:$D&amp;'3) Release_Label'!$E:$E,1,0)),"NO UPC-CATALOG ID pair MATCH in Release_Label" )</f>
        <v/>
      </c>
      <c r="E175" s="8" t="s">
        <v>73</v>
      </c>
      <c r="F175" s="8" t="s">
        <v>326</v>
      </c>
      <c r="G175" s="123" t="str">
        <f t="array" ref="G175">ifs(or($F175="",$F175="Main Primary Artist"),$F175,not(iserror(vlookup($F175,'Reference info'!$J$5:$J$8,1,0))),"Key Artist",not(iserror(vlookup($F175,'Reference info'!$J$38:$J$405,1,0))),"Performer",not(iserror(vlookup($F175,'Reference info'!$J$10:$J$36,1,0))),"Producer &amp; Engineer")</f>
        <v>Producer &amp; Engineer</v>
      </c>
    </row>
    <row r="176">
      <c r="A176" s="8">
        <v>9.995964332129E12</v>
      </c>
      <c r="B176" s="103"/>
      <c r="C176" s="8" t="s">
        <v>215</v>
      </c>
      <c r="D176" s="121" t="str">
        <f t="array" ref="D176">ifs(and(isblank($A176),isblank($B176)),"", not(iserror(vlookup($A176&amp;$B176,'3) Release_Label'!$D:$D&amp;'3) Release_Label'!$E:$E,1,0))),vlookup($A176&amp;$B176,{'3) Release_Label'!$D:$D&amp;'3) Release_Label'!$E:$E,'3) Release_Label'!$H:$H},2,0), or(and(not(isblank($B176)),$B176=$B175,$A176&lt;&gt;$A175),and(not(isblank($A176)),$A176=$A175,$B176&lt;&gt;$B175)),"ID LISTS UNALIGNED",and($A176&lt;&gt;"",countif('3) Release_Label'!$D:$D,$A176)=0),"NO UPC MATCH in Release_Label",and($B176&lt;&gt;"",countif('3) Release_Label'!$E:$E,$B176)=0),"NO CATALOG ID MATCH in Release_Label",iserror(vlookup($A176&amp;$B176,'3) Release_Label'!$D:$D&amp;'3) Release_Label'!$E:$E,1,0)),"NO UPC-CATALOG ID pair MATCH in Release_Label" )</f>
        <v/>
      </c>
      <c r="E176" s="8" t="s">
        <v>51</v>
      </c>
      <c r="F176" s="8" t="s">
        <v>326</v>
      </c>
      <c r="G176" s="123" t="str">
        <f t="array" ref="G176">ifs(or($F176="",$F176="Main Primary Artist"),$F176,not(iserror(vlookup($F176,'Reference info'!$J$5:$J$8,1,0))),"Key Artist",not(iserror(vlookup($F176,'Reference info'!$J$38:$J$405,1,0))),"Performer",not(iserror(vlookup($F176,'Reference info'!$J$10:$J$36,1,0))),"Producer &amp; Engineer")</f>
        <v>Producer &amp; Engineer</v>
      </c>
    </row>
    <row r="177">
      <c r="A177" s="8">
        <v>9.995964320355E12</v>
      </c>
      <c r="B177" s="103"/>
      <c r="C177" s="8" t="s">
        <v>217</v>
      </c>
      <c r="D177" s="121" t="str">
        <f t="array" ref="D177">ifs(and(isblank($A177),isblank($B177)),"", not(iserror(vlookup($A177&amp;$B177,'3) Release_Label'!$D:$D&amp;'3) Release_Label'!$E:$E,1,0))),vlookup($A177&amp;$B177,{'3) Release_Label'!$D:$D&amp;'3) Release_Label'!$E:$E,'3) Release_Label'!$H:$H},2,0), or(and(not(isblank($B177)),$B177=$B176,$A177&lt;&gt;$A176),and(not(isblank($A177)),$A177=$A176,$B177&lt;&gt;$B176)),"ID LISTS UNALIGNED",and($A177&lt;&gt;"",countif('3) Release_Label'!$D:$D,$A177)=0),"NO UPC MATCH in Release_Label",and($B177&lt;&gt;"",countif('3) Release_Label'!$E:$E,$B177)=0),"NO CATALOG ID MATCH in Release_Label",iserror(vlookup($A177&amp;$B177,'3) Release_Label'!$D:$D&amp;'3) Release_Label'!$E:$E,1,0)),"NO UPC-CATALOG ID pair MATCH in Release_Label" )</f>
        <v/>
      </c>
      <c r="E177" s="8" t="s">
        <v>79</v>
      </c>
      <c r="F177" s="8" t="s">
        <v>326</v>
      </c>
      <c r="G177" s="123" t="str">
        <f t="array" ref="G177">ifs(or($F177="",$F177="Main Primary Artist"),$F177,not(iserror(vlookup($F177,'Reference info'!$J$5:$J$8,1,0))),"Key Artist",not(iserror(vlookup($F177,'Reference info'!$J$38:$J$405,1,0))),"Performer",not(iserror(vlookup($F177,'Reference info'!$J$10:$J$36,1,0))),"Producer &amp; Engineer")</f>
        <v>Producer &amp; Engineer</v>
      </c>
    </row>
    <row r="178">
      <c r="A178" s="8">
        <v>9.99596433132E12</v>
      </c>
      <c r="B178" s="103"/>
      <c r="C178" s="8" t="s">
        <v>219</v>
      </c>
      <c r="D178" s="121" t="str">
        <f t="array" ref="D178">ifs(and(isblank($A178),isblank($B178)),"", not(iserror(vlookup($A178&amp;$B178,'3) Release_Label'!$D:$D&amp;'3) Release_Label'!$E:$E,1,0))),vlookup($A178&amp;$B178,{'3) Release_Label'!$D:$D&amp;'3) Release_Label'!$E:$E,'3) Release_Label'!$H:$H},2,0), or(and(not(isblank($B178)),$B178=$B177,$A178&lt;&gt;$A177),and(not(isblank($A178)),$A178=$A177,$B178&lt;&gt;$B177)),"ID LISTS UNALIGNED",and($A178&lt;&gt;"",countif('3) Release_Label'!$D:$D,$A178)=0),"NO UPC MATCH in Release_Label",and($B178&lt;&gt;"",countif('3) Release_Label'!$E:$E,$B178)=0),"NO CATALOG ID MATCH in Release_Label",iserror(vlookup($A178&amp;$B178,'3) Release_Label'!$D:$D&amp;'3) Release_Label'!$E:$E,1,0)),"NO UPC-CATALOG ID pair MATCH in Release_Label" )</f>
        <v/>
      </c>
      <c r="E178" s="8" t="s">
        <v>47</v>
      </c>
      <c r="F178" s="8" t="s">
        <v>326</v>
      </c>
      <c r="G178" s="123" t="str">
        <f t="array" ref="G178">ifs(or($F178="",$F178="Main Primary Artist"),$F178,not(iserror(vlookup($F178,'Reference info'!$J$5:$J$8,1,0))),"Key Artist",not(iserror(vlookup($F178,'Reference info'!$J$38:$J$405,1,0))),"Performer",not(iserror(vlookup($F178,'Reference info'!$J$10:$J$36,1,0))),"Producer &amp; Engineer")</f>
        <v>Producer &amp; Engineer</v>
      </c>
    </row>
    <row r="179">
      <c r="A179" s="8">
        <v>9.995964313159E12</v>
      </c>
      <c r="B179" s="103"/>
      <c r="C179" s="8" t="s">
        <v>221</v>
      </c>
      <c r="D179" s="121" t="str">
        <f t="array" ref="D179">ifs(and(isblank($A179),isblank($B179)),"", not(iserror(vlookup($A179&amp;$B179,'3) Release_Label'!$D:$D&amp;'3) Release_Label'!$E:$E,1,0))),vlookup($A179&amp;$B179,{'3) Release_Label'!$D:$D&amp;'3) Release_Label'!$E:$E,'3) Release_Label'!$H:$H},2,0), or(and(not(isblank($B179)),$B179=$B178,$A179&lt;&gt;$A178),and(not(isblank($A179)),$A179=$A178,$B179&lt;&gt;$B178)),"ID LISTS UNALIGNED",and($A179&lt;&gt;"",countif('3) Release_Label'!$D:$D,$A179)=0),"NO UPC MATCH in Release_Label",and($B179&lt;&gt;"",countif('3) Release_Label'!$E:$E,$B179)=0),"NO CATALOG ID MATCH in Release_Label",iserror(vlookup($A179&amp;$B179,'3) Release_Label'!$D:$D&amp;'3) Release_Label'!$E:$E,1,0)),"NO UPC-CATALOG ID pair MATCH in Release_Label" )</f>
        <v/>
      </c>
      <c r="E179" s="8" t="s">
        <v>135</v>
      </c>
      <c r="F179" s="8" t="s">
        <v>326</v>
      </c>
      <c r="G179" s="123" t="str">
        <f t="array" ref="G179">ifs(or($F179="",$F179="Main Primary Artist"),$F179,not(iserror(vlookup($F179,'Reference info'!$J$5:$J$8,1,0))),"Key Artist",not(iserror(vlookup($F179,'Reference info'!$J$38:$J$405,1,0))),"Performer",not(iserror(vlookup($F179,'Reference info'!$J$10:$J$36,1,0))),"Producer &amp; Engineer")</f>
        <v>Producer &amp; Engineer</v>
      </c>
    </row>
    <row r="180">
      <c r="A180" s="8">
        <v>9.99596433059E12</v>
      </c>
      <c r="B180" s="103"/>
      <c r="C180" s="8" t="s">
        <v>223</v>
      </c>
      <c r="D180" s="121" t="str">
        <f t="array" ref="D180">ifs(and(isblank($A180),isblank($B180)),"", not(iserror(vlookup($A180&amp;$B180,'3) Release_Label'!$D:$D&amp;'3) Release_Label'!$E:$E,1,0))),vlookup($A180&amp;$B180,{'3) Release_Label'!$D:$D&amp;'3) Release_Label'!$E:$E,'3) Release_Label'!$H:$H},2,0), or(and(not(isblank($B180)),$B180=$B179,$A180&lt;&gt;$A179),and(not(isblank($A180)),$A180=$A179,$B180&lt;&gt;$B179)),"ID LISTS UNALIGNED",and($A180&lt;&gt;"",countif('3) Release_Label'!$D:$D,$A180)=0),"NO UPC MATCH in Release_Label",and($B180&lt;&gt;"",countif('3) Release_Label'!$E:$E,$B180)=0),"NO CATALOG ID MATCH in Release_Label",iserror(vlookup($A180&amp;$B180,'3) Release_Label'!$D:$D&amp;'3) Release_Label'!$E:$E,1,0)),"NO UPC-CATALOG ID pair MATCH in Release_Label" )</f>
        <v/>
      </c>
      <c r="E180" s="8" t="s">
        <v>51</v>
      </c>
      <c r="F180" s="8" t="s">
        <v>326</v>
      </c>
      <c r="G180" s="123" t="str">
        <f t="array" ref="G180">ifs(or($F180="",$F180="Main Primary Artist"),$F180,not(iserror(vlookup($F180,'Reference info'!$J$5:$J$8,1,0))),"Key Artist",not(iserror(vlookup($F180,'Reference info'!$J$38:$J$405,1,0))),"Performer",not(iserror(vlookup($F180,'Reference info'!$J$10:$J$36,1,0))),"Producer &amp; Engineer")</f>
        <v>Producer &amp; Engineer</v>
      </c>
    </row>
    <row r="181">
      <c r="A181" s="8">
        <v>9.995964356668E12</v>
      </c>
      <c r="B181" s="103"/>
      <c r="C181" s="8" t="s">
        <v>225</v>
      </c>
      <c r="D181" s="121" t="str">
        <f t="array" ref="D181">ifs(and(isblank($A181),isblank($B181)),"", not(iserror(vlookup($A181&amp;$B181,'3) Release_Label'!$D:$D&amp;'3) Release_Label'!$E:$E,1,0))),vlookup($A181&amp;$B181,{'3) Release_Label'!$D:$D&amp;'3) Release_Label'!$E:$E,'3) Release_Label'!$H:$H},2,0), or(and(not(isblank($B181)),$B181=$B180,$A181&lt;&gt;$A180),and(not(isblank($A181)),$A181=$A180,$B181&lt;&gt;$B180)),"ID LISTS UNALIGNED",and($A181&lt;&gt;"",countif('3) Release_Label'!$D:$D,$A181)=0),"NO UPC MATCH in Release_Label",and($B181&lt;&gt;"",countif('3) Release_Label'!$E:$E,$B181)=0),"NO CATALOG ID MATCH in Release_Label",iserror(vlookup($A181&amp;$B181,'3) Release_Label'!$D:$D&amp;'3) Release_Label'!$E:$E,1,0)),"NO UPC-CATALOG ID pair MATCH in Release_Label" )</f>
        <v/>
      </c>
      <c r="E181" s="8" t="s">
        <v>51</v>
      </c>
      <c r="F181" s="8" t="s">
        <v>326</v>
      </c>
      <c r="G181" s="123" t="str">
        <f t="array" ref="G181">ifs(or($F181="",$F181="Main Primary Artist"),$F181,not(iserror(vlookup($F181,'Reference info'!$J$5:$J$8,1,0))),"Key Artist",not(iserror(vlookup($F181,'Reference info'!$J$38:$J$405,1,0))),"Performer",not(iserror(vlookup($F181,'Reference info'!$J$10:$J$36,1,0))),"Producer &amp; Engineer")</f>
        <v>Producer &amp; Engineer</v>
      </c>
    </row>
    <row r="182">
      <c r="A182" s="8">
        <v>9.995964356774E12</v>
      </c>
      <c r="B182" s="103"/>
      <c r="C182" s="8" t="s">
        <v>227</v>
      </c>
      <c r="D182" s="121" t="str">
        <f t="array" ref="D182">ifs(and(isblank($A182),isblank($B182)),"", not(iserror(vlookup($A182&amp;$B182,'3) Release_Label'!$D:$D&amp;'3) Release_Label'!$E:$E,1,0))),vlookup($A182&amp;$B182,{'3) Release_Label'!$D:$D&amp;'3) Release_Label'!$E:$E,'3) Release_Label'!$H:$H},2,0), or(and(not(isblank($B182)),$B182=$B181,$A182&lt;&gt;$A181),and(not(isblank($A182)),$A182=$A181,$B182&lt;&gt;$B181)),"ID LISTS UNALIGNED",and($A182&lt;&gt;"",countif('3) Release_Label'!$D:$D,$A182)=0),"NO UPC MATCH in Release_Label",and($B182&lt;&gt;"",countif('3) Release_Label'!$E:$E,$B182)=0),"NO CATALOG ID MATCH in Release_Label",iserror(vlookup($A182&amp;$B182,'3) Release_Label'!$D:$D&amp;'3) Release_Label'!$E:$E,1,0)),"NO UPC-CATALOG ID pair MATCH in Release_Label" )</f>
        <v/>
      </c>
      <c r="E182" s="8" t="s">
        <v>73</v>
      </c>
      <c r="F182" s="8" t="s">
        <v>326</v>
      </c>
      <c r="G182" s="123" t="str">
        <f t="array" ref="G182">ifs(or($F182="",$F182="Main Primary Artist"),$F182,not(iserror(vlookup($F182,'Reference info'!$J$5:$J$8,1,0))),"Key Artist",not(iserror(vlookup($F182,'Reference info'!$J$38:$J$405,1,0))),"Performer",not(iserror(vlookup($F182,'Reference info'!$J$10:$J$36,1,0))),"Producer &amp; Engineer")</f>
        <v>Producer &amp; Engineer</v>
      </c>
    </row>
    <row r="183">
      <c r="A183" s="8">
        <v>9.995964321383E12</v>
      </c>
      <c r="B183" s="103"/>
      <c r="C183" s="8" t="s">
        <v>229</v>
      </c>
      <c r="D183" s="121" t="str">
        <f t="array" ref="D183">ifs(and(isblank($A183),isblank($B183)),"", not(iserror(vlookup($A183&amp;$B183,'3) Release_Label'!$D:$D&amp;'3) Release_Label'!$E:$E,1,0))),vlookup($A183&amp;$B183,{'3) Release_Label'!$D:$D&amp;'3) Release_Label'!$E:$E,'3) Release_Label'!$H:$H},2,0), or(and(not(isblank($B183)),$B183=$B182,$A183&lt;&gt;$A182),and(not(isblank($A183)),$A183=$A182,$B183&lt;&gt;$B182)),"ID LISTS UNALIGNED",and($A183&lt;&gt;"",countif('3) Release_Label'!$D:$D,$A183)=0),"NO UPC MATCH in Release_Label",and($B183&lt;&gt;"",countif('3) Release_Label'!$E:$E,$B183)=0),"NO CATALOG ID MATCH in Release_Label",iserror(vlookup($A183&amp;$B183,'3) Release_Label'!$D:$D&amp;'3) Release_Label'!$E:$E,1,0)),"NO UPC-CATALOG ID pair MATCH in Release_Label" )</f>
        <v/>
      </c>
      <c r="E183" s="8" t="s">
        <v>51</v>
      </c>
      <c r="F183" s="8" t="s">
        <v>326</v>
      </c>
      <c r="G183" s="123" t="str">
        <f t="array" ref="G183">ifs(or($F183="",$F183="Main Primary Artist"),$F183,not(iserror(vlookup($F183,'Reference info'!$J$5:$J$8,1,0))),"Key Artist",not(iserror(vlookup($F183,'Reference info'!$J$38:$J$405,1,0))),"Performer",not(iserror(vlookup($F183,'Reference info'!$J$10:$J$36,1,0))),"Producer &amp; Engineer")</f>
        <v>Producer &amp; Engineer</v>
      </c>
    </row>
    <row r="184">
      <c r="A184" s="8">
        <v>9.995964332334E12</v>
      </c>
      <c r="B184" s="103"/>
      <c r="C184" s="8" t="s">
        <v>231</v>
      </c>
      <c r="D184" s="121" t="str">
        <f t="array" ref="D184">ifs(and(isblank($A184),isblank($B184)),"", not(iserror(vlookup($A184&amp;$B184,'3) Release_Label'!$D:$D&amp;'3) Release_Label'!$E:$E,1,0))),vlookup($A184&amp;$B184,{'3) Release_Label'!$D:$D&amp;'3) Release_Label'!$E:$E,'3) Release_Label'!$H:$H},2,0), or(and(not(isblank($B184)),$B184=$B183,$A184&lt;&gt;$A183),and(not(isblank($A184)),$A184=$A183,$B184&lt;&gt;$B183)),"ID LISTS UNALIGNED",and($A184&lt;&gt;"",countif('3) Release_Label'!$D:$D,$A184)=0),"NO UPC MATCH in Release_Label",and($B184&lt;&gt;"",countif('3) Release_Label'!$E:$E,$B184)=0),"NO CATALOG ID MATCH in Release_Label",iserror(vlookup($A184&amp;$B184,'3) Release_Label'!$D:$D&amp;'3) Release_Label'!$E:$E,1,0)),"NO UPC-CATALOG ID pair MATCH in Release_Label" )</f>
        <v/>
      </c>
      <c r="E184" s="8" t="s">
        <v>47</v>
      </c>
      <c r="F184" s="8" t="s">
        <v>326</v>
      </c>
      <c r="G184" s="123" t="str">
        <f t="array" ref="G184">ifs(or($F184="",$F184="Main Primary Artist"),$F184,not(iserror(vlookup($F184,'Reference info'!$J$5:$J$8,1,0))),"Key Artist",not(iserror(vlookup($F184,'Reference info'!$J$38:$J$405,1,0))),"Performer",not(iserror(vlookup($F184,'Reference info'!$J$10:$J$36,1,0))),"Producer &amp; Engineer")</f>
        <v>Producer &amp; Engineer</v>
      </c>
    </row>
    <row r="185">
      <c r="A185" s="8">
        <v>9.99596435688E12</v>
      </c>
      <c r="B185" s="103"/>
      <c r="C185" s="8" t="s">
        <v>233</v>
      </c>
      <c r="D185" s="121" t="str">
        <f t="array" ref="D185">ifs(and(isblank($A185),isblank($B185)),"", not(iserror(vlookup($A185&amp;$B185,'3) Release_Label'!$D:$D&amp;'3) Release_Label'!$E:$E,1,0))),vlookup($A185&amp;$B185,{'3) Release_Label'!$D:$D&amp;'3) Release_Label'!$E:$E,'3) Release_Label'!$H:$H},2,0), or(and(not(isblank($B185)),$B185=$B184,$A185&lt;&gt;$A184),and(not(isblank($A185)),$A185=$A184,$B185&lt;&gt;$B184)),"ID LISTS UNALIGNED",and($A185&lt;&gt;"",countif('3) Release_Label'!$D:$D,$A185)=0),"NO UPC MATCH in Release_Label",and($B185&lt;&gt;"",countif('3) Release_Label'!$E:$E,$B185)=0),"NO CATALOG ID MATCH in Release_Label",iserror(vlookup($A185&amp;$B185,'3) Release_Label'!$D:$D&amp;'3) Release_Label'!$E:$E,1,0)),"NO UPC-CATALOG ID pair MATCH in Release_Label" )</f>
        <v/>
      </c>
      <c r="E185" s="8" t="s">
        <v>73</v>
      </c>
      <c r="F185" s="8" t="s">
        <v>326</v>
      </c>
      <c r="G185" s="123" t="str">
        <f t="array" ref="G185">ifs(or($F185="",$F185="Main Primary Artist"),$F185,not(iserror(vlookup($F185,'Reference info'!$J$5:$J$8,1,0))),"Key Artist",not(iserror(vlookup($F185,'Reference info'!$J$38:$J$405,1,0))),"Performer",not(iserror(vlookup($F185,'Reference info'!$J$10:$J$36,1,0))),"Producer &amp; Engineer")</f>
        <v>Producer &amp; Engineer</v>
      </c>
    </row>
    <row r="186">
      <c r="A186" s="8">
        <v>9.995964330781E12</v>
      </c>
      <c r="B186" s="103"/>
      <c r="C186" s="8" t="s">
        <v>235</v>
      </c>
      <c r="D186" s="121" t="str">
        <f t="array" ref="D186">ifs(and(isblank($A186),isblank($B186)),"", not(iserror(vlookup($A186&amp;$B186,'3) Release_Label'!$D:$D&amp;'3) Release_Label'!$E:$E,1,0))),vlookup($A186&amp;$B186,{'3) Release_Label'!$D:$D&amp;'3) Release_Label'!$E:$E,'3) Release_Label'!$H:$H},2,0), or(and(not(isblank($B186)),$B186=$B185,$A186&lt;&gt;$A185),and(not(isblank($A186)),$A186=$A185,$B186&lt;&gt;$B185)),"ID LISTS UNALIGNED",and($A186&lt;&gt;"",countif('3) Release_Label'!$D:$D,$A186)=0),"NO UPC MATCH in Release_Label",and($B186&lt;&gt;"",countif('3) Release_Label'!$E:$E,$B186)=0),"NO CATALOG ID MATCH in Release_Label",iserror(vlookup($A186&amp;$B186,'3) Release_Label'!$D:$D&amp;'3) Release_Label'!$E:$E,1,0)),"NO UPC-CATALOG ID pair MATCH in Release_Label" )</f>
        <v/>
      </c>
      <c r="E186" s="8" t="s">
        <v>51</v>
      </c>
      <c r="F186" s="8" t="s">
        <v>326</v>
      </c>
      <c r="G186" s="123" t="str">
        <f t="array" ref="G186">ifs(or($F186="",$F186="Main Primary Artist"),$F186,not(iserror(vlookup($F186,'Reference info'!$J$5:$J$8,1,0))),"Key Artist",not(iserror(vlookup($F186,'Reference info'!$J$38:$J$405,1,0))),"Performer",not(iserror(vlookup($F186,'Reference info'!$J$10:$J$36,1,0))),"Producer &amp; Engineer")</f>
        <v>Producer &amp; Engineer</v>
      </c>
    </row>
    <row r="187">
      <c r="A187" s="8">
        <v>9.995964356941E12</v>
      </c>
      <c r="B187" s="103"/>
      <c r="C187" s="8" t="s">
        <v>237</v>
      </c>
      <c r="D187" s="121" t="str">
        <f t="array" ref="D187">ifs(and(isblank($A187),isblank($B187)),"", not(iserror(vlookup($A187&amp;$B187,'3) Release_Label'!$D:$D&amp;'3) Release_Label'!$E:$E,1,0))),vlookup($A187&amp;$B187,{'3) Release_Label'!$D:$D&amp;'3) Release_Label'!$E:$E,'3) Release_Label'!$H:$H},2,0), or(and(not(isblank($B187)),$B187=$B186,$A187&lt;&gt;$A186),and(not(isblank($A187)),$A187=$A186,$B187&lt;&gt;$B186)),"ID LISTS UNALIGNED",and($A187&lt;&gt;"",countif('3) Release_Label'!$D:$D,$A187)=0),"NO UPC MATCH in Release_Label",and($B187&lt;&gt;"",countif('3) Release_Label'!$E:$E,$B187)=0),"NO CATALOG ID MATCH in Release_Label",iserror(vlookup($A187&amp;$B187,'3) Release_Label'!$D:$D&amp;'3) Release_Label'!$E:$E,1,0)),"NO UPC-CATALOG ID pair MATCH in Release_Label" )</f>
        <v/>
      </c>
      <c r="E187" s="8" t="s">
        <v>51</v>
      </c>
      <c r="F187" s="8" t="s">
        <v>326</v>
      </c>
      <c r="G187" s="123" t="str">
        <f t="array" ref="G187">ifs(or($F187="",$F187="Main Primary Artist"),$F187,not(iserror(vlookup($F187,'Reference info'!$J$5:$J$8,1,0))),"Key Artist",not(iserror(vlookup($F187,'Reference info'!$J$38:$J$405,1,0))),"Performer",not(iserror(vlookup($F187,'Reference info'!$J$10:$J$36,1,0))),"Producer &amp; Engineer")</f>
        <v>Producer &amp; Engineer</v>
      </c>
    </row>
    <row r="188">
      <c r="A188" s="8">
        <v>9.995964356491E12</v>
      </c>
      <c r="B188" s="103"/>
      <c r="C188" s="8" t="s">
        <v>239</v>
      </c>
      <c r="D188" s="121" t="str">
        <f t="array" ref="D188">ifs(and(isblank($A188),isblank($B188)),"", not(iserror(vlookup($A188&amp;$B188,'3) Release_Label'!$D:$D&amp;'3) Release_Label'!$E:$E,1,0))),vlookup($A188&amp;$B188,{'3) Release_Label'!$D:$D&amp;'3) Release_Label'!$E:$E,'3) Release_Label'!$H:$H},2,0), or(and(not(isblank($B188)),$B188=$B187,$A188&lt;&gt;$A187),and(not(isblank($A188)),$A188=$A187,$B188&lt;&gt;$B187)),"ID LISTS UNALIGNED",and($A188&lt;&gt;"",countif('3) Release_Label'!$D:$D,$A188)=0),"NO UPC MATCH in Release_Label",and($B188&lt;&gt;"",countif('3) Release_Label'!$E:$E,$B188)=0),"NO CATALOG ID MATCH in Release_Label",iserror(vlookup($A188&amp;$B188,'3) Release_Label'!$D:$D&amp;'3) Release_Label'!$E:$E,1,0)),"NO UPC-CATALOG ID pair MATCH in Release_Label" )</f>
        <v/>
      </c>
      <c r="E188" s="8" t="s">
        <v>51</v>
      </c>
      <c r="F188" s="8" t="s">
        <v>326</v>
      </c>
      <c r="G188" s="123" t="str">
        <f t="array" ref="G188">ifs(or($F188="",$F188="Main Primary Artist"),$F188,not(iserror(vlookup($F188,'Reference info'!$J$5:$J$8,1,0))),"Key Artist",not(iserror(vlookup($F188,'Reference info'!$J$38:$J$405,1,0))),"Performer",not(iserror(vlookup($F188,'Reference info'!$J$10:$J$36,1,0))),"Producer &amp; Engineer")</f>
        <v>Producer &amp; Engineer</v>
      </c>
    </row>
    <row r="189">
      <c r="A189" s="8">
        <v>9.995964331283E12</v>
      </c>
      <c r="B189" s="103"/>
      <c r="C189" s="8" t="s">
        <v>241</v>
      </c>
      <c r="D189" s="121" t="str">
        <f t="array" ref="D189">ifs(and(isblank($A189),isblank($B189)),"", not(iserror(vlookup($A189&amp;$B189,'3) Release_Label'!$D:$D&amp;'3) Release_Label'!$E:$E,1,0))),vlookup($A189&amp;$B189,{'3) Release_Label'!$D:$D&amp;'3) Release_Label'!$E:$E,'3) Release_Label'!$H:$H},2,0), or(and(not(isblank($B189)),$B189=$B188,$A189&lt;&gt;$A188),and(not(isblank($A189)),$A189=$A188,$B189&lt;&gt;$B188)),"ID LISTS UNALIGNED",and($A189&lt;&gt;"",countif('3) Release_Label'!$D:$D,$A189)=0),"NO UPC MATCH in Release_Label",and($B189&lt;&gt;"",countif('3) Release_Label'!$E:$E,$B189)=0),"NO CATALOG ID MATCH in Release_Label",iserror(vlookup($A189&amp;$B189,'3) Release_Label'!$D:$D&amp;'3) Release_Label'!$E:$E,1,0)),"NO UPC-CATALOG ID pair MATCH in Release_Label" )</f>
        <v/>
      </c>
      <c r="E189" s="8" t="s">
        <v>51</v>
      </c>
      <c r="F189" s="8" t="s">
        <v>326</v>
      </c>
      <c r="G189" s="123" t="str">
        <f t="array" ref="G189">ifs(or($F189="",$F189="Main Primary Artist"),$F189,not(iserror(vlookup($F189,'Reference info'!$J$5:$J$8,1,0))),"Key Artist",not(iserror(vlookup($F189,'Reference info'!$J$38:$J$405,1,0))),"Performer",not(iserror(vlookup($F189,'Reference info'!$J$10:$J$36,1,0))),"Producer &amp; Engineer")</f>
        <v>Producer &amp; Engineer</v>
      </c>
    </row>
    <row r="190">
      <c r="A190" s="8">
        <v>9.995964332242E12</v>
      </c>
      <c r="B190" s="103"/>
      <c r="C190" s="8" t="s">
        <v>243</v>
      </c>
      <c r="D190" s="121" t="str">
        <f t="array" ref="D190">ifs(and(isblank($A190),isblank($B190)),"", not(iserror(vlookup($A190&amp;$B190,'3) Release_Label'!$D:$D&amp;'3) Release_Label'!$E:$E,1,0))),vlookup($A190&amp;$B190,{'3) Release_Label'!$D:$D&amp;'3) Release_Label'!$E:$E,'3) Release_Label'!$H:$H},2,0), or(and(not(isblank($B190)),$B190=$B189,$A190&lt;&gt;$A189),and(not(isblank($A190)),$A190=$A189,$B190&lt;&gt;$B189)),"ID LISTS UNALIGNED",and($A190&lt;&gt;"",countif('3) Release_Label'!$D:$D,$A190)=0),"NO UPC MATCH in Release_Label",and($B190&lt;&gt;"",countif('3) Release_Label'!$E:$E,$B190)=0),"NO CATALOG ID MATCH in Release_Label",iserror(vlookup($A190&amp;$B190,'3) Release_Label'!$D:$D&amp;'3) Release_Label'!$E:$E,1,0)),"NO UPC-CATALOG ID pair MATCH in Release_Label" )</f>
        <v/>
      </c>
      <c r="E190" s="8" t="s">
        <v>47</v>
      </c>
      <c r="F190" s="8" t="s">
        <v>326</v>
      </c>
      <c r="G190" s="123" t="str">
        <f t="array" ref="G190">ifs(or($F190="",$F190="Main Primary Artist"),$F190,not(iserror(vlookup($F190,'Reference info'!$J$5:$J$8,1,0))),"Key Artist",not(iserror(vlookup($F190,'Reference info'!$J$38:$J$405,1,0))),"Performer",not(iserror(vlookup($F190,'Reference info'!$J$10:$J$36,1,0))),"Producer &amp; Engineer")</f>
        <v>Producer &amp; Engineer</v>
      </c>
    </row>
    <row r="191">
      <c r="A191" s="8">
        <v>9.995964319601E12</v>
      </c>
      <c r="B191" s="103"/>
      <c r="C191" s="8" t="s">
        <v>245</v>
      </c>
      <c r="D191" s="121" t="str">
        <f t="array" ref="D191">ifs(and(isblank($A191),isblank($B191)),"", not(iserror(vlookup($A191&amp;$B191,'3) Release_Label'!$D:$D&amp;'3) Release_Label'!$E:$E,1,0))),vlookup($A191&amp;$B191,{'3) Release_Label'!$D:$D&amp;'3) Release_Label'!$E:$E,'3) Release_Label'!$H:$H},2,0), or(and(not(isblank($B191)),$B191=$B190,$A191&lt;&gt;$A190),and(not(isblank($A191)),$A191=$A190,$B191&lt;&gt;$B190)),"ID LISTS UNALIGNED",and($A191&lt;&gt;"",countif('3) Release_Label'!$D:$D,$A191)=0),"NO UPC MATCH in Release_Label",and($B191&lt;&gt;"",countif('3) Release_Label'!$E:$E,$B191)=0),"NO CATALOG ID MATCH in Release_Label",iserror(vlookup($A191&amp;$B191,'3) Release_Label'!$D:$D&amp;'3) Release_Label'!$E:$E,1,0)),"NO UPC-CATALOG ID pair MATCH in Release_Label" )</f>
        <v/>
      </c>
      <c r="E191" s="8" t="s">
        <v>135</v>
      </c>
      <c r="F191" s="8" t="s">
        <v>326</v>
      </c>
      <c r="G191" s="123" t="str">
        <f t="array" ref="G191">ifs(or($F191="",$F191="Main Primary Artist"),$F191,not(iserror(vlookup($F191,'Reference info'!$J$5:$J$8,1,0))),"Key Artist",not(iserror(vlookup($F191,'Reference info'!$J$38:$J$405,1,0))),"Performer",not(iserror(vlookup($F191,'Reference info'!$J$10:$J$36,1,0))),"Producer &amp; Engineer")</f>
        <v>Producer &amp; Engineer</v>
      </c>
    </row>
    <row r="192">
      <c r="A192" s="8">
        <v>9.995964329112E12</v>
      </c>
      <c r="B192" s="103"/>
      <c r="C192" s="8" t="s">
        <v>247</v>
      </c>
      <c r="D192" s="121" t="str">
        <f t="array" ref="D192">ifs(and(isblank($A192),isblank($B192)),"", not(iserror(vlookup($A192&amp;$B192,'3) Release_Label'!$D:$D&amp;'3) Release_Label'!$E:$E,1,0))),vlookup($A192&amp;$B192,{'3) Release_Label'!$D:$D&amp;'3) Release_Label'!$E:$E,'3) Release_Label'!$H:$H},2,0), or(and(not(isblank($B192)),$B192=$B191,$A192&lt;&gt;$A191),and(not(isblank($A192)),$A192=$A191,$B192&lt;&gt;$B191)),"ID LISTS UNALIGNED",and($A192&lt;&gt;"",countif('3) Release_Label'!$D:$D,$A192)=0),"NO UPC MATCH in Release_Label",and($B192&lt;&gt;"",countif('3) Release_Label'!$E:$E,$B192)=0),"NO CATALOG ID MATCH in Release_Label",iserror(vlookup($A192&amp;$B192,'3) Release_Label'!$D:$D&amp;'3) Release_Label'!$E:$E,1,0)),"NO UPC-CATALOG ID pair MATCH in Release_Label" )</f>
        <v/>
      </c>
      <c r="E192" s="8" t="s">
        <v>95</v>
      </c>
      <c r="F192" s="8" t="s">
        <v>326</v>
      </c>
      <c r="G192" s="123" t="str">
        <f t="array" ref="G192">ifs(or($F192="",$F192="Main Primary Artist"),$F192,not(iserror(vlookup($F192,'Reference info'!$J$5:$J$8,1,0))),"Key Artist",not(iserror(vlookup($F192,'Reference info'!$J$38:$J$405,1,0))),"Performer",not(iserror(vlookup($F192,'Reference info'!$J$10:$J$36,1,0))),"Producer &amp; Engineer")</f>
        <v>Producer &amp; Engineer</v>
      </c>
    </row>
    <row r="193">
      <c r="A193" s="8">
        <v>9.99596435659E12</v>
      </c>
      <c r="B193" s="103"/>
      <c r="C193" s="8" t="s">
        <v>249</v>
      </c>
      <c r="D193" s="121" t="str">
        <f t="array" ref="D193">ifs(and(isblank($A193),isblank($B193)),"", not(iserror(vlookup($A193&amp;$B193,'3) Release_Label'!$D:$D&amp;'3) Release_Label'!$E:$E,1,0))),vlookup($A193&amp;$B193,{'3) Release_Label'!$D:$D&amp;'3) Release_Label'!$E:$E,'3) Release_Label'!$H:$H},2,0), or(and(not(isblank($B193)),$B193=$B192,$A193&lt;&gt;$A192),and(not(isblank($A193)),$A193=$A192,$B193&lt;&gt;$B192)),"ID LISTS UNALIGNED",and($A193&lt;&gt;"",countif('3) Release_Label'!$D:$D,$A193)=0),"NO UPC MATCH in Release_Label",and($B193&lt;&gt;"",countif('3) Release_Label'!$E:$E,$B193)=0),"NO CATALOG ID MATCH in Release_Label",iserror(vlookup($A193&amp;$B193,'3) Release_Label'!$D:$D&amp;'3) Release_Label'!$E:$E,1,0)),"NO UPC-CATALOG ID pair MATCH in Release_Label" )</f>
        <v/>
      </c>
      <c r="E193" s="8" t="s">
        <v>51</v>
      </c>
      <c r="F193" s="8" t="s">
        <v>326</v>
      </c>
      <c r="G193" s="123" t="str">
        <f t="array" ref="G193">ifs(or($F193="",$F193="Main Primary Artist"),$F193,not(iserror(vlookup($F193,'Reference info'!$J$5:$J$8,1,0))),"Key Artist",not(iserror(vlookup($F193,'Reference info'!$J$38:$J$405,1,0))),"Performer",not(iserror(vlookup($F193,'Reference info'!$J$10:$J$36,1,0))),"Producer &amp; Engineer")</f>
        <v>Producer &amp; Engineer</v>
      </c>
    </row>
    <row r="194">
      <c r="A194" s="8">
        <v>9.995964332228E12</v>
      </c>
      <c r="B194" s="103"/>
      <c r="C194" s="8" t="s">
        <v>251</v>
      </c>
      <c r="D194" s="121" t="str">
        <f t="array" ref="D194">ifs(and(isblank($A194),isblank($B194)),"", not(iserror(vlookup($A194&amp;$B194,'3) Release_Label'!$D:$D&amp;'3) Release_Label'!$E:$E,1,0))),vlookup($A194&amp;$B194,{'3) Release_Label'!$D:$D&amp;'3) Release_Label'!$E:$E,'3) Release_Label'!$H:$H},2,0), or(and(not(isblank($B194)),$B194=$B193,$A194&lt;&gt;$A193),and(not(isblank($A194)),$A194=$A193,$B194&lt;&gt;$B193)),"ID LISTS UNALIGNED",and($A194&lt;&gt;"",countif('3) Release_Label'!$D:$D,$A194)=0),"NO UPC MATCH in Release_Label",and($B194&lt;&gt;"",countif('3) Release_Label'!$E:$E,$B194)=0),"NO CATALOG ID MATCH in Release_Label",iserror(vlookup($A194&amp;$B194,'3) Release_Label'!$D:$D&amp;'3) Release_Label'!$E:$E,1,0)),"NO UPC-CATALOG ID pair MATCH in Release_Label" )</f>
        <v/>
      </c>
      <c r="E194" s="8" t="s">
        <v>47</v>
      </c>
      <c r="F194" s="8" t="s">
        <v>326</v>
      </c>
      <c r="G194" s="123" t="str">
        <f t="array" ref="G194">ifs(or($F194="",$F194="Main Primary Artist"),$F194,not(iserror(vlookup($F194,'Reference info'!$J$5:$J$8,1,0))),"Key Artist",not(iserror(vlookup($F194,'Reference info'!$J$38:$J$405,1,0))),"Performer",not(iserror(vlookup($F194,'Reference info'!$J$10:$J$36,1,0))),"Producer &amp; Engineer")</f>
        <v>Producer &amp; Engineer</v>
      </c>
    </row>
    <row r="195">
      <c r="A195" s="8">
        <v>9.995964331528E12</v>
      </c>
      <c r="B195" s="103"/>
      <c r="C195" s="8" t="s">
        <v>253</v>
      </c>
      <c r="D195" s="121" t="str">
        <f t="array" ref="D195">ifs(and(isblank($A195),isblank($B195)),"", not(iserror(vlookup($A195&amp;$B195,'3) Release_Label'!$D:$D&amp;'3) Release_Label'!$E:$E,1,0))),vlookup($A195&amp;$B195,{'3) Release_Label'!$D:$D&amp;'3) Release_Label'!$E:$E,'3) Release_Label'!$H:$H},2,0), or(and(not(isblank($B195)),$B195=$B194,$A195&lt;&gt;$A194),and(not(isblank($A195)),$A195=$A194,$B195&lt;&gt;$B194)),"ID LISTS UNALIGNED",and($A195&lt;&gt;"",countif('3) Release_Label'!$D:$D,$A195)=0),"NO UPC MATCH in Release_Label",and($B195&lt;&gt;"",countif('3) Release_Label'!$E:$E,$B195)=0),"NO CATALOG ID MATCH in Release_Label",iserror(vlookup($A195&amp;$B195,'3) Release_Label'!$D:$D&amp;'3) Release_Label'!$E:$E,1,0)),"NO UPC-CATALOG ID pair MATCH in Release_Label" )</f>
        <v/>
      </c>
      <c r="E195" s="8" t="s">
        <v>47</v>
      </c>
      <c r="F195" s="8" t="s">
        <v>326</v>
      </c>
      <c r="G195" s="123" t="str">
        <f t="array" ref="G195">ifs(or($F195="",$F195="Main Primary Artist"),$F195,not(iserror(vlookup($F195,'Reference info'!$J$5:$J$8,1,0))),"Key Artist",not(iserror(vlookup($F195,'Reference info'!$J$38:$J$405,1,0))),"Performer",not(iserror(vlookup($F195,'Reference info'!$J$10:$J$36,1,0))),"Producer &amp; Engineer")</f>
        <v>Producer &amp; Engineer</v>
      </c>
    </row>
    <row r="196">
      <c r="A196" s="8">
        <v>9.995964357931E12</v>
      </c>
      <c r="B196" s="103"/>
      <c r="C196" s="8" t="s">
        <v>255</v>
      </c>
      <c r="D196" s="121" t="str">
        <f t="array" ref="D196">ifs(and(isblank($A196),isblank($B196)),"", not(iserror(vlookup($A196&amp;$B196,'3) Release_Label'!$D:$D&amp;'3) Release_Label'!$E:$E,1,0))),vlookup($A196&amp;$B196,{'3) Release_Label'!$D:$D&amp;'3) Release_Label'!$E:$E,'3) Release_Label'!$H:$H},2,0), or(and(not(isblank($B196)),$B196=$B195,$A196&lt;&gt;$A195),and(not(isblank($A196)),$A196=$A195,$B196&lt;&gt;$B195)),"ID LISTS UNALIGNED",and($A196&lt;&gt;"",countif('3) Release_Label'!$D:$D,$A196)=0),"NO UPC MATCH in Release_Label",and($B196&lt;&gt;"",countif('3) Release_Label'!$E:$E,$B196)=0),"NO CATALOG ID MATCH in Release_Label",iserror(vlookup($A196&amp;$B196,'3) Release_Label'!$D:$D&amp;'3) Release_Label'!$E:$E,1,0)),"NO UPC-CATALOG ID pair MATCH in Release_Label" )</f>
        <v/>
      </c>
      <c r="E196" s="8" t="s">
        <v>51</v>
      </c>
      <c r="F196" s="8" t="s">
        <v>326</v>
      </c>
      <c r="G196" s="123" t="str">
        <f t="array" ref="G196">ifs(or($F196="",$F196="Main Primary Artist"),$F196,not(iserror(vlookup($F196,'Reference info'!$J$5:$J$8,1,0))),"Key Artist",not(iserror(vlookup($F196,'Reference info'!$J$38:$J$405,1,0))),"Performer",not(iserror(vlookup($F196,'Reference info'!$J$10:$J$36,1,0))),"Producer &amp; Engineer")</f>
        <v>Producer &amp; Engineer</v>
      </c>
    </row>
    <row r="197">
      <c r="A197" s="8">
        <v>9.995964357917E12</v>
      </c>
      <c r="B197" s="103"/>
      <c r="C197" s="8" t="s">
        <v>257</v>
      </c>
      <c r="D197" s="121" t="str">
        <f t="array" ref="D197">ifs(and(isblank($A197),isblank($B197)),"", not(iserror(vlookup($A197&amp;$B197,'3) Release_Label'!$D:$D&amp;'3) Release_Label'!$E:$E,1,0))),vlookup($A197&amp;$B197,{'3) Release_Label'!$D:$D&amp;'3) Release_Label'!$E:$E,'3) Release_Label'!$H:$H},2,0), or(and(not(isblank($B197)),$B197=$B196,$A197&lt;&gt;$A196),and(not(isblank($A197)),$A197=$A196,$B197&lt;&gt;$B196)),"ID LISTS UNALIGNED",and($A197&lt;&gt;"",countif('3) Release_Label'!$D:$D,$A197)=0),"NO UPC MATCH in Release_Label",and($B197&lt;&gt;"",countif('3) Release_Label'!$E:$E,$B197)=0),"NO CATALOG ID MATCH in Release_Label",iserror(vlookup($A197&amp;$B197,'3) Release_Label'!$D:$D&amp;'3) Release_Label'!$E:$E,1,0)),"NO UPC-CATALOG ID pair MATCH in Release_Label" )</f>
        <v/>
      </c>
      <c r="E197" s="8" t="s">
        <v>103</v>
      </c>
      <c r="F197" s="8" t="s">
        <v>326</v>
      </c>
      <c r="G197" s="123" t="str">
        <f t="array" ref="G197">ifs(or($F197="",$F197="Main Primary Artist"),$F197,not(iserror(vlookup($F197,'Reference info'!$J$5:$J$8,1,0))),"Key Artist",not(iserror(vlookup($F197,'Reference info'!$J$38:$J$405,1,0))),"Performer",not(iserror(vlookup($F197,'Reference info'!$J$10:$J$36,1,0))),"Producer &amp; Engineer")</f>
        <v>Producer &amp; Engineer</v>
      </c>
    </row>
    <row r="198">
      <c r="A198" s="8">
        <v>9.995964359133E12</v>
      </c>
      <c r="B198" s="103"/>
      <c r="C198" s="8" t="s">
        <v>259</v>
      </c>
      <c r="D198" s="121" t="str">
        <f t="array" ref="D198">ifs(and(isblank($A198),isblank($B198)),"", not(iserror(vlookup($A198&amp;$B198,'3) Release_Label'!$D:$D&amp;'3) Release_Label'!$E:$E,1,0))),vlookup($A198&amp;$B198,{'3) Release_Label'!$D:$D&amp;'3) Release_Label'!$E:$E,'3) Release_Label'!$H:$H},2,0), or(and(not(isblank($B198)),$B198=$B197,$A198&lt;&gt;$A197),and(not(isblank($A198)),$A198=$A197,$B198&lt;&gt;$B197)),"ID LISTS UNALIGNED",and($A198&lt;&gt;"",countif('3) Release_Label'!$D:$D,$A198)=0),"NO UPC MATCH in Release_Label",and($B198&lt;&gt;"",countif('3) Release_Label'!$E:$E,$B198)=0),"NO CATALOG ID MATCH in Release_Label",iserror(vlookup($A198&amp;$B198,'3) Release_Label'!$D:$D&amp;'3) Release_Label'!$E:$E,1,0)),"NO UPC-CATALOG ID pair MATCH in Release_Label" )</f>
        <v/>
      </c>
      <c r="E198" s="8" t="s">
        <v>51</v>
      </c>
      <c r="F198" s="8" t="s">
        <v>326</v>
      </c>
      <c r="G198" s="123" t="str">
        <f t="array" ref="G198">ifs(or($F198="",$F198="Main Primary Artist"),$F198,not(iserror(vlookup($F198,'Reference info'!$J$5:$J$8,1,0))),"Key Artist",not(iserror(vlookup($F198,'Reference info'!$J$38:$J$405,1,0))),"Performer",not(iserror(vlookup($F198,'Reference info'!$J$10:$J$36,1,0))),"Producer &amp; Engineer")</f>
        <v>Producer &amp; Engineer</v>
      </c>
    </row>
    <row r="199">
      <c r="A199" s="8">
        <v>9.99596435927E12</v>
      </c>
      <c r="B199" s="103"/>
      <c r="C199" s="8" t="s">
        <v>261</v>
      </c>
      <c r="D199" s="121" t="str">
        <f t="array" ref="D199">ifs(and(isblank($A199),isblank($B199)),"", not(iserror(vlookup($A199&amp;$B199,'3) Release_Label'!$D:$D&amp;'3) Release_Label'!$E:$E,1,0))),vlookup($A199&amp;$B199,{'3) Release_Label'!$D:$D&amp;'3) Release_Label'!$E:$E,'3) Release_Label'!$H:$H},2,0), or(and(not(isblank($B199)),$B199=$B198,$A199&lt;&gt;$A198),and(not(isblank($A199)),$A199=$A198,$B199&lt;&gt;$B198)),"ID LISTS UNALIGNED",and($A199&lt;&gt;"",countif('3) Release_Label'!$D:$D,$A199)=0),"NO UPC MATCH in Release_Label",and($B199&lt;&gt;"",countif('3) Release_Label'!$E:$E,$B199)=0),"NO CATALOG ID MATCH in Release_Label",iserror(vlookup($A199&amp;$B199,'3) Release_Label'!$D:$D&amp;'3) Release_Label'!$E:$E,1,0)),"NO UPC-CATALOG ID pair MATCH in Release_Label" )</f>
        <v/>
      </c>
      <c r="E199" s="8" t="s">
        <v>47</v>
      </c>
      <c r="F199" s="8" t="s">
        <v>326</v>
      </c>
      <c r="G199" s="123" t="str">
        <f t="array" ref="G199">ifs(or($F199="",$F199="Main Primary Artist"),$F199,not(iserror(vlookup($F199,'Reference info'!$J$5:$J$8,1,0))),"Key Artist",not(iserror(vlookup($F199,'Reference info'!$J$38:$J$405,1,0))),"Performer",not(iserror(vlookup($F199,'Reference info'!$J$10:$J$36,1,0))),"Producer &amp; Engineer")</f>
        <v>Producer &amp; Engineer</v>
      </c>
    </row>
    <row r="200">
      <c r="A200" s="8">
        <v>9.995964359225E12</v>
      </c>
      <c r="B200" s="103"/>
      <c r="C200" s="8" t="s">
        <v>263</v>
      </c>
      <c r="D200" s="121" t="str">
        <f t="array" ref="D200">ifs(and(isblank($A200),isblank($B200)),"", not(iserror(vlookup($A200&amp;$B200,'3) Release_Label'!$D:$D&amp;'3) Release_Label'!$E:$E,1,0))),vlookup($A200&amp;$B200,{'3) Release_Label'!$D:$D&amp;'3) Release_Label'!$E:$E,'3) Release_Label'!$H:$H},2,0), or(and(not(isblank($B200)),$B200=$B199,$A200&lt;&gt;$A199),and(not(isblank($A200)),$A200=$A199,$B200&lt;&gt;$B199)),"ID LISTS UNALIGNED",and($A200&lt;&gt;"",countif('3) Release_Label'!$D:$D,$A200)=0),"NO UPC MATCH in Release_Label",and($B200&lt;&gt;"",countif('3) Release_Label'!$E:$E,$B200)=0),"NO CATALOG ID MATCH in Release_Label",iserror(vlookup($A200&amp;$B200,'3) Release_Label'!$D:$D&amp;'3) Release_Label'!$E:$E,1,0)),"NO UPC-CATALOG ID pair MATCH in Release_Label" )</f>
        <v/>
      </c>
      <c r="E200" s="8" t="s">
        <v>51</v>
      </c>
      <c r="F200" s="8" t="s">
        <v>326</v>
      </c>
      <c r="G200" s="123" t="str">
        <f t="array" ref="G200">ifs(or($F200="",$F200="Main Primary Artist"),$F200,not(iserror(vlookup($F200,'Reference info'!$J$5:$J$8,1,0))),"Key Artist",not(iserror(vlookup($F200,'Reference info'!$J$38:$J$405,1,0))),"Performer",not(iserror(vlookup($F200,'Reference info'!$J$10:$J$36,1,0))),"Producer &amp; Engineer")</f>
        <v>Producer &amp; Engineer</v>
      </c>
    </row>
    <row r="201">
      <c r="A201" s="8">
        <v>9.995964357948E12</v>
      </c>
      <c r="B201" s="103"/>
      <c r="C201" s="8" t="s">
        <v>265</v>
      </c>
      <c r="D201" s="121" t="str">
        <f t="array" ref="D201">ifs(and(isblank($A201),isblank($B201)),"", not(iserror(vlookup($A201&amp;$B201,'3) Release_Label'!$D:$D&amp;'3) Release_Label'!$E:$E,1,0))),vlookup($A201&amp;$B201,{'3) Release_Label'!$D:$D&amp;'3) Release_Label'!$E:$E,'3) Release_Label'!$H:$H},2,0), or(and(not(isblank($B201)),$B201=$B200,$A201&lt;&gt;$A200),and(not(isblank($A201)),$A201=$A200,$B201&lt;&gt;$B200)),"ID LISTS UNALIGNED",and($A201&lt;&gt;"",countif('3) Release_Label'!$D:$D,$A201)=0),"NO UPC MATCH in Release_Label",and($B201&lt;&gt;"",countif('3) Release_Label'!$E:$E,$B201)=0),"NO CATALOG ID MATCH in Release_Label",iserror(vlookup($A201&amp;$B201,'3) Release_Label'!$D:$D&amp;'3) Release_Label'!$E:$E,1,0)),"NO UPC-CATALOG ID pair MATCH in Release_Label" )</f>
        <v/>
      </c>
      <c r="E201" s="8" t="s">
        <v>51</v>
      </c>
      <c r="F201" s="8" t="s">
        <v>326</v>
      </c>
      <c r="G201" s="123" t="str">
        <f t="array" ref="G201">ifs(or($F201="",$F201="Main Primary Artist"),$F201,not(iserror(vlookup($F201,'Reference info'!$J$5:$J$8,1,0))),"Key Artist",not(iserror(vlookup($F201,'Reference info'!$J$38:$J$405,1,0))),"Performer",not(iserror(vlookup($F201,'Reference info'!$J$10:$J$36,1,0))),"Producer &amp; Engineer")</f>
        <v>Producer &amp; Engineer</v>
      </c>
    </row>
    <row r="202">
      <c r="A202" s="8">
        <v>9.995964357979E12</v>
      </c>
      <c r="B202" s="103"/>
      <c r="C202" s="8" t="s">
        <v>267</v>
      </c>
      <c r="D202" s="121" t="str">
        <f t="array" ref="D202">ifs(and(isblank($A202),isblank($B202)),"", not(iserror(vlookup($A202&amp;$B202,'3) Release_Label'!$D:$D&amp;'3) Release_Label'!$E:$E,1,0))),vlookup($A202&amp;$B202,{'3) Release_Label'!$D:$D&amp;'3) Release_Label'!$E:$E,'3) Release_Label'!$H:$H},2,0), or(and(not(isblank($B202)),$B202=$B201,$A202&lt;&gt;$A201),and(not(isblank($A202)),$A202=$A201,$B202&lt;&gt;$B201)),"ID LISTS UNALIGNED",and($A202&lt;&gt;"",countif('3) Release_Label'!$D:$D,$A202)=0),"NO UPC MATCH in Release_Label",and($B202&lt;&gt;"",countif('3) Release_Label'!$E:$E,$B202)=0),"NO CATALOG ID MATCH in Release_Label",iserror(vlookup($A202&amp;$B202,'3) Release_Label'!$D:$D&amp;'3) Release_Label'!$E:$E,1,0)),"NO UPC-CATALOG ID pair MATCH in Release_Label" )</f>
        <v/>
      </c>
      <c r="E202" s="8" t="s">
        <v>51</v>
      </c>
      <c r="F202" s="8" t="s">
        <v>326</v>
      </c>
      <c r="G202" s="123" t="str">
        <f t="array" ref="G202">ifs(or($F202="",$F202="Main Primary Artist"),$F202,not(iserror(vlookup($F202,'Reference info'!$J$5:$J$8,1,0))),"Key Artist",not(iserror(vlookup($F202,'Reference info'!$J$38:$J$405,1,0))),"Performer",not(iserror(vlookup($F202,'Reference info'!$J$10:$J$36,1,0))),"Producer &amp; Engineer")</f>
        <v>Producer &amp; Engineer</v>
      </c>
    </row>
    <row r="203">
      <c r="A203" s="8">
        <v>9.995964336714E12</v>
      </c>
      <c r="B203" s="103"/>
      <c r="C203" s="8" t="s">
        <v>269</v>
      </c>
      <c r="D203" s="121" t="str">
        <f t="array" ref="D203">ifs(and(isblank($A203),isblank($B203)),"", not(iserror(vlookup($A203&amp;$B203,'3) Release_Label'!$D:$D&amp;'3) Release_Label'!$E:$E,1,0))),vlookup($A203&amp;$B203,{'3) Release_Label'!$D:$D&amp;'3) Release_Label'!$E:$E,'3) Release_Label'!$H:$H},2,0), or(and(not(isblank($B203)),$B203=$B202,$A203&lt;&gt;$A202),and(not(isblank($A203)),$A203=$A202,$B203&lt;&gt;$B202)),"ID LISTS UNALIGNED",and($A203&lt;&gt;"",countif('3) Release_Label'!$D:$D,$A203)=0),"NO UPC MATCH in Release_Label",and($B203&lt;&gt;"",countif('3) Release_Label'!$E:$E,$B203)=0),"NO CATALOG ID MATCH in Release_Label",iserror(vlookup($A203&amp;$B203,'3) Release_Label'!$D:$D&amp;'3) Release_Label'!$E:$E,1,0)),"NO UPC-CATALOG ID pair MATCH in Release_Label" )</f>
        <v/>
      </c>
      <c r="E203" s="8" t="s">
        <v>51</v>
      </c>
      <c r="F203" s="8" t="s">
        <v>326</v>
      </c>
      <c r="G203" s="123" t="str">
        <f t="array" ref="G203">ifs(or($F203="",$F203="Main Primary Artist"),$F203,not(iserror(vlookup($F203,'Reference info'!$J$5:$J$8,1,0))),"Key Artist",not(iserror(vlookup($F203,'Reference info'!$J$38:$J$405,1,0))),"Performer",not(iserror(vlookup($F203,'Reference info'!$J$10:$J$36,1,0))),"Producer &amp; Engineer")</f>
        <v>Producer &amp; Engineer</v>
      </c>
    </row>
    <row r="204">
      <c r="A204" s="8">
        <v>9.995964336943E12</v>
      </c>
      <c r="B204" s="103"/>
      <c r="C204" s="8" t="s">
        <v>271</v>
      </c>
      <c r="D204" s="121" t="str">
        <f t="array" ref="D204">ifs(and(isblank($A204),isblank($B204)),"", not(iserror(vlookup($A204&amp;$B204,'3) Release_Label'!$D:$D&amp;'3) Release_Label'!$E:$E,1,0))),vlookup($A204&amp;$B204,{'3) Release_Label'!$D:$D&amp;'3) Release_Label'!$E:$E,'3) Release_Label'!$H:$H},2,0), or(and(not(isblank($B204)),$B204=$B203,$A204&lt;&gt;$A203),and(not(isblank($A204)),$A204=$A203,$B204&lt;&gt;$B203)),"ID LISTS UNALIGNED",and($A204&lt;&gt;"",countif('3) Release_Label'!$D:$D,$A204)=0),"NO UPC MATCH in Release_Label",and($B204&lt;&gt;"",countif('3) Release_Label'!$E:$E,$B204)=0),"NO CATALOG ID MATCH in Release_Label",iserror(vlookup($A204&amp;$B204,'3) Release_Label'!$D:$D&amp;'3) Release_Label'!$E:$E,1,0)),"NO UPC-CATALOG ID pair MATCH in Release_Label" )</f>
        <v/>
      </c>
      <c r="E204" s="8" t="s">
        <v>51</v>
      </c>
      <c r="F204" s="8" t="s">
        <v>326</v>
      </c>
      <c r="G204" s="123" t="str">
        <f t="array" ref="G204">ifs(or($F204="",$F204="Main Primary Artist"),$F204,not(iserror(vlookup($F204,'Reference info'!$J$5:$J$8,1,0))),"Key Artist",not(iserror(vlookup($F204,'Reference info'!$J$38:$J$405,1,0))),"Performer",not(iserror(vlookup($F204,'Reference info'!$J$10:$J$36,1,0))),"Producer &amp; Engineer")</f>
        <v>Producer &amp; Engineer</v>
      </c>
    </row>
    <row r="205">
      <c r="A205" s="8">
        <v>9.995964336981E12</v>
      </c>
      <c r="B205" s="103"/>
      <c r="C205" s="8" t="s">
        <v>273</v>
      </c>
      <c r="D205" s="121" t="str">
        <f t="array" ref="D205">ifs(and(isblank($A205),isblank($B205)),"", not(iserror(vlookup($A205&amp;$B205,'3) Release_Label'!$D:$D&amp;'3) Release_Label'!$E:$E,1,0))),vlookup($A205&amp;$B205,{'3) Release_Label'!$D:$D&amp;'3) Release_Label'!$E:$E,'3) Release_Label'!$H:$H},2,0), or(and(not(isblank($B205)),$B205=$B204,$A205&lt;&gt;$A204),and(not(isblank($A205)),$A205=$A204,$B205&lt;&gt;$B204)),"ID LISTS UNALIGNED",and($A205&lt;&gt;"",countif('3) Release_Label'!$D:$D,$A205)=0),"NO UPC MATCH in Release_Label",and($B205&lt;&gt;"",countif('3) Release_Label'!$E:$E,$B205)=0),"NO CATALOG ID MATCH in Release_Label",iserror(vlookup($A205&amp;$B205,'3) Release_Label'!$D:$D&amp;'3) Release_Label'!$E:$E,1,0)),"NO UPC-CATALOG ID pair MATCH in Release_Label" )</f>
        <v/>
      </c>
      <c r="E205" s="8" t="s">
        <v>51</v>
      </c>
      <c r="F205" s="8" t="s">
        <v>326</v>
      </c>
      <c r="G205" s="123" t="str">
        <f t="array" ref="G205">ifs(or($F205="",$F205="Main Primary Artist"),$F205,not(iserror(vlookup($F205,'Reference info'!$J$5:$J$8,1,0))),"Key Artist",not(iserror(vlookup($F205,'Reference info'!$J$38:$J$405,1,0))),"Performer",not(iserror(vlookup($F205,'Reference info'!$J$10:$J$36,1,0))),"Producer &amp; Engineer")</f>
        <v>Producer &amp; Engineer</v>
      </c>
    </row>
    <row r="206">
      <c r="A206" s="8">
        <v>9.995964337339E12</v>
      </c>
      <c r="B206" s="103"/>
      <c r="C206" s="8" t="s">
        <v>275</v>
      </c>
      <c r="D206" s="121" t="str">
        <f t="array" ref="D206">ifs(and(isblank($A206),isblank($B206)),"", not(iserror(vlookup($A206&amp;$B206,'3) Release_Label'!$D:$D&amp;'3) Release_Label'!$E:$E,1,0))),vlookup($A206&amp;$B206,{'3) Release_Label'!$D:$D&amp;'3) Release_Label'!$E:$E,'3) Release_Label'!$H:$H},2,0), or(and(not(isblank($B206)),$B206=$B205,$A206&lt;&gt;$A205),and(not(isblank($A206)),$A206=$A205,$B206&lt;&gt;$B205)),"ID LISTS UNALIGNED",and($A206&lt;&gt;"",countif('3) Release_Label'!$D:$D,$A206)=0),"NO UPC MATCH in Release_Label",and($B206&lt;&gt;"",countif('3) Release_Label'!$E:$E,$B206)=0),"NO CATALOG ID MATCH in Release_Label",iserror(vlookup($A206&amp;$B206,'3) Release_Label'!$D:$D&amp;'3) Release_Label'!$E:$E,1,0)),"NO UPC-CATALOG ID pair MATCH in Release_Label" )</f>
        <v/>
      </c>
      <c r="E206" s="8" t="s">
        <v>123</v>
      </c>
      <c r="F206" s="8" t="s">
        <v>326</v>
      </c>
      <c r="G206" s="123" t="str">
        <f t="array" ref="G206">ifs(or($F206="",$F206="Main Primary Artist"),$F206,not(iserror(vlookup($F206,'Reference info'!$J$5:$J$8,1,0))),"Key Artist",not(iserror(vlookup($F206,'Reference info'!$J$38:$J$405,1,0))),"Performer",not(iserror(vlookup($F206,'Reference info'!$J$10:$J$36,1,0))),"Producer &amp; Engineer")</f>
        <v>Producer &amp; Engineer</v>
      </c>
    </row>
    <row r="207">
      <c r="A207" s="8">
        <v>9.995964337346E12</v>
      </c>
      <c r="B207" s="103"/>
      <c r="C207" s="8" t="s">
        <v>277</v>
      </c>
      <c r="D207" s="121" t="str">
        <f t="array" ref="D207">ifs(and(isblank($A207),isblank($B207)),"", not(iserror(vlookup($A207&amp;$B207,'3) Release_Label'!$D:$D&amp;'3) Release_Label'!$E:$E,1,0))),vlookup($A207&amp;$B207,{'3) Release_Label'!$D:$D&amp;'3) Release_Label'!$E:$E,'3) Release_Label'!$H:$H},2,0), or(and(not(isblank($B207)),$B207=$B206,$A207&lt;&gt;$A206),and(not(isblank($A207)),$A207=$A206,$B207&lt;&gt;$B206)),"ID LISTS UNALIGNED",and($A207&lt;&gt;"",countif('3) Release_Label'!$D:$D,$A207)=0),"NO UPC MATCH in Release_Label",and($B207&lt;&gt;"",countif('3) Release_Label'!$E:$E,$B207)=0),"NO CATALOG ID MATCH in Release_Label",iserror(vlookup($A207&amp;$B207,'3) Release_Label'!$D:$D&amp;'3) Release_Label'!$E:$E,1,0)),"NO UPC-CATALOG ID pair MATCH in Release_Label" )</f>
        <v/>
      </c>
      <c r="E207" s="8" t="s">
        <v>51</v>
      </c>
      <c r="F207" s="8" t="s">
        <v>326</v>
      </c>
      <c r="G207" s="123" t="str">
        <f t="array" ref="G207">ifs(or($F207="",$F207="Main Primary Artist"),$F207,not(iserror(vlookup($F207,'Reference info'!$J$5:$J$8,1,0))),"Key Artist",not(iserror(vlookup($F207,'Reference info'!$J$38:$J$405,1,0))),"Performer",not(iserror(vlookup($F207,'Reference info'!$J$10:$J$36,1,0))),"Producer &amp; Engineer")</f>
        <v>Producer &amp; Engineer</v>
      </c>
    </row>
    <row r="208">
      <c r="A208" s="8">
        <v>9.995964338275E12</v>
      </c>
      <c r="B208" s="103"/>
      <c r="C208" s="8" t="s">
        <v>279</v>
      </c>
      <c r="D208" s="121" t="str">
        <f t="array" ref="D208">ifs(and(isblank($A208),isblank($B208)),"", not(iserror(vlookup($A208&amp;$B208,'3) Release_Label'!$D:$D&amp;'3) Release_Label'!$E:$E,1,0))),vlookup($A208&amp;$B208,{'3) Release_Label'!$D:$D&amp;'3) Release_Label'!$E:$E,'3) Release_Label'!$H:$H},2,0), or(and(not(isblank($B208)),$B208=$B207,$A208&lt;&gt;$A207),and(not(isblank($A208)),$A208=$A207,$B208&lt;&gt;$B207)),"ID LISTS UNALIGNED",and($A208&lt;&gt;"",countif('3) Release_Label'!$D:$D,$A208)=0),"NO UPC MATCH in Release_Label",and($B208&lt;&gt;"",countif('3) Release_Label'!$E:$E,$B208)=0),"NO CATALOG ID MATCH in Release_Label",iserror(vlookup($A208&amp;$B208,'3) Release_Label'!$D:$D&amp;'3) Release_Label'!$E:$E,1,0)),"NO UPC-CATALOG ID pair MATCH in Release_Label" )</f>
        <v/>
      </c>
      <c r="E208" s="8" t="s">
        <v>51</v>
      </c>
      <c r="F208" s="8" t="s">
        <v>326</v>
      </c>
      <c r="G208" s="123" t="str">
        <f t="array" ref="G208">ifs(or($F208="",$F208="Main Primary Artist"),$F208,not(iserror(vlookup($F208,'Reference info'!$J$5:$J$8,1,0))),"Key Artist",not(iserror(vlookup($F208,'Reference info'!$J$38:$J$405,1,0))),"Performer",not(iserror(vlookup($F208,'Reference info'!$J$10:$J$36,1,0))),"Producer &amp; Engineer")</f>
        <v>Producer &amp; Engineer</v>
      </c>
    </row>
    <row r="209">
      <c r="A209" s="8">
        <v>9.995964340322E12</v>
      </c>
      <c r="B209" s="103"/>
      <c r="C209" s="8" t="s">
        <v>281</v>
      </c>
      <c r="D209" s="121" t="str">
        <f t="array" ref="D209">ifs(and(isblank($A209),isblank($B209)),"", not(iserror(vlookup($A209&amp;$B209,'3) Release_Label'!$D:$D&amp;'3) Release_Label'!$E:$E,1,0))),vlookup($A209&amp;$B209,{'3) Release_Label'!$D:$D&amp;'3) Release_Label'!$E:$E,'3) Release_Label'!$H:$H},2,0), or(and(not(isblank($B209)),$B209=$B208,$A209&lt;&gt;$A208),and(not(isblank($A209)),$A209=$A208,$B209&lt;&gt;$B208)),"ID LISTS UNALIGNED",and($A209&lt;&gt;"",countif('3) Release_Label'!$D:$D,$A209)=0),"NO UPC MATCH in Release_Label",and($B209&lt;&gt;"",countif('3) Release_Label'!$E:$E,$B209)=0),"NO CATALOG ID MATCH in Release_Label",iserror(vlookup($A209&amp;$B209,'3) Release_Label'!$D:$D&amp;'3) Release_Label'!$E:$E,1,0)),"NO UPC-CATALOG ID pair MATCH in Release_Label" )</f>
        <v/>
      </c>
      <c r="E209" s="8" t="s">
        <v>113</v>
      </c>
      <c r="F209" s="8" t="s">
        <v>326</v>
      </c>
      <c r="G209" s="123" t="str">
        <f t="array" ref="G209">ifs(or($F209="",$F209="Main Primary Artist"),$F209,not(iserror(vlookup($F209,'Reference info'!$J$5:$J$8,1,0))),"Key Artist",not(iserror(vlookup($F209,'Reference info'!$J$38:$J$405,1,0))),"Performer",not(iserror(vlookup($F209,'Reference info'!$J$10:$J$36,1,0))),"Producer &amp; Engineer")</f>
        <v>Producer &amp; Engineer</v>
      </c>
    </row>
    <row r="210">
      <c r="A210" s="8">
        <v>9.995964340483E12</v>
      </c>
      <c r="B210" s="103"/>
      <c r="C210" s="8" t="s">
        <v>283</v>
      </c>
      <c r="D210" s="121" t="str">
        <f t="array" ref="D210">ifs(and(isblank($A210),isblank($B210)),"", not(iserror(vlookup($A210&amp;$B210,'3) Release_Label'!$D:$D&amp;'3) Release_Label'!$E:$E,1,0))),vlookup($A210&amp;$B210,{'3) Release_Label'!$D:$D&amp;'3) Release_Label'!$E:$E,'3) Release_Label'!$H:$H},2,0), or(and(not(isblank($B210)),$B210=$B209,$A210&lt;&gt;$A209),and(not(isblank($A210)),$A210=$A209,$B210&lt;&gt;$B209)),"ID LISTS UNALIGNED",and($A210&lt;&gt;"",countif('3) Release_Label'!$D:$D,$A210)=0),"NO UPC MATCH in Release_Label",and($B210&lt;&gt;"",countif('3) Release_Label'!$E:$E,$B210)=0),"NO CATALOG ID MATCH in Release_Label",iserror(vlookup($A210&amp;$B210,'3) Release_Label'!$D:$D&amp;'3) Release_Label'!$E:$E,1,0)),"NO UPC-CATALOG ID pair MATCH in Release_Label" )</f>
        <v/>
      </c>
      <c r="E210" s="8" t="s">
        <v>113</v>
      </c>
      <c r="F210" s="8" t="s">
        <v>326</v>
      </c>
      <c r="G210" s="123" t="str">
        <f t="array" ref="G210">ifs(or($F210="",$F210="Main Primary Artist"),$F210,not(iserror(vlookup($F210,'Reference info'!$J$5:$J$8,1,0))),"Key Artist",not(iserror(vlookup($F210,'Reference info'!$J$38:$J$405,1,0))),"Performer",not(iserror(vlookup($F210,'Reference info'!$J$10:$J$36,1,0))),"Producer &amp; Engineer")</f>
        <v>Producer &amp; Engineer</v>
      </c>
    </row>
    <row r="211">
      <c r="A211" s="8">
        <v>9.995964340612E12</v>
      </c>
      <c r="B211" s="103"/>
      <c r="C211" s="8" t="s">
        <v>285</v>
      </c>
      <c r="D211" s="121" t="str">
        <f t="array" ref="D211">ifs(and(isblank($A211),isblank($B211)),"", not(iserror(vlookup($A211&amp;$B211,'3) Release_Label'!$D:$D&amp;'3) Release_Label'!$E:$E,1,0))),vlookup($A211&amp;$B211,{'3) Release_Label'!$D:$D&amp;'3) Release_Label'!$E:$E,'3) Release_Label'!$H:$H},2,0), or(and(not(isblank($B211)),$B211=$B210,$A211&lt;&gt;$A210),and(not(isblank($A211)),$A211=$A210,$B211&lt;&gt;$B210)),"ID LISTS UNALIGNED",and($A211&lt;&gt;"",countif('3) Release_Label'!$D:$D,$A211)=0),"NO UPC MATCH in Release_Label",and($B211&lt;&gt;"",countif('3) Release_Label'!$E:$E,$B211)=0),"NO CATALOG ID MATCH in Release_Label",iserror(vlookup($A211&amp;$B211,'3) Release_Label'!$D:$D&amp;'3) Release_Label'!$E:$E,1,0)),"NO UPC-CATALOG ID pair MATCH in Release_Label" )</f>
        <v/>
      </c>
      <c r="E211" s="8" t="s">
        <v>115</v>
      </c>
      <c r="F211" s="8" t="s">
        <v>326</v>
      </c>
      <c r="G211" s="123" t="str">
        <f t="array" ref="G211">ifs(or($F211="",$F211="Main Primary Artist"),$F211,not(iserror(vlookup($F211,'Reference info'!$J$5:$J$8,1,0))),"Key Artist",not(iserror(vlookup($F211,'Reference info'!$J$38:$J$405,1,0))),"Performer",not(iserror(vlookup($F211,'Reference info'!$J$10:$J$36,1,0))),"Producer &amp; Engineer")</f>
        <v>Producer &amp; Engineer</v>
      </c>
    </row>
    <row r="212">
      <c r="A212" s="8">
        <v>9.995964340759E12</v>
      </c>
      <c r="B212" s="103"/>
      <c r="C212" s="8" t="s">
        <v>287</v>
      </c>
      <c r="D212" s="121" t="str">
        <f t="array" ref="D212">ifs(and(isblank($A212),isblank($B212)),"", not(iserror(vlookup($A212&amp;$B212,'3) Release_Label'!$D:$D&amp;'3) Release_Label'!$E:$E,1,0))),vlookup($A212&amp;$B212,{'3) Release_Label'!$D:$D&amp;'3) Release_Label'!$E:$E,'3) Release_Label'!$H:$H},2,0), or(and(not(isblank($B212)),$B212=$B211,$A212&lt;&gt;$A211),and(not(isblank($A212)),$A212=$A211,$B212&lt;&gt;$B211)),"ID LISTS UNALIGNED",and($A212&lt;&gt;"",countif('3) Release_Label'!$D:$D,$A212)=0),"NO UPC MATCH in Release_Label",and($B212&lt;&gt;"",countif('3) Release_Label'!$E:$E,$B212)=0),"NO CATALOG ID MATCH in Release_Label",iserror(vlookup($A212&amp;$B212,'3) Release_Label'!$D:$D&amp;'3) Release_Label'!$E:$E,1,0)),"NO UPC-CATALOG ID pair MATCH in Release_Label" )</f>
        <v/>
      </c>
      <c r="E212" s="8" t="s">
        <v>113</v>
      </c>
      <c r="F212" s="8" t="s">
        <v>326</v>
      </c>
      <c r="G212" s="123" t="str">
        <f t="array" ref="G212">ifs(or($F212="",$F212="Main Primary Artist"),$F212,not(iserror(vlookup($F212,'Reference info'!$J$5:$J$8,1,0))),"Key Artist",not(iserror(vlookup($F212,'Reference info'!$J$38:$J$405,1,0))),"Performer",not(iserror(vlookup($F212,'Reference info'!$J$10:$J$36,1,0))),"Producer &amp; Engineer")</f>
        <v>Producer &amp; Engineer</v>
      </c>
    </row>
    <row r="213">
      <c r="A213" s="8">
        <v>9.995964340933E12</v>
      </c>
      <c r="B213" s="103"/>
      <c r="C213" s="8" t="s">
        <v>289</v>
      </c>
      <c r="D213" s="121" t="str">
        <f t="array" ref="D213">ifs(and(isblank($A213),isblank($B213)),"", not(iserror(vlookup($A213&amp;$B213,'3) Release_Label'!$D:$D&amp;'3) Release_Label'!$E:$E,1,0))),vlookup($A213&amp;$B213,{'3) Release_Label'!$D:$D&amp;'3) Release_Label'!$E:$E,'3) Release_Label'!$H:$H},2,0), or(and(not(isblank($B213)),$B213=$B212,$A213&lt;&gt;$A212),and(not(isblank($A213)),$A213=$A212,$B213&lt;&gt;$B212)),"ID LISTS UNALIGNED",and($A213&lt;&gt;"",countif('3) Release_Label'!$D:$D,$A213)=0),"NO UPC MATCH in Release_Label",and($B213&lt;&gt;"",countif('3) Release_Label'!$E:$E,$B213)=0),"NO CATALOG ID MATCH in Release_Label",iserror(vlookup($A213&amp;$B213,'3) Release_Label'!$D:$D&amp;'3) Release_Label'!$E:$E,1,0)),"NO UPC-CATALOG ID pair MATCH in Release_Label" )</f>
        <v/>
      </c>
      <c r="E213" s="8" t="s">
        <v>119</v>
      </c>
      <c r="F213" s="8" t="s">
        <v>326</v>
      </c>
      <c r="G213" s="123" t="str">
        <f t="array" ref="G213">ifs(or($F213="",$F213="Main Primary Artist"),$F213,not(iserror(vlookup($F213,'Reference info'!$J$5:$J$8,1,0))),"Key Artist",not(iserror(vlookup($F213,'Reference info'!$J$38:$J$405,1,0))),"Performer",not(iserror(vlookup($F213,'Reference info'!$J$10:$J$36,1,0))),"Producer &amp; Engineer")</f>
        <v>Producer &amp; Engineer</v>
      </c>
    </row>
    <row r="214">
      <c r="A214" s="8">
        <v>9.995964341268E12</v>
      </c>
      <c r="B214" s="103"/>
      <c r="C214" s="8" t="s">
        <v>291</v>
      </c>
      <c r="D214" s="121" t="str">
        <f t="array" ref="D214">ifs(and(isblank($A214),isblank($B214)),"", not(iserror(vlookup($A214&amp;$B214,'3) Release_Label'!$D:$D&amp;'3) Release_Label'!$E:$E,1,0))),vlookup($A214&amp;$B214,{'3) Release_Label'!$D:$D&amp;'3) Release_Label'!$E:$E,'3) Release_Label'!$H:$H},2,0), or(and(not(isblank($B214)),$B214=$B213,$A214&lt;&gt;$A213),and(not(isblank($A214)),$A214=$A213,$B214&lt;&gt;$B213)),"ID LISTS UNALIGNED",and($A214&lt;&gt;"",countif('3) Release_Label'!$D:$D,$A214)=0),"NO UPC MATCH in Release_Label",and($B214&lt;&gt;"",countif('3) Release_Label'!$E:$E,$B214)=0),"NO CATALOG ID MATCH in Release_Label",iserror(vlookup($A214&amp;$B214,'3) Release_Label'!$D:$D&amp;'3) Release_Label'!$E:$E,1,0)),"NO UPC-CATALOG ID pair MATCH in Release_Label" )</f>
        <v/>
      </c>
      <c r="E214" s="8" t="s">
        <v>123</v>
      </c>
      <c r="F214" s="8" t="s">
        <v>326</v>
      </c>
      <c r="G214" s="123" t="str">
        <f t="array" ref="G214">ifs(or($F214="",$F214="Main Primary Artist"),$F214,not(iserror(vlookup($F214,'Reference info'!$J$5:$J$8,1,0))),"Key Artist",not(iserror(vlookup($F214,'Reference info'!$J$38:$J$405,1,0))),"Performer",not(iserror(vlookup($F214,'Reference info'!$J$10:$J$36,1,0))),"Producer &amp; Engineer")</f>
        <v>Producer &amp; Engineer</v>
      </c>
    </row>
    <row r="215">
      <c r="A215" s="8">
        <v>9.995964341831E12</v>
      </c>
      <c r="B215" s="103"/>
      <c r="C215" s="8" t="s">
        <v>293</v>
      </c>
      <c r="D215" s="121" t="str">
        <f t="array" ref="D215">ifs(and(isblank($A215),isblank($B215)),"", not(iserror(vlookup($A215&amp;$B215,'3) Release_Label'!$D:$D&amp;'3) Release_Label'!$E:$E,1,0))),vlookup($A215&amp;$B215,{'3) Release_Label'!$D:$D&amp;'3) Release_Label'!$E:$E,'3) Release_Label'!$H:$H},2,0), or(and(not(isblank($B215)),$B215=$B214,$A215&lt;&gt;$A214),and(not(isblank($A215)),$A215=$A214,$B215&lt;&gt;$B214)),"ID LISTS UNALIGNED",and($A215&lt;&gt;"",countif('3) Release_Label'!$D:$D,$A215)=0),"NO UPC MATCH in Release_Label",and($B215&lt;&gt;"",countif('3) Release_Label'!$E:$E,$B215)=0),"NO CATALOG ID MATCH in Release_Label",iserror(vlookup($A215&amp;$B215,'3) Release_Label'!$D:$D&amp;'3) Release_Label'!$E:$E,1,0)),"NO UPC-CATALOG ID pair MATCH in Release_Label" )</f>
        <v/>
      </c>
      <c r="E215" s="8" t="s">
        <v>51</v>
      </c>
      <c r="F215" s="8" t="s">
        <v>326</v>
      </c>
      <c r="G215" s="123" t="str">
        <f t="array" ref="G215">ifs(or($F215="",$F215="Main Primary Artist"),$F215,not(iserror(vlookup($F215,'Reference info'!$J$5:$J$8,1,0))),"Key Artist",not(iserror(vlookup($F215,'Reference info'!$J$38:$J$405,1,0))),"Performer",not(iserror(vlookup($F215,'Reference info'!$J$10:$J$36,1,0))),"Producer &amp; Engineer")</f>
        <v>Producer &amp; Engineer</v>
      </c>
    </row>
    <row r="216">
      <c r="A216" s="8">
        <v>9.995964342975E12</v>
      </c>
      <c r="B216" s="103"/>
      <c r="C216" s="8" t="s">
        <v>295</v>
      </c>
      <c r="D216" s="121" t="str">
        <f t="array" ref="D216">ifs(and(isblank($A216),isblank($B216)),"", not(iserror(vlookup($A216&amp;$B216,'3) Release_Label'!$D:$D&amp;'3) Release_Label'!$E:$E,1,0))),vlookup($A216&amp;$B216,{'3) Release_Label'!$D:$D&amp;'3) Release_Label'!$E:$E,'3) Release_Label'!$H:$H},2,0), or(and(not(isblank($B216)),$B216=$B215,$A216&lt;&gt;$A215),and(not(isblank($A216)),$A216=$A215,$B216&lt;&gt;$B215)),"ID LISTS UNALIGNED",and($A216&lt;&gt;"",countif('3) Release_Label'!$D:$D,$A216)=0),"NO UPC MATCH in Release_Label",and($B216&lt;&gt;"",countif('3) Release_Label'!$E:$E,$B216)=0),"NO CATALOG ID MATCH in Release_Label",iserror(vlookup($A216&amp;$B216,'3) Release_Label'!$D:$D&amp;'3) Release_Label'!$E:$E,1,0)),"NO UPC-CATALOG ID pair MATCH in Release_Label" )</f>
        <v/>
      </c>
      <c r="E216" s="8" t="s">
        <v>115</v>
      </c>
      <c r="F216" s="8" t="s">
        <v>326</v>
      </c>
      <c r="G216" s="123" t="str">
        <f t="array" ref="G216">ifs(or($F216="",$F216="Main Primary Artist"),$F216,not(iserror(vlookup($F216,'Reference info'!$J$5:$J$8,1,0))),"Key Artist",not(iserror(vlookup($F216,'Reference info'!$J$38:$J$405,1,0))),"Performer",not(iserror(vlookup($F216,'Reference info'!$J$10:$J$36,1,0))),"Producer &amp; Engineer")</f>
        <v>Producer &amp; Engineer</v>
      </c>
    </row>
    <row r="217">
      <c r="A217" s="8">
        <v>9.995964343125E12</v>
      </c>
      <c r="B217" s="103"/>
      <c r="C217" s="8" t="s">
        <v>297</v>
      </c>
      <c r="D217" s="121" t="str">
        <f t="array" ref="D217">ifs(and(isblank($A217),isblank($B217)),"", not(iserror(vlookup($A217&amp;$B217,'3) Release_Label'!$D:$D&amp;'3) Release_Label'!$E:$E,1,0))),vlookup($A217&amp;$B217,{'3) Release_Label'!$D:$D&amp;'3) Release_Label'!$E:$E,'3) Release_Label'!$H:$H},2,0), or(and(not(isblank($B217)),$B217=$B216,$A217&lt;&gt;$A216),and(not(isblank($A217)),$A217=$A216,$B217&lt;&gt;$B216)),"ID LISTS UNALIGNED",and($A217&lt;&gt;"",countif('3) Release_Label'!$D:$D,$A217)=0),"NO UPC MATCH in Release_Label",and($B217&lt;&gt;"",countif('3) Release_Label'!$E:$E,$B217)=0),"NO CATALOG ID MATCH in Release_Label",iserror(vlookup($A217&amp;$B217,'3) Release_Label'!$D:$D&amp;'3) Release_Label'!$E:$E,1,0)),"NO UPC-CATALOG ID pair MATCH in Release_Label" )</f>
        <v/>
      </c>
      <c r="E217" s="8" t="s">
        <v>115</v>
      </c>
      <c r="F217" s="8" t="s">
        <v>326</v>
      </c>
      <c r="G217" s="123" t="str">
        <f t="array" ref="G217">ifs(or($F217="",$F217="Main Primary Artist"),$F217,not(iserror(vlookup($F217,'Reference info'!$J$5:$J$8,1,0))),"Key Artist",not(iserror(vlookup($F217,'Reference info'!$J$38:$J$405,1,0))),"Performer",not(iserror(vlookup($F217,'Reference info'!$J$10:$J$36,1,0))),"Producer &amp; Engineer")</f>
        <v>Producer &amp; Engineer</v>
      </c>
    </row>
    <row r="218">
      <c r="A218" s="8">
        <v>9.995964343309E12</v>
      </c>
      <c r="B218" s="103"/>
      <c r="C218" s="8" t="s">
        <v>299</v>
      </c>
      <c r="D218" s="121" t="str">
        <f t="array" ref="D218">ifs(and(isblank($A218),isblank($B218)),"", not(iserror(vlookup($A218&amp;$B218,'3) Release_Label'!$D:$D&amp;'3) Release_Label'!$E:$E,1,0))),vlookup($A218&amp;$B218,{'3) Release_Label'!$D:$D&amp;'3) Release_Label'!$E:$E,'3) Release_Label'!$H:$H},2,0), or(and(not(isblank($B218)),$B218=$B217,$A218&lt;&gt;$A217),and(not(isblank($A218)),$A218=$A217,$B218&lt;&gt;$B217)),"ID LISTS UNALIGNED",and($A218&lt;&gt;"",countif('3) Release_Label'!$D:$D,$A218)=0),"NO UPC MATCH in Release_Label",and($B218&lt;&gt;"",countif('3) Release_Label'!$E:$E,$B218)=0),"NO CATALOG ID MATCH in Release_Label",iserror(vlookup($A218&amp;$B218,'3) Release_Label'!$D:$D&amp;'3) Release_Label'!$E:$E,1,0)),"NO UPC-CATALOG ID pair MATCH in Release_Label" )</f>
        <v/>
      </c>
      <c r="E218" s="8" t="s">
        <v>115</v>
      </c>
      <c r="F218" s="8" t="s">
        <v>326</v>
      </c>
      <c r="G218" s="123" t="str">
        <f t="array" ref="G218">ifs(or($F218="",$F218="Main Primary Artist"),$F218,not(iserror(vlookup($F218,'Reference info'!$J$5:$J$8,1,0))),"Key Artist",not(iserror(vlookup($F218,'Reference info'!$J$38:$J$405,1,0))),"Performer",not(iserror(vlookup($F218,'Reference info'!$J$10:$J$36,1,0))),"Producer &amp; Engineer")</f>
        <v>Producer &amp; Engineer</v>
      </c>
    </row>
    <row r="219">
      <c r="A219" s="8">
        <v>9.995964343538E12</v>
      </c>
      <c r="B219" s="103"/>
      <c r="C219" s="8" t="s">
        <v>301</v>
      </c>
      <c r="D219" s="121" t="str">
        <f t="array" ref="D219">ifs(and(isblank($A219),isblank($B219)),"", not(iserror(vlookup($A219&amp;$B219,'3) Release_Label'!$D:$D&amp;'3) Release_Label'!$E:$E,1,0))),vlookup($A219&amp;$B219,{'3) Release_Label'!$D:$D&amp;'3) Release_Label'!$E:$E,'3) Release_Label'!$H:$H},2,0), or(and(not(isblank($B219)),$B219=$B218,$A219&lt;&gt;$A218),and(not(isblank($A219)),$A219=$A218,$B219&lt;&gt;$B218)),"ID LISTS UNALIGNED",and($A219&lt;&gt;"",countif('3) Release_Label'!$D:$D,$A219)=0),"NO UPC MATCH in Release_Label",and($B219&lt;&gt;"",countif('3) Release_Label'!$E:$E,$B219)=0),"NO CATALOG ID MATCH in Release_Label",iserror(vlookup($A219&amp;$B219,'3) Release_Label'!$D:$D&amp;'3) Release_Label'!$E:$E,1,0)),"NO UPC-CATALOG ID pair MATCH in Release_Label" )</f>
        <v/>
      </c>
      <c r="E219" s="8" t="s">
        <v>115</v>
      </c>
      <c r="F219" s="8" t="s">
        <v>326</v>
      </c>
      <c r="G219" s="123" t="str">
        <f t="array" ref="G219">ifs(or($F219="",$F219="Main Primary Artist"),$F219,not(iserror(vlookup($F219,'Reference info'!$J$5:$J$8,1,0))),"Key Artist",not(iserror(vlookup($F219,'Reference info'!$J$38:$J$405,1,0))),"Performer",not(iserror(vlookup($F219,'Reference info'!$J$10:$J$36,1,0))),"Producer &amp; Engineer")</f>
        <v>Producer &amp; Engineer</v>
      </c>
    </row>
    <row r="220">
      <c r="A220" s="8">
        <v>9.99596434391E12</v>
      </c>
      <c r="B220" s="103"/>
      <c r="C220" s="8" t="s">
        <v>303</v>
      </c>
      <c r="D220" s="121" t="str">
        <f t="array" ref="D220">ifs(and(isblank($A220),isblank($B220)),"", not(iserror(vlookup($A220&amp;$B220,'3) Release_Label'!$D:$D&amp;'3) Release_Label'!$E:$E,1,0))),vlookup($A220&amp;$B220,{'3) Release_Label'!$D:$D&amp;'3) Release_Label'!$E:$E,'3) Release_Label'!$H:$H},2,0), or(and(not(isblank($B220)),$B220=$B219,$A220&lt;&gt;$A219),and(not(isblank($A220)),$A220=$A219,$B220&lt;&gt;$B219)),"ID LISTS UNALIGNED",and($A220&lt;&gt;"",countif('3) Release_Label'!$D:$D,$A220)=0),"NO UPC MATCH in Release_Label",and($B220&lt;&gt;"",countif('3) Release_Label'!$E:$E,$B220)=0),"NO CATALOG ID MATCH in Release_Label",iserror(vlookup($A220&amp;$B220,'3) Release_Label'!$D:$D&amp;'3) Release_Label'!$E:$E,1,0)),"NO UPC-CATALOG ID pair MATCH in Release_Label" )</f>
        <v/>
      </c>
      <c r="E220" s="8" t="s">
        <v>115</v>
      </c>
      <c r="F220" s="8" t="s">
        <v>326</v>
      </c>
      <c r="G220" s="123" t="str">
        <f t="array" ref="G220">ifs(or($F220="",$F220="Main Primary Artist"),$F220,not(iserror(vlookup($F220,'Reference info'!$J$5:$J$8,1,0))),"Key Artist",not(iserror(vlookup($F220,'Reference info'!$J$38:$J$405,1,0))),"Performer",not(iserror(vlookup($F220,'Reference info'!$J$10:$J$36,1,0))),"Producer &amp; Engineer")</f>
        <v>Producer &amp; Engineer</v>
      </c>
    </row>
    <row r="221">
      <c r="A221" s="8">
        <v>9.995964351885E12</v>
      </c>
      <c r="B221" s="103"/>
      <c r="C221" s="8" t="s">
        <v>305</v>
      </c>
      <c r="D221" s="121" t="str">
        <f t="array" ref="D221">ifs(and(isblank($A221),isblank($B221)),"", not(iserror(vlookup($A221&amp;$B221,'3) Release_Label'!$D:$D&amp;'3) Release_Label'!$E:$E,1,0))),vlookup($A221&amp;$B221,{'3) Release_Label'!$D:$D&amp;'3) Release_Label'!$E:$E,'3) Release_Label'!$H:$H},2,0), or(and(not(isblank($B221)),$B221=$B220,$A221&lt;&gt;$A220),and(not(isblank($A221)),$A221=$A220,$B221&lt;&gt;$B220)),"ID LISTS UNALIGNED",and($A221&lt;&gt;"",countif('3) Release_Label'!$D:$D,$A221)=0),"NO UPC MATCH in Release_Label",and($B221&lt;&gt;"",countif('3) Release_Label'!$E:$E,$B221)=0),"NO CATALOG ID MATCH in Release_Label",iserror(vlookup($A221&amp;$B221,'3) Release_Label'!$D:$D&amp;'3) Release_Label'!$E:$E,1,0)),"NO UPC-CATALOG ID pair MATCH in Release_Label" )</f>
        <v/>
      </c>
      <c r="E221" s="8" t="s">
        <v>47</v>
      </c>
      <c r="F221" s="8" t="s">
        <v>326</v>
      </c>
      <c r="G221" s="123" t="str">
        <f t="array" ref="G221">ifs(or($F221="",$F221="Main Primary Artist"),$F221,not(iserror(vlookup($F221,'Reference info'!$J$5:$J$8,1,0))),"Key Artist",not(iserror(vlookup($F221,'Reference info'!$J$38:$J$405,1,0))),"Performer",not(iserror(vlookup($F221,'Reference info'!$J$10:$J$36,1,0))),"Producer &amp; Engineer")</f>
        <v>Producer &amp; Engineer</v>
      </c>
    </row>
    <row r="222">
      <c r="A222" s="8">
        <v>9.995964366124E12</v>
      </c>
      <c r="B222" s="103"/>
      <c r="C222" s="8" t="s">
        <v>307</v>
      </c>
      <c r="D222" s="121" t="str">
        <f t="array" ref="D222">ifs(and(isblank($A222),isblank($B222)),"", not(iserror(vlookup($A222&amp;$B222,'3) Release_Label'!$D:$D&amp;'3) Release_Label'!$E:$E,1,0))),vlookup($A222&amp;$B222,{'3) Release_Label'!$D:$D&amp;'3) Release_Label'!$E:$E,'3) Release_Label'!$H:$H},2,0), or(and(not(isblank($B222)),$B222=#REF!,$A222&lt;&gt;#REF!),and(not(isblank($A222)),$A222=#REF!,$B222&lt;&gt;#REF!)),"ID LISTS UNALIGNED",and($A222&lt;&gt;"",countif('3) Release_Label'!$D:$D,$A222)=0),"NO UPC MATCH in Release_Label",and($B222&lt;&gt;"",countif('3) Release_Label'!$E:$E,$B222)=0),"NO CATALOG ID MATCH in Release_Label",iserror(vlookup($A222&amp;$B222,'3) Release_Label'!$D:$D&amp;'3) Release_Label'!$E:$E,1,0)),"NO UPC-CATALOG ID pair MATCH in Release_Label" )</f>
        <v/>
      </c>
      <c r="E222" s="8" t="s">
        <v>115</v>
      </c>
      <c r="F222" s="8" t="s">
        <v>326</v>
      </c>
      <c r="G222" s="123" t="str">
        <f t="array" ref="G222">ifs(or($F222="",$F222="Main Primary Artist"),$F222,not(iserror(vlookup($F222,'Reference info'!$J$5:$J$8,1,0))),"Key Artist",not(iserror(vlookup($F222,'Reference info'!$J$38:$J$405,1,0))),"Performer",not(iserror(vlookup($F222,'Reference info'!$J$10:$J$36,1,0))),"Producer &amp; Engineer")</f>
        <v>Producer &amp; Engineer</v>
      </c>
    </row>
    <row r="223">
      <c r="A223" s="8">
        <v>9.995964367343E12</v>
      </c>
      <c r="B223" s="103"/>
      <c r="C223" s="8" t="s">
        <v>309</v>
      </c>
      <c r="D223" s="121" t="str">
        <f t="array" ref="D223">ifs(and(isblank($A223),isblank($B223)),"", not(iserror(vlookup($A223&amp;$B223,'3) Release_Label'!$D:$D&amp;'3) Release_Label'!$E:$E,1,0))),vlookup($A223&amp;$B223,{'3) Release_Label'!$D:$D&amp;'3) Release_Label'!$E:$E,'3) Release_Label'!$H:$H},2,0), or(and(not(isblank($B223)),$B223=$B222,$A223&lt;&gt;$A222),and(not(isblank($A223)),$A223=$A222,$B223&lt;&gt;$B222)),"ID LISTS UNALIGNED",and($A223&lt;&gt;"",countif('3) Release_Label'!$D:$D,$A223)=0),"NO UPC MATCH in Release_Label",and($B223&lt;&gt;"",countif('3) Release_Label'!$E:$E,$B223)=0),"NO CATALOG ID MATCH in Release_Label",iserror(vlookup($A223&amp;$B223,'3) Release_Label'!$D:$D&amp;'3) Release_Label'!$E:$E,1,0)),"NO UPC-CATALOG ID pair MATCH in Release_Label" )</f>
        <v/>
      </c>
      <c r="E223" s="8" t="s">
        <v>115</v>
      </c>
      <c r="F223" s="8" t="s">
        <v>326</v>
      </c>
      <c r="G223" s="123" t="str">
        <f t="array" ref="G223">ifs(or($F223="",$F223="Main Primary Artist"),$F223,not(iserror(vlookup($F223,'Reference info'!$J$5:$J$8,1,0))),"Key Artist",not(iserror(vlookup($F223,'Reference info'!$J$38:$J$405,1,0))),"Performer",not(iserror(vlookup($F223,'Reference info'!$J$10:$J$36,1,0))),"Producer &amp; Engineer")</f>
        <v>Producer &amp; Engineer</v>
      </c>
    </row>
    <row r="224">
      <c r="A224" s="8">
        <v>9.995964368173E12</v>
      </c>
      <c r="B224" s="103"/>
      <c r="C224" s="8" t="s">
        <v>311</v>
      </c>
      <c r="D224" s="121" t="str">
        <f t="array" ref="D224">ifs(and(isblank($A224),isblank($B224)),"", not(iserror(vlookup($A224&amp;$B224,'3) Release_Label'!$D:$D&amp;'3) Release_Label'!$E:$E,1,0))),vlookup($A224&amp;$B224,{'3) Release_Label'!$D:$D&amp;'3) Release_Label'!$E:$E,'3) Release_Label'!$H:$H},2,0), or(and(not(isblank($B224)),$B224=$B223,$A224&lt;&gt;$A223),and(not(isblank($A224)),$A224=$A223,$B224&lt;&gt;$B223)),"ID LISTS UNALIGNED",and($A224&lt;&gt;"",countif('3) Release_Label'!$D:$D,$A224)=0),"NO UPC MATCH in Release_Label",and($B224&lt;&gt;"",countif('3) Release_Label'!$E:$E,$B224)=0),"NO CATALOG ID MATCH in Release_Label",iserror(vlookup($A224&amp;$B224,'3) Release_Label'!$D:$D&amp;'3) Release_Label'!$E:$E,1,0)),"NO UPC-CATALOG ID pair MATCH in Release_Label" )</f>
        <v/>
      </c>
      <c r="E224" s="8" t="s">
        <v>127</v>
      </c>
      <c r="F224" s="8" t="s">
        <v>326</v>
      </c>
      <c r="G224" s="123" t="str">
        <f t="array" ref="G224">ifs(or($F224="",$F224="Main Primary Artist"),$F224,not(iserror(vlookup($F224,'Reference info'!$J$5:$J$8,1,0))),"Key Artist",not(iserror(vlookup($F224,'Reference info'!$J$38:$J$405,1,0))),"Performer",not(iserror(vlookup($F224,'Reference info'!$J$10:$J$36,1,0))),"Producer &amp; Engineer")</f>
        <v>Producer &amp; Engineer</v>
      </c>
    </row>
    <row r="225">
      <c r="A225" s="8">
        <v>9.999552111417E12</v>
      </c>
      <c r="B225" s="103"/>
      <c r="C225" s="8" t="s">
        <v>313</v>
      </c>
      <c r="D225" s="121" t="str">
        <f t="array" ref="D225">ifs(and(isblank($A225),isblank($B225)),"", not(iserror(vlookup($A225&amp;$B225,'3) Release_Label'!$D:$D&amp;'3) Release_Label'!$E:$E,1,0))),vlookup($A225&amp;$B225,{'3) Release_Label'!$D:$D&amp;'3) Release_Label'!$E:$E,'3) Release_Label'!$H:$H},2,0), or(and(not(isblank($B225)),$B225=$B224,$A225&lt;&gt;$A224),and(not(isblank($A225)),$A225=$A224,$B225&lt;&gt;$B224)),"ID LISTS UNALIGNED",and($A225&lt;&gt;"",countif('3) Release_Label'!$D:$D,$A225)=0),"NO UPC MATCH in Release_Label",and($B225&lt;&gt;"",countif('3) Release_Label'!$E:$E,$B225)=0),"NO CATALOG ID MATCH in Release_Label",iserror(vlookup($A225&amp;$B225,'3) Release_Label'!$D:$D&amp;'3) Release_Label'!$E:$E,1,0)),"NO UPC-CATALOG ID pair MATCH in Release_Label" )</f>
        <v/>
      </c>
      <c r="E225" s="8" t="s">
        <v>129</v>
      </c>
      <c r="F225" s="8" t="s">
        <v>326</v>
      </c>
      <c r="G225" s="123" t="str">
        <f t="array" ref="G225">ifs(or($F225="",$F225="Main Primary Artist"),$F225,not(iserror(vlookup($F225,'Reference info'!$J$5:$J$8,1,0))),"Key Artist",not(iserror(vlookup($F225,'Reference info'!$J$38:$J$405,1,0))),"Performer",not(iserror(vlookup($F225,'Reference info'!$J$10:$J$36,1,0))),"Producer &amp; Engineer")</f>
        <v>Producer &amp; Engineer</v>
      </c>
    </row>
    <row r="226">
      <c r="A226" s="28"/>
      <c r="B226" s="103"/>
      <c r="C226" s="121" t="str">
        <f t="array" ref="C226">ifs(and(isblank($A226),isblank($B226)),"", not(iserror(vlookup($A226&amp;$B226,'3) Release_Label'!$D:$D&amp;'3) Release_Label'!$E:$E,1,0))),vlookup($A226&amp;$B226,{'3) Release_Label'!$D:$D&amp;'3) Release_Label'!$E:$E,'3) Release_Label'!$F:$F},2,0), or(and(not(isblank($B226)),$B226=#REF!,$A226&lt;&gt;#REF!),and(not(isblank($A226)),$A226=#REF!,$B226&lt;&gt;#REF!)),"ID LISTS UNALIGNED",and($A226&lt;&gt;"",countif('3) Release_Label'!$D:$D,$A226)=0),"NO UPC MATCH in Release_Label",and($B226&lt;&gt;"",countif('3) Release_Label'!$E:$E,$B226)=0),"NO CATALOG ID MATCH in Release_Label",iserror(vlookup($A226&amp;$B226,'3) Release_Label'!$D:$D&amp;'3) Release_Label'!$E:$E,1,0)),"NO UPC-CATALOG ID pair MATCH in Release_Label" )</f>
        <v/>
      </c>
      <c r="D226" s="121" t="str">
        <f t="array" ref="D226">ifs(and(isblank($A226),isblank($B226)),"", not(iserror(vlookup($A226&amp;$B226,'3) Release_Label'!$D:$D&amp;'3) Release_Label'!$E:$E,1,0))),vlookup($A226&amp;$B226,{'3) Release_Label'!$D:$D&amp;'3) Release_Label'!$E:$E,'3) Release_Label'!$H:$H},2,0), or(and(not(isblank($B226)),$B226=#REF!,$A226&lt;&gt;#REF!),and(not(isblank($A226)),$A226=#REF!,$B226&lt;&gt;#REF!)),"ID LISTS UNALIGNED",and($A226&lt;&gt;"",countif('3) Release_Label'!$D:$D,$A226)=0),"NO UPC MATCH in Release_Label",and($B226&lt;&gt;"",countif('3) Release_Label'!$E:$E,$B226)=0),"NO CATALOG ID MATCH in Release_Label",iserror(vlookup($A226&amp;$B226,'3) Release_Label'!$D:$D&amp;'3) Release_Label'!$E:$E,1,0)),"NO UPC-CATALOG ID pair MATCH in Release_Label" )</f>
        <v/>
      </c>
      <c r="E226" s="99"/>
      <c r="F226" s="99"/>
      <c r="G226" s="123" t="str">
        <f t="array" ref="G226">ifs(or($F226="",$F226="Main Primary Artist"),$F226,not(iserror(vlookup($F226,'Reference info'!$J$5:$J$8,1,0))),"Key Artist",not(iserror(vlookup($F226,'Reference info'!$J$38:$J$405,1,0))),"Performer",not(iserror(vlookup($F226,'Reference info'!$J$10:$J$36,1,0))),"Producer &amp; Engineer")</f>
        <v/>
      </c>
    </row>
    <row r="227">
      <c r="A227" s="28"/>
      <c r="B227" s="103"/>
      <c r="C227" s="121" t="str">
        <f t="array" ref="C227">ifs(and(isblank($A227),isblank($B227)),"", not(iserror(vlookup($A227&amp;$B227,'3) Release_Label'!$D:$D&amp;'3) Release_Label'!$E:$E,1,0))),vlookup($A227&amp;$B227,{'3) Release_Label'!$D:$D&amp;'3) Release_Label'!$E:$E,'3) Release_Label'!$F:$F},2,0), or(and(not(isblank($B227)),$B227=$B226,$A227&lt;&gt;$A226),and(not(isblank($A227)),$A227=$A226,$B227&lt;&gt;$B226)),"ID LISTS UNALIGNED",and($A227&lt;&gt;"",countif('3) Release_Label'!$D:$D,$A227)=0),"NO UPC MATCH in Release_Label",and($B227&lt;&gt;"",countif('3) Release_Label'!$E:$E,$B227)=0),"NO CATALOG ID MATCH in Release_Label",iserror(vlookup($A227&amp;$B227,'3) Release_Label'!$D:$D&amp;'3) Release_Label'!$E:$E,1,0)),"NO UPC-CATALOG ID pair MATCH in Release_Label" )</f>
        <v/>
      </c>
      <c r="D227" s="121" t="str">
        <f t="array" ref="D227">ifs(and(isblank($A227),isblank($B227)),"", not(iserror(vlookup($A227&amp;$B227,'3) Release_Label'!$D:$D&amp;'3) Release_Label'!$E:$E,1,0))),vlookup($A227&amp;$B227,{'3) Release_Label'!$D:$D&amp;'3) Release_Label'!$E:$E,'3) Release_Label'!$H:$H},2,0), or(and(not(isblank($B227)),$B227=$B226,$A227&lt;&gt;$A226),and(not(isblank($A227)),$A227=$A226,$B227&lt;&gt;$B226)),"ID LISTS UNALIGNED",and($A227&lt;&gt;"",countif('3) Release_Label'!$D:$D,$A227)=0),"NO UPC MATCH in Release_Label",and($B227&lt;&gt;"",countif('3) Release_Label'!$E:$E,$B227)=0),"NO CATALOG ID MATCH in Release_Label",iserror(vlookup($A227&amp;$B227,'3) Release_Label'!$D:$D&amp;'3) Release_Label'!$E:$E,1,0)),"NO UPC-CATALOG ID pair MATCH in Release_Label" )</f>
        <v/>
      </c>
      <c r="E227" s="99"/>
      <c r="F227" s="99"/>
      <c r="G227" s="123" t="str">
        <f t="array" ref="G227">ifs(or($F227="",$F227="Main Primary Artist"),$F227,not(iserror(vlookup($F227,'Reference info'!$J$5:$J$8,1,0))),"Key Artist",not(iserror(vlookup($F227,'Reference info'!$J$38:$J$405,1,0))),"Performer",not(iserror(vlookup($F227,'Reference info'!$J$10:$J$36,1,0))),"Producer &amp; Engineer")</f>
        <v/>
      </c>
    </row>
    <row r="228">
      <c r="A228" s="28"/>
      <c r="B228" s="103"/>
      <c r="C228" s="121" t="str">
        <f t="array" ref="C228">ifs(and(isblank($A228),isblank($B228)),"", not(iserror(vlookup($A228&amp;$B228,'3) Release_Label'!$D:$D&amp;'3) Release_Label'!$E:$E,1,0))),vlookup($A228&amp;$B228,{'3) Release_Label'!$D:$D&amp;'3) Release_Label'!$E:$E,'3) Release_Label'!$F:$F},2,0), or(and(not(isblank($B228)),$B228=$B227,$A228&lt;&gt;$A227),and(not(isblank($A228)),$A228=$A227,$B228&lt;&gt;$B227)),"ID LISTS UNALIGNED",and($A228&lt;&gt;"",countif('3) Release_Label'!$D:$D,$A228)=0),"NO UPC MATCH in Release_Label",and($B228&lt;&gt;"",countif('3) Release_Label'!$E:$E,$B228)=0),"NO CATALOG ID MATCH in Release_Label",iserror(vlookup($A228&amp;$B228,'3) Release_Label'!$D:$D&amp;'3) Release_Label'!$E:$E,1,0)),"NO UPC-CATALOG ID pair MATCH in Release_Label" )</f>
        <v/>
      </c>
      <c r="D228" s="121" t="str">
        <f t="array" ref="D228">ifs(and(isblank($A228),isblank($B228)),"", not(iserror(vlookup($A228&amp;$B228,'3) Release_Label'!$D:$D&amp;'3) Release_Label'!$E:$E,1,0))),vlookup($A228&amp;$B228,{'3) Release_Label'!$D:$D&amp;'3) Release_Label'!$E:$E,'3) Release_Label'!$H:$H},2,0), or(and(not(isblank($B228)),$B228=$B227,$A228&lt;&gt;$A227),and(not(isblank($A228)),$A228=$A227,$B228&lt;&gt;$B227)),"ID LISTS UNALIGNED",and($A228&lt;&gt;"",countif('3) Release_Label'!$D:$D,$A228)=0),"NO UPC MATCH in Release_Label",and($B228&lt;&gt;"",countif('3) Release_Label'!$E:$E,$B228)=0),"NO CATALOG ID MATCH in Release_Label",iserror(vlookup($A228&amp;$B228,'3) Release_Label'!$D:$D&amp;'3) Release_Label'!$E:$E,1,0)),"NO UPC-CATALOG ID pair MATCH in Release_Label" )</f>
        <v/>
      </c>
      <c r="E228" s="99"/>
      <c r="F228" s="99"/>
      <c r="G228" s="123" t="str">
        <f t="array" ref="G228">ifs(or($F228="",$F228="Main Primary Artist"),$F228,not(iserror(vlookup($F228,'Reference info'!$J$5:$J$8,1,0))),"Key Artist",not(iserror(vlookup($F228,'Reference info'!$J$38:$J$405,1,0))),"Performer",not(iserror(vlookup($F228,'Reference info'!$J$10:$J$36,1,0))),"Producer &amp; Engineer")</f>
        <v/>
      </c>
    </row>
    <row r="229">
      <c r="A229" s="28"/>
      <c r="B229" s="103"/>
      <c r="C229" s="121" t="str">
        <f t="array" ref="C229">ifs(and(isblank($A229),isblank($B229)),"", not(iserror(vlookup($A229&amp;$B229,'3) Release_Label'!$D:$D&amp;'3) Release_Label'!$E:$E,1,0))),vlookup($A229&amp;$B229,{'3) Release_Label'!$D:$D&amp;'3) Release_Label'!$E:$E,'3) Release_Label'!$F:$F},2,0), or(and(not(isblank($B229)),$B229=$B228,$A229&lt;&gt;$A228),and(not(isblank($A229)),$A229=$A228,$B229&lt;&gt;$B228)),"ID LISTS UNALIGNED",and($A229&lt;&gt;"",countif('3) Release_Label'!$D:$D,$A229)=0),"NO UPC MATCH in Release_Label",and($B229&lt;&gt;"",countif('3) Release_Label'!$E:$E,$B229)=0),"NO CATALOG ID MATCH in Release_Label",iserror(vlookup($A229&amp;$B229,'3) Release_Label'!$D:$D&amp;'3) Release_Label'!$E:$E,1,0)),"NO UPC-CATALOG ID pair MATCH in Release_Label" )</f>
        <v/>
      </c>
      <c r="D229" s="121" t="str">
        <f t="array" ref="D229">ifs(and(isblank($A229),isblank($B229)),"", not(iserror(vlookup($A229&amp;$B229,'3) Release_Label'!$D:$D&amp;'3) Release_Label'!$E:$E,1,0))),vlookup($A229&amp;$B229,{'3) Release_Label'!$D:$D&amp;'3) Release_Label'!$E:$E,'3) Release_Label'!$H:$H},2,0), or(and(not(isblank($B229)),$B229=$B228,$A229&lt;&gt;$A228),and(not(isblank($A229)),$A229=$A228,$B229&lt;&gt;$B228)),"ID LISTS UNALIGNED",and($A229&lt;&gt;"",countif('3) Release_Label'!$D:$D,$A229)=0),"NO UPC MATCH in Release_Label",and($B229&lt;&gt;"",countif('3) Release_Label'!$E:$E,$B229)=0),"NO CATALOG ID MATCH in Release_Label",iserror(vlookup($A229&amp;$B229,'3) Release_Label'!$D:$D&amp;'3) Release_Label'!$E:$E,1,0)),"NO UPC-CATALOG ID pair MATCH in Release_Label" )</f>
        <v/>
      </c>
      <c r="E229" s="99"/>
      <c r="F229" s="99"/>
      <c r="G229" s="123" t="str">
        <f t="array" ref="G229">ifs(or($F229="",$F229="Main Primary Artist"),$F229,not(iserror(vlookup($F229,'Reference info'!$J$5:$J$8,1,0))),"Key Artist",not(iserror(vlookup($F229,'Reference info'!$J$38:$J$405,1,0))),"Performer",not(iserror(vlookup($F229,'Reference info'!$J$10:$J$36,1,0))),"Producer &amp; Engineer")</f>
        <v/>
      </c>
    </row>
    <row r="230">
      <c r="A230" s="28"/>
      <c r="B230" s="103"/>
      <c r="C230" s="121" t="str">
        <f t="array" ref="C230">ifs(and(isblank($A230),isblank($B230)),"", not(iserror(vlookup($A230&amp;$B230,'3) Release_Label'!$D:$D&amp;'3) Release_Label'!$E:$E,1,0))),vlookup($A230&amp;$B230,{'3) Release_Label'!$D:$D&amp;'3) Release_Label'!$E:$E,'3) Release_Label'!$F:$F},2,0), or(and(not(isblank($B230)),$B230=$B229,$A230&lt;&gt;$A229),and(not(isblank($A230)),$A230=$A229,$B230&lt;&gt;$B229)),"ID LISTS UNALIGNED",and($A230&lt;&gt;"",countif('3) Release_Label'!$D:$D,$A230)=0),"NO UPC MATCH in Release_Label",and($B230&lt;&gt;"",countif('3) Release_Label'!$E:$E,$B230)=0),"NO CATALOG ID MATCH in Release_Label",iserror(vlookup($A230&amp;$B230,'3) Release_Label'!$D:$D&amp;'3) Release_Label'!$E:$E,1,0)),"NO UPC-CATALOG ID pair MATCH in Release_Label" )</f>
        <v/>
      </c>
      <c r="D230" s="121" t="str">
        <f t="array" ref="D230">ifs(and(isblank($A230),isblank($B230)),"", not(iserror(vlookup($A230&amp;$B230,'3) Release_Label'!$D:$D&amp;'3) Release_Label'!$E:$E,1,0))),vlookup($A230&amp;$B230,{'3) Release_Label'!$D:$D&amp;'3) Release_Label'!$E:$E,'3) Release_Label'!$H:$H},2,0), or(and(not(isblank($B230)),$B230=$B229,$A230&lt;&gt;$A229),and(not(isblank($A230)),$A230=$A229,$B230&lt;&gt;$B229)),"ID LISTS UNALIGNED",and($A230&lt;&gt;"",countif('3) Release_Label'!$D:$D,$A230)=0),"NO UPC MATCH in Release_Label",and($B230&lt;&gt;"",countif('3) Release_Label'!$E:$E,$B230)=0),"NO CATALOG ID MATCH in Release_Label",iserror(vlookup($A230&amp;$B230,'3) Release_Label'!$D:$D&amp;'3) Release_Label'!$E:$E,1,0)),"NO UPC-CATALOG ID pair MATCH in Release_Label" )</f>
        <v/>
      </c>
      <c r="E230" s="99"/>
      <c r="F230" s="99"/>
      <c r="G230" s="123" t="str">
        <f t="array" ref="G230">ifs(or($F230="",$F230="Main Primary Artist"),$F230,not(iserror(vlookup($F230,'Reference info'!$J$5:$J$8,1,0))),"Key Artist",not(iserror(vlookup($F230,'Reference info'!$J$38:$J$405,1,0))),"Performer",not(iserror(vlookup($F230,'Reference info'!$J$10:$J$36,1,0))),"Producer &amp; Engineer")</f>
        <v/>
      </c>
    </row>
    <row r="231">
      <c r="A231" s="28"/>
      <c r="B231" s="103"/>
      <c r="C231" s="121" t="str">
        <f t="array" ref="C231">ifs(and(isblank($A231),isblank($B231)),"", not(iserror(vlookup($A231&amp;$B231,'3) Release_Label'!$D:$D&amp;'3) Release_Label'!$E:$E,1,0))),vlookup($A231&amp;$B231,{'3) Release_Label'!$D:$D&amp;'3) Release_Label'!$E:$E,'3) Release_Label'!$F:$F},2,0), or(and(not(isblank($B231)),$B231=$B230,$A231&lt;&gt;$A230),and(not(isblank($A231)),$A231=$A230,$B231&lt;&gt;$B230)),"ID LISTS UNALIGNED",and($A231&lt;&gt;"",countif('3) Release_Label'!$D:$D,$A231)=0),"NO UPC MATCH in Release_Label",and($B231&lt;&gt;"",countif('3) Release_Label'!$E:$E,$B231)=0),"NO CATALOG ID MATCH in Release_Label",iserror(vlookup($A231&amp;$B231,'3) Release_Label'!$D:$D&amp;'3) Release_Label'!$E:$E,1,0)),"NO UPC-CATALOG ID pair MATCH in Release_Label" )</f>
        <v/>
      </c>
      <c r="D231" s="121" t="str">
        <f t="array" ref="D231">ifs(and(isblank($A231),isblank($B231)),"", not(iserror(vlookup($A231&amp;$B231,'3) Release_Label'!$D:$D&amp;'3) Release_Label'!$E:$E,1,0))),vlookup($A231&amp;$B231,{'3) Release_Label'!$D:$D&amp;'3) Release_Label'!$E:$E,'3) Release_Label'!$H:$H},2,0), or(and(not(isblank($B231)),$B231=$B230,$A231&lt;&gt;$A230),and(not(isblank($A231)),$A231=$A230,$B231&lt;&gt;$B230)),"ID LISTS UNALIGNED",and($A231&lt;&gt;"",countif('3) Release_Label'!$D:$D,$A231)=0),"NO UPC MATCH in Release_Label",and($B231&lt;&gt;"",countif('3) Release_Label'!$E:$E,$B231)=0),"NO CATALOG ID MATCH in Release_Label",iserror(vlookup($A231&amp;$B231,'3) Release_Label'!$D:$D&amp;'3) Release_Label'!$E:$E,1,0)),"NO UPC-CATALOG ID pair MATCH in Release_Label" )</f>
        <v/>
      </c>
      <c r="E231" s="99"/>
      <c r="F231" s="99"/>
      <c r="G231" s="123" t="str">
        <f t="array" ref="G231">ifs(or($F231="",$F231="Main Primary Artist"),$F231,not(iserror(vlookup($F231,'Reference info'!$J$5:$J$8,1,0))),"Key Artist",not(iserror(vlookup($F231,'Reference info'!$J$38:$J$405,1,0))),"Performer",not(iserror(vlookup($F231,'Reference info'!$J$10:$J$36,1,0))),"Producer &amp; Engineer")</f>
        <v/>
      </c>
    </row>
    <row r="232">
      <c r="A232" s="28"/>
      <c r="B232" s="103"/>
      <c r="C232" s="121" t="str">
        <f t="array" ref="C232">ifs(and(isblank($A232),isblank($B232)),"", not(iserror(vlookup($A232&amp;$B232,'3) Release_Label'!$D:$D&amp;'3) Release_Label'!$E:$E,1,0))),vlookup($A232&amp;$B232,{'3) Release_Label'!$D:$D&amp;'3) Release_Label'!$E:$E,'3) Release_Label'!$F:$F},2,0), or(and(not(isblank($B232)),$B232=$B231,$A232&lt;&gt;$A231),and(not(isblank($A232)),$A232=$A231,$B232&lt;&gt;$B231)),"ID LISTS UNALIGNED",and($A232&lt;&gt;"",countif('3) Release_Label'!$D:$D,$A232)=0),"NO UPC MATCH in Release_Label",and($B232&lt;&gt;"",countif('3) Release_Label'!$E:$E,$B232)=0),"NO CATALOG ID MATCH in Release_Label",iserror(vlookup($A232&amp;$B232,'3) Release_Label'!$D:$D&amp;'3) Release_Label'!$E:$E,1,0)),"NO UPC-CATALOG ID pair MATCH in Release_Label" )</f>
        <v/>
      </c>
      <c r="D232" s="121" t="str">
        <f t="array" ref="D232">ifs(and(isblank($A232),isblank($B232)),"", not(iserror(vlookup($A232&amp;$B232,'3) Release_Label'!$D:$D&amp;'3) Release_Label'!$E:$E,1,0))),vlookup($A232&amp;$B232,{'3) Release_Label'!$D:$D&amp;'3) Release_Label'!$E:$E,'3) Release_Label'!$H:$H},2,0), or(and(not(isblank($B232)),$B232=$B231,$A232&lt;&gt;$A231),and(not(isblank($A232)),$A232=$A231,$B232&lt;&gt;$B231)),"ID LISTS UNALIGNED",and($A232&lt;&gt;"",countif('3) Release_Label'!$D:$D,$A232)=0),"NO UPC MATCH in Release_Label",and($B232&lt;&gt;"",countif('3) Release_Label'!$E:$E,$B232)=0),"NO CATALOG ID MATCH in Release_Label",iserror(vlookup($A232&amp;$B232,'3) Release_Label'!$D:$D&amp;'3) Release_Label'!$E:$E,1,0)),"NO UPC-CATALOG ID pair MATCH in Release_Label" )</f>
        <v/>
      </c>
      <c r="E232" s="99"/>
      <c r="F232" s="99"/>
      <c r="G232" s="123" t="str">
        <f t="array" ref="G232">ifs(or($F232="",$F232="Main Primary Artist"),$F232,not(iserror(vlookup($F232,'Reference info'!$J$5:$J$8,1,0))),"Key Artist",not(iserror(vlookup($F232,'Reference info'!$J$38:$J$405,1,0))),"Performer",not(iserror(vlookup($F232,'Reference info'!$J$10:$J$36,1,0))),"Producer &amp; Engineer")</f>
        <v/>
      </c>
    </row>
    <row r="233">
      <c r="A233" s="28"/>
      <c r="B233" s="103"/>
      <c r="C233" s="121" t="str">
        <f t="array" ref="C233">ifs(and(isblank($A233),isblank($B233)),"", not(iserror(vlookup($A233&amp;$B233,'3) Release_Label'!$D:$D&amp;'3) Release_Label'!$E:$E,1,0))),vlookup($A233&amp;$B233,{'3) Release_Label'!$D:$D&amp;'3) Release_Label'!$E:$E,'3) Release_Label'!$F:$F},2,0), or(and(not(isblank($B233)),$B233=$B232,$A233&lt;&gt;$A232),and(not(isblank($A233)),$A233=$A232,$B233&lt;&gt;$B232)),"ID LISTS UNALIGNED",and($A233&lt;&gt;"",countif('3) Release_Label'!$D:$D,$A233)=0),"NO UPC MATCH in Release_Label",and($B233&lt;&gt;"",countif('3) Release_Label'!$E:$E,$B233)=0),"NO CATALOG ID MATCH in Release_Label",iserror(vlookup($A233&amp;$B233,'3) Release_Label'!$D:$D&amp;'3) Release_Label'!$E:$E,1,0)),"NO UPC-CATALOG ID pair MATCH in Release_Label" )</f>
        <v/>
      </c>
      <c r="D233" s="121" t="str">
        <f t="array" ref="D233">ifs(and(isblank($A233),isblank($B233)),"", not(iserror(vlookup($A233&amp;$B233,'3) Release_Label'!$D:$D&amp;'3) Release_Label'!$E:$E,1,0))),vlookup($A233&amp;$B233,{'3) Release_Label'!$D:$D&amp;'3) Release_Label'!$E:$E,'3) Release_Label'!$H:$H},2,0), or(and(not(isblank($B233)),$B233=$B232,$A233&lt;&gt;$A232),and(not(isblank($A233)),$A233=$A232,$B233&lt;&gt;$B232)),"ID LISTS UNALIGNED",and($A233&lt;&gt;"",countif('3) Release_Label'!$D:$D,$A233)=0),"NO UPC MATCH in Release_Label",and($B233&lt;&gt;"",countif('3) Release_Label'!$E:$E,$B233)=0),"NO CATALOG ID MATCH in Release_Label",iserror(vlookup($A233&amp;$B233,'3) Release_Label'!$D:$D&amp;'3) Release_Label'!$E:$E,1,0)),"NO UPC-CATALOG ID pair MATCH in Release_Label" )</f>
        <v/>
      </c>
      <c r="E233" s="99"/>
      <c r="F233" s="99"/>
      <c r="G233" s="123" t="str">
        <f t="array" ref="G233">ifs(or($F233="",$F233="Main Primary Artist"),$F233,not(iserror(vlookup($F233,'Reference info'!$J$5:$J$8,1,0))),"Key Artist",not(iserror(vlookup($F233,'Reference info'!$J$38:$J$405,1,0))),"Performer",not(iserror(vlookup($F233,'Reference info'!$J$10:$J$36,1,0))),"Producer &amp; Engineer")</f>
        <v/>
      </c>
    </row>
    <row r="234">
      <c r="A234" s="28"/>
      <c r="B234" s="103"/>
      <c r="C234" s="121" t="str">
        <f t="array" ref="C234">ifs(and(isblank($A234),isblank($B234)),"", not(iserror(vlookup($A234&amp;$B234,'3) Release_Label'!$D:$D&amp;'3) Release_Label'!$E:$E,1,0))),vlookup($A234&amp;$B234,{'3) Release_Label'!$D:$D&amp;'3) Release_Label'!$E:$E,'3) Release_Label'!$F:$F},2,0), or(and(not(isblank($B234)),$B234=$B233,$A234&lt;&gt;$A233),and(not(isblank($A234)),$A234=$A233,$B234&lt;&gt;$B233)),"ID LISTS UNALIGNED",and($A234&lt;&gt;"",countif('3) Release_Label'!$D:$D,$A234)=0),"NO UPC MATCH in Release_Label",and($B234&lt;&gt;"",countif('3) Release_Label'!$E:$E,$B234)=0),"NO CATALOG ID MATCH in Release_Label",iserror(vlookup($A234&amp;$B234,'3) Release_Label'!$D:$D&amp;'3) Release_Label'!$E:$E,1,0)),"NO UPC-CATALOG ID pair MATCH in Release_Label" )</f>
        <v/>
      </c>
      <c r="D234" s="121" t="str">
        <f t="array" ref="D234">ifs(and(isblank($A234),isblank($B234)),"", not(iserror(vlookup($A234&amp;$B234,'3) Release_Label'!$D:$D&amp;'3) Release_Label'!$E:$E,1,0))),vlookup($A234&amp;$B234,{'3) Release_Label'!$D:$D&amp;'3) Release_Label'!$E:$E,'3) Release_Label'!$H:$H},2,0), or(and(not(isblank($B234)),$B234=$B233,$A234&lt;&gt;$A233),and(not(isblank($A234)),$A234=$A233,$B234&lt;&gt;$B233)),"ID LISTS UNALIGNED",and($A234&lt;&gt;"",countif('3) Release_Label'!$D:$D,$A234)=0),"NO UPC MATCH in Release_Label",and($B234&lt;&gt;"",countif('3) Release_Label'!$E:$E,$B234)=0),"NO CATALOG ID MATCH in Release_Label",iserror(vlookup($A234&amp;$B234,'3) Release_Label'!$D:$D&amp;'3) Release_Label'!$E:$E,1,0)),"NO UPC-CATALOG ID pair MATCH in Release_Label" )</f>
        <v/>
      </c>
      <c r="E234" s="99"/>
      <c r="F234" s="99"/>
      <c r="G234" s="123" t="str">
        <f t="array" ref="G234">ifs(or($F234="",$F234="Main Primary Artist"),$F234,not(iserror(vlookup($F234,'Reference info'!$J$5:$J$8,1,0))),"Key Artist",not(iserror(vlookup($F234,'Reference info'!$J$38:$J$405,1,0))),"Performer",not(iserror(vlookup($F234,'Reference info'!$J$10:$J$36,1,0))),"Producer &amp; Engineer")</f>
        <v/>
      </c>
    </row>
    <row r="235">
      <c r="A235" s="28"/>
      <c r="B235" s="103"/>
      <c r="C235" s="121" t="str">
        <f t="array" ref="C235">ifs(and(isblank($A235),isblank($B235)),"", not(iserror(vlookup($A235&amp;$B235,'3) Release_Label'!$D:$D&amp;'3) Release_Label'!$E:$E,1,0))),vlookup($A235&amp;$B235,{'3) Release_Label'!$D:$D&amp;'3) Release_Label'!$E:$E,'3) Release_Label'!$F:$F},2,0), or(and(not(isblank($B235)),$B235=$B234,$A235&lt;&gt;$A234),and(not(isblank($A235)),$A235=$A234,$B235&lt;&gt;$B234)),"ID LISTS UNALIGNED",and($A235&lt;&gt;"",countif('3) Release_Label'!$D:$D,$A235)=0),"NO UPC MATCH in Release_Label",and($B235&lt;&gt;"",countif('3) Release_Label'!$E:$E,$B235)=0),"NO CATALOG ID MATCH in Release_Label",iserror(vlookup($A235&amp;$B235,'3) Release_Label'!$D:$D&amp;'3) Release_Label'!$E:$E,1,0)),"NO UPC-CATALOG ID pair MATCH in Release_Label" )</f>
        <v/>
      </c>
      <c r="D235" s="121" t="str">
        <f t="array" ref="D235">ifs(and(isblank($A235),isblank($B235)),"", not(iserror(vlookup($A235&amp;$B235,'3) Release_Label'!$D:$D&amp;'3) Release_Label'!$E:$E,1,0))),vlookup($A235&amp;$B235,{'3) Release_Label'!$D:$D&amp;'3) Release_Label'!$E:$E,'3) Release_Label'!$H:$H},2,0), or(and(not(isblank($B235)),$B235=$B234,$A235&lt;&gt;$A234),and(not(isblank($A235)),$A235=$A234,$B235&lt;&gt;$B234)),"ID LISTS UNALIGNED",and($A235&lt;&gt;"",countif('3) Release_Label'!$D:$D,$A235)=0),"NO UPC MATCH in Release_Label",and($B235&lt;&gt;"",countif('3) Release_Label'!$E:$E,$B235)=0),"NO CATALOG ID MATCH in Release_Label",iserror(vlookup($A235&amp;$B235,'3) Release_Label'!$D:$D&amp;'3) Release_Label'!$E:$E,1,0)),"NO UPC-CATALOG ID pair MATCH in Release_Label" )</f>
        <v/>
      </c>
      <c r="E235" s="99"/>
      <c r="F235" s="99"/>
      <c r="G235" s="123" t="str">
        <f t="array" ref="G235">ifs(or($F235="",$F235="Main Primary Artist"),$F235,not(iserror(vlookup($F235,'Reference info'!$J$5:$J$8,1,0))),"Key Artist",not(iserror(vlookup($F235,'Reference info'!$J$38:$J$405,1,0))),"Performer",not(iserror(vlookup($F235,'Reference info'!$J$10:$J$36,1,0))),"Producer &amp; Engineer")</f>
        <v/>
      </c>
    </row>
    <row r="236">
      <c r="A236" s="28"/>
      <c r="B236" s="103"/>
      <c r="C236" s="121" t="str">
        <f t="array" ref="C236">ifs(and(isblank($A236),isblank($B236)),"", not(iserror(vlookup($A236&amp;$B236,'3) Release_Label'!$D:$D&amp;'3) Release_Label'!$E:$E,1,0))),vlookup($A236&amp;$B236,{'3) Release_Label'!$D:$D&amp;'3) Release_Label'!$E:$E,'3) Release_Label'!$F:$F},2,0), or(and(not(isblank($B236)),$B236=$B235,$A236&lt;&gt;$A235),and(not(isblank($A236)),$A236=$A235,$B236&lt;&gt;$B235)),"ID LISTS UNALIGNED",and($A236&lt;&gt;"",countif('3) Release_Label'!$D:$D,$A236)=0),"NO UPC MATCH in Release_Label",and($B236&lt;&gt;"",countif('3) Release_Label'!$E:$E,$B236)=0),"NO CATALOG ID MATCH in Release_Label",iserror(vlookup($A236&amp;$B236,'3) Release_Label'!$D:$D&amp;'3) Release_Label'!$E:$E,1,0)),"NO UPC-CATALOG ID pair MATCH in Release_Label" )</f>
        <v/>
      </c>
      <c r="D236" s="121" t="str">
        <f t="array" ref="D236">ifs(and(isblank($A236),isblank($B236)),"", not(iserror(vlookup($A236&amp;$B236,'3) Release_Label'!$D:$D&amp;'3) Release_Label'!$E:$E,1,0))),vlookup($A236&amp;$B236,{'3) Release_Label'!$D:$D&amp;'3) Release_Label'!$E:$E,'3) Release_Label'!$H:$H},2,0), or(and(not(isblank($B236)),$B236=$B235,$A236&lt;&gt;$A235),and(not(isblank($A236)),$A236=$A235,$B236&lt;&gt;$B235)),"ID LISTS UNALIGNED",and($A236&lt;&gt;"",countif('3) Release_Label'!$D:$D,$A236)=0),"NO UPC MATCH in Release_Label",and($B236&lt;&gt;"",countif('3) Release_Label'!$E:$E,$B236)=0),"NO CATALOG ID MATCH in Release_Label",iserror(vlookup($A236&amp;$B236,'3) Release_Label'!$D:$D&amp;'3) Release_Label'!$E:$E,1,0)),"NO UPC-CATALOG ID pair MATCH in Release_Label" )</f>
        <v/>
      </c>
      <c r="E236" s="99"/>
      <c r="F236" s="99"/>
      <c r="G236" s="123" t="str">
        <f t="array" ref="G236">ifs(or($F236="",$F236="Main Primary Artist"),$F236,not(iserror(vlookup($F236,'Reference info'!$J$5:$J$8,1,0))),"Key Artist",not(iserror(vlookup($F236,'Reference info'!$J$38:$J$405,1,0))),"Performer",not(iserror(vlookup($F236,'Reference info'!$J$10:$J$36,1,0))),"Producer &amp; Engineer")</f>
        <v/>
      </c>
    </row>
    <row r="237">
      <c r="A237" s="28"/>
      <c r="B237" s="103"/>
      <c r="C237" s="121" t="str">
        <f t="array" ref="C237">ifs(and(isblank($A237),isblank($B237)),"", not(iserror(vlookup($A237&amp;$B237,'3) Release_Label'!$D:$D&amp;'3) Release_Label'!$E:$E,1,0))),vlookup($A237&amp;$B237,{'3) Release_Label'!$D:$D&amp;'3) Release_Label'!$E:$E,'3) Release_Label'!$F:$F},2,0), or(and(not(isblank($B237)),$B237=$B236,$A237&lt;&gt;$A236),and(not(isblank($A237)),$A237=$A236,$B237&lt;&gt;$B236)),"ID LISTS UNALIGNED",and($A237&lt;&gt;"",countif('3) Release_Label'!$D:$D,$A237)=0),"NO UPC MATCH in Release_Label",and($B237&lt;&gt;"",countif('3) Release_Label'!$E:$E,$B237)=0),"NO CATALOG ID MATCH in Release_Label",iserror(vlookup($A237&amp;$B237,'3) Release_Label'!$D:$D&amp;'3) Release_Label'!$E:$E,1,0)),"NO UPC-CATALOG ID pair MATCH in Release_Label" )</f>
        <v/>
      </c>
      <c r="D237" s="121" t="str">
        <f t="array" ref="D237">ifs(and(isblank($A237),isblank($B237)),"", not(iserror(vlookup($A237&amp;$B237,'3) Release_Label'!$D:$D&amp;'3) Release_Label'!$E:$E,1,0))),vlookup($A237&amp;$B237,{'3) Release_Label'!$D:$D&amp;'3) Release_Label'!$E:$E,'3) Release_Label'!$H:$H},2,0), or(and(not(isblank($B237)),$B237=$B236,$A237&lt;&gt;$A236),and(not(isblank($A237)),$A237=$A236,$B237&lt;&gt;$B236)),"ID LISTS UNALIGNED",and($A237&lt;&gt;"",countif('3) Release_Label'!$D:$D,$A237)=0),"NO UPC MATCH in Release_Label",and($B237&lt;&gt;"",countif('3) Release_Label'!$E:$E,$B237)=0),"NO CATALOG ID MATCH in Release_Label",iserror(vlookup($A237&amp;$B237,'3) Release_Label'!$D:$D&amp;'3) Release_Label'!$E:$E,1,0)),"NO UPC-CATALOG ID pair MATCH in Release_Label" )</f>
        <v/>
      </c>
      <c r="E237" s="99"/>
      <c r="F237" s="99"/>
      <c r="G237" s="123" t="str">
        <f t="array" ref="G237">ifs(or($F237="",$F237="Main Primary Artist"),$F237,not(iserror(vlookup($F237,'Reference info'!$J$5:$J$8,1,0))),"Key Artist",not(iserror(vlookup($F237,'Reference info'!$J$38:$J$405,1,0))),"Performer",not(iserror(vlookup($F237,'Reference info'!$J$10:$J$36,1,0))),"Producer &amp; Engineer")</f>
        <v/>
      </c>
    </row>
    <row r="238">
      <c r="A238" s="28"/>
      <c r="B238" s="103"/>
      <c r="C238" s="121" t="str">
        <f t="array" ref="C238">ifs(and(isblank($A238),isblank($B238)),"", not(iserror(vlookup($A238&amp;$B238,'3) Release_Label'!$D:$D&amp;'3) Release_Label'!$E:$E,1,0))),vlookup($A238&amp;$B238,{'3) Release_Label'!$D:$D&amp;'3) Release_Label'!$E:$E,'3) Release_Label'!$F:$F},2,0), or(and(not(isblank($B238)),$B238=$B237,$A238&lt;&gt;$A237),and(not(isblank($A238)),$A238=$A237,$B238&lt;&gt;$B237)),"ID LISTS UNALIGNED",and($A238&lt;&gt;"",countif('3) Release_Label'!$D:$D,$A238)=0),"NO UPC MATCH in Release_Label",and($B238&lt;&gt;"",countif('3) Release_Label'!$E:$E,$B238)=0),"NO CATALOG ID MATCH in Release_Label",iserror(vlookup($A238&amp;$B238,'3) Release_Label'!$D:$D&amp;'3) Release_Label'!$E:$E,1,0)),"NO UPC-CATALOG ID pair MATCH in Release_Label" )</f>
        <v/>
      </c>
      <c r="D238" s="121" t="str">
        <f t="array" ref="D238">ifs(and(isblank($A238),isblank($B238)),"", not(iserror(vlookup($A238&amp;$B238,'3) Release_Label'!$D:$D&amp;'3) Release_Label'!$E:$E,1,0))),vlookup($A238&amp;$B238,{'3) Release_Label'!$D:$D&amp;'3) Release_Label'!$E:$E,'3) Release_Label'!$H:$H},2,0), or(and(not(isblank($B238)),$B238=$B237,$A238&lt;&gt;$A237),and(not(isblank($A238)),$A238=$A237,$B238&lt;&gt;$B237)),"ID LISTS UNALIGNED",and($A238&lt;&gt;"",countif('3) Release_Label'!$D:$D,$A238)=0),"NO UPC MATCH in Release_Label",and($B238&lt;&gt;"",countif('3) Release_Label'!$E:$E,$B238)=0),"NO CATALOG ID MATCH in Release_Label",iserror(vlookup($A238&amp;$B238,'3) Release_Label'!$D:$D&amp;'3) Release_Label'!$E:$E,1,0)),"NO UPC-CATALOG ID pair MATCH in Release_Label" )</f>
        <v/>
      </c>
      <c r="E238" s="99"/>
      <c r="F238" s="99"/>
      <c r="G238" s="123" t="str">
        <f t="array" ref="G238">ifs(or($F238="",$F238="Main Primary Artist"),$F238,not(iserror(vlookup($F238,'Reference info'!$J$5:$J$8,1,0))),"Key Artist",not(iserror(vlookup($F238,'Reference info'!$J$38:$J$405,1,0))),"Performer",not(iserror(vlookup($F238,'Reference info'!$J$10:$J$36,1,0))),"Producer &amp; Engineer")</f>
        <v/>
      </c>
    </row>
    <row r="239">
      <c r="A239" s="28"/>
      <c r="B239" s="103"/>
      <c r="C239" s="121" t="str">
        <f t="array" ref="C239">ifs(and(isblank($A239),isblank($B239)),"", not(iserror(vlookup($A239&amp;$B239,'3) Release_Label'!$D:$D&amp;'3) Release_Label'!$E:$E,1,0))),vlookup($A239&amp;$B239,{'3) Release_Label'!$D:$D&amp;'3) Release_Label'!$E:$E,'3) Release_Label'!$F:$F},2,0), or(and(not(isblank($B239)),$B239=$B238,$A239&lt;&gt;$A238),and(not(isblank($A239)),$A239=$A238,$B239&lt;&gt;$B238)),"ID LISTS UNALIGNED",and($A239&lt;&gt;"",countif('3) Release_Label'!$D:$D,$A239)=0),"NO UPC MATCH in Release_Label",and($B239&lt;&gt;"",countif('3) Release_Label'!$E:$E,$B239)=0),"NO CATALOG ID MATCH in Release_Label",iserror(vlookup($A239&amp;$B239,'3) Release_Label'!$D:$D&amp;'3) Release_Label'!$E:$E,1,0)),"NO UPC-CATALOG ID pair MATCH in Release_Label" )</f>
        <v/>
      </c>
      <c r="D239" s="121" t="str">
        <f t="array" ref="D239">ifs(and(isblank($A239),isblank($B239)),"", not(iserror(vlookup($A239&amp;$B239,'3) Release_Label'!$D:$D&amp;'3) Release_Label'!$E:$E,1,0))),vlookup($A239&amp;$B239,{'3) Release_Label'!$D:$D&amp;'3) Release_Label'!$E:$E,'3) Release_Label'!$H:$H},2,0), or(and(not(isblank($B239)),$B239=$B238,$A239&lt;&gt;$A238),and(not(isblank($A239)),$A239=$A238,$B239&lt;&gt;$B238)),"ID LISTS UNALIGNED",and($A239&lt;&gt;"",countif('3) Release_Label'!$D:$D,$A239)=0),"NO UPC MATCH in Release_Label",and($B239&lt;&gt;"",countif('3) Release_Label'!$E:$E,$B239)=0),"NO CATALOG ID MATCH in Release_Label",iserror(vlookup($A239&amp;$B239,'3) Release_Label'!$D:$D&amp;'3) Release_Label'!$E:$E,1,0)),"NO UPC-CATALOG ID pair MATCH in Release_Label" )</f>
        <v/>
      </c>
      <c r="E239" s="99"/>
      <c r="F239" s="99"/>
      <c r="G239" s="123" t="str">
        <f t="array" ref="G239">ifs(or($F239="",$F239="Main Primary Artist"),$F239,not(iserror(vlookup($F239,'Reference info'!$J$5:$J$8,1,0))),"Key Artist",not(iserror(vlookup($F239,'Reference info'!$J$38:$J$405,1,0))),"Performer",not(iserror(vlookup($F239,'Reference info'!$J$10:$J$36,1,0))),"Producer &amp; Engineer")</f>
        <v/>
      </c>
    </row>
    <row r="240">
      <c r="A240" s="28"/>
      <c r="B240" s="103"/>
      <c r="C240" s="121" t="str">
        <f t="array" ref="C240">ifs(and(isblank($A240),isblank($B240)),"", not(iserror(vlookup($A240&amp;$B240,'3) Release_Label'!$D:$D&amp;'3) Release_Label'!$E:$E,1,0))),vlookup($A240&amp;$B240,{'3) Release_Label'!$D:$D&amp;'3) Release_Label'!$E:$E,'3) Release_Label'!$F:$F},2,0), or(and(not(isblank($B240)),$B240=$B239,$A240&lt;&gt;$A239),and(not(isblank($A240)),$A240=$A239,$B240&lt;&gt;$B239)),"ID LISTS UNALIGNED",and($A240&lt;&gt;"",countif('3) Release_Label'!$D:$D,$A240)=0),"NO UPC MATCH in Release_Label",and($B240&lt;&gt;"",countif('3) Release_Label'!$E:$E,$B240)=0),"NO CATALOG ID MATCH in Release_Label",iserror(vlookup($A240&amp;$B240,'3) Release_Label'!$D:$D&amp;'3) Release_Label'!$E:$E,1,0)),"NO UPC-CATALOG ID pair MATCH in Release_Label" )</f>
        <v/>
      </c>
      <c r="D240" s="121" t="str">
        <f t="array" ref="D240">ifs(and(isblank($A240),isblank($B240)),"", not(iserror(vlookup($A240&amp;$B240,'3) Release_Label'!$D:$D&amp;'3) Release_Label'!$E:$E,1,0))),vlookup($A240&amp;$B240,{'3) Release_Label'!$D:$D&amp;'3) Release_Label'!$E:$E,'3) Release_Label'!$H:$H},2,0), or(and(not(isblank($B240)),$B240=$B239,$A240&lt;&gt;$A239),and(not(isblank($A240)),$A240=$A239,$B240&lt;&gt;$B239)),"ID LISTS UNALIGNED",and($A240&lt;&gt;"",countif('3) Release_Label'!$D:$D,$A240)=0),"NO UPC MATCH in Release_Label",and($B240&lt;&gt;"",countif('3) Release_Label'!$E:$E,$B240)=0),"NO CATALOG ID MATCH in Release_Label",iserror(vlookup($A240&amp;$B240,'3) Release_Label'!$D:$D&amp;'3) Release_Label'!$E:$E,1,0)),"NO UPC-CATALOG ID pair MATCH in Release_Label" )</f>
        <v/>
      </c>
      <c r="E240" s="99"/>
      <c r="F240" s="99"/>
      <c r="G240" s="123" t="str">
        <f t="array" ref="G240">ifs(or($F240="",$F240="Main Primary Artist"),$F240,not(iserror(vlookup($F240,'Reference info'!$J$5:$J$8,1,0))),"Key Artist",not(iserror(vlookup($F240,'Reference info'!$J$38:$J$405,1,0))),"Performer",not(iserror(vlookup($F240,'Reference info'!$J$10:$J$36,1,0))),"Producer &amp; Engineer")</f>
        <v/>
      </c>
    </row>
    <row r="241">
      <c r="A241" s="28"/>
      <c r="B241" s="103"/>
      <c r="C241" s="121" t="str">
        <f t="array" ref="C241">ifs(and(isblank($A241),isblank($B241)),"", not(iserror(vlookup($A241&amp;$B241,'3) Release_Label'!$D:$D&amp;'3) Release_Label'!$E:$E,1,0))),vlookup($A241&amp;$B241,{'3) Release_Label'!$D:$D&amp;'3) Release_Label'!$E:$E,'3) Release_Label'!$F:$F},2,0), or(and(not(isblank($B241)),$B241=$B240,$A241&lt;&gt;$A240),and(not(isblank($A241)),$A241=$A240,$B241&lt;&gt;$B240)),"ID LISTS UNALIGNED",and($A241&lt;&gt;"",countif('3) Release_Label'!$D:$D,$A241)=0),"NO UPC MATCH in Release_Label",and($B241&lt;&gt;"",countif('3) Release_Label'!$E:$E,$B241)=0),"NO CATALOG ID MATCH in Release_Label",iserror(vlookup($A241&amp;$B241,'3) Release_Label'!$D:$D&amp;'3) Release_Label'!$E:$E,1,0)),"NO UPC-CATALOG ID pair MATCH in Release_Label" )</f>
        <v/>
      </c>
      <c r="D241" s="121" t="str">
        <f t="array" ref="D241">ifs(and(isblank($A241),isblank($B241)),"", not(iserror(vlookup($A241&amp;$B241,'3) Release_Label'!$D:$D&amp;'3) Release_Label'!$E:$E,1,0))),vlookup($A241&amp;$B241,{'3) Release_Label'!$D:$D&amp;'3) Release_Label'!$E:$E,'3) Release_Label'!$H:$H},2,0), or(and(not(isblank($B241)),$B241=$B240,$A241&lt;&gt;$A240),and(not(isblank($A241)),$A241=$A240,$B241&lt;&gt;$B240)),"ID LISTS UNALIGNED",and($A241&lt;&gt;"",countif('3) Release_Label'!$D:$D,$A241)=0),"NO UPC MATCH in Release_Label",and($B241&lt;&gt;"",countif('3) Release_Label'!$E:$E,$B241)=0),"NO CATALOG ID MATCH in Release_Label",iserror(vlookup($A241&amp;$B241,'3) Release_Label'!$D:$D&amp;'3) Release_Label'!$E:$E,1,0)),"NO UPC-CATALOG ID pair MATCH in Release_Label" )</f>
        <v/>
      </c>
      <c r="E241" s="99"/>
      <c r="F241" s="99"/>
      <c r="G241" s="123" t="str">
        <f t="array" ref="G241">ifs(or($F241="",$F241="Main Primary Artist"),$F241,not(iserror(vlookup($F241,'Reference info'!$J$5:$J$8,1,0))),"Key Artist",not(iserror(vlookup($F241,'Reference info'!$J$38:$J$405,1,0))),"Performer",not(iserror(vlookup($F241,'Reference info'!$J$10:$J$36,1,0))),"Producer &amp; Engineer")</f>
        <v/>
      </c>
    </row>
    <row r="242">
      <c r="A242" s="28"/>
      <c r="B242" s="103"/>
      <c r="C242" s="121" t="str">
        <f t="array" ref="C242">ifs(and(isblank($A242),isblank($B242)),"", not(iserror(vlookup($A242&amp;$B242,'3) Release_Label'!$D:$D&amp;'3) Release_Label'!$E:$E,1,0))),vlookup($A242&amp;$B242,{'3) Release_Label'!$D:$D&amp;'3) Release_Label'!$E:$E,'3) Release_Label'!$F:$F},2,0), or(and(not(isblank($B242)),$B242=$B241,$A242&lt;&gt;$A241),and(not(isblank($A242)),$A242=$A241,$B242&lt;&gt;$B241)),"ID LISTS UNALIGNED",and($A242&lt;&gt;"",countif('3) Release_Label'!$D:$D,$A242)=0),"NO UPC MATCH in Release_Label",and($B242&lt;&gt;"",countif('3) Release_Label'!$E:$E,$B242)=0),"NO CATALOG ID MATCH in Release_Label",iserror(vlookup($A242&amp;$B242,'3) Release_Label'!$D:$D&amp;'3) Release_Label'!$E:$E,1,0)),"NO UPC-CATALOG ID pair MATCH in Release_Label" )</f>
        <v/>
      </c>
      <c r="D242" s="121" t="str">
        <f t="array" ref="D242">ifs(and(isblank($A242),isblank($B242)),"", not(iserror(vlookup($A242&amp;$B242,'3) Release_Label'!$D:$D&amp;'3) Release_Label'!$E:$E,1,0))),vlookup($A242&amp;$B242,{'3) Release_Label'!$D:$D&amp;'3) Release_Label'!$E:$E,'3) Release_Label'!$H:$H},2,0), or(and(not(isblank($B242)),$B242=$B241,$A242&lt;&gt;$A241),and(not(isblank($A242)),$A242=$A241,$B242&lt;&gt;$B241)),"ID LISTS UNALIGNED",and($A242&lt;&gt;"",countif('3) Release_Label'!$D:$D,$A242)=0),"NO UPC MATCH in Release_Label",and($B242&lt;&gt;"",countif('3) Release_Label'!$E:$E,$B242)=0),"NO CATALOG ID MATCH in Release_Label",iserror(vlookup($A242&amp;$B242,'3) Release_Label'!$D:$D&amp;'3) Release_Label'!$E:$E,1,0)),"NO UPC-CATALOG ID pair MATCH in Release_Label" )</f>
        <v/>
      </c>
      <c r="E242" s="99"/>
      <c r="F242" s="99"/>
      <c r="G242" s="123" t="str">
        <f t="array" ref="G242">ifs(or($F242="",$F242="Main Primary Artist"),$F242,not(iserror(vlookup($F242,'Reference info'!$J$5:$J$8,1,0))),"Key Artist",not(iserror(vlookup($F242,'Reference info'!$J$38:$J$405,1,0))),"Performer",not(iserror(vlookup($F242,'Reference info'!$J$10:$J$36,1,0))),"Producer &amp; Engineer")</f>
        <v/>
      </c>
    </row>
    <row r="243">
      <c r="A243" s="28"/>
      <c r="B243" s="103"/>
      <c r="C243" s="121" t="str">
        <f t="array" ref="C243">ifs(and(isblank($A243),isblank($B243)),"", not(iserror(vlookup($A243&amp;$B243,'3) Release_Label'!$D:$D&amp;'3) Release_Label'!$E:$E,1,0))),vlookup($A243&amp;$B243,{'3) Release_Label'!$D:$D&amp;'3) Release_Label'!$E:$E,'3) Release_Label'!$F:$F},2,0), or(and(not(isblank($B243)),$B243=$B242,$A243&lt;&gt;$A242),and(not(isblank($A243)),$A243=$A242,$B243&lt;&gt;$B242)),"ID LISTS UNALIGNED",and($A243&lt;&gt;"",countif('3) Release_Label'!$D:$D,$A243)=0),"NO UPC MATCH in Release_Label",and($B243&lt;&gt;"",countif('3) Release_Label'!$E:$E,$B243)=0),"NO CATALOG ID MATCH in Release_Label",iserror(vlookup($A243&amp;$B243,'3) Release_Label'!$D:$D&amp;'3) Release_Label'!$E:$E,1,0)),"NO UPC-CATALOG ID pair MATCH in Release_Label" )</f>
        <v/>
      </c>
      <c r="D243" s="121" t="str">
        <f t="array" ref="D243">ifs(and(isblank($A243),isblank($B243)),"", not(iserror(vlookup($A243&amp;$B243,'3) Release_Label'!$D:$D&amp;'3) Release_Label'!$E:$E,1,0))),vlookup($A243&amp;$B243,{'3) Release_Label'!$D:$D&amp;'3) Release_Label'!$E:$E,'3) Release_Label'!$H:$H},2,0), or(and(not(isblank($B243)),$B243=$B242,$A243&lt;&gt;$A242),and(not(isblank($A243)),$A243=$A242,$B243&lt;&gt;$B242)),"ID LISTS UNALIGNED",and($A243&lt;&gt;"",countif('3) Release_Label'!$D:$D,$A243)=0),"NO UPC MATCH in Release_Label",and($B243&lt;&gt;"",countif('3) Release_Label'!$E:$E,$B243)=0),"NO CATALOG ID MATCH in Release_Label",iserror(vlookup($A243&amp;$B243,'3) Release_Label'!$D:$D&amp;'3) Release_Label'!$E:$E,1,0)),"NO UPC-CATALOG ID pair MATCH in Release_Label" )</f>
        <v/>
      </c>
      <c r="E243" s="99"/>
      <c r="F243" s="99"/>
      <c r="G243" s="123" t="str">
        <f t="array" ref="G243">ifs(or($F243="",$F243="Main Primary Artist"),$F243,not(iserror(vlookup($F243,'Reference info'!$J$5:$J$8,1,0))),"Key Artist",not(iserror(vlookup($F243,'Reference info'!$J$38:$J$405,1,0))),"Performer",not(iserror(vlookup($F243,'Reference info'!$J$10:$J$36,1,0))),"Producer &amp; Engineer")</f>
        <v/>
      </c>
    </row>
    <row r="244">
      <c r="A244" s="28"/>
      <c r="B244" s="103"/>
      <c r="C244" s="121" t="str">
        <f t="array" ref="C244">ifs(and(isblank($A244),isblank($B244)),"", not(iserror(vlookup($A244&amp;$B244,'3) Release_Label'!$D:$D&amp;'3) Release_Label'!$E:$E,1,0))),vlookup($A244&amp;$B244,{'3) Release_Label'!$D:$D&amp;'3) Release_Label'!$E:$E,'3) Release_Label'!$F:$F},2,0), or(and(not(isblank($B244)),$B244=$B243,$A244&lt;&gt;$A243),and(not(isblank($A244)),$A244=$A243,$B244&lt;&gt;$B243)),"ID LISTS UNALIGNED",and($A244&lt;&gt;"",countif('3) Release_Label'!$D:$D,$A244)=0),"NO UPC MATCH in Release_Label",and($B244&lt;&gt;"",countif('3) Release_Label'!$E:$E,$B244)=0),"NO CATALOG ID MATCH in Release_Label",iserror(vlookup($A244&amp;$B244,'3) Release_Label'!$D:$D&amp;'3) Release_Label'!$E:$E,1,0)),"NO UPC-CATALOG ID pair MATCH in Release_Label" )</f>
        <v/>
      </c>
      <c r="D244" s="121" t="str">
        <f t="array" ref="D244">ifs(and(isblank($A244),isblank($B244)),"", not(iserror(vlookup($A244&amp;$B244,'3) Release_Label'!$D:$D&amp;'3) Release_Label'!$E:$E,1,0))),vlookup($A244&amp;$B244,{'3) Release_Label'!$D:$D&amp;'3) Release_Label'!$E:$E,'3) Release_Label'!$H:$H},2,0), or(and(not(isblank($B244)),$B244=$B243,$A244&lt;&gt;$A243),and(not(isblank($A244)),$A244=$A243,$B244&lt;&gt;$B243)),"ID LISTS UNALIGNED",and($A244&lt;&gt;"",countif('3) Release_Label'!$D:$D,$A244)=0),"NO UPC MATCH in Release_Label",and($B244&lt;&gt;"",countif('3) Release_Label'!$E:$E,$B244)=0),"NO CATALOG ID MATCH in Release_Label",iserror(vlookup($A244&amp;$B244,'3) Release_Label'!$D:$D&amp;'3) Release_Label'!$E:$E,1,0)),"NO UPC-CATALOG ID pair MATCH in Release_Label" )</f>
        <v/>
      </c>
      <c r="E244" s="99"/>
      <c r="F244" s="99"/>
      <c r="G244" s="123" t="str">
        <f t="array" ref="G244">ifs(or($F244="",$F244="Main Primary Artist"),$F244,not(iserror(vlookup($F244,'Reference info'!$J$5:$J$8,1,0))),"Key Artist",not(iserror(vlookup($F244,'Reference info'!$J$38:$J$405,1,0))),"Performer",not(iserror(vlookup($F244,'Reference info'!$J$10:$J$36,1,0))),"Producer &amp; Engineer")</f>
        <v/>
      </c>
    </row>
    <row r="245">
      <c r="A245" s="28"/>
      <c r="B245" s="103"/>
      <c r="C245" s="121" t="str">
        <f t="array" ref="C245">ifs(and(isblank($A245),isblank($B245)),"", not(iserror(vlookup($A245&amp;$B245,'3) Release_Label'!$D:$D&amp;'3) Release_Label'!$E:$E,1,0))),vlookup($A245&amp;$B245,{'3) Release_Label'!$D:$D&amp;'3) Release_Label'!$E:$E,'3) Release_Label'!$F:$F},2,0), or(and(not(isblank($B245)),$B245=$B244,$A245&lt;&gt;$A244),and(not(isblank($A245)),$A245=$A244,$B245&lt;&gt;$B244)),"ID LISTS UNALIGNED",and($A245&lt;&gt;"",countif('3) Release_Label'!$D:$D,$A245)=0),"NO UPC MATCH in Release_Label",and($B245&lt;&gt;"",countif('3) Release_Label'!$E:$E,$B245)=0),"NO CATALOG ID MATCH in Release_Label",iserror(vlookup($A245&amp;$B245,'3) Release_Label'!$D:$D&amp;'3) Release_Label'!$E:$E,1,0)),"NO UPC-CATALOG ID pair MATCH in Release_Label" )</f>
        <v/>
      </c>
      <c r="D245" s="121" t="str">
        <f t="array" ref="D245">ifs(and(isblank($A245),isblank($B245)),"", not(iserror(vlookup($A245&amp;$B245,'3) Release_Label'!$D:$D&amp;'3) Release_Label'!$E:$E,1,0))),vlookup($A245&amp;$B245,{'3) Release_Label'!$D:$D&amp;'3) Release_Label'!$E:$E,'3) Release_Label'!$H:$H},2,0), or(and(not(isblank($B245)),$B245=$B244,$A245&lt;&gt;$A244),and(not(isblank($A245)),$A245=$A244,$B245&lt;&gt;$B244)),"ID LISTS UNALIGNED",and($A245&lt;&gt;"",countif('3) Release_Label'!$D:$D,$A245)=0),"NO UPC MATCH in Release_Label",and($B245&lt;&gt;"",countif('3) Release_Label'!$E:$E,$B245)=0),"NO CATALOG ID MATCH in Release_Label",iserror(vlookup($A245&amp;$B245,'3) Release_Label'!$D:$D&amp;'3) Release_Label'!$E:$E,1,0)),"NO UPC-CATALOG ID pair MATCH in Release_Label" )</f>
        <v/>
      </c>
      <c r="E245" s="99"/>
      <c r="F245" s="99"/>
      <c r="G245" s="123" t="str">
        <f t="array" ref="G245">ifs(or($F245="",$F245="Main Primary Artist"),$F245,not(iserror(vlookup($F245,'Reference info'!$J$5:$J$8,1,0))),"Key Artist",not(iserror(vlookup($F245,'Reference info'!$J$38:$J$405,1,0))),"Performer",not(iserror(vlookup($F245,'Reference info'!$J$10:$J$36,1,0))),"Producer &amp; Engineer")</f>
        <v/>
      </c>
    </row>
    <row r="246">
      <c r="A246" s="28"/>
      <c r="B246" s="103"/>
      <c r="C246" s="121" t="str">
        <f t="array" ref="C246">ifs(and(isblank($A246),isblank($B246)),"", not(iserror(vlookup($A246&amp;$B246,'3) Release_Label'!$D:$D&amp;'3) Release_Label'!$E:$E,1,0))),vlookup($A246&amp;$B246,{'3) Release_Label'!$D:$D&amp;'3) Release_Label'!$E:$E,'3) Release_Label'!$F:$F},2,0), or(and(not(isblank($B246)),$B246=$B245,$A246&lt;&gt;$A245),and(not(isblank($A246)),$A246=$A245,$B246&lt;&gt;$B245)),"ID LISTS UNALIGNED",and($A246&lt;&gt;"",countif('3) Release_Label'!$D:$D,$A246)=0),"NO UPC MATCH in Release_Label",and($B246&lt;&gt;"",countif('3) Release_Label'!$E:$E,$B246)=0),"NO CATALOG ID MATCH in Release_Label",iserror(vlookup($A246&amp;$B246,'3) Release_Label'!$D:$D&amp;'3) Release_Label'!$E:$E,1,0)),"NO UPC-CATALOG ID pair MATCH in Release_Label" )</f>
        <v/>
      </c>
      <c r="D246" s="121" t="str">
        <f t="array" ref="D246">ifs(and(isblank($A246),isblank($B246)),"", not(iserror(vlookup($A246&amp;$B246,'3) Release_Label'!$D:$D&amp;'3) Release_Label'!$E:$E,1,0))),vlookup($A246&amp;$B246,{'3) Release_Label'!$D:$D&amp;'3) Release_Label'!$E:$E,'3) Release_Label'!$H:$H},2,0), or(and(not(isblank($B246)),$B246=$B245,$A246&lt;&gt;$A245),and(not(isblank($A246)),$A246=$A245,$B246&lt;&gt;$B245)),"ID LISTS UNALIGNED",and($A246&lt;&gt;"",countif('3) Release_Label'!$D:$D,$A246)=0),"NO UPC MATCH in Release_Label",and($B246&lt;&gt;"",countif('3) Release_Label'!$E:$E,$B246)=0),"NO CATALOG ID MATCH in Release_Label",iserror(vlookup($A246&amp;$B246,'3) Release_Label'!$D:$D&amp;'3) Release_Label'!$E:$E,1,0)),"NO UPC-CATALOG ID pair MATCH in Release_Label" )</f>
        <v/>
      </c>
      <c r="E246" s="99"/>
      <c r="F246" s="99"/>
      <c r="G246" s="123" t="str">
        <f t="array" ref="G246">ifs(or($F246="",$F246="Main Primary Artist"),$F246,not(iserror(vlookup($F246,'Reference info'!$J$5:$J$8,1,0))),"Key Artist",not(iserror(vlookup($F246,'Reference info'!$J$38:$J$405,1,0))),"Performer",not(iserror(vlookup($F246,'Reference info'!$J$10:$J$36,1,0))),"Producer &amp; Engineer")</f>
        <v/>
      </c>
    </row>
    <row r="247">
      <c r="A247" s="28"/>
      <c r="B247" s="103"/>
      <c r="C247" s="121" t="str">
        <f t="array" ref="C247">ifs(and(isblank($A247),isblank($B247)),"", not(iserror(vlookup($A247&amp;$B247,'3) Release_Label'!$D:$D&amp;'3) Release_Label'!$E:$E,1,0))),vlookup($A247&amp;$B247,{'3) Release_Label'!$D:$D&amp;'3) Release_Label'!$E:$E,'3) Release_Label'!$F:$F},2,0), or(and(not(isblank($B247)),$B247=$B246,$A247&lt;&gt;$A246),and(not(isblank($A247)),$A247=$A246,$B247&lt;&gt;$B246)),"ID LISTS UNALIGNED",and($A247&lt;&gt;"",countif('3) Release_Label'!$D:$D,$A247)=0),"NO UPC MATCH in Release_Label",and($B247&lt;&gt;"",countif('3) Release_Label'!$E:$E,$B247)=0),"NO CATALOG ID MATCH in Release_Label",iserror(vlookup($A247&amp;$B247,'3) Release_Label'!$D:$D&amp;'3) Release_Label'!$E:$E,1,0)),"NO UPC-CATALOG ID pair MATCH in Release_Label" )</f>
        <v/>
      </c>
      <c r="D247" s="121" t="str">
        <f t="array" ref="D247">ifs(and(isblank($A247),isblank($B247)),"", not(iserror(vlookup($A247&amp;$B247,'3) Release_Label'!$D:$D&amp;'3) Release_Label'!$E:$E,1,0))),vlookup($A247&amp;$B247,{'3) Release_Label'!$D:$D&amp;'3) Release_Label'!$E:$E,'3) Release_Label'!$H:$H},2,0), or(and(not(isblank($B247)),$B247=$B246,$A247&lt;&gt;$A246),and(not(isblank($A247)),$A247=$A246,$B247&lt;&gt;$B246)),"ID LISTS UNALIGNED",and($A247&lt;&gt;"",countif('3) Release_Label'!$D:$D,$A247)=0),"NO UPC MATCH in Release_Label",and($B247&lt;&gt;"",countif('3) Release_Label'!$E:$E,$B247)=0),"NO CATALOG ID MATCH in Release_Label",iserror(vlookup($A247&amp;$B247,'3) Release_Label'!$D:$D&amp;'3) Release_Label'!$E:$E,1,0)),"NO UPC-CATALOG ID pair MATCH in Release_Label" )</f>
        <v/>
      </c>
      <c r="E247" s="99"/>
      <c r="F247" s="99"/>
      <c r="G247" s="123" t="str">
        <f t="array" ref="G247">ifs(or($F247="",$F247="Main Primary Artist"),$F247,not(iserror(vlookup($F247,'Reference info'!$J$5:$J$8,1,0))),"Key Artist",not(iserror(vlookup($F247,'Reference info'!$J$38:$J$405,1,0))),"Performer",not(iserror(vlookup($F247,'Reference info'!$J$10:$J$36,1,0))),"Producer &amp; Engineer")</f>
        <v/>
      </c>
    </row>
    <row r="248">
      <c r="A248" s="28"/>
      <c r="B248" s="103"/>
      <c r="C248" s="121" t="str">
        <f t="array" ref="C248">ifs(and(isblank($A248),isblank($B248)),"", not(iserror(vlookup($A248&amp;$B248,'3) Release_Label'!$D:$D&amp;'3) Release_Label'!$E:$E,1,0))),vlookup($A248&amp;$B248,{'3) Release_Label'!$D:$D&amp;'3) Release_Label'!$E:$E,'3) Release_Label'!$F:$F},2,0), or(and(not(isblank($B248)),$B248=$B247,$A248&lt;&gt;$A247),and(not(isblank($A248)),$A248=$A247,$B248&lt;&gt;$B247)),"ID LISTS UNALIGNED",and($A248&lt;&gt;"",countif('3) Release_Label'!$D:$D,$A248)=0),"NO UPC MATCH in Release_Label",and($B248&lt;&gt;"",countif('3) Release_Label'!$E:$E,$B248)=0),"NO CATALOG ID MATCH in Release_Label",iserror(vlookup($A248&amp;$B248,'3) Release_Label'!$D:$D&amp;'3) Release_Label'!$E:$E,1,0)),"NO UPC-CATALOG ID pair MATCH in Release_Label" )</f>
        <v/>
      </c>
      <c r="D248" s="121" t="str">
        <f t="array" ref="D248">ifs(and(isblank($A248),isblank($B248)),"", not(iserror(vlookup($A248&amp;$B248,'3) Release_Label'!$D:$D&amp;'3) Release_Label'!$E:$E,1,0))),vlookup($A248&amp;$B248,{'3) Release_Label'!$D:$D&amp;'3) Release_Label'!$E:$E,'3) Release_Label'!$H:$H},2,0), or(and(not(isblank($B248)),$B248=$B247,$A248&lt;&gt;$A247),and(not(isblank($A248)),$A248=$A247,$B248&lt;&gt;$B247)),"ID LISTS UNALIGNED",and($A248&lt;&gt;"",countif('3) Release_Label'!$D:$D,$A248)=0),"NO UPC MATCH in Release_Label",and($B248&lt;&gt;"",countif('3) Release_Label'!$E:$E,$B248)=0),"NO CATALOG ID MATCH in Release_Label",iserror(vlookup($A248&amp;$B248,'3) Release_Label'!$D:$D&amp;'3) Release_Label'!$E:$E,1,0)),"NO UPC-CATALOG ID pair MATCH in Release_Label" )</f>
        <v/>
      </c>
      <c r="E248" s="99"/>
      <c r="F248" s="99"/>
      <c r="G248" s="123" t="str">
        <f t="array" ref="G248">ifs(or($F248="",$F248="Main Primary Artist"),$F248,not(iserror(vlookup($F248,'Reference info'!$J$5:$J$8,1,0))),"Key Artist",not(iserror(vlookup($F248,'Reference info'!$J$38:$J$405,1,0))),"Performer",not(iserror(vlookup($F248,'Reference info'!$J$10:$J$36,1,0))),"Producer &amp; Engineer")</f>
        <v/>
      </c>
    </row>
    <row r="249">
      <c r="A249" s="28"/>
      <c r="B249" s="103"/>
      <c r="C249" s="121" t="str">
        <f t="array" ref="C249">ifs(and(isblank($A249),isblank($B249)),"", not(iserror(vlookup($A249&amp;$B249,'3) Release_Label'!$D:$D&amp;'3) Release_Label'!$E:$E,1,0))),vlookup($A249&amp;$B249,{'3) Release_Label'!$D:$D&amp;'3) Release_Label'!$E:$E,'3) Release_Label'!$F:$F},2,0), or(and(not(isblank($B249)),$B249=$B248,$A249&lt;&gt;$A248),and(not(isblank($A249)),$A249=$A248,$B249&lt;&gt;$B248)),"ID LISTS UNALIGNED",and($A249&lt;&gt;"",countif('3) Release_Label'!$D:$D,$A249)=0),"NO UPC MATCH in Release_Label",and($B249&lt;&gt;"",countif('3) Release_Label'!$E:$E,$B249)=0),"NO CATALOG ID MATCH in Release_Label",iserror(vlookup($A249&amp;$B249,'3) Release_Label'!$D:$D&amp;'3) Release_Label'!$E:$E,1,0)),"NO UPC-CATALOG ID pair MATCH in Release_Label" )</f>
        <v/>
      </c>
      <c r="D249" s="121" t="str">
        <f t="array" ref="D249">ifs(and(isblank($A249),isblank($B249)),"", not(iserror(vlookup($A249&amp;$B249,'3) Release_Label'!$D:$D&amp;'3) Release_Label'!$E:$E,1,0))),vlookup($A249&amp;$B249,{'3) Release_Label'!$D:$D&amp;'3) Release_Label'!$E:$E,'3) Release_Label'!$H:$H},2,0), or(and(not(isblank($B249)),$B249=$B248,$A249&lt;&gt;$A248),and(not(isblank($A249)),$A249=$A248,$B249&lt;&gt;$B248)),"ID LISTS UNALIGNED",and($A249&lt;&gt;"",countif('3) Release_Label'!$D:$D,$A249)=0),"NO UPC MATCH in Release_Label",and($B249&lt;&gt;"",countif('3) Release_Label'!$E:$E,$B249)=0),"NO CATALOG ID MATCH in Release_Label",iserror(vlookup($A249&amp;$B249,'3) Release_Label'!$D:$D&amp;'3) Release_Label'!$E:$E,1,0)),"NO UPC-CATALOG ID pair MATCH in Release_Label" )</f>
        <v/>
      </c>
      <c r="E249" s="99"/>
      <c r="F249" s="99"/>
      <c r="G249" s="123" t="str">
        <f t="array" ref="G249">ifs(or($F249="",$F249="Main Primary Artist"),$F249,not(iserror(vlookup($F249,'Reference info'!$J$5:$J$8,1,0))),"Key Artist",not(iserror(vlookup($F249,'Reference info'!$J$38:$J$405,1,0))),"Performer",not(iserror(vlookup($F249,'Reference info'!$J$10:$J$36,1,0))),"Producer &amp; Engineer")</f>
        <v/>
      </c>
    </row>
    <row r="250">
      <c r="A250" s="28"/>
      <c r="B250" s="103"/>
      <c r="C250" s="121" t="str">
        <f t="array" ref="C250">ifs(and(isblank($A250),isblank($B250)),"", not(iserror(vlookup($A250&amp;$B250,'3) Release_Label'!$D:$D&amp;'3) Release_Label'!$E:$E,1,0))),vlookup($A250&amp;$B250,{'3) Release_Label'!$D:$D&amp;'3) Release_Label'!$E:$E,'3) Release_Label'!$F:$F},2,0), or(and(not(isblank($B250)),$B250=$B249,$A250&lt;&gt;$A249),and(not(isblank($A250)),$A250=$A249,$B250&lt;&gt;$B249)),"ID LISTS UNALIGNED",and($A250&lt;&gt;"",countif('3) Release_Label'!$D:$D,$A250)=0),"NO UPC MATCH in Release_Label",and($B250&lt;&gt;"",countif('3) Release_Label'!$E:$E,$B250)=0),"NO CATALOG ID MATCH in Release_Label",iserror(vlookup($A250&amp;$B250,'3) Release_Label'!$D:$D&amp;'3) Release_Label'!$E:$E,1,0)),"NO UPC-CATALOG ID pair MATCH in Release_Label" )</f>
        <v/>
      </c>
      <c r="D250" s="121" t="str">
        <f t="array" ref="D250">ifs(and(isblank($A250),isblank($B250)),"", not(iserror(vlookup($A250&amp;$B250,'3) Release_Label'!$D:$D&amp;'3) Release_Label'!$E:$E,1,0))),vlookup($A250&amp;$B250,{'3) Release_Label'!$D:$D&amp;'3) Release_Label'!$E:$E,'3) Release_Label'!$H:$H},2,0), or(and(not(isblank($B250)),$B250=$B249,$A250&lt;&gt;$A249),and(not(isblank($A250)),$A250=$A249,$B250&lt;&gt;$B249)),"ID LISTS UNALIGNED",and($A250&lt;&gt;"",countif('3) Release_Label'!$D:$D,$A250)=0),"NO UPC MATCH in Release_Label",and($B250&lt;&gt;"",countif('3) Release_Label'!$E:$E,$B250)=0),"NO CATALOG ID MATCH in Release_Label",iserror(vlookup($A250&amp;$B250,'3) Release_Label'!$D:$D&amp;'3) Release_Label'!$E:$E,1,0)),"NO UPC-CATALOG ID pair MATCH in Release_Label" )</f>
        <v/>
      </c>
      <c r="E250" s="99"/>
      <c r="F250" s="99"/>
      <c r="G250" s="123" t="str">
        <f t="array" ref="G250">ifs(or($F250="",$F250="Main Primary Artist"),$F250,not(iserror(vlookup($F250,'Reference info'!$J$5:$J$8,1,0))),"Key Artist",not(iserror(vlookup($F250,'Reference info'!$J$38:$J$405,1,0))),"Performer",not(iserror(vlookup($F250,'Reference info'!$J$10:$J$36,1,0))),"Producer &amp; Engineer")</f>
        <v/>
      </c>
    </row>
    <row r="251">
      <c r="A251" s="28"/>
      <c r="B251" s="103"/>
      <c r="C251" s="121" t="str">
        <f t="array" ref="C251">ifs(and(isblank($A251),isblank($B251)),"", not(iserror(vlookup($A251&amp;$B251,'3) Release_Label'!$D:$D&amp;'3) Release_Label'!$E:$E,1,0))),vlookup($A251&amp;$B251,{'3) Release_Label'!$D:$D&amp;'3) Release_Label'!$E:$E,'3) Release_Label'!$F:$F},2,0), or(and(not(isblank($B251)),$B251=$B250,$A251&lt;&gt;$A250),and(not(isblank($A251)),$A251=$A250,$B251&lt;&gt;$B250)),"ID LISTS UNALIGNED",and($A251&lt;&gt;"",countif('3) Release_Label'!$D:$D,$A251)=0),"NO UPC MATCH in Release_Label",and($B251&lt;&gt;"",countif('3) Release_Label'!$E:$E,$B251)=0),"NO CATALOG ID MATCH in Release_Label",iserror(vlookup($A251&amp;$B251,'3) Release_Label'!$D:$D&amp;'3) Release_Label'!$E:$E,1,0)),"NO UPC-CATALOG ID pair MATCH in Release_Label" )</f>
        <v/>
      </c>
      <c r="D251" s="121" t="str">
        <f t="array" ref="D251">ifs(and(isblank($A251),isblank($B251)),"", not(iserror(vlookup($A251&amp;$B251,'3) Release_Label'!$D:$D&amp;'3) Release_Label'!$E:$E,1,0))),vlookup($A251&amp;$B251,{'3) Release_Label'!$D:$D&amp;'3) Release_Label'!$E:$E,'3) Release_Label'!$H:$H},2,0), or(and(not(isblank($B251)),$B251=$B250,$A251&lt;&gt;$A250),and(not(isblank($A251)),$A251=$A250,$B251&lt;&gt;$B250)),"ID LISTS UNALIGNED",and($A251&lt;&gt;"",countif('3) Release_Label'!$D:$D,$A251)=0),"NO UPC MATCH in Release_Label",and($B251&lt;&gt;"",countif('3) Release_Label'!$E:$E,$B251)=0),"NO CATALOG ID MATCH in Release_Label",iserror(vlookup($A251&amp;$B251,'3) Release_Label'!$D:$D&amp;'3) Release_Label'!$E:$E,1,0)),"NO UPC-CATALOG ID pair MATCH in Release_Label" )</f>
        <v/>
      </c>
      <c r="E251" s="99"/>
      <c r="F251" s="99"/>
      <c r="G251" s="123" t="str">
        <f t="array" ref="G251">ifs(or($F251="",$F251="Main Primary Artist"),$F251,not(iserror(vlookup($F251,'Reference info'!$J$5:$J$8,1,0))),"Key Artist",not(iserror(vlookup($F251,'Reference info'!$J$38:$J$405,1,0))),"Performer",not(iserror(vlookup($F251,'Reference info'!$J$10:$J$36,1,0))),"Producer &amp; Engineer")</f>
        <v/>
      </c>
    </row>
    <row r="252">
      <c r="A252" s="28"/>
      <c r="B252" s="103"/>
      <c r="C252" s="121" t="str">
        <f t="array" ref="C252">ifs(and(isblank($A252),isblank($B252)),"", not(iserror(vlookup($A252&amp;$B252,'3) Release_Label'!$D:$D&amp;'3) Release_Label'!$E:$E,1,0))),vlookup($A252&amp;$B252,{'3) Release_Label'!$D:$D&amp;'3) Release_Label'!$E:$E,'3) Release_Label'!$F:$F},2,0), or(and(not(isblank($B252)),$B252=$B251,$A252&lt;&gt;$A251),and(not(isblank($A252)),$A252=$A251,$B252&lt;&gt;$B251)),"ID LISTS UNALIGNED",and($A252&lt;&gt;"",countif('3) Release_Label'!$D:$D,$A252)=0),"NO UPC MATCH in Release_Label",and($B252&lt;&gt;"",countif('3) Release_Label'!$E:$E,$B252)=0),"NO CATALOG ID MATCH in Release_Label",iserror(vlookup($A252&amp;$B252,'3) Release_Label'!$D:$D&amp;'3) Release_Label'!$E:$E,1,0)),"NO UPC-CATALOG ID pair MATCH in Release_Label" )</f>
        <v/>
      </c>
      <c r="D252" s="121" t="str">
        <f t="array" ref="D252">ifs(and(isblank($A252),isblank($B252)),"", not(iserror(vlookup($A252&amp;$B252,'3) Release_Label'!$D:$D&amp;'3) Release_Label'!$E:$E,1,0))),vlookup($A252&amp;$B252,{'3) Release_Label'!$D:$D&amp;'3) Release_Label'!$E:$E,'3) Release_Label'!$H:$H},2,0), or(and(not(isblank($B252)),$B252=$B251,$A252&lt;&gt;$A251),and(not(isblank($A252)),$A252=$A251,$B252&lt;&gt;$B251)),"ID LISTS UNALIGNED",and($A252&lt;&gt;"",countif('3) Release_Label'!$D:$D,$A252)=0),"NO UPC MATCH in Release_Label",and($B252&lt;&gt;"",countif('3) Release_Label'!$E:$E,$B252)=0),"NO CATALOG ID MATCH in Release_Label",iserror(vlookup($A252&amp;$B252,'3) Release_Label'!$D:$D&amp;'3) Release_Label'!$E:$E,1,0)),"NO UPC-CATALOG ID pair MATCH in Release_Label" )</f>
        <v/>
      </c>
      <c r="E252" s="99"/>
      <c r="F252" s="99"/>
      <c r="G252" s="123" t="str">
        <f t="array" ref="G252">ifs(or($F252="",$F252="Main Primary Artist"),$F252,not(iserror(vlookup($F252,'Reference info'!$J$5:$J$8,1,0))),"Key Artist",not(iserror(vlookup($F252,'Reference info'!$J$38:$J$405,1,0))),"Performer",not(iserror(vlookup($F252,'Reference info'!$J$10:$J$36,1,0))),"Producer &amp; Engineer")</f>
        <v/>
      </c>
    </row>
    <row r="253">
      <c r="A253" s="28"/>
      <c r="B253" s="103"/>
      <c r="C253" s="121" t="str">
        <f t="array" ref="C253">ifs(and(isblank($A253),isblank($B253)),"", not(iserror(vlookup($A253&amp;$B253,'3) Release_Label'!$D:$D&amp;'3) Release_Label'!$E:$E,1,0))),vlookup($A253&amp;$B253,{'3) Release_Label'!$D:$D&amp;'3) Release_Label'!$E:$E,'3) Release_Label'!$F:$F},2,0), or(and(not(isblank($B253)),$B253=$B252,$A253&lt;&gt;$A252),and(not(isblank($A253)),$A253=$A252,$B253&lt;&gt;$B252)),"ID LISTS UNALIGNED",and($A253&lt;&gt;"",countif('3) Release_Label'!$D:$D,$A253)=0),"NO UPC MATCH in Release_Label",and($B253&lt;&gt;"",countif('3) Release_Label'!$E:$E,$B253)=0),"NO CATALOG ID MATCH in Release_Label",iserror(vlookup($A253&amp;$B253,'3) Release_Label'!$D:$D&amp;'3) Release_Label'!$E:$E,1,0)),"NO UPC-CATALOG ID pair MATCH in Release_Label" )</f>
        <v/>
      </c>
      <c r="D253" s="121" t="str">
        <f t="array" ref="D253">ifs(and(isblank($A253),isblank($B253)),"", not(iserror(vlookup($A253&amp;$B253,'3) Release_Label'!$D:$D&amp;'3) Release_Label'!$E:$E,1,0))),vlookup($A253&amp;$B253,{'3) Release_Label'!$D:$D&amp;'3) Release_Label'!$E:$E,'3) Release_Label'!$H:$H},2,0), or(and(not(isblank($B253)),$B253=$B252,$A253&lt;&gt;$A252),and(not(isblank($A253)),$A253=$A252,$B253&lt;&gt;$B252)),"ID LISTS UNALIGNED",and($A253&lt;&gt;"",countif('3) Release_Label'!$D:$D,$A253)=0),"NO UPC MATCH in Release_Label",and($B253&lt;&gt;"",countif('3) Release_Label'!$E:$E,$B253)=0),"NO CATALOG ID MATCH in Release_Label",iserror(vlookup($A253&amp;$B253,'3) Release_Label'!$D:$D&amp;'3) Release_Label'!$E:$E,1,0)),"NO UPC-CATALOG ID pair MATCH in Release_Label" )</f>
        <v/>
      </c>
      <c r="E253" s="99"/>
      <c r="F253" s="99"/>
      <c r="G253" s="123" t="str">
        <f t="array" ref="G253">ifs(or($F253="",$F253="Main Primary Artist"),$F253,not(iserror(vlookup($F253,'Reference info'!$J$5:$J$8,1,0))),"Key Artist",not(iserror(vlookup($F253,'Reference info'!$J$38:$J$405,1,0))),"Performer",not(iserror(vlookup($F253,'Reference info'!$J$10:$J$36,1,0))),"Producer &amp; Engineer")</f>
        <v/>
      </c>
    </row>
    <row r="254">
      <c r="A254" s="28"/>
      <c r="B254" s="103"/>
      <c r="C254" s="121" t="str">
        <f t="array" ref="C254">ifs(and(isblank($A254),isblank($B254)),"", not(iserror(vlookup($A254&amp;$B254,'3) Release_Label'!$D:$D&amp;'3) Release_Label'!$E:$E,1,0))),vlookup($A254&amp;$B254,{'3) Release_Label'!$D:$D&amp;'3) Release_Label'!$E:$E,'3) Release_Label'!$F:$F},2,0), or(and(not(isblank($B254)),$B254=$B253,$A254&lt;&gt;$A253),and(not(isblank($A254)),$A254=$A253,$B254&lt;&gt;$B253)),"ID LISTS UNALIGNED",and($A254&lt;&gt;"",countif('3) Release_Label'!$D:$D,$A254)=0),"NO UPC MATCH in Release_Label",and($B254&lt;&gt;"",countif('3) Release_Label'!$E:$E,$B254)=0),"NO CATALOG ID MATCH in Release_Label",iserror(vlookup($A254&amp;$B254,'3) Release_Label'!$D:$D&amp;'3) Release_Label'!$E:$E,1,0)),"NO UPC-CATALOG ID pair MATCH in Release_Label" )</f>
        <v/>
      </c>
      <c r="D254" s="121" t="str">
        <f t="array" ref="D254">ifs(and(isblank($A254),isblank($B254)),"", not(iserror(vlookup($A254&amp;$B254,'3) Release_Label'!$D:$D&amp;'3) Release_Label'!$E:$E,1,0))),vlookup($A254&amp;$B254,{'3) Release_Label'!$D:$D&amp;'3) Release_Label'!$E:$E,'3) Release_Label'!$H:$H},2,0), or(and(not(isblank($B254)),$B254=$B253,$A254&lt;&gt;$A253),and(not(isblank($A254)),$A254=$A253,$B254&lt;&gt;$B253)),"ID LISTS UNALIGNED",and($A254&lt;&gt;"",countif('3) Release_Label'!$D:$D,$A254)=0),"NO UPC MATCH in Release_Label",and($B254&lt;&gt;"",countif('3) Release_Label'!$E:$E,$B254)=0),"NO CATALOG ID MATCH in Release_Label",iserror(vlookup($A254&amp;$B254,'3) Release_Label'!$D:$D&amp;'3) Release_Label'!$E:$E,1,0)),"NO UPC-CATALOG ID pair MATCH in Release_Label" )</f>
        <v/>
      </c>
      <c r="E254" s="99"/>
      <c r="F254" s="99"/>
      <c r="G254" s="123" t="str">
        <f t="array" ref="G254">ifs(or($F254="",$F254="Main Primary Artist"),$F254,not(iserror(vlookup($F254,'Reference info'!$J$5:$J$8,1,0))),"Key Artist",not(iserror(vlookup($F254,'Reference info'!$J$38:$J$405,1,0))),"Performer",not(iserror(vlookup($F254,'Reference info'!$J$10:$J$36,1,0))),"Producer &amp; Engineer")</f>
        <v/>
      </c>
    </row>
    <row r="255">
      <c r="A255" s="28"/>
      <c r="B255" s="103"/>
      <c r="C255" s="121" t="str">
        <f t="array" ref="C255">ifs(and(isblank($A255),isblank($B255)),"", not(iserror(vlookup($A255&amp;$B255,'3) Release_Label'!$D:$D&amp;'3) Release_Label'!$E:$E,1,0))),vlookup($A255&amp;$B255,{'3) Release_Label'!$D:$D&amp;'3) Release_Label'!$E:$E,'3) Release_Label'!$F:$F},2,0), or(and(not(isblank($B255)),$B255=$B254,$A255&lt;&gt;$A254),and(not(isblank($A255)),$A255=$A254,$B255&lt;&gt;$B254)),"ID LISTS UNALIGNED",and($A255&lt;&gt;"",countif('3) Release_Label'!$D:$D,$A255)=0),"NO UPC MATCH in Release_Label",and($B255&lt;&gt;"",countif('3) Release_Label'!$E:$E,$B255)=0),"NO CATALOG ID MATCH in Release_Label",iserror(vlookup($A255&amp;$B255,'3) Release_Label'!$D:$D&amp;'3) Release_Label'!$E:$E,1,0)),"NO UPC-CATALOG ID pair MATCH in Release_Label" )</f>
        <v/>
      </c>
      <c r="D255" s="121" t="str">
        <f t="array" ref="D255">ifs(and(isblank($A255),isblank($B255)),"", not(iserror(vlookup($A255&amp;$B255,'3) Release_Label'!$D:$D&amp;'3) Release_Label'!$E:$E,1,0))),vlookup($A255&amp;$B255,{'3) Release_Label'!$D:$D&amp;'3) Release_Label'!$E:$E,'3) Release_Label'!$H:$H},2,0), or(and(not(isblank($B255)),$B255=$B254,$A255&lt;&gt;$A254),and(not(isblank($A255)),$A255=$A254,$B255&lt;&gt;$B254)),"ID LISTS UNALIGNED",and($A255&lt;&gt;"",countif('3) Release_Label'!$D:$D,$A255)=0),"NO UPC MATCH in Release_Label",and($B255&lt;&gt;"",countif('3) Release_Label'!$E:$E,$B255)=0),"NO CATALOG ID MATCH in Release_Label",iserror(vlookup($A255&amp;$B255,'3) Release_Label'!$D:$D&amp;'3) Release_Label'!$E:$E,1,0)),"NO UPC-CATALOG ID pair MATCH in Release_Label" )</f>
        <v/>
      </c>
      <c r="E255" s="99"/>
      <c r="F255" s="99"/>
      <c r="G255" s="123" t="str">
        <f t="array" ref="G255">ifs(or($F255="",$F255="Main Primary Artist"),$F255,not(iserror(vlookup($F255,'Reference info'!$J$5:$J$8,1,0))),"Key Artist",not(iserror(vlookup($F255,'Reference info'!$J$38:$J$405,1,0))),"Performer",not(iserror(vlookup($F255,'Reference info'!$J$10:$J$36,1,0))),"Producer &amp; Engineer")</f>
        <v/>
      </c>
    </row>
    <row r="256">
      <c r="A256" s="28"/>
      <c r="B256" s="103"/>
      <c r="C256" s="121" t="str">
        <f t="array" ref="C256">ifs(and(isblank($A256),isblank($B256)),"", not(iserror(vlookup($A256&amp;$B256,'3) Release_Label'!$D:$D&amp;'3) Release_Label'!$E:$E,1,0))),vlookup($A256&amp;$B256,{'3) Release_Label'!$D:$D&amp;'3) Release_Label'!$E:$E,'3) Release_Label'!$F:$F},2,0), or(and(not(isblank($B256)),$B256=$B255,$A256&lt;&gt;$A255),and(not(isblank($A256)),$A256=$A255,$B256&lt;&gt;$B255)),"ID LISTS UNALIGNED",and($A256&lt;&gt;"",countif('3) Release_Label'!$D:$D,$A256)=0),"NO UPC MATCH in Release_Label",and($B256&lt;&gt;"",countif('3) Release_Label'!$E:$E,$B256)=0),"NO CATALOG ID MATCH in Release_Label",iserror(vlookup($A256&amp;$B256,'3) Release_Label'!$D:$D&amp;'3) Release_Label'!$E:$E,1,0)),"NO UPC-CATALOG ID pair MATCH in Release_Label" )</f>
        <v/>
      </c>
      <c r="D256" s="121" t="str">
        <f t="array" ref="D256">ifs(and(isblank($A256),isblank($B256)),"", not(iserror(vlookup($A256&amp;$B256,'3) Release_Label'!$D:$D&amp;'3) Release_Label'!$E:$E,1,0))),vlookup($A256&amp;$B256,{'3) Release_Label'!$D:$D&amp;'3) Release_Label'!$E:$E,'3) Release_Label'!$H:$H},2,0), or(and(not(isblank($B256)),$B256=$B255,$A256&lt;&gt;$A255),and(not(isblank($A256)),$A256=$A255,$B256&lt;&gt;$B255)),"ID LISTS UNALIGNED",and($A256&lt;&gt;"",countif('3) Release_Label'!$D:$D,$A256)=0),"NO UPC MATCH in Release_Label",and($B256&lt;&gt;"",countif('3) Release_Label'!$E:$E,$B256)=0),"NO CATALOG ID MATCH in Release_Label",iserror(vlookup($A256&amp;$B256,'3) Release_Label'!$D:$D&amp;'3) Release_Label'!$E:$E,1,0)),"NO UPC-CATALOG ID pair MATCH in Release_Label" )</f>
        <v/>
      </c>
      <c r="E256" s="99"/>
      <c r="F256" s="99"/>
      <c r="G256" s="123" t="str">
        <f t="array" ref="G256">ifs(or($F256="",$F256="Main Primary Artist"),$F256,not(iserror(vlookup($F256,'Reference info'!$J$5:$J$8,1,0))),"Key Artist",not(iserror(vlookup($F256,'Reference info'!$J$38:$J$405,1,0))),"Performer",not(iserror(vlookup($F256,'Reference info'!$J$10:$J$36,1,0))),"Producer &amp; Engineer")</f>
        <v/>
      </c>
    </row>
    <row r="257">
      <c r="A257" s="28"/>
      <c r="B257" s="103"/>
      <c r="C257" s="121" t="str">
        <f t="array" ref="C257">ifs(and(isblank($A257),isblank($B257)),"", not(iserror(vlookup($A257&amp;$B257,'3) Release_Label'!$D:$D&amp;'3) Release_Label'!$E:$E,1,0))),vlookup($A257&amp;$B257,{'3) Release_Label'!$D:$D&amp;'3) Release_Label'!$E:$E,'3) Release_Label'!$F:$F},2,0), or(and(not(isblank($B257)),$B257=$B256,$A257&lt;&gt;$A256),and(not(isblank($A257)),$A257=$A256,$B257&lt;&gt;$B256)),"ID LISTS UNALIGNED",and($A257&lt;&gt;"",countif('3) Release_Label'!$D:$D,$A257)=0),"NO UPC MATCH in Release_Label",and($B257&lt;&gt;"",countif('3) Release_Label'!$E:$E,$B257)=0),"NO CATALOG ID MATCH in Release_Label",iserror(vlookup($A257&amp;$B257,'3) Release_Label'!$D:$D&amp;'3) Release_Label'!$E:$E,1,0)),"NO UPC-CATALOG ID pair MATCH in Release_Label" )</f>
        <v/>
      </c>
      <c r="D257" s="121" t="str">
        <f t="array" ref="D257">ifs(and(isblank($A257),isblank($B257)),"", not(iserror(vlookup($A257&amp;$B257,'3) Release_Label'!$D:$D&amp;'3) Release_Label'!$E:$E,1,0))),vlookup($A257&amp;$B257,{'3) Release_Label'!$D:$D&amp;'3) Release_Label'!$E:$E,'3) Release_Label'!$H:$H},2,0), or(and(not(isblank($B257)),$B257=$B256,$A257&lt;&gt;$A256),and(not(isblank($A257)),$A257=$A256,$B257&lt;&gt;$B256)),"ID LISTS UNALIGNED",and($A257&lt;&gt;"",countif('3) Release_Label'!$D:$D,$A257)=0),"NO UPC MATCH in Release_Label",and($B257&lt;&gt;"",countif('3) Release_Label'!$E:$E,$B257)=0),"NO CATALOG ID MATCH in Release_Label",iserror(vlookup($A257&amp;$B257,'3) Release_Label'!$D:$D&amp;'3) Release_Label'!$E:$E,1,0)),"NO UPC-CATALOG ID pair MATCH in Release_Label" )</f>
        <v/>
      </c>
      <c r="E257" s="99"/>
      <c r="F257" s="99"/>
      <c r="G257" s="123" t="str">
        <f t="array" ref="G257">ifs(or($F257="",$F257="Main Primary Artist"),$F257,not(iserror(vlookup($F257,'Reference info'!$J$5:$J$8,1,0))),"Key Artist",not(iserror(vlookup($F257,'Reference info'!$J$38:$J$405,1,0))),"Performer",not(iserror(vlookup($F257,'Reference info'!$J$10:$J$36,1,0))),"Producer &amp; Engineer")</f>
        <v/>
      </c>
    </row>
    <row r="258">
      <c r="A258" s="28"/>
      <c r="B258" s="103"/>
      <c r="C258" s="121" t="str">
        <f t="array" ref="C258">ifs(and(isblank($A258),isblank($B258)),"", not(iserror(vlookup($A258&amp;$B258,'3) Release_Label'!$D:$D&amp;'3) Release_Label'!$E:$E,1,0))),vlookup($A258&amp;$B258,{'3) Release_Label'!$D:$D&amp;'3) Release_Label'!$E:$E,'3) Release_Label'!$F:$F},2,0), or(and(not(isblank($B258)),$B258=$B257,$A258&lt;&gt;$A257),and(not(isblank($A258)),$A258=$A257,$B258&lt;&gt;$B257)),"ID LISTS UNALIGNED",and($A258&lt;&gt;"",countif('3) Release_Label'!$D:$D,$A258)=0),"NO UPC MATCH in Release_Label",and($B258&lt;&gt;"",countif('3) Release_Label'!$E:$E,$B258)=0),"NO CATALOG ID MATCH in Release_Label",iserror(vlookup($A258&amp;$B258,'3) Release_Label'!$D:$D&amp;'3) Release_Label'!$E:$E,1,0)),"NO UPC-CATALOG ID pair MATCH in Release_Label" )</f>
        <v/>
      </c>
      <c r="D258" s="121" t="str">
        <f t="array" ref="D258">ifs(and(isblank($A258),isblank($B258)),"", not(iserror(vlookup($A258&amp;$B258,'3) Release_Label'!$D:$D&amp;'3) Release_Label'!$E:$E,1,0))),vlookup($A258&amp;$B258,{'3) Release_Label'!$D:$D&amp;'3) Release_Label'!$E:$E,'3) Release_Label'!$H:$H},2,0), or(and(not(isblank($B258)),$B258=$B257,$A258&lt;&gt;$A257),and(not(isblank($A258)),$A258=$A257,$B258&lt;&gt;$B257)),"ID LISTS UNALIGNED",and($A258&lt;&gt;"",countif('3) Release_Label'!$D:$D,$A258)=0),"NO UPC MATCH in Release_Label",and($B258&lt;&gt;"",countif('3) Release_Label'!$E:$E,$B258)=0),"NO CATALOG ID MATCH in Release_Label",iserror(vlookup($A258&amp;$B258,'3) Release_Label'!$D:$D&amp;'3) Release_Label'!$E:$E,1,0)),"NO UPC-CATALOG ID pair MATCH in Release_Label" )</f>
        <v/>
      </c>
      <c r="E258" s="99"/>
      <c r="F258" s="99"/>
      <c r="G258" s="123" t="str">
        <f t="array" ref="G258">ifs(or($F258="",$F258="Main Primary Artist"),$F258,not(iserror(vlookup($F258,'Reference info'!$J$5:$J$8,1,0))),"Key Artist",not(iserror(vlookup($F258,'Reference info'!$J$38:$J$405,1,0))),"Performer",not(iserror(vlookup($F258,'Reference info'!$J$10:$J$36,1,0))),"Producer &amp; Engineer")</f>
        <v/>
      </c>
    </row>
    <row r="259">
      <c r="A259" s="28"/>
      <c r="B259" s="103"/>
      <c r="C259" s="121" t="str">
        <f t="array" ref="C259">ifs(and(isblank($A259),isblank($B259)),"", not(iserror(vlookup($A259&amp;$B259,'3) Release_Label'!$D:$D&amp;'3) Release_Label'!$E:$E,1,0))),vlookup($A259&amp;$B259,{'3) Release_Label'!$D:$D&amp;'3) Release_Label'!$E:$E,'3) Release_Label'!$F:$F},2,0), or(and(not(isblank($B259)),$B259=$B258,$A259&lt;&gt;$A258),and(not(isblank($A259)),$A259=$A258,$B259&lt;&gt;$B258)),"ID LISTS UNALIGNED",and($A259&lt;&gt;"",countif('3) Release_Label'!$D:$D,$A259)=0),"NO UPC MATCH in Release_Label",and($B259&lt;&gt;"",countif('3) Release_Label'!$E:$E,$B259)=0),"NO CATALOG ID MATCH in Release_Label",iserror(vlookup($A259&amp;$B259,'3) Release_Label'!$D:$D&amp;'3) Release_Label'!$E:$E,1,0)),"NO UPC-CATALOG ID pair MATCH in Release_Label" )</f>
        <v/>
      </c>
      <c r="D259" s="121" t="str">
        <f t="array" ref="D259">ifs(and(isblank($A259),isblank($B259)),"", not(iserror(vlookup($A259&amp;$B259,'3) Release_Label'!$D:$D&amp;'3) Release_Label'!$E:$E,1,0))),vlookup($A259&amp;$B259,{'3) Release_Label'!$D:$D&amp;'3) Release_Label'!$E:$E,'3) Release_Label'!$H:$H},2,0), or(and(not(isblank($B259)),$B259=$B258,$A259&lt;&gt;$A258),and(not(isblank($A259)),$A259=$A258,$B259&lt;&gt;$B258)),"ID LISTS UNALIGNED",and($A259&lt;&gt;"",countif('3) Release_Label'!$D:$D,$A259)=0),"NO UPC MATCH in Release_Label",and($B259&lt;&gt;"",countif('3) Release_Label'!$E:$E,$B259)=0),"NO CATALOG ID MATCH in Release_Label",iserror(vlookup($A259&amp;$B259,'3) Release_Label'!$D:$D&amp;'3) Release_Label'!$E:$E,1,0)),"NO UPC-CATALOG ID pair MATCH in Release_Label" )</f>
        <v/>
      </c>
      <c r="E259" s="99"/>
      <c r="F259" s="99"/>
      <c r="G259" s="123" t="str">
        <f t="array" ref="G259">ifs(or($F259="",$F259="Main Primary Artist"),$F259,not(iserror(vlookup($F259,'Reference info'!$J$5:$J$8,1,0))),"Key Artist",not(iserror(vlookup($F259,'Reference info'!$J$38:$J$405,1,0))),"Performer",not(iserror(vlookup($F259,'Reference info'!$J$10:$J$36,1,0))),"Producer &amp; Engineer")</f>
        <v/>
      </c>
    </row>
    <row r="260">
      <c r="A260" s="28"/>
      <c r="B260" s="103"/>
      <c r="C260" s="121" t="str">
        <f t="array" ref="C260">ifs(and(isblank($A260),isblank($B260)),"", not(iserror(vlookup($A260&amp;$B260,'3) Release_Label'!$D:$D&amp;'3) Release_Label'!$E:$E,1,0))),vlookup($A260&amp;$B260,{'3) Release_Label'!$D:$D&amp;'3) Release_Label'!$E:$E,'3) Release_Label'!$F:$F},2,0), or(and(not(isblank($B260)),$B260=$B259,$A260&lt;&gt;$A259),and(not(isblank($A260)),$A260=$A259,$B260&lt;&gt;$B259)),"ID LISTS UNALIGNED",and($A260&lt;&gt;"",countif('3) Release_Label'!$D:$D,$A260)=0),"NO UPC MATCH in Release_Label",and($B260&lt;&gt;"",countif('3) Release_Label'!$E:$E,$B260)=0),"NO CATALOG ID MATCH in Release_Label",iserror(vlookup($A260&amp;$B260,'3) Release_Label'!$D:$D&amp;'3) Release_Label'!$E:$E,1,0)),"NO UPC-CATALOG ID pair MATCH in Release_Label" )</f>
        <v/>
      </c>
      <c r="D260" s="121" t="str">
        <f t="array" ref="D260">ifs(and(isblank($A260),isblank($B260)),"", not(iserror(vlookup($A260&amp;$B260,'3) Release_Label'!$D:$D&amp;'3) Release_Label'!$E:$E,1,0))),vlookup($A260&amp;$B260,{'3) Release_Label'!$D:$D&amp;'3) Release_Label'!$E:$E,'3) Release_Label'!$H:$H},2,0), or(and(not(isblank($B260)),$B260=$B259,$A260&lt;&gt;$A259),and(not(isblank($A260)),$A260=$A259,$B260&lt;&gt;$B259)),"ID LISTS UNALIGNED",and($A260&lt;&gt;"",countif('3) Release_Label'!$D:$D,$A260)=0),"NO UPC MATCH in Release_Label",and($B260&lt;&gt;"",countif('3) Release_Label'!$E:$E,$B260)=0),"NO CATALOG ID MATCH in Release_Label",iserror(vlookup($A260&amp;$B260,'3) Release_Label'!$D:$D&amp;'3) Release_Label'!$E:$E,1,0)),"NO UPC-CATALOG ID pair MATCH in Release_Label" )</f>
        <v/>
      </c>
      <c r="E260" s="99"/>
      <c r="F260" s="99"/>
      <c r="G260" s="123" t="str">
        <f t="array" ref="G260">ifs(or($F260="",$F260="Main Primary Artist"),$F260,not(iserror(vlookup($F260,'Reference info'!$J$5:$J$8,1,0))),"Key Artist",not(iserror(vlookup($F260,'Reference info'!$J$38:$J$405,1,0))),"Performer",not(iserror(vlookup($F260,'Reference info'!$J$10:$J$36,1,0))),"Producer &amp; Engineer")</f>
        <v/>
      </c>
    </row>
    <row r="261">
      <c r="A261" s="28"/>
      <c r="B261" s="103"/>
      <c r="C261" s="121" t="str">
        <f t="array" ref="C261">ifs(and(isblank($A261),isblank($B261)),"", not(iserror(vlookup($A261&amp;$B261,'3) Release_Label'!$D:$D&amp;'3) Release_Label'!$E:$E,1,0))),vlookup($A261&amp;$B261,{'3) Release_Label'!$D:$D&amp;'3) Release_Label'!$E:$E,'3) Release_Label'!$F:$F},2,0), or(and(not(isblank($B261)),$B261=$B260,$A261&lt;&gt;$A260),and(not(isblank($A261)),$A261=$A260,$B261&lt;&gt;$B260)),"ID LISTS UNALIGNED",and($A261&lt;&gt;"",countif('3) Release_Label'!$D:$D,$A261)=0),"NO UPC MATCH in Release_Label",and($B261&lt;&gt;"",countif('3) Release_Label'!$E:$E,$B261)=0),"NO CATALOG ID MATCH in Release_Label",iserror(vlookup($A261&amp;$B261,'3) Release_Label'!$D:$D&amp;'3) Release_Label'!$E:$E,1,0)),"NO UPC-CATALOG ID pair MATCH in Release_Label" )</f>
        <v/>
      </c>
      <c r="D261" s="121" t="str">
        <f t="array" ref="D261">ifs(and(isblank($A261),isblank($B261)),"", not(iserror(vlookup($A261&amp;$B261,'3) Release_Label'!$D:$D&amp;'3) Release_Label'!$E:$E,1,0))),vlookup($A261&amp;$B261,{'3) Release_Label'!$D:$D&amp;'3) Release_Label'!$E:$E,'3) Release_Label'!$H:$H},2,0), or(and(not(isblank($B261)),$B261=$B260,$A261&lt;&gt;$A260),and(not(isblank($A261)),$A261=$A260,$B261&lt;&gt;$B260)),"ID LISTS UNALIGNED",and($A261&lt;&gt;"",countif('3) Release_Label'!$D:$D,$A261)=0),"NO UPC MATCH in Release_Label",and($B261&lt;&gt;"",countif('3) Release_Label'!$E:$E,$B261)=0),"NO CATALOG ID MATCH in Release_Label",iserror(vlookup($A261&amp;$B261,'3) Release_Label'!$D:$D&amp;'3) Release_Label'!$E:$E,1,0)),"NO UPC-CATALOG ID pair MATCH in Release_Label" )</f>
        <v/>
      </c>
      <c r="E261" s="99"/>
      <c r="F261" s="99"/>
      <c r="G261" s="123" t="str">
        <f t="array" ref="G261">ifs(or($F261="",$F261="Main Primary Artist"),$F261,not(iserror(vlookup($F261,'Reference info'!$J$5:$J$8,1,0))),"Key Artist",not(iserror(vlookup($F261,'Reference info'!$J$38:$J$405,1,0))),"Performer",not(iserror(vlookup($F261,'Reference info'!$J$10:$J$36,1,0))),"Producer &amp; Engineer")</f>
        <v/>
      </c>
    </row>
    <row r="262">
      <c r="A262" s="28"/>
      <c r="B262" s="103"/>
      <c r="C262" s="121" t="str">
        <f t="array" ref="C262">ifs(and(isblank($A262),isblank($B262)),"", not(iserror(vlookup($A262&amp;$B262,'3) Release_Label'!$D:$D&amp;'3) Release_Label'!$E:$E,1,0))),vlookup($A262&amp;$B262,{'3) Release_Label'!$D:$D&amp;'3) Release_Label'!$E:$E,'3) Release_Label'!$F:$F},2,0), or(and(not(isblank($B262)),$B262=$B261,$A262&lt;&gt;$A261),and(not(isblank($A262)),$A262=$A261,$B262&lt;&gt;$B261)),"ID LISTS UNALIGNED",and($A262&lt;&gt;"",countif('3) Release_Label'!$D:$D,$A262)=0),"NO UPC MATCH in Release_Label",and($B262&lt;&gt;"",countif('3) Release_Label'!$E:$E,$B262)=0),"NO CATALOG ID MATCH in Release_Label",iserror(vlookup($A262&amp;$B262,'3) Release_Label'!$D:$D&amp;'3) Release_Label'!$E:$E,1,0)),"NO UPC-CATALOG ID pair MATCH in Release_Label" )</f>
        <v/>
      </c>
      <c r="D262" s="121" t="str">
        <f t="array" ref="D262">ifs(and(isblank($A262),isblank($B262)),"", not(iserror(vlookup($A262&amp;$B262,'3) Release_Label'!$D:$D&amp;'3) Release_Label'!$E:$E,1,0))),vlookup($A262&amp;$B262,{'3) Release_Label'!$D:$D&amp;'3) Release_Label'!$E:$E,'3) Release_Label'!$H:$H},2,0), or(and(not(isblank($B262)),$B262=$B261,$A262&lt;&gt;$A261),and(not(isblank($A262)),$A262=$A261,$B262&lt;&gt;$B261)),"ID LISTS UNALIGNED",and($A262&lt;&gt;"",countif('3) Release_Label'!$D:$D,$A262)=0),"NO UPC MATCH in Release_Label",and($B262&lt;&gt;"",countif('3) Release_Label'!$E:$E,$B262)=0),"NO CATALOG ID MATCH in Release_Label",iserror(vlookup($A262&amp;$B262,'3) Release_Label'!$D:$D&amp;'3) Release_Label'!$E:$E,1,0)),"NO UPC-CATALOG ID pair MATCH in Release_Label" )</f>
        <v/>
      </c>
      <c r="E262" s="99"/>
      <c r="F262" s="99"/>
      <c r="G262" s="123" t="str">
        <f t="array" ref="G262">ifs(or($F262="",$F262="Main Primary Artist"),$F262,not(iserror(vlookup($F262,'Reference info'!$J$5:$J$8,1,0))),"Key Artist",not(iserror(vlookup($F262,'Reference info'!$J$38:$J$405,1,0))),"Performer",not(iserror(vlookup($F262,'Reference info'!$J$10:$J$36,1,0))),"Producer &amp; Engineer")</f>
        <v/>
      </c>
    </row>
    <row r="263">
      <c r="A263" s="28"/>
      <c r="B263" s="103"/>
      <c r="C263" s="121" t="str">
        <f t="array" ref="C263">ifs(and(isblank($A263),isblank($B263)),"", not(iserror(vlookup($A263&amp;$B263,'3) Release_Label'!$D:$D&amp;'3) Release_Label'!$E:$E,1,0))),vlookup($A263&amp;$B263,{'3) Release_Label'!$D:$D&amp;'3) Release_Label'!$E:$E,'3) Release_Label'!$F:$F},2,0), or(and(not(isblank($B263)),$B263=$B262,$A263&lt;&gt;$A262),and(not(isblank($A263)),$A263=$A262,$B263&lt;&gt;$B262)),"ID LISTS UNALIGNED",and($A263&lt;&gt;"",countif('3) Release_Label'!$D:$D,$A263)=0),"NO UPC MATCH in Release_Label",and($B263&lt;&gt;"",countif('3) Release_Label'!$E:$E,$B263)=0),"NO CATALOG ID MATCH in Release_Label",iserror(vlookup($A263&amp;$B263,'3) Release_Label'!$D:$D&amp;'3) Release_Label'!$E:$E,1,0)),"NO UPC-CATALOG ID pair MATCH in Release_Label" )</f>
        <v/>
      </c>
      <c r="D263" s="121" t="str">
        <f t="array" ref="D263">ifs(and(isblank($A263),isblank($B263)),"", not(iserror(vlookup($A263&amp;$B263,'3) Release_Label'!$D:$D&amp;'3) Release_Label'!$E:$E,1,0))),vlookup($A263&amp;$B263,{'3) Release_Label'!$D:$D&amp;'3) Release_Label'!$E:$E,'3) Release_Label'!$H:$H},2,0), or(and(not(isblank($B263)),$B263=$B262,$A263&lt;&gt;$A262),and(not(isblank($A263)),$A263=$A262,$B263&lt;&gt;$B262)),"ID LISTS UNALIGNED",and($A263&lt;&gt;"",countif('3) Release_Label'!$D:$D,$A263)=0),"NO UPC MATCH in Release_Label",and($B263&lt;&gt;"",countif('3) Release_Label'!$E:$E,$B263)=0),"NO CATALOG ID MATCH in Release_Label",iserror(vlookup($A263&amp;$B263,'3) Release_Label'!$D:$D&amp;'3) Release_Label'!$E:$E,1,0)),"NO UPC-CATALOG ID pair MATCH in Release_Label" )</f>
        <v/>
      </c>
      <c r="E263" s="99"/>
      <c r="F263" s="99"/>
      <c r="G263" s="123" t="str">
        <f t="array" ref="G263">ifs(or($F263="",$F263="Main Primary Artist"),$F263,not(iserror(vlookup($F263,'Reference info'!$J$5:$J$8,1,0))),"Key Artist",not(iserror(vlookup($F263,'Reference info'!$J$38:$J$405,1,0))),"Performer",not(iserror(vlookup($F263,'Reference info'!$J$10:$J$36,1,0))),"Producer &amp; Engineer")</f>
        <v/>
      </c>
    </row>
    <row r="264">
      <c r="A264" s="28"/>
      <c r="B264" s="103"/>
      <c r="C264" s="121" t="str">
        <f t="array" ref="C264">ifs(and(isblank($A264),isblank($B264)),"", not(iserror(vlookup($A264&amp;$B264,'3) Release_Label'!$D:$D&amp;'3) Release_Label'!$E:$E,1,0))),vlookup($A264&amp;$B264,{'3) Release_Label'!$D:$D&amp;'3) Release_Label'!$E:$E,'3) Release_Label'!$F:$F},2,0), or(and(not(isblank($B264)),$B264=$B263,$A264&lt;&gt;$A263),and(not(isblank($A264)),$A264=$A263,$B264&lt;&gt;$B263)),"ID LISTS UNALIGNED",and($A264&lt;&gt;"",countif('3) Release_Label'!$D:$D,$A264)=0),"NO UPC MATCH in Release_Label",and($B264&lt;&gt;"",countif('3) Release_Label'!$E:$E,$B264)=0),"NO CATALOG ID MATCH in Release_Label",iserror(vlookup($A264&amp;$B264,'3) Release_Label'!$D:$D&amp;'3) Release_Label'!$E:$E,1,0)),"NO UPC-CATALOG ID pair MATCH in Release_Label" )</f>
        <v/>
      </c>
      <c r="D264" s="121" t="str">
        <f t="array" ref="D264">ifs(and(isblank($A264),isblank($B264)),"", not(iserror(vlookup($A264&amp;$B264,'3) Release_Label'!$D:$D&amp;'3) Release_Label'!$E:$E,1,0))),vlookup($A264&amp;$B264,{'3) Release_Label'!$D:$D&amp;'3) Release_Label'!$E:$E,'3) Release_Label'!$H:$H},2,0), or(and(not(isblank($B264)),$B264=$B263,$A264&lt;&gt;$A263),and(not(isblank($A264)),$A264=$A263,$B264&lt;&gt;$B263)),"ID LISTS UNALIGNED",and($A264&lt;&gt;"",countif('3) Release_Label'!$D:$D,$A264)=0),"NO UPC MATCH in Release_Label",and($B264&lt;&gt;"",countif('3) Release_Label'!$E:$E,$B264)=0),"NO CATALOG ID MATCH in Release_Label",iserror(vlookup($A264&amp;$B264,'3) Release_Label'!$D:$D&amp;'3) Release_Label'!$E:$E,1,0)),"NO UPC-CATALOG ID pair MATCH in Release_Label" )</f>
        <v/>
      </c>
      <c r="E264" s="99"/>
      <c r="F264" s="99"/>
      <c r="G264" s="123" t="str">
        <f t="array" ref="G264">ifs(or($F264="",$F264="Main Primary Artist"),$F264,not(iserror(vlookup($F264,'Reference info'!$J$5:$J$8,1,0))),"Key Artist",not(iserror(vlookup($F264,'Reference info'!$J$38:$J$405,1,0))),"Performer",not(iserror(vlookup($F264,'Reference info'!$J$10:$J$36,1,0))),"Producer &amp; Engineer")</f>
        <v/>
      </c>
    </row>
    <row r="265">
      <c r="A265" s="28"/>
      <c r="B265" s="103"/>
      <c r="C265" s="121" t="str">
        <f t="array" ref="C265">ifs(and(isblank($A265),isblank($B265)),"", not(iserror(vlookup($A265&amp;$B265,'3) Release_Label'!$D:$D&amp;'3) Release_Label'!$E:$E,1,0))),vlookup($A265&amp;$B265,{'3) Release_Label'!$D:$D&amp;'3) Release_Label'!$E:$E,'3) Release_Label'!$F:$F},2,0), or(and(not(isblank($B265)),$B265=$B264,$A265&lt;&gt;$A264),and(not(isblank($A265)),$A265=$A264,$B265&lt;&gt;$B264)),"ID LISTS UNALIGNED",and($A265&lt;&gt;"",countif('3) Release_Label'!$D:$D,$A265)=0),"NO UPC MATCH in Release_Label",and($B265&lt;&gt;"",countif('3) Release_Label'!$E:$E,$B265)=0),"NO CATALOG ID MATCH in Release_Label",iserror(vlookup($A265&amp;$B265,'3) Release_Label'!$D:$D&amp;'3) Release_Label'!$E:$E,1,0)),"NO UPC-CATALOG ID pair MATCH in Release_Label" )</f>
        <v/>
      </c>
      <c r="D265" s="121" t="str">
        <f t="array" ref="D265">ifs(and(isblank($A265),isblank($B265)),"", not(iserror(vlookup($A265&amp;$B265,'3) Release_Label'!$D:$D&amp;'3) Release_Label'!$E:$E,1,0))),vlookup($A265&amp;$B265,{'3) Release_Label'!$D:$D&amp;'3) Release_Label'!$E:$E,'3) Release_Label'!$H:$H},2,0), or(and(not(isblank($B265)),$B265=$B264,$A265&lt;&gt;$A264),and(not(isblank($A265)),$A265=$A264,$B265&lt;&gt;$B264)),"ID LISTS UNALIGNED",and($A265&lt;&gt;"",countif('3) Release_Label'!$D:$D,$A265)=0),"NO UPC MATCH in Release_Label",and($B265&lt;&gt;"",countif('3) Release_Label'!$E:$E,$B265)=0),"NO CATALOG ID MATCH in Release_Label",iserror(vlookup($A265&amp;$B265,'3) Release_Label'!$D:$D&amp;'3) Release_Label'!$E:$E,1,0)),"NO UPC-CATALOG ID pair MATCH in Release_Label" )</f>
        <v/>
      </c>
      <c r="E265" s="99"/>
      <c r="F265" s="99"/>
      <c r="G265" s="123" t="str">
        <f t="array" ref="G265">ifs(or($F265="",$F265="Main Primary Artist"),$F265,not(iserror(vlookup($F265,'Reference info'!$J$5:$J$8,1,0))),"Key Artist",not(iserror(vlookup($F265,'Reference info'!$J$38:$J$405,1,0))),"Performer",not(iserror(vlookup($F265,'Reference info'!$J$10:$J$36,1,0))),"Producer &amp; Engineer")</f>
        <v/>
      </c>
    </row>
    <row r="266">
      <c r="A266" s="28"/>
      <c r="B266" s="103"/>
      <c r="C266" s="121" t="str">
        <f t="array" ref="C266">ifs(and(isblank($A266),isblank($B266)),"", not(iserror(vlookup($A266&amp;$B266,'3) Release_Label'!$D:$D&amp;'3) Release_Label'!$E:$E,1,0))),vlookup($A266&amp;$B266,{'3) Release_Label'!$D:$D&amp;'3) Release_Label'!$E:$E,'3) Release_Label'!$F:$F},2,0), or(and(not(isblank($B266)),$B266=$B265,$A266&lt;&gt;$A265),and(not(isblank($A266)),$A266=$A265,$B266&lt;&gt;$B265)),"ID LISTS UNALIGNED",and($A266&lt;&gt;"",countif('3) Release_Label'!$D:$D,$A266)=0),"NO UPC MATCH in Release_Label",and($B266&lt;&gt;"",countif('3) Release_Label'!$E:$E,$B266)=0),"NO CATALOG ID MATCH in Release_Label",iserror(vlookup($A266&amp;$B266,'3) Release_Label'!$D:$D&amp;'3) Release_Label'!$E:$E,1,0)),"NO UPC-CATALOG ID pair MATCH in Release_Label" )</f>
        <v/>
      </c>
      <c r="D266" s="121" t="str">
        <f t="array" ref="D266">ifs(and(isblank($A266),isblank($B266)),"", not(iserror(vlookup($A266&amp;$B266,'3) Release_Label'!$D:$D&amp;'3) Release_Label'!$E:$E,1,0))),vlookup($A266&amp;$B266,{'3) Release_Label'!$D:$D&amp;'3) Release_Label'!$E:$E,'3) Release_Label'!$H:$H},2,0), or(and(not(isblank($B266)),$B266=$B265,$A266&lt;&gt;$A265),and(not(isblank($A266)),$A266=$A265,$B266&lt;&gt;$B265)),"ID LISTS UNALIGNED",and($A266&lt;&gt;"",countif('3) Release_Label'!$D:$D,$A266)=0),"NO UPC MATCH in Release_Label",and($B266&lt;&gt;"",countif('3) Release_Label'!$E:$E,$B266)=0),"NO CATALOG ID MATCH in Release_Label",iserror(vlookup($A266&amp;$B266,'3) Release_Label'!$D:$D&amp;'3) Release_Label'!$E:$E,1,0)),"NO UPC-CATALOG ID pair MATCH in Release_Label" )</f>
        <v/>
      </c>
      <c r="E266" s="99"/>
      <c r="F266" s="99"/>
      <c r="G266" s="123" t="str">
        <f t="array" ref="G266">ifs(or($F266="",$F266="Main Primary Artist"),$F266,not(iserror(vlookup($F266,'Reference info'!$J$5:$J$8,1,0))),"Key Artist",not(iserror(vlookup($F266,'Reference info'!$J$38:$J$405,1,0))),"Performer",not(iserror(vlookup($F266,'Reference info'!$J$10:$J$36,1,0))),"Producer &amp; Engineer")</f>
        <v/>
      </c>
    </row>
    <row r="267">
      <c r="A267" s="28"/>
      <c r="B267" s="103"/>
      <c r="C267" s="121" t="str">
        <f t="array" ref="C267">ifs(and(isblank($A267),isblank($B267)),"", not(iserror(vlookup($A267&amp;$B267,'3) Release_Label'!$D:$D&amp;'3) Release_Label'!$E:$E,1,0))),vlookup($A267&amp;$B267,{'3) Release_Label'!$D:$D&amp;'3) Release_Label'!$E:$E,'3) Release_Label'!$F:$F},2,0), or(and(not(isblank($B267)),$B267=$B266,$A267&lt;&gt;$A266),and(not(isblank($A267)),$A267=$A266,$B267&lt;&gt;$B266)),"ID LISTS UNALIGNED",and($A267&lt;&gt;"",countif('3) Release_Label'!$D:$D,$A267)=0),"NO UPC MATCH in Release_Label",and($B267&lt;&gt;"",countif('3) Release_Label'!$E:$E,$B267)=0),"NO CATALOG ID MATCH in Release_Label",iserror(vlookup($A267&amp;$B267,'3) Release_Label'!$D:$D&amp;'3) Release_Label'!$E:$E,1,0)),"NO UPC-CATALOG ID pair MATCH in Release_Label" )</f>
        <v/>
      </c>
      <c r="D267" s="121" t="str">
        <f t="array" ref="D267">ifs(and(isblank($A267),isblank($B267)),"", not(iserror(vlookup($A267&amp;$B267,'3) Release_Label'!$D:$D&amp;'3) Release_Label'!$E:$E,1,0))),vlookup($A267&amp;$B267,{'3) Release_Label'!$D:$D&amp;'3) Release_Label'!$E:$E,'3) Release_Label'!$H:$H},2,0), or(and(not(isblank($B267)),$B267=$B266,$A267&lt;&gt;$A266),and(not(isblank($A267)),$A267=$A266,$B267&lt;&gt;$B266)),"ID LISTS UNALIGNED",and($A267&lt;&gt;"",countif('3) Release_Label'!$D:$D,$A267)=0),"NO UPC MATCH in Release_Label",and($B267&lt;&gt;"",countif('3) Release_Label'!$E:$E,$B267)=0),"NO CATALOG ID MATCH in Release_Label",iserror(vlookup($A267&amp;$B267,'3) Release_Label'!$D:$D&amp;'3) Release_Label'!$E:$E,1,0)),"NO UPC-CATALOG ID pair MATCH in Release_Label" )</f>
        <v/>
      </c>
      <c r="E267" s="99"/>
      <c r="F267" s="99"/>
      <c r="G267" s="123" t="str">
        <f t="array" ref="G267">ifs(or($F267="",$F267="Main Primary Artist"),$F267,not(iserror(vlookup($F267,'Reference info'!$J$5:$J$8,1,0))),"Key Artist",not(iserror(vlookup($F267,'Reference info'!$J$38:$J$405,1,0))),"Performer",not(iserror(vlookup($F267,'Reference info'!$J$10:$J$36,1,0))),"Producer &amp; Engineer")</f>
        <v/>
      </c>
    </row>
    <row r="268">
      <c r="A268" s="28"/>
      <c r="B268" s="103"/>
      <c r="C268" s="121" t="str">
        <f t="array" ref="C268">ifs(and(isblank($A268),isblank($B268)),"", not(iserror(vlookup($A268&amp;$B268,'3) Release_Label'!$D:$D&amp;'3) Release_Label'!$E:$E,1,0))),vlookup($A268&amp;$B268,{'3) Release_Label'!$D:$D&amp;'3) Release_Label'!$E:$E,'3) Release_Label'!$F:$F},2,0), or(and(not(isblank($B268)),$B268=$B267,$A268&lt;&gt;$A267),and(not(isblank($A268)),$A268=$A267,$B268&lt;&gt;$B267)),"ID LISTS UNALIGNED",and($A268&lt;&gt;"",countif('3) Release_Label'!$D:$D,$A268)=0),"NO UPC MATCH in Release_Label",and($B268&lt;&gt;"",countif('3) Release_Label'!$E:$E,$B268)=0),"NO CATALOG ID MATCH in Release_Label",iserror(vlookup($A268&amp;$B268,'3) Release_Label'!$D:$D&amp;'3) Release_Label'!$E:$E,1,0)),"NO UPC-CATALOG ID pair MATCH in Release_Label" )</f>
        <v/>
      </c>
      <c r="D268" s="121" t="str">
        <f t="array" ref="D268">ifs(and(isblank($A268),isblank($B268)),"", not(iserror(vlookup($A268&amp;$B268,'3) Release_Label'!$D:$D&amp;'3) Release_Label'!$E:$E,1,0))),vlookup($A268&amp;$B268,{'3) Release_Label'!$D:$D&amp;'3) Release_Label'!$E:$E,'3) Release_Label'!$H:$H},2,0), or(and(not(isblank($B268)),$B268=$B267,$A268&lt;&gt;$A267),and(not(isblank($A268)),$A268=$A267,$B268&lt;&gt;$B267)),"ID LISTS UNALIGNED",and($A268&lt;&gt;"",countif('3) Release_Label'!$D:$D,$A268)=0),"NO UPC MATCH in Release_Label",and($B268&lt;&gt;"",countif('3) Release_Label'!$E:$E,$B268)=0),"NO CATALOG ID MATCH in Release_Label",iserror(vlookup($A268&amp;$B268,'3) Release_Label'!$D:$D&amp;'3) Release_Label'!$E:$E,1,0)),"NO UPC-CATALOG ID pair MATCH in Release_Label" )</f>
        <v/>
      </c>
      <c r="E268" s="99"/>
      <c r="F268" s="99"/>
      <c r="G268" s="123" t="str">
        <f t="array" ref="G268">ifs(or($F268="",$F268="Main Primary Artist"),$F268,not(iserror(vlookup($F268,'Reference info'!$J$5:$J$8,1,0))),"Key Artist",not(iserror(vlookup($F268,'Reference info'!$J$38:$J$405,1,0))),"Performer",not(iserror(vlookup($F268,'Reference info'!$J$10:$J$36,1,0))),"Producer &amp; Engineer")</f>
        <v/>
      </c>
    </row>
    <row r="269">
      <c r="A269" s="28"/>
      <c r="B269" s="103"/>
      <c r="C269" s="121" t="str">
        <f t="array" ref="C269">ifs(and(isblank($A269),isblank($B269)),"", not(iserror(vlookup($A269&amp;$B269,'3) Release_Label'!$D:$D&amp;'3) Release_Label'!$E:$E,1,0))),vlookup($A269&amp;$B269,{'3) Release_Label'!$D:$D&amp;'3) Release_Label'!$E:$E,'3) Release_Label'!$F:$F},2,0), or(and(not(isblank($B269)),$B269=$B268,$A269&lt;&gt;$A268),and(not(isblank($A269)),$A269=$A268,$B269&lt;&gt;$B268)),"ID LISTS UNALIGNED",and($A269&lt;&gt;"",countif('3) Release_Label'!$D:$D,$A269)=0),"NO UPC MATCH in Release_Label",and($B269&lt;&gt;"",countif('3) Release_Label'!$E:$E,$B269)=0),"NO CATALOG ID MATCH in Release_Label",iserror(vlookup($A269&amp;$B269,'3) Release_Label'!$D:$D&amp;'3) Release_Label'!$E:$E,1,0)),"NO UPC-CATALOG ID pair MATCH in Release_Label" )</f>
        <v/>
      </c>
      <c r="D269" s="121" t="str">
        <f t="array" ref="D269">ifs(and(isblank($A269),isblank($B269)),"", not(iserror(vlookup($A269&amp;$B269,'3) Release_Label'!$D:$D&amp;'3) Release_Label'!$E:$E,1,0))),vlookup($A269&amp;$B269,{'3) Release_Label'!$D:$D&amp;'3) Release_Label'!$E:$E,'3) Release_Label'!$H:$H},2,0), or(and(not(isblank($B269)),$B269=$B268,$A269&lt;&gt;$A268),and(not(isblank($A269)),$A269=$A268,$B269&lt;&gt;$B268)),"ID LISTS UNALIGNED",and($A269&lt;&gt;"",countif('3) Release_Label'!$D:$D,$A269)=0),"NO UPC MATCH in Release_Label",and($B269&lt;&gt;"",countif('3) Release_Label'!$E:$E,$B269)=0),"NO CATALOG ID MATCH in Release_Label",iserror(vlookup($A269&amp;$B269,'3) Release_Label'!$D:$D&amp;'3) Release_Label'!$E:$E,1,0)),"NO UPC-CATALOG ID pair MATCH in Release_Label" )</f>
        <v/>
      </c>
      <c r="E269" s="99"/>
      <c r="F269" s="99"/>
      <c r="G269" s="123" t="str">
        <f t="array" ref="G269">ifs(or($F269="",$F269="Main Primary Artist"),$F269,not(iserror(vlookup($F269,'Reference info'!$J$5:$J$8,1,0))),"Key Artist",not(iserror(vlookup($F269,'Reference info'!$J$38:$J$405,1,0))),"Performer",not(iserror(vlookup($F269,'Reference info'!$J$10:$J$36,1,0))),"Producer &amp; Engineer")</f>
        <v/>
      </c>
    </row>
    <row r="270">
      <c r="A270" s="28"/>
      <c r="B270" s="103"/>
      <c r="C270" s="121" t="str">
        <f t="array" ref="C270">ifs(and(isblank($A270),isblank($B270)),"", not(iserror(vlookup($A270&amp;$B270,'3) Release_Label'!$D:$D&amp;'3) Release_Label'!$E:$E,1,0))),vlookup($A270&amp;$B270,{'3) Release_Label'!$D:$D&amp;'3) Release_Label'!$E:$E,'3) Release_Label'!$F:$F},2,0), or(and(not(isblank($B270)),$B270=$B269,$A270&lt;&gt;$A269),and(not(isblank($A270)),$A270=$A269,$B270&lt;&gt;$B269)),"ID LISTS UNALIGNED",and($A270&lt;&gt;"",countif('3) Release_Label'!$D:$D,$A270)=0),"NO UPC MATCH in Release_Label",and($B270&lt;&gt;"",countif('3) Release_Label'!$E:$E,$B270)=0),"NO CATALOG ID MATCH in Release_Label",iserror(vlookup($A270&amp;$B270,'3) Release_Label'!$D:$D&amp;'3) Release_Label'!$E:$E,1,0)),"NO UPC-CATALOG ID pair MATCH in Release_Label" )</f>
        <v/>
      </c>
      <c r="D270" s="121" t="str">
        <f t="array" ref="D270">ifs(and(isblank($A270),isblank($B270)),"", not(iserror(vlookup($A270&amp;$B270,'3) Release_Label'!$D:$D&amp;'3) Release_Label'!$E:$E,1,0))),vlookup($A270&amp;$B270,{'3) Release_Label'!$D:$D&amp;'3) Release_Label'!$E:$E,'3) Release_Label'!$H:$H},2,0), or(and(not(isblank($B270)),$B270=$B269,$A270&lt;&gt;$A269),and(not(isblank($A270)),$A270=$A269,$B270&lt;&gt;$B269)),"ID LISTS UNALIGNED",and($A270&lt;&gt;"",countif('3) Release_Label'!$D:$D,$A270)=0),"NO UPC MATCH in Release_Label",and($B270&lt;&gt;"",countif('3) Release_Label'!$E:$E,$B270)=0),"NO CATALOG ID MATCH in Release_Label",iserror(vlookup($A270&amp;$B270,'3) Release_Label'!$D:$D&amp;'3) Release_Label'!$E:$E,1,0)),"NO UPC-CATALOG ID pair MATCH in Release_Label" )</f>
        <v/>
      </c>
      <c r="E270" s="99"/>
      <c r="F270" s="99"/>
      <c r="G270" s="123" t="str">
        <f t="array" ref="G270">ifs(or($F270="",$F270="Main Primary Artist"),$F270,not(iserror(vlookup($F270,'Reference info'!$J$5:$J$8,1,0))),"Key Artist",not(iserror(vlookup($F270,'Reference info'!$J$38:$J$405,1,0))),"Performer",not(iserror(vlookup($F270,'Reference info'!$J$10:$J$36,1,0))),"Producer &amp; Engineer")</f>
        <v/>
      </c>
    </row>
    <row r="271">
      <c r="A271" s="28"/>
      <c r="B271" s="103"/>
      <c r="C271" s="121" t="str">
        <f t="array" ref="C271">ifs(and(isblank($A271),isblank($B271)),"", not(iserror(vlookup($A271&amp;$B271,'3) Release_Label'!$D:$D&amp;'3) Release_Label'!$E:$E,1,0))),vlookup($A271&amp;$B271,{'3) Release_Label'!$D:$D&amp;'3) Release_Label'!$E:$E,'3) Release_Label'!$F:$F},2,0), or(and(not(isblank($B271)),$B271=$B270,$A271&lt;&gt;$A270),and(not(isblank($A271)),$A271=$A270,$B271&lt;&gt;$B270)),"ID LISTS UNALIGNED",and($A271&lt;&gt;"",countif('3) Release_Label'!$D:$D,$A271)=0),"NO UPC MATCH in Release_Label",and($B271&lt;&gt;"",countif('3) Release_Label'!$E:$E,$B271)=0),"NO CATALOG ID MATCH in Release_Label",iserror(vlookup($A271&amp;$B271,'3) Release_Label'!$D:$D&amp;'3) Release_Label'!$E:$E,1,0)),"NO UPC-CATALOG ID pair MATCH in Release_Label" )</f>
        <v/>
      </c>
      <c r="D271" s="121" t="str">
        <f t="array" ref="D271">ifs(and(isblank($A271),isblank($B271)),"", not(iserror(vlookup($A271&amp;$B271,'3) Release_Label'!$D:$D&amp;'3) Release_Label'!$E:$E,1,0))),vlookup($A271&amp;$B271,{'3) Release_Label'!$D:$D&amp;'3) Release_Label'!$E:$E,'3) Release_Label'!$H:$H},2,0), or(and(not(isblank($B271)),$B271=$B270,$A271&lt;&gt;$A270),and(not(isblank($A271)),$A271=$A270,$B271&lt;&gt;$B270)),"ID LISTS UNALIGNED",and($A271&lt;&gt;"",countif('3) Release_Label'!$D:$D,$A271)=0),"NO UPC MATCH in Release_Label",and($B271&lt;&gt;"",countif('3) Release_Label'!$E:$E,$B271)=0),"NO CATALOG ID MATCH in Release_Label",iserror(vlookup($A271&amp;$B271,'3) Release_Label'!$D:$D&amp;'3) Release_Label'!$E:$E,1,0)),"NO UPC-CATALOG ID pair MATCH in Release_Label" )</f>
        <v/>
      </c>
      <c r="E271" s="99"/>
      <c r="F271" s="99"/>
      <c r="G271" s="123" t="str">
        <f t="array" ref="G271">ifs(or($F271="",$F271="Main Primary Artist"),$F271,not(iserror(vlookup($F271,'Reference info'!$J$5:$J$8,1,0))),"Key Artist",not(iserror(vlookup($F271,'Reference info'!$J$38:$J$405,1,0))),"Performer",not(iserror(vlookup($F271,'Reference info'!$J$10:$J$36,1,0))),"Producer &amp; Engineer")</f>
        <v/>
      </c>
    </row>
    <row r="272">
      <c r="A272" s="28"/>
      <c r="B272" s="103"/>
      <c r="C272" s="121" t="str">
        <f t="array" ref="C272">ifs(and(isblank($A272),isblank($B272)),"", not(iserror(vlookup($A272&amp;$B272,'3) Release_Label'!$D:$D&amp;'3) Release_Label'!$E:$E,1,0))),vlookup($A272&amp;$B272,{'3) Release_Label'!$D:$D&amp;'3) Release_Label'!$E:$E,'3) Release_Label'!$F:$F},2,0), or(and(not(isblank($B272)),$B272=$B271,$A272&lt;&gt;$A271),and(not(isblank($A272)),$A272=$A271,$B272&lt;&gt;$B271)),"ID LISTS UNALIGNED",and($A272&lt;&gt;"",countif('3) Release_Label'!$D:$D,$A272)=0),"NO UPC MATCH in Release_Label",and($B272&lt;&gt;"",countif('3) Release_Label'!$E:$E,$B272)=0),"NO CATALOG ID MATCH in Release_Label",iserror(vlookup($A272&amp;$B272,'3) Release_Label'!$D:$D&amp;'3) Release_Label'!$E:$E,1,0)),"NO UPC-CATALOG ID pair MATCH in Release_Label" )</f>
        <v/>
      </c>
      <c r="D272" s="121" t="str">
        <f t="array" ref="D272">ifs(and(isblank($A272),isblank($B272)),"", not(iserror(vlookup($A272&amp;$B272,'3) Release_Label'!$D:$D&amp;'3) Release_Label'!$E:$E,1,0))),vlookup($A272&amp;$B272,{'3) Release_Label'!$D:$D&amp;'3) Release_Label'!$E:$E,'3) Release_Label'!$H:$H},2,0), or(and(not(isblank($B272)),$B272=$B271,$A272&lt;&gt;$A271),and(not(isblank($A272)),$A272=$A271,$B272&lt;&gt;$B271)),"ID LISTS UNALIGNED",and($A272&lt;&gt;"",countif('3) Release_Label'!$D:$D,$A272)=0),"NO UPC MATCH in Release_Label",and($B272&lt;&gt;"",countif('3) Release_Label'!$E:$E,$B272)=0),"NO CATALOG ID MATCH in Release_Label",iserror(vlookup($A272&amp;$B272,'3) Release_Label'!$D:$D&amp;'3) Release_Label'!$E:$E,1,0)),"NO UPC-CATALOG ID pair MATCH in Release_Label" )</f>
        <v/>
      </c>
      <c r="E272" s="99"/>
      <c r="F272" s="99"/>
      <c r="G272" s="123" t="str">
        <f t="array" ref="G272">ifs(or($F272="",$F272="Main Primary Artist"),$F272,not(iserror(vlookup($F272,'Reference info'!$J$5:$J$8,1,0))),"Key Artist",not(iserror(vlookup($F272,'Reference info'!$J$38:$J$405,1,0))),"Performer",not(iserror(vlookup($F272,'Reference info'!$J$10:$J$36,1,0))),"Producer &amp; Engineer")</f>
        <v/>
      </c>
    </row>
    <row r="273">
      <c r="A273" s="28"/>
      <c r="B273" s="103"/>
      <c r="C273" s="121" t="str">
        <f t="array" ref="C273">ifs(and(isblank($A273),isblank($B273)),"", not(iserror(vlookup($A273&amp;$B273,'3) Release_Label'!$D:$D&amp;'3) Release_Label'!$E:$E,1,0))),vlookup($A273&amp;$B273,{'3) Release_Label'!$D:$D&amp;'3) Release_Label'!$E:$E,'3) Release_Label'!$F:$F},2,0), or(and(not(isblank($B273)),$B273=$B272,$A273&lt;&gt;$A272),and(not(isblank($A273)),$A273=$A272,$B273&lt;&gt;$B272)),"ID LISTS UNALIGNED",and($A273&lt;&gt;"",countif('3) Release_Label'!$D:$D,$A273)=0),"NO UPC MATCH in Release_Label",and($B273&lt;&gt;"",countif('3) Release_Label'!$E:$E,$B273)=0),"NO CATALOG ID MATCH in Release_Label",iserror(vlookup($A273&amp;$B273,'3) Release_Label'!$D:$D&amp;'3) Release_Label'!$E:$E,1,0)),"NO UPC-CATALOG ID pair MATCH in Release_Label" )</f>
        <v/>
      </c>
      <c r="D273" s="121" t="str">
        <f t="array" ref="D273">ifs(and(isblank($A273),isblank($B273)),"", not(iserror(vlookup($A273&amp;$B273,'3) Release_Label'!$D:$D&amp;'3) Release_Label'!$E:$E,1,0))),vlookup($A273&amp;$B273,{'3) Release_Label'!$D:$D&amp;'3) Release_Label'!$E:$E,'3) Release_Label'!$H:$H},2,0), or(and(not(isblank($B273)),$B273=$B272,$A273&lt;&gt;$A272),and(not(isblank($A273)),$A273=$A272,$B273&lt;&gt;$B272)),"ID LISTS UNALIGNED",and($A273&lt;&gt;"",countif('3) Release_Label'!$D:$D,$A273)=0),"NO UPC MATCH in Release_Label",and($B273&lt;&gt;"",countif('3) Release_Label'!$E:$E,$B273)=0),"NO CATALOG ID MATCH in Release_Label",iserror(vlookup($A273&amp;$B273,'3) Release_Label'!$D:$D&amp;'3) Release_Label'!$E:$E,1,0)),"NO UPC-CATALOG ID pair MATCH in Release_Label" )</f>
        <v/>
      </c>
      <c r="E273" s="99"/>
      <c r="F273" s="99"/>
      <c r="G273" s="123" t="str">
        <f t="array" ref="G273">ifs(or($F273="",$F273="Main Primary Artist"),$F273,not(iserror(vlookup($F273,'Reference info'!$J$5:$J$8,1,0))),"Key Artist",not(iserror(vlookup($F273,'Reference info'!$J$38:$J$405,1,0))),"Performer",not(iserror(vlookup($F273,'Reference info'!$J$10:$J$36,1,0))),"Producer &amp; Engineer")</f>
        <v/>
      </c>
    </row>
    <row r="274">
      <c r="A274" s="28"/>
      <c r="B274" s="103"/>
      <c r="C274" s="121" t="str">
        <f t="array" ref="C274">ifs(and(isblank($A274),isblank($B274)),"", not(iserror(vlookup($A274&amp;$B274,'3) Release_Label'!$D:$D&amp;'3) Release_Label'!$E:$E,1,0))),vlookup($A274&amp;$B274,{'3) Release_Label'!$D:$D&amp;'3) Release_Label'!$E:$E,'3) Release_Label'!$F:$F},2,0), or(and(not(isblank($B274)),$B274=$B273,$A274&lt;&gt;$A273),and(not(isblank($A274)),$A274=$A273,$B274&lt;&gt;$B273)),"ID LISTS UNALIGNED",and($A274&lt;&gt;"",countif('3) Release_Label'!$D:$D,$A274)=0),"NO UPC MATCH in Release_Label",and($B274&lt;&gt;"",countif('3) Release_Label'!$E:$E,$B274)=0),"NO CATALOG ID MATCH in Release_Label",iserror(vlookup($A274&amp;$B274,'3) Release_Label'!$D:$D&amp;'3) Release_Label'!$E:$E,1,0)),"NO UPC-CATALOG ID pair MATCH in Release_Label" )</f>
        <v/>
      </c>
      <c r="D274" s="121" t="str">
        <f t="array" ref="D274">ifs(and(isblank($A274),isblank($B274)),"", not(iserror(vlookup($A274&amp;$B274,'3) Release_Label'!$D:$D&amp;'3) Release_Label'!$E:$E,1,0))),vlookup($A274&amp;$B274,{'3) Release_Label'!$D:$D&amp;'3) Release_Label'!$E:$E,'3) Release_Label'!$H:$H},2,0), or(and(not(isblank($B274)),$B274=$B273,$A274&lt;&gt;$A273),and(not(isblank($A274)),$A274=$A273,$B274&lt;&gt;$B273)),"ID LISTS UNALIGNED",and($A274&lt;&gt;"",countif('3) Release_Label'!$D:$D,$A274)=0),"NO UPC MATCH in Release_Label",and($B274&lt;&gt;"",countif('3) Release_Label'!$E:$E,$B274)=0),"NO CATALOG ID MATCH in Release_Label",iserror(vlookup($A274&amp;$B274,'3) Release_Label'!$D:$D&amp;'3) Release_Label'!$E:$E,1,0)),"NO UPC-CATALOG ID pair MATCH in Release_Label" )</f>
        <v/>
      </c>
      <c r="E274" s="99"/>
      <c r="F274" s="99"/>
      <c r="G274" s="123" t="str">
        <f t="array" ref="G274">ifs(or($F274="",$F274="Main Primary Artist"),$F274,not(iserror(vlookup($F274,'Reference info'!$J$5:$J$8,1,0))),"Key Artist",not(iserror(vlookup($F274,'Reference info'!$J$38:$J$405,1,0))),"Performer",not(iserror(vlookup($F274,'Reference info'!$J$10:$J$36,1,0))),"Producer &amp; Engineer")</f>
        <v/>
      </c>
    </row>
    <row r="275">
      <c r="A275" s="28"/>
      <c r="B275" s="103"/>
      <c r="C275" s="121" t="str">
        <f t="array" ref="C275">ifs(and(isblank($A275),isblank($B275)),"", not(iserror(vlookup($A275&amp;$B275,'3) Release_Label'!$D:$D&amp;'3) Release_Label'!$E:$E,1,0))),vlookup($A275&amp;$B275,{'3) Release_Label'!$D:$D&amp;'3) Release_Label'!$E:$E,'3) Release_Label'!$F:$F},2,0), or(and(not(isblank($B275)),$B275=$B274,$A275&lt;&gt;$A274),and(not(isblank($A275)),$A275=$A274,$B275&lt;&gt;$B274)),"ID LISTS UNALIGNED",and($A275&lt;&gt;"",countif('3) Release_Label'!$D:$D,$A275)=0),"NO UPC MATCH in Release_Label",and($B275&lt;&gt;"",countif('3) Release_Label'!$E:$E,$B275)=0),"NO CATALOG ID MATCH in Release_Label",iserror(vlookup($A275&amp;$B275,'3) Release_Label'!$D:$D&amp;'3) Release_Label'!$E:$E,1,0)),"NO UPC-CATALOG ID pair MATCH in Release_Label" )</f>
        <v/>
      </c>
      <c r="D275" s="121" t="str">
        <f t="array" ref="D275">ifs(and(isblank($A275),isblank($B275)),"", not(iserror(vlookup($A275&amp;$B275,'3) Release_Label'!$D:$D&amp;'3) Release_Label'!$E:$E,1,0))),vlookup($A275&amp;$B275,{'3) Release_Label'!$D:$D&amp;'3) Release_Label'!$E:$E,'3) Release_Label'!$H:$H},2,0), or(and(not(isblank($B275)),$B275=$B274,$A275&lt;&gt;$A274),and(not(isblank($A275)),$A275=$A274,$B275&lt;&gt;$B274)),"ID LISTS UNALIGNED",and($A275&lt;&gt;"",countif('3) Release_Label'!$D:$D,$A275)=0),"NO UPC MATCH in Release_Label",and($B275&lt;&gt;"",countif('3) Release_Label'!$E:$E,$B275)=0),"NO CATALOG ID MATCH in Release_Label",iserror(vlookup($A275&amp;$B275,'3) Release_Label'!$D:$D&amp;'3) Release_Label'!$E:$E,1,0)),"NO UPC-CATALOG ID pair MATCH in Release_Label" )</f>
        <v/>
      </c>
      <c r="E275" s="99"/>
      <c r="F275" s="99"/>
      <c r="G275" s="123" t="str">
        <f t="array" ref="G275">ifs(or($F275="",$F275="Main Primary Artist"),$F275,not(iserror(vlookup($F275,'Reference info'!$J$5:$J$8,1,0))),"Key Artist",not(iserror(vlookup($F275,'Reference info'!$J$38:$J$405,1,0))),"Performer",not(iserror(vlookup($F275,'Reference info'!$J$10:$J$36,1,0))),"Producer &amp; Engineer")</f>
        <v/>
      </c>
    </row>
    <row r="276">
      <c r="A276" s="28"/>
      <c r="B276" s="103"/>
      <c r="C276" s="121" t="str">
        <f t="array" ref="C276">ifs(and(isblank($A276),isblank($B276)),"", not(iserror(vlookup($A276&amp;$B276,'3) Release_Label'!$D:$D&amp;'3) Release_Label'!$E:$E,1,0))),vlookup($A276&amp;$B276,{'3) Release_Label'!$D:$D&amp;'3) Release_Label'!$E:$E,'3) Release_Label'!$F:$F},2,0), or(and(not(isblank($B276)),$B276=$B275,$A276&lt;&gt;$A275),and(not(isblank($A276)),$A276=$A275,$B276&lt;&gt;$B275)),"ID LISTS UNALIGNED",and($A276&lt;&gt;"",countif('3) Release_Label'!$D:$D,$A276)=0),"NO UPC MATCH in Release_Label",and($B276&lt;&gt;"",countif('3) Release_Label'!$E:$E,$B276)=0),"NO CATALOG ID MATCH in Release_Label",iserror(vlookup($A276&amp;$B276,'3) Release_Label'!$D:$D&amp;'3) Release_Label'!$E:$E,1,0)),"NO UPC-CATALOG ID pair MATCH in Release_Label" )</f>
        <v/>
      </c>
      <c r="D276" s="121" t="str">
        <f t="array" ref="D276">ifs(and(isblank($A276),isblank($B276)),"", not(iserror(vlookup($A276&amp;$B276,'3) Release_Label'!$D:$D&amp;'3) Release_Label'!$E:$E,1,0))),vlookup($A276&amp;$B276,{'3) Release_Label'!$D:$D&amp;'3) Release_Label'!$E:$E,'3) Release_Label'!$H:$H},2,0), or(and(not(isblank($B276)),$B276=$B275,$A276&lt;&gt;$A275),and(not(isblank($A276)),$A276=$A275,$B276&lt;&gt;$B275)),"ID LISTS UNALIGNED",and($A276&lt;&gt;"",countif('3) Release_Label'!$D:$D,$A276)=0),"NO UPC MATCH in Release_Label",and($B276&lt;&gt;"",countif('3) Release_Label'!$E:$E,$B276)=0),"NO CATALOG ID MATCH in Release_Label",iserror(vlookup($A276&amp;$B276,'3) Release_Label'!$D:$D&amp;'3) Release_Label'!$E:$E,1,0)),"NO UPC-CATALOG ID pair MATCH in Release_Label" )</f>
        <v/>
      </c>
      <c r="E276" s="99"/>
      <c r="F276" s="99"/>
      <c r="G276" s="123" t="str">
        <f t="array" ref="G276">ifs(or($F276="",$F276="Main Primary Artist"),$F276,not(iserror(vlookup($F276,'Reference info'!$J$5:$J$8,1,0))),"Key Artist",not(iserror(vlookup($F276,'Reference info'!$J$38:$J$405,1,0))),"Performer",not(iserror(vlookup($F276,'Reference info'!$J$10:$J$36,1,0))),"Producer &amp; Engineer")</f>
        <v/>
      </c>
    </row>
    <row r="277">
      <c r="A277" s="28"/>
      <c r="B277" s="103"/>
      <c r="C277" s="121" t="str">
        <f t="array" ref="C277">ifs(and(isblank($A277),isblank($B277)),"", not(iserror(vlookup($A277&amp;$B277,'3) Release_Label'!$D:$D&amp;'3) Release_Label'!$E:$E,1,0))),vlookup($A277&amp;$B277,{'3) Release_Label'!$D:$D&amp;'3) Release_Label'!$E:$E,'3) Release_Label'!$F:$F},2,0), or(and(not(isblank($B277)),$B277=$B276,$A277&lt;&gt;$A276),and(not(isblank($A277)),$A277=$A276,$B277&lt;&gt;$B276)),"ID LISTS UNALIGNED",and($A277&lt;&gt;"",countif('3) Release_Label'!$D:$D,$A277)=0),"NO UPC MATCH in Release_Label",and($B277&lt;&gt;"",countif('3) Release_Label'!$E:$E,$B277)=0),"NO CATALOG ID MATCH in Release_Label",iserror(vlookup($A277&amp;$B277,'3) Release_Label'!$D:$D&amp;'3) Release_Label'!$E:$E,1,0)),"NO UPC-CATALOG ID pair MATCH in Release_Label" )</f>
        <v/>
      </c>
      <c r="D277" s="121" t="str">
        <f t="array" ref="D277">ifs(and(isblank($A277),isblank($B277)),"", not(iserror(vlookup($A277&amp;$B277,'3) Release_Label'!$D:$D&amp;'3) Release_Label'!$E:$E,1,0))),vlookup($A277&amp;$B277,{'3) Release_Label'!$D:$D&amp;'3) Release_Label'!$E:$E,'3) Release_Label'!$H:$H},2,0), or(and(not(isblank($B277)),$B277=$B276,$A277&lt;&gt;$A276),and(not(isblank($A277)),$A277=$A276,$B277&lt;&gt;$B276)),"ID LISTS UNALIGNED",and($A277&lt;&gt;"",countif('3) Release_Label'!$D:$D,$A277)=0),"NO UPC MATCH in Release_Label",and($B277&lt;&gt;"",countif('3) Release_Label'!$E:$E,$B277)=0),"NO CATALOG ID MATCH in Release_Label",iserror(vlookup($A277&amp;$B277,'3) Release_Label'!$D:$D&amp;'3) Release_Label'!$E:$E,1,0)),"NO UPC-CATALOG ID pair MATCH in Release_Label" )</f>
        <v/>
      </c>
      <c r="E277" s="99"/>
      <c r="F277" s="99"/>
      <c r="G277" s="123" t="str">
        <f t="array" ref="G277">ifs(or($F277="",$F277="Main Primary Artist"),$F277,not(iserror(vlookup($F277,'Reference info'!$J$5:$J$8,1,0))),"Key Artist",not(iserror(vlookup($F277,'Reference info'!$J$38:$J$405,1,0))),"Performer",not(iserror(vlookup($F277,'Reference info'!$J$10:$J$36,1,0))),"Producer &amp; Engineer")</f>
        <v/>
      </c>
    </row>
    <row r="278">
      <c r="A278" s="28"/>
      <c r="B278" s="103"/>
      <c r="C278" s="121" t="str">
        <f t="array" ref="C278">ifs(and(isblank($A278),isblank($B278)),"", not(iserror(vlookup($A278&amp;$B278,'3) Release_Label'!$D:$D&amp;'3) Release_Label'!$E:$E,1,0))),vlookup($A278&amp;$B278,{'3) Release_Label'!$D:$D&amp;'3) Release_Label'!$E:$E,'3) Release_Label'!$F:$F},2,0), or(and(not(isblank($B278)),$B278=$B277,$A278&lt;&gt;$A277),and(not(isblank($A278)),$A278=$A277,$B278&lt;&gt;$B277)),"ID LISTS UNALIGNED",and($A278&lt;&gt;"",countif('3) Release_Label'!$D:$D,$A278)=0),"NO UPC MATCH in Release_Label",and($B278&lt;&gt;"",countif('3) Release_Label'!$E:$E,$B278)=0),"NO CATALOG ID MATCH in Release_Label",iserror(vlookup($A278&amp;$B278,'3) Release_Label'!$D:$D&amp;'3) Release_Label'!$E:$E,1,0)),"NO UPC-CATALOG ID pair MATCH in Release_Label" )</f>
        <v/>
      </c>
      <c r="D278" s="121" t="str">
        <f t="array" ref="D278">ifs(and(isblank($A278),isblank($B278)),"", not(iserror(vlookup($A278&amp;$B278,'3) Release_Label'!$D:$D&amp;'3) Release_Label'!$E:$E,1,0))),vlookup($A278&amp;$B278,{'3) Release_Label'!$D:$D&amp;'3) Release_Label'!$E:$E,'3) Release_Label'!$H:$H},2,0), or(and(not(isblank($B278)),$B278=$B277,$A278&lt;&gt;$A277),and(not(isblank($A278)),$A278=$A277,$B278&lt;&gt;$B277)),"ID LISTS UNALIGNED",and($A278&lt;&gt;"",countif('3) Release_Label'!$D:$D,$A278)=0),"NO UPC MATCH in Release_Label",and($B278&lt;&gt;"",countif('3) Release_Label'!$E:$E,$B278)=0),"NO CATALOG ID MATCH in Release_Label",iserror(vlookup($A278&amp;$B278,'3) Release_Label'!$D:$D&amp;'3) Release_Label'!$E:$E,1,0)),"NO UPC-CATALOG ID pair MATCH in Release_Label" )</f>
        <v/>
      </c>
      <c r="E278" s="99"/>
      <c r="F278" s="99"/>
      <c r="G278" s="123" t="str">
        <f t="array" ref="G278">ifs(or($F278="",$F278="Main Primary Artist"),$F278,not(iserror(vlookup($F278,'Reference info'!$J$5:$J$8,1,0))),"Key Artist",not(iserror(vlookup($F278,'Reference info'!$J$38:$J$405,1,0))),"Performer",not(iserror(vlookup($F278,'Reference info'!$J$10:$J$36,1,0))),"Producer &amp; Engineer")</f>
        <v/>
      </c>
    </row>
    <row r="279">
      <c r="A279" s="28"/>
      <c r="B279" s="103"/>
      <c r="C279" s="121" t="str">
        <f t="array" ref="C279">ifs(and(isblank($A279),isblank($B279)),"", not(iserror(vlookup($A279&amp;$B279,'3) Release_Label'!$D:$D&amp;'3) Release_Label'!$E:$E,1,0))),vlookup($A279&amp;$B279,{'3) Release_Label'!$D:$D&amp;'3) Release_Label'!$E:$E,'3) Release_Label'!$F:$F},2,0), or(and(not(isblank($B279)),$B279=$B278,$A279&lt;&gt;$A278),and(not(isblank($A279)),$A279=$A278,$B279&lt;&gt;$B278)),"ID LISTS UNALIGNED",and($A279&lt;&gt;"",countif('3) Release_Label'!$D:$D,$A279)=0),"NO UPC MATCH in Release_Label",and($B279&lt;&gt;"",countif('3) Release_Label'!$E:$E,$B279)=0),"NO CATALOG ID MATCH in Release_Label",iserror(vlookup($A279&amp;$B279,'3) Release_Label'!$D:$D&amp;'3) Release_Label'!$E:$E,1,0)),"NO UPC-CATALOG ID pair MATCH in Release_Label" )</f>
        <v/>
      </c>
      <c r="D279" s="121" t="str">
        <f t="array" ref="D279">ifs(and(isblank($A279),isblank($B279)),"", not(iserror(vlookup($A279&amp;$B279,'3) Release_Label'!$D:$D&amp;'3) Release_Label'!$E:$E,1,0))),vlookup($A279&amp;$B279,{'3) Release_Label'!$D:$D&amp;'3) Release_Label'!$E:$E,'3) Release_Label'!$H:$H},2,0), or(and(not(isblank($B279)),$B279=$B278,$A279&lt;&gt;$A278),and(not(isblank($A279)),$A279=$A278,$B279&lt;&gt;$B278)),"ID LISTS UNALIGNED",and($A279&lt;&gt;"",countif('3) Release_Label'!$D:$D,$A279)=0),"NO UPC MATCH in Release_Label",and($B279&lt;&gt;"",countif('3) Release_Label'!$E:$E,$B279)=0),"NO CATALOG ID MATCH in Release_Label",iserror(vlookup($A279&amp;$B279,'3) Release_Label'!$D:$D&amp;'3) Release_Label'!$E:$E,1,0)),"NO UPC-CATALOG ID pair MATCH in Release_Label" )</f>
        <v/>
      </c>
      <c r="E279" s="99"/>
      <c r="F279" s="99"/>
      <c r="G279" s="123" t="str">
        <f t="array" ref="G279">ifs(or($F279="",$F279="Main Primary Artist"),$F279,not(iserror(vlookup($F279,'Reference info'!$J$5:$J$8,1,0))),"Key Artist",not(iserror(vlookup($F279,'Reference info'!$J$38:$J$405,1,0))),"Performer",not(iserror(vlookup($F279,'Reference info'!$J$10:$J$36,1,0))),"Producer &amp; Engineer")</f>
        <v/>
      </c>
    </row>
    <row r="280">
      <c r="A280" s="28"/>
      <c r="B280" s="103"/>
      <c r="C280" s="121" t="str">
        <f t="array" ref="C280">ifs(and(isblank($A280),isblank($B280)),"", not(iserror(vlookup($A280&amp;$B280,'3) Release_Label'!$D:$D&amp;'3) Release_Label'!$E:$E,1,0))),vlookup($A280&amp;$B280,{'3) Release_Label'!$D:$D&amp;'3) Release_Label'!$E:$E,'3) Release_Label'!$F:$F},2,0), or(and(not(isblank($B280)),$B280=$B279,$A280&lt;&gt;$A279),and(not(isblank($A280)),$A280=$A279,$B280&lt;&gt;$B279)),"ID LISTS UNALIGNED",and($A280&lt;&gt;"",countif('3) Release_Label'!$D:$D,$A280)=0),"NO UPC MATCH in Release_Label",and($B280&lt;&gt;"",countif('3) Release_Label'!$E:$E,$B280)=0),"NO CATALOG ID MATCH in Release_Label",iserror(vlookup($A280&amp;$B280,'3) Release_Label'!$D:$D&amp;'3) Release_Label'!$E:$E,1,0)),"NO UPC-CATALOG ID pair MATCH in Release_Label" )</f>
        <v/>
      </c>
      <c r="D280" s="121" t="str">
        <f t="array" ref="D280">ifs(and(isblank($A280),isblank($B280)),"", not(iserror(vlookup($A280&amp;$B280,'3) Release_Label'!$D:$D&amp;'3) Release_Label'!$E:$E,1,0))),vlookup($A280&amp;$B280,{'3) Release_Label'!$D:$D&amp;'3) Release_Label'!$E:$E,'3) Release_Label'!$H:$H},2,0), or(and(not(isblank($B280)),$B280=$B279,$A280&lt;&gt;$A279),and(not(isblank($A280)),$A280=$A279,$B280&lt;&gt;$B279)),"ID LISTS UNALIGNED",and($A280&lt;&gt;"",countif('3) Release_Label'!$D:$D,$A280)=0),"NO UPC MATCH in Release_Label",and($B280&lt;&gt;"",countif('3) Release_Label'!$E:$E,$B280)=0),"NO CATALOG ID MATCH in Release_Label",iserror(vlookup($A280&amp;$B280,'3) Release_Label'!$D:$D&amp;'3) Release_Label'!$E:$E,1,0)),"NO UPC-CATALOG ID pair MATCH in Release_Label" )</f>
        <v/>
      </c>
      <c r="E280" s="99"/>
      <c r="F280" s="99"/>
      <c r="G280" s="123" t="str">
        <f t="array" ref="G280">ifs(or($F280="",$F280="Main Primary Artist"),$F280,not(iserror(vlookup($F280,'Reference info'!$J$5:$J$8,1,0))),"Key Artist",not(iserror(vlookup($F280,'Reference info'!$J$38:$J$405,1,0))),"Performer",not(iserror(vlookup($F280,'Reference info'!$J$10:$J$36,1,0))),"Producer &amp; Engineer")</f>
        <v/>
      </c>
    </row>
    <row r="281">
      <c r="A281" s="28"/>
      <c r="B281" s="103"/>
      <c r="C281" s="121" t="str">
        <f t="array" ref="C281">ifs(and(isblank($A281),isblank($B281)),"", not(iserror(vlookup($A281&amp;$B281,'3) Release_Label'!$D:$D&amp;'3) Release_Label'!$E:$E,1,0))),vlookup($A281&amp;$B281,{'3) Release_Label'!$D:$D&amp;'3) Release_Label'!$E:$E,'3) Release_Label'!$F:$F},2,0), or(and(not(isblank($B281)),$B281=$B280,$A281&lt;&gt;$A280),and(not(isblank($A281)),$A281=$A280,$B281&lt;&gt;$B280)),"ID LISTS UNALIGNED",and($A281&lt;&gt;"",countif('3) Release_Label'!$D:$D,$A281)=0),"NO UPC MATCH in Release_Label",and($B281&lt;&gt;"",countif('3) Release_Label'!$E:$E,$B281)=0),"NO CATALOG ID MATCH in Release_Label",iserror(vlookup($A281&amp;$B281,'3) Release_Label'!$D:$D&amp;'3) Release_Label'!$E:$E,1,0)),"NO UPC-CATALOG ID pair MATCH in Release_Label" )</f>
        <v/>
      </c>
      <c r="D281" s="121" t="str">
        <f t="array" ref="D281">ifs(and(isblank($A281),isblank($B281)),"", not(iserror(vlookup($A281&amp;$B281,'3) Release_Label'!$D:$D&amp;'3) Release_Label'!$E:$E,1,0))),vlookup($A281&amp;$B281,{'3) Release_Label'!$D:$D&amp;'3) Release_Label'!$E:$E,'3) Release_Label'!$H:$H},2,0), or(and(not(isblank($B281)),$B281=$B280,$A281&lt;&gt;$A280),and(not(isblank($A281)),$A281=$A280,$B281&lt;&gt;$B280)),"ID LISTS UNALIGNED",and($A281&lt;&gt;"",countif('3) Release_Label'!$D:$D,$A281)=0),"NO UPC MATCH in Release_Label",and($B281&lt;&gt;"",countif('3) Release_Label'!$E:$E,$B281)=0),"NO CATALOG ID MATCH in Release_Label",iserror(vlookup($A281&amp;$B281,'3) Release_Label'!$D:$D&amp;'3) Release_Label'!$E:$E,1,0)),"NO UPC-CATALOG ID pair MATCH in Release_Label" )</f>
        <v/>
      </c>
      <c r="E281" s="99"/>
      <c r="F281" s="99"/>
      <c r="G281" s="123" t="str">
        <f t="array" ref="G281">ifs(or($F281="",$F281="Main Primary Artist"),$F281,not(iserror(vlookup($F281,'Reference info'!$J$5:$J$8,1,0))),"Key Artist",not(iserror(vlookup($F281,'Reference info'!$J$38:$J$405,1,0))),"Performer",not(iserror(vlookup($F281,'Reference info'!$J$10:$J$36,1,0))),"Producer &amp; Engineer")</f>
        <v/>
      </c>
    </row>
    <row r="282">
      <c r="A282" s="28"/>
      <c r="B282" s="103"/>
      <c r="C282" s="121" t="str">
        <f t="array" ref="C282">ifs(and(isblank($A282),isblank($B282)),"", not(iserror(vlookup($A282&amp;$B282,'3) Release_Label'!$D:$D&amp;'3) Release_Label'!$E:$E,1,0))),vlookup($A282&amp;$B282,{'3) Release_Label'!$D:$D&amp;'3) Release_Label'!$E:$E,'3) Release_Label'!$F:$F},2,0), or(and(not(isblank($B282)),$B282=$B281,$A282&lt;&gt;$A281),and(not(isblank($A282)),$A282=$A281,$B282&lt;&gt;$B281)),"ID LISTS UNALIGNED",and($A282&lt;&gt;"",countif('3) Release_Label'!$D:$D,$A282)=0),"NO UPC MATCH in Release_Label",and($B282&lt;&gt;"",countif('3) Release_Label'!$E:$E,$B282)=0),"NO CATALOG ID MATCH in Release_Label",iserror(vlookup($A282&amp;$B282,'3) Release_Label'!$D:$D&amp;'3) Release_Label'!$E:$E,1,0)),"NO UPC-CATALOG ID pair MATCH in Release_Label" )</f>
        <v/>
      </c>
      <c r="D282" s="121" t="str">
        <f t="array" ref="D282">ifs(and(isblank($A282),isblank($B282)),"", not(iserror(vlookup($A282&amp;$B282,'3) Release_Label'!$D:$D&amp;'3) Release_Label'!$E:$E,1,0))),vlookup($A282&amp;$B282,{'3) Release_Label'!$D:$D&amp;'3) Release_Label'!$E:$E,'3) Release_Label'!$H:$H},2,0), or(and(not(isblank($B282)),$B282=$B281,$A282&lt;&gt;$A281),and(not(isblank($A282)),$A282=$A281,$B282&lt;&gt;$B281)),"ID LISTS UNALIGNED",and($A282&lt;&gt;"",countif('3) Release_Label'!$D:$D,$A282)=0),"NO UPC MATCH in Release_Label",and($B282&lt;&gt;"",countif('3) Release_Label'!$E:$E,$B282)=0),"NO CATALOG ID MATCH in Release_Label",iserror(vlookup($A282&amp;$B282,'3) Release_Label'!$D:$D&amp;'3) Release_Label'!$E:$E,1,0)),"NO UPC-CATALOG ID pair MATCH in Release_Label" )</f>
        <v/>
      </c>
      <c r="E282" s="99"/>
      <c r="F282" s="99"/>
      <c r="G282" s="123" t="str">
        <f t="array" ref="G282">ifs(or($F282="",$F282="Main Primary Artist"),$F282,not(iserror(vlookup($F282,'Reference info'!$J$5:$J$8,1,0))),"Key Artist",not(iserror(vlookup($F282,'Reference info'!$J$38:$J$405,1,0))),"Performer",not(iserror(vlookup($F282,'Reference info'!$J$10:$J$36,1,0))),"Producer &amp; Engineer")</f>
        <v/>
      </c>
    </row>
    <row r="283">
      <c r="A283" s="28"/>
      <c r="B283" s="103"/>
      <c r="C283" s="121" t="str">
        <f t="array" ref="C283">ifs(and(isblank($A283),isblank($B283)),"", not(iserror(vlookup($A283&amp;$B283,'3) Release_Label'!$D:$D&amp;'3) Release_Label'!$E:$E,1,0))),vlookup($A283&amp;$B283,{'3) Release_Label'!$D:$D&amp;'3) Release_Label'!$E:$E,'3) Release_Label'!$F:$F},2,0), or(and(not(isblank($B283)),$B283=$B282,$A283&lt;&gt;$A282),and(not(isblank($A283)),$A283=$A282,$B283&lt;&gt;$B282)),"ID LISTS UNALIGNED",and($A283&lt;&gt;"",countif('3) Release_Label'!$D:$D,$A283)=0),"NO UPC MATCH in Release_Label",and($B283&lt;&gt;"",countif('3) Release_Label'!$E:$E,$B283)=0),"NO CATALOG ID MATCH in Release_Label",iserror(vlookup($A283&amp;$B283,'3) Release_Label'!$D:$D&amp;'3) Release_Label'!$E:$E,1,0)),"NO UPC-CATALOG ID pair MATCH in Release_Label" )</f>
        <v/>
      </c>
      <c r="D283" s="121" t="str">
        <f t="array" ref="D283">ifs(and(isblank($A283),isblank($B283)),"", not(iserror(vlookup($A283&amp;$B283,'3) Release_Label'!$D:$D&amp;'3) Release_Label'!$E:$E,1,0))),vlookup($A283&amp;$B283,{'3) Release_Label'!$D:$D&amp;'3) Release_Label'!$E:$E,'3) Release_Label'!$H:$H},2,0), or(and(not(isblank($B283)),$B283=$B282,$A283&lt;&gt;$A282),and(not(isblank($A283)),$A283=$A282,$B283&lt;&gt;$B282)),"ID LISTS UNALIGNED",and($A283&lt;&gt;"",countif('3) Release_Label'!$D:$D,$A283)=0),"NO UPC MATCH in Release_Label",and($B283&lt;&gt;"",countif('3) Release_Label'!$E:$E,$B283)=0),"NO CATALOG ID MATCH in Release_Label",iserror(vlookup($A283&amp;$B283,'3) Release_Label'!$D:$D&amp;'3) Release_Label'!$E:$E,1,0)),"NO UPC-CATALOG ID pair MATCH in Release_Label" )</f>
        <v/>
      </c>
      <c r="E283" s="99"/>
      <c r="F283" s="99"/>
      <c r="G283" s="123" t="str">
        <f t="array" ref="G283">ifs(or($F283="",$F283="Main Primary Artist"),$F283,not(iserror(vlookup($F283,'Reference info'!$J$5:$J$8,1,0))),"Key Artist",not(iserror(vlookup($F283,'Reference info'!$J$38:$J$405,1,0))),"Performer",not(iserror(vlookup($F283,'Reference info'!$J$10:$J$36,1,0))),"Producer &amp; Engineer")</f>
        <v/>
      </c>
    </row>
    <row r="284">
      <c r="A284" s="28"/>
      <c r="B284" s="103"/>
      <c r="C284" s="121" t="str">
        <f t="array" ref="C284">ifs(and(isblank($A284),isblank($B284)),"", not(iserror(vlookup($A284&amp;$B284,'3) Release_Label'!$D:$D&amp;'3) Release_Label'!$E:$E,1,0))),vlookup($A284&amp;$B284,{'3) Release_Label'!$D:$D&amp;'3) Release_Label'!$E:$E,'3) Release_Label'!$F:$F},2,0), or(and(not(isblank($B284)),$B284=$B283,$A284&lt;&gt;$A283),and(not(isblank($A284)),$A284=$A283,$B284&lt;&gt;$B283)),"ID LISTS UNALIGNED",and($A284&lt;&gt;"",countif('3) Release_Label'!$D:$D,$A284)=0),"NO UPC MATCH in Release_Label",and($B284&lt;&gt;"",countif('3) Release_Label'!$E:$E,$B284)=0),"NO CATALOG ID MATCH in Release_Label",iserror(vlookup($A284&amp;$B284,'3) Release_Label'!$D:$D&amp;'3) Release_Label'!$E:$E,1,0)),"NO UPC-CATALOG ID pair MATCH in Release_Label" )</f>
        <v/>
      </c>
      <c r="D284" s="121" t="str">
        <f t="array" ref="D284">ifs(and(isblank($A284),isblank($B284)),"", not(iserror(vlookup($A284&amp;$B284,'3) Release_Label'!$D:$D&amp;'3) Release_Label'!$E:$E,1,0))),vlookup($A284&amp;$B284,{'3) Release_Label'!$D:$D&amp;'3) Release_Label'!$E:$E,'3) Release_Label'!$H:$H},2,0), or(and(not(isblank($B284)),$B284=$B283,$A284&lt;&gt;$A283),and(not(isblank($A284)),$A284=$A283,$B284&lt;&gt;$B283)),"ID LISTS UNALIGNED",and($A284&lt;&gt;"",countif('3) Release_Label'!$D:$D,$A284)=0),"NO UPC MATCH in Release_Label",and($B284&lt;&gt;"",countif('3) Release_Label'!$E:$E,$B284)=0),"NO CATALOG ID MATCH in Release_Label",iserror(vlookup($A284&amp;$B284,'3) Release_Label'!$D:$D&amp;'3) Release_Label'!$E:$E,1,0)),"NO UPC-CATALOG ID pair MATCH in Release_Label" )</f>
        <v/>
      </c>
      <c r="E284" s="99"/>
      <c r="F284" s="99"/>
      <c r="G284" s="123" t="str">
        <f t="array" ref="G284">ifs(or($F284="",$F284="Main Primary Artist"),$F284,not(iserror(vlookup($F284,'Reference info'!$J$5:$J$8,1,0))),"Key Artist",not(iserror(vlookup($F284,'Reference info'!$J$38:$J$405,1,0))),"Performer",not(iserror(vlookup($F284,'Reference info'!$J$10:$J$36,1,0))),"Producer &amp; Engineer")</f>
        <v/>
      </c>
    </row>
    <row r="285">
      <c r="A285" s="28"/>
      <c r="B285" s="103"/>
      <c r="C285" s="121" t="str">
        <f t="array" ref="C285">ifs(and(isblank($A285),isblank($B285)),"", not(iserror(vlookup($A285&amp;$B285,'3) Release_Label'!$D:$D&amp;'3) Release_Label'!$E:$E,1,0))),vlookup($A285&amp;$B285,{'3) Release_Label'!$D:$D&amp;'3) Release_Label'!$E:$E,'3) Release_Label'!$F:$F},2,0), or(and(not(isblank($B285)),$B285=$B284,$A285&lt;&gt;$A284),and(not(isblank($A285)),$A285=$A284,$B285&lt;&gt;$B284)),"ID LISTS UNALIGNED",and($A285&lt;&gt;"",countif('3) Release_Label'!$D:$D,$A285)=0),"NO UPC MATCH in Release_Label",and($B285&lt;&gt;"",countif('3) Release_Label'!$E:$E,$B285)=0),"NO CATALOG ID MATCH in Release_Label",iserror(vlookup($A285&amp;$B285,'3) Release_Label'!$D:$D&amp;'3) Release_Label'!$E:$E,1,0)),"NO UPC-CATALOG ID pair MATCH in Release_Label" )</f>
        <v/>
      </c>
      <c r="D285" s="121" t="str">
        <f t="array" ref="D285">ifs(and(isblank($A285),isblank($B285)),"", not(iserror(vlookup($A285&amp;$B285,'3) Release_Label'!$D:$D&amp;'3) Release_Label'!$E:$E,1,0))),vlookup($A285&amp;$B285,{'3) Release_Label'!$D:$D&amp;'3) Release_Label'!$E:$E,'3) Release_Label'!$H:$H},2,0), or(and(not(isblank($B285)),$B285=$B284,$A285&lt;&gt;$A284),and(not(isblank($A285)),$A285=$A284,$B285&lt;&gt;$B284)),"ID LISTS UNALIGNED",and($A285&lt;&gt;"",countif('3) Release_Label'!$D:$D,$A285)=0),"NO UPC MATCH in Release_Label",and($B285&lt;&gt;"",countif('3) Release_Label'!$E:$E,$B285)=0),"NO CATALOG ID MATCH in Release_Label",iserror(vlookup($A285&amp;$B285,'3) Release_Label'!$D:$D&amp;'3) Release_Label'!$E:$E,1,0)),"NO UPC-CATALOG ID pair MATCH in Release_Label" )</f>
        <v/>
      </c>
      <c r="E285" s="99"/>
      <c r="F285" s="99"/>
      <c r="G285" s="123" t="str">
        <f t="array" ref="G285">ifs(or($F285="",$F285="Main Primary Artist"),$F285,not(iserror(vlookup($F285,'Reference info'!$J$5:$J$8,1,0))),"Key Artist",not(iserror(vlookup($F285,'Reference info'!$J$38:$J$405,1,0))),"Performer",not(iserror(vlookup($F285,'Reference info'!$J$10:$J$36,1,0))),"Producer &amp; Engineer")</f>
        <v/>
      </c>
    </row>
    <row r="286">
      <c r="A286" s="28"/>
      <c r="B286" s="103"/>
      <c r="C286" s="121" t="str">
        <f t="array" ref="C286">ifs(and(isblank($A286),isblank($B286)),"", not(iserror(vlookup($A286&amp;$B286,'3) Release_Label'!$D:$D&amp;'3) Release_Label'!$E:$E,1,0))),vlookup($A286&amp;$B286,{'3) Release_Label'!$D:$D&amp;'3) Release_Label'!$E:$E,'3) Release_Label'!$F:$F},2,0), or(and(not(isblank($B286)),$B286=$B285,$A286&lt;&gt;$A285),and(not(isblank($A286)),$A286=$A285,$B286&lt;&gt;$B285)),"ID LISTS UNALIGNED",and($A286&lt;&gt;"",countif('3) Release_Label'!$D:$D,$A286)=0),"NO UPC MATCH in Release_Label",and($B286&lt;&gt;"",countif('3) Release_Label'!$E:$E,$B286)=0),"NO CATALOG ID MATCH in Release_Label",iserror(vlookup($A286&amp;$B286,'3) Release_Label'!$D:$D&amp;'3) Release_Label'!$E:$E,1,0)),"NO UPC-CATALOG ID pair MATCH in Release_Label" )</f>
        <v/>
      </c>
      <c r="D286" s="121" t="str">
        <f t="array" ref="D286">ifs(and(isblank($A286),isblank($B286)),"", not(iserror(vlookup($A286&amp;$B286,'3) Release_Label'!$D:$D&amp;'3) Release_Label'!$E:$E,1,0))),vlookup($A286&amp;$B286,{'3) Release_Label'!$D:$D&amp;'3) Release_Label'!$E:$E,'3) Release_Label'!$H:$H},2,0), or(and(not(isblank($B286)),$B286=$B285,$A286&lt;&gt;$A285),and(not(isblank($A286)),$A286=$A285,$B286&lt;&gt;$B285)),"ID LISTS UNALIGNED",and($A286&lt;&gt;"",countif('3) Release_Label'!$D:$D,$A286)=0),"NO UPC MATCH in Release_Label",and($B286&lt;&gt;"",countif('3) Release_Label'!$E:$E,$B286)=0),"NO CATALOG ID MATCH in Release_Label",iserror(vlookup($A286&amp;$B286,'3) Release_Label'!$D:$D&amp;'3) Release_Label'!$E:$E,1,0)),"NO UPC-CATALOG ID pair MATCH in Release_Label" )</f>
        <v/>
      </c>
      <c r="E286" s="99"/>
      <c r="F286" s="99"/>
      <c r="G286" s="123" t="str">
        <f t="array" ref="G286">ifs(or($F286="",$F286="Main Primary Artist"),$F286,not(iserror(vlookup($F286,'Reference info'!$J$5:$J$8,1,0))),"Key Artist",not(iserror(vlookup($F286,'Reference info'!$J$38:$J$405,1,0))),"Performer",not(iserror(vlookup($F286,'Reference info'!$J$10:$J$36,1,0))),"Producer &amp; Engineer")</f>
        <v/>
      </c>
    </row>
    <row r="287">
      <c r="A287" s="28"/>
      <c r="B287" s="103"/>
      <c r="C287" s="121" t="str">
        <f t="array" ref="C287">ifs(and(isblank($A287),isblank($B287)),"", not(iserror(vlookup($A287&amp;$B287,'3) Release_Label'!$D:$D&amp;'3) Release_Label'!$E:$E,1,0))),vlookup($A287&amp;$B287,{'3) Release_Label'!$D:$D&amp;'3) Release_Label'!$E:$E,'3) Release_Label'!$F:$F},2,0), or(and(not(isblank($B287)),$B287=$B286,$A287&lt;&gt;$A286),and(not(isblank($A287)),$A287=$A286,$B287&lt;&gt;$B286)),"ID LISTS UNALIGNED",and($A287&lt;&gt;"",countif('3) Release_Label'!$D:$D,$A287)=0),"NO UPC MATCH in Release_Label",and($B287&lt;&gt;"",countif('3) Release_Label'!$E:$E,$B287)=0),"NO CATALOG ID MATCH in Release_Label",iserror(vlookup($A287&amp;$B287,'3) Release_Label'!$D:$D&amp;'3) Release_Label'!$E:$E,1,0)),"NO UPC-CATALOG ID pair MATCH in Release_Label" )</f>
        <v/>
      </c>
      <c r="D287" s="121" t="str">
        <f t="array" ref="D287">ifs(and(isblank($A287),isblank($B287)),"", not(iserror(vlookup($A287&amp;$B287,'3) Release_Label'!$D:$D&amp;'3) Release_Label'!$E:$E,1,0))),vlookup($A287&amp;$B287,{'3) Release_Label'!$D:$D&amp;'3) Release_Label'!$E:$E,'3) Release_Label'!$H:$H},2,0), or(and(not(isblank($B287)),$B287=$B286,$A287&lt;&gt;$A286),and(not(isblank($A287)),$A287=$A286,$B287&lt;&gt;$B286)),"ID LISTS UNALIGNED",and($A287&lt;&gt;"",countif('3) Release_Label'!$D:$D,$A287)=0),"NO UPC MATCH in Release_Label",and($B287&lt;&gt;"",countif('3) Release_Label'!$E:$E,$B287)=0),"NO CATALOG ID MATCH in Release_Label",iserror(vlookup($A287&amp;$B287,'3) Release_Label'!$D:$D&amp;'3) Release_Label'!$E:$E,1,0)),"NO UPC-CATALOG ID pair MATCH in Release_Label" )</f>
        <v/>
      </c>
      <c r="E287" s="99"/>
      <c r="F287" s="99"/>
      <c r="G287" s="123" t="str">
        <f t="array" ref="G287">ifs(or($F287="",$F287="Main Primary Artist"),$F287,not(iserror(vlookup($F287,'Reference info'!$J$5:$J$8,1,0))),"Key Artist",not(iserror(vlookup($F287,'Reference info'!$J$38:$J$405,1,0))),"Performer",not(iserror(vlookup($F287,'Reference info'!$J$10:$J$36,1,0))),"Producer &amp; Engineer")</f>
        <v/>
      </c>
    </row>
    <row r="288">
      <c r="A288" s="28"/>
      <c r="B288" s="103"/>
      <c r="C288" s="121" t="str">
        <f t="array" ref="C288">ifs(and(isblank($A288),isblank($B288)),"", not(iserror(vlookup($A288&amp;$B288,'3) Release_Label'!$D:$D&amp;'3) Release_Label'!$E:$E,1,0))),vlookup($A288&amp;$B288,{'3) Release_Label'!$D:$D&amp;'3) Release_Label'!$E:$E,'3) Release_Label'!$F:$F},2,0), or(and(not(isblank($B288)),$B288=$B287,$A288&lt;&gt;$A287),and(not(isblank($A288)),$A288=$A287,$B288&lt;&gt;$B287)),"ID LISTS UNALIGNED",and($A288&lt;&gt;"",countif('3) Release_Label'!$D:$D,$A288)=0),"NO UPC MATCH in Release_Label",and($B288&lt;&gt;"",countif('3) Release_Label'!$E:$E,$B288)=0),"NO CATALOG ID MATCH in Release_Label",iserror(vlookup($A288&amp;$B288,'3) Release_Label'!$D:$D&amp;'3) Release_Label'!$E:$E,1,0)),"NO UPC-CATALOG ID pair MATCH in Release_Label" )</f>
        <v/>
      </c>
      <c r="D288" s="121" t="str">
        <f t="array" ref="D288">ifs(and(isblank($A288),isblank($B288)),"", not(iserror(vlookup($A288&amp;$B288,'3) Release_Label'!$D:$D&amp;'3) Release_Label'!$E:$E,1,0))),vlookup($A288&amp;$B288,{'3) Release_Label'!$D:$D&amp;'3) Release_Label'!$E:$E,'3) Release_Label'!$H:$H},2,0), or(and(not(isblank($B288)),$B288=$B287,$A288&lt;&gt;$A287),and(not(isblank($A288)),$A288=$A287,$B288&lt;&gt;$B287)),"ID LISTS UNALIGNED",and($A288&lt;&gt;"",countif('3) Release_Label'!$D:$D,$A288)=0),"NO UPC MATCH in Release_Label",and($B288&lt;&gt;"",countif('3) Release_Label'!$E:$E,$B288)=0),"NO CATALOG ID MATCH in Release_Label",iserror(vlookup($A288&amp;$B288,'3) Release_Label'!$D:$D&amp;'3) Release_Label'!$E:$E,1,0)),"NO UPC-CATALOG ID pair MATCH in Release_Label" )</f>
        <v/>
      </c>
      <c r="E288" s="99"/>
      <c r="F288" s="99"/>
      <c r="G288" s="123" t="str">
        <f t="array" ref="G288">ifs(or($F288="",$F288="Main Primary Artist"),$F288,not(iserror(vlookup($F288,'Reference info'!$J$5:$J$8,1,0))),"Key Artist",not(iserror(vlookup($F288,'Reference info'!$J$38:$J$405,1,0))),"Performer",not(iserror(vlookup($F288,'Reference info'!$J$10:$J$36,1,0))),"Producer &amp; Engineer")</f>
        <v/>
      </c>
    </row>
    <row r="289">
      <c r="A289" s="28"/>
      <c r="B289" s="103"/>
      <c r="C289" s="121" t="str">
        <f t="array" ref="C289">ifs(and(isblank($A289),isblank($B289)),"", not(iserror(vlookup($A289&amp;$B289,'3) Release_Label'!$D:$D&amp;'3) Release_Label'!$E:$E,1,0))),vlookup($A289&amp;$B289,{'3) Release_Label'!$D:$D&amp;'3) Release_Label'!$E:$E,'3) Release_Label'!$F:$F},2,0), or(and(not(isblank($B289)),$B289=$B288,$A289&lt;&gt;$A288),and(not(isblank($A289)),$A289=$A288,$B289&lt;&gt;$B288)),"ID LISTS UNALIGNED",and($A289&lt;&gt;"",countif('3) Release_Label'!$D:$D,$A289)=0),"NO UPC MATCH in Release_Label",and($B289&lt;&gt;"",countif('3) Release_Label'!$E:$E,$B289)=0),"NO CATALOG ID MATCH in Release_Label",iserror(vlookup($A289&amp;$B289,'3) Release_Label'!$D:$D&amp;'3) Release_Label'!$E:$E,1,0)),"NO UPC-CATALOG ID pair MATCH in Release_Label" )</f>
        <v/>
      </c>
      <c r="D289" s="121" t="str">
        <f t="array" ref="D289">ifs(and(isblank($A289),isblank($B289)),"", not(iserror(vlookup($A289&amp;$B289,'3) Release_Label'!$D:$D&amp;'3) Release_Label'!$E:$E,1,0))),vlookup($A289&amp;$B289,{'3) Release_Label'!$D:$D&amp;'3) Release_Label'!$E:$E,'3) Release_Label'!$H:$H},2,0), or(and(not(isblank($B289)),$B289=$B288,$A289&lt;&gt;$A288),and(not(isblank($A289)),$A289=$A288,$B289&lt;&gt;$B288)),"ID LISTS UNALIGNED",and($A289&lt;&gt;"",countif('3) Release_Label'!$D:$D,$A289)=0),"NO UPC MATCH in Release_Label",and($B289&lt;&gt;"",countif('3) Release_Label'!$E:$E,$B289)=0),"NO CATALOG ID MATCH in Release_Label",iserror(vlookup($A289&amp;$B289,'3) Release_Label'!$D:$D&amp;'3) Release_Label'!$E:$E,1,0)),"NO UPC-CATALOG ID pair MATCH in Release_Label" )</f>
        <v/>
      </c>
      <c r="E289" s="99"/>
      <c r="F289" s="99"/>
      <c r="G289" s="123" t="str">
        <f t="array" ref="G289">ifs(or($F289="",$F289="Main Primary Artist"),$F289,not(iserror(vlookup($F289,'Reference info'!$J$5:$J$8,1,0))),"Key Artist",not(iserror(vlookup($F289,'Reference info'!$J$38:$J$405,1,0))),"Performer",not(iserror(vlookup($F289,'Reference info'!$J$10:$J$36,1,0))),"Producer &amp; Engineer")</f>
        <v/>
      </c>
    </row>
    <row r="290">
      <c r="A290" s="28"/>
      <c r="B290" s="103"/>
      <c r="C290" s="121" t="str">
        <f t="array" ref="C290">ifs(and(isblank($A290),isblank($B290)),"", not(iserror(vlookup($A290&amp;$B290,'3) Release_Label'!$D:$D&amp;'3) Release_Label'!$E:$E,1,0))),vlookup($A290&amp;$B290,{'3) Release_Label'!$D:$D&amp;'3) Release_Label'!$E:$E,'3) Release_Label'!$F:$F},2,0), or(and(not(isblank($B290)),$B290=$B289,$A290&lt;&gt;$A289),and(not(isblank($A290)),$A290=$A289,$B290&lt;&gt;$B289)),"ID LISTS UNALIGNED",and($A290&lt;&gt;"",countif('3) Release_Label'!$D:$D,$A290)=0),"NO UPC MATCH in Release_Label",and($B290&lt;&gt;"",countif('3) Release_Label'!$E:$E,$B290)=0),"NO CATALOG ID MATCH in Release_Label",iserror(vlookup($A290&amp;$B290,'3) Release_Label'!$D:$D&amp;'3) Release_Label'!$E:$E,1,0)),"NO UPC-CATALOG ID pair MATCH in Release_Label" )</f>
        <v/>
      </c>
      <c r="D290" s="121" t="str">
        <f t="array" ref="D290">ifs(and(isblank($A290),isblank($B290)),"", not(iserror(vlookup($A290&amp;$B290,'3) Release_Label'!$D:$D&amp;'3) Release_Label'!$E:$E,1,0))),vlookup($A290&amp;$B290,{'3) Release_Label'!$D:$D&amp;'3) Release_Label'!$E:$E,'3) Release_Label'!$H:$H},2,0), or(and(not(isblank($B290)),$B290=$B289,$A290&lt;&gt;$A289),and(not(isblank($A290)),$A290=$A289,$B290&lt;&gt;$B289)),"ID LISTS UNALIGNED",and($A290&lt;&gt;"",countif('3) Release_Label'!$D:$D,$A290)=0),"NO UPC MATCH in Release_Label",and($B290&lt;&gt;"",countif('3) Release_Label'!$E:$E,$B290)=0),"NO CATALOG ID MATCH in Release_Label",iserror(vlookup($A290&amp;$B290,'3) Release_Label'!$D:$D&amp;'3) Release_Label'!$E:$E,1,0)),"NO UPC-CATALOG ID pair MATCH in Release_Label" )</f>
        <v/>
      </c>
      <c r="E290" s="99"/>
      <c r="F290" s="99"/>
      <c r="G290" s="123" t="str">
        <f t="array" ref="G290">ifs(or($F290="",$F290="Main Primary Artist"),$F290,not(iserror(vlookup($F290,'Reference info'!$J$5:$J$8,1,0))),"Key Artist",not(iserror(vlookup($F290,'Reference info'!$J$38:$J$405,1,0))),"Performer",not(iserror(vlookup($F290,'Reference info'!$J$10:$J$36,1,0))),"Producer &amp; Engineer")</f>
        <v/>
      </c>
    </row>
    <row r="291">
      <c r="A291" s="28"/>
      <c r="B291" s="103"/>
      <c r="C291" s="121" t="str">
        <f t="array" ref="C291">ifs(and(isblank($A291),isblank($B291)),"", not(iserror(vlookup($A291&amp;$B291,'3) Release_Label'!$D:$D&amp;'3) Release_Label'!$E:$E,1,0))),vlookup($A291&amp;$B291,{'3) Release_Label'!$D:$D&amp;'3) Release_Label'!$E:$E,'3) Release_Label'!$F:$F},2,0), or(and(not(isblank($B291)),$B291=$B290,$A291&lt;&gt;$A290),and(not(isblank($A291)),$A291=$A290,$B291&lt;&gt;$B290)),"ID LISTS UNALIGNED",and($A291&lt;&gt;"",countif('3) Release_Label'!$D:$D,$A291)=0),"NO UPC MATCH in Release_Label",and($B291&lt;&gt;"",countif('3) Release_Label'!$E:$E,$B291)=0),"NO CATALOG ID MATCH in Release_Label",iserror(vlookup($A291&amp;$B291,'3) Release_Label'!$D:$D&amp;'3) Release_Label'!$E:$E,1,0)),"NO UPC-CATALOG ID pair MATCH in Release_Label" )</f>
        <v/>
      </c>
      <c r="D291" s="121" t="str">
        <f t="array" ref="D291">ifs(and(isblank($A291),isblank($B291)),"", not(iserror(vlookup($A291&amp;$B291,'3) Release_Label'!$D:$D&amp;'3) Release_Label'!$E:$E,1,0))),vlookup($A291&amp;$B291,{'3) Release_Label'!$D:$D&amp;'3) Release_Label'!$E:$E,'3) Release_Label'!$H:$H},2,0), or(and(not(isblank($B291)),$B291=$B290,$A291&lt;&gt;$A290),and(not(isblank($A291)),$A291=$A290,$B291&lt;&gt;$B290)),"ID LISTS UNALIGNED",and($A291&lt;&gt;"",countif('3) Release_Label'!$D:$D,$A291)=0),"NO UPC MATCH in Release_Label",and($B291&lt;&gt;"",countif('3) Release_Label'!$E:$E,$B291)=0),"NO CATALOG ID MATCH in Release_Label",iserror(vlookup($A291&amp;$B291,'3) Release_Label'!$D:$D&amp;'3) Release_Label'!$E:$E,1,0)),"NO UPC-CATALOG ID pair MATCH in Release_Label" )</f>
        <v/>
      </c>
      <c r="E291" s="99"/>
      <c r="F291" s="99"/>
      <c r="G291" s="123" t="str">
        <f t="array" ref="G291">ifs(or($F291="",$F291="Main Primary Artist"),$F291,not(iserror(vlookup($F291,'Reference info'!$J$5:$J$8,1,0))),"Key Artist",not(iserror(vlookup($F291,'Reference info'!$J$38:$J$405,1,0))),"Performer",not(iserror(vlookup($F291,'Reference info'!$J$10:$J$36,1,0))),"Producer &amp; Engineer")</f>
        <v/>
      </c>
    </row>
    <row r="292">
      <c r="A292" s="28"/>
      <c r="B292" s="103"/>
      <c r="C292" s="121" t="str">
        <f t="array" ref="C292">ifs(and(isblank($A292),isblank($B292)),"", not(iserror(vlookup($A292&amp;$B292,'3) Release_Label'!$D:$D&amp;'3) Release_Label'!$E:$E,1,0))),vlookup($A292&amp;$B292,{'3) Release_Label'!$D:$D&amp;'3) Release_Label'!$E:$E,'3) Release_Label'!$F:$F},2,0), or(and(not(isblank($B292)),$B292=$B291,$A292&lt;&gt;$A291),and(not(isblank($A292)),$A292=$A291,$B292&lt;&gt;$B291)),"ID LISTS UNALIGNED",and($A292&lt;&gt;"",countif('3) Release_Label'!$D:$D,$A292)=0),"NO UPC MATCH in Release_Label",and($B292&lt;&gt;"",countif('3) Release_Label'!$E:$E,$B292)=0),"NO CATALOG ID MATCH in Release_Label",iserror(vlookup($A292&amp;$B292,'3) Release_Label'!$D:$D&amp;'3) Release_Label'!$E:$E,1,0)),"NO UPC-CATALOG ID pair MATCH in Release_Label" )</f>
        <v/>
      </c>
      <c r="D292" s="121" t="str">
        <f t="array" ref="D292">ifs(and(isblank($A292),isblank($B292)),"", not(iserror(vlookup($A292&amp;$B292,'3) Release_Label'!$D:$D&amp;'3) Release_Label'!$E:$E,1,0))),vlookup($A292&amp;$B292,{'3) Release_Label'!$D:$D&amp;'3) Release_Label'!$E:$E,'3) Release_Label'!$H:$H},2,0), or(and(not(isblank($B292)),$B292=$B291,$A292&lt;&gt;$A291),and(not(isblank($A292)),$A292=$A291,$B292&lt;&gt;$B291)),"ID LISTS UNALIGNED",and($A292&lt;&gt;"",countif('3) Release_Label'!$D:$D,$A292)=0),"NO UPC MATCH in Release_Label",and($B292&lt;&gt;"",countif('3) Release_Label'!$E:$E,$B292)=0),"NO CATALOG ID MATCH in Release_Label",iserror(vlookup($A292&amp;$B292,'3) Release_Label'!$D:$D&amp;'3) Release_Label'!$E:$E,1,0)),"NO UPC-CATALOG ID pair MATCH in Release_Label" )</f>
        <v/>
      </c>
      <c r="E292" s="99"/>
      <c r="F292" s="99"/>
      <c r="G292" s="123" t="str">
        <f t="array" ref="G292">ifs(or($F292="",$F292="Main Primary Artist"),$F292,not(iserror(vlookup($F292,'Reference info'!$J$5:$J$8,1,0))),"Key Artist",not(iserror(vlookup($F292,'Reference info'!$J$38:$J$405,1,0))),"Performer",not(iserror(vlookup($F292,'Reference info'!$J$10:$J$36,1,0))),"Producer &amp; Engineer")</f>
        <v/>
      </c>
    </row>
    <row r="293">
      <c r="A293" s="28"/>
      <c r="B293" s="103"/>
      <c r="C293" s="121" t="str">
        <f t="array" ref="C293">ifs(and(isblank($A293),isblank($B293)),"", not(iserror(vlookup($A293&amp;$B293,'3) Release_Label'!$D:$D&amp;'3) Release_Label'!$E:$E,1,0))),vlookup($A293&amp;$B293,{'3) Release_Label'!$D:$D&amp;'3) Release_Label'!$E:$E,'3) Release_Label'!$F:$F},2,0), or(and(not(isblank($B293)),$B293=$B292,$A293&lt;&gt;$A292),and(not(isblank($A293)),$A293=$A292,$B293&lt;&gt;$B292)),"ID LISTS UNALIGNED",and($A293&lt;&gt;"",countif('3) Release_Label'!$D:$D,$A293)=0),"NO UPC MATCH in Release_Label",and($B293&lt;&gt;"",countif('3) Release_Label'!$E:$E,$B293)=0),"NO CATALOG ID MATCH in Release_Label",iserror(vlookup($A293&amp;$B293,'3) Release_Label'!$D:$D&amp;'3) Release_Label'!$E:$E,1,0)),"NO UPC-CATALOG ID pair MATCH in Release_Label" )</f>
        <v/>
      </c>
      <c r="D293" s="121" t="str">
        <f t="array" ref="D293">ifs(and(isblank($A293),isblank($B293)),"", not(iserror(vlookup($A293&amp;$B293,'3) Release_Label'!$D:$D&amp;'3) Release_Label'!$E:$E,1,0))),vlookup($A293&amp;$B293,{'3) Release_Label'!$D:$D&amp;'3) Release_Label'!$E:$E,'3) Release_Label'!$H:$H},2,0), or(and(not(isblank($B293)),$B293=$B292,$A293&lt;&gt;$A292),and(not(isblank($A293)),$A293=$A292,$B293&lt;&gt;$B292)),"ID LISTS UNALIGNED",and($A293&lt;&gt;"",countif('3) Release_Label'!$D:$D,$A293)=0),"NO UPC MATCH in Release_Label",and($B293&lt;&gt;"",countif('3) Release_Label'!$E:$E,$B293)=0),"NO CATALOG ID MATCH in Release_Label",iserror(vlookup($A293&amp;$B293,'3) Release_Label'!$D:$D&amp;'3) Release_Label'!$E:$E,1,0)),"NO UPC-CATALOG ID pair MATCH in Release_Label" )</f>
        <v/>
      </c>
      <c r="E293" s="99"/>
      <c r="F293" s="99"/>
      <c r="G293" s="123" t="str">
        <f t="array" ref="G293">ifs(or($F293="",$F293="Main Primary Artist"),$F293,not(iserror(vlookup($F293,'Reference info'!$J$5:$J$8,1,0))),"Key Artist",not(iserror(vlookup($F293,'Reference info'!$J$38:$J$405,1,0))),"Performer",not(iserror(vlookup($F293,'Reference info'!$J$10:$J$36,1,0))),"Producer &amp; Engineer")</f>
        <v/>
      </c>
    </row>
    <row r="294">
      <c r="A294" s="28"/>
      <c r="B294" s="103"/>
      <c r="C294" s="121" t="str">
        <f t="array" ref="C294">ifs(and(isblank($A294),isblank($B294)),"", not(iserror(vlookup($A294&amp;$B294,'3) Release_Label'!$D:$D&amp;'3) Release_Label'!$E:$E,1,0))),vlookup($A294&amp;$B294,{'3) Release_Label'!$D:$D&amp;'3) Release_Label'!$E:$E,'3) Release_Label'!$F:$F},2,0), or(and(not(isblank($B294)),$B294=$B293,$A294&lt;&gt;$A293),and(not(isblank($A294)),$A294=$A293,$B294&lt;&gt;$B293)),"ID LISTS UNALIGNED",and($A294&lt;&gt;"",countif('3) Release_Label'!$D:$D,$A294)=0),"NO UPC MATCH in Release_Label",and($B294&lt;&gt;"",countif('3) Release_Label'!$E:$E,$B294)=0),"NO CATALOG ID MATCH in Release_Label",iserror(vlookup($A294&amp;$B294,'3) Release_Label'!$D:$D&amp;'3) Release_Label'!$E:$E,1,0)),"NO UPC-CATALOG ID pair MATCH in Release_Label" )</f>
        <v/>
      </c>
      <c r="D294" s="121" t="str">
        <f t="array" ref="D294">ifs(and(isblank($A294),isblank($B294)),"", not(iserror(vlookup($A294&amp;$B294,'3) Release_Label'!$D:$D&amp;'3) Release_Label'!$E:$E,1,0))),vlookup($A294&amp;$B294,{'3) Release_Label'!$D:$D&amp;'3) Release_Label'!$E:$E,'3) Release_Label'!$H:$H},2,0), or(and(not(isblank($B294)),$B294=$B293,$A294&lt;&gt;$A293),and(not(isblank($A294)),$A294=$A293,$B294&lt;&gt;$B293)),"ID LISTS UNALIGNED",and($A294&lt;&gt;"",countif('3) Release_Label'!$D:$D,$A294)=0),"NO UPC MATCH in Release_Label",and($B294&lt;&gt;"",countif('3) Release_Label'!$E:$E,$B294)=0),"NO CATALOG ID MATCH in Release_Label",iserror(vlookup($A294&amp;$B294,'3) Release_Label'!$D:$D&amp;'3) Release_Label'!$E:$E,1,0)),"NO UPC-CATALOG ID pair MATCH in Release_Label" )</f>
        <v/>
      </c>
      <c r="E294" s="99"/>
      <c r="F294" s="99"/>
      <c r="G294" s="123" t="str">
        <f t="array" ref="G294">ifs(or($F294="",$F294="Main Primary Artist"),$F294,not(iserror(vlookup($F294,'Reference info'!$J$5:$J$8,1,0))),"Key Artist",not(iserror(vlookup($F294,'Reference info'!$J$38:$J$405,1,0))),"Performer",not(iserror(vlookup($F294,'Reference info'!$J$10:$J$36,1,0))),"Producer &amp; Engineer")</f>
        <v/>
      </c>
    </row>
    <row r="295">
      <c r="A295" s="28"/>
      <c r="B295" s="103"/>
      <c r="C295" s="121" t="str">
        <f t="array" ref="C295">ifs(and(isblank($A295),isblank($B295)),"", not(iserror(vlookup($A295&amp;$B295,'3) Release_Label'!$D:$D&amp;'3) Release_Label'!$E:$E,1,0))),vlookup($A295&amp;$B295,{'3) Release_Label'!$D:$D&amp;'3) Release_Label'!$E:$E,'3) Release_Label'!$F:$F},2,0), or(and(not(isblank($B295)),$B295=$B294,$A295&lt;&gt;$A294),and(not(isblank($A295)),$A295=$A294,$B295&lt;&gt;$B294)),"ID LISTS UNALIGNED",and($A295&lt;&gt;"",countif('3) Release_Label'!$D:$D,$A295)=0),"NO UPC MATCH in Release_Label",and($B295&lt;&gt;"",countif('3) Release_Label'!$E:$E,$B295)=0),"NO CATALOG ID MATCH in Release_Label",iserror(vlookup($A295&amp;$B295,'3) Release_Label'!$D:$D&amp;'3) Release_Label'!$E:$E,1,0)),"NO UPC-CATALOG ID pair MATCH in Release_Label" )</f>
        <v/>
      </c>
      <c r="D295" s="121" t="str">
        <f t="array" ref="D295">ifs(and(isblank($A295),isblank($B295)),"", not(iserror(vlookup($A295&amp;$B295,'3) Release_Label'!$D:$D&amp;'3) Release_Label'!$E:$E,1,0))),vlookup($A295&amp;$B295,{'3) Release_Label'!$D:$D&amp;'3) Release_Label'!$E:$E,'3) Release_Label'!$H:$H},2,0), or(and(not(isblank($B295)),$B295=$B294,$A295&lt;&gt;$A294),and(not(isblank($A295)),$A295=$A294,$B295&lt;&gt;$B294)),"ID LISTS UNALIGNED",and($A295&lt;&gt;"",countif('3) Release_Label'!$D:$D,$A295)=0),"NO UPC MATCH in Release_Label",and($B295&lt;&gt;"",countif('3) Release_Label'!$E:$E,$B295)=0),"NO CATALOG ID MATCH in Release_Label",iserror(vlookup($A295&amp;$B295,'3) Release_Label'!$D:$D&amp;'3) Release_Label'!$E:$E,1,0)),"NO UPC-CATALOG ID pair MATCH in Release_Label" )</f>
        <v/>
      </c>
      <c r="E295" s="99"/>
      <c r="F295" s="99"/>
      <c r="G295" s="123" t="str">
        <f t="array" ref="G295">ifs(or($F295="",$F295="Main Primary Artist"),$F295,not(iserror(vlookup($F295,'Reference info'!$J$5:$J$8,1,0))),"Key Artist",not(iserror(vlookup($F295,'Reference info'!$J$38:$J$405,1,0))),"Performer",not(iserror(vlookup($F295,'Reference info'!$J$10:$J$36,1,0))),"Producer &amp; Engineer")</f>
        <v/>
      </c>
    </row>
    <row r="296">
      <c r="A296" s="28"/>
      <c r="B296" s="103"/>
      <c r="C296" s="121" t="str">
        <f t="array" ref="C296">ifs(and(isblank($A296),isblank($B296)),"", not(iserror(vlookup($A296&amp;$B296,'3) Release_Label'!$D:$D&amp;'3) Release_Label'!$E:$E,1,0))),vlookup($A296&amp;$B296,{'3) Release_Label'!$D:$D&amp;'3) Release_Label'!$E:$E,'3) Release_Label'!$F:$F},2,0), or(and(not(isblank($B296)),$B296=$B295,$A296&lt;&gt;$A295),and(not(isblank($A296)),$A296=$A295,$B296&lt;&gt;$B295)),"ID LISTS UNALIGNED",and($A296&lt;&gt;"",countif('3) Release_Label'!$D:$D,$A296)=0),"NO UPC MATCH in Release_Label",and($B296&lt;&gt;"",countif('3) Release_Label'!$E:$E,$B296)=0),"NO CATALOG ID MATCH in Release_Label",iserror(vlookup($A296&amp;$B296,'3) Release_Label'!$D:$D&amp;'3) Release_Label'!$E:$E,1,0)),"NO UPC-CATALOG ID pair MATCH in Release_Label" )</f>
        <v/>
      </c>
      <c r="D296" s="121" t="str">
        <f t="array" ref="D296">ifs(and(isblank($A296),isblank($B296)),"", not(iserror(vlookup($A296&amp;$B296,'3) Release_Label'!$D:$D&amp;'3) Release_Label'!$E:$E,1,0))),vlookup($A296&amp;$B296,{'3) Release_Label'!$D:$D&amp;'3) Release_Label'!$E:$E,'3) Release_Label'!$H:$H},2,0), or(and(not(isblank($B296)),$B296=$B295,$A296&lt;&gt;$A295),and(not(isblank($A296)),$A296=$A295,$B296&lt;&gt;$B295)),"ID LISTS UNALIGNED",and($A296&lt;&gt;"",countif('3) Release_Label'!$D:$D,$A296)=0),"NO UPC MATCH in Release_Label",and($B296&lt;&gt;"",countif('3) Release_Label'!$E:$E,$B296)=0),"NO CATALOG ID MATCH in Release_Label",iserror(vlookup($A296&amp;$B296,'3) Release_Label'!$D:$D&amp;'3) Release_Label'!$E:$E,1,0)),"NO UPC-CATALOG ID pair MATCH in Release_Label" )</f>
        <v/>
      </c>
      <c r="E296" s="99"/>
      <c r="F296" s="99"/>
      <c r="G296" s="123" t="str">
        <f t="array" ref="G296">ifs(or($F296="",$F296="Main Primary Artist"),$F296,not(iserror(vlookup($F296,'Reference info'!$J$5:$J$8,1,0))),"Key Artist",not(iserror(vlookup($F296,'Reference info'!$J$38:$J$405,1,0))),"Performer",not(iserror(vlookup($F296,'Reference info'!$J$10:$J$36,1,0))),"Producer &amp; Engineer")</f>
        <v/>
      </c>
    </row>
    <row r="297">
      <c r="A297" s="28"/>
      <c r="B297" s="103"/>
      <c r="C297" s="121" t="str">
        <f t="array" ref="C297">ifs(and(isblank($A297),isblank($B297)),"", not(iserror(vlookup($A297&amp;$B297,'3) Release_Label'!$D:$D&amp;'3) Release_Label'!$E:$E,1,0))),vlookup($A297&amp;$B297,{'3) Release_Label'!$D:$D&amp;'3) Release_Label'!$E:$E,'3) Release_Label'!$F:$F},2,0), or(and(not(isblank($B297)),$B297=$B296,$A297&lt;&gt;$A296),and(not(isblank($A297)),$A297=$A296,$B297&lt;&gt;$B296)),"ID LISTS UNALIGNED",and($A297&lt;&gt;"",countif('3) Release_Label'!$D:$D,$A297)=0),"NO UPC MATCH in Release_Label",and($B297&lt;&gt;"",countif('3) Release_Label'!$E:$E,$B297)=0),"NO CATALOG ID MATCH in Release_Label",iserror(vlookup($A297&amp;$B297,'3) Release_Label'!$D:$D&amp;'3) Release_Label'!$E:$E,1,0)),"NO UPC-CATALOG ID pair MATCH in Release_Label" )</f>
        <v/>
      </c>
      <c r="D297" s="121" t="str">
        <f t="array" ref="D297">ifs(and(isblank($A297),isblank($B297)),"", not(iserror(vlookup($A297&amp;$B297,'3) Release_Label'!$D:$D&amp;'3) Release_Label'!$E:$E,1,0))),vlookup($A297&amp;$B297,{'3) Release_Label'!$D:$D&amp;'3) Release_Label'!$E:$E,'3) Release_Label'!$H:$H},2,0), or(and(not(isblank($B297)),$B297=$B296,$A297&lt;&gt;$A296),and(not(isblank($A297)),$A297=$A296,$B297&lt;&gt;$B296)),"ID LISTS UNALIGNED",and($A297&lt;&gt;"",countif('3) Release_Label'!$D:$D,$A297)=0),"NO UPC MATCH in Release_Label",and($B297&lt;&gt;"",countif('3) Release_Label'!$E:$E,$B297)=0),"NO CATALOG ID MATCH in Release_Label",iserror(vlookup($A297&amp;$B297,'3) Release_Label'!$D:$D&amp;'3) Release_Label'!$E:$E,1,0)),"NO UPC-CATALOG ID pair MATCH in Release_Label" )</f>
        <v/>
      </c>
      <c r="E297" s="99"/>
      <c r="F297" s="99"/>
      <c r="G297" s="123" t="str">
        <f t="array" ref="G297">ifs(or($F297="",$F297="Main Primary Artist"),$F297,not(iserror(vlookup($F297,'Reference info'!$J$5:$J$8,1,0))),"Key Artist",not(iserror(vlookup($F297,'Reference info'!$J$38:$J$405,1,0))),"Performer",not(iserror(vlookup($F297,'Reference info'!$J$10:$J$36,1,0))),"Producer &amp; Engineer")</f>
        <v/>
      </c>
    </row>
    <row r="298">
      <c r="A298" s="28"/>
      <c r="B298" s="103"/>
      <c r="C298" s="121" t="str">
        <f t="array" ref="C298">ifs(and(isblank($A298),isblank($B298)),"", not(iserror(vlookup($A298&amp;$B298,'3) Release_Label'!$D:$D&amp;'3) Release_Label'!$E:$E,1,0))),vlookup($A298&amp;$B298,{'3) Release_Label'!$D:$D&amp;'3) Release_Label'!$E:$E,'3) Release_Label'!$F:$F},2,0), or(and(not(isblank($B298)),$B298=$B297,$A298&lt;&gt;$A297),and(not(isblank($A298)),$A298=$A297,$B298&lt;&gt;$B297)),"ID LISTS UNALIGNED",and($A298&lt;&gt;"",countif('3) Release_Label'!$D:$D,$A298)=0),"NO UPC MATCH in Release_Label",and($B298&lt;&gt;"",countif('3) Release_Label'!$E:$E,$B298)=0),"NO CATALOG ID MATCH in Release_Label",iserror(vlookup($A298&amp;$B298,'3) Release_Label'!$D:$D&amp;'3) Release_Label'!$E:$E,1,0)),"NO UPC-CATALOG ID pair MATCH in Release_Label" )</f>
        <v/>
      </c>
      <c r="D298" s="121" t="str">
        <f t="array" ref="D298">ifs(and(isblank($A298),isblank($B298)),"", not(iserror(vlookup($A298&amp;$B298,'3) Release_Label'!$D:$D&amp;'3) Release_Label'!$E:$E,1,0))),vlookup($A298&amp;$B298,{'3) Release_Label'!$D:$D&amp;'3) Release_Label'!$E:$E,'3) Release_Label'!$H:$H},2,0), or(and(not(isblank($B298)),$B298=$B297,$A298&lt;&gt;$A297),and(not(isblank($A298)),$A298=$A297,$B298&lt;&gt;$B297)),"ID LISTS UNALIGNED",and($A298&lt;&gt;"",countif('3) Release_Label'!$D:$D,$A298)=0),"NO UPC MATCH in Release_Label",and($B298&lt;&gt;"",countif('3) Release_Label'!$E:$E,$B298)=0),"NO CATALOG ID MATCH in Release_Label",iserror(vlookup($A298&amp;$B298,'3) Release_Label'!$D:$D&amp;'3) Release_Label'!$E:$E,1,0)),"NO UPC-CATALOG ID pair MATCH in Release_Label" )</f>
        <v/>
      </c>
      <c r="E298" s="99"/>
      <c r="F298" s="99"/>
      <c r="G298" s="123" t="str">
        <f t="array" ref="G298">ifs(or($F298="",$F298="Main Primary Artist"),$F298,not(iserror(vlookup($F298,'Reference info'!$J$5:$J$8,1,0))),"Key Artist",not(iserror(vlookup($F298,'Reference info'!$J$38:$J$405,1,0))),"Performer",not(iserror(vlookup($F298,'Reference info'!$J$10:$J$36,1,0))),"Producer &amp; Engineer")</f>
        <v/>
      </c>
    </row>
    <row r="299">
      <c r="A299" s="28"/>
      <c r="B299" s="103"/>
      <c r="C299" s="121" t="str">
        <f t="array" ref="C299">ifs(and(isblank($A299),isblank($B299)),"", not(iserror(vlookup($A299&amp;$B299,'3) Release_Label'!$D:$D&amp;'3) Release_Label'!$E:$E,1,0))),vlookup($A299&amp;$B299,{'3) Release_Label'!$D:$D&amp;'3) Release_Label'!$E:$E,'3) Release_Label'!$F:$F},2,0), or(and(not(isblank($B299)),$B299=$B298,$A299&lt;&gt;$A298),and(not(isblank($A299)),$A299=$A298,$B299&lt;&gt;$B298)),"ID LISTS UNALIGNED",and($A299&lt;&gt;"",countif('3) Release_Label'!$D:$D,$A299)=0),"NO UPC MATCH in Release_Label",and($B299&lt;&gt;"",countif('3) Release_Label'!$E:$E,$B299)=0),"NO CATALOG ID MATCH in Release_Label",iserror(vlookup($A299&amp;$B299,'3) Release_Label'!$D:$D&amp;'3) Release_Label'!$E:$E,1,0)),"NO UPC-CATALOG ID pair MATCH in Release_Label" )</f>
        <v/>
      </c>
      <c r="D299" s="121" t="str">
        <f t="array" ref="D299">ifs(and(isblank($A299),isblank($B299)),"", not(iserror(vlookup($A299&amp;$B299,'3) Release_Label'!$D:$D&amp;'3) Release_Label'!$E:$E,1,0))),vlookup($A299&amp;$B299,{'3) Release_Label'!$D:$D&amp;'3) Release_Label'!$E:$E,'3) Release_Label'!$H:$H},2,0), or(and(not(isblank($B299)),$B299=$B298,$A299&lt;&gt;$A298),and(not(isblank($A299)),$A299=$A298,$B299&lt;&gt;$B298)),"ID LISTS UNALIGNED",and($A299&lt;&gt;"",countif('3) Release_Label'!$D:$D,$A299)=0),"NO UPC MATCH in Release_Label",and($B299&lt;&gt;"",countif('3) Release_Label'!$E:$E,$B299)=0),"NO CATALOG ID MATCH in Release_Label",iserror(vlookup($A299&amp;$B299,'3) Release_Label'!$D:$D&amp;'3) Release_Label'!$E:$E,1,0)),"NO UPC-CATALOG ID pair MATCH in Release_Label" )</f>
        <v/>
      </c>
      <c r="E299" s="99"/>
      <c r="F299" s="99"/>
      <c r="G299" s="123" t="str">
        <f t="array" ref="G299">ifs(or($F299="",$F299="Main Primary Artist"),$F299,not(iserror(vlookup($F299,'Reference info'!$J$5:$J$8,1,0))),"Key Artist",not(iserror(vlookup($F299,'Reference info'!$J$38:$J$405,1,0))),"Performer",not(iserror(vlookup($F299,'Reference info'!$J$10:$J$36,1,0))),"Producer &amp; Engineer")</f>
        <v/>
      </c>
    </row>
    <row r="300">
      <c r="A300" s="28"/>
      <c r="B300" s="103"/>
      <c r="C300" s="121" t="str">
        <f t="array" ref="C300">ifs(and(isblank($A300),isblank($B300)),"", not(iserror(vlookup($A300&amp;$B300,'3) Release_Label'!$D:$D&amp;'3) Release_Label'!$E:$E,1,0))),vlookup($A300&amp;$B300,{'3) Release_Label'!$D:$D&amp;'3) Release_Label'!$E:$E,'3) Release_Label'!$F:$F},2,0), or(and(not(isblank($B300)),$B300=$B299,$A300&lt;&gt;$A299),and(not(isblank($A300)),$A300=$A299,$B300&lt;&gt;$B299)),"ID LISTS UNALIGNED",and($A300&lt;&gt;"",countif('3) Release_Label'!$D:$D,$A300)=0),"NO UPC MATCH in Release_Label",and($B300&lt;&gt;"",countif('3) Release_Label'!$E:$E,$B300)=0),"NO CATALOG ID MATCH in Release_Label",iserror(vlookup($A300&amp;$B300,'3) Release_Label'!$D:$D&amp;'3) Release_Label'!$E:$E,1,0)),"NO UPC-CATALOG ID pair MATCH in Release_Label" )</f>
        <v/>
      </c>
      <c r="D300" s="121" t="str">
        <f t="array" ref="D300">ifs(and(isblank($A300),isblank($B300)),"", not(iserror(vlookup($A300&amp;$B300,'3) Release_Label'!$D:$D&amp;'3) Release_Label'!$E:$E,1,0))),vlookup($A300&amp;$B300,{'3) Release_Label'!$D:$D&amp;'3) Release_Label'!$E:$E,'3) Release_Label'!$H:$H},2,0), or(and(not(isblank($B300)),$B300=$B299,$A300&lt;&gt;$A299),and(not(isblank($A300)),$A300=$A299,$B300&lt;&gt;$B299)),"ID LISTS UNALIGNED",and($A300&lt;&gt;"",countif('3) Release_Label'!$D:$D,$A300)=0),"NO UPC MATCH in Release_Label",and($B300&lt;&gt;"",countif('3) Release_Label'!$E:$E,$B300)=0),"NO CATALOG ID MATCH in Release_Label",iserror(vlookup($A300&amp;$B300,'3) Release_Label'!$D:$D&amp;'3) Release_Label'!$E:$E,1,0)),"NO UPC-CATALOG ID pair MATCH in Release_Label" )</f>
        <v/>
      </c>
      <c r="E300" s="99"/>
      <c r="F300" s="99"/>
      <c r="G300" s="123" t="str">
        <f t="array" ref="G300">ifs(or($F300="",$F300="Main Primary Artist"),$F300,not(iserror(vlookup($F300,'Reference info'!$J$5:$J$8,1,0))),"Key Artist",not(iserror(vlookup($F300,'Reference info'!$J$38:$J$405,1,0))),"Performer",not(iserror(vlookup($F300,'Reference info'!$J$10:$J$36,1,0))),"Producer &amp; Engineer")</f>
        <v/>
      </c>
    </row>
    <row r="301">
      <c r="A301" s="28"/>
      <c r="B301" s="103"/>
      <c r="C301" s="121" t="str">
        <f t="array" ref="C301">ifs(and(isblank($A301),isblank($B301)),"", not(iserror(vlookup($A301&amp;$B301,'3) Release_Label'!$D:$D&amp;'3) Release_Label'!$E:$E,1,0))),vlookup($A301&amp;$B301,{'3) Release_Label'!$D:$D&amp;'3) Release_Label'!$E:$E,'3) Release_Label'!$F:$F},2,0), or(and(not(isblank($B301)),$B301=$B300,$A301&lt;&gt;$A300),and(not(isblank($A301)),$A301=$A300,$B301&lt;&gt;$B300)),"ID LISTS UNALIGNED",and($A301&lt;&gt;"",countif('3) Release_Label'!$D:$D,$A301)=0),"NO UPC MATCH in Release_Label",and($B301&lt;&gt;"",countif('3) Release_Label'!$E:$E,$B301)=0),"NO CATALOG ID MATCH in Release_Label",iserror(vlookup($A301&amp;$B301,'3) Release_Label'!$D:$D&amp;'3) Release_Label'!$E:$E,1,0)),"NO UPC-CATALOG ID pair MATCH in Release_Label" )</f>
        <v/>
      </c>
      <c r="D301" s="121" t="str">
        <f t="array" ref="D301">ifs(and(isblank($A301),isblank($B301)),"", not(iserror(vlookup($A301&amp;$B301,'3) Release_Label'!$D:$D&amp;'3) Release_Label'!$E:$E,1,0))),vlookup($A301&amp;$B301,{'3) Release_Label'!$D:$D&amp;'3) Release_Label'!$E:$E,'3) Release_Label'!$H:$H},2,0), or(and(not(isblank($B301)),$B301=$B300,$A301&lt;&gt;$A300),and(not(isblank($A301)),$A301=$A300,$B301&lt;&gt;$B300)),"ID LISTS UNALIGNED",and($A301&lt;&gt;"",countif('3) Release_Label'!$D:$D,$A301)=0),"NO UPC MATCH in Release_Label",and($B301&lt;&gt;"",countif('3) Release_Label'!$E:$E,$B301)=0),"NO CATALOG ID MATCH in Release_Label",iserror(vlookup($A301&amp;$B301,'3) Release_Label'!$D:$D&amp;'3) Release_Label'!$E:$E,1,0)),"NO UPC-CATALOG ID pair MATCH in Release_Label" )</f>
        <v/>
      </c>
      <c r="E301" s="99"/>
      <c r="F301" s="99"/>
      <c r="G301" s="123" t="str">
        <f t="array" ref="G301">ifs(or($F301="",$F301="Main Primary Artist"),$F301,not(iserror(vlookup($F301,'Reference info'!$J$5:$J$8,1,0))),"Key Artist",not(iserror(vlookup($F301,'Reference info'!$J$38:$J$405,1,0))),"Performer",not(iserror(vlookup($F301,'Reference info'!$J$10:$J$36,1,0))),"Producer &amp; Engineer")</f>
        <v/>
      </c>
    </row>
    <row r="302">
      <c r="A302" s="28"/>
      <c r="B302" s="103"/>
      <c r="C302" s="121" t="str">
        <f t="array" ref="C302">ifs(and(isblank($A302),isblank($B302)),"", not(iserror(vlookup($A302&amp;$B302,'3) Release_Label'!$D:$D&amp;'3) Release_Label'!$E:$E,1,0))),vlookup($A302&amp;$B302,{'3) Release_Label'!$D:$D&amp;'3) Release_Label'!$E:$E,'3) Release_Label'!$F:$F},2,0), or(and(not(isblank($B302)),$B302=$B301,$A302&lt;&gt;$A301),and(not(isblank($A302)),$A302=$A301,$B302&lt;&gt;$B301)),"ID LISTS UNALIGNED",and($A302&lt;&gt;"",countif('3) Release_Label'!$D:$D,$A302)=0),"NO UPC MATCH in Release_Label",and($B302&lt;&gt;"",countif('3) Release_Label'!$E:$E,$B302)=0),"NO CATALOG ID MATCH in Release_Label",iserror(vlookup($A302&amp;$B302,'3) Release_Label'!$D:$D&amp;'3) Release_Label'!$E:$E,1,0)),"NO UPC-CATALOG ID pair MATCH in Release_Label" )</f>
        <v/>
      </c>
      <c r="D302" s="121" t="str">
        <f t="array" ref="D302">ifs(and(isblank($A302),isblank($B302)),"", not(iserror(vlookup($A302&amp;$B302,'3) Release_Label'!$D:$D&amp;'3) Release_Label'!$E:$E,1,0))),vlookup($A302&amp;$B302,{'3) Release_Label'!$D:$D&amp;'3) Release_Label'!$E:$E,'3) Release_Label'!$H:$H},2,0), or(and(not(isblank($B302)),$B302=$B301,$A302&lt;&gt;$A301),and(not(isblank($A302)),$A302=$A301,$B302&lt;&gt;$B301)),"ID LISTS UNALIGNED",and($A302&lt;&gt;"",countif('3) Release_Label'!$D:$D,$A302)=0),"NO UPC MATCH in Release_Label",and($B302&lt;&gt;"",countif('3) Release_Label'!$E:$E,$B302)=0),"NO CATALOG ID MATCH in Release_Label",iserror(vlookup($A302&amp;$B302,'3) Release_Label'!$D:$D&amp;'3) Release_Label'!$E:$E,1,0)),"NO UPC-CATALOG ID pair MATCH in Release_Label" )</f>
        <v/>
      </c>
      <c r="E302" s="99"/>
      <c r="F302" s="99"/>
      <c r="G302" s="123" t="str">
        <f t="array" ref="G302">ifs(or($F302="",$F302="Main Primary Artist"),$F302,not(iserror(vlookup($F302,'Reference info'!$J$5:$J$8,1,0))),"Key Artist",not(iserror(vlookup($F302,'Reference info'!$J$38:$J$405,1,0))),"Performer",not(iserror(vlookup($F302,'Reference info'!$J$10:$J$36,1,0))),"Producer &amp; Engineer")</f>
        <v/>
      </c>
    </row>
    <row r="303">
      <c r="A303" s="28"/>
      <c r="B303" s="103"/>
      <c r="C303" s="121" t="str">
        <f t="array" ref="C303">ifs(and(isblank($A303),isblank($B303)),"", not(iserror(vlookup($A303&amp;$B303,'3) Release_Label'!$D:$D&amp;'3) Release_Label'!$E:$E,1,0))),vlookup($A303&amp;$B303,{'3) Release_Label'!$D:$D&amp;'3) Release_Label'!$E:$E,'3) Release_Label'!$F:$F},2,0), or(and(not(isblank($B303)),$B303=$B302,$A303&lt;&gt;$A302),and(not(isblank($A303)),$A303=$A302,$B303&lt;&gt;$B302)),"ID LISTS UNALIGNED",and($A303&lt;&gt;"",countif('3) Release_Label'!$D:$D,$A303)=0),"NO UPC MATCH in Release_Label",and($B303&lt;&gt;"",countif('3) Release_Label'!$E:$E,$B303)=0),"NO CATALOG ID MATCH in Release_Label",iserror(vlookup($A303&amp;$B303,'3) Release_Label'!$D:$D&amp;'3) Release_Label'!$E:$E,1,0)),"NO UPC-CATALOG ID pair MATCH in Release_Label" )</f>
        <v/>
      </c>
      <c r="D303" s="121" t="str">
        <f t="array" ref="D303">ifs(and(isblank($A303),isblank($B303)),"", not(iserror(vlookup($A303&amp;$B303,'3) Release_Label'!$D:$D&amp;'3) Release_Label'!$E:$E,1,0))),vlookup($A303&amp;$B303,{'3) Release_Label'!$D:$D&amp;'3) Release_Label'!$E:$E,'3) Release_Label'!$H:$H},2,0), or(and(not(isblank($B303)),$B303=$B302,$A303&lt;&gt;$A302),and(not(isblank($A303)),$A303=$A302,$B303&lt;&gt;$B302)),"ID LISTS UNALIGNED",and($A303&lt;&gt;"",countif('3) Release_Label'!$D:$D,$A303)=0),"NO UPC MATCH in Release_Label",and($B303&lt;&gt;"",countif('3) Release_Label'!$E:$E,$B303)=0),"NO CATALOG ID MATCH in Release_Label",iserror(vlookup($A303&amp;$B303,'3) Release_Label'!$D:$D&amp;'3) Release_Label'!$E:$E,1,0)),"NO UPC-CATALOG ID pair MATCH in Release_Label" )</f>
        <v/>
      </c>
      <c r="E303" s="99"/>
      <c r="F303" s="99"/>
      <c r="G303" s="123" t="str">
        <f t="array" ref="G303">ifs(or($F303="",$F303="Main Primary Artist"),$F303,not(iserror(vlookup($F303,'Reference info'!$J$5:$J$8,1,0))),"Key Artist",not(iserror(vlookup($F303,'Reference info'!$J$38:$J$405,1,0))),"Performer",not(iserror(vlookup($F303,'Reference info'!$J$10:$J$36,1,0))),"Producer &amp; Engineer")</f>
        <v/>
      </c>
    </row>
    <row r="304">
      <c r="A304" s="28"/>
      <c r="B304" s="103"/>
      <c r="C304" s="121" t="str">
        <f t="array" ref="C304">ifs(and(isblank($A304),isblank($B304)),"", not(iserror(vlookup($A304&amp;$B304,'3) Release_Label'!$D:$D&amp;'3) Release_Label'!$E:$E,1,0))),vlookup($A304&amp;$B304,{'3) Release_Label'!$D:$D&amp;'3) Release_Label'!$E:$E,'3) Release_Label'!$F:$F},2,0), or(and(not(isblank($B304)),$B304=$B303,$A304&lt;&gt;$A303),and(not(isblank($A304)),$A304=$A303,$B304&lt;&gt;$B303)),"ID LISTS UNALIGNED",and($A304&lt;&gt;"",countif('3) Release_Label'!$D:$D,$A304)=0),"NO UPC MATCH in Release_Label",and($B304&lt;&gt;"",countif('3) Release_Label'!$E:$E,$B304)=0),"NO CATALOG ID MATCH in Release_Label",iserror(vlookup($A304&amp;$B304,'3) Release_Label'!$D:$D&amp;'3) Release_Label'!$E:$E,1,0)),"NO UPC-CATALOG ID pair MATCH in Release_Label" )</f>
        <v/>
      </c>
      <c r="D304" s="121" t="str">
        <f t="array" ref="D304">ifs(and(isblank($A304),isblank($B304)),"", not(iserror(vlookup($A304&amp;$B304,'3) Release_Label'!$D:$D&amp;'3) Release_Label'!$E:$E,1,0))),vlookup($A304&amp;$B304,{'3) Release_Label'!$D:$D&amp;'3) Release_Label'!$E:$E,'3) Release_Label'!$H:$H},2,0), or(and(not(isblank($B304)),$B304=$B303,$A304&lt;&gt;$A303),and(not(isblank($A304)),$A304=$A303,$B304&lt;&gt;$B303)),"ID LISTS UNALIGNED",and($A304&lt;&gt;"",countif('3) Release_Label'!$D:$D,$A304)=0),"NO UPC MATCH in Release_Label",and($B304&lt;&gt;"",countif('3) Release_Label'!$E:$E,$B304)=0),"NO CATALOG ID MATCH in Release_Label",iserror(vlookup($A304&amp;$B304,'3) Release_Label'!$D:$D&amp;'3) Release_Label'!$E:$E,1,0)),"NO UPC-CATALOG ID pair MATCH in Release_Label" )</f>
        <v/>
      </c>
      <c r="E304" s="99"/>
      <c r="F304" s="99"/>
      <c r="G304" s="123" t="str">
        <f t="array" ref="G304">ifs(or($F304="",$F304="Main Primary Artist"),$F304,not(iserror(vlookup($F304,'Reference info'!$J$5:$J$8,1,0))),"Key Artist",not(iserror(vlookup($F304,'Reference info'!$J$38:$J$405,1,0))),"Performer",not(iserror(vlookup($F304,'Reference info'!$J$10:$J$36,1,0))),"Producer &amp; Engineer")</f>
        <v/>
      </c>
    </row>
    <row r="305">
      <c r="A305" s="28"/>
      <c r="B305" s="103"/>
      <c r="C305" s="121" t="str">
        <f t="array" ref="C305">ifs(and(isblank($A305),isblank($B305)),"", not(iserror(vlookup($A305&amp;$B305,'3) Release_Label'!$D:$D&amp;'3) Release_Label'!$E:$E,1,0))),vlookup($A305&amp;$B305,{'3) Release_Label'!$D:$D&amp;'3) Release_Label'!$E:$E,'3) Release_Label'!$F:$F},2,0), or(and(not(isblank($B305)),$B305=$B304,$A305&lt;&gt;$A304),and(not(isblank($A305)),$A305=$A304,$B305&lt;&gt;$B304)),"ID LISTS UNALIGNED",and($A305&lt;&gt;"",countif('3) Release_Label'!$D:$D,$A305)=0),"NO UPC MATCH in Release_Label",and($B305&lt;&gt;"",countif('3) Release_Label'!$E:$E,$B305)=0),"NO CATALOG ID MATCH in Release_Label",iserror(vlookup($A305&amp;$B305,'3) Release_Label'!$D:$D&amp;'3) Release_Label'!$E:$E,1,0)),"NO UPC-CATALOG ID pair MATCH in Release_Label" )</f>
        <v/>
      </c>
      <c r="D305" s="121" t="str">
        <f t="array" ref="D305">ifs(and(isblank($A305),isblank($B305)),"", not(iserror(vlookup($A305&amp;$B305,'3) Release_Label'!$D:$D&amp;'3) Release_Label'!$E:$E,1,0))),vlookup($A305&amp;$B305,{'3) Release_Label'!$D:$D&amp;'3) Release_Label'!$E:$E,'3) Release_Label'!$H:$H},2,0), or(and(not(isblank($B305)),$B305=$B304,$A305&lt;&gt;$A304),and(not(isblank($A305)),$A305=$A304,$B305&lt;&gt;$B304)),"ID LISTS UNALIGNED",and($A305&lt;&gt;"",countif('3) Release_Label'!$D:$D,$A305)=0),"NO UPC MATCH in Release_Label",and($B305&lt;&gt;"",countif('3) Release_Label'!$E:$E,$B305)=0),"NO CATALOG ID MATCH in Release_Label",iserror(vlookup($A305&amp;$B305,'3) Release_Label'!$D:$D&amp;'3) Release_Label'!$E:$E,1,0)),"NO UPC-CATALOG ID pair MATCH in Release_Label" )</f>
        <v/>
      </c>
      <c r="E305" s="99"/>
      <c r="F305" s="99"/>
      <c r="G305" s="123" t="str">
        <f t="array" ref="G305">ifs(or($F305="",$F305="Main Primary Artist"),$F305,not(iserror(vlookup($F305,'Reference info'!$J$5:$J$8,1,0))),"Key Artist",not(iserror(vlookup($F305,'Reference info'!$J$38:$J$405,1,0))),"Performer",not(iserror(vlookup($F305,'Reference info'!$J$10:$J$36,1,0))),"Producer &amp; Engineer")</f>
        <v/>
      </c>
    </row>
    <row r="306">
      <c r="A306" s="28"/>
      <c r="B306" s="103"/>
      <c r="C306" s="121" t="str">
        <f t="array" ref="C306">ifs(and(isblank($A306),isblank($B306)),"", not(iserror(vlookup($A306&amp;$B306,'3) Release_Label'!$D:$D&amp;'3) Release_Label'!$E:$E,1,0))),vlookup($A306&amp;$B306,{'3) Release_Label'!$D:$D&amp;'3) Release_Label'!$E:$E,'3) Release_Label'!$F:$F},2,0), or(and(not(isblank($B306)),$B306=$B305,$A306&lt;&gt;$A305),and(not(isblank($A306)),$A306=$A305,$B306&lt;&gt;$B305)),"ID LISTS UNALIGNED",and($A306&lt;&gt;"",countif('3) Release_Label'!$D:$D,$A306)=0),"NO UPC MATCH in Release_Label",and($B306&lt;&gt;"",countif('3) Release_Label'!$E:$E,$B306)=0),"NO CATALOG ID MATCH in Release_Label",iserror(vlookup($A306&amp;$B306,'3) Release_Label'!$D:$D&amp;'3) Release_Label'!$E:$E,1,0)),"NO UPC-CATALOG ID pair MATCH in Release_Label" )</f>
        <v/>
      </c>
      <c r="D306" s="121" t="str">
        <f t="array" ref="D306">ifs(and(isblank($A306),isblank($B306)),"", not(iserror(vlookup($A306&amp;$B306,'3) Release_Label'!$D:$D&amp;'3) Release_Label'!$E:$E,1,0))),vlookup($A306&amp;$B306,{'3) Release_Label'!$D:$D&amp;'3) Release_Label'!$E:$E,'3) Release_Label'!$H:$H},2,0), or(and(not(isblank($B306)),$B306=$B305,$A306&lt;&gt;$A305),and(not(isblank($A306)),$A306=$A305,$B306&lt;&gt;$B305)),"ID LISTS UNALIGNED",and($A306&lt;&gt;"",countif('3) Release_Label'!$D:$D,$A306)=0),"NO UPC MATCH in Release_Label",and($B306&lt;&gt;"",countif('3) Release_Label'!$E:$E,$B306)=0),"NO CATALOG ID MATCH in Release_Label",iserror(vlookup($A306&amp;$B306,'3) Release_Label'!$D:$D&amp;'3) Release_Label'!$E:$E,1,0)),"NO UPC-CATALOG ID pair MATCH in Release_Label" )</f>
        <v/>
      </c>
      <c r="E306" s="99"/>
      <c r="F306" s="99"/>
      <c r="G306" s="123" t="str">
        <f t="array" ref="G306">ifs(or($F306="",$F306="Main Primary Artist"),$F306,not(iserror(vlookup($F306,'Reference info'!$J$5:$J$8,1,0))),"Key Artist",not(iserror(vlookup($F306,'Reference info'!$J$38:$J$405,1,0))),"Performer",not(iserror(vlookup($F306,'Reference info'!$J$10:$J$36,1,0))),"Producer &amp; Engineer")</f>
        <v/>
      </c>
    </row>
    <row r="307">
      <c r="A307" s="28"/>
      <c r="B307" s="103"/>
      <c r="C307" s="121" t="str">
        <f t="array" ref="C307">ifs(and(isblank($A307),isblank($B307)),"", not(iserror(vlookup($A307&amp;$B307,'3) Release_Label'!$D:$D&amp;'3) Release_Label'!$E:$E,1,0))),vlookup($A307&amp;$B307,{'3) Release_Label'!$D:$D&amp;'3) Release_Label'!$E:$E,'3) Release_Label'!$F:$F},2,0), or(and(not(isblank($B307)),$B307=$B306,$A307&lt;&gt;$A306),and(not(isblank($A307)),$A307=$A306,$B307&lt;&gt;$B306)),"ID LISTS UNALIGNED",and($A307&lt;&gt;"",countif('3) Release_Label'!$D:$D,$A307)=0),"NO UPC MATCH in Release_Label",and($B307&lt;&gt;"",countif('3) Release_Label'!$E:$E,$B307)=0),"NO CATALOG ID MATCH in Release_Label",iserror(vlookup($A307&amp;$B307,'3) Release_Label'!$D:$D&amp;'3) Release_Label'!$E:$E,1,0)),"NO UPC-CATALOG ID pair MATCH in Release_Label" )</f>
        <v/>
      </c>
      <c r="D307" s="121" t="str">
        <f t="array" ref="D307">ifs(and(isblank($A307),isblank($B307)),"", not(iserror(vlookup($A307&amp;$B307,'3) Release_Label'!$D:$D&amp;'3) Release_Label'!$E:$E,1,0))),vlookup($A307&amp;$B307,{'3) Release_Label'!$D:$D&amp;'3) Release_Label'!$E:$E,'3) Release_Label'!$H:$H},2,0), or(and(not(isblank($B307)),$B307=$B306,$A307&lt;&gt;$A306),and(not(isblank($A307)),$A307=$A306,$B307&lt;&gt;$B306)),"ID LISTS UNALIGNED",and($A307&lt;&gt;"",countif('3) Release_Label'!$D:$D,$A307)=0),"NO UPC MATCH in Release_Label",and($B307&lt;&gt;"",countif('3) Release_Label'!$E:$E,$B307)=0),"NO CATALOG ID MATCH in Release_Label",iserror(vlookup($A307&amp;$B307,'3) Release_Label'!$D:$D&amp;'3) Release_Label'!$E:$E,1,0)),"NO UPC-CATALOG ID pair MATCH in Release_Label" )</f>
        <v/>
      </c>
      <c r="E307" s="99"/>
      <c r="F307" s="99"/>
      <c r="G307" s="123" t="str">
        <f t="array" ref="G307">ifs(or($F307="",$F307="Main Primary Artist"),$F307,not(iserror(vlookup($F307,'Reference info'!$J$5:$J$8,1,0))),"Key Artist",not(iserror(vlookup($F307,'Reference info'!$J$38:$J$405,1,0))),"Performer",not(iserror(vlookup($F307,'Reference info'!$J$10:$J$36,1,0))),"Producer &amp; Engineer")</f>
        <v/>
      </c>
    </row>
    <row r="308">
      <c r="A308" s="28"/>
      <c r="B308" s="103"/>
      <c r="C308" s="121" t="str">
        <f t="array" ref="C308">ifs(and(isblank($A308),isblank($B308)),"", not(iserror(vlookup($A308&amp;$B308,'3) Release_Label'!$D:$D&amp;'3) Release_Label'!$E:$E,1,0))),vlookup($A308&amp;$B308,{'3) Release_Label'!$D:$D&amp;'3) Release_Label'!$E:$E,'3) Release_Label'!$F:$F},2,0), or(and(not(isblank($B308)),$B308=$B307,$A308&lt;&gt;$A307),and(not(isblank($A308)),$A308=$A307,$B308&lt;&gt;$B307)),"ID LISTS UNALIGNED",and($A308&lt;&gt;"",countif('3) Release_Label'!$D:$D,$A308)=0),"NO UPC MATCH in Release_Label",and($B308&lt;&gt;"",countif('3) Release_Label'!$E:$E,$B308)=0),"NO CATALOG ID MATCH in Release_Label",iserror(vlookup($A308&amp;$B308,'3) Release_Label'!$D:$D&amp;'3) Release_Label'!$E:$E,1,0)),"NO UPC-CATALOG ID pair MATCH in Release_Label" )</f>
        <v/>
      </c>
      <c r="D308" s="121" t="str">
        <f t="array" ref="D308">ifs(and(isblank($A308),isblank($B308)),"", not(iserror(vlookup($A308&amp;$B308,'3) Release_Label'!$D:$D&amp;'3) Release_Label'!$E:$E,1,0))),vlookup($A308&amp;$B308,{'3) Release_Label'!$D:$D&amp;'3) Release_Label'!$E:$E,'3) Release_Label'!$H:$H},2,0), or(and(not(isblank($B308)),$B308=$B307,$A308&lt;&gt;$A307),and(not(isblank($A308)),$A308=$A307,$B308&lt;&gt;$B307)),"ID LISTS UNALIGNED",and($A308&lt;&gt;"",countif('3) Release_Label'!$D:$D,$A308)=0),"NO UPC MATCH in Release_Label",and($B308&lt;&gt;"",countif('3) Release_Label'!$E:$E,$B308)=0),"NO CATALOG ID MATCH in Release_Label",iserror(vlookup($A308&amp;$B308,'3) Release_Label'!$D:$D&amp;'3) Release_Label'!$E:$E,1,0)),"NO UPC-CATALOG ID pair MATCH in Release_Label" )</f>
        <v/>
      </c>
      <c r="E308" s="99"/>
      <c r="F308" s="99"/>
      <c r="G308" s="123" t="str">
        <f t="array" ref="G308">ifs(or($F308="",$F308="Main Primary Artist"),$F308,not(iserror(vlookup($F308,'Reference info'!$J$5:$J$8,1,0))),"Key Artist",not(iserror(vlookup($F308,'Reference info'!$J$38:$J$405,1,0))),"Performer",not(iserror(vlookup($F308,'Reference info'!$J$10:$J$36,1,0))),"Producer &amp; Engineer")</f>
        <v/>
      </c>
    </row>
    <row r="309">
      <c r="A309" s="28"/>
      <c r="B309" s="103"/>
      <c r="C309" s="121" t="str">
        <f t="array" ref="C309">ifs(and(isblank($A309),isblank($B309)),"", not(iserror(vlookup($A309&amp;$B309,'3) Release_Label'!$D:$D&amp;'3) Release_Label'!$E:$E,1,0))),vlookup($A309&amp;$B309,{'3) Release_Label'!$D:$D&amp;'3) Release_Label'!$E:$E,'3) Release_Label'!$F:$F},2,0), or(and(not(isblank($B309)),$B309=$B308,$A309&lt;&gt;$A308),and(not(isblank($A309)),$A309=$A308,$B309&lt;&gt;$B308)),"ID LISTS UNALIGNED",and($A309&lt;&gt;"",countif('3) Release_Label'!$D:$D,$A309)=0),"NO UPC MATCH in Release_Label",and($B309&lt;&gt;"",countif('3) Release_Label'!$E:$E,$B309)=0),"NO CATALOG ID MATCH in Release_Label",iserror(vlookup($A309&amp;$B309,'3) Release_Label'!$D:$D&amp;'3) Release_Label'!$E:$E,1,0)),"NO UPC-CATALOG ID pair MATCH in Release_Label" )</f>
        <v/>
      </c>
      <c r="D309" s="121" t="str">
        <f t="array" ref="D309">ifs(and(isblank($A309),isblank($B309)),"", not(iserror(vlookup($A309&amp;$B309,'3) Release_Label'!$D:$D&amp;'3) Release_Label'!$E:$E,1,0))),vlookup($A309&amp;$B309,{'3) Release_Label'!$D:$D&amp;'3) Release_Label'!$E:$E,'3) Release_Label'!$H:$H},2,0), or(and(not(isblank($B309)),$B309=$B308,$A309&lt;&gt;$A308),and(not(isblank($A309)),$A309=$A308,$B309&lt;&gt;$B308)),"ID LISTS UNALIGNED",and($A309&lt;&gt;"",countif('3) Release_Label'!$D:$D,$A309)=0),"NO UPC MATCH in Release_Label",and($B309&lt;&gt;"",countif('3) Release_Label'!$E:$E,$B309)=0),"NO CATALOG ID MATCH in Release_Label",iserror(vlookup($A309&amp;$B309,'3) Release_Label'!$D:$D&amp;'3) Release_Label'!$E:$E,1,0)),"NO UPC-CATALOG ID pair MATCH in Release_Label" )</f>
        <v/>
      </c>
      <c r="E309" s="99"/>
      <c r="F309" s="99"/>
      <c r="G309" s="123" t="str">
        <f t="array" ref="G309">ifs(or($F309="",$F309="Main Primary Artist"),$F309,not(iserror(vlookup($F309,'Reference info'!$J$5:$J$8,1,0))),"Key Artist",not(iserror(vlookup($F309,'Reference info'!$J$38:$J$405,1,0))),"Performer",not(iserror(vlookup($F309,'Reference info'!$J$10:$J$36,1,0))),"Producer &amp; Engineer")</f>
        <v/>
      </c>
    </row>
    <row r="310">
      <c r="A310" s="28"/>
      <c r="B310" s="103"/>
      <c r="C310" s="121" t="str">
        <f t="array" ref="C310">ifs(and(isblank($A310),isblank($B310)),"", not(iserror(vlookup($A310&amp;$B310,'3) Release_Label'!$D:$D&amp;'3) Release_Label'!$E:$E,1,0))),vlookup($A310&amp;$B310,{'3) Release_Label'!$D:$D&amp;'3) Release_Label'!$E:$E,'3) Release_Label'!$F:$F},2,0), or(and(not(isblank($B310)),$B310=$B309,$A310&lt;&gt;$A309),and(not(isblank($A310)),$A310=$A309,$B310&lt;&gt;$B309)),"ID LISTS UNALIGNED",and($A310&lt;&gt;"",countif('3) Release_Label'!$D:$D,$A310)=0),"NO UPC MATCH in Release_Label",and($B310&lt;&gt;"",countif('3) Release_Label'!$E:$E,$B310)=0),"NO CATALOG ID MATCH in Release_Label",iserror(vlookup($A310&amp;$B310,'3) Release_Label'!$D:$D&amp;'3) Release_Label'!$E:$E,1,0)),"NO UPC-CATALOG ID pair MATCH in Release_Label" )</f>
        <v/>
      </c>
      <c r="D310" s="121" t="str">
        <f t="array" ref="D310">ifs(and(isblank($A310),isblank($B310)),"", not(iserror(vlookup($A310&amp;$B310,'3) Release_Label'!$D:$D&amp;'3) Release_Label'!$E:$E,1,0))),vlookup($A310&amp;$B310,{'3) Release_Label'!$D:$D&amp;'3) Release_Label'!$E:$E,'3) Release_Label'!$H:$H},2,0), or(and(not(isblank($B310)),$B310=$B309,$A310&lt;&gt;$A309),and(not(isblank($A310)),$A310=$A309,$B310&lt;&gt;$B309)),"ID LISTS UNALIGNED",and($A310&lt;&gt;"",countif('3) Release_Label'!$D:$D,$A310)=0),"NO UPC MATCH in Release_Label",and($B310&lt;&gt;"",countif('3) Release_Label'!$E:$E,$B310)=0),"NO CATALOG ID MATCH in Release_Label",iserror(vlookup($A310&amp;$B310,'3) Release_Label'!$D:$D&amp;'3) Release_Label'!$E:$E,1,0)),"NO UPC-CATALOG ID pair MATCH in Release_Label" )</f>
        <v/>
      </c>
      <c r="E310" s="99"/>
      <c r="F310" s="99"/>
      <c r="G310" s="123" t="str">
        <f t="array" ref="G310">ifs(or($F310="",$F310="Main Primary Artist"),$F310,not(iserror(vlookup($F310,'Reference info'!$J$5:$J$8,1,0))),"Key Artist",not(iserror(vlookup($F310,'Reference info'!$J$38:$J$405,1,0))),"Performer",not(iserror(vlookup($F310,'Reference info'!$J$10:$J$36,1,0))),"Producer &amp; Engineer")</f>
        <v/>
      </c>
    </row>
    <row r="311">
      <c r="A311" s="28"/>
      <c r="B311" s="103"/>
      <c r="C311" s="121" t="str">
        <f t="array" ref="C311">ifs(and(isblank($A311),isblank($B311)),"", not(iserror(vlookup($A311&amp;$B311,'3) Release_Label'!$D:$D&amp;'3) Release_Label'!$E:$E,1,0))),vlookup($A311&amp;$B311,{'3) Release_Label'!$D:$D&amp;'3) Release_Label'!$E:$E,'3) Release_Label'!$F:$F},2,0), or(and(not(isblank($B311)),$B311=$B310,$A311&lt;&gt;$A310),and(not(isblank($A311)),$A311=$A310,$B311&lt;&gt;$B310)),"ID LISTS UNALIGNED",and($A311&lt;&gt;"",countif('3) Release_Label'!$D:$D,$A311)=0),"NO UPC MATCH in Release_Label",and($B311&lt;&gt;"",countif('3) Release_Label'!$E:$E,$B311)=0),"NO CATALOG ID MATCH in Release_Label",iserror(vlookup($A311&amp;$B311,'3) Release_Label'!$D:$D&amp;'3) Release_Label'!$E:$E,1,0)),"NO UPC-CATALOG ID pair MATCH in Release_Label" )</f>
        <v/>
      </c>
      <c r="D311" s="121" t="str">
        <f t="array" ref="D311">ifs(and(isblank($A311),isblank($B311)),"", not(iserror(vlookup($A311&amp;$B311,'3) Release_Label'!$D:$D&amp;'3) Release_Label'!$E:$E,1,0))),vlookup($A311&amp;$B311,{'3) Release_Label'!$D:$D&amp;'3) Release_Label'!$E:$E,'3) Release_Label'!$H:$H},2,0), or(and(not(isblank($B311)),$B311=$B310,$A311&lt;&gt;$A310),and(not(isblank($A311)),$A311=$A310,$B311&lt;&gt;$B310)),"ID LISTS UNALIGNED",and($A311&lt;&gt;"",countif('3) Release_Label'!$D:$D,$A311)=0),"NO UPC MATCH in Release_Label",and($B311&lt;&gt;"",countif('3) Release_Label'!$E:$E,$B311)=0),"NO CATALOG ID MATCH in Release_Label",iserror(vlookup($A311&amp;$B311,'3) Release_Label'!$D:$D&amp;'3) Release_Label'!$E:$E,1,0)),"NO UPC-CATALOG ID pair MATCH in Release_Label" )</f>
        <v/>
      </c>
      <c r="E311" s="99"/>
      <c r="F311" s="99"/>
      <c r="G311" s="123" t="str">
        <f t="array" ref="G311">ifs(or($F311="",$F311="Main Primary Artist"),$F311,not(iserror(vlookup($F311,'Reference info'!$J$5:$J$8,1,0))),"Key Artist",not(iserror(vlookup($F311,'Reference info'!$J$38:$J$405,1,0))),"Performer",not(iserror(vlookup($F311,'Reference info'!$J$10:$J$36,1,0))),"Producer &amp; Engineer")</f>
        <v/>
      </c>
    </row>
    <row r="312">
      <c r="A312" s="28"/>
      <c r="B312" s="103"/>
      <c r="C312" s="121" t="str">
        <f t="array" ref="C312">ifs(and(isblank($A312),isblank($B312)),"", not(iserror(vlookup($A312&amp;$B312,'3) Release_Label'!$D:$D&amp;'3) Release_Label'!$E:$E,1,0))),vlookup($A312&amp;$B312,{'3) Release_Label'!$D:$D&amp;'3) Release_Label'!$E:$E,'3) Release_Label'!$F:$F},2,0), or(and(not(isblank($B312)),$B312=$B311,$A312&lt;&gt;$A311),and(not(isblank($A312)),$A312=$A311,$B312&lt;&gt;$B311)),"ID LISTS UNALIGNED",and($A312&lt;&gt;"",countif('3) Release_Label'!$D:$D,$A312)=0),"NO UPC MATCH in Release_Label",and($B312&lt;&gt;"",countif('3) Release_Label'!$E:$E,$B312)=0),"NO CATALOG ID MATCH in Release_Label",iserror(vlookup($A312&amp;$B312,'3) Release_Label'!$D:$D&amp;'3) Release_Label'!$E:$E,1,0)),"NO UPC-CATALOG ID pair MATCH in Release_Label" )</f>
        <v/>
      </c>
      <c r="D312" s="121" t="str">
        <f t="array" ref="D312">ifs(and(isblank($A312),isblank($B312)),"", not(iserror(vlookup($A312&amp;$B312,'3) Release_Label'!$D:$D&amp;'3) Release_Label'!$E:$E,1,0))),vlookup($A312&amp;$B312,{'3) Release_Label'!$D:$D&amp;'3) Release_Label'!$E:$E,'3) Release_Label'!$H:$H},2,0), or(and(not(isblank($B312)),$B312=$B311,$A312&lt;&gt;$A311),and(not(isblank($A312)),$A312=$A311,$B312&lt;&gt;$B311)),"ID LISTS UNALIGNED",and($A312&lt;&gt;"",countif('3) Release_Label'!$D:$D,$A312)=0),"NO UPC MATCH in Release_Label",and($B312&lt;&gt;"",countif('3) Release_Label'!$E:$E,$B312)=0),"NO CATALOG ID MATCH in Release_Label",iserror(vlookup($A312&amp;$B312,'3) Release_Label'!$D:$D&amp;'3) Release_Label'!$E:$E,1,0)),"NO UPC-CATALOG ID pair MATCH in Release_Label" )</f>
        <v/>
      </c>
      <c r="E312" s="99"/>
      <c r="F312" s="99"/>
      <c r="G312" s="123" t="str">
        <f t="array" ref="G312">ifs(or($F312="",$F312="Main Primary Artist"),$F312,not(iserror(vlookup($F312,'Reference info'!$J$5:$J$8,1,0))),"Key Artist",not(iserror(vlookup($F312,'Reference info'!$J$38:$J$405,1,0))),"Performer",not(iserror(vlookup($F312,'Reference info'!$J$10:$J$36,1,0))),"Producer &amp; Engineer")</f>
        <v/>
      </c>
    </row>
    <row r="313">
      <c r="A313" s="28"/>
      <c r="B313" s="103"/>
      <c r="C313" s="121" t="str">
        <f t="array" ref="C313">ifs(and(isblank($A313),isblank($B313)),"", not(iserror(vlookup($A313&amp;$B313,'3) Release_Label'!$D:$D&amp;'3) Release_Label'!$E:$E,1,0))),vlookup($A313&amp;$B313,{'3) Release_Label'!$D:$D&amp;'3) Release_Label'!$E:$E,'3) Release_Label'!$F:$F},2,0), or(and(not(isblank($B313)),$B313=$B312,$A313&lt;&gt;$A312),and(not(isblank($A313)),$A313=$A312,$B313&lt;&gt;$B312)),"ID LISTS UNALIGNED",and($A313&lt;&gt;"",countif('3) Release_Label'!$D:$D,$A313)=0),"NO UPC MATCH in Release_Label",and($B313&lt;&gt;"",countif('3) Release_Label'!$E:$E,$B313)=0),"NO CATALOG ID MATCH in Release_Label",iserror(vlookup($A313&amp;$B313,'3) Release_Label'!$D:$D&amp;'3) Release_Label'!$E:$E,1,0)),"NO UPC-CATALOG ID pair MATCH in Release_Label" )</f>
        <v/>
      </c>
      <c r="D313" s="121" t="str">
        <f t="array" ref="D313">ifs(and(isblank($A313),isblank($B313)),"", not(iserror(vlookup($A313&amp;$B313,'3) Release_Label'!$D:$D&amp;'3) Release_Label'!$E:$E,1,0))),vlookup($A313&amp;$B313,{'3) Release_Label'!$D:$D&amp;'3) Release_Label'!$E:$E,'3) Release_Label'!$H:$H},2,0), or(and(not(isblank($B313)),$B313=$B312,$A313&lt;&gt;$A312),and(not(isblank($A313)),$A313=$A312,$B313&lt;&gt;$B312)),"ID LISTS UNALIGNED",and($A313&lt;&gt;"",countif('3) Release_Label'!$D:$D,$A313)=0),"NO UPC MATCH in Release_Label",and($B313&lt;&gt;"",countif('3) Release_Label'!$E:$E,$B313)=0),"NO CATALOG ID MATCH in Release_Label",iserror(vlookup($A313&amp;$B313,'3) Release_Label'!$D:$D&amp;'3) Release_Label'!$E:$E,1,0)),"NO UPC-CATALOG ID pair MATCH in Release_Label" )</f>
        <v/>
      </c>
      <c r="E313" s="99"/>
      <c r="F313" s="99"/>
      <c r="G313" s="123" t="str">
        <f t="array" ref="G313">ifs(or($F313="",$F313="Main Primary Artist"),$F313,not(iserror(vlookup($F313,'Reference info'!$J$5:$J$8,1,0))),"Key Artist",not(iserror(vlookup($F313,'Reference info'!$J$38:$J$405,1,0))),"Performer",not(iserror(vlookup($F313,'Reference info'!$J$10:$J$36,1,0))),"Producer &amp; Engineer")</f>
        <v/>
      </c>
    </row>
    <row r="314">
      <c r="A314" s="28"/>
      <c r="B314" s="103"/>
      <c r="C314" s="121" t="str">
        <f t="array" ref="C314">ifs(and(isblank($A314),isblank($B314)),"", not(iserror(vlookup($A314&amp;$B314,'3) Release_Label'!$D:$D&amp;'3) Release_Label'!$E:$E,1,0))),vlookup($A314&amp;$B314,{'3) Release_Label'!$D:$D&amp;'3) Release_Label'!$E:$E,'3) Release_Label'!$F:$F},2,0), or(and(not(isblank($B314)),$B314=$B313,$A314&lt;&gt;$A313),and(not(isblank($A314)),$A314=$A313,$B314&lt;&gt;$B313)),"ID LISTS UNALIGNED",and($A314&lt;&gt;"",countif('3) Release_Label'!$D:$D,$A314)=0),"NO UPC MATCH in Release_Label",and($B314&lt;&gt;"",countif('3) Release_Label'!$E:$E,$B314)=0),"NO CATALOG ID MATCH in Release_Label",iserror(vlookup($A314&amp;$B314,'3) Release_Label'!$D:$D&amp;'3) Release_Label'!$E:$E,1,0)),"NO UPC-CATALOG ID pair MATCH in Release_Label" )</f>
        <v/>
      </c>
      <c r="D314" s="121" t="str">
        <f t="array" ref="D314">ifs(and(isblank($A314),isblank($B314)),"", not(iserror(vlookup($A314&amp;$B314,'3) Release_Label'!$D:$D&amp;'3) Release_Label'!$E:$E,1,0))),vlookup($A314&amp;$B314,{'3) Release_Label'!$D:$D&amp;'3) Release_Label'!$E:$E,'3) Release_Label'!$H:$H},2,0), or(and(not(isblank($B314)),$B314=$B313,$A314&lt;&gt;$A313),and(not(isblank($A314)),$A314=$A313,$B314&lt;&gt;$B313)),"ID LISTS UNALIGNED",and($A314&lt;&gt;"",countif('3) Release_Label'!$D:$D,$A314)=0),"NO UPC MATCH in Release_Label",and($B314&lt;&gt;"",countif('3) Release_Label'!$E:$E,$B314)=0),"NO CATALOG ID MATCH in Release_Label",iserror(vlookup($A314&amp;$B314,'3) Release_Label'!$D:$D&amp;'3) Release_Label'!$E:$E,1,0)),"NO UPC-CATALOG ID pair MATCH in Release_Label" )</f>
        <v/>
      </c>
      <c r="E314" s="99"/>
      <c r="F314" s="99"/>
      <c r="G314" s="123" t="str">
        <f t="array" ref="G314">ifs(or($F314="",$F314="Main Primary Artist"),$F314,not(iserror(vlookup($F314,'Reference info'!$J$5:$J$8,1,0))),"Key Artist",not(iserror(vlookup($F314,'Reference info'!$J$38:$J$405,1,0))),"Performer",not(iserror(vlookup($F314,'Reference info'!$J$10:$J$36,1,0))),"Producer &amp; Engineer")</f>
        <v/>
      </c>
    </row>
    <row r="315">
      <c r="A315" s="28"/>
      <c r="B315" s="103"/>
      <c r="C315" s="121" t="str">
        <f t="array" ref="C315">ifs(and(isblank($A315),isblank($B315)),"", not(iserror(vlookup($A315&amp;$B315,'3) Release_Label'!$D:$D&amp;'3) Release_Label'!$E:$E,1,0))),vlookup($A315&amp;$B315,{'3) Release_Label'!$D:$D&amp;'3) Release_Label'!$E:$E,'3) Release_Label'!$F:$F},2,0), or(and(not(isblank($B315)),$B315=$B314,$A315&lt;&gt;$A314),and(not(isblank($A315)),$A315=$A314,$B315&lt;&gt;$B314)),"ID LISTS UNALIGNED",and($A315&lt;&gt;"",countif('3) Release_Label'!$D:$D,$A315)=0),"NO UPC MATCH in Release_Label",and($B315&lt;&gt;"",countif('3) Release_Label'!$E:$E,$B315)=0),"NO CATALOG ID MATCH in Release_Label",iserror(vlookup($A315&amp;$B315,'3) Release_Label'!$D:$D&amp;'3) Release_Label'!$E:$E,1,0)),"NO UPC-CATALOG ID pair MATCH in Release_Label" )</f>
        <v/>
      </c>
      <c r="D315" s="121" t="str">
        <f t="array" ref="D315">ifs(and(isblank($A315),isblank($B315)),"", not(iserror(vlookup($A315&amp;$B315,'3) Release_Label'!$D:$D&amp;'3) Release_Label'!$E:$E,1,0))),vlookup($A315&amp;$B315,{'3) Release_Label'!$D:$D&amp;'3) Release_Label'!$E:$E,'3) Release_Label'!$H:$H},2,0), or(and(not(isblank($B315)),$B315=$B314,$A315&lt;&gt;$A314),and(not(isblank($A315)),$A315=$A314,$B315&lt;&gt;$B314)),"ID LISTS UNALIGNED",and($A315&lt;&gt;"",countif('3) Release_Label'!$D:$D,$A315)=0),"NO UPC MATCH in Release_Label",and($B315&lt;&gt;"",countif('3) Release_Label'!$E:$E,$B315)=0),"NO CATALOG ID MATCH in Release_Label",iserror(vlookup($A315&amp;$B315,'3) Release_Label'!$D:$D&amp;'3) Release_Label'!$E:$E,1,0)),"NO UPC-CATALOG ID pair MATCH in Release_Label" )</f>
        <v/>
      </c>
      <c r="E315" s="99"/>
      <c r="F315" s="99"/>
      <c r="G315" s="123" t="str">
        <f t="array" ref="G315">ifs(or($F315="",$F315="Main Primary Artist"),$F315,not(iserror(vlookup($F315,'Reference info'!$J$5:$J$8,1,0))),"Key Artist",not(iserror(vlookup($F315,'Reference info'!$J$38:$J$405,1,0))),"Performer",not(iserror(vlookup($F315,'Reference info'!$J$10:$J$36,1,0))),"Producer &amp; Engineer")</f>
        <v/>
      </c>
    </row>
    <row r="316">
      <c r="A316" s="28"/>
      <c r="B316" s="103"/>
      <c r="C316" s="121" t="str">
        <f t="array" ref="C316">ifs(and(isblank($A316),isblank($B316)),"", not(iserror(vlookup($A316&amp;$B316,'3) Release_Label'!$D:$D&amp;'3) Release_Label'!$E:$E,1,0))),vlookup($A316&amp;$B316,{'3) Release_Label'!$D:$D&amp;'3) Release_Label'!$E:$E,'3) Release_Label'!$F:$F},2,0), or(and(not(isblank($B316)),$B316=$B315,$A316&lt;&gt;$A315),and(not(isblank($A316)),$A316=$A315,$B316&lt;&gt;$B315)),"ID LISTS UNALIGNED",and($A316&lt;&gt;"",countif('3) Release_Label'!$D:$D,$A316)=0),"NO UPC MATCH in Release_Label",and($B316&lt;&gt;"",countif('3) Release_Label'!$E:$E,$B316)=0),"NO CATALOG ID MATCH in Release_Label",iserror(vlookup($A316&amp;$B316,'3) Release_Label'!$D:$D&amp;'3) Release_Label'!$E:$E,1,0)),"NO UPC-CATALOG ID pair MATCH in Release_Label" )</f>
        <v/>
      </c>
      <c r="D316" s="121" t="str">
        <f t="array" ref="D316">ifs(and(isblank($A316),isblank($B316)),"", not(iserror(vlookup($A316&amp;$B316,'3) Release_Label'!$D:$D&amp;'3) Release_Label'!$E:$E,1,0))),vlookup($A316&amp;$B316,{'3) Release_Label'!$D:$D&amp;'3) Release_Label'!$E:$E,'3) Release_Label'!$H:$H},2,0), or(and(not(isblank($B316)),$B316=$B315,$A316&lt;&gt;$A315),and(not(isblank($A316)),$A316=$A315,$B316&lt;&gt;$B315)),"ID LISTS UNALIGNED",and($A316&lt;&gt;"",countif('3) Release_Label'!$D:$D,$A316)=0),"NO UPC MATCH in Release_Label",and($B316&lt;&gt;"",countif('3) Release_Label'!$E:$E,$B316)=0),"NO CATALOG ID MATCH in Release_Label",iserror(vlookup($A316&amp;$B316,'3) Release_Label'!$D:$D&amp;'3) Release_Label'!$E:$E,1,0)),"NO UPC-CATALOG ID pair MATCH in Release_Label" )</f>
        <v/>
      </c>
      <c r="E316" s="99"/>
      <c r="F316" s="99"/>
      <c r="G316" s="123" t="str">
        <f t="array" ref="G316">ifs(or($F316="",$F316="Main Primary Artist"),$F316,not(iserror(vlookup($F316,'Reference info'!$J$5:$J$8,1,0))),"Key Artist",not(iserror(vlookup($F316,'Reference info'!$J$38:$J$405,1,0))),"Performer",not(iserror(vlookup($F316,'Reference info'!$J$10:$J$36,1,0))),"Producer &amp; Engineer")</f>
        <v/>
      </c>
    </row>
    <row r="317">
      <c r="A317" s="28"/>
      <c r="B317" s="103"/>
      <c r="C317" s="121" t="str">
        <f t="array" ref="C317">ifs(and(isblank($A317),isblank($B317)),"", not(iserror(vlookup($A317&amp;$B317,'3) Release_Label'!$D:$D&amp;'3) Release_Label'!$E:$E,1,0))),vlookup($A317&amp;$B317,{'3) Release_Label'!$D:$D&amp;'3) Release_Label'!$E:$E,'3) Release_Label'!$F:$F},2,0), or(and(not(isblank($B317)),$B317=$B316,$A317&lt;&gt;$A316),and(not(isblank($A317)),$A317=$A316,$B317&lt;&gt;$B316)),"ID LISTS UNALIGNED",and($A317&lt;&gt;"",countif('3) Release_Label'!$D:$D,$A317)=0),"NO UPC MATCH in Release_Label",and($B317&lt;&gt;"",countif('3) Release_Label'!$E:$E,$B317)=0),"NO CATALOG ID MATCH in Release_Label",iserror(vlookup($A317&amp;$B317,'3) Release_Label'!$D:$D&amp;'3) Release_Label'!$E:$E,1,0)),"NO UPC-CATALOG ID pair MATCH in Release_Label" )</f>
        <v/>
      </c>
      <c r="D317" s="121" t="str">
        <f t="array" ref="D317">ifs(and(isblank($A317),isblank($B317)),"", not(iserror(vlookup($A317&amp;$B317,'3) Release_Label'!$D:$D&amp;'3) Release_Label'!$E:$E,1,0))),vlookup($A317&amp;$B317,{'3) Release_Label'!$D:$D&amp;'3) Release_Label'!$E:$E,'3) Release_Label'!$H:$H},2,0), or(and(not(isblank($B317)),$B317=$B316,$A317&lt;&gt;$A316),and(not(isblank($A317)),$A317=$A316,$B317&lt;&gt;$B316)),"ID LISTS UNALIGNED",and($A317&lt;&gt;"",countif('3) Release_Label'!$D:$D,$A317)=0),"NO UPC MATCH in Release_Label",and($B317&lt;&gt;"",countif('3) Release_Label'!$E:$E,$B317)=0),"NO CATALOG ID MATCH in Release_Label",iserror(vlookup($A317&amp;$B317,'3) Release_Label'!$D:$D&amp;'3) Release_Label'!$E:$E,1,0)),"NO UPC-CATALOG ID pair MATCH in Release_Label" )</f>
        <v/>
      </c>
      <c r="E317" s="99"/>
      <c r="F317" s="99"/>
      <c r="G317" s="123" t="str">
        <f t="array" ref="G317">ifs(or($F317="",$F317="Main Primary Artist"),$F317,not(iserror(vlookup($F317,'Reference info'!$J$5:$J$8,1,0))),"Key Artist",not(iserror(vlookup($F317,'Reference info'!$J$38:$J$405,1,0))),"Performer",not(iserror(vlookup($F317,'Reference info'!$J$10:$J$36,1,0))),"Producer &amp; Engineer")</f>
        <v/>
      </c>
    </row>
    <row r="318">
      <c r="A318" s="28"/>
      <c r="B318" s="103"/>
      <c r="C318" s="121" t="str">
        <f t="array" ref="C318">ifs(and(isblank($A318),isblank($B318)),"", not(iserror(vlookup($A318&amp;$B318,'3) Release_Label'!$D:$D&amp;'3) Release_Label'!$E:$E,1,0))),vlookup($A318&amp;$B318,{'3) Release_Label'!$D:$D&amp;'3) Release_Label'!$E:$E,'3) Release_Label'!$F:$F},2,0), or(and(not(isblank($B318)),$B318=$B317,$A318&lt;&gt;$A317),and(not(isblank($A318)),$A318=$A317,$B318&lt;&gt;$B317)),"ID LISTS UNALIGNED",and($A318&lt;&gt;"",countif('3) Release_Label'!$D:$D,$A318)=0),"NO UPC MATCH in Release_Label",and($B318&lt;&gt;"",countif('3) Release_Label'!$E:$E,$B318)=0),"NO CATALOG ID MATCH in Release_Label",iserror(vlookup($A318&amp;$B318,'3) Release_Label'!$D:$D&amp;'3) Release_Label'!$E:$E,1,0)),"NO UPC-CATALOG ID pair MATCH in Release_Label" )</f>
        <v/>
      </c>
      <c r="D318" s="121" t="str">
        <f t="array" ref="D318">ifs(and(isblank($A318),isblank($B318)),"", not(iserror(vlookup($A318&amp;$B318,'3) Release_Label'!$D:$D&amp;'3) Release_Label'!$E:$E,1,0))),vlookup($A318&amp;$B318,{'3) Release_Label'!$D:$D&amp;'3) Release_Label'!$E:$E,'3) Release_Label'!$H:$H},2,0), or(and(not(isblank($B318)),$B318=$B317,$A318&lt;&gt;$A317),and(not(isblank($A318)),$A318=$A317,$B318&lt;&gt;$B317)),"ID LISTS UNALIGNED",and($A318&lt;&gt;"",countif('3) Release_Label'!$D:$D,$A318)=0),"NO UPC MATCH in Release_Label",and($B318&lt;&gt;"",countif('3) Release_Label'!$E:$E,$B318)=0),"NO CATALOG ID MATCH in Release_Label",iserror(vlookup($A318&amp;$B318,'3) Release_Label'!$D:$D&amp;'3) Release_Label'!$E:$E,1,0)),"NO UPC-CATALOG ID pair MATCH in Release_Label" )</f>
        <v/>
      </c>
      <c r="E318" s="99"/>
      <c r="F318" s="99"/>
      <c r="G318" s="123" t="str">
        <f t="array" ref="G318">ifs(or($F318="",$F318="Main Primary Artist"),$F318,not(iserror(vlookup($F318,'Reference info'!$J$5:$J$8,1,0))),"Key Artist",not(iserror(vlookup($F318,'Reference info'!$J$38:$J$405,1,0))),"Performer",not(iserror(vlookup($F318,'Reference info'!$J$10:$J$36,1,0))),"Producer &amp; Engineer")</f>
        <v/>
      </c>
    </row>
    <row r="319">
      <c r="A319" s="28"/>
      <c r="B319" s="103"/>
      <c r="C319" s="121" t="str">
        <f t="array" ref="C319">ifs(and(isblank($A319),isblank($B319)),"", not(iserror(vlookup($A319&amp;$B319,'3) Release_Label'!$D:$D&amp;'3) Release_Label'!$E:$E,1,0))),vlookup($A319&amp;$B319,{'3) Release_Label'!$D:$D&amp;'3) Release_Label'!$E:$E,'3) Release_Label'!$F:$F},2,0), or(and(not(isblank($B319)),$B319=$B318,$A319&lt;&gt;$A318),and(not(isblank($A319)),$A319=$A318,$B319&lt;&gt;$B318)),"ID LISTS UNALIGNED",and($A319&lt;&gt;"",countif('3) Release_Label'!$D:$D,$A319)=0),"NO UPC MATCH in Release_Label",and($B319&lt;&gt;"",countif('3) Release_Label'!$E:$E,$B319)=0),"NO CATALOG ID MATCH in Release_Label",iserror(vlookup($A319&amp;$B319,'3) Release_Label'!$D:$D&amp;'3) Release_Label'!$E:$E,1,0)),"NO UPC-CATALOG ID pair MATCH in Release_Label" )</f>
        <v/>
      </c>
      <c r="D319" s="121" t="str">
        <f t="array" ref="D319">ifs(and(isblank($A319),isblank($B319)),"", not(iserror(vlookup($A319&amp;$B319,'3) Release_Label'!$D:$D&amp;'3) Release_Label'!$E:$E,1,0))),vlookup($A319&amp;$B319,{'3) Release_Label'!$D:$D&amp;'3) Release_Label'!$E:$E,'3) Release_Label'!$H:$H},2,0), or(and(not(isblank($B319)),$B319=$B318,$A319&lt;&gt;$A318),and(not(isblank($A319)),$A319=$A318,$B319&lt;&gt;$B318)),"ID LISTS UNALIGNED",and($A319&lt;&gt;"",countif('3) Release_Label'!$D:$D,$A319)=0),"NO UPC MATCH in Release_Label",and($B319&lt;&gt;"",countif('3) Release_Label'!$E:$E,$B319)=0),"NO CATALOG ID MATCH in Release_Label",iserror(vlookup($A319&amp;$B319,'3) Release_Label'!$D:$D&amp;'3) Release_Label'!$E:$E,1,0)),"NO UPC-CATALOG ID pair MATCH in Release_Label" )</f>
        <v/>
      </c>
      <c r="E319" s="99"/>
      <c r="F319" s="99"/>
      <c r="G319" s="123" t="str">
        <f t="array" ref="G319">ifs(or($F319="",$F319="Main Primary Artist"),$F319,not(iserror(vlookup($F319,'Reference info'!$J$5:$J$8,1,0))),"Key Artist",not(iserror(vlookup($F319,'Reference info'!$J$38:$J$405,1,0))),"Performer",not(iserror(vlookup($F319,'Reference info'!$J$10:$J$36,1,0))),"Producer &amp; Engineer")</f>
        <v/>
      </c>
    </row>
    <row r="320">
      <c r="A320" s="28"/>
      <c r="B320" s="103"/>
      <c r="C320" s="121" t="str">
        <f t="array" ref="C320">ifs(and(isblank($A320),isblank($B320)),"", not(iserror(vlookup($A320&amp;$B320,'3) Release_Label'!$D:$D&amp;'3) Release_Label'!$E:$E,1,0))),vlookup($A320&amp;$B320,{'3) Release_Label'!$D:$D&amp;'3) Release_Label'!$E:$E,'3) Release_Label'!$F:$F},2,0), or(and(not(isblank($B320)),$B320=$B319,$A320&lt;&gt;$A319),and(not(isblank($A320)),$A320=$A319,$B320&lt;&gt;$B319)),"ID LISTS UNALIGNED",and($A320&lt;&gt;"",countif('3) Release_Label'!$D:$D,$A320)=0),"NO UPC MATCH in Release_Label",and($B320&lt;&gt;"",countif('3) Release_Label'!$E:$E,$B320)=0),"NO CATALOG ID MATCH in Release_Label",iserror(vlookup($A320&amp;$B320,'3) Release_Label'!$D:$D&amp;'3) Release_Label'!$E:$E,1,0)),"NO UPC-CATALOG ID pair MATCH in Release_Label" )</f>
        <v/>
      </c>
      <c r="D320" s="121" t="str">
        <f t="array" ref="D320">ifs(and(isblank($A320),isblank($B320)),"", not(iserror(vlookup($A320&amp;$B320,'3) Release_Label'!$D:$D&amp;'3) Release_Label'!$E:$E,1,0))),vlookup($A320&amp;$B320,{'3) Release_Label'!$D:$D&amp;'3) Release_Label'!$E:$E,'3) Release_Label'!$H:$H},2,0), or(and(not(isblank($B320)),$B320=$B319,$A320&lt;&gt;$A319),and(not(isblank($A320)),$A320=$A319,$B320&lt;&gt;$B319)),"ID LISTS UNALIGNED",and($A320&lt;&gt;"",countif('3) Release_Label'!$D:$D,$A320)=0),"NO UPC MATCH in Release_Label",and($B320&lt;&gt;"",countif('3) Release_Label'!$E:$E,$B320)=0),"NO CATALOG ID MATCH in Release_Label",iserror(vlookup($A320&amp;$B320,'3) Release_Label'!$D:$D&amp;'3) Release_Label'!$E:$E,1,0)),"NO UPC-CATALOG ID pair MATCH in Release_Label" )</f>
        <v/>
      </c>
      <c r="E320" s="99"/>
      <c r="F320" s="99"/>
      <c r="G320" s="123" t="str">
        <f t="array" ref="G320">ifs(or($F320="",$F320="Main Primary Artist"),$F320,not(iserror(vlookup($F320,'Reference info'!$J$5:$J$8,1,0))),"Key Artist",not(iserror(vlookup($F320,'Reference info'!$J$38:$J$405,1,0))),"Performer",not(iserror(vlookup($F320,'Reference info'!$J$10:$J$36,1,0))),"Producer &amp; Engineer")</f>
        <v/>
      </c>
    </row>
    <row r="321">
      <c r="A321" s="28"/>
      <c r="B321" s="103"/>
      <c r="C321" s="121" t="str">
        <f t="array" ref="C321">ifs(and(isblank($A321),isblank($B321)),"", not(iserror(vlookup($A321&amp;$B321,'3) Release_Label'!$D:$D&amp;'3) Release_Label'!$E:$E,1,0))),vlookup($A321&amp;$B321,{'3) Release_Label'!$D:$D&amp;'3) Release_Label'!$E:$E,'3) Release_Label'!$F:$F},2,0), or(and(not(isblank($B321)),$B321=$B320,$A321&lt;&gt;$A320),and(not(isblank($A321)),$A321=$A320,$B321&lt;&gt;$B320)),"ID LISTS UNALIGNED",and($A321&lt;&gt;"",countif('3) Release_Label'!$D:$D,$A321)=0),"NO UPC MATCH in Release_Label",and($B321&lt;&gt;"",countif('3) Release_Label'!$E:$E,$B321)=0),"NO CATALOG ID MATCH in Release_Label",iserror(vlookup($A321&amp;$B321,'3) Release_Label'!$D:$D&amp;'3) Release_Label'!$E:$E,1,0)),"NO UPC-CATALOG ID pair MATCH in Release_Label" )</f>
        <v/>
      </c>
      <c r="D321" s="121" t="str">
        <f t="array" ref="D321">ifs(and(isblank($A321),isblank($B321)),"", not(iserror(vlookup($A321&amp;$B321,'3) Release_Label'!$D:$D&amp;'3) Release_Label'!$E:$E,1,0))),vlookup($A321&amp;$B321,{'3) Release_Label'!$D:$D&amp;'3) Release_Label'!$E:$E,'3) Release_Label'!$H:$H},2,0), or(and(not(isblank($B321)),$B321=$B320,$A321&lt;&gt;$A320),and(not(isblank($A321)),$A321=$A320,$B321&lt;&gt;$B320)),"ID LISTS UNALIGNED",and($A321&lt;&gt;"",countif('3) Release_Label'!$D:$D,$A321)=0),"NO UPC MATCH in Release_Label",and($B321&lt;&gt;"",countif('3) Release_Label'!$E:$E,$B321)=0),"NO CATALOG ID MATCH in Release_Label",iserror(vlookup($A321&amp;$B321,'3) Release_Label'!$D:$D&amp;'3) Release_Label'!$E:$E,1,0)),"NO UPC-CATALOG ID pair MATCH in Release_Label" )</f>
        <v/>
      </c>
      <c r="E321" s="99"/>
      <c r="F321" s="99"/>
      <c r="G321" s="123" t="str">
        <f t="array" ref="G321">ifs(or($F321="",$F321="Main Primary Artist"),$F321,not(iserror(vlookup($F321,'Reference info'!$J$5:$J$8,1,0))),"Key Artist",not(iserror(vlookup($F321,'Reference info'!$J$38:$J$405,1,0))),"Performer",not(iserror(vlookup($F321,'Reference info'!$J$10:$J$36,1,0))),"Producer &amp; Engineer")</f>
        <v/>
      </c>
    </row>
    <row r="322">
      <c r="A322" s="28"/>
      <c r="B322" s="103"/>
      <c r="C322" s="121" t="str">
        <f t="array" ref="C322">ifs(and(isblank($A322),isblank($B322)),"", not(iserror(vlookup($A322&amp;$B322,'3) Release_Label'!$D:$D&amp;'3) Release_Label'!$E:$E,1,0))),vlookup($A322&amp;$B322,{'3) Release_Label'!$D:$D&amp;'3) Release_Label'!$E:$E,'3) Release_Label'!$F:$F},2,0), or(and(not(isblank($B322)),$B322=$B321,$A322&lt;&gt;$A321),and(not(isblank($A322)),$A322=$A321,$B322&lt;&gt;$B321)),"ID LISTS UNALIGNED",and($A322&lt;&gt;"",countif('3) Release_Label'!$D:$D,$A322)=0),"NO UPC MATCH in Release_Label",and($B322&lt;&gt;"",countif('3) Release_Label'!$E:$E,$B322)=0),"NO CATALOG ID MATCH in Release_Label",iserror(vlookup($A322&amp;$B322,'3) Release_Label'!$D:$D&amp;'3) Release_Label'!$E:$E,1,0)),"NO UPC-CATALOG ID pair MATCH in Release_Label" )</f>
        <v/>
      </c>
      <c r="D322" s="121" t="str">
        <f t="array" ref="D322">ifs(and(isblank($A322),isblank($B322)),"", not(iserror(vlookup($A322&amp;$B322,'3) Release_Label'!$D:$D&amp;'3) Release_Label'!$E:$E,1,0))),vlookup($A322&amp;$B322,{'3) Release_Label'!$D:$D&amp;'3) Release_Label'!$E:$E,'3) Release_Label'!$H:$H},2,0), or(and(not(isblank($B322)),$B322=$B321,$A322&lt;&gt;$A321),and(not(isblank($A322)),$A322=$A321,$B322&lt;&gt;$B321)),"ID LISTS UNALIGNED",and($A322&lt;&gt;"",countif('3) Release_Label'!$D:$D,$A322)=0),"NO UPC MATCH in Release_Label",and($B322&lt;&gt;"",countif('3) Release_Label'!$E:$E,$B322)=0),"NO CATALOG ID MATCH in Release_Label",iserror(vlookup($A322&amp;$B322,'3) Release_Label'!$D:$D&amp;'3) Release_Label'!$E:$E,1,0)),"NO UPC-CATALOG ID pair MATCH in Release_Label" )</f>
        <v/>
      </c>
      <c r="E322" s="99"/>
      <c r="F322" s="99"/>
      <c r="G322" s="123" t="str">
        <f t="array" ref="G322">ifs(or($F322="",$F322="Main Primary Artist"),$F322,not(iserror(vlookup($F322,'Reference info'!$J$5:$J$8,1,0))),"Key Artist",not(iserror(vlookup($F322,'Reference info'!$J$38:$J$405,1,0))),"Performer",not(iserror(vlookup($F322,'Reference info'!$J$10:$J$36,1,0))),"Producer &amp; Engineer")</f>
        <v/>
      </c>
    </row>
    <row r="323">
      <c r="A323" s="28"/>
      <c r="B323" s="103"/>
      <c r="C323" s="121" t="str">
        <f t="array" ref="C323">ifs(and(isblank($A323),isblank($B323)),"", not(iserror(vlookup($A323&amp;$B323,'3) Release_Label'!$D:$D&amp;'3) Release_Label'!$E:$E,1,0))),vlookup($A323&amp;$B323,{'3) Release_Label'!$D:$D&amp;'3) Release_Label'!$E:$E,'3) Release_Label'!$F:$F},2,0), or(and(not(isblank($B323)),$B323=$B322,$A323&lt;&gt;$A322),and(not(isblank($A323)),$A323=$A322,$B323&lt;&gt;$B322)),"ID LISTS UNALIGNED",and($A323&lt;&gt;"",countif('3) Release_Label'!$D:$D,$A323)=0),"NO UPC MATCH in Release_Label",and($B323&lt;&gt;"",countif('3) Release_Label'!$E:$E,$B323)=0),"NO CATALOG ID MATCH in Release_Label",iserror(vlookup($A323&amp;$B323,'3) Release_Label'!$D:$D&amp;'3) Release_Label'!$E:$E,1,0)),"NO UPC-CATALOG ID pair MATCH in Release_Label" )</f>
        <v/>
      </c>
      <c r="D323" s="121" t="str">
        <f t="array" ref="D323">ifs(and(isblank($A323),isblank($B323)),"", not(iserror(vlookup($A323&amp;$B323,'3) Release_Label'!$D:$D&amp;'3) Release_Label'!$E:$E,1,0))),vlookup($A323&amp;$B323,{'3) Release_Label'!$D:$D&amp;'3) Release_Label'!$E:$E,'3) Release_Label'!$H:$H},2,0), or(and(not(isblank($B323)),$B323=$B322,$A323&lt;&gt;$A322),and(not(isblank($A323)),$A323=$A322,$B323&lt;&gt;$B322)),"ID LISTS UNALIGNED",and($A323&lt;&gt;"",countif('3) Release_Label'!$D:$D,$A323)=0),"NO UPC MATCH in Release_Label",and($B323&lt;&gt;"",countif('3) Release_Label'!$E:$E,$B323)=0),"NO CATALOG ID MATCH in Release_Label",iserror(vlookup($A323&amp;$B323,'3) Release_Label'!$D:$D&amp;'3) Release_Label'!$E:$E,1,0)),"NO UPC-CATALOG ID pair MATCH in Release_Label" )</f>
        <v/>
      </c>
      <c r="E323" s="99"/>
      <c r="F323" s="99"/>
      <c r="G323" s="123" t="str">
        <f t="array" ref="G323">ifs(or($F323="",$F323="Main Primary Artist"),$F323,not(iserror(vlookup($F323,'Reference info'!$J$5:$J$8,1,0))),"Key Artist",not(iserror(vlookup($F323,'Reference info'!$J$38:$J$405,1,0))),"Performer",not(iserror(vlookup($F323,'Reference info'!$J$10:$J$36,1,0))),"Producer &amp; Engineer")</f>
        <v/>
      </c>
    </row>
    <row r="324">
      <c r="A324" s="28"/>
      <c r="B324" s="103"/>
      <c r="C324" s="121" t="str">
        <f t="array" ref="C324">ifs(and(isblank($A324),isblank($B324)),"", not(iserror(vlookup($A324&amp;$B324,'3) Release_Label'!$D:$D&amp;'3) Release_Label'!$E:$E,1,0))),vlookup($A324&amp;$B324,{'3) Release_Label'!$D:$D&amp;'3) Release_Label'!$E:$E,'3) Release_Label'!$F:$F},2,0), or(and(not(isblank($B324)),$B324=$B323,$A324&lt;&gt;$A323),and(not(isblank($A324)),$A324=$A323,$B324&lt;&gt;$B323)),"ID LISTS UNALIGNED",and($A324&lt;&gt;"",countif('3) Release_Label'!$D:$D,$A324)=0),"NO UPC MATCH in Release_Label",and($B324&lt;&gt;"",countif('3) Release_Label'!$E:$E,$B324)=0),"NO CATALOG ID MATCH in Release_Label",iserror(vlookup($A324&amp;$B324,'3) Release_Label'!$D:$D&amp;'3) Release_Label'!$E:$E,1,0)),"NO UPC-CATALOG ID pair MATCH in Release_Label" )</f>
        <v/>
      </c>
      <c r="D324" s="121" t="str">
        <f t="array" ref="D324">ifs(and(isblank($A324),isblank($B324)),"", not(iserror(vlookup($A324&amp;$B324,'3) Release_Label'!$D:$D&amp;'3) Release_Label'!$E:$E,1,0))),vlookup($A324&amp;$B324,{'3) Release_Label'!$D:$D&amp;'3) Release_Label'!$E:$E,'3) Release_Label'!$H:$H},2,0), or(and(not(isblank($B324)),$B324=$B323,$A324&lt;&gt;$A323),and(not(isblank($A324)),$A324=$A323,$B324&lt;&gt;$B323)),"ID LISTS UNALIGNED",and($A324&lt;&gt;"",countif('3) Release_Label'!$D:$D,$A324)=0),"NO UPC MATCH in Release_Label",and($B324&lt;&gt;"",countif('3) Release_Label'!$E:$E,$B324)=0),"NO CATALOG ID MATCH in Release_Label",iserror(vlookup($A324&amp;$B324,'3) Release_Label'!$D:$D&amp;'3) Release_Label'!$E:$E,1,0)),"NO UPC-CATALOG ID pair MATCH in Release_Label" )</f>
        <v/>
      </c>
      <c r="E324" s="99"/>
      <c r="F324" s="99"/>
      <c r="G324" s="123" t="str">
        <f t="array" ref="G324">ifs(or($F324="",$F324="Main Primary Artist"),$F324,not(iserror(vlookup($F324,'Reference info'!$J$5:$J$8,1,0))),"Key Artist",not(iserror(vlookup($F324,'Reference info'!$J$38:$J$405,1,0))),"Performer",not(iserror(vlookup($F324,'Reference info'!$J$10:$J$36,1,0))),"Producer &amp; Engineer")</f>
        <v/>
      </c>
    </row>
    <row r="325">
      <c r="A325" s="28"/>
      <c r="B325" s="103"/>
      <c r="C325" s="121" t="str">
        <f t="array" ref="C325">ifs(and(isblank($A325),isblank($B325)),"", not(iserror(vlookup($A325&amp;$B325,'3) Release_Label'!$D:$D&amp;'3) Release_Label'!$E:$E,1,0))),vlookup($A325&amp;$B325,{'3) Release_Label'!$D:$D&amp;'3) Release_Label'!$E:$E,'3) Release_Label'!$F:$F},2,0), or(and(not(isblank($B325)),$B325=$B324,$A325&lt;&gt;$A324),and(not(isblank($A325)),$A325=$A324,$B325&lt;&gt;$B324)),"ID LISTS UNALIGNED",and($A325&lt;&gt;"",countif('3) Release_Label'!$D:$D,$A325)=0),"NO UPC MATCH in Release_Label",and($B325&lt;&gt;"",countif('3) Release_Label'!$E:$E,$B325)=0),"NO CATALOG ID MATCH in Release_Label",iserror(vlookup($A325&amp;$B325,'3) Release_Label'!$D:$D&amp;'3) Release_Label'!$E:$E,1,0)),"NO UPC-CATALOG ID pair MATCH in Release_Label" )</f>
        <v/>
      </c>
      <c r="D325" s="121" t="str">
        <f t="array" ref="D325">ifs(and(isblank($A325),isblank($B325)),"", not(iserror(vlookup($A325&amp;$B325,'3) Release_Label'!$D:$D&amp;'3) Release_Label'!$E:$E,1,0))),vlookup($A325&amp;$B325,{'3) Release_Label'!$D:$D&amp;'3) Release_Label'!$E:$E,'3) Release_Label'!$H:$H},2,0), or(and(not(isblank($B325)),$B325=$B324,$A325&lt;&gt;$A324),and(not(isblank($A325)),$A325=$A324,$B325&lt;&gt;$B324)),"ID LISTS UNALIGNED",and($A325&lt;&gt;"",countif('3) Release_Label'!$D:$D,$A325)=0),"NO UPC MATCH in Release_Label",and($B325&lt;&gt;"",countif('3) Release_Label'!$E:$E,$B325)=0),"NO CATALOG ID MATCH in Release_Label",iserror(vlookup($A325&amp;$B325,'3) Release_Label'!$D:$D&amp;'3) Release_Label'!$E:$E,1,0)),"NO UPC-CATALOG ID pair MATCH in Release_Label" )</f>
        <v/>
      </c>
      <c r="E325" s="99"/>
      <c r="F325" s="99"/>
      <c r="G325" s="123" t="str">
        <f t="array" ref="G325">ifs(or($F325="",$F325="Main Primary Artist"),$F325,not(iserror(vlookup($F325,'Reference info'!$J$5:$J$8,1,0))),"Key Artist",not(iserror(vlookup($F325,'Reference info'!$J$38:$J$405,1,0))),"Performer",not(iserror(vlookup($F325,'Reference info'!$J$10:$J$36,1,0))),"Producer &amp; Engineer")</f>
        <v/>
      </c>
    </row>
    <row r="326">
      <c r="A326" s="28"/>
      <c r="B326" s="103"/>
      <c r="C326" s="121" t="str">
        <f t="array" ref="C326">ifs(and(isblank($A326),isblank($B326)),"", not(iserror(vlookup($A326&amp;$B326,'3) Release_Label'!$D:$D&amp;'3) Release_Label'!$E:$E,1,0))),vlookup($A326&amp;$B326,{'3) Release_Label'!$D:$D&amp;'3) Release_Label'!$E:$E,'3) Release_Label'!$F:$F},2,0), or(and(not(isblank($B326)),$B326=$B325,$A326&lt;&gt;$A325),and(not(isblank($A326)),$A326=$A325,$B326&lt;&gt;$B325)),"ID LISTS UNALIGNED",and($A326&lt;&gt;"",countif('3) Release_Label'!$D:$D,$A326)=0),"NO UPC MATCH in Release_Label",and($B326&lt;&gt;"",countif('3) Release_Label'!$E:$E,$B326)=0),"NO CATALOG ID MATCH in Release_Label",iserror(vlookup($A326&amp;$B326,'3) Release_Label'!$D:$D&amp;'3) Release_Label'!$E:$E,1,0)),"NO UPC-CATALOG ID pair MATCH in Release_Label" )</f>
        <v/>
      </c>
      <c r="D326" s="121" t="str">
        <f t="array" ref="D326">ifs(and(isblank($A326),isblank($B326)),"", not(iserror(vlookup($A326&amp;$B326,'3) Release_Label'!$D:$D&amp;'3) Release_Label'!$E:$E,1,0))),vlookup($A326&amp;$B326,{'3) Release_Label'!$D:$D&amp;'3) Release_Label'!$E:$E,'3) Release_Label'!$H:$H},2,0), or(and(not(isblank($B326)),$B326=$B325,$A326&lt;&gt;$A325),and(not(isblank($A326)),$A326=$A325,$B326&lt;&gt;$B325)),"ID LISTS UNALIGNED",and($A326&lt;&gt;"",countif('3) Release_Label'!$D:$D,$A326)=0),"NO UPC MATCH in Release_Label",and($B326&lt;&gt;"",countif('3) Release_Label'!$E:$E,$B326)=0),"NO CATALOG ID MATCH in Release_Label",iserror(vlookup($A326&amp;$B326,'3) Release_Label'!$D:$D&amp;'3) Release_Label'!$E:$E,1,0)),"NO UPC-CATALOG ID pair MATCH in Release_Label" )</f>
        <v/>
      </c>
      <c r="E326" s="99"/>
      <c r="F326" s="99"/>
      <c r="G326" s="123" t="str">
        <f t="array" ref="G326">ifs(or($F326="",$F326="Main Primary Artist"),$F326,not(iserror(vlookup($F326,'Reference info'!$J$5:$J$8,1,0))),"Key Artist",not(iserror(vlookup($F326,'Reference info'!$J$38:$J$405,1,0))),"Performer",not(iserror(vlookup($F326,'Reference info'!$J$10:$J$36,1,0))),"Producer &amp; Engineer")</f>
        <v/>
      </c>
    </row>
    <row r="327">
      <c r="A327" s="28"/>
      <c r="B327" s="103"/>
      <c r="C327" s="121" t="str">
        <f t="array" ref="C327">ifs(and(isblank($A327),isblank($B327)),"", not(iserror(vlookup($A327&amp;$B327,'3) Release_Label'!$D:$D&amp;'3) Release_Label'!$E:$E,1,0))),vlookup($A327&amp;$B327,{'3) Release_Label'!$D:$D&amp;'3) Release_Label'!$E:$E,'3) Release_Label'!$F:$F},2,0), or(and(not(isblank($B327)),$B327=$B326,$A327&lt;&gt;$A326),and(not(isblank($A327)),$A327=$A326,$B327&lt;&gt;$B326)),"ID LISTS UNALIGNED",and($A327&lt;&gt;"",countif('3) Release_Label'!$D:$D,$A327)=0),"NO UPC MATCH in Release_Label",and($B327&lt;&gt;"",countif('3) Release_Label'!$E:$E,$B327)=0),"NO CATALOG ID MATCH in Release_Label",iserror(vlookup($A327&amp;$B327,'3) Release_Label'!$D:$D&amp;'3) Release_Label'!$E:$E,1,0)),"NO UPC-CATALOG ID pair MATCH in Release_Label" )</f>
        <v/>
      </c>
      <c r="D327" s="121" t="str">
        <f t="array" ref="D327">ifs(and(isblank($A327),isblank($B327)),"", not(iserror(vlookup($A327&amp;$B327,'3) Release_Label'!$D:$D&amp;'3) Release_Label'!$E:$E,1,0))),vlookup($A327&amp;$B327,{'3) Release_Label'!$D:$D&amp;'3) Release_Label'!$E:$E,'3) Release_Label'!$H:$H},2,0), or(and(not(isblank($B327)),$B327=$B326,$A327&lt;&gt;$A326),and(not(isblank($A327)),$A327=$A326,$B327&lt;&gt;$B326)),"ID LISTS UNALIGNED",and($A327&lt;&gt;"",countif('3) Release_Label'!$D:$D,$A327)=0),"NO UPC MATCH in Release_Label",and($B327&lt;&gt;"",countif('3) Release_Label'!$E:$E,$B327)=0),"NO CATALOG ID MATCH in Release_Label",iserror(vlookup($A327&amp;$B327,'3) Release_Label'!$D:$D&amp;'3) Release_Label'!$E:$E,1,0)),"NO UPC-CATALOG ID pair MATCH in Release_Label" )</f>
        <v/>
      </c>
      <c r="E327" s="99"/>
      <c r="F327" s="99"/>
      <c r="G327" s="123" t="str">
        <f t="array" ref="G327">ifs(or($F327="",$F327="Main Primary Artist"),$F327,not(iserror(vlookup($F327,'Reference info'!$J$5:$J$8,1,0))),"Key Artist",not(iserror(vlookup($F327,'Reference info'!$J$38:$J$405,1,0))),"Performer",not(iserror(vlookup($F327,'Reference info'!$J$10:$J$36,1,0))),"Producer &amp; Engineer")</f>
        <v/>
      </c>
    </row>
    <row r="328">
      <c r="A328" s="28"/>
      <c r="B328" s="103"/>
      <c r="C328" s="121" t="str">
        <f t="array" ref="C328">ifs(and(isblank($A328),isblank($B328)),"", not(iserror(vlookup($A328&amp;$B328,'3) Release_Label'!$D:$D&amp;'3) Release_Label'!$E:$E,1,0))),vlookup($A328&amp;$B328,{'3) Release_Label'!$D:$D&amp;'3) Release_Label'!$E:$E,'3) Release_Label'!$F:$F},2,0), or(and(not(isblank($B328)),$B328=$B327,$A328&lt;&gt;$A327),and(not(isblank($A328)),$A328=$A327,$B328&lt;&gt;$B327)),"ID LISTS UNALIGNED",and($A328&lt;&gt;"",countif('3) Release_Label'!$D:$D,$A328)=0),"NO UPC MATCH in Release_Label",and($B328&lt;&gt;"",countif('3) Release_Label'!$E:$E,$B328)=0),"NO CATALOG ID MATCH in Release_Label",iserror(vlookup($A328&amp;$B328,'3) Release_Label'!$D:$D&amp;'3) Release_Label'!$E:$E,1,0)),"NO UPC-CATALOG ID pair MATCH in Release_Label" )</f>
        <v/>
      </c>
      <c r="D328" s="121" t="str">
        <f t="array" ref="D328">ifs(and(isblank($A328),isblank($B328)),"", not(iserror(vlookup($A328&amp;$B328,'3) Release_Label'!$D:$D&amp;'3) Release_Label'!$E:$E,1,0))),vlookup($A328&amp;$B328,{'3) Release_Label'!$D:$D&amp;'3) Release_Label'!$E:$E,'3) Release_Label'!$H:$H},2,0), or(and(not(isblank($B328)),$B328=$B327,$A328&lt;&gt;$A327),and(not(isblank($A328)),$A328=$A327,$B328&lt;&gt;$B327)),"ID LISTS UNALIGNED",and($A328&lt;&gt;"",countif('3) Release_Label'!$D:$D,$A328)=0),"NO UPC MATCH in Release_Label",and($B328&lt;&gt;"",countif('3) Release_Label'!$E:$E,$B328)=0),"NO CATALOG ID MATCH in Release_Label",iserror(vlookup($A328&amp;$B328,'3) Release_Label'!$D:$D&amp;'3) Release_Label'!$E:$E,1,0)),"NO UPC-CATALOG ID pair MATCH in Release_Label" )</f>
        <v/>
      </c>
      <c r="E328" s="99"/>
      <c r="F328" s="99"/>
      <c r="G328" s="123" t="str">
        <f t="array" ref="G328">ifs(or($F328="",$F328="Main Primary Artist"),$F328,not(iserror(vlookup($F328,'Reference info'!$J$5:$J$8,1,0))),"Key Artist",not(iserror(vlookup($F328,'Reference info'!$J$38:$J$405,1,0))),"Performer",not(iserror(vlookup($F328,'Reference info'!$J$10:$J$36,1,0))),"Producer &amp; Engineer")</f>
        <v/>
      </c>
    </row>
    <row r="329">
      <c r="A329" s="28"/>
      <c r="B329" s="103"/>
      <c r="C329" s="121" t="str">
        <f t="array" ref="C329">ifs(and(isblank($A329),isblank($B329)),"", not(iserror(vlookup($A329&amp;$B329,'3) Release_Label'!$D:$D&amp;'3) Release_Label'!$E:$E,1,0))),vlookup($A329&amp;$B329,{'3) Release_Label'!$D:$D&amp;'3) Release_Label'!$E:$E,'3) Release_Label'!$F:$F},2,0), or(and(not(isblank($B329)),$B329=$B328,$A329&lt;&gt;$A328),and(not(isblank($A329)),$A329=$A328,$B329&lt;&gt;$B328)),"ID LISTS UNALIGNED",and($A329&lt;&gt;"",countif('3) Release_Label'!$D:$D,$A329)=0),"NO UPC MATCH in Release_Label",and($B329&lt;&gt;"",countif('3) Release_Label'!$E:$E,$B329)=0),"NO CATALOG ID MATCH in Release_Label",iserror(vlookup($A329&amp;$B329,'3) Release_Label'!$D:$D&amp;'3) Release_Label'!$E:$E,1,0)),"NO UPC-CATALOG ID pair MATCH in Release_Label" )</f>
        <v/>
      </c>
      <c r="D329" s="121" t="str">
        <f t="array" ref="D329">ifs(and(isblank($A329),isblank($B329)),"", not(iserror(vlookup($A329&amp;$B329,'3) Release_Label'!$D:$D&amp;'3) Release_Label'!$E:$E,1,0))),vlookup($A329&amp;$B329,{'3) Release_Label'!$D:$D&amp;'3) Release_Label'!$E:$E,'3) Release_Label'!$H:$H},2,0), or(and(not(isblank($B329)),$B329=$B328,$A329&lt;&gt;$A328),and(not(isblank($A329)),$A329=$A328,$B329&lt;&gt;$B328)),"ID LISTS UNALIGNED",and($A329&lt;&gt;"",countif('3) Release_Label'!$D:$D,$A329)=0),"NO UPC MATCH in Release_Label",and($B329&lt;&gt;"",countif('3) Release_Label'!$E:$E,$B329)=0),"NO CATALOG ID MATCH in Release_Label",iserror(vlookup($A329&amp;$B329,'3) Release_Label'!$D:$D&amp;'3) Release_Label'!$E:$E,1,0)),"NO UPC-CATALOG ID pair MATCH in Release_Label" )</f>
        <v/>
      </c>
      <c r="E329" s="99"/>
      <c r="F329" s="99"/>
      <c r="G329" s="123" t="str">
        <f t="array" ref="G329">ifs(or($F329="",$F329="Main Primary Artist"),$F329,not(iserror(vlookup($F329,'Reference info'!$J$5:$J$8,1,0))),"Key Artist",not(iserror(vlookup($F329,'Reference info'!$J$38:$J$405,1,0))),"Performer",not(iserror(vlookup($F329,'Reference info'!$J$10:$J$36,1,0))),"Producer &amp; Engineer")</f>
        <v/>
      </c>
    </row>
    <row r="330">
      <c r="A330" s="28"/>
      <c r="B330" s="103"/>
      <c r="C330" s="121" t="str">
        <f t="array" ref="C330">ifs(and(isblank($A330),isblank($B330)),"", not(iserror(vlookup($A330&amp;$B330,'3) Release_Label'!$D:$D&amp;'3) Release_Label'!$E:$E,1,0))),vlookup($A330&amp;$B330,{'3) Release_Label'!$D:$D&amp;'3) Release_Label'!$E:$E,'3) Release_Label'!$F:$F},2,0), or(and(not(isblank($B330)),$B330=$B329,$A330&lt;&gt;$A329),and(not(isblank($A330)),$A330=$A329,$B330&lt;&gt;$B329)),"ID LISTS UNALIGNED",and($A330&lt;&gt;"",countif('3) Release_Label'!$D:$D,$A330)=0),"NO UPC MATCH in Release_Label",and($B330&lt;&gt;"",countif('3) Release_Label'!$E:$E,$B330)=0),"NO CATALOG ID MATCH in Release_Label",iserror(vlookup($A330&amp;$B330,'3) Release_Label'!$D:$D&amp;'3) Release_Label'!$E:$E,1,0)),"NO UPC-CATALOG ID pair MATCH in Release_Label" )</f>
        <v/>
      </c>
      <c r="D330" s="121" t="str">
        <f t="array" ref="D330">ifs(and(isblank($A330),isblank($B330)),"", not(iserror(vlookup($A330&amp;$B330,'3) Release_Label'!$D:$D&amp;'3) Release_Label'!$E:$E,1,0))),vlookup($A330&amp;$B330,{'3) Release_Label'!$D:$D&amp;'3) Release_Label'!$E:$E,'3) Release_Label'!$H:$H},2,0), or(and(not(isblank($B330)),$B330=$B329,$A330&lt;&gt;$A329),and(not(isblank($A330)),$A330=$A329,$B330&lt;&gt;$B329)),"ID LISTS UNALIGNED",and($A330&lt;&gt;"",countif('3) Release_Label'!$D:$D,$A330)=0),"NO UPC MATCH in Release_Label",and($B330&lt;&gt;"",countif('3) Release_Label'!$E:$E,$B330)=0),"NO CATALOG ID MATCH in Release_Label",iserror(vlookup($A330&amp;$B330,'3) Release_Label'!$D:$D&amp;'3) Release_Label'!$E:$E,1,0)),"NO UPC-CATALOG ID pair MATCH in Release_Label" )</f>
        <v/>
      </c>
      <c r="E330" s="99"/>
      <c r="F330" s="99"/>
      <c r="G330" s="123" t="str">
        <f t="array" ref="G330">ifs(or($F330="",$F330="Main Primary Artist"),$F330,not(iserror(vlookup($F330,'Reference info'!$J$5:$J$8,1,0))),"Key Artist",not(iserror(vlookup($F330,'Reference info'!$J$38:$J$405,1,0))),"Performer",not(iserror(vlookup($F330,'Reference info'!$J$10:$J$36,1,0))),"Producer &amp; Engineer")</f>
        <v/>
      </c>
    </row>
    <row r="331">
      <c r="A331" s="28"/>
      <c r="B331" s="103"/>
      <c r="C331" s="121" t="str">
        <f t="array" ref="C331">ifs(and(isblank($A331),isblank($B331)),"", not(iserror(vlookup($A331&amp;$B331,'3) Release_Label'!$D:$D&amp;'3) Release_Label'!$E:$E,1,0))),vlookup($A331&amp;$B331,{'3) Release_Label'!$D:$D&amp;'3) Release_Label'!$E:$E,'3) Release_Label'!$F:$F},2,0), or(and(not(isblank($B331)),$B331=$B330,$A331&lt;&gt;$A330),and(not(isblank($A331)),$A331=$A330,$B331&lt;&gt;$B330)),"ID LISTS UNALIGNED",and($A331&lt;&gt;"",countif('3) Release_Label'!$D:$D,$A331)=0),"NO UPC MATCH in Release_Label",and($B331&lt;&gt;"",countif('3) Release_Label'!$E:$E,$B331)=0),"NO CATALOG ID MATCH in Release_Label",iserror(vlookup($A331&amp;$B331,'3) Release_Label'!$D:$D&amp;'3) Release_Label'!$E:$E,1,0)),"NO UPC-CATALOG ID pair MATCH in Release_Label" )</f>
        <v/>
      </c>
      <c r="D331" s="121" t="str">
        <f t="array" ref="D331">ifs(and(isblank($A331),isblank($B331)),"", not(iserror(vlookup($A331&amp;$B331,'3) Release_Label'!$D:$D&amp;'3) Release_Label'!$E:$E,1,0))),vlookup($A331&amp;$B331,{'3) Release_Label'!$D:$D&amp;'3) Release_Label'!$E:$E,'3) Release_Label'!$H:$H},2,0), or(and(not(isblank($B331)),$B331=$B330,$A331&lt;&gt;$A330),and(not(isblank($A331)),$A331=$A330,$B331&lt;&gt;$B330)),"ID LISTS UNALIGNED",and($A331&lt;&gt;"",countif('3) Release_Label'!$D:$D,$A331)=0),"NO UPC MATCH in Release_Label",and($B331&lt;&gt;"",countif('3) Release_Label'!$E:$E,$B331)=0),"NO CATALOG ID MATCH in Release_Label",iserror(vlookup($A331&amp;$B331,'3) Release_Label'!$D:$D&amp;'3) Release_Label'!$E:$E,1,0)),"NO UPC-CATALOG ID pair MATCH in Release_Label" )</f>
        <v/>
      </c>
      <c r="E331" s="99"/>
      <c r="F331" s="99"/>
      <c r="G331" s="123" t="str">
        <f t="array" ref="G331">ifs(or($F331="",$F331="Main Primary Artist"),$F331,not(iserror(vlookup($F331,'Reference info'!$J$5:$J$8,1,0))),"Key Artist",not(iserror(vlookup($F331,'Reference info'!$J$38:$J$405,1,0))),"Performer",not(iserror(vlookup($F331,'Reference info'!$J$10:$J$36,1,0))),"Producer &amp; Engineer")</f>
        <v/>
      </c>
    </row>
    <row r="332">
      <c r="A332" s="28"/>
      <c r="B332" s="103"/>
      <c r="C332" s="121" t="str">
        <f t="array" ref="C332">ifs(and(isblank($A332),isblank($B332)),"", not(iserror(vlookup($A332&amp;$B332,'3) Release_Label'!$D:$D&amp;'3) Release_Label'!$E:$E,1,0))),vlookup($A332&amp;$B332,{'3) Release_Label'!$D:$D&amp;'3) Release_Label'!$E:$E,'3) Release_Label'!$F:$F},2,0), or(and(not(isblank($B332)),$B332=$B331,$A332&lt;&gt;$A331),and(not(isblank($A332)),$A332=$A331,$B332&lt;&gt;$B331)),"ID LISTS UNALIGNED",and($A332&lt;&gt;"",countif('3) Release_Label'!$D:$D,$A332)=0),"NO UPC MATCH in Release_Label",and($B332&lt;&gt;"",countif('3) Release_Label'!$E:$E,$B332)=0),"NO CATALOG ID MATCH in Release_Label",iserror(vlookup($A332&amp;$B332,'3) Release_Label'!$D:$D&amp;'3) Release_Label'!$E:$E,1,0)),"NO UPC-CATALOG ID pair MATCH in Release_Label" )</f>
        <v/>
      </c>
      <c r="D332" s="121" t="str">
        <f t="array" ref="D332">ifs(and(isblank($A332),isblank($B332)),"", not(iserror(vlookup($A332&amp;$B332,'3) Release_Label'!$D:$D&amp;'3) Release_Label'!$E:$E,1,0))),vlookup($A332&amp;$B332,{'3) Release_Label'!$D:$D&amp;'3) Release_Label'!$E:$E,'3) Release_Label'!$H:$H},2,0), or(and(not(isblank($B332)),$B332=$B331,$A332&lt;&gt;$A331),and(not(isblank($A332)),$A332=$A331,$B332&lt;&gt;$B331)),"ID LISTS UNALIGNED",and($A332&lt;&gt;"",countif('3) Release_Label'!$D:$D,$A332)=0),"NO UPC MATCH in Release_Label",and($B332&lt;&gt;"",countif('3) Release_Label'!$E:$E,$B332)=0),"NO CATALOG ID MATCH in Release_Label",iserror(vlookup($A332&amp;$B332,'3) Release_Label'!$D:$D&amp;'3) Release_Label'!$E:$E,1,0)),"NO UPC-CATALOG ID pair MATCH in Release_Label" )</f>
        <v/>
      </c>
      <c r="E332" s="99"/>
      <c r="F332" s="99"/>
      <c r="G332" s="123" t="str">
        <f t="array" ref="G332">ifs(or($F332="",$F332="Main Primary Artist"),$F332,not(iserror(vlookup($F332,'Reference info'!$J$5:$J$8,1,0))),"Key Artist",not(iserror(vlookup($F332,'Reference info'!$J$38:$J$405,1,0))),"Performer",not(iserror(vlookup($F332,'Reference info'!$J$10:$J$36,1,0))),"Producer &amp; Engineer")</f>
        <v/>
      </c>
    </row>
    <row r="333">
      <c r="A333" s="28"/>
      <c r="B333" s="103"/>
      <c r="C333" s="121" t="str">
        <f t="array" ref="C333">ifs(and(isblank($A333),isblank($B333)),"", not(iserror(vlookup($A333&amp;$B333,'3) Release_Label'!$D:$D&amp;'3) Release_Label'!$E:$E,1,0))),vlookup($A333&amp;$B333,{'3) Release_Label'!$D:$D&amp;'3) Release_Label'!$E:$E,'3) Release_Label'!$F:$F},2,0), or(and(not(isblank($B333)),$B333=$B332,$A333&lt;&gt;$A332),and(not(isblank($A333)),$A333=$A332,$B333&lt;&gt;$B332)),"ID LISTS UNALIGNED",and($A333&lt;&gt;"",countif('3) Release_Label'!$D:$D,$A333)=0),"NO UPC MATCH in Release_Label",and($B333&lt;&gt;"",countif('3) Release_Label'!$E:$E,$B333)=0),"NO CATALOG ID MATCH in Release_Label",iserror(vlookup($A333&amp;$B333,'3) Release_Label'!$D:$D&amp;'3) Release_Label'!$E:$E,1,0)),"NO UPC-CATALOG ID pair MATCH in Release_Label" )</f>
        <v/>
      </c>
      <c r="D333" s="121" t="str">
        <f t="array" ref="D333">ifs(and(isblank($A333),isblank($B333)),"", not(iserror(vlookup($A333&amp;$B333,'3) Release_Label'!$D:$D&amp;'3) Release_Label'!$E:$E,1,0))),vlookup($A333&amp;$B333,{'3) Release_Label'!$D:$D&amp;'3) Release_Label'!$E:$E,'3) Release_Label'!$H:$H},2,0), or(and(not(isblank($B333)),$B333=$B332,$A333&lt;&gt;$A332),and(not(isblank($A333)),$A333=$A332,$B333&lt;&gt;$B332)),"ID LISTS UNALIGNED",and($A333&lt;&gt;"",countif('3) Release_Label'!$D:$D,$A333)=0),"NO UPC MATCH in Release_Label",and($B333&lt;&gt;"",countif('3) Release_Label'!$E:$E,$B333)=0),"NO CATALOG ID MATCH in Release_Label",iserror(vlookup($A333&amp;$B333,'3) Release_Label'!$D:$D&amp;'3) Release_Label'!$E:$E,1,0)),"NO UPC-CATALOG ID pair MATCH in Release_Label" )</f>
        <v/>
      </c>
      <c r="E333" s="99"/>
      <c r="F333" s="99"/>
      <c r="G333" s="123" t="str">
        <f t="array" ref="G333">ifs(or($F333="",$F333="Main Primary Artist"),$F333,not(iserror(vlookup($F333,'Reference info'!$J$5:$J$8,1,0))),"Key Artist",not(iserror(vlookup($F333,'Reference info'!$J$38:$J$405,1,0))),"Performer",not(iserror(vlookup($F333,'Reference info'!$J$10:$J$36,1,0))),"Producer &amp; Engineer")</f>
        <v/>
      </c>
    </row>
    <row r="334">
      <c r="A334" s="28"/>
      <c r="B334" s="103"/>
      <c r="C334" s="121" t="str">
        <f t="array" ref="C334">ifs(and(isblank($A334),isblank($B334)),"", not(iserror(vlookup($A334&amp;$B334,'3) Release_Label'!$D:$D&amp;'3) Release_Label'!$E:$E,1,0))),vlookup($A334&amp;$B334,{'3) Release_Label'!$D:$D&amp;'3) Release_Label'!$E:$E,'3) Release_Label'!$F:$F},2,0), or(and(not(isblank($B334)),$B334=$B333,$A334&lt;&gt;$A333),and(not(isblank($A334)),$A334=$A333,$B334&lt;&gt;$B333)),"ID LISTS UNALIGNED",and($A334&lt;&gt;"",countif('3) Release_Label'!$D:$D,$A334)=0),"NO UPC MATCH in Release_Label",and($B334&lt;&gt;"",countif('3) Release_Label'!$E:$E,$B334)=0),"NO CATALOG ID MATCH in Release_Label",iserror(vlookup($A334&amp;$B334,'3) Release_Label'!$D:$D&amp;'3) Release_Label'!$E:$E,1,0)),"NO UPC-CATALOG ID pair MATCH in Release_Label" )</f>
        <v/>
      </c>
      <c r="D334" s="121" t="str">
        <f t="array" ref="D334">ifs(and(isblank($A334),isblank($B334)),"", not(iserror(vlookup($A334&amp;$B334,'3) Release_Label'!$D:$D&amp;'3) Release_Label'!$E:$E,1,0))),vlookup($A334&amp;$B334,{'3) Release_Label'!$D:$D&amp;'3) Release_Label'!$E:$E,'3) Release_Label'!$H:$H},2,0), or(and(not(isblank($B334)),$B334=$B333,$A334&lt;&gt;$A333),and(not(isblank($A334)),$A334=$A333,$B334&lt;&gt;$B333)),"ID LISTS UNALIGNED",and($A334&lt;&gt;"",countif('3) Release_Label'!$D:$D,$A334)=0),"NO UPC MATCH in Release_Label",and($B334&lt;&gt;"",countif('3) Release_Label'!$E:$E,$B334)=0),"NO CATALOG ID MATCH in Release_Label",iserror(vlookup($A334&amp;$B334,'3) Release_Label'!$D:$D&amp;'3) Release_Label'!$E:$E,1,0)),"NO UPC-CATALOG ID pair MATCH in Release_Label" )</f>
        <v/>
      </c>
      <c r="E334" s="99"/>
      <c r="F334" s="99"/>
      <c r="G334" s="123" t="str">
        <f t="array" ref="G334">ifs(or($F334="",$F334="Main Primary Artist"),$F334,not(iserror(vlookup($F334,'Reference info'!$J$5:$J$8,1,0))),"Key Artist",not(iserror(vlookup($F334,'Reference info'!$J$38:$J$405,1,0))),"Performer",not(iserror(vlookup($F334,'Reference info'!$J$10:$J$36,1,0))),"Producer &amp; Engineer")</f>
        <v/>
      </c>
    </row>
    <row r="335">
      <c r="A335" s="28"/>
      <c r="B335" s="103"/>
      <c r="C335" s="121" t="str">
        <f t="array" ref="C335">ifs(and(isblank($A335),isblank($B335)),"", not(iserror(vlookup($A335&amp;$B335,'3) Release_Label'!$D:$D&amp;'3) Release_Label'!$E:$E,1,0))),vlookup($A335&amp;$B335,{'3) Release_Label'!$D:$D&amp;'3) Release_Label'!$E:$E,'3) Release_Label'!$F:$F},2,0), or(and(not(isblank($B335)),$B335=$B334,$A335&lt;&gt;$A334),and(not(isblank($A335)),$A335=$A334,$B335&lt;&gt;$B334)),"ID LISTS UNALIGNED",and($A335&lt;&gt;"",countif('3) Release_Label'!$D:$D,$A335)=0),"NO UPC MATCH in Release_Label",and($B335&lt;&gt;"",countif('3) Release_Label'!$E:$E,$B335)=0),"NO CATALOG ID MATCH in Release_Label",iserror(vlookup($A335&amp;$B335,'3) Release_Label'!$D:$D&amp;'3) Release_Label'!$E:$E,1,0)),"NO UPC-CATALOG ID pair MATCH in Release_Label" )</f>
        <v/>
      </c>
      <c r="D335" s="121" t="str">
        <f t="array" ref="D335">ifs(and(isblank($A335),isblank($B335)),"", not(iserror(vlookup($A335&amp;$B335,'3) Release_Label'!$D:$D&amp;'3) Release_Label'!$E:$E,1,0))),vlookup($A335&amp;$B335,{'3) Release_Label'!$D:$D&amp;'3) Release_Label'!$E:$E,'3) Release_Label'!$H:$H},2,0), or(and(not(isblank($B335)),$B335=$B334,$A335&lt;&gt;$A334),and(not(isblank($A335)),$A335=$A334,$B335&lt;&gt;$B334)),"ID LISTS UNALIGNED",and($A335&lt;&gt;"",countif('3) Release_Label'!$D:$D,$A335)=0),"NO UPC MATCH in Release_Label",and($B335&lt;&gt;"",countif('3) Release_Label'!$E:$E,$B335)=0),"NO CATALOG ID MATCH in Release_Label",iserror(vlookup($A335&amp;$B335,'3) Release_Label'!$D:$D&amp;'3) Release_Label'!$E:$E,1,0)),"NO UPC-CATALOG ID pair MATCH in Release_Label" )</f>
        <v/>
      </c>
      <c r="E335" s="99"/>
      <c r="F335" s="99"/>
      <c r="G335" s="123" t="str">
        <f t="array" ref="G335">ifs(or($F335="",$F335="Main Primary Artist"),$F335,not(iserror(vlookup($F335,'Reference info'!$J$5:$J$8,1,0))),"Key Artist",not(iserror(vlookup($F335,'Reference info'!$J$38:$J$405,1,0))),"Performer",not(iserror(vlookup($F335,'Reference info'!$J$10:$J$36,1,0))),"Producer &amp; Engineer")</f>
        <v/>
      </c>
    </row>
    <row r="336">
      <c r="A336" s="28"/>
      <c r="B336" s="103"/>
      <c r="C336" s="121" t="str">
        <f t="array" ref="C336">ifs(and(isblank($A336),isblank($B336)),"", not(iserror(vlookup($A336&amp;$B336,'3) Release_Label'!$D:$D&amp;'3) Release_Label'!$E:$E,1,0))),vlookup($A336&amp;$B336,{'3) Release_Label'!$D:$D&amp;'3) Release_Label'!$E:$E,'3) Release_Label'!$F:$F},2,0), or(and(not(isblank($B336)),$B336=$B335,$A336&lt;&gt;$A335),and(not(isblank($A336)),$A336=$A335,$B336&lt;&gt;$B335)),"ID LISTS UNALIGNED",and($A336&lt;&gt;"",countif('3) Release_Label'!$D:$D,$A336)=0),"NO UPC MATCH in Release_Label",and($B336&lt;&gt;"",countif('3) Release_Label'!$E:$E,$B336)=0),"NO CATALOG ID MATCH in Release_Label",iserror(vlookup($A336&amp;$B336,'3) Release_Label'!$D:$D&amp;'3) Release_Label'!$E:$E,1,0)),"NO UPC-CATALOG ID pair MATCH in Release_Label" )</f>
        <v/>
      </c>
      <c r="D336" s="121" t="str">
        <f t="array" ref="D336">ifs(and(isblank($A336),isblank($B336)),"", not(iserror(vlookup($A336&amp;$B336,'3) Release_Label'!$D:$D&amp;'3) Release_Label'!$E:$E,1,0))),vlookup($A336&amp;$B336,{'3) Release_Label'!$D:$D&amp;'3) Release_Label'!$E:$E,'3) Release_Label'!$H:$H},2,0), or(and(not(isblank($B336)),$B336=$B335,$A336&lt;&gt;$A335),and(not(isblank($A336)),$A336=$A335,$B336&lt;&gt;$B335)),"ID LISTS UNALIGNED",and($A336&lt;&gt;"",countif('3) Release_Label'!$D:$D,$A336)=0),"NO UPC MATCH in Release_Label",and($B336&lt;&gt;"",countif('3) Release_Label'!$E:$E,$B336)=0),"NO CATALOG ID MATCH in Release_Label",iserror(vlookup($A336&amp;$B336,'3) Release_Label'!$D:$D&amp;'3) Release_Label'!$E:$E,1,0)),"NO UPC-CATALOG ID pair MATCH in Release_Label" )</f>
        <v/>
      </c>
      <c r="E336" s="99"/>
      <c r="F336" s="99"/>
      <c r="G336" s="123" t="str">
        <f t="array" ref="G336">ifs(or($F336="",$F336="Main Primary Artist"),$F336,not(iserror(vlookup($F336,'Reference info'!$J$5:$J$8,1,0))),"Key Artist",not(iserror(vlookup($F336,'Reference info'!$J$38:$J$405,1,0))),"Performer",not(iserror(vlookup($F336,'Reference info'!$J$10:$J$36,1,0))),"Producer &amp; Engineer")</f>
        <v/>
      </c>
    </row>
    <row r="337">
      <c r="A337" s="28"/>
      <c r="B337" s="103"/>
      <c r="C337" s="121" t="str">
        <f t="array" ref="C337">ifs(and(isblank($A337),isblank($B337)),"", not(iserror(vlookup($A337&amp;$B337,'3) Release_Label'!$D:$D&amp;'3) Release_Label'!$E:$E,1,0))),vlookup($A337&amp;$B337,{'3) Release_Label'!$D:$D&amp;'3) Release_Label'!$E:$E,'3) Release_Label'!$F:$F},2,0), or(and(not(isblank($B337)),$B337=$B336,$A337&lt;&gt;$A336),and(not(isblank($A337)),$A337=$A336,$B337&lt;&gt;$B336)),"ID LISTS UNALIGNED",and($A337&lt;&gt;"",countif('3) Release_Label'!$D:$D,$A337)=0),"NO UPC MATCH in Release_Label",and($B337&lt;&gt;"",countif('3) Release_Label'!$E:$E,$B337)=0),"NO CATALOG ID MATCH in Release_Label",iserror(vlookup($A337&amp;$B337,'3) Release_Label'!$D:$D&amp;'3) Release_Label'!$E:$E,1,0)),"NO UPC-CATALOG ID pair MATCH in Release_Label" )</f>
        <v/>
      </c>
      <c r="D337" s="121" t="str">
        <f t="array" ref="D337">ifs(and(isblank($A337),isblank($B337)),"", not(iserror(vlookup($A337&amp;$B337,'3) Release_Label'!$D:$D&amp;'3) Release_Label'!$E:$E,1,0))),vlookup($A337&amp;$B337,{'3) Release_Label'!$D:$D&amp;'3) Release_Label'!$E:$E,'3) Release_Label'!$H:$H},2,0), or(and(not(isblank($B337)),$B337=$B336,$A337&lt;&gt;$A336),and(not(isblank($A337)),$A337=$A336,$B337&lt;&gt;$B336)),"ID LISTS UNALIGNED",and($A337&lt;&gt;"",countif('3) Release_Label'!$D:$D,$A337)=0),"NO UPC MATCH in Release_Label",and($B337&lt;&gt;"",countif('3) Release_Label'!$E:$E,$B337)=0),"NO CATALOG ID MATCH in Release_Label",iserror(vlookup($A337&amp;$B337,'3) Release_Label'!$D:$D&amp;'3) Release_Label'!$E:$E,1,0)),"NO UPC-CATALOG ID pair MATCH in Release_Label" )</f>
        <v/>
      </c>
      <c r="E337" s="99"/>
      <c r="F337" s="99"/>
      <c r="G337" s="123" t="str">
        <f t="array" ref="G337">ifs(or($F337="",$F337="Main Primary Artist"),$F337,not(iserror(vlookup($F337,'Reference info'!$J$5:$J$8,1,0))),"Key Artist",not(iserror(vlookup($F337,'Reference info'!$J$38:$J$405,1,0))),"Performer",not(iserror(vlookup($F337,'Reference info'!$J$10:$J$36,1,0))),"Producer &amp; Engineer")</f>
        <v/>
      </c>
    </row>
    <row r="338">
      <c r="A338" s="28"/>
      <c r="B338" s="103"/>
      <c r="C338" s="121" t="str">
        <f t="array" ref="C338">ifs(and(isblank($A338),isblank($B338)),"", not(iserror(vlookup($A338&amp;$B338,'3) Release_Label'!$D:$D&amp;'3) Release_Label'!$E:$E,1,0))),vlookup($A338&amp;$B338,{'3) Release_Label'!$D:$D&amp;'3) Release_Label'!$E:$E,'3) Release_Label'!$F:$F},2,0), or(and(not(isblank($B338)),$B338=$B337,$A338&lt;&gt;$A337),and(not(isblank($A338)),$A338=$A337,$B338&lt;&gt;$B337)),"ID LISTS UNALIGNED",and($A338&lt;&gt;"",countif('3) Release_Label'!$D:$D,$A338)=0),"NO UPC MATCH in Release_Label",and($B338&lt;&gt;"",countif('3) Release_Label'!$E:$E,$B338)=0),"NO CATALOG ID MATCH in Release_Label",iserror(vlookup($A338&amp;$B338,'3) Release_Label'!$D:$D&amp;'3) Release_Label'!$E:$E,1,0)),"NO UPC-CATALOG ID pair MATCH in Release_Label" )</f>
        <v/>
      </c>
      <c r="D338" s="121" t="str">
        <f t="array" ref="D338">ifs(and(isblank($A338),isblank($B338)),"", not(iserror(vlookup($A338&amp;$B338,'3) Release_Label'!$D:$D&amp;'3) Release_Label'!$E:$E,1,0))),vlookup($A338&amp;$B338,{'3) Release_Label'!$D:$D&amp;'3) Release_Label'!$E:$E,'3) Release_Label'!$H:$H},2,0), or(and(not(isblank($B338)),$B338=$B337,$A338&lt;&gt;$A337),and(not(isblank($A338)),$A338=$A337,$B338&lt;&gt;$B337)),"ID LISTS UNALIGNED",and($A338&lt;&gt;"",countif('3) Release_Label'!$D:$D,$A338)=0),"NO UPC MATCH in Release_Label",and($B338&lt;&gt;"",countif('3) Release_Label'!$E:$E,$B338)=0),"NO CATALOG ID MATCH in Release_Label",iserror(vlookup($A338&amp;$B338,'3) Release_Label'!$D:$D&amp;'3) Release_Label'!$E:$E,1,0)),"NO UPC-CATALOG ID pair MATCH in Release_Label" )</f>
        <v/>
      </c>
      <c r="E338" s="99"/>
      <c r="F338" s="99"/>
      <c r="G338" s="123" t="str">
        <f t="array" ref="G338">ifs(or($F338="",$F338="Main Primary Artist"),$F338,not(iserror(vlookup($F338,'Reference info'!$J$5:$J$8,1,0))),"Key Artist",not(iserror(vlookup($F338,'Reference info'!$J$38:$J$405,1,0))),"Performer",not(iserror(vlookup($F338,'Reference info'!$J$10:$J$36,1,0))),"Producer &amp; Engineer")</f>
        <v/>
      </c>
    </row>
    <row r="339">
      <c r="A339" s="28"/>
      <c r="B339" s="103"/>
      <c r="C339" s="121" t="str">
        <f t="array" ref="C339">ifs(and(isblank($A339),isblank($B339)),"", not(iserror(vlookup($A339&amp;$B339,'3) Release_Label'!$D:$D&amp;'3) Release_Label'!$E:$E,1,0))),vlookup($A339&amp;$B339,{'3) Release_Label'!$D:$D&amp;'3) Release_Label'!$E:$E,'3) Release_Label'!$F:$F},2,0), or(and(not(isblank($B339)),$B339=$B338,$A339&lt;&gt;$A338),and(not(isblank($A339)),$A339=$A338,$B339&lt;&gt;$B338)),"ID LISTS UNALIGNED",and($A339&lt;&gt;"",countif('3) Release_Label'!$D:$D,$A339)=0),"NO UPC MATCH in Release_Label",and($B339&lt;&gt;"",countif('3) Release_Label'!$E:$E,$B339)=0),"NO CATALOG ID MATCH in Release_Label",iserror(vlookup($A339&amp;$B339,'3) Release_Label'!$D:$D&amp;'3) Release_Label'!$E:$E,1,0)),"NO UPC-CATALOG ID pair MATCH in Release_Label" )</f>
        <v/>
      </c>
      <c r="D339" s="121" t="str">
        <f t="array" ref="D339">ifs(and(isblank($A339),isblank($B339)),"", not(iserror(vlookup($A339&amp;$B339,'3) Release_Label'!$D:$D&amp;'3) Release_Label'!$E:$E,1,0))),vlookup($A339&amp;$B339,{'3) Release_Label'!$D:$D&amp;'3) Release_Label'!$E:$E,'3) Release_Label'!$H:$H},2,0), or(and(not(isblank($B339)),$B339=$B338,$A339&lt;&gt;$A338),and(not(isblank($A339)),$A339=$A338,$B339&lt;&gt;$B338)),"ID LISTS UNALIGNED",and($A339&lt;&gt;"",countif('3) Release_Label'!$D:$D,$A339)=0),"NO UPC MATCH in Release_Label",and($B339&lt;&gt;"",countif('3) Release_Label'!$E:$E,$B339)=0),"NO CATALOG ID MATCH in Release_Label",iserror(vlookup($A339&amp;$B339,'3) Release_Label'!$D:$D&amp;'3) Release_Label'!$E:$E,1,0)),"NO UPC-CATALOG ID pair MATCH in Release_Label" )</f>
        <v/>
      </c>
      <c r="E339" s="99"/>
      <c r="F339" s="99"/>
      <c r="G339" s="123" t="str">
        <f t="array" ref="G339">ifs(or($F339="",$F339="Main Primary Artist"),$F339,not(iserror(vlookup($F339,'Reference info'!$J$5:$J$8,1,0))),"Key Artist",not(iserror(vlookup($F339,'Reference info'!$J$38:$J$405,1,0))),"Performer",not(iserror(vlookup($F339,'Reference info'!$J$10:$J$36,1,0))),"Producer &amp; Engineer")</f>
        <v/>
      </c>
    </row>
    <row r="340">
      <c r="A340" s="28"/>
      <c r="B340" s="103"/>
      <c r="C340" s="121" t="str">
        <f t="array" ref="C340">ifs(and(isblank($A340),isblank($B340)),"", not(iserror(vlookup($A340&amp;$B340,'3) Release_Label'!$D:$D&amp;'3) Release_Label'!$E:$E,1,0))),vlookup($A340&amp;$B340,{'3) Release_Label'!$D:$D&amp;'3) Release_Label'!$E:$E,'3) Release_Label'!$F:$F},2,0), or(and(not(isblank($B340)),$B340=$B339,$A340&lt;&gt;$A339),and(not(isblank($A340)),$A340=$A339,$B340&lt;&gt;$B339)),"ID LISTS UNALIGNED",and($A340&lt;&gt;"",countif('3) Release_Label'!$D:$D,$A340)=0),"NO UPC MATCH in Release_Label",and($B340&lt;&gt;"",countif('3) Release_Label'!$E:$E,$B340)=0),"NO CATALOG ID MATCH in Release_Label",iserror(vlookup($A340&amp;$B340,'3) Release_Label'!$D:$D&amp;'3) Release_Label'!$E:$E,1,0)),"NO UPC-CATALOG ID pair MATCH in Release_Label" )</f>
        <v/>
      </c>
      <c r="D340" s="121" t="str">
        <f t="array" ref="D340">ifs(and(isblank($A340),isblank($B340)),"", not(iserror(vlookup($A340&amp;$B340,'3) Release_Label'!$D:$D&amp;'3) Release_Label'!$E:$E,1,0))),vlookup($A340&amp;$B340,{'3) Release_Label'!$D:$D&amp;'3) Release_Label'!$E:$E,'3) Release_Label'!$H:$H},2,0), or(and(not(isblank($B340)),$B340=$B339,$A340&lt;&gt;$A339),and(not(isblank($A340)),$A340=$A339,$B340&lt;&gt;$B339)),"ID LISTS UNALIGNED",and($A340&lt;&gt;"",countif('3) Release_Label'!$D:$D,$A340)=0),"NO UPC MATCH in Release_Label",and($B340&lt;&gt;"",countif('3) Release_Label'!$E:$E,$B340)=0),"NO CATALOG ID MATCH in Release_Label",iserror(vlookup($A340&amp;$B340,'3) Release_Label'!$D:$D&amp;'3) Release_Label'!$E:$E,1,0)),"NO UPC-CATALOG ID pair MATCH in Release_Label" )</f>
        <v/>
      </c>
      <c r="E340" s="99"/>
      <c r="F340" s="99"/>
      <c r="G340" s="123" t="str">
        <f t="array" ref="G340">ifs(or($F340="",$F340="Main Primary Artist"),$F340,not(iserror(vlookup($F340,'Reference info'!$J$5:$J$8,1,0))),"Key Artist",not(iserror(vlookup($F340,'Reference info'!$J$38:$J$405,1,0))),"Performer",not(iserror(vlookup($F340,'Reference info'!$J$10:$J$36,1,0))),"Producer &amp; Engineer")</f>
        <v/>
      </c>
    </row>
    <row r="341">
      <c r="A341" s="28"/>
      <c r="B341" s="103"/>
      <c r="C341" s="121" t="str">
        <f t="array" ref="C341">ifs(and(isblank($A341),isblank($B341)),"", not(iserror(vlookup($A341&amp;$B341,'3) Release_Label'!$D:$D&amp;'3) Release_Label'!$E:$E,1,0))),vlookup($A341&amp;$B341,{'3) Release_Label'!$D:$D&amp;'3) Release_Label'!$E:$E,'3) Release_Label'!$F:$F},2,0), or(and(not(isblank($B341)),$B341=$B340,$A341&lt;&gt;$A340),and(not(isblank($A341)),$A341=$A340,$B341&lt;&gt;$B340)),"ID LISTS UNALIGNED",and($A341&lt;&gt;"",countif('3) Release_Label'!$D:$D,$A341)=0),"NO UPC MATCH in Release_Label",and($B341&lt;&gt;"",countif('3) Release_Label'!$E:$E,$B341)=0),"NO CATALOG ID MATCH in Release_Label",iserror(vlookup($A341&amp;$B341,'3) Release_Label'!$D:$D&amp;'3) Release_Label'!$E:$E,1,0)),"NO UPC-CATALOG ID pair MATCH in Release_Label" )</f>
        <v/>
      </c>
      <c r="D341" s="121" t="str">
        <f t="array" ref="D341">ifs(and(isblank($A341),isblank($B341)),"", not(iserror(vlookup($A341&amp;$B341,'3) Release_Label'!$D:$D&amp;'3) Release_Label'!$E:$E,1,0))),vlookup($A341&amp;$B341,{'3) Release_Label'!$D:$D&amp;'3) Release_Label'!$E:$E,'3) Release_Label'!$H:$H},2,0), or(and(not(isblank($B341)),$B341=$B340,$A341&lt;&gt;$A340),and(not(isblank($A341)),$A341=$A340,$B341&lt;&gt;$B340)),"ID LISTS UNALIGNED",and($A341&lt;&gt;"",countif('3) Release_Label'!$D:$D,$A341)=0),"NO UPC MATCH in Release_Label",and($B341&lt;&gt;"",countif('3) Release_Label'!$E:$E,$B341)=0),"NO CATALOG ID MATCH in Release_Label",iserror(vlookup($A341&amp;$B341,'3) Release_Label'!$D:$D&amp;'3) Release_Label'!$E:$E,1,0)),"NO UPC-CATALOG ID pair MATCH in Release_Label" )</f>
        <v/>
      </c>
      <c r="E341" s="99"/>
      <c r="F341" s="99"/>
      <c r="G341" s="123" t="str">
        <f t="array" ref="G341">ifs(or($F341="",$F341="Main Primary Artist"),$F341,not(iserror(vlookup($F341,'Reference info'!$J$5:$J$8,1,0))),"Key Artist",not(iserror(vlookup($F341,'Reference info'!$J$38:$J$405,1,0))),"Performer",not(iserror(vlookup($F341,'Reference info'!$J$10:$J$36,1,0))),"Producer &amp; Engineer")</f>
        <v/>
      </c>
    </row>
    <row r="342">
      <c r="A342" s="28"/>
      <c r="B342" s="103"/>
      <c r="C342" s="121" t="str">
        <f t="array" ref="C342">ifs(and(isblank($A342),isblank($B342)),"", not(iserror(vlookup($A342&amp;$B342,'3) Release_Label'!$D:$D&amp;'3) Release_Label'!$E:$E,1,0))),vlookup($A342&amp;$B342,{'3) Release_Label'!$D:$D&amp;'3) Release_Label'!$E:$E,'3) Release_Label'!$F:$F},2,0), or(and(not(isblank($B342)),$B342=$B341,$A342&lt;&gt;$A341),and(not(isblank($A342)),$A342=$A341,$B342&lt;&gt;$B341)),"ID LISTS UNALIGNED",and($A342&lt;&gt;"",countif('3) Release_Label'!$D:$D,$A342)=0),"NO UPC MATCH in Release_Label",and($B342&lt;&gt;"",countif('3) Release_Label'!$E:$E,$B342)=0),"NO CATALOG ID MATCH in Release_Label",iserror(vlookup($A342&amp;$B342,'3) Release_Label'!$D:$D&amp;'3) Release_Label'!$E:$E,1,0)),"NO UPC-CATALOG ID pair MATCH in Release_Label" )</f>
        <v/>
      </c>
      <c r="D342" s="121" t="str">
        <f t="array" ref="D342">ifs(and(isblank($A342),isblank($B342)),"", not(iserror(vlookup($A342&amp;$B342,'3) Release_Label'!$D:$D&amp;'3) Release_Label'!$E:$E,1,0))),vlookup($A342&amp;$B342,{'3) Release_Label'!$D:$D&amp;'3) Release_Label'!$E:$E,'3) Release_Label'!$H:$H},2,0), or(and(not(isblank($B342)),$B342=$B341,$A342&lt;&gt;$A341),and(not(isblank($A342)),$A342=$A341,$B342&lt;&gt;$B341)),"ID LISTS UNALIGNED",and($A342&lt;&gt;"",countif('3) Release_Label'!$D:$D,$A342)=0),"NO UPC MATCH in Release_Label",and($B342&lt;&gt;"",countif('3) Release_Label'!$E:$E,$B342)=0),"NO CATALOG ID MATCH in Release_Label",iserror(vlookup($A342&amp;$B342,'3) Release_Label'!$D:$D&amp;'3) Release_Label'!$E:$E,1,0)),"NO UPC-CATALOG ID pair MATCH in Release_Label" )</f>
        <v/>
      </c>
      <c r="E342" s="99"/>
      <c r="F342" s="99"/>
      <c r="G342" s="123" t="str">
        <f t="array" ref="G342">ifs(or($F342="",$F342="Main Primary Artist"),$F342,not(iserror(vlookup($F342,'Reference info'!$J$5:$J$8,1,0))),"Key Artist",not(iserror(vlookup($F342,'Reference info'!$J$38:$J$405,1,0))),"Performer",not(iserror(vlookup($F342,'Reference info'!$J$10:$J$36,1,0))),"Producer &amp; Engineer")</f>
        <v/>
      </c>
    </row>
    <row r="343">
      <c r="A343" s="28"/>
      <c r="B343" s="103"/>
      <c r="C343" s="121" t="str">
        <f t="array" ref="C343">ifs(and(isblank($A343),isblank($B343)),"", not(iserror(vlookup($A343&amp;$B343,'3) Release_Label'!$D:$D&amp;'3) Release_Label'!$E:$E,1,0))),vlookup($A343&amp;$B343,{'3) Release_Label'!$D:$D&amp;'3) Release_Label'!$E:$E,'3) Release_Label'!$F:$F},2,0), or(and(not(isblank($B343)),$B343=$B342,$A343&lt;&gt;$A342),and(not(isblank($A343)),$A343=$A342,$B343&lt;&gt;$B342)),"ID LISTS UNALIGNED",and($A343&lt;&gt;"",countif('3) Release_Label'!$D:$D,$A343)=0),"NO UPC MATCH in Release_Label",and($B343&lt;&gt;"",countif('3) Release_Label'!$E:$E,$B343)=0),"NO CATALOG ID MATCH in Release_Label",iserror(vlookup($A343&amp;$B343,'3) Release_Label'!$D:$D&amp;'3) Release_Label'!$E:$E,1,0)),"NO UPC-CATALOG ID pair MATCH in Release_Label" )</f>
        <v/>
      </c>
      <c r="D343" s="121" t="str">
        <f t="array" ref="D343">ifs(and(isblank($A343),isblank($B343)),"", not(iserror(vlookup($A343&amp;$B343,'3) Release_Label'!$D:$D&amp;'3) Release_Label'!$E:$E,1,0))),vlookup($A343&amp;$B343,{'3) Release_Label'!$D:$D&amp;'3) Release_Label'!$E:$E,'3) Release_Label'!$H:$H},2,0), or(and(not(isblank($B343)),$B343=$B342,$A343&lt;&gt;$A342),and(not(isblank($A343)),$A343=$A342,$B343&lt;&gt;$B342)),"ID LISTS UNALIGNED",and($A343&lt;&gt;"",countif('3) Release_Label'!$D:$D,$A343)=0),"NO UPC MATCH in Release_Label",and($B343&lt;&gt;"",countif('3) Release_Label'!$E:$E,$B343)=0),"NO CATALOG ID MATCH in Release_Label",iserror(vlookup($A343&amp;$B343,'3) Release_Label'!$D:$D&amp;'3) Release_Label'!$E:$E,1,0)),"NO UPC-CATALOG ID pair MATCH in Release_Label" )</f>
        <v/>
      </c>
      <c r="E343" s="99"/>
      <c r="F343" s="99"/>
      <c r="G343" s="123" t="str">
        <f t="array" ref="G343">ifs(or($F343="",$F343="Main Primary Artist"),$F343,not(iserror(vlookup($F343,'Reference info'!$J$5:$J$8,1,0))),"Key Artist",not(iserror(vlookup($F343,'Reference info'!$J$38:$J$405,1,0))),"Performer",not(iserror(vlookup($F343,'Reference info'!$J$10:$J$36,1,0))),"Producer &amp; Engineer")</f>
        <v/>
      </c>
    </row>
    <row r="344">
      <c r="A344" s="28"/>
      <c r="B344" s="103"/>
      <c r="C344" s="121" t="str">
        <f t="array" ref="C344">ifs(and(isblank($A344),isblank($B344)),"", not(iserror(vlookup($A344&amp;$B344,'3) Release_Label'!$D:$D&amp;'3) Release_Label'!$E:$E,1,0))),vlookup($A344&amp;$B344,{'3) Release_Label'!$D:$D&amp;'3) Release_Label'!$E:$E,'3) Release_Label'!$F:$F},2,0), or(and(not(isblank($B344)),$B344=$B343,$A344&lt;&gt;$A343),and(not(isblank($A344)),$A344=$A343,$B344&lt;&gt;$B343)),"ID LISTS UNALIGNED",and($A344&lt;&gt;"",countif('3) Release_Label'!$D:$D,$A344)=0),"NO UPC MATCH in Release_Label",and($B344&lt;&gt;"",countif('3) Release_Label'!$E:$E,$B344)=0),"NO CATALOG ID MATCH in Release_Label",iserror(vlookup($A344&amp;$B344,'3) Release_Label'!$D:$D&amp;'3) Release_Label'!$E:$E,1,0)),"NO UPC-CATALOG ID pair MATCH in Release_Label" )</f>
        <v/>
      </c>
      <c r="D344" s="121" t="str">
        <f t="array" ref="D344">ifs(and(isblank($A344),isblank($B344)),"", not(iserror(vlookup($A344&amp;$B344,'3) Release_Label'!$D:$D&amp;'3) Release_Label'!$E:$E,1,0))),vlookup($A344&amp;$B344,{'3) Release_Label'!$D:$D&amp;'3) Release_Label'!$E:$E,'3) Release_Label'!$H:$H},2,0), or(and(not(isblank($B344)),$B344=$B343,$A344&lt;&gt;$A343),and(not(isblank($A344)),$A344=$A343,$B344&lt;&gt;$B343)),"ID LISTS UNALIGNED",and($A344&lt;&gt;"",countif('3) Release_Label'!$D:$D,$A344)=0),"NO UPC MATCH in Release_Label",and($B344&lt;&gt;"",countif('3) Release_Label'!$E:$E,$B344)=0),"NO CATALOG ID MATCH in Release_Label",iserror(vlookup($A344&amp;$B344,'3) Release_Label'!$D:$D&amp;'3) Release_Label'!$E:$E,1,0)),"NO UPC-CATALOG ID pair MATCH in Release_Label" )</f>
        <v/>
      </c>
      <c r="E344" s="99"/>
      <c r="F344" s="99"/>
      <c r="G344" s="123" t="str">
        <f t="array" ref="G344">ifs(or($F344="",$F344="Main Primary Artist"),$F344,not(iserror(vlookup($F344,'Reference info'!$J$5:$J$8,1,0))),"Key Artist",not(iserror(vlookup($F344,'Reference info'!$J$38:$J$405,1,0))),"Performer",not(iserror(vlookup($F344,'Reference info'!$J$10:$J$36,1,0))),"Producer &amp; Engineer")</f>
        <v/>
      </c>
    </row>
    <row r="345">
      <c r="A345" s="28"/>
      <c r="B345" s="103"/>
      <c r="C345" s="121" t="str">
        <f t="array" ref="C345">ifs(and(isblank($A345),isblank($B345)),"", not(iserror(vlookup($A345&amp;$B345,'3) Release_Label'!$D:$D&amp;'3) Release_Label'!$E:$E,1,0))),vlookup($A345&amp;$B345,{'3) Release_Label'!$D:$D&amp;'3) Release_Label'!$E:$E,'3) Release_Label'!$F:$F},2,0), or(and(not(isblank($B345)),$B345=$B344,$A345&lt;&gt;$A344),and(not(isblank($A345)),$A345=$A344,$B345&lt;&gt;$B344)),"ID LISTS UNALIGNED",and($A345&lt;&gt;"",countif('3) Release_Label'!$D:$D,$A345)=0),"NO UPC MATCH in Release_Label",and($B345&lt;&gt;"",countif('3) Release_Label'!$E:$E,$B345)=0),"NO CATALOG ID MATCH in Release_Label",iserror(vlookup($A345&amp;$B345,'3) Release_Label'!$D:$D&amp;'3) Release_Label'!$E:$E,1,0)),"NO UPC-CATALOG ID pair MATCH in Release_Label" )</f>
        <v/>
      </c>
      <c r="D345" s="121" t="str">
        <f t="array" ref="D345">ifs(and(isblank($A345),isblank($B345)),"", not(iserror(vlookup($A345&amp;$B345,'3) Release_Label'!$D:$D&amp;'3) Release_Label'!$E:$E,1,0))),vlookup($A345&amp;$B345,{'3) Release_Label'!$D:$D&amp;'3) Release_Label'!$E:$E,'3) Release_Label'!$H:$H},2,0), or(and(not(isblank($B345)),$B345=$B344,$A345&lt;&gt;$A344),and(not(isblank($A345)),$A345=$A344,$B345&lt;&gt;$B344)),"ID LISTS UNALIGNED",and($A345&lt;&gt;"",countif('3) Release_Label'!$D:$D,$A345)=0),"NO UPC MATCH in Release_Label",and($B345&lt;&gt;"",countif('3) Release_Label'!$E:$E,$B345)=0),"NO CATALOG ID MATCH in Release_Label",iserror(vlookup($A345&amp;$B345,'3) Release_Label'!$D:$D&amp;'3) Release_Label'!$E:$E,1,0)),"NO UPC-CATALOG ID pair MATCH in Release_Label" )</f>
        <v/>
      </c>
      <c r="E345" s="99"/>
      <c r="F345" s="99"/>
      <c r="G345" s="123" t="str">
        <f t="array" ref="G345">ifs(or($F345="",$F345="Main Primary Artist"),$F345,not(iserror(vlookup($F345,'Reference info'!$J$5:$J$8,1,0))),"Key Artist",not(iserror(vlookup($F345,'Reference info'!$J$38:$J$405,1,0))),"Performer",not(iserror(vlookup($F345,'Reference info'!$J$10:$J$36,1,0))),"Producer &amp; Engineer")</f>
        <v/>
      </c>
    </row>
    <row r="346">
      <c r="A346" s="28"/>
      <c r="B346" s="103"/>
      <c r="C346" s="121" t="str">
        <f t="array" ref="C346">ifs(and(isblank($A346),isblank($B346)),"", not(iserror(vlookup($A346&amp;$B346,'3) Release_Label'!$D:$D&amp;'3) Release_Label'!$E:$E,1,0))),vlookup($A346&amp;$B346,{'3) Release_Label'!$D:$D&amp;'3) Release_Label'!$E:$E,'3) Release_Label'!$F:$F},2,0), or(and(not(isblank($B346)),$B346=$B345,$A346&lt;&gt;$A345),and(not(isblank($A346)),$A346=$A345,$B346&lt;&gt;$B345)),"ID LISTS UNALIGNED",and($A346&lt;&gt;"",countif('3) Release_Label'!$D:$D,$A346)=0),"NO UPC MATCH in Release_Label",and($B346&lt;&gt;"",countif('3) Release_Label'!$E:$E,$B346)=0),"NO CATALOG ID MATCH in Release_Label",iserror(vlookup($A346&amp;$B346,'3) Release_Label'!$D:$D&amp;'3) Release_Label'!$E:$E,1,0)),"NO UPC-CATALOG ID pair MATCH in Release_Label" )</f>
        <v/>
      </c>
      <c r="D346" s="121" t="str">
        <f t="array" ref="D346">ifs(and(isblank($A346),isblank($B346)),"", not(iserror(vlookup($A346&amp;$B346,'3) Release_Label'!$D:$D&amp;'3) Release_Label'!$E:$E,1,0))),vlookup($A346&amp;$B346,{'3) Release_Label'!$D:$D&amp;'3) Release_Label'!$E:$E,'3) Release_Label'!$H:$H},2,0), or(and(not(isblank($B346)),$B346=$B345,$A346&lt;&gt;$A345),and(not(isblank($A346)),$A346=$A345,$B346&lt;&gt;$B345)),"ID LISTS UNALIGNED",and($A346&lt;&gt;"",countif('3) Release_Label'!$D:$D,$A346)=0),"NO UPC MATCH in Release_Label",and($B346&lt;&gt;"",countif('3) Release_Label'!$E:$E,$B346)=0),"NO CATALOG ID MATCH in Release_Label",iserror(vlookup($A346&amp;$B346,'3) Release_Label'!$D:$D&amp;'3) Release_Label'!$E:$E,1,0)),"NO UPC-CATALOG ID pair MATCH in Release_Label" )</f>
        <v/>
      </c>
      <c r="E346" s="99"/>
      <c r="F346" s="99"/>
      <c r="G346" s="123" t="str">
        <f t="array" ref="G346">ifs(or($F346="",$F346="Main Primary Artist"),$F346,not(iserror(vlookup($F346,'Reference info'!$J$5:$J$8,1,0))),"Key Artist",not(iserror(vlookup($F346,'Reference info'!$J$38:$J$405,1,0))),"Performer",not(iserror(vlookup($F346,'Reference info'!$J$10:$J$36,1,0))),"Producer &amp; Engineer")</f>
        <v/>
      </c>
    </row>
    <row r="347">
      <c r="A347" s="28"/>
      <c r="B347" s="103"/>
      <c r="C347" s="121" t="str">
        <f t="array" ref="C347">ifs(and(isblank($A347),isblank($B347)),"", not(iserror(vlookup($A347&amp;$B347,'3) Release_Label'!$D:$D&amp;'3) Release_Label'!$E:$E,1,0))),vlookup($A347&amp;$B347,{'3) Release_Label'!$D:$D&amp;'3) Release_Label'!$E:$E,'3) Release_Label'!$F:$F},2,0), or(and(not(isblank($B347)),$B347=$B346,$A347&lt;&gt;$A346),and(not(isblank($A347)),$A347=$A346,$B347&lt;&gt;$B346)),"ID LISTS UNALIGNED",and($A347&lt;&gt;"",countif('3) Release_Label'!$D:$D,$A347)=0),"NO UPC MATCH in Release_Label",and($B347&lt;&gt;"",countif('3) Release_Label'!$E:$E,$B347)=0),"NO CATALOG ID MATCH in Release_Label",iserror(vlookup($A347&amp;$B347,'3) Release_Label'!$D:$D&amp;'3) Release_Label'!$E:$E,1,0)),"NO UPC-CATALOG ID pair MATCH in Release_Label" )</f>
        <v/>
      </c>
      <c r="D347" s="121" t="str">
        <f t="array" ref="D347">ifs(and(isblank($A347),isblank($B347)),"", not(iserror(vlookup($A347&amp;$B347,'3) Release_Label'!$D:$D&amp;'3) Release_Label'!$E:$E,1,0))),vlookup($A347&amp;$B347,{'3) Release_Label'!$D:$D&amp;'3) Release_Label'!$E:$E,'3) Release_Label'!$H:$H},2,0), or(and(not(isblank($B347)),$B347=$B346,$A347&lt;&gt;$A346),and(not(isblank($A347)),$A347=$A346,$B347&lt;&gt;$B346)),"ID LISTS UNALIGNED",and($A347&lt;&gt;"",countif('3) Release_Label'!$D:$D,$A347)=0),"NO UPC MATCH in Release_Label",and($B347&lt;&gt;"",countif('3) Release_Label'!$E:$E,$B347)=0),"NO CATALOG ID MATCH in Release_Label",iserror(vlookup($A347&amp;$B347,'3) Release_Label'!$D:$D&amp;'3) Release_Label'!$E:$E,1,0)),"NO UPC-CATALOG ID pair MATCH in Release_Label" )</f>
        <v/>
      </c>
      <c r="E347" s="99"/>
      <c r="F347" s="99"/>
      <c r="G347" s="123" t="str">
        <f t="array" ref="G347">ifs(or($F347="",$F347="Main Primary Artist"),$F347,not(iserror(vlookup($F347,'Reference info'!$J$5:$J$8,1,0))),"Key Artist",not(iserror(vlookup($F347,'Reference info'!$J$38:$J$405,1,0))),"Performer",not(iserror(vlookup($F347,'Reference info'!$J$10:$J$36,1,0))),"Producer &amp; Engineer")</f>
        <v/>
      </c>
    </row>
    <row r="348">
      <c r="A348" s="28"/>
      <c r="B348" s="103"/>
      <c r="C348" s="121" t="str">
        <f t="array" ref="C348">ifs(and(isblank($A348),isblank($B348)),"", not(iserror(vlookup($A348&amp;$B348,'3) Release_Label'!$D:$D&amp;'3) Release_Label'!$E:$E,1,0))),vlookup($A348&amp;$B348,{'3) Release_Label'!$D:$D&amp;'3) Release_Label'!$E:$E,'3) Release_Label'!$F:$F},2,0), or(and(not(isblank($B348)),$B348=$B347,$A348&lt;&gt;$A347),and(not(isblank($A348)),$A348=$A347,$B348&lt;&gt;$B347)),"ID LISTS UNALIGNED",and($A348&lt;&gt;"",countif('3) Release_Label'!$D:$D,$A348)=0),"NO UPC MATCH in Release_Label",and($B348&lt;&gt;"",countif('3) Release_Label'!$E:$E,$B348)=0),"NO CATALOG ID MATCH in Release_Label",iserror(vlookup($A348&amp;$B348,'3) Release_Label'!$D:$D&amp;'3) Release_Label'!$E:$E,1,0)),"NO UPC-CATALOG ID pair MATCH in Release_Label" )</f>
        <v/>
      </c>
      <c r="D348" s="121" t="str">
        <f t="array" ref="D348">ifs(and(isblank($A348),isblank($B348)),"", not(iserror(vlookup($A348&amp;$B348,'3) Release_Label'!$D:$D&amp;'3) Release_Label'!$E:$E,1,0))),vlookup($A348&amp;$B348,{'3) Release_Label'!$D:$D&amp;'3) Release_Label'!$E:$E,'3) Release_Label'!$H:$H},2,0), or(and(not(isblank($B348)),$B348=$B347,$A348&lt;&gt;$A347),and(not(isblank($A348)),$A348=$A347,$B348&lt;&gt;$B347)),"ID LISTS UNALIGNED",and($A348&lt;&gt;"",countif('3) Release_Label'!$D:$D,$A348)=0),"NO UPC MATCH in Release_Label",and($B348&lt;&gt;"",countif('3) Release_Label'!$E:$E,$B348)=0),"NO CATALOG ID MATCH in Release_Label",iserror(vlookup($A348&amp;$B348,'3) Release_Label'!$D:$D&amp;'3) Release_Label'!$E:$E,1,0)),"NO UPC-CATALOG ID pair MATCH in Release_Label" )</f>
        <v/>
      </c>
      <c r="E348" s="99"/>
      <c r="F348" s="99"/>
      <c r="G348" s="123" t="str">
        <f t="array" ref="G348">ifs(or($F348="",$F348="Main Primary Artist"),$F348,not(iserror(vlookup($F348,'Reference info'!$J$5:$J$8,1,0))),"Key Artist",not(iserror(vlookup($F348,'Reference info'!$J$38:$J$405,1,0))),"Performer",not(iserror(vlookup($F348,'Reference info'!$J$10:$J$36,1,0))),"Producer &amp; Engineer")</f>
        <v/>
      </c>
    </row>
    <row r="349">
      <c r="A349" s="28"/>
      <c r="B349" s="103"/>
      <c r="C349" s="121" t="str">
        <f t="array" ref="C349">ifs(and(isblank($A349),isblank($B349)),"", not(iserror(vlookup($A349&amp;$B349,'3) Release_Label'!$D:$D&amp;'3) Release_Label'!$E:$E,1,0))),vlookup($A349&amp;$B349,{'3) Release_Label'!$D:$D&amp;'3) Release_Label'!$E:$E,'3) Release_Label'!$F:$F},2,0), or(and(not(isblank($B349)),$B349=$B348,$A349&lt;&gt;$A348),and(not(isblank($A349)),$A349=$A348,$B349&lt;&gt;$B348)),"ID LISTS UNALIGNED",and($A349&lt;&gt;"",countif('3) Release_Label'!$D:$D,$A349)=0),"NO UPC MATCH in Release_Label",and($B349&lt;&gt;"",countif('3) Release_Label'!$E:$E,$B349)=0),"NO CATALOG ID MATCH in Release_Label",iserror(vlookup($A349&amp;$B349,'3) Release_Label'!$D:$D&amp;'3) Release_Label'!$E:$E,1,0)),"NO UPC-CATALOG ID pair MATCH in Release_Label" )</f>
        <v/>
      </c>
      <c r="D349" s="121" t="str">
        <f t="array" ref="D349">ifs(and(isblank($A349),isblank($B349)),"", not(iserror(vlookup($A349&amp;$B349,'3) Release_Label'!$D:$D&amp;'3) Release_Label'!$E:$E,1,0))),vlookup($A349&amp;$B349,{'3) Release_Label'!$D:$D&amp;'3) Release_Label'!$E:$E,'3) Release_Label'!$H:$H},2,0), or(and(not(isblank($B349)),$B349=$B348,$A349&lt;&gt;$A348),and(not(isblank($A349)),$A349=$A348,$B349&lt;&gt;$B348)),"ID LISTS UNALIGNED",and($A349&lt;&gt;"",countif('3) Release_Label'!$D:$D,$A349)=0),"NO UPC MATCH in Release_Label",and($B349&lt;&gt;"",countif('3) Release_Label'!$E:$E,$B349)=0),"NO CATALOG ID MATCH in Release_Label",iserror(vlookup($A349&amp;$B349,'3) Release_Label'!$D:$D&amp;'3) Release_Label'!$E:$E,1,0)),"NO UPC-CATALOG ID pair MATCH in Release_Label" )</f>
        <v/>
      </c>
      <c r="E349" s="99"/>
      <c r="F349" s="99"/>
      <c r="G349" s="123" t="str">
        <f t="array" ref="G349">ifs(or($F349="",$F349="Main Primary Artist"),$F349,not(iserror(vlookup($F349,'Reference info'!$J$5:$J$8,1,0))),"Key Artist",not(iserror(vlookup($F349,'Reference info'!$J$38:$J$405,1,0))),"Performer",not(iserror(vlookup($F349,'Reference info'!$J$10:$J$36,1,0))),"Producer &amp; Engineer")</f>
        <v/>
      </c>
    </row>
    <row r="350">
      <c r="A350" s="28"/>
      <c r="B350" s="103"/>
      <c r="C350" s="121" t="str">
        <f t="array" ref="C350">ifs(and(isblank($A350),isblank($B350)),"", not(iserror(vlookup($A350&amp;$B350,'3) Release_Label'!$D:$D&amp;'3) Release_Label'!$E:$E,1,0))),vlookup($A350&amp;$B350,{'3) Release_Label'!$D:$D&amp;'3) Release_Label'!$E:$E,'3) Release_Label'!$F:$F},2,0), or(and(not(isblank($B350)),$B350=$B349,$A350&lt;&gt;$A349),and(not(isblank($A350)),$A350=$A349,$B350&lt;&gt;$B349)),"ID LISTS UNALIGNED",and($A350&lt;&gt;"",countif('3) Release_Label'!$D:$D,$A350)=0),"NO UPC MATCH in Release_Label",and($B350&lt;&gt;"",countif('3) Release_Label'!$E:$E,$B350)=0),"NO CATALOG ID MATCH in Release_Label",iserror(vlookup($A350&amp;$B350,'3) Release_Label'!$D:$D&amp;'3) Release_Label'!$E:$E,1,0)),"NO UPC-CATALOG ID pair MATCH in Release_Label" )</f>
        <v/>
      </c>
      <c r="D350" s="121" t="str">
        <f t="array" ref="D350">ifs(and(isblank($A350),isblank($B350)),"", not(iserror(vlookup($A350&amp;$B350,'3) Release_Label'!$D:$D&amp;'3) Release_Label'!$E:$E,1,0))),vlookup($A350&amp;$B350,{'3) Release_Label'!$D:$D&amp;'3) Release_Label'!$E:$E,'3) Release_Label'!$H:$H},2,0), or(and(not(isblank($B350)),$B350=$B349,$A350&lt;&gt;$A349),and(not(isblank($A350)),$A350=$A349,$B350&lt;&gt;$B349)),"ID LISTS UNALIGNED",and($A350&lt;&gt;"",countif('3) Release_Label'!$D:$D,$A350)=0),"NO UPC MATCH in Release_Label",and($B350&lt;&gt;"",countif('3) Release_Label'!$E:$E,$B350)=0),"NO CATALOG ID MATCH in Release_Label",iserror(vlookup($A350&amp;$B350,'3) Release_Label'!$D:$D&amp;'3) Release_Label'!$E:$E,1,0)),"NO UPC-CATALOG ID pair MATCH in Release_Label" )</f>
        <v/>
      </c>
      <c r="E350" s="99"/>
      <c r="F350" s="99"/>
      <c r="G350" s="123" t="str">
        <f t="array" ref="G350">ifs(or($F350="",$F350="Main Primary Artist"),$F350,not(iserror(vlookup($F350,'Reference info'!$J$5:$J$8,1,0))),"Key Artist",not(iserror(vlookup($F350,'Reference info'!$J$38:$J$405,1,0))),"Performer",not(iserror(vlookup($F350,'Reference info'!$J$10:$J$36,1,0))),"Producer &amp; Engineer")</f>
        <v/>
      </c>
    </row>
    <row r="351">
      <c r="A351" s="28"/>
      <c r="B351" s="103"/>
      <c r="C351" s="121" t="str">
        <f t="array" ref="C351">ifs(and(isblank($A351),isblank($B351)),"", not(iserror(vlookup($A351&amp;$B351,'3) Release_Label'!$D:$D&amp;'3) Release_Label'!$E:$E,1,0))),vlookup($A351&amp;$B351,{'3) Release_Label'!$D:$D&amp;'3) Release_Label'!$E:$E,'3) Release_Label'!$F:$F},2,0), or(and(not(isblank($B351)),$B351=$B350,$A351&lt;&gt;$A350),and(not(isblank($A351)),$A351=$A350,$B351&lt;&gt;$B350)),"ID LISTS UNALIGNED",and($A351&lt;&gt;"",countif('3) Release_Label'!$D:$D,$A351)=0),"NO UPC MATCH in Release_Label",and($B351&lt;&gt;"",countif('3) Release_Label'!$E:$E,$B351)=0),"NO CATALOG ID MATCH in Release_Label",iserror(vlookup($A351&amp;$B351,'3) Release_Label'!$D:$D&amp;'3) Release_Label'!$E:$E,1,0)),"NO UPC-CATALOG ID pair MATCH in Release_Label" )</f>
        <v/>
      </c>
      <c r="D351" s="121" t="str">
        <f t="array" ref="D351">ifs(and(isblank($A351),isblank($B351)),"", not(iserror(vlookup($A351&amp;$B351,'3) Release_Label'!$D:$D&amp;'3) Release_Label'!$E:$E,1,0))),vlookup($A351&amp;$B351,{'3) Release_Label'!$D:$D&amp;'3) Release_Label'!$E:$E,'3) Release_Label'!$H:$H},2,0), or(and(not(isblank($B351)),$B351=$B350,$A351&lt;&gt;$A350),and(not(isblank($A351)),$A351=$A350,$B351&lt;&gt;$B350)),"ID LISTS UNALIGNED",and($A351&lt;&gt;"",countif('3) Release_Label'!$D:$D,$A351)=0),"NO UPC MATCH in Release_Label",and($B351&lt;&gt;"",countif('3) Release_Label'!$E:$E,$B351)=0),"NO CATALOG ID MATCH in Release_Label",iserror(vlookup($A351&amp;$B351,'3) Release_Label'!$D:$D&amp;'3) Release_Label'!$E:$E,1,0)),"NO UPC-CATALOG ID pair MATCH in Release_Label" )</f>
        <v/>
      </c>
      <c r="E351" s="99"/>
      <c r="F351" s="99"/>
      <c r="G351" s="123" t="str">
        <f t="array" ref="G351">ifs(or($F351="",$F351="Main Primary Artist"),$F351,not(iserror(vlookup($F351,'Reference info'!$J$5:$J$8,1,0))),"Key Artist",not(iserror(vlookup($F351,'Reference info'!$J$38:$J$405,1,0))),"Performer",not(iserror(vlookup($F351,'Reference info'!$J$10:$J$36,1,0))),"Producer &amp; Engineer")</f>
        <v/>
      </c>
    </row>
    <row r="352">
      <c r="A352" s="28"/>
      <c r="B352" s="103"/>
      <c r="C352" s="121" t="str">
        <f t="array" ref="C352">ifs(and(isblank($A352),isblank($B352)),"", not(iserror(vlookup($A352&amp;$B352,'3) Release_Label'!$D:$D&amp;'3) Release_Label'!$E:$E,1,0))),vlookup($A352&amp;$B352,{'3) Release_Label'!$D:$D&amp;'3) Release_Label'!$E:$E,'3) Release_Label'!$F:$F},2,0), or(and(not(isblank($B352)),$B352=$B351,$A352&lt;&gt;$A351),and(not(isblank($A352)),$A352=$A351,$B352&lt;&gt;$B351)),"ID LISTS UNALIGNED",and($A352&lt;&gt;"",countif('3) Release_Label'!$D:$D,$A352)=0),"NO UPC MATCH in Release_Label",and($B352&lt;&gt;"",countif('3) Release_Label'!$E:$E,$B352)=0),"NO CATALOG ID MATCH in Release_Label",iserror(vlookup($A352&amp;$B352,'3) Release_Label'!$D:$D&amp;'3) Release_Label'!$E:$E,1,0)),"NO UPC-CATALOG ID pair MATCH in Release_Label" )</f>
        <v/>
      </c>
      <c r="D352" s="121" t="str">
        <f t="array" ref="D352">ifs(and(isblank($A352),isblank($B352)),"", not(iserror(vlookup($A352&amp;$B352,'3) Release_Label'!$D:$D&amp;'3) Release_Label'!$E:$E,1,0))),vlookup($A352&amp;$B352,{'3) Release_Label'!$D:$D&amp;'3) Release_Label'!$E:$E,'3) Release_Label'!$H:$H},2,0), or(and(not(isblank($B352)),$B352=$B351,$A352&lt;&gt;$A351),and(not(isblank($A352)),$A352=$A351,$B352&lt;&gt;$B351)),"ID LISTS UNALIGNED",and($A352&lt;&gt;"",countif('3) Release_Label'!$D:$D,$A352)=0),"NO UPC MATCH in Release_Label",and($B352&lt;&gt;"",countif('3) Release_Label'!$E:$E,$B352)=0),"NO CATALOG ID MATCH in Release_Label",iserror(vlookup($A352&amp;$B352,'3) Release_Label'!$D:$D&amp;'3) Release_Label'!$E:$E,1,0)),"NO UPC-CATALOG ID pair MATCH in Release_Label" )</f>
        <v/>
      </c>
      <c r="E352" s="99"/>
      <c r="F352" s="99"/>
      <c r="G352" s="123" t="str">
        <f t="array" ref="G352">ifs(or($F352="",$F352="Main Primary Artist"),$F352,not(iserror(vlookup($F352,'Reference info'!$J$5:$J$8,1,0))),"Key Artist",not(iserror(vlookup($F352,'Reference info'!$J$38:$J$405,1,0))),"Performer",not(iserror(vlookup($F352,'Reference info'!$J$10:$J$36,1,0))),"Producer &amp; Engineer")</f>
        <v/>
      </c>
    </row>
    <row r="353">
      <c r="A353" s="28"/>
      <c r="B353" s="103"/>
      <c r="C353" s="121" t="str">
        <f t="array" ref="C353">ifs(and(isblank($A353),isblank($B353)),"", not(iserror(vlookup($A353&amp;$B353,'3) Release_Label'!$D:$D&amp;'3) Release_Label'!$E:$E,1,0))),vlookup($A353&amp;$B353,{'3) Release_Label'!$D:$D&amp;'3) Release_Label'!$E:$E,'3) Release_Label'!$F:$F},2,0), or(and(not(isblank($B353)),$B353=$B352,$A353&lt;&gt;$A352),and(not(isblank($A353)),$A353=$A352,$B353&lt;&gt;$B352)),"ID LISTS UNALIGNED",and($A353&lt;&gt;"",countif('3) Release_Label'!$D:$D,$A353)=0),"NO UPC MATCH in Release_Label",and($B353&lt;&gt;"",countif('3) Release_Label'!$E:$E,$B353)=0),"NO CATALOG ID MATCH in Release_Label",iserror(vlookup($A353&amp;$B353,'3) Release_Label'!$D:$D&amp;'3) Release_Label'!$E:$E,1,0)),"NO UPC-CATALOG ID pair MATCH in Release_Label" )</f>
        <v/>
      </c>
      <c r="D353" s="121" t="str">
        <f t="array" ref="D353">ifs(and(isblank($A353),isblank($B353)),"", not(iserror(vlookup($A353&amp;$B353,'3) Release_Label'!$D:$D&amp;'3) Release_Label'!$E:$E,1,0))),vlookup($A353&amp;$B353,{'3) Release_Label'!$D:$D&amp;'3) Release_Label'!$E:$E,'3) Release_Label'!$H:$H},2,0), or(and(not(isblank($B353)),$B353=$B352,$A353&lt;&gt;$A352),and(not(isblank($A353)),$A353=$A352,$B353&lt;&gt;$B352)),"ID LISTS UNALIGNED",and($A353&lt;&gt;"",countif('3) Release_Label'!$D:$D,$A353)=0),"NO UPC MATCH in Release_Label",and($B353&lt;&gt;"",countif('3) Release_Label'!$E:$E,$B353)=0),"NO CATALOG ID MATCH in Release_Label",iserror(vlookup($A353&amp;$B353,'3) Release_Label'!$D:$D&amp;'3) Release_Label'!$E:$E,1,0)),"NO UPC-CATALOG ID pair MATCH in Release_Label" )</f>
        <v/>
      </c>
      <c r="E353" s="99"/>
      <c r="F353" s="99"/>
      <c r="G353" s="123" t="str">
        <f t="array" ref="G353">ifs(or($F353="",$F353="Main Primary Artist"),$F353,not(iserror(vlookup($F353,'Reference info'!$J$5:$J$8,1,0))),"Key Artist",not(iserror(vlookup($F353,'Reference info'!$J$38:$J$405,1,0))),"Performer",not(iserror(vlookup($F353,'Reference info'!$J$10:$J$36,1,0))),"Producer &amp; Engineer")</f>
        <v/>
      </c>
    </row>
    <row r="354">
      <c r="A354" s="28"/>
      <c r="B354" s="103"/>
      <c r="C354" s="121" t="str">
        <f t="array" ref="C354">ifs(and(isblank($A354),isblank($B354)),"", not(iserror(vlookup($A354&amp;$B354,'3) Release_Label'!$D:$D&amp;'3) Release_Label'!$E:$E,1,0))),vlookup($A354&amp;$B354,{'3) Release_Label'!$D:$D&amp;'3) Release_Label'!$E:$E,'3) Release_Label'!$F:$F},2,0), or(and(not(isblank($B354)),$B354=$B353,$A354&lt;&gt;$A353),and(not(isblank($A354)),$A354=$A353,$B354&lt;&gt;$B353)),"ID LISTS UNALIGNED",and($A354&lt;&gt;"",countif('3) Release_Label'!$D:$D,$A354)=0),"NO UPC MATCH in Release_Label",and($B354&lt;&gt;"",countif('3) Release_Label'!$E:$E,$B354)=0),"NO CATALOG ID MATCH in Release_Label",iserror(vlookup($A354&amp;$B354,'3) Release_Label'!$D:$D&amp;'3) Release_Label'!$E:$E,1,0)),"NO UPC-CATALOG ID pair MATCH in Release_Label" )</f>
        <v/>
      </c>
      <c r="D354" s="121" t="str">
        <f t="array" ref="D354">ifs(and(isblank($A354),isblank($B354)),"", not(iserror(vlookup($A354&amp;$B354,'3) Release_Label'!$D:$D&amp;'3) Release_Label'!$E:$E,1,0))),vlookup($A354&amp;$B354,{'3) Release_Label'!$D:$D&amp;'3) Release_Label'!$E:$E,'3) Release_Label'!$H:$H},2,0), or(and(not(isblank($B354)),$B354=$B353,$A354&lt;&gt;$A353),and(not(isblank($A354)),$A354=$A353,$B354&lt;&gt;$B353)),"ID LISTS UNALIGNED",and($A354&lt;&gt;"",countif('3) Release_Label'!$D:$D,$A354)=0),"NO UPC MATCH in Release_Label",and($B354&lt;&gt;"",countif('3) Release_Label'!$E:$E,$B354)=0),"NO CATALOG ID MATCH in Release_Label",iserror(vlookup($A354&amp;$B354,'3) Release_Label'!$D:$D&amp;'3) Release_Label'!$E:$E,1,0)),"NO UPC-CATALOG ID pair MATCH in Release_Label" )</f>
        <v/>
      </c>
      <c r="E354" s="99"/>
      <c r="F354" s="99"/>
      <c r="G354" s="123" t="str">
        <f t="array" ref="G354">ifs(or($F354="",$F354="Main Primary Artist"),$F354,not(iserror(vlookup($F354,'Reference info'!$J$5:$J$8,1,0))),"Key Artist",not(iserror(vlookup($F354,'Reference info'!$J$38:$J$405,1,0))),"Performer",not(iserror(vlookup($F354,'Reference info'!$J$10:$J$36,1,0))),"Producer &amp; Engineer")</f>
        <v/>
      </c>
    </row>
    <row r="355">
      <c r="A355" s="28"/>
      <c r="B355" s="103"/>
      <c r="C355" s="121" t="str">
        <f t="array" ref="C355">ifs(and(isblank($A355),isblank($B355)),"", not(iserror(vlookup($A355&amp;$B355,'3) Release_Label'!$D:$D&amp;'3) Release_Label'!$E:$E,1,0))),vlookup($A355&amp;$B355,{'3) Release_Label'!$D:$D&amp;'3) Release_Label'!$E:$E,'3) Release_Label'!$F:$F},2,0), or(and(not(isblank($B355)),$B355=$B354,$A355&lt;&gt;$A354),and(not(isblank($A355)),$A355=$A354,$B355&lt;&gt;$B354)),"ID LISTS UNALIGNED",and($A355&lt;&gt;"",countif('3) Release_Label'!$D:$D,$A355)=0),"NO UPC MATCH in Release_Label",and($B355&lt;&gt;"",countif('3) Release_Label'!$E:$E,$B355)=0),"NO CATALOG ID MATCH in Release_Label",iserror(vlookup($A355&amp;$B355,'3) Release_Label'!$D:$D&amp;'3) Release_Label'!$E:$E,1,0)),"NO UPC-CATALOG ID pair MATCH in Release_Label" )</f>
        <v/>
      </c>
      <c r="D355" s="121" t="str">
        <f t="array" ref="D355">ifs(and(isblank($A355),isblank($B355)),"", not(iserror(vlookup($A355&amp;$B355,'3) Release_Label'!$D:$D&amp;'3) Release_Label'!$E:$E,1,0))),vlookup($A355&amp;$B355,{'3) Release_Label'!$D:$D&amp;'3) Release_Label'!$E:$E,'3) Release_Label'!$H:$H},2,0), or(and(not(isblank($B355)),$B355=$B354,$A355&lt;&gt;$A354),and(not(isblank($A355)),$A355=$A354,$B355&lt;&gt;$B354)),"ID LISTS UNALIGNED",and($A355&lt;&gt;"",countif('3) Release_Label'!$D:$D,$A355)=0),"NO UPC MATCH in Release_Label",and($B355&lt;&gt;"",countif('3) Release_Label'!$E:$E,$B355)=0),"NO CATALOG ID MATCH in Release_Label",iserror(vlookup($A355&amp;$B355,'3) Release_Label'!$D:$D&amp;'3) Release_Label'!$E:$E,1,0)),"NO UPC-CATALOG ID pair MATCH in Release_Label" )</f>
        <v/>
      </c>
      <c r="E355" s="99"/>
      <c r="F355" s="99"/>
      <c r="G355" s="123" t="str">
        <f t="array" ref="G355">ifs(or($F355="",$F355="Main Primary Artist"),$F355,not(iserror(vlookup($F355,'Reference info'!$J$5:$J$8,1,0))),"Key Artist",not(iserror(vlookup($F355,'Reference info'!$J$38:$J$405,1,0))),"Performer",not(iserror(vlookup($F355,'Reference info'!$J$10:$J$36,1,0))),"Producer &amp; Engineer")</f>
        <v/>
      </c>
    </row>
    <row r="356">
      <c r="A356" s="28"/>
      <c r="B356" s="103"/>
      <c r="C356" s="121" t="str">
        <f t="array" ref="C356">ifs(and(isblank($A356),isblank($B356)),"", not(iserror(vlookup($A356&amp;$B356,'3) Release_Label'!$D:$D&amp;'3) Release_Label'!$E:$E,1,0))),vlookup($A356&amp;$B356,{'3) Release_Label'!$D:$D&amp;'3) Release_Label'!$E:$E,'3) Release_Label'!$F:$F},2,0), or(and(not(isblank($B356)),$B356=$B355,$A356&lt;&gt;$A355),and(not(isblank($A356)),$A356=$A355,$B356&lt;&gt;$B355)),"ID LISTS UNALIGNED",and($A356&lt;&gt;"",countif('3) Release_Label'!$D:$D,$A356)=0),"NO UPC MATCH in Release_Label",and($B356&lt;&gt;"",countif('3) Release_Label'!$E:$E,$B356)=0),"NO CATALOG ID MATCH in Release_Label",iserror(vlookup($A356&amp;$B356,'3) Release_Label'!$D:$D&amp;'3) Release_Label'!$E:$E,1,0)),"NO UPC-CATALOG ID pair MATCH in Release_Label" )</f>
        <v/>
      </c>
      <c r="D356" s="121" t="str">
        <f t="array" ref="D356">ifs(and(isblank($A356),isblank($B356)),"", not(iserror(vlookup($A356&amp;$B356,'3) Release_Label'!$D:$D&amp;'3) Release_Label'!$E:$E,1,0))),vlookup($A356&amp;$B356,{'3) Release_Label'!$D:$D&amp;'3) Release_Label'!$E:$E,'3) Release_Label'!$H:$H},2,0), or(and(not(isblank($B356)),$B356=$B355,$A356&lt;&gt;$A355),and(not(isblank($A356)),$A356=$A355,$B356&lt;&gt;$B355)),"ID LISTS UNALIGNED",and($A356&lt;&gt;"",countif('3) Release_Label'!$D:$D,$A356)=0),"NO UPC MATCH in Release_Label",and($B356&lt;&gt;"",countif('3) Release_Label'!$E:$E,$B356)=0),"NO CATALOG ID MATCH in Release_Label",iserror(vlookup($A356&amp;$B356,'3) Release_Label'!$D:$D&amp;'3) Release_Label'!$E:$E,1,0)),"NO UPC-CATALOG ID pair MATCH in Release_Label" )</f>
        <v/>
      </c>
      <c r="E356" s="99"/>
      <c r="F356" s="99"/>
      <c r="G356" s="123" t="str">
        <f t="array" ref="G356">ifs(or($F356="",$F356="Main Primary Artist"),$F356,not(iserror(vlookup($F356,'Reference info'!$J$5:$J$8,1,0))),"Key Artist",not(iserror(vlookup($F356,'Reference info'!$J$38:$J$405,1,0))),"Performer",not(iserror(vlookup($F356,'Reference info'!$J$10:$J$36,1,0))),"Producer &amp; Engineer")</f>
        <v/>
      </c>
    </row>
    <row r="357">
      <c r="A357" s="28"/>
      <c r="B357" s="103"/>
      <c r="C357" s="121" t="str">
        <f t="array" ref="C357">ifs(and(isblank($A357),isblank($B357)),"", not(iserror(vlookup($A357&amp;$B357,'3) Release_Label'!$D:$D&amp;'3) Release_Label'!$E:$E,1,0))),vlookup($A357&amp;$B357,{'3) Release_Label'!$D:$D&amp;'3) Release_Label'!$E:$E,'3) Release_Label'!$F:$F},2,0), or(and(not(isblank($B357)),$B357=$B356,$A357&lt;&gt;$A356),and(not(isblank($A357)),$A357=$A356,$B357&lt;&gt;$B356)),"ID LISTS UNALIGNED",and($A357&lt;&gt;"",countif('3) Release_Label'!$D:$D,$A357)=0),"NO UPC MATCH in Release_Label",and($B357&lt;&gt;"",countif('3) Release_Label'!$E:$E,$B357)=0),"NO CATALOG ID MATCH in Release_Label",iserror(vlookup($A357&amp;$B357,'3) Release_Label'!$D:$D&amp;'3) Release_Label'!$E:$E,1,0)),"NO UPC-CATALOG ID pair MATCH in Release_Label" )</f>
        <v/>
      </c>
      <c r="D357" s="121" t="str">
        <f t="array" ref="D357">ifs(and(isblank($A357),isblank($B357)),"", not(iserror(vlookup($A357&amp;$B357,'3) Release_Label'!$D:$D&amp;'3) Release_Label'!$E:$E,1,0))),vlookup($A357&amp;$B357,{'3) Release_Label'!$D:$D&amp;'3) Release_Label'!$E:$E,'3) Release_Label'!$H:$H},2,0), or(and(not(isblank($B357)),$B357=$B356,$A357&lt;&gt;$A356),and(not(isblank($A357)),$A357=$A356,$B357&lt;&gt;$B356)),"ID LISTS UNALIGNED",and($A357&lt;&gt;"",countif('3) Release_Label'!$D:$D,$A357)=0),"NO UPC MATCH in Release_Label",and($B357&lt;&gt;"",countif('3) Release_Label'!$E:$E,$B357)=0),"NO CATALOG ID MATCH in Release_Label",iserror(vlookup($A357&amp;$B357,'3) Release_Label'!$D:$D&amp;'3) Release_Label'!$E:$E,1,0)),"NO UPC-CATALOG ID pair MATCH in Release_Label" )</f>
        <v/>
      </c>
      <c r="E357" s="99"/>
      <c r="F357" s="99"/>
      <c r="G357" s="123" t="str">
        <f t="array" ref="G357">ifs(or($F357="",$F357="Main Primary Artist"),$F357,not(iserror(vlookup($F357,'Reference info'!$J$5:$J$8,1,0))),"Key Artist",not(iserror(vlookup($F357,'Reference info'!$J$38:$J$405,1,0))),"Performer",not(iserror(vlookup($F357,'Reference info'!$J$10:$J$36,1,0))),"Producer &amp; Engineer")</f>
        <v/>
      </c>
    </row>
    <row r="358">
      <c r="A358" s="28"/>
      <c r="B358" s="103"/>
      <c r="C358" s="121" t="str">
        <f t="array" ref="C358">ifs(and(isblank($A358),isblank($B358)),"", not(iserror(vlookup($A358&amp;$B358,'3) Release_Label'!$D:$D&amp;'3) Release_Label'!$E:$E,1,0))),vlookup($A358&amp;$B358,{'3) Release_Label'!$D:$D&amp;'3) Release_Label'!$E:$E,'3) Release_Label'!$F:$F},2,0), or(and(not(isblank($B358)),$B358=$B357,$A358&lt;&gt;$A357),and(not(isblank($A358)),$A358=$A357,$B358&lt;&gt;$B357)),"ID LISTS UNALIGNED",and($A358&lt;&gt;"",countif('3) Release_Label'!$D:$D,$A358)=0),"NO UPC MATCH in Release_Label",and($B358&lt;&gt;"",countif('3) Release_Label'!$E:$E,$B358)=0),"NO CATALOG ID MATCH in Release_Label",iserror(vlookup($A358&amp;$B358,'3) Release_Label'!$D:$D&amp;'3) Release_Label'!$E:$E,1,0)),"NO UPC-CATALOG ID pair MATCH in Release_Label" )</f>
        <v/>
      </c>
      <c r="D358" s="121" t="str">
        <f t="array" ref="D358">ifs(and(isblank($A358),isblank($B358)),"", not(iserror(vlookup($A358&amp;$B358,'3) Release_Label'!$D:$D&amp;'3) Release_Label'!$E:$E,1,0))),vlookup($A358&amp;$B358,{'3) Release_Label'!$D:$D&amp;'3) Release_Label'!$E:$E,'3) Release_Label'!$H:$H},2,0), or(and(not(isblank($B358)),$B358=$B357,$A358&lt;&gt;$A357),and(not(isblank($A358)),$A358=$A357,$B358&lt;&gt;$B357)),"ID LISTS UNALIGNED",and($A358&lt;&gt;"",countif('3) Release_Label'!$D:$D,$A358)=0),"NO UPC MATCH in Release_Label",and($B358&lt;&gt;"",countif('3) Release_Label'!$E:$E,$B358)=0),"NO CATALOG ID MATCH in Release_Label",iserror(vlookup($A358&amp;$B358,'3) Release_Label'!$D:$D&amp;'3) Release_Label'!$E:$E,1,0)),"NO UPC-CATALOG ID pair MATCH in Release_Label" )</f>
        <v/>
      </c>
      <c r="E358" s="99"/>
      <c r="F358" s="99"/>
      <c r="G358" s="123" t="str">
        <f t="array" ref="G358">ifs(or($F358="",$F358="Main Primary Artist"),$F358,not(iserror(vlookup($F358,'Reference info'!$J$5:$J$8,1,0))),"Key Artist",not(iserror(vlookup($F358,'Reference info'!$J$38:$J$405,1,0))),"Performer",not(iserror(vlookup($F358,'Reference info'!$J$10:$J$36,1,0))),"Producer &amp; Engineer")</f>
        <v/>
      </c>
    </row>
    <row r="359">
      <c r="A359" s="28"/>
      <c r="B359" s="103"/>
      <c r="C359" s="121" t="str">
        <f t="array" ref="C359">ifs(and(isblank($A359),isblank($B359)),"", not(iserror(vlookup($A359&amp;$B359,'3) Release_Label'!$D:$D&amp;'3) Release_Label'!$E:$E,1,0))),vlookup($A359&amp;$B359,{'3) Release_Label'!$D:$D&amp;'3) Release_Label'!$E:$E,'3) Release_Label'!$F:$F},2,0), or(and(not(isblank($B359)),$B359=$B358,$A359&lt;&gt;$A358),and(not(isblank($A359)),$A359=$A358,$B359&lt;&gt;$B358)),"ID LISTS UNALIGNED",and($A359&lt;&gt;"",countif('3) Release_Label'!$D:$D,$A359)=0),"NO UPC MATCH in Release_Label",and($B359&lt;&gt;"",countif('3) Release_Label'!$E:$E,$B359)=0),"NO CATALOG ID MATCH in Release_Label",iserror(vlookup($A359&amp;$B359,'3) Release_Label'!$D:$D&amp;'3) Release_Label'!$E:$E,1,0)),"NO UPC-CATALOG ID pair MATCH in Release_Label" )</f>
        <v/>
      </c>
      <c r="D359" s="121" t="str">
        <f t="array" ref="D359">ifs(and(isblank($A359),isblank($B359)),"", not(iserror(vlookup($A359&amp;$B359,'3) Release_Label'!$D:$D&amp;'3) Release_Label'!$E:$E,1,0))),vlookup($A359&amp;$B359,{'3) Release_Label'!$D:$D&amp;'3) Release_Label'!$E:$E,'3) Release_Label'!$H:$H},2,0), or(and(not(isblank($B359)),$B359=$B358,$A359&lt;&gt;$A358),and(not(isblank($A359)),$A359=$A358,$B359&lt;&gt;$B358)),"ID LISTS UNALIGNED",and($A359&lt;&gt;"",countif('3) Release_Label'!$D:$D,$A359)=0),"NO UPC MATCH in Release_Label",and($B359&lt;&gt;"",countif('3) Release_Label'!$E:$E,$B359)=0),"NO CATALOG ID MATCH in Release_Label",iserror(vlookup($A359&amp;$B359,'3) Release_Label'!$D:$D&amp;'3) Release_Label'!$E:$E,1,0)),"NO UPC-CATALOG ID pair MATCH in Release_Label" )</f>
        <v/>
      </c>
      <c r="E359" s="99"/>
      <c r="F359" s="99"/>
      <c r="G359" s="123" t="str">
        <f t="array" ref="G359">ifs(or($F359="",$F359="Main Primary Artist"),$F359,not(iserror(vlookup($F359,'Reference info'!$J$5:$J$8,1,0))),"Key Artist",not(iserror(vlookup($F359,'Reference info'!$J$38:$J$405,1,0))),"Performer",not(iserror(vlookup($F359,'Reference info'!$J$10:$J$36,1,0))),"Producer &amp; Engineer")</f>
        <v/>
      </c>
    </row>
    <row r="360">
      <c r="A360" s="28"/>
      <c r="B360" s="103"/>
      <c r="C360" s="121" t="str">
        <f t="array" ref="C360">ifs(and(isblank($A360),isblank($B360)),"", not(iserror(vlookup($A360&amp;$B360,'3) Release_Label'!$D:$D&amp;'3) Release_Label'!$E:$E,1,0))),vlookup($A360&amp;$B360,{'3) Release_Label'!$D:$D&amp;'3) Release_Label'!$E:$E,'3) Release_Label'!$F:$F},2,0), or(and(not(isblank($B360)),$B360=$B359,$A360&lt;&gt;$A359),and(not(isblank($A360)),$A360=$A359,$B360&lt;&gt;$B359)),"ID LISTS UNALIGNED",and($A360&lt;&gt;"",countif('3) Release_Label'!$D:$D,$A360)=0),"NO UPC MATCH in Release_Label",and($B360&lt;&gt;"",countif('3) Release_Label'!$E:$E,$B360)=0),"NO CATALOG ID MATCH in Release_Label",iserror(vlookup($A360&amp;$B360,'3) Release_Label'!$D:$D&amp;'3) Release_Label'!$E:$E,1,0)),"NO UPC-CATALOG ID pair MATCH in Release_Label" )</f>
        <v/>
      </c>
      <c r="D360" s="121" t="str">
        <f t="array" ref="D360">ifs(and(isblank($A360),isblank($B360)),"", not(iserror(vlookup($A360&amp;$B360,'3) Release_Label'!$D:$D&amp;'3) Release_Label'!$E:$E,1,0))),vlookup($A360&amp;$B360,{'3) Release_Label'!$D:$D&amp;'3) Release_Label'!$E:$E,'3) Release_Label'!$H:$H},2,0), or(and(not(isblank($B360)),$B360=$B359,$A360&lt;&gt;$A359),and(not(isblank($A360)),$A360=$A359,$B360&lt;&gt;$B359)),"ID LISTS UNALIGNED",and($A360&lt;&gt;"",countif('3) Release_Label'!$D:$D,$A360)=0),"NO UPC MATCH in Release_Label",and($B360&lt;&gt;"",countif('3) Release_Label'!$E:$E,$B360)=0),"NO CATALOG ID MATCH in Release_Label",iserror(vlookup($A360&amp;$B360,'3) Release_Label'!$D:$D&amp;'3) Release_Label'!$E:$E,1,0)),"NO UPC-CATALOG ID pair MATCH in Release_Label" )</f>
        <v/>
      </c>
      <c r="E360" s="99"/>
      <c r="F360" s="99"/>
      <c r="G360" s="123" t="str">
        <f t="array" ref="G360">ifs(or($F360="",$F360="Main Primary Artist"),$F360,not(iserror(vlookup($F360,'Reference info'!$J$5:$J$8,1,0))),"Key Artist",not(iserror(vlookup($F360,'Reference info'!$J$38:$J$405,1,0))),"Performer",not(iserror(vlookup($F360,'Reference info'!$J$10:$J$36,1,0))),"Producer &amp; Engineer")</f>
        <v/>
      </c>
    </row>
    <row r="361">
      <c r="A361" s="28"/>
      <c r="B361" s="103"/>
      <c r="C361" s="121" t="str">
        <f t="array" ref="C361">ifs(and(isblank($A361),isblank($B361)),"", not(iserror(vlookup($A361&amp;$B361,'3) Release_Label'!$D:$D&amp;'3) Release_Label'!$E:$E,1,0))),vlookup($A361&amp;$B361,{'3) Release_Label'!$D:$D&amp;'3) Release_Label'!$E:$E,'3) Release_Label'!$F:$F},2,0), or(and(not(isblank($B361)),$B361=$B360,$A361&lt;&gt;$A360),and(not(isblank($A361)),$A361=$A360,$B361&lt;&gt;$B360)),"ID LISTS UNALIGNED",and($A361&lt;&gt;"",countif('3) Release_Label'!$D:$D,$A361)=0),"NO UPC MATCH in Release_Label",and($B361&lt;&gt;"",countif('3) Release_Label'!$E:$E,$B361)=0),"NO CATALOG ID MATCH in Release_Label",iserror(vlookup($A361&amp;$B361,'3) Release_Label'!$D:$D&amp;'3) Release_Label'!$E:$E,1,0)),"NO UPC-CATALOG ID pair MATCH in Release_Label" )</f>
        <v/>
      </c>
      <c r="D361" s="121" t="str">
        <f t="array" ref="D361">ifs(and(isblank($A361),isblank($B361)),"", not(iserror(vlookup($A361&amp;$B361,'3) Release_Label'!$D:$D&amp;'3) Release_Label'!$E:$E,1,0))),vlookup($A361&amp;$B361,{'3) Release_Label'!$D:$D&amp;'3) Release_Label'!$E:$E,'3) Release_Label'!$H:$H},2,0), or(and(not(isblank($B361)),$B361=$B360,$A361&lt;&gt;$A360),and(not(isblank($A361)),$A361=$A360,$B361&lt;&gt;$B360)),"ID LISTS UNALIGNED",and($A361&lt;&gt;"",countif('3) Release_Label'!$D:$D,$A361)=0),"NO UPC MATCH in Release_Label",and($B361&lt;&gt;"",countif('3) Release_Label'!$E:$E,$B361)=0),"NO CATALOG ID MATCH in Release_Label",iserror(vlookup($A361&amp;$B361,'3) Release_Label'!$D:$D&amp;'3) Release_Label'!$E:$E,1,0)),"NO UPC-CATALOG ID pair MATCH in Release_Label" )</f>
        <v/>
      </c>
      <c r="E361" s="99"/>
      <c r="F361" s="99"/>
      <c r="G361" s="123" t="str">
        <f t="array" ref="G361">ifs(or($F361="",$F361="Main Primary Artist"),$F361,not(iserror(vlookup($F361,'Reference info'!$J$5:$J$8,1,0))),"Key Artist",not(iserror(vlookup($F361,'Reference info'!$J$38:$J$405,1,0))),"Performer",not(iserror(vlookup($F361,'Reference info'!$J$10:$J$36,1,0))),"Producer &amp; Engineer")</f>
        <v/>
      </c>
    </row>
    <row r="362">
      <c r="A362" s="28"/>
      <c r="B362" s="103"/>
      <c r="C362" s="121" t="str">
        <f t="array" ref="C362">ifs(and(isblank($A362),isblank($B362)),"", not(iserror(vlookup($A362&amp;$B362,'3) Release_Label'!$D:$D&amp;'3) Release_Label'!$E:$E,1,0))),vlookup($A362&amp;$B362,{'3) Release_Label'!$D:$D&amp;'3) Release_Label'!$E:$E,'3) Release_Label'!$F:$F},2,0), or(and(not(isblank($B362)),$B362=$B361,$A362&lt;&gt;$A361),and(not(isblank($A362)),$A362=$A361,$B362&lt;&gt;$B361)),"ID LISTS UNALIGNED",and($A362&lt;&gt;"",countif('3) Release_Label'!$D:$D,$A362)=0),"NO UPC MATCH in Release_Label",and($B362&lt;&gt;"",countif('3) Release_Label'!$E:$E,$B362)=0),"NO CATALOG ID MATCH in Release_Label",iserror(vlookup($A362&amp;$B362,'3) Release_Label'!$D:$D&amp;'3) Release_Label'!$E:$E,1,0)),"NO UPC-CATALOG ID pair MATCH in Release_Label" )</f>
        <v/>
      </c>
      <c r="D362" s="121" t="str">
        <f t="array" ref="D362">ifs(and(isblank($A362),isblank($B362)),"", not(iserror(vlookup($A362&amp;$B362,'3) Release_Label'!$D:$D&amp;'3) Release_Label'!$E:$E,1,0))),vlookup($A362&amp;$B362,{'3) Release_Label'!$D:$D&amp;'3) Release_Label'!$E:$E,'3) Release_Label'!$H:$H},2,0), or(and(not(isblank($B362)),$B362=$B361,$A362&lt;&gt;$A361),and(not(isblank($A362)),$A362=$A361,$B362&lt;&gt;$B361)),"ID LISTS UNALIGNED",and($A362&lt;&gt;"",countif('3) Release_Label'!$D:$D,$A362)=0),"NO UPC MATCH in Release_Label",and($B362&lt;&gt;"",countif('3) Release_Label'!$E:$E,$B362)=0),"NO CATALOG ID MATCH in Release_Label",iserror(vlookup($A362&amp;$B362,'3) Release_Label'!$D:$D&amp;'3) Release_Label'!$E:$E,1,0)),"NO UPC-CATALOG ID pair MATCH in Release_Label" )</f>
        <v/>
      </c>
      <c r="E362" s="99"/>
      <c r="F362" s="99"/>
      <c r="G362" s="123" t="str">
        <f t="array" ref="G362">ifs(or($F362="",$F362="Main Primary Artist"),$F362,not(iserror(vlookup($F362,'Reference info'!$J$5:$J$8,1,0))),"Key Artist",not(iserror(vlookup($F362,'Reference info'!$J$38:$J$405,1,0))),"Performer",not(iserror(vlookup($F362,'Reference info'!$J$10:$J$36,1,0))),"Producer &amp; Engineer")</f>
        <v/>
      </c>
    </row>
    <row r="363">
      <c r="A363" s="28"/>
      <c r="B363" s="103"/>
      <c r="C363" s="121" t="str">
        <f t="array" ref="C363">ifs(and(isblank($A363),isblank($B363)),"", not(iserror(vlookup($A363&amp;$B363,'3) Release_Label'!$D:$D&amp;'3) Release_Label'!$E:$E,1,0))),vlookup($A363&amp;$B363,{'3) Release_Label'!$D:$D&amp;'3) Release_Label'!$E:$E,'3) Release_Label'!$F:$F},2,0), or(and(not(isblank($B363)),$B363=$B362,$A363&lt;&gt;$A362),and(not(isblank($A363)),$A363=$A362,$B363&lt;&gt;$B362)),"ID LISTS UNALIGNED",and($A363&lt;&gt;"",countif('3) Release_Label'!$D:$D,$A363)=0),"NO UPC MATCH in Release_Label",and($B363&lt;&gt;"",countif('3) Release_Label'!$E:$E,$B363)=0),"NO CATALOG ID MATCH in Release_Label",iserror(vlookup($A363&amp;$B363,'3) Release_Label'!$D:$D&amp;'3) Release_Label'!$E:$E,1,0)),"NO UPC-CATALOG ID pair MATCH in Release_Label" )</f>
        <v/>
      </c>
      <c r="D363" s="121" t="str">
        <f t="array" ref="D363">ifs(and(isblank($A363),isblank($B363)),"", not(iserror(vlookup($A363&amp;$B363,'3) Release_Label'!$D:$D&amp;'3) Release_Label'!$E:$E,1,0))),vlookup($A363&amp;$B363,{'3) Release_Label'!$D:$D&amp;'3) Release_Label'!$E:$E,'3) Release_Label'!$H:$H},2,0), or(and(not(isblank($B363)),$B363=$B362,$A363&lt;&gt;$A362),and(not(isblank($A363)),$A363=$A362,$B363&lt;&gt;$B362)),"ID LISTS UNALIGNED",and($A363&lt;&gt;"",countif('3) Release_Label'!$D:$D,$A363)=0),"NO UPC MATCH in Release_Label",and($B363&lt;&gt;"",countif('3) Release_Label'!$E:$E,$B363)=0),"NO CATALOG ID MATCH in Release_Label",iserror(vlookup($A363&amp;$B363,'3) Release_Label'!$D:$D&amp;'3) Release_Label'!$E:$E,1,0)),"NO UPC-CATALOG ID pair MATCH in Release_Label" )</f>
        <v/>
      </c>
      <c r="E363" s="99"/>
      <c r="F363" s="99"/>
      <c r="G363" s="123" t="str">
        <f t="array" ref="G363">ifs(or($F363="",$F363="Main Primary Artist"),$F363,not(iserror(vlookup($F363,'Reference info'!$J$5:$J$8,1,0))),"Key Artist",not(iserror(vlookup($F363,'Reference info'!$J$38:$J$405,1,0))),"Performer",not(iserror(vlookup($F363,'Reference info'!$J$10:$J$36,1,0))),"Producer &amp; Engineer")</f>
        <v/>
      </c>
    </row>
    <row r="364">
      <c r="A364" s="28"/>
      <c r="B364" s="103"/>
      <c r="C364" s="121" t="str">
        <f t="array" ref="C364">ifs(and(isblank($A364),isblank($B364)),"", not(iserror(vlookup($A364&amp;$B364,'3) Release_Label'!$D:$D&amp;'3) Release_Label'!$E:$E,1,0))),vlookup($A364&amp;$B364,{'3) Release_Label'!$D:$D&amp;'3) Release_Label'!$E:$E,'3) Release_Label'!$F:$F},2,0), or(and(not(isblank($B364)),$B364=$B363,$A364&lt;&gt;$A363),and(not(isblank($A364)),$A364=$A363,$B364&lt;&gt;$B363)),"ID LISTS UNALIGNED",and($A364&lt;&gt;"",countif('3) Release_Label'!$D:$D,$A364)=0),"NO UPC MATCH in Release_Label",and($B364&lt;&gt;"",countif('3) Release_Label'!$E:$E,$B364)=0),"NO CATALOG ID MATCH in Release_Label",iserror(vlookup($A364&amp;$B364,'3) Release_Label'!$D:$D&amp;'3) Release_Label'!$E:$E,1,0)),"NO UPC-CATALOG ID pair MATCH in Release_Label" )</f>
        <v/>
      </c>
      <c r="D364" s="121" t="str">
        <f t="array" ref="D364">ifs(and(isblank($A364),isblank($B364)),"", not(iserror(vlookup($A364&amp;$B364,'3) Release_Label'!$D:$D&amp;'3) Release_Label'!$E:$E,1,0))),vlookup($A364&amp;$B364,{'3) Release_Label'!$D:$D&amp;'3) Release_Label'!$E:$E,'3) Release_Label'!$H:$H},2,0), or(and(not(isblank($B364)),$B364=$B363,$A364&lt;&gt;$A363),and(not(isblank($A364)),$A364=$A363,$B364&lt;&gt;$B363)),"ID LISTS UNALIGNED",and($A364&lt;&gt;"",countif('3) Release_Label'!$D:$D,$A364)=0),"NO UPC MATCH in Release_Label",and($B364&lt;&gt;"",countif('3) Release_Label'!$E:$E,$B364)=0),"NO CATALOG ID MATCH in Release_Label",iserror(vlookup($A364&amp;$B364,'3) Release_Label'!$D:$D&amp;'3) Release_Label'!$E:$E,1,0)),"NO UPC-CATALOG ID pair MATCH in Release_Label" )</f>
        <v/>
      </c>
      <c r="E364" s="99"/>
      <c r="F364" s="99"/>
      <c r="G364" s="123" t="str">
        <f t="array" ref="G364">ifs(or($F364="",$F364="Main Primary Artist"),$F364,not(iserror(vlookup($F364,'Reference info'!$J$5:$J$8,1,0))),"Key Artist",not(iserror(vlookup($F364,'Reference info'!$J$38:$J$405,1,0))),"Performer",not(iserror(vlookup($F364,'Reference info'!$J$10:$J$36,1,0))),"Producer &amp; Engineer")</f>
        <v/>
      </c>
    </row>
    <row r="365">
      <c r="A365" s="28"/>
      <c r="B365" s="103"/>
      <c r="C365" s="121" t="str">
        <f t="array" ref="C365">ifs(and(isblank($A365),isblank($B365)),"", not(iserror(vlookup($A365&amp;$B365,'3) Release_Label'!$D:$D&amp;'3) Release_Label'!$E:$E,1,0))),vlookup($A365&amp;$B365,{'3) Release_Label'!$D:$D&amp;'3) Release_Label'!$E:$E,'3) Release_Label'!$F:$F},2,0), or(and(not(isblank($B365)),$B365=$B364,$A365&lt;&gt;$A364),and(not(isblank($A365)),$A365=$A364,$B365&lt;&gt;$B364)),"ID LISTS UNALIGNED",and($A365&lt;&gt;"",countif('3) Release_Label'!$D:$D,$A365)=0),"NO UPC MATCH in Release_Label",and($B365&lt;&gt;"",countif('3) Release_Label'!$E:$E,$B365)=0),"NO CATALOG ID MATCH in Release_Label",iserror(vlookup($A365&amp;$B365,'3) Release_Label'!$D:$D&amp;'3) Release_Label'!$E:$E,1,0)),"NO UPC-CATALOG ID pair MATCH in Release_Label" )</f>
        <v/>
      </c>
      <c r="D365" s="121" t="str">
        <f t="array" ref="D365">ifs(and(isblank($A365),isblank($B365)),"", not(iserror(vlookup($A365&amp;$B365,'3) Release_Label'!$D:$D&amp;'3) Release_Label'!$E:$E,1,0))),vlookup($A365&amp;$B365,{'3) Release_Label'!$D:$D&amp;'3) Release_Label'!$E:$E,'3) Release_Label'!$H:$H},2,0), or(and(not(isblank($B365)),$B365=$B364,$A365&lt;&gt;$A364),and(not(isblank($A365)),$A365=$A364,$B365&lt;&gt;$B364)),"ID LISTS UNALIGNED",and($A365&lt;&gt;"",countif('3) Release_Label'!$D:$D,$A365)=0),"NO UPC MATCH in Release_Label",and($B365&lt;&gt;"",countif('3) Release_Label'!$E:$E,$B365)=0),"NO CATALOG ID MATCH in Release_Label",iserror(vlookup($A365&amp;$B365,'3) Release_Label'!$D:$D&amp;'3) Release_Label'!$E:$E,1,0)),"NO UPC-CATALOG ID pair MATCH in Release_Label" )</f>
        <v/>
      </c>
      <c r="E365" s="99"/>
      <c r="F365" s="99"/>
      <c r="G365" s="123" t="str">
        <f t="array" ref="G365">ifs(or($F365="",$F365="Main Primary Artist"),$F365,not(iserror(vlookup($F365,'Reference info'!$J$5:$J$8,1,0))),"Key Artist",not(iserror(vlookup($F365,'Reference info'!$J$38:$J$405,1,0))),"Performer",not(iserror(vlookup($F365,'Reference info'!$J$10:$J$36,1,0))),"Producer &amp; Engineer")</f>
        <v/>
      </c>
    </row>
    <row r="366">
      <c r="A366" s="28"/>
      <c r="B366" s="103"/>
      <c r="C366" s="121" t="str">
        <f t="array" ref="C366">ifs(and(isblank($A366),isblank($B366)),"", not(iserror(vlookup($A366&amp;$B366,'3) Release_Label'!$D:$D&amp;'3) Release_Label'!$E:$E,1,0))),vlookup($A366&amp;$B366,{'3) Release_Label'!$D:$D&amp;'3) Release_Label'!$E:$E,'3) Release_Label'!$F:$F},2,0), or(and(not(isblank($B366)),$B366=$B365,$A366&lt;&gt;$A365),and(not(isblank($A366)),$A366=$A365,$B366&lt;&gt;$B365)),"ID LISTS UNALIGNED",and($A366&lt;&gt;"",countif('3) Release_Label'!$D:$D,$A366)=0),"NO UPC MATCH in Release_Label",and($B366&lt;&gt;"",countif('3) Release_Label'!$E:$E,$B366)=0),"NO CATALOG ID MATCH in Release_Label",iserror(vlookup($A366&amp;$B366,'3) Release_Label'!$D:$D&amp;'3) Release_Label'!$E:$E,1,0)),"NO UPC-CATALOG ID pair MATCH in Release_Label" )</f>
        <v/>
      </c>
      <c r="D366" s="121" t="str">
        <f t="array" ref="D366">ifs(and(isblank($A366),isblank($B366)),"", not(iserror(vlookup($A366&amp;$B366,'3) Release_Label'!$D:$D&amp;'3) Release_Label'!$E:$E,1,0))),vlookup($A366&amp;$B366,{'3) Release_Label'!$D:$D&amp;'3) Release_Label'!$E:$E,'3) Release_Label'!$H:$H},2,0), or(and(not(isblank($B366)),$B366=$B365,$A366&lt;&gt;$A365),and(not(isblank($A366)),$A366=$A365,$B366&lt;&gt;$B365)),"ID LISTS UNALIGNED",and($A366&lt;&gt;"",countif('3) Release_Label'!$D:$D,$A366)=0),"NO UPC MATCH in Release_Label",and($B366&lt;&gt;"",countif('3) Release_Label'!$E:$E,$B366)=0),"NO CATALOG ID MATCH in Release_Label",iserror(vlookup($A366&amp;$B366,'3) Release_Label'!$D:$D&amp;'3) Release_Label'!$E:$E,1,0)),"NO UPC-CATALOG ID pair MATCH in Release_Label" )</f>
        <v/>
      </c>
      <c r="E366" s="99"/>
      <c r="F366" s="99"/>
      <c r="G366" s="123" t="str">
        <f t="array" ref="G366">ifs(or($F366="",$F366="Main Primary Artist"),$F366,not(iserror(vlookup($F366,'Reference info'!$J$5:$J$8,1,0))),"Key Artist",not(iserror(vlookup($F366,'Reference info'!$J$38:$J$405,1,0))),"Performer",not(iserror(vlookup($F366,'Reference info'!$J$10:$J$36,1,0))),"Producer &amp; Engineer")</f>
        <v/>
      </c>
    </row>
    <row r="367">
      <c r="A367" s="28"/>
      <c r="B367" s="103"/>
      <c r="C367" s="121" t="str">
        <f t="array" ref="C367">ifs(and(isblank($A367),isblank($B367)),"", not(iserror(vlookup($A367&amp;$B367,'3) Release_Label'!$D:$D&amp;'3) Release_Label'!$E:$E,1,0))),vlookup($A367&amp;$B367,{'3) Release_Label'!$D:$D&amp;'3) Release_Label'!$E:$E,'3) Release_Label'!$F:$F},2,0), or(and(not(isblank($B367)),$B367=$B366,$A367&lt;&gt;$A366),and(not(isblank($A367)),$A367=$A366,$B367&lt;&gt;$B366)),"ID LISTS UNALIGNED",and($A367&lt;&gt;"",countif('3) Release_Label'!$D:$D,$A367)=0),"NO UPC MATCH in Release_Label",and($B367&lt;&gt;"",countif('3) Release_Label'!$E:$E,$B367)=0),"NO CATALOG ID MATCH in Release_Label",iserror(vlookup($A367&amp;$B367,'3) Release_Label'!$D:$D&amp;'3) Release_Label'!$E:$E,1,0)),"NO UPC-CATALOG ID pair MATCH in Release_Label" )</f>
        <v/>
      </c>
      <c r="D367" s="121" t="str">
        <f t="array" ref="D367">ifs(and(isblank($A367),isblank($B367)),"", not(iserror(vlookup($A367&amp;$B367,'3) Release_Label'!$D:$D&amp;'3) Release_Label'!$E:$E,1,0))),vlookup($A367&amp;$B367,{'3) Release_Label'!$D:$D&amp;'3) Release_Label'!$E:$E,'3) Release_Label'!$H:$H},2,0), or(and(not(isblank($B367)),$B367=$B366,$A367&lt;&gt;$A366),and(not(isblank($A367)),$A367=$A366,$B367&lt;&gt;$B366)),"ID LISTS UNALIGNED",and($A367&lt;&gt;"",countif('3) Release_Label'!$D:$D,$A367)=0),"NO UPC MATCH in Release_Label",and($B367&lt;&gt;"",countif('3) Release_Label'!$E:$E,$B367)=0),"NO CATALOG ID MATCH in Release_Label",iserror(vlookup($A367&amp;$B367,'3) Release_Label'!$D:$D&amp;'3) Release_Label'!$E:$E,1,0)),"NO UPC-CATALOG ID pair MATCH in Release_Label" )</f>
        <v/>
      </c>
      <c r="E367" s="99"/>
      <c r="F367" s="99"/>
      <c r="G367" s="123" t="str">
        <f t="array" ref="G367">ifs(or($F367="",$F367="Main Primary Artist"),$F367,not(iserror(vlookup($F367,'Reference info'!$J$5:$J$8,1,0))),"Key Artist",not(iserror(vlookup($F367,'Reference info'!$J$38:$J$405,1,0))),"Performer",not(iserror(vlookup($F367,'Reference info'!$J$10:$J$36,1,0))),"Producer &amp; Engineer")</f>
        <v/>
      </c>
    </row>
    <row r="368">
      <c r="A368" s="28"/>
      <c r="B368" s="103"/>
      <c r="C368" s="121" t="str">
        <f t="array" ref="C368">ifs(and(isblank($A368),isblank($B368)),"", not(iserror(vlookup($A368&amp;$B368,'3) Release_Label'!$D:$D&amp;'3) Release_Label'!$E:$E,1,0))),vlookup($A368&amp;$B368,{'3) Release_Label'!$D:$D&amp;'3) Release_Label'!$E:$E,'3) Release_Label'!$F:$F},2,0), or(and(not(isblank($B368)),$B368=$B367,$A368&lt;&gt;$A367),and(not(isblank($A368)),$A368=$A367,$B368&lt;&gt;$B367)),"ID LISTS UNALIGNED",and($A368&lt;&gt;"",countif('3) Release_Label'!$D:$D,$A368)=0),"NO UPC MATCH in Release_Label",and($B368&lt;&gt;"",countif('3) Release_Label'!$E:$E,$B368)=0),"NO CATALOG ID MATCH in Release_Label",iserror(vlookup($A368&amp;$B368,'3) Release_Label'!$D:$D&amp;'3) Release_Label'!$E:$E,1,0)),"NO UPC-CATALOG ID pair MATCH in Release_Label" )</f>
        <v/>
      </c>
      <c r="D368" s="121" t="str">
        <f t="array" ref="D368">ifs(and(isblank($A368),isblank($B368)),"", not(iserror(vlookup($A368&amp;$B368,'3) Release_Label'!$D:$D&amp;'3) Release_Label'!$E:$E,1,0))),vlookup($A368&amp;$B368,{'3) Release_Label'!$D:$D&amp;'3) Release_Label'!$E:$E,'3) Release_Label'!$H:$H},2,0), or(and(not(isblank($B368)),$B368=$B367,$A368&lt;&gt;$A367),and(not(isblank($A368)),$A368=$A367,$B368&lt;&gt;$B367)),"ID LISTS UNALIGNED",and($A368&lt;&gt;"",countif('3) Release_Label'!$D:$D,$A368)=0),"NO UPC MATCH in Release_Label",and($B368&lt;&gt;"",countif('3) Release_Label'!$E:$E,$B368)=0),"NO CATALOG ID MATCH in Release_Label",iserror(vlookup($A368&amp;$B368,'3) Release_Label'!$D:$D&amp;'3) Release_Label'!$E:$E,1,0)),"NO UPC-CATALOG ID pair MATCH in Release_Label" )</f>
        <v/>
      </c>
      <c r="E368" s="99"/>
      <c r="F368" s="99"/>
      <c r="G368" s="123" t="str">
        <f t="array" ref="G368">ifs(or($F368="",$F368="Main Primary Artist"),$F368,not(iserror(vlookup($F368,'Reference info'!$J$5:$J$8,1,0))),"Key Artist",not(iserror(vlookup($F368,'Reference info'!$J$38:$J$405,1,0))),"Performer",not(iserror(vlookup($F368,'Reference info'!$J$10:$J$36,1,0))),"Producer &amp; Engineer")</f>
        <v/>
      </c>
    </row>
    <row r="369">
      <c r="A369" s="28"/>
      <c r="B369" s="103"/>
      <c r="C369" s="121" t="str">
        <f t="array" ref="C369">ifs(and(isblank($A369),isblank($B369)),"", not(iserror(vlookup($A369&amp;$B369,'3) Release_Label'!$D:$D&amp;'3) Release_Label'!$E:$E,1,0))),vlookup($A369&amp;$B369,{'3) Release_Label'!$D:$D&amp;'3) Release_Label'!$E:$E,'3) Release_Label'!$F:$F},2,0), or(and(not(isblank($B369)),$B369=$B368,$A369&lt;&gt;$A368),and(not(isblank($A369)),$A369=$A368,$B369&lt;&gt;$B368)),"ID LISTS UNALIGNED",and($A369&lt;&gt;"",countif('3) Release_Label'!$D:$D,$A369)=0),"NO UPC MATCH in Release_Label",and($B369&lt;&gt;"",countif('3) Release_Label'!$E:$E,$B369)=0),"NO CATALOG ID MATCH in Release_Label",iserror(vlookup($A369&amp;$B369,'3) Release_Label'!$D:$D&amp;'3) Release_Label'!$E:$E,1,0)),"NO UPC-CATALOG ID pair MATCH in Release_Label" )</f>
        <v/>
      </c>
      <c r="D369" s="121" t="str">
        <f t="array" ref="D369">ifs(and(isblank($A369),isblank($B369)),"", not(iserror(vlookup($A369&amp;$B369,'3) Release_Label'!$D:$D&amp;'3) Release_Label'!$E:$E,1,0))),vlookup($A369&amp;$B369,{'3) Release_Label'!$D:$D&amp;'3) Release_Label'!$E:$E,'3) Release_Label'!$H:$H},2,0), or(and(not(isblank($B369)),$B369=$B368,$A369&lt;&gt;$A368),and(not(isblank($A369)),$A369=$A368,$B369&lt;&gt;$B368)),"ID LISTS UNALIGNED",and($A369&lt;&gt;"",countif('3) Release_Label'!$D:$D,$A369)=0),"NO UPC MATCH in Release_Label",and($B369&lt;&gt;"",countif('3) Release_Label'!$E:$E,$B369)=0),"NO CATALOG ID MATCH in Release_Label",iserror(vlookup($A369&amp;$B369,'3) Release_Label'!$D:$D&amp;'3) Release_Label'!$E:$E,1,0)),"NO UPC-CATALOG ID pair MATCH in Release_Label" )</f>
        <v/>
      </c>
      <c r="E369" s="99"/>
      <c r="F369" s="99"/>
      <c r="G369" s="123" t="str">
        <f t="array" ref="G369">ifs(or($F369="",$F369="Main Primary Artist"),$F369,not(iserror(vlookup($F369,'Reference info'!$J$5:$J$8,1,0))),"Key Artist",not(iserror(vlookup($F369,'Reference info'!$J$38:$J$405,1,0))),"Performer",not(iserror(vlookup($F369,'Reference info'!$J$10:$J$36,1,0))),"Producer &amp; Engineer")</f>
        <v/>
      </c>
    </row>
    <row r="370">
      <c r="A370" s="28"/>
      <c r="B370" s="103"/>
      <c r="C370" s="121" t="str">
        <f t="array" ref="C370">ifs(and(isblank($A370),isblank($B370)),"", not(iserror(vlookup($A370&amp;$B370,'3) Release_Label'!$D:$D&amp;'3) Release_Label'!$E:$E,1,0))),vlookup($A370&amp;$B370,{'3) Release_Label'!$D:$D&amp;'3) Release_Label'!$E:$E,'3) Release_Label'!$F:$F},2,0), or(and(not(isblank($B370)),$B370=$B369,$A370&lt;&gt;$A369),and(not(isblank($A370)),$A370=$A369,$B370&lt;&gt;$B369)),"ID LISTS UNALIGNED",and($A370&lt;&gt;"",countif('3) Release_Label'!$D:$D,$A370)=0),"NO UPC MATCH in Release_Label",and($B370&lt;&gt;"",countif('3) Release_Label'!$E:$E,$B370)=0),"NO CATALOG ID MATCH in Release_Label",iserror(vlookup($A370&amp;$B370,'3) Release_Label'!$D:$D&amp;'3) Release_Label'!$E:$E,1,0)),"NO UPC-CATALOG ID pair MATCH in Release_Label" )</f>
        <v/>
      </c>
      <c r="D370" s="121" t="str">
        <f t="array" ref="D370">ifs(and(isblank($A370),isblank($B370)),"", not(iserror(vlookup($A370&amp;$B370,'3) Release_Label'!$D:$D&amp;'3) Release_Label'!$E:$E,1,0))),vlookup($A370&amp;$B370,{'3) Release_Label'!$D:$D&amp;'3) Release_Label'!$E:$E,'3) Release_Label'!$H:$H},2,0), or(and(not(isblank($B370)),$B370=$B369,$A370&lt;&gt;$A369),and(not(isblank($A370)),$A370=$A369,$B370&lt;&gt;$B369)),"ID LISTS UNALIGNED",and($A370&lt;&gt;"",countif('3) Release_Label'!$D:$D,$A370)=0),"NO UPC MATCH in Release_Label",and($B370&lt;&gt;"",countif('3) Release_Label'!$E:$E,$B370)=0),"NO CATALOG ID MATCH in Release_Label",iserror(vlookup($A370&amp;$B370,'3) Release_Label'!$D:$D&amp;'3) Release_Label'!$E:$E,1,0)),"NO UPC-CATALOG ID pair MATCH in Release_Label" )</f>
        <v/>
      </c>
      <c r="E370" s="99"/>
      <c r="F370" s="99"/>
      <c r="G370" s="123" t="str">
        <f t="array" ref="G370">ifs(or($F370="",$F370="Main Primary Artist"),$F370,not(iserror(vlookup($F370,'Reference info'!$J$5:$J$8,1,0))),"Key Artist",not(iserror(vlookup($F370,'Reference info'!$J$38:$J$405,1,0))),"Performer",not(iserror(vlookup($F370,'Reference info'!$J$10:$J$36,1,0))),"Producer &amp; Engineer")</f>
        <v/>
      </c>
    </row>
    <row r="371">
      <c r="A371" s="28"/>
      <c r="B371" s="103"/>
      <c r="C371" s="121" t="str">
        <f t="array" ref="C371">ifs(and(isblank($A371),isblank($B371)),"", not(iserror(vlookup($A371&amp;$B371,'3) Release_Label'!$D:$D&amp;'3) Release_Label'!$E:$E,1,0))),vlookup($A371&amp;$B371,{'3) Release_Label'!$D:$D&amp;'3) Release_Label'!$E:$E,'3) Release_Label'!$F:$F},2,0), or(and(not(isblank($B371)),$B371=$B370,$A371&lt;&gt;$A370),and(not(isblank($A371)),$A371=$A370,$B371&lt;&gt;$B370)),"ID LISTS UNALIGNED",and($A371&lt;&gt;"",countif('3) Release_Label'!$D:$D,$A371)=0),"NO UPC MATCH in Release_Label",and($B371&lt;&gt;"",countif('3) Release_Label'!$E:$E,$B371)=0),"NO CATALOG ID MATCH in Release_Label",iserror(vlookup($A371&amp;$B371,'3) Release_Label'!$D:$D&amp;'3) Release_Label'!$E:$E,1,0)),"NO UPC-CATALOG ID pair MATCH in Release_Label" )</f>
        <v/>
      </c>
      <c r="D371" s="121" t="str">
        <f t="array" ref="D371">ifs(and(isblank($A371),isblank($B371)),"", not(iserror(vlookup($A371&amp;$B371,'3) Release_Label'!$D:$D&amp;'3) Release_Label'!$E:$E,1,0))),vlookup($A371&amp;$B371,{'3) Release_Label'!$D:$D&amp;'3) Release_Label'!$E:$E,'3) Release_Label'!$H:$H},2,0), or(and(not(isblank($B371)),$B371=$B370,$A371&lt;&gt;$A370),and(not(isblank($A371)),$A371=$A370,$B371&lt;&gt;$B370)),"ID LISTS UNALIGNED",and($A371&lt;&gt;"",countif('3) Release_Label'!$D:$D,$A371)=0),"NO UPC MATCH in Release_Label",and($B371&lt;&gt;"",countif('3) Release_Label'!$E:$E,$B371)=0),"NO CATALOG ID MATCH in Release_Label",iserror(vlookup($A371&amp;$B371,'3) Release_Label'!$D:$D&amp;'3) Release_Label'!$E:$E,1,0)),"NO UPC-CATALOG ID pair MATCH in Release_Label" )</f>
        <v/>
      </c>
      <c r="E371" s="99"/>
      <c r="F371" s="99"/>
      <c r="G371" s="123" t="str">
        <f t="array" ref="G371">ifs(or($F371="",$F371="Main Primary Artist"),$F371,not(iserror(vlookup($F371,'Reference info'!$J$5:$J$8,1,0))),"Key Artist",not(iserror(vlookup($F371,'Reference info'!$J$38:$J$405,1,0))),"Performer",not(iserror(vlookup($F371,'Reference info'!$J$10:$J$36,1,0))),"Producer &amp; Engineer")</f>
        <v/>
      </c>
    </row>
    <row r="372">
      <c r="A372" s="28"/>
      <c r="B372" s="103"/>
      <c r="C372" s="121" t="str">
        <f t="array" ref="C372">ifs(and(isblank($A372),isblank($B372)),"", not(iserror(vlookup($A372&amp;$B372,'3) Release_Label'!$D:$D&amp;'3) Release_Label'!$E:$E,1,0))),vlookup($A372&amp;$B372,{'3) Release_Label'!$D:$D&amp;'3) Release_Label'!$E:$E,'3) Release_Label'!$F:$F},2,0), or(and(not(isblank($B372)),$B372=$B371,$A372&lt;&gt;$A371),and(not(isblank($A372)),$A372=$A371,$B372&lt;&gt;$B371)),"ID LISTS UNALIGNED",and($A372&lt;&gt;"",countif('3) Release_Label'!$D:$D,$A372)=0),"NO UPC MATCH in Release_Label",and($B372&lt;&gt;"",countif('3) Release_Label'!$E:$E,$B372)=0),"NO CATALOG ID MATCH in Release_Label",iserror(vlookup($A372&amp;$B372,'3) Release_Label'!$D:$D&amp;'3) Release_Label'!$E:$E,1,0)),"NO UPC-CATALOG ID pair MATCH in Release_Label" )</f>
        <v/>
      </c>
      <c r="D372" s="121" t="str">
        <f t="array" ref="D372">ifs(and(isblank($A372),isblank($B372)),"", not(iserror(vlookup($A372&amp;$B372,'3) Release_Label'!$D:$D&amp;'3) Release_Label'!$E:$E,1,0))),vlookup($A372&amp;$B372,{'3) Release_Label'!$D:$D&amp;'3) Release_Label'!$E:$E,'3) Release_Label'!$H:$H},2,0), or(and(not(isblank($B372)),$B372=$B371,$A372&lt;&gt;$A371),and(not(isblank($A372)),$A372=$A371,$B372&lt;&gt;$B371)),"ID LISTS UNALIGNED",and($A372&lt;&gt;"",countif('3) Release_Label'!$D:$D,$A372)=0),"NO UPC MATCH in Release_Label",and($B372&lt;&gt;"",countif('3) Release_Label'!$E:$E,$B372)=0),"NO CATALOG ID MATCH in Release_Label",iserror(vlookup($A372&amp;$B372,'3) Release_Label'!$D:$D&amp;'3) Release_Label'!$E:$E,1,0)),"NO UPC-CATALOG ID pair MATCH in Release_Label" )</f>
        <v/>
      </c>
      <c r="E372" s="99"/>
      <c r="F372" s="99"/>
      <c r="G372" s="123" t="str">
        <f t="array" ref="G372">ifs(or($F372="",$F372="Main Primary Artist"),$F372,not(iserror(vlookup($F372,'Reference info'!$J$5:$J$8,1,0))),"Key Artist",not(iserror(vlookup($F372,'Reference info'!$J$38:$J$405,1,0))),"Performer",not(iserror(vlookup($F372,'Reference info'!$J$10:$J$36,1,0))),"Producer &amp; Engineer")</f>
        <v/>
      </c>
    </row>
    <row r="373">
      <c r="A373" s="28"/>
      <c r="B373" s="103"/>
      <c r="C373" s="121" t="str">
        <f t="array" ref="C373">ifs(and(isblank($A373),isblank($B373)),"", not(iserror(vlookup($A373&amp;$B373,'3) Release_Label'!$D:$D&amp;'3) Release_Label'!$E:$E,1,0))),vlookup($A373&amp;$B373,{'3) Release_Label'!$D:$D&amp;'3) Release_Label'!$E:$E,'3) Release_Label'!$F:$F},2,0), or(and(not(isblank($B373)),$B373=$B372,$A373&lt;&gt;$A372),and(not(isblank($A373)),$A373=$A372,$B373&lt;&gt;$B372)),"ID LISTS UNALIGNED",and($A373&lt;&gt;"",countif('3) Release_Label'!$D:$D,$A373)=0),"NO UPC MATCH in Release_Label",and($B373&lt;&gt;"",countif('3) Release_Label'!$E:$E,$B373)=0),"NO CATALOG ID MATCH in Release_Label",iserror(vlookup($A373&amp;$B373,'3) Release_Label'!$D:$D&amp;'3) Release_Label'!$E:$E,1,0)),"NO UPC-CATALOG ID pair MATCH in Release_Label" )</f>
        <v/>
      </c>
      <c r="D373" s="121" t="str">
        <f t="array" ref="D373">ifs(and(isblank($A373),isblank($B373)),"", not(iserror(vlookup($A373&amp;$B373,'3) Release_Label'!$D:$D&amp;'3) Release_Label'!$E:$E,1,0))),vlookup($A373&amp;$B373,{'3) Release_Label'!$D:$D&amp;'3) Release_Label'!$E:$E,'3) Release_Label'!$H:$H},2,0), or(and(not(isblank($B373)),$B373=$B372,$A373&lt;&gt;$A372),and(not(isblank($A373)),$A373=$A372,$B373&lt;&gt;$B372)),"ID LISTS UNALIGNED",and($A373&lt;&gt;"",countif('3) Release_Label'!$D:$D,$A373)=0),"NO UPC MATCH in Release_Label",and($B373&lt;&gt;"",countif('3) Release_Label'!$E:$E,$B373)=0),"NO CATALOG ID MATCH in Release_Label",iserror(vlookup($A373&amp;$B373,'3) Release_Label'!$D:$D&amp;'3) Release_Label'!$E:$E,1,0)),"NO UPC-CATALOG ID pair MATCH in Release_Label" )</f>
        <v/>
      </c>
      <c r="E373" s="99"/>
      <c r="F373" s="99"/>
      <c r="G373" s="123" t="str">
        <f t="array" ref="G373">ifs(or($F373="",$F373="Main Primary Artist"),$F373,not(iserror(vlookup($F373,'Reference info'!$J$5:$J$8,1,0))),"Key Artist",not(iserror(vlookup($F373,'Reference info'!$J$38:$J$405,1,0))),"Performer",not(iserror(vlookup($F373,'Reference info'!$J$10:$J$36,1,0))),"Producer &amp; Engineer")</f>
        <v/>
      </c>
    </row>
    <row r="374">
      <c r="A374" s="28"/>
      <c r="B374" s="103"/>
      <c r="C374" s="121" t="str">
        <f t="array" ref="C374">ifs(and(isblank($A374),isblank($B374)),"", not(iserror(vlookup($A374&amp;$B374,'3) Release_Label'!$D:$D&amp;'3) Release_Label'!$E:$E,1,0))),vlookup($A374&amp;$B374,{'3) Release_Label'!$D:$D&amp;'3) Release_Label'!$E:$E,'3) Release_Label'!$F:$F},2,0), or(and(not(isblank($B374)),$B374=$B373,$A374&lt;&gt;$A373),and(not(isblank($A374)),$A374=$A373,$B374&lt;&gt;$B373)),"ID LISTS UNALIGNED",and($A374&lt;&gt;"",countif('3) Release_Label'!$D:$D,$A374)=0),"NO UPC MATCH in Release_Label",and($B374&lt;&gt;"",countif('3) Release_Label'!$E:$E,$B374)=0),"NO CATALOG ID MATCH in Release_Label",iserror(vlookup($A374&amp;$B374,'3) Release_Label'!$D:$D&amp;'3) Release_Label'!$E:$E,1,0)),"NO UPC-CATALOG ID pair MATCH in Release_Label" )</f>
        <v/>
      </c>
      <c r="D374" s="121" t="str">
        <f t="array" ref="D374">ifs(and(isblank($A374),isblank($B374)),"", not(iserror(vlookup($A374&amp;$B374,'3) Release_Label'!$D:$D&amp;'3) Release_Label'!$E:$E,1,0))),vlookup($A374&amp;$B374,{'3) Release_Label'!$D:$D&amp;'3) Release_Label'!$E:$E,'3) Release_Label'!$H:$H},2,0), or(and(not(isblank($B374)),$B374=$B373,$A374&lt;&gt;$A373),and(not(isblank($A374)),$A374=$A373,$B374&lt;&gt;$B373)),"ID LISTS UNALIGNED",and($A374&lt;&gt;"",countif('3) Release_Label'!$D:$D,$A374)=0),"NO UPC MATCH in Release_Label",and($B374&lt;&gt;"",countif('3) Release_Label'!$E:$E,$B374)=0),"NO CATALOG ID MATCH in Release_Label",iserror(vlookup($A374&amp;$B374,'3) Release_Label'!$D:$D&amp;'3) Release_Label'!$E:$E,1,0)),"NO UPC-CATALOG ID pair MATCH in Release_Label" )</f>
        <v/>
      </c>
      <c r="E374" s="99"/>
      <c r="F374" s="99"/>
      <c r="G374" s="123" t="str">
        <f t="array" ref="G374">ifs(or($F374="",$F374="Main Primary Artist"),$F374,not(iserror(vlookup($F374,'Reference info'!$J$5:$J$8,1,0))),"Key Artist",not(iserror(vlookup($F374,'Reference info'!$J$38:$J$405,1,0))),"Performer",not(iserror(vlookup($F374,'Reference info'!$J$10:$J$36,1,0))),"Producer &amp; Engineer")</f>
        <v/>
      </c>
    </row>
    <row r="375">
      <c r="A375" s="28"/>
      <c r="B375" s="103"/>
      <c r="C375" s="121" t="str">
        <f t="array" ref="C375">ifs(and(isblank($A375),isblank($B375)),"", not(iserror(vlookup($A375&amp;$B375,'3) Release_Label'!$D:$D&amp;'3) Release_Label'!$E:$E,1,0))),vlookup($A375&amp;$B375,{'3) Release_Label'!$D:$D&amp;'3) Release_Label'!$E:$E,'3) Release_Label'!$F:$F},2,0), or(and(not(isblank($B375)),$B375=$B374,$A375&lt;&gt;$A374),and(not(isblank($A375)),$A375=$A374,$B375&lt;&gt;$B374)),"ID LISTS UNALIGNED",and($A375&lt;&gt;"",countif('3) Release_Label'!$D:$D,$A375)=0),"NO UPC MATCH in Release_Label",and($B375&lt;&gt;"",countif('3) Release_Label'!$E:$E,$B375)=0),"NO CATALOG ID MATCH in Release_Label",iserror(vlookup($A375&amp;$B375,'3) Release_Label'!$D:$D&amp;'3) Release_Label'!$E:$E,1,0)),"NO UPC-CATALOG ID pair MATCH in Release_Label" )</f>
        <v/>
      </c>
      <c r="D375" s="121" t="str">
        <f t="array" ref="D375">ifs(and(isblank($A375),isblank($B375)),"", not(iserror(vlookup($A375&amp;$B375,'3) Release_Label'!$D:$D&amp;'3) Release_Label'!$E:$E,1,0))),vlookup($A375&amp;$B375,{'3) Release_Label'!$D:$D&amp;'3) Release_Label'!$E:$E,'3) Release_Label'!$H:$H},2,0), or(and(not(isblank($B375)),$B375=$B374,$A375&lt;&gt;$A374),and(not(isblank($A375)),$A375=$A374,$B375&lt;&gt;$B374)),"ID LISTS UNALIGNED",and($A375&lt;&gt;"",countif('3) Release_Label'!$D:$D,$A375)=0),"NO UPC MATCH in Release_Label",and($B375&lt;&gt;"",countif('3) Release_Label'!$E:$E,$B375)=0),"NO CATALOG ID MATCH in Release_Label",iserror(vlookup($A375&amp;$B375,'3) Release_Label'!$D:$D&amp;'3) Release_Label'!$E:$E,1,0)),"NO UPC-CATALOG ID pair MATCH in Release_Label" )</f>
        <v/>
      </c>
      <c r="E375" s="99"/>
      <c r="F375" s="99"/>
      <c r="G375" s="123" t="str">
        <f t="array" ref="G375">ifs(or($F375="",$F375="Main Primary Artist"),$F375,not(iserror(vlookup($F375,'Reference info'!$J$5:$J$8,1,0))),"Key Artist",not(iserror(vlookup($F375,'Reference info'!$J$38:$J$405,1,0))),"Performer",not(iserror(vlookup($F375,'Reference info'!$J$10:$J$36,1,0))),"Producer &amp; Engineer")</f>
        <v/>
      </c>
    </row>
    <row r="376">
      <c r="A376" s="28"/>
      <c r="B376" s="103"/>
      <c r="C376" s="121" t="str">
        <f t="array" ref="C376">ifs(and(isblank($A376),isblank($B376)),"", not(iserror(vlookup($A376&amp;$B376,'3) Release_Label'!$D:$D&amp;'3) Release_Label'!$E:$E,1,0))),vlookup($A376&amp;$B376,{'3) Release_Label'!$D:$D&amp;'3) Release_Label'!$E:$E,'3) Release_Label'!$F:$F},2,0), or(and(not(isblank($B376)),$B376=$B375,$A376&lt;&gt;$A375),and(not(isblank($A376)),$A376=$A375,$B376&lt;&gt;$B375)),"ID LISTS UNALIGNED",and($A376&lt;&gt;"",countif('3) Release_Label'!$D:$D,$A376)=0),"NO UPC MATCH in Release_Label",and($B376&lt;&gt;"",countif('3) Release_Label'!$E:$E,$B376)=0),"NO CATALOG ID MATCH in Release_Label",iserror(vlookup($A376&amp;$B376,'3) Release_Label'!$D:$D&amp;'3) Release_Label'!$E:$E,1,0)),"NO UPC-CATALOG ID pair MATCH in Release_Label" )</f>
        <v/>
      </c>
      <c r="D376" s="121" t="str">
        <f t="array" ref="D376">ifs(and(isblank($A376),isblank($B376)),"", not(iserror(vlookup($A376&amp;$B376,'3) Release_Label'!$D:$D&amp;'3) Release_Label'!$E:$E,1,0))),vlookup($A376&amp;$B376,{'3) Release_Label'!$D:$D&amp;'3) Release_Label'!$E:$E,'3) Release_Label'!$H:$H},2,0), or(and(not(isblank($B376)),$B376=$B375,$A376&lt;&gt;$A375),and(not(isblank($A376)),$A376=$A375,$B376&lt;&gt;$B375)),"ID LISTS UNALIGNED",and($A376&lt;&gt;"",countif('3) Release_Label'!$D:$D,$A376)=0),"NO UPC MATCH in Release_Label",and($B376&lt;&gt;"",countif('3) Release_Label'!$E:$E,$B376)=0),"NO CATALOG ID MATCH in Release_Label",iserror(vlookup($A376&amp;$B376,'3) Release_Label'!$D:$D&amp;'3) Release_Label'!$E:$E,1,0)),"NO UPC-CATALOG ID pair MATCH in Release_Label" )</f>
        <v/>
      </c>
      <c r="E376" s="99"/>
      <c r="F376" s="99"/>
      <c r="G376" s="123" t="str">
        <f t="array" ref="G376">ifs(or($F376="",$F376="Main Primary Artist"),$F376,not(iserror(vlookup($F376,'Reference info'!$J$5:$J$8,1,0))),"Key Artist",not(iserror(vlookup($F376,'Reference info'!$J$38:$J$405,1,0))),"Performer",not(iserror(vlookup($F376,'Reference info'!$J$10:$J$36,1,0))),"Producer &amp; Engineer")</f>
        <v/>
      </c>
    </row>
    <row r="377">
      <c r="A377" s="28"/>
      <c r="B377" s="103"/>
      <c r="C377" s="121" t="str">
        <f t="array" ref="C377">ifs(and(isblank($A377),isblank($B377)),"", not(iserror(vlookup($A377&amp;$B377,'3) Release_Label'!$D:$D&amp;'3) Release_Label'!$E:$E,1,0))),vlookup($A377&amp;$B377,{'3) Release_Label'!$D:$D&amp;'3) Release_Label'!$E:$E,'3) Release_Label'!$F:$F},2,0), or(and(not(isblank($B377)),$B377=$B376,$A377&lt;&gt;$A376),and(not(isblank($A377)),$A377=$A376,$B377&lt;&gt;$B376)),"ID LISTS UNALIGNED",and($A377&lt;&gt;"",countif('3) Release_Label'!$D:$D,$A377)=0),"NO UPC MATCH in Release_Label",and($B377&lt;&gt;"",countif('3) Release_Label'!$E:$E,$B377)=0),"NO CATALOG ID MATCH in Release_Label",iserror(vlookup($A377&amp;$B377,'3) Release_Label'!$D:$D&amp;'3) Release_Label'!$E:$E,1,0)),"NO UPC-CATALOG ID pair MATCH in Release_Label" )</f>
        <v/>
      </c>
      <c r="D377" s="121" t="str">
        <f t="array" ref="D377">ifs(and(isblank($A377),isblank($B377)),"", not(iserror(vlookup($A377&amp;$B377,'3) Release_Label'!$D:$D&amp;'3) Release_Label'!$E:$E,1,0))),vlookup($A377&amp;$B377,{'3) Release_Label'!$D:$D&amp;'3) Release_Label'!$E:$E,'3) Release_Label'!$H:$H},2,0), or(and(not(isblank($B377)),$B377=$B376,$A377&lt;&gt;$A376),and(not(isblank($A377)),$A377=$A376,$B377&lt;&gt;$B376)),"ID LISTS UNALIGNED",and($A377&lt;&gt;"",countif('3) Release_Label'!$D:$D,$A377)=0),"NO UPC MATCH in Release_Label",and($B377&lt;&gt;"",countif('3) Release_Label'!$E:$E,$B377)=0),"NO CATALOG ID MATCH in Release_Label",iserror(vlookup($A377&amp;$B377,'3) Release_Label'!$D:$D&amp;'3) Release_Label'!$E:$E,1,0)),"NO UPC-CATALOG ID pair MATCH in Release_Label" )</f>
        <v/>
      </c>
      <c r="E377" s="99"/>
      <c r="F377" s="99"/>
      <c r="G377" s="123" t="str">
        <f t="array" ref="G377">ifs(or($F377="",$F377="Main Primary Artist"),$F377,not(iserror(vlookup($F377,'Reference info'!$J$5:$J$8,1,0))),"Key Artist",not(iserror(vlookup($F377,'Reference info'!$J$38:$J$405,1,0))),"Performer",not(iserror(vlookup($F377,'Reference info'!$J$10:$J$36,1,0))),"Producer &amp; Engineer")</f>
        <v/>
      </c>
    </row>
    <row r="378">
      <c r="A378" s="28"/>
      <c r="B378" s="103"/>
      <c r="C378" s="121" t="str">
        <f t="array" ref="C378">ifs(and(isblank($A378),isblank($B378)),"", not(iserror(vlookup($A378&amp;$B378,'3) Release_Label'!$D:$D&amp;'3) Release_Label'!$E:$E,1,0))),vlookup($A378&amp;$B378,{'3) Release_Label'!$D:$D&amp;'3) Release_Label'!$E:$E,'3) Release_Label'!$F:$F},2,0), or(and(not(isblank($B378)),$B378=$B377,$A378&lt;&gt;$A377),and(not(isblank($A378)),$A378=$A377,$B378&lt;&gt;$B377)),"ID LISTS UNALIGNED",and($A378&lt;&gt;"",countif('3) Release_Label'!$D:$D,$A378)=0),"NO UPC MATCH in Release_Label",and($B378&lt;&gt;"",countif('3) Release_Label'!$E:$E,$B378)=0),"NO CATALOG ID MATCH in Release_Label",iserror(vlookup($A378&amp;$B378,'3) Release_Label'!$D:$D&amp;'3) Release_Label'!$E:$E,1,0)),"NO UPC-CATALOG ID pair MATCH in Release_Label" )</f>
        <v/>
      </c>
      <c r="D378" s="121" t="str">
        <f t="array" ref="D378">ifs(and(isblank($A378),isblank($B378)),"", not(iserror(vlookup($A378&amp;$B378,'3) Release_Label'!$D:$D&amp;'3) Release_Label'!$E:$E,1,0))),vlookup($A378&amp;$B378,{'3) Release_Label'!$D:$D&amp;'3) Release_Label'!$E:$E,'3) Release_Label'!$H:$H},2,0), or(and(not(isblank($B378)),$B378=$B377,$A378&lt;&gt;$A377),and(not(isblank($A378)),$A378=$A377,$B378&lt;&gt;$B377)),"ID LISTS UNALIGNED",and($A378&lt;&gt;"",countif('3) Release_Label'!$D:$D,$A378)=0),"NO UPC MATCH in Release_Label",and($B378&lt;&gt;"",countif('3) Release_Label'!$E:$E,$B378)=0),"NO CATALOG ID MATCH in Release_Label",iserror(vlookup($A378&amp;$B378,'3) Release_Label'!$D:$D&amp;'3) Release_Label'!$E:$E,1,0)),"NO UPC-CATALOG ID pair MATCH in Release_Label" )</f>
        <v/>
      </c>
      <c r="E378" s="99"/>
      <c r="F378" s="99"/>
      <c r="G378" s="123" t="str">
        <f t="array" ref="G378">ifs(or($F378="",$F378="Main Primary Artist"),$F378,not(iserror(vlookup($F378,'Reference info'!$J$5:$J$8,1,0))),"Key Artist",not(iserror(vlookup($F378,'Reference info'!$J$38:$J$405,1,0))),"Performer",not(iserror(vlookup($F378,'Reference info'!$J$10:$J$36,1,0))),"Producer &amp; Engineer")</f>
        <v/>
      </c>
    </row>
    <row r="379">
      <c r="A379" s="28"/>
      <c r="B379" s="103"/>
      <c r="C379" s="121" t="str">
        <f t="array" ref="C379">ifs(and(isblank($A379),isblank($B379)),"", not(iserror(vlookup($A379&amp;$B379,'3) Release_Label'!$D:$D&amp;'3) Release_Label'!$E:$E,1,0))),vlookup($A379&amp;$B379,{'3) Release_Label'!$D:$D&amp;'3) Release_Label'!$E:$E,'3) Release_Label'!$F:$F},2,0), or(and(not(isblank($B379)),$B379=$B378,$A379&lt;&gt;$A378),and(not(isblank($A379)),$A379=$A378,$B379&lt;&gt;$B378)),"ID LISTS UNALIGNED",and($A379&lt;&gt;"",countif('3) Release_Label'!$D:$D,$A379)=0),"NO UPC MATCH in Release_Label",and($B379&lt;&gt;"",countif('3) Release_Label'!$E:$E,$B379)=0),"NO CATALOG ID MATCH in Release_Label",iserror(vlookup($A379&amp;$B379,'3) Release_Label'!$D:$D&amp;'3) Release_Label'!$E:$E,1,0)),"NO UPC-CATALOG ID pair MATCH in Release_Label" )</f>
        <v/>
      </c>
      <c r="D379" s="121" t="str">
        <f t="array" ref="D379">ifs(and(isblank($A379),isblank($B379)),"", not(iserror(vlookup($A379&amp;$B379,'3) Release_Label'!$D:$D&amp;'3) Release_Label'!$E:$E,1,0))),vlookup($A379&amp;$B379,{'3) Release_Label'!$D:$D&amp;'3) Release_Label'!$E:$E,'3) Release_Label'!$H:$H},2,0), or(and(not(isblank($B379)),$B379=$B378,$A379&lt;&gt;$A378),and(not(isblank($A379)),$A379=$A378,$B379&lt;&gt;$B378)),"ID LISTS UNALIGNED",and($A379&lt;&gt;"",countif('3) Release_Label'!$D:$D,$A379)=0),"NO UPC MATCH in Release_Label",and($B379&lt;&gt;"",countif('3) Release_Label'!$E:$E,$B379)=0),"NO CATALOG ID MATCH in Release_Label",iserror(vlookup($A379&amp;$B379,'3) Release_Label'!$D:$D&amp;'3) Release_Label'!$E:$E,1,0)),"NO UPC-CATALOG ID pair MATCH in Release_Label" )</f>
        <v/>
      </c>
      <c r="E379" s="99"/>
      <c r="F379" s="99"/>
      <c r="G379" s="123" t="str">
        <f t="array" ref="G379">ifs(or($F379="",$F379="Main Primary Artist"),$F379,not(iserror(vlookup($F379,'Reference info'!$J$5:$J$8,1,0))),"Key Artist",not(iserror(vlookup($F379,'Reference info'!$J$38:$J$405,1,0))),"Performer",not(iserror(vlookup($F379,'Reference info'!$J$10:$J$36,1,0))),"Producer &amp; Engineer")</f>
        <v/>
      </c>
    </row>
    <row r="380">
      <c r="A380" s="28"/>
      <c r="B380" s="103"/>
      <c r="C380" s="121" t="str">
        <f t="array" ref="C380">ifs(and(isblank($A380),isblank($B380)),"", not(iserror(vlookup($A380&amp;$B380,'3) Release_Label'!$D:$D&amp;'3) Release_Label'!$E:$E,1,0))),vlookup($A380&amp;$B380,{'3) Release_Label'!$D:$D&amp;'3) Release_Label'!$E:$E,'3) Release_Label'!$F:$F},2,0), or(and(not(isblank($B380)),$B380=$B379,$A380&lt;&gt;$A379),and(not(isblank($A380)),$A380=$A379,$B380&lt;&gt;$B379)),"ID LISTS UNALIGNED",and($A380&lt;&gt;"",countif('3) Release_Label'!$D:$D,$A380)=0),"NO UPC MATCH in Release_Label",and($B380&lt;&gt;"",countif('3) Release_Label'!$E:$E,$B380)=0),"NO CATALOG ID MATCH in Release_Label",iserror(vlookup($A380&amp;$B380,'3) Release_Label'!$D:$D&amp;'3) Release_Label'!$E:$E,1,0)),"NO UPC-CATALOG ID pair MATCH in Release_Label" )</f>
        <v/>
      </c>
      <c r="D380" s="121" t="str">
        <f t="array" ref="D380">ifs(and(isblank($A380),isblank($B380)),"", not(iserror(vlookup($A380&amp;$B380,'3) Release_Label'!$D:$D&amp;'3) Release_Label'!$E:$E,1,0))),vlookup($A380&amp;$B380,{'3) Release_Label'!$D:$D&amp;'3) Release_Label'!$E:$E,'3) Release_Label'!$H:$H},2,0), or(and(not(isblank($B380)),$B380=$B379,$A380&lt;&gt;$A379),and(not(isblank($A380)),$A380=$A379,$B380&lt;&gt;$B379)),"ID LISTS UNALIGNED",and($A380&lt;&gt;"",countif('3) Release_Label'!$D:$D,$A380)=0),"NO UPC MATCH in Release_Label",and($B380&lt;&gt;"",countif('3) Release_Label'!$E:$E,$B380)=0),"NO CATALOG ID MATCH in Release_Label",iserror(vlookup($A380&amp;$B380,'3) Release_Label'!$D:$D&amp;'3) Release_Label'!$E:$E,1,0)),"NO UPC-CATALOG ID pair MATCH in Release_Label" )</f>
        <v/>
      </c>
      <c r="E380" s="99"/>
      <c r="F380" s="99"/>
      <c r="G380" s="123" t="str">
        <f t="array" ref="G380">ifs(or($F380="",$F380="Main Primary Artist"),$F380,not(iserror(vlookup($F380,'Reference info'!$J$5:$J$8,1,0))),"Key Artist",not(iserror(vlookup($F380,'Reference info'!$J$38:$J$405,1,0))),"Performer",not(iserror(vlookup($F380,'Reference info'!$J$10:$J$36,1,0))),"Producer &amp; Engineer")</f>
        <v/>
      </c>
    </row>
    <row r="381">
      <c r="A381" s="28"/>
      <c r="B381" s="103"/>
      <c r="C381" s="121" t="str">
        <f t="array" ref="C381">ifs(and(isblank($A381),isblank($B381)),"", not(iserror(vlookup($A381&amp;$B381,'3) Release_Label'!$D:$D&amp;'3) Release_Label'!$E:$E,1,0))),vlookup($A381&amp;$B381,{'3) Release_Label'!$D:$D&amp;'3) Release_Label'!$E:$E,'3) Release_Label'!$F:$F},2,0), or(and(not(isblank($B381)),$B381=$B380,$A381&lt;&gt;$A380),and(not(isblank($A381)),$A381=$A380,$B381&lt;&gt;$B380)),"ID LISTS UNALIGNED",and($A381&lt;&gt;"",countif('3) Release_Label'!$D:$D,$A381)=0),"NO UPC MATCH in Release_Label",and($B381&lt;&gt;"",countif('3) Release_Label'!$E:$E,$B381)=0),"NO CATALOG ID MATCH in Release_Label",iserror(vlookup($A381&amp;$B381,'3) Release_Label'!$D:$D&amp;'3) Release_Label'!$E:$E,1,0)),"NO UPC-CATALOG ID pair MATCH in Release_Label" )</f>
        <v/>
      </c>
      <c r="D381" s="121" t="str">
        <f t="array" ref="D381">ifs(and(isblank($A381),isblank($B381)),"", not(iserror(vlookup($A381&amp;$B381,'3) Release_Label'!$D:$D&amp;'3) Release_Label'!$E:$E,1,0))),vlookup($A381&amp;$B381,{'3) Release_Label'!$D:$D&amp;'3) Release_Label'!$E:$E,'3) Release_Label'!$H:$H},2,0), or(and(not(isblank($B381)),$B381=$B380,$A381&lt;&gt;$A380),and(not(isblank($A381)),$A381=$A380,$B381&lt;&gt;$B380)),"ID LISTS UNALIGNED",and($A381&lt;&gt;"",countif('3) Release_Label'!$D:$D,$A381)=0),"NO UPC MATCH in Release_Label",and($B381&lt;&gt;"",countif('3) Release_Label'!$E:$E,$B381)=0),"NO CATALOG ID MATCH in Release_Label",iserror(vlookup($A381&amp;$B381,'3) Release_Label'!$D:$D&amp;'3) Release_Label'!$E:$E,1,0)),"NO UPC-CATALOG ID pair MATCH in Release_Label" )</f>
        <v/>
      </c>
      <c r="E381" s="99"/>
      <c r="F381" s="99"/>
      <c r="G381" s="123" t="str">
        <f t="array" ref="G381">ifs(or($F381="",$F381="Main Primary Artist"),$F381,not(iserror(vlookup($F381,'Reference info'!$J$5:$J$8,1,0))),"Key Artist",not(iserror(vlookup($F381,'Reference info'!$J$38:$J$405,1,0))),"Performer",not(iserror(vlookup($F381,'Reference info'!$J$10:$J$36,1,0))),"Producer &amp; Engineer")</f>
        <v/>
      </c>
    </row>
    <row r="382">
      <c r="A382" s="28"/>
      <c r="B382" s="103"/>
      <c r="C382" s="121" t="str">
        <f t="array" ref="C382">ifs(and(isblank($A382),isblank($B382)),"", not(iserror(vlookup($A382&amp;$B382,'3) Release_Label'!$D:$D&amp;'3) Release_Label'!$E:$E,1,0))),vlookup($A382&amp;$B382,{'3) Release_Label'!$D:$D&amp;'3) Release_Label'!$E:$E,'3) Release_Label'!$F:$F},2,0), or(and(not(isblank($B382)),$B382=$B381,$A382&lt;&gt;$A381),and(not(isblank($A382)),$A382=$A381,$B382&lt;&gt;$B381)),"ID LISTS UNALIGNED",and($A382&lt;&gt;"",countif('3) Release_Label'!$D:$D,$A382)=0),"NO UPC MATCH in Release_Label",and($B382&lt;&gt;"",countif('3) Release_Label'!$E:$E,$B382)=0),"NO CATALOG ID MATCH in Release_Label",iserror(vlookup($A382&amp;$B382,'3) Release_Label'!$D:$D&amp;'3) Release_Label'!$E:$E,1,0)),"NO UPC-CATALOG ID pair MATCH in Release_Label" )</f>
        <v/>
      </c>
      <c r="D382" s="121" t="str">
        <f t="array" ref="D382">ifs(and(isblank($A382),isblank($B382)),"", not(iserror(vlookup($A382&amp;$B382,'3) Release_Label'!$D:$D&amp;'3) Release_Label'!$E:$E,1,0))),vlookup($A382&amp;$B382,{'3) Release_Label'!$D:$D&amp;'3) Release_Label'!$E:$E,'3) Release_Label'!$H:$H},2,0), or(and(not(isblank($B382)),$B382=$B381,$A382&lt;&gt;$A381),and(not(isblank($A382)),$A382=$A381,$B382&lt;&gt;$B381)),"ID LISTS UNALIGNED",and($A382&lt;&gt;"",countif('3) Release_Label'!$D:$D,$A382)=0),"NO UPC MATCH in Release_Label",and($B382&lt;&gt;"",countif('3) Release_Label'!$E:$E,$B382)=0),"NO CATALOG ID MATCH in Release_Label",iserror(vlookup($A382&amp;$B382,'3) Release_Label'!$D:$D&amp;'3) Release_Label'!$E:$E,1,0)),"NO UPC-CATALOG ID pair MATCH in Release_Label" )</f>
        <v/>
      </c>
      <c r="E382" s="99"/>
      <c r="F382" s="99"/>
      <c r="G382" s="123" t="str">
        <f t="array" ref="G382">ifs(or($F382="",$F382="Main Primary Artist"),$F382,not(iserror(vlookup($F382,'Reference info'!$J$5:$J$8,1,0))),"Key Artist",not(iserror(vlookup($F382,'Reference info'!$J$38:$J$405,1,0))),"Performer",not(iserror(vlookup($F382,'Reference info'!$J$10:$J$36,1,0))),"Producer &amp; Engineer")</f>
        <v/>
      </c>
    </row>
    <row r="383">
      <c r="A383" s="28"/>
      <c r="B383" s="103"/>
      <c r="C383" s="121" t="str">
        <f t="array" ref="C383">ifs(and(isblank($A383),isblank($B383)),"", not(iserror(vlookup($A383&amp;$B383,'3) Release_Label'!$D:$D&amp;'3) Release_Label'!$E:$E,1,0))),vlookup($A383&amp;$B383,{'3) Release_Label'!$D:$D&amp;'3) Release_Label'!$E:$E,'3) Release_Label'!$F:$F},2,0), or(and(not(isblank($B383)),$B383=$B382,$A383&lt;&gt;$A382),and(not(isblank($A383)),$A383=$A382,$B383&lt;&gt;$B382)),"ID LISTS UNALIGNED",and($A383&lt;&gt;"",countif('3) Release_Label'!$D:$D,$A383)=0),"NO UPC MATCH in Release_Label",and($B383&lt;&gt;"",countif('3) Release_Label'!$E:$E,$B383)=0),"NO CATALOG ID MATCH in Release_Label",iserror(vlookup($A383&amp;$B383,'3) Release_Label'!$D:$D&amp;'3) Release_Label'!$E:$E,1,0)),"NO UPC-CATALOG ID pair MATCH in Release_Label" )</f>
        <v/>
      </c>
      <c r="D383" s="121" t="str">
        <f t="array" ref="D383">ifs(and(isblank($A383),isblank($B383)),"", not(iserror(vlookup($A383&amp;$B383,'3) Release_Label'!$D:$D&amp;'3) Release_Label'!$E:$E,1,0))),vlookup($A383&amp;$B383,{'3) Release_Label'!$D:$D&amp;'3) Release_Label'!$E:$E,'3) Release_Label'!$H:$H},2,0), or(and(not(isblank($B383)),$B383=$B382,$A383&lt;&gt;$A382),and(not(isblank($A383)),$A383=$A382,$B383&lt;&gt;$B382)),"ID LISTS UNALIGNED",and($A383&lt;&gt;"",countif('3) Release_Label'!$D:$D,$A383)=0),"NO UPC MATCH in Release_Label",and($B383&lt;&gt;"",countif('3) Release_Label'!$E:$E,$B383)=0),"NO CATALOG ID MATCH in Release_Label",iserror(vlookup($A383&amp;$B383,'3) Release_Label'!$D:$D&amp;'3) Release_Label'!$E:$E,1,0)),"NO UPC-CATALOG ID pair MATCH in Release_Label" )</f>
        <v/>
      </c>
      <c r="E383" s="99"/>
      <c r="F383" s="99"/>
      <c r="G383" s="123" t="str">
        <f t="array" ref="G383">ifs(or($F383="",$F383="Main Primary Artist"),$F383,not(iserror(vlookup($F383,'Reference info'!$J$5:$J$8,1,0))),"Key Artist",not(iserror(vlookup($F383,'Reference info'!$J$38:$J$405,1,0))),"Performer",not(iserror(vlookup($F383,'Reference info'!$J$10:$J$36,1,0))),"Producer &amp; Engineer")</f>
        <v/>
      </c>
    </row>
    <row r="384">
      <c r="A384" s="28"/>
      <c r="B384" s="103"/>
      <c r="C384" s="121" t="str">
        <f t="array" ref="C384">ifs(and(isblank($A384),isblank($B384)),"", not(iserror(vlookup($A384&amp;$B384,'3) Release_Label'!$D:$D&amp;'3) Release_Label'!$E:$E,1,0))),vlookup($A384&amp;$B384,{'3) Release_Label'!$D:$D&amp;'3) Release_Label'!$E:$E,'3) Release_Label'!$F:$F},2,0), or(and(not(isblank($B384)),$B384=$B383,$A384&lt;&gt;$A383),and(not(isblank($A384)),$A384=$A383,$B384&lt;&gt;$B383)),"ID LISTS UNALIGNED",and($A384&lt;&gt;"",countif('3) Release_Label'!$D:$D,$A384)=0),"NO UPC MATCH in Release_Label",and($B384&lt;&gt;"",countif('3) Release_Label'!$E:$E,$B384)=0),"NO CATALOG ID MATCH in Release_Label",iserror(vlookup($A384&amp;$B384,'3) Release_Label'!$D:$D&amp;'3) Release_Label'!$E:$E,1,0)),"NO UPC-CATALOG ID pair MATCH in Release_Label" )</f>
        <v/>
      </c>
      <c r="D384" s="121" t="str">
        <f t="array" ref="D384">ifs(and(isblank($A384),isblank($B384)),"", not(iserror(vlookup($A384&amp;$B384,'3) Release_Label'!$D:$D&amp;'3) Release_Label'!$E:$E,1,0))),vlookup($A384&amp;$B384,{'3) Release_Label'!$D:$D&amp;'3) Release_Label'!$E:$E,'3) Release_Label'!$H:$H},2,0), or(and(not(isblank($B384)),$B384=$B383,$A384&lt;&gt;$A383),and(not(isblank($A384)),$A384=$A383,$B384&lt;&gt;$B383)),"ID LISTS UNALIGNED",and($A384&lt;&gt;"",countif('3) Release_Label'!$D:$D,$A384)=0),"NO UPC MATCH in Release_Label",and($B384&lt;&gt;"",countif('3) Release_Label'!$E:$E,$B384)=0),"NO CATALOG ID MATCH in Release_Label",iserror(vlookup($A384&amp;$B384,'3) Release_Label'!$D:$D&amp;'3) Release_Label'!$E:$E,1,0)),"NO UPC-CATALOG ID pair MATCH in Release_Label" )</f>
        <v/>
      </c>
      <c r="E384" s="99"/>
      <c r="F384" s="99"/>
      <c r="G384" s="123" t="str">
        <f t="array" ref="G384">ifs(or($F384="",$F384="Main Primary Artist"),$F384,not(iserror(vlookup($F384,'Reference info'!$J$5:$J$8,1,0))),"Key Artist",not(iserror(vlookup($F384,'Reference info'!$J$38:$J$405,1,0))),"Performer",not(iserror(vlookup($F384,'Reference info'!$J$10:$J$36,1,0))),"Producer &amp; Engineer")</f>
        <v/>
      </c>
    </row>
    <row r="385">
      <c r="A385" s="28"/>
      <c r="B385" s="103"/>
      <c r="C385" s="121" t="str">
        <f t="array" ref="C385">ifs(and(isblank($A385),isblank($B385)),"", not(iserror(vlookup($A385&amp;$B385,'3) Release_Label'!$D:$D&amp;'3) Release_Label'!$E:$E,1,0))),vlookup($A385&amp;$B385,{'3) Release_Label'!$D:$D&amp;'3) Release_Label'!$E:$E,'3) Release_Label'!$F:$F},2,0), or(and(not(isblank($B385)),$B385=$B384,$A385&lt;&gt;$A384),and(not(isblank($A385)),$A385=$A384,$B385&lt;&gt;$B384)),"ID LISTS UNALIGNED",and($A385&lt;&gt;"",countif('3) Release_Label'!$D:$D,$A385)=0),"NO UPC MATCH in Release_Label",and($B385&lt;&gt;"",countif('3) Release_Label'!$E:$E,$B385)=0),"NO CATALOG ID MATCH in Release_Label",iserror(vlookup($A385&amp;$B385,'3) Release_Label'!$D:$D&amp;'3) Release_Label'!$E:$E,1,0)),"NO UPC-CATALOG ID pair MATCH in Release_Label" )</f>
        <v/>
      </c>
      <c r="D385" s="121" t="str">
        <f t="array" ref="D385">ifs(and(isblank($A385),isblank($B385)),"", not(iserror(vlookup($A385&amp;$B385,'3) Release_Label'!$D:$D&amp;'3) Release_Label'!$E:$E,1,0))),vlookup($A385&amp;$B385,{'3) Release_Label'!$D:$D&amp;'3) Release_Label'!$E:$E,'3) Release_Label'!$H:$H},2,0), or(and(not(isblank($B385)),$B385=$B384,$A385&lt;&gt;$A384),and(not(isblank($A385)),$A385=$A384,$B385&lt;&gt;$B384)),"ID LISTS UNALIGNED",and($A385&lt;&gt;"",countif('3) Release_Label'!$D:$D,$A385)=0),"NO UPC MATCH in Release_Label",and($B385&lt;&gt;"",countif('3) Release_Label'!$E:$E,$B385)=0),"NO CATALOG ID MATCH in Release_Label",iserror(vlookup($A385&amp;$B385,'3) Release_Label'!$D:$D&amp;'3) Release_Label'!$E:$E,1,0)),"NO UPC-CATALOG ID pair MATCH in Release_Label" )</f>
        <v/>
      </c>
      <c r="E385" s="99"/>
      <c r="F385" s="99"/>
      <c r="G385" s="123" t="str">
        <f t="array" ref="G385">ifs(or($F385="",$F385="Main Primary Artist"),$F385,not(iserror(vlookup($F385,'Reference info'!$J$5:$J$8,1,0))),"Key Artist",not(iserror(vlookup($F385,'Reference info'!$J$38:$J$405,1,0))),"Performer",not(iserror(vlookup($F385,'Reference info'!$J$10:$J$36,1,0))),"Producer &amp; Engineer")</f>
        <v/>
      </c>
    </row>
    <row r="386">
      <c r="A386" s="28"/>
      <c r="B386" s="103"/>
      <c r="C386" s="121" t="str">
        <f t="array" ref="C386">ifs(and(isblank($A386),isblank($B386)),"", not(iserror(vlookup($A386&amp;$B386,'3) Release_Label'!$D:$D&amp;'3) Release_Label'!$E:$E,1,0))),vlookup($A386&amp;$B386,{'3) Release_Label'!$D:$D&amp;'3) Release_Label'!$E:$E,'3) Release_Label'!$F:$F},2,0), or(and(not(isblank($B386)),$B386=$B385,$A386&lt;&gt;$A385),and(not(isblank($A386)),$A386=$A385,$B386&lt;&gt;$B385)),"ID LISTS UNALIGNED",and($A386&lt;&gt;"",countif('3) Release_Label'!$D:$D,$A386)=0),"NO UPC MATCH in Release_Label",and($B386&lt;&gt;"",countif('3) Release_Label'!$E:$E,$B386)=0),"NO CATALOG ID MATCH in Release_Label",iserror(vlookup($A386&amp;$B386,'3) Release_Label'!$D:$D&amp;'3) Release_Label'!$E:$E,1,0)),"NO UPC-CATALOG ID pair MATCH in Release_Label" )</f>
        <v/>
      </c>
      <c r="D386" s="121" t="str">
        <f t="array" ref="D386">ifs(and(isblank($A386),isblank($B386)),"", not(iserror(vlookup($A386&amp;$B386,'3) Release_Label'!$D:$D&amp;'3) Release_Label'!$E:$E,1,0))),vlookup($A386&amp;$B386,{'3) Release_Label'!$D:$D&amp;'3) Release_Label'!$E:$E,'3) Release_Label'!$H:$H},2,0), or(and(not(isblank($B386)),$B386=$B385,$A386&lt;&gt;$A385),and(not(isblank($A386)),$A386=$A385,$B386&lt;&gt;$B385)),"ID LISTS UNALIGNED",and($A386&lt;&gt;"",countif('3) Release_Label'!$D:$D,$A386)=0),"NO UPC MATCH in Release_Label",and($B386&lt;&gt;"",countif('3) Release_Label'!$E:$E,$B386)=0),"NO CATALOG ID MATCH in Release_Label",iserror(vlookup($A386&amp;$B386,'3) Release_Label'!$D:$D&amp;'3) Release_Label'!$E:$E,1,0)),"NO UPC-CATALOG ID pair MATCH in Release_Label" )</f>
        <v/>
      </c>
      <c r="E386" s="99"/>
      <c r="F386" s="99"/>
      <c r="G386" s="123" t="str">
        <f t="array" ref="G386">ifs(or($F386="",$F386="Main Primary Artist"),$F386,not(iserror(vlookup($F386,'Reference info'!$J$5:$J$8,1,0))),"Key Artist",not(iserror(vlookup($F386,'Reference info'!$J$38:$J$405,1,0))),"Performer",not(iserror(vlookup($F386,'Reference info'!$J$10:$J$36,1,0))),"Producer &amp; Engineer")</f>
        <v/>
      </c>
    </row>
    <row r="387">
      <c r="A387" s="28"/>
      <c r="B387" s="103"/>
      <c r="C387" s="121" t="str">
        <f t="array" ref="C387">ifs(and(isblank($A387),isblank($B387)),"", not(iserror(vlookup($A387&amp;$B387,'3) Release_Label'!$D:$D&amp;'3) Release_Label'!$E:$E,1,0))),vlookup($A387&amp;$B387,{'3) Release_Label'!$D:$D&amp;'3) Release_Label'!$E:$E,'3) Release_Label'!$F:$F},2,0), or(and(not(isblank($B387)),$B387=$B386,$A387&lt;&gt;$A386),and(not(isblank($A387)),$A387=$A386,$B387&lt;&gt;$B386)),"ID LISTS UNALIGNED",and($A387&lt;&gt;"",countif('3) Release_Label'!$D:$D,$A387)=0),"NO UPC MATCH in Release_Label",and($B387&lt;&gt;"",countif('3) Release_Label'!$E:$E,$B387)=0),"NO CATALOG ID MATCH in Release_Label",iserror(vlookup($A387&amp;$B387,'3) Release_Label'!$D:$D&amp;'3) Release_Label'!$E:$E,1,0)),"NO UPC-CATALOG ID pair MATCH in Release_Label" )</f>
        <v/>
      </c>
      <c r="D387" s="121" t="str">
        <f t="array" ref="D387">ifs(and(isblank($A387),isblank($B387)),"", not(iserror(vlookup($A387&amp;$B387,'3) Release_Label'!$D:$D&amp;'3) Release_Label'!$E:$E,1,0))),vlookup($A387&amp;$B387,{'3) Release_Label'!$D:$D&amp;'3) Release_Label'!$E:$E,'3) Release_Label'!$H:$H},2,0), or(and(not(isblank($B387)),$B387=$B386,$A387&lt;&gt;$A386),and(not(isblank($A387)),$A387=$A386,$B387&lt;&gt;$B386)),"ID LISTS UNALIGNED",and($A387&lt;&gt;"",countif('3) Release_Label'!$D:$D,$A387)=0),"NO UPC MATCH in Release_Label",and($B387&lt;&gt;"",countif('3) Release_Label'!$E:$E,$B387)=0),"NO CATALOG ID MATCH in Release_Label",iserror(vlookup($A387&amp;$B387,'3) Release_Label'!$D:$D&amp;'3) Release_Label'!$E:$E,1,0)),"NO UPC-CATALOG ID pair MATCH in Release_Label" )</f>
        <v/>
      </c>
      <c r="E387" s="99"/>
      <c r="F387" s="99"/>
      <c r="G387" s="123" t="str">
        <f t="array" ref="G387">ifs(or($F387="",$F387="Main Primary Artist"),$F387,not(iserror(vlookup($F387,'Reference info'!$J$5:$J$8,1,0))),"Key Artist",not(iserror(vlookup($F387,'Reference info'!$J$38:$J$405,1,0))),"Performer",not(iserror(vlookup($F387,'Reference info'!$J$10:$J$36,1,0))),"Producer &amp; Engineer")</f>
        <v/>
      </c>
    </row>
    <row r="388">
      <c r="A388" s="28"/>
      <c r="B388" s="103"/>
      <c r="C388" s="121" t="str">
        <f t="array" ref="C388">ifs(and(isblank($A388),isblank($B388)),"", not(iserror(vlookup($A388&amp;$B388,'3) Release_Label'!$D:$D&amp;'3) Release_Label'!$E:$E,1,0))),vlookup($A388&amp;$B388,{'3) Release_Label'!$D:$D&amp;'3) Release_Label'!$E:$E,'3) Release_Label'!$F:$F},2,0), or(and(not(isblank($B388)),$B388=$B387,$A388&lt;&gt;$A387),and(not(isblank($A388)),$A388=$A387,$B388&lt;&gt;$B387)),"ID LISTS UNALIGNED",and($A388&lt;&gt;"",countif('3) Release_Label'!$D:$D,$A388)=0),"NO UPC MATCH in Release_Label",and($B388&lt;&gt;"",countif('3) Release_Label'!$E:$E,$B388)=0),"NO CATALOG ID MATCH in Release_Label",iserror(vlookup($A388&amp;$B388,'3) Release_Label'!$D:$D&amp;'3) Release_Label'!$E:$E,1,0)),"NO UPC-CATALOG ID pair MATCH in Release_Label" )</f>
        <v/>
      </c>
      <c r="D388" s="121" t="str">
        <f t="array" ref="D388">ifs(and(isblank($A388),isblank($B388)),"", not(iserror(vlookup($A388&amp;$B388,'3) Release_Label'!$D:$D&amp;'3) Release_Label'!$E:$E,1,0))),vlookup($A388&amp;$B388,{'3) Release_Label'!$D:$D&amp;'3) Release_Label'!$E:$E,'3) Release_Label'!$H:$H},2,0), or(and(not(isblank($B388)),$B388=$B387,$A388&lt;&gt;$A387),and(not(isblank($A388)),$A388=$A387,$B388&lt;&gt;$B387)),"ID LISTS UNALIGNED",and($A388&lt;&gt;"",countif('3) Release_Label'!$D:$D,$A388)=0),"NO UPC MATCH in Release_Label",and($B388&lt;&gt;"",countif('3) Release_Label'!$E:$E,$B388)=0),"NO CATALOG ID MATCH in Release_Label",iserror(vlookup($A388&amp;$B388,'3) Release_Label'!$D:$D&amp;'3) Release_Label'!$E:$E,1,0)),"NO UPC-CATALOG ID pair MATCH in Release_Label" )</f>
        <v/>
      </c>
      <c r="E388" s="99"/>
      <c r="F388" s="99"/>
      <c r="G388" s="123" t="str">
        <f t="array" ref="G388">ifs(or($F388="",$F388="Main Primary Artist"),$F388,not(iserror(vlookup($F388,'Reference info'!$J$5:$J$8,1,0))),"Key Artist",not(iserror(vlookup($F388,'Reference info'!$J$38:$J$405,1,0))),"Performer",not(iserror(vlookup($F388,'Reference info'!$J$10:$J$36,1,0))),"Producer &amp; Engineer")</f>
        <v/>
      </c>
    </row>
    <row r="389">
      <c r="A389" s="28"/>
      <c r="B389" s="103"/>
      <c r="C389" s="121" t="str">
        <f t="array" ref="C389">ifs(and(isblank($A389),isblank($B389)),"", not(iserror(vlookup($A389&amp;$B389,'3) Release_Label'!$D:$D&amp;'3) Release_Label'!$E:$E,1,0))),vlookup($A389&amp;$B389,{'3) Release_Label'!$D:$D&amp;'3) Release_Label'!$E:$E,'3) Release_Label'!$F:$F},2,0), or(and(not(isblank($B389)),$B389=$B388,$A389&lt;&gt;$A388),and(not(isblank($A389)),$A389=$A388,$B389&lt;&gt;$B388)),"ID LISTS UNALIGNED",and($A389&lt;&gt;"",countif('3) Release_Label'!$D:$D,$A389)=0),"NO UPC MATCH in Release_Label",and($B389&lt;&gt;"",countif('3) Release_Label'!$E:$E,$B389)=0),"NO CATALOG ID MATCH in Release_Label",iserror(vlookup($A389&amp;$B389,'3) Release_Label'!$D:$D&amp;'3) Release_Label'!$E:$E,1,0)),"NO UPC-CATALOG ID pair MATCH in Release_Label" )</f>
        <v/>
      </c>
      <c r="D389" s="121" t="str">
        <f t="array" ref="D389">ifs(and(isblank($A389),isblank($B389)),"", not(iserror(vlookup($A389&amp;$B389,'3) Release_Label'!$D:$D&amp;'3) Release_Label'!$E:$E,1,0))),vlookup($A389&amp;$B389,{'3) Release_Label'!$D:$D&amp;'3) Release_Label'!$E:$E,'3) Release_Label'!$H:$H},2,0), or(and(not(isblank($B389)),$B389=$B388,$A389&lt;&gt;$A388),and(not(isblank($A389)),$A389=$A388,$B389&lt;&gt;$B388)),"ID LISTS UNALIGNED",and($A389&lt;&gt;"",countif('3) Release_Label'!$D:$D,$A389)=0),"NO UPC MATCH in Release_Label",and($B389&lt;&gt;"",countif('3) Release_Label'!$E:$E,$B389)=0),"NO CATALOG ID MATCH in Release_Label",iserror(vlookup($A389&amp;$B389,'3) Release_Label'!$D:$D&amp;'3) Release_Label'!$E:$E,1,0)),"NO UPC-CATALOG ID pair MATCH in Release_Label" )</f>
        <v/>
      </c>
      <c r="E389" s="99"/>
      <c r="F389" s="99"/>
      <c r="G389" s="123" t="str">
        <f t="array" ref="G389">ifs(or($F389="",$F389="Main Primary Artist"),$F389,not(iserror(vlookup($F389,'Reference info'!$J$5:$J$8,1,0))),"Key Artist",not(iserror(vlookup($F389,'Reference info'!$J$38:$J$405,1,0))),"Performer",not(iserror(vlookup($F389,'Reference info'!$J$10:$J$36,1,0))),"Producer &amp; Engineer")</f>
        <v/>
      </c>
    </row>
    <row r="390">
      <c r="A390" s="28"/>
      <c r="B390" s="103"/>
      <c r="C390" s="121" t="str">
        <f t="array" ref="C390">ifs(and(isblank($A390),isblank($B390)),"", not(iserror(vlookup($A390&amp;$B390,'3) Release_Label'!$D:$D&amp;'3) Release_Label'!$E:$E,1,0))),vlookup($A390&amp;$B390,{'3) Release_Label'!$D:$D&amp;'3) Release_Label'!$E:$E,'3) Release_Label'!$F:$F},2,0), or(and(not(isblank($B390)),$B390=$B389,$A390&lt;&gt;$A389),and(not(isblank($A390)),$A390=$A389,$B390&lt;&gt;$B389)),"ID LISTS UNALIGNED",and($A390&lt;&gt;"",countif('3) Release_Label'!$D:$D,$A390)=0),"NO UPC MATCH in Release_Label",and($B390&lt;&gt;"",countif('3) Release_Label'!$E:$E,$B390)=0),"NO CATALOG ID MATCH in Release_Label",iserror(vlookup($A390&amp;$B390,'3) Release_Label'!$D:$D&amp;'3) Release_Label'!$E:$E,1,0)),"NO UPC-CATALOG ID pair MATCH in Release_Label" )</f>
        <v/>
      </c>
      <c r="D390" s="121" t="str">
        <f t="array" ref="D390">ifs(and(isblank($A390),isblank($B390)),"", not(iserror(vlookup($A390&amp;$B390,'3) Release_Label'!$D:$D&amp;'3) Release_Label'!$E:$E,1,0))),vlookup($A390&amp;$B390,{'3) Release_Label'!$D:$D&amp;'3) Release_Label'!$E:$E,'3) Release_Label'!$H:$H},2,0), or(and(not(isblank($B390)),$B390=$B389,$A390&lt;&gt;$A389),and(not(isblank($A390)),$A390=$A389,$B390&lt;&gt;$B389)),"ID LISTS UNALIGNED",and($A390&lt;&gt;"",countif('3) Release_Label'!$D:$D,$A390)=0),"NO UPC MATCH in Release_Label",and($B390&lt;&gt;"",countif('3) Release_Label'!$E:$E,$B390)=0),"NO CATALOG ID MATCH in Release_Label",iserror(vlookup($A390&amp;$B390,'3) Release_Label'!$D:$D&amp;'3) Release_Label'!$E:$E,1,0)),"NO UPC-CATALOG ID pair MATCH in Release_Label" )</f>
        <v/>
      </c>
      <c r="E390" s="99"/>
      <c r="F390" s="99"/>
      <c r="G390" s="123" t="str">
        <f t="array" ref="G390">ifs(or($F390="",$F390="Main Primary Artist"),$F390,not(iserror(vlookup($F390,'Reference info'!$J$5:$J$8,1,0))),"Key Artist",not(iserror(vlookup($F390,'Reference info'!$J$38:$J$405,1,0))),"Performer",not(iserror(vlookup($F390,'Reference info'!$J$10:$J$36,1,0))),"Producer &amp; Engineer")</f>
        <v/>
      </c>
    </row>
    <row r="391">
      <c r="A391" s="28"/>
      <c r="B391" s="103"/>
      <c r="C391" s="121" t="str">
        <f t="array" ref="C391">ifs(and(isblank($A391),isblank($B391)),"", not(iserror(vlookup($A391&amp;$B391,'3) Release_Label'!$D:$D&amp;'3) Release_Label'!$E:$E,1,0))),vlookup($A391&amp;$B391,{'3) Release_Label'!$D:$D&amp;'3) Release_Label'!$E:$E,'3) Release_Label'!$F:$F},2,0), or(and(not(isblank($B391)),$B391=$B390,$A391&lt;&gt;$A390),and(not(isblank($A391)),$A391=$A390,$B391&lt;&gt;$B390)),"ID LISTS UNALIGNED",and($A391&lt;&gt;"",countif('3) Release_Label'!$D:$D,$A391)=0),"NO UPC MATCH in Release_Label",and($B391&lt;&gt;"",countif('3) Release_Label'!$E:$E,$B391)=0),"NO CATALOG ID MATCH in Release_Label",iserror(vlookup($A391&amp;$B391,'3) Release_Label'!$D:$D&amp;'3) Release_Label'!$E:$E,1,0)),"NO UPC-CATALOG ID pair MATCH in Release_Label" )</f>
        <v/>
      </c>
      <c r="D391" s="121" t="str">
        <f t="array" ref="D391">ifs(and(isblank($A391),isblank($B391)),"", not(iserror(vlookup($A391&amp;$B391,'3) Release_Label'!$D:$D&amp;'3) Release_Label'!$E:$E,1,0))),vlookup($A391&amp;$B391,{'3) Release_Label'!$D:$D&amp;'3) Release_Label'!$E:$E,'3) Release_Label'!$H:$H},2,0), or(and(not(isblank($B391)),$B391=$B390,$A391&lt;&gt;$A390),and(not(isblank($A391)),$A391=$A390,$B391&lt;&gt;$B390)),"ID LISTS UNALIGNED",and($A391&lt;&gt;"",countif('3) Release_Label'!$D:$D,$A391)=0),"NO UPC MATCH in Release_Label",and($B391&lt;&gt;"",countif('3) Release_Label'!$E:$E,$B391)=0),"NO CATALOG ID MATCH in Release_Label",iserror(vlookup($A391&amp;$B391,'3) Release_Label'!$D:$D&amp;'3) Release_Label'!$E:$E,1,0)),"NO UPC-CATALOG ID pair MATCH in Release_Label" )</f>
        <v/>
      </c>
      <c r="E391" s="99"/>
      <c r="F391" s="99"/>
      <c r="G391" s="123" t="str">
        <f t="array" ref="G391">ifs(or($F391="",$F391="Main Primary Artist"),$F391,not(iserror(vlookup($F391,'Reference info'!$J$5:$J$8,1,0))),"Key Artist",not(iserror(vlookup($F391,'Reference info'!$J$38:$J$405,1,0))),"Performer",not(iserror(vlookup($F391,'Reference info'!$J$10:$J$36,1,0))),"Producer &amp; Engineer")</f>
        <v/>
      </c>
    </row>
    <row r="392">
      <c r="A392" s="28"/>
      <c r="B392" s="103"/>
      <c r="C392" s="121" t="str">
        <f t="array" ref="C392">ifs(and(isblank($A392),isblank($B392)),"", not(iserror(vlookup($A392&amp;$B392,'3) Release_Label'!$D:$D&amp;'3) Release_Label'!$E:$E,1,0))),vlookup($A392&amp;$B392,{'3) Release_Label'!$D:$D&amp;'3) Release_Label'!$E:$E,'3) Release_Label'!$F:$F},2,0), or(and(not(isblank($B392)),$B392=$B391,$A392&lt;&gt;$A391),and(not(isblank($A392)),$A392=$A391,$B392&lt;&gt;$B391)),"ID LISTS UNALIGNED",and($A392&lt;&gt;"",countif('3) Release_Label'!$D:$D,$A392)=0),"NO UPC MATCH in Release_Label",and($B392&lt;&gt;"",countif('3) Release_Label'!$E:$E,$B392)=0),"NO CATALOG ID MATCH in Release_Label",iserror(vlookup($A392&amp;$B392,'3) Release_Label'!$D:$D&amp;'3) Release_Label'!$E:$E,1,0)),"NO UPC-CATALOG ID pair MATCH in Release_Label" )</f>
        <v/>
      </c>
      <c r="D392" s="121" t="str">
        <f t="array" ref="D392">ifs(and(isblank($A392),isblank($B392)),"", not(iserror(vlookup($A392&amp;$B392,'3) Release_Label'!$D:$D&amp;'3) Release_Label'!$E:$E,1,0))),vlookup($A392&amp;$B392,{'3) Release_Label'!$D:$D&amp;'3) Release_Label'!$E:$E,'3) Release_Label'!$H:$H},2,0), or(and(not(isblank($B392)),$B392=$B391,$A392&lt;&gt;$A391),and(not(isblank($A392)),$A392=$A391,$B392&lt;&gt;$B391)),"ID LISTS UNALIGNED",and($A392&lt;&gt;"",countif('3) Release_Label'!$D:$D,$A392)=0),"NO UPC MATCH in Release_Label",and($B392&lt;&gt;"",countif('3) Release_Label'!$E:$E,$B392)=0),"NO CATALOG ID MATCH in Release_Label",iserror(vlookup($A392&amp;$B392,'3) Release_Label'!$D:$D&amp;'3) Release_Label'!$E:$E,1,0)),"NO UPC-CATALOG ID pair MATCH in Release_Label" )</f>
        <v/>
      </c>
      <c r="E392" s="99"/>
      <c r="F392" s="99"/>
      <c r="G392" s="123" t="str">
        <f t="array" ref="G392">ifs(or($F392="",$F392="Main Primary Artist"),$F392,not(iserror(vlookup($F392,'Reference info'!$J$5:$J$8,1,0))),"Key Artist",not(iserror(vlookup($F392,'Reference info'!$J$38:$J$405,1,0))),"Performer",not(iserror(vlookup($F392,'Reference info'!$J$10:$J$36,1,0))),"Producer &amp; Engineer")</f>
        <v/>
      </c>
    </row>
    <row r="393">
      <c r="A393" s="28"/>
      <c r="B393" s="103"/>
      <c r="C393" s="121" t="str">
        <f t="array" ref="C393">ifs(and(isblank($A393),isblank($B393)),"", not(iserror(vlookup($A393&amp;$B393,'3) Release_Label'!$D:$D&amp;'3) Release_Label'!$E:$E,1,0))),vlookup($A393&amp;$B393,{'3) Release_Label'!$D:$D&amp;'3) Release_Label'!$E:$E,'3) Release_Label'!$F:$F},2,0), or(and(not(isblank($B393)),$B393=$B392,$A393&lt;&gt;$A392),and(not(isblank($A393)),$A393=$A392,$B393&lt;&gt;$B392)),"ID LISTS UNALIGNED",and($A393&lt;&gt;"",countif('3) Release_Label'!$D:$D,$A393)=0),"NO UPC MATCH in Release_Label",and($B393&lt;&gt;"",countif('3) Release_Label'!$E:$E,$B393)=0),"NO CATALOG ID MATCH in Release_Label",iserror(vlookup($A393&amp;$B393,'3) Release_Label'!$D:$D&amp;'3) Release_Label'!$E:$E,1,0)),"NO UPC-CATALOG ID pair MATCH in Release_Label" )</f>
        <v/>
      </c>
      <c r="D393" s="121" t="str">
        <f t="array" ref="D393">ifs(and(isblank($A393),isblank($B393)),"", not(iserror(vlookup($A393&amp;$B393,'3) Release_Label'!$D:$D&amp;'3) Release_Label'!$E:$E,1,0))),vlookup($A393&amp;$B393,{'3) Release_Label'!$D:$D&amp;'3) Release_Label'!$E:$E,'3) Release_Label'!$H:$H},2,0), or(and(not(isblank($B393)),$B393=$B392,$A393&lt;&gt;$A392),and(not(isblank($A393)),$A393=$A392,$B393&lt;&gt;$B392)),"ID LISTS UNALIGNED",and($A393&lt;&gt;"",countif('3) Release_Label'!$D:$D,$A393)=0),"NO UPC MATCH in Release_Label",and($B393&lt;&gt;"",countif('3) Release_Label'!$E:$E,$B393)=0),"NO CATALOG ID MATCH in Release_Label",iserror(vlookup($A393&amp;$B393,'3) Release_Label'!$D:$D&amp;'3) Release_Label'!$E:$E,1,0)),"NO UPC-CATALOG ID pair MATCH in Release_Label" )</f>
        <v/>
      </c>
      <c r="E393" s="99"/>
      <c r="F393" s="99"/>
      <c r="G393" s="123" t="str">
        <f t="array" ref="G393">ifs(or($F393="",$F393="Main Primary Artist"),$F393,not(iserror(vlookup($F393,'Reference info'!$J$5:$J$8,1,0))),"Key Artist",not(iserror(vlookup($F393,'Reference info'!$J$38:$J$405,1,0))),"Performer",not(iserror(vlookup($F393,'Reference info'!$J$10:$J$36,1,0))),"Producer &amp; Engineer")</f>
        <v/>
      </c>
    </row>
    <row r="394">
      <c r="A394" s="28"/>
      <c r="B394" s="103"/>
      <c r="C394" s="121" t="str">
        <f t="array" ref="C394">ifs(and(isblank($A394),isblank($B394)),"", not(iserror(vlookup($A394&amp;$B394,'3) Release_Label'!$D:$D&amp;'3) Release_Label'!$E:$E,1,0))),vlookup($A394&amp;$B394,{'3) Release_Label'!$D:$D&amp;'3) Release_Label'!$E:$E,'3) Release_Label'!$F:$F},2,0), or(and(not(isblank($B394)),$B394=$B393,$A394&lt;&gt;$A393),and(not(isblank($A394)),$A394=$A393,$B394&lt;&gt;$B393)),"ID LISTS UNALIGNED",and($A394&lt;&gt;"",countif('3) Release_Label'!$D:$D,$A394)=0),"NO UPC MATCH in Release_Label",and($B394&lt;&gt;"",countif('3) Release_Label'!$E:$E,$B394)=0),"NO CATALOG ID MATCH in Release_Label",iserror(vlookup($A394&amp;$B394,'3) Release_Label'!$D:$D&amp;'3) Release_Label'!$E:$E,1,0)),"NO UPC-CATALOG ID pair MATCH in Release_Label" )</f>
        <v/>
      </c>
      <c r="D394" s="121" t="str">
        <f t="array" ref="D394">ifs(and(isblank($A394),isblank($B394)),"", not(iserror(vlookup($A394&amp;$B394,'3) Release_Label'!$D:$D&amp;'3) Release_Label'!$E:$E,1,0))),vlookup($A394&amp;$B394,{'3) Release_Label'!$D:$D&amp;'3) Release_Label'!$E:$E,'3) Release_Label'!$H:$H},2,0), or(and(not(isblank($B394)),$B394=$B393,$A394&lt;&gt;$A393),and(not(isblank($A394)),$A394=$A393,$B394&lt;&gt;$B393)),"ID LISTS UNALIGNED",and($A394&lt;&gt;"",countif('3) Release_Label'!$D:$D,$A394)=0),"NO UPC MATCH in Release_Label",and($B394&lt;&gt;"",countif('3) Release_Label'!$E:$E,$B394)=0),"NO CATALOG ID MATCH in Release_Label",iserror(vlookup($A394&amp;$B394,'3) Release_Label'!$D:$D&amp;'3) Release_Label'!$E:$E,1,0)),"NO UPC-CATALOG ID pair MATCH in Release_Label" )</f>
        <v/>
      </c>
      <c r="E394" s="99"/>
      <c r="F394" s="99"/>
      <c r="G394" s="123" t="str">
        <f t="array" ref="G394">ifs(or($F394="",$F394="Main Primary Artist"),$F394,not(iserror(vlookup($F394,'Reference info'!$J$5:$J$8,1,0))),"Key Artist",not(iserror(vlookup($F394,'Reference info'!$J$38:$J$405,1,0))),"Performer",not(iserror(vlookup($F394,'Reference info'!$J$10:$J$36,1,0))),"Producer &amp; Engineer")</f>
        <v/>
      </c>
    </row>
    <row r="395">
      <c r="A395" s="28"/>
      <c r="B395" s="103"/>
      <c r="C395" s="121" t="str">
        <f t="array" ref="C395">ifs(and(isblank($A395),isblank($B395)),"", not(iserror(vlookup($A395&amp;$B395,'3) Release_Label'!$D:$D&amp;'3) Release_Label'!$E:$E,1,0))),vlookup($A395&amp;$B395,{'3) Release_Label'!$D:$D&amp;'3) Release_Label'!$E:$E,'3) Release_Label'!$F:$F},2,0), or(and(not(isblank($B395)),$B395=$B394,$A395&lt;&gt;$A394),and(not(isblank($A395)),$A395=$A394,$B395&lt;&gt;$B394)),"ID LISTS UNALIGNED",and($A395&lt;&gt;"",countif('3) Release_Label'!$D:$D,$A395)=0),"NO UPC MATCH in Release_Label",and($B395&lt;&gt;"",countif('3) Release_Label'!$E:$E,$B395)=0),"NO CATALOG ID MATCH in Release_Label",iserror(vlookup($A395&amp;$B395,'3) Release_Label'!$D:$D&amp;'3) Release_Label'!$E:$E,1,0)),"NO UPC-CATALOG ID pair MATCH in Release_Label" )</f>
        <v/>
      </c>
      <c r="D395" s="121" t="str">
        <f t="array" ref="D395">ifs(and(isblank($A395),isblank($B395)),"", not(iserror(vlookup($A395&amp;$B395,'3) Release_Label'!$D:$D&amp;'3) Release_Label'!$E:$E,1,0))),vlookup($A395&amp;$B395,{'3) Release_Label'!$D:$D&amp;'3) Release_Label'!$E:$E,'3) Release_Label'!$H:$H},2,0), or(and(not(isblank($B395)),$B395=$B394,$A395&lt;&gt;$A394),and(not(isblank($A395)),$A395=$A394,$B395&lt;&gt;$B394)),"ID LISTS UNALIGNED",and($A395&lt;&gt;"",countif('3) Release_Label'!$D:$D,$A395)=0),"NO UPC MATCH in Release_Label",and($B395&lt;&gt;"",countif('3) Release_Label'!$E:$E,$B395)=0),"NO CATALOG ID MATCH in Release_Label",iserror(vlookup($A395&amp;$B395,'3) Release_Label'!$D:$D&amp;'3) Release_Label'!$E:$E,1,0)),"NO UPC-CATALOG ID pair MATCH in Release_Label" )</f>
        <v/>
      </c>
      <c r="E395" s="99"/>
      <c r="F395" s="99"/>
      <c r="G395" s="123" t="str">
        <f t="array" ref="G395">ifs(or($F395="",$F395="Main Primary Artist"),$F395,not(iserror(vlookup($F395,'Reference info'!$J$5:$J$8,1,0))),"Key Artist",not(iserror(vlookup($F395,'Reference info'!$J$38:$J$405,1,0))),"Performer",not(iserror(vlookup($F395,'Reference info'!$J$10:$J$36,1,0))),"Producer &amp; Engineer")</f>
        <v/>
      </c>
    </row>
    <row r="396">
      <c r="A396" s="28"/>
      <c r="B396" s="103"/>
      <c r="C396" s="121" t="str">
        <f t="array" ref="C396">ifs(and(isblank($A396),isblank($B396)),"", not(iserror(vlookup($A396&amp;$B396,'3) Release_Label'!$D:$D&amp;'3) Release_Label'!$E:$E,1,0))),vlookup($A396&amp;$B396,{'3) Release_Label'!$D:$D&amp;'3) Release_Label'!$E:$E,'3) Release_Label'!$F:$F},2,0), or(and(not(isblank($B396)),$B396=$B395,$A396&lt;&gt;$A395),and(not(isblank($A396)),$A396=$A395,$B396&lt;&gt;$B395)),"ID LISTS UNALIGNED",and($A396&lt;&gt;"",countif('3) Release_Label'!$D:$D,$A396)=0),"NO UPC MATCH in Release_Label",and($B396&lt;&gt;"",countif('3) Release_Label'!$E:$E,$B396)=0),"NO CATALOG ID MATCH in Release_Label",iserror(vlookup($A396&amp;$B396,'3) Release_Label'!$D:$D&amp;'3) Release_Label'!$E:$E,1,0)),"NO UPC-CATALOG ID pair MATCH in Release_Label" )</f>
        <v/>
      </c>
      <c r="D396" s="121" t="str">
        <f t="array" ref="D396">ifs(and(isblank($A396),isblank($B396)),"", not(iserror(vlookup($A396&amp;$B396,'3) Release_Label'!$D:$D&amp;'3) Release_Label'!$E:$E,1,0))),vlookup($A396&amp;$B396,{'3) Release_Label'!$D:$D&amp;'3) Release_Label'!$E:$E,'3) Release_Label'!$H:$H},2,0), or(and(not(isblank($B396)),$B396=$B395,$A396&lt;&gt;$A395),and(not(isblank($A396)),$A396=$A395,$B396&lt;&gt;$B395)),"ID LISTS UNALIGNED",and($A396&lt;&gt;"",countif('3) Release_Label'!$D:$D,$A396)=0),"NO UPC MATCH in Release_Label",and($B396&lt;&gt;"",countif('3) Release_Label'!$E:$E,$B396)=0),"NO CATALOG ID MATCH in Release_Label",iserror(vlookup($A396&amp;$B396,'3) Release_Label'!$D:$D&amp;'3) Release_Label'!$E:$E,1,0)),"NO UPC-CATALOG ID pair MATCH in Release_Label" )</f>
        <v/>
      </c>
      <c r="E396" s="99"/>
      <c r="F396" s="99"/>
      <c r="G396" s="123" t="str">
        <f t="array" ref="G396">ifs(or($F396="",$F396="Main Primary Artist"),$F396,not(iserror(vlookup($F396,'Reference info'!$J$5:$J$8,1,0))),"Key Artist",not(iserror(vlookup($F396,'Reference info'!$J$38:$J$405,1,0))),"Performer",not(iserror(vlookup($F396,'Reference info'!$J$10:$J$36,1,0))),"Producer &amp; Engineer")</f>
        <v/>
      </c>
    </row>
    <row r="397">
      <c r="A397" s="28"/>
      <c r="B397" s="103"/>
      <c r="C397" s="121" t="str">
        <f t="array" ref="C397">ifs(and(isblank($A397),isblank($B397)),"", not(iserror(vlookup($A397&amp;$B397,'3) Release_Label'!$D:$D&amp;'3) Release_Label'!$E:$E,1,0))),vlookup($A397&amp;$B397,{'3) Release_Label'!$D:$D&amp;'3) Release_Label'!$E:$E,'3) Release_Label'!$F:$F},2,0), or(and(not(isblank($B397)),$B397=$B396,$A397&lt;&gt;$A396),and(not(isblank($A397)),$A397=$A396,$B397&lt;&gt;$B396)),"ID LISTS UNALIGNED",and($A397&lt;&gt;"",countif('3) Release_Label'!$D:$D,$A397)=0),"NO UPC MATCH in Release_Label",and($B397&lt;&gt;"",countif('3) Release_Label'!$E:$E,$B397)=0),"NO CATALOG ID MATCH in Release_Label",iserror(vlookup($A397&amp;$B397,'3) Release_Label'!$D:$D&amp;'3) Release_Label'!$E:$E,1,0)),"NO UPC-CATALOG ID pair MATCH in Release_Label" )</f>
        <v/>
      </c>
      <c r="D397" s="121" t="str">
        <f t="array" ref="D397">ifs(and(isblank($A397),isblank($B397)),"", not(iserror(vlookup($A397&amp;$B397,'3) Release_Label'!$D:$D&amp;'3) Release_Label'!$E:$E,1,0))),vlookup($A397&amp;$B397,{'3) Release_Label'!$D:$D&amp;'3) Release_Label'!$E:$E,'3) Release_Label'!$H:$H},2,0), or(and(not(isblank($B397)),$B397=$B396,$A397&lt;&gt;$A396),and(not(isblank($A397)),$A397=$A396,$B397&lt;&gt;$B396)),"ID LISTS UNALIGNED",and($A397&lt;&gt;"",countif('3) Release_Label'!$D:$D,$A397)=0),"NO UPC MATCH in Release_Label",and($B397&lt;&gt;"",countif('3) Release_Label'!$E:$E,$B397)=0),"NO CATALOG ID MATCH in Release_Label",iserror(vlookup($A397&amp;$B397,'3) Release_Label'!$D:$D&amp;'3) Release_Label'!$E:$E,1,0)),"NO UPC-CATALOG ID pair MATCH in Release_Label" )</f>
        <v/>
      </c>
      <c r="E397" s="99"/>
      <c r="F397" s="99"/>
      <c r="G397" s="123" t="str">
        <f t="array" ref="G397">ifs(or($F397="",$F397="Main Primary Artist"),$F397,not(iserror(vlookup($F397,'Reference info'!$J$5:$J$8,1,0))),"Key Artist",not(iserror(vlookup($F397,'Reference info'!$J$38:$J$405,1,0))),"Performer",not(iserror(vlookup($F397,'Reference info'!$J$10:$J$36,1,0))),"Producer &amp; Engineer")</f>
        <v/>
      </c>
    </row>
    <row r="398">
      <c r="A398" s="28"/>
      <c r="B398" s="103"/>
      <c r="C398" s="121" t="str">
        <f t="array" ref="C398">ifs(and(isblank($A398),isblank($B398)),"", not(iserror(vlookup($A398&amp;$B398,'3) Release_Label'!$D:$D&amp;'3) Release_Label'!$E:$E,1,0))),vlookup($A398&amp;$B398,{'3) Release_Label'!$D:$D&amp;'3) Release_Label'!$E:$E,'3) Release_Label'!$F:$F},2,0), or(and(not(isblank($B398)),$B398=$B397,$A398&lt;&gt;$A397),and(not(isblank($A398)),$A398=$A397,$B398&lt;&gt;$B397)),"ID LISTS UNALIGNED",and($A398&lt;&gt;"",countif('3) Release_Label'!$D:$D,$A398)=0),"NO UPC MATCH in Release_Label",and($B398&lt;&gt;"",countif('3) Release_Label'!$E:$E,$B398)=0),"NO CATALOG ID MATCH in Release_Label",iserror(vlookup($A398&amp;$B398,'3) Release_Label'!$D:$D&amp;'3) Release_Label'!$E:$E,1,0)),"NO UPC-CATALOG ID pair MATCH in Release_Label" )</f>
        <v/>
      </c>
      <c r="D398" s="121" t="str">
        <f t="array" ref="D398">ifs(and(isblank($A398),isblank($B398)),"", not(iserror(vlookup($A398&amp;$B398,'3) Release_Label'!$D:$D&amp;'3) Release_Label'!$E:$E,1,0))),vlookup($A398&amp;$B398,{'3) Release_Label'!$D:$D&amp;'3) Release_Label'!$E:$E,'3) Release_Label'!$H:$H},2,0), or(and(not(isblank($B398)),$B398=$B397,$A398&lt;&gt;$A397),and(not(isblank($A398)),$A398=$A397,$B398&lt;&gt;$B397)),"ID LISTS UNALIGNED",and($A398&lt;&gt;"",countif('3) Release_Label'!$D:$D,$A398)=0),"NO UPC MATCH in Release_Label",and($B398&lt;&gt;"",countif('3) Release_Label'!$E:$E,$B398)=0),"NO CATALOG ID MATCH in Release_Label",iserror(vlookup($A398&amp;$B398,'3) Release_Label'!$D:$D&amp;'3) Release_Label'!$E:$E,1,0)),"NO UPC-CATALOG ID pair MATCH in Release_Label" )</f>
        <v/>
      </c>
      <c r="E398" s="99"/>
      <c r="F398" s="99"/>
      <c r="G398" s="123" t="str">
        <f t="array" ref="G398">ifs(or($F398="",$F398="Main Primary Artist"),$F398,not(iserror(vlookup($F398,'Reference info'!$J$5:$J$8,1,0))),"Key Artist",not(iserror(vlookup($F398,'Reference info'!$J$38:$J$405,1,0))),"Performer",not(iserror(vlookup($F398,'Reference info'!$J$10:$J$36,1,0))),"Producer &amp; Engineer")</f>
        <v/>
      </c>
    </row>
    <row r="399">
      <c r="A399" s="28"/>
      <c r="B399" s="103"/>
      <c r="C399" s="121" t="str">
        <f t="array" ref="C399">ifs(and(isblank($A399),isblank($B399)),"", not(iserror(vlookup($A399&amp;$B399,'3) Release_Label'!$D:$D&amp;'3) Release_Label'!$E:$E,1,0))),vlookup($A399&amp;$B399,{'3) Release_Label'!$D:$D&amp;'3) Release_Label'!$E:$E,'3) Release_Label'!$F:$F},2,0), or(and(not(isblank($B399)),$B399=$B398,$A399&lt;&gt;$A398),and(not(isblank($A399)),$A399=$A398,$B399&lt;&gt;$B398)),"ID LISTS UNALIGNED",and($A399&lt;&gt;"",countif('3) Release_Label'!$D:$D,$A399)=0),"NO UPC MATCH in Release_Label",and($B399&lt;&gt;"",countif('3) Release_Label'!$E:$E,$B399)=0),"NO CATALOG ID MATCH in Release_Label",iserror(vlookup($A399&amp;$B399,'3) Release_Label'!$D:$D&amp;'3) Release_Label'!$E:$E,1,0)),"NO UPC-CATALOG ID pair MATCH in Release_Label" )</f>
        <v/>
      </c>
      <c r="D399" s="121" t="str">
        <f t="array" ref="D399">ifs(and(isblank($A399),isblank($B399)),"", not(iserror(vlookup($A399&amp;$B399,'3) Release_Label'!$D:$D&amp;'3) Release_Label'!$E:$E,1,0))),vlookup($A399&amp;$B399,{'3) Release_Label'!$D:$D&amp;'3) Release_Label'!$E:$E,'3) Release_Label'!$H:$H},2,0), or(and(not(isblank($B399)),$B399=$B398,$A399&lt;&gt;$A398),and(not(isblank($A399)),$A399=$A398,$B399&lt;&gt;$B398)),"ID LISTS UNALIGNED",and($A399&lt;&gt;"",countif('3) Release_Label'!$D:$D,$A399)=0),"NO UPC MATCH in Release_Label",and($B399&lt;&gt;"",countif('3) Release_Label'!$E:$E,$B399)=0),"NO CATALOG ID MATCH in Release_Label",iserror(vlookup($A399&amp;$B399,'3) Release_Label'!$D:$D&amp;'3) Release_Label'!$E:$E,1,0)),"NO UPC-CATALOG ID pair MATCH in Release_Label" )</f>
        <v/>
      </c>
      <c r="E399" s="99"/>
      <c r="F399" s="99"/>
      <c r="G399" s="123" t="str">
        <f t="array" ref="G399">ifs(or($F399="",$F399="Main Primary Artist"),$F399,not(iserror(vlookup($F399,'Reference info'!$J$5:$J$8,1,0))),"Key Artist",not(iserror(vlookup($F399,'Reference info'!$J$38:$J$405,1,0))),"Performer",not(iserror(vlookup($F399,'Reference info'!$J$10:$J$36,1,0))),"Producer &amp; Engineer")</f>
        <v/>
      </c>
    </row>
    <row r="400">
      <c r="A400" s="28"/>
      <c r="B400" s="103"/>
      <c r="C400" s="121" t="str">
        <f t="array" ref="C400">ifs(and(isblank($A400),isblank($B400)),"", not(iserror(vlookup($A400&amp;$B400,'3) Release_Label'!$D:$D&amp;'3) Release_Label'!$E:$E,1,0))),vlookup($A400&amp;$B400,{'3) Release_Label'!$D:$D&amp;'3) Release_Label'!$E:$E,'3) Release_Label'!$F:$F},2,0), or(and(not(isblank($B400)),$B400=$B399,$A400&lt;&gt;$A399),and(not(isblank($A400)),$A400=$A399,$B400&lt;&gt;$B399)),"ID LISTS UNALIGNED",and($A400&lt;&gt;"",countif('3) Release_Label'!$D:$D,$A400)=0),"NO UPC MATCH in Release_Label",and($B400&lt;&gt;"",countif('3) Release_Label'!$E:$E,$B400)=0),"NO CATALOG ID MATCH in Release_Label",iserror(vlookup($A400&amp;$B400,'3) Release_Label'!$D:$D&amp;'3) Release_Label'!$E:$E,1,0)),"NO UPC-CATALOG ID pair MATCH in Release_Label" )</f>
        <v/>
      </c>
      <c r="D400" s="121" t="str">
        <f t="array" ref="D400">ifs(and(isblank($A400),isblank($B400)),"", not(iserror(vlookup($A400&amp;$B400,'3) Release_Label'!$D:$D&amp;'3) Release_Label'!$E:$E,1,0))),vlookup($A400&amp;$B400,{'3) Release_Label'!$D:$D&amp;'3) Release_Label'!$E:$E,'3) Release_Label'!$H:$H},2,0), or(and(not(isblank($B400)),$B400=$B399,$A400&lt;&gt;$A399),and(not(isblank($A400)),$A400=$A399,$B400&lt;&gt;$B399)),"ID LISTS UNALIGNED",and($A400&lt;&gt;"",countif('3) Release_Label'!$D:$D,$A400)=0),"NO UPC MATCH in Release_Label",and($B400&lt;&gt;"",countif('3) Release_Label'!$E:$E,$B400)=0),"NO CATALOG ID MATCH in Release_Label",iserror(vlookup($A400&amp;$B400,'3) Release_Label'!$D:$D&amp;'3) Release_Label'!$E:$E,1,0)),"NO UPC-CATALOG ID pair MATCH in Release_Label" )</f>
        <v/>
      </c>
      <c r="E400" s="99"/>
      <c r="F400" s="99"/>
      <c r="G400" s="123" t="str">
        <f t="array" ref="G400">ifs(or($F400="",$F400="Main Primary Artist"),$F400,not(iserror(vlookup($F400,'Reference info'!$J$5:$J$8,1,0))),"Key Artist",not(iserror(vlookup($F400,'Reference info'!$J$38:$J$405,1,0))),"Performer",not(iserror(vlookup($F400,'Reference info'!$J$10:$J$36,1,0))),"Producer &amp; Engineer")</f>
        <v/>
      </c>
    </row>
    <row r="401">
      <c r="A401" s="28"/>
      <c r="B401" s="103"/>
      <c r="C401" s="121" t="str">
        <f t="array" ref="C401">ifs(and(isblank($A401),isblank($B401)),"", not(iserror(vlookup($A401&amp;$B401,'3) Release_Label'!$D:$D&amp;'3) Release_Label'!$E:$E,1,0))),vlookup($A401&amp;$B401,{'3) Release_Label'!$D:$D&amp;'3) Release_Label'!$E:$E,'3) Release_Label'!$F:$F},2,0), or(and(not(isblank($B401)),$B401=$B400,$A401&lt;&gt;$A400),and(not(isblank($A401)),$A401=$A400,$B401&lt;&gt;$B400)),"ID LISTS UNALIGNED",and($A401&lt;&gt;"",countif('3) Release_Label'!$D:$D,$A401)=0),"NO UPC MATCH in Release_Label",and($B401&lt;&gt;"",countif('3) Release_Label'!$E:$E,$B401)=0),"NO CATALOG ID MATCH in Release_Label",iserror(vlookup($A401&amp;$B401,'3) Release_Label'!$D:$D&amp;'3) Release_Label'!$E:$E,1,0)),"NO UPC-CATALOG ID pair MATCH in Release_Label" )</f>
        <v/>
      </c>
      <c r="D401" s="121" t="str">
        <f t="array" ref="D401">ifs(and(isblank($A401),isblank($B401)),"", not(iserror(vlookup($A401&amp;$B401,'3) Release_Label'!$D:$D&amp;'3) Release_Label'!$E:$E,1,0))),vlookup($A401&amp;$B401,{'3) Release_Label'!$D:$D&amp;'3) Release_Label'!$E:$E,'3) Release_Label'!$H:$H},2,0), or(and(not(isblank($B401)),$B401=$B400,$A401&lt;&gt;$A400),and(not(isblank($A401)),$A401=$A400,$B401&lt;&gt;$B400)),"ID LISTS UNALIGNED",and($A401&lt;&gt;"",countif('3) Release_Label'!$D:$D,$A401)=0),"NO UPC MATCH in Release_Label",and($B401&lt;&gt;"",countif('3) Release_Label'!$E:$E,$B401)=0),"NO CATALOG ID MATCH in Release_Label",iserror(vlookup($A401&amp;$B401,'3) Release_Label'!$D:$D&amp;'3) Release_Label'!$E:$E,1,0)),"NO UPC-CATALOG ID pair MATCH in Release_Label" )</f>
        <v/>
      </c>
      <c r="E401" s="99"/>
      <c r="F401" s="99"/>
      <c r="G401" s="123" t="str">
        <f t="array" ref="G401">ifs(or($F401="",$F401="Main Primary Artist"),$F401,not(iserror(vlookup($F401,'Reference info'!$J$5:$J$8,1,0))),"Key Artist",not(iserror(vlookup($F401,'Reference info'!$J$38:$J$405,1,0))),"Performer",not(iserror(vlookup($F401,'Reference info'!$J$10:$J$36,1,0))),"Producer &amp; Engineer")</f>
        <v/>
      </c>
    </row>
    <row r="402">
      <c r="A402" s="28"/>
      <c r="B402" s="103"/>
      <c r="C402" s="121" t="str">
        <f t="array" ref="C402">ifs(and(isblank($A402),isblank($B402)),"", not(iserror(vlookup($A402&amp;$B402,'3) Release_Label'!$D:$D&amp;'3) Release_Label'!$E:$E,1,0))),vlookup($A402&amp;$B402,{'3) Release_Label'!$D:$D&amp;'3) Release_Label'!$E:$E,'3) Release_Label'!$F:$F},2,0), or(and(not(isblank($B402)),$B402=$B401,$A402&lt;&gt;$A401),and(not(isblank($A402)),$A402=$A401,$B402&lt;&gt;$B401)),"ID LISTS UNALIGNED",and($A402&lt;&gt;"",countif('3) Release_Label'!$D:$D,$A402)=0),"NO UPC MATCH in Release_Label",and($B402&lt;&gt;"",countif('3) Release_Label'!$E:$E,$B402)=0),"NO CATALOG ID MATCH in Release_Label",iserror(vlookup($A402&amp;$B402,'3) Release_Label'!$D:$D&amp;'3) Release_Label'!$E:$E,1,0)),"NO UPC-CATALOG ID pair MATCH in Release_Label" )</f>
        <v/>
      </c>
      <c r="D402" s="121" t="str">
        <f t="array" ref="D402">ifs(and(isblank($A402),isblank($B402)),"", not(iserror(vlookup($A402&amp;$B402,'3) Release_Label'!$D:$D&amp;'3) Release_Label'!$E:$E,1,0))),vlookup($A402&amp;$B402,{'3) Release_Label'!$D:$D&amp;'3) Release_Label'!$E:$E,'3) Release_Label'!$H:$H},2,0), or(and(not(isblank($B402)),$B402=$B401,$A402&lt;&gt;$A401),and(not(isblank($A402)),$A402=$A401,$B402&lt;&gt;$B401)),"ID LISTS UNALIGNED",and($A402&lt;&gt;"",countif('3) Release_Label'!$D:$D,$A402)=0),"NO UPC MATCH in Release_Label",and($B402&lt;&gt;"",countif('3) Release_Label'!$E:$E,$B402)=0),"NO CATALOG ID MATCH in Release_Label",iserror(vlookup($A402&amp;$B402,'3) Release_Label'!$D:$D&amp;'3) Release_Label'!$E:$E,1,0)),"NO UPC-CATALOG ID pair MATCH in Release_Label" )</f>
        <v/>
      </c>
      <c r="E402" s="99"/>
      <c r="F402" s="99"/>
      <c r="G402" s="123" t="str">
        <f t="array" ref="G402">ifs(or($F402="",$F402="Main Primary Artist"),$F402,not(iserror(vlookup($F402,'Reference info'!$J$5:$J$8,1,0))),"Key Artist",not(iserror(vlookup($F402,'Reference info'!$J$38:$J$405,1,0))),"Performer",not(iserror(vlookup($F402,'Reference info'!$J$10:$J$36,1,0))),"Producer &amp; Engineer")</f>
        <v/>
      </c>
    </row>
    <row r="403">
      <c r="A403" s="28"/>
      <c r="B403" s="103"/>
      <c r="C403" s="121" t="str">
        <f t="array" ref="C403">ifs(and(isblank($A403),isblank($B403)),"", not(iserror(vlookup($A403&amp;$B403,'3) Release_Label'!$D:$D&amp;'3) Release_Label'!$E:$E,1,0))),vlookup($A403&amp;$B403,{'3) Release_Label'!$D:$D&amp;'3) Release_Label'!$E:$E,'3) Release_Label'!$F:$F},2,0), or(and(not(isblank($B403)),$B403=$B402,$A403&lt;&gt;$A402),and(not(isblank($A403)),$A403=$A402,$B403&lt;&gt;$B402)),"ID LISTS UNALIGNED",and($A403&lt;&gt;"",countif('3) Release_Label'!$D:$D,$A403)=0),"NO UPC MATCH in Release_Label",and($B403&lt;&gt;"",countif('3) Release_Label'!$E:$E,$B403)=0),"NO CATALOG ID MATCH in Release_Label",iserror(vlookup($A403&amp;$B403,'3) Release_Label'!$D:$D&amp;'3) Release_Label'!$E:$E,1,0)),"NO UPC-CATALOG ID pair MATCH in Release_Label" )</f>
        <v/>
      </c>
      <c r="D403" s="121" t="str">
        <f t="array" ref="D403">ifs(and(isblank($A403),isblank($B403)),"", not(iserror(vlookup($A403&amp;$B403,'3) Release_Label'!$D:$D&amp;'3) Release_Label'!$E:$E,1,0))),vlookup($A403&amp;$B403,{'3) Release_Label'!$D:$D&amp;'3) Release_Label'!$E:$E,'3) Release_Label'!$H:$H},2,0), or(and(not(isblank($B403)),$B403=$B402,$A403&lt;&gt;$A402),and(not(isblank($A403)),$A403=$A402,$B403&lt;&gt;$B402)),"ID LISTS UNALIGNED",and($A403&lt;&gt;"",countif('3) Release_Label'!$D:$D,$A403)=0),"NO UPC MATCH in Release_Label",and($B403&lt;&gt;"",countif('3) Release_Label'!$E:$E,$B403)=0),"NO CATALOG ID MATCH in Release_Label",iserror(vlookup($A403&amp;$B403,'3) Release_Label'!$D:$D&amp;'3) Release_Label'!$E:$E,1,0)),"NO UPC-CATALOG ID pair MATCH in Release_Label" )</f>
        <v/>
      </c>
      <c r="E403" s="99"/>
      <c r="F403" s="99"/>
      <c r="G403" s="123" t="str">
        <f t="array" ref="G403">ifs(or($F403="",$F403="Main Primary Artist"),$F403,not(iserror(vlookup($F403,'Reference info'!$J$5:$J$8,1,0))),"Key Artist",not(iserror(vlookup($F403,'Reference info'!$J$38:$J$405,1,0))),"Performer",not(iserror(vlookup($F403,'Reference info'!$J$10:$J$36,1,0))),"Producer &amp; Engineer")</f>
        <v/>
      </c>
    </row>
    <row r="404">
      <c r="A404" s="28"/>
      <c r="B404" s="103"/>
      <c r="C404" s="121" t="str">
        <f t="array" ref="C404">ifs(and(isblank($A404),isblank($B404)),"", not(iserror(vlookup($A404&amp;$B404,'3) Release_Label'!$D:$D&amp;'3) Release_Label'!$E:$E,1,0))),vlookup($A404&amp;$B404,{'3) Release_Label'!$D:$D&amp;'3) Release_Label'!$E:$E,'3) Release_Label'!$F:$F},2,0), or(and(not(isblank($B404)),$B404=$B403,$A404&lt;&gt;$A403),and(not(isblank($A404)),$A404=$A403,$B404&lt;&gt;$B403)),"ID LISTS UNALIGNED",and($A404&lt;&gt;"",countif('3) Release_Label'!$D:$D,$A404)=0),"NO UPC MATCH in Release_Label",and($B404&lt;&gt;"",countif('3) Release_Label'!$E:$E,$B404)=0),"NO CATALOG ID MATCH in Release_Label",iserror(vlookup($A404&amp;$B404,'3) Release_Label'!$D:$D&amp;'3) Release_Label'!$E:$E,1,0)),"NO UPC-CATALOG ID pair MATCH in Release_Label" )</f>
        <v/>
      </c>
      <c r="D404" s="121" t="str">
        <f t="array" ref="D404">ifs(and(isblank($A404),isblank($B404)),"", not(iserror(vlookup($A404&amp;$B404,'3) Release_Label'!$D:$D&amp;'3) Release_Label'!$E:$E,1,0))),vlookup($A404&amp;$B404,{'3) Release_Label'!$D:$D&amp;'3) Release_Label'!$E:$E,'3) Release_Label'!$H:$H},2,0), or(and(not(isblank($B404)),$B404=$B403,$A404&lt;&gt;$A403),and(not(isblank($A404)),$A404=$A403,$B404&lt;&gt;$B403)),"ID LISTS UNALIGNED",and($A404&lt;&gt;"",countif('3) Release_Label'!$D:$D,$A404)=0),"NO UPC MATCH in Release_Label",and($B404&lt;&gt;"",countif('3) Release_Label'!$E:$E,$B404)=0),"NO CATALOG ID MATCH in Release_Label",iserror(vlookup($A404&amp;$B404,'3) Release_Label'!$D:$D&amp;'3) Release_Label'!$E:$E,1,0)),"NO UPC-CATALOG ID pair MATCH in Release_Label" )</f>
        <v/>
      </c>
      <c r="E404" s="99"/>
      <c r="F404" s="99"/>
      <c r="G404" s="123" t="str">
        <f t="array" ref="G404">ifs(or($F404="",$F404="Main Primary Artist"),$F404,not(iserror(vlookup($F404,'Reference info'!$J$5:$J$8,1,0))),"Key Artist",not(iserror(vlookup($F404,'Reference info'!$J$38:$J$405,1,0))),"Performer",not(iserror(vlookup($F404,'Reference info'!$J$10:$J$36,1,0))),"Producer &amp; Engineer")</f>
        <v/>
      </c>
    </row>
    <row r="405">
      <c r="A405" s="28"/>
      <c r="B405" s="103"/>
      <c r="C405" s="121" t="str">
        <f t="array" ref="C405">ifs(and(isblank($A405),isblank($B405)),"", not(iserror(vlookup($A405&amp;$B405,'3) Release_Label'!$D:$D&amp;'3) Release_Label'!$E:$E,1,0))),vlookup($A405&amp;$B405,{'3) Release_Label'!$D:$D&amp;'3) Release_Label'!$E:$E,'3) Release_Label'!$F:$F},2,0), or(and(not(isblank($B405)),$B405=$B404,$A405&lt;&gt;$A404),and(not(isblank($A405)),$A405=$A404,$B405&lt;&gt;$B404)),"ID LISTS UNALIGNED",and($A405&lt;&gt;"",countif('3) Release_Label'!$D:$D,$A405)=0),"NO UPC MATCH in Release_Label",and($B405&lt;&gt;"",countif('3) Release_Label'!$E:$E,$B405)=0),"NO CATALOG ID MATCH in Release_Label",iserror(vlookup($A405&amp;$B405,'3) Release_Label'!$D:$D&amp;'3) Release_Label'!$E:$E,1,0)),"NO UPC-CATALOG ID pair MATCH in Release_Label" )</f>
        <v/>
      </c>
      <c r="D405" s="121" t="str">
        <f t="array" ref="D405">ifs(and(isblank($A405),isblank($B405)),"", not(iserror(vlookup($A405&amp;$B405,'3) Release_Label'!$D:$D&amp;'3) Release_Label'!$E:$E,1,0))),vlookup($A405&amp;$B405,{'3) Release_Label'!$D:$D&amp;'3) Release_Label'!$E:$E,'3) Release_Label'!$H:$H},2,0), or(and(not(isblank($B405)),$B405=$B404,$A405&lt;&gt;$A404),and(not(isblank($A405)),$A405=$A404,$B405&lt;&gt;$B404)),"ID LISTS UNALIGNED",and($A405&lt;&gt;"",countif('3) Release_Label'!$D:$D,$A405)=0),"NO UPC MATCH in Release_Label",and($B405&lt;&gt;"",countif('3) Release_Label'!$E:$E,$B405)=0),"NO CATALOG ID MATCH in Release_Label",iserror(vlookup($A405&amp;$B405,'3) Release_Label'!$D:$D&amp;'3) Release_Label'!$E:$E,1,0)),"NO UPC-CATALOG ID pair MATCH in Release_Label" )</f>
        <v/>
      </c>
      <c r="E405" s="99"/>
      <c r="F405" s="99"/>
      <c r="G405" s="123" t="str">
        <f t="array" ref="G405">ifs(or($F405="",$F405="Main Primary Artist"),$F405,not(iserror(vlookup($F405,'Reference info'!$J$5:$J$8,1,0))),"Key Artist",not(iserror(vlookup($F405,'Reference info'!$J$38:$J$405,1,0))),"Performer",not(iserror(vlookup($F405,'Reference info'!$J$10:$J$36,1,0))),"Producer &amp; Engineer")</f>
        <v/>
      </c>
    </row>
    <row r="406">
      <c r="A406" s="28"/>
      <c r="B406" s="103"/>
      <c r="C406" s="121" t="str">
        <f t="array" ref="C406">ifs(and(isblank($A406),isblank($B406)),"", not(iserror(vlookup($A406&amp;$B406,'3) Release_Label'!$D:$D&amp;'3) Release_Label'!$E:$E,1,0))),vlookup($A406&amp;$B406,{'3) Release_Label'!$D:$D&amp;'3) Release_Label'!$E:$E,'3) Release_Label'!$F:$F},2,0), or(and(not(isblank($B406)),$B406=$B405,$A406&lt;&gt;$A405),and(not(isblank($A406)),$A406=$A405,$B406&lt;&gt;$B405)),"ID LISTS UNALIGNED",and($A406&lt;&gt;"",countif('3) Release_Label'!$D:$D,$A406)=0),"NO UPC MATCH in Release_Label",and($B406&lt;&gt;"",countif('3) Release_Label'!$E:$E,$B406)=0),"NO CATALOG ID MATCH in Release_Label",iserror(vlookup($A406&amp;$B406,'3) Release_Label'!$D:$D&amp;'3) Release_Label'!$E:$E,1,0)),"NO UPC-CATALOG ID pair MATCH in Release_Label" )</f>
        <v/>
      </c>
      <c r="D406" s="121" t="str">
        <f t="array" ref="D406">ifs(and(isblank($A406),isblank($B406)),"", not(iserror(vlookup($A406&amp;$B406,'3) Release_Label'!$D:$D&amp;'3) Release_Label'!$E:$E,1,0))),vlookup($A406&amp;$B406,{'3) Release_Label'!$D:$D&amp;'3) Release_Label'!$E:$E,'3) Release_Label'!$H:$H},2,0), or(and(not(isblank($B406)),$B406=$B405,$A406&lt;&gt;$A405),and(not(isblank($A406)),$A406=$A405,$B406&lt;&gt;$B405)),"ID LISTS UNALIGNED",and($A406&lt;&gt;"",countif('3) Release_Label'!$D:$D,$A406)=0),"NO UPC MATCH in Release_Label",and($B406&lt;&gt;"",countif('3) Release_Label'!$E:$E,$B406)=0),"NO CATALOG ID MATCH in Release_Label",iserror(vlookup($A406&amp;$B406,'3) Release_Label'!$D:$D&amp;'3) Release_Label'!$E:$E,1,0)),"NO UPC-CATALOG ID pair MATCH in Release_Label" )</f>
        <v/>
      </c>
      <c r="E406" s="99"/>
      <c r="F406" s="99"/>
      <c r="G406" s="123" t="str">
        <f t="array" ref="G406">ifs(or($F406="",$F406="Main Primary Artist"),$F406,not(iserror(vlookup($F406,'Reference info'!$J$5:$J$8,1,0))),"Key Artist",not(iserror(vlookup($F406,'Reference info'!$J$38:$J$405,1,0))),"Performer",not(iserror(vlookup($F406,'Reference info'!$J$10:$J$36,1,0))),"Producer &amp; Engineer")</f>
        <v/>
      </c>
    </row>
    <row r="407">
      <c r="A407" s="28"/>
      <c r="B407" s="103"/>
      <c r="C407" s="121" t="str">
        <f t="array" ref="C407">ifs(and(isblank($A407),isblank($B407)),"", not(iserror(vlookup($A407&amp;$B407,'3) Release_Label'!$D:$D&amp;'3) Release_Label'!$E:$E,1,0))),vlookup($A407&amp;$B407,{'3) Release_Label'!$D:$D&amp;'3) Release_Label'!$E:$E,'3) Release_Label'!$F:$F},2,0), or(and(not(isblank($B407)),$B407=$B406,$A407&lt;&gt;$A406),and(not(isblank($A407)),$A407=$A406,$B407&lt;&gt;$B406)),"ID LISTS UNALIGNED",and($A407&lt;&gt;"",countif('3) Release_Label'!$D:$D,$A407)=0),"NO UPC MATCH in Release_Label",and($B407&lt;&gt;"",countif('3) Release_Label'!$E:$E,$B407)=0),"NO CATALOG ID MATCH in Release_Label",iserror(vlookup($A407&amp;$B407,'3) Release_Label'!$D:$D&amp;'3) Release_Label'!$E:$E,1,0)),"NO UPC-CATALOG ID pair MATCH in Release_Label" )</f>
        <v/>
      </c>
      <c r="D407" s="121" t="str">
        <f t="array" ref="D407">ifs(and(isblank($A407),isblank($B407)),"", not(iserror(vlookup($A407&amp;$B407,'3) Release_Label'!$D:$D&amp;'3) Release_Label'!$E:$E,1,0))),vlookup($A407&amp;$B407,{'3) Release_Label'!$D:$D&amp;'3) Release_Label'!$E:$E,'3) Release_Label'!$H:$H},2,0), or(and(not(isblank($B407)),$B407=$B406,$A407&lt;&gt;$A406),and(not(isblank($A407)),$A407=$A406,$B407&lt;&gt;$B406)),"ID LISTS UNALIGNED",and($A407&lt;&gt;"",countif('3) Release_Label'!$D:$D,$A407)=0),"NO UPC MATCH in Release_Label",and($B407&lt;&gt;"",countif('3) Release_Label'!$E:$E,$B407)=0),"NO CATALOG ID MATCH in Release_Label",iserror(vlookup($A407&amp;$B407,'3) Release_Label'!$D:$D&amp;'3) Release_Label'!$E:$E,1,0)),"NO UPC-CATALOG ID pair MATCH in Release_Label" )</f>
        <v/>
      </c>
      <c r="E407" s="99"/>
      <c r="F407" s="99"/>
      <c r="G407" s="123" t="str">
        <f t="array" ref="G407">ifs(or($F407="",$F407="Main Primary Artist"),$F407,not(iserror(vlookup($F407,'Reference info'!$J$5:$J$8,1,0))),"Key Artist",not(iserror(vlookup($F407,'Reference info'!$J$38:$J$405,1,0))),"Performer",not(iserror(vlookup($F407,'Reference info'!$J$10:$J$36,1,0))),"Producer &amp; Engineer")</f>
        <v/>
      </c>
    </row>
    <row r="408">
      <c r="A408" s="28"/>
      <c r="B408" s="103"/>
      <c r="C408" s="121" t="str">
        <f t="array" ref="C408">ifs(and(isblank($A408),isblank($B408)),"", not(iserror(vlookup($A408&amp;$B408,'3) Release_Label'!$D:$D&amp;'3) Release_Label'!$E:$E,1,0))),vlookup($A408&amp;$B408,{'3) Release_Label'!$D:$D&amp;'3) Release_Label'!$E:$E,'3) Release_Label'!$F:$F},2,0), or(and(not(isblank($B408)),$B408=$B407,$A408&lt;&gt;$A407),and(not(isblank($A408)),$A408=$A407,$B408&lt;&gt;$B407)),"ID LISTS UNALIGNED",and($A408&lt;&gt;"",countif('3) Release_Label'!$D:$D,$A408)=0),"NO UPC MATCH in Release_Label",and($B408&lt;&gt;"",countif('3) Release_Label'!$E:$E,$B408)=0),"NO CATALOG ID MATCH in Release_Label",iserror(vlookup($A408&amp;$B408,'3) Release_Label'!$D:$D&amp;'3) Release_Label'!$E:$E,1,0)),"NO UPC-CATALOG ID pair MATCH in Release_Label" )</f>
        <v/>
      </c>
      <c r="D408" s="121" t="str">
        <f t="array" ref="D408">ifs(and(isblank($A408),isblank($B408)),"", not(iserror(vlookup($A408&amp;$B408,'3) Release_Label'!$D:$D&amp;'3) Release_Label'!$E:$E,1,0))),vlookup($A408&amp;$B408,{'3) Release_Label'!$D:$D&amp;'3) Release_Label'!$E:$E,'3) Release_Label'!$H:$H},2,0), or(and(not(isblank($B408)),$B408=$B407,$A408&lt;&gt;$A407),and(not(isblank($A408)),$A408=$A407,$B408&lt;&gt;$B407)),"ID LISTS UNALIGNED",and($A408&lt;&gt;"",countif('3) Release_Label'!$D:$D,$A408)=0),"NO UPC MATCH in Release_Label",and($B408&lt;&gt;"",countif('3) Release_Label'!$E:$E,$B408)=0),"NO CATALOG ID MATCH in Release_Label",iserror(vlookup($A408&amp;$B408,'3) Release_Label'!$D:$D&amp;'3) Release_Label'!$E:$E,1,0)),"NO UPC-CATALOG ID pair MATCH in Release_Label" )</f>
        <v/>
      </c>
      <c r="E408" s="99"/>
      <c r="F408" s="99"/>
      <c r="G408" s="123" t="str">
        <f t="array" ref="G408">ifs(or($F408="",$F408="Main Primary Artist"),$F408,not(iserror(vlookup($F408,'Reference info'!$J$5:$J$8,1,0))),"Key Artist",not(iserror(vlookup($F408,'Reference info'!$J$38:$J$405,1,0))),"Performer",not(iserror(vlookup($F408,'Reference info'!$J$10:$J$36,1,0))),"Producer &amp; Engineer")</f>
        <v/>
      </c>
    </row>
    <row r="409">
      <c r="A409" s="28"/>
      <c r="B409" s="103"/>
      <c r="C409" s="121" t="str">
        <f t="array" ref="C409">ifs(and(isblank($A409),isblank($B409)),"", not(iserror(vlookup($A409&amp;$B409,'3) Release_Label'!$D:$D&amp;'3) Release_Label'!$E:$E,1,0))),vlookup($A409&amp;$B409,{'3) Release_Label'!$D:$D&amp;'3) Release_Label'!$E:$E,'3) Release_Label'!$F:$F},2,0), or(and(not(isblank($B409)),$B409=$B408,$A409&lt;&gt;$A408),and(not(isblank($A409)),$A409=$A408,$B409&lt;&gt;$B408)),"ID LISTS UNALIGNED",and($A409&lt;&gt;"",countif('3) Release_Label'!$D:$D,$A409)=0),"NO UPC MATCH in Release_Label",and($B409&lt;&gt;"",countif('3) Release_Label'!$E:$E,$B409)=0),"NO CATALOG ID MATCH in Release_Label",iserror(vlookup($A409&amp;$B409,'3) Release_Label'!$D:$D&amp;'3) Release_Label'!$E:$E,1,0)),"NO UPC-CATALOG ID pair MATCH in Release_Label" )</f>
        <v/>
      </c>
      <c r="D409" s="121" t="str">
        <f t="array" ref="D409">ifs(and(isblank($A409),isblank($B409)),"", not(iserror(vlookup($A409&amp;$B409,'3) Release_Label'!$D:$D&amp;'3) Release_Label'!$E:$E,1,0))),vlookup($A409&amp;$B409,{'3) Release_Label'!$D:$D&amp;'3) Release_Label'!$E:$E,'3) Release_Label'!$H:$H},2,0), or(and(not(isblank($B409)),$B409=$B408,$A409&lt;&gt;$A408),and(not(isblank($A409)),$A409=$A408,$B409&lt;&gt;$B408)),"ID LISTS UNALIGNED",and($A409&lt;&gt;"",countif('3) Release_Label'!$D:$D,$A409)=0),"NO UPC MATCH in Release_Label",and($B409&lt;&gt;"",countif('3) Release_Label'!$E:$E,$B409)=0),"NO CATALOG ID MATCH in Release_Label",iserror(vlookup($A409&amp;$B409,'3) Release_Label'!$D:$D&amp;'3) Release_Label'!$E:$E,1,0)),"NO UPC-CATALOG ID pair MATCH in Release_Label" )</f>
        <v/>
      </c>
      <c r="E409" s="99"/>
      <c r="F409" s="99"/>
      <c r="G409" s="123" t="str">
        <f t="array" ref="G409">ifs(or($F409="",$F409="Main Primary Artist"),$F409,not(iserror(vlookup($F409,'Reference info'!$J$5:$J$8,1,0))),"Key Artist",not(iserror(vlookup($F409,'Reference info'!$J$38:$J$405,1,0))),"Performer",not(iserror(vlookup($F409,'Reference info'!$J$10:$J$36,1,0))),"Producer &amp; Engineer")</f>
        <v/>
      </c>
    </row>
    <row r="410">
      <c r="A410" s="28"/>
      <c r="B410" s="103"/>
      <c r="C410" s="121" t="str">
        <f t="array" ref="C410">ifs(and(isblank($A410),isblank($B410)),"", not(iserror(vlookup($A410&amp;$B410,'3) Release_Label'!$D:$D&amp;'3) Release_Label'!$E:$E,1,0))),vlookup($A410&amp;$B410,{'3) Release_Label'!$D:$D&amp;'3) Release_Label'!$E:$E,'3) Release_Label'!$F:$F},2,0), or(and(not(isblank($B410)),$B410=$B409,$A410&lt;&gt;$A409),and(not(isblank($A410)),$A410=$A409,$B410&lt;&gt;$B409)),"ID LISTS UNALIGNED",and($A410&lt;&gt;"",countif('3) Release_Label'!$D:$D,$A410)=0),"NO UPC MATCH in Release_Label",and($B410&lt;&gt;"",countif('3) Release_Label'!$E:$E,$B410)=0),"NO CATALOG ID MATCH in Release_Label",iserror(vlookup($A410&amp;$B410,'3) Release_Label'!$D:$D&amp;'3) Release_Label'!$E:$E,1,0)),"NO UPC-CATALOG ID pair MATCH in Release_Label" )</f>
        <v/>
      </c>
      <c r="D410" s="121" t="str">
        <f t="array" ref="D410">ifs(and(isblank($A410),isblank($B410)),"", not(iserror(vlookup($A410&amp;$B410,'3) Release_Label'!$D:$D&amp;'3) Release_Label'!$E:$E,1,0))),vlookup($A410&amp;$B410,{'3) Release_Label'!$D:$D&amp;'3) Release_Label'!$E:$E,'3) Release_Label'!$H:$H},2,0), or(and(not(isblank($B410)),$B410=$B409,$A410&lt;&gt;$A409),and(not(isblank($A410)),$A410=$A409,$B410&lt;&gt;$B409)),"ID LISTS UNALIGNED",and($A410&lt;&gt;"",countif('3) Release_Label'!$D:$D,$A410)=0),"NO UPC MATCH in Release_Label",and($B410&lt;&gt;"",countif('3) Release_Label'!$E:$E,$B410)=0),"NO CATALOG ID MATCH in Release_Label",iserror(vlookup($A410&amp;$B410,'3) Release_Label'!$D:$D&amp;'3) Release_Label'!$E:$E,1,0)),"NO UPC-CATALOG ID pair MATCH in Release_Label" )</f>
        <v/>
      </c>
      <c r="E410" s="99"/>
      <c r="F410" s="99"/>
      <c r="G410" s="123" t="str">
        <f t="array" ref="G410">ifs(or($F410="",$F410="Main Primary Artist"),$F410,not(iserror(vlookup($F410,'Reference info'!$J$5:$J$8,1,0))),"Key Artist",not(iserror(vlookup($F410,'Reference info'!$J$38:$J$405,1,0))),"Performer",not(iserror(vlookup($F410,'Reference info'!$J$10:$J$36,1,0))),"Producer &amp; Engineer")</f>
        <v/>
      </c>
    </row>
    <row r="411">
      <c r="A411" s="28"/>
      <c r="B411" s="103"/>
      <c r="C411" s="121" t="str">
        <f t="array" ref="C411">ifs(and(isblank($A411),isblank($B411)),"", not(iserror(vlookup($A411&amp;$B411,'3) Release_Label'!$D:$D&amp;'3) Release_Label'!$E:$E,1,0))),vlookup($A411&amp;$B411,{'3) Release_Label'!$D:$D&amp;'3) Release_Label'!$E:$E,'3) Release_Label'!$F:$F},2,0), or(and(not(isblank($B411)),$B411=$B410,$A411&lt;&gt;$A410),and(not(isblank($A411)),$A411=$A410,$B411&lt;&gt;$B410)),"ID LISTS UNALIGNED",and($A411&lt;&gt;"",countif('3) Release_Label'!$D:$D,$A411)=0),"NO UPC MATCH in Release_Label",and($B411&lt;&gt;"",countif('3) Release_Label'!$E:$E,$B411)=0),"NO CATALOG ID MATCH in Release_Label",iserror(vlookup($A411&amp;$B411,'3) Release_Label'!$D:$D&amp;'3) Release_Label'!$E:$E,1,0)),"NO UPC-CATALOG ID pair MATCH in Release_Label" )</f>
        <v/>
      </c>
      <c r="D411" s="121" t="str">
        <f t="array" ref="D411">ifs(and(isblank($A411),isblank($B411)),"", not(iserror(vlookup($A411&amp;$B411,'3) Release_Label'!$D:$D&amp;'3) Release_Label'!$E:$E,1,0))),vlookup($A411&amp;$B411,{'3) Release_Label'!$D:$D&amp;'3) Release_Label'!$E:$E,'3) Release_Label'!$H:$H},2,0), or(and(not(isblank($B411)),$B411=$B410,$A411&lt;&gt;$A410),and(not(isblank($A411)),$A411=$A410,$B411&lt;&gt;$B410)),"ID LISTS UNALIGNED",and($A411&lt;&gt;"",countif('3) Release_Label'!$D:$D,$A411)=0),"NO UPC MATCH in Release_Label",and($B411&lt;&gt;"",countif('3) Release_Label'!$E:$E,$B411)=0),"NO CATALOG ID MATCH in Release_Label",iserror(vlookup($A411&amp;$B411,'3) Release_Label'!$D:$D&amp;'3) Release_Label'!$E:$E,1,0)),"NO UPC-CATALOG ID pair MATCH in Release_Label" )</f>
        <v/>
      </c>
      <c r="E411" s="99"/>
      <c r="F411" s="99"/>
      <c r="G411" s="123" t="str">
        <f t="array" ref="G411">ifs(or($F411="",$F411="Main Primary Artist"),$F411,not(iserror(vlookup($F411,'Reference info'!$J$5:$J$8,1,0))),"Key Artist",not(iserror(vlookup($F411,'Reference info'!$J$38:$J$405,1,0))),"Performer",not(iserror(vlookup($F411,'Reference info'!$J$10:$J$36,1,0))),"Producer &amp; Engineer")</f>
        <v/>
      </c>
    </row>
    <row r="412">
      <c r="A412" s="28"/>
      <c r="B412" s="103"/>
      <c r="C412" s="121" t="str">
        <f t="array" ref="C412">ifs(and(isblank($A412),isblank($B412)),"", not(iserror(vlookup($A412&amp;$B412,'3) Release_Label'!$D:$D&amp;'3) Release_Label'!$E:$E,1,0))),vlookup($A412&amp;$B412,{'3) Release_Label'!$D:$D&amp;'3) Release_Label'!$E:$E,'3) Release_Label'!$F:$F},2,0), or(and(not(isblank($B412)),$B412=$B411,$A412&lt;&gt;$A411),and(not(isblank($A412)),$A412=$A411,$B412&lt;&gt;$B411)),"ID LISTS UNALIGNED",and($A412&lt;&gt;"",countif('3) Release_Label'!$D:$D,$A412)=0),"NO UPC MATCH in Release_Label",and($B412&lt;&gt;"",countif('3) Release_Label'!$E:$E,$B412)=0),"NO CATALOG ID MATCH in Release_Label",iserror(vlookup($A412&amp;$B412,'3) Release_Label'!$D:$D&amp;'3) Release_Label'!$E:$E,1,0)),"NO UPC-CATALOG ID pair MATCH in Release_Label" )</f>
        <v/>
      </c>
      <c r="D412" s="121" t="str">
        <f t="array" ref="D412">ifs(and(isblank($A412),isblank($B412)),"", not(iserror(vlookup($A412&amp;$B412,'3) Release_Label'!$D:$D&amp;'3) Release_Label'!$E:$E,1,0))),vlookup($A412&amp;$B412,{'3) Release_Label'!$D:$D&amp;'3) Release_Label'!$E:$E,'3) Release_Label'!$H:$H},2,0), or(and(not(isblank($B412)),$B412=$B411,$A412&lt;&gt;$A411),and(not(isblank($A412)),$A412=$A411,$B412&lt;&gt;$B411)),"ID LISTS UNALIGNED",and($A412&lt;&gt;"",countif('3) Release_Label'!$D:$D,$A412)=0),"NO UPC MATCH in Release_Label",and($B412&lt;&gt;"",countif('3) Release_Label'!$E:$E,$B412)=0),"NO CATALOG ID MATCH in Release_Label",iserror(vlookup($A412&amp;$B412,'3) Release_Label'!$D:$D&amp;'3) Release_Label'!$E:$E,1,0)),"NO UPC-CATALOG ID pair MATCH in Release_Label" )</f>
        <v/>
      </c>
      <c r="E412" s="99"/>
      <c r="F412" s="99"/>
      <c r="G412" s="123" t="str">
        <f t="array" ref="G412">ifs(or($F412="",$F412="Main Primary Artist"),$F412,not(iserror(vlookup($F412,'Reference info'!$J$5:$J$8,1,0))),"Key Artist",not(iserror(vlookup($F412,'Reference info'!$J$38:$J$405,1,0))),"Performer",not(iserror(vlookup($F412,'Reference info'!$J$10:$J$36,1,0))),"Producer &amp; Engineer")</f>
        <v/>
      </c>
    </row>
    <row r="413">
      <c r="A413" s="28"/>
      <c r="B413" s="103"/>
      <c r="C413" s="121" t="str">
        <f t="array" ref="C413">ifs(and(isblank($A413),isblank($B413)),"", not(iserror(vlookup($A413&amp;$B413,'3) Release_Label'!$D:$D&amp;'3) Release_Label'!$E:$E,1,0))),vlookup($A413&amp;$B413,{'3) Release_Label'!$D:$D&amp;'3) Release_Label'!$E:$E,'3) Release_Label'!$F:$F},2,0), or(and(not(isblank($B413)),$B413=$B412,$A413&lt;&gt;$A412),and(not(isblank($A413)),$A413=$A412,$B413&lt;&gt;$B412)),"ID LISTS UNALIGNED",and($A413&lt;&gt;"",countif('3) Release_Label'!$D:$D,$A413)=0),"NO UPC MATCH in Release_Label",and($B413&lt;&gt;"",countif('3) Release_Label'!$E:$E,$B413)=0),"NO CATALOG ID MATCH in Release_Label",iserror(vlookup($A413&amp;$B413,'3) Release_Label'!$D:$D&amp;'3) Release_Label'!$E:$E,1,0)),"NO UPC-CATALOG ID pair MATCH in Release_Label" )</f>
        <v/>
      </c>
      <c r="D413" s="121" t="str">
        <f t="array" ref="D413">ifs(and(isblank($A413),isblank($B413)),"", not(iserror(vlookup($A413&amp;$B413,'3) Release_Label'!$D:$D&amp;'3) Release_Label'!$E:$E,1,0))),vlookup($A413&amp;$B413,{'3) Release_Label'!$D:$D&amp;'3) Release_Label'!$E:$E,'3) Release_Label'!$H:$H},2,0), or(and(not(isblank($B413)),$B413=$B412,$A413&lt;&gt;$A412),and(not(isblank($A413)),$A413=$A412,$B413&lt;&gt;$B412)),"ID LISTS UNALIGNED",and($A413&lt;&gt;"",countif('3) Release_Label'!$D:$D,$A413)=0),"NO UPC MATCH in Release_Label",and($B413&lt;&gt;"",countif('3) Release_Label'!$E:$E,$B413)=0),"NO CATALOG ID MATCH in Release_Label",iserror(vlookup($A413&amp;$B413,'3) Release_Label'!$D:$D&amp;'3) Release_Label'!$E:$E,1,0)),"NO UPC-CATALOG ID pair MATCH in Release_Label" )</f>
        <v/>
      </c>
      <c r="E413" s="99"/>
      <c r="F413" s="99"/>
      <c r="G413" s="123" t="str">
        <f t="array" ref="G413">ifs(or($F413="",$F413="Main Primary Artist"),$F413,not(iserror(vlookup($F413,'Reference info'!$J$5:$J$8,1,0))),"Key Artist",not(iserror(vlookup($F413,'Reference info'!$J$38:$J$405,1,0))),"Performer",not(iserror(vlookup($F413,'Reference info'!$J$10:$J$36,1,0))),"Producer &amp; Engineer")</f>
        <v/>
      </c>
    </row>
    <row r="414">
      <c r="A414" s="28"/>
      <c r="B414" s="103"/>
      <c r="C414" s="121" t="str">
        <f t="array" ref="C414">ifs(and(isblank($A414),isblank($B414)),"", not(iserror(vlookup($A414&amp;$B414,'3) Release_Label'!$D:$D&amp;'3) Release_Label'!$E:$E,1,0))),vlookup($A414&amp;$B414,{'3) Release_Label'!$D:$D&amp;'3) Release_Label'!$E:$E,'3) Release_Label'!$F:$F},2,0), or(and(not(isblank($B414)),$B414=$B413,$A414&lt;&gt;$A413),and(not(isblank($A414)),$A414=$A413,$B414&lt;&gt;$B413)),"ID LISTS UNALIGNED",and($A414&lt;&gt;"",countif('3) Release_Label'!$D:$D,$A414)=0),"NO UPC MATCH in Release_Label",and($B414&lt;&gt;"",countif('3) Release_Label'!$E:$E,$B414)=0),"NO CATALOG ID MATCH in Release_Label",iserror(vlookup($A414&amp;$B414,'3) Release_Label'!$D:$D&amp;'3) Release_Label'!$E:$E,1,0)),"NO UPC-CATALOG ID pair MATCH in Release_Label" )</f>
        <v/>
      </c>
      <c r="D414" s="121" t="str">
        <f t="array" ref="D414">ifs(and(isblank($A414),isblank($B414)),"", not(iserror(vlookup($A414&amp;$B414,'3) Release_Label'!$D:$D&amp;'3) Release_Label'!$E:$E,1,0))),vlookup($A414&amp;$B414,{'3) Release_Label'!$D:$D&amp;'3) Release_Label'!$E:$E,'3) Release_Label'!$H:$H},2,0), or(and(not(isblank($B414)),$B414=$B413,$A414&lt;&gt;$A413),and(not(isblank($A414)),$A414=$A413,$B414&lt;&gt;$B413)),"ID LISTS UNALIGNED",and($A414&lt;&gt;"",countif('3) Release_Label'!$D:$D,$A414)=0),"NO UPC MATCH in Release_Label",and($B414&lt;&gt;"",countif('3) Release_Label'!$E:$E,$B414)=0),"NO CATALOG ID MATCH in Release_Label",iserror(vlookup($A414&amp;$B414,'3) Release_Label'!$D:$D&amp;'3) Release_Label'!$E:$E,1,0)),"NO UPC-CATALOG ID pair MATCH in Release_Label" )</f>
        <v/>
      </c>
      <c r="E414" s="99"/>
      <c r="F414" s="99"/>
      <c r="G414" s="123" t="str">
        <f t="array" ref="G414">ifs(or($F414="",$F414="Main Primary Artist"),$F414,not(iserror(vlookup($F414,'Reference info'!$J$5:$J$8,1,0))),"Key Artist",not(iserror(vlookup($F414,'Reference info'!$J$38:$J$405,1,0))),"Performer",not(iserror(vlookup($F414,'Reference info'!$J$10:$J$36,1,0))),"Producer &amp; Engineer")</f>
        <v/>
      </c>
    </row>
    <row r="415">
      <c r="A415" s="28"/>
      <c r="B415" s="103"/>
      <c r="C415" s="121" t="str">
        <f t="array" ref="C415">ifs(and(isblank($A415),isblank($B415)),"", not(iserror(vlookup($A415&amp;$B415,'3) Release_Label'!$D:$D&amp;'3) Release_Label'!$E:$E,1,0))),vlookup($A415&amp;$B415,{'3) Release_Label'!$D:$D&amp;'3) Release_Label'!$E:$E,'3) Release_Label'!$F:$F},2,0), or(and(not(isblank($B415)),$B415=$B414,$A415&lt;&gt;$A414),and(not(isblank($A415)),$A415=$A414,$B415&lt;&gt;$B414)),"ID LISTS UNALIGNED",and($A415&lt;&gt;"",countif('3) Release_Label'!$D:$D,$A415)=0),"NO UPC MATCH in Release_Label",and($B415&lt;&gt;"",countif('3) Release_Label'!$E:$E,$B415)=0),"NO CATALOG ID MATCH in Release_Label",iserror(vlookup($A415&amp;$B415,'3) Release_Label'!$D:$D&amp;'3) Release_Label'!$E:$E,1,0)),"NO UPC-CATALOG ID pair MATCH in Release_Label" )</f>
        <v/>
      </c>
      <c r="D415" s="121" t="str">
        <f t="array" ref="D415">ifs(and(isblank($A415),isblank($B415)),"", not(iserror(vlookup($A415&amp;$B415,'3) Release_Label'!$D:$D&amp;'3) Release_Label'!$E:$E,1,0))),vlookup($A415&amp;$B415,{'3) Release_Label'!$D:$D&amp;'3) Release_Label'!$E:$E,'3) Release_Label'!$H:$H},2,0), or(and(not(isblank($B415)),$B415=$B414,$A415&lt;&gt;$A414),and(not(isblank($A415)),$A415=$A414,$B415&lt;&gt;$B414)),"ID LISTS UNALIGNED",and($A415&lt;&gt;"",countif('3) Release_Label'!$D:$D,$A415)=0),"NO UPC MATCH in Release_Label",and($B415&lt;&gt;"",countif('3) Release_Label'!$E:$E,$B415)=0),"NO CATALOG ID MATCH in Release_Label",iserror(vlookup($A415&amp;$B415,'3) Release_Label'!$D:$D&amp;'3) Release_Label'!$E:$E,1,0)),"NO UPC-CATALOG ID pair MATCH in Release_Label" )</f>
        <v/>
      </c>
      <c r="E415" s="99"/>
      <c r="F415" s="99"/>
      <c r="G415" s="123" t="str">
        <f t="array" ref="G415">ifs(or($F415="",$F415="Main Primary Artist"),$F415,not(iserror(vlookup($F415,'Reference info'!$J$5:$J$8,1,0))),"Key Artist",not(iserror(vlookup($F415,'Reference info'!$J$38:$J$405,1,0))),"Performer",not(iserror(vlookup($F415,'Reference info'!$J$10:$J$36,1,0))),"Producer &amp; Engineer")</f>
        <v/>
      </c>
    </row>
    <row r="416">
      <c r="A416" s="28"/>
      <c r="B416" s="103"/>
      <c r="C416" s="121" t="str">
        <f t="array" ref="C416">ifs(and(isblank($A416),isblank($B416)),"", not(iserror(vlookup($A416&amp;$B416,'3) Release_Label'!$D:$D&amp;'3) Release_Label'!$E:$E,1,0))),vlookup($A416&amp;$B416,{'3) Release_Label'!$D:$D&amp;'3) Release_Label'!$E:$E,'3) Release_Label'!$F:$F},2,0), or(and(not(isblank($B416)),$B416=$B415,$A416&lt;&gt;$A415),and(not(isblank($A416)),$A416=$A415,$B416&lt;&gt;$B415)),"ID LISTS UNALIGNED",and($A416&lt;&gt;"",countif('3) Release_Label'!$D:$D,$A416)=0),"NO UPC MATCH in Release_Label",and($B416&lt;&gt;"",countif('3) Release_Label'!$E:$E,$B416)=0),"NO CATALOG ID MATCH in Release_Label",iserror(vlookup($A416&amp;$B416,'3) Release_Label'!$D:$D&amp;'3) Release_Label'!$E:$E,1,0)),"NO UPC-CATALOG ID pair MATCH in Release_Label" )</f>
        <v/>
      </c>
      <c r="D416" s="121" t="str">
        <f t="array" ref="D416">ifs(and(isblank($A416),isblank($B416)),"", not(iserror(vlookup($A416&amp;$B416,'3) Release_Label'!$D:$D&amp;'3) Release_Label'!$E:$E,1,0))),vlookup($A416&amp;$B416,{'3) Release_Label'!$D:$D&amp;'3) Release_Label'!$E:$E,'3) Release_Label'!$H:$H},2,0), or(and(not(isblank($B416)),$B416=$B415,$A416&lt;&gt;$A415),and(not(isblank($A416)),$A416=$A415,$B416&lt;&gt;$B415)),"ID LISTS UNALIGNED",and($A416&lt;&gt;"",countif('3) Release_Label'!$D:$D,$A416)=0),"NO UPC MATCH in Release_Label",and($B416&lt;&gt;"",countif('3) Release_Label'!$E:$E,$B416)=0),"NO CATALOG ID MATCH in Release_Label",iserror(vlookup($A416&amp;$B416,'3) Release_Label'!$D:$D&amp;'3) Release_Label'!$E:$E,1,0)),"NO UPC-CATALOG ID pair MATCH in Release_Label" )</f>
        <v/>
      </c>
      <c r="E416" s="99"/>
      <c r="F416" s="99"/>
      <c r="G416" s="123" t="str">
        <f t="array" ref="G416">ifs(or($F416="",$F416="Main Primary Artist"),$F416,not(iserror(vlookup($F416,'Reference info'!$J$5:$J$8,1,0))),"Key Artist",not(iserror(vlookup($F416,'Reference info'!$J$38:$J$405,1,0))),"Performer",not(iserror(vlookup($F416,'Reference info'!$J$10:$J$36,1,0))),"Producer &amp; Engineer")</f>
        <v/>
      </c>
    </row>
    <row r="417">
      <c r="A417" s="28"/>
      <c r="B417" s="103"/>
      <c r="C417" s="121" t="str">
        <f t="array" ref="C417">ifs(and(isblank($A417),isblank($B417)),"", not(iserror(vlookup($A417&amp;$B417,'3) Release_Label'!$D:$D&amp;'3) Release_Label'!$E:$E,1,0))),vlookup($A417&amp;$B417,{'3) Release_Label'!$D:$D&amp;'3) Release_Label'!$E:$E,'3) Release_Label'!$F:$F},2,0), or(and(not(isblank($B417)),$B417=$B416,$A417&lt;&gt;$A416),and(not(isblank($A417)),$A417=$A416,$B417&lt;&gt;$B416)),"ID LISTS UNALIGNED",and($A417&lt;&gt;"",countif('3) Release_Label'!$D:$D,$A417)=0),"NO UPC MATCH in Release_Label",and($B417&lt;&gt;"",countif('3) Release_Label'!$E:$E,$B417)=0),"NO CATALOG ID MATCH in Release_Label",iserror(vlookup($A417&amp;$B417,'3) Release_Label'!$D:$D&amp;'3) Release_Label'!$E:$E,1,0)),"NO UPC-CATALOG ID pair MATCH in Release_Label" )</f>
        <v/>
      </c>
      <c r="D417" s="121" t="str">
        <f t="array" ref="D417">ifs(and(isblank($A417),isblank($B417)),"", not(iserror(vlookup($A417&amp;$B417,'3) Release_Label'!$D:$D&amp;'3) Release_Label'!$E:$E,1,0))),vlookup($A417&amp;$B417,{'3) Release_Label'!$D:$D&amp;'3) Release_Label'!$E:$E,'3) Release_Label'!$H:$H},2,0), or(and(not(isblank($B417)),$B417=$B416,$A417&lt;&gt;$A416),and(not(isblank($A417)),$A417=$A416,$B417&lt;&gt;$B416)),"ID LISTS UNALIGNED",and($A417&lt;&gt;"",countif('3) Release_Label'!$D:$D,$A417)=0),"NO UPC MATCH in Release_Label",and($B417&lt;&gt;"",countif('3) Release_Label'!$E:$E,$B417)=0),"NO CATALOG ID MATCH in Release_Label",iserror(vlookup($A417&amp;$B417,'3) Release_Label'!$D:$D&amp;'3) Release_Label'!$E:$E,1,0)),"NO UPC-CATALOG ID pair MATCH in Release_Label" )</f>
        <v/>
      </c>
      <c r="E417" s="99"/>
      <c r="F417" s="99"/>
      <c r="G417" s="123" t="str">
        <f t="array" ref="G417">ifs(or($F417="",$F417="Main Primary Artist"),$F417,not(iserror(vlookup($F417,'Reference info'!$J$5:$J$8,1,0))),"Key Artist",not(iserror(vlookup($F417,'Reference info'!$J$38:$J$405,1,0))),"Performer",not(iserror(vlookup($F417,'Reference info'!$J$10:$J$36,1,0))),"Producer &amp; Engineer")</f>
        <v/>
      </c>
    </row>
    <row r="418">
      <c r="A418" s="28"/>
      <c r="B418" s="103"/>
      <c r="C418" s="121" t="str">
        <f t="array" ref="C418">ifs(and(isblank($A418),isblank($B418)),"", not(iserror(vlookup($A418&amp;$B418,'3) Release_Label'!$D:$D&amp;'3) Release_Label'!$E:$E,1,0))),vlookup($A418&amp;$B418,{'3) Release_Label'!$D:$D&amp;'3) Release_Label'!$E:$E,'3) Release_Label'!$F:$F},2,0), or(and(not(isblank($B418)),$B418=$B417,$A418&lt;&gt;$A417),and(not(isblank($A418)),$A418=$A417,$B418&lt;&gt;$B417)),"ID LISTS UNALIGNED",and($A418&lt;&gt;"",countif('3) Release_Label'!$D:$D,$A418)=0),"NO UPC MATCH in Release_Label",and($B418&lt;&gt;"",countif('3) Release_Label'!$E:$E,$B418)=0),"NO CATALOG ID MATCH in Release_Label",iserror(vlookup($A418&amp;$B418,'3) Release_Label'!$D:$D&amp;'3) Release_Label'!$E:$E,1,0)),"NO UPC-CATALOG ID pair MATCH in Release_Label" )</f>
        <v/>
      </c>
      <c r="D418" s="121" t="str">
        <f t="array" ref="D418">ifs(and(isblank($A418),isblank($B418)),"", not(iserror(vlookup($A418&amp;$B418,'3) Release_Label'!$D:$D&amp;'3) Release_Label'!$E:$E,1,0))),vlookup($A418&amp;$B418,{'3) Release_Label'!$D:$D&amp;'3) Release_Label'!$E:$E,'3) Release_Label'!$H:$H},2,0), or(and(not(isblank($B418)),$B418=$B417,$A418&lt;&gt;$A417),and(not(isblank($A418)),$A418=$A417,$B418&lt;&gt;$B417)),"ID LISTS UNALIGNED",and($A418&lt;&gt;"",countif('3) Release_Label'!$D:$D,$A418)=0),"NO UPC MATCH in Release_Label",and($B418&lt;&gt;"",countif('3) Release_Label'!$E:$E,$B418)=0),"NO CATALOG ID MATCH in Release_Label",iserror(vlookup($A418&amp;$B418,'3) Release_Label'!$D:$D&amp;'3) Release_Label'!$E:$E,1,0)),"NO UPC-CATALOG ID pair MATCH in Release_Label" )</f>
        <v/>
      </c>
      <c r="E418" s="99"/>
      <c r="F418" s="99"/>
      <c r="G418" s="123" t="str">
        <f t="array" ref="G418">ifs(or($F418="",$F418="Main Primary Artist"),$F418,not(iserror(vlookup($F418,'Reference info'!$J$5:$J$8,1,0))),"Key Artist",not(iserror(vlookup($F418,'Reference info'!$J$38:$J$405,1,0))),"Performer",not(iserror(vlookup($F418,'Reference info'!$J$10:$J$36,1,0))),"Producer &amp; Engineer")</f>
        <v/>
      </c>
    </row>
    <row r="419">
      <c r="A419" s="28"/>
      <c r="B419" s="103"/>
      <c r="C419" s="121" t="str">
        <f t="array" ref="C419">ifs(and(isblank($A419),isblank($B419)),"", not(iserror(vlookup($A419&amp;$B419,'3) Release_Label'!$D:$D&amp;'3) Release_Label'!$E:$E,1,0))),vlookup($A419&amp;$B419,{'3) Release_Label'!$D:$D&amp;'3) Release_Label'!$E:$E,'3) Release_Label'!$F:$F},2,0), or(and(not(isblank($B419)),$B419=$B418,$A419&lt;&gt;$A418),and(not(isblank($A419)),$A419=$A418,$B419&lt;&gt;$B418)),"ID LISTS UNALIGNED",and($A419&lt;&gt;"",countif('3) Release_Label'!$D:$D,$A419)=0),"NO UPC MATCH in Release_Label",and($B419&lt;&gt;"",countif('3) Release_Label'!$E:$E,$B419)=0),"NO CATALOG ID MATCH in Release_Label",iserror(vlookup($A419&amp;$B419,'3) Release_Label'!$D:$D&amp;'3) Release_Label'!$E:$E,1,0)),"NO UPC-CATALOG ID pair MATCH in Release_Label" )</f>
        <v/>
      </c>
      <c r="D419" s="121" t="str">
        <f t="array" ref="D419">ifs(and(isblank($A419),isblank($B419)),"", not(iserror(vlookup($A419&amp;$B419,'3) Release_Label'!$D:$D&amp;'3) Release_Label'!$E:$E,1,0))),vlookup($A419&amp;$B419,{'3) Release_Label'!$D:$D&amp;'3) Release_Label'!$E:$E,'3) Release_Label'!$H:$H},2,0), or(and(not(isblank($B419)),$B419=$B418,$A419&lt;&gt;$A418),and(not(isblank($A419)),$A419=$A418,$B419&lt;&gt;$B418)),"ID LISTS UNALIGNED",and($A419&lt;&gt;"",countif('3) Release_Label'!$D:$D,$A419)=0),"NO UPC MATCH in Release_Label",and($B419&lt;&gt;"",countif('3) Release_Label'!$E:$E,$B419)=0),"NO CATALOG ID MATCH in Release_Label",iserror(vlookup($A419&amp;$B419,'3) Release_Label'!$D:$D&amp;'3) Release_Label'!$E:$E,1,0)),"NO UPC-CATALOG ID pair MATCH in Release_Label" )</f>
        <v/>
      </c>
      <c r="E419" s="99"/>
      <c r="F419" s="99"/>
      <c r="G419" s="123" t="str">
        <f t="array" ref="G419">ifs(or($F419="",$F419="Main Primary Artist"),$F419,not(iserror(vlookup($F419,'Reference info'!$J$5:$J$8,1,0))),"Key Artist",not(iserror(vlookup($F419,'Reference info'!$J$38:$J$405,1,0))),"Performer",not(iserror(vlookup($F419,'Reference info'!$J$10:$J$36,1,0))),"Producer &amp; Engineer")</f>
        <v/>
      </c>
    </row>
    <row r="420">
      <c r="A420" s="28"/>
      <c r="B420" s="103"/>
      <c r="C420" s="121" t="str">
        <f t="array" ref="C420">ifs(and(isblank($A420),isblank($B420)),"", not(iserror(vlookup($A420&amp;$B420,'3) Release_Label'!$D:$D&amp;'3) Release_Label'!$E:$E,1,0))),vlookup($A420&amp;$B420,{'3) Release_Label'!$D:$D&amp;'3) Release_Label'!$E:$E,'3) Release_Label'!$F:$F},2,0), or(and(not(isblank($B420)),$B420=$B419,$A420&lt;&gt;$A419),and(not(isblank($A420)),$A420=$A419,$B420&lt;&gt;$B419)),"ID LISTS UNALIGNED",and($A420&lt;&gt;"",countif('3) Release_Label'!$D:$D,$A420)=0),"NO UPC MATCH in Release_Label",and($B420&lt;&gt;"",countif('3) Release_Label'!$E:$E,$B420)=0),"NO CATALOG ID MATCH in Release_Label",iserror(vlookup($A420&amp;$B420,'3) Release_Label'!$D:$D&amp;'3) Release_Label'!$E:$E,1,0)),"NO UPC-CATALOG ID pair MATCH in Release_Label" )</f>
        <v/>
      </c>
      <c r="D420" s="121" t="str">
        <f t="array" ref="D420">ifs(and(isblank($A420),isblank($B420)),"", not(iserror(vlookup($A420&amp;$B420,'3) Release_Label'!$D:$D&amp;'3) Release_Label'!$E:$E,1,0))),vlookup($A420&amp;$B420,{'3) Release_Label'!$D:$D&amp;'3) Release_Label'!$E:$E,'3) Release_Label'!$H:$H},2,0), or(and(not(isblank($B420)),$B420=$B419,$A420&lt;&gt;$A419),and(not(isblank($A420)),$A420=$A419,$B420&lt;&gt;$B419)),"ID LISTS UNALIGNED",and($A420&lt;&gt;"",countif('3) Release_Label'!$D:$D,$A420)=0),"NO UPC MATCH in Release_Label",and($B420&lt;&gt;"",countif('3) Release_Label'!$E:$E,$B420)=0),"NO CATALOG ID MATCH in Release_Label",iserror(vlookup($A420&amp;$B420,'3) Release_Label'!$D:$D&amp;'3) Release_Label'!$E:$E,1,0)),"NO UPC-CATALOG ID pair MATCH in Release_Label" )</f>
        <v/>
      </c>
      <c r="E420" s="99"/>
      <c r="F420" s="99"/>
      <c r="G420" s="123" t="str">
        <f t="array" ref="G420">ifs(or($F420="",$F420="Main Primary Artist"),$F420,not(iserror(vlookup($F420,'Reference info'!$J$5:$J$8,1,0))),"Key Artist",not(iserror(vlookup($F420,'Reference info'!$J$38:$J$405,1,0))),"Performer",not(iserror(vlookup($F420,'Reference info'!$J$10:$J$36,1,0))),"Producer &amp; Engineer")</f>
        <v/>
      </c>
    </row>
    <row r="421">
      <c r="A421" s="28"/>
      <c r="B421" s="103"/>
      <c r="C421" s="121" t="str">
        <f t="array" ref="C421">ifs(and(isblank($A421),isblank($B421)),"", not(iserror(vlookup($A421&amp;$B421,'3) Release_Label'!$D:$D&amp;'3) Release_Label'!$E:$E,1,0))),vlookup($A421&amp;$B421,{'3) Release_Label'!$D:$D&amp;'3) Release_Label'!$E:$E,'3) Release_Label'!$F:$F},2,0), or(and(not(isblank($B421)),$B421=$B420,$A421&lt;&gt;$A420),and(not(isblank($A421)),$A421=$A420,$B421&lt;&gt;$B420)),"ID LISTS UNALIGNED",and($A421&lt;&gt;"",countif('3) Release_Label'!$D:$D,$A421)=0),"NO UPC MATCH in Release_Label",and($B421&lt;&gt;"",countif('3) Release_Label'!$E:$E,$B421)=0),"NO CATALOG ID MATCH in Release_Label",iserror(vlookup($A421&amp;$B421,'3) Release_Label'!$D:$D&amp;'3) Release_Label'!$E:$E,1,0)),"NO UPC-CATALOG ID pair MATCH in Release_Label" )</f>
        <v/>
      </c>
      <c r="D421" s="121" t="str">
        <f t="array" ref="D421">ifs(and(isblank($A421),isblank($B421)),"", not(iserror(vlookup($A421&amp;$B421,'3) Release_Label'!$D:$D&amp;'3) Release_Label'!$E:$E,1,0))),vlookup($A421&amp;$B421,{'3) Release_Label'!$D:$D&amp;'3) Release_Label'!$E:$E,'3) Release_Label'!$H:$H},2,0), or(and(not(isblank($B421)),$B421=$B420,$A421&lt;&gt;$A420),and(not(isblank($A421)),$A421=$A420,$B421&lt;&gt;$B420)),"ID LISTS UNALIGNED",and($A421&lt;&gt;"",countif('3) Release_Label'!$D:$D,$A421)=0),"NO UPC MATCH in Release_Label",and($B421&lt;&gt;"",countif('3) Release_Label'!$E:$E,$B421)=0),"NO CATALOG ID MATCH in Release_Label",iserror(vlookup($A421&amp;$B421,'3) Release_Label'!$D:$D&amp;'3) Release_Label'!$E:$E,1,0)),"NO UPC-CATALOG ID pair MATCH in Release_Label" )</f>
        <v/>
      </c>
      <c r="E421" s="99"/>
      <c r="F421" s="99"/>
      <c r="G421" s="123" t="str">
        <f t="array" ref="G421">ifs(or($F421="",$F421="Main Primary Artist"),$F421,not(iserror(vlookup($F421,'Reference info'!$J$5:$J$8,1,0))),"Key Artist",not(iserror(vlookup($F421,'Reference info'!$J$38:$J$405,1,0))),"Performer",not(iserror(vlookup($F421,'Reference info'!$J$10:$J$36,1,0))),"Producer &amp; Engineer")</f>
        <v/>
      </c>
    </row>
    <row r="422">
      <c r="A422" s="28"/>
      <c r="B422" s="103"/>
      <c r="C422" s="121" t="str">
        <f t="array" ref="C422">ifs(and(isblank($A422),isblank($B422)),"", not(iserror(vlookup($A422&amp;$B422,'3) Release_Label'!$D:$D&amp;'3) Release_Label'!$E:$E,1,0))),vlookup($A422&amp;$B422,{'3) Release_Label'!$D:$D&amp;'3) Release_Label'!$E:$E,'3) Release_Label'!$F:$F},2,0), or(and(not(isblank($B422)),$B422=$B421,$A422&lt;&gt;$A421),and(not(isblank($A422)),$A422=$A421,$B422&lt;&gt;$B421)),"ID LISTS UNALIGNED",and($A422&lt;&gt;"",countif('3) Release_Label'!$D:$D,$A422)=0),"NO UPC MATCH in Release_Label",and($B422&lt;&gt;"",countif('3) Release_Label'!$E:$E,$B422)=0),"NO CATALOG ID MATCH in Release_Label",iserror(vlookup($A422&amp;$B422,'3) Release_Label'!$D:$D&amp;'3) Release_Label'!$E:$E,1,0)),"NO UPC-CATALOG ID pair MATCH in Release_Label" )</f>
        <v/>
      </c>
      <c r="D422" s="121" t="str">
        <f t="array" ref="D422">ifs(and(isblank($A422),isblank($B422)),"", not(iserror(vlookup($A422&amp;$B422,'3) Release_Label'!$D:$D&amp;'3) Release_Label'!$E:$E,1,0))),vlookup($A422&amp;$B422,{'3) Release_Label'!$D:$D&amp;'3) Release_Label'!$E:$E,'3) Release_Label'!$H:$H},2,0), or(and(not(isblank($B422)),$B422=$B421,$A422&lt;&gt;$A421),and(not(isblank($A422)),$A422=$A421,$B422&lt;&gt;$B421)),"ID LISTS UNALIGNED",and($A422&lt;&gt;"",countif('3) Release_Label'!$D:$D,$A422)=0),"NO UPC MATCH in Release_Label",and($B422&lt;&gt;"",countif('3) Release_Label'!$E:$E,$B422)=0),"NO CATALOG ID MATCH in Release_Label",iserror(vlookup($A422&amp;$B422,'3) Release_Label'!$D:$D&amp;'3) Release_Label'!$E:$E,1,0)),"NO UPC-CATALOG ID pair MATCH in Release_Label" )</f>
        <v/>
      </c>
      <c r="E422" s="99"/>
      <c r="F422" s="99"/>
      <c r="G422" s="123" t="str">
        <f t="array" ref="G422">ifs(or($F422="",$F422="Main Primary Artist"),$F422,not(iserror(vlookup($F422,'Reference info'!$J$5:$J$8,1,0))),"Key Artist",not(iserror(vlookup($F422,'Reference info'!$J$38:$J$405,1,0))),"Performer",not(iserror(vlookup($F422,'Reference info'!$J$10:$J$36,1,0))),"Producer &amp; Engineer")</f>
        <v/>
      </c>
    </row>
    <row r="423">
      <c r="A423" s="28"/>
      <c r="B423" s="103"/>
      <c r="C423" s="121" t="str">
        <f t="array" ref="C423">ifs(and(isblank($A423),isblank($B423)),"", not(iserror(vlookup($A423&amp;$B423,'3) Release_Label'!$D:$D&amp;'3) Release_Label'!$E:$E,1,0))),vlookup($A423&amp;$B423,{'3) Release_Label'!$D:$D&amp;'3) Release_Label'!$E:$E,'3) Release_Label'!$F:$F},2,0), or(and(not(isblank($B423)),$B423=$B422,$A423&lt;&gt;$A422),and(not(isblank($A423)),$A423=$A422,$B423&lt;&gt;$B422)),"ID LISTS UNALIGNED",and($A423&lt;&gt;"",countif('3) Release_Label'!$D:$D,$A423)=0),"NO UPC MATCH in Release_Label",and($B423&lt;&gt;"",countif('3) Release_Label'!$E:$E,$B423)=0),"NO CATALOG ID MATCH in Release_Label",iserror(vlookup($A423&amp;$B423,'3) Release_Label'!$D:$D&amp;'3) Release_Label'!$E:$E,1,0)),"NO UPC-CATALOG ID pair MATCH in Release_Label" )</f>
        <v/>
      </c>
      <c r="D423" s="121" t="str">
        <f t="array" ref="D423">ifs(and(isblank($A423),isblank($B423)),"", not(iserror(vlookup($A423&amp;$B423,'3) Release_Label'!$D:$D&amp;'3) Release_Label'!$E:$E,1,0))),vlookup($A423&amp;$B423,{'3) Release_Label'!$D:$D&amp;'3) Release_Label'!$E:$E,'3) Release_Label'!$H:$H},2,0), or(and(not(isblank($B423)),$B423=$B422,$A423&lt;&gt;$A422),and(not(isblank($A423)),$A423=$A422,$B423&lt;&gt;$B422)),"ID LISTS UNALIGNED",and($A423&lt;&gt;"",countif('3) Release_Label'!$D:$D,$A423)=0),"NO UPC MATCH in Release_Label",and($B423&lt;&gt;"",countif('3) Release_Label'!$E:$E,$B423)=0),"NO CATALOG ID MATCH in Release_Label",iserror(vlookup($A423&amp;$B423,'3) Release_Label'!$D:$D&amp;'3) Release_Label'!$E:$E,1,0)),"NO UPC-CATALOG ID pair MATCH in Release_Label" )</f>
        <v/>
      </c>
      <c r="E423" s="99"/>
      <c r="F423" s="99"/>
      <c r="G423" s="123" t="str">
        <f t="array" ref="G423">ifs(or($F423="",$F423="Main Primary Artist"),$F423,not(iserror(vlookup($F423,'Reference info'!$J$5:$J$8,1,0))),"Key Artist",not(iserror(vlookup($F423,'Reference info'!$J$38:$J$405,1,0))),"Performer",not(iserror(vlookup($F423,'Reference info'!$J$10:$J$36,1,0))),"Producer &amp; Engineer")</f>
        <v/>
      </c>
    </row>
    <row r="424">
      <c r="A424" s="28"/>
      <c r="B424" s="103"/>
      <c r="C424" s="121" t="str">
        <f t="array" ref="C424">ifs(and(isblank($A424),isblank($B424)),"", not(iserror(vlookup($A424&amp;$B424,'3) Release_Label'!$D:$D&amp;'3) Release_Label'!$E:$E,1,0))),vlookup($A424&amp;$B424,{'3) Release_Label'!$D:$D&amp;'3) Release_Label'!$E:$E,'3) Release_Label'!$F:$F},2,0), or(and(not(isblank($B424)),$B424=$B423,$A424&lt;&gt;$A423),and(not(isblank($A424)),$A424=$A423,$B424&lt;&gt;$B423)),"ID LISTS UNALIGNED",and($A424&lt;&gt;"",countif('3) Release_Label'!$D:$D,$A424)=0),"NO UPC MATCH in Release_Label",and($B424&lt;&gt;"",countif('3) Release_Label'!$E:$E,$B424)=0),"NO CATALOG ID MATCH in Release_Label",iserror(vlookup($A424&amp;$B424,'3) Release_Label'!$D:$D&amp;'3) Release_Label'!$E:$E,1,0)),"NO UPC-CATALOG ID pair MATCH in Release_Label" )</f>
        <v/>
      </c>
      <c r="D424" s="121" t="str">
        <f t="array" ref="D424">ifs(and(isblank($A424),isblank($B424)),"", not(iserror(vlookup($A424&amp;$B424,'3) Release_Label'!$D:$D&amp;'3) Release_Label'!$E:$E,1,0))),vlookup($A424&amp;$B424,{'3) Release_Label'!$D:$D&amp;'3) Release_Label'!$E:$E,'3) Release_Label'!$H:$H},2,0), or(and(not(isblank($B424)),$B424=$B423,$A424&lt;&gt;$A423),and(not(isblank($A424)),$A424=$A423,$B424&lt;&gt;$B423)),"ID LISTS UNALIGNED",and($A424&lt;&gt;"",countif('3) Release_Label'!$D:$D,$A424)=0),"NO UPC MATCH in Release_Label",and($B424&lt;&gt;"",countif('3) Release_Label'!$E:$E,$B424)=0),"NO CATALOG ID MATCH in Release_Label",iserror(vlookup($A424&amp;$B424,'3) Release_Label'!$D:$D&amp;'3) Release_Label'!$E:$E,1,0)),"NO UPC-CATALOG ID pair MATCH in Release_Label" )</f>
        <v/>
      </c>
      <c r="E424" s="99"/>
      <c r="F424" s="99"/>
      <c r="G424" s="123" t="str">
        <f t="array" ref="G424">ifs(or($F424="",$F424="Main Primary Artist"),$F424,not(iserror(vlookup($F424,'Reference info'!$J$5:$J$8,1,0))),"Key Artist",not(iserror(vlookup($F424,'Reference info'!$J$38:$J$405,1,0))),"Performer",not(iserror(vlookup($F424,'Reference info'!$J$10:$J$36,1,0))),"Producer &amp; Engineer")</f>
        <v/>
      </c>
    </row>
    <row r="425">
      <c r="A425" s="28"/>
      <c r="B425" s="103"/>
      <c r="C425" s="121" t="str">
        <f t="array" ref="C425">ifs(and(isblank($A425),isblank($B425)),"", not(iserror(vlookup($A425&amp;$B425,'3) Release_Label'!$D:$D&amp;'3) Release_Label'!$E:$E,1,0))),vlookup($A425&amp;$B425,{'3) Release_Label'!$D:$D&amp;'3) Release_Label'!$E:$E,'3) Release_Label'!$F:$F},2,0), or(and(not(isblank($B425)),$B425=$B424,$A425&lt;&gt;$A424),and(not(isblank($A425)),$A425=$A424,$B425&lt;&gt;$B424)),"ID LISTS UNALIGNED",and($A425&lt;&gt;"",countif('3) Release_Label'!$D:$D,$A425)=0),"NO UPC MATCH in Release_Label",and($B425&lt;&gt;"",countif('3) Release_Label'!$E:$E,$B425)=0),"NO CATALOG ID MATCH in Release_Label",iserror(vlookup($A425&amp;$B425,'3) Release_Label'!$D:$D&amp;'3) Release_Label'!$E:$E,1,0)),"NO UPC-CATALOG ID pair MATCH in Release_Label" )</f>
        <v/>
      </c>
      <c r="D425" s="121" t="str">
        <f t="array" ref="D425">ifs(and(isblank($A425),isblank($B425)),"", not(iserror(vlookup($A425&amp;$B425,'3) Release_Label'!$D:$D&amp;'3) Release_Label'!$E:$E,1,0))),vlookup($A425&amp;$B425,{'3) Release_Label'!$D:$D&amp;'3) Release_Label'!$E:$E,'3) Release_Label'!$H:$H},2,0), or(and(not(isblank($B425)),$B425=$B424,$A425&lt;&gt;$A424),and(not(isblank($A425)),$A425=$A424,$B425&lt;&gt;$B424)),"ID LISTS UNALIGNED",and($A425&lt;&gt;"",countif('3) Release_Label'!$D:$D,$A425)=0),"NO UPC MATCH in Release_Label",and($B425&lt;&gt;"",countif('3) Release_Label'!$E:$E,$B425)=0),"NO CATALOG ID MATCH in Release_Label",iserror(vlookup($A425&amp;$B425,'3) Release_Label'!$D:$D&amp;'3) Release_Label'!$E:$E,1,0)),"NO UPC-CATALOG ID pair MATCH in Release_Label" )</f>
        <v/>
      </c>
      <c r="E425" s="99"/>
      <c r="F425" s="99"/>
      <c r="G425" s="123" t="str">
        <f t="array" ref="G425">ifs(or($F425="",$F425="Main Primary Artist"),$F425,not(iserror(vlookup($F425,'Reference info'!$J$5:$J$8,1,0))),"Key Artist",not(iserror(vlookup($F425,'Reference info'!$J$38:$J$405,1,0))),"Performer",not(iserror(vlookup($F425,'Reference info'!$J$10:$J$36,1,0))),"Producer &amp; Engineer")</f>
        <v/>
      </c>
    </row>
    <row r="426">
      <c r="A426" s="28"/>
      <c r="B426" s="103"/>
      <c r="C426" s="121" t="str">
        <f t="array" ref="C426">ifs(and(isblank($A426),isblank($B426)),"", not(iserror(vlookup($A426&amp;$B426,'3) Release_Label'!$D:$D&amp;'3) Release_Label'!$E:$E,1,0))),vlookup($A426&amp;$B426,{'3) Release_Label'!$D:$D&amp;'3) Release_Label'!$E:$E,'3) Release_Label'!$F:$F},2,0), or(and(not(isblank($B426)),$B426=$B425,$A426&lt;&gt;$A425),and(not(isblank($A426)),$A426=$A425,$B426&lt;&gt;$B425)),"ID LISTS UNALIGNED",and($A426&lt;&gt;"",countif('3) Release_Label'!$D:$D,$A426)=0),"NO UPC MATCH in Release_Label",and($B426&lt;&gt;"",countif('3) Release_Label'!$E:$E,$B426)=0),"NO CATALOG ID MATCH in Release_Label",iserror(vlookup($A426&amp;$B426,'3) Release_Label'!$D:$D&amp;'3) Release_Label'!$E:$E,1,0)),"NO UPC-CATALOG ID pair MATCH in Release_Label" )</f>
        <v/>
      </c>
      <c r="D426" s="121" t="str">
        <f t="array" ref="D426">ifs(and(isblank($A426),isblank($B426)),"", not(iserror(vlookup($A426&amp;$B426,'3) Release_Label'!$D:$D&amp;'3) Release_Label'!$E:$E,1,0))),vlookup($A426&amp;$B426,{'3) Release_Label'!$D:$D&amp;'3) Release_Label'!$E:$E,'3) Release_Label'!$H:$H},2,0), or(and(not(isblank($B426)),$B426=$B425,$A426&lt;&gt;$A425),and(not(isblank($A426)),$A426=$A425,$B426&lt;&gt;$B425)),"ID LISTS UNALIGNED",and($A426&lt;&gt;"",countif('3) Release_Label'!$D:$D,$A426)=0),"NO UPC MATCH in Release_Label",and($B426&lt;&gt;"",countif('3) Release_Label'!$E:$E,$B426)=0),"NO CATALOG ID MATCH in Release_Label",iserror(vlookup($A426&amp;$B426,'3) Release_Label'!$D:$D&amp;'3) Release_Label'!$E:$E,1,0)),"NO UPC-CATALOG ID pair MATCH in Release_Label" )</f>
        <v/>
      </c>
      <c r="E426" s="99"/>
      <c r="F426" s="99"/>
      <c r="G426" s="123" t="str">
        <f t="array" ref="G426">ifs(or($F426="",$F426="Main Primary Artist"),$F426,not(iserror(vlookup($F426,'Reference info'!$J$5:$J$8,1,0))),"Key Artist",not(iserror(vlookup($F426,'Reference info'!$J$38:$J$405,1,0))),"Performer",not(iserror(vlookup($F426,'Reference info'!$J$10:$J$36,1,0))),"Producer &amp; Engineer")</f>
        <v/>
      </c>
    </row>
    <row r="427">
      <c r="A427" s="28"/>
      <c r="B427" s="103"/>
      <c r="C427" s="121" t="str">
        <f t="array" ref="C427">ifs(and(isblank($A427),isblank($B427)),"", not(iserror(vlookup($A427&amp;$B427,'3) Release_Label'!$D:$D&amp;'3) Release_Label'!$E:$E,1,0))),vlookup($A427&amp;$B427,{'3) Release_Label'!$D:$D&amp;'3) Release_Label'!$E:$E,'3) Release_Label'!$F:$F},2,0), or(and(not(isblank($B427)),$B427=$B426,$A427&lt;&gt;$A426),and(not(isblank($A427)),$A427=$A426,$B427&lt;&gt;$B426)),"ID LISTS UNALIGNED",and($A427&lt;&gt;"",countif('3) Release_Label'!$D:$D,$A427)=0),"NO UPC MATCH in Release_Label",and($B427&lt;&gt;"",countif('3) Release_Label'!$E:$E,$B427)=0),"NO CATALOG ID MATCH in Release_Label",iserror(vlookup($A427&amp;$B427,'3) Release_Label'!$D:$D&amp;'3) Release_Label'!$E:$E,1,0)),"NO UPC-CATALOG ID pair MATCH in Release_Label" )</f>
        <v/>
      </c>
      <c r="D427" s="121" t="str">
        <f t="array" ref="D427">ifs(and(isblank($A427),isblank($B427)),"", not(iserror(vlookup($A427&amp;$B427,'3) Release_Label'!$D:$D&amp;'3) Release_Label'!$E:$E,1,0))),vlookup($A427&amp;$B427,{'3) Release_Label'!$D:$D&amp;'3) Release_Label'!$E:$E,'3) Release_Label'!$H:$H},2,0), or(and(not(isblank($B427)),$B427=$B426,$A427&lt;&gt;$A426),and(not(isblank($A427)),$A427=$A426,$B427&lt;&gt;$B426)),"ID LISTS UNALIGNED",and($A427&lt;&gt;"",countif('3) Release_Label'!$D:$D,$A427)=0),"NO UPC MATCH in Release_Label",and($B427&lt;&gt;"",countif('3) Release_Label'!$E:$E,$B427)=0),"NO CATALOG ID MATCH in Release_Label",iserror(vlookup($A427&amp;$B427,'3) Release_Label'!$D:$D&amp;'3) Release_Label'!$E:$E,1,0)),"NO UPC-CATALOG ID pair MATCH in Release_Label" )</f>
        <v/>
      </c>
      <c r="E427" s="99"/>
      <c r="F427" s="99"/>
      <c r="G427" s="123" t="str">
        <f t="array" ref="G427">ifs(or($F427="",$F427="Main Primary Artist"),$F427,not(iserror(vlookup($F427,'Reference info'!$J$5:$J$8,1,0))),"Key Artist",not(iserror(vlookup($F427,'Reference info'!$J$38:$J$405,1,0))),"Performer",not(iserror(vlookup($F427,'Reference info'!$J$10:$J$36,1,0))),"Producer &amp; Engineer")</f>
        <v/>
      </c>
    </row>
    <row r="428">
      <c r="A428" s="28"/>
      <c r="B428" s="103"/>
      <c r="C428" s="121" t="str">
        <f t="array" ref="C428">ifs(and(isblank($A428),isblank($B428)),"", not(iserror(vlookup($A428&amp;$B428,'3) Release_Label'!$D:$D&amp;'3) Release_Label'!$E:$E,1,0))),vlookup($A428&amp;$B428,{'3) Release_Label'!$D:$D&amp;'3) Release_Label'!$E:$E,'3) Release_Label'!$F:$F},2,0), or(and(not(isblank($B428)),$B428=$B427,$A428&lt;&gt;$A427),and(not(isblank($A428)),$A428=$A427,$B428&lt;&gt;$B427)),"ID LISTS UNALIGNED",and($A428&lt;&gt;"",countif('3) Release_Label'!$D:$D,$A428)=0),"NO UPC MATCH in Release_Label",and($B428&lt;&gt;"",countif('3) Release_Label'!$E:$E,$B428)=0),"NO CATALOG ID MATCH in Release_Label",iserror(vlookup($A428&amp;$B428,'3) Release_Label'!$D:$D&amp;'3) Release_Label'!$E:$E,1,0)),"NO UPC-CATALOG ID pair MATCH in Release_Label" )</f>
        <v/>
      </c>
      <c r="D428" s="121" t="str">
        <f t="array" ref="D428">ifs(and(isblank($A428),isblank($B428)),"", not(iserror(vlookup($A428&amp;$B428,'3) Release_Label'!$D:$D&amp;'3) Release_Label'!$E:$E,1,0))),vlookup($A428&amp;$B428,{'3) Release_Label'!$D:$D&amp;'3) Release_Label'!$E:$E,'3) Release_Label'!$H:$H},2,0), or(and(not(isblank($B428)),$B428=$B427,$A428&lt;&gt;$A427),and(not(isblank($A428)),$A428=$A427,$B428&lt;&gt;$B427)),"ID LISTS UNALIGNED",and($A428&lt;&gt;"",countif('3) Release_Label'!$D:$D,$A428)=0),"NO UPC MATCH in Release_Label",and($B428&lt;&gt;"",countif('3) Release_Label'!$E:$E,$B428)=0),"NO CATALOG ID MATCH in Release_Label",iserror(vlookup($A428&amp;$B428,'3) Release_Label'!$D:$D&amp;'3) Release_Label'!$E:$E,1,0)),"NO UPC-CATALOG ID pair MATCH in Release_Label" )</f>
        <v/>
      </c>
      <c r="E428" s="99"/>
      <c r="F428" s="99"/>
      <c r="G428" s="123" t="str">
        <f t="array" ref="G428">ifs(or($F428="",$F428="Main Primary Artist"),$F428,not(iserror(vlookup($F428,'Reference info'!$J$5:$J$8,1,0))),"Key Artist",not(iserror(vlookup($F428,'Reference info'!$J$38:$J$405,1,0))),"Performer",not(iserror(vlookup($F428,'Reference info'!$J$10:$J$36,1,0))),"Producer &amp; Engineer")</f>
        <v/>
      </c>
    </row>
    <row r="429">
      <c r="A429" s="28"/>
      <c r="B429" s="103"/>
      <c r="C429" s="121" t="str">
        <f t="array" ref="C429">ifs(and(isblank($A429),isblank($B429)),"", not(iserror(vlookup($A429&amp;$B429,'3) Release_Label'!$D:$D&amp;'3) Release_Label'!$E:$E,1,0))),vlookup($A429&amp;$B429,{'3) Release_Label'!$D:$D&amp;'3) Release_Label'!$E:$E,'3) Release_Label'!$F:$F},2,0), or(and(not(isblank($B429)),$B429=$B428,$A429&lt;&gt;$A428),and(not(isblank($A429)),$A429=$A428,$B429&lt;&gt;$B428)),"ID LISTS UNALIGNED",and($A429&lt;&gt;"",countif('3) Release_Label'!$D:$D,$A429)=0),"NO UPC MATCH in Release_Label",and($B429&lt;&gt;"",countif('3) Release_Label'!$E:$E,$B429)=0),"NO CATALOG ID MATCH in Release_Label",iserror(vlookup($A429&amp;$B429,'3) Release_Label'!$D:$D&amp;'3) Release_Label'!$E:$E,1,0)),"NO UPC-CATALOG ID pair MATCH in Release_Label" )</f>
        <v/>
      </c>
      <c r="D429" s="121" t="str">
        <f t="array" ref="D429">ifs(and(isblank($A429),isblank($B429)),"", not(iserror(vlookup($A429&amp;$B429,'3) Release_Label'!$D:$D&amp;'3) Release_Label'!$E:$E,1,0))),vlookup($A429&amp;$B429,{'3) Release_Label'!$D:$D&amp;'3) Release_Label'!$E:$E,'3) Release_Label'!$H:$H},2,0), or(and(not(isblank($B429)),$B429=$B428,$A429&lt;&gt;$A428),and(not(isblank($A429)),$A429=$A428,$B429&lt;&gt;$B428)),"ID LISTS UNALIGNED",and($A429&lt;&gt;"",countif('3) Release_Label'!$D:$D,$A429)=0),"NO UPC MATCH in Release_Label",and($B429&lt;&gt;"",countif('3) Release_Label'!$E:$E,$B429)=0),"NO CATALOG ID MATCH in Release_Label",iserror(vlookup($A429&amp;$B429,'3) Release_Label'!$D:$D&amp;'3) Release_Label'!$E:$E,1,0)),"NO UPC-CATALOG ID pair MATCH in Release_Label" )</f>
        <v/>
      </c>
      <c r="E429" s="99"/>
      <c r="F429" s="99"/>
      <c r="G429" s="123" t="str">
        <f t="array" ref="G429">ifs(or($F429="",$F429="Main Primary Artist"),$F429,not(iserror(vlookup($F429,'Reference info'!$J$5:$J$8,1,0))),"Key Artist",not(iserror(vlookup($F429,'Reference info'!$J$38:$J$405,1,0))),"Performer",not(iserror(vlookup($F429,'Reference info'!$J$10:$J$36,1,0))),"Producer &amp; Engineer")</f>
        <v/>
      </c>
    </row>
    <row r="430">
      <c r="A430" s="28"/>
      <c r="B430" s="103"/>
      <c r="C430" s="121" t="str">
        <f t="array" ref="C430">ifs(and(isblank($A430),isblank($B430)),"", not(iserror(vlookup($A430&amp;$B430,'3) Release_Label'!$D:$D&amp;'3) Release_Label'!$E:$E,1,0))),vlookup($A430&amp;$B430,{'3) Release_Label'!$D:$D&amp;'3) Release_Label'!$E:$E,'3) Release_Label'!$F:$F},2,0), or(and(not(isblank($B430)),$B430=$B429,$A430&lt;&gt;$A429),and(not(isblank($A430)),$A430=$A429,$B430&lt;&gt;$B429)),"ID LISTS UNALIGNED",and($A430&lt;&gt;"",countif('3) Release_Label'!$D:$D,$A430)=0),"NO UPC MATCH in Release_Label",and($B430&lt;&gt;"",countif('3) Release_Label'!$E:$E,$B430)=0),"NO CATALOG ID MATCH in Release_Label",iserror(vlookup($A430&amp;$B430,'3) Release_Label'!$D:$D&amp;'3) Release_Label'!$E:$E,1,0)),"NO UPC-CATALOG ID pair MATCH in Release_Label" )</f>
        <v/>
      </c>
      <c r="D430" s="121" t="str">
        <f t="array" ref="D430">ifs(and(isblank($A430),isblank($B430)),"", not(iserror(vlookup($A430&amp;$B430,'3) Release_Label'!$D:$D&amp;'3) Release_Label'!$E:$E,1,0))),vlookup($A430&amp;$B430,{'3) Release_Label'!$D:$D&amp;'3) Release_Label'!$E:$E,'3) Release_Label'!$H:$H},2,0), or(and(not(isblank($B430)),$B430=$B429,$A430&lt;&gt;$A429),and(not(isblank($A430)),$A430=$A429,$B430&lt;&gt;$B429)),"ID LISTS UNALIGNED",and($A430&lt;&gt;"",countif('3) Release_Label'!$D:$D,$A430)=0),"NO UPC MATCH in Release_Label",and($B430&lt;&gt;"",countif('3) Release_Label'!$E:$E,$B430)=0),"NO CATALOG ID MATCH in Release_Label",iserror(vlookup($A430&amp;$B430,'3) Release_Label'!$D:$D&amp;'3) Release_Label'!$E:$E,1,0)),"NO UPC-CATALOG ID pair MATCH in Release_Label" )</f>
        <v/>
      </c>
      <c r="E430" s="99"/>
      <c r="F430" s="99"/>
      <c r="G430" s="123" t="str">
        <f t="array" ref="G430">ifs(or($F430="",$F430="Main Primary Artist"),$F430,not(iserror(vlookup($F430,'Reference info'!$J$5:$J$8,1,0))),"Key Artist",not(iserror(vlookup($F430,'Reference info'!$J$38:$J$405,1,0))),"Performer",not(iserror(vlookup($F430,'Reference info'!$J$10:$J$36,1,0))),"Producer &amp; Engineer")</f>
        <v/>
      </c>
    </row>
    <row r="431">
      <c r="A431" s="28"/>
      <c r="B431" s="103"/>
      <c r="C431" s="121" t="str">
        <f t="array" ref="C431">ifs(and(isblank($A431),isblank($B431)),"", not(iserror(vlookup($A431&amp;$B431,'3) Release_Label'!$D:$D&amp;'3) Release_Label'!$E:$E,1,0))),vlookup($A431&amp;$B431,{'3) Release_Label'!$D:$D&amp;'3) Release_Label'!$E:$E,'3) Release_Label'!$F:$F},2,0), or(and(not(isblank($B431)),$B431=$B430,$A431&lt;&gt;$A430),and(not(isblank($A431)),$A431=$A430,$B431&lt;&gt;$B430)),"ID LISTS UNALIGNED",and($A431&lt;&gt;"",countif('3) Release_Label'!$D:$D,$A431)=0),"NO UPC MATCH in Release_Label",and($B431&lt;&gt;"",countif('3) Release_Label'!$E:$E,$B431)=0),"NO CATALOG ID MATCH in Release_Label",iserror(vlookup($A431&amp;$B431,'3) Release_Label'!$D:$D&amp;'3) Release_Label'!$E:$E,1,0)),"NO UPC-CATALOG ID pair MATCH in Release_Label" )</f>
        <v/>
      </c>
      <c r="D431" s="121" t="str">
        <f t="array" ref="D431">ifs(and(isblank($A431),isblank($B431)),"", not(iserror(vlookup($A431&amp;$B431,'3) Release_Label'!$D:$D&amp;'3) Release_Label'!$E:$E,1,0))),vlookup($A431&amp;$B431,{'3) Release_Label'!$D:$D&amp;'3) Release_Label'!$E:$E,'3) Release_Label'!$H:$H},2,0), or(and(not(isblank($B431)),$B431=$B430,$A431&lt;&gt;$A430),and(not(isblank($A431)),$A431=$A430,$B431&lt;&gt;$B430)),"ID LISTS UNALIGNED",and($A431&lt;&gt;"",countif('3) Release_Label'!$D:$D,$A431)=0),"NO UPC MATCH in Release_Label",and($B431&lt;&gt;"",countif('3) Release_Label'!$E:$E,$B431)=0),"NO CATALOG ID MATCH in Release_Label",iserror(vlookup($A431&amp;$B431,'3) Release_Label'!$D:$D&amp;'3) Release_Label'!$E:$E,1,0)),"NO UPC-CATALOG ID pair MATCH in Release_Label" )</f>
        <v/>
      </c>
      <c r="E431" s="99"/>
      <c r="F431" s="99"/>
      <c r="G431" s="123" t="str">
        <f t="array" ref="G431">ifs(or($F431="",$F431="Main Primary Artist"),$F431,not(iserror(vlookup($F431,'Reference info'!$J$5:$J$8,1,0))),"Key Artist",not(iserror(vlookup($F431,'Reference info'!$J$38:$J$405,1,0))),"Performer",not(iserror(vlookup($F431,'Reference info'!$J$10:$J$36,1,0))),"Producer &amp; Engineer")</f>
        <v/>
      </c>
    </row>
    <row r="432">
      <c r="A432" s="28"/>
      <c r="B432" s="103"/>
      <c r="C432" s="121" t="str">
        <f t="array" ref="C432">ifs(and(isblank($A432),isblank($B432)),"", not(iserror(vlookup($A432&amp;$B432,'3) Release_Label'!$D:$D&amp;'3) Release_Label'!$E:$E,1,0))),vlookup($A432&amp;$B432,{'3) Release_Label'!$D:$D&amp;'3) Release_Label'!$E:$E,'3) Release_Label'!$F:$F},2,0), or(and(not(isblank($B432)),$B432=$B431,$A432&lt;&gt;$A431),and(not(isblank($A432)),$A432=$A431,$B432&lt;&gt;$B431)),"ID LISTS UNALIGNED",and($A432&lt;&gt;"",countif('3) Release_Label'!$D:$D,$A432)=0),"NO UPC MATCH in Release_Label",and($B432&lt;&gt;"",countif('3) Release_Label'!$E:$E,$B432)=0),"NO CATALOG ID MATCH in Release_Label",iserror(vlookup($A432&amp;$B432,'3) Release_Label'!$D:$D&amp;'3) Release_Label'!$E:$E,1,0)),"NO UPC-CATALOG ID pair MATCH in Release_Label" )</f>
        <v/>
      </c>
      <c r="D432" s="121" t="str">
        <f t="array" ref="D432">ifs(and(isblank($A432),isblank($B432)),"", not(iserror(vlookup($A432&amp;$B432,'3) Release_Label'!$D:$D&amp;'3) Release_Label'!$E:$E,1,0))),vlookup($A432&amp;$B432,{'3) Release_Label'!$D:$D&amp;'3) Release_Label'!$E:$E,'3) Release_Label'!$H:$H},2,0), or(and(not(isblank($B432)),$B432=$B431,$A432&lt;&gt;$A431),and(not(isblank($A432)),$A432=$A431,$B432&lt;&gt;$B431)),"ID LISTS UNALIGNED",and($A432&lt;&gt;"",countif('3) Release_Label'!$D:$D,$A432)=0),"NO UPC MATCH in Release_Label",and($B432&lt;&gt;"",countif('3) Release_Label'!$E:$E,$B432)=0),"NO CATALOG ID MATCH in Release_Label",iserror(vlookup($A432&amp;$B432,'3) Release_Label'!$D:$D&amp;'3) Release_Label'!$E:$E,1,0)),"NO UPC-CATALOG ID pair MATCH in Release_Label" )</f>
        <v/>
      </c>
      <c r="E432" s="99"/>
      <c r="F432" s="99"/>
      <c r="G432" s="123" t="str">
        <f t="array" ref="G432">ifs(or($F432="",$F432="Main Primary Artist"),$F432,not(iserror(vlookup($F432,'Reference info'!$J$5:$J$8,1,0))),"Key Artist",not(iserror(vlookup($F432,'Reference info'!$J$38:$J$405,1,0))),"Performer",not(iserror(vlookup($F432,'Reference info'!$J$10:$J$36,1,0))),"Producer &amp; Engineer")</f>
        <v/>
      </c>
    </row>
    <row r="433">
      <c r="A433" s="28"/>
      <c r="B433" s="103"/>
      <c r="C433" s="121" t="str">
        <f t="array" ref="C433">ifs(and(isblank($A433),isblank($B433)),"", not(iserror(vlookup($A433&amp;$B433,'3) Release_Label'!$D:$D&amp;'3) Release_Label'!$E:$E,1,0))),vlookup($A433&amp;$B433,{'3) Release_Label'!$D:$D&amp;'3) Release_Label'!$E:$E,'3) Release_Label'!$F:$F},2,0), or(and(not(isblank($B433)),$B433=$B432,$A433&lt;&gt;$A432),and(not(isblank($A433)),$A433=$A432,$B433&lt;&gt;$B432)),"ID LISTS UNALIGNED",and($A433&lt;&gt;"",countif('3) Release_Label'!$D:$D,$A433)=0),"NO UPC MATCH in Release_Label",and($B433&lt;&gt;"",countif('3) Release_Label'!$E:$E,$B433)=0),"NO CATALOG ID MATCH in Release_Label",iserror(vlookup($A433&amp;$B433,'3) Release_Label'!$D:$D&amp;'3) Release_Label'!$E:$E,1,0)),"NO UPC-CATALOG ID pair MATCH in Release_Label" )</f>
        <v/>
      </c>
      <c r="D433" s="121" t="str">
        <f t="array" ref="D433">ifs(and(isblank($A433),isblank($B433)),"", not(iserror(vlookup($A433&amp;$B433,'3) Release_Label'!$D:$D&amp;'3) Release_Label'!$E:$E,1,0))),vlookup($A433&amp;$B433,{'3) Release_Label'!$D:$D&amp;'3) Release_Label'!$E:$E,'3) Release_Label'!$H:$H},2,0), or(and(not(isblank($B433)),$B433=$B432,$A433&lt;&gt;$A432),and(not(isblank($A433)),$A433=$A432,$B433&lt;&gt;$B432)),"ID LISTS UNALIGNED",and($A433&lt;&gt;"",countif('3) Release_Label'!$D:$D,$A433)=0),"NO UPC MATCH in Release_Label",and($B433&lt;&gt;"",countif('3) Release_Label'!$E:$E,$B433)=0),"NO CATALOG ID MATCH in Release_Label",iserror(vlookup($A433&amp;$B433,'3) Release_Label'!$D:$D&amp;'3) Release_Label'!$E:$E,1,0)),"NO UPC-CATALOG ID pair MATCH in Release_Label" )</f>
        <v/>
      </c>
      <c r="E433" s="99"/>
      <c r="F433" s="99"/>
      <c r="G433" s="123" t="str">
        <f t="array" ref="G433">ifs(or($F433="",$F433="Main Primary Artist"),$F433,not(iserror(vlookup($F433,'Reference info'!$J$5:$J$8,1,0))),"Key Artist",not(iserror(vlookup($F433,'Reference info'!$J$38:$J$405,1,0))),"Performer",not(iserror(vlookup($F433,'Reference info'!$J$10:$J$36,1,0))),"Producer &amp; Engineer")</f>
        <v/>
      </c>
    </row>
    <row r="434">
      <c r="A434" s="28"/>
      <c r="B434" s="103"/>
      <c r="C434" s="121" t="str">
        <f t="array" ref="C434">ifs(and(isblank($A434),isblank($B434)),"", not(iserror(vlookup($A434&amp;$B434,'3) Release_Label'!$D:$D&amp;'3) Release_Label'!$E:$E,1,0))),vlookup($A434&amp;$B434,{'3) Release_Label'!$D:$D&amp;'3) Release_Label'!$E:$E,'3) Release_Label'!$F:$F},2,0), or(and(not(isblank($B434)),$B434=$B433,$A434&lt;&gt;$A433),and(not(isblank($A434)),$A434=$A433,$B434&lt;&gt;$B433)),"ID LISTS UNALIGNED",and($A434&lt;&gt;"",countif('3) Release_Label'!$D:$D,$A434)=0),"NO UPC MATCH in Release_Label",and($B434&lt;&gt;"",countif('3) Release_Label'!$E:$E,$B434)=0),"NO CATALOG ID MATCH in Release_Label",iserror(vlookup($A434&amp;$B434,'3) Release_Label'!$D:$D&amp;'3) Release_Label'!$E:$E,1,0)),"NO UPC-CATALOG ID pair MATCH in Release_Label" )</f>
        <v/>
      </c>
      <c r="D434" s="121" t="str">
        <f t="array" ref="D434">ifs(and(isblank($A434),isblank($B434)),"", not(iserror(vlookup($A434&amp;$B434,'3) Release_Label'!$D:$D&amp;'3) Release_Label'!$E:$E,1,0))),vlookup($A434&amp;$B434,{'3) Release_Label'!$D:$D&amp;'3) Release_Label'!$E:$E,'3) Release_Label'!$H:$H},2,0), or(and(not(isblank($B434)),$B434=$B433,$A434&lt;&gt;$A433),and(not(isblank($A434)),$A434=$A433,$B434&lt;&gt;$B433)),"ID LISTS UNALIGNED",and($A434&lt;&gt;"",countif('3) Release_Label'!$D:$D,$A434)=0),"NO UPC MATCH in Release_Label",and($B434&lt;&gt;"",countif('3) Release_Label'!$E:$E,$B434)=0),"NO CATALOG ID MATCH in Release_Label",iserror(vlookup($A434&amp;$B434,'3) Release_Label'!$D:$D&amp;'3) Release_Label'!$E:$E,1,0)),"NO UPC-CATALOG ID pair MATCH in Release_Label" )</f>
        <v/>
      </c>
      <c r="E434" s="99"/>
      <c r="F434" s="99"/>
      <c r="G434" s="123" t="str">
        <f t="array" ref="G434">ifs(or($F434="",$F434="Main Primary Artist"),$F434,not(iserror(vlookup($F434,'Reference info'!$J$5:$J$8,1,0))),"Key Artist",not(iserror(vlookup($F434,'Reference info'!$J$38:$J$405,1,0))),"Performer",not(iserror(vlookup($F434,'Reference info'!$J$10:$J$36,1,0))),"Producer &amp; Engineer")</f>
        <v/>
      </c>
    </row>
    <row r="435">
      <c r="A435" s="28"/>
      <c r="B435" s="103"/>
      <c r="C435" s="121" t="str">
        <f t="array" ref="C435">ifs(and(isblank($A435),isblank($B435)),"", not(iserror(vlookup($A435&amp;$B435,'3) Release_Label'!$D:$D&amp;'3) Release_Label'!$E:$E,1,0))),vlookup($A435&amp;$B435,{'3) Release_Label'!$D:$D&amp;'3) Release_Label'!$E:$E,'3) Release_Label'!$F:$F},2,0), or(and(not(isblank($B435)),$B435=$B434,$A435&lt;&gt;$A434),and(not(isblank($A435)),$A435=$A434,$B435&lt;&gt;$B434)),"ID LISTS UNALIGNED",and($A435&lt;&gt;"",countif('3) Release_Label'!$D:$D,$A435)=0),"NO UPC MATCH in Release_Label",and($B435&lt;&gt;"",countif('3) Release_Label'!$E:$E,$B435)=0),"NO CATALOG ID MATCH in Release_Label",iserror(vlookup($A435&amp;$B435,'3) Release_Label'!$D:$D&amp;'3) Release_Label'!$E:$E,1,0)),"NO UPC-CATALOG ID pair MATCH in Release_Label" )</f>
        <v/>
      </c>
      <c r="D435" s="121" t="str">
        <f t="array" ref="D435">ifs(and(isblank($A435),isblank($B435)),"", not(iserror(vlookup($A435&amp;$B435,'3) Release_Label'!$D:$D&amp;'3) Release_Label'!$E:$E,1,0))),vlookup($A435&amp;$B435,{'3) Release_Label'!$D:$D&amp;'3) Release_Label'!$E:$E,'3) Release_Label'!$H:$H},2,0), or(and(not(isblank($B435)),$B435=$B434,$A435&lt;&gt;$A434),and(not(isblank($A435)),$A435=$A434,$B435&lt;&gt;$B434)),"ID LISTS UNALIGNED",and($A435&lt;&gt;"",countif('3) Release_Label'!$D:$D,$A435)=0),"NO UPC MATCH in Release_Label",and($B435&lt;&gt;"",countif('3) Release_Label'!$E:$E,$B435)=0),"NO CATALOG ID MATCH in Release_Label",iserror(vlookup($A435&amp;$B435,'3) Release_Label'!$D:$D&amp;'3) Release_Label'!$E:$E,1,0)),"NO UPC-CATALOG ID pair MATCH in Release_Label" )</f>
        <v/>
      </c>
      <c r="E435" s="99"/>
      <c r="F435" s="99"/>
      <c r="G435" s="123" t="str">
        <f t="array" ref="G435">ifs(or($F435="",$F435="Main Primary Artist"),$F435,not(iserror(vlookup($F435,'Reference info'!$J$5:$J$8,1,0))),"Key Artist",not(iserror(vlookup($F435,'Reference info'!$J$38:$J$405,1,0))),"Performer",not(iserror(vlookup($F435,'Reference info'!$J$10:$J$36,1,0))),"Producer &amp; Engineer")</f>
        <v/>
      </c>
    </row>
    <row r="436">
      <c r="A436" s="28"/>
      <c r="B436" s="103"/>
      <c r="C436" s="121" t="str">
        <f t="array" ref="C436">ifs(and(isblank($A436),isblank($B436)),"", not(iserror(vlookup($A436&amp;$B436,'3) Release_Label'!$D:$D&amp;'3) Release_Label'!$E:$E,1,0))),vlookup($A436&amp;$B436,{'3) Release_Label'!$D:$D&amp;'3) Release_Label'!$E:$E,'3) Release_Label'!$F:$F},2,0), or(and(not(isblank($B436)),$B436=$B435,$A436&lt;&gt;$A435),and(not(isblank($A436)),$A436=$A435,$B436&lt;&gt;$B435)),"ID LISTS UNALIGNED",and($A436&lt;&gt;"",countif('3) Release_Label'!$D:$D,$A436)=0),"NO UPC MATCH in Release_Label",and($B436&lt;&gt;"",countif('3) Release_Label'!$E:$E,$B436)=0),"NO CATALOG ID MATCH in Release_Label",iserror(vlookup($A436&amp;$B436,'3) Release_Label'!$D:$D&amp;'3) Release_Label'!$E:$E,1,0)),"NO UPC-CATALOG ID pair MATCH in Release_Label" )</f>
        <v/>
      </c>
      <c r="D436" s="121" t="str">
        <f t="array" ref="D436">ifs(and(isblank($A436),isblank($B436)),"", not(iserror(vlookup($A436&amp;$B436,'3) Release_Label'!$D:$D&amp;'3) Release_Label'!$E:$E,1,0))),vlookup($A436&amp;$B436,{'3) Release_Label'!$D:$D&amp;'3) Release_Label'!$E:$E,'3) Release_Label'!$H:$H},2,0), or(and(not(isblank($B436)),$B436=$B435,$A436&lt;&gt;$A435),and(not(isblank($A436)),$A436=$A435,$B436&lt;&gt;$B435)),"ID LISTS UNALIGNED",and($A436&lt;&gt;"",countif('3) Release_Label'!$D:$D,$A436)=0),"NO UPC MATCH in Release_Label",and($B436&lt;&gt;"",countif('3) Release_Label'!$E:$E,$B436)=0),"NO CATALOG ID MATCH in Release_Label",iserror(vlookup($A436&amp;$B436,'3) Release_Label'!$D:$D&amp;'3) Release_Label'!$E:$E,1,0)),"NO UPC-CATALOG ID pair MATCH in Release_Label" )</f>
        <v/>
      </c>
      <c r="E436" s="99"/>
      <c r="F436" s="99"/>
      <c r="G436" s="123" t="str">
        <f t="array" ref="G436">ifs(or($F436="",$F436="Main Primary Artist"),$F436,not(iserror(vlookup($F436,'Reference info'!$J$5:$J$8,1,0))),"Key Artist",not(iserror(vlookup($F436,'Reference info'!$J$38:$J$405,1,0))),"Performer",not(iserror(vlookup($F436,'Reference info'!$J$10:$J$36,1,0))),"Producer &amp; Engineer")</f>
        <v/>
      </c>
    </row>
    <row r="437">
      <c r="A437" s="28"/>
      <c r="B437" s="103"/>
      <c r="C437" s="121" t="str">
        <f t="array" ref="C437">ifs(and(isblank($A437),isblank($B437)),"", not(iserror(vlookup($A437&amp;$B437,'3) Release_Label'!$D:$D&amp;'3) Release_Label'!$E:$E,1,0))),vlookup($A437&amp;$B437,{'3) Release_Label'!$D:$D&amp;'3) Release_Label'!$E:$E,'3) Release_Label'!$F:$F},2,0), or(and(not(isblank($B437)),$B437=$B436,$A437&lt;&gt;$A436),and(not(isblank($A437)),$A437=$A436,$B437&lt;&gt;$B436)),"ID LISTS UNALIGNED",and($A437&lt;&gt;"",countif('3) Release_Label'!$D:$D,$A437)=0),"NO UPC MATCH in Release_Label",and($B437&lt;&gt;"",countif('3) Release_Label'!$E:$E,$B437)=0),"NO CATALOG ID MATCH in Release_Label",iserror(vlookup($A437&amp;$B437,'3) Release_Label'!$D:$D&amp;'3) Release_Label'!$E:$E,1,0)),"NO UPC-CATALOG ID pair MATCH in Release_Label" )</f>
        <v/>
      </c>
      <c r="D437" s="121" t="str">
        <f t="array" ref="D437">ifs(and(isblank($A437),isblank($B437)),"", not(iserror(vlookup($A437&amp;$B437,'3) Release_Label'!$D:$D&amp;'3) Release_Label'!$E:$E,1,0))),vlookup($A437&amp;$B437,{'3) Release_Label'!$D:$D&amp;'3) Release_Label'!$E:$E,'3) Release_Label'!$H:$H},2,0), or(and(not(isblank($B437)),$B437=$B436,$A437&lt;&gt;$A436),and(not(isblank($A437)),$A437=$A436,$B437&lt;&gt;$B436)),"ID LISTS UNALIGNED",and($A437&lt;&gt;"",countif('3) Release_Label'!$D:$D,$A437)=0),"NO UPC MATCH in Release_Label",and($B437&lt;&gt;"",countif('3) Release_Label'!$E:$E,$B437)=0),"NO CATALOG ID MATCH in Release_Label",iserror(vlookup($A437&amp;$B437,'3) Release_Label'!$D:$D&amp;'3) Release_Label'!$E:$E,1,0)),"NO UPC-CATALOG ID pair MATCH in Release_Label" )</f>
        <v/>
      </c>
      <c r="E437" s="99"/>
      <c r="F437" s="99"/>
      <c r="G437" s="123" t="str">
        <f t="array" ref="G437">ifs(or($F437="",$F437="Main Primary Artist"),$F437,not(iserror(vlookup($F437,'Reference info'!$J$5:$J$8,1,0))),"Key Artist",not(iserror(vlookup($F437,'Reference info'!$J$38:$J$405,1,0))),"Performer",not(iserror(vlookup($F437,'Reference info'!$J$10:$J$36,1,0))),"Producer &amp; Engineer")</f>
        <v/>
      </c>
    </row>
    <row r="438">
      <c r="A438" s="28"/>
      <c r="B438" s="103"/>
      <c r="C438" s="121" t="str">
        <f t="array" ref="C438">ifs(and(isblank($A438),isblank($B438)),"", not(iserror(vlookup($A438&amp;$B438,'3) Release_Label'!$D:$D&amp;'3) Release_Label'!$E:$E,1,0))),vlookup($A438&amp;$B438,{'3) Release_Label'!$D:$D&amp;'3) Release_Label'!$E:$E,'3) Release_Label'!$F:$F},2,0), or(and(not(isblank($B438)),$B438=$B437,$A438&lt;&gt;$A437),and(not(isblank($A438)),$A438=$A437,$B438&lt;&gt;$B437)),"ID LISTS UNALIGNED",and($A438&lt;&gt;"",countif('3) Release_Label'!$D:$D,$A438)=0),"NO UPC MATCH in Release_Label",and($B438&lt;&gt;"",countif('3) Release_Label'!$E:$E,$B438)=0),"NO CATALOG ID MATCH in Release_Label",iserror(vlookup($A438&amp;$B438,'3) Release_Label'!$D:$D&amp;'3) Release_Label'!$E:$E,1,0)),"NO UPC-CATALOG ID pair MATCH in Release_Label" )</f>
        <v/>
      </c>
      <c r="D438" s="121" t="str">
        <f t="array" ref="D438">ifs(and(isblank($A438),isblank($B438)),"", not(iserror(vlookup($A438&amp;$B438,'3) Release_Label'!$D:$D&amp;'3) Release_Label'!$E:$E,1,0))),vlookup($A438&amp;$B438,{'3) Release_Label'!$D:$D&amp;'3) Release_Label'!$E:$E,'3) Release_Label'!$H:$H},2,0), or(and(not(isblank($B438)),$B438=$B437,$A438&lt;&gt;$A437),and(not(isblank($A438)),$A438=$A437,$B438&lt;&gt;$B437)),"ID LISTS UNALIGNED",and($A438&lt;&gt;"",countif('3) Release_Label'!$D:$D,$A438)=0),"NO UPC MATCH in Release_Label",and($B438&lt;&gt;"",countif('3) Release_Label'!$E:$E,$B438)=0),"NO CATALOG ID MATCH in Release_Label",iserror(vlookup($A438&amp;$B438,'3) Release_Label'!$D:$D&amp;'3) Release_Label'!$E:$E,1,0)),"NO UPC-CATALOG ID pair MATCH in Release_Label" )</f>
        <v/>
      </c>
      <c r="E438" s="99"/>
      <c r="F438" s="99"/>
      <c r="G438" s="123" t="str">
        <f t="array" ref="G438">ifs(or($F438="",$F438="Main Primary Artist"),$F438,not(iserror(vlookup($F438,'Reference info'!$J$5:$J$8,1,0))),"Key Artist",not(iserror(vlookup($F438,'Reference info'!$J$38:$J$405,1,0))),"Performer",not(iserror(vlookup($F438,'Reference info'!$J$10:$J$36,1,0))),"Producer &amp; Engineer")</f>
        <v/>
      </c>
    </row>
    <row r="439">
      <c r="A439" s="28"/>
      <c r="B439" s="103"/>
      <c r="C439" s="121" t="str">
        <f t="array" ref="C439">ifs(and(isblank($A439),isblank($B439)),"", not(iserror(vlookup($A439&amp;$B439,'3) Release_Label'!$D:$D&amp;'3) Release_Label'!$E:$E,1,0))),vlookup($A439&amp;$B439,{'3) Release_Label'!$D:$D&amp;'3) Release_Label'!$E:$E,'3) Release_Label'!$F:$F},2,0), or(and(not(isblank($B439)),$B439=$B438,$A439&lt;&gt;$A438),and(not(isblank($A439)),$A439=$A438,$B439&lt;&gt;$B438)),"ID LISTS UNALIGNED",and($A439&lt;&gt;"",countif('3) Release_Label'!$D:$D,$A439)=0),"NO UPC MATCH in Release_Label",and($B439&lt;&gt;"",countif('3) Release_Label'!$E:$E,$B439)=0),"NO CATALOG ID MATCH in Release_Label",iserror(vlookup($A439&amp;$B439,'3) Release_Label'!$D:$D&amp;'3) Release_Label'!$E:$E,1,0)),"NO UPC-CATALOG ID pair MATCH in Release_Label" )</f>
        <v/>
      </c>
      <c r="D439" s="121" t="str">
        <f t="array" ref="D439">ifs(and(isblank($A439),isblank($B439)),"", not(iserror(vlookup($A439&amp;$B439,'3) Release_Label'!$D:$D&amp;'3) Release_Label'!$E:$E,1,0))),vlookup($A439&amp;$B439,{'3) Release_Label'!$D:$D&amp;'3) Release_Label'!$E:$E,'3) Release_Label'!$H:$H},2,0), or(and(not(isblank($B439)),$B439=$B438,$A439&lt;&gt;$A438),and(not(isblank($A439)),$A439=$A438,$B439&lt;&gt;$B438)),"ID LISTS UNALIGNED",and($A439&lt;&gt;"",countif('3) Release_Label'!$D:$D,$A439)=0),"NO UPC MATCH in Release_Label",and($B439&lt;&gt;"",countif('3) Release_Label'!$E:$E,$B439)=0),"NO CATALOG ID MATCH in Release_Label",iserror(vlookup($A439&amp;$B439,'3) Release_Label'!$D:$D&amp;'3) Release_Label'!$E:$E,1,0)),"NO UPC-CATALOG ID pair MATCH in Release_Label" )</f>
        <v/>
      </c>
      <c r="E439" s="99"/>
      <c r="F439" s="99"/>
      <c r="G439" s="123" t="str">
        <f t="array" ref="G439">ifs(or($F439="",$F439="Main Primary Artist"),$F439,not(iserror(vlookup($F439,'Reference info'!$J$5:$J$8,1,0))),"Key Artist",not(iserror(vlookup($F439,'Reference info'!$J$38:$J$405,1,0))),"Performer",not(iserror(vlookup($F439,'Reference info'!$J$10:$J$36,1,0))),"Producer &amp; Engineer")</f>
        <v/>
      </c>
    </row>
    <row r="440">
      <c r="A440" s="28"/>
      <c r="B440" s="103"/>
      <c r="C440" s="121" t="str">
        <f t="array" ref="C440">ifs(and(isblank($A440),isblank($B440)),"", not(iserror(vlookup($A440&amp;$B440,'3) Release_Label'!$D:$D&amp;'3) Release_Label'!$E:$E,1,0))),vlookup($A440&amp;$B440,{'3) Release_Label'!$D:$D&amp;'3) Release_Label'!$E:$E,'3) Release_Label'!$F:$F},2,0), or(and(not(isblank($B440)),$B440=$B439,$A440&lt;&gt;$A439),and(not(isblank($A440)),$A440=$A439,$B440&lt;&gt;$B439)),"ID LISTS UNALIGNED",and($A440&lt;&gt;"",countif('3) Release_Label'!$D:$D,$A440)=0),"NO UPC MATCH in Release_Label",and($B440&lt;&gt;"",countif('3) Release_Label'!$E:$E,$B440)=0),"NO CATALOG ID MATCH in Release_Label",iserror(vlookup($A440&amp;$B440,'3) Release_Label'!$D:$D&amp;'3) Release_Label'!$E:$E,1,0)),"NO UPC-CATALOG ID pair MATCH in Release_Label" )</f>
        <v/>
      </c>
      <c r="D440" s="121" t="str">
        <f t="array" ref="D440">ifs(and(isblank($A440),isblank($B440)),"", not(iserror(vlookup($A440&amp;$B440,'3) Release_Label'!$D:$D&amp;'3) Release_Label'!$E:$E,1,0))),vlookup($A440&amp;$B440,{'3) Release_Label'!$D:$D&amp;'3) Release_Label'!$E:$E,'3) Release_Label'!$H:$H},2,0), or(and(not(isblank($B440)),$B440=$B439,$A440&lt;&gt;$A439),and(not(isblank($A440)),$A440=$A439,$B440&lt;&gt;$B439)),"ID LISTS UNALIGNED",and($A440&lt;&gt;"",countif('3) Release_Label'!$D:$D,$A440)=0),"NO UPC MATCH in Release_Label",and($B440&lt;&gt;"",countif('3) Release_Label'!$E:$E,$B440)=0),"NO CATALOG ID MATCH in Release_Label",iserror(vlookup($A440&amp;$B440,'3) Release_Label'!$D:$D&amp;'3) Release_Label'!$E:$E,1,0)),"NO UPC-CATALOG ID pair MATCH in Release_Label" )</f>
        <v/>
      </c>
      <c r="E440" s="99"/>
      <c r="F440" s="99"/>
      <c r="G440" s="123" t="str">
        <f t="array" ref="G440">ifs(or($F440="",$F440="Main Primary Artist"),$F440,not(iserror(vlookup($F440,'Reference info'!$J$5:$J$8,1,0))),"Key Artist",not(iserror(vlookup($F440,'Reference info'!$J$38:$J$405,1,0))),"Performer",not(iserror(vlookup($F440,'Reference info'!$J$10:$J$36,1,0))),"Producer &amp; Engineer")</f>
        <v/>
      </c>
    </row>
    <row r="441">
      <c r="A441" s="28"/>
      <c r="B441" s="103"/>
      <c r="C441" s="121" t="str">
        <f t="array" ref="C441">ifs(and(isblank($A441),isblank($B441)),"", not(iserror(vlookup($A441&amp;$B441,'3) Release_Label'!$D:$D&amp;'3) Release_Label'!$E:$E,1,0))),vlookup($A441&amp;$B441,{'3) Release_Label'!$D:$D&amp;'3) Release_Label'!$E:$E,'3) Release_Label'!$F:$F},2,0), or(and(not(isblank($B441)),$B441=$B440,$A441&lt;&gt;$A440),and(not(isblank($A441)),$A441=$A440,$B441&lt;&gt;$B440)),"ID LISTS UNALIGNED",and($A441&lt;&gt;"",countif('3) Release_Label'!$D:$D,$A441)=0),"NO UPC MATCH in Release_Label",and($B441&lt;&gt;"",countif('3) Release_Label'!$E:$E,$B441)=0),"NO CATALOG ID MATCH in Release_Label",iserror(vlookup($A441&amp;$B441,'3) Release_Label'!$D:$D&amp;'3) Release_Label'!$E:$E,1,0)),"NO UPC-CATALOG ID pair MATCH in Release_Label" )</f>
        <v/>
      </c>
      <c r="D441" s="121" t="str">
        <f t="array" ref="D441">ifs(and(isblank($A441),isblank($B441)),"", not(iserror(vlookup($A441&amp;$B441,'3) Release_Label'!$D:$D&amp;'3) Release_Label'!$E:$E,1,0))),vlookup($A441&amp;$B441,{'3) Release_Label'!$D:$D&amp;'3) Release_Label'!$E:$E,'3) Release_Label'!$H:$H},2,0), or(and(not(isblank($B441)),$B441=$B440,$A441&lt;&gt;$A440),and(not(isblank($A441)),$A441=$A440,$B441&lt;&gt;$B440)),"ID LISTS UNALIGNED",and($A441&lt;&gt;"",countif('3) Release_Label'!$D:$D,$A441)=0),"NO UPC MATCH in Release_Label",and($B441&lt;&gt;"",countif('3) Release_Label'!$E:$E,$B441)=0),"NO CATALOG ID MATCH in Release_Label",iserror(vlookup($A441&amp;$B441,'3) Release_Label'!$D:$D&amp;'3) Release_Label'!$E:$E,1,0)),"NO UPC-CATALOG ID pair MATCH in Release_Label" )</f>
        <v/>
      </c>
      <c r="E441" s="99"/>
      <c r="F441" s="99"/>
      <c r="G441" s="123" t="str">
        <f t="array" ref="G441">ifs(or($F441="",$F441="Main Primary Artist"),$F441,not(iserror(vlookup($F441,'Reference info'!$J$5:$J$8,1,0))),"Key Artist",not(iserror(vlookup($F441,'Reference info'!$J$38:$J$405,1,0))),"Performer",not(iserror(vlookup($F441,'Reference info'!$J$10:$J$36,1,0))),"Producer &amp; Engineer")</f>
        <v/>
      </c>
    </row>
    <row r="442">
      <c r="A442" s="28"/>
      <c r="B442" s="103"/>
      <c r="C442" s="121" t="str">
        <f t="array" ref="C442">ifs(and(isblank($A442),isblank($B442)),"", not(iserror(vlookup($A442&amp;$B442,'3) Release_Label'!$D:$D&amp;'3) Release_Label'!$E:$E,1,0))),vlookup($A442&amp;$B442,{'3) Release_Label'!$D:$D&amp;'3) Release_Label'!$E:$E,'3) Release_Label'!$F:$F},2,0), or(and(not(isblank($B442)),$B442=$B441,$A442&lt;&gt;$A441),and(not(isblank($A442)),$A442=$A441,$B442&lt;&gt;$B441)),"ID LISTS UNALIGNED",and($A442&lt;&gt;"",countif('3) Release_Label'!$D:$D,$A442)=0),"NO UPC MATCH in Release_Label",and($B442&lt;&gt;"",countif('3) Release_Label'!$E:$E,$B442)=0),"NO CATALOG ID MATCH in Release_Label",iserror(vlookup($A442&amp;$B442,'3) Release_Label'!$D:$D&amp;'3) Release_Label'!$E:$E,1,0)),"NO UPC-CATALOG ID pair MATCH in Release_Label" )</f>
        <v/>
      </c>
      <c r="D442" s="121" t="str">
        <f t="array" ref="D442">ifs(and(isblank($A442),isblank($B442)),"", not(iserror(vlookup($A442&amp;$B442,'3) Release_Label'!$D:$D&amp;'3) Release_Label'!$E:$E,1,0))),vlookup($A442&amp;$B442,{'3) Release_Label'!$D:$D&amp;'3) Release_Label'!$E:$E,'3) Release_Label'!$H:$H},2,0), or(and(not(isblank($B442)),$B442=$B441,$A442&lt;&gt;$A441),and(not(isblank($A442)),$A442=$A441,$B442&lt;&gt;$B441)),"ID LISTS UNALIGNED",and($A442&lt;&gt;"",countif('3) Release_Label'!$D:$D,$A442)=0),"NO UPC MATCH in Release_Label",and($B442&lt;&gt;"",countif('3) Release_Label'!$E:$E,$B442)=0),"NO CATALOG ID MATCH in Release_Label",iserror(vlookup($A442&amp;$B442,'3) Release_Label'!$D:$D&amp;'3) Release_Label'!$E:$E,1,0)),"NO UPC-CATALOG ID pair MATCH in Release_Label" )</f>
        <v/>
      </c>
      <c r="E442" s="99"/>
      <c r="F442" s="99"/>
      <c r="G442" s="123" t="str">
        <f t="array" ref="G442">ifs(or($F442="",$F442="Main Primary Artist"),$F442,not(iserror(vlookup($F442,'Reference info'!$J$5:$J$8,1,0))),"Key Artist",not(iserror(vlookup($F442,'Reference info'!$J$38:$J$405,1,0))),"Performer",not(iserror(vlookup($F442,'Reference info'!$J$10:$J$36,1,0))),"Producer &amp; Engineer")</f>
        <v/>
      </c>
    </row>
    <row r="443">
      <c r="A443" s="28"/>
      <c r="B443" s="103"/>
      <c r="C443" s="121" t="str">
        <f t="array" ref="C443">ifs(and(isblank($A443),isblank($B443)),"", not(iserror(vlookup($A443&amp;$B443,'3) Release_Label'!$D:$D&amp;'3) Release_Label'!$E:$E,1,0))),vlookup($A443&amp;$B443,{'3) Release_Label'!$D:$D&amp;'3) Release_Label'!$E:$E,'3) Release_Label'!$F:$F},2,0), or(and(not(isblank($B443)),$B443=$B442,$A443&lt;&gt;$A442),and(not(isblank($A443)),$A443=$A442,$B443&lt;&gt;$B442)),"ID LISTS UNALIGNED",and($A443&lt;&gt;"",countif('3) Release_Label'!$D:$D,$A443)=0),"NO UPC MATCH in Release_Label",and($B443&lt;&gt;"",countif('3) Release_Label'!$E:$E,$B443)=0),"NO CATALOG ID MATCH in Release_Label",iserror(vlookup($A443&amp;$B443,'3) Release_Label'!$D:$D&amp;'3) Release_Label'!$E:$E,1,0)),"NO UPC-CATALOG ID pair MATCH in Release_Label" )</f>
        <v/>
      </c>
      <c r="D443" s="121" t="str">
        <f t="array" ref="D443">ifs(and(isblank($A443),isblank($B443)),"", not(iserror(vlookup($A443&amp;$B443,'3) Release_Label'!$D:$D&amp;'3) Release_Label'!$E:$E,1,0))),vlookup($A443&amp;$B443,{'3) Release_Label'!$D:$D&amp;'3) Release_Label'!$E:$E,'3) Release_Label'!$H:$H},2,0), or(and(not(isblank($B443)),$B443=$B442,$A443&lt;&gt;$A442),and(not(isblank($A443)),$A443=$A442,$B443&lt;&gt;$B442)),"ID LISTS UNALIGNED",and($A443&lt;&gt;"",countif('3) Release_Label'!$D:$D,$A443)=0),"NO UPC MATCH in Release_Label",and($B443&lt;&gt;"",countif('3) Release_Label'!$E:$E,$B443)=0),"NO CATALOG ID MATCH in Release_Label",iserror(vlookup($A443&amp;$B443,'3) Release_Label'!$D:$D&amp;'3) Release_Label'!$E:$E,1,0)),"NO UPC-CATALOG ID pair MATCH in Release_Label" )</f>
        <v/>
      </c>
      <c r="E443" s="99"/>
      <c r="F443" s="99"/>
      <c r="G443" s="123" t="str">
        <f t="array" ref="G443">ifs(or($F443="",$F443="Main Primary Artist"),$F443,not(iserror(vlookup($F443,'Reference info'!$J$5:$J$8,1,0))),"Key Artist",not(iserror(vlookup($F443,'Reference info'!$J$38:$J$405,1,0))),"Performer",not(iserror(vlookup($F443,'Reference info'!$J$10:$J$36,1,0))),"Producer &amp; Engineer")</f>
        <v/>
      </c>
    </row>
    <row r="444">
      <c r="A444" s="28"/>
      <c r="B444" s="103"/>
      <c r="C444" s="121" t="str">
        <f t="array" ref="C444">ifs(and(isblank($A444),isblank($B444)),"", not(iserror(vlookup($A444&amp;$B444,'3) Release_Label'!$D:$D&amp;'3) Release_Label'!$E:$E,1,0))),vlookup($A444&amp;$B444,{'3) Release_Label'!$D:$D&amp;'3) Release_Label'!$E:$E,'3) Release_Label'!$F:$F},2,0), or(and(not(isblank($B444)),$B444=$B443,$A444&lt;&gt;$A443),and(not(isblank($A444)),$A444=$A443,$B444&lt;&gt;$B443)),"ID LISTS UNALIGNED",and($A444&lt;&gt;"",countif('3) Release_Label'!$D:$D,$A444)=0),"NO UPC MATCH in Release_Label",and($B444&lt;&gt;"",countif('3) Release_Label'!$E:$E,$B444)=0),"NO CATALOG ID MATCH in Release_Label",iserror(vlookup($A444&amp;$B444,'3) Release_Label'!$D:$D&amp;'3) Release_Label'!$E:$E,1,0)),"NO UPC-CATALOG ID pair MATCH in Release_Label" )</f>
        <v/>
      </c>
      <c r="D444" s="121" t="str">
        <f t="array" ref="D444">ifs(and(isblank($A444),isblank($B444)),"", not(iserror(vlookup($A444&amp;$B444,'3) Release_Label'!$D:$D&amp;'3) Release_Label'!$E:$E,1,0))),vlookup($A444&amp;$B444,{'3) Release_Label'!$D:$D&amp;'3) Release_Label'!$E:$E,'3) Release_Label'!$H:$H},2,0), or(and(not(isblank($B444)),$B444=$B443,$A444&lt;&gt;$A443),and(not(isblank($A444)),$A444=$A443,$B444&lt;&gt;$B443)),"ID LISTS UNALIGNED",and($A444&lt;&gt;"",countif('3) Release_Label'!$D:$D,$A444)=0),"NO UPC MATCH in Release_Label",and($B444&lt;&gt;"",countif('3) Release_Label'!$E:$E,$B444)=0),"NO CATALOG ID MATCH in Release_Label",iserror(vlookup($A444&amp;$B444,'3) Release_Label'!$D:$D&amp;'3) Release_Label'!$E:$E,1,0)),"NO UPC-CATALOG ID pair MATCH in Release_Label" )</f>
        <v/>
      </c>
      <c r="E444" s="99"/>
      <c r="F444" s="99"/>
      <c r="G444" s="123" t="str">
        <f t="array" ref="G444">ifs(or($F444="",$F444="Main Primary Artist"),$F444,not(iserror(vlookup($F444,'Reference info'!$J$5:$J$8,1,0))),"Key Artist",not(iserror(vlookup($F444,'Reference info'!$J$38:$J$405,1,0))),"Performer",not(iserror(vlookup($F444,'Reference info'!$J$10:$J$36,1,0))),"Producer &amp; Engineer")</f>
        <v/>
      </c>
    </row>
    <row r="445">
      <c r="A445" s="28"/>
      <c r="B445" s="103"/>
      <c r="C445" s="121" t="str">
        <f t="array" ref="C445">ifs(and(isblank($A445),isblank($B445)),"", not(iserror(vlookup($A445&amp;$B445,'3) Release_Label'!$D:$D&amp;'3) Release_Label'!$E:$E,1,0))),vlookup($A445&amp;$B445,{'3) Release_Label'!$D:$D&amp;'3) Release_Label'!$E:$E,'3) Release_Label'!$F:$F},2,0), or(and(not(isblank($B445)),$B445=$B444,$A445&lt;&gt;$A444),and(not(isblank($A445)),$A445=$A444,$B445&lt;&gt;$B444)),"ID LISTS UNALIGNED",and($A445&lt;&gt;"",countif('3) Release_Label'!$D:$D,$A445)=0),"NO UPC MATCH in Release_Label",and($B445&lt;&gt;"",countif('3) Release_Label'!$E:$E,$B445)=0),"NO CATALOG ID MATCH in Release_Label",iserror(vlookup($A445&amp;$B445,'3) Release_Label'!$D:$D&amp;'3) Release_Label'!$E:$E,1,0)),"NO UPC-CATALOG ID pair MATCH in Release_Label" )</f>
        <v/>
      </c>
      <c r="D445" s="121" t="str">
        <f t="array" ref="D445">ifs(and(isblank($A445),isblank($B445)),"", not(iserror(vlookup($A445&amp;$B445,'3) Release_Label'!$D:$D&amp;'3) Release_Label'!$E:$E,1,0))),vlookup($A445&amp;$B445,{'3) Release_Label'!$D:$D&amp;'3) Release_Label'!$E:$E,'3) Release_Label'!$H:$H},2,0), or(and(not(isblank($B445)),$B445=$B444,$A445&lt;&gt;$A444),and(not(isblank($A445)),$A445=$A444,$B445&lt;&gt;$B444)),"ID LISTS UNALIGNED",and($A445&lt;&gt;"",countif('3) Release_Label'!$D:$D,$A445)=0),"NO UPC MATCH in Release_Label",and($B445&lt;&gt;"",countif('3) Release_Label'!$E:$E,$B445)=0),"NO CATALOG ID MATCH in Release_Label",iserror(vlookup($A445&amp;$B445,'3) Release_Label'!$D:$D&amp;'3) Release_Label'!$E:$E,1,0)),"NO UPC-CATALOG ID pair MATCH in Release_Label" )</f>
        <v/>
      </c>
      <c r="E445" s="99"/>
      <c r="F445" s="99"/>
      <c r="G445" s="123" t="str">
        <f t="array" ref="G445">ifs(or($F445="",$F445="Main Primary Artist"),$F445,not(iserror(vlookup($F445,'Reference info'!$J$5:$J$8,1,0))),"Key Artist",not(iserror(vlookup($F445,'Reference info'!$J$38:$J$405,1,0))),"Performer",not(iserror(vlookup($F445,'Reference info'!$J$10:$J$36,1,0))),"Producer &amp; Engineer")</f>
        <v/>
      </c>
    </row>
    <row r="446">
      <c r="A446" s="28"/>
      <c r="B446" s="103"/>
      <c r="C446" s="121" t="str">
        <f t="array" ref="C446">ifs(and(isblank($A446),isblank($B446)),"", not(iserror(vlookup($A446&amp;$B446,'3) Release_Label'!$D:$D&amp;'3) Release_Label'!$E:$E,1,0))),vlookup($A446&amp;$B446,{'3) Release_Label'!$D:$D&amp;'3) Release_Label'!$E:$E,'3) Release_Label'!$F:$F},2,0), or(and(not(isblank($B446)),$B446=$B445,$A446&lt;&gt;$A445),and(not(isblank($A446)),$A446=$A445,$B446&lt;&gt;$B445)),"ID LISTS UNALIGNED",and($A446&lt;&gt;"",countif('3) Release_Label'!$D:$D,$A446)=0),"NO UPC MATCH in Release_Label",and($B446&lt;&gt;"",countif('3) Release_Label'!$E:$E,$B446)=0),"NO CATALOG ID MATCH in Release_Label",iserror(vlookup($A446&amp;$B446,'3) Release_Label'!$D:$D&amp;'3) Release_Label'!$E:$E,1,0)),"NO UPC-CATALOG ID pair MATCH in Release_Label" )</f>
        <v/>
      </c>
      <c r="D446" s="121" t="str">
        <f t="array" ref="D446">ifs(and(isblank($A446),isblank($B446)),"", not(iserror(vlookup($A446&amp;$B446,'3) Release_Label'!$D:$D&amp;'3) Release_Label'!$E:$E,1,0))),vlookup($A446&amp;$B446,{'3) Release_Label'!$D:$D&amp;'3) Release_Label'!$E:$E,'3) Release_Label'!$H:$H},2,0), or(and(not(isblank($B446)),$B446=$B445,$A446&lt;&gt;$A445),and(not(isblank($A446)),$A446=$A445,$B446&lt;&gt;$B445)),"ID LISTS UNALIGNED",and($A446&lt;&gt;"",countif('3) Release_Label'!$D:$D,$A446)=0),"NO UPC MATCH in Release_Label",and($B446&lt;&gt;"",countif('3) Release_Label'!$E:$E,$B446)=0),"NO CATALOG ID MATCH in Release_Label",iserror(vlookup($A446&amp;$B446,'3) Release_Label'!$D:$D&amp;'3) Release_Label'!$E:$E,1,0)),"NO UPC-CATALOG ID pair MATCH in Release_Label" )</f>
        <v/>
      </c>
      <c r="E446" s="99"/>
      <c r="F446" s="99"/>
      <c r="G446" s="123" t="str">
        <f t="array" ref="G446">ifs(or($F446="",$F446="Main Primary Artist"),$F446,not(iserror(vlookup($F446,'Reference info'!$J$5:$J$8,1,0))),"Key Artist",not(iserror(vlookup($F446,'Reference info'!$J$38:$J$405,1,0))),"Performer",not(iserror(vlookup($F446,'Reference info'!$J$10:$J$36,1,0))),"Producer &amp; Engineer")</f>
        <v/>
      </c>
    </row>
    <row r="447">
      <c r="A447" s="28"/>
      <c r="B447" s="103"/>
      <c r="C447" s="121" t="str">
        <f t="array" ref="C447">ifs(and(isblank($A447),isblank($B447)),"", not(iserror(vlookup($A447&amp;$B447,'3) Release_Label'!$D:$D&amp;'3) Release_Label'!$E:$E,1,0))),vlookup($A447&amp;$B447,{'3) Release_Label'!$D:$D&amp;'3) Release_Label'!$E:$E,'3) Release_Label'!$F:$F},2,0), or(and(not(isblank($B447)),$B447=$B446,$A447&lt;&gt;$A446),and(not(isblank($A447)),$A447=$A446,$B447&lt;&gt;$B446)),"ID LISTS UNALIGNED",and($A447&lt;&gt;"",countif('3) Release_Label'!$D:$D,$A447)=0),"NO UPC MATCH in Release_Label",and($B447&lt;&gt;"",countif('3) Release_Label'!$E:$E,$B447)=0),"NO CATALOG ID MATCH in Release_Label",iserror(vlookup($A447&amp;$B447,'3) Release_Label'!$D:$D&amp;'3) Release_Label'!$E:$E,1,0)),"NO UPC-CATALOG ID pair MATCH in Release_Label" )</f>
        <v/>
      </c>
      <c r="D447" s="121" t="str">
        <f t="array" ref="D447">ifs(and(isblank($A447),isblank($B447)),"", not(iserror(vlookup($A447&amp;$B447,'3) Release_Label'!$D:$D&amp;'3) Release_Label'!$E:$E,1,0))),vlookup($A447&amp;$B447,{'3) Release_Label'!$D:$D&amp;'3) Release_Label'!$E:$E,'3) Release_Label'!$H:$H},2,0), or(and(not(isblank($B447)),$B447=$B446,$A447&lt;&gt;$A446),and(not(isblank($A447)),$A447=$A446,$B447&lt;&gt;$B446)),"ID LISTS UNALIGNED",and($A447&lt;&gt;"",countif('3) Release_Label'!$D:$D,$A447)=0),"NO UPC MATCH in Release_Label",and($B447&lt;&gt;"",countif('3) Release_Label'!$E:$E,$B447)=0),"NO CATALOG ID MATCH in Release_Label",iserror(vlookup($A447&amp;$B447,'3) Release_Label'!$D:$D&amp;'3) Release_Label'!$E:$E,1,0)),"NO UPC-CATALOG ID pair MATCH in Release_Label" )</f>
        <v/>
      </c>
      <c r="E447" s="99"/>
      <c r="F447" s="99"/>
      <c r="G447" s="123" t="str">
        <f t="array" ref="G447">ifs(or($F447="",$F447="Main Primary Artist"),$F447,not(iserror(vlookup($F447,'Reference info'!$J$5:$J$8,1,0))),"Key Artist",not(iserror(vlookup($F447,'Reference info'!$J$38:$J$405,1,0))),"Performer",not(iserror(vlookup($F447,'Reference info'!$J$10:$J$36,1,0))),"Producer &amp; Engineer")</f>
        <v/>
      </c>
    </row>
    <row r="448">
      <c r="A448" s="28"/>
      <c r="B448" s="103"/>
      <c r="C448" s="121" t="str">
        <f t="array" ref="C448">ifs(and(isblank($A448),isblank($B448)),"", not(iserror(vlookup($A448&amp;$B448,'3) Release_Label'!$D:$D&amp;'3) Release_Label'!$E:$E,1,0))),vlookup($A448&amp;$B448,{'3) Release_Label'!$D:$D&amp;'3) Release_Label'!$E:$E,'3) Release_Label'!$F:$F},2,0), or(and(not(isblank($B448)),$B448=$B447,$A448&lt;&gt;$A447),and(not(isblank($A448)),$A448=$A447,$B448&lt;&gt;$B447)),"ID LISTS UNALIGNED",and($A448&lt;&gt;"",countif('3) Release_Label'!$D:$D,$A448)=0),"NO UPC MATCH in Release_Label",and($B448&lt;&gt;"",countif('3) Release_Label'!$E:$E,$B448)=0),"NO CATALOG ID MATCH in Release_Label",iserror(vlookup($A448&amp;$B448,'3) Release_Label'!$D:$D&amp;'3) Release_Label'!$E:$E,1,0)),"NO UPC-CATALOG ID pair MATCH in Release_Label" )</f>
        <v/>
      </c>
      <c r="D448" s="121" t="str">
        <f t="array" ref="D448">ifs(and(isblank($A448),isblank($B448)),"", not(iserror(vlookup($A448&amp;$B448,'3) Release_Label'!$D:$D&amp;'3) Release_Label'!$E:$E,1,0))),vlookup($A448&amp;$B448,{'3) Release_Label'!$D:$D&amp;'3) Release_Label'!$E:$E,'3) Release_Label'!$H:$H},2,0), or(and(not(isblank($B448)),$B448=$B447,$A448&lt;&gt;$A447),and(not(isblank($A448)),$A448=$A447,$B448&lt;&gt;$B447)),"ID LISTS UNALIGNED",and($A448&lt;&gt;"",countif('3) Release_Label'!$D:$D,$A448)=0),"NO UPC MATCH in Release_Label",and($B448&lt;&gt;"",countif('3) Release_Label'!$E:$E,$B448)=0),"NO CATALOG ID MATCH in Release_Label",iserror(vlookup($A448&amp;$B448,'3) Release_Label'!$D:$D&amp;'3) Release_Label'!$E:$E,1,0)),"NO UPC-CATALOG ID pair MATCH in Release_Label" )</f>
        <v/>
      </c>
      <c r="E448" s="99"/>
      <c r="F448" s="99"/>
      <c r="G448" s="123" t="str">
        <f t="array" ref="G448">ifs(or($F448="",$F448="Main Primary Artist"),$F448,not(iserror(vlookup($F448,'Reference info'!$J$5:$J$8,1,0))),"Key Artist",not(iserror(vlookup($F448,'Reference info'!$J$38:$J$405,1,0))),"Performer",not(iserror(vlookup($F448,'Reference info'!$J$10:$J$36,1,0))),"Producer &amp; Engineer")</f>
        <v/>
      </c>
    </row>
    <row r="449">
      <c r="A449" s="28"/>
      <c r="B449" s="103"/>
      <c r="C449" s="121" t="str">
        <f t="array" ref="C449">ifs(and(isblank($A449),isblank($B449)),"", not(iserror(vlookup($A449&amp;$B449,'3) Release_Label'!$D:$D&amp;'3) Release_Label'!$E:$E,1,0))),vlookup($A449&amp;$B449,{'3) Release_Label'!$D:$D&amp;'3) Release_Label'!$E:$E,'3) Release_Label'!$F:$F},2,0), or(and(not(isblank($B449)),$B449=$B448,$A449&lt;&gt;$A448),and(not(isblank($A449)),$A449=$A448,$B449&lt;&gt;$B448)),"ID LISTS UNALIGNED",and($A449&lt;&gt;"",countif('3) Release_Label'!$D:$D,$A449)=0),"NO UPC MATCH in Release_Label",and($B449&lt;&gt;"",countif('3) Release_Label'!$E:$E,$B449)=0),"NO CATALOG ID MATCH in Release_Label",iserror(vlookup($A449&amp;$B449,'3) Release_Label'!$D:$D&amp;'3) Release_Label'!$E:$E,1,0)),"NO UPC-CATALOG ID pair MATCH in Release_Label" )</f>
        <v/>
      </c>
      <c r="D449" s="121" t="str">
        <f t="array" ref="D449">ifs(and(isblank($A449),isblank($B449)),"", not(iserror(vlookup($A449&amp;$B449,'3) Release_Label'!$D:$D&amp;'3) Release_Label'!$E:$E,1,0))),vlookup($A449&amp;$B449,{'3) Release_Label'!$D:$D&amp;'3) Release_Label'!$E:$E,'3) Release_Label'!$H:$H},2,0), or(and(not(isblank($B449)),$B449=$B448,$A449&lt;&gt;$A448),and(not(isblank($A449)),$A449=$A448,$B449&lt;&gt;$B448)),"ID LISTS UNALIGNED",and($A449&lt;&gt;"",countif('3) Release_Label'!$D:$D,$A449)=0),"NO UPC MATCH in Release_Label",and($B449&lt;&gt;"",countif('3) Release_Label'!$E:$E,$B449)=0),"NO CATALOG ID MATCH in Release_Label",iserror(vlookup($A449&amp;$B449,'3) Release_Label'!$D:$D&amp;'3) Release_Label'!$E:$E,1,0)),"NO UPC-CATALOG ID pair MATCH in Release_Label" )</f>
        <v/>
      </c>
      <c r="E449" s="99"/>
      <c r="F449" s="99"/>
      <c r="G449" s="123" t="str">
        <f t="array" ref="G449">ifs(or($F449="",$F449="Main Primary Artist"),$F449,not(iserror(vlookup($F449,'Reference info'!$J$5:$J$8,1,0))),"Key Artist",not(iserror(vlookup($F449,'Reference info'!$J$38:$J$405,1,0))),"Performer",not(iserror(vlookup($F449,'Reference info'!$J$10:$J$36,1,0))),"Producer &amp; Engineer")</f>
        <v/>
      </c>
    </row>
    <row r="450">
      <c r="A450" s="28"/>
      <c r="B450" s="103"/>
      <c r="C450" s="121" t="str">
        <f t="array" ref="C450">ifs(and(isblank($A450),isblank($B450)),"", not(iserror(vlookup($A450&amp;$B450,'3) Release_Label'!$D:$D&amp;'3) Release_Label'!$E:$E,1,0))),vlookup($A450&amp;$B450,{'3) Release_Label'!$D:$D&amp;'3) Release_Label'!$E:$E,'3) Release_Label'!$F:$F},2,0), or(and(not(isblank($B450)),$B450=$B449,$A450&lt;&gt;$A449),and(not(isblank($A450)),$A450=$A449,$B450&lt;&gt;$B449)),"ID LISTS UNALIGNED",and($A450&lt;&gt;"",countif('3) Release_Label'!$D:$D,$A450)=0),"NO UPC MATCH in Release_Label",and($B450&lt;&gt;"",countif('3) Release_Label'!$E:$E,$B450)=0),"NO CATALOG ID MATCH in Release_Label",iserror(vlookup($A450&amp;$B450,'3) Release_Label'!$D:$D&amp;'3) Release_Label'!$E:$E,1,0)),"NO UPC-CATALOG ID pair MATCH in Release_Label" )</f>
        <v/>
      </c>
      <c r="D450" s="121" t="str">
        <f t="array" ref="D450">ifs(and(isblank($A450),isblank($B450)),"", not(iserror(vlookup($A450&amp;$B450,'3) Release_Label'!$D:$D&amp;'3) Release_Label'!$E:$E,1,0))),vlookup($A450&amp;$B450,{'3) Release_Label'!$D:$D&amp;'3) Release_Label'!$E:$E,'3) Release_Label'!$H:$H},2,0), or(and(not(isblank($B450)),$B450=$B449,$A450&lt;&gt;$A449),and(not(isblank($A450)),$A450=$A449,$B450&lt;&gt;$B449)),"ID LISTS UNALIGNED",and($A450&lt;&gt;"",countif('3) Release_Label'!$D:$D,$A450)=0),"NO UPC MATCH in Release_Label",and($B450&lt;&gt;"",countif('3) Release_Label'!$E:$E,$B450)=0),"NO CATALOG ID MATCH in Release_Label",iserror(vlookup($A450&amp;$B450,'3) Release_Label'!$D:$D&amp;'3) Release_Label'!$E:$E,1,0)),"NO UPC-CATALOG ID pair MATCH in Release_Label" )</f>
        <v/>
      </c>
      <c r="E450" s="99"/>
      <c r="F450" s="99"/>
      <c r="G450" s="123" t="str">
        <f t="array" ref="G450">ifs(or($F450="",$F450="Main Primary Artist"),$F450,not(iserror(vlookup($F450,'Reference info'!$J$5:$J$8,1,0))),"Key Artist",not(iserror(vlookup($F450,'Reference info'!$J$38:$J$405,1,0))),"Performer",not(iserror(vlookup($F450,'Reference info'!$J$10:$J$36,1,0))),"Producer &amp; Engineer")</f>
        <v/>
      </c>
    </row>
    <row r="451">
      <c r="A451" s="28"/>
      <c r="B451" s="103"/>
      <c r="C451" s="121" t="str">
        <f t="array" ref="C451">ifs(and(isblank($A451),isblank($B451)),"", not(iserror(vlookup($A451&amp;$B451,'3) Release_Label'!$D:$D&amp;'3) Release_Label'!$E:$E,1,0))),vlookup($A451&amp;$B451,{'3) Release_Label'!$D:$D&amp;'3) Release_Label'!$E:$E,'3) Release_Label'!$F:$F},2,0), or(and(not(isblank($B451)),$B451=$B450,$A451&lt;&gt;$A450),and(not(isblank($A451)),$A451=$A450,$B451&lt;&gt;$B450)),"ID LISTS UNALIGNED",and($A451&lt;&gt;"",countif('3) Release_Label'!$D:$D,$A451)=0),"NO UPC MATCH in Release_Label",and($B451&lt;&gt;"",countif('3) Release_Label'!$E:$E,$B451)=0),"NO CATALOG ID MATCH in Release_Label",iserror(vlookup($A451&amp;$B451,'3) Release_Label'!$D:$D&amp;'3) Release_Label'!$E:$E,1,0)),"NO UPC-CATALOG ID pair MATCH in Release_Label" )</f>
        <v/>
      </c>
      <c r="D451" s="121" t="str">
        <f t="array" ref="D451">ifs(and(isblank($A451),isblank($B451)),"", not(iserror(vlookup($A451&amp;$B451,'3) Release_Label'!$D:$D&amp;'3) Release_Label'!$E:$E,1,0))),vlookup($A451&amp;$B451,{'3) Release_Label'!$D:$D&amp;'3) Release_Label'!$E:$E,'3) Release_Label'!$H:$H},2,0), or(and(not(isblank($B451)),$B451=$B450,$A451&lt;&gt;$A450),and(not(isblank($A451)),$A451=$A450,$B451&lt;&gt;$B450)),"ID LISTS UNALIGNED",and($A451&lt;&gt;"",countif('3) Release_Label'!$D:$D,$A451)=0),"NO UPC MATCH in Release_Label",and($B451&lt;&gt;"",countif('3) Release_Label'!$E:$E,$B451)=0),"NO CATALOG ID MATCH in Release_Label",iserror(vlookup($A451&amp;$B451,'3) Release_Label'!$D:$D&amp;'3) Release_Label'!$E:$E,1,0)),"NO UPC-CATALOG ID pair MATCH in Release_Label" )</f>
        <v/>
      </c>
      <c r="E451" s="99"/>
      <c r="F451" s="99"/>
      <c r="G451" s="123" t="str">
        <f t="array" ref="G451">ifs(or($F451="",$F451="Main Primary Artist"),$F451,not(iserror(vlookup($F451,'Reference info'!$J$5:$J$8,1,0))),"Key Artist",not(iserror(vlookup($F451,'Reference info'!$J$38:$J$405,1,0))),"Performer",not(iserror(vlookup($F451,'Reference info'!$J$10:$J$36,1,0))),"Producer &amp; Engineer")</f>
        <v/>
      </c>
    </row>
    <row r="452">
      <c r="A452" s="28"/>
      <c r="B452" s="103"/>
      <c r="C452" s="121" t="str">
        <f t="array" ref="C452">ifs(and(isblank($A452),isblank($B452)),"", not(iserror(vlookup($A452&amp;$B452,'3) Release_Label'!$D:$D&amp;'3) Release_Label'!$E:$E,1,0))),vlookup($A452&amp;$B452,{'3) Release_Label'!$D:$D&amp;'3) Release_Label'!$E:$E,'3) Release_Label'!$F:$F},2,0), or(and(not(isblank($B452)),$B452=$B451,$A452&lt;&gt;$A451),and(not(isblank($A452)),$A452=$A451,$B452&lt;&gt;$B451)),"ID LISTS UNALIGNED",and($A452&lt;&gt;"",countif('3) Release_Label'!$D:$D,$A452)=0),"NO UPC MATCH in Release_Label",and($B452&lt;&gt;"",countif('3) Release_Label'!$E:$E,$B452)=0),"NO CATALOG ID MATCH in Release_Label",iserror(vlookup($A452&amp;$B452,'3) Release_Label'!$D:$D&amp;'3) Release_Label'!$E:$E,1,0)),"NO UPC-CATALOG ID pair MATCH in Release_Label" )</f>
        <v/>
      </c>
      <c r="D452" s="121" t="str">
        <f t="array" ref="D452">ifs(and(isblank($A452),isblank($B452)),"", not(iserror(vlookup($A452&amp;$B452,'3) Release_Label'!$D:$D&amp;'3) Release_Label'!$E:$E,1,0))),vlookup($A452&amp;$B452,{'3) Release_Label'!$D:$D&amp;'3) Release_Label'!$E:$E,'3) Release_Label'!$H:$H},2,0), or(and(not(isblank($B452)),$B452=$B451,$A452&lt;&gt;$A451),and(not(isblank($A452)),$A452=$A451,$B452&lt;&gt;$B451)),"ID LISTS UNALIGNED",and($A452&lt;&gt;"",countif('3) Release_Label'!$D:$D,$A452)=0),"NO UPC MATCH in Release_Label",and($B452&lt;&gt;"",countif('3) Release_Label'!$E:$E,$B452)=0),"NO CATALOG ID MATCH in Release_Label",iserror(vlookup($A452&amp;$B452,'3) Release_Label'!$D:$D&amp;'3) Release_Label'!$E:$E,1,0)),"NO UPC-CATALOG ID pair MATCH in Release_Label" )</f>
        <v/>
      </c>
      <c r="E452" s="99"/>
      <c r="F452" s="99"/>
      <c r="G452" s="123" t="str">
        <f t="array" ref="G452">ifs(or($F452="",$F452="Main Primary Artist"),$F452,not(iserror(vlookup($F452,'Reference info'!$J$5:$J$8,1,0))),"Key Artist",not(iserror(vlookup($F452,'Reference info'!$J$38:$J$405,1,0))),"Performer",not(iserror(vlookup($F452,'Reference info'!$J$10:$J$36,1,0))),"Producer &amp; Engineer")</f>
        <v/>
      </c>
    </row>
    <row r="453">
      <c r="A453" s="28"/>
      <c r="B453" s="103"/>
      <c r="C453" s="121" t="str">
        <f t="array" ref="C453">ifs(and(isblank($A453),isblank($B453)),"", not(iserror(vlookup($A453&amp;$B453,'3) Release_Label'!$D:$D&amp;'3) Release_Label'!$E:$E,1,0))),vlookup($A453&amp;$B453,{'3) Release_Label'!$D:$D&amp;'3) Release_Label'!$E:$E,'3) Release_Label'!$F:$F},2,0), or(and(not(isblank($B453)),$B453=$B452,$A453&lt;&gt;$A452),and(not(isblank($A453)),$A453=$A452,$B453&lt;&gt;$B452)),"ID LISTS UNALIGNED",and($A453&lt;&gt;"",countif('3) Release_Label'!$D:$D,$A453)=0),"NO UPC MATCH in Release_Label",and($B453&lt;&gt;"",countif('3) Release_Label'!$E:$E,$B453)=0),"NO CATALOG ID MATCH in Release_Label",iserror(vlookup($A453&amp;$B453,'3) Release_Label'!$D:$D&amp;'3) Release_Label'!$E:$E,1,0)),"NO UPC-CATALOG ID pair MATCH in Release_Label" )</f>
        <v/>
      </c>
      <c r="D453" s="121" t="str">
        <f t="array" ref="D453">ifs(and(isblank($A453),isblank($B453)),"", not(iserror(vlookup($A453&amp;$B453,'3) Release_Label'!$D:$D&amp;'3) Release_Label'!$E:$E,1,0))),vlookup($A453&amp;$B453,{'3) Release_Label'!$D:$D&amp;'3) Release_Label'!$E:$E,'3) Release_Label'!$H:$H},2,0), or(and(not(isblank($B453)),$B453=$B452,$A453&lt;&gt;$A452),and(not(isblank($A453)),$A453=$A452,$B453&lt;&gt;$B452)),"ID LISTS UNALIGNED",and($A453&lt;&gt;"",countif('3) Release_Label'!$D:$D,$A453)=0),"NO UPC MATCH in Release_Label",and($B453&lt;&gt;"",countif('3) Release_Label'!$E:$E,$B453)=0),"NO CATALOG ID MATCH in Release_Label",iserror(vlookup($A453&amp;$B453,'3) Release_Label'!$D:$D&amp;'3) Release_Label'!$E:$E,1,0)),"NO UPC-CATALOG ID pair MATCH in Release_Label" )</f>
        <v/>
      </c>
      <c r="E453" s="99"/>
      <c r="F453" s="99"/>
      <c r="G453" s="123" t="str">
        <f t="array" ref="G453">ifs(or($F453="",$F453="Main Primary Artist"),$F453,not(iserror(vlookup($F453,'Reference info'!$J$5:$J$8,1,0))),"Key Artist",not(iserror(vlookup($F453,'Reference info'!$J$38:$J$405,1,0))),"Performer",not(iserror(vlookup($F453,'Reference info'!$J$10:$J$36,1,0))),"Producer &amp; Engineer")</f>
        <v/>
      </c>
    </row>
    <row r="454">
      <c r="A454" s="28"/>
      <c r="B454" s="103"/>
      <c r="C454" s="121" t="str">
        <f t="array" ref="C454">ifs(and(isblank($A454),isblank($B454)),"", not(iserror(vlookup($A454&amp;$B454,'3) Release_Label'!$D:$D&amp;'3) Release_Label'!$E:$E,1,0))),vlookup($A454&amp;$B454,{'3) Release_Label'!$D:$D&amp;'3) Release_Label'!$E:$E,'3) Release_Label'!$F:$F},2,0), or(and(not(isblank($B454)),$B454=$B453,$A454&lt;&gt;$A453),and(not(isblank($A454)),$A454=$A453,$B454&lt;&gt;$B453)),"ID LISTS UNALIGNED",and($A454&lt;&gt;"",countif('3) Release_Label'!$D:$D,$A454)=0),"NO UPC MATCH in Release_Label",and($B454&lt;&gt;"",countif('3) Release_Label'!$E:$E,$B454)=0),"NO CATALOG ID MATCH in Release_Label",iserror(vlookup($A454&amp;$B454,'3) Release_Label'!$D:$D&amp;'3) Release_Label'!$E:$E,1,0)),"NO UPC-CATALOG ID pair MATCH in Release_Label" )</f>
        <v/>
      </c>
      <c r="D454" s="121" t="str">
        <f t="array" ref="D454">ifs(and(isblank($A454),isblank($B454)),"", not(iserror(vlookup($A454&amp;$B454,'3) Release_Label'!$D:$D&amp;'3) Release_Label'!$E:$E,1,0))),vlookup($A454&amp;$B454,{'3) Release_Label'!$D:$D&amp;'3) Release_Label'!$E:$E,'3) Release_Label'!$H:$H},2,0), or(and(not(isblank($B454)),$B454=$B453,$A454&lt;&gt;$A453),and(not(isblank($A454)),$A454=$A453,$B454&lt;&gt;$B453)),"ID LISTS UNALIGNED",and($A454&lt;&gt;"",countif('3) Release_Label'!$D:$D,$A454)=0),"NO UPC MATCH in Release_Label",and($B454&lt;&gt;"",countif('3) Release_Label'!$E:$E,$B454)=0),"NO CATALOG ID MATCH in Release_Label",iserror(vlookup($A454&amp;$B454,'3) Release_Label'!$D:$D&amp;'3) Release_Label'!$E:$E,1,0)),"NO UPC-CATALOG ID pair MATCH in Release_Label" )</f>
        <v/>
      </c>
      <c r="E454" s="99"/>
      <c r="F454" s="99"/>
      <c r="G454" s="123" t="str">
        <f t="array" ref="G454">ifs(or($F454="",$F454="Main Primary Artist"),$F454,not(iserror(vlookup($F454,'Reference info'!$J$5:$J$8,1,0))),"Key Artist",not(iserror(vlookup($F454,'Reference info'!$J$38:$J$405,1,0))),"Performer",not(iserror(vlookup($F454,'Reference info'!$J$10:$J$36,1,0))),"Producer &amp; Engineer")</f>
        <v/>
      </c>
    </row>
    <row r="455">
      <c r="A455" s="28"/>
      <c r="B455" s="103"/>
      <c r="C455" s="121" t="str">
        <f t="array" ref="C455">ifs(and(isblank($A455),isblank($B455)),"", not(iserror(vlookup($A455&amp;$B455,'3) Release_Label'!$D:$D&amp;'3) Release_Label'!$E:$E,1,0))),vlookup($A455&amp;$B455,{'3) Release_Label'!$D:$D&amp;'3) Release_Label'!$E:$E,'3) Release_Label'!$F:$F},2,0), or(and(not(isblank($B455)),$B455=$B454,$A455&lt;&gt;$A454),and(not(isblank($A455)),$A455=$A454,$B455&lt;&gt;$B454)),"ID LISTS UNALIGNED",and($A455&lt;&gt;"",countif('3) Release_Label'!$D:$D,$A455)=0),"NO UPC MATCH in Release_Label",and($B455&lt;&gt;"",countif('3) Release_Label'!$E:$E,$B455)=0),"NO CATALOG ID MATCH in Release_Label",iserror(vlookup($A455&amp;$B455,'3) Release_Label'!$D:$D&amp;'3) Release_Label'!$E:$E,1,0)),"NO UPC-CATALOG ID pair MATCH in Release_Label" )</f>
        <v/>
      </c>
      <c r="D455" s="121" t="str">
        <f t="array" ref="D455">ifs(and(isblank($A455),isblank($B455)),"", not(iserror(vlookup($A455&amp;$B455,'3) Release_Label'!$D:$D&amp;'3) Release_Label'!$E:$E,1,0))),vlookup($A455&amp;$B455,{'3) Release_Label'!$D:$D&amp;'3) Release_Label'!$E:$E,'3) Release_Label'!$H:$H},2,0), or(and(not(isblank($B455)),$B455=$B454,$A455&lt;&gt;$A454),and(not(isblank($A455)),$A455=$A454,$B455&lt;&gt;$B454)),"ID LISTS UNALIGNED",and($A455&lt;&gt;"",countif('3) Release_Label'!$D:$D,$A455)=0),"NO UPC MATCH in Release_Label",and($B455&lt;&gt;"",countif('3) Release_Label'!$E:$E,$B455)=0),"NO CATALOG ID MATCH in Release_Label",iserror(vlookup($A455&amp;$B455,'3) Release_Label'!$D:$D&amp;'3) Release_Label'!$E:$E,1,0)),"NO UPC-CATALOG ID pair MATCH in Release_Label" )</f>
        <v/>
      </c>
      <c r="E455" s="99"/>
      <c r="F455" s="99"/>
      <c r="G455" s="123" t="str">
        <f t="array" ref="G455">ifs(or($F455="",$F455="Main Primary Artist"),$F455,not(iserror(vlookup($F455,'Reference info'!$J$5:$J$8,1,0))),"Key Artist",not(iserror(vlookup($F455,'Reference info'!$J$38:$J$405,1,0))),"Performer",not(iserror(vlookup($F455,'Reference info'!$J$10:$J$36,1,0))),"Producer &amp; Engineer")</f>
        <v/>
      </c>
    </row>
    <row r="456">
      <c r="A456" s="28"/>
      <c r="B456" s="103"/>
      <c r="C456" s="121" t="str">
        <f t="array" ref="C456">ifs(and(isblank($A456),isblank($B456)),"", not(iserror(vlookup($A456&amp;$B456,'3) Release_Label'!$D:$D&amp;'3) Release_Label'!$E:$E,1,0))),vlookup($A456&amp;$B456,{'3) Release_Label'!$D:$D&amp;'3) Release_Label'!$E:$E,'3) Release_Label'!$F:$F},2,0), or(and(not(isblank($B456)),$B456=$B455,$A456&lt;&gt;$A455),and(not(isblank($A456)),$A456=$A455,$B456&lt;&gt;$B455)),"ID LISTS UNALIGNED",and($A456&lt;&gt;"",countif('3) Release_Label'!$D:$D,$A456)=0),"NO UPC MATCH in Release_Label",and($B456&lt;&gt;"",countif('3) Release_Label'!$E:$E,$B456)=0),"NO CATALOG ID MATCH in Release_Label",iserror(vlookup($A456&amp;$B456,'3) Release_Label'!$D:$D&amp;'3) Release_Label'!$E:$E,1,0)),"NO UPC-CATALOG ID pair MATCH in Release_Label" )</f>
        <v/>
      </c>
      <c r="D456" s="121" t="str">
        <f t="array" ref="D456">ifs(and(isblank($A456),isblank($B456)),"", not(iserror(vlookup($A456&amp;$B456,'3) Release_Label'!$D:$D&amp;'3) Release_Label'!$E:$E,1,0))),vlookup($A456&amp;$B456,{'3) Release_Label'!$D:$D&amp;'3) Release_Label'!$E:$E,'3) Release_Label'!$H:$H},2,0), or(and(not(isblank($B456)),$B456=$B455,$A456&lt;&gt;$A455),and(not(isblank($A456)),$A456=$A455,$B456&lt;&gt;$B455)),"ID LISTS UNALIGNED",and($A456&lt;&gt;"",countif('3) Release_Label'!$D:$D,$A456)=0),"NO UPC MATCH in Release_Label",and($B456&lt;&gt;"",countif('3) Release_Label'!$E:$E,$B456)=0),"NO CATALOG ID MATCH in Release_Label",iserror(vlookup($A456&amp;$B456,'3) Release_Label'!$D:$D&amp;'3) Release_Label'!$E:$E,1,0)),"NO UPC-CATALOG ID pair MATCH in Release_Label" )</f>
        <v/>
      </c>
      <c r="E456" s="99"/>
      <c r="F456" s="99"/>
      <c r="G456" s="123" t="str">
        <f t="array" ref="G456">ifs(or($F456="",$F456="Main Primary Artist"),$F456,not(iserror(vlookup($F456,'Reference info'!$J$5:$J$8,1,0))),"Key Artist",not(iserror(vlookup($F456,'Reference info'!$J$38:$J$405,1,0))),"Performer",not(iserror(vlookup($F456,'Reference info'!$J$10:$J$36,1,0))),"Producer &amp; Engineer")</f>
        <v/>
      </c>
    </row>
    <row r="457">
      <c r="A457" s="28"/>
      <c r="B457" s="103"/>
      <c r="C457" s="121" t="str">
        <f t="array" ref="C457">ifs(and(isblank($A457),isblank($B457)),"", not(iserror(vlookup($A457&amp;$B457,'3) Release_Label'!$D:$D&amp;'3) Release_Label'!$E:$E,1,0))),vlookup($A457&amp;$B457,{'3) Release_Label'!$D:$D&amp;'3) Release_Label'!$E:$E,'3) Release_Label'!$F:$F},2,0), or(and(not(isblank($B457)),$B457=$B456,$A457&lt;&gt;$A456),and(not(isblank($A457)),$A457=$A456,$B457&lt;&gt;$B456)),"ID LISTS UNALIGNED",and($A457&lt;&gt;"",countif('3) Release_Label'!$D:$D,$A457)=0),"NO UPC MATCH in Release_Label",and($B457&lt;&gt;"",countif('3) Release_Label'!$E:$E,$B457)=0),"NO CATALOG ID MATCH in Release_Label",iserror(vlookup($A457&amp;$B457,'3) Release_Label'!$D:$D&amp;'3) Release_Label'!$E:$E,1,0)),"NO UPC-CATALOG ID pair MATCH in Release_Label" )</f>
        <v/>
      </c>
      <c r="D457" s="121" t="str">
        <f t="array" ref="D457">ifs(and(isblank($A457),isblank($B457)),"", not(iserror(vlookup($A457&amp;$B457,'3) Release_Label'!$D:$D&amp;'3) Release_Label'!$E:$E,1,0))),vlookup($A457&amp;$B457,{'3) Release_Label'!$D:$D&amp;'3) Release_Label'!$E:$E,'3) Release_Label'!$H:$H},2,0), or(and(not(isblank($B457)),$B457=$B456,$A457&lt;&gt;$A456),and(not(isblank($A457)),$A457=$A456,$B457&lt;&gt;$B456)),"ID LISTS UNALIGNED",and($A457&lt;&gt;"",countif('3) Release_Label'!$D:$D,$A457)=0),"NO UPC MATCH in Release_Label",and($B457&lt;&gt;"",countif('3) Release_Label'!$E:$E,$B457)=0),"NO CATALOG ID MATCH in Release_Label",iserror(vlookup($A457&amp;$B457,'3) Release_Label'!$D:$D&amp;'3) Release_Label'!$E:$E,1,0)),"NO UPC-CATALOG ID pair MATCH in Release_Label" )</f>
        <v/>
      </c>
      <c r="E457" s="99"/>
      <c r="F457" s="99"/>
      <c r="G457" s="123" t="str">
        <f t="array" ref="G457">ifs(or($F457="",$F457="Main Primary Artist"),$F457,not(iserror(vlookup($F457,'Reference info'!$J$5:$J$8,1,0))),"Key Artist",not(iserror(vlookup($F457,'Reference info'!$J$38:$J$405,1,0))),"Performer",not(iserror(vlookup($F457,'Reference info'!$J$10:$J$36,1,0))),"Producer &amp; Engineer")</f>
        <v/>
      </c>
    </row>
    <row r="458">
      <c r="A458" s="28"/>
      <c r="B458" s="103"/>
      <c r="C458" s="121" t="str">
        <f t="array" ref="C458">ifs(and(isblank($A458),isblank($B458)),"", not(iserror(vlookup($A458&amp;$B458,'3) Release_Label'!$D:$D&amp;'3) Release_Label'!$E:$E,1,0))),vlookup($A458&amp;$B458,{'3) Release_Label'!$D:$D&amp;'3) Release_Label'!$E:$E,'3) Release_Label'!$F:$F},2,0), or(and(not(isblank($B458)),$B458=$B457,$A458&lt;&gt;$A457),and(not(isblank($A458)),$A458=$A457,$B458&lt;&gt;$B457)),"ID LISTS UNALIGNED",and($A458&lt;&gt;"",countif('3) Release_Label'!$D:$D,$A458)=0),"NO UPC MATCH in Release_Label",and($B458&lt;&gt;"",countif('3) Release_Label'!$E:$E,$B458)=0),"NO CATALOG ID MATCH in Release_Label",iserror(vlookup($A458&amp;$B458,'3) Release_Label'!$D:$D&amp;'3) Release_Label'!$E:$E,1,0)),"NO UPC-CATALOG ID pair MATCH in Release_Label" )</f>
        <v/>
      </c>
      <c r="D458" s="121" t="str">
        <f t="array" ref="D458">ifs(and(isblank($A458),isblank($B458)),"", not(iserror(vlookup($A458&amp;$B458,'3) Release_Label'!$D:$D&amp;'3) Release_Label'!$E:$E,1,0))),vlookup($A458&amp;$B458,{'3) Release_Label'!$D:$D&amp;'3) Release_Label'!$E:$E,'3) Release_Label'!$H:$H},2,0), or(and(not(isblank($B458)),$B458=$B457,$A458&lt;&gt;$A457),and(not(isblank($A458)),$A458=$A457,$B458&lt;&gt;$B457)),"ID LISTS UNALIGNED",and($A458&lt;&gt;"",countif('3) Release_Label'!$D:$D,$A458)=0),"NO UPC MATCH in Release_Label",and($B458&lt;&gt;"",countif('3) Release_Label'!$E:$E,$B458)=0),"NO CATALOG ID MATCH in Release_Label",iserror(vlookup($A458&amp;$B458,'3) Release_Label'!$D:$D&amp;'3) Release_Label'!$E:$E,1,0)),"NO UPC-CATALOG ID pair MATCH in Release_Label" )</f>
        <v/>
      </c>
      <c r="E458" s="99"/>
      <c r="F458" s="99"/>
      <c r="G458" s="123" t="str">
        <f t="array" ref="G458">ifs(or($F458="",$F458="Main Primary Artist"),$F458,not(iserror(vlookup($F458,'Reference info'!$J$5:$J$8,1,0))),"Key Artist",not(iserror(vlookup($F458,'Reference info'!$J$38:$J$405,1,0))),"Performer",not(iserror(vlookup($F458,'Reference info'!$J$10:$J$36,1,0))),"Producer &amp; Engineer")</f>
        <v/>
      </c>
    </row>
    <row r="459">
      <c r="A459" s="28"/>
      <c r="B459" s="103"/>
      <c r="C459" s="121" t="str">
        <f t="array" ref="C459">ifs(and(isblank($A459),isblank($B459)),"", not(iserror(vlookup($A459&amp;$B459,'3) Release_Label'!$D:$D&amp;'3) Release_Label'!$E:$E,1,0))),vlookup($A459&amp;$B459,{'3) Release_Label'!$D:$D&amp;'3) Release_Label'!$E:$E,'3) Release_Label'!$F:$F},2,0), or(and(not(isblank($B459)),$B459=$B458,$A459&lt;&gt;$A458),and(not(isblank($A459)),$A459=$A458,$B459&lt;&gt;$B458)),"ID LISTS UNALIGNED",and($A459&lt;&gt;"",countif('3) Release_Label'!$D:$D,$A459)=0),"NO UPC MATCH in Release_Label",and($B459&lt;&gt;"",countif('3) Release_Label'!$E:$E,$B459)=0),"NO CATALOG ID MATCH in Release_Label",iserror(vlookup($A459&amp;$B459,'3) Release_Label'!$D:$D&amp;'3) Release_Label'!$E:$E,1,0)),"NO UPC-CATALOG ID pair MATCH in Release_Label" )</f>
        <v/>
      </c>
      <c r="D459" s="121" t="str">
        <f t="array" ref="D459">ifs(and(isblank($A459),isblank($B459)),"", not(iserror(vlookup($A459&amp;$B459,'3) Release_Label'!$D:$D&amp;'3) Release_Label'!$E:$E,1,0))),vlookup($A459&amp;$B459,{'3) Release_Label'!$D:$D&amp;'3) Release_Label'!$E:$E,'3) Release_Label'!$H:$H},2,0), or(and(not(isblank($B459)),$B459=$B458,$A459&lt;&gt;$A458),and(not(isblank($A459)),$A459=$A458,$B459&lt;&gt;$B458)),"ID LISTS UNALIGNED",and($A459&lt;&gt;"",countif('3) Release_Label'!$D:$D,$A459)=0),"NO UPC MATCH in Release_Label",and($B459&lt;&gt;"",countif('3) Release_Label'!$E:$E,$B459)=0),"NO CATALOG ID MATCH in Release_Label",iserror(vlookup($A459&amp;$B459,'3) Release_Label'!$D:$D&amp;'3) Release_Label'!$E:$E,1,0)),"NO UPC-CATALOG ID pair MATCH in Release_Label" )</f>
        <v/>
      </c>
      <c r="E459" s="99"/>
      <c r="F459" s="99"/>
      <c r="G459" s="123" t="str">
        <f t="array" ref="G459">ifs(or($F459="",$F459="Main Primary Artist"),$F459,not(iserror(vlookup($F459,'Reference info'!$J$5:$J$8,1,0))),"Key Artist",not(iserror(vlookup($F459,'Reference info'!$J$38:$J$405,1,0))),"Performer",not(iserror(vlookup($F459,'Reference info'!$J$10:$J$36,1,0))),"Producer &amp; Engineer")</f>
        <v/>
      </c>
    </row>
    <row r="460">
      <c r="A460" s="28"/>
      <c r="B460" s="103"/>
      <c r="C460" s="121" t="str">
        <f t="array" ref="C460">ifs(and(isblank($A460),isblank($B460)),"", not(iserror(vlookup($A460&amp;$B460,'3) Release_Label'!$D:$D&amp;'3) Release_Label'!$E:$E,1,0))),vlookup($A460&amp;$B460,{'3) Release_Label'!$D:$D&amp;'3) Release_Label'!$E:$E,'3) Release_Label'!$F:$F},2,0), or(and(not(isblank($B460)),$B460=$B459,$A460&lt;&gt;$A459),and(not(isblank($A460)),$A460=$A459,$B460&lt;&gt;$B459)),"ID LISTS UNALIGNED",and($A460&lt;&gt;"",countif('3) Release_Label'!$D:$D,$A460)=0),"NO UPC MATCH in Release_Label",and($B460&lt;&gt;"",countif('3) Release_Label'!$E:$E,$B460)=0),"NO CATALOG ID MATCH in Release_Label",iserror(vlookup($A460&amp;$B460,'3) Release_Label'!$D:$D&amp;'3) Release_Label'!$E:$E,1,0)),"NO UPC-CATALOG ID pair MATCH in Release_Label" )</f>
        <v/>
      </c>
      <c r="D460" s="121" t="str">
        <f t="array" ref="D460">ifs(and(isblank($A460),isblank($B460)),"", not(iserror(vlookup($A460&amp;$B460,'3) Release_Label'!$D:$D&amp;'3) Release_Label'!$E:$E,1,0))),vlookup($A460&amp;$B460,{'3) Release_Label'!$D:$D&amp;'3) Release_Label'!$E:$E,'3) Release_Label'!$H:$H},2,0), or(and(not(isblank($B460)),$B460=$B459,$A460&lt;&gt;$A459),and(not(isblank($A460)),$A460=$A459,$B460&lt;&gt;$B459)),"ID LISTS UNALIGNED",and($A460&lt;&gt;"",countif('3) Release_Label'!$D:$D,$A460)=0),"NO UPC MATCH in Release_Label",and($B460&lt;&gt;"",countif('3) Release_Label'!$E:$E,$B460)=0),"NO CATALOG ID MATCH in Release_Label",iserror(vlookup($A460&amp;$B460,'3) Release_Label'!$D:$D&amp;'3) Release_Label'!$E:$E,1,0)),"NO UPC-CATALOG ID pair MATCH in Release_Label" )</f>
        <v/>
      </c>
      <c r="E460" s="99"/>
      <c r="F460" s="99"/>
      <c r="G460" s="123" t="str">
        <f t="array" ref="G460">ifs(or($F460="",$F460="Main Primary Artist"),$F460,not(iserror(vlookup($F460,'Reference info'!$J$5:$J$8,1,0))),"Key Artist",not(iserror(vlookup($F460,'Reference info'!$J$38:$J$405,1,0))),"Performer",not(iserror(vlookup($F460,'Reference info'!$J$10:$J$36,1,0))),"Producer &amp; Engineer")</f>
        <v/>
      </c>
    </row>
    <row r="461">
      <c r="A461" s="28"/>
      <c r="B461" s="103"/>
      <c r="C461" s="121" t="str">
        <f t="array" ref="C461">ifs(and(isblank($A461),isblank($B461)),"", not(iserror(vlookup($A461&amp;$B461,'3) Release_Label'!$D:$D&amp;'3) Release_Label'!$E:$E,1,0))),vlookup($A461&amp;$B461,{'3) Release_Label'!$D:$D&amp;'3) Release_Label'!$E:$E,'3) Release_Label'!$F:$F},2,0), or(and(not(isblank($B461)),$B461=$B460,$A461&lt;&gt;$A460),and(not(isblank($A461)),$A461=$A460,$B461&lt;&gt;$B460)),"ID LISTS UNALIGNED",and($A461&lt;&gt;"",countif('3) Release_Label'!$D:$D,$A461)=0),"NO UPC MATCH in Release_Label",and($B461&lt;&gt;"",countif('3) Release_Label'!$E:$E,$B461)=0),"NO CATALOG ID MATCH in Release_Label",iserror(vlookup($A461&amp;$B461,'3) Release_Label'!$D:$D&amp;'3) Release_Label'!$E:$E,1,0)),"NO UPC-CATALOG ID pair MATCH in Release_Label" )</f>
        <v/>
      </c>
      <c r="D461" s="121" t="str">
        <f t="array" ref="D461">ifs(and(isblank($A461),isblank($B461)),"", not(iserror(vlookup($A461&amp;$B461,'3) Release_Label'!$D:$D&amp;'3) Release_Label'!$E:$E,1,0))),vlookup($A461&amp;$B461,{'3) Release_Label'!$D:$D&amp;'3) Release_Label'!$E:$E,'3) Release_Label'!$H:$H},2,0), or(and(not(isblank($B461)),$B461=$B460,$A461&lt;&gt;$A460),and(not(isblank($A461)),$A461=$A460,$B461&lt;&gt;$B460)),"ID LISTS UNALIGNED",and($A461&lt;&gt;"",countif('3) Release_Label'!$D:$D,$A461)=0),"NO UPC MATCH in Release_Label",and($B461&lt;&gt;"",countif('3) Release_Label'!$E:$E,$B461)=0),"NO CATALOG ID MATCH in Release_Label",iserror(vlookup($A461&amp;$B461,'3) Release_Label'!$D:$D&amp;'3) Release_Label'!$E:$E,1,0)),"NO UPC-CATALOG ID pair MATCH in Release_Label" )</f>
        <v/>
      </c>
      <c r="E461" s="99"/>
      <c r="F461" s="99"/>
      <c r="G461" s="123" t="str">
        <f t="array" ref="G461">ifs(or($F461="",$F461="Main Primary Artist"),$F461,not(iserror(vlookup($F461,'Reference info'!$J$5:$J$8,1,0))),"Key Artist",not(iserror(vlookup($F461,'Reference info'!$J$38:$J$405,1,0))),"Performer",not(iserror(vlookup($F461,'Reference info'!$J$10:$J$36,1,0))),"Producer &amp; Engineer")</f>
        <v/>
      </c>
    </row>
    <row r="462">
      <c r="A462" s="28"/>
      <c r="B462" s="103"/>
      <c r="C462" s="121" t="str">
        <f t="array" ref="C462">ifs(and(isblank($A462),isblank($B462)),"", not(iserror(vlookup($A462&amp;$B462,'3) Release_Label'!$D:$D&amp;'3) Release_Label'!$E:$E,1,0))),vlookup($A462&amp;$B462,{'3) Release_Label'!$D:$D&amp;'3) Release_Label'!$E:$E,'3) Release_Label'!$F:$F},2,0), or(and(not(isblank($B462)),$B462=$B461,$A462&lt;&gt;$A461),and(not(isblank($A462)),$A462=$A461,$B462&lt;&gt;$B461)),"ID LISTS UNALIGNED",and($A462&lt;&gt;"",countif('3) Release_Label'!$D:$D,$A462)=0),"NO UPC MATCH in Release_Label",and($B462&lt;&gt;"",countif('3) Release_Label'!$E:$E,$B462)=0),"NO CATALOG ID MATCH in Release_Label",iserror(vlookup($A462&amp;$B462,'3) Release_Label'!$D:$D&amp;'3) Release_Label'!$E:$E,1,0)),"NO UPC-CATALOG ID pair MATCH in Release_Label" )</f>
        <v/>
      </c>
      <c r="D462" s="121" t="str">
        <f t="array" ref="D462">ifs(and(isblank($A462),isblank($B462)),"", not(iserror(vlookup($A462&amp;$B462,'3) Release_Label'!$D:$D&amp;'3) Release_Label'!$E:$E,1,0))),vlookup($A462&amp;$B462,{'3) Release_Label'!$D:$D&amp;'3) Release_Label'!$E:$E,'3) Release_Label'!$H:$H},2,0), or(and(not(isblank($B462)),$B462=$B461,$A462&lt;&gt;$A461),and(not(isblank($A462)),$A462=$A461,$B462&lt;&gt;$B461)),"ID LISTS UNALIGNED",and($A462&lt;&gt;"",countif('3) Release_Label'!$D:$D,$A462)=0),"NO UPC MATCH in Release_Label",and($B462&lt;&gt;"",countif('3) Release_Label'!$E:$E,$B462)=0),"NO CATALOG ID MATCH in Release_Label",iserror(vlookup($A462&amp;$B462,'3) Release_Label'!$D:$D&amp;'3) Release_Label'!$E:$E,1,0)),"NO UPC-CATALOG ID pair MATCH in Release_Label" )</f>
        <v/>
      </c>
      <c r="E462" s="99"/>
      <c r="F462" s="99"/>
      <c r="G462" s="123" t="str">
        <f t="array" ref="G462">ifs(or($F462="",$F462="Main Primary Artist"),$F462,not(iserror(vlookup($F462,'Reference info'!$J$5:$J$8,1,0))),"Key Artist",not(iserror(vlookup($F462,'Reference info'!$J$38:$J$405,1,0))),"Performer",not(iserror(vlookup($F462,'Reference info'!$J$10:$J$36,1,0))),"Producer &amp; Engineer")</f>
        <v/>
      </c>
    </row>
    <row r="463">
      <c r="A463" s="28"/>
      <c r="B463" s="103"/>
      <c r="C463" s="121" t="str">
        <f t="array" ref="C463">ifs(and(isblank($A463),isblank($B463)),"", not(iserror(vlookup($A463&amp;$B463,'3) Release_Label'!$D:$D&amp;'3) Release_Label'!$E:$E,1,0))),vlookup($A463&amp;$B463,{'3) Release_Label'!$D:$D&amp;'3) Release_Label'!$E:$E,'3) Release_Label'!$F:$F},2,0), or(and(not(isblank($B463)),$B463=$B462,$A463&lt;&gt;$A462),and(not(isblank($A463)),$A463=$A462,$B463&lt;&gt;$B462)),"ID LISTS UNALIGNED",and($A463&lt;&gt;"",countif('3) Release_Label'!$D:$D,$A463)=0),"NO UPC MATCH in Release_Label",and($B463&lt;&gt;"",countif('3) Release_Label'!$E:$E,$B463)=0),"NO CATALOG ID MATCH in Release_Label",iserror(vlookup($A463&amp;$B463,'3) Release_Label'!$D:$D&amp;'3) Release_Label'!$E:$E,1,0)),"NO UPC-CATALOG ID pair MATCH in Release_Label" )</f>
        <v/>
      </c>
      <c r="D463" s="121" t="str">
        <f t="array" ref="D463">ifs(and(isblank($A463),isblank($B463)),"", not(iserror(vlookup($A463&amp;$B463,'3) Release_Label'!$D:$D&amp;'3) Release_Label'!$E:$E,1,0))),vlookup($A463&amp;$B463,{'3) Release_Label'!$D:$D&amp;'3) Release_Label'!$E:$E,'3) Release_Label'!$H:$H},2,0), or(and(not(isblank($B463)),$B463=$B462,$A463&lt;&gt;$A462),and(not(isblank($A463)),$A463=$A462,$B463&lt;&gt;$B462)),"ID LISTS UNALIGNED",and($A463&lt;&gt;"",countif('3) Release_Label'!$D:$D,$A463)=0),"NO UPC MATCH in Release_Label",and($B463&lt;&gt;"",countif('3) Release_Label'!$E:$E,$B463)=0),"NO CATALOG ID MATCH in Release_Label",iserror(vlookup($A463&amp;$B463,'3) Release_Label'!$D:$D&amp;'3) Release_Label'!$E:$E,1,0)),"NO UPC-CATALOG ID pair MATCH in Release_Label" )</f>
        <v/>
      </c>
      <c r="E463" s="99"/>
      <c r="F463" s="99"/>
      <c r="G463" s="123" t="str">
        <f t="array" ref="G463">ifs(or($F463="",$F463="Main Primary Artist"),$F463,not(iserror(vlookup($F463,'Reference info'!$J$5:$J$8,1,0))),"Key Artist",not(iserror(vlookup($F463,'Reference info'!$J$38:$J$405,1,0))),"Performer",not(iserror(vlookup($F463,'Reference info'!$J$10:$J$36,1,0))),"Producer &amp; Engineer")</f>
        <v/>
      </c>
    </row>
    <row r="464">
      <c r="A464" s="28"/>
      <c r="B464" s="103"/>
      <c r="C464" s="121" t="str">
        <f t="array" ref="C464">ifs(and(isblank($A464),isblank($B464)),"", not(iserror(vlookup($A464&amp;$B464,'3) Release_Label'!$D:$D&amp;'3) Release_Label'!$E:$E,1,0))),vlookup($A464&amp;$B464,{'3) Release_Label'!$D:$D&amp;'3) Release_Label'!$E:$E,'3) Release_Label'!$F:$F},2,0), or(and(not(isblank($B464)),$B464=$B463,$A464&lt;&gt;$A463),and(not(isblank($A464)),$A464=$A463,$B464&lt;&gt;$B463)),"ID LISTS UNALIGNED",and($A464&lt;&gt;"",countif('3) Release_Label'!$D:$D,$A464)=0),"NO UPC MATCH in Release_Label",and($B464&lt;&gt;"",countif('3) Release_Label'!$E:$E,$B464)=0),"NO CATALOG ID MATCH in Release_Label",iserror(vlookup($A464&amp;$B464,'3) Release_Label'!$D:$D&amp;'3) Release_Label'!$E:$E,1,0)),"NO UPC-CATALOG ID pair MATCH in Release_Label" )</f>
        <v/>
      </c>
      <c r="D464" s="121" t="str">
        <f t="array" ref="D464">ifs(and(isblank($A464),isblank($B464)),"", not(iserror(vlookup($A464&amp;$B464,'3) Release_Label'!$D:$D&amp;'3) Release_Label'!$E:$E,1,0))),vlookup($A464&amp;$B464,{'3) Release_Label'!$D:$D&amp;'3) Release_Label'!$E:$E,'3) Release_Label'!$H:$H},2,0), or(and(not(isblank($B464)),$B464=$B463,$A464&lt;&gt;$A463),and(not(isblank($A464)),$A464=$A463,$B464&lt;&gt;$B463)),"ID LISTS UNALIGNED",and($A464&lt;&gt;"",countif('3) Release_Label'!$D:$D,$A464)=0),"NO UPC MATCH in Release_Label",and($B464&lt;&gt;"",countif('3) Release_Label'!$E:$E,$B464)=0),"NO CATALOG ID MATCH in Release_Label",iserror(vlookup($A464&amp;$B464,'3) Release_Label'!$D:$D&amp;'3) Release_Label'!$E:$E,1,0)),"NO UPC-CATALOG ID pair MATCH in Release_Label" )</f>
        <v/>
      </c>
      <c r="E464" s="99"/>
      <c r="F464" s="99"/>
      <c r="G464" s="123" t="str">
        <f t="array" ref="G464">ifs(or($F464="",$F464="Main Primary Artist"),$F464,not(iserror(vlookup($F464,'Reference info'!$J$5:$J$8,1,0))),"Key Artist",not(iserror(vlookup($F464,'Reference info'!$J$38:$J$405,1,0))),"Performer",not(iserror(vlookup($F464,'Reference info'!$J$10:$J$36,1,0))),"Producer &amp; Engineer")</f>
        <v/>
      </c>
    </row>
    <row r="465">
      <c r="A465" s="28"/>
      <c r="B465" s="103"/>
      <c r="C465" s="121" t="str">
        <f t="array" ref="C465">ifs(and(isblank($A465),isblank($B465)),"", not(iserror(vlookup($A465&amp;$B465,'3) Release_Label'!$D:$D&amp;'3) Release_Label'!$E:$E,1,0))),vlookup($A465&amp;$B465,{'3) Release_Label'!$D:$D&amp;'3) Release_Label'!$E:$E,'3) Release_Label'!$F:$F},2,0), or(and(not(isblank($B465)),$B465=$B464,$A465&lt;&gt;$A464),and(not(isblank($A465)),$A465=$A464,$B465&lt;&gt;$B464)),"ID LISTS UNALIGNED",and($A465&lt;&gt;"",countif('3) Release_Label'!$D:$D,$A465)=0),"NO UPC MATCH in Release_Label",and($B465&lt;&gt;"",countif('3) Release_Label'!$E:$E,$B465)=0),"NO CATALOG ID MATCH in Release_Label",iserror(vlookup($A465&amp;$B465,'3) Release_Label'!$D:$D&amp;'3) Release_Label'!$E:$E,1,0)),"NO UPC-CATALOG ID pair MATCH in Release_Label" )</f>
        <v/>
      </c>
      <c r="D465" s="121" t="str">
        <f t="array" ref="D465">ifs(and(isblank($A465),isblank($B465)),"", not(iserror(vlookup($A465&amp;$B465,'3) Release_Label'!$D:$D&amp;'3) Release_Label'!$E:$E,1,0))),vlookup($A465&amp;$B465,{'3) Release_Label'!$D:$D&amp;'3) Release_Label'!$E:$E,'3) Release_Label'!$H:$H},2,0), or(and(not(isblank($B465)),$B465=$B464,$A465&lt;&gt;$A464),and(not(isblank($A465)),$A465=$A464,$B465&lt;&gt;$B464)),"ID LISTS UNALIGNED",and($A465&lt;&gt;"",countif('3) Release_Label'!$D:$D,$A465)=0),"NO UPC MATCH in Release_Label",and($B465&lt;&gt;"",countif('3) Release_Label'!$E:$E,$B465)=0),"NO CATALOG ID MATCH in Release_Label",iserror(vlookup($A465&amp;$B465,'3) Release_Label'!$D:$D&amp;'3) Release_Label'!$E:$E,1,0)),"NO UPC-CATALOG ID pair MATCH in Release_Label" )</f>
        <v/>
      </c>
      <c r="E465" s="99"/>
      <c r="F465" s="99"/>
      <c r="G465" s="123" t="str">
        <f t="array" ref="G465">ifs(or($F465="",$F465="Main Primary Artist"),$F465,not(iserror(vlookup($F465,'Reference info'!$J$5:$J$8,1,0))),"Key Artist",not(iserror(vlookup($F465,'Reference info'!$J$38:$J$405,1,0))),"Performer",not(iserror(vlookup($F465,'Reference info'!$J$10:$J$36,1,0))),"Producer &amp; Engineer")</f>
        <v/>
      </c>
    </row>
    <row r="466">
      <c r="A466" s="28"/>
      <c r="B466" s="103"/>
      <c r="C466" s="121" t="str">
        <f t="array" ref="C466">ifs(and(isblank($A466),isblank($B466)),"", not(iserror(vlookup($A466&amp;$B466,'3) Release_Label'!$D:$D&amp;'3) Release_Label'!$E:$E,1,0))),vlookup($A466&amp;$B466,{'3) Release_Label'!$D:$D&amp;'3) Release_Label'!$E:$E,'3) Release_Label'!$F:$F},2,0), or(and(not(isblank($B466)),$B466=$B465,$A466&lt;&gt;$A465),and(not(isblank($A466)),$A466=$A465,$B466&lt;&gt;$B465)),"ID LISTS UNALIGNED",and($A466&lt;&gt;"",countif('3) Release_Label'!$D:$D,$A466)=0),"NO UPC MATCH in Release_Label",and($B466&lt;&gt;"",countif('3) Release_Label'!$E:$E,$B466)=0),"NO CATALOG ID MATCH in Release_Label",iserror(vlookup($A466&amp;$B466,'3) Release_Label'!$D:$D&amp;'3) Release_Label'!$E:$E,1,0)),"NO UPC-CATALOG ID pair MATCH in Release_Label" )</f>
        <v/>
      </c>
      <c r="D466" s="121" t="str">
        <f t="array" ref="D466">ifs(and(isblank($A466),isblank($B466)),"", not(iserror(vlookup($A466&amp;$B466,'3) Release_Label'!$D:$D&amp;'3) Release_Label'!$E:$E,1,0))),vlookup($A466&amp;$B466,{'3) Release_Label'!$D:$D&amp;'3) Release_Label'!$E:$E,'3) Release_Label'!$H:$H},2,0), or(and(not(isblank($B466)),$B466=$B465,$A466&lt;&gt;$A465),and(not(isblank($A466)),$A466=$A465,$B466&lt;&gt;$B465)),"ID LISTS UNALIGNED",and($A466&lt;&gt;"",countif('3) Release_Label'!$D:$D,$A466)=0),"NO UPC MATCH in Release_Label",and($B466&lt;&gt;"",countif('3) Release_Label'!$E:$E,$B466)=0),"NO CATALOG ID MATCH in Release_Label",iserror(vlookup($A466&amp;$B466,'3) Release_Label'!$D:$D&amp;'3) Release_Label'!$E:$E,1,0)),"NO UPC-CATALOG ID pair MATCH in Release_Label" )</f>
        <v/>
      </c>
      <c r="E466" s="99"/>
      <c r="F466" s="99"/>
      <c r="G466" s="123" t="str">
        <f t="array" ref="G466">ifs(or($F466="",$F466="Main Primary Artist"),$F466,not(iserror(vlookup($F466,'Reference info'!$J$5:$J$8,1,0))),"Key Artist",not(iserror(vlookup($F466,'Reference info'!$J$38:$J$405,1,0))),"Performer",not(iserror(vlookup($F466,'Reference info'!$J$10:$J$36,1,0))),"Producer &amp; Engineer")</f>
        <v/>
      </c>
    </row>
    <row r="467">
      <c r="A467" s="28"/>
      <c r="B467" s="103"/>
      <c r="C467" s="121" t="str">
        <f t="array" ref="C467">ifs(and(isblank($A467),isblank($B467)),"", not(iserror(vlookup($A467&amp;$B467,'3) Release_Label'!$D:$D&amp;'3) Release_Label'!$E:$E,1,0))),vlookup($A467&amp;$B467,{'3) Release_Label'!$D:$D&amp;'3) Release_Label'!$E:$E,'3) Release_Label'!$F:$F},2,0), or(and(not(isblank($B467)),$B467=$B466,$A467&lt;&gt;$A466),and(not(isblank($A467)),$A467=$A466,$B467&lt;&gt;$B466)),"ID LISTS UNALIGNED",and($A467&lt;&gt;"",countif('3) Release_Label'!$D:$D,$A467)=0),"NO UPC MATCH in Release_Label",and($B467&lt;&gt;"",countif('3) Release_Label'!$E:$E,$B467)=0),"NO CATALOG ID MATCH in Release_Label",iserror(vlookup($A467&amp;$B467,'3) Release_Label'!$D:$D&amp;'3) Release_Label'!$E:$E,1,0)),"NO UPC-CATALOG ID pair MATCH in Release_Label" )</f>
        <v/>
      </c>
      <c r="D467" s="121" t="str">
        <f t="array" ref="D467">ifs(and(isblank($A467),isblank($B467)),"", not(iserror(vlookup($A467&amp;$B467,'3) Release_Label'!$D:$D&amp;'3) Release_Label'!$E:$E,1,0))),vlookup($A467&amp;$B467,{'3) Release_Label'!$D:$D&amp;'3) Release_Label'!$E:$E,'3) Release_Label'!$H:$H},2,0), or(and(not(isblank($B467)),$B467=$B466,$A467&lt;&gt;$A466),and(not(isblank($A467)),$A467=$A466,$B467&lt;&gt;$B466)),"ID LISTS UNALIGNED",and($A467&lt;&gt;"",countif('3) Release_Label'!$D:$D,$A467)=0),"NO UPC MATCH in Release_Label",and($B467&lt;&gt;"",countif('3) Release_Label'!$E:$E,$B467)=0),"NO CATALOG ID MATCH in Release_Label",iserror(vlookup($A467&amp;$B467,'3) Release_Label'!$D:$D&amp;'3) Release_Label'!$E:$E,1,0)),"NO UPC-CATALOG ID pair MATCH in Release_Label" )</f>
        <v/>
      </c>
      <c r="E467" s="99"/>
      <c r="F467" s="99"/>
      <c r="G467" s="123" t="str">
        <f t="array" ref="G467">ifs(or($F467="",$F467="Main Primary Artist"),$F467,not(iserror(vlookup($F467,'Reference info'!$J$5:$J$8,1,0))),"Key Artist",not(iserror(vlookup($F467,'Reference info'!$J$38:$J$405,1,0))),"Performer",not(iserror(vlookup($F467,'Reference info'!$J$10:$J$36,1,0))),"Producer &amp; Engineer")</f>
        <v/>
      </c>
    </row>
    <row r="468">
      <c r="A468" s="28"/>
      <c r="B468" s="103"/>
      <c r="C468" s="121" t="str">
        <f t="array" ref="C468">ifs(and(isblank($A468),isblank($B468)),"", not(iserror(vlookup($A468&amp;$B468,'3) Release_Label'!$D:$D&amp;'3) Release_Label'!$E:$E,1,0))),vlookup($A468&amp;$B468,{'3) Release_Label'!$D:$D&amp;'3) Release_Label'!$E:$E,'3) Release_Label'!$F:$F},2,0), or(and(not(isblank($B468)),$B468=$B467,$A468&lt;&gt;$A467),and(not(isblank($A468)),$A468=$A467,$B468&lt;&gt;$B467)),"ID LISTS UNALIGNED",and($A468&lt;&gt;"",countif('3) Release_Label'!$D:$D,$A468)=0),"NO UPC MATCH in Release_Label",and($B468&lt;&gt;"",countif('3) Release_Label'!$E:$E,$B468)=0),"NO CATALOG ID MATCH in Release_Label",iserror(vlookup($A468&amp;$B468,'3) Release_Label'!$D:$D&amp;'3) Release_Label'!$E:$E,1,0)),"NO UPC-CATALOG ID pair MATCH in Release_Label" )</f>
        <v/>
      </c>
      <c r="D468" s="121" t="str">
        <f t="array" ref="D468">ifs(and(isblank($A468),isblank($B468)),"", not(iserror(vlookup($A468&amp;$B468,'3) Release_Label'!$D:$D&amp;'3) Release_Label'!$E:$E,1,0))),vlookup($A468&amp;$B468,{'3) Release_Label'!$D:$D&amp;'3) Release_Label'!$E:$E,'3) Release_Label'!$H:$H},2,0), or(and(not(isblank($B468)),$B468=$B467,$A468&lt;&gt;$A467),and(not(isblank($A468)),$A468=$A467,$B468&lt;&gt;$B467)),"ID LISTS UNALIGNED",and($A468&lt;&gt;"",countif('3) Release_Label'!$D:$D,$A468)=0),"NO UPC MATCH in Release_Label",and($B468&lt;&gt;"",countif('3) Release_Label'!$E:$E,$B468)=0),"NO CATALOG ID MATCH in Release_Label",iserror(vlookup($A468&amp;$B468,'3) Release_Label'!$D:$D&amp;'3) Release_Label'!$E:$E,1,0)),"NO UPC-CATALOG ID pair MATCH in Release_Label" )</f>
        <v/>
      </c>
      <c r="E468" s="99"/>
      <c r="F468" s="99"/>
      <c r="G468" s="123" t="str">
        <f t="array" ref="G468">ifs(or($F468="",$F468="Main Primary Artist"),$F468,not(iserror(vlookup($F468,'Reference info'!$J$5:$J$8,1,0))),"Key Artist",not(iserror(vlookup($F468,'Reference info'!$J$38:$J$405,1,0))),"Performer",not(iserror(vlookup($F468,'Reference info'!$J$10:$J$36,1,0))),"Producer &amp; Engineer")</f>
        <v/>
      </c>
    </row>
    <row r="469">
      <c r="A469" s="28"/>
      <c r="B469" s="103"/>
      <c r="C469" s="121" t="str">
        <f t="array" ref="C469">ifs(and(isblank($A469),isblank($B469)),"", not(iserror(vlookup($A469&amp;$B469,'3) Release_Label'!$D:$D&amp;'3) Release_Label'!$E:$E,1,0))),vlookup($A469&amp;$B469,{'3) Release_Label'!$D:$D&amp;'3) Release_Label'!$E:$E,'3) Release_Label'!$F:$F},2,0), or(and(not(isblank($B469)),$B469=$B468,$A469&lt;&gt;$A468),and(not(isblank($A469)),$A469=$A468,$B469&lt;&gt;$B468)),"ID LISTS UNALIGNED",and($A469&lt;&gt;"",countif('3) Release_Label'!$D:$D,$A469)=0),"NO UPC MATCH in Release_Label",and($B469&lt;&gt;"",countif('3) Release_Label'!$E:$E,$B469)=0),"NO CATALOG ID MATCH in Release_Label",iserror(vlookup($A469&amp;$B469,'3) Release_Label'!$D:$D&amp;'3) Release_Label'!$E:$E,1,0)),"NO UPC-CATALOG ID pair MATCH in Release_Label" )</f>
        <v/>
      </c>
      <c r="D469" s="121" t="str">
        <f t="array" ref="D469">ifs(and(isblank($A469),isblank($B469)),"", not(iserror(vlookup($A469&amp;$B469,'3) Release_Label'!$D:$D&amp;'3) Release_Label'!$E:$E,1,0))),vlookup($A469&amp;$B469,{'3) Release_Label'!$D:$D&amp;'3) Release_Label'!$E:$E,'3) Release_Label'!$H:$H},2,0), or(and(not(isblank($B469)),$B469=$B468,$A469&lt;&gt;$A468),and(not(isblank($A469)),$A469=$A468,$B469&lt;&gt;$B468)),"ID LISTS UNALIGNED",and($A469&lt;&gt;"",countif('3) Release_Label'!$D:$D,$A469)=0),"NO UPC MATCH in Release_Label",and($B469&lt;&gt;"",countif('3) Release_Label'!$E:$E,$B469)=0),"NO CATALOG ID MATCH in Release_Label",iserror(vlookup($A469&amp;$B469,'3) Release_Label'!$D:$D&amp;'3) Release_Label'!$E:$E,1,0)),"NO UPC-CATALOG ID pair MATCH in Release_Label" )</f>
        <v/>
      </c>
      <c r="E469" s="99"/>
      <c r="F469" s="99"/>
      <c r="G469" s="123" t="str">
        <f t="array" ref="G469">ifs(or($F469="",$F469="Main Primary Artist"),$F469,not(iserror(vlookup($F469,'Reference info'!$J$5:$J$8,1,0))),"Key Artist",not(iserror(vlookup($F469,'Reference info'!$J$38:$J$405,1,0))),"Performer",not(iserror(vlookup($F469,'Reference info'!$J$10:$J$36,1,0))),"Producer &amp; Engineer")</f>
        <v/>
      </c>
    </row>
    <row r="470">
      <c r="A470" s="28"/>
      <c r="B470" s="103"/>
      <c r="C470" s="121" t="str">
        <f t="array" ref="C470">ifs(and(isblank($A470),isblank($B470)),"", not(iserror(vlookup($A470&amp;$B470,'3) Release_Label'!$D:$D&amp;'3) Release_Label'!$E:$E,1,0))),vlookup($A470&amp;$B470,{'3) Release_Label'!$D:$D&amp;'3) Release_Label'!$E:$E,'3) Release_Label'!$F:$F},2,0), or(and(not(isblank($B470)),$B470=$B469,$A470&lt;&gt;$A469),and(not(isblank($A470)),$A470=$A469,$B470&lt;&gt;$B469)),"ID LISTS UNALIGNED",and($A470&lt;&gt;"",countif('3) Release_Label'!$D:$D,$A470)=0),"NO UPC MATCH in Release_Label",and($B470&lt;&gt;"",countif('3) Release_Label'!$E:$E,$B470)=0),"NO CATALOG ID MATCH in Release_Label",iserror(vlookup($A470&amp;$B470,'3) Release_Label'!$D:$D&amp;'3) Release_Label'!$E:$E,1,0)),"NO UPC-CATALOG ID pair MATCH in Release_Label" )</f>
        <v/>
      </c>
      <c r="D470" s="121" t="str">
        <f t="array" ref="D470">ifs(and(isblank($A470),isblank($B470)),"", not(iserror(vlookup($A470&amp;$B470,'3) Release_Label'!$D:$D&amp;'3) Release_Label'!$E:$E,1,0))),vlookup($A470&amp;$B470,{'3) Release_Label'!$D:$D&amp;'3) Release_Label'!$E:$E,'3) Release_Label'!$H:$H},2,0), or(and(not(isblank($B470)),$B470=$B469,$A470&lt;&gt;$A469),and(not(isblank($A470)),$A470=$A469,$B470&lt;&gt;$B469)),"ID LISTS UNALIGNED",and($A470&lt;&gt;"",countif('3) Release_Label'!$D:$D,$A470)=0),"NO UPC MATCH in Release_Label",and($B470&lt;&gt;"",countif('3) Release_Label'!$E:$E,$B470)=0),"NO CATALOG ID MATCH in Release_Label",iserror(vlookup($A470&amp;$B470,'3) Release_Label'!$D:$D&amp;'3) Release_Label'!$E:$E,1,0)),"NO UPC-CATALOG ID pair MATCH in Release_Label" )</f>
        <v/>
      </c>
      <c r="E470" s="99"/>
      <c r="F470" s="99"/>
      <c r="G470" s="123" t="str">
        <f t="array" ref="G470">ifs(or($F470="",$F470="Main Primary Artist"),$F470,not(iserror(vlookup($F470,'Reference info'!$J$5:$J$8,1,0))),"Key Artist",not(iserror(vlookup($F470,'Reference info'!$J$38:$J$405,1,0))),"Performer",not(iserror(vlookup($F470,'Reference info'!$J$10:$J$36,1,0))),"Producer &amp; Engineer")</f>
        <v/>
      </c>
    </row>
    <row r="471">
      <c r="A471" s="28"/>
      <c r="B471" s="103"/>
      <c r="C471" s="121" t="str">
        <f t="array" ref="C471">ifs(and(isblank($A471),isblank($B471)),"", not(iserror(vlookup($A471&amp;$B471,'3) Release_Label'!$D:$D&amp;'3) Release_Label'!$E:$E,1,0))),vlookup($A471&amp;$B471,{'3) Release_Label'!$D:$D&amp;'3) Release_Label'!$E:$E,'3) Release_Label'!$F:$F},2,0), or(and(not(isblank($B471)),$B471=$B470,$A471&lt;&gt;$A470),and(not(isblank($A471)),$A471=$A470,$B471&lt;&gt;$B470)),"ID LISTS UNALIGNED",and($A471&lt;&gt;"",countif('3) Release_Label'!$D:$D,$A471)=0),"NO UPC MATCH in Release_Label",and($B471&lt;&gt;"",countif('3) Release_Label'!$E:$E,$B471)=0),"NO CATALOG ID MATCH in Release_Label",iserror(vlookup($A471&amp;$B471,'3) Release_Label'!$D:$D&amp;'3) Release_Label'!$E:$E,1,0)),"NO UPC-CATALOG ID pair MATCH in Release_Label" )</f>
        <v/>
      </c>
      <c r="D471" s="121" t="str">
        <f t="array" ref="D471">ifs(and(isblank($A471),isblank($B471)),"", not(iserror(vlookup($A471&amp;$B471,'3) Release_Label'!$D:$D&amp;'3) Release_Label'!$E:$E,1,0))),vlookup($A471&amp;$B471,{'3) Release_Label'!$D:$D&amp;'3) Release_Label'!$E:$E,'3) Release_Label'!$H:$H},2,0), or(and(not(isblank($B471)),$B471=$B470,$A471&lt;&gt;$A470),and(not(isblank($A471)),$A471=$A470,$B471&lt;&gt;$B470)),"ID LISTS UNALIGNED",and($A471&lt;&gt;"",countif('3) Release_Label'!$D:$D,$A471)=0),"NO UPC MATCH in Release_Label",and($B471&lt;&gt;"",countif('3) Release_Label'!$E:$E,$B471)=0),"NO CATALOG ID MATCH in Release_Label",iserror(vlookup($A471&amp;$B471,'3) Release_Label'!$D:$D&amp;'3) Release_Label'!$E:$E,1,0)),"NO UPC-CATALOG ID pair MATCH in Release_Label" )</f>
        <v/>
      </c>
      <c r="E471" s="99"/>
      <c r="F471" s="99"/>
      <c r="G471" s="123" t="str">
        <f t="array" ref="G471">ifs(or($F471="",$F471="Main Primary Artist"),$F471,not(iserror(vlookup($F471,'Reference info'!$J$5:$J$8,1,0))),"Key Artist",not(iserror(vlookup($F471,'Reference info'!$J$38:$J$405,1,0))),"Performer",not(iserror(vlookup($F471,'Reference info'!$J$10:$J$36,1,0))),"Producer &amp; Engineer")</f>
        <v/>
      </c>
    </row>
    <row r="472">
      <c r="A472" s="28"/>
      <c r="B472" s="103"/>
      <c r="C472" s="121" t="str">
        <f t="array" ref="C472">ifs(and(isblank($A472),isblank($B472)),"", not(iserror(vlookup($A472&amp;$B472,'3) Release_Label'!$D:$D&amp;'3) Release_Label'!$E:$E,1,0))),vlookup($A472&amp;$B472,{'3) Release_Label'!$D:$D&amp;'3) Release_Label'!$E:$E,'3) Release_Label'!$F:$F},2,0), or(and(not(isblank($B472)),$B472=$B471,$A472&lt;&gt;$A471),and(not(isblank($A472)),$A472=$A471,$B472&lt;&gt;$B471)),"ID LISTS UNALIGNED",and($A472&lt;&gt;"",countif('3) Release_Label'!$D:$D,$A472)=0),"NO UPC MATCH in Release_Label",and($B472&lt;&gt;"",countif('3) Release_Label'!$E:$E,$B472)=0),"NO CATALOG ID MATCH in Release_Label",iserror(vlookup($A472&amp;$B472,'3) Release_Label'!$D:$D&amp;'3) Release_Label'!$E:$E,1,0)),"NO UPC-CATALOG ID pair MATCH in Release_Label" )</f>
        <v/>
      </c>
      <c r="D472" s="121" t="str">
        <f t="array" ref="D472">ifs(and(isblank($A472),isblank($B472)),"", not(iserror(vlookup($A472&amp;$B472,'3) Release_Label'!$D:$D&amp;'3) Release_Label'!$E:$E,1,0))),vlookup($A472&amp;$B472,{'3) Release_Label'!$D:$D&amp;'3) Release_Label'!$E:$E,'3) Release_Label'!$H:$H},2,0), or(and(not(isblank($B472)),$B472=$B471,$A472&lt;&gt;$A471),and(not(isblank($A472)),$A472=$A471,$B472&lt;&gt;$B471)),"ID LISTS UNALIGNED",and($A472&lt;&gt;"",countif('3) Release_Label'!$D:$D,$A472)=0),"NO UPC MATCH in Release_Label",and($B472&lt;&gt;"",countif('3) Release_Label'!$E:$E,$B472)=0),"NO CATALOG ID MATCH in Release_Label",iserror(vlookup($A472&amp;$B472,'3) Release_Label'!$D:$D&amp;'3) Release_Label'!$E:$E,1,0)),"NO UPC-CATALOG ID pair MATCH in Release_Label" )</f>
        <v/>
      </c>
      <c r="E472" s="99"/>
      <c r="F472" s="99"/>
      <c r="G472" s="123" t="str">
        <f t="array" ref="G472">ifs(or($F472="",$F472="Main Primary Artist"),$F472,not(iserror(vlookup($F472,'Reference info'!$J$5:$J$8,1,0))),"Key Artist",not(iserror(vlookup($F472,'Reference info'!$J$38:$J$405,1,0))),"Performer",not(iserror(vlookup($F472,'Reference info'!$J$10:$J$36,1,0))),"Producer &amp; Engineer")</f>
        <v/>
      </c>
    </row>
    <row r="473">
      <c r="A473" s="28"/>
      <c r="B473" s="103"/>
      <c r="C473" s="121" t="str">
        <f t="array" ref="C473">ifs(and(isblank($A473),isblank($B473)),"", not(iserror(vlookup($A473&amp;$B473,'3) Release_Label'!$D:$D&amp;'3) Release_Label'!$E:$E,1,0))),vlookup($A473&amp;$B473,{'3) Release_Label'!$D:$D&amp;'3) Release_Label'!$E:$E,'3) Release_Label'!$F:$F},2,0), or(and(not(isblank($B473)),$B473=$B472,$A473&lt;&gt;$A472),and(not(isblank($A473)),$A473=$A472,$B473&lt;&gt;$B472)),"ID LISTS UNALIGNED",and($A473&lt;&gt;"",countif('3) Release_Label'!$D:$D,$A473)=0),"NO UPC MATCH in Release_Label",and($B473&lt;&gt;"",countif('3) Release_Label'!$E:$E,$B473)=0),"NO CATALOG ID MATCH in Release_Label",iserror(vlookup($A473&amp;$B473,'3) Release_Label'!$D:$D&amp;'3) Release_Label'!$E:$E,1,0)),"NO UPC-CATALOG ID pair MATCH in Release_Label" )</f>
        <v/>
      </c>
      <c r="D473" s="121" t="str">
        <f t="array" ref="D473">ifs(and(isblank($A473),isblank($B473)),"", not(iserror(vlookup($A473&amp;$B473,'3) Release_Label'!$D:$D&amp;'3) Release_Label'!$E:$E,1,0))),vlookup($A473&amp;$B473,{'3) Release_Label'!$D:$D&amp;'3) Release_Label'!$E:$E,'3) Release_Label'!$H:$H},2,0), or(and(not(isblank($B473)),$B473=$B472,$A473&lt;&gt;$A472),and(not(isblank($A473)),$A473=$A472,$B473&lt;&gt;$B472)),"ID LISTS UNALIGNED",and($A473&lt;&gt;"",countif('3) Release_Label'!$D:$D,$A473)=0),"NO UPC MATCH in Release_Label",and($B473&lt;&gt;"",countif('3) Release_Label'!$E:$E,$B473)=0),"NO CATALOG ID MATCH in Release_Label",iserror(vlookup($A473&amp;$B473,'3) Release_Label'!$D:$D&amp;'3) Release_Label'!$E:$E,1,0)),"NO UPC-CATALOG ID pair MATCH in Release_Label" )</f>
        <v/>
      </c>
      <c r="E473" s="99"/>
      <c r="F473" s="99"/>
      <c r="G473" s="123" t="str">
        <f t="array" ref="G473">ifs(or($F473="",$F473="Main Primary Artist"),$F473,not(iserror(vlookup($F473,'Reference info'!$J$5:$J$8,1,0))),"Key Artist",not(iserror(vlookup($F473,'Reference info'!$J$38:$J$405,1,0))),"Performer",not(iserror(vlookup($F473,'Reference info'!$J$10:$J$36,1,0))),"Producer &amp; Engineer")</f>
        <v/>
      </c>
    </row>
    <row r="474">
      <c r="A474" s="28"/>
      <c r="B474" s="103"/>
      <c r="C474" s="121" t="str">
        <f t="array" ref="C474">ifs(and(isblank($A474),isblank($B474)),"", not(iserror(vlookup($A474&amp;$B474,'3) Release_Label'!$D:$D&amp;'3) Release_Label'!$E:$E,1,0))),vlookup($A474&amp;$B474,{'3) Release_Label'!$D:$D&amp;'3) Release_Label'!$E:$E,'3) Release_Label'!$F:$F},2,0), or(and(not(isblank($B474)),$B474=$B473,$A474&lt;&gt;$A473),and(not(isblank($A474)),$A474=$A473,$B474&lt;&gt;$B473)),"ID LISTS UNALIGNED",and($A474&lt;&gt;"",countif('3) Release_Label'!$D:$D,$A474)=0),"NO UPC MATCH in Release_Label",and($B474&lt;&gt;"",countif('3) Release_Label'!$E:$E,$B474)=0),"NO CATALOG ID MATCH in Release_Label",iserror(vlookup($A474&amp;$B474,'3) Release_Label'!$D:$D&amp;'3) Release_Label'!$E:$E,1,0)),"NO UPC-CATALOG ID pair MATCH in Release_Label" )</f>
        <v/>
      </c>
      <c r="D474" s="121" t="str">
        <f t="array" ref="D474">ifs(and(isblank($A474),isblank($B474)),"", not(iserror(vlookup($A474&amp;$B474,'3) Release_Label'!$D:$D&amp;'3) Release_Label'!$E:$E,1,0))),vlookup($A474&amp;$B474,{'3) Release_Label'!$D:$D&amp;'3) Release_Label'!$E:$E,'3) Release_Label'!$H:$H},2,0), or(and(not(isblank($B474)),$B474=$B473,$A474&lt;&gt;$A473),and(not(isblank($A474)),$A474=$A473,$B474&lt;&gt;$B473)),"ID LISTS UNALIGNED",and($A474&lt;&gt;"",countif('3) Release_Label'!$D:$D,$A474)=0),"NO UPC MATCH in Release_Label",and($B474&lt;&gt;"",countif('3) Release_Label'!$E:$E,$B474)=0),"NO CATALOG ID MATCH in Release_Label",iserror(vlookup($A474&amp;$B474,'3) Release_Label'!$D:$D&amp;'3) Release_Label'!$E:$E,1,0)),"NO UPC-CATALOG ID pair MATCH in Release_Label" )</f>
        <v/>
      </c>
      <c r="E474" s="99"/>
      <c r="F474" s="99"/>
      <c r="G474" s="123" t="str">
        <f t="array" ref="G474">ifs(or($F474="",$F474="Main Primary Artist"),$F474,not(iserror(vlookup($F474,'Reference info'!$J$5:$J$8,1,0))),"Key Artist",not(iserror(vlookup($F474,'Reference info'!$J$38:$J$405,1,0))),"Performer",not(iserror(vlookup($F474,'Reference info'!$J$10:$J$36,1,0))),"Producer &amp; Engineer")</f>
        <v/>
      </c>
    </row>
    <row r="475">
      <c r="A475" s="28"/>
      <c r="B475" s="103"/>
      <c r="C475" s="121" t="str">
        <f t="array" ref="C475">ifs(and(isblank($A475),isblank($B475)),"", not(iserror(vlookup($A475&amp;$B475,'3) Release_Label'!$D:$D&amp;'3) Release_Label'!$E:$E,1,0))),vlookup($A475&amp;$B475,{'3) Release_Label'!$D:$D&amp;'3) Release_Label'!$E:$E,'3) Release_Label'!$F:$F},2,0), or(and(not(isblank($B475)),$B475=$B474,$A475&lt;&gt;$A474),and(not(isblank($A475)),$A475=$A474,$B475&lt;&gt;$B474)),"ID LISTS UNALIGNED",and($A475&lt;&gt;"",countif('3) Release_Label'!$D:$D,$A475)=0),"NO UPC MATCH in Release_Label",and($B475&lt;&gt;"",countif('3) Release_Label'!$E:$E,$B475)=0),"NO CATALOG ID MATCH in Release_Label",iserror(vlookup($A475&amp;$B475,'3) Release_Label'!$D:$D&amp;'3) Release_Label'!$E:$E,1,0)),"NO UPC-CATALOG ID pair MATCH in Release_Label" )</f>
        <v/>
      </c>
      <c r="D475" s="121" t="str">
        <f t="array" ref="D475">ifs(and(isblank($A475),isblank($B475)),"", not(iserror(vlookup($A475&amp;$B475,'3) Release_Label'!$D:$D&amp;'3) Release_Label'!$E:$E,1,0))),vlookup($A475&amp;$B475,{'3) Release_Label'!$D:$D&amp;'3) Release_Label'!$E:$E,'3) Release_Label'!$H:$H},2,0), or(and(not(isblank($B475)),$B475=$B474,$A475&lt;&gt;$A474),and(not(isblank($A475)),$A475=$A474,$B475&lt;&gt;$B474)),"ID LISTS UNALIGNED",and($A475&lt;&gt;"",countif('3) Release_Label'!$D:$D,$A475)=0),"NO UPC MATCH in Release_Label",and($B475&lt;&gt;"",countif('3) Release_Label'!$E:$E,$B475)=0),"NO CATALOG ID MATCH in Release_Label",iserror(vlookup($A475&amp;$B475,'3) Release_Label'!$D:$D&amp;'3) Release_Label'!$E:$E,1,0)),"NO UPC-CATALOG ID pair MATCH in Release_Label" )</f>
        <v/>
      </c>
      <c r="E475" s="99"/>
      <c r="F475" s="99"/>
      <c r="G475" s="123" t="str">
        <f t="array" ref="G475">ifs(or($F475="",$F475="Main Primary Artist"),$F475,not(iserror(vlookup($F475,'Reference info'!$J$5:$J$8,1,0))),"Key Artist",not(iserror(vlookup($F475,'Reference info'!$J$38:$J$405,1,0))),"Performer",not(iserror(vlookup($F475,'Reference info'!$J$10:$J$36,1,0))),"Producer &amp; Engineer")</f>
        <v/>
      </c>
    </row>
    <row r="476">
      <c r="A476" s="28"/>
      <c r="B476" s="103"/>
      <c r="C476" s="121" t="str">
        <f t="array" ref="C476">ifs(and(isblank($A476),isblank($B476)),"", not(iserror(vlookup($A476&amp;$B476,'3) Release_Label'!$D:$D&amp;'3) Release_Label'!$E:$E,1,0))),vlookup($A476&amp;$B476,{'3) Release_Label'!$D:$D&amp;'3) Release_Label'!$E:$E,'3) Release_Label'!$F:$F},2,0), or(and(not(isblank($B476)),$B476=$B475,$A476&lt;&gt;$A475),and(not(isblank($A476)),$A476=$A475,$B476&lt;&gt;$B475)),"ID LISTS UNALIGNED",and($A476&lt;&gt;"",countif('3) Release_Label'!$D:$D,$A476)=0),"NO UPC MATCH in Release_Label",and($B476&lt;&gt;"",countif('3) Release_Label'!$E:$E,$B476)=0),"NO CATALOG ID MATCH in Release_Label",iserror(vlookup($A476&amp;$B476,'3) Release_Label'!$D:$D&amp;'3) Release_Label'!$E:$E,1,0)),"NO UPC-CATALOG ID pair MATCH in Release_Label" )</f>
        <v/>
      </c>
      <c r="D476" s="121" t="str">
        <f t="array" ref="D476">ifs(and(isblank($A476),isblank($B476)),"", not(iserror(vlookup($A476&amp;$B476,'3) Release_Label'!$D:$D&amp;'3) Release_Label'!$E:$E,1,0))),vlookup($A476&amp;$B476,{'3) Release_Label'!$D:$D&amp;'3) Release_Label'!$E:$E,'3) Release_Label'!$H:$H},2,0), or(and(not(isblank($B476)),$B476=$B475,$A476&lt;&gt;$A475),and(not(isblank($A476)),$A476=$A475,$B476&lt;&gt;$B475)),"ID LISTS UNALIGNED",and($A476&lt;&gt;"",countif('3) Release_Label'!$D:$D,$A476)=0),"NO UPC MATCH in Release_Label",and($B476&lt;&gt;"",countif('3) Release_Label'!$E:$E,$B476)=0),"NO CATALOG ID MATCH in Release_Label",iserror(vlookup($A476&amp;$B476,'3) Release_Label'!$D:$D&amp;'3) Release_Label'!$E:$E,1,0)),"NO UPC-CATALOG ID pair MATCH in Release_Label" )</f>
        <v/>
      </c>
      <c r="E476" s="99"/>
      <c r="F476" s="99"/>
      <c r="G476" s="123" t="str">
        <f t="array" ref="G476">ifs(or($F476="",$F476="Main Primary Artist"),$F476,not(iserror(vlookup($F476,'Reference info'!$J$5:$J$8,1,0))),"Key Artist",not(iserror(vlookup($F476,'Reference info'!$J$38:$J$405,1,0))),"Performer",not(iserror(vlookup($F476,'Reference info'!$J$10:$J$36,1,0))),"Producer &amp; Engineer")</f>
        <v/>
      </c>
    </row>
    <row r="477">
      <c r="A477" s="28"/>
      <c r="B477" s="103"/>
      <c r="C477" s="121" t="str">
        <f t="array" ref="C477">ifs(and(isblank($A477),isblank($B477)),"", not(iserror(vlookup($A477&amp;$B477,'3) Release_Label'!$D:$D&amp;'3) Release_Label'!$E:$E,1,0))),vlookup($A477&amp;$B477,{'3) Release_Label'!$D:$D&amp;'3) Release_Label'!$E:$E,'3) Release_Label'!$F:$F},2,0), or(and(not(isblank($B477)),$B477=$B476,$A477&lt;&gt;$A476),and(not(isblank($A477)),$A477=$A476,$B477&lt;&gt;$B476)),"ID LISTS UNALIGNED",and($A477&lt;&gt;"",countif('3) Release_Label'!$D:$D,$A477)=0),"NO UPC MATCH in Release_Label",and($B477&lt;&gt;"",countif('3) Release_Label'!$E:$E,$B477)=0),"NO CATALOG ID MATCH in Release_Label",iserror(vlookup($A477&amp;$B477,'3) Release_Label'!$D:$D&amp;'3) Release_Label'!$E:$E,1,0)),"NO UPC-CATALOG ID pair MATCH in Release_Label" )</f>
        <v/>
      </c>
      <c r="D477" s="121" t="str">
        <f t="array" ref="D477">ifs(and(isblank($A477),isblank($B477)),"", not(iserror(vlookup($A477&amp;$B477,'3) Release_Label'!$D:$D&amp;'3) Release_Label'!$E:$E,1,0))),vlookup($A477&amp;$B477,{'3) Release_Label'!$D:$D&amp;'3) Release_Label'!$E:$E,'3) Release_Label'!$H:$H},2,0), or(and(not(isblank($B477)),$B477=$B476,$A477&lt;&gt;$A476),and(not(isblank($A477)),$A477=$A476,$B477&lt;&gt;$B476)),"ID LISTS UNALIGNED",and($A477&lt;&gt;"",countif('3) Release_Label'!$D:$D,$A477)=0),"NO UPC MATCH in Release_Label",and($B477&lt;&gt;"",countif('3) Release_Label'!$E:$E,$B477)=0),"NO CATALOG ID MATCH in Release_Label",iserror(vlookup($A477&amp;$B477,'3) Release_Label'!$D:$D&amp;'3) Release_Label'!$E:$E,1,0)),"NO UPC-CATALOG ID pair MATCH in Release_Label" )</f>
        <v/>
      </c>
      <c r="E477" s="99"/>
      <c r="F477" s="99"/>
      <c r="G477" s="123" t="str">
        <f t="array" ref="G477">ifs(or($F477="",$F477="Main Primary Artist"),$F477,not(iserror(vlookup($F477,'Reference info'!$J$5:$J$8,1,0))),"Key Artist",not(iserror(vlookup($F477,'Reference info'!$J$38:$J$405,1,0))),"Performer",not(iserror(vlookup($F477,'Reference info'!$J$10:$J$36,1,0))),"Producer &amp; Engineer")</f>
        <v/>
      </c>
    </row>
    <row r="478">
      <c r="A478" s="28"/>
      <c r="B478" s="103"/>
      <c r="C478" s="121" t="str">
        <f t="array" ref="C478">ifs(and(isblank($A478),isblank($B478)),"", not(iserror(vlookup($A478&amp;$B478,'3) Release_Label'!$D:$D&amp;'3) Release_Label'!$E:$E,1,0))),vlookup($A478&amp;$B478,{'3) Release_Label'!$D:$D&amp;'3) Release_Label'!$E:$E,'3) Release_Label'!$F:$F},2,0), or(and(not(isblank($B478)),$B478=$B477,$A478&lt;&gt;$A477),and(not(isblank($A478)),$A478=$A477,$B478&lt;&gt;$B477)),"ID LISTS UNALIGNED",and($A478&lt;&gt;"",countif('3) Release_Label'!$D:$D,$A478)=0),"NO UPC MATCH in Release_Label",and($B478&lt;&gt;"",countif('3) Release_Label'!$E:$E,$B478)=0),"NO CATALOG ID MATCH in Release_Label",iserror(vlookup($A478&amp;$B478,'3) Release_Label'!$D:$D&amp;'3) Release_Label'!$E:$E,1,0)),"NO UPC-CATALOG ID pair MATCH in Release_Label" )</f>
        <v/>
      </c>
      <c r="D478" s="121" t="str">
        <f t="array" ref="D478">ifs(and(isblank($A478),isblank($B478)),"", not(iserror(vlookup($A478&amp;$B478,'3) Release_Label'!$D:$D&amp;'3) Release_Label'!$E:$E,1,0))),vlookup($A478&amp;$B478,{'3) Release_Label'!$D:$D&amp;'3) Release_Label'!$E:$E,'3) Release_Label'!$H:$H},2,0), or(and(not(isblank($B478)),$B478=$B477,$A478&lt;&gt;$A477),and(not(isblank($A478)),$A478=$A477,$B478&lt;&gt;$B477)),"ID LISTS UNALIGNED",and($A478&lt;&gt;"",countif('3) Release_Label'!$D:$D,$A478)=0),"NO UPC MATCH in Release_Label",and($B478&lt;&gt;"",countif('3) Release_Label'!$E:$E,$B478)=0),"NO CATALOG ID MATCH in Release_Label",iserror(vlookup($A478&amp;$B478,'3) Release_Label'!$D:$D&amp;'3) Release_Label'!$E:$E,1,0)),"NO UPC-CATALOG ID pair MATCH in Release_Label" )</f>
        <v/>
      </c>
      <c r="E478" s="99"/>
      <c r="F478" s="99"/>
      <c r="G478" s="123" t="str">
        <f t="array" ref="G478">ifs(or($F478="",$F478="Main Primary Artist"),$F478,not(iserror(vlookup($F478,'Reference info'!$J$5:$J$8,1,0))),"Key Artist",not(iserror(vlookup($F478,'Reference info'!$J$38:$J$405,1,0))),"Performer",not(iserror(vlookup($F478,'Reference info'!$J$10:$J$36,1,0))),"Producer &amp; Engineer")</f>
        <v/>
      </c>
    </row>
    <row r="479">
      <c r="A479" s="28"/>
      <c r="B479" s="103"/>
      <c r="C479" s="121" t="str">
        <f t="array" ref="C479">ifs(and(isblank($A479),isblank($B479)),"", not(iserror(vlookup($A479&amp;$B479,'3) Release_Label'!$D:$D&amp;'3) Release_Label'!$E:$E,1,0))),vlookup($A479&amp;$B479,{'3) Release_Label'!$D:$D&amp;'3) Release_Label'!$E:$E,'3) Release_Label'!$F:$F},2,0), or(and(not(isblank($B479)),$B479=$B478,$A479&lt;&gt;$A478),and(not(isblank($A479)),$A479=$A478,$B479&lt;&gt;$B478)),"ID LISTS UNALIGNED",and($A479&lt;&gt;"",countif('3) Release_Label'!$D:$D,$A479)=0),"NO UPC MATCH in Release_Label",and($B479&lt;&gt;"",countif('3) Release_Label'!$E:$E,$B479)=0),"NO CATALOG ID MATCH in Release_Label",iserror(vlookup($A479&amp;$B479,'3) Release_Label'!$D:$D&amp;'3) Release_Label'!$E:$E,1,0)),"NO UPC-CATALOG ID pair MATCH in Release_Label" )</f>
        <v/>
      </c>
      <c r="D479" s="121" t="str">
        <f t="array" ref="D479">ifs(and(isblank($A479),isblank($B479)),"", not(iserror(vlookup($A479&amp;$B479,'3) Release_Label'!$D:$D&amp;'3) Release_Label'!$E:$E,1,0))),vlookup($A479&amp;$B479,{'3) Release_Label'!$D:$D&amp;'3) Release_Label'!$E:$E,'3) Release_Label'!$H:$H},2,0), or(and(not(isblank($B479)),$B479=$B478,$A479&lt;&gt;$A478),and(not(isblank($A479)),$A479=$A478,$B479&lt;&gt;$B478)),"ID LISTS UNALIGNED",and($A479&lt;&gt;"",countif('3) Release_Label'!$D:$D,$A479)=0),"NO UPC MATCH in Release_Label",and($B479&lt;&gt;"",countif('3) Release_Label'!$E:$E,$B479)=0),"NO CATALOG ID MATCH in Release_Label",iserror(vlookup($A479&amp;$B479,'3) Release_Label'!$D:$D&amp;'3) Release_Label'!$E:$E,1,0)),"NO UPC-CATALOG ID pair MATCH in Release_Label" )</f>
        <v/>
      </c>
      <c r="E479" s="99"/>
      <c r="F479" s="99"/>
      <c r="G479" s="123" t="str">
        <f t="array" ref="G479">ifs(or($F479="",$F479="Main Primary Artist"),$F479,not(iserror(vlookup($F479,'Reference info'!$J$5:$J$8,1,0))),"Key Artist",not(iserror(vlookup($F479,'Reference info'!$J$38:$J$405,1,0))),"Performer",not(iserror(vlookup($F479,'Reference info'!$J$10:$J$36,1,0))),"Producer &amp; Engineer")</f>
        <v/>
      </c>
    </row>
    <row r="480">
      <c r="A480" s="28"/>
      <c r="B480" s="103"/>
      <c r="C480" s="121" t="str">
        <f t="array" ref="C480">ifs(and(isblank($A480),isblank($B480)),"", not(iserror(vlookup($A480&amp;$B480,'3) Release_Label'!$D:$D&amp;'3) Release_Label'!$E:$E,1,0))),vlookup($A480&amp;$B480,{'3) Release_Label'!$D:$D&amp;'3) Release_Label'!$E:$E,'3) Release_Label'!$F:$F},2,0), or(and(not(isblank($B480)),$B480=$B479,$A480&lt;&gt;$A479),and(not(isblank($A480)),$A480=$A479,$B480&lt;&gt;$B479)),"ID LISTS UNALIGNED",and($A480&lt;&gt;"",countif('3) Release_Label'!$D:$D,$A480)=0),"NO UPC MATCH in Release_Label",and($B480&lt;&gt;"",countif('3) Release_Label'!$E:$E,$B480)=0),"NO CATALOG ID MATCH in Release_Label",iserror(vlookup($A480&amp;$B480,'3) Release_Label'!$D:$D&amp;'3) Release_Label'!$E:$E,1,0)),"NO UPC-CATALOG ID pair MATCH in Release_Label" )</f>
        <v/>
      </c>
      <c r="D480" s="121" t="str">
        <f t="array" ref="D480">ifs(and(isblank($A480),isblank($B480)),"", not(iserror(vlookup($A480&amp;$B480,'3) Release_Label'!$D:$D&amp;'3) Release_Label'!$E:$E,1,0))),vlookup($A480&amp;$B480,{'3) Release_Label'!$D:$D&amp;'3) Release_Label'!$E:$E,'3) Release_Label'!$H:$H},2,0), or(and(not(isblank($B480)),$B480=$B479,$A480&lt;&gt;$A479),and(not(isblank($A480)),$A480=$A479,$B480&lt;&gt;$B479)),"ID LISTS UNALIGNED",and($A480&lt;&gt;"",countif('3) Release_Label'!$D:$D,$A480)=0),"NO UPC MATCH in Release_Label",and($B480&lt;&gt;"",countif('3) Release_Label'!$E:$E,$B480)=0),"NO CATALOG ID MATCH in Release_Label",iserror(vlookup($A480&amp;$B480,'3) Release_Label'!$D:$D&amp;'3) Release_Label'!$E:$E,1,0)),"NO UPC-CATALOG ID pair MATCH in Release_Label" )</f>
        <v/>
      </c>
      <c r="E480" s="99"/>
      <c r="F480" s="99"/>
      <c r="G480" s="123" t="str">
        <f t="array" ref="G480">ifs(or($F480="",$F480="Main Primary Artist"),$F480,not(iserror(vlookup($F480,'Reference info'!$J$5:$J$8,1,0))),"Key Artist",not(iserror(vlookup($F480,'Reference info'!$J$38:$J$405,1,0))),"Performer",not(iserror(vlookup($F480,'Reference info'!$J$10:$J$36,1,0))),"Producer &amp; Engineer")</f>
        <v/>
      </c>
    </row>
    <row r="481">
      <c r="A481" s="28"/>
      <c r="B481" s="103"/>
      <c r="C481" s="121" t="str">
        <f t="array" ref="C481">ifs(and(isblank($A481),isblank($B481)),"", not(iserror(vlookup($A481&amp;$B481,'3) Release_Label'!$D:$D&amp;'3) Release_Label'!$E:$E,1,0))),vlookup($A481&amp;$B481,{'3) Release_Label'!$D:$D&amp;'3) Release_Label'!$E:$E,'3) Release_Label'!$F:$F},2,0), or(and(not(isblank($B481)),$B481=$B480,$A481&lt;&gt;$A480),and(not(isblank($A481)),$A481=$A480,$B481&lt;&gt;$B480)),"ID LISTS UNALIGNED",and($A481&lt;&gt;"",countif('3) Release_Label'!$D:$D,$A481)=0),"NO UPC MATCH in Release_Label",and($B481&lt;&gt;"",countif('3) Release_Label'!$E:$E,$B481)=0),"NO CATALOG ID MATCH in Release_Label",iserror(vlookup($A481&amp;$B481,'3) Release_Label'!$D:$D&amp;'3) Release_Label'!$E:$E,1,0)),"NO UPC-CATALOG ID pair MATCH in Release_Label" )</f>
        <v/>
      </c>
      <c r="D481" s="121" t="str">
        <f t="array" ref="D481">ifs(and(isblank($A481),isblank($B481)),"", not(iserror(vlookup($A481&amp;$B481,'3) Release_Label'!$D:$D&amp;'3) Release_Label'!$E:$E,1,0))),vlookup($A481&amp;$B481,{'3) Release_Label'!$D:$D&amp;'3) Release_Label'!$E:$E,'3) Release_Label'!$H:$H},2,0), or(and(not(isblank($B481)),$B481=$B480,$A481&lt;&gt;$A480),and(not(isblank($A481)),$A481=$A480,$B481&lt;&gt;$B480)),"ID LISTS UNALIGNED",and($A481&lt;&gt;"",countif('3) Release_Label'!$D:$D,$A481)=0),"NO UPC MATCH in Release_Label",and($B481&lt;&gt;"",countif('3) Release_Label'!$E:$E,$B481)=0),"NO CATALOG ID MATCH in Release_Label",iserror(vlookup($A481&amp;$B481,'3) Release_Label'!$D:$D&amp;'3) Release_Label'!$E:$E,1,0)),"NO UPC-CATALOG ID pair MATCH in Release_Label" )</f>
        <v/>
      </c>
      <c r="E481" s="99"/>
      <c r="F481" s="99"/>
      <c r="G481" s="123" t="str">
        <f t="array" ref="G481">ifs(or($F481="",$F481="Main Primary Artist"),$F481,not(iserror(vlookup($F481,'Reference info'!$J$5:$J$8,1,0))),"Key Artist",not(iserror(vlookup($F481,'Reference info'!$J$38:$J$405,1,0))),"Performer",not(iserror(vlookup($F481,'Reference info'!$J$10:$J$36,1,0))),"Producer &amp; Engineer")</f>
        <v/>
      </c>
    </row>
    <row r="482">
      <c r="A482" s="28"/>
      <c r="B482" s="103"/>
      <c r="C482" s="121" t="str">
        <f t="array" ref="C482">ifs(and(isblank($A482),isblank($B482)),"", not(iserror(vlookup($A482&amp;$B482,'3) Release_Label'!$D:$D&amp;'3) Release_Label'!$E:$E,1,0))),vlookup($A482&amp;$B482,{'3) Release_Label'!$D:$D&amp;'3) Release_Label'!$E:$E,'3) Release_Label'!$F:$F},2,0), or(and(not(isblank($B482)),$B482=$B481,$A482&lt;&gt;$A481),and(not(isblank($A482)),$A482=$A481,$B482&lt;&gt;$B481)),"ID LISTS UNALIGNED",and($A482&lt;&gt;"",countif('3) Release_Label'!$D:$D,$A482)=0),"NO UPC MATCH in Release_Label",and($B482&lt;&gt;"",countif('3) Release_Label'!$E:$E,$B482)=0),"NO CATALOG ID MATCH in Release_Label",iserror(vlookup($A482&amp;$B482,'3) Release_Label'!$D:$D&amp;'3) Release_Label'!$E:$E,1,0)),"NO UPC-CATALOG ID pair MATCH in Release_Label" )</f>
        <v/>
      </c>
      <c r="D482" s="121" t="str">
        <f t="array" ref="D482">ifs(and(isblank($A482),isblank($B482)),"", not(iserror(vlookup($A482&amp;$B482,'3) Release_Label'!$D:$D&amp;'3) Release_Label'!$E:$E,1,0))),vlookup($A482&amp;$B482,{'3) Release_Label'!$D:$D&amp;'3) Release_Label'!$E:$E,'3) Release_Label'!$H:$H},2,0), or(and(not(isblank($B482)),$B482=$B481,$A482&lt;&gt;$A481),and(not(isblank($A482)),$A482=$A481,$B482&lt;&gt;$B481)),"ID LISTS UNALIGNED",and($A482&lt;&gt;"",countif('3) Release_Label'!$D:$D,$A482)=0),"NO UPC MATCH in Release_Label",and($B482&lt;&gt;"",countif('3) Release_Label'!$E:$E,$B482)=0),"NO CATALOG ID MATCH in Release_Label",iserror(vlookup($A482&amp;$B482,'3) Release_Label'!$D:$D&amp;'3) Release_Label'!$E:$E,1,0)),"NO UPC-CATALOG ID pair MATCH in Release_Label" )</f>
        <v/>
      </c>
      <c r="E482" s="99"/>
      <c r="F482" s="99"/>
      <c r="G482" s="123" t="str">
        <f t="array" ref="G482">ifs(or($F482="",$F482="Main Primary Artist"),$F482,not(iserror(vlookup($F482,'Reference info'!$J$5:$J$8,1,0))),"Key Artist",not(iserror(vlookup($F482,'Reference info'!$J$38:$J$405,1,0))),"Performer",not(iserror(vlookup($F482,'Reference info'!$J$10:$J$36,1,0))),"Producer &amp; Engineer")</f>
        <v/>
      </c>
    </row>
    <row r="483">
      <c r="A483" s="28"/>
      <c r="B483" s="103"/>
      <c r="C483" s="121" t="str">
        <f t="array" ref="C483">ifs(and(isblank($A483),isblank($B483)),"", not(iserror(vlookup($A483&amp;$B483,'3) Release_Label'!$D:$D&amp;'3) Release_Label'!$E:$E,1,0))),vlookup($A483&amp;$B483,{'3) Release_Label'!$D:$D&amp;'3) Release_Label'!$E:$E,'3) Release_Label'!$F:$F},2,0), or(and(not(isblank($B483)),$B483=$B482,$A483&lt;&gt;$A482),and(not(isblank($A483)),$A483=$A482,$B483&lt;&gt;$B482)),"ID LISTS UNALIGNED",and($A483&lt;&gt;"",countif('3) Release_Label'!$D:$D,$A483)=0),"NO UPC MATCH in Release_Label",and($B483&lt;&gt;"",countif('3) Release_Label'!$E:$E,$B483)=0),"NO CATALOG ID MATCH in Release_Label",iserror(vlookup($A483&amp;$B483,'3) Release_Label'!$D:$D&amp;'3) Release_Label'!$E:$E,1,0)),"NO UPC-CATALOG ID pair MATCH in Release_Label" )</f>
        <v/>
      </c>
      <c r="D483" s="121" t="str">
        <f t="array" ref="D483">ifs(and(isblank($A483),isblank($B483)),"", not(iserror(vlookup($A483&amp;$B483,'3) Release_Label'!$D:$D&amp;'3) Release_Label'!$E:$E,1,0))),vlookup($A483&amp;$B483,{'3) Release_Label'!$D:$D&amp;'3) Release_Label'!$E:$E,'3) Release_Label'!$H:$H},2,0), or(and(not(isblank($B483)),$B483=$B482,$A483&lt;&gt;$A482),and(not(isblank($A483)),$A483=$A482,$B483&lt;&gt;$B482)),"ID LISTS UNALIGNED",and($A483&lt;&gt;"",countif('3) Release_Label'!$D:$D,$A483)=0),"NO UPC MATCH in Release_Label",and($B483&lt;&gt;"",countif('3) Release_Label'!$E:$E,$B483)=0),"NO CATALOG ID MATCH in Release_Label",iserror(vlookup($A483&amp;$B483,'3) Release_Label'!$D:$D&amp;'3) Release_Label'!$E:$E,1,0)),"NO UPC-CATALOG ID pair MATCH in Release_Label" )</f>
        <v/>
      </c>
      <c r="E483" s="99"/>
      <c r="F483" s="99"/>
      <c r="G483" s="123" t="str">
        <f t="array" ref="G483">ifs(or($F483="",$F483="Main Primary Artist"),$F483,not(iserror(vlookup($F483,'Reference info'!$J$5:$J$8,1,0))),"Key Artist",not(iserror(vlookup($F483,'Reference info'!$J$38:$J$405,1,0))),"Performer",not(iserror(vlookup($F483,'Reference info'!$J$10:$J$36,1,0))),"Producer &amp; Engineer")</f>
        <v/>
      </c>
    </row>
    <row r="484">
      <c r="A484" s="28"/>
      <c r="B484" s="103"/>
      <c r="C484" s="121" t="str">
        <f t="array" ref="C484">ifs(and(isblank($A484),isblank($B484)),"", not(iserror(vlookup($A484&amp;$B484,'3) Release_Label'!$D:$D&amp;'3) Release_Label'!$E:$E,1,0))),vlookup($A484&amp;$B484,{'3) Release_Label'!$D:$D&amp;'3) Release_Label'!$E:$E,'3) Release_Label'!$F:$F},2,0), or(and(not(isblank($B484)),$B484=$B483,$A484&lt;&gt;$A483),and(not(isblank($A484)),$A484=$A483,$B484&lt;&gt;$B483)),"ID LISTS UNALIGNED",and($A484&lt;&gt;"",countif('3) Release_Label'!$D:$D,$A484)=0),"NO UPC MATCH in Release_Label",and($B484&lt;&gt;"",countif('3) Release_Label'!$E:$E,$B484)=0),"NO CATALOG ID MATCH in Release_Label",iserror(vlookup($A484&amp;$B484,'3) Release_Label'!$D:$D&amp;'3) Release_Label'!$E:$E,1,0)),"NO UPC-CATALOG ID pair MATCH in Release_Label" )</f>
        <v/>
      </c>
      <c r="D484" s="121" t="str">
        <f t="array" ref="D484">ifs(and(isblank($A484),isblank($B484)),"", not(iserror(vlookup($A484&amp;$B484,'3) Release_Label'!$D:$D&amp;'3) Release_Label'!$E:$E,1,0))),vlookup($A484&amp;$B484,{'3) Release_Label'!$D:$D&amp;'3) Release_Label'!$E:$E,'3) Release_Label'!$H:$H},2,0), or(and(not(isblank($B484)),$B484=$B483,$A484&lt;&gt;$A483),and(not(isblank($A484)),$A484=$A483,$B484&lt;&gt;$B483)),"ID LISTS UNALIGNED",and($A484&lt;&gt;"",countif('3) Release_Label'!$D:$D,$A484)=0),"NO UPC MATCH in Release_Label",and($B484&lt;&gt;"",countif('3) Release_Label'!$E:$E,$B484)=0),"NO CATALOG ID MATCH in Release_Label",iserror(vlookup($A484&amp;$B484,'3) Release_Label'!$D:$D&amp;'3) Release_Label'!$E:$E,1,0)),"NO UPC-CATALOG ID pair MATCH in Release_Label" )</f>
        <v/>
      </c>
      <c r="E484" s="99"/>
      <c r="F484" s="99"/>
      <c r="G484" s="123" t="str">
        <f t="array" ref="G484">ifs(or($F484="",$F484="Main Primary Artist"),$F484,not(iserror(vlookup($F484,'Reference info'!$J$5:$J$8,1,0))),"Key Artist",not(iserror(vlookup($F484,'Reference info'!$J$38:$J$405,1,0))),"Performer",not(iserror(vlookup($F484,'Reference info'!$J$10:$J$36,1,0))),"Producer &amp; Engineer")</f>
        <v/>
      </c>
    </row>
    <row r="485">
      <c r="A485" s="28"/>
      <c r="B485" s="103"/>
      <c r="C485" s="121" t="str">
        <f t="array" ref="C485">ifs(and(isblank($A485),isblank($B485)),"", not(iserror(vlookup($A485&amp;$B485,'3) Release_Label'!$D:$D&amp;'3) Release_Label'!$E:$E,1,0))),vlookup($A485&amp;$B485,{'3) Release_Label'!$D:$D&amp;'3) Release_Label'!$E:$E,'3) Release_Label'!$F:$F},2,0), or(and(not(isblank($B485)),$B485=$B484,$A485&lt;&gt;$A484),and(not(isblank($A485)),$A485=$A484,$B485&lt;&gt;$B484)),"ID LISTS UNALIGNED",and($A485&lt;&gt;"",countif('3) Release_Label'!$D:$D,$A485)=0),"NO UPC MATCH in Release_Label",and($B485&lt;&gt;"",countif('3) Release_Label'!$E:$E,$B485)=0),"NO CATALOG ID MATCH in Release_Label",iserror(vlookup($A485&amp;$B485,'3) Release_Label'!$D:$D&amp;'3) Release_Label'!$E:$E,1,0)),"NO UPC-CATALOG ID pair MATCH in Release_Label" )</f>
        <v/>
      </c>
      <c r="D485" s="121" t="str">
        <f t="array" ref="D485">ifs(and(isblank($A485),isblank($B485)),"", not(iserror(vlookup($A485&amp;$B485,'3) Release_Label'!$D:$D&amp;'3) Release_Label'!$E:$E,1,0))),vlookup($A485&amp;$B485,{'3) Release_Label'!$D:$D&amp;'3) Release_Label'!$E:$E,'3) Release_Label'!$H:$H},2,0), or(and(not(isblank($B485)),$B485=$B484,$A485&lt;&gt;$A484),and(not(isblank($A485)),$A485=$A484,$B485&lt;&gt;$B484)),"ID LISTS UNALIGNED",and($A485&lt;&gt;"",countif('3) Release_Label'!$D:$D,$A485)=0),"NO UPC MATCH in Release_Label",and($B485&lt;&gt;"",countif('3) Release_Label'!$E:$E,$B485)=0),"NO CATALOG ID MATCH in Release_Label",iserror(vlookup($A485&amp;$B485,'3) Release_Label'!$D:$D&amp;'3) Release_Label'!$E:$E,1,0)),"NO UPC-CATALOG ID pair MATCH in Release_Label" )</f>
        <v/>
      </c>
      <c r="E485" s="99"/>
      <c r="F485" s="99"/>
      <c r="G485" s="123" t="str">
        <f t="array" ref="G485">ifs(or($F485="",$F485="Main Primary Artist"),$F485,not(iserror(vlookup($F485,'Reference info'!$J$5:$J$8,1,0))),"Key Artist",not(iserror(vlookup($F485,'Reference info'!$J$38:$J$405,1,0))),"Performer",not(iserror(vlookup($F485,'Reference info'!$J$10:$J$36,1,0))),"Producer &amp; Engineer")</f>
        <v/>
      </c>
    </row>
    <row r="486">
      <c r="A486" s="28"/>
      <c r="B486" s="103"/>
      <c r="C486" s="121" t="str">
        <f t="array" ref="C486">ifs(and(isblank($A486),isblank($B486)),"", not(iserror(vlookup($A486&amp;$B486,'3) Release_Label'!$D:$D&amp;'3) Release_Label'!$E:$E,1,0))),vlookup($A486&amp;$B486,{'3) Release_Label'!$D:$D&amp;'3) Release_Label'!$E:$E,'3) Release_Label'!$F:$F},2,0), or(and(not(isblank($B486)),$B486=$B485,$A486&lt;&gt;$A485),and(not(isblank($A486)),$A486=$A485,$B486&lt;&gt;$B485)),"ID LISTS UNALIGNED",and($A486&lt;&gt;"",countif('3) Release_Label'!$D:$D,$A486)=0),"NO UPC MATCH in Release_Label",and($B486&lt;&gt;"",countif('3) Release_Label'!$E:$E,$B486)=0),"NO CATALOG ID MATCH in Release_Label",iserror(vlookup($A486&amp;$B486,'3) Release_Label'!$D:$D&amp;'3) Release_Label'!$E:$E,1,0)),"NO UPC-CATALOG ID pair MATCH in Release_Label" )</f>
        <v/>
      </c>
      <c r="D486" s="121" t="str">
        <f t="array" ref="D486">ifs(and(isblank($A486),isblank($B486)),"", not(iserror(vlookup($A486&amp;$B486,'3) Release_Label'!$D:$D&amp;'3) Release_Label'!$E:$E,1,0))),vlookup($A486&amp;$B486,{'3) Release_Label'!$D:$D&amp;'3) Release_Label'!$E:$E,'3) Release_Label'!$H:$H},2,0), or(and(not(isblank($B486)),$B486=$B485,$A486&lt;&gt;$A485),and(not(isblank($A486)),$A486=$A485,$B486&lt;&gt;$B485)),"ID LISTS UNALIGNED",and($A486&lt;&gt;"",countif('3) Release_Label'!$D:$D,$A486)=0),"NO UPC MATCH in Release_Label",and($B486&lt;&gt;"",countif('3) Release_Label'!$E:$E,$B486)=0),"NO CATALOG ID MATCH in Release_Label",iserror(vlookup($A486&amp;$B486,'3) Release_Label'!$D:$D&amp;'3) Release_Label'!$E:$E,1,0)),"NO UPC-CATALOG ID pair MATCH in Release_Label" )</f>
        <v/>
      </c>
      <c r="E486" s="99"/>
      <c r="F486" s="99"/>
      <c r="G486" s="123" t="str">
        <f t="array" ref="G486">ifs(or($F486="",$F486="Main Primary Artist"),$F486,not(iserror(vlookup($F486,'Reference info'!$J$5:$J$8,1,0))),"Key Artist",not(iserror(vlookup($F486,'Reference info'!$J$38:$J$405,1,0))),"Performer",not(iserror(vlookup($F486,'Reference info'!$J$10:$J$36,1,0))),"Producer &amp; Engineer")</f>
        <v/>
      </c>
    </row>
    <row r="487">
      <c r="A487" s="28"/>
      <c r="B487" s="103"/>
      <c r="C487" s="121" t="str">
        <f t="array" ref="C487">ifs(and(isblank($A487),isblank($B487)),"", not(iserror(vlookup($A487&amp;$B487,'3) Release_Label'!$D:$D&amp;'3) Release_Label'!$E:$E,1,0))),vlookup($A487&amp;$B487,{'3) Release_Label'!$D:$D&amp;'3) Release_Label'!$E:$E,'3) Release_Label'!$F:$F},2,0), or(and(not(isblank($B487)),$B487=$B486,$A487&lt;&gt;$A486),and(not(isblank($A487)),$A487=$A486,$B487&lt;&gt;$B486)),"ID LISTS UNALIGNED",and($A487&lt;&gt;"",countif('3) Release_Label'!$D:$D,$A487)=0),"NO UPC MATCH in Release_Label",and($B487&lt;&gt;"",countif('3) Release_Label'!$E:$E,$B487)=0),"NO CATALOG ID MATCH in Release_Label",iserror(vlookup($A487&amp;$B487,'3) Release_Label'!$D:$D&amp;'3) Release_Label'!$E:$E,1,0)),"NO UPC-CATALOG ID pair MATCH in Release_Label" )</f>
        <v/>
      </c>
      <c r="D487" s="121" t="str">
        <f t="array" ref="D487">ifs(and(isblank($A487),isblank($B487)),"", not(iserror(vlookup($A487&amp;$B487,'3) Release_Label'!$D:$D&amp;'3) Release_Label'!$E:$E,1,0))),vlookup($A487&amp;$B487,{'3) Release_Label'!$D:$D&amp;'3) Release_Label'!$E:$E,'3) Release_Label'!$H:$H},2,0), or(and(not(isblank($B487)),$B487=$B486,$A487&lt;&gt;$A486),and(not(isblank($A487)),$A487=$A486,$B487&lt;&gt;$B486)),"ID LISTS UNALIGNED",and($A487&lt;&gt;"",countif('3) Release_Label'!$D:$D,$A487)=0),"NO UPC MATCH in Release_Label",and($B487&lt;&gt;"",countif('3) Release_Label'!$E:$E,$B487)=0),"NO CATALOG ID MATCH in Release_Label",iserror(vlookup($A487&amp;$B487,'3) Release_Label'!$D:$D&amp;'3) Release_Label'!$E:$E,1,0)),"NO UPC-CATALOG ID pair MATCH in Release_Label" )</f>
        <v/>
      </c>
      <c r="E487" s="99"/>
      <c r="F487" s="99"/>
      <c r="G487" s="123" t="str">
        <f t="array" ref="G487">ifs(or($F487="",$F487="Main Primary Artist"),$F487,not(iserror(vlookup($F487,'Reference info'!$J$5:$J$8,1,0))),"Key Artist",not(iserror(vlookup($F487,'Reference info'!$J$38:$J$405,1,0))),"Performer",not(iserror(vlookup($F487,'Reference info'!$J$10:$J$36,1,0))),"Producer &amp; Engineer")</f>
        <v/>
      </c>
    </row>
    <row r="488">
      <c r="A488" s="28"/>
      <c r="B488" s="103"/>
      <c r="C488" s="121" t="str">
        <f t="array" ref="C488">ifs(and(isblank($A488),isblank($B488)),"", not(iserror(vlookup($A488&amp;$B488,'3) Release_Label'!$D:$D&amp;'3) Release_Label'!$E:$E,1,0))),vlookup($A488&amp;$B488,{'3) Release_Label'!$D:$D&amp;'3) Release_Label'!$E:$E,'3) Release_Label'!$F:$F},2,0), or(and(not(isblank($B488)),$B488=$B487,$A488&lt;&gt;$A487),and(not(isblank($A488)),$A488=$A487,$B488&lt;&gt;$B487)),"ID LISTS UNALIGNED",and($A488&lt;&gt;"",countif('3) Release_Label'!$D:$D,$A488)=0),"NO UPC MATCH in Release_Label",and($B488&lt;&gt;"",countif('3) Release_Label'!$E:$E,$B488)=0),"NO CATALOG ID MATCH in Release_Label",iserror(vlookup($A488&amp;$B488,'3) Release_Label'!$D:$D&amp;'3) Release_Label'!$E:$E,1,0)),"NO UPC-CATALOG ID pair MATCH in Release_Label" )</f>
        <v/>
      </c>
      <c r="D488" s="121" t="str">
        <f t="array" ref="D488">ifs(and(isblank($A488),isblank($B488)),"", not(iserror(vlookup($A488&amp;$B488,'3) Release_Label'!$D:$D&amp;'3) Release_Label'!$E:$E,1,0))),vlookup($A488&amp;$B488,{'3) Release_Label'!$D:$D&amp;'3) Release_Label'!$E:$E,'3) Release_Label'!$H:$H},2,0), or(and(not(isblank($B488)),$B488=$B487,$A488&lt;&gt;$A487),and(not(isblank($A488)),$A488=$A487,$B488&lt;&gt;$B487)),"ID LISTS UNALIGNED",and($A488&lt;&gt;"",countif('3) Release_Label'!$D:$D,$A488)=0),"NO UPC MATCH in Release_Label",and($B488&lt;&gt;"",countif('3) Release_Label'!$E:$E,$B488)=0),"NO CATALOG ID MATCH in Release_Label",iserror(vlookup($A488&amp;$B488,'3) Release_Label'!$D:$D&amp;'3) Release_Label'!$E:$E,1,0)),"NO UPC-CATALOG ID pair MATCH in Release_Label" )</f>
        <v/>
      </c>
      <c r="E488" s="99"/>
      <c r="F488" s="99"/>
      <c r="G488" s="123" t="str">
        <f t="array" ref="G488">ifs(or($F488="",$F488="Main Primary Artist"),$F488,not(iserror(vlookup($F488,'Reference info'!$J$5:$J$8,1,0))),"Key Artist",not(iserror(vlookup($F488,'Reference info'!$J$38:$J$405,1,0))),"Performer",not(iserror(vlookup($F488,'Reference info'!$J$10:$J$36,1,0))),"Producer &amp; Engineer")</f>
        <v/>
      </c>
    </row>
    <row r="489">
      <c r="A489" s="28"/>
      <c r="B489" s="103"/>
      <c r="C489" s="121" t="str">
        <f t="array" ref="C489">ifs(and(isblank($A489),isblank($B489)),"", not(iserror(vlookup($A489&amp;$B489,'3) Release_Label'!$D:$D&amp;'3) Release_Label'!$E:$E,1,0))),vlookup($A489&amp;$B489,{'3) Release_Label'!$D:$D&amp;'3) Release_Label'!$E:$E,'3) Release_Label'!$F:$F},2,0), or(and(not(isblank($B489)),$B489=$B488,$A489&lt;&gt;$A488),and(not(isblank($A489)),$A489=$A488,$B489&lt;&gt;$B488)),"ID LISTS UNALIGNED",and($A489&lt;&gt;"",countif('3) Release_Label'!$D:$D,$A489)=0),"NO UPC MATCH in Release_Label",and($B489&lt;&gt;"",countif('3) Release_Label'!$E:$E,$B489)=0),"NO CATALOG ID MATCH in Release_Label",iserror(vlookup($A489&amp;$B489,'3) Release_Label'!$D:$D&amp;'3) Release_Label'!$E:$E,1,0)),"NO UPC-CATALOG ID pair MATCH in Release_Label" )</f>
        <v/>
      </c>
      <c r="D489" s="121" t="str">
        <f t="array" ref="D489">ifs(and(isblank($A489),isblank($B489)),"", not(iserror(vlookup($A489&amp;$B489,'3) Release_Label'!$D:$D&amp;'3) Release_Label'!$E:$E,1,0))),vlookup($A489&amp;$B489,{'3) Release_Label'!$D:$D&amp;'3) Release_Label'!$E:$E,'3) Release_Label'!$H:$H},2,0), or(and(not(isblank($B489)),$B489=$B488,$A489&lt;&gt;$A488),and(not(isblank($A489)),$A489=$A488,$B489&lt;&gt;$B488)),"ID LISTS UNALIGNED",and($A489&lt;&gt;"",countif('3) Release_Label'!$D:$D,$A489)=0),"NO UPC MATCH in Release_Label",and($B489&lt;&gt;"",countif('3) Release_Label'!$E:$E,$B489)=0),"NO CATALOG ID MATCH in Release_Label",iserror(vlookup($A489&amp;$B489,'3) Release_Label'!$D:$D&amp;'3) Release_Label'!$E:$E,1,0)),"NO UPC-CATALOG ID pair MATCH in Release_Label" )</f>
        <v/>
      </c>
      <c r="E489" s="99"/>
      <c r="F489" s="99"/>
      <c r="G489" s="123" t="str">
        <f t="array" ref="G489">ifs(or($F489="",$F489="Main Primary Artist"),$F489,not(iserror(vlookup($F489,'Reference info'!$J$5:$J$8,1,0))),"Key Artist",not(iserror(vlookup($F489,'Reference info'!$J$38:$J$405,1,0))),"Performer",not(iserror(vlookup($F489,'Reference info'!$J$10:$J$36,1,0))),"Producer &amp; Engineer")</f>
        <v/>
      </c>
    </row>
    <row r="490">
      <c r="A490" s="28"/>
      <c r="B490" s="103"/>
      <c r="C490" s="121" t="str">
        <f t="array" ref="C490">ifs(and(isblank($A490),isblank($B490)),"", not(iserror(vlookup($A490&amp;$B490,'3) Release_Label'!$D:$D&amp;'3) Release_Label'!$E:$E,1,0))),vlookup($A490&amp;$B490,{'3) Release_Label'!$D:$D&amp;'3) Release_Label'!$E:$E,'3) Release_Label'!$F:$F},2,0), or(and(not(isblank($B490)),$B490=$B489,$A490&lt;&gt;$A489),and(not(isblank($A490)),$A490=$A489,$B490&lt;&gt;$B489)),"ID LISTS UNALIGNED",and($A490&lt;&gt;"",countif('3) Release_Label'!$D:$D,$A490)=0),"NO UPC MATCH in Release_Label",and($B490&lt;&gt;"",countif('3) Release_Label'!$E:$E,$B490)=0),"NO CATALOG ID MATCH in Release_Label",iserror(vlookup($A490&amp;$B490,'3) Release_Label'!$D:$D&amp;'3) Release_Label'!$E:$E,1,0)),"NO UPC-CATALOG ID pair MATCH in Release_Label" )</f>
        <v/>
      </c>
      <c r="D490" s="121" t="str">
        <f t="array" ref="D490">ifs(and(isblank($A490),isblank($B490)),"", not(iserror(vlookup($A490&amp;$B490,'3) Release_Label'!$D:$D&amp;'3) Release_Label'!$E:$E,1,0))),vlookup($A490&amp;$B490,{'3) Release_Label'!$D:$D&amp;'3) Release_Label'!$E:$E,'3) Release_Label'!$H:$H},2,0), or(and(not(isblank($B490)),$B490=$B489,$A490&lt;&gt;$A489),and(not(isblank($A490)),$A490=$A489,$B490&lt;&gt;$B489)),"ID LISTS UNALIGNED",and($A490&lt;&gt;"",countif('3) Release_Label'!$D:$D,$A490)=0),"NO UPC MATCH in Release_Label",and($B490&lt;&gt;"",countif('3) Release_Label'!$E:$E,$B490)=0),"NO CATALOG ID MATCH in Release_Label",iserror(vlookup($A490&amp;$B490,'3) Release_Label'!$D:$D&amp;'3) Release_Label'!$E:$E,1,0)),"NO UPC-CATALOG ID pair MATCH in Release_Label" )</f>
        <v/>
      </c>
      <c r="E490" s="99"/>
      <c r="F490" s="99"/>
      <c r="G490" s="123" t="str">
        <f t="array" ref="G490">ifs(or($F490="",$F490="Main Primary Artist"),$F490,not(iserror(vlookup($F490,'Reference info'!$J$5:$J$8,1,0))),"Key Artist",not(iserror(vlookup($F490,'Reference info'!$J$38:$J$405,1,0))),"Performer",not(iserror(vlookup($F490,'Reference info'!$J$10:$J$36,1,0))),"Producer &amp; Engineer")</f>
        <v/>
      </c>
    </row>
    <row r="491">
      <c r="A491" s="28"/>
      <c r="B491" s="103"/>
      <c r="C491" s="121" t="str">
        <f t="array" ref="C491">ifs(and(isblank($A491),isblank($B491)),"", not(iserror(vlookup($A491&amp;$B491,'3) Release_Label'!$D:$D&amp;'3) Release_Label'!$E:$E,1,0))),vlookup($A491&amp;$B491,{'3) Release_Label'!$D:$D&amp;'3) Release_Label'!$E:$E,'3) Release_Label'!$F:$F},2,0), or(and(not(isblank($B491)),$B491=$B490,$A491&lt;&gt;$A490),and(not(isblank($A491)),$A491=$A490,$B491&lt;&gt;$B490)),"ID LISTS UNALIGNED",and($A491&lt;&gt;"",countif('3) Release_Label'!$D:$D,$A491)=0),"NO UPC MATCH in Release_Label",and($B491&lt;&gt;"",countif('3) Release_Label'!$E:$E,$B491)=0),"NO CATALOG ID MATCH in Release_Label",iserror(vlookup($A491&amp;$B491,'3) Release_Label'!$D:$D&amp;'3) Release_Label'!$E:$E,1,0)),"NO UPC-CATALOG ID pair MATCH in Release_Label" )</f>
        <v/>
      </c>
      <c r="D491" s="121" t="str">
        <f t="array" ref="D491">ifs(and(isblank($A491),isblank($B491)),"", not(iserror(vlookup($A491&amp;$B491,'3) Release_Label'!$D:$D&amp;'3) Release_Label'!$E:$E,1,0))),vlookup($A491&amp;$B491,{'3) Release_Label'!$D:$D&amp;'3) Release_Label'!$E:$E,'3) Release_Label'!$H:$H},2,0), or(and(not(isblank($B491)),$B491=$B490,$A491&lt;&gt;$A490),and(not(isblank($A491)),$A491=$A490,$B491&lt;&gt;$B490)),"ID LISTS UNALIGNED",and($A491&lt;&gt;"",countif('3) Release_Label'!$D:$D,$A491)=0),"NO UPC MATCH in Release_Label",and($B491&lt;&gt;"",countif('3) Release_Label'!$E:$E,$B491)=0),"NO CATALOG ID MATCH in Release_Label",iserror(vlookup($A491&amp;$B491,'3) Release_Label'!$D:$D&amp;'3) Release_Label'!$E:$E,1,0)),"NO UPC-CATALOG ID pair MATCH in Release_Label" )</f>
        <v/>
      </c>
      <c r="E491" s="99"/>
      <c r="F491" s="99"/>
      <c r="G491" s="123" t="str">
        <f t="array" ref="G491">ifs(or($F491="",$F491="Main Primary Artist"),$F491,not(iserror(vlookup($F491,'Reference info'!$J$5:$J$8,1,0))),"Key Artist",not(iserror(vlookup($F491,'Reference info'!$J$38:$J$405,1,0))),"Performer",not(iserror(vlookup($F491,'Reference info'!$J$10:$J$36,1,0))),"Producer &amp; Engineer")</f>
        <v/>
      </c>
    </row>
    <row r="492">
      <c r="A492" s="28"/>
      <c r="B492" s="103"/>
      <c r="C492" s="121" t="str">
        <f t="array" ref="C492">ifs(and(isblank($A492),isblank($B492)),"", not(iserror(vlookup($A492&amp;$B492,'3) Release_Label'!$D:$D&amp;'3) Release_Label'!$E:$E,1,0))),vlookup($A492&amp;$B492,{'3) Release_Label'!$D:$D&amp;'3) Release_Label'!$E:$E,'3) Release_Label'!$F:$F},2,0), or(and(not(isblank($B492)),$B492=$B491,$A492&lt;&gt;$A491),and(not(isblank($A492)),$A492=$A491,$B492&lt;&gt;$B491)),"ID LISTS UNALIGNED",and($A492&lt;&gt;"",countif('3) Release_Label'!$D:$D,$A492)=0),"NO UPC MATCH in Release_Label",and($B492&lt;&gt;"",countif('3) Release_Label'!$E:$E,$B492)=0),"NO CATALOG ID MATCH in Release_Label",iserror(vlookup($A492&amp;$B492,'3) Release_Label'!$D:$D&amp;'3) Release_Label'!$E:$E,1,0)),"NO UPC-CATALOG ID pair MATCH in Release_Label" )</f>
        <v/>
      </c>
      <c r="D492" s="121" t="str">
        <f t="array" ref="D492">ifs(and(isblank($A492),isblank($B492)),"", not(iserror(vlookup($A492&amp;$B492,'3) Release_Label'!$D:$D&amp;'3) Release_Label'!$E:$E,1,0))),vlookup($A492&amp;$B492,{'3) Release_Label'!$D:$D&amp;'3) Release_Label'!$E:$E,'3) Release_Label'!$H:$H},2,0), or(and(not(isblank($B492)),$B492=$B491,$A492&lt;&gt;$A491),and(not(isblank($A492)),$A492=$A491,$B492&lt;&gt;$B491)),"ID LISTS UNALIGNED",and($A492&lt;&gt;"",countif('3) Release_Label'!$D:$D,$A492)=0),"NO UPC MATCH in Release_Label",and($B492&lt;&gt;"",countif('3) Release_Label'!$E:$E,$B492)=0),"NO CATALOG ID MATCH in Release_Label",iserror(vlookup($A492&amp;$B492,'3) Release_Label'!$D:$D&amp;'3) Release_Label'!$E:$E,1,0)),"NO UPC-CATALOG ID pair MATCH in Release_Label" )</f>
        <v/>
      </c>
      <c r="E492" s="99"/>
      <c r="F492" s="99"/>
      <c r="G492" s="123" t="str">
        <f t="array" ref="G492">ifs(or($F492="",$F492="Main Primary Artist"),$F492,not(iserror(vlookup($F492,'Reference info'!$J$5:$J$8,1,0))),"Key Artist",not(iserror(vlookup($F492,'Reference info'!$J$38:$J$405,1,0))),"Performer",not(iserror(vlookup($F492,'Reference info'!$J$10:$J$36,1,0))),"Producer &amp; Engineer")</f>
        <v/>
      </c>
    </row>
    <row r="493">
      <c r="A493" s="28"/>
      <c r="B493" s="103"/>
      <c r="C493" s="121" t="str">
        <f t="array" ref="C493">ifs(and(isblank($A493),isblank($B493)),"", not(iserror(vlookup($A493&amp;$B493,'3) Release_Label'!$D:$D&amp;'3) Release_Label'!$E:$E,1,0))),vlookup($A493&amp;$B493,{'3) Release_Label'!$D:$D&amp;'3) Release_Label'!$E:$E,'3) Release_Label'!$F:$F},2,0), or(and(not(isblank($B493)),$B493=$B492,$A493&lt;&gt;$A492),and(not(isblank($A493)),$A493=$A492,$B493&lt;&gt;$B492)),"ID LISTS UNALIGNED",and($A493&lt;&gt;"",countif('3) Release_Label'!$D:$D,$A493)=0),"NO UPC MATCH in Release_Label",and($B493&lt;&gt;"",countif('3) Release_Label'!$E:$E,$B493)=0),"NO CATALOG ID MATCH in Release_Label",iserror(vlookup($A493&amp;$B493,'3) Release_Label'!$D:$D&amp;'3) Release_Label'!$E:$E,1,0)),"NO UPC-CATALOG ID pair MATCH in Release_Label" )</f>
        <v/>
      </c>
      <c r="D493" s="121" t="str">
        <f t="array" ref="D493">ifs(and(isblank($A493),isblank($B493)),"", not(iserror(vlookup($A493&amp;$B493,'3) Release_Label'!$D:$D&amp;'3) Release_Label'!$E:$E,1,0))),vlookup($A493&amp;$B493,{'3) Release_Label'!$D:$D&amp;'3) Release_Label'!$E:$E,'3) Release_Label'!$H:$H},2,0), or(and(not(isblank($B493)),$B493=$B492,$A493&lt;&gt;$A492),and(not(isblank($A493)),$A493=$A492,$B493&lt;&gt;$B492)),"ID LISTS UNALIGNED",and($A493&lt;&gt;"",countif('3) Release_Label'!$D:$D,$A493)=0),"NO UPC MATCH in Release_Label",and($B493&lt;&gt;"",countif('3) Release_Label'!$E:$E,$B493)=0),"NO CATALOG ID MATCH in Release_Label",iserror(vlookup($A493&amp;$B493,'3) Release_Label'!$D:$D&amp;'3) Release_Label'!$E:$E,1,0)),"NO UPC-CATALOG ID pair MATCH in Release_Label" )</f>
        <v/>
      </c>
      <c r="E493" s="99"/>
      <c r="F493" s="99"/>
      <c r="G493" s="123" t="str">
        <f t="array" ref="G493">ifs(or($F493="",$F493="Main Primary Artist"),$F493,not(iserror(vlookup($F493,'Reference info'!$J$5:$J$8,1,0))),"Key Artist",not(iserror(vlookup($F493,'Reference info'!$J$38:$J$405,1,0))),"Performer",not(iserror(vlookup($F493,'Reference info'!$J$10:$J$36,1,0))),"Producer &amp; Engineer")</f>
        <v/>
      </c>
    </row>
    <row r="494">
      <c r="A494" s="28"/>
      <c r="B494" s="103"/>
      <c r="C494" s="121" t="str">
        <f t="array" ref="C494">ifs(and(isblank($A494),isblank($B494)),"", not(iserror(vlookup($A494&amp;$B494,'3) Release_Label'!$D:$D&amp;'3) Release_Label'!$E:$E,1,0))),vlookup($A494&amp;$B494,{'3) Release_Label'!$D:$D&amp;'3) Release_Label'!$E:$E,'3) Release_Label'!$F:$F},2,0), or(and(not(isblank($B494)),$B494=$B493,$A494&lt;&gt;$A493),and(not(isblank($A494)),$A494=$A493,$B494&lt;&gt;$B493)),"ID LISTS UNALIGNED",and($A494&lt;&gt;"",countif('3) Release_Label'!$D:$D,$A494)=0),"NO UPC MATCH in Release_Label",and($B494&lt;&gt;"",countif('3) Release_Label'!$E:$E,$B494)=0),"NO CATALOG ID MATCH in Release_Label",iserror(vlookup($A494&amp;$B494,'3) Release_Label'!$D:$D&amp;'3) Release_Label'!$E:$E,1,0)),"NO UPC-CATALOG ID pair MATCH in Release_Label" )</f>
        <v/>
      </c>
      <c r="D494" s="121" t="str">
        <f t="array" ref="D494">ifs(and(isblank($A494),isblank($B494)),"", not(iserror(vlookup($A494&amp;$B494,'3) Release_Label'!$D:$D&amp;'3) Release_Label'!$E:$E,1,0))),vlookup($A494&amp;$B494,{'3) Release_Label'!$D:$D&amp;'3) Release_Label'!$E:$E,'3) Release_Label'!$H:$H},2,0), or(and(not(isblank($B494)),$B494=$B493,$A494&lt;&gt;$A493),and(not(isblank($A494)),$A494=$A493,$B494&lt;&gt;$B493)),"ID LISTS UNALIGNED",and($A494&lt;&gt;"",countif('3) Release_Label'!$D:$D,$A494)=0),"NO UPC MATCH in Release_Label",and($B494&lt;&gt;"",countif('3) Release_Label'!$E:$E,$B494)=0),"NO CATALOG ID MATCH in Release_Label",iserror(vlookup($A494&amp;$B494,'3) Release_Label'!$D:$D&amp;'3) Release_Label'!$E:$E,1,0)),"NO UPC-CATALOG ID pair MATCH in Release_Label" )</f>
        <v/>
      </c>
      <c r="E494" s="99"/>
      <c r="F494" s="99"/>
      <c r="G494" s="123" t="str">
        <f t="array" ref="G494">ifs(or($F494="",$F494="Main Primary Artist"),$F494,not(iserror(vlookup($F494,'Reference info'!$J$5:$J$8,1,0))),"Key Artist",not(iserror(vlookup($F494,'Reference info'!$J$38:$J$405,1,0))),"Performer",not(iserror(vlookup($F494,'Reference info'!$J$10:$J$36,1,0))),"Producer &amp; Engineer")</f>
        <v/>
      </c>
    </row>
    <row r="495">
      <c r="A495" s="28"/>
      <c r="B495" s="103"/>
      <c r="C495" s="121" t="str">
        <f t="array" ref="C495">ifs(and(isblank($A495),isblank($B495)),"", not(iserror(vlookup($A495&amp;$B495,'3) Release_Label'!$D:$D&amp;'3) Release_Label'!$E:$E,1,0))),vlookup($A495&amp;$B495,{'3) Release_Label'!$D:$D&amp;'3) Release_Label'!$E:$E,'3) Release_Label'!$F:$F},2,0), or(and(not(isblank($B495)),$B495=$B494,$A495&lt;&gt;$A494),and(not(isblank($A495)),$A495=$A494,$B495&lt;&gt;$B494)),"ID LISTS UNALIGNED",and($A495&lt;&gt;"",countif('3) Release_Label'!$D:$D,$A495)=0),"NO UPC MATCH in Release_Label",and($B495&lt;&gt;"",countif('3) Release_Label'!$E:$E,$B495)=0),"NO CATALOG ID MATCH in Release_Label",iserror(vlookup($A495&amp;$B495,'3) Release_Label'!$D:$D&amp;'3) Release_Label'!$E:$E,1,0)),"NO UPC-CATALOG ID pair MATCH in Release_Label" )</f>
        <v/>
      </c>
      <c r="D495" s="121" t="str">
        <f t="array" ref="D495">ifs(and(isblank($A495),isblank($B495)),"", not(iserror(vlookup($A495&amp;$B495,'3) Release_Label'!$D:$D&amp;'3) Release_Label'!$E:$E,1,0))),vlookup($A495&amp;$B495,{'3) Release_Label'!$D:$D&amp;'3) Release_Label'!$E:$E,'3) Release_Label'!$H:$H},2,0), or(and(not(isblank($B495)),$B495=$B494,$A495&lt;&gt;$A494),and(not(isblank($A495)),$A495=$A494,$B495&lt;&gt;$B494)),"ID LISTS UNALIGNED",and($A495&lt;&gt;"",countif('3) Release_Label'!$D:$D,$A495)=0),"NO UPC MATCH in Release_Label",and($B495&lt;&gt;"",countif('3) Release_Label'!$E:$E,$B495)=0),"NO CATALOG ID MATCH in Release_Label",iserror(vlookup($A495&amp;$B495,'3) Release_Label'!$D:$D&amp;'3) Release_Label'!$E:$E,1,0)),"NO UPC-CATALOG ID pair MATCH in Release_Label" )</f>
        <v/>
      </c>
      <c r="E495" s="99"/>
      <c r="F495" s="99"/>
      <c r="G495" s="123" t="str">
        <f t="array" ref="G495">ifs(or($F495="",$F495="Main Primary Artist"),$F495,not(iserror(vlookup($F495,'Reference info'!$J$5:$J$8,1,0))),"Key Artist",not(iserror(vlookup($F495,'Reference info'!$J$38:$J$405,1,0))),"Performer",not(iserror(vlookup($F495,'Reference info'!$J$10:$J$36,1,0))),"Producer &amp; Engineer")</f>
        <v/>
      </c>
    </row>
    <row r="496">
      <c r="A496" s="28"/>
      <c r="B496" s="103"/>
      <c r="C496" s="121" t="str">
        <f t="array" ref="C496">ifs(and(isblank($A496),isblank($B496)),"", not(iserror(vlookup($A496&amp;$B496,'3) Release_Label'!$D:$D&amp;'3) Release_Label'!$E:$E,1,0))),vlookup($A496&amp;$B496,{'3) Release_Label'!$D:$D&amp;'3) Release_Label'!$E:$E,'3) Release_Label'!$F:$F},2,0), or(and(not(isblank($B496)),$B496=$B495,$A496&lt;&gt;$A495),and(not(isblank($A496)),$A496=$A495,$B496&lt;&gt;$B495)),"ID LISTS UNALIGNED",and($A496&lt;&gt;"",countif('3) Release_Label'!$D:$D,$A496)=0),"NO UPC MATCH in Release_Label",and($B496&lt;&gt;"",countif('3) Release_Label'!$E:$E,$B496)=0),"NO CATALOG ID MATCH in Release_Label",iserror(vlookup($A496&amp;$B496,'3) Release_Label'!$D:$D&amp;'3) Release_Label'!$E:$E,1,0)),"NO UPC-CATALOG ID pair MATCH in Release_Label" )</f>
        <v/>
      </c>
      <c r="D496" s="121" t="str">
        <f t="array" ref="D496">ifs(and(isblank($A496),isblank($B496)),"", not(iserror(vlookup($A496&amp;$B496,'3) Release_Label'!$D:$D&amp;'3) Release_Label'!$E:$E,1,0))),vlookup($A496&amp;$B496,{'3) Release_Label'!$D:$D&amp;'3) Release_Label'!$E:$E,'3) Release_Label'!$H:$H},2,0), or(and(not(isblank($B496)),$B496=$B495,$A496&lt;&gt;$A495),and(not(isblank($A496)),$A496=$A495,$B496&lt;&gt;$B495)),"ID LISTS UNALIGNED",and($A496&lt;&gt;"",countif('3) Release_Label'!$D:$D,$A496)=0),"NO UPC MATCH in Release_Label",and($B496&lt;&gt;"",countif('3) Release_Label'!$E:$E,$B496)=0),"NO CATALOG ID MATCH in Release_Label",iserror(vlookup($A496&amp;$B496,'3) Release_Label'!$D:$D&amp;'3) Release_Label'!$E:$E,1,0)),"NO UPC-CATALOG ID pair MATCH in Release_Label" )</f>
        <v/>
      </c>
      <c r="E496" s="99"/>
      <c r="F496" s="99"/>
      <c r="G496" s="123" t="str">
        <f t="array" ref="G496">ifs(or($F496="",$F496="Main Primary Artist"),$F496,not(iserror(vlookup($F496,'Reference info'!$J$5:$J$8,1,0))),"Key Artist",not(iserror(vlookup($F496,'Reference info'!$J$38:$J$405,1,0))),"Performer",not(iserror(vlookup($F496,'Reference info'!$J$10:$J$36,1,0))),"Producer &amp; Engineer")</f>
        <v/>
      </c>
    </row>
    <row r="497">
      <c r="A497" s="28"/>
      <c r="B497" s="103"/>
      <c r="C497" s="121" t="str">
        <f t="array" ref="C497">ifs(and(isblank($A497),isblank($B497)),"", not(iserror(vlookup($A497&amp;$B497,'3) Release_Label'!$D:$D&amp;'3) Release_Label'!$E:$E,1,0))),vlookup($A497&amp;$B497,{'3) Release_Label'!$D:$D&amp;'3) Release_Label'!$E:$E,'3) Release_Label'!$F:$F},2,0), or(and(not(isblank($B497)),$B497=$B496,$A497&lt;&gt;$A496),and(not(isblank($A497)),$A497=$A496,$B497&lt;&gt;$B496)),"ID LISTS UNALIGNED",and($A497&lt;&gt;"",countif('3) Release_Label'!$D:$D,$A497)=0),"NO UPC MATCH in Release_Label",and($B497&lt;&gt;"",countif('3) Release_Label'!$E:$E,$B497)=0),"NO CATALOG ID MATCH in Release_Label",iserror(vlookup($A497&amp;$B497,'3) Release_Label'!$D:$D&amp;'3) Release_Label'!$E:$E,1,0)),"NO UPC-CATALOG ID pair MATCH in Release_Label" )</f>
        <v/>
      </c>
      <c r="D497" s="121" t="str">
        <f t="array" ref="D497">ifs(and(isblank($A497),isblank($B497)),"", not(iserror(vlookup($A497&amp;$B497,'3) Release_Label'!$D:$D&amp;'3) Release_Label'!$E:$E,1,0))),vlookup($A497&amp;$B497,{'3) Release_Label'!$D:$D&amp;'3) Release_Label'!$E:$E,'3) Release_Label'!$H:$H},2,0), or(and(not(isblank($B497)),$B497=$B496,$A497&lt;&gt;$A496),and(not(isblank($A497)),$A497=$A496,$B497&lt;&gt;$B496)),"ID LISTS UNALIGNED",and($A497&lt;&gt;"",countif('3) Release_Label'!$D:$D,$A497)=0),"NO UPC MATCH in Release_Label",and($B497&lt;&gt;"",countif('3) Release_Label'!$E:$E,$B497)=0),"NO CATALOG ID MATCH in Release_Label",iserror(vlookup($A497&amp;$B497,'3) Release_Label'!$D:$D&amp;'3) Release_Label'!$E:$E,1,0)),"NO UPC-CATALOG ID pair MATCH in Release_Label" )</f>
        <v/>
      </c>
      <c r="E497" s="99"/>
      <c r="F497" s="99"/>
      <c r="G497" s="123" t="str">
        <f t="array" ref="G497">ifs(or($F497="",$F497="Main Primary Artist"),$F497,not(iserror(vlookup($F497,'Reference info'!$J$5:$J$8,1,0))),"Key Artist",not(iserror(vlookup($F497,'Reference info'!$J$38:$J$405,1,0))),"Performer",not(iserror(vlookup($F497,'Reference info'!$J$10:$J$36,1,0))),"Producer &amp; Engineer")</f>
        <v/>
      </c>
    </row>
    <row r="498">
      <c r="A498" s="28"/>
      <c r="B498" s="103"/>
      <c r="C498" s="121" t="str">
        <f t="array" ref="C498">ifs(and(isblank($A498),isblank($B498)),"", not(iserror(vlookup($A498&amp;$B498,'3) Release_Label'!$D:$D&amp;'3) Release_Label'!$E:$E,1,0))),vlookup($A498&amp;$B498,{'3) Release_Label'!$D:$D&amp;'3) Release_Label'!$E:$E,'3) Release_Label'!$F:$F},2,0), or(and(not(isblank($B498)),$B498=$B497,$A498&lt;&gt;$A497),and(not(isblank($A498)),$A498=$A497,$B498&lt;&gt;$B497)),"ID LISTS UNALIGNED",and($A498&lt;&gt;"",countif('3) Release_Label'!$D:$D,$A498)=0),"NO UPC MATCH in Release_Label",and($B498&lt;&gt;"",countif('3) Release_Label'!$E:$E,$B498)=0),"NO CATALOG ID MATCH in Release_Label",iserror(vlookup($A498&amp;$B498,'3) Release_Label'!$D:$D&amp;'3) Release_Label'!$E:$E,1,0)),"NO UPC-CATALOG ID pair MATCH in Release_Label" )</f>
        <v/>
      </c>
      <c r="D498" s="121" t="str">
        <f t="array" ref="D498">ifs(and(isblank($A498),isblank($B498)),"", not(iserror(vlookup($A498&amp;$B498,'3) Release_Label'!$D:$D&amp;'3) Release_Label'!$E:$E,1,0))),vlookup($A498&amp;$B498,{'3) Release_Label'!$D:$D&amp;'3) Release_Label'!$E:$E,'3) Release_Label'!$H:$H},2,0), or(and(not(isblank($B498)),$B498=$B497,$A498&lt;&gt;$A497),and(not(isblank($A498)),$A498=$A497,$B498&lt;&gt;$B497)),"ID LISTS UNALIGNED",and($A498&lt;&gt;"",countif('3) Release_Label'!$D:$D,$A498)=0),"NO UPC MATCH in Release_Label",and($B498&lt;&gt;"",countif('3) Release_Label'!$E:$E,$B498)=0),"NO CATALOG ID MATCH in Release_Label",iserror(vlookup($A498&amp;$B498,'3) Release_Label'!$D:$D&amp;'3) Release_Label'!$E:$E,1,0)),"NO UPC-CATALOG ID pair MATCH in Release_Label" )</f>
        <v/>
      </c>
      <c r="E498" s="99"/>
      <c r="F498" s="99"/>
      <c r="G498" s="123" t="str">
        <f t="array" ref="G498">ifs(or($F498="",$F498="Main Primary Artist"),$F498,not(iserror(vlookup($F498,'Reference info'!$J$5:$J$8,1,0))),"Key Artist",not(iserror(vlookup($F498,'Reference info'!$J$38:$J$405,1,0))),"Performer",not(iserror(vlookup($F498,'Reference info'!$J$10:$J$36,1,0))),"Producer &amp; Engineer")</f>
        <v/>
      </c>
    </row>
    <row r="499">
      <c r="A499" s="28"/>
      <c r="B499" s="103"/>
      <c r="C499" s="121" t="str">
        <f t="array" ref="C499">ifs(and(isblank($A499),isblank($B499)),"", not(iserror(vlookup($A499&amp;$B499,'3) Release_Label'!$D:$D&amp;'3) Release_Label'!$E:$E,1,0))),vlookup($A499&amp;$B499,{'3) Release_Label'!$D:$D&amp;'3) Release_Label'!$E:$E,'3) Release_Label'!$F:$F},2,0), or(and(not(isblank($B499)),$B499=$B498,$A499&lt;&gt;$A498),and(not(isblank($A499)),$A499=$A498,$B499&lt;&gt;$B498)),"ID LISTS UNALIGNED",and($A499&lt;&gt;"",countif('3) Release_Label'!$D:$D,$A499)=0),"NO UPC MATCH in Release_Label",and($B499&lt;&gt;"",countif('3) Release_Label'!$E:$E,$B499)=0),"NO CATALOG ID MATCH in Release_Label",iserror(vlookup($A499&amp;$B499,'3) Release_Label'!$D:$D&amp;'3) Release_Label'!$E:$E,1,0)),"NO UPC-CATALOG ID pair MATCH in Release_Label" )</f>
        <v/>
      </c>
      <c r="D499" s="121" t="str">
        <f t="array" ref="D499">ifs(and(isblank($A499),isblank($B499)),"", not(iserror(vlookup($A499&amp;$B499,'3) Release_Label'!$D:$D&amp;'3) Release_Label'!$E:$E,1,0))),vlookup($A499&amp;$B499,{'3) Release_Label'!$D:$D&amp;'3) Release_Label'!$E:$E,'3) Release_Label'!$H:$H},2,0), or(and(not(isblank($B499)),$B499=$B498,$A499&lt;&gt;$A498),and(not(isblank($A499)),$A499=$A498,$B499&lt;&gt;$B498)),"ID LISTS UNALIGNED",and($A499&lt;&gt;"",countif('3) Release_Label'!$D:$D,$A499)=0),"NO UPC MATCH in Release_Label",and($B499&lt;&gt;"",countif('3) Release_Label'!$E:$E,$B499)=0),"NO CATALOG ID MATCH in Release_Label",iserror(vlookup($A499&amp;$B499,'3) Release_Label'!$D:$D&amp;'3) Release_Label'!$E:$E,1,0)),"NO UPC-CATALOG ID pair MATCH in Release_Label" )</f>
        <v/>
      </c>
      <c r="E499" s="99"/>
      <c r="F499" s="99"/>
      <c r="G499" s="123" t="str">
        <f t="array" ref="G499">ifs(or($F499="",$F499="Main Primary Artist"),$F499,not(iserror(vlookup($F499,'Reference info'!$J$5:$J$8,1,0))),"Key Artist",not(iserror(vlookup($F499,'Reference info'!$J$38:$J$405,1,0))),"Performer",not(iserror(vlookup($F499,'Reference info'!$J$10:$J$36,1,0))),"Producer &amp; Engineer")</f>
        <v/>
      </c>
    </row>
    <row r="500">
      <c r="A500" s="28"/>
      <c r="B500" s="103"/>
      <c r="C500" s="121" t="str">
        <f t="array" ref="C500">ifs(and(isblank($A500),isblank($B500)),"", not(iserror(vlookup($A500&amp;$B500,'3) Release_Label'!$D:$D&amp;'3) Release_Label'!$E:$E,1,0))),vlookup($A500&amp;$B500,{'3) Release_Label'!$D:$D&amp;'3) Release_Label'!$E:$E,'3) Release_Label'!$F:$F},2,0), or(and(not(isblank($B500)),$B500=$B499,$A500&lt;&gt;$A499),and(not(isblank($A500)),$A500=$A499,$B500&lt;&gt;$B499)),"ID LISTS UNALIGNED",and($A500&lt;&gt;"",countif('3) Release_Label'!$D:$D,$A500)=0),"NO UPC MATCH in Release_Label",and($B500&lt;&gt;"",countif('3) Release_Label'!$E:$E,$B500)=0),"NO CATALOG ID MATCH in Release_Label",iserror(vlookup($A500&amp;$B500,'3) Release_Label'!$D:$D&amp;'3) Release_Label'!$E:$E,1,0)),"NO UPC-CATALOG ID pair MATCH in Release_Label" )</f>
        <v/>
      </c>
      <c r="D500" s="121" t="str">
        <f t="array" ref="D500">ifs(and(isblank($A500),isblank($B500)),"", not(iserror(vlookup($A500&amp;$B500,'3) Release_Label'!$D:$D&amp;'3) Release_Label'!$E:$E,1,0))),vlookup($A500&amp;$B500,{'3) Release_Label'!$D:$D&amp;'3) Release_Label'!$E:$E,'3) Release_Label'!$H:$H},2,0), or(and(not(isblank($B500)),$B500=$B499,$A500&lt;&gt;$A499),and(not(isblank($A500)),$A500=$A499,$B500&lt;&gt;$B499)),"ID LISTS UNALIGNED",and($A500&lt;&gt;"",countif('3) Release_Label'!$D:$D,$A500)=0),"NO UPC MATCH in Release_Label",and($B500&lt;&gt;"",countif('3) Release_Label'!$E:$E,$B500)=0),"NO CATALOG ID MATCH in Release_Label",iserror(vlookup($A500&amp;$B500,'3) Release_Label'!$D:$D&amp;'3) Release_Label'!$E:$E,1,0)),"NO UPC-CATALOG ID pair MATCH in Release_Label" )</f>
        <v/>
      </c>
      <c r="E500" s="99"/>
      <c r="F500" s="99"/>
      <c r="G500" s="123" t="str">
        <f t="array" ref="G500">ifs(or($F500="",$F500="Main Primary Artist"),$F500,not(iserror(vlookup($F500,'Reference info'!$J$5:$J$8,1,0))),"Key Artist",not(iserror(vlookup($F500,'Reference info'!$J$38:$J$405,1,0))),"Performer",not(iserror(vlookup($F500,'Reference info'!$J$10:$J$36,1,0))),"Producer &amp; Engineer")</f>
        <v/>
      </c>
    </row>
    <row r="501">
      <c r="A501" s="28"/>
      <c r="B501" s="103"/>
      <c r="C501" s="121" t="str">
        <f t="array" ref="C501">ifs(and(isblank($A501),isblank($B501)),"", not(iserror(vlookup($A501&amp;$B501,'3) Release_Label'!$D:$D&amp;'3) Release_Label'!$E:$E,1,0))),vlookup($A501&amp;$B501,{'3) Release_Label'!$D:$D&amp;'3) Release_Label'!$E:$E,'3) Release_Label'!$F:$F},2,0), or(and(not(isblank($B501)),$B501=$B500,$A501&lt;&gt;$A500),and(not(isblank($A501)),$A501=$A500,$B501&lt;&gt;$B500)),"ID LISTS UNALIGNED",and($A501&lt;&gt;"",countif('3) Release_Label'!$D:$D,$A501)=0),"NO UPC MATCH in Release_Label",and($B501&lt;&gt;"",countif('3) Release_Label'!$E:$E,$B501)=0),"NO CATALOG ID MATCH in Release_Label",iserror(vlookup($A501&amp;$B501,'3) Release_Label'!$D:$D&amp;'3) Release_Label'!$E:$E,1,0)),"NO UPC-CATALOG ID pair MATCH in Release_Label" )</f>
        <v/>
      </c>
      <c r="D501" s="121" t="str">
        <f t="array" ref="D501">ifs(and(isblank($A501),isblank($B501)),"", not(iserror(vlookup($A501&amp;$B501,'3) Release_Label'!$D:$D&amp;'3) Release_Label'!$E:$E,1,0))),vlookup($A501&amp;$B501,{'3) Release_Label'!$D:$D&amp;'3) Release_Label'!$E:$E,'3) Release_Label'!$H:$H},2,0), or(and(not(isblank($B501)),$B501=$B500,$A501&lt;&gt;$A500),and(not(isblank($A501)),$A501=$A500,$B501&lt;&gt;$B500)),"ID LISTS UNALIGNED",and($A501&lt;&gt;"",countif('3) Release_Label'!$D:$D,$A501)=0),"NO UPC MATCH in Release_Label",and($B501&lt;&gt;"",countif('3) Release_Label'!$E:$E,$B501)=0),"NO CATALOG ID MATCH in Release_Label",iserror(vlookup($A501&amp;$B501,'3) Release_Label'!$D:$D&amp;'3) Release_Label'!$E:$E,1,0)),"NO UPC-CATALOG ID pair MATCH in Release_Label" )</f>
        <v/>
      </c>
      <c r="E501" s="99"/>
      <c r="F501" s="99"/>
      <c r="G501" s="123" t="str">
        <f t="array" ref="G501">ifs(or($F501="",$F501="Main Primary Artist"),$F501,not(iserror(vlookup($F501,'Reference info'!$J$5:$J$8,1,0))),"Key Artist",not(iserror(vlookup($F501,'Reference info'!$J$38:$J$405,1,0))),"Performer",not(iserror(vlookup($F501,'Reference info'!$J$10:$J$36,1,0))),"Producer &amp; Engineer")</f>
        <v/>
      </c>
    </row>
    <row r="502">
      <c r="A502" s="28"/>
      <c r="B502" s="103"/>
      <c r="C502" s="121" t="str">
        <f t="array" ref="C502">ifs(and(isblank($A502),isblank($B502)),"", not(iserror(vlookup($A502&amp;$B502,'3) Release_Label'!$D:$D&amp;'3) Release_Label'!$E:$E,1,0))),vlookup($A502&amp;$B502,{'3) Release_Label'!$D:$D&amp;'3) Release_Label'!$E:$E,'3) Release_Label'!$F:$F},2,0), or(and(not(isblank($B502)),$B502=$B501,$A502&lt;&gt;$A501),and(not(isblank($A502)),$A502=$A501,$B502&lt;&gt;$B501)),"ID LISTS UNALIGNED",and($A502&lt;&gt;"",countif('3) Release_Label'!$D:$D,$A502)=0),"NO UPC MATCH in Release_Label",and($B502&lt;&gt;"",countif('3) Release_Label'!$E:$E,$B502)=0),"NO CATALOG ID MATCH in Release_Label",iserror(vlookup($A502&amp;$B502,'3) Release_Label'!$D:$D&amp;'3) Release_Label'!$E:$E,1,0)),"NO UPC-CATALOG ID pair MATCH in Release_Label" )</f>
        <v/>
      </c>
      <c r="D502" s="121" t="str">
        <f t="array" ref="D502">ifs(and(isblank($A502),isblank($B502)),"", not(iserror(vlookup($A502&amp;$B502,'3) Release_Label'!$D:$D&amp;'3) Release_Label'!$E:$E,1,0))),vlookup($A502&amp;$B502,{'3) Release_Label'!$D:$D&amp;'3) Release_Label'!$E:$E,'3) Release_Label'!$H:$H},2,0), or(and(not(isblank($B502)),$B502=$B501,$A502&lt;&gt;$A501),and(not(isblank($A502)),$A502=$A501,$B502&lt;&gt;$B501)),"ID LISTS UNALIGNED",and($A502&lt;&gt;"",countif('3) Release_Label'!$D:$D,$A502)=0),"NO UPC MATCH in Release_Label",and($B502&lt;&gt;"",countif('3) Release_Label'!$E:$E,$B502)=0),"NO CATALOG ID MATCH in Release_Label",iserror(vlookup($A502&amp;$B502,'3) Release_Label'!$D:$D&amp;'3) Release_Label'!$E:$E,1,0)),"NO UPC-CATALOG ID pair MATCH in Release_Label" )</f>
        <v/>
      </c>
      <c r="E502" s="99"/>
      <c r="F502" s="99"/>
      <c r="G502" s="123" t="str">
        <f t="array" ref="G502">ifs(or($F502="",$F502="Main Primary Artist"),$F502,not(iserror(vlookup($F502,'Reference info'!$J$5:$J$8,1,0))),"Key Artist",not(iserror(vlookup($F502,'Reference info'!$J$38:$J$405,1,0))),"Performer",not(iserror(vlookup($F502,'Reference info'!$J$10:$J$36,1,0))),"Producer &amp; Engineer")</f>
        <v/>
      </c>
    </row>
    <row r="503">
      <c r="A503" s="28"/>
      <c r="B503" s="103"/>
      <c r="C503" s="121" t="str">
        <f t="array" ref="C503">ifs(and(isblank($A503),isblank($B503)),"", not(iserror(vlookup($A503&amp;$B503,'3) Release_Label'!$D:$D&amp;'3) Release_Label'!$E:$E,1,0))),vlookup($A503&amp;$B503,{'3) Release_Label'!$D:$D&amp;'3) Release_Label'!$E:$E,'3) Release_Label'!$F:$F},2,0), or(and(not(isblank($B503)),$B503=$B502,$A503&lt;&gt;$A502),and(not(isblank($A503)),$A503=$A502,$B503&lt;&gt;$B502)),"ID LISTS UNALIGNED",and($A503&lt;&gt;"",countif('3) Release_Label'!$D:$D,$A503)=0),"NO UPC MATCH in Release_Label",and($B503&lt;&gt;"",countif('3) Release_Label'!$E:$E,$B503)=0),"NO CATALOG ID MATCH in Release_Label",iserror(vlookup($A503&amp;$B503,'3) Release_Label'!$D:$D&amp;'3) Release_Label'!$E:$E,1,0)),"NO UPC-CATALOG ID pair MATCH in Release_Label" )</f>
        <v/>
      </c>
      <c r="D503" s="121" t="str">
        <f t="array" ref="D503">ifs(and(isblank($A503),isblank($B503)),"", not(iserror(vlookup($A503&amp;$B503,'3) Release_Label'!$D:$D&amp;'3) Release_Label'!$E:$E,1,0))),vlookup($A503&amp;$B503,{'3) Release_Label'!$D:$D&amp;'3) Release_Label'!$E:$E,'3) Release_Label'!$H:$H},2,0), or(and(not(isblank($B503)),$B503=$B502,$A503&lt;&gt;$A502),and(not(isblank($A503)),$A503=$A502,$B503&lt;&gt;$B502)),"ID LISTS UNALIGNED",and($A503&lt;&gt;"",countif('3) Release_Label'!$D:$D,$A503)=0),"NO UPC MATCH in Release_Label",and($B503&lt;&gt;"",countif('3) Release_Label'!$E:$E,$B503)=0),"NO CATALOG ID MATCH in Release_Label",iserror(vlookup($A503&amp;$B503,'3) Release_Label'!$D:$D&amp;'3) Release_Label'!$E:$E,1,0)),"NO UPC-CATALOG ID pair MATCH in Release_Label" )</f>
        <v/>
      </c>
      <c r="E503" s="99"/>
      <c r="F503" s="99"/>
      <c r="G503" s="123" t="str">
        <f t="array" ref="G503">ifs(or($F503="",$F503="Main Primary Artist"),$F503,not(iserror(vlookup($F503,'Reference info'!$J$5:$J$8,1,0))),"Key Artist",not(iserror(vlookup($F503,'Reference info'!$J$38:$J$405,1,0))),"Performer",not(iserror(vlookup($F503,'Reference info'!$J$10:$J$36,1,0))),"Producer &amp; Engineer")</f>
        <v/>
      </c>
    </row>
    <row r="504">
      <c r="A504" s="28"/>
      <c r="B504" s="103"/>
      <c r="C504" s="121" t="str">
        <f t="array" ref="C504">ifs(and(isblank($A504),isblank($B504)),"", not(iserror(vlookup($A504&amp;$B504,'3) Release_Label'!$D:$D&amp;'3) Release_Label'!$E:$E,1,0))),vlookup($A504&amp;$B504,{'3) Release_Label'!$D:$D&amp;'3) Release_Label'!$E:$E,'3) Release_Label'!$F:$F},2,0), or(and(not(isblank($B504)),$B504=$B503,$A504&lt;&gt;$A503),and(not(isblank($A504)),$A504=$A503,$B504&lt;&gt;$B503)),"ID LISTS UNALIGNED",and($A504&lt;&gt;"",countif('3) Release_Label'!$D:$D,$A504)=0),"NO UPC MATCH in Release_Label",and($B504&lt;&gt;"",countif('3) Release_Label'!$E:$E,$B504)=0),"NO CATALOG ID MATCH in Release_Label",iserror(vlookup($A504&amp;$B504,'3) Release_Label'!$D:$D&amp;'3) Release_Label'!$E:$E,1,0)),"NO UPC-CATALOG ID pair MATCH in Release_Label" )</f>
        <v/>
      </c>
      <c r="D504" s="121" t="str">
        <f t="array" ref="D504">ifs(and(isblank($A504),isblank($B504)),"", not(iserror(vlookup($A504&amp;$B504,'3) Release_Label'!$D:$D&amp;'3) Release_Label'!$E:$E,1,0))),vlookup($A504&amp;$B504,{'3) Release_Label'!$D:$D&amp;'3) Release_Label'!$E:$E,'3) Release_Label'!$H:$H},2,0), or(and(not(isblank($B504)),$B504=$B503,$A504&lt;&gt;$A503),and(not(isblank($A504)),$A504=$A503,$B504&lt;&gt;$B503)),"ID LISTS UNALIGNED",and($A504&lt;&gt;"",countif('3) Release_Label'!$D:$D,$A504)=0),"NO UPC MATCH in Release_Label",and($B504&lt;&gt;"",countif('3) Release_Label'!$E:$E,$B504)=0),"NO CATALOG ID MATCH in Release_Label",iserror(vlookup($A504&amp;$B504,'3) Release_Label'!$D:$D&amp;'3) Release_Label'!$E:$E,1,0)),"NO UPC-CATALOG ID pair MATCH in Release_Label" )</f>
        <v/>
      </c>
      <c r="E504" s="99"/>
      <c r="F504" s="99"/>
      <c r="G504" s="123" t="str">
        <f t="array" ref="G504">ifs(or($F504="",$F504="Main Primary Artist"),$F504,not(iserror(vlookup($F504,'Reference info'!$J$5:$J$8,1,0))),"Key Artist",not(iserror(vlookup($F504,'Reference info'!$J$38:$J$405,1,0))),"Performer",not(iserror(vlookup($F504,'Reference info'!$J$10:$J$36,1,0))),"Producer &amp; Engineer")</f>
        <v/>
      </c>
    </row>
    <row r="505">
      <c r="A505" s="28"/>
      <c r="B505" s="103"/>
      <c r="C505" s="121" t="str">
        <f t="array" ref="C505">ifs(and(isblank($A505),isblank($B505)),"", not(iserror(vlookup($A505&amp;$B505,'3) Release_Label'!$D:$D&amp;'3) Release_Label'!$E:$E,1,0))),vlookup($A505&amp;$B505,{'3) Release_Label'!$D:$D&amp;'3) Release_Label'!$E:$E,'3) Release_Label'!$F:$F},2,0), or(and(not(isblank($B505)),$B505=$B504,$A505&lt;&gt;$A504),and(not(isblank($A505)),$A505=$A504,$B505&lt;&gt;$B504)),"ID LISTS UNALIGNED",and($A505&lt;&gt;"",countif('3) Release_Label'!$D:$D,$A505)=0),"NO UPC MATCH in Release_Label",and($B505&lt;&gt;"",countif('3) Release_Label'!$E:$E,$B505)=0),"NO CATALOG ID MATCH in Release_Label",iserror(vlookup($A505&amp;$B505,'3) Release_Label'!$D:$D&amp;'3) Release_Label'!$E:$E,1,0)),"NO UPC-CATALOG ID pair MATCH in Release_Label" )</f>
        <v/>
      </c>
      <c r="D505" s="121" t="str">
        <f t="array" ref="D505">ifs(and(isblank($A505),isblank($B505)),"", not(iserror(vlookup($A505&amp;$B505,'3) Release_Label'!$D:$D&amp;'3) Release_Label'!$E:$E,1,0))),vlookup($A505&amp;$B505,{'3) Release_Label'!$D:$D&amp;'3) Release_Label'!$E:$E,'3) Release_Label'!$H:$H},2,0), or(and(not(isblank($B505)),$B505=$B504,$A505&lt;&gt;$A504),and(not(isblank($A505)),$A505=$A504,$B505&lt;&gt;$B504)),"ID LISTS UNALIGNED",and($A505&lt;&gt;"",countif('3) Release_Label'!$D:$D,$A505)=0),"NO UPC MATCH in Release_Label",and($B505&lt;&gt;"",countif('3) Release_Label'!$E:$E,$B505)=0),"NO CATALOG ID MATCH in Release_Label",iserror(vlookup($A505&amp;$B505,'3) Release_Label'!$D:$D&amp;'3) Release_Label'!$E:$E,1,0)),"NO UPC-CATALOG ID pair MATCH in Release_Label" )</f>
        <v/>
      </c>
      <c r="E505" s="99"/>
      <c r="F505" s="99"/>
      <c r="G505" s="123" t="str">
        <f t="array" ref="G505">ifs(or($F505="",$F505="Main Primary Artist"),$F505,not(iserror(vlookup($F505,'Reference info'!$J$5:$J$8,1,0))),"Key Artist",not(iserror(vlookup($F505,'Reference info'!$J$38:$J$405,1,0))),"Performer",not(iserror(vlookup($F505,'Reference info'!$J$10:$J$36,1,0))),"Producer &amp; Engineer")</f>
        <v/>
      </c>
    </row>
    <row r="506">
      <c r="A506" s="28"/>
      <c r="B506" s="103"/>
      <c r="C506" s="121" t="str">
        <f t="array" ref="C506">ifs(and(isblank($A506),isblank($B506)),"", not(iserror(vlookup($A506&amp;$B506,'3) Release_Label'!$D:$D&amp;'3) Release_Label'!$E:$E,1,0))),vlookup($A506&amp;$B506,{'3) Release_Label'!$D:$D&amp;'3) Release_Label'!$E:$E,'3) Release_Label'!$F:$F},2,0), or(and(not(isblank($B506)),$B506=$B505,$A506&lt;&gt;$A505),and(not(isblank($A506)),$A506=$A505,$B506&lt;&gt;$B505)),"ID LISTS UNALIGNED",and($A506&lt;&gt;"",countif('3) Release_Label'!$D:$D,$A506)=0),"NO UPC MATCH in Release_Label",and($B506&lt;&gt;"",countif('3) Release_Label'!$E:$E,$B506)=0),"NO CATALOG ID MATCH in Release_Label",iserror(vlookup($A506&amp;$B506,'3) Release_Label'!$D:$D&amp;'3) Release_Label'!$E:$E,1,0)),"NO UPC-CATALOG ID pair MATCH in Release_Label" )</f>
        <v/>
      </c>
      <c r="D506" s="121" t="str">
        <f t="array" ref="D506">ifs(and(isblank($A506),isblank($B506)),"", not(iserror(vlookup($A506&amp;$B506,'3) Release_Label'!$D:$D&amp;'3) Release_Label'!$E:$E,1,0))),vlookup($A506&amp;$B506,{'3) Release_Label'!$D:$D&amp;'3) Release_Label'!$E:$E,'3) Release_Label'!$H:$H},2,0), or(and(not(isblank($B506)),$B506=$B505,$A506&lt;&gt;$A505),and(not(isblank($A506)),$A506=$A505,$B506&lt;&gt;$B505)),"ID LISTS UNALIGNED",and($A506&lt;&gt;"",countif('3) Release_Label'!$D:$D,$A506)=0),"NO UPC MATCH in Release_Label",and($B506&lt;&gt;"",countif('3) Release_Label'!$E:$E,$B506)=0),"NO CATALOG ID MATCH in Release_Label",iserror(vlookup($A506&amp;$B506,'3) Release_Label'!$D:$D&amp;'3) Release_Label'!$E:$E,1,0)),"NO UPC-CATALOG ID pair MATCH in Release_Label" )</f>
        <v/>
      </c>
      <c r="E506" s="99"/>
      <c r="F506" s="99"/>
      <c r="G506" s="123" t="str">
        <f t="array" ref="G506">ifs(or($F506="",$F506="Main Primary Artist"),$F506,not(iserror(vlookup($F506,'Reference info'!$J$5:$J$8,1,0))),"Key Artist",not(iserror(vlookup($F506,'Reference info'!$J$38:$J$405,1,0))),"Performer",not(iserror(vlookup($F506,'Reference info'!$J$10:$J$36,1,0))),"Producer &amp; Engineer")</f>
        <v/>
      </c>
    </row>
    <row r="507">
      <c r="A507" s="28"/>
      <c r="B507" s="103"/>
      <c r="C507" s="121" t="str">
        <f t="array" ref="C507">ifs(and(isblank($A507),isblank($B507)),"", not(iserror(vlookup($A507&amp;$B507,'3) Release_Label'!$D:$D&amp;'3) Release_Label'!$E:$E,1,0))),vlookup($A507&amp;$B507,{'3) Release_Label'!$D:$D&amp;'3) Release_Label'!$E:$E,'3) Release_Label'!$F:$F},2,0), or(and(not(isblank($B507)),$B507=$B506,$A507&lt;&gt;$A506),and(not(isblank($A507)),$A507=$A506,$B507&lt;&gt;$B506)),"ID LISTS UNALIGNED",and($A507&lt;&gt;"",countif('3) Release_Label'!$D:$D,$A507)=0),"NO UPC MATCH in Release_Label",and($B507&lt;&gt;"",countif('3) Release_Label'!$E:$E,$B507)=0),"NO CATALOG ID MATCH in Release_Label",iserror(vlookup($A507&amp;$B507,'3) Release_Label'!$D:$D&amp;'3) Release_Label'!$E:$E,1,0)),"NO UPC-CATALOG ID pair MATCH in Release_Label" )</f>
        <v/>
      </c>
      <c r="D507" s="121" t="str">
        <f t="array" ref="D507">ifs(and(isblank($A507),isblank($B507)),"", not(iserror(vlookup($A507&amp;$B507,'3) Release_Label'!$D:$D&amp;'3) Release_Label'!$E:$E,1,0))),vlookup($A507&amp;$B507,{'3) Release_Label'!$D:$D&amp;'3) Release_Label'!$E:$E,'3) Release_Label'!$H:$H},2,0), or(and(not(isblank($B507)),$B507=$B506,$A507&lt;&gt;$A506),and(not(isblank($A507)),$A507=$A506,$B507&lt;&gt;$B506)),"ID LISTS UNALIGNED",and($A507&lt;&gt;"",countif('3) Release_Label'!$D:$D,$A507)=0),"NO UPC MATCH in Release_Label",and($B507&lt;&gt;"",countif('3) Release_Label'!$E:$E,$B507)=0),"NO CATALOG ID MATCH in Release_Label",iserror(vlookup($A507&amp;$B507,'3) Release_Label'!$D:$D&amp;'3) Release_Label'!$E:$E,1,0)),"NO UPC-CATALOG ID pair MATCH in Release_Label" )</f>
        <v/>
      </c>
      <c r="E507" s="99"/>
      <c r="F507" s="99"/>
      <c r="G507" s="123" t="str">
        <f t="array" ref="G507">ifs(or($F507="",$F507="Main Primary Artist"),$F507,not(iserror(vlookup($F507,'Reference info'!$J$5:$J$8,1,0))),"Key Artist",not(iserror(vlookup($F507,'Reference info'!$J$38:$J$405,1,0))),"Performer",not(iserror(vlookup($F507,'Reference info'!$J$10:$J$36,1,0))),"Producer &amp; Engineer")</f>
        <v/>
      </c>
    </row>
    <row r="508">
      <c r="A508" s="28"/>
      <c r="B508" s="103"/>
      <c r="C508" s="121" t="str">
        <f t="array" ref="C508">ifs(and(isblank($A508),isblank($B508)),"", not(iserror(vlookup($A508&amp;$B508,'3) Release_Label'!$D:$D&amp;'3) Release_Label'!$E:$E,1,0))),vlookup($A508&amp;$B508,{'3) Release_Label'!$D:$D&amp;'3) Release_Label'!$E:$E,'3) Release_Label'!$F:$F},2,0), or(and(not(isblank($B508)),$B508=$B507,$A508&lt;&gt;$A507),and(not(isblank($A508)),$A508=$A507,$B508&lt;&gt;$B507)),"ID LISTS UNALIGNED",and($A508&lt;&gt;"",countif('3) Release_Label'!$D:$D,$A508)=0),"NO UPC MATCH in Release_Label",and($B508&lt;&gt;"",countif('3) Release_Label'!$E:$E,$B508)=0),"NO CATALOG ID MATCH in Release_Label",iserror(vlookup($A508&amp;$B508,'3) Release_Label'!$D:$D&amp;'3) Release_Label'!$E:$E,1,0)),"NO UPC-CATALOG ID pair MATCH in Release_Label" )</f>
        <v/>
      </c>
      <c r="D508" s="121" t="str">
        <f t="array" ref="D508">ifs(and(isblank($A508),isblank($B508)),"", not(iserror(vlookup($A508&amp;$B508,'3) Release_Label'!$D:$D&amp;'3) Release_Label'!$E:$E,1,0))),vlookup($A508&amp;$B508,{'3) Release_Label'!$D:$D&amp;'3) Release_Label'!$E:$E,'3) Release_Label'!$H:$H},2,0), or(and(not(isblank($B508)),$B508=$B507,$A508&lt;&gt;$A507),and(not(isblank($A508)),$A508=$A507,$B508&lt;&gt;$B507)),"ID LISTS UNALIGNED",and($A508&lt;&gt;"",countif('3) Release_Label'!$D:$D,$A508)=0),"NO UPC MATCH in Release_Label",and($B508&lt;&gt;"",countif('3) Release_Label'!$E:$E,$B508)=0),"NO CATALOG ID MATCH in Release_Label",iserror(vlookup($A508&amp;$B508,'3) Release_Label'!$D:$D&amp;'3) Release_Label'!$E:$E,1,0)),"NO UPC-CATALOG ID pair MATCH in Release_Label" )</f>
        <v/>
      </c>
      <c r="E508" s="99"/>
      <c r="F508" s="99"/>
      <c r="G508" s="123" t="str">
        <f t="array" ref="G508">ifs(or($F508="",$F508="Main Primary Artist"),$F508,not(iserror(vlookup($F508,'Reference info'!$J$5:$J$8,1,0))),"Key Artist",not(iserror(vlookup($F508,'Reference info'!$J$38:$J$405,1,0))),"Performer",not(iserror(vlookup($F508,'Reference info'!$J$10:$J$36,1,0))),"Producer &amp; Engineer")</f>
        <v/>
      </c>
    </row>
    <row r="509">
      <c r="A509" s="28"/>
      <c r="B509" s="103"/>
      <c r="C509" s="121" t="str">
        <f t="array" ref="C509">ifs(and(isblank($A509),isblank($B509)),"", not(iserror(vlookup($A509&amp;$B509,'3) Release_Label'!$D:$D&amp;'3) Release_Label'!$E:$E,1,0))),vlookup($A509&amp;$B509,{'3) Release_Label'!$D:$D&amp;'3) Release_Label'!$E:$E,'3) Release_Label'!$F:$F},2,0), or(and(not(isblank($B509)),$B509=$B508,$A509&lt;&gt;$A508),and(not(isblank($A509)),$A509=$A508,$B509&lt;&gt;$B508)),"ID LISTS UNALIGNED",and($A509&lt;&gt;"",countif('3) Release_Label'!$D:$D,$A509)=0),"NO UPC MATCH in Release_Label",and($B509&lt;&gt;"",countif('3) Release_Label'!$E:$E,$B509)=0),"NO CATALOG ID MATCH in Release_Label",iserror(vlookup($A509&amp;$B509,'3) Release_Label'!$D:$D&amp;'3) Release_Label'!$E:$E,1,0)),"NO UPC-CATALOG ID pair MATCH in Release_Label" )</f>
        <v/>
      </c>
      <c r="D509" s="121" t="str">
        <f t="array" ref="D509">ifs(and(isblank($A509),isblank($B509)),"", not(iserror(vlookup($A509&amp;$B509,'3) Release_Label'!$D:$D&amp;'3) Release_Label'!$E:$E,1,0))),vlookup($A509&amp;$B509,{'3) Release_Label'!$D:$D&amp;'3) Release_Label'!$E:$E,'3) Release_Label'!$H:$H},2,0), or(and(not(isblank($B509)),$B509=$B508,$A509&lt;&gt;$A508),and(not(isblank($A509)),$A509=$A508,$B509&lt;&gt;$B508)),"ID LISTS UNALIGNED",and($A509&lt;&gt;"",countif('3) Release_Label'!$D:$D,$A509)=0),"NO UPC MATCH in Release_Label",and($B509&lt;&gt;"",countif('3) Release_Label'!$E:$E,$B509)=0),"NO CATALOG ID MATCH in Release_Label",iserror(vlookup($A509&amp;$B509,'3) Release_Label'!$D:$D&amp;'3) Release_Label'!$E:$E,1,0)),"NO UPC-CATALOG ID pair MATCH in Release_Label" )</f>
        <v/>
      </c>
      <c r="E509" s="99"/>
      <c r="F509" s="99"/>
      <c r="G509" s="123" t="str">
        <f t="array" ref="G509">ifs(or($F509="",$F509="Main Primary Artist"),$F509,not(iserror(vlookup($F509,'Reference info'!$J$5:$J$8,1,0))),"Key Artist",not(iserror(vlookup($F509,'Reference info'!$J$38:$J$405,1,0))),"Performer",not(iserror(vlookup($F509,'Reference info'!$J$10:$J$36,1,0))),"Producer &amp; Engineer")</f>
        <v/>
      </c>
    </row>
    <row r="510">
      <c r="A510" s="28"/>
      <c r="B510" s="103"/>
      <c r="C510" s="121" t="str">
        <f t="array" ref="C510">ifs(and(isblank($A510),isblank($B510)),"", not(iserror(vlookup($A510&amp;$B510,'3) Release_Label'!$D:$D&amp;'3) Release_Label'!$E:$E,1,0))),vlookup($A510&amp;$B510,{'3) Release_Label'!$D:$D&amp;'3) Release_Label'!$E:$E,'3) Release_Label'!$F:$F},2,0), or(and(not(isblank($B510)),$B510=$B509,$A510&lt;&gt;$A509),and(not(isblank($A510)),$A510=$A509,$B510&lt;&gt;$B509)),"ID LISTS UNALIGNED",and($A510&lt;&gt;"",countif('3) Release_Label'!$D:$D,$A510)=0),"NO UPC MATCH in Release_Label",and($B510&lt;&gt;"",countif('3) Release_Label'!$E:$E,$B510)=0),"NO CATALOG ID MATCH in Release_Label",iserror(vlookup($A510&amp;$B510,'3) Release_Label'!$D:$D&amp;'3) Release_Label'!$E:$E,1,0)),"NO UPC-CATALOG ID pair MATCH in Release_Label" )</f>
        <v/>
      </c>
      <c r="D510" s="121" t="str">
        <f t="array" ref="D510">ifs(and(isblank($A510),isblank($B510)),"", not(iserror(vlookup($A510&amp;$B510,'3) Release_Label'!$D:$D&amp;'3) Release_Label'!$E:$E,1,0))),vlookup($A510&amp;$B510,{'3) Release_Label'!$D:$D&amp;'3) Release_Label'!$E:$E,'3) Release_Label'!$H:$H},2,0), or(and(not(isblank($B510)),$B510=$B509,$A510&lt;&gt;$A509),and(not(isblank($A510)),$A510=$A509,$B510&lt;&gt;$B509)),"ID LISTS UNALIGNED",and($A510&lt;&gt;"",countif('3) Release_Label'!$D:$D,$A510)=0),"NO UPC MATCH in Release_Label",and($B510&lt;&gt;"",countif('3) Release_Label'!$E:$E,$B510)=0),"NO CATALOG ID MATCH in Release_Label",iserror(vlookup($A510&amp;$B510,'3) Release_Label'!$D:$D&amp;'3) Release_Label'!$E:$E,1,0)),"NO UPC-CATALOG ID pair MATCH in Release_Label" )</f>
        <v/>
      </c>
      <c r="E510" s="99"/>
      <c r="F510" s="99"/>
      <c r="G510" s="123" t="str">
        <f t="array" ref="G510">ifs(or($F510="",$F510="Main Primary Artist"),$F510,not(iserror(vlookup($F510,'Reference info'!$J$5:$J$8,1,0))),"Key Artist",not(iserror(vlookup($F510,'Reference info'!$J$38:$J$405,1,0))),"Performer",not(iserror(vlookup($F510,'Reference info'!$J$10:$J$36,1,0))),"Producer &amp; Engineer")</f>
        <v/>
      </c>
    </row>
    <row r="511">
      <c r="A511" s="28"/>
      <c r="B511" s="103"/>
      <c r="C511" s="121" t="str">
        <f t="array" ref="C511">ifs(and(isblank($A511),isblank($B511)),"", not(iserror(vlookup($A511&amp;$B511,'3) Release_Label'!$D:$D&amp;'3) Release_Label'!$E:$E,1,0))),vlookup($A511&amp;$B511,{'3) Release_Label'!$D:$D&amp;'3) Release_Label'!$E:$E,'3) Release_Label'!$F:$F},2,0), or(and(not(isblank($B511)),$B511=$B510,$A511&lt;&gt;$A510),and(not(isblank($A511)),$A511=$A510,$B511&lt;&gt;$B510)),"ID LISTS UNALIGNED",and($A511&lt;&gt;"",countif('3) Release_Label'!$D:$D,$A511)=0),"NO UPC MATCH in Release_Label",and($B511&lt;&gt;"",countif('3) Release_Label'!$E:$E,$B511)=0),"NO CATALOG ID MATCH in Release_Label",iserror(vlookup($A511&amp;$B511,'3) Release_Label'!$D:$D&amp;'3) Release_Label'!$E:$E,1,0)),"NO UPC-CATALOG ID pair MATCH in Release_Label" )</f>
        <v/>
      </c>
      <c r="D511" s="121" t="str">
        <f t="array" ref="D511">ifs(and(isblank($A511),isblank($B511)),"", not(iserror(vlookup($A511&amp;$B511,'3) Release_Label'!$D:$D&amp;'3) Release_Label'!$E:$E,1,0))),vlookup($A511&amp;$B511,{'3) Release_Label'!$D:$D&amp;'3) Release_Label'!$E:$E,'3) Release_Label'!$H:$H},2,0), or(and(not(isblank($B511)),$B511=$B510,$A511&lt;&gt;$A510),and(not(isblank($A511)),$A511=$A510,$B511&lt;&gt;$B510)),"ID LISTS UNALIGNED",and($A511&lt;&gt;"",countif('3) Release_Label'!$D:$D,$A511)=0),"NO UPC MATCH in Release_Label",and($B511&lt;&gt;"",countif('3) Release_Label'!$E:$E,$B511)=0),"NO CATALOG ID MATCH in Release_Label",iserror(vlookup($A511&amp;$B511,'3) Release_Label'!$D:$D&amp;'3) Release_Label'!$E:$E,1,0)),"NO UPC-CATALOG ID pair MATCH in Release_Label" )</f>
        <v/>
      </c>
      <c r="E511" s="99"/>
      <c r="F511" s="99"/>
      <c r="G511" s="123" t="str">
        <f t="array" ref="G511">ifs(or($F511="",$F511="Main Primary Artist"),$F511,not(iserror(vlookup($F511,'Reference info'!$J$5:$J$8,1,0))),"Key Artist",not(iserror(vlookup($F511,'Reference info'!$J$38:$J$405,1,0))),"Performer",not(iserror(vlookup($F511,'Reference info'!$J$10:$J$36,1,0))),"Producer &amp; Engineer")</f>
        <v/>
      </c>
    </row>
    <row r="512">
      <c r="A512" s="28"/>
      <c r="B512" s="103"/>
      <c r="C512" s="121" t="str">
        <f t="array" ref="C512">ifs(and(isblank($A512),isblank($B512)),"", not(iserror(vlookup($A512&amp;$B512,'3) Release_Label'!$D:$D&amp;'3) Release_Label'!$E:$E,1,0))),vlookup($A512&amp;$B512,{'3) Release_Label'!$D:$D&amp;'3) Release_Label'!$E:$E,'3) Release_Label'!$F:$F},2,0), or(and(not(isblank($B512)),$B512=$B511,$A512&lt;&gt;$A511),and(not(isblank($A512)),$A512=$A511,$B512&lt;&gt;$B511)),"ID LISTS UNALIGNED",and($A512&lt;&gt;"",countif('3) Release_Label'!$D:$D,$A512)=0),"NO UPC MATCH in Release_Label",and($B512&lt;&gt;"",countif('3) Release_Label'!$E:$E,$B512)=0),"NO CATALOG ID MATCH in Release_Label",iserror(vlookup($A512&amp;$B512,'3) Release_Label'!$D:$D&amp;'3) Release_Label'!$E:$E,1,0)),"NO UPC-CATALOG ID pair MATCH in Release_Label" )</f>
        <v/>
      </c>
      <c r="D512" s="121" t="str">
        <f t="array" ref="D512">ifs(and(isblank($A512),isblank($B512)),"", not(iserror(vlookup($A512&amp;$B512,'3) Release_Label'!$D:$D&amp;'3) Release_Label'!$E:$E,1,0))),vlookup($A512&amp;$B512,{'3) Release_Label'!$D:$D&amp;'3) Release_Label'!$E:$E,'3) Release_Label'!$H:$H},2,0), or(and(not(isblank($B512)),$B512=$B511,$A512&lt;&gt;$A511),and(not(isblank($A512)),$A512=$A511,$B512&lt;&gt;$B511)),"ID LISTS UNALIGNED",and($A512&lt;&gt;"",countif('3) Release_Label'!$D:$D,$A512)=0),"NO UPC MATCH in Release_Label",and($B512&lt;&gt;"",countif('3) Release_Label'!$E:$E,$B512)=0),"NO CATALOG ID MATCH in Release_Label",iserror(vlookup($A512&amp;$B512,'3) Release_Label'!$D:$D&amp;'3) Release_Label'!$E:$E,1,0)),"NO UPC-CATALOG ID pair MATCH in Release_Label" )</f>
        <v/>
      </c>
      <c r="E512" s="99"/>
      <c r="F512" s="99"/>
      <c r="G512" s="123" t="str">
        <f t="array" ref="G512">ifs(or($F512="",$F512="Main Primary Artist"),$F512,not(iserror(vlookup($F512,'Reference info'!$J$5:$J$8,1,0))),"Key Artist",not(iserror(vlookup($F512,'Reference info'!$J$38:$J$405,1,0))),"Performer",not(iserror(vlookup($F512,'Reference info'!$J$10:$J$36,1,0))),"Producer &amp; Engineer")</f>
        <v/>
      </c>
    </row>
    <row r="513">
      <c r="A513" s="28"/>
      <c r="B513" s="103"/>
      <c r="C513" s="121" t="str">
        <f t="array" ref="C513">ifs(and(isblank($A513),isblank($B513)),"", not(iserror(vlookup($A513&amp;$B513,'3) Release_Label'!$D:$D&amp;'3) Release_Label'!$E:$E,1,0))),vlookup($A513&amp;$B513,{'3) Release_Label'!$D:$D&amp;'3) Release_Label'!$E:$E,'3) Release_Label'!$F:$F},2,0), or(and(not(isblank($B513)),$B513=$B512,$A513&lt;&gt;$A512),and(not(isblank($A513)),$A513=$A512,$B513&lt;&gt;$B512)),"ID LISTS UNALIGNED",and($A513&lt;&gt;"",countif('3) Release_Label'!$D:$D,$A513)=0),"NO UPC MATCH in Release_Label",and($B513&lt;&gt;"",countif('3) Release_Label'!$E:$E,$B513)=0),"NO CATALOG ID MATCH in Release_Label",iserror(vlookup($A513&amp;$B513,'3) Release_Label'!$D:$D&amp;'3) Release_Label'!$E:$E,1,0)),"NO UPC-CATALOG ID pair MATCH in Release_Label" )</f>
        <v/>
      </c>
      <c r="D513" s="121" t="str">
        <f t="array" ref="D513">ifs(and(isblank($A513),isblank($B513)),"", not(iserror(vlookup($A513&amp;$B513,'3) Release_Label'!$D:$D&amp;'3) Release_Label'!$E:$E,1,0))),vlookup($A513&amp;$B513,{'3) Release_Label'!$D:$D&amp;'3) Release_Label'!$E:$E,'3) Release_Label'!$H:$H},2,0), or(and(not(isblank($B513)),$B513=$B512,$A513&lt;&gt;$A512),and(not(isblank($A513)),$A513=$A512,$B513&lt;&gt;$B512)),"ID LISTS UNALIGNED",and($A513&lt;&gt;"",countif('3) Release_Label'!$D:$D,$A513)=0),"NO UPC MATCH in Release_Label",and($B513&lt;&gt;"",countif('3) Release_Label'!$E:$E,$B513)=0),"NO CATALOG ID MATCH in Release_Label",iserror(vlookup($A513&amp;$B513,'3) Release_Label'!$D:$D&amp;'3) Release_Label'!$E:$E,1,0)),"NO UPC-CATALOG ID pair MATCH in Release_Label" )</f>
        <v/>
      </c>
      <c r="E513" s="99"/>
      <c r="F513" s="99"/>
      <c r="G513" s="123" t="str">
        <f t="array" ref="G513">ifs(or($F513="",$F513="Main Primary Artist"),$F513,not(iserror(vlookup($F513,'Reference info'!$J$5:$J$8,1,0))),"Key Artist",not(iserror(vlookup($F513,'Reference info'!$J$38:$J$405,1,0))),"Performer",not(iserror(vlookup($F513,'Reference info'!$J$10:$J$36,1,0))),"Producer &amp; Engineer")</f>
        <v/>
      </c>
    </row>
    <row r="514">
      <c r="A514" s="28"/>
      <c r="B514" s="103"/>
      <c r="C514" s="121" t="str">
        <f t="array" ref="C514">ifs(and(isblank($A514),isblank($B514)),"", not(iserror(vlookup($A514&amp;$B514,'3) Release_Label'!$D:$D&amp;'3) Release_Label'!$E:$E,1,0))),vlookup($A514&amp;$B514,{'3) Release_Label'!$D:$D&amp;'3) Release_Label'!$E:$E,'3) Release_Label'!$F:$F},2,0), or(and(not(isblank($B514)),$B514=$B513,$A514&lt;&gt;$A513),and(not(isblank($A514)),$A514=$A513,$B514&lt;&gt;$B513)),"ID LISTS UNALIGNED",and($A514&lt;&gt;"",countif('3) Release_Label'!$D:$D,$A514)=0),"NO UPC MATCH in Release_Label",and($B514&lt;&gt;"",countif('3) Release_Label'!$E:$E,$B514)=0),"NO CATALOG ID MATCH in Release_Label",iserror(vlookup($A514&amp;$B514,'3) Release_Label'!$D:$D&amp;'3) Release_Label'!$E:$E,1,0)),"NO UPC-CATALOG ID pair MATCH in Release_Label" )</f>
        <v/>
      </c>
      <c r="D514" s="121" t="str">
        <f t="array" ref="D514">ifs(and(isblank($A514),isblank($B514)),"", not(iserror(vlookup($A514&amp;$B514,'3) Release_Label'!$D:$D&amp;'3) Release_Label'!$E:$E,1,0))),vlookup($A514&amp;$B514,{'3) Release_Label'!$D:$D&amp;'3) Release_Label'!$E:$E,'3) Release_Label'!$H:$H},2,0), or(and(not(isblank($B514)),$B514=$B513,$A514&lt;&gt;$A513),and(not(isblank($A514)),$A514=$A513,$B514&lt;&gt;$B513)),"ID LISTS UNALIGNED",and($A514&lt;&gt;"",countif('3) Release_Label'!$D:$D,$A514)=0),"NO UPC MATCH in Release_Label",and($B514&lt;&gt;"",countif('3) Release_Label'!$E:$E,$B514)=0),"NO CATALOG ID MATCH in Release_Label",iserror(vlookup($A514&amp;$B514,'3) Release_Label'!$D:$D&amp;'3) Release_Label'!$E:$E,1,0)),"NO UPC-CATALOG ID pair MATCH in Release_Label" )</f>
        <v/>
      </c>
      <c r="E514" s="99"/>
      <c r="F514" s="99"/>
      <c r="G514" s="123" t="str">
        <f t="array" ref="G514">ifs(or($F514="",$F514="Main Primary Artist"),$F514,not(iserror(vlookup($F514,'Reference info'!$J$5:$J$8,1,0))),"Key Artist",not(iserror(vlookup($F514,'Reference info'!$J$38:$J$405,1,0))),"Performer",not(iserror(vlookup($F514,'Reference info'!$J$10:$J$36,1,0))),"Producer &amp; Engineer")</f>
        <v/>
      </c>
    </row>
    <row r="515">
      <c r="A515" s="28"/>
      <c r="B515" s="103"/>
      <c r="C515" s="121" t="str">
        <f t="array" ref="C515">ifs(and(isblank($A515),isblank($B515)),"", not(iserror(vlookup($A515&amp;$B515,'3) Release_Label'!$D:$D&amp;'3) Release_Label'!$E:$E,1,0))),vlookup($A515&amp;$B515,{'3) Release_Label'!$D:$D&amp;'3) Release_Label'!$E:$E,'3) Release_Label'!$F:$F},2,0), or(and(not(isblank($B515)),$B515=$B514,$A515&lt;&gt;$A514),and(not(isblank($A515)),$A515=$A514,$B515&lt;&gt;$B514)),"ID LISTS UNALIGNED",and($A515&lt;&gt;"",countif('3) Release_Label'!$D:$D,$A515)=0),"NO UPC MATCH in Release_Label",and($B515&lt;&gt;"",countif('3) Release_Label'!$E:$E,$B515)=0),"NO CATALOG ID MATCH in Release_Label",iserror(vlookup($A515&amp;$B515,'3) Release_Label'!$D:$D&amp;'3) Release_Label'!$E:$E,1,0)),"NO UPC-CATALOG ID pair MATCH in Release_Label" )</f>
        <v/>
      </c>
      <c r="D515" s="121" t="str">
        <f t="array" ref="D515">ifs(and(isblank($A515),isblank($B515)),"", not(iserror(vlookup($A515&amp;$B515,'3) Release_Label'!$D:$D&amp;'3) Release_Label'!$E:$E,1,0))),vlookup($A515&amp;$B515,{'3) Release_Label'!$D:$D&amp;'3) Release_Label'!$E:$E,'3) Release_Label'!$H:$H},2,0), or(and(not(isblank($B515)),$B515=$B514,$A515&lt;&gt;$A514),and(not(isblank($A515)),$A515=$A514,$B515&lt;&gt;$B514)),"ID LISTS UNALIGNED",and($A515&lt;&gt;"",countif('3) Release_Label'!$D:$D,$A515)=0),"NO UPC MATCH in Release_Label",and($B515&lt;&gt;"",countif('3) Release_Label'!$E:$E,$B515)=0),"NO CATALOG ID MATCH in Release_Label",iserror(vlookup($A515&amp;$B515,'3) Release_Label'!$D:$D&amp;'3) Release_Label'!$E:$E,1,0)),"NO UPC-CATALOG ID pair MATCH in Release_Label" )</f>
        <v/>
      </c>
      <c r="E515" s="99"/>
      <c r="F515" s="99"/>
      <c r="G515" s="123" t="str">
        <f t="array" ref="G515">ifs(or($F515="",$F515="Main Primary Artist"),$F515,not(iserror(vlookup($F515,'Reference info'!$J$5:$J$8,1,0))),"Key Artist",not(iserror(vlookup($F515,'Reference info'!$J$38:$J$405,1,0))),"Performer",not(iserror(vlookup($F515,'Reference info'!$J$10:$J$36,1,0))),"Producer &amp; Engineer")</f>
        <v/>
      </c>
    </row>
    <row r="516">
      <c r="A516" s="28"/>
      <c r="B516" s="103"/>
      <c r="C516" s="121" t="str">
        <f t="array" ref="C516">ifs(and(isblank($A516),isblank($B516)),"", not(iserror(vlookup($A516&amp;$B516,'3) Release_Label'!$D:$D&amp;'3) Release_Label'!$E:$E,1,0))),vlookup($A516&amp;$B516,{'3) Release_Label'!$D:$D&amp;'3) Release_Label'!$E:$E,'3) Release_Label'!$F:$F},2,0), or(and(not(isblank($B516)),$B516=$B515,$A516&lt;&gt;$A515),and(not(isblank($A516)),$A516=$A515,$B516&lt;&gt;$B515)),"ID LISTS UNALIGNED",and($A516&lt;&gt;"",countif('3) Release_Label'!$D:$D,$A516)=0),"NO UPC MATCH in Release_Label",and($B516&lt;&gt;"",countif('3) Release_Label'!$E:$E,$B516)=0),"NO CATALOG ID MATCH in Release_Label",iserror(vlookup($A516&amp;$B516,'3) Release_Label'!$D:$D&amp;'3) Release_Label'!$E:$E,1,0)),"NO UPC-CATALOG ID pair MATCH in Release_Label" )</f>
        <v/>
      </c>
      <c r="D516" s="121" t="str">
        <f t="array" ref="D516">ifs(and(isblank($A516),isblank($B516)),"", not(iserror(vlookup($A516&amp;$B516,'3) Release_Label'!$D:$D&amp;'3) Release_Label'!$E:$E,1,0))),vlookup($A516&amp;$B516,{'3) Release_Label'!$D:$D&amp;'3) Release_Label'!$E:$E,'3) Release_Label'!$H:$H},2,0), or(and(not(isblank($B516)),$B516=$B515,$A516&lt;&gt;$A515),and(not(isblank($A516)),$A516=$A515,$B516&lt;&gt;$B515)),"ID LISTS UNALIGNED",and($A516&lt;&gt;"",countif('3) Release_Label'!$D:$D,$A516)=0),"NO UPC MATCH in Release_Label",and($B516&lt;&gt;"",countif('3) Release_Label'!$E:$E,$B516)=0),"NO CATALOG ID MATCH in Release_Label",iserror(vlookup($A516&amp;$B516,'3) Release_Label'!$D:$D&amp;'3) Release_Label'!$E:$E,1,0)),"NO UPC-CATALOG ID pair MATCH in Release_Label" )</f>
        <v/>
      </c>
      <c r="E516" s="99"/>
      <c r="F516" s="99"/>
      <c r="G516" s="123" t="str">
        <f t="array" ref="G516">ifs(or($F516="",$F516="Main Primary Artist"),$F516,not(iserror(vlookup($F516,'Reference info'!$J$5:$J$8,1,0))),"Key Artist",not(iserror(vlookup($F516,'Reference info'!$J$38:$J$405,1,0))),"Performer",not(iserror(vlookup($F516,'Reference info'!$J$10:$J$36,1,0))),"Producer &amp; Engineer")</f>
        <v/>
      </c>
    </row>
    <row r="517">
      <c r="A517" s="28"/>
      <c r="B517" s="103"/>
      <c r="C517" s="121" t="str">
        <f t="array" ref="C517">ifs(and(isblank($A517),isblank($B517)),"", not(iserror(vlookup($A517&amp;$B517,'3) Release_Label'!$D:$D&amp;'3) Release_Label'!$E:$E,1,0))),vlookup($A517&amp;$B517,{'3) Release_Label'!$D:$D&amp;'3) Release_Label'!$E:$E,'3) Release_Label'!$F:$F},2,0), or(and(not(isblank($B517)),$B517=$B516,$A517&lt;&gt;$A516),and(not(isblank($A517)),$A517=$A516,$B517&lt;&gt;$B516)),"ID LISTS UNALIGNED",and($A517&lt;&gt;"",countif('3) Release_Label'!$D:$D,$A517)=0),"NO UPC MATCH in Release_Label",and($B517&lt;&gt;"",countif('3) Release_Label'!$E:$E,$B517)=0),"NO CATALOG ID MATCH in Release_Label",iserror(vlookup($A517&amp;$B517,'3) Release_Label'!$D:$D&amp;'3) Release_Label'!$E:$E,1,0)),"NO UPC-CATALOG ID pair MATCH in Release_Label" )</f>
        <v/>
      </c>
      <c r="D517" s="121" t="str">
        <f t="array" ref="D517">ifs(and(isblank($A517),isblank($B517)),"", not(iserror(vlookup($A517&amp;$B517,'3) Release_Label'!$D:$D&amp;'3) Release_Label'!$E:$E,1,0))),vlookup($A517&amp;$B517,{'3) Release_Label'!$D:$D&amp;'3) Release_Label'!$E:$E,'3) Release_Label'!$H:$H},2,0), or(and(not(isblank($B517)),$B517=$B516,$A517&lt;&gt;$A516),and(not(isblank($A517)),$A517=$A516,$B517&lt;&gt;$B516)),"ID LISTS UNALIGNED",and($A517&lt;&gt;"",countif('3) Release_Label'!$D:$D,$A517)=0),"NO UPC MATCH in Release_Label",and($B517&lt;&gt;"",countif('3) Release_Label'!$E:$E,$B517)=0),"NO CATALOG ID MATCH in Release_Label",iserror(vlookup($A517&amp;$B517,'3) Release_Label'!$D:$D&amp;'3) Release_Label'!$E:$E,1,0)),"NO UPC-CATALOG ID pair MATCH in Release_Label" )</f>
        <v/>
      </c>
      <c r="E517" s="99"/>
      <c r="F517" s="99"/>
      <c r="G517" s="123" t="str">
        <f t="array" ref="G517">ifs(or($F517="",$F517="Main Primary Artist"),$F517,not(iserror(vlookup($F517,'Reference info'!$J$5:$J$8,1,0))),"Key Artist",not(iserror(vlookup($F517,'Reference info'!$J$38:$J$405,1,0))),"Performer",not(iserror(vlookup($F517,'Reference info'!$J$10:$J$36,1,0))),"Producer &amp; Engineer")</f>
        <v/>
      </c>
    </row>
    <row r="518">
      <c r="A518" s="28"/>
      <c r="B518" s="103"/>
      <c r="C518" s="121" t="str">
        <f t="array" ref="C518">ifs(and(isblank($A518),isblank($B518)),"", not(iserror(vlookup($A518&amp;$B518,'3) Release_Label'!$D:$D&amp;'3) Release_Label'!$E:$E,1,0))),vlookup($A518&amp;$B518,{'3) Release_Label'!$D:$D&amp;'3) Release_Label'!$E:$E,'3) Release_Label'!$F:$F},2,0), or(and(not(isblank($B518)),$B518=$B517,$A518&lt;&gt;$A517),and(not(isblank($A518)),$A518=$A517,$B518&lt;&gt;$B517)),"ID LISTS UNALIGNED",and($A518&lt;&gt;"",countif('3) Release_Label'!$D:$D,$A518)=0),"NO UPC MATCH in Release_Label",and($B518&lt;&gt;"",countif('3) Release_Label'!$E:$E,$B518)=0),"NO CATALOG ID MATCH in Release_Label",iserror(vlookup($A518&amp;$B518,'3) Release_Label'!$D:$D&amp;'3) Release_Label'!$E:$E,1,0)),"NO UPC-CATALOG ID pair MATCH in Release_Label" )</f>
        <v/>
      </c>
      <c r="D518" s="121" t="str">
        <f t="array" ref="D518">ifs(and(isblank($A518),isblank($B518)),"", not(iserror(vlookup($A518&amp;$B518,'3) Release_Label'!$D:$D&amp;'3) Release_Label'!$E:$E,1,0))),vlookup($A518&amp;$B518,{'3) Release_Label'!$D:$D&amp;'3) Release_Label'!$E:$E,'3) Release_Label'!$H:$H},2,0), or(and(not(isblank($B518)),$B518=$B517,$A518&lt;&gt;$A517),and(not(isblank($A518)),$A518=$A517,$B518&lt;&gt;$B517)),"ID LISTS UNALIGNED",and($A518&lt;&gt;"",countif('3) Release_Label'!$D:$D,$A518)=0),"NO UPC MATCH in Release_Label",and($B518&lt;&gt;"",countif('3) Release_Label'!$E:$E,$B518)=0),"NO CATALOG ID MATCH in Release_Label",iserror(vlookup($A518&amp;$B518,'3) Release_Label'!$D:$D&amp;'3) Release_Label'!$E:$E,1,0)),"NO UPC-CATALOG ID pair MATCH in Release_Label" )</f>
        <v/>
      </c>
      <c r="E518" s="99"/>
      <c r="F518" s="99"/>
      <c r="G518" s="123" t="str">
        <f t="array" ref="G518">ifs(or($F518="",$F518="Main Primary Artist"),$F518,not(iserror(vlookup($F518,'Reference info'!$J$5:$J$8,1,0))),"Key Artist",not(iserror(vlookup($F518,'Reference info'!$J$38:$J$405,1,0))),"Performer",not(iserror(vlookup($F518,'Reference info'!$J$10:$J$36,1,0))),"Producer &amp; Engineer")</f>
        <v/>
      </c>
    </row>
    <row r="519">
      <c r="A519" s="28"/>
      <c r="B519" s="103"/>
      <c r="C519" s="121" t="str">
        <f t="array" ref="C519">ifs(and(isblank($A519),isblank($B519)),"", not(iserror(vlookup($A519&amp;$B519,'3) Release_Label'!$D:$D&amp;'3) Release_Label'!$E:$E,1,0))),vlookup($A519&amp;$B519,{'3) Release_Label'!$D:$D&amp;'3) Release_Label'!$E:$E,'3) Release_Label'!$F:$F},2,0), or(and(not(isblank($B519)),$B519=$B518,$A519&lt;&gt;$A518),and(not(isblank($A519)),$A519=$A518,$B519&lt;&gt;$B518)),"ID LISTS UNALIGNED",and($A519&lt;&gt;"",countif('3) Release_Label'!$D:$D,$A519)=0),"NO UPC MATCH in Release_Label",and($B519&lt;&gt;"",countif('3) Release_Label'!$E:$E,$B519)=0),"NO CATALOG ID MATCH in Release_Label",iserror(vlookup($A519&amp;$B519,'3) Release_Label'!$D:$D&amp;'3) Release_Label'!$E:$E,1,0)),"NO UPC-CATALOG ID pair MATCH in Release_Label" )</f>
        <v/>
      </c>
      <c r="D519" s="121" t="str">
        <f t="array" ref="D519">ifs(and(isblank($A519),isblank($B519)),"", not(iserror(vlookup($A519&amp;$B519,'3) Release_Label'!$D:$D&amp;'3) Release_Label'!$E:$E,1,0))),vlookup($A519&amp;$B519,{'3) Release_Label'!$D:$D&amp;'3) Release_Label'!$E:$E,'3) Release_Label'!$H:$H},2,0), or(and(not(isblank($B519)),$B519=$B518,$A519&lt;&gt;$A518),and(not(isblank($A519)),$A519=$A518,$B519&lt;&gt;$B518)),"ID LISTS UNALIGNED",and($A519&lt;&gt;"",countif('3) Release_Label'!$D:$D,$A519)=0),"NO UPC MATCH in Release_Label",and($B519&lt;&gt;"",countif('3) Release_Label'!$E:$E,$B519)=0),"NO CATALOG ID MATCH in Release_Label",iserror(vlookup($A519&amp;$B519,'3) Release_Label'!$D:$D&amp;'3) Release_Label'!$E:$E,1,0)),"NO UPC-CATALOG ID pair MATCH in Release_Label" )</f>
        <v/>
      </c>
      <c r="E519" s="99"/>
      <c r="F519" s="99"/>
      <c r="G519" s="123" t="str">
        <f t="array" ref="G519">ifs(or($F519="",$F519="Main Primary Artist"),$F519,not(iserror(vlookup($F519,'Reference info'!$J$5:$J$8,1,0))),"Key Artist",not(iserror(vlookup($F519,'Reference info'!$J$38:$J$405,1,0))),"Performer",not(iserror(vlookup($F519,'Reference info'!$J$10:$J$36,1,0))),"Producer &amp; Engineer")</f>
        <v/>
      </c>
    </row>
    <row r="520">
      <c r="A520" s="28"/>
      <c r="B520" s="103"/>
      <c r="C520" s="121" t="str">
        <f t="array" ref="C520">ifs(and(isblank($A520),isblank($B520)),"", not(iserror(vlookup($A520&amp;$B520,'3) Release_Label'!$D:$D&amp;'3) Release_Label'!$E:$E,1,0))),vlookup($A520&amp;$B520,{'3) Release_Label'!$D:$D&amp;'3) Release_Label'!$E:$E,'3) Release_Label'!$F:$F},2,0), or(and(not(isblank($B520)),$B520=$B519,$A520&lt;&gt;$A519),and(not(isblank($A520)),$A520=$A519,$B520&lt;&gt;$B519)),"ID LISTS UNALIGNED",and($A520&lt;&gt;"",countif('3) Release_Label'!$D:$D,$A520)=0),"NO UPC MATCH in Release_Label",and($B520&lt;&gt;"",countif('3) Release_Label'!$E:$E,$B520)=0),"NO CATALOG ID MATCH in Release_Label",iserror(vlookup($A520&amp;$B520,'3) Release_Label'!$D:$D&amp;'3) Release_Label'!$E:$E,1,0)),"NO UPC-CATALOG ID pair MATCH in Release_Label" )</f>
        <v/>
      </c>
      <c r="D520" s="121" t="str">
        <f t="array" ref="D520">ifs(and(isblank($A520),isblank($B520)),"", not(iserror(vlookup($A520&amp;$B520,'3) Release_Label'!$D:$D&amp;'3) Release_Label'!$E:$E,1,0))),vlookup($A520&amp;$B520,{'3) Release_Label'!$D:$D&amp;'3) Release_Label'!$E:$E,'3) Release_Label'!$H:$H},2,0), or(and(not(isblank($B520)),$B520=$B519,$A520&lt;&gt;$A519),and(not(isblank($A520)),$A520=$A519,$B520&lt;&gt;$B519)),"ID LISTS UNALIGNED",and($A520&lt;&gt;"",countif('3) Release_Label'!$D:$D,$A520)=0),"NO UPC MATCH in Release_Label",and($B520&lt;&gt;"",countif('3) Release_Label'!$E:$E,$B520)=0),"NO CATALOG ID MATCH in Release_Label",iserror(vlookup($A520&amp;$B520,'3) Release_Label'!$D:$D&amp;'3) Release_Label'!$E:$E,1,0)),"NO UPC-CATALOG ID pair MATCH in Release_Label" )</f>
        <v/>
      </c>
      <c r="E520" s="99"/>
      <c r="F520" s="99"/>
      <c r="G520" s="123" t="str">
        <f t="array" ref="G520">ifs(or($F520="",$F520="Main Primary Artist"),$F520,not(iserror(vlookup($F520,'Reference info'!$J$5:$J$8,1,0))),"Key Artist",not(iserror(vlookup($F520,'Reference info'!$J$38:$J$405,1,0))),"Performer",not(iserror(vlookup($F520,'Reference info'!$J$10:$J$36,1,0))),"Producer &amp; Engineer")</f>
        <v/>
      </c>
    </row>
    <row r="521">
      <c r="A521" s="28"/>
      <c r="B521" s="103"/>
      <c r="C521" s="121" t="str">
        <f t="array" ref="C521">ifs(and(isblank($A521),isblank($B521)),"", not(iserror(vlookup($A521&amp;$B521,'3) Release_Label'!$D:$D&amp;'3) Release_Label'!$E:$E,1,0))),vlookup($A521&amp;$B521,{'3) Release_Label'!$D:$D&amp;'3) Release_Label'!$E:$E,'3) Release_Label'!$F:$F},2,0), or(and(not(isblank($B521)),$B521=$B520,$A521&lt;&gt;$A520),and(not(isblank($A521)),$A521=$A520,$B521&lt;&gt;$B520)),"ID LISTS UNALIGNED",and($A521&lt;&gt;"",countif('3) Release_Label'!$D:$D,$A521)=0),"NO UPC MATCH in Release_Label",and($B521&lt;&gt;"",countif('3) Release_Label'!$E:$E,$B521)=0),"NO CATALOG ID MATCH in Release_Label",iserror(vlookup($A521&amp;$B521,'3) Release_Label'!$D:$D&amp;'3) Release_Label'!$E:$E,1,0)),"NO UPC-CATALOG ID pair MATCH in Release_Label" )</f>
        <v/>
      </c>
      <c r="D521" s="121" t="str">
        <f t="array" ref="D521">ifs(and(isblank($A521),isblank($B521)),"", not(iserror(vlookup($A521&amp;$B521,'3) Release_Label'!$D:$D&amp;'3) Release_Label'!$E:$E,1,0))),vlookup($A521&amp;$B521,{'3) Release_Label'!$D:$D&amp;'3) Release_Label'!$E:$E,'3) Release_Label'!$H:$H},2,0), or(and(not(isblank($B521)),$B521=$B520,$A521&lt;&gt;$A520),and(not(isblank($A521)),$A521=$A520,$B521&lt;&gt;$B520)),"ID LISTS UNALIGNED",and($A521&lt;&gt;"",countif('3) Release_Label'!$D:$D,$A521)=0),"NO UPC MATCH in Release_Label",and($B521&lt;&gt;"",countif('3) Release_Label'!$E:$E,$B521)=0),"NO CATALOG ID MATCH in Release_Label",iserror(vlookup($A521&amp;$B521,'3) Release_Label'!$D:$D&amp;'3) Release_Label'!$E:$E,1,0)),"NO UPC-CATALOG ID pair MATCH in Release_Label" )</f>
        <v/>
      </c>
      <c r="E521" s="99"/>
      <c r="F521" s="99"/>
      <c r="G521" s="123" t="str">
        <f t="array" ref="G521">ifs(or($F521="",$F521="Main Primary Artist"),$F521,not(iserror(vlookup($F521,'Reference info'!$J$5:$J$8,1,0))),"Key Artist",not(iserror(vlookup($F521,'Reference info'!$J$38:$J$405,1,0))),"Performer",not(iserror(vlookup($F521,'Reference info'!$J$10:$J$36,1,0))),"Producer &amp; Engineer")</f>
        <v/>
      </c>
    </row>
    <row r="522">
      <c r="A522" s="28"/>
      <c r="B522" s="103"/>
      <c r="C522" s="121" t="str">
        <f t="array" ref="C522">ifs(and(isblank($A522),isblank($B522)),"", not(iserror(vlookup($A522&amp;$B522,'3) Release_Label'!$D:$D&amp;'3) Release_Label'!$E:$E,1,0))),vlookup($A522&amp;$B522,{'3) Release_Label'!$D:$D&amp;'3) Release_Label'!$E:$E,'3) Release_Label'!$F:$F},2,0), or(and(not(isblank($B522)),$B522=$B521,$A522&lt;&gt;$A521),and(not(isblank($A522)),$A522=$A521,$B522&lt;&gt;$B521)),"ID LISTS UNALIGNED",and($A522&lt;&gt;"",countif('3) Release_Label'!$D:$D,$A522)=0),"NO UPC MATCH in Release_Label",and($B522&lt;&gt;"",countif('3) Release_Label'!$E:$E,$B522)=0),"NO CATALOG ID MATCH in Release_Label",iserror(vlookup($A522&amp;$B522,'3) Release_Label'!$D:$D&amp;'3) Release_Label'!$E:$E,1,0)),"NO UPC-CATALOG ID pair MATCH in Release_Label" )</f>
        <v/>
      </c>
      <c r="D522" s="121" t="str">
        <f t="array" ref="D522">ifs(and(isblank($A522),isblank($B522)),"", not(iserror(vlookup($A522&amp;$B522,'3) Release_Label'!$D:$D&amp;'3) Release_Label'!$E:$E,1,0))),vlookup($A522&amp;$B522,{'3) Release_Label'!$D:$D&amp;'3) Release_Label'!$E:$E,'3) Release_Label'!$H:$H},2,0), or(and(not(isblank($B522)),$B522=$B521,$A522&lt;&gt;$A521),and(not(isblank($A522)),$A522=$A521,$B522&lt;&gt;$B521)),"ID LISTS UNALIGNED",and($A522&lt;&gt;"",countif('3) Release_Label'!$D:$D,$A522)=0),"NO UPC MATCH in Release_Label",and($B522&lt;&gt;"",countif('3) Release_Label'!$E:$E,$B522)=0),"NO CATALOG ID MATCH in Release_Label",iserror(vlookup($A522&amp;$B522,'3) Release_Label'!$D:$D&amp;'3) Release_Label'!$E:$E,1,0)),"NO UPC-CATALOG ID pair MATCH in Release_Label" )</f>
        <v/>
      </c>
      <c r="E522" s="99"/>
      <c r="F522" s="99"/>
      <c r="G522" s="123" t="str">
        <f t="array" ref="G522">ifs(or($F522="",$F522="Main Primary Artist"),$F522,not(iserror(vlookup($F522,'Reference info'!$J$5:$J$8,1,0))),"Key Artist",not(iserror(vlookup($F522,'Reference info'!$J$38:$J$405,1,0))),"Performer",not(iserror(vlookup($F522,'Reference info'!$J$10:$J$36,1,0))),"Producer &amp; Engineer")</f>
        <v/>
      </c>
    </row>
    <row r="523">
      <c r="A523" s="28"/>
      <c r="B523" s="103"/>
      <c r="C523" s="121" t="str">
        <f t="array" ref="C523">ifs(and(isblank($A523),isblank($B523)),"", not(iserror(vlookup($A523&amp;$B523,'3) Release_Label'!$D:$D&amp;'3) Release_Label'!$E:$E,1,0))),vlookup($A523&amp;$B523,{'3) Release_Label'!$D:$D&amp;'3) Release_Label'!$E:$E,'3) Release_Label'!$F:$F},2,0), or(and(not(isblank($B523)),$B523=$B522,$A523&lt;&gt;$A522),and(not(isblank($A523)),$A523=$A522,$B523&lt;&gt;$B522)),"ID LISTS UNALIGNED",and($A523&lt;&gt;"",countif('3) Release_Label'!$D:$D,$A523)=0),"NO UPC MATCH in Release_Label",and($B523&lt;&gt;"",countif('3) Release_Label'!$E:$E,$B523)=0),"NO CATALOG ID MATCH in Release_Label",iserror(vlookup($A523&amp;$B523,'3) Release_Label'!$D:$D&amp;'3) Release_Label'!$E:$E,1,0)),"NO UPC-CATALOG ID pair MATCH in Release_Label" )</f>
        <v/>
      </c>
      <c r="D523" s="121" t="str">
        <f t="array" ref="D523">ifs(and(isblank($A523),isblank($B523)),"", not(iserror(vlookup($A523&amp;$B523,'3) Release_Label'!$D:$D&amp;'3) Release_Label'!$E:$E,1,0))),vlookup($A523&amp;$B523,{'3) Release_Label'!$D:$D&amp;'3) Release_Label'!$E:$E,'3) Release_Label'!$H:$H},2,0), or(and(not(isblank($B523)),$B523=$B522,$A523&lt;&gt;$A522),and(not(isblank($A523)),$A523=$A522,$B523&lt;&gt;$B522)),"ID LISTS UNALIGNED",and($A523&lt;&gt;"",countif('3) Release_Label'!$D:$D,$A523)=0),"NO UPC MATCH in Release_Label",and($B523&lt;&gt;"",countif('3) Release_Label'!$E:$E,$B523)=0),"NO CATALOG ID MATCH in Release_Label",iserror(vlookup($A523&amp;$B523,'3) Release_Label'!$D:$D&amp;'3) Release_Label'!$E:$E,1,0)),"NO UPC-CATALOG ID pair MATCH in Release_Label" )</f>
        <v/>
      </c>
      <c r="E523" s="99"/>
      <c r="F523" s="99"/>
      <c r="G523" s="123" t="str">
        <f t="array" ref="G523">ifs(or($F523="",$F523="Main Primary Artist"),$F523,not(iserror(vlookup($F523,'Reference info'!$J$5:$J$8,1,0))),"Key Artist",not(iserror(vlookup($F523,'Reference info'!$J$38:$J$405,1,0))),"Performer",not(iserror(vlookup($F523,'Reference info'!$J$10:$J$36,1,0))),"Producer &amp; Engineer")</f>
        <v/>
      </c>
    </row>
    <row r="524">
      <c r="A524" s="28"/>
      <c r="B524" s="103"/>
      <c r="C524" s="121" t="str">
        <f t="array" ref="C524">ifs(and(isblank($A524),isblank($B524)),"", not(iserror(vlookup($A524&amp;$B524,'3) Release_Label'!$D:$D&amp;'3) Release_Label'!$E:$E,1,0))),vlookup($A524&amp;$B524,{'3) Release_Label'!$D:$D&amp;'3) Release_Label'!$E:$E,'3) Release_Label'!$F:$F},2,0), or(and(not(isblank($B524)),$B524=$B523,$A524&lt;&gt;$A523),and(not(isblank($A524)),$A524=$A523,$B524&lt;&gt;$B523)),"ID LISTS UNALIGNED",and($A524&lt;&gt;"",countif('3) Release_Label'!$D:$D,$A524)=0),"NO UPC MATCH in Release_Label",and($B524&lt;&gt;"",countif('3) Release_Label'!$E:$E,$B524)=0),"NO CATALOG ID MATCH in Release_Label",iserror(vlookup($A524&amp;$B524,'3) Release_Label'!$D:$D&amp;'3) Release_Label'!$E:$E,1,0)),"NO UPC-CATALOG ID pair MATCH in Release_Label" )</f>
        <v/>
      </c>
      <c r="D524" s="121" t="str">
        <f t="array" ref="D524">ifs(and(isblank($A524),isblank($B524)),"", not(iserror(vlookup($A524&amp;$B524,'3) Release_Label'!$D:$D&amp;'3) Release_Label'!$E:$E,1,0))),vlookup($A524&amp;$B524,{'3) Release_Label'!$D:$D&amp;'3) Release_Label'!$E:$E,'3) Release_Label'!$H:$H},2,0), or(and(not(isblank($B524)),$B524=$B523,$A524&lt;&gt;$A523),and(not(isblank($A524)),$A524=$A523,$B524&lt;&gt;$B523)),"ID LISTS UNALIGNED",and($A524&lt;&gt;"",countif('3) Release_Label'!$D:$D,$A524)=0),"NO UPC MATCH in Release_Label",and($B524&lt;&gt;"",countif('3) Release_Label'!$E:$E,$B524)=0),"NO CATALOG ID MATCH in Release_Label",iserror(vlookup($A524&amp;$B524,'3) Release_Label'!$D:$D&amp;'3) Release_Label'!$E:$E,1,0)),"NO UPC-CATALOG ID pair MATCH in Release_Label" )</f>
        <v/>
      </c>
      <c r="E524" s="99"/>
      <c r="F524" s="99"/>
      <c r="G524" s="123" t="str">
        <f t="array" ref="G524">ifs(or($F524="",$F524="Main Primary Artist"),$F524,not(iserror(vlookup($F524,'Reference info'!$J$5:$J$8,1,0))),"Key Artist",not(iserror(vlookup($F524,'Reference info'!$J$38:$J$405,1,0))),"Performer",not(iserror(vlookup($F524,'Reference info'!$J$10:$J$36,1,0))),"Producer &amp; Engineer")</f>
        <v/>
      </c>
    </row>
    <row r="525">
      <c r="A525" s="28"/>
      <c r="B525" s="103"/>
      <c r="C525" s="121" t="str">
        <f t="array" ref="C525">ifs(and(isblank($A525),isblank($B525)),"", not(iserror(vlookup($A525&amp;$B525,'3) Release_Label'!$D:$D&amp;'3) Release_Label'!$E:$E,1,0))),vlookup($A525&amp;$B525,{'3) Release_Label'!$D:$D&amp;'3) Release_Label'!$E:$E,'3) Release_Label'!$F:$F},2,0), or(and(not(isblank($B525)),$B525=$B524,$A525&lt;&gt;$A524),and(not(isblank($A525)),$A525=$A524,$B525&lt;&gt;$B524)),"ID LISTS UNALIGNED",and($A525&lt;&gt;"",countif('3) Release_Label'!$D:$D,$A525)=0),"NO UPC MATCH in Release_Label",and($B525&lt;&gt;"",countif('3) Release_Label'!$E:$E,$B525)=0),"NO CATALOG ID MATCH in Release_Label",iserror(vlookup($A525&amp;$B525,'3) Release_Label'!$D:$D&amp;'3) Release_Label'!$E:$E,1,0)),"NO UPC-CATALOG ID pair MATCH in Release_Label" )</f>
        <v/>
      </c>
      <c r="D525" s="121" t="str">
        <f t="array" ref="D525">ifs(and(isblank($A525),isblank($B525)),"", not(iserror(vlookup($A525&amp;$B525,'3) Release_Label'!$D:$D&amp;'3) Release_Label'!$E:$E,1,0))),vlookup($A525&amp;$B525,{'3) Release_Label'!$D:$D&amp;'3) Release_Label'!$E:$E,'3) Release_Label'!$H:$H},2,0), or(and(not(isblank($B525)),$B525=$B524,$A525&lt;&gt;$A524),and(not(isblank($A525)),$A525=$A524,$B525&lt;&gt;$B524)),"ID LISTS UNALIGNED",and($A525&lt;&gt;"",countif('3) Release_Label'!$D:$D,$A525)=0),"NO UPC MATCH in Release_Label",and($B525&lt;&gt;"",countif('3) Release_Label'!$E:$E,$B525)=0),"NO CATALOG ID MATCH in Release_Label",iserror(vlookup($A525&amp;$B525,'3) Release_Label'!$D:$D&amp;'3) Release_Label'!$E:$E,1,0)),"NO UPC-CATALOG ID pair MATCH in Release_Label" )</f>
        <v/>
      </c>
      <c r="E525" s="99"/>
      <c r="F525" s="99"/>
      <c r="G525" s="123" t="str">
        <f t="array" ref="G525">ifs(or($F525="",$F525="Main Primary Artist"),$F525,not(iserror(vlookup($F525,'Reference info'!$J$5:$J$8,1,0))),"Key Artist",not(iserror(vlookup($F525,'Reference info'!$J$38:$J$405,1,0))),"Performer",not(iserror(vlookup($F525,'Reference info'!$J$10:$J$36,1,0))),"Producer &amp; Engineer")</f>
        <v/>
      </c>
    </row>
    <row r="526">
      <c r="A526" s="28"/>
      <c r="B526" s="103"/>
      <c r="C526" s="121" t="str">
        <f t="array" ref="C526">ifs(and(isblank($A526),isblank($B526)),"", not(iserror(vlookup($A526&amp;$B526,'3) Release_Label'!$D:$D&amp;'3) Release_Label'!$E:$E,1,0))),vlookup($A526&amp;$B526,{'3) Release_Label'!$D:$D&amp;'3) Release_Label'!$E:$E,'3) Release_Label'!$F:$F},2,0), or(and(not(isblank($B526)),$B526=$B525,$A526&lt;&gt;$A525),and(not(isblank($A526)),$A526=$A525,$B526&lt;&gt;$B525)),"ID LISTS UNALIGNED",and($A526&lt;&gt;"",countif('3) Release_Label'!$D:$D,$A526)=0),"NO UPC MATCH in Release_Label",and($B526&lt;&gt;"",countif('3) Release_Label'!$E:$E,$B526)=0),"NO CATALOG ID MATCH in Release_Label",iserror(vlookup($A526&amp;$B526,'3) Release_Label'!$D:$D&amp;'3) Release_Label'!$E:$E,1,0)),"NO UPC-CATALOG ID pair MATCH in Release_Label" )</f>
        <v/>
      </c>
      <c r="D526" s="121" t="str">
        <f t="array" ref="D526">ifs(and(isblank($A526),isblank($B526)),"", not(iserror(vlookup($A526&amp;$B526,'3) Release_Label'!$D:$D&amp;'3) Release_Label'!$E:$E,1,0))),vlookup($A526&amp;$B526,{'3) Release_Label'!$D:$D&amp;'3) Release_Label'!$E:$E,'3) Release_Label'!$H:$H},2,0), or(and(not(isblank($B526)),$B526=$B525,$A526&lt;&gt;$A525),and(not(isblank($A526)),$A526=$A525,$B526&lt;&gt;$B525)),"ID LISTS UNALIGNED",and($A526&lt;&gt;"",countif('3) Release_Label'!$D:$D,$A526)=0),"NO UPC MATCH in Release_Label",and($B526&lt;&gt;"",countif('3) Release_Label'!$E:$E,$B526)=0),"NO CATALOG ID MATCH in Release_Label",iserror(vlookup($A526&amp;$B526,'3) Release_Label'!$D:$D&amp;'3) Release_Label'!$E:$E,1,0)),"NO UPC-CATALOG ID pair MATCH in Release_Label" )</f>
        <v/>
      </c>
      <c r="E526" s="99"/>
      <c r="F526" s="99"/>
      <c r="G526" s="123" t="str">
        <f t="array" ref="G526">ifs(or($F526="",$F526="Main Primary Artist"),$F526,not(iserror(vlookup($F526,'Reference info'!$J$5:$J$8,1,0))),"Key Artist",not(iserror(vlookup($F526,'Reference info'!$J$38:$J$405,1,0))),"Performer",not(iserror(vlookup($F526,'Reference info'!$J$10:$J$36,1,0))),"Producer &amp; Engineer")</f>
        <v/>
      </c>
    </row>
    <row r="527">
      <c r="A527" s="28"/>
      <c r="B527" s="103"/>
      <c r="C527" s="121" t="str">
        <f t="array" ref="C527">ifs(and(isblank($A527),isblank($B527)),"", not(iserror(vlookup($A527&amp;$B527,'3) Release_Label'!$D:$D&amp;'3) Release_Label'!$E:$E,1,0))),vlookup($A527&amp;$B527,{'3) Release_Label'!$D:$D&amp;'3) Release_Label'!$E:$E,'3) Release_Label'!$F:$F},2,0), or(and(not(isblank($B527)),$B527=$B526,$A527&lt;&gt;$A526),and(not(isblank($A527)),$A527=$A526,$B527&lt;&gt;$B526)),"ID LISTS UNALIGNED",and($A527&lt;&gt;"",countif('3) Release_Label'!$D:$D,$A527)=0),"NO UPC MATCH in Release_Label",and($B527&lt;&gt;"",countif('3) Release_Label'!$E:$E,$B527)=0),"NO CATALOG ID MATCH in Release_Label",iserror(vlookup($A527&amp;$B527,'3) Release_Label'!$D:$D&amp;'3) Release_Label'!$E:$E,1,0)),"NO UPC-CATALOG ID pair MATCH in Release_Label" )</f>
        <v/>
      </c>
      <c r="D527" s="121" t="str">
        <f t="array" ref="D527">ifs(and(isblank($A527),isblank($B527)),"", not(iserror(vlookup($A527&amp;$B527,'3) Release_Label'!$D:$D&amp;'3) Release_Label'!$E:$E,1,0))),vlookup($A527&amp;$B527,{'3) Release_Label'!$D:$D&amp;'3) Release_Label'!$E:$E,'3) Release_Label'!$H:$H},2,0), or(and(not(isblank($B527)),$B527=$B526,$A527&lt;&gt;$A526),and(not(isblank($A527)),$A527=$A526,$B527&lt;&gt;$B526)),"ID LISTS UNALIGNED",and($A527&lt;&gt;"",countif('3) Release_Label'!$D:$D,$A527)=0),"NO UPC MATCH in Release_Label",and($B527&lt;&gt;"",countif('3) Release_Label'!$E:$E,$B527)=0),"NO CATALOG ID MATCH in Release_Label",iserror(vlookup($A527&amp;$B527,'3) Release_Label'!$D:$D&amp;'3) Release_Label'!$E:$E,1,0)),"NO UPC-CATALOG ID pair MATCH in Release_Label" )</f>
        <v/>
      </c>
      <c r="E527" s="99"/>
      <c r="F527" s="99"/>
      <c r="G527" s="123" t="str">
        <f t="array" ref="G527">ifs(or($F527="",$F527="Main Primary Artist"),$F527,not(iserror(vlookup($F527,'Reference info'!$J$5:$J$8,1,0))),"Key Artist",not(iserror(vlookup($F527,'Reference info'!$J$38:$J$405,1,0))),"Performer",not(iserror(vlookup($F527,'Reference info'!$J$10:$J$36,1,0))),"Producer &amp; Engineer")</f>
        <v/>
      </c>
    </row>
    <row r="528">
      <c r="A528" s="28"/>
      <c r="B528" s="103"/>
      <c r="C528" s="121" t="str">
        <f t="array" ref="C528">ifs(and(isblank($A528),isblank($B528)),"", not(iserror(vlookup($A528&amp;$B528,'3) Release_Label'!$D:$D&amp;'3) Release_Label'!$E:$E,1,0))),vlookup($A528&amp;$B528,{'3) Release_Label'!$D:$D&amp;'3) Release_Label'!$E:$E,'3) Release_Label'!$F:$F},2,0), or(and(not(isblank($B528)),$B528=$B527,$A528&lt;&gt;$A527),and(not(isblank($A528)),$A528=$A527,$B528&lt;&gt;$B527)),"ID LISTS UNALIGNED",and($A528&lt;&gt;"",countif('3) Release_Label'!$D:$D,$A528)=0),"NO UPC MATCH in Release_Label",and($B528&lt;&gt;"",countif('3) Release_Label'!$E:$E,$B528)=0),"NO CATALOG ID MATCH in Release_Label",iserror(vlookup($A528&amp;$B528,'3) Release_Label'!$D:$D&amp;'3) Release_Label'!$E:$E,1,0)),"NO UPC-CATALOG ID pair MATCH in Release_Label" )</f>
        <v/>
      </c>
      <c r="D528" s="121" t="str">
        <f t="array" ref="D528">ifs(and(isblank($A528),isblank($B528)),"", not(iserror(vlookup($A528&amp;$B528,'3) Release_Label'!$D:$D&amp;'3) Release_Label'!$E:$E,1,0))),vlookup($A528&amp;$B528,{'3) Release_Label'!$D:$D&amp;'3) Release_Label'!$E:$E,'3) Release_Label'!$H:$H},2,0), or(and(not(isblank($B528)),$B528=$B527,$A528&lt;&gt;$A527),and(not(isblank($A528)),$A528=$A527,$B528&lt;&gt;$B527)),"ID LISTS UNALIGNED",and($A528&lt;&gt;"",countif('3) Release_Label'!$D:$D,$A528)=0),"NO UPC MATCH in Release_Label",and($B528&lt;&gt;"",countif('3) Release_Label'!$E:$E,$B528)=0),"NO CATALOG ID MATCH in Release_Label",iserror(vlookup($A528&amp;$B528,'3) Release_Label'!$D:$D&amp;'3) Release_Label'!$E:$E,1,0)),"NO UPC-CATALOG ID pair MATCH in Release_Label" )</f>
        <v/>
      </c>
      <c r="E528" s="99"/>
      <c r="F528" s="99"/>
      <c r="G528" s="123" t="str">
        <f t="array" ref="G528">ifs(or($F528="",$F528="Main Primary Artist"),$F528,not(iserror(vlookup($F528,'Reference info'!$J$5:$J$8,1,0))),"Key Artist",not(iserror(vlookup($F528,'Reference info'!$J$38:$J$405,1,0))),"Performer",not(iserror(vlookup($F528,'Reference info'!$J$10:$J$36,1,0))),"Producer &amp; Engineer")</f>
        <v/>
      </c>
    </row>
    <row r="529">
      <c r="A529" s="28"/>
      <c r="B529" s="103"/>
      <c r="C529" s="121" t="str">
        <f t="array" ref="C529">ifs(and(isblank($A529),isblank($B529)),"", not(iserror(vlookup($A529&amp;$B529,'3) Release_Label'!$D:$D&amp;'3) Release_Label'!$E:$E,1,0))),vlookup($A529&amp;$B529,{'3) Release_Label'!$D:$D&amp;'3) Release_Label'!$E:$E,'3) Release_Label'!$F:$F},2,0), or(and(not(isblank($B529)),$B529=$B528,$A529&lt;&gt;$A528),and(not(isblank($A529)),$A529=$A528,$B529&lt;&gt;$B528)),"ID LISTS UNALIGNED",and($A529&lt;&gt;"",countif('3) Release_Label'!$D:$D,$A529)=0),"NO UPC MATCH in Release_Label",and($B529&lt;&gt;"",countif('3) Release_Label'!$E:$E,$B529)=0),"NO CATALOG ID MATCH in Release_Label",iserror(vlookup($A529&amp;$B529,'3) Release_Label'!$D:$D&amp;'3) Release_Label'!$E:$E,1,0)),"NO UPC-CATALOG ID pair MATCH in Release_Label" )</f>
        <v/>
      </c>
      <c r="D529" s="121" t="str">
        <f t="array" ref="D529">ifs(and(isblank($A529),isblank($B529)),"", not(iserror(vlookup($A529&amp;$B529,'3) Release_Label'!$D:$D&amp;'3) Release_Label'!$E:$E,1,0))),vlookup($A529&amp;$B529,{'3) Release_Label'!$D:$D&amp;'3) Release_Label'!$E:$E,'3) Release_Label'!$H:$H},2,0), or(and(not(isblank($B529)),$B529=$B528,$A529&lt;&gt;$A528),and(not(isblank($A529)),$A529=$A528,$B529&lt;&gt;$B528)),"ID LISTS UNALIGNED",and($A529&lt;&gt;"",countif('3) Release_Label'!$D:$D,$A529)=0),"NO UPC MATCH in Release_Label",and($B529&lt;&gt;"",countif('3) Release_Label'!$E:$E,$B529)=0),"NO CATALOG ID MATCH in Release_Label",iserror(vlookup($A529&amp;$B529,'3) Release_Label'!$D:$D&amp;'3) Release_Label'!$E:$E,1,0)),"NO UPC-CATALOG ID pair MATCH in Release_Label" )</f>
        <v/>
      </c>
      <c r="E529" s="99"/>
      <c r="F529" s="99"/>
      <c r="G529" s="123" t="str">
        <f t="array" ref="G529">ifs(or($F529="",$F529="Main Primary Artist"),$F529,not(iserror(vlookup($F529,'Reference info'!$J$5:$J$8,1,0))),"Key Artist",not(iserror(vlookup($F529,'Reference info'!$J$38:$J$405,1,0))),"Performer",not(iserror(vlookup($F529,'Reference info'!$J$10:$J$36,1,0))),"Producer &amp; Engineer")</f>
        <v/>
      </c>
    </row>
    <row r="530">
      <c r="A530" s="28"/>
      <c r="B530" s="103"/>
      <c r="C530" s="121" t="str">
        <f t="array" ref="C530">ifs(and(isblank($A530),isblank($B530)),"", not(iserror(vlookup($A530&amp;$B530,'3) Release_Label'!$D:$D&amp;'3) Release_Label'!$E:$E,1,0))),vlookup($A530&amp;$B530,{'3) Release_Label'!$D:$D&amp;'3) Release_Label'!$E:$E,'3) Release_Label'!$F:$F},2,0), or(and(not(isblank($B530)),$B530=$B529,$A530&lt;&gt;$A529),and(not(isblank($A530)),$A530=$A529,$B530&lt;&gt;$B529)),"ID LISTS UNALIGNED",and($A530&lt;&gt;"",countif('3) Release_Label'!$D:$D,$A530)=0),"NO UPC MATCH in Release_Label",and($B530&lt;&gt;"",countif('3) Release_Label'!$E:$E,$B530)=0),"NO CATALOG ID MATCH in Release_Label",iserror(vlookup($A530&amp;$B530,'3) Release_Label'!$D:$D&amp;'3) Release_Label'!$E:$E,1,0)),"NO UPC-CATALOG ID pair MATCH in Release_Label" )</f>
        <v/>
      </c>
      <c r="D530" s="121" t="str">
        <f t="array" ref="D530">ifs(and(isblank($A530),isblank($B530)),"", not(iserror(vlookup($A530&amp;$B530,'3) Release_Label'!$D:$D&amp;'3) Release_Label'!$E:$E,1,0))),vlookup($A530&amp;$B530,{'3) Release_Label'!$D:$D&amp;'3) Release_Label'!$E:$E,'3) Release_Label'!$H:$H},2,0), or(and(not(isblank($B530)),$B530=$B529,$A530&lt;&gt;$A529),and(not(isblank($A530)),$A530=$A529,$B530&lt;&gt;$B529)),"ID LISTS UNALIGNED",and($A530&lt;&gt;"",countif('3) Release_Label'!$D:$D,$A530)=0),"NO UPC MATCH in Release_Label",and($B530&lt;&gt;"",countif('3) Release_Label'!$E:$E,$B530)=0),"NO CATALOG ID MATCH in Release_Label",iserror(vlookup($A530&amp;$B530,'3) Release_Label'!$D:$D&amp;'3) Release_Label'!$E:$E,1,0)),"NO UPC-CATALOG ID pair MATCH in Release_Label" )</f>
        <v/>
      </c>
      <c r="E530" s="99"/>
      <c r="F530" s="99"/>
      <c r="G530" s="123" t="str">
        <f t="array" ref="G530">ifs(or($F530="",$F530="Main Primary Artist"),$F530,not(iserror(vlookup($F530,'Reference info'!$J$5:$J$8,1,0))),"Key Artist",not(iserror(vlookup($F530,'Reference info'!$J$38:$J$405,1,0))),"Performer",not(iserror(vlookup($F530,'Reference info'!$J$10:$J$36,1,0))),"Producer &amp; Engineer")</f>
        <v/>
      </c>
    </row>
    <row r="531">
      <c r="A531" s="28"/>
      <c r="B531" s="103"/>
      <c r="C531" s="121" t="str">
        <f t="array" ref="C531">ifs(and(isblank($A531),isblank($B531)),"", not(iserror(vlookup($A531&amp;$B531,'3) Release_Label'!$D:$D&amp;'3) Release_Label'!$E:$E,1,0))),vlookup($A531&amp;$B531,{'3) Release_Label'!$D:$D&amp;'3) Release_Label'!$E:$E,'3) Release_Label'!$F:$F},2,0), or(and(not(isblank($B531)),$B531=$B530,$A531&lt;&gt;$A530),and(not(isblank($A531)),$A531=$A530,$B531&lt;&gt;$B530)),"ID LISTS UNALIGNED",and($A531&lt;&gt;"",countif('3) Release_Label'!$D:$D,$A531)=0),"NO UPC MATCH in Release_Label",and($B531&lt;&gt;"",countif('3) Release_Label'!$E:$E,$B531)=0),"NO CATALOG ID MATCH in Release_Label",iserror(vlookup($A531&amp;$B531,'3) Release_Label'!$D:$D&amp;'3) Release_Label'!$E:$E,1,0)),"NO UPC-CATALOG ID pair MATCH in Release_Label" )</f>
        <v/>
      </c>
      <c r="D531" s="121" t="str">
        <f t="array" ref="D531">ifs(and(isblank($A531),isblank($B531)),"", not(iserror(vlookup($A531&amp;$B531,'3) Release_Label'!$D:$D&amp;'3) Release_Label'!$E:$E,1,0))),vlookup($A531&amp;$B531,{'3) Release_Label'!$D:$D&amp;'3) Release_Label'!$E:$E,'3) Release_Label'!$H:$H},2,0), or(and(not(isblank($B531)),$B531=$B530,$A531&lt;&gt;$A530),and(not(isblank($A531)),$A531=$A530,$B531&lt;&gt;$B530)),"ID LISTS UNALIGNED",and($A531&lt;&gt;"",countif('3) Release_Label'!$D:$D,$A531)=0),"NO UPC MATCH in Release_Label",and($B531&lt;&gt;"",countif('3) Release_Label'!$E:$E,$B531)=0),"NO CATALOG ID MATCH in Release_Label",iserror(vlookup($A531&amp;$B531,'3) Release_Label'!$D:$D&amp;'3) Release_Label'!$E:$E,1,0)),"NO UPC-CATALOG ID pair MATCH in Release_Label" )</f>
        <v/>
      </c>
      <c r="E531" s="99"/>
      <c r="F531" s="99"/>
      <c r="G531" s="123" t="str">
        <f t="array" ref="G531">ifs(or($F531="",$F531="Main Primary Artist"),$F531,not(iserror(vlookup($F531,'Reference info'!$J$5:$J$8,1,0))),"Key Artist",not(iserror(vlookup($F531,'Reference info'!$J$38:$J$405,1,0))),"Performer",not(iserror(vlookup($F531,'Reference info'!$J$10:$J$36,1,0))),"Producer &amp; Engineer")</f>
        <v/>
      </c>
    </row>
    <row r="532">
      <c r="A532" s="28"/>
      <c r="B532" s="103"/>
      <c r="C532" s="121" t="str">
        <f t="array" ref="C532">ifs(and(isblank($A532),isblank($B532)),"", not(iserror(vlookup($A532&amp;$B532,'3) Release_Label'!$D:$D&amp;'3) Release_Label'!$E:$E,1,0))),vlookup($A532&amp;$B532,{'3) Release_Label'!$D:$D&amp;'3) Release_Label'!$E:$E,'3) Release_Label'!$F:$F},2,0), or(and(not(isblank($B532)),$B532=$B531,$A532&lt;&gt;$A531),and(not(isblank($A532)),$A532=$A531,$B532&lt;&gt;$B531)),"ID LISTS UNALIGNED",and($A532&lt;&gt;"",countif('3) Release_Label'!$D:$D,$A532)=0),"NO UPC MATCH in Release_Label",and($B532&lt;&gt;"",countif('3) Release_Label'!$E:$E,$B532)=0),"NO CATALOG ID MATCH in Release_Label",iserror(vlookup($A532&amp;$B532,'3) Release_Label'!$D:$D&amp;'3) Release_Label'!$E:$E,1,0)),"NO UPC-CATALOG ID pair MATCH in Release_Label" )</f>
        <v/>
      </c>
      <c r="D532" s="121" t="str">
        <f t="array" ref="D532">ifs(and(isblank($A532),isblank($B532)),"", not(iserror(vlookup($A532&amp;$B532,'3) Release_Label'!$D:$D&amp;'3) Release_Label'!$E:$E,1,0))),vlookup($A532&amp;$B532,{'3) Release_Label'!$D:$D&amp;'3) Release_Label'!$E:$E,'3) Release_Label'!$H:$H},2,0), or(and(not(isblank($B532)),$B532=$B531,$A532&lt;&gt;$A531),and(not(isblank($A532)),$A532=$A531,$B532&lt;&gt;$B531)),"ID LISTS UNALIGNED",and($A532&lt;&gt;"",countif('3) Release_Label'!$D:$D,$A532)=0),"NO UPC MATCH in Release_Label",and($B532&lt;&gt;"",countif('3) Release_Label'!$E:$E,$B532)=0),"NO CATALOG ID MATCH in Release_Label",iserror(vlookup($A532&amp;$B532,'3) Release_Label'!$D:$D&amp;'3) Release_Label'!$E:$E,1,0)),"NO UPC-CATALOG ID pair MATCH in Release_Label" )</f>
        <v/>
      </c>
      <c r="E532" s="99"/>
      <c r="F532" s="99"/>
      <c r="G532" s="123" t="str">
        <f t="array" ref="G532">ifs(or($F532="",$F532="Main Primary Artist"),$F532,not(iserror(vlookup($F532,'Reference info'!$J$5:$J$8,1,0))),"Key Artist",not(iserror(vlookup($F532,'Reference info'!$J$38:$J$405,1,0))),"Performer",not(iserror(vlookup($F532,'Reference info'!$J$10:$J$36,1,0))),"Producer &amp; Engineer")</f>
        <v/>
      </c>
    </row>
    <row r="533">
      <c r="A533" s="28"/>
      <c r="B533" s="103"/>
      <c r="C533" s="121" t="str">
        <f t="array" ref="C533">ifs(and(isblank($A533),isblank($B533)),"", not(iserror(vlookup($A533&amp;$B533,'3) Release_Label'!$D:$D&amp;'3) Release_Label'!$E:$E,1,0))),vlookup($A533&amp;$B533,{'3) Release_Label'!$D:$D&amp;'3) Release_Label'!$E:$E,'3) Release_Label'!$F:$F},2,0), or(and(not(isblank($B533)),$B533=$B532,$A533&lt;&gt;$A532),and(not(isblank($A533)),$A533=$A532,$B533&lt;&gt;$B532)),"ID LISTS UNALIGNED",and($A533&lt;&gt;"",countif('3) Release_Label'!$D:$D,$A533)=0),"NO UPC MATCH in Release_Label",and($B533&lt;&gt;"",countif('3) Release_Label'!$E:$E,$B533)=0),"NO CATALOG ID MATCH in Release_Label",iserror(vlookup($A533&amp;$B533,'3) Release_Label'!$D:$D&amp;'3) Release_Label'!$E:$E,1,0)),"NO UPC-CATALOG ID pair MATCH in Release_Label" )</f>
        <v/>
      </c>
      <c r="D533" s="121" t="str">
        <f t="array" ref="D533">ifs(and(isblank($A533),isblank($B533)),"", not(iserror(vlookup($A533&amp;$B533,'3) Release_Label'!$D:$D&amp;'3) Release_Label'!$E:$E,1,0))),vlookup($A533&amp;$B533,{'3) Release_Label'!$D:$D&amp;'3) Release_Label'!$E:$E,'3) Release_Label'!$H:$H},2,0), or(and(not(isblank($B533)),$B533=$B532,$A533&lt;&gt;$A532),and(not(isblank($A533)),$A533=$A532,$B533&lt;&gt;$B532)),"ID LISTS UNALIGNED",and($A533&lt;&gt;"",countif('3) Release_Label'!$D:$D,$A533)=0),"NO UPC MATCH in Release_Label",and($B533&lt;&gt;"",countif('3) Release_Label'!$E:$E,$B533)=0),"NO CATALOG ID MATCH in Release_Label",iserror(vlookup($A533&amp;$B533,'3) Release_Label'!$D:$D&amp;'3) Release_Label'!$E:$E,1,0)),"NO UPC-CATALOG ID pair MATCH in Release_Label" )</f>
        <v/>
      </c>
      <c r="E533" s="99"/>
      <c r="F533" s="99"/>
      <c r="G533" s="123" t="str">
        <f t="array" ref="G533">ifs(or($F533="",$F533="Main Primary Artist"),$F533,not(iserror(vlookup($F533,'Reference info'!$J$5:$J$8,1,0))),"Key Artist",not(iserror(vlookup($F533,'Reference info'!$J$38:$J$405,1,0))),"Performer",not(iserror(vlookup($F533,'Reference info'!$J$10:$J$36,1,0))),"Producer &amp; Engineer")</f>
        <v/>
      </c>
    </row>
    <row r="534">
      <c r="A534" s="28"/>
      <c r="B534" s="103"/>
      <c r="C534" s="121" t="str">
        <f t="array" ref="C534">ifs(and(isblank($A534),isblank($B534)),"", not(iserror(vlookup($A534&amp;$B534,'3) Release_Label'!$D:$D&amp;'3) Release_Label'!$E:$E,1,0))),vlookup($A534&amp;$B534,{'3) Release_Label'!$D:$D&amp;'3) Release_Label'!$E:$E,'3) Release_Label'!$F:$F},2,0), or(and(not(isblank($B534)),$B534=$B533,$A534&lt;&gt;$A533),and(not(isblank($A534)),$A534=$A533,$B534&lt;&gt;$B533)),"ID LISTS UNALIGNED",and($A534&lt;&gt;"",countif('3) Release_Label'!$D:$D,$A534)=0),"NO UPC MATCH in Release_Label",and($B534&lt;&gt;"",countif('3) Release_Label'!$E:$E,$B534)=0),"NO CATALOG ID MATCH in Release_Label",iserror(vlookup($A534&amp;$B534,'3) Release_Label'!$D:$D&amp;'3) Release_Label'!$E:$E,1,0)),"NO UPC-CATALOG ID pair MATCH in Release_Label" )</f>
        <v/>
      </c>
      <c r="D534" s="121" t="str">
        <f t="array" ref="D534">ifs(and(isblank($A534),isblank($B534)),"", not(iserror(vlookup($A534&amp;$B534,'3) Release_Label'!$D:$D&amp;'3) Release_Label'!$E:$E,1,0))),vlookup($A534&amp;$B534,{'3) Release_Label'!$D:$D&amp;'3) Release_Label'!$E:$E,'3) Release_Label'!$H:$H},2,0), or(and(not(isblank($B534)),$B534=$B533,$A534&lt;&gt;$A533),and(not(isblank($A534)),$A534=$A533,$B534&lt;&gt;$B533)),"ID LISTS UNALIGNED",and($A534&lt;&gt;"",countif('3) Release_Label'!$D:$D,$A534)=0),"NO UPC MATCH in Release_Label",and($B534&lt;&gt;"",countif('3) Release_Label'!$E:$E,$B534)=0),"NO CATALOG ID MATCH in Release_Label",iserror(vlookup($A534&amp;$B534,'3) Release_Label'!$D:$D&amp;'3) Release_Label'!$E:$E,1,0)),"NO UPC-CATALOG ID pair MATCH in Release_Label" )</f>
        <v/>
      </c>
      <c r="E534" s="99"/>
      <c r="F534" s="99"/>
      <c r="G534" s="123" t="str">
        <f t="array" ref="G534">ifs(or($F534="",$F534="Main Primary Artist"),$F534,not(iserror(vlookup($F534,'Reference info'!$J$5:$J$8,1,0))),"Key Artist",not(iserror(vlookup($F534,'Reference info'!$J$38:$J$405,1,0))),"Performer",not(iserror(vlookup($F534,'Reference info'!$J$10:$J$36,1,0))),"Producer &amp; Engineer")</f>
        <v/>
      </c>
    </row>
    <row r="535">
      <c r="A535" s="28"/>
      <c r="B535" s="103"/>
      <c r="C535" s="121" t="str">
        <f t="array" ref="C535">ifs(and(isblank($A535),isblank($B535)),"", not(iserror(vlookup($A535&amp;$B535,'3) Release_Label'!$D:$D&amp;'3) Release_Label'!$E:$E,1,0))),vlookup($A535&amp;$B535,{'3) Release_Label'!$D:$D&amp;'3) Release_Label'!$E:$E,'3) Release_Label'!$F:$F},2,0), or(and(not(isblank($B535)),$B535=$B534,$A535&lt;&gt;$A534),and(not(isblank($A535)),$A535=$A534,$B535&lt;&gt;$B534)),"ID LISTS UNALIGNED",and($A535&lt;&gt;"",countif('3) Release_Label'!$D:$D,$A535)=0),"NO UPC MATCH in Release_Label",and($B535&lt;&gt;"",countif('3) Release_Label'!$E:$E,$B535)=0),"NO CATALOG ID MATCH in Release_Label",iserror(vlookup($A535&amp;$B535,'3) Release_Label'!$D:$D&amp;'3) Release_Label'!$E:$E,1,0)),"NO UPC-CATALOG ID pair MATCH in Release_Label" )</f>
        <v/>
      </c>
      <c r="D535" s="121" t="str">
        <f t="array" ref="D535">ifs(and(isblank($A535),isblank($B535)),"", not(iserror(vlookup($A535&amp;$B535,'3) Release_Label'!$D:$D&amp;'3) Release_Label'!$E:$E,1,0))),vlookup($A535&amp;$B535,{'3) Release_Label'!$D:$D&amp;'3) Release_Label'!$E:$E,'3) Release_Label'!$H:$H},2,0), or(and(not(isblank($B535)),$B535=$B534,$A535&lt;&gt;$A534),and(not(isblank($A535)),$A535=$A534,$B535&lt;&gt;$B534)),"ID LISTS UNALIGNED",and($A535&lt;&gt;"",countif('3) Release_Label'!$D:$D,$A535)=0),"NO UPC MATCH in Release_Label",and($B535&lt;&gt;"",countif('3) Release_Label'!$E:$E,$B535)=0),"NO CATALOG ID MATCH in Release_Label",iserror(vlookup($A535&amp;$B535,'3) Release_Label'!$D:$D&amp;'3) Release_Label'!$E:$E,1,0)),"NO UPC-CATALOG ID pair MATCH in Release_Label" )</f>
        <v/>
      </c>
      <c r="E535" s="99"/>
      <c r="F535" s="99"/>
      <c r="G535" s="123" t="str">
        <f t="array" ref="G535">ifs(or($F535="",$F535="Main Primary Artist"),$F535,not(iserror(vlookup($F535,'Reference info'!$J$5:$J$8,1,0))),"Key Artist",not(iserror(vlookup($F535,'Reference info'!$J$38:$J$405,1,0))),"Performer",not(iserror(vlookup($F535,'Reference info'!$J$10:$J$36,1,0))),"Producer &amp; Engineer")</f>
        <v/>
      </c>
    </row>
    <row r="536">
      <c r="A536" s="28"/>
      <c r="B536" s="103"/>
      <c r="C536" s="121" t="str">
        <f t="array" ref="C536">ifs(and(isblank($A536),isblank($B536)),"", not(iserror(vlookup($A536&amp;$B536,'3) Release_Label'!$D:$D&amp;'3) Release_Label'!$E:$E,1,0))),vlookup($A536&amp;$B536,{'3) Release_Label'!$D:$D&amp;'3) Release_Label'!$E:$E,'3) Release_Label'!$F:$F},2,0), or(and(not(isblank($B536)),$B536=$B535,$A536&lt;&gt;$A535),and(not(isblank($A536)),$A536=$A535,$B536&lt;&gt;$B535)),"ID LISTS UNALIGNED",and($A536&lt;&gt;"",countif('3) Release_Label'!$D:$D,$A536)=0),"NO UPC MATCH in Release_Label",and($B536&lt;&gt;"",countif('3) Release_Label'!$E:$E,$B536)=0),"NO CATALOG ID MATCH in Release_Label",iserror(vlookup($A536&amp;$B536,'3) Release_Label'!$D:$D&amp;'3) Release_Label'!$E:$E,1,0)),"NO UPC-CATALOG ID pair MATCH in Release_Label" )</f>
        <v/>
      </c>
      <c r="D536" s="121" t="str">
        <f t="array" ref="D536">ifs(and(isblank($A536),isblank($B536)),"", not(iserror(vlookup($A536&amp;$B536,'3) Release_Label'!$D:$D&amp;'3) Release_Label'!$E:$E,1,0))),vlookup($A536&amp;$B536,{'3) Release_Label'!$D:$D&amp;'3) Release_Label'!$E:$E,'3) Release_Label'!$H:$H},2,0), or(and(not(isblank($B536)),$B536=$B535,$A536&lt;&gt;$A535),and(not(isblank($A536)),$A536=$A535,$B536&lt;&gt;$B535)),"ID LISTS UNALIGNED",and($A536&lt;&gt;"",countif('3) Release_Label'!$D:$D,$A536)=0),"NO UPC MATCH in Release_Label",and($B536&lt;&gt;"",countif('3) Release_Label'!$E:$E,$B536)=0),"NO CATALOG ID MATCH in Release_Label",iserror(vlookup($A536&amp;$B536,'3) Release_Label'!$D:$D&amp;'3) Release_Label'!$E:$E,1,0)),"NO UPC-CATALOG ID pair MATCH in Release_Label" )</f>
        <v/>
      </c>
      <c r="E536" s="99"/>
      <c r="F536" s="99"/>
      <c r="G536" s="123" t="str">
        <f t="array" ref="G536">ifs(or($F536="",$F536="Main Primary Artist"),$F536,not(iserror(vlookup($F536,'Reference info'!$J$5:$J$8,1,0))),"Key Artist",not(iserror(vlookup($F536,'Reference info'!$J$38:$J$405,1,0))),"Performer",not(iserror(vlookup($F536,'Reference info'!$J$10:$J$36,1,0))),"Producer &amp; Engineer")</f>
        <v/>
      </c>
    </row>
    <row r="537">
      <c r="A537" s="28"/>
      <c r="B537" s="103"/>
      <c r="C537" s="121" t="str">
        <f t="array" ref="C537">ifs(and(isblank($A537),isblank($B537)),"", not(iserror(vlookup($A537&amp;$B537,'3) Release_Label'!$D:$D&amp;'3) Release_Label'!$E:$E,1,0))),vlookup($A537&amp;$B537,{'3) Release_Label'!$D:$D&amp;'3) Release_Label'!$E:$E,'3) Release_Label'!$F:$F},2,0), or(and(not(isblank($B537)),$B537=$B536,$A537&lt;&gt;$A536),and(not(isblank($A537)),$A537=$A536,$B537&lt;&gt;$B536)),"ID LISTS UNALIGNED",and($A537&lt;&gt;"",countif('3) Release_Label'!$D:$D,$A537)=0),"NO UPC MATCH in Release_Label",and($B537&lt;&gt;"",countif('3) Release_Label'!$E:$E,$B537)=0),"NO CATALOG ID MATCH in Release_Label",iserror(vlookup($A537&amp;$B537,'3) Release_Label'!$D:$D&amp;'3) Release_Label'!$E:$E,1,0)),"NO UPC-CATALOG ID pair MATCH in Release_Label" )</f>
        <v/>
      </c>
      <c r="D537" s="121" t="str">
        <f t="array" ref="D537">ifs(and(isblank($A537),isblank($B537)),"", not(iserror(vlookup($A537&amp;$B537,'3) Release_Label'!$D:$D&amp;'3) Release_Label'!$E:$E,1,0))),vlookup($A537&amp;$B537,{'3) Release_Label'!$D:$D&amp;'3) Release_Label'!$E:$E,'3) Release_Label'!$H:$H},2,0), or(and(not(isblank($B537)),$B537=$B536,$A537&lt;&gt;$A536),and(not(isblank($A537)),$A537=$A536,$B537&lt;&gt;$B536)),"ID LISTS UNALIGNED",and($A537&lt;&gt;"",countif('3) Release_Label'!$D:$D,$A537)=0),"NO UPC MATCH in Release_Label",and($B537&lt;&gt;"",countif('3) Release_Label'!$E:$E,$B537)=0),"NO CATALOG ID MATCH in Release_Label",iserror(vlookup($A537&amp;$B537,'3) Release_Label'!$D:$D&amp;'3) Release_Label'!$E:$E,1,0)),"NO UPC-CATALOG ID pair MATCH in Release_Label" )</f>
        <v/>
      </c>
      <c r="E537" s="99"/>
      <c r="F537" s="99"/>
      <c r="G537" s="123" t="str">
        <f t="array" ref="G537">ifs(or($F537="",$F537="Main Primary Artist"),$F537,not(iserror(vlookup($F537,'Reference info'!$J$5:$J$8,1,0))),"Key Artist",not(iserror(vlookup($F537,'Reference info'!$J$38:$J$405,1,0))),"Performer",not(iserror(vlookup($F537,'Reference info'!$J$10:$J$36,1,0))),"Producer &amp; Engineer")</f>
        <v/>
      </c>
    </row>
    <row r="538">
      <c r="A538" s="28"/>
      <c r="B538" s="103"/>
      <c r="C538" s="121" t="str">
        <f t="array" ref="C538">ifs(and(isblank($A538),isblank($B538)),"", not(iserror(vlookup($A538&amp;$B538,'3) Release_Label'!$D:$D&amp;'3) Release_Label'!$E:$E,1,0))),vlookup($A538&amp;$B538,{'3) Release_Label'!$D:$D&amp;'3) Release_Label'!$E:$E,'3) Release_Label'!$F:$F},2,0), or(and(not(isblank($B538)),$B538=$B537,$A538&lt;&gt;$A537),and(not(isblank($A538)),$A538=$A537,$B538&lt;&gt;$B537)),"ID LISTS UNALIGNED",and($A538&lt;&gt;"",countif('3) Release_Label'!$D:$D,$A538)=0),"NO UPC MATCH in Release_Label",and($B538&lt;&gt;"",countif('3) Release_Label'!$E:$E,$B538)=0),"NO CATALOG ID MATCH in Release_Label",iserror(vlookup($A538&amp;$B538,'3) Release_Label'!$D:$D&amp;'3) Release_Label'!$E:$E,1,0)),"NO UPC-CATALOG ID pair MATCH in Release_Label" )</f>
        <v/>
      </c>
      <c r="D538" s="121" t="str">
        <f t="array" ref="D538">ifs(and(isblank($A538),isblank($B538)),"", not(iserror(vlookup($A538&amp;$B538,'3) Release_Label'!$D:$D&amp;'3) Release_Label'!$E:$E,1,0))),vlookup($A538&amp;$B538,{'3) Release_Label'!$D:$D&amp;'3) Release_Label'!$E:$E,'3) Release_Label'!$H:$H},2,0), or(and(not(isblank($B538)),$B538=$B537,$A538&lt;&gt;$A537),and(not(isblank($A538)),$A538=$A537,$B538&lt;&gt;$B537)),"ID LISTS UNALIGNED",and($A538&lt;&gt;"",countif('3) Release_Label'!$D:$D,$A538)=0),"NO UPC MATCH in Release_Label",and($B538&lt;&gt;"",countif('3) Release_Label'!$E:$E,$B538)=0),"NO CATALOG ID MATCH in Release_Label",iserror(vlookup($A538&amp;$B538,'3) Release_Label'!$D:$D&amp;'3) Release_Label'!$E:$E,1,0)),"NO UPC-CATALOG ID pair MATCH in Release_Label" )</f>
        <v/>
      </c>
      <c r="E538" s="99"/>
      <c r="F538" s="99"/>
      <c r="G538" s="123" t="str">
        <f t="array" ref="G538">ifs(or($F538="",$F538="Main Primary Artist"),$F538,not(iserror(vlookup($F538,'Reference info'!$J$5:$J$8,1,0))),"Key Artist",not(iserror(vlookup($F538,'Reference info'!$J$38:$J$405,1,0))),"Performer",not(iserror(vlookup($F538,'Reference info'!$J$10:$J$36,1,0))),"Producer &amp; Engineer")</f>
        <v/>
      </c>
    </row>
    <row r="539">
      <c r="A539" s="28"/>
      <c r="B539" s="103"/>
      <c r="C539" s="121" t="str">
        <f t="array" ref="C539">ifs(and(isblank($A539),isblank($B539)),"", not(iserror(vlookup($A539&amp;$B539,'3) Release_Label'!$D:$D&amp;'3) Release_Label'!$E:$E,1,0))),vlookup($A539&amp;$B539,{'3) Release_Label'!$D:$D&amp;'3) Release_Label'!$E:$E,'3) Release_Label'!$F:$F},2,0), or(and(not(isblank($B539)),$B539=$B538,$A539&lt;&gt;$A538),and(not(isblank($A539)),$A539=$A538,$B539&lt;&gt;$B538)),"ID LISTS UNALIGNED",and($A539&lt;&gt;"",countif('3) Release_Label'!$D:$D,$A539)=0),"NO UPC MATCH in Release_Label",and($B539&lt;&gt;"",countif('3) Release_Label'!$E:$E,$B539)=0),"NO CATALOG ID MATCH in Release_Label",iserror(vlookup($A539&amp;$B539,'3) Release_Label'!$D:$D&amp;'3) Release_Label'!$E:$E,1,0)),"NO UPC-CATALOG ID pair MATCH in Release_Label" )</f>
        <v/>
      </c>
      <c r="D539" s="121" t="str">
        <f t="array" ref="D539">ifs(and(isblank($A539),isblank($B539)),"", not(iserror(vlookup($A539&amp;$B539,'3) Release_Label'!$D:$D&amp;'3) Release_Label'!$E:$E,1,0))),vlookup($A539&amp;$B539,{'3) Release_Label'!$D:$D&amp;'3) Release_Label'!$E:$E,'3) Release_Label'!$H:$H},2,0), or(and(not(isblank($B539)),$B539=$B538,$A539&lt;&gt;$A538),and(not(isblank($A539)),$A539=$A538,$B539&lt;&gt;$B538)),"ID LISTS UNALIGNED",and($A539&lt;&gt;"",countif('3) Release_Label'!$D:$D,$A539)=0),"NO UPC MATCH in Release_Label",and($B539&lt;&gt;"",countif('3) Release_Label'!$E:$E,$B539)=0),"NO CATALOG ID MATCH in Release_Label",iserror(vlookup($A539&amp;$B539,'3) Release_Label'!$D:$D&amp;'3) Release_Label'!$E:$E,1,0)),"NO UPC-CATALOG ID pair MATCH in Release_Label" )</f>
        <v/>
      </c>
      <c r="E539" s="99"/>
      <c r="F539" s="99"/>
      <c r="G539" s="123" t="str">
        <f t="array" ref="G539">ifs(or($F539="",$F539="Main Primary Artist"),$F539,not(iserror(vlookup($F539,'Reference info'!$J$5:$J$8,1,0))),"Key Artist",not(iserror(vlookup($F539,'Reference info'!$J$38:$J$405,1,0))),"Performer",not(iserror(vlookup($F539,'Reference info'!$J$10:$J$36,1,0))),"Producer &amp; Engineer")</f>
        <v/>
      </c>
    </row>
    <row r="540">
      <c r="A540" s="28"/>
      <c r="B540" s="103"/>
      <c r="C540" s="121" t="str">
        <f t="array" ref="C540">ifs(and(isblank($A540),isblank($B540)),"", not(iserror(vlookup($A540&amp;$B540,'3) Release_Label'!$D:$D&amp;'3) Release_Label'!$E:$E,1,0))),vlookup($A540&amp;$B540,{'3) Release_Label'!$D:$D&amp;'3) Release_Label'!$E:$E,'3) Release_Label'!$F:$F},2,0), or(and(not(isblank($B540)),$B540=$B539,$A540&lt;&gt;$A539),and(not(isblank($A540)),$A540=$A539,$B540&lt;&gt;$B539)),"ID LISTS UNALIGNED",and($A540&lt;&gt;"",countif('3) Release_Label'!$D:$D,$A540)=0),"NO UPC MATCH in Release_Label",and($B540&lt;&gt;"",countif('3) Release_Label'!$E:$E,$B540)=0),"NO CATALOG ID MATCH in Release_Label",iserror(vlookup($A540&amp;$B540,'3) Release_Label'!$D:$D&amp;'3) Release_Label'!$E:$E,1,0)),"NO UPC-CATALOG ID pair MATCH in Release_Label" )</f>
        <v/>
      </c>
      <c r="D540" s="121" t="str">
        <f t="array" ref="D540">ifs(and(isblank($A540),isblank($B540)),"", not(iserror(vlookup($A540&amp;$B540,'3) Release_Label'!$D:$D&amp;'3) Release_Label'!$E:$E,1,0))),vlookup($A540&amp;$B540,{'3) Release_Label'!$D:$D&amp;'3) Release_Label'!$E:$E,'3) Release_Label'!$H:$H},2,0), or(and(not(isblank($B540)),$B540=$B539,$A540&lt;&gt;$A539),and(not(isblank($A540)),$A540=$A539,$B540&lt;&gt;$B539)),"ID LISTS UNALIGNED",and($A540&lt;&gt;"",countif('3) Release_Label'!$D:$D,$A540)=0),"NO UPC MATCH in Release_Label",and($B540&lt;&gt;"",countif('3) Release_Label'!$E:$E,$B540)=0),"NO CATALOG ID MATCH in Release_Label",iserror(vlookup($A540&amp;$B540,'3) Release_Label'!$D:$D&amp;'3) Release_Label'!$E:$E,1,0)),"NO UPC-CATALOG ID pair MATCH in Release_Label" )</f>
        <v/>
      </c>
      <c r="E540" s="99"/>
      <c r="F540" s="99"/>
      <c r="G540" s="123" t="str">
        <f t="array" ref="G540">ifs(or($F540="",$F540="Main Primary Artist"),$F540,not(iserror(vlookup($F540,'Reference info'!$J$5:$J$8,1,0))),"Key Artist",not(iserror(vlookup($F540,'Reference info'!$J$38:$J$405,1,0))),"Performer",not(iserror(vlookup($F540,'Reference info'!$J$10:$J$36,1,0))),"Producer &amp; Engineer")</f>
        <v/>
      </c>
    </row>
    <row r="541">
      <c r="A541" s="28"/>
      <c r="B541" s="103"/>
      <c r="C541" s="121" t="str">
        <f t="array" ref="C541">ifs(and(isblank($A541),isblank($B541)),"", not(iserror(vlookup($A541&amp;$B541,'3) Release_Label'!$D:$D&amp;'3) Release_Label'!$E:$E,1,0))),vlookup($A541&amp;$B541,{'3) Release_Label'!$D:$D&amp;'3) Release_Label'!$E:$E,'3) Release_Label'!$F:$F},2,0), or(and(not(isblank($B541)),$B541=$B540,$A541&lt;&gt;$A540),and(not(isblank($A541)),$A541=$A540,$B541&lt;&gt;$B540)),"ID LISTS UNALIGNED",and($A541&lt;&gt;"",countif('3) Release_Label'!$D:$D,$A541)=0),"NO UPC MATCH in Release_Label",and($B541&lt;&gt;"",countif('3) Release_Label'!$E:$E,$B541)=0),"NO CATALOG ID MATCH in Release_Label",iserror(vlookup($A541&amp;$B541,'3) Release_Label'!$D:$D&amp;'3) Release_Label'!$E:$E,1,0)),"NO UPC-CATALOG ID pair MATCH in Release_Label" )</f>
        <v/>
      </c>
      <c r="D541" s="121" t="str">
        <f t="array" ref="D541">ifs(and(isblank($A541),isblank($B541)),"", not(iserror(vlookup($A541&amp;$B541,'3) Release_Label'!$D:$D&amp;'3) Release_Label'!$E:$E,1,0))),vlookup($A541&amp;$B541,{'3) Release_Label'!$D:$D&amp;'3) Release_Label'!$E:$E,'3) Release_Label'!$H:$H},2,0), or(and(not(isblank($B541)),$B541=$B540,$A541&lt;&gt;$A540),and(not(isblank($A541)),$A541=$A540,$B541&lt;&gt;$B540)),"ID LISTS UNALIGNED",and($A541&lt;&gt;"",countif('3) Release_Label'!$D:$D,$A541)=0),"NO UPC MATCH in Release_Label",and($B541&lt;&gt;"",countif('3) Release_Label'!$E:$E,$B541)=0),"NO CATALOG ID MATCH in Release_Label",iserror(vlookup($A541&amp;$B541,'3) Release_Label'!$D:$D&amp;'3) Release_Label'!$E:$E,1,0)),"NO UPC-CATALOG ID pair MATCH in Release_Label" )</f>
        <v/>
      </c>
      <c r="E541" s="99"/>
      <c r="F541" s="99"/>
      <c r="G541" s="123" t="str">
        <f t="array" ref="G541">ifs(or($F541="",$F541="Main Primary Artist"),$F541,not(iserror(vlookup($F541,'Reference info'!$J$5:$J$8,1,0))),"Key Artist",not(iserror(vlookup($F541,'Reference info'!$J$38:$J$405,1,0))),"Performer",not(iserror(vlookup($F541,'Reference info'!$J$10:$J$36,1,0))),"Producer &amp; Engineer")</f>
        <v/>
      </c>
    </row>
    <row r="542">
      <c r="A542" s="28"/>
      <c r="B542" s="103"/>
      <c r="C542" s="121" t="str">
        <f t="array" ref="C542">ifs(and(isblank($A542),isblank($B542)),"", not(iserror(vlookup($A542&amp;$B542,'3) Release_Label'!$D:$D&amp;'3) Release_Label'!$E:$E,1,0))),vlookup($A542&amp;$B542,{'3) Release_Label'!$D:$D&amp;'3) Release_Label'!$E:$E,'3) Release_Label'!$F:$F},2,0), or(and(not(isblank($B542)),$B542=$B541,$A542&lt;&gt;$A541),and(not(isblank($A542)),$A542=$A541,$B542&lt;&gt;$B541)),"ID LISTS UNALIGNED",and($A542&lt;&gt;"",countif('3) Release_Label'!$D:$D,$A542)=0),"NO UPC MATCH in Release_Label",and($B542&lt;&gt;"",countif('3) Release_Label'!$E:$E,$B542)=0),"NO CATALOG ID MATCH in Release_Label",iserror(vlookup($A542&amp;$B542,'3) Release_Label'!$D:$D&amp;'3) Release_Label'!$E:$E,1,0)),"NO UPC-CATALOG ID pair MATCH in Release_Label" )</f>
        <v/>
      </c>
      <c r="D542" s="121" t="str">
        <f t="array" ref="D542">ifs(and(isblank($A542),isblank($B542)),"", not(iserror(vlookup($A542&amp;$B542,'3) Release_Label'!$D:$D&amp;'3) Release_Label'!$E:$E,1,0))),vlookup($A542&amp;$B542,{'3) Release_Label'!$D:$D&amp;'3) Release_Label'!$E:$E,'3) Release_Label'!$H:$H},2,0), or(and(not(isblank($B542)),$B542=$B541,$A542&lt;&gt;$A541),and(not(isblank($A542)),$A542=$A541,$B542&lt;&gt;$B541)),"ID LISTS UNALIGNED",and($A542&lt;&gt;"",countif('3) Release_Label'!$D:$D,$A542)=0),"NO UPC MATCH in Release_Label",and($B542&lt;&gt;"",countif('3) Release_Label'!$E:$E,$B542)=0),"NO CATALOG ID MATCH in Release_Label",iserror(vlookup($A542&amp;$B542,'3) Release_Label'!$D:$D&amp;'3) Release_Label'!$E:$E,1,0)),"NO UPC-CATALOG ID pair MATCH in Release_Label" )</f>
        <v/>
      </c>
      <c r="E542" s="99"/>
      <c r="F542" s="99"/>
      <c r="G542" s="123" t="str">
        <f t="array" ref="G542">ifs(or($F542="",$F542="Main Primary Artist"),$F542,not(iserror(vlookup($F542,'Reference info'!$J$5:$J$8,1,0))),"Key Artist",not(iserror(vlookup($F542,'Reference info'!$J$38:$J$405,1,0))),"Performer",not(iserror(vlookup($F542,'Reference info'!$J$10:$J$36,1,0))),"Producer &amp; Engineer")</f>
        <v/>
      </c>
    </row>
    <row r="543">
      <c r="A543" s="28"/>
      <c r="B543" s="103"/>
      <c r="C543" s="121" t="str">
        <f t="array" ref="C543">ifs(and(isblank($A543),isblank($B543)),"", not(iserror(vlookup($A543&amp;$B543,'3) Release_Label'!$D:$D&amp;'3) Release_Label'!$E:$E,1,0))),vlookup($A543&amp;$B543,{'3) Release_Label'!$D:$D&amp;'3) Release_Label'!$E:$E,'3) Release_Label'!$F:$F},2,0), or(and(not(isblank($B543)),$B543=$B542,$A543&lt;&gt;$A542),and(not(isblank($A543)),$A543=$A542,$B543&lt;&gt;$B542)),"ID LISTS UNALIGNED",and($A543&lt;&gt;"",countif('3) Release_Label'!$D:$D,$A543)=0),"NO UPC MATCH in Release_Label",and($B543&lt;&gt;"",countif('3) Release_Label'!$E:$E,$B543)=0),"NO CATALOG ID MATCH in Release_Label",iserror(vlookup($A543&amp;$B543,'3) Release_Label'!$D:$D&amp;'3) Release_Label'!$E:$E,1,0)),"NO UPC-CATALOG ID pair MATCH in Release_Label" )</f>
        <v/>
      </c>
      <c r="D543" s="121" t="str">
        <f t="array" ref="D543">ifs(and(isblank($A543),isblank($B543)),"", not(iserror(vlookup($A543&amp;$B543,'3) Release_Label'!$D:$D&amp;'3) Release_Label'!$E:$E,1,0))),vlookup($A543&amp;$B543,{'3) Release_Label'!$D:$D&amp;'3) Release_Label'!$E:$E,'3) Release_Label'!$H:$H},2,0), or(and(not(isblank($B543)),$B543=$B542,$A543&lt;&gt;$A542),and(not(isblank($A543)),$A543=$A542,$B543&lt;&gt;$B542)),"ID LISTS UNALIGNED",and($A543&lt;&gt;"",countif('3) Release_Label'!$D:$D,$A543)=0),"NO UPC MATCH in Release_Label",and($B543&lt;&gt;"",countif('3) Release_Label'!$E:$E,$B543)=0),"NO CATALOG ID MATCH in Release_Label",iserror(vlookup($A543&amp;$B543,'3) Release_Label'!$D:$D&amp;'3) Release_Label'!$E:$E,1,0)),"NO UPC-CATALOG ID pair MATCH in Release_Label" )</f>
        <v/>
      </c>
      <c r="E543" s="99"/>
      <c r="F543" s="99"/>
      <c r="G543" s="123" t="str">
        <f t="array" ref="G543">ifs(or($F543="",$F543="Main Primary Artist"),$F543,not(iserror(vlookup($F543,'Reference info'!$J$5:$J$8,1,0))),"Key Artist",not(iserror(vlookup($F543,'Reference info'!$J$38:$J$405,1,0))),"Performer",not(iserror(vlookup($F543,'Reference info'!$J$10:$J$36,1,0))),"Producer &amp; Engineer")</f>
        <v/>
      </c>
    </row>
    <row r="544">
      <c r="A544" s="28"/>
      <c r="B544" s="103"/>
      <c r="C544" s="121" t="str">
        <f t="array" ref="C544">ifs(and(isblank($A544),isblank($B544)),"", not(iserror(vlookup($A544&amp;$B544,'3) Release_Label'!$D:$D&amp;'3) Release_Label'!$E:$E,1,0))),vlookup($A544&amp;$B544,{'3) Release_Label'!$D:$D&amp;'3) Release_Label'!$E:$E,'3) Release_Label'!$F:$F},2,0), or(and(not(isblank($B544)),$B544=$B543,$A544&lt;&gt;$A543),and(not(isblank($A544)),$A544=$A543,$B544&lt;&gt;$B543)),"ID LISTS UNALIGNED",and($A544&lt;&gt;"",countif('3) Release_Label'!$D:$D,$A544)=0),"NO UPC MATCH in Release_Label",and($B544&lt;&gt;"",countif('3) Release_Label'!$E:$E,$B544)=0),"NO CATALOG ID MATCH in Release_Label",iserror(vlookup($A544&amp;$B544,'3) Release_Label'!$D:$D&amp;'3) Release_Label'!$E:$E,1,0)),"NO UPC-CATALOG ID pair MATCH in Release_Label" )</f>
        <v/>
      </c>
      <c r="D544" s="121" t="str">
        <f t="array" ref="D544">ifs(and(isblank($A544),isblank($B544)),"", not(iserror(vlookup($A544&amp;$B544,'3) Release_Label'!$D:$D&amp;'3) Release_Label'!$E:$E,1,0))),vlookup($A544&amp;$B544,{'3) Release_Label'!$D:$D&amp;'3) Release_Label'!$E:$E,'3) Release_Label'!$H:$H},2,0), or(and(not(isblank($B544)),$B544=$B543,$A544&lt;&gt;$A543),and(not(isblank($A544)),$A544=$A543,$B544&lt;&gt;$B543)),"ID LISTS UNALIGNED",and($A544&lt;&gt;"",countif('3) Release_Label'!$D:$D,$A544)=0),"NO UPC MATCH in Release_Label",and($B544&lt;&gt;"",countif('3) Release_Label'!$E:$E,$B544)=0),"NO CATALOG ID MATCH in Release_Label",iserror(vlookup($A544&amp;$B544,'3) Release_Label'!$D:$D&amp;'3) Release_Label'!$E:$E,1,0)),"NO UPC-CATALOG ID pair MATCH in Release_Label" )</f>
        <v/>
      </c>
      <c r="E544" s="99"/>
      <c r="F544" s="99"/>
      <c r="G544" s="123" t="str">
        <f t="array" ref="G544">ifs(or($F544="",$F544="Main Primary Artist"),$F544,not(iserror(vlookup($F544,'Reference info'!$J$5:$J$8,1,0))),"Key Artist",not(iserror(vlookup($F544,'Reference info'!$J$38:$J$405,1,0))),"Performer",not(iserror(vlookup($F544,'Reference info'!$J$10:$J$36,1,0))),"Producer &amp; Engineer")</f>
        <v/>
      </c>
    </row>
    <row r="545">
      <c r="A545" s="28"/>
      <c r="B545" s="103"/>
      <c r="C545" s="121" t="str">
        <f t="array" ref="C545">ifs(and(isblank($A545),isblank($B545)),"", not(iserror(vlookup($A545&amp;$B545,'3) Release_Label'!$D:$D&amp;'3) Release_Label'!$E:$E,1,0))),vlookup($A545&amp;$B545,{'3) Release_Label'!$D:$D&amp;'3) Release_Label'!$E:$E,'3) Release_Label'!$F:$F},2,0), or(and(not(isblank($B545)),$B545=$B544,$A545&lt;&gt;$A544),and(not(isblank($A545)),$A545=$A544,$B545&lt;&gt;$B544)),"ID LISTS UNALIGNED",and($A545&lt;&gt;"",countif('3) Release_Label'!$D:$D,$A545)=0),"NO UPC MATCH in Release_Label",and($B545&lt;&gt;"",countif('3) Release_Label'!$E:$E,$B545)=0),"NO CATALOG ID MATCH in Release_Label",iserror(vlookup($A545&amp;$B545,'3) Release_Label'!$D:$D&amp;'3) Release_Label'!$E:$E,1,0)),"NO UPC-CATALOG ID pair MATCH in Release_Label" )</f>
        <v/>
      </c>
      <c r="D545" s="121" t="str">
        <f t="array" ref="D545">ifs(and(isblank($A545),isblank($B545)),"", not(iserror(vlookup($A545&amp;$B545,'3) Release_Label'!$D:$D&amp;'3) Release_Label'!$E:$E,1,0))),vlookup($A545&amp;$B545,{'3) Release_Label'!$D:$D&amp;'3) Release_Label'!$E:$E,'3) Release_Label'!$H:$H},2,0), or(and(not(isblank($B545)),$B545=$B544,$A545&lt;&gt;$A544),and(not(isblank($A545)),$A545=$A544,$B545&lt;&gt;$B544)),"ID LISTS UNALIGNED",and($A545&lt;&gt;"",countif('3) Release_Label'!$D:$D,$A545)=0),"NO UPC MATCH in Release_Label",and($B545&lt;&gt;"",countif('3) Release_Label'!$E:$E,$B545)=0),"NO CATALOG ID MATCH in Release_Label",iserror(vlookup($A545&amp;$B545,'3) Release_Label'!$D:$D&amp;'3) Release_Label'!$E:$E,1,0)),"NO UPC-CATALOG ID pair MATCH in Release_Label" )</f>
        <v/>
      </c>
      <c r="E545" s="99"/>
      <c r="F545" s="99"/>
      <c r="G545" s="123" t="str">
        <f t="array" ref="G545">ifs(or($F545="",$F545="Main Primary Artist"),$F545,not(iserror(vlookup($F545,'Reference info'!$J$5:$J$8,1,0))),"Key Artist",not(iserror(vlookup($F545,'Reference info'!$J$38:$J$405,1,0))),"Performer",not(iserror(vlookup($F545,'Reference info'!$J$10:$J$36,1,0))),"Producer &amp; Engineer")</f>
        <v/>
      </c>
    </row>
    <row r="546">
      <c r="A546" s="28"/>
      <c r="B546" s="103"/>
      <c r="C546" s="121" t="str">
        <f t="array" ref="C546">ifs(and(isblank($A546),isblank($B546)),"", not(iserror(vlookup($A546&amp;$B546,'3) Release_Label'!$D:$D&amp;'3) Release_Label'!$E:$E,1,0))),vlookup($A546&amp;$B546,{'3) Release_Label'!$D:$D&amp;'3) Release_Label'!$E:$E,'3) Release_Label'!$F:$F},2,0), or(and(not(isblank($B546)),$B546=$B545,$A546&lt;&gt;$A545),and(not(isblank($A546)),$A546=$A545,$B546&lt;&gt;$B545)),"ID LISTS UNALIGNED",and($A546&lt;&gt;"",countif('3) Release_Label'!$D:$D,$A546)=0),"NO UPC MATCH in Release_Label",and($B546&lt;&gt;"",countif('3) Release_Label'!$E:$E,$B546)=0),"NO CATALOG ID MATCH in Release_Label",iserror(vlookup($A546&amp;$B546,'3) Release_Label'!$D:$D&amp;'3) Release_Label'!$E:$E,1,0)),"NO UPC-CATALOG ID pair MATCH in Release_Label" )</f>
        <v/>
      </c>
      <c r="D546" s="121" t="str">
        <f t="array" ref="D546">ifs(and(isblank($A546),isblank($B546)),"", not(iserror(vlookup($A546&amp;$B546,'3) Release_Label'!$D:$D&amp;'3) Release_Label'!$E:$E,1,0))),vlookup($A546&amp;$B546,{'3) Release_Label'!$D:$D&amp;'3) Release_Label'!$E:$E,'3) Release_Label'!$H:$H},2,0), or(and(not(isblank($B546)),$B546=$B545,$A546&lt;&gt;$A545),and(not(isblank($A546)),$A546=$A545,$B546&lt;&gt;$B545)),"ID LISTS UNALIGNED",and($A546&lt;&gt;"",countif('3) Release_Label'!$D:$D,$A546)=0),"NO UPC MATCH in Release_Label",and($B546&lt;&gt;"",countif('3) Release_Label'!$E:$E,$B546)=0),"NO CATALOG ID MATCH in Release_Label",iserror(vlookup($A546&amp;$B546,'3) Release_Label'!$D:$D&amp;'3) Release_Label'!$E:$E,1,0)),"NO UPC-CATALOG ID pair MATCH in Release_Label" )</f>
        <v/>
      </c>
      <c r="E546" s="99"/>
      <c r="F546" s="99"/>
      <c r="G546" s="123" t="str">
        <f t="array" ref="G546">ifs(or($F546="",$F546="Main Primary Artist"),$F546,not(iserror(vlookup($F546,'Reference info'!$J$5:$J$8,1,0))),"Key Artist",not(iserror(vlookup($F546,'Reference info'!$J$38:$J$405,1,0))),"Performer",not(iserror(vlookup($F546,'Reference info'!$J$10:$J$36,1,0))),"Producer &amp; Engineer")</f>
        <v/>
      </c>
    </row>
    <row r="547">
      <c r="A547" s="28"/>
      <c r="B547" s="103"/>
      <c r="C547" s="121" t="str">
        <f t="array" ref="C547">ifs(and(isblank($A547),isblank($B547)),"", not(iserror(vlookup($A547&amp;$B547,'3) Release_Label'!$D:$D&amp;'3) Release_Label'!$E:$E,1,0))),vlookup($A547&amp;$B547,{'3) Release_Label'!$D:$D&amp;'3) Release_Label'!$E:$E,'3) Release_Label'!$F:$F},2,0), or(and(not(isblank($B547)),$B547=$B546,$A547&lt;&gt;$A546),and(not(isblank($A547)),$A547=$A546,$B547&lt;&gt;$B546)),"ID LISTS UNALIGNED",and($A547&lt;&gt;"",countif('3) Release_Label'!$D:$D,$A547)=0),"NO UPC MATCH in Release_Label",and($B547&lt;&gt;"",countif('3) Release_Label'!$E:$E,$B547)=0),"NO CATALOG ID MATCH in Release_Label",iserror(vlookup($A547&amp;$B547,'3) Release_Label'!$D:$D&amp;'3) Release_Label'!$E:$E,1,0)),"NO UPC-CATALOG ID pair MATCH in Release_Label" )</f>
        <v/>
      </c>
      <c r="D547" s="121" t="str">
        <f t="array" ref="D547">ifs(and(isblank($A547),isblank($B547)),"", not(iserror(vlookup($A547&amp;$B547,'3) Release_Label'!$D:$D&amp;'3) Release_Label'!$E:$E,1,0))),vlookup($A547&amp;$B547,{'3) Release_Label'!$D:$D&amp;'3) Release_Label'!$E:$E,'3) Release_Label'!$H:$H},2,0), or(and(not(isblank($B547)),$B547=$B546,$A547&lt;&gt;$A546),and(not(isblank($A547)),$A547=$A546,$B547&lt;&gt;$B546)),"ID LISTS UNALIGNED",and($A547&lt;&gt;"",countif('3) Release_Label'!$D:$D,$A547)=0),"NO UPC MATCH in Release_Label",and($B547&lt;&gt;"",countif('3) Release_Label'!$E:$E,$B547)=0),"NO CATALOG ID MATCH in Release_Label",iserror(vlookup($A547&amp;$B547,'3) Release_Label'!$D:$D&amp;'3) Release_Label'!$E:$E,1,0)),"NO UPC-CATALOG ID pair MATCH in Release_Label" )</f>
        <v/>
      </c>
      <c r="E547" s="99"/>
      <c r="F547" s="99"/>
      <c r="G547" s="123" t="str">
        <f t="array" ref="G547">ifs(or($F547="",$F547="Main Primary Artist"),$F547,not(iserror(vlookup($F547,'Reference info'!$J$5:$J$8,1,0))),"Key Artist",not(iserror(vlookup($F547,'Reference info'!$J$38:$J$405,1,0))),"Performer",not(iserror(vlookup($F547,'Reference info'!$J$10:$J$36,1,0))),"Producer &amp; Engineer")</f>
        <v/>
      </c>
    </row>
    <row r="548">
      <c r="A548" s="28"/>
      <c r="B548" s="103"/>
      <c r="C548" s="121" t="str">
        <f t="array" ref="C548">ifs(and(isblank($A548),isblank($B548)),"", not(iserror(vlookup($A548&amp;$B548,'3) Release_Label'!$D:$D&amp;'3) Release_Label'!$E:$E,1,0))),vlookup($A548&amp;$B548,{'3) Release_Label'!$D:$D&amp;'3) Release_Label'!$E:$E,'3) Release_Label'!$F:$F},2,0), or(and(not(isblank($B548)),$B548=$B547,$A548&lt;&gt;$A547),and(not(isblank($A548)),$A548=$A547,$B548&lt;&gt;$B547)),"ID LISTS UNALIGNED",and($A548&lt;&gt;"",countif('3) Release_Label'!$D:$D,$A548)=0),"NO UPC MATCH in Release_Label",and($B548&lt;&gt;"",countif('3) Release_Label'!$E:$E,$B548)=0),"NO CATALOG ID MATCH in Release_Label",iserror(vlookup($A548&amp;$B548,'3) Release_Label'!$D:$D&amp;'3) Release_Label'!$E:$E,1,0)),"NO UPC-CATALOG ID pair MATCH in Release_Label" )</f>
        <v/>
      </c>
      <c r="D548" s="121" t="str">
        <f t="array" ref="D548">ifs(and(isblank($A548),isblank($B548)),"", not(iserror(vlookup($A548&amp;$B548,'3) Release_Label'!$D:$D&amp;'3) Release_Label'!$E:$E,1,0))),vlookup($A548&amp;$B548,{'3) Release_Label'!$D:$D&amp;'3) Release_Label'!$E:$E,'3) Release_Label'!$H:$H},2,0), or(and(not(isblank($B548)),$B548=$B547,$A548&lt;&gt;$A547),and(not(isblank($A548)),$A548=$A547,$B548&lt;&gt;$B547)),"ID LISTS UNALIGNED",and($A548&lt;&gt;"",countif('3) Release_Label'!$D:$D,$A548)=0),"NO UPC MATCH in Release_Label",and($B548&lt;&gt;"",countif('3) Release_Label'!$E:$E,$B548)=0),"NO CATALOG ID MATCH in Release_Label",iserror(vlookup($A548&amp;$B548,'3) Release_Label'!$D:$D&amp;'3) Release_Label'!$E:$E,1,0)),"NO UPC-CATALOG ID pair MATCH in Release_Label" )</f>
        <v/>
      </c>
      <c r="E548" s="99"/>
      <c r="F548" s="99"/>
      <c r="G548" s="123" t="str">
        <f t="array" ref="G548">ifs(or($F548="",$F548="Main Primary Artist"),$F548,not(iserror(vlookup($F548,'Reference info'!$J$5:$J$8,1,0))),"Key Artist",not(iserror(vlookup($F548,'Reference info'!$J$38:$J$405,1,0))),"Performer",not(iserror(vlookup($F548,'Reference info'!$J$10:$J$36,1,0))),"Producer &amp; Engineer")</f>
        <v/>
      </c>
    </row>
    <row r="549">
      <c r="A549" s="28"/>
      <c r="B549" s="103"/>
      <c r="C549" s="121" t="str">
        <f t="array" ref="C549">ifs(and(isblank($A549),isblank($B549)),"", not(iserror(vlookup($A549&amp;$B549,'3) Release_Label'!$D:$D&amp;'3) Release_Label'!$E:$E,1,0))),vlookup($A549&amp;$B549,{'3) Release_Label'!$D:$D&amp;'3) Release_Label'!$E:$E,'3) Release_Label'!$F:$F},2,0), or(and(not(isblank($B549)),$B549=$B548,$A549&lt;&gt;$A548),and(not(isblank($A549)),$A549=$A548,$B549&lt;&gt;$B548)),"ID LISTS UNALIGNED",and($A549&lt;&gt;"",countif('3) Release_Label'!$D:$D,$A549)=0),"NO UPC MATCH in Release_Label",and($B549&lt;&gt;"",countif('3) Release_Label'!$E:$E,$B549)=0),"NO CATALOG ID MATCH in Release_Label",iserror(vlookup($A549&amp;$B549,'3) Release_Label'!$D:$D&amp;'3) Release_Label'!$E:$E,1,0)),"NO UPC-CATALOG ID pair MATCH in Release_Label" )</f>
        <v/>
      </c>
      <c r="D549" s="121" t="str">
        <f t="array" ref="D549">ifs(and(isblank($A549),isblank($B549)),"", not(iserror(vlookup($A549&amp;$B549,'3) Release_Label'!$D:$D&amp;'3) Release_Label'!$E:$E,1,0))),vlookup($A549&amp;$B549,{'3) Release_Label'!$D:$D&amp;'3) Release_Label'!$E:$E,'3) Release_Label'!$H:$H},2,0), or(and(not(isblank($B549)),$B549=$B548,$A549&lt;&gt;$A548),and(not(isblank($A549)),$A549=$A548,$B549&lt;&gt;$B548)),"ID LISTS UNALIGNED",and($A549&lt;&gt;"",countif('3) Release_Label'!$D:$D,$A549)=0),"NO UPC MATCH in Release_Label",and($B549&lt;&gt;"",countif('3) Release_Label'!$E:$E,$B549)=0),"NO CATALOG ID MATCH in Release_Label",iserror(vlookup($A549&amp;$B549,'3) Release_Label'!$D:$D&amp;'3) Release_Label'!$E:$E,1,0)),"NO UPC-CATALOG ID pair MATCH in Release_Label" )</f>
        <v/>
      </c>
      <c r="E549" s="99"/>
      <c r="F549" s="99"/>
      <c r="G549" s="123" t="str">
        <f t="array" ref="G549">ifs(or($F549="",$F549="Main Primary Artist"),$F549,not(iserror(vlookup($F549,'Reference info'!$J$5:$J$8,1,0))),"Key Artist",not(iserror(vlookup($F549,'Reference info'!$J$38:$J$405,1,0))),"Performer",not(iserror(vlookup($F549,'Reference info'!$J$10:$J$36,1,0))),"Producer &amp; Engineer")</f>
        <v/>
      </c>
    </row>
    <row r="550">
      <c r="A550" s="28"/>
      <c r="B550" s="103"/>
      <c r="C550" s="121" t="str">
        <f t="array" ref="C550">ifs(and(isblank($A550),isblank($B550)),"", not(iserror(vlookup($A550&amp;$B550,'3) Release_Label'!$D:$D&amp;'3) Release_Label'!$E:$E,1,0))),vlookup($A550&amp;$B550,{'3) Release_Label'!$D:$D&amp;'3) Release_Label'!$E:$E,'3) Release_Label'!$F:$F},2,0), or(and(not(isblank($B550)),$B550=$B549,$A550&lt;&gt;$A549),and(not(isblank($A550)),$A550=$A549,$B550&lt;&gt;$B549)),"ID LISTS UNALIGNED",and($A550&lt;&gt;"",countif('3) Release_Label'!$D:$D,$A550)=0),"NO UPC MATCH in Release_Label",and($B550&lt;&gt;"",countif('3) Release_Label'!$E:$E,$B550)=0),"NO CATALOG ID MATCH in Release_Label",iserror(vlookup($A550&amp;$B550,'3) Release_Label'!$D:$D&amp;'3) Release_Label'!$E:$E,1,0)),"NO UPC-CATALOG ID pair MATCH in Release_Label" )</f>
        <v/>
      </c>
      <c r="D550" s="121" t="str">
        <f t="array" ref="D550">ifs(and(isblank($A550),isblank($B550)),"", not(iserror(vlookup($A550&amp;$B550,'3) Release_Label'!$D:$D&amp;'3) Release_Label'!$E:$E,1,0))),vlookup($A550&amp;$B550,{'3) Release_Label'!$D:$D&amp;'3) Release_Label'!$E:$E,'3) Release_Label'!$H:$H},2,0), or(and(not(isblank($B550)),$B550=$B549,$A550&lt;&gt;$A549),and(not(isblank($A550)),$A550=$A549,$B550&lt;&gt;$B549)),"ID LISTS UNALIGNED",and($A550&lt;&gt;"",countif('3) Release_Label'!$D:$D,$A550)=0),"NO UPC MATCH in Release_Label",and($B550&lt;&gt;"",countif('3) Release_Label'!$E:$E,$B550)=0),"NO CATALOG ID MATCH in Release_Label",iserror(vlookup($A550&amp;$B550,'3) Release_Label'!$D:$D&amp;'3) Release_Label'!$E:$E,1,0)),"NO UPC-CATALOG ID pair MATCH in Release_Label" )</f>
        <v/>
      </c>
      <c r="E550" s="99"/>
      <c r="F550" s="99"/>
      <c r="G550" s="123" t="str">
        <f t="array" ref="G550">ifs(or($F550="",$F550="Main Primary Artist"),$F550,not(iserror(vlookup($F550,'Reference info'!$J$5:$J$8,1,0))),"Key Artist",not(iserror(vlookup($F550,'Reference info'!$J$38:$J$405,1,0))),"Performer",not(iserror(vlookup($F550,'Reference info'!$J$10:$J$36,1,0))),"Producer &amp; Engineer")</f>
        <v/>
      </c>
    </row>
    <row r="551">
      <c r="A551" s="28"/>
      <c r="B551" s="103"/>
      <c r="C551" s="121" t="str">
        <f t="array" ref="C551">ifs(and(isblank($A551),isblank($B551)),"", not(iserror(vlookup($A551&amp;$B551,'3) Release_Label'!$D:$D&amp;'3) Release_Label'!$E:$E,1,0))),vlookup($A551&amp;$B551,{'3) Release_Label'!$D:$D&amp;'3) Release_Label'!$E:$E,'3) Release_Label'!$F:$F},2,0), or(and(not(isblank($B551)),$B551=$B550,$A551&lt;&gt;$A550),and(not(isblank($A551)),$A551=$A550,$B551&lt;&gt;$B550)),"ID LISTS UNALIGNED",and($A551&lt;&gt;"",countif('3) Release_Label'!$D:$D,$A551)=0),"NO UPC MATCH in Release_Label",and($B551&lt;&gt;"",countif('3) Release_Label'!$E:$E,$B551)=0),"NO CATALOG ID MATCH in Release_Label",iserror(vlookup($A551&amp;$B551,'3) Release_Label'!$D:$D&amp;'3) Release_Label'!$E:$E,1,0)),"NO UPC-CATALOG ID pair MATCH in Release_Label" )</f>
        <v/>
      </c>
      <c r="D551" s="121" t="str">
        <f t="array" ref="D551">ifs(and(isblank($A551),isblank($B551)),"", not(iserror(vlookup($A551&amp;$B551,'3) Release_Label'!$D:$D&amp;'3) Release_Label'!$E:$E,1,0))),vlookup($A551&amp;$B551,{'3) Release_Label'!$D:$D&amp;'3) Release_Label'!$E:$E,'3) Release_Label'!$H:$H},2,0), or(and(not(isblank($B551)),$B551=$B550,$A551&lt;&gt;$A550),and(not(isblank($A551)),$A551=$A550,$B551&lt;&gt;$B550)),"ID LISTS UNALIGNED",and($A551&lt;&gt;"",countif('3) Release_Label'!$D:$D,$A551)=0),"NO UPC MATCH in Release_Label",and($B551&lt;&gt;"",countif('3) Release_Label'!$E:$E,$B551)=0),"NO CATALOG ID MATCH in Release_Label",iserror(vlookup($A551&amp;$B551,'3) Release_Label'!$D:$D&amp;'3) Release_Label'!$E:$E,1,0)),"NO UPC-CATALOG ID pair MATCH in Release_Label" )</f>
        <v/>
      </c>
      <c r="E551" s="99"/>
      <c r="F551" s="99"/>
      <c r="G551" s="123" t="str">
        <f t="array" ref="G551">ifs(or($F551="",$F551="Main Primary Artist"),$F551,not(iserror(vlookup($F551,'Reference info'!$J$5:$J$8,1,0))),"Key Artist",not(iserror(vlookup($F551,'Reference info'!$J$38:$J$405,1,0))),"Performer",not(iserror(vlookup($F551,'Reference info'!$J$10:$J$36,1,0))),"Producer &amp; Engineer")</f>
        <v/>
      </c>
    </row>
    <row r="552">
      <c r="A552" s="28"/>
      <c r="B552" s="103"/>
      <c r="C552" s="121" t="str">
        <f t="array" ref="C552">ifs(and(isblank($A552),isblank($B552)),"", not(iserror(vlookup($A552&amp;$B552,'3) Release_Label'!$D:$D&amp;'3) Release_Label'!$E:$E,1,0))),vlookup($A552&amp;$B552,{'3) Release_Label'!$D:$D&amp;'3) Release_Label'!$E:$E,'3) Release_Label'!$F:$F},2,0), or(and(not(isblank($B552)),$B552=$B551,$A552&lt;&gt;$A551),and(not(isblank($A552)),$A552=$A551,$B552&lt;&gt;$B551)),"ID LISTS UNALIGNED",and($A552&lt;&gt;"",countif('3) Release_Label'!$D:$D,$A552)=0),"NO UPC MATCH in Release_Label",and($B552&lt;&gt;"",countif('3) Release_Label'!$E:$E,$B552)=0),"NO CATALOG ID MATCH in Release_Label",iserror(vlookup($A552&amp;$B552,'3) Release_Label'!$D:$D&amp;'3) Release_Label'!$E:$E,1,0)),"NO UPC-CATALOG ID pair MATCH in Release_Label" )</f>
        <v/>
      </c>
      <c r="D552" s="121" t="str">
        <f t="array" ref="D552">ifs(and(isblank($A552),isblank($B552)),"", not(iserror(vlookup($A552&amp;$B552,'3) Release_Label'!$D:$D&amp;'3) Release_Label'!$E:$E,1,0))),vlookup($A552&amp;$B552,{'3) Release_Label'!$D:$D&amp;'3) Release_Label'!$E:$E,'3) Release_Label'!$H:$H},2,0), or(and(not(isblank($B552)),$B552=$B551,$A552&lt;&gt;$A551),and(not(isblank($A552)),$A552=$A551,$B552&lt;&gt;$B551)),"ID LISTS UNALIGNED",and($A552&lt;&gt;"",countif('3) Release_Label'!$D:$D,$A552)=0),"NO UPC MATCH in Release_Label",and($B552&lt;&gt;"",countif('3) Release_Label'!$E:$E,$B552)=0),"NO CATALOG ID MATCH in Release_Label",iserror(vlookup($A552&amp;$B552,'3) Release_Label'!$D:$D&amp;'3) Release_Label'!$E:$E,1,0)),"NO UPC-CATALOG ID pair MATCH in Release_Label" )</f>
        <v/>
      </c>
      <c r="E552" s="99"/>
      <c r="F552" s="99"/>
      <c r="G552" s="123" t="str">
        <f t="array" ref="G552">ifs(or($F552="",$F552="Main Primary Artist"),$F552,not(iserror(vlookup($F552,'Reference info'!$J$5:$J$8,1,0))),"Key Artist",not(iserror(vlookup($F552,'Reference info'!$J$38:$J$405,1,0))),"Performer",not(iserror(vlookup($F552,'Reference info'!$J$10:$J$36,1,0))),"Producer &amp; Engineer")</f>
        <v/>
      </c>
    </row>
    <row r="553">
      <c r="A553" s="28"/>
      <c r="B553" s="103"/>
      <c r="C553" s="121" t="str">
        <f t="array" ref="C553">ifs(and(isblank($A553),isblank($B553)),"", not(iserror(vlookup($A553&amp;$B553,'3) Release_Label'!$D:$D&amp;'3) Release_Label'!$E:$E,1,0))),vlookup($A553&amp;$B553,{'3) Release_Label'!$D:$D&amp;'3) Release_Label'!$E:$E,'3) Release_Label'!$F:$F},2,0), or(and(not(isblank($B553)),$B553=$B552,$A553&lt;&gt;$A552),and(not(isblank($A553)),$A553=$A552,$B553&lt;&gt;$B552)),"ID LISTS UNALIGNED",and($A553&lt;&gt;"",countif('3) Release_Label'!$D:$D,$A553)=0),"NO UPC MATCH in Release_Label",and($B553&lt;&gt;"",countif('3) Release_Label'!$E:$E,$B553)=0),"NO CATALOG ID MATCH in Release_Label",iserror(vlookup($A553&amp;$B553,'3) Release_Label'!$D:$D&amp;'3) Release_Label'!$E:$E,1,0)),"NO UPC-CATALOG ID pair MATCH in Release_Label" )</f>
        <v/>
      </c>
      <c r="D553" s="121" t="str">
        <f t="array" ref="D553">ifs(and(isblank($A553),isblank($B553)),"", not(iserror(vlookup($A553&amp;$B553,'3) Release_Label'!$D:$D&amp;'3) Release_Label'!$E:$E,1,0))),vlookup($A553&amp;$B553,{'3) Release_Label'!$D:$D&amp;'3) Release_Label'!$E:$E,'3) Release_Label'!$H:$H},2,0), or(and(not(isblank($B553)),$B553=$B552,$A553&lt;&gt;$A552),and(not(isblank($A553)),$A553=$A552,$B553&lt;&gt;$B552)),"ID LISTS UNALIGNED",and($A553&lt;&gt;"",countif('3) Release_Label'!$D:$D,$A553)=0),"NO UPC MATCH in Release_Label",and($B553&lt;&gt;"",countif('3) Release_Label'!$E:$E,$B553)=0),"NO CATALOG ID MATCH in Release_Label",iserror(vlookup($A553&amp;$B553,'3) Release_Label'!$D:$D&amp;'3) Release_Label'!$E:$E,1,0)),"NO UPC-CATALOG ID pair MATCH in Release_Label" )</f>
        <v/>
      </c>
      <c r="E553" s="99"/>
      <c r="F553" s="99"/>
      <c r="G553" s="123" t="str">
        <f t="array" ref="G553">ifs(or($F553="",$F553="Main Primary Artist"),$F553,not(iserror(vlookup($F553,'Reference info'!$J$5:$J$8,1,0))),"Key Artist",not(iserror(vlookup($F553,'Reference info'!$J$38:$J$405,1,0))),"Performer",not(iserror(vlookup($F553,'Reference info'!$J$10:$J$36,1,0))),"Producer &amp; Engineer")</f>
        <v/>
      </c>
    </row>
    <row r="554">
      <c r="A554" s="28"/>
      <c r="B554" s="103"/>
      <c r="C554" s="121" t="str">
        <f t="array" ref="C554">ifs(and(isblank($A554),isblank($B554)),"", not(iserror(vlookup($A554&amp;$B554,'3) Release_Label'!$D:$D&amp;'3) Release_Label'!$E:$E,1,0))),vlookup($A554&amp;$B554,{'3) Release_Label'!$D:$D&amp;'3) Release_Label'!$E:$E,'3) Release_Label'!$F:$F},2,0), or(and(not(isblank($B554)),$B554=$B553,$A554&lt;&gt;$A553),and(not(isblank($A554)),$A554=$A553,$B554&lt;&gt;$B553)),"ID LISTS UNALIGNED",and($A554&lt;&gt;"",countif('3) Release_Label'!$D:$D,$A554)=0),"NO UPC MATCH in Release_Label",and($B554&lt;&gt;"",countif('3) Release_Label'!$E:$E,$B554)=0),"NO CATALOG ID MATCH in Release_Label",iserror(vlookup($A554&amp;$B554,'3) Release_Label'!$D:$D&amp;'3) Release_Label'!$E:$E,1,0)),"NO UPC-CATALOG ID pair MATCH in Release_Label" )</f>
        <v/>
      </c>
      <c r="D554" s="121" t="str">
        <f t="array" ref="D554">ifs(and(isblank($A554),isblank($B554)),"", not(iserror(vlookup($A554&amp;$B554,'3) Release_Label'!$D:$D&amp;'3) Release_Label'!$E:$E,1,0))),vlookup($A554&amp;$B554,{'3) Release_Label'!$D:$D&amp;'3) Release_Label'!$E:$E,'3) Release_Label'!$H:$H},2,0), or(and(not(isblank($B554)),$B554=$B553,$A554&lt;&gt;$A553),and(not(isblank($A554)),$A554=$A553,$B554&lt;&gt;$B553)),"ID LISTS UNALIGNED",and($A554&lt;&gt;"",countif('3) Release_Label'!$D:$D,$A554)=0),"NO UPC MATCH in Release_Label",and($B554&lt;&gt;"",countif('3) Release_Label'!$E:$E,$B554)=0),"NO CATALOG ID MATCH in Release_Label",iserror(vlookup($A554&amp;$B554,'3) Release_Label'!$D:$D&amp;'3) Release_Label'!$E:$E,1,0)),"NO UPC-CATALOG ID pair MATCH in Release_Label" )</f>
        <v/>
      </c>
      <c r="E554" s="99"/>
      <c r="F554" s="99"/>
      <c r="G554" s="123" t="str">
        <f t="array" ref="G554">ifs(or($F554="",$F554="Main Primary Artist"),$F554,not(iserror(vlookup($F554,'Reference info'!$J$5:$J$8,1,0))),"Key Artist",not(iserror(vlookup($F554,'Reference info'!$J$38:$J$405,1,0))),"Performer",not(iserror(vlookup($F554,'Reference info'!$J$10:$J$36,1,0))),"Producer &amp; Engineer")</f>
        <v/>
      </c>
    </row>
    <row r="555">
      <c r="A555" s="28"/>
      <c r="B555" s="103"/>
      <c r="C555" s="121" t="str">
        <f t="array" ref="C555">ifs(and(isblank($A555),isblank($B555)),"", not(iserror(vlookup($A555&amp;$B555,'3) Release_Label'!$D:$D&amp;'3) Release_Label'!$E:$E,1,0))),vlookup($A555&amp;$B555,{'3) Release_Label'!$D:$D&amp;'3) Release_Label'!$E:$E,'3) Release_Label'!$F:$F},2,0), or(and(not(isblank($B555)),$B555=$B554,$A555&lt;&gt;$A554),and(not(isblank($A555)),$A555=$A554,$B555&lt;&gt;$B554)),"ID LISTS UNALIGNED",and($A555&lt;&gt;"",countif('3) Release_Label'!$D:$D,$A555)=0),"NO UPC MATCH in Release_Label",and($B555&lt;&gt;"",countif('3) Release_Label'!$E:$E,$B555)=0),"NO CATALOG ID MATCH in Release_Label",iserror(vlookup($A555&amp;$B555,'3) Release_Label'!$D:$D&amp;'3) Release_Label'!$E:$E,1,0)),"NO UPC-CATALOG ID pair MATCH in Release_Label" )</f>
        <v/>
      </c>
      <c r="D555" s="121" t="str">
        <f t="array" ref="D555">ifs(and(isblank($A555),isblank($B555)),"", not(iserror(vlookup($A555&amp;$B555,'3) Release_Label'!$D:$D&amp;'3) Release_Label'!$E:$E,1,0))),vlookup($A555&amp;$B555,{'3) Release_Label'!$D:$D&amp;'3) Release_Label'!$E:$E,'3) Release_Label'!$H:$H},2,0), or(and(not(isblank($B555)),$B555=$B554,$A555&lt;&gt;$A554),and(not(isblank($A555)),$A555=$A554,$B555&lt;&gt;$B554)),"ID LISTS UNALIGNED",and($A555&lt;&gt;"",countif('3) Release_Label'!$D:$D,$A555)=0),"NO UPC MATCH in Release_Label",and($B555&lt;&gt;"",countif('3) Release_Label'!$E:$E,$B555)=0),"NO CATALOG ID MATCH in Release_Label",iserror(vlookup($A555&amp;$B555,'3) Release_Label'!$D:$D&amp;'3) Release_Label'!$E:$E,1,0)),"NO UPC-CATALOG ID pair MATCH in Release_Label" )</f>
        <v/>
      </c>
      <c r="E555" s="99"/>
      <c r="F555" s="99"/>
      <c r="G555" s="123" t="str">
        <f t="array" ref="G555">ifs(or($F555="",$F555="Main Primary Artist"),$F555,not(iserror(vlookup($F555,'Reference info'!$J$5:$J$8,1,0))),"Key Artist",not(iserror(vlookup($F555,'Reference info'!$J$38:$J$405,1,0))),"Performer",not(iserror(vlookup($F555,'Reference info'!$J$10:$J$36,1,0))),"Producer &amp; Engineer")</f>
        <v/>
      </c>
    </row>
    <row r="556">
      <c r="A556" s="28"/>
      <c r="B556" s="103"/>
      <c r="C556" s="121" t="str">
        <f t="array" ref="C556">ifs(and(isblank($A556),isblank($B556)),"", not(iserror(vlookup($A556&amp;$B556,'3) Release_Label'!$D:$D&amp;'3) Release_Label'!$E:$E,1,0))),vlookup($A556&amp;$B556,{'3) Release_Label'!$D:$D&amp;'3) Release_Label'!$E:$E,'3) Release_Label'!$F:$F},2,0), or(and(not(isblank($B556)),$B556=$B555,$A556&lt;&gt;$A555),and(not(isblank($A556)),$A556=$A555,$B556&lt;&gt;$B555)),"ID LISTS UNALIGNED",and($A556&lt;&gt;"",countif('3) Release_Label'!$D:$D,$A556)=0),"NO UPC MATCH in Release_Label",and($B556&lt;&gt;"",countif('3) Release_Label'!$E:$E,$B556)=0),"NO CATALOG ID MATCH in Release_Label",iserror(vlookup($A556&amp;$B556,'3) Release_Label'!$D:$D&amp;'3) Release_Label'!$E:$E,1,0)),"NO UPC-CATALOG ID pair MATCH in Release_Label" )</f>
        <v/>
      </c>
      <c r="D556" s="121" t="str">
        <f t="array" ref="D556">ifs(and(isblank($A556),isblank($B556)),"", not(iserror(vlookup($A556&amp;$B556,'3) Release_Label'!$D:$D&amp;'3) Release_Label'!$E:$E,1,0))),vlookup($A556&amp;$B556,{'3) Release_Label'!$D:$D&amp;'3) Release_Label'!$E:$E,'3) Release_Label'!$H:$H},2,0), or(and(not(isblank($B556)),$B556=$B555,$A556&lt;&gt;$A555),and(not(isblank($A556)),$A556=$A555,$B556&lt;&gt;$B555)),"ID LISTS UNALIGNED",and($A556&lt;&gt;"",countif('3) Release_Label'!$D:$D,$A556)=0),"NO UPC MATCH in Release_Label",and($B556&lt;&gt;"",countif('3) Release_Label'!$E:$E,$B556)=0),"NO CATALOG ID MATCH in Release_Label",iserror(vlookup($A556&amp;$B556,'3) Release_Label'!$D:$D&amp;'3) Release_Label'!$E:$E,1,0)),"NO UPC-CATALOG ID pair MATCH in Release_Label" )</f>
        <v/>
      </c>
      <c r="E556" s="99"/>
      <c r="F556" s="99"/>
      <c r="G556" s="123" t="str">
        <f t="array" ref="G556">ifs(or($F556="",$F556="Main Primary Artist"),$F556,not(iserror(vlookup($F556,'Reference info'!$J$5:$J$8,1,0))),"Key Artist",not(iserror(vlookup($F556,'Reference info'!$J$38:$J$405,1,0))),"Performer",not(iserror(vlookup($F556,'Reference info'!$J$10:$J$36,1,0))),"Producer &amp; Engineer")</f>
        <v/>
      </c>
    </row>
    <row r="557">
      <c r="A557" s="28"/>
      <c r="B557" s="103"/>
      <c r="C557" s="121" t="str">
        <f t="array" ref="C557">ifs(and(isblank($A557),isblank($B557)),"", not(iserror(vlookup($A557&amp;$B557,'3) Release_Label'!$D:$D&amp;'3) Release_Label'!$E:$E,1,0))),vlookup($A557&amp;$B557,{'3) Release_Label'!$D:$D&amp;'3) Release_Label'!$E:$E,'3) Release_Label'!$F:$F},2,0), or(and(not(isblank($B557)),$B557=$B556,$A557&lt;&gt;$A556),and(not(isblank($A557)),$A557=$A556,$B557&lt;&gt;$B556)),"ID LISTS UNALIGNED",and($A557&lt;&gt;"",countif('3) Release_Label'!$D:$D,$A557)=0),"NO UPC MATCH in Release_Label",and($B557&lt;&gt;"",countif('3) Release_Label'!$E:$E,$B557)=0),"NO CATALOG ID MATCH in Release_Label",iserror(vlookup($A557&amp;$B557,'3) Release_Label'!$D:$D&amp;'3) Release_Label'!$E:$E,1,0)),"NO UPC-CATALOG ID pair MATCH in Release_Label" )</f>
        <v/>
      </c>
      <c r="D557" s="121" t="str">
        <f t="array" ref="D557">ifs(and(isblank($A557),isblank($B557)),"", not(iserror(vlookup($A557&amp;$B557,'3) Release_Label'!$D:$D&amp;'3) Release_Label'!$E:$E,1,0))),vlookup($A557&amp;$B557,{'3) Release_Label'!$D:$D&amp;'3) Release_Label'!$E:$E,'3) Release_Label'!$H:$H},2,0), or(and(not(isblank($B557)),$B557=$B556,$A557&lt;&gt;$A556),and(not(isblank($A557)),$A557=$A556,$B557&lt;&gt;$B556)),"ID LISTS UNALIGNED",and($A557&lt;&gt;"",countif('3) Release_Label'!$D:$D,$A557)=0),"NO UPC MATCH in Release_Label",and($B557&lt;&gt;"",countif('3) Release_Label'!$E:$E,$B557)=0),"NO CATALOG ID MATCH in Release_Label",iserror(vlookup($A557&amp;$B557,'3) Release_Label'!$D:$D&amp;'3) Release_Label'!$E:$E,1,0)),"NO UPC-CATALOG ID pair MATCH in Release_Label" )</f>
        <v/>
      </c>
      <c r="E557" s="99"/>
      <c r="F557" s="99"/>
      <c r="G557" s="123" t="str">
        <f t="array" ref="G557">ifs(or($F557="",$F557="Main Primary Artist"),$F557,not(iserror(vlookup($F557,'Reference info'!$J$5:$J$8,1,0))),"Key Artist",not(iserror(vlookup($F557,'Reference info'!$J$38:$J$405,1,0))),"Performer",not(iserror(vlookup($F557,'Reference info'!$J$10:$J$36,1,0))),"Producer &amp; Engineer")</f>
        <v/>
      </c>
    </row>
    <row r="558">
      <c r="A558" s="28"/>
      <c r="B558" s="103"/>
      <c r="C558" s="121" t="str">
        <f t="array" ref="C558">ifs(and(isblank($A558),isblank($B558)),"", not(iserror(vlookup($A558&amp;$B558,'3) Release_Label'!$D:$D&amp;'3) Release_Label'!$E:$E,1,0))),vlookup($A558&amp;$B558,{'3) Release_Label'!$D:$D&amp;'3) Release_Label'!$E:$E,'3) Release_Label'!$F:$F},2,0), or(and(not(isblank($B558)),$B558=$B557,$A558&lt;&gt;$A557),and(not(isblank($A558)),$A558=$A557,$B558&lt;&gt;$B557)),"ID LISTS UNALIGNED",and($A558&lt;&gt;"",countif('3) Release_Label'!$D:$D,$A558)=0),"NO UPC MATCH in Release_Label",and($B558&lt;&gt;"",countif('3) Release_Label'!$E:$E,$B558)=0),"NO CATALOG ID MATCH in Release_Label",iserror(vlookup($A558&amp;$B558,'3) Release_Label'!$D:$D&amp;'3) Release_Label'!$E:$E,1,0)),"NO UPC-CATALOG ID pair MATCH in Release_Label" )</f>
        <v/>
      </c>
      <c r="D558" s="121" t="str">
        <f t="array" ref="D558">ifs(and(isblank($A558),isblank($B558)),"", not(iserror(vlookup($A558&amp;$B558,'3) Release_Label'!$D:$D&amp;'3) Release_Label'!$E:$E,1,0))),vlookup($A558&amp;$B558,{'3) Release_Label'!$D:$D&amp;'3) Release_Label'!$E:$E,'3) Release_Label'!$H:$H},2,0), or(and(not(isblank($B558)),$B558=$B557,$A558&lt;&gt;$A557),and(not(isblank($A558)),$A558=$A557,$B558&lt;&gt;$B557)),"ID LISTS UNALIGNED",and($A558&lt;&gt;"",countif('3) Release_Label'!$D:$D,$A558)=0),"NO UPC MATCH in Release_Label",and($B558&lt;&gt;"",countif('3) Release_Label'!$E:$E,$B558)=0),"NO CATALOG ID MATCH in Release_Label",iserror(vlookup($A558&amp;$B558,'3) Release_Label'!$D:$D&amp;'3) Release_Label'!$E:$E,1,0)),"NO UPC-CATALOG ID pair MATCH in Release_Label" )</f>
        <v/>
      </c>
      <c r="E558" s="99"/>
      <c r="F558" s="99"/>
      <c r="G558" s="123" t="str">
        <f t="array" ref="G558">ifs(or($F558="",$F558="Main Primary Artist"),$F558,not(iserror(vlookup($F558,'Reference info'!$J$5:$J$8,1,0))),"Key Artist",not(iserror(vlookup($F558,'Reference info'!$J$38:$J$405,1,0))),"Performer",not(iserror(vlookup($F558,'Reference info'!$J$10:$J$36,1,0))),"Producer &amp; Engineer")</f>
        <v/>
      </c>
    </row>
    <row r="559">
      <c r="A559" s="28"/>
      <c r="B559" s="103"/>
      <c r="C559" s="121" t="str">
        <f t="array" ref="C559">ifs(and(isblank($A559),isblank($B559)),"", not(iserror(vlookup($A559&amp;$B559,'3) Release_Label'!$D:$D&amp;'3) Release_Label'!$E:$E,1,0))),vlookup($A559&amp;$B559,{'3) Release_Label'!$D:$D&amp;'3) Release_Label'!$E:$E,'3) Release_Label'!$F:$F},2,0), or(and(not(isblank($B559)),$B559=$B558,$A559&lt;&gt;$A558),and(not(isblank($A559)),$A559=$A558,$B559&lt;&gt;$B558)),"ID LISTS UNALIGNED",and($A559&lt;&gt;"",countif('3) Release_Label'!$D:$D,$A559)=0),"NO UPC MATCH in Release_Label",and($B559&lt;&gt;"",countif('3) Release_Label'!$E:$E,$B559)=0),"NO CATALOG ID MATCH in Release_Label",iserror(vlookup($A559&amp;$B559,'3) Release_Label'!$D:$D&amp;'3) Release_Label'!$E:$E,1,0)),"NO UPC-CATALOG ID pair MATCH in Release_Label" )</f>
        <v/>
      </c>
      <c r="D559" s="121" t="str">
        <f t="array" ref="D559">ifs(and(isblank($A559),isblank($B559)),"", not(iserror(vlookup($A559&amp;$B559,'3) Release_Label'!$D:$D&amp;'3) Release_Label'!$E:$E,1,0))),vlookup($A559&amp;$B559,{'3) Release_Label'!$D:$D&amp;'3) Release_Label'!$E:$E,'3) Release_Label'!$H:$H},2,0), or(and(not(isblank($B559)),$B559=$B558,$A559&lt;&gt;$A558),and(not(isblank($A559)),$A559=$A558,$B559&lt;&gt;$B558)),"ID LISTS UNALIGNED",and($A559&lt;&gt;"",countif('3) Release_Label'!$D:$D,$A559)=0),"NO UPC MATCH in Release_Label",and($B559&lt;&gt;"",countif('3) Release_Label'!$E:$E,$B559)=0),"NO CATALOG ID MATCH in Release_Label",iserror(vlookup($A559&amp;$B559,'3) Release_Label'!$D:$D&amp;'3) Release_Label'!$E:$E,1,0)),"NO UPC-CATALOG ID pair MATCH in Release_Label" )</f>
        <v/>
      </c>
      <c r="E559" s="99"/>
      <c r="F559" s="99"/>
      <c r="G559" s="123" t="str">
        <f t="array" ref="G559">ifs(or($F559="",$F559="Main Primary Artist"),$F559,not(iserror(vlookup($F559,'Reference info'!$J$5:$J$8,1,0))),"Key Artist",not(iserror(vlookup($F559,'Reference info'!$J$38:$J$405,1,0))),"Performer",not(iserror(vlookup($F559,'Reference info'!$J$10:$J$36,1,0))),"Producer &amp; Engineer")</f>
        <v/>
      </c>
    </row>
    <row r="560">
      <c r="A560" s="28"/>
      <c r="B560" s="103"/>
      <c r="C560" s="121" t="str">
        <f t="array" ref="C560">ifs(and(isblank($A560),isblank($B560)),"", not(iserror(vlookup($A560&amp;$B560,'3) Release_Label'!$D:$D&amp;'3) Release_Label'!$E:$E,1,0))),vlookup($A560&amp;$B560,{'3) Release_Label'!$D:$D&amp;'3) Release_Label'!$E:$E,'3) Release_Label'!$F:$F},2,0), or(and(not(isblank($B560)),$B560=$B559,$A560&lt;&gt;$A559),and(not(isblank($A560)),$A560=$A559,$B560&lt;&gt;$B559)),"ID LISTS UNALIGNED",and($A560&lt;&gt;"",countif('3) Release_Label'!$D:$D,$A560)=0),"NO UPC MATCH in Release_Label",and($B560&lt;&gt;"",countif('3) Release_Label'!$E:$E,$B560)=0),"NO CATALOG ID MATCH in Release_Label",iserror(vlookup($A560&amp;$B560,'3) Release_Label'!$D:$D&amp;'3) Release_Label'!$E:$E,1,0)),"NO UPC-CATALOG ID pair MATCH in Release_Label" )</f>
        <v/>
      </c>
      <c r="D560" s="121" t="str">
        <f t="array" ref="D560">ifs(and(isblank($A560),isblank($B560)),"", not(iserror(vlookup($A560&amp;$B560,'3) Release_Label'!$D:$D&amp;'3) Release_Label'!$E:$E,1,0))),vlookup($A560&amp;$B560,{'3) Release_Label'!$D:$D&amp;'3) Release_Label'!$E:$E,'3) Release_Label'!$H:$H},2,0), or(and(not(isblank($B560)),$B560=$B559,$A560&lt;&gt;$A559),and(not(isblank($A560)),$A560=$A559,$B560&lt;&gt;$B559)),"ID LISTS UNALIGNED",and($A560&lt;&gt;"",countif('3) Release_Label'!$D:$D,$A560)=0),"NO UPC MATCH in Release_Label",and($B560&lt;&gt;"",countif('3) Release_Label'!$E:$E,$B560)=0),"NO CATALOG ID MATCH in Release_Label",iserror(vlookup($A560&amp;$B560,'3) Release_Label'!$D:$D&amp;'3) Release_Label'!$E:$E,1,0)),"NO UPC-CATALOG ID pair MATCH in Release_Label" )</f>
        <v/>
      </c>
      <c r="E560" s="99"/>
      <c r="F560" s="99"/>
      <c r="G560" s="123" t="str">
        <f t="array" ref="G560">ifs(or($F560="",$F560="Main Primary Artist"),$F560,not(iserror(vlookup($F560,'Reference info'!$J$5:$J$8,1,0))),"Key Artist",not(iserror(vlookup($F560,'Reference info'!$J$38:$J$405,1,0))),"Performer",not(iserror(vlookup($F560,'Reference info'!$J$10:$J$36,1,0))),"Producer &amp; Engineer")</f>
        <v/>
      </c>
    </row>
    <row r="561">
      <c r="A561" s="28"/>
      <c r="B561" s="103"/>
      <c r="C561" s="121" t="str">
        <f t="array" ref="C561">ifs(and(isblank($A561),isblank($B561)),"", not(iserror(vlookup($A561&amp;$B561,'3) Release_Label'!$D:$D&amp;'3) Release_Label'!$E:$E,1,0))),vlookup($A561&amp;$B561,{'3) Release_Label'!$D:$D&amp;'3) Release_Label'!$E:$E,'3) Release_Label'!$F:$F},2,0), or(and(not(isblank($B561)),$B561=$B560,$A561&lt;&gt;$A560),and(not(isblank($A561)),$A561=$A560,$B561&lt;&gt;$B560)),"ID LISTS UNALIGNED",and($A561&lt;&gt;"",countif('3) Release_Label'!$D:$D,$A561)=0),"NO UPC MATCH in Release_Label",and($B561&lt;&gt;"",countif('3) Release_Label'!$E:$E,$B561)=0),"NO CATALOG ID MATCH in Release_Label",iserror(vlookup($A561&amp;$B561,'3) Release_Label'!$D:$D&amp;'3) Release_Label'!$E:$E,1,0)),"NO UPC-CATALOG ID pair MATCH in Release_Label" )</f>
        <v/>
      </c>
      <c r="D561" s="121" t="str">
        <f t="array" ref="D561">ifs(and(isblank($A561),isblank($B561)),"", not(iserror(vlookup($A561&amp;$B561,'3) Release_Label'!$D:$D&amp;'3) Release_Label'!$E:$E,1,0))),vlookup($A561&amp;$B561,{'3) Release_Label'!$D:$D&amp;'3) Release_Label'!$E:$E,'3) Release_Label'!$H:$H},2,0), or(and(not(isblank($B561)),$B561=$B560,$A561&lt;&gt;$A560),and(not(isblank($A561)),$A561=$A560,$B561&lt;&gt;$B560)),"ID LISTS UNALIGNED",and($A561&lt;&gt;"",countif('3) Release_Label'!$D:$D,$A561)=0),"NO UPC MATCH in Release_Label",and($B561&lt;&gt;"",countif('3) Release_Label'!$E:$E,$B561)=0),"NO CATALOG ID MATCH in Release_Label",iserror(vlookup($A561&amp;$B561,'3) Release_Label'!$D:$D&amp;'3) Release_Label'!$E:$E,1,0)),"NO UPC-CATALOG ID pair MATCH in Release_Label" )</f>
        <v/>
      </c>
      <c r="E561" s="99"/>
      <c r="F561" s="99"/>
      <c r="G561" s="123" t="str">
        <f t="array" ref="G561">ifs(or($F561="",$F561="Main Primary Artist"),$F561,not(iserror(vlookup($F561,'Reference info'!$J$5:$J$8,1,0))),"Key Artist",not(iserror(vlookup($F561,'Reference info'!$J$38:$J$405,1,0))),"Performer",not(iserror(vlookup($F561,'Reference info'!$J$10:$J$36,1,0))),"Producer &amp; Engineer")</f>
        <v/>
      </c>
    </row>
    <row r="562">
      <c r="A562" s="28"/>
      <c r="B562" s="103"/>
      <c r="C562" s="121" t="str">
        <f t="array" ref="C562">ifs(and(isblank($A562),isblank($B562)),"", not(iserror(vlookup($A562&amp;$B562,'3) Release_Label'!$D:$D&amp;'3) Release_Label'!$E:$E,1,0))),vlookup($A562&amp;$B562,{'3) Release_Label'!$D:$D&amp;'3) Release_Label'!$E:$E,'3) Release_Label'!$F:$F},2,0), or(and(not(isblank($B562)),$B562=$B561,$A562&lt;&gt;$A561),and(not(isblank($A562)),$A562=$A561,$B562&lt;&gt;$B561)),"ID LISTS UNALIGNED",and($A562&lt;&gt;"",countif('3) Release_Label'!$D:$D,$A562)=0),"NO UPC MATCH in Release_Label",and($B562&lt;&gt;"",countif('3) Release_Label'!$E:$E,$B562)=0),"NO CATALOG ID MATCH in Release_Label",iserror(vlookup($A562&amp;$B562,'3) Release_Label'!$D:$D&amp;'3) Release_Label'!$E:$E,1,0)),"NO UPC-CATALOG ID pair MATCH in Release_Label" )</f>
        <v/>
      </c>
      <c r="D562" s="121" t="str">
        <f t="array" ref="D562">ifs(and(isblank($A562),isblank($B562)),"", not(iserror(vlookup($A562&amp;$B562,'3) Release_Label'!$D:$D&amp;'3) Release_Label'!$E:$E,1,0))),vlookup($A562&amp;$B562,{'3) Release_Label'!$D:$D&amp;'3) Release_Label'!$E:$E,'3) Release_Label'!$H:$H},2,0), or(and(not(isblank($B562)),$B562=$B561,$A562&lt;&gt;$A561),and(not(isblank($A562)),$A562=$A561,$B562&lt;&gt;$B561)),"ID LISTS UNALIGNED",and($A562&lt;&gt;"",countif('3) Release_Label'!$D:$D,$A562)=0),"NO UPC MATCH in Release_Label",and($B562&lt;&gt;"",countif('3) Release_Label'!$E:$E,$B562)=0),"NO CATALOG ID MATCH in Release_Label",iserror(vlookup($A562&amp;$B562,'3) Release_Label'!$D:$D&amp;'3) Release_Label'!$E:$E,1,0)),"NO UPC-CATALOG ID pair MATCH in Release_Label" )</f>
        <v/>
      </c>
      <c r="E562" s="99"/>
      <c r="F562" s="99"/>
      <c r="G562" s="123" t="str">
        <f t="array" ref="G562">ifs(or($F562="",$F562="Main Primary Artist"),$F562,not(iserror(vlookup($F562,'Reference info'!$J$5:$J$8,1,0))),"Key Artist",not(iserror(vlookup($F562,'Reference info'!$J$38:$J$405,1,0))),"Performer",not(iserror(vlookup($F562,'Reference info'!$J$10:$J$36,1,0))),"Producer &amp; Engineer")</f>
        <v/>
      </c>
    </row>
    <row r="563">
      <c r="A563" s="28"/>
      <c r="B563" s="103"/>
      <c r="C563" s="121" t="str">
        <f t="array" ref="C563">ifs(and(isblank($A563),isblank($B563)),"", not(iserror(vlookup($A563&amp;$B563,'3) Release_Label'!$D:$D&amp;'3) Release_Label'!$E:$E,1,0))),vlookup($A563&amp;$B563,{'3) Release_Label'!$D:$D&amp;'3) Release_Label'!$E:$E,'3) Release_Label'!$F:$F},2,0), or(and(not(isblank($B563)),$B563=$B562,$A563&lt;&gt;$A562),and(not(isblank($A563)),$A563=$A562,$B563&lt;&gt;$B562)),"ID LISTS UNALIGNED",and($A563&lt;&gt;"",countif('3) Release_Label'!$D:$D,$A563)=0),"NO UPC MATCH in Release_Label",and($B563&lt;&gt;"",countif('3) Release_Label'!$E:$E,$B563)=0),"NO CATALOG ID MATCH in Release_Label",iserror(vlookup($A563&amp;$B563,'3) Release_Label'!$D:$D&amp;'3) Release_Label'!$E:$E,1,0)),"NO UPC-CATALOG ID pair MATCH in Release_Label" )</f>
        <v/>
      </c>
      <c r="D563" s="121" t="str">
        <f t="array" ref="D563">ifs(and(isblank($A563),isblank($B563)),"", not(iserror(vlookup($A563&amp;$B563,'3) Release_Label'!$D:$D&amp;'3) Release_Label'!$E:$E,1,0))),vlookup($A563&amp;$B563,{'3) Release_Label'!$D:$D&amp;'3) Release_Label'!$E:$E,'3) Release_Label'!$H:$H},2,0), or(and(not(isblank($B563)),$B563=$B562,$A563&lt;&gt;$A562),and(not(isblank($A563)),$A563=$A562,$B563&lt;&gt;$B562)),"ID LISTS UNALIGNED",and($A563&lt;&gt;"",countif('3) Release_Label'!$D:$D,$A563)=0),"NO UPC MATCH in Release_Label",and($B563&lt;&gt;"",countif('3) Release_Label'!$E:$E,$B563)=0),"NO CATALOG ID MATCH in Release_Label",iserror(vlookup($A563&amp;$B563,'3) Release_Label'!$D:$D&amp;'3) Release_Label'!$E:$E,1,0)),"NO UPC-CATALOG ID pair MATCH in Release_Label" )</f>
        <v/>
      </c>
      <c r="E563" s="99"/>
      <c r="F563" s="99"/>
      <c r="G563" s="123" t="str">
        <f t="array" ref="G563">ifs(or($F563="",$F563="Main Primary Artist"),$F563,not(iserror(vlookup($F563,'Reference info'!$J$5:$J$8,1,0))),"Key Artist",not(iserror(vlookup($F563,'Reference info'!$J$38:$J$405,1,0))),"Performer",not(iserror(vlookup($F563,'Reference info'!$J$10:$J$36,1,0))),"Producer &amp; Engineer")</f>
        <v/>
      </c>
    </row>
    <row r="564">
      <c r="A564" s="28"/>
      <c r="B564" s="103"/>
      <c r="C564" s="121" t="str">
        <f t="array" ref="C564">ifs(and(isblank($A564),isblank($B564)),"", not(iserror(vlookup($A564&amp;$B564,'3) Release_Label'!$D:$D&amp;'3) Release_Label'!$E:$E,1,0))),vlookup($A564&amp;$B564,{'3) Release_Label'!$D:$D&amp;'3) Release_Label'!$E:$E,'3) Release_Label'!$F:$F},2,0), or(and(not(isblank($B564)),$B564=$B563,$A564&lt;&gt;$A563),and(not(isblank($A564)),$A564=$A563,$B564&lt;&gt;$B563)),"ID LISTS UNALIGNED",and($A564&lt;&gt;"",countif('3) Release_Label'!$D:$D,$A564)=0),"NO UPC MATCH in Release_Label",and($B564&lt;&gt;"",countif('3) Release_Label'!$E:$E,$B564)=0),"NO CATALOG ID MATCH in Release_Label",iserror(vlookup($A564&amp;$B564,'3) Release_Label'!$D:$D&amp;'3) Release_Label'!$E:$E,1,0)),"NO UPC-CATALOG ID pair MATCH in Release_Label" )</f>
        <v/>
      </c>
      <c r="D564" s="121" t="str">
        <f t="array" ref="D564">ifs(and(isblank($A564),isblank($B564)),"", not(iserror(vlookup($A564&amp;$B564,'3) Release_Label'!$D:$D&amp;'3) Release_Label'!$E:$E,1,0))),vlookup($A564&amp;$B564,{'3) Release_Label'!$D:$D&amp;'3) Release_Label'!$E:$E,'3) Release_Label'!$H:$H},2,0), or(and(not(isblank($B564)),$B564=$B563,$A564&lt;&gt;$A563),and(not(isblank($A564)),$A564=$A563,$B564&lt;&gt;$B563)),"ID LISTS UNALIGNED",and($A564&lt;&gt;"",countif('3) Release_Label'!$D:$D,$A564)=0),"NO UPC MATCH in Release_Label",and($B564&lt;&gt;"",countif('3) Release_Label'!$E:$E,$B564)=0),"NO CATALOG ID MATCH in Release_Label",iserror(vlookup($A564&amp;$B564,'3) Release_Label'!$D:$D&amp;'3) Release_Label'!$E:$E,1,0)),"NO UPC-CATALOG ID pair MATCH in Release_Label" )</f>
        <v/>
      </c>
      <c r="E564" s="99"/>
      <c r="F564" s="99"/>
      <c r="G564" s="123" t="str">
        <f t="array" ref="G564">ifs(or($F564="",$F564="Main Primary Artist"),$F564,not(iserror(vlookup($F564,'Reference info'!$J$5:$J$8,1,0))),"Key Artist",not(iserror(vlookup($F564,'Reference info'!$J$38:$J$405,1,0))),"Performer",not(iserror(vlookup($F564,'Reference info'!$J$10:$J$36,1,0))),"Producer &amp; Engineer")</f>
        <v/>
      </c>
    </row>
    <row r="565">
      <c r="A565" s="28"/>
      <c r="B565" s="103"/>
      <c r="C565" s="121" t="str">
        <f t="array" ref="C565">ifs(and(isblank($A565),isblank($B565)),"", not(iserror(vlookup($A565&amp;$B565,'3) Release_Label'!$D:$D&amp;'3) Release_Label'!$E:$E,1,0))),vlookup($A565&amp;$B565,{'3) Release_Label'!$D:$D&amp;'3) Release_Label'!$E:$E,'3) Release_Label'!$F:$F},2,0), or(and(not(isblank($B565)),$B565=$B564,$A565&lt;&gt;$A564),and(not(isblank($A565)),$A565=$A564,$B565&lt;&gt;$B564)),"ID LISTS UNALIGNED",and($A565&lt;&gt;"",countif('3) Release_Label'!$D:$D,$A565)=0),"NO UPC MATCH in Release_Label",and($B565&lt;&gt;"",countif('3) Release_Label'!$E:$E,$B565)=0),"NO CATALOG ID MATCH in Release_Label",iserror(vlookup($A565&amp;$B565,'3) Release_Label'!$D:$D&amp;'3) Release_Label'!$E:$E,1,0)),"NO UPC-CATALOG ID pair MATCH in Release_Label" )</f>
        <v/>
      </c>
      <c r="D565" s="121" t="str">
        <f t="array" ref="D565">ifs(and(isblank($A565),isblank($B565)),"", not(iserror(vlookup($A565&amp;$B565,'3) Release_Label'!$D:$D&amp;'3) Release_Label'!$E:$E,1,0))),vlookup($A565&amp;$B565,{'3) Release_Label'!$D:$D&amp;'3) Release_Label'!$E:$E,'3) Release_Label'!$H:$H},2,0), or(and(not(isblank($B565)),$B565=$B564,$A565&lt;&gt;$A564),and(not(isblank($A565)),$A565=$A564,$B565&lt;&gt;$B564)),"ID LISTS UNALIGNED",and($A565&lt;&gt;"",countif('3) Release_Label'!$D:$D,$A565)=0),"NO UPC MATCH in Release_Label",and($B565&lt;&gt;"",countif('3) Release_Label'!$E:$E,$B565)=0),"NO CATALOG ID MATCH in Release_Label",iserror(vlookup($A565&amp;$B565,'3) Release_Label'!$D:$D&amp;'3) Release_Label'!$E:$E,1,0)),"NO UPC-CATALOG ID pair MATCH in Release_Label" )</f>
        <v/>
      </c>
      <c r="E565" s="99"/>
      <c r="F565" s="99"/>
      <c r="G565" s="123" t="str">
        <f t="array" ref="G565">ifs(or($F565="",$F565="Main Primary Artist"),$F565,not(iserror(vlookup($F565,'Reference info'!$J$5:$J$8,1,0))),"Key Artist",not(iserror(vlookup($F565,'Reference info'!$J$38:$J$405,1,0))),"Performer",not(iserror(vlookup($F565,'Reference info'!$J$10:$J$36,1,0))),"Producer &amp; Engineer")</f>
        <v/>
      </c>
    </row>
    <row r="566">
      <c r="A566" s="28"/>
      <c r="B566" s="103"/>
      <c r="C566" s="121" t="str">
        <f t="array" ref="C566">ifs(and(isblank($A566),isblank($B566)),"", not(iserror(vlookup($A566&amp;$B566,'3) Release_Label'!$D:$D&amp;'3) Release_Label'!$E:$E,1,0))),vlookup($A566&amp;$B566,{'3) Release_Label'!$D:$D&amp;'3) Release_Label'!$E:$E,'3) Release_Label'!$F:$F},2,0), or(and(not(isblank($B566)),$B566=$B565,$A566&lt;&gt;$A565),and(not(isblank($A566)),$A566=$A565,$B566&lt;&gt;$B565)),"ID LISTS UNALIGNED",and($A566&lt;&gt;"",countif('3) Release_Label'!$D:$D,$A566)=0),"NO UPC MATCH in Release_Label",and($B566&lt;&gt;"",countif('3) Release_Label'!$E:$E,$B566)=0),"NO CATALOG ID MATCH in Release_Label",iserror(vlookup($A566&amp;$B566,'3) Release_Label'!$D:$D&amp;'3) Release_Label'!$E:$E,1,0)),"NO UPC-CATALOG ID pair MATCH in Release_Label" )</f>
        <v/>
      </c>
      <c r="D566" s="121" t="str">
        <f t="array" ref="D566">ifs(and(isblank($A566),isblank($B566)),"", not(iserror(vlookup($A566&amp;$B566,'3) Release_Label'!$D:$D&amp;'3) Release_Label'!$E:$E,1,0))),vlookup($A566&amp;$B566,{'3) Release_Label'!$D:$D&amp;'3) Release_Label'!$E:$E,'3) Release_Label'!$H:$H},2,0), or(and(not(isblank($B566)),$B566=$B565,$A566&lt;&gt;$A565),and(not(isblank($A566)),$A566=$A565,$B566&lt;&gt;$B565)),"ID LISTS UNALIGNED",and($A566&lt;&gt;"",countif('3) Release_Label'!$D:$D,$A566)=0),"NO UPC MATCH in Release_Label",and($B566&lt;&gt;"",countif('3) Release_Label'!$E:$E,$B566)=0),"NO CATALOG ID MATCH in Release_Label",iserror(vlookup($A566&amp;$B566,'3) Release_Label'!$D:$D&amp;'3) Release_Label'!$E:$E,1,0)),"NO UPC-CATALOG ID pair MATCH in Release_Label" )</f>
        <v/>
      </c>
      <c r="E566" s="99"/>
      <c r="F566" s="99"/>
      <c r="G566" s="123" t="str">
        <f t="array" ref="G566">ifs(or($F566="",$F566="Main Primary Artist"),$F566,not(iserror(vlookup($F566,'Reference info'!$J$5:$J$8,1,0))),"Key Artist",not(iserror(vlookup($F566,'Reference info'!$J$38:$J$405,1,0))),"Performer",not(iserror(vlookup($F566,'Reference info'!$J$10:$J$36,1,0))),"Producer &amp; Engineer")</f>
        <v/>
      </c>
    </row>
    <row r="567">
      <c r="A567" s="28"/>
      <c r="B567" s="103"/>
      <c r="C567" s="121" t="str">
        <f t="array" ref="C567">ifs(and(isblank($A567),isblank($B567)),"", not(iserror(vlookup($A567&amp;$B567,'3) Release_Label'!$D:$D&amp;'3) Release_Label'!$E:$E,1,0))),vlookup($A567&amp;$B567,{'3) Release_Label'!$D:$D&amp;'3) Release_Label'!$E:$E,'3) Release_Label'!$F:$F},2,0), or(and(not(isblank($B567)),$B567=$B566,$A567&lt;&gt;$A566),and(not(isblank($A567)),$A567=$A566,$B567&lt;&gt;$B566)),"ID LISTS UNALIGNED",and($A567&lt;&gt;"",countif('3) Release_Label'!$D:$D,$A567)=0),"NO UPC MATCH in Release_Label",and($B567&lt;&gt;"",countif('3) Release_Label'!$E:$E,$B567)=0),"NO CATALOG ID MATCH in Release_Label",iserror(vlookup($A567&amp;$B567,'3) Release_Label'!$D:$D&amp;'3) Release_Label'!$E:$E,1,0)),"NO UPC-CATALOG ID pair MATCH in Release_Label" )</f>
        <v/>
      </c>
      <c r="D567" s="121" t="str">
        <f t="array" ref="D567">ifs(and(isblank($A567),isblank($B567)),"", not(iserror(vlookup($A567&amp;$B567,'3) Release_Label'!$D:$D&amp;'3) Release_Label'!$E:$E,1,0))),vlookup($A567&amp;$B567,{'3) Release_Label'!$D:$D&amp;'3) Release_Label'!$E:$E,'3) Release_Label'!$H:$H},2,0), or(and(not(isblank($B567)),$B567=$B566,$A567&lt;&gt;$A566),and(not(isblank($A567)),$A567=$A566,$B567&lt;&gt;$B566)),"ID LISTS UNALIGNED",and($A567&lt;&gt;"",countif('3) Release_Label'!$D:$D,$A567)=0),"NO UPC MATCH in Release_Label",and($B567&lt;&gt;"",countif('3) Release_Label'!$E:$E,$B567)=0),"NO CATALOG ID MATCH in Release_Label",iserror(vlookup($A567&amp;$B567,'3) Release_Label'!$D:$D&amp;'3) Release_Label'!$E:$E,1,0)),"NO UPC-CATALOG ID pair MATCH in Release_Label" )</f>
        <v/>
      </c>
      <c r="E567" s="99"/>
      <c r="F567" s="99"/>
      <c r="G567" s="123" t="str">
        <f t="array" ref="G567">ifs(or($F567="",$F567="Main Primary Artist"),$F567,not(iserror(vlookup($F567,'Reference info'!$J$5:$J$8,1,0))),"Key Artist",not(iserror(vlookup($F567,'Reference info'!$J$38:$J$405,1,0))),"Performer",not(iserror(vlookup($F567,'Reference info'!$J$10:$J$36,1,0))),"Producer &amp; Engineer")</f>
        <v/>
      </c>
    </row>
    <row r="568">
      <c r="A568" s="28"/>
      <c r="B568" s="103"/>
      <c r="C568" s="121" t="str">
        <f t="array" ref="C568">ifs(and(isblank($A568),isblank($B568)),"", not(iserror(vlookup($A568&amp;$B568,'3) Release_Label'!$D:$D&amp;'3) Release_Label'!$E:$E,1,0))),vlookup($A568&amp;$B568,{'3) Release_Label'!$D:$D&amp;'3) Release_Label'!$E:$E,'3) Release_Label'!$F:$F},2,0), or(and(not(isblank($B568)),$B568=$B567,$A568&lt;&gt;$A567),and(not(isblank($A568)),$A568=$A567,$B568&lt;&gt;$B567)),"ID LISTS UNALIGNED",and($A568&lt;&gt;"",countif('3) Release_Label'!$D:$D,$A568)=0),"NO UPC MATCH in Release_Label",and($B568&lt;&gt;"",countif('3) Release_Label'!$E:$E,$B568)=0),"NO CATALOG ID MATCH in Release_Label",iserror(vlookup($A568&amp;$B568,'3) Release_Label'!$D:$D&amp;'3) Release_Label'!$E:$E,1,0)),"NO UPC-CATALOG ID pair MATCH in Release_Label" )</f>
        <v/>
      </c>
      <c r="D568" s="121" t="str">
        <f t="array" ref="D568">ifs(and(isblank($A568),isblank($B568)),"", not(iserror(vlookup($A568&amp;$B568,'3) Release_Label'!$D:$D&amp;'3) Release_Label'!$E:$E,1,0))),vlookup($A568&amp;$B568,{'3) Release_Label'!$D:$D&amp;'3) Release_Label'!$E:$E,'3) Release_Label'!$H:$H},2,0), or(and(not(isblank($B568)),$B568=$B567,$A568&lt;&gt;$A567),and(not(isblank($A568)),$A568=$A567,$B568&lt;&gt;$B567)),"ID LISTS UNALIGNED",and($A568&lt;&gt;"",countif('3) Release_Label'!$D:$D,$A568)=0),"NO UPC MATCH in Release_Label",and($B568&lt;&gt;"",countif('3) Release_Label'!$E:$E,$B568)=0),"NO CATALOG ID MATCH in Release_Label",iserror(vlookup($A568&amp;$B568,'3) Release_Label'!$D:$D&amp;'3) Release_Label'!$E:$E,1,0)),"NO UPC-CATALOG ID pair MATCH in Release_Label" )</f>
        <v/>
      </c>
      <c r="E568" s="99"/>
      <c r="F568" s="99"/>
      <c r="G568" s="123" t="str">
        <f t="array" ref="G568">ifs(or($F568="",$F568="Main Primary Artist"),$F568,not(iserror(vlookup($F568,'Reference info'!$J$5:$J$8,1,0))),"Key Artist",not(iserror(vlookup($F568,'Reference info'!$J$38:$J$405,1,0))),"Performer",not(iserror(vlookup($F568,'Reference info'!$J$10:$J$36,1,0))),"Producer &amp; Engineer")</f>
        <v/>
      </c>
    </row>
    <row r="569">
      <c r="A569" s="28"/>
      <c r="B569" s="103"/>
      <c r="C569" s="121" t="str">
        <f t="array" ref="C569">ifs(and(isblank($A569),isblank($B569)),"", not(iserror(vlookup($A569&amp;$B569,'3) Release_Label'!$D:$D&amp;'3) Release_Label'!$E:$E,1,0))),vlookup($A569&amp;$B569,{'3) Release_Label'!$D:$D&amp;'3) Release_Label'!$E:$E,'3) Release_Label'!$F:$F},2,0), or(and(not(isblank($B569)),$B569=$B568,$A569&lt;&gt;$A568),and(not(isblank($A569)),$A569=$A568,$B569&lt;&gt;$B568)),"ID LISTS UNALIGNED",and($A569&lt;&gt;"",countif('3) Release_Label'!$D:$D,$A569)=0),"NO UPC MATCH in Release_Label",and($B569&lt;&gt;"",countif('3) Release_Label'!$E:$E,$B569)=0),"NO CATALOG ID MATCH in Release_Label",iserror(vlookup($A569&amp;$B569,'3) Release_Label'!$D:$D&amp;'3) Release_Label'!$E:$E,1,0)),"NO UPC-CATALOG ID pair MATCH in Release_Label" )</f>
        <v/>
      </c>
      <c r="D569" s="121" t="str">
        <f t="array" ref="D569">ifs(and(isblank($A569),isblank($B569)),"", not(iserror(vlookup($A569&amp;$B569,'3) Release_Label'!$D:$D&amp;'3) Release_Label'!$E:$E,1,0))),vlookup($A569&amp;$B569,{'3) Release_Label'!$D:$D&amp;'3) Release_Label'!$E:$E,'3) Release_Label'!$H:$H},2,0), or(and(not(isblank($B569)),$B569=$B568,$A569&lt;&gt;$A568),and(not(isblank($A569)),$A569=$A568,$B569&lt;&gt;$B568)),"ID LISTS UNALIGNED",and($A569&lt;&gt;"",countif('3) Release_Label'!$D:$D,$A569)=0),"NO UPC MATCH in Release_Label",and($B569&lt;&gt;"",countif('3) Release_Label'!$E:$E,$B569)=0),"NO CATALOG ID MATCH in Release_Label",iserror(vlookup($A569&amp;$B569,'3) Release_Label'!$D:$D&amp;'3) Release_Label'!$E:$E,1,0)),"NO UPC-CATALOG ID pair MATCH in Release_Label" )</f>
        <v/>
      </c>
      <c r="E569" s="99"/>
      <c r="F569" s="99"/>
      <c r="G569" s="123" t="str">
        <f t="array" ref="G569">ifs(or($F569="",$F569="Main Primary Artist"),$F569,not(iserror(vlookup($F569,'Reference info'!$J$5:$J$8,1,0))),"Key Artist",not(iserror(vlookup($F569,'Reference info'!$J$38:$J$405,1,0))),"Performer",not(iserror(vlookup($F569,'Reference info'!$J$10:$J$36,1,0))),"Producer &amp; Engineer")</f>
        <v/>
      </c>
    </row>
    <row r="570">
      <c r="A570" s="28"/>
      <c r="B570" s="103"/>
      <c r="C570" s="121" t="str">
        <f t="array" ref="C570">ifs(and(isblank($A570),isblank($B570)),"", not(iserror(vlookup($A570&amp;$B570,'3) Release_Label'!$D:$D&amp;'3) Release_Label'!$E:$E,1,0))),vlookup($A570&amp;$B570,{'3) Release_Label'!$D:$D&amp;'3) Release_Label'!$E:$E,'3) Release_Label'!$F:$F},2,0), or(and(not(isblank($B570)),$B570=$B569,$A570&lt;&gt;$A569),and(not(isblank($A570)),$A570=$A569,$B570&lt;&gt;$B569)),"ID LISTS UNALIGNED",and($A570&lt;&gt;"",countif('3) Release_Label'!$D:$D,$A570)=0),"NO UPC MATCH in Release_Label",and($B570&lt;&gt;"",countif('3) Release_Label'!$E:$E,$B570)=0),"NO CATALOG ID MATCH in Release_Label",iserror(vlookup($A570&amp;$B570,'3) Release_Label'!$D:$D&amp;'3) Release_Label'!$E:$E,1,0)),"NO UPC-CATALOG ID pair MATCH in Release_Label" )</f>
        <v/>
      </c>
      <c r="D570" s="121" t="str">
        <f t="array" ref="D570">ifs(and(isblank($A570),isblank($B570)),"", not(iserror(vlookup($A570&amp;$B570,'3) Release_Label'!$D:$D&amp;'3) Release_Label'!$E:$E,1,0))),vlookup($A570&amp;$B570,{'3) Release_Label'!$D:$D&amp;'3) Release_Label'!$E:$E,'3) Release_Label'!$H:$H},2,0), or(and(not(isblank($B570)),$B570=$B569,$A570&lt;&gt;$A569),and(not(isblank($A570)),$A570=$A569,$B570&lt;&gt;$B569)),"ID LISTS UNALIGNED",and($A570&lt;&gt;"",countif('3) Release_Label'!$D:$D,$A570)=0),"NO UPC MATCH in Release_Label",and($B570&lt;&gt;"",countif('3) Release_Label'!$E:$E,$B570)=0),"NO CATALOG ID MATCH in Release_Label",iserror(vlookup($A570&amp;$B570,'3) Release_Label'!$D:$D&amp;'3) Release_Label'!$E:$E,1,0)),"NO UPC-CATALOG ID pair MATCH in Release_Label" )</f>
        <v/>
      </c>
      <c r="E570" s="99"/>
      <c r="F570" s="99"/>
      <c r="G570" s="123" t="str">
        <f t="array" ref="G570">ifs(or($F570="",$F570="Main Primary Artist"),$F570,not(iserror(vlookup($F570,'Reference info'!$J$5:$J$8,1,0))),"Key Artist",not(iserror(vlookup($F570,'Reference info'!$J$38:$J$405,1,0))),"Performer",not(iserror(vlookup($F570,'Reference info'!$J$10:$J$36,1,0))),"Producer &amp; Engineer")</f>
        <v/>
      </c>
    </row>
    <row r="571">
      <c r="A571" s="28"/>
      <c r="B571" s="103"/>
      <c r="C571" s="121" t="str">
        <f t="array" ref="C571">ifs(and(isblank($A571),isblank($B571)),"", not(iserror(vlookup($A571&amp;$B571,'3) Release_Label'!$D:$D&amp;'3) Release_Label'!$E:$E,1,0))),vlookup($A571&amp;$B571,{'3) Release_Label'!$D:$D&amp;'3) Release_Label'!$E:$E,'3) Release_Label'!$F:$F},2,0), or(and(not(isblank($B571)),$B571=$B570,$A571&lt;&gt;$A570),and(not(isblank($A571)),$A571=$A570,$B571&lt;&gt;$B570)),"ID LISTS UNALIGNED",and($A571&lt;&gt;"",countif('3) Release_Label'!$D:$D,$A571)=0),"NO UPC MATCH in Release_Label",and($B571&lt;&gt;"",countif('3) Release_Label'!$E:$E,$B571)=0),"NO CATALOG ID MATCH in Release_Label",iserror(vlookup($A571&amp;$B571,'3) Release_Label'!$D:$D&amp;'3) Release_Label'!$E:$E,1,0)),"NO UPC-CATALOG ID pair MATCH in Release_Label" )</f>
        <v/>
      </c>
      <c r="D571" s="121" t="str">
        <f t="array" ref="D571">ifs(and(isblank($A571),isblank($B571)),"", not(iserror(vlookup($A571&amp;$B571,'3) Release_Label'!$D:$D&amp;'3) Release_Label'!$E:$E,1,0))),vlookup($A571&amp;$B571,{'3) Release_Label'!$D:$D&amp;'3) Release_Label'!$E:$E,'3) Release_Label'!$H:$H},2,0), or(and(not(isblank($B571)),$B571=$B570,$A571&lt;&gt;$A570),and(not(isblank($A571)),$A571=$A570,$B571&lt;&gt;$B570)),"ID LISTS UNALIGNED",and($A571&lt;&gt;"",countif('3) Release_Label'!$D:$D,$A571)=0),"NO UPC MATCH in Release_Label",and($B571&lt;&gt;"",countif('3) Release_Label'!$E:$E,$B571)=0),"NO CATALOG ID MATCH in Release_Label",iserror(vlookup($A571&amp;$B571,'3) Release_Label'!$D:$D&amp;'3) Release_Label'!$E:$E,1,0)),"NO UPC-CATALOG ID pair MATCH in Release_Label" )</f>
        <v/>
      </c>
      <c r="E571" s="99"/>
      <c r="F571" s="99"/>
      <c r="G571" s="123" t="str">
        <f t="array" ref="G571">ifs(or($F571="",$F571="Main Primary Artist"),$F571,not(iserror(vlookup($F571,'Reference info'!$J$5:$J$8,1,0))),"Key Artist",not(iserror(vlookup($F571,'Reference info'!$J$38:$J$405,1,0))),"Performer",not(iserror(vlookup($F571,'Reference info'!$J$10:$J$36,1,0))),"Producer &amp; Engineer")</f>
        <v/>
      </c>
    </row>
    <row r="572">
      <c r="A572" s="28"/>
      <c r="B572" s="103"/>
      <c r="C572" s="121" t="str">
        <f t="array" ref="C572">ifs(and(isblank($A572),isblank($B572)),"", not(iserror(vlookup($A572&amp;$B572,'3) Release_Label'!$D:$D&amp;'3) Release_Label'!$E:$E,1,0))),vlookup($A572&amp;$B572,{'3) Release_Label'!$D:$D&amp;'3) Release_Label'!$E:$E,'3) Release_Label'!$F:$F},2,0), or(and(not(isblank($B572)),$B572=$B571,$A572&lt;&gt;$A571),and(not(isblank($A572)),$A572=$A571,$B572&lt;&gt;$B571)),"ID LISTS UNALIGNED",and($A572&lt;&gt;"",countif('3) Release_Label'!$D:$D,$A572)=0),"NO UPC MATCH in Release_Label",and($B572&lt;&gt;"",countif('3) Release_Label'!$E:$E,$B572)=0),"NO CATALOG ID MATCH in Release_Label",iserror(vlookup($A572&amp;$B572,'3) Release_Label'!$D:$D&amp;'3) Release_Label'!$E:$E,1,0)),"NO UPC-CATALOG ID pair MATCH in Release_Label" )</f>
        <v/>
      </c>
      <c r="D572" s="121" t="str">
        <f t="array" ref="D572">ifs(and(isblank($A572),isblank($B572)),"", not(iserror(vlookup($A572&amp;$B572,'3) Release_Label'!$D:$D&amp;'3) Release_Label'!$E:$E,1,0))),vlookup($A572&amp;$B572,{'3) Release_Label'!$D:$D&amp;'3) Release_Label'!$E:$E,'3) Release_Label'!$H:$H},2,0), or(and(not(isblank($B572)),$B572=$B571,$A572&lt;&gt;$A571),and(not(isblank($A572)),$A572=$A571,$B572&lt;&gt;$B571)),"ID LISTS UNALIGNED",and($A572&lt;&gt;"",countif('3) Release_Label'!$D:$D,$A572)=0),"NO UPC MATCH in Release_Label",and($B572&lt;&gt;"",countif('3) Release_Label'!$E:$E,$B572)=0),"NO CATALOG ID MATCH in Release_Label",iserror(vlookup($A572&amp;$B572,'3) Release_Label'!$D:$D&amp;'3) Release_Label'!$E:$E,1,0)),"NO UPC-CATALOG ID pair MATCH in Release_Label" )</f>
        <v/>
      </c>
      <c r="E572" s="99"/>
      <c r="F572" s="99"/>
      <c r="G572" s="123" t="str">
        <f t="array" ref="G572">ifs(or($F572="",$F572="Main Primary Artist"),$F572,not(iserror(vlookup($F572,'Reference info'!$J$5:$J$8,1,0))),"Key Artist",not(iserror(vlookup($F572,'Reference info'!$J$38:$J$405,1,0))),"Performer",not(iserror(vlookup($F572,'Reference info'!$J$10:$J$36,1,0))),"Producer &amp; Engineer")</f>
        <v/>
      </c>
    </row>
    <row r="573">
      <c r="A573" s="28"/>
      <c r="B573" s="103"/>
      <c r="C573" s="121" t="str">
        <f t="array" ref="C573">ifs(and(isblank($A573),isblank($B573)),"", not(iserror(vlookup($A573&amp;$B573,'3) Release_Label'!$D:$D&amp;'3) Release_Label'!$E:$E,1,0))),vlookup($A573&amp;$B573,{'3) Release_Label'!$D:$D&amp;'3) Release_Label'!$E:$E,'3) Release_Label'!$F:$F},2,0), or(and(not(isblank($B573)),$B573=$B572,$A573&lt;&gt;$A572),and(not(isblank($A573)),$A573=$A572,$B573&lt;&gt;$B572)),"ID LISTS UNALIGNED",and($A573&lt;&gt;"",countif('3) Release_Label'!$D:$D,$A573)=0),"NO UPC MATCH in Release_Label",and($B573&lt;&gt;"",countif('3) Release_Label'!$E:$E,$B573)=0),"NO CATALOG ID MATCH in Release_Label",iserror(vlookup($A573&amp;$B573,'3) Release_Label'!$D:$D&amp;'3) Release_Label'!$E:$E,1,0)),"NO UPC-CATALOG ID pair MATCH in Release_Label" )</f>
        <v/>
      </c>
      <c r="D573" s="121" t="str">
        <f t="array" ref="D573">ifs(and(isblank($A573),isblank($B573)),"", not(iserror(vlookup($A573&amp;$B573,'3) Release_Label'!$D:$D&amp;'3) Release_Label'!$E:$E,1,0))),vlookup($A573&amp;$B573,{'3) Release_Label'!$D:$D&amp;'3) Release_Label'!$E:$E,'3) Release_Label'!$H:$H},2,0), or(and(not(isblank($B573)),$B573=$B572,$A573&lt;&gt;$A572),and(not(isblank($A573)),$A573=$A572,$B573&lt;&gt;$B572)),"ID LISTS UNALIGNED",and($A573&lt;&gt;"",countif('3) Release_Label'!$D:$D,$A573)=0),"NO UPC MATCH in Release_Label",and($B573&lt;&gt;"",countif('3) Release_Label'!$E:$E,$B573)=0),"NO CATALOG ID MATCH in Release_Label",iserror(vlookup($A573&amp;$B573,'3) Release_Label'!$D:$D&amp;'3) Release_Label'!$E:$E,1,0)),"NO UPC-CATALOG ID pair MATCH in Release_Label" )</f>
        <v/>
      </c>
      <c r="E573" s="99"/>
      <c r="F573" s="99"/>
      <c r="G573" s="123" t="str">
        <f t="array" ref="G573">ifs(or($F573="",$F573="Main Primary Artist"),$F573,not(iserror(vlookup($F573,'Reference info'!$J$5:$J$8,1,0))),"Key Artist",not(iserror(vlookup($F573,'Reference info'!$J$38:$J$405,1,0))),"Performer",not(iserror(vlookup($F573,'Reference info'!$J$10:$J$36,1,0))),"Producer &amp; Engineer")</f>
        <v/>
      </c>
    </row>
    <row r="574">
      <c r="A574" s="28"/>
      <c r="B574" s="103"/>
      <c r="C574" s="121" t="str">
        <f t="array" ref="C574">ifs(and(isblank($A574),isblank($B574)),"", not(iserror(vlookup($A574&amp;$B574,'3) Release_Label'!$D:$D&amp;'3) Release_Label'!$E:$E,1,0))),vlookup($A574&amp;$B574,{'3) Release_Label'!$D:$D&amp;'3) Release_Label'!$E:$E,'3) Release_Label'!$F:$F},2,0), or(and(not(isblank($B574)),$B574=$B573,$A574&lt;&gt;$A573),and(not(isblank($A574)),$A574=$A573,$B574&lt;&gt;$B573)),"ID LISTS UNALIGNED",and($A574&lt;&gt;"",countif('3) Release_Label'!$D:$D,$A574)=0),"NO UPC MATCH in Release_Label",and($B574&lt;&gt;"",countif('3) Release_Label'!$E:$E,$B574)=0),"NO CATALOG ID MATCH in Release_Label",iserror(vlookup($A574&amp;$B574,'3) Release_Label'!$D:$D&amp;'3) Release_Label'!$E:$E,1,0)),"NO UPC-CATALOG ID pair MATCH in Release_Label" )</f>
        <v/>
      </c>
      <c r="D574" s="121" t="str">
        <f t="array" ref="D574">ifs(and(isblank($A574),isblank($B574)),"", not(iserror(vlookup($A574&amp;$B574,'3) Release_Label'!$D:$D&amp;'3) Release_Label'!$E:$E,1,0))),vlookup($A574&amp;$B574,{'3) Release_Label'!$D:$D&amp;'3) Release_Label'!$E:$E,'3) Release_Label'!$H:$H},2,0), or(and(not(isblank($B574)),$B574=$B573,$A574&lt;&gt;$A573),and(not(isblank($A574)),$A574=$A573,$B574&lt;&gt;$B573)),"ID LISTS UNALIGNED",and($A574&lt;&gt;"",countif('3) Release_Label'!$D:$D,$A574)=0),"NO UPC MATCH in Release_Label",and($B574&lt;&gt;"",countif('3) Release_Label'!$E:$E,$B574)=0),"NO CATALOG ID MATCH in Release_Label",iserror(vlookup($A574&amp;$B574,'3) Release_Label'!$D:$D&amp;'3) Release_Label'!$E:$E,1,0)),"NO UPC-CATALOG ID pair MATCH in Release_Label" )</f>
        <v/>
      </c>
      <c r="E574" s="99"/>
      <c r="F574" s="99"/>
      <c r="G574" s="123" t="str">
        <f t="array" ref="G574">ifs(or($F574="",$F574="Main Primary Artist"),$F574,not(iserror(vlookup($F574,'Reference info'!$J$5:$J$8,1,0))),"Key Artist",not(iserror(vlookup($F574,'Reference info'!$J$38:$J$405,1,0))),"Performer",not(iserror(vlookup($F574,'Reference info'!$J$10:$J$36,1,0))),"Producer &amp; Engineer")</f>
        <v/>
      </c>
    </row>
    <row r="575">
      <c r="A575" s="28"/>
      <c r="B575" s="103"/>
      <c r="C575" s="121" t="str">
        <f t="array" ref="C575">ifs(and(isblank($A575),isblank($B575)),"", not(iserror(vlookup($A575&amp;$B575,'3) Release_Label'!$D:$D&amp;'3) Release_Label'!$E:$E,1,0))),vlookup($A575&amp;$B575,{'3) Release_Label'!$D:$D&amp;'3) Release_Label'!$E:$E,'3) Release_Label'!$F:$F},2,0), or(and(not(isblank($B575)),$B575=$B574,$A575&lt;&gt;$A574),and(not(isblank($A575)),$A575=$A574,$B575&lt;&gt;$B574)),"ID LISTS UNALIGNED",and($A575&lt;&gt;"",countif('3) Release_Label'!$D:$D,$A575)=0),"NO UPC MATCH in Release_Label",and($B575&lt;&gt;"",countif('3) Release_Label'!$E:$E,$B575)=0),"NO CATALOG ID MATCH in Release_Label",iserror(vlookup($A575&amp;$B575,'3) Release_Label'!$D:$D&amp;'3) Release_Label'!$E:$E,1,0)),"NO UPC-CATALOG ID pair MATCH in Release_Label" )</f>
        <v/>
      </c>
      <c r="D575" s="121" t="str">
        <f t="array" ref="D575">ifs(and(isblank($A575),isblank($B575)),"", not(iserror(vlookup($A575&amp;$B575,'3) Release_Label'!$D:$D&amp;'3) Release_Label'!$E:$E,1,0))),vlookup($A575&amp;$B575,{'3) Release_Label'!$D:$D&amp;'3) Release_Label'!$E:$E,'3) Release_Label'!$H:$H},2,0), or(and(not(isblank($B575)),$B575=$B574,$A575&lt;&gt;$A574),and(not(isblank($A575)),$A575=$A574,$B575&lt;&gt;$B574)),"ID LISTS UNALIGNED",and($A575&lt;&gt;"",countif('3) Release_Label'!$D:$D,$A575)=0),"NO UPC MATCH in Release_Label",and($B575&lt;&gt;"",countif('3) Release_Label'!$E:$E,$B575)=0),"NO CATALOG ID MATCH in Release_Label",iserror(vlookup($A575&amp;$B575,'3) Release_Label'!$D:$D&amp;'3) Release_Label'!$E:$E,1,0)),"NO UPC-CATALOG ID pair MATCH in Release_Label" )</f>
        <v/>
      </c>
      <c r="E575" s="99"/>
      <c r="F575" s="99"/>
      <c r="G575" s="123" t="str">
        <f t="array" ref="G575">ifs(or($F575="",$F575="Main Primary Artist"),$F575,not(iserror(vlookup($F575,'Reference info'!$J$5:$J$8,1,0))),"Key Artist",not(iserror(vlookup($F575,'Reference info'!$J$38:$J$405,1,0))),"Performer",not(iserror(vlookup($F575,'Reference info'!$J$10:$J$36,1,0))),"Producer &amp; Engineer")</f>
        <v/>
      </c>
    </row>
    <row r="576">
      <c r="A576" s="28"/>
      <c r="B576" s="103"/>
      <c r="C576" s="121" t="str">
        <f t="array" ref="C576">ifs(and(isblank($A576),isblank($B576)),"", not(iserror(vlookup($A576&amp;$B576,'3) Release_Label'!$D:$D&amp;'3) Release_Label'!$E:$E,1,0))),vlookup($A576&amp;$B576,{'3) Release_Label'!$D:$D&amp;'3) Release_Label'!$E:$E,'3) Release_Label'!$F:$F},2,0), or(and(not(isblank($B576)),$B576=$B575,$A576&lt;&gt;$A575),and(not(isblank($A576)),$A576=$A575,$B576&lt;&gt;$B575)),"ID LISTS UNALIGNED",and($A576&lt;&gt;"",countif('3) Release_Label'!$D:$D,$A576)=0),"NO UPC MATCH in Release_Label",and($B576&lt;&gt;"",countif('3) Release_Label'!$E:$E,$B576)=0),"NO CATALOG ID MATCH in Release_Label",iserror(vlookup($A576&amp;$B576,'3) Release_Label'!$D:$D&amp;'3) Release_Label'!$E:$E,1,0)),"NO UPC-CATALOG ID pair MATCH in Release_Label" )</f>
        <v/>
      </c>
      <c r="D576" s="121" t="str">
        <f t="array" ref="D576">ifs(and(isblank($A576),isblank($B576)),"", not(iserror(vlookup($A576&amp;$B576,'3) Release_Label'!$D:$D&amp;'3) Release_Label'!$E:$E,1,0))),vlookup($A576&amp;$B576,{'3) Release_Label'!$D:$D&amp;'3) Release_Label'!$E:$E,'3) Release_Label'!$H:$H},2,0), or(and(not(isblank($B576)),$B576=$B575,$A576&lt;&gt;$A575),and(not(isblank($A576)),$A576=$A575,$B576&lt;&gt;$B575)),"ID LISTS UNALIGNED",and($A576&lt;&gt;"",countif('3) Release_Label'!$D:$D,$A576)=0),"NO UPC MATCH in Release_Label",and($B576&lt;&gt;"",countif('3) Release_Label'!$E:$E,$B576)=0),"NO CATALOG ID MATCH in Release_Label",iserror(vlookup($A576&amp;$B576,'3) Release_Label'!$D:$D&amp;'3) Release_Label'!$E:$E,1,0)),"NO UPC-CATALOG ID pair MATCH in Release_Label" )</f>
        <v/>
      </c>
      <c r="E576" s="99"/>
      <c r="F576" s="99"/>
      <c r="G576" s="123" t="str">
        <f t="array" ref="G576">ifs(or($F576="",$F576="Main Primary Artist"),$F576,not(iserror(vlookup($F576,'Reference info'!$J$5:$J$8,1,0))),"Key Artist",not(iserror(vlookup($F576,'Reference info'!$J$38:$J$405,1,0))),"Performer",not(iserror(vlookup($F576,'Reference info'!$J$10:$J$36,1,0))),"Producer &amp; Engineer")</f>
        <v/>
      </c>
    </row>
    <row r="577">
      <c r="A577" s="28"/>
      <c r="B577" s="103"/>
      <c r="C577" s="121" t="str">
        <f t="array" ref="C577">ifs(and(isblank($A577),isblank($B577)),"", not(iserror(vlookup($A577&amp;$B577,'3) Release_Label'!$D:$D&amp;'3) Release_Label'!$E:$E,1,0))),vlookup($A577&amp;$B577,{'3) Release_Label'!$D:$D&amp;'3) Release_Label'!$E:$E,'3) Release_Label'!$F:$F},2,0), or(and(not(isblank($B577)),$B577=$B576,$A577&lt;&gt;$A576),and(not(isblank($A577)),$A577=$A576,$B577&lt;&gt;$B576)),"ID LISTS UNALIGNED",and($A577&lt;&gt;"",countif('3) Release_Label'!$D:$D,$A577)=0),"NO UPC MATCH in Release_Label",and($B577&lt;&gt;"",countif('3) Release_Label'!$E:$E,$B577)=0),"NO CATALOG ID MATCH in Release_Label",iserror(vlookup($A577&amp;$B577,'3) Release_Label'!$D:$D&amp;'3) Release_Label'!$E:$E,1,0)),"NO UPC-CATALOG ID pair MATCH in Release_Label" )</f>
        <v/>
      </c>
      <c r="D577" s="121" t="str">
        <f t="array" ref="D577">ifs(and(isblank($A577),isblank($B577)),"", not(iserror(vlookup($A577&amp;$B577,'3) Release_Label'!$D:$D&amp;'3) Release_Label'!$E:$E,1,0))),vlookup($A577&amp;$B577,{'3) Release_Label'!$D:$D&amp;'3) Release_Label'!$E:$E,'3) Release_Label'!$H:$H},2,0), or(and(not(isblank($B577)),$B577=$B576,$A577&lt;&gt;$A576),and(not(isblank($A577)),$A577=$A576,$B577&lt;&gt;$B576)),"ID LISTS UNALIGNED",and($A577&lt;&gt;"",countif('3) Release_Label'!$D:$D,$A577)=0),"NO UPC MATCH in Release_Label",and($B577&lt;&gt;"",countif('3) Release_Label'!$E:$E,$B577)=0),"NO CATALOG ID MATCH in Release_Label",iserror(vlookup($A577&amp;$B577,'3) Release_Label'!$D:$D&amp;'3) Release_Label'!$E:$E,1,0)),"NO UPC-CATALOG ID pair MATCH in Release_Label" )</f>
        <v/>
      </c>
      <c r="E577" s="99"/>
      <c r="F577" s="99"/>
      <c r="G577" s="123" t="str">
        <f t="array" ref="G577">ifs(or($F577="",$F577="Main Primary Artist"),$F577,not(iserror(vlookup($F577,'Reference info'!$J$5:$J$8,1,0))),"Key Artist",not(iserror(vlookup($F577,'Reference info'!$J$38:$J$405,1,0))),"Performer",not(iserror(vlookup($F577,'Reference info'!$J$10:$J$36,1,0))),"Producer &amp; Engineer")</f>
        <v/>
      </c>
    </row>
    <row r="578">
      <c r="A578" s="28"/>
      <c r="B578" s="103"/>
      <c r="C578" s="121" t="str">
        <f t="array" ref="C578">ifs(and(isblank($A578),isblank($B578)),"", not(iserror(vlookup($A578&amp;$B578,'3) Release_Label'!$D:$D&amp;'3) Release_Label'!$E:$E,1,0))),vlookup($A578&amp;$B578,{'3) Release_Label'!$D:$D&amp;'3) Release_Label'!$E:$E,'3) Release_Label'!$F:$F},2,0), or(and(not(isblank($B578)),$B578=$B577,$A578&lt;&gt;$A577),and(not(isblank($A578)),$A578=$A577,$B578&lt;&gt;$B577)),"ID LISTS UNALIGNED",and($A578&lt;&gt;"",countif('3) Release_Label'!$D:$D,$A578)=0),"NO UPC MATCH in Release_Label",and($B578&lt;&gt;"",countif('3) Release_Label'!$E:$E,$B578)=0),"NO CATALOG ID MATCH in Release_Label",iserror(vlookup($A578&amp;$B578,'3) Release_Label'!$D:$D&amp;'3) Release_Label'!$E:$E,1,0)),"NO UPC-CATALOG ID pair MATCH in Release_Label" )</f>
        <v/>
      </c>
      <c r="D578" s="121" t="str">
        <f t="array" ref="D578">ifs(and(isblank($A578),isblank($B578)),"", not(iserror(vlookup($A578&amp;$B578,'3) Release_Label'!$D:$D&amp;'3) Release_Label'!$E:$E,1,0))),vlookup($A578&amp;$B578,{'3) Release_Label'!$D:$D&amp;'3) Release_Label'!$E:$E,'3) Release_Label'!$H:$H},2,0), or(and(not(isblank($B578)),$B578=$B577,$A578&lt;&gt;$A577),and(not(isblank($A578)),$A578=$A577,$B578&lt;&gt;$B577)),"ID LISTS UNALIGNED",and($A578&lt;&gt;"",countif('3) Release_Label'!$D:$D,$A578)=0),"NO UPC MATCH in Release_Label",and($B578&lt;&gt;"",countif('3) Release_Label'!$E:$E,$B578)=0),"NO CATALOG ID MATCH in Release_Label",iserror(vlookup($A578&amp;$B578,'3) Release_Label'!$D:$D&amp;'3) Release_Label'!$E:$E,1,0)),"NO UPC-CATALOG ID pair MATCH in Release_Label" )</f>
        <v/>
      </c>
      <c r="E578" s="99"/>
      <c r="F578" s="99"/>
      <c r="G578" s="123" t="str">
        <f t="array" ref="G578">ifs(or($F578="",$F578="Main Primary Artist"),$F578,not(iserror(vlookup($F578,'Reference info'!$J$5:$J$8,1,0))),"Key Artist",not(iserror(vlookup($F578,'Reference info'!$J$38:$J$405,1,0))),"Performer",not(iserror(vlookup($F578,'Reference info'!$J$10:$J$36,1,0))),"Producer &amp; Engineer")</f>
        <v/>
      </c>
    </row>
    <row r="579">
      <c r="A579" s="28"/>
      <c r="B579" s="103"/>
      <c r="C579" s="121" t="str">
        <f t="array" ref="C579">ifs(and(isblank($A579),isblank($B579)),"", not(iserror(vlookup($A579&amp;$B579,'3) Release_Label'!$D:$D&amp;'3) Release_Label'!$E:$E,1,0))),vlookup($A579&amp;$B579,{'3) Release_Label'!$D:$D&amp;'3) Release_Label'!$E:$E,'3) Release_Label'!$F:$F},2,0), or(and(not(isblank($B579)),$B579=$B578,$A579&lt;&gt;$A578),and(not(isblank($A579)),$A579=$A578,$B579&lt;&gt;$B578)),"ID LISTS UNALIGNED",and($A579&lt;&gt;"",countif('3) Release_Label'!$D:$D,$A579)=0),"NO UPC MATCH in Release_Label",and($B579&lt;&gt;"",countif('3) Release_Label'!$E:$E,$B579)=0),"NO CATALOG ID MATCH in Release_Label",iserror(vlookup($A579&amp;$B579,'3) Release_Label'!$D:$D&amp;'3) Release_Label'!$E:$E,1,0)),"NO UPC-CATALOG ID pair MATCH in Release_Label" )</f>
        <v/>
      </c>
      <c r="D579" s="121" t="str">
        <f t="array" ref="D579">ifs(and(isblank($A579),isblank($B579)),"", not(iserror(vlookup($A579&amp;$B579,'3) Release_Label'!$D:$D&amp;'3) Release_Label'!$E:$E,1,0))),vlookup($A579&amp;$B579,{'3) Release_Label'!$D:$D&amp;'3) Release_Label'!$E:$E,'3) Release_Label'!$H:$H},2,0), or(and(not(isblank($B579)),$B579=$B578,$A579&lt;&gt;$A578),and(not(isblank($A579)),$A579=$A578,$B579&lt;&gt;$B578)),"ID LISTS UNALIGNED",and($A579&lt;&gt;"",countif('3) Release_Label'!$D:$D,$A579)=0),"NO UPC MATCH in Release_Label",and($B579&lt;&gt;"",countif('3) Release_Label'!$E:$E,$B579)=0),"NO CATALOG ID MATCH in Release_Label",iserror(vlookup($A579&amp;$B579,'3) Release_Label'!$D:$D&amp;'3) Release_Label'!$E:$E,1,0)),"NO UPC-CATALOG ID pair MATCH in Release_Label" )</f>
        <v/>
      </c>
      <c r="E579" s="99"/>
      <c r="F579" s="99"/>
      <c r="G579" s="123" t="str">
        <f t="array" ref="G579">ifs(or($F579="",$F579="Main Primary Artist"),$F579,not(iserror(vlookup($F579,'Reference info'!$J$5:$J$8,1,0))),"Key Artist",not(iserror(vlookup($F579,'Reference info'!$J$38:$J$405,1,0))),"Performer",not(iserror(vlookup($F579,'Reference info'!$J$10:$J$36,1,0))),"Producer &amp; Engineer")</f>
        <v/>
      </c>
    </row>
    <row r="580">
      <c r="A580" s="28"/>
      <c r="B580" s="103"/>
      <c r="C580" s="121" t="str">
        <f t="array" ref="C580">ifs(and(isblank($A580),isblank($B580)),"", not(iserror(vlookup($A580&amp;$B580,'3) Release_Label'!$D:$D&amp;'3) Release_Label'!$E:$E,1,0))),vlookup($A580&amp;$B580,{'3) Release_Label'!$D:$D&amp;'3) Release_Label'!$E:$E,'3) Release_Label'!$F:$F},2,0), or(and(not(isblank($B580)),$B580=$B579,$A580&lt;&gt;$A579),and(not(isblank($A580)),$A580=$A579,$B580&lt;&gt;$B579)),"ID LISTS UNALIGNED",and($A580&lt;&gt;"",countif('3) Release_Label'!$D:$D,$A580)=0),"NO UPC MATCH in Release_Label",and($B580&lt;&gt;"",countif('3) Release_Label'!$E:$E,$B580)=0),"NO CATALOG ID MATCH in Release_Label",iserror(vlookup($A580&amp;$B580,'3) Release_Label'!$D:$D&amp;'3) Release_Label'!$E:$E,1,0)),"NO UPC-CATALOG ID pair MATCH in Release_Label" )</f>
        <v/>
      </c>
      <c r="D580" s="121" t="str">
        <f t="array" ref="D580">ifs(and(isblank($A580),isblank($B580)),"", not(iserror(vlookup($A580&amp;$B580,'3) Release_Label'!$D:$D&amp;'3) Release_Label'!$E:$E,1,0))),vlookup($A580&amp;$B580,{'3) Release_Label'!$D:$D&amp;'3) Release_Label'!$E:$E,'3) Release_Label'!$H:$H},2,0), or(and(not(isblank($B580)),$B580=$B579,$A580&lt;&gt;$A579),and(not(isblank($A580)),$A580=$A579,$B580&lt;&gt;$B579)),"ID LISTS UNALIGNED",and($A580&lt;&gt;"",countif('3) Release_Label'!$D:$D,$A580)=0),"NO UPC MATCH in Release_Label",and($B580&lt;&gt;"",countif('3) Release_Label'!$E:$E,$B580)=0),"NO CATALOG ID MATCH in Release_Label",iserror(vlookup($A580&amp;$B580,'3) Release_Label'!$D:$D&amp;'3) Release_Label'!$E:$E,1,0)),"NO UPC-CATALOG ID pair MATCH in Release_Label" )</f>
        <v/>
      </c>
      <c r="E580" s="99"/>
      <c r="F580" s="99"/>
      <c r="G580" s="123" t="str">
        <f t="array" ref="G580">ifs(or($F580="",$F580="Main Primary Artist"),$F580,not(iserror(vlookup($F580,'Reference info'!$J$5:$J$8,1,0))),"Key Artist",not(iserror(vlookup($F580,'Reference info'!$J$38:$J$405,1,0))),"Performer",not(iserror(vlookup($F580,'Reference info'!$J$10:$J$36,1,0))),"Producer &amp; Engineer")</f>
        <v/>
      </c>
    </row>
    <row r="581">
      <c r="A581" s="28"/>
      <c r="B581" s="103"/>
      <c r="C581" s="121" t="str">
        <f t="array" ref="C581">ifs(and(isblank($A581),isblank($B581)),"", not(iserror(vlookup($A581&amp;$B581,'3) Release_Label'!$D:$D&amp;'3) Release_Label'!$E:$E,1,0))),vlookup($A581&amp;$B581,{'3) Release_Label'!$D:$D&amp;'3) Release_Label'!$E:$E,'3) Release_Label'!$F:$F},2,0), or(and(not(isblank($B581)),$B581=$B580,$A581&lt;&gt;$A580),and(not(isblank($A581)),$A581=$A580,$B581&lt;&gt;$B580)),"ID LISTS UNALIGNED",and($A581&lt;&gt;"",countif('3) Release_Label'!$D:$D,$A581)=0),"NO UPC MATCH in Release_Label",and($B581&lt;&gt;"",countif('3) Release_Label'!$E:$E,$B581)=0),"NO CATALOG ID MATCH in Release_Label",iserror(vlookup($A581&amp;$B581,'3) Release_Label'!$D:$D&amp;'3) Release_Label'!$E:$E,1,0)),"NO UPC-CATALOG ID pair MATCH in Release_Label" )</f>
        <v/>
      </c>
      <c r="D581" s="121" t="str">
        <f t="array" ref="D581">ifs(and(isblank($A581),isblank($B581)),"", not(iserror(vlookup($A581&amp;$B581,'3) Release_Label'!$D:$D&amp;'3) Release_Label'!$E:$E,1,0))),vlookup($A581&amp;$B581,{'3) Release_Label'!$D:$D&amp;'3) Release_Label'!$E:$E,'3) Release_Label'!$H:$H},2,0), or(and(not(isblank($B581)),$B581=$B580,$A581&lt;&gt;$A580),and(not(isblank($A581)),$A581=$A580,$B581&lt;&gt;$B580)),"ID LISTS UNALIGNED",and($A581&lt;&gt;"",countif('3) Release_Label'!$D:$D,$A581)=0),"NO UPC MATCH in Release_Label",and($B581&lt;&gt;"",countif('3) Release_Label'!$E:$E,$B581)=0),"NO CATALOG ID MATCH in Release_Label",iserror(vlookup($A581&amp;$B581,'3) Release_Label'!$D:$D&amp;'3) Release_Label'!$E:$E,1,0)),"NO UPC-CATALOG ID pair MATCH in Release_Label" )</f>
        <v/>
      </c>
      <c r="E581" s="99"/>
      <c r="F581" s="99"/>
      <c r="G581" s="123" t="str">
        <f t="array" ref="G581">ifs(or($F581="",$F581="Main Primary Artist"),$F581,not(iserror(vlookup($F581,'Reference info'!$J$5:$J$8,1,0))),"Key Artist",not(iserror(vlookup($F581,'Reference info'!$J$38:$J$405,1,0))),"Performer",not(iserror(vlookup($F581,'Reference info'!$J$10:$J$36,1,0))),"Producer &amp; Engineer")</f>
        <v/>
      </c>
    </row>
    <row r="582">
      <c r="A582" s="28"/>
      <c r="B582" s="103"/>
      <c r="C582" s="121" t="str">
        <f t="array" ref="C582">ifs(and(isblank($A582),isblank($B582)),"", not(iserror(vlookup($A582&amp;$B582,'3) Release_Label'!$D:$D&amp;'3) Release_Label'!$E:$E,1,0))),vlookup($A582&amp;$B582,{'3) Release_Label'!$D:$D&amp;'3) Release_Label'!$E:$E,'3) Release_Label'!$F:$F},2,0), or(and(not(isblank($B582)),$B582=$B581,$A582&lt;&gt;$A581),and(not(isblank($A582)),$A582=$A581,$B582&lt;&gt;$B581)),"ID LISTS UNALIGNED",and($A582&lt;&gt;"",countif('3) Release_Label'!$D:$D,$A582)=0),"NO UPC MATCH in Release_Label",and($B582&lt;&gt;"",countif('3) Release_Label'!$E:$E,$B582)=0),"NO CATALOG ID MATCH in Release_Label",iserror(vlookup($A582&amp;$B582,'3) Release_Label'!$D:$D&amp;'3) Release_Label'!$E:$E,1,0)),"NO UPC-CATALOG ID pair MATCH in Release_Label" )</f>
        <v/>
      </c>
      <c r="D582" s="121" t="str">
        <f t="array" ref="D582">ifs(and(isblank($A582),isblank($B582)),"", not(iserror(vlookup($A582&amp;$B582,'3) Release_Label'!$D:$D&amp;'3) Release_Label'!$E:$E,1,0))),vlookup($A582&amp;$B582,{'3) Release_Label'!$D:$D&amp;'3) Release_Label'!$E:$E,'3) Release_Label'!$H:$H},2,0), or(and(not(isblank($B582)),$B582=$B581,$A582&lt;&gt;$A581),and(not(isblank($A582)),$A582=$A581,$B582&lt;&gt;$B581)),"ID LISTS UNALIGNED",and($A582&lt;&gt;"",countif('3) Release_Label'!$D:$D,$A582)=0),"NO UPC MATCH in Release_Label",and($B582&lt;&gt;"",countif('3) Release_Label'!$E:$E,$B582)=0),"NO CATALOG ID MATCH in Release_Label",iserror(vlookup($A582&amp;$B582,'3) Release_Label'!$D:$D&amp;'3) Release_Label'!$E:$E,1,0)),"NO UPC-CATALOG ID pair MATCH in Release_Label" )</f>
        <v/>
      </c>
      <c r="E582" s="99"/>
      <c r="F582" s="99"/>
      <c r="G582" s="123" t="str">
        <f t="array" ref="G582">ifs(or($F582="",$F582="Main Primary Artist"),$F582,not(iserror(vlookup($F582,'Reference info'!$J$5:$J$8,1,0))),"Key Artist",not(iserror(vlookup($F582,'Reference info'!$J$38:$J$405,1,0))),"Performer",not(iserror(vlookup($F582,'Reference info'!$J$10:$J$36,1,0))),"Producer &amp; Engineer")</f>
        <v/>
      </c>
    </row>
    <row r="583">
      <c r="A583" s="28"/>
      <c r="B583" s="103"/>
      <c r="C583" s="121" t="str">
        <f t="array" ref="C583">ifs(and(isblank($A583),isblank($B583)),"", not(iserror(vlookup($A583&amp;$B583,'3) Release_Label'!$D:$D&amp;'3) Release_Label'!$E:$E,1,0))),vlookup($A583&amp;$B583,{'3) Release_Label'!$D:$D&amp;'3) Release_Label'!$E:$E,'3) Release_Label'!$F:$F},2,0), or(and(not(isblank($B583)),$B583=$B582,$A583&lt;&gt;$A582),and(not(isblank($A583)),$A583=$A582,$B583&lt;&gt;$B582)),"ID LISTS UNALIGNED",and($A583&lt;&gt;"",countif('3) Release_Label'!$D:$D,$A583)=0),"NO UPC MATCH in Release_Label",and($B583&lt;&gt;"",countif('3) Release_Label'!$E:$E,$B583)=0),"NO CATALOG ID MATCH in Release_Label",iserror(vlookup($A583&amp;$B583,'3) Release_Label'!$D:$D&amp;'3) Release_Label'!$E:$E,1,0)),"NO UPC-CATALOG ID pair MATCH in Release_Label" )</f>
        <v/>
      </c>
      <c r="D583" s="121" t="str">
        <f t="array" ref="D583">ifs(and(isblank($A583),isblank($B583)),"", not(iserror(vlookup($A583&amp;$B583,'3) Release_Label'!$D:$D&amp;'3) Release_Label'!$E:$E,1,0))),vlookup($A583&amp;$B583,{'3) Release_Label'!$D:$D&amp;'3) Release_Label'!$E:$E,'3) Release_Label'!$H:$H},2,0), or(and(not(isblank($B583)),$B583=$B582,$A583&lt;&gt;$A582),and(not(isblank($A583)),$A583=$A582,$B583&lt;&gt;$B582)),"ID LISTS UNALIGNED",and($A583&lt;&gt;"",countif('3) Release_Label'!$D:$D,$A583)=0),"NO UPC MATCH in Release_Label",and($B583&lt;&gt;"",countif('3) Release_Label'!$E:$E,$B583)=0),"NO CATALOG ID MATCH in Release_Label",iserror(vlookup($A583&amp;$B583,'3) Release_Label'!$D:$D&amp;'3) Release_Label'!$E:$E,1,0)),"NO UPC-CATALOG ID pair MATCH in Release_Label" )</f>
        <v/>
      </c>
      <c r="E583" s="99"/>
      <c r="F583" s="99"/>
      <c r="G583" s="123" t="str">
        <f t="array" ref="G583">ifs(or($F583="",$F583="Main Primary Artist"),$F583,not(iserror(vlookup($F583,'Reference info'!$J$5:$J$8,1,0))),"Key Artist",not(iserror(vlookup($F583,'Reference info'!$J$38:$J$405,1,0))),"Performer",not(iserror(vlookup($F583,'Reference info'!$J$10:$J$36,1,0))),"Producer &amp; Engineer")</f>
        <v/>
      </c>
    </row>
    <row r="584">
      <c r="A584" s="28"/>
      <c r="B584" s="103"/>
      <c r="C584" s="121" t="str">
        <f t="array" ref="C584">ifs(and(isblank($A584),isblank($B584)),"", not(iserror(vlookup($A584&amp;$B584,'3) Release_Label'!$D:$D&amp;'3) Release_Label'!$E:$E,1,0))),vlookup($A584&amp;$B584,{'3) Release_Label'!$D:$D&amp;'3) Release_Label'!$E:$E,'3) Release_Label'!$F:$F},2,0), or(and(not(isblank($B584)),$B584=$B583,$A584&lt;&gt;$A583),and(not(isblank($A584)),$A584=$A583,$B584&lt;&gt;$B583)),"ID LISTS UNALIGNED",and($A584&lt;&gt;"",countif('3) Release_Label'!$D:$D,$A584)=0),"NO UPC MATCH in Release_Label",and($B584&lt;&gt;"",countif('3) Release_Label'!$E:$E,$B584)=0),"NO CATALOG ID MATCH in Release_Label",iserror(vlookup($A584&amp;$B584,'3) Release_Label'!$D:$D&amp;'3) Release_Label'!$E:$E,1,0)),"NO UPC-CATALOG ID pair MATCH in Release_Label" )</f>
        <v/>
      </c>
      <c r="D584" s="121" t="str">
        <f t="array" ref="D584">ifs(and(isblank($A584),isblank($B584)),"", not(iserror(vlookup($A584&amp;$B584,'3) Release_Label'!$D:$D&amp;'3) Release_Label'!$E:$E,1,0))),vlookup($A584&amp;$B584,{'3) Release_Label'!$D:$D&amp;'3) Release_Label'!$E:$E,'3) Release_Label'!$H:$H},2,0), or(and(not(isblank($B584)),$B584=$B583,$A584&lt;&gt;$A583),and(not(isblank($A584)),$A584=$A583,$B584&lt;&gt;$B583)),"ID LISTS UNALIGNED",and($A584&lt;&gt;"",countif('3) Release_Label'!$D:$D,$A584)=0),"NO UPC MATCH in Release_Label",and($B584&lt;&gt;"",countif('3) Release_Label'!$E:$E,$B584)=0),"NO CATALOG ID MATCH in Release_Label",iserror(vlookup($A584&amp;$B584,'3) Release_Label'!$D:$D&amp;'3) Release_Label'!$E:$E,1,0)),"NO UPC-CATALOG ID pair MATCH in Release_Label" )</f>
        <v/>
      </c>
      <c r="E584" s="99"/>
      <c r="F584" s="99"/>
      <c r="G584" s="123" t="str">
        <f t="array" ref="G584">ifs(or($F584="",$F584="Main Primary Artist"),$F584,not(iserror(vlookup($F584,'Reference info'!$J$5:$J$8,1,0))),"Key Artist",not(iserror(vlookup($F584,'Reference info'!$J$38:$J$405,1,0))),"Performer",not(iserror(vlookup($F584,'Reference info'!$J$10:$J$36,1,0))),"Producer &amp; Engineer")</f>
        <v/>
      </c>
    </row>
    <row r="585">
      <c r="A585" s="28"/>
      <c r="B585" s="103"/>
      <c r="C585" s="121" t="str">
        <f t="array" ref="C585">ifs(and(isblank($A585),isblank($B585)),"", not(iserror(vlookup($A585&amp;$B585,'3) Release_Label'!$D:$D&amp;'3) Release_Label'!$E:$E,1,0))),vlookup($A585&amp;$B585,{'3) Release_Label'!$D:$D&amp;'3) Release_Label'!$E:$E,'3) Release_Label'!$F:$F},2,0), or(and(not(isblank($B585)),$B585=$B584,$A585&lt;&gt;$A584),and(not(isblank($A585)),$A585=$A584,$B585&lt;&gt;$B584)),"ID LISTS UNALIGNED",and($A585&lt;&gt;"",countif('3) Release_Label'!$D:$D,$A585)=0),"NO UPC MATCH in Release_Label",and($B585&lt;&gt;"",countif('3) Release_Label'!$E:$E,$B585)=0),"NO CATALOG ID MATCH in Release_Label",iserror(vlookup($A585&amp;$B585,'3) Release_Label'!$D:$D&amp;'3) Release_Label'!$E:$E,1,0)),"NO UPC-CATALOG ID pair MATCH in Release_Label" )</f>
        <v/>
      </c>
      <c r="D585" s="121" t="str">
        <f t="array" ref="D585">ifs(and(isblank($A585),isblank($B585)),"", not(iserror(vlookup($A585&amp;$B585,'3) Release_Label'!$D:$D&amp;'3) Release_Label'!$E:$E,1,0))),vlookup($A585&amp;$B585,{'3) Release_Label'!$D:$D&amp;'3) Release_Label'!$E:$E,'3) Release_Label'!$H:$H},2,0), or(and(not(isblank($B585)),$B585=$B584,$A585&lt;&gt;$A584),and(not(isblank($A585)),$A585=$A584,$B585&lt;&gt;$B584)),"ID LISTS UNALIGNED",and($A585&lt;&gt;"",countif('3) Release_Label'!$D:$D,$A585)=0),"NO UPC MATCH in Release_Label",and($B585&lt;&gt;"",countif('3) Release_Label'!$E:$E,$B585)=0),"NO CATALOG ID MATCH in Release_Label",iserror(vlookup($A585&amp;$B585,'3) Release_Label'!$D:$D&amp;'3) Release_Label'!$E:$E,1,0)),"NO UPC-CATALOG ID pair MATCH in Release_Label" )</f>
        <v/>
      </c>
      <c r="E585" s="99"/>
      <c r="F585" s="99"/>
      <c r="G585" s="123" t="str">
        <f t="array" ref="G585">ifs(or($F585="",$F585="Main Primary Artist"),$F585,not(iserror(vlookup($F585,'Reference info'!$J$5:$J$8,1,0))),"Key Artist",not(iserror(vlookup($F585,'Reference info'!$J$38:$J$405,1,0))),"Performer",not(iserror(vlookup($F585,'Reference info'!$J$10:$J$36,1,0))),"Producer &amp; Engineer")</f>
        <v/>
      </c>
    </row>
    <row r="586">
      <c r="A586" s="28"/>
      <c r="B586" s="103"/>
      <c r="C586" s="121" t="str">
        <f t="array" ref="C586">ifs(and(isblank($A586),isblank($B586)),"", not(iserror(vlookup($A586&amp;$B586,'3) Release_Label'!$D:$D&amp;'3) Release_Label'!$E:$E,1,0))),vlookup($A586&amp;$B586,{'3) Release_Label'!$D:$D&amp;'3) Release_Label'!$E:$E,'3) Release_Label'!$F:$F},2,0), or(and(not(isblank($B586)),$B586=$B585,$A586&lt;&gt;$A585),and(not(isblank($A586)),$A586=$A585,$B586&lt;&gt;$B585)),"ID LISTS UNALIGNED",and($A586&lt;&gt;"",countif('3) Release_Label'!$D:$D,$A586)=0),"NO UPC MATCH in Release_Label",and($B586&lt;&gt;"",countif('3) Release_Label'!$E:$E,$B586)=0),"NO CATALOG ID MATCH in Release_Label",iserror(vlookup($A586&amp;$B586,'3) Release_Label'!$D:$D&amp;'3) Release_Label'!$E:$E,1,0)),"NO UPC-CATALOG ID pair MATCH in Release_Label" )</f>
        <v/>
      </c>
      <c r="D586" s="121" t="str">
        <f t="array" ref="D586">ifs(and(isblank($A586),isblank($B586)),"", not(iserror(vlookup($A586&amp;$B586,'3) Release_Label'!$D:$D&amp;'3) Release_Label'!$E:$E,1,0))),vlookup($A586&amp;$B586,{'3) Release_Label'!$D:$D&amp;'3) Release_Label'!$E:$E,'3) Release_Label'!$H:$H},2,0), or(and(not(isblank($B586)),$B586=$B585,$A586&lt;&gt;$A585),and(not(isblank($A586)),$A586=$A585,$B586&lt;&gt;$B585)),"ID LISTS UNALIGNED",and($A586&lt;&gt;"",countif('3) Release_Label'!$D:$D,$A586)=0),"NO UPC MATCH in Release_Label",and($B586&lt;&gt;"",countif('3) Release_Label'!$E:$E,$B586)=0),"NO CATALOG ID MATCH in Release_Label",iserror(vlookup($A586&amp;$B586,'3) Release_Label'!$D:$D&amp;'3) Release_Label'!$E:$E,1,0)),"NO UPC-CATALOG ID pair MATCH in Release_Label" )</f>
        <v/>
      </c>
      <c r="E586" s="99"/>
      <c r="F586" s="99"/>
      <c r="G586" s="123" t="str">
        <f t="array" ref="G586">ifs(or($F586="",$F586="Main Primary Artist"),$F586,not(iserror(vlookup($F586,'Reference info'!$J$5:$J$8,1,0))),"Key Artist",not(iserror(vlookup($F586,'Reference info'!$J$38:$J$405,1,0))),"Performer",not(iserror(vlookup($F586,'Reference info'!$J$10:$J$36,1,0))),"Producer &amp; Engineer")</f>
        <v/>
      </c>
    </row>
    <row r="587">
      <c r="A587" s="28"/>
      <c r="B587" s="103"/>
      <c r="C587" s="121" t="str">
        <f t="array" ref="C587">ifs(and(isblank($A587),isblank($B587)),"", not(iserror(vlookup($A587&amp;$B587,'3) Release_Label'!$D:$D&amp;'3) Release_Label'!$E:$E,1,0))),vlookup($A587&amp;$B587,{'3) Release_Label'!$D:$D&amp;'3) Release_Label'!$E:$E,'3) Release_Label'!$F:$F},2,0), or(and(not(isblank($B587)),$B587=$B586,$A587&lt;&gt;$A586),and(not(isblank($A587)),$A587=$A586,$B587&lt;&gt;$B586)),"ID LISTS UNALIGNED",and($A587&lt;&gt;"",countif('3) Release_Label'!$D:$D,$A587)=0),"NO UPC MATCH in Release_Label",and($B587&lt;&gt;"",countif('3) Release_Label'!$E:$E,$B587)=0),"NO CATALOG ID MATCH in Release_Label",iserror(vlookup($A587&amp;$B587,'3) Release_Label'!$D:$D&amp;'3) Release_Label'!$E:$E,1,0)),"NO UPC-CATALOG ID pair MATCH in Release_Label" )</f>
        <v/>
      </c>
      <c r="D587" s="121" t="str">
        <f t="array" ref="D587">ifs(and(isblank($A587),isblank($B587)),"", not(iserror(vlookup($A587&amp;$B587,'3) Release_Label'!$D:$D&amp;'3) Release_Label'!$E:$E,1,0))),vlookup($A587&amp;$B587,{'3) Release_Label'!$D:$D&amp;'3) Release_Label'!$E:$E,'3) Release_Label'!$H:$H},2,0), or(and(not(isblank($B587)),$B587=$B586,$A587&lt;&gt;$A586),and(not(isblank($A587)),$A587=$A586,$B587&lt;&gt;$B586)),"ID LISTS UNALIGNED",and($A587&lt;&gt;"",countif('3) Release_Label'!$D:$D,$A587)=0),"NO UPC MATCH in Release_Label",and($B587&lt;&gt;"",countif('3) Release_Label'!$E:$E,$B587)=0),"NO CATALOG ID MATCH in Release_Label",iserror(vlookup($A587&amp;$B587,'3) Release_Label'!$D:$D&amp;'3) Release_Label'!$E:$E,1,0)),"NO UPC-CATALOG ID pair MATCH in Release_Label" )</f>
        <v/>
      </c>
      <c r="E587" s="99"/>
      <c r="F587" s="99"/>
      <c r="G587" s="123" t="str">
        <f t="array" ref="G587">ifs(or($F587="",$F587="Main Primary Artist"),$F587,not(iserror(vlookup($F587,'Reference info'!$J$5:$J$8,1,0))),"Key Artist",not(iserror(vlookup($F587,'Reference info'!$J$38:$J$405,1,0))),"Performer",not(iserror(vlookup($F587,'Reference info'!$J$10:$J$36,1,0))),"Producer &amp; Engineer")</f>
        <v/>
      </c>
    </row>
    <row r="588">
      <c r="A588" s="28"/>
      <c r="B588" s="103"/>
      <c r="C588" s="121" t="str">
        <f t="array" ref="C588">ifs(and(isblank($A588),isblank($B588)),"", not(iserror(vlookup($A588&amp;$B588,'3) Release_Label'!$D:$D&amp;'3) Release_Label'!$E:$E,1,0))),vlookup($A588&amp;$B588,{'3) Release_Label'!$D:$D&amp;'3) Release_Label'!$E:$E,'3) Release_Label'!$F:$F},2,0), or(and(not(isblank($B588)),$B588=$B587,$A588&lt;&gt;$A587),and(not(isblank($A588)),$A588=$A587,$B588&lt;&gt;$B587)),"ID LISTS UNALIGNED",and($A588&lt;&gt;"",countif('3) Release_Label'!$D:$D,$A588)=0),"NO UPC MATCH in Release_Label",and($B588&lt;&gt;"",countif('3) Release_Label'!$E:$E,$B588)=0),"NO CATALOG ID MATCH in Release_Label",iserror(vlookup($A588&amp;$B588,'3) Release_Label'!$D:$D&amp;'3) Release_Label'!$E:$E,1,0)),"NO UPC-CATALOG ID pair MATCH in Release_Label" )</f>
        <v/>
      </c>
      <c r="D588" s="121" t="str">
        <f t="array" ref="D588">ifs(and(isblank($A588),isblank($B588)),"", not(iserror(vlookup($A588&amp;$B588,'3) Release_Label'!$D:$D&amp;'3) Release_Label'!$E:$E,1,0))),vlookup($A588&amp;$B588,{'3) Release_Label'!$D:$D&amp;'3) Release_Label'!$E:$E,'3) Release_Label'!$H:$H},2,0), or(and(not(isblank($B588)),$B588=$B587,$A588&lt;&gt;$A587),and(not(isblank($A588)),$A588=$A587,$B588&lt;&gt;$B587)),"ID LISTS UNALIGNED",and($A588&lt;&gt;"",countif('3) Release_Label'!$D:$D,$A588)=0),"NO UPC MATCH in Release_Label",and($B588&lt;&gt;"",countif('3) Release_Label'!$E:$E,$B588)=0),"NO CATALOG ID MATCH in Release_Label",iserror(vlookup($A588&amp;$B588,'3) Release_Label'!$D:$D&amp;'3) Release_Label'!$E:$E,1,0)),"NO UPC-CATALOG ID pair MATCH in Release_Label" )</f>
        <v/>
      </c>
      <c r="E588" s="99"/>
      <c r="F588" s="99"/>
      <c r="G588" s="123" t="str">
        <f t="array" ref="G588">ifs(or($F588="",$F588="Main Primary Artist"),$F588,not(iserror(vlookup($F588,'Reference info'!$J$5:$J$8,1,0))),"Key Artist",not(iserror(vlookup($F588,'Reference info'!$J$38:$J$405,1,0))),"Performer",not(iserror(vlookup($F588,'Reference info'!$J$10:$J$36,1,0))),"Producer &amp; Engineer")</f>
        <v/>
      </c>
    </row>
    <row r="589">
      <c r="A589" s="28"/>
      <c r="B589" s="103"/>
      <c r="C589" s="121" t="str">
        <f t="array" ref="C589">ifs(and(isblank($A589),isblank($B589)),"", not(iserror(vlookup($A589&amp;$B589,'3) Release_Label'!$D:$D&amp;'3) Release_Label'!$E:$E,1,0))),vlookup($A589&amp;$B589,{'3) Release_Label'!$D:$D&amp;'3) Release_Label'!$E:$E,'3) Release_Label'!$F:$F},2,0), or(and(not(isblank($B589)),$B589=$B588,$A589&lt;&gt;$A588),and(not(isblank($A589)),$A589=$A588,$B589&lt;&gt;$B588)),"ID LISTS UNALIGNED",and($A589&lt;&gt;"",countif('3) Release_Label'!$D:$D,$A589)=0),"NO UPC MATCH in Release_Label",and($B589&lt;&gt;"",countif('3) Release_Label'!$E:$E,$B589)=0),"NO CATALOG ID MATCH in Release_Label",iserror(vlookup($A589&amp;$B589,'3) Release_Label'!$D:$D&amp;'3) Release_Label'!$E:$E,1,0)),"NO UPC-CATALOG ID pair MATCH in Release_Label" )</f>
        <v/>
      </c>
      <c r="D589" s="121" t="str">
        <f t="array" ref="D589">ifs(and(isblank($A589),isblank($B589)),"", not(iserror(vlookup($A589&amp;$B589,'3) Release_Label'!$D:$D&amp;'3) Release_Label'!$E:$E,1,0))),vlookup($A589&amp;$B589,{'3) Release_Label'!$D:$D&amp;'3) Release_Label'!$E:$E,'3) Release_Label'!$H:$H},2,0), or(and(not(isblank($B589)),$B589=$B588,$A589&lt;&gt;$A588),and(not(isblank($A589)),$A589=$A588,$B589&lt;&gt;$B588)),"ID LISTS UNALIGNED",and($A589&lt;&gt;"",countif('3) Release_Label'!$D:$D,$A589)=0),"NO UPC MATCH in Release_Label",and($B589&lt;&gt;"",countif('3) Release_Label'!$E:$E,$B589)=0),"NO CATALOG ID MATCH in Release_Label",iserror(vlookup($A589&amp;$B589,'3) Release_Label'!$D:$D&amp;'3) Release_Label'!$E:$E,1,0)),"NO UPC-CATALOG ID pair MATCH in Release_Label" )</f>
        <v/>
      </c>
      <c r="E589" s="99"/>
      <c r="F589" s="99"/>
      <c r="G589" s="123" t="str">
        <f t="array" ref="G589">ifs(or($F589="",$F589="Main Primary Artist"),$F589,not(iserror(vlookup($F589,'Reference info'!$J$5:$J$8,1,0))),"Key Artist",not(iserror(vlookup($F589,'Reference info'!$J$38:$J$405,1,0))),"Performer",not(iserror(vlookup($F589,'Reference info'!$J$10:$J$36,1,0))),"Producer &amp; Engineer")</f>
        <v/>
      </c>
    </row>
    <row r="590">
      <c r="A590" s="28"/>
      <c r="B590" s="103"/>
      <c r="C590" s="121" t="str">
        <f t="array" ref="C590">ifs(and(isblank($A590),isblank($B590)),"", not(iserror(vlookup($A590&amp;$B590,'3) Release_Label'!$D:$D&amp;'3) Release_Label'!$E:$E,1,0))),vlookup($A590&amp;$B590,{'3) Release_Label'!$D:$D&amp;'3) Release_Label'!$E:$E,'3) Release_Label'!$F:$F},2,0), or(and(not(isblank($B590)),$B590=$B589,$A590&lt;&gt;$A589),and(not(isblank($A590)),$A590=$A589,$B590&lt;&gt;$B589)),"ID LISTS UNALIGNED",and($A590&lt;&gt;"",countif('3) Release_Label'!$D:$D,$A590)=0),"NO UPC MATCH in Release_Label",and($B590&lt;&gt;"",countif('3) Release_Label'!$E:$E,$B590)=0),"NO CATALOG ID MATCH in Release_Label",iserror(vlookup($A590&amp;$B590,'3) Release_Label'!$D:$D&amp;'3) Release_Label'!$E:$E,1,0)),"NO UPC-CATALOG ID pair MATCH in Release_Label" )</f>
        <v/>
      </c>
      <c r="D590" s="121" t="str">
        <f t="array" ref="D590">ifs(and(isblank($A590),isblank($B590)),"", not(iserror(vlookup($A590&amp;$B590,'3) Release_Label'!$D:$D&amp;'3) Release_Label'!$E:$E,1,0))),vlookup($A590&amp;$B590,{'3) Release_Label'!$D:$D&amp;'3) Release_Label'!$E:$E,'3) Release_Label'!$H:$H},2,0), or(and(not(isblank($B590)),$B590=$B589,$A590&lt;&gt;$A589),and(not(isblank($A590)),$A590=$A589,$B590&lt;&gt;$B589)),"ID LISTS UNALIGNED",and($A590&lt;&gt;"",countif('3) Release_Label'!$D:$D,$A590)=0),"NO UPC MATCH in Release_Label",and($B590&lt;&gt;"",countif('3) Release_Label'!$E:$E,$B590)=0),"NO CATALOG ID MATCH in Release_Label",iserror(vlookup($A590&amp;$B590,'3) Release_Label'!$D:$D&amp;'3) Release_Label'!$E:$E,1,0)),"NO UPC-CATALOG ID pair MATCH in Release_Label" )</f>
        <v/>
      </c>
      <c r="E590" s="99"/>
      <c r="F590" s="99"/>
      <c r="G590" s="123" t="str">
        <f t="array" ref="G590">ifs(or($F590="",$F590="Main Primary Artist"),$F590,not(iserror(vlookup($F590,'Reference info'!$J$5:$J$8,1,0))),"Key Artist",not(iserror(vlookup($F590,'Reference info'!$J$38:$J$405,1,0))),"Performer",not(iserror(vlookup($F590,'Reference info'!$J$10:$J$36,1,0))),"Producer &amp; Engineer")</f>
        <v/>
      </c>
    </row>
    <row r="591">
      <c r="A591" s="28"/>
      <c r="B591" s="103"/>
      <c r="C591" s="121" t="str">
        <f t="array" ref="C591">ifs(and(isblank($A591),isblank($B591)),"", not(iserror(vlookup($A591&amp;$B591,'3) Release_Label'!$D:$D&amp;'3) Release_Label'!$E:$E,1,0))),vlookup($A591&amp;$B591,{'3) Release_Label'!$D:$D&amp;'3) Release_Label'!$E:$E,'3) Release_Label'!$F:$F},2,0), or(and(not(isblank($B591)),$B591=$B590,$A591&lt;&gt;$A590),and(not(isblank($A591)),$A591=$A590,$B591&lt;&gt;$B590)),"ID LISTS UNALIGNED",and($A591&lt;&gt;"",countif('3) Release_Label'!$D:$D,$A591)=0),"NO UPC MATCH in Release_Label",and($B591&lt;&gt;"",countif('3) Release_Label'!$E:$E,$B591)=0),"NO CATALOG ID MATCH in Release_Label",iserror(vlookup($A591&amp;$B591,'3) Release_Label'!$D:$D&amp;'3) Release_Label'!$E:$E,1,0)),"NO UPC-CATALOG ID pair MATCH in Release_Label" )</f>
        <v/>
      </c>
      <c r="D591" s="121" t="str">
        <f t="array" ref="D591">ifs(and(isblank($A591),isblank($B591)),"", not(iserror(vlookup($A591&amp;$B591,'3) Release_Label'!$D:$D&amp;'3) Release_Label'!$E:$E,1,0))),vlookup($A591&amp;$B591,{'3) Release_Label'!$D:$D&amp;'3) Release_Label'!$E:$E,'3) Release_Label'!$H:$H},2,0), or(and(not(isblank($B591)),$B591=$B590,$A591&lt;&gt;$A590),and(not(isblank($A591)),$A591=$A590,$B591&lt;&gt;$B590)),"ID LISTS UNALIGNED",and($A591&lt;&gt;"",countif('3) Release_Label'!$D:$D,$A591)=0),"NO UPC MATCH in Release_Label",and($B591&lt;&gt;"",countif('3) Release_Label'!$E:$E,$B591)=0),"NO CATALOG ID MATCH in Release_Label",iserror(vlookup($A591&amp;$B591,'3) Release_Label'!$D:$D&amp;'3) Release_Label'!$E:$E,1,0)),"NO UPC-CATALOG ID pair MATCH in Release_Label" )</f>
        <v/>
      </c>
      <c r="E591" s="99"/>
      <c r="F591" s="99"/>
      <c r="G591" s="123" t="str">
        <f t="array" ref="G591">ifs(or($F591="",$F591="Main Primary Artist"),$F591,not(iserror(vlookup($F591,'Reference info'!$J$5:$J$8,1,0))),"Key Artist",not(iserror(vlookup($F591,'Reference info'!$J$38:$J$405,1,0))),"Performer",not(iserror(vlookup($F591,'Reference info'!$J$10:$J$36,1,0))),"Producer &amp; Engineer")</f>
        <v/>
      </c>
    </row>
    <row r="592">
      <c r="A592" s="28"/>
      <c r="B592" s="103"/>
      <c r="C592" s="121" t="str">
        <f t="array" ref="C592">ifs(and(isblank($A592),isblank($B592)),"", not(iserror(vlookup($A592&amp;$B592,'3) Release_Label'!$D:$D&amp;'3) Release_Label'!$E:$E,1,0))),vlookup($A592&amp;$B592,{'3) Release_Label'!$D:$D&amp;'3) Release_Label'!$E:$E,'3) Release_Label'!$F:$F},2,0), or(and(not(isblank($B592)),$B592=$B591,$A592&lt;&gt;$A591),and(not(isblank($A592)),$A592=$A591,$B592&lt;&gt;$B591)),"ID LISTS UNALIGNED",and($A592&lt;&gt;"",countif('3) Release_Label'!$D:$D,$A592)=0),"NO UPC MATCH in Release_Label",and($B592&lt;&gt;"",countif('3) Release_Label'!$E:$E,$B592)=0),"NO CATALOG ID MATCH in Release_Label",iserror(vlookup($A592&amp;$B592,'3) Release_Label'!$D:$D&amp;'3) Release_Label'!$E:$E,1,0)),"NO UPC-CATALOG ID pair MATCH in Release_Label" )</f>
        <v/>
      </c>
      <c r="D592" s="121" t="str">
        <f t="array" ref="D592">ifs(and(isblank($A592),isblank($B592)),"", not(iserror(vlookup($A592&amp;$B592,'3) Release_Label'!$D:$D&amp;'3) Release_Label'!$E:$E,1,0))),vlookup($A592&amp;$B592,{'3) Release_Label'!$D:$D&amp;'3) Release_Label'!$E:$E,'3) Release_Label'!$H:$H},2,0), or(and(not(isblank($B592)),$B592=$B591,$A592&lt;&gt;$A591),and(not(isblank($A592)),$A592=$A591,$B592&lt;&gt;$B591)),"ID LISTS UNALIGNED",and($A592&lt;&gt;"",countif('3) Release_Label'!$D:$D,$A592)=0),"NO UPC MATCH in Release_Label",and($B592&lt;&gt;"",countif('3) Release_Label'!$E:$E,$B592)=0),"NO CATALOG ID MATCH in Release_Label",iserror(vlookup($A592&amp;$B592,'3) Release_Label'!$D:$D&amp;'3) Release_Label'!$E:$E,1,0)),"NO UPC-CATALOG ID pair MATCH in Release_Label" )</f>
        <v/>
      </c>
      <c r="E592" s="99"/>
      <c r="F592" s="99"/>
      <c r="G592" s="123" t="str">
        <f t="array" ref="G592">ifs(or($F592="",$F592="Main Primary Artist"),$F592,not(iserror(vlookup($F592,'Reference info'!$J$5:$J$8,1,0))),"Key Artist",not(iserror(vlookup($F592,'Reference info'!$J$38:$J$405,1,0))),"Performer",not(iserror(vlookup($F592,'Reference info'!$J$10:$J$36,1,0))),"Producer &amp; Engineer")</f>
        <v/>
      </c>
    </row>
    <row r="593">
      <c r="A593" s="28"/>
      <c r="B593" s="103"/>
      <c r="C593" s="121" t="str">
        <f t="array" ref="C593">ifs(and(isblank($A593),isblank($B593)),"", not(iserror(vlookup($A593&amp;$B593,'3) Release_Label'!$D:$D&amp;'3) Release_Label'!$E:$E,1,0))),vlookup($A593&amp;$B593,{'3) Release_Label'!$D:$D&amp;'3) Release_Label'!$E:$E,'3) Release_Label'!$F:$F},2,0), or(and(not(isblank($B593)),$B593=$B592,$A593&lt;&gt;$A592),and(not(isblank($A593)),$A593=$A592,$B593&lt;&gt;$B592)),"ID LISTS UNALIGNED",and($A593&lt;&gt;"",countif('3) Release_Label'!$D:$D,$A593)=0),"NO UPC MATCH in Release_Label",and($B593&lt;&gt;"",countif('3) Release_Label'!$E:$E,$B593)=0),"NO CATALOG ID MATCH in Release_Label",iserror(vlookup($A593&amp;$B593,'3) Release_Label'!$D:$D&amp;'3) Release_Label'!$E:$E,1,0)),"NO UPC-CATALOG ID pair MATCH in Release_Label" )</f>
        <v/>
      </c>
      <c r="D593" s="121" t="str">
        <f t="array" ref="D593">ifs(and(isblank($A593),isblank($B593)),"", not(iserror(vlookup($A593&amp;$B593,'3) Release_Label'!$D:$D&amp;'3) Release_Label'!$E:$E,1,0))),vlookup($A593&amp;$B593,{'3) Release_Label'!$D:$D&amp;'3) Release_Label'!$E:$E,'3) Release_Label'!$H:$H},2,0), or(and(not(isblank($B593)),$B593=$B592,$A593&lt;&gt;$A592),and(not(isblank($A593)),$A593=$A592,$B593&lt;&gt;$B592)),"ID LISTS UNALIGNED",and($A593&lt;&gt;"",countif('3) Release_Label'!$D:$D,$A593)=0),"NO UPC MATCH in Release_Label",and($B593&lt;&gt;"",countif('3) Release_Label'!$E:$E,$B593)=0),"NO CATALOG ID MATCH in Release_Label",iserror(vlookup($A593&amp;$B593,'3) Release_Label'!$D:$D&amp;'3) Release_Label'!$E:$E,1,0)),"NO UPC-CATALOG ID pair MATCH in Release_Label" )</f>
        <v/>
      </c>
      <c r="E593" s="99"/>
      <c r="F593" s="99"/>
      <c r="G593" s="123" t="str">
        <f t="array" ref="G593">ifs(or($F593="",$F593="Main Primary Artist"),$F593,not(iserror(vlookup($F593,'Reference info'!$J$5:$J$8,1,0))),"Key Artist",not(iserror(vlookup($F593,'Reference info'!$J$38:$J$405,1,0))),"Performer",not(iserror(vlookup($F593,'Reference info'!$J$10:$J$36,1,0))),"Producer &amp; Engineer")</f>
        <v/>
      </c>
    </row>
    <row r="594">
      <c r="A594" s="28"/>
      <c r="B594" s="103"/>
      <c r="C594" s="121" t="str">
        <f t="array" ref="C594">ifs(and(isblank($A594),isblank($B594)),"", not(iserror(vlookup($A594&amp;$B594,'3) Release_Label'!$D:$D&amp;'3) Release_Label'!$E:$E,1,0))),vlookup($A594&amp;$B594,{'3) Release_Label'!$D:$D&amp;'3) Release_Label'!$E:$E,'3) Release_Label'!$F:$F},2,0), or(and(not(isblank($B594)),$B594=$B593,$A594&lt;&gt;$A593),and(not(isblank($A594)),$A594=$A593,$B594&lt;&gt;$B593)),"ID LISTS UNALIGNED",and($A594&lt;&gt;"",countif('3) Release_Label'!$D:$D,$A594)=0),"NO UPC MATCH in Release_Label",and($B594&lt;&gt;"",countif('3) Release_Label'!$E:$E,$B594)=0),"NO CATALOG ID MATCH in Release_Label",iserror(vlookup($A594&amp;$B594,'3) Release_Label'!$D:$D&amp;'3) Release_Label'!$E:$E,1,0)),"NO UPC-CATALOG ID pair MATCH in Release_Label" )</f>
        <v/>
      </c>
      <c r="D594" s="121" t="str">
        <f t="array" ref="D594">ifs(and(isblank($A594),isblank($B594)),"", not(iserror(vlookup($A594&amp;$B594,'3) Release_Label'!$D:$D&amp;'3) Release_Label'!$E:$E,1,0))),vlookup($A594&amp;$B594,{'3) Release_Label'!$D:$D&amp;'3) Release_Label'!$E:$E,'3) Release_Label'!$H:$H},2,0), or(and(not(isblank($B594)),$B594=$B593,$A594&lt;&gt;$A593),and(not(isblank($A594)),$A594=$A593,$B594&lt;&gt;$B593)),"ID LISTS UNALIGNED",and($A594&lt;&gt;"",countif('3) Release_Label'!$D:$D,$A594)=0),"NO UPC MATCH in Release_Label",and($B594&lt;&gt;"",countif('3) Release_Label'!$E:$E,$B594)=0),"NO CATALOG ID MATCH in Release_Label",iserror(vlookup($A594&amp;$B594,'3) Release_Label'!$D:$D&amp;'3) Release_Label'!$E:$E,1,0)),"NO UPC-CATALOG ID pair MATCH in Release_Label" )</f>
        <v/>
      </c>
      <c r="E594" s="99"/>
      <c r="F594" s="99"/>
      <c r="G594" s="123" t="str">
        <f t="array" ref="G594">ifs(or($F594="",$F594="Main Primary Artist"),$F594,not(iserror(vlookup($F594,'Reference info'!$J$5:$J$8,1,0))),"Key Artist",not(iserror(vlookup($F594,'Reference info'!$J$38:$J$405,1,0))),"Performer",not(iserror(vlookup($F594,'Reference info'!$J$10:$J$36,1,0))),"Producer &amp; Engineer")</f>
        <v/>
      </c>
    </row>
    <row r="595">
      <c r="A595" s="28"/>
      <c r="B595" s="103"/>
      <c r="C595" s="121" t="str">
        <f t="array" ref="C595">ifs(and(isblank($A595),isblank($B595)),"", not(iserror(vlookup($A595&amp;$B595,'3) Release_Label'!$D:$D&amp;'3) Release_Label'!$E:$E,1,0))),vlookup($A595&amp;$B595,{'3) Release_Label'!$D:$D&amp;'3) Release_Label'!$E:$E,'3) Release_Label'!$F:$F},2,0), or(and(not(isblank($B595)),$B595=$B594,$A595&lt;&gt;$A594),and(not(isblank($A595)),$A595=$A594,$B595&lt;&gt;$B594)),"ID LISTS UNALIGNED",and($A595&lt;&gt;"",countif('3) Release_Label'!$D:$D,$A595)=0),"NO UPC MATCH in Release_Label",and($B595&lt;&gt;"",countif('3) Release_Label'!$E:$E,$B595)=0),"NO CATALOG ID MATCH in Release_Label",iserror(vlookup($A595&amp;$B595,'3) Release_Label'!$D:$D&amp;'3) Release_Label'!$E:$E,1,0)),"NO UPC-CATALOG ID pair MATCH in Release_Label" )</f>
        <v/>
      </c>
      <c r="D595" s="121" t="str">
        <f t="array" ref="D595">ifs(and(isblank($A595),isblank($B595)),"", not(iserror(vlookup($A595&amp;$B595,'3) Release_Label'!$D:$D&amp;'3) Release_Label'!$E:$E,1,0))),vlookup($A595&amp;$B595,{'3) Release_Label'!$D:$D&amp;'3) Release_Label'!$E:$E,'3) Release_Label'!$H:$H},2,0), or(and(not(isblank($B595)),$B595=$B594,$A595&lt;&gt;$A594),and(not(isblank($A595)),$A595=$A594,$B595&lt;&gt;$B594)),"ID LISTS UNALIGNED",and($A595&lt;&gt;"",countif('3) Release_Label'!$D:$D,$A595)=0),"NO UPC MATCH in Release_Label",and($B595&lt;&gt;"",countif('3) Release_Label'!$E:$E,$B595)=0),"NO CATALOG ID MATCH in Release_Label",iserror(vlookup($A595&amp;$B595,'3) Release_Label'!$D:$D&amp;'3) Release_Label'!$E:$E,1,0)),"NO UPC-CATALOG ID pair MATCH in Release_Label" )</f>
        <v/>
      </c>
      <c r="E595" s="99"/>
      <c r="F595" s="99"/>
      <c r="G595" s="123" t="str">
        <f t="array" ref="G595">ifs(or($F595="",$F595="Main Primary Artist"),$F595,not(iserror(vlookup($F595,'Reference info'!$J$5:$J$8,1,0))),"Key Artist",not(iserror(vlookup($F595,'Reference info'!$J$38:$J$405,1,0))),"Performer",not(iserror(vlookup($F595,'Reference info'!$J$10:$J$36,1,0))),"Producer &amp; Engineer")</f>
        <v/>
      </c>
    </row>
    <row r="596">
      <c r="A596" s="28"/>
      <c r="B596" s="103"/>
      <c r="C596" s="121" t="str">
        <f t="array" ref="C596">ifs(and(isblank($A596),isblank($B596)),"", not(iserror(vlookup($A596&amp;$B596,'3) Release_Label'!$D:$D&amp;'3) Release_Label'!$E:$E,1,0))),vlookup($A596&amp;$B596,{'3) Release_Label'!$D:$D&amp;'3) Release_Label'!$E:$E,'3) Release_Label'!$F:$F},2,0), or(and(not(isblank($B596)),$B596=$B595,$A596&lt;&gt;$A595),and(not(isblank($A596)),$A596=$A595,$B596&lt;&gt;$B595)),"ID LISTS UNALIGNED",and($A596&lt;&gt;"",countif('3) Release_Label'!$D:$D,$A596)=0),"NO UPC MATCH in Release_Label",and($B596&lt;&gt;"",countif('3) Release_Label'!$E:$E,$B596)=0),"NO CATALOG ID MATCH in Release_Label",iserror(vlookup($A596&amp;$B596,'3) Release_Label'!$D:$D&amp;'3) Release_Label'!$E:$E,1,0)),"NO UPC-CATALOG ID pair MATCH in Release_Label" )</f>
        <v/>
      </c>
      <c r="D596" s="121" t="str">
        <f t="array" ref="D596">ifs(and(isblank($A596),isblank($B596)),"", not(iserror(vlookup($A596&amp;$B596,'3) Release_Label'!$D:$D&amp;'3) Release_Label'!$E:$E,1,0))),vlookup($A596&amp;$B596,{'3) Release_Label'!$D:$D&amp;'3) Release_Label'!$E:$E,'3) Release_Label'!$H:$H},2,0), or(and(not(isblank($B596)),$B596=$B595,$A596&lt;&gt;$A595),and(not(isblank($A596)),$A596=$A595,$B596&lt;&gt;$B595)),"ID LISTS UNALIGNED",and($A596&lt;&gt;"",countif('3) Release_Label'!$D:$D,$A596)=0),"NO UPC MATCH in Release_Label",and($B596&lt;&gt;"",countif('3) Release_Label'!$E:$E,$B596)=0),"NO CATALOG ID MATCH in Release_Label",iserror(vlookup($A596&amp;$B596,'3) Release_Label'!$D:$D&amp;'3) Release_Label'!$E:$E,1,0)),"NO UPC-CATALOG ID pair MATCH in Release_Label" )</f>
        <v/>
      </c>
      <c r="E596" s="99"/>
      <c r="F596" s="99"/>
      <c r="G596" s="123" t="str">
        <f t="array" ref="G596">ifs(or($F596="",$F596="Main Primary Artist"),$F596,not(iserror(vlookup($F596,'Reference info'!$J$5:$J$8,1,0))),"Key Artist",not(iserror(vlookup($F596,'Reference info'!$J$38:$J$405,1,0))),"Performer",not(iserror(vlookup($F596,'Reference info'!$J$10:$J$36,1,0))),"Producer &amp; Engineer")</f>
        <v/>
      </c>
    </row>
    <row r="597">
      <c r="A597" s="28"/>
      <c r="B597" s="103"/>
      <c r="C597" s="121" t="str">
        <f t="array" ref="C597">ifs(and(isblank($A597),isblank($B597)),"", not(iserror(vlookup($A597&amp;$B597,'3) Release_Label'!$D:$D&amp;'3) Release_Label'!$E:$E,1,0))),vlookup($A597&amp;$B597,{'3) Release_Label'!$D:$D&amp;'3) Release_Label'!$E:$E,'3) Release_Label'!$F:$F},2,0), or(and(not(isblank($B597)),$B597=$B596,$A597&lt;&gt;$A596),and(not(isblank($A597)),$A597=$A596,$B597&lt;&gt;$B596)),"ID LISTS UNALIGNED",and($A597&lt;&gt;"",countif('3) Release_Label'!$D:$D,$A597)=0),"NO UPC MATCH in Release_Label",and($B597&lt;&gt;"",countif('3) Release_Label'!$E:$E,$B597)=0),"NO CATALOG ID MATCH in Release_Label",iserror(vlookup($A597&amp;$B597,'3) Release_Label'!$D:$D&amp;'3) Release_Label'!$E:$E,1,0)),"NO UPC-CATALOG ID pair MATCH in Release_Label" )</f>
        <v/>
      </c>
      <c r="D597" s="121" t="str">
        <f t="array" ref="D597">ifs(and(isblank($A597),isblank($B597)),"", not(iserror(vlookup($A597&amp;$B597,'3) Release_Label'!$D:$D&amp;'3) Release_Label'!$E:$E,1,0))),vlookup($A597&amp;$B597,{'3) Release_Label'!$D:$D&amp;'3) Release_Label'!$E:$E,'3) Release_Label'!$H:$H},2,0), or(and(not(isblank($B597)),$B597=$B596,$A597&lt;&gt;$A596),and(not(isblank($A597)),$A597=$A596,$B597&lt;&gt;$B596)),"ID LISTS UNALIGNED",and($A597&lt;&gt;"",countif('3) Release_Label'!$D:$D,$A597)=0),"NO UPC MATCH in Release_Label",and($B597&lt;&gt;"",countif('3) Release_Label'!$E:$E,$B597)=0),"NO CATALOG ID MATCH in Release_Label",iserror(vlookup($A597&amp;$B597,'3) Release_Label'!$D:$D&amp;'3) Release_Label'!$E:$E,1,0)),"NO UPC-CATALOG ID pair MATCH in Release_Label" )</f>
        <v/>
      </c>
      <c r="E597" s="99"/>
      <c r="F597" s="99"/>
      <c r="G597" s="123" t="str">
        <f t="array" ref="G597">ifs(or($F597="",$F597="Main Primary Artist"),$F597,not(iserror(vlookup($F597,'Reference info'!$J$5:$J$8,1,0))),"Key Artist",not(iserror(vlookup($F597,'Reference info'!$J$38:$J$405,1,0))),"Performer",not(iserror(vlookup($F597,'Reference info'!$J$10:$J$36,1,0))),"Producer &amp; Engineer")</f>
        <v/>
      </c>
    </row>
    <row r="598">
      <c r="A598" s="28"/>
      <c r="B598" s="103"/>
      <c r="C598" s="121" t="str">
        <f t="array" ref="C598">ifs(and(isblank($A598),isblank($B598)),"", not(iserror(vlookup($A598&amp;$B598,'3) Release_Label'!$D:$D&amp;'3) Release_Label'!$E:$E,1,0))),vlookup($A598&amp;$B598,{'3) Release_Label'!$D:$D&amp;'3) Release_Label'!$E:$E,'3) Release_Label'!$F:$F},2,0), or(and(not(isblank($B598)),$B598=$B597,$A598&lt;&gt;$A597),and(not(isblank($A598)),$A598=$A597,$B598&lt;&gt;$B597)),"ID LISTS UNALIGNED",and($A598&lt;&gt;"",countif('3) Release_Label'!$D:$D,$A598)=0),"NO UPC MATCH in Release_Label",and($B598&lt;&gt;"",countif('3) Release_Label'!$E:$E,$B598)=0),"NO CATALOG ID MATCH in Release_Label",iserror(vlookup($A598&amp;$B598,'3) Release_Label'!$D:$D&amp;'3) Release_Label'!$E:$E,1,0)),"NO UPC-CATALOG ID pair MATCH in Release_Label" )</f>
        <v/>
      </c>
      <c r="D598" s="121" t="str">
        <f t="array" ref="D598">ifs(and(isblank($A598),isblank($B598)),"", not(iserror(vlookup($A598&amp;$B598,'3) Release_Label'!$D:$D&amp;'3) Release_Label'!$E:$E,1,0))),vlookup($A598&amp;$B598,{'3) Release_Label'!$D:$D&amp;'3) Release_Label'!$E:$E,'3) Release_Label'!$H:$H},2,0), or(and(not(isblank($B598)),$B598=$B597,$A598&lt;&gt;$A597),and(not(isblank($A598)),$A598=$A597,$B598&lt;&gt;$B597)),"ID LISTS UNALIGNED",and($A598&lt;&gt;"",countif('3) Release_Label'!$D:$D,$A598)=0),"NO UPC MATCH in Release_Label",and($B598&lt;&gt;"",countif('3) Release_Label'!$E:$E,$B598)=0),"NO CATALOG ID MATCH in Release_Label",iserror(vlookup($A598&amp;$B598,'3) Release_Label'!$D:$D&amp;'3) Release_Label'!$E:$E,1,0)),"NO UPC-CATALOG ID pair MATCH in Release_Label" )</f>
        <v/>
      </c>
      <c r="E598" s="99"/>
      <c r="F598" s="99"/>
      <c r="G598" s="123" t="str">
        <f t="array" ref="G598">ifs(or($F598="",$F598="Main Primary Artist"),$F598,not(iserror(vlookup($F598,'Reference info'!$J$5:$J$8,1,0))),"Key Artist",not(iserror(vlookup($F598,'Reference info'!$J$38:$J$405,1,0))),"Performer",not(iserror(vlookup($F598,'Reference info'!$J$10:$J$36,1,0))),"Producer &amp; Engineer")</f>
        <v/>
      </c>
    </row>
    <row r="599">
      <c r="A599" s="28"/>
      <c r="B599" s="103"/>
      <c r="C599" s="121" t="str">
        <f t="array" ref="C599">ifs(and(isblank($A599),isblank($B599)),"", not(iserror(vlookup($A599&amp;$B599,'3) Release_Label'!$D:$D&amp;'3) Release_Label'!$E:$E,1,0))),vlookup($A599&amp;$B599,{'3) Release_Label'!$D:$D&amp;'3) Release_Label'!$E:$E,'3) Release_Label'!$F:$F},2,0), or(and(not(isblank($B599)),$B599=$B598,$A599&lt;&gt;$A598),and(not(isblank($A599)),$A599=$A598,$B599&lt;&gt;$B598)),"ID LISTS UNALIGNED",and($A599&lt;&gt;"",countif('3) Release_Label'!$D:$D,$A599)=0),"NO UPC MATCH in Release_Label",and($B599&lt;&gt;"",countif('3) Release_Label'!$E:$E,$B599)=0),"NO CATALOG ID MATCH in Release_Label",iserror(vlookup($A599&amp;$B599,'3) Release_Label'!$D:$D&amp;'3) Release_Label'!$E:$E,1,0)),"NO UPC-CATALOG ID pair MATCH in Release_Label" )</f>
        <v/>
      </c>
      <c r="D599" s="121" t="str">
        <f t="array" ref="D599">ifs(and(isblank($A599),isblank($B599)),"", not(iserror(vlookup($A599&amp;$B599,'3) Release_Label'!$D:$D&amp;'3) Release_Label'!$E:$E,1,0))),vlookup($A599&amp;$B599,{'3) Release_Label'!$D:$D&amp;'3) Release_Label'!$E:$E,'3) Release_Label'!$H:$H},2,0), or(and(not(isblank($B599)),$B599=$B598,$A599&lt;&gt;$A598),and(not(isblank($A599)),$A599=$A598,$B599&lt;&gt;$B598)),"ID LISTS UNALIGNED",and($A599&lt;&gt;"",countif('3) Release_Label'!$D:$D,$A599)=0),"NO UPC MATCH in Release_Label",and($B599&lt;&gt;"",countif('3) Release_Label'!$E:$E,$B599)=0),"NO CATALOG ID MATCH in Release_Label",iserror(vlookup($A599&amp;$B599,'3) Release_Label'!$D:$D&amp;'3) Release_Label'!$E:$E,1,0)),"NO UPC-CATALOG ID pair MATCH in Release_Label" )</f>
        <v/>
      </c>
      <c r="E599" s="99"/>
      <c r="F599" s="99"/>
      <c r="G599" s="123" t="str">
        <f t="array" ref="G599">ifs(or($F599="",$F599="Main Primary Artist"),$F599,not(iserror(vlookup($F599,'Reference info'!$J$5:$J$8,1,0))),"Key Artist",not(iserror(vlookup($F599,'Reference info'!$J$38:$J$405,1,0))),"Performer",not(iserror(vlookup($F599,'Reference info'!$J$10:$J$36,1,0))),"Producer &amp; Engineer")</f>
        <v/>
      </c>
    </row>
    <row r="600">
      <c r="A600" s="28"/>
      <c r="B600" s="103"/>
      <c r="C600" s="121" t="str">
        <f t="array" ref="C600">ifs(and(isblank($A600),isblank($B600)),"", not(iserror(vlookup($A600&amp;$B600,'3) Release_Label'!$D:$D&amp;'3) Release_Label'!$E:$E,1,0))),vlookup($A600&amp;$B600,{'3) Release_Label'!$D:$D&amp;'3) Release_Label'!$E:$E,'3) Release_Label'!$F:$F},2,0), or(and(not(isblank($B600)),$B600=$B599,$A600&lt;&gt;$A599),and(not(isblank($A600)),$A600=$A599,$B600&lt;&gt;$B599)),"ID LISTS UNALIGNED",and($A600&lt;&gt;"",countif('3) Release_Label'!$D:$D,$A600)=0),"NO UPC MATCH in Release_Label",and($B600&lt;&gt;"",countif('3) Release_Label'!$E:$E,$B600)=0),"NO CATALOG ID MATCH in Release_Label",iserror(vlookup($A600&amp;$B600,'3) Release_Label'!$D:$D&amp;'3) Release_Label'!$E:$E,1,0)),"NO UPC-CATALOG ID pair MATCH in Release_Label" )</f>
        <v/>
      </c>
      <c r="D600" s="121" t="str">
        <f t="array" ref="D600">ifs(and(isblank($A600),isblank($B600)),"", not(iserror(vlookup($A600&amp;$B600,'3) Release_Label'!$D:$D&amp;'3) Release_Label'!$E:$E,1,0))),vlookup($A600&amp;$B600,{'3) Release_Label'!$D:$D&amp;'3) Release_Label'!$E:$E,'3) Release_Label'!$H:$H},2,0), or(and(not(isblank($B600)),$B600=$B599,$A600&lt;&gt;$A599),and(not(isblank($A600)),$A600=$A599,$B600&lt;&gt;$B599)),"ID LISTS UNALIGNED",and($A600&lt;&gt;"",countif('3) Release_Label'!$D:$D,$A600)=0),"NO UPC MATCH in Release_Label",and($B600&lt;&gt;"",countif('3) Release_Label'!$E:$E,$B600)=0),"NO CATALOG ID MATCH in Release_Label",iserror(vlookup($A600&amp;$B600,'3) Release_Label'!$D:$D&amp;'3) Release_Label'!$E:$E,1,0)),"NO UPC-CATALOG ID pair MATCH in Release_Label" )</f>
        <v/>
      </c>
      <c r="E600" s="99"/>
      <c r="F600" s="99"/>
      <c r="G600" s="123" t="str">
        <f t="array" ref="G600">ifs(or($F600="",$F600="Main Primary Artist"),$F600,not(iserror(vlookup($F600,'Reference info'!$J$5:$J$8,1,0))),"Key Artist",not(iserror(vlookup($F600,'Reference info'!$J$38:$J$405,1,0))),"Performer",not(iserror(vlookup($F600,'Reference info'!$J$10:$J$36,1,0))),"Producer &amp; Engineer")</f>
        <v/>
      </c>
    </row>
    <row r="601">
      <c r="A601" s="28"/>
      <c r="B601" s="103"/>
      <c r="C601" s="121" t="str">
        <f t="array" ref="C601">ifs(and(isblank($A601),isblank($B601)),"", not(iserror(vlookup($A601&amp;$B601,'3) Release_Label'!$D:$D&amp;'3) Release_Label'!$E:$E,1,0))),vlookup($A601&amp;$B601,{'3) Release_Label'!$D:$D&amp;'3) Release_Label'!$E:$E,'3) Release_Label'!$F:$F},2,0), or(and(not(isblank($B601)),$B601=$B600,$A601&lt;&gt;$A600),and(not(isblank($A601)),$A601=$A600,$B601&lt;&gt;$B600)),"ID LISTS UNALIGNED",and($A601&lt;&gt;"",countif('3) Release_Label'!$D:$D,$A601)=0),"NO UPC MATCH in Release_Label",and($B601&lt;&gt;"",countif('3) Release_Label'!$E:$E,$B601)=0),"NO CATALOG ID MATCH in Release_Label",iserror(vlookup($A601&amp;$B601,'3) Release_Label'!$D:$D&amp;'3) Release_Label'!$E:$E,1,0)),"NO UPC-CATALOG ID pair MATCH in Release_Label" )</f>
        <v/>
      </c>
      <c r="D601" s="121" t="str">
        <f t="array" ref="D601">ifs(and(isblank($A601),isblank($B601)),"", not(iserror(vlookup($A601&amp;$B601,'3) Release_Label'!$D:$D&amp;'3) Release_Label'!$E:$E,1,0))),vlookup($A601&amp;$B601,{'3) Release_Label'!$D:$D&amp;'3) Release_Label'!$E:$E,'3) Release_Label'!$H:$H},2,0), or(and(not(isblank($B601)),$B601=$B600,$A601&lt;&gt;$A600),and(not(isblank($A601)),$A601=$A600,$B601&lt;&gt;$B600)),"ID LISTS UNALIGNED",and($A601&lt;&gt;"",countif('3) Release_Label'!$D:$D,$A601)=0),"NO UPC MATCH in Release_Label",and($B601&lt;&gt;"",countif('3) Release_Label'!$E:$E,$B601)=0),"NO CATALOG ID MATCH in Release_Label",iserror(vlookup($A601&amp;$B601,'3) Release_Label'!$D:$D&amp;'3) Release_Label'!$E:$E,1,0)),"NO UPC-CATALOG ID pair MATCH in Release_Label" )</f>
        <v/>
      </c>
      <c r="E601" s="99"/>
      <c r="F601" s="99"/>
      <c r="G601" s="123" t="str">
        <f t="array" ref="G601">ifs(or($F601="",$F601="Main Primary Artist"),$F601,not(iserror(vlookup($F601,'Reference info'!$J$5:$J$8,1,0))),"Key Artist",not(iserror(vlookup($F601,'Reference info'!$J$38:$J$405,1,0))),"Performer",not(iserror(vlookup($F601,'Reference info'!$J$10:$J$36,1,0))),"Producer &amp; Engineer")</f>
        <v/>
      </c>
    </row>
    <row r="602">
      <c r="A602" s="28"/>
      <c r="B602" s="103"/>
      <c r="C602" s="121" t="str">
        <f t="array" ref="C602">ifs(and(isblank($A602),isblank($B602)),"", not(iserror(vlookup($A602&amp;$B602,'3) Release_Label'!$D:$D&amp;'3) Release_Label'!$E:$E,1,0))),vlookup($A602&amp;$B602,{'3) Release_Label'!$D:$D&amp;'3) Release_Label'!$E:$E,'3) Release_Label'!$F:$F},2,0), or(and(not(isblank($B602)),$B602=$B601,$A602&lt;&gt;$A601),and(not(isblank($A602)),$A602=$A601,$B602&lt;&gt;$B601)),"ID LISTS UNALIGNED",and($A602&lt;&gt;"",countif('3) Release_Label'!$D:$D,$A602)=0),"NO UPC MATCH in Release_Label",and($B602&lt;&gt;"",countif('3) Release_Label'!$E:$E,$B602)=0),"NO CATALOG ID MATCH in Release_Label",iserror(vlookup($A602&amp;$B602,'3) Release_Label'!$D:$D&amp;'3) Release_Label'!$E:$E,1,0)),"NO UPC-CATALOG ID pair MATCH in Release_Label" )</f>
        <v/>
      </c>
      <c r="D602" s="121" t="str">
        <f t="array" ref="D602">ifs(and(isblank($A602),isblank($B602)),"", not(iserror(vlookup($A602&amp;$B602,'3) Release_Label'!$D:$D&amp;'3) Release_Label'!$E:$E,1,0))),vlookup($A602&amp;$B602,{'3) Release_Label'!$D:$D&amp;'3) Release_Label'!$E:$E,'3) Release_Label'!$H:$H},2,0), or(and(not(isblank($B602)),$B602=$B601,$A602&lt;&gt;$A601),and(not(isblank($A602)),$A602=$A601,$B602&lt;&gt;$B601)),"ID LISTS UNALIGNED",and($A602&lt;&gt;"",countif('3) Release_Label'!$D:$D,$A602)=0),"NO UPC MATCH in Release_Label",and($B602&lt;&gt;"",countif('3) Release_Label'!$E:$E,$B602)=0),"NO CATALOG ID MATCH in Release_Label",iserror(vlookup($A602&amp;$B602,'3) Release_Label'!$D:$D&amp;'3) Release_Label'!$E:$E,1,0)),"NO UPC-CATALOG ID pair MATCH in Release_Label" )</f>
        <v/>
      </c>
      <c r="E602" s="99"/>
      <c r="F602" s="99"/>
      <c r="G602" s="123" t="str">
        <f t="array" ref="G602">ifs(or($F602="",$F602="Main Primary Artist"),$F602,not(iserror(vlookup($F602,'Reference info'!$J$5:$J$8,1,0))),"Key Artist",not(iserror(vlookup($F602,'Reference info'!$J$38:$J$405,1,0))),"Performer",not(iserror(vlookup($F602,'Reference info'!$J$10:$J$36,1,0))),"Producer &amp; Engineer")</f>
        <v/>
      </c>
    </row>
    <row r="603">
      <c r="A603" s="28"/>
      <c r="B603" s="103"/>
      <c r="C603" s="121" t="str">
        <f t="array" ref="C603">ifs(and(isblank($A603),isblank($B603)),"", not(iserror(vlookup($A603&amp;$B603,'3) Release_Label'!$D:$D&amp;'3) Release_Label'!$E:$E,1,0))),vlookup($A603&amp;$B603,{'3) Release_Label'!$D:$D&amp;'3) Release_Label'!$E:$E,'3) Release_Label'!$F:$F},2,0), or(and(not(isblank($B603)),$B603=$B602,$A603&lt;&gt;$A602),and(not(isblank($A603)),$A603=$A602,$B603&lt;&gt;$B602)),"ID LISTS UNALIGNED",and($A603&lt;&gt;"",countif('3) Release_Label'!$D:$D,$A603)=0),"NO UPC MATCH in Release_Label",and($B603&lt;&gt;"",countif('3) Release_Label'!$E:$E,$B603)=0),"NO CATALOG ID MATCH in Release_Label",iserror(vlookup($A603&amp;$B603,'3) Release_Label'!$D:$D&amp;'3) Release_Label'!$E:$E,1,0)),"NO UPC-CATALOG ID pair MATCH in Release_Label" )</f>
        <v/>
      </c>
      <c r="D603" s="121" t="str">
        <f t="array" ref="D603">ifs(and(isblank($A603),isblank($B603)),"", not(iserror(vlookup($A603&amp;$B603,'3) Release_Label'!$D:$D&amp;'3) Release_Label'!$E:$E,1,0))),vlookup($A603&amp;$B603,{'3) Release_Label'!$D:$D&amp;'3) Release_Label'!$E:$E,'3) Release_Label'!$H:$H},2,0), or(and(not(isblank($B603)),$B603=$B602,$A603&lt;&gt;$A602),and(not(isblank($A603)),$A603=$A602,$B603&lt;&gt;$B602)),"ID LISTS UNALIGNED",and($A603&lt;&gt;"",countif('3) Release_Label'!$D:$D,$A603)=0),"NO UPC MATCH in Release_Label",and($B603&lt;&gt;"",countif('3) Release_Label'!$E:$E,$B603)=0),"NO CATALOG ID MATCH in Release_Label",iserror(vlookup($A603&amp;$B603,'3) Release_Label'!$D:$D&amp;'3) Release_Label'!$E:$E,1,0)),"NO UPC-CATALOG ID pair MATCH in Release_Label" )</f>
        <v/>
      </c>
      <c r="E603" s="99"/>
      <c r="F603" s="99"/>
      <c r="G603" s="123" t="str">
        <f t="array" ref="G603">ifs(or($F603="",$F603="Main Primary Artist"),$F603,not(iserror(vlookup($F603,'Reference info'!$J$5:$J$8,1,0))),"Key Artist",not(iserror(vlookup($F603,'Reference info'!$J$38:$J$405,1,0))),"Performer",not(iserror(vlookup($F603,'Reference info'!$J$10:$J$36,1,0))),"Producer &amp; Engineer")</f>
        <v/>
      </c>
    </row>
    <row r="604">
      <c r="A604" s="28"/>
      <c r="B604" s="103"/>
      <c r="C604" s="121" t="str">
        <f t="array" ref="C604">ifs(and(isblank($A604),isblank($B604)),"", not(iserror(vlookup($A604&amp;$B604,'3) Release_Label'!$D:$D&amp;'3) Release_Label'!$E:$E,1,0))),vlookup($A604&amp;$B604,{'3) Release_Label'!$D:$D&amp;'3) Release_Label'!$E:$E,'3) Release_Label'!$F:$F},2,0), or(and(not(isblank($B604)),$B604=$B603,$A604&lt;&gt;$A603),and(not(isblank($A604)),$A604=$A603,$B604&lt;&gt;$B603)),"ID LISTS UNALIGNED",and($A604&lt;&gt;"",countif('3) Release_Label'!$D:$D,$A604)=0),"NO UPC MATCH in Release_Label",and($B604&lt;&gt;"",countif('3) Release_Label'!$E:$E,$B604)=0),"NO CATALOG ID MATCH in Release_Label",iserror(vlookup($A604&amp;$B604,'3) Release_Label'!$D:$D&amp;'3) Release_Label'!$E:$E,1,0)),"NO UPC-CATALOG ID pair MATCH in Release_Label" )</f>
        <v/>
      </c>
      <c r="D604" s="121" t="str">
        <f t="array" ref="D604">ifs(and(isblank($A604),isblank($B604)),"", not(iserror(vlookup($A604&amp;$B604,'3) Release_Label'!$D:$D&amp;'3) Release_Label'!$E:$E,1,0))),vlookup($A604&amp;$B604,{'3) Release_Label'!$D:$D&amp;'3) Release_Label'!$E:$E,'3) Release_Label'!$H:$H},2,0), or(and(not(isblank($B604)),$B604=$B603,$A604&lt;&gt;$A603),and(not(isblank($A604)),$A604=$A603,$B604&lt;&gt;$B603)),"ID LISTS UNALIGNED",and($A604&lt;&gt;"",countif('3) Release_Label'!$D:$D,$A604)=0),"NO UPC MATCH in Release_Label",and($B604&lt;&gt;"",countif('3) Release_Label'!$E:$E,$B604)=0),"NO CATALOG ID MATCH in Release_Label",iserror(vlookup($A604&amp;$B604,'3) Release_Label'!$D:$D&amp;'3) Release_Label'!$E:$E,1,0)),"NO UPC-CATALOG ID pair MATCH in Release_Label" )</f>
        <v/>
      </c>
      <c r="E604" s="99"/>
      <c r="F604" s="99"/>
      <c r="G604" s="123" t="str">
        <f t="array" ref="G604">ifs(or($F604="",$F604="Main Primary Artist"),$F604,not(iserror(vlookup($F604,'Reference info'!$J$5:$J$8,1,0))),"Key Artist",not(iserror(vlookup($F604,'Reference info'!$J$38:$J$405,1,0))),"Performer",not(iserror(vlookup($F604,'Reference info'!$J$10:$J$36,1,0))),"Producer &amp; Engineer")</f>
        <v/>
      </c>
    </row>
    <row r="605">
      <c r="A605" s="28"/>
      <c r="B605" s="103"/>
      <c r="C605" s="121" t="str">
        <f t="array" ref="C605">ifs(and(isblank($A605),isblank($B605)),"", not(iserror(vlookup($A605&amp;$B605,'3) Release_Label'!$D:$D&amp;'3) Release_Label'!$E:$E,1,0))),vlookup($A605&amp;$B605,{'3) Release_Label'!$D:$D&amp;'3) Release_Label'!$E:$E,'3) Release_Label'!$F:$F},2,0), or(and(not(isblank($B605)),$B605=$B604,$A605&lt;&gt;$A604),and(not(isblank($A605)),$A605=$A604,$B605&lt;&gt;$B604)),"ID LISTS UNALIGNED",and($A605&lt;&gt;"",countif('3) Release_Label'!$D:$D,$A605)=0),"NO UPC MATCH in Release_Label",and($B605&lt;&gt;"",countif('3) Release_Label'!$E:$E,$B605)=0),"NO CATALOG ID MATCH in Release_Label",iserror(vlookup($A605&amp;$B605,'3) Release_Label'!$D:$D&amp;'3) Release_Label'!$E:$E,1,0)),"NO UPC-CATALOG ID pair MATCH in Release_Label" )</f>
        <v/>
      </c>
      <c r="D605" s="121" t="str">
        <f t="array" ref="D605">ifs(and(isblank($A605),isblank($B605)),"", not(iserror(vlookup($A605&amp;$B605,'3) Release_Label'!$D:$D&amp;'3) Release_Label'!$E:$E,1,0))),vlookup($A605&amp;$B605,{'3) Release_Label'!$D:$D&amp;'3) Release_Label'!$E:$E,'3) Release_Label'!$H:$H},2,0), or(and(not(isblank($B605)),$B605=$B604,$A605&lt;&gt;$A604),and(not(isblank($A605)),$A605=$A604,$B605&lt;&gt;$B604)),"ID LISTS UNALIGNED",and($A605&lt;&gt;"",countif('3) Release_Label'!$D:$D,$A605)=0),"NO UPC MATCH in Release_Label",and($B605&lt;&gt;"",countif('3) Release_Label'!$E:$E,$B605)=0),"NO CATALOG ID MATCH in Release_Label",iserror(vlookup($A605&amp;$B605,'3) Release_Label'!$D:$D&amp;'3) Release_Label'!$E:$E,1,0)),"NO UPC-CATALOG ID pair MATCH in Release_Label" )</f>
        <v/>
      </c>
      <c r="E605" s="99"/>
      <c r="F605" s="99"/>
      <c r="G605" s="123" t="str">
        <f t="array" ref="G605">ifs(or($F605="",$F605="Main Primary Artist"),$F605,not(iserror(vlookup($F605,'Reference info'!$J$5:$J$8,1,0))),"Key Artist",not(iserror(vlookup($F605,'Reference info'!$J$38:$J$405,1,0))),"Performer",not(iserror(vlookup($F605,'Reference info'!$J$10:$J$36,1,0))),"Producer &amp; Engineer")</f>
        <v/>
      </c>
    </row>
    <row r="606">
      <c r="A606" s="28"/>
      <c r="B606" s="103"/>
      <c r="C606" s="121" t="str">
        <f t="array" ref="C606">ifs(and(isblank($A606),isblank($B606)),"", not(iserror(vlookup($A606&amp;$B606,'3) Release_Label'!$D:$D&amp;'3) Release_Label'!$E:$E,1,0))),vlookup($A606&amp;$B606,{'3) Release_Label'!$D:$D&amp;'3) Release_Label'!$E:$E,'3) Release_Label'!$F:$F},2,0), or(and(not(isblank($B606)),$B606=$B605,$A606&lt;&gt;$A605),and(not(isblank($A606)),$A606=$A605,$B606&lt;&gt;$B605)),"ID LISTS UNALIGNED",and($A606&lt;&gt;"",countif('3) Release_Label'!$D:$D,$A606)=0),"NO UPC MATCH in Release_Label",and($B606&lt;&gt;"",countif('3) Release_Label'!$E:$E,$B606)=0),"NO CATALOG ID MATCH in Release_Label",iserror(vlookup($A606&amp;$B606,'3) Release_Label'!$D:$D&amp;'3) Release_Label'!$E:$E,1,0)),"NO UPC-CATALOG ID pair MATCH in Release_Label" )</f>
        <v/>
      </c>
      <c r="D606" s="121" t="str">
        <f t="array" ref="D606">ifs(and(isblank($A606),isblank($B606)),"", not(iserror(vlookup($A606&amp;$B606,'3) Release_Label'!$D:$D&amp;'3) Release_Label'!$E:$E,1,0))),vlookup($A606&amp;$B606,{'3) Release_Label'!$D:$D&amp;'3) Release_Label'!$E:$E,'3) Release_Label'!$H:$H},2,0), or(and(not(isblank($B606)),$B606=$B605,$A606&lt;&gt;$A605),and(not(isblank($A606)),$A606=$A605,$B606&lt;&gt;$B605)),"ID LISTS UNALIGNED",and($A606&lt;&gt;"",countif('3) Release_Label'!$D:$D,$A606)=0),"NO UPC MATCH in Release_Label",and($B606&lt;&gt;"",countif('3) Release_Label'!$E:$E,$B606)=0),"NO CATALOG ID MATCH in Release_Label",iserror(vlookup($A606&amp;$B606,'3) Release_Label'!$D:$D&amp;'3) Release_Label'!$E:$E,1,0)),"NO UPC-CATALOG ID pair MATCH in Release_Label" )</f>
        <v/>
      </c>
      <c r="E606" s="99"/>
      <c r="F606" s="99"/>
      <c r="G606" s="123" t="str">
        <f t="array" ref="G606">ifs(or($F606="",$F606="Main Primary Artist"),$F606,not(iserror(vlookup($F606,'Reference info'!$J$5:$J$8,1,0))),"Key Artist",not(iserror(vlookup($F606,'Reference info'!$J$38:$J$405,1,0))),"Performer",not(iserror(vlookup($F606,'Reference info'!$J$10:$J$36,1,0))),"Producer &amp; Engineer")</f>
        <v/>
      </c>
    </row>
    <row r="607">
      <c r="A607" s="28"/>
      <c r="B607" s="103"/>
      <c r="C607" s="121" t="str">
        <f t="array" ref="C607">ifs(and(isblank($A607),isblank($B607)),"", not(iserror(vlookup($A607&amp;$B607,'3) Release_Label'!$D:$D&amp;'3) Release_Label'!$E:$E,1,0))),vlookup($A607&amp;$B607,{'3) Release_Label'!$D:$D&amp;'3) Release_Label'!$E:$E,'3) Release_Label'!$F:$F},2,0), or(and(not(isblank($B607)),$B607=$B606,$A607&lt;&gt;$A606),and(not(isblank($A607)),$A607=$A606,$B607&lt;&gt;$B606)),"ID LISTS UNALIGNED",and($A607&lt;&gt;"",countif('3) Release_Label'!$D:$D,$A607)=0),"NO UPC MATCH in Release_Label",and($B607&lt;&gt;"",countif('3) Release_Label'!$E:$E,$B607)=0),"NO CATALOG ID MATCH in Release_Label",iserror(vlookup($A607&amp;$B607,'3) Release_Label'!$D:$D&amp;'3) Release_Label'!$E:$E,1,0)),"NO UPC-CATALOG ID pair MATCH in Release_Label" )</f>
        <v/>
      </c>
      <c r="D607" s="121" t="str">
        <f t="array" ref="D607">ifs(and(isblank($A607),isblank($B607)),"", not(iserror(vlookup($A607&amp;$B607,'3) Release_Label'!$D:$D&amp;'3) Release_Label'!$E:$E,1,0))),vlookup($A607&amp;$B607,{'3) Release_Label'!$D:$D&amp;'3) Release_Label'!$E:$E,'3) Release_Label'!$H:$H},2,0), or(and(not(isblank($B607)),$B607=$B606,$A607&lt;&gt;$A606),and(not(isblank($A607)),$A607=$A606,$B607&lt;&gt;$B606)),"ID LISTS UNALIGNED",and($A607&lt;&gt;"",countif('3) Release_Label'!$D:$D,$A607)=0),"NO UPC MATCH in Release_Label",and($B607&lt;&gt;"",countif('3) Release_Label'!$E:$E,$B607)=0),"NO CATALOG ID MATCH in Release_Label",iserror(vlookup($A607&amp;$B607,'3) Release_Label'!$D:$D&amp;'3) Release_Label'!$E:$E,1,0)),"NO UPC-CATALOG ID pair MATCH in Release_Label" )</f>
        <v/>
      </c>
      <c r="E607" s="99"/>
      <c r="F607" s="99"/>
      <c r="G607" s="123" t="str">
        <f t="array" ref="G607">ifs(or($F607="",$F607="Main Primary Artist"),$F607,not(iserror(vlookup($F607,'Reference info'!$J$5:$J$8,1,0))),"Key Artist",not(iserror(vlookup($F607,'Reference info'!$J$38:$J$405,1,0))),"Performer",not(iserror(vlookup($F607,'Reference info'!$J$10:$J$36,1,0))),"Producer &amp; Engineer")</f>
        <v/>
      </c>
    </row>
    <row r="608">
      <c r="A608" s="28"/>
      <c r="B608" s="103"/>
      <c r="C608" s="121" t="str">
        <f t="array" ref="C608">ifs(and(isblank($A608),isblank($B608)),"", not(iserror(vlookup($A608&amp;$B608,'3) Release_Label'!$D:$D&amp;'3) Release_Label'!$E:$E,1,0))),vlookup($A608&amp;$B608,{'3) Release_Label'!$D:$D&amp;'3) Release_Label'!$E:$E,'3) Release_Label'!$F:$F},2,0), or(and(not(isblank($B608)),$B608=$B607,$A608&lt;&gt;$A607),and(not(isblank($A608)),$A608=$A607,$B608&lt;&gt;$B607)),"ID LISTS UNALIGNED",and($A608&lt;&gt;"",countif('3) Release_Label'!$D:$D,$A608)=0),"NO UPC MATCH in Release_Label",and($B608&lt;&gt;"",countif('3) Release_Label'!$E:$E,$B608)=0),"NO CATALOG ID MATCH in Release_Label",iserror(vlookup($A608&amp;$B608,'3) Release_Label'!$D:$D&amp;'3) Release_Label'!$E:$E,1,0)),"NO UPC-CATALOG ID pair MATCH in Release_Label" )</f>
        <v/>
      </c>
      <c r="D608" s="121" t="str">
        <f t="array" ref="D608">ifs(and(isblank($A608),isblank($B608)),"", not(iserror(vlookup($A608&amp;$B608,'3) Release_Label'!$D:$D&amp;'3) Release_Label'!$E:$E,1,0))),vlookup($A608&amp;$B608,{'3) Release_Label'!$D:$D&amp;'3) Release_Label'!$E:$E,'3) Release_Label'!$H:$H},2,0), or(and(not(isblank($B608)),$B608=$B607,$A608&lt;&gt;$A607),and(not(isblank($A608)),$A608=$A607,$B608&lt;&gt;$B607)),"ID LISTS UNALIGNED",and($A608&lt;&gt;"",countif('3) Release_Label'!$D:$D,$A608)=0),"NO UPC MATCH in Release_Label",and($B608&lt;&gt;"",countif('3) Release_Label'!$E:$E,$B608)=0),"NO CATALOG ID MATCH in Release_Label",iserror(vlookup($A608&amp;$B608,'3) Release_Label'!$D:$D&amp;'3) Release_Label'!$E:$E,1,0)),"NO UPC-CATALOG ID pair MATCH in Release_Label" )</f>
        <v/>
      </c>
      <c r="E608" s="99"/>
      <c r="F608" s="99"/>
      <c r="G608" s="123" t="str">
        <f t="array" ref="G608">ifs(or($F608="",$F608="Main Primary Artist"),$F608,not(iserror(vlookup($F608,'Reference info'!$J$5:$J$8,1,0))),"Key Artist",not(iserror(vlookup($F608,'Reference info'!$J$38:$J$405,1,0))),"Performer",not(iserror(vlookup($F608,'Reference info'!$J$10:$J$36,1,0))),"Producer &amp; Engineer")</f>
        <v/>
      </c>
    </row>
    <row r="609">
      <c r="A609" s="28"/>
      <c r="B609" s="103"/>
      <c r="C609" s="121" t="str">
        <f t="array" ref="C609">ifs(and(isblank($A609),isblank($B609)),"", not(iserror(vlookup($A609&amp;$B609,'3) Release_Label'!$D:$D&amp;'3) Release_Label'!$E:$E,1,0))),vlookup($A609&amp;$B609,{'3) Release_Label'!$D:$D&amp;'3) Release_Label'!$E:$E,'3) Release_Label'!$F:$F},2,0), or(and(not(isblank($B609)),$B609=$B608,$A609&lt;&gt;$A608),and(not(isblank($A609)),$A609=$A608,$B609&lt;&gt;$B608)),"ID LISTS UNALIGNED",and($A609&lt;&gt;"",countif('3) Release_Label'!$D:$D,$A609)=0),"NO UPC MATCH in Release_Label",and($B609&lt;&gt;"",countif('3) Release_Label'!$E:$E,$B609)=0),"NO CATALOG ID MATCH in Release_Label",iserror(vlookup($A609&amp;$B609,'3) Release_Label'!$D:$D&amp;'3) Release_Label'!$E:$E,1,0)),"NO UPC-CATALOG ID pair MATCH in Release_Label" )</f>
        <v/>
      </c>
      <c r="D609" s="121" t="str">
        <f t="array" ref="D609">ifs(and(isblank($A609),isblank($B609)),"", not(iserror(vlookup($A609&amp;$B609,'3) Release_Label'!$D:$D&amp;'3) Release_Label'!$E:$E,1,0))),vlookup($A609&amp;$B609,{'3) Release_Label'!$D:$D&amp;'3) Release_Label'!$E:$E,'3) Release_Label'!$H:$H},2,0), or(and(not(isblank($B609)),$B609=$B608,$A609&lt;&gt;$A608),and(not(isblank($A609)),$A609=$A608,$B609&lt;&gt;$B608)),"ID LISTS UNALIGNED",and($A609&lt;&gt;"",countif('3) Release_Label'!$D:$D,$A609)=0),"NO UPC MATCH in Release_Label",and($B609&lt;&gt;"",countif('3) Release_Label'!$E:$E,$B609)=0),"NO CATALOG ID MATCH in Release_Label",iserror(vlookup($A609&amp;$B609,'3) Release_Label'!$D:$D&amp;'3) Release_Label'!$E:$E,1,0)),"NO UPC-CATALOG ID pair MATCH in Release_Label" )</f>
        <v/>
      </c>
      <c r="E609" s="99"/>
      <c r="F609" s="99"/>
      <c r="G609" s="123" t="str">
        <f t="array" ref="G609">ifs(or($F609="",$F609="Main Primary Artist"),$F609,not(iserror(vlookup($F609,'Reference info'!$J$5:$J$8,1,0))),"Key Artist",not(iserror(vlookup($F609,'Reference info'!$J$38:$J$405,1,0))),"Performer",not(iserror(vlookup($F609,'Reference info'!$J$10:$J$36,1,0))),"Producer &amp; Engineer")</f>
        <v/>
      </c>
    </row>
    <row r="610">
      <c r="A610" s="28"/>
      <c r="B610" s="103"/>
      <c r="C610" s="121" t="str">
        <f t="array" ref="C610">ifs(and(isblank($A610),isblank($B610)),"", not(iserror(vlookup($A610&amp;$B610,'3) Release_Label'!$D:$D&amp;'3) Release_Label'!$E:$E,1,0))),vlookup($A610&amp;$B610,{'3) Release_Label'!$D:$D&amp;'3) Release_Label'!$E:$E,'3) Release_Label'!$F:$F},2,0), or(and(not(isblank($B610)),$B610=$B609,$A610&lt;&gt;$A609),and(not(isblank($A610)),$A610=$A609,$B610&lt;&gt;$B609)),"ID LISTS UNALIGNED",and($A610&lt;&gt;"",countif('3) Release_Label'!$D:$D,$A610)=0),"NO UPC MATCH in Release_Label",and($B610&lt;&gt;"",countif('3) Release_Label'!$E:$E,$B610)=0),"NO CATALOG ID MATCH in Release_Label",iserror(vlookup($A610&amp;$B610,'3) Release_Label'!$D:$D&amp;'3) Release_Label'!$E:$E,1,0)),"NO UPC-CATALOG ID pair MATCH in Release_Label" )</f>
        <v/>
      </c>
      <c r="D610" s="121" t="str">
        <f t="array" ref="D610">ifs(and(isblank($A610),isblank($B610)),"", not(iserror(vlookup($A610&amp;$B610,'3) Release_Label'!$D:$D&amp;'3) Release_Label'!$E:$E,1,0))),vlookup($A610&amp;$B610,{'3) Release_Label'!$D:$D&amp;'3) Release_Label'!$E:$E,'3) Release_Label'!$H:$H},2,0), or(and(not(isblank($B610)),$B610=$B609,$A610&lt;&gt;$A609),and(not(isblank($A610)),$A610=$A609,$B610&lt;&gt;$B609)),"ID LISTS UNALIGNED",and($A610&lt;&gt;"",countif('3) Release_Label'!$D:$D,$A610)=0),"NO UPC MATCH in Release_Label",and($B610&lt;&gt;"",countif('3) Release_Label'!$E:$E,$B610)=0),"NO CATALOG ID MATCH in Release_Label",iserror(vlookup($A610&amp;$B610,'3) Release_Label'!$D:$D&amp;'3) Release_Label'!$E:$E,1,0)),"NO UPC-CATALOG ID pair MATCH in Release_Label" )</f>
        <v/>
      </c>
      <c r="E610" s="99"/>
      <c r="F610" s="99"/>
      <c r="G610" s="123" t="str">
        <f t="array" ref="G610">ifs(or($F610="",$F610="Main Primary Artist"),$F610,not(iserror(vlookup($F610,'Reference info'!$J$5:$J$8,1,0))),"Key Artist",not(iserror(vlookup($F610,'Reference info'!$J$38:$J$405,1,0))),"Performer",not(iserror(vlookup($F610,'Reference info'!$J$10:$J$36,1,0))),"Producer &amp; Engineer")</f>
        <v/>
      </c>
    </row>
    <row r="611">
      <c r="A611" s="28"/>
      <c r="B611" s="103"/>
      <c r="C611" s="121" t="str">
        <f t="array" ref="C611">ifs(and(isblank($A611),isblank($B611)),"", not(iserror(vlookup($A611&amp;$B611,'3) Release_Label'!$D:$D&amp;'3) Release_Label'!$E:$E,1,0))),vlookup($A611&amp;$B611,{'3) Release_Label'!$D:$D&amp;'3) Release_Label'!$E:$E,'3) Release_Label'!$F:$F},2,0), or(and(not(isblank($B611)),$B611=$B610,$A611&lt;&gt;$A610),and(not(isblank($A611)),$A611=$A610,$B611&lt;&gt;$B610)),"ID LISTS UNALIGNED",and($A611&lt;&gt;"",countif('3) Release_Label'!$D:$D,$A611)=0),"NO UPC MATCH in Release_Label",and($B611&lt;&gt;"",countif('3) Release_Label'!$E:$E,$B611)=0),"NO CATALOG ID MATCH in Release_Label",iserror(vlookup($A611&amp;$B611,'3) Release_Label'!$D:$D&amp;'3) Release_Label'!$E:$E,1,0)),"NO UPC-CATALOG ID pair MATCH in Release_Label" )</f>
        <v/>
      </c>
      <c r="D611" s="121" t="str">
        <f t="array" ref="D611">ifs(and(isblank($A611),isblank($B611)),"", not(iserror(vlookup($A611&amp;$B611,'3) Release_Label'!$D:$D&amp;'3) Release_Label'!$E:$E,1,0))),vlookup($A611&amp;$B611,{'3) Release_Label'!$D:$D&amp;'3) Release_Label'!$E:$E,'3) Release_Label'!$H:$H},2,0), or(and(not(isblank($B611)),$B611=$B610,$A611&lt;&gt;$A610),and(not(isblank($A611)),$A611=$A610,$B611&lt;&gt;$B610)),"ID LISTS UNALIGNED",and($A611&lt;&gt;"",countif('3) Release_Label'!$D:$D,$A611)=0),"NO UPC MATCH in Release_Label",and($B611&lt;&gt;"",countif('3) Release_Label'!$E:$E,$B611)=0),"NO CATALOG ID MATCH in Release_Label",iserror(vlookup($A611&amp;$B611,'3) Release_Label'!$D:$D&amp;'3) Release_Label'!$E:$E,1,0)),"NO UPC-CATALOG ID pair MATCH in Release_Label" )</f>
        <v/>
      </c>
      <c r="E611" s="99"/>
      <c r="F611" s="99"/>
      <c r="G611" s="123" t="str">
        <f t="array" ref="G611">ifs(or($F611="",$F611="Main Primary Artist"),$F611,not(iserror(vlookup($F611,'Reference info'!$J$5:$J$8,1,0))),"Key Artist",not(iserror(vlookup($F611,'Reference info'!$J$38:$J$405,1,0))),"Performer",not(iserror(vlookup($F611,'Reference info'!$J$10:$J$36,1,0))),"Producer &amp; Engineer")</f>
        <v/>
      </c>
    </row>
    <row r="612">
      <c r="A612" s="28"/>
      <c r="B612" s="103"/>
      <c r="C612" s="121" t="str">
        <f t="array" ref="C612">ifs(and(isblank($A612),isblank($B612)),"", not(iserror(vlookup($A612&amp;$B612,'3) Release_Label'!$D:$D&amp;'3) Release_Label'!$E:$E,1,0))),vlookup($A612&amp;$B612,{'3) Release_Label'!$D:$D&amp;'3) Release_Label'!$E:$E,'3) Release_Label'!$F:$F},2,0), or(and(not(isblank($B612)),$B612=$B611,$A612&lt;&gt;$A611),and(not(isblank($A612)),$A612=$A611,$B612&lt;&gt;$B611)),"ID LISTS UNALIGNED",and($A612&lt;&gt;"",countif('3) Release_Label'!$D:$D,$A612)=0),"NO UPC MATCH in Release_Label",and($B612&lt;&gt;"",countif('3) Release_Label'!$E:$E,$B612)=0),"NO CATALOG ID MATCH in Release_Label",iserror(vlookup($A612&amp;$B612,'3) Release_Label'!$D:$D&amp;'3) Release_Label'!$E:$E,1,0)),"NO UPC-CATALOG ID pair MATCH in Release_Label" )</f>
        <v/>
      </c>
      <c r="D612" s="121" t="str">
        <f t="array" ref="D612">ifs(and(isblank($A612),isblank($B612)),"", not(iserror(vlookup($A612&amp;$B612,'3) Release_Label'!$D:$D&amp;'3) Release_Label'!$E:$E,1,0))),vlookup($A612&amp;$B612,{'3) Release_Label'!$D:$D&amp;'3) Release_Label'!$E:$E,'3) Release_Label'!$H:$H},2,0), or(and(not(isblank($B612)),$B612=$B611,$A612&lt;&gt;$A611),and(not(isblank($A612)),$A612=$A611,$B612&lt;&gt;$B611)),"ID LISTS UNALIGNED",and($A612&lt;&gt;"",countif('3) Release_Label'!$D:$D,$A612)=0),"NO UPC MATCH in Release_Label",and($B612&lt;&gt;"",countif('3) Release_Label'!$E:$E,$B612)=0),"NO CATALOG ID MATCH in Release_Label",iserror(vlookup($A612&amp;$B612,'3) Release_Label'!$D:$D&amp;'3) Release_Label'!$E:$E,1,0)),"NO UPC-CATALOG ID pair MATCH in Release_Label" )</f>
        <v/>
      </c>
      <c r="E612" s="99"/>
      <c r="F612" s="99"/>
      <c r="G612" s="123" t="str">
        <f t="array" ref="G612">ifs(or($F612="",$F612="Main Primary Artist"),$F612,not(iserror(vlookup($F612,'Reference info'!$J$5:$J$8,1,0))),"Key Artist",not(iserror(vlookup($F612,'Reference info'!$J$38:$J$405,1,0))),"Performer",not(iserror(vlookup($F612,'Reference info'!$J$10:$J$36,1,0))),"Producer &amp; Engineer")</f>
        <v/>
      </c>
    </row>
    <row r="613">
      <c r="A613" s="28"/>
      <c r="B613" s="103"/>
      <c r="C613" s="121" t="str">
        <f t="array" ref="C613">ifs(and(isblank($A613),isblank($B613)),"", not(iserror(vlookup($A613&amp;$B613,'3) Release_Label'!$D:$D&amp;'3) Release_Label'!$E:$E,1,0))),vlookup($A613&amp;$B613,{'3) Release_Label'!$D:$D&amp;'3) Release_Label'!$E:$E,'3) Release_Label'!$F:$F},2,0), or(and(not(isblank($B613)),$B613=$B612,$A613&lt;&gt;$A612),and(not(isblank($A613)),$A613=$A612,$B613&lt;&gt;$B612)),"ID LISTS UNALIGNED",and($A613&lt;&gt;"",countif('3) Release_Label'!$D:$D,$A613)=0),"NO UPC MATCH in Release_Label",and($B613&lt;&gt;"",countif('3) Release_Label'!$E:$E,$B613)=0),"NO CATALOG ID MATCH in Release_Label",iserror(vlookup($A613&amp;$B613,'3) Release_Label'!$D:$D&amp;'3) Release_Label'!$E:$E,1,0)),"NO UPC-CATALOG ID pair MATCH in Release_Label" )</f>
        <v/>
      </c>
      <c r="D613" s="121" t="str">
        <f t="array" ref="D613">ifs(and(isblank($A613),isblank($B613)),"", not(iserror(vlookup($A613&amp;$B613,'3) Release_Label'!$D:$D&amp;'3) Release_Label'!$E:$E,1,0))),vlookup($A613&amp;$B613,{'3) Release_Label'!$D:$D&amp;'3) Release_Label'!$E:$E,'3) Release_Label'!$H:$H},2,0), or(and(not(isblank($B613)),$B613=$B612,$A613&lt;&gt;$A612),and(not(isblank($A613)),$A613=$A612,$B613&lt;&gt;$B612)),"ID LISTS UNALIGNED",and($A613&lt;&gt;"",countif('3) Release_Label'!$D:$D,$A613)=0),"NO UPC MATCH in Release_Label",and($B613&lt;&gt;"",countif('3) Release_Label'!$E:$E,$B613)=0),"NO CATALOG ID MATCH in Release_Label",iserror(vlookup($A613&amp;$B613,'3) Release_Label'!$D:$D&amp;'3) Release_Label'!$E:$E,1,0)),"NO UPC-CATALOG ID pair MATCH in Release_Label" )</f>
        <v/>
      </c>
      <c r="E613" s="99"/>
      <c r="F613" s="99"/>
      <c r="G613" s="123" t="str">
        <f t="array" ref="G613">ifs(or($F613="",$F613="Main Primary Artist"),$F613,not(iserror(vlookup($F613,'Reference info'!$J$5:$J$8,1,0))),"Key Artist",not(iserror(vlookup($F613,'Reference info'!$J$38:$J$405,1,0))),"Performer",not(iserror(vlookup($F613,'Reference info'!$J$10:$J$36,1,0))),"Producer &amp; Engineer")</f>
        <v/>
      </c>
    </row>
    <row r="614">
      <c r="A614" s="28"/>
      <c r="B614" s="103"/>
      <c r="C614" s="121" t="str">
        <f t="array" ref="C614">ifs(and(isblank($A614),isblank($B614)),"", not(iserror(vlookup($A614&amp;$B614,'3) Release_Label'!$D:$D&amp;'3) Release_Label'!$E:$E,1,0))),vlookup($A614&amp;$B614,{'3) Release_Label'!$D:$D&amp;'3) Release_Label'!$E:$E,'3) Release_Label'!$F:$F},2,0), or(and(not(isblank($B614)),$B614=$B613,$A614&lt;&gt;$A613),and(not(isblank($A614)),$A614=$A613,$B614&lt;&gt;$B613)),"ID LISTS UNALIGNED",and($A614&lt;&gt;"",countif('3) Release_Label'!$D:$D,$A614)=0),"NO UPC MATCH in Release_Label",and($B614&lt;&gt;"",countif('3) Release_Label'!$E:$E,$B614)=0),"NO CATALOG ID MATCH in Release_Label",iserror(vlookup($A614&amp;$B614,'3) Release_Label'!$D:$D&amp;'3) Release_Label'!$E:$E,1,0)),"NO UPC-CATALOG ID pair MATCH in Release_Label" )</f>
        <v/>
      </c>
      <c r="D614" s="121" t="str">
        <f t="array" ref="D614">ifs(and(isblank($A614),isblank($B614)),"", not(iserror(vlookup($A614&amp;$B614,'3) Release_Label'!$D:$D&amp;'3) Release_Label'!$E:$E,1,0))),vlookup($A614&amp;$B614,{'3) Release_Label'!$D:$D&amp;'3) Release_Label'!$E:$E,'3) Release_Label'!$H:$H},2,0), or(and(not(isblank($B614)),$B614=$B613,$A614&lt;&gt;$A613),and(not(isblank($A614)),$A614=$A613,$B614&lt;&gt;$B613)),"ID LISTS UNALIGNED",and($A614&lt;&gt;"",countif('3) Release_Label'!$D:$D,$A614)=0),"NO UPC MATCH in Release_Label",and($B614&lt;&gt;"",countif('3) Release_Label'!$E:$E,$B614)=0),"NO CATALOG ID MATCH in Release_Label",iserror(vlookup($A614&amp;$B614,'3) Release_Label'!$D:$D&amp;'3) Release_Label'!$E:$E,1,0)),"NO UPC-CATALOG ID pair MATCH in Release_Label" )</f>
        <v/>
      </c>
      <c r="E614" s="99"/>
      <c r="F614" s="99"/>
      <c r="G614" s="123" t="str">
        <f t="array" ref="G614">ifs(or($F614="",$F614="Main Primary Artist"),$F614,not(iserror(vlookup($F614,'Reference info'!$J$5:$J$8,1,0))),"Key Artist",not(iserror(vlookup($F614,'Reference info'!$J$38:$J$405,1,0))),"Performer",not(iserror(vlookup($F614,'Reference info'!$J$10:$J$36,1,0))),"Producer &amp; Engineer")</f>
        <v/>
      </c>
    </row>
    <row r="615">
      <c r="A615" s="28"/>
      <c r="B615" s="103"/>
      <c r="C615" s="121" t="str">
        <f t="array" ref="C615">ifs(and(isblank($A615),isblank($B615)),"", not(iserror(vlookup($A615&amp;$B615,'3) Release_Label'!$D:$D&amp;'3) Release_Label'!$E:$E,1,0))),vlookup($A615&amp;$B615,{'3) Release_Label'!$D:$D&amp;'3) Release_Label'!$E:$E,'3) Release_Label'!$F:$F},2,0), or(and(not(isblank($B615)),$B615=$B614,$A615&lt;&gt;$A614),and(not(isblank($A615)),$A615=$A614,$B615&lt;&gt;$B614)),"ID LISTS UNALIGNED",and($A615&lt;&gt;"",countif('3) Release_Label'!$D:$D,$A615)=0),"NO UPC MATCH in Release_Label",and($B615&lt;&gt;"",countif('3) Release_Label'!$E:$E,$B615)=0),"NO CATALOG ID MATCH in Release_Label",iserror(vlookup($A615&amp;$B615,'3) Release_Label'!$D:$D&amp;'3) Release_Label'!$E:$E,1,0)),"NO UPC-CATALOG ID pair MATCH in Release_Label" )</f>
        <v/>
      </c>
      <c r="D615" s="121" t="str">
        <f t="array" ref="D615">ifs(and(isblank($A615),isblank($B615)),"", not(iserror(vlookup($A615&amp;$B615,'3) Release_Label'!$D:$D&amp;'3) Release_Label'!$E:$E,1,0))),vlookup($A615&amp;$B615,{'3) Release_Label'!$D:$D&amp;'3) Release_Label'!$E:$E,'3) Release_Label'!$H:$H},2,0), or(and(not(isblank($B615)),$B615=$B614,$A615&lt;&gt;$A614),and(not(isblank($A615)),$A615=$A614,$B615&lt;&gt;$B614)),"ID LISTS UNALIGNED",and($A615&lt;&gt;"",countif('3) Release_Label'!$D:$D,$A615)=0),"NO UPC MATCH in Release_Label",and($B615&lt;&gt;"",countif('3) Release_Label'!$E:$E,$B615)=0),"NO CATALOG ID MATCH in Release_Label",iserror(vlookup($A615&amp;$B615,'3) Release_Label'!$D:$D&amp;'3) Release_Label'!$E:$E,1,0)),"NO UPC-CATALOG ID pair MATCH in Release_Label" )</f>
        <v/>
      </c>
      <c r="E615" s="99"/>
      <c r="F615" s="99"/>
      <c r="G615" s="123" t="str">
        <f t="array" ref="G615">ifs(or($F615="",$F615="Main Primary Artist"),$F615,not(iserror(vlookup($F615,'Reference info'!$J$5:$J$8,1,0))),"Key Artist",not(iserror(vlookup($F615,'Reference info'!$J$38:$J$405,1,0))),"Performer",not(iserror(vlookup($F615,'Reference info'!$J$10:$J$36,1,0))),"Producer &amp; Engineer")</f>
        <v/>
      </c>
    </row>
    <row r="616">
      <c r="A616" s="28"/>
      <c r="B616" s="103"/>
      <c r="C616" s="121" t="str">
        <f t="array" ref="C616">ifs(and(isblank($A616),isblank($B616)),"", not(iserror(vlookup($A616&amp;$B616,'3) Release_Label'!$D:$D&amp;'3) Release_Label'!$E:$E,1,0))),vlookup($A616&amp;$B616,{'3) Release_Label'!$D:$D&amp;'3) Release_Label'!$E:$E,'3) Release_Label'!$F:$F},2,0), or(and(not(isblank($B616)),$B616=$B615,$A616&lt;&gt;$A615),and(not(isblank($A616)),$A616=$A615,$B616&lt;&gt;$B615)),"ID LISTS UNALIGNED",and($A616&lt;&gt;"",countif('3) Release_Label'!$D:$D,$A616)=0),"NO UPC MATCH in Release_Label",and($B616&lt;&gt;"",countif('3) Release_Label'!$E:$E,$B616)=0),"NO CATALOG ID MATCH in Release_Label",iserror(vlookup($A616&amp;$B616,'3) Release_Label'!$D:$D&amp;'3) Release_Label'!$E:$E,1,0)),"NO UPC-CATALOG ID pair MATCH in Release_Label" )</f>
        <v/>
      </c>
      <c r="D616" s="121" t="str">
        <f t="array" ref="D616">ifs(and(isblank($A616),isblank($B616)),"", not(iserror(vlookup($A616&amp;$B616,'3) Release_Label'!$D:$D&amp;'3) Release_Label'!$E:$E,1,0))),vlookup($A616&amp;$B616,{'3) Release_Label'!$D:$D&amp;'3) Release_Label'!$E:$E,'3) Release_Label'!$H:$H},2,0), or(and(not(isblank($B616)),$B616=$B615,$A616&lt;&gt;$A615),and(not(isblank($A616)),$A616=$A615,$B616&lt;&gt;$B615)),"ID LISTS UNALIGNED",and($A616&lt;&gt;"",countif('3) Release_Label'!$D:$D,$A616)=0),"NO UPC MATCH in Release_Label",and($B616&lt;&gt;"",countif('3) Release_Label'!$E:$E,$B616)=0),"NO CATALOG ID MATCH in Release_Label",iserror(vlookup($A616&amp;$B616,'3) Release_Label'!$D:$D&amp;'3) Release_Label'!$E:$E,1,0)),"NO UPC-CATALOG ID pair MATCH in Release_Label" )</f>
        <v/>
      </c>
      <c r="E616" s="99"/>
      <c r="F616" s="99"/>
      <c r="G616" s="123" t="str">
        <f t="array" ref="G616">ifs(or($F616="",$F616="Main Primary Artist"),$F616,not(iserror(vlookup($F616,'Reference info'!$J$5:$J$8,1,0))),"Key Artist",not(iserror(vlookup($F616,'Reference info'!$J$38:$J$405,1,0))),"Performer",not(iserror(vlookup($F616,'Reference info'!$J$10:$J$36,1,0))),"Producer &amp; Engineer")</f>
        <v/>
      </c>
    </row>
    <row r="617">
      <c r="A617" s="28"/>
      <c r="B617" s="103"/>
      <c r="C617" s="121" t="str">
        <f t="array" ref="C617">ifs(and(isblank($A617),isblank($B617)),"", not(iserror(vlookup($A617&amp;$B617,'3) Release_Label'!$D:$D&amp;'3) Release_Label'!$E:$E,1,0))),vlookup($A617&amp;$B617,{'3) Release_Label'!$D:$D&amp;'3) Release_Label'!$E:$E,'3) Release_Label'!$F:$F},2,0), or(and(not(isblank($B617)),$B617=$B616,$A617&lt;&gt;$A616),and(not(isblank($A617)),$A617=$A616,$B617&lt;&gt;$B616)),"ID LISTS UNALIGNED",and($A617&lt;&gt;"",countif('3) Release_Label'!$D:$D,$A617)=0),"NO UPC MATCH in Release_Label",and($B617&lt;&gt;"",countif('3) Release_Label'!$E:$E,$B617)=0),"NO CATALOG ID MATCH in Release_Label",iserror(vlookup($A617&amp;$B617,'3) Release_Label'!$D:$D&amp;'3) Release_Label'!$E:$E,1,0)),"NO UPC-CATALOG ID pair MATCH in Release_Label" )</f>
        <v/>
      </c>
      <c r="D617" s="121" t="str">
        <f t="array" ref="D617">ifs(and(isblank($A617),isblank($B617)),"", not(iserror(vlookup($A617&amp;$B617,'3) Release_Label'!$D:$D&amp;'3) Release_Label'!$E:$E,1,0))),vlookup($A617&amp;$B617,{'3) Release_Label'!$D:$D&amp;'3) Release_Label'!$E:$E,'3) Release_Label'!$H:$H},2,0), or(and(not(isblank($B617)),$B617=$B616,$A617&lt;&gt;$A616),and(not(isblank($A617)),$A617=$A616,$B617&lt;&gt;$B616)),"ID LISTS UNALIGNED",and($A617&lt;&gt;"",countif('3) Release_Label'!$D:$D,$A617)=0),"NO UPC MATCH in Release_Label",and($B617&lt;&gt;"",countif('3) Release_Label'!$E:$E,$B617)=0),"NO CATALOG ID MATCH in Release_Label",iserror(vlookup($A617&amp;$B617,'3) Release_Label'!$D:$D&amp;'3) Release_Label'!$E:$E,1,0)),"NO UPC-CATALOG ID pair MATCH in Release_Label" )</f>
        <v/>
      </c>
      <c r="E617" s="99"/>
      <c r="F617" s="99"/>
      <c r="G617" s="123" t="str">
        <f t="array" ref="G617">ifs(or($F617="",$F617="Main Primary Artist"),$F617,not(iserror(vlookup($F617,'Reference info'!$J$5:$J$8,1,0))),"Key Artist",not(iserror(vlookup($F617,'Reference info'!$J$38:$J$405,1,0))),"Performer",not(iserror(vlookup($F617,'Reference info'!$J$10:$J$36,1,0))),"Producer &amp; Engineer")</f>
        <v/>
      </c>
    </row>
    <row r="618">
      <c r="A618" s="28"/>
      <c r="B618" s="103"/>
      <c r="C618" s="121" t="str">
        <f t="array" ref="C618">ifs(and(isblank($A618),isblank($B618)),"", not(iserror(vlookup($A618&amp;$B618,'3) Release_Label'!$D:$D&amp;'3) Release_Label'!$E:$E,1,0))),vlookup($A618&amp;$B618,{'3) Release_Label'!$D:$D&amp;'3) Release_Label'!$E:$E,'3) Release_Label'!$F:$F},2,0), or(and(not(isblank($B618)),$B618=$B617,$A618&lt;&gt;$A617),and(not(isblank($A618)),$A618=$A617,$B618&lt;&gt;$B617)),"ID LISTS UNALIGNED",and($A618&lt;&gt;"",countif('3) Release_Label'!$D:$D,$A618)=0),"NO UPC MATCH in Release_Label",and($B618&lt;&gt;"",countif('3) Release_Label'!$E:$E,$B618)=0),"NO CATALOG ID MATCH in Release_Label",iserror(vlookup($A618&amp;$B618,'3) Release_Label'!$D:$D&amp;'3) Release_Label'!$E:$E,1,0)),"NO UPC-CATALOG ID pair MATCH in Release_Label" )</f>
        <v/>
      </c>
      <c r="D618" s="121" t="str">
        <f t="array" ref="D618">ifs(and(isblank($A618),isblank($B618)),"", not(iserror(vlookup($A618&amp;$B618,'3) Release_Label'!$D:$D&amp;'3) Release_Label'!$E:$E,1,0))),vlookup($A618&amp;$B618,{'3) Release_Label'!$D:$D&amp;'3) Release_Label'!$E:$E,'3) Release_Label'!$H:$H},2,0), or(and(not(isblank($B618)),$B618=$B617,$A618&lt;&gt;$A617),and(not(isblank($A618)),$A618=$A617,$B618&lt;&gt;$B617)),"ID LISTS UNALIGNED",and($A618&lt;&gt;"",countif('3) Release_Label'!$D:$D,$A618)=0),"NO UPC MATCH in Release_Label",and($B618&lt;&gt;"",countif('3) Release_Label'!$E:$E,$B618)=0),"NO CATALOG ID MATCH in Release_Label",iserror(vlookup($A618&amp;$B618,'3) Release_Label'!$D:$D&amp;'3) Release_Label'!$E:$E,1,0)),"NO UPC-CATALOG ID pair MATCH in Release_Label" )</f>
        <v/>
      </c>
      <c r="E618" s="99"/>
      <c r="F618" s="99"/>
      <c r="G618" s="123" t="str">
        <f t="array" ref="G618">ifs(or($F618="",$F618="Main Primary Artist"),$F618,not(iserror(vlookup($F618,'Reference info'!$J$5:$J$8,1,0))),"Key Artist",not(iserror(vlookup($F618,'Reference info'!$J$38:$J$405,1,0))),"Performer",not(iserror(vlookup($F618,'Reference info'!$J$10:$J$36,1,0))),"Producer &amp; Engineer")</f>
        <v/>
      </c>
    </row>
    <row r="619">
      <c r="A619" s="28"/>
      <c r="B619" s="103"/>
      <c r="C619" s="121" t="str">
        <f t="array" ref="C619">ifs(and(isblank($A619),isblank($B619)),"", not(iserror(vlookup($A619&amp;$B619,'3) Release_Label'!$D:$D&amp;'3) Release_Label'!$E:$E,1,0))),vlookup($A619&amp;$B619,{'3) Release_Label'!$D:$D&amp;'3) Release_Label'!$E:$E,'3) Release_Label'!$F:$F},2,0), or(and(not(isblank($B619)),$B619=$B618,$A619&lt;&gt;$A618),and(not(isblank($A619)),$A619=$A618,$B619&lt;&gt;$B618)),"ID LISTS UNALIGNED",and($A619&lt;&gt;"",countif('3) Release_Label'!$D:$D,$A619)=0),"NO UPC MATCH in Release_Label",and($B619&lt;&gt;"",countif('3) Release_Label'!$E:$E,$B619)=0),"NO CATALOG ID MATCH in Release_Label",iserror(vlookup($A619&amp;$B619,'3) Release_Label'!$D:$D&amp;'3) Release_Label'!$E:$E,1,0)),"NO UPC-CATALOG ID pair MATCH in Release_Label" )</f>
        <v/>
      </c>
      <c r="D619" s="121" t="str">
        <f t="array" ref="D619">ifs(and(isblank($A619),isblank($B619)),"", not(iserror(vlookup($A619&amp;$B619,'3) Release_Label'!$D:$D&amp;'3) Release_Label'!$E:$E,1,0))),vlookup($A619&amp;$B619,{'3) Release_Label'!$D:$D&amp;'3) Release_Label'!$E:$E,'3) Release_Label'!$H:$H},2,0), or(and(not(isblank($B619)),$B619=$B618,$A619&lt;&gt;$A618),and(not(isblank($A619)),$A619=$A618,$B619&lt;&gt;$B618)),"ID LISTS UNALIGNED",and($A619&lt;&gt;"",countif('3) Release_Label'!$D:$D,$A619)=0),"NO UPC MATCH in Release_Label",and($B619&lt;&gt;"",countif('3) Release_Label'!$E:$E,$B619)=0),"NO CATALOG ID MATCH in Release_Label",iserror(vlookup($A619&amp;$B619,'3) Release_Label'!$D:$D&amp;'3) Release_Label'!$E:$E,1,0)),"NO UPC-CATALOG ID pair MATCH in Release_Label" )</f>
        <v/>
      </c>
      <c r="E619" s="99"/>
      <c r="F619" s="99"/>
      <c r="G619" s="123" t="str">
        <f t="array" ref="G619">ifs(or($F619="",$F619="Main Primary Artist"),$F619,not(iserror(vlookup($F619,'Reference info'!$J$5:$J$8,1,0))),"Key Artist",not(iserror(vlookup($F619,'Reference info'!$J$38:$J$405,1,0))),"Performer",not(iserror(vlookup($F619,'Reference info'!$J$10:$J$36,1,0))),"Producer &amp; Engineer")</f>
        <v/>
      </c>
    </row>
    <row r="620">
      <c r="A620" s="28"/>
      <c r="B620" s="103"/>
      <c r="C620" s="121" t="str">
        <f t="array" ref="C620">ifs(and(isblank($A620),isblank($B620)),"", not(iserror(vlookup($A620&amp;$B620,'3) Release_Label'!$D:$D&amp;'3) Release_Label'!$E:$E,1,0))),vlookup($A620&amp;$B620,{'3) Release_Label'!$D:$D&amp;'3) Release_Label'!$E:$E,'3) Release_Label'!$F:$F},2,0), or(and(not(isblank($B620)),$B620=$B619,$A620&lt;&gt;$A619),and(not(isblank($A620)),$A620=$A619,$B620&lt;&gt;$B619)),"ID LISTS UNALIGNED",and($A620&lt;&gt;"",countif('3) Release_Label'!$D:$D,$A620)=0),"NO UPC MATCH in Release_Label",and($B620&lt;&gt;"",countif('3) Release_Label'!$E:$E,$B620)=0),"NO CATALOG ID MATCH in Release_Label",iserror(vlookup($A620&amp;$B620,'3) Release_Label'!$D:$D&amp;'3) Release_Label'!$E:$E,1,0)),"NO UPC-CATALOG ID pair MATCH in Release_Label" )</f>
        <v/>
      </c>
      <c r="D620" s="121" t="str">
        <f t="array" ref="D620">ifs(and(isblank($A620),isblank($B620)),"", not(iserror(vlookup($A620&amp;$B620,'3) Release_Label'!$D:$D&amp;'3) Release_Label'!$E:$E,1,0))),vlookup($A620&amp;$B620,{'3) Release_Label'!$D:$D&amp;'3) Release_Label'!$E:$E,'3) Release_Label'!$H:$H},2,0), or(and(not(isblank($B620)),$B620=$B619,$A620&lt;&gt;$A619),and(not(isblank($A620)),$A620=$A619,$B620&lt;&gt;$B619)),"ID LISTS UNALIGNED",and($A620&lt;&gt;"",countif('3) Release_Label'!$D:$D,$A620)=0),"NO UPC MATCH in Release_Label",and($B620&lt;&gt;"",countif('3) Release_Label'!$E:$E,$B620)=0),"NO CATALOG ID MATCH in Release_Label",iserror(vlookup($A620&amp;$B620,'3) Release_Label'!$D:$D&amp;'3) Release_Label'!$E:$E,1,0)),"NO UPC-CATALOG ID pair MATCH in Release_Label" )</f>
        <v/>
      </c>
      <c r="E620" s="99"/>
      <c r="F620" s="99"/>
      <c r="G620" s="123" t="str">
        <f t="array" ref="G620">ifs(or($F620="",$F620="Main Primary Artist"),$F620,not(iserror(vlookup($F620,'Reference info'!$J$5:$J$8,1,0))),"Key Artist",not(iserror(vlookup($F620,'Reference info'!$J$38:$J$405,1,0))),"Performer",not(iserror(vlookup($F620,'Reference info'!$J$10:$J$36,1,0))),"Producer &amp; Engineer")</f>
        <v/>
      </c>
    </row>
    <row r="621">
      <c r="A621" s="28"/>
      <c r="B621" s="103"/>
      <c r="C621" s="121" t="str">
        <f t="array" ref="C621">ifs(and(isblank($A621),isblank($B621)),"", not(iserror(vlookup($A621&amp;$B621,'3) Release_Label'!$D:$D&amp;'3) Release_Label'!$E:$E,1,0))),vlookup($A621&amp;$B621,{'3) Release_Label'!$D:$D&amp;'3) Release_Label'!$E:$E,'3) Release_Label'!$F:$F},2,0), or(and(not(isblank($B621)),$B621=$B620,$A621&lt;&gt;$A620),and(not(isblank($A621)),$A621=$A620,$B621&lt;&gt;$B620)),"ID LISTS UNALIGNED",and($A621&lt;&gt;"",countif('3) Release_Label'!$D:$D,$A621)=0),"NO UPC MATCH in Release_Label",and($B621&lt;&gt;"",countif('3) Release_Label'!$E:$E,$B621)=0),"NO CATALOG ID MATCH in Release_Label",iserror(vlookup($A621&amp;$B621,'3) Release_Label'!$D:$D&amp;'3) Release_Label'!$E:$E,1,0)),"NO UPC-CATALOG ID pair MATCH in Release_Label" )</f>
        <v/>
      </c>
      <c r="D621" s="121" t="str">
        <f t="array" ref="D621">ifs(and(isblank($A621),isblank($B621)),"", not(iserror(vlookup($A621&amp;$B621,'3) Release_Label'!$D:$D&amp;'3) Release_Label'!$E:$E,1,0))),vlookup($A621&amp;$B621,{'3) Release_Label'!$D:$D&amp;'3) Release_Label'!$E:$E,'3) Release_Label'!$H:$H},2,0), or(and(not(isblank($B621)),$B621=$B620,$A621&lt;&gt;$A620),and(not(isblank($A621)),$A621=$A620,$B621&lt;&gt;$B620)),"ID LISTS UNALIGNED",and($A621&lt;&gt;"",countif('3) Release_Label'!$D:$D,$A621)=0),"NO UPC MATCH in Release_Label",and($B621&lt;&gt;"",countif('3) Release_Label'!$E:$E,$B621)=0),"NO CATALOG ID MATCH in Release_Label",iserror(vlookup($A621&amp;$B621,'3) Release_Label'!$D:$D&amp;'3) Release_Label'!$E:$E,1,0)),"NO UPC-CATALOG ID pair MATCH in Release_Label" )</f>
        <v/>
      </c>
      <c r="E621" s="99"/>
      <c r="F621" s="99"/>
      <c r="G621" s="123" t="str">
        <f t="array" ref="G621">ifs(or($F621="",$F621="Main Primary Artist"),$F621,not(iserror(vlookup($F621,'Reference info'!$J$5:$J$8,1,0))),"Key Artist",not(iserror(vlookup($F621,'Reference info'!$J$38:$J$405,1,0))),"Performer",not(iserror(vlookup($F621,'Reference info'!$J$10:$J$36,1,0))),"Producer &amp; Engineer")</f>
        <v/>
      </c>
    </row>
    <row r="622">
      <c r="A622" s="28"/>
      <c r="B622" s="103"/>
      <c r="C622" s="121" t="str">
        <f t="array" ref="C622">ifs(and(isblank($A622),isblank($B622)),"", not(iserror(vlookup($A622&amp;$B622,'3) Release_Label'!$D:$D&amp;'3) Release_Label'!$E:$E,1,0))),vlookup($A622&amp;$B622,{'3) Release_Label'!$D:$D&amp;'3) Release_Label'!$E:$E,'3) Release_Label'!$F:$F},2,0), or(and(not(isblank($B622)),$B622=$B621,$A622&lt;&gt;$A621),and(not(isblank($A622)),$A622=$A621,$B622&lt;&gt;$B621)),"ID LISTS UNALIGNED",and($A622&lt;&gt;"",countif('3) Release_Label'!$D:$D,$A622)=0),"NO UPC MATCH in Release_Label",and($B622&lt;&gt;"",countif('3) Release_Label'!$E:$E,$B622)=0),"NO CATALOG ID MATCH in Release_Label",iserror(vlookup($A622&amp;$B622,'3) Release_Label'!$D:$D&amp;'3) Release_Label'!$E:$E,1,0)),"NO UPC-CATALOG ID pair MATCH in Release_Label" )</f>
        <v/>
      </c>
      <c r="D622" s="121" t="str">
        <f t="array" ref="D622">ifs(and(isblank($A622),isblank($B622)),"", not(iserror(vlookup($A622&amp;$B622,'3) Release_Label'!$D:$D&amp;'3) Release_Label'!$E:$E,1,0))),vlookup($A622&amp;$B622,{'3) Release_Label'!$D:$D&amp;'3) Release_Label'!$E:$E,'3) Release_Label'!$H:$H},2,0), or(and(not(isblank($B622)),$B622=$B621,$A622&lt;&gt;$A621),and(not(isblank($A622)),$A622=$A621,$B622&lt;&gt;$B621)),"ID LISTS UNALIGNED",and($A622&lt;&gt;"",countif('3) Release_Label'!$D:$D,$A622)=0),"NO UPC MATCH in Release_Label",and($B622&lt;&gt;"",countif('3) Release_Label'!$E:$E,$B622)=0),"NO CATALOG ID MATCH in Release_Label",iserror(vlookup($A622&amp;$B622,'3) Release_Label'!$D:$D&amp;'3) Release_Label'!$E:$E,1,0)),"NO UPC-CATALOG ID pair MATCH in Release_Label" )</f>
        <v/>
      </c>
      <c r="E622" s="99"/>
      <c r="F622" s="99"/>
      <c r="G622" s="123" t="str">
        <f t="array" ref="G622">ifs(or($F622="",$F622="Main Primary Artist"),$F622,not(iserror(vlookup($F622,'Reference info'!$J$5:$J$8,1,0))),"Key Artist",not(iserror(vlookup($F622,'Reference info'!$J$38:$J$405,1,0))),"Performer",not(iserror(vlookup($F622,'Reference info'!$J$10:$J$36,1,0))),"Producer &amp; Engineer")</f>
        <v/>
      </c>
    </row>
    <row r="623">
      <c r="A623" s="28"/>
      <c r="B623" s="103"/>
      <c r="C623" s="121" t="str">
        <f t="array" ref="C623">ifs(and(isblank($A623),isblank($B623)),"", not(iserror(vlookup($A623&amp;$B623,'3) Release_Label'!$D:$D&amp;'3) Release_Label'!$E:$E,1,0))),vlookup($A623&amp;$B623,{'3) Release_Label'!$D:$D&amp;'3) Release_Label'!$E:$E,'3) Release_Label'!$F:$F},2,0), or(and(not(isblank($B623)),$B623=$B622,$A623&lt;&gt;$A622),and(not(isblank($A623)),$A623=$A622,$B623&lt;&gt;$B622)),"ID LISTS UNALIGNED",and($A623&lt;&gt;"",countif('3) Release_Label'!$D:$D,$A623)=0),"NO UPC MATCH in Release_Label",and($B623&lt;&gt;"",countif('3) Release_Label'!$E:$E,$B623)=0),"NO CATALOG ID MATCH in Release_Label",iserror(vlookup($A623&amp;$B623,'3) Release_Label'!$D:$D&amp;'3) Release_Label'!$E:$E,1,0)),"NO UPC-CATALOG ID pair MATCH in Release_Label" )</f>
        <v/>
      </c>
      <c r="D623" s="121" t="str">
        <f t="array" ref="D623">ifs(and(isblank($A623),isblank($B623)),"", not(iserror(vlookup($A623&amp;$B623,'3) Release_Label'!$D:$D&amp;'3) Release_Label'!$E:$E,1,0))),vlookup($A623&amp;$B623,{'3) Release_Label'!$D:$D&amp;'3) Release_Label'!$E:$E,'3) Release_Label'!$H:$H},2,0), or(and(not(isblank($B623)),$B623=$B622,$A623&lt;&gt;$A622),and(not(isblank($A623)),$A623=$A622,$B623&lt;&gt;$B622)),"ID LISTS UNALIGNED",and($A623&lt;&gt;"",countif('3) Release_Label'!$D:$D,$A623)=0),"NO UPC MATCH in Release_Label",and($B623&lt;&gt;"",countif('3) Release_Label'!$E:$E,$B623)=0),"NO CATALOG ID MATCH in Release_Label",iserror(vlookup($A623&amp;$B623,'3) Release_Label'!$D:$D&amp;'3) Release_Label'!$E:$E,1,0)),"NO UPC-CATALOG ID pair MATCH in Release_Label" )</f>
        <v/>
      </c>
      <c r="E623" s="99"/>
      <c r="F623" s="99"/>
      <c r="G623" s="123" t="str">
        <f t="array" ref="G623">ifs(or($F623="",$F623="Main Primary Artist"),$F623,not(iserror(vlookup($F623,'Reference info'!$J$5:$J$8,1,0))),"Key Artist",not(iserror(vlookup($F623,'Reference info'!$J$38:$J$405,1,0))),"Performer",not(iserror(vlookup($F623,'Reference info'!$J$10:$J$36,1,0))),"Producer &amp; Engineer")</f>
        <v/>
      </c>
    </row>
    <row r="624">
      <c r="A624" s="28"/>
      <c r="B624" s="103"/>
      <c r="C624" s="121" t="str">
        <f t="array" ref="C624">ifs(and(isblank($A624),isblank($B624)),"", not(iserror(vlookup($A624&amp;$B624,'3) Release_Label'!$D:$D&amp;'3) Release_Label'!$E:$E,1,0))),vlookup($A624&amp;$B624,{'3) Release_Label'!$D:$D&amp;'3) Release_Label'!$E:$E,'3) Release_Label'!$F:$F},2,0), or(and(not(isblank($B624)),$B624=$B623,$A624&lt;&gt;$A623),and(not(isblank($A624)),$A624=$A623,$B624&lt;&gt;$B623)),"ID LISTS UNALIGNED",and($A624&lt;&gt;"",countif('3) Release_Label'!$D:$D,$A624)=0),"NO UPC MATCH in Release_Label",and($B624&lt;&gt;"",countif('3) Release_Label'!$E:$E,$B624)=0),"NO CATALOG ID MATCH in Release_Label",iserror(vlookup($A624&amp;$B624,'3) Release_Label'!$D:$D&amp;'3) Release_Label'!$E:$E,1,0)),"NO UPC-CATALOG ID pair MATCH in Release_Label" )</f>
        <v/>
      </c>
      <c r="D624" s="121" t="str">
        <f t="array" ref="D624">ifs(and(isblank($A624),isblank($B624)),"", not(iserror(vlookup($A624&amp;$B624,'3) Release_Label'!$D:$D&amp;'3) Release_Label'!$E:$E,1,0))),vlookup($A624&amp;$B624,{'3) Release_Label'!$D:$D&amp;'3) Release_Label'!$E:$E,'3) Release_Label'!$H:$H},2,0), or(and(not(isblank($B624)),$B624=$B623,$A624&lt;&gt;$A623),and(not(isblank($A624)),$A624=$A623,$B624&lt;&gt;$B623)),"ID LISTS UNALIGNED",and($A624&lt;&gt;"",countif('3) Release_Label'!$D:$D,$A624)=0),"NO UPC MATCH in Release_Label",and($B624&lt;&gt;"",countif('3) Release_Label'!$E:$E,$B624)=0),"NO CATALOG ID MATCH in Release_Label",iserror(vlookup($A624&amp;$B624,'3) Release_Label'!$D:$D&amp;'3) Release_Label'!$E:$E,1,0)),"NO UPC-CATALOG ID pair MATCH in Release_Label" )</f>
        <v/>
      </c>
      <c r="E624" s="99"/>
      <c r="F624" s="99"/>
      <c r="G624" s="123" t="str">
        <f t="array" ref="G624">ifs(or($F624="",$F624="Main Primary Artist"),$F624,not(iserror(vlookup($F624,'Reference info'!$J$5:$J$8,1,0))),"Key Artist",not(iserror(vlookup($F624,'Reference info'!$J$38:$J$405,1,0))),"Performer",not(iserror(vlookup($F624,'Reference info'!$J$10:$J$36,1,0))),"Producer &amp; Engineer")</f>
        <v/>
      </c>
    </row>
    <row r="625">
      <c r="A625" s="28"/>
      <c r="B625" s="103"/>
      <c r="C625" s="121" t="str">
        <f t="array" ref="C625">ifs(and(isblank($A625),isblank($B625)),"", not(iserror(vlookup($A625&amp;$B625,'3) Release_Label'!$D:$D&amp;'3) Release_Label'!$E:$E,1,0))),vlookup($A625&amp;$B625,{'3) Release_Label'!$D:$D&amp;'3) Release_Label'!$E:$E,'3) Release_Label'!$F:$F},2,0), or(and(not(isblank($B625)),$B625=$B624,$A625&lt;&gt;$A624),and(not(isblank($A625)),$A625=$A624,$B625&lt;&gt;$B624)),"ID LISTS UNALIGNED",and($A625&lt;&gt;"",countif('3) Release_Label'!$D:$D,$A625)=0),"NO UPC MATCH in Release_Label",and($B625&lt;&gt;"",countif('3) Release_Label'!$E:$E,$B625)=0),"NO CATALOG ID MATCH in Release_Label",iserror(vlookup($A625&amp;$B625,'3) Release_Label'!$D:$D&amp;'3) Release_Label'!$E:$E,1,0)),"NO UPC-CATALOG ID pair MATCH in Release_Label" )</f>
        <v/>
      </c>
      <c r="D625" s="121" t="str">
        <f t="array" ref="D625">ifs(and(isblank($A625),isblank($B625)),"", not(iserror(vlookup($A625&amp;$B625,'3) Release_Label'!$D:$D&amp;'3) Release_Label'!$E:$E,1,0))),vlookup($A625&amp;$B625,{'3) Release_Label'!$D:$D&amp;'3) Release_Label'!$E:$E,'3) Release_Label'!$H:$H},2,0), or(and(not(isblank($B625)),$B625=$B624,$A625&lt;&gt;$A624),and(not(isblank($A625)),$A625=$A624,$B625&lt;&gt;$B624)),"ID LISTS UNALIGNED",and($A625&lt;&gt;"",countif('3) Release_Label'!$D:$D,$A625)=0),"NO UPC MATCH in Release_Label",and($B625&lt;&gt;"",countif('3) Release_Label'!$E:$E,$B625)=0),"NO CATALOG ID MATCH in Release_Label",iserror(vlookup($A625&amp;$B625,'3) Release_Label'!$D:$D&amp;'3) Release_Label'!$E:$E,1,0)),"NO UPC-CATALOG ID pair MATCH in Release_Label" )</f>
        <v/>
      </c>
      <c r="E625" s="99"/>
      <c r="F625" s="99"/>
      <c r="G625" s="123" t="str">
        <f t="array" ref="G625">ifs(or($F625="",$F625="Main Primary Artist"),$F625,not(iserror(vlookup($F625,'Reference info'!$J$5:$J$8,1,0))),"Key Artist",not(iserror(vlookup($F625,'Reference info'!$J$38:$J$405,1,0))),"Performer",not(iserror(vlookup($F625,'Reference info'!$J$10:$J$36,1,0))),"Producer &amp; Engineer")</f>
        <v/>
      </c>
    </row>
    <row r="626">
      <c r="A626" s="28"/>
      <c r="B626" s="103"/>
      <c r="C626" s="121" t="str">
        <f t="array" ref="C626">ifs(and(isblank($A626),isblank($B626)),"", not(iserror(vlookup($A626&amp;$B626,'3) Release_Label'!$D:$D&amp;'3) Release_Label'!$E:$E,1,0))),vlookup($A626&amp;$B626,{'3) Release_Label'!$D:$D&amp;'3) Release_Label'!$E:$E,'3) Release_Label'!$F:$F},2,0), or(and(not(isblank($B626)),$B626=$B625,$A626&lt;&gt;$A625),and(not(isblank($A626)),$A626=$A625,$B626&lt;&gt;$B625)),"ID LISTS UNALIGNED",and($A626&lt;&gt;"",countif('3) Release_Label'!$D:$D,$A626)=0),"NO UPC MATCH in Release_Label",and($B626&lt;&gt;"",countif('3) Release_Label'!$E:$E,$B626)=0),"NO CATALOG ID MATCH in Release_Label",iserror(vlookup($A626&amp;$B626,'3) Release_Label'!$D:$D&amp;'3) Release_Label'!$E:$E,1,0)),"NO UPC-CATALOG ID pair MATCH in Release_Label" )</f>
        <v/>
      </c>
      <c r="D626" s="121" t="str">
        <f t="array" ref="D626">ifs(and(isblank($A626),isblank($B626)),"", not(iserror(vlookup($A626&amp;$B626,'3) Release_Label'!$D:$D&amp;'3) Release_Label'!$E:$E,1,0))),vlookup($A626&amp;$B626,{'3) Release_Label'!$D:$D&amp;'3) Release_Label'!$E:$E,'3) Release_Label'!$H:$H},2,0), or(and(not(isblank($B626)),$B626=$B625,$A626&lt;&gt;$A625),and(not(isblank($A626)),$A626=$A625,$B626&lt;&gt;$B625)),"ID LISTS UNALIGNED",and($A626&lt;&gt;"",countif('3) Release_Label'!$D:$D,$A626)=0),"NO UPC MATCH in Release_Label",and($B626&lt;&gt;"",countif('3) Release_Label'!$E:$E,$B626)=0),"NO CATALOG ID MATCH in Release_Label",iserror(vlookup($A626&amp;$B626,'3) Release_Label'!$D:$D&amp;'3) Release_Label'!$E:$E,1,0)),"NO UPC-CATALOG ID pair MATCH in Release_Label" )</f>
        <v/>
      </c>
      <c r="E626" s="99"/>
      <c r="F626" s="99"/>
      <c r="G626" s="123" t="str">
        <f t="array" ref="G626">ifs(or($F626="",$F626="Main Primary Artist"),$F626,not(iserror(vlookup($F626,'Reference info'!$J$5:$J$8,1,0))),"Key Artist",not(iserror(vlookup($F626,'Reference info'!$J$38:$J$405,1,0))),"Performer",not(iserror(vlookup($F626,'Reference info'!$J$10:$J$36,1,0))),"Producer &amp; Engineer")</f>
        <v/>
      </c>
    </row>
    <row r="627">
      <c r="A627" s="28"/>
      <c r="B627" s="103"/>
      <c r="C627" s="121" t="str">
        <f t="array" ref="C627">ifs(and(isblank($A627),isblank($B627)),"", not(iserror(vlookup($A627&amp;$B627,'3) Release_Label'!$D:$D&amp;'3) Release_Label'!$E:$E,1,0))),vlookup($A627&amp;$B627,{'3) Release_Label'!$D:$D&amp;'3) Release_Label'!$E:$E,'3) Release_Label'!$F:$F},2,0), or(and(not(isblank($B627)),$B627=$B626,$A627&lt;&gt;$A626),and(not(isblank($A627)),$A627=$A626,$B627&lt;&gt;$B626)),"ID LISTS UNALIGNED",and($A627&lt;&gt;"",countif('3) Release_Label'!$D:$D,$A627)=0),"NO UPC MATCH in Release_Label",and($B627&lt;&gt;"",countif('3) Release_Label'!$E:$E,$B627)=0),"NO CATALOG ID MATCH in Release_Label",iserror(vlookup($A627&amp;$B627,'3) Release_Label'!$D:$D&amp;'3) Release_Label'!$E:$E,1,0)),"NO UPC-CATALOG ID pair MATCH in Release_Label" )</f>
        <v/>
      </c>
      <c r="D627" s="121" t="str">
        <f t="array" ref="D627">ifs(and(isblank($A627),isblank($B627)),"", not(iserror(vlookup($A627&amp;$B627,'3) Release_Label'!$D:$D&amp;'3) Release_Label'!$E:$E,1,0))),vlookup($A627&amp;$B627,{'3) Release_Label'!$D:$D&amp;'3) Release_Label'!$E:$E,'3) Release_Label'!$H:$H},2,0), or(and(not(isblank($B627)),$B627=$B626,$A627&lt;&gt;$A626),and(not(isblank($A627)),$A627=$A626,$B627&lt;&gt;$B626)),"ID LISTS UNALIGNED",and($A627&lt;&gt;"",countif('3) Release_Label'!$D:$D,$A627)=0),"NO UPC MATCH in Release_Label",and($B627&lt;&gt;"",countif('3) Release_Label'!$E:$E,$B627)=0),"NO CATALOG ID MATCH in Release_Label",iserror(vlookup($A627&amp;$B627,'3) Release_Label'!$D:$D&amp;'3) Release_Label'!$E:$E,1,0)),"NO UPC-CATALOG ID pair MATCH in Release_Label" )</f>
        <v/>
      </c>
      <c r="E627" s="99"/>
      <c r="F627" s="99"/>
      <c r="G627" s="123" t="str">
        <f t="array" ref="G627">ifs(or($F627="",$F627="Main Primary Artist"),$F627,not(iserror(vlookup($F627,'Reference info'!$J$5:$J$8,1,0))),"Key Artist",not(iserror(vlookup($F627,'Reference info'!$J$38:$J$405,1,0))),"Performer",not(iserror(vlookup($F627,'Reference info'!$J$10:$J$36,1,0))),"Producer &amp; Engineer")</f>
        <v/>
      </c>
    </row>
    <row r="628">
      <c r="A628" s="28"/>
      <c r="B628" s="103"/>
      <c r="C628" s="121" t="str">
        <f t="array" ref="C628">ifs(and(isblank($A628),isblank($B628)),"", not(iserror(vlookup($A628&amp;$B628,'3) Release_Label'!$D:$D&amp;'3) Release_Label'!$E:$E,1,0))),vlookup($A628&amp;$B628,{'3) Release_Label'!$D:$D&amp;'3) Release_Label'!$E:$E,'3) Release_Label'!$F:$F},2,0), or(and(not(isblank($B628)),$B628=$B627,$A628&lt;&gt;$A627),and(not(isblank($A628)),$A628=$A627,$B628&lt;&gt;$B627)),"ID LISTS UNALIGNED",and($A628&lt;&gt;"",countif('3) Release_Label'!$D:$D,$A628)=0),"NO UPC MATCH in Release_Label",and($B628&lt;&gt;"",countif('3) Release_Label'!$E:$E,$B628)=0),"NO CATALOG ID MATCH in Release_Label",iserror(vlookup($A628&amp;$B628,'3) Release_Label'!$D:$D&amp;'3) Release_Label'!$E:$E,1,0)),"NO UPC-CATALOG ID pair MATCH in Release_Label" )</f>
        <v/>
      </c>
      <c r="D628" s="121" t="str">
        <f t="array" ref="D628">ifs(and(isblank($A628),isblank($B628)),"", not(iserror(vlookup($A628&amp;$B628,'3) Release_Label'!$D:$D&amp;'3) Release_Label'!$E:$E,1,0))),vlookup($A628&amp;$B628,{'3) Release_Label'!$D:$D&amp;'3) Release_Label'!$E:$E,'3) Release_Label'!$H:$H},2,0), or(and(not(isblank($B628)),$B628=$B627,$A628&lt;&gt;$A627),and(not(isblank($A628)),$A628=$A627,$B628&lt;&gt;$B627)),"ID LISTS UNALIGNED",and($A628&lt;&gt;"",countif('3) Release_Label'!$D:$D,$A628)=0),"NO UPC MATCH in Release_Label",and($B628&lt;&gt;"",countif('3) Release_Label'!$E:$E,$B628)=0),"NO CATALOG ID MATCH in Release_Label",iserror(vlookup($A628&amp;$B628,'3) Release_Label'!$D:$D&amp;'3) Release_Label'!$E:$E,1,0)),"NO UPC-CATALOG ID pair MATCH in Release_Label" )</f>
        <v/>
      </c>
      <c r="E628" s="99"/>
      <c r="F628" s="99"/>
      <c r="G628" s="123" t="str">
        <f t="array" ref="G628">ifs(or($F628="",$F628="Main Primary Artist"),$F628,not(iserror(vlookup($F628,'Reference info'!$J$5:$J$8,1,0))),"Key Artist",not(iserror(vlookup($F628,'Reference info'!$J$38:$J$405,1,0))),"Performer",not(iserror(vlookup($F628,'Reference info'!$J$10:$J$36,1,0))),"Producer &amp; Engineer")</f>
        <v/>
      </c>
    </row>
    <row r="629">
      <c r="A629" s="28"/>
      <c r="B629" s="103"/>
      <c r="C629" s="121" t="str">
        <f t="array" ref="C629">ifs(and(isblank($A629),isblank($B629)),"", not(iserror(vlookup($A629&amp;$B629,'3) Release_Label'!$D:$D&amp;'3) Release_Label'!$E:$E,1,0))),vlookup($A629&amp;$B629,{'3) Release_Label'!$D:$D&amp;'3) Release_Label'!$E:$E,'3) Release_Label'!$F:$F},2,0), or(and(not(isblank($B629)),$B629=$B628,$A629&lt;&gt;$A628),and(not(isblank($A629)),$A629=$A628,$B629&lt;&gt;$B628)),"ID LISTS UNALIGNED",and($A629&lt;&gt;"",countif('3) Release_Label'!$D:$D,$A629)=0),"NO UPC MATCH in Release_Label",and($B629&lt;&gt;"",countif('3) Release_Label'!$E:$E,$B629)=0),"NO CATALOG ID MATCH in Release_Label",iserror(vlookup($A629&amp;$B629,'3) Release_Label'!$D:$D&amp;'3) Release_Label'!$E:$E,1,0)),"NO UPC-CATALOG ID pair MATCH in Release_Label" )</f>
        <v/>
      </c>
      <c r="D629" s="121" t="str">
        <f t="array" ref="D629">ifs(and(isblank($A629),isblank($B629)),"", not(iserror(vlookup($A629&amp;$B629,'3) Release_Label'!$D:$D&amp;'3) Release_Label'!$E:$E,1,0))),vlookup($A629&amp;$B629,{'3) Release_Label'!$D:$D&amp;'3) Release_Label'!$E:$E,'3) Release_Label'!$H:$H},2,0), or(and(not(isblank($B629)),$B629=$B628,$A629&lt;&gt;$A628),and(not(isblank($A629)),$A629=$A628,$B629&lt;&gt;$B628)),"ID LISTS UNALIGNED",and($A629&lt;&gt;"",countif('3) Release_Label'!$D:$D,$A629)=0),"NO UPC MATCH in Release_Label",and($B629&lt;&gt;"",countif('3) Release_Label'!$E:$E,$B629)=0),"NO CATALOG ID MATCH in Release_Label",iserror(vlookup($A629&amp;$B629,'3) Release_Label'!$D:$D&amp;'3) Release_Label'!$E:$E,1,0)),"NO UPC-CATALOG ID pair MATCH in Release_Label" )</f>
        <v/>
      </c>
      <c r="E629" s="99"/>
      <c r="F629" s="99"/>
      <c r="G629" s="123" t="str">
        <f t="array" ref="G629">ifs(or($F629="",$F629="Main Primary Artist"),$F629,not(iserror(vlookup($F629,'Reference info'!$J$5:$J$8,1,0))),"Key Artist",not(iserror(vlookup($F629,'Reference info'!$J$38:$J$405,1,0))),"Performer",not(iserror(vlookup($F629,'Reference info'!$J$10:$J$36,1,0))),"Producer &amp; Engineer")</f>
        <v/>
      </c>
    </row>
    <row r="630">
      <c r="A630" s="28"/>
      <c r="B630" s="103"/>
      <c r="C630" s="121" t="str">
        <f t="array" ref="C630">ifs(and(isblank($A630),isblank($B630)),"", not(iserror(vlookup($A630&amp;$B630,'3) Release_Label'!$D:$D&amp;'3) Release_Label'!$E:$E,1,0))),vlookup($A630&amp;$B630,{'3) Release_Label'!$D:$D&amp;'3) Release_Label'!$E:$E,'3) Release_Label'!$F:$F},2,0), or(and(not(isblank($B630)),$B630=$B629,$A630&lt;&gt;$A629),and(not(isblank($A630)),$A630=$A629,$B630&lt;&gt;$B629)),"ID LISTS UNALIGNED",and($A630&lt;&gt;"",countif('3) Release_Label'!$D:$D,$A630)=0),"NO UPC MATCH in Release_Label",and($B630&lt;&gt;"",countif('3) Release_Label'!$E:$E,$B630)=0),"NO CATALOG ID MATCH in Release_Label",iserror(vlookup($A630&amp;$B630,'3) Release_Label'!$D:$D&amp;'3) Release_Label'!$E:$E,1,0)),"NO UPC-CATALOG ID pair MATCH in Release_Label" )</f>
        <v/>
      </c>
      <c r="D630" s="121" t="str">
        <f t="array" ref="D630">ifs(and(isblank($A630),isblank($B630)),"", not(iserror(vlookup($A630&amp;$B630,'3) Release_Label'!$D:$D&amp;'3) Release_Label'!$E:$E,1,0))),vlookup($A630&amp;$B630,{'3) Release_Label'!$D:$D&amp;'3) Release_Label'!$E:$E,'3) Release_Label'!$H:$H},2,0), or(and(not(isblank($B630)),$B630=$B629,$A630&lt;&gt;$A629),and(not(isblank($A630)),$A630=$A629,$B630&lt;&gt;$B629)),"ID LISTS UNALIGNED",and($A630&lt;&gt;"",countif('3) Release_Label'!$D:$D,$A630)=0),"NO UPC MATCH in Release_Label",and($B630&lt;&gt;"",countif('3) Release_Label'!$E:$E,$B630)=0),"NO CATALOG ID MATCH in Release_Label",iserror(vlookup($A630&amp;$B630,'3) Release_Label'!$D:$D&amp;'3) Release_Label'!$E:$E,1,0)),"NO UPC-CATALOG ID pair MATCH in Release_Label" )</f>
        <v/>
      </c>
      <c r="E630" s="99"/>
      <c r="F630" s="99"/>
      <c r="G630" s="123" t="str">
        <f t="array" ref="G630">ifs(or($F630="",$F630="Main Primary Artist"),$F630,not(iserror(vlookup($F630,'Reference info'!$J$5:$J$8,1,0))),"Key Artist",not(iserror(vlookup($F630,'Reference info'!$J$38:$J$405,1,0))),"Performer",not(iserror(vlookup($F630,'Reference info'!$J$10:$J$36,1,0))),"Producer &amp; Engineer")</f>
        <v/>
      </c>
    </row>
    <row r="631">
      <c r="A631" s="28"/>
      <c r="B631" s="103"/>
      <c r="C631" s="121" t="str">
        <f t="array" ref="C631">ifs(and(isblank($A631),isblank($B631)),"", not(iserror(vlookup($A631&amp;$B631,'3) Release_Label'!$D:$D&amp;'3) Release_Label'!$E:$E,1,0))),vlookup($A631&amp;$B631,{'3) Release_Label'!$D:$D&amp;'3) Release_Label'!$E:$E,'3) Release_Label'!$F:$F},2,0), or(and(not(isblank($B631)),$B631=$B630,$A631&lt;&gt;$A630),and(not(isblank($A631)),$A631=$A630,$B631&lt;&gt;$B630)),"ID LISTS UNALIGNED",and($A631&lt;&gt;"",countif('3) Release_Label'!$D:$D,$A631)=0),"NO UPC MATCH in Release_Label",and($B631&lt;&gt;"",countif('3) Release_Label'!$E:$E,$B631)=0),"NO CATALOG ID MATCH in Release_Label",iserror(vlookup($A631&amp;$B631,'3) Release_Label'!$D:$D&amp;'3) Release_Label'!$E:$E,1,0)),"NO UPC-CATALOG ID pair MATCH in Release_Label" )</f>
        <v/>
      </c>
      <c r="D631" s="121" t="str">
        <f t="array" ref="D631">ifs(and(isblank($A631),isblank($B631)),"", not(iserror(vlookup($A631&amp;$B631,'3) Release_Label'!$D:$D&amp;'3) Release_Label'!$E:$E,1,0))),vlookup($A631&amp;$B631,{'3) Release_Label'!$D:$D&amp;'3) Release_Label'!$E:$E,'3) Release_Label'!$H:$H},2,0), or(and(not(isblank($B631)),$B631=$B630,$A631&lt;&gt;$A630),and(not(isblank($A631)),$A631=$A630,$B631&lt;&gt;$B630)),"ID LISTS UNALIGNED",and($A631&lt;&gt;"",countif('3) Release_Label'!$D:$D,$A631)=0),"NO UPC MATCH in Release_Label",and($B631&lt;&gt;"",countif('3) Release_Label'!$E:$E,$B631)=0),"NO CATALOG ID MATCH in Release_Label",iserror(vlookup($A631&amp;$B631,'3) Release_Label'!$D:$D&amp;'3) Release_Label'!$E:$E,1,0)),"NO UPC-CATALOG ID pair MATCH in Release_Label" )</f>
        <v/>
      </c>
      <c r="E631" s="99"/>
      <c r="F631" s="99"/>
      <c r="G631" s="123" t="str">
        <f t="array" ref="G631">ifs(or($F631="",$F631="Main Primary Artist"),$F631,not(iserror(vlookup($F631,'Reference info'!$J$5:$J$8,1,0))),"Key Artist",not(iserror(vlookup($F631,'Reference info'!$J$38:$J$405,1,0))),"Performer",not(iserror(vlookup($F631,'Reference info'!$J$10:$J$36,1,0))),"Producer &amp; Engineer")</f>
        <v/>
      </c>
    </row>
    <row r="632">
      <c r="A632" s="28"/>
      <c r="B632" s="103"/>
      <c r="C632" s="121" t="str">
        <f t="array" ref="C632">ifs(and(isblank($A632),isblank($B632)),"", not(iserror(vlookup($A632&amp;$B632,'3) Release_Label'!$D:$D&amp;'3) Release_Label'!$E:$E,1,0))),vlookup($A632&amp;$B632,{'3) Release_Label'!$D:$D&amp;'3) Release_Label'!$E:$E,'3) Release_Label'!$F:$F},2,0), or(and(not(isblank($B632)),$B632=$B631,$A632&lt;&gt;$A631),and(not(isblank($A632)),$A632=$A631,$B632&lt;&gt;$B631)),"ID LISTS UNALIGNED",and($A632&lt;&gt;"",countif('3) Release_Label'!$D:$D,$A632)=0),"NO UPC MATCH in Release_Label",and($B632&lt;&gt;"",countif('3) Release_Label'!$E:$E,$B632)=0),"NO CATALOG ID MATCH in Release_Label",iserror(vlookup($A632&amp;$B632,'3) Release_Label'!$D:$D&amp;'3) Release_Label'!$E:$E,1,0)),"NO UPC-CATALOG ID pair MATCH in Release_Label" )</f>
        <v/>
      </c>
      <c r="D632" s="121" t="str">
        <f t="array" ref="D632">ifs(and(isblank($A632),isblank($B632)),"", not(iserror(vlookup($A632&amp;$B632,'3) Release_Label'!$D:$D&amp;'3) Release_Label'!$E:$E,1,0))),vlookup($A632&amp;$B632,{'3) Release_Label'!$D:$D&amp;'3) Release_Label'!$E:$E,'3) Release_Label'!$H:$H},2,0), or(and(not(isblank($B632)),$B632=$B631,$A632&lt;&gt;$A631),and(not(isblank($A632)),$A632=$A631,$B632&lt;&gt;$B631)),"ID LISTS UNALIGNED",and($A632&lt;&gt;"",countif('3) Release_Label'!$D:$D,$A632)=0),"NO UPC MATCH in Release_Label",and($B632&lt;&gt;"",countif('3) Release_Label'!$E:$E,$B632)=0),"NO CATALOG ID MATCH in Release_Label",iserror(vlookup($A632&amp;$B632,'3) Release_Label'!$D:$D&amp;'3) Release_Label'!$E:$E,1,0)),"NO UPC-CATALOG ID pair MATCH in Release_Label" )</f>
        <v/>
      </c>
      <c r="E632" s="99"/>
      <c r="F632" s="99"/>
      <c r="G632" s="123" t="str">
        <f t="array" ref="G632">ifs(or($F632="",$F632="Main Primary Artist"),$F632,not(iserror(vlookup($F632,'Reference info'!$J$5:$J$8,1,0))),"Key Artist",not(iserror(vlookup($F632,'Reference info'!$J$38:$J$405,1,0))),"Performer",not(iserror(vlookup($F632,'Reference info'!$J$10:$J$36,1,0))),"Producer &amp; Engineer")</f>
        <v/>
      </c>
    </row>
    <row r="633">
      <c r="A633" s="28"/>
      <c r="B633" s="103"/>
      <c r="C633" s="121" t="str">
        <f t="array" ref="C633">ifs(and(isblank($A633),isblank($B633)),"", not(iserror(vlookup($A633&amp;$B633,'3) Release_Label'!$D:$D&amp;'3) Release_Label'!$E:$E,1,0))),vlookup($A633&amp;$B633,{'3) Release_Label'!$D:$D&amp;'3) Release_Label'!$E:$E,'3) Release_Label'!$F:$F},2,0), or(and(not(isblank($B633)),$B633=$B632,$A633&lt;&gt;$A632),and(not(isblank($A633)),$A633=$A632,$B633&lt;&gt;$B632)),"ID LISTS UNALIGNED",and($A633&lt;&gt;"",countif('3) Release_Label'!$D:$D,$A633)=0),"NO UPC MATCH in Release_Label",and($B633&lt;&gt;"",countif('3) Release_Label'!$E:$E,$B633)=0),"NO CATALOG ID MATCH in Release_Label",iserror(vlookup($A633&amp;$B633,'3) Release_Label'!$D:$D&amp;'3) Release_Label'!$E:$E,1,0)),"NO UPC-CATALOG ID pair MATCH in Release_Label" )</f>
        <v/>
      </c>
      <c r="D633" s="121" t="str">
        <f t="array" ref="D633">ifs(and(isblank($A633),isblank($B633)),"", not(iserror(vlookup($A633&amp;$B633,'3) Release_Label'!$D:$D&amp;'3) Release_Label'!$E:$E,1,0))),vlookup($A633&amp;$B633,{'3) Release_Label'!$D:$D&amp;'3) Release_Label'!$E:$E,'3) Release_Label'!$H:$H},2,0), or(and(not(isblank($B633)),$B633=$B632,$A633&lt;&gt;$A632),and(not(isblank($A633)),$A633=$A632,$B633&lt;&gt;$B632)),"ID LISTS UNALIGNED",and($A633&lt;&gt;"",countif('3) Release_Label'!$D:$D,$A633)=0),"NO UPC MATCH in Release_Label",and($B633&lt;&gt;"",countif('3) Release_Label'!$E:$E,$B633)=0),"NO CATALOG ID MATCH in Release_Label",iserror(vlookup($A633&amp;$B633,'3) Release_Label'!$D:$D&amp;'3) Release_Label'!$E:$E,1,0)),"NO UPC-CATALOG ID pair MATCH in Release_Label" )</f>
        <v/>
      </c>
      <c r="E633" s="99"/>
      <c r="F633" s="99"/>
      <c r="G633" s="123" t="str">
        <f t="array" ref="G633">ifs(or($F633="",$F633="Main Primary Artist"),$F633,not(iserror(vlookup($F633,'Reference info'!$J$5:$J$8,1,0))),"Key Artist",not(iserror(vlookup($F633,'Reference info'!$J$38:$J$405,1,0))),"Performer",not(iserror(vlookup($F633,'Reference info'!$J$10:$J$36,1,0))),"Producer &amp; Engineer")</f>
        <v/>
      </c>
    </row>
    <row r="634">
      <c r="A634" s="28"/>
      <c r="B634" s="103"/>
      <c r="C634" s="121" t="str">
        <f t="array" ref="C634">ifs(and(isblank($A634),isblank($B634)),"", not(iserror(vlookup($A634&amp;$B634,'3) Release_Label'!$D:$D&amp;'3) Release_Label'!$E:$E,1,0))),vlookup($A634&amp;$B634,{'3) Release_Label'!$D:$D&amp;'3) Release_Label'!$E:$E,'3) Release_Label'!$F:$F},2,0), or(and(not(isblank($B634)),$B634=$B633,$A634&lt;&gt;$A633),and(not(isblank($A634)),$A634=$A633,$B634&lt;&gt;$B633)),"ID LISTS UNALIGNED",and($A634&lt;&gt;"",countif('3) Release_Label'!$D:$D,$A634)=0),"NO UPC MATCH in Release_Label",and($B634&lt;&gt;"",countif('3) Release_Label'!$E:$E,$B634)=0),"NO CATALOG ID MATCH in Release_Label",iserror(vlookup($A634&amp;$B634,'3) Release_Label'!$D:$D&amp;'3) Release_Label'!$E:$E,1,0)),"NO UPC-CATALOG ID pair MATCH in Release_Label" )</f>
        <v/>
      </c>
      <c r="D634" s="121" t="str">
        <f t="array" ref="D634">ifs(and(isblank($A634),isblank($B634)),"", not(iserror(vlookup($A634&amp;$B634,'3) Release_Label'!$D:$D&amp;'3) Release_Label'!$E:$E,1,0))),vlookup($A634&amp;$B634,{'3) Release_Label'!$D:$D&amp;'3) Release_Label'!$E:$E,'3) Release_Label'!$H:$H},2,0), or(and(not(isblank($B634)),$B634=$B633,$A634&lt;&gt;$A633),and(not(isblank($A634)),$A634=$A633,$B634&lt;&gt;$B633)),"ID LISTS UNALIGNED",and($A634&lt;&gt;"",countif('3) Release_Label'!$D:$D,$A634)=0),"NO UPC MATCH in Release_Label",and($B634&lt;&gt;"",countif('3) Release_Label'!$E:$E,$B634)=0),"NO CATALOG ID MATCH in Release_Label",iserror(vlookup($A634&amp;$B634,'3) Release_Label'!$D:$D&amp;'3) Release_Label'!$E:$E,1,0)),"NO UPC-CATALOG ID pair MATCH in Release_Label" )</f>
        <v/>
      </c>
      <c r="E634" s="99"/>
      <c r="F634" s="99"/>
      <c r="G634" s="123" t="str">
        <f t="array" ref="G634">ifs(or($F634="",$F634="Main Primary Artist"),$F634,not(iserror(vlookup($F634,'Reference info'!$J$5:$J$8,1,0))),"Key Artist",not(iserror(vlookup($F634,'Reference info'!$J$38:$J$405,1,0))),"Performer",not(iserror(vlookup($F634,'Reference info'!$J$10:$J$36,1,0))),"Producer &amp; Engineer")</f>
        <v/>
      </c>
    </row>
    <row r="635">
      <c r="A635" s="28"/>
      <c r="B635" s="103"/>
      <c r="C635" s="121" t="str">
        <f t="array" ref="C635">ifs(and(isblank($A635),isblank($B635)),"", not(iserror(vlookup($A635&amp;$B635,'3) Release_Label'!$D:$D&amp;'3) Release_Label'!$E:$E,1,0))),vlookup($A635&amp;$B635,{'3) Release_Label'!$D:$D&amp;'3) Release_Label'!$E:$E,'3) Release_Label'!$F:$F},2,0), or(and(not(isblank($B635)),$B635=$B634,$A635&lt;&gt;$A634),and(not(isblank($A635)),$A635=$A634,$B635&lt;&gt;$B634)),"ID LISTS UNALIGNED",and($A635&lt;&gt;"",countif('3) Release_Label'!$D:$D,$A635)=0),"NO UPC MATCH in Release_Label",and($B635&lt;&gt;"",countif('3) Release_Label'!$E:$E,$B635)=0),"NO CATALOG ID MATCH in Release_Label",iserror(vlookup($A635&amp;$B635,'3) Release_Label'!$D:$D&amp;'3) Release_Label'!$E:$E,1,0)),"NO UPC-CATALOG ID pair MATCH in Release_Label" )</f>
        <v/>
      </c>
      <c r="D635" s="121" t="str">
        <f t="array" ref="D635">ifs(and(isblank($A635),isblank($B635)),"", not(iserror(vlookup($A635&amp;$B635,'3) Release_Label'!$D:$D&amp;'3) Release_Label'!$E:$E,1,0))),vlookup($A635&amp;$B635,{'3) Release_Label'!$D:$D&amp;'3) Release_Label'!$E:$E,'3) Release_Label'!$H:$H},2,0), or(and(not(isblank($B635)),$B635=$B634,$A635&lt;&gt;$A634),and(not(isblank($A635)),$A635=$A634,$B635&lt;&gt;$B634)),"ID LISTS UNALIGNED",and($A635&lt;&gt;"",countif('3) Release_Label'!$D:$D,$A635)=0),"NO UPC MATCH in Release_Label",and($B635&lt;&gt;"",countif('3) Release_Label'!$E:$E,$B635)=0),"NO CATALOG ID MATCH in Release_Label",iserror(vlookup($A635&amp;$B635,'3) Release_Label'!$D:$D&amp;'3) Release_Label'!$E:$E,1,0)),"NO UPC-CATALOG ID pair MATCH in Release_Label" )</f>
        <v/>
      </c>
      <c r="E635" s="99"/>
      <c r="F635" s="99"/>
      <c r="G635" s="123" t="str">
        <f t="array" ref="G635">ifs(or($F635="",$F635="Main Primary Artist"),$F635,not(iserror(vlookup($F635,'Reference info'!$J$5:$J$8,1,0))),"Key Artist",not(iserror(vlookup($F635,'Reference info'!$J$38:$J$405,1,0))),"Performer",not(iserror(vlookup($F635,'Reference info'!$J$10:$J$36,1,0))),"Producer &amp; Engineer")</f>
        <v/>
      </c>
    </row>
    <row r="636">
      <c r="A636" s="28"/>
      <c r="B636" s="103"/>
      <c r="C636" s="121" t="str">
        <f t="array" ref="C636">ifs(and(isblank($A636),isblank($B636)),"", not(iserror(vlookup($A636&amp;$B636,'3) Release_Label'!$D:$D&amp;'3) Release_Label'!$E:$E,1,0))),vlookup($A636&amp;$B636,{'3) Release_Label'!$D:$D&amp;'3) Release_Label'!$E:$E,'3) Release_Label'!$F:$F},2,0), or(and(not(isblank($B636)),$B636=$B635,$A636&lt;&gt;$A635),and(not(isblank($A636)),$A636=$A635,$B636&lt;&gt;$B635)),"ID LISTS UNALIGNED",and($A636&lt;&gt;"",countif('3) Release_Label'!$D:$D,$A636)=0),"NO UPC MATCH in Release_Label",and($B636&lt;&gt;"",countif('3) Release_Label'!$E:$E,$B636)=0),"NO CATALOG ID MATCH in Release_Label",iserror(vlookup($A636&amp;$B636,'3) Release_Label'!$D:$D&amp;'3) Release_Label'!$E:$E,1,0)),"NO UPC-CATALOG ID pair MATCH in Release_Label" )</f>
        <v/>
      </c>
      <c r="D636" s="121" t="str">
        <f t="array" ref="D636">ifs(and(isblank($A636),isblank($B636)),"", not(iserror(vlookup($A636&amp;$B636,'3) Release_Label'!$D:$D&amp;'3) Release_Label'!$E:$E,1,0))),vlookup($A636&amp;$B636,{'3) Release_Label'!$D:$D&amp;'3) Release_Label'!$E:$E,'3) Release_Label'!$H:$H},2,0), or(and(not(isblank($B636)),$B636=$B635,$A636&lt;&gt;$A635),and(not(isblank($A636)),$A636=$A635,$B636&lt;&gt;$B635)),"ID LISTS UNALIGNED",and($A636&lt;&gt;"",countif('3) Release_Label'!$D:$D,$A636)=0),"NO UPC MATCH in Release_Label",and($B636&lt;&gt;"",countif('3) Release_Label'!$E:$E,$B636)=0),"NO CATALOG ID MATCH in Release_Label",iserror(vlookup($A636&amp;$B636,'3) Release_Label'!$D:$D&amp;'3) Release_Label'!$E:$E,1,0)),"NO UPC-CATALOG ID pair MATCH in Release_Label" )</f>
        <v/>
      </c>
      <c r="E636" s="99"/>
      <c r="F636" s="99"/>
      <c r="G636" s="123" t="str">
        <f t="array" ref="G636">ifs(or($F636="",$F636="Main Primary Artist"),$F636,not(iserror(vlookup($F636,'Reference info'!$J$5:$J$8,1,0))),"Key Artist",not(iserror(vlookup($F636,'Reference info'!$J$38:$J$405,1,0))),"Performer",not(iserror(vlookup($F636,'Reference info'!$J$10:$J$36,1,0))),"Producer &amp; Engineer")</f>
        <v/>
      </c>
    </row>
    <row r="637">
      <c r="A637" s="28"/>
      <c r="B637" s="103"/>
      <c r="C637" s="121" t="str">
        <f t="array" ref="C637">ifs(and(isblank($A637),isblank($B637)),"", not(iserror(vlookup($A637&amp;$B637,'3) Release_Label'!$D:$D&amp;'3) Release_Label'!$E:$E,1,0))),vlookup($A637&amp;$B637,{'3) Release_Label'!$D:$D&amp;'3) Release_Label'!$E:$E,'3) Release_Label'!$F:$F},2,0), or(and(not(isblank($B637)),$B637=$B636,$A637&lt;&gt;$A636),and(not(isblank($A637)),$A637=$A636,$B637&lt;&gt;$B636)),"ID LISTS UNALIGNED",and($A637&lt;&gt;"",countif('3) Release_Label'!$D:$D,$A637)=0),"NO UPC MATCH in Release_Label",and($B637&lt;&gt;"",countif('3) Release_Label'!$E:$E,$B637)=0),"NO CATALOG ID MATCH in Release_Label",iserror(vlookup($A637&amp;$B637,'3) Release_Label'!$D:$D&amp;'3) Release_Label'!$E:$E,1,0)),"NO UPC-CATALOG ID pair MATCH in Release_Label" )</f>
        <v/>
      </c>
      <c r="D637" s="121" t="str">
        <f t="array" ref="D637">ifs(and(isblank($A637),isblank($B637)),"", not(iserror(vlookup($A637&amp;$B637,'3) Release_Label'!$D:$D&amp;'3) Release_Label'!$E:$E,1,0))),vlookup($A637&amp;$B637,{'3) Release_Label'!$D:$D&amp;'3) Release_Label'!$E:$E,'3) Release_Label'!$H:$H},2,0), or(and(not(isblank($B637)),$B637=$B636,$A637&lt;&gt;$A636),and(not(isblank($A637)),$A637=$A636,$B637&lt;&gt;$B636)),"ID LISTS UNALIGNED",and($A637&lt;&gt;"",countif('3) Release_Label'!$D:$D,$A637)=0),"NO UPC MATCH in Release_Label",and($B637&lt;&gt;"",countif('3) Release_Label'!$E:$E,$B637)=0),"NO CATALOG ID MATCH in Release_Label",iserror(vlookup($A637&amp;$B637,'3) Release_Label'!$D:$D&amp;'3) Release_Label'!$E:$E,1,0)),"NO UPC-CATALOG ID pair MATCH in Release_Label" )</f>
        <v/>
      </c>
      <c r="E637" s="99"/>
      <c r="F637" s="99"/>
      <c r="G637" s="123" t="str">
        <f t="array" ref="G637">ifs(or($F637="",$F637="Main Primary Artist"),$F637,not(iserror(vlookup($F637,'Reference info'!$J$5:$J$8,1,0))),"Key Artist",not(iserror(vlookup($F637,'Reference info'!$J$38:$J$405,1,0))),"Performer",not(iserror(vlookup($F637,'Reference info'!$J$10:$J$36,1,0))),"Producer &amp; Engineer")</f>
        <v/>
      </c>
    </row>
    <row r="638">
      <c r="A638" s="28"/>
      <c r="B638" s="103"/>
      <c r="C638" s="121" t="str">
        <f t="array" ref="C638">ifs(and(isblank($A638),isblank($B638)),"", not(iserror(vlookup($A638&amp;$B638,'3) Release_Label'!$D:$D&amp;'3) Release_Label'!$E:$E,1,0))),vlookup($A638&amp;$B638,{'3) Release_Label'!$D:$D&amp;'3) Release_Label'!$E:$E,'3) Release_Label'!$F:$F},2,0), or(and(not(isblank($B638)),$B638=$B637,$A638&lt;&gt;$A637),and(not(isblank($A638)),$A638=$A637,$B638&lt;&gt;$B637)),"ID LISTS UNALIGNED",and($A638&lt;&gt;"",countif('3) Release_Label'!$D:$D,$A638)=0),"NO UPC MATCH in Release_Label",and($B638&lt;&gt;"",countif('3) Release_Label'!$E:$E,$B638)=0),"NO CATALOG ID MATCH in Release_Label",iserror(vlookup($A638&amp;$B638,'3) Release_Label'!$D:$D&amp;'3) Release_Label'!$E:$E,1,0)),"NO UPC-CATALOG ID pair MATCH in Release_Label" )</f>
        <v/>
      </c>
      <c r="D638" s="121" t="str">
        <f t="array" ref="D638">ifs(and(isblank($A638),isblank($B638)),"", not(iserror(vlookup($A638&amp;$B638,'3) Release_Label'!$D:$D&amp;'3) Release_Label'!$E:$E,1,0))),vlookup($A638&amp;$B638,{'3) Release_Label'!$D:$D&amp;'3) Release_Label'!$E:$E,'3) Release_Label'!$H:$H},2,0), or(and(not(isblank($B638)),$B638=$B637,$A638&lt;&gt;$A637),and(not(isblank($A638)),$A638=$A637,$B638&lt;&gt;$B637)),"ID LISTS UNALIGNED",and($A638&lt;&gt;"",countif('3) Release_Label'!$D:$D,$A638)=0),"NO UPC MATCH in Release_Label",and($B638&lt;&gt;"",countif('3) Release_Label'!$E:$E,$B638)=0),"NO CATALOG ID MATCH in Release_Label",iserror(vlookup($A638&amp;$B638,'3) Release_Label'!$D:$D&amp;'3) Release_Label'!$E:$E,1,0)),"NO UPC-CATALOG ID pair MATCH in Release_Label" )</f>
        <v/>
      </c>
      <c r="E638" s="99"/>
      <c r="F638" s="99"/>
      <c r="G638" s="123" t="str">
        <f t="array" ref="G638">ifs(or($F638="",$F638="Main Primary Artist"),$F638,not(iserror(vlookup($F638,'Reference info'!$J$5:$J$8,1,0))),"Key Artist",not(iserror(vlookup($F638,'Reference info'!$J$38:$J$405,1,0))),"Performer",not(iserror(vlookup($F638,'Reference info'!$J$10:$J$36,1,0))),"Producer &amp; Engineer")</f>
        <v/>
      </c>
    </row>
    <row r="639">
      <c r="A639" s="28"/>
      <c r="B639" s="103"/>
      <c r="C639" s="121" t="str">
        <f t="array" ref="C639">ifs(and(isblank($A639),isblank($B639)),"", not(iserror(vlookup($A639&amp;$B639,'3) Release_Label'!$D:$D&amp;'3) Release_Label'!$E:$E,1,0))),vlookup($A639&amp;$B639,{'3) Release_Label'!$D:$D&amp;'3) Release_Label'!$E:$E,'3) Release_Label'!$F:$F},2,0), or(and(not(isblank($B639)),$B639=$B638,$A639&lt;&gt;$A638),and(not(isblank($A639)),$A639=$A638,$B639&lt;&gt;$B638)),"ID LISTS UNALIGNED",and($A639&lt;&gt;"",countif('3) Release_Label'!$D:$D,$A639)=0),"NO UPC MATCH in Release_Label",and($B639&lt;&gt;"",countif('3) Release_Label'!$E:$E,$B639)=0),"NO CATALOG ID MATCH in Release_Label",iserror(vlookup($A639&amp;$B639,'3) Release_Label'!$D:$D&amp;'3) Release_Label'!$E:$E,1,0)),"NO UPC-CATALOG ID pair MATCH in Release_Label" )</f>
        <v/>
      </c>
      <c r="D639" s="121" t="str">
        <f t="array" ref="D639">ifs(and(isblank($A639),isblank($B639)),"", not(iserror(vlookup($A639&amp;$B639,'3) Release_Label'!$D:$D&amp;'3) Release_Label'!$E:$E,1,0))),vlookup($A639&amp;$B639,{'3) Release_Label'!$D:$D&amp;'3) Release_Label'!$E:$E,'3) Release_Label'!$H:$H},2,0), or(and(not(isblank($B639)),$B639=$B638,$A639&lt;&gt;$A638),and(not(isblank($A639)),$A639=$A638,$B639&lt;&gt;$B638)),"ID LISTS UNALIGNED",and($A639&lt;&gt;"",countif('3) Release_Label'!$D:$D,$A639)=0),"NO UPC MATCH in Release_Label",and($B639&lt;&gt;"",countif('3) Release_Label'!$E:$E,$B639)=0),"NO CATALOG ID MATCH in Release_Label",iserror(vlookup($A639&amp;$B639,'3) Release_Label'!$D:$D&amp;'3) Release_Label'!$E:$E,1,0)),"NO UPC-CATALOG ID pair MATCH in Release_Label" )</f>
        <v/>
      </c>
      <c r="E639" s="99"/>
      <c r="F639" s="99"/>
      <c r="G639" s="123" t="str">
        <f t="array" ref="G639">ifs(or($F639="",$F639="Main Primary Artist"),$F639,not(iserror(vlookup($F639,'Reference info'!$J$5:$J$8,1,0))),"Key Artist",not(iserror(vlookup($F639,'Reference info'!$J$38:$J$405,1,0))),"Performer",not(iserror(vlookup($F639,'Reference info'!$J$10:$J$36,1,0))),"Producer &amp; Engineer")</f>
        <v/>
      </c>
    </row>
    <row r="640">
      <c r="A640" s="28"/>
      <c r="B640" s="103"/>
      <c r="C640" s="121" t="str">
        <f t="array" ref="C640">ifs(and(isblank($A640),isblank($B640)),"", not(iserror(vlookup($A640&amp;$B640,'3) Release_Label'!$D:$D&amp;'3) Release_Label'!$E:$E,1,0))),vlookup($A640&amp;$B640,{'3) Release_Label'!$D:$D&amp;'3) Release_Label'!$E:$E,'3) Release_Label'!$F:$F},2,0), or(and(not(isblank($B640)),$B640=$B639,$A640&lt;&gt;$A639),and(not(isblank($A640)),$A640=$A639,$B640&lt;&gt;$B639)),"ID LISTS UNALIGNED",and($A640&lt;&gt;"",countif('3) Release_Label'!$D:$D,$A640)=0),"NO UPC MATCH in Release_Label",and($B640&lt;&gt;"",countif('3) Release_Label'!$E:$E,$B640)=0),"NO CATALOG ID MATCH in Release_Label",iserror(vlookup($A640&amp;$B640,'3) Release_Label'!$D:$D&amp;'3) Release_Label'!$E:$E,1,0)),"NO UPC-CATALOG ID pair MATCH in Release_Label" )</f>
        <v/>
      </c>
      <c r="D640" s="121" t="str">
        <f t="array" ref="D640">ifs(and(isblank($A640),isblank($B640)),"", not(iserror(vlookup($A640&amp;$B640,'3) Release_Label'!$D:$D&amp;'3) Release_Label'!$E:$E,1,0))),vlookup($A640&amp;$B640,{'3) Release_Label'!$D:$D&amp;'3) Release_Label'!$E:$E,'3) Release_Label'!$H:$H},2,0), or(and(not(isblank($B640)),$B640=$B639,$A640&lt;&gt;$A639),and(not(isblank($A640)),$A640=$A639,$B640&lt;&gt;$B639)),"ID LISTS UNALIGNED",and($A640&lt;&gt;"",countif('3) Release_Label'!$D:$D,$A640)=0),"NO UPC MATCH in Release_Label",and($B640&lt;&gt;"",countif('3) Release_Label'!$E:$E,$B640)=0),"NO CATALOG ID MATCH in Release_Label",iserror(vlookup($A640&amp;$B640,'3) Release_Label'!$D:$D&amp;'3) Release_Label'!$E:$E,1,0)),"NO UPC-CATALOG ID pair MATCH in Release_Label" )</f>
        <v/>
      </c>
      <c r="E640" s="99"/>
      <c r="F640" s="99"/>
      <c r="G640" s="123" t="str">
        <f t="array" ref="G640">ifs(or($F640="",$F640="Main Primary Artist"),$F640,not(iserror(vlookup($F640,'Reference info'!$J$5:$J$8,1,0))),"Key Artist",not(iserror(vlookup($F640,'Reference info'!$J$38:$J$405,1,0))),"Performer",not(iserror(vlookup($F640,'Reference info'!$J$10:$J$36,1,0))),"Producer &amp; Engineer")</f>
        <v/>
      </c>
    </row>
    <row r="641">
      <c r="A641" s="28"/>
      <c r="B641" s="103"/>
      <c r="C641" s="121" t="str">
        <f t="array" ref="C641">ifs(and(isblank($A641),isblank($B641)),"", not(iserror(vlookup($A641&amp;$B641,'3) Release_Label'!$D:$D&amp;'3) Release_Label'!$E:$E,1,0))),vlookup($A641&amp;$B641,{'3) Release_Label'!$D:$D&amp;'3) Release_Label'!$E:$E,'3) Release_Label'!$F:$F},2,0), or(and(not(isblank($B641)),$B641=$B640,$A641&lt;&gt;$A640),and(not(isblank($A641)),$A641=$A640,$B641&lt;&gt;$B640)),"ID LISTS UNALIGNED",and($A641&lt;&gt;"",countif('3) Release_Label'!$D:$D,$A641)=0),"NO UPC MATCH in Release_Label",and($B641&lt;&gt;"",countif('3) Release_Label'!$E:$E,$B641)=0),"NO CATALOG ID MATCH in Release_Label",iserror(vlookup($A641&amp;$B641,'3) Release_Label'!$D:$D&amp;'3) Release_Label'!$E:$E,1,0)),"NO UPC-CATALOG ID pair MATCH in Release_Label" )</f>
        <v/>
      </c>
      <c r="D641" s="121" t="str">
        <f t="array" ref="D641">ifs(and(isblank($A641),isblank($B641)),"", not(iserror(vlookup($A641&amp;$B641,'3) Release_Label'!$D:$D&amp;'3) Release_Label'!$E:$E,1,0))),vlookup($A641&amp;$B641,{'3) Release_Label'!$D:$D&amp;'3) Release_Label'!$E:$E,'3) Release_Label'!$H:$H},2,0), or(and(not(isblank($B641)),$B641=$B640,$A641&lt;&gt;$A640),and(not(isblank($A641)),$A641=$A640,$B641&lt;&gt;$B640)),"ID LISTS UNALIGNED",and($A641&lt;&gt;"",countif('3) Release_Label'!$D:$D,$A641)=0),"NO UPC MATCH in Release_Label",and($B641&lt;&gt;"",countif('3) Release_Label'!$E:$E,$B641)=0),"NO CATALOG ID MATCH in Release_Label",iserror(vlookup($A641&amp;$B641,'3) Release_Label'!$D:$D&amp;'3) Release_Label'!$E:$E,1,0)),"NO UPC-CATALOG ID pair MATCH in Release_Label" )</f>
        <v/>
      </c>
      <c r="E641" s="99"/>
      <c r="F641" s="99"/>
      <c r="G641" s="123" t="str">
        <f t="array" ref="G641">ifs(or($F641="",$F641="Main Primary Artist"),$F641,not(iserror(vlookup($F641,'Reference info'!$J$5:$J$8,1,0))),"Key Artist",not(iserror(vlookup($F641,'Reference info'!$J$38:$J$405,1,0))),"Performer",not(iserror(vlookup($F641,'Reference info'!$J$10:$J$36,1,0))),"Producer &amp; Engineer")</f>
        <v/>
      </c>
    </row>
    <row r="642">
      <c r="A642" s="28"/>
      <c r="B642" s="103"/>
      <c r="C642" s="121" t="str">
        <f t="array" ref="C642">ifs(and(isblank($A642),isblank($B642)),"", not(iserror(vlookup($A642&amp;$B642,'3) Release_Label'!$D:$D&amp;'3) Release_Label'!$E:$E,1,0))),vlookup($A642&amp;$B642,{'3) Release_Label'!$D:$D&amp;'3) Release_Label'!$E:$E,'3) Release_Label'!$F:$F},2,0), or(and(not(isblank($B642)),$B642=$B641,$A642&lt;&gt;$A641),and(not(isblank($A642)),$A642=$A641,$B642&lt;&gt;$B641)),"ID LISTS UNALIGNED",and($A642&lt;&gt;"",countif('3) Release_Label'!$D:$D,$A642)=0),"NO UPC MATCH in Release_Label",and($B642&lt;&gt;"",countif('3) Release_Label'!$E:$E,$B642)=0),"NO CATALOG ID MATCH in Release_Label",iserror(vlookup($A642&amp;$B642,'3) Release_Label'!$D:$D&amp;'3) Release_Label'!$E:$E,1,0)),"NO UPC-CATALOG ID pair MATCH in Release_Label" )</f>
        <v/>
      </c>
      <c r="D642" s="121" t="str">
        <f t="array" ref="D642">ifs(and(isblank($A642),isblank($B642)),"", not(iserror(vlookup($A642&amp;$B642,'3) Release_Label'!$D:$D&amp;'3) Release_Label'!$E:$E,1,0))),vlookup($A642&amp;$B642,{'3) Release_Label'!$D:$D&amp;'3) Release_Label'!$E:$E,'3) Release_Label'!$H:$H},2,0), or(and(not(isblank($B642)),$B642=$B641,$A642&lt;&gt;$A641),and(not(isblank($A642)),$A642=$A641,$B642&lt;&gt;$B641)),"ID LISTS UNALIGNED",and($A642&lt;&gt;"",countif('3) Release_Label'!$D:$D,$A642)=0),"NO UPC MATCH in Release_Label",and($B642&lt;&gt;"",countif('3) Release_Label'!$E:$E,$B642)=0),"NO CATALOG ID MATCH in Release_Label",iserror(vlookup($A642&amp;$B642,'3) Release_Label'!$D:$D&amp;'3) Release_Label'!$E:$E,1,0)),"NO UPC-CATALOG ID pair MATCH in Release_Label" )</f>
        <v/>
      </c>
      <c r="E642" s="99"/>
      <c r="F642" s="99"/>
      <c r="G642" s="123" t="str">
        <f t="array" ref="G642">ifs(or($F642="",$F642="Main Primary Artist"),$F642,not(iserror(vlookup($F642,'Reference info'!$J$5:$J$8,1,0))),"Key Artist",not(iserror(vlookup($F642,'Reference info'!$J$38:$J$405,1,0))),"Performer",not(iserror(vlookup($F642,'Reference info'!$J$10:$J$36,1,0))),"Producer &amp; Engineer")</f>
        <v/>
      </c>
    </row>
    <row r="643">
      <c r="A643" s="28"/>
      <c r="B643" s="103"/>
      <c r="C643" s="121" t="str">
        <f t="array" ref="C643">ifs(and(isblank($A643),isblank($B643)),"", not(iserror(vlookup($A643&amp;$B643,'3) Release_Label'!$D:$D&amp;'3) Release_Label'!$E:$E,1,0))),vlookup($A643&amp;$B643,{'3) Release_Label'!$D:$D&amp;'3) Release_Label'!$E:$E,'3) Release_Label'!$F:$F},2,0), or(and(not(isblank($B643)),$B643=$B642,$A643&lt;&gt;$A642),and(not(isblank($A643)),$A643=$A642,$B643&lt;&gt;$B642)),"ID LISTS UNALIGNED",and($A643&lt;&gt;"",countif('3) Release_Label'!$D:$D,$A643)=0),"NO UPC MATCH in Release_Label",and($B643&lt;&gt;"",countif('3) Release_Label'!$E:$E,$B643)=0),"NO CATALOG ID MATCH in Release_Label",iserror(vlookup($A643&amp;$B643,'3) Release_Label'!$D:$D&amp;'3) Release_Label'!$E:$E,1,0)),"NO UPC-CATALOG ID pair MATCH in Release_Label" )</f>
        <v/>
      </c>
      <c r="D643" s="121" t="str">
        <f t="array" ref="D643">ifs(and(isblank($A643),isblank($B643)),"", not(iserror(vlookup($A643&amp;$B643,'3) Release_Label'!$D:$D&amp;'3) Release_Label'!$E:$E,1,0))),vlookup($A643&amp;$B643,{'3) Release_Label'!$D:$D&amp;'3) Release_Label'!$E:$E,'3) Release_Label'!$H:$H},2,0), or(and(not(isblank($B643)),$B643=$B642,$A643&lt;&gt;$A642),and(not(isblank($A643)),$A643=$A642,$B643&lt;&gt;$B642)),"ID LISTS UNALIGNED",and($A643&lt;&gt;"",countif('3) Release_Label'!$D:$D,$A643)=0),"NO UPC MATCH in Release_Label",and($B643&lt;&gt;"",countif('3) Release_Label'!$E:$E,$B643)=0),"NO CATALOG ID MATCH in Release_Label",iserror(vlookup($A643&amp;$B643,'3) Release_Label'!$D:$D&amp;'3) Release_Label'!$E:$E,1,0)),"NO UPC-CATALOG ID pair MATCH in Release_Label" )</f>
        <v/>
      </c>
      <c r="E643" s="99"/>
      <c r="F643" s="99"/>
      <c r="G643" s="123" t="str">
        <f t="array" ref="G643">ifs(or($F643="",$F643="Main Primary Artist"),$F643,not(iserror(vlookup($F643,'Reference info'!$J$5:$J$8,1,0))),"Key Artist",not(iserror(vlookup($F643,'Reference info'!$J$38:$J$405,1,0))),"Performer",not(iserror(vlookup($F643,'Reference info'!$J$10:$J$36,1,0))),"Producer &amp; Engineer")</f>
        <v/>
      </c>
    </row>
    <row r="644">
      <c r="A644" s="28"/>
      <c r="B644" s="103"/>
      <c r="C644" s="121" t="str">
        <f t="array" ref="C644">ifs(and(isblank($A644),isblank($B644)),"", not(iserror(vlookup($A644&amp;$B644,'3) Release_Label'!$D:$D&amp;'3) Release_Label'!$E:$E,1,0))),vlookup($A644&amp;$B644,{'3) Release_Label'!$D:$D&amp;'3) Release_Label'!$E:$E,'3) Release_Label'!$F:$F},2,0), or(and(not(isblank($B644)),$B644=$B643,$A644&lt;&gt;$A643),and(not(isblank($A644)),$A644=$A643,$B644&lt;&gt;$B643)),"ID LISTS UNALIGNED",and($A644&lt;&gt;"",countif('3) Release_Label'!$D:$D,$A644)=0),"NO UPC MATCH in Release_Label",and($B644&lt;&gt;"",countif('3) Release_Label'!$E:$E,$B644)=0),"NO CATALOG ID MATCH in Release_Label",iserror(vlookup($A644&amp;$B644,'3) Release_Label'!$D:$D&amp;'3) Release_Label'!$E:$E,1,0)),"NO UPC-CATALOG ID pair MATCH in Release_Label" )</f>
        <v/>
      </c>
      <c r="D644" s="121" t="str">
        <f t="array" ref="D644">ifs(and(isblank($A644),isblank($B644)),"", not(iserror(vlookup($A644&amp;$B644,'3) Release_Label'!$D:$D&amp;'3) Release_Label'!$E:$E,1,0))),vlookup($A644&amp;$B644,{'3) Release_Label'!$D:$D&amp;'3) Release_Label'!$E:$E,'3) Release_Label'!$H:$H},2,0), or(and(not(isblank($B644)),$B644=$B643,$A644&lt;&gt;$A643),and(not(isblank($A644)),$A644=$A643,$B644&lt;&gt;$B643)),"ID LISTS UNALIGNED",and($A644&lt;&gt;"",countif('3) Release_Label'!$D:$D,$A644)=0),"NO UPC MATCH in Release_Label",and($B644&lt;&gt;"",countif('3) Release_Label'!$E:$E,$B644)=0),"NO CATALOG ID MATCH in Release_Label",iserror(vlookup($A644&amp;$B644,'3) Release_Label'!$D:$D&amp;'3) Release_Label'!$E:$E,1,0)),"NO UPC-CATALOG ID pair MATCH in Release_Label" )</f>
        <v/>
      </c>
      <c r="E644" s="99"/>
      <c r="F644" s="99"/>
      <c r="G644" s="123" t="str">
        <f t="array" ref="G644">ifs(or($F644="",$F644="Main Primary Artist"),$F644,not(iserror(vlookup($F644,'Reference info'!$J$5:$J$8,1,0))),"Key Artist",not(iserror(vlookup($F644,'Reference info'!$J$38:$J$405,1,0))),"Performer",not(iserror(vlookup($F644,'Reference info'!$J$10:$J$36,1,0))),"Producer &amp; Engineer")</f>
        <v/>
      </c>
    </row>
    <row r="645">
      <c r="A645" s="28"/>
      <c r="B645" s="103"/>
      <c r="C645" s="121" t="str">
        <f t="array" ref="C645">ifs(and(isblank($A645),isblank($B645)),"", not(iserror(vlookup($A645&amp;$B645,'3) Release_Label'!$D:$D&amp;'3) Release_Label'!$E:$E,1,0))),vlookup($A645&amp;$B645,{'3) Release_Label'!$D:$D&amp;'3) Release_Label'!$E:$E,'3) Release_Label'!$F:$F},2,0), or(and(not(isblank($B645)),$B645=$B644,$A645&lt;&gt;$A644),and(not(isblank($A645)),$A645=$A644,$B645&lt;&gt;$B644)),"ID LISTS UNALIGNED",and($A645&lt;&gt;"",countif('3) Release_Label'!$D:$D,$A645)=0),"NO UPC MATCH in Release_Label",and($B645&lt;&gt;"",countif('3) Release_Label'!$E:$E,$B645)=0),"NO CATALOG ID MATCH in Release_Label",iserror(vlookup($A645&amp;$B645,'3) Release_Label'!$D:$D&amp;'3) Release_Label'!$E:$E,1,0)),"NO UPC-CATALOG ID pair MATCH in Release_Label" )</f>
        <v/>
      </c>
      <c r="D645" s="121" t="str">
        <f t="array" ref="D645">ifs(and(isblank($A645),isblank($B645)),"", not(iserror(vlookup($A645&amp;$B645,'3) Release_Label'!$D:$D&amp;'3) Release_Label'!$E:$E,1,0))),vlookup($A645&amp;$B645,{'3) Release_Label'!$D:$D&amp;'3) Release_Label'!$E:$E,'3) Release_Label'!$H:$H},2,0), or(and(not(isblank($B645)),$B645=$B644,$A645&lt;&gt;$A644),and(not(isblank($A645)),$A645=$A644,$B645&lt;&gt;$B644)),"ID LISTS UNALIGNED",and($A645&lt;&gt;"",countif('3) Release_Label'!$D:$D,$A645)=0),"NO UPC MATCH in Release_Label",and($B645&lt;&gt;"",countif('3) Release_Label'!$E:$E,$B645)=0),"NO CATALOG ID MATCH in Release_Label",iserror(vlookup($A645&amp;$B645,'3) Release_Label'!$D:$D&amp;'3) Release_Label'!$E:$E,1,0)),"NO UPC-CATALOG ID pair MATCH in Release_Label" )</f>
        <v/>
      </c>
      <c r="E645" s="99"/>
      <c r="F645" s="99"/>
      <c r="G645" s="123" t="str">
        <f t="array" ref="G645">ifs(or($F645="",$F645="Main Primary Artist"),$F645,not(iserror(vlookup($F645,'Reference info'!$J$5:$J$8,1,0))),"Key Artist",not(iserror(vlookup($F645,'Reference info'!$J$38:$J$405,1,0))),"Performer",not(iserror(vlookup($F645,'Reference info'!$J$10:$J$36,1,0))),"Producer &amp; Engineer")</f>
        <v/>
      </c>
    </row>
    <row r="646">
      <c r="A646" s="28"/>
      <c r="B646" s="103"/>
      <c r="C646" s="121" t="str">
        <f t="array" ref="C646">ifs(and(isblank($A646),isblank($B646)),"", not(iserror(vlookup($A646&amp;$B646,'3) Release_Label'!$D:$D&amp;'3) Release_Label'!$E:$E,1,0))),vlookup($A646&amp;$B646,{'3) Release_Label'!$D:$D&amp;'3) Release_Label'!$E:$E,'3) Release_Label'!$F:$F},2,0), or(and(not(isblank($B646)),$B646=$B645,$A646&lt;&gt;$A645),and(not(isblank($A646)),$A646=$A645,$B646&lt;&gt;$B645)),"ID LISTS UNALIGNED",and($A646&lt;&gt;"",countif('3) Release_Label'!$D:$D,$A646)=0),"NO UPC MATCH in Release_Label",and($B646&lt;&gt;"",countif('3) Release_Label'!$E:$E,$B646)=0),"NO CATALOG ID MATCH in Release_Label",iserror(vlookup($A646&amp;$B646,'3) Release_Label'!$D:$D&amp;'3) Release_Label'!$E:$E,1,0)),"NO UPC-CATALOG ID pair MATCH in Release_Label" )</f>
        <v/>
      </c>
      <c r="D646" s="121" t="str">
        <f t="array" ref="D646">ifs(and(isblank($A646),isblank($B646)),"", not(iserror(vlookup($A646&amp;$B646,'3) Release_Label'!$D:$D&amp;'3) Release_Label'!$E:$E,1,0))),vlookup($A646&amp;$B646,{'3) Release_Label'!$D:$D&amp;'3) Release_Label'!$E:$E,'3) Release_Label'!$H:$H},2,0), or(and(not(isblank($B646)),$B646=$B645,$A646&lt;&gt;$A645),and(not(isblank($A646)),$A646=$A645,$B646&lt;&gt;$B645)),"ID LISTS UNALIGNED",and($A646&lt;&gt;"",countif('3) Release_Label'!$D:$D,$A646)=0),"NO UPC MATCH in Release_Label",and($B646&lt;&gt;"",countif('3) Release_Label'!$E:$E,$B646)=0),"NO CATALOG ID MATCH in Release_Label",iserror(vlookup($A646&amp;$B646,'3) Release_Label'!$D:$D&amp;'3) Release_Label'!$E:$E,1,0)),"NO UPC-CATALOG ID pair MATCH in Release_Label" )</f>
        <v/>
      </c>
      <c r="E646" s="99"/>
      <c r="F646" s="99"/>
      <c r="G646" s="123" t="str">
        <f t="array" ref="G646">ifs(or($F646="",$F646="Main Primary Artist"),$F646,not(iserror(vlookup($F646,'Reference info'!$J$5:$J$8,1,0))),"Key Artist",not(iserror(vlookup($F646,'Reference info'!$J$38:$J$405,1,0))),"Performer",not(iserror(vlookup($F646,'Reference info'!$J$10:$J$36,1,0))),"Producer &amp; Engineer")</f>
        <v/>
      </c>
    </row>
    <row r="647">
      <c r="A647" s="28"/>
      <c r="B647" s="103"/>
      <c r="C647" s="121" t="str">
        <f t="array" ref="C647">ifs(and(isblank($A647),isblank($B647)),"", not(iserror(vlookup($A647&amp;$B647,'3) Release_Label'!$D:$D&amp;'3) Release_Label'!$E:$E,1,0))),vlookup($A647&amp;$B647,{'3) Release_Label'!$D:$D&amp;'3) Release_Label'!$E:$E,'3) Release_Label'!$F:$F},2,0), or(and(not(isblank($B647)),$B647=$B646,$A647&lt;&gt;$A646),and(not(isblank($A647)),$A647=$A646,$B647&lt;&gt;$B646)),"ID LISTS UNALIGNED",and($A647&lt;&gt;"",countif('3) Release_Label'!$D:$D,$A647)=0),"NO UPC MATCH in Release_Label",and($B647&lt;&gt;"",countif('3) Release_Label'!$E:$E,$B647)=0),"NO CATALOG ID MATCH in Release_Label",iserror(vlookup($A647&amp;$B647,'3) Release_Label'!$D:$D&amp;'3) Release_Label'!$E:$E,1,0)),"NO UPC-CATALOG ID pair MATCH in Release_Label" )</f>
        <v/>
      </c>
      <c r="D647" s="121" t="str">
        <f t="array" ref="D647">ifs(and(isblank($A647),isblank($B647)),"", not(iserror(vlookup($A647&amp;$B647,'3) Release_Label'!$D:$D&amp;'3) Release_Label'!$E:$E,1,0))),vlookup($A647&amp;$B647,{'3) Release_Label'!$D:$D&amp;'3) Release_Label'!$E:$E,'3) Release_Label'!$H:$H},2,0), or(and(not(isblank($B647)),$B647=$B646,$A647&lt;&gt;$A646),and(not(isblank($A647)),$A647=$A646,$B647&lt;&gt;$B646)),"ID LISTS UNALIGNED",and($A647&lt;&gt;"",countif('3) Release_Label'!$D:$D,$A647)=0),"NO UPC MATCH in Release_Label",and($B647&lt;&gt;"",countif('3) Release_Label'!$E:$E,$B647)=0),"NO CATALOG ID MATCH in Release_Label",iserror(vlookup($A647&amp;$B647,'3) Release_Label'!$D:$D&amp;'3) Release_Label'!$E:$E,1,0)),"NO UPC-CATALOG ID pair MATCH in Release_Label" )</f>
        <v/>
      </c>
      <c r="E647" s="99"/>
      <c r="F647" s="99"/>
      <c r="G647" s="123" t="str">
        <f t="array" ref="G647">ifs(or($F647="",$F647="Main Primary Artist"),$F647,not(iserror(vlookup($F647,'Reference info'!$J$5:$J$8,1,0))),"Key Artist",not(iserror(vlookup($F647,'Reference info'!$J$38:$J$405,1,0))),"Performer",not(iserror(vlookup($F647,'Reference info'!$J$10:$J$36,1,0))),"Producer &amp; Engineer")</f>
        <v/>
      </c>
    </row>
    <row r="648">
      <c r="A648" s="28"/>
      <c r="B648" s="103"/>
      <c r="C648" s="121" t="str">
        <f t="array" ref="C648">ifs(and(isblank($A648),isblank($B648)),"", not(iserror(vlookup($A648&amp;$B648,'3) Release_Label'!$D:$D&amp;'3) Release_Label'!$E:$E,1,0))),vlookup($A648&amp;$B648,{'3) Release_Label'!$D:$D&amp;'3) Release_Label'!$E:$E,'3) Release_Label'!$F:$F},2,0), or(and(not(isblank($B648)),$B648=$B647,$A648&lt;&gt;$A647),and(not(isblank($A648)),$A648=$A647,$B648&lt;&gt;$B647)),"ID LISTS UNALIGNED",and($A648&lt;&gt;"",countif('3) Release_Label'!$D:$D,$A648)=0),"NO UPC MATCH in Release_Label",and($B648&lt;&gt;"",countif('3) Release_Label'!$E:$E,$B648)=0),"NO CATALOG ID MATCH in Release_Label",iserror(vlookup($A648&amp;$B648,'3) Release_Label'!$D:$D&amp;'3) Release_Label'!$E:$E,1,0)),"NO UPC-CATALOG ID pair MATCH in Release_Label" )</f>
        <v/>
      </c>
      <c r="D648" s="121" t="str">
        <f t="array" ref="D648">ifs(and(isblank($A648),isblank($B648)),"", not(iserror(vlookup($A648&amp;$B648,'3) Release_Label'!$D:$D&amp;'3) Release_Label'!$E:$E,1,0))),vlookup($A648&amp;$B648,{'3) Release_Label'!$D:$D&amp;'3) Release_Label'!$E:$E,'3) Release_Label'!$H:$H},2,0), or(and(not(isblank($B648)),$B648=$B647,$A648&lt;&gt;$A647),and(not(isblank($A648)),$A648=$A647,$B648&lt;&gt;$B647)),"ID LISTS UNALIGNED",and($A648&lt;&gt;"",countif('3) Release_Label'!$D:$D,$A648)=0),"NO UPC MATCH in Release_Label",and($B648&lt;&gt;"",countif('3) Release_Label'!$E:$E,$B648)=0),"NO CATALOG ID MATCH in Release_Label",iserror(vlookup($A648&amp;$B648,'3) Release_Label'!$D:$D&amp;'3) Release_Label'!$E:$E,1,0)),"NO UPC-CATALOG ID pair MATCH in Release_Label" )</f>
        <v/>
      </c>
      <c r="E648" s="99"/>
      <c r="F648" s="99"/>
      <c r="G648" s="123" t="str">
        <f t="array" ref="G648">ifs(or($F648="",$F648="Main Primary Artist"),$F648,not(iserror(vlookup($F648,'Reference info'!$J$5:$J$8,1,0))),"Key Artist",not(iserror(vlookup($F648,'Reference info'!$J$38:$J$405,1,0))),"Performer",not(iserror(vlookup($F648,'Reference info'!$J$10:$J$36,1,0))),"Producer &amp; Engineer")</f>
        <v/>
      </c>
    </row>
    <row r="649">
      <c r="A649" s="28"/>
      <c r="B649" s="103"/>
      <c r="C649" s="121" t="str">
        <f t="array" ref="C649">ifs(and(isblank($A649),isblank($B649)),"", not(iserror(vlookup($A649&amp;$B649,'3) Release_Label'!$D:$D&amp;'3) Release_Label'!$E:$E,1,0))),vlookup($A649&amp;$B649,{'3) Release_Label'!$D:$D&amp;'3) Release_Label'!$E:$E,'3) Release_Label'!$F:$F},2,0), or(and(not(isblank($B649)),$B649=$B648,$A649&lt;&gt;$A648),and(not(isblank($A649)),$A649=$A648,$B649&lt;&gt;$B648)),"ID LISTS UNALIGNED",and($A649&lt;&gt;"",countif('3) Release_Label'!$D:$D,$A649)=0),"NO UPC MATCH in Release_Label",and($B649&lt;&gt;"",countif('3) Release_Label'!$E:$E,$B649)=0),"NO CATALOG ID MATCH in Release_Label",iserror(vlookup($A649&amp;$B649,'3) Release_Label'!$D:$D&amp;'3) Release_Label'!$E:$E,1,0)),"NO UPC-CATALOG ID pair MATCH in Release_Label" )</f>
        <v/>
      </c>
      <c r="D649" s="121" t="str">
        <f t="array" ref="D649">ifs(and(isblank($A649),isblank($B649)),"", not(iserror(vlookup($A649&amp;$B649,'3) Release_Label'!$D:$D&amp;'3) Release_Label'!$E:$E,1,0))),vlookup($A649&amp;$B649,{'3) Release_Label'!$D:$D&amp;'3) Release_Label'!$E:$E,'3) Release_Label'!$H:$H},2,0), or(and(not(isblank($B649)),$B649=$B648,$A649&lt;&gt;$A648),and(not(isblank($A649)),$A649=$A648,$B649&lt;&gt;$B648)),"ID LISTS UNALIGNED",and($A649&lt;&gt;"",countif('3) Release_Label'!$D:$D,$A649)=0),"NO UPC MATCH in Release_Label",and($B649&lt;&gt;"",countif('3) Release_Label'!$E:$E,$B649)=0),"NO CATALOG ID MATCH in Release_Label",iserror(vlookup($A649&amp;$B649,'3) Release_Label'!$D:$D&amp;'3) Release_Label'!$E:$E,1,0)),"NO UPC-CATALOG ID pair MATCH in Release_Label" )</f>
        <v/>
      </c>
      <c r="E649" s="99"/>
      <c r="F649" s="99"/>
      <c r="G649" s="123" t="str">
        <f t="array" ref="G649">ifs(or($F649="",$F649="Main Primary Artist"),$F649,not(iserror(vlookup($F649,'Reference info'!$J$5:$J$8,1,0))),"Key Artist",not(iserror(vlookup($F649,'Reference info'!$J$38:$J$405,1,0))),"Performer",not(iserror(vlookup($F649,'Reference info'!$J$10:$J$36,1,0))),"Producer &amp; Engineer")</f>
        <v/>
      </c>
    </row>
    <row r="650">
      <c r="A650" s="28"/>
      <c r="B650" s="103"/>
      <c r="C650" s="121" t="str">
        <f t="array" ref="C650">ifs(and(isblank($A650),isblank($B650)),"", not(iserror(vlookup($A650&amp;$B650,'3) Release_Label'!$D:$D&amp;'3) Release_Label'!$E:$E,1,0))),vlookup($A650&amp;$B650,{'3) Release_Label'!$D:$D&amp;'3) Release_Label'!$E:$E,'3) Release_Label'!$F:$F},2,0), or(and(not(isblank($B650)),$B650=$B649,$A650&lt;&gt;$A649),and(not(isblank($A650)),$A650=$A649,$B650&lt;&gt;$B649)),"ID LISTS UNALIGNED",and($A650&lt;&gt;"",countif('3) Release_Label'!$D:$D,$A650)=0),"NO UPC MATCH in Release_Label",and($B650&lt;&gt;"",countif('3) Release_Label'!$E:$E,$B650)=0),"NO CATALOG ID MATCH in Release_Label",iserror(vlookup($A650&amp;$B650,'3) Release_Label'!$D:$D&amp;'3) Release_Label'!$E:$E,1,0)),"NO UPC-CATALOG ID pair MATCH in Release_Label" )</f>
        <v/>
      </c>
      <c r="D650" s="121" t="str">
        <f t="array" ref="D650">ifs(and(isblank($A650),isblank($B650)),"", not(iserror(vlookup($A650&amp;$B650,'3) Release_Label'!$D:$D&amp;'3) Release_Label'!$E:$E,1,0))),vlookup($A650&amp;$B650,{'3) Release_Label'!$D:$D&amp;'3) Release_Label'!$E:$E,'3) Release_Label'!$H:$H},2,0), or(and(not(isblank($B650)),$B650=$B649,$A650&lt;&gt;$A649),and(not(isblank($A650)),$A650=$A649,$B650&lt;&gt;$B649)),"ID LISTS UNALIGNED",and($A650&lt;&gt;"",countif('3) Release_Label'!$D:$D,$A650)=0),"NO UPC MATCH in Release_Label",and($B650&lt;&gt;"",countif('3) Release_Label'!$E:$E,$B650)=0),"NO CATALOG ID MATCH in Release_Label",iserror(vlookup($A650&amp;$B650,'3) Release_Label'!$D:$D&amp;'3) Release_Label'!$E:$E,1,0)),"NO UPC-CATALOG ID pair MATCH in Release_Label" )</f>
        <v/>
      </c>
      <c r="E650" s="99"/>
      <c r="F650" s="99"/>
      <c r="G650" s="123" t="str">
        <f t="array" ref="G650">ifs(or($F650="",$F650="Main Primary Artist"),$F650,not(iserror(vlookup($F650,'Reference info'!$J$5:$J$8,1,0))),"Key Artist",not(iserror(vlookup($F650,'Reference info'!$J$38:$J$405,1,0))),"Performer",not(iserror(vlookup($F650,'Reference info'!$J$10:$J$36,1,0))),"Producer &amp; Engineer")</f>
        <v/>
      </c>
    </row>
    <row r="651">
      <c r="A651" s="28"/>
      <c r="B651" s="103"/>
      <c r="C651" s="121" t="str">
        <f t="array" ref="C651">ifs(and(isblank($A651),isblank($B651)),"", not(iserror(vlookup($A651&amp;$B651,'3) Release_Label'!$D:$D&amp;'3) Release_Label'!$E:$E,1,0))),vlookup($A651&amp;$B651,{'3) Release_Label'!$D:$D&amp;'3) Release_Label'!$E:$E,'3) Release_Label'!$F:$F},2,0), or(and(not(isblank($B651)),$B651=$B650,$A651&lt;&gt;$A650),and(not(isblank($A651)),$A651=$A650,$B651&lt;&gt;$B650)),"ID LISTS UNALIGNED",and($A651&lt;&gt;"",countif('3) Release_Label'!$D:$D,$A651)=0),"NO UPC MATCH in Release_Label",and($B651&lt;&gt;"",countif('3) Release_Label'!$E:$E,$B651)=0),"NO CATALOG ID MATCH in Release_Label",iserror(vlookup($A651&amp;$B651,'3) Release_Label'!$D:$D&amp;'3) Release_Label'!$E:$E,1,0)),"NO UPC-CATALOG ID pair MATCH in Release_Label" )</f>
        <v/>
      </c>
      <c r="D651" s="121" t="str">
        <f t="array" ref="D651">ifs(and(isblank($A651),isblank($B651)),"", not(iserror(vlookup($A651&amp;$B651,'3) Release_Label'!$D:$D&amp;'3) Release_Label'!$E:$E,1,0))),vlookup($A651&amp;$B651,{'3) Release_Label'!$D:$D&amp;'3) Release_Label'!$E:$E,'3) Release_Label'!$H:$H},2,0), or(and(not(isblank($B651)),$B651=$B650,$A651&lt;&gt;$A650),and(not(isblank($A651)),$A651=$A650,$B651&lt;&gt;$B650)),"ID LISTS UNALIGNED",and($A651&lt;&gt;"",countif('3) Release_Label'!$D:$D,$A651)=0),"NO UPC MATCH in Release_Label",and($B651&lt;&gt;"",countif('3) Release_Label'!$E:$E,$B651)=0),"NO CATALOG ID MATCH in Release_Label",iserror(vlookup($A651&amp;$B651,'3) Release_Label'!$D:$D&amp;'3) Release_Label'!$E:$E,1,0)),"NO UPC-CATALOG ID pair MATCH in Release_Label" )</f>
        <v/>
      </c>
      <c r="E651" s="99"/>
      <c r="F651" s="99"/>
      <c r="G651" s="123" t="str">
        <f t="array" ref="G651">ifs(or($F651="",$F651="Main Primary Artist"),$F651,not(iserror(vlookup($F651,'Reference info'!$J$5:$J$8,1,0))),"Key Artist",not(iserror(vlookup($F651,'Reference info'!$J$38:$J$405,1,0))),"Performer",not(iserror(vlookup($F651,'Reference info'!$J$10:$J$36,1,0))),"Producer &amp; Engineer")</f>
        <v/>
      </c>
    </row>
    <row r="652">
      <c r="A652" s="28"/>
      <c r="B652" s="103"/>
      <c r="C652" s="121" t="str">
        <f t="array" ref="C652">ifs(and(isblank($A652),isblank($B652)),"", not(iserror(vlookup($A652&amp;$B652,'3) Release_Label'!$D:$D&amp;'3) Release_Label'!$E:$E,1,0))),vlookup($A652&amp;$B652,{'3) Release_Label'!$D:$D&amp;'3) Release_Label'!$E:$E,'3) Release_Label'!$F:$F},2,0), or(and(not(isblank($B652)),$B652=$B651,$A652&lt;&gt;$A651),and(not(isblank($A652)),$A652=$A651,$B652&lt;&gt;$B651)),"ID LISTS UNALIGNED",and($A652&lt;&gt;"",countif('3) Release_Label'!$D:$D,$A652)=0),"NO UPC MATCH in Release_Label",and($B652&lt;&gt;"",countif('3) Release_Label'!$E:$E,$B652)=0),"NO CATALOG ID MATCH in Release_Label",iserror(vlookup($A652&amp;$B652,'3) Release_Label'!$D:$D&amp;'3) Release_Label'!$E:$E,1,0)),"NO UPC-CATALOG ID pair MATCH in Release_Label" )</f>
        <v/>
      </c>
      <c r="D652" s="121" t="str">
        <f t="array" ref="D652">ifs(and(isblank($A652),isblank($B652)),"", not(iserror(vlookup($A652&amp;$B652,'3) Release_Label'!$D:$D&amp;'3) Release_Label'!$E:$E,1,0))),vlookup($A652&amp;$B652,{'3) Release_Label'!$D:$D&amp;'3) Release_Label'!$E:$E,'3) Release_Label'!$H:$H},2,0), or(and(not(isblank($B652)),$B652=$B651,$A652&lt;&gt;$A651),and(not(isblank($A652)),$A652=$A651,$B652&lt;&gt;$B651)),"ID LISTS UNALIGNED",and($A652&lt;&gt;"",countif('3) Release_Label'!$D:$D,$A652)=0),"NO UPC MATCH in Release_Label",and($B652&lt;&gt;"",countif('3) Release_Label'!$E:$E,$B652)=0),"NO CATALOG ID MATCH in Release_Label",iserror(vlookup($A652&amp;$B652,'3) Release_Label'!$D:$D&amp;'3) Release_Label'!$E:$E,1,0)),"NO UPC-CATALOG ID pair MATCH in Release_Label" )</f>
        <v/>
      </c>
      <c r="E652" s="99"/>
      <c r="F652" s="99"/>
      <c r="G652" s="123" t="str">
        <f t="array" ref="G652">ifs(or($F652="",$F652="Main Primary Artist"),$F652,not(iserror(vlookup($F652,'Reference info'!$J$5:$J$8,1,0))),"Key Artist",not(iserror(vlookup($F652,'Reference info'!$J$38:$J$405,1,0))),"Performer",not(iserror(vlookup($F652,'Reference info'!$J$10:$J$36,1,0))),"Producer &amp; Engineer")</f>
        <v/>
      </c>
    </row>
    <row r="653">
      <c r="A653" s="28"/>
      <c r="B653" s="103"/>
      <c r="C653" s="121" t="str">
        <f t="array" ref="C653">ifs(and(isblank($A653),isblank($B653)),"", not(iserror(vlookup($A653&amp;$B653,'3) Release_Label'!$D:$D&amp;'3) Release_Label'!$E:$E,1,0))),vlookup($A653&amp;$B653,{'3) Release_Label'!$D:$D&amp;'3) Release_Label'!$E:$E,'3) Release_Label'!$F:$F},2,0), or(and(not(isblank($B653)),$B653=$B652,$A653&lt;&gt;$A652),and(not(isblank($A653)),$A653=$A652,$B653&lt;&gt;$B652)),"ID LISTS UNALIGNED",and($A653&lt;&gt;"",countif('3) Release_Label'!$D:$D,$A653)=0),"NO UPC MATCH in Release_Label",and($B653&lt;&gt;"",countif('3) Release_Label'!$E:$E,$B653)=0),"NO CATALOG ID MATCH in Release_Label",iserror(vlookup($A653&amp;$B653,'3) Release_Label'!$D:$D&amp;'3) Release_Label'!$E:$E,1,0)),"NO UPC-CATALOG ID pair MATCH in Release_Label" )</f>
        <v/>
      </c>
      <c r="D653" s="121" t="str">
        <f t="array" ref="D653">ifs(and(isblank($A653),isblank($B653)),"", not(iserror(vlookup($A653&amp;$B653,'3) Release_Label'!$D:$D&amp;'3) Release_Label'!$E:$E,1,0))),vlookup($A653&amp;$B653,{'3) Release_Label'!$D:$D&amp;'3) Release_Label'!$E:$E,'3) Release_Label'!$H:$H},2,0), or(and(not(isblank($B653)),$B653=$B652,$A653&lt;&gt;$A652),and(not(isblank($A653)),$A653=$A652,$B653&lt;&gt;$B652)),"ID LISTS UNALIGNED",and($A653&lt;&gt;"",countif('3) Release_Label'!$D:$D,$A653)=0),"NO UPC MATCH in Release_Label",and($B653&lt;&gt;"",countif('3) Release_Label'!$E:$E,$B653)=0),"NO CATALOG ID MATCH in Release_Label",iserror(vlookup($A653&amp;$B653,'3) Release_Label'!$D:$D&amp;'3) Release_Label'!$E:$E,1,0)),"NO UPC-CATALOG ID pair MATCH in Release_Label" )</f>
        <v/>
      </c>
      <c r="E653" s="99"/>
      <c r="F653" s="99"/>
      <c r="G653" s="123" t="str">
        <f t="array" ref="G653">ifs(or($F653="",$F653="Main Primary Artist"),$F653,not(iserror(vlookup($F653,'Reference info'!$J$5:$J$8,1,0))),"Key Artist",not(iserror(vlookup($F653,'Reference info'!$J$38:$J$405,1,0))),"Performer",not(iserror(vlookup($F653,'Reference info'!$J$10:$J$36,1,0))),"Producer &amp; Engineer")</f>
        <v/>
      </c>
    </row>
    <row r="654">
      <c r="A654" s="28"/>
      <c r="B654" s="103"/>
      <c r="C654" s="121" t="str">
        <f t="array" ref="C654">ifs(and(isblank($A654),isblank($B654)),"", not(iserror(vlookup($A654&amp;$B654,'3) Release_Label'!$D:$D&amp;'3) Release_Label'!$E:$E,1,0))),vlookup($A654&amp;$B654,{'3) Release_Label'!$D:$D&amp;'3) Release_Label'!$E:$E,'3) Release_Label'!$F:$F},2,0), or(and(not(isblank($B654)),$B654=$B653,$A654&lt;&gt;$A653),and(not(isblank($A654)),$A654=$A653,$B654&lt;&gt;$B653)),"ID LISTS UNALIGNED",and($A654&lt;&gt;"",countif('3) Release_Label'!$D:$D,$A654)=0),"NO UPC MATCH in Release_Label",and($B654&lt;&gt;"",countif('3) Release_Label'!$E:$E,$B654)=0),"NO CATALOG ID MATCH in Release_Label",iserror(vlookup($A654&amp;$B654,'3) Release_Label'!$D:$D&amp;'3) Release_Label'!$E:$E,1,0)),"NO UPC-CATALOG ID pair MATCH in Release_Label" )</f>
        <v/>
      </c>
      <c r="D654" s="121" t="str">
        <f t="array" ref="D654">ifs(and(isblank($A654),isblank($B654)),"", not(iserror(vlookup($A654&amp;$B654,'3) Release_Label'!$D:$D&amp;'3) Release_Label'!$E:$E,1,0))),vlookup($A654&amp;$B654,{'3) Release_Label'!$D:$D&amp;'3) Release_Label'!$E:$E,'3) Release_Label'!$H:$H},2,0), or(and(not(isblank($B654)),$B654=$B653,$A654&lt;&gt;$A653),and(not(isblank($A654)),$A654=$A653,$B654&lt;&gt;$B653)),"ID LISTS UNALIGNED",and($A654&lt;&gt;"",countif('3) Release_Label'!$D:$D,$A654)=0),"NO UPC MATCH in Release_Label",and($B654&lt;&gt;"",countif('3) Release_Label'!$E:$E,$B654)=0),"NO CATALOG ID MATCH in Release_Label",iserror(vlookup($A654&amp;$B654,'3) Release_Label'!$D:$D&amp;'3) Release_Label'!$E:$E,1,0)),"NO UPC-CATALOG ID pair MATCH in Release_Label" )</f>
        <v/>
      </c>
      <c r="E654" s="99"/>
      <c r="F654" s="99"/>
      <c r="G654" s="123" t="str">
        <f t="array" ref="G654">ifs(or($F654="",$F654="Main Primary Artist"),$F654,not(iserror(vlookup($F654,'Reference info'!$J$5:$J$8,1,0))),"Key Artist",not(iserror(vlookup($F654,'Reference info'!$J$38:$J$405,1,0))),"Performer",not(iserror(vlookup($F654,'Reference info'!$J$10:$J$36,1,0))),"Producer &amp; Engineer")</f>
        <v/>
      </c>
    </row>
    <row r="655">
      <c r="A655" s="28"/>
      <c r="B655" s="103"/>
      <c r="C655" s="121" t="str">
        <f t="array" ref="C655">ifs(and(isblank($A655),isblank($B655)),"", not(iserror(vlookup($A655&amp;$B655,'3) Release_Label'!$D:$D&amp;'3) Release_Label'!$E:$E,1,0))),vlookup($A655&amp;$B655,{'3) Release_Label'!$D:$D&amp;'3) Release_Label'!$E:$E,'3) Release_Label'!$F:$F},2,0), or(and(not(isblank($B655)),$B655=$B654,$A655&lt;&gt;$A654),and(not(isblank($A655)),$A655=$A654,$B655&lt;&gt;$B654)),"ID LISTS UNALIGNED",and($A655&lt;&gt;"",countif('3) Release_Label'!$D:$D,$A655)=0),"NO UPC MATCH in Release_Label",and($B655&lt;&gt;"",countif('3) Release_Label'!$E:$E,$B655)=0),"NO CATALOG ID MATCH in Release_Label",iserror(vlookup($A655&amp;$B655,'3) Release_Label'!$D:$D&amp;'3) Release_Label'!$E:$E,1,0)),"NO UPC-CATALOG ID pair MATCH in Release_Label" )</f>
        <v/>
      </c>
      <c r="D655" s="121" t="str">
        <f t="array" ref="D655">ifs(and(isblank($A655),isblank($B655)),"", not(iserror(vlookup($A655&amp;$B655,'3) Release_Label'!$D:$D&amp;'3) Release_Label'!$E:$E,1,0))),vlookup($A655&amp;$B655,{'3) Release_Label'!$D:$D&amp;'3) Release_Label'!$E:$E,'3) Release_Label'!$H:$H},2,0), or(and(not(isblank($B655)),$B655=$B654,$A655&lt;&gt;$A654),and(not(isblank($A655)),$A655=$A654,$B655&lt;&gt;$B654)),"ID LISTS UNALIGNED",and($A655&lt;&gt;"",countif('3) Release_Label'!$D:$D,$A655)=0),"NO UPC MATCH in Release_Label",and($B655&lt;&gt;"",countif('3) Release_Label'!$E:$E,$B655)=0),"NO CATALOG ID MATCH in Release_Label",iserror(vlookup($A655&amp;$B655,'3) Release_Label'!$D:$D&amp;'3) Release_Label'!$E:$E,1,0)),"NO UPC-CATALOG ID pair MATCH in Release_Label" )</f>
        <v/>
      </c>
      <c r="E655" s="99"/>
      <c r="F655" s="99"/>
      <c r="G655" s="123" t="str">
        <f t="array" ref="G655">ifs(or($F655="",$F655="Main Primary Artist"),$F655,not(iserror(vlookup($F655,'Reference info'!$J$5:$J$8,1,0))),"Key Artist",not(iserror(vlookup($F655,'Reference info'!$J$38:$J$405,1,0))),"Performer",not(iserror(vlookup($F655,'Reference info'!$J$10:$J$36,1,0))),"Producer &amp; Engineer")</f>
        <v/>
      </c>
    </row>
    <row r="656">
      <c r="A656" s="28"/>
      <c r="B656" s="103"/>
      <c r="C656" s="121" t="str">
        <f t="array" ref="C656">ifs(and(isblank($A656),isblank($B656)),"", not(iserror(vlookup($A656&amp;$B656,'3) Release_Label'!$D:$D&amp;'3) Release_Label'!$E:$E,1,0))),vlookup($A656&amp;$B656,{'3) Release_Label'!$D:$D&amp;'3) Release_Label'!$E:$E,'3) Release_Label'!$F:$F},2,0), or(and(not(isblank($B656)),$B656=$B655,$A656&lt;&gt;$A655),and(not(isblank($A656)),$A656=$A655,$B656&lt;&gt;$B655)),"ID LISTS UNALIGNED",and($A656&lt;&gt;"",countif('3) Release_Label'!$D:$D,$A656)=0),"NO UPC MATCH in Release_Label",and($B656&lt;&gt;"",countif('3) Release_Label'!$E:$E,$B656)=0),"NO CATALOG ID MATCH in Release_Label",iserror(vlookup($A656&amp;$B656,'3) Release_Label'!$D:$D&amp;'3) Release_Label'!$E:$E,1,0)),"NO UPC-CATALOG ID pair MATCH in Release_Label" )</f>
        <v/>
      </c>
      <c r="D656" s="121" t="str">
        <f t="array" ref="D656">ifs(and(isblank($A656),isblank($B656)),"", not(iserror(vlookup($A656&amp;$B656,'3) Release_Label'!$D:$D&amp;'3) Release_Label'!$E:$E,1,0))),vlookup($A656&amp;$B656,{'3) Release_Label'!$D:$D&amp;'3) Release_Label'!$E:$E,'3) Release_Label'!$H:$H},2,0), or(and(not(isblank($B656)),$B656=$B655,$A656&lt;&gt;$A655),and(not(isblank($A656)),$A656=$A655,$B656&lt;&gt;$B655)),"ID LISTS UNALIGNED",and($A656&lt;&gt;"",countif('3) Release_Label'!$D:$D,$A656)=0),"NO UPC MATCH in Release_Label",and($B656&lt;&gt;"",countif('3) Release_Label'!$E:$E,$B656)=0),"NO CATALOG ID MATCH in Release_Label",iserror(vlookup($A656&amp;$B656,'3) Release_Label'!$D:$D&amp;'3) Release_Label'!$E:$E,1,0)),"NO UPC-CATALOG ID pair MATCH in Release_Label" )</f>
        <v/>
      </c>
      <c r="E656" s="99"/>
      <c r="F656" s="99"/>
      <c r="G656" s="123" t="str">
        <f t="array" ref="G656">ifs(or($F656="",$F656="Main Primary Artist"),$F656,not(iserror(vlookup($F656,'Reference info'!$J$5:$J$8,1,0))),"Key Artist",not(iserror(vlookup($F656,'Reference info'!$J$38:$J$405,1,0))),"Performer",not(iserror(vlookup($F656,'Reference info'!$J$10:$J$36,1,0))),"Producer &amp; Engineer")</f>
        <v/>
      </c>
    </row>
    <row r="657">
      <c r="A657" s="28"/>
      <c r="B657" s="103"/>
      <c r="C657" s="121" t="str">
        <f t="array" ref="C657">ifs(and(isblank($A657),isblank($B657)),"", not(iserror(vlookup($A657&amp;$B657,'3) Release_Label'!$D:$D&amp;'3) Release_Label'!$E:$E,1,0))),vlookup($A657&amp;$B657,{'3) Release_Label'!$D:$D&amp;'3) Release_Label'!$E:$E,'3) Release_Label'!$F:$F},2,0), or(and(not(isblank($B657)),$B657=$B656,$A657&lt;&gt;$A656),and(not(isblank($A657)),$A657=$A656,$B657&lt;&gt;$B656)),"ID LISTS UNALIGNED",and($A657&lt;&gt;"",countif('3) Release_Label'!$D:$D,$A657)=0),"NO UPC MATCH in Release_Label",and($B657&lt;&gt;"",countif('3) Release_Label'!$E:$E,$B657)=0),"NO CATALOG ID MATCH in Release_Label",iserror(vlookup($A657&amp;$B657,'3) Release_Label'!$D:$D&amp;'3) Release_Label'!$E:$E,1,0)),"NO UPC-CATALOG ID pair MATCH in Release_Label" )</f>
        <v/>
      </c>
      <c r="D657" s="121" t="str">
        <f t="array" ref="D657">ifs(and(isblank($A657),isblank($B657)),"", not(iserror(vlookup($A657&amp;$B657,'3) Release_Label'!$D:$D&amp;'3) Release_Label'!$E:$E,1,0))),vlookup($A657&amp;$B657,{'3) Release_Label'!$D:$D&amp;'3) Release_Label'!$E:$E,'3) Release_Label'!$H:$H},2,0), or(and(not(isblank($B657)),$B657=$B656,$A657&lt;&gt;$A656),and(not(isblank($A657)),$A657=$A656,$B657&lt;&gt;$B656)),"ID LISTS UNALIGNED",and($A657&lt;&gt;"",countif('3) Release_Label'!$D:$D,$A657)=0),"NO UPC MATCH in Release_Label",and($B657&lt;&gt;"",countif('3) Release_Label'!$E:$E,$B657)=0),"NO CATALOG ID MATCH in Release_Label",iserror(vlookup($A657&amp;$B657,'3) Release_Label'!$D:$D&amp;'3) Release_Label'!$E:$E,1,0)),"NO UPC-CATALOG ID pair MATCH in Release_Label" )</f>
        <v/>
      </c>
      <c r="E657" s="99"/>
      <c r="F657" s="99"/>
      <c r="G657" s="123" t="str">
        <f t="array" ref="G657">ifs(or($F657="",$F657="Main Primary Artist"),$F657,not(iserror(vlookup($F657,'Reference info'!$J$5:$J$8,1,0))),"Key Artist",not(iserror(vlookup($F657,'Reference info'!$J$38:$J$405,1,0))),"Performer",not(iserror(vlookup($F657,'Reference info'!$J$10:$J$36,1,0))),"Producer &amp; Engineer")</f>
        <v/>
      </c>
    </row>
    <row r="658">
      <c r="A658" s="28"/>
      <c r="B658" s="103"/>
      <c r="C658" s="121" t="str">
        <f t="array" ref="C658">ifs(and(isblank($A658),isblank($B658)),"", not(iserror(vlookup($A658&amp;$B658,'3) Release_Label'!$D:$D&amp;'3) Release_Label'!$E:$E,1,0))),vlookup($A658&amp;$B658,{'3) Release_Label'!$D:$D&amp;'3) Release_Label'!$E:$E,'3) Release_Label'!$F:$F},2,0), or(and(not(isblank($B658)),$B658=$B657,$A658&lt;&gt;$A657),and(not(isblank($A658)),$A658=$A657,$B658&lt;&gt;$B657)),"ID LISTS UNALIGNED",and($A658&lt;&gt;"",countif('3) Release_Label'!$D:$D,$A658)=0),"NO UPC MATCH in Release_Label",and($B658&lt;&gt;"",countif('3) Release_Label'!$E:$E,$B658)=0),"NO CATALOG ID MATCH in Release_Label",iserror(vlookup($A658&amp;$B658,'3) Release_Label'!$D:$D&amp;'3) Release_Label'!$E:$E,1,0)),"NO UPC-CATALOG ID pair MATCH in Release_Label" )</f>
        <v/>
      </c>
      <c r="D658" s="121" t="str">
        <f t="array" ref="D658">ifs(and(isblank($A658),isblank($B658)),"", not(iserror(vlookup($A658&amp;$B658,'3) Release_Label'!$D:$D&amp;'3) Release_Label'!$E:$E,1,0))),vlookup($A658&amp;$B658,{'3) Release_Label'!$D:$D&amp;'3) Release_Label'!$E:$E,'3) Release_Label'!$H:$H},2,0), or(and(not(isblank($B658)),$B658=$B657,$A658&lt;&gt;$A657),and(not(isblank($A658)),$A658=$A657,$B658&lt;&gt;$B657)),"ID LISTS UNALIGNED",and($A658&lt;&gt;"",countif('3) Release_Label'!$D:$D,$A658)=0),"NO UPC MATCH in Release_Label",and($B658&lt;&gt;"",countif('3) Release_Label'!$E:$E,$B658)=0),"NO CATALOG ID MATCH in Release_Label",iserror(vlookup($A658&amp;$B658,'3) Release_Label'!$D:$D&amp;'3) Release_Label'!$E:$E,1,0)),"NO UPC-CATALOG ID pair MATCH in Release_Label" )</f>
        <v/>
      </c>
      <c r="E658" s="99"/>
      <c r="F658" s="99"/>
      <c r="G658" s="123" t="str">
        <f t="array" ref="G658">ifs(or($F658="",$F658="Main Primary Artist"),$F658,not(iserror(vlookup($F658,'Reference info'!$J$5:$J$8,1,0))),"Key Artist",not(iserror(vlookup($F658,'Reference info'!$J$38:$J$405,1,0))),"Performer",not(iserror(vlookup($F658,'Reference info'!$J$10:$J$36,1,0))),"Producer &amp; Engineer")</f>
        <v/>
      </c>
    </row>
    <row r="659">
      <c r="A659" s="28"/>
      <c r="B659" s="103"/>
      <c r="C659" s="121" t="str">
        <f t="array" ref="C659">ifs(and(isblank($A659),isblank($B659)),"", not(iserror(vlookup($A659&amp;$B659,'3) Release_Label'!$D:$D&amp;'3) Release_Label'!$E:$E,1,0))),vlookup($A659&amp;$B659,{'3) Release_Label'!$D:$D&amp;'3) Release_Label'!$E:$E,'3) Release_Label'!$F:$F},2,0), or(and(not(isblank($B659)),$B659=$B658,$A659&lt;&gt;$A658),and(not(isblank($A659)),$A659=$A658,$B659&lt;&gt;$B658)),"ID LISTS UNALIGNED",and($A659&lt;&gt;"",countif('3) Release_Label'!$D:$D,$A659)=0),"NO UPC MATCH in Release_Label",and($B659&lt;&gt;"",countif('3) Release_Label'!$E:$E,$B659)=0),"NO CATALOG ID MATCH in Release_Label",iserror(vlookup($A659&amp;$B659,'3) Release_Label'!$D:$D&amp;'3) Release_Label'!$E:$E,1,0)),"NO UPC-CATALOG ID pair MATCH in Release_Label" )</f>
        <v/>
      </c>
      <c r="D659" s="121" t="str">
        <f t="array" ref="D659">ifs(and(isblank($A659),isblank($B659)),"", not(iserror(vlookup($A659&amp;$B659,'3) Release_Label'!$D:$D&amp;'3) Release_Label'!$E:$E,1,0))),vlookup($A659&amp;$B659,{'3) Release_Label'!$D:$D&amp;'3) Release_Label'!$E:$E,'3) Release_Label'!$H:$H},2,0), or(and(not(isblank($B659)),$B659=$B658,$A659&lt;&gt;$A658),and(not(isblank($A659)),$A659=$A658,$B659&lt;&gt;$B658)),"ID LISTS UNALIGNED",and($A659&lt;&gt;"",countif('3) Release_Label'!$D:$D,$A659)=0),"NO UPC MATCH in Release_Label",and($B659&lt;&gt;"",countif('3) Release_Label'!$E:$E,$B659)=0),"NO CATALOG ID MATCH in Release_Label",iserror(vlookup($A659&amp;$B659,'3) Release_Label'!$D:$D&amp;'3) Release_Label'!$E:$E,1,0)),"NO UPC-CATALOG ID pair MATCH in Release_Label" )</f>
        <v/>
      </c>
      <c r="E659" s="99"/>
      <c r="F659" s="99"/>
      <c r="G659" s="123" t="str">
        <f t="array" ref="G659">ifs(or($F659="",$F659="Main Primary Artist"),$F659,not(iserror(vlookup($F659,'Reference info'!$J$5:$J$8,1,0))),"Key Artist",not(iserror(vlookup($F659,'Reference info'!$J$38:$J$405,1,0))),"Performer",not(iserror(vlookup($F659,'Reference info'!$J$10:$J$36,1,0))),"Producer &amp; Engineer")</f>
        <v/>
      </c>
    </row>
    <row r="660">
      <c r="A660" s="28"/>
      <c r="B660" s="103"/>
      <c r="C660" s="121" t="str">
        <f t="array" ref="C660">ifs(and(isblank($A660),isblank($B660)),"", not(iserror(vlookup($A660&amp;$B660,'3) Release_Label'!$D:$D&amp;'3) Release_Label'!$E:$E,1,0))),vlookup($A660&amp;$B660,{'3) Release_Label'!$D:$D&amp;'3) Release_Label'!$E:$E,'3) Release_Label'!$F:$F},2,0), or(and(not(isblank($B660)),$B660=$B659,$A660&lt;&gt;$A659),and(not(isblank($A660)),$A660=$A659,$B660&lt;&gt;$B659)),"ID LISTS UNALIGNED",and($A660&lt;&gt;"",countif('3) Release_Label'!$D:$D,$A660)=0),"NO UPC MATCH in Release_Label",and($B660&lt;&gt;"",countif('3) Release_Label'!$E:$E,$B660)=0),"NO CATALOG ID MATCH in Release_Label",iserror(vlookup($A660&amp;$B660,'3) Release_Label'!$D:$D&amp;'3) Release_Label'!$E:$E,1,0)),"NO UPC-CATALOG ID pair MATCH in Release_Label" )</f>
        <v/>
      </c>
      <c r="D660" s="121" t="str">
        <f t="array" ref="D660">ifs(and(isblank($A660),isblank($B660)),"", not(iserror(vlookup($A660&amp;$B660,'3) Release_Label'!$D:$D&amp;'3) Release_Label'!$E:$E,1,0))),vlookup($A660&amp;$B660,{'3) Release_Label'!$D:$D&amp;'3) Release_Label'!$E:$E,'3) Release_Label'!$H:$H},2,0), or(and(not(isblank($B660)),$B660=$B659,$A660&lt;&gt;$A659),and(not(isblank($A660)),$A660=$A659,$B660&lt;&gt;$B659)),"ID LISTS UNALIGNED",and($A660&lt;&gt;"",countif('3) Release_Label'!$D:$D,$A660)=0),"NO UPC MATCH in Release_Label",and($B660&lt;&gt;"",countif('3) Release_Label'!$E:$E,$B660)=0),"NO CATALOG ID MATCH in Release_Label",iserror(vlookup($A660&amp;$B660,'3) Release_Label'!$D:$D&amp;'3) Release_Label'!$E:$E,1,0)),"NO UPC-CATALOG ID pair MATCH in Release_Label" )</f>
        <v/>
      </c>
      <c r="E660" s="99"/>
      <c r="F660" s="99"/>
      <c r="G660" s="123" t="str">
        <f t="array" ref="G660">ifs(or($F660="",$F660="Main Primary Artist"),$F660,not(iserror(vlookup($F660,'Reference info'!$J$5:$J$8,1,0))),"Key Artist",not(iserror(vlookup($F660,'Reference info'!$J$38:$J$405,1,0))),"Performer",not(iserror(vlookup($F660,'Reference info'!$J$10:$J$36,1,0))),"Producer &amp; Engineer")</f>
        <v/>
      </c>
    </row>
    <row r="661">
      <c r="A661" s="28"/>
      <c r="B661" s="103"/>
      <c r="C661" s="121" t="str">
        <f t="array" ref="C661">ifs(and(isblank($A661),isblank($B661)),"", not(iserror(vlookup($A661&amp;$B661,'3) Release_Label'!$D:$D&amp;'3) Release_Label'!$E:$E,1,0))),vlookup($A661&amp;$B661,{'3) Release_Label'!$D:$D&amp;'3) Release_Label'!$E:$E,'3) Release_Label'!$F:$F},2,0), or(and(not(isblank($B661)),$B661=$B660,$A661&lt;&gt;$A660),and(not(isblank($A661)),$A661=$A660,$B661&lt;&gt;$B660)),"ID LISTS UNALIGNED",and($A661&lt;&gt;"",countif('3) Release_Label'!$D:$D,$A661)=0),"NO UPC MATCH in Release_Label",and($B661&lt;&gt;"",countif('3) Release_Label'!$E:$E,$B661)=0),"NO CATALOG ID MATCH in Release_Label",iserror(vlookup($A661&amp;$B661,'3) Release_Label'!$D:$D&amp;'3) Release_Label'!$E:$E,1,0)),"NO UPC-CATALOG ID pair MATCH in Release_Label" )</f>
        <v/>
      </c>
      <c r="D661" s="121" t="str">
        <f t="array" ref="D661">ifs(and(isblank($A661),isblank($B661)),"", not(iserror(vlookup($A661&amp;$B661,'3) Release_Label'!$D:$D&amp;'3) Release_Label'!$E:$E,1,0))),vlookup($A661&amp;$B661,{'3) Release_Label'!$D:$D&amp;'3) Release_Label'!$E:$E,'3) Release_Label'!$H:$H},2,0), or(and(not(isblank($B661)),$B661=$B660,$A661&lt;&gt;$A660),and(not(isblank($A661)),$A661=$A660,$B661&lt;&gt;$B660)),"ID LISTS UNALIGNED",and($A661&lt;&gt;"",countif('3) Release_Label'!$D:$D,$A661)=0),"NO UPC MATCH in Release_Label",and($B661&lt;&gt;"",countif('3) Release_Label'!$E:$E,$B661)=0),"NO CATALOG ID MATCH in Release_Label",iserror(vlookup($A661&amp;$B661,'3) Release_Label'!$D:$D&amp;'3) Release_Label'!$E:$E,1,0)),"NO UPC-CATALOG ID pair MATCH in Release_Label" )</f>
        <v/>
      </c>
      <c r="E661" s="99"/>
      <c r="F661" s="99"/>
      <c r="G661" s="123" t="str">
        <f t="array" ref="G661">ifs(or($F661="",$F661="Main Primary Artist"),$F661,not(iserror(vlookup($F661,'Reference info'!$J$5:$J$8,1,0))),"Key Artist",not(iserror(vlookup($F661,'Reference info'!$J$38:$J$405,1,0))),"Performer",not(iserror(vlookup($F661,'Reference info'!$J$10:$J$36,1,0))),"Producer &amp; Engineer")</f>
        <v/>
      </c>
    </row>
    <row r="662">
      <c r="A662" s="28"/>
      <c r="B662" s="103"/>
      <c r="C662" s="121" t="str">
        <f t="array" ref="C662">ifs(and(isblank($A662),isblank($B662)),"", not(iserror(vlookup($A662&amp;$B662,'3) Release_Label'!$D:$D&amp;'3) Release_Label'!$E:$E,1,0))),vlookup($A662&amp;$B662,{'3) Release_Label'!$D:$D&amp;'3) Release_Label'!$E:$E,'3) Release_Label'!$F:$F},2,0), or(and(not(isblank($B662)),$B662=$B661,$A662&lt;&gt;$A661),and(not(isblank($A662)),$A662=$A661,$B662&lt;&gt;$B661)),"ID LISTS UNALIGNED",and($A662&lt;&gt;"",countif('3) Release_Label'!$D:$D,$A662)=0),"NO UPC MATCH in Release_Label",and($B662&lt;&gt;"",countif('3) Release_Label'!$E:$E,$B662)=0),"NO CATALOG ID MATCH in Release_Label",iserror(vlookup($A662&amp;$B662,'3) Release_Label'!$D:$D&amp;'3) Release_Label'!$E:$E,1,0)),"NO UPC-CATALOG ID pair MATCH in Release_Label" )</f>
        <v/>
      </c>
      <c r="D662" s="121" t="str">
        <f t="array" ref="D662">ifs(and(isblank($A662),isblank($B662)),"", not(iserror(vlookup($A662&amp;$B662,'3) Release_Label'!$D:$D&amp;'3) Release_Label'!$E:$E,1,0))),vlookup($A662&amp;$B662,{'3) Release_Label'!$D:$D&amp;'3) Release_Label'!$E:$E,'3) Release_Label'!$H:$H},2,0), or(and(not(isblank($B662)),$B662=$B661,$A662&lt;&gt;$A661),and(not(isblank($A662)),$A662=$A661,$B662&lt;&gt;$B661)),"ID LISTS UNALIGNED",and($A662&lt;&gt;"",countif('3) Release_Label'!$D:$D,$A662)=0),"NO UPC MATCH in Release_Label",and($B662&lt;&gt;"",countif('3) Release_Label'!$E:$E,$B662)=0),"NO CATALOG ID MATCH in Release_Label",iserror(vlookup($A662&amp;$B662,'3) Release_Label'!$D:$D&amp;'3) Release_Label'!$E:$E,1,0)),"NO UPC-CATALOG ID pair MATCH in Release_Label" )</f>
        <v/>
      </c>
      <c r="E662" s="99"/>
      <c r="F662" s="99"/>
      <c r="G662" s="123" t="str">
        <f t="array" ref="G662">ifs(or($F662="",$F662="Main Primary Artist"),$F662,not(iserror(vlookup($F662,'Reference info'!$J$5:$J$8,1,0))),"Key Artist",not(iserror(vlookup($F662,'Reference info'!$J$38:$J$405,1,0))),"Performer",not(iserror(vlookup($F662,'Reference info'!$J$10:$J$36,1,0))),"Producer &amp; Engineer")</f>
        <v/>
      </c>
    </row>
    <row r="663">
      <c r="A663" s="28"/>
      <c r="B663" s="103"/>
      <c r="C663" s="121" t="str">
        <f t="array" ref="C663">ifs(and(isblank($A663),isblank($B663)),"", not(iserror(vlookup($A663&amp;$B663,'3) Release_Label'!$D:$D&amp;'3) Release_Label'!$E:$E,1,0))),vlookup($A663&amp;$B663,{'3) Release_Label'!$D:$D&amp;'3) Release_Label'!$E:$E,'3) Release_Label'!$F:$F},2,0), or(and(not(isblank($B663)),$B663=$B662,$A663&lt;&gt;$A662),and(not(isblank($A663)),$A663=$A662,$B663&lt;&gt;$B662)),"ID LISTS UNALIGNED",and($A663&lt;&gt;"",countif('3) Release_Label'!$D:$D,$A663)=0),"NO UPC MATCH in Release_Label",and($B663&lt;&gt;"",countif('3) Release_Label'!$E:$E,$B663)=0),"NO CATALOG ID MATCH in Release_Label",iserror(vlookup($A663&amp;$B663,'3) Release_Label'!$D:$D&amp;'3) Release_Label'!$E:$E,1,0)),"NO UPC-CATALOG ID pair MATCH in Release_Label" )</f>
        <v/>
      </c>
      <c r="D663" s="121" t="str">
        <f t="array" ref="D663">ifs(and(isblank($A663),isblank($B663)),"", not(iserror(vlookup($A663&amp;$B663,'3) Release_Label'!$D:$D&amp;'3) Release_Label'!$E:$E,1,0))),vlookup($A663&amp;$B663,{'3) Release_Label'!$D:$D&amp;'3) Release_Label'!$E:$E,'3) Release_Label'!$H:$H},2,0), or(and(not(isblank($B663)),$B663=$B662,$A663&lt;&gt;$A662),and(not(isblank($A663)),$A663=$A662,$B663&lt;&gt;$B662)),"ID LISTS UNALIGNED",and($A663&lt;&gt;"",countif('3) Release_Label'!$D:$D,$A663)=0),"NO UPC MATCH in Release_Label",and($B663&lt;&gt;"",countif('3) Release_Label'!$E:$E,$B663)=0),"NO CATALOG ID MATCH in Release_Label",iserror(vlookup($A663&amp;$B663,'3) Release_Label'!$D:$D&amp;'3) Release_Label'!$E:$E,1,0)),"NO UPC-CATALOG ID pair MATCH in Release_Label" )</f>
        <v/>
      </c>
      <c r="E663" s="99"/>
      <c r="F663" s="99"/>
      <c r="G663" s="123" t="str">
        <f t="array" ref="G663">ifs(or($F663="",$F663="Main Primary Artist"),$F663,not(iserror(vlookup($F663,'Reference info'!$J$5:$J$8,1,0))),"Key Artist",not(iserror(vlookup($F663,'Reference info'!$J$38:$J$405,1,0))),"Performer",not(iserror(vlookup($F663,'Reference info'!$J$10:$J$36,1,0))),"Producer &amp; Engineer")</f>
        <v/>
      </c>
    </row>
    <row r="664">
      <c r="A664" s="28"/>
      <c r="B664" s="103"/>
      <c r="C664" s="121" t="str">
        <f t="array" ref="C664">ifs(and(isblank($A664),isblank($B664)),"", not(iserror(vlookup($A664&amp;$B664,'3) Release_Label'!$D:$D&amp;'3) Release_Label'!$E:$E,1,0))),vlookup($A664&amp;$B664,{'3) Release_Label'!$D:$D&amp;'3) Release_Label'!$E:$E,'3) Release_Label'!$F:$F},2,0), or(and(not(isblank($B664)),$B664=$B663,$A664&lt;&gt;$A663),and(not(isblank($A664)),$A664=$A663,$B664&lt;&gt;$B663)),"ID LISTS UNALIGNED",and($A664&lt;&gt;"",countif('3) Release_Label'!$D:$D,$A664)=0),"NO UPC MATCH in Release_Label",and($B664&lt;&gt;"",countif('3) Release_Label'!$E:$E,$B664)=0),"NO CATALOG ID MATCH in Release_Label",iserror(vlookup($A664&amp;$B664,'3) Release_Label'!$D:$D&amp;'3) Release_Label'!$E:$E,1,0)),"NO UPC-CATALOG ID pair MATCH in Release_Label" )</f>
        <v/>
      </c>
      <c r="D664" s="121" t="str">
        <f t="array" ref="D664">ifs(and(isblank($A664),isblank($B664)),"", not(iserror(vlookup($A664&amp;$B664,'3) Release_Label'!$D:$D&amp;'3) Release_Label'!$E:$E,1,0))),vlookup($A664&amp;$B664,{'3) Release_Label'!$D:$D&amp;'3) Release_Label'!$E:$E,'3) Release_Label'!$H:$H},2,0), or(and(not(isblank($B664)),$B664=$B663,$A664&lt;&gt;$A663),and(not(isblank($A664)),$A664=$A663,$B664&lt;&gt;$B663)),"ID LISTS UNALIGNED",and($A664&lt;&gt;"",countif('3) Release_Label'!$D:$D,$A664)=0),"NO UPC MATCH in Release_Label",and($B664&lt;&gt;"",countif('3) Release_Label'!$E:$E,$B664)=0),"NO CATALOG ID MATCH in Release_Label",iserror(vlookup($A664&amp;$B664,'3) Release_Label'!$D:$D&amp;'3) Release_Label'!$E:$E,1,0)),"NO UPC-CATALOG ID pair MATCH in Release_Label" )</f>
        <v/>
      </c>
      <c r="E664" s="99"/>
      <c r="F664" s="99"/>
      <c r="G664" s="123" t="str">
        <f t="array" ref="G664">ifs(or($F664="",$F664="Main Primary Artist"),$F664,not(iserror(vlookup($F664,'Reference info'!$J$5:$J$8,1,0))),"Key Artist",not(iserror(vlookup($F664,'Reference info'!$J$38:$J$405,1,0))),"Performer",not(iserror(vlookup($F664,'Reference info'!$J$10:$J$36,1,0))),"Producer &amp; Engineer")</f>
        <v/>
      </c>
    </row>
    <row r="665">
      <c r="A665" s="28"/>
      <c r="B665" s="103"/>
      <c r="C665" s="121" t="str">
        <f t="array" ref="C665">ifs(and(isblank($A665),isblank($B665)),"", not(iserror(vlookup($A665&amp;$B665,'3) Release_Label'!$D:$D&amp;'3) Release_Label'!$E:$E,1,0))),vlookup($A665&amp;$B665,{'3) Release_Label'!$D:$D&amp;'3) Release_Label'!$E:$E,'3) Release_Label'!$F:$F},2,0), or(and(not(isblank($B665)),$B665=$B664,$A665&lt;&gt;$A664),and(not(isblank($A665)),$A665=$A664,$B665&lt;&gt;$B664)),"ID LISTS UNALIGNED",and($A665&lt;&gt;"",countif('3) Release_Label'!$D:$D,$A665)=0),"NO UPC MATCH in Release_Label",and($B665&lt;&gt;"",countif('3) Release_Label'!$E:$E,$B665)=0),"NO CATALOG ID MATCH in Release_Label",iserror(vlookup($A665&amp;$B665,'3) Release_Label'!$D:$D&amp;'3) Release_Label'!$E:$E,1,0)),"NO UPC-CATALOG ID pair MATCH in Release_Label" )</f>
        <v/>
      </c>
      <c r="D665" s="121" t="str">
        <f t="array" ref="D665">ifs(and(isblank($A665),isblank($B665)),"", not(iserror(vlookup($A665&amp;$B665,'3) Release_Label'!$D:$D&amp;'3) Release_Label'!$E:$E,1,0))),vlookup($A665&amp;$B665,{'3) Release_Label'!$D:$D&amp;'3) Release_Label'!$E:$E,'3) Release_Label'!$H:$H},2,0), or(and(not(isblank($B665)),$B665=$B664,$A665&lt;&gt;$A664),and(not(isblank($A665)),$A665=$A664,$B665&lt;&gt;$B664)),"ID LISTS UNALIGNED",and($A665&lt;&gt;"",countif('3) Release_Label'!$D:$D,$A665)=0),"NO UPC MATCH in Release_Label",and($B665&lt;&gt;"",countif('3) Release_Label'!$E:$E,$B665)=0),"NO CATALOG ID MATCH in Release_Label",iserror(vlookup($A665&amp;$B665,'3) Release_Label'!$D:$D&amp;'3) Release_Label'!$E:$E,1,0)),"NO UPC-CATALOG ID pair MATCH in Release_Label" )</f>
        <v/>
      </c>
      <c r="E665" s="99"/>
      <c r="F665" s="99"/>
      <c r="G665" s="123" t="str">
        <f t="array" ref="G665">ifs(or($F665="",$F665="Main Primary Artist"),$F665,not(iserror(vlookup($F665,'Reference info'!$J$5:$J$8,1,0))),"Key Artist",not(iserror(vlookup($F665,'Reference info'!$J$38:$J$405,1,0))),"Performer",not(iserror(vlookup($F665,'Reference info'!$J$10:$J$36,1,0))),"Producer &amp; Engineer")</f>
        <v/>
      </c>
    </row>
    <row r="666">
      <c r="A666" s="28"/>
      <c r="B666" s="103"/>
      <c r="C666" s="121" t="str">
        <f t="array" ref="C666">ifs(and(isblank($A666),isblank($B666)),"", not(iserror(vlookup($A666&amp;$B666,'3) Release_Label'!$D:$D&amp;'3) Release_Label'!$E:$E,1,0))),vlookup($A666&amp;$B666,{'3) Release_Label'!$D:$D&amp;'3) Release_Label'!$E:$E,'3) Release_Label'!$F:$F},2,0), or(and(not(isblank($B666)),$B666=$B665,$A666&lt;&gt;$A665),and(not(isblank($A666)),$A666=$A665,$B666&lt;&gt;$B665)),"ID LISTS UNALIGNED",and($A666&lt;&gt;"",countif('3) Release_Label'!$D:$D,$A666)=0),"NO UPC MATCH in Release_Label",and($B666&lt;&gt;"",countif('3) Release_Label'!$E:$E,$B666)=0),"NO CATALOG ID MATCH in Release_Label",iserror(vlookup($A666&amp;$B666,'3) Release_Label'!$D:$D&amp;'3) Release_Label'!$E:$E,1,0)),"NO UPC-CATALOG ID pair MATCH in Release_Label" )</f>
        <v/>
      </c>
      <c r="D666" s="121" t="str">
        <f t="array" ref="D666">ifs(and(isblank($A666),isblank($B666)),"", not(iserror(vlookup($A666&amp;$B666,'3) Release_Label'!$D:$D&amp;'3) Release_Label'!$E:$E,1,0))),vlookup($A666&amp;$B666,{'3) Release_Label'!$D:$D&amp;'3) Release_Label'!$E:$E,'3) Release_Label'!$H:$H},2,0), or(and(not(isblank($B666)),$B666=$B665,$A666&lt;&gt;$A665),and(not(isblank($A666)),$A666=$A665,$B666&lt;&gt;$B665)),"ID LISTS UNALIGNED",and($A666&lt;&gt;"",countif('3) Release_Label'!$D:$D,$A666)=0),"NO UPC MATCH in Release_Label",and($B666&lt;&gt;"",countif('3) Release_Label'!$E:$E,$B666)=0),"NO CATALOG ID MATCH in Release_Label",iserror(vlookup($A666&amp;$B666,'3) Release_Label'!$D:$D&amp;'3) Release_Label'!$E:$E,1,0)),"NO UPC-CATALOG ID pair MATCH in Release_Label" )</f>
        <v/>
      </c>
      <c r="E666" s="99"/>
      <c r="F666" s="99"/>
      <c r="G666" s="123" t="str">
        <f t="array" ref="G666">ifs(or($F666="",$F666="Main Primary Artist"),$F666,not(iserror(vlookup($F666,'Reference info'!$J$5:$J$8,1,0))),"Key Artist",not(iserror(vlookup($F666,'Reference info'!$J$38:$J$405,1,0))),"Performer",not(iserror(vlookup($F666,'Reference info'!$J$10:$J$36,1,0))),"Producer &amp; Engineer")</f>
        <v/>
      </c>
    </row>
    <row r="667">
      <c r="A667" s="28"/>
      <c r="B667" s="103"/>
      <c r="C667" s="121" t="str">
        <f t="array" ref="C667">ifs(and(isblank($A667),isblank($B667)),"", not(iserror(vlookup($A667&amp;$B667,'3) Release_Label'!$D:$D&amp;'3) Release_Label'!$E:$E,1,0))),vlookup($A667&amp;$B667,{'3) Release_Label'!$D:$D&amp;'3) Release_Label'!$E:$E,'3) Release_Label'!$F:$F},2,0), or(and(not(isblank($B667)),$B667=$B666,$A667&lt;&gt;$A666),and(not(isblank($A667)),$A667=$A666,$B667&lt;&gt;$B666)),"ID LISTS UNALIGNED",and($A667&lt;&gt;"",countif('3) Release_Label'!$D:$D,$A667)=0),"NO UPC MATCH in Release_Label",and($B667&lt;&gt;"",countif('3) Release_Label'!$E:$E,$B667)=0),"NO CATALOG ID MATCH in Release_Label",iserror(vlookup($A667&amp;$B667,'3) Release_Label'!$D:$D&amp;'3) Release_Label'!$E:$E,1,0)),"NO UPC-CATALOG ID pair MATCH in Release_Label" )</f>
        <v/>
      </c>
      <c r="D667" s="121" t="str">
        <f t="array" ref="D667">ifs(and(isblank($A667),isblank($B667)),"", not(iserror(vlookup($A667&amp;$B667,'3) Release_Label'!$D:$D&amp;'3) Release_Label'!$E:$E,1,0))),vlookup($A667&amp;$B667,{'3) Release_Label'!$D:$D&amp;'3) Release_Label'!$E:$E,'3) Release_Label'!$H:$H},2,0), or(and(not(isblank($B667)),$B667=$B666,$A667&lt;&gt;$A666),and(not(isblank($A667)),$A667=$A666,$B667&lt;&gt;$B666)),"ID LISTS UNALIGNED",and($A667&lt;&gt;"",countif('3) Release_Label'!$D:$D,$A667)=0),"NO UPC MATCH in Release_Label",and($B667&lt;&gt;"",countif('3) Release_Label'!$E:$E,$B667)=0),"NO CATALOG ID MATCH in Release_Label",iserror(vlookup($A667&amp;$B667,'3) Release_Label'!$D:$D&amp;'3) Release_Label'!$E:$E,1,0)),"NO UPC-CATALOG ID pair MATCH in Release_Label" )</f>
        <v/>
      </c>
      <c r="E667" s="99"/>
      <c r="F667" s="99"/>
      <c r="G667" s="123" t="str">
        <f t="array" ref="G667">ifs(or($F667="",$F667="Main Primary Artist"),$F667,not(iserror(vlookup($F667,'Reference info'!$J$5:$J$8,1,0))),"Key Artist",not(iserror(vlookup($F667,'Reference info'!$J$38:$J$405,1,0))),"Performer",not(iserror(vlookup($F667,'Reference info'!$J$10:$J$36,1,0))),"Producer &amp; Engineer")</f>
        <v/>
      </c>
    </row>
    <row r="668">
      <c r="A668" s="28"/>
      <c r="B668" s="103"/>
      <c r="C668" s="121" t="str">
        <f t="array" ref="C668">ifs(and(isblank($A668),isblank($B668)),"", not(iserror(vlookup($A668&amp;$B668,'3) Release_Label'!$D:$D&amp;'3) Release_Label'!$E:$E,1,0))),vlookup($A668&amp;$B668,{'3) Release_Label'!$D:$D&amp;'3) Release_Label'!$E:$E,'3) Release_Label'!$F:$F},2,0), or(and(not(isblank($B668)),$B668=$B667,$A668&lt;&gt;$A667),and(not(isblank($A668)),$A668=$A667,$B668&lt;&gt;$B667)),"ID LISTS UNALIGNED",and($A668&lt;&gt;"",countif('3) Release_Label'!$D:$D,$A668)=0),"NO UPC MATCH in Release_Label",and($B668&lt;&gt;"",countif('3) Release_Label'!$E:$E,$B668)=0),"NO CATALOG ID MATCH in Release_Label",iserror(vlookup($A668&amp;$B668,'3) Release_Label'!$D:$D&amp;'3) Release_Label'!$E:$E,1,0)),"NO UPC-CATALOG ID pair MATCH in Release_Label" )</f>
        <v/>
      </c>
      <c r="D668" s="121" t="str">
        <f t="array" ref="D668">ifs(and(isblank($A668),isblank($B668)),"", not(iserror(vlookup($A668&amp;$B668,'3) Release_Label'!$D:$D&amp;'3) Release_Label'!$E:$E,1,0))),vlookup($A668&amp;$B668,{'3) Release_Label'!$D:$D&amp;'3) Release_Label'!$E:$E,'3) Release_Label'!$H:$H},2,0), or(and(not(isblank($B668)),$B668=$B667,$A668&lt;&gt;$A667),and(not(isblank($A668)),$A668=$A667,$B668&lt;&gt;$B667)),"ID LISTS UNALIGNED",and($A668&lt;&gt;"",countif('3) Release_Label'!$D:$D,$A668)=0),"NO UPC MATCH in Release_Label",and($B668&lt;&gt;"",countif('3) Release_Label'!$E:$E,$B668)=0),"NO CATALOG ID MATCH in Release_Label",iserror(vlookup($A668&amp;$B668,'3) Release_Label'!$D:$D&amp;'3) Release_Label'!$E:$E,1,0)),"NO UPC-CATALOG ID pair MATCH in Release_Label" )</f>
        <v/>
      </c>
      <c r="E668" s="99"/>
      <c r="F668" s="99"/>
      <c r="G668" s="123" t="str">
        <f t="array" ref="G668">ifs(or($F668="",$F668="Main Primary Artist"),$F668,not(iserror(vlookup($F668,'Reference info'!$J$5:$J$8,1,0))),"Key Artist",not(iserror(vlookup($F668,'Reference info'!$J$38:$J$405,1,0))),"Performer",not(iserror(vlookup($F668,'Reference info'!$J$10:$J$36,1,0))),"Producer &amp; Engineer")</f>
        <v/>
      </c>
    </row>
    <row r="669">
      <c r="A669" s="28"/>
      <c r="B669" s="103"/>
      <c r="C669" s="121" t="str">
        <f t="array" ref="C669">ifs(and(isblank($A669),isblank($B669)),"", not(iserror(vlookup($A669&amp;$B669,'3) Release_Label'!$D:$D&amp;'3) Release_Label'!$E:$E,1,0))),vlookup($A669&amp;$B669,{'3) Release_Label'!$D:$D&amp;'3) Release_Label'!$E:$E,'3) Release_Label'!$F:$F},2,0), or(and(not(isblank($B669)),$B669=$B668,$A669&lt;&gt;$A668),and(not(isblank($A669)),$A669=$A668,$B669&lt;&gt;$B668)),"ID LISTS UNALIGNED",and($A669&lt;&gt;"",countif('3) Release_Label'!$D:$D,$A669)=0),"NO UPC MATCH in Release_Label",and($B669&lt;&gt;"",countif('3) Release_Label'!$E:$E,$B669)=0),"NO CATALOG ID MATCH in Release_Label",iserror(vlookup($A669&amp;$B669,'3) Release_Label'!$D:$D&amp;'3) Release_Label'!$E:$E,1,0)),"NO UPC-CATALOG ID pair MATCH in Release_Label" )</f>
        <v/>
      </c>
      <c r="D669" s="121" t="str">
        <f t="array" ref="D669">ifs(and(isblank($A669),isblank($B669)),"", not(iserror(vlookup($A669&amp;$B669,'3) Release_Label'!$D:$D&amp;'3) Release_Label'!$E:$E,1,0))),vlookup($A669&amp;$B669,{'3) Release_Label'!$D:$D&amp;'3) Release_Label'!$E:$E,'3) Release_Label'!$H:$H},2,0), or(and(not(isblank($B669)),$B669=$B668,$A669&lt;&gt;$A668),and(not(isblank($A669)),$A669=$A668,$B669&lt;&gt;$B668)),"ID LISTS UNALIGNED",and($A669&lt;&gt;"",countif('3) Release_Label'!$D:$D,$A669)=0),"NO UPC MATCH in Release_Label",and($B669&lt;&gt;"",countif('3) Release_Label'!$E:$E,$B669)=0),"NO CATALOG ID MATCH in Release_Label",iserror(vlookup($A669&amp;$B669,'3) Release_Label'!$D:$D&amp;'3) Release_Label'!$E:$E,1,0)),"NO UPC-CATALOG ID pair MATCH in Release_Label" )</f>
        <v/>
      </c>
      <c r="E669" s="99"/>
      <c r="F669" s="99"/>
      <c r="G669" s="123" t="str">
        <f t="array" ref="G669">ifs(or($F669="",$F669="Main Primary Artist"),$F669,not(iserror(vlookup($F669,'Reference info'!$J$5:$J$8,1,0))),"Key Artist",not(iserror(vlookup($F669,'Reference info'!$J$38:$J$405,1,0))),"Performer",not(iserror(vlookup($F669,'Reference info'!$J$10:$J$36,1,0))),"Producer &amp; Engineer")</f>
        <v/>
      </c>
    </row>
    <row r="670">
      <c r="A670" s="28"/>
      <c r="B670" s="103"/>
      <c r="C670" s="121" t="str">
        <f t="array" ref="C670">ifs(and(isblank($A670),isblank($B670)),"", not(iserror(vlookup($A670&amp;$B670,'3) Release_Label'!$D:$D&amp;'3) Release_Label'!$E:$E,1,0))),vlookup($A670&amp;$B670,{'3) Release_Label'!$D:$D&amp;'3) Release_Label'!$E:$E,'3) Release_Label'!$F:$F},2,0), or(and(not(isblank($B670)),$B670=$B669,$A670&lt;&gt;$A669),and(not(isblank($A670)),$A670=$A669,$B670&lt;&gt;$B669)),"ID LISTS UNALIGNED",and($A670&lt;&gt;"",countif('3) Release_Label'!$D:$D,$A670)=0),"NO UPC MATCH in Release_Label",and($B670&lt;&gt;"",countif('3) Release_Label'!$E:$E,$B670)=0),"NO CATALOG ID MATCH in Release_Label",iserror(vlookup($A670&amp;$B670,'3) Release_Label'!$D:$D&amp;'3) Release_Label'!$E:$E,1,0)),"NO UPC-CATALOG ID pair MATCH in Release_Label" )</f>
        <v/>
      </c>
      <c r="D670" s="121" t="str">
        <f t="array" ref="D670">ifs(and(isblank($A670),isblank($B670)),"", not(iserror(vlookup($A670&amp;$B670,'3) Release_Label'!$D:$D&amp;'3) Release_Label'!$E:$E,1,0))),vlookup($A670&amp;$B670,{'3) Release_Label'!$D:$D&amp;'3) Release_Label'!$E:$E,'3) Release_Label'!$H:$H},2,0), or(and(not(isblank($B670)),$B670=$B669,$A670&lt;&gt;$A669),and(not(isblank($A670)),$A670=$A669,$B670&lt;&gt;$B669)),"ID LISTS UNALIGNED",and($A670&lt;&gt;"",countif('3) Release_Label'!$D:$D,$A670)=0),"NO UPC MATCH in Release_Label",and($B670&lt;&gt;"",countif('3) Release_Label'!$E:$E,$B670)=0),"NO CATALOG ID MATCH in Release_Label",iserror(vlookup($A670&amp;$B670,'3) Release_Label'!$D:$D&amp;'3) Release_Label'!$E:$E,1,0)),"NO UPC-CATALOG ID pair MATCH in Release_Label" )</f>
        <v/>
      </c>
      <c r="E670" s="99"/>
      <c r="F670" s="99"/>
      <c r="G670" s="123" t="str">
        <f t="array" ref="G670">ifs(or($F670="",$F670="Main Primary Artist"),$F670,not(iserror(vlookup($F670,'Reference info'!$J$5:$J$8,1,0))),"Key Artist",not(iserror(vlookup($F670,'Reference info'!$J$38:$J$405,1,0))),"Performer",not(iserror(vlookup($F670,'Reference info'!$J$10:$J$36,1,0))),"Producer &amp; Engineer")</f>
        <v/>
      </c>
    </row>
    <row r="671">
      <c r="A671" s="28"/>
      <c r="B671" s="103"/>
      <c r="C671" s="121" t="str">
        <f t="array" ref="C671">ifs(and(isblank($A671),isblank($B671)),"", not(iserror(vlookup($A671&amp;$B671,'3) Release_Label'!$D:$D&amp;'3) Release_Label'!$E:$E,1,0))),vlookup($A671&amp;$B671,{'3) Release_Label'!$D:$D&amp;'3) Release_Label'!$E:$E,'3) Release_Label'!$F:$F},2,0), or(and(not(isblank($B671)),$B671=$B670,$A671&lt;&gt;$A670),and(not(isblank($A671)),$A671=$A670,$B671&lt;&gt;$B670)),"ID LISTS UNALIGNED",and($A671&lt;&gt;"",countif('3) Release_Label'!$D:$D,$A671)=0),"NO UPC MATCH in Release_Label",and($B671&lt;&gt;"",countif('3) Release_Label'!$E:$E,$B671)=0),"NO CATALOG ID MATCH in Release_Label",iserror(vlookup($A671&amp;$B671,'3) Release_Label'!$D:$D&amp;'3) Release_Label'!$E:$E,1,0)),"NO UPC-CATALOG ID pair MATCH in Release_Label" )</f>
        <v/>
      </c>
      <c r="D671" s="121" t="str">
        <f t="array" ref="D671">ifs(and(isblank($A671),isblank($B671)),"", not(iserror(vlookup($A671&amp;$B671,'3) Release_Label'!$D:$D&amp;'3) Release_Label'!$E:$E,1,0))),vlookup($A671&amp;$B671,{'3) Release_Label'!$D:$D&amp;'3) Release_Label'!$E:$E,'3) Release_Label'!$H:$H},2,0), or(and(not(isblank($B671)),$B671=$B670,$A671&lt;&gt;$A670),and(not(isblank($A671)),$A671=$A670,$B671&lt;&gt;$B670)),"ID LISTS UNALIGNED",and($A671&lt;&gt;"",countif('3) Release_Label'!$D:$D,$A671)=0),"NO UPC MATCH in Release_Label",and($B671&lt;&gt;"",countif('3) Release_Label'!$E:$E,$B671)=0),"NO CATALOG ID MATCH in Release_Label",iserror(vlookup($A671&amp;$B671,'3) Release_Label'!$D:$D&amp;'3) Release_Label'!$E:$E,1,0)),"NO UPC-CATALOG ID pair MATCH in Release_Label" )</f>
        <v/>
      </c>
      <c r="E671" s="99"/>
      <c r="F671" s="99"/>
      <c r="G671" s="123" t="str">
        <f t="array" ref="G671">ifs(or($F671="",$F671="Main Primary Artist"),$F671,not(iserror(vlookup($F671,'Reference info'!$J$5:$J$8,1,0))),"Key Artist",not(iserror(vlookup($F671,'Reference info'!$J$38:$J$405,1,0))),"Performer",not(iserror(vlookup($F671,'Reference info'!$J$10:$J$36,1,0))),"Producer &amp; Engineer")</f>
        <v/>
      </c>
    </row>
    <row r="672">
      <c r="A672" s="28"/>
      <c r="B672" s="103"/>
      <c r="C672" s="121" t="str">
        <f t="array" ref="C672">ifs(and(isblank($A672),isblank($B672)),"", not(iserror(vlookup($A672&amp;$B672,'3) Release_Label'!$D:$D&amp;'3) Release_Label'!$E:$E,1,0))),vlookup($A672&amp;$B672,{'3) Release_Label'!$D:$D&amp;'3) Release_Label'!$E:$E,'3) Release_Label'!$F:$F},2,0), or(and(not(isblank($B672)),$B672=$B671,$A672&lt;&gt;$A671),and(not(isblank($A672)),$A672=$A671,$B672&lt;&gt;$B671)),"ID LISTS UNALIGNED",and($A672&lt;&gt;"",countif('3) Release_Label'!$D:$D,$A672)=0),"NO UPC MATCH in Release_Label",and($B672&lt;&gt;"",countif('3) Release_Label'!$E:$E,$B672)=0),"NO CATALOG ID MATCH in Release_Label",iserror(vlookup($A672&amp;$B672,'3) Release_Label'!$D:$D&amp;'3) Release_Label'!$E:$E,1,0)),"NO UPC-CATALOG ID pair MATCH in Release_Label" )</f>
        <v/>
      </c>
      <c r="D672" s="121" t="str">
        <f t="array" ref="D672">ifs(and(isblank($A672),isblank($B672)),"", not(iserror(vlookup($A672&amp;$B672,'3) Release_Label'!$D:$D&amp;'3) Release_Label'!$E:$E,1,0))),vlookup($A672&amp;$B672,{'3) Release_Label'!$D:$D&amp;'3) Release_Label'!$E:$E,'3) Release_Label'!$H:$H},2,0), or(and(not(isblank($B672)),$B672=$B671,$A672&lt;&gt;$A671),and(not(isblank($A672)),$A672=$A671,$B672&lt;&gt;$B671)),"ID LISTS UNALIGNED",and($A672&lt;&gt;"",countif('3) Release_Label'!$D:$D,$A672)=0),"NO UPC MATCH in Release_Label",and($B672&lt;&gt;"",countif('3) Release_Label'!$E:$E,$B672)=0),"NO CATALOG ID MATCH in Release_Label",iserror(vlookup($A672&amp;$B672,'3) Release_Label'!$D:$D&amp;'3) Release_Label'!$E:$E,1,0)),"NO UPC-CATALOG ID pair MATCH in Release_Label" )</f>
        <v/>
      </c>
      <c r="E672" s="99"/>
      <c r="F672" s="99"/>
      <c r="G672" s="123" t="str">
        <f t="array" ref="G672">ifs(or($F672="",$F672="Main Primary Artist"),$F672,not(iserror(vlookup($F672,'Reference info'!$J$5:$J$8,1,0))),"Key Artist",not(iserror(vlookup($F672,'Reference info'!$J$38:$J$405,1,0))),"Performer",not(iserror(vlookup($F672,'Reference info'!$J$10:$J$36,1,0))),"Producer &amp; Engineer")</f>
        <v/>
      </c>
    </row>
    <row r="673">
      <c r="A673" s="28"/>
      <c r="B673" s="103"/>
      <c r="C673" s="121" t="str">
        <f t="array" ref="C673">ifs(and(isblank($A673),isblank($B673)),"", not(iserror(vlookup($A673&amp;$B673,'3) Release_Label'!$D:$D&amp;'3) Release_Label'!$E:$E,1,0))),vlookup($A673&amp;$B673,{'3) Release_Label'!$D:$D&amp;'3) Release_Label'!$E:$E,'3) Release_Label'!$F:$F},2,0), or(and(not(isblank($B673)),$B673=$B672,$A673&lt;&gt;$A672),and(not(isblank($A673)),$A673=$A672,$B673&lt;&gt;$B672)),"ID LISTS UNALIGNED",and($A673&lt;&gt;"",countif('3) Release_Label'!$D:$D,$A673)=0),"NO UPC MATCH in Release_Label",and($B673&lt;&gt;"",countif('3) Release_Label'!$E:$E,$B673)=0),"NO CATALOG ID MATCH in Release_Label",iserror(vlookup($A673&amp;$B673,'3) Release_Label'!$D:$D&amp;'3) Release_Label'!$E:$E,1,0)),"NO UPC-CATALOG ID pair MATCH in Release_Label" )</f>
        <v/>
      </c>
      <c r="D673" s="121" t="str">
        <f t="array" ref="D673">ifs(and(isblank($A673),isblank($B673)),"", not(iserror(vlookup($A673&amp;$B673,'3) Release_Label'!$D:$D&amp;'3) Release_Label'!$E:$E,1,0))),vlookup($A673&amp;$B673,{'3) Release_Label'!$D:$D&amp;'3) Release_Label'!$E:$E,'3) Release_Label'!$H:$H},2,0), or(and(not(isblank($B673)),$B673=$B672,$A673&lt;&gt;$A672),and(not(isblank($A673)),$A673=$A672,$B673&lt;&gt;$B672)),"ID LISTS UNALIGNED",and($A673&lt;&gt;"",countif('3) Release_Label'!$D:$D,$A673)=0),"NO UPC MATCH in Release_Label",and($B673&lt;&gt;"",countif('3) Release_Label'!$E:$E,$B673)=0),"NO CATALOG ID MATCH in Release_Label",iserror(vlookup($A673&amp;$B673,'3) Release_Label'!$D:$D&amp;'3) Release_Label'!$E:$E,1,0)),"NO UPC-CATALOG ID pair MATCH in Release_Label" )</f>
        <v/>
      </c>
      <c r="E673" s="99"/>
      <c r="F673" s="99"/>
      <c r="G673" s="123" t="str">
        <f t="array" ref="G673">ifs(or($F673="",$F673="Main Primary Artist"),$F673,not(iserror(vlookup($F673,'Reference info'!$J$5:$J$8,1,0))),"Key Artist",not(iserror(vlookup($F673,'Reference info'!$J$38:$J$405,1,0))),"Performer",not(iserror(vlookup($F673,'Reference info'!$J$10:$J$36,1,0))),"Producer &amp; Engineer")</f>
        <v/>
      </c>
    </row>
    <row r="674">
      <c r="A674" s="28"/>
      <c r="B674" s="103"/>
      <c r="C674" s="121" t="str">
        <f t="array" ref="C674">ifs(and(isblank($A674),isblank($B674)),"", not(iserror(vlookup($A674&amp;$B674,'3) Release_Label'!$D:$D&amp;'3) Release_Label'!$E:$E,1,0))),vlookup($A674&amp;$B674,{'3) Release_Label'!$D:$D&amp;'3) Release_Label'!$E:$E,'3) Release_Label'!$F:$F},2,0), or(and(not(isblank($B674)),$B674=$B673,$A674&lt;&gt;$A673),and(not(isblank($A674)),$A674=$A673,$B674&lt;&gt;$B673)),"ID LISTS UNALIGNED",and($A674&lt;&gt;"",countif('3) Release_Label'!$D:$D,$A674)=0),"NO UPC MATCH in Release_Label",and($B674&lt;&gt;"",countif('3) Release_Label'!$E:$E,$B674)=0),"NO CATALOG ID MATCH in Release_Label",iserror(vlookup($A674&amp;$B674,'3) Release_Label'!$D:$D&amp;'3) Release_Label'!$E:$E,1,0)),"NO UPC-CATALOG ID pair MATCH in Release_Label" )</f>
        <v/>
      </c>
      <c r="D674" s="121" t="str">
        <f t="array" ref="D674">ifs(and(isblank($A674),isblank($B674)),"", not(iserror(vlookup($A674&amp;$B674,'3) Release_Label'!$D:$D&amp;'3) Release_Label'!$E:$E,1,0))),vlookup($A674&amp;$B674,{'3) Release_Label'!$D:$D&amp;'3) Release_Label'!$E:$E,'3) Release_Label'!$H:$H},2,0), or(and(not(isblank($B674)),$B674=$B673,$A674&lt;&gt;$A673),and(not(isblank($A674)),$A674=$A673,$B674&lt;&gt;$B673)),"ID LISTS UNALIGNED",and($A674&lt;&gt;"",countif('3) Release_Label'!$D:$D,$A674)=0),"NO UPC MATCH in Release_Label",and($B674&lt;&gt;"",countif('3) Release_Label'!$E:$E,$B674)=0),"NO CATALOG ID MATCH in Release_Label",iserror(vlookup($A674&amp;$B674,'3) Release_Label'!$D:$D&amp;'3) Release_Label'!$E:$E,1,0)),"NO UPC-CATALOG ID pair MATCH in Release_Label" )</f>
        <v/>
      </c>
      <c r="E674" s="99"/>
      <c r="F674" s="99"/>
      <c r="G674" s="123" t="str">
        <f t="array" ref="G674">ifs(or($F674="",$F674="Main Primary Artist"),$F674,not(iserror(vlookup($F674,'Reference info'!$J$5:$J$8,1,0))),"Key Artist",not(iserror(vlookup($F674,'Reference info'!$J$38:$J$405,1,0))),"Performer",not(iserror(vlookup($F674,'Reference info'!$J$10:$J$36,1,0))),"Producer &amp; Engineer")</f>
        <v/>
      </c>
    </row>
    <row r="675">
      <c r="A675" s="28"/>
      <c r="B675" s="103"/>
      <c r="C675" s="121" t="str">
        <f t="array" ref="C675">ifs(and(isblank($A675),isblank($B675)),"", not(iserror(vlookup($A675&amp;$B675,'3) Release_Label'!$D:$D&amp;'3) Release_Label'!$E:$E,1,0))),vlookup($A675&amp;$B675,{'3) Release_Label'!$D:$D&amp;'3) Release_Label'!$E:$E,'3) Release_Label'!$F:$F},2,0), or(and(not(isblank($B675)),$B675=$B674,$A675&lt;&gt;$A674),and(not(isblank($A675)),$A675=$A674,$B675&lt;&gt;$B674)),"ID LISTS UNALIGNED",and($A675&lt;&gt;"",countif('3) Release_Label'!$D:$D,$A675)=0),"NO UPC MATCH in Release_Label",and($B675&lt;&gt;"",countif('3) Release_Label'!$E:$E,$B675)=0),"NO CATALOG ID MATCH in Release_Label",iserror(vlookup($A675&amp;$B675,'3) Release_Label'!$D:$D&amp;'3) Release_Label'!$E:$E,1,0)),"NO UPC-CATALOG ID pair MATCH in Release_Label" )</f>
        <v/>
      </c>
      <c r="D675" s="121" t="str">
        <f t="array" ref="D675">ifs(and(isblank($A675),isblank($B675)),"", not(iserror(vlookup($A675&amp;$B675,'3) Release_Label'!$D:$D&amp;'3) Release_Label'!$E:$E,1,0))),vlookup($A675&amp;$B675,{'3) Release_Label'!$D:$D&amp;'3) Release_Label'!$E:$E,'3) Release_Label'!$H:$H},2,0), or(and(not(isblank($B675)),$B675=$B674,$A675&lt;&gt;$A674),and(not(isblank($A675)),$A675=$A674,$B675&lt;&gt;$B674)),"ID LISTS UNALIGNED",and($A675&lt;&gt;"",countif('3) Release_Label'!$D:$D,$A675)=0),"NO UPC MATCH in Release_Label",and($B675&lt;&gt;"",countif('3) Release_Label'!$E:$E,$B675)=0),"NO CATALOG ID MATCH in Release_Label",iserror(vlookup($A675&amp;$B675,'3) Release_Label'!$D:$D&amp;'3) Release_Label'!$E:$E,1,0)),"NO UPC-CATALOG ID pair MATCH in Release_Label" )</f>
        <v/>
      </c>
      <c r="E675" s="99"/>
      <c r="F675" s="99"/>
      <c r="G675" s="123" t="str">
        <f t="array" ref="G675">ifs(or($F675="",$F675="Main Primary Artist"),$F675,not(iserror(vlookup($F675,'Reference info'!$J$5:$J$8,1,0))),"Key Artist",not(iserror(vlookup($F675,'Reference info'!$J$38:$J$405,1,0))),"Performer",not(iserror(vlookup($F675,'Reference info'!$J$10:$J$36,1,0))),"Producer &amp; Engineer")</f>
        <v/>
      </c>
    </row>
    <row r="676">
      <c r="A676" s="28"/>
      <c r="B676" s="103"/>
      <c r="C676" s="121" t="str">
        <f t="array" ref="C676">ifs(and(isblank($A676),isblank($B676)),"", not(iserror(vlookup($A676&amp;$B676,'3) Release_Label'!$D:$D&amp;'3) Release_Label'!$E:$E,1,0))),vlookup($A676&amp;$B676,{'3) Release_Label'!$D:$D&amp;'3) Release_Label'!$E:$E,'3) Release_Label'!$F:$F},2,0), or(and(not(isblank($B676)),$B676=$B675,$A676&lt;&gt;$A675),and(not(isblank($A676)),$A676=$A675,$B676&lt;&gt;$B675)),"ID LISTS UNALIGNED",and($A676&lt;&gt;"",countif('3) Release_Label'!$D:$D,$A676)=0),"NO UPC MATCH in Release_Label",and($B676&lt;&gt;"",countif('3) Release_Label'!$E:$E,$B676)=0),"NO CATALOG ID MATCH in Release_Label",iserror(vlookup($A676&amp;$B676,'3) Release_Label'!$D:$D&amp;'3) Release_Label'!$E:$E,1,0)),"NO UPC-CATALOG ID pair MATCH in Release_Label" )</f>
        <v/>
      </c>
      <c r="D676" s="121" t="str">
        <f t="array" ref="D676">ifs(and(isblank($A676),isblank($B676)),"", not(iserror(vlookup($A676&amp;$B676,'3) Release_Label'!$D:$D&amp;'3) Release_Label'!$E:$E,1,0))),vlookup($A676&amp;$B676,{'3) Release_Label'!$D:$D&amp;'3) Release_Label'!$E:$E,'3) Release_Label'!$H:$H},2,0), or(and(not(isblank($B676)),$B676=$B675,$A676&lt;&gt;$A675),and(not(isblank($A676)),$A676=$A675,$B676&lt;&gt;$B675)),"ID LISTS UNALIGNED",and($A676&lt;&gt;"",countif('3) Release_Label'!$D:$D,$A676)=0),"NO UPC MATCH in Release_Label",and($B676&lt;&gt;"",countif('3) Release_Label'!$E:$E,$B676)=0),"NO CATALOG ID MATCH in Release_Label",iserror(vlookup($A676&amp;$B676,'3) Release_Label'!$D:$D&amp;'3) Release_Label'!$E:$E,1,0)),"NO UPC-CATALOG ID pair MATCH in Release_Label" )</f>
        <v/>
      </c>
      <c r="E676" s="99"/>
      <c r="F676" s="99"/>
      <c r="G676" s="123" t="str">
        <f t="array" ref="G676">ifs(or($F676="",$F676="Main Primary Artist"),$F676,not(iserror(vlookup($F676,'Reference info'!$J$5:$J$8,1,0))),"Key Artist",not(iserror(vlookup($F676,'Reference info'!$J$38:$J$405,1,0))),"Performer",not(iserror(vlookup($F676,'Reference info'!$J$10:$J$36,1,0))),"Producer &amp; Engineer")</f>
        <v/>
      </c>
    </row>
    <row r="677">
      <c r="A677" s="28"/>
      <c r="B677" s="103"/>
      <c r="C677" s="121" t="str">
        <f t="array" ref="C677">ifs(and(isblank($A677),isblank($B677)),"", not(iserror(vlookup($A677&amp;$B677,'3) Release_Label'!$D:$D&amp;'3) Release_Label'!$E:$E,1,0))),vlookup($A677&amp;$B677,{'3) Release_Label'!$D:$D&amp;'3) Release_Label'!$E:$E,'3) Release_Label'!$F:$F},2,0), or(and(not(isblank($B677)),$B677=$B676,$A677&lt;&gt;$A676),and(not(isblank($A677)),$A677=$A676,$B677&lt;&gt;$B676)),"ID LISTS UNALIGNED",and($A677&lt;&gt;"",countif('3) Release_Label'!$D:$D,$A677)=0),"NO UPC MATCH in Release_Label",and($B677&lt;&gt;"",countif('3) Release_Label'!$E:$E,$B677)=0),"NO CATALOG ID MATCH in Release_Label",iserror(vlookup($A677&amp;$B677,'3) Release_Label'!$D:$D&amp;'3) Release_Label'!$E:$E,1,0)),"NO UPC-CATALOG ID pair MATCH in Release_Label" )</f>
        <v/>
      </c>
      <c r="D677" s="121" t="str">
        <f t="array" ref="D677">ifs(and(isblank($A677),isblank($B677)),"", not(iserror(vlookup($A677&amp;$B677,'3) Release_Label'!$D:$D&amp;'3) Release_Label'!$E:$E,1,0))),vlookup($A677&amp;$B677,{'3) Release_Label'!$D:$D&amp;'3) Release_Label'!$E:$E,'3) Release_Label'!$H:$H},2,0), or(and(not(isblank($B677)),$B677=$B676,$A677&lt;&gt;$A676),and(not(isblank($A677)),$A677=$A676,$B677&lt;&gt;$B676)),"ID LISTS UNALIGNED",and($A677&lt;&gt;"",countif('3) Release_Label'!$D:$D,$A677)=0),"NO UPC MATCH in Release_Label",and($B677&lt;&gt;"",countif('3) Release_Label'!$E:$E,$B677)=0),"NO CATALOG ID MATCH in Release_Label",iserror(vlookup($A677&amp;$B677,'3) Release_Label'!$D:$D&amp;'3) Release_Label'!$E:$E,1,0)),"NO UPC-CATALOG ID pair MATCH in Release_Label" )</f>
        <v/>
      </c>
      <c r="E677" s="99"/>
      <c r="F677" s="99"/>
      <c r="G677" s="123" t="str">
        <f t="array" ref="G677">ifs(or($F677="",$F677="Main Primary Artist"),$F677,not(iserror(vlookup($F677,'Reference info'!$J$5:$J$8,1,0))),"Key Artist",not(iserror(vlookup($F677,'Reference info'!$J$38:$J$405,1,0))),"Performer",not(iserror(vlookup($F677,'Reference info'!$J$10:$J$36,1,0))),"Producer &amp; Engineer")</f>
        <v/>
      </c>
    </row>
    <row r="678">
      <c r="A678" s="28"/>
      <c r="B678" s="103"/>
      <c r="C678" s="121" t="str">
        <f t="array" ref="C678">ifs(and(isblank($A678),isblank($B678)),"", not(iserror(vlookup($A678&amp;$B678,'3) Release_Label'!$D:$D&amp;'3) Release_Label'!$E:$E,1,0))),vlookup($A678&amp;$B678,{'3) Release_Label'!$D:$D&amp;'3) Release_Label'!$E:$E,'3) Release_Label'!$F:$F},2,0), or(and(not(isblank($B678)),$B678=$B677,$A678&lt;&gt;$A677),and(not(isblank($A678)),$A678=$A677,$B678&lt;&gt;$B677)),"ID LISTS UNALIGNED",and($A678&lt;&gt;"",countif('3) Release_Label'!$D:$D,$A678)=0),"NO UPC MATCH in Release_Label",and($B678&lt;&gt;"",countif('3) Release_Label'!$E:$E,$B678)=0),"NO CATALOG ID MATCH in Release_Label",iserror(vlookup($A678&amp;$B678,'3) Release_Label'!$D:$D&amp;'3) Release_Label'!$E:$E,1,0)),"NO UPC-CATALOG ID pair MATCH in Release_Label" )</f>
        <v/>
      </c>
      <c r="D678" s="121" t="str">
        <f t="array" ref="D678">ifs(and(isblank($A678),isblank($B678)),"", not(iserror(vlookup($A678&amp;$B678,'3) Release_Label'!$D:$D&amp;'3) Release_Label'!$E:$E,1,0))),vlookup($A678&amp;$B678,{'3) Release_Label'!$D:$D&amp;'3) Release_Label'!$E:$E,'3) Release_Label'!$H:$H},2,0), or(and(not(isblank($B678)),$B678=$B677,$A678&lt;&gt;$A677),and(not(isblank($A678)),$A678=$A677,$B678&lt;&gt;$B677)),"ID LISTS UNALIGNED",and($A678&lt;&gt;"",countif('3) Release_Label'!$D:$D,$A678)=0),"NO UPC MATCH in Release_Label",and($B678&lt;&gt;"",countif('3) Release_Label'!$E:$E,$B678)=0),"NO CATALOG ID MATCH in Release_Label",iserror(vlookup($A678&amp;$B678,'3) Release_Label'!$D:$D&amp;'3) Release_Label'!$E:$E,1,0)),"NO UPC-CATALOG ID pair MATCH in Release_Label" )</f>
        <v/>
      </c>
      <c r="E678" s="99"/>
      <c r="F678" s="99"/>
      <c r="G678" s="123" t="str">
        <f t="array" ref="G678">ifs(or($F678="",$F678="Main Primary Artist"),$F678,not(iserror(vlookup($F678,'Reference info'!$J$5:$J$8,1,0))),"Key Artist",not(iserror(vlookup($F678,'Reference info'!$J$38:$J$405,1,0))),"Performer",not(iserror(vlookup($F678,'Reference info'!$J$10:$J$36,1,0))),"Producer &amp; Engineer")</f>
        <v/>
      </c>
    </row>
    <row r="679">
      <c r="A679" s="28"/>
      <c r="B679" s="103"/>
      <c r="C679" s="121" t="str">
        <f t="array" ref="C679">ifs(and(isblank($A679),isblank($B679)),"", not(iserror(vlookup($A679&amp;$B679,'3) Release_Label'!$D:$D&amp;'3) Release_Label'!$E:$E,1,0))),vlookup($A679&amp;$B679,{'3) Release_Label'!$D:$D&amp;'3) Release_Label'!$E:$E,'3) Release_Label'!$F:$F},2,0), or(and(not(isblank($B679)),$B679=$B678,$A679&lt;&gt;$A678),and(not(isblank($A679)),$A679=$A678,$B679&lt;&gt;$B678)),"ID LISTS UNALIGNED",and($A679&lt;&gt;"",countif('3) Release_Label'!$D:$D,$A679)=0),"NO UPC MATCH in Release_Label",and($B679&lt;&gt;"",countif('3) Release_Label'!$E:$E,$B679)=0),"NO CATALOG ID MATCH in Release_Label",iserror(vlookup($A679&amp;$B679,'3) Release_Label'!$D:$D&amp;'3) Release_Label'!$E:$E,1,0)),"NO UPC-CATALOG ID pair MATCH in Release_Label" )</f>
        <v/>
      </c>
      <c r="D679" s="121" t="str">
        <f t="array" ref="D679">ifs(and(isblank($A679),isblank($B679)),"", not(iserror(vlookup($A679&amp;$B679,'3) Release_Label'!$D:$D&amp;'3) Release_Label'!$E:$E,1,0))),vlookup($A679&amp;$B679,{'3) Release_Label'!$D:$D&amp;'3) Release_Label'!$E:$E,'3) Release_Label'!$H:$H},2,0), or(and(not(isblank($B679)),$B679=$B678,$A679&lt;&gt;$A678),and(not(isblank($A679)),$A679=$A678,$B679&lt;&gt;$B678)),"ID LISTS UNALIGNED",and($A679&lt;&gt;"",countif('3) Release_Label'!$D:$D,$A679)=0),"NO UPC MATCH in Release_Label",and($B679&lt;&gt;"",countif('3) Release_Label'!$E:$E,$B679)=0),"NO CATALOG ID MATCH in Release_Label",iserror(vlookup($A679&amp;$B679,'3) Release_Label'!$D:$D&amp;'3) Release_Label'!$E:$E,1,0)),"NO UPC-CATALOG ID pair MATCH in Release_Label" )</f>
        <v/>
      </c>
      <c r="E679" s="99"/>
      <c r="F679" s="99"/>
      <c r="G679" s="123" t="str">
        <f t="array" ref="G679">ifs(or($F679="",$F679="Main Primary Artist"),$F679,not(iserror(vlookup($F679,'Reference info'!$J$5:$J$8,1,0))),"Key Artist",not(iserror(vlookup($F679,'Reference info'!$J$38:$J$405,1,0))),"Performer",not(iserror(vlookup($F679,'Reference info'!$J$10:$J$36,1,0))),"Producer &amp; Engineer")</f>
        <v/>
      </c>
    </row>
    <row r="680">
      <c r="A680" s="28"/>
      <c r="B680" s="103"/>
      <c r="C680" s="121" t="str">
        <f t="array" ref="C680">ifs(and(isblank($A680),isblank($B680)),"", not(iserror(vlookup($A680&amp;$B680,'3) Release_Label'!$D:$D&amp;'3) Release_Label'!$E:$E,1,0))),vlookup($A680&amp;$B680,{'3) Release_Label'!$D:$D&amp;'3) Release_Label'!$E:$E,'3) Release_Label'!$F:$F},2,0), or(and(not(isblank($B680)),$B680=$B679,$A680&lt;&gt;$A679),and(not(isblank($A680)),$A680=$A679,$B680&lt;&gt;$B679)),"ID LISTS UNALIGNED",and($A680&lt;&gt;"",countif('3) Release_Label'!$D:$D,$A680)=0),"NO UPC MATCH in Release_Label",and($B680&lt;&gt;"",countif('3) Release_Label'!$E:$E,$B680)=0),"NO CATALOG ID MATCH in Release_Label",iserror(vlookup($A680&amp;$B680,'3) Release_Label'!$D:$D&amp;'3) Release_Label'!$E:$E,1,0)),"NO UPC-CATALOG ID pair MATCH in Release_Label" )</f>
        <v/>
      </c>
      <c r="D680" s="121" t="str">
        <f t="array" ref="D680">ifs(and(isblank($A680),isblank($B680)),"", not(iserror(vlookup($A680&amp;$B680,'3) Release_Label'!$D:$D&amp;'3) Release_Label'!$E:$E,1,0))),vlookup($A680&amp;$B680,{'3) Release_Label'!$D:$D&amp;'3) Release_Label'!$E:$E,'3) Release_Label'!$H:$H},2,0), or(and(not(isblank($B680)),$B680=$B679,$A680&lt;&gt;$A679),and(not(isblank($A680)),$A680=$A679,$B680&lt;&gt;$B679)),"ID LISTS UNALIGNED",and($A680&lt;&gt;"",countif('3) Release_Label'!$D:$D,$A680)=0),"NO UPC MATCH in Release_Label",and($B680&lt;&gt;"",countif('3) Release_Label'!$E:$E,$B680)=0),"NO CATALOG ID MATCH in Release_Label",iserror(vlookup($A680&amp;$B680,'3) Release_Label'!$D:$D&amp;'3) Release_Label'!$E:$E,1,0)),"NO UPC-CATALOG ID pair MATCH in Release_Label" )</f>
        <v/>
      </c>
      <c r="E680" s="99"/>
      <c r="F680" s="99"/>
      <c r="G680" s="123" t="str">
        <f t="array" ref="G680">ifs(or($F680="",$F680="Main Primary Artist"),$F680,not(iserror(vlookup($F680,'Reference info'!$J$5:$J$8,1,0))),"Key Artist",not(iserror(vlookup($F680,'Reference info'!$J$38:$J$405,1,0))),"Performer",not(iserror(vlookup($F680,'Reference info'!$J$10:$J$36,1,0))),"Producer &amp; Engineer")</f>
        <v/>
      </c>
    </row>
    <row r="681">
      <c r="A681" s="28"/>
      <c r="B681" s="103"/>
      <c r="C681" s="121" t="str">
        <f t="array" ref="C681">ifs(and(isblank($A681),isblank($B681)),"", not(iserror(vlookup($A681&amp;$B681,'3) Release_Label'!$D:$D&amp;'3) Release_Label'!$E:$E,1,0))),vlookup($A681&amp;$B681,{'3) Release_Label'!$D:$D&amp;'3) Release_Label'!$E:$E,'3) Release_Label'!$F:$F},2,0), or(and(not(isblank($B681)),$B681=$B680,$A681&lt;&gt;$A680),and(not(isblank($A681)),$A681=$A680,$B681&lt;&gt;$B680)),"ID LISTS UNALIGNED",and($A681&lt;&gt;"",countif('3) Release_Label'!$D:$D,$A681)=0),"NO UPC MATCH in Release_Label",and($B681&lt;&gt;"",countif('3) Release_Label'!$E:$E,$B681)=0),"NO CATALOG ID MATCH in Release_Label",iserror(vlookup($A681&amp;$B681,'3) Release_Label'!$D:$D&amp;'3) Release_Label'!$E:$E,1,0)),"NO UPC-CATALOG ID pair MATCH in Release_Label" )</f>
        <v/>
      </c>
      <c r="D681" s="121" t="str">
        <f t="array" ref="D681">ifs(and(isblank($A681),isblank($B681)),"", not(iserror(vlookup($A681&amp;$B681,'3) Release_Label'!$D:$D&amp;'3) Release_Label'!$E:$E,1,0))),vlookup($A681&amp;$B681,{'3) Release_Label'!$D:$D&amp;'3) Release_Label'!$E:$E,'3) Release_Label'!$H:$H},2,0), or(and(not(isblank($B681)),$B681=$B680,$A681&lt;&gt;$A680),and(not(isblank($A681)),$A681=$A680,$B681&lt;&gt;$B680)),"ID LISTS UNALIGNED",and($A681&lt;&gt;"",countif('3) Release_Label'!$D:$D,$A681)=0),"NO UPC MATCH in Release_Label",and($B681&lt;&gt;"",countif('3) Release_Label'!$E:$E,$B681)=0),"NO CATALOG ID MATCH in Release_Label",iserror(vlookup($A681&amp;$B681,'3) Release_Label'!$D:$D&amp;'3) Release_Label'!$E:$E,1,0)),"NO UPC-CATALOG ID pair MATCH in Release_Label" )</f>
        <v/>
      </c>
      <c r="E681" s="99"/>
      <c r="F681" s="99"/>
      <c r="G681" s="123" t="str">
        <f t="array" ref="G681">ifs(or($F681="",$F681="Main Primary Artist"),$F681,not(iserror(vlookup($F681,'Reference info'!$J$5:$J$8,1,0))),"Key Artist",not(iserror(vlookup($F681,'Reference info'!$J$38:$J$405,1,0))),"Performer",not(iserror(vlookup($F681,'Reference info'!$J$10:$J$36,1,0))),"Producer &amp; Engineer")</f>
        <v/>
      </c>
    </row>
    <row r="682">
      <c r="A682" s="28"/>
      <c r="B682" s="103"/>
      <c r="C682" s="121" t="str">
        <f t="array" ref="C682">ifs(and(isblank($A682),isblank($B682)),"", not(iserror(vlookup($A682&amp;$B682,'3) Release_Label'!$D:$D&amp;'3) Release_Label'!$E:$E,1,0))),vlookup($A682&amp;$B682,{'3) Release_Label'!$D:$D&amp;'3) Release_Label'!$E:$E,'3) Release_Label'!$F:$F},2,0), or(and(not(isblank($B682)),$B682=$B681,$A682&lt;&gt;$A681),and(not(isblank($A682)),$A682=$A681,$B682&lt;&gt;$B681)),"ID LISTS UNALIGNED",and($A682&lt;&gt;"",countif('3) Release_Label'!$D:$D,$A682)=0),"NO UPC MATCH in Release_Label",and($B682&lt;&gt;"",countif('3) Release_Label'!$E:$E,$B682)=0),"NO CATALOG ID MATCH in Release_Label",iserror(vlookup($A682&amp;$B682,'3) Release_Label'!$D:$D&amp;'3) Release_Label'!$E:$E,1,0)),"NO UPC-CATALOG ID pair MATCH in Release_Label" )</f>
        <v/>
      </c>
      <c r="D682" s="121" t="str">
        <f t="array" ref="D682">ifs(and(isblank($A682),isblank($B682)),"", not(iserror(vlookup($A682&amp;$B682,'3) Release_Label'!$D:$D&amp;'3) Release_Label'!$E:$E,1,0))),vlookup($A682&amp;$B682,{'3) Release_Label'!$D:$D&amp;'3) Release_Label'!$E:$E,'3) Release_Label'!$H:$H},2,0), or(and(not(isblank($B682)),$B682=$B681,$A682&lt;&gt;$A681),and(not(isblank($A682)),$A682=$A681,$B682&lt;&gt;$B681)),"ID LISTS UNALIGNED",and($A682&lt;&gt;"",countif('3) Release_Label'!$D:$D,$A682)=0),"NO UPC MATCH in Release_Label",and($B682&lt;&gt;"",countif('3) Release_Label'!$E:$E,$B682)=0),"NO CATALOG ID MATCH in Release_Label",iserror(vlookup($A682&amp;$B682,'3) Release_Label'!$D:$D&amp;'3) Release_Label'!$E:$E,1,0)),"NO UPC-CATALOG ID pair MATCH in Release_Label" )</f>
        <v/>
      </c>
      <c r="E682" s="99"/>
      <c r="F682" s="99"/>
      <c r="G682" s="123" t="str">
        <f t="array" ref="G682">ifs(or($F682="",$F682="Main Primary Artist"),$F682,not(iserror(vlookup($F682,'Reference info'!$J$5:$J$8,1,0))),"Key Artist",not(iserror(vlookup($F682,'Reference info'!$J$38:$J$405,1,0))),"Performer",not(iserror(vlookup($F682,'Reference info'!$J$10:$J$36,1,0))),"Producer &amp; Engineer")</f>
        <v/>
      </c>
    </row>
    <row r="683">
      <c r="A683" s="28"/>
      <c r="B683" s="103"/>
      <c r="C683" s="121" t="str">
        <f t="array" ref="C683">ifs(and(isblank($A683),isblank($B683)),"", not(iserror(vlookup($A683&amp;$B683,'3) Release_Label'!$D:$D&amp;'3) Release_Label'!$E:$E,1,0))),vlookup($A683&amp;$B683,{'3) Release_Label'!$D:$D&amp;'3) Release_Label'!$E:$E,'3) Release_Label'!$F:$F},2,0), or(and(not(isblank($B683)),$B683=$B682,$A683&lt;&gt;$A682),and(not(isblank($A683)),$A683=$A682,$B683&lt;&gt;$B682)),"ID LISTS UNALIGNED",and($A683&lt;&gt;"",countif('3) Release_Label'!$D:$D,$A683)=0),"NO UPC MATCH in Release_Label",and($B683&lt;&gt;"",countif('3) Release_Label'!$E:$E,$B683)=0),"NO CATALOG ID MATCH in Release_Label",iserror(vlookup($A683&amp;$B683,'3) Release_Label'!$D:$D&amp;'3) Release_Label'!$E:$E,1,0)),"NO UPC-CATALOG ID pair MATCH in Release_Label" )</f>
        <v/>
      </c>
      <c r="D683" s="121" t="str">
        <f t="array" ref="D683">ifs(and(isblank($A683),isblank($B683)),"", not(iserror(vlookup($A683&amp;$B683,'3) Release_Label'!$D:$D&amp;'3) Release_Label'!$E:$E,1,0))),vlookup($A683&amp;$B683,{'3) Release_Label'!$D:$D&amp;'3) Release_Label'!$E:$E,'3) Release_Label'!$H:$H},2,0), or(and(not(isblank($B683)),$B683=$B682,$A683&lt;&gt;$A682),and(not(isblank($A683)),$A683=$A682,$B683&lt;&gt;$B682)),"ID LISTS UNALIGNED",and($A683&lt;&gt;"",countif('3) Release_Label'!$D:$D,$A683)=0),"NO UPC MATCH in Release_Label",and($B683&lt;&gt;"",countif('3) Release_Label'!$E:$E,$B683)=0),"NO CATALOG ID MATCH in Release_Label",iserror(vlookup($A683&amp;$B683,'3) Release_Label'!$D:$D&amp;'3) Release_Label'!$E:$E,1,0)),"NO UPC-CATALOG ID pair MATCH in Release_Label" )</f>
        <v/>
      </c>
      <c r="E683" s="99"/>
      <c r="F683" s="99"/>
      <c r="G683" s="123" t="str">
        <f t="array" ref="G683">ifs(or($F683="",$F683="Main Primary Artist"),$F683,not(iserror(vlookup($F683,'Reference info'!$J$5:$J$8,1,0))),"Key Artist",not(iserror(vlookup($F683,'Reference info'!$J$38:$J$405,1,0))),"Performer",not(iserror(vlookup($F683,'Reference info'!$J$10:$J$36,1,0))),"Producer &amp; Engineer")</f>
        <v/>
      </c>
    </row>
    <row r="684">
      <c r="A684" s="28"/>
      <c r="B684" s="103"/>
      <c r="C684" s="121" t="str">
        <f t="array" ref="C684">ifs(and(isblank($A684),isblank($B684)),"", not(iserror(vlookup($A684&amp;$B684,'3) Release_Label'!$D:$D&amp;'3) Release_Label'!$E:$E,1,0))),vlookup($A684&amp;$B684,{'3) Release_Label'!$D:$D&amp;'3) Release_Label'!$E:$E,'3) Release_Label'!$F:$F},2,0), or(and(not(isblank($B684)),$B684=$B683,$A684&lt;&gt;$A683),and(not(isblank($A684)),$A684=$A683,$B684&lt;&gt;$B683)),"ID LISTS UNALIGNED",and($A684&lt;&gt;"",countif('3) Release_Label'!$D:$D,$A684)=0),"NO UPC MATCH in Release_Label",and($B684&lt;&gt;"",countif('3) Release_Label'!$E:$E,$B684)=0),"NO CATALOG ID MATCH in Release_Label",iserror(vlookup($A684&amp;$B684,'3) Release_Label'!$D:$D&amp;'3) Release_Label'!$E:$E,1,0)),"NO UPC-CATALOG ID pair MATCH in Release_Label" )</f>
        <v/>
      </c>
      <c r="D684" s="121" t="str">
        <f t="array" ref="D684">ifs(and(isblank($A684),isblank($B684)),"", not(iserror(vlookup($A684&amp;$B684,'3) Release_Label'!$D:$D&amp;'3) Release_Label'!$E:$E,1,0))),vlookup($A684&amp;$B684,{'3) Release_Label'!$D:$D&amp;'3) Release_Label'!$E:$E,'3) Release_Label'!$H:$H},2,0), or(and(not(isblank($B684)),$B684=$B683,$A684&lt;&gt;$A683),and(not(isblank($A684)),$A684=$A683,$B684&lt;&gt;$B683)),"ID LISTS UNALIGNED",and($A684&lt;&gt;"",countif('3) Release_Label'!$D:$D,$A684)=0),"NO UPC MATCH in Release_Label",and($B684&lt;&gt;"",countif('3) Release_Label'!$E:$E,$B684)=0),"NO CATALOG ID MATCH in Release_Label",iserror(vlookup($A684&amp;$B684,'3) Release_Label'!$D:$D&amp;'3) Release_Label'!$E:$E,1,0)),"NO UPC-CATALOG ID pair MATCH in Release_Label" )</f>
        <v/>
      </c>
      <c r="E684" s="99"/>
      <c r="F684" s="99"/>
      <c r="G684" s="123" t="str">
        <f t="array" ref="G684">ifs(or($F684="",$F684="Main Primary Artist"),$F684,not(iserror(vlookup($F684,'Reference info'!$J$5:$J$8,1,0))),"Key Artist",not(iserror(vlookup($F684,'Reference info'!$J$38:$J$405,1,0))),"Performer",not(iserror(vlookup($F684,'Reference info'!$J$10:$J$36,1,0))),"Producer &amp; Engineer")</f>
        <v/>
      </c>
    </row>
    <row r="685">
      <c r="A685" s="28"/>
      <c r="B685" s="103"/>
      <c r="C685" s="121" t="str">
        <f t="array" ref="C685">ifs(and(isblank($A685),isblank($B685)),"", not(iserror(vlookup($A685&amp;$B685,'3) Release_Label'!$D:$D&amp;'3) Release_Label'!$E:$E,1,0))),vlookup($A685&amp;$B685,{'3) Release_Label'!$D:$D&amp;'3) Release_Label'!$E:$E,'3) Release_Label'!$F:$F},2,0), or(and(not(isblank($B685)),$B685=$B684,$A685&lt;&gt;$A684),and(not(isblank($A685)),$A685=$A684,$B685&lt;&gt;$B684)),"ID LISTS UNALIGNED",and($A685&lt;&gt;"",countif('3) Release_Label'!$D:$D,$A685)=0),"NO UPC MATCH in Release_Label",and($B685&lt;&gt;"",countif('3) Release_Label'!$E:$E,$B685)=0),"NO CATALOG ID MATCH in Release_Label",iserror(vlookup($A685&amp;$B685,'3) Release_Label'!$D:$D&amp;'3) Release_Label'!$E:$E,1,0)),"NO UPC-CATALOG ID pair MATCH in Release_Label" )</f>
        <v/>
      </c>
      <c r="D685" s="121" t="str">
        <f t="array" ref="D685">ifs(and(isblank($A685),isblank($B685)),"", not(iserror(vlookup($A685&amp;$B685,'3) Release_Label'!$D:$D&amp;'3) Release_Label'!$E:$E,1,0))),vlookup($A685&amp;$B685,{'3) Release_Label'!$D:$D&amp;'3) Release_Label'!$E:$E,'3) Release_Label'!$H:$H},2,0), or(and(not(isblank($B685)),$B685=$B684,$A685&lt;&gt;$A684),and(not(isblank($A685)),$A685=$A684,$B685&lt;&gt;$B684)),"ID LISTS UNALIGNED",and($A685&lt;&gt;"",countif('3) Release_Label'!$D:$D,$A685)=0),"NO UPC MATCH in Release_Label",and($B685&lt;&gt;"",countif('3) Release_Label'!$E:$E,$B685)=0),"NO CATALOG ID MATCH in Release_Label",iserror(vlookup($A685&amp;$B685,'3) Release_Label'!$D:$D&amp;'3) Release_Label'!$E:$E,1,0)),"NO UPC-CATALOG ID pair MATCH in Release_Label" )</f>
        <v/>
      </c>
      <c r="E685" s="99"/>
      <c r="F685" s="99"/>
      <c r="G685" s="123" t="str">
        <f t="array" ref="G685">ifs(or($F685="",$F685="Main Primary Artist"),$F685,not(iserror(vlookup($F685,'Reference info'!$J$5:$J$8,1,0))),"Key Artist",not(iserror(vlookup($F685,'Reference info'!$J$38:$J$405,1,0))),"Performer",not(iserror(vlookup($F685,'Reference info'!$J$10:$J$36,1,0))),"Producer &amp; Engineer")</f>
        <v/>
      </c>
    </row>
    <row r="686">
      <c r="A686" s="28"/>
      <c r="B686" s="103"/>
      <c r="C686" s="121" t="str">
        <f t="array" ref="C686">ifs(and(isblank($A686),isblank($B686)),"", not(iserror(vlookup($A686&amp;$B686,'3) Release_Label'!$D:$D&amp;'3) Release_Label'!$E:$E,1,0))),vlookup($A686&amp;$B686,{'3) Release_Label'!$D:$D&amp;'3) Release_Label'!$E:$E,'3) Release_Label'!$F:$F},2,0), or(and(not(isblank($B686)),$B686=$B685,$A686&lt;&gt;$A685),and(not(isblank($A686)),$A686=$A685,$B686&lt;&gt;$B685)),"ID LISTS UNALIGNED",and($A686&lt;&gt;"",countif('3) Release_Label'!$D:$D,$A686)=0),"NO UPC MATCH in Release_Label",and($B686&lt;&gt;"",countif('3) Release_Label'!$E:$E,$B686)=0),"NO CATALOG ID MATCH in Release_Label",iserror(vlookup($A686&amp;$B686,'3) Release_Label'!$D:$D&amp;'3) Release_Label'!$E:$E,1,0)),"NO UPC-CATALOG ID pair MATCH in Release_Label" )</f>
        <v/>
      </c>
      <c r="D686" s="121" t="str">
        <f t="array" ref="D686">ifs(and(isblank($A686),isblank($B686)),"", not(iserror(vlookup($A686&amp;$B686,'3) Release_Label'!$D:$D&amp;'3) Release_Label'!$E:$E,1,0))),vlookup($A686&amp;$B686,{'3) Release_Label'!$D:$D&amp;'3) Release_Label'!$E:$E,'3) Release_Label'!$H:$H},2,0), or(and(not(isblank($B686)),$B686=$B685,$A686&lt;&gt;$A685),and(not(isblank($A686)),$A686=$A685,$B686&lt;&gt;$B685)),"ID LISTS UNALIGNED",and($A686&lt;&gt;"",countif('3) Release_Label'!$D:$D,$A686)=0),"NO UPC MATCH in Release_Label",and($B686&lt;&gt;"",countif('3) Release_Label'!$E:$E,$B686)=0),"NO CATALOG ID MATCH in Release_Label",iserror(vlookup($A686&amp;$B686,'3) Release_Label'!$D:$D&amp;'3) Release_Label'!$E:$E,1,0)),"NO UPC-CATALOG ID pair MATCH in Release_Label" )</f>
        <v/>
      </c>
      <c r="E686" s="99"/>
      <c r="F686" s="99"/>
      <c r="G686" s="123" t="str">
        <f t="array" ref="G686">ifs(or($F686="",$F686="Main Primary Artist"),$F686,not(iserror(vlookup($F686,'Reference info'!$J$5:$J$8,1,0))),"Key Artist",not(iserror(vlookup($F686,'Reference info'!$J$38:$J$405,1,0))),"Performer",not(iserror(vlookup($F686,'Reference info'!$J$10:$J$36,1,0))),"Producer &amp; Engineer")</f>
        <v/>
      </c>
    </row>
    <row r="687">
      <c r="A687" s="28"/>
      <c r="B687" s="103"/>
      <c r="C687" s="121" t="str">
        <f t="array" ref="C687">ifs(and(isblank($A687),isblank($B687)),"", not(iserror(vlookup($A687&amp;$B687,'3) Release_Label'!$D:$D&amp;'3) Release_Label'!$E:$E,1,0))),vlookup($A687&amp;$B687,{'3) Release_Label'!$D:$D&amp;'3) Release_Label'!$E:$E,'3) Release_Label'!$F:$F},2,0), or(and(not(isblank($B687)),$B687=$B686,$A687&lt;&gt;$A686),and(not(isblank($A687)),$A687=$A686,$B687&lt;&gt;$B686)),"ID LISTS UNALIGNED",and($A687&lt;&gt;"",countif('3) Release_Label'!$D:$D,$A687)=0),"NO UPC MATCH in Release_Label",and($B687&lt;&gt;"",countif('3) Release_Label'!$E:$E,$B687)=0),"NO CATALOG ID MATCH in Release_Label",iserror(vlookup($A687&amp;$B687,'3) Release_Label'!$D:$D&amp;'3) Release_Label'!$E:$E,1,0)),"NO UPC-CATALOG ID pair MATCH in Release_Label" )</f>
        <v/>
      </c>
      <c r="D687" s="121" t="str">
        <f t="array" ref="D687">ifs(and(isblank($A687),isblank($B687)),"", not(iserror(vlookup($A687&amp;$B687,'3) Release_Label'!$D:$D&amp;'3) Release_Label'!$E:$E,1,0))),vlookup($A687&amp;$B687,{'3) Release_Label'!$D:$D&amp;'3) Release_Label'!$E:$E,'3) Release_Label'!$H:$H},2,0), or(and(not(isblank($B687)),$B687=$B686,$A687&lt;&gt;$A686),and(not(isblank($A687)),$A687=$A686,$B687&lt;&gt;$B686)),"ID LISTS UNALIGNED",and($A687&lt;&gt;"",countif('3) Release_Label'!$D:$D,$A687)=0),"NO UPC MATCH in Release_Label",and($B687&lt;&gt;"",countif('3) Release_Label'!$E:$E,$B687)=0),"NO CATALOG ID MATCH in Release_Label",iserror(vlookup($A687&amp;$B687,'3) Release_Label'!$D:$D&amp;'3) Release_Label'!$E:$E,1,0)),"NO UPC-CATALOG ID pair MATCH in Release_Label" )</f>
        <v/>
      </c>
      <c r="E687" s="99"/>
      <c r="F687" s="99"/>
      <c r="G687" s="123" t="str">
        <f t="array" ref="G687">ifs(or($F687="",$F687="Main Primary Artist"),$F687,not(iserror(vlookup($F687,'Reference info'!$J$5:$J$8,1,0))),"Key Artist",not(iserror(vlookup($F687,'Reference info'!$J$38:$J$405,1,0))),"Performer",not(iserror(vlookup($F687,'Reference info'!$J$10:$J$36,1,0))),"Producer &amp; Engineer")</f>
        <v/>
      </c>
    </row>
    <row r="688">
      <c r="A688" s="28"/>
      <c r="B688" s="103"/>
      <c r="C688" s="121" t="str">
        <f t="array" ref="C688">ifs(and(isblank($A688),isblank($B688)),"", not(iserror(vlookup($A688&amp;$B688,'3) Release_Label'!$D:$D&amp;'3) Release_Label'!$E:$E,1,0))),vlookup($A688&amp;$B688,{'3) Release_Label'!$D:$D&amp;'3) Release_Label'!$E:$E,'3) Release_Label'!$F:$F},2,0), or(and(not(isblank($B688)),$B688=$B687,$A688&lt;&gt;$A687),and(not(isblank($A688)),$A688=$A687,$B688&lt;&gt;$B687)),"ID LISTS UNALIGNED",and($A688&lt;&gt;"",countif('3) Release_Label'!$D:$D,$A688)=0),"NO UPC MATCH in Release_Label",and($B688&lt;&gt;"",countif('3) Release_Label'!$E:$E,$B688)=0),"NO CATALOG ID MATCH in Release_Label",iserror(vlookup($A688&amp;$B688,'3) Release_Label'!$D:$D&amp;'3) Release_Label'!$E:$E,1,0)),"NO UPC-CATALOG ID pair MATCH in Release_Label" )</f>
        <v/>
      </c>
      <c r="D688" s="121" t="str">
        <f t="array" ref="D688">ifs(and(isblank($A688),isblank($B688)),"", not(iserror(vlookup($A688&amp;$B688,'3) Release_Label'!$D:$D&amp;'3) Release_Label'!$E:$E,1,0))),vlookup($A688&amp;$B688,{'3) Release_Label'!$D:$D&amp;'3) Release_Label'!$E:$E,'3) Release_Label'!$H:$H},2,0), or(and(not(isblank($B688)),$B688=$B687,$A688&lt;&gt;$A687),and(not(isblank($A688)),$A688=$A687,$B688&lt;&gt;$B687)),"ID LISTS UNALIGNED",and($A688&lt;&gt;"",countif('3) Release_Label'!$D:$D,$A688)=0),"NO UPC MATCH in Release_Label",and($B688&lt;&gt;"",countif('3) Release_Label'!$E:$E,$B688)=0),"NO CATALOG ID MATCH in Release_Label",iserror(vlookup($A688&amp;$B688,'3) Release_Label'!$D:$D&amp;'3) Release_Label'!$E:$E,1,0)),"NO UPC-CATALOG ID pair MATCH in Release_Label" )</f>
        <v/>
      </c>
      <c r="E688" s="99"/>
      <c r="F688" s="99"/>
      <c r="G688" s="123" t="str">
        <f t="array" ref="G688">ifs(or($F688="",$F688="Main Primary Artist"),$F688,not(iserror(vlookup($F688,'Reference info'!$J$5:$J$8,1,0))),"Key Artist",not(iserror(vlookup($F688,'Reference info'!$J$38:$J$405,1,0))),"Performer",not(iserror(vlookup($F688,'Reference info'!$J$10:$J$36,1,0))),"Producer &amp; Engineer")</f>
        <v/>
      </c>
    </row>
    <row r="689">
      <c r="A689" s="28"/>
      <c r="B689" s="103"/>
      <c r="C689" s="121" t="str">
        <f t="array" ref="C689">ifs(and(isblank($A689),isblank($B689)),"", not(iserror(vlookup($A689&amp;$B689,'3) Release_Label'!$D:$D&amp;'3) Release_Label'!$E:$E,1,0))),vlookup($A689&amp;$B689,{'3) Release_Label'!$D:$D&amp;'3) Release_Label'!$E:$E,'3) Release_Label'!$F:$F},2,0), or(and(not(isblank($B689)),$B689=$B688,$A689&lt;&gt;$A688),and(not(isblank($A689)),$A689=$A688,$B689&lt;&gt;$B688)),"ID LISTS UNALIGNED",and($A689&lt;&gt;"",countif('3) Release_Label'!$D:$D,$A689)=0),"NO UPC MATCH in Release_Label",and($B689&lt;&gt;"",countif('3) Release_Label'!$E:$E,$B689)=0),"NO CATALOG ID MATCH in Release_Label",iserror(vlookup($A689&amp;$B689,'3) Release_Label'!$D:$D&amp;'3) Release_Label'!$E:$E,1,0)),"NO UPC-CATALOG ID pair MATCH in Release_Label" )</f>
        <v/>
      </c>
      <c r="D689" s="121" t="str">
        <f t="array" ref="D689">ifs(and(isblank($A689),isblank($B689)),"", not(iserror(vlookup($A689&amp;$B689,'3) Release_Label'!$D:$D&amp;'3) Release_Label'!$E:$E,1,0))),vlookup($A689&amp;$B689,{'3) Release_Label'!$D:$D&amp;'3) Release_Label'!$E:$E,'3) Release_Label'!$H:$H},2,0), or(and(not(isblank($B689)),$B689=$B688,$A689&lt;&gt;$A688),and(not(isblank($A689)),$A689=$A688,$B689&lt;&gt;$B688)),"ID LISTS UNALIGNED",and($A689&lt;&gt;"",countif('3) Release_Label'!$D:$D,$A689)=0),"NO UPC MATCH in Release_Label",and($B689&lt;&gt;"",countif('3) Release_Label'!$E:$E,$B689)=0),"NO CATALOG ID MATCH in Release_Label",iserror(vlookup($A689&amp;$B689,'3) Release_Label'!$D:$D&amp;'3) Release_Label'!$E:$E,1,0)),"NO UPC-CATALOG ID pair MATCH in Release_Label" )</f>
        <v/>
      </c>
      <c r="E689" s="99"/>
      <c r="F689" s="99"/>
      <c r="G689" s="123" t="str">
        <f t="array" ref="G689">ifs(or($F689="",$F689="Main Primary Artist"),$F689,not(iserror(vlookup($F689,'Reference info'!$J$5:$J$8,1,0))),"Key Artist",not(iserror(vlookup($F689,'Reference info'!$J$38:$J$405,1,0))),"Performer",not(iserror(vlookup($F689,'Reference info'!$J$10:$J$36,1,0))),"Producer &amp; Engineer")</f>
        <v/>
      </c>
    </row>
    <row r="690">
      <c r="A690" s="28"/>
      <c r="B690" s="103"/>
      <c r="C690" s="121" t="str">
        <f t="array" ref="C690">ifs(and(isblank($A690),isblank($B690)),"", not(iserror(vlookup($A690&amp;$B690,'3) Release_Label'!$D:$D&amp;'3) Release_Label'!$E:$E,1,0))),vlookup($A690&amp;$B690,{'3) Release_Label'!$D:$D&amp;'3) Release_Label'!$E:$E,'3) Release_Label'!$F:$F},2,0), or(and(not(isblank($B690)),$B690=$B689,$A690&lt;&gt;$A689),and(not(isblank($A690)),$A690=$A689,$B690&lt;&gt;$B689)),"ID LISTS UNALIGNED",and($A690&lt;&gt;"",countif('3) Release_Label'!$D:$D,$A690)=0),"NO UPC MATCH in Release_Label",and($B690&lt;&gt;"",countif('3) Release_Label'!$E:$E,$B690)=0),"NO CATALOG ID MATCH in Release_Label",iserror(vlookup($A690&amp;$B690,'3) Release_Label'!$D:$D&amp;'3) Release_Label'!$E:$E,1,0)),"NO UPC-CATALOG ID pair MATCH in Release_Label" )</f>
        <v/>
      </c>
      <c r="D690" s="121" t="str">
        <f t="array" ref="D690">ifs(and(isblank($A690),isblank($B690)),"", not(iserror(vlookup($A690&amp;$B690,'3) Release_Label'!$D:$D&amp;'3) Release_Label'!$E:$E,1,0))),vlookup($A690&amp;$B690,{'3) Release_Label'!$D:$D&amp;'3) Release_Label'!$E:$E,'3) Release_Label'!$H:$H},2,0), or(and(not(isblank($B690)),$B690=$B689,$A690&lt;&gt;$A689),and(not(isblank($A690)),$A690=$A689,$B690&lt;&gt;$B689)),"ID LISTS UNALIGNED",and($A690&lt;&gt;"",countif('3) Release_Label'!$D:$D,$A690)=0),"NO UPC MATCH in Release_Label",and($B690&lt;&gt;"",countif('3) Release_Label'!$E:$E,$B690)=0),"NO CATALOG ID MATCH in Release_Label",iserror(vlookup($A690&amp;$B690,'3) Release_Label'!$D:$D&amp;'3) Release_Label'!$E:$E,1,0)),"NO UPC-CATALOG ID pair MATCH in Release_Label" )</f>
        <v/>
      </c>
      <c r="E690" s="99"/>
      <c r="F690" s="99"/>
      <c r="G690" s="123" t="str">
        <f t="array" ref="G690">ifs(or($F690="",$F690="Main Primary Artist"),$F690,not(iserror(vlookup($F690,'Reference info'!$J$5:$J$8,1,0))),"Key Artist",not(iserror(vlookup($F690,'Reference info'!$J$38:$J$405,1,0))),"Performer",not(iserror(vlookup($F690,'Reference info'!$J$10:$J$36,1,0))),"Producer &amp; Engineer")</f>
        <v/>
      </c>
    </row>
    <row r="691">
      <c r="A691" s="28"/>
      <c r="B691" s="103"/>
      <c r="C691" s="121" t="str">
        <f t="array" ref="C691">ifs(and(isblank($A691),isblank($B691)),"", not(iserror(vlookup($A691&amp;$B691,'3) Release_Label'!$D:$D&amp;'3) Release_Label'!$E:$E,1,0))),vlookup($A691&amp;$B691,{'3) Release_Label'!$D:$D&amp;'3) Release_Label'!$E:$E,'3) Release_Label'!$F:$F},2,0), or(and(not(isblank($B691)),$B691=$B690,$A691&lt;&gt;$A690),and(not(isblank($A691)),$A691=$A690,$B691&lt;&gt;$B690)),"ID LISTS UNALIGNED",and($A691&lt;&gt;"",countif('3) Release_Label'!$D:$D,$A691)=0),"NO UPC MATCH in Release_Label",and($B691&lt;&gt;"",countif('3) Release_Label'!$E:$E,$B691)=0),"NO CATALOG ID MATCH in Release_Label",iserror(vlookup($A691&amp;$B691,'3) Release_Label'!$D:$D&amp;'3) Release_Label'!$E:$E,1,0)),"NO UPC-CATALOG ID pair MATCH in Release_Label" )</f>
        <v/>
      </c>
      <c r="D691" s="121" t="str">
        <f t="array" ref="D691">ifs(and(isblank($A691),isblank($B691)),"", not(iserror(vlookup($A691&amp;$B691,'3) Release_Label'!$D:$D&amp;'3) Release_Label'!$E:$E,1,0))),vlookup($A691&amp;$B691,{'3) Release_Label'!$D:$D&amp;'3) Release_Label'!$E:$E,'3) Release_Label'!$H:$H},2,0), or(and(not(isblank($B691)),$B691=$B690,$A691&lt;&gt;$A690),and(not(isblank($A691)),$A691=$A690,$B691&lt;&gt;$B690)),"ID LISTS UNALIGNED",and($A691&lt;&gt;"",countif('3) Release_Label'!$D:$D,$A691)=0),"NO UPC MATCH in Release_Label",and($B691&lt;&gt;"",countif('3) Release_Label'!$E:$E,$B691)=0),"NO CATALOG ID MATCH in Release_Label",iserror(vlookup($A691&amp;$B691,'3) Release_Label'!$D:$D&amp;'3) Release_Label'!$E:$E,1,0)),"NO UPC-CATALOG ID pair MATCH in Release_Label" )</f>
        <v/>
      </c>
      <c r="E691" s="99"/>
      <c r="F691" s="99"/>
      <c r="G691" s="123" t="str">
        <f t="array" ref="G691">ifs(or($F691="",$F691="Main Primary Artist"),$F691,not(iserror(vlookup($F691,'Reference info'!$J$5:$J$8,1,0))),"Key Artist",not(iserror(vlookup($F691,'Reference info'!$J$38:$J$405,1,0))),"Performer",not(iserror(vlookup($F691,'Reference info'!$J$10:$J$36,1,0))),"Producer &amp; Engineer")</f>
        <v/>
      </c>
    </row>
    <row r="692">
      <c r="A692" s="28"/>
      <c r="B692" s="103"/>
      <c r="C692" s="121" t="str">
        <f t="array" ref="C692">ifs(and(isblank($A692),isblank($B692)),"", not(iserror(vlookup($A692&amp;$B692,'3) Release_Label'!$D:$D&amp;'3) Release_Label'!$E:$E,1,0))),vlookup($A692&amp;$B692,{'3) Release_Label'!$D:$D&amp;'3) Release_Label'!$E:$E,'3) Release_Label'!$F:$F},2,0), or(and(not(isblank($B692)),$B692=$B691,$A692&lt;&gt;$A691),and(not(isblank($A692)),$A692=$A691,$B692&lt;&gt;$B691)),"ID LISTS UNALIGNED",and($A692&lt;&gt;"",countif('3) Release_Label'!$D:$D,$A692)=0),"NO UPC MATCH in Release_Label",and($B692&lt;&gt;"",countif('3) Release_Label'!$E:$E,$B692)=0),"NO CATALOG ID MATCH in Release_Label",iserror(vlookup($A692&amp;$B692,'3) Release_Label'!$D:$D&amp;'3) Release_Label'!$E:$E,1,0)),"NO UPC-CATALOG ID pair MATCH in Release_Label" )</f>
        <v/>
      </c>
      <c r="D692" s="121" t="str">
        <f t="array" ref="D692">ifs(and(isblank($A692),isblank($B692)),"", not(iserror(vlookup($A692&amp;$B692,'3) Release_Label'!$D:$D&amp;'3) Release_Label'!$E:$E,1,0))),vlookup($A692&amp;$B692,{'3) Release_Label'!$D:$D&amp;'3) Release_Label'!$E:$E,'3) Release_Label'!$H:$H},2,0), or(and(not(isblank($B692)),$B692=$B691,$A692&lt;&gt;$A691),and(not(isblank($A692)),$A692=$A691,$B692&lt;&gt;$B691)),"ID LISTS UNALIGNED",and($A692&lt;&gt;"",countif('3) Release_Label'!$D:$D,$A692)=0),"NO UPC MATCH in Release_Label",and($B692&lt;&gt;"",countif('3) Release_Label'!$E:$E,$B692)=0),"NO CATALOG ID MATCH in Release_Label",iserror(vlookup($A692&amp;$B692,'3) Release_Label'!$D:$D&amp;'3) Release_Label'!$E:$E,1,0)),"NO UPC-CATALOG ID pair MATCH in Release_Label" )</f>
        <v/>
      </c>
      <c r="E692" s="99"/>
      <c r="F692" s="99"/>
      <c r="G692" s="123" t="str">
        <f t="array" ref="G692">ifs(or($F692="",$F692="Main Primary Artist"),$F692,not(iserror(vlookup($F692,'Reference info'!$J$5:$J$8,1,0))),"Key Artist",not(iserror(vlookup($F692,'Reference info'!$J$38:$J$405,1,0))),"Performer",not(iserror(vlookup($F692,'Reference info'!$J$10:$J$36,1,0))),"Producer &amp; Engineer")</f>
        <v/>
      </c>
    </row>
    <row r="693">
      <c r="A693" s="28"/>
      <c r="B693" s="103"/>
      <c r="C693" s="121" t="str">
        <f t="array" ref="C693">ifs(and(isblank($A693),isblank($B693)),"", not(iserror(vlookup($A693&amp;$B693,'3) Release_Label'!$D:$D&amp;'3) Release_Label'!$E:$E,1,0))),vlookup($A693&amp;$B693,{'3) Release_Label'!$D:$D&amp;'3) Release_Label'!$E:$E,'3) Release_Label'!$F:$F},2,0), or(and(not(isblank($B693)),$B693=$B692,$A693&lt;&gt;$A692),and(not(isblank($A693)),$A693=$A692,$B693&lt;&gt;$B692)),"ID LISTS UNALIGNED",and($A693&lt;&gt;"",countif('3) Release_Label'!$D:$D,$A693)=0),"NO UPC MATCH in Release_Label",and($B693&lt;&gt;"",countif('3) Release_Label'!$E:$E,$B693)=0),"NO CATALOG ID MATCH in Release_Label",iserror(vlookup($A693&amp;$B693,'3) Release_Label'!$D:$D&amp;'3) Release_Label'!$E:$E,1,0)),"NO UPC-CATALOG ID pair MATCH in Release_Label" )</f>
        <v/>
      </c>
      <c r="D693" s="121" t="str">
        <f t="array" ref="D693">ifs(and(isblank($A693),isblank($B693)),"", not(iserror(vlookup($A693&amp;$B693,'3) Release_Label'!$D:$D&amp;'3) Release_Label'!$E:$E,1,0))),vlookup($A693&amp;$B693,{'3) Release_Label'!$D:$D&amp;'3) Release_Label'!$E:$E,'3) Release_Label'!$H:$H},2,0), or(and(not(isblank($B693)),$B693=$B692,$A693&lt;&gt;$A692),and(not(isblank($A693)),$A693=$A692,$B693&lt;&gt;$B692)),"ID LISTS UNALIGNED",and($A693&lt;&gt;"",countif('3) Release_Label'!$D:$D,$A693)=0),"NO UPC MATCH in Release_Label",and($B693&lt;&gt;"",countif('3) Release_Label'!$E:$E,$B693)=0),"NO CATALOG ID MATCH in Release_Label",iserror(vlookup($A693&amp;$B693,'3) Release_Label'!$D:$D&amp;'3) Release_Label'!$E:$E,1,0)),"NO UPC-CATALOG ID pair MATCH in Release_Label" )</f>
        <v/>
      </c>
      <c r="E693" s="99"/>
      <c r="F693" s="99"/>
      <c r="G693" s="123" t="str">
        <f t="array" ref="G693">ifs(or($F693="",$F693="Main Primary Artist"),$F693,not(iserror(vlookup($F693,'Reference info'!$J$5:$J$8,1,0))),"Key Artist",not(iserror(vlookup($F693,'Reference info'!$J$38:$J$405,1,0))),"Performer",not(iserror(vlookup($F693,'Reference info'!$J$10:$J$36,1,0))),"Producer &amp; Engineer")</f>
        <v/>
      </c>
    </row>
    <row r="694">
      <c r="A694" s="28"/>
      <c r="B694" s="103"/>
      <c r="C694" s="121" t="str">
        <f t="array" ref="C694">ifs(and(isblank($A694),isblank($B694)),"", not(iserror(vlookup($A694&amp;$B694,'3) Release_Label'!$D:$D&amp;'3) Release_Label'!$E:$E,1,0))),vlookup($A694&amp;$B694,{'3) Release_Label'!$D:$D&amp;'3) Release_Label'!$E:$E,'3) Release_Label'!$F:$F},2,0), or(and(not(isblank($B694)),$B694=$B693,$A694&lt;&gt;$A693),and(not(isblank($A694)),$A694=$A693,$B694&lt;&gt;$B693)),"ID LISTS UNALIGNED",and($A694&lt;&gt;"",countif('3) Release_Label'!$D:$D,$A694)=0),"NO UPC MATCH in Release_Label",and($B694&lt;&gt;"",countif('3) Release_Label'!$E:$E,$B694)=0),"NO CATALOG ID MATCH in Release_Label",iserror(vlookup($A694&amp;$B694,'3) Release_Label'!$D:$D&amp;'3) Release_Label'!$E:$E,1,0)),"NO UPC-CATALOG ID pair MATCH in Release_Label" )</f>
        <v/>
      </c>
      <c r="D694" s="121" t="str">
        <f t="array" ref="D694">ifs(and(isblank($A694),isblank($B694)),"", not(iserror(vlookup($A694&amp;$B694,'3) Release_Label'!$D:$D&amp;'3) Release_Label'!$E:$E,1,0))),vlookup($A694&amp;$B694,{'3) Release_Label'!$D:$D&amp;'3) Release_Label'!$E:$E,'3) Release_Label'!$H:$H},2,0), or(and(not(isblank($B694)),$B694=$B693,$A694&lt;&gt;$A693),and(not(isblank($A694)),$A694=$A693,$B694&lt;&gt;$B693)),"ID LISTS UNALIGNED",and($A694&lt;&gt;"",countif('3) Release_Label'!$D:$D,$A694)=0),"NO UPC MATCH in Release_Label",and($B694&lt;&gt;"",countif('3) Release_Label'!$E:$E,$B694)=0),"NO CATALOG ID MATCH in Release_Label",iserror(vlookup($A694&amp;$B694,'3) Release_Label'!$D:$D&amp;'3) Release_Label'!$E:$E,1,0)),"NO UPC-CATALOG ID pair MATCH in Release_Label" )</f>
        <v/>
      </c>
      <c r="E694" s="99"/>
      <c r="F694" s="99"/>
      <c r="G694" s="123" t="str">
        <f t="array" ref="G694">ifs(or($F694="",$F694="Main Primary Artist"),$F694,not(iserror(vlookup($F694,'Reference info'!$J$5:$J$8,1,0))),"Key Artist",not(iserror(vlookup($F694,'Reference info'!$J$38:$J$405,1,0))),"Performer",not(iserror(vlookup($F694,'Reference info'!$J$10:$J$36,1,0))),"Producer &amp; Engineer")</f>
        <v/>
      </c>
    </row>
    <row r="695">
      <c r="A695" s="28"/>
      <c r="B695" s="103"/>
      <c r="C695" s="121" t="str">
        <f t="array" ref="C695">ifs(and(isblank($A695),isblank($B695)),"", not(iserror(vlookup($A695&amp;$B695,'3) Release_Label'!$D:$D&amp;'3) Release_Label'!$E:$E,1,0))),vlookup($A695&amp;$B695,{'3) Release_Label'!$D:$D&amp;'3) Release_Label'!$E:$E,'3) Release_Label'!$F:$F},2,0), or(and(not(isblank($B695)),$B695=$B694,$A695&lt;&gt;$A694),and(not(isblank($A695)),$A695=$A694,$B695&lt;&gt;$B694)),"ID LISTS UNALIGNED",and($A695&lt;&gt;"",countif('3) Release_Label'!$D:$D,$A695)=0),"NO UPC MATCH in Release_Label",and($B695&lt;&gt;"",countif('3) Release_Label'!$E:$E,$B695)=0),"NO CATALOG ID MATCH in Release_Label",iserror(vlookup($A695&amp;$B695,'3) Release_Label'!$D:$D&amp;'3) Release_Label'!$E:$E,1,0)),"NO UPC-CATALOG ID pair MATCH in Release_Label" )</f>
        <v/>
      </c>
      <c r="D695" s="121" t="str">
        <f t="array" ref="D695">ifs(and(isblank($A695),isblank($B695)),"", not(iserror(vlookup($A695&amp;$B695,'3) Release_Label'!$D:$D&amp;'3) Release_Label'!$E:$E,1,0))),vlookup($A695&amp;$B695,{'3) Release_Label'!$D:$D&amp;'3) Release_Label'!$E:$E,'3) Release_Label'!$H:$H},2,0), or(and(not(isblank($B695)),$B695=$B694,$A695&lt;&gt;$A694),and(not(isblank($A695)),$A695=$A694,$B695&lt;&gt;$B694)),"ID LISTS UNALIGNED",and($A695&lt;&gt;"",countif('3) Release_Label'!$D:$D,$A695)=0),"NO UPC MATCH in Release_Label",and($B695&lt;&gt;"",countif('3) Release_Label'!$E:$E,$B695)=0),"NO CATALOG ID MATCH in Release_Label",iserror(vlookup($A695&amp;$B695,'3) Release_Label'!$D:$D&amp;'3) Release_Label'!$E:$E,1,0)),"NO UPC-CATALOG ID pair MATCH in Release_Label" )</f>
        <v/>
      </c>
      <c r="E695" s="99"/>
      <c r="F695" s="99"/>
      <c r="G695" s="123" t="str">
        <f t="array" ref="G695">ifs(or($F695="",$F695="Main Primary Artist"),$F695,not(iserror(vlookup($F695,'Reference info'!$J$5:$J$8,1,0))),"Key Artist",not(iserror(vlookup($F695,'Reference info'!$J$38:$J$405,1,0))),"Performer",not(iserror(vlookup($F695,'Reference info'!$J$10:$J$36,1,0))),"Producer &amp; Engineer")</f>
        <v/>
      </c>
    </row>
    <row r="696">
      <c r="A696" s="28"/>
      <c r="B696" s="103"/>
      <c r="C696" s="121" t="str">
        <f t="array" ref="C696">ifs(and(isblank($A696),isblank($B696)),"", not(iserror(vlookup($A696&amp;$B696,'3) Release_Label'!$D:$D&amp;'3) Release_Label'!$E:$E,1,0))),vlookup($A696&amp;$B696,{'3) Release_Label'!$D:$D&amp;'3) Release_Label'!$E:$E,'3) Release_Label'!$F:$F},2,0), or(and(not(isblank($B696)),$B696=$B695,$A696&lt;&gt;$A695),and(not(isblank($A696)),$A696=$A695,$B696&lt;&gt;$B695)),"ID LISTS UNALIGNED",and($A696&lt;&gt;"",countif('3) Release_Label'!$D:$D,$A696)=0),"NO UPC MATCH in Release_Label",and($B696&lt;&gt;"",countif('3) Release_Label'!$E:$E,$B696)=0),"NO CATALOG ID MATCH in Release_Label",iserror(vlookup($A696&amp;$B696,'3) Release_Label'!$D:$D&amp;'3) Release_Label'!$E:$E,1,0)),"NO UPC-CATALOG ID pair MATCH in Release_Label" )</f>
        <v/>
      </c>
      <c r="D696" s="121" t="str">
        <f t="array" ref="D696">ifs(and(isblank($A696),isblank($B696)),"", not(iserror(vlookup($A696&amp;$B696,'3) Release_Label'!$D:$D&amp;'3) Release_Label'!$E:$E,1,0))),vlookup($A696&amp;$B696,{'3) Release_Label'!$D:$D&amp;'3) Release_Label'!$E:$E,'3) Release_Label'!$H:$H},2,0), or(and(not(isblank($B696)),$B696=$B695,$A696&lt;&gt;$A695),and(not(isblank($A696)),$A696=$A695,$B696&lt;&gt;$B695)),"ID LISTS UNALIGNED",and($A696&lt;&gt;"",countif('3) Release_Label'!$D:$D,$A696)=0),"NO UPC MATCH in Release_Label",and($B696&lt;&gt;"",countif('3) Release_Label'!$E:$E,$B696)=0),"NO CATALOG ID MATCH in Release_Label",iserror(vlookup($A696&amp;$B696,'3) Release_Label'!$D:$D&amp;'3) Release_Label'!$E:$E,1,0)),"NO UPC-CATALOG ID pair MATCH in Release_Label" )</f>
        <v/>
      </c>
      <c r="E696" s="99"/>
      <c r="F696" s="99"/>
      <c r="G696" s="123" t="str">
        <f t="array" ref="G696">ifs(or($F696="",$F696="Main Primary Artist"),$F696,not(iserror(vlookup($F696,'Reference info'!$J$5:$J$8,1,0))),"Key Artist",not(iserror(vlookup($F696,'Reference info'!$J$38:$J$405,1,0))),"Performer",not(iserror(vlookup($F696,'Reference info'!$J$10:$J$36,1,0))),"Producer &amp; Engineer")</f>
        <v/>
      </c>
    </row>
    <row r="697">
      <c r="A697" s="28"/>
      <c r="B697" s="103"/>
      <c r="C697" s="121" t="str">
        <f t="array" ref="C697">ifs(and(isblank($A697),isblank($B697)),"", not(iserror(vlookup($A697&amp;$B697,'3) Release_Label'!$D:$D&amp;'3) Release_Label'!$E:$E,1,0))),vlookup($A697&amp;$B697,{'3) Release_Label'!$D:$D&amp;'3) Release_Label'!$E:$E,'3) Release_Label'!$F:$F},2,0), or(and(not(isblank($B697)),$B697=$B696,$A697&lt;&gt;$A696),and(not(isblank($A697)),$A697=$A696,$B697&lt;&gt;$B696)),"ID LISTS UNALIGNED",and($A697&lt;&gt;"",countif('3) Release_Label'!$D:$D,$A697)=0),"NO UPC MATCH in Release_Label",and($B697&lt;&gt;"",countif('3) Release_Label'!$E:$E,$B697)=0),"NO CATALOG ID MATCH in Release_Label",iserror(vlookup($A697&amp;$B697,'3) Release_Label'!$D:$D&amp;'3) Release_Label'!$E:$E,1,0)),"NO UPC-CATALOG ID pair MATCH in Release_Label" )</f>
        <v/>
      </c>
      <c r="D697" s="121" t="str">
        <f t="array" ref="D697">ifs(and(isblank($A697),isblank($B697)),"", not(iserror(vlookup($A697&amp;$B697,'3) Release_Label'!$D:$D&amp;'3) Release_Label'!$E:$E,1,0))),vlookup($A697&amp;$B697,{'3) Release_Label'!$D:$D&amp;'3) Release_Label'!$E:$E,'3) Release_Label'!$H:$H},2,0), or(and(not(isblank($B697)),$B697=$B696,$A697&lt;&gt;$A696),and(not(isblank($A697)),$A697=$A696,$B697&lt;&gt;$B696)),"ID LISTS UNALIGNED",and($A697&lt;&gt;"",countif('3) Release_Label'!$D:$D,$A697)=0),"NO UPC MATCH in Release_Label",and($B697&lt;&gt;"",countif('3) Release_Label'!$E:$E,$B697)=0),"NO CATALOG ID MATCH in Release_Label",iserror(vlookup($A697&amp;$B697,'3) Release_Label'!$D:$D&amp;'3) Release_Label'!$E:$E,1,0)),"NO UPC-CATALOG ID pair MATCH in Release_Label" )</f>
        <v/>
      </c>
      <c r="E697" s="99"/>
      <c r="F697" s="99"/>
      <c r="G697" s="123" t="str">
        <f t="array" ref="G697">ifs(or($F697="",$F697="Main Primary Artist"),$F697,not(iserror(vlookup($F697,'Reference info'!$J$5:$J$8,1,0))),"Key Artist",not(iserror(vlookup($F697,'Reference info'!$J$38:$J$405,1,0))),"Performer",not(iserror(vlookup($F697,'Reference info'!$J$10:$J$36,1,0))),"Producer &amp; Engineer")</f>
        <v/>
      </c>
    </row>
    <row r="698">
      <c r="A698" s="28"/>
      <c r="B698" s="103"/>
      <c r="C698" s="121" t="str">
        <f t="array" ref="C698">ifs(and(isblank($A698),isblank($B698)),"", not(iserror(vlookup($A698&amp;$B698,'3) Release_Label'!$D:$D&amp;'3) Release_Label'!$E:$E,1,0))),vlookup($A698&amp;$B698,{'3) Release_Label'!$D:$D&amp;'3) Release_Label'!$E:$E,'3) Release_Label'!$F:$F},2,0), or(and(not(isblank($B698)),$B698=$B697,$A698&lt;&gt;$A697),and(not(isblank($A698)),$A698=$A697,$B698&lt;&gt;$B697)),"ID LISTS UNALIGNED",and($A698&lt;&gt;"",countif('3) Release_Label'!$D:$D,$A698)=0),"NO UPC MATCH in Release_Label",and($B698&lt;&gt;"",countif('3) Release_Label'!$E:$E,$B698)=0),"NO CATALOG ID MATCH in Release_Label",iserror(vlookup($A698&amp;$B698,'3) Release_Label'!$D:$D&amp;'3) Release_Label'!$E:$E,1,0)),"NO UPC-CATALOG ID pair MATCH in Release_Label" )</f>
        <v/>
      </c>
      <c r="D698" s="121" t="str">
        <f t="array" ref="D698">ifs(and(isblank($A698),isblank($B698)),"", not(iserror(vlookup($A698&amp;$B698,'3) Release_Label'!$D:$D&amp;'3) Release_Label'!$E:$E,1,0))),vlookup($A698&amp;$B698,{'3) Release_Label'!$D:$D&amp;'3) Release_Label'!$E:$E,'3) Release_Label'!$H:$H},2,0), or(and(not(isblank($B698)),$B698=$B697,$A698&lt;&gt;$A697),and(not(isblank($A698)),$A698=$A697,$B698&lt;&gt;$B697)),"ID LISTS UNALIGNED",and($A698&lt;&gt;"",countif('3) Release_Label'!$D:$D,$A698)=0),"NO UPC MATCH in Release_Label",and($B698&lt;&gt;"",countif('3) Release_Label'!$E:$E,$B698)=0),"NO CATALOG ID MATCH in Release_Label",iserror(vlookup($A698&amp;$B698,'3) Release_Label'!$D:$D&amp;'3) Release_Label'!$E:$E,1,0)),"NO UPC-CATALOG ID pair MATCH in Release_Label" )</f>
        <v/>
      </c>
      <c r="E698" s="99"/>
      <c r="F698" s="99"/>
      <c r="G698" s="123" t="str">
        <f t="array" ref="G698">ifs(or($F698="",$F698="Main Primary Artist"),$F698,not(iserror(vlookup($F698,'Reference info'!$J$5:$J$8,1,0))),"Key Artist",not(iserror(vlookup($F698,'Reference info'!$J$38:$J$405,1,0))),"Performer",not(iserror(vlookup($F698,'Reference info'!$J$10:$J$36,1,0))),"Producer &amp; Engineer")</f>
        <v/>
      </c>
    </row>
    <row r="699">
      <c r="A699" s="28"/>
      <c r="B699" s="103"/>
      <c r="C699" s="121" t="str">
        <f t="array" ref="C699">ifs(and(isblank($A699),isblank($B699)),"", not(iserror(vlookup($A699&amp;$B699,'3) Release_Label'!$D:$D&amp;'3) Release_Label'!$E:$E,1,0))),vlookup($A699&amp;$B699,{'3) Release_Label'!$D:$D&amp;'3) Release_Label'!$E:$E,'3) Release_Label'!$F:$F},2,0), or(and(not(isblank($B699)),$B699=$B698,$A699&lt;&gt;$A698),and(not(isblank($A699)),$A699=$A698,$B699&lt;&gt;$B698)),"ID LISTS UNALIGNED",and($A699&lt;&gt;"",countif('3) Release_Label'!$D:$D,$A699)=0),"NO UPC MATCH in Release_Label",and($B699&lt;&gt;"",countif('3) Release_Label'!$E:$E,$B699)=0),"NO CATALOG ID MATCH in Release_Label",iserror(vlookup($A699&amp;$B699,'3) Release_Label'!$D:$D&amp;'3) Release_Label'!$E:$E,1,0)),"NO UPC-CATALOG ID pair MATCH in Release_Label" )</f>
        <v/>
      </c>
      <c r="D699" s="121" t="str">
        <f t="array" ref="D699">ifs(and(isblank($A699),isblank($B699)),"", not(iserror(vlookup($A699&amp;$B699,'3) Release_Label'!$D:$D&amp;'3) Release_Label'!$E:$E,1,0))),vlookup($A699&amp;$B699,{'3) Release_Label'!$D:$D&amp;'3) Release_Label'!$E:$E,'3) Release_Label'!$H:$H},2,0), or(and(not(isblank($B699)),$B699=$B698,$A699&lt;&gt;$A698),and(not(isblank($A699)),$A699=$A698,$B699&lt;&gt;$B698)),"ID LISTS UNALIGNED",and($A699&lt;&gt;"",countif('3) Release_Label'!$D:$D,$A699)=0),"NO UPC MATCH in Release_Label",and($B699&lt;&gt;"",countif('3) Release_Label'!$E:$E,$B699)=0),"NO CATALOG ID MATCH in Release_Label",iserror(vlookup($A699&amp;$B699,'3) Release_Label'!$D:$D&amp;'3) Release_Label'!$E:$E,1,0)),"NO UPC-CATALOG ID pair MATCH in Release_Label" )</f>
        <v/>
      </c>
      <c r="E699" s="99"/>
      <c r="F699" s="99"/>
      <c r="G699" s="123" t="str">
        <f t="array" ref="G699">ifs(or($F699="",$F699="Main Primary Artist"),$F699,not(iserror(vlookup($F699,'Reference info'!$J$5:$J$8,1,0))),"Key Artist",not(iserror(vlookup($F699,'Reference info'!$J$38:$J$405,1,0))),"Performer",not(iserror(vlookup($F699,'Reference info'!$J$10:$J$36,1,0))),"Producer &amp; Engineer")</f>
        <v/>
      </c>
    </row>
    <row r="700">
      <c r="A700" s="28"/>
      <c r="B700" s="103"/>
      <c r="C700" s="121" t="str">
        <f t="array" ref="C700">ifs(and(isblank($A700),isblank($B700)),"", not(iserror(vlookup($A700&amp;$B700,'3) Release_Label'!$D:$D&amp;'3) Release_Label'!$E:$E,1,0))),vlookup($A700&amp;$B700,{'3) Release_Label'!$D:$D&amp;'3) Release_Label'!$E:$E,'3) Release_Label'!$F:$F},2,0), or(and(not(isblank($B700)),$B700=$B699,$A700&lt;&gt;$A699),and(not(isblank($A700)),$A700=$A699,$B700&lt;&gt;$B699)),"ID LISTS UNALIGNED",and($A700&lt;&gt;"",countif('3) Release_Label'!$D:$D,$A700)=0),"NO UPC MATCH in Release_Label",and($B700&lt;&gt;"",countif('3) Release_Label'!$E:$E,$B700)=0),"NO CATALOG ID MATCH in Release_Label",iserror(vlookup($A700&amp;$B700,'3) Release_Label'!$D:$D&amp;'3) Release_Label'!$E:$E,1,0)),"NO UPC-CATALOG ID pair MATCH in Release_Label" )</f>
        <v/>
      </c>
      <c r="D700" s="121" t="str">
        <f t="array" ref="D700">ifs(and(isblank($A700),isblank($B700)),"", not(iserror(vlookup($A700&amp;$B700,'3) Release_Label'!$D:$D&amp;'3) Release_Label'!$E:$E,1,0))),vlookup($A700&amp;$B700,{'3) Release_Label'!$D:$D&amp;'3) Release_Label'!$E:$E,'3) Release_Label'!$H:$H},2,0), or(and(not(isblank($B700)),$B700=$B699,$A700&lt;&gt;$A699),and(not(isblank($A700)),$A700=$A699,$B700&lt;&gt;$B699)),"ID LISTS UNALIGNED",and($A700&lt;&gt;"",countif('3) Release_Label'!$D:$D,$A700)=0),"NO UPC MATCH in Release_Label",and($B700&lt;&gt;"",countif('3) Release_Label'!$E:$E,$B700)=0),"NO CATALOG ID MATCH in Release_Label",iserror(vlookup($A700&amp;$B700,'3) Release_Label'!$D:$D&amp;'3) Release_Label'!$E:$E,1,0)),"NO UPC-CATALOG ID pair MATCH in Release_Label" )</f>
        <v/>
      </c>
      <c r="E700" s="99"/>
      <c r="F700" s="99"/>
      <c r="G700" s="123" t="str">
        <f t="array" ref="G700">ifs(or($F700="",$F700="Main Primary Artist"),$F700,not(iserror(vlookup($F700,'Reference info'!$J$5:$J$8,1,0))),"Key Artist",not(iserror(vlookup($F700,'Reference info'!$J$38:$J$405,1,0))),"Performer",not(iserror(vlookup($F700,'Reference info'!$J$10:$J$36,1,0))),"Producer &amp; Engineer")</f>
        <v/>
      </c>
    </row>
    <row r="701">
      <c r="A701" s="28"/>
      <c r="B701" s="103"/>
      <c r="C701" s="121" t="str">
        <f t="array" ref="C701">ifs(and(isblank($A701),isblank($B701)),"", not(iserror(vlookup($A701&amp;$B701,'3) Release_Label'!$D:$D&amp;'3) Release_Label'!$E:$E,1,0))),vlookup($A701&amp;$B701,{'3) Release_Label'!$D:$D&amp;'3) Release_Label'!$E:$E,'3) Release_Label'!$F:$F},2,0), or(and(not(isblank($B701)),$B701=$B700,$A701&lt;&gt;$A700),and(not(isblank($A701)),$A701=$A700,$B701&lt;&gt;$B700)),"ID LISTS UNALIGNED",and($A701&lt;&gt;"",countif('3) Release_Label'!$D:$D,$A701)=0),"NO UPC MATCH in Release_Label",and($B701&lt;&gt;"",countif('3) Release_Label'!$E:$E,$B701)=0),"NO CATALOG ID MATCH in Release_Label",iserror(vlookup($A701&amp;$B701,'3) Release_Label'!$D:$D&amp;'3) Release_Label'!$E:$E,1,0)),"NO UPC-CATALOG ID pair MATCH in Release_Label" )</f>
        <v/>
      </c>
      <c r="D701" s="121" t="str">
        <f t="array" ref="D701">ifs(and(isblank($A701),isblank($B701)),"", not(iserror(vlookup($A701&amp;$B701,'3) Release_Label'!$D:$D&amp;'3) Release_Label'!$E:$E,1,0))),vlookup($A701&amp;$B701,{'3) Release_Label'!$D:$D&amp;'3) Release_Label'!$E:$E,'3) Release_Label'!$H:$H},2,0), or(and(not(isblank($B701)),$B701=$B700,$A701&lt;&gt;$A700),and(not(isblank($A701)),$A701=$A700,$B701&lt;&gt;$B700)),"ID LISTS UNALIGNED",and($A701&lt;&gt;"",countif('3) Release_Label'!$D:$D,$A701)=0),"NO UPC MATCH in Release_Label",and($B701&lt;&gt;"",countif('3) Release_Label'!$E:$E,$B701)=0),"NO CATALOG ID MATCH in Release_Label",iserror(vlookup($A701&amp;$B701,'3) Release_Label'!$D:$D&amp;'3) Release_Label'!$E:$E,1,0)),"NO UPC-CATALOG ID pair MATCH in Release_Label" )</f>
        <v/>
      </c>
      <c r="E701" s="99"/>
      <c r="F701" s="99"/>
      <c r="G701" s="123" t="str">
        <f t="array" ref="G701">ifs(or($F701="",$F701="Main Primary Artist"),$F701,not(iserror(vlookup($F701,'Reference info'!$J$5:$J$8,1,0))),"Key Artist",not(iserror(vlookup($F701,'Reference info'!$J$38:$J$405,1,0))),"Performer",not(iserror(vlookup($F701,'Reference info'!$J$10:$J$36,1,0))),"Producer &amp; Engineer")</f>
        <v/>
      </c>
    </row>
    <row r="702">
      <c r="A702" s="28"/>
      <c r="B702" s="103"/>
      <c r="C702" s="121" t="str">
        <f t="array" ref="C702">ifs(and(isblank($A702),isblank($B702)),"", not(iserror(vlookup($A702&amp;$B702,'3) Release_Label'!$D:$D&amp;'3) Release_Label'!$E:$E,1,0))),vlookup($A702&amp;$B702,{'3) Release_Label'!$D:$D&amp;'3) Release_Label'!$E:$E,'3) Release_Label'!$F:$F},2,0), or(and(not(isblank($B702)),$B702=$B701,$A702&lt;&gt;$A701),and(not(isblank($A702)),$A702=$A701,$B702&lt;&gt;$B701)),"ID LISTS UNALIGNED",and($A702&lt;&gt;"",countif('3) Release_Label'!$D:$D,$A702)=0),"NO UPC MATCH in Release_Label",and($B702&lt;&gt;"",countif('3) Release_Label'!$E:$E,$B702)=0),"NO CATALOG ID MATCH in Release_Label",iserror(vlookup($A702&amp;$B702,'3) Release_Label'!$D:$D&amp;'3) Release_Label'!$E:$E,1,0)),"NO UPC-CATALOG ID pair MATCH in Release_Label" )</f>
        <v/>
      </c>
      <c r="D702" s="121" t="str">
        <f t="array" ref="D702">ifs(and(isblank($A702),isblank($B702)),"", not(iserror(vlookup($A702&amp;$B702,'3) Release_Label'!$D:$D&amp;'3) Release_Label'!$E:$E,1,0))),vlookup($A702&amp;$B702,{'3) Release_Label'!$D:$D&amp;'3) Release_Label'!$E:$E,'3) Release_Label'!$H:$H},2,0), or(and(not(isblank($B702)),$B702=$B701,$A702&lt;&gt;$A701),and(not(isblank($A702)),$A702=$A701,$B702&lt;&gt;$B701)),"ID LISTS UNALIGNED",and($A702&lt;&gt;"",countif('3) Release_Label'!$D:$D,$A702)=0),"NO UPC MATCH in Release_Label",and($B702&lt;&gt;"",countif('3) Release_Label'!$E:$E,$B702)=0),"NO CATALOG ID MATCH in Release_Label",iserror(vlookup($A702&amp;$B702,'3) Release_Label'!$D:$D&amp;'3) Release_Label'!$E:$E,1,0)),"NO UPC-CATALOG ID pair MATCH in Release_Label" )</f>
        <v/>
      </c>
      <c r="E702" s="99"/>
      <c r="F702" s="99"/>
      <c r="G702" s="123" t="str">
        <f t="array" ref="G702">ifs(or($F702="",$F702="Main Primary Artist"),$F702,not(iserror(vlookup($F702,'Reference info'!$J$5:$J$8,1,0))),"Key Artist",not(iserror(vlookup($F702,'Reference info'!$J$38:$J$405,1,0))),"Performer",not(iserror(vlookup($F702,'Reference info'!$J$10:$J$36,1,0))),"Producer &amp; Engineer")</f>
        <v/>
      </c>
    </row>
    <row r="703">
      <c r="A703" s="28"/>
      <c r="B703" s="103"/>
      <c r="C703" s="121" t="str">
        <f t="array" ref="C703">ifs(and(isblank($A703),isblank($B703)),"", not(iserror(vlookup($A703&amp;$B703,'3) Release_Label'!$D:$D&amp;'3) Release_Label'!$E:$E,1,0))),vlookup($A703&amp;$B703,{'3) Release_Label'!$D:$D&amp;'3) Release_Label'!$E:$E,'3) Release_Label'!$F:$F},2,0), or(and(not(isblank($B703)),$B703=$B702,$A703&lt;&gt;$A702),and(not(isblank($A703)),$A703=$A702,$B703&lt;&gt;$B702)),"ID LISTS UNALIGNED",and($A703&lt;&gt;"",countif('3) Release_Label'!$D:$D,$A703)=0),"NO UPC MATCH in Release_Label",and($B703&lt;&gt;"",countif('3) Release_Label'!$E:$E,$B703)=0),"NO CATALOG ID MATCH in Release_Label",iserror(vlookup($A703&amp;$B703,'3) Release_Label'!$D:$D&amp;'3) Release_Label'!$E:$E,1,0)),"NO UPC-CATALOG ID pair MATCH in Release_Label" )</f>
        <v/>
      </c>
      <c r="D703" s="121" t="str">
        <f t="array" ref="D703">ifs(and(isblank($A703),isblank($B703)),"", not(iserror(vlookup($A703&amp;$B703,'3) Release_Label'!$D:$D&amp;'3) Release_Label'!$E:$E,1,0))),vlookup($A703&amp;$B703,{'3) Release_Label'!$D:$D&amp;'3) Release_Label'!$E:$E,'3) Release_Label'!$H:$H},2,0), or(and(not(isblank($B703)),$B703=$B702,$A703&lt;&gt;$A702),and(not(isblank($A703)),$A703=$A702,$B703&lt;&gt;$B702)),"ID LISTS UNALIGNED",and($A703&lt;&gt;"",countif('3) Release_Label'!$D:$D,$A703)=0),"NO UPC MATCH in Release_Label",and($B703&lt;&gt;"",countif('3) Release_Label'!$E:$E,$B703)=0),"NO CATALOG ID MATCH in Release_Label",iserror(vlookup($A703&amp;$B703,'3) Release_Label'!$D:$D&amp;'3) Release_Label'!$E:$E,1,0)),"NO UPC-CATALOG ID pair MATCH in Release_Label" )</f>
        <v/>
      </c>
      <c r="E703" s="99"/>
      <c r="F703" s="99"/>
      <c r="G703" s="123" t="str">
        <f t="array" ref="G703">ifs(or($F703="",$F703="Main Primary Artist"),$F703,not(iserror(vlookup($F703,'Reference info'!$J$5:$J$8,1,0))),"Key Artist",not(iserror(vlookup($F703,'Reference info'!$J$38:$J$405,1,0))),"Performer",not(iserror(vlookup($F703,'Reference info'!$J$10:$J$36,1,0))),"Producer &amp; Engineer")</f>
        <v/>
      </c>
    </row>
    <row r="704">
      <c r="A704" s="28"/>
      <c r="B704" s="103"/>
      <c r="C704" s="121" t="str">
        <f t="array" ref="C704">ifs(and(isblank($A704),isblank($B704)),"", not(iserror(vlookup($A704&amp;$B704,'3) Release_Label'!$D:$D&amp;'3) Release_Label'!$E:$E,1,0))),vlookup($A704&amp;$B704,{'3) Release_Label'!$D:$D&amp;'3) Release_Label'!$E:$E,'3) Release_Label'!$F:$F},2,0), or(and(not(isblank($B704)),$B704=$B703,$A704&lt;&gt;$A703),and(not(isblank($A704)),$A704=$A703,$B704&lt;&gt;$B703)),"ID LISTS UNALIGNED",and($A704&lt;&gt;"",countif('3) Release_Label'!$D:$D,$A704)=0),"NO UPC MATCH in Release_Label",and($B704&lt;&gt;"",countif('3) Release_Label'!$E:$E,$B704)=0),"NO CATALOG ID MATCH in Release_Label",iserror(vlookup($A704&amp;$B704,'3) Release_Label'!$D:$D&amp;'3) Release_Label'!$E:$E,1,0)),"NO UPC-CATALOG ID pair MATCH in Release_Label" )</f>
        <v/>
      </c>
      <c r="D704" s="121" t="str">
        <f t="array" ref="D704">ifs(and(isblank($A704),isblank($B704)),"", not(iserror(vlookup($A704&amp;$B704,'3) Release_Label'!$D:$D&amp;'3) Release_Label'!$E:$E,1,0))),vlookup($A704&amp;$B704,{'3) Release_Label'!$D:$D&amp;'3) Release_Label'!$E:$E,'3) Release_Label'!$H:$H},2,0), or(and(not(isblank($B704)),$B704=$B703,$A704&lt;&gt;$A703),and(not(isblank($A704)),$A704=$A703,$B704&lt;&gt;$B703)),"ID LISTS UNALIGNED",and($A704&lt;&gt;"",countif('3) Release_Label'!$D:$D,$A704)=0),"NO UPC MATCH in Release_Label",and($B704&lt;&gt;"",countif('3) Release_Label'!$E:$E,$B704)=0),"NO CATALOG ID MATCH in Release_Label",iserror(vlookup($A704&amp;$B704,'3) Release_Label'!$D:$D&amp;'3) Release_Label'!$E:$E,1,0)),"NO UPC-CATALOG ID pair MATCH in Release_Label" )</f>
        <v/>
      </c>
      <c r="E704" s="99"/>
      <c r="F704" s="99"/>
      <c r="G704" s="123" t="str">
        <f t="array" ref="G704">ifs(or($F704="",$F704="Main Primary Artist"),$F704,not(iserror(vlookup($F704,'Reference info'!$J$5:$J$8,1,0))),"Key Artist",not(iserror(vlookup($F704,'Reference info'!$J$38:$J$405,1,0))),"Performer",not(iserror(vlookup($F704,'Reference info'!$J$10:$J$36,1,0))),"Producer &amp; Engineer")</f>
        <v/>
      </c>
    </row>
    <row r="705">
      <c r="A705" s="28"/>
      <c r="B705" s="103"/>
      <c r="C705" s="121" t="str">
        <f t="array" ref="C705">ifs(and(isblank($A705),isblank($B705)),"", not(iserror(vlookup($A705&amp;$B705,'3) Release_Label'!$D:$D&amp;'3) Release_Label'!$E:$E,1,0))),vlookup($A705&amp;$B705,{'3) Release_Label'!$D:$D&amp;'3) Release_Label'!$E:$E,'3) Release_Label'!$F:$F},2,0), or(and(not(isblank($B705)),$B705=$B704,$A705&lt;&gt;$A704),and(not(isblank($A705)),$A705=$A704,$B705&lt;&gt;$B704)),"ID LISTS UNALIGNED",and($A705&lt;&gt;"",countif('3) Release_Label'!$D:$D,$A705)=0),"NO UPC MATCH in Release_Label",and($B705&lt;&gt;"",countif('3) Release_Label'!$E:$E,$B705)=0),"NO CATALOG ID MATCH in Release_Label",iserror(vlookup($A705&amp;$B705,'3) Release_Label'!$D:$D&amp;'3) Release_Label'!$E:$E,1,0)),"NO UPC-CATALOG ID pair MATCH in Release_Label" )</f>
        <v/>
      </c>
      <c r="D705" s="121" t="str">
        <f t="array" ref="D705">ifs(and(isblank($A705),isblank($B705)),"", not(iserror(vlookup($A705&amp;$B705,'3) Release_Label'!$D:$D&amp;'3) Release_Label'!$E:$E,1,0))),vlookup($A705&amp;$B705,{'3) Release_Label'!$D:$D&amp;'3) Release_Label'!$E:$E,'3) Release_Label'!$H:$H},2,0), or(and(not(isblank($B705)),$B705=$B704,$A705&lt;&gt;$A704),and(not(isblank($A705)),$A705=$A704,$B705&lt;&gt;$B704)),"ID LISTS UNALIGNED",and($A705&lt;&gt;"",countif('3) Release_Label'!$D:$D,$A705)=0),"NO UPC MATCH in Release_Label",and($B705&lt;&gt;"",countif('3) Release_Label'!$E:$E,$B705)=0),"NO CATALOG ID MATCH in Release_Label",iserror(vlookup($A705&amp;$B705,'3) Release_Label'!$D:$D&amp;'3) Release_Label'!$E:$E,1,0)),"NO UPC-CATALOG ID pair MATCH in Release_Label" )</f>
        <v/>
      </c>
      <c r="E705" s="99"/>
      <c r="F705" s="99"/>
      <c r="G705" s="123" t="str">
        <f t="array" ref="G705">ifs(or($F705="",$F705="Main Primary Artist"),$F705,not(iserror(vlookup($F705,'Reference info'!$J$5:$J$8,1,0))),"Key Artist",not(iserror(vlookup($F705,'Reference info'!$J$38:$J$405,1,0))),"Performer",not(iserror(vlookup($F705,'Reference info'!$J$10:$J$36,1,0))),"Producer &amp; Engineer")</f>
        <v/>
      </c>
    </row>
    <row r="706">
      <c r="A706" s="28"/>
      <c r="B706" s="103"/>
      <c r="C706" s="121" t="str">
        <f t="array" ref="C706">ifs(and(isblank($A706),isblank($B706)),"", not(iserror(vlookup($A706&amp;$B706,'3) Release_Label'!$D:$D&amp;'3) Release_Label'!$E:$E,1,0))),vlookup($A706&amp;$B706,{'3) Release_Label'!$D:$D&amp;'3) Release_Label'!$E:$E,'3) Release_Label'!$F:$F},2,0), or(and(not(isblank($B706)),$B706=$B705,$A706&lt;&gt;$A705),and(not(isblank($A706)),$A706=$A705,$B706&lt;&gt;$B705)),"ID LISTS UNALIGNED",and($A706&lt;&gt;"",countif('3) Release_Label'!$D:$D,$A706)=0),"NO UPC MATCH in Release_Label",and($B706&lt;&gt;"",countif('3) Release_Label'!$E:$E,$B706)=0),"NO CATALOG ID MATCH in Release_Label",iserror(vlookup($A706&amp;$B706,'3) Release_Label'!$D:$D&amp;'3) Release_Label'!$E:$E,1,0)),"NO UPC-CATALOG ID pair MATCH in Release_Label" )</f>
        <v/>
      </c>
      <c r="D706" s="121" t="str">
        <f t="array" ref="D706">ifs(and(isblank($A706),isblank($B706)),"", not(iserror(vlookup($A706&amp;$B706,'3) Release_Label'!$D:$D&amp;'3) Release_Label'!$E:$E,1,0))),vlookup($A706&amp;$B706,{'3) Release_Label'!$D:$D&amp;'3) Release_Label'!$E:$E,'3) Release_Label'!$H:$H},2,0), or(and(not(isblank($B706)),$B706=$B705,$A706&lt;&gt;$A705),and(not(isblank($A706)),$A706=$A705,$B706&lt;&gt;$B705)),"ID LISTS UNALIGNED",and($A706&lt;&gt;"",countif('3) Release_Label'!$D:$D,$A706)=0),"NO UPC MATCH in Release_Label",and($B706&lt;&gt;"",countif('3) Release_Label'!$E:$E,$B706)=0),"NO CATALOG ID MATCH in Release_Label",iserror(vlookup($A706&amp;$B706,'3) Release_Label'!$D:$D&amp;'3) Release_Label'!$E:$E,1,0)),"NO UPC-CATALOG ID pair MATCH in Release_Label" )</f>
        <v/>
      </c>
      <c r="E706" s="99"/>
      <c r="F706" s="99"/>
      <c r="G706" s="123" t="str">
        <f t="array" ref="G706">ifs(or($F706="",$F706="Main Primary Artist"),$F706,not(iserror(vlookup($F706,'Reference info'!$J$5:$J$8,1,0))),"Key Artist",not(iserror(vlookup($F706,'Reference info'!$J$38:$J$405,1,0))),"Performer",not(iserror(vlookup($F706,'Reference info'!$J$10:$J$36,1,0))),"Producer &amp; Engineer")</f>
        <v/>
      </c>
    </row>
    <row r="707">
      <c r="A707" s="28"/>
      <c r="B707" s="103"/>
      <c r="C707" s="121" t="str">
        <f t="array" ref="C707">ifs(and(isblank($A707),isblank($B707)),"", not(iserror(vlookup($A707&amp;$B707,'3) Release_Label'!$D:$D&amp;'3) Release_Label'!$E:$E,1,0))),vlookup($A707&amp;$B707,{'3) Release_Label'!$D:$D&amp;'3) Release_Label'!$E:$E,'3) Release_Label'!$F:$F},2,0), or(and(not(isblank($B707)),$B707=$B706,$A707&lt;&gt;$A706),and(not(isblank($A707)),$A707=$A706,$B707&lt;&gt;$B706)),"ID LISTS UNALIGNED",and($A707&lt;&gt;"",countif('3) Release_Label'!$D:$D,$A707)=0),"NO UPC MATCH in Release_Label",and($B707&lt;&gt;"",countif('3) Release_Label'!$E:$E,$B707)=0),"NO CATALOG ID MATCH in Release_Label",iserror(vlookup($A707&amp;$B707,'3) Release_Label'!$D:$D&amp;'3) Release_Label'!$E:$E,1,0)),"NO UPC-CATALOG ID pair MATCH in Release_Label" )</f>
        <v/>
      </c>
      <c r="D707" s="121" t="str">
        <f t="array" ref="D707">ifs(and(isblank($A707),isblank($B707)),"", not(iserror(vlookup($A707&amp;$B707,'3) Release_Label'!$D:$D&amp;'3) Release_Label'!$E:$E,1,0))),vlookup($A707&amp;$B707,{'3) Release_Label'!$D:$D&amp;'3) Release_Label'!$E:$E,'3) Release_Label'!$H:$H},2,0), or(and(not(isblank($B707)),$B707=$B706,$A707&lt;&gt;$A706),and(not(isblank($A707)),$A707=$A706,$B707&lt;&gt;$B706)),"ID LISTS UNALIGNED",and($A707&lt;&gt;"",countif('3) Release_Label'!$D:$D,$A707)=0),"NO UPC MATCH in Release_Label",and($B707&lt;&gt;"",countif('3) Release_Label'!$E:$E,$B707)=0),"NO CATALOG ID MATCH in Release_Label",iserror(vlookup($A707&amp;$B707,'3) Release_Label'!$D:$D&amp;'3) Release_Label'!$E:$E,1,0)),"NO UPC-CATALOG ID pair MATCH in Release_Label" )</f>
        <v/>
      </c>
      <c r="E707" s="99"/>
      <c r="F707" s="99"/>
      <c r="G707" s="123" t="str">
        <f t="array" ref="G707">ifs(or($F707="",$F707="Main Primary Artist"),$F707,not(iserror(vlookup($F707,'Reference info'!$J$5:$J$8,1,0))),"Key Artist",not(iserror(vlookup($F707,'Reference info'!$J$38:$J$405,1,0))),"Performer",not(iserror(vlookup($F707,'Reference info'!$J$10:$J$36,1,0))),"Producer &amp; Engineer")</f>
        <v/>
      </c>
    </row>
    <row r="708">
      <c r="A708" s="28"/>
      <c r="B708" s="103"/>
      <c r="C708" s="121" t="str">
        <f t="array" ref="C708">ifs(and(isblank($A708),isblank($B708)),"", not(iserror(vlookup($A708&amp;$B708,'3) Release_Label'!$D:$D&amp;'3) Release_Label'!$E:$E,1,0))),vlookup($A708&amp;$B708,{'3) Release_Label'!$D:$D&amp;'3) Release_Label'!$E:$E,'3) Release_Label'!$F:$F},2,0), or(and(not(isblank($B708)),$B708=$B707,$A708&lt;&gt;$A707),and(not(isblank($A708)),$A708=$A707,$B708&lt;&gt;$B707)),"ID LISTS UNALIGNED",and($A708&lt;&gt;"",countif('3) Release_Label'!$D:$D,$A708)=0),"NO UPC MATCH in Release_Label",and($B708&lt;&gt;"",countif('3) Release_Label'!$E:$E,$B708)=0),"NO CATALOG ID MATCH in Release_Label",iserror(vlookup($A708&amp;$B708,'3) Release_Label'!$D:$D&amp;'3) Release_Label'!$E:$E,1,0)),"NO UPC-CATALOG ID pair MATCH in Release_Label" )</f>
        <v/>
      </c>
      <c r="D708" s="121" t="str">
        <f t="array" ref="D708">ifs(and(isblank($A708),isblank($B708)),"", not(iserror(vlookup($A708&amp;$B708,'3) Release_Label'!$D:$D&amp;'3) Release_Label'!$E:$E,1,0))),vlookup($A708&amp;$B708,{'3) Release_Label'!$D:$D&amp;'3) Release_Label'!$E:$E,'3) Release_Label'!$H:$H},2,0), or(and(not(isblank($B708)),$B708=$B707,$A708&lt;&gt;$A707),and(not(isblank($A708)),$A708=$A707,$B708&lt;&gt;$B707)),"ID LISTS UNALIGNED",and($A708&lt;&gt;"",countif('3) Release_Label'!$D:$D,$A708)=0),"NO UPC MATCH in Release_Label",and($B708&lt;&gt;"",countif('3) Release_Label'!$E:$E,$B708)=0),"NO CATALOG ID MATCH in Release_Label",iserror(vlookup($A708&amp;$B708,'3) Release_Label'!$D:$D&amp;'3) Release_Label'!$E:$E,1,0)),"NO UPC-CATALOG ID pair MATCH in Release_Label" )</f>
        <v/>
      </c>
      <c r="E708" s="99"/>
      <c r="F708" s="99"/>
      <c r="G708" s="123" t="str">
        <f t="array" ref="G708">ifs(or($F708="",$F708="Main Primary Artist"),$F708,not(iserror(vlookup($F708,'Reference info'!$J$5:$J$8,1,0))),"Key Artist",not(iserror(vlookup($F708,'Reference info'!$J$38:$J$405,1,0))),"Performer",not(iserror(vlookup($F708,'Reference info'!$J$10:$J$36,1,0))),"Producer &amp; Engineer")</f>
        <v/>
      </c>
    </row>
    <row r="709">
      <c r="A709" s="28"/>
      <c r="B709" s="103"/>
      <c r="C709" s="121" t="str">
        <f t="array" ref="C709">ifs(and(isblank($A709),isblank($B709)),"", not(iserror(vlookup($A709&amp;$B709,'3) Release_Label'!$D:$D&amp;'3) Release_Label'!$E:$E,1,0))),vlookup($A709&amp;$B709,{'3) Release_Label'!$D:$D&amp;'3) Release_Label'!$E:$E,'3) Release_Label'!$F:$F},2,0), or(and(not(isblank($B709)),$B709=$B708,$A709&lt;&gt;$A708),and(not(isblank($A709)),$A709=$A708,$B709&lt;&gt;$B708)),"ID LISTS UNALIGNED",and($A709&lt;&gt;"",countif('3) Release_Label'!$D:$D,$A709)=0),"NO UPC MATCH in Release_Label",and($B709&lt;&gt;"",countif('3) Release_Label'!$E:$E,$B709)=0),"NO CATALOG ID MATCH in Release_Label",iserror(vlookup($A709&amp;$B709,'3) Release_Label'!$D:$D&amp;'3) Release_Label'!$E:$E,1,0)),"NO UPC-CATALOG ID pair MATCH in Release_Label" )</f>
        <v/>
      </c>
      <c r="D709" s="121" t="str">
        <f t="array" ref="D709">ifs(and(isblank($A709),isblank($B709)),"", not(iserror(vlookup($A709&amp;$B709,'3) Release_Label'!$D:$D&amp;'3) Release_Label'!$E:$E,1,0))),vlookup($A709&amp;$B709,{'3) Release_Label'!$D:$D&amp;'3) Release_Label'!$E:$E,'3) Release_Label'!$H:$H},2,0), or(and(not(isblank($B709)),$B709=$B708,$A709&lt;&gt;$A708),and(not(isblank($A709)),$A709=$A708,$B709&lt;&gt;$B708)),"ID LISTS UNALIGNED",and($A709&lt;&gt;"",countif('3) Release_Label'!$D:$D,$A709)=0),"NO UPC MATCH in Release_Label",and($B709&lt;&gt;"",countif('3) Release_Label'!$E:$E,$B709)=0),"NO CATALOG ID MATCH in Release_Label",iserror(vlookup($A709&amp;$B709,'3) Release_Label'!$D:$D&amp;'3) Release_Label'!$E:$E,1,0)),"NO UPC-CATALOG ID pair MATCH in Release_Label" )</f>
        <v/>
      </c>
      <c r="E709" s="99"/>
      <c r="F709" s="99"/>
      <c r="G709" s="123" t="str">
        <f t="array" ref="G709">ifs(or($F709="",$F709="Main Primary Artist"),$F709,not(iserror(vlookup($F709,'Reference info'!$J$5:$J$8,1,0))),"Key Artist",not(iserror(vlookup($F709,'Reference info'!$J$38:$J$405,1,0))),"Performer",not(iserror(vlookup($F709,'Reference info'!$J$10:$J$36,1,0))),"Producer &amp; Engineer")</f>
        <v/>
      </c>
    </row>
    <row r="710">
      <c r="A710" s="28"/>
      <c r="B710" s="103"/>
      <c r="C710" s="121" t="str">
        <f t="array" ref="C710">ifs(and(isblank($A710),isblank($B710)),"", not(iserror(vlookup($A710&amp;$B710,'3) Release_Label'!$D:$D&amp;'3) Release_Label'!$E:$E,1,0))),vlookup($A710&amp;$B710,{'3) Release_Label'!$D:$D&amp;'3) Release_Label'!$E:$E,'3) Release_Label'!$F:$F},2,0), or(and(not(isblank($B710)),$B710=$B709,$A710&lt;&gt;$A709),and(not(isblank($A710)),$A710=$A709,$B710&lt;&gt;$B709)),"ID LISTS UNALIGNED",and($A710&lt;&gt;"",countif('3) Release_Label'!$D:$D,$A710)=0),"NO UPC MATCH in Release_Label",and($B710&lt;&gt;"",countif('3) Release_Label'!$E:$E,$B710)=0),"NO CATALOG ID MATCH in Release_Label",iserror(vlookup($A710&amp;$B710,'3) Release_Label'!$D:$D&amp;'3) Release_Label'!$E:$E,1,0)),"NO UPC-CATALOG ID pair MATCH in Release_Label" )</f>
        <v/>
      </c>
      <c r="D710" s="121" t="str">
        <f t="array" ref="D710">ifs(and(isblank($A710),isblank($B710)),"", not(iserror(vlookup($A710&amp;$B710,'3) Release_Label'!$D:$D&amp;'3) Release_Label'!$E:$E,1,0))),vlookup($A710&amp;$B710,{'3) Release_Label'!$D:$D&amp;'3) Release_Label'!$E:$E,'3) Release_Label'!$H:$H},2,0), or(and(not(isblank($B710)),$B710=$B709,$A710&lt;&gt;$A709),and(not(isblank($A710)),$A710=$A709,$B710&lt;&gt;$B709)),"ID LISTS UNALIGNED",and($A710&lt;&gt;"",countif('3) Release_Label'!$D:$D,$A710)=0),"NO UPC MATCH in Release_Label",and($B710&lt;&gt;"",countif('3) Release_Label'!$E:$E,$B710)=0),"NO CATALOG ID MATCH in Release_Label",iserror(vlookup($A710&amp;$B710,'3) Release_Label'!$D:$D&amp;'3) Release_Label'!$E:$E,1,0)),"NO UPC-CATALOG ID pair MATCH in Release_Label" )</f>
        <v/>
      </c>
      <c r="E710" s="99"/>
      <c r="F710" s="99"/>
      <c r="G710" s="123" t="str">
        <f t="array" ref="G710">ifs(or($F710="",$F710="Main Primary Artist"),$F710,not(iserror(vlookup($F710,'Reference info'!$J$5:$J$8,1,0))),"Key Artist",not(iserror(vlookup($F710,'Reference info'!$J$38:$J$405,1,0))),"Performer",not(iserror(vlookup($F710,'Reference info'!$J$10:$J$36,1,0))),"Producer &amp; Engineer")</f>
        <v/>
      </c>
    </row>
    <row r="711">
      <c r="A711" s="28"/>
      <c r="B711" s="103"/>
      <c r="C711" s="121" t="str">
        <f t="array" ref="C711">ifs(and(isblank($A711),isblank($B711)),"", not(iserror(vlookup($A711&amp;$B711,'3) Release_Label'!$D:$D&amp;'3) Release_Label'!$E:$E,1,0))),vlookup($A711&amp;$B711,{'3) Release_Label'!$D:$D&amp;'3) Release_Label'!$E:$E,'3) Release_Label'!$F:$F},2,0), or(and(not(isblank($B711)),$B711=$B710,$A711&lt;&gt;$A710),and(not(isblank($A711)),$A711=$A710,$B711&lt;&gt;$B710)),"ID LISTS UNALIGNED",and($A711&lt;&gt;"",countif('3) Release_Label'!$D:$D,$A711)=0),"NO UPC MATCH in Release_Label",and($B711&lt;&gt;"",countif('3) Release_Label'!$E:$E,$B711)=0),"NO CATALOG ID MATCH in Release_Label",iserror(vlookup($A711&amp;$B711,'3) Release_Label'!$D:$D&amp;'3) Release_Label'!$E:$E,1,0)),"NO UPC-CATALOG ID pair MATCH in Release_Label" )</f>
        <v/>
      </c>
      <c r="D711" s="121" t="str">
        <f t="array" ref="D711">ifs(and(isblank($A711),isblank($B711)),"", not(iserror(vlookup($A711&amp;$B711,'3) Release_Label'!$D:$D&amp;'3) Release_Label'!$E:$E,1,0))),vlookup($A711&amp;$B711,{'3) Release_Label'!$D:$D&amp;'3) Release_Label'!$E:$E,'3) Release_Label'!$H:$H},2,0), or(and(not(isblank($B711)),$B711=$B710,$A711&lt;&gt;$A710),and(not(isblank($A711)),$A711=$A710,$B711&lt;&gt;$B710)),"ID LISTS UNALIGNED",and($A711&lt;&gt;"",countif('3) Release_Label'!$D:$D,$A711)=0),"NO UPC MATCH in Release_Label",and($B711&lt;&gt;"",countif('3) Release_Label'!$E:$E,$B711)=0),"NO CATALOG ID MATCH in Release_Label",iserror(vlookup($A711&amp;$B711,'3) Release_Label'!$D:$D&amp;'3) Release_Label'!$E:$E,1,0)),"NO UPC-CATALOG ID pair MATCH in Release_Label" )</f>
        <v/>
      </c>
      <c r="E711" s="99"/>
      <c r="F711" s="99"/>
      <c r="G711" s="123" t="str">
        <f t="array" ref="G711">ifs(or($F711="",$F711="Main Primary Artist"),$F711,not(iserror(vlookup($F711,'Reference info'!$J$5:$J$8,1,0))),"Key Artist",not(iserror(vlookup($F711,'Reference info'!$J$38:$J$405,1,0))),"Performer",not(iserror(vlookup($F711,'Reference info'!$J$10:$J$36,1,0))),"Producer &amp; Engineer")</f>
        <v/>
      </c>
    </row>
    <row r="712">
      <c r="A712" s="28"/>
      <c r="B712" s="103"/>
      <c r="C712" s="121" t="str">
        <f t="array" ref="C712">ifs(and(isblank($A712),isblank($B712)),"", not(iserror(vlookup($A712&amp;$B712,'3) Release_Label'!$D:$D&amp;'3) Release_Label'!$E:$E,1,0))),vlookup($A712&amp;$B712,{'3) Release_Label'!$D:$D&amp;'3) Release_Label'!$E:$E,'3) Release_Label'!$F:$F},2,0), or(and(not(isblank($B712)),$B712=$B711,$A712&lt;&gt;$A711),and(not(isblank($A712)),$A712=$A711,$B712&lt;&gt;$B711)),"ID LISTS UNALIGNED",and($A712&lt;&gt;"",countif('3) Release_Label'!$D:$D,$A712)=0),"NO UPC MATCH in Release_Label",and($B712&lt;&gt;"",countif('3) Release_Label'!$E:$E,$B712)=0),"NO CATALOG ID MATCH in Release_Label",iserror(vlookup($A712&amp;$B712,'3) Release_Label'!$D:$D&amp;'3) Release_Label'!$E:$E,1,0)),"NO UPC-CATALOG ID pair MATCH in Release_Label" )</f>
        <v/>
      </c>
      <c r="D712" s="121" t="str">
        <f t="array" ref="D712">ifs(and(isblank($A712),isblank($B712)),"", not(iserror(vlookup($A712&amp;$B712,'3) Release_Label'!$D:$D&amp;'3) Release_Label'!$E:$E,1,0))),vlookup($A712&amp;$B712,{'3) Release_Label'!$D:$D&amp;'3) Release_Label'!$E:$E,'3) Release_Label'!$H:$H},2,0), or(and(not(isblank($B712)),$B712=$B711,$A712&lt;&gt;$A711),and(not(isblank($A712)),$A712=$A711,$B712&lt;&gt;$B711)),"ID LISTS UNALIGNED",and($A712&lt;&gt;"",countif('3) Release_Label'!$D:$D,$A712)=0),"NO UPC MATCH in Release_Label",and($B712&lt;&gt;"",countif('3) Release_Label'!$E:$E,$B712)=0),"NO CATALOG ID MATCH in Release_Label",iserror(vlookup($A712&amp;$B712,'3) Release_Label'!$D:$D&amp;'3) Release_Label'!$E:$E,1,0)),"NO UPC-CATALOG ID pair MATCH in Release_Label" )</f>
        <v/>
      </c>
      <c r="E712" s="99"/>
      <c r="F712" s="99"/>
      <c r="G712" s="123" t="str">
        <f t="array" ref="G712">ifs(or($F712="",$F712="Main Primary Artist"),$F712,not(iserror(vlookup($F712,'Reference info'!$J$5:$J$8,1,0))),"Key Artist",not(iserror(vlookup($F712,'Reference info'!$J$38:$J$405,1,0))),"Performer",not(iserror(vlookup($F712,'Reference info'!$J$10:$J$36,1,0))),"Producer &amp; Engineer")</f>
        <v/>
      </c>
    </row>
    <row r="713">
      <c r="A713" s="28"/>
      <c r="B713" s="103"/>
      <c r="C713" s="121" t="str">
        <f t="array" ref="C713">ifs(and(isblank($A713),isblank($B713)),"", not(iserror(vlookup($A713&amp;$B713,'3) Release_Label'!$D:$D&amp;'3) Release_Label'!$E:$E,1,0))),vlookup($A713&amp;$B713,{'3) Release_Label'!$D:$D&amp;'3) Release_Label'!$E:$E,'3) Release_Label'!$F:$F},2,0), or(and(not(isblank($B713)),$B713=$B712,$A713&lt;&gt;$A712),and(not(isblank($A713)),$A713=$A712,$B713&lt;&gt;$B712)),"ID LISTS UNALIGNED",and($A713&lt;&gt;"",countif('3) Release_Label'!$D:$D,$A713)=0),"NO UPC MATCH in Release_Label",and($B713&lt;&gt;"",countif('3) Release_Label'!$E:$E,$B713)=0),"NO CATALOG ID MATCH in Release_Label",iserror(vlookup($A713&amp;$B713,'3) Release_Label'!$D:$D&amp;'3) Release_Label'!$E:$E,1,0)),"NO UPC-CATALOG ID pair MATCH in Release_Label" )</f>
        <v/>
      </c>
      <c r="D713" s="121" t="str">
        <f t="array" ref="D713">ifs(and(isblank($A713),isblank($B713)),"", not(iserror(vlookup($A713&amp;$B713,'3) Release_Label'!$D:$D&amp;'3) Release_Label'!$E:$E,1,0))),vlookup($A713&amp;$B713,{'3) Release_Label'!$D:$D&amp;'3) Release_Label'!$E:$E,'3) Release_Label'!$H:$H},2,0), or(and(not(isblank($B713)),$B713=$B712,$A713&lt;&gt;$A712),and(not(isblank($A713)),$A713=$A712,$B713&lt;&gt;$B712)),"ID LISTS UNALIGNED",and($A713&lt;&gt;"",countif('3) Release_Label'!$D:$D,$A713)=0),"NO UPC MATCH in Release_Label",and($B713&lt;&gt;"",countif('3) Release_Label'!$E:$E,$B713)=0),"NO CATALOG ID MATCH in Release_Label",iserror(vlookup($A713&amp;$B713,'3) Release_Label'!$D:$D&amp;'3) Release_Label'!$E:$E,1,0)),"NO UPC-CATALOG ID pair MATCH in Release_Label" )</f>
        <v/>
      </c>
      <c r="E713" s="99"/>
      <c r="F713" s="99"/>
      <c r="G713" s="123" t="str">
        <f t="array" ref="G713">ifs(or($F713="",$F713="Main Primary Artist"),$F713,not(iserror(vlookup($F713,'Reference info'!$J$5:$J$8,1,0))),"Key Artist",not(iserror(vlookup($F713,'Reference info'!$J$38:$J$405,1,0))),"Performer",not(iserror(vlookup($F713,'Reference info'!$J$10:$J$36,1,0))),"Producer &amp; Engineer")</f>
        <v/>
      </c>
    </row>
    <row r="714">
      <c r="A714" s="28"/>
      <c r="B714" s="103"/>
      <c r="C714" s="121" t="str">
        <f t="array" ref="C714">ifs(and(isblank($A714),isblank($B714)),"", not(iserror(vlookup($A714&amp;$B714,'3) Release_Label'!$D:$D&amp;'3) Release_Label'!$E:$E,1,0))),vlookup($A714&amp;$B714,{'3) Release_Label'!$D:$D&amp;'3) Release_Label'!$E:$E,'3) Release_Label'!$F:$F},2,0), or(and(not(isblank($B714)),$B714=$B713,$A714&lt;&gt;$A713),and(not(isblank($A714)),$A714=$A713,$B714&lt;&gt;$B713)),"ID LISTS UNALIGNED",and($A714&lt;&gt;"",countif('3) Release_Label'!$D:$D,$A714)=0),"NO UPC MATCH in Release_Label",and($B714&lt;&gt;"",countif('3) Release_Label'!$E:$E,$B714)=0),"NO CATALOG ID MATCH in Release_Label",iserror(vlookup($A714&amp;$B714,'3) Release_Label'!$D:$D&amp;'3) Release_Label'!$E:$E,1,0)),"NO UPC-CATALOG ID pair MATCH in Release_Label" )</f>
        <v/>
      </c>
      <c r="D714" s="121" t="str">
        <f t="array" ref="D714">ifs(and(isblank($A714),isblank($B714)),"", not(iserror(vlookup($A714&amp;$B714,'3) Release_Label'!$D:$D&amp;'3) Release_Label'!$E:$E,1,0))),vlookup($A714&amp;$B714,{'3) Release_Label'!$D:$D&amp;'3) Release_Label'!$E:$E,'3) Release_Label'!$H:$H},2,0), or(and(not(isblank($B714)),$B714=$B713,$A714&lt;&gt;$A713),and(not(isblank($A714)),$A714=$A713,$B714&lt;&gt;$B713)),"ID LISTS UNALIGNED",and($A714&lt;&gt;"",countif('3) Release_Label'!$D:$D,$A714)=0),"NO UPC MATCH in Release_Label",and($B714&lt;&gt;"",countif('3) Release_Label'!$E:$E,$B714)=0),"NO CATALOG ID MATCH in Release_Label",iserror(vlookup($A714&amp;$B714,'3) Release_Label'!$D:$D&amp;'3) Release_Label'!$E:$E,1,0)),"NO UPC-CATALOG ID pair MATCH in Release_Label" )</f>
        <v/>
      </c>
      <c r="E714" s="99"/>
      <c r="F714" s="99"/>
      <c r="G714" s="123" t="str">
        <f t="array" ref="G714">ifs(or($F714="",$F714="Main Primary Artist"),$F714,not(iserror(vlookup($F714,'Reference info'!$J$5:$J$8,1,0))),"Key Artist",not(iserror(vlookup($F714,'Reference info'!$J$38:$J$405,1,0))),"Performer",not(iserror(vlookup($F714,'Reference info'!$J$10:$J$36,1,0))),"Producer &amp; Engineer")</f>
        <v/>
      </c>
    </row>
    <row r="715">
      <c r="A715" s="28"/>
      <c r="B715" s="103"/>
      <c r="C715" s="121" t="str">
        <f t="array" ref="C715">ifs(and(isblank($A715),isblank($B715)),"", not(iserror(vlookup($A715&amp;$B715,'3) Release_Label'!$D:$D&amp;'3) Release_Label'!$E:$E,1,0))),vlookup($A715&amp;$B715,{'3) Release_Label'!$D:$D&amp;'3) Release_Label'!$E:$E,'3) Release_Label'!$F:$F},2,0), or(and(not(isblank($B715)),$B715=$B714,$A715&lt;&gt;$A714),and(not(isblank($A715)),$A715=$A714,$B715&lt;&gt;$B714)),"ID LISTS UNALIGNED",and($A715&lt;&gt;"",countif('3) Release_Label'!$D:$D,$A715)=0),"NO UPC MATCH in Release_Label",and($B715&lt;&gt;"",countif('3) Release_Label'!$E:$E,$B715)=0),"NO CATALOG ID MATCH in Release_Label",iserror(vlookup($A715&amp;$B715,'3) Release_Label'!$D:$D&amp;'3) Release_Label'!$E:$E,1,0)),"NO UPC-CATALOG ID pair MATCH in Release_Label" )</f>
        <v/>
      </c>
      <c r="D715" s="121" t="str">
        <f t="array" ref="D715">ifs(and(isblank($A715),isblank($B715)),"", not(iserror(vlookup($A715&amp;$B715,'3) Release_Label'!$D:$D&amp;'3) Release_Label'!$E:$E,1,0))),vlookup($A715&amp;$B715,{'3) Release_Label'!$D:$D&amp;'3) Release_Label'!$E:$E,'3) Release_Label'!$H:$H},2,0), or(and(not(isblank($B715)),$B715=$B714,$A715&lt;&gt;$A714),and(not(isblank($A715)),$A715=$A714,$B715&lt;&gt;$B714)),"ID LISTS UNALIGNED",and($A715&lt;&gt;"",countif('3) Release_Label'!$D:$D,$A715)=0),"NO UPC MATCH in Release_Label",and($B715&lt;&gt;"",countif('3) Release_Label'!$E:$E,$B715)=0),"NO CATALOG ID MATCH in Release_Label",iserror(vlookup($A715&amp;$B715,'3) Release_Label'!$D:$D&amp;'3) Release_Label'!$E:$E,1,0)),"NO UPC-CATALOG ID pair MATCH in Release_Label" )</f>
        <v/>
      </c>
      <c r="E715" s="99"/>
      <c r="F715" s="99"/>
      <c r="G715" s="123" t="str">
        <f t="array" ref="G715">ifs(or($F715="",$F715="Main Primary Artist"),$F715,not(iserror(vlookup($F715,'Reference info'!$J$5:$J$8,1,0))),"Key Artist",not(iserror(vlookup($F715,'Reference info'!$J$38:$J$405,1,0))),"Performer",not(iserror(vlookup($F715,'Reference info'!$J$10:$J$36,1,0))),"Producer &amp; Engineer")</f>
        <v/>
      </c>
    </row>
    <row r="716">
      <c r="A716" s="28"/>
      <c r="B716" s="103"/>
      <c r="C716" s="121" t="str">
        <f t="array" ref="C716">ifs(and(isblank($A716),isblank($B716)),"", not(iserror(vlookup($A716&amp;$B716,'3) Release_Label'!$D:$D&amp;'3) Release_Label'!$E:$E,1,0))),vlookup($A716&amp;$B716,{'3) Release_Label'!$D:$D&amp;'3) Release_Label'!$E:$E,'3) Release_Label'!$F:$F},2,0), or(and(not(isblank($B716)),$B716=$B715,$A716&lt;&gt;$A715),and(not(isblank($A716)),$A716=$A715,$B716&lt;&gt;$B715)),"ID LISTS UNALIGNED",and($A716&lt;&gt;"",countif('3) Release_Label'!$D:$D,$A716)=0),"NO UPC MATCH in Release_Label",and($B716&lt;&gt;"",countif('3) Release_Label'!$E:$E,$B716)=0),"NO CATALOG ID MATCH in Release_Label",iserror(vlookup($A716&amp;$B716,'3) Release_Label'!$D:$D&amp;'3) Release_Label'!$E:$E,1,0)),"NO UPC-CATALOG ID pair MATCH in Release_Label" )</f>
        <v/>
      </c>
      <c r="D716" s="121" t="str">
        <f t="array" ref="D716">ifs(and(isblank($A716),isblank($B716)),"", not(iserror(vlookup($A716&amp;$B716,'3) Release_Label'!$D:$D&amp;'3) Release_Label'!$E:$E,1,0))),vlookup($A716&amp;$B716,{'3) Release_Label'!$D:$D&amp;'3) Release_Label'!$E:$E,'3) Release_Label'!$H:$H},2,0), or(and(not(isblank($B716)),$B716=$B715,$A716&lt;&gt;$A715),and(not(isblank($A716)),$A716=$A715,$B716&lt;&gt;$B715)),"ID LISTS UNALIGNED",and($A716&lt;&gt;"",countif('3) Release_Label'!$D:$D,$A716)=0),"NO UPC MATCH in Release_Label",and($B716&lt;&gt;"",countif('3) Release_Label'!$E:$E,$B716)=0),"NO CATALOG ID MATCH in Release_Label",iserror(vlookup($A716&amp;$B716,'3) Release_Label'!$D:$D&amp;'3) Release_Label'!$E:$E,1,0)),"NO UPC-CATALOG ID pair MATCH in Release_Label" )</f>
        <v/>
      </c>
      <c r="E716" s="99"/>
      <c r="F716" s="99"/>
      <c r="G716" s="123" t="str">
        <f t="array" ref="G716">ifs(or($F716="",$F716="Main Primary Artist"),$F716,not(iserror(vlookup($F716,'Reference info'!$J$5:$J$8,1,0))),"Key Artist",not(iserror(vlookup($F716,'Reference info'!$J$38:$J$405,1,0))),"Performer",not(iserror(vlookup($F716,'Reference info'!$J$10:$J$36,1,0))),"Producer &amp; Engineer")</f>
        <v/>
      </c>
    </row>
    <row r="717">
      <c r="A717" s="28"/>
      <c r="B717" s="103"/>
      <c r="C717" s="121" t="str">
        <f t="array" ref="C717">ifs(and(isblank($A717),isblank($B717)),"", not(iserror(vlookup($A717&amp;$B717,'3) Release_Label'!$D:$D&amp;'3) Release_Label'!$E:$E,1,0))),vlookup($A717&amp;$B717,{'3) Release_Label'!$D:$D&amp;'3) Release_Label'!$E:$E,'3) Release_Label'!$F:$F},2,0), or(and(not(isblank($B717)),$B717=$B716,$A717&lt;&gt;$A716),and(not(isblank($A717)),$A717=$A716,$B717&lt;&gt;$B716)),"ID LISTS UNALIGNED",and($A717&lt;&gt;"",countif('3) Release_Label'!$D:$D,$A717)=0),"NO UPC MATCH in Release_Label",and($B717&lt;&gt;"",countif('3) Release_Label'!$E:$E,$B717)=0),"NO CATALOG ID MATCH in Release_Label",iserror(vlookup($A717&amp;$B717,'3) Release_Label'!$D:$D&amp;'3) Release_Label'!$E:$E,1,0)),"NO UPC-CATALOG ID pair MATCH in Release_Label" )</f>
        <v/>
      </c>
      <c r="D717" s="121" t="str">
        <f t="array" ref="D717">ifs(and(isblank($A717),isblank($B717)),"", not(iserror(vlookup($A717&amp;$B717,'3) Release_Label'!$D:$D&amp;'3) Release_Label'!$E:$E,1,0))),vlookup($A717&amp;$B717,{'3) Release_Label'!$D:$D&amp;'3) Release_Label'!$E:$E,'3) Release_Label'!$H:$H},2,0), or(and(not(isblank($B717)),$B717=$B716,$A717&lt;&gt;$A716),and(not(isblank($A717)),$A717=$A716,$B717&lt;&gt;$B716)),"ID LISTS UNALIGNED",and($A717&lt;&gt;"",countif('3) Release_Label'!$D:$D,$A717)=0),"NO UPC MATCH in Release_Label",and($B717&lt;&gt;"",countif('3) Release_Label'!$E:$E,$B717)=0),"NO CATALOG ID MATCH in Release_Label",iserror(vlookup($A717&amp;$B717,'3) Release_Label'!$D:$D&amp;'3) Release_Label'!$E:$E,1,0)),"NO UPC-CATALOG ID pair MATCH in Release_Label" )</f>
        <v/>
      </c>
      <c r="E717" s="99"/>
      <c r="F717" s="99"/>
      <c r="G717" s="123" t="str">
        <f t="array" ref="G717">ifs(or($F717="",$F717="Main Primary Artist"),$F717,not(iserror(vlookup($F717,'Reference info'!$J$5:$J$8,1,0))),"Key Artist",not(iserror(vlookup($F717,'Reference info'!$J$38:$J$405,1,0))),"Performer",not(iserror(vlookup($F717,'Reference info'!$J$10:$J$36,1,0))),"Producer &amp; Engineer")</f>
        <v/>
      </c>
    </row>
    <row r="718">
      <c r="A718" s="28"/>
      <c r="B718" s="103"/>
      <c r="C718" s="121" t="str">
        <f t="array" ref="C718">ifs(and(isblank($A718),isblank($B718)),"", not(iserror(vlookup($A718&amp;$B718,'3) Release_Label'!$D:$D&amp;'3) Release_Label'!$E:$E,1,0))),vlookup($A718&amp;$B718,{'3) Release_Label'!$D:$D&amp;'3) Release_Label'!$E:$E,'3) Release_Label'!$F:$F},2,0), or(and(not(isblank($B718)),$B718=$B717,$A718&lt;&gt;$A717),and(not(isblank($A718)),$A718=$A717,$B718&lt;&gt;$B717)),"ID LISTS UNALIGNED",and($A718&lt;&gt;"",countif('3) Release_Label'!$D:$D,$A718)=0),"NO UPC MATCH in Release_Label",and($B718&lt;&gt;"",countif('3) Release_Label'!$E:$E,$B718)=0),"NO CATALOG ID MATCH in Release_Label",iserror(vlookup($A718&amp;$B718,'3) Release_Label'!$D:$D&amp;'3) Release_Label'!$E:$E,1,0)),"NO UPC-CATALOG ID pair MATCH in Release_Label" )</f>
        <v/>
      </c>
      <c r="D718" s="121" t="str">
        <f t="array" ref="D718">ifs(and(isblank($A718),isblank($B718)),"", not(iserror(vlookup($A718&amp;$B718,'3) Release_Label'!$D:$D&amp;'3) Release_Label'!$E:$E,1,0))),vlookup($A718&amp;$B718,{'3) Release_Label'!$D:$D&amp;'3) Release_Label'!$E:$E,'3) Release_Label'!$H:$H},2,0), or(and(not(isblank($B718)),$B718=$B717,$A718&lt;&gt;$A717),and(not(isblank($A718)),$A718=$A717,$B718&lt;&gt;$B717)),"ID LISTS UNALIGNED",and($A718&lt;&gt;"",countif('3) Release_Label'!$D:$D,$A718)=0),"NO UPC MATCH in Release_Label",and($B718&lt;&gt;"",countif('3) Release_Label'!$E:$E,$B718)=0),"NO CATALOG ID MATCH in Release_Label",iserror(vlookup($A718&amp;$B718,'3) Release_Label'!$D:$D&amp;'3) Release_Label'!$E:$E,1,0)),"NO UPC-CATALOG ID pair MATCH in Release_Label" )</f>
        <v/>
      </c>
      <c r="E718" s="99"/>
      <c r="F718" s="99"/>
      <c r="G718" s="123" t="str">
        <f t="array" ref="G718">ifs(or($F718="",$F718="Main Primary Artist"),$F718,not(iserror(vlookup($F718,'Reference info'!$J$5:$J$8,1,0))),"Key Artist",not(iserror(vlookup($F718,'Reference info'!$J$38:$J$405,1,0))),"Performer",not(iserror(vlookup($F718,'Reference info'!$J$10:$J$36,1,0))),"Producer &amp; Engineer")</f>
        <v/>
      </c>
    </row>
    <row r="719">
      <c r="A719" s="28"/>
      <c r="B719" s="103"/>
      <c r="C719" s="121" t="str">
        <f t="array" ref="C719">ifs(and(isblank($A719),isblank($B719)),"", not(iserror(vlookup($A719&amp;$B719,'3) Release_Label'!$D:$D&amp;'3) Release_Label'!$E:$E,1,0))),vlookup($A719&amp;$B719,{'3) Release_Label'!$D:$D&amp;'3) Release_Label'!$E:$E,'3) Release_Label'!$F:$F},2,0), or(and(not(isblank($B719)),$B719=$B718,$A719&lt;&gt;$A718),and(not(isblank($A719)),$A719=$A718,$B719&lt;&gt;$B718)),"ID LISTS UNALIGNED",and($A719&lt;&gt;"",countif('3) Release_Label'!$D:$D,$A719)=0),"NO UPC MATCH in Release_Label",and($B719&lt;&gt;"",countif('3) Release_Label'!$E:$E,$B719)=0),"NO CATALOG ID MATCH in Release_Label",iserror(vlookup($A719&amp;$B719,'3) Release_Label'!$D:$D&amp;'3) Release_Label'!$E:$E,1,0)),"NO UPC-CATALOG ID pair MATCH in Release_Label" )</f>
        <v/>
      </c>
      <c r="D719" s="121" t="str">
        <f t="array" ref="D719">ifs(and(isblank($A719),isblank($B719)),"", not(iserror(vlookup($A719&amp;$B719,'3) Release_Label'!$D:$D&amp;'3) Release_Label'!$E:$E,1,0))),vlookup($A719&amp;$B719,{'3) Release_Label'!$D:$D&amp;'3) Release_Label'!$E:$E,'3) Release_Label'!$H:$H},2,0), or(and(not(isblank($B719)),$B719=$B718,$A719&lt;&gt;$A718),and(not(isblank($A719)),$A719=$A718,$B719&lt;&gt;$B718)),"ID LISTS UNALIGNED",and($A719&lt;&gt;"",countif('3) Release_Label'!$D:$D,$A719)=0),"NO UPC MATCH in Release_Label",and($B719&lt;&gt;"",countif('3) Release_Label'!$E:$E,$B719)=0),"NO CATALOG ID MATCH in Release_Label",iserror(vlookup($A719&amp;$B719,'3) Release_Label'!$D:$D&amp;'3) Release_Label'!$E:$E,1,0)),"NO UPC-CATALOG ID pair MATCH in Release_Label" )</f>
        <v/>
      </c>
      <c r="E719" s="99"/>
      <c r="F719" s="99"/>
      <c r="G719" s="123" t="str">
        <f t="array" ref="G719">ifs(or($F719="",$F719="Main Primary Artist"),$F719,not(iserror(vlookup($F719,'Reference info'!$J$5:$J$8,1,0))),"Key Artist",not(iserror(vlookup($F719,'Reference info'!$J$38:$J$405,1,0))),"Performer",not(iserror(vlookup($F719,'Reference info'!$J$10:$J$36,1,0))),"Producer &amp; Engineer")</f>
        <v/>
      </c>
    </row>
    <row r="720">
      <c r="A720" s="28"/>
      <c r="B720" s="103"/>
      <c r="C720" s="121" t="str">
        <f t="array" ref="C720">ifs(and(isblank($A720),isblank($B720)),"", not(iserror(vlookup($A720&amp;$B720,'3) Release_Label'!$D:$D&amp;'3) Release_Label'!$E:$E,1,0))),vlookup($A720&amp;$B720,{'3) Release_Label'!$D:$D&amp;'3) Release_Label'!$E:$E,'3) Release_Label'!$F:$F},2,0), or(and(not(isblank($B720)),$B720=$B719,$A720&lt;&gt;$A719),and(not(isblank($A720)),$A720=$A719,$B720&lt;&gt;$B719)),"ID LISTS UNALIGNED",and($A720&lt;&gt;"",countif('3) Release_Label'!$D:$D,$A720)=0),"NO UPC MATCH in Release_Label",and($B720&lt;&gt;"",countif('3) Release_Label'!$E:$E,$B720)=0),"NO CATALOG ID MATCH in Release_Label",iserror(vlookup($A720&amp;$B720,'3) Release_Label'!$D:$D&amp;'3) Release_Label'!$E:$E,1,0)),"NO UPC-CATALOG ID pair MATCH in Release_Label" )</f>
        <v/>
      </c>
      <c r="D720" s="121" t="str">
        <f t="array" ref="D720">ifs(and(isblank($A720),isblank($B720)),"", not(iserror(vlookup($A720&amp;$B720,'3) Release_Label'!$D:$D&amp;'3) Release_Label'!$E:$E,1,0))),vlookup($A720&amp;$B720,{'3) Release_Label'!$D:$D&amp;'3) Release_Label'!$E:$E,'3) Release_Label'!$H:$H},2,0), or(and(not(isblank($B720)),$B720=$B719,$A720&lt;&gt;$A719),and(not(isblank($A720)),$A720=$A719,$B720&lt;&gt;$B719)),"ID LISTS UNALIGNED",and($A720&lt;&gt;"",countif('3) Release_Label'!$D:$D,$A720)=0),"NO UPC MATCH in Release_Label",and($B720&lt;&gt;"",countif('3) Release_Label'!$E:$E,$B720)=0),"NO CATALOG ID MATCH in Release_Label",iserror(vlookup($A720&amp;$B720,'3) Release_Label'!$D:$D&amp;'3) Release_Label'!$E:$E,1,0)),"NO UPC-CATALOG ID pair MATCH in Release_Label" )</f>
        <v/>
      </c>
      <c r="E720" s="99"/>
      <c r="F720" s="99"/>
      <c r="G720" s="123" t="str">
        <f t="array" ref="G720">ifs(or($F720="",$F720="Main Primary Artist"),$F720,not(iserror(vlookup($F720,'Reference info'!$J$5:$J$8,1,0))),"Key Artist",not(iserror(vlookup($F720,'Reference info'!$J$38:$J$405,1,0))),"Performer",not(iserror(vlookup($F720,'Reference info'!$J$10:$J$36,1,0))),"Producer &amp; Engineer")</f>
        <v/>
      </c>
    </row>
    <row r="721">
      <c r="A721" s="28"/>
      <c r="B721" s="103"/>
      <c r="C721" s="121" t="str">
        <f t="array" ref="C721">ifs(and(isblank($A721),isblank($B721)),"", not(iserror(vlookup($A721&amp;$B721,'3) Release_Label'!$D:$D&amp;'3) Release_Label'!$E:$E,1,0))),vlookup($A721&amp;$B721,{'3) Release_Label'!$D:$D&amp;'3) Release_Label'!$E:$E,'3) Release_Label'!$F:$F},2,0), or(and(not(isblank($B721)),$B721=$B720,$A721&lt;&gt;$A720),and(not(isblank($A721)),$A721=$A720,$B721&lt;&gt;$B720)),"ID LISTS UNALIGNED",and($A721&lt;&gt;"",countif('3) Release_Label'!$D:$D,$A721)=0),"NO UPC MATCH in Release_Label",and($B721&lt;&gt;"",countif('3) Release_Label'!$E:$E,$B721)=0),"NO CATALOG ID MATCH in Release_Label",iserror(vlookup($A721&amp;$B721,'3) Release_Label'!$D:$D&amp;'3) Release_Label'!$E:$E,1,0)),"NO UPC-CATALOG ID pair MATCH in Release_Label" )</f>
        <v/>
      </c>
      <c r="D721" s="121" t="str">
        <f t="array" ref="D721">ifs(and(isblank($A721),isblank($B721)),"", not(iserror(vlookup($A721&amp;$B721,'3) Release_Label'!$D:$D&amp;'3) Release_Label'!$E:$E,1,0))),vlookup($A721&amp;$B721,{'3) Release_Label'!$D:$D&amp;'3) Release_Label'!$E:$E,'3) Release_Label'!$H:$H},2,0), or(and(not(isblank($B721)),$B721=$B720,$A721&lt;&gt;$A720),and(not(isblank($A721)),$A721=$A720,$B721&lt;&gt;$B720)),"ID LISTS UNALIGNED",and($A721&lt;&gt;"",countif('3) Release_Label'!$D:$D,$A721)=0),"NO UPC MATCH in Release_Label",and($B721&lt;&gt;"",countif('3) Release_Label'!$E:$E,$B721)=0),"NO CATALOG ID MATCH in Release_Label",iserror(vlookup($A721&amp;$B721,'3) Release_Label'!$D:$D&amp;'3) Release_Label'!$E:$E,1,0)),"NO UPC-CATALOG ID pair MATCH in Release_Label" )</f>
        <v/>
      </c>
      <c r="E721" s="99"/>
      <c r="F721" s="99"/>
      <c r="G721" s="123" t="str">
        <f t="array" ref="G721">ifs(or($F721="",$F721="Main Primary Artist"),$F721,not(iserror(vlookup($F721,'Reference info'!$J$5:$J$8,1,0))),"Key Artist",not(iserror(vlookup($F721,'Reference info'!$J$38:$J$405,1,0))),"Performer",not(iserror(vlookup($F721,'Reference info'!$J$10:$J$36,1,0))),"Producer &amp; Engineer")</f>
        <v/>
      </c>
    </row>
    <row r="722">
      <c r="A722" s="28"/>
      <c r="B722" s="103"/>
      <c r="C722" s="121" t="str">
        <f t="array" ref="C722">ifs(and(isblank($A722),isblank($B722)),"", not(iserror(vlookup($A722&amp;$B722,'3) Release_Label'!$D:$D&amp;'3) Release_Label'!$E:$E,1,0))),vlookup($A722&amp;$B722,{'3) Release_Label'!$D:$D&amp;'3) Release_Label'!$E:$E,'3) Release_Label'!$F:$F},2,0), or(and(not(isblank($B722)),$B722=$B721,$A722&lt;&gt;$A721),and(not(isblank($A722)),$A722=$A721,$B722&lt;&gt;$B721)),"ID LISTS UNALIGNED",and($A722&lt;&gt;"",countif('3) Release_Label'!$D:$D,$A722)=0),"NO UPC MATCH in Release_Label",and($B722&lt;&gt;"",countif('3) Release_Label'!$E:$E,$B722)=0),"NO CATALOG ID MATCH in Release_Label",iserror(vlookup($A722&amp;$B722,'3) Release_Label'!$D:$D&amp;'3) Release_Label'!$E:$E,1,0)),"NO UPC-CATALOG ID pair MATCH in Release_Label" )</f>
        <v/>
      </c>
      <c r="D722" s="121" t="str">
        <f t="array" ref="D722">ifs(and(isblank($A722),isblank($B722)),"", not(iserror(vlookup($A722&amp;$B722,'3) Release_Label'!$D:$D&amp;'3) Release_Label'!$E:$E,1,0))),vlookup($A722&amp;$B722,{'3) Release_Label'!$D:$D&amp;'3) Release_Label'!$E:$E,'3) Release_Label'!$H:$H},2,0), or(and(not(isblank($B722)),$B722=$B721,$A722&lt;&gt;$A721),and(not(isblank($A722)),$A722=$A721,$B722&lt;&gt;$B721)),"ID LISTS UNALIGNED",and($A722&lt;&gt;"",countif('3) Release_Label'!$D:$D,$A722)=0),"NO UPC MATCH in Release_Label",and($B722&lt;&gt;"",countif('3) Release_Label'!$E:$E,$B722)=0),"NO CATALOG ID MATCH in Release_Label",iserror(vlookup($A722&amp;$B722,'3) Release_Label'!$D:$D&amp;'3) Release_Label'!$E:$E,1,0)),"NO UPC-CATALOG ID pair MATCH in Release_Label" )</f>
        <v/>
      </c>
      <c r="E722" s="99"/>
      <c r="F722" s="99"/>
      <c r="G722" s="123" t="str">
        <f t="array" ref="G722">ifs(or($F722="",$F722="Main Primary Artist"),$F722,not(iserror(vlookup($F722,'Reference info'!$J$5:$J$8,1,0))),"Key Artist",not(iserror(vlookup($F722,'Reference info'!$J$38:$J$405,1,0))),"Performer",not(iserror(vlookup($F722,'Reference info'!$J$10:$J$36,1,0))),"Producer &amp; Engineer")</f>
        <v/>
      </c>
    </row>
    <row r="723">
      <c r="A723" s="28"/>
      <c r="B723" s="103"/>
      <c r="C723" s="121" t="str">
        <f t="array" ref="C723">ifs(and(isblank($A723),isblank($B723)),"", not(iserror(vlookup($A723&amp;$B723,'3) Release_Label'!$D:$D&amp;'3) Release_Label'!$E:$E,1,0))),vlookup($A723&amp;$B723,{'3) Release_Label'!$D:$D&amp;'3) Release_Label'!$E:$E,'3) Release_Label'!$F:$F},2,0), or(and(not(isblank($B723)),$B723=$B722,$A723&lt;&gt;$A722),and(not(isblank($A723)),$A723=$A722,$B723&lt;&gt;$B722)),"ID LISTS UNALIGNED",and($A723&lt;&gt;"",countif('3) Release_Label'!$D:$D,$A723)=0),"NO UPC MATCH in Release_Label",and($B723&lt;&gt;"",countif('3) Release_Label'!$E:$E,$B723)=0),"NO CATALOG ID MATCH in Release_Label",iserror(vlookup($A723&amp;$B723,'3) Release_Label'!$D:$D&amp;'3) Release_Label'!$E:$E,1,0)),"NO UPC-CATALOG ID pair MATCH in Release_Label" )</f>
        <v/>
      </c>
      <c r="D723" s="121" t="str">
        <f t="array" ref="D723">ifs(and(isblank($A723),isblank($B723)),"", not(iserror(vlookup($A723&amp;$B723,'3) Release_Label'!$D:$D&amp;'3) Release_Label'!$E:$E,1,0))),vlookup($A723&amp;$B723,{'3) Release_Label'!$D:$D&amp;'3) Release_Label'!$E:$E,'3) Release_Label'!$H:$H},2,0), or(and(not(isblank($B723)),$B723=$B722,$A723&lt;&gt;$A722),and(not(isblank($A723)),$A723=$A722,$B723&lt;&gt;$B722)),"ID LISTS UNALIGNED",and($A723&lt;&gt;"",countif('3) Release_Label'!$D:$D,$A723)=0),"NO UPC MATCH in Release_Label",and($B723&lt;&gt;"",countif('3) Release_Label'!$E:$E,$B723)=0),"NO CATALOG ID MATCH in Release_Label",iserror(vlookup($A723&amp;$B723,'3) Release_Label'!$D:$D&amp;'3) Release_Label'!$E:$E,1,0)),"NO UPC-CATALOG ID pair MATCH in Release_Label" )</f>
        <v/>
      </c>
      <c r="E723" s="99"/>
      <c r="F723" s="99"/>
      <c r="G723" s="123" t="str">
        <f t="array" ref="G723">ifs(or($F723="",$F723="Main Primary Artist"),$F723,not(iserror(vlookup($F723,'Reference info'!$J$5:$J$8,1,0))),"Key Artist",not(iserror(vlookup($F723,'Reference info'!$J$38:$J$405,1,0))),"Performer",not(iserror(vlookup($F723,'Reference info'!$J$10:$J$36,1,0))),"Producer &amp; Engineer")</f>
        <v/>
      </c>
    </row>
    <row r="724">
      <c r="A724" s="28"/>
      <c r="B724" s="103"/>
      <c r="C724" s="121" t="str">
        <f t="array" ref="C724">ifs(and(isblank($A724),isblank($B724)),"", not(iserror(vlookup($A724&amp;$B724,'3) Release_Label'!$D:$D&amp;'3) Release_Label'!$E:$E,1,0))),vlookup($A724&amp;$B724,{'3) Release_Label'!$D:$D&amp;'3) Release_Label'!$E:$E,'3) Release_Label'!$F:$F},2,0), or(and(not(isblank($B724)),$B724=$B723,$A724&lt;&gt;$A723),and(not(isblank($A724)),$A724=$A723,$B724&lt;&gt;$B723)),"ID LISTS UNALIGNED",and($A724&lt;&gt;"",countif('3) Release_Label'!$D:$D,$A724)=0),"NO UPC MATCH in Release_Label",and($B724&lt;&gt;"",countif('3) Release_Label'!$E:$E,$B724)=0),"NO CATALOG ID MATCH in Release_Label",iserror(vlookup($A724&amp;$B724,'3) Release_Label'!$D:$D&amp;'3) Release_Label'!$E:$E,1,0)),"NO UPC-CATALOG ID pair MATCH in Release_Label" )</f>
        <v/>
      </c>
      <c r="D724" s="121" t="str">
        <f t="array" ref="D724">ifs(and(isblank($A724),isblank($B724)),"", not(iserror(vlookup($A724&amp;$B724,'3) Release_Label'!$D:$D&amp;'3) Release_Label'!$E:$E,1,0))),vlookup($A724&amp;$B724,{'3) Release_Label'!$D:$D&amp;'3) Release_Label'!$E:$E,'3) Release_Label'!$H:$H},2,0), or(and(not(isblank($B724)),$B724=$B723,$A724&lt;&gt;$A723),and(not(isblank($A724)),$A724=$A723,$B724&lt;&gt;$B723)),"ID LISTS UNALIGNED",and($A724&lt;&gt;"",countif('3) Release_Label'!$D:$D,$A724)=0),"NO UPC MATCH in Release_Label",and($B724&lt;&gt;"",countif('3) Release_Label'!$E:$E,$B724)=0),"NO CATALOG ID MATCH in Release_Label",iserror(vlookup($A724&amp;$B724,'3) Release_Label'!$D:$D&amp;'3) Release_Label'!$E:$E,1,0)),"NO UPC-CATALOG ID pair MATCH in Release_Label" )</f>
        <v/>
      </c>
      <c r="E724" s="99"/>
      <c r="F724" s="99"/>
      <c r="G724" s="123" t="str">
        <f t="array" ref="G724">ifs(or($F724="",$F724="Main Primary Artist"),$F724,not(iserror(vlookup($F724,'Reference info'!$J$5:$J$8,1,0))),"Key Artist",not(iserror(vlookup($F724,'Reference info'!$J$38:$J$405,1,0))),"Performer",not(iserror(vlookup($F724,'Reference info'!$J$10:$J$36,1,0))),"Producer &amp; Engineer")</f>
        <v/>
      </c>
    </row>
    <row r="725">
      <c r="A725" s="28"/>
      <c r="B725" s="103"/>
      <c r="C725" s="121" t="str">
        <f t="array" ref="C725">ifs(and(isblank($A725),isblank($B725)),"", not(iserror(vlookup($A725&amp;$B725,'3) Release_Label'!$D:$D&amp;'3) Release_Label'!$E:$E,1,0))),vlookup($A725&amp;$B725,{'3) Release_Label'!$D:$D&amp;'3) Release_Label'!$E:$E,'3) Release_Label'!$F:$F},2,0), or(and(not(isblank($B725)),$B725=$B724,$A725&lt;&gt;$A724),and(not(isblank($A725)),$A725=$A724,$B725&lt;&gt;$B724)),"ID LISTS UNALIGNED",and($A725&lt;&gt;"",countif('3) Release_Label'!$D:$D,$A725)=0),"NO UPC MATCH in Release_Label",and($B725&lt;&gt;"",countif('3) Release_Label'!$E:$E,$B725)=0),"NO CATALOG ID MATCH in Release_Label",iserror(vlookup($A725&amp;$B725,'3) Release_Label'!$D:$D&amp;'3) Release_Label'!$E:$E,1,0)),"NO UPC-CATALOG ID pair MATCH in Release_Label" )</f>
        <v/>
      </c>
      <c r="D725" s="121" t="str">
        <f t="array" ref="D725">ifs(and(isblank($A725),isblank($B725)),"", not(iserror(vlookup($A725&amp;$B725,'3) Release_Label'!$D:$D&amp;'3) Release_Label'!$E:$E,1,0))),vlookup($A725&amp;$B725,{'3) Release_Label'!$D:$D&amp;'3) Release_Label'!$E:$E,'3) Release_Label'!$H:$H},2,0), or(and(not(isblank($B725)),$B725=$B724,$A725&lt;&gt;$A724),and(not(isblank($A725)),$A725=$A724,$B725&lt;&gt;$B724)),"ID LISTS UNALIGNED",and($A725&lt;&gt;"",countif('3) Release_Label'!$D:$D,$A725)=0),"NO UPC MATCH in Release_Label",and($B725&lt;&gt;"",countif('3) Release_Label'!$E:$E,$B725)=0),"NO CATALOG ID MATCH in Release_Label",iserror(vlookup($A725&amp;$B725,'3) Release_Label'!$D:$D&amp;'3) Release_Label'!$E:$E,1,0)),"NO UPC-CATALOG ID pair MATCH in Release_Label" )</f>
        <v/>
      </c>
      <c r="E725" s="99"/>
      <c r="F725" s="99"/>
      <c r="G725" s="123" t="str">
        <f t="array" ref="G725">ifs(or($F725="",$F725="Main Primary Artist"),$F725,not(iserror(vlookup($F725,'Reference info'!$J$5:$J$8,1,0))),"Key Artist",not(iserror(vlookup($F725,'Reference info'!$J$38:$J$405,1,0))),"Performer",not(iserror(vlookup($F725,'Reference info'!$J$10:$J$36,1,0))),"Producer &amp; Engineer")</f>
        <v/>
      </c>
    </row>
    <row r="726">
      <c r="A726" s="28"/>
      <c r="B726" s="103"/>
      <c r="C726" s="121" t="str">
        <f t="array" ref="C726">ifs(and(isblank($A726),isblank($B726)),"", not(iserror(vlookup($A726&amp;$B726,'3) Release_Label'!$D:$D&amp;'3) Release_Label'!$E:$E,1,0))),vlookup($A726&amp;$B726,{'3) Release_Label'!$D:$D&amp;'3) Release_Label'!$E:$E,'3) Release_Label'!$F:$F},2,0), or(and(not(isblank($B726)),$B726=$B725,$A726&lt;&gt;$A725),and(not(isblank($A726)),$A726=$A725,$B726&lt;&gt;$B725)),"ID LISTS UNALIGNED",and($A726&lt;&gt;"",countif('3) Release_Label'!$D:$D,$A726)=0),"NO UPC MATCH in Release_Label",and($B726&lt;&gt;"",countif('3) Release_Label'!$E:$E,$B726)=0),"NO CATALOG ID MATCH in Release_Label",iserror(vlookup($A726&amp;$B726,'3) Release_Label'!$D:$D&amp;'3) Release_Label'!$E:$E,1,0)),"NO UPC-CATALOG ID pair MATCH in Release_Label" )</f>
        <v/>
      </c>
      <c r="D726" s="121" t="str">
        <f t="array" ref="D726">ifs(and(isblank($A726),isblank($B726)),"", not(iserror(vlookup($A726&amp;$B726,'3) Release_Label'!$D:$D&amp;'3) Release_Label'!$E:$E,1,0))),vlookup($A726&amp;$B726,{'3) Release_Label'!$D:$D&amp;'3) Release_Label'!$E:$E,'3) Release_Label'!$H:$H},2,0), or(and(not(isblank($B726)),$B726=$B725,$A726&lt;&gt;$A725),and(not(isblank($A726)),$A726=$A725,$B726&lt;&gt;$B725)),"ID LISTS UNALIGNED",and($A726&lt;&gt;"",countif('3) Release_Label'!$D:$D,$A726)=0),"NO UPC MATCH in Release_Label",and($B726&lt;&gt;"",countif('3) Release_Label'!$E:$E,$B726)=0),"NO CATALOG ID MATCH in Release_Label",iserror(vlookup($A726&amp;$B726,'3) Release_Label'!$D:$D&amp;'3) Release_Label'!$E:$E,1,0)),"NO UPC-CATALOG ID pair MATCH in Release_Label" )</f>
        <v/>
      </c>
      <c r="E726" s="99"/>
      <c r="F726" s="99"/>
      <c r="G726" s="123" t="str">
        <f t="array" ref="G726">ifs(or($F726="",$F726="Main Primary Artist"),$F726,not(iserror(vlookup($F726,'Reference info'!$J$5:$J$8,1,0))),"Key Artist",not(iserror(vlookup($F726,'Reference info'!$J$38:$J$405,1,0))),"Performer",not(iserror(vlookup($F726,'Reference info'!$J$10:$J$36,1,0))),"Producer &amp; Engineer")</f>
        <v/>
      </c>
    </row>
    <row r="727">
      <c r="A727" s="28"/>
      <c r="B727" s="103"/>
      <c r="C727" s="121" t="str">
        <f t="array" ref="C727">ifs(and(isblank($A727),isblank($B727)),"", not(iserror(vlookup($A727&amp;$B727,'3) Release_Label'!$D:$D&amp;'3) Release_Label'!$E:$E,1,0))),vlookup($A727&amp;$B727,{'3) Release_Label'!$D:$D&amp;'3) Release_Label'!$E:$E,'3) Release_Label'!$F:$F},2,0), or(and(not(isblank($B727)),$B727=$B726,$A727&lt;&gt;$A726),and(not(isblank($A727)),$A727=$A726,$B727&lt;&gt;$B726)),"ID LISTS UNALIGNED",and($A727&lt;&gt;"",countif('3) Release_Label'!$D:$D,$A727)=0),"NO UPC MATCH in Release_Label",and($B727&lt;&gt;"",countif('3) Release_Label'!$E:$E,$B727)=0),"NO CATALOG ID MATCH in Release_Label",iserror(vlookup($A727&amp;$B727,'3) Release_Label'!$D:$D&amp;'3) Release_Label'!$E:$E,1,0)),"NO UPC-CATALOG ID pair MATCH in Release_Label" )</f>
        <v/>
      </c>
      <c r="D727" s="121" t="str">
        <f t="array" ref="D727">ifs(and(isblank($A727),isblank($B727)),"", not(iserror(vlookup($A727&amp;$B727,'3) Release_Label'!$D:$D&amp;'3) Release_Label'!$E:$E,1,0))),vlookup($A727&amp;$B727,{'3) Release_Label'!$D:$D&amp;'3) Release_Label'!$E:$E,'3) Release_Label'!$H:$H},2,0), or(and(not(isblank($B727)),$B727=$B726,$A727&lt;&gt;$A726),and(not(isblank($A727)),$A727=$A726,$B727&lt;&gt;$B726)),"ID LISTS UNALIGNED",and($A727&lt;&gt;"",countif('3) Release_Label'!$D:$D,$A727)=0),"NO UPC MATCH in Release_Label",and($B727&lt;&gt;"",countif('3) Release_Label'!$E:$E,$B727)=0),"NO CATALOG ID MATCH in Release_Label",iserror(vlookup($A727&amp;$B727,'3) Release_Label'!$D:$D&amp;'3) Release_Label'!$E:$E,1,0)),"NO UPC-CATALOG ID pair MATCH in Release_Label" )</f>
        <v/>
      </c>
      <c r="E727" s="99"/>
      <c r="F727" s="99"/>
      <c r="G727" s="123" t="str">
        <f t="array" ref="G727">ifs(or($F727="",$F727="Main Primary Artist"),$F727,not(iserror(vlookup($F727,'Reference info'!$J$5:$J$8,1,0))),"Key Artist",not(iserror(vlookup($F727,'Reference info'!$J$38:$J$405,1,0))),"Performer",not(iserror(vlookup($F727,'Reference info'!$J$10:$J$36,1,0))),"Producer &amp; Engineer")</f>
        <v/>
      </c>
    </row>
    <row r="728">
      <c r="A728" s="28"/>
      <c r="B728" s="103"/>
      <c r="C728" s="121" t="str">
        <f t="array" ref="C728">ifs(and(isblank($A728),isblank($B728)),"", not(iserror(vlookup($A728&amp;$B728,'3) Release_Label'!$D:$D&amp;'3) Release_Label'!$E:$E,1,0))),vlookup($A728&amp;$B728,{'3) Release_Label'!$D:$D&amp;'3) Release_Label'!$E:$E,'3) Release_Label'!$F:$F},2,0), or(and(not(isblank($B728)),$B728=$B727,$A728&lt;&gt;$A727),and(not(isblank($A728)),$A728=$A727,$B728&lt;&gt;$B727)),"ID LISTS UNALIGNED",and($A728&lt;&gt;"",countif('3) Release_Label'!$D:$D,$A728)=0),"NO UPC MATCH in Release_Label",and($B728&lt;&gt;"",countif('3) Release_Label'!$E:$E,$B728)=0),"NO CATALOG ID MATCH in Release_Label",iserror(vlookup($A728&amp;$B728,'3) Release_Label'!$D:$D&amp;'3) Release_Label'!$E:$E,1,0)),"NO UPC-CATALOG ID pair MATCH in Release_Label" )</f>
        <v/>
      </c>
      <c r="D728" s="121" t="str">
        <f t="array" ref="D728">ifs(and(isblank($A728),isblank($B728)),"", not(iserror(vlookup($A728&amp;$B728,'3) Release_Label'!$D:$D&amp;'3) Release_Label'!$E:$E,1,0))),vlookup($A728&amp;$B728,{'3) Release_Label'!$D:$D&amp;'3) Release_Label'!$E:$E,'3) Release_Label'!$H:$H},2,0), or(and(not(isblank($B728)),$B728=$B727,$A728&lt;&gt;$A727),and(not(isblank($A728)),$A728=$A727,$B728&lt;&gt;$B727)),"ID LISTS UNALIGNED",and($A728&lt;&gt;"",countif('3) Release_Label'!$D:$D,$A728)=0),"NO UPC MATCH in Release_Label",and($B728&lt;&gt;"",countif('3) Release_Label'!$E:$E,$B728)=0),"NO CATALOG ID MATCH in Release_Label",iserror(vlookup($A728&amp;$B728,'3) Release_Label'!$D:$D&amp;'3) Release_Label'!$E:$E,1,0)),"NO UPC-CATALOG ID pair MATCH in Release_Label" )</f>
        <v/>
      </c>
      <c r="E728" s="99"/>
      <c r="F728" s="99"/>
      <c r="G728" s="123" t="str">
        <f t="array" ref="G728">ifs(or($F728="",$F728="Main Primary Artist"),$F728,not(iserror(vlookup($F728,'Reference info'!$J$5:$J$8,1,0))),"Key Artist",not(iserror(vlookup($F728,'Reference info'!$J$38:$J$405,1,0))),"Performer",not(iserror(vlookup($F728,'Reference info'!$J$10:$J$36,1,0))),"Producer &amp; Engineer")</f>
        <v/>
      </c>
    </row>
    <row r="729">
      <c r="A729" s="28"/>
      <c r="B729" s="103"/>
      <c r="C729" s="121" t="str">
        <f t="array" ref="C729">ifs(and(isblank($A729),isblank($B729)),"", not(iserror(vlookup($A729&amp;$B729,'3) Release_Label'!$D:$D&amp;'3) Release_Label'!$E:$E,1,0))),vlookup($A729&amp;$B729,{'3) Release_Label'!$D:$D&amp;'3) Release_Label'!$E:$E,'3) Release_Label'!$F:$F},2,0), or(and(not(isblank($B729)),$B729=$B728,$A729&lt;&gt;$A728),and(not(isblank($A729)),$A729=$A728,$B729&lt;&gt;$B728)),"ID LISTS UNALIGNED",and($A729&lt;&gt;"",countif('3) Release_Label'!$D:$D,$A729)=0),"NO UPC MATCH in Release_Label",and($B729&lt;&gt;"",countif('3) Release_Label'!$E:$E,$B729)=0),"NO CATALOG ID MATCH in Release_Label",iserror(vlookup($A729&amp;$B729,'3) Release_Label'!$D:$D&amp;'3) Release_Label'!$E:$E,1,0)),"NO UPC-CATALOG ID pair MATCH in Release_Label" )</f>
        <v/>
      </c>
      <c r="D729" s="121" t="str">
        <f t="array" ref="D729">ifs(and(isblank($A729),isblank($B729)),"", not(iserror(vlookup($A729&amp;$B729,'3) Release_Label'!$D:$D&amp;'3) Release_Label'!$E:$E,1,0))),vlookup($A729&amp;$B729,{'3) Release_Label'!$D:$D&amp;'3) Release_Label'!$E:$E,'3) Release_Label'!$H:$H},2,0), or(and(not(isblank($B729)),$B729=$B728,$A729&lt;&gt;$A728),and(not(isblank($A729)),$A729=$A728,$B729&lt;&gt;$B728)),"ID LISTS UNALIGNED",and($A729&lt;&gt;"",countif('3) Release_Label'!$D:$D,$A729)=0),"NO UPC MATCH in Release_Label",and($B729&lt;&gt;"",countif('3) Release_Label'!$E:$E,$B729)=0),"NO CATALOG ID MATCH in Release_Label",iserror(vlookup($A729&amp;$B729,'3) Release_Label'!$D:$D&amp;'3) Release_Label'!$E:$E,1,0)),"NO UPC-CATALOG ID pair MATCH in Release_Label" )</f>
        <v/>
      </c>
      <c r="E729" s="99"/>
      <c r="F729" s="99"/>
      <c r="G729" s="123" t="str">
        <f t="array" ref="G729">ifs(or($F729="",$F729="Main Primary Artist"),$F729,not(iserror(vlookup($F729,'Reference info'!$J$5:$J$8,1,0))),"Key Artist",not(iserror(vlookup($F729,'Reference info'!$J$38:$J$405,1,0))),"Performer",not(iserror(vlookup($F729,'Reference info'!$J$10:$J$36,1,0))),"Producer &amp; Engineer")</f>
        <v/>
      </c>
    </row>
    <row r="730">
      <c r="A730" s="28"/>
      <c r="B730" s="103"/>
      <c r="C730" s="121" t="str">
        <f t="array" ref="C730">ifs(and(isblank($A730),isblank($B730)),"", not(iserror(vlookup($A730&amp;$B730,'3) Release_Label'!$D:$D&amp;'3) Release_Label'!$E:$E,1,0))),vlookup($A730&amp;$B730,{'3) Release_Label'!$D:$D&amp;'3) Release_Label'!$E:$E,'3) Release_Label'!$F:$F},2,0), or(and(not(isblank($B730)),$B730=$B729,$A730&lt;&gt;$A729),and(not(isblank($A730)),$A730=$A729,$B730&lt;&gt;$B729)),"ID LISTS UNALIGNED",and($A730&lt;&gt;"",countif('3) Release_Label'!$D:$D,$A730)=0),"NO UPC MATCH in Release_Label",and($B730&lt;&gt;"",countif('3) Release_Label'!$E:$E,$B730)=0),"NO CATALOG ID MATCH in Release_Label",iserror(vlookup($A730&amp;$B730,'3) Release_Label'!$D:$D&amp;'3) Release_Label'!$E:$E,1,0)),"NO UPC-CATALOG ID pair MATCH in Release_Label" )</f>
        <v/>
      </c>
      <c r="D730" s="121" t="str">
        <f t="array" ref="D730">ifs(and(isblank($A730),isblank($B730)),"", not(iserror(vlookup($A730&amp;$B730,'3) Release_Label'!$D:$D&amp;'3) Release_Label'!$E:$E,1,0))),vlookup($A730&amp;$B730,{'3) Release_Label'!$D:$D&amp;'3) Release_Label'!$E:$E,'3) Release_Label'!$H:$H},2,0), or(and(not(isblank($B730)),$B730=$B729,$A730&lt;&gt;$A729),and(not(isblank($A730)),$A730=$A729,$B730&lt;&gt;$B729)),"ID LISTS UNALIGNED",and($A730&lt;&gt;"",countif('3) Release_Label'!$D:$D,$A730)=0),"NO UPC MATCH in Release_Label",and($B730&lt;&gt;"",countif('3) Release_Label'!$E:$E,$B730)=0),"NO CATALOG ID MATCH in Release_Label",iserror(vlookup($A730&amp;$B730,'3) Release_Label'!$D:$D&amp;'3) Release_Label'!$E:$E,1,0)),"NO UPC-CATALOG ID pair MATCH in Release_Label" )</f>
        <v/>
      </c>
      <c r="E730" s="99"/>
      <c r="F730" s="99"/>
      <c r="G730" s="123" t="str">
        <f t="array" ref="G730">ifs(or($F730="",$F730="Main Primary Artist"),$F730,not(iserror(vlookup($F730,'Reference info'!$J$5:$J$8,1,0))),"Key Artist",not(iserror(vlookup($F730,'Reference info'!$J$38:$J$405,1,0))),"Performer",not(iserror(vlookup($F730,'Reference info'!$J$10:$J$36,1,0))),"Producer &amp; Engineer")</f>
        <v/>
      </c>
    </row>
    <row r="731">
      <c r="A731" s="28"/>
      <c r="B731" s="103"/>
      <c r="C731" s="121" t="str">
        <f t="array" ref="C731">ifs(and(isblank($A731),isblank($B731)),"", not(iserror(vlookup($A731&amp;$B731,'3) Release_Label'!$D:$D&amp;'3) Release_Label'!$E:$E,1,0))),vlookup($A731&amp;$B731,{'3) Release_Label'!$D:$D&amp;'3) Release_Label'!$E:$E,'3) Release_Label'!$F:$F},2,0), or(and(not(isblank($B731)),$B731=$B730,$A731&lt;&gt;$A730),and(not(isblank($A731)),$A731=$A730,$B731&lt;&gt;$B730)),"ID LISTS UNALIGNED",and($A731&lt;&gt;"",countif('3) Release_Label'!$D:$D,$A731)=0),"NO UPC MATCH in Release_Label",and($B731&lt;&gt;"",countif('3) Release_Label'!$E:$E,$B731)=0),"NO CATALOG ID MATCH in Release_Label",iserror(vlookup($A731&amp;$B731,'3) Release_Label'!$D:$D&amp;'3) Release_Label'!$E:$E,1,0)),"NO UPC-CATALOG ID pair MATCH in Release_Label" )</f>
        <v/>
      </c>
      <c r="D731" s="121" t="str">
        <f t="array" ref="D731">ifs(and(isblank($A731),isblank($B731)),"", not(iserror(vlookup($A731&amp;$B731,'3) Release_Label'!$D:$D&amp;'3) Release_Label'!$E:$E,1,0))),vlookup($A731&amp;$B731,{'3) Release_Label'!$D:$D&amp;'3) Release_Label'!$E:$E,'3) Release_Label'!$H:$H},2,0), or(and(not(isblank($B731)),$B731=$B730,$A731&lt;&gt;$A730),and(not(isblank($A731)),$A731=$A730,$B731&lt;&gt;$B730)),"ID LISTS UNALIGNED",and($A731&lt;&gt;"",countif('3) Release_Label'!$D:$D,$A731)=0),"NO UPC MATCH in Release_Label",and($B731&lt;&gt;"",countif('3) Release_Label'!$E:$E,$B731)=0),"NO CATALOG ID MATCH in Release_Label",iserror(vlookup($A731&amp;$B731,'3) Release_Label'!$D:$D&amp;'3) Release_Label'!$E:$E,1,0)),"NO UPC-CATALOG ID pair MATCH in Release_Label" )</f>
        <v/>
      </c>
      <c r="E731" s="99"/>
      <c r="F731" s="99"/>
      <c r="G731" s="123" t="str">
        <f t="array" ref="G731">ifs(or($F731="",$F731="Main Primary Artist"),$F731,not(iserror(vlookup($F731,'Reference info'!$J$5:$J$8,1,0))),"Key Artist",not(iserror(vlookup($F731,'Reference info'!$J$38:$J$405,1,0))),"Performer",not(iserror(vlookup($F731,'Reference info'!$J$10:$J$36,1,0))),"Producer &amp; Engineer")</f>
        <v/>
      </c>
    </row>
    <row r="732">
      <c r="A732" s="28"/>
      <c r="B732" s="103"/>
      <c r="C732" s="121" t="str">
        <f t="array" ref="C732">ifs(and(isblank($A732),isblank($B732)),"", not(iserror(vlookup($A732&amp;$B732,'3) Release_Label'!$D:$D&amp;'3) Release_Label'!$E:$E,1,0))),vlookup($A732&amp;$B732,{'3) Release_Label'!$D:$D&amp;'3) Release_Label'!$E:$E,'3) Release_Label'!$F:$F},2,0), or(and(not(isblank($B732)),$B732=$B731,$A732&lt;&gt;$A731),and(not(isblank($A732)),$A732=$A731,$B732&lt;&gt;$B731)),"ID LISTS UNALIGNED",and($A732&lt;&gt;"",countif('3) Release_Label'!$D:$D,$A732)=0),"NO UPC MATCH in Release_Label",and($B732&lt;&gt;"",countif('3) Release_Label'!$E:$E,$B732)=0),"NO CATALOG ID MATCH in Release_Label",iserror(vlookup($A732&amp;$B732,'3) Release_Label'!$D:$D&amp;'3) Release_Label'!$E:$E,1,0)),"NO UPC-CATALOG ID pair MATCH in Release_Label" )</f>
        <v/>
      </c>
      <c r="D732" s="121" t="str">
        <f t="array" ref="D732">ifs(and(isblank($A732),isblank($B732)),"", not(iserror(vlookup($A732&amp;$B732,'3) Release_Label'!$D:$D&amp;'3) Release_Label'!$E:$E,1,0))),vlookup($A732&amp;$B732,{'3) Release_Label'!$D:$D&amp;'3) Release_Label'!$E:$E,'3) Release_Label'!$H:$H},2,0), or(and(not(isblank($B732)),$B732=$B731,$A732&lt;&gt;$A731),and(not(isblank($A732)),$A732=$A731,$B732&lt;&gt;$B731)),"ID LISTS UNALIGNED",and($A732&lt;&gt;"",countif('3) Release_Label'!$D:$D,$A732)=0),"NO UPC MATCH in Release_Label",and($B732&lt;&gt;"",countif('3) Release_Label'!$E:$E,$B732)=0),"NO CATALOG ID MATCH in Release_Label",iserror(vlookup($A732&amp;$B732,'3) Release_Label'!$D:$D&amp;'3) Release_Label'!$E:$E,1,0)),"NO UPC-CATALOG ID pair MATCH in Release_Label" )</f>
        <v/>
      </c>
      <c r="E732" s="99"/>
      <c r="F732" s="99"/>
      <c r="G732" s="123" t="str">
        <f t="array" ref="G732">ifs(or($F732="",$F732="Main Primary Artist"),$F732,not(iserror(vlookup($F732,'Reference info'!$J$5:$J$8,1,0))),"Key Artist",not(iserror(vlookup($F732,'Reference info'!$J$38:$J$405,1,0))),"Performer",not(iserror(vlookup($F732,'Reference info'!$J$10:$J$36,1,0))),"Producer &amp; Engineer")</f>
        <v/>
      </c>
    </row>
    <row r="733">
      <c r="A733" s="28"/>
      <c r="B733" s="103"/>
      <c r="C733" s="121" t="str">
        <f t="array" ref="C733">ifs(and(isblank($A733),isblank($B733)),"", not(iserror(vlookup($A733&amp;$B733,'3) Release_Label'!$D:$D&amp;'3) Release_Label'!$E:$E,1,0))),vlookup($A733&amp;$B733,{'3) Release_Label'!$D:$D&amp;'3) Release_Label'!$E:$E,'3) Release_Label'!$F:$F},2,0), or(and(not(isblank($B733)),$B733=$B732,$A733&lt;&gt;$A732),and(not(isblank($A733)),$A733=$A732,$B733&lt;&gt;$B732)),"ID LISTS UNALIGNED",and($A733&lt;&gt;"",countif('3) Release_Label'!$D:$D,$A733)=0),"NO UPC MATCH in Release_Label",and($B733&lt;&gt;"",countif('3) Release_Label'!$E:$E,$B733)=0),"NO CATALOG ID MATCH in Release_Label",iserror(vlookup($A733&amp;$B733,'3) Release_Label'!$D:$D&amp;'3) Release_Label'!$E:$E,1,0)),"NO UPC-CATALOG ID pair MATCH in Release_Label" )</f>
        <v/>
      </c>
      <c r="D733" s="121" t="str">
        <f t="array" ref="D733">ifs(and(isblank($A733),isblank($B733)),"", not(iserror(vlookup($A733&amp;$B733,'3) Release_Label'!$D:$D&amp;'3) Release_Label'!$E:$E,1,0))),vlookup($A733&amp;$B733,{'3) Release_Label'!$D:$D&amp;'3) Release_Label'!$E:$E,'3) Release_Label'!$H:$H},2,0), or(and(not(isblank($B733)),$B733=$B732,$A733&lt;&gt;$A732),and(not(isblank($A733)),$A733=$A732,$B733&lt;&gt;$B732)),"ID LISTS UNALIGNED",and($A733&lt;&gt;"",countif('3) Release_Label'!$D:$D,$A733)=0),"NO UPC MATCH in Release_Label",and($B733&lt;&gt;"",countif('3) Release_Label'!$E:$E,$B733)=0),"NO CATALOG ID MATCH in Release_Label",iserror(vlookup($A733&amp;$B733,'3) Release_Label'!$D:$D&amp;'3) Release_Label'!$E:$E,1,0)),"NO UPC-CATALOG ID pair MATCH in Release_Label" )</f>
        <v/>
      </c>
      <c r="E733" s="99"/>
      <c r="F733" s="99"/>
      <c r="G733" s="123" t="str">
        <f t="array" ref="G733">ifs(or($F733="",$F733="Main Primary Artist"),$F733,not(iserror(vlookup($F733,'Reference info'!$J$5:$J$8,1,0))),"Key Artist",not(iserror(vlookup($F733,'Reference info'!$J$38:$J$405,1,0))),"Performer",not(iserror(vlookup($F733,'Reference info'!$J$10:$J$36,1,0))),"Producer &amp; Engineer")</f>
        <v/>
      </c>
    </row>
    <row r="734">
      <c r="A734" s="28"/>
      <c r="B734" s="103"/>
      <c r="C734" s="121" t="str">
        <f t="array" ref="C734">ifs(and(isblank($A734),isblank($B734)),"", not(iserror(vlookup($A734&amp;$B734,'3) Release_Label'!$D:$D&amp;'3) Release_Label'!$E:$E,1,0))),vlookup($A734&amp;$B734,{'3) Release_Label'!$D:$D&amp;'3) Release_Label'!$E:$E,'3) Release_Label'!$F:$F},2,0), or(and(not(isblank($B734)),$B734=$B733,$A734&lt;&gt;$A733),and(not(isblank($A734)),$A734=$A733,$B734&lt;&gt;$B733)),"ID LISTS UNALIGNED",and($A734&lt;&gt;"",countif('3) Release_Label'!$D:$D,$A734)=0),"NO UPC MATCH in Release_Label",and($B734&lt;&gt;"",countif('3) Release_Label'!$E:$E,$B734)=0),"NO CATALOG ID MATCH in Release_Label",iserror(vlookup($A734&amp;$B734,'3) Release_Label'!$D:$D&amp;'3) Release_Label'!$E:$E,1,0)),"NO UPC-CATALOG ID pair MATCH in Release_Label" )</f>
        <v/>
      </c>
      <c r="D734" s="121" t="str">
        <f t="array" ref="D734">ifs(and(isblank($A734),isblank($B734)),"", not(iserror(vlookup($A734&amp;$B734,'3) Release_Label'!$D:$D&amp;'3) Release_Label'!$E:$E,1,0))),vlookup($A734&amp;$B734,{'3) Release_Label'!$D:$D&amp;'3) Release_Label'!$E:$E,'3) Release_Label'!$H:$H},2,0), or(and(not(isblank($B734)),$B734=$B733,$A734&lt;&gt;$A733),and(not(isblank($A734)),$A734=$A733,$B734&lt;&gt;$B733)),"ID LISTS UNALIGNED",and($A734&lt;&gt;"",countif('3) Release_Label'!$D:$D,$A734)=0),"NO UPC MATCH in Release_Label",and($B734&lt;&gt;"",countif('3) Release_Label'!$E:$E,$B734)=0),"NO CATALOG ID MATCH in Release_Label",iserror(vlookup($A734&amp;$B734,'3) Release_Label'!$D:$D&amp;'3) Release_Label'!$E:$E,1,0)),"NO UPC-CATALOG ID pair MATCH in Release_Label" )</f>
        <v/>
      </c>
      <c r="E734" s="99"/>
      <c r="F734" s="99"/>
      <c r="G734" s="123" t="str">
        <f t="array" ref="G734">ifs(or($F734="",$F734="Main Primary Artist"),$F734,not(iserror(vlookup($F734,'Reference info'!$J$5:$J$8,1,0))),"Key Artist",not(iserror(vlookup($F734,'Reference info'!$J$38:$J$405,1,0))),"Performer",not(iserror(vlookup($F734,'Reference info'!$J$10:$J$36,1,0))),"Producer &amp; Engineer")</f>
        <v/>
      </c>
    </row>
    <row r="735">
      <c r="A735" s="28"/>
      <c r="B735" s="103"/>
      <c r="C735" s="121" t="str">
        <f t="array" ref="C735">ifs(and(isblank($A735),isblank($B735)),"", not(iserror(vlookup($A735&amp;$B735,'3) Release_Label'!$D:$D&amp;'3) Release_Label'!$E:$E,1,0))),vlookup($A735&amp;$B735,{'3) Release_Label'!$D:$D&amp;'3) Release_Label'!$E:$E,'3) Release_Label'!$F:$F},2,0), or(and(not(isblank($B735)),$B735=$B734,$A735&lt;&gt;$A734),and(not(isblank($A735)),$A735=$A734,$B735&lt;&gt;$B734)),"ID LISTS UNALIGNED",and($A735&lt;&gt;"",countif('3) Release_Label'!$D:$D,$A735)=0),"NO UPC MATCH in Release_Label",and($B735&lt;&gt;"",countif('3) Release_Label'!$E:$E,$B735)=0),"NO CATALOG ID MATCH in Release_Label",iserror(vlookup($A735&amp;$B735,'3) Release_Label'!$D:$D&amp;'3) Release_Label'!$E:$E,1,0)),"NO UPC-CATALOG ID pair MATCH in Release_Label" )</f>
        <v/>
      </c>
      <c r="D735" s="121" t="str">
        <f t="array" ref="D735">ifs(and(isblank($A735),isblank($B735)),"", not(iserror(vlookup($A735&amp;$B735,'3) Release_Label'!$D:$D&amp;'3) Release_Label'!$E:$E,1,0))),vlookup($A735&amp;$B735,{'3) Release_Label'!$D:$D&amp;'3) Release_Label'!$E:$E,'3) Release_Label'!$H:$H},2,0), or(and(not(isblank($B735)),$B735=$B734,$A735&lt;&gt;$A734),and(not(isblank($A735)),$A735=$A734,$B735&lt;&gt;$B734)),"ID LISTS UNALIGNED",and($A735&lt;&gt;"",countif('3) Release_Label'!$D:$D,$A735)=0),"NO UPC MATCH in Release_Label",and($B735&lt;&gt;"",countif('3) Release_Label'!$E:$E,$B735)=0),"NO CATALOG ID MATCH in Release_Label",iserror(vlookup($A735&amp;$B735,'3) Release_Label'!$D:$D&amp;'3) Release_Label'!$E:$E,1,0)),"NO UPC-CATALOG ID pair MATCH in Release_Label" )</f>
        <v/>
      </c>
      <c r="E735" s="99"/>
      <c r="F735" s="99"/>
      <c r="G735" s="123" t="str">
        <f t="array" ref="G735">ifs(or($F735="",$F735="Main Primary Artist"),$F735,not(iserror(vlookup($F735,'Reference info'!$J$5:$J$8,1,0))),"Key Artist",not(iserror(vlookup($F735,'Reference info'!$J$38:$J$405,1,0))),"Performer",not(iserror(vlookup($F735,'Reference info'!$J$10:$J$36,1,0))),"Producer &amp; Engineer")</f>
        <v/>
      </c>
    </row>
    <row r="736">
      <c r="A736" s="28"/>
      <c r="B736" s="103"/>
      <c r="C736" s="121" t="str">
        <f t="array" ref="C736">ifs(and(isblank($A736),isblank($B736)),"", not(iserror(vlookup($A736&amp;$B736,'3) Release_Label'!$D:$D&amp;'3) Release_Label'!$E:$E,1,0))),vlookup($A736&amp;$B736,{'3) Release_Label'!$D:$D&amp;'3) Release_Label'!$E:$E,'3) Release_Label'!$F:$F},2,0), or(and(not(isblank($B736)),$B736=$B735,$A736&lt;&gt;$A735),and(not(isblank($A736)),$A736=$A735,$B736&lt;&gt;$B735)),"ID LISTS UNALIGNED",and($A736&lt;&gt;"",countif('3) Release_Label'!$D:$D,$A736)=0),"NO UPC MATCH in Release_Label",and($B736&lt;&gt;"",countif('3) Release_Label'!$E:$E,$B736)=0),"NO CATALOG ID MATCH in Release_Label",iserror(vlookup($A736&amp;$B736,'3) Release_Label'!$D:$D&amp;'3) Release_Label'!$E:$E,1,0)),"NO UPC-CATALOG ID pair MATCH in Release_Label" )</f>
        <v/>
      </c>
      <c r="D736" s="121" t="str">
        <f t="array" ref="D736">ifs(and(isblank($A736),isblank($B736)),"", not(iserror(vlookup($A736&amp;$B736,'3) Release_Label'!$D:$D&amp;'3) Release_Label'!$E:$E,1,0))),vlookup($A736&amp;$B736,{'3) Release_Label'!$D:$D&amp;'3) Release_Label'!$E:$E,'3) Release_Label'!$H:$H},2,0), or(and(not(isblank($B736)),$B736=$B735,$A736&lt;&gt;$A735),and(not(isblank($A736)),$A736=$A735,$B736&lt;&gt;$B735)),"ID LISTS UNALIGNED",and($A736&lt;&gt;"",countif('3) Release_Label'!$D:$D,$A736)=0),"NO UPC MATCH in Release_Label",and($B736&lt;&gt;"",countif('3) Release_Label'!$E:$E,$B736)=0),"NO CATALOG ID MATCH in Release_Label",iserror(vlookup($A736&amp;$B736,'3) Release_Label'!$D:$D&amp;'3) Release_Label'!$E:$E,1,0)),"NO UPC-CATALOG ID pair MATCH in Release_Label" )</f>
        <v/>
      </c>
      <c r="E736" s="99"/>
      <c r="F736" s="99"/>
      <c r="G736" s="123" t="str">
        <f t="array" ref="G736">ifs(or($F736="",$F736="Main Primary Artist"),$F736,not(iserror(vlookup($F736,'Reference info'!$J$5:$J$8,1,0))),"Key Artist",not(iserror(vlookup($F736,'Reference info'!$J$38:$J$405,1,0))),"Performer",not(iserror(vlookup($F736,'Reference info'!$J$10:$J$36,1,0))),"Producer &amp; Engineer")</f>
        <v/>
      </c>
    </row>
    <row r="737">
      <c r="A737" s="28"/>
      <c r="B737" s="103"/>
      <c r="C737" s="121" t="str">
        <f t="array" ref="C737">ifs(and(isblank($A737),isblank($B737)),"", not(iserror(vlookup($A737&amp;$B737,'3) Release_Label'!$D:$D&amp;'3) Release_Label'!$E:$E,1,0))),vlookup($A737&amp;$B737,{'3) Release_Label'!$D:$D&amp;'3) Release_Label'!$E:$E,'3) Release_Label'!$F:$F},2,0), or(and(not(isblank($B737)),$B737=$B736,$A737&lt;&gt;$A736),and(not(isblank($A737)),$A737=$A736,$B737&lt;&gt;$B736)),"ID LISTS UNALIGNED",and($A737&lt;&gt;"",countif('3) Release_Label'!$D:$D,$A737)=0),"NO UPC MATCH in Release_Label",and($B737&lt;&gt;"",countif('3) Release_Label'!$E:$E,$B737)=0),"NO CATALOG ID MATCH in Release_Label",iserror(vlookup($A737&amp;$B737,'3) Release_Label'!$D:$D&amp;'3) Release_Label'!$E:$E,1,0)),"NO UPC-CATALOG ID pair MATCH in Release_Label" )</f>
        <v/>
      </c>
      <c r="D737" s="121" t="str">
        <f t="array" ref="D737">ifs(and(isblank($A737),isblank($B737)),"", not(iserror(vlookup($A737&amp;$B737,'3) Release_Label'!$D:$D&amp;'3) Release_Label'!$E:$E,1,0))),vlookup($A737&amp;$B737,{'3) Release_Label'!$D:$D&amp;'3) Release_Label'!$E:$E,'3) Release_Label'!$H:$H},2,0), or(and(not(isblank($B737)),$B737=$B736,$A737&lt;&gt;$A736),and(not(isblank($A737)),$A737=$A736,$B737&lt;&gt;$B736)),"ID LISTS UNALIGNED",and($A737&lt;&gt;"",countif('3) Release_Label'!$D:$D,$A737)=0),"NO UPC MATCH in Release_Label",and($B737&lt;&gt;"",countif('3) Release_Label'!$E:$E,$B737)=0),"NO CATALOG ID MATCH in Release_Label",iserror(vlookup($A737&amp;$B737,'3) Release_Label'!$D:$D&amp;'3) Release_Label'!$E:$E,1,0)),"NO UPC-CATALOG ID pair MATCH in Release_Label" )</f>
        <v/>
      </c>
      <c r="E737" s="99"/>
      <c r="F737" s="99"/>
      <c r="G737" s="123" t="str">
        <f t="array" ref="G737">ifs(or($F737="",$F737="Main Primary Artist"),$F737,not(iserror(vlookup($F737,'Reference info'!$J$5:$J$8,1,0))),"Key Artist",not(iserror(vlookup($F737,'Reference info'!$J$38:$J$405,1,0))),"Performer",not(iserror(vlookup($F737,'Reference info'!$J$10:$J$36,1,0))),"Producer &amp; Engineer")</f>
        <v/>
      </c>
    </row>
    <row r="738">
      <c r="A738" s="28"/>
      <c r="B738" s="103"/>
      <c r="C738" s="121" t="str">
        <f t="array" ref="C738">ifs(and(isblank($A738),isblank($B738)),"", not(iserror(vlookup($A738&amp;$B738,'3) Release_Label'!$D:$D&amp;'3) Release_Label'!$E:$E,1,0))),vlookup($A738&amp;$B738,{'3) Release_Label'!$D:$D&amp;'3) Release_Label'!$E:$E,'3) Release_Label'!$F:$F},2,0), or(and(not(isblank($B738)),$B738=$B737,$A738&lt;&gt;$A737),and(not(isblank($A738)),$A738=$A737,$B738&lt;&gt;$B737)),"ID LISTS UNALIGNED",and($A738&lt;&gt;"",countif('3) Release_Label'!$D:$D,$A738)=0),"NO UPC MATCH in Release_Label",and($B738&lt;&gt;"",countif('3) Release_Label'!$E:$E,$B738)=0),"NO CATALOG ID MATCH in Release_Label",iserror(vlookup($A738&amp;$B738,'3) Release_Label'!$D:$D&amp;'3) Release_Label'!$E:$E,1,0)),"NO UPC-CATALOG ID pair MATCH in Release_Label" )</f>
        <v/>
      </c>
      <c r="D738" s="121" t="str">
        <f t="array" ref="D738">ifs(and(isblank($A738),isblank($B738)),"", not(iserror(vlookup($A738&amp;$B738,'3) Release_Label'!$D:$D&amp;'3) Release_Label'!$E:$E,1,0))),vlookup($A738&amp;$B738,{'3) Release_Label'!$D:$D&amp;'3) Release_Label'!$E:$E,'3) Release_Label'!$H:$H},2,0), or(and(not(isblank($B738)),$B738=$B737,$A738&lt;&gt;$A737),and(not(isblank($A738)),$A738=$A737,$B738&lt;&gt;$B737)),"ID LISTS UNALIGNED",and($A738&lt;&gt;"",countif('3) Release_Label'!$D:$D,$A738)=0),"NO UPC MATCH in Release_Label",and($B738&lt;&gt;"",countif('3) Release_Label'!$E:$E,$B738)=0),"NO CATALOG ID MATCH in Release_Label",iserror(vlookup($A738&amp;$B738,'3) Release_Label'!$D:$D&amp;'3) Release_Label'!$E:$E,1,0)),"NO UPC-CATALOG ID pair MATCH in Release_Label" )</f>
        <v/>
      </c>
      <c r="E738" s="99"/>
      <c r="F738" s="99"/>
      <c r="G738" s="123" t="str">
        <f t="array" ref="G738">ifs(or($F738="",$F738="Main Primary Artist"),$F738,not(iserror(vlookup($F738,'Reference info'!$J$5:$J$8,1,0))),"Key Artist",not(iserror(vlookup($F738,'Reference info'!$J$38:$J$405,1,0))),"Performer",not(iserror(vlookup($F738,'Reference info'!$J$10:$J$36,1,0))),"Producer &amp; Engineer")</f>
        <v/>
      </c>
    </row>
    <row r="739">
      <c r="A739" s="28"/>
      <c r="B739" s="103"/>
      <c r="C739" s="121" t="str">
        <f t="array" ref="C739">ifs(and(isblank($A739),isblank($B739)),"", not(iserror(vlookup($A739&amp;$B739,'3) Release_Label'!$D:$D&amp;'3) Release_Label'!$E:$E,1,0))),vlookup($A739&amp;$B739,{'3) Release_Label'!$D:$D&amp;'3) Release_Label'!$E:$E,'3) Release_Label'!$F:$F},2,0), or(and(not(isblank($B739)),$B739=$B738,$A739&lt;&gt;$A738),and(not(isblank($A739)),$A739=$A738,$B739&lt;&gt;$B738)),"ID LISTS UNALIGNED",and($A739&lt;&gt;"",countif('3) Release_Label'!$D:$D,$A739)=0),"NO UPC MATCH in Release_Label",and($B739&lt;&gt;"",countif('3) Release_Label'!$E:$E,$B739)=0),"NO CATALOG ID MATCH in Release_Label",iserror(vlookup($A739&amp;$B739,'3) Release_Label'!$D:$D&amp;'3) Release_Label'!$E:$E,1,0)),"NO UPC-CATALOG ID pair MATCH in Release_Label" )</f>
        <v/>
      </c>
      <c r="D739" s="121" t="str">
        <f t="array" ref="D739">ifs(and(isblank($A739),isblank($B739)),"", not(iserror(vlookup($A739&amp;$B739,'3) Release_Label'!$D:$D&amp;'3) Release_Label'!$E:$E,1,0))),vlookup($A739&amp;$B739,{'3) Release_Label'!$D:$D&amp;'3) Release_Label'!$E:$E,'3) Release_Label'!$H:$H},2,0), or(and(not(isblank($B739)),$B739=$B738,$A739&lt;&gt;$A738),and(not(isblank($A739)),$A739=$A738,$B739&lt;&gt;$B738)),"ID LISTS UNALIGNED",and($A739&lt;&gt;"",countif('3) Release_Label'!$D:$D,$A739)=0),"NO UPC MATCH in Release_Label",and($B739&lt;&gt;"",countif('3) Release_Label'!$E:$E,$B739)=0),"NO CATALOG ID MATCH in Release_Label",iserror(vlookup($A739&amp;$B739,'3) Release_Label'!$D:$D&amp;'3) Release_Label'!$E:$E,1,0)),"NO UPC-CATALOG ID pair MATCH in Release_Label" )</f>
        <v/>
      </c>
      <c r="E739" s="99"/>
      <c r="F739" s="99"/>
      <c r="G739" s="123" t="str">
        <f t="array" ref="G739">ifs(or($F739="",$F739="Main Primary Artist"),$F739,not(iserror(vlookup($F739,'Reference info'!$J$5:$J$8,1,0))),"Key Artist",not(iserror(vlookup($F739,'Reference info'!$J$38:$J$405,1,0))),"Performer",not(iserror(vlookup($F739,'Reference info'!$J$10:$J$36,1,0))),"Producer &amp; Engineer")</f>
        <v/>
      </c>
    </row>
    <row r="740">
      <c r="A740" s="28"/>
      <c r="B740" s="103"/>
      <c r="C740" s="121" t="str">
        <f t="array" ref="C740">ifs(and(isblank($A740),isblank($B740)),"", not(iserror(vlookup($A740&amp;$B740,'3) Release_Label'!$D:$D&amp;'3) Release_Label'!$E:$E,1,0))),vlookup($A740&amp;$B740,{'3) Release_Label'!$D:$D&amp;'3) Release_Label'!$E:$E,'3) Release_Label'!$F:$F},2,0), or(and(not(isblank($B740)),$B740=$B739,$A740&lt;&gt;$A739),and(not(isblank($A740)),$A740=$A739,$B740&lt;&gt;$B739)),"ID LISTS UNALIGNED",and($A740&lt;&gt;"",countif('3) Release_Label'!$D:$D,$A740)=0),"NO UPC MATCH in Release_Label",and($B740&lt;&gt;"",countif('3) Release_Label'!$E:$E,$B740)=0),"NO CATALOG ID MATCH in Release_Label",iserror(vlookup($A740&amp;$B740,'3) Release_Label'!$D:$D&amp;'3) Release_Label'!$E:$E,1,0)),"NO UPC-CATALOG ID pair MATCH in Release_Label" )</f>
        <v/>
      </c>
      <c r="D740" s="121" t="str">
        <f t="array" ref="D740">ifs(and(isblank($A740),isblank($B740)),"", not(iserror(vlookup($A740&amp;$B740,'3) Release_Label'!$D:$D&amp;'3) Release_Label'!$E:$E,1,0))),vlookup($A740&amp;$B740,{'3) Release_Label'!$D:$D&amp;'3) Release_Label'!$E:$E,'3) Release_Label'!$H:$H},2,0), or(and(not(isblank($B740)),$B740=$B739,$A740&lt;&gt;$A739),and(not(isblank($A740)),$A740=$A739,$B740&lt;&gt;$B739)),"ID LISTS UNALIGNED",and($A740&lt;&gt;"",countif('3) Release_Label'!$D:$D,$A740)=0),"NO UPC MATCH in Release_Label",and($B740&lt;&gt;"",countif('3) Release_Label'!$E:$E,$B740)=0),"NO CATALOG ID MATCH in Release_Label",iserror(vlookup($A740&amp;$B740,'3) Release_Label'!$D:$D&amp;'3) Release_Label'!$E:$E,1,0)),"NO UPC-CATALOG ID pair MATCH in Release_Label" )</f>
        <v/>
      </c>
      <c r="E740" s="99"/>
      <c r="F740" s="99"/>
      <c r="G740" s="123" t="str">
        <f t="array" ref="G740">ifs(or($F740="",$F740="Main Primary Artist"),$F740,not(iserror(vlookup($F740,'Reference info'!$J$5:$J$8,1,0))),"Key Artist",not(iserror(vlookup($F740,'Reference info'!$J$38:$J$405,1,0))),"Performer",not(iserror(vlookup($F740,'Reference info'!$J$10:$J$36,1,0))),"Producer &amp; Engineer")</f>
        <v/>
      </c>
    </row>
    <row r="741">
      <c r="A741" s="28"/>
      <c r="B741" s="103"/>
      <c r="C741" s="121" t="str">
        <f t="array" ref="C741">ifs(and(isblank($A741),isblank($B741)),"", not(iserror(vlookup($A741&amp;$B741,'3) Release_Label'!$D:$D&amp;'3) Release_Label'!$E:$E,1,0))),vlookup($A741&amp;$B741,{'3) Release_Label'!$D:$D&amp;'3) Release_Label'!$E:$E,'3) Release_Label'!$F:$F},2,0), or(and(not(isblank($B741)),$B741=$B740,$A741&lt;&gt;$A740),and(not(isblank($A741)),$A741=$A740,$B741&lt;&gt;$B740)),"ID LISTS UNALIGNED",and($A741&lt;&gt;"",countif('3) Release_Label'!$D:$D,$A741)=0),"NO UPC MATCH in Release_Label",and($B741&lt;&gt;"",countif('3) Release_Label'!$E:$E,$B741)=0),"NO CATALOG ID MATCH in Release_Label",iserror(vlookup($A741&amp;$B741,'3) Release_Label'!$D:$D&amp;'3) Release_Label'!$E:$E,1,0)),"NO UPC-CATALOG ID pair MATCH in Release_Label" )</f>
        <v/>
      </c>
      <c r="D741" s="121" t="str">
        <f t="array" ref="D741">ifs(and(isblank($A741),isblank($B741)),"", not(iserror(vlookup($A741&amp;$B741,'3) Release_Label'!$D:$D&amp;'3) Release_Label'!$E:$E,1,0))),vlookup($A741&amp;$B741,{'3) Release_Label'!$D:$D&amp;'3) Release_Label'!$E:$E,'3) Release_Label'!$H:$H},2,0), or(and(not(isblank($B741)),$B741=$B740,$A741&lt;&gt;$A740),and(not(isblank($A741)),$A741=$A740,$B741&lt;&gt;$B740)),"ID LISTS UNALIGNED",and($A741&lt;&gt;"",countif('3) Release_Label'!$D:$D,$A741)=0),"NO UPC MATCH in Release_Label",and($B741&lt;&gt;"",countif('3) Release_Label'!$E:$E,$B741)=0),"NO CATALOG ID MATCH in Release_Label",iserror(vlookup($A741&amp;$B741,'3) Release_Label'!$D:$D&amp;'3) Release_Label'!$E:$E,1,0)),"NO UPC-CATALOG ID pair MATCH in Release_Label" )</f>
        <v/>
      </c>
      <c r="E741" s="99"/>
      <c r="F741" s="99"/>
      <c r="G741" s="123" t="str">
        <f t="array" ref="G741">ifs(or($F741="",$F741="Main Primary Artist"),$F741,not(iserror(vlookup($F741,'Reference info'!$J$5:$J$8,1,0))),"Key Artist",not(iserror(vlookup($F741,'Reference info'!$J$38:$J$405,1,0))),"Performer",not(iserror(vlookup($F741,'Reference info'!$J$10:$J$36,1,0))),"Producer &amp; Engineer")</f>
        <v/>
      </c>
    </row>
    <row r="742">
      <c r="A742" s="28"/>
      <c r="B742" s="103"/>
      <c r="C742" s="121" t="str">
        <f t="array" ref="C742">ifs(and(isblank($A742),isblank($B742)),"", not(iserror(vlookup($A742&amp;$B742,'3) Release_Label'!$D:$D&amp;'3) Release_Label'!$E:$E,1,0))),vlookup($A742&amp;$B742,{'3) Release_Label'!$D:$D&amp;'3) Release_Label'!$E:$E,'3) Release_Label'!$F:$F},2,0), or(and(not(isblank($B742)),$B742=$B741,$A742&lt;&gt;$A741),and(not(isblank($A742)),$A742=$A741,$B742&lt;&gt;$B741)),"ID LISTS UNALIGNED",and($A742&lt;&gt;"",countif('3) Release_Label'!$D:$D,$A742)=0),"NO UPC MATCH in Release_Label",and($B742&lt;&gt;"",countif('3) Release_Label'!$E:$E,$B742)=0),"NO CATALOG ID MATCH in Release_Label",iserror(vlookup($A742&amp;$B742,'3) Release_Label'!$D:$D&amp;'3) Release_Label'!$E:$E,1,0)),"NO UPC-CATALOG ID pair MATCH in Release_Label" )</f>
        <v/>
      </c>
      <c r="D742" s="121" t="str">
        <f t="array" ref="D742">ifs(and(isblank($A742),isblank($B742)),"", not(iserror(vlookup($A742&amp;$B742,'3) Release_Label'!$D:$D&amp;'3) Release_Label'!$E:$E,1,0))),vlookup($A742&amp;$B742,{'3) Release_Label'!$D:$D&amp;'3) Release_Label'!$E:$E,'3) Release_Label'!$H:$H},2,0), or(and(not(isblank($B742)),$B742=$B741,$A742&lt;&gt;$A741),and(not(isblank($A742)),$A742=$A741,$B742&lt;&gt;$B741)),"ID LISTS UNALIGNED",and($A742&lt;&gt;"",countif('3) Release_Label'!$D:$D,$A742)=0),"NO UPC MATCH in Release_Label",and($B742&lt;&gt;"",countif('3) Release_Label'!$E:$E,$B742)=0),"NO CATALOG ID MATCH in Release_Label",iserror(vlookup($A742&amp;$B742,'3) Release_Label'!$D:$D&amp;'3) Release_Label'!$E:$E,1,0)),"NO UPC-CATALOG ID pair MATCH in Release_Label" )</f>
        <v/>
      </c>
      <c r="E742" s="99"/>
      <c r="F742" s="99"/>
      <c r="G742" s="123" t="str">
        <f t="array" ref="G742">ifs(or($F742="",$F742="Main Primary Artist"),$F742,not(iserror(vlookup($F742,'Reference info'!$J$5:$J$8,1,0))),"Key Artist",not(iserror(vlookup($F742,'Reference info'!$J$38:$J$405,1,0))),"Performer",not(iserror(vlookup($F742,'Reference info'!$J$10:$J$36,1,0))),"Producer &amp; Engineer")</f>
        <v/>
      </c>
    </row>
    <row r="743">
      <c r="A743" s="28"/>
      <c r="B743" s="103"/>
      <c r="C743" s="121" t="str">
        <f t="array" ref="C743">ifs(and(isblank($A743),isblank($B743)),"", not(iserror(vlookup($A743&amp;$B743,'3) Release_Label'!$D:$D&amp;'3) Release_Label'!$E:$E,1,0))),vlookup($A743&amp;$B743,{'3) Release_Label'!$D:$D&amp;'3) Release_Label'!$E:$E,'3) Release_Label'!$F:$F},2,0), or(and(not(isblank($B743)),$B743=$B742,$A743&lt;&gt;$A742),and(not(isblank($A743)),$A743=$A742,$B743&lt;&gt;$B742)),"ID LISTS UNALIGNED",and($A743&lt;&gt;"",countif('3) Release_Label'!$D:$D,$A743)=0),"NO UPC MATCH in Release_Label",and($B743&lt;&gt;"",countif('3) Release_Label'!$E:$E,$B743)=0),"NO CATALOG ID MATCH in Release_Label",iserror(vlookup($A743&amp;$B743,'3) Release_Label'!$D:$D&amp;'3) Release_Label'!$E:$E,1,0)),"NO UPC-CATALOG ID pair MATCH in Release_Label" )</f>
        <v/>
      </c>
      <c r="D743" s="121" t="str">
        <f t="array" ref="D743">ifs(and(isblank($A743),isblank($B743)),"", not(iserror(vlookup($A743&amp;$B743,'3) Release_Label'!$D:$D&amp;'3) Release_Label'!$E:$E,1,0))),vlookup($A743&amp;$B743,{'3) Release_Label'!$D:$D&amp;'3) Release_Label'!$E:$E,'3) Release_Label'!$H:$H},2,0), or(and(not(isblank($B743)),$B743=$B742,$A743&lt;&gt;$A742),and(not(isblank($A743)),$A743=$A742,$B743&lt;&gt;$B742)),"ID LISTS UNALIGNED",and($A743&lt;&gt;"",countif('3) Release_Label'!$D:$D,$A743)=0),"NO UPC MATCH in Release_Label",and($B743&lt;&gt;"",countif('3) Release_Label'!$E:$E,$B743)=0),"NO CATALOG ID MATCH in Release_Label",iserror(vlookup($A743&amp;$B743,'3) Release_Label'!$D:$D&amp;'3) Release_Label'!$E:$E,1,0)),"NO UPC-CATALOG ID pair MATCH in Release_Label" )</f>
        <v/>
      </c>
      <c r="E743" s="99"/>
      <c r="F743" s="99"/>
      <c r="G743" s="123" t="str">
        <f t="array" ref="G743">ifs(or($F743="",$F743="Main Primary Artist"),$F743,not(iserror(vlookup($F743,'Reference info'!$J$5:$J$8,1,0))),"Key Artist",not(iserror(vlookup($F743,'Reference info'!$J$38:$J$405,1,0))),"Performer",not(iserror(vlookup($F743,'Reference info'!$J$10:$J$36,1,0))),"Producer &amp; Engineer")</f>
        <v/>
      </c>
    </row>
    <row r="744">
      <c r="A744" s="28"/>
      <c r="B744" s="103"/>
      <c r="C744" s="121" t="str">
        <f t="array" ref="C744">ifs(and(isblank($A744),isblank($B744)),"", not(iserror(vlookup($A744&amp;$B744,'3) Release_Label'!$D:$D&amp;'3) Release_Label'!$E:$E,1,0))),vlookup($A744&amp;$B744,{'3) Release_Label'!$D:$D&amp;'3) Release_Label'!$E:$E,'3) Release_Label'!$F:$F},2,0), or(and(not(isblank($B744)),$B744=$B743,$A744&lt;&gt;$A743),and(not(isblank($A744)),$A744=$A743,$B744&lt;&gt;$B743)),"ID LISTS UNALIGNED",and($A744&lt;&gt;"",countif('3) Release_Label'!$D:$D,$A744)=0),"NO UPC MATCH in Release_Label",and($B744&lt;&gt;"",countif('3) Release_Label'!$E:$E,$B744)=0),"NO CATALOG ID MATCH in Release_Label",iserror(vlookup($A744&amp;$B744,'3) Release_Label'!$D:$D&amp;'3) Release_Label'!$E:$E,1,0)),"NO UPC-CATALOG ID pair MATCH in Release_Label" )</f>
        <v/>
      </c>
      <c r="D744" s="121" t="str">
        <f t="array" ref="D744">ifs(and(isblank($A744),isblank($B744)),"", not(iserror(vlookup($A744&amp;$B744,'3) Release_Label'!$D:$D&amp;'3) Release_Label'!$E:$E,1,0))),vlookup($A744&amp;$B744,{'3) Release_Label'!$D:$D&amp;'3) Release_Label'!$E:$E,'3) Release_Label'!$H:$H},2,0), or(and(not(isblank($B744)),$B744=$B743,$A744&lt;&gt;$A743),and(not(isblank($A744)),$A744=$A743,$B744&lt;&gt;$B743)),"ID LISTS UNALIGNED",and($A744&lt;&gt;"",countif('3) Release_Label'!$D:$D,$A744)=0),"NO UPC MATCH in Release_Label",and($B744&lt;&gt;"",countif('3) Release_Label'!$E:$E,$B744)=0),"NO CATALOG ID MATCH in Release_Label",iserror(vlookup($A744&amp;$B744,'3) Release_Label'!$D:$D&amp;'3) Release_Label'!$E:$E,1,0)),"NO UPC-CATALOG ID pair MATCH in Release_Label" )</f>
        <v/>
      </c>
      <c r="E744" s="99"/>
      <c r="F744" s="99"/>
      <c r="G744" s="123" t="str">
        <f t="array" ref="G744">ifs(or($F744="",$F744="Main Primary Artist"),$F744,not(iserror(vlookup($F744,'Reference info'!$J$5:$J$8,1,0))),"Key Artist",not(iserror(vlookup($F744,'Reference info'!$J$38:$J$405,1,0))),"Performer",not(iserror(vlookup($F744,'Reference info'!$J$10:$J$36,1,0))),"Producer &amp; Engineer")</f>
        <v/>
      </c>
    </row>
    <row r="745">
      <c r="A745" s="28"/>
      <c r="B745" s="103"/>
      <c r="C745" s="121" t="str">
        <f t="array" ref="C745">ifs(and(isblank($A745),isblank($B745)),"", not(iserror(vlookup($A745&amp;$B745,'3) Release_Label'!$D:$D&amp;'3) Release_Label'!$E:$E,1,0))),vlookup($A745&amp;$B745,{'3) Release_Label'!$D:$D&amp;'3) Release_Label'!$E:$E,'3) Release_Label'!$F:$F},2,0), or(and(not(isblank($B745)),$B745=$B744,$A745&lt;&gt;$A744),and(not(isblank($A745)),$A745=$A744,$B745&lt;&gt;$B744)),"ID LISTS UNALIGNED",and($A745&lt;&gt;"",countif('3) Release_Label'!$D:$D,$A745)=0),"NO UPC MATCH in Release_Label",and($B745&lt;&gt;"",countif('3) Release_Label'!$E:$E,$B745)=0),"NO CATALOG ID MATCH in Release_Label",iserror(vlookup($A745&amp;$B745,'3) Release_Label'!$D:$D&amp;'3) Release_Label'!$E:$E,1,0)),"NO UPC-CATALOG ID pair MATCH in Release_Label" )</f>
        <v/>
      </c>
      <c r="D745" s="121" t="str">
        <f t="array" ref="D745">ifs(and(isblank($A745),isblank($B745)),"", not(iserror(vlookup($A745&amp;$B745,'3) Release_Label'!$D:$D&amp;'3) Release_Label'!$E:$E,1,0))),vlookup($A745&amp;$B745,{'3) Release_Label'!$D:$D&amp;'3) Release_Label'!$E:$E,'3) Release_Label'!$H:$H},2,0), or(and(not(isblank($B745)),$B745=$B744,$A745&lt;&gt;$A744),and(not(isblank($A745)),$A745=$A744,$B745&lt;&gt;$B744)),"ID LISTS UNALIGNED",and($A745&lt;&gt;"",countif('3) Release_Label'!$D:$D,$A745)=0),"NO UPC MATCH in Release_Label",and($B745&lt;&gt;"",countif('3) Release_Label'!$E:$E,$B745)=0),"NO CATALOG ID MATCH in Release_Label",iserror(vlookup($A745&amp;$B745,'3) Release_Label'!$D:$D&amp;'3) Release_Label'!$E:$E,1,0)),"NO UPC-CATALOG ID pair MATCH in Release_Label" )</f>
        <v/>
      </c>
      <c r="E745" s="99"/>
      <c r="F745" s="99"/>
      <c r="G745" s="123" t="str">
        <f t="array" ref="G745">ifs(or($F745="",$F745="Main Primary Artist"),$F745,not(iserror(vlookup($F745,'Reference info'!$J$5:$J$8,1,0))),"Key Artist",not(iserror(vlookup($F745,'Reference info'!$J$38:$J$405,1,0))),"Performer",not(iserror(vlookup($F745,'Reference info'!$J$10:$J$36,1,0))),"Producer &amp; Engineer")</f>
        <v/>
      </c>
    </row>
    <row r="746">
      <c r="A746" s="28"/>
      <c r="B746" s="103"/>
      <c r="C746" s="121" t="str">
        <f t="array" ref="C746">ifs(and(isblank($A746),isblank($B746)),"", not(iserror(vlookup($A746&amp;$B746,'3) Release_Label'!$D:$D&amp;'3) Release_Label'!$E:$E,1,0))),vlookup($A746&amp;$B746,{'3) Release_Label'!$D:$D&amp;'3) Release_Label'!$E:$E,'3) Release_Label'!$F:$F},2,0), or(and(not(isblank($B746)),$B746=$B745,$A746&lt;&gt;$A745),and(not(isblank($A746)),$A746=$A745,$B746&lt;&gt;$B745)),"ID LISTS UNALIGNED",and($A746&lt;&gt;"",countif('3) Release_Label'!$D:$D,$A746)=0),"NO UPC MATCH in Release_Label",and($B746&lt;&gt;"",countif('3) Release_Label'!$E:$E,$B746)=0),"NO CATALOG ID MATCH in Release_Label",iserror(vlookup($A746&amp;$B746,'3) Release_Label'!$D:$D&amp;'3) Release_Label'!$E:$E,1,0)),"NO UPC-CATALOG ID pair MATCH in Release_Label" )</f>
        <v/>
      </c>
      <c r="D746" s="121" t="str">
        <f t="array" ref="D746">ifs(and(isblank($A746),isblank($B746)),"", not(iserror(vlookup($A746&amp;$B746,'3) Release_Label'!$D:$D&amp;'3) Release_Label'!$E:$E,1,0))),vlookup($A746&amp;$B746,{'3) Release_Label'!$D:$D&amp;'3) Release_Label'!$E:$E,'3) Release_Label'!$H:$H},2,0), or(and(not(isblank($B746)),$B746=$B745,$A746&lt;&gt;$A745),and(not(isblank($A746)),$A746=$A745,$B746&lt;&gt;$B745)),"ID LISTS UNALIGNED",and($A746&lt;&gt;"",countif('3) Release_Label'!$D:$D,$A746)=0),"NO UPC MATCH in Release_Label",and($B746&lt;&gt;"",countif('3) Release_Label'!$E:$E,$B746)=0),"NO CATALOG ID MATCH in Release_Label",iserror(vlookup($A746&amp;$B746,'3) Release_Label'!$D:$D&amp;'3) Release_Label'!$E:$E,1,0)),"NO UPC-CATALOG ID pair MATCH in Release_Label" )</f>
        <v/>
      </c>
      <c r="E746" s="99"/>
      <c r="F746" s="99"/>
      <c r="G746" s="123" t="str">
        <f t="array" ref="G746">ifs(or($F746="",$F746="Main Primary Artist"),$F746,not(iserror(vlookup($F746,'Reference info'!$J$5:$J$8,1,0))),"Key Artist",not(iserror(vlookup($F746,'Reference info'!$J$38:$J$405,1,0))),"Performer",not(iserror(vlookup($F746,'Reference info'!$J$10:$J$36,1,0))),"Producer &amp; Engineer")</f>
        <v/>
      </c>
    </row>
    <row r="747">
      <c r="A747" s="28"/>
      <c r="B747" s="103"/>
      <c r="C747" s="121" t="str">
        <f t="array" ref="C747">ifs(and(isblank($A747),isblank($B747)),"", not(iserror(vlookup($A747&amp;$B747,'3) Release_Label'!$D:$D&amp;'3) Release_Label'!$E:$E,1,0))),vlookup($A747&amp;$B747,{'3) Release_Label'!$D:$D&amp;'3) Release_Label'!$E:$E,'3) Release_Label'!$F:$F},2,0), or(and(not(isblank($B747)),$B747=$B746,$A747&lt;&gt;$A746),and(not(isblank($A747)),$A747=$A746,$B747&lt;&gt;$B746)),"ID LISTS UNALIGNED",and($A747&lt;&gt;"",countif('3) Release_Label'!$D:$D,$A747)=0),"NO UPC MATCH in Release_Label",and($B747&lt;&gt;"",countif('3) Release_Label'!$E:$E,$B747)=0),"NO CATALOG ID MATCH in Release_Label",iserror(vlookup($A747&amp;$B747,'3) Release_Label'!$D:$D&amp;'3) Release_Label'!$E:$E,1,0)),"NO UPC-CATALOG ID pair MATCH in Release_Label" )</f>
        <v/>
      </c>
      <c r="D747" s="121" t="str">
        <f t="array" ref="D747">ifs(and(isblank($A747),isblank($B747)),"", not(iserror(vlookup($A747&amp;$B747,'3) Release_Label'!$D:$D&amp;'3) Release_Label'!$E:$E,1,0))),vlookup($A747&amp;$B747,{'3) Release_Label'!$D:$D&amp;'3) Release_Label'!$E:$E,'3) Release_Label'!$H:$H},2,0), or(and(not(isblank($B747)),$B747=$B746,$A747&lt;&gt;$A746),and(not(isblank($A747)),$A747=$A746,$B747&lt;&gt;$B746)),"ID LISTS UNALIGNED",and($A747&lt;&gt;"",countif('3) Release_Label'!$D:$D,$A747)=0),"NO UPC MATCH in Release_Label",and($B747&lt;&gt;"",countif('3) Release_Label'!$E:$E,$B747)=0),"NO CATALOG ID MATCH in Release_Label",iserror(vlookup($A747&amp;$B747,'3) Release_Label'!$D:$D&amp;'3) Release_Label'!$E:$E,1,0)),"NO UPC-CATALOG ID pair MATCH in Release_Label" )</f>
        <v/>
      </c>
      <c r="E747" s="99"/>
      <c r="F747" s="99"/>
      <c r="G747" s="123" t="str">
        <f t="array" ref="G747">ifs(or($F747="",$F747="Main Primary Artist"),$F747,not(iserror(vlookup($F747,'Reference info'!$J$5:$J$8,1,0))),"Key Artist",not(iserror(vlookup($F747,'Reference info'!$J$38:$J$405,1,0))),"Performer",not(iserror(vlookup($F747,'Reference info'!$J$10:$J$36,1,0))),"Producer &amp; Engineer")</f>
        <v/>
      </c>
    </row>
    <row r="748">
      <c r="A748" s="28"/>
      <c r="B748" s="103"/>
      <c r="C748" s="121" t="str">
        <f t="array" ref="C748">ifs(and(isblank($A748),isblank($B748)),"", not(iserror(vlookup($A748&amp;$B748,'3) Release_Label'!$D:$D&amp;'3) Release_Label'!$E:$E,1,0))),vlookup($A748&amp;$B748,{'3) Release_Label'!$D:$D&amp;'3) Release_Label'!$E:$E,'3) Release_Label'!$F:$F},2,0), or(and(not(isblank($B748)),$B748=$B747,$A748&lt;&gt;$A747),and(not(isblank($A748)),$A748=$A747,$B748&lt;&gt;$B747)),"ID LISTS UNALIGNED",and($A748&lt;&gt;"",countif('3) Release_Label'!$D:$D,$A748)=0),"NO UPC MATCH in Release_Label",and($B748&lt;&gt;"",countif('3) Release_Label'!$E:$E,$B748)=0),"NO CATALOG ID MATCH in Release_Label",iserror(vlookup($A748&amp;$B748,'3) Release_Label'!$D:$D&amp;'3) Release_Label'!$E:$E,1,0)),"NO UPC-CATALOG ID pair MATCH in Release_Label" )</f>
        <v/>
      </c>
      <c r="D748" s="121" t="str">
        <f t="array" ref="D748">ifs(and(isblank($A748),isblank($B748)),"", not(iserror(vlookup($A748&amp;$B748,'3) Release_Label'!$D:$D&amp;'3) Release_Label'!$E:$E,1,0))),vlookup($A748&amp;$B748,{'3) Release_Label'!$D:$D&amp;'3) Release_Label'!$E:$E,'3) Release_Label'!$H:$H},2,0), or(and(not(isblank($B748)),$B748=$B747,$A748&lt;&gt;$A747),and(not(isblank($A748)),$A748=$A747,$B748&lt;&gt;$B747)),"ID LISTS UNALIGNED",and($A748&lt;&gt;"",countif('3) Release_Label'!$D:$D,$A748)=0),"NO UPC MATCH in Release_Label",and($B748&lt;&gt;"",countif('3) Release_Label'!$E:$E,$B748)=0),"NO CATALOG ID MATCH in Release_Label",iserror(vlookup($A748&amp;$B748,'3) Release_Label'!$D:$D&amp;'3) Release_Label'!$E:$E,1,0)),"NO UPC-CATALOG ID pair MATCH in Release_Label" )</f>
        <v/>
      </c>
      <c r="E748" s="99"/>
      <c r="F748" s="99"/>
      <c r="G748" s="123" t="str">
        <f t="array" ref="G748">ifs(or($F748="",$F748="Main Primary Artist"),$F748,not(iserror(vlookup($F748,'Reference info'!$J$5:$J$8,1,0))),"Key Artist",not(iserror(vlookup($F748,'Reference info'!$J$38:$J$405,1,0))),"Performer",not(iserror(vlookup($F748,'Reference info'!$J$10:$J$36,1,0))),"Producer &amp; Engineer")</f>
        <v/>
      </c>
    </row>
    <row r="749">
      <c r="A749" s="28"/>
      <c r="B749" s="103"/>
      <c r="C749" s="121" t="str">
        <f t="array" ref="C749">ifs(and(isblank($A749),isblank($B749)),"", not(iserror(vlookup($A749&amp;$B749,'3) Release_Label'!$D:$D&amp;'3) Release_Label'!$E:$E,1,0))),vlookup($A749&amp;$B749,{'3) Release_Label'!$D:$D&amp;'3) Release_Label'!$E:$E,'3) Release_Label'!$F:$F},2,0), or(and(not(isblank($B749)),$B749=$B748,$A749&lt;&gt;$A748),and(not(isblank($A749)),$A749=$A748,$B749&lt;&gt;$B748)),"ID LISTS UNALIGNED",and($A749&lt;&gt;"",countif('3) Release_Label'!$D:$D,$A749)=0),"NO UPC MATCH in Release_Label",and($B749&lt;&gt;"",countif('3) Release_Label'!$E:$E,$B749)=0),"NO CATALOG ID MATCH in Release_Label",iserror(vlookup($A749&amp;$B749,'3) Release_Label'!$D:$D&amp;'3) Release_Label'!$E:$E,1,0)),"NO UPC-CATALOG ID pair MATCH in Release_Label" )</f>
        <v/>
      </c>
      <c r="D749" s="121" t="str">
        <f t="array" ref="D749">ifs(and(isblank($A749),isblank($B749)),"", not(iserror(vlookup($A749&amp;$B749,'3) Release_Label'!$D:$D&amp;'3) Release_Label'!$E:$E,1,0))),vlookup($A749&amp;$B749,{'3) Release_Label'!$D:$D&amp;'3) Release_Label'!$E:$E,'3) Release_Label'!$H:$H},2,0), or(and(not(isblank($B749)),$B749=$B748,$A749&lt;&gt;$A748),and(not(isblank($A749)),$A749=$A748,$B749&lt;&gt;$B748)),"ID LISTS UNALIGNED",and($A749&lt;&gt;"",countif('3) Release_Label'!$D:$D,$A749)=0),"NO UPC MATCH in Release_Label",and($B749&lt;&gt;"",countif('3) Release_Label'!$E:$E,$B749)=0),"NO CATALOG ID MATCH in Release_Label",iserror(vlookup($A749&amp;$B749,'3) Release_Label'!$D:$D&amp;'3) Release_Label'!$E:$E,1,0)),"NO UPC-CATALOG ID pair MATCH in Release_Label" )</f>
        <v/>
      </c>
      <c r="E749" s="99"/>
      <c r="F749" s="99"/>
      <c r="G749" s="123" t="str">
        <f t="array" ref="G749">ifs(or($F749="",$F749="Main Primary Artist"),$F749,not(iserror(vlookup($F749,'Reference info'!$J$5:$J$8,1,0))),"Key Artist",not(iserror(vlookup($F749,'Reference info'!$J$38:$J$405,1,0))),"Performer",not(iserror(vlookup($F749,'Reference info'!$J$10:$J$36,1,0))),"Producer &amp; Engineer")</f>
        <v/>
      </c>
    </row>
    <row r="750">
      <c r="A750" s="28"/>
      <c r="B750" s="103"/>
      <c r="C750" s="121" t="str">
        <f t="array" ref="C750">ifs(and(isblank($A750),isblank($B750)),"", not(iserror(vlookup($A750&amp;$B750,'3) Release_Label'!$D:$D&amp;'3) Release_Label'!$E:$E,1,0))),vlookup($A750&amp;$B750,{'3) Release_Label'!$D:$D&amp;'3) Release_Label'!$E:$E,'3) Release_Label'!$F:$F},2,0), or(and(not(isblank($B750)),$B750=$B749,$A750&lt;&gt;$A749),and(not(isblank($A750)),$A750=$A749,$B750&lt;&gt;$B749)),"ID LISTS UNALIGNED",and($A750&lt;&gt;"",countif('3) Release_Label'!$D:$D,$A750)=0),"NO UPC MATCH in Release_Label",and($B750&lt;&gt;"",countif('3) Release_Label'!$E:$E,$B750)=0),"NO CATALOG ID MATCH in Release_Label",iserror(vlookup($A750&amp;$B750,'3) Release_Label'!$D:$D&amp;'3) Release_Label'!$E:$E,1,0)),"NO UPC-CATALOG ID pair MATCH in Release_Label" )</f>
        <v/>
      </c>
      <c r="D750" s="121" t="str">
        <f t="array" ref="D750">ifs(and(isblank($A750),isblank($B750)),"", not(iserror(vlookup($A750&amp;$B750,'3) Release_Label'!$D:$D&amp;'3) Release_Label'!$E:$E,1,0))),vlookup($A750&amp;$B750,{'3) Release_Label'!$D:$D&amp;'3) Release_Label'!$E:$E,'3) Release_Label'!$H:$H},2,0), or(and(not(isblank($B750)),$B750=$B749,$A750&lt;&gt;$A749),and(not(isblank($A750)),$A750=$A749,$B750&lt;&gt;$B749)),"ID LISTS UNALIGNED",and($A750&lt;&gt;"",countif('3) Release_Label'!$D:$D,$A750)=0),"NO UPC MATCH in Release_Label",and($B750&lt;&gt;"",countif('3) Release_Label'!$E:$E,$B750)=0),"NO CATALOG ID MATCH in Release_Label",iserror(vlookup($A750&amp;$B750,'3) Release_Label'!$D:$D&amp;'3) Release_Label'!$E:$E,1,0)),"NO UPC-CATALOG ID pair MATCH in Release_Label" )</f>
        <v/>
      </c>
      <c r="E750" s="99"/>
      <c r="F750" s="99"/>
      <c r="G750" s="123" t="str">
        <f t="array" ref="G750">ifs(or($F750="",$F750="Main Primary Artist"),$F750,not(iserror(vlookup($F750,'Reference info'!$J$5:$J$8,1,0))),"Key Artist",not(iserror(vlookup($F750,'Reference info'!$J$38:$J$405,1,0))),"Performer",not(iserror(vlookup($F750,'Reference info'!$J$10:$J$36,1,0))),"Producer &amp; Engineer")</f>
        <v/>
      </c>
    </row>
    <row r="751">
      <c r="A751" s="28"/>
      <c r="B751" s="103"/>
      <c r="C751" s="121" t="str">
        <f t="array" ref="C751">ifs(and(isblank($A751),isblank($B751)),"", not(iserror(vlookup($A751&amp;$B751,'3) Release_Label'!$D:$D&amp;'3) Release_Label'!$E:$E,1,0))),vlookup($A751&amp;$B751,{'3) Release_Label'!$D:$D&amp;'3) Release_Label'!$E:$E,'3) Release_Label'!$F:$F},2,0), or(and(not(isblank($B751)),$B751=$B750,$A751&lt;&gt;$A750),and(not(isblank($A751)),$A751=$A750,$B751&lt;&gt;$B750)),"ID LISTS UNALIGNED",and($A751&lt;&gt;"",countif('3) Release_Label'!$D:$D,$A751)=0),"NO UPC MATCH in Release_Label",and($B751&lt;&gt;"",countif('3) Release_Label'!$E:$E,$B751)=0),"NO CATALOG ID MATCH in Release_Label",iserror(vlookup($A751&amp;$B751,'3) Release_Label'!$D:$D&amp;'3) Release_Label'!$E:$E,1,0)),"NO UPC-CATALOG ID pair MATCH in Release_Label" )</f>
        <v/>
      </c>
      <c r="D751" s="121" t="str">
        <f t="array" ref="D751">ifs(and(isblank($A751),isblank($B751)),"", not(iserror(vlookup($A751&amp;$B751,'3) Release_Label'!$D:$D&amp;'3) Release_Label'!$E:$E,1,0))),vlookup($A751&amp;$B751,{'3) Release_Label'!$D:$D&amp;'3) Release_Label'!$E:$E,'3) Release_Label'!$H:$H},2,0), or(and(not(isblank($B751)),$B751=$B750,$A751&lt;&gt;$A750),and(not(isblank($A751)),$A751=$A750,$B751&lt;&gt;$B750)),"ID LISTS UNALIGNED",and($A751&lt;&gt;"",countif('3) Release_Label'!$D:$D,$A751)=0),"NO UPC MATCH in Release_Label",and($B751&lt;&gt;"",countif('3) Release_Label'!$E:$E,$B751)=0),"NO CATALOG ID MATCH in Release_Label",iserror(vlookup($A751&amp;$B751,'3) Release_Label'!$D:$D&amp;'3) Release_Label'!$E:$E,1,0)),"NO UPC-CATALOG ID pair MATCH in Release_Label" )</f>
        <v/>
      </c>
      <c r="E751" s="99"/>
      <c r="F751" s="99"/>
      <c r="G751" s="123" t="str">
        <f t="array" ref="G751">ifs(or($F751="",$F751="Main Primary Artist"),$F751,not(iserror(vlookup($F751,'Reference info'!$J$5:$J$8,1,0))),"Key Artist",not(iserror(vlookup($F751,'Reference info'!$J$38:$J$405,1,0))),"Performer",not(iserror(vlookup($F751,'Reference info'!$J$10:$J$36,1,0))),"Producer &amp; Engineer")</f>
        <v/>
      </c>
    </row>
    <row r="752">
      <c r="A752" s="28"/>
      <c r="B752" s="103"/>
      <c r="C752" s="121" t="str">
        <f t="array" ref="C752">ifs(and(isblank($A752),isblank($B752)),"", not(iserror(vlookup($A752&amp;$B752,'3) Release_Label'!$D:$D&amp;'3) Release_Label'!$E:$E,1,0))),vlookup($A752&amp;$B752,{'3) Release_Label'!$D:$D&amp;'3) Release_Label'!$E:$E,'3) Release_Label'!$F:$F},2,0), or(and(not(isblank($B752)),$B752=$B751,$A752&lt;&gt;$A751),and(not(isblank($A752)),$A752=$A751,$B752&lt;&gt;$B751)),"ID LISTS UNALIGNED",and($A752&lt;&gt;"",countif('3) Release_Label'!$D:$D,$A752)=0),"NO UPC MATCH in Release_Label",and($B752&lt;&gt;"",countif('3) Release_Label'!$E:$E,$B752)=0),"NO CATALOG ID MATCH in Release_Label",iserror(vlookup($A752&amp;$B752,'3) Release_Label'!$D:$D&amp;'3) Release_Label'!$E:$E,1,0)),"NO UPC-CATALOG ID pair MATCH in Release_Label" )</f>
        <v/>
      </c>
      <c r="D752" s="121" t="str">
        <f t="array" ref="D752">ifs(and(isblank($A752),isblank($B752)),"", not(iserror(vlookup($A752&amp;$B752,'3) Release_Label'!$D:$D&amp;'3) Release_Label'!$E:$E,1,0))),vlookup($A752&amp;$B752,{'3) Release_Label'!$D:$D&amp;'3) Release_Label'!$E:$E,'3) Release_Label'!$H:$H},2,0), or(and(not(isblank($B752)),$B752=$B751,$A752&lt;&gt;$A751),and(not(isblank($A752)),$A752=$A751,$B752&lt;&gt;$B751)),"ID LISTS UNALIGNED",and($A752&lt;&gt;"",countif('3) Release_Label'!$D:$D,$A752)=0),"NO UPC MATCH in Release_Label",and($B752&lt;&gt;"",countif('3) Release_Label'!$E:$E,$B752)=0),"NO CATALOG ID MATCH in Release_Label",iserror(vlookup($A752&amp;$B752,'3) Release_Label'!$D:$D&amp;'3) Release_Label'!$E:$E,1,0)),"NO UPC-CATALOG ID pair MATCH in Release_Label" )</f>
        <v/>
      </c>
      <c r="E752" s="99"/>
      <c r="F752" s="99"/>
      <c r="G752" s="123" t="str">
        <f t="array" ref="G752">ifs(or($F752="",$F752="Main Primary Artist"),$F752,not(iserror(vlookup($F752,'Reference info'!$J$5:$J$8,1,0))),"Key Artist",not(iserror(vlookup($F752,'Reference info'!$J$38:$J$405,1,0))),"Performer",not(iserror(vlookup($F752,'Reference info'!$J$10:$J$36,1,0))),"Producer &amp; Engineer")</f>
        <v/>
      </c>
    </row>
    <row r="753">
      <c r="A753" s="28"/>
      <c r="B753" s="103"/>
      <c r="C753" s="121" t="str">
        <f t="array" ref="C753">ifs(and(isblank($A753),isblank($B753)),"", not(iserror(vlookup($A753&amp;$B753,'3) Release_Label'!$D:$D&amp;'3) Release_Label'!$E:$E,1,0))),vlookup($A753&amp;$B753,{'3) Release_Label'!$D:$D&amp;'3) Release_Label'!$E:$E,'3) Release_Label'!$F:$F},2,0), or(and(not(isblank($B753)),$B753=$B752,$A753&lt;&gt;$A752),and(not(isblank($A753)),$A753=$A752,$B753&lt;&gt;$B752)),"ID LISTS UNALIGNED",and($A753&lt;&gt;"",countif('3) Release_Label'!$D:$D,$A753)=0),"NO UPC MATCH in Release_Label",and($B753&lt;&gt;"",countif('3) Release_Label'!$E:$E,$B753)=0),"NO CATALOG ID MATCH in Release_Label",iserror(vlookup($A753&amp;$B753,'3) Release_Label'!$D:$D&amp;'3) Release_Label'!$E:$E,1,0)),"NO UPC-CATALOG ID pair MATCH in Release_Label" )</f>
        <v/>
      </c>
      <c r="D753" s="121" t="str">
        <f t="array" ref="D753">ifs(and(isblank($A753),isblank($B753)),"", not(iserror(vlookup($A753&amp;$B753,'3) Release_Label'!$D:$D&amp;'3) Release_Label'!$E:$E,1,0))),vlookup($A753&amp;$B753,{'3) Release_Label'!$D:$D&amp;'3) Release_Label'!$E:$E,'3) Release_Label'!$H:$H},2,0), or(and(not(isblank($B753)),$B753=$B752,$A753&lt;&gt;$A752),and(not(isblank($A753)),$A753=$A752,$B753&lt;&gt;$B752)),"ID LISTS UNALIGNED",and($A753&lt;&gt;"",countif('3) Release_Label'!$D:$D,$A753)=0),"NO UPC MATCH in Release_Label",and($B753&lt;&gt;"",countif('3) Release_Label'!$E:$E,$B753)=0),"NO CATALOG ID MATCH in Release_Label",iserror(vlookup($A753&amp;$B753,'3) Release_Label'!$D:$D&amp;'3) Release_Label'!$E:$E,1,0)),"NO UPC-CATALOG ID pair MATCH in Release_Label" )</f>
        <v/>
      </c>
      <c r="E753" s="99"/>
      <c r="F753" s="99"/>
      <c r="G753" s="123" t="str">
        <f t="array" ref="G753">ifs(or($F753="",$F753="Main Primary Artist"),$F753,not(iserror(vlookup($F753,'Reference info'!$J$5:$J$8,1,0))),"Key Artist",not(iserror(vlookup($F753,'Reference info'!$J$38:$J$405,1,0))),"Performer",not(iserror(vlookup($F753,'Reference info'!$J$10:$J$36,1,0))),"Producer &amp; Engineer")</f>
        <v/>
      </c>
    </row>
    <row r="754">
      <c r="A754" s="28"/>
      <c r="B754" s="103"/>
      <c r="C754" s="121" t="str">
        <f t="array" ref="C754">ifs(and(isblank($A754),isblank($B754)),"", not(iserror(vlookup($A754&amp;$B754,'3) Release_Label'!$D:$D&amp;'3) Release_Label'!$E:$E,1,0))),vlookup($A754&amp;$B754,{'3) Release_Label'!$D:$D&amp;'3) Release_Label'!$E:$E,'3) Release_Label'!$F:$F},2,0), or(and(not(isblank($B754)),$B754=$B753,$A754&lt;&gt;$A753),and(not(isblank($A754)),$A754=$A753,$B754&lt;&gt;$B753)),"ID LISTS UNALIGNED",and($A754&lt;&gt;"",countif('3) Release_Label'!$D:$D,$A754)=0),"NO UPC MATCH in Release_Label",and($B754&lt;&gt;"",countif('3) Release_Label'!$E:$E,$B754)=0),"NO CATALOG ID MATCH in Release_Label",iserror(vlookup($A754&amp;$B754,'3) Release_Label'!$D:$D&amp;'3) Release_Label'!$E:$E,1,0)),"NO UPC-CATALOG ID pair MATCH in Release_Label" )</f>
        <v/>
      </c>
      <c r="D754" s="121" t="str">
        <f t="array" ref="D754">ifs(and(isblank($A754),isblank($B754)),"", not(iserror(vlookup($A754&amp;$B754,'3) Release_Label'!$D:$D&amp;'3) Release_Label'!$E:$E,1,0))),vlookup($A754&amp;$B754,{'3) Release_Label'!$D:$D&amp;'3) Release_Label'!$E:$E,'3) Release_Label'!$H:$H},2,0), or(and(not(isblank($B754)),$B754=$B753,$A754&lt;&gt;$A753),and(not(isblank($A754)),$A754=$A753,$B754&lt;&gt;$B753)),"ID LISTS UNALIGNED",and($A754&lt;&gt;"",countif('3) Release_Label'!$D:$D,$A754)=0),"NO UPC MATCH in Release_Label",and($B754&lt;&gt;"",countif('3) Release_Label'!$E:$E,$B754)=0),"NO CATALOG ID MATCH in Release_Label",iserror(vlookup($A754&amp;$B754,'3) Release_Label'!$D:$D&amp;'3) Release_Label'!$E:$E,1,0)),"NO UPC-CATALOG ID pair MATCH in Release_Label" )</f>
        <v/>
      </c>
      <c r="E754" s="99"/>
      <c r="F754" s="99"/>
      <c r="G754" s="123" t="str">
        <f t="array" ref="G754">ifs(or($F754="",$F754="Main Primary Artist"),$F754,not(iserror(vlookup($F754,'Reference info'!$J$5:$J$8,1,0))),"Key Artist",not(iserror(vlookup($F754,'Reference info'!$J$38:$J$405,1,0))),"Performer",not(iserror(vlookup($F754,'Reference info'!$J$10:$J$36,1,0))),"Producer &amp; Engineer")</f>
        <v/>
      </c>
    </row>
    <row r="755">
      <c r="A755" s="28"/>
      <c r="B755" s="103"/>
      <c r="C755" s="121" t="str">
        <f t="array" ref="C755">ifs(and(isblank($A755),isblank($B755)),"", not(iserror(vlookup($A755&amp;$B755,'3) Release_Label'!$D:$D&amp;'3) Release_Label'!$E:$E,1,0))),vlookup($A755&amp;$B755,{'3) Release_Label'!$D:$D&amp;'3) Release_Label'!$E:$E,'3) Release_Label'!$F:$F},2,0), or(and(not(isblank($B755)),$B755=$B754,$A755&lt;&gt;$A754),and(not(isblank($A755)),$A755=$A754,$B755&lt;&gt;$B754)),"ID LISTS UNALIGNED",and($A755&lt;&gt;"",countif('3) Release_Label'!$D:$D,$A755)=0),"NO UPC MATCH in Release_Label",and($B755&lt;&gt;"",countif('3) Release_Label'!$E:$E,$B755)=0),"NO CATALOG ID MATCH in Release_Label",iserror(vlookup($A755&amp;$B755,'3) Release_Label'!$D:$D&amp;'3) Release_Label'!$E:$E,1,0)),"NO UPC-CATALOG ID pair MATCH in Release_Label" )</f>
        <v/>
      </c>
      <c r="D755" s="121" t="str">
        <f t="array" ref="D755">ifs(and(isblank($A755),isblank($B755)),"", not(iserror(vlookup($A755&amp;$B755,'3) Release_Label'!$D:$D&amp;'3) Release_Label'!$E:$E,1,0))),vlookup($A755&amp;$B755,{'3) Release_Label'!$D:$D&amp;'3) Release_Label'!$E:$E,'3) Release_Label'!$H:$H},2,0), or(and(not(isblank($B755)),$B755=$B754,$A755&lt;&gt;$A754),and(not(isblank($A755)),$A755=$A754,$B755&lt;&gt;$B754)),"ID LISTS UNALIGNED",and($A755&lt;&gt;"",countif('3) Release_Label'!$D:$D,$A755)=0),"NO UPC MATCH in Release_Label",and($B755&lt;&gt;"",countif('3) Release_Label'!$E:$E,$B755)=0),"NO CATALOG ID MATCH in Release_Label",iserror(vlookup($A755&amp;$B755,'3) Release_Label'!$D:$D&amp;'3) Release_Label'!$E:$E,1,0)),"NO UPC-CATALOG ID pair MATCH in Release_Label" )</f>
        <v/>
      </c>
      <c r="E755" s="99"/>
      <c r="F755" s="99"/>
      <c r="G755" s="123" t="str">
        <f t="array" ref="G755">ifs(or($F755="",$F755="Main Primary Artist"),$F755,not(iserror(vlookup($F755,'Reference info'!$J$5:$J$8,1,0))),"Key Artist",not(iserror(vlookup($F755,'Reference info'!$J$38:$J$405,1,0))),"Performer",not(iserror(vlookup($F755,'Reference info'!$J$10:$J$36,1,0))),"Producer &amp; Engineer")</f>
        <v/>
      </c>
    </row>
    <row r="756">
      <c r="A756" s="28"/>
      <c r="B756" s="103"/>
      <c r="C756" s="121" t="str">
        <f t="array" ref="C756">ifs(and(isblank($A756),isblank($B756)),"", not(iserror(vlookup($A756&amp;$B756,'3) Release_Label'!$D:$D&amp;'3) Release_Label'!$E:$E,1,0))),vlookup($A756&amp;$B756,{'3) Release_Label'!$D:$D&amp;'3) Release_Label'!$E:$E,'3) Release_Label'!$F:$F},2,0), or(and(not(isblank($B756)),$B756=$B755,$A756&lt;&gt;$A755),and(not(isblank($A756)),$A756=$A755,$B756&lt;&gt;$B755)),"ID LISTS UNALIGNED",and($A756&lt;&gt;"",countif('3) Release_Label'!$D:$D,$A756)=0),"NO UPC MATCH in Release_Label",and($B756&lt;&gt;"",countif('3) Release_Label'!$E:$E,$B756)=0),"NO CATALOG ID MATCH in Release_Label",iserror(vlookup($A756&amp;$B756,'3) Release_Label'!$D:$D&amp;'3) Release_Label'!$E:$E,1,0)),"NO UPC-CATALOG ID pair MATCH in Release_Label" )</f>
        <v/>
      </c>
      <c r="D756" s="121" t="str">
        <f t="array" ref="D756">ifs(and(isblank($A756),isblank($B756)),"", not(iserror(vlookup($A756&amp;$B756,'3) Release_Label'!$D:$D&amp;'3) Release_Label'!$E:$E,1,0))),vlookup($A756&amp;$B756,{'3) Release_Label'!$D:$D&amp;'3) Release_Label'!$E:$E,'3) Release_Label'!$H:$H},2,0), or(and(not(isblank($B756)),$B756=$B755,$A756&lt;&gt;$A755),and(not(isblank($A756)),$A756=$A755,$B756&lt;&gt;$B755)),"ID LISTS UNALIGNED",and($A756&lt;&gt;"",countif('3) Release_Label'!$D:$D,$A756)=0),"NO UPC MATCH in Release_Label",and($B756&lt;&gt;"",countif('3) Release_Label'!$E:$E,$B756)=0),"NO CATALOG ID MATCH in Release_Label",iserror(vlookup($A756&amp;$B756,'3) Release_Label'!$D:$D&amp;'3) Release_Label'!$E:$E,1,0)),"NO UPC-CATALOG ID pair MATCH in Release_Label" )</f>
        <v/>
      </c>
      <c r="E756" s="99"/>
      <c r="F756" s="99"/>
      <c r="G756" s="123" t="str">
        <f t="array" ref="G756">ifs(or($F756="",$F756="Main Primary Artist"),$F756,not(iserror(vlookup($F756,'Reference info'!$J$5:$J$8,1,0))),"Key Artist",not(iserror(vlookup($F756,'Reference info'!$J$38:$J$405,1,0))),"Performer",not(iserror(vlookup($F756,'Reference info'!$J$10:$J$36,1,0))),"Producer &amp; Engineer")</f>
        <v/>
      </c>
    </row>
    <row r="757">
      <c r="A757" s="28"/>
      <c r="B757" s="103"/>
      <c r="C757" s="121" t="str">
        <f t="array" ref="C757">ifs(and(isblank($A757),isblank($B757)),"", not(iserror(vlookup($A757&amp;$B757,'3) Release_Label'!$D:$D&amp;'3) Release_Label'!$E:$E,1,0))),vlookup($A757&amp;$B757,{'3) Release_Label'!$D:$D&amp;'3) Release_Label'!$E:$E,'3) Release_Label'!$F:$F},2,0), or(and(not(isblank($B757)),$B757=$B756,$A757&lt;&gt;$A756),and(not(isblank($A757)),$A757=$A756,$B757&lt;&gt;$B756)),"ID LISTS UNALIGNED",and($A757&lt;&gt;"",countif('3) Release_Label'!$D:$D,$A757)=0),"NO UPC MATCH in Release_Label",and($B757&lt;&gt;"",countif('3) Release_Label'!$E:$E,$B757)=0),"NO CATALOG ID MATCH in Release_Label",iserror(vlookup($A757&amp;$B757,'3) Release_Label'!$D:$D&amp;'3) Release_Label'!$E:$E,1,0)),"NO UPC-CATALOG ID pair MATCH in Release_Label" )</f>
        <v/>
      </c>
      <c r="D757" s="121" t="str">
        <f t="array" ref="D757">ifs(and(isblank($A757),isblank($B757)),"", not(iserror(vlookup($A757&amp;$B757,'3) Release_Label'!$D:$D&amp;'3) Release_Label'!$E:$E,1,0))),vlookup($A757&amp;$B757,{'3) Release_Label'!$D:$D&amp;'3) Release_Label'!$E:$E,'3) Release_Label'!$H:$H},2,0), or(and(not(isblank($B757)),$B757=$B756,$A757&lt;&gt;$A756),and(not(isblank($A757)),$A757=$A756,$B757&lt;&gt;$B756)),"ID LISTS UNALIGNED",and($A757&lt;&gt;"",countif('3) Release_Label'!$D:$D,$A757)=0),"NO UPC MATCH in Release_Label",and($B757&lt;&gt;"",countif('3) Release_Label'!$E:$E,$B757)=0),"NO CATALOG ID MATCH in Release_Label",iserror(vlookup($A757&amp;$B757,'3) Release_Label'!$D:$D&amp;'3) Release_Label'!$E:$E,1,0)),"NO UPC-CATALOG ID pair MATCH in Release_Label" )</f>
        <v/>
      </c>
      <c r="E757" s="99"/>
      <c r="F757" s="99"/>
      <c r="G757" s="123" t="str">
        <f t="array" ref="G757">ifs(or($F757="",$F757="Main Primary Artist"),$F757,not(iserror(vlookup($F757,'Reference info'!$J$5:$J$8,1,0))),"Key Artist",not(iserror(vlookup($F757,'Reference info'!$J$38:$J$405,1,0))),"Performer",not(iserror(vlookup($F757,'Reference info'!$J$10:$J$36,1,0))),"Producer &amp; Engineer")</f>
        <v/>
      </c>
    </row>
    <row r="758">
      <c r="A758" s="28"/>
      <c r="B758" s="103"/>
      <c r="C758" s="121" t="str">
        <f t="array" ref="C758">ifs(and(isblank($A758),isblank($B758)),"", not(iserror(vlookup($A758&amp;$B758,'3) Release_Label'!$D:$D&amp;'3) Release_Label'!$E:$E,1,0))),vlookup($A758&amp;$B758,{'3) Release_Label'!$D:$D&amp;'3) Release_Label'!$E:$E,'3) Release_Label'!$F:$F},2,0), or(and(not(isblank($B758)),$B758=$B757,$A758&lt;&gt;$A757),and(not(isblank($A758)),$A758=$A757,$B758&lt;&gt;$B757)),"ID LISTS UNALIGNED",and($A758&lt;&gt;"",countif('3) Release_Label'!$D:$D,$A758)=0),"NO UPC MATCH in Release_Label",and($B758&lt;&gt;"",countif('3) Release_Label'!$E:$E,$B758)=0),"NO CATALOG ID MATCH in Release_Label",iserror(vlookup($A758&amp;$B758,'3) Release_Label'!$D:$D&amp;'3) Release_Label'!$E:$E,1,0)),"NO UPC-CATALOG ID pair MATCH in Release_Label" )</f>
        <v/>
      </c>
      <c r="D758" s="121" t="str">
        <f t="array" ref="D758">ifs(and(isblank($A758),isblank($B758)),"", not(iserror(vlookup($A758&amp;$B758,'3) Release_Label'!$D:$D&amp;'3) Release_Label'!$E:$E,1,0))),vlookup($A758&amp;$B758,{'3) Release_Label'!$D:$D&amp;'3) Release_Label'!$E:$E,'3) Release_Label'!$H:$H},2,0), or(and(not(isblank($B758)),$B758=$B757,$A758&lt;&gt;$A757),and(not(isblank($A758)),$A758=$A757,$B758&lt;&gt;$B757)),"ID LISTS UNALIGNED",and($A758&lt;&gt;"",countif('3) Release_Label'!$D:$D,$A758)=0),"NO UPC MATCH in Release_Label",and($B758&lt;&gt;"",countif('3) Release_Label'!$E:$E,$B758)=0),"NO CATALOG ID MATCH in Release_Label",iserror(vlookup($A758&amp;$B758,'3) Release_Label'!$D:$D&amp;'3) Release_Label'!$E:$E,1,0)),"NO UPC-CATALOG ID pair MATCH in Release_Label" )</f>
        <v/>
      </c>
      <c r="E758" s="99"/>
      <c r="F758" s="99"/>
      <c r="G758" s="123" t="str">
        <f t="array" ref="G758">ifs(or($F758="",$F758="Main Primary Artist"),$F758,not(iserror(vlookup($F758,'Reference info'!$J$5:$J$8,1,0))),"Key Artist",not(iserror(vlookup($F758,'Reference info'!$J$38:$J$405,1,0))),"Performer",not(iserror(vlookup($F758,'Reference info'!$J$10:$J$36,1,0))),"Producer &amp; Engineer")</f>
        <v/>
      </c>
    </row>
    <row r="759">
      <c r="A759" s="28"/>
      <c r="B759" s="103"/>
      <c r="C759" s="121" t="str">
        <f t="array" ref="C759">ifs(and(isblank($A759),isblank($B759)),"", not(iserror(vlookup($A759&amp;$B759,'3) Release_Label'!$D:$D&amp;'3) Release_Label'!$E:$E,1,0))),vlookup($A759&amp;$B759,{'3) Release_Label'!$D:$D&amp;'3) Release_Label'!$E:$E,'3) Release_Label'!$F:$F},2,0), or(and(not(isblank($B759)),$B759=$B758,$A759&lt;&gt;$A758),and(not(isblank($A759)),$A759=$A758,$B759&lt;&gt;$B758)),"ID LISTS UNALIGNED",and($A759&lt;&gt;"",countif('3) Release_Label'!$D:$D,$A759)=0),"NO UPC MATCH in Release_Label",and($B759&lt;&gt;"",countif('3) Release_Label'!$E:$E,$B759)=0),"NO CATALOG ID MATCH in Release_Label",iserror(vlookup($A759&amp;$B759,'3) Release_Label'!$D:$D&amp;'3) Release_Label'!$E:$E,1,0)),"NO UPC-CATALOG ID pair MATCH in Release_Label" )</f>
        <v/>
      </c>
      <c r="D759" s="121" t="str">
        <f t="array" ref="D759">ifs(and(isblank($A759),isblank($B759)),"", not(iserror(vlookup($A759&amp;$B759,'3) Release_Label'!$D:$D&amp;'3) Release_Label'!$E:$E,1,0))),vlookup($A759&amp;$B759,{'3) Release_Label'!$D:$D&amp;'3) Release_Label'!$E:$E,'3) Release_Label'!$H:$H},2,0), or(and(not(isblank($B759)),$B759=$B758,$A759&lt;&gt;$A758),and(not(isblank($A759)),$A759=$A758,$B759&lt;&gt;$B758)),"ID LISTS UNALIGNED",and($A759&lt;&gt;"",countif('3) Release_Label'!$D:$D,$A759)=0),"NO UPC MATCH in Release_Label",and($B759&lt;&gt;"",countif('3) Release_Label'!$E:$E,$B759)=0),"NO CATALOG ID MATCH in Release_Label",iserror(vlookup($A759&amp;$B759,'3) Release_Label'!$D:$D&amp;'3) Release_Label'!$E:$E,1,0)),"NO UPC-CATALOG ID pair MATCH in Release_Label" )</f>
        <v/>
      </c>
      <c r="E759" s="99"/>
      <c r="F759" s="99"/>
      <c r="G759" s="123" t="str">
        <f t="array" ref="G759">ifs(or($F759="",$F759="Main Primary Artist"),$F759,not(iserror(vlookup($F759,'Reference info'!$J$5:$J$8,1,0))),"Key Artist",not(iserror(vlookup($F759,'Reference info'!$J$38:$J$405,1,0))),"Performer",not(iserror(vlookup($F759,'Reference info'!$J$10:$J$36,1,0))),"Producer &amp; Engineer")</f>
        <v/>
      </c>
    </row>
    <row r="760">
      <c r="A760" s="28"/>
      <c r="B760" s="103"/>
      <c r="C760" s="121" t="str">
        <f t="array" ref="C760">ifs(and(isblank($A760),isblank($B760)),"", not(iserror(vlookup($A760&amp;$B760,'3) Release_Label'!$D:$D&amp;'3) Release_Label'!$E:$E,1,0))),vlookup($A760&amp;$B760,{'3) Release_Label'!$D:$D&amp;'3) Release_Label'!$E:$E,'3) Release_Label'!$F:$F},2,0), or(and(not(isblank($B760)),$B760=$B759,$A760&lt;&gt;$A759),and(not(isblank($A760)),$A760=$A759,$B760&lt;&gt;$B759)),"ID LISTS UNALIGNED",and($A760&lt;&gt;"",countif('3) Release_Label'!$D:$D,$A760)=0),"NO UPC MATCH in Release_Label",and($B760&lt;&gt;"",countif('3) Release_Label'!$E:$E,$B760)=0),"NO CATALOG ID MATCH in Release_Label",iserror(vlookup($A760&amp;$B760,'3) Release_Label'!$D:$D&amp;'3) Release_Label'!$E:$E,1,0)),"NO UPC-CATALOG ID pair MATCH in Release_Label" )</f>
        <v/>
      </c>
      <c r="D760" s="121" t="str">
        <f t="array" ref="D760">ifs(and(isblank($A760),isblank($B760)),"", not(iserror(vlookup($A760&amp;$B760,'3) Release_Label'!$D:$D&amp;'3) Release_Label'!$E:$E,1,0))),vlookup($A760&amp;$B760,{'3) Release_Label'!$D:$D&amp;'3) Release_Label'!$E:$E,'3) Release_Label'!$H:$H},2,0), or(and(not(isblank($B760)),$B760=$B759,$A760&lt;&gt;$A759),and(not(isblank($A760)),$A760=$A759,$B760&lt;&gt;$B759)),"ID LISTS UNALIGNED",and($A760&lt;&gt;"",countif('3) Release_Label'!$D:$D,$A760)=0),"NO UPC MATCH in Release_Label",and($B760&lt;&gt;"",countif('3) Release_Label'!$E:$E,$B760)=0),"NO CATALOG ID MATCH in Release_Label",iserror(vlookup($A760&amp;$B760,'3) Release_Label'!$D:$D&amp;'3) Release_Label'!$E:$E,1,0)),"NO UPC-CATALOG ID pair MATCH in Release_Label" )</f>
        <v/>
      </c>
      <c r="E760" s="99"/>
      <c r="F760" s="99"/>
      <c r="G760" s="123" t="str">
        <f t="array" ref="G760">ifs(or($F760="",$F760="Main Primary Artist"),$F760,not(iserror(vlookup($F760,'Reference info'!$J$5:$J$8,1,0))),"Key Artist",not(iserror(vlookup($F760,'Reference info'!$J$38:$J$405,1,0))),"Performer",not(iserror(vlookup($F760,'Reference info'!$J$10:$J$36,1,0))),"Producer &amp; Engineer")</f>
        <v/>
      </c>
    </row>
    <row r="761">
      <c r="A761" s="28"/>
      <c r="B761" s="103"/>
      <c r="C761" s="121" t="str">
        <f t="array" ref="C761">ifs(and(isblank($A761),isblank($B761)),"", not(iserror(vlookup($A761&amp;$B761,'3) Release_Label'!$D:$D&amp;'3) Release_Label'!$E:$E,1,0))),vlookup($A761&amp;$B761,{'3) Release_Label'!$D:$D&amp;'3) Release_Label'!$E:$E,'3) Release_Label'!$F:$F},2,0), or(and(not(isblank($B761)),$B761=$B760,$A761&lt;&gt;$A760),and(not(isblank($A761)),$A761=$A760,$B761&lt;&gt;$B760)),"ID LISTS UNALIGNED",and($A761&lt;&gt;"",countif('3) Release_Label'!$D:$D,$A761)=0),"NO UPC MATCH in Release_Label",and($B761&lt;&gt;"",countif('3) Release_Label'!$E:$E,$B761)=0),"NO CATALOG ID MATCH in Release_Label",iserror(vlookup($A761&amp;$B761,'3) Release_Label'!$D:$D&amp;'3) Release_Label'!$E:$E,1,0)),"NO UPC-CATALOG ID pair MATCH in Release_Label" )</f>
        <v/>
      </c>
      <c r="D761" s="121" t="str">
        <f t="array" ref="D761">ifs(and(isblank($A761),isblank($B761)),"", not(iserror(vlookup($A761&amp;$B761,'3) Release_Label'!$D:$D&amp;'3) Release_Label'!$E:$E,1,0))),vlookup($A761&amp;$B761,{'3) Release_Label'!$D:$D&amp;'3) Release_Label'!$E:$E,'3) Release_Label'!$H:$H},2,0), or(and(not(isblank($B761)),$B761=$B760,$A761&lt;&gt;$A760),and(not(isblank($A761)),$A761=$A760,$B761&lt;&gt;$B760)),"ID LISTS UNALIGNED",and($A761&lt;&gt;"",countif('3) Release_Label'!$D:$D,$A761)=0),"NO UPC MATCH in Release_Label",and($B761&lt;&gt;"",countif('3) Release_Label'!$E:$E,$B761)=0),"NO CATALOG ID MATCH in Release_Label",iserror(vlookup($A761&amp;$B761,'3) Release_Label'!$D:$D&amp;'3) Release_Label'!$E:$E,1,0)),"NO UPC-CATALOG ID pair MATCH in Release_Label" )</f>
        <v/>
      </c>
      <c r="E761" s="99"/>
      <c r="F761" s="99"/>
      <c r="G761" s="123" t="str">
        <f t="array" ref="G761">ifs(or($F761="",$F761="Main Primary Artist"),$F761,not(iserror(vlookup($F761,'Reference info'!$J$5:$J$8,1,0))),"Key Artist",not(iserror(vlookup($F761,'Reference info'!$J$38:$J$405,1,0))),"Performer",not(iserror(vlookup($F761,'Reference info'!$J$10:$J$36,1,0))),"Producer &amp; Engineer")</f>
        <v/>
      </c>
    </row>
    <row r="762">
      <c r="A762" s="28"/>
      <c r="B762" s="103"/>
      <c r="C762" s="121" t="str">
        <f t="array" ref="C762">ifs(and(isblank($A762),isblank($B762)),"", not(iserror(vlookup($A762&amp;$B762,'3) Release_Label'!$D:$D&amp;'3) Release_Label'!$E:$E,1,0))),vlookup($A762&amp;$B762,{'3) Release_Label'!$D:$D&amp;'3) Release_Label'!$E:$E,'3) Release_Label'!$F:$F},2,0), or(and(not(isblank($B762)),$B762=$B761,$A762&lt;&gt;$A761),and(not(isblank($A762)),$A762=$A761,$B762&lt;&gt;$B761)),"ID LISTS UNALIGNED",and($A762&lt;&gt;"",countif('3) Release_Label'!$D:$D,$A762)=0),"NO UPC MATCH in Release_Label",and($B762&lt;&gt;"",countif('3) Release_Label'!$E:$E,$B762)=0),"NO CATALOG ID MATCH in Release_Label",iserror(vlookup($A762&amp;$B762,'3) Release_Label'!$D:$D&amp;'3) Release_Label'!$E:$E,1,0)),"NO UPC-CATALOG ID pair MATCH in Release_Label" )</f>
        <v/>
      </c>
      <c r="D762" s="121" t="str">
        <f t="array" ref="D762">ifs(and(isblank($A762),isblank($B762)),"", not(iserror(vlookup($A762&amp;$B762,'3) Release_Label'!$D:$D&amp;'3) Release_Label'!$E:$E,1,0))),vlookup($A762&amp;$B762,{'3) Release_Label'!$D:$D&amp;'3) Release_Label'!$E:$E,'3) Release_Label'!$H:$H},2,0), or(and(not(isblank($B762)),$B762=$B761,$A762&lt;&gt;$A761),and(not(isblank($A762)),$A762=$A761,$B762&lt;&gt;$B761)),"ID LISTS UNALIGNED",and($A762&lt;&gt;"",countif('3) Release_Label'!$D:$D,$A762)=0),"NO UPC MATCH in Release_Label",and($B762&lt;&gt;"",countif('3) Release_Label'!$E:$E,$B762)=0),"NO CATALOG ID MATCH in Release_Label",iserror(vlookup($A762&amp;$B762,'3) Release_Label'!$D:$D&amp;'3) Release_Label'!$E:$E,1,0)),"NO UPC-CATALOG ID pair MATCH in Release_Label" )</f>
        <v/>
      </c>
      <c r="E762" s="99"/>
      <c r="F762" s="99"/>
      <c r="G762" s="123" t="str">
        <f t="array" ref="G762">ifs(or($F762="",$F762="Main Primary Artist"),$F762,not(iserror(vlookup($F762,'Reference info'!$J$5:$J$8,1,0))),"Key Artist",not(iserror(vlookup($F762,'Reference info'!$J$38:$J$405,1,0))),"Performer",not(iserror(vlookup($F762,'Reference info'!$J$10:$J$36,1,0))),"Producer &amp; Engineer")</f>
        <v/>
      </c>
    </row>
    <row r="763">
      <c r="A763" s="28"/>
      <c r="B763" s="103"/>
      <c r="C763" s="121" t="str">
        <f t="array" ref="C763">ifs(and(isblank($A763),isblank($B763)),"", not(iserror(vlookup($A763&amp;$B763,'3) Release_Label'!$D:$D&amp;'3) Release_Label'!$E:$E,1,0))),vlookup($A763&amp;$B763,{'3) Release_Label'!$D:$D&amp;'3) Release_Label'!$E:$E,'3) Release_Label'!$F:$F},2,0), or(and(not(isblank($B763)),$B763=$B762,$A763&lt;&gt;$A762),and(not(isblank($A763)),$A763=$A762,$B763&lt;&gt;$B762)),"ID LISTS UNALIGNED",and($A763&lt;&gt;"",countif('3) Release_Label'!$D:$D,$A763)=0),"NO UPC MATCH in Release_Label",and($B763&lt;&gt;"",countif('3) Release_Label'!$E:$E,$B763)=0),"NO CATALOG ID MATCH in Release_Label",iserror(vlookup($A763&amp;$B763,'3) Release_Label'!$D:$D&amp;'3) Release_Label'!$E:$E,1,0)),"NO UPC-CATALOG ID pair MATCH in Release_Label" )</f>
        <v/>
      </c>
      <c r="D763" s="121" t="str">
        <f t="array" ref="D763">ifs(and(isblank($A763),isblank($B763)),"", not(iserror(vlookup($A763&amp;$B763,'3) Release_Label'!$D:$D&amp;'3) Release_Label'!$E:$E,1,0))),vlookup($A763&amp;$B763,{'3) Release_Label'!$D:$D&amp;'3) Release_Label'!$E:$E,'3) Release_Label'!$H:$H},2,0), or(and(not(isblank($B763)),$B763=$B762,$A763&lt;&gt;$A762),and(not(isblank($A763)),$A763=$A762,$B763&lt;&gt;$B762)),"ID LISTS UNALIGNED",and($A763&lt;&gt;"",countif('3) Release_Label'!$D:$D,$A763)=0),"NO UPC MATCH in Release_Label",and($B763&lt;&gt;"",countif('3) Release_Label'!$E:$E,$B763)=0),"NO CATALOG ID MATCH in Release_Label",iserror(vlookup($A763&amp;$B763,'3) Release_Label'!$D:$D&amp;'3) Release_Label'!$E:$E,1,0)),"NO UPC-CATALOG ID pair MATCH in Release_Label" )</f>
        <v/>
      </c>
      <c r="E763" s="99"/>
      <c r="F763" s="99"/>
      <c r="G763" s="123" t="str">
        <f t="array" ref="G763">ifs(or($F763="",$F763="Main Primary Artist"),$F763,not(iserror(vlookup($F763,'Reference info'!$J$5:$J$8,1,0))),"Key Artist",not(iserror(vlookup($F763,'Reference info'!$J$38:$J$405,1,0))),"Performer",not(iserror(vlookup($F763,'Reference info'!$J$10:$J$36,1,0))),"Producer &amp; Engineer")</f>
        <v/>
      </c>
    </row>
    <row r="764">
      <c r="A764" s="28"/>
      <c r="B764" s="103"/>
      <c r="C764" s="121" t="str">
        <f t="array" ref="C764">ifs(and(isblank($A764),isblank($B764)),"", not(iserror(vlookup($A764&amp;$B764,'3) Release_Label'!$D:$D&amp;'3) Release_Label'!$E:$E,1,0))),vlookup($A764&amp;$B764,{'3) Release_Label'!$D:$D&amp;'3) Release_Label'!$E:$E,'3) Release_Label'!$F:$F},2,0), or(and(not(isblank($B764)),$B764=$B763,$A764&lt;&gt;$A763),and(not(isblank($A764)),$A764=$A763,$B764&lt;&gt;$B763)),"ID LISTS UNALIGNED",and($A764&lt;&gt;"",countif('3) Release_Label'!$D:$D,$A764)=0),"NO UPC MATCH in Release_Label",and($B764&lt;&gt;"",countif('3) Release_Label'!$E:$E,$B764)=0),"NO CATALOG ID MATCH in Release_Label",iserror(vlookup($A764&amp;$B764,'3) Release_Label'!$D:$D&amp;'3) Release_Label'!$E:$E,1,0)),"NO UPC-CATALOG ID pair MATCH in Release_Label" )</f>
        <v/>
      </c>
      <c r="D764" s="121" t="str">
        <f t="array" ref="D764">ifs(and(isblank($A764),isblank($B764)),"", not(iserror(vlookup($A764&amp;$B764,'3) Release_Label'!$D:$D&amp;'3) Release_Label'!$E:$E,1,0))),vlookup($A764&amp;$B764,{'3) Release_Label'!$D:$D&amp;'3) Release_Label'!$E:$E,'3) Release_Label'!$H:$H},2,0), or(and(not(isblank($B764)),$B764=$B763,$A764&lt;&gt;$A763),and(not(isblank($A764)),$A764=$A763,$B764&lt;&gt;$B763)),"ID LISTS UNALIGNED",and($A764&lt;&gt;"",countif('3) Release_Label'!$D:$D,$A764)=0),"NO UPC MATCH in Release_Label",and($B764&lt;&gt;"",countif('3) Release_Label'!$E:$E,$B764)=0),"NO CATALOG ID MATCH in Release_Label",iserror(vlookup($A764&amp;$B764,'3) Release_Label'!$D:$D&amp;'3) Release_Label'!$E:$E,1,0)),"NO UPC-CATALOG ID pair MATCH in Release_Label" )</f>
        <v/>
      </c>
      <c r="E764" s="99"/>
      <c r="F764" s="99"/>
      <c r="G764" s="123" t="str">
        <f t="array" ref="G764">ifs(or($F764="",$F764="Main Primary Artist"),$F764,not(iserror(vlookup($F764,'Reference info'!$J$5:$J$8,1,0))),"Key Artist",not(iserror(vlookup($F764,'Reference info'!$J$38:$J$405,1,0))),"Performer",not(iserror(vlookup($F764,'Reference info'!$J$10:$J$36,1,0))),"Producer &amp; Engineer")</f>
        <v/>
      </c>
    </row>
    <row r="765">
      <c r="A765" s="28"/>
      <c r="B765" s="103"/>
      <c r="C765" s="121" t="str">
        <f t="array" ref="C765">ifs(and(isblank($A765),isblank($B765)),"", not(iserror(vlookup($A765&amp;$B765,'3) Release_Label'!$D:$D&amp;'3) Release_Label'!$E:$E,1,0))),vlookup($A765&amp;$B765,{'3) Release_Label'!$D:$D&amp;'3) Release_Label'!$E:$E,'3) Release_Label'!$F:$F},2,0), or(and(not(isblank($B765)),$B765=$B764,$A765&lt;&gt;$A764),and(not(isblank($A765)),$A765=$A764,$B765&lt;&gt;$B764)),"ID LISTS UNALIGNED",and($A765&lt;&gt;"",countif('3) Release_Label'!$D:$D,$A765)=0),"NO UPC MATCH in Release_Label",and($B765&lt;&gt;"",countif('3) Release_Label'!$E:$E,$B765)=0),"NO CATALOG ID MATCH in Release_Label",iserror(vlookup($A765&amp;$B765,'3) Release_Label'!$D:$D&amp;'3) Release_Label'!$E:$E,1,0)),"NO UPC-CATALOG ID pair MATCH in Release_Label" )</f>
        <v/>
      </c>
      <c r="D765" s="121" t="str">
        <f t="array" ref="D765">ifs(and(isblank($A765),isblank($B765)),"", not(iserror(vlookup($A765&amp;$B765,'3) Release_Label'!$D:$D&amp;'3) Release_Label'!$E:$E,1,0))),vlookup($A765&amp;$B765,{'3) Release_Label'!$D:$D&amp;'3) Release_Label'!$E:$E,'3) Release_Label'!$H:$H},2,0), or(and(not(isblank($B765)),$B765=$B764,$A765&lt;&gt;$A764),and(not(isblank($A765)),$A765=$A764,$B765&lt;&gt;$B764)),"ID LISTS UNALIGNED",and($A765&lt;&gt;"",countif('3) Release_Label'!$D:$D,$A765)=0),"NO UPC MATCH in Release_Label",and($B765&lt;&gt;"",countif('3) Release_Label'!$E:$E,$B765)=0),"NO CATALOG ID MATCH in Release_Label",iserror(vlookup($A765&amp;$B765,'3) Release_Label'!$D:$D&amp;'3) Release_Label'!$E:$E,1,0)),"NO UPC-CATALOG ID pair MATCH in Release_Label" )</f>
        <v/>
      </c>
      <c r="E765" s="99"/>
      <c r="F765" s="99"/>
      <c r="G765" s="123" t="str">
        <f t="array" ref="G765">ifs(or($F765="",$F765="Main Primary Artist"),$F765,not(iserror(vlookup($F765,'Reference info'!$J$5:$J$8,1,0))),"Key Artist",not(iserror(vlookup($F765,'Reference info'!$J$38:$J$405,1,0))),"Performer",not(iserror(vlookup($F765,'Reference info'!$J$10:$J$36,1,0))),"Producer &amp; Engineer")</f>
        <v/>
      </c>
    </row>
    <row r="766">
      <c r="A766" s="28"/>
      <c r="B766" s="103"/>
      <c r="C766" s="121" t="str">
        <f t="array" ref="C766">ifs(and(isblank($A766),isblank($B766)),"", not(iserror(vlookup($A766&amp;$B766,'3) Release_Label'!$D:$D&amp;'3) Release_Label'!$E:$E,1,0))),vlookup($A766&amp;$B766,{'3) Release_Label'!$D:$D&amp;'3) Release_Label'!$E:$E,'3) Release_Label'!$F:$F},2,0), or(and(not(isblank($B766)),$B766=$B765,$A766&lt;&gt;$A765),and(not(isblank($A766)),$A766=$A765,$B766&lt;&gt;$B765)),"ID LISTS UNALIGNED",and($A766&lt;&gt;"",countif('3) Release_Label'!$D:$D,$A766)=0),"NO UPC MATCH in Release_Label",and($B766&lt;&gt;"",countif('3) Release_Label'!$E:$E,$B766)=0),"NO CATALOG ID MATCH in Release_Label",iserror(vlookup($A766&amp;$B766,'3) Release_Label'!$D:$D&amp;'3) Release_Label'!$E:$E,1,0)),"NO UPC-CATALOG ID pair MATCH in Release_Label" )</f>
        <v/>
      </c>
      <c r="D766" s="121" t="str">
        <f t="array" ref="D766">ifs(and(isblank($A766),isblank($B766)),"", not(iserror(vlookup($A766&amp;$B766,'3) Release_Label'!$D:$D&amp;'3) Release_Label'!$E:$E,1,0))),vlookup($A766&amp;$B766,{'3) Release_Label'!$D:$D&amp;'3) Release_Label'!$E:$E,'3) Release_Label'!$H:$H},2,0), or(and(not(isblank($B766)),$B766=$B765,$A766&lt;&gt;$A765),and(not(isblank($A766)),$A766=$A765,$B766&lt;&gt;$B765)),"ID LISTS UNALIGNED",and($A766&lt;&gt;"",countif('3) Release_Label'!$D:$D,$A766)=0),"NO UPC MATCH in Release_Label",and($B766&lt;&gt;"",countif('3) Release_Label'!$E:$E,$B766)=0),"NO CATALOG ID MATCH in Release_Label",iserror(vlookup($A766&amp;$B766,'3) Release_Label'!$D:$D&amp;'3) Release_Label'!$E:$E,1,0)),"NO UPC-CATALOG ID pair MATCH in Release_Label" )</f>
        <v/>
      </c>
      <c r="E766" s="99"/>
      <c r="F766" s="99"/>
      <c r="G766" s="123" t="str">
        <f t="array" ref="G766">ifs(or($F766="",$F766="Main Primary Artist"),$F766,not(iserror(vlookup($F766,'Reference info'!$J$5:$J$8,1,0))),"Key Artist",not(iserror(vlookup($F766,'Reference info'!$J$38:$J$405,1,0))),"Performer",not(iserror(vlookup($F766,'Reference info'!$J$10:$J$36,1,0))),"Producer &amp; Engineer")</f>
        <v/>
      </c>
    </row>
    <row r="767">
      <c r="A767" s="28"/>
      <c r="B767" s="103"/>
      <c r="C767" s="121" t="str">
        <f t="array" ref="C767">ifs(and(isblank($A767),isblank($B767)),"", not(iserror(vlookup($A767&amp;$B767,'3) Release_Label'!$D:$D&amp;'3) Release_Label'!$E:$E,1,0))),vlookup($A767&amp;$B767,{'3) Release_Label'!$D:$D&amp;'3) Release_Label'!$E:$E,'3) Release_Label'!$F:$F},2,0), or(and(not(isblank($B767)),$B767=$B766,$A767&lt;&gt;$A766),and(not(isblank($A767)),$A767=$A766,$B767&lt;&gt;$B766)),"ID LISTS UNALIGNED",and($A767&lt;&gt;"",countif('3) Release_Label'!$D:$D,$A767)=0),"NO UPC MATCH in Release_Label",and($B767&lt;&gt;"",countif('3) Release_Label'!$E:$E,$B767)=0),"NO CATALOG ID MATCH in Release_Label",iserror(vlookup($A767&amp;$B767,'3) Release_Label'!$D:$D&amp;'3) Release_Label'!$E:$E,1,0)),"NO UPC-CATALOG ID pair MATCH in Release_Label" )</f>
        <v/>
      </c>
      <c r="D767" s="121" t="str">
        <f t="array" ref="D767">ifs(and(isblank($A767),isblank($B767)),"", not(iserror(vlookup($A767&amp;$B767,'3) Release_Label'!$D:$D&amp;'3) Release_Label'!$E:$E,1,0))),vlookup($A767&amp;$B767,{'3) Release_Label'!$D:$D&amp;'3) Release_Label'!$E:$E,'3) Release_Label'!$H:$H},2,0), or(and(not(isblank($B767)),$B767=$B766,$A767&lt;&gt;$A766),and(not(isblank($A767)),$A767=$A766,$B767&lt;&gt;$B766)),"ID LISTS UNALIGNED",and($A767&lt;&gt;"",countif('3) Release_Label'!$D:$D,$A767)=0),"NO UPC MATCH in Release_Label",and($B767&lt;&gt;"",countif('3) Release_Label'!$E:$E,$B767)=0),"NO CATALOG ID MATCH in Release_Label",iserror(vlookup($A767&amp;$B767,'3) Release_Label'!$D:$D&amp;'3) Release_Label'!$E:$E,1,0)),"NO UPC-CATALOG ID pair MATCH in Release_Label" )</f>
        <v/>
      </c>
      <c r="E767" s="99"/>
      <c r="F767" s="99"/>
      <c r="G767" s="123" t="str">
        <f t="array" ref="G767">ifs(or($F767="",$F767="Main Primary Artist"),$F767,not(iserror(vlookup($F767,'Reference info'!$J$5:$J$8,1,0))),"Key Artist",not(iserror(vlookup($F767,'Reference info'!$J$38:$J$405,1,0))),"Performer",not(iserror(vlookup($F767,'Reference info'!$J$10:$J$36,1,0))),"Producer &amp; Engineer")</f>
        <v/>
      </c>
    </row>
    <row r="768">
      <c r="A768" s="28"/>
      <c r="B768" s="103"/>
      <c r="C768" s="121" t="str">
        <f t="array" ref="C768">ifs(and(isblank($A768),isblank($B768)),"", not(iserror(vlookup($A768&amp;$B768,'3) Release_Label'!$D:$D&amp;'3) Release_Label'!$E:$E,1,0))),vlookup($A768&amp;$B768,{'3) Release_Label'!$D:$D&amp;'3) Release_Label'!$E:$E,'3) Release_Label'!$F:$F},2,0), or(and(not(isblank($B768)),$B768=$B767,$A768&lt;&gt;$A767),and(not(isblank($A768)),$A768=$A767,$B768&lt;&gt;$B767)),"ID LISTS UNALIGNED",and($A768&lt;&gt;"",countif('3) Release_Label'!$D:$D,$A768)=0),"NO UPC MATCH in Release_Label",and($B768&lt;&gt;"",countif('3) Release_Label'!$E:$E,$B768)=0),"NO CATALOG ID MATCH in Release_Label",iserror(vlookup($A768&amp;$B768,'3) Release_Label'!$D:$D&amp;'3) Release_Label'!$E:$E,1,0)),"NO UPC-CATALOG ID pair MATCH in Release_Label" )</f>
        <v/>
      </c>
      <c r="D768" s="121" t="str">
        <f t="array" ref="D768">ifs(and(isblank($A768),isblank($B768)),"", not(iserror(vlookup($A768&amp;$B768,'3) Release_Label'!$D:$D&amp;'3) Release_Label'!$E:$E,1,0))),vlookup($A768&amp;$B768,{'3) Release_Label'!$D:$D&amp;'3) Release_Label'!$E:$E,'3) Release_Label'!$H:$H},2,0), or(and(not(isblank($B768)),$B768=$B767,$A768&lt;&gt;$A767),and(not(isblank($A768)),$A768=$A767,$B768&lt;&gt;$B767)),"ID LISTS UNALIGNED",and($A768&lt;&gt;"",countif('3) Release_Label'!$D:$D,$A768)=0),"NO UPC MATCH in Release_Label",and($B768&lt;&gt;"",countif('3) Release_Label'!$E:$E,$B768)=0),"NO CATALOG ID MATCH in Release_Label",iserror(vlookup($A768&amp;$B768,'3) Release_Label'!$D:$D&amp;'3) Release_Label'!$E:$E,1,0)),"NO UPC-CATALOG ID pair MATCH in Release_Label" )</f>
        <v/>
      </c>
      <c r="E768" s="99"/>
      <c r="F768" s="99"/>
      <c r="G768" s="123" t="str">
        <f t="array" ref="G768">ifs(or($F768="",$F768="Main Primary Artist"),$F768,not(iserror(vlookup($F768,'Reference info'!$J$5:$J$8,1,0))),"Key Artist",not(iserror(vlookup($F768,'Reference info'!$J$38:$J$405,1,0))),"Performer",not(iserror(vlookup($F768,'Reference info'!$J$10:$J$36,1,0))),"Producer &amp; Engineer")</f>
        <v/>
      </c>
    </row>
    <row r="769">
      <c r="A769" s="28"/>
      <c r="B769" s="103"/>
      <c r="C769" s="121" t="str">
        <f t="array" ref="C769">ifs(and(isblank($A769),isblank($B769)),"", not(iserror(vlookup($A769&amp;$B769,'3) Release_Label'!$D:$D&amp;'3) Release_Label'!$E:$E,1,0))),vlookup($A769&amp;$B769,{'3) Release_Label'!$D:$D&amp;'3) Release_Label'!$E:$E,'3) Release_Label'!$F:$F},2,0), or(and(not(isblank($B769)),$B769=$B768,$A769&lt;&gt;$A768),and(not(isblank($A769)),$A769=$A768,$B769&lt;&gt;$B768)),"ID LISTS UNALIGNED",and($A769&lt;&gt;"",countif('3) Release_Label'!$D:$D,$A769)=0),"NO UPC MATCH in Release_Label",and($B769&lt;&gt;"",countif('3) Release_Label'!$E:$E,$B769)=0),"NO CATALOG ID MATCH in Release_Label",iserror(vlookup($A769&amp;$B769,'3) Release_Label'!$D:$D&amp;'3) Release_Label'!$E:$E,1,0)),"NO UPC-CATALOG ID pair MATCH in Release_Label" )</f>
        <v/>
      </c>
      <c r="D769" s="121" t="str">
        <f t="array" ref="D769">ifs(and(isblank($A769),isblank($B769)),"", not(iserror(vlookup($A769&amp;$B769,'3) Release_Label'!$D:$D&amp;'3) Release_Label'!$E:$E,1,0))),vlookup($A769&amp;$B769,{'3) Release_Label'!$D:$D&amp;'3) Release_Label'!$E:$E,'3) Release_Label'!$H:$H},2,0), or(and(not(isblank($B769)),$B769=$B768,$A769&lt;&gt;$A768),and(not(isblank($A769)),$A769=$A768,$B769&lt;&gt;$B768)),"ID LISTS UNALIGNED",and($A769&lt;&gt;"",countif('3) Release_Label'!$D:$D,$A769)=0),"NO UPC MATCH in Release_Label",and($B769&lt;&gt;"",countif('3) Release_Label'!$E:$E,$B769)=0),"NO CATALOG ID MATCH in Release_Label",iserror(vlookup($A769&amp;$B769,'3) Release_Label'!$D:$D&amp;'3) Release_Label'!$E:$E,1,0)),"NO UPC-CATALOG ID pair MATCH in Release_Label" )</f>
        <v/>
      </c>
      <c r="E769" s="99"/>
      <c r="F769" s="99"/>
      <c r="G769" s="123" t="str">
        <f t="array" ref="G769">ifs(or($F769="",$F769="Main Primary Artist"),$F769,not(iserror(vlookup($F769,'Reference info'!$J$5:$J$8,1,0))),"Key Artist",not(iserror(vlookup($F769,'Reference info'!$J$38:$J$405,1,0))),"Performer",not(iserror(vlookup($F769,'Reference info'!$J$10:$J$36,1,0))),"Producer &amp; Engineer")</f>
        <v/>
      </c>
    </row>
    <row r="770">
      <c r="A770" s="28"/>
      <c r="B770" s="103"/>
      <c r="C770" s="121" t="str">
        <f t="array" ref="C770">ifs(and(isblank($A770),isblank($B770)),"", not(iserror(vlookup($A770&amp;$B770,'3) Release_Label'!$D:$D&amp;'3) Release_Label'!$E:$E,1,0))),vlookup($A770&amp;$B770,{'3) Release_Label'!$D:$D&amp;'3) Release_Label'!$E:$E,'3) Release_Label'!$F:$F},2,0), or(and(not(isblank($B770)),$B770=$B769,$A770&lt;&gt;$A769),and(not(isblank($A770)),$A770=$A769,$B770&lt;&gt;$B769)),"ID LISTS UNALIGNED",and($A770&lt;&gt;"",countif('3) Release_Label'!$D:$D,$A770)=0),"NO UPC MATCH in Release_Label",and($B770&lt;&gt;"",countif('3) Release_Label'!$E:$E,$B770)=0),"NO CATALOG ID MATCH in Release_Label",iserror(vlookup($A770&amp;$B770,'3) Release_Label'!$D:$D&amp;'3) Release_Label'!$E:$E,1,0)),"NO UPC-CATALOG ID pair MATCH in Release_Label" )</f>
        <v/>
      </c>
      <c r="D770" s="121" t="str">
        <f t="array" ref="D770">ifs(and(isblank($A770),isblank($B770)),"", not(iserror(vlookup($A770&amp;$B770,'3) Release_Label'!$D:$D&amp;'3) Release_Label'!$E:$E,1,0))),vlookup($A770&amp;$B770,{'3) Release_Label'!$D:$D&amp;'3) Release_Label'!$E:$E,'3) Release_Label'!$H:$H},2,0), or(and(not(isblank($B770)),$B770=$B769,$A770&lt;&gt;$A769),and(not(isblank($A770)),$A770=$A769,$B770&lt;&gt;$B769)),"ID LISTS UNALIGNED",and($A770&lt;&gt;"",countif('3) Release_Label'!$D:$D,$A770)=0),"NO UPC MATCH in Release_Label",and($B770&lt;&gt;"",countif('3) Release_Label'!$E:$E,$B770)=0),"NO CATALOG ID MATCH in Release_Label",iserror(vlookup($A770&amp;$B770,'3) Release_Label'!$D:$D&amp;'3) Release_Label'!$E:$E,1,0)),"NO UPC-CATALOG ID pair MATCH in Release_Label" )</f>
        <v/>
      </c>
      <c r="E770" s="99"/>
      <c r="F770" s="99"/>
      <c r="G770" s="123" t="str">
        <f t="array" ref="G770">ifs(or($F770="",$F770="Main Primary Artist"),$F770,not(iserror(vlookup($F770,'Reference info'!$J$5:$J$8,1,0))),"Key Artist",not(iserror(vlookup($F770,'Reference info'!$J$38:$J$405,1,0))),"Performer",not(iserror(vlookup($F770,'Reference info'!$J$10:$J$36,1,0))),"Producer &amp; Engineer")</f>
        <v/>
      </c>
    </row>
    <row r="771">
      <c r="A771" s="28"/>
      <c r="B771" s="103"/>
      <c r="C771" s="121" t="str">
        <f t="array" ref="C771">ifs(and(isblank($A771),isblank($B771)),"", not(iserror(vlookup($A771&amp;$B771,'3) Release_Label'!$D:$D&amp;'3) Release_Label'!$E:$E,1,0))),vlookup($A771&amp;$B771,{'3) Release_Label'!$D:$D&amp;'3) Release_Label'!$E:$E,'3) Release_Label'!$F:$F},2,0), or(and(not(isblank($B771)),$B771=$B770,$A771&lt;&gt;$A770),and(not(isblank($A771)),$A771=$A770,$B771&lt;&gt;$B770)),"ID LISTS UNALIGNED",and($A771&lt;&gt;"",countif('3) Release_Label'!$D:$D,$A771)=0),"NO UPC MATCH in Release_Label",and($B771&lt;&gt;"",countif('3) Release_Label'!$E:$E,$B771)=0),"NO CATALOG ID MATCH in Release_Label",iserror(vlookup($A771&amp;$B771,'3) Release_Label'!$D:$D&amp;'3) Release_Label'!$E:$E,1,0)),"NO UPC-CATALOG ID pair MATCH in Release_Label" )</f>
        <v/>
      </c>
      <c r="D771" s="121" t="str">
        <f t="array" ref="D771">ifs(and(isblank($A771),isblank($B771)),"", not(iserror(vlookup($A771&amp;$B771,'3) Release_Label'!$D:$D&amp;'3) Release_Label'!$E:$E,1,0))),vlookup($A771&amp;$B771,{'3) Release_Label'!$D:$D&amp;'3) Release_Label'!$E:$E,'3) Release_Label'!$H:$H},2,0), or(and(not(isblank($B771)),$B771=$B770,$A771&lt;&gt;$A770),and(not(isblank($A771)),$A771=$A770,$B771&lt;&gt;$B770)),"ID LISTS UNALIGNED",and($A771&lt;&gt;"",countif('3) Release_Label'!$D:$D,$A771)=0),"NO UPC MATCH in Release_Label",and($B771&lt;&gt;"",countif('3) Release_Label'!$E:$E,$B771)=0),"NO CATALOG ID MATCH in Release_Label",iserror(vlookup($A771&amp;$B771,'3) Release_Label'!$D:$D&amp;'3) Release_Label'!$E:$E,1,0)),"NO UPC-CATALOG ID pair MATCH in Release_Label" )</f>
        <v/>
      </c>
      <c r="E771" s="99"/>
      <c r="F771" s="99"/>
      <c r="G771" s="123" t="str">
        <f t="array" ref="G771">ifs(or($F771="",$F771="Main Primary Artist"),$F771,not(iserror(vlookup($F771,'Reference info'!$J$5:$J$8,1,0))),"Key Artist",not(iserror(vlookup($F771,'Reference info'!$J$38:$J$405,1,0))),"Performer",not(iserror(vlookup($F771,'Reference info'!$J$10:$J$36,1,0))),"Producer &amp; Engineer")</f>
        <v/>
      </c>
    </row>
    <row r="772">
      <c r="A772" s="28"/>
      <c r="B772" s="103"/>
      <c r="C772" s="121" t="str">
        <f t="array" ref="C772">ifs(and(isblank($A772),isblank($B772)),"", not(iserror(vlookup($A772&amp;$B772,'3) Release_Label'!$D:$D&amp;'3) Release_Label'!$E:$E,1,0))),vlookup($A772&amp;$B772,{'3) Release_Label'!$D:$D&amp;'3) Release_Label'!$E:$E,'3) Release_Label'!$F:$F},2,0), or(and(not(isblank($B772)),$B772=$B771,$A772&lt;&gt;$A771),and(not(isblank($A772)),$A772=$A771,$B772&lt;&gt;$B771)),"ID LISTS UNALIGNED",and($A772&lt;&gt;"",countif('3) Release_Label'!$D:$D,$A772)=0),"NO UPC MATCH in Release_Label",and($B772&lt;&gt;"",countif('3) Release_Label'!$E:$E,$B772)=0),"NO CATALOG ID MATCH in Release_Label",iserror(vlookup($A772&amp;$B772,'3) Release_Label'!$D:$D&amp;'3) Release_Label'!$E:$E,1,0)),"NO UPC-CATALOG ID pair MATCH in Release_Label" )</f>
        <v/>
      </c>
      <c r="D772" s="121" t="str">
        <f t="array" ref="D772">ifs(and(isblank($A772),isblank($B772)),"", not(iserror(vlookup($A772&amp;$B772,'3) Release_Label'!$D:$D&amp;'3) Release_Label'!$E:$E,1,0))),vlookup($A772&amp;$B772,{'3) Release_Label'!$D:$D&amp;'3) Release_Label'!$E:$E,'3) Release_Label'!$H:$H},2,0), or(and(not(isblank($B772)),$B772=$B771,$A772&lt;&gt;$A771),and(not(isblank($A772)),$A772=$A771,$B772&lt;&gt;$B771)),"ID LISTS UNALIGNED",and($A772&lt;&gt;"",countif('3) Release_Label'!$D:$D,$A772)=0),"NO UPC MATCH in Release_Label",and($B772&lt;&gt;"",countif('3) Release_Label'!$E:$E,$B772)=0),"NO CATALOG ID MATCH in Release_Label",iserror(vlookup($A772&amp;$B772,'3) Release_Label'!$D:$D&amp;'3) Release_Label'!$E:$E,1,0)),"NO UPC-CATALOG ID pair MATCH in Release_Label" )</f>
        <v/>
      </c>
      <c r="E772" s="99"/>
      <c r="F772" s="99"/>
      <c r="G772" s="123" t="str">
        <f t="array" ref="G772">ifs(or($F772="",$F772="Main Primary Artist"),$F772,not(iserror(vlookup($F772,'Reference info'!$J$5:$J$8,1,0))),"Key Artist",not(iserror(vlookup($F772,'Reference info'!$J$38:$J$405,1,0))),"Performer",not(iserror(vlookup($F772,'Reference info'!$J$10:$J$36,1,0))),"Producer &amp; Engineer")</f>
        <v/>
      </c>
    </row>
    <row r="773">
      <c r="A773" s="28"/>
      <c r="B773" s="103"/>
      <c r="C773" s="121" t="str">
        <f t="array" ref="C773">ifs(and(isblank($A773),isblank($B773)),"", not(iserror(vlookup($A773&amp;$B773,'3) Release_Label'!$D:$D&amp;'3) Release_Label'!$E:$E,1,0))),vlookup($A773&amp;$B773,{'3) Release_Label'!$D:$D&amp;'3) Release_Label'!$E:$E,'3) Release_Label'!$F:$F},2,0), or(and(not(isblank($B773)),$B773=$B772,$A773&lt;&gt;$A772),and(not(isblank($A773)),$A773=$A772,$B773&lt;&gt;$B772)),"ID LISTS UNALIGNED",and($A773&lt;&gt;"",countif('3) Release_Label'!$D:$D,$A773)=0),"NO UPC MATCH in Release_Label",and($B773&lt;&gt;"",countif('3) Release_Label'!$E:$E,$B773)=0),"NO CATALOG ID MATCH in Release_Label",iserror(vlookup($A773&amp;$B773,'3) Release_Label'!$D:$D&amp;'3) Release_Label'!$E:$E,1,0)),"NO UPC-CATALOG ID pair MATCH in Release_Label" )</f>
        <v/>
      </c>
      <c r="D773" s="121" t="str">
        <f t="array" ref="D773">ifs(and(isblank($A773),isblank($B773)),"", not(iserror(vlookup($A773&amp;$B773,'3) Release_Label'!$D:$D&amp;'3) Release_Label'!$E:$E,1,0))),vlookup($A773&amp;$B773,{'3) Release_Label'!$D:$D&amp;'3) Release_Label'!$E:$E,'3) Release_Label'!$H:$H},2,0), or(and(not(isblank($B773)),$B773=$B772,$A773&lt;&gt;$A772),and(not(isblank($A773)),$A773=$A772,$B773&lt;&gt;$B772)),"ID LISTS UNALIGNED",and($A773&lt;&gt;"",countif('3) Release_Label'!$D:$D,$A773)=0),"NO UPC MATCH in Release_Label",and($B773&lt;&gt;"",countif('3) Release_Label'!$E:$E,$B773)=0),"NO CATALOG ID MATCH in Release_Label",iserror(vlookup($A773&amp;$B773,'3) Release_Label'!$D:$D&amp;'3) Release_Label'!$E:$E,1,0)),"NO UPC-CATALOG ID pair MATCH in Release_Label" )</f>
        <v/>
      </c>
      <c r="E773" s="99"/>
      <c r="F773" s="99"/>
      <c r="G773" s="123" t="str">
        <f t="array" ref="G773">ifs(or($F773="",$F773="Main Primary Artist"),$F773,not(iserror(vlookup($F773,'Reference info'!$J$5:$J$8,1,0))),"Key Artist",not(iserror(vlookup($F773,'Reference info'!$J$38:$J$405,1,0))),"Performer",not(iserror(vlookup($F773,'Reference info'!$J$10:$J$36,1,0))),"Producer &amp; Engineer")</f>
        <v/>
      </c>
    </row>
    <row r="774">
      <c r="A774" s="28"/>
      <c r="B774" s="103"/>
      <c r="C774" s="121" t="str">
        <f t="array" ref="C774">ifs(and(isblank($A774),isblank($B774)),"", not(iserror(vlookup($A774&amp;$B774,'3) Release_Label'!$D:$D&amp;'3) Release_Label'!$E:$E,1,0))),vlookup($A774&amp;$B774,{'3) Release_Label'!$D:$D&amp;'3) Release_Label'!$E:$E,'3) Release_Label'!$F:$F},2,0), or(and(not(isblank($B774)),$B774=$B773,$A774&lt;&gt;$A773),and(not(isblank($A774)),$A774=$A773,$B774&lt;&gt;$B773)),"ID LISTS UNALIGNED",and($A774&lt;&gt;"",countif('3) Release_Label'!$D:$D,$A774)=0),"NO UPC MATCH in Release_Label",and($B774&lt;&gt;"",countif('3) Release_Label'!$E:$E,$B774)=0),"NO CATALOG ID MATCH in Release_Label",iserror(vlookup($A774&amp;$B774,'3) Release_Label'!$D:$D&amp;'3) Release_Label'!$E:$E,1,0)),"NO UPC-CATALOG ID pair MATCH in Release_Label" )</f>
        <v/>
      </c>
      <c r="D774" s="121" t="str">
        <f t="array" ref="D774">ifs(and(isblank($A774),isblank($B774)),"", not(iserror(vlookup($A774&amp;$B774,'3) Release_Label'!$D:$D&amp;'3) Release_Label'!$E:$E,1,0))),vlookup($A774&amp;$B774,{'3) Release_Label'!$D:$D&amp;'3) Release_Label'!$E:$E,'3) Release_Label'!$H:$H},2,0), or(and(not(isblank($B774)),$B774=$B773,$A774&lt;&gt;$A773),and(not(isblank($A774)),$A774=$A773,$B774&lt;&gt;$B773)),"ID LISTS UNALIGNED",and($A774&lt;&gt;"",countif('3) Release_Label'!$D:$D,$A774)=0),"NO UPC MATCH in Release_Label",and($B774&lt;&gt;"",countif('3) Release_Label'!$E:$E,$B774)=0),"NO CATALOG ID MATCH in Release_Label",iserror(vlookup($A774&amp;$B774,'3) Release_Label'!$D:$D&amp;'3) Release_Label'!$E:$E,1,0)),"NO UPC-CATALOG ID pair MATCH in Release_Label" )</f>
        <v/>
      </c>
      <c r="E774" s="99"/>
      <c r="F774" s="99"/>
      <c r="G774" s="123" t="str">
        <f t="array" ref="G774">ifs(or($F774="",$F774="Main Primary Artist"),$F774,not(iserror(vlookup($F774,'Reference info'!$J$5:$J$8,1,0))),"Key Artist",not(iserror(vlookup($F774,'Reference info'!$J$38:$J$405,1,0))),"Performer",not(iserror(vlookup($F774,'Reference info'!$J$10:$J$36,1,0))),"Producer &amp; Engineer")</f>
        <v/>
      </c>
    </row>
    <row r="775">
      <c r="A775" s="28"/>
      <c r="B775" s="103"/>
      <c r="C775" s="121" t="str">
        <f t="array" ref="C775">ifs(and(isblank($A775),isblank($B775)),"", not(iserror(vlookup($A775&amp;$B775,'3) Release_Label'!$D:$D&amp;'3) Release_Label'!$E:$E,1,0))),vlookup($A775&amp;$B775,{'3) Release_Label'!$D:$D&amp;'3) Release_Label'!$E:$E,'3) Release_Label'!$F:$F},2,0), or(and(not(isblank($B775)),$B775=$B774,$A775&lt;&gt;$A774),and(not(isblank($A775)),$A775=$A774,$B775&lt;&gt;$B774)),"ID LISTS UNALIGNED",and($A775&lt;&gt;"",countif('3) Release_Label'!$D:$D,$A775)=0),"NO UPC MATCH in Release_Label",and($B775&lt;&gt;"",countif('3) Release_Label'!$E:$E,$B775)=0),"NO CATALOG ID MATCH in Release_Label",iserror(vlookup($A775&amp;$B775,'3) Release_Label'!$D:$D&amp;'3) Release_Label'!$E:$E,1,0)),"NO UPC-CATALOG ID pair MATCH in Release_Label" )</f>
        <v/>
      </c>
      <c r="D775" s="121" t="str">
        <f t="array" ref="D775">ifs(and(isblank($A775),isblank($B775)),"", not(iserror(vlookup($A775&amp;$B775,'3) Release_Label'!$D:$D&amp;'3) Release_Label'!$E:$E,1,0))),vlookup($A775&amp;$B775,{'3) Release_Label'!$D:$D&amp;'3) Release_Label'!$E:$E,'3) Release_Label'!$H:$H},2,0), or(and(not(isblank($B775)),$B775=$B774,$A775&lt;&gt;$A774),and(not(isblank($A775)),$A775=$A774,$B775&lt;&gt;$B774)),"ID LISTS UNALIGNED",and($A775&lt;&gt;"",countif('3) Release_Label'!$D:$D,$A775)=0),"NO UPC MATCH in Release_Label",and($B775&lt;&gt;"",countif('3) Release_Label'!$E:$E,$B775)=0),"NO CATALOG ID MATCH in Release_Label",iserror(vlookup($A775&amp;$B775,'3) Release_Label'!$D:$D&amp;'3) Release_Label'!$E:$E,1,0)),"NO UPC-CATALOG ID pair MATCH in Release_Label" )</f>
        <v/>
      </c>
      <c r="E775" s="99"/>
      <c r="F775" s="99"/>
      <c r="G775" s="123" t="str">
        <f t="array" ref="G775">ifs(or($F775="",$F775="Main Primary Artist"),$F775,not(iserror(vlookup($F775,'Reference info'!$J$5:$J$8,1,0))),"Key Artist",not(iserror(vlookup($F775,'Reference info'!$J$38:$J$405,1,0))),"Performer",not(iserror(vlookup($F775,'Reference info'!$J$10:$J$36,1,0))),"Producer &amp; Engineer")</f>
        <v/>
      </c>
    </row>
    <row r="776">
      <c r="A776" s="28"/>
      <c r="B776" s="103"/>
      <c r="C776" s="121" t="str">
        <f t="array" ref="C776">ifs(and(isblank($A776),isblank($B776)),"", not(iserror(vlookup($A776&amp;$B776,'3) Release_Label'!$D:$D&amp;'3) Release_Label'!$E:$E,1,0))),vlookup($A776&amp;$B776,{'3) Release_Label'!$D:$D&amp;'3) Release_Label'!$E:$E,'3) Release_Label'!$F:$F},2,0), or(and(not(isblank($B776)),$B776=$B775,$A776&lt;&gt;$A775),and(not(isblank($A776)),$A776=$A775,$B776&lt;&gt;$B775)),"ID LISTS UNALIGNED",and($A776&lt;&gt;"",countif('3) Release_Label'!$D:$D,$A776)=0),"NO UPC MATCH in Release_Label",and($B776&lt;&gt;"",countif('3) Release_Label'!$E:$E,$B776)=0),"NO CATALOG ID MATCH in Release_Label",iserror(vlookup($A776&amp;$B776,'3) Release_Label'!$D:$D&amp;'3) Release_Label'!$E:$E,1,0)),"NO UPC-CATALOG ID pair MATCH in Release_Label" )</f>
        <v/>
      </c>
      <c r="D776" s="121" t="str">
        <f t="array" ref="D776">ifs(and(isblank($A776),isblank($B776)),"", not(iserror(vlookup($A776&amp;$B776,'3) Release_Label'!$D:$D&amp;'3) Release_Label'!$E:$E,1,0))),vlookup($A776&amp;$B776,{'3) Release_Label'!$D:$D&amp;'3) Release_Label'!$E:$E,'3) Release_Label'!$H:$H},2,0), or(and(not(isblank($B776)),$B776=$B775,$A776&lt;&gt;$A775),and(not(isblank($A776)),$A776=$A775,$B776&lt;&gt;$B775)),"ID LISTS UNALIGNED",and($A776&lt;&gt;"",countif('3) Release_Label'!$D:$D,$A776)=0),"NO UPC MATCH in Release_Label",and($B776&lt;&gt;"",countif('3) Release_Label'!$E:$E,$B776)=0),"NO CATALOG ID MATCH in Release_Label",iserror(vlookup($A776&amp;$B776,'3) Release_Label'!$D:$D&amp;'3) Release_Label'!$E:$E,1,0)),"NO UPC-CATALOG ID pair MATCH in Release_Label" )</f>
        <v/>
      </c>
      <c r="E776" s="99"/>
      <c r="F776" s="99"/>
      <c r="G776" s="123" t="str">
        <f t="array" ref="G776">ifs(or($F776="",$F776="Main Primary Artist"),$F776,not(iserror(vlookup($F776,'Reference info'!$J$5:$J$8,1,0))),"Key Artist",not(iserror(vlookup($F776,'Reference info'!$J$38:$J$405,1,0))),"Performer",not(iserror(vlookup($F776,'Reference info'!$J$10:$J$36,1,0))),"Producer &amp; Engineer")</f>
        <v/>
      </c>
    </row>
    <row r="777">
      <c r="A777" s="28"/>
      <c r="B777" s="103"/>
      <c r="C777" s="121" t="str">
        <f t="array" ref="C777">ifs(and(isblank($A777),isblank($B777)),"", not(iserror(vlookup($A777&amp;$B777,'3) Release_Label'!$D:$D&amp;'3) Release_Label'!$E:$E,1,0))),vlookup($A777&amp;$B777,{'3) Release_Label'!$D:$D&amp;'3) Release_Label'!$E:$E,'3) Release_Label'!$F:$F},2,0), or(and(not(isblank($B777)),$B777=$B776,$A777&lt;&gt;$A776),and(not(isblank($A777)),$A777=$A776,$B777&lt;&gt;$B776)),"ID LISTS UNALIGNED",and($A777&lt;&gt;"",countif('3) Release_Label'!$D:$D,$A777)=0),"NO UPC MATCH in Release_Label",and($B777&lt;&gt;"",countif('3) Release_Label'!$E:$E,$B777)=0),"NO CATALOG ID MATCH in Release_Label",iserror(vlookup($A777&amp;$B777,'3) Release_Label'!$D:$D&amp;'3) Release_Label'!$E:$E,1,0)),"NO UPC-CATALOG ID pair MATCH in Release_Label" )</f>
        <v/>
      </c>
      <c r="D777" s="121" t="str">
        <f t="array" ref="D777">ifs(and(isblank($A777),isblank($B777)),"", not(iserror(vlookup($A777&amp;$B777,'3) Release_Label'!$D:$D&amp;'3) Release_Label'!$E:$E,1,0))),vlookup($A777&amp;$B777,{'3) Release_Label'!$D:$D&amp;'3) Release_Label'!$E:$E,'3) Release_Label'!$H:$H},2,0), or(and(not(isblank($B777)),$B777=$B776,$A777&lt;&gt;$A776),and(not(isblank($A777)),$A777=$A776,$B777&lt;&gt;$B776)),"ID LISTS UNALIGNED",and($A777&lt;&gt;"",countif('3) Release_Label'!$D:$D,$A777)=0),"NO UPC MATCH in Release_Label",and($B777&lt;&gt;"",countif('3) Release_Label'!$E:$E,$B777)=0),"NO CATALOG ID MATCH in Release_Label",iserror(vlookup($A777&amp;$B777,'3) Release_Label'!$D:$D&amp;'3) Release_Label'!$E:$E,1,0)),"NO UPC-CATALOG ID pair MATCH in Release_Label" )</f>
        <v/>
      </c>
      <c r="E777" s="99"/>
      <c r="F777" s="99"/>
      <c r="G777" s="123" t="str">
        <f t="array" ref="G777">ifs(or($F777="",$F777="Main Primary Artist"),$F777,not(iserror(vlookup($F777,'Reference info'!$J$5:$J$8,1,0))),"Key Artist",not(iserror(vlookup($F777,'Reference info'!$J$38:$J$405,1,0))),"Performer",not(iserror(vlookup($F777,'Reference info'!$J$10:$J$36,1,0))),"Producer &amp; Engineer")</f>
        <v/>
      </c>
    </row>
    <row r="778">
      <c r="A778" s="28"/>
      <c r="B778" s="103"/>
      <c r="C778" s="121" t="str">
        <f t="array" ref="C778">ifs(and(isblank($A778),isblank($B778)),"", not(iserror(vlookup($A778&amp;$B778,'3) Release_Label'!$D:$D&amp;'3) Release_Label'!$E:$E,1,0))),vlookup($A778&amp;$B778,{'3) Release_Label'!$D:$D&amp;'3) Release_Label'!$E:$E,'3) Release_Label'!$F:$F},2,0), or(and(not(isblank($B778)),$B778=$B777,$A778&lt;&gt;$A777),and(not(isblank($A778)),$A778=$A777,$B778&lt;&gt;$B777)),"ID LISTS UNALIGNED",and($A778&lt;&gt;"",countif('3) Release_Label'!$D:$D,$A778)=0),"NO UPC MATCH in Release_Label",and($B778&lt;&gt;"",countif('3) Release_Label'!$E:$E,$B778)=0),"NO CATALOG ID MATCH in Release_Label",iserror(vlookup($A778&amp;$B778,'3) Release_Label'!$D:$D&amp;'3) Release_Label'!$E:$E,1,0)),"NO UPC-CATALOG ID pair MATCH in Release_Label" )</f>
        <v/>
      </c>
      <c r="D778" s="121" t="str">
        <f t="array" ref="D778">ifs(and(isblank($A778),isblank($B778)),"", not(iserror(vlookup($A778&amp;$B778,'3) Release_Label'!$D:$D&amp;'3) Release_Label'!$E:$E,1,0))),vlookup($A778&amp;$B778,{'3) Release_Label'!$D:$D&amp;'3) Release_Label'!$E:$E,'3) Release_Label'!$H:$H},2,0), or(and(not(isblank($B778)),$B778=$B777,$A778&lt;&gt;$A777),and(not(isblank($A778)),$A778=$A777,$B778&lt;&gt;$B777)),"ID LISTS UNALIGNED",and($A778&lt;&gt;"",countif('3) Release_Label'!$D:$D,$A778)=0),"NO UPC MATCH in Release_Label",and($B778&lt;&gt;"",countif('3) Release_Label'!$E:$E,$B778)=0),"NO CATALOG ID MATCH in Release_Label",iserror(vlookup($A778&amp;$B778,'3) Release_Label'!$D:$D&amp;'3) Release_Label'!$E:$E,1,0)),"NO UPC-CATALOG ID pair MATCH in Release_Label" )</f>
        <v/>
      </c>
      <c r="E778" s="99"/>
      <c r="F778" s="99"/>
      <c r="G778" s="123" t="str">
        <f t="array" ref="G778">ifs(or($F778="",$F778="Main Primary Artist"),$F778,not(iserror(vlookup($F778,'Reference info'!$J$5:$J$8,1,0))),"Key Artist",not(iserror(vlookup($F778,'Reference info'!$J$38:$J$405,1,0))),"Performer",not(iserror(vlookup($F778,'Reference info'!$J$10:$J$36,1,0))),"Producer &amp; Engineer")</f>
        <v/>
      </c>
    </row>
    <row r="779">
      <c r="A779" s="28"/>
      <c r="B779" s="103"/>
      <c r="C779" s="121" t="str">
        <f t="array" ref="C779">ifs(and(isblank($A779),isblank($B779)),"", not(iserror(vlookup($A779&amp;$B779,'3) Release_Label'!$D:$D&amp;'3) Release_Label'!$E:$E,1,0))),vlookup($A779&amp;$B779,{'3) Release_Label'!$D:$D&amp;'3) Release_Label'!$E:$E,'3) Release_Label'!$F:$F},2,0), or(and(not(isblank($B779)),$B779=$B778,$A779&lt;&gt;$A778),and(not(isblank($A779)),$A779=$A778,$B779&lt;&gt;$B778)),"ID LISTS UNALIGNED",and($A779&lt;&gt;"",countif('3) Release_Label'!$D:$D,$A779)=0),"NO UPC MATCH in Release_Label",and($B779&lt;&gt;"",countif('3) Release_Label'!$E:$E,$B779)=0),"NO CATALOG ID MATCH in Release_Label",iserror(vlookup($A779&amp;$B779,'3) Release_Label'!$D:$D&amp;'3) Release_Label'!$E:$E,1,0)),"NO UPC-CATALOG ID pair MATCH in Release_Label" )</f>
        <v/>
      </c>
      <c r="D779" s="121" t="str">
        <f t="array" ref="D779">ifs(and(isblank($A779),isblank($B779)),"", not(iserror(vlookup($A779&amp;$B779,'3) Release_Label'!$D:$D&amp;'3) Release_Label'!$E:$E,1,0))),vlookup($A779&amp;$B779,{'3) Release_Label'!$D:$D&amp;'3) Release_Label'!$E:$E,'3) Release_Label'!$H:$H},2,0), or(and(not(isblank($B779)),$B779=$B778,$A779&lt;&gt;$A778),and(not(isblank($A779)),$A779=$A778,$B779&lt;&gt;$B778)),"ID LISTS UNALIGNED",and($A779&lt;&gt;"",countif('3) Release_Label'!$D:$D,$A779)=0),"NO UPC MATCH in Release_Label",and($B779&lt;&gt;"",countif('3) Release_Label'!$E:$E,$B779)=0),"NO CATALOG ID MATCH in Release_Label",iserror(vlookup($A779&amp;$B779,'3) Release_Label'!$D:$D&amp;'3) Release_Label'!$E:$E,1,0)),"NO UPC-CATALOG ID pair MATCH in Release_Label" )</f>
        <v/>
      </c>
      <c r="E779" s="99"/>
      <c r="F779" s="99"/>
      <c r="G779" s="123" t="str">
        <f t="array" ref="G779">ifs(or($F779="",$F779="Main Primary Artist"),$F779,not(iserror(vlookup($F779,'Reference info'!$J$5:$J$8,1,0))),"Key Artist",not(iserror(vlookup($F779,'Reference info'!$J$38:$J$405,1,0))),"Performer",not(iserror(vlookup($F779,'Reference info'!$J$10:$J$36,1,0))),"Producer &amp; Engineer")</f>
        <v/>
      </c>
    </row>
    <row r="780">
      <c r="A780" s="28"/>
      <c r="B780" s="103"/>
      <c r="C780" s="121" t="str">
        <f t="array" ref="C780">ifs(and(isblank($A780),isblank($B780)),"", not(iserror(vlookup($A780&amp;$B780,'3) Release_Label'!$D:$D&amp;'3) Release_Label'!$E:$E,1,0))),vlookup($A780&amp;$B780,{'3) Release_Label'!$D:$D&amp;'3) Release_Label'!$E:$E,'3) Release_Label'!$F:$F},2,0), or(and(not(isblank($B780)),$B780=$B779,$A780&lt;&gt;$A779),and(not(isblank($A780)),$A780=$A779,$B780&lt;&gt;$B779)),"ID LISTS UNALIGNED",and($A780&lt;&gt;"",countif('3) Release_Label'!$D:$D,$A780)=0),"NO UPC MATCH in Release_Label",and($B780&lt;&gt;"",countif('3) Release_Label'!$E:$E,$B780)=0),"NO CATALOG ID MATCH in Release_Label",iserror(vlookup($A780&amp;$B780,'3) Release_Label'!$D:$D&amp;'3) Release_Label'!$E:$E,1,0)),"NO UPC-CATALOG ID pair MATCH in Release_Label" )</f>
        <v/>
      </c>
      <c r="D780" s="121" t="str">
        <f t="array" ref="D780">ifs(and(isblank($A780),isblank($B780)),"", not(iserror(vlookup($A780&amp;$B780,'3) Release_Label'!$D:$D&amp;'3) Release_Label'!$E:$E,1,0))),vlookup($A780&amp;$B780,{'3) Release_Label'!$D:$D&amp;'3) Release_Label'!$E:$E,'3) Release_Label'!$H:$H},2,0), or(and(not(isblank($B780)),$B780=$B779,$A780&lt;&gt;$A779),and(not(isblank($A780)),$A780=$A779,$B780&lt;&gt;$B779)),"ID LISTS UNALIGNED",and($A780&lt;&gt;"",countif('3) Release_Label'!$D:$D,$A780)=0),"NO UPC MATCH in Release_Label",and($B780&lt;&gt;"",countif('3) Release_Label'!$E:$E,$B780)=0),"NO CATALOG ID MATCH in Release_Label",iserror(vlookup($A780&amp;$B780,'3) Release_Label'!$D:$D&amp;'3) Release_Label'!$E:$E,1,0)),"NO UPC-CATALOG ID pair MATCH in Release_Label" )</f>
        <v/>
      </c>
      <c r="E780" s="99"/>
      <c r="F780" s="99"/>
      <c r="G780" s="123" t="str">
        <f t="array" ref="G780">ifs(or($F780="",$F780="Main Primary Artist"),$F780,not(iserror(vlookup($F780,'Reference info'!$J$5:$J$8,1,0))),"Key Artist",not(iserror(vlookup($F780,'Reference info'!$J$38:$J$405,1,0))),"Performer",not(iserror(vlookup($F780,'Reference info'!$J$10:$J$36,1,0))),"Producer &amp; Engineer")</f>
        <v/>
      </c>
    </row>
    <row r="781">
      <c r="A781" s="28"/>
      <c r="B781" s="103"/>
      <c r="C781" s="121" t="str">
        <f t="array" ref="C781">ifs(and(isblank($A781),isblank($B781)),"", not(iserror(vlookup($A781&amp;$B781,'3) Release_Label'!$D:$D&amp;'3) Release_Label'!$E:$E,1,0))),vlookup($A781&amp;$B781,{'3) Release_Label'!$D:$D&amp;'3) Release_Label'!$E:$E,'3) Release_Label'!$F:$F},2,0), or(and(not(isblank($B781)),$B781=$B780,$A781&lt;&gt;$A780),and(not(isblank($A781)),$A781=$A780,$B781&lt;&gt;$B780)),"ID LISTS UNALIGNED",and($A781&lt;&gt;"",countif('3) Release_Label'!$D:$D,$A781)=0),"NO UPC MATCH in Release_Label",and($B781&lt;&gt;"",countif('3) Release_Label'!$E:$E,$B781)=0),"NO CATALOG ID MATCH in Release_Label",iserror(vlookup($A781&amp;$B781,'3) Release_Label'!$D:$D&amp;'3) Release_Label'!$E:$E,1,0)),"NO UPC-CATALOG ID pair MATCH in Release_Label" )</f>
        <v/>
      </c>
      <c r="D781" s="121" t="str">
        <f t="array" ref="D781">ifs(and(isblank($A781),isblank($B781)),"", not(iserror(vlookup($A781&amp;$B781,'3) Release_Label'!$D:$D&amp;'3) Release_Label'!$E:$E,1,0))),vlookup($A781&amp;$B781,{'3) Release_Label'!$D:$D&amp;'3) Release_Label'!$E:$E,'3) Release_Label'!$H:$H},2,0), or(and(not(isblank($B781)),$B781=$B780,$A781&lt;&gt;$A780),and(not(isblank($A781)),$A781=$A780,$B781&lt;&gt;$B780)),"ID LISTS UNALIGNED",and($A781&lt;&gt;"",countif('3) Release_Label'!$D:$D,$A781)=0),"NO UPC MATCH in Release_Label",and($B781&lt;&gt;"",countif('3) Release_Label'!$E:$E,$B781)=0),"NO CATALOG ID MATCH in Release_Label",iserror(vlookup($A781&amp;$B781,'3) Release_Label'!$D:$D&amp;'3) Release_Label'!$E:$E,1,0)),"NO UPC-CATALOG ID pair MATCH in Release_Label" )</f>
        <v/>
      </c>
      <c r="E781" s="99"/>
      <c r="F781" s="99"/>
      <c r="G781" s="123" t="str">
        <f t="array" ref="G781">ifs(or($F781="",$F781="Main Primary Artist"),$F781,not(iserror(vlookup($F781,'Reference info'!$J$5:$J$8,1,0))),"Key Artist",not(iserror(vlookup($F781,'Reference info'!$J$38:$J$405,1,0))),"Performer",not(iserror(vlookup($F781,'Reference info'!$J$10:$J$36,1,0))),"Producer &amp; Engineer")</f>
        <v/>
      </c>
    </row>
    <row r="782">
      <c r="A782" s="28"/>
      <c r="B782" s="103"/>
      <c r="C782" s="121" t="str">
        <f t="array" ref="C782">ifs(and(isblank($A782),isblank($B782)),"", not(iserror(vlookup($A782&amp;$B782,'3) Release_Label'!$D:$D&amp;'3) Release_Label'!$E:$E,1,0))),vlookup($A782&amp;$B782,{'3) Release_Label'!$D:$D&amp;'3) Release_Label'!$E:$E,'3) Release_Label'!$F:$F},2,0), or(and(not(isblank($B782)),$B782=$B781,$A782&lt;&gt;$A781),and(not(isblank($A782)),$A782=$A781,$B782&lt;&gt;$B781)),"ID LISTS UNALIGNED",and($A782&lt;&gt;"",countif('3) Release_Label'!$D:$D,$A782)=0),"NO UPC MATCH in Release_Label",and($B782&lt;&gt;"",countif('3) Release_Label'!$E:$E,$B782)=0),"NO CATALOG ID MATCH in Release_Label",iserror(vlookup($A782&amp;$B782,'3) Release_Label'!$D:$D&amp;'3) Release_Label'!$E:$E,1,0)),"NO UPC-CATALOG ID pair MATCH in Release_Label" )</f>
        <v/>
      </c>
      <c r="D782" s="121" t="str">
        <f t="array" ref="D782">ifs(and(isblank($A782),isblank($B782)),"", not(iserror(vlookup($A782&amp;$B782,'3) Release_Label'!$D:$D&amp;'3) Release_Label'!$E:$E,1,0))),vlookup($A782&amp;$B782,{'3) Release_Label'!$D:$D&amp;'3) Release_Label'!$E:$E,'3) Release_Label'!$H:$H},2,0), or(and(not(isblank($B782)),$B782=$B781,$A782&lt;&gt;$A781),and(not(isblank($A782)),$A782=$A781,$B782&lt;&gt;$B781)),"ID LISTS UNALIGNED",and($A782&lt;&gt;"",countif('3) Release_Label'!$D:$D,$A782)=0),"NO UPC MATCH in Release_Label",and($B782&lt;&gt;"",countif('3) Release_Label'!$E:$E,$B782)=0),"NO CATALOG ID MATCH in Release_Label",iserror(vlookup($A782&amp;$B782,'3) Release_Label'!$D:$D&amp;'3) Release_Label'!$E:$E,1,0)),"NO UPC-CATALOG ID pair MATCH in Release_Label" )</f>
        <v/>
      </c>
      <c r="E782" s="99"/>
      <c r="F782" s="99"/>
      <c r="G782" s="123" t="str">
        <f t="array" ref="G782">ifs(or($F782="",$F782="Main Primary Artist"),$F782,not(iserror(vlookup($F782,'Reference info'!$J$5:$J$8,1,0))),"Key Artist",not(iserror(vlookup($F782,'Reference info'!$J$38:$J$405,1,0))),"Performer",not(iserror(vlookup($F782,'Reference info'!$J$10:$J$36,1,0))),"Producer &amp; Engineer")</f>
        <v/>
      </c>
    </row>
    <row r="783">
      <c r="A783" s="28"/>
      <c r="B783" s="103"/>
      <c r="C783" s="121" t="str">
        <f t="array" ref="C783">ifs(and(isblank($A783),isblank($B783)),"", not(iserror(vlookup($A783&amp;$B783,'3) Release_Label'!$D:$D&amp;'3) Release_Label'!$E:$E,1,0))),vlookup($A783&amp;$B783,{'3) Release_Label'!$D:$D&amp;'3) Release_Label'!$E:$E,'3) Release_Label'!$F:$F},2,0), or(and(not(isblank($B783)),$B783=$B782,$A783&lt;&gt;$A782),and(not(isblank($A783)),$A783=$A782,$B783&lt;&gt;$B782)),"ID LISTS UNALIGNED",and($A783&lt;&gt;"",countif('3) Release_Label'!$D:$D,$A783)=0),"NO UPC MATCH in Release_Label",and($B783&lt;&gt;"",countif('3) Release_Label'!$E:$E,$B783)=0),"NO CATALOG ID MATCH in Release_Label",iserror(vlookup($A783&amp;$B783,'3) Release_Label'!$D:$D&amp;'3) Release_Label'!$E:$E,1,0)),"NO UPC-CATALOG ID pair MATCH in Release_Label" )</f>
        <v/>
      </c>
      <c r="D783" s="121" t="str">
        <f t="array" ref="D783">ifs(and(isblank($A783),isblank($B783)),"", not(iserror(vlookup($A783&amp;$B783,'3) Release_Label'!$D:$D&amp;'3) Release_Label'!$E:$E,1,0))),vlookup($A783&amp;$B783,{'3) Release_Label'!$D:$D&amp;'3) Release_Label'!$E:$E,'3) Release_Label'!$H:$H},2,0), or(and(not(isblank($B783)),$B783=$B782,$A783&lt;&gt;$A782),and(not(isblank($A783)),$A783=$A782,$B783&lt;&gt;$B782)),"ID LISTS UNALIGNED",and($A783&lt;&gt;"",countif('3) Release_Label'!$D:$D,$A783)=0),"NO UPC MATCH in Release_Label",and($B783&lt;&gt;"",countif('3) Release_Label'!$E:$E,$B783)=0),"NO CATALOG ID MATCH in Release_Label",iserror(vlookup($A783&amp;$B783,'3) Release_Label'!$D:$D&amp;'3) Release_Label'!$E:$E,1,0)),"NO UPC-CATALOG ID pair MATCH in Release_Label" )</f>
        <v/>
      </c>
      <c r="E783" s="99"/>
      <c r="F783" s="99"/>
      <c r="G783" s="123" t="str">
        <f t="array" ref="G783">ifs(or($F783="",$F783="Main Primary Artist"),$F783,not(iserror(vlookup($F783,'Reference info'!$J$5:$J$8,1,0))),"Key Artist",not(iserror(vlookup($F783,'Reference info'!$J$38:$J$405,1,0))),"Performer",not(iserror(vlookup($F783,'Reference info'!$J$10:$J$36,1,0))),"Producer &amp; Engineer")</f>
        <v/>
      </c>
    </row>
    <row r="784">
      <c r="A784" s="28"/>
      <c r="B784" s="103"/>
      <c r="C784" s="121" t="str">
        <f t="array" ref="C784">ifs(and(isblank($A784),isblank($B784)),"", not(iserror(vlookup($A784&amp;$B784,'3) Release_Label'!$D:$D&amp;'3) Release_Label'!$E:$E,1,0))),vlookup($A784&amp;$B784,{'3) Release_Label'!$D:$D&amp;'3) Release_Label'!$E:$E,'3) Release_Label'!$F:$F},2,0), or(and(not(isblank($B784)),$B784=$B783,$A784&lt;&gt;$A783),and(not(isblank($A784)),$A784=$A783,$B784&lt;&gt;$B783)),"ID LISTS UNALIGNED",and($A784&lt;&gt;"",countif('3) Release_Label'!$D:$D,$A784)=0),"NO UPC MATCH in Release_Label",and($B784&lt;&gt;"",countif('3) Release_Label'!$E:$E,$B784)=0),"NO CATALOG ID MATCH in Release_Label",iserror(vlookup($A784&amp;$B784,'3) Release_Label'!$D:$D&amp;'3) Release_Label'!$E:$E,1,0)),"NO UPC-CATALOG ID pair MATCH in Release_Label" )</f>
        <v/>
      </c>
      <c r="D784" s="121" t="str">
        <f t="array" ref="D784">ifs(and(isblank($A784),isblank($B784)),"", not(iserror(vlookup($A784&amp;$B784,'3) Release_Label'!$D:$D&amp;'3) Release_Label'!$E:$E,1,0))),vlookup($A784&amp;$B784,{'3) Release_Label'!$D:$D&amp;'3) Release_Label'!$E:$E,'3) Release_Label'!$H:$H},2,0), or(and(not(isblank($B784)),$B784=$B783,$A784&lt;&gt;$A783),and(not(isblank($A784)),$A784=$A783,$B784&lt;&gt;$B783)),"ID LISTS UNALIGNED",and($A784&lt;&gt;"",countif('3) Release_Label'!$D:$D,$A784)=0),"NO UPC MATCH in Release_Label",and($B784&lt;&gt;"",countif('3) Release_Label'!$E:$E,$B784)=0),"NO CATALOG ID MATCH in Release_Label",iserror(vlookup($A784&amp;$B784,'3) Release_Label'!$D:$D&amp;'3) Release_Label'!$E:$E,1,0)),"NO UPC-CATALOG ID pair MATCH in Release_Label" )</f>
        <v/>
      </c>
      <c r="E784" s="99"/>
      <c r="F784" s="99"/>
      <c r="G784" s="123" t="str">
        <f t="array" ref="G784">ifs(or($F784="",$F784="Main Primary Artist"),$F784,not(iserror(vlookup($F784,'Reference info'!$J$5:$J$8,1,0))),"Key Artist",not(iserror(vlookup($F784,'Reference info'!$J$38:$J$405,1,0))),"Performer",not(iserror(vlookup($F784,'Reference info'!$J$10:$J$36,1,0))),"Producer &amp; Engineer")</f>
        <v/>
      </c>
    </row>
    <row r="785">
      <c r="A785" s="28"/>
      <c r="B785" s="103"/>
      <c r="C785" s="121" t="str">
        <f t="array" ref="C785">ifs(and(isblank($A785),isblank($B785)),"", not(iserror(vlookup($A785&amp;$B785,'3) Release_Label'!$D:$D&amp;'3) Release_Label'!$E:$E,1,0))),vlookup($A785&amp;$B785,{'3) Release_Label'!$D:$D&amp;'3) Release_Label'!$E:$E,'3) Release_Label'!$F:$F},2,0), or(and(not(isblank($B785)),$B785=$B784,$A785&lt;&gt;$A784),and(not(isblank($A785)),$A785=$A784,$B785&lt;&gt;$B784)),"ID LISTS UNALIGNED",and($A785&lt;&gt;"",countif('3) Release_Label'!$D:$D,$A785)=0),"NO UPC MATCH in Release_Label",and($B785&lt;&gt;"",countif('3) Release_Label'!$E:$E,$B785)=0),"NO CATALOG ID MATCH in Release_Label",iserror(vlookup($A785&amp;$B785,'3) Release_Label'!$D:$D&amp;'3) Release_Label'!$E:$E,1,0)),"NO UPC-CATALOG ID pair MATCH in Release_Label" )</f>
        <v/>
      </c>
      <c r="D785" s="121" t="str">
        <f t="array" ref="D785">ifs(and(isblank($A785),isblank($B785)),"", not(iserror(vlookup($A785&amp;$B785,'3) Release_Label'!$D:$D&amp;'3) Release_Label'!$E:$E,1,0))),vlookup($A785&amp;$B785,{'3) Release_Label'!$D:$D&amp;'3) Release_Label'!$E:$E,'3) Release_Label'!$H:$H},2,0), or(and(not(isblank($B785)),$B785=$B784,$A785&lt;&gt;$A784),and(not(isblank($A785)),$A785=$A784,$B785&lt;&gt;$B784)),"ID LISTS UNALIGNED",and($A785&lt;&gt;"",countif('3) Release_Label'!$D:$D,$A785)=0),"NO UPC MATCH in Release_Label",and($B785&lt;&gt;"",countif('3) Release_Label'!$E:$E,$B785)=0),"NO CATALOG ID MATCH in Release_Label",iserror(vlookup($A785&amp;$B785,'3) Release_Label'!$D:$D&amp;'3) Release_Label'!$E:$E,1,0)),"NO UPC-CATALOG ID pair MATCH in Release_Label" )</f>
        <v/>
      </c>
      <c r="E785" s="99"/>
      <c r="F785" s="99"/>
      <c r="G785" s="123" t="str">
        <f t="array" ref="G785">ifs(or($F785="",$F785="Main Primary Artist"),$F785,not(iserror(vlookup($F785,'Reference info'!$J$5:$J$8,1,0))),"Key Artist",not(iserror(vlookup($F785,'Reference info'!$J$38:$J$405,1,0))),"Performer",not(iserror(vlookup($F785,'Reference info'!$J$10:$J$36,1,0))),"Producer &amp; Engineer")</f>
        <v/>
      </c>
    </row>
    <row r="786">
      <c r="A786" s="28"/>
      <c r="B786" s="103"/>
      <c r="C786" s="121" t="str">
        <f t="array" ref="C786">ifs(and(isblank($A786),isblank($B786)),"", not(iserror(vlookup($A786&amp;$B786,'3) Release_Label'!$D:$D&amp;'3) Release_Label'!$E:$E,1,0))),vlookup($A786&amp;$B786,{'3) Release_Label'!$D:$D&amp;'3) Release_Label'!$E:$E,'3) Release_Label'!$F:$F},2,0), or(and(not(isblank($B786)),$B786=$B785,$A786&lt;&gt;$A785),and(not(isblank($A786)),$A786=$A785,$B786&lt;&gt;$B785)),"ID LISTS UNALIGNED",and($A786&lt;&gt;"",countif('3) Release_Label'!$D:$D,$A786)=0),"NO UPC MATCH in Release_Label",and($B786&lt;&gt;"",countif('3) Release_Label'!$E:$E,$B786)=0),"NO CATALOG ID MATCH in Release_Label",iserror(vlookup($A786&amp;$B786,'3) Release_Label'!$D:$D&amp;'3) Release_Label'!$E:$E,1,0)),"NO UPC-CATALOG ID pair MATCH in Release_Label" )</f>
        <v/>
      </c>
      <c r="D786" s="121" t="str">
        <f t="array" ref="D786">ifs(and(isblank($A786),isblank($B786)),"", not(iserror(vlookup($A786&amp;$B786,'3) Release_Label'!$D:$D&amp;'3) Release_Label'!$E:$E,1,0))),vlookup($A786&amp;$B786,{'3) Release_Label'!$D:$D&amp;'3) Release_Label'!$E:$E,'3) Release_Label'!$H:$H},2,0), or(and(not(isblank($B786)),$B786=$B785,$A786&lt;&gt;$A785),and(not(isblank($A786)),$A786=$A785,$B786&lt;&gt;$B785)),"ID LISTS UNALIGNED",and($A786&lt;&gt;"",countif('3) Release_Label'!$D:$D,$A786)=0),"NO UPC MATCH in Release_Label",and($B786&lt;&gt;"",countif('3) Release_Label'!$E:$E,$B786)=0),"NO CATALOG ID MATCH in Release_Label",iserror(vlookup($A786&amp;$B786,'3) Release_Label'!$D:$D&amp;'3) Release_Label'!$E:$E,1,0)),"NO UPC-CATALOG ID pair MATCH in Release_Label" )</f>
        <v/>
      </c>
      <c r="E786" s="99"/>
      <c r="F786" s="99"/>
      <c r="G786" s="123" t="str">
        <f t="array" ref="G786">ifs(or($F786="",$F786="Main Primary Artist"),$F786,not(iserror(vlookup($F786,'Reference info'!$J$5:$J$8,1,0))),"Key Artist",not(iserror(vlookup($F786,'Reference info'!$J$38:$J$405,1,0))),"Performer",not(iserror(vlookup($F786,'Reference info'!$J$10:$J$36,1,0))),"Producer &amp; Engineer")</f>
        <v/>
      </c>
    </row>
    <row r="787">
      <c r="A787" s="28"/>
      <c r="B787" s="103"/>
      <c r="C787" s="121" t="str">
        <f t="array" ref="C787">ifs(and(isblank($A787),isblank($B787)),"", not(iserror(vlookup($A787&amp;$B787,'3) Release_Label'!$D:$D&amp;'3) Release_Label'!$E:$E,1,0))),vlookup($A787&amp;$B787,{'3) Release_Label'!$D:$D&amp;'3) Release_Label'!$E:$E,'3) Release_Label'!$F:$F},2,0), or(and(not(isblank($B787)),$B787=$B786,$A787&lt;&gt;$A786),and(not(isblank($A787)),$A787=$A786,$B787&lt;&gt;$B786)),"ID LISTS UNALIGNED",and($A787&lt;&gt;"",countif('3) Release_Label'!$D:$D,$A787)=0),"NO UPC MATCH in Release_Label",and($B787&lt;&gt;"",countif('3) Release_Label'!$E:$E,$B787)=0),"NO CATALOG ID MATCH in Release_Label",iserror(vlookup($A787&amp;$B787,'3) Release_Label'!$D:$D&amp;'3) Release_Label'!$E:$E,1,0)),"NO UPC-CATALOG ID pair MATCH in Release_Label" )</f>
        <v/>
      </c>
      <c r="D787" s="121" t="str">
        <f t="array" ref="D787">ifs(and(isblank($A787),isblank($B787)),"", not(iserror(vlookup($A787&amp;$B787,'3) Release_Label'!$D:$D&amp;'3) Release_Label'!$E:$E,1,0))),vlookup($A787&amp;$B787,{'3) Release_Label'!$D:$D&amp;'3) Release_Label'!$E:$E,'3) Release_Label'!$H:$H},2,0), or(and(not(isblank($B787)),$B787=$B786,$A787&lt;&gt;$A786),and(not(isblank($A787)),$A787=$A786,$B787&lt;&gt;$B786)),"ID LISTS UNALIGNED",and($A787&lt;&gt;"",countif('3) Release_Label'!$D:$D,$A787)=0),"NO UPC MATCH in Release_Label",and($B787&lt;&gt;"",countif('3) Release_Label'!$E:$E,$B787)=0),"NO CATALOG ID MATCH in Release_Label",iserror(vlookup($A787&amp;$B787,'3) Release_Label'!$D:$D&amp;'3) Release_Label'!$E:$E,1,0)),"NO UPC-CATALOG ID pair MATCH in Release_Label" )</f>
        <v/>
      </c>
      <c r="E787" s="99"/>
      <c r="F787" s="99"/>
      <c r="G787" s="123" t="str">
        <f t="array" ref="G787">ifs(or($F787="",$F787="Main Primary Artist"),$F787,not(iserror(vlookup($F787,'Reference info'!$J$5:$J$8,1,0))),"Key Artist",not(iserror(vlookup($F787,'Reference info'!$J$38:$J$405,1,0))),"Performer",not(iserror(vlookup($F787,'Reference info'!$J$10:$J$36,1,0))),"Producer &amp; Engineer")</f>
        <v/>
      </c>
    </row>
    <row r="788">
      <c r="A788" s="28"/>
      <c r="B788" s="103"/>
      <c r="C788" s="121" t="str">
        <f t="array" ref="C788">ifs(and(isblank($A788),isblank($B788)),"", not(iserror(vlookup($A788&amp;$B788,'3) Release_Label'!$D:$D&amp;'3) Release_Label'!$E:$E,1,0))),vlookup($A788&amp;$B788,{'3) Release_Label'!$D:$D&amp;'3) Release_Label'!$E:$E,'3) Release_Label'!$F:$F},2,0), or(and(not(isblank($B788)),$B788=$B787,$A788&lt;&gt;$A787),and(not(isblank($A788)),$A788=$A787,$B788&lt;&gt;$B787)),"ID LISTS UNALIGNED",and($A788&lt;&gt;"",countif('3) Release_Label'!$D:$D,$A788)=0),"NO UPC MATCH in Release_Label",and($B788&lt;&gt;"",countif('3) Release_Label'!$E:$E,$B788)=0),"NO CATALOG ID MATCH in Release_Label",iserror(vlookup($A788&amp;$B788,'3) Release_Label'!$D:$D&amp;'3) Release_Label'!$E:$E,1,0)),"NO UPC-CATALOG ID pair MATCH in Release_Label" )</f>
        <v/>
      </c>
      <c r="D788" s="121" t="str">
        <f t="array" ref="D788">ifs(and(isblank($A788),isblank($B788)),"", not(iserror(vlookup($A788&amp;$B788,'3) Release_Label'!$D:$D&amp;'3) Release_Label'!$E:$E,1,0))),vlookup($A788&amp;$B788,{'3) Release_Label'!$D:$D&amp;'3) Release_Label'!$E:$E,'3) Release_Label'!$H:$H},2,0), or(and(not(isblank($B788)),$B788=$B787,$A788&lt;&gt;$A787),and(not(isblank($A788)),$A788=$A787,$B788&lt;&gt;$B787)),"ID LISTS UNALIGNED",and($A788&lt;&gt;"",countif('3) Release_Label'!$D:$D,$A788)=0),"NO UPC MATCH in Release_Label",and($B788&lt;&gt;"",countif('3) Release_Label'!$E:$E,$B788)=0),"NO CATALOG ID MATCH in Release_Label",iserror(vlookup($A788&amp;$B788,'3) Release_Label'!$D:$D&amp;'3) Release_Label'!$E:$E,1,0)),"NO UPC-CATALOG ID pair MATCH in Release_Label" )</f>
        <v/>
      </c>
      <c r="E788" s="99"/>
      <c r="F788" s="99"/>
      <c r="G788" s="123" t="str">
        <f t="array" ref="G788">ifs(or($F788="",$F788="Main Primary Artist"),$F788,not(iserror(vlookup($F788,'Reference info'!$J$5:$J$8,1,0))),"Key Artist",not(iserror(vlookup($F788,'Reference info'!$J$38:$J$405,1,0))),"Performer",not(iserror(vlookup($F788,'Reference info'!$J$10:$J$36,1,0))),"Producer &amp; Engineer")</f>
        <v/>
      </c>
    </row>
    <row r="789">
      <c r="A789" s="28"/>
      <c r="B789" s="103"/>
      <c r="C789" s="121" t="str">
        <f t="array" ref="C789">ifs(and(isblank($A789),isblank($B789)),"", not(iserror(vlookup($A789&amp;$B789,'3) Release_Label'!$D:$D&amp;'3) Release_Label'!$E:$E,1,0))),vlookup($A789&amp;$B789,{'3) Release_Label'!$D:$D&amp;'3) Release_Label'!$E:$E,'3) Release_Label'!$F:$F},2,0), or(and(not(isblank($B789)),$B789=$B788,$A789&lt;&gt;$A788),and(not(isblank($A789)),$A789=$A788,$B789&lt;&gt;$B788)),"ID LISTS UNALIGNED",and($A789&lt;&gt;"",countif('3) Release_Label'!$D:$D,$A789)=0),"NO UPC MATCH in Release_Label",and($B789&lt;&gt;"",countif('3) Release_Label'!$E:$E,$B789)=0),"NO CATALOG ID MATCH in Release_Label",iserror(vlookup($A789&amp;$B789,'3) Release_Label'!$D:$D&amp;'3) Release_Label'!$E:$E,1,0)),"NO UPC-CATALOG ID pair MATCH in Release_Label" )</f>
        <v/>
      </c>
      <c r="D789" s="121" t="str">
        <f t="array" ref="D789">ifs(and(isblank($A789),isblank($B789)),"", not(iserror(vlookup($A789&amp;$B789,'3) Release_Label'!$D:$D&amp;'3) Release_Label'!$E:$E,1,0))),vlookup($A789&amp;$B789,{'3) Release_Label'!$D:$D&amp;'3) Release_Label'!$E:$E,'3) Release_Label'!$H:$H},2,0), or(and(not(isblank($B789)),$B789=$B788,$A789&lt;&gt;$A788),and(not(isblank($A789)),$A789=$A788,$B789&lt;&gt;$B788)),"ID LISTS UNALIGNED",and($A789&lt;&gt;"",countif('3) Release_Label'!$D:$D,$A789)=0),"NO UPC MATCH in Release_Label",and($B789&lt;&gt;"",countif('3) Release_Label'!$E:$E,$B789)=0),"NO CATALOG ID MATCH in Release_Label",iserror(vlookup($A789&amp;$B789,'3) Release_Label'!$D:$D&amp;'3) Release_Label'!$E:$E,1,0)),"NO UPC-CATALOG ID pair MATCH in Release_Label" )</f>
        <v/>
      </c>
      <c r="E789" s="99"/>
      <c r="F789" s="99"/>
      <c r="G789" s="123" t="str">
        <f t="array" ref="G789">ifs(or($F789="",$F789="Main Primary Artist"),$F789,not(iserror(vlookup($F789,'Reference info'!$J$5:$J$8,1,0))),"Key Artist",not(iserror(vlookup($F789,'Reference info'!$J$38:$J$405,1,0))),"Performer",not(iserror(vlookup($F789,'Reference info'!$J$10:$J$36,1,0))),"Producer &amp; Engineer")</f>
        <v/>
      </c>
    </row>
    <row r="790">
      <c r="A790" s="28"/>
      <c r="B790" s="103"/>
      <c r="C790" s="121" t="str">
        <f t="array" ref="C790">ifs(and(isblank($A790),isblank($B790)),"", not(iserror(vlookup($A790&amp;$B790,'3) Release_Label'!$D:$D&amp;'3) Release_Label'!$E:$E,1,0))),vlookup($A790&amp;$B790,{'3) Release_Label'!$D:$D&amp;'3) Release_Label'!$E:$E,'3) Release_Label'!$F:$F},2,0), or(and(not(isblank($B790)),$B790=$B789,$A790&lt;&gt;$A789),and(not(isblank($A790)),$A790=$A789,$B790&lt;&gt;$B789)),"ID LISTS UNALIGNED",and($A790&lt;&gt;"",countif('3) Release_Label'!$D:$D,$A790)=0),"NO UPC MATCH in Release_Label",and($B790&lt;&gt;"",countif('3) Release_Label'!$E:$E,$B790)=0),"NO CATALOG ID MATCH in Release_Label",iserror(vlookup($A790&amp;$B790,'3) Release_Label'!$D:$D&amp;'3) Release_Label'!$E:$E,1,0)),"NO UPC-CATALOG ID pair MATCH in Release_Label" )</f>
        <v/>
      </c>
      <c r="D790" s="121" t="str">
        <f t="array" ref="D790">ifs(and(isblank($A790),isblank($B790)),"", not(iserror(vlookup($A790&amp;$B790,'3) Release_Label'!$D:$D&amp;'3) Release_Label'!$E:$E,1,0))),vlookup($A790&amp;$B790,{'3) Release_Label'!$D:$D&amp;'3) Release_Label'!$E:$E,'3) Release_Label'!$H:$H},2,0), or(and(not(isblank($B790)),$B790=$B789,$A790&lt;&gt;$A789),and(not(isblank($A790)),$A790=$A789,$B790&lt;&gt;$B789)),"ID LISTS UNALIGNED",and($A790&lt;&gt;"",countif('3) Release_Label'!$D:$D,$A790)=0),"NO UPC MATCH in Release_Label",and($B790&lt;&gt;"",countif('3) Release_Label'!$E:$E,$B790)=0),"NO CATALOG ID MATCH in Release_Label",iserror(vlookup($A790&amp;$B790,'3) Release_Label'!$D:$D&amp;'3) Release_Label'!$E:$E,1,0)),"NO UPC-CATALOG ID pair MATCH in Release_Label" )</f>
        <v/>
      </c>
      <c r="E790" s="99"/>
      <c r="F790" s="99"/>
      <c r="G790" s="123" t="str">
        <f t="array" ref="G790">ifs(or($F790="",$F790="Main Primary Artist"),$F790,not(iserror(vlookup($F790,'Reference info'!$J$5:$J$8,1,0))),"Key Artist",not(iserror(vlookup($F790,'Reference info'!$J$38:$J$405,1,0))),"Performer",not(iserror(vlookup($F790,'Reference info'!$J$10:$J$36,1,0))),"Producer &amp; Engineer")</f>
        <v/>
      </c>
    </row>
    <row r="791">
      <c r="A791" s="28"/>
      <c r="B791" s="103"/>
      <c r="C791" s="121" t="str">
        <f t="array" ref="C791">ifs(and(isblank($A791),isblank($B791)),"", not(iserror(vlookup($A791&amp;$B791,'3) Release_Label'!$D:$D&amp;'3) Release_Label'!$E:$E,1,0))),vlookup($A791&amp;$B791,{'3) Release_Label'!$D:$D&amp;'3) Release_Label'!$E:$E,'3) Release_Label'!$F:$F},2,0), or(and(not(isblank($B791)),$B791=$B790,$A791&lt;&gt;$A790),and(not(isblank($A791)),$A791=$A790,$B791&lt;&gt;$B790)),"ID LISTS UNALIGNED",and($A791&lt;&gt;"",countif('3) Release_Label'!$D:$D,$A791)=0),"NO UPC MATCH in Release_Label",and($B791&lt;&gt;"",countif('3) Release_Label'!$E:$E,$B791)=0),"NO CATALOG ID MATCH in Release_Label",iserror(vlookup($A791&amp;$B791,'3) Release_Label'!$D:$D&amp;'3) Release_Label'!$E:$E,1,0)),"NO UPC-CATALOG ID pair MATCH in Release_Label" )</f>
        <v/>
      </c>
      <c r="D791" s="121" t="str">
        <f t="array" ref="D791">ifs(and(isblank($A791),isblank($B791)),"", not(iserror(vlookup($A791&amp;$B791,'3) Release_Label'!$D:$D&amp;'3) Release_Label'!$E:$E,1,0))),vlookup($A791&amp;$B791,{'3) Release_Label'!$D:$D&amp;'3) Release_Label'!$E:$E,'3) Release_Label'!$H:$H},2,0), or(and(not(isblank($B791)),$B791=$B790,$A791&lt;&gt;$A790),and(not(isblank($A791)),$A791=$A790,$B791&lt;&gt;$B790)),"ID LISTS UNALIGNED",and($A791&lt;&gt;"",countif('3) Release_Label'!$D:$D,$A791)=0),"NO UPC MATCH in Release_Label",and($B791&lt;&gt;"",countif('3) Release_Label'!$E:$E,$B791)=0),"NO CATALOG ID MATCH in Release_Label",iserror(vlookup($A791&amp;$B791,'3) Release_Label'!$D:$D&amp;'3) Release_Label'!$E:$E,1,0)),"NO UPC-CATALOG ID pair MATCH in Release_Label" )</f>
        <v/>
      </c>
      <c r="E791" s="99"/>
      <c r="F791" s="99"/>
      <c r="G791" s="123" t="str">
        <f t="array" ref="G791">ifs(or($F791="",$F791="Main Primary Artist"),$F791,not(iserror(vlookup($F791,'Reference info'!$J$5:$J$8,1,0))),"Key Artist",not(iserror(vlookup($F791,'Reference info'!$J$38:$J$405,1,0))),"Performer",not(iserror(vlookup($F791,'Reference info'!$J$10:$J$36,1,0))),"Producer &amp; Engineer")</f>
        <v/>
      </c>
    </row>
    <row r="792">
      <c r="A792" s="28"/>
      <c r="B792" s="103"/>
      <c r="C792" s="121" t="str">
        <f t="array" ref="C792">ifs(and(isblank($A792),isblank($B792)),"", not(iserror(vlookup($A792&amp;$B792,'3) Release_Label'!$D:$D&amp;'3) Release_Label'!$E:$E,1,0))),vlookup($A792&amp;$B792,{'3) Release_Label'!$D:$D&amp;'3) Release_Label'!$E:$E,'3) Release_Label'!$F:$F},2,0), or(and(not(isblank($B792)),$B792=$B791,$A792&lt;&gt;$A791),and(not(isblank($A792)),$A792=$A791,$B792&lt;&gt;$B791)),"ID LISTS UNALIGNED",and($A792&lt;&gt;"",countif('3) Release_Label'!$D:$D,$A792)=0),"NO UPC MATCH in Release_Label",and($B792&lt;&gt;"",countif('3) Release_Label'!$E:$E,$B792)=0),"NO CATALOG ID MATCH in Release_Label",iserror(vlookup($A792&amp;$B792,'3) Release_Label'!$D:$D&amp;'3) Release_Label'!$E:$E,1,0)),"NO UPC-CATALOG ID pair MATCH in Release_Label" )</f>
        <v/>
      </c>
      <c r="D792" s="121" t="str">
        <f t="array" ref="D792">ifs(and(isblank($A792),isblank($B792)),"", not(iserror(vlookup($A792&amp;$B792,'3) Release_Label'!$D:$D&amp;'3) Release_Label'!$E:$E,1,0))),vlookup($A792&amp;$B792,{'3) Release_Label'!$D:$D&amp;'3) Release_Label'!$E:$E,'3) Release_Label'!$H:$H},2,0), or(and(not(isblank($B792)),$B792=$B791,$A792&lt;&gt;$A791),and(not(isblank($A792)),$A792=$A791,$B792&lt;&gt;$B791)),"ID LISTS UNALIGNED",and($A792&lt;&gt;"",countif('3) Release_Label'!$D:$D,$A792)=0),"NO UPC MATCH in Release_Label",and($B792&lt;&gt;"",countif('3) Release_Label'!$E:$E,$B792)=0),"NO CATALOG ID MATCH in Release_Label",iserror(vlookup($A792&amp;$B792,'3) Release_Label'!$D:$D&amp;'3) Release_Label'!$E:$E,1,0)),"NO UPC-CATALOG ID pair MATCH in Release_Label" )</f>
        <v/>
      </c>
      <c r="E792" s="99"/>
      <c r="F792" s="99"/>
      <c r="G792" s="123" t="str">
        <f t="array" ref="G792">ifs(or($F792="",$F792="Main Primary Artist"),$F792,not(iserror(vlookup($F792,'Reference info'!$J$5:$J$8,1,0))),"Key Artist",not(iserror(vlookup($F792,'Reference info'!$J$38:$J$405,1,0))),"Performer",not(iserror(vlookup($F792,'Reference info'!$J$10:$J$36,1,0))),"Producer &amp; Engineer")</f>
        <v/>
      </c>
    </row>
    <row r="793">
      <c r="A793" s="28"/>
      <c r="B793" s="103"/>
      <c r="C793" s="121" t="str">
        <f t="array" ref="C793">ifs(and(isblank($A793),isblank($B793)),"", not(iserror(vlookup($A793&amp;$B793,'3) Release_Label'!$D:$D&amp;'3) Release_Label'!$E:$E,1,0))),vlookup($A793&amp;$B793,{'3) Release_Label'!$D:$D&amp;'3) Release_Label'!$E:$E,'3) Release_Label'!$F:$F},2,0), or(and(not(isblank($B793)),$B793=$B792,$A793&lt;&gt;$A792),and(not(isblank($A793)),$A793=$A792,$B793&lt;&gt;$B792)),"ID LISTS UNALIGNED",and($A793&lt;&gt;"",countif('3) Release_Label'!$D:$D,$A793)=0),"NO UPC MATCH in Release_Label",and($B793&lt;&gt;"",countif('3) Release_Label'!$E:$E,$B793)=0),"NO CATALOG ID MATCH in Release_Label",iserror(vlookup($A793&amp;$B793,'3) Release_Label'!$D:$D&amp;'3) Release_Label'!$E:$E,1,0)),"NO UPC-CATALOG ID pair MATCH in Release_Label" )</f>
        <v/>
      </c>
      <c r="D793" s="121" t="str">
        <f t="array" ref="D793">ifs(and(isblank($A793),isblank($B793)),"", not(iserror(vlookup($A793&amp;$B793,'3) Release_Label'!$D:$D&amp;'3) Release_Label'!$E:$E,1,0))),vlookup($A793&amp;$B793,{'3) Release_Label'!$D:$D&amp;'3) Release_Label'!$E:$E,'3) Release_Label'!$H:$H},2,0), or(and(not(isblank($B793)),$B793=$B792,$A793&lt;&gt;$A792),and(not(isblank($A793)),$A793=$A792,$B793&lt;&gt;$B792)),"ID LISTS UNALIGNED",and($A793&lt;&gt;"",countif('3) Release_Label'!$D:$D,$A793)=0),"NO UPC MATCH in Release_Label",and($B793&lt;&gt;"",countif('3) Release_Label'!$E:$E,$B793)=0),"NO CATALOG ID MATCH in Release_Label",iserror(vlookup($A793&amp;$B793,'3) Release_Label'!$D:$D&amp;'3) Release_Label'!$E:$E,1,0)),"NO UPC-CATALOG ID pair MATCH in Release_Label" )</f>
        <v/>
      </c>
      <c r="E793" s="99"/>
      <c r="F793" s="99"/>
      <c r="G793" s="123" t="str">
        <f t="array" ref="G793">ifs(or($F793="",$F793="Main Primary Artist"),$F793,not(iserror(vlookup($F793,'Reference info'!$J$5:$J$8,1,0))),"Key Artist",not(iserror(vlookup($F793,'Reference info'!$J$38:$J$405,1,0))),"Performer",not(iserror(vlookup($F793,'Reference info'!$J$10:$J$36,1,0))),"Producer &amp; Engineer")</f>
        <v/>
      </c>
    </row>
    <row r="794">
      <c r="A794" s="28"/>
      <c r="B794" s="103"/>
      <c r="C794" s="121" t="str">
        <f t="array" ref="C794">ifs(and(isblank($A794),isblank($B794)),"", not(iserror(vlookup($A794&amp;$B794,'3) Release_Label'!$D:$D&amp;'3) Release_Label'!$E:$E,1,0))),vlookup($A794&amp;$B794,{'3) Release_Label'!$D:$D&amp;'3) Release_Label'!$E:$E,'3) Release_Label'!$F:$F},2,0), or(and(not(isblank($B794)),$B794=$B793,$A794&lt;&gt;$A793),and(not(isblank($A794)),$A794=$A793,$B794&lt;&gt;$B793)),"ID LISTS UNALIGNED",and($A794&lt;&gt;"",countif('3) Release_Label'!$D:$D,$A794)=0),"NO UPC MATCH in Release_Label",and($B794&lt;&gt;"",countif('3) Release_Label'!$E:$E,$B794)=0),"NO CATALOG ID MATCH in Release_Label",iserror(vlookup($A794&amp;$B794,'3) Release_Label'!$D:$D&amp;'3) Release_Label'!$E:$E,1,0)),"NO UPC-CATALOG ID pair MATCH in Release_Label" )</f>
        <v/>
      </c>
      <c r="D794" s="121" t="str">
        <f t="array" ref="D794">ifs(and(isblank($A794),isblank($B794)),"", not(iserror(vlookup($A794&amp;$B794,'3) Release_Label'!$D:$D&amp;'3) Release_Label'!$E:$E,1,0))),vlookup($A794&amp;$B794,{'3) Release_Label'!$D:$D&amp;'3) Release_Label'!$E:$E,'3) Release_Label'!$H:$H},2,0), or(and(not(isblank($B794)),$B794=$B793,$A794&lt;&gt;$A793),and(not(isblank($A794)),$A794=$A793,$B794&lt;&gt;$B793)),"ID LISTS UNALIGNED",and($A794&lt;&gt;"",countif('3) Release_Label'!$D:$D,$A794)=0),"NO UPC MATCH in Release_Label",and($B794&lt;&gt;"",countif('3) Release_Label'!$E:$E,$B794)=0),"NO CATALOG ID MATCH in Release_Label",iserror(vlookup($A794&amp;$B794,'3) Release_Label'!$D:$D&amp;'3) Release_Label'!$E:$E,1,0)),"NO UPC-CATALOG ID pair MATCH in Release_Label" )</f>
        <v/>
      </c>
      <c r="E794" s="99"/>
      <c r="F794" s="99"/>
      <c r="G794" s="123" t="str">
        <f t="array" ref="G794">ifs(or($F794="",$F794="Main Primary Artist"),$F794,not(iserror(vlookup($F794,'Reference info'!$J$5:$J$8,1,0))),"Key Artist",not(iserror(vlookup($F794,'Reference info'!$J$38:$J$405,1,0))),"Performer",not(iserror(vlookup($F794,'Reference info'!$J$10:$J$36,1,0))),"Producer &amp; Engineer")</f>
        <v/>
      </c>
    </row>
    <row r="795">
      <c r="A795" s="28"/>
      <c r="B795" s="103"/>
      <c r="C795" s="121" t="str">
        <f t="array" ref="C795">ifs(and(isblank($A795),isblank($B795)),"", not(iserror(vlookup($A795&amp;$B795,'3) Release_Label'!$D:$D&amp;'3) Release_Label'!$E:$E,1,0))),vlookup($A795&amp;$B795,{'3) Release_Label'!$D:$D&amp;'3) Release_Label'!$E:$E,'3) Release_Label'!$F:$F},2,0), or(and(not(isblank($B795)),$B795=$B794,$A795&lt;&gt;$A794),and(not(isblank($A795)),$A795=$A794,$B795&lt;&gt;$B794)),"ID LISTS UNALIGNED",and($A795&lt;&gt;"",countif('3) Release_Label'!$D:$D,$A795)=0),"NO UPC MATCH in Release_Label",and($B795&lt;&gt;"",countif('3) Release_Label'!$E:$E,$B795)=0),"NO CATALOG ID MATCH in Release_Label",iserror(vlookup($A795&amp;$B795,'3) Release_Label'!$D:$D&amp;'3) Release_Label'!$E:$E,1,0)),"NO UPC-CATALOG ID pair MATCH in Release_Label" )</f>
        <v/>
      </c>
      <c r="D795" s="121" t="str">
        <f t="array" ref="D795">ifs(and(isblank($A795),isblank($B795)),"", not(iserror(vlookup($A795&amp;$B795,'3) Release_Label'!$D:$D&amp;'3) Release_Label'!$E:$E,1,0))),vlookup($A795&amp;$B795,{'3) Release_Label'!$D:$D&amp;'3) Release_Label'!$E:$E,'3) Release_Label'!$H:$H},2,0), or(and(not(isblank($B795)),$B795=$B794,$A795&lt;&gt;$A794),and(not(isblank($A795)),$A795=$A794,$B795&lt;&gt;$B794)),"ID LISTS UNALIGNED",and($A795&lt;&gt;"",countif('3) Release_Label'!$D:$D,$A795)=0),"NO UPC MATCH in Release_Label",and($B795&lt;&gt;"",countif('3) Release_Label'!$E:$E,$B795)=0),"NO CATALOG ID MATCH in Release_Label",iserror(vlookup($A795&amp;$B795,'3) Release_Label'!$D:$D&amp;'3) Release_Label'!$E:$E,1,0)),"NO UPC-CATALOG ID pair MATCH in Release_Label" )</f>
        <v/>
      </c>
      <c r="E795" s="99"/>
      <c r="F795" s="99"/>
      <c r="G795" s="123" t="str">
        <f t="array" ref="G795">ifs(or($F795="",$F795="Main Primary Artist"),$F795,not(iserror(vlookup($F795,'Reference info'!$J$5:$J$8,1,0))),"Key Artist",not(iserror(vlookup($F795,'Reference info'!$J$38:$J$405,1,0))),"Performer",not(iserror(vlookup($F795,'Reference info'!$J$10:$J$36,1,0))),"Producer &amp; Engineer")</f>
        <v/>
      </c>
    </row>
    <row r="796">
      <c r="A796" s="28"/>
      <c r="B796" s="103"/>
      <c r="C796" s="121" t="str">
        <f t="array" ref="C796">ifs(and(isblank($A796),isblank($B796)),"", not(iserror(vlookup($A796&amp;$B796,'3) Release_Label'!$D:$D&amp;'3) Release_Label'!$E:$E,1,0))),vlookup($A796&amp;$B796,{'3) Release_Label'!$D:$D&amp;'3) Release_Label'!$E:$E,'3) Release_Label'!$F:$F},2,0), or(and(not(isblank($B796)),$B796=$B795,$A796&lt;&gt;$A795),and(not(isblank($A796)),$A796=$A795,$B796&lt;&gt;$B795)),"ID LISTS UNALIGNED",and($A796&lt;&gt;"",countif('3) Release_Label'!$D:$D,$A796)=0),"NO UPC MATCH in Release_Label",and($B796&lt;&gt;"",countif('3) Release_Label'!$E:$E,$B796)=0),"NO CATALOG ID MATCH in Release_Label",iserror(vlookup($A796&amp;$B796,'3) Release_Label'!$D:$D&amp;'3) Release_Label'!$E:$E,1,0)),"NO UPC-CATALOG ID pair MATCH in Release_Label" )</f>
        <v/>
      </c>
      <c r="D796" s="121" t="str">
        <f t="array" ref="D796">ifs(and(isblank($A796),isblank($B796)),"", not(iserror(vlookup($A796&amp;$B796,'3) Release_Label'!$D:$D&amp;'3) Release_Label'!$E:$E,1,0))),vlookup($A796&amp;$B796,{'3) Release_Label'!$D:$D&amp;'3) Release_Label'!$E:$E,'3) Release_Label'!$H:$H},2,0), or(and(not(isblank($B796)),$B796=$B795,$A796&lt;&gt;$A795),and(not(isblank($A796)),$A796=$A795,$B796&lt;&gt;$B795)),"ID LISTS UNALIGNED",and($A796&lt;&gt;"",countif('3) Release_Label'!$D:$D,$A796)=0),"NO UPC MATCH in Release_Label",and($B796&lt;&gt;"",countif('3) Release_Label'!$E:$E,$B796)=0),"NO CATALOG ID MATCH in Release_Label",iserror(vlookup($A796&amp;$B796,'3) Release_Label'!$D:$D&amp;'3) Release_Label'!$E:$E,1,0)),"NO UPC-CATALOG ID pair MATCH in Release_Label" )</f>
        <v/>
      </c>
      <c r="E796" s="99"/>
      <c r="F796" s="99"/>
      <c r="G796" s="123" t="str">
        <f t="array" ref="G796">ifs(or($F796="",$F796="Main Primary Artist"),$F796,not(iserror(vlookup($F796,'Reference info'!$J$5:$J$8,1,0))),"Key Artist",not(iserror(vlookup($F796,'Reference info'!$J$38:$J$405,1,0))),"Performer",not(iserror(vlookup($F796,'Reference info'!$J$10:$J$36,1,0))),"Producer &amp; Engineer")</f>
        <v/>
      </c>
    </row>
    <row r="797">
      <c r="A797" s="28"/>
      <c r="B797" s="103"/>
      <c r="C797" s="121" t="str">
        <f t="array" ref="C797">ifs(and(isblank($A797),isblank($B797)),"", not(iserror(vlookup($A797&amp;$B797,'3) Release_Label'!$D:$D&amp;'3) Release_Label'!$E:$E,1,0))),vlookup($A797&amp;$B797,{'3) Release_Label'!$D:$D&amp;'3) Release_Label'!$E:$E,'3) Release_Label'!$F:$F},2,0), or(and(not(isblank($B797)),$B797=$B796,$A797&lt;&gt;$A796),and(not(isblank($A797)),$A797=$A796,$B797&lt;&gt;$B796)),"ID LISTS UNALIGNED",and($A797&lt;&gt;"",countif('3) Release_Label'!$D:$D,$A797)=0),"NO UPC MATCH in Release_Label",and($B797&lt;&gt;"",countif('3) Release_Label'!$E:$E,$B797)=0),"NO CATALOG ID MATCH in Release_Label",iserror(vlookup($A797&amp;$B797,'3) Release_Label'!$D:$D&amp;'3) Release_Label'!$E:$E,1,0)),"NO UPC-CATALOG ID pair MATCH in Release_Label" )</f>
        <v/>
      </c>
      <c r="D797" s="121" t="str">
        <f t="array" ref="D797">ifs(and(isblank($A797),isblank($B797)),"", not(iserror(vlookup($A797&amp;$B797,'3) Release_Label'!$D:$D&amp;'3) Release_Label'!$E:$E,1,0))),vlookup($A797&amp;$B797,{'3) Release_Label'!$D:$D&amp;'3) Release_Label'!$E:$E,'3) Release_Label'!$H:$H},2,0), or(and(not(isblank($B797)),$B797=$B796,$A797&lt;&gt;$A796),and(not(isblank($A797)),$A797=$A796,$B797&lt;&gt;$B796)),"ID LISTS UNALIGNED",and($A797&lt;&gt;"",countif('3) Release_Label'!$D:$D,$A797)=0),"NO UPC MATCH in Release_Label",and($B797&lt;&gt;"",countif('3) Release_Label'!$E:$E,$B797)=0),"NO CATALOG ID MATCH in Release_Label",iserror(vlookup($A797&amp;$B797,'3) Release_Label'!$D:$D&amp;'3) Release_Label'!$E:$E,1,0)),"NO UPC-CATALOG ID pair MATCH in Release_Label" )</f>
        <v/>
      </c>
      <c r="E797" s="99"/>
      <c r="F797" s="99"/>
      <c r="G797" s="123" t="str">
        <f t="array" ref="G797">ifs(or($F797="",$F797="Main Primary Artist"),$F797,not(iserror(vlookup($F797,'Reference info'!$J$5:$J$8,1,0))),"Key Artist",not(iserror(vlookup($F797,'Reference info'!$J$38:$J$405,1,0))),"Performer",not(iserror(vlookup($F797,'Reference info'!$J$10:$J$36,1,0))),"Producer &amp; Engineer")</f>
        <v/>
      </c>
    </row>
    <row r="798">
      <c r="A798" s="28"/>
      <c r="B798" s="103"/>
      <c r="C798" s="121" t="str">
        <f t="array" ref="C798">ifs(and(isblank($A798),isblank($B798)),"", not(iserror(vlookup($A798&amp;$B798,'3) Release_Label'!$D:$D&amp;'3) Release_Label'!$E:$E,1,0))),vlookup($A798&amp;$B798,{'3) Release_Label'!$D:$D&amp;'3) Release_Label'!$E:$E,'3) Release_Label'!$F:$F},2,0), or(and(not(isblank($B798)),$B798=$B797,$A798&lt;&gt;$A797),and(not(isblank($A798)),$A798=$A797,$B798&lt;&gt;$B797)),"ID LISTS UNALIGNED",and($A798&lt;&gt;"",countif('3) Release_Label'!$D:$D,$A798)=0),"NO UPC MATCH in Release_Label",and($B798&lt;&gt;"",countif('3) Release_Label'!$E:$E,$B798)=0),"NO CATALOG ID MATCH in Release_Label",iserror(vlookup($A798&amp;$B798,'3) Release_Label'!$D:$D&amp;'3) Release_Label'!$E:$E,1,0)),"NO UPC-CATALOG ID pair MATCH in Release_Label" )</f>
        <v/>
      </c>
      <c r="D798" s="121" t="str">
        <f t="array" ref="D798">ifs(and(isblank($A798),isblank($B798)),"", not(iserror(vlookup($A798&amp;$B798,'3) Release_Label'!$D:$D&amp;'3) Release_Label'!$E:$E,1,0))),vlookup($A798&amp;$B798,{'3) Release_Label'!$D:$D&amp;'3) Release_Label'!$E:$E,'3) Release_Label'!$H:$H},2,0), or(and(not(isblank($B798)),$B798=$B797,$A798&lt;&gt;$A797),and(not(isblank($A798)),$A798=$A797,$B798&lt;&gt;$B797)),"ID LISTS UNALIGNED",and($A798&lt;&gt;"",countif('3) Release_Label'!$D:$D,$A798)=0),"NO UPC MATCH in Release_Label",and($B798&lt;&gt;"",countif('3) Release_Label'!$E:$E,$B798)=0),"NO CATALOG ID MATCH in Release_Label",iserror(vlookup($A798&amp;$B798,'3) Release_Label'!$D:$D&amp;'3) Release_Label'!$E:$E,1,0)),"NO UPC-CATALOG ID pair MATCH in Release_Label" )</f>
        <v/>
      </c>
      <c r="E798" s="99"/>
      <c r="F798" s="99"/>
      <c r="G798" s="123" t="str">
        <f t="array" ref="G798">ifs(or($F798="",$F798="Main Primary Artist"),$F798,not(iserror(vlookup($F798,'Reference info'!$J$5:$J$8,1,0))),"Key Artist",not(iserror(vlookup($F798,'Reference info'!$J$38:$J$405,1,0))),"Performer",not(iserror(vlookup($F798,'Reference info'!$J$10:$J$36,1,0))),"Producer &amp; Engineer")</f>
        <v/>
      </c>
    </row>
    <row r="799">
      <c r="A799" s="28"/>
      <c r="B799" s="103"/>
      <c r="C799" s="121" t="str">
        <f t="array" ref="C799">ifs(and(isblank($A799),isblank($B799)),"", not(iserror(vlookup($A799&amp;$B799,'3) Release_Label'!$D:$D&amp;'3) Release_Label'!$E:$E,1,0))),vlookup($A799&amp;$B799,{'3) Release_Label'!$D:$D&amp;'3) Release_Label'!$E:$E,'3) Release_Label'!$F:$F},2,0), or(and(not(isblank($B799)),$B799=$B798,$A799&lt;&gt;$A798),and(not(isblank($A799)),$A799=$A798,$B799&lt;&gt;$B798)),"ID LISTS UNALIGNED",and($A799&lt;&gt;"",countif('3) Release_Label'!$D:$D,$A799)=0),"NO UPC MATCH in Release_Label",and($B799&lt;&gt;"",countif('3) Release_Label'!$E:$E,$B799)=0),"NO CATALOG ID MATCH in Release_Label",iserror(vlookup($A799&amp;$B799,'3) Release_Label'!$D:$D&amp;'3) Release_Label'!$E:$E,1,0)),"NO UPC-CATALOG ID pair MATCH in Release_Label" )</f>
        <v/>
      </c>
      <c r="D799" s="121" t="str">
        <f t="array" ref="D799">ifs(and(isblank($A799),isblank($B799)),"", not(iserror(vlookup($A799&amp;$B799,'3) Release_Label'!$D:$D&amp;'3) Release_Label'!$E:$E,1,0))),vlookup($A799&amp;$B799,{'3) Release_Label'!$D:$D&amp;'3) Release_Label'!$E:$E,'3) Release_Label'!$H:$H},2,0), or(and(not(isblank($B799)),$B799=$B798,$A799&lt;&gt;$A798),and(not(isblank($A799)),$A799=$A798,$B799&lt;&gt;$B798)),"ID LISTS UNALIGNED",and($A799&lt;&gt;"",countif('3) Release_Label'!$D:$D,$A799)=0),"NO UPC MATCH in Release_Label",and($B799&lt;&gt;"",countif('3) Release_Label'!$E:$E,$B799)=0),"NO CATALOG ID MATCH in Release_Label",iserror(vlookup($A799&amp;$B799,'3) Release_Label'!$D:$D&amp;'3) Release_Label'!$E:$E,1,0)),"NO UPC-CATALOG ID pair MATCH in Release_Label" )</f>
        <v/>
      </c>
      <c r="E799" s="99"/>
      <c r="F799" s="99"/>
      <c r="G799" s="123" t="str">
        <f t="array" ref="G799">ifs(or($F799="",$F799="Main Primary Artist"),$F799,not(iserror(vlookup($F799,'Reference info'!$J$5:$J$8,1,0))),"Key Artist",not(iserror(vlookup($F799,'Reference info'!$J$38:$J$405,1,0))),"Performer",not(iserror(vlookup($F799,'Reference info'!$J$10:$J$36,1,0))),"Producer &amp; Engineer")</f>
        <v/>
      </c>
    </row>
    <row r="800">
      <c r="A800" s="28"/>
      <c r="B800" s="103"/>
      <c r="C800" s="121" t="str">
        <f t="array" ref="C800">ifs(and(isblank($A800),isblank($B800)),"", not(iserror(vlookup($A800&amp;$B800,'3) Release_Label'!$D:$D&amp;'3) Release_Label'!$E:$E,1,0))),vlookup($A800&amp;$B800,{'3) Release_Label'!$D:$D&amp;'3) Release_Label'!$E:$E,'3) Release_Label'!$F:$F},2,0), or(and(not(isblank($B800)),$B800=$B799,$A800&lt;&gt;$A799),and(not(isblank($A800)),$A800=$A799,$B800&lt;&gt;$B799)),"ID LISTS UNALIGNED",and($A800&lt;&gt;"",countif('3) Release_Label'!$D:$D,$A800)=0),"NO UPC MATCH in Release_Label",and($B800&lt;&gt;"",countif('3) Release_Label'!$E:$E,$B800)=0),"NO CATALOG ID MATCH in Release_Label",iserror(vlookup($A800&amp;$B800,'3) Release_Label'!$D:$D&amp;'3) Release_Label'!$E:$E,1,0)),"NO UPC-CATALOG ID pair MATCH in Release_Label" )</f>
        <v/>
      </c>
      <c r="D800" s="121" t="str">
        <f t="array" ref="D800">ifs(and(isblank($A800),isblank($B800)),"", not(iserror(vlookup($A800&amp;$B800,'3) Release_Label'!$D:$D&amp;'3) Release_Label'!$E:$E,1,0))),vlookup($A800&amp;$B800,{'3) Release_Label'!$D:$D&amp;'3) Release_Label'!$E:$E,'3) Release_Label'!$H:$H},2,0), or(and(not(isblank($B800)),$B800=$B799,$A800&lt;&gt;$A799),and(not(isblank($A800)),$A800=$A799,$B800&lt;&gt;$B799)),"ID LISTS UNALIGNED",and($A800&lt;&gt;"",countif('3) Release_Label'!$D:$D,$A800)=0),"NO UPC MATCH in Release_Label",and($B800&lt;&gt;"",countif('3) Release_Label'!$E:$E,$B800)=0),"NO CATALOG ID MATCH in Release_Label",iserror(vlookup($A800&amp;$B800,'3) Release_Label'!$D:$D&amp;'3) Release_Label'!$E:$E,1,0)),"NO UPC-CATALOG ID pair MATCH in Release_Label" )</f>
        <v/>
      </c>
      <c r="E800" s="99"/>
      <c r="F800" s="99"/>
      <c r="G800" s="123" t="str">
        <f t="array" ref="G800">ifs(or($F800="",$F800="Main Primary Artist"),$F800,not(iserror(vlookup($F800,'Reference info'!$J$5:$J$8,1,0))),"Key Artist",not(iserror(vlookup($F800,'Reference info'!$J$38:$J$405,1,0))),"Performer",not(iserror(vlookup($F800,'Reference info'!$J$10:$J$36,1,0))),"Producer &amp; Engineer")</f>
        <v/>
      </c>
    </row>
    <row r="801">
      <c r="A801" s="28"/>
      <c r="B801" s="103"/>
      <c r="C801" s="121" t="str">
        <f t="array" ref="C801">ifs(and(isblank($A801),isblank($B801)),"", not(iserror(vlookup($A801&amp;$B801,'3) Release_Label'!$D:$D&amp;'3) Release_Label'!$E:$E,1,0))),vlookup($A801&amp;$B801,{'3) Release_Label'!$D:$D&amp;'3) Release_Label'!$E:$E,'3) Release_Label'!$F:$F},2,0), or(and(not(isblank($B801)),$B801=$B800,$A801&lt;&gt;$A800),and(not(isblank($A801)),$A801=$A800,$B801&lt;&gt;$B800)),"ID LISTS UNALIGNED",and($A801&lt;&gt;"",countif('3) Release_Label'!$D:$D,$A801)=0),"NO UPC MATCH in Release_Label",and($B801&lt;&gt;"",countif('3) Release_Label'!$E:$E,$B801)=0),"NO CATALOG ID MATCH in Release_Label",iserror(vlookup($A801&amp;$B801,'3) Release_Label'!$D:$D&amp;'3) Release_Label'!$E:$E,1,0)),"NO UPC-CATALOG ID pair MATCH in Release_Label" )</f>
        <v/>
      </c>
      <c r="D801" s="121" t="str">
        <f t="array" ref="D801">ifs(and(isblank($A801),isblank($B801)),"", not(iserror(vlookup($A801&amp;$B801,'3) Release_Label'!$D:$D&amp;'3) Release_Label'!$E:$E,1,0))),vlookup($A801&amp;$B801,{'3) Release_Label'!$D:$D&amp;'3) Release_Label'!$E:$E,'3) Release_Label'!$H:$H},2,0), or(and(not(isblank($B801)),$B801=$B800,$A801&lt;&gt;$A800),and(not(isblank($A801)),$A801=$A800,$B801&lt;&gt;$B800)),"ID LISTS UNALIGNED",and($A801&lt;&gt;"",countif('3) Release_Label'!$D:$D,$A801)=0),"NO UPC MATCH in Release_Label",and($B801&lt;&gt;"",countif('3) Release_Label'!$E:$E,$B801)=0),"NO CATALOG ID MATCH in Release_Label",iserror(vlookup($A801&amp;$B801,'3) Release_Label'!$D:$D&amp;'3) Release_Label'!$E:$E,1,0)),"NO UPC-CATALOG ID pair MATCH in Release_Label" )</f>
        <v/>
      </c>
      <c r="E801" s="99"/>
      <c r="F801" s="99"/>
      <c r="G801" s="123" t="str">
        <f t="array" ref="G801">ifs(or($F801="",$F801="Main Primary Artist"),$F801,not(iserror(vlookup($F801,'Reference info'!$J$5:$J$8,1,0))),"Key Artist",not(iserror(vlookup($F801,'Reference info'!$J$38:$J$405,1,0))),"Performer",not(iserror(vlookup($F801,'Reference info'!$J$10:$J$36,1,0))),"Producer &amp; Engineer")</f>
        <v/>
      </c>
    </row>
    <row r="802">
      <c r="A802" s="28"/>
      <c r="B802" s="103"/>
      <c r="C802" s="121" t="str">
        <f t="array" ref="C802">ifs(and(isblank($A802),isblank($B802)),"", not(iserror(vlookup($A802&amp;$B802,'3) Release_Label'!$D:$D&amp;'3) Release_Label'!$E:$E,1,0))),vlookup($A802&amp;$B802,{'3) Release_Label'!$D:$D&amp;'3) Release_Label'!$E:$E,'3) Release_Label'!$F:$F},2,0), or(and(not(isblank($B802)),$B802=$B801,$A802&lt;&gt;$A801),and(not(isblank($A802)),$A802=$A801,$B802&lt;&gt;$B801)),"ID LISTS UNALIGNED",and($A802&lt;&gt;"",countif('3) Release_Label'!$D:$D,$A802)=0),"NO UPC MATCH in Release_Label",and($B802&lt;&gt;"",countif('3) Release_Label'!$E:$E,$B802)=0),"NO CATALOG ID MATCH in Release_Label",iserror(vlookup($A802&amp;$B802,'3) Release_Label'!$D:$D&amp;'3) Release_Label'!$E:$E,1,0)),"NO UPC-CATALOG ID pair MATCH in Release_Label" )</f>
        <v/>
      </c>
      <c r="D802" s="121" t="str">
        <f t="array" ref="D802">ifs(and(isblank($A802),isblank($B802)),"", not(iserror(vlookup($A802&amp;$B802,'3) Release_Label'!$D:$D&amp;'3) Release_Label'!$E:$E,1,0))),vlookup($A802&amp;$B802,{'3) Release_Label'!$D:$D&amp;'3) Release_Label'!$E:$E,'3) Release_Label'!$H:$H},2,0), or(and(not(isblank($B802)),$B802=$B801,$A802&lt;&gt;$A801),and(not(isblank($A802)),$A802=$A801,$B802&lt;&gt;$B801)),"ID LISTS UNALIGNED",and($A802&lt;&gt;"",countif('3) Release_Label'!$D:$D,$A802)=0),"NO UPC MATCH in Release_Label",and($B802&lt;&gt;"",countif('3) Release_Label'!$E:$E,$B802)=0),"NO CATALOG ID MATCH in Release_Label",iserror(vlookup($A802&amp;$B802,'3) Release_Label'!$D:$D&amp;'3) Release_Label'!$E:$E,1,0)),"NO UPC-CATALOG ID pair MATCH in Release_Label" )</f>
        <v/>
      </c>
      <c r="E802" s="99"/>
      <c r="F802" s="99"/>
      <c r="G802" s="123" t="str">
        <f t="array" ref="G802">ifs(or($F802="",$F802="Main Primary Artist"),$F802,not(iserror(vlookup($F802,'Reference info'!$J$5:$J$8,1,0))),"Key Artist",not(iserror(vlookup($F802,'Reference info'!$J$38:$J$405,1,0))),"Performer",not(iserror(vlookup($F802,'Reference info'!$J$10:$J$36,1,0))),"Producer &amp; Engineer")</f>
        <v/>
      </c>
    </row>
    <row r="803">
      <c r="A803" s="28"/>
      <c r="B803" s="103"/>
      <c r="C803" s="121" t="str">
        <f t="array" ref="C803">ifs(and(isblank($A803),isblank($B803)),"", not(iserror(vlookup($A803&amp;$B803,'3) Release_Label'!$D:$D&amp;'3) Release_Label'!$E:$E,1,0))),vlookup($A803&amp;$B803,{'3) Release_Label'!$D:$D&amp;'3) Release_Label'!$E:$E,'3) Release_Label'!$F:$F},2,0), or(and(not(isblank($B803)),$B803=$B802,$A803&lt;&gt;$A802),and(not(isblank($A803)),$A803=$A802,$B803&lt;&gt;$B802)),"ID LISTS UNALIGNED",and($A803&lt;&gt;"",countif('3) Release_Label'!$D:$D,$A803)=0),"NO UPC MATCH in Release_Label",and($B803&lt;&gt;"",countif('3) Release_Label'!$E:$E,$B803)=0),"NO CATALOG ID MATCH in Release_Label",iserror(vlookup($A803&amp;$B803,'3) Release_Label'!$D:$D&amp;'3) Release_Label'!$E:$E,1,0)),"NO UPC-CATALOG ID pair MATCH in Release_Label" )</f>
        <v/>
      </c>
      <c r="D803" s="121" t="str">
        <f t="array" ref="D803">ifs(and(isblank($A803),isblank($B803)),"", not(iserror(vlookup($A803&amp;$B803,'3) Release_Label'!$D:$D&amp;'3) Release_Label'!$E:$E,1,0))),vlookup($A803&amp;$B803,{'3) Release_Label'!$D:$D&amp;'3) Release_Label'!$E:$E,'3) Release_Label'!$H:$H},2,0), or(and(not(isblank($B803)),$B803=$B802,$A803&lt;&gt;$A802),and(not(isblank($A803)),$A803=$A802,$B803&lt;&gt;$B802)),"ID LISTS UNALIGNED",and($A803&lt;&gt;"",countif('3) Release_Label'!$D:$D,$A803)=0),"NO UPC MATCH in Release_Label",and($B803&lt;&gt;"",countif('3) Release_Label'!$E:$E,$B803)=0),"NO CATALOG ID MATCH in Release_Label",iserror(vlookup($A803&amp;$B803,'3) Release_Label'!$D:$D&amp;'3) Release_Label'!$E:$E,1,0)),"NO UPC-CATALOG ID pair MATCH in Release_Label" )</f>
        <v/>
      </c>
      <c r="E803" s="99"/>
      <c r="F803" s="99"/>
      <c r="G803" s="123" t="str">
        <f t="array" ref="G803">ifs(or($F803="",$F803="Main Primary Artist"),$F803,not(iserror(vlookup($F803,'Reference info'!$J$5:$J$8,1,0))),"Key Artist",not(iserror(vlookup($F803,'Reference info'!$J$38:$J$405,1,0))),"Performer",not(iserror(vlookup($F803,'Reference info'!$J$10:$J$36,1,0))),"Producer &amp; Engineer")</f>
        <v/>
      </c>
    </row>
    <row r="804">
      <c r="A804" s="28"/>
      <c r="B804" s="103"/>
      <c r="C804" s="121" t="str">
        <f t="array" ref="C804">ifs(and(isblank($A804),isblank($B804)),"", not(iserror(vlookup($A804&amp;$B804,'3) Release_Label'!$D:$D&amp;'3) Release_Label'!$E:$E,1,0))),vlookup($A804&amp;$B804,{'3) Release_Label'!$D:$D&amp;'3) Release_Label'!$E:$E,'3) Release_Label'!$F:$F},2,0), or(and(not(isblank($B804)),$B804=$B803,$A804&lt;&gt;$A803),and(not(isblank($A804)),$A804=$A803,$B804&lt;&gt;$B803)),"ID LISTS UNALIGNED",and($A804&lt;&gt;"",countif('3) Release_Label'!$D:$D,$A804)=0),"NO UPC MATCH in Release_Label",and($B804&lt;&gt;"",countif('3) Release_Label'!$E:$E,$B804)=0),"NO CATALOG ID MATCH in Release_Label",iserror(vlookup($A804&amp;$B804,'3) Release_Label'!$D:$D&amp;'3) Release_Label'!$E:$E,1,0)),"NO UPC-CATALOG ID pair MATCH in Release_Label" )</f>
        <v/>
      </c>
      <c r="D804" s="121" t="str">
        <f t="array" ref="D804">ifs(and(isblank($A804),isblank($B804)),"", not(iserror(vlookup($A804&amp;$B804,'3) Release_Label'!$D:$D&amp;'3) Release_Label'!$E:$E,1,0))),vlookup($A804&amp;$B804,{'3) Release_Label'!$D:$D&amp;'3) Release_Label'!$E:$E,'3) Release_Label'!$H:$H},2,0), or(and(not(isblank($B804)),$B804=$B803,$A804&lt;&gt;$A803),and(not(isblank($A804)),$A804=$A803,$B804&lt;&gt;$B803)),"ID LISTS UNALIGNED",and($A804&lt;&gt;"",countif('3) Release_Label'!$D:$D,$A804)=0),"NO UPC MATCH in Release_Label",and($B804&lt;&gt;"",countif('3) Release_Label'!$E:$E,$B804)=0),"NO CATALOG ID MATCH in Release_Label",iserror(vlookup($A804&amp;$B804,'3) Release_Label'!$D:$D&amp;'3) Release_Label'!$E:$E,1,0)),"NO UPC-CATALOG ID pair MATCH in Release_Label" )</f>
        <v/>
      </c>
      <c r="E804" s="99"/>
      <c r="F804" s="99"/>
      <c r="G804" s="123" t="str">
        <f t="array" ref="G804">ifs(or($F804="",$F804="Main Primary Artist"),$F804,not(iserror(vlookup($F804,'Reference info'!$J$5:$J$8,1,0))),"Key Artist",not(iserror(vlookup($F804,'Reference info'!$J$38:$J$405,1,0))),"Performer",not(iserror(vlookup($F804,'Reference info'!$J$10:$J$36,1,0))),"Producer &amp; Engineer")</f>
        <v/>
      </c>
    </row>
    <row r="805">
      <c r="A805" s="28"/>
      <c r="B805" s="103"/>
      <c r="C805" s="121" t="str">
        <f t="array" ref="C805">ifs(and(isblank($A805),isblank($B805)),"", not(iserror(vlookup($A805&amp;$B805,'3) Release_Label'!$D:$D&amp;'3) Release_Label'!$E:$E,1,0))),vlookup($A805&amp;$B805,{'3) Release_Label'!$D:$D&amp;'3) Release_Label'!$E:$E,'3) Release_Label'!$F:$F},2,0), or(and(not(isblank($B805)),$B805=$B804,$A805&lt;&gt;$A804),and(not(isblank($A805)),$A805=$A804,$B805&lt;&gt;$B804)),"ID LISTS UNALIGNED",and($A805&lt;&gt;"",countif('3) Release_Label'!$D:$D,$A805)=0),"NO UPC MATCH in Release_Label",and($B805&lt;&gt;"",countif('3) Release_Label'!$E:$E,$B805)=0),"NO CATALOG ID MATCH in Release_Label",iserror(vlookup($A805&amp;$B805,'3) Release_Label'!$D:$D&amp;'3) Release_Label'!$E:$E,1,0)),"NO UPC-CATALOG ID pair MATCH in Release_Label" )</f>
        <v/>
      </c>
      <c r="D805" s="121" t="str">
        <f t="array" ref="D805">ifs(and(isblank($A805),isblank($B805)),"", not(iserror(vlookup($A805&amp;$B805,'3) Release_Label'!$D:$D&amp;'3) Release_Label'!$E:$E,1,0))),vlookup($A805&amp;$B805,{'3) Release_Label'!$D:$D&amp;'3) Release_Label'!$E:$E,'3) Release_Label'!$H:$H},2,0), or(and(not(isblank($B805)),$B805=$B804,$A805&lt;&gt;$A804),and(not(isblank($A805)),$A805=$A804,$B805&lt;&gt;$B804)),"ID LISTS UNALIGNED",and($A805&lt;&gt;"",countif('3) Release_Label'!$D:$D,$A805)=0),"NO UPC MATCH in Release_Label",and($B805&lt;&gt;"",countif('3) Release_Label'!$E:$E,$B805)=0),"NO CATALOG ID MATCH in Release_Label",iserror(vlookup($A805&amp;$B805,'3) Release_Label'!$D:$D&amp;'3) Release_Label'!$E:$E,1,0)),"NO UPC-CATALOG ID pair MATCH in Release_Label" )</f>
        <v/>
      </c>
      <c r="E805" s="99"/>
      <c r="F805" s="99"/>
      <c r="G805" s="123" t="str">
        <f t="array" ref="G805">ifs(or($F805="",$F805="Main Primary Artist"),$F805,not(iserror(vlookup($F805,'Reference info'!$J$5:$J$8,1,0))),"Key Artist",not(iserror(vlookup($F805,'Reference info'!$J$38:$J$405,1,0))),"Performer",not(iserror(vlookup($F805,'Reference info'!$J$10:$J$36,1,0))),"Producer &amp; Engineer")</f>
        <v/>
      </c>
    </row>
    <row r="806">
      <c r="A806" s="28"/>
      <c r="B806" s="103"/>
      <c r="C806" s="121" t="str">
        <f t="array" ref="C806">ifs(and(isblank($A806),isblank($B806)),"", not(iserror(vlookup($A806&amp;$B806,'3) Release_Label'!$D:$D&amp;'3) Release_Label'!$E:$E,1,0))),vlookup($A806&amp;$B806,{'3) Release_Label'!$D:$D&amp;'3) Release_Label'!$E:$E,'3) Release_Label'!$F:$F},2,0), or(and(not(isblank($B806)),$B806=$B805,$A806&lt;&gt;$A805),and(not(isblank($A806)),$A806=$A805,$B806&lt;&gt;$B805)),"ID LISTS UNALIGNED",and($A806&lt;&gt;"",countif('3) Release_Label'!$D:$D,$A806)=0),"NO UPC MATCH in Release_Label",and($B806&lt;&gt;"",countif('3) Release_Label'!$E:$E,$B806)=0),"NO CATALOG ID MATCH in Release_Label",iserror(vlookup($A806&amp;$B806,'3) Release_Label'!$D:$D&amp;'3) Release_Label'!$E:$E,1,0)),"NO UPC-CATALOG ID pair MATCH in Release_Label" )</f>
        <v/>
      </c>
      <c r="D806" s="121" t="str">
        <f t="array" ref="D806">ifs(and(isblank($A806),isblank($B806)),"", not(iserror(vlookup($A806&amp;$B806,'3) Release_Label'!$D:$D&amp;'3) Release_Label'!$E:$E,1,0))),vlookup($A806&amp;$B806,{'3) Release_Label'!$D:$D&amp;'3) Release_Label'!$E:$E,'3) Release_Label'!$H:$H},2,0), or(and(not(isblank($B806)),$B806=$B805,$A806&lt;&gt;$A805),and(not(isblank($A806)),$A806=$A805,$B806&lt;&gt;$B805)),"ID LISTS UNALIGNED",and($A806&lt;&gt;"",countif('3) Release_Label'!$D:$D,$A806)=0),"NO UPC MATCH in Release_Label",and($B806&lt;&gt;"",countif('3) Release_Label'!$E:$E,$B806)=0),"NO CATALOG ID MATCH in Release_Label",iserror(vlookup($A806&amp;$B806,'3) Release_Label'!$D:$D&amp;'3) Release_Label'!$E:$E,1,0)),"NO UPC-CATALOG ID pair MATCH in Release_Label" )</f>
        <v/>
      </c>
      <c r="E806" s="99"/>
      <c r="F806" s="99"/>
      <c r="G806" s="123" t="str">
        <f t="array" ref="G806">ifs(or($F806="",$F806="Main Primary Artist"),$F806,not(iserror(vlookup($F806,'Reference info'!$J$5:$J$8,1,0))),"Key Artist",not(iserror(vlookup($F806,'Reference info'!$J$38:$J$405,1,0))),"Performer",not(iserror(vlookup($F806,'Reference info'!$J$10:$J$36,1,0))),"Producer &amp; Engineer")</f>
        <v/>
      </c>
    </row>
    <row r="807">
      <c r="A807" s="28"/>
      <c r="B807" s="103"/>
      <c r="C807" s="121" t="str">
        <f t="array" ref="C807">ifs(and(isblank($A807),isblank($B807)),"", not(iserror(vlookup($A807&amp;$B807,'3) Release_Label'!$D:$D&amp;'3) Release_Label'!$E:$E,1,0))),vlookup($A807&amp;$B807,{'3) Release_Label'!$D:$D&amp;'3) Release_Label'!$E:$E,'3) Release_Label'!$F:$F},2,0), or(and(not(isblank($B807)),$B807=$B806,$A807&lt;&gt;$A806),and(not(isblank($A807)),$A807=$A806,$B807&lt;&gt;$B806)),"ID LISTS UNALIGNED",and($A807&lt;&gt;"",countif('3) Release_Label'!$D:$D,$A807)=0),"NO UPC MATCH in Release_Label",and($B807&lt;&gt;"",countif('3) Release_Label'!$E:$E,$B807)=0),"NO CATALOG ID MATCH in Release_Label",iserror(vlookup($A807&amp;$B807,'3) Release_Label'!$D:$D&amp;'3) Release_Label'!$E:$E,1,0)),"NO UPC-CATALOG ID pair MATCH in Release_Label" )</f>
        <v/>
      </c>
      <c r="D807" s="121" t="str">
        <f t="array" ref="D807">ifs(and(isblank($A807),isblank($B807)),"", not(iserror(vlookup($A807&amp;$B807,'3) Release_Label'!$D:$D&amp;'3) Release_Label'!$E:$E,1,0))),vlookup($A807&amp;$B807,{'3) Release_Label'!$D:$D&amp;'3) Release_Label'!$E:$E,'3) Release_Label'!$H:$H},2,0), or(and(not(isblank($B807)),$B807=$B806,$A807&lt;&gt;$A806),and(not(isblank($A807)),$A807=$A806,$B807&lt;&gt;$B806)),"ID LISTS UNALIGNED",and($A807&lt;&gt;"",countif('3) Release_Label'!$D:$D,$A807)=0),"NO UPC MATCH in Release_Label",and($B807&lt;&gt;"",countif('3) Release_Label'!$E:$E,$B807)=0),"NO CATALOG ID MATCH in Release_Label",iserror(vlookup($A807&amp;$B807,'3) Release_Label'!$D:$D&amp;'3) Release_Label'!$E:$E,1,0)),"NO UPC-CATALOG ID pair MATCH in Release_Label" )</f>
        <v/>
      </c>
      <c r="E807" s="99"/>
      <c r="F807" s="99"/>
      <c r="G807" s="123" t="str">
        <f t="array" ref="G807">ifs(or($F807="",$F807="Main Primary Artist"),$F807,not(iserror(vlookup($F807,'Reference info'!$J$5:$J$8,1,0))),"Key Artist",not(iserror(vlookup($F807,'Reference info'!$J$38:$J$405,1,0))),"Performer",not(iserror(vlookup($F807,'Reference info'!$J$10:$J$36,1,0))),"Producer &amp; Engineer")</f>
        <v/>
      </c>
    </row>
    <row r="808">
      <c r="A808" s="28"/>
      <c r="B808" s="103"/>
      <c r="C808" s="121" t="str">
        <f t="array" ref="C808">ifs(and(isblank($A808),isblank($B808)),"", not(iserror(vlookup($A808&amp;$B808,'3) Release_Label'!$D:$D&amp;'3) Release_Label'!$E:$E,1,0))),vlookup($A808&amp;$B808,{'3) Release_Label'!$D:$D&amp;'3) Release_Label'!$E:$E,'3) Release_Label'!$F:$F},2,0), or(and(not(isblank($B808)),$B808=$B807,$A808&lt;&gt;$A807),and(not(isblank($A808)),$A808=$A807,$B808&lt;&gt;$B807)),"ID LISTS UNALIGNED",and($A808&lt;&gt;"",countif('3) Release_Label'!$D:$D,$A808)=0),"NO UPC MATCH in Release_Label",and($B808&lt;&gt;"",countif('3) Release_Label'!$E:$E,$B808)=0),"NO CATALOG ID MATCH in Release_Label",iserror(vlookup($A808&amp;$B808,'3) Release_Label'!$D:$D&amp;'3) Release_Label'!$E:$E,1,0)),"NO UPC-CATALOG ID pair MATCH in Release_Label" )</f>
        <v/>
      </c>
      <c r="D808" s="121" t="str">
        <f t="array" ref="D808">ifs(and(isblank($A808),isblank($B808)),"", not(iserror(vlookup($A808&amp;$B808,'3) Release_Label'!$D:$D&amp;'3) Release_Label'!$E:$E,1,0))),vlookup($A808&amp;$B808,{'3) Release_Label'!$D:$D&amp;'3) Release_Label'!$E:$E,'3) Release_Label'!$H:$H},2,0), or(and(not(isblank($B808)),$B808=$B807,$A808&lt;&gt;$A807),and(not(isblank($A808)),$A808=$A807,$B808&lt;&gt;$B807)),"ID LISTS UNALIGNED",and($A808&lt;&gt;"",countif('3) Release_Label'!$D:$D,$A808)=0),"NO UPC MATCH in Release_Label",and($B808&lt;&gt;"",countif('3) Release_Label'!$E:$E,$B808)=0),"NO CATALOG ID MATCH in Release_Label",iserror(vlookup($A808&amp;$B808,'3) Release_Label'!$D:$D&amp;'3) Release_Label'!$E:$E,1,0)),"NO UPC-CATALOG ID pair MATCH in Release_Label" )</f>
        <v/>
      </c>
      <c r="E808" s="99"/>
      <c r="F808" s="99"/>
      <c r="G808" s="123" t="str">
        <f t="array" ref="G808">ifs(or($F808="",$F808="Main Primary Artist"),$F808,not(iserror(vlookup($F808,'Reference info'!$J$5:$J$8,1,0))),"Key Artist",not(iserror(vlookup($F808,'Reference info'!$J$38:$J$405,1,0))),"Performer",not(iserror(vlookup($F808,'Reference info'!$J$10:$J$36,1,0))),"Producer &amp; Engineer")</f>
        <v/>
      </c>
    </row>
    <row r="809">
      <c r="A809" s="28"/>
      <c r="B809" s="103"/>
      <c r="C809" s="121" t="str">
        <f t="array" ref="C809">ifs(and(isblank($A809),isblank($B809)),"", not(iserror(vlookup($A809&amp;$B809,'3) Release_Label'!$D:$D&amp;'3) Release_Label'!$E:$E,1,0))),vlookup($A809&amp;$B809,{'3) Release_Label'!$D:$D&amp;'3) Release_Label'!$E:$E,'3) Release_Label'!$F:$F},2,0), or(and(not(isblank($B809)),$B809=$B808,$A809&lt;&gt;$A808),and(not(isblank($A809)),$A809=$A808,$B809&lt;&gt;$B808)),"ID LISTS UNALIGNED",and($A809&lt;&gt;"",countif('3) Release_Label'!$D:$D,$A809)=0),"NO UPC MATCH in Release_Label",and($B809&lt;&gt;"",countif('3) Release_Label'!$E:$E,$B809)=0),"NO CATALOG ID MATCH in Release_Label",iserror(vlookup($A809&amp;$B809,'3) Release_Label'!$D:$D&amp;'3) Release_Label'!$E:$E,1,0)),"NO UPC-CATALOG ID pair MATCH in Release_Label" )</f>
        <v/>
      </c>
      <c r="D809" s="121" t="str">
        <f t="array" ref="D809">ifs(and(isblank($A809),isblank($B809)),"", not(iserror(vlookup($A809&amp;$B809,'3) Release_Label'!$D:$D&amp;'3) Release_Label'!$E:$E,1,0))),vlookup($A809&amp;$B809,{'3) Release_Label'!$D:$D&amp;'3) Release_Label'!$E:$E,'3) Release_Label'!$H:$H},2,0), or(and(not(isblank($B809)),$B809=$B808,$A809&lt;&gt;$A808),and(not(isblank($A809)),$A809=$A808,$B809&lt;&gt;$B808)),"ID LISTS UNALIGNED",and($A809&lt;&gt;"",countif('3) Release_Label'!$D:$D,$A809)=0),"NO UPC MATCH in Release_Label",and($B809&lt;&gt;"",countif('3) Release_Label'!$E:$E,$B809)=0),"NO CATALOG ID MATCH in Release_Label",iserror(vlookup($A809&amp;$B809,'3) Release_Label'!$D:$D&amp;'3) Release_Label'!$E:$E,1,0)),"NO UPC-CATALOG ID pair MATCH in Release_Label" )</f>
        <v/>
      </c>
      <c r="E809" s="99"/>
      <c r="F809" s="99"/>
      <c r="G809" s="123" t="str">
        <f t="array" ref="G809">ifs(or($F809="",$F809="Main Primary Artist"),$F809,not(iserror(vlookup($F809,'Reference info'!$J$5:$J$8,1,0))),"Key Artist",not(iserror(vlookup($F809,'Reference info'!$J$38:$J$405,1,0))),"Performer",not(iserror(vlookup($F809,'Reference info'!$J$10:$J$36,1,0))),"Producer &amp; Engineer")</f>
        <v/>
      </c>
    </row>
    <row r="810">
      <c r="A810" s="28"/>
      <c r="B810" s="103"/>
      <c r="C810" s="121" t="str">
        <f t="array" ref="C810">ifs(and(isblank($A810),isblank($B810)),"", not(iserror(vlookup($A810&amp;$B810,'3) Release_Label'!$D:$D&amp;'3) Release_Label'!$E:$E,1,0))),vlookup($A810&amp;$B810,{'3) Release_Label'!$D:$D&amp;'3) Release_Label'!$E:$E,'3) Release_Label'!$F:$F},2,0), or(and(not(isblank($B810)),$B810=$B809,$A810&lt;&gt;$A809),and(not(isblank($A810)),$A810=$A809,$B810&lt;&gt;$B809)),"ID LISTS UNALIGNED",and($A810&lt;&gt;"",countif('3) Release_Label'!$D:$D,$A810)=0),"NO UPC MATCH in Release_Label",and($B810&lt;&gt;"",countif('3) Release_Label'!$E:$E,$B810)=0),"NO CATALOG ID MATCH in Release_Label",iserror(vlookup($A810&amp;$B810,'3) Release_Label'!$D:$D&amp;'3) Release_Label'!$E:$E,1,0)),"NO UPC-CATALOG ID pair MATCH in Release_Label" )</f>
        <v/>
      </c>
      <c r="D810" s="121" t="str">
        <f t="array" ref="D810">ifs(and(isblank($A810),isblank($B810)),"", not(iserror(vlookup($A810&amp;$B810,'3) Release_Label'!$D:$D&amp;'3) Release_Label'!$E:$E,1,0))),vlookup($A810&amp;$B810,{'3) Release_Label'!$D:$D&amp;'3) Release_Label'!$E:$E,'3) Release_Label'!$H:$H},2,0), or(and(not(isblank($B810)),$B810=$B809,$A810&lt;&gt;$A809),and(not(isblank($A810)),$A810=$A809,$B810&lt;&gt;$B809)),"ID LISTS UNALIGNED",and($A810&lt;&gt;"",countif('3) Release_Label'!$D:$D,$A810)=0),"NO UPC MATCH in Release_Label",and($B810&lt;&gt;"",countif('3) Release_Label'!$E:$E,$B810)=0),"NO CATALOG ID MATCH in Release_Label",iserror(vlookup($A810&amp;$B810,'3) Release_Label'!$D:$D&amp;'3) Release_Label'!$E:$E,1,0)),"NO UPC-CATALOG ID pair MATCH in Release_Label" )</f>
        <v/>
      </c>
      <c r="E810" s="99"/>
      <c r="F810" s="99"/>
      <c r="G810" s="123" t="str">
        <f t="array" ref="G810">ifs(or($F810="",$F810="Main Primary Artist"),$F810,not(iserror(vlookup($F810,'Reference info'!$J$5:$J$8,1,0))),"Key Artist",not(iserror(vlookup($F810,'Reference info'!$J$38:$J$405,1,0))),"Performer",not(iserror(vlookup($F810,'Reference info'!$J$10:$J$36,1,0))),"Producer &amp; Engineer")</f>
        <v/>
      </c>
    </row>
    <row r="811">
      <c r="A811" s="28"/>
      <c r="B811" s="103"/>
      <c r="C811" s="121" t="str">
        <f t="array" ref="C811">ifs(and(isblank($A811),isblank($B811)),"", not(iserror(vlookup($A811&amp;$B811,'3) Release_Label'!$D:$D&amp;'3) Release_Label'!$E:$E,1,0))),vlookup($A811&amp;$B811,{'3) Release_Label'!$D:$D&amp;'3) Release_Label'!$E:$E,'3) Release_Label'!$F:$F},2,0), or(and(not(isblank($B811)),$B811=$B810,$A811&lt;&gt;$A810),and(not(isblank($A811)),$A811=$A810,$B811&lt;&gt;$B810)),"ID LISTS UNALIGNED",and($A811&lt;&gt;"",countif('3) Release_Label'!$D:$D,$A811)=0),"NO UPC MATCH in Release_Label",and($B811&lt;&gt;"",countif('3) Release_Label'!$E:$E,$B811)=0),"NO CATALOG ID MATCH in Release_Label",iserror(vlookup($A811&amp;$B811,'3) Release_Label'!$D:$D&amp;'3) Release_Label'!$E:$E,1,0)),"NO UPC-CATALOG ID pair MATCH in Release_Label" )</f>
        <v/>
      </c>
      <c r="D811" s="121" t="str">
        <f t="array" ref="D811">ifs(and(isblank($A811),isblank($B811)),"", not(iserror(vlookup($A811&amp;$B811,'3) Release_Label'!$D:$D&amp;'3) Release_Label'!$E:$E,1,0))),vlookup($A811&amp;$B811,{'3) Release_Label'!$D:$D&amp;'3) Release_Label'!$E:$E,'3) Release_Label'!$H:$H},2,0), or(and(not(isblank($B811)),$B811=$B810,$A811&lt;&gt;$A810),and(not(isblank($A811)),$A811=$A810,$B811&lt;&gt;$B810)),"ID LISTS UNALIGNED",and($A811&lt;&gt;"",countif('3) Release_Label'!$D:$D,$A811)=0),"NO UPC MATCH in Release_Label",and($B811&lt;&gt;"",countif('3) Release_Label'!$E:$E,$B811)=0),"NO CATALOG ID MATCH in Release_Label",iserror(vlookup($A811&amp;$B811,'3) Release_Label'!$D:$D&amp;'3) Release_Label'!$E:$E,1,0)),"NO UPC-CATALOG ID pair MATCH in Release_Label" )</f>
        <v/>
      </c>
      <c r="E811" s="99"/>
      <c r="F811" s="99"/>
      <c r="G811" s="123" t="str">
        <f t="array" ref="G811">ifs(or($F811="",$F811="Main Primary Artist"),$F811,not(iserror(vlookup($F811,'Reference info'!$J$5:$J$8,1,0))),"Key Artist",not(iserror(vlookup($F811,'Reference info'!$J$38:$J$405,1,0))),"Performer",not(iserror(vlookup($F811,'Reference info'!$J$10:$J$36,1,0))),"Producer &amp; Engineer")</f>
        <v/>
      </c>
    </row>
    <row r="812">
      <c r="A812" s="28"/>
      <c r="B812" s="103"/>
      <c r="C812" s="121" t="str">
        <f t="array" ref="C812">ifs(and(isblank($A812),isblank($B812)),"", not(iserror(vlookup($A812&amp;$B812,'3) Release_Label'!$D:$D&amp;'3) Release_Label'!$E:$E,1,0))),vlookup($A812&amp;$B812,{'3) Release_Label'!$D:$D&amp;'3) Release_Label'!$E:$E,'3) Release_Label'!$F:$F},2,0), or(and(not(isblank($B812)),$B812=$B811,$A812&lt;&gt;$A811),and(not(isblank($A812)),$A812=$A811,$B812&lt;&gt;$B811)),"ID LISTS UNALIGNED",and($A812&lt;&gt;"",countif('3) Release_Label'!$D:$D,$A812)=0),"NO UPC MATCH in Release_Label",and($B812&lt;&gt;"",countif('3) Release_Label'!$E:$E,$B812)=0),"NO CATALOG ID MATCH in Release_Label",iserror(vlookup($A812&amp;$B812,'3) Release_Label'!$D:$D&amp;'3) Release_Label'!$E:$E,1,0)),"NO UPC-CATALOG ID pair MATCH in Release_Label" )</f>
        <v/>
      </c>
      <c r="D812" s="121" t="str">
        <f t="array" ref="D812">ifs(and(isblank($A812),isblank($B812)),"", not(iserror(vlookup($A812&amp;$B812,'3) Release_Label'!$D:$D&amp;'3) Release_Label'!$E:$E,1,0))),vlookup($A812&amp;$B812,{'3) Release_Label'!$D:$D&amp;'3) Release_Label'!$E:$E,'3) Release_Label'!$H:$H},2,0), or(and(not(isblank($B812)),$B812=$B811,$A812&lt;&gt;$A811),and(not(isblank($A812)),$A812=$A811,$B812&lt;&gt;$B811)),"ID LISTS UNALIGNED",and($A812&lt;&gt;"",countif('3) Release_Label'!$D:$D,$A812)=0),"NO UPC MATCH in Release_Label",and($B812&lt;&gt;"",countif('3) Release_Label'!$E:$E,$B812)=0),"NO CATALOG ID MATCH in Release_Label",iserror(vlookup($A812&amp;$B812,'3) Release_Label'!$D:$D&amp;'3) Release_Label'!$E:$E,1,0)),"NO UPC-CATALOG ID pair MATCH in Release_Label" )</f>
        <v/>
      </c>
      <c r="E812" s="99"/>
      <c r="F812" s="99"/>
      <c r="G812" s="123" t="str">
        <f t="array" ref="G812">ifs(or($F812="",$F812="Main Primary Artist"),$F812,not(iserror(vlookup($F812,'Reference info'!$J$5:$J$8,1,0))),"Key Artist",not(iserror(vlookup($F812,'Reference info'!$J$38:$J$405,1,0))),"Performer",not(iserror(vlookup($F812,'Reference info'!$J$10:$J$36,1,0))),"Producer &amp; Engineer")</f>
        <v/>
      </c>
    </row>
    <row r="813">
      <c r="A813" s="28"/>
      <c r="B813" s="103"/>
      <c r="C813" s="121" t="str">
        <f t="array" ref="C813">ifs(and(isblank($A813),isblank($B813)),"", not(iserror(vlookup($A813&amp;$B813,'3) Release_Label'!$D:$D&amp;'3) Release_Label'!$E:$E,1,0))),vlookup($A813&amp;$B813,{'3) Release_Label'!$D:$D&amp;'3) Release_Label'!$E:$E,'3) Release_Label'!$F:$F},2,0), or(and(not(isblank($B813)),$B813=$B812,$A813&lt;&gt;$A812),and(not(isblank($A813)),$A813=$A812,$B813&lt;&gt;$B812)),"ID LISTS UNALIGNED",and($A813&lt;&gt;"",countif('3) Release_Label'!$D:$D,$A813)=0),"NO UPC MATCH in Release_Label",and($B813&lt;&gt;"",countif('3) Release_Label'!$E:$E,$B813)=0),"NO CATALOG ID MATCH in Release_Label",iserror(vlookup($A813&amp;$B813,'3) Release_Label'!$D:$D&amp;'3) Release_Label'!$E:$E,1,0)),"NO UPC-CATALOG ID pair MATCH in Release_Label" )</f>
        <v/>
      </c>
      <c r="D813" s="121" t="str">
        <f t="array" ref="D813">ifs(and(isblank($A813),isblank($B813)),"", not(iserror(vlookup($A813&amp;$B813,'3) Release_Label'!$D:$D&amp;'3) Release_Label'!$E:$E,1,0))),vlookup($A813&amp;$B813,{'3) Release_Label'!$D:$D&amp;'3) Release_Label'!$E:$E,'3) Release_Label'!$H:$H},2,0), or(and(not(isblank($B813)),$B813=$B812,$A813&lt;&gt;$A812),and(not(isblank($A813)),$A813=$A812,$B813&lt;&gt;$B812)),"ID LISTS UNALIGNED",and($A813&lt;&gt;"",countif('3) Release_Label'!$D:$D,$A813)=0),"NO UPC MATCH in Release_Label",and($B813&lt;&gt;"",countif('3) Release_Label'!$E:$E,$B813)=0),"NO CATALOG ID MATCH in Release_Label",iserror(vlookup($A813&amp;$B813,'3) Release_Label'!$D:$D&amp;'3) Release_Label'!$E:$E,1,0)),"NO UPC-CATALOG ID pair MATCH in Release_Label" )</f>
        <v/>
      </c>
      <c r="E813" s="99"/>
      <c r="F813" s="99"/>
      <c r="G813" s="123" t="str">
        <f t="array" ref="G813">ifs(or($F813="",$F813="Main Primary Artist"),$F813,not(iserror(vlookup($F813,'Reference info'!$J$5:$J$8,1,0))),"Key Artist",not(iserror(vlookup($F813,'Reference info'!$J$38:$J$405,1,0))),"Performer",not(iserror(vlookup($F813,'Reference info'!$J$10:$J$36,1,0))),"Producer &amp; Engineer")</f>
        <v/>
      </c>
    </row>
    <row r="814">
      <c r="A814" s="28"/>
      <c r="B814" s="103"/>
      <c r="C814" s="121" t="str">
        <f t="array" ref="C814">ifs(and(isblank($A814),isblank($B814)),"", not(iserror(vlookup($A814&amp;$B814,'3) Release_Label'!$D:$D&amp;'3) Release_Label'!$E:$E,1,0))),vlookup($A814&amp;$B814,{'3) Release_Label'!$D:$D&amp;'3) Release_Label'!$E:$E,'3) Release_Label'!$F:$F},2,0), or(and(not(isblank($B814)),$B814=$B813,$A814&lt;&gt;$A813),and(not(isblank($A814)),$A814=$A813,$B814&lt;&gt;$B813)),"ID LISTS UNALIGNED",and($A814&lt;&gt;"",countif('3) Release_Label'!$D:$D,$A814)=0),"NO UPC MATCH in Release_Label",and($B814&lt;&gt;"",countif('3) Release_Label'!$E:$E,$B814)=0),"NO CATALOG ID MATCH in Release_Label",iserror(vlookup($A814&amp;$B814,'3) Release_Label'!$D:$D&amp;'3) Release_Label'!$E:$E,1,0)),"NO UPC-CATALOG ID pair MATCH in Release_Label" )</f>
        <v/>
      </c>
      <c r="D814" s="121" t="str">
        <f t="array" ref="D814">ifs(and(isblank($A814),isblank($B814)),"", not(iserror(vlookup($A814&amp;$B814,'3) Release_Label'!$D:$D&amp;'3) Release_Label'!$E:$E,1,0))),vlookup($A814&amp;$B814,{'3) Release_Label'!$D:$D&amp;'3) Release_Label'!$E:$E,'3) Release_Label'!$H:$H},2,0), or(and(not(isblank($B814)),$B814=$B813,$A814&lt;&gt;$A813),and(not(isblank($A814)),$A814=$A813,$B814&lt;&gt;$B813)),"ID LISTS UNALIGNED",and($A814&lt;&gt;"",countif('3) Release_Label'!$D:$D,$A814)=0),"NO UPC MATCH in Release_Label",and($B814&lt;&gt;"",countif('3) Release_Label'!$E:$E,$B814)=0),"NO CATALOG ID MATCH in Release_Label",iserror(vlookup($A814&amp;$B814,'3) Release_Label'!$D:$D&amp;'3) Release_Label'!$E:$E,1,0)),"NO UPC-CATALOG ID pair MATCH in Release_Label" )</f>
        <v/>
      </c>
      <c r="E814" s="99"/>
      <c r="F814" s="99"/>
      <c r="G814" s="123" t="str">
        <f t="array" ref="G814">ifs(or($F814="",$F814="Main Primary Artist"),$F814,not(iserror(vlookup($F814,'Reference info'!$J$5:$J$8,1,0))),"Key Artist",not(iserror(vlookup($F814,'Reference info'!$J$38:$J$405,1,0))),"Performer",not(iserror(vlookup($F814,'Reference info'!$J$10:$J$36,1,0))),"Producer &amp; Engineer")</f>
        <v/>
      </c>
    </row>
    <row r="815">
      <c r="A815" s="28"/>
      <c r="B815" s="103"/>
      <c r="C815" s="121" t="str">
        <f t="array" ref="C815">ifs(and(isblank($A815),isblank($B815)),"", not(iserror(vlookup($A815&amp;$B815,'3) Release_Label'!$D:$D&amp;'3) Release_Label'!$E:$E,1,0))),vlookup($A815&amp;$B815,{'3) Release_Label'!$D:$D&amp;'3) Release_Label'!$E:$E,'3) Release_Label'!$F:$F},2,0), or(and(not(isblank($B815)),$B815=$B814,$A815&lt;&gt;$A814),and(not(isblank($A815)),$A815=$A814,$B815&lt;&gt;$B814)),"ID LISTS UNALIGNED",and($A815&lt;&gt;"",countif('3) Release_Label'!$D:$D,$A815)=0),"NO UPC MATCH in Release_Label",and($B815&lt;&gt;"",countif('3) Release_Label'!$E:$E,$B815)=0),"NO CATALOG ID MATCH in Release_Label",iserror(vlookup($A815&amp;$B815,'3) Release_Label'!$D:$D&amp;'3) Release_Label'!$E:$E,1,0)),"NO UPC-CATALOG ID pair MATCH in Release_Label" )</f>
        <v/>
      </c>
      <c r="D815" s="121" t="str">
        <f t="array" ref="D815">ifs(and(isblank($A815),isblank($B815)),"", not(iserror(vlookup($A815&amp;$B815,'3) Release_Label'!$D:$D&amp;'3) Release_Label'!$E:$E,1,0))),vlookup($A815&amp;$B815,{'3) Release_Label'!$D:$D&amp;'3) Release_Label'!$E:$E,'3) Release_Label'!$H:$H},2,0), or(and(not(isblank($B815)),$B815=$B814,$A815&lt;&gt;$A814),and(not(isblank($A815)),$A815=$A814,$B815&lt;&gt;$B814)),"ID LISTS UNALIGNED",and($A815&lt;&gt;"",countif('3) Release_Label'!$D:$D,$A815)=0),"NO UPC MATCH in Release_Label",and($B815&lt;&gt;"",countif('3) Release_Label'!$E:$E,$B815)=0),"NO CATALOG ID MATCH in Release_Label",iserror(vlookup($A815&amp;$B815,'3) Release_Label'!$D:$D&amp;'3) Release_Label'!$E:$E,1,0)),"NO UPC-CATALOG ID pair MATCH in Release_Label" )</f>
        <v/>
      </c>
      <c r="E815" s="99"/>
      <c r="F815" s="99"/>
      <c r="G815" s="123" t="str">
        <f t="array" ref="G815">ifs(or($F815="",$F815="Main Primary Artist"),$F815,not(iserror(vlookup($F815,'Reference info'!$J$5:$J$8,1,0))),"Key Artist",not(iserror(vlookup($F815,'Reference info'!$J$38:$J$405,1,0))),"Performer",not(iserror(vlookup($F815,'Reference info'!$J$10:$J$36,1,0))),"Producer &amp; Engineer")</f>
        <v/>
      </c>
    </row>
    <row r="816">
      <c r="A816" s="28"/>
      <c r="B816" s="103"/>
      <c r="C816" s="121" t="str">
        <f t="array" ref="C816">ifs(and(isblank($A816),isblank($B816)),"", not(iserror(vlookup($A816&amp;$B816,'3) Release_Label'!$D:$D&amp;'3) Release_Label'!$E:$E,1,0))),vlookup($A816&amp;$B816,{'3) Release_Label'!$D:$D&amp;'3) Release_Label'!$E:$E,'3) Release_Label'!$F:$F},2,0), or(and(not(isblank($B816)),$B816=$B815,$A816&lt;&gt;$A815),and(not(isblank($A816)),$A816=$A815,$B816&lt;&gt;$B815)),"ID LISTS UNALIGNED",and($A816&lt;&gt;"",countif('3) Release_Label'!$D:$D,$A816)=0),"NO UPC MATCH in Release_Label",and($B816&lt;&gt;"",countif('3) Release_Label'!$E:$E,$B816)=0),"NO CATALOG ID MATCH in Release_Label",iserror(vlookup($A816&amp;$B816,'3) Release_Label'!$D:$D&amp;'3) Release_Label'!$E:$E,1,0)),"NO UPC-CATALOG ID pair MATCH in Release_Label" )</f>
        <v/>
      </c>
      <c r="D816" s="121" t="str">
        <f t="array" ref="D816">ifs(and(isblank($A816),isblank($B816)),"", not(iserror(vlookup($A816&amp;$B816,'3) Release_Label'!$D:$D&amp;'3) Release_Label'!$E:$E,1,0))),vlookup($A816&amp;$B816,{'3) Release_Label'!$D:$D&amp;'3) Release_Label'!$E:$E,'3) Release_Label'!$H:$H},2,0), or(and(not(isblank($B816)),$B816=$B815,$A816&lt;&gt;$A815),and(not(isblank($A816)),$A816=$A815,$B816&lt;&gt;$B815)),"ID LISTS UNALIGNED",and($A816&lt;&gt;"",countif('3) Release_Label'!$D:$D,$A816)=0),"NO UPC MATCH in Release_Label",and($B816&lt;&gt;"",countif('3) Release_Label'!$E:$E,$B816)=0),"NO CATALOG ID MATCH in Release_Label",iserror(vlookup($A816&amp;$B816,'3) Release_Label'!$D:$D&amp;'3) Release_Label'!$E:$E,1,0)),"NO UPC-CATALOG ID pair MATCH in Release_Label" )</f>
        <v/>
      </c>
      <c r="E816" s="99"/>
      <c r="F816" s="99"/>
      <c r="G816" s="123" t="str">
        <f t="array" ref="G816">ifs(or($F816="",$F816="Main Primary Artist"),$F816,not(iserror(vlookup($F816,'Reference info'!$J$5:$J$8,1,0))),"Key Artist",not(iserror(vlookup($F816,'Reference info'!$J$38:$J$405,1,0))),"Performer",not(iserror(vlookup($F816,'Reference info'!$J$10:$J$36,1,0))),"Producer &amp; Engineer")</f>
        <v/>
      </c>
    </row>
    <row r="817">
      <c r="A817" s="28"/>
      <c r="B817" s="103"/>
      <c r="C817" s="121" t="str">
        <f t="array" ref="C817">ifs(and(isblank($A817),isblank($B817)),"", not(iserror(vlookup($A817&amp;$B817,'3) Release_Label'!$D:$D&amp;'3) Release_Label'!$E:$E,1,0))),vlookup($A817&amp;$B817,{'3) Release_Label'!$D:$D&amp;'3) Release_Label'!$E:$E,'3) Release_Label'!$F:$F},2,0), or(and(not(isblank($B817)),$B817=$B816,$A817&lt;&gt;$A816),and(not(isblank($A817)),$A817=$A816,$B817&lt;&gt;$B816)),"ID LISTS UNALIGNED",and($A817&lt;&gt;"",countif('3) Release_Label'!$D:$D,$A817)=0),"NO UPC MATCH in Release_Label",and($B817&lt;&gt;"",countif('3) Release_Label'!$E:$E,$B817)=0),"NO CATALOG ID MATCH in Release_Label",iserror(vlookup($A817&amp;$B817,'3) Release_Label'!$D:$D&amp;'3) Release_Label'!$E:$E,1,0)),"NO UPC-CATALOG ID pair MATCH in Release_Label" )</f>
        <v/>
      </c>
      <c r="D817" s="121" t="str">
        <f t="array" ref="D817">ifs(and(isblank($A817),isblank($B817)),"", not(iserror(vlookup($A817&amp;$B817,'3) Release_Label'!$D:$D&amp;'3) Release_Label'!$E:$E,1,0))),vlookup($A817&amp;$B817,{'3) Release_Label'!$D:$D&amp;'3) Release_Label'!$E:$E,'3) Release_Label'!$H:$H},2,0), or(and(not(isblank($B817)),$B817=$B816,$A817&lt;&gt;$A816),and(not(isblank($A817)),$A817=$A816,$B817&lt;&gt;$B816)),"ID LISTS UNALIGNED",and($A817&lt;&gt;"",countif('3) Release_Label'!$D:$D,$A817)=0),"NO UPC MATCH in Release_Label",and($B817&lt;&gt;"",countif('3) Release_Label'!$E:$E,$B817)=0),"NO CATALOG ID MATCH in Release_Label",iserror(vlookup($A817&amp;$B817,'3) Release_Label'!$D:$D&amp;'3) Release_Label'!$E:$E,1,0)),"NO UPC-CATALOG ID pair MATCH in Release_Label" )</f>
        <v/>
      </c>
      <c r="E817" s="99"/>
      <c r="F817" s="99"/>
      <c r="G817" s="123" t="str">
        <f t="array" ref="G817">ifs(or($F817="",$F817="Main Primary Artist"),$F817,not(iserror(vlookup($F817,'Reference info'!$J$5:$J$8,1,0))),"Key Artist",not(iserror(vlookup($F817,'Reference info'!$J$38:$J$405,1,0))),"Performer",not(iserror(vlookup($F817,'Reference info'!$J$10:$J$36,1,0))),"Producer &amp; Engineer")</f>
        <v/>
      </c>
    </row>
    <row r="818">
      <c r="A818" s="28"/>
      <c r="B818" s="103"/>
      <c r="C818" s="121" t="str">
        <f t="array" ref="C818">ifs(and(isblank($A818),isblank($B818)),"", not(iserror(vlookup($A818&amp;$B818,'3) Release_Label'!$D:$D&amp;'3) Release_Label'!$E:$E,1,0))),vlookup($A818&amp;$B818,{'3) Release_Label'!$D:$D&amp;'3) Release_Label'!$E:$E,'3) Release_Label'!$F:$F},2,0), or(and(not(isblank($B818)),$B818=$B817,$A818&lt;&gt;$A817),and(not(isblank($A818)),$A818=$A817,$B818&lt;&gt;$B817)),"ID LISTS UNALIGNED",and($A818&lt;&gt;"",countif('3) Release_Label'!$D:$D,$A818)=0),"NO UPC MATCH in Release_Label",and($B818&lt;&gt;"",countif('3) Release_Label'!$E:$E,$B818)=0),"NO CATALOG ID MATCH in Release_Label",iserror(vlookup($A818&amp;$B818,'3) Release_Label'!$D:$D&amp;'3) Release_Label'!$E:$E,1,0)),"NO UPC-CATALOG ID pair MATCH in Release_Label" )</f>
        <v/>
      </c>
      <c r="D818" s="121" t="str">
        <f t="array" ref="D818">ifs(and(isblank($A818),isblank($B818)),"", not(iserror(vlookup($A818&amp;$B818,'3) Release_Label'!$D:$D&amp;'3) Release_Label'!$E:$E,1,0))),vlookup($A818&amp;$B818,{'3) Release_Label'!$D:$D&amp;'3) Release_Label'!$E:$E,'3) Release_Label'!$H:$H},2,0), or(and(not(isblank($B818)),$B818=$B817,$A818&lt;&gt;$A817),and(not(isblank($A818)),$A818=$A817,$B818&lt;&gt;$B817)),"ID LISTS UNALIGNED",and($A818&lt;&gt;"",countif('3) Release_Label'!$D:$D,$A818)=0),"NO UPC MATCH in Release_Label",and($B818&lt;&gt;"",countif('3) Release_Label'!$E:$E,$B818)=0),"NO CATALOG ID MATCH in Release_Label",iserror(vlookup($A818&amp;$B818,'3) Release_Label'!$D:$D&amp;'3) Release_Label'!$E:$E,1,0)),"NO UPC-CATALOG ID pair MATCH in Release_Label" )</f>
        <v/>
      </c>
      <c r="E818" s="99"/>
      <c r="F818" s="99"/>
      <c r="G818" s="123" t="str">
        <f t="array" ref="G818">ifs(or($F818="",$F818="Main Primary Artist"),$F818,not(iserror(vlookup($F818,'Reference info'!$J$5:$J$8,1,0))),"Key Artist",not(iserror(vlookup($F818,'Reference info'!$J$38:$J$405,1,0))),"Performer",not(iserror(vlookup($F818,'Reference info'!$J$10:$J$36,1,0))),"Producer &amp; Engineer")</f>
        <v/>
      </c>
    </row>
    <row r="819">
      <c r="A819" s="28"/>
      <c r="B819" s="103"/>
      <c r="C819" s="121" t="str">
        <f t="array" ref="C819">ifs(and(isblank($A819),isblank($B819)),"", not(iserror(vlookup($A819&amp;$B819,'3) Release_Label'!$D:$D&amp;'3) Release_Label'!$E:$E,1,0))),vlookup($A819&amp;$B819,{'3) Release_Label'!$D:$D&amp;'3) Release_Label'!$E:$E,'3) Release_Label'!$F:$F},2,0), or(and(not(isblank($B819)),$B819=$B818,$A819&lt;&gt;$A818),and(not(isblank($A819)),$A819=$A818,$B819&lt;&gt;$B818)),"ID LISTS UNALIGNED",and($A819&lt;&gt;"",countif('3) Release_Label'!$D:$D,$A819)=0),"NO UPC MATCH in Release_Label",and($B819&lt;&gt;"",countif('3) Release_Label'!$E:$E,$B819)=0),"NO CATALOG ID MATCH in Release_Label",iserror(vlookup($A819&amp;$B819,'3) Release_Label'!$D:$D&amp;'3) Release_Label'!$E:$E,1,0)),"NO UPC-CATALOG ID pair MATCH in Release_Label" )</f>
        <v/>
      </c>
      <c r="D819" s="121" t="str">
        <f t="array" ref="D819">ifs(and(isblank($A819),isblank($B819)),"", not(iserror(vlookup($A819&amp;$B819,'3) Release_Label'!$D:$D&amp;'3) Release_Label'!$E:$E,1,0))),vlookup($A819&amp;$B819,{'3) Release_Label'!$D:$D&amp;'3) Release_Label'!$E:$E,'3) Release_Label'!$H:$H},2,0), or(and(not(isblank($B819)),$B819=$B818,$A819&lt;&gt;$A818),and(not(isblank($A819)),$A819=$A818,$B819&lt;&gt;$B818)),"ID LISTS UNALIGNED",and($A819&lt;&gt;"",countif('3) Release_Label'!$D:$D,$A819)=0),"NO UPC MATCH in Release_Label",and($B819&lt;&gt;"",countif('3) Release_Label'!$E:$E,$B819)=0),"NO CATALOG ID MATCH in Release_Label",iserror(vlookup($A819&amp;$B819,'3) Release_Label'!$D:$D&amp;'3) Release_Label'!$E:$E,1,0)),"NO UPC-CATALOG ID pair MATCH in Release_Label" )</f>
        <v/>
      </c>
      <c r="E819" s="99"/>
      <c r="F819" s="99"/>
      <c r="G819" s="123" t="str">
        <f t="array" ref="G819">ifs(or($F819="",$F819="Main Primary Artist"),$F819,not(iserror(vlookup($F819,'Reference info'!$J$5:$J$8,1,0))),"Key Artist",not(iserror(vlookup($F819,'Reference info'!$J$38:$J$405,1,0))),"Performer",not(iserror(vlookup($F819,'Reference info'!$J$10:$J$36,1,0))),"Producer &amp; Engineer")</f>
        <v/>
      </c>
    </row>
    <row r="820">
      <c r="A820" s="28"/>
      <c r="B820" s="103"/>
      <c r="C820" s="121" t="str">
        <f t="array" ref="C820">ifs(and(isblank($A820),isblank($B820)),"", not(iserror(vlookup($A820&amp;$B820,'3) Release_Label'!$D:$D&amp;'3) Release_Label'!$E:$E,1,0))),vlookup($A820&amp;$B820,{'3) Release_Label'!$D:$D&amp;'3) Release_Label'!$E:$E,'3) Release_Label'!$F:$F},2,0), or(and(not(isblank($B820)),$B820=$B819,$A820&lt;&gt;$A819),and(not(isblank($A820)),$A820=$A819,$B820&lt;&gt;$B819)),"ID LISTS UNALIGNED",and($A820&lt;&gt;"",countif('3) Release_Label'!$D:$D,$A820)=0),"NO UPC MATCH in Release_Label",and($B820&lt;&gt;"",countif('3) Release_Label'!$E:$E,$B820)=0),"NO CATALOG ID MATCH in Release_Label",iserror(vlookup($A820&amp;$B820,'3) Release_Label'!$D:$D&amp;'3) Release_Label'!$E:$E,1,0)),"NO UPC-CATALOG ID pair MATCH in Release_Label" )</f>
        <v/>
      </c>
      <c r="D820" s="121" t="str">
        <f t="array" ref="D820">ifs(and(isblank($A820),isblank($B820)),"", not(iserror(vlookup($A820&amp;$B820,'3) Release_Label'!$D:$D&amp;'3) Release_Label'!$E:$E,1,0))),vlookup($A820&amp;$B820,{'3) Release_Label'!$D:$D&amp;'3) Release_Label'!$E:$E,'3) Release_Label'!$H:$H},2,0), or(and(not(isblank($B820)),$B820=$B819,$A820&lt;&gt;$A819),and(not(isblank($A820)),$A820=$A819,$B820&lt;&gt;$B819)),"ID LISTS UNALIGNED",and($A820&lt;&gt;"",countif('3) Release_Label'!$D:$D,$A820)=0),"NO UPC MATCH in Release_Label",and($B820&lt;&gt;"",countif('3) Release_Label'!$E:$E,$B820)=0),"NO CATALOG ID MATCH in Release_Label",iserror(vlookup($A820&amp;$B820,'3) Release_Label'!$D:$D&amp;'3) Release_Label'!$E:$E,1,0)),"NO UPC-CATALOG ID pair MATCH in Release_Label" )</f>
        <v/>
      </c>
      <c r="E820" s="99"/>
      <c r="F820" s="99"/>
      <c r="G820" s="123" t="str">
        <f t="array" ref="G820">ifs(or($F820="",$F820="Main Primary Artist"),$F820,not(iserror(vlookup($F820,'Reference info'!$J$5:$J$8,1,0))),"Key Artist",not(iserror(vlookup($F820,'Reference info'!$J$38:$J$405,1,0))),"Performer",not(iserror(vlookup($F820,'Reference info'!$J$10:$J$36,1,0))),"Producer &amp; Engineer")</f>
        <v/>
      </c>
    </row>
    <row r="821">
      <c r="A821" s="28"/>
      <c r="B821" s="103"/>
      <c r="C821" s="121" t="str">
        <f t="array" ref="C821">ifs(and(isblank($A821),isblank($B821)),"", not(iserror(vlookup($A821&amp;$B821,'3) Release_Label'!$D:$D&amp;'3) Release_Label'!$E:$E,1,0))),vlookup($A821&amp;$B821,{'3) Release_Label'!$D:$D&amp;'3) Release_Label'!$E:$E,'3) Release_Label'!$F:$F},2,0), or(and(not(isblank($B821)),$B821=$B820,$A821&lt;&gt;$A820),and(not(isblank($A821)),$A821=$A820,$B821&lt;&gt;$B820)),"ID LISTS UNALIGNED",and($A821&lt;&gt;"",countif('3) Release_Label'!$D:$D,$A821)=0),"NO UPC MATCH in Release_Label",and($B821&lt;&gt;"",countif('3) Release_Label'!$E:$E,$B821)=0),"NO CATALOG ID MATCH in Release_Label",iserror(vlookup($A821&amp;$B821,'3) Release_Label'!$D:$D&amp;'3) Release_Label'!$E:$E,1,0)),"NO UPC-CATALOG ID pair MATCH in Release_Label" )</f>
        <v/>
      </c>
      <c r="D821" s="121" t="str">
        <f t="array" ref="D821">ifs(and(isblank($A821),isblank($B821)),"", not(iserror(vlookup($A821&amp;$B821,'3) Release_Label'!$D:$D&amp;'3) Release_Label'!$E:$E,1,0))),vlookup($A821&amp;$B821,{'3) Release_Label'!$D:$D&amp;'3) Release_Label'!$E:$E,'3) Release_Label'!$H:$H},2,0), or(and(not(isblank($B821)),$B821=$B820,$A821&lt;&gt;$A820),and(not(isblank($A821)),$A821=$A820,$B821&lt;&gt;$B820)),"ID LISTS UNALIGNED",and($A821&lt;&gt;"",countif('3) Release_Label'!$D:$D,$A821)=0),"NO UPC MATCH in Release_Label",and($B821&lt;&gt;"",countif('3) Release_Label'!$E:$E,$B821)=0),"NO CATALOG ID MATCH in Release_Label",iserror(vlookup($A821&amp;$B821,'3) Release_Label'!$D:$D&amp;'3) Release_Label'!$E:$E,1,0)),"NO UPC-CATALOG ID pair MATCH in Release_Label" )</f>
        <v/>
      </c>
      <c r="E821" s="99"/>
      <c r="F821" s="99"/>
      <c r="G821" s="123" t="str">
        <f t="array" ref="G821">ifs(or($F821="",$F821="Main Primary Artist"),$F821,not(iserror(vlookup($F821,'Reference info'!$J$5:$J$8,1,0))),"Key Artist",not(iserror(vlookup($F821,'Reference info'!$J$38:$J$405,1,0))),"Performer",not(iserror(vlookup($F821,'Reference info'!$J$10:$J$36,1,0))),"Producer &amp; Engineer")</f>
        <v/>
      </c>
    </row>
    <row r="822">
      <c r="A822" s="28"/>
      <c r="B822" s="103"/>
      <c r="C822" s="121" t="str">
        <f t="array" ref="C822">ifs(and(isblank($A822),isblank($B822)),"", not(iserror(vlookup($A822&amp;$B822,'3) Release_Label'!$D:$D&amp;'3) Release_Label'!$E:$E,1,0))),vlookup($A822&amp;$B822,{'3) Release_Label'!$D:$D&amp;'3) Release_Label'!$E:$E,'3) Release_Label'!$F:$F},2,0), or(and(not(isblank($B822)),$B822=$B821,$A822&lt;&gt;$A821),and(not(isblank($A822)),$A822=$A821,$B822&lt;&gt;$B821)),"ID LISTS UNALIGNED",and($A822&lt;&gt;"",countif('3) Release_Label'!$D:$D,$A822)=0),"NO UPC MATCH in Release_Label",and($B822&lt;&gt;"",countif('3) Release_Label'!$E:$E,$B822)=0),"NO CATALOG ID MATCH in Release_Label",iserror(vlookup($A822&amp;$B822,'3) Release_Label'!$D:$D&amp;'3) Release_Label'!$E:$E,1,0)),"NO UPC-CATALOG ID pair MATCH in Release_Label" )</f>
        <v/>
      </c>
      <c r="D822" s="121" t="str">
        <f t="array" ref="D822">ifs(and(isblank($A822),isblank($B822)),"", not(iserror(vlookup($A822&amp;$B822,'3) Release_Label'!$D:$D&amp;'3) Release_Label'!$E:$E,1,0))),vlookup($A822&amp;$B822,{'3) Release_Label'!$D:$D&amp;'3) Release_Label'!$E:$E,'3) Release_Label'!$H:$H},2,0), or(and(not(isblank($B822)),$B822=$B821,$A822&lt;&gt;$A821),and(not(isblank($A822)),$A822=$A821,$B822&lt;&gt;$B821)),"ID LISTS UNALIGNED",and($A822&lt;&gt;"",countif('3) Release_Label'!$D:$D,$A822)=0),"NO UPC MATCH in Release_Label",and($B822&lt;&gt;"",countif('3) Release_Label'!$E:$E,$B822)=0),"NO CATALOG ID MATCH in Release_Label",iserror(vlookup($A822&amp;$B822,'3) Release_Label'!$D:$D&amp;'3) Release_Label'!$E:$E,1,0)),"NO UPC-CATALOG ID pair MATCH in Release_Label" )</f>
        <v/>
      </c>
      <c r="E822" s="99"/>
      <c r="F822" s="99"/>
      <c r="G822" s="123" t="str">
        <f t="array" ref="G822">ifs(or($F822="",$F822="Main Primary Artist"),$F822,not(iserror(vlookup($F822,'Reference info'!$J$5:$J$8,1,0))),"Key Artist",not(iserror(vlookup($F822,'Reference info'!$J$38:$J$405,1,0))),"Performer",not(iserror(vlookup($F822,'Reference info'!$J$10:$J$36,1,0))),"Producer &amp; Engineer")</f>
        <v/>
      </c>
    </row>
    <row r="823">
      <c r="A823" s="28"/>
      <c r="B823" s="103"/>
      <c r="C823" s="121" t="str">
        <f t="array" ref="C823">ifs(and(isblank($A823),isblank($B823)),"", not(iserror(vlookup($A823&amp;$B823,'3) Release_Label'!$D:$D&amp;'3) Release_Label'!$E:$E,1,0))),vlookup($A823&amp;$B823,{'3) Release_Label'!$D:$D&amp;'3) Release_Label'!$E:$E,'3) Release_Label'!$F:$F},2,0), or(and(not(isblank($B823)),$B823=$B822,$A823&lt;&gt;$A822),and(not(isblank($A823)),$A823=$A822,$B823&lt;&gt;$B822)),"ID LISTS UNALIGNED",and($A823&lt;&gt;"",countif('3) Release_Label'!$D:$D,$A823)=0),"NO UPC MATCH in Release_Label",and($B823&lt;&gt;"",countif('3) Release_Label'!$E:$E,$B823)=0),"NO CATALOG ID MATCH in Release_Label",iserror(vlookup($A823&amp;$B823,'3) Release_Label'!$D:$D&amp;'3) Release_Label'!$E:$E,1,0)),"NO UPC-CATALOG ID pair MATCH in Release_Label" )</f>
        <v/>
      </c>
      <c r="D823" s="121" t="str">
        <f t="array" ref="D823">ifs(and(isblank($A823),isblank($B823)),"", not(iserror(vlookup($A823&amp;$B823,'3) Release_Label'!$D:$D&amp;'3) Release_Label'!$E:$E,1,0))),vlookup($A823&amp;$B823,{'3) Release_Label'!$D:$D&amp;'3) Release_Label'!$E:$E,'3) Release_Label'!$H:$H},2,0), or(and(not(isblank($B823)),$B823=$B822,$A823&lt;&gt;$A822),and(not(isblank($A823)),$A823=$A822,$B823&lt;&gt;$B822)),"ID LISTS UNALIGNED",and($A823&lt;&gt;"",countif('3) Release_Label'!$D:$D,$A823)=0),"NO UPC MATCH in Release_Label",and($B823&lt;&gt;"",countif('3) Release_Label'!$E:$E,$B823)=0),"NO CATALOG ID MATCH in Release_Label",iserror(vlookup($A823&amp;$B823,'3) Release_Label'!$D:$D&amp;'3) Release_Label'!$E:$E,1,0)),"NO UPC-CATALOG ID pair MATCH in Release_Label" )</f>
        <v/>
      </c>
      <c r="E823" s="99"/>
      <c r="F823" s="99"/>
      <c r="G823" s="123" t="str">
        <f t="array" ref="G823">ifs(or($F823="",$F823="Main Primary Artist"),$F823,not(iserror(vlookup($F823,'Reference info'!$J$5:$J$8,1,0))),"Key Artist",not(iserror(vlookup($F823,'Reference info'!$J$38:$J$405,1,0))),"Performer",not(iserror(vlookup($F823,'Reference info'!$J$10:$J$36,1,0))),"Producer &amp; Engineer")</f>
        <v/>
      </c>
    </row>
    <row r="824">
      <c r="A824" s="28"/>
      <c r="B824" s="103"/>
      <c r="C824" s="121" t="str">
        <f t="array" ref="C824">ifs(and(isblank($A824),isblank($B824)),"", not(iserror(vlookup($A824&amp;$B824,'3) Release_Label'!$D:$D&amp;'3) Release_Label'!$E:$E,1,0))),vlookup($A824&amp;$B824,{'3) Release_Label'!$D:$D&amp;'3) Release_Label'!$E:$E,'3) Release_Label'!$F:$F},2,0), or(and(not(isblank($B824)),$B824=$B823,$A824&lt;&gt;$A823),and(not(isblank($A824)),$A824=$A823,$B824&lt;&gt;$B823)),"ID LISTS UNALIGNED",and($A824&lt;&gt;"",countif('3) Release_Label'!$D:$D,$A824)=0),"NO UPC MATCH in Release_Label",and($B824&lt;&gt;"",countif('3) Release_Label'!$E:$E,$B824)=0),"NO CATALOG ID MATCH in Release_Label",iserror(vlookup($A824&amp;$B824,'3) Release_Label'!$D:$D&amp;'3) Release_Label'!$E:$E,1,0)),"NO UPC-CATALOG ID pair MATCH in Release_Label" )</f>
        <v/>
      </c>
      <c r="D824" s="121" t="str">
        <f t="array" ref="D824">ifs(and(isblank($A824),isblank($B824)),"", not(iserror(vlookup($A824&amp;$B824,'3) Release_Label'!$D:$D&amp;'3) Release_Label'!$E:$E,1,0))),vlookup($A824&amp;$B824,{'3) Release_Label'!$D:$D&amp;'3) Release_Label'!$E:$E,'3) Release_Label'!$H:$H},2,0), or(and(not(isblank($B824)),$B824=$B823,$A824&lt;&gt;$A823),and(not(isblank($A824)),$A824=$A823,$B824&lt;&gt;$B823)),"ID LISTS UNALIGNED",and($A824&lt;&gt;"",countif('3) Release_Label'!$D:$D,$A824)=0),"NO UPC MATCH in Release_Label",and($B824&lt;&gt;"",countif('3) Release_Label'!$E:$E,$B824)=0),"NO CATALOG ID MATCH in Release_Label",iserror(vlookup($A824&amp;$B824,'3) Release_Label'!$D:$D&amp;'3) Release_Label'!$E:$E,1,0)),"NO UPC-CATALOG ID pair MATCH in Release_Label" )</f>
        <v/>
      </c>
      <c r="E824" s="99"/>
      <c r="F824" s="99"/>
      <c r="G824" s="123" t="str">
        <f t="array" ref="G824">ifs(or($F824="",$F824="Main Primary Artist"),$F824,not(iserror(vlookup($F824,'Reference info'!$J$5:$J$8,1,0))),"Key Artist",not(iserror(vlookup($F824,'Reference info'!$J$38:$J$405,1,0))),"Performer",not(iserror(vlookup($F824,'Reference info'!$J$10:$J$36,1,0))),"Producer &amp; Engineer")</f>
        <v/>
      </c>
    </row>
    <row r="825">
      <c r="A825" s="28"/>
      <c r="B825" s="103"/>
      <c r="C825" s="121" t="str">
        <f t="array" ref="C825">ifs(and(isblank($A825),isblank($B825)),"", not(iserror(vlookup($A825&amp;$B825,'3) Release_Label'!$D:$D&amp;'3) Release_Label'!$E:$E,1,0))),vlookup($A825&amp;$B825,{'3) Release_Label'!$D:$D&amp;'3) Release_Label'!$E:$E,'3) Release_Label'!$F:$F},2,0), or(and(not(isblank($B825)),$B825=$B824,$A825&lt;&gt;$A824),and(not(isblank($A825)),$A825=$A824,$B825&lt;&gt;$B824)),"ID LISTS UNALIGNED",and($A825&lt;&gt;"",countif('3) Release_Label'!$D:$D,$A825)=0),"NO UPC MATCH in Release_Label",and($B825&lt;&gt;"",countif('3) Release_Label'!$E:$E,$B825)=0),"NO CATALOG ID MATCH in Release_Label",iserror(vlookup($A825&amp;$B825,'3) Release_Label'!$D:$D&amp;'3) Release_Label'!$E:$E,1,0)),"NO UPC-CATALOG ID pair MATCH in Release_Label" )</f>
        <v/>
      </c>
      <c r="D825" s="121" t="str">
        <f t="array" ref="D825">ifs(and(isblank($A825),isblank($B825)),"", not(iserror(vlookup($A825&amp;$B825,'3) Release_Label'!$D:$D&amp;'3) Release_Label'!$E:$E,1,0))),vlookup($A825&amp;$B825,{'3) Release_Label'!$D:$D&amp;'3) Release_Label'!$E:$E,'3) Release_Label'!$H:$H},2,0), or(and(not(isblank($B825)),$B825=$B824,$A825&lt;&gt;$A824),and(not(isblank($A825)),$A825=$A824,$B825&lt;&gt;$B824)),"ID LISTS UNALIGNED",and($A825&lt;&gt;"",countif('3) Release_Label'!$D:$D,$A825)=0),"NO UPC MATCH in Release_Label",and($B825&lt;&gt;"",countif('3) Release_Label'!$E:$E,$B825)=0),"NO CATALOG ID MATCH in Release_Label",iserror(vlookup($A825&amp;$B825,'3) Release_Label'!$D:$D&amp;'3) Release_Label'!$E:$E,1,0)),"NO UPC-CATALOG ID pair MATCH in Release_Label" )</f>
        <v/>
      </c>
      <c r="E825" s="99"/>
      <c r="F825" s="99"/>
      <c r="G825" s="123" t="str">
        <f t="array" ref="G825">ifs(or($F825="",$F825="Main Primary Artist"),$F825,not(iserror(vlookup($F825,'Reference info'!$J$5:$J$8,1,0))),"Key Artist",not(iserror(vlookup($F825,'Reference info'!$J$38:$J$405,1,0))),"Performer",not(iserror(vlookup($F825,'Reference info'!$J$10:$J$36,1,0))),"Producer &amp; Engineer")</f>
        <v/>
      </c>
    </row>
    <row r="826">
      <c r="A826" s="28"/>
      <c r="B826" s="103"/>
      <c r="C826" s="121" t="str">
        <f t="array" ref="C826">ifs(and(isblank($A826),isblank($B826)),"", not(iserror(vlookup($A826&amp;$B826,'3) Release_Label'!$D:$D&amp;'3) Release_Label'!$E:$E,1,0))),vlookup($A826&amp;$B826,{'3) Release_Label'!$D:$D&amp;'3) Release_Label'!$E:$E,'3) Release_Label'!$F:$F},2,0), or(and(not(isblank($B826)),$B826=$B825,$A826&lt;&gt;$A825),and(not(isblank($A826)),$A826=$A825,$B826&lt;&gt;$B825)),"ID LISTS UNALIGNED",and($A826&lt;&gt;"",countif('3) Release_Label'!$D:$D,$A826)=0),"NO UPC MATCH in Release_Label",and($B826&lt;&gt;"",countif('3) Release_Label'!$E:$E,$B826)=0),"NO CATALOG ID MATCH in Release_Label",iserror(vlookup($A826&amp;$B826,'3) Release_Label'!$D:$D&amp;'3) Release_Label'!$E:$E,1,0)),"NO UPC-CATALOG ID pair MATCH in Release_Label" )</f>
        <v/>
      </c>
      <c r="D826" s="121" t="str">
        <f t="array" ref="D826">ifs(and(isblank($A826),isblank($B826)),"", not(iserror(vlookup($A826&amp;$B826,'3) Release_Label'!$D:$D&amp;'3) Release_Label'!$E:$E,1,0))),vlookup($A826&amp;$B826,{'3) Release_Label'!$D:$D&amp;'3) Release_Label'!$E:$E,'3) Release_Label'!$H:$H},2,0), or(and(not(isblank($B826)),$B826=$B825,$A826&lt;&gt;$A825),and(not(isblank($A826)),$A826=$A825,$B826&lt;&gt;$B825)),"ID LISTS UNALIGNED",and($A826&lt;&gt;"",countif('3) Release_Label'!$D:$D,$A826)=0),"NO UPC MATCH in Release_Label",and($B826&lt;&gt;"",countif('3) Release_Label'!$E:$E,$B826)=0),"NO CATALOG ID MATCH in Release_Label",iserror(vlookup($A826&amp;$B826,'3) Release_Label'!$D:$D&amp;'3) Release_Label'!$E:$E,1,0)),"NO UPC-CATALOG ID pair MATCH in Release_Label" )</f>
        <v/>
      </c>
      <c r="E826" s="99"/>
      <c r="F826" s="99"/>
      <c r="G826" s="123" t="str">
        <f t="array" ref="G826">ifs(or($F826="",$F826="Main Primary Artist"),$F826,not(iserror(vlookup($F826,'Reference info'!$J$5:$J$8,1,0))),"Key Artist",not(iserror(vlookup($F826,'Reference info'!$J$38:$J$405,1,0))),"Performer",not(iserror(vlookup($F826,'Reference info'!$J$10:$J$36,1,0))),"Producer &amp; Engineer")</f>
        <v/>
      </c>
    </row>
    <row r="827">
      <c r="A827" s="28"/>
      <c r="B827" s="103"/>
      <c r="C827" s="121" t="str">
        <f t="array" ref="C827">ifs(and(isblank($A827),isblank($B827)),"", not(iserror(vlookup($A827&amp;$B827,'3) Release_Label'!$D:$D&amp;'3) Release_Label'!$E:$E,1,0))),vlookup($A827&amp;$B827,{'3) Release_Label'!$D:$D&amp;'3) Release_Label'!$E:$E,'3) Release_Label'!$F:$F},2,0), or(and(not(isblank($B827)),$B827=$B826,$A827&lt;&gt;$A826),and(not(isblank($A827)),$A827=$A826,$B827&lt;&gt;$B826)),"ID LISTS UNALIGNED",and($A827&lt;&gt;"",countif('3) Release_Label'!$D:$D,$A827)=0),"NO UPC MATCH in Release_Label",and($B827&lt;&gt;"",countif('3) Release_Label'!$E:$E,$B827)=0),"NO CATALOG ID MATCH in Release_Label",iserror(vlookup($A827&amp;$B827,'3) Release_Label'!$D:$D&amp;'3) Release_Label'!$E:$E,1,0)),"NO UPC-CATALOG ID pair MATCH in Release_Label" )</f>
        <v/>
      </c>
      <c r="D827" s="121" t="str">
        <f t="array" ref="D827">ifs(and(isblank($A827),isblank($B827)),"", not(iserror(vlookup($A827&amp;$B827,'3) Release_Label'!$D:$D&amp;'3) Release_Label'!$E:$E,1,0))),vlookup($A827&amp;$B827,{'3) Release_Label'!$D:$D&amp;'3) Release_Label'!$E:$E,'3) Release_Label'!$H:$H},2,0), or(and(not(isblank($B827)),$B827=$B826,$A827&lt;&gt;$A826),and(not(isblank($A827)),$A827=$A826,$B827&lt;&gt;$B826)),"ID LISTS UNALIGNED",and($A827&lt;&gt;"",countif('3) Release_Label'!$D:$D,$A827)=0),"NO UPC MATCH in Release_Label",and($B827&lt;&gt;"",countif('3) Release_Label'!$E:$E,$B827)=0),"NO CATALOG ID MATCH in Release_Label",iserror(vlookup($A827&amp;$B827,'3) Release_Label'!$D:$D&amp;'3) Release_Label'!$E:$E,1,0)),"NO UPC-CATALOG ID pair MATCH in Release_Label" )</f>
        <v/>
      </c>
      <c r="E827" s="99"/>
      <c r="F827" s="99"/>
      <c r="G827" s="123" t="str">
        <f t="array" ref="G827">ifs(or($F827="",$F827="Main Primary Artist"),$F827,not(iserror(vlookup($F827,'Reference info'!$J$5:$J$8,1,0))),"Key Artist",not(iserror(vlookup($F827,'Reference info'!$J$38:$J$405,1,0))),"Performer",not(iserror(vlookup($F827,'Reference info'!$J$10:$J$36,1,0))),"Producer &amp; Engineer")</f>
        <v/>
      </c>
    </row>
    <row r="828">
      <c r="A828" s="28"/>
      <c r="B828" s="103"/>
      <c r="C828" s="121" t="str">
        <f t="array" ref="C828">ifs(and(isblank($A828),isblank($B828)),"", not(iserror(vlookup($A828&amp;$B828,'3) Release_Label'!$D:$D&amp;'3) Release_Label'!$E:$E,1,0))),vlookup($A828&amp;$B828,{'3) Release_Label'!$D:$D&amp;'3) Release_Label'!$E:$E,'3) Release_Label'!$F:$F},2,0), or(and(not(isblank($B828)),$B828=$B827,$A828&lt;&gt;$A827),and(not(isblank($A828)),$A828=$A827,$B828&lt;&gt;$B827)),"ID LISTS UNALIGNED",and($A828&lt;&gt;"",countif('3) Release_Label'!$D:$D,$A828)=0),"NO UPC MATCH in Release_Label",and($B828&lt;&gt;"",countif('3) Release_Label'!$E:$E,$B828)=0),"NO CATALOG ID MATCH in Release_Label",iserror(vlookup($A828&amp;$B828,'3) Release_Label'!$D:$D&amp;'3) Release_Label'!$E:$E,1,0)),"NO UPC-CATALOG ID pair MATCH in Release_Label" )</f>
        <v/>
      </c>
      <c r="D828" s="121" t="str">
        <f t="array" ref="D828">ifs(and(isblank($A828),isblank($B828)),"", not(iserror(vlookup($A828&amp;$B828,'3) Release_Label'!$D:$D&amp;'3) Release_Label'!$E:$E,1,0))),vlookup($A828&amp;$B828,{'3) Release_Label'!$D:$D&amp;'3) Release_Label'!$E:$E,'3) Release_Label'!$H:$H},2,0), or(and(not(isblank($B828)),$B828=$B827,$A828&lt;&gt;$A827),and(not(isblank($A828)),$A828=$A827,$B828&lt;&gt;$B827)),"ID LISTS UNALIGNED",and($A828&lt;&gt;"",countif('3) Release_Label'!$D:$D,$A828)=0),"NO UPC MATCH in Release_Label",and($B828&lt;&gt;"",countif('3) Release_Label'!$E:$E,$B828)=0),"NO CATALOG ID MATCH in Release_Label",iserror(vlookup($A828&amp;$B828,'3) Release_Label'!$D:$D&amp;'3) Release_Label'!$E:$E,1,0)),"NO UPC-CATALOG ID pair MATCH in Release_Label" )</f>
        <v/>
      </c>
      <c r="E828" s="99"/>
      <c r="F828" s="99"/>
      <c r="G828" s="123" t="str">
        <f t="array" ref="G828">ifs(or($F828="",$F828="Main Primary Artist"),$F828,not(iserror(vlookup($F828,'Reference info'!$J$5:$J$8,1,0))),"Key Artist",not(iserror(vlookup($F828,'Reference info'!$J$38:$J$405,1,0))),"Performer",not(iserror(vlookup($F828,'Reference info'!$J$10:$J$36,1,0))),"Producer &amp; Engineer")</f>
        <v/>
      </c>
    </row>
    <row r="829">
      <c r="A829" s="28"/>
      <c r="B829" s="103"/>
      <c r="C829" s="121" t="str">
        <f t="array" ref="C829">ifs(and(isblank($A829),isblank($B829)),"", not(iserror(vlookup($A829&amp;$B829,'3) Release_Label'!$D:$D&amp;'3) Release_Label'!$E:$E,1,0))),vlookup($A829&amp;$B829,{'3) Release_Label'!$D:$D&amp;'3) Release_Label'!$E:$E,'3) Release_Label'!$F:$F},2,0), or(and(not(isblank($B829)),$B829=$B828,$A829&lt;&gt;$A828),and(not(isblank($A829)),$A829=$A828,$B829&lt;&gt;$B828)),"ID LISTS UNALIGNED",and($A829&lt;&gt;"",countif('3) Release_Label'!$D:$D,$A829)=0),"NO UPC MATCH in Release_Label",and($B829&lt;&gt;"",countif('3) Release_Label'!$E:$E,$B829)=0),"NO CATALOG ID MATCH in Release_Label",iserror(vlookup($A829&amp;$B829,'3) Release_Label'!$D:$D&amp;'3) Release_Label'!$E:$E,1,0)),"NO UPC-CATALOG ID pair MATCH in Release_Label" )</f>
        <v/>
      </c>
      <c r="D829" s="121" t="str">
        <f t="array" ref="D829">ifs(and(isblank($A829),isblank($B829)),"", not(iserror(vlookup($A829&amp;$B829,'3) Release_Label'!$D:$D&amp;'3) Release_Label'!$E:$E,1,0))),vlookup($A829&amp;$B829,{'3) Release_Label'!$D:$D&amp;'3) Release_Label'!$E:$E,'3) Release_Label'!$H:$H},2,0), or(and(not(isblank($B829)),$B829=$B828,$A829&lt;&gt;$A828),and(not(isblank($A829)),$A829=$A828,$B829&lt;&gt;$B828)),"ID LISTS UNALIGNED",and($A829&lt;&gt;"",countif('3) Release_Label'!$D:$D,$A829)=0),"NO UPC MATCH in Release_Label",and($B829&lt;&gt;"",countif('3) Release_Label'!$E:$E,$B829)=0),"NO CATALOG ID MATCH in Release_Label",iserror(vlookup($A829&amp;$B829,'3) Release_Label'!$D:$D&amp;'3) Release_Label'!$E:$E,1,0)),"NO UPC-CATALOG ID pair MATCH in Release_Label" )</f>
        <v/>
      </c>
      <c r="E829" s="99"/>
      <c r="F829" s="99"/>
      <c r="G829" s="123" t="str">
        <f t="array" ref="G829">ifs(or($F829="",$F829="Main Primary Artist"),$F829,not(iserror(vlookup($F829,'Reference info'!$J$5:$J$8,1,0))),"Key Artist",not(iserror(vlookup($F829,'Reference info'!$J$38:$J$405,1,0))),"Performer",not(iserror(vlookup($F829,'Reference info'!$J$10:$J$36,1,0))),"Producer &amp; Engineer")</f>
        <v/>
      </c>
    </row>
    <row r="830">
      <c r="A830" s="28"/>
      <c r="B830" s="103"/>
      <c r="C830" s="121" t="str">
        <f t="array" ref="C830">ifs(and(isblank($A830),isblank($B830)),"", not(iserror(vlookup($A830&amp;$B830,'3) Release_Label'!$D:$D&amp;'3) Release_Label'!$E:$E,1,0))),vlookup($A830&amp;$B830,{'3) Release_Label'!$D:$D&amp;'3) Release_Label'!$E:$E,'3) Release_Label'!$F:$F},2,0), or(and(not(isblank($B830)),$B830=$B829,$A830&lt;&gt;$A829),and(not(isblank($A830)),$A830=$A829,$B830&lt;&gt;$B829)),"ID LISTS UNALIGNED",and($A830&lt;&gt;"",countif('3) Release_Label'!$D:$D,$A830)=0),"NO UPC MATCH in Release_Label",and($B830&lt;&gt;"",countif('3) Release_Label'!$E:$E,$B830)=0),"NO CATALOG ID MATCH in Release_Label",iserror(vlookup($A830&amp;$B830,'3) Release_Label'!$D:$D&amp;'3) Release_Label'!$E:$E,1,0)),"NO UPC-CATALOG ID pair MATCH in Release_Label" )</f>
        <v/>
      </c>
      <c r="D830" s="121" t="str">
        <f t="array" ref="D830">ifs(and(isblank($A830),isblank($B830)),"", not(iserror(vlookup($A830&amp;$B830,'3) Release_Label'!$D:$D&amp;'3) Release_Label'!$E:$E,1,0))),vlookup($A830&amp;$B830,{'3) Release_Label'!$D:$D&amp;'3) Release_Label'!$E:$E,'3) Release_Label'!$H:$H},2,0), or(and(not(isblank($B830)),$B830=$B829,$A830&lt;&gt;$A829),and(not(isblank($A830)),$A830=$A829,$B830&lt;&gt;$B829)),"ID LISTS UNALIGNED",and($A830&lt;&gt;"",countif('3) Release_Label'!$D:$D,$A830)=0),"NO UPC MATCH in Release_Label",and($B830&lt;&gt;"",countif('3) Release_Label'!$E:$E,$B830)=0),"NO CATALOG ID MATCH in Release_Label",iserror(vlookup($A830&amp;$B830,'3) Release_Label'!$D:$D&amp;'3) Release_Label'!$E:$E,1,0)),"NO UPC-CATALOG ID pair MATCH in Release_Label" )</f>
        <v/>
      </c>
      <c r="E830" s="99"/>
      <c r="F830" s="99"/>
      <c r="G830" s="123" t="str">
        <f t="array" ref="G830">ifs(or($F830="",$F830="Main Primary Artist"),$F830,not(iserror(vlookup($F830,'Reference info'!$J$5:$J$8,1,0))),"Key Artist",not(iserror(vlookup($F830,'Reference info'!$J$38:$J$405,1,0))),"Performer",not(iserror(vlookup($F830,'Reference info'!$J$10:$J$36,1,0))),"Producer &amp; Engineer")</f>
        <v/>
      </c>
    </row>
    <row r="831">
      <c r="A831" s="28"/>
      <c r="B831" s="103"/>
      <c r="C831" s="121" t="str">
        <f t="array" ref="C831">ifs(and(isblank($A831),isblank($B831)),"", not(iserror(vlookup($A831&amp;$B831,'3) Release_Label'!$D:$D&amp;'3) Release_Label'!$E:$E,1,0))),vlookup($A831&amp;$B831,{'3) Release_Label'!$D:$D&amp;'3) Release_Label'!$E:$E,'3) Release_Label'!$F:$F},2,0), or(and(not(isblank($B831)),$B831=$B830,$A831&lt;&gt;$A830),and(not(isblank($A831)),$A831=$A830,$B831&lt;&gt;$B830)),"ID LISTS UNALIGNED",and($A831&lt;&gt;"",countif('3) Release_Label'!$D:$D,$A831)=0),"NO UPC MATCH in Release_Label",and($B831&lt;&gt;"",countif('3) Release_Label'!$E:$E,$B831)=0),"NO CATALOG ID MATCH in Release_Label",iserror(vlookup($A831&amp;$B831,'3) Release_Label'!$D:$D&amp;'3) Release_Label'!$E:$E,1,0)),"NO UPC-CATALOG ID pair MATCH in Release_Label" )</f>
        <v/>
      </c>
      <c r="D831" s="121" t="str">
        <f t="array" ref="D831">ifs(and(isblank($A831),isblank($B831)),"", not(iserror(vlookup($A831&amp;$B831,'3) Release_Label'!$D:$D&amp;'3) Release_Label'!$E:$E,1,0))),vlookup($A831&amp;$B831,{'3) Release_Label'!$D:$D&amp;'3) Release_Label'!$E:$E,'3) Release_Label'!$H:$H},2,0), or(and(not(isblank($B831)),$B831=$B830,$A831&lt;&gt;$A830),and(not(isblank($A831)),$A831=$A830,$B831&lt;&gt;$B830)),"ID LISTS UNALIGNED",and($A831&lt;&gt;"",countif('3) Release_Label'!$D:$D,$A831)=0),"NO UPC MATCH in Release_Label",and($B831&lt;&gt;"",countif('3) Release_Label'!$E:$E,$B831)=0),"NO CATALOG ID MATCH in Release_Label",iserror(vlookup($A831&amp;$B831,'3) Release_Label'!$D:$D&amp;'3) Release_Label'!$E:$E,1,0)),"NO UPC-CATALOG ID pair MATCH in Release_Label" )</f>
        <v/>
      </c>
      <c r="E831" s="99"/>
      <c r="F831" s="99"/>
      <c r="G831" s="123" t="str">
        <f t="array" ref="G831">ifs(or($F831="",$F831="Main Primary Artist"),$F831,not(iserror(vlookup($F831,'Reference info'!$J$5:$J$8,1,0))),"Key Artist",not(iserror(vlookup($F831,'Reference info'!$J$38:$J$405,1,0))),"Performer",not(iserror(vlookup($F831,'Reference info'!$J$10:$J$36,1,0))),"Producer &amp; Engineer")</f>
        <v/>
      </c>
    </row>
    <row r="832">
      <c r="A832" s="28"/>
      <c r="B832" s="103"/>
      <c r="C832" s="121" t="str">
        <f t="array" ref="C832">ifs(and(isblank($A832),isblank($B832)),"", not(iserror(vlookup($A832&amp;$B832,'3) Release_Label'!$D:$D&amp;'3) Release_Label'!$E:$E,1,0))),vlookup($A832&amp;$B832,{'3) Release_Label'!$D:$D&amp;'3) Release_Label'!$E:$E,'3) Release_Label'!$F:$F},2,0), or(and(not(isblank($B832)),$B832=$B831,$A832&lt;&gt;$A831),and(not(isblank($A832)),$A832=$A831,$B832&lt;&gt;$B831)),"ID LISTS UNALIGNED",and($A832&lt;&gt;"",countif('3) Release_Label'!$D:$D,$A832)=0),"NO UPC MATCH in Release_Label",and($B832&lt;&gt;"",countif('3) Release_Label'!$E:$E,$B832)=0),"NO CATALOG ID MATCH in Release_Label",iserror(vlookup($A832&amp;$B832,'3) Release_Label'!$D:$D&amp;'3) Release_Label'!$E:$E,1,0)),"NO UPC-CATALOG ID pair MATCH in Release_Label" )</f>
        <v/>
      </c>
      <c r="D832" s="121" t="str">
        <f t="array" ref="D832">ifs(and(isblank($A832),isblank($B832)),"", not(iserror(vlookup($A832&amp;$B832,'3) Release_Label'!$D:$D&amp;'3) Release_Label'!$E:$E,1,0))),vlookup($A832&amp;$B832,{'3) Release_Label'!$D:$D&amp;'3) Release_Label'!$E:$E,'3) Release_Label'!$H:$H},2,0), or(and(not(isblank($B832)),$B832=$B831,$A832&lt;&gt;$A831),and(not(isblank($A832)),$A832=$A831,$B832&lt;&gt;$B831)),"ID LISTS UNALIGNED",and($A832&lt;&gt;"",countif('3) Release_Label'!$D:$D,$A832)=0),"NO UPC MATCH in Release_Label",and($B832&lt;&gt;"",countif('3) Release_Label'!$E:$E,$B832)=0),"NO CATALOG ID MATCH in Release_Label",iserror(vlookup($A832&amp;$B832,'3) Release_Label'!$D:$D&amp;'3) Release_Label'!$E:$E,1,0)),"NO UPC-CATALOG ID pair MATCH in Release_Label" )</f>
        <v/>
      </c>
      <c r="E832" s="99"/>
      <c r="F832" s="99"/>
      <c r="G832" s="123" t="str">
        <f t="array" ref="G832">ifs(or($F832="",$F832="Main Primary Artist"),$F832,not(iserror(vlookup($F832,'Reference info'!$J$5:$J$8,1,0))),"Key Artist",not(iserror(vlookup($F832,'Reference info'!$J$38:$J$405,1,0))),"Performer",not(iserror(vlookup($F832,'Reference info'!$J$10:$J$36,1,0))),"Producer &amp; Engineer")</f>
        <v/>
      </c>
    </row>
    <row r="833">
      <c r="A833" s="28"/>
      <c r="B833" s="103"/>
      <c r="C833" s="121" t="str">
        <f t="array" ref="C833">ifs(and(isblank($A833),isblank($B833)),"", not(iserror(vlookup($A833&amp;$B833,'3) Release_Label'!$D:$D&amp;'3) Release_Label'!$E:$E,1,0))),vlookup($A833&amp;$B833,{'3) Release_Label'!$D:$D&amp;'3) Release_Label'!$E:$E,'3) Release_Label'!$F:$F},2,0), or(and(not(isblank($B833)),$B833=$B832,$A833&lt;&gt;$A832),and(not(isblank($A833)),$A833=$A832,$B833&lt;&gt;$B832)),"ID LISTS UNALIGNED",and($A833&lt;&gt;"",countif('3) Release_Label'!$D:$D,$A833)=0),"NO UPC MATCH in Release_Label",and($B833&lt;&gt;"",countif('3) Release_Label'!$E:$E,$B833)=0),"NO CATALOG ID MATCH in Release_Label",iserror(vlookup($A833&amp;$B833,'3) Release_Label'!$D:$D&amp;'3) Release_Label'!$E:$E,1,0)),"NO UPC-CATALOG ID pair MATCH in Release_Label" )</f>
        <v/>
      </c>
      <c r="D833" s="121" t="str">
        <f t="array" ref="D833">ifs(and(isblank($A833),isblank($B833)),"", not(iserror(vlookup($A833&amp;$B833,'3) Release_Label'!$D:$D&amp;'3) Release_Label'!$E:$E,1,0))),vlookup($A833&amp;$B833,{'3) Release_Label'!$D:$D&amp;'3) Release_Label'!$E:$E,'3) Release_Label'!$H:$H},2,0), or(and(not(isblank($B833)),$B833=$B832,$A833&lt;&gt;$A832),and(not(isblank($A833)),$A833=$A832,$B833&lt;&gt;$B832)),"ID LISTS UNALIGNED",and($A833&lt;&gt;"",countif('3) Release_Label'!$D:$D,$A833)=0),"NO UPC MATCH in Release_Label",and($B833&lt;&gt;"",countif('3) Release_Label'!$E:$E,$B833)=0),"NO CATALOG ID MATCH in Release_Label",iserror(vlookup($A833&amp;$B833,'3) Release_Label'!$D:$D&amp;'3) Release_Label'!$E:$E,1,0)),"NO UPC-CATALOG ID pair MATCH in Release_Label" )</f>
        <v/>
      </c>
      <c r="E833" s="99"/>
      <c r="F833" s="99"/>
      <c r="G833" s="123" t="str">
        <f t="array" ref="G833">ifs(or($F833="",$F833="Main Primary Artist"),$F833,not(iserror(vlookup($F833,'Reference info'!$J$5:$J$8,1,0))),"Key Artist",not(iserror(vlookup($F833,'Reference info'!$J$38:$J$405,1,0))),"Performer",not(iserror(vlookup($F833,'Reference info'!$J$10:$J$36,1,0))),"Producer &amp; Engineer")</f>
        <v/>
      </c>
    </row>
    <row r="834">
      <c r="A834" s="28"/>
      <c r="B834" s="103"/>
      <c r="C834" s="121" t="str">
        <f t="array" ref="C834">ifs(and(isblank($A834),isblank($B834)),"", not(iserror(vlookup($A834&amp;$B834,'3) Release_Label'!$D:$D&amp;'3) Release_Label'!$E:$E,1,0))),vlookup($A834&amp;$B834,{'3) Release_Label'!$D:$D&amp;'3) Release_Label'!$E:$E,'3) Release_Label'!$F:$F},2,0), or(and(not(isblank($B834)),$B834=$B833,$A834&lt;&gt;$A833),and(not(isblank($A834)),$A834=$A833,$B834&lt;&gt;$B833)),"ID LISTS UNALIGNED",and($A834&lt;&gt;"",countif('3) Release_Label'!$D:$D,$A834)=0),"NO UPC MATCH in Release_Label",and($B834&lt;&gt;"",countif('3) Release_Label'!$E:$E,$B834)=0),"NO CATALOG ID MATCH in Release_Label",iserror(vlookup($A834&amp;$B834,'3) Release_Label'!$D:$D&amp;'3) Release_Label'!$E:$E,1,0)),"NO UPC-CATALOG ID pair MATCH in Release_Label" )</f>
        <v/>
      </c>
      <c r="D834" s="121" t="str">
        <f t="array" ref="D834">ifs(and(isblank($A834),isblank($B834)),"", not(iserror(vlookup($A834&amp;$B834,'3) Release_Label'!$D:$D&amp;'3) Release_Label'!$E:$E,1,0))),vlookup($A834&amp;$B834,{'3) Release_Label'!$D:$D&amp;'3) Release_Label'!$E:$E,'3) Release_Label'!$H:$H},2,0), or(and(not(isblank($B834)),$B834=$B833,$A834&lt;&gt;$A833),and(not(isblank($A834)),$A834=$A833,$B834&lt;&gt;$B833)),"ID LISTS UNALIGNED",and($A834&lt;&gt;"",countif('3) Release_Label'!$D:$D,$A834)=0),"NO UPC MATCH in Release_Label",and($B834&lt;&gt;"",countif('3) Release_Label'!$E:$E,$B834)=0),"NO CATALOG ID MATCH in Release_Label",iserror(vlookup($A834&amp;$B834,'3) Release_Label'!$D:$D&amp;'3) Release_Label'!$E:$E,1,0)),"NO UPC-CATALOG ID pair MATCH in Release_Label" )</f>
        <v/>
      </c>
      <c r="E834" s="99"/>
      <c r="F834" s="99"/>
      <c r="G834" s="123" t="str">
        <f t="array" ref="G834">ifs(or($F834="",$F834="Main Primary Artist"),$F834,not(iserror(vlookup($F834,'Reference info'!$J$5:$J$8,1,0))),"Key Artist",not(iserror(vlookup($F834,'Reference info'!$J$38:$J$405,1,0))),"Performer",not(iserror(vlookup($F834,'Reference info'!$J$10:$J$36,1,0))),"Producer &amp; Engineer")</f>
        <v/>
      </c>
    </row>
    <row r="835">
      <c r="A835" s="28"/>
      <c r="B835" s="103"/>
      <c r="C835" s="121" t="str">
        <f t="array" ref="C835">ifs(and(isblank($A835),isblank($B835)),"", not(iserror(vlookup($A835&amp;$B835,'3) Release_Label'!$D:$D&amp;'3) Release_Label'!$E:$E,1,0))),vlookup($A835&amp;$B835,{'3) Release_Label'!$D:$D&amp;'3) Release_Label'!$E:$E,'3) Release_Label'!$F:$F},2,0), or(and(not(isblank($B835)),$B835=$B834,$A835&lt;&gt;$A834),and(not(isblank($A835)),$A835=$A834,$B835&lt;&gt;$B834)),"ID LISTS UNALIGNED",and($A835&lt;&gt;"",countif('3) Release_Label'!$D:$D,$A835)=0),"NO UPC MATCH in Release_Label",and($B835&lt;&gt;"",countif('3) Release_Label'!$E:$E,$B835)=0),"NO CATALOG ID MATCH in Release_Label",iserror(vlookup($A835&amp;$B835,'3) Release_Label'!$D:$D&amp;'3) Release_Label'!$E:$E,1,0)),"NO UPC-CATALOG ID pair MATCH in Release_Label" )</f>
        <v/>
      </c>
      <c r="D835" s="121" t="str">
        <f t="array" ref="D835">ifs(and(isblank($A835),isblank($B835)),"", not(iserror(vlookup($A835&amp;$B835,'3) Release_Label'!$D:$D&amp;'3) Release_Label'!$E:$E,1,0))),vlookup($A835&amp;$B835,{'3) Release_Label'!$D:$D&amp;'3) Release_Label'!$E:$E,'3) Release_Label'!$H:$H},2,0), or(and(not(isblank($B835)),$B835=$B834,$A835&lt;&gt;$A834),and(not(isblank($A835)),$A835=$A834,$B835&lt;&gt;$B834)),"ID LISTS UNALIGNED",and($A835&lt;&gt;"",countif('3) Release_Label'!$D:$D,$A835)=0),"NO UPC MATCH in Release_Label",and($B835&lt;&gt;"",countif('3) Release_Label'!$E:$E,$B835)=0),"NO CATALOG ID MATCH in Release_Label",iserror(vlookup($A835&amp;$B835,'3) Release_Label'!$D:$D&amp;'3) Release_Label'!$E:$E,1,0)),"NO UPC-CATALOG ID pair MATCH in Release_Label" )</f>
        <v/>
      </c>
      <c r="E835" s="99"/>
      <c r="F835" s="99"/>
      <c r="G835" s="123" t="str">
        <f t="array" ref="G835">ifs(or($F835="",$F835="Main Primary Artist"),$F835,not(iserror(vlookup($F835,'Reference info'!$J$5:$J$8,1,0))),"Key Artist",not(iserror(vlookup($F835,'Reference info'!$J$38:$J$405,1,0))),"Performer",not(iserror(vlookup($F835,'Reference info'!$J$10:$J$36,1,0))),"Producer &amp; Engineer")</f>
        <v/>
      </c>
    </row>
    <row r="836">
      <c r="A836" s="28"/>
      <c r="B836" s="103"/>
      <c r="C836" s="121" t="str">
        <f t="array" ref="C836">ifs(and(isblank($A836),isblank($B836)),"", not(iserror(vlookup($A836&amp;$B836,'3) Release_Label'!$D:$D&amp;'3) Release_Label'!$E:$E,1,0))),vlookup($A836&amp;$B836,{'3) Release_Label'!$D:$D&amp;'3) Release_Label'!$E:$E,'3) Release_Label'!$F:$F},2,0), or(and(not(isblank($B836)),$B836=$B835,$A836&lt;&gt;$A835),and(not(isblank($A836)),$A836=$A835,$B836&lt;&gt;$B835)),"ID LISTS UNALIGNED",and($A836&lt;&gt;"",countif('3) Release_Label'!$D:$D,$A836)=0),"NO UPC MATCH in Release_Label",and($B836&lt;&gt;"",countif('3) Release_Label'!$E:$E,$B836)=0),"NO CATALOG ID MATCH in Release_Label",iserror(vlookup($A836&amp;$B836,'3) Release_Label'!$D:$D&amp;'3) Release_Label'!$E:$E,1,0)),"NO UPC-CATALOG ID pair MATCH in Release_Label" )</f>
        <v/>
      </c>
      <c r="D836" s="121" t="str">
        <f t="array" ref="D836">ifs(and(isblank($A836),isblank($B836)),"", not(iserror(vlookup($A836&amp;$B836,'3) Release_Label'!$D:$D&amp;'3) Release_Label'!$E:$E,1,0))),vlookup($A836&amp;$B836,{'3) Release_Label'!$D:$D&amp;'3) Release_Label'!$E:$E,'3) Release_Label'!$H:$H},2,0), or(and(not(isblank($B836)),$B836=$B835,$A836&lt;&gt;$A835),and(not(isblank($A836)),$A836=$A835,$B836&lt;&gt;$B835)),"ID LISTS UNALIGNED",and($A836&lt;&gt;"",countif('3) Release_Label'!$D:$D,$A836)=0),"NO UPC MATCH in Release_Label",and($B836&lt;&gt;"",countif('3) Release_Label'!$E:$E,$B836)=0),"NO CATALOG ID MATCH in Release_Label",iserror(vlookup($A836&amp;$B836,'3) Release_Label'!$D:$D&amp;'3) Release_Label'!$E:$E,1,0)),"NO UPC-CATALOG ID pair MATCH in Release_Label" )</f>
        <v/>
      </c>
      <c r="E836" s="99"/>
      <c r="F836" s="99"/>
      <c r="G836" s="123" t="str">
        <f t="array" ref="G836">ifs(or($F836="",$F836="Main Primary Artist"),$F836,not(iserror(vlookup($F836,'Reference info'!$J$5:$J$8,1,0))),"Key Artist",not(iserror(vlookup($F836,'Reference info'!$J$38:$J$405,1,0))),"Performer",not(iserror(vlookup($F836,'Reference info'!$J$10:$J$36,1,0))),"Producer &amp; Engineer")</f>
        <v/>
      </c>
    </row>
    <row r="837">
      <c r="A837" s="28"/>
      <c r="B837" s="103"/>
      <c r="C837" s="121" t="str">
        <f t="array" ref="C837">ifs(and(isblank($A837),isblank($B837)),"", not(iserror(vlookup($A837&amp;$B837,'3) Release_Label'!$D:$D&amp;'3) Release_Label'!$E:$E,1,0))),vlookup($A837&amp;$B837,{'3) Release_Label'!$D:$D&amp;'3) Release_Label'!$E:$E,'3) Release_Label'!$F:$F},2,0), or(and(not(isblank($B837)),$B837=$B836,$A837&lt;&gt;$A836),and(not(isblank($A837)),$A837=$A836,$B837&lt;&gt;$B836)),"ID LISTS UNALIGNED",and($A837&lt;&gt;"",countif('3) Release_Label'!$D:$D,$A837)=0),"NO UPC MATCH in Release_Label",and($B837&lt;&gt;"",countif('3) Release_Label'!$E:$E,$B837)=0),"NO CATALOG ID MATCH in Release_Label",iserror(vlookup($A837&amp;$B837,'3) Release_Label'!$D:$D&amp;'3) Release_Label'!$E:$E,1,0)),"NO UPC-CATALOG ID pair MATCH in Release_Label" )</f>
        <v/>
      </c>
      <c r="D837" s="121" t="str">
        <f t="array" ref="D837">ifs(and(isblank($A837),isblank($B837)),"", not(iserror(vlookup($A837&amp;$B837,'3) Release_Label'!$D:$D&amp;'3) Release_Label'!$E:$E,1,0))),vlookup($A837&amp;$B837,{'3) Release_Label'!$D:$D&amp;'3) Release_Label'!$E:$E,'3) Release_Label'!$H:$H},2,0), or(and(not(isblank($B837)),$B837=$B836,$A837&lt;&gt;$A836),and(not(isblank($A837)),$A837=$A836,$B837&lt;&gt;$B836)),"ID LISTS UNALIGNED",and($A837&lt;&gt;"",countif('3) Release_Label'!$D:$D,$A837)=0),"NO UPC MATCH in Release_Label",and($B837&lt;&gt;"",countif('3) Release_Label'!$E:$E,$B837)=0),"NO CATALOG ID MATCH in Release_Label",iserror(vlookup($A837&amp;$B837,'3) Release_Label'!$D:$D&amp;'3) Release_Label'!$E:$E,1,0)),"NO UPC-CATALOG ID pair MATCH in Release_Label" )</f>
        <v/>
      </c>
      <c r="E837" s="99"/>
      <c r="F837" s="99"/>
      <c r="G837" s="123" t="str">
        <f t="array" ref="G837">ifs(or($F837="",$F837="Main Primary Artist"),$F837,not(iserror(vlookup($F837,'Reference info'!$J$5:$J$8,1,0))),"Key Artist",not(iserror(vlookup($F837,'Reference info'!$J$38:$J$405,1,0))),"Performer",not(iserror(vlookup($F837,'Reference info'!$J$10:$J$36,1,0))),"Producer &amp; Engineer")</f>
        <v/>
      </c>
    </row>
    <row r="838">
      <c r="A838" s="28"/>
      <c r="B838" s="103"/>
      <c r="C838" s="121" t="str">
        <f t="array" ref="C838">ifs(and(isblank($A838),isblank($B838)),"", not(iserror(vlookup($A838&amp;$B838,'3) Release_Label'!$D:$D&amp;'3) Release_Label'!$E:$E,1,0))),vlookup($A838&amp;$B838,{'3) Release_Label'!$D:$D&amp;'3) Release_Label'!$E:$E,'3) Release_Label'!$F:$F},2,0), or(and(not(isblank($B838)),$B838=$B837,$A838&lt;&gt;$A837),and(not(isblank($A838)),$A838=$A837,$B838&lt;&gt;$B837)),"ID LISTS UNALIGNED",and($A838&lt;&gt;"",countif('3) Release_Label'!$D:$D,$A838)=0),"NO UPC MATCH in Release_Label",and($B838&lt;&gt;"",countif('3) Release_Label'!$E:$E,$B838)=0),"NO CATALOG ID MATCH in Release_Label",iserror(vlookup($A838&amp;$B838,'3) Release_Label'!$D:$D&amp;'3) Release_Label'!$E:$E,1,0)),"NO UPC-CATALOG ID pair MATCH in Release_Label" )</f>
        <v/>
      </c>
      <c r="D838" s="121" t="str">
        <f t="array" ref="D838">ifs(and(isblank($A838),isblank($B838)),"", not(iserror(vlookup($A838&amp;$B838,'3) Release_Label'!$D:$D&amp;'3) Release_Label'!$E:$E,1,0))),vlookup($A838&amp;$B838,{'3) Release_Label'!$D:$D&amp;'3) Release_Label'!$E:$E,'3) Release_Label'!$H:$H},2,0), or(and(not(isblank($B838)),$B838=$B837,$A838&lt;&gt;$A837),and(not(isblank($A838)),$A838=$A837,$B838&lt;&gt;$B837)),"ID LISTS UNALIGNED",and($A838&lt;&gt;"",countif('3) Release_Label'!$D:$D,$A838)=0),"NO UPC MATCH in Release_Label",and($B838&lt;&gt;"",countif('3) Release_Label'!$E:$E,$B838)=0),"NO CATALOG ID MATCH in Release_Label",iserror(vlookup($A838&amp;$B838,'3) Release_Label'!$D:$D&amp;'3) Release_Label'!$E:$E,1,0)),"NO UPC-CATALOG ID pair MATCH in Release_Label" )</f>
        <v/>
      </c>
      <c r="E838" s="99"/>
      <c r="F838" s="99"/>
      <c r="G838" s="123" t="str">
        <f t="array" ref="G838">ifs(or($F838="",$F838="Main Primary Artist"),$F838,not(iserror(vlookup($F838,'Reference info'!$J$5:$J$8,1,0))),"Key Artist",not(iserror(vlookup($F838,'Reference info'!$J$38:$J$405,1,0))),"Performer",not(iserror(vlookup($F838,'Reference info'!$J$10:$J$36,1,0))),"Producer &amp; Engineer")</f>
        <v/>
      </c>
    </row>
    <row r="839">
      <c r="A839" s="28"/>
      <c r="B839" s="103"/>
      <c r="C839" s="121" t="str">
        <f t="array" ref="C839">ifs(and(isblank($A839),isblank($B839)),"", not(iserror(vlookup($A839&amp;$B839,'3) Release_Label'!$D:$D&amp;'3) Release_Label'!$E:$E,1,0))),vlookup($A839&amp;$B839,{'3) Release_Label'!$D:$D&amp;'3) Release_Label'!$E:$E,'3) Release_Label'!$F:$F},2,0), or(and(not(isblank($B839)),$B839=$B838,$A839&lt;&gt;$A838),and(not(isblank($A839)),$A839=$A838,$B839&lt;&gt;$B838)),"ID LISTS UNALIGNED",and($A839&lt;&gt;"",countif('3) Release_Label'!$D:$D,$A839)=0),"NO UPC MATCH in Release_Label",and($B839&lt;&gt;"",countif('3) Release_Label'!$E:$E,$B839)=0),"NO CATALOG ID MATCH in Release_Label",iserror(vlookup($A839&amp;$B839,'3) Release_Label'!$D:$D&amp;'3) Release_Label'!$E:$E,1,0)),"NO UPC-CATALOG ID pair MATCH in Release_Label" )</f>
        <v/>
      </c>
      <c r="D839" s="121" t="str">
        <f t="array" ref="D839">ifs(and(isblank($A839),isblank($B839)),"", not(iserror(vlookup($A839&amp;$B839,'3) Release_Label'!$D:$D&amp;'3) Release_Label'!$E:$E,1,0))),vlookup($A839&amp;$B839,{'3) Release_Label'!$D:$D&amp;'3) Release_Label'!$E:$E,'3) Release_Label'!$H:$H},2,0), or(and(not(isblank($B839)),$B839=$B838,$A839&lt;&gt;$A838),and(not(isblank($A839)),$A839=$A838,$B839&lt;&gt;$B838)),"ID LISTS UNALIGNED",and($A839&lt;&gt;"",countif('3) Release_Label'!$D:$D,$A839)=0),"NO UPC MATCH in Release_Label",and($B839&lt;&gt;"",countif('3) Release_Label'!$E:$E,$B839)=0),"NO CATALOG ID MATCH in Release_Label",iserror(vlookup($A839&amp;$B839,'3) Release_Label'!$D:$D&amp;'3) Release_Label'!$E:$E,1,0)),"NO UPC-CATALOG ID pair MATCH in Release_Label" )</f>
        <v/>
      </c>
      <c r="E839" s="99"/>
      <c r="F839" s="99"/>
      <c r="G839" s="123" t="str">
        <f t="array" ref="G839">ifs(or($F839="",$F839="Main Primary Artist"),$F839,not(iserror(vlookup($F839,'Reference info'!$J$5:$J$8,1,0))),"Key Artist",not(iserror(vlookup($F839,'Reference info'!$J$38:$J$405,1,0))),"Performer",not(iserror(vlookup($F839,'Reference info'!$J$10:$J$36,1,0))),"Producer &amp; Engineer")</f>
        <v/>
      </c>
    </row>
    <row r="840">
      <c r="A840" s="28"/>
      <c r="B840" s="103"/>
      <c r="C840" s="121" t="str">
        <f t="array" ref="C840">ifs(and(isblank($A840),isblank($B840)),"", not(iserror(vlookup($A840&amp;$B840,'3) Release_Label'!$D:$D&amp;'3) Release_Label'!$E:$E,1,0))),vlookup($A840&amp;$B840,{'3) Release_Label'!$D:$D&amp;'3) Release_Label'!$E:$E,'3) Release_Label'!$F:$F},2,0), or(and(not(isblank($B840)),$B840=$B839,$A840&lt;&gt;$A839),and(not(isblank($A840)),$A840=$A839,$B840&lt;&gt;$B839)),"ID LISTS UNALIGNED",and($A840&lt;&gt;"",countif('3) Release_Label'!$D:$D,$A840)=0),"NO UPC MATCH in Release_Label",and($B840&lt;&gt;"",countif('3) Release_Label'!$E:$E,$B840)=0),"NO CATALOG ID MATCH in Release_Label",iserror(vlookup($A840&amp;$B840,'3) Release_Label'!$D:$D&amp;'3) Release_Label'!$E:$E,1,0)),"NO UPC-CATALOG ID pair MATCH in Release_Label" )</f>
        <v/>
      </c>
      <c r="D840" s="121" t="str">
        <f t="array" ref="D840">ifs(and(isblank($A840),isblank($B840)),"", not(iserror(vlookup($A840&amp;$B840,'3) Release_Label'!$D:$D&amp;'3) Release_Label'!$E:$E,1,0))),vlookup($A840&amp;$B840,{'3) Release_Label'!$D:$D&amp;'3) Release_Label'!$E:$E,'3) Release_Label'!$H:$H},2,0), or(and(not(isblank($B840)),$B840=$B839,$A840&lt;&gt;$A839),and(not(isblank($A840)),$A840=$A839,$B840&lt;&gt;$B839)),"ID LISTS UNALIGNED",and($A840&lt;&gt;"",countif('3) Release_Label'!$D:$D,$A840)=0),"NO UPC MATCH in Release_Label",and($B840&lt;&gt;"",countif('3) Release_Label'!$E:$E,$B840)=0),"NO CATALOG ID MATCH in Release_Label",iserror(vlookup($A840&amp;$B840,'3) Release_Label'!$D:$D&amp;'3) Release_Label'!$E:$E,1,0)),"NO UPC-CATALOG ID pair MATCH in Release_Label" )</f>
        <v/>
      </c>
      <c r="E840" s="99"/>
      <c r="F840" s="99"/>
      <c r="G840" s="123" t="str">
        <f t="array" ref="G840">ifs(or($F840="",$F840="Main Primary Artist"),$F840,not(iserror(vlookup($F840,'Reference info'!$J$5:$J$8,1,0))),"Key Artist",not(iserror(vlookup($F840,'Reference info'!$J$38:$J$405,1,0))),"Performer",not(iserror(vlookup($F840,'Reference info'!$J$10:$J$36,1,0))),"Producer &amp; Engineer")</f>
        <v/>
      </c>
    </row>
    <row r="841">
      <c r="A841" s="28"/>
      <c r="B841" s="103"/>
      <c r="C841" s="121" t="str">
        <f t="array" ref="C841">ifs(and(isblank($A841),isblank($B841)),"", not(iserror(vlookup($A841&amp;$B841,'3) Release_Label'!$D:$D&amp;'3) Release_Label'!$E:$E,1,0))),vlookup($A841&amp;$B841,{'3) Release_Label'!$D:$D&amp;'3) Release_Label'!$E:$E,'3) Release_Label'!$F:$F},2,0), or(and(not(isblank($B841)),$B841=$B840,$A841&lt;&gt;$A840),and(not(isblank($A841)),$A841=$A840,$B841&lt;&gt;$B840)),"ID LISTS UNALIGNED",and($A841&lt;&gt;"",countif('3) Release_Label'!$D:$D,$A841)=0),"NO UPC MATCH in Release_Label",and($B841&lt;&gt;"",countif('3) Release_Label'!$E:$E,$B841)=0),"NO CATALOG ID MATCH in Release_Label",iserror(vlookup($A841&amp;$B841,'3) Release_Label'!$D:$D&amp;'3) Release_Label'!$E:$E,1,0)),"NO UPC-CATALOG ID pair MATCH in Release_Label" )</f>
        <v/>
      </c>
      <c r="D841" s="121" t="str">
        <f t="array" ref="D841">ifs(and(isblank($A841),isblank($B841)),"", not(iserror(vlookup($A841&amp;$B841,'3) Release_Label'!$D:$D&amp;'3) Release_Label'!$E:$E,1,0))),vlookup($A841&amp;$B841,{'3) Release_Label'!$D:$D&amp;'3) Release_Label'!$E:$E,'3) Release_Label'!$H:$H},2,0), or(and(not(isblank($B841)),$B841=$B840,$A841&lt;&gt;$A840),and(not(isblank($A841)),$A841=$A840,$B841&lt;&gt;$B840)),"ID LISTS UNALIGNED",and($A841&lt;&gt;"",countif('3) Release_Label'!$D:$D,$A841)=0),"NO UPC MATCH in Release_Label",and($B841&lt;&gt;"",countif('3) Release_Label'!$E:$E,$B841)=0),"NO CATALOG ID MATCH in Release_Label",iserror(vlookup($A841&amp;$B841,'3) Release_Label'!$D:$D&amp;'3) Release_Label'!$E:$E,1,0)),"NO UPC-CATALOG ID pair MATCH in Release_Label" )</f>
        <v/>
      </c>
      <c r="E841" s="99"/>
      <c r="F841" s="99"/>
      <c r="G841" s="123" t="str">
        <f t="array" ref="G841">ifs(or($F841="",$F841="Main Primary Artist"),$F841,not(iserror(vlookup($F841,'Reference info'!$J$5:$J$8,1,0))),"Key Artist",not(iserror(vlookup($F841,'Reference info'!$J$38:$J$405,1,0))),"Performer",not(iserror(vlookup($F841,'Reference info'!$J$10:$J$36,1,0))),"Producer &amp; Engineer")</f>
        <v/>
      </c>
    </row>
    <row r="842">
      <c r="A842" s="28"/>
      <c r="B842" s="103"/>
      <c r="C842" s="121" t="str">
        <f t="array" ref="C842">ifs(and(isblank($A842),isblank($B842)),"", not(iserror(vlookup($A842&amp;$B842,'3) Release_Label'!$D:$D&amp;'3) Release_Label'!$E:$E,1,0))),vlookup($A842&amp;$B842,{'3) Release_Label'!$D:$D&amp;'3) Release_Label'!$E:$E,'3) Release_Label'!$F:$F},2,0), or(and(not(isblank($B842)),$B842=$B841,$A842&lt;&gt;$A841),and(not(isblank($A842)),$A842=$A841,$B842&lt;&gt;$B841)),"ID LISTS UNALIGNED",and($A842&lt;&gt;"",countif('3) Release_Label'!$D:$D,$A842)=0),"NO UPC MATCH in Release_Label",and($B842&lt;&gt;"",countif('3) Release_Label'!$E:$E,$B842)=0),"NO CATALOG ID MATCH in Release_Label",iserror(vlookup($A842&amp;$B842,'3) Release_Label'!$D:$D&amp;'3) Release_Label'!$E:$E,1,0)),"NO UPC-CATALOG ID pair MATCH in Release_Label" )</f>
        <v/>
      </c>
      <c r="D842" s="121" t="str">
        <f t="array" ref="D842">ifs(and(isblank($A842),isblank($B842)),"", not(iserror(vlookup($A842&amp;$B842,'3) Release_Label'!$D:$D&amp;'3) Release_Label'!$E:$E,1,0))),vlookup($A842&amp;$B842,{'3) Release_Label'!$D:$D&amp;'3) Release_Label'!$E:$E,'3) Release_Label'!$H:$H},2,0), or(and(not(isblank($B842)),$B842=$B841,$A842&lt;&gt;$A841),and(not(isblank($A842)),$A842=$A841,$B842&lt;&gt;$B841)),"ID LISTS UNALIGNED",and($A842&lt;&gt;"",countif('3) Release_Label'!$D:$D,$A842)=0),"NO UPC MATCH in Release_Label",and($B842&lt;&gt;"",countif('3) Release_Label'!$E:$E,$B842)=0),"NO CATALOG ID MATCH in Release_Label",iserror(vlookup($A842&amp;$B842,'3) Release_Label'!$D:$D&amp;'3) Release_Label'!$E:$E,1,0)),"NO UPC-CATALOG ID pair MATCH in Release_Label" )</f>
        <v/>
      </c>
      <c r="E842" s="99"/>
      <c r="F842" s="99"/>
      <c r="G842" s="123" t="str">
        <f t="array" ref="G842">ifs(or($F842="",$F842="Main Primary Artist"),$F842,not(iserror(vlookup($F842,'Reference info'!$J$5:$J$8,1,0))),"Key Artist",not(iserror(vlookup($F842,'Reference info'!$J$38:$J$405,1,0))),"Performer",not(iserror(vlookup($F842,'Reference info'!$J$10:$J$36,1,0))),"Producer &amp; Engineer")</f>
        <v/>
      </c>
    </row>
    <row r="843">
      <c r="A843" s="28"/>
      <c r="B843" s="103"/>
      <c r="C843" s="121" t="str">
        <f t="array" ref="C843">ifs(and(isblank($A843),isblank($B843)),"", not(iserror(vlookup($A843&amp;$B843,'3) Release_Label'!$D:$D&amp;'3) Release_Label'!$E:$E,1,0))),vlookup($A843&amp;$B843,{'3) Release_Label'!$D:$D&amp;'3) Release_Label'!$E:$E,'3) Release_Label'!$F:$F},2,0), or(and(not(isblank($B843)),$B843=$B842,$A843&lt;&gt;$A842),and(not(isblank($A843)),$A843=$A842,$B843&lt;&gt;$B842)),"ID LISTS UNALIGNED",and($A843&lt;&gt;"",countif('3) Release_Label'!$D:$D,$A843)=0),"NO UPC MATCH in Release_Label",and($B843&lt;&gt;"",countif('3) Release_Label'!$E:$E,$B843)=0),"NO CATALOG ID MATCH in Release_Label",iserror(vlookup($A843&amp;$B843,'3) Release_Label'!$D:$D&amp;'3) Release_Label'!$E:$E,1,0)),"NO UPC-CATALOG ID pair MATCH in Release_Label" )</f>
        <v/>
      </c>
      <c r="D843" s="121" t="str">
        <f t="array" ref="D843">ifs(and(isblank($A843),isblank($B843)),"", not(iserror(vlookup($A843&amp;$B843,'3) Release_Label'!$D:$D&amp;'3) Release_Label'!$E:$E,1,0))),vlookup($A843&amp;$B843,{'3) Release_Label'!$D:$D&amp;'3) Release_Label'!$E:$E,'3) Release_Label'!$H:$H},2,0), or(and(not(isblank($B843)),$B843=$B842,$A843&lt;&gt;$A842),and(not(isblank($A843)),$A843=$A842,$B843&lt;&gt;$B842)),"ID LISTS UNALIGNED",and($A843&lt;&gt;"",countif('3) Release_Label'!$D:$D,$A843)=0),"NO UPC MATCH in Release_Label",and($B843&lt;&gt;"",countif('3) Release_Label'!$E:$E,$B843)=0),"NO CATALOG ID MATCH in Release_Label",iserror(vlookup($A843&amp;$B843,'3) Release_Label'!$D:$D&amp;'3) Release_Label'!$E:$E,1,0)),"NO UPC-CATALOG ID pair MATCH in Release_Label" )</f>
        <v/>
      </c>
      <c r="E843" s="99"/>
      <c r="F843" s="99"/>
      <c r="G843" s="123" t="str">
        <f t="array" ref="G843">ifs(or($F843="",$F843="Main Primary Artist"),$F843,not(iserror(vlookup($F843,'Reference info'!$J$5:$J$8,1,0))),"Key Artist",not(iserror(vlookup($F843,'Reference info'!$J$38:$J$405,1,0))),"Performer",not(iserror(vlookup($F843,'Reference info'!$J$10:$J$36,1,0))),"Producer &amp; Engineer")</f>
        <v/>
      </c>
    </row>
    <row r="844">
      <c r="A844" s="28"/>
      <c r="B844" s="103"/>
      <c r="C844" s="121" t="str">
        <f t="array" ref="C844">ifs(and(isblank($A844),isblank($B844)),"", not(iserror(vlookup($A844&amp;$B844,'3) Release_Label'!$D:$D&amp;'3) Release_Label'!$E:$E,1,0))),vlookup($A844&amp;$B844,{'3) Release_Label'!$D:$D&amp;'3) Release_Label'!$E:$E,'3) Release_Label'!$F:$F},2,0), or(and(not(isblank($B844)),$B844=$B843,$A844&lt;&gt;$A843),and(not(isblank($A844)),$A844=$A843,$B844&lt;&gt;$B843)),"ID LISTS UNALIGNED",and($A844&lt;&gt;"",countif('3) Release_Label'!$D:$D,$A844)=0),"NO UPC MATCH in Release_Label",and($B844&lt;&gt;"",countif('3) Release_Label'!$E:$E,$B844)=0),"NO CATALOG ID MATCH in Release_Label",iserror(vlookup($A844&amp;$B844,'3) Release_Label'!$D:$D&amp;'3) Release_Label'!$E:$E,1,0)),"NO UPC-CATALOG ID pair MATCH in Release_Label" )</f>
        <v/>
      </c>
      <c r="D844" s="121" t="str">
        <f t="array" ref="D844">ifs(and(isblank($A844),isblank($B844)),"", not(iserror(vlookup($A844&amp;$B844,'3) Release_Label'!$D:$D&amp;'3) Release_Label'!$E:$E,1,0))),vlookup($A844&amp;$B844,{'3) Release_Label'!$D:$D&amp;'3) Release_Label'!$E:$E,'3) Release_Label'!$H:$H},2,0), or(and(not(isblank($B844)),$B844=$B843,$A844&lt;&gt;$A843),and(not(isblank($A844)),$A844=$A843,$B844&lt;&gt;$B843)),"ID LISTS UNALIGNED",and($A844&lt;&gt;"",countif('3) Release_Label'!$D:$D,$A844)=0),"NO UPC MATCH in Release_Label",and($B844&lt;&gt;"",countif('3) Release_Label'!$E:$E,$B844)=0),"NO CATALOG ID MATCH in Release_Label",iserror(vlookup($A844&amp;$B844,'3) Release_Label'!$D:$D&amp;'3) Release_Label'!$E:$E,1,0)),"NO UPC-CATALOG ID pair MATCH in Release_Label" )</f>
        <v/>
      </c>
      <c r="E844" s="99"/>
      <c r="F844" s="99"/>
      <c r="G844" s="123" t="str">
        <f t="array" ref="G844">ifs(or($F844="",$F844="Main Primary Artist"),$F844,not(iserror(vlookup($F844,'Reference info'!$J$5:$J$8,1,0))),"Key Artist",not(iserror(vlookup($F844,'Reference info'!$J$38:$J$405,1,0))),"Performer",not(iserror(vlookup($F844,'Reference info'!$J$10:$J$36,1,0))),"Producer &amp; Engineer")</f>
        <v/>
      </c>
    </row>
    <row r="845">
      <c r="A845" s="28"/>
      <c r="B845" s="103"/>
      <c r="C845" s="121" t="str">
        <f t="array" ref="C845">ifs(and(isblank($A845),isblank($B845)),"", not(iserror(vlookup($A845&amp;$B845,'3) Release_Label'!$D:$D&amp;'3) Release_Label'!$E:$E,1,0))),vlookup($A845&amp;$B845,{'3) Release_Label'!$D:$D&amp;'3) Release_Label'!$E:$E,'3) Release_Label'!$F:$F},2,0), or(and(not(isblank($B845)),$B845=$B844,$A845&lt;&gt;$A844),and(not(isblank($A845)),$A845=$A844,$B845&lt;&gt;$B844)),"ID LISTS UNALIGNED",and($A845&lt;&gt;"",countif('3) Release_Label'!$D:$D,$A845)=0),"NO UPC MATCH in Release_Label",and($B845&lt;&gt;"",countif('3) Release_Label'!$E:$E,$B845)=0),"NO CATALOG ID MATCH in Release_Label",iserror(vlookup($A845&amp;$B845,'3) Release_Label'!$D:$D&amp;'3) Release_Label'!$E:$E,1,0)),"NO UPC-CATALOG ID pair MATCH in Release_Label" )</f>
        <v/>
      </c>
      <c r="D845" s="121" t="str">
        <f t="array" ref="D845">ifs(and(isblank($A845),isblank($B845)),"", not(iserror(vlookup($A845&amp;$B845,'3) Release_Label'!$D:$D&amp;'3) Release_Label'!$E:$E,1,0))),vlookup($A845&amp;$B845,{'3) Release_Label'!$D:$D&amp;'3) Release_Label'!$E:$E,'3) Release_Label'!$H:$H},2,0), or(and(not(isblank($B845)),$B845=$B844,$A845&lt;&gt;$A844),and(not(isblank($A845)),$A845=$A844,$B845&lt;&gt;$B844)),"ID LISTS UNALIGNED",and($A845&lt;&gt;"",countif('3) Release_Label'!$D:$D,$A845)=0),"NO UPC MATCH in Release_Label",and($B845&lt;&gt;"",countif('3) Release_Label'!$E:$E,$B845)=0),"NO CATALOG ID MATCH in Release_Label",iserror(vlookup($A845&amp;$B845,'3) Release_Label'!$D:$D&amp;'3) Release_Label'!$E:$E,1,0)),"NO UPC-CATALOG ID pair MATCH in Release_Label" )</f>
        <v/>
      </c>
      <c r="E845" s="99"/>
      <c r="F845" s="99"/>
      <c r="G845" s="123" t="str">
        <f t="array" ref="G845">ifs(or($F845="",$F845="Main Primary Artist"),$F845,not(iserror(vlookup($F845,'Reference info'!$J$5:$J$8,1,0))),"Key Artist",not(iserror(vlookup($F845,'Reference info'!$J$38:$J$405,1,0))),"Performer",not(iserror(vlookup($F845,'Reference info'!$J$10:$J$36,1,0))),"Producer &amp; Engineer")</f>
        <v/>
      </c>
    </row>
    <row r="846">
      <c r="A846" s="28"/>
      <c r="B846" s="103"/>
      <c r="C846" s="121" t="str">
        <f t="array" ref="C846">ifs(and(isblank($A846),isblank($B846)),"", not(iserror(vlookup($A846&amp;$B846,'3) Release_Label'!$D:$D&amp;'3) Release_Label'!$E:$E,1,0))),vlookup($A846&amp;$B846,{'3) Release_Label'!$D:$D&amp;'3) Release_Label'!$E:$E,'3) Release_Label'!$F:$F},2,0), or(and(not(isblank($B846)),$B846=$B845,$A846&lt;&gt;$A845),and(not(isblank($A846)),$A846=$A845,$B846&lt;&gt;$B845)),"ID LISTS UNALIGNED",and($A846&lt;&gt;"",countif('3) Release_Label'!$D:$D,$A846)=0),"NO UPC MATCH in Release_Label",and($B846&lt;&gt;"",countif('3) Release_Label'!$E:$E,$B846)=0),"NO CATALOG ID MATCH in Release_Label",iserror(vlookup($A846&amp;$B846,'3) Release_Label'!$D:$D&amp;'3) Release_Label'!$E:$E,1,0)),"NO UPC-CATALOG ID pair MATCH in Release_Label" )</f>
        <v/>
      </c>
      <c r="D846" s="121" t="str">
        <f t="array" ref="D846">ifs(and(isblank($A846),isblank($B846)),"", not(iserror(vlookup($A846&amp;$B846,'3) Release_Label'!$D:$D&amp;'3) Release_Label'!$E:$E,1,0))),vlookup($A846&amp;$B846,{'3) Release_Label'!$D:$D&amp;'3) Release_Label'!$E:$E,'3) Release_Label'!$H:$H},2,0), or(and(not(isblank($B846)),$B846=$B845,$A846&lt;&gt;$A845),and(not(isblank($A846)),$A846=$A845,$B846&lt;&gt;$B845)),"ID LISTS UNALIGNED",and($A846&lt;&gt;"",countif('3) Release_Label'!$D:$D,$A846)=0),"NO UPC MATCH in Release_Label",and($B846&lt;&gt;"",countif('3) Release_Label'!$E:$E,$B846)=0),"NO CATALOG ID MATCH in Release_Label",iserror(vlookup($A846&amp;$B846,'3) Release_Label'!$D:$D&amp;'3) Release_Label'!$E:$E,1,0)),"NO UPC-CATALOG ID pair MATCH in Release_Label" )</f>
        <v/>
      </c>
      <c r="E846" s="99"/>
      <c r="F846" s="99"/>
      <c r="G846" s="123" t="str">
        <f t="array" ref="G846">ifs(or($F846="",$F846="Main Primary Artist"),$F846,not(iserror(vlookup($F846,'Reference info'!$J$5:$J$8,1,0))),"Key Artist",not(iserror(vlookup($F846,'Reference info'!$J$38:$J$405,1,0))),"Performer",not(iserror(vlookup($F846,'Reference info'!$J$10:$J$36,1,0))),"Producer &amp; Engineer")</f>
        <v/>
      </c>
    </row>
    <row r="847">
      <c r="A847" s="28"/>
      <c r="B847" s="103"/>
      <c r="C847" s="121" t="str">
        <f t="array" ref="C847">ifs(and(isblank($A847),isblank($B847)),"", not(iserror(vlookup($A847&amp;$B847,'3) Release_Label'!$D:$D&amp;'3) Release_Label'!$E:$E,1,0))),vlookup($A847&amp;$B847,{'3) Release_Label'!$D:$D&amp;'3) Release_Label'!$E:$E,'3) Release_Label'!$F:$F},2,0), or(and(not(isblank($B847)),$B847=$B846,$A847&lt;&gt;$A846),and(not(isblank($A847)),$A847=$A846,$B847&lt;&gt;$B846)),"ID LISTS UNALIGNED",and($A847&lt;&gt;"",countif('3) Release_Label'!$D:$D,$A847)=0),"NO UPC MATCH in Release_Label",and($B847&lt;&gt;"",countif('3) Release_Label'!$E:$E,$B847)=0),"NO CATALOG ID MATCH in Release_Label",iserror(vlookup($A847&amp;$B847,'3) Release_Label'!$D:$D&amp;'3) Release_Label'!$E:$E,1,0)),"NO UPC-CATALOG ID pair MATCH in Release_Label" )</f>
        <v/>
      </c>
      <c r="D847" s="121" t="str">
        <f t="array" ref="D847">ifs(and(isblank($A847),isblank($B847)),"", not(iserror(vlookup($A847&amp;$B847,'3) Release_Label'!$D:$D&amp;'3) Release_Label'!$E:$E,1,0))),vlookup($A847&amp;$B847,{'3) Release_Label'!$D:$D&amp;'3) Release_Label'!$E:$E,'3) Release_Label'!$H:$H},2,0), or(and(not(isblank($B847)),$B847=$B846,$A847&lt;&gt;$A846),and(not(isblank($A847)),$A847=$A846,$B847&lt;&gt;$B846)),"ID LISTS UNALIGNED",and($A847&lt;&gt;"",countif('3) Release_Label'!$D:$D,$A847)=0),"NO UPC MATCH in Release_Label",and($B847&lt;&gt;"",countif('3) Release_Label'!$E:$E,$B847)=0),"NO CATALOG ID MATCH in Release_Label",iserror(vlookup($A847&amp;$B847,'3) Release_Label'!$D:$D&amp;'3) Release_Label'!$E:$E,1,0)),"NO UPC-CATALOG ID pair MATCH in Release_Label" )</f>
        <v/>
      </c>
      <c r="E847" s="99"/>
      <c r="F847" s="99"/>
      <c r="G847" s="123" t="str">
        <f t="array" ref="G847">ifs(or($F847="",$F847="Main Primary Artist"),$F847,not(iserror(vlookup($F847,'Reference info'!$J$5:$J$8,1,0))),"Key Artist",not(iserror(vlookup($F847,'Reference info'!$J$38:$J$405,1,0))),"Performer",not(iserror(vlookup($F847,'Reference info'!$J$10:$J$36,1,0))),"Producer &amp; Engineer")</f>
        <v/>
      </c>
    </row>
    <row r="848">
      <c r="A848" s="28"/>
      <c r="B848" s="103"/>
      <c r="C848" s="121" t="str">
        <f t="array" ref="C848">ifs(and(isblank($A848),isblank($B848)),"", not(iserror(vlookup($A848&amp;$B848,'3) Release_Label'!$D:$D&amp;'3) Release_Label'!$E:$E,1,0))),vlookup($A848&amp;$B848,{'3) Release_Label'!$D:$D&amp;'3) Release_Label'!$E:$E,'3) Release_Label'!$F:$F},2,0), or(and(not(isblank($B848)),$B848=$B847,$A848&lt;&gt;$A847),and(not(isblank($A848)),$A848=$A847,$B848&lt;&gt;$B847)),"ID LISTS UNALIGNED",and($A848&lt;&gt;"",countif('3) Release_Label'!$D:$D,$A848)=0),"NO UPC MATCH in Release_Label",and($B848&lt;&gt;"",countif('3) Release_Label'!$E:$E,$B848)=0),"NO CATALOG ID MATCH in Release_Label",iserror(vlookup($A848&amp;$B848,'3) Release_Label'!$D:$D&amp;'3) Release_Label'!$E:$E,1,0)),"NO UPC-CATALOG ID pair MATCH in Release_Label" )</f>
        <v/>
      </c>
      <c r="D848" s="121" t="str">
        <f t="array" ref="D848">ifs(and(isblank($A848),isblank($B848)),"", not(iserror(vlookup($A848&amp;$B848,'3) Release_Label'!$D:$D&amp;'3) Release_Label'!$E:$E,1,0))),vlookup($A848&amp;$B848,{'3) Release_Label'!$D:$D&amp;'3) Release_Label'!$E:$E,'3) Release_Label'!$H:$H},2,0), or(and(not(isblank($B848)),$B848=$B847,$A848&lt;&gt;$A847),and(not(isblank($A848)),$A848=$A847,$B848&lt;&gt;$B847)),"ID LISTS UNALIGNED",and($A848&lt;&gt;"",countif('3) Release_Label'!$D:$D,$A848)=0),"NO UPC MATCH in Release_Label",and($B848&lt;&gt;"",countif('3) Release_Label'!$E:$E,$B848)=0),"NO CATALOG ID MATCH in Release_Label",iserror(vlookup($A848&amp;$B848,'3) Release_Label'!$D:$D&amp;'3) Release_Label'!$E:$E,1,0)),"NO UPC-CATALOG ID pair MATCH in Release_Label" )</f>
        <v/>
      </c>
      <c r="E848" s="99"/>
      <c r="F848" s="99"/>
      <c r="G848" s="123" t="str">
        <f t="array" ref="G848">ifs(or($F848="",$F848="Main Primary Artist"),$F848,not(iserror(vlookup($F848,'Reference info'!$J$5:$J$8,1,0))),"Key Artist",not(iserror(vlookup($F848,'Reference info'!$J$38:$J$405,1,0))),"Performer",not(iserror(vlookup($F848,'Reference info'!$J$10:$J$36,1,0))),"Producer &amp; Engineer")</f>
        <v/>
      </c>
    </row>
    <row r="849">
      <c r="A849" s="28"/>
      <c r="B849" s="103"/>
      <c r="C849" s="121" t="str">
        <f t="array" ref="C849">ifs(and(isblank($A849),isblank($B849)),"", not(iserror(vlookup($A849&amp;$B849,'3) Release_Label'!$D:$D&amp;'3) Release_Label'!$E:$E,1,0))),vlookup($A849&amp;$B849,{'3) Release_Label'!$D:$D&amp;'3) Release_Label'!$E:$E,'3) Release_Label'!$F:$F},2,0), or(and(not(isblank($B849)),$B849=$B848,$A849&lt;&gt;$A848),and(not(isblank($A849)),$A849=$A848,$B849&lt;&gt;$B848)),"ID LISTS UNALIGNED",and($A849&lt;&gt;"",countif('3) Release_Label'!$D:$D,$A849)=0),"NO UPC MATCH in Release_Label",and($B849&lt;&gt;"",countif('3) Release_Label'!$E:$E,$B849)=0),"NO CATALOG ID MATCH in Release_Label",iserror(vlookup($A849&amp;$B849,'3) Release_Label'!$D:$D&amp;'3) Release_Label'!$E:$E,1,0)),"NO UPC-CATALOG ID pair MATCH in Release_Label" )</f>
        <v/>
      </c>
      <c r="D849" s="121" t="str">
        <f t="array" ref="D849">ifs(and(isblank($A849),isblank($B849)),"", not(iserror(vlookup($A849&amp;$B849,'3) Release_Label'!$D:$D&amp;'3) Release_Label'!$E:$E,1,0))),vlookup($A849&amp;$B849,{'3) Release_Label'!$D:$D&amp;'3) Release_Label'!$E:$E,'3) Release_Label'!$H:$H},2,0), or(and(not(isblank($B849)),$B849=$B848,$A849&lt;&gt;$A848),and(not(isblank($A849)),$A849=$A848,$B849&lt;&gt;$B848)),"ID LISTS UNALIGNED",and($A849&lt;&gt;"",countif('3) Release_Label'!$D:$D,$A849)=0),"NO UPC MATCH in Release_Label",and($B849&lt;&gt;"",countif('3) Release_Label'!$E:$E,$B849)=0),"NO CATALOG ID MATCH in Release_Label",iserror(vlookup($A849&amp;$B849,'3) Release_Label'!$D:$D&amp;'3) Release_Label'!$E:$E,1,0)),"NO UPC-CATALOG ID pair MATCH in Release_Label" )</f>
        <v/>
      </c>
      <c r="E849" s="99"/>
      <c r="F849" s="99"/>
      <c r="G849" s="123" t="str">
        <f t="array" ref="G849">ifs(or($F849="",$F849="Main Primary Artist"),$F849,not(iserror(vlookup($F849,'Reference info'!$J$5:$J$8,1,0))),"Key Artist",not(iserror(vlookup($F849,'Reference info'!$J$38:$J$405,1,0))),"Performer",not(iserror(vlookup($F849,'Reference info'!$J$10:$J$36,1,0))),"Producer &amp; Engineer")</f>
        <v/>
      </c>
    </row>
    <row r="850">
      <c r="A850" s="28"/>
      <c r="B850" s="103"/>
      <c r="C850" s="121" t="str">
        <f t="array" ref="C850">ifs(and(isblank($A850),isblank($B850)),"", not(iserror(vlookup($A850&amp;$B850,'3) Release_Label'!$D:$D&amp;'3) Release_Label'!$E:$E,1,0))),vlookup($A850&amp;$B850,{'3) Release_Label'!$D:$D&amp;'3) Release_Label'!$E:$E,'3) Release_Label'!$F:$F},2,0), or(and(not(isblank($B850)),$B850=$B849,$A850&lt;&gt;$A849),and(not(isblank($A850)),$A850=$A849,$B850&lt;&gt;$B849)),"ID LISTS UNALIGNED",and($A850&lt;&gt;"",countif('3) Release_Label'!$D:$D,$A850)=0),"NO UPC MATCH in Release_Label",and($B850&lt;&gt;"",countif('3) Release_Label'!$E:$E,$B850)=0),"NO CATALOG ID MATCH in Release_Label",iserror(vlookup($A850&amp;$B850,'3) Release_Label'!$D:$D&amp;'3) Release_Label'!$E:$E,1,0)),"NO UPC-CATALOG ID pair MATCH in Release_Label" )</f>
        <v/>
      </c>
      <c r="D850" s="121" t="str">
        <f t="array" ref="D850">ifs(and(isblank($A850),isblank($B850)),"", not(iserror(vlookup($A850&amp;$B850,'3) Release_Label'!$D:$D&amp;'3) Release_Label'!$E:$E,1,0))),vlookup($A850&amp;$B850,{'3) Release_Label'!$D:$D&amp;'3) Release_Label'!$E:$E,'3) Release_Label'!$H:$H},2,0), or(and(not(isblank($B850)),$B850=$B849,$A850&lt;&gt;$A849),and(not(isblank($A850)),$A850=$A849,$B850&lt;&gt;$B849)),"ID LISTS UNALIGNED",and($A850&lt;&gt;"",countif('3) Release_Label'!$D:$D,$A850)=0),"NO UPC MATCH in Release_Label",and($B850&lt;&gt;"",countif('3) Release_Label'!$E:$E,$B850)=0),"NO CATALOG ID MATCH in Release_Label",iserror(vlookup($A850&amp;$B850,'3) Release_Label'!$D:$D&amp;'3) Release_Label'!$E:$E,1,0)),"NO UPC-CATALOG ID pair MATCH in Release_Label" )</f>
        <v/>
      </c>
      <c r="E850" s="99"/>
      <c r="F850" s="99"/>
      <c r="G850" s="123" t="str">
        <f t="array" ref="G850">ifs(or($F850="",$F850="Main Primary Artist"),$F850,not(iserror(vlookup($F850,'Reference info'!$J$5:$J$8,1,0))),"Key Artist",not(iserror(vlookup($F850,'Reference info'!$J$38:$J$405,1,0))),"Performer",not(iserror(vlookup($F850,'Reference info'!$J$10:$J$36,1,0))),"Producer &amp; Engineer")</f>
        <v/>
      </c>
    </row>
    <row r="851">
      <c r="A851" s="28"/>
      <c r="B851" s="103"/>
      <c r="C851" s="121" t="str">
        <f t="array" ref="C851">ifs(and(isblank($A851),isblank($B851)),"", not(iserror(vlookup($A851&amp;$B851,'3) Release_Label'!$D:$D&amp;'3) Release_Label'!$E:$E,1,0))),vlookup($A851&amp;$B851,{'3) Release_Label'!$D:$D&amp;'3) Release_Label'!$E:$E,'3) Release_Label'!$F:$F},2,0), or(and(not(isblank($B851)),$B851=$B850,$A851&lt;&gt;$A850),and(not(isblank($A851)),$A851=$A850,$B851&lt;&gt;$B850)),"ID LISTS UNALIGNED",and($A851&lt;&gt;"",countif('3) Release_Label'!$D:$D,$A851)=0),"NO UPC MATCH in Release_Label",and($B851&lt;&gt;"",countif('3) Release_Label'!$E:$E,$B851)=0),"NO CATALOG ID MATCH in Release_Label",iserror(vlookup($A851&amp;$B851,'3) Release_Label'!$D:$D&amp;'3) Release_Label'!$E:$E,1,0)),"NO UPC-CATALOG ID pair MATCH in Release_Label" )</f>
        <v/>
      </c>
      <c r="D851" s="121" t="str">
        <f t="array" ref="D851">ifs(and(isblank($A851),isblank($B851)),"", not(iserror(vlookup($A851&amp;$B851,'3) Release_Label'!$D:$D&amp;'3) Release_Label'!$E:$E,1,0))),vlookup($A851&amp;$B851,{'3) Release_Label'!$D:$D&amp;'3) Release_Label'!$E:$E,'3) Release_Label'!$H:$H},2,0), or(and(not(isblank($B851)),$B851=$B850,$A851&lt;&gt;$A850),and(not(isblank($A851)),$A851=$A850,$B851&lt;&gt;$B850)),"ID LISTS UNALIGNED",and($A851&lt;&gt;"",countif('3) Release_Label'!$D:$D,$A851)=0),"NO UPC MATCH in Release_Label",and($B851&lt;&gt;"",countif('3) Release_Label'!$E:$E,$B851)=0),"NO CATALOG ID MATCH in Release_Label",iserror(vlookup($A851&amp;$B851,'3) Release_Label'!$D:$D&amp;'3) Release_Label'!$E:$E,1,0)),"NO UPC-CATALOG ID pair MATCH in Release_Label" )</f>
        <v/>
      </c>
      <c r="E851" s="99"/>
      <c r="F851" s="99"/>
      <c r="G851" s="123" t="str">
        <f t="array" ref="G851">ifs(or($F851="",$F851="Main Primary Artist"),$F851,not(iserror(vlookup($F851,'Reference info'!$J$5:$J$8,1,0))),"Key Artist",not(iserror(vlookup($F851,'Reference info'!$J$38:$J$405,1,0))),"Performer",not(iserror(vlookup($F851,'Reference info'!$J$10:$J$36,1,0))),"Producer &amp; Engineer")</f>
        <v/>
      </c>
    </row>
    <row r="852">
      <c r="A852" s="28"/>
      <c r="B852" s="103"/>
      <c r="C852" s="121" t="str">
        <f t="array" ref="C852">ifs(and(isblank($A852),isblank($B852)),"", not(iserror(vlookup($A852&amp;$B852,'3) Release_Label'!$D:$D&amp;'3) Release_Label'!$E:$E,1,0))),vlookup($A852&amp;$B852,{'3) Release_Label'!$D:$D&amp;'3) Release_Label'!$E:$E,'3) Release_Label'!$F:$F},2,0), or(and(not(isblank($B852)),$B852=$B851,$A852&lt;&gt;$A851),and(not(isblank($A852)),$A852=$A851,$B852&lt;&gt;$B851)),"ID LISTS UNALIGNED",and($A852&lt;&gt;"",countif('3) Release_Label'!$D:$D,$A852)=0),"NO UPC MATCH in Release_Label",and($B852&lt;&gt;"",countif('3) Release_Label'!$E:$E,$B852)=0),"NO CATALOG ID MATCH in Release_Label",iserror(vlookup($A852&amp;$B852,'3) Release_Label'!$D:$D&amp;'3) Release_Label'!$E:$E,1,0)),"NO UPC-CATALOG ID pair MATCH in Release_Label" )</f>
        <v/>
      </c>
      <c r="D852" s="121" t="str">
        <f t="array" ref="D852">ifs(and(isblank($A852),isblank($B852)),"", not(iserror(vlookup($A852&amp;$B852,'3) Release_Label'!$D:$D&amp;'3) Release_Label'!$E:$E,1,0))),vlookup($A852&amp;$B852,{'3) Release_Label'!$D:$D&amp;'3) Release_Label'!$E:$E,'3) Release_Label'!$H:$H},2,0), or(and(not(isblank($B852)),$B852=$B851,$A852&lt;&gt;$A851),and(not(isblank($A852)),$A852=$A851,$B852&lt;&gt;$B851)),"ID LISTS UNALIGNED",and($A852&lt;&gt;"",countif('3) Release_Label'!$D:$D,$A852)=0),"NO UPC MATCH in Release_Label",and($B852&lt;&gt;"",countif('3) Release_Label'!$E:$E,$B852)=0),"NO CATALOG ID MATCH in Release_Label",iserror(vlookup($A852&amp;$B852,'3) Release_Label'!$D:$D&amp;'3) Release_Label'!$E:$E,1,0)),"NO UPC-CATALOG ID pair MATCH in Release_Label" )</f>
        <v/>
      </c>
      <c r="E852" s="99"/>
      <c r="F852" s="99"/>
      <c r="G852" s="123" t="str">
        <f t="array" ref="G852">ifs(or($F852="",$F852="Main Primary Artist"),$F852,not(iserror(vlookup($F852,'Reference info'!$J$5:$J$8,1,0))),"Key Artist",not(iserror(vlookup($F852,'Reference info'!$J$38:$J$405,1,0))),"Performer",not(iserror(vlookup($F852,'Reference info'!$J$10:$J$36,1,0))),"Producer &amp; Engineer")</f>
        <v/>
      </c>
    </row>
    <row r="853">
      <c r="A853" s="28"/>
      <c r="B853" s="103"/>
      <c r="C853" s="121" t="str">
        <f t="array" ref="C853">ifs(and(isblank($A853),isblank($B853)),"", not(iserror(vlookup($A853&amp;$B853,'3) Release_Label'!$D:$D&amp;'3) Release_Label'!$E:$E,1,0))),vlookup($A853&amp;$B853,{'3) Release_Label'!$D:$D&amp;'3) Release_Label'!$E:$E,'3) Release_Label'!$F:$F},2,0), or(and(not(isblank($B853)),$B853=$B852,$A853&lt;&gt;$A852),and(not(isblank($A853)),$A853=$A852,$B853&lt;&gt;$B852)),"ID LISTS UNALIGNED",and($A853&lt;&gt;"",countif('3) Release_Label'!$D:$D,$A853)=0),"NO UPC MATCH in Release_Label",and($B853&lt;&gt;"",countif('3) Release_Label'!$E:$E,$B853)=0),"NO CATALOG ID MATCH in Release_Label",iserror(vlookup($A853&amp;$B853,'3) Release_Label'!$D:$D&amp;'3) Release_Label'!$E:$E,1,0)),"NO UPC-CATALOG ID pair MATCH in Release_Label" )</f>
        <v/>
      </c>
      <c r="D853" s="121" t="str">
        <f t="array" ref="D853">ifs(and(isblank($A853),isblank($B853)),"", not(iserror(vlookup($A853&amp;$B853,'3) Release_Label'!$D:$D&amp;'3) Release_Label'!$E:$E,1,0))),vlookup($A853&amp;$B853,{'3) Release_Label'!$D:$D&amp;'3) Release_Label'!$E:$E,'3) Release_Label'!$H:$H},2,0), or(and(not(isblank($B853)),$B853=$B852,$A853&lt;&gt;$A852),and(not(isblank($A853)),$A853=$A852,$B853&lt;&gt;$B852)),"ID LISTS UNALIGNED",and($A853&lt;&gt;"",countif('3) Release_Label'!$D:$D,$A853)=0),"NO UPC MATCH in Release_Label",and($B853&lt;&gt;"",countif('3) Release_Label'!$E:$E,$B853)=0),"NO CATALOG ID MATCH in Release_Label",iserror(vlookup($A853&amp;$B853,'3) Release_Label'!$D:$D&amp;'3) Release_Label'!$E:$E,1,0)),"NO UPC-CATALOG ID pair MATCH in Release_Label" )</f>
        <v/>
      </c>
      <c r="E853" s="99"/>
      <c r="F853" s="99"/>
      <c r="G853" s="123" t="str">
        <f t="array" ref="G853">ifs(or($F853="",$F853="Main Primary Artist"),$F853,not(iserror(vlookup($F853,'Reference info'!$J$5:$J$8,1,0))),"Key Artist",not(iserror(vlookup($F853,'Reference info'!$J$38:$J$405,1,0))),"Performer",not(iserror(vlookup($F853,'Reference info'!$J$10:$J$36,1,0))),"Producer &amp; Engineer")</f>
        <v/>
      </c>
    </row>
    <row r="854">
      <c r="A854" s="28"/>
      <c r="B854" s="103"/>
      <c r="C854" s="121" t="str">
        <f t="array" ref="C854">ifs(and(isblank($A854),isblank($B854)),"", not(iserror(vlookup($A854&amp;$B854,'3) Release_Label'!$D:$D&amp;'3) Release_Label'!$E:$E,1,0))),vlookup($A854&amp;$B854,{'3) Release_Label'!$D:$D&amp;'3) Release_Label'!$E:$E,'3) Release_Label'!$F:$F},2,0), or(and(not(isblank($B854)),$B854=$B853,$A854&lt;&gt;$A853),and(not(isblank($A854)),$A854=$A853,$B854&lt;&gt;$B853)),"ID LISTS UNALIGNED",and($A854&lt;&gt;"",countif('3) Release_Label'!$D:$D,$A854)=0),"NO UPC MATCH in Release_Label",and($B854&lt;&gt;"",countif('3) Release_Label'!$E:$E,$B854)=0),"NO CATALOG ID MATCH in Release_Label",iserror(vlookup($A854&amp;$B854,'3) Release_Label'!$D:$D&amp;'3) Release_Label'!$E:$E,1,0)),"NO UPC-CATALOG ID pair MATCH in Release_Label" )</f>
        <v/>
      </c>
      <c r="D854" s="121" t="str">
        <f t="array" ref="D854">ifs(and(isblank($A854),isblank($B854)),"", not(iserror(vlookup($A854&amp;$B854,'3) Release_Label'!$D:$D&amp;'3) Release_Label'!$E:$E,1,0))),vlookup($A854&amp;$B854,{'3) Release_Label'!$D:$D&amp;'3) Release_Label'!$E:$E,'3) Release_Label'!$H:$H},2,0), or(and(not(isblank($B854)),$B854=$B853,$A854&lt;&gt;$A853),and(not(isblank($A854)),$A854=$A853,$B854&lt;&gt;$B853)),"ID LISTS UNALIGNED",and($A854&lt;&gt;"",countif('3) Release_Label'!$D:$D,$A854)=0),"NO UPC MATCH in Release_Label",and($B854&lt;&gt;"",countif('3) Release_Label'!$E:$E,$B854)=0),"NO CATALOG ID MATCH in Release_Label",iserror(vlookup($A854&amp;$B854,'3) Release_Label'!$D:$D&amp;'3) Release_Label'!$E:$E,1,0)),"NO UPC-CATALOG ID pair MATCH in Release_Label" )</f>
        <v/>
      </c>
      <c r="E854" s="99"/>
      <c r="F854" s="99"/>
      <c r="G854" s="123" t="str">
        <f t="array" ref="G854">ifs(or($F854="",$F854="Main Primary Artist"),$F854,not(iserror(vlookup($F854,'Reference info'!$J$5:$J$8,1,0))),"Key Artist",not(iserror(vlookup($F854,'Reference info'!$J$38:$J$405,1,0))),"Performer",not(iserror(vlookup($F854,'Reference info'!$J$10:$J$36,1,0))),"Producer &amp; Engineer")</f>
        <v/>
      </c>
    </row>
    <row r="855">
      <c r="A855" s="28"/>
      <c r="B855" s="103"/>
      <c r="C855" s="121" t="str">
        <f t="array" ref="C855">ifs(and(isblank($A855),isblank($B855)),"", not(iserror(vlookup($A855&amp;$B855,'3) Release_Label'!$D:$D&amp;'3) Release_Label'!$E:$E,1,0))),vlookup($A855&amp;$B855,{'3) Release_Label'!$D:$D&amp;'3) Release_Label'!$E:$E,'3) Release_Label'!$F:$F},2,0), or(and(not(isblank($B855)),$B855=$B854,$A855&lt;&gt;$A854),and(not(isblank($A855)),$A855=$A854,$B855&lt;&gt;$B854)),"ID LISTS UNALIGNED",and($A855&lt;&gt;"",countif('3) Release_Label'!$D:$D,$A855)=0),"NO UPC MATCH in Release_Label",and($B855&lt;&gt;"",countif('3) Release_Label'!$E:$E,$B855)=0),"NO CATALOG ID MATCH in Release_Label",iserror(vlookup($A855&amp;$B855,'3) Release_Label'!$D:$D&amp;'3) Release_Label'!$E:$E,1,0)),"NO UPC-CATALOG ID pair MATCH in Release_Label" )</f>
        <v/>
      </c>
      <c r="D855" s="121" t="str">
        <f t="array" ref="D855">ifs(and(isblank($A855),isblank($B855)),"", not(iserror(vlookup($A855&amp;$B855,'3) Release_Label'!$D:$D&amp;'3) Release_Label'!$E:$E,1,0))),vlookup($A855&amp;$B855,{'3) Release_Label'!$D:$D&amp;'3) Release_Label'!$E:$E,'3) Release_Label'!$H:$H},2,0), or(and(not(isblank($B855)),$B855=$B854,$A855&lt;&gt;$A854),and(not(isblank($A855)),$A855=$A854,$B855&lt;&gt;$B854)),"ID LISTS UNALIGNED",and($A855&lt;&gt;"",countif('3) Release_Label'!$D:$D,$A855)=0),"NO UPC MATCH in Release_Label",and($B855&lt;&gt;"",countif('3) Release_Label'!$E:$E,$B855)=0),"NO CATALOG ID MATCH in Release_Label",iserror(vlookup($A855&amp;$B855,'3) Release_Label'!$D:$D&amp;'3) Release_Label'!$E:$E,1,0)),"NO UPC-CATALOG ID pair MATCH in Release_Label" )</f>
        <v/>
      </c>
      <c r="E855" s="99"/>
      <c r="F855" s="99"/>
      <c r="G855" s="123" t="str">
        <f t="array" ref="G855">ifs(or($F855="",$F855="Main Primary Artist"),$F855,not(iserror(vlookup($F855,'Reference info'!$J$5:$J$8,1,0))),"Key Artist",not(iserror(vlookup($F855,'Reference info'!$J$38:$J$405,1,0))),"Performer",not(iserror(vlookup($F855,'Reference info'!$J$10:$J$36,1,0))),"Producer &amp; Engineer")</f>
        <v/>
      </c>
    </row>
    <row r="856">
      <c r="A856" s="28"/>
      <c r="B856" s="103"/>
      <c r="C856" s="121" t="str">
        <f t="array" ref="C856">ifs(and(isblank($A856),isblank($B856)),"", not(iserror(vlookup($A856&amp;$B856,'3) Release_Label'!$D:$D&amp;'3) Release_Label'!$E:$E,1,0))),vlookup($A856&amp;$B856,{'3) Release_Label'!$D:$D&amp;'3) Release_Label'!$E:$E,'3) Release_Label'!$F:$F},2,0), or(and(not(isblank($B856)),$B856=$B855,$A856&lt;&gt;$A855),and(not(isblank($A856)),$A856=$A855,$B856&lt;&gt;$B855)),"ID LISTS UNALIGNED",and($A856&lt;&gt;"",countif('3) Release_Label'!$D:$D,$A856)=0),"NO UPC MATCH in Release_Label",and($B856&lt;&gt;"",countif('3) Release_Label'!$E:$E,$B856)=0),"NO CATALOG ID MATCH in Release_Label",iserror(vlookup($A856&amp;$B856,'3) Release_Label'!$D:$D&amp;'3) Release_Label'!$E:$E,1,0)),"NO UPC-CATALOG ID pair MATCH in Release_Label" )</f>
        <v/>
      </c>
      <c r="D856" s="121" t="str">
        <f t="array" ref="D856">ifs(and(isblank($A856),isblank($B856)),"", not(iserror(vlookup($A856&amp;$B856,'3) Release_Label'!$D:$D&amp;'3) Release_Label'!$E:$E,1,0))),vlookup($A856&amp;$B856,{'3) Release_Label'!$D:$D&amp;'3) Release_Label'!$E:$E,'3) Release_Label'!$H:$H},2,0), or(and(not(isblank($B856)),$B856=$B855,$A856&lt;&gt;$A855),and(not(isblank($A856)),$A856=$A855,$B856&lt;&gt;$B855)),"ID LISTS UNALIGNED",and($A856&lt;&gt;"",countif('3) Release_Label'!$D:$D,$A856)=0),"NO UPC MATCH in Release_Label",and($B856&lt;&gt;"",countif('3) Release_Label'!$E:$E,$B856)=0),"NO CATALOG ID MATCH in Release_Label",iserror(vlookup($A856&amp;$B856,'3) Release_Label'!$D:$D&amp;'3) Release_Label'!$E:$E,1,0)),"NO UPC-CATALOG ID pair MATCH in Release_Label" )</f>
        <v/>
      </c>
      <c r="E856" s="99"/>
      <c r="F856" s="99"/>
      <c r="G856" s="123" t="str">
        <f t="array" ref="G856">ifs(or($F856="",$F856="Main Primary Artist"),$F856,not(iserror(vlookup($F856,'Reference info'!$J$5:$J$8,1,0))),"Key Artist",not(iserror(vlookup($F856,'Reference info'!$J$38:$J$405,1,0))),"Performer",not(iserror(vlookup($F856,'Reference info'!$J$10:$J$36,1,0))),"Producer &amp; Engineer")</f>
        <v/>
      </c>
    </row>
    <row r="857">
      <c r="A857" s="28"/>
      <c r="B857" s="103"/>
      <c r="C857" s="121" t="str">
        <f t="array" ref="C857">ifs(and(isblank($A857),isblank($B857)),"", not(iserror(vlookup($A857&amp;$B857,'3) Release_Label'!$D:$D&amp;'3) Release_Label'!$E:$E,1,0))),vlookup($A857&amp;$B857,{'3) Release_Label'!$D:$D&amp;'3) Release_Label'!$E:$E,'3) Release_Label'!$F:$F},2,0), or(and(not(isblank($B857)),$B857=$B856,$A857&lt;&gt;$A856),and(not(isblank($A857)),$A857=$A856,$B857&lt;&gt;$B856)),"ID LISTS UNALIGNED",and($A857&lt;&gt;"",countif('3) Release_Label'!$D:$D,$A857)=0),"NO UPC MATCH in Release_Label",and($B857&lt;&gt;"",countif('3) Release_Label'!$E:$E,$B857)=0),"NO CATALOG ID MATCH in Release_Label",iserror(vlookup($A857&amp;$B857,'3) Release_Label'!$D:$D&amp;'3) Release_Label'!$E:$E,1,0)),"NO UPC-CATALOG ID pair MATCH in Release_Label" )</f>
        <v/>
      </c>
      <c r="D857" s="121" t="str">
        <f t="array" ref="D857">ifs(and(isblank($A857),isblank($B857)),"", not(iserror(vlookup($A857&amp;$B857,'3) Release_Label'!$D:$D&amp;'3) Release_Label'!$E:$E,1,0))),vlookup($A857&amp;$B857,{'3) Release_Label'!$D:$D&amp;'3) Release_Label'!$E:$E,'3) Release_Label'!$H:$H},2,0), or(and(not(isblank($B857)),$B857=$B856,$A857&lt;&gt;$A856),and(not(isblank($A857)),$A857=$A856,$B857&lt;&gt;$B856)),"ID LISTS UNALIGNED",and($A857&lt;&gt;"",countif('3) Release_Label'!$D:$D,$A857)=0),"NO UPC MATCH in Release_Label",and($B857&lt;&gt;"",countif('3) Release_Label'!$E:$E,$B857)=0),"NO CATALOG ID MATCH in Release_Label",iserror(vlookup($A857&amp;$B857,'3) Release_Label'!$D:$D&amp;'3) Release_Label'!$E:$E,1,0)),"NO UPC-CATALOG ID pair MATCH in Release_Label" )</f>
        <v/>
      </c>
      <c r="E857" s="99"/>
      <c r="F857" s="99"/>
      <c r="G857" s="123" t="str">
        <f t="array" ref="G857">ifs(or($F857="",$F857="Main Primary Artist"),$F857,not(iserror(vlookup($F857,'Reference info'!$J$5:$J$8,1,0))),"Key Artist",not(iserror(vlookup($F857,'Reference info'!$J$38:$J$405,1,0))),"Performer",not(iserror(vlookup($F857,'Reference info'!$J$10:$J$36,1,0))),"Producer &amp; Engineer")</f>
        <v/>
      </c>
    </row>
    <row r="858">
      <c r="A858" s="28"/>
      <c r="B858" s="103"/>
      <c r="C858" s="121" t="str">
        <f t="array" ref="C858">ifs(and(isblank($A858),isblank($B858)),"", not(iserror(vlookup($A858&amp;$B858,'3) Release_Label'!$D:$D&amp;'3) Release_Label'!$E:$E,1,0))),vlookup($A858&amp;$B858,{'3) Release_Label'!$D:$D&amp;'3) Release_Label'!$E:$E,'3) Release_Label'!$F:$F},2,0), or(and(not(isblank($B858)),$B858=$B857,$A858&lt;&gt;$A857),and(not(isblank($A858)),$A858=$A857,$B858&lt;&gt;$B857)),"ID LISTS UNALIGNED",and($A858&lt;&gt;"",countif('3) Release_Label'!$D:$D,$A858)=0),"NO UPC MATCH in Release_Label",and($B858&lt;&gt;"",countif('3) Release_Label'!$E:$E,$B858)=0),"NO CATALOG ID MATCH in Release_Label",iserror(vlookup($A858&amp;$B858,'3) Release_Label'!$D:$D&amp;'3) Release_Label'!$E:$E,1,0)),"NO UPC-CATALOG ID pair MATCH in Release_Label" )</f>
        <v/>
      </c>
      <c r="D858" s="121" t="str">
        <f t="array" ref="D858">ifs(and(isblank($A858),isblank($B858)),"", not(iserror(vlookup($A858&amp;$B858,'3) Release_Label'!$D:$D&amp;'3) Release_Label'!$E:$E,1,0))),vlookup($A858&amp;$B858,{'3) Release_Label'!$D:$D&amp;'3) Release_Label'!$E:$E,'3) Release_Label'!$H:$H},2,0), or(and(not(isblank($B858)),$B858=$B857,$A858&lt;&gt;$A857),and(not(isblank($A858)),$A858=$A857,$B858&lt;&gt;$B857)),"ID LISTS UNALIGNED",and($A858&lt;&gt;"",countif('3) Release_Label'!$D:$D,$A858)=0),"NO UPC MATCH in Release_Label",and($B858&lt;&gt;"",countif('3) Release_Label'!$E:$E,$B858)=0),"NO CATALOG ID MATCH in Release_Label",iserror(vlookup($A858&amp;$B858,'3) Release_Label'!$D:$D&amp;'3) Release_Label'!$E:$E,1,0)),"NO UPC-CATALOG ID pair MATCH in Release_Label" )</f>
        <v/>
      </c>
      <c r="E858" s="99"/>
      <c r="F858" s="99"/>
      <c r="G858" s="123" t="str">
        <f t="array" ref="G858">ifs(or($F858="",$F858="Main Primary Artist"),$F858,not(iserror(vlookup($F858,'Reference info'!$J$5:$J$8,1,0))),"Key Artist",not(iserror(vlookup($F858,'Reference info'!$J$38:$J$405,1,0))),"Performer",not(iserror(vlookup($F858,'Reference info'!$J$10:$J$36,1,0))),"Producer &amp; Engineer")</f>
        <v/>
      </c>
    </row>
    <row r="859">
      <c r="A859" s="28"/>
      <c r="B859" s="103"/>
      <c r="C859" s="121" t="str">
        <f t="array" ref="C859">ifs(and(isblank($A859),isblank($B859)),"", not(iserror(vlookup($A859&amp;$B859,'3) Release_Label'!$D:$D&amp;'3) Release_Label'!$E:$E,1,0))),vlookup($A859&amp;$B859,{'3) Release_Label'!$D:$D&amp;'3) Release_Label'!$E:$E,'3) Release_Label'!$F:$F},2,0), or(and(not(isblank($B859)),$B859=$B858,$A859&lt;&gt;$A858),and(not(isblank($A859)),$A859=$A858,$B859&lt;&gt;$B858)),"ID LISTS UNALIGNED",and($A859&lt;&gt;"",countif('3) Release_Label'!$D:$D,$A859)=0),"NO UPC MATCH in Release_Label",and($B859&lt;&gt;"",countif('3) Release_Label'!$E:$E,$B859)=0),"NO CATALOG ID MATCH in Release_Label",iserror(vlookup($A859&amp;$B859,'3) Release_Label'!$D:$D&amp;'3) Release_Label'!$E:$E,1,0)),"NO UPC-CATALOG ID pair MATCH in Release_Label" )</f>
        <v/>
      </c>
      <c r="D859" s="121" t="str">
        <f t="array" ref="D859">ifs(and(isblank($A859),isblank($B859)),"", not(iserror(vlookup($A859&amp;$B859,'3) Release_Label'!$D:$D&amp;'3) Release_Label'!$E:$E,1,0))),vlookup($A859&amp;$B859,{'3) Release_Label'!$D:$D&amp;'3) Release_Label'!$E:$E,'3) Release_Label'!$H:$H},2,0), or(and(not(isblank($B859)),$B859=$B858,$A859&lt;&gt;$A858),and(not(isblank($A859)),$A859=$A858,$B859&lt;&gt;$B858)),"ID LISTS UNALIGNED",and($A859&lt;&gt;"",countif('3) Release_Label'!$D:$D,$A859)=0),"NO UPC MATCH in Release_Label",and($B859&lt;&gt;"",countif('3) Release_Label'!$E:$E,$B859)=0),"NO CATALOG ID MATCH in Release_Label",iserror(vlookup($A859&amp;$B859,'3) Release_Label'!$D:$D&amp;'3) Release_Label'!$E:$E,1,0)),"NO UPC-CATALOG ID pair MATCH in Release_Label" )</f>
        <v/>
      </c>
      <c r="E859" s="99"/>
      <c r="F859" s="99"/>
      <c r="G859" s="123" t="str">
        <f t="array" ref="G859">ifs(or($F859="",$F859="Main Primary Artist"),$F859,not(iserror(vlookup($F859,'Reference info'!$J$5:$J$8,1,0))),"Key Artist",not(iserror(vlookup($F859,'Reference info'!$J$38:$J$405,1,0))),"Performer",not(iserror(vlookup($F859,'Reference info'!$J$10:$J$36,1,0))),"Producer &amp; Engineer")</f>
        <v/>
      </c>
    </row>
    <row r="860">
      <c r="A860" s="28"/>
      <c r="B860" s="103"/>
      <c r="C860" s="121" t="str">
        <f t="array" ref="C860">ifs(and(isblank($A860),isblank($B860)),"", not(iserror(vlookup($A860&amp;$B860,'3) Release_Label'!$D:$D&amp;'3) Release_Label'!$E:$E,1,0))),vlookup($A860&amp;$B860,{'3) Release_Label'!$D:$D&amp;'3) Release_Label'!$E:$E,'3) Release_Label'!$F:$F},2,0), or(and(not(isblank($B860)),$B860=$B859,$A860&lt;&gt;$A859),and(not(isblank($A860)),$A860=$A859,$B860&lt;&gt;$B859)),"ID LISTS UNALIGNED",and($A860&lt;&gt;"",countif('3) Release_Label'!$D:$D,$A860)=0),"NO UPC MATCH in Release_Label",and($B860&lt;&gt;"",countif('3) Release_Label'!$E:$E,$B860)=0),"NO CATALOG ID MATCH in Release_Label",iserror(vlookup($A860&amp;$B860,'3) Release_Label'!$D:$D&amp;'3) Release_Label'!$E:$E,1,0)),"NO UPC-CATALOG ID pair MATCH in Release_Label" )</f>
        <v/>
      </c>
      <c r="D860" s="121" t="str">
        <f t="array" ref="D860">ifs(and(isblank($A860),isblank($B860)),"", not(iserror(vlookup($A860&amp;$B860,'3) Release_Label'!$D:$D&amp;'3) Release_Label'!$E:$E,1,0))),vlookup($A860&amp;$B860,{'3) Release_Label'!$D:$D&amp;'3) Release_Label'!$E:$E,'3) Release_Label'!$H:$H},2,0), or(and(not(isblank($B860)),$B860=$B859,$A860&lt;&gt;$A859),and(not(isblank($A860)),$A860=$A859,$B860&lt;&gt;$B859)),"ID LISTS UNALIGNED",and($A860&lt;&gt;"",countif('3) Release_Label'!$D:$D,$A860)=0),"NO UPC MATCH in Release_Label",and($B860&lt;&gt;"",countif('3) Release_Label'!$E:$E,$B860)=0),"NO CATALOG ID MATCH in Release_Label",iserror(vlookup($A860&amp;$B860,'3) Release_Label'!$D:$D&amp;'3) Release_Label'!$E:$E,1,0)),"NO UPC-CATALOG ID pair MATCH in Release_Label" )</f>
        <v/>
      </c>
      <c r="E860" s="99"/>
      <c r="F860" s="99"/>
      <c r="G860" s="123" t="str">
        <f t="array" ref="G860">ifs(or($F860="",$F860="Main Primary Artist"),$F860,not(iserror(vlookup($F860,'Reference info'!$J$5:$J$8,1,0))),"Key Artist",not(iserror(vlookup($F860,'Reference info'!$J$38:$J$405,1,0))),"Performer",not(iserror(vlookup($F860,'Reference info'!$J$10:$J$36,1,0))),"Producer &amp; Engineer")</f>
        <v/>
      </c>
    </row>
    <row r="861">
      <c r="A861" s="28"/>
      <c r="B861" s="103"/>
      <c r="C861" s="121" t="str">
        <f t="array" ref="C861">ifs(and(isblank($A861),isblank($B861)),"", not(iserror(vlookup($A861&amp;$B861,'3) Release_Label'!$D:$D&amp;'3) Release_Label'!$E:$E,1,0))),vlookup($A861&amp;$B861,{'3) Release_Label'!$D:$D&amp;'3) Release_Label'!$E:$E,'3) Release_Label'!$F:$F},2,0), or(and(not(isblank($B861)),$B861=$B860,$A861&lt;&gt;$A860),and(not(isblank($A861)),$A861=$A860,$B861&lt;&gt;$B860)),"ID LISTS UNALIGNED",and($A861&lt;&gt;"",countif('3) Release_Label'!$D:$D,$A861)=0),"NO UPC MATCH in Release_Label",and($B861&lt;&gt;"",countif('3) Release_Label'!$E:$E,$B861)=0),"NO CATALOG ID MATCH in Release_Label",iserror(vlookup($A861&amp;$B861,'3) Release_Label'!$D:$D&amp;'3) Release_Label'!$E:$E,1,0)),"NO UPC-CATALOG ID pair MATCH in Release_Label" )</f>
        <v/>
      </c>
      <c r="D861" s="121" t="str">
        <f t="array" ref="D861">ifs(and(isblank($A861),isblank($B861)),"", not(iserror(vlookup($A861&amp;$B861,'3) Release_Label'!$D:$D&amp;'3) Release_Label'!$E:$E,1,0))),vlookup($A861&amp;$B861,{'3) Release_Label'!$D:$D&amp;'3) Release_Label'!$E:$E,'3) Release_Label'!$H:$H},2,0), or(and(not(isblank($B861)),$B861=$B860,$A861&lt;&gt;$A860),and(not(isblank($A861)),$A861=$A860,$B861&lt;&gt;$B860)),"ID LISTS UNALIGNED",and($A861&lt;&gt;"",countif('3) Release_Label'!$D:$D,$A861)=0),"NO UPC MATCH in Release_Label",and($B861&lt;&gt;"",countif('3) Release_Label'!$E:$E,$B861)=0),"NO CATALOG ID MATCH in Release_Label",iserror(vlookup($A861&amp;$B861,'3) Release_Label'!$D:$D&amp;'3) Release_Label'!$E:$E,1,0)),"NO UPC-CATALOG ID pair MATCH in Release_Label" )</f>
        <v/>
      </c>
      <c r="E861" s="99"/>
      <c r="F861" s="99"/>
      <c r="G861" s="123" t="str">
        <f t="array" ref="G861">ifs(or($F861="",$F861="Main Primary Artist"),$F861,not(iserror(vlookup($F861,'Reference info'!$J$5:$J$8,1,0))),"Key Artist",not(iserror(vlookup($F861,'Reference info'!$J$38:$J$405,1,0))),"Performer",not(iserror(vlookup($F861,'Reference info'!$J$10:$J$36,1,0))),"Producer &amp; Engineer")</f>
        <v/>
      </c>
    </row>
    <row r="862">
      <c r="A862" s="28"/>
      <c r="B862" s="103"/>
      <c r="C862" s="121" t="str">
        <f t="array" ref="C862">ifs(and(isblank($A862),isblank($B862)),"", not(iserror(vlookup($A862&amp;$B862,'3) Release_Label'!$D:$D&amp;'3) Release_Label'!$E:$E,1,0))),vlookup($A862&amp;$B862,{'3) Release_Label'!$D:$D&amp;'3) Release_Label'!$E:$E,'3) Release_Label'!$F:$F},2,0), or(and(not(isblank($B862)),$B862=$B861,$A862&lt;&gt;$A861),and(not(isblank($A862)),$A862=$A861,$B862&lt;&gt;$B861)),"ID LISTS UNALIGNED",and($A862&lt;&gt;"",countif('3) Release_Label'!$D:$D,$A862)=0),"NO UPC MATCH in Release_Label",and($B862&lt;&gt;"",countif('3) Release_Label'!$E:$E,$B862)=0),"NO CATALOG ID MATCH in Release_Label",iserror(vlookup($A862&amp;$B862,'3) Release_Label'!$D:$D&amp;'3) Release_Label'!$E:$E,1,0)),"NO UPC-CATALOG ID pair MATCH in Release_Label" )</f>
        <v/>
      </c>
      <c r="D862" s="121" t="str">
        <f t="array" ref="D862">ifs(and(isblank($A862),isblank($B862)),"", not(iserror(vlookup($A862&amp;$B862,'3) Release_Label'!$D:$D&amp;'3) Release_Label'!$E:$E,1,0))),vlookup($A862&amp;$B862,{'3) Release_Label'!$D:$D&amp;'3) Release_Label'!$E:$E,'3) Release_Label'!$H:$H},2,0), or(and(not(isblank($B862)),$B862=$B861,$A862&lt;&gt;$A861),and(not(isblank($A862)),$A862=$A861,$B862&lt;&gt;$B861)),"ID LISTS UNALIGNED",and($A862&lt;&gt;"",countif('3) Release_Label'!$D:$D,$A862)=0),"NO UPC MATCH in Release_Label",and($B862&lt;&gt;"",countif('3) Release_Label'!$E:$E,$B862)=0),"NO CATALOG ID MATCH in Release_Label",iserror(vlookup($A862&amp;$B862,'3) Release_Label'!$D:$D&amp;'3) Release_Label'!$E:$E,1,0)),"NO UPC-CATALOG ID pair MATCH in Release_Label" )</f>
        <v/>
      </c>
      <c r="E862" s="99"/>
      <c r="F862" s="99"/>
      <c r="G862" s="123" t="str">
        <f t="array" ref="G862">ifs(or($F862="",$F862="Main Primary Artist"),$F862,not(iserror(vlookup($F862,'Reference info'!$J$5:$J$8,1,0))),"Key Artist",not(iserror(vlookup($F862,'Reference info'!$J$38:$J$405,1,0))),"Performer",not(iserror(vlookup($F862,'Reference info'!$J$10:$J$36,1,0))),"Producer &amp; Engineer")</f>
        <v/>
      </c>
    </row>
    <row r="863">
      <c r="A863" s="28"/>
      <c r="B863" s="103"/>
      <c r="C863" s="121" t="str">
        <f t="array" ref="C863">ifs(and(isblank($A863),isblank($B863)),"", not(iserror(vlookup($A863&amp;$B863,'3) Release_Label'!$D:$D&amp;'3) Release_Label'!$E:$E,1,0))),vlookup($A863&amp;$B863,{'3) Release_Label'!$D:$D&amp;'3) Release_Label'!$E:$E,'3) Release_Label'!$F:$F},2,0), or(and(not(isblank($B863)),$B863=$B862,$A863&lt;&gt;$A862),and(not(isblank($A863)),$A863=$A862,$B863&lt;&gt;$B862)),"ID LISTS UNALIGNED",and($A863&lt;&gt;"",countif('3) Release_Label'!$D:$D,$A863)=0),"NO UPC MATCH in Release_Label",and($B863&lt;&gt;"",countif('3) Release_Label'!$E:$E,$B863)=0),"NO CATALOG ID MATCH in Release_Label",iserror(vlookup($A863&amp;$B863,'3) Release_Label'!$D:$D&amp;'3) Release_Label'!$E:$E,1,0)),"NO UPC-CATALOG ID pair MATCH in Release_Label" )</f>
        <v/>
      </c>
      <c r="D863" s="121" t="str">
        <f t="array" ref="D863">ifs(and(isblank($A863),isblank($B863)),"", not(iserror(vlookup($A863&amp;$B863,'3) Release_Label'!$D:$D&amp;'3) Release_Label'!$E:$E,1,0))),vlookup($A863&amp;$B863,{'3) Release_Label'!$D:$D&amp;'3) Release_Label'!$E:$E,'3) Release_Label'!$H:$H},2,0), or(and(not(isblank($B863)),$B863=$B862,$A863&lt;&gt;$A862),and(not(isblank($A863)),$A863=$A862,$B863&lt;&gt;$B862)),"ID LISTS UNALIGNED",and($A863&lt;&gt;"",countif('3) Release_Label'!$D:$D,$A863)=0),"NO UPC MATCH in Release_Label",and($B863&lt;&gt;"",countif('3) Release_Label'!$E:$E,$B863)=0),"NO CATALOG ID MATCH in Release_Label",iserror(vlookup($A863&amp;$B863,'3) Release_Label'!$D:$D&amp;'3) Release_Label'!$E:$E,1,0)),"NO UPC-CATALOG ID pair MATCH in Release_Label" )</f>
        <v/>
      </c>
      <c r="E863" s="99"/>
      <c r="F863" s="99"/>
      <c r="G863" s="123" t="str">
        <f t="array" ref="G863">ifs(or($F863="",$F863="Main Primary Artist"),$F863,not(iserror(vlookup($F863,'Reference info'!$J$5:$J$8,1,0))),"Key Artist",not(iserror(vlookup($F863,'Reference info'!$J$38:$J$405,1,0))),"Performer",not(iserror(vlookup($F863,'Reference info'!$J$10:$J$36,1,0))),"Producer &amp; Engineer")</f>
        <v/>
      </c>
    </row>
    <row r="864">
      <c r="A864" s="28"/>
      <c r="B864" s="103"/>
      <c r="C864" s="121" t="str">
        <f t="array" ref="C864">ifs(and(isblank($A864),isblank($B864)),"", not(iserror(vlookup($A864&amp;$B864,'3) Release_Label'!$D:$D&amp;'3) Release_Label'!$E:$E,1,0))),vlookup($A864&amp;$B864,{'3) Release_Label'!$D:$D&amp;'3) Release_Label'!$E:$E,'3) Release_Label'!$F:$F},2,0), or(and(not(isblank($B864)),$B864=$B863,$A864&lt;&gt;$A863),and(not(isblank($A864)),$A864=$A863,$B864&lt;&gt;$B863)),"ID LISTS UNALIGNED",and($A864&lt;&gt;"",countif('3) Release_Label'!$D:$D,$A864)=0),"NO UPC MATCH in Release_Label",and($B864&lt;&gt;"",countif('3) Release_Label'!$E:$E,$B864)=0),"NO CATALOG ID MATCH in Release_Label",iserror(vlookup($A864&amp;$B864,'3) Release_Label'!$D:$D&amp;'3) Release_Label'!$E:$E,1,0)),"NO UPC-CATALOG ID pair MATCH in Release_Label" )</f>
        <v/>
      </c>
      <c r="D864" s="121" t="str">
        <f t="array" ref="D864">ifs(and(isblank($A864),isblank($B864)),"", not(iserror(vlookup($A864&amp;$B864,'3) Release_Label'!$D:$D&amp;'3) Release_Label'!$E:$E,1,0))),vlookup($A864&amp;$B864,{'3) Release_Label'!$D:$D&amp;'3) Release_Label'!$E:$E,'3) Release_Label'!$H:$H},2,0), or(and(not(isblank($B864)),$B864=$B863,$A864&lt;&gt;$A863),and(not(isblank($A864)),$A864=$A863,$B864&lt;&gt;$B863)),"ID LISTS UNALIGNED",and($A864&lt;&gt;"",countif('3) Release_Label'!$D:$D,$A864)=0),"NO UPC MATCH in Release_Label",and($B864&lt;&gt;"",countif('3) Release_Label'!$E:$E,$B864)=0),"NO CATALOG ID MATCH in Release_Label",iserror(vlookup($A864&amp;$B864,'3) Release_Label'!$D:$D&amp;'3) Release_Label'!$E:$E,1,0)),"NO UPC-CATALOG ID pair MATCH in Release_Label" )</f>
        <v/>
      </c>
      <c r="E864" s="99"/>
      <c r="F864" s="99"/>
      <c r="G864" s="123" t="str">
        <f t="array" ref="G864">ifs(or($F864="",$F864="Main Primary Artist"),$F864,not(iserror(vlookup($F864,'Reference info'!$J$5:$J$8,1,0))),"Key Artist",not(iserror(vlookup($F864,'Reference info'!$J$38:$J$405,1,0))),"Performer",not(iserror(vlookup($F864,'Reference info'!$J$10:$J$36,1,0))),"Producer &amp; Engineer")</f>
        <v/>
      </c>
    </row>
    <row r="865">
      <c r="A865" s="28"/>
      <c r="B865" s="103"/>
      <c r="C865" s="121" t="str">
        <f t="array" ref="C865">ifs(and(isblank($A865),isblank($B865)),"", not(iserror(vlookup($A865&amp;$B865,'3) Release_Label'!$D:$D&amp;'3) Release_Label'!$E:$E,1,0))),vlookup($A865&amp;$B865,{'3) Release_Label'!$D:$D&amp;'3) Release_Label'!$E:$E,'3) Release_Label'!$F:$F},2,0), or(and(not(isblank($B865)),$B865=$B864,$A865&lt;&gt;$A864),and(not(isblank($A865)),$A865=$A864,$B865&lt;&gt;$B864)),"ID LISTS UNALIGNED",and($A865&lt;&gt;"",countif('3) Release_Label'!$D:$D,$A865)=0),"NO UPC MATCH in Release_Label",and($B865&lt;&gt;"",countif('3) Release_Label'!$E:$E,$B865)=0),"NO CATALOG ID MATCH in Release_Label",iserror(vlookup($A865&amp;$B865,'3) Release_Label'!$D:$D&amp;'3) Release_Label'!$E:$E,1,0)),"NO UPC-CATALOG ID pair MATCH in Release_Label" )</f>
        <v/>
      </c>
      <c r="D865" s="121" t="str">
        <f t="array" ref="D865">ifs(and(isblank($A865),isblank($B865)),"", not(iserror(vlookup($A865&amp;$B865,'3) Release_Label'!$D:$D&amp;'3) Release_Label'!$E:$E,1,0))),vlookup($A865&amp;$B865,{'3) Release_Label'!$D:$D&amp;'3) Release_Label'!$E:$E,'3) Release_Label'!$H:$H},2,0), or(and(not(isblank($B865)),$B865=$B864,$A865&lt;&gt;$A864),and(not(isblank($A865)),$A865=$A864,$B865&lt;&gt;$B864)),"ID LISTS UNALIGNED",and($A865&lt;&gt;"",countif('3) Release_Label'!$D:$D,$A865)=0),"NO UPC MATCH in Release_Label",and($B865&lt;&gt;"",countif('3) Release_Label'!$E:$E,$B865)=0),"NO CATALOG ID MATCH in Release_Label",iserror(vlookup($A865&amp;$B865,'3) Release_Label'!$D:$D&amp;'3) Release_Label'!$E:$E,1,0)),"NO UPC-CATALOG ID pair MATCH in Release_Label" )</f>
        <v/>
      </c>
      <c r="E865" s="99"/>
      <c r="F865" s="99"/>
      <c r="G865" s="123" t="str">
        <f t="array" ref="G865">ifs(or($F865="",$F865="Main Primary Artist"),$F865,not(iserror(vlookup($F865,'Reference info'!$J$5:$J$8,1,0))),"Key Artist",not(iserror(vlookup($F865,'Reference info'!$J$38:$J$405,1,0))),"Performer",not(iserror(vlookup($F865,'Reference info'!$J$10:$J$36,1,0))),"Producer &amp; Engineer")</f>
        <v/>
      </c>
    </row>
    <row r="866">
      <c r="A866" s="28"/>
      <c r="B866" s="103"/>
      <c r="C866" s="121" t="str">
        <f t="array" ref="C866">ifs(and(isblank($A866),isblank($B866)),"", not(iserror(vlookup($A866&amp;$B866,'3) Release_Label'!$D:$D&amp;'3) Release_Label'!$E:$E,1,0))),vlookup($A866&amp;$B866,{'3) Release_Label'!$D:$D&amp;'3) Release_Label'!$E:$E,'3) Release_Label'!$F:$F},2,0), or(and(not(isblank($B866)),$B866=$B865,$A866&lt;&gt;$A865),and(not(isblank($A866)),$A866=$A865,$B866&lt;&gt;$B865)),"ID LISTS UNALIGNED",and($A866&lt;&gt;"",countif('3) Release_Label'!$D:$D,$A866)=0),"NO UPC MATCH in Release_Label",and($B866&lt;&gt;"",countif('3) Release_Label'!$E:$E,$B866)=0),"NO CATALOG ID MATCH in Release_Label",iserror(vlookup($A866&amp;$B866,'3) Release_Label'!$D:$D&amp;'3) Release_Label'!$E:$E,1,0)),"NO UPC-CATALOG ID pair MATCH in Release_Label" )</f>
        <v/>
      </c>
      <c r="D866" s="121" t="str">
        <f t="array" ref="D866">ifs(and(isblank($A866),isblank($B866)),"", not(iserror(vlookup($A866&amp;$B866,'3) Release_Label'!$D:$D&amp;'3) Release_Label'!$E:$E,1,0))),vlookup($A866&amp;$B866,{'3) Release_Label'!$D:$D&amp;'3) Release_Label'!$E:$E,'3) Release_Label'!$H:$H},2,0), or(and(not(isblank($B866)),$B866=$B865,$A866&lt;&gt;$A865),and(not(isblank($A866)),$A866=$A865,$B866&lt;&gt;$B865)),"ID LISTS UNALIGNED",and($A866&lt;&gt;"",countif('3) Release_Label'!$D:$D,$A866)=0),"NO UPC MATCH in Release_Label",and($B866&lt;&gt;"",countif('3) Release_Label'!$E:$E,$B866)=0),"NO CATALOG ID MATCH in Release_Label",iserror(vlookup($A866&amp;$B866,'3) Release_Label'!$D:$D&amp;'3) Release_Label'!$E:$E,1,0)),"NO UPC-CATALOG ID pair MATCH in Release_Label" )</f>
        <v/>
      </c>
      <c r="E866" s="99"/>
      <c r="F866" s="99"/>
      <c r="G866" s="123" t="str">
        <f t="array" ref="G866">ifs(or($F866="",$F866="Main Primary Artist"),$F866,not(iserror(vlookup($F866,'Reference info'!$J$5:$J$8,1,0))),"Key Artist",not(iserror(vlookup($F866,'Reference info'!$J$38:$J$405,1,0))),"Performer",not(iserror(vlookup($F866,'Reference info'!$J$10:$J$36,1,0))),"Producer &amp; Engineer")</f>
        <v/>
      </c>
    </row>
    <row r="867">
      <c r="A867" s="28"/>
      <c r="B867" s="103"/>
      <c r="C867" s="121" t="str">
        <f t="array" ref="C867">ifs(and(isblank($A867),isblank($B867)),"", not(iserror(vlookup($A867&amp;$B867,'3) Release_Label'!$D:$D&amp;'3) Release_Label'!$E:$E,1,0))),vlookup($A867&amp;$B867,{'3) Release_Label'!$D:$D&amp;'3) Release_Label'!$E:$E,'3) Release_Label'!$F:$F},2,0), or(and(not(isblank($B867)),$B867=$B866,$A867&lt;&gt;$A866),and(not(isblank($A867)),$A867=$A866,$B867&lt;&gt;$B866)),"ID LISTS UNALIGNED",and($A867&lt;&gt;"",countif('3) Release_Label'!$D:$D,$A867)=0),"NO UPC MATCH in Release_Label",and($B867&lt;&gt;"",countif('3) Release_Label'!$E:$E,$B867)=0),"NO CATALOG ID MATCH in Release_Label",iserror(vlookup($A867&amp;$B867,'3) Release_Label'!$D:$D&amp;'3) Release_Label'!$E:$E,1,0)),"NO UPC-CATALOG ID pair MATCH in Release_Label" )</f>
        <v/>
      </c>
      <c r="D867" s="121" t="str">
        <f t="array" ref="D867">ifs(and(isblank($A867),isblank($B867)),"", not(iserror(vlookup($A867&amp;$B867,'3) Release_Label'!$D:$D&amp;'3) Release_Label'!$E:$E,1,0))),vlookup($A867&amp;$B867,{'3) Release_Label'!$D:$D&amp;'3) Release_Label'!$E:$E,'3) Release_Label'!$H:$H},2,0), or(and(not(isblank($B867)),$B867=$B866,$A867&lt;&gt;$A866),and(not(isblank($A867)),$A867=$A866,$B867&lt;&gt;$B866)),"ID LISTS UNALIGNED",and($A867&lt;&gt;"",countif('3) Release_Label'!$D:$D,$A867)=0),"NO UPC MATCH in Release_Label",and($B867&lt;&gt;"",countif('3) Release_Label'!$E:$E,$B867)=0),"NO CATALOG ID MATCH in Release_Label",iserror(vlookup($A867&amp;$B867,'3) Release_Label'!$D:$D&amp;'3) Release_Label'!$E:$E,1,0)),"NO UPC-CATALOG ID pair MATCH in Release_Label" )</f>
        <v/>
      </c>
      <c r="E867" s="99"/>
      <c r="F867" s="99"/>
      <c r="G867" s="123" t="str">
        <f t="array" ref="G867">ifs(or($F867="",$F867="Main Primary Artist"),$F867,not(iserror(vlookup($F867,'Reference info'!$J$5:$J$8,1,0))),"Key Artist",not(iserror(vlookup($F867,'Reference info'!$J$38:$J$405,1,0))),"Performer",not(iserror(vlookup($F867,'Reference info'!$J$10:$J$36,1,0))),"Producer &amp; Engineer")</f>
        <v/>
      </c>
    </row>
    <row r="868">
      <c r="A868" s="28"/>
      <c r="B868" s="103"/>
      <c r="C868" s="121" t="str">
        <f t="array" ref="C868">ifs(and(isblank($A868),isblank($B868)),"", not(iserror(vlookup($A868&amp;$B868,'3) Release_Label'!$D:$D&amp;'3) Release_Label'!$E:$E,1,0))),vlookup($A868&amp;$B868,{'3) Release_Label'!$D:$D&amp;'3) Release_Label'!$E:$E,'3) Release_Label'!$F:$F},2,0), or(and(not(isblank($B868)),$B868=$B867,$A868&lt;&gt;$A867),and(not(isblank($A868)),$A868=$A867,$B868&lt;&gt;$B867)),"ID LISTS UNALIGNED",and($A868&lt;&gt;"",countif('3) Release_Label'!$D:$D,$A868)=0),"NO UPC MATCH in Release_Label",and($B868&lt;&gt;"",countif('3) Release_Label'!$E:$E,$B868)=0),"NO CATALOG ID MATCH in Release_Label",iserror(vlookup($A868&amp;$B868,'3) Release_Label'!$D:$D&amp;'3) Release_Label'!$E:$E,1,0)),"NO UPC-CATALOG ID pair MATCH in Release_Label" )</f>
        <v/>
      </c>
      <c r="D868" s="121" t="str">
        <f t="array" ref="D868">ifs(and(isblank($A868),isblank($B868)),"", not(iserror(vlookup($A868&amp;$B868,'3) Release_Label'!$D:$D&amp;'3) Release_Label'!$E:$E,1,0))),vlookup($A868&amp;$B868,{'3) Release_Label'!$D:$D&amp;'3) Release_Label'!$E:$E,'3) Release_Label'!$H:$H},2,0), or(and(not(isblank($B868)),$B868=$B867,$A868&lt;&gt;$A867),and(not(isblank($A868)),$A868=$A867,$B868&lt;&gt;$B867)),"ID LISTS UNALIGNED",and($A868&lt;&gt;"",countif('3) Release_Label'!$D:$D,$A868)=0),"NO UPC MATCH in Release_Label",and($B868&lt;&gt;"",countif('3) Release_Label'!$E:$E,$B868)=0),"NO CATALOG ID MATCH in Release_Label",iserror(vlookup($A868&amp;$B868,'3) Release_Label'!$D:$D&amp;'3) Release_Label'!$E:$E,1,0)),"NO UPC-CATALOG ID pair MATCH in Release_Label" )</f>
        <v/>
      </c>
      <c r="E868" s="99"/>
      <c r="F868" s="99"/>
      <c r="G868" s="123" t="str">
        <f t="array" ref="G868">ifs(or($F868="",$F868="Main Primary Artist"),$F868,not(iserror(vlookup($F868,'Reference info'!$J$5:$J$8,1,0))),"Key Artist",not(iserror(vlookup($F868,'Reference info'!$J$38:$J$405,1,0))),"Performer",not(iserror(vlookup($F868,'Reference info'!$J$10:$J$36,1,0))),"Producer &amp; Engineer")</f>
        <v/>
      </c>
    </row>
    <row r="869">
      <c r="A869" s="28"/>
      <c r="B869" s="103"/>
      <c r="C869" s="121" t="str">
        <f t="array" ref="C869">ifs(and(isblank($A869),isblank($B869)),"", not(iserror(vlookup($A869&amp;$B869,'3) Release_Label'!$D:$D&amp;'3) Release_Label'!$E:$E,1,0))),vlookup($A869&amp;$B869,{'3) Release_Label'!$D:$D&amp;'3) Release_Label'!$E:$E,'3) Release_Label'!$F:$F},2,0), or(and(not(isblank($B869)),$B869=$B868,$A869&lt;&gt;$A868),and(not(isblank($A869)),$A869=$A868,$B869&lt;&gt;$B868)),"ID LISTS UNALIGNED",and($A869&lt;&gt;"",countif('3) Release_Label'!$D:$D,$A869)=0),"NO UPC MATCH in Release_Label",and($B869&lt;&gt;"",countif('3) Release_Label'!$E:$E,$B869)=0),"NO CATALOG ID MATCH in Release_Label",iserror(vlookup($A869&amp;$B869,'3) Release_Label'!$D:$D&amp;'3) Release_Label'!$E:$E,1,0)),"NO UPC-CATALOG ID pair MATCH in Release_Label" )</f>
        <v/>
      </c>
      <c r="D869" s="121" t="str">
        <f t="array" ref="D869">ifs(and(isblank($A869),isblank($B869)),"", not(iserror(vlookup($A869&amp;$B869,'3) Release_Label'!$D:$D&amp;'3) Release_Label'!$E:$E,1,0))),vlookup($A869&amp;$B869,{'3) Release_Label'!$D:$D&amp;'3) Release_Label'!$E:$E,'3) Release_Label'!$H:$H},2,0), or(and(not(isblank($B869)),$B869=$B868,$A869&lt;&gt;$A868),and(not(isblank($A869)),$A869=$A868,$B869&lt;&gt;$B868)),"ID LISTS UNALIGNED",and($A869&lt;&gt;"",countif('3) Release_Label'!$D:$D,$A869)=0),"NO UPC MATCH in Release_Label",and($B869&lt;&gt;"",countif('3) Release_Label'!$E:$E,$B869)=0),"NO CATALOG ID MATCH in Release_Label",iserror(vlookup($A869&amp;$B869,'3) Release_Label'!$D:$D&amp;'3) Release_Label'!$E:$E,1,0)),"NO UPC-CATALOG ID pair MATCH in Release_Label" )</f>
        <v/>
      </c>
      <c r="E869" s="99"/>
      <c r="F869" s="99"/>
      <c r="G869" s="123" t="str">
        <f t="array" ref="G869">ifs(or($F869="",$F869="Main Primary Artist"),$F869,not(iserror(vlookup($F869,'Reference info'!$J$5:$J$8,1,0))),"Key Artist",not(iserror(vlookup($F869,'Reference info'!$J$38:$J$405,1,0))),"Performer",not(iserror(vlookup($F869,'Reference info'!$J$10:$J$36,1,0))),"Producer &amp; Engineer")</f>
        <v/>
      </c>
    </row>
    <row r="870">
      <c r="A870" s="28"/>
      <c r="B870" s="103"/>
      <c r="C870" s="121" t="str">
        <f t="array" ref="C870">ifs(and(isblank($A870),isblank($B870)),"", not(iserror(vlookup($A870&amp;$B870,'3) Release_Label'!$D:$D&amp;'3) Release_Label'!$E:$E,1,0))),vlookup($A870&amp;$B870,{'3) Release_Label'!$D:$D&amp;'3) Release_Label'!$E:$E,'3) Release_Label'!$F:$F},2,0), or(and(not(isblank($B870)),$B870=$B869,$A870&lt;&gt;$A869),and(not(isblank($A870)),$A870=$A869,$B870&lt;&gt;$B869)),"ID LISTS UNALIGNED",and($A870&lt;&gt;"",countif('3) Release_Label'!$D:$D,$A870)=0),"NO UPC MATCH in Release_Label",and($B870&lt;&gt;"",countif('3) Release_Label'!$E:$E,$B870)=0),"NO CATALOG ID MATCH in Release_Label",iserror(vlookup($A870&amp;$B870,'3) Release_Label'!$D:$D&amp;'3) Release_Label'!$E:$E,1,0)),"NO UPC-CATALOG ID pair MATCH in Release_Label" )</f>
        <v/>
      </c>
      <c r="D870" s="121" t="str">
        <f t="array" ref="D870">ifs(and(isblank($A870),isblank($B870)),"", not(iserror(vlookup($A870&amp;$B870,'3) Release_Label'!$D:$D&amp;'3) Release_Label'!$E:$E,1,0))),vlookup($A870&amp;$B870,{'3) Release_Label'!$D:$D&amp;'3) Release_Label'!$E:$E,'3) Release_Label'!$H:$H},2,0), or(and(not(isblank($B870)),$B870=$B869,$A870&lt;&gt;$A869),and(not(isblank($A870)),$A870=$A869,$B870&lt;&gt;$B869)),"ID LISTS UNALIGNED",and($A870&lt;&gt;"",countif('3) Release_Label'!$D:$D,$A870)=0),"NO UPC MATCH in Release_Label",and($B870&lt;&gt;"",countif('3) Release_Label'!$E:$E,$B870)=0),"NO CATALOG ID MATCH in Release_Label",iserror(vlookup($A870&amp;$B870,'3) Release_Label'!$D:$D&amp;'3) Release_Label'!$E:$E,1,0)),"NO UPC-CATALOG ID pair MATCH in Release_Label" )</f>
        <v/>
      </c>
      <c r="E870" s="99"/>
      <c r="F870" s="99"/>
      <c r="G870" s="123" t="str">
        <f t="array" ref="G870">ifs(or($F870="",$F870="Main Primary Artist"),$F870,not(iserror(vlookup($F870,'Reference info'!$J$5:$J$8,1,0))),"Key Artist",not(iserror(vlookup($F870,'Reference info'!$J$38:$J$405,1,0))),"Performer",not(iserror(vlookup($F870,'Reference info'!$J$10:$J$36,1,0))),"Producer &amp; Engineer")</f>
        <v/>
      </c>
    </row>
    <row r="871">
      <c r="A871" s="28"/>
      <c r="B871" s="103"/>
      <c r="C871" s="121" t="str">
        <f t="array" ref="C871">ifs(and(isblank($A871),isblank($B871)),"", not(iserror(vlookup($A871&amp;$B871,'3) Release_Label'!$D:$D&amp;'3) Release_Label'!$E:$E,1,0))),vlookup($A871&amp;$B871,{'3) Release_Label'!$D:$D&amp;'3) Release_Label'!$E:$E,'3) Release_Label'!$F:$F},2,0), or(and(not(isblank($B871)),$B871=$B870,$A871&lt;&gt;$A870),and(not(isblank($A871)),$A871=$A870,$B871&lt;&gt;$B870)),"ID LISTS UNALIGNED",and($A871&lt;&gt;"",countif('3) Release_Label'!$D:$D,$A871)=0),"NO UPC MATCH in Release_Label",and($B871&lt;&gt;"",countif('3) Release_Label'!$E:$E,$B871)=0),"NO CATALOG ID MATCH in Release_Label",iserror(vlookup($A871&amp;$B871,'3) Release_Label'!$D:$D&amp;'3) Release_Label'!$E:$E,1,0)),"NO UPC-CATALOG ID pair MATCH in Release_Label" )</f>
        <v/>
      </c>
      <c r="D871" s="121" t="str">
        <f t="array" ref="D871">ifs(and(isblank($A871),isblank($B871)),"", not(iserror(vlookup($A871&amp;$B871,'3) Release_Label'!$D:$D&amp;'3) Release_Label'!$E:$E,1,0))),vlookup($A871&amp;$B871,{'3) Release_Label'!$D:$D&amp;'3) Release_Label'!$E:$E,'3) Release_Label'!$H:$H},2,0), or(and(not(isblank($B871)),$B871=$B870,$A871&lt;&gt;$A870),and(not(isblank($A871)),$A871=$A870,$B871&lt;&gt;$B870)),"ID LISTS UNALIGNED",and($A871&lt;&gt;"",countif('3) Release_Label'!$D:$D,$A871)=0),"NO UPC MATCH in Release_Label",and($B871&lt;&gt;"",countif('3) Release_Label'!$E:$E,$B871)=0),"NO CATALOG ID MATCH in Release_Label",iserror(vlookup($A871&amp;$B871,'3) Release_Label'!$D:$D&amp;'3) Release_Label'!$E:$E,1,0)),"NO UPC-CATALOG ID pair MATCH in Release_Label" )</f>
        <v/>
      </c>
      <c r="E871" s="99"/>
      <c r="F871" s="99"/>
      <c r="G871" s="123" t="str">
        <f t="array" ref="G871">ifs(or($F871="",$F871="Main Primary Artist"),$F871,not(iserror(vlookup($F871,'Reference info'!$J$5:$J$8,1,0))),"Key Artist",not(iserror(vlookup($F871,'Reference info'!$J$38:$J$405,1,0))),"Performer",not(iserror(vlookup($F871,'Reference info'!$J$10:$J$36,1,0))),"Producer &amp; Engineer")</f>
        <v/>
      </c>
    </row>
    <row r="872">
      <c r="A872" s="28"/>
      <c r="B872" s="103"/>
      <c r="C872" s="121" t="str">
        <f t="array" ref="C872">ifs(and(isblank($A872),isblank($B872)),"", not(iserror(vlookup($A872&amp;$B872,'3) Release_Label'!$D:$D&amp;'3) Release_Label'!$E:$E,1,0))),vlookup($A872&amp;$B872,{'3) Release_Label'!$D:$D&amp;'3) Release_Label'!$E:$E,'3) Release_Label'!$F:$F},2,0), or(and(not(isblank($B872)),$B872=$B871,$A872&lt;&gt;$A871),and(not(isblank($A872)),$A872=$A871,$B872&lt;&gt;$B871)),"ID LISTS UNALIGNED",and($A872&lt;&gt;"",countif('3) Release_Label'!$D:$D,$A872)=0),"NO UPC MATCH in Release_Label",and($B872&lt;&gt;"",countif('3) Release_Label'!$E:$E,$B872)=0),"NO CATALOG ID MATCH in Release_Label",iserror(vlookup($A872&amp;$B872,'3) Release_Label'!$D:$D&amp;'3) Release_Label'!$E:$E,1,0)),"NO UPC-CATALOG ID pair MATCH in Release_Label" )</f>
        <v/>
      </c>
      <c r="D872" s="121" t="str">
        <f t="array" ref="D872">ifs(and(isblank($A872),isblank($B872)),"", not(iserror(vlookup($A872&amp;$B872,'3) Release_Label'!$D:$D&amp;'3) Release_Label'!$E:$E,1,0))),vlookup($A872&amp;$B872,{'3) Release_Label'!$D:$D&amp;'3) Release_Label'!$E:$E,'3) Release_Label'!$H:$H},2,0), or(and(not(isblank($B872)),$B872=$B871,$A872&lt;&gt;$A871),and(not(isblank($A872)),$A872=$A871,$B872&lt;&gt;$B871)),"ID LISTS UNALIGNED",and($A872&lt;&gt;"",countif('3) Release_Label'!$D:$D,$A872)=0),"NO UPC MATCH in Release_Label",and($B872&lt;&gt;"",countif('3) Release_Label'!$E:$E,$B872)=0),"NO CATALOG ID MATCH in Release_Label",iserror(vlookup($A872&amp;$B872,'3) Release_Label'!$D:$D&amp;'3) Release_Label'!$E:$E,1,0)),"NO UPC-CATALOG ID pair MATCH in Release_Label" )</f>
        <v/>
      </c>
      <c r="E872" s="99"/>
      <c r="F872" s="99"/>
      <c r="G872" s="123" t="str">
        <f t="array" ref="G872">ifs(or($F872="",$F872="Main Primary Artist"),$F872,not(iserror(vlookup($F872,'Reference info'!$J$5:$J$8,1,0))),"Key Artist",not(iserror(vlookup($F872,'Reference info'!$J$38:$J$405,1,0))),"Performer",not(iserror(vlookup($F872,'Reference info'!$J$10:$J$36,1,0))),"Producer &amp; Engineer")</f>
        <v/>
      </c>
    </row>
    <row r="873">
      <c r="A873" s="28"/>
      <c r="B873" s="103"/>
      <c r="C873" s="121" t="str">
        <f t="array" ref="C873">ifs(and(isblank($A873),isblank($B873)),"", not(iserror(vlookup($A873&amp;$B873,'3) Release_Label'!$D:$D&amp;'3) Release_Label'!$E:$E,1,0))),vlookup($A873&amp;$B873,{'3) Release_Label'!$D:$D&amp;'3) Release_Label'!$E:$E,'3) Release_Label'!$F:$F},2,0), or(and(not(isblank($B873)),$B873=$B872,$A873&lt;&gt;$A872),and(not(isblank($A873)),$A873=$A872,$B873&lt;&gt;$B872)),"ID LISTS UNALIGNED",and($A873&lt;&gt;"",countif('3) Release_Label'!$D:$D,$A873)=0),"NO UPC MATCH in Release_Label",and($B873&lt;&gt;"",countif('3) Release_Label'!$E:$E,$B873)=0),"NO CATALOG ID MATCH in Release_Label",iserror(vlookup($A873&amp;$B873,'3) Release_Label'!$D:$D&amp;'3) Release_Label'!$E:$E,1,0)),"NO UPC-CATALOG ID pair MATCH in Release_Label" )</f>
        <v/>
      </c>
      <c r="D873" s="121" t="str">
        <f t="array" ref="D873">ifs(and(isblank($A873),isblank($B873)),"", not(iserror(vlookup($A873&amp;$B873,'3) Release_Label'!$D:$D&amp;'3) Release_Label'!$E:$E,1,0))),vlookup($A873&amp;$B873,{'3) Release_Label'!$D:$D&amp;'3) Release_Label'!$E:$E,'3) Release_Label'!$H:$H},2,0), or(and(not(isblank($B873)),$B873=$B872,$A873&lt;&gt;$A872),and(not(isblank($A873)),$A873=$A872,$B873&lt;&gt;$B872)),"ID LISTS UNALIGNED",and($A873&lt;&gt;"",countif('3) Release_Label'!$D:$D,$A873)=0),"NO UPC MATCH in Release_Label",and($B873&lt;&gt;"",countif('3) Release_Label'!$E:$E,$B873)=0),"NO CATALOG ID MATCH in Release_Label",iserror(vlookup($A873&amp;$B873,'3) Release_Label'!$D:$D&amp;'3) Release_Label'!$E:$E,1,0)),"NO UPC-CATALOG ID pair MATCH in Release_Label" )</f>
        <v/>
      </c>
      <c r="E873" s="99"/>
      <c r="F873" s="99"/>
      <c r="G873" s="123" t="str">
        <f t="array" ref="G873">ifs(or($F873="",$F873="Main Primary Artist"),$F873,not(iserror(vlookup($F873,'Reference info'!$J$5:$J$8,1,0))),"Key Artist",not(iserror(vlookup($F873,'Reference info'!$J$38:$J$405,1,0))),"Performer",not(iserror(vlookup($F873,'Reference info'!$J$10:$J$36,1,0))),"Producer &amp; Engineer")</f>
        <v/>
      </c>
    </row>
    <row r="874">
      <c r="A874" s="28"/>
      <c r="B874" s="103"/>
      <c r="C874" s="121" t="str">
        <f t="array" ref="C874">ifs(and(isblank($A874),isblank($B874)),"", not(iserror(vlookup($A874&amp;$B874,'3) Release_Label'!$D:$D&amp;'3) Release_Label'!$E:$E,1,0))),vlookup($A874&amp;$B874,{'3) Release_Label'!$D:$D&amp;'3) Release_Label'!$E:$E,'3) Release_Label'!$F:$F},2,0), or(and(not(isblank($B874)),$B874=$B873,$A874&lt;&gt;$A873),and(not(isblank($A874)),$A874=$A873,$B874&lt;&gt;$B873)),"ID LISTS UNALIGNED",and($A874&lt;&gt;"",countif('3) Release_Label'!$D:$D,$A874)=0),"NO UPC MATCH in Release_Label",and($B874&lt;&gt;"",countif('3) Release_Label'!$E:$E,$B874)=0),"NO CATALOG ID MATCH in Release_Label",iserror(vlookup($A874&amp;$B874,'3) Release_Label'!$D:$D&amp;'3) Release_Label'!$E:$E,1,0)),"NO UPC-CATALOG ID pair MATCH in Release_Label" )</f>
        <v/>
      </c>
      <c r="D874" s="121" t="str">
        <f t="array" ref="D874">ifs(and(isblank($A874),isblank($B874)),"", not(iserror(vlookup($A874&amp;$B874,'3) Release_Label'!$D:$D&amp;'3) Release_Label'!$E:$E,1,0))),vlookup($A874&amp;$B874,{'3) Release_Label'!$D:$D&amp;'3) Release_Label'!$E:$E,'3) Release_Label'!$H:$H},2,0), or(and(not(isblank($B874)),$B874=$B873,$A874&lt;&gt;$A873),and(not(isblank($A874)),$A874=$A873,$B874&lt;&gt;$B873)),"ID LISTS UNALIGNED",and($A874&lt;&gt;"",countif('3) Release_Label'!$D:$D,$A874)=0),"NO UPC MATCH in Release_Label",and($B874&lt;&gt;"",countif('3) Release_Label'!$E:$E,$B874)=0),"NO CATALOG ID MATCH in Release_Label",iserror(vlookup($A874&amp;$B874,'3) Release_Label'!$D:$D&amp;'3) Release_Label'!$E:$E,1,0)),"NO UPC-CATALOG ID pair MATCH in Release_Label" )</f>
        <v/>
      </c>
      <c r="E874" s="99"/>
      <c r="F874" s="99"/>
      <c r="G874" s="123" t="str">
        <f t="array" ref="G874">ifs(or($F874="",$F874="Main Primary Artist"),$F874,not(iserror(vlookup($F874,'Reference info'!$J$5:$J$8,1,0))),"Key Artist",not(iserror(vlookup($F874,'Reference info'!$J$38:$J$405,1,0))),"Performer",not(iserror(vlookup($F874,'Reference info'!$J$10:$J$36,1,0))),"Producer &amp; Engineer")</f>
        <v/>
      </c>
    </row>
    <row r="875">
      <c r="A875" s="28"/>
      <c r="B875" s="103"/>
      <c r="C875" s="121" t="str">
        <f t="array" ref="C875">ifs(and(isblank($A875),isblank($B875)),"", not(iserror(vlookup($A875&amp;$B875,'3) Release_Label'!$D:$D&amp;'3) Release_Label'!$E:$E,1,0))),vlookup($A875&amp;$B875,{'3) Release_Label'!$D:$D&amp;'3) Release_Label'!$E:$E,'3) Release_Label'!$F:$F},2,0), or(and(not(isblank($B875)),$B875=$B874,$A875&lt;&gt;$A874),and(not(isblank($A875)),$A875=$A874,$B875&lt;&gt;$B874)),"ID LISTS UNALIGNED",and($A875&lt;&gt;"",countif('3) Release_Label'!$D:$D,$A875)=0),"NO UPC MATCH in Release_Label",and($B875&lt;&gt;"",countif('3) Release_Label'!$E:$E,$B875)=0),"NO CATALOG ID MATCH in Release_Label",iserror(vlookup($A875&amp;$B875,'3) Release_Label'!$D:$D&amp;'3) Release_Label'!$E:$E,1,0)),"NO UPC-CATALOG ID pair MATCH in Release_Label" )</f>
        <v/>
      </c>
      <c r="D875" s="121" t="str">
        <f t="array" ref="D875">ifs(and(isblank($A875),isblank($B875)),"", not(iserror(vlookup($A875&amp;$B875,'3) Release_Label'!$D:$D&amp;'3) Release_Label'!$E:$E,1,0))),vlookup($A875&amp;$B875,{'3) Release_Label'!$D:$D&amp;'3) Release_Label'!$E:$E,'3) Release_Label'!$H:$H},2,0), or(and(not(isblank($B875)),$B875=$B874,$A875&lt;&gt;$A874),and(not(isblank($A875)),$A875=$A874,$B875&lt;&gt;$B874)),"ID LISTS UNALIGNED",and($A875&lt;&gt;"",countif('3) Release_Label'!$D:$D,$A875)=0),"NO UPC MATCH in Release_Label",and($B875&lt;&gt;"",countif('3) Release_Label'!$E:$E,$B875)=0),"NO CATALOG ID MATCH in Release_Label",iserror(vlookup($A875&amp;$B875,'3) Release_Label'!$D:$D&amp;'3) Release_Label'!$E:$E,1,0)),"NO UPC-CATALOG ID pair MATCH in Release_Label" )</f>
        <v/>
      </c>
      <c r="E875" s="99"/>
      <c r="F875" s="99"/>
      <c r="G875" s="123" t="str">
        <f t="array" ref="G875">ifs(or($F875="",$F875="Main Primary Artist"),$F875,not(iserror(vlookup($F875,'Reference info'!$J$5:$J$8,1,0))),"Key Artist",not(iserror(vlookup($F875,'Reference info'!$J$38:$J$405,1,0))),"Performer",not(iserror(vlookup($F875,'Reference info'!$J$10:$J$36,1,0))),"Producer &amp; Engineer")</f>
        <v/>
      </c>
    </row>
    <row r="876">
      <c r="A876" s="28"/>
      <c r="B876" s="103"/>
      <c r="C876" s="121" t="str">
        <f t="array" ref="C876">ifs(and(isblank($A876),isblank($B876)),"", not(iserror(vlookup($A876&amp;$B876,'3) Release_Label'!$D:$D&amp;'3) Release_Label'!$E:$E,1,0))),vlookup($A876&amp;$B876,{'3) Release_Label'!$D:$D&amp;'3) Release_Label'!$E:$E,'3) Release_Label'!$F:$F},2,0), or(and(not(isblank($B876)),$B876=$B875,$A876&lt;&gt;$A875),and(not(isblank($A876)),$A876=$A875,$B876&lt;&gt;$B875)),"ID LISTS UNALIGNED",and($A876&lt;&gt;"",countif('3) Release_Label'!$D:$D,$A876)=0),"NO UPC MATCH in Release_Label",and($B876&lt;&gt;"",countif('3) Release_Label'!$E:$E,$B876)=0),"NO CATALOG ID MATCH in Release_Label",iserror(vlookup($A876&amp;$B876,'3) Release_Label'!$D:$D&amp;'3) Release_Label'!$E:$E,1,0)),"NO UPC-CATALOG ID pair MATCH in Release_Label" )</f>
        <v/>
      </c>
      <c r="D876" s="121" t="str">
        <f t="array" ref="D876">ifs(and(isblank($A876),isblank($B876)),"", not(iserror(vlookup($A876&amp;$B876,'3) Release_Label'!$D:$D&amp;'3) Release_Label'!$E:$E,1,0))),vlookup($A876&amp;$B876,{'3) Release_Label'!$D:$D&amp;'3) Release_Label'!$E:$E,'3) Release_Label'!$H:$H},2,0), or(and(not(isblank($B876)),$B876=$B875,$A876&lt;&gt;$A875),and(not(isblank($A876)),$A876=$A875,$B876&lt;&gt;$B875)),"ID LISTS UNALIGNED",and($A876&lt;&gt;"",countif('3) Release_Label'!$D:$D,$A876)=0),"NO UPC MATCH in Release_Label",and($B876&lt;&gt;"",countif('3) Release_Label'!$E:$E,$B876)=0),"NO CATALOG ID MATCH in Release_Label",iserror(vlookup($A876&amp;$B876,'3) Release_Label'!$D:$D&amp;'3) Release_Label'!$E:$E,1,0)),"NO UPC-CATALOG ID pair MATCH in Release_Label" )</f>
        <v/>
      </c>
      <c r="E876" s="99"/>
      <c r="F876" s="99"/>
      <c r="G876" s="123" t="str">
        <f t="array" ref="G876">ifs(or($F876="",$F876="Main Primary Artist"),$F876,not(iserror(vlookup($F876,'Reference info'!$J$5:$J$8,1,0))),"Key Artist",not(iserror(vlookup($F876,'Reference info'!$J$38:$J$405,1,0))),"Performer",not(iserror(vlookup($F876,'Reference info'!$J$10:$J$36,1,0))),"Producer &amp; Engineer")</f>
        <v/>
      </c>
    </row>
    <row r="877">
      <c r="A877" s="28"/>
      <c r="B877" s="103"/>
      <c r="C877" s="121" t="str">
        <f t="array" ref="C877">ifs(and(isblank($A877),isblank($B877)),"", not(iserror(vlookup($A877&amp;$B877,'3) Release_Label'!$D:$D&amp;'3) Release_Label'!$E:$E,1,0))),vlookup($A877&amp;$B877,{'3) Release_Label'!$D:$D&amp;'3) Release_Label'!$E:$E,'3) Release_Label'!$F:$F},2,0), or(and(not(isblank($B877)),$B877=$B876,$A877&lt;&gt;$A876),and(not(isblank($A877)),$A877=$A876,$B877&lt;&gt;$B876)),"ID LISTS UNALIGNED",and($A877&lt;&gt;"",countif('3) Release_Label'!$D:$D,$A877)=0),"NO UPC MATCH in Release_Label",and($B877&lt;&gt;"",countif('3) Release_Label'!$E:$E,$B877)=0),"NO CATALOG ID MATCH in Release_Label",iserror(vlookup($A877&amp;$B877,'3) Release_Label'!$D:$D&amp;'3) Release_Label'!$E:$E,1,0)),"NO UPC-CATALOG ID pair MATCH in Release_Label" )</f>
        <v/>
      </c>
      <c r="D877" s="121" t="str">
        <f t="array" ref="D877">ifs(and(isblank($A877),isblank($B877)),"", not(iserror(vlookup($A877&amp;$B877,'3) Release_Label'!$D:$D&amp;'3) Release_Label'!$E:$E,1,0))),vlookup($A877&amp;$B877,{'3) Release_Label'!$D:$D&amp;'3) Release_Label'!$E:$E,'3) Release_Label'!$H:$H},2,0), or(and(not(isblank($B877)),$B877=$B876,$A877&lt;&gt;$A876),and(not(isblank($A877)),$A877=$A876,$B877&lt;&gt;$B876)),"ID LISTS UNALIGNED",and($A877&lt;&gt;"",countif('3) Release_Label'!$D:$D,$A877)=0),"NO UPC MATCH in Release_Label",and($B877&lt;&gt;"",countif('3) Release_Label'!$E:$E,$B877)=0),"NO CATALOG ID MATCH in Release_Label",iserror(vlookup($A877&amp;$B877,'3) Release_Label'!$D:$D&amp;'3) Release_Label'!$E:$E,1,0)),"NO UPC-CATALOG ID pair MATCH in Release_Label" )</f>
        <v/>
      </c>
      <c r="E877" s="99"/>
      <c r="F877" s="99"/>
      <c r="G877" s="123" t="str">
        <f t="array" ref="G877">ifs(or($F877="",$F877="Main Primary Artist"),$F877,not(iserror(vlookup($F877,'Reference info'!$J$5:$J$8,1,0))),"Key Artist",not(iserror(vlookup($F877,'Reference info'!$J$38:$J$405,1,0))),"Performer",not(iserror(vlookup($F877,'Reference info'!$J$10:$J$36,1,0))),"Producer &amp; Engineer")</f>
        <v/>
      </c>
    </row>
    <row r="878">
      <c r="A878" s="28"/>
      <c r="B878" s="103"/>
      <c r="C878" s="121" t="str">
        <f t="array" ref="C878">ifs(and(isblank($A878),isblank($B878)),"", not(iserror(vlookup($A878&amp;$B878,'3) Release_Label'!$D:$D&amp;'3) Release_Label'!$E:$E,1,0))),vlookup($A878&amp;$B878,{'3) Release_Label'!$D:$D&amp;'3) Release_Label'!$E:$E,'3) Release_Label'!$F:$F},2,0), or(and(not(isblank($B878)),$B878=$B877,$A878&lt;&gt;$A877),and(not(isblank($A878)),$A878=$A877,$B878&lt;&gt;$B877)),"ID LISTS UNALIGNED",and($A878&lt;&gt;"",countif('3) Release_Label'!$D:$D,$A878)=0),"NO UPC MATCH in Release_Label",and($B878&lt;&gt;"",countif('3) Release_Label'!$E:$E,$B878)=0),"NO CATALOG ID MATCH in Release_Label",iserror(vlookup($A878&amp;$B878,'3) Release_Label'!$D:$D&amp;'3) Release_Label'!$E:$E,1,0)),"NO UPC-CATALOG ID pair MATCH in Release_Label" )</f>
        <v/>
      </c>
      <c r="D878" s="121" t="str">
        <f t="array" ref="D878">ifs(and(isblank($A878),isblank($B878)),"", not(iserror(vlookup($A878&amp;$B878,'3) Release_Label'!$D:$D&amp;'3) Release_Label'!$E:$E,1,0))),vlookup($A878&amp;$B878,{'3) Release_Label'!$D:$D&amp;'3) Release_Label'!$E:$E,'3) Release_Label'!$H:$H},2,0), or(and(not(isblank($B878)),$B878=$B877,$A878&lt;&gt;$A877),and(not(isblank($A878)),$A878=$A877,$B878&lt;&gt;$B877)),"ID LISTS UNALIGNED",and($A878&lt;&gt;"",countif('3) Release_Label'!$D:$D,$A878)=0),"NO UPC MATCH in Release_Label",and($B878&lt;&gt;"",countif('3) Release_Label'!$E:$E,$B878)=0),"NO CATALOG ID MATCH in Release_Label",iserror(vlookup($A878&amp;$B878,'3) Release_Label'!$D:$D&amp;'3) Release_Label'!$E:$E,1,0)),"NO UPC-CATALOG ID pair MATCH in Release_Label" )</f>
        <v/>
      </c>
      <c r="E878" s="99"/>
      <c r="F878" s="99"/>
      <c r="G878" s="123" t="str">
        <f t="array" ref="G878">ifs(or($F878="",$F878="Main Primary Artist"),$F878,not(iserror(vlookup($F878,'Reference info'!$J$5:$J$8,1,0))),"Key Artist",not(iserror(vlookup($F878,'Reference info'!$J$38:$J$405,1,0))),"Performer",not(iserror(vlookup($F878,'Reference info'!$J$10:$J$36,1,0))),"Producer &amp; Engineer")</f>
        <v/>
      </c>
    </row>
    <row r="879">
      <c r="A879" s="28"/>
      <c r="B879" s="103"/>
      <c r="C879" s="121" t="str">
        <f t="array" ref="C879">ifs(and(isblank($A879),isblank($B879)),"", not(iserror(vlookup($A879&amp;$B879,'3) Release_Label'!$D:$D&amp;'3) Release_Label'!$E:$E,1,0))),vlookup($A879&amp;$B879,{'3) Release_Label'!$D:$D&amp;'3) Release_Label'!$E:$E,'3) Release_Label'!$F:$F},2,0), or(and(not(isblank($B879)),$B879=$B878,$A879&lt;&gt;$A878),and(not(isblank($A879)),$A879=$A878,$B879&lt;&gt;$B878)),"ID LISTS UNALIGNED",and($A879&lt;&gt;"",countif('3) Release_Label'!$D:$D,$A879)=0),"NO UPC MATCH in Release_Label",and($B879&lt;&gt;"",countif('3) Release_Label'!$E:$E,$B879)=0),"NO CATALOG ID MATCH in Release_Label",iserror(vlookup($A879&amp;$B879,'3) Release_Label'!$D:$D&amp;'3) Release_Label'!$E:$E,1,0)),"NO UPC-CATALOG ID pair MATCH in Release_Label" )</f>
        <v/>
      </c>
      <c r="D879" s="121" t="str">
        <f t="array" ref="D879">ifs(and(isblank($A879),isblank($B879)),"", not(iserror(vlookup($A879&amp;$B879,'3) Release_Label'!$D:$D&amp;'3) Release_Label'!$E:$E,1,0))),vlookup($A879&amp;$B879,{'3) Release_Label'!$D:$D&amp;'3) Release_Label'!$E:$E,'3) Release_Label'!$H:$H},2,0), or(and(not(isblank($B879)),$B879=$B878,$A879&lt;&gt;$A878),and(not(isblank($A879)),$A879=$A878,$B879&lt;&gt;$B878)),"ID LISTS UNALIGNED",and($A879&lt;&gt;"",countif('3) Release_Label'!$D:$D,$A879)=0),"NO UPC MATCH in Release_Label",and($B879&lt;&gt;"",countif('3) Release_Label'!$E:$E,$B879)=0),"NO CATALOG ID MATCH in Release_Label",iserror(vlookup($A879&amp;$B879,'3) Release_Label'!$D:$D&amp;'3) Release_Label'!$E:$E,1,0)),"NO UPC-CATALOG ID pair MATCH in Release_Label" )</f>
        <v/>
      </c>
      <c r="E879" s="99"/>
      <c r="F879" s="99"/>
      <c r="G879" s="123" t="str">
        <f t="array" ref="G879">ifs(or($F879="",$F879="Main Primary Artist"),$F879,not(iserror(vlookup($F879,'Reference info'!$J$5:$J$8,1,0))),"Key Artist",not(iserror(vlookup($F879,'Reference info'!$J$38:$J$405,1,0))),"Performer",not(iserror(vlookup($F879,'Reference info'!$J$10:$J$36,1,0))),"Producer &amp; Engineer")</f>
        <v/>
      </c>
    </row>
    <row r="880">
      <c r="A880" s="28"/>
      <c r="B880" s="103"/>
      <c r="C880" s="121" t="str">
        <f t="array" ref="C880">ifs(and(isblank($A880),isblank($B880)),"", not(iserror(vlookup($A880&amp;$B880,'3) Release_Label'!$D:$D&amp;'3) Release_Label'!$E:$E,1,0))),vlookup($A880&amp;$B880,{'3) Release_Label'!$D:$D&amp;'3) Release_Label'!$E:$E,'3) Release_Label'!$F:$F},2,0), or(and(not(isblank($B880)),$B880=$B879,$A880&lt;&gt;$A879),and(not(isblank($A880)),$A880=$A879,$B880&lt;&gt;$B879)),"ID LISTS UNALIGNED",and($A880&lt;&gt;"",countif('3) Release_Label'!$D:$D,$A880)=0),"NO UPC MATCH in Release_Label",and($B880&lt;&gt;"",countif('3) Release_Label'!$E:$E,$B880)=0),"NO CATALOG ID MATCH in Release_Label",iserror(vlookup($A880&amp;$B880,'3) Release_Label'!$D:$D&amp;'3) Release_Label'!$E:$E,1,0)),"NO UPC-CATALOG ID pair MATCH in Release_Label" )</f>
        <v/>
      </c>
      <c r="D880" s="121" t="str">
        <f t="array" ref="D880">ifs(and(isblank($A880),isblank($B880)),"", not(iserror(vlookup($A880&amp;$B880,'3) Release_Label'!$D:$D&amp;'3) Release_Label'!$E:$E,1,0))),vlookup($A880&amp;$B880,{'3) Release_Label'!$D:$D&amp;'3) Release_Label'!$E:$E,'3) Release_Label'!$H:$H},2,0), or(and(not(isblank($B880)),$B880=$B879,$A880&lt;&gt;$A879),and(not(isblank($A880)),$A880=$A879,$B880&lt;&gt;$B879)),"ID LISTS UNALIGNED",and($A880&lt;&gt;"",countif('3) Release_Label'!$D:$D,$A880)=0),"NO UPC MATCH in Release_Label",and($B880&lt;&gt;"",countif('3) Release_Label'!$E:$E,$B880)=0),"NO CATALOG ID MATCH in Release_Label",iserror(vlookup($A880&amp;$B880,'3) Release_Label'!$D:$D&amp;'3) Release_Label'!$E:$E,1,0)),"NO UPC-CATALOG ID pair MATCH in Release_Label" )</f>
        <v/>
      </c>
      <c r="E880" s="99"/>
      <c r="F880" s="99"/>
      <c r="G880" s="123" t="str">
        <f t="array" ref="G880">ifs(or($F880="",$F880="Main Primary Artist"),$F880,not(iserror(vlookup($F880,'Reference info'!$J$5:$J$8,1,0))),"Key Artist",not(iserror(vlookup($F880,'Reference info'!$J$38:$J$405,1,0))),"Performer",not(iserror(vlookup($F880,'Reference info'!$J$10:$J$36,1,0))),"Producer &amp; Engineer")</f>
        <v/>
      </c>
    </row>
    <row r="881">
      <c r="A881" s="28"/>
      <c r="B881" s="103"/>
      <c r="C881" s="121" t="str">
        <f t="array" ref="C881">ifs(and(isblank($A881),isblank($B881)),"", not(iserror(vlookup($A881&amp;$B881,'3) Release_Label'!$D:$D&amp;'3) Release_Label'!$E:$E,1,0))),vlookup($A881&amp;$B881,{'3) Release_Label'!$D:$D&amp;'3) Release_Label'!$E:$E,'3) Release_Label'!$F:$F},2,0), or(and(not(isblank($B881)),$B881=$B880,$A881&lt;&gt;$A880),and(not(isblank($A881)),$A881=$A880,$B881&lt;&gt;$B880)),"ID LISTS UNALIGNED",and($A881&lt;&gt;"",countif('3) Release_Label'!$D:$D,$A881)=0),"NO UPC MATCH in Release_Label",and($B881&lt;&gt;"",countif('3) Release_Label'!$E:$E,$B881)=0),"NO CATALOG ID MATCH in Release_Label",iserror(vlookup($A881&amp;$B881,'3) Release_Label'!$D:$D&amp;'3) Release_Label'!$E:$E,1,0)),"NO UPC-CATALOG ID pair MATCH in Release_Label" )</f>
        <v/>
      </c>
      <c r="D881" s="121" t="str">
        <f t="array" ref="D881">ifs(and(isblank($A881),isblank($B881)),"", not(iserror(vlookup($A881&amp;$B881,'3) Release_Label'!$D:$D&amp;'3) Release_Label'!$E:$E,1,0))),vlookup($A881&amp;$B881,{'3) Release_Label'!$D:$D&amp;'3) Release_Label'!$E:$E,'3) Release_Label'!$H:$H},2,0), or(and(not(isblank($B881)),$B881=$B880,$A881&lt;&gt;$A880),and(not(isblank($A881)),$A881=$A880,$B881&lt;&gt;$B880)),"ID LISTS UNALIGNED",and($A881&lt;&gt;"",countif('3) Release_Label'!$D:$D,$A881)=0),"NO UPC MATCH in Release_Label",and($B881&lt;&gt;"",countif('3) Release_Label'!$E:$E,$B881)=0),"NO CATALOG ID MATCH in Release_Label",iserror(vlookup($A881&amp;$B881,'3) Release_Label'!$D:$D&amp;'3) Release_Label'!$E:$E,1,0)),"NO UPC-CATALOG ID pair MATCH in Release_Label" )</f>
        <v/>
      </c>
      <c r="E881" s="99"/>
      <c r="F881" s="99"/>
      <c r="G881" s="123" t="str">
        <f t="array" ref="G881">ifs(or($F881="",$F881="Main Primary Artist"),$F881,not(iserror(vlookup($F881,'Reference info'!$J$5:$J$8,1,0))),"Key Artist",not(iserror(vlookup($F881,'Reference info'!$J$38:$J$405,1,0))),"Performer",not(iserror(vlookup($F881,'Reference info'!$J$10:$J$36,1,0))),"Producer &amp; Engineer")</f>
        <v/>
      </c>
    </row>
    <row r="882">
      <c r="A882" s="28"/>
      <c r="B882" s="103"/>
      <c r="C882" s="121" t="str">
        <f t="array" ref="C882">ifs(and(isblank($A882),isblank($B882)),"", not(iserror(vlookup($A882&amp;$B882,'3) Release_Label'!$D:$D&amp;'3) Release_Label'!$E:$E,1,0))),vlookup($A882&amp;$B882,{'3) Release_Label'!$D:$D&amp;'3) Release_Label'!$E:$E,'3) Release_Label'!$F:$F},2,0), or(and(not(isblank($B882)),$B882=$B881,$A882&lt;&gt;$A881),and(not(isblank($A882)),$A882=$A881,$B882&lt;&gt;$B881)),"ID LISTS UNALIGNED",and($A882&lt;&gt;"",countif('3) Release_Label'!$D:$D,$A882)=0),"NO UPC MATCH in Release_Label",and($B882&lt;&gt;"",countif('3) Release_Label'!$E:$E,$B882)=0),"NO CATALOG ID MATCH in Release_Label",iserror(vlookup($A882&amp;$B882,'3) Release_Label'!$D:$D&amp;'3) Release_Label'!$E:$E,1,0)),"NO UPC-CATALOG ID pair MATCH in Release_Label" )</f>
        <v/>
      </c>
      <c r="D882" s="121" t="str">
        <f t="array" ref="D882">ifs(and(isblank($A882),isblank($B882)),"", not(iserror(vlookup($A882&amp;$B882,'3) Release_Label'!$D:$D&amp;'3) Release_Label'!$E:$E,1,0))),vlookup($A882&amp;$B882,{'3) Release_Label'!$D:$D&amp;'3) Release_Label'!$E:$E,'3) Release_Label'!$H:$H},2,0), or(and(not(isblank($B882)),$B882=$B881,$A882&lt;&gt;$A881),and(not(isblank($A882)),$A882=$A881,$B882&lt;&gt;$B881)),"ID LISTS UNALIGNED",and($A882&lt;&gt;"",countif('3) Release_Label'!$D:$D,$A882)=0),"NO UPC MATCH in Release_Label",and($B882&lt;&gt;"",countif('3) Release_Label'!$E:$E,$B882)=0),"NO CATALOG ID MATCH in Release_Label",iserror(vlookup($A882&amp;$B882,'3) Release_Label'!$D:$D&amp;'3) Release_Label'!$E:$E,1,0)),"NO UPC-CATALOG ID pair MATCH in Release_Label" )</f>
        <v/>
      </c>
      <c r="E882" s="99"/>
      <c r="F882" s="99"/>
      <c r="G882" s="123" t="str">
        <f t="array" ref="G882">ifs(or($F882="",$F882="Main Primary Artist"),$F882,not(iserror(vlookup($F882,'Reference info'!$J$5:$J$8,1,0))),"Key Artist",not(iserror(vlookup($F882,'Reference info'!$J$38:$J$405,1,0))),"Performer",not(iserror(vlookup($F882,'Reference info'!$J$10:$J$36,1,0))),"Producer &amp; Engineer")</f>
        <v/>
      </c>
    </row>
    <row r="883">
      <c r="A883" s="28"/>
      <c r="B883" s="103"/>
      <c r="C883" s="121" t="str">
        <f t="array" ref="C883">ifs(and(isblank($A883),isblank($B883)),"", not(iserror(vlookup($A883&amp;$B883,'3) Release_Label'!$D:$D&amp;'3) Release_Label'!$E:$E,1,0))),vlookup($A883&amp;$B883,{'3) Release_Label'!$D:$D&amp;'3) Release_Label'!$E:$E,'3) Release_Label'!$F:$F},2,0), or(and(not(isblank($B883)),$B883=$B882,$A883&lt;&gt;$A882),and(not(isblank($A883)),$A883=$A882,$B883&lt;&gt;$B882)),"ID LISTS UNALIGNED",and($A883&lt;&gt;"",countif('3) Release_Label'!$D:$D,$A883)=0),"NO UPC MATCH in Release_Label",and($B883&lt;&gt;"",countif('3) Release_Label'!$E:$E,$B883)=0),"NO CATALOG ID MATCH in Release_Label",iserror(vlookup($A883&amp;$B883,'3) Release_Label'!$D:$D&amp;'3) Release_Label'!$E:$E,1,0)),"NO UPC-CATALOG ID pair MATCH in Release_Label" )</f>
        <v/>
      </c>
      <c r="D883" s="121" t="str">
        <f t="array" ref="D883">ifs(and(isblank($A883),isblank($B883)),"", not(iserror(vlookup($A883&amp;$B883,'3) Release_Label'!$D:$D&amp;'3) Release_Label'!$E:$E,1,0))),vlookup($A883&amp;$B883,{'3) Release_Label'!$D:$D&amp;'3) Release_Label'!$E:$E,'3) Release_Label'!$H:$H},2,0), or(and(not(isblank($B883)),$B883=$B882,$A883&lt;&gt;$A882),and(not(isblank($A883)),$A883=$A882,$B883&lt;&gt;$B882)),"ID LISTS UNALIGNED",and($A883&lt;&gt;"",countif('3) Release_Label'!$D:$D,$A883)=0),"NO UPC MATCH in Release_Label",and($B883&lt;&gt;"",countif('3) Release_Label'!$E:$E,$B883)=0),"NO CATALOG ID MATCH in Release_Label",iserror(vlookup($A883&amp;$B883,'3) Release_Label'!$D:$D&amp;'3) Release_Label'!$E:$E,1,0)),"NO UPC-CATALOG ID pair MATCH in Release_Label" )</f>
        <v/>
      </c>
      <c r="E883" s="99"/>
      <c r="F883" s="99"/>
      <c r="G883" s="123" t="str">
        <f t="array" ref="G883">ifs(or($F883="",$F883="Main Primary Artist"),$F883,not(iserror(vlookup($F883,'Reference info'!$J$5:$J$8,1,0))),"Key Artist",not(iserror(vlookup($F883,'Reference info'!$J$38:$J$405,1,0))),"Performer",not(iserror(vlookup($F883,'Reference info'!$J$10:$J$36,1,0))),"Producer &amp; Engineer")</f>
        <v/>
      </c>
    </row>
    <row r="884">
      <c r="A884" s="28"/>
      <c r="B884" s="103"/>
      <c r="C884" s="121" t="str">
        <f t="array" ref="C884">ifs(and(isblank($A884),isblank($B884)),"", not(iserror(vlookup($A884&amp;$B884,'3) Release_Label'!$D:$D&amp;'3) Release_Label'!$E:$E,1,0))),vlookup($A884&amp;$B884,{'3) Release_Label'!$D:$D&amp;'3) Release_Label'!$E:$E,'3) Release_Label'!$F:$F},2,0), or(and(not(isblank($B884)),$B884=$B883,$A884&lt;&gt;$A883),and(not(isblank($A884)),$A884=$A883,$B884&lt;&gt;$B883)),"ID LISTS UNALIGNED",and($A884&lt;&gt;"",countif('3) Release_Label'!$D:$D,$A884)=0),"NO UPC MATCH in Release_Label",and($B884&lt;&gt;"",countif('3) Release_Label'!$E:$E,$B884)=0),"NO CATALOG ID MATCH in Release_Label",iserror(vlookup($A884&amp;$B884,'3) Release_Label'!$D:$D&amp;'3) Release_Label'!$E:$E,1,0)),"NO UPC-CATALOG ID pair MATCH in Release_Label" )</f>
        <v/>
      </c>
      <c r="D884" s="121" t="str">
        <f t="array" ref="D884">ifs(and(isblank($A884),isblank($B884)),"", not(iserror(vlookup($A884&amp;$B884,'3) Release_Label'!$D:$D&amp;'3) Release_Label'!$E:$E,1,0))),vlookup($A884&amp;$B884,{'3) Release_Label'!$D:$D&amp;'3) Release_Label'!$E:$E,'3) Release_Label'!$H:$H},2,0), or(and(not(isblank($B884)),$B884=$B883,$A884&lt;&gt;$A883),and(not(isblank($A884)),$A884=$A883,$B884&lt;&gt;$B883)),"ID LISTS UNALIGNED",and($A884&lt;&gt;"",countif('3) Release_Label'!$D:$D,$A884)=0),"NO UPC MATCH in Release_Label",and($B884&lt;&gt;"",countif('3) Release_Label'!$E:$E,$B884)=0),"NO CATALOG ID MATCH in Release_Label",iserror(vlookup($A884&amp;$B884,'3) Release_Label'!$D:$D&amp;'3) Release_Label'!$E:$E,1,0)),"NO UPC-CATALOG ID pair MATCH in Release_Label" )</f>
        <v/>
      </c>
      <c r="E884" s="99"/>
      <c r="F884" s="99"/>
      <c r="G884" s="123" t="str">
        <f t="array" ref="G884">ifs(or($F884="",$F884="Main Primary Artist"),$F884,not(iserror(vlookup($F884,'Reference info'!$J$5:$J$8,1,0))),"Key Artist",not(iserror(vlookup($F884,'Reference info'!$J$38:$J$405,1,0))),"Performer",not(iserror(vlookup($F884,'Reference info'!$J$10:$J$36,1,0))),"Producer &amp; Engineer")</f>
        <v/>
      </c>
    </row>
    <row r="885">
      <c r="A885" s="28"/>
      <c r="B885" s="103"/>
      <c r="C885" s="121" t="str">
        <f t="array" ref="C885">ifs(and(isblank($A885),isblank($B885)),"", not(iserror(vlookup($A885&amp;$B885,'3) Release_Label'!$D:$D&amp;'3) Release_Label'!$E:$E,1,0))),vlookup($A885&amp;$B885,{'3) Release_Label'!$D:$D&amp;'3) Release_Label'!$E:$E,'3) Release_Label'!$F:$F},2,0), or(and(not(isblank($B885)),$B885=$B884,$A885&lt;&gt;$A884),and(not(isblank($A885)),$A885=$A884,$B885&lt;&gt;$B884)),"ID LISTS UNALIGNED",and($A885&lt;&gt;"",countif('3) Release_Label'!$D:$D,$A885)=0),"NO UPC MATCH in Release_Label",and($B885&lt;&gt;"",countif('3) Release_Label'!$E:$E,$B885)=0),"NO CATALOG ID MATCH in Release_Label",iserror(vlookup($A885&amp;$B885,'3) Release_Label'!$D:$D&amp;'3) Release_Label'!$E:$E,1,0)),"NO UPC-CATALOG ID pair MATCH in Release_Label" )</f>
        <v/>
      </c>
      <c r="D885" s="121" t="str">
        <f t="array" ref="D885">ifs(and(isblank($A885),isblank($B885)),"", not(iserror(vlookup($A885&amp;$B885,'3) Release_Label'!$D:$D&amp;'3) Release_Label'!$E:$E,1,0))),vlookup($A885&amp;$B885,{'3) Release_Label'!$D:$D&amp;'3) Release_Label'!$E:$E,'3) Release_Label'!$H:$H},2,0), or(and(not(isblank($B885)),$B885=$B884,$A885&lt;&gt;$A884),and(not(isblank($A885)),$A885=$A884,$B885&lt;&gt;$B884)),"ID LISTS UNALIGNED",and($A885&lt;&gt;"",countif('3) Release_Label'!$D:$D,$A885)=0),"NO UPC MATCH in Release_Label",and($B885&lt;&gt;"",countif('3) Release_Label'!$E:$E,$B885)=0),"NO CATALOG ID MATCH in Release_Label",iserror(vlookup($A885&amp;$B885,'3) Release_Label'!$D:$D&amp;'3) Release_Label'!$E:$E,1,0)),"NO UPC-CATALOG ID pair MATCH in Release_Label" )</f>
        <v/>
      </c>
      <c r="E885" s="99"/>
      <c r="F885" s="99"/>
      <c r="G885" s="123" t="str">
        <f t="array" ref="G885">ifs(or($F885="",$F885="Main Primary Artist"),$F885,not(iserror(vlookup($F885,'Reference info'!$J$5:$J$8,1,0))),"Key Artist",not(iserror(vlookup($F885,'Reference info'!$J$38:$J$405,1,0))),"Performer",not(iserror(vlookup($F885,'Reference info'!$J$10:$J$36,1,0))),"Producer &amp; Engineer")</f>
        <v/>
      </c>
    </row>
    <row r="886">
      <c r="A886" s="28"/>
      <c r="B886" s="103"/>
      <c r="C886" s="121" t="str">
        <f t="array" ref="C886">ifs(and(isblank($A886),isblank($B886)),"", not(iserror(vlookup($A886&amp;$B886,'3) Release_Label'!$D:$D&amp;'3) Release_Label'!$E:$E,1,0))),vlookup($A886&amp;$B886,{'3) Release_Label'!$D:$D&amp;'3) Release_Label'!$E:$E,'3) Release_Label'!$F:$F},2,0), or(and(not(isblank($B886)),$B886=$B885,$A886&lt;&gt;$A885),and(not(isblank($A886)),$A886=$A885,$B886&lt;&gt;$B885)),"ID LISTS UNALIGNED",and($A886&lt;&gt;"",countif('3) Release_Label'!$D:$D,$A886)=0),"NO UPC MATCH in Release_Label",and($B886&lt;&gt;"",countif('3) Release_Label'!$E:$E,$B886)=0),"NO CATALOG ID MATCH in Release_Label",iserror(vlookup($A886&amp;$B886,'3) Release_Label'!$D:$D&amp;'3) Release_Label'!$E:$E,1,0)),"NO UPC-CATALOG ID pair MATCH in Release_Label" )</f>
        <v/>
      </c>
      <c r="D886" s="121" t="str">
        <f t="array" ref="D886">ifs(and(isblank($A886),isblank($B886)),"", not(iserror(vlookup($A886&amp;$B886,'3) Release_Label'!$D:$D&amp;'3) Release_Label'!$E:$E,1,0))),vlookup($A886&amp;$B886,{'3) Release_Label'!$D:$D&amp;'3) Release_Label'!$E:$E,'3) Release_Label'!$H:$H},2,0), or(and(not(isblank($B886)),$B886=$B885,$A886&lt;&gt;$A885),and(not(isblank($A886)),$A886=$A885,$B886&lt;&gt;$B885)),"ID LISTS UNALIGNED",and($A886&lt;&gt;"",countif('3) Release_Label'!$D:$D,$A886)=0),"NO UPC MATCH in Release_Label",and($B886&lt;&gt;"",countif('3) Release_Label'!$E:$E,$B886)=0),"NO CATALOG ID MATCH in Release_Label",iserror(vlookup($A886&amp;$B886,'3) Release_Label'!$D:$D&amp;'3) Release_Label'!$E:$E,1,0)),"NO UPC-CATALOG ID pair MATCH in Release_Label" )</f>
        <v/>
      </c>
      <c r="E886" s="99"/>
      <c r="F886" s="99"/>
      <c r="G886" s="123" t="str">
        <f t="array" ref="G886">ifs(or($F886="",$F886="Main Primary Artist"),$F886,not(iserror(vlookup($F886,'Reference info'!$J$5:$J$8,1,0))),"Key Artist",not(iserror(vlookup($F886,'Reference info'!$J$38:$J$405,1,0))),"Performer",not(iserror(vlookup($F886,'Reference info'!$J$10:$J$36,1,0))),"Producer &amp; Engineer")</f>
        <v/>
      </c>
    </row>
    <row r="887">
      <c r="A887" s="28"/>
      <c r="B887" s="103"/>
      <c r="C887" s="121" t="str">
        <f t="array" ref="C887">ifs(and(isblank($A887),isblank($B887)),"", not(iserror(vlookup($A887&amp;$B887,'3) Release_Label'!$D:$D&amp;'3) Release_Label'!$E:$E,1,0))),vlookup($A887&amp;$B887,{'3) Release_Label'!$D:$D&amp;'3) Release_Label'!$E:$E,'3) Release_Label'!$F:$F},2,0), or(and(not(isblank($B887)),$B887=$B886,$A887&lt;&gt;$A886),and(not(isblank($A887)),$A887=$A886,$B887&lt;&gt;$B886)),"ID LISTS UNALIGNED",and($A887&lt;&gt;"",countif('3) Release_Label'!$D:$D,$A887)=0),"NO UPC MATCH in Release_Label",and($B887&lt;&gt;"",countif('3) Release_Label'!$E:$E,$B887)=0),"NO CATALOG ID MATCH in Release_Label",iserror(vlookup($A887&amp;$B887,'3) Release_Label'!$D:$D&amp;'3) Release_Label'!$E:$E,1,0)),"NO UPC-CATALOG ID pair MATCH in Release_Label" )</f>
        <v/>
      </c>
      <c r="D887" s="121" t="str">
        <f t="array" ref="D887">ifs(and(isblank($A887),isblank($B887)),"", not(iserror(vlookup($A887&amp;$B887,'3) Release_Label'!$D:$D&amp;'3) Release_Label'!$E:$E,1,0))),vlookup($A887&amp;$B887,{'3) Release_Label'!$D:$D&amp;'3) Release_Label'!$E:$E,'3) Release_Label'!$H:$H},2,0), or(and(not(isblank($B887)),$B887=$B886,$A887&lt;&gt;$A886),and(not(isblank($A887)),$A887=$A886,$B887&lt;&gt;$B886)),"ID LISTS UNALIGNED",and($A887&lt;&gt;"",countif('3) Release_Label'!$D:$D,$A887)=0),"NO UPC MATCH in Release_Label",and($B887&lt;&gt;"",countif('3) Release_Label'!$E:$E,$B887)=0),"NO CATALOG ID MATCH in Release_Label",iserror(vlookup($A887&amp;$B887,'3) Release_Label'!$D:$D&amp;'3) Release_Label'!$E:$E,1,0)),"NO UPC-CATALOG ID pair MATCH in Release_Label" )</f>
        <v/>
      </c>
      <c r="E887" s="99"/>
      <c r="F887" s="99"/>
      <c r="G887" s="123" t="str">
        <f t="array" ref="G887">ifs(or($F887="",$F887="Main Primary Artist"),$F887,not(iserror(vlookup($F887,'Reference info'!$J$5:$J$8,1,0))),"Key Artist",not(iserror(vlookup($F887,'Reference info'!$J$38:$J$405,1,0))),"Performer",not(iserror(vlookup($F887,'Reference info'!$J$10:$J$36,1,0))),"Producer &amp; Engineer")</f>
        <v/>
      </c>
    </row>
    <row r="888">
      <c r="A888" s="28"/>
      <c r="B888" s="103"/>
      <c r="C888" s="121" t="str">
        <f t="array" ref="C888">ifs(and(isblank($A888),isblank($B888)),"", not(iserror(vlookup($A888&amp;$B888,'3) Release_Label'!$D:$D&amp;'3) Release_Label'!$E:$E,1,0))),vlookup($A888&amp;$B888,{'3) Release_Label'!$D:$D&amp;'3) Release_Label'!$E:$E,'3) Release_Label'!$F:$F},2,0), or(and(not(isblank($B888)),$B888=$B887,$A888&lt;&gt;$A887),and(not(isblank($A888)),$A888=$A887,$B888&lt;&gt;$B887)),"ID LISTS UNALIGNED",and($A888&lt;&gt;"",countif('3) Release_Label'!$D:$D,$A888)=0),"NO UPC MATCH in Release_Label",and($B888&lt;&gt;"",countif('3) Release_Label'!$E:$E,$B888)=0),"NO CATALOG ID MATCH in Release_Label",iserror(vlookup($A888&amp;$B888,'3) Release_Label'!$D:$D&amp;'3) Release_Label'!$E:$E,1,0)),"NO UPC-CATALOG ID pair MATCH in Release_Label" )</f>
        <v/>
      </c>
      <c r="D888" s="121" t="str">
        <f t="array" ref="D888">ifs(and(isblank($A888),isblank($B888)),"", not(iserror(vlookup($A888&amp;$B888,'3) Release_Label'!$D:$D&amp;'3) Release_Label'!$E:$E,1,0))),vlookup($A888&amp;$B888,{'3) Release_Label'!$D:$D&amp;'3) Release_Label'!$E:$E,'3) Release_Label'!$H:$H},2,0), or(and(not(isblank($B888)),$B888=$B887,$A888&lt;&gt;$A887),and(not(isblank($A888)),$A888=$A887,$B888&lt;&gt;$B887)),"ID LISTS UNALIGNED",and($A888&lt;&gt;"",countif('3) Release_Label'!$D:$D,$A888)=0),"NO UPC MATCH in Release_Label",and($B888&lt;&gt;"",countif('3) Release_Label'!$E:$E,$B888)=0),"NO CATALOG ID MATCH in Release_Label",iserror(vlookup($A888&amp;$B888,'3) Release_Label'!$D:$D&amp;'3) Release_Label'!$E:$E,1,0)),"NO UPC-CATALOG ID pair MATCH in Release_Label" )</f>
        <v/>
      </c>
      <c r="E888" s="99"/>
      <c r="F888" s="99"/>
      <c r="G888" s="123" t="str">
        <f t="array" ref="G888">ifs(or($F888="",$F888="Main Primary Artist"),$F888,not(iserror(vlookup($F888,'Reference info'!$J$5:$J$8,1,0))),"Key Artist",not(iserror(vlookup($F888,'Reference info'!$J$38:$J$405,1,0))),"Performer",not(iserror(vlookup($F888,'Reference info'!$J$10:$J$36,1,0))),"Producer &amp; Engineer")</f>
        <v/>
      </c>
    </row>
    <row r="889">
      <c r="A889" s="28"/>
      <c r="B889" s="103"/>
      <c r="C889" s="121" t="str">
        <f t="array" ref="C889">ifs(and(isblank($A889),isblank($B889)),"", not(iserror(vlookup($A889&amp;$B889,'3) Release_Label'!$D:$D&amp;'3) Release_Label'!$E:$E,1,0))),vlookup($A889&amp;$B889,{'3) Release_Label'!$D:$D&amp;'3) Release_Label'!$E:$E,'3) Release_Label'!$F:$F},2,0), or(and(not(isblank($B889)),$B889=$B888,$A889&lt;&gt;$A888),and(not(isblank($A889)),$A889=$A888,$B889&lt;&gt;$B888)),"ID LISTS UNALIGNED",and($A889&lt;&gt;"",countif('3) Release_Label'!$D:$D,$A889)=0),"NO UPC MATCH in Release_Label",and($B889&lt;&gt;"",countif('3) Release_Label'!$E:$E,$B889)=0),"NO CATALOG ID MATCH in Release_Label",iserror(vlookup($A889&amp;$B889,'3) Release_Label'!$D:$D&amp;'3) Release_Label'!$E:$E,1,0)),"NO UPC-CATALOG ID pair MATCH in Release_Label" )</f>
        <v/>
      </c>
      <c r="D889" s="121" t="str">
        <f t="array" ref="D889">ifs(and(isblank($A889),isblank($B889)),"", not(iserror(vlookup($A889&amp;$B889,'3) Release_Label'!$D:$D&amp;'3) Release_Label'!$E:$E,1,0))),vlookup($A889&amp;$B889,{'3) Release_Label'!$D:$D&amp;'3) Release_Label'!$E:$E,'3) Release_Label'!$H:$H},2,0), or(and(not(isblank($B889)),$B889=$B888,$A889&lt;&gt;$A888),and(not(isblank($A889)),$A889=$A888,$B889&lt;&gt;$B888)),"ID LISTS UNALIGNED",and($A889&lt;&gt;"",countif('3) Release_Label'!$D:$D,$A889)=0),"NO UPC MATCH in Release_Label",and($B889&lt;&gt;"",countif('3) Release_Label'!$E:$E,$B889)=0),"NO CATALOG ID MATCH in Release_Label",iserror(vlookup($A889&amp;$B889,'3) Release_Label'!$D:$D&amp;'3) Release_Label'!$E:$E,1,0)),"NO UPC-CATALOG ID pair MATCH in Release_Label" )</f>
        <v/>
      </c>
      <c r="E889" s="99"/>
      <c r="F889" s="99"/>
      <c r="G889" s="123" t="str">
        <f t="array" ref="G889">ifs(or($F889="",$F889="Main Primary Artist"),$F889,not(iserror(vlookup($F889,'Reference info'!$J$5:$J$8,1,0))),"Key Artist",not(iserror(vlookup($F889,'Reference info'!$J$38:$J$405,1,0))),"Performer",not(iserror(vlookup($F889,'Reference info'!$J$10:$J$36,1,0))),"Producer &amp; Engineer")</f>
        <v/>
      </c>
    </row>
    <row r="890">
      <c r="A890" s="28"/>
      <c r="B890" s="103"/>
      <c r="C890" s="121" t="str">
        <f t="array" ref="C890">ifs(and(isblank($A890),isblank($B890)),"", not(iserror(vlookup($A890&amp;$B890,'3) Release_Label'!$D:$D&amp;'3) Release_Label'!$E:$E,1,0))),vlookup($A890&amp;$B890,{'3) Release_Label'!$D:$D&amp;'3) Release_Label'!$E:$E,'3) Release_Label'!$F:$F},2,0), or(and(not(isblank($B890)),$B890=$B889,$A890&lt;&gt;$A889),and(not(isblank($A890)),$A890=$A889,$B890&lt;&gt;$B889)),"ID LISTS UNALIGNED",and($A890&lt;&gt;"",countif('3) Release_Label'!$D:$D,$A890)=0),"NO UPC MATCH in Release_Label",and($B890&lt;&gt;"",countif('3) Release_Label'!$E:$E,$B890)=0),"NO CATALOG ID MATCH in Release_Label",iserror(vlookup($A890&amp;$B890,'3) Release_Label'!$D:$D&amp;'3) Release_Label'!$E:$E,1,0)),"NO UPC-CATALOG ID pair MATCH in Release_Label" )</f>
        <v/>
      </c>
      <c r="D890" s="121" t="str">
        <f t="array" ref="D890">ifs(and(isblank($A890),isblank($B890)),"", not(iserror(vlookup($A890&amp;$B890,'3) Release_Label'!$D:$D&amp;'3) Release_Label'!$E:$E,1,0))),vlookup($A890&amp;$B890,{'3) Release_Label'!$D:$D&amp;'3) Release_Label'!$E:$E,'3) Release_Label'!$H:$H},2,0), or(and(not(isblank($B890)),$B890=$B889,$A890&lt;&gt;$A889),and(not(isblank($A890)),$A890=$A889,$B890&lt;&gt;$B889)),"ID LISTS UNALIGNED",and($A890&lt;&gt;"",countif('3) Release_Label'!$D:$D,$A890)=0),"NO UPC MATCH in Release_Label",and($B890&lt;&gt;"",countif('3) Release_Label'!$E:$E,$B890)=0),"NO CATALOG ID MATCH in Release_Label",iserror(vlookup($A890&amp;$B890,'3) Release_Label'!$D:$D&amp;'3) Release_Label'!$E:$E,1,0)),"NO UPC-CATALOG ID pair MATCH in Release_Label" )</f>
        <v/>
      </c>
      <c r="E890" s="99"/>
      <c r="F890" s="99"/>
      <c r="G890" s="123" t="str">
        <f t="array" ref="G890">ifs(or($F890="",$F890="Main Primary Artist"),$F890,not(iserror(vlookup($F890,'Reference info'!$J$5:$J$8,1,0))),"Key Artist",not(iserror(vlookup($F890,'Reference info'!$J$38:$J$405,1,0))),"Performer",not(iserror(vlookup($F890,'Reference info'!$J$10:$J$36,1,0))),"Producer &amp; Engineer")</f>
        <v/>
      </c>
    </row>
    <row r="891">
      <c r="A891" s="28"/>
      <c r="B891" s="103"/>
      <c r="C891" s="121" t="str">
        <f t="array" ref="C891">ifs(and(isblank($A891),isblank($B891)),"", not(iserror(vlookup($A891&amp;$B891,'3) Release_Label'!$D:$D&amp;'3) Release_Label'!$E:$E,1,0))),vlookup($A891&amp;$B891,{'3) Release_Label'!$D:$D&amp;'3) Release_Label'!$E:$E,'3) Release_Label'!$F:$F},2,0), or(and(not(isblank($B891)),$B891=$B890,$A891&lt;&gt;$A890),and(not(isblank($A891)),$A891=$A890,$B891&lt;&gt;$B890)),"ID LISTS UNALIGNED",and($A891&lt;&gt;"",countif('3) Release_Label'!$D:$D,$A891)=0),"NO UPC MATCH in Release_Label",and($B891&lt;&gt;"",countif('3) Release_Label'!$E:$E,$B891)=0),"NO CATALOG ID MATCH in Release_Label",iserror(vlookup($A891&amp;$B891,'3) Release_Label'!$D:$D&amp;'3) Release_Label'!$E:$E,1,0)),"NO UPC-CATALOG ID pair MATCH in Release_Label" )</f>
        <v/>
      </c>
      <c r="D891" s="121" t="str">
        <f t="array" ref="D891">ifs(and(isblank($A891),isblank($B891)),"", not(iserror(vlookup($A891&amp;$B891,'3) Release_Label'!$D:$D&amp;'3) Release_Label'!$E:$E,1,0))),vlookup($A891&amp;$B891,{'3) Release_Label'!$D:$D&amp;'3) Release_Label'!$E:$E,'3) Release_Label'!$H:$H},2,0), or(and(not(isblank($B891)),$B891=$B890,$A891&lt;&gt;$A890),and(not(isblank($A891)),$A891=$A890,$B891&lt;&gt;$B890)),"ID LISTS UNALIGNED",and($A891&lt;&gt;"",countif('3) Release_Label'!$D:$D,$A891)=0),"NO UPC MATCH in Release_Label",and($B891&lt;&gt;"",countif('3) Release_Label'!$E:$E,$B891)=0),"NO CATALOG ID MATCH in Release_Label",iserror(vlookup($A891&amp;$B891,'3) Release_Label'!$D:$D&amp;'3) Release_Label'!$E:$E,1,0)),"NO UPC-CATALOG ID pair MATCH in Release_Label" )</f>
        <v/>
      </c>
      <c r="E891" s="99"/>
      <c r="F891" s="99"/>
      <c r="G891" s="123" t="str">
        <f t="array" ref="G891">ifs(or($F891="",$F891="Main Primary Artist"),$F891,not(iserror(vlookup($F891,'Reference info'!$J$5:$J$8,1,0))),"Key Artist",not(iserror(vlookup($F891,'Reference info'!$J$38:$J$405,1,0))),"Performer",not(iserror(vlookup($F891,'Reference info'!$J$10:$J$36,1,0))),"Producer &amp; Engineer")</f>
        <v/>
      </c>
    </row>
    <row r="892">
      <c r="A892" s="28"/>
      <c r="B892" s="103"/>
      <c r="C892" s="121" t="str">
        <f t="array" ref="C892">ifs(and(isblank($A892),isblank($B892)),"", not(iserror(vlookup($A892&amp;$B892,'3) Release_Label'!$D:$D&amp;'3) Release_Label'!$E:$E,1,0))),vlookup($A892&amp;$B892,{'3) Release_Label'!$D:$D&amp;'3) Release_Label'!$E:$E,'3) Release_Label'!$F:$F},2,0), or(and(not(isblank($B892)),$B892=$B891,$A892&lt;&gt;$A891),and(not(isblank($A892)),$A892=$A891,$B892&lt;&gt;$B891)),"ID LISTS UNALIGNED",and($A892&lt;&gt;"",countif('3) Release_Label'!$D:$D,$A892)=0),"NO UPC MATCH in Release_Label",and($B892&lt;&gt;"",countif('3) Release_Label'!$E:$E,$B892)=0),"NO CATALOG ID MATCH in Release_Label",iserror(vlookup($A892&amp;$B892,'3) Release_Label'!$D:$D&amp;'3) Release_Label'!$E:$E,1,0)),"NO UPC-CATALOG ID pair MATCH in Release_Label" )</f>
        <v/>
      </c>
      <c r="D892" s="121" t="str">
        <f t="array" ref="D892">ifs(and(isblank($A892),isblank($B892)),"", not(iserror(vlookup($A892&amp;$B892,'3) Release_Label'!$D:$D&amp;'3) Release_Label'!$E:$E,1,0))),vlookup($A892&amp;$B892,{'3) Release_Label'!$D:$D&amp;'3) Release_Label'!$E:$E,'3) Release_Label'!$H:$H},2,0), or(and(not(isblank($B892)),$B892=$B891,$A892&lt;&gt;$A891),and(not(isblank($A892)),$A892=$A891,$B892&lt;&gt;$B891)),"ID LISTS UNALIGNED",and($A892&lt;&gt;"",countif('3) Release_Label'!$D:$D,$A892)=0),"NO UPC MATCH in Release_Label",and($B892&lt;&gt;"",countif('3) Release_Label'!$E:$E,$B892)=0),"NO CATALOG ID MATCH in Release_Label",iserror(vlookup($A892&amp;$B892,'3) Release_Label'!$D:$D&amp;'3) Release_Label'!$E:$E,1,0)),"NO UPC-CATALOG ID pair MATCH in Release_Label" )</f>
        <v/>
      </c>
      <c r="E892" s="99"/>
      <c r="F892" s="99"/>
      <c r="G892" s="123" t="str">
        <f t="array" ref="G892">ifs(or($F892="",$F892="Main Primary Artist"),$F892,not(iserror(vlookup($F892,'Reference info'!$J$5:$J$8,1,0))),"Key Artist",not(iserror(vlookup($F892,'Reference info'!$J$38:$J$405,1,0))),"Performer",not(iserror(vlookup($F892,'Reference info'!$J$10:$J$36,1,0))),"Producer &amp; Engineer")</f>
        <v/>
      </c>
    </row>
    <row r="893">
      <c r="A893" s="28"/>
      <c r="B893" s="103"/>
      <c r="C893" s="121" t="str">
        <f t="array" ref="C893">ifs(and(isblank($A893),isblank($B893)),"", not(iserror(vlookup($A893&amp;$B893,'3) Release_Label'!$D:$D&amp;'3) Release_Label'!$E:$E,1,0))),vlookup($A893&amp;$B893,{'3) Release_Label'!$D:$D&amp;'3) Release_Label'!$E:$E,'3) Release_Label'!$F:$F},2,0), or(and(not(isblank($B893)),$B893=$B892,$A893&lt;&gt;$A892),and(not(isblank($A893)),$A893=$A892,$B893&lt;&gt;$B892)),"ID LISTS UNALIGNED",and($A893&lt;&gt;"",countif('3) Release_Label'!$D:$D,$A893)=0),"NO UPC MATCH in Release_Label",and($B893&lt;&gt;"",countif('3) Release_Label'!$E:$E,$B893)=0),"NO CATALOG ID MATCH in Release_Label",iserror(vlookup($A893&amp;$B893,'3) Release_Label'!$D:$D&amp;'3) Release_Label'!$E:$E,1,0)),"NO UPC-CATALOG ID pair MATCH in Release_Label" )</f>
        <v/>
      </c>
      <c r="D893" s="121" t="str">
        <f t="array" ref="D893">ifs(and(isblank($A893),isblank($B893)),"", not(iserror(vlookup($A893&amp;$B893,'3) Release_Label'!$D:$D&amp;'3) Release_Label'!$E:$E,1,0))),vlookup($A893&amp;$B893,{'3) Release_Label'!$D:$D&amp;'3) Release_Label'!$E:$E,'3) Release_Label'!$H:$H},2,0), or(and(not(isblank($B893)),$B893=$B892,$A893&lt;&gt;$A892),and(not(isblank($A893)),$A893=$A892,$B893&lt;&gt;$B892)),"ID LISTS UNALIGNED",and($A893&lt;&gt;"",countif('3) Release_Label'!$D:$D,$A893)=0),"NO UPC MATCH in Release_Label",and($B893&lt;&gt;"",countif('3) Release_Label'!$E:$E,$B893)=0),"NO CATALOG ID MATCH in Release_Label",iserror(vlookup($A893&amp;$B893,'3) Release_Label'!$D:$D&amp;'3) Release_Label'!$E:$E,1,0)),"NO UPC-CATALOG ID pair MATCH in Release_Label" )</f>
        <v/>
      </c>
      <c r="E893" s="99"/>
      <c r="F893" s="99"/>
      <c r="G893" s="123" t="str">
        <f t="array" ref="G893">ifs(or($F893="",$F893="Main Primary Artist"),$F893,not(iserror(vlookup($F893,'Reference info'!$J$5:$J$8,1,0))),"Key Artist",not(iserror(vlookup($F893,'Reference info'!$J$38:$J$405,1,0))),"Performer",not(iserror(vlookup($F893,'Reference info'!$J$10:$J$36,1,0))),"Producer &amp; Engineer")</f>
        <v/>
      </c>
    </row>
    <row r="894">
      <c r="A894" s="28"/>
      <c r="B894" s="103"/>
      <c r="C894" s="121" t="str">
        <f t="array" ref="C894">ifs(and(isblank($A894),isblank($B894)),"", not(iserror(vlookup($A894&amp;$B894,'3) Release_Label'!$D:$D&amp;'3) Release_Label'!$E:$E,1,0))),vlookup($A894&amp;$B894,{'3) Release_Label'!$D:$D&amp;'3) Release_Label'!$E:$E,'3) Release_Label'!$F:$F},2,0), or(and(not(isblank($B894)),$B894=$B893,$A894&lt;&gt;$A893),and(not(isblank($A894)),$A894=$A893,$B894&lt;&gt;$B893)),"ID LISTS UNALIGNED",and($A894&lt;&gt;"",countif('3) Release_Label'!$D:$D,$A894)=0),"NO UPC MATCH in Release_Label",and($B894&lt;&gt;"",countif('3) Release_Label'!$E:$E,$B894)=0),"NO CATALOG ID MATCH in Release_Label",iserror(vlookup($A894&amp;$B894,'3) Release_Label'!$D:$D&amp;'3) Release_Label'!$E:$E,1,0)),"NO UPC-CATALOG ID pair MATCH in Release_Label" )</f>
        <v/>
      </c>
      <c r="D894" s="121" t="str">
        <f t="array" ref="D894">ifs(and(isblank($A894),isblank($B894)),"", not(iserror(vlookup($A894&amp;$B894,'3) Release_Label'!$D:$D&amp;'3) Release_Label'!$E:$E,1,0))),vlookup($A894&amp;$B894,{'3) Release_Label'!$D:$D&amp;'3) Release_Label'!$E:$E,'3) Release_Label'!$H:$H},2,0), or(and(not(isblank($B894)),$B894=$B893,$A894&lt;&gt;$A893),and(not(isblank($A894)),$A894=$A893,$B894&lt;&gt;$B893)),"ID LISTS UNALIGNED",and($A894&lt;&gt;"",countif('3) Release_Label'!$D:$D,$A894)=0),"NO UPC MATCH in Release_Label",and($B894&lt;&gt;"",countif('3) Release_Label'!$E:$E,$B894)=0),"NO CATALOG ID MATCH in Release_Label",iserror(vlookup($A894&amp;$B894,'3) Release_Label'!$D:$D&amp;'3) Release_Label'!$E:$E,1,0)),"NO UPC-CATALOG ID pair MATCH in Release_Label" )</f>
        <v/>
      </c>
      <c r="E894" s="99"/>
      <c r="F894" s="99"/>
      <c r="G894" s="123" t="str">
        <f t="array" ref="G894">ifs(or($F894="",$F894="Main Primary Artist"),$F894,not(iserror(vlookup($F894,'Reference info'!$J$5:$J$8,1,0))),"Key Artist",not(iserror(vlookup($F894,'Reference info'!$J$38:$J$405,1,0))),"Performer",not(iserror(vlookup($F894,'Reference info'!$J$10:$J$36,1,0))),"Producer &amp; Engineer")</f>
        <v/>
      </c>
    </row>
    <row r="895">
      <c r="A895" s="28"/>
      <c r="B895" s="103"/>
      <c r="C895" s="121" t="str">
        <f t="array" ref="C895">ifs(and(isblank($A895),isblank($B895)),"", not(iserror(vlookup($A895&amp;$B895,'3) Release_Label'!$D:$D&amp;'3) Release_Label'!$E:$E,1,0))),vlookup($A895&amp;$B895,{'3) Release_Label'!$D:$D&amp;'3) Release_Label'!$E:$E,'3) Release_Label'!$F:$F},2,0), or(and(not(isblank($B895)),$B895=$B894,$A895&lt;&gt;$A894),and(not(isblank($A895)),$A895=$A894,$B895&lt;&gt;$B894)),"ID LISTS UNALIGNED",and($A895&lt;&gt;"",countif('3) Release_Label'!$D:$D,$A895)=0),"NO UPC MATCH in Release_Label",and($B895&lt;&gt;"",countif('3) Release_Label'!$E:$E,$B895)=0),"NO CATALOG ID MATCH in Release_Label",iserror(vlookup($A895&amp;$B895,'3) Release_Label'!$D:$D&amp;'3) Release_Label'!$E:$E,1,0)),"NO UPC-CATALOG ID pair MATCH in Release_Label" )</f>
        <v/>
      </c>
      <c r="D895" s="121" t="str">
        <f t="array" ref="D895">ifs(and(isblank($A895),isblank($B895)),"", not(iserror(vlookup($A895&amp;$B895,'3) Release_Label'!$D:$D&amp;'3) Release_Label'!$E:$E,1,0))),vlookup($A895&amp;$B895,{'3) Release_Label'!$D:$D&amp;'3) Release_Label'!$E:$E,'3) Release_Label'!$H:$H},2,0), or(and(not(isblank($B895)),$B895=$B894,$A895&lt;&gt;$A894),and(not(isblank($A895)),$A895=$A894,$B895&lt;&gt;$B894)),"ID LISTS UNALIGNED",and($A895&lt;&gt;"",countif('3) Release_Label'!$D:$D,$A895)=0),"NO UPC MATCH in Release_Label",and($B895&lt;&gt;"",countif('3) Release_Label'!$E:$E,$B895)=0),"NO CATALOG ID MATCH in Release_Label",iserror(vlookup($A895&amp;$B895,'3) Release_Label'!$D:$D&amp;'3) Release_Label'!$E:$E,1,0)),"NO UPC-CATALOG ID pair MATCH in Release_Label" )</f>
        <v/>
      </c>
      <c r="E895" s="99"/>
      <c r="F895" s="99"/>
      <c r="G895" s="123" t="str">
        <f t="array" ref="G895">ifs(or($F895="",$F895="Main Primary Artist"),$F895,not(iserror(vlookup($F895,'Reference info'!$J$5:$J$8,1,0))),"Key Artist",not(iserror(vlookup($F895,'Reference info'!$J$38:$J$405,1,0))),"Performer",not(iserror(vlookup($F895,'Reference info'!$J$10:$J$36,1,0))),"Producer &amp; Engineer")</f>
        <v/>
      </c>
    </row>
    <row r="896">
      <c r="A896" s="28"/>
      <c r="B896" s="103"/>
      <c r="C896" s="121"/>
      <c r="D896" s="121"/>
      <c r="E896" s="99"/>
      <c r="F896" s="99"/>
      <c r="G896" s="123" t="str">
        <f t="array" ref="G896">ifs(or($F896="",$F896="Main Primary Artist"),$F896,not(iserror(vlookup($F896,'Reference info'!$J$5:$J$8,1,0))),"Key Artist",not(iserror(vlookup($F896,'Reference info'!$J$38:$J$405,1,0))),"Performer",not(iserror(vlookup($F896,'Reference info'!$J$10:$J$36,1,0))),"Producer &amp; Engineer")</f>
        <v/>
      </c>
    </row>
    <row r="897">
      <c r="A897" s="28"/>
      <c r="B897" s="103"/>
      <c r="C897" s="121"/>
      <c r="D897" s="121"/>
      <c r="E897" s="99"/>
      <c r="F897" s="99"/>
      <c r="G897" s="123" t="str">
        <f t="array" ref="G897">ifs(or($F897="",$F897="Main Primary Artist"),$F897,not(iserror(vlookup($F897,'Reference info'!$J$5:$J$8,1,0))),"Key Artist",not(iserror(vlookup($F897,'Reference info'!$J$38:$J$405,1,0))),"Performer",not(iserror(vlookup($F897,'Reference info'!$J$10:$J$36,1,0))),"Producer &amp; Engineer")</f>
        <v/>
      </c>
    </row>
    <row r="898">
      <c r="A898" s="28"/>
      <c r="B898" s="103"/>
      <c r="C898" s="121"/>
      <c r="D898" s="121"/>
      <c r="E898" s="99"/>
      <c r="F898" s="99"/>
      <c r="G898" s="123" t="str">
        <f t="array" ref="G898">ifs(or($F898="",$F898="Main Primary Artist"),$F898,not(iserror(vlookup($F898,'Reference info'!$J$5:$J$8,1,0))),"Key Artist",not(iserror(vlookup($F898,'Reference info'!$J$38:$J$405,1,0))),"Performer",not(iserror(vlookup($F898,'Reference info'!$J$10:$J$36,1,0))),"Producer &amp; Engineer")</f>
        <v/>
      </c>
    </row>
    <row r="899">
      <c r="A899" s="28"/>
      <c r="B899" s="103"/>
      <c r="C899" s="121"/>
      <c r="D899" s="121"/>
      <c r="E899" s="99"/>
      <c r="F899" s="99"/>
      <c r="G899" s="123" t="str">
        <f t="array" ref="G899">ifs(or($F899="",$F899="Main Primary Artist"),$F899,not(iserror(vlookup($F899,'Reference info'!$J$5:$J$8,1,0))),"Key Artist",not(iserror(vlookup($F899,'Reference info'!$J$38:$J$405,1,0))),"Performer",not(iserror(vlookup($F899,'Reference info'!$J$10:$J$36,1,0))),"Producer &amp; Engineer")</f>
        <v/>
      </c>
    </row>
    <row r="900">
      <c r="A900" s="28"/>
      <c r="B900" s="103"/>
      <c r="C900" s="121"/>
      <c r="D900" s="121"/>
      <c r="E900" s="99"/>
      <c r="F900" s="99"/>
      <c r="G900" s="123" t="str">
        <f t="array" ref="G900">ifs(or($F900="",$F900="Main Primary Artist"),$F900,not(iserror(vlookup($F900,'Reference info'!$J$5:$J$8,1,0))),"Key Artist",not(iserror(vlookup($F900,'Reference info'!$J$38:$J$405,1,0))),"Performer",not(iserror(vlookup($F900,'Reference info'!$J$10:$J$36,1,0))),"Producer &amp; Engineer")</f>
        <v/>
      </c>
    </row>
    <row r="901">
      <c r="A901" s="28"/>
      <c r="B901" s="103"/>
      <c r="C901" s="121"/>
      <c r="D901" s="121"/>
      <c r="E901" s="99"/>
      <c r="F901" s="99"/>
      <c r="G901" s="123" t="str">
        <f t="array" ref="G901">ifs(or($F901="",$F901="Main Primary Artist"),$F901,not(iserror(vlookup($F901,'Reference info'!$J$5:$J$8,1,0))),"Key Artist",not(iserror(vlookup($F901,'Reference info'!$J$38:$J$405,1,0))),"Performer",not(iserror(vlookup($F901,'Reference info'!$J$10:$J$36,1,0))),"Producer &amp; Engineer")</f>
        <v/>
      </c>
    </row>
    <row r="902">
      <c r="A902" s="28"/>
      <c r="B902" s="103"/>
      <c r="C902" s="121"/>
      <c r="D902" s="121"/>
      <c r="E902" s="99"/>
      <c r="F902" s="99"/>
      <c r="G902" s="123" t="str">
        <f t="array" ref="G902">ifs(or($F902="",$F902="Main Primary Artist"),$F902,not(iserror(vlookup($F902,'Reference info'!$J$5:$J$8,1,0))),"Key Artist",not(iserror(vlookup($F902,'Reference info'!$J$38:$J$405,1,0))),"Performer",not(iserror(vlookup($F902,'Reference info'!$J$10:$J$36,1,0))),"Producer &amp; Engineer")</f>
        <v/>
      </c>
    </row>
    <row r="903">
      <c r="A903" s="28"/>
      <c r="B903" s="103"/>
      <c r="C903" s="121"/>
      <c r="D903" s="121"/>
      <c r="E903" s="99"/>
      <c r="F903" s="99"/>
      <c r="G903" s="123" t="str">
        <f t="array" ref="G903">ifs(or($F903="",$F903="Main Primary Artist"),$F903,not(iserror(vlookup($F903,'Reference info'!$J$5:$J$8,1,0))),"Key Artist",not(iserror(vlookup($F903,'Reference info'!$J$38:$J$405,1,0))),"Performer",not(iserror(vlookup($F903,'Reference info'!$J$10:$J$36,1,0))),"Producer &amp; Engineer")</f>
        <v/>
      </c>
    </row>
    <row r="904">
      <c r="A904" s="28"/>
      <c r="B904" s="103"/>
      <c r="C904" s="121"/>
      <c r="D904" s="121"/>
      <c r="E904" s="99"/>
      <c r="F904" s="99"/>
      <c r="G904" s="123" t="str">
        <f t="array" ref="G904">ifs(or($F904="",$F904="Main Primary Artist"),$F904,not(iserror(vlookup($F904,'Reference info'!$J$5:$J$8,1,0))),"Key Artist",not(iserror(vlookup($F904,'Reference info'!$J$38:$J$405,1,0))),"Performer",not(iserror(vlookup($F904,'Reference info'!$J$10:$J$36,1,0))),"Producer &amp; Engineer")</f>
        <v/>
      </c>
    </row>
    <row r="905">
      <c r="A905" s="28"/>
      <c r="B905" s="103"/>
      <c r="C905" s="121"/>
      <c r="D905" s="121"/>
      <c r="E905" s="99"/>
      <c r="F905" s="99"/>
      <c r="G905" s="123" t="str">
        <f t="array" ref="G905">ifs(or($F905="",$F905="Main Primary Artist"),$F905,not(iserror(vlookup($F905,'Reference info'!$J$5:$J$8,1,0))),"Key Artist",not(iserror(vlookup($F905,'Reference info'!$J$38:$J$405,1,0))),"Performer",not(iserror(vlookup($F905,'Reference info'!$J$10:$J$36,1,0))),"Producer &amp; Engineer")</f>
        <v/>
      </c>
    </row>
    <row r="906">
      <c r="A906" s="28"/>
      <c r="B906" s="103"/>
      <c r="C906" s="121"/>
      <c r="D906" s="121"/>
      <c r="E906" s="99"/>
      <c r="F906" s="99"/>
      <c r="G906" s="123" t="str">
        <f t="array" ref="G906">ifs(or($F906="",$F906="Main Primary Artist"),$F906,not(iserror(vlookup($F906,'Reference info'!$J$5:$J$8,1,0))),"Key Artist",not(iserror(vlookup($F906,'Reference info'!$J$38:$J$405,1,0))),"Performer",not(iserror(vlookup($F906,'Reference info'!$J$10:$J$36,1,0))),"Producer &amp; Engineer")</f>
        <v/>
      </c>
    </row>
    <row r="907">
      <c r="A907" s="28"/>
      <c r="B907" s="103"/>
      <c r="C907" s="121"/>
      <c r="D907" s="121"/>
      <c r="E907" s="99"/>
      <c r="F907" s="99"/>
      <c r="G907" s="123" t="str">
        <f t="array" ref="G907">ifs(or($F907="",$F907="Main Primary Artist"),$F907,not(iserror(vlookup($F907,'Reference info'!$J$5:$J$8,1,0))),"Key Artist",not(iserror(vlookup($F907,'Reference info'!$J$38:$J$405,1,0))),"Performer",not(iserror(vlookup($F907,'Reference info'!$J$10:$J$36,1,0))),"Producer &amp; Engineer")</f>
        <v/>
      </c>
    </row>
    <row r="908">
      <c r="A908" s="28"/>
      <c r="B908" s="103"/>
      <c r="C908" s="121"/>
      <c r="D908" s="121"/>
      <c r="E908" s="99"/>
      <c r="F908" s="99"/>
      <c r="G908" s="123" t="str">
        <f t="array" ref="G908">ifs(or($F908="",$F908="Main Primary Artist"),$F908,not(iserror(vlookup($F908,'Reference info'!$J$5:$J$8,1,0))),"Key Artist",not(iserror(vlookup($F908,'Reference info'!$J$38:$J$405,1,0))),"Performer",not(iserror(vlookup($F908,'Reference info'!$J$10:$J$36,1,0))),"Producer &amp; Engineer")</f>
        <v/>
      </c>
    </row>
    <row r="909">
      <c r="A909" s="28"/>
      <c r="B909" s="103"/>
      <c r="C909" s="121"/>
      <c r="D909" s="121"/>
      <c r="E909" s="99"/>
      <c r="F909" s="99"/>
      <c r="G909" s="123" t="str">
        <f t="array" ref="G909">ifs(or($F909="",$F909="Main Primary Artist"),$F909,not(iserror(vlookup($F909,'Reference info'!$J$5:$J$8,1,0))),"Key Artist",not(iserror(vlookup($F909,'Reference info'!$J$38:$J$405,1,0))),"Performer",not(iserror(vlookup($F909,'Reference info'!$J$10:$J$36,1,0))),"Producer &amp; Engineer")</f>
        <v/>
      </c>
    </row>
    <row r="910">
      <c r="A910" s="28"/>
      <c r="B910" s="103"/>
      <c r="C910" s="121"/>
      <c r="D910" s="121"/>
      <c r="E910" s="99"/>
      <c r="F910" s="99"/>
      <c r="G910" s="123" t="str">
        <f t="array" ref="G910">ifs(or($F910="",$F910="Main Primary Artist"),$F910,not(iserror(vlookup($F910,'Reference info'!$J$5:$J$8,1,0))),"Key Artist",not(iserror(vlookup($F910,'Reference info'!$J$38:$J$405,1,0))),"Performer",not(iserror(vlookup($F910,'Reference info'!$J$10:$J$36,1,0))),"Producer &amp; Engineer")</f>
        <v/>
      </c>
    </row>
    <row r="911">
      <c r="A911" s="28"/>
      <c r="B911" s="103"/>
      <c r="C911" s="121"/>
      <c r="D911" s="121"/>
      <c r="E911" s="99"/>
      <c r="F911" s="99"/>
      <c r="G911" s="123" t="str">
        <f t="array" ref="G911">ifs(or($F911="",$F911="Main Primary Artist"),$F911,not(iserror(vlookup($F911,'Reference info'!$J$5:$J$8,1,0))),"Key Artist",not(iserror(vlookup($F911,'Reference info'!$J$38:$J$405,1,0))),"Performer",not(iserror(vlookup($F911,'Reference info'!$J$10:$J$36,1,0))),"Producer &amp; Engineer")</f>
        <v/>
      </c>
    </row>
    <row r="912">
      <c r="A912" s="28"/>
      <c r="B912" s="103"/>
      <c r="C912" s="121"/>
      <c r="D912" s="121"/>
      <c r="E912" s="99"/>
      <c r="F912" s="99"/>
      <c r="G912" s="123" t="str">
        <f t="array" ref="G912">ifs(or($F912="",$F912="Main Primary Artist"),$F912,not(iserror(vlookup($F912,'Reference info'!$J$5:$J$8,1,0))),"Key Artist",not(iserror(vlookup($F912,'Reference info'!$J$38:$J$405,1,0))),"Performer",not(iserror(vlookup($F912,'Reference info'!$J$10:$J$36,1,0))),"Producer &amp; Engineer")</f>
        <v/>
      </c>
    </row>
    <row r="913">
      <c r="A913" s="28"/>
      <c r="B913" s="103"/>
      <c r="C913" s="121"/>
      <c r="D913" s="121"/>
      <c r="E913" s="99"/>
      <c r="F913" s="99"/>
      <c r="G913" s="123" t="str">
        <f t="array" ref="G913">ifs(or($F913="",$F913="Main Primary Artist"),$F913,not(iserror(vlookup($F913,'Reference info'!$J$5:$J$8,1,0))),"Key Artist",not(iserror(vlookup($F913,'Reference info'!$J$38:$J$405,1,0))),"Performer",not(iserror(vlookup($F913,'Reference info'!$J$10:$J$36,1,0))),"Producer &amp; Engineer")</f>
        <v/>
      </c>
    </row>
    <row r="914">
      <c r="A914" s="28"/>
      <c r="B914" s="103"/>
      <c r="C914" s="121"/>
      <c r="D914" s="121"/>
      <c r="E914" s="99"/>
      <c r="F914" s="99"/>
      <c r="G914" s="123" t="str">
        <f t="array" ref="G914">ifs(or($F914="",$F914="Main Primary Artist"),$F914,not(iserror(vlookup($F914,'Reference info'!$J$5:$J$8,1,0))),"Key Artist",not(iserror(vlookup($F914,'Reference info'!$J$38:$J$405,1,0))),"Performer",not(iserror(vlookup($F914,'Reference info'!$J$10:$J$36,1,0))),"Producer &amp; Engineer")</f>
        <v/>
      </c>
    </row>
    <row r="915">
      <c r="A915" s="28"/>
      <c r="B915" s="103"/>
      <c r="C915" s="121"/>
      <c r="D915" s="121"/>
      <c r="E915" s="99"/>
      <c r="F915" s="99"/>
      <c r="G915" s="123" t="str">
        <f t="array" ref="G915">ifs(or($F915="",$F915="Main Primary Artist"),$F915,not(iserror(vlookup($F915,'Reference info'!$J$5:$J$8,1,0))),"Key Artist",not(iserror(vlookup($F915,'Reference info'!$J$38:$J$405,1,0))),"Performer",not(iserror(vlookup($F915,'Reference info'!$J$10:$J$36,1,0))),"Producer &amp; Engineer")</f>
        <v/>
      </c>
    </row>
    <row r="916">
      <c r="A916" s="28"/>
      <c r="B916" s="103"/>
      <c r="C916" s="121"/>
      <c r="D916" s="121"/>
      <c r="E916" s="99"/>
      <c r="F916" s="99"/>
      <c r="G916" s="123" t="str">
        <f t="array" ref="G916">ifs(or($F916="",$F916="Main Primary Artist"),$F916,not(iserror(vlookup($F916,'Reference info'!$J$5:$J$8,1,0))),"Key Artist",not(iserror(vlookup($F916,'Reference info'!$J$38:$J$405,1,0))),"Performer",not(iserror(vlookup($F916,'Reference info'!$J$10:$J$36,1,0))),"Producer &amp; Engineer")</f>
        <v/>
      </c>
    </row>
    <row r="917">
      <c r="A917" s="28"/>
      <c r="B917" s="103"/>
      <c r="C917" s="121"/>
      <c r="D917" s="121"/>
      <c r="E917" s="99"/>
      <c r="F917" s="99"/>
      <c r="G917" s="123" t="str">
        <f t="array" ref="G917">ifs(or($F917="",$F917="Main Primary Artist"),$F917,not(iserror(vlookup($F917,'Reference info'!$J$5:$J$8,1,0))),"Key Artist",not(iserror(vlookup($F917,'Reference info'!$J$38:$J$405,1,0))),"Performer",not(iserror(vlookup($F917,'Reference info'!$J$10:$J$36,1,0))),"Producer &amp; Engineer")</f>
        <v/>
      </c>
    </row>
    <row r="918">
      <c r="A918" s="28"/>
      <c r="B918" s="103"/>
      <c r="C918" s="121"/>
      <c r="D918" s="121"/>
      <c r="E918" s="99"/>
      <c r="F918" s="99"/>
      <c r="G918" s="123" t="str">
        <f t="array" ref="G918">ifs(or($F918="",$F918="Main Primary Artist"),$F918,not(iserror(vlookup($F918,'Reference info'!$J$5:$J$8,1,0))),"Key Artist",not(iserror(vlookup($F918,'Reference info'!$J$38:$J$405,1,0))),"Performer",not(iserror(vlookup($F918,'Reference info'!$J$10:$J$36,1,0))),"Producer &amp; Engineer")</f>
        <v/>
      </c>
    </row>
    <row r="919">
      <c r="A919" s="28"/>
      <c r="B919" s="103"/>
      <c r="C919" s="121"/>
      <c r="D919" s="121"/>
      <c r="E919" s="99"/>
      <c r="F919" s="99"/>
      <c r="G919" s="123" t="str">
        <f t="array" ref="G919">ifs(or($F919="",$F919="Main Primary Artist"),$F919,not(iserror(vlookup($F919,'Reference info'!$J$5:$J$8,1,0))),"Key Artist",not(iserror(vlookup($F919,'Reference info'!$J$38:$J$405,1,0))),"Performer",not(iserror(vlookup($F919,'Reference info'!$J$10:$J$36,1,0))),"Producer &amp; Engineer")</f>
        <v/>
      </c>
    </row>
    <row r="920">
      <c r="A920" s="28"/>
      <c r="B920" s="103"/>
      <c r="C920" s="121"/>
      <c r="D920" s="121"/>
      <c r="E920" s="99"/>
      <c r="F920" s="99"/>
      <c r="G920" s="123" t="str">
        <f t="array" ref="G920">ifs(or($F920="",$F920="Main Primary Artist"),$F920,not(iserror(vlookup($F920,'Reference info'!$J$5:$J$8,1,0))),"Key Artist",not(iserror(vlookup($F920,'Reference info'!$J$38:$J$405,1,0))),"Performer",not(iserror(vlookup($F920,'Reference info'!$J$10:$J$36,1,0))),"Producer &amp; Engineer")</f>
        <v/>
      </c>
    </row>
    <row r="921">
      <c r="A921" s="28"/>
      <c r="B921" s="103"/>
      <c r="C921" s="121"/>
      <c r="D921" s="121"/>
      <c r="E921" s="99"/>
      <c r="F921" s="99"/>
      <c r="G921" s="123" t="str">
        <f t="array" ref="G921">ifs(or($F921="",$F921="Main Primary Artist"),$F921,not(iserror(vlookup($F921,'Reference info'!$J$5:$J$8,1,0))),"Key Artist",not(iserror(vlookup($F921,'Reference info'!$J$38:$J$405,1,0))),"Performer",not(iserror(vlookup($F921,'Reference info'!$J$10:$J$36,1,0))),"Producer &amp; Engineer")</f>
        <v/>
      </c>
    </row>
    <row r="922">
      <c r="A922" s="28"/>
      <c r="B922" s="103"/>
      <c r="C922" s="121"/>
      <c r="D922" s="121"/>
      <c r="E922" s="99"/>
      <c r="F922" s="99"/>
      <c r="G922" s="123" t="str">
        <f t="array" ref="G922">ifs(or($F922="",$F922="Main Primary Artist"),$F922,not(iserror(vlookup($F922,'Reference info'!$J$5:$J$8,1,0))),"Key Artist",not(iserror(vlookup($F922,'Reference info'!$J$38:$J$405,1,0))),"Performer",not(iserror(vlookup($F922,'Reference info'!$J$10:$J$36,1,0))),"Producer &amp; Engineer")</f>
        <v/>
      </c>
    </row>
    <row r="923">
      <c r="A923" s="28"/>
      <c r="B923" s="103"/>
      <c r="C923" s="121"/>
      <c r="D923" s="121"/>
      <c r="E923" s="99"/>
      <c r="F923" s="99"/>
      <c r="G923" s="123" t="str">
        <f t="array" ref="G923">ifs(or($F923="",$F923="Main Primary Artist"),$F923,not(iserror(vlookup($F923,'Reference info'!$J$5:$J$8,1,0))),"Key Artist",not(iserror(vlookup($F923,'Reference info'!$J$38:$J$405,1,0))),"Performer",not(iserror(vlookup($F923,'Reference info'!$J$10:$J$36,1,0))),"Producer &amp; Engineer")</f>
        <v/>
      </c>
    </row>
    <row r="924">
      <c r="A924" s="28"/>
      <c r="B924" s="103"/>
      <c r="C924" s="121"/>
      <c r="D924" s="121"/>
      <c r="E924" s="99"/>
      <c r="F924" s="99"/>
      <c r="G924" s="123" t="str">
        <f t="array" ref="G924">ifs(or($F924="",$F924="Main Primary Artist"),$F924,not(iserror(vlookup($F924,'Reference info'!$J$5:$J$8,1,0))),"Key Artist",not(iserror(vlookup($F924,'Reference info'!$J$38:$J$405,1,0))),"Performer",not(iserror(vlookup($F924,'Reference info'!$J$10:$J$36,1,0))),"Producer &amp; Engineer")</f>
        <v/>
      </c>
    </row>
    <row r="925">
      <c r="A925" s="28"/>
      <c r="B925" s="103"/>
      <c r="C925" s="121"/>
      <c r="D925" s="121"/>
      <c r="E925" s="99"/>
      <c r="F925" s="99"/>
      <c r="G925" s="123" t="str">
        <f t="array" ref="G925">ifs(or($F925="",$F925="Main Primary Artist"),$F925,not(iserror(vlookup($F925,'Reference info'!$J$5:$J$8,1,0))),"Key Artist",not(iserror(vlookup($F925,'Reference info'!$J$38:$J$405,1,0))),"Performer",not(iserror(vlookup($F925,'Reference info'!$J$10:$J$36,1,0))),"Producer &amp; Engineer")</f>
        <v/>
      </c>
    </row>
    <row r="926">
      <c r="A926" s="28"/>
      <c r="B926" s="103"/>
      <c r="C926" s="121"/>
      <c r="D926" s="121"/>
      <c r="E926" s="99"/>
      <c r="F926" s="99"/>
      <c r="G926" s="123" t="str">
        <f t="array" ref="G926">ifs(or($F926="",$F926="Main Primary Artist"),$F926,not(iserror(vlookup($F926,'Reference info'!$J$5:$J$8,1,0))),"Key Artist",not(iserror(vlookup($F926,'Reference info'!$J$38:$J$405,1,0))),"Performer",not(iserror(vlookup($F926,'Reference info'!$J$10:$J$36,1,0))),"Producer &amp; Engineer")</f>
        <v/>
      </c>
    </row>
  </sheetData>
  <mergeCells count="1">
    <mergeCell ref="C4:D4"/>
  </mergeCells>
  <conditionalFormatting sqref="E5:E926">
    <cfRule type="expression" dxfId="0" priority="1">
      <formula>or(and(or(not(isblank(A5)),not(isblank(B5))),isblank(E5)),and(not(isblank(E5)),iserror(match(E5,indirect("'1) Artists list'!a:a"),0))))</formula>
    </cfRule>
  </conditionalFormatting>
  <conditionalFormatting sqref="F5:F926">
    <cfRule type="expression" dxfId="0" priority="2">
      <formula>or(and(or(not(isblank(A5)),not(isblank(B5))),isblank(F5)),and(not(isblank(F5)),iserror(match(F5,indirect("'Reference info'!j:j"),0))))</formula>
    </cfRule>
  </conditionalFormatting>
  <conditionalFormatting sqref="A1:B1 G1 H3 H4">
    <cfRule type="cellIs" dxfId="3" priority="3" operator="notEqual">
      <formula>0</formula>
    </cfRule>
  </conditionalFormatting>
  <conditionalFormatting sqref="F5:F926">
    <cfRule type="expression" dxfId="3" priority="4">
      <formula>or(and(A5&lt;&gt;"",A5=A6,F5="Main Primary Artist",F5=F6),and(B5&lt;&gt;"",B5=B6,F5="Main Primary Artist",F5=F6),and(A5&lt;&gt;"",A5=A4,F5="Main Primary Artist",F5=F4),and(B5&lt;&gt;"",B5=B4,F5="Main Primary Artist",F5=F4))</formula>
    </cfRule>
  </conditionalFormatting>
  <conditionalFormatting sqref="A5:A155 A226:A926">
    <cfRule type="expression" dxfId="5" priority="5">
      <formula>and(B5&lt;&gt;"",A5&lt;&gt;"",countif(A:A,A5)&lt;&gt;countif(B:B,B5))</formula>
    </cfRule>
  </conditionalFormatting>
  <conditionalFormatting sqref="B5:B155 B226:B926">
    <cfRule type="expression" dxfId="5" priority="6">
      <formula>and(B5&lt;&gt;"",A5&lt;&gt;"",countif(A:A,A5)&lt;&gt;countif(B:B,B5))</formula>
    </cfRule>
  </conditionalFormatting>
  <conditionalFormatting sqref="A5:A155 A226:A926">
    <cfRule type="expression" dxfId="3" priority="7">
      <formula>COUNTIFS($A$5:A926, A5, $F$5:F926, "Main Primary Artist") &gt; 1</formula>
    </cfRule>
  </conditionalFormatting>
  <conditionalFormatting sqref="B5:B155 B226:B926">
    <cfRule type="expression" dxfId="3" priority="8">
      <formula>COUNTIFS($B$5:B926, B5, $F$5:F926, "Main Primary Artist") &gt; 1</formula>
    </cfRule>
  </conditionalFormatting>
  <conditionalFormatting sqref="A5:A155 A226:A926">
    <cfRule type="expression" dxfId="3" priority="9">
      <formula>OR(AND(A5&lt;&gt;"", COUNTIFS($A$5:A926, A5, $G$5:G926, "Producer &amp; Engineer") = 0), AND(A5&lt;&gt;"", COUNTIFS($A$5:A926, A5, $G$5:G926, "Performer") = 0))</formula>
    </cfRule>
  </conditionalFormatting>
  <conditionalFormatting sqref="B5:B155 B226:B926">
    <cfRule type="expression" dxfId="3" priority="10">
      <formula>OR(AND(B5&lt;&gt;"", COUNTIFS($B$5:B926, B5, $G$5:G926, "Producer &amp; Engineer") = 0), AND(B5&lt;&gt;"", COUNTIFS($B$5:B926, B5, $G$5:G926, "Performer") = 0))</formula>
    </cfRule>
  </conditionalFormatting>
  <dataValidations>
    <dataValidation type="custom" allowBlank="1" showDropDown="1" showInputMessage="1" showErrorMessage="1" prompt="must contain 2 letters, 3 character minimum, 20 character maximum, alphanumeric ONLY (letter or number; no dashes, spaces, punctuation marks, etc.)" sqref="B5:B155 B226:B926">
      <formula1>and(regexmatch(B5,"^[a-zA-Z0-9]*$"), len(B5)&gt;=3, len(B5)&lt;=20)</formula1>
    </dataValidation>
    <dataValidation type="custom" allowBlank="1" showDropDown="1" showInputMessage="1" showErrorMessage="1" prompt="Enter a valid UPC/EAN/JAN" sqref="A5:A155 A226:A926">
      <formula1>and(INT(A5)=A5,A5&gt;9999999999)</formula1>
    </dataValidation>
    <dataValidation type="list" allowBlank="1" showInputMessage="1" showErrorMessage="1" prompt="select from list, type or drag. Each release MUST have only ONE Artist assigned the 'Primary - Top' role." sqref="F5:F926">
      <formula1>ArtistRole</formula1>
    </dataValidation>
    <dataValidation type="list" allowBlank="1" showInputMessage="1" showErrorMessage="1" prompt="select from Artists list, start typing or drag" sqref="E5:E926">
      <formula1>Artist</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3.75"/>
    <col customWidth="1" min="2" max="2" width="13.0"/>
    <col customWidth="1" min="3" max="3" width="28.75"/>
    <col customWidth="1" min="4" max="4" width="16.5"/>
    <col customWidth="1" min="5" max="5" width="8.13"/>
    <col customWidth="1" min="6" max="6" width="16.38"/>
    <col customWidth="1" min="7" max="7" width="13.0"/>
    <col customWidth="1" min="8" max="8" width="27.63"/>
    <col customWidth="1" min="9" max="9" width="14.5"/>
    <col customWidth="1" min="10" max="10" width="24.38"/>
    <col customWidth="1" min="11" max="11" width="8.38"/>
    <col customWidth="1" min="12" max="12" width="11.5"/>
    <col customWidth="1" min="13" max="13" width="15.25"/>
    <col customWidth="1" min="14" max="14" width="6.38"/>
    <col customWidth="1" min="15" max="15" width="10.13"/>
    <col customWidth="1" min="16" max="16" width="14.25"/>
    <col customWidth="1" min="17" max="17" width="8.0"/>
    <col customWidth="1" min="18" max="18" width="9.5"/>
    <col customWidth="1" min="19" max="19" width="9.0"/>
    <col customWidth="1" min="20" max="20" width="12.5"/>
    <col customWidth="1" min="21" max="21" width="9.88"/>
    <col customWidth="1" min="22" max="22" width="8.38"/>
    <col customWidth="1" min="23" max="23" width="6.75"/>
    <col customWidth="1" min="27" max="27" width="11.0"/>
  </cols>
  <sheetData>
    <row r="1">
      <c r="A1" s="13">
        <f>IFERROR(__xludf.DUMMYFUNCTION("COUNTUNIQUE(A5:A1003)-'3) Release_Label'!D1"),0.0)</f>
        <v>0</v>
      </c>
      <c r="B1" s="13">
        <f>IFERROR(__xludf.DUMMYFUNCTION("COUNTUNIQUE(B5:B1003)-'3) Release_Label'!E1"),0.0)</f>
        <v>0</v>
      </c>
      <c r="C1" s="105" t="s">
        <v>314</v>
      </c>
      <c r="D1" s="106"/>
      <c r="E1" s="57">
        <f>count(E5:E1003)</f>
        <v>84</v>
      </c>
      <c r="F1" s="13">
        <f>IFERROR(__xludf.DUMMYFUNCTION("COUNTUNIQUE(F5:F1003)"),84.0)</f>
        <v>84</v>
      </c>
      <c r="G1" s="13">
        <f>IFERROR(__xludf.DUMMYFUNCTION("COUNTUNIQUE(G5:G1003)"),0.0)</f>
        <v>0</v>
      </c>
      <c r="H1" s="55" t="s">
        <v>26</v>
      </c>
      <c r="I1" s="56" t="s">
        <v>141</v>
      </c>
      <c r="J1" s="21" t="s">
        <v>24</v>
      </c>
      <c r="K1" s="104"/>
      <c r="M1" s="13">
        <f>IFERROR(__xludf.DUMMYFUNCTION("COUNTUNIQUE(M5:M1003)"),84.0)</f>
        <v>84</v>
      </c>
      <c r="N1" s="13">
        <f>COUNTA(N5:N1003)</f>
        <v>84</v>
      </c>
      <c r="P1" s="34"/>
    </row>
    <row r="2">
      <c r="A2" s="111" t="s">
        <v>332</v>
      </c>
      <c r="B2" s="112"/>
      <c r="C2" s="112"/>
      <c r="D2" s="129"/>
      <c r="E2" s="130"/>
      <c r="F2" s="112"/>
      <c r="G2" s="112"/>
      <c r="H2" s="112"/>
      <c r="I2" s="112"/>
      <c r="J2" s="112"/>
      <c r="K2" s="129"/>
      <c r="L2" s="112"/>
      <c r="M2" s="112"/>
      <c r="N2" s="112"/>
      <c r="O2" s="112"/>
      <c r="P2" s="63"/>
      <c r="Q2" s="131"/>
      <c r="R2" s="131"/>
      <c r="S2" s="131"/>
      <c r="T2" s="131"/>
      <c r="U2" s="131"/>
      <c r="V2" s="131"/>
      <c r="W2" s="131"/>
      <c r="X2" s="131"/>
      <c r="Y2" s="131"/>
      <c r="Z2" s="131"/>
      <c r="AA2" s="131"/>
      <c r="AB2" s="131"/>
      <c r="AC2" s="131"/>
      <c r="AD2" s="131"/>
      <c r="AE2" s="131"/>
      <c r="AF2" s="131"/>
      <c r="AG2" s="131"/>
      <c r="AH2" s="131"/>
      <c r="AI2" s="131"/>
      <c r="AJ2" s="131"/>
      <c r="AK2" s="131"/>
      <c r="AL2" s="131"/>
      <c r="AM2" s="131"/>
    </row>
    <row r="3">
      <c r="A3" s="70" t="s">
        <v>146</v>
      </c>
      <c r="B3" s="71" t="s">
        <v>147</v>
      </c>
      <c r="C3" s="113" t="s">
        <v>148</v>
      </c>
      <c r="D3" s="113" t="s">
        <v>150</v>
      </c>
      <c r="E3" s="113" t="s">
        <v>333</v>
      </c>
      <c r="F3" s="132" t="s">
        <v>334</v>
      </c>
      <c r="G3" s="71" t="s">
        <v>335</v>
      </c>
      <c r="H3" s="72" t="s">
        <v>336</v>
      </c>
      <c r="I3" s="133" t="s">
        <v>337</v>
      </c>
      <c r="J3" s="53" t="s">
        <v>338</v>
      </c>
      <c r="K3" s="53" t="s">
        <v>339</v>
      </c>
      <c r="L3" s="53" t="s">
        <v>340</v>
      </c>
      <c r="M3" s="71" t="s">
        <v>341</v>
      </c>
      <c r="N3" s="69" t="s">
        <v>342</v>
      </c>
      <c r="O3" s="134" t="s">
        <v>343</v>
      </c>
      <c r="P3" s="135" t="s">
        <v>344</v>
      </c>
    </row>
    <row r="4">
      <c r="A4" s="80" t="s">
        <v>319</v>
      </c>
      <c r="B4" s="82" t="s">
        <v>319</v>
      </c>
      <c r="C4" s="136" t="s">
        <v>320</v>
      </c>
      <c r="E4" s="137" t="s">
        <v>345</v>
      </c>
      <c r="F4" s="138" t="s">
        <v>346</v>
      </c>
      <c r="G4" s="82" t="s">
        <v>347</v>
      </c>
      <c r="H4" s="83" t="s">
        <v>162</v>
      </c>
      <c r="I4" s="84" t="s">
        <v>164</v>
      </c>
      <c r="J4" s="139" t="s">
        <v>348</v>
      </c>
      <c r="K4" s="139" t="s">
        <v>349</v>
      </c>
      <c r="L4" s="139" t="s">
        <v>350</v>
      </c>
      <c r="M4" s="82" t="s">
        <v>351</v>
      </c>
      <c r="N4" s="140" t="s">
        <v>352</v>
      </c>
      <c r="O4" s="36" t="s">
        <v>353</v>
      </c>
      <c r="P4" s="41"/>
    </row>
    <row r="5">
      <c r="A5" s="88">
        <v>9.995964332174E12</v>
      </c>
      <c r="B5" s="120"/>
      <c r="C5" s="121" t="str">
        <f t="array" ref="C5">ifs(and(isblank($A5),isblank($B5)),"", not(iserror(vlookup($A5&amp;$B5,'3) Release_Label'!$D:$D&amp;'3) Release_Label'!$E:$E,1,0))),vlookup($A5&amp;$B5,{'3) Release_Label'!$D:$D&amp;'3) Release_Label'!$E:$E,'3) Release_Label'!$F:$F},2,0), or(and(not(isblank($B5)),$B5=$B4,$A5&lt;&gt;$A4),and(not(isblank($A5)),$A5=$A4,$B5&lt;&gt;$B4)),"ID LISTS UNALIGNED",and($A5&lt;&gt;"",countif('3) Release_Label'!$D:$D,$A5)=0),"NO UPC MATCH in Release_Label",and($B5&lt;&gt;"",countif('3) Release_Label'!$E:$E,$B5)=0),"NO CATALOG ID MATCH in Release_Label",iserror(vlookup($A5&amp;$B5,'3) Release_Label'!$D:$D&amp;'3) Release_Label'!$E:$E,1,0)),"NO UPC-CATALOG ID pair MATCH in Release_Label" )</f>
        <v>Aakad (From "Bhalwan Singh" Soundtrack)</v>
      </c>
      <c r="D5" s="121" t="str">
        <f t="array" ref="D5">ifs(and(isblank($A5),isblank($B5)),"", not(iserror(vlookup($A5&amp;$B5,'3) Release_Label'!$D:$D&amp;'3) Release_Label'!$E:$E,1,0))),vlookup($A5&amp;$B5,{'3) Release_Label'!$D:$D&amp;'3) Release_Label'!$E:$E,'3) Release_Label'!$H:$H},2,0), or(and(not(isblank($B5)),$B5=$B4,$A5&lt;&gt;$A4),and(not(isblank($A5)),$A5=$A4,$B5&lt;&gt;$B4)),"ID LISTS UNALIGNED",and($A5&lt;&gt;"",countif('3) Release_Label'!$D:$D,$A5)=0),"NO UPC MATCH in Release_Label",and($B5&lt;&gt;"",countif('3) Release_Label'!$E:$E,$B5)=0),"NO CATALOG ID MATCH in Release_Label",iserror(vlookup($A5&amp;$B5,'3) Release_Label'!$D:$D&amp;'3) Release_Label'!$E:$E,1,0)),"NO UPC-CATALOG ID pair MATCH in Release_Label" )</f>
        <v/>
      </c>
      <c r="E5" s="141">
        <f t="shared" ref="E5:E84" si="1">if(and(isblank($A5),isblank($B5)),"",if(not(iserror(find("MATCH in ",D5))),D5,if(or(and(not(isblank($B5)),$B5=$B4,$A5&lt;&gt;$A4),and(not(isblank($A5)),$A5=$A4,$B5&lt;&gt;$B4)),"ID LISTS UNALIGNED",if(not(isblank($A5)),if($A5=$A4,1+E4,1),if($B5=$B4,1+E4,1)))))</f>
        <v>1</v>
      </c>
      <c r="F5" s="51" t="s">
        <v>354</v>
      </c>
      <c r="G5" s="120"/>
      <c r="H5" s="51" t="s">
        <v>172</v>
      </c>
      <c r="J5" s="8" t="s">
        <v>173</v>
      </c>
      <c r="K5" s="142" t="s">
        <v>355</v>
      </c>
      <c r="L5" s="8" t="s">
        <v>356</v>
      </c>
      <c r="M5" s="143" t="s">
        <v>170</v>
      </c>
      <c r="N5" s="8" t="s">
        <v>357</v>
      </c>
      <c r="O5" s="144"/>
      <c r="P5" s="145"/>
      <c r="Q5" s="144"/>
      <c r="R5" s="47"/>
      <c r="S5" s="146"/>
    </row>
    <row r="6">
      <c r="A6" s="88">
        <v>9.995964356132E12</v>
      </c>
      <c r="B6" s="120"/>
      <c r="C6" s="121" t="str">
        <f t="array" ref="C6">ifs(and(isblank($A6),isblank($B6)),"", not(iserror(vlookup($A6&amp;$B6,'3) Release_Label'!$D:$D&amp;'3) Release_Label'!$E:$E,1,0))),vlookup($A6&amp;$B6,{'3) Release_Label'!$D:$D&amp;'3) Release_Label'!$E:$E,'3) Release_Label'!$F:$F},2,0), or(and(not(isblank($B6)),$B6=$B5,$A6&lt;&gt;$A5),and(not(isblank($A6)),$A6=$A5,$B6&lt;&gt;$B5)),"ID LISTS UNALIGNED",and($A6&lt;&gt;"",countif('3) Release_Label'!$D:$D,$A6)=0),"NO UPC MATCH in Release_Label",and($B6&lt;&gt;"",countif('3) Release_Label'!$E:$E,$B6)=0),"NO CATALOG ID MATCH in Release_Label",iserror(vlookup($A6&amp;$B6,'3) Release_Label'!$D:$D&amp;'3) Release_Label'!$E:$E,1,0)),"NO UPC-CATALOG ID pair MATCH in Release_Label" )</f>
        <v>Aisi Taisi (From "Golak Bugni Bank Te Batua" Soundtrack)</v>
      </c>
      <c r="D6" s="121" t="str">
        <f t="array" ref="D6">ifs(and(isblank($A6),isblank($B6)),"", not(iserror(vlookup($A6&amp;$B6,'3) Release_Label'!$D:$D&amp;'3) Release_Label'!$E:$E,1,0))),vlookup($A6&amp;$B6,{'3) Release_Label'!$D:$D&amp;'3) Release_Label'!$E:$E,'3) Release_Label'!$H:$H},2,0), or(and(not(isblank($B6)),$B6=$B5,$A6&lt;&gt;$A5),and(not(isblank($A6)),$A6=$A5,$B6&lt;&gt;$B5)),"ID LISTS UNALIGNED",and($A6&lt;&gt;"",countif('3) Release_Label'!$D:$D,$A6)=0),"NO UPC MATCH in Release_Label",and($B6&lt;&gt;"",countif('3) Release_Label'!$E:$E,$B6)=0),"NO CATALOG ID MATCH in Release_Label",iserror(vlookup($A6&amp;$B6,'3) Release_Label'!$D:$D&amp;'3) Release_Label'!$E:$E,1,0)),"NO UPC-CATALOG ID pair MATCH in Release_Label" )</f>
        <v/>
      </c>
      <c r="E6" s="141">
        <f t="shared" si="1"/>
        <v>1</v>
      </c>
      <c r="F6" s="51" t="s">
        <v>358</v>
      </c>
      <c r="G6" s="120"/>
      <c r="H6" s="51" t="s">
        <v>175</v>
      </c>
      <c r="I6" s="147"/>
      <c r="J6" s="8" t="s">
        <v>173</v>
      </c>
      <c r="K6" s="142" t="s">
        <v>355</v>
      </c>
      <c r="L6" s="8" t="s">
        <v>356</v>
      </c>
      <c r="M6" s="143" t="s">
        <v>359</v>
      </c>
      <c r="N6" s="8" t="s">
        <v>357</v>
      </c>
      <c r="O6" s="144"/>
      <c r="P6" s="145"/>
      <c r="Q6" s="49"/>
      <c r="S6" s="148"/>
    </row>
    <row r="7">
      <c r="A7" s="88">
        <v>9.995964330651E12</v>
      </c>
      <c r="B7" s="124"/>
      <c r="C7" s="121" t="str">
        <f t="array" ref="C7">ifs(and(isblank($A7),isblank($B7)),"", not(iserror(vlookup($A7&amp;$B7,'3) Release_Label'!$D:$D&amp;'3) Release_Label'!$E:$E,1,0))),vlookup($A7&amp;$B7,{'3) Release_Label'!$D:$D&amp;'3) Release_Label'!$E:$E,'3) Release_Label'!$F:$F},2,0), or(and(not(isblank($B7)),$B7=$B6,$A7&lt;&gt;$A6),and(not(isblank($A7)),$A7=$A6,$B7&lt;&gt;$B6)),"ID LISTS UNALIGNED",and($A7&lt;&gt;"",countif('3) Release_Label'!$D:$D,$A7)=0),"NO UPC MATCH in Release_Label",and($B7&lt;&gt;"",countif('3) Release_Label'!$E:$E,$B7)=0),"NO CATALOG ID MATCH in Release_Label",iserror(vlookup($A7&amp;$B7,'3) Release_Label'!$D:$D&amp;'3) Release_Label'!$E:$E,1,0)),"NO UPC-CATALOG ID pair MATCH in Release_Label" )</f>
        <v>Akhar - Female Version (From "Lahoriye" Soundtrack)</v>
      </c>
      <c r="D7" s="121" t="str">
        <f t="array" ref="D7">ifs(and(isblank($A7),isblank($B7)),"", not(iserror(vlookup($A7&amp;$B7,'3) Release_Label'!$D:$D&amp;'3) Release_Label'!$E:$E,1,0))),vlookup($A7&amp;$B7,{'3) Release_Label'!$D:$D&amp;'3) Release_Label'!$E:$E,'3) Release_Label'!$H:$H},2,0), or(and(not(isblank($B7)),$B7=$B6,$A7&lt;&gt;$A6),and(not(isblank($A7)),$A7=$A6,$B7&lt;&gt;$B6)),"ID LISTS UNALIGNED",and($A7&lt;&gt;"",countif('3) Release_Label'!$D:$D,$A7)=0),"NO UPC MATCH in Release_Label",and($B7&lt;&gt;"",countif('3) Release_Label'!$E:$E,$B7)=0),"NO CATALOG ID MATCH in Release_Label",iserror(vlookup($A7&amp;$B7,'3) Release_Label'!$D:$D&amp;'3) Release_Label'!$E:$E,1,0)),"NO UPC-CATALOG ID pair MATCH in Release_Label" )</f>
        <v/>
      </c>
      <c r="E7" s="141">
        <f t="shared" si="1"/>
        <v>1</v>
      </c>
      <c r="F7" s="51" t="s">
        <v>360</v>
      </c>
      <c r="G7" s="124"/>
      <c r="H7" s="51" t="s">
        <v>177</v>
      </c>
      <c r="I7" s="147"/>
      <c r="J7" s="8" t="s">
        <v>173</v>
      </c>
      <c r="K7" s="142" t="s">
        <v>355</v>
      </c>
      <c r="L7" s="8" t="s">
        <v>356</v>
      </c>
      <c r="M7" s="149" t="s">
        <v>361</v>
      </c>
      <c r="N7" s="8" t="s">
        <v>357</v>
      </c>
      <c r="O7" s="28"/>
      <c r="P7" s="145"/>
      <c r="Q7" s="28"/>
      <c r="R7" s="28"/>
      <c r="S7" s="28"/>
      <c r="T7" s="28"/>
      <c r="U7" s="28"/>
      <c r="V7" s="28"/>
      <c r="W7" s="28"/>
      <c r="X7" s="28"/>
      <c r="Y7" s="28"/>
      <c r="Z7" s="28"/>
      <c r="AA7" s="28"/>
      <c r="AB7" s="28"/>
      <c r="AC7" s="28"/>
      <c r="AD7" s="28"/>
      <c r="AE7" s="28"/>
      <c r="AF7" s="28"/>
      <c r="AG7" s="28"/>
      <c r="AH7" s="28"/>
      <c r="AI7" s="28"/>
      <c r="AJ7" s="28"/>
      <c r="AK7" s="28"/>
      <c r="AL7" s="28"/>
      <c r="AM7" s="28"/>
    </row>
    <row r="8">
      <c r="A8" s="88">
        <v>9.995964330088E12</v>
      </c>
      <c r="B8" s="124"/>
      <c r="C8" s="121" t="str">
        <f t="array" ref="C8">ifs(and(isblank($A8),isblank($B8)),"", not(iserror(vlookup($A8&amp;$B8,'3) Release_Label'!$D:$D&amp;'3) Release_Label'!$E:$E,1,0))),vlookup($A8&amp;$B8,{'3) Release_Label'!$D:$D&amp;'3) Release_Label'!$E:$E,'3) Release_Label'!$F:$F},2,0), or(and(not(isblank($B8)),$B8=$B7,$A8&lt;&gt;$A7),and(not(isblank($A8)),$A8=$A7,$B8&lt;&gt;$B7)),"ID LISTS UNALIGNED",and($A8&lt;&gt;"",countif('3) Release_Label'!$D:$D,$A8)=0),"NO UPC MATCH in Release_Label",and($B8&lt;&gt;"",countif('3) Release_Label'!$E:$E,$B8)=0),"NO CATALOG ID MATCH in Release_Label",iserror(vlookup($A8&amp;$B8,'3) Release_Label'!$D:$D&amp;'3) Release_Label'!$E:$E,1,0)),"NO UPC-CATALOG ID pair MATCH in Release_Label" )</f>
        <v>Akhar (From "Lahoriye" Soundtrack)</v>
      </c>
      <c r="D8" s="121" t="str">
        <f t="array" ref="D8">ifs(and(isblank($A8),isblank($B8)),"", not(iserror(vlookup($A8&amp;$B8,'3) Release_Label'!$D:$D&amp;'3) Release_Label'!$E:$E,1,0))),vlookup($A8&amp;$B8,{'3) Release_Label'!$D:$D&amp;'3) Release_Label'!$E:$E,'3) Release_Label'!$H:$H},2,0), or(and(not(isblank($B8)),$B8=$B7,$A8&lt;&gt;$A7),and(not(isblank($A8)),$A8=$A7,$B8&lt;&gt;$B7)),"ID LISTS UNALIGNED",and($A8&lt;&gt;"",countif('3) Release_Label'!$D:$D,$A8)=0),"NO UPC MATCH in Release_Label",and($B8&lt;&gt;"",countif('3) Release_Label'!$E:$E,$B8)=0),"NO CATALOG ID MATCH in Release_Label",iserror(vlookup($A8&amp;$B8,'3) Release_Label'!$D:$D&amp;'3) Release_Label'!$E:$E,1,0)),"NO UPC-CATALOG ID pair MATCH in Release_Label" )</f>
        <v/>
      </c>
      <c r="E8" s="141">
        <f t="shared" si="1"/>
        <v>1</v>
      </c>
      <c r="F8" s="51" t="s">
        <v>362</v>
      </c>
      <c r="G8" s="124"/>
      <c r="H8" s="51" t="s">
        <v>179</v>
      </c>
      <c r="I8" s="28"/>
      <c r="J8" s="8" t="s">
        <v>173</v>
      </c>
      <c r="K8" s="142" t="s">
        <v>355</v>
      </c>
      <c r="L8" s="8" t="s">
        <v>356</v>
      </c>
      <c r="M8" s="94" t="s">
        <v>363</v>
      </c>
      <c r="N8" s="28" t="s">
        <v>357</v>
      </c>
      <c r="O8" s="8"/>
      <c r="P8" s="34"/>
      <c r="R8" s="28"/>
      <c r="S8" s="28"/>
      <c r="T8" s="150"/>
      <c r="U8" s="28"/>
      <c r="V8" s="28"/>
      <c r="W8" s="28"/>
      <c r="X8" s="28"/>
    </row>
    <row r="9">
      <c r="A9" s="88">
        <v>9.995964312657E12</v>
      </c>
      <c r="B9" s="124"/>
      <c r="C9" s="121" t="str">
        <f t="array" ref="C9">ifs(and(isblank($A9),isblank($B9)),"", not(iserror(vlookup($A9&amp;$B9,'3) Release_Label'!$D:$D&amp;'3) Release_Label'!$E:$E,1,0))),vlookup($A9&amp;$B9,{'3) Release_Label'!$D:$D&amp;'3) Release_Label'!$E:$E,'3) Release_Label'!$F:$F},2,0), or(and(not(isblank($B9)),$B9=$B8,$A9&lt;&gt;$A8),and(not(isblank($A9)),$A9=$A8,$B9&lt;&gt;$B8)),"ID LISTS UNALIGNED",and($A9&lt;&gt;"",countif('3) Release_Label'!$D:$D,$A9)=0),"NO UPC MATCH in Release_Label",and($B9&lt;&gt;"",countif('3) Release_Label'!$E:$E,$B9)=0),"NO CATALOG ID MATCH in Release_Label",iserror(vlookup($A9&amp;$B9,'3) Release_Label'!$D:$D&amp;'3) Release_Label'!$E:$E,1,0)),"NO UPC-CATALOG ID pair MATCH in Release_Label" )</f>
        <v>Angrej (Original Motion Picture Soundtrack)</v>
      </c>
      <c r="D9" s="121" t="str">
        <f t="array" ref="D9">ifs(and(isblank($A9),isblank($B9)),"", not(iserror(vlookup($A9&amp;$B9,'3) Release_Label'!$D:$D&amp;'3) Release_Label'!$E:$E,1,0))),vlookup($A9&amp;$B9,{'3) Release_Label'!$D:$D&amp;'3) Release_Label'!$E:$E,'3) Release_Label'!$H:$H},2,0), or(and(not(isblank($B9)),$B9=$B8,$A9&lt;&gt;$A8),and(not(isblank($A9)),$A9=$A8,$B9&lt;&gt;$B8)),"ID LISTS UNALIGNED",and($A9&lt;&gt;"",countif('3) Release_Label'!$D:$D,$A9)=0),"NO UPC MATCH in Release_Label",and($B9&lt;&gt;"",countif('3) Release_Label'!$E:$E,$B9)=0),"NO CATALOG ID MATCH in Release_Label",iserror(vlookup($A9&amp;$B9,'3) Release_Label'!$D:$D&amp;'3) Release_Label'!$E:$E,1,0)),"NO UPC-CATALOG ID pair MATCH in Release_Label" )</f>
        <v/>
      </c>
      <c r="E9" s="141">
        <f t="shared" si="1"/>
        <v>1</v>
      </c>
      <c r="F9" s="51" t="s">
        <v>364</v>
      </c>
      <c r="G9" s="124"/>
      <c r="H9" s="51" t="s">
        <v>365</v>
      </c>
      <c r="I9" s="28"/>
      <c r="J9" s="8" t="s">
        <v>173</v>
      </c>
      <c r="K9" s="142" t="s">
        <v>355</v>
      </c>
      <c r="L9" s="8" t="s">
        <v>356</v>
      </c>
      <c r="M9" s="94" t="s">
        <v>366</v>
      </c>
      <c r="N9" s="28" t="s">
        <v>357</v>
      </c>
      <c r="O9" s="151"/>
      <c r="P9" s="47"/>
      <c r="Q9" s="151"/>
      <c r="S9" s="28"/>
      <c r="T9" s="28"/>
      <c r="U9" s="28"/>
      <c r="V9" s="28"/>
      <c r="W9" s="28"/>
      <c r="X9" s="28"/>
    </row>
    <row r="10">
      <c r="A10" s="88">
        <v>9.995964312657E12</v>
      </c>
      <c r="B10" s="124"/>
      <c r="C10" s="121" t="str">
        <f t="array" ref="C10">ifs(and(isblank($A10),isblank($B10)),"", not(iserror(vlookup($A10&amp;$B10,'3) Release_Label'!$D:$D&amp;'3) Release_Label'!$E:$E,1,0))),vlookup($A10&amp;$B10,{'3) Release_Label'!$D:$D&amp;'3) Release_Label'!$E:$E,'3) Release_Label'!$F:$F},2,0), or(and(not(isblank($B10)),$B10=$B9,$A10&lt;&gt;$A9),and(not(isblank($A10)),$A10=$A9,$B10&lt;&gt;$B9)),"ID LISTS UNALIGNED",and($A10&lt;&gt;"",countif('3) Release_Label'!$D:$D,$A10)=0),"NO UPC MATCH in Release_Label",and($B10&lt;&gt;"",countif('3) Release_Label'!$E:$E,$B10)=0),"NO CATALOG ID MATCH in Release_Label",iserror(vlookup($A10&amp;$B10,'3) Release_Label'!$D:$D&amp;'3) Release_Label'!$E:$E,1,0)),"NO UPC-CATALOG ID pair MATCH in Release_Label" )</f>
        <v>Angrej (Original Motion Picture Soundtrack)</v>
      </c>
      <c r="D10" s="121" t="str">
        <f t="array" ref="D10">ifs(and(isblank($A10),isblank($B10)),"", not(iserror(vlookup($A10&amp;$B10,'3) Release_Label'!$D:$D&amp;'3) Release_Label'!$E:$E,1,0))),vlookup($A10&amp;$B10,{'3) Release_Label'!$D:$D&amp;'3) Release_Label'!$E:$E,'3) Release_Label'!$H:$H},2,0), or(and(not(isblank($B10)),$B10=$B9,$A10&lt;&gt;$A9),and(not(isblank($A10)),$A10=$A9,$B10&lt;&gt;$B9)),"ID LISTS UNALIGNED",and($A10&lt;&gt;"",countif('3) Release_Label'!$D:$D,$A10)=0),"NO UPC MATCH in Release_Label",and($B10&lt;&gt;"",countif('3) Release_Label'!$E:$E,$B10)=0),"NO CATALOG ID MATCH in Release_Label",iserror(vlookup($A10&amp;$B10,'3) Release_Label'!$D:$D&amp;'3) Release_Label'!$E:$E,1,0)),"NO UPC-CATALOG ID pair MATCH in Release_Label" )</f>
        <v/>
      </c>
      <c r="E10" s="141">
        <f t="shared" si="1"/>
        <v>2</v>
      </c>
      <c r="F10" s="51" t="s">
        <v>367</v>
      </c>
      <c r="G10" s="124"/>
      <c r="H10" s="51" t="s">
        <v>368</v>
      </c>
      <c r="I10" s="28"/>
      <c r="J10" s="8" t="s">
        <v>173</v>
      </c>
      <c r="K10" s="142" t="s">
        <v>355</v>
      </c>
      <c r="L10" s="8" t="s">
        <v>356</v>
      </c>
      <c r="M10" s="94" t="s">
        <v>369</v>
      </c>
      <c r="N10" s="28" t="s">
        <v>357</v>
      </c>
      <c r="O10" s="28"/>
      <c r="P10" s="145"/>
      <c r="Q10" s="28"/>
      <c r="R10" s="28"/>
      <c r="S10" s="28"/>
      <c r="T10" s="28"/>
      <c r="U10" s="28"/>
      <c r="V10" s="28"/>
      <c r="W10" s="28"/>
      <c r="X10" s="28"/>
      <c r="Z10" s="28"/>
      <c r="AA10" s="28"/>
      <c r="AB10" s="28"/>
      <c r="AC10" s="28"/>
      <c r="AD10" s="28"/>
      <c r="AE10" s="28"/>
      <c r="AF10" s="28"/>
      <c r="AG10" s="28"/>
      <c r="AH10" s="28"/>
      <c r="AI10" s="28"/>
      <c r="AJ10" s="28"/>
      <c r="AK10" s="28"/>
      <c r="AL10" s="28"/>
      <c r="AM10" s="28"/>
    </row>
    <row r="11">
      <c r="A11" s="88">
        <v>9.995964312657E12</v>
      </c>
      <c r="B11" s="124"/>
      <c r="C11" s="121" t="str">
        <f t="array" ref="C11">ifs(and(isblank($A11),isblank($B11)),"", not(iserror(vlookup($A11&amp;$B11,'3) Release_Label'!$D:$D&amp;'3) Release_Label'!$E:$E,1,0))),vlookup($A11&amp;$B11,{'3) Release_Label'!$D:$D&amp;'3) Release_Label'!$E:$E,'3) Release_Label'!$F:$F},2,0), or(and(not(isblank($B11)),$B11=$B10,$A11&lt;&gt;$A10),and(not(isblank($A11)),$A11=$A10,$B11&lt;&gt;$B10)),"ID LISTS UNALIGNED",and($A11&lt;&gt;"",countif('3) Release_Label'!$D:$D,$A11)=0),"NO UPC MATCH in Release_Label",and($B11&lt;&gt;"",countif('3) Release_Label'!$E:$E,$B11)=0),"NO CATALOG ID MATCH in Release_Label",iserror(vlookup($A11&amp;$B11,'3) Release_Label'!$D:$D&amp;'3) Release_Label'!$E:$E,1,0)),"NO UPC-CATALOG ID pair MATCH in Release_Label" )</f>
        <v>Angrej (Original Motion Picture Soundtrack)</v>
      </c>
      <c r="D11" s="121" t="str">
        <f t="array" ref="D11">ifs(and(isblank($A11),isblank($B11)),"", not(iserror(vlookup($A11&amp;$B11,'3) Release_Label'!$D:$D&amp;'3) Release_Label'!$E:$E,1,0))),vlookup($A11&amp;$B11,{'3) Release_Label'!$D:$D&amp;'3) Release_Label'!$E:$E,'3) Release_Label'!$H:$H},2,0), or(and(not(isblank($B11)),$B11=$B10,$A11&lt;&gt;$A10),and(not(isblank($A11)),$A11=$A10,$B11&lt;&gt;$B10)),"ID LISTS UNALIGNED",and($A11&lt;&gt;"",countif('3) Release_Label'!$D:$D,$A11)=0),"NO UPC MATCH in Release_Label",and($B11&lt;&gt;"",countif('3) Release_Label'!$E:$E,$B11)=0),"NO CATALOG ID MATCH in Release_Label",iserror(vlookup($A11&amp;$B11,'3) Release_Label'!$D:$D&amp;'3) Release_Label'!$E:$E,1,0)),"NO UPC-CATALOG ID pair MATCH in Release_Label" )</f>
        <v/>
      </c>
      <c r="E11" s="141">
        <f t="shared" si="1"/>
        <v>3</v>
      </c>
      <c r="F11" s="51" t="s">
        <v>370</v>
      </c>
      <c r="G11" s="124"/>
      <c r="H11" s="51" t="s">
        <v>371</v>
      </c>
      <c r="I11" s="28"/>
      <c r="J11" s="8" t="s">
        <v>173</v>
      </c>
      <c r="K11" s="142" t="s">
        <v>355</v>
      </c>
      <c r="L11" s="8" t="s">
        <v>356</v>
      </c>
      <c r="M11" s="94" t="s">
        <v>372</v>
      </c>
      <c r="N11" s="28" t="s">
        <v>357</v>
      </c>
      <c r="O11" s="28"/>
      <c r="P11" s="145"/>
      <c r="Q11" s="28"/>
      <c r="R11" s="28"/>
      <c r="S11" s="28"/>
      <c r="T11" s="28"/>
      <c r="U11" s="28"/>
      <c r="V11" s="28"/>
      <c r="W11" s="28"/>
      <c r="X11" s="28"/>
      <c r="Y11" s="28"/>
      <c r="Z11" s="28"/>
      <c r="AA11" s="28"/>
      <c r="AB11" s="28"/>
      <c r="AC11" s="28"/>
      <c r="AD11" s="28"/>
      <c r="AE11" s="28"/>
      <c r="AF11" s="28"/>
      <c r="AG11" s="28"/>
      <c r="AH11" s="28"/>
      <c r="AI11" s="28"/>
      <c r="AJ11" s="28"/>
      <c r="AK11" s="28"/>
      <c r="AL11" s="28"/>
      <c r="AM11" s="28"/>
    </row>
    <row r="12">
      <c r="A12" s="88">
        <v>9.995964312657E12</v>
      </c>
      <c r="B12" s="124"/>
      <c r="C12" s="121" t="str">
        <f t="array" ref="C12">ifs(and(isblank($A12),isblank($B12)),"", not(iserror(vlookup($A12&amp;$B12,'3) Release_Label'!$D:$D&amp;'3) Release_Label'!$E:$E,1,0))),vlookup($A12&amp;$B12,{'3) Release_Label'!$D:$D&amp;'3) Release_Label'!$E:$E,'3) Release_Label'!$F:$F},2,0), or(and(not(isblank($B12)),$B12=$B11,$A12&lt;&gt;$A11),and(not(isblank($A12)),$A12=$A11,$B12&lt;&gt;$B11)),"ID LISTS UNALIGNED",and($A12&lt;&gt;"",countif('3) Release_Label'!$D:$D,$A12)=0),"NO UPC MATCH in Release_Label",and($B12&lt;&gt;"",countif('3) Release_Label'!$E:$E,$B12)=0),"NO CATALOG ID MATCH in Release_Label",iserror(vlookup($A12&amp;$B12,'3) Release_Label'!$D:$D&amp;'3) Release_Label'!$E:$E,1,0)),"NO UPC-CATALOG ID pair MATCH in Release_Label" )</f>
        <v>Angrej (Original Motion Picture Soundtrack)</v>
      </c>
      <c r="D12" s="121" t="str">
        <f t="array" ref="D12">ifs(and(isblank($A12),isblank($B12)),"", not(iserror(vlookup($A12&amp;$B12,'3) Release_Label'!$D:$D&amp;'3) Release_Label'!$E:$E,1,0))),vlookup($A12&amp;$B12,{'3) Release_Label'!$D:$D&amp;'3) Release_Label'!$E:$E,'3) Release_Label'!$H:$H},2,0), or(and(not(isblank($B12)),$B12=$B11,$A12&lt;&gt;$A11),and(not(isblank($A12)),$A12=$A11,$B12&lt;&gt;$B11)),"ID LISTS UNALIGNED",and($A12&lt;&gt;"",countif('3) Release_Label'!$D:$D,$A12)=0),"NO UPC MATCH in Release_Label",and($B12&lt;&gt;"",countif('3) Release_Label'!$E:$E,$B12)=0),"NO CATALOG ID MATCH in Release_Label",iserror(vlookup($A12&amp;$B12,'3) Release_Label'!$D:$D&amp;'3) Release_Label'!$E:$E,1,0)),"NO UPC-CATALOG ID pair MATCH in Release_Label" )</f>
        <v/>
      </c>
      <c r="E12" s="141">
        <f t="shared" si="1"/>
        <v>4</v>
      </c>
      <c r="F12" s="51" t="s">
        <v>373</v>
      </c>
      <c r="G12" s="124"/>
      <c r="H12" s="51" t="s">
        <v>374</v>
      </c>
      <c r="I12" s="28"/>
      <c r="J12" s="8" t="s">
        <v>173</v>
      </c>
      <c r="K12" s="142" t="s">
        <v>355</v>
      </c>
      <c r="L12" s="8" t="s">
        <v>356</v>
      </c>
      <c r="M12" s="94" t="s">
        <v>375</v>
      </c>
      <c r="N12" s="28" t="s">
        <v>357</v>
      </c>
      <c r="O12" s="28"/>
      <c r="P12" s="145"/>
      <c r="Q12" s="28"/>
      <c r="R12" s="28"/>
      <c r="S12" s="28"/>
      <c r="T12" s="28"/>
      <c r="U12" s="28"/>
      <c r="V12" s="28"/>
      <c r="W12" s="28"/>
      <c r="X12" s="28"/>
      <c r="Y12" s="28"/>
      <c r="Z12" s="28"/>
      <c r="AA12" s="28"/>
      <c r="AB12" s="28"/>
      <c r="AC12" s="28"/>
      <c r="AD12" s="28"/>
      <c r="AE12" s="28"/>
      <c r="AF12" s="28"/>
      <c r="AG12" s="28"/>
      <c r="AH12" s="28"/>
      <c r="AI12" s="28"/>
      <c r="AJ12" s="28"/>
      <c r="AK12" s="28"/>
      <c r="AL12" s="28"/>
      <c r="AM12" s="28"/>
    </row>
    <row r="13">
      <c r="A13" s="88">
        <v>9.995964312657E12</v>
      </c>
      <c r="B13" s="124"/>
      <c r="C13" s="121" t="str">
        <f t="array" ref="C13">ifs(and(isblank($A13),isblank($B13)),"", not(iserror(vlookup($A13&amp;$B13,'3) Release_Label'!$D:$D&amp;'3) Release_Label'!$E:$E,1,0))),vlookup($A13&amp;$B13,{'3) Release_Label'!$D:$D&amp;'3) Release_Label'!$E:$E,'3) Release_Label'!$F:$F},2,0), or(and(not(isblank($B13)),$B13=$B12,$A13&lt;&gt;$A12),and(not(isblank($A13)),$A13=$A12,$B13&lt;&gt;$B12)),"ID LISTS UNALIGNED",and($A13&lt;&gt;"",countif('3) Release_Label'!$D:$D,$A13)=0),"NO UPC MATCH in Release_Label",and($B13&lt;&gt;"",countif('3) Release_Label'!$E:$E,$B13)=0),"NO CATALOG ID MATCH in Release_Label",iserror(vlookup($A13&amp;$B13,'3) Release_Label'!$D:$D&amp;'3) Release_Label'!$E:$E,1,0)),"NO UPC-CATALOG ID pair MATCH in Release_Label" )</f>
        <v>Angrej (Original Motion Picture Soundtrack)</v>
      </c>
      <c r="D13" s="121" t="str">
        <f t="array" ref="D13">ifs(and(isblank($A13),isblank($B13)),"", not(iserror(vlookup($A13&amp;$B13,'3) Release_Label'!$D:$D&amp;'3) Release_Label'!$E:$E,1,0))),vlookup($A13&amp;$B13,{'3) Release_Label'!$D:$D&amp;'3) Release_Label'!$E:$E,'3) Release_Label'!$H:$H},2,0), or(and(not(isblank($B13)),$B13=$B12,$A13&lt;&gt;$A12),and(not(isblank($A13)),$A13=$A12,$B13&lt;&gt;$B12)),"ID LISTS UNALIGNED",and($A13&lt;&gt;"",countif('3) Release_Label'!$D:$D,$A13)=0),"NO UPC MATCH in Release_Label",and($B13&lt;&gt;"",countif('3) Release_Label'!$E:$E,$B13)=0),"NO CATALOG ID MATCH in Release_Label",iserror(vlookup($A13&amp;$B13,'3) Release_Label'!$D:$D&amp;'3) Release_Label'!$E:$E,1,0)),"NO UPC-CATALOG ID pair MATCH in Release_Label" )</f>
        <v/>
      </c>
      <c r="E13" s="141">
        <f t="shared" si="1"/>
        <v>5</v>
      </c>
      <c r="F13" s="51" t="s">
        <v>376</v>
      </c>
      <c r="G13" s="124"/>
      <c r="H13" s="51" t="s">
        <v>377</v>
      </c>
      <c r="I13" s="28"/>
      <c r="J13" s="8" t="s">
        <v>173</v>
      </c>
      <c r="K13" s="142" t="s">
        <v>355</v>
      </c>
      <c r="L13" s="8" t="s">
        <v>356</v>
      </c>
      <c r="M13" s="94" t="s">
        <v>378</v>
      </c>
      <c r="N13" s="28" t="s">
        <v>357</v>
      </c>
      <c r="O13" s="28"/>
      <c r="P13" s="145"/>
      <c r="Q13" s="28"/>
      <c r="S13" s="28"/>
      <c r="T13" s="28"/>
      <c r="U13" s="28"/>
      <c r="V13" s="28"/>
      <c r="W13" s="28"/>
      <c r="X13" s="28"/>
      <c r="Y13" s="28"/>
      <c r="Z13" s="28"/>
      <c r="AA13" s="28"/>
      <c r="AB13" s="28"/>
      <c r="AC13" s="28"/>
      <c r="AD13" s="28"/>
      <c r="AE13" s="28"/>
      <c r="AF13" s="28"/>
      <c r="AG13" s="28"/>
      <c r="AH13" s="28"/>
      <c r="AI13" s="28"/>
      <c r="AJ13" s="28"/>
      <c r="AK13" s="28"/>
      <c r="AL13" s="28"/>
      <c r="AM13" s="28"/>
    </row>
    <row r="14">
      <c r="A14" s="88">
        <v>9.995964312657E12</v>
      </c>
      <c r="B14" s="124"/>
      <c r="C14" s="121" t="str">
        <f t="array" ref="C14">ifs(and(isblank($A14),isblank($B14)),"", not(iserror(vlookup($A14&amp;$B14,'3) Release_Label'!$D:$D&amp;'3) Release_Label'!$E:$E,1,0))),vlookup($A14&amp;$B14,{'3) Release_Label'!$D:$D&amp;'3) Release_Label'!$E:$E,'3) Release_Label'!$F:$F},2,0), or(and(not(isblank($B14)),$B14=$B13,$A14&lt;&gt;$A13),and(not(isblank($A14)),$A14=$A13,$B14&lt;&gt;$B13)),"ID LISTS UNALIGNED",and($A14&lt;&gt;"",countif('3) Release_Label'!$D:$D,$A14)=0),"NO UPC MATCH in Release_Label",and($B14&lt;&gt;"",countif('3) Release_Label'!$E:$E,$B14)=0),"NO CATALOG ID MATCH in Release_Label",iserror(vlookup($A14&amp;$B14,'3) Release_Label'!$D:$D&amp;'3) Release_Label'!$E:$E,1,0)),"NO UPC-CATALOG ID pair MATCH in Release_Label" )</f>
        <v>Angrej (Original Motion Picture Soundtrack)</v>
      </c>
      <c r="D14" s="121" t="str">
        <f t="array" ref="D14">ifs(and(isblank($A14),isblank($B14)),"", not(iserror(vlookup($A14&amp;$B14,'3) Release_Label'!$D:$D&amp;'3) Release_Label'!$E:$E,1,0))),vlookup($A14&amp;$B14,{'3) Release_Label'!$D:$D&amp;'3) Release_Label'!$E:$E,'3) Release_Label'!$H:$H},2,0), or(and(not(isblank($B14)),$B14=$B13,$A14&lt;&gt;$A13),and(not(isblank($A14)),$A14=$A13,$B14&lt;&gt;$B13)),"ID LISTS UNALIGNED",and($A14&lt;&gt;"",countif('3) Release_Label'!$D:$D,$A14)=0),"NO UPC MATCH in Release_Label",and($B14&lt;&gt;"",countif('3) Release_Label'!$E:$E,$B14)=0),"NO CATALOG ID MATCH in Release_Label",iserror(vlookup($A14&amp;$B14,'3) Release_Label'!$D:$D&amp;'3) Release_Label'!$E:$E,1,0)),"NO UPC-CATALOG ID pair MATCH in Release_Label" )</f>
        <v/>
      </c>
      <c r="E14" s="141">
        <f t="shared" si="1"/>
        <v>6</v>
      </c>
      <c r="F14" s="51" t="s">
        <v>379</v>
      </c>
      <c r="G14" s="124"/>
      <c r="H14" s="51" t="s">
        <v>380</v>
      </c>
      <c r="I14" s="28"/>
      <c r="J14" s="8" t="s">
        <v>173</v>
      </c>
      <c r="K14" s="142" t="s">
        <v>355</v>
      </c>
      <c r="L14" s="8" t="s">
        <v>356</v>
      </c>
      <c r="M14" s="94" t="s">
        <v>381</v>
      </c>
      <c r="N14" s="28" t="s">
        <v>357</v>
      </c>
      <c r="O14" s="28"/>
      <c r="P14" s="145"/>
      <c r="Q14" s="28"/>
      <c r="R14" s="28"/>
      <c r="S14" s="28"/>
      <c r="T14" s="28"/>
      <c r="V14" s="28"/>
      <c r="W14" s="28"/>
      <c r="X14" s="28"/>
      <c r="Y14" s="28"/>
      <c r="Z14" s="28"/>
      <c r="AA14" s="28"/>
      <c r="AB14" s="28"/>
      <c r="AC14" s="28"/>
      <c r="AD14" s="28"/>
      <c r="AE14" s="28"/>
      <c r="AF14" s="28"/>
      <c r="AG14" s="28"/>
      <c r="AH14" s="28"/>
      <c r="AI14" s="28"/>
      <c r="AJ14" s="28"/>
      <c r="AK14" s="28"/>
      <c r="AL14" s="28"/>
      <c r="AM14" s="28"/>
    </row>
    <row r="15">
      <c r="A15" s="88">
        <v>9.995964312657E12</v>
      </c>
      <c r="B15" s="124"/>
      <c r="C15" s="121" t="str">
        <f t="array" ref="C15">ifs(and(isblank($A15),isblank($B15)),"", not(iserror(vlookup($A15&amp;$B15,'3) Release_Label'!$D:$D&amp;'3) Release_Label'!$E:$E,1,0))),vlookup($A15&amp;$B15,{'3) Release_Label'!$D:$D&amp;'3) Release_Label'!$E:$E,'3) Release_Label'!$F:$F},2,0), or(and(not(isblank($B15)),$B15=$B14,$A15&lt;&gt;$A14),and(not(isblank($A15)),$A15=$A14,$B15&lt;&gt;$B14)),"ID LISTS UNALIGNED",and($A15&lt;&gt;"",countif('3) Release_Label'!$D:$D,$A15)=0),"NO UPC MATCH in Release_Label",and($B15&lt;&gt;"",countif('3) Release_Label'!$E:$E,$B15)=0),"NO CATALOG ID MATCH in Release_Label",iserror(vlookup($A15&amp;$B15,'3) Release_Label'!$D:$D&amp;'3) Release_Label'!$E:$E,1,0)),"NO UPC-CATALOG ID pair MATCH in Release_Label" )</f>
        <v>Angrej (Original Motion Picture Soundtrack)</v>
      </c>
      <c r="D15" s="121" t="str">
        <f t="array" ref="D15">ifs(and(isblank($A15),isblank($B15)),"", not(iserror(vlookup($A15&amp;$B15,'3) Release_Label'!$D:$D&amp;'3) Release_Label'!$E:$E,1,0))),vlookup($A15&amp;$B15,{'3) Release_Label'!$D:$D&amp;'3) Release_Label'!$E:$E,'3) Release_Label'!$H:$H},2,0), or(and(not(isblank($B15)),$B15=$B14,$A15&lt;&gt;$A14),and(not(isblank($A15)),$A15=$A14,$B15&lt;&gt;$B14)),"ID LISTS UNALIGNED",and($A15&lt;&gt;"",countif('3) Release_Label'!$D:$D,$A15)=0),"NO UPC MATCH in Release_Label",and($B15&lt;&gt;"",countif('3) Release_Label'!$E:$E,$B15)=0),"NO CATALOG ID MATCH in Release_Label",iserror(vlookup($A15&amp;$B15,'3) Release_Label'!$D:$D&amp;'3) Release_Label'!$E:$E,1,0)),"NO UPC-CATALOG ID pair MATCH in Release_Label" )</f>
        <v/>
      </c>
      <c r="E15" s="141">
        <f t="shared" si="1"/>
        <v>7</v>
      </c>
      <c r="F15" s="51" t="s">
        <v>382</v>
      </c>
      <c r="G15" s="124"/>
      <c r="H15" s="51" t="s">
        <v>383</v>
      </c>
      <c r="I15" s="28"/>
      <c r="J15" s="8" t="s">
        <v>173</v>
      </c>
      <c r="K15" s="142" t="s">
        <v>355</v>
      </c>
      <c r="L15" s="8" t="s">
        <v>356</v>
      </c>
      <c r="M15" s="94" t="s">
        <v>384</v>
      </c>
      <c r="N15" s="28" t="s">
        <v>357</v>
      </c>
      <c r="O15" s="28"/>
      <c r="P15" s="145"/>
      <c r="Q15" s="28"/>
      <c r="R15" s="28"/>
      <c r="S15" s="28"/>
      <c r="T15" s="28"/>
      <c r="V15" s="28"/>
      <c r="W15" s="28"/>
      <c r="X15" s="49"/>
      <c r="Y15" s="28"/>
      <c r="Z15" s="28"/>
      <c r="AA15" s="28"/>
      <c r="AB15" s="28"/>
      <c r="AC15" s="28"/>
      <c r="AD15" s="28"/>
      <c r="AE15" s="28"/>
      <c r="AF15" s="28"/>
      <c r="AG15" s="28"/>
      <c r="AH15" s="28"/>
      <c r="AI15" s="28"/>
      <c r="AJ15" s="28"/>
      <c r="AK15" s="28"/>
      <c r="AL15" s="28"/>
      <c r="AM15" s="28"/>
    </row>
    <row r="16">
      <c r="A16" s="88">
        <v>9.99596432139E12</v>
      </c>
      <c r="B16" s="124"/>
      <c r="C16" s="121" t="str">
        <f t="array" ref="C16">ifs(and(isblank($A16),isblank($B16)),"", not(iserror(vlookup($A16&amp;$B16,'3) Release_Label'!$D:$D&amp;'3) Release_Label'!$E:$E,1,0))),vlookup($A16&amp;$B16,{'3) Release_Label'!$D:$D&amp;'3) Release_Label'!$E:$E,'3) Release_Label'!$F:$F},2,0), or(and(not(isblank($B16)),$B16=$B15,$A16&lt;&gt;$A15),and(not(isblank($A16)),$A16=$A15,$B16&lt;&gt;$B15)),"ID LISTS UNALIGNED",and($A16&lt;&gt;"",countif('3) Release_Label'!$D:$D,$A16)=0),"NO UPC MATCH in Release_Label",and($B16&lt;&gt;"",countif('3) Release_Label'!$E:$E,$B16)=0),"NO CATALOG ID MATCH in Release_Label",iserror(vlookup($A16&amp;$B16,'3) Release_Label'!$D:$D&amp;'3) Release_Label'!$E:$E,1,0)),"NO UPC-CATALOG ID pair MATCH in Release_Label" )</f>
        <v>Bambukat (From "Bambukat" Soundtrack)</v>
      </c>
      <c r="D16" s="121" t="str">
        <f t="array" ref="D16">ifs(and(isblank($A16),isblank($B16)),"", not(iserror(vlookup($A16&amp;$B16,'3) Release_Label'!$D:$D&amp;'3) Release_Label'!$E:$E,1,0))),vlookup($A16&amp;$B16,{'3) Release_Label'!$D:$D&amp;'3) Release_Label'!$E:$E,'3) Release_Label'!$H:$H},2,0), or(and(not(isblank($B16)),$B16=$B15,$A16&lt;&gt;$A15),and(not(isblank($A16)),$A16=$A15,$B16&lt;&gt;$B15)),"ID LISTS UNALIGNED",and($A16&lt;&gt;"",countif('3) Release_Label'!$D:$D,$A16)=0),"NO UPC MATCH in Release_Label",and($B16&lt;&gt;"",countif('3) Release_Label'!$E:$E,$B16)=0),"NO CATALOG ID MATCH in Release_Label",iserror(vlookup($A16&amp;$B16,'3) Release_Label'!$D:$D&amp;'3) Release_Label'!$E:$E,1,0)),"NO UPC-CATALOG ID pair MATCH in Release_Label" )</f>
        <v/>
      </c>
      <c r="E16" s="141">
        <f t="shared" si="1"/>
        <v>1</v>
      </c>
      <c r="F16" s="51" t="s">
        <v>385</v>
      </c>
      <c r="G16" s="124"/>
      <c r="H16" s="51" t="s">
        <v>183</v>
      </c>
      <c r="I16" s="28"/>
      <c r="J16" s="8" t="s">
        <v>173</v>
      </c>
      <c r="K16" s="142" t="s">
        <v>355</v>
      </c>
      <c r="L16" s="8" t="s">
        <v>356</v>
      </c>
      <c r="M16" s="94" t="s">
        <v>386</v>
      </c>
      <c r="N16" s="28" t="s">
        <v>357</v>
      </c>
      <c r="O16" s="28"/>
      <c r="P16" s="145"/>
      <c r="Q16" s="28"/>
      <c r="R16" s="8" t="s">
        <v>327</v>
      </c>
      <c r="S16" s="28"/>
      <c r="T16" s="28"/>
      <c r="U16" s="28"/>
      <c r="V16" s="28"/>
      <c r="W16" s="28"/>
      <c r="X16" s="28"/>
      <c r="Y16" s="28"/>
      <c r="Z16" s="28"/>
      <c r="AA16" s="28"/>
      <c r="AB16" s="28"/>
      <c r="AC16" s="28"/>
      <c r="AD16" s="28"/>
      <c r="AE16" s="28"/>
      <c r="AF16" s="28"/>
      <c r="AG16" s="28"/>
      <c r="AH16" s="28"/>
      <c r="AI16" s="28"/>
      <c r="AJ16" s="28"/>
      <c r="AK16" s="28"/>
      <c r="AL16" s="28"/>
      <c r="AM16" s="28"/>
    </row>
    <row r="17">
      <c r="A17" s="88">
        <v>9.995964330187E12</v>
      </c>
      <c r="B17" s="103"/>
      <c r="C17" s="121" t="str">
        <f t="array" ref="C17">ifs(and(isblank($A17),isblank($B17)),"", not(iserror(vlookup($A17&amp;$B17,'3) Release_Label'!$D:$D&amp;'3) Release_Label'!$E:$E,1,0))),vlookup($A17&amp;$B17,{'3) Release_Label'!$D:$D&amp;'3) Release_Label'!$E:$E,'3) Release_Label'!$F:$F},2,0), or(and(not(isblank($B17)),$B17=$B16,$A17&lt;&gt;$A16),and(not(isblank($A17)),$A17=$A16,$B17&lt;&gt;$B16)),"ID LISTS UNALIGNED",and($A17&lt;&gt;"",countif('3) Release_Label'!$D:$D,$A17)=0),"NO UPC MATCH in Release_Label",and($B17&lt;&gt;"",countif('3) Release_Label'!$E:$E,$B17)=0),"NO CATALOG ID MATCH in Release_Label",iserror(vlookup($A17&amp;$B17,'3) Release_Label'!$D:$D&amp;'3) Release_Label'!$E:$E,1,0)),"NO UPC-CATALOG ID pair MATCH in Release_Label" )</f>
        <v>Chann Ve</v>
      </c>
      <c r="D17" s="121" t="str">
        <f t="array" ref="D17">ifs(and(isblank($A17),isblank($B17)),"", not(iserror(vlookup($A17&amp;$B17,'3) Release_Label'!$D:$D&amp;'3) Release_Label'!$E:$E,1,0))),vlookup($A17&amp;$B17,{'3) Release_Label'!$D:$D&amp;'3) Release_Label'!$E:$E,'3) Release_Label'!$H:$H},2,0), or(and(not(isblank($B17)),$B17=$B16,$A17&lt;&gt;$A16),and(not(isblank($A17)),$A17=$A16,$B17&lt;&gt;$B16)),"ID LISTS UNALIGNED",and($A17&lt;&gt;"",countif('3) Release_Label'!$D:$D,$A17)=0),"NO UPC MATCH in Release_Label",and($B17&lt;&gt;"",countif('3) Release_Label'!$E:$E,$B17)=0),"NO CATALOG ID MATCH in Release_Label",iserror(vlookup($A17&amp;$B17,'3) Release_Label'!$D:$D&amp;'3) Release_Label'!$E:$E,1,0)),"NO UPC-CATALOG ID pair MATCH in Release_Label" )</f>
        <v/>
      </c>
      <c r="E17" s="141">
        <f t="shared" si="1"/>
        <v>1</v>
      </c>
      <c r="F17" s="50" t="s">
        <v>387</v>
      </c>
      <c r="G17" s="103"/>
      <c r="H17" s="51" t="s">
        <v>185</v>
      </c>
      <c r="J17" s="8" t="s">
        <v>173</v>
      </c>
      <c r="K17" s="142" t="s">
        <v>355</v>
      </c>
      <c r="L17" s="8" t="s">
        <v>356</v>
      </c>
      <c r="M17" s="45" t="s">
        <v>388</v>
      </c>
      <c r="N17" s="8" t="s">
        <v>357</v>
      </c>
      <c r="O17" s="28"/>
      <c r="P17" s="145"/>
      <c r="Q17" s="28"/>
      <c r="R17" s="28"/>
      <c r="S17" s="28"/>
      <c r="T17" s="28"/>
      <c r="U17" s="28"/>
      <c r="V17" s="28"/>
      <c r="W17" s="43"/>
      <c r="X17" s="28"/>
      <c r="Y17" s="28"/>
    </row>
    <row r="18">
      <c r="A18" s="88">
        <v>9.995964330446E12</v>
      </c>
      <c r="B18" s="103"/>
      <c r="C18" s="121" t="str">
        <f t="array" ref="C18">ifs(and(isblank($A18),isblank($B18)),"", not(iserror(vlookup($A18&amp;$B18,'3) Release_Label'!$D:$D&amp;'3) Release_Label'!$E:$E,1,0))),vlookup($A18&amp;$B18,{'3) Release_Label'!$D:$D&amp;'3) Release_Label'!$E:$E,'3) Release_Label'!$F:$F},2,0), or(and(not(isblank($B18)),$B18=$B17,$A18&lt;&gt;$A17),and(not(isblank($A18)),$A18=$A17,$B18&lt;&gt;$B17)),"ID LISTS UNALIGNED",and($A18&lt;&gt;"",countif('3) Release_Label'!$D:$D,$A18)=0),"NO UPC MATCH in Release_Label",and($B18&lt;&gt;"",countif('3) Release_Label'!$E:$E,$B18)=0),"NO CATALOG ID MATCH in Release_Label",iserror(vlookup($A18&amp;$B18,'3) Release_Label'!$D:$D&amp;'3) Release_Label'!$E:$E,1,0)),"NO UPC-CATALOG ID pair MATCH in Release_Label" )</f>
        <v>Chunni (From "Lahoriye" Soundtrack)</v>
      </c>
      <c r="D18" s="121" t="str">
        <f t="array" ref="D18">ifs(and(isblank($A18),isblank($B18)),"", not(iserror(vlookup($A18&amp;$B18,'3) Release_Label'!$D:$D&amp;'3) Release_Label'!$E:$E,1,0))),vlookup($A18&amp;$B18,{'3) Release_Label'!$D:$D&amp;'3) Release_Label'!$E:$E,'3) Release_Label'!$H:$H},2,0), or(and(not(isblank($B18)),$B18=$B17,$A18&lt;&gt;$A17),and(not(isblank($A18)),$A18=$A17,$B18&lt;&gt;$B17)),"ID LISTS UNALIGNED",and($A18&lt;&gt;"",countif('3) Release_Label'!$D:$D,$A18)=0),"NO UPC MATCH in Release_Label",and($B18&lt;&gt;"",countif('3) Release_Label'!$E:$E,$B18)=0),"NO CATALOG ID MATCH in Release_Label",iserror(vlookup($A18&amp;$B18,'3) Release_Label'!$D:$D&amp;'3) Release_Label'!$E:$E,1,0)),"NO UPC-CATALOG ID pair MATCH in Release_Label" )</f>
        <v/>
      </c>
      <c r="E18" s="141">
        <f t="shared" si="1"/>
        <v>1</v>
      </c>
      <c r="F18" s="51" t="s">
        <v>389</v>
      </c>
      <c r="G18" s="103"/>
      <c r="H18" s="51" t="s">
        <v>187</v>
      </c>
      <c r="J18" s="8" t="s">
        <v>173</v>
      </c>
      <c r="K18" s="142" t="s">
        <v>355</v>
      </c>
      <c r="L18" s="8" t="s">
        <v>356</v>
      </c>
      <c r="M18" s="45" t="s">
        <v>390</v>
      </c>
      <c r="N18" s="8" t="s">
        <v>357</v>
      </c>
      <c r="O18" s="8"/>
      <c r="P18" s="47"/>
      <c r="Q18" s="8"/>
      <c r="R18" s="8"/>
      <c r="S18" s="8"/>
    </row>
    <row r="19">
      <c r="A19" s="88">
        <v>9.995964357078E12</v>
      </c>
      <c r="B19" s="103"/>
      <c r="C19" s="121" t="str">
        <f t="array" ref="C19">ifs(and(isblank($A19),isblank($B19)),"", not(iserror(vlookup($A19&amp;$B19,'3) Release_Label'!$D:$D&amp;'3) Release_Label'!$E:$E,1,0))),vlookup($A19&amp;$B19,{'3) Release_Label'!$D:$D&amp;'3) Release_Label'!$E:$E,'3) Release_Label'!$F:$F},2,0), or(and(not(isblank($B19)),$B19=$B18,$A19&lt;&gt;$A18),and(not(isblank($A19)),$A19=$A18,$B19&lt;&gt;$B18)),"ID LISTS UNALIGNED",and($A19&lt;&gt;"",countif('3) Release_Label'!$D:$D,$A19)=0),"NO UPC MATCH in Release_Label",and($B19&lt;&gt;"",countif('3) Release_Label'!$E:$E,$B19)=0),"NO CATALOG ID MATCH in Release_Label",iserror(vlookup($A19&amp;$B19,'3) Release_Label'!$D:$D&amp;'3) Release_Label'!$E:$E,1,0)),"NO UPC-CATALOG ID pair MATCH in Release_Label" )</f>
        <v>Daana Paani - Title Song (From "Daana Paani" Soundtrack)</v>
      </c>
      <c r="D19" s="121" t="str">
        <f t="array" ref="D19">ifs(and(isblank($A19),isblank($B19)),"", not(iserror(vlookup($A19&amp;$B19,'3) Release_Label'!$D:$D&amp;'3) Release_Label'!$E:$E,1,0))),vlookup($A19&amp;$B19,{'3) Release_Label'!$D:$D&amp;'3) Release_Label'!$E:$E,'3) Release_Label'!$H:$H},2,0), or(and(not(isblank($B19)),$B19=$B18,$A19&lt;&gt;$A18),and(not(isblank($A19)),$A19=$A18,$B19&lt;&gt;$B18)),"ID LISTS UNALIGNED",and($A19&lt;&gt;"",countif('3) Release_Label'!$D:$D,$A19)=0),"NO UPC MATCH in Release_Label",and($B19&lt;&gt;"",countif('3) Release_Label'!$E:$E,$B19)=0),"NO CATALOG ID MATCH in Release_Label",iserror(vlookup($A19&amp;$B19,'3) Release_Label'!$D:$D&amp;'3) Release_Label'!$E:$E,1,0)),"NO UPC-CATALOG ID pair MATCH in Release_Label" )</f>
        <v/>
      </c>
      <c r="E19" s="141">
        <f t="shared" si="1"/>
        <v>1</v>
      </c>
      <c r="F19" s="51" t="s">
        <v>391</v>
      </c>
      <c r="G19" s="103"/>
      <c r="H19" s="51" t="s">
        <v>189</v>
      </c>
      <c r="J19" s="8" t="s">
        <v>173</v>
      </c>
      <c r="K19" s="142" t="s">
        <v>355</v>
      </c>
      <c r="L19" s="8" t="s">
        <v>356</v>
      </c>
      <c r="M19" s="45" t="s">
        <v>392</v>
      </c>
      <c r="N19" s="8" t="s">
        <v>357</v>
      </c>
      <c r="O19" s="8"/>
      <c r="P19" s="47"/>
      <c r="Q19" s="8"/>
      <c r="R19" s="8"/>
      <c r="S19" s="8"/>
    </row>
    <row r="20">
      <c r="A20" s="88">
        <v>9.995964357016E12</v>
      </c>
      <c r="B20" s="103"/>
      <c r="C20" s="121" t="str">
        <f t="array" ref="C20">ifs(and(isblank($A20),isblank($B20)),"", not(iserror(vlookup($A20&amp;$B20,'3) Release_Label'!$D:$D&amp;'3) Release_Label'!$E:$E,1,0))),vlookup($A20&amp;$B20,{'3) Release_Label'!$D:$D&amp;'3) Release_Label'!$E:$E,'3) Release_Label'!$F:$F},2,0), or(and(not(isblank($B20)),$B20=$B19,$A20&lt;&gt;$A19),and(not(isblank($A20)),$A20=$A19,$B20&lt;&gt;$B19)),"ID LISTS UNALIGNED",and($A20&lt;&gt;"",countif('3) Release_Label'!$D:$D,$A20)=0),"NO UPC MATCH in Release_Label",and($B20&lt;&gt;"",countif('3) Release_Label'!$E:$E,$B20)=0),"NO CATALOG ID MATCH in Release_Label",iserror(vlookup($A20&amp;$B20,'3) Release_Label'!$D:$D&amp;'3) Release_Label'!$E:$E,1,0)),"NO UPC-CATALOG ID pair MATCH in Release_Label" )</f>
        <v>Daana Paani (From "Daana Paani" Soundtrack)</v>
      </c>
      <c r="D20" s="121" t="str">
        <f t="array" ref="D20">ifs(and(isblank($A20),isblank($B20)),"", not(iserror(vlookup($A20&amp;$B20,'3) Release_Label'!$D:$D&amp;'3) Release_Label'!$E:$E,1,0))),vlookup($A20&amp;$B20,{'3) Release_Label'!$D:$D&amp;'3) Release_Label'!$E:$E,'3) Release_Label'!$H:$H},2,0), or(and(not(isblank($B20)),$B20=$B19,$A20&lt;&gt;$A19),and(not(isblank($A20)),$A20=$A19,$B20&lt;&gt;$B19)),"ID LISTS UNALIGNED",and($A20&lt;&gt;"",countif('3) Release_Label'!$D:$D,$A20)=0),"NO UPC MATCH in Release_Label",and($B20&lt;&gt;"",countif('3) Release_Label'!$E:$E,$B20)=0),"NO CATALOG ID MATCH in Release_Label",iserror(vlookup($A20&amp;$B20,'3) Release_Label'!$D:$D&amp;'3) Release_Label'!$E:$E,1,0)),"NO UPC-CATALOG ID pair MATCH in Release_Label" )</f>
        <v/>
      </c>
      <c r="E20" s="141">
        <f t="shared" si="1"/>
        <v>1</v>
      </c>
      <c r="F20" s="51" t="s">
        <v>393</v>
      </c>
      <c r="G20" s="103"/>
      <c r="H20" s="51" t="s">
        <v>191</v>
      </c>
      <c r="J20" s="8" t="s">
        <v>173</v>
      </c>
      <c r="K20" s="142" t="s">
        <v>355</v>
      </c>
      <c r="L20" s="8" t="s">
        <v>356</v>
      </c>
      <c r="M20" s="45" t="s">
        <v>394</v>
      </c>
      <c r="N20" s="8" t="s">
        <v>357</v>
      </c>
      <c r="O20" s="99"/>
      <c r="P20" s="34"/>
    </row>
    <row r="21">
      <c r="A21" s="88">
        <v>9.995964332198E12</v>
      </c>
      <c r="B21" s="103"/>
      <c r="C21" s="121" t="str">
        <f t="array" ref="C21">ifs(and(isblank($A21),isblank($B21)),"", not(iserror(vlookup($A21&amp;$B21,'3) Release_Label'!$D:$D&amp;'3) Release_Label'!$E:$E,1,0))),vlookup($A21&amp;$B21,{'3) Release_Label'!$D:$D&amp;'3) Release_Label'!$E:$E,'3) Release_Label'!$F:$F},2,0), or(and(not(isblank($B21)),$B21=$B20,$A21&lt;&gt;$A20),and(not(isblank($A21)),$A21=$A20,$B21&lt;&gt;$B20)),"ID LISTS UNALIGNED",and($A21&lt;&gt;"",countif('3) Release_Label'!$D:$D,$A21)=0),"NO UPC MATCH in Release_Label",and($B21&lt;&gt;"",countif('3) Release_Label'!$E:$E,$B21)=0),"NO CATALOG ID MATCH in Release_Label",iserror(vlookup($A21&amp;$B21,'3) Release_Label'!$D:$D&amp;'3) Release_Label'!$E:$E,1,0)),"NO UPC-CATALOG ID pair MATCH in Release_Label" )</f>
        <v>Dil Di Dua (From "Bhalwan Singh" Soundtrack)</v>
      </c>
      <c r="D21" s="121" t="str">
        <f t="array" ref="D21">ifs(and(isblank($A21),isblank($B21)),"", not(iserror(vlookup($A21&amp;$B21,'3) Release_Label'!$D:$D&amp;'3) Release_Label'!$E:$E,1,0))),vlookup($A21&amp;$B21,{'3) Release_Label'!$D:$D&amp;'3) Release_Label'!$E:$E,'3) Release_Label'!$H:$H},2,0), or(and(not(isblank($B21)),$B21=$B20,$A21&lt;&gt;$A20),and(not(isblank($A21)),$A21=$A20,$B21&lt;&gt;$B20)),"ID LISTS UNALIGNED",and($A21&lt;&gt;"",countif('3) Release_Label'!$D:$D,$A21)=0),"NO UPC MATCH in Release_Label",and($B21&lt;&gt;"",countif('3) Release_Label'!$E:$E,$B21)=0),"NO CATALOG ID MATCH in Release_Label",iserror(vlookup($A21&amp;$B21,'3) Release_Label'!$D:$D&amp;'3) Release_Label'!$E:$E,1,0)),"NO UPC-CATALOG ID pair MATCH in Release_Label" )</f>
        <v/>
      </c>
      <c r="E21" s="141">
        <f t="shared" si="1"/>
        <v>1</v>
      </c>
      <c r="F21" s="51" t="s">
        <v>395</v>
      </c>
      <c r="G21" s="103"/>
      <c r="H21" s="51" t="s">
        <v>193</v>
      </c>
      <c r="J21" s="8" t="s">
        <v>173</v>
      </c>
      <c r="K21" s="142" t="s">
        <v>355</v>
      </c>
      <c r="L21" s="8" t="s">
        <v>356</v>
      </c>
      <c r="M21" s="45" t="s">
        <v>396</v>
      </c>
      <c r="N21" s="8" t="s">
        <v>357</v>
      </c>
      <c r="O21" s="8"/>
      <c r="P21" s="47"/>
      <c r="Q21" s="8"/>
      <c r="R21" s="8"/>
      <c r="S21" s="8"/>
    </row>
    <row r="22">
      <c r="A22" s="88">
        <v>9.99596432171E12</v>
      </c>
      <c r="B22" s="103"/>
      <c r="C22" s="121" t="str">
        <f t="array" ref="C22">ifs(and(isblank($A22),isblank($B22)),"", not(iserror(vlookup($A22&amp;$B22,'3) Release_Label'!$D:$D&amp;'3) Release_Label'!$E:$E,1,0))),vlookup($A22&amp;$B22,{'3) Release_Label'!$D:$D&amp;'3) Release_Label'!$E:$E,'3) Release_Label'!$F:$F},2,0), or(and(not(isblank($B22)),$B22=$B21,$A22&lt;&gt;$A21),and(not(isblank($A22)),$A22=$A21,$B22&lt;&gt;$B21)),"ID LISTS UNALIGNED",and($A22&lt;&gt;"",countif('3) Release_Label'!$D:$D,$A22)=0),"NO UPC MATCH in Release_Label",and($B22&lt;&gt;"",countif('3) Release_Label'!$E:$E,$B22)=0),"NO CATALOG ID MATCH in Release_Label",iserror(vlookup($A22&amp;$B22,'3) Release_Label'!$D:$D&amp;'3) Release_Label'!$E:$E,1,0)),"NO UPC-CATALOG ID pair MATCH in Release_Label" )</f>
        <v>Geetkariyan</v>
      </c>
      <c r="D22" s="121" t="str">
        <f t="array" ref="D22">ifs(and(isblank($A22),isblank($B22)),"", not(iserror(vlookup($A22&amp;$B22,'3) Release_Label'!$D:$D&amp;'3) Release_Label'!$E:$E,1,0))),vlookup($A22&amp;$B22,{'3) Release_Label'!$D:$D&amp;'3) Release_Label'!$E:$E,'3) Release_Label'!$H:$H},2,0), or(and(not(isblank($B22)),$B22=$B21,$A22&lt;&gt;$A21),and(not(isblank($A22)),$A22=$A21,$B22&lt;&gt;$B21)),"ID LISTS UNALIGNED",and($A22&lt;&gt;"",countif('3) Release_Label'!$D:$D,$A22)=0),"NO UPC MATCH in Release_Label",and($B22&lt;&gt;"",countif('3) Release_Label'!$E:$E,$B22)=0),"NO CATALOG ID MATCH in Release_Label",iserror(vlookup($A22&amp;$B22,'3) Release_Label'!$D:$D&amp;'3) Release_Label'!$E:$E,1,0)),"NO UPC-CATALOG ID pair MATCH in Release_Label" )</f>
        <v/>
      </c>
      <c r="E22" s="141">
        <f t="shared" si="1"/>
        <v>1</v>
      </c>
      <c r="F22" s="51" t="s">
        <v>397</v>
      </c>
      <c r="G22" s="103"/>
      <c r="H22" s="51" t="s">
        <v>195</v>
      </c>
      <c r="J22" s="8" t="s">
        <v>173</v>
      </c>
      <c r="K22" s="142" t="s">
        <v>355</v>
      </c>
      <c r="L22" s="8" t="s">
        <v>356</v>
      </c>
      <c r="M22" s="45" t="s">
        <v>398</v>
      </c>
      <c r="N22" s="8" t="s">
        <v>357</v>
      </c>
      <c r="O22" s="8"/>
      <c r="P22" s="47"/>
      <c r="Q22" s="8"/>
      <c r="R22" s="8"/>
      <c r="S22" s="8"/>
    </row>
    <row r="23">
      <c r="A23" s="88">
        <v>9.995964330514E12</v>
      </c>
      <c r="B23" s="103"/>
      <c r="C23" s="121" t="str">
        <f t="array" ref="C23">ifs(and(isblank($A23),isblank($B23)),"", not(iserror(vlookup($A23&amp;$B23,'3) Release_Label'!$D:$D&amp;'3) Release_Label'!$E:$E,1,0))),vlookup($A23&amp;$B23,{'3) Release_Label'!$D:$D&amp;'3) Release_Label'!$E:$E,'3) Release_Label'!$F:$F},2,0), or(and(not(isblank($B23)),$B23=#REF!,$A23&lt;&gt;#REF!),and(not(isblank($A23)),$A23=#REF!,$B23&lt;&gt;#REF!)),"ID LISTS UNALIGNED",and($A23&lt;&gt;"",countif('3) Release_Label'!$D:$D,$A23)=0),"NO UPC MATCH in Release_Label",and($B23&lt;&gt;"",countif('3) Release_Label'!$E:$E,$B23)=0),"NO CATALOG ID MATCH in Release_Label",iserror(vlookup($A23&amp;$B23,'3) Release_Label'!$D:$D&amp;'3) Release_Label'!$E:$E,1,0)),"NO UPC-CATALOG ID pair MATCH in Release_Label" )</f>
        <v>Janjhan (From "Lahoriye" Soundtrack)</v>
      </c>
      <c r="D23" s="121" t="str">
        <f t="array" ref="D23">ifs(and(isblank($A23),isblank($B23)),"", not(iserror(vlookup($A23&amp;$B23,'3) Release_Label'!$D:$D&amp;'3) Release_Label'!$E:$E,1,0))),vlookup($A23&amp;$B23,{'3) Release_Label'!$D:$D&amp;'3) Release_Label'!$E:$E,'3) Release_Label'!$H:$H},2,0), or(and(not(isblank($B23)),$B23=#REF!,$A23&lt;&gt;#REF!),and(not(isblank($A23)),$A23=#REF!,$B23&lt;&gt;#REF!)),"ID LISTS UNALIGNED",and($A23&lt;&gt;"",countif('3) Release_Label'!$D:$D,$A23)=0),"NO UPC MATCH in Release_Label",and($B23&lt;&gt;"",countif('3) Release_Label'!$E:$E,$B23)=0),"NO CATALOG ID MATCH in Release_Label",iserror(vlookup($A23&amp;$B23,'3) Release_Label'!$D:$D&amp;'3) Release_Label'!$E:$E,1,0)),"NO UPC-CATALOG ID pair MATCH in Release_Label" )</f>
        <v/>
      </c>
      <c r="E23" s="141">
        <f t="shared" si="1"/>
        <v>1</v>
      </c>
      <c r="F23" s="51" t="s">
        <v>399</v>
      </c>
      <c r="G23" s="103"/>
      <c r="H23" s="51" t="s">
        <v>197</v>
      </c>
      <c r="J23" s="8" t="s">
        <v>173</v>
      </c>
      <c r="K23" s="142" t="s">
        <v>355</v>
      </c>
      <c r="L23" s="8" t="s">
        <v>356</v>
      </c>
      <c r="M23" s="45" t="s">
        <v>400</v>
      </c>
      <c r="N23" s="8" t="s">
        <v>357</v>
      </c>
      <c r="O23" s="8"/>
      <c r="P23" s="47"/>
      <c r="Q23" s="8"/>
      <c r="R23" s="8"/>
      <c r="S23" s="8"/>
    </row>
    <row r="24">
      <c r="A24" s="88">
        <v>9.995964330576E12</v>
      </c>
      <c r="B24" s="103"/>
      <c r="C24" s="121" t="str">
        <f t="array" ref="C24">ifs(and(isblank($A24),isblank($B24)),"", not(iserror(vlookup($A24&amp;$B24,'3) Release_Label'!$D:$D&amp;'3) Release_Label'!$E:$E,1,0))),vlookup($A24&amp;$B24,{'3) Release_Label'!$D:$D&amp;'3) Release_Label'!$E:$E,'3) Release_Label'!$F:$F},2,0), or(and(not(isblank($B24)),$B24=$B23,$A24&lt;&gt;$A23),and(not(isblank($A24)),$A24=$A23,$B24&lt;&gt;$B23)),"ID LISTS UNALIGNED",and($A24&lt;&gt;"",countif('3) Release_Label'!$D:$D,$A24)=0),"NO UPC MATCH in Release_Label",and($B24&lt;&gt;"",countif('3) Release_Label'!$E:$E,$B24)=0),"NO CATALOG ID MATCH in Release_Label",iserror(vlookup($A24&amp;$B24,'3) Release_Label'!$D:$D&amp;'3) Release_Label'!$E:$E,1,0)),"NO UPC-CATALOG ID pair MATCH in Release_Label" )</f>
        <v>Jeeondean Ch (From "Lahoriye" Soundtrack)</v>
      </c>
      <c r="D24" s="121" t="str">
        <f t="array" ref="D24">ifs(and(isblank($A24),isblank($B24)),"", not(iserror(vlookup($A24&amp;$B24,'3) Release_Label'!$D:$D&amp;'3) Release_Label'!$E:$E,1,0))),vlookup($A24&amp;$B24,{'3) Release_Label'!$D:$D&amp;'3) Release_Label'!$E:$E,'3) Release_Label'!$H:$H},2,0), or(and(not(isblank($B24)),$B24=$B23,$A24&lt;&gt;$A23),and(not(isblank($A24)),$A24=$A23,$B24&lt;&gt;$B23)),"ID LISTS UNALIGNED",and($A24&lt;&gt;"",countif('3) Release_Label'!$D:$D,$A24)=0),"NO UPC MATCH in Release_Label",and($B24&lt;&gt;"",countif('3) Release_Label'!$E:$E,$B24)=0),"NO CATALOG ID MATCH in Release_Label",iserror(vlookup($A24&amp;$B24,'3) Release_Label'!$D:$D&amp;'3) Release_Label'!$E:$E,1,0)),"NO UPC-CATALOG ID pair MATCH in Release_Label" )</f>
        <v/>
      </c>
      <c r="E24" s="141">
        <f t="shared" si="1"/>
        <v>1</v>
      </c>
      <c r="F24" s="51" t="s">
        <v>401</v>
      </c>
      <c r="G24" s="103"/>
      <c r="H24" s="51" t="s">
        <v>199</v>
      </c>
      <c r="J24" s="8" t="s">
        <v>173</v>
      </c>
      <c r="K24" s="142" t="s">
        <v>355</v>
      </c>
      <c r="L24" s="8" t="s">
        <v>356</v>
      </c>
      <c r="M24" s="45" t="s">
        <v>402</v>
      </c>
      <c r="N24" s="8" t="s">
        <v>357</v>
      </c>
      <c r="O24" s="8"/>
      <c r="P24" s="47"/>
      <c r="Q24" s="8"/>
      <c r="R24" s="8"/>
      <c r="S24" s="8"/>
    </row>
    <row r="25">
      <c r="A25" s="88">
        <v>9.99596432113E12</v>
      </c>
      <c r="B25" s="103"/>
      <c r="C25" s="121" t="str">
        <f t="array" ref="C25">ifs(and(isblank($A25),isblank($B25)),"", not(iserror(vlookup($A25&amp;$B25,'3) Release_Label'!$D:$D&amp;'3) Release_Label'!$E:$E,1,0))),vlookup($A25&amp;$B25,{'3) Release_Label'!$D:$D&amp;'3) Release_Label'!$E:$E,'3) Release_Label'!$F:$F},2,0), or(and(not(isblank($B25)),$B25=$B24,$A25&lt;&gt;$A24),and(not(isblank($A25)),$A25=$A24,$B25&lt;&gt;$B24)),"ID LISTS UNALIGNED",and($A25&lt;&gt;"",countif('3) Release_Label'!$D:$D,$A25)=0),"NO UPC MATCH in Release_Label",and($B25&lt;&gt;"",countif('3) Release_Label'!$E:$E,$B25)=0),"NO CATALOG ID MATCH in Release_Label",iserror(vlookup($A25&amp;$B25,'3) Release_Label'!$D:$D&amp;'3) Release_Label'!$E:$E,1,0)),"NO UPC-CATALOG ID pair MATCH in Release_Label" )</f>
        <v>Jind (From "Bambukat" Soundtrack)</v>
      </c>
      <c r="D25" s="121" t="str">
        <f t="array" ref="D25">ifs(and(isblank($A25),isblank($B25)),"", not(iserror(vlookup($A25&amp;$B25,'3) Release_Label'!$D:$D&amp;'3) Release_Label'!$E:$E,1,0))),vlookup($A25&amp;$B25,{'3) Release_Label'!$D:$D&amp;'3) Release_Label'!$E:$E,'3) Release_Label'!$H:$H},2,0), or(and(not(isblank($B25)),$B25=$B24,$A25&lt;&gt;$A24),and(not(isblank($A25)),$A25=$A24,$B25&lt;&gt;$B24)),"ID LISTS UNALIGNED",and($A25&lt;&gt;"",countif('3) Release_Label'!$D:$D,$A25)=0),"NO UPC MATCH in Release_Label",and($B25&lt;&gt;"",countif('3) Release_Label'!$E:$E,$B25)=0),"NO CATALOG ID MATCH in Release_Label",iserror(vlookup($A25&amp;$B25,'3) Release_Label'!$D:$D&amp;'3) Release_Label'!$E:$E,1,0)),"NO UPC-CATALOG ID pair MATCH in Release_Label" )</f>
        <v/>
      </c>
      <c r="E25" s="141">
        <f t="shared" si="1"/>
        <v>1</v>
      </c>
      <c r="F25" s="51" t="s">
        <v>403</v>
      </c>
      <c r="G25" s="103"/>
      <c r="H25" s="51" t="s">
        <v>201</v>
      </c>
      <c r="J25" s="8" t="s">
        <v>173</v>
      </c>
      <c r="K25" s="142" t="s">
        <v>355</v>
      </c>
      <c r="L25" s="8" t="s">
        <v>356</v>
      </c>
      <c r="M25" s="45" t="s">
        <v>404</v>
      </c>
      <c r="N25" s="8" t="s">
        <v>357</v>
      </c>
      <c r="O25" s="99"/>
      <c r="P25" s="34"/>
    </row>
    <row r="26">
      <c r="A26" s="88">
        <v>9.995964321208E12</v>
      </c>
      <c r="B26" s="103"/>
      <c r="C26" s="121" t="str">
        <f t="array" ref="C26">ifs(and(isblank($A26),isblank($B26)),"", not(iserror(vlookup($A26&amp;$B26,'3) Release_Label'!$D:$D&amp;'3) Release_Label'!$E:$E,1,0))),vlookup($A26&amp;$B26,{'3) Release_Label'!$D:$D&amp;'3) Release_Label'!$E:$E,'3) Release_Label'!$F:$F},2,0), or(and(not(isblank($B26)),$B26=#REF!,$A26&lt;&gt;#REF!),and(not(isblank($A26)),$A26=#REF!,$B26&lt;&gt;#REF!)),"ID LISTS UNALIGNED",and($A26&lt;&gt;"",countif('3) Release_Label'!$D:$D,$A26)=0),"NO UPC MATCH in Release_Label",and($B26&lt;&gt;"",countif('3) Release_Label'!$E:$E,$B26)=0),"NO CATALOG ID MATCH in Release_Label",iserror(vlookup($A26&amp;$B26,'3) Release_Label'!$D:$D&amp;'3) Release_Label'!$E:$E,1,0)),"NO UPC-CATALOG ID pair MATCH in Release_Label" )</f>
        <v>Kainthe Wala (From "Bambukat" Soundtrack)</v>
      </c>
      <c r="D26" s="121" t="str">
        <f t="array" ref="D26">ifs(and(isblank($A26),isblank($B26)),"", not(iserror(vlookup($A26&amp;$B26,'3) Release_Label'!$D:$D&amp;'3) Release_Label'!$E:$E,1,0))),vlookup($A26&amp;$B26,{'3) Release_Label'!$D:$D&amp;'3) Release_Label'!$E:$E,'3) Release_Label'!$H:$H},2,0), or(and(not(isblank($B26)),$B26=#REF!,$A26&lt;&gt;#REF!),and(not(isblank($A26)),$A26=#REF!,$B26&lt;&gt;#REF!)),"ID LISTS UNALIGNED",and($A26&lt;&gt;"",countif('3) Release_Label'!$D:$D,$A26)=0),"NO UPC MATCH in Release_Label",and($B26&lt;&gt;"",countif('3) Release_Label'!$E:$E,$B26)=0),"NO CATALOG ID MATCH in Release_Label",iserror(vlookup($A26&amp;$B26,'3) Release_Label'!$D:$D&amp;'3) Release_Label'!$E:$E,1,0)),"NO UPC-CATALOG ID pair MATCH in Release_Label" )</f>
        <v/>
      </c>
      <c r="E26" s="141">
        <f t="shared" si="1"/>
        <v>1</v>
      </c>
      <c r="F26" s="51" t="s">
        <v>405</v>
      </c>
      <c r="G26" s="103"/>
      <c r="H26" s="51" t="s">
        <v>203</v>
      </c>
      <c r="J26" s="8" t="s">
        <v>173</v>
      </c>
      <c r="K26" s="142" t="s">
        <v>355</v>
      </c>
      <c r="L26" s="8" t="s">
        <v>356</v>
      </c>
      <c r="M26" s="45" t="s">
        <v>406</v>
      </c>
      <c r="N26" s="8" t="s">
        <v>357</v>
      </c>
      <c r="O26" s="8"/>
      <c r="P26" s="47"/>
      <c r="Q26" s="8"/>
      <c r="R26" s="8"/>
      <c r="S26" s="8"/>
    </row>
    <row r="27">
      <c r="A27" s="88">
        <v>9.99596435716E12</v>
      </c>
      <c r="B27" s="103"/>
      <c r="C27" s="121" t="str">
        <f t="array" ref="C27">ifs(and(isblank($A27),isblank($B27)),"", not(iserror(vlookup($A27&amp;$B27,'3) Release_Label'!$D:$D&amp;'3) Release_Label'!$E:$E,1,0))),vlookup($A27&amp;$B27,{'3) Release_Label'!$D:$D&amp;'3) Release_Label'!$E:$E,'3) Release_Label'!$F:$F},2,0), or(and(not(isblank($B27)),$B27=$B26,$A27&lt;&gt;$A26),and(not(isblank($A27)),$A27=$A26,$B27&lt;&gt;$B26)),"ID LISTS UNALIGNED",and($A27&lt;&gt;"",countif('3) Release_Label'!$D:$D,$A27)=0),"NO UPC MATCH in Release_Label",and($B27&lt;&gt;"",countif('3) Release_Label'!$E:$E,$B27)=0),"NO CATALOG ID MATCH in Release_Label",iserror(vlookup($A27&amp;$B27,'3) Release_Label'!$D:$D&amp;'3) Release_Label'!$E:$E,1,0)),"NO UPC-CATALOG ID pair MATCH in Release_Label" )</f>
        <v>Kanda Kacheya Ne (From "Daana Paani" Soundtrack)</v>
      </c>
      <c r="D27" s="121" t="str">
        <f t="array" ref="D27">ifs(and(isblank($A27),isblank($B27)),"", not(iserror(vlookup($A27&amp;$B27,'3) Release_Label'!$D:$D&amp;'3) Release_Label'!$E:$E,1,0))),vlookup($A27&amp;$B27,{'3) Release_Label'!$D:$D&amp;'3) Release_Label'!$E:$E,'3) Release_Label'!$H:$H},2,0), or(and(not(isblank($B27)),$B27=$B26,$A27&lt;&gt;$A26),and(not(isblank($A27)),$A27=$A26,$B27&lt;&gt;$B26)),"ID LISTS UNALIGNED",and($A27&lt;&gt;"",countif('3) Release_Label'!$D:$D,$A27)=0),"NO UPC MATCH in Release_Label",and($B27&lt;&gt;"",countif('3) Release_Label'!$E:$E,$B27)=0),"NO CATALOG ID MATCH in Release_Label",iserror(vlookup($A27&amp;$B27,'3) Release_Label'!$D:$D&amp;'3) Release_Label'!$E:$E,1,0)),"NO UPC-CATALOG ID pair MATCH in Release_Label" )</f>
        <v/>
      </c>
      <c r="E27" s="141">
        <f t="shared" si="1"/>
        <v>1</v>
      </c>
      <c r="F27" s="51" t="s">
        <v>407</v>
      </c>
      <c r="G27" s="103"/>
      <c r="H27" s="51" t="s">
        <v>205</v>
      </c>
      <c r="J27" s="8" t="s">
        <v>173</v>
      </c>
      <c r="K27" s="142" t="s">
        <v>355</v>
      </c>
      <c r="L27" s="8" t="s">
        <v>356</v>
      </c>
      <c r="M27" s="45" t="s">
        <v>408</v>
      </c>
      <c r="N27" s="8" t="s">
        <v>357</v>
      </c>
      <c r="O27" s="8"/>
      <c r="P27" s="47"/>
      <c r="Q27" s="8"/>
      <c r="R27" s="8"/>
      <c r="S27" s="8"/>
    </row>
    <row r="28">
      <c r="A28" s="88">
        <v>9.995964356552E12</v>
      </c>
      <c r="B28" s="103"/>
      <c r="C28" s="121" t="str">
        <f t="array" ref="C28">ifs(and(isblank($A28),isblank($B28)),"", not(iserror(vlookup($A28&amp;$B28,'3) Release_Label'!$D:$D&amp;'3) Release_Label'!$E:$E,1,0))),vlookup($A28&amp;$B28,{'3) Release_Label'!$D:$D&amp;'3) Release_Label'!$E:$E,'3) Release_Label'!$F:$F},2,0), or(and(not(isblank($B28)),$B28=#REF!,$A28&lt;&gt;#REF!),and(not(isblank($A28)),$A28=#REF!,$B28&lt;&gt;#REF!)),"ID LISTS UNALIGNED",and($A28&lt;&gt;"",countif('3) Release_Label'!$D:$D,$A28)=0),"NO UPC MATCH in Release_Label",and($B28&lt;&gt;"",countif('3) Release_Label'!$E:$E,$B28)=0),"NO CATALOG ID MATCH in Release_Label",iserror(vlookup($A28&amp;$B28,'3) Release_Label'!$D:$D&amp;'3) Release_Label'!$E:$E,1,0)),"NO UPC-CATALOG ID pair MATCH in Release_Label" )</f>
        <v>Lakh Vaari (From "Golak Bugni Bank Te Batua" Soundtrack)</v>
      </c>
      <c r="D28" s="121" t="str">
        <f t="array" ref="D28">ifs(and(isblank($A28),isblank($B28)),"", not(iserror(vlookup($A28&amp;$B28,'3) Release_Label'!$D:$D&amp;'3) Release_Label'!$E:$E,1,0))),vlookup($A28&amp;$B28,{'3) Release_Label'!$D:$D&amp;'3) Release_Label'!$E:$E,'3) Release_Label'!$H:$H},2,0), or(and(not(isblank($B28)),$B28=#REF!,$A28&lt;&gt;#REF!),and(not(isblank($A28)),$A28=#REF!,$B28&lt;&gt;#REF!)),"ID LISTS UNALIGNED",and($A28&lt;&gt;"",countif('3) Release_Label'!$D:$D,$A28)=0),"NO UPC MATCH in Release_Label",and($B28&lt;&gt;"",countif('3) Release_Label'!$E:$E,$B28)=0),"NO CATALOG ID MATCH in Release_Label",iserror(vlookup($A28&amp;$B28,'3) Release_Label'!$D:$D&amp;'3) Release_Label'!$E:$E,1,0)),"NO UPC-CATALOG ID pair MATCH in Release_Label" )</f>
        <v/>
      </c>
      <c r="E28" s="141">
        <f t="shared" si="1"/>
        <v>1</v>
      </c>
      <c r="F28" s="51" t="s">
        <v>409</v>
      </c>
      <c r="G28" s="103"/>
      <c r="H28" s="51" t="s">
        <v>207</v>
      </c>
      <c r="J28" s="8" t="s">
        <v>173</v>
      </c>
      <c r="K28" s="142" t="s">
        <v>355</v>
      </c>
      <c r="L28" s="8" t="s">
        <v>356</v>
      </c>
      <c r="M28" s="45" t="s">
        <v>410</v>
      </c>
      <c r="N28" s="8" t="s">
        <v>357</v>
      </c>
      <c r="O28" s="8"/>
      <c r="P28" s="47"/>
      <c r="Q28" s="8"/>
      <c r="R28" s="8"/>
      <c r="S28" s="8"/>
    </row>
    <row r="29">
      <c r="A29" s="88">
        <v>9.995964321284E12</v>
      </c>
      <c r="B29" s="120"/>
      <c r="C29" s="121" t="str">
        <f t="array" ref="C29">ifs(and(isblank($A29),isblank($B29)),"", not(iserror(vlookup($A29&amp;$B29,'3) Release_Label'!$D:$D&amp;'3) Release_Label'!$E:$E,1,0))),vlookup($A29&amp;$B29,{'3) Release_Label'!$D:$D&amp;'3) Release_Label'!$E:$E,'3) Release_Label'!$F:$F},2,0), or(and(not(isblank($B29)),$B29=$B28,$A29&lt;&gt;$A28),and(not(isblank($A29)),$A29=$A28,$B29&lt;&gt;$B28)),"ID LISTS UNALIGNED",and($A29&lt;&gt;"",countif('3) Release_Label'!$D:$D,$A29)=0),"NO UPC MATCH in Release_Label",and($B29&lt;&gt;"",countif('3) Release_Label'!$E:$E,$B29)=0),"NO CATALOG ID MATCH in Release_Label",iserror(vlookup($A29&amp;$B29,'3) Release_Label'!$D:$D&amp;'3) Release_Label'!$E:$E,1,0)),"NO UPC-CATALOG ID pair MATCH in Release_Label" )</f>
        <v>Langhe Paani (From "Bambukat" Soundtrack)</v>
      </c>
      <c r="D29" s="121" t="str">
        <f t="array" ref="D29">ifs(and(isblank($A29),isblank($B29)),"", not(iserror(vlookup($A29&amp;$B29,'3) Release_Label'!$D:$D&amp;'3) Release_Label'!$E:$E,1,0))),vlookup($A29&amp;$B29,{'3) Release_Label'!$D:$D&amp;'3) Release_Label'!$E:$E,'3) Release_Label'!$H:$H},2,0), or(and(not(isblank($B29)),$B29=$B28,$A29&lt;&gt;$A28),and(not(isblank($A29)),$A29=$A28,$B29&lt;&gt;$B28)),"ID LISTS UNALIGNED",and($A29&lt;&gt;"",countif('3) Release_Label'!$D:$D,$A29)=0),"NO UPC MATCH in Release_Label",and($B29&lt;&gt;"",countif('3) Release_Label'!$E:$E,$B29)=0),"NO CATALOG ID MATCH in Release_Label",iserror(vlookup($A29&amp;$B29,'3) Release_Label'!$D:$D&amp;'3) Release_Label'!$E:$E,1,0)),"NO UPC-CATALOG ID pair MATCH in Release_Label" )</f>
        <v/>
      </c>
      <c r="E29" s="141">
        <f t="shared" si="1"/>
        <v>1</v>
      </c>
      <c r="F29" s="51" t="s">
        <v>411</v>
      </c>
      <c r="G29" s="120"/>
      <c r="H29" s="51" t="s">
        <v>209</v>
      </c>
      <c r="J29" s="8" t="s">
        <v>173</v>
      </c>
      <c r="K29" s="142" t="s">
        <v>355</v>
      </c>
      <c r="L29" s="8" t="s">
        <v>356</v>
      </c>
      <c r="M29" s="45" t="s">
        <v>412</v>
      </c>
      <c r="N29" s="8" t="s">
        <v>357</v>
      </c>
      <c r="O29" s="8"/>
      <c r="P29" s="47"/>
      <c r="Q29" s="8"/>
      <c r="R29" s="8"/>
      <c r="S29" s="8"/>
    </row>
    <row r="30">
      <c r="A30" s="88">
        <v>9.995964320096E12</v>
      </c>
      <c r="B30" s="103"/>
      <c r="C30" s="121" t="str">
        <f t="array" ref="C30">ifs(and(isblank($A30),isblank($B30)),"", not(iserror(vlookup($A30&amp;$B30,'3) Release_Label'!$D:$D&amp;'3) Release_Label'!$E:$E,1,0))),vlookup($A30&amp;$B30,{'3) Release_Label'!$D:$D&amp;'3) Release_Label'!$E:$E,'3) Release_Label'!$F:$F},2,0), or(and(not(isblank($B30)),$B30=$B29,$A30&lt;&gt;$A29),and(not(isblank($A30)),$A30=$A29,$B30&lt;&gt;$B29)),"ID LISTS UNALIGNED",and($A30&lt;&gt;"",countif('3) Release_Label'!$D:$D,$A30)=0),"NO UPC MATCH in Release_Label",and($B30&lt;&gt;"",countif('3) Release_Label'!$E:$E,$B30)=0),"NO CATALOG ID MATCH in Release_Label",iserror(vlookup($A30&amp;$B30,'3) Release_Label'!$D:$D&amp;'3) Release_Label'!$E:$E,1,0)),"NO UPC-CATALOG ID pair MATCH in Release_Label" )</f>
        <v>Love Punjab (Original Motion Picture Soundtrack)</v>
      </c>
      <c r="D30" s="121" t="str">
        <f t="array" ref="D30">ifs(and(isblank($A30),isblank($B30)),"", not(iserror(vlookup($A30&amp;$B30,'3) Release_Label'!$D:$D&amp;'3) Release_Label'!$E:$E,1,0))),vlookup($A30&amp;$B30,{'3) Release_Label'!$D:$D&amp;'3) Release_Label'!$E:$E,'3) Release_Label'!$H:$H},2,0), or(and(not(isblank($B30)),$B30=$B29,$A30&lt;&gt;$A29),and(not(isblank($A30)),$A30=$A29,$B30&lt;&gt;$B29)),"ID LISTS UNALIGNED",and($A30&lt;&gt;"",countif('3) Release_Label'!$D:$D,$A30)=0),"NO UPC MATCH in Release_Label",and($B30&lt;&gt;"",countif('3) Release_Label'!$E:$E,$B30)=0),"NO CATALOG ID MATCH in Release_Label",iserror(vlookup($A30&amp;$B30,'3) Release_Label'!$D:$D&amp;'3) Release_Label'!$E:$E,1,0)),"NO UPC-CATALOG ID pair MATCH in Release_Label" )</f>
        <v/>
      </c>
      <c r="E30" s="141">
        <f t="shared" si="1"/>
        <v>1</v>
      </c>
      <c r="F30" s="51" t="s">
        <v>413</v>
      </c>
      <c r="G30" s="103"/>
      <c r="H30" s="51" t="s">
        <v>414</v>
      </c>
      <c r="J30" s="8" t="s">
        <v>173</v>
      </c>
      <c r="K30" s="142" t="s">
        <v>355</v>
      </c>
      <c r="L30" s="8" t="s">
        <v>356</v>
      </c>
      <c r="M30" s="45" t="s">
        <v>415</v>
      </c>
      <c r="N30" s="8" t="s">
        <v>357</v>
      </c>
      <c r="O30" s="8"/>
      <c r="P30" s="47"/>
      <c r="Q30" s="8"/>
      <c r="R30" s="8"/>
      <c r="S30" s="8"/>
    </row>
    <row r="31">
      <c r="A31" s="88">
        <v>9.995964320096E12</v>
      </c>
      <c r="B31" s="103"/>
      <c r="C31" s="121" t="str">
        <f t="array" ref="C31">ifs(and(isblank($A31),isblank($B31)),"", not(iserror(vlookup($A31&amp;$B31,'3) Release_Label'!$D:$D&amp;'3) Release_Label'!$E:$E,1,0))),vlookup($A31&amp;$B31,{'3) Release_Label'!$D:$D&amp;'3) Release_Label'!$E:$E,'3) Release_Label'!$F:$F},2,0), or(and(not(isblank($B31)),$B31=$B30,$A31&lt;&gt;$A30),and(not(isblank($A31)),$A31=$A30,$B31&lt;&gt;$B30)),"ID LISTS UNALIGNED",and($A31&lt;&gt;"",countif('3) Release_Label'!$D:$D,$A31)=0),"NO UPC MATCH in Release_Label",and($B31&lt;&gt;"",countif('3) Release_Label'!$E:$E,$B31)=0),"NO CATALOG ID MATCH in Release_Label",iserror(vlookup($A31&amp;$B31,'3) Release_Label'!$D:$D&amp;'3) Release_Label'!$E:$E,1,0)),"NO UPC-CATALOG ID pair MATCH in Release_Label" )</f>
        <v>Love Punjab (Original Motion Picture Soundtrack)</v>
      </c>
      <c r="D31" s="121" t="str">
        <f t="array" ref="D31">ifs(and(isblank($A31),isblank($B31)),"", not(iserror(vlookup($A31&amp;$B31,'3) Release_Label'!$D:$D&amp;'3) Release_Label'!$E:$E,1,0))),vlookup($A31&amp;$B31,{'3) Release_Label'!$D:$D&amp;'3) Release_Label'!$E:$E,'3) Release_Label'!$H:$H},2,0), or(and(not(isblank($B31)),$B31=$B30,$A31&lt;&gt;$A30),and(not(isblank($A31)),$A31=$A30,$B31&lt;&gt;$B30)),"ID LISTS UNALIGNED",and($A31&lt;&gt;"",countif('3) Release_Label'!$D:$D,$A31)=0),"NO UPC MATCH in Release_Label",and($B31&lt;&gt;"",countif('3) Release_Label'!$E:$E,$B31)=0),"NO CATALOG ID MATCH in Release_Label",iserror(vlookup($A31&amp;$B31,'3) Release_Label'!$D:$D&amp;'3) Release_Label'!$E:$E,1,0)),"NO UPC-CATALOG ID pair MATCH in Release_Label" )</f>
        <v/>
      </c>
      <c r="E31" s="141">
        <f t="shared" si="1"/>
        <v>2</v>
      </c>
      <c r="F31" s="51" t="s">
        <v>416</v>
      </c>
      <c r="G31" s="103"/>
      <c r="H31" s="51" t="s">
        <v>417</v>
      </c>
      <c r="J31" s="8" t="s">
        <v>173</v>
      </c>
      <c r="K31" s="142" t="s">
        <v>355</v>
      </c>
      <c r="L31" s="8" t="s">
        <v>356</v>
      </c>
      <c r="M31" s="45" t="s">
        <v>418</v>
      </c>
      <c r="N31" s="8" t="s">
        <v>357</v>
      </c>
      <c r="O31" s="8"/>
      <c r="P31" s="47"/>
      <c r="Q31" s="8"/>
      <c r="R31" s="8"/>
      <c r="S31" s="8"/>
    </row>
    <row r="32">
      <c r="A32" s="88">
        <v>9.995964320096E12</v>
      </c>
      <c r="B32" s="103"/>
      <c r="C32" s="121" t="str">
        <f t="array" ref="C32">ifs(and(isblank($A32),isblank($B32)),"", not(iserror(vlookup($A32&amp;$B32,'3) Release_Label'!$D:$D&amp;'3) Release_Label'!$E:$E,1,0))),vlookup($A32&amp;$B32,{'3) Release_Label'!$D:$D&amp;'3) Release_Label'!$E:$E,'3) Release_Label'!$F:$F},2,0), or(and(not(isblank($B32)),$B32=$B31,$A32&lt;&gt;$A31),and(not(isblank($A32)),$A32=$A31,$B32&lt;&gt;$B31)),"ID LISTS UNALIGNED",and($A32&lt;&gt;"",countif('3) Release_Label'!$D:$D,$A32)=0),"NO UPC MATCH in Release_Label",and($B32&lt;&gt;"",countif('3) Release_Label'!$E:$E,$B32)=0),"NO CATALOG ID MATCH in Release_Label",iserror(vlookup($A32&amp;$B32,'3) Release_Label'!$D:$D&amp;'3) Release_Label'!$E:$E,1,0)),"NO UPC-CATALOG ID pair MATCH in Release_Label" )</f>
        <v>Love Punjab (Original Motion Picture Soundtrack)</v>
      </c>
      <c r="D32" s="121" t="str">
        <f t="array" ref="D32">ifs(and(isblank($A32),isblank($B32)),"", not(iserror(vlookup($A32&amp;$B32,'3) Release_Label'!$D:$D&amp;'3) Release_Label'!$E:$E,1,0))),vlookup($A32&amp;$B32,{'3) Release_Label'!$D:$D&amp;'3) Release_Label'!$E:$E,'3) Release_Label'!$H:$H},2,0), or(and(not(isblank($B32)),$B32=$B31,$A32&lt;&gt;$A31),and(not(isblank($A32)),$A32=$A31,$B32&lt;&gt;$B31)),"ID LISTS UNALIGNED",and($A32&lt;&gt;"",countif('3) Release_Label'!$D:$D,$A32)=0),"NO UPC MATCH in Release_Label",and($B32&lt;&gt;"",countif('3) Release_Label'!$E:$E,$B32)=0),"NO CATALOG ID MATCH in Release_Label",iserror(vlookup($A32&amp;$B32,'3) Release_Label'!$D:$D&amp;'3) Release_Label'!$E:$E,1,0)),"NO UPC-CATALOG ID pair MATCH in Release_Label" )</f>
        <v/>
      </c>
      <c r="E32" s="141">
        <f t="shared" si="1"/>
        <v>3</v>
      </c>
      <c r="F32" s="51" t="s">
        <v>419</v>
      </c>
      <c r="G32" s="103"/>
      <c r="H32" s="51" t="s">
        <v>420</v>
      </c>
      <c r="J32" s="8" t="s">
        <v>173</v>
      </c>
      <c r="K32" s="142" t="s">
        <v>355</v>
      </c>
      <c r="L32" s="8" t="s">
        <v>356</v>
      </c>
      <c r="M32" s="45" t="s">
        <v>421</v>
      </c>
      <c r="N32" s="8" t="s">
        <v>357</v>
      </c>
      <c r="O32" s="8"/>
      <c r="P32" s="47"/>
      <c r="Q32" s="8"/>
      <c r="R32" s="8"/>
      <c r="S32" s="8"/>
    </row>
    <row r="33">
      <c r="A33" s="88">
        <v>9.995964320096E12</v>
      </c>
      <c r="B33" s="103"/>
      <c r="C33" s="121" t="str">
        <f t="array" ref="C33">ifs(and(isblank($A33),isblank($B33)),"", not(iserror(vlookup($A33&amp;$B33,'3) Release_Label'!$D:$D&amp;'3) Release_Label'!$E:$E,1,0))),vlookup($A33&amp;$B33,{'3) Release_Label'!$D:$D&amp;'3) Release_Label'!$E:$E,'3) Release_Label'!$F:$F},2,0), or(and(not(isblank($B33)),$B33=$B32,$A33&lt;&gt;$A32),and(not(isblank($A33)),$A33=$A32,$B33&lt;&gt;$B32)),"ID LISTS UNALIGNED",and($A33&lt;&gt;"",countif('3) Release_Label'!$D:$D,$A33)=0),"NO UPC MATCH in Release_Label",and($B33&lt;&gt;"",countif('3) Release_Label'!$E:$E,$B33)=0),"NO CATALOG ID MATCH in Release_Label",iserror(vlookup($A33&amp;$B33,'3) Release_Label'!$D:$D&amp;'3) Release_Label'!$E:$E,1,0)),"NO UPC-CATALOG ID pair MATCH in Release_Label" )</f>
        <v>Love Punjab (Original Motion Picture Soundtrack)</v>
      </c>
      <c r="D33" s="121" t="str">
        <f t="array" ref="D33">ifs(and(isblank($A33),isblank($B33)),"", not(iserror(vlookup($A33&amp;$B33,'3) Release_Label'!$D:$D&amp;'3) Release_Label'!$E:$E,1,0))),vlookup($A33&amp;$B33,{'3) Release_Label'!$D:$D&amp;'3) Release_Label'!$E:$E,'3) Release_Label'!$H:$H},2,0), or(and(not(isblank($B33)),$B33=$B32,$A33&lt;&gt;$A32),and(not(isblank($A33)),$A33=$A32,$B33&lt;&gt;$B32)),"ID LISTS UNALIGNED",and($A33&lt;&gt;"",countif('3) Release_Label'!$D:$D,$A33)=0),"NO UPC MATCH in Release_Label",and($B33&lt;&gt;"",countif('3) Release_Label'!$E:$E,$B33)=0),"NO CATALOG ID MATCH in Release_Label",iserror(vlookup($A33&amp;$B33,'3) Release_Label'!$D:$D&amp;'3) Release_Label'!$E:$E,1,0)),"NO UPC-CATALOG ID pair MATCH in Release_Label" )</f>
        <v/>
      </c>
      <c r="E33" s="141">
        <f t="shared" si="1"/>
        <v>4</v>
      </c>
      <c r="F33" s="51" t="s">
        <v>422</v>
      </c>
      <c r="G33" s="103"/>
      <c r="H33" s="51" t="s">
        <v>423</v>
      </c>
      <c r="J33" s="8" t="s">
        <v>173</v>
      </c>
      <c r="K33" s="142" t="s">
        <v>355</v>
      </c>
      <c r="L33" s="8" t="s">
        <v>356</v>
      </c>
      <c r="M33" s="45" t="s">
        <v>424</v>
      </c>
      <c r="N33" s="8" t="s">
        <v>357</v>
      </c>
      <c r="O33" s="99"/>
      <c r="P33" s="34"/>
    </row>
    <row r="34">
      <c r="A34" s="88">
        <v>9.995964320096E12</v>
      </c>
      <c r="B34" s="103"/>
      <c r="C34" s="121" t="str">
        <f t="array" ref="C34">ifs(and(isblank($A34),isblank($B34)),"", not(iserror(vlookup($A34&amp;$B34,'3) Release_Label'!$D:$D&amp;'3) Release_Label'!$E:$E,1,0))),vlookup($A34&amp;$B34,{'3) Release_Label'!$D:$D&amp;'3) Release_Label'!$E:$E,'3) Release_Label'!$F:$F},2,0), or(and(not(isblank($B34)),$B34=$B33,$A34&lt;&gt;$A33),and(not(isblank($A34)),$A34=$A33,$B34&lt;&gt;$B33)),"ID LISTS UNALIGNED",and($A34&lt;&gt;"",countif('3) Release_Label'!$D:$D,$A34)=0),"NO UPC MATCH in Release_Label",and($B34&lt;&gt;"",countif('3) Release_Label'!$E:$E,$B34)=0),"NO CATALOG ID MATCH in Release_Label",iserror(vlookup($A34&amp;$B34,'3) Release_Label'!$D:$D&amp;'3) Release_Label'!$E:$E,1,0)),"NO UPC-CATALOG ID pair MATCH in Release_Label" )</f>
        <v>Love Punjab (Original Motion Picture Soundtrack)</v>
      </c>
      <c r="D34" s="121" t="str">
        <f t="array" ref="D34">ifs(and(isblank($A34),isblank($B34)),"", not(iserror(vlookup($A34&amp;$B34,'3) Release_Label'!$D:$D&amp;'3) Release_Label'!$E:$E,1,0))),vlookup($A34&amp;$B34,{'3) Release_Label'!$D:$D&amp;'3) Release_Label'!$E:$E,'3) Release_Label'!$H:$H},2,0), or(and(not(isblank($B34)),$B34=$B33,$A34&lt;&gt;$A33),and(not(isblank($A34)),$A34=$A33,$B34&lt;&gt;$B33)),"ID LISTS UNALIGNED",and($A34&lt;&gt;"",countif('3) Release_Label'!$D:$D,$A34)=0),"NO UPC MATCH in Release_Label",and($B34&lt;&gt;"",countif('3) Release_Label'!$E:$E,$B34)=0),"NO CATALOG ID MATCH in Release_Label",iserror(vlookup($A34&amp;$B34,'3) Release_Label'!$D:$D&amp;'3) Release_Label'!$E:$E,1,0)),"NO UPC-CATALOG ID pair MATCH in Release_Label" )</f>
        <v/>
      </c>
      <c r="E34" s="141">
        <f t="shared" si="1"/>
        <v>5</v>
      </c>
      <c r="F34" s="51" t="s">
        <v>425</v>
      </c>
      <c r="G34" s="103"/>
      <c r="H34" s="51" t="s">
        <v>426</v>
      </c>
      <c r="J34" s="8" t="s">
        <v>173</v>
      </c>
      <c r="K34" s="142" t="s">
        <v>355</v>
      </c>
      <c r="L34" s="8" t="s">
        <v>356</v>
      </c>
      <c r="M34" s="45" t="s">
        <v>427</v>
      </c>
      <c r="N34" s="8" t="s">
        <v>357</v>
      </c>
      <c r="O34" s="99"/>
      <c r="P34" s="34"/>
    </row>
    <row r="35">
      <c r="A35" s="88">
        <v>9.995964320096E12</v>
      </c>
      <c r="B35" s="103"/>
      <c r="C35" s="121" t="str">
        <f t="array" ref="C35">ifs(and(isblank($A35),isblank($B35)),"", not(iserror(vlookup($A35&amp;$B35,'3) Release_Label'!$D:$D&amp;'3) Release_Label'!$E:$E,1,0))),vlookup($A35&amp;$B35,{'3) Release_Label'!$D:$D&amp;'3) Release_Label'!$E:$E,'3) Release_Label'!$F:$F},2,0), or(and(not(isblank($B35)),$B35=$B34,$A35&lt;&gt;$A34),and(not(isblank($A35)),$A35=$A34,$B35&lt;&gt;$B34)),"ID LISTS UNALIGNED",and($A35&lt;&gt;"",countif('3) Release_Label'!$D:$D,$A35)=0),"NO UPC MATCH in Release_Label",and($B35&lt;&gt;"",countif('3) Release_Label'!$E:$E,$B35)=0),"NO CATALOG ID MATCH in Release_Label",iserror(vlookup($A35&amp;$B35,'3) Release_Label'!$D:$D&amp;'3) Release_Label'!$E:$E,1,0)),"NO UPC-CATALOG ID pair MATCH in Release_Label" )</f>
        <v>Love Punjab (Original Motion Picture Soundtrack)</v>
      </c>
      <c r="D35" s="121" t="str">
        <f t="array" ref="D35">ifs(and(isblank($A35),isblank($B35)),"", not(iserror(vlookup($A35&amp;$B35,'3) Release_Label'!$D:$D&amp;'3) Release_Label'!$E:$E,1,0))),vlookup($A35&amp;$B35,{'3) Release_Label'!$D:$D&amp;'3) Release_Label'!$E:$E,'3) Release_Label'!$H:$H},2,0), or(and(not(isblank($B35)),$B35=$B34,$A35&lt;&gt;$A34),and(not(isblank($A35)),$A35=$A34,$B35&lt;&gt;$B34)),"ID LISTS UNALIGNED",and($A35&lt;&gt;"",countif('3) Release_Label'!$D:$D,$A35)=0),"NO UPC MATCH in Release_Label",and($B35&lt;&gt;"",countif('3) Release_Label'!$E:$E,$B35)=0),"NO CATALOG ID MATCH in Release_Label",iserror(vlookup($A35&amp;$B35,'3) Release_Label'!$D:$D&amp;'3) Release_Label'!$E:$E,1,0)),"NO UPC-CATALOG ID pair MATCH in Release_Label" )</f>
        <v/>
      </c>
      <c r="E35" s="141">
        <f t="shared" si="1"/>
        <v>6</v>
      </c>
      <c r="F35" s="51" t="s">
        <v>428</v>
      </c>
      <c r="G35" s="103"/>
      <c r="H35" s="51" t="s">
        <v>429</v>
      </c>
      <c r="J35" s="8" t="s">
        <v>173</v>
      </c>
      <c r="K35" s="142" t="s">
        <v>355</v>
      </c>
      <c r="L35" s="8" t="s">
        <v>356</v>
      </c>
      <c r="M35" s="45" t="s">
        <v>430</v>
      </c>
      <c r="N35" s="8" t="s">
        <v>357</v>
      </c>
      <c r="O35" s="99"/>
      <c r="P35" s="34"/>
    </row>
    <row r="36">
      <c r="A36" s="88">
        <v>9.995964320096E12</v>
      </c>
      <c r="B36" s="103"/>
      <c r="C36" s="121" t="str">
        <f t="array" ref="C36">ifs(and(isblank($A36),isblank($B36)),"", not(iserror(vlookup($A36&amp;$B36,'3) Release_Label'!$D:$D&amp;'3) Release_Label'!$E:$E,1,0))),vlookup($A36&amp;$B36,{'3) Release_Label'!$D:$D&amp;'3) Release_Label'!$E:$E,'3) Release_Label'!$F:$F},2,0), or(and(not(isblank($B36)),$B36=$B35,$A36&lt;&gt;$A35),and(not(isblank($A36)),$A36=$A35,$B36&lt;&gt;$B35)),"ID LISTS UNALIGNED",and($A36&lt;&gt;"",countif('3) Release_Label'!$D:$D,$A36)=0),"NO UPC MATCH in Release_Label",and($B36&lt;&gt;"",countif('3) Release_Label'!$E:$E,$B36)=0),"NO CATALOG ID MATCH in Release_Label",iserror(vlookup($A36&amp;$B36,'3) Release_Label'!$D:$D&amp;'3) Release_Label'!$E:$E,1,0)),"NO UPC-CATALOG ID pair MATCH in Release_Label" )</f>
        <v>Love Punjab (Original Motion Picture Soundtrack)</v>
      </c>
      <c r="D36" s="121" t="str">
        <f t="array" ref="D36">ifs(and(isblank($A36),isblank($B36)),"", not(iserror(vlookup($A36&amp;$B36,'3) Release_Label'!$D:$D&amp;'3) Release_Label'!$E:$E,1,0))),vlookup($A36&amp;$B36,{'3) Release_Label'!$D:$D&amp;'3) Release_Label'!$E:$E,'3) Release_Label'!$H:$H},2,0), or(and(not(isblank($B36)),$B36=$B35,$A36&lt;&gt;$A35),and(not(isblank($A36)),$A36=$A35,$B36&lt;&gt;$B35)),"ID LISTS UNALIGNED",and($A36&lt;&gt;"",countif('3) Release_Label'!$D:$D,$A36)=0),"NO UPC MATCH in Release_Label",and($B36&lt;&gt;"",countif('3) Release_Label'!$E:$E,$B36)=0),"NO CATALOG ID MATCH in Release_Label",iserror(vlookup($A36&amp;$B36,'3) Release_Label'!$D:$D&amp;'3) Release_Label'!$E:$E,1,0)),"NO UPC-CATALOG ID pair MATCH in Release_Label" )</f>
        <v/>
      </c>
      <c r="E36" s="141">
        <f t="shared" si="1"/>
        <v>7</v>
      </c>
      <c r="F36" s="51" t="s">
        <v>431</v>
      </c>
      <c r="G36" s="103"/>
      <c r="H36" s="51" t="s">
        <v>432</v>
      </c>
      <c r="J36" s="8" t="s">
        <v>173</v>
      </c>
      <c r="K36" s="142" t="s">
        <v>355</v>
      </c>
      <c r="L36" s="8" t="s">
        <v>356</v>
      </c>
      <c r="M36" s="45" t="s">
        <v>433</v>
      </c>
      <c r="N36" s="8" t="s">
        <v>357</v>
      </c>
      <c r="O36" s="99"/>
      <c r="P36" s="34"/>
    </row>
    <row r="37">
      <c r="A37" s="88">
        <v>9.995964356712E12</v>
      </c>
      <c r="B37" s="103"/>
      <c r="C37" s="121" t="str">
        <f t="array" ref="C37">ifs(and(isblank($A37),isblank($B37)),"", not(iserror(vlookup($A37&amp;$B37,'3) Release_Label'!$D:$D&amp;'3) Release_Label'!$E:$E,1,0))),vlookup($A37&amp;$B37,{'3) Release_Label'!$D:$D&amp;'3) Release_Label'!$E:$E,'3) Release_Label'!$F:$F},2,0), or(and(not(isblank($B37)),$B37=$B36,$A37&lt;&gt;$A36),and(not(isblank($A37)),$A37=$A36,$B37&lt;&gt;$B36)),"ID LISTS UNALIGNED",and($A37&lt;&gt;"",countif('3) Release_Label'!$D:$D,$A37)=0),"NO UPC MATCH in Release_Label",and($B37&lt;&gt;"",countif('3) Release_Label'!$E:$E,$B37)=0),"NO CATALOG ID MATCH in Release_Label",iserror(vlookup($A37&amp;$B37,'3) Release_Label'!$D:$D&amp;'3) Release_Label'!$E:$E,1,0)),"NO UPC-CATALOG ID pair MATCH in Release_Label" )</f>
        <v>Maavan (From "Daana Paani" Soundtrack)</v>
      </c>
      <c r="D37" s="121" t="str">
        <f t="array" ref="D37">ifs(and(isblank($A37),isblank($B37)),"", not(iserror(vlookup($A37&amp;$B37,'3) Release_Label'!$D:$D&amp;'3) Release_Label'!$E:$E,1,0))),vlookup($A37&amp;$B37,{'3) Release_Label'!$D:$D&amp;'3) Release_Label'!$E:$E,'3) Release_Label'!$H:$H},2,0), or(and(not(isblank($B37)),$B37=$B36,$A37&lt;&gt;$A36),and(not(isblank($A37)),$A37=$A36,$B37&lt;&gt;$B36)),"ID LISTS UNALIGNED",and($A37&lt;&gt;"",countif('3) Release_Label'!$D:$D,$A37)=0),"NO UPC MATCH in Release_Label",and($B37&lt;&gt;"",countif('3) Release_Label'!$E:$E,$B37)=0),"NO CATALOG ID MATCH in Release_Label",iserror(vlookup($A37&amp;$B37,'3) Release_Label'!$D:$D&amp;'3) Release_Label'!$E:$E,1,0)),"NO UPC-CATALOG ID pair MATCH in Release_Label" )</f>
        <v/>
      </c>
      <c r="E37" s="141">
        <f t="shared" si="1"/>
        <v>1</v>
      </c>
      <c r="F37" s="51" t="s">
        <v>434</v>
      </c>
      <c r="G37" s="103"/>
      <c r="H37" s="51" t="s">
        <v>213</v>
      </c>
      <c r="J37" s="8" t="s">
        <v>173</v>
      </c>
      <c r="K37" s="142" t="s">
        <v>355</v>
      </c>
      <c r="L37" s="8" t="s">
        <v>356</v>
      </c>
      <c r="M37" s="45" t="s">
        <v>435</v>
      </c>
      <c r="N37" s="8" t="s">
        <v>357</v>
      </c>
      <c r="O37" s="99"/>
      <c r="P37" s="34"/>
    </row>
    <row r="38">
      <c r="A38" s="88">
        <v>9.995964332129E12</v>
      </c>
      <c r="B38" s="103"/>
      <c r="C38" s="121" t="str">
        <f t="array" ref="C38">ifs(and(isblank($A38),isblank($B38)),"", not(iserror(vlookup($A38&amp;$B38,'3) Release_Label'!$D:$D&amp;'3) Release_Label'!$E:$E,1,0))),vlookup($A38&amp;$B38,{'3) Release_Label'!$D:$D&amp;'3) Release_Label'!$E:$E,'3) Release_Label'!$F:$F},2,0), or(and(not(isblank($B38)),$B38=$B37,$A38&lt;&gt;$A37),and(not(isblank($A38)),$A38=$A37,$B38&lt;&gt;$B37)),"ID LISTS UNALIGNED",and($A38&lt;&gt;"",countif('3) Release_Label'!$D:$D,$A38)=0),"NO UPC MATCH in Release_Label",and($B38&lt;&gt;"",countif('3) Release_Label'!$E:$E,$B38)=0),"NO CATALOG ID MATCH in Release_Label",iserror(vlookup($A38&amp;$B38,'3) Release_Label'!$D:$D&amp;'3) Release_Label'!$E:$E,1,0)),"NO UPC-CATALOG ID pair MATCH in Release_Label" )</f>
        <v>Manak Di Kali (From "Bhalwan Singh" Soundtrack) [with Jatinder Shah]</v>
      </c>
      <c r="D38" s="121" t="str">
        <f t="array" ref="D38">ifs(and(isblank($A38),isblank($B38)),"", not(iserror(vlookup($A38&amp;$B38,'3) Release_Label'!$D:$D&amp;'3) Release_Label'!$E:$E,1,0))),vlookup($A38&amp;$B38,{'3) Release_Label'!$D:$D&amp;'3) Release_Label'!$E:$E,'3) Release_Label'!$H:$H},2,0), or(and(not(isblank($B38)),$B38=$B37,$A38&lt;&gt;$A37),and(not(isblank($A38)),$A38=$A37,$B38&lt;&gt;$B37)),"ID LISTS UNALIGNED",and($A38&lt;&gt;"",countif('3) Release_Label'!$D:$D,$A38)=0),"NO UPC MATCH in Release_Label",and($B38&lt;&gt;"",countif('3) Release_Label'!$E:$E,$B38)=0),"NO CATALOG ID MATCH in Release_Label",iserror(vlookup($A38&amp;$B38,'3) Release_Label'!$D:$D&amp;'3) Release_Label'!$E:$E,1,0)),"NO UPC-CATALOG ID pair MATCH in Release_Label" )</f>
        <v/>
      </c>
      <c r="E38" s="141">
        <f t="shared" si="1"/>
        <v>1</v>
      </c>
      <c r="F38" s="51" t="s">
        <v>436</v>
      </c>
      <c r="G38" s="103"/>
      <c r="H38" s="51" t="s">
        <v>215</v>
      </c>
      <c r="J38" s="8" t="s">
        <v>173</v>
      </c>
      <c r="K38" s="142" t="s">
        <v>355</v>
      </c>
      <c r="L38" s="8" t="s">
        <v>356</v>
      </c>
      <c r="M38" s="45" t="s">
        <v>437</v>
      </c>
      <c r="N38" s="8" t="s">
        <v>357</v>
      </c>
      <c r="O38" s="99"/>
      <c r="P38" s="34"/>
    </row>
    <row r="39">
      <c r="A39" s="88">
        <v>9.995964320355E12</v>
      </c>
      <c r="B39" s="103"/>
      <c r="C39" s="121" t="str">
        <f t="array" ref="C39">ifs(and(isblank($A39),isblank($B39)),"", not(iserror(vlookup($A39&amp;$B39,'3) Release_Label'!$D:$D&amp;'3) Release_Label'!$E:$E,1,0))),vlookup($A39&amp;$B39,{'3) Release_Label'!$D:$D&amp;'3) Release_Label'!$E:$E,'3) Release_Label'!$F:$F},2,0), or(and(not(isblank($B39)),$B39=$B38,$A39&lt;&gt;$A38),and(not(isblank($A39)),$A39=$A38,$B39&lt;&gt;$B38)),"ID LISTS UNALIGNED",and($A39&lt;&gt;"",countif('3) Release_Label'!$D:$D,$A39)=0),"NO UPC MATCH in Release_Label",and($B39&lt;&gt;"",countif('3) Release_Label'!$E:$E,$B39)=0),"NO CATALOG ID MATCH in Release_Label",iserror(vlookup($A39&amp;$B39,'3) Release_Label'!$D:$D&amp;'3) Release_Label'!$E:$E,1,0)),"NO UPC-CATALOG ID pair MATCH in Release_Label" )</f>
        <v>Milne Di Rutt</v>
      </c>
      <c r="D39" s="121" t="str">
        <f t="array" ref="D39">ifs(and(isblank($A39),isblank($B39)),"", not(iserror(vlookup($A39&amp;$B39,'3) Release_Label'!$D:$D&amp;'3) Release_Label'!$E:$E,1,0))),vlookup($A39&amp;$B39,{'3) Release_Label'!$D:$D&amp;'3) Release_Label'!$E:$E,'3) Release_Label'!$H:$H},2,0), or(and(not(isblank($B39)),$B39=$B38,$A39&lt;&gt;$A38),and(not(isblank($A39)),$A39=$A38,$B39&lt;&gt;$B38)),"ID LISTS UNALIGNED",and($A39&lt;&gt;"",countif('3) Release_Label'!$D:$D,$A39)=0),"NO UPC MATCH in Release_Label",and($B39&lt;&gt;"",countif('3) Release_Label'!$E:$E,$B39)=0),"NO CATALOG ID MATCH in Release_Label",iserror(vlookup($A39&amp;$B39,'3) Release_Label'!$D:$D&amp;'3) Release_Label'!$E:$E,1,0)),"NO UPC-CATALOG ID pair MATCH in Release_Label" )</f>
        <v/>
      </c>
      <c r="E39" s="141">
        <f t="shared" si="1"/>
        <v>1</v>
      </c>
      <c r="F39" s="51" t="s">
        <v>438</v>
      </c>
      <c r="G39" s="103"/>
      <c r="H39" s="51" t="s">
        <v>217</v>
      </c>
      <c r="J39" s="8" t="s">
        <v>173</v>
      </c>
      <c r="K39" s="142" t="s">
        <v>355</v>
      </c>
      <c r="L39" s="8" t="s">
        <v>356</v>
      </c>
      <c r="M39" s="45" t="s">
        <v>439</v>
      </c>
      <c r="N39" s="8" t="s">
        <v>357</v>
      </c>
      <c r="O39" s="99"/>
      <c r="P39" s="34"/>
    </row>
    <row r="40">
      <c r="A40" s="88">
        <v>9.99596433132E12</v>
      </c>
      <c r="B40" s="103"/>
      <c r="C40" s="121" t="str">
        <f t="array" ref="C40">ifs(and(isblank($A40),isblank($B40)),"", not(iserror(vlookup($A40&amp;$B40,'3) Release_Label'!$D:$D&amp;'3) Release_Label'!$E:$E,1,0))),vlookup($A40&amp;$B40,{'3) Release_Label'!$D:$D&amp;'3) Release_Label'!$E:$E,'3) Release_Label'!$F:$F},2,0), or(and(not(isblank($B40)),$B40=$B39,$A40&lt;&gt;$A39),and(not(isblank($A40)),$A40=$A39,$B40&lt;&gt;$B39)),"ID LISTS UNALIGNED",and($A40&lt;&gt;"",countif('3) Release_Label'!$D:$D,$A40)=0),"NO UPC MATCH in Release_Label",and($B40&lt;&gt;"",countif('3) Release_Label'!$E:$E,$B40)=0),"NO CATALOG ID MATCH in Release_Label",iserror(vlookup($A40&amp;$B40,'3) Release_Label'!$D:$D&amp;'3) Release_Label'!$E:$E,1,0)),"NO UPC-CATALOG ID pair MATCH in Release_Label" )</f>
        <v>Noonh Labhni (From "Vekh Baraatan Challiyan" Soundtrack)</v>
      </c>
      <c r="D40" s="121" t="str">
        <f t="array" ref="D40">ifs(and(isblank($A40),isblank($B40)),"", not(iserror(vlookup($A40&amp;$B40,'3) Release_Label'!$D:$D&amp;'3) Release_Label'!$E:$E,1,0))),vlookup($A40&amp;$B40,{'3) Release_Label'!$D:$D&amp;'3) Release_Label'!$E:$E,'3) Release_Label'!$H:$H},2,0), or(and(not(isblank($B40)),$B40=$B39,$A40&lt;&gt;$A39),and(not(isblank($A40)),$A40=$A39,$B40&lt;&gt;$B39)),"ID LISTS UNALIGNED",and($A40&lt;&gt;"",countif('3) Release_Label'!$D:$D,$A40)=0),"NO UPC MATCH in Release_Label",and($B40&lt;&gt;"",countif('3) Release_Label'!$E:$E,$B40)=0),"NO CATALOG ID MATCH in Release_Label",iserror(vlookup($A40&amp;$B40,'3) Release_Label'!$D:$D&amp;'3) Release_Label'!$E:$E,1,0)),"NO UPC-CATALOG ID pair MATCH in Release_Label" )</f>
        <v/>
      </c>
      <c r="E40" s="141">
        <f t="shared" si="1"/>
        <v>1</v>
      </c>
      <c r="F40" s="51" t="s">
        <v>440</v>
      </c>
      <c r="G40" s="103"/>
      <c r="H40" s="51" t="s">
        <v>219</v>
      </c>
      <c r="J40" s="8" t="s">
        <v>173</v>
      </c>
      <c r="K40" s="142" t="s">
        <v>355</v>
      </c>
      <c r="L40" s="8" t="s">
        <v>356</v>
      </c>
      <c r="M40" s="45" t="s">
        <v>441</v>
      </c>
      <c r="N40" s="8" t="s">
        <v>357</v>
      </c>
      <c r="O40" s="99"/>
      <c r="P40" s="34"/>
    </row>
    <row r="41">
      <c r="A41" s="88">
        <v>9.995964313159E12</v>
      </c>
      <c r="B41" s="103"/>
      <c r="C41" s="121" t="str">
        <f t="array" ref="C41">ifs(and(isblank($A41),isblank($B41)),"", not(iserror(vlookup($A41&amp;$B41,'3) Release_Label'!$D:$D&amp;'3) Release_Label'!$E:$E,1,0))),vlookup($A41&amp;$B41,{'3) Release_Label'!$D:$D&amp;'3) Release_Label'!$E:$E,'3) Release_Label'!$F:$F},2,0), or(and(not(isblank($B41)),$B41=$B40,$A41&lt;&gt;$A40),and(not(isblank($A41)),$A41=$A40,$B41&lt;&gt;$B40)),"ID LISTS UNALIGNED",and($A41&lt;&gt;"",countif('3) Release_Label'!$D:$D,$A41)=0),"NO UPC MATCH in Release_Label",and($B41&lt;&gt;"",countif('3) Release_Label'!$E:$E,$B41)=0),"NO CATALOG ID MATCH in Release_Label",iserror(vlookup($A41&amp;$B41,'3) Release_Label'!$D:$D&amp;'3) Release_Label'!$E:$E,1,0)),"NO UPC-CATALOG ID pair MATCH in Release_Label" )</f>
        <v>Paani</v>
      </c>
      <c r="D41" s="121" t="str">
        <f t="array" ref="D41">ifs(and(isblank($A41),isblank($B41)),"", not(iserror(vlookup($A41&amp;$B41,'3) Release_Label'!$D:$D&amp;'3) Release_Label'!$E:$E,1,0))),vlookup($A41&amp;$B41,{'3) Release_Label'!$D:$D&amp;'3) Release_Label'!$E:$E,'3) Release_Label'!$H:$H},2,0), or(and(not(isblank($B41)),$B41=$B40,$A41&lt;&gt;$A40),and(not(isblank($A41)),$A41=$A40,$B41&lt;&gt;$B40)),"ID LISTS UNALIGNED",and($A41&lt;&gt;"",countif('3) Release_Label'!$D:$D,$A41)=0),"NO UPC MATCH in Release_Label",and($B41&lt;&gt;"",countif('3) Release_Label'!$E:$E,$B41)=0),"NO CATALOG ID MATCH in Release_Label",iserror(vlookup($A41&amp;$B41,'3) Release_Label'!$D:$D&amp;'3) Release_Label'!$E:$E,1,0)),"NO UPC-CATALOG ID pair MATCH in Release_Label" )</f>
        <v/>
      </c>
      <c r="E41" s="141">
        <f t="shared" si="1"/>
        <v>1</v>
      </c>
      <c r="F41" s="51" t="s">
        <v>442</v>
      </c>
      <c r="G41" s="103"/>
      <c r="H41" s="51" t="s">
        <v>221</v>
      </c>
      <c r="J41" s="8" t="s">
        <v>173</v>
      </c>
      <c r="K41" s="142" t="s">
        <v>355</v>
      </c>
      <c r="L41" s="8" t="s">
        <v>356</v>
      </c>
      <c r="M41" s="45" t="s">
        <v>443</v>
      </c>
      <c r="N41" s="8" t="s">
        <v>357</v>
      </c>
      <c r="O41" s="99"/>
      <c r="P41" s="34"/>
    </row>
    <row r="42">
      <c r="A42" s="88">
        <v>9.99596433059E12</v>
      </c>
      <c r="B42" s="103"/>
      <c r="C42" s="121" t="str">
        <f t="array" ref="C42">ifs(and(isblank($A42),isblank($B42)),"", not(iserror(vlookup($A42&amp;$B42,'3) Release_Label'!$D:$D&amp;'3) Release_Label'!$E:$E,1,0))),vlookup($A42&amp;$B42,{'3) Release_Label'!$D:$D&amp;'3) Release_Label'!$E:$E,'3) Release_Label'!$F:$F},2,0), or(and(not(isblank($B42)),$B42=$B41,$A42&lt;&gt;$A41),and(not(isblank($A42)),$A42=$A41,$B42&lt;&gt;$B41)),"ID LISTS UNALIGNED",and($A42&lt;&gt;"",countif('3) Release_Label'!$D:$D,$A42)=0),"NO UPC MATCH in Release_Label",and($B42&lt;&gt;"",countif('3) Release_Label'!$E:$E,$B42)=0),"NO CATALOG ID MATCH in Release_Label",iserror(vlookup($A42&amp;$B42,'3) Release_Label'!$D:$D&amp;'3) Release_Label'!$E:$E,1,0)),"NO UPC-CATALOG ID pair MATCH in Release_Label" )</f>
        <v>Paani Raavi Da (From "Lahoriye" Soundtrack)</v>
      </c>
      <c r="D42" s="121" t="str">
        <f t="array" ref="D42">ifs(and(isblank($A42),isblank($B42)),"", not(iserror(vlookup($A42&amp;$B42,'3) Release_Label'!$D:$D&amp;'3) Release_Label'!$E:$E,1,0))),vlookup($A42&amp;$B42,{'3) Release_Label'!$D:$D&amp;'3) Release_Label'!$E:$E,'3) Release_Label'!$H:$H},2,0), or(and(not(isblank($B42)),$B42=$B41,$A42&lt;&gt;$A41),and(not(isblank($A42)),$A42=$A41,$B42&lt;&gt;$B41)),"ID LISTS UNALIGNED",and($A42&lt;&gt;"",countif('3) Release_Label'!$D:$D,$A42)=0),"NO UPC MATCH in Release_Label",and($B42&lt;&gt;"",countif('3) Release_Label'!$E:$E,$B42)=0),"NO CATALOG ID MATCH in Release_Label",iserror(vlookup($A42&amp;$B42,'3) Release_Label'!$D:$D&amp;'3) Release_Label'!$E:$E,1,0)),"NO UPC-CATALOG ID pair MATCH in Release_Label" )</f>
        <v/>
      </c>
      <c r="E42" s="141">
        <f t="shared" si="1"/>
        <v>1</v>
      </c>
      <c r="F42" s="51" t="s">
        <v>444</v>
      </c>
      <c r="G42" s="103"/>
      <c r="H42" s="51" t="s">
        <v>223</v>
      </c>
      <c r="J42" s="8" t="s">
        <v>173</v>
      </c>
      <c r="K42" s="142" t="s">
        <v>355</v>
      </c>
      <c r="L42" s="8" t="s">
        <v>356</v>
      </c>
      <c r="M42" s="45" t="s">
        <v>445</v>
      </c>
      <c r="N42" s="8" t="s">
        <v>357</v>
      </c>
      <c r="O42" s="99"/>
      <c r="P42" s="34"/>
    </row>
    <row r="43">
      <c r="A43" s="88">
        <v>9.995964356668E12</v>
      </c>
      <c r="B43" s="103"/>
      <c r="C43" s="121" t="str">
        <f t="array" ref="C43">ifs(and(isblank($A43),isblank($B43)),"", not(iserror(vlookup($A43&amp;$B43,'3) Release_Label'!$D:$D&amp;'3) Release_Label'!$E:$E,1,0))),vlookup($A43&amp;$B43,{'3) Release_Label'!$D:$D&amp;'3) Release_Label'!$E:$E,'3) Release_Label'!$F:$F},2,0), or(and(not(isblank($B43)),$B43=$B42,$A43&lt;&gt;$A42),and(not(isblank($A43)),$A43=$A42,$B43&lt;&gt;$B42)),"ID LISTS UNALIGNED",and($A43&lt;&gt;"",countif('3) Release_Label'!$D:$D,$A43)=0),"NO UPC MATCH in Release_Label",and($B43&lt;&gt;"",countif('3) Release_Label'!$E:$E,$B43)=0),"NO CATALOG ID MATCH in Release_Label",iserror(vlookup($A43&amp;$B43,'3) Release_Label'!$D:$D&amp;'3) Release_Label'!$E:$E,1,0)),"NO UPC-CATALOG ID pair MATCH in Release_Label" )</f>
        <v>Phullan Di Vel (From "Golak Bugni Bank Te Batua" Soundtrack)</v>
      </c>
      <c r="D43" s="121" t="str">
        <f t="array" ref="D43">ifs(and(isblank($A43),isblank($B43)),"", not(iserror(vlookup($A43&amp;$B43,'3) Release_Label'!$D:$D&amp;'3) Release_Label'!$E:$E,1,0))),vlookup($A43&amp;$B43,{'3) Release_Label'!$D:$D&amp;'3) Release_Label'!$E:$E,'3) Release_Label'!$H:$H},2,0), or(and(not(isblank($B43)),$B43=$B42,$A43&lt;&gt;$A42),and(not(isblank($A43)),$A43=$A42,$B43&lt;&gt;$B42)),"ID LISTS UNALIGNED",and($A43&lt;&gt;"",countif('3) Release_Label'!$D:$D,$A43)=0),"NO UPC MATCH in Release_Label",and($B43&lt;&gt;"",countif('3) Release_Label'!$E:$E,$B43)=0),"NO CATALOG ID MATCH in Release_Label",iserror(vlookup($A43&amp;$B43,'3) Release_Label'!$D:$D&amp;'3) Release_Label'!$E:$E,1,0)),"NO UPC-CATALOG ID pair MATCH in Release_Label" )</f>
        <v/>
      </c>
      <c r="E43" s="141">
        <f t="shared" si="1"/>
        <v>1</v>
      </c>
      <c r="F43" s="51" t="s">
        <v>446</v>
      </c>
      <c r="G43" s="103"/>
      <c r="H43" s="51" t="s">
        <v>225</v>
      </c>
      <c r="J43" s="8" t="s">
        <v>173</v>
      </c>
      <c r="K43" s="142" t="s">
        <v>355</v>
      </c>
      <c r="L43" s="8" t="s">
        <v>356</v>
      </c>
      <c r="M43" s="45" t="s">
        <v>447</v>
      </c>
      <c r="N43" s="8" t="s">
        <v>357</v>
      </c>
      <c r="O43" s="99"/>
      <c r="P43" s="34"/>
    </row>
    <row r="44">
      <c r="A44" s="88">
        <v>9.995964356774E12</v>
      </c>
      <c r="B44" s="103"/>
      <c r="C44" s="121" t="str">
        <f t="array" ref="C44">ifs(and(isblank($A44),isblank($B44)),"", not(iserror(vlookup($A44&amp;$B44,'3) Release_Label'!$D:$D&amp;'3) Release_Label'!$E:$E,1,0))),vlookup($A44&amp;$B44,{'3) Release_Label'!$D:$D&amp;'3) Release_Label'!$E:$E,'3) Release_Label'!$F:$F},2,0), or(and(not(isblank($B44)),$B44=$B43,$A44&lt;&gt;$A43),and(not(isblank($A44)),$A44=$A43,$B44&lt;&gt;$B43)),"ID LISTS UNALIGNED",and($A44&lt;&gt;"",countif('3) Release_Label'!$D:$D,$A44)=0),"NO UPC MATCH in Release_Label",and($B44&lt;&gt;"",countif('3) Release_Label'!$E:$E,$B44)=0),"NO CATALOG ID MATCH in Release_Label",iserror(vlookup($A44&amp;$B44,'3) Release_Label'!$D:$D&amp;'3) Release_Label'!$E:$E,1,0)),"NO UPC-CATALOG ID pair MATCH in Release_Label" )</f>
        <v>Rabb Khair Kare (From "Daana Paani" Soundtrack)</v>
      </c>
      <c r="D44" s="121" t="str">
        <f t="array" ref="D44">ifs(and(isblank($A44),isblank($B44)),"", not(iserror(vlookup($A44&amp;$B44,'3) Release_Label'!$D:$D&amp;'3) Release_Label'!$E:$E,1,0))),vlookup($A44&amp;$B44,{'3) Release_Label'!$D:$D&amp;'3) Release_Label'!$E:$E,'3) Release_Label'!$H:$H},2,0), or(and(not(isblank($B44)),$B44=$B43,$A44&lt;&gt;$A43),and(not(isblank($A44)),$A44=$A43,$B44&lt;&gt;$B43)),"ID LISTS UNALIGNED",and($A44&lt;&gt;"",countif('3) Release_Label'!$D:$D,$A44)=0),"NO UPC MATCH in Release_Label",and($B44&lt;&gt;"",countif('3) Release_Label'!$E:$E,$B44)=0),"NO CATALOG ID MATCH in Release_Label",iserror(vlookup($A44&amp;$B44,'3) Release_Label'!$D:$D&amp;'3) Release_Label'!$E:$E,1,0)),"NO UPC-CATALOG ID pair MATCH in Release_Label" )</f>
        <v/>
      </c>
      <c r="E44" s="141">
        <f t="shared" si="1"/>
        <v>1</v>
      </c>
      <c r="F44" s="51" t="s">
        <v>448</v>
      </c>
      <c r="G44" s="103"/>
      <c r="H44" s="51" t="s">
        <v>227</v>
      </c>
      <c r="J44" s="8" t="s">
        <v>173</v>
      </c>
      <c r="K44" s="142" t="s">
        <v>355</v>
      </c>
      <c r="L44" s="8" t="s">
        <v>356</v>
      </c>
      <c r="M44" s="45" t="s">
        <v>449</v>
      </c>
      <c r="N44" s="8" t="s">
        <v>357</v>
      </c>
      <c r="O44" s="99"/>
      <c r="P44" s="34"/>
    </row>
    <row r="45">
      <c r="A45" s="88">
        <v>9.995964321383E12</v>
      </c>
      <c r="B45" s="103"/>
      <c r="C45" s="121" t="str">
        <f t="array" ref="C45">ifs(and(isblank($A45),isblank($B45)),"", not(iserror(vlookup($A45&amp;$B45,'3) Release_Label'!$D:$D&amp;'3) Release_Label'!$E:$E,1,0))),vlookup($A45&amp;$B45,{'3) Release_Label'!$D:$D&amp;'3) Release_Label'!$E:$E,'3) Release_Label'!$F:$F},2,0), or(and(not(isblank($B45)),$B45=$B44,$A45&lt;&gt;$A44),and(not(isblank($A45)),$A45=$A44,$B45&lt;&gt;$B44)),"ID LISTS UNALIGNED",and($A45&lt;&gt;"",countif('3) Release_Label'!$D:$D,$A45)=0),"NO UPC MATCH in Release_Label",and($B45&lt;&gt;"",countif('3) Release_Label'!$E:$E,$B45)=0),"NO CATALOG ID MATCH in Release_Label",iserror(vlookup($A45&amp;$B45,'3) Release_Label'!$D:$D&amp;'3) Release_Label'!$E:$E,1,0)),"NO UPC-CATALOG ID pair MATCH in Release_Label" )</f>
        <v>Rakhi Soneya Ve (From "Bambukat" Soundtrack)</v>
      </c>
      <c r="D45" s="121" t="str">
        <f t="array" ref="D45">ifs(and(isblank($A45),isblank($B45)),"", not(iserror(vlookup($A45&amp;$B45,'3) Release_Label'!$D:$D&amp;'3) Release_Label'!$E:$E,1,0))),vlookup($A45&amp;$B45,{'3) Release_Label'!$D:$D&amp;'3) Release_Label'!$E:$E,'3) Release_Label'!$H:$H},2,0), or(and(not(isblank($B45)),$B45=$B44,$A45&lt;&gt;$A44),and(not(isblank($A45)),$A45=$A44,$B45&lt;&gt;$B44)),"ID LISTS UNALIGNED",and($A45&lt;&gt;"",countif('3) Release_Label'!$D:$D,$A45)=0),"NO UPC MATCH in Release_Label",and($B45&lt;&gt;"",countif('3) Release_Label'!$E:$E,$B45)=0),"NO CATALOG ID MATCH in Release_Label",iserror(vlookup($A45&amp;$B45,'3) Release_Label'!$D:$D&amp;'3) Release_Label'!$E:$E,1,0)),"NO UPC-CATALOG ID pair MATCH in Release_Label" )</f>
        <v/>
      </c>
      <c r="E45" s="141">
        <f t="shared" si="1"/>
        <v>1</v>
      </c>
      <c r="F45" s="51" t="s">
        <v>450</v>
      </c>
      <c r="G45" s="103"/>
      <c r="H45" s="51" t="s">
        <v>229</v>
      </c>
      <c r="J45" s="8" t="s">
        <v>173</v>
      </c>
      <c r="K45" s="142" t="s">
        <v>355</v>
      </c>
      <c r="L45" s="8" t="s">
        <v>356</v>
      </c>
      <c r="M45" s="45" t="s">
        <v>451</v>
      </c>
      <c r="N45" s="8" t="s">
        <v>357</v>
      </c>
      <c r="O45" s="99"/>
      <c r="P45" s="34"/>
    </row>
    <row r="46">
      <c r="A46" s="88">
        <v>9.995964332334E12</v>
      </c>
      <c r="B46" s="103"/>
      <c r="C46" s="121" t="str">
        <f t="array" ref="C46">ifs(and(isblank($A46),isblank($B46)),"", not(iserror(vlookup($A46&amp;$B46,'3) Release_Label'!$D:$D&amp;'3) Release_Label'!$E:$E,1,0))),vlookup($A46&amp;$B46,{'3) Release_Label'!$D:$D&amp;'3) Release_Label'!$E:$E,'3) Release_Label'!$F:$F},2,0), or(and(not(isblank($B46)),$B46=$B45,$A46&lt;&gt;$A45),and(not(isblank($A46)),$A46=$A45,$B46&lt;&gt;$B45)),"ID LISTS UNALIGNED",and($A46&lt;&gt;"",countif('3) Release_Label'!$D:$D,$A46)=0),"NO UPC MATCH in Release_Label",and($B46&lt;&gt;"",countif('3) Release_Label'!$E:$E,$B46)=0),"NO CATALOG ID MATCH in Release_Label",iserror(vlookup($A46&amp;$B46,'3) Release_Label'!$D:$D&amp;'3) Release_Label'!$E:$E,1,0)),"NO UPC-CATALOG ID pair MATCH in Release_Label" )</f>
        <v>Rani (From "Bhalwan Singh" Soundtrack)</v>
      </c>
      <c r="D46" s="121" t="str">
        <f t="array" ref="D46">ifs(and(isblank($A46),isblank($B46)),"", not(iserror(vlookup($A46&amp;$B46,'3) Release_Label'!$D:$D&amp;'3) Release_Label'!$E:$E,1,0))),vlookup($A46&amp;$B46,{'3) Release_Label'!$D:$D&amp;'3) Release_Label'!$E:$E,'3) Release_Label'!$H:$H},2,0), or(and(not(isblank($B46)),$B46=$B45,$A46&lt;&gt;$A45),and(not(isblank($A46)),$A46=$A45,$B46&lt;&gt;$B45)),"ID LISTS UNALIGNED",and($A46&lt;&gt;"",countif('3) Release_Label'!$D:$D,$A46)=0),"NO UPC MATCH in Release_Label",and($B46&lt;&gt;"",countif('3) Release_Label'!$E:$E,$B46)=0),"NO CATALOG ID MATCH in Release_Label",iserror(vlookup($A46&amp;$B46,'3) Release_Label'!$D:$D&amp;'3) Release_Label'!$E:$E,1,0)),"NO UPC-CATALOG ID pair MATCH in Release_Label" )</f>
        <v/>
      </c>
      <c r="E46" s="141">
        <f t="shared" si="1"/>
        <v>1</v>
      </c>
      <c r="F46" s="51" t="s">
        <v>452</v>
      </c>
      <c r="G46" s="103"/>
      <c r="H46" s="51" t="s">
        <v>231</v>
      </c>
      <c r="J46" s="8" t="s">
        <v>173</v>
      </c>
      <c r="K46" s="142" t="s">
        <v>355</v>
      </c>
      <c r="L46" s="8" t="s">
        <v>356</v>
      </c>
      <c r="M46" s="45" t="s">
        <v>453</v>
      </c>
      <c r="N46" s="8" t="s">
        <v>357</v>
      </c>
      <c r="O46" s="99"/>
      <c r="P46" s="34"/>
    </row>
    <row r="47">
      <c r="A47" s="88">
        <v>9.99596435688E12</v>
      </c>
      <c r="B47" s="103"/>
      <c r="C47" s="121" t="str">
        <f t="array" ref="C47">ifs(and(isblank($A47),isblank($B47)),"", not(iserror(vlookup($A47&amp;$B47,'3) Release_Label'!$D:$D&amp;'3) Release_Label'!$E:$E,1,0))),vlookup($A47&amp;$B47,{'3) Release_Label'!$D:$D&amp;'3) Release_Label'!$E:$E,'3) Release_Label'!$F:$F},2,0), or(and(not(isblank($B47)),$B47=$B46,$A47&lt;&gt;$A46),and(not(isblank($A47)),$A47=$A46,$B47&lt;&gt;$B46)),"ID LISTS UNALIGNED",and($A47&lt;&gt;"",countif('3) Release_Label'!$D:$D,$A47)=0),"NO UPC MATCH in Release_Label",and($B47&lt;&gt;"",countif('3) Release_Label'!$E:$E,$B47)=0),"NO CATALOG ID MATCH in Release_Label",iserror(vlookup($A47&amp;$B47,'3) Release_Label'!$D:$D&amp;'3) Release_Label'!$E:$E,1,0)),"NO UPC-CATALOG ID pair MATCH in Release_Label" )</f>
        <v>Refugee (From "Daana Paani" Soundtrack)</v>
      </c>
      <c r="D47" s="121" t="str">
        <f t="array" ref="D47">ifs(and(isblank($A47),isblank($B47)),"", not(iserror(vlookup($A47&amp;$B47,'3) Release_Label'!$D:$D&amp;'3) Release_Label'!$E:$E,1,0))),vlookup($A47&amp;$B47,{'3) Release_Label'!$D:$D&amp;'3) Release_Label'!$E:$E,'3) Release_Label'!$H:$H},2,0), or(and(not(isblank($B47)),$B47=$B46,$A47&lt;&gt;$A46),and(not(isblank($A47)),$A47=$A46,$B47&lt;&gt;$B46)),"ID LISTS UNALIGNED",and($A47&lt;&gt;"",countif('3) Release_Label'!$D:$D,$A47)=0),"NO UPC MATCH in Release_Label",and($B47&lt;&gt;"",countif('3) Release_Label'!$E:$E,$B47)=0),"NO CATALOG ID MATCH in Release_Label",iserror(vlookup($A47&amp;$B47,'3) Release_Label'!$D:$D&amp;'3) Release_Label'!$E:$E,1,0)),"NO UPC-CATALOG ID pair MATCH in Release_Label" )</f>
        <v/>
      </c>
      <c r="E47" s="141">
        <f t="shared" si="1"/>
        <v>1</v>
      </c>
      <c r="F47" s="51" t="s">
        <v>454</v>
      </c>
      <c r="G47" s="103"/>
      <c r="H47" s="51" t="s">
        <v>233</v>
      </c>
      <c r="J47" s="8" t="s">
        <v>173</v>
      </c>
      <c r="K47" s="142" t="s">
        <v>355</v>
      </c>
      <c r="L47" s="8" t="s">
        <v>356</v>
      </c>
      <c r="M47" s="45" t="s">
        <v>455</v>
      </c>
      <c r="N47" s="8" t="s">
        <v>357</v>
      </c>
      <c r="O47" s="99"/>
      <c r="P47" s="34"/>
    </row>
    <row r="48">
      <c r="A48" s="88">
        <v>9.995964330781E12</v>
      </c>
      <c r="B48" s="103"/>
      <c r="C48" s="121" t="str">
        <f t="array" ref="C48">ifs(and(isblank($A48),isblank($B48)),"", not(iserror(vlookup($A48&amp;$B48,'3) Release_Label'!$D:$D&amp;'3) Release_Label'!$E:$E,1,0))),vlookup($A48&amp;$B48,{'3) Release_Label'!$D:$D&amp;'3) Release_Label'!$E:$E,'3) Release_Label'!$F:$F},2,0), or(and(not(isblank($B48)),$B48=$B47,$A48&lt;&gt;$A47),and(not(isblank($A48)),$A48=$A47,$B48&lt;&gt;$B47)),"ID LISTS UNALIGNED",and($A48&lt;&gt;"",countif('3) Release_Label'!$D:$D,$A48)=0),"NO UPC MATCH in Release_Label",and($B48&lt;&gt;"",countif('3) Release_Label'!$E:$E,$B48)=0),"NO CATALOG ID MATCH in Release_Label",iserror(vlookup($A48&amp;$B48,'3) Release_Label'!$D:$D&amp;'3) Release_Label'!$E:$E,1,0)),"NO UPC-CATALOG ID pair MATCH in Release_Label" )</f>
        <v>Saah (From "Lahoriye" Soundtrack)</v>
      </c>
      <c r="D48" s="121" t="str">
        <f t="array" ref="D48">ifs(and(isblank($A48),isblank($B48)),"", not(iserror(vlookup($A48&amp;$B48,'3) Release_Label'!$D:$D&amp;'3) Release_Label'!$E:$E,1,0))),vlookup($A48&amp;$B48,{'3) Release_Label'!$D:$D&amp;'3) Release_Label'!$E:$E,'3) Release_Label'!$H:$H},2,0), or(and(not(isblank($B48)),$B48=$B47,$A48&lt;&gt;$A47),and(not(isblank($A48)),$A48=$A47,$B48&lt;&gt;$B47)),"ID LISTS UNALIGNED",and($A48&lt;&gt;"",countif('3) Release_Label'!$D:$D,$A48)=0),"NO UPC MATCH in Release_Label",and($B48&lt;&gt;"",countif('3) Release_Label'!$E:$E,$B48)=0),"NO CATALOG ID MATCH in Release_Label",iserror(vlookup($A48&amp;$B48,'3) Release_Label'!$D:$D&amp;'3) Release_Label'!$E:$E,1,0)),"NO UPC-CATALOG ID pair MATCH in Release_Label" )</f>
        <v/>
      </c>
      <c r="E48" s="141">
        <f t="shared" si="1"/>
        <v>1</v>
      </c>
      <c r="F48" s="51" t="s">
        <v>456</v>
      </c>
      <c r="G48" s="103"/>
      <c r="H48" s="51" t="s">
        <v>235</v>
      </c>
      <c r="J48" s="8" t="s">
        <v>173</v>
      </c>
      <c r="K48" s="142" t="s">
        <v>355</v>
      </c>
      <c r="L48" s="8" t="s">
        <v>356</v>
      </c>
      <c r="M48" s="45" t="s">
        <v>457</v>
      </c>
      <c r="N48" s="8" t="s">
        <v>357</v>
      </c>
      <c r="O48" s="99"/>
      <c r="P48" s="34"/>
    </row>
    <row r="49">
      <c r="A49" s="88">
        <v>9.995964356941E12</v>
      </c>
      <c r="B49" s="103"/>
      <c r="C49" s="121" t="str">
        <f t="array" ref="C49">ifs(and(isblank($A49),isblank($B49)),"", not(iserror(vlookup($A49&amp;$B49,'3) Release_Label'!$D:$D&amp;'3) Release_Label'!$E:$E,1,0))),vlookup($A49&amp;$B49,{'3) Release_Label'!$D:$D&amp;'3) Release_Label'!$E:$E,'3) Release_Label'!$F:$F},2,0), or(and(not(isblank($B49)),$B49=$B48,$A49&lt;&gt;$A48),and(not(isblank($A49)),$A49=$A48,$B49&lt;&gt;$B48)),"ID LISTS UNALIGNED",and($A49&lt;&gt;"",countif('3) Release_Label'!$D:$D,$A49)=0),"NO UPC MATCH in Release_Label",and($B49&lt;&gt;"",countif('3) Release_Label'!$E:$E,$B49)=0),"NO CATALOG ID MATCH in Release_Label",iserror(vlookup($A49&amp;$B49,'3) Release_Label'!$D:$D&amp;'3) Release_Label'!$E:$E,1,0)),"NO UPC-CATALOG ID pair MATCH in Release_Label" )</f>
        <v>Sarkaare (From "Golak Bugni Bank Te Batua" Soundtrack)</v>
      </c>
      <c r="D49" s="121" t="str">
        <f t="array" ref="D49">ifs(and(isblank($A49),isblank($B49)),"", not(iserror(vlookup($A49&amp;$B49,'3) Release_Label'!$D:$D&amp;'3) Release_Label'!$E:$E,1,0))),vlookup($A49&amp;$B49,{'3) Release_Label'!$D:$D&amp;'3) Release_Label'!$E:$E,'3) Release_Label'!$H:$H},2,0), or(and(not(isblank($B49)),$B49=$B48,$A49&lt;&gt;$A48),and(not(isblank($A49)),$A49=$A48,$B49&lt;&gt;$B48)),"ID LISTS UNALIGNED",and($A49&lt;&gt;"",countif('3) Release_Label'!$D:$D,$A49)=0),"NO UPC MATCH in Release_Label",and($B49&lt;&gt;"",countif('3) Release_Label'!$E:$E,$B49)=0),"NO CATALOG ID MATCH in Release_Label",iserror(vlookup($A49&amp;$B49,'3) Release_Label'!$D:$D&amp;'3) Release_Label'!$E:$E,1,0)),"NO UPC-CATALOG ID pair MATCH in Release_Label" )</f>
        <v/>
      </c>
      <c r="E49" s="141">
        <f t="shared" si="1"/>
        <v>1</v>
      </c>
      <c r="F49" s="51" t="s">
        <v>458</v>
      </c>
      <c r="G49" s="103"/>
      <c r="H49" s="51" t="s">
        <v>237</v>
      </c>
      <c r="J49" s="8" t="s">
        <v>173</v>
      </c>
      <c r="K49" s="142" t="s">
        <v>355</v>
      </c>
      <c r="L49" s="8" t="s">
        <v>356</v>
      </c>
      <c r="M49" s="45" t="s">
        <v>459</v>
      </c>
      <c r="N49" s="8" t="s">
        <v>357</v>
      </c>
      <c r="O49" s="99"/>
      <c r="P49" s="34"/>
    </row>
    <row r="50">
      <c r="A50" s="88">
        <v>9.995964356491E12</v>
      </c>
      <c r="B50" s="103"/>
      <c r="C50" s="121" t="str">
        <f t="array" ref="C50">ifs(and(isblank($A50),isblank($B50)),"", not(iserror(vlookup($A50&amp;$B50,'3) Release_Label'!$D:$D&amp;'3) Release_Label'!$E:$E,1,0))),vlookup($A50&amp;$B50,{'3) Release_Label'!$D:$D&amp;'3) Release_Label'!$E:$E,'3) Release_Label'!$F:$F},2,0), or(and(not(isblank($B50)),$B50=$B49,$A50&lt;&gt;$A49),and(not(isblank($A50)),$A50=$A49,$B50&lt;&gt;$B49)),"ID LISTS UNALIGNED",and($A50&lt;&gt;"",countif('3) Release_Label'!$D:$D,$A50)=0),"NO UPC MATCH in Release_Label",and($B50&lt;&gt;"",countif('3) Release_Label'!$E:$E,$B50)=0),"NO CATALOG ID MATCH in Release_Label",iserror(vlookup($A50&amp;$B50,'3) Release_Label'!$D:$D&amp;'3) Release_Label'!$E:$E,1,0)),"NO UPC-CATALOG ID pair MATCH in Release_Label" )</f>
        <v>Selfie Photo (From "Golak Bugni Bank Te Batua" Soundtrack)</v>
      </c>
      <c r="D50" s="121" t="str">
        <f t="array" ref="D50">ifs(and(isblank($A50),isblank($B50)),"", not(iserror(vlookup($A50&amp;$B50,'3) Release_Label'!$D:$D&amp;'3) Release_Label'!$E:$E,1,0))),vlookup($A50&amp;$B50,{'3) Release_Label'!$D:$D&amp;'3) Release_Label'!$E:$E,'3) Release_Label'!$H:$H},2,0), or(and(not(isblank($B50)),$B50=$B49,$A50&lt;&gt;$A49),and(not(isblank($A50)),$A50=$A49,$B50&lt;&gt;$B49)),"ID LISTS UNALIGNED",and($A50&lt;&gt;"",countif('3) Release_Label'!$D:$D,$A50)=0),"NO UPC MATCH in Release_Label",and($B50&lt;&gt;"",countif('3) Release_Label'!$E:$E,$B50)=0),"NO CATALOG ID MATCH in Release_Label",iserror(vlookup($A50&amp;$B50,'3) Release_Label'!$D:$D&amp;'3) Release_Label'!$E:$E,1,0)),"NO UPC-CATALOG ID pair MATCH in Release_Label" )</f>
        <v/>
      </c>
      <c r="E50" s="141">
        <f t="shared" si="1"/>
        <v>1</v>
      </c>
      <c r="F50" s="51" t="s">
        <v>460</v>
      </c>
      <c r="G50" s="103"/>
      <c r="H50" s="51" t="s">
        <v>239</v>
      </c>
      <c r="J50" s="8" t="s">
        <v>173</v>
      </c>
      <c r="K50" s="142" t="s">
        <v>355</v>
      </c>
      <c r="L50" s="8" t="s">
        <v>356</v>
      </c>
      <c r="M50" s="45" t="s">
        <v>461</v>
      </c>
      <c r="N50" s="8" t="s">
        <v>357</v>
      </c>
      <c r="O50" s="99"/>
      <c r="P50" s="34"/>
    </row>
    <row r="51">
      <c r="A51" s="88">
        <v>9.995964331283E12</v>
      </c>
      <c r="B51" s="103"/>
      <c r="C51" s="121" t="str">
        <f t="array" ref="C51">ifs(and(isblank($A51),isblank($B51)),"", not(iserror(vlookup($A51&amp;$B51,'3) Release_Label'!$D:$D&amp;'3) Release_Label'!$E:$E,1,0))),vlookup($A51&amp;$B51,{'3) Release_Label'!$D:$D&amp;'3) Release_Label'!$E:$E,'3) Release_Label'!$F:$F},2,0), or(and(not(isblank($B51)),$B51=#REF!,$A51&lt;&gt;#REF!),and(not(isblank($A51)),$A51=#REF!,$B51&lt;&gt;#REF!)),"ID LISTS UNALIGNED",and($A51&lt;&gt;"",countif('3) Release_Label'!$D:$D,$A51)=0),"NO UPC MATCH in Release_Label",and($B51&lt;&gt;"",countif('3) Release_Label'!$E:$E,$B51)=0),"NO CATALOG ID MATCH in Release_Label",iserror(vlookup($A51&amp;$B51,'3) Release_Label'!$D:$D&amp;'3) Release_Label'!$E:$E,1,0)),"NO UPC-CATALOG ID pair MATCH in Release_Label" )</f>
        <v>Sukh Da Saah (From "Vekh Baraatan Challiyan" Soundtrack)</v>
      </c>
      <c r="D51" s="121" t="str">
        <f t="array" ref="D51">ifs(and(isblank($A51),isblank($B51)),"", not(iserror(vlookup($A51&amp;$B51,'3) Release_Label'!$D:$D&amp;'3) Release_Label'!$E:$E,1,0))),vlookup($A51&amp;$B51,{'3) Release_Label'!$D:$D&amp;'3) Release_Label'!$E:$E,'3) Release_Label'!$H:$H},2,0), or(and(not(isblank($B51)),$B51=#REF!,$A51&lt;&gt;#REF!),and(not(isblank($A51)),$A51=#REF!,$B51&lt;&gt;#REF!)),"ID LISTS UNALIGNED",and($A51&lt;&gt;"",countif('3) Release_Label'!$D:$D,$A51)=0),"NO UPC MATCH in Release_Label",and($B51&lt;&gt;"",countif('3) Release_Label'!$E:$E,$B51)=0),"NO CATALOG ID MATCH in Release_Label",iserror(vlookup($A51&amp;$B51,'3) Release_Label'!$D:$D&amp;'3) Release_Label'!$E:$E,1,0)),"NO UPC-CATALOG ID pair MATCH in Release_Label" )</f>
        <v/>
      </c>
      <c r="E51" s="141">
        <f t="shared" si="1"/>
        <v>1</v>
      </c>
      <c r="F51" s="51" t="s">
        <v>462</v>
      </c>
      <c r="G51" s="103"/>
      <c r="H51" s="51" t="s">
        <v>241</v>
      </c>
      <c r="J51" s="8" t="s">
        <v>173</v>
      </c>
      <c r="K51" s="142" t="s">
        <v>355</v>
      </c>
      <c r="L51" s="8" t="s">
        <v>356</v>
      </c>
      <c r="M51" s="45" t="s">
        <v>463</v>
      </c>
      <c r="N51" s="8" t="s">
        <v>357</v>
      </c>
      <c r="O51" s="99"/>
      <c r="P51" s="34"/>
    </row>
    <row r="52">
      <c r="A52" s="88">
        <v>9.995964332242E12</v>
      </c>
      <c r="B52" s="103"/>
      <c r="C52" s="121" t="str">
        <f t="array" ref="C52">ifs(and(isblank($A52),isblank($B52)),"", not(iserror(vlookup($A52&amp;$B52,'3) Release_Label'!$D:$D&amp;'3) Release_Label'!$E:$E,1,0))),vlookup($A52&amp;$B52,{'3) Release_Label'!$D:$D&amp;'3) Release_Label'!$E:$E,'3) Release_Label'!$F:$F},2,0), or(and(not(isblank($B52)),$B52=$B51,$A52&lt;&gt;$A51),and(not(isblank($A52)),$A52=$A51,$B52&lt;&gt;$B51)),"ID LISTS UNALIGNED",and($A52&lt;&gt;"",countif('3) Release_Label'!$D:$D,$A52)=0),"NO UPC MATCH in Release_Label",and($B52&lt;&gt;"",countif('3) Release_Label'!$E:$E,$B52)=0),"NO CATALOG ID MATCH in Release_Label",iserror(vlookup($A52&amp;$B52,'3) Release_Label'!$D:$D&amp;'3) Release_Label'!$E:$E,1,0)),"NO UPC-CATALOG ID pair MATCH in Release_Label" )</f>
        <v>Sun Hawa Dya Bulleya (From "Bhalwan Singh" Soundtrack)</v>
      </c>
      <c r="D52" s="121" t="str">
        <f t="array" ref="D52">ifs(and(isblank($A52),isblank($B52)),"", not(iserror(vlookup($A52&amp;$B52,'3) Release_Label'!$D:$D&amp;'3) Release_Label'!$E:$E,1,0))),vlookup($A52&amp;$B52,{'3) Release_Label'!$D:$D&amp;'3) Release_Label'!$E:$E,'3) Release_Label'!$H:$H},2,0), or(and(not(isblank($B52)),$B52=$B51,$A52&lt;&gt;$A51),and(not(isblank($A52)),$A52=$A51,$B52&lt;&gt;$B51)),"ID LISTS UNALIGNED",and($A52&lt;&gt;"",countif('3) Release_Label'!$D:$D,$A52)=0),"NO UPC MATCH in Release_Label",and($B52&lt;&gt;"",countif('3) Release_Label'!$E:$E,$B52)=0),"NO CATALOG ID MATCH in Release_Label",iserror(vlookup($A52&amp;$B52,'3) Release_Label'!$D:$D&amp;'3) Release_Label'!$E:$E,1,0)),"NO UPC-CATALOG ID pair MATCH in Release_Label" )</f>
        <v/>
      </c>
      <c r="E52" s="141">
        <f t="shared" si="1"/>
        <v>1</v>
      </c>
      <c r="F52" s="51" t="s">
        <v>464</v>
      </c>
      <c r="G52" s="103"/>
      <c r="H52" s="51" t="s">
        <v>243</v>
      </c>
      <c r="J52" s="8" t="s">
        <v>173</v>
      </c>
      <c r="K52" s="142" t="s">
        <v>355</v>
      </c>
      <c r="L52" s="8" t="s">
        <v>356</v>
      </c>
      <c r="M52" s="45" t="s">
        <v>465</v>
      </c>
      <c r="N52" s="8" t="s">
        <v>357</v>
      </c>
      <c r="O52" s="99"/>
      <c r="P52" s="34"/>
    </row>
    <row r="53">
      <c r="A53" s="88">
        <v>9.995964319601E12</v>
      </c>
      <c r="B53" s="103"/>
      <c r="C53" s="121" t="str">
        <f t="array" ref="C53">ifs(and(isblank($A53),isblank($B53)),"", not(iserror(vlookup($A53&amp;$B53,'3) Release_Label'!$D:$D&amp;'3) Release_Label'!$E:$E,1,0))),vlookup($A53&amp;$B53,{'3) Release_Label'!$D:$D&amp;'3) Release_Label'!$E:$E,'3) Release_Label'!$F:$F},2,0), or(and(not(isblank($B53)),$B53=$B52,$A53&lt;&gt;$A52),and(not(isblank($A53)),$A53=$A52,$B53&lt;&gt;$B52)),"ID LISTS UNALIGNED",and($A53&lt;&gt;"",countif('3) Release_Label'!$D:$D,$A53)=0),"NO UPC MATCH in Release_Label",and($B53&lt;&gt;"",countif('3) Release_Label'!$E:$E,$B53)=0),"NO CATALOG ID MATCH in Release_Label",iserror(vlookup($A53&amp;$B53,'3) Release_Label'!$D:$D&amp;'3) Release_Label'!$E:$E,1,0)),"NO UPC-CATALOG ID pair MATCH in Release_Label" )</f>
        <v>Supna</v>
      </c>
      <c r="D53" s="121" t="str">
        <f t="array" ref="D53">ifs(and(isblank($A53),isblank($B53)),"", not(iserror(vlookup($A53&amp;$B53,'3) Release_Label'!$D:$D&amp;'3) Release_Label'!$E:$E,1,0))),vlookup($A53&amp;$B53,{'3) Release_Label'!$D:$D&amp;'3) Release_Label'!$E:$E,'3) Release_Label'!$H:$H},2,0), or(and(not(isblank($B53)),$B53=$B52,$A53&lt;&gt;$A52),and(not(isblank($A53)),$A53=$A52,$B53&lt;&gt;$B52)),"ID LISTS UNALIGNED",and($A53&lt;&gt;"",countif('3) Release_Label'!$D:$D,$A53)=0),"NO UPC MATCH in Release_Label",and($B53&lt;&gt;"",countif('3) Release_Label'!$E:$E,$B53)=0),"NO CATALOG ID MATCH in Release_Label",iserror(vlookup($A53&amp;$B53,'3) Release_Label'!$D:$D&amp;'3) Release_Label'!$E:$E,1,0)),"NO UPC-CATALOG ID pair MATCH in Release_Label" )</f>
        <v/>
      </c>
      <c r="E53" s="141">
        <f t="shared" si="1"/>
        <v>1</v>
      </c>
      <c r="F53" s="51" t="s">
        <v>466</v>
      </c>
      <c r="G53" s="103"/>
      <c r="H53" s="51" t="s">
        <v>245</v>
      </c>
      <c r="J53" s="8" t="s">
        <v>173</v>
      </c>
      <c r="K53" s="142" t="s">
        <v>355</v>
      </c>
      <c r="L53" s="8" t="s">
        <v>356</v>
      </c>
      <c r="M53" s="45" t="s">
        <v>467</v>
      </c>
      <c r="N53" s="8" t="s">
        <v>357</v>
      </c>
      <c r="O53" s="99"/>
      <c r="P53" s="34"/>
    </row>
    <row r="54">
      <c r="A54" s="88">
        <v>9.995964329112E12</v>
      </c>
      <c r="B54" s="103"/>
      <c r="C54" s="121" t="str">
        <f t="array" ref="C54">ifs(and(isblank($A54),isblank($B54)),"", not(iserror(vlookup($A54&amp;$B54,'3) Release_Label'!$D:$D&amp;'3) Release_Label'!$E:$E,1,0))),vlookup($A54&amp;$B54,{'3) Release_Label'!$D:$D&amp;'3) Release_Label'!$E:$E,'3) Release_Label'!$F:$F},2,0), or(and(not(isblank($B54)),$B54=$B53,$A54&lt;&gt;$A53),and(not(isblank($A54)),$A54=$A53,$B54&lt;&gt;$B53)),"ID LISTS UNALIGNED",and($A54&lt;&gt;"",countif('3) Release_Label'!$D:$D,$A54)=0),"NO UPC MATCH in Release_Label",and($B54&lt;&gt;"",countif('3) Release_Label'!$E:$E,$B54)=0),"NO CATALOG ID MATCH in Release_Label",iserror(vlookup($A54&amp;$B54,'3) Release_Label'!$D:$D&amp;'3) Release_Label'!$E:$E,1,0)),"NO UPC-CATALOG ID pair MATCH in Release_Label" )</f>
        <v>Tarakiyaan</v>
      </c>
      <c r="D54" s="121" t="str">
        <f t="array" ref="D54">ifs(and(isblank($A54),isblank($B54)),"", not(iserror(vlookup($A54&amp;$B54,'3) Release_Label'!$D:$D&amp;'3) Release_Label'!$E:$E,1,0))),vlookup($A54&amp;$B54,{'3) Release_Label'!$D:$D&amp;'3) Release_Label'!$E:$E,'3) Release_Label'!$H:$H},2,0), or(and(not(isblank($B54)),$B54=$B53,$A54&lt;&gt;$A53),and(not(isblank($A54)),$A54=$A53,$B54&lt;&gt;$B53)),"ID LISTS UNALIGNED",and($A54&lt;&gt;"",countif('3) Release_Label'!$D:$D,$A54)=0),"NO UPC MATCH in Release_Label",and($B54&lt;&gt;"",countif('3) Release_Label'!$E:$E,$B54)=0),"NO CATALOG ID MATCH in Release_Label",iserror(vlookup($A54&amp;$B54,'3) Release_Label'!$D:$D&amp;'3) Release_Label'!$E:$E,1,0)),"NO UPC-CATALOG ID pair MATCH in Release_Label" )</f>
        <v/>
      </c>
      <c r="E54" s="141">
        <f t="shared" si="1"/>
        <v>1</v>
      </c>
      <c r="F54" s="51" t="s">
        <v>468</v>
      </c>
      <c r="G54" s="103"/>
      <c r="H54" s="51" t="s">
        <v>247</v>
      </c>
      <c r="J54" s="8" t="s">
        <v>173</v>
      </c>
      <c r="K54" s="142" t="s">
        <v>355</v>
      </c>
      <c r="L54" s="8" t="s">
        <v>356</v>
      </c>
      <c r="M54" s="45" t="s">
        <v>469</v>
      </c>
      <c r="N54" s="8" t="s">
        <v>357</v>
      </c>
      <c r="O54" s="99"/>
      <c r="P54" s="34"/>
    </row>
    <row r="55">
      <c r="A55" s="88">
        <v>9.99596435659E12</v>
      </c>
      <c r="B55" s="103"/>
      <c r="C55" s="121" t="str">
        <f t="array" ref="C55">ifs(and(isblank($A55),isblank($B55)),"", not(iserror(vlookup($A55&amp;$B55,'3) Release_Label'!$D:$D&amp;'3) Release_Label'!$E:$E,1,0))),vlookup($A55&amp;$B55,{'3) Release_Label'!$D:$D&amp;'3) Release_Label'!$E:$E,'3) Release_Label'!$F:$F},2,0), or(and(not(isblank($B55)),$B55=$B54,$A55&lt;&gt;$A54),and(not(isblank($A55)),$A55=$A54,$B55&lt;&gt;$B54)),"ID LISTS UNALIGNED",and($A55&lt;&gt;"",countif('3) Release_Label'!$D:$D,$A55)=0),"NO UPC MATCH in Release_Label",and($B55&lt;&gt;"",countif('3) Release_Label'!$E:$E,$B55)=0),"NO CATALOG ID MATCH in Release_Label",iserror(vlookup($A55&amp;$B55,'3) Release_Label'!$D:$D&amp;'3) Release_Label'!$E:$E,1,0)),"NO UPC-CATALOG ID pair MATCH in Release_Label" )</f>
        <v>Tu Te Main (From "Golak Bugni Bank Te Batua" Soundtrack)</v>
      </c>
      <c r="D55" s="121" t="str">
        <f t="array" ref="D55">ifs(and(isblank($A55),isblank($B55)),"", not(iserror(vlookup($A55&amp;$B55,'3) Release_Label'!$D:$D&amp;'3) Release_Label'!$E:$E,1,0))),vlookup($A55&amp;$B55,{'3) Release_Label'!$D:$D&amp;'3) Release_Label'!$E:$E,'3) Release_Label'!$H:$H},2,0), or(and(not(isblank($B55)),$B55=$B54,$A55&lt;&gt;$A54),and(not(isblank($A55)),$A55=$A54,$B55&lt;&gt;$B54)),"ID LISTS UNALIGNED",and($A55&lt;&gt;"",countif('3) Release_Label'!$D:$D,$A55)=0),"NO UPC MATCH in Release_Label",and($B55&lt;&gt;"",countif('3) Release_Label'!$E:$E,$B55)=0),"NO CATALOG ID MATCH in Release_Label",iserror(vlookup($A55&amp;$B55,'3) Release_Label'!$D:$D&amp;'3) Release_Label'!$E:$E,1,0)),"NO UPC-CATALOG ID pair MATCH in Release_Label" )</f>
        <v/>
      </c>
      <c r="E55" s="141">
        <f t="shared" si="1"/>
        <v>1</v>
      </c>
      <c r="F55" s="51" t="s">
        <v>470</v>
      </c>
      <c r="G55" s="103"/>
      <c r="H55" s="51" t="s">
        <v>249</v>
      </c>
      <c r="J55" s="8" t="s">
        <v>173</v>
      </c>
      <c r="K55" s="142" t="s">
        <v>355</v>
      </c>
      <c r="L55" s="8" t="s">
        <v>356</v>
      </c>
      <c r="M55" s="45" t="s">
        <v>471</v>
      </c>
      <c r="N55" s="8" t="s">
        <v>357</v>
      </c>
      <c r="O55" s="99"/>
      <c r="P55" s="34"/>
    </row>
    <row r="56">
      <c r="A56" s="88">
        <v>9.995964332228E12</v>
      </c>
      <c r="B56" s="103"/>
      <c r="C56" s="121" t="str">
        <f t="array" ref="C56">ifs(and(isblank($A56),isblank($B56)),"", not(iserror(vlookup($A56&amp;$B56,'3) Release_Label'!$D:$D&amp;'3) Release_Label'!$E:$E,1,0))),vlookup($A56&amp;$B56,{'3) Release_Label'!$D:$D&amp;'3) Release_Label'!$E:$E,'3) Release_Label'!$F:$F},2,0), or(and(not(isblank($B56)),$B56=$B55,$A56&lt;&gt;$A55),and(not(isblank($A56)),$A56=$A55,$B56&lt;&gt;$B55)),"ID LISTS UNALIGNED",and($A56&lt;&gt;"",countif('3) Release_Label'!$D:$D,$A56)=0),"NO UPC MATCH in Release_Label",and($B56&lt;&gt;"",countif('3) Release_Label'!$E:$E,$B56)=0),"NO CATALOG ID MATCH in Release_Label",iserror(vlookup($A56&amp;$B56,'3) Release_Label'!$D:$D&amp;'3) Release_Label'!$E:$E,1,0)),"NO UPC-CATALOG ID pair MATCH in Release_Label" )</f>
        <v>Vaar (From "Bhalwan Singh" Soundtrack)</v>
      </c>
      <c r="D56" s="121" t="str">
        <f t="array" ref="D56">ifs(and(isblank($A56),isblank($B56)),"", not(iserror(vlookup($A56&amp;$B56,'3) Release_Label'!$D:$D&amp;'3) Release_Label'!$E:$E,1,0))),vlookup($A56&amp;$B56,{'3) Release_Label'!$D:$D&amp;'3) Release_Label'!$E:$E,'3) Release_Label'!$H:$H},2,0), or(and(not(isblank($B56)),$B56=$B55,$A56&lt;&gt;$A55),and(not(isblank($A56)),$A56=$A55,$B56&lt;&gt;$B55)),"ID LISTS UNALIGNED",and($A56&lt;&gt;"",countif('3) Release_Label'!$D:$D,$A56)=0),"NO UPC MATCH in Release_Label",and($B56&lt;&gt;"",countif('3) Release_Label'!$E:$E,$B56)=0),"NO CATALOG ID MATCH in Release_Label",iserror(vlookup($A56&amp;$B56,'3) Release_Label'!$D:$D&amp;'3) Release_Label'!$E:$E,1,0)),"NO UPC-CATALOG ID pair MATCH in Release_Label" )</f>
        <v/>
      </c>
      <c r="E56" s="141">
        <f t="shared" si="1"/>
        <v>1</v>
      </c>
      <c r="F56" s="51" t="s">
        <v>472</v>
      </c>
      <c r="G56" s="103"/>
      <c r="H56" s="51" t="s">
        <v>251</v>
      </c>
      <c r="J56" s="8" t="s">
        <v>173</v>
      </c>
      <c r="K56" s="142" t="s">
        <v>355</v>
      </c>
      <c r="L56" s="8" t="s">
        <v>356</v>
      </c>
      <c r="M56" s="45" t="s">
        <v>473</v>
      </c>
      <c r="N56" s="8" t="s">
        <v>357</v>
      </c>
      <c r="O56" s="99"/>
      <c r="P56" s="34"/>
    </row>
    <row r="57">
      <c r="A57" s="88">
        <v>9.995964331528E12</v>
      </c>
      <c r="B57" s="103"/>
      <c r="C57" s="121" t="str">
        <f t="array" ref="C57">ifs(and(isblank($A57),isblank($B57)),"", not(iserror(vlookup($A57&amp;$B57,'3) Release_Label'!$D:$D&amp;'3) Release_Label'!$E:$E,1,0))),vlookup($A57&amp;$B57,{'3) Release_Label'!$D:$D&amp;'3) Release_Label'!$E:$E,'3) Release_Label'!$F:$F},2,0), or(and(not(isblank($B57)),$B57=#REF!,$A57&lt;&gt;#REF!),and(not(isblank($A57)),$A57=#REF!,$B57&lt;&gt;#REF!)),"ID LISTS UNALIGNED",and($A57&lt;&gt;"",countif('3) Release_Label'!$D:$D,$A57)=0),"NO UPC MATCH in Release_Label",and($B57&lt;&gt;"",countif('3) Release_Label'!$E:$E,$B57)=0),"NO CATALOG ID MATCH in Release_Label",iserror(vlookup($A57&amp;$B57,'3) Release_Label'!$D:$D&amp;'3) Release_Label'!$E:$E,1,0)),"NO UPC-CATALOG ID pair MATCH in Release_Label" )</f>
        <v>Vekh Baraatan Challiyan - Title Song (From "Vekh Baraatan Challiyan" Soundtrack)</v>
      </c>
      <c r="D57" s="121" t="str">
        <f t="array" ref="D57">ifs(and(isblank($A57),isblank($B57)),"", not(iserror(vlookup($A57&amp;$B57,'3) Release_Label'!$D:$D&amp;'3) Release_Label'!$E:$E,1,0))),vlookup($A57&amp;$B57,{'3) Release_Label'!$D:$D&amp;'3) Release_Label'!$E:$E,'3) Release_Label'!$H:$H},2,0), or(and(not(isblank($B57)),$B57=#REF!,$A57&lt;&gt;#REF!),and(not(isblank($A57)),$A57=#REF!,$B57&lt;&gt;#REF!)),"ID LISTS UNALIGNED",and($A57&lt;&gt;"",countif('3) Release_Label'!$D:$D,$A57)=0),"NO UPC MATCH in Release_Label",and($B57&lt;&gt;"",countif('3) Release_Label'!$E:$E,$B57)=0),"NO CATALOG ID MATCH in Release_Label",iserror(vlookup($A57&amp;$B57,'3) Release_Label'!$D:$D&amp;'3) Release_Label'!$E:$E,1,0)),"NO UPC-CATALOG ID pair MATCH in Release_Label" )</f>
        <v/>
      </c>
      <c r="E57" s="141">
        <f t="shared" si="1"/>
        <v>1</v>
      </c>
      <c r="F57" s="51" t="s">
        <v>474</v>
      </c>
      <c r="G57" s="103"/>
      <c r="H57" s="51" t="s">
        <v>253</v>
      </c>
      <c r="J57" s="8" t="s">
        <v>173</v>
      </c>
      <c r="K57" s="142" t="s">
        <v>355</v>
      </c>
      <c r="L57" s="8" t="s">
        <v>356</v>
      </c>
      <c r="M57" s="45" t="s">
        <v>475</v>
      </c>
      <c r="N57" s="8" t="s">
        <v>357</v>
      </c>
      <c r="O57" s="99"/>
      <c r="P57" s="34"/>
    </row>
    <row r="58">
      <c r="A58" s="88">
        <v>9.995964357931E12</v>
      </c>
      <c r="B58" s="103"/>
      <c r="C58" s="121" t="str">
        <f t="array" ref="C58">ifs(and(isblank($A58),isblank($B58)),"", not(iserror(vlookup($A58&amp;$B58,'3) Release_Label'!$D:$D&amp;'3) Release_Label'!$E:$E,1,0))),vlookup($A58&amp;$B58,{'3) Release_Label'!$D:$D&amp;'3) Release_Label'!$E:$E,'3) Release_Label'!$F:$F},2,0), or(and(not(isblank($B58)),$B58=$B57,$A58&lt;&gt;$A57),and(not(isblank($A58)),$A58=$A57,$B58&lt;&gt;$B57)),"ID LISTS UNALIGNED",and($A58&lt;&gt;"",countif('3) Release_Label'!$D:$D,$A58)=0),"NO UPC MATCH in Release_Label",and($B58&lt;&gt;"",countif('3) Release_Label'!$E:$E,$B58)=0),"NO CATALOG ID MATCH in Release_Label",iserror(vlookup($A58&amp;$B58,'3) Release_Label'!$D:$D&amp;'3) Release_Label'!$E:$E,1,0)),"NO UPC-CATALOG ID pair MATCH in Release_Label" )</f>
        <v>Leekan (From "Ashke" Soundtrack)</v>
      </c>
      <c r="D58" s="121" t="str">
        <f t="array" ref="D58">ifs(and(isblank($A58),isblank($B58)),"", not(iserror(vlookup($A58&amp;$B58,'3) Release_Label'!$D:$D&amp;'3) Release_Label'!$E:$E,1,0))),vlookup($A58&amp;$B58,{'3) Release_Label'!$D:$D&amp;'3) Release_Label'!$E:$E,'3) Release_Label'!$H:$H},2,0), or(and(not(isblank($B58)),$B58=$B57,$A58&lt;&gt;$A57),and(not(isblank($A58)),$A58=$A57,$B58&lt;&gt;$B57)),"ID LISTS UNALIGNED",and($A58&lt;&gt;"",countif('3) Release_Label'!$D:$D,$A58)=0),"NO UPC MATCH in Release_Label",and($B58&lt;&gt;"",countif('3) Release_Label'!$E:$E,$B58)=0),"NO CATALOG ID MATCH in Release_Label",iserror(vlookup($A58&amp;$B58,'3) Release_Label'!$D:$D&amp;'3) Release_Label'!$E:$E,1,0)),"NO UPC-CATALOG ID pair MATCH in Release_Label" )</f>
        <v/>
      </c>
      <c r="E58" s="141">
        <f t="shared" si="1"/>
        <v>1</v>
      </c>
      <c r="F58" s="51" t="s">
        <v>476</v>
      </c>
      <c r="G58" s="103"/>
      <c r="H58" s="51" t="s">
        <v>255</v>
      </c>
      <c r="J58" s="8" t="s">
        <v>173</v>
      </c>
      <c r="K58" s="142" t="s">
        <v>355</v>
      </c>
      <c r="L58" s="8" t="s">
        <v>356</v>
      </c>
      <c r="M58" s="45" t="s">
        <v>477</v>
      </c>
      <c r="N58" s="8" t="s">
        <v>357</v>
      </c>
      <c r="O58" s="99"/>
      <c r="P58" s="34"/>
    </row>
    <row r="59">
      <c r="A59" s="88">
        <v>9.995964357917E12</v>
      </c>
      <c r="B59" s="103"/>
      <c r="C59" s="121" t="str">
        <f t="array" ref="C59">ifs(and(isblank($A59),isblank($B59)),"", not(iserror(vlookup($A59&amp;$B59,'3) Release_Label'!$D:$D&amp;'3) Release_Label'!$E:$E,1,0))),vlookup($A59&amp;$B59,{'3) Release_Label'!$D:$D&amp;'3) Release_Label'!$E:$E,'3) Release_Label'!$F:$F},2,0), or(and(not(isblank($B59)),$B59=$B58,$A59&lt;&gt;$A58),and(not(isblank($A59)),$A59=$A58,$B59&lt;&gt;$B58)),"ID LISTS UNALIGNED",and($A59&lt;&gt;"",countif('3) Release_Label'!$D:$D,$A59)=0),"NO UPC MATCH in Release_Label",and($B59&lt;&gt;"",countif('3) Release_Label'!$E:$E,$B59)=0),"NO CATALOG ID MATCH in Release_Label",iserror(vlookup($A59&amp;$B59,'3) Release_Label'!$D:$D&amp;'3) Release_Label'!$E:$E,1,0)),"NO UPC-CATALOG ID pair MATCH in Release_Label" )</f>
        <v>Handsome Jatta (From "Ashke" Soundtrack)</v>
      </c>
      <c r="D59" s="121" t="str">
        <f t="array" ref="D59">ifs(and(isblank($A59),isblank($B59)),"", not(iserror(vlookup($A59&amp;$B59,'3) Release_Label'!$D:$D&amp;'3) Release_Label'!$E:$E,1,0))),vlookup($A59&amp;$B59,{'3) Release_Label'!$D:$D&amp;'3) Release_Label'!$E:$E,'3) Release_Label'!$H:$H},2,0), or(and(not(isblank($B59)),$B59=$B58,$A59&lt;&gt;$A58),and(not(isblank($A59)),$A59=$A58,$B59&lt;&gt;$B58)),"ID LISTS UNALIGNED",and($A59&lt;&gt;"",countif('3) Release_Label'!$D:$D,$A59)=0),"NO UPC MATCH in Release_Label",and($B59&lt;&gt;"",countif('3) Release_Label'!$E:$E,$B59)=0),"NO CATALOG ID MATCH in Release_Label",iserror(vlookup($A59&amp;$B59,'3) Release_Label'!$D:$D&amp;'3) Release_Label'!$E:$E,1,0)),"NO UPC-CATALOG ID pair MATCH in Release_Label" )</f>
        <v/>
      </c>
      <c r="E59" s="141">
        <f t="shared" si="1"/>
        <v>1</v>
      </c>
      <c r="F59" s="51" t="s">
        <v>478</v>
      </c>
      <c r="G59" s="103"/>
      <c r="H59" s="51" t="s">
        <v>257</v>
      </c>
      <c r="J59" s="8" t="s">
        <v>173</v>
      </c>
      <c r="K59" s="142" t="s">
        <v>355</v>
      </c>
      <c r="L59" s="8" t="s">
        <v>356</v>
      </c>
      <c r="M59" s="45" t="s">
        <v>479</v>
      </c>
      <c r="N59" s="8" t="s">
        <v>357</v>
      </c>
      <c r="O59" s="99"/>
      <c r="P59" s="34"/>
    </row>
    <row r="60">
      <c r="A60" s="88">
        <v>9.995964359133E12</v>
      </c>
      <c r="B60" s="103"/>
      <c r="C60" s="121" t="str">
        <f t="array" ref="C60">ifs(and(isblank($A60),isblank($B60)),"", not(iserror(vlookup($A60&amp;$B60,'3) Release_Label'!$D:$D&amp;'3) Release_Label'!$E:$E,1,0))),vlookup($A60&amp;$B60,{'3) Release_Label'!$D:$D&amp;'3) Release_Label'!$E:$E,'3) Release_Label'!$F:$F},2,0), or(and(not(isblank($B60)),$B60=#REF!,$A60&lt;&gt;#REF!),and(not(isblank($A60)),$A60=#REF!,$B60&lt;&gt;#REF!)),"ID LISTS UNALIGNED",and($A60&lt;&gt;"",countif('3) Release_Label'!$D:$D,$A60)=0),"NO UPC MATCH in Release_Label",and($B60&lt;&gt;"",countif('3) Release_Label'!$E:$E,$B60)=0),"NO CATALOG ID MATCH in Release_Label",iserror(vlookup($A60&amp;$B60,'3) Release_Label'!$D:$D&amp;'3) Release_Label'!$E:$E,1,0)),"NO UPC-CATALOG ID pair MATCH in Release_Label" )</f>
        <v>Bholepan (From "Ashke" Soundtrack)</v>
      </c>
      <c r="D60" s="121" t="str">
        <f t="array" ref="D60">ifs(and(isblank($A60),isblank($B60)),"", not(iserror(vlookup($A60&amp;$B60,'3) Release_Label'!$D:$D&amp;'3) Release_Label'!$E:$E,1,0))),vlookup($A60&amp;$B60,{'3) Release_Label'!$D:$D&amp;'3) Release_Label'!$E:$E,'3) Release_Label'!$H:$H},2,0), or(and(not(isblank($B60)),$B60=#REF!,$A60&lt;&gt;#REF!),and(not(isblank($A60)),$A60=#REF!,$B60&lt;&gt;#REF!)),"ID LISTS UNALIGNED",and($A60&lt;&gt;"",countif('3) Release_Label'!$D:$D,$A60)=0),"NO UPC MATCH in Release_Label",and($B60&lt;&gt;"",countif('3) Release_Label'!$E:$E,$B60)=0),"NO CATALOG ID MATCH in Release_Label",iserror(vlookup($A60&amp;$B60,'3) Release_Label'!$D:$D&amp;'3) Release_Label'!$E:$E,1,0)),"NO UPC-CATALOG ID pair MATCH in Release_Label" )</f>
        <v/>
      </c>
      <c r="E60" s="141">
        <f t="shared" si="1"/>
        <v>1</v>
      </c>
      <c r="F60" s="51" t="s">
        <v>480</v>
      </c>
      <c r="G60" s="103"/>
      <c r="H60" s="51" t="s">
        <v>259</v>
      </c>
      <c r="J60" s="8" t="s">
        <v>173</v>
      </c>
      <c r="K60" s="142" t="s">
        <v>355</v>
      </c>
      <c r="L60" s="8" t="s">
        <v>356</v>
      </c>
      <c r="M60" s="45" t="s">
        <v>481</v>
      </c>
      <c r="N60" s="8" t="s">
        <v>357</v>
      </c>
      <c r="O60" s="99"/>
      <c r="P60" s="34"/>
    </row>
    <row r="61">
      <c r="A61" s="88">
        <v>9.99596435927E12</v>
      </c>
      <c r="B61" s="103"/>
      <c r="C61" s="121" t="str">
        <f t="array" ref="C61">ifs(and(isblank($A61),isblank($B61)),"", not(iserror(vlookup($A61&amp;$B61,'3) Release_Label'!$D:$D&amp;'3) Release_Label'!$E:$E,1,0))),vlookup($A61&amp;$B61,{'3) Release_Label'!$D:$D&amp;'3) Release_Label'!$E:$E,'3) Release_Label'!$F:$F},2,0), or(and(not(isblank($B61)),$B61=$B60,$A61&lt;&gt;$A60),and(not(isblank($A61)),$A61=$A60,$B61&lt;&gt;$B60)),"ID LISTS UNALIGNED",and($A61&lt;&gt;"",countif('3) Release_Label'!$D:$D,$A61)=0),"NO UPC MATCH in Release_Label",and($B61&lt;&gt;"",countif('3) Release_Label'!$E:$E,$B61)=0),"NO CATALOG ID MATCH in Release_Label",iserror(vlookup($A61&amp;$B61,'3) Release_Label'!$D:$D&amp;'3) Release_Label'!$E:$E,1,0)),"NO UPC-CATALOG ID pair MATCH in Release_Label" )</f>
        <v>Eh Tanhayi</v>
      </c>
      <c r="D61" s="121" t="str">
        <f t="array" ref="D61">ifs(and(isblank($A61),isblank($B61)),"", not(iserror(vlookup($A61&amp;$B61,'3) Release_Label'!$D:$D&amp;'3) Release_Label'!$E:$E,1,0))),vlookup($A61&amp;$B61,{'3) Release_Label'!$D:$D&amp;'3) Release_Label'!$E:$E,'3) Release_Label'!$H:$H},2,0), or(and(not(isblank($B61)),$B61=$B60,$A61&lt;&gt;$A60),and(not(isblank($A61)),$A61=$A60,$B61&lt;&gt;$B60)),"ID LISTS UNALIGNED",and($A61&lt;&gt;"",countif('3) Release_Label'!$D:$D,$A61)=0),"NO UPC MATCH in Release_Label",and($B61&lt;&gt;"",countif('3) Release_Label'!$E:$E,$B61)=0),"NO CATALOG ID MATCH in Release_Label",iserror(vlookup($A61&amp;$B61,'3) Release_Label'!$D:$D&amp;'3) Release_Label'!$E:$E,1,0)),"NO UPC-CATALOG ID pair MATCH in Release_Label" )</f>
        <v/>
      </c>
      <c r="E61" s="141">
        <f t="shared" si="1"/>
        <v>1</v>
      </c>
      <c r="F61" s="51" t="s">
        <v>482</v>
      </c>
      <c r="G61" s="103"/>
      <c r="H61" s="51" t="s">
        <v>261</v>
      </c>
      <c r="J61" s="8" t="s">
        <v>173</v>
      </c>
      <c r="K61" s="142" t="s">
        <v>355</v>
      </c>
      <c r="L61" s="8" t="s">
        <v>356</v>
      </c>
      <c r="M61" s="45" t="s">
        <v>483</v>
      </c>
      <c r="N61" s="8" t="s">
        <v>357</v>
      </c>
      <c r="O61" s="99"/>
      <c r="P61" s="34"/>
    </row>
    <row r="62">
      <c r="A62" s="88">
        <v>9.995964359225E12</v>
      </c>
      <c r="B62" s="103"/>
      <c r="C62" s="121" t="str">
        <f t="array" ref="C62">ifs(and(isblank($A62),isblank($B62)),"", not(iserror(vlookup($A62&amp;$B62,'3) Release_Label'!$D:$D&amp;'3) Release_Label'!$E:$E,1,0))),vlookup($A62&amp;$B62,{'3) Release_Label'!$D:$D&amp;'3) Release_Label'!$E:$E,'3) Release_Label'!$F:$F},2,0), or(and(not(isblank($B62)),$B62=$B61,$A62&lt;&gt;$A61),and(not(isblank($A62)),$A62=$A61,$B62&lt;&gt;$B61)),"ID LISTS UNALIGNED",and($A62&lt;&gt;"",countif('3) Release_Label'!$D:$D,$A62)=0),"NO UPC MATCH in Release_Label",and($B62&lt;&gt;"",countif('3) Release_Label'!$E:$E,$B62)=0),"NO CATALOG ID MATCH in Release_Label",iserror(vlookup($A62&amp;$B62,'3) Release_Label'!$D:$D&amp;'3) Release_Label'!$E:$E,1,0)),"NO UPC-CATALOG ID pair MATCH in Release_Label" )</f>
        <v>Tere Naal Viahi</v>
      </c>
      <c r="D62" s="121" t="str">
        <f t="array" ref="D62">ifs(and(isblank($A62),isblank($B62)),"", not(iserror(vlookup($A62&amp;$B62,'3) Release_Label'!$D:$D&amp;'3) Release_Label'!$E:$E,1,0))),vlookup($A62&amp;$B62,{'3) Release_Label'!$D:$D&amp;'3) Release_Label'!$E:$E,'3) Release_Label'!$H:$H},2,0), or(and(not(isblank($B62)),$B62=$B61,$A62&lt;&gt;$A61),and(not(isblank($A62)),$A62=$A61,$B62&lt;&gt;$B61)),"ID LISTS UNALIGNED",and($A62&lt;&gt;"",countif('3) Release_Label'!$D:$D,$A62)=0),"NO UPC MATCH in Release_Label",and($B62&lt;&gt;"",countif('3) Release_Label'!$E:$E,$B62)=0),"NO CATALOG ID MATCH in Release_Label",iserror(vlookup($A62&amp;$B62,'3) Release_Label'!$D:$D&amp;'3) Release_Label'!$E:$E,1,0)),"NO UPC-CATALOG ID pair MATCH in Release_Label" )</f>
        <v/>
      </c>
      <c r="E62" s="141">
        <f t="shared" si="1"/>
        <v>1</v>
      </c>
      <c r="F62" s="51" t="s">
        <v>484</v>
      </c>
      <c r="G62" s="103"/>
      <c r="H62" s="51" t="s">
        <v>263</v>
      </c>
      <c r="J62" s="8" t="s">
        <v>173</v>
      </c>
      <c r="K62" s="142" t="s">
        <v>355</v>
      </c>
      <c r="L62" s="8" t="s">
        <v>356</v>
      </c>
      <c r="M62" s="45" t="s">
        <v>485</v>
      </c>
      <c r="N62" s="8" t="s">
        <v>357</v>
      </c>
      <c r="O62" s="99"/>
      <c r="P62" s="34"/>
    </row>
    <row r="63">
      <c r="A63" s="88">
        <v>9.995964357948E12</v>
      </c>
      <c r="B63" s="103"/>
      <c r="C63" s="121" t="str">
        <f t="array" ref="C63">ifs(and(isblank($A63),isblank($B63)),"", not(iserror(vlookup($A63&amp;$B63,'3) Release_Label'!$D:$D&amp;'3) Release_Label'!$E:$E,1,0))),vlookup($A63&amp;$B63,{'3) Release_Label'!$D:$D&amp;'3) Release_Label'!$E:$E,'3) Release_Label'!$F:$F},2,0), or(and(not(isblank($B63)),$B63=$B62,$A63&lt;&gt;$A62),and(not(isblank($A63)),$A63=$A62,$B63&lt;&gt;$B62)),"ID LISTS UNALIGNED",and($A63&lt;&gt;"",countif('3) Release_Label'!$D:$D,$A63)=0),"NO UPC MATCH in Release_Label",and($B63&lt;&gt;"",countif('3) Release_Label'!$E:$E,$B63)=0),"NO CATALOG ID MATCH in Release_Label",iserror(vlookup($A63&amp;$B63,'3) Release_Label'!$D:$D&amp;'3) Release_Label'!$E:$E,1,0)),"NO UPC-CATALOG ID pair MATCH in Release_Label" )</f>
        <v>Ashke - Title Song (From "Ashke" Soundtrack)</v>
      </c>
      <c r="D63" s="121" t="str">
        <f t="array" ref="D63">ifs(and(isblank($A63),isblank($B63)),"", not(iserror(vlookup($A63&amp;$B63,'3) Release_Label'!$D:$D&amp;'3) Release_Label'!$E:$E,1,0))),vlookup($A63&amp;$B63,{'3) Release_Label'!$D:$D&amp;'3) Release_Label'!$E:$E,'3) Release_Label'!$H:$H},2,0), or(and(not(isblank($B63)),$B63=$B62,$A63&lt;&gt;$A62),and(not(isblank($A63)),$A63=$A62,$B63&lt;&gt;$B62)),"ID LISTS UNALIGNED",and($A63&lt;&gt;"",countif('3) Release_Label'!$D:$D,$A63)=0),"NO UPC MATCH in Release_Label",and($B63&lt;&gt;"",countif('3) Release_Label'!$E:$E,$B63)=0),"NO CATALOG ID MATCH in Release_Label",iserror(vlookup($A63&amp;$B63,'3) Release_Label'!$D:$D&amp;'3) Release_Label'!$E:$E,1,0)),"NO UPC-CATALOG ID pair MATCH in Release_Label" )</f>
        <v/>
      </c>
      <c r="E63" s="141">
        <f t="shared" si="1"/>
        <v>1</v>
      </c>
      <c r="F63" s="51" t="s">
        <v>486</v>
      </c>
      <c r="G63" s="103"/>
      <c r="H63" s="51" t="s">
        <v>265</v>
      </c>
      <c r="J63" s="8" t="s">
        <v>173</v>
      </c>
      <c r="K63" s="142" t="s">
        <v>355</v>
      </c>
      <c r="L63" s="8" t="s">
        <v>356</v>
      </c>
      <c r="M63" s="45" t="s">
        <v>487</v>
      </c>
      <c r="N63" s="8" t="s">
        <v>357</v>
      </c>
      <c r="O63" s="99"/>
      <c r="P63" s="34"/>
    </row>
    <row r="64">
      <c r="A64" s="88">
        <v>9.995964357979E12</v>
      </c>
      <c r="B64" s="103"/>
      <c r="C64" s="121" t="str">
        <f t="array" ref="C64">ifs(and(isblank($A64),isblank($B64)),"", not(iserror(vlookup($A64&amp;$B64,'3) Release_Label'!$D:$D&amp;'3) Release_Label'!$E:$E,1,0))),vlookup($A64&amp;$B64,{'3) Release_Label'!$D:$D&amp;'3) Release_Label'!$E:$E,'3) Release_Label'!$F:$F},2,0), or(and(not(isblank($B64)),$B64=$B63,$A64&lt;&gt;$A63),and(not(isblank($A64)),$A64=$A63,$B64&lt;&gt;$B63)),"ID LISTS UNALIGNED",and($A64&lt;&gt;"",countif('3) Release_Label'!$D:$D,$A64)=0),"NO UPC MATCH in Release_Label",and($B64&lt;&gt;"",countif('3) Release_Label'!$E:$E,$B64)=0),"NO CATALOG ID MATCH in Release_Label",iserror(vlookup($A64&amp;$B64,'3) Release_Label'!$D:$D&amp;'3) Release_Label'!$E:$E,1,0)),"NO UPC-CATALOG ID pair MATCH in Release_Label" )</f>
        <v>Ashke Boliyan (From "Ashke" Soundtrack)</v>
      </c>
      <c r="D64" s="121" t="str">
        <f t="array" ref="D64">ifs(and(isblank($A64),isblank($B64)),"", not(iserror(vlookup($A64&amp;$B64,'3) Release_Label'!$D:$D&amp;'3) Release_Label'!$E:$E,1,0))),vlookup($A64&amp;$B64,{'3) Release_Label'!$D:$D&amp;'3) Release_Label'!$E:$E,'3) Release_Label'!$H:$H},2,0), or(and(not(isblank($B64)),$B64=$B63,$A64&lt;&gt;$A63),and(not(isblank($A64)),$A64=$A63,$B64&lt;&gt;$B63)),"ID LISTS UNALIGNED",and($A64&lt;&gt;"",countif('3) Release_Label'!$D:$D,$A64)=0),"NO UPC MATCH in Release_Label",and($B64&lt;&gt;"",countif('3) Release_Label'!$E:$E,$B64)=0),"NO CATALOG ID MATCH in Release_Label",iserror(vlookup($A64&amp;$B64,'3) Release_Label'!$D:$D&amp;'3) Release_Label'!$E:$E,1,0)),"NO UPC-CATALOG ID pair MATCH in Release_Label" )</f>
        <v/>
      </c>
      <c r="E64" s="141">
        <f t="shared" si="1"/>
        <v>1</v>
      </c>
      <c r="F64" s="51" t="s">
        <v>488</v>
      </c>
      <c r="G64" s="103"/>
      <c r="H64" s="51" t="s">
        <v>267</v>
      </c>
      <c r="J64" s="8" t="s">
        <v>173</v>
      </c>
      <c r="K64" s="142" t="s">
        <v>355</v>
      </c>
      <c r="L64" s="8" t="s">
        <v>356</v>
      </c>
      <c r="M64" s="45" t="s">
        <v>489</v>
      </c>
      <c r="N64" s="8" t="s">
        <v>357</v>
      </c>
      <c r="O64" s="99"/>
      <c r="P64" s="34"/>
    </row>
    <row r="65">
      <c r="A65" s="88">
        <v>9.995964336714E12</v>
      </c>
      <c r="B65" s="103"/>
      <c r="C65" s="121" t="str">
        <f t="array" ref="C65">ifs(and(isblank($A65),isblank($B65)),"", not(iserror(vlookup($A65&amp;$B65,'3) Release_Label'!$D:$D&amp;'3) Release_Label'!$E:$E,1,0))),vlookup($A65&amp;$B65,{'3) Release_Label'!$D:$D&amp;'3) Release_Label'!$E:$E,'3) Release_Label'!$F:$F},2,0), or(and(not(isblank($B65)),$B65=$B64,$A65&lt;&gt;$A64),and(not(isblank($A65)),$A65=$A64,$B65&lt;&gt;$B64)),"ID LISTS UNALIGNED",and($A65&lt;&gt;"",countif('3) Release_Label'!$D:$D,$A65)=0),"NO UPC MATCH in Release_Label",and($B65&lt;&gt;"",countif('3) Release_Label'!$E:$E,$B65)=0),"NO CATALOG ID MATCH in Release_Label",iserror(vlookup($A65&amp;$B65,'3) Release_Label'!$D:$D&amp;'3) Release_Label'!$E:$E,1,0)),"NO UPC-CATALOG ID pair MATCH in Release_Label" )</f>
        <v>Motion Poster Theme (From "Bhajjo Veero Ve" Soundtrack)</v>
      </c>
      <c r="D65" s="121" t="str">
        <f t="array" ref="D65">ifs(and(isblank($A65),isblank($B65)),"", not(iserror(vlookup($A65&amp;$B65,'3) Release_Label'!$D:$D&amp;'3) Release_Label'!$E:$E,1,0))),vlookup($A65&amp;$B65,{'3) Release_Label'!$D:$D&amp;'3) Release_Label'!$E:$E,'3) Release_Label'!$H:$H},2,0), or(and(not(isblank($B65)),$B65=$B64,$A65&lt;&gt;$A64),and(not(isblank($A65)),$A65=$A64,$B65&lt;&gt;$B64)),"ID LISTS UNALIGNED",and($A65&lt;&gt;"",countif('3) Release_Label'!$D:$D,$A65)=0),"NO UPC MATCH in Release_Label",and($B65&lt;&gt;"",countif('3) Release_Label'!$E:$E,$B65)=0),"NO CATALOG ID MATCH in Release_Label",iserror(vlookup($A65&amp;$B65,'3) Release_Label'!$D:$D&amp;'3) Release_Label'!$E:$E,1,0)),"NO UPC-CATALOG ID pair MATCH in Release_Label" )</f>
        <v/>
      </c>
      <c r="E65" s="141">
        <f t="shared" si="1"/>
        <v>1</v>
      </c>
      <c r="F65" s="51" t="s">
        <v>490</v>
      </c>
      <c r="G65" s="103"/>
      <c r="H65" s="51" t="s">
        <v>269</v>
      </c>
      <c r="J65" s="8" t="s">
        <v>173</v>
      </c>
      <c r="K65" s="142" t="s">
        <v>355</v>
      </c>
      <c r="L65" s="8" t="s">
        <v>356</v>
      </c>
      <c r="M65" s="45" t="s">
        <v>491</v>
      </c>
      <c r="N65" s="8" t="s">
        <v>357</v>
      </c>
      <c r="O65" s="99"/>
      <c r="P65" s="34"/>
    </row>
    <row r="66">
      <c r="A66" s="88">
        <v>9.995964336943E12</v>
      </c>
      <c r="B66" s="103"/>
      <c r="C66" s="121" t="str">
        <f t="array" ref="C66">ifs(and(isblank($A66),isblank($B66)),"", not(iserror(vlookup($A66&amp;$B66,'3) Release_Label'!$D:$D&amp;'3) Release_Label'!$E:$E,1,0))),vlookup($A66&amp;$B66,{'3) Release_Label'!$D:$D&amp;'3) Release_Label'!$E:$E,'3) Release_Label'!$F:$F},2,0), or(and(not(isblank($B66)),$B66=$B65,$A66&lt;&gt;$A65),and(not(isblank($A66)),$A66=$A65,$B66&lt;&gt;$B65)),"ID LISTS UNALIGNED",and($A66&lt;&gt;"",countif('3) Release_Label'!$D:$D,$A66)=0),"NO UPC MATCH in Release_Label",and($B66&lt;&gt;"",countif('3) Release_Label'!$E:$E,$B66)=0),"NO CATALOG ID MATCH in Release_Label",iserror(vlookup($A66&amp;$B66,'3) Release_Label'!$D:$D&amp;'3) Release_Label'!$E:$E,1,0)),"NO UPC-CATALOG ID pair MATCH in Release_Label" )</f>
        <v>Khyaal (From "Bhajjo Veero Ve" Soundtrack)</v>
      </c>
      <c r="D66" s="121" t="str">
        <f t="array" ref="D66">ifs(and(isblank($A66),isblank($B66)),"", not(iserror(vlookup($A66&amp;$B66,'3) Release_Label'!$D:$D&amp;'3) Release_Label'!$E:$E,1,0))),vlookup($A66&amp;$B66,{'3) Release_Label'!$D:$D&amp;'3) Release_Label'!$E:$E,'3) Release_Label'!$H:$H},2,0), or(and(not(isblank($B66)),$B66=$B65,$A66&lt;&gt;$A65),and(not(isblank($A66)),$A66=$A65,$B66&lt;&gt;$B65)),"ID LISTS UNALIGNED",and($A66&lt;&gt;"",countif('3) Release_Label'!$D:$D,$A66)=0),"NO UPC MATCH in Release_Label",and($B66&lt;&gt;"",countif('3) Release_Label'!$E:$E,$B66)=0),"NO CATALOG ID MATCH in Release_Label",iserror(vlookup($A66&amp;$B66,'3) Release_Label'!$D:$D&amp;'3) Release_Label'!$E:$E,1,0)),"NO UPC-CATALOG ID pair MATCH in Release_Label" )</f>
        <v/>
      </c>
      <c r="E66" s="141">
        <f t="shared" si="1"/>
        <v>1</v>
      </c>
      <c r="F66" s="51" t="s">
        <v>492</v>
      </c>
      <c r="G66" s="103"/>
      <c r="H66" s="51" t="s">
        <v>271</v>
      </c>
      <c r="J66" s="8" t="s">
        <v>173</v>
      </c>
      <c r="K66" s="142" t="s">
        <v>355</v>
      </c>
      <c r="L66" s="8" t="s">
        <v>356</v>
      </c>
      <c r="M66" s="45" t="s">
        <v>493</v>
      </c>
      <c r="N66" s="8" t="s">
        <v>357</v>
      </c>
      <c r="O66" s="99"/>
      <c r="P66" s="34"/>
    </row>
    <row r="67">
      <c r="A67" s="88">
        <v>9.995964336981E12</v>
      </c>
      <c r="B67" s="103"/>
      <c r="C67" s="121" t="str">
        <f t="array" ref="C67">ifs(and(isblank($A67),isblank($B67)),"", not(iserror(vlookup($A67&amp;$B67,'3) Release_Label'!$D:$D&amp;'3) Release_Label'!$E:$E,1,0))),vlookup($A67&amp;$B67,{'3) Release_Label'!$D:$D&amp;'3) Release_Label'!$E:$E,'3) Release_Label'!$F:$F},2,0), or(and(not(isblank($B67)),$B67=$B66,$A67&lt;&gt;$A66),and(not(isblank($A67)),$A67=$A66,$B67&lt;&gt;$B66)),"ID LISTS UNALIGNED",and($A67&lt;&gt;"",countif('3) Release_Label'!$D:$D,$A67)=0),"NO UPC MATCH in Release_Label",and($B67&lt;&gt;"",countif('3) Release_Label'!$E:$E,$B67)=0),"NO CATALOG ID MATCH in Release_Label",iserror(vlookup($A67&amp;$B67,'3) Release_Label'!$D:$D&amp;'3) Release_Label'!$E:$E,1,0)),"NO UPC-CATALOG ID pair MATCH in Release_Label" )</f>
        <v>Car Reebna Wali (From "Bhajjo Veero Ve" Soundtrack)</v>
      </c>
      <c r="D67" s="121" t="str">
        <f t="array" ref="D67">ifs(and(isblank($A67),isblank($B67)),"", not(iserror(vlookup($A67&amp;$B67,'3) Release_Label'!$D:$D&amp;'3) Release_Label'!$E:$E,1,0))),vlookup($A67&amp;$B67,{'3) Release_Label'!$D:$D&amp;'3) Release_Label'!$E:$E,'3) Release_Label'!$H:$H},2,0), or(and(not(isblank($B67)),$B67=$B66,$A67&lt;&gt;$A66),and(not(isblank($A67)),$A67=$A66,$B67&lt;&gt;$B66)),"ID LISTS UNALIGNED",and($A67&lt;&gt;"",countif('3) Release_Label'!$D:$D,$A67)=0),"NO UPC MATCH in Release_Label",and($B67&lt;&gt;"",countif('3) Release_Label'!$E:$E,$B67)=0),"NO CATALOG ID MATCH in Release_Label",iserror(vlookup($A67&amp;$B67,'3) Release_Label'!$D:$D&amp;'3) Release_Label'!$E:$E,1,0)),"NO UPC-CATALOG ID pair MATCH in Release_Label" )</f>
        <v/>
      </c>
      <c r="E67" s="141">
        <f t="shared" si="1"/>
        <v>1</v>
      </c>
      <c r="F67" s="51" t="s">
        <v>494</v>
      </c>
      <c r="G67" s="103"/>
      <c r="H67" s="51" t="s">
        <v>273</v>
      </c>
      <c r="J67" s="8" t="s">
        <v>173</v>
      </c>
      <c r="K67" s="142" t="s">
        <v>355</v>
      </c>
      <c r="L67" s="8" t="s">
        <v>356</v>
      </c>
      <c r="M67" s="45" t="s">
        <v>495</v>
      </c>
      <c r="N67" s="8" t="s">
        <v>357</v>
      </c>
      <c r="O67" s="99"/>
      <c r="P67" s="34"/>
    </row>
    <row r="68">
      <c r="A68" s="88">
        <v>9.995964337339E12</v>
      </c>
      <c r="B68" s="103"/>
      <c r="C68" s="121" t="str">
        <f t="array" ref="C68">ifs(and(isblank($A68),isblank($B68)),"", not(iserror(vlookup($A68&amp;$B68,'3) Release_Label'!$D:$D&amp;'3) Release_Label'!$E:$E,1,0))),vlookup($A68&amp;$B68,{'3) Release_Label'!$D:$D&amp;'3) Release_Label'!$E:$E,'3) Release_Label'!$F:$F},2,0), or(and(not(isblank($B68)),$B68=$B67,$A68&lt;&gt;$A67),and(not(isblank($A68)),$A68=$A67,$B68&lt;&gt;$B67)),"ID LISTS UNALIGNED",and($A68&lt;&gt;"",countif('3) Release_Label'!$D:$D,$A68)=0),"NO UPC MATCH in Release_Label",and($B68&lt;&gt;"",countif('3) Release_Label'!$E:$E,$B68)=0),"NO CATALOG ID MATCH in Release_Label",iserror(vlookup($A68&amp;$B68,'3) Release_Label'!$D:$D&amp;'3) Release_Label'!$E:$E,1,0)),"NO UPC-CATALOG ID pair MATCH in Release_Label" )</f>
        <v>Bhaggi Love</v>
      </c>
      <c r="D68" s="121" t="str">
        <f t="array" ref="D68">ifs(and(isblank($A68),isblank($B68)),"", not(iserror(vlookup($A68&amp;$B68,'3) Release_Label'!$D:$D&amp;'3) Release_Label'!$E:$E,1,0))),vlookup($A68&amp;$B68,{'3) Release_Label'!$D:$D&amp;'3) Release_Label'!$E:$E,'3) Release_Label'!$H:$H},2,0), or(and(not(isblank($B68)),$B68=$B67,$A68&lt;&gt;$A67),and(not(isblank($A68)),$A68=$A67,$B68&lt;&gt;$B67)),"ID LISTS UNALIGNED",and($A68&lt;&gt;"",countif('3) Release_Label'!$D:$D,$A68)=0),"NO UPC MATCH in Release_Label",and($B68&lt;&gt;"",countif('3) Release_Label'!$E:$E,$B68)=0),"NO CATALOG ID MATCH in Release_Label",iserror(vlookup($A68&amp;$B68,'3) Release_Label'!$D:$D&amp;'3) Release_Label'!$E:$E,1,0)),"NO UPC-CATALOG ID pair MATCH in Release_Label" )</f>
        <v/>
      </c>
      <c r="E68" s="141">
        <f t="shared" si="1"/>
        <v>1</v>
      </c>
      <c r="F68" s="51" t="s">
        <v>496</v>
      </c>
      <c r="G68" s="103"/>
      <c r="H68" s="51" t="s">
        <v>275</v>
      </c>
      <c r="J68" s="8" t="s">
        <v>173</v>
      </c>
      <c r="K68" s="142" t="s">
        <v>355</v>
      </c>
      <c r="L68" s="8" t="s">
        <v>356</v>
      </c>
      <c r="M68" s="45" t="s">
        <v>497</v>
      </c>
      <c r="N68" s="8" t="s">
        <v>357</v>
      </c>
      <c r="O68" s="99"/>
      <c r="P68" s="34"/>
    </row>
    <row r="69">
      <c r="A69" s="88">
        <v>9.995964337346E12</v>
      </c>
      <c r="B69" s="103"/>
      <c r="C69" s="121" t="str">
        <f t="array" ref="C69">ifs(and(isblank($A69),isblank($B69)),"", not(iserror(vlookup($A69&amp;$B69,'3) Release_Label'!$D:$D&amp;'3) Release_Label'!$E:$E,1,0))),vlookup($A69&amp;$B69,{'3) Release_Label'!$D:$D&amp;'3) Release_Label'!$E:$E,'3) Release_Label'!$F:$F},2,0), or(and(not(isblank($B69)),$B69=$B68,$A69&lt;&gt;$A68),and(not(isblank($A69)),$A69=$A68,$B69&lt;&gt;$B68)),"ID LISTS UNALIGNED",and($A69&lt;&gt;"",countif('3) Release_Label'!$D:$D,$A69)=0),"NO UPC MATCH in Release_Label",and($B69&lt;&gt;"",countif('3) Release_Label'!$E:$E,$B69)=0),"NO CATALOG ID MATCH in Release_Label",iserror(vlookup($A69&amp;$B69,'3) Release_Label'!$D:$D&amp;'3) Release_Label'!$E:$E,1,0)),"NO UPC-CATALOG ID pair MATCH in Release_Label" )</f>
        <v>Chunni Cho Asmaan (From "Bhajjo Veero Ve" Soundtrack)</v>
      </c>
      <c r="D69" s="121" t="str">
        <f t="array" ref="D69">ifs(and(isblank($A69),isblank($B69)),"", not(iserror(vlookup($A69&amp;$B69,'3) Release_Label'!$D:$D&amp;'3) Release_Label'!$E:$E,1,0))),vlookup($A69&amp;$B69,{'3) Release_Label'!$D:$D&amp;'3) Release_Label'!$E:$E,'3) Release_Label'!$H:$H},2,0), or(and(not(isblank($B69)),$B69=$B68,$A69&lt;&gt;$A68),and(not(isblank($A69)),$A69=$A68,$B69&lt;&gt;$B68)),"ID LISTS UNALIGNED",and($A69&lt;&gt;"",countif('3) Release_Label'!$D:$D,$A69)=0),"NO UPC MATCH in Release_Label",and($B69&lt;&gt;"",countif('3) Release_Label'!$E:$E,$B69)=0),"NO CATALOG ID MATCH in Release_Label",iserror(vlookup($A69&amp;$B69,'3) Release_Label'!$D:$D&amp;'3) Release_Label'!$E:$E,1,0)),"NO UPC-CATALOG ID pair MATCH in Release_Label" )</f>
        <v/>
      </c>
      <c r="E69" s="141">
        <f t="shared" si="1"/>
        <v>1</v>
      </c>
      <c r="F69" s="51" t="s">
        <v>498</v>
      </c>
      <c r="G69" s="103"/>
      <c r="H69" s="51" t="s">
        <v>277</v>
      </c>
      <c r="J69" s="8" t="s">
        <v>173</v>
      </c>
      <c r="K69" s="142" t="s">
        <v>355</v>
      </c>
      <c r="L69" s="8" t="s">
        <v>356</v>
      </c>
      <c r="M69" s="45" t="s">
        <v>499</v>
      </c>
      <c r="N69" s="8" t="s">
        <v>357</v>
      </c>
      <c r="O69" s="99"/>
      <c r="P69" s="34"/>
    </row>
    <row r="70">
      <c r="A70" s="88">
        <v>9.995964338275E12</v>
      </c>
      <c r="B70" s="103"/>
      <c r="C70" s="121" t="str">
        <f t="array" ref="C70">ifs(and(isblank($A70),isblank($B70)),"", not(iserror(vlookup($A70&amp;$B70,'3) Release_Label'!$D:$D&amp;'3) Release_Label'!$E:$E,1,0))),vlookup($A70&amp;$B70,{'3) Release_Label'!$D:$D&amp;'3) Release_Label'!$E:$E,'3) Release_Label'!$F:$F},2,0), or(and(not(isblank($B70)),$B70=$B69,$A70&lt;&gt;$A69),and(not(isblank($A70)),$A70=$A69,$B70&lt;&gt;$B69)),"ID LISTS UNALIGNED",and($A70&lt;&gt;"",countif('3) Release_Label'!$D:$D,$A70)=0),"NO UPC MATCH in Release_Label",and($B70&lt;&gt;"",countif('3) Release_Label'!$E:$E,$B70)=0),"NO CATALOG ID MATCH in Release_Label",iserror(vlookup($A70&amp;$B70,'3) Release_Label'!$D:$D&amp;'3) Release_Label'!$E:$E,1,0)),"NO UPC-CATALOG ID pair MATCH in Release_Label" )</f>
        <v>Lehnga (From "Bhajjo Veero Ve" Soundtrack)</v>
      </c>
      <c r="D70" s="121" t="str">
        <f t="array" ref="D70">ifs(and(isblank($A70),isblank($B70)),"", not(iserror(vlookup($A70&amp;$B70,'3) Release_Label'!$D:$D&amp;'3) Release_Label'!$E:$E,1,0))),vlookup($A70&amp;$B70,{'3) Release_Label'!$D:$D&amp;'3) Release_Label'!$E:$E,'3) Release_Label'!$H:$H},2,0), or(and(not(isblank($B70)),$B70=$B69,$A70&lt;&gt;$A69),and(not(isblank($A70)),$A70=$A69,$B70&lt;&gt;$B69)),"ID LISTS UNALIGNED",and($A70&lt;&gt;"",countif('3) Release_Label'!$D:$D,$A70)=0),"NO UPC MATCH in Release_Label",and($B70&lt;&gt;"",countif('3) Release_Label'!$E:$E,$B70)=0),"NO CATALOG ID MATCH in Release_Label",iserror(vlookup($A70&amp;$B70,'3) Release_Label'!$D:$D&amp;'3) Release_Label'!$E:$E,1,0)),"NO UPC-CATALOG ID pair MATCH in Release_Label" )</f>
        <v/>
      </c>
      <c r="E70" s="141">
        <f t="shared" si="1"/>
        <v>1</v>
      </c>
      <c r="F70" s="51" t="s">
        <v>500</v>
      </c>
      <c r="G70" s="103"/>
      <c r="H70" s="51" t="s">
        <v>279</v>
      </c>
      <c r="J70" s="8" t="s">
        <v>173</v>
      </c>
      <c r="K70" s="142" t="s">
        <v>355</v>
      </c>
      <c r="L70" s="8" t="s">
        <v>356</v>
      </c>
      <c r="M70" s="45" t="s">
        <v>501</v>
      </c>
      <c r="N70" s="8" t="s">
        <v>357</v>
      </c>
      <c r="O70" s="99"/>
      <c r="P70" s="34"/>
    </row>
    <row r="71">
      <c r="A71" s="88">
        <v>9.995964340322E12</v>
      </c>
      <c r="B71" s="103"/>
      <c r="C71" s="121" t="str">
        <f t="array" ref="C71">ifs(and(isblank($A71),isblank($B71)),"", not(iserror(vlookup($A71&amp;$B71,'3) Release_Label'!$D:$D&amp;'3) Release_Label'!$E:$E,1,0))),vlookup($A71&amp;$B71,{'3) Release_Label'!$D:$D&amp;'3) Release_Label'!$E:$E,'3) Release_Label'!$F:$F},2,0), or(and(not(isblank($B71)),$B71=$B70,$A71&lt;&gt;$A70),and(not(isblank($A71)),$A71=$A70,$B71&lt;&gt;$B70)),"ID LISTS UNALIGNED",and($A71&lt;&gt;"",countif('3) Release_Label'!$D:$D,$A71)=0),"NO UPC MATCH in Release_Label",and($B71&lt;&gt;"",countif('3) Release_Label'!$E:$E,$B71)=0),"NO CATALOG ID MATCH in Release_Label",iserror(vlookup($A71&amp;$B71,'3) Release_Label'!$D:$D&amp;'3) Release_Label'!$E:$E,1,0)),"NO UPC-CATALOG ID pair MATCH in Release_Label" )</f>
        <v>Darshan Mehnge (From "Laiye Je Yaarian" Soundtrack)</v>
      </c>
      <c r="D71" s="121" t="str">
        <f t="array" ref="D71">ifs(and(isblank($A71),isblank($B71)),"", not(iserror(vlookup($A71&amp;$B71,'3) Release_Label'!$D:$D&amp;'3) Release_Label'!$E:$E,1,0))),vlookup($A71&amp;$B71,{'3) Release_Label'!$D:$D&amp;'3) Release_Label'!$E:$E,'3) Release_Label'!$H:$H},2,0), or(and(not(isblank($B71)),$B71=$B70,$A71&lt;&gt;$A70),and(not(isblank($A71)),$A71=$A70,$B71&lt;&gt;$B70)),"ID LISTS UNALIGNED",and($A71&lt;&gt;"",countif('3) Release_Label'!$D:$D,$A71)=0),"NO UPC MATCH in Release_Label",and($B71&lt;&gt;"",countif('3) Release_Label'!$E:$E,$B71)=0),"NO CATALOG ID MATCH in Release_Label",iserror(vlookup($A71&amp;$B71,'3) Release_Label'!$D:$D&amp;'3) Release_Label'!$E:$E,1,0)),"NO UPC-CATALOG ID pair MATCH in Release_Label" )</f>
        <v/>
      </c>
      <c r="E71" s="141">
        <f t="shared" si="1"/>
        <v>1</v>
      </c>
      <c r="F71" s="51" t="s">
        <v>502</v>
      </c>
      <c r="G71" s="103"/>
      <c r="H71" s="51" t="s">
        <v>281</v>
      </c>
      <c r="J71" s="8" t="s">
        <v>173</v>
      </c>
      <c r="K71" s="142" t="s">
        <v>355</v>
      </c>
      <c r="L71" s="8" t="s">
        <v>356</v>
      </c>
      <c r="M71" s="45" t="s">
        <v>503</v>
      </c>
      <c r="N71" s="8" t="s">
        <v>357</v>
      </c>
      <c r="O71" s="99"/>
      <c r="P71" s="34"/>
    </row>
    <row r="72">
      <c r="A72" s="88">
        <v>9.995964340483E12</v>
      </c>
      <c r="B72" s="103"/>
      <c r="C72" s="121" t="str">
        <f t="array" ref="C72">ifs(and(isblank($A72),isblank($B72)),"", not(iserror(vlookup($A72&amp;$B72,'3) Release_Label'!$D:$D&amp;'3) Release_Label'!$E:$E,1,0))),vlookup($A72&amp;$B72,{'3) Release_Label'!$D:$D&amp;'3) Release_Label'!$E:$E,'3) Release_Label'!$F:$F},2,0), or(and(not(isblank($B72)),$B72=$B71,$A72&lt;&gt;$A71),and(not(isblank($A72)),$A72=$A71,$B72&lt;&gt;$B71)),"ID LISTS UNALIGNED",and($A72&lt;&gt;"",countif('3) Release_Label'!$D:$D,$A72)=0),"NO UPC MATCH in Release_Label",and($B72&lt;&gt;"",countif('3) Release_Label'!$E:$E,$B72)=0),"NO CATALOG ID MATCH in Release_Label",iserror(vlookup($A72&amp;$B72,'3) Release_Label'!$D:$D&amp;'3) Release_Label'!$E:$E,1,0)),"NO UPC-CATALOG ID pair MATCH in Release_Label" )</f>
        <v>Aah Ki Hoya (From "Laiye Je Yaarian" Soundtrack)</v>
      </c>
      <c r="D72" s="121" t="str">
        <f t="array" ref="D72">ifs(and(isblank($A72),isblank($B72)),"", not(iserror(vlookup($A72&amp;$B72,'3) Release_Label'!$D:$D&amp;'3) Release_Label'!$E:$E,1,0))),vlookup($A72&amp;$B72,{'3) Release_Label'!$D:$D&amp;'3) Release_Label'!$E:$E,'3) Release_Label'!$H:$H},2,0), or(and(not(isblank($B72)),$B72=$B71,$A72&lt;&gt;$A71),and(not(isblank($A72)),$A72=$A71,$B72&lt;&gt;$B71)),"ID LISTS UNALIGNED",and($A72&lt;&gt;"",countif('3) Release_Label'!$D:$D,$A72)=0),"NO UPC MATCH in Release_Label",and($B72&lt;&gt;"",countif('3) Release_Label'!$E:$E,$B72)=0),"NO CATALOG ID MATCH in Release_Label",iserror(vlookup($A72&amp;$B72,'3) Release_Label'!$D:$D&amp;'3) Release_Label'!$E:$E,1,0)),"NO UPC-CATALOG ID pair MATCH in Release_Label" )</f>
        <v/>
      </c>
      <c r="E72" s="141">
        <f t="shared" si="1"/>
        <v>1</v>
      </c>
      <c r="F72" s="51" t="s">
        <v>504</v>
      </c>
      <c r="G72" s="103"/>
      <c r="H72" s="51" t="s">
        <v>283</v>
      </c>
      <c r="J72" s="8" t="s">
        <v>173</v>
      </c>
      <c r="K72" s="142" t="s">
        <v>355</v>
      </c>
      <c r="L72" s="8" t="s">
        <v>356</v>
      </c>
      <c r="M72" s="45" t="s">
        <v>505</v>
      </c>
      <c r="N72" s="8" t="s">
        <v>357</v>
      </c>
      <c r="O72" s="99"/>
      <c r="P72" s="34"/>
    </row>
    <row r="73">
      <c r="A73" s="88">
        <v>9.995964340612E12</v>
      </c>
      <c r="B73" s="103"/>
      <c r="C73" s="121" t="str">
        <f t="array" ref="C73">ifs(and(isblank($A73),isblank($B73)),"", not(iserror(vlookup($A73&amp;$B73,'3) Release_Label'!$D:$D&amp;'3) Release_Label'!$E:$E,1,0))),vlookup($A73&amp;$B73,{'3) Release_Label'!$D:$D&amp;'3) Release_Label'!$E:$E,'3) Release_Label'!$F:$F},2,0), or(and(not(isblank($B73)),$B73=$B72,$A73&lt;&gt;$A72),and(not(isblank($A73)),$A73=$A72,$B73&lt;&gt;$B72)),"ID LISTS UNALIGNED",and($A73&lt;&gt;"",countif('3) Release_Label'!$D:$D,$A73)=0),"NO UPC MATCH in Release_Label",and($B73&lt;&gt;"",countif('3) Release_Label'!$E:$E,$B73)=0),"NO CATALOG ID MATCH in Release_Label",iserror(vlookup($A73&amp;$B73,'3) Release_Label'!$D:$D&amp;'3) Release_Label'!$E:$E,1,0)),"NO UPC-CATALOG ID pair MATCH in Release_Label" )</f>
        <v>Mathi Mathi (From "Laiye Je Yaarian" Soundtrack)</v>
      </c>
      <c r="D73" s="121" t="str">
        <f t="array" ref="D73">ifs(and(isblank($A73),isblank($B73)),"", not(iserror(vlookup($A73&amp;$B73,'3) Release_Label'!$D:$D&amp;'3) Release_Label'!$E:$E,1,0))),vlookup($A73&amp;$B73,{'3) Release_Label'!$D:$D&amp;'3) Release_Label'!$E:$E,'3) Release_Label'!$H:$H},2,0), or(and(not(isblank($B73)),$B73=$B72,$A73&lt;&gt;$A72),and(not(isblank($A73)),$A73=$A72,$B73&lt;&gt;$B72)),"ID LISTS UNALIGNED",and($A73&lt;&gt;"",countif('3) Release_Label'!$D:$D,$A73)=0),"NO UPC MATCH in Release_Label",and($B73&lt;&gt;"",countif('3) Release_Label'!$E:$E,$B73)=0),"NO CATALOG ID MATCH in Release_Label",iserror(vlookup($A73&amp;$B73,'3) Release_Label'!$D:$D&amp;'3) Release_Label'!$E:$E,1,0)),"NO UPC-CATALOG ID pair MATCH in Release_Label" )</f>
        <v/>
      </c>
      <c r="E73" s="141">
        <f t="shared" si="1"/>
        <v>1</v>
      </c>
      <c r="F73" s="51" t="s">
        <v>506</v>
      </c>
      <c r="G73" s="103"/>
      <c r="H73" s="51" t="s">
        <v>285</v>
      </c>
      <c r="J73" s="8" t="s">
        <v>173</v>
      </c>
      <c r="K73" s="142" t="s">
        <v>355</v>
      </c>
      <c r="L73" s="8" t="s">
        <v>356</v>
      </c>
      <c r="M73" s="45" t="s">
        <v>507</v>
      </c>
      <c r="N73" s="8" t="s">
        <v>357</v>
      </c>
      <c r="O73" s="99"/>
      <c r="P73" s="34"/>
    </row>
    <row r="74">
      <c r="A74" s="88">
        <v>9.995964340759E12</v>
      </c>
      <c r="B74" s="103"/>
      <c r="C74" s="121" t="str">
        <f t="array" ref="C74">ifs(and(isblank($A74),isblank($B74)),"", not(iserror(vlookup($A74&amp;$B74,'3) Release_Label'!$D:$D&amp;'3) Release_Label'!$E:$E,1,0))),vlookup($A74&amp;$B74,{'3) Release_Label'!$D:$D&amp;'3) Release_Label'!$E:$E,'3) Release_Label'!$F:$F},2,0), or(and(not(isblank($B74)),$B74=$B73,$A74&lt;&gt;$A73),and(not(isblank($A74)),$A74=$A73,$B74&lt;&gt;$B73)),"ID LISTS UNALIGNED",and($A74&lt;&gt;"",countif('3) Release_Label'!$D:$D,$A74)=0),"NO UPC MATCH in Release_Label",and($B74&lt;&gt;"",countif('3) Release_Label'!$E:$E,$B74)=0),"NO CATALOG ID MATCH in Release_Label",iserror(vlookup($A74&amp;$B74,'3) Release_Label'!$D:$D&amp;'3) Release_Label'!$E:$E,1,0)),"NO UPC-CATALOG ID pair MATCH in Release_Label" )</f>
        <v>Meri Aakad (From "Laiye Je Yaarian" Soundtrack)</v>
      </c>
      <c r="D74" s="121" t="str">
        <f t="array" ref="D74">ifs(and(isblank($A74),isblank($B74)),"", not(iserror(vlookup($A74&amp;$B74,'3) Release_Label'!$D:$D&amp;'3) Release_Label'!$E:$E,1,0))),vlookup($A74&amp;$B74,{'3) Release_Label'!$D:$D&amp;'3) Release_Label'!$E:$E,'3) Release_Label'!$H:$H},2,0), or(and(not(isblank($B74)),$B74=$B73,$A74&lt;&gt;$A73),and(not(isblank($A74)),$A74=$A73,$B74&lt;&gt;$B73)),"ID LISTS UNALIGNED",and($A74&lt;&gt;"",countif('3) Release_Label'!$D:$D,$A74)=0),"NO UPC MATCH in Release_Label",and($B74&lt;&gt;"",countif('3) Release_Label'!$E:$E,$B74)=0),"NO CATALOG ID MATCH in Release_Label",iserror(vlookup($A74&amp;$B74,'3) Release_Label'!$D:$D&amp;'3) Release_Label'!$E:$E,1,0)),"NO UPC-CATALOG ID pair MATCH in Release_Label" )</f>
        <v/>
      </c>
      <c r="E74" s="141">
        <f t="shared" si="1"/>
        <v>1</v>
      </c>
      <c r="F74" s="51" t="s">
        <v>508</v>
      </c>
      <c r="G74" s="103"/>
      <c r="H74" s="51" t="s">
        <v>287</v>
      </c>
      <c r="J74" s="8" t="s">
        <v>173</v>
      </c>
      <c r="K74" s="142" t="s">
        <v>355</v>
      </c>
      <c r="L74" s="8" t="s">
        <v>356</v>
      </c>
      <c r="M74" s="45" t="s">
        <v>509</v>
      </c>
      <c r="N74" s="8" t="s">
        <v>357</v>
      </c>
      <c r="O74" s="99"/>
      <c r="P74" s="34"/>
    </row>
    <row r="75">
      <c r="A75" s="88">
        <v>9.995964340933E12</v>
      </c>
      <c r="B75" s="103"/>
      <c r="C75" s="121" t="str">
        <f t="array" ref="C75">ifs(and(isblank($A75),isblank($B75)),"", not(iserror(vlookup($A75&amp;$B75,'3) Release_Label'!$D:$D&amp;'3) Release_Label'!$E:$E,1,0))),vlookup($A75&amp;$B75,{'3) Release_Label'!$D:$D&amp;'3) Release_Label'!$E:$E,'3) Release_Label'!$F:$F},2,0), or(and(not(isblank($B75)),$B75=$B74,$A75&lt;&gt;$A74),and(not(isblank($A75)),$A75=$A74,$B75&lt;&gt;$B74)),"ID LISTS UNALIGNED",and($A75&lt;&gt;"",countif('3) Release_Label'!$D:$D,$A75)=0),"NO UPC MATCH in Release_Label",and($B75&lt;&gt;"",countif('3) Release_Label'!$E:$E,$B75)=0),"NO CATALOG ID MATCH in Release_Label",iserror(vlookup($A75&amp;$B75,'3) Release_Label'!$D:$D&amp;'3) Release_Label'!$E:$E,1,0)),"NO UPC-CATALOG ID pair MATCH in Release_Label" )</f>
        <v>Dil Main Nahi Laona (From "Laiye Je Yaarian" Soundtrack)</v>
      </c>
      <c r="D75" s="121" t="str">
        <f t="array" ref="D75">ifs(and(isblank($A75),isblank($B75)),"", not(iserror(vlookup($A75&amp;$B75,'3) Release_Label'!$D:$D&amp;'3) Release_Label'!$E:$E,1,0))),vlookup($A75&amp;$B75,{'3) Release_Label'!$D:$D&amp;'3) Release_Label'!$E:$E,'3) Release_Label'!$H:$H},2,0), or(and(not(isblank($B75)),$B75=$B74,$A75&lt;&gt;$A74),and(not(isblank($A75)),$A75=$A74,$B75&lt;&gt;$B74)),"ID LISTS UNALIGNED",and($A75&lt;&gt;"",countif('3) Release_Label'!$D:$D,$A75)=0),"NO UPC MATCH in Release_Label",and($B75&lt;&gt;"",countif('3) Release_Label'!$E:$E,$B75)=0),"NO CATALOG ID MATCH in Release_Label",iserror(vlookup($A75&amp;$B75,'3) Release_Label'!$D:$D&amp;'3) Release_Label'!$E:$E,1,0)),"NO UPC-CATALOG ID pair MATCH in Release_Label" )</f>
        <v/>
      </c>
      <c r="E75" s="141">
        <f t="shared" si="1"/>
        <v>1</v>
      </c>
      <c r="F75" s="51" t="s">
        <v>510</v>
      </c>
      <c r="G75" s="103"/>
      <c r="H75" s="51" t="s">
        <v>289</v>
      </c>
      <c r="J75" s="8" t="s">
        <v>173</v>
      </c>
      <c r="K75" s="142" t="s">
        <v>355</v>
      </c>
      <c r="L75" s="8" t="s">
        <v>356</v>
      </c>
      <c r="M75" s="45" t="s">
        <v>511</v>
      </c>
      <c r="N75" s="8" t="s">
        <v>357</v>
      </c>
      <c r="O75" s="99"/>
      <c r="P75" s="34"/>
    </row>
    <row r="76">
      <c r="A76" s="88">
        <v>9.995964340933E12</v>
      </c>
      <c r="B76" s="103"/>
      <c r="C76" s="121" t="str">
        <f t="array" ref="C76">ifs(and(isblank($A76),isblank($B76)),"", not(iserror(vlookup($A76&amp;$B76,'3) Release_Label'!$D:$D&amp;'3) Release_Label'!$E:$E,1,0))),vlookup($A76&amp;$B76,{'3) Release_Label'!$D:$D&amp;'3) Release_Label'!$E:$E,'3) Release_Label'!$F:$F},2,0), or(and(not(isblank($B76)),$B76=$B75,$A76&lt;&gt;$A75),and(not(isblank($A76)),$A76=$A75,$B76&lt;&gt;$B75)),"ID LISTS UNALIGNED",and($A76&lt;&gt;"",countif('3) Release_Label'!$D:$D,$A76)=0),"NO UPC MATCH in Release_Label",and($B76&lt;&gt;"",countif('3) Release_Label'!$E:$E,$B76)=0),"NO CATALOG ID MATCH in Release_Label",iserror(vlookup($A76&amp;$B76,'3) Release_Label'!$D:$D&amp;'3) Release_Label'!$E:$E,1,0)),"NO UPC-CATALOG ID pair MATCH in Release_Label" )</f>
        <v>Dil Main Nahi Laona (From "Laiye Je Yaarian" Soundtrack)</v>
      </c>
      <c r="D76" s="121" t="str">
        <f t="array" ref="D76">ifs(and(isblank($A76),isblank($B76)),"", not(iserror(vlookup($A76&amp;$B76,'3) Release_Label'!$D:$D&amp;'3) Release_Label'!$E:$E,1,0))),vlookup($A76&amp;$B76,{'3) Release_Label'!$D:$D&amp;'3) Release_Label'!$E:$E,'3) Release_Label'!$H:$H},2,0), or(and(not(isblank($B76)),$B76=$B75,$A76&lt;&gt;$A75),and(not(isblank($A76)),$A76=$A75,$B76&lt;&gt;$B75)),"ID LISTS UNALIGNED",and($A76&lt;&gt;"",countif('3) Release_Label'!$D:$D,$A76)=0),"NO UPC MATCH in Release_Label",and($B76&lt;&gt;"",countif('3) Release_Label'!$E:$E,$B76)=0),"NO CATALOG ID MATCH in Release_Label",iserror(vlookup($A76&amp;$B76,'3) Release_Label'!$D:$D&amp;'3) Release_Label'!$E:$E,1,0)),"NO UPC-CATALOG ID pair MATCH in Release_Label" )</f>
        <v/>
      </c>
      <c r="E76" s="141">
        <f t="shared" si="1"/>
        <v>2</v>
      </c>
      <c r="F76" s="51" t="s">
        <v>512</v>
      </c>
      <c r="G76" s="103"/>
      <c r="H76" s="50" t="s">
        <v>289</v>
      </c>
      <c r="I76" s="8" t="s">
        <v>513</v>
      </c>
      <c r="J76" s="8" t="s">
        <v>173</v>
      </c>
      <c r="K76" s="142" t="s">
        <v>355</v>
      </c>
      <c r="L76" s="8" t="s">
        <v>356</v>
      </c>
      <c r="M76" s="45" t="s">
        <v>514</v>
      </c>
      <c r="N76" s="8" t="s">
        <v>357</v>
      </c>
      <c r="O76" s="99"/>
      <c r="P76" s="34"/>
    </row>
    <row r="77">
      <c r="A77" s="88">
        <v>9.995964341268E12</v>
      </c>
      <c r="B77" s="103"/>
      <c r="C77" s="121" t="str">
        <f t="array" ref="C77">ifs(and(isblank($A77),isblank($B77)),"", not(iserror(vlookup($A77&amp;$B77,'3) Release_Label'!$D:$D&amp;'3) Release_Label'!$E:$E,1,0))),vlookup($A77&amp;$B77,{'3) Release_Label'!$D:$D&amp;'3) Release_Label'!$E:$E,'3) Release_Label'!$F:$F},2,0), or(and(not(isblank($B77)),$B77=$B76,$A77&lt;&gt;$A76),and(not(isblank($A77)),$A77=$A76,$B77&lt;&gt;$B76)),"ID LISTS UNALIGNED",and($A77&lt;&gt;"",countif('3) Release_Label'!$D:$D,$A77)=0),"NO UPC MATCH in Release_Label",and($B77&lt;&gt;"",countif('3) Release_Label'!$E:$E,$B77)=0),"NO CATALOG ID MATCH in Release_Label",iserror(vlookup($A77&amp;$B77,'3) Release_Label'!$D:$D&amp;'3) Release_Label'!$E:$E,1,0)),"NO UPC-CATALOG ID pair MATCH in Release_Label" )</f>
        <v>U &amp; I (From "Laiye Je Yaarian" Soundtrack)</v>
      </c>
      <c r="D77" s="121" t="str">
        <f t="array" ref="D77">ifs(and(isblank($A77),isblank($B77)),"", not(iserror(vlookup($A77&amp;$B77,'3) Release_Label'!$D:$D&amp;'3) Release_Label'!$E:$E,1,0))),vlookup($A77&amp;$B77,{'3) Release_Label'!$D:$D&amp;'3) Release_Label'!$E:$E,'3) Release_Label'!$H:$H},2,0), or(and(not(isblank($B77)),$B77=$B76,$A77&lt;&gt;$A76),and(not(isblank($A77)),$A77=$A76,$B77&lt;&gt;$B76)),"ID LISTS UNALIGNED",and($A77&lt;&gt;"",countif('3) Release_Label'!$D:$D,$A77)=0),"NO UPC MATCH in Release_Label",and($B77&lt;&gt;"",countif('3) Release_Label'!$E:$E,$B77)=0),"NO CATALOG ID MATCH in Release_Label",iserror(vlookup($A77&amp;$B77,'3) Release_Label'!$D:$D&amp;'3) Release_Label'!$E:$E,1,0)),"NO UPC-CATALOG ID pair MATCH in Release_Label" )</f>
        <v/>
      </c>
      <c r="E77" s="141">
        <f t="shared" si="1"/>
        <v>1</v>
      </c>
      <c r="F77" s="51" t="s">
        <v>515</v>
      </c>
      <c r="G77" s="103"/>
      <c r="H77" s="51" t="s">
        <v>291</v>
      </c>
      <c r="J77" s="8" t="s">
        <v>173</v>
      </c>
      <c r="K77" s="142" t="s">
        <v>355</v>
      </c>
      <c r="L77" s="8" t="s">
        <v>356</v>
      </c>
      <c r="M77" s="45" t="s">
        <v>516</v>
      </c>
      <c r="N77" s="8" t="s">
        <v>357</v>
      </c>
      <c r="O77" s="99"/>
      <c r="P77" s="34"/>
    </row>
    <row r="78">
      <c r="A78" s="88">
        <v>9.995964341831E12</v>
      </c>
      <c r="B78" s="103"/>
      <c r="C78" s="121" t="str">
        <f t="array" ref="C78">ifs(and(isblank($A78),isblank($B78)),"", not(iserror(vlookup($A78&amp;$B78,'3) Release_Label'!$D:$D&amp;'3) Release_Label'!$E:$E,1,0))),vlookup($A78&amp;$B78,{'3) Release_Label'!$D:$D&amp;'3) Release_Label'!$E:$E,'3) Release_Label'!$F:$F},2,0), or(and(not(isblank($B78)),$B78=$B77,$A78&lt;&gt;$A77),and(not(isblank($A78)),$A78=$A77,$B78&lt;&gt;$B77)),"ID LISTS UNALIGNED",and($A78&lt;&gt;"",countif('3) Release_Label'!$D:$D,$A78)=0),"NO UPC MATCH in Release_Label",and($B78&lt;&gt;"",countif('3) Release_Label'!$E:$E,$B78)=0),"NO CATALOG ID MATCH in Release_Label",iserror(vlookup($A78&amp;$B78,'3) Release_Label'!$D:$D&amp;'3) Release_Label'!$E:$E,1,0)),"NO UPC-CATALOG ID pair MATCH in Release_Label" )</f>
        <v>Kurti De Mor (From "Laiye Je Yaarian" Soundtrack)</v>
      </c>
      <c r="D78" s="121" t="str">
        <f t="array" ref="D78">ifs(and(isblank($A78),isblank($B78)),"", not(iserror(vlookup($A78&amp;$B78,'3) Release_Label'!$D:$D&amp;'3) Release_Label'!$E:$E,1,0))),vlookup($A78&amp;$B78,{'3) Release_Label'!$D:$D&amp;'3) Release_Label'!$E:$E,'3) Release_Label'!$H:$H},2,0), or(and(not(isblank($B78)),$B78=$B77,$A78&lt;&gt;$A77),and(not(isblank($A78)),$A78=$A77,$B78&lt;&gt;$B77)),"ID LISTS UNALIGNED",and($A78&lt;&gt;"",countif('3) Release_Label'!$D:$D,$A78)=0),"NO UPC MATCH in Release_Label",and($B78&lt;&gt;"",countif('3) Release_Label'!$E:$E,$B78)=0),"NO CATALOG ID MATCH in Release_Label",iserror(vlookup($A78&amp;$B78,'3) Release_Label'!$D:$D&amp;'3) Release_Label'!$E:$E,1,0)),"NO UPC-CATALOG ID pair MATCH in Release_Label" )</f>
        <v/>
      </c>
      <c r="E78" s="141">
        <f t="shared" si="1"/>
        <v>1</v>
      </c>
      <c r="F78" s="51" t="s">
        <v>517</v>
      </c>
      <c r="G78" s="103"/>
      <c r="H78" s="51" t="s">
        <v>293</v>
      </c>
      <c r="J78" s="8" t="s">
        <v>173</v>
      </c>
      <c r="K78" s="142" t="s">
        <v>355</v>
      </c>
      <c r="L78" s="8" t="s">
        <v>356</v>
      </c>
      <c r="M78" s="45" t="s">
        <v>518</v>
      </c>
      <c r="N78" s="8" t="s">
        <v>357</v>
      </c>
      <c r="O78" s="99"/>
      <c r="P78" s="34"/>
    </row>
    <row r="79">
      <c r="A79" s="88">
        <v>9.995964342975E12</v>
      </c>
      <c r="B79" s="103"/>
      <c r="C79" s="121" t="str">
        <f t="array" ref="C79">ifs(and(isblank($A79),isblank($B79)),"", not(iserror(vlookup($A79&amp;$B79,'3) Release_Label'!$D:$D&amp;'3) Release_Label'!$E:$E,1,0))),vlookup($A79&amp;$B79,{'3) Release_Label'!$D:$D&amp;'3) Release_Label'!$E:$E,'3) Release_Label'!$F:$F},2,0), or(and(not(isblank($B79)),$B79=$B78,$A79&lt;&gt;$A78),and(not(isblank($A79)),$A79=$A78,$B79&lt;&gt;$B78)),"ID LISTS UNALIGNED",and($A79&lt;&gt;"",countif('3) Release_Label'!$D:$D,$A79)=0),"NO UPC MATCH in Release_Label",and($B79&lt;&gt;"",countif('3) Release_Label'!$E:$E,$B79)=0),"NO CATALOG ID MATCH in Release_Label",iserror(vlookup($A79&amp;$B79,'3) Release_Label'!$D:$D&amp;'3) Release_Label'!$E:$E,1,0)),"NO UPC-CATALOG ID pair MATCH in Release_Label" )</f>
        <v>Baddlan De Kaalje (From "Chal Mera Putt" Soundtrack)</v>
      </c>
      <c r="D79" s="121" t="str">
        <f t="array" ref="D79">ifs(and(isblank($A79),isblank($B79)),"", not(iserror(vlookup($A79&amp;$B79,'3) Release_Label'!$D:$D&amp;'3) Release_Label'!$E:$E,1,0))),vlookup($A79&amp;$B79,{'3) Release_Label'!$D:$D&amp;'3) Release_Label'!$E:$E,'3) Release_Label'!$H:$H},2,0), or(and(not(isblank($B79)),$B79=$B78,$A79&lt;&gt;$A78),and(not(isblank($A79)),$A79=$A78,$B79&lt;&gt;$B78)),"ID LISTS UNALIGNED",and($A79&lt;&gt;"",countif('3) Release_Label'!$D:$D,$A79)=0),"NO UPC MATCH in Release_Label",and($B79&lt;&gt;"",countif('3) Release_Label'!$E:$E,$B79)=0),"NO CATALOG ID MATCH in Release_Label",iserror(vlookup($A79&amp;$B79,'3) Release_Label'!$D:$D&amp;'3) Release_Label'!$E:$E,1,0)),"NO UPC-CATALOG ID pair MATCH in Release_Label" )</f>
        <v/>
      </c>
      <c r="E79" s="141">
        <f t="shared" si="1"/>
        <v>1</v>
      </c>
      <c r="F79" s="51" t="s">
        <v>519</v>
      </c>
      <c r="G79" s="103"/>
      <c r="H79" s="51" t="s">
        <v>295</v>
      </c>
      <c r="J79" s="8" t="s">
        <v>173</v>
      </c>
      <c r="K79" s="142" t="s">
        <v>355</v>
      </c>
      <c r="L79" s="8" t="s">
        <v>356</v>
      </c>
      <c r="M79" s="45" t="s">
        <v>520</v>
      </c>
      <c r="N79" s="8" t="s">
        <v>357</v>
      </c>
      <c r="O79" s="99"/>
      <c r="P79" s="34"/>
    </row>
    <row r="80">
      <c r="A80" s="88">
        <v>9.995964343125E12</v>
      </c>
      <c r="B80" s="103"/>
      <c r="C80" s="121" t="str">
        <f t="array" ref="C80">ifs(and(isblank($A80),isblank($B80)),"", not(iserror(vlookup($A80&amp;$B80,'3) Release_Label'!$D:$D&amp;'3) Release_Label'!$E:$E,1,0))),vlookup($A80&amp;$B80,{'3) Release_Label'!$D:$D&amp;'3) Release_Label'!$E:$E,'3) Release_Label'!$F:$F},2,0), or(and(not(isblank($B80)),$B80=$B79,$A80&lt;&gt;$A79),and(not(isblank($A80)),$A80=$A79,$B80&lt;&gt;$B79)),"ID LISTS UNALIGNED",and($A80&lt;&gt;"",countif('3) Release_Label'!$D:$D,$A80)=0),"NO UPC MATCH in Release_Label",and($B80&lt;&gt;"",countif('3) Release_Label'!$E:$E,$B80)=0),"NO CATALOG ID MATCH in Release_Label",iserror(vlookup($A80&amp;$B80,'3) Release_Label'!$D:$D&amp;'3) Release_Label'!$E:$E,1,0)),"NO UPC-CATALOG ID pair MATCH in Release_Label" )</f>
        <v>Chal Mera Putt - Title Track (From "Chal Mera Putt" Soundtrack)</v>
      </c>
      <c r="D80" s="121" t="str">
        <f t="array" ref="D80">ifs(and(isblank($A80),isblank($B80)),"", not(iserror(vlookup($A80&amp;$B80,'3) Release_Label'!$D:$D&amp;'3) Release_Label'!$E:$E,1,0))),vlookup($A80&amp;$B80,{'3) Release_Label'!$D:$D&amp;'3) Release_Label'!$E:$E,'3) Release_Label'!$H:$H},2,0), or(and(not(isblank($B80)),$B80=$B79,$A80&lt;&gt;$A79),and(not(isblank($A80)),$A80=$A79,$B80&lt;&gt;$B79)),"ID LISTS UNALIGNED",and($A80&lt;&gt;"",countif('3) Release_Label'!$D:$D,$A80)=0),"NO UPC MATCH in Release_Label",and($B80&lt;&gt;"",countif('3) Release_Label'!$E:$E,$B80)=0),"NO CATALOG ID MATCH in Release_Label",iserror(vlookup($A80&amp;$B80,'3) Release_Label'!$D:$D&amp;'3) Release_Label'!$E:$E,1,0)),"NO UPC-CATALOG ID pair MATCH in Release_Label" )</f>
        <v/>
      </c>
      <c r="E80" s="141">
        <f t="shared" si="1"/>
        <v>1</v>
      </c>
      <c r="F80" s="51" t="s">
        <v>521</v>
      </c>
      <c r="G80" s="103"/>
      <c r="H80" s="51" t="s">
        <v>297</v>
      </c>
      <c r="J80" s="8" t="s">
        <v>173</v>
      </c>
      <c r="K80" s="142" t="s">
        <v>355</v>
      </c>
      <c r="L80" s="8" t="s">
        <v>356</v>
      </c>
      <c r="M80" s="45" t="s">
        <v>522</v>
      </c>
      <c r="N80" s="8" t="s">
        <v>357</v>
      </c>
      <c r="O80" s="99"/>
      <c r="P80" s="34"/>
    </row>
    <row r="81">
      <c r="A81" s="88">
        <v>9.995964343309E12</v>
      </c>
      <c r="B81" s="103"/>
      <c r="C81" s="121" t="str">
        <f t="array" ref="C81">ifs(and(isblank($A81),isblank($B81)),"", not(iserror(vlookup($A81&amp;$B81,'3) Release_Label'!$D:$D&amp;'3) Release_Label'!$E:$E,1,0))),vlookup($A81&amp;$B81,{'3) Release_Label'!$D:$D&amp;'3) Release_Label'!$E:$E,'3) Release_Label'!$F:$F},2,0), or(and(not(isblank($B81)),$B81=$B80,$A81&lt;&gt;$A80),and(not(isblank($A81)),$A81=$A80,$B81&lt;&gt;$B80)),"ID LISTS UNALIGNED",and($A81&lt;&gt;"",countif('3) Release_Label'!$D:$D,$A81)=0),"NO UPC MATCH in Release_Label",and($B81&lt;&gt;"",countif('3) Release_Label'!$E:$E,$B81)=0),"NO CATALOG ID MATCH in Release_Label",iserror(vlookup($A81&amp;$B81,'3) Release_Label'!$D:$D&amp;'3) Release_Label'!$E:$E,1,0)),"NO UPC-CATALOG ID pair MATCH in Release_Label" )</f>
        <v>Aaban De Deson (From "Chal Mera Putt" Soundtrack)</v>
      </c>
      <c r="D81" s="121" t="str">
        <f t="array" ref="D81">ifs(and(isblank($A81),isblank($B81)),"", not(iserror(vlookup($A81&amp;$B81,'3) Release_Label'!$D:$D&amp;'3) Release_Label'!$E:$E,1,0))),vlookup($A81&amp;$B81,{'3) Release_Label'!$D:$D&amp;'3) Release_Label'!$E:$E,'3) Release_Label'!$H:$H},2,0), or(and(not(isblank($B81)),$B81=$B80,$A81&lt;&gt;$A80),and(not(isblank($A81)),$A81=$A80,$B81&lt;&gt;$B80)),"ID LISTS UNALIGNED",and($A81&lt;&gt;"",countif('3) Release_Label'!$D:$D,$A81)=0),"NO UPC MATCH in Release_Label",and($B81&lt;&gt;"",countif('3) Release_Label'!$E:$E,$B81)=0),"NO CATALOG ID MATCH in Release_Label",iserror(vlookup($A81&amp;$B81,'3) Release_Label'!$D:$D&amp;'3) Release_Label'!$E:$E,1,0)),"NO UPC-CATALOG ID pair MATCH in Release_Label" )</f>
        <v/>
      </c>
      <c r="E81" s="141">
        <f t="shared" si="1"/>
        <v>1</v>
      </c>
      <c r="F81" s="51" t="s">
        <v>523</v>
      </c>
      <c r="G81" s="103"/>
      <c r="H81" s="51" t="s">
        <v>299</v>
      </c>
      <c r="J81" s="8" t="s">
        <v>173</v>
      </c>
      <c r="K81" s="142" t="s">
        <v>355</v>
      </c>
      <c r="L81" s="8" t="s">
        <v>356</v>
      </c>
      <c r="M81" s="45" t="s">
        <v>524</v>
      </c>
      <c r="N81" s="8" t="s">
        <v>357</v>
      </c>
      <c r="O81" s="99"/>
      <c r="P81" s="34"/>
    </row>
    <row r="82">
      <c r="A82" s="88">
        <v>9.995964343538E12</v>
      </c>
      <c r="B82" s="103"/>
      <c r="C82" s="121" t="str">
        <f t="array" ref="C82">ifs(and(isblank($A82),isblank($B82)),"", not(iserror(vlookup($A82&amp;$B82,'3) Release_Label'!$D:$D&amp;'3) Release_Label'!$E:$E,1,0))),vlookup($A82&amp;$B82,{'3) Release_Label'!$D:$D&amp;'3) Release_Label'!$E:$E,'3) Release_Label'!$F:$F},2,0), or(and(not(isblank($B82)),$B82=$B81,$A82&lt;&gt;$A81),and(not(isblank($A82)),$A82=$A81,$B82&lt;&gt;$B81)),"ID LISTS UNALIGNED",and($A82&lt;&gt;"",countif('3) Release_Label'!$D:$D,$A82)=0),"NO UPC MATCH in Release_Label",and($B82&lt;&gt;"",countif('3) Release_Label'!$E:$E,$B82)=0),"NO CATALOG ID MATCH in Release_Label",iserror(vlookup($A82&amp;$B82,'3) Release_Label'!$D:$D&amp;'3) Release_Label'!$E:$E,1,0)),"NO UPC-CATALOG ID pair MATCH in Release_Label" )</f>
        <v>Shiftaan (From "Chal Mera Putt" Soundtrack)</v>
      </c>
      <c r="D82" s="121" t="str">
        <f t="array" ref="D82">ifs(and(isblank($A82),isblank($B82)),"", not(iserror(vlookup($A82&amp;$B82,'3) Release_Label'!$D:$D&amp;'3) Release_Label'!$E:$E,1,0))),vlookup($A82&amp;$B82,{'3) Release_Label'!$D:$D&amp;'3) Release_Label'!$E:$E,'3) Release_Label'!$H:$H},2,0), or(and(not(isblank($B82)),$B82=$B81,$A82&lt;&gt;$A81),and(not(isblank($A82)),$A82=$A81,$B82&lt;&gt;$B81)),"ID LISTS UNALIGNED",and($A82&lt;&gt;"",countif('3) Release_Label'!$D:$D,$A82)=0),"NO UPC MATCH in Release_Label",and($B82&lt;&gt;"",countif('3) Release_Label'!$E:$E,$B82)=0),"NO CATALOG ID MATCH in Release_Label",iserror(vlookup($A82&amp;$B82,'3) Release_Label'!$D:$D&amp;'3) Release_Label'!$E:$E,1,0)),"NO UPC-CATALOG ID pair MATCH in Release_Label" )</f>
        <v/>
      </c>
      <c r="E82" s="141">
        <f t="shared" si="1"/>
        <v>1</v>
      </c>
      <c r="F82" s="51" t="s">
        <v>525</v>
      </c>
      <c r="G82" s="103"/>
      <c r="H82" s="51" t="s">
        <v>301</v>
      </c>
      <c r="J82" s="8" t="s">
        <v>173</v>
      </c>
      <c r="K82" s="142" t="s">
        <v>355</v>
      </c>
      <c r="L82" s="8" t="s">
        <v>356</v>
      </c>
      <c r="M82" s="45" t="s">
        <v>526</v>
      </c>
      <c r="N82" s="8" t="s">
        <v>357</v>
      </c>
      <c r="O82" s="99"/>
      <c r="P82" s="34"/>
    </row>
    <row r="83">
      <c r="A83" s="88">
        <v>9.99596434391E12</v>
      </c>
      <c r="B83" s="103"/>
      <c r="C83" s="121" t="str">
        <f t="array" ref="C83">ifs(and(isblank($A83),isblank($B83)),"", not(iserror(vlookup($A83&amp;$B83,'3) Release_Label'!$D:$D&amp;'3) Release_Label'!$E:$E,1,0))),vlookup($A83&amp;$B83,{'3) Release_Label'!$D:$D&amp;'3) Release_Label'!$E:$E,'3) Release_Label'!$F:$F},2,0), or(and(not(isblank($B83)),$B83=$B82,$A83&lt;&gt;$A82),and(not(isblank($A83)),$A83=$A82,$B83&lt;&gt;$B82)),"ID LISTS UNALIGNED",and($A83&lt;&gt;"",countif('3) Release_Label'!$D:$D,$A83)=0),"NO UPC MATCH in Release_Label",and($B83&lt;&gt;"",countif('3) Release_Label'!$E:$E,$B83)=0),"NO CATALOG ID MATCH in Release_Label",iserror(vlookup($A83&amp;$B83,'3) Release_Label'!$D:$D&amp;'3) Release_Label'!$E:$E,1,0)),"NO UPC-CATALOG ID pair MATCH in Release_Label" )</f>
        <v>Gallan Na Changian (From "Chal Mera Putt" Soundtrack)</v>
      </c>
      <c r="D83" s="121" t="str">
        <f t="array" ref="D83">ifs(and(isblank($A83),isblank($B83)),"", not(iserror(vlookup($A83&amp;$B83,'3) Release_Label'!$D:$D&amp;'3) Release_Label'!$E:$E,1,0))),vlookup($A83&amp;$B83,{'3) Release_Label'!$D:$D&amp;'3) Release_Label'!$E:$E,'3) Release_Label'!$H:$H},2,0), or(and(not(isblank($B83)),$B83=$B82,$A83&lt;&gt;$A82),and(not(isblank($A83)),$A83=$A82,$B83&lt;&gt;$B82)),"ID LISTS UNALIGNED",and($A83&lt;&gt;"",countif('3) Release_Label'!$D:$D,$A83)=0),"NO UPC MATCH in Release_Label",and($B83&lt;&gt;"",countif('3) Release_Label'!$E:$E,$B83)=0),"NO CATALOG ID MATCH in Release_Label",iserror(vlookup($A83&amp;$B83,'3) Release_Label'!$D:$D&amp;'3) Release_Label'!$E:$E,1,0)),"NO UPC-CATALOG ID pair MATCH in Release_Label" )</f>
        <v/>
      </c>
      <c r="E83" s="141">
        <f t="shared" si="1"/>
        <v>1</v>
      </c>
      <c r="F83" s="51" t="s">
        <v>527</v>
      </c>
      <c r="G83" s="103"/>
      <c r="H83" s="51" t="s">
        <v>303</v>
      </c>
      <c r="J83" s="8" t="s">
        <v>173</v>
      </c>
      <c r="K83" s="142" t="s">
        <v>355</v>
      </c>
      <c r="L83" s="8" t="s">
        <v>356</v>
      </c>
      <c r="M83" s="45" t="s">
        <v>528</v>
      </c>
      <c r="N83" s="8" t="s">
        <v>357</v>
      </c>
      <c r="O83" s="99"/>
      <c r="P83" s="34"/>
    </row>
    <row r="84">
      <c r="A84" s="88">
        <v>9.995964351885E12</v>
      </c>
      <c r="B84" s="103"/>
      <c r="C84" s="121" t="str">
        <f t="array" ref="C84">ifs(and(isblank($A84),isblank($B84)),"", not(iserror(vlookup($A84&amp;$B84,'3) Release_Label'!$D:$D&amp;'3) Release_Label'!$E:$E,1,0))),vlookup($A84&amp;$B84,{'3) Release_Label'!$D:$D&amp;'3) Release_Label'!$E:$E,'3) Release_Label'!$F:$F},2,0), or(and(not(isblank($B84)),$B84=$B83,$A84&lt;&gt;$A83),and(not(isblank($A84)),$A84=$A83,$B84&lt;&gt;$B83)),"ID LISTS UNALIGNED",and($A84&lt;&gt;"",countif('3) Release_Label'!$D:$D,$A84)=0),"NO UPC MATCH in Release_Label",and($B84&lt;&gt;"",countif('3) Release_Label'!$E:$E,$B84)=0),"NO CATALOG ID MATCH in Release_Label",iserror(vlookup($A84&amp;$B84,'3) Release_Label'!$D:$D&amp;'3) Release_Label'!$E:$E,1,0)),"NO UPC-CATALOG ID pair MATCH in Release_Label" )</f>
        <v>Nanak Aadh Jugaadh Jiyo</v>
      </c>
      <c r="D84" s="121" t="str">
        <f t="array" ref="D84">ifs(and(isblank($A84),isblank($B84)),"", not(iserror(vlookup($A84&amp;$B84,'3) Release_Label'!$D:$D&amp;'3) Release_Label'!$E:$E,1,0))),vlookup($A84&amp;$B84,{'3) Release_Label'!$D:$D&amp;'3) Release_Label'!$E:$E,'3) Release_Label'!$H:$H},2,0), or(and(not(isblank($B84)),$B84=$B83,$A84&lt;&gt;$A83),and(not(isblank($A84)),$A84=$A83,$B84&lt;&gt;$B83)),"ID LISTS UNALIGNED",and($A84&lt;&gt;"",countif('3) Release_Label'!$D:$D,$A84)=0),"NO UPC MATCH in Release_Label",and($B84&lt;&gt;"",countif('3) Release_Label'!$E:$E,$B84)=0),"NO CATALOG ID MATCH in Release_Label",iserror(vlookup($A84&amp;$B84,'3) Release_Label'!$D:$D&amp;'3) Release_Label'!$E:$E,1,0)),"NO UPC-CATALOG ID pair MATCH in Release_Label" )</f>
        <v/>
      </c>
      <c r="E84" s="141">
        <f t="shared" si="1"/>
        <v>1</v>
      </c>
      <c r="F84" s="51" t="s">
        <v>529</v>
      </c>
      <c r="G84" s="103"/>
      <c r="H84" s="51" t="s">
        <v>305</v>
      </c>
      <c r="J84" s="8" t="s">
        <v>173</v>
      </c>
      <c r="K84" s="142" t="s">
        <v>355</v>
      </c>
      <c r="L84" s="8" t="s">
        <v>356</v>
      </c>
      <c r="M84" s="45" t="s">
        <v>530</v>
      </c>
      <c r="N84" s="8" t="s">
        <v>357</v>
      </c>
      <c r="O84" s="99"/>
      <c r="P84" s="34"/>
    </row>
    <row r="85">
      <c r="A85" s="88">
        <v>9.995964366124E12</v>
      </c>
      <c r="B85" s="103"/>
      <c r="C85" s="121" t="str">
        <f t="array" ref="C85">ifs(and(isblank($A85),isblank($B85)),"", not(iserror(vlookup($A85&amp;$B85,'3) Release_Label'!$D:$D&amp;'3) Release_Label'!$E:$E,1,0))),vlookup($A85&amp;$B85,{'3) Release_Label'!$D:$D&amp;'3) Release_Label'!$E:$E,'3) Release_Label'!$F:$F},2,0), or(and(not(isblank($B85)),$B85=#REF!,$A85&lt;&gt;#REF!),and(not(isblank($A85)),$A85=#REF!,$B85&lt;&gt;#REF!)),"ID LISTS UNALIGNED",and($A85&lt;&gt;"",countif('3) Release_Label'!$D:$D,$A85)=0),"NO UPC MATCH in Release_Label",and($B85&lt;&gt;"",countif('3) Release_Label'!$E:$E,$B85)=0),"NO CATALOG ID MATCH in Release_Label",iserror(vlookup($A85&amp;$B85,'3) Release_Label'!$D:$D&amp;'3) Release_Label'!$E:$E,1,0)),"NO UPC-CATALOG ID pair MATCH in Release_Label" )</f>
        <v>Boota Gaalan Kad Da Ae (From "Chal Mera Putt 2" Soundtrack)</v>
      </c>
      <c r="D85" s="121" t="str">
        <f t="array" ref="D85">ifs(and(isblank($A85),isblank($B85)),"", not(iserror(vlookup($A85&amp;$B85,'3) Release_Label'!$D:$D&amp;'3) Release_Label'!$E:$E,1,0))),vlookup($A85&amp;$B85,{'3) Release_Label'!$D:$D&amp;'3) Release_Label'!$E:$E,'3) Release_Label'!$H:$H},2,0), or(and(not(isblank($B85)),$B85=#REF!,$A85&lt;&gt;#REF!),and(not(isblank($A85)),$A85=#REF!,$B85&lt;&gt;#REF!)),"ID LISTS UNALIGNED",and($A85&lt;&gt;"",countif('3) Release_Label'!$D:$D,$A85)=0),"NO UPC MATCH in Release_Label",and($B85&lt;&gt;"",countif('3) Release_Label'!$E:$E,$B85)=0),"NO CATALOG ID MATCH in Release_Label",iserror(vlookup($A85&amp;$B85,'3) Release_Label'!$D:$D&amp;'3) Release_Label'!$E:$E,1,0)),"NO UPC-CATALOG ID pair MATCH in Release_Label" )</f>
        <v/>
      </c>
      <c r="E85" s="141">
        <v>1.0</v>
      </c>
      <c r="F85" s="51" t="s">
        <v>531</v>
      </c>
      <c r="G85" s="103"/>
      <c r="H85" s="51" t="s">
        <v>307</v>
      </c>
      <c r="J85" s="8" t="s">
        <v>173</v>
      </c>
      <c r="K85" s="142" t="s">
        <v>355</v>
      </c>
      <c r="L85" s="8" t="s">
        <v>356</v>
      </c>
      <c r="M85" s="45" t="s">
        <v>532</v>
      </c>
      <c r="N85" s="8" t="s">
        <v>357</v>
      </c>
      <c r="O85" s="99"/>
      <c r="P85" s="34"/>
    </row>
    <row r="86">
      <c r="A86" s="88">
        <v>9.995964367343E12</v>
      </c>
      <c r="B86" s="103"/>
      <c r="C86" s="121" t="str">
        <f t="array" ref="C86">ifs(and(isblank($A86),isblank($B86)),"", not(iserror(vlookup($A86&amp;$B86,'3) Release_Label'!$D:$D&amp;'3) Release_Label'!$E:$E,1,0))),vlookup($A86&amp;$B86,{'3) Release_Label'!$D:$D&amp;'3) Release_Label'!$E:$E,'3) Release_Label'!$F:$F},2,0), or(and(not(isblank($B86)),$B86=$B85,$A86&lt;&gt;$A85),and(not(isblank($A86)),$A86=$A85,$B86&lt;&gt;$B85)),"ID LISTS UNALIGNED",and($A86&lt;&gt;"",countif('3) Release_Label'!$D:$D,$A86)=0),"NO UPC MATCH in Release_Label",and($B86&lt;&gt;"",countif('3) Release_Label'!$E:$E,$B86)=0),"NO CATALOG ID MATCH in Release_Label",iserror(vlookup($A86&amp;$B86,'3) Release_Label'!$D:$D&amp;'3) Release_Label'!$E:$E,1,0)),"NO UPC-CATALOG ID pair MATCH in Release_Label" )</f>
        <v>Majboori (From "Chal Mera Putt 2" Soundtrack)</v>
      </c>
      <c r="D86" s="121" t="str">
        <f t="array" ref="D86">ifs(and(isblank($A86),isblank($B86)),"", not(iserror(vlookup($A86&amp;$B86,'3) Release_Label'!$D:$D&amp;'3) Release_Label'!$E:$E,1,0))),vlookup($A86&amp;$B86,{'3) Release_Label'!$D:$D&amp;'3) Release_Label'!$E:$E,'3) Release_Label'!$H:$H},2,0), or(and(not(isblank($B86)),$B86=$B85,$A86&lt;&gt;$A85),and(not(isblank($A86)),$A86=$A85,$B86&lt;&gt;$B85)),"ID LISTS UNALIGNED",and($A86&lt;&gt;"",countif('3) Release_Label'!$D:$D,$A86)=0),"NO UPC MATCH in Release_Label",and($B86&lt;&gt;"",countif('3) Release_Label'!$E:$E,$B86)=0),"NO CATALOG ID MATCH in Release_Label",iserror(vlookup($A86&amp;$B86,'3) Release_Label'!$D:$D&amp;'3) Release_Label'!$E:$E,1,0)),"NO UPC-CATALOG ID pair MATCH in Release_Label" )</f>
        <v/>
      </c>
      <c r="E86" s="141">
        <f t="shared" ref="E86:E996" si="2">if(and(isblank($A86),isblank($B86)),"",if(not(iserror(find("MATCH in ",D86))),D86,if(or(and(not(isblank($B86)),$B86=$B85,$A86&lt;&gt;$A85),and(not(isblank($A86)),$A86=$A85,$B86&lt;&gt;$B85)),"ID LISTS UNALIGNED",if(not(isblank($A86)),if($A86=$A85,1+E85,1),if($B86=$B85,1+E85,1)))))</f>
        <v>1</v>
      </c>
      <c r="F86" s="51" t="s">
        <v>533</v>
      </c>
      <c r="G86" s="103"/>
      <c r="H86" s="51" t="s">
        <v>309</v>
      </c>
      <c r="J86" s="8" t="s">
        <v>173</v>
      </c>
      <c r="K86" s="142" t="s">
        <v>355</v>
      </c>
      <c r="L86" s="8" t="s">
        <v>356</v>
      </c>
      <c r="M86" s="45" t="s">
        <v>534</v>
      </c>
      <c r="N86" s="8" t="s">
        <v>357</v>
      </c>
      <c r="O86" s="99"/>
      <c r="P86" s="34"/>
    </row>
    <row r="87">
      <c r="A87" s="88">
        <v>9.995964368173E12</v>
      </c>
      <c r="B87" s="103"/>
      <c r="C87" s="121" t="str">
        <f t="array" ref="C87">ifs(and(isblank($A87),isblank($B87)),"", not(iserror(vlookup($A87&amp;$B87,'3) Release_Label'!$D:$D&amp;'3) Release_Label'!$E:$E,1,0))),vlookup($A87&amp;$B87,{'3) Release_Label'!$D:$D&amp;'3) Release_Label'!$E:$E,'3) Release_Label'!$F:$F},2,0), or(and(not(isblank($B87)),$B87=$B86,$A87&lt;&gt;$A86),and(not(isblank($A87)),$A87=$A86,$B87&lt;&gt;$B86)),"ID LISTS UNALIGNED",and($A87&lt;&gt;"",countif('3) Release_Label'!$D:$D,$A87)=0),"NO UPC MATCH in Release_Label",and($B87&lt;&gt;"",countif('3) Release_Label'!$E:$E,$B87)=0),"NO CATALOG ID MATCH in Release_Label",iserror(vlookup($A87&amp;$B87,'3) Release_Label'!$D:$D&amp;'3) Release_Label'!$E:$E,1,0)),"NO UPC-CATALOG ID pair MATCH in Release_Label" )</f>
        <v>Majhe Wal Da (From "Chal Mera Putt 2" Soundtrack)</v>
      </c>
      <c r="D87" s="121" t="str">
        <f t="array" ref="D87">ifs(and(isblank($A87),isblank($B87)),"", not(iserror(vlookup($A87&amp;$B87,'3) Release_Label'!$D:$D&amp;'3) Release_Label'!$E:$E,1,0))),vlookup($A87&amp;$B87,{'3) Release_Label'!$D:$D&amp;'3) Release_Label'!$E:$E,'3) Release_Label'!$H:$H},2,0), or(and(not(isblank($B87)),$B87=$B86,$A87&lt;&gt;$A86),and(not(isblank($A87)),$A87=$A86,$B87&lt;&gt;$B86)),"ID LISTS UNALIGNED",and($A87&lt;&gt;"",countif('3) Release_Label'!$D:$D,$A87)=0),"NO UPC MATCH in Release_Label",and($B87&lt;&gt;"",countif('3) Release_Label'!$E:$E,$B87)=0),"NO CATALOG ID MATCH in Release_Label",iserror(vlookup($A87&amp;$B87,'3) Release_Label'!$D:$D&amp;'3) Release_Label'!$E:$E,1,0)),"NO UPC-CATALOG ID pair MATCH in Release_Label" )</f>
        <v/>
      </c>
      <c r="E87" s="141">
        <f t="shared" si="2"/>
        <v>1</v>
      </c>
      <c r="F87" s="51" t="s">
        <v>535</v>
      </c>
      <c r="G87" s="103"/>
      <c r="H87" s="51" t="s">
        <v>311</v>
      </c>
      <c r="J87" s="8" t="s">
        <v>173</v>
      </c>
      <c r="K87" s="142" t="s">
        <v>355</v>
      </c>
      <c r="L87" s="8" t="s">
        <v>356</v>
      </c>
      <c r="M87" s="45" t="s">
        <v>536</v>
      </c>
      <c r="N87" s="8" t="s">
        <v>357</v>
      </c>
      <c r="O87" s="99"/>
      <c r="P87" s="34"/>
    </row>
    <row r="88">
      <c r="A88" s="88">
        <v>9.999552111417E12</v>
      </c>
      <c r="B88" s="103"/>
      <c r="C88" s="121" t="str">
        <f t="array" ref="C88">ifs(and(isblank($A88),isblank($B88)),"", not(iserror(vlookup($A88&amp;$B88,'3) Release_Label'!$D:$D&amp;'3) Release_Label'!$E:$E,1,0))),vlookup($A88&amp;$B88,{'3) Release_Label'!$D:$D&amp;'3) Release_Label'!$E:$E,'3) Release_Label'!$F:$F},2,0), or(and(not(isblank($B88)),$B88=$B87,$A88&lt;&gt;$A87),and(not(isblank($A88)),$A88=$A87,$B88&lt;&gt;$B87)),"ID LISTS UNALIGNED",and($A88&lt;&gt;"",countif('3) Release_Label'!$D:$D,$A88)=0),"NO UPC MATCH in Release_Label",and($B88&lt;&gt;"",countif('3) Release_Label'!$E:$E,$B88)=0),"NO CATALOG ID MATCH in Release_Label",iserror(vlookup($A88&amp;$B88,'3) Release_Label'!$D:$D&amp;'3) Release_Label'!$E:$E,1,0)),"NO UPC-CATALOG ID pair MATCH in Release_Label" )</f>
        <v>Doubt</v>
      </c>
      <c r="D88" s="121" t="str">
        <f t="array" ref="D88">ifs(and(isblank($A88),isblank($B88)),"", not(iserror(vlookup($A88&amp;$B88,'3) Release_Label'!$D:$D&amp;'3) Release_Label'!$E:$E,1,0))),vlookup($A88&amp;$B88,{'3) Release_Label'!$D:$D&amp;'3) Release_Label'!$E:$E,'3) Release_Label'!$H:$H},2,0), or(and(not(isblank($B88)),$B88=$B87,$A88&lt;&gt;$A87),and(not(isblank($A88)),$A88=$A87,$B88&lt;&gt;$B87)),"ID LISTS UNALIGNED",and($A88&lt;&gt;"",countif('3) Release_Label'!$D:$D,$A88)=0),"NO UPC MATCH in Release_Label",and($B88&lt;&gt;"",countif('3) Release_Label'!$E:$E,$B88)=0),"NO CATALOG ID MATCH in Release_Label",iserror(vlookup($A88&amp;$B88,'3) Release_Label'!$D:$D&amp;'3) Release_Label'!$E:$E,1,0)),"NO UPC-CATALOG ID pair MATCH in Release_Label" )</f>
        <v/>
      </c>
      <c r="E88" s="141">
        <f t="shared" si="2"/>
        <v>1</v>
      </c>
      <c r="F88" s="51" t="s">
        <v>537</v>
      </c>
      <c r="G88" s="103"/>
      <c r="H88" s="51" t="s">
        <v>313</v>
      </c>
      <c r="J88" s="8" t="s">
        <v>173</v>
      </c>
      <c r="K88" s="142" t="s">
        <v>355</v>
      </c>
      <c r="L88" s="8" t="s">
        <v>356</v>
      </c>
      <c r="M88" s="45" t="s">
        <v>538</v>
      </c>
      <c r="N88" s="8" t="s">
        <v>357</v>
      </c>
      <c r="O88" s="99"/>
      <c r="P88" s="34"/>
    </row>
    <row r="89">
      <c r="A89" s="100"/>
      <c r="B89" s="103"/>
      <c r="C89" s="121" t="str">
        <f t="array" ref="C89">ifs(and(isblank($A89),isblank($B89)),"", not(iserror(vlookup($A89&amp;$B89,'3) Release_Label'!$D:$D&amp;'3) Release_Label'!$E:$E,1,0))),vlookup($A89&amp;$B89,{'3) Release_Label'!$D:$D&amp;'3) Release_Label'!$E:$E,'3) Release_Label'!$F:$F},2,0), or(and(not(isblank($B89)),$B89=$B88,$A89&lt;&gt;$A88),and(not(isblank($A89)),$A89=$A88,$B89&lt;&gt;$B88)),"ID LISTS UNALIGNED",and($A89&lt;&gt;"",countif('3) Release_Label'!$D:$D,$A89)=0),"NO UPC MATCH in Release_Label",and($B89&lt;&gt;"",countif('3) Release_Label'!$E:$E,$B89)=0),"NO CATALOG ID MATCH in Release_Label",iserror(vlookup($A89&amp;$B89,'3) Release_Label'!$D:$D&amp;'3) Release_Label'!$E:$E,1,0)),"NO UPC-CATALOG ID pair MATCH in Release_Label" )</f>
        <v/>
      </c>
      <c r="D89" s="121" t="str">
        <f t="array" ref="D89">ifs(and(isblank($A89),isblank($B89)),"", not(iserror(vlookup($A89&amp;$B89,'3) Release_Label'!$D:$D&amp;'3) Release_Label'!$E:$E,1,0))),vlookup($A89&amp;$B89,{'3) Release_Label'!$D:$D&amp;'3) Release_Label'!$E:$E,'3) Release_Label'!$H:$H},2,0), or(and(not(isblank($B89)),$B89=$B88,$A89&lt;&gt;$A88),and(not(isblank($A89)),$A89=$A88,$B89&lt;&gt;$B88)),"ID LISTS UNALIGNED",and($A89&lt;&gt;"",countif('3) Release_Label'!$D:$D,$A89)=0),"NO UPC MATCH in Release_Label",and($B89&lt;&gt;"",countif('3) Release_Label'!$E:$E,$B89)=0),"NO CATALOG ID MATCH in Release_Label",iserror(vlookup($A89&amp;$B89,'3) Release_Label'!$D:$D&amp;'3) Release_Label'!$E:$E,1,0)),"NO UPC-CATALOG ID pair MATCH in Release_Label" )</f>
        <v/>
      </c>
      <c r="E89" s="141" t="str">
        <f t="shared" si="2"/>
        <v/>
      </c>
      <c r="G89" s="103"/>
      <c r="H89" s="152"/>
      <c r="J89" s="99"/>
      <c r="K89" s="104"/>
      <c r="L89" s="99"/>
      <c r="N89" s="99"/>
      <c r="O89" s="99"/>
      <c r="P89" s="34"/>
    </row>
    <row r="90">
      <c r="A90" s="100"/>
      <c r="B90" s="103"/>
      <c r="C90" s="121" t="str">
        <f t="array" ref="C90">ifs(and(isblank($A90),isblank($B90)),"", not(iserror(vlookup($A90&amp;$B90,'3) Release_Label'!$D:$D&amp;'3) Release_Label'!$E:$E,1,0))),vlookup($A90&amp;$B90,{'3) Release_Label'!$D:$D&amp;'3) Release_Label'!$E:$E,'3) Release_Label'!$F:$F},2,0), or(and(not(isblank($B90)),$B90=$B89,$A90&lt;&gt;$A89),and(not(isblank($A90)),$A90=$A89,$B90&lt;&gt;$B89)),"ID LISTS UNALIGNED",and($A90&lt;&gt;"",countif('3) Release_Label'!$D:$D,$A90)=0),"NO UPC MATCH in Release_Label",and($B90&lt;&gt;"",countif('3) Release_Label'!$E:$E,$B90)=0),"NO CATALOG ID MATCH in Release_Label",iserror(vlookup($A90&amp;$B90,'3) Release_Label'!$D:$D&amp;'3) Release_Label'!$E:$E,1,0)),"NO UPC-CATALOG ID pair MATCH in Release_Label" )</f>
        <v/>
      </c>
      <c r="D90" s="121" t="str">
        <f t="array" ref="D90">ifs(and(isblank($A90),isblank($B90)),"", not(iserror(vlookup($A90&amp;$B90,'3) Release_Label'!$D:$D&amp;'3) Release_Label'!$E:$E,1,0))),vlookup($A90&amp;$B90,{'3) Release_Label'!$D:$D&amp;'3) Release_Label'!$E:$E,'3) Release_Label'!$H:$H},2,0), or(and(not(isblank($B90)),$B90=$B89,$A90&lt;&gt;$A89),and(not(isblank($A90)),$A90=$A89,$B90&lt;&gt;$B89)),"ID LISTS UNALIGNED",and($A90&lt;&gt;"",countif('3) Release_Label'!$D:$D,$A90)=0),"NO UPC MATCH in Release_Label",and($B90&lt;&gt;"",countif('3) Release_Label'!$E:$E,$B90)=0),"NO CATALOG ID MATCH in Release_Label",iserror(vlookup($A90&amp;$B90,'3) Release_Label'!$D:$D&amp;'3) Release_Label'!$E:$E,1,0)),"NO UPC-CATALOG ID pair MATCH in Release_Label" )</f>
        <v/>
      </c>
      <c r="E90" s="141" t="str">
        <f t="shared" si="2"/>
        <v/>
      </c>
      <c r="G90" s="103"/>
      <c r="H90" s="152"/>
      <c r="J90" s="99"/>
      <c r="K90" s="104"/>
      <c r="L90" s="99"/>
      <c r="N90" s="99"/>
      <c r="O90" s="99"/>
      <c r="P90" s="34"/>
    </row>
    <row r="91">
      <c r="A91" s="100"/>
      <c r="B91" s="103"/>
      <c r="C91" s="121" t="str">
        <f t="array" ref="C91">ifs(and(isblank($A91),isblank($B91)),"", not(iserror(vlookup($A91&amp;$B91,'3) Release_Label'!$D:$D&amp;'3) Release_Label'!$E:$E,1,0))),vlookup($A91&amp;$B91,{'3) Release_Label'!$D:$D&amp;'3) Release_Label'!$E:$E,'3) Release_Label'!$F:$F},2,0), or(and(not(isblank($B91)),$B91=$B90,$A91&lt;&gt;$A90),and(not(isblank($A91)),$A91=$A90,$B91&lt;&gt;$B90)),"ID LISTS UNALIGNED",and($A91&lt;&gt;"",countif('3) Release_Label'!$D:$D,$A91)=0),"NO UPC MATCH in Release_Label",and($B91&lt;&gt;"",countif('3) Release_Label'!$E:$E,$B91)=0),"NO CATALOG ID MATCH in Release_Label",iserror(vlookup($A91&amp;$B91,'3) Release_Label'!$D:$D&amp;'3) Release_Label'!$E:$E,1,0)),"NO UPC-CATALOG ID pair MATCH in Release_Label" )</f>
        <v/>
      </c>
      <c r="D91" s="121" t="str">
        <f t="array" ref="D91">ifs(and(isblank($A91),isblank($B91)),"", not(iserror(vlookup($A91&amp;$B91,'3) Release_Label'!$D:$D&amp;'3) Release_Label'!$E:$E,1,0))),vlookup($A91&amp;$B91,{'3) Release_Label'!$D:$D&amp;'3) Release_Label'!$E:$E,'3) Release_Label'!$H:$H},2,0), or(and(not(isblank($B91)),$B91=$B90,$A91&lt;&gt;$A90),and(not(isblank($A91)),$A91=$A90,$B91&lt;&gt;$B90)),"ID LISTS UNALIGNED",and($A91&lt;&gt;"",countif('3) Release_Label'!$D:$D,$A91)=0),"NO UPC MATCH in Release_Label",and($B91&lt;&gt;"",countif('3) Release_Label'!$E:$E,$B91)=0),"NO CATALOG ID MATCH in Release_Label",iserror(vlookup($A91&amp;$B91,'3) Release_Label'!$D:$D&amp;'3) Release_Label'!$E:$E,1,0)),"NO UPC-CATALOG ID pair MATCH in Release_Label" )</f>
        <v/>
      </c>
      <c r="E91" s="141" t="str">
        <f t="shared" si="2"/>
        <v/>
      </c>
      <c r="G91" s="103"/>
      <c r="H91" s="152"/>
      <c r="J91" s="99"/>
      <c r="K91" s="104"/>
      <c r="L91" s="99"/>
      <c r="N91" s="99"/>
      <c r="O91" s="99"/>
      <c r="P91" s="34"/>
    </row>
    <row r="92">
      <c r="A92" s="100"/>
      <c r="B92" s="103"/>
      <c r="C92" s="121" t="str">
        <f t="array" ref="C92">ifs(and(isblank($A92),isblank($B92)),"", not(iserror(vlookup($A92&amp;$B92,'3) Release_Label'!$D:$D&amp;'3) Release_Label'!$E:$E,1,0))),vlookup($A92&amp;$B92,{'3) Release_Label'!$D:$D&amp;'3) Release_Label'!$E:$E,'3) Release_Label'!$F:$F},2,0), or(and(not(isblank($B92)),$B92=$B91,$A92&lt;&gt;$A91),and(not(isblank($A92)),$A92=$A91,$B92&lt;&gt;$B91)),"ID LISTS UNALIGNED",and($A92&lt;&gt;"",countif('3) Release_Label'!$D:$D,$A92)=0),"NO UPC MATCH in Release_Label",and($B92&lt;&gt;"",countif('3) Release_Label'!$E:$E,$B92)=0),"NO CATALOG ID MATCH in Release_Label",iserror(vlookup($A92&amp;$B92,'3) Release_Label'!$D:$D&amp;'3) Release_Label'!$E:$E,1,0)),"NO UPC-CATALOG ID pair MATCH in Release_Label" )</f>
        <v/>
      </c>
      <c r="D92" s="121" t="str">
        <f t="array" ref="D92">ifs(and(isblank($A92),isblank($B92)),"", not(iserror(vlookup($A92&amp;$B92,'3) Release_Label'!$D:$D&amp;'3) Release_Label'!$E:$E,1,0))),vlookup($A92&amp;$B92,{'3) Release_Label'!$D:$D&amp;'3) Release_Label'!$E:$E,'3) Release_Label'!$H:$H},2,0), or(and(not(isblank($B92)),$B92=$B91,$A92&lt;&gt;$A91),and(not(isblank($A92)),$A92=$A91,$B92&lt;&gt;$B91)),"ID LISTS UNALIGNED",and($A92&lt;&gt;"",countif('3) Release_Label'!$D:$D,$A92)=0),"NO UPC MATCH in Release_Label",and($B92&lt;&gt;"",countif('3) Release_Label'!$E:$E,$B92)=0),"NO CATALOG ID MATCH in Release_Label",iserror(vlookup($A92&amp;$B92,'3) Release_Label'!$D:$D&amp;'3) Release_Label'!$E:$E,1,0)),"NO UPC-CATALOG ID pair MATCH in Release_Label" )</f>
        <v/>
      </c>
      <c r="E92" s="141" t="str">
        <f t="shared" si="2"/>
        <v/>
      </c>
      <c r="G92" s="103"/>
      <c r="H92" s="152"/>
      <c r="J92" s="99"/>
      <c r="K92" s="104"/>
      <c r="L92" s="99"/>
      <c r="N92" s="99"/>
      <c r="O92" s="99"/>
      <c r="P92" s="34"/>
    </row>
    <row r="93">
      <c r="A93" s="100"/>
      <c r="B93" s="103"/>
      <c r="C93" s="121" t="str">
        <f t="array" ref="C93">ifs(and(isblank($A93),isblank($B93)),"", not(iserror(vlookup($A93&amp;$B93,'3) Release_Label'!$D:$D&amp;'3) Release_Label'!$E:$E,1,0))),vlookup($A93&amp;$B93,{'3) Release_Label'!$D:$D&amp;'3) Release_Label'!$E:$E,'3) Release_Label'!$F:$F},2,0), or(and(not(isblank($B93)),$B93=$B92,$A93&lt;&gt;$A92),and(not(isblank($A93)),$A93=$A92,$B93&lt;&gt;$B92)),"ID LISTS UNALIGNED",and($A93&lt;&gt;"",countif('3) Release_Label'!$D:$D,$A93)=0),"NO UPC MATCH in Release_Label",and($B93&lt;&gt;"",countif('3) Release_Label'!$E:$E,$B93)=0),"NO CATALOG ID MATCH in Release_Label",iserror(vlookup($A93&amp;$B93,'3) Release_Label'!$D:$D&amp;'3) Release_Label'!$E:$E,1,0)),"NO UPC-CATALOG ID pair MATCH in Release_Label" )</f>
        <v/>
      </c>
      <c r="D93" s="121" t="str">
        <f t="array" ref="D93">ifs(and(isblank($A93),isblank($B93)),"", not(iserror(vlookup($A93&amp;$B93,'3) Release_Label'!$D:$D&amp;'3) Release_Label'!$E:$E,1,0))),vlookup($A93&amp;$B93,{'3) Release_Label'!$D:$D&amp;'3) Release_Label'!$E:$E,'3) Release_Label'!$H:$H},2,0), or(and(not(isblank($B93)),$B93=$B92,$A93&lt;&gt;$A92),and(not(isblank($A93)),$A93=$A92,$B93&lt;&gt;$B92)),"ID LISTS UNALIGNED",and($A93&lt;&gt;"",countif('3) Release_Label'!$D:$D,$A93)=0),"NO UPC MATCH in Release_Label",and($B93&lt;&gt;"",countif('3) Release_Label'!$E:$E,$B93)=0),"NO CATALOG ID MATCH in Release_Label",iserror(vlookup($A93&amp;$B93,'3) Release_Label'!$D:$D&amp;'3) Release_Label'!$E:$E,1,0)),"NO UPC-CATALOG ID pair MATCH in Release_Label" )</f>
        <v/>
      </c>
      <c r="E93" s="141" t="str">
        <f t="shared" si="2"/>
        <v/>
      </c>
      <c r="G93" s="103"/>
      <c r="H93" s="152"/>
      <c r="J93" s="99"/>
      <c r="K93" s="104"/>
      <c r="L93" s="99"/>
      <c r="N93" s="99"/>
      <c r="O93" s="99"/>
      <c r="P93" s="34"/>
    </row>
    <row r="94">
      <c r="A94" s="100"/>
      <c r="B94" s="103"/>
      <c r="C94" s="121" t="str">
        <f t="array" ref="C94">ifs(and(isblank($A94),isblank($B94)),"", not(iserror(vlookup($A94&amp;$B94,'3) Release_Label'!$D:$D&amp;'3) Release_Label'!$E:$E,1,0))),vlookup($A94&amp;$B94,{'3) Release_Label'!$D:$D&amp;'3) Release_Label'!$E:$E,'3) Release_Label'!$F:$F},2,0), or(and(not(isblank($B94)),$B94=$B93,$A94&lt;&gt;$A93),and(not(isblank($A94)),$A94=$A93,$B94&lt;&gt;$B93)),"ID LISTS UNALIGNED",and($A94&lt;&gt;"",countif('3) Release_Label'!$D:$D,$A94)=0),"NO UPC MATCH in Release_Label",and($B94&lt;&gt;"",countif('3) Release_Label'!$E:$E,$B94)=0),"NO CATALOG ID MATCH in Release_Label",iserror(vlookup($A94&amp;$B94,'3) Release_Label'!$D:$D&amp;'3) Release_Label'!$E:$E,1,0)),"NO UPC-CATALOG ID pair MATCH in Release_Label" )</f>
        <v/>
      </c>
      <c r="D94" s="121" t="str">
        <f t="array" ref="D94">ifs(and(isblank($A94),isblank($B94)),"", not(iserror(vlookup($A94&amp;$B94,'3) Release_Label'!$D:$D&amp;'3) Release_Label'!$E:$E,1,0))),vlookup($A94&amp;$B94,{'3) Release_Label'!$D:$D&amp;'3) Release_Label'!$E:$E,'3) Release_Label'!$H:$H},2,0), or(and(not(isblank($B94)),$B94=$B93,$A94&lt;&gt;$A93),and(not(isblank($A94)),$A94=$A93,$B94&lt;&gt;$B93)),"ID LISTS UNALIGNED",and($A94&lt;&gt;"",countif('3) Release_Label'!$D:$D,$A94)=0),"NO UPC MATCH in Release_Label",and($B94&lt;&gt;"",countif('3) Release_Label'!$E:$E,$B94)=0),"NO CATALOG ID MATCH in Release_Label",iserror(vlookup($A94&amp;$B94,'3) Release_Label'!$D:$D&amp;'3) Release_Label'!$E:$E,1,0)),"NO UPC-CATALOG ID pair MATCH in Release_Label" )</f>
        <v/>
      </c>
      <c r="E94" s="141" t="str">
        <f t="shared" si="2"/>
        <v/>
      </c>
      <c r="G94" s="103"/>
      <c r="H94" s="152"/>
      <c r="J94" s="99"/>
      <c r="K94" s="104"/>
      <c r="L94" s="99"/>
      <c r="N94" s="99"/>
      <c r="O94" s="99"/>
      <c r="P94" s="34"/>
    </row>
    <row r="95">
      <c r="A95" s="100"/>
      <c r="B95" s="103"/>
      <c r="C95" s="121" t="str">
        <f t="array" ref="C95">ifs(and(isblank($A95),isblank($B95)),"", not(iserror(vlookup($A95&amp;$B95,'3) Release_Label'!$D:$D&amp;'3) Release_Label'!$E:$E,1,0))),vlookup($A95&amp;$B95,{'3) Release_Label'!$D:$D&amp;'3) Release_Label'!$E:$E,'3) Release_Label'!$F:$F},2,0), or(and(not(isblank($B95)),$B95=$B94,$A95&lt;&gt;$A94),and(not(isblank($A95)),$A95=$A94,$B95&lt;&gt;$B94)),"ID LISTS UNALIGNED",and($A95&lt;&gt;"",countif('3) Release_Label'!$D:$D,$A95)=0),"NO UPC MATCH in Release_Label",and($B95&lt;&gt;"",countif('3) Release_Label'!$E:$E,$B95)=0),"NO CATALOG ID MATCH in Release_Label",iserror(vlookup($A95&amp;$B95,'3) Release_Label'!$D:$D&amp;'3) Release_Label'!$E:$E,1,0)),"NO UPC-CATALOG ID pair MATCH in Release_Label" )</f>
        <v/>
      </c>
      <c r="D95" s="121" t="str">
        <f t="array" ref="D95">ifs(and(isblank($A95),isblank($B95)),"", not(iserror(vlookup($A95&amp;$B95,'3) Release_Label'!$D:$D&amp;'3) Release_Label'!$E:$E,1,0))),vlookup($A95&amp;$B95,{'3) Release_Label'!$D:$D&amp;'3) Release_Label'!$E:$E,'3) Release_Label'!$H:$H},2,0), or(and(not(isblank($B95)),$B95=$B94,$A95&lt;&gt;$A94),and(not(isblank($A95)),$A95=$A94,$B95&lt;&gt;$B94)),"ID LISTS UNALIGNED",and($A95&lt;&gt;"",countif('3) Release_Label'!$D:$D,$A95)=0),"NO UPC MATCH in Release_Label",and($B95&lt;&gt;"",countif('3) Release_Label'!$E:$E,$B95)=0),"NO CATALOG ID MATCH in Release_Label",iserror(vlookup($A95&amp;$B95,'3) Release_Label'!$D:$D&amp;'3) Release_Label'!$E:$E,1,0)),"NO UPC-CATALOG ID pair MATCH in Release_Label" )</f>
        <v/>
      </c>
      <c r="E95" s="141" t="str">
        <f t="shared" si="2"/>
        <v/>
      </c>
      <c r="G95" s="103"/>
      <c r="H95" s="152"/>
      <c r="J95" s="99"/>
      <c r="K95" s="104"/>
      <c r="L95" s="99"/>
      <c r="N95" s="99"/>
      <c r="O95" s="99"/>
      <c r="P95" s="34"/>
    </row>
    <row r="96">
      <c r="A96" s="100"/>
      <c r="B96" s="103"/>
      <c r="C96" s="121" t="str">
        <f t="array" ref="C96">ifs(and(isblank($A96),isblank($B96)),"", not(iserror(vlookup($A96&amp;$B96,'3) Release_Label'!$D:$D&amp;'3) Release_Label'!$E:$E,1,0))),vlookup($A96&amp;$B96,{'3) Release_Label'!$D:$D&amp;'3) Release_Label'!$E:$E,'3) Release_Label'!$F:$F},2,0), or(and(not(isblank($B96)),$B96=$B95,$A96&lt;&gt;$A95),and(not(isblank($A96)),$A96=$A95,$B96&lt;&gt;$B95)),"ID LISTS UNALIGNED",and($A96&lt;&gt;"",countif('3) Release_Label'!$D:$D,$A96)=0),"NO UPC MATCH in Release_Label",and($B96&lt;&gt;"",countif('3) Release_Label'!$E:$E,$B96)=0),"NO CATALOG ID MATCH in Release_Label",iserror(vlookup($A96&amp;$B96,'3) Release_Label'!$D:$D&amp;'3) Release_Label'!$E:$E,1,0)),"NO UPC-CATALOG ID pair MATCH in Release_Label" )</f>
        <v/>
      </c>
      <c r="D96" s="121" t="str">
        <f t="array" ref="D96">ifs(and(isblank($A96),isblank($B96)),"", not(iserror(vlookup($A96&amp;$B96,'3) Release_Label'!$D:$D&amp;'3) Release_Label'!$E:$E,1,0))),vlookup($A96&amp;$B96,{'3) Release_Label'!$D:$D&amp;'3) Release_Label'!$E:$E,'3) Release_Label'!$H:$H},2,0), or(and(not(isblank($B96)),$B96=$B95,$A96&lt;&gt;$A95),and(not(isblank($A96)),$A96=$A95,$B96&lt;&gt;$B95)),"ID LISTS UNALIGNED",and($A96&lt;&gt;"",countif('3) Release_Label'!$D:$D,$A96)=0),"NO UPC MATCH in Release_Label",and($B96&lt;&gt;"",countif('3) Release_Label'!$E:$E,$B96)=0),"NO CATALOG ID MATCH in Release_Label",iserror(vlookup($A96&amp;$B96,'3) Release_Label'!$D:$D&amp;'3) Release_Label'!$E:$E,1,0)),"NO UPC-CATALOG ID pair MATCH in Release_Label" )</f>
        <v/>
      </c>
      <c r="E96" s="141" t="str">
        <f t="shared" si="2"/>
        <v/>
      </c>
      <c r="G96" s="103"/>
      <c r="H96" s="152"/>
      <c r="J96" s="99"/>
      <c r="K96" s="104"/>
      <c r="L96" s="99"/>
      <c r="N96" s="99"/>
      <c r="O96" s="99"/>
      <c r="P96" s="34"/>
    </row>
    <row r="97">
      <c r="A97" s="100"/>
      <c r="B97" s="103"/>
      <c r="C97" s="121" t="str">
        <f t="array" ref="C97">ifs(and(isblank($A97),isblank($B97)),"", not(iserror(vlookup($A97&amp;$B97,'3) Release_Label'!$D:$D&amp;'3) Release_Label'!$E:$E,1,0))),vlookup($A97&amp;$B97,{'3) Release_Label'!$D:$D&amp;'3) Release_Label'!$E:$E,'3) Release_Label'!$F:$F},2,0), or(and(not(isblank($B97)),$B97=$B96,$A97&lt;&gt;$A96),and(not(isblank($A97)),$A97=$A96,$B97&lt;&gt;$B96)),"ID LISTS UNALIGNED",and($A97&lt;&gt;"",countif('3) Release_Label'!$D:$D,$A97)=0),"NO UPC MATCH in Release_Label",and($B97&lt;&gt;"",countif('3) Release_Label'!$E:$E,$B97)=0),"NO CATALOG ID MATCH in Release_Label",iserror(vlookup($A97&amp;$B97,'3) Release_Label'!$D:$D&amp;'3) Release_Label'!$E:$E,1,0)),"NO UPC-CATALOG ID pair MATCH in Release_Label" )</f>
        <v/>
      </c>
      <c r="D97" s="121" t="str">
        <f t="array" ref="D97">ifs(and(isblank($A97),isblank($B97)),"", not(iserror(vlookup($A97&amp;$B97,'3) Release_Label'!$D:$D&amp;'3) Release_Label'!$E:$E,1,0))),vlookup($A97&amp;$B97,{'3) Release_Label'!$D:$D&amp;'3) Release_Label'!$E:$E,'3) Release_Label'!$H:$H},2,0), or(and(not(isblank($B97)),$B97=$B96,$A97&lt;&gt;$A96),and(not(isblank($A97)),$A97=$A96,$B97&lt;&gt;$B96)),"ID LISTS UNALIGNED",and($A97&lt;&gt;"",countif('3) Release_Label'!$D:$D,$A97)=0),"NO UPC MATCH in Release_Label",and($B97&lt;&gt;"",countif('3) Release_Label'!$E:$E,$B97)=0),"NO CATALOG ID MATCH in Release_Label",iserror(vlookup($A97&amp;$B97,'3) Release_Label'!$D:$D&amp;'3) Release_Label'!$E:$E,1,0)),"NO UPC-CATALOG ID pair MATCH in Release_Label" )</f>
        <v/>
      </c>
      <c r="E97" s="141" t="str">
        <f t="shared" si="2"/>
        <v/>
      </c>
      <c r="G97" s="103"/>
      <c r="H97" s="152"/>
      <c r="J97" s="99"/>
      <c r="K97" s="104"/>
      <c r="L97" s="99"/>
      <c r="N97" s="99"/>
      <c r="O97" s="99"/>
      <c r="P97" s="34"/>
    </row>
    <row r="98">
      <c r="A98" s="100"/>
      <c r="B98" s="103"/>
      <c r="C98" s="121" t="str">
        <f t="array" ref="C98">ifs(and(isblank($A98),isblank($B98)),"", not(iserror(vlookup($A98&amp;$B98,'3) Release_Label'!$D:$D&amp;'3) Release_Label'!$E:$E,1,0))),vlookup($A98&amp;$B98,{'3) Release_Label'!$D:$D&amp;'3) Release_Label'!$E:$E,'3) Release_Label'!$F:$F},2,0), or(and(not(isblank($B98)),$B98=$B97,$A98&lt;&gt;$A97),and(not(isblank($A98)),$A98=$A97,$B98&lt;&gt;$B97)),"ID LISTS UNALIGNED",and($A98&lt;&gt;"",countif('3) Release_Label'!$D:$D,$A98)=0),"NO UPC MATCH in Release_Label",and($B98&lt;&gt;"",countif('3) Release_Label'!$E:$E,$B98)=0),"NO CATALOG ID MATCH in Release_Label",iserror(vlookup($A98&amp;$B98,'3) Release_Label'!$D:$D&amp;'3) Release_Label'!$E:$E,1,0)),"NO UPC-CATALOG ID pair MATCH in Release_Label" )</f>
        <v/>
      </c>
      <c r="D98" s="121" t="str">
        <f t="array" ref="D98">ifs(and(isblank($A98),isblank($B98)),"", not(iserror(vlookup($A98&amp;$B98,'3) Release_Label'!$D:$D&amp;'3) Release_Label'!$E:$E,1,0))),vlookup($A98&amp;$B98,{'3) Release_Label'!$D:$D&amp;'3) Release_Label'!$E:$E,'3) Release_Label'!$H:$H},2,0), or(and(not(isblank($B98)),$B98=$B97,$A98&lt;&gt;$A97),and(not(isblank($A98)),$A98=$A97,$B98&lt;&gt;$B97)),"ID LISTS UNALIGNED",and($A98&lt;&gt;"",countif('3) Release_Label'!$D:$D,$A98)=0),"NO UPC MATCH in Release_Label",and($B98&lt;&gt;"",countif('3) Release_Label'!$E:$E,$B98)=0),"NO CATALOG ID MATCH in Release_Label",iserror(vlookup($A98&amp;$B98,'3) Release_Label'!$D:$D&amp;'3) Release_Label'!$E:$E,1,0)),"NO UPC-CATALOG ID pair MATCH in Release_Label" )</f>
        <v/>
      </c>
      <c r="E98" s="141" t="str">
        <f t="shared" si="2"/>
        <v/>
      </c>
      <c r="G98" s="103"/>
      <c r="H98" s="152"/>
      <c r="J98" s="99"/>
      <c r="K98" s="104"/>
      <c r="L98" s="99"/>
      <c r="N98" s="99"/>
      <c r="O98" s="99"/>
      <c r="P98" s="34"/>
    </row>
    <row r="99">
      <c r="A99" s="100"/>
      <c r="B99" s="103"/>
      <c r="C99" s="121" t="str">
        <f t="array" ref="C99">ifs(and(isblank($A99),isblank($B99)),"", not(iserror(vlookup($A99&amp;$B99,'3) Release_Label'!$D:$D&amp;'3) Release_Label'!$E:$E,1,0))),vlookup($A99&amp;$B99,{'3) Release_Label'!$D:$D&amp;'3) Release_Label'!$E:$E,'3) Release_Label'!$F:$F},2,0), or(and(not(isblank($B99)),$B99=$B98,$A99&lt;&gt;$A98),and(not(isblank($A99)),$A99=$A98,$B99&lt;&gt;$B98)),"ID LISTS UNALIGNED",and($A99&lt;&gt;"",countif('3) Release_Label'!$D:$D,$A99)=0),"NO UPC MATCH in Release_Label",and($B99&lt;&gt;"",countif('3) Release_Label'!$E:$E,$B99)=0),"NO CATALOG ID MATCH in Release_Label",iserror(vlookup($A99&amp;$B99,'3) Release_Label'!$D:$D&amp;'3) Release_Label'!$E:$E,1,0)),"NO UPC-CATALOG ID pair MATCH in Release_Label" )</f>
        <v/>
      </c>
      <c r="D99" s="121" t="str">
        <f t="array" ref="D99">ifs(and(isblank($A99),isblank($B99)),"", not(iserror(vlookup($A99&amp;$B99,'3) Release_Label'!$D:$D&amp;'3) Release_Label'!$E:$E,1,0))),vlookup($A99&amp;$B99,{'3) Release_Label'!$D:$D&amp;'3) Release_Label'!$E:$E,'3) Release_Label'!$H:$H},2,0), or(and(not(isblank($B99)),$B99=$B98,$A99&lt;&gt;$A98),and(not(isblank($A99)),$A99=$A98,$B99&lt;&gt;$B98)),"ID LISTS UNALIGNED",and($A99&lt;&gt;"",countif('3) Release_Label'!$D:$D,$A99)=0),"NO UPC MATCH in Release_Label",and($B99&lt;&gt;"",countif('3) Release_Label'!$E:$E,$B99)=0),"NO CATALOG ID MATCH in Release_Label",iserror(vlookup($A99&amp;$B99,'3) Release_Label'!$D:$D&amp;'3) Release_Label'!$E:$E,1,0)),"NO UPC-CATALOG ID pair MATCH in Release_Label" )</f>
        <v/>
      </c>
      <c r="E99" s="141" t="str">
        <f t="shared" si="2"/>
        <v/>
      </c>
      <c r="G99" s="103"/>
      <c r="H99" s="152"/>
      <c r="J99" s="99"/>
      <c r="K99" s="104"/>
      <c r="L99" s="99"/>
      <c r="N99" s="99"/>
      <c r="O99" s="99"/>
      <c r="P99" s="34"/>
    </row>
    <row r="100">
      <c r="A100" s="100"/>
      <c r="B100" s="103"/>
      <c r="C100" s="121" t="str">
        <f t="array" ref="C100">ifs(and(isblank($A100),isblank($B100)),"", not(iserror(vlookup($A100&amp;$B100,'3) Release_Label'!$D:$D&amp;'3) Release_Label'!$E:$E,1,0))),vlookup($A100&amp;$B100,{'3) Release_Label'!$D:$D&amp;'3) Release_Label'!$E:$E,'3) Release_Label'!$F:$F},2,0), or(and(not(isblank($B100)),$B100=$B99,$A100&lt;&gt;$A99),and(not(isblank($A100)),$A100=$A99,$B100&lt;&gt;$B99)),"ID LISTS UNALIGNED",and($A100&lt;&gt;"",countif('3) Release_Label'!$D:$D,$A100)=0),"NO UPC MATCH in Release_Label",and($B100&lt;&gt;"",countif('3) Release_Label'!$E:$E,$B100)=0),"NO CATALOG ID MATCH in Release_Label",iserror(vlookup($A100&amp;$B100,'3) Release_Label'!$D:$D&amp;'3) Release_Label'!$E:$E,1,0)),"NO UPC-CATALOG ID pair MATCH in Release_Label" )</f>
        <v/>
      </c>
      <c r="D100" s="121" t="str">
        <f t="array" ref="D100">ifs(and(isblank($A100),isblank($B100)),"", not(iserror(vlookup($A100&amp;$B100,'3) Release_Label'!$D:$D&amp;'3) Release_Label'!$E:$E,1,0))),vlookup($A100&amp;$B100,{'3) Release_Label'!$D:$D&amp;'3) Release_Label'!$E:$E,'3) Release_Label'!$H:$H},2,0), or(and(not(isblank($B100)),$B100=$B99,$A100&lt;&gt;$A99),and(not(isblank($A100)),$A100=$A99,$B100&lt;&gt;$B99)),"ID LISTS UNALIGNED",and($A100&lt;&gt;"",countif('3) Release_Label'!$D:$D,$A100)=0),"NO UPC MATCH in Release_Label",and($B100&lt;&gt;"",countif('3) Release_Label'!$E:$E,$B100)=0),"NO CATALOG ID MATCH in Release_Label",iserror(vlookup($A100&amp;$B100,'3) Release_Label'!$D:$D&amp;'3) Release_Label'!$E:$E,1,0)),"NO UPC-CATALOG ID pair MATCH in Release_Label" )</f>
        <v/>
      </c>
      <c r="E100" s="141" t="str">
        <f t="shared" si="2"/>
        <v/>
      </c>
      <c r="G100" s="103"/>
      <c r="H100" s="152"/>
      <c r="J100" s="99"/>
      <c r="K100" s="104"/>
      <c r="L100" s="99"/>
      <c r="N100" s="99"/>
      <c r="O100" s="99"/>
      <c r="P100" s="34"/>
    </row>
    <row r="101">
      <c r="A101" s="100"/>
      <c r="B101" s="103"/>
      <c r="C101" s="121" t="str">
        <f t="array" ref="C101">ifs(and(isblank($A101),isblank($B101)),"", not(iserror(vlookup($A101&amp;$B101,'3) Release_Label'!$D:$D&amp;'3) Release_Label'!$E:$E,1,0))),vlookup($A101&amp;$B101,{'3) Release_Label'!$D:$D&amp;'3) Release_Label'!$E:$E,'3) Release_Label'!$F:$F},2,0), or(and(not(isblank($B101)),$B101=$B100,$A101&lt;&gt;$A100),and(not(isblank($A101)),$A101=$A100,$B101&lt;&gt;$B100)),"ID LISTS UNALIGNED",and($A101&lt;&gt;"",countif('3) Release_Label'!$D:$D,$A101)=0),"NO UPC MATCH in Release_Label",and($B101&lt;&gt;"",countif('3) Release_Label'!$E:$E,$B101)=0),"NO CATALOG ID MATCH in Release_Label",iserror(vlookup($A101&amp;$B101,'3) Release_Label'!$D:$D&amp;'3) Release_Label'!$E:$E,1,0)),"NO UPC-CATALOG ID pair MATCH in Release_Label" )</f>
        <v/>
      </c>
      <c r="D101" s="121" t="str">
        <f t="array" ref="D101">ifs(and(isblank($A101),isblank($B101)),"", not(iserror(vlookup($A101&amp;$B101,'3) Release_Label'!$D:$D&amp;'3) Release_Label'!$E:$E,1,0))),vlookup($A101&amp;$B101,{'3) Release_Label'!$D:$D&amp;'3) Release_Label'!$E:$E,'3) Release_Label'!$H:$H},2,0), or(and(not(isblank($B101)),$B101=$B100,$A101&lt;&gt;$A100),and(not(isblank($A101)),$A101=$A100,$B101&lt;&gt;$B100)),"ID LISTS UNALIGNED",and($A101&lt;&gt;"",countif('3) Release_Label'!$D:$D,$A101)=0),"NO UPC MATCH in Release_Label",and($B101&lt;&gt;"",countif('3) Release_Label'!$E:$E,$B101)=0),"NO CATALOG ID MATCH in Release_Label",iserror(vlookup($A101&amp;$B101,'3) Release_Label'!$D:$D&amp;'3) Release_Label'!$E:$E,1,0)),"NO UPC-CATALOG ID pair MATCH in Release_Label" )</f>
        <v/>
      </c>
      <c r="E101" s="141" t="str">
        <f t="shared" si="2"/>
        <v/>
      </c>
      <c r="G101" s="103"/>
      <c r="H101" s="152"/>
      <c r="J101" s="99"/>
      <c r="K101" s="104"/>
      <c r="L101" s="99"/>
      <c r="N101" s="99"/>
      <c r="O101" s="99"/>
      <c r="P101" s="34"/>
    </row>
    <row r="102">
      <c r="A102" s="100"/>
      <c r="B102" s="103"/>
      <c r="C102" s="121" t="str">
        <f t="array" ref="C102">ifs(and(isblank($A102),isblank($B102)),"", not(iserror(vlookup($A102&amp;$B102,'3) Release_Label'!$D:$D&amp;'3) Release_Label'!$E:$E,1,0))),vlookup($A102&amp;$B102,{'3) Release_Label'!$D:$D&amp;'3) Release_Label'!$E:$E,'3) Release_Label'!$F:$F},2,0), or(and(not(isblank($B102)),$B102=$B101,$A102&lt;&gt;$A101),and(not(isblank($A102)),$A102=$A101,$B102&lt;&gt;$B101)),"ID LISTS UNALIGNED",and($A102&lt;&gt;"",countif('3) Release_Label'!$D:$D,$A102)=0),"NO UPC MATCH in Release_Label",and($B102&lt;&gt;"",countif('3) Release_Label'!$E:$E,$B102)=0),"NO CATALOG ID MATCH in Release_Label",iserror(vlookup($A102&amp;$B102,'3) Release_Label'!$D:$D&amp;'3) Release_Label'!$E:$E,1,0)),"NO UPC-CATALOG ID pair MATCH in Release_Label" )</f>
        <v/>
      </c>
      <c r="D102" s="121" t="str">
        <f t="array" ref="D102">ifs(and(isblank($A102),isblank($B102)),"", not(iserror(vlookup($A102&amp;$B102,'3) Release_Label'!$D:$D&amp;'3) Release_Label'!$E:$E,1,0))),vlookup($A102&amp;$B102,{'3) Release_Label'!$D:$D&amp;'3) Release_Label'!$E:$E,'3) Release_Label'!$H:$H},2,0), or(and(not(isblank($B102)),$B102=$B101,$A102&lt;&gt;$A101),and(not(isblank($A102)),$A102=$A101,$B102&lt;&gt;$B101)),"ID LISTS UNALIGNED",and($A102&lt;&gt;"",countif('3) Release_Label'!$D:$D,$A102)=0),"NO UPC MATCH in Release_Label",and($B102&lt;&gt;"",countif('3) Release_Label'!$E:$E,$B102)=0),"NO CATALOG ID MATCH in Release_Label",iserror(vlookup($A102&amp;$B102,'3) Release_Label'!$D:$D&amp;'3) Release_Label'!$E:$E,1,0)),"NO UPC-CATALOG ID pair MATCH in Release_Label" )</f>
        <v/>
      </c>
      <c r="E102" s="141" t="str">
        <f t="shared" si="2"/>
        <v/>
      </c>
      <c r="G102" s="103"/>
      <c r="H102" s="152"/>
      <c r="J102" s="99"/>
      <c r="K102" s="104"/>
      <c r="L102" s="99"/>
      <c r="N102" s="99"/>
      <c r="O102" s="99"/>
      <c r="P102" s="34"/>
    </row>
    <row r="103">
      <c r="A103" s="100"/>
      <c r="B103" s="103"/>
      <c r="C103" s="121" t="str">
        <f t="array" ref="C103">ifs(and(isblank($A103),isblank($B103)),"", not(iserror(vlookup($A103&amp;$B103,'3) Release_Label'!$D:$D&amp;'3) Release_Label'!$E:$E,1,0))),vlookup($A103&amp;$B103,{'3) Release_Label'!$D:$D&amp;'3) Release_Label'!$E:$E,'3) Release_Label'!$F:$F},2,0), or(and(not(isblank($B103)),$B103=$B102,$A103&lt;&gt;$A102),and(not(isblank($A103)),$A103=$A102,$B103&lt;&gt;$B102)),"ID LISTS UNALIGNED",and($A103&lt;&gt;"",countif('3) Release_Label'!$D:$D,$A103)=0),"NO UPC MATCH in Release_Label",and($B103&lt;&gt;"",countif('3) Release_Label'!$E:$E,$B103)=0),"NO CATALOG ID MATCH in Release_Label",iserror(vlookup($A103&amp;$B103,'3) Release_Label'!$D:$D&amp;'3) Release_Label'!$E:$E,1,0)),"NO UPC-CATALOG ID pair MATCH in Release_Label" )</f>
        <v/>
      </c>
      <c r="D103" s="121" t="str">
        <f t="array" ref="D103">ifs(and(isblank($A103),isblank($B103)),"", not(iserror(vlookup($A103&amp;$B103,'3) Release_Label'!$D:$D&amp;'3) Release_Label'!$E:$E,1,0))),vlookup($A103&amp;$B103,{'3) Release_Label'!$D:$D&amp;'3) Release_Label'!$E:$E,'3) Release_Label'!$H:$H},2,0), or(and(not(isblank($B103)),$B103=$B102,$A103&lt;&gt;$A102),and(not(isblank($A103)),$A103=$A102,$B103&lt;&gt;$B102)),"ID LISTS UNALIGNED",and($A103&lt;&gt;"",countif('3) Release_Label'!$D:$D,$A103)=0),"NO UPC MATCH in Release_Label",and($B103&lt;&gt;"",countif('3) Release_Label'!$E:$E,$B103)=0),"NO CATALOG ID MATCH in Release_Label",iserror(vlookup($A103&amp;$B103,'3) Release_Label'!$D:$D&amp;'3) Release_Label'!$E:$E,1,0)),"NO UPC-CATALOG ID pair MATCH in Release_Label" )</f>
        <v/>
      </c>
      <c r="E103" s="141" t="str">
        <f t="shared" si="2"/>
        <v/>
      </c>
      <c r="G103" s="103"/>
      <c r="H103" s="152"/>
      <c r="J103" s="99"/>
      <c r="K103" s="104"/>
      <c r="L103" s="99"/>
      <c r="N103" s="99"/>
      <c r="O103" s="99"/>
      <c r="P103" s="34"/>
    </row>
    <row r="104">
      <c r="A104" s="100"/>
      <c r="B104" s="103"/>
      <c r="C104" s="121" t="str">
        <f t="array" ref="C104">ifs(and(isblank($A104),isblank($B104)),"", not(iserror(vlookup($A104&amp;$B104,'3) Release_Label'!$D:$D&amp;'3) Release_Label'!$E:$E,1,0))),vlookup($A104&amp;$B104,{'3) Release_Label'!$D:$D&amp;'3) Release_Label'!$E:$E,'3) Release_Label'!$F:$F},2,0), or(and(not(isblank($B104)),$B104=$B103,$A104&lt;&gt;$A103),and(not(isblank($A104)),$A104=$A103,$B104&lt;&gt;$B103)),"ID LISTS UNALIGNED",and($A104&lt;&gt;"",countif('3) Release_Label'!$D:$D,$A104)=0),"NO UPC MATCH in Release_Label",and($B104&lt;&gt;"",countif('3) Release_Label'!$E:$E,$B104)=0),"NO CATALOG ID MATCH in Release_Label",iserror(vlookup($A104&amp;$B104,'3) Release_Label'!$D:$D&amp;'3) Release_Label'!$E:$E,1,0)),"NO UPC-CATALOG ID pair MATCH in Release_Label" )</f>
        <v/>
      </c>
      <c r="D104" s="121" t="str">
        <f t="array" ref="D104">ifs(and(isblank($A104),isblank($B104)),"", not(iserror(vlookup($A104&amp;$B104,'3) Release_Label'!$D:$D&amp;'3) Release_Label'!$E:$E,1,0))),vlookup($A104&amp;$B104,{'3) Release_Label'!$D:$D&amp;'3) Release_Label'!$E:$E,'3) Release_Label'!$H:$H},2,0), or(and(not(isblank($B104)),$B104=$B103,$A104&lt;&gt;$A103),and(not(isblank($A104)),$A104=$A103,$B104&lt;&gt;$B103)),"ID LISTS UNALIGNED",and($A104&lt;&gt;"",countif('3) Release_Label'!$D:$D,$A104)=0),"NO UPC MATCH in Release_Label",and($B104&lt;&gt;"",countif('3) Release_Label'!$E:$E,$B104)=0),"NO CATALOG ID MATCH in Release_Label",iserror(vlookup($A104&amp;$B104,'3) Release_Label'!$D:$D&amp;'3) Release_Label'!$E:$E,1,0)),"NO UPC-CATALOG ID pair MATCH in Release_Label" )</f>
        <v/>
      </c>
      <c r="E104" s="141" t="str">
        <f t="shared" si="2"/>
        <v/>
      </c>
      <c r="G104" s="103"/>
      <c r="H104" s="152"/>
      <c r="J104" s="99"/>
      <c r="K104" s="104"/>
      <c r="L104" s="99"/>
      <c r="N104" s="99"/>
      <c r="O104" s="99"/>
      <c r="P104" s="34"/>
    </row>
    <row r="105">
      <c r="A105" s="100"/>
      <c r="B105" s="103"/>
      <c r="C105" s="121" t="str">
        <f t="array" ref="C105">ifs(and(isblank($A105),isblank($B105)),"", not(iserror(vlookup($A105&amp;$B105,'3) Release_Label'!$D:$D&amp;'3) Release_Label'!$E:$E,1,0))),vlookup($A105&amp;$B105,{'3) Release_Label'!$D:$D&amp;'3) Release_Label'!$E:$E,'3) Release_Label'!$F:$F},2,0), or(and(not(isblank($B105)),$B105=$B104,$A105&lt;&gt;$A104),and(not(isblank($A105)),$A105=$A104,$B105&lt;&gt;$B104)),"ID LISTS UNALIGNED",and($A105&lt;&gt;"",countif('3) Release_Label'!$D:$D,$A105)=0),"NO UPC MATCH in Release_Label",and($B105&lt;&gt;"",countif('3) Release_Label'!$E:$E,$B105)=0),"NO CATALOG ID MATCH in Release_Label",iserror(vlookup($A105&amp;$B105,'3) Release_Label'!$D:$D&amp;'3) Release_Label'!$E:$E,1,0)),"NO UPC-CATALOG ID pair MATCH in Release_Label" )</f>
        <v/>
      </c>
      <c r="D105" s="121" t="str">
        <f t="array" ref="D105">ifs(and(isblank($A105),isblank($B105)),"", not(iserror(vlookup($A105&amp;$B105,'3) Release_Label'!$D:$D&amp;'3) Release_Label'!$E:$E,1,0))),vlookup($A105&amp;$B105,{'3) Release_Label'!$D:$D&amp;'3) Release_Label'!$E:$E,'3) Release_Label'!$H:$H},2,0), or(and(not(isblank($B105)),$B105=$B104,$A105&lt;&gt;$A104),and(not(isblank($A105)),$A105=$A104,$B105&lt;&gt;$B104)),"ID LISTS UNALIGNED",and($A105&lt;&gt;"",countif('3) Release_Label'!$D:$D,$A105)=0),"NO UPC MATCH in Release_Label",and($B105&lt;&gt;"",countif('3) Release_Label'!$E:$E,$B105)=0),"NO CATALOG ID MATCH in Release_Label",iserror(vlookup($A105&amp;$B105,'3) Release_Label'!$D:$D&amp;'3) Release_Label'!$E:$E,1,0)),"NO UPC-CATALOG ID pair MATCH in Release_Label" )</f>
        <v/>
      </c>
      <c r="E105" s="141" t="str">
        <f t="shared" si="2"/>
        <v/>
      </c>
      <c r="G105" s="103"/>
      <c r="H105" s="152"/>
      <c r="J105" s="99"/>
      <c r="K105" s="104"/>
      <c r="L105" s="99"/>
      <c r="N105" s="99"/>
      <c r="O105" s="99"/>
      <c r="P105" s="34"/>
    </row>
    <row r="106">
      <c r="A106" s="100"/>
      <c r="B106" s="103"/>
      <c r="C106" s="121" t="str">
        <f t="array" ref="C106">ifs(and(isblank($A106),isblank($B106)),"", not(iserror(vlookup($A106&amp;$B106,'3) Release_Label'!$D:$D&amp;'3) Release_Label'!$E:$E,1,0))),vlookup($A106&amp;$B106,{'3) Release_Label'!$D:$D&amp;'3) Release_Label'!$E:$E,'3) Release_Label'!$F:$F},2,0), or(and(not(isblank($B106)),$B106=$B105,$A106&lt;&gt;$A105),and(not(isblank($A106)),$A106=$A105,$B106&lt;&gt;$B105)),"ID LISTS UNALIGNED",and($A106&lt;&gt;"",countif('3) Release_Label'!$D:$D,$A106)=0),"NO UPC MATCH in Release_Label",and($B106&lt;&gt;"",countif('3) Release_Label'!$E:$E,$B106)=0),"NO CATALOG ID MATCH in Release_Label",iserror(vlookup($A106&amp;$B106,'3) Release_Label'!$D:$D&amp;'3) Release_Label'!$E:$E,1,0)),"NO UPC-CATALOG ID pair MATCH in Release_Label" )</f>
        <v/>
      </c>
      <c r="D106" s="121" t="str">
        <f t="array" ref="D106">ifs(and(isblank($A106),isblank($B106)),"", not(iserror(vlookup($A106&amp;$B106,'3) Release_Label'!$D:$D&amp;'3) Release_Label'!$E:$E,1,0))),vlookup($A106&amp;$B106,{'3) Release_Label'!$D:$D&amp;'3) Release_Label'!$E:$E,'3) Release_Label'!$H:$H},2,0), or(and(not(isblank($B106)),$B106=$B105,$A106&lt;&gt;$A105),and(not(isblank($A106)),$A106=$A105,$B106&lt;&gt;$B105)),"ID LISTS UNALIGNED",and($A106&lt;&gt;"",countif('3) Release_Label'!$D:$D,$A106)=0),"NO UPC MATCH in Release_Label",and($B106&lt;&gt;"",countif('3) Release_Label'!$E:$E,$B106)=0),"NO CATALOG ID MATCH in Release_Label",iserror(vlookup($A106&amp;$B106,'3) Release_Label'!$D:$D&amp;'3) Release_Label'!$E:$E,1,0)),"NO UPC-CATALOG ID pair MATCH in Release_Label" )</f>
        <v/>
      </c>
      <c r="E106" s="141" t="str">
        <f t="shared" si="2"/>
        <v/>
      </c>
      <c r="G106" s="103"/>
      <c r="H106" s="152"/>
      <c r="J106" s="99"/>
      <c r="K106" s="104"/>
      <c r="L106" s="99"/>
      <c r="N106" s="99"/>
      <c r="O106" s="99"/>
      <c r="P106" s="34"/>
    </row>
    <row r="107">
      <c r="A107" s="100"/>
      <c r="B107" s="103"/>
      <c r="C107" s="121" t="str">
        <f t="array" ref="C107">ifs(and(isblank($A107),isblank($B107)),"", not(iserror(vlookup($A107&amp;$B107,'3) Release_Label'!$D:$D&amp;'3) Release_Label'!$E:$E,1,0))),vlookup($A107&amp;$B107,{'3) Release_Label'!$D:$D&amp;'3) Release_Label'!$E:$E,'3) Release_Label'!$F:$F},2,0), or(and(not(isblank($B107)),$B107=$B106,$A107&lt;&gt;$A106),and(not(isblank($A107)),$A107=$A106,$B107&lt;&gt;$B106)),"ID LISTS UNALIGNED",and($A107&lt;&gt;"",countif('3) Release_Label'!$D:$D,$A107)=0),"NO UPC MATCH in Release_Label",and($B107&lt;&gt;"",countif('3) Release_Label'!$E:$E,$B107)=0),"NO CATALOG ID MATCH in Release_Label",iserror(vlookup($A107&amp;$B107,'3) Release_Label'!$D:$D&amp;'3) Release_Label'!$E:$E,1,0)),"NO UPC-CATALOG ID pair MATCH in Release_Label" )</f>
        <v/>
      </c>
      <c r="D107" s="121" t="str">
        <f t="array" ref="D107">ifs(and(isblank($A107),isblank($B107)),"", not(iserror(vlookup($A107&amp;$B107,'3) Release_Label'!$D:$D&amp;'3) Release_Label'!$E:$E,1,0))),vlookup($A107&amp;$B107,{'3) Release_Label'!$D:$D&amp;'3) Release_Label'!$E:$E,'3) Release_Label'!$H:$H},2,0), or(and(not(isblank($B107)),$B107=$B106,$A107&lt;&gt;$A106),and(not(isblank($A107)),$A107=$A106,$B107&lt;&gt;$B106)),"ID LISTS UNALIGNED",and($A107&lt;&gt;"",countif('3) Release_Label'!$D:$D,$A107)=0),"NO UPC MATCH in Release_Label",and($B107&lt;&gt;"",countif('3) Release_Label'!$E:$E,$B107)=0),"NO CATALOG ID MATCH in Release_Label",iserror(vlookup($A107&amp;$B107,'3) Release_Label'!$D:$D&amp;'3) Release_Label'!$E:$E,1,0)),"NO UPC-CATALOG ID pair MATCH in Release_Label" )</f>
        <v/>
      </c>
      <c r="E107" s="141" t="str">
        <f t="shared" si="2"/>
        <v/>
      </c>
      <c r="G107" s="103"/>
      <c r="H107" s="152"/>
      <c r="J107" s="99"/>
      <c r="K107" s="104"/>
      <c r="L107" s="99"/>
      <c r="N107" s="99"/>
      <c r="O107" s="99"/>
      <c r="P107" s="34"/>
    </row>
    <row r="108">
      <c r="A108" s="100"/>
      <c r="B108" s="103"/>
      <c r="C108" s="121" t="str">
        <f t="array" ref="C108">ifs(and(isblank($A108),isblank($B108)),"", not(iserror(vlookup($A108&amp;$B108,'3) Release_Label'!$D:$D&amp;'3) Release_Label'!$E:$E,1,0))),vlookup($A108&amp;$B108,{'3) Release_Label'!$D:$D&amp;'3) Release_Label'!$E:$E,'3) Release_Label'!$F:$F},2,0), or(and(not(isblank($B108)),$B108=$B107,$A108&lt;&gt;$A107),and(not(isblank($A108)),$A108=$A107,$B108&lt;&gt;$B107)),"ID LISTS UNALIGNED",and($A108&lt;&gt;"",countif('3) Release_Label'!$D:$D,$A108)=0),"NO UPC MATCH in Release_Label",and($B108&lt;&gt;"",countif('3) Release_Label'!$E:$E,$B108)=0),"NO CATALOG ID MATCH in Release_Label",iserror(vlookup($A108&amp;$B108,'3) Release_Label'!$D:$D&amp;'3) Release_Label'!$E:$E,1,0)),"NO UPC-CATALOG ID pair MATCH in Release_Label" )</f>
        <v/>
      </c>
      <c r="D108" s="121" t="str">
        <f t="array" ref="D108">ifs(and(isblank($A108),isblank($B108)),"", not(iserror(vlookup($A108&amp;$B108,'3) Release_Label'!$D:$D&amp;'3) Release_Label'!$E:$E,1,0))),vlookup($A108&amp;$B108,{'3) Release_Label'!$D:$D&amp;'3) Release_Label'!$E:$E,'3) Release_Label'!$H:$H},2,0), or(and(not(isblank($B108)),$B108=$B107,$A108&lt;&gt;$A107),and(not(isblank($A108)),$A108=$A107,$B108&lt;&gt;$B107)),"ID LISTS UNALIGNED",and($A108&lt;&gt;"",countif('3) Release_Label'!$D:$D,$A108)=0),"NO UPC MATCH in Release_Label",and($B108&lt;&gt;"",countif('3) Release_Label'!$E:$E,$B108)=0),"NO CATALOG ID MATCH in Release_Label",iserror(vlookup($A108&amp;$B108,'3) Release_Label'!$D:$D&amp;'3) Release_Label'!$E:$E,1,0)),"NO UPC-CATALOG ID pair MATCH in Release_Label" )</f>
        <v/>
      </c>
      <c r="E108" s="141" t="str">
        <f t="shared" si="2"/>
        <v/>
      </c>
      <c r="G108" s="103"/>
      <c r="H108" s="152"/>
      <c r="J108" s="99"/>
      <c r="K108" s="104"/>
      <c r="L108" s="99"/>
      <c r="N108" s="99"/>
      <c r="O108" s="99"/>
      <c r="P108" s="34"/>
    </row>
    <row r="109">
      <c r="A109" s="100"/>
      <c r="B109" s="103"/>
      <c r="C109" s="121" t="str">
        <f t="array" ref="C109">ifs(and(isblank($A109),isblank($B109)),"", not(iserror(vlookup($A109&amp;$B109,'3) Release_Label'!$D:$D&amp;'3) Release_Label'!$E:$E,1,0))),vlookup($A109&amp;$B109,{'3) Release_Label'!$D:$D&amp;'3) Release_Label'!$E:$E,'3) Release_Label'!$F:$F},2,0), or(and(not(isblank($B109)),$B109=$B108,$A109&lt;&gt;$A108),and(not(isblank($A109)),$A109=$A108,$B109&lt;&gt;$B108)),"ID LISTS UNALIGNED",and($A109&lt;&gt;"",countif('3) Release_Label'!$D:$D,$A109)=0),"NO UPC MATCH in Release_Label",and($B109&lt;&gt;"",countif('3) Release_Label'!$E:$E,$B109)=0),"NO CATALOG ID MATCH in Release_Label",iserror(vlookup($A109&amp;$B109,'3) Release_Label'!$D:$D&amp;'3) Release_Label'!$E:$E,1,0)),"NO UPC-CATALOG ID pair MATCH in Release_Label" )</f>
        <v/>
      </c>
      <c r="D109" s="121" t="str">
        <f t="array" ref="D109">ifs(and(isblank($A109),isblank($B109)),"", not(iserror(vlookup($A109&amp;$B109,'3) Release_Label'!$D:$D&amp;'3) Release_Label'!$E:$E,1,0))),vlookup($A109&amp;$B109,{'3) Release_Label'!$D:$D&amp;'3) Release_Label'!$E:$E,'3) Release_Label'!$H:$H},2,0), or(and(not(isblank($B109)),$B109=$B108,$A109&lt;&gt;$A108),and(not(isblank($A109)),$A109=$A108,$B109&lt;&gt;$B108)),"ID LISTS UNALIGNED",and($A109&lt;&gt;"",countif('3) Release_Label'!$D:$D,$A109)=0),"NO UPC MATCH in Release_Label",and($B109&lt;&gt;"",countif('3) Release_Label'!$E:$E,$B109)=0),"NO CATALOG ID MATCH in Release_Label",iserror(vlookup($A109&amp;$B109,'3) Release_Label'!$D:$D&amp;'3) Release_Label'!$E:$E,1,0)),"NO UPC-CATALOG ID pair MATCH in Release_Label" )</f>
        <v/>
      </c>
      <c r="E109" s="141" t="str">
        <f t="shared" si="2"/>
        <v/>
      </c>
      <c r="G109" s="103"/>
      <c r="H109" s="152"/>
      <c r="J109" s="99"/>
      <c r="K109" s="104"/>
      <c r="L109" s="99"/>
      <c r="N109" s="99"/>
      <c r="O109" s="99"/>
      <c r="P109" s="34"/>
    </row>
    <row r="110">
      <c r="A110" s="100"/>
      <c r="B110" s="103"/>
      <c r="C110" s="121" t="str">
        <f t="array" ref="C110">ifs(and(isblank($A110),isblank($B110)),"", not(iserror(vlookup($A110&amp;$B110,'3) Release_Label'!$D:$D&amp;'3) Release_Label'!$E:$E,1,0))),vlookup($A110&amp;$B110,{'3) Release_Label'!$D:$D&amp;'3) Release_Label'!$E:$E,'3) Release_Label'!$F:$F},2,0), or(and(not(isblank($B110)),$B110=$B109,$A110&lt;&gt;$A109),and(not(isblank($A110)),$A110=$A109,$B110&lt;&gt;$B109)),"ID LISTS UNALIGNED",and($A110&lt;&gt;"",countif('3) Release_Label'!$D:$D,$A110)=0),"NO UPC MATCH in Release_Label",and($B110&lt;&gt;"",countif('3) Release_Label'!$E:$E,$B110)=0),"NO CATALOG ID MATCH in Release_Label",iserror(vlookup($A110&amp;$B110,'3) Release_Label'!$D:$D&amp;'3) Release_Label'!$E:$E,1,0)),"NO UPC-CATALOG ID pair MATCH in Release_Label" )</f>
        <v/>
      </c>
      <c r="D110" s="121" t="str">
        <f t="array" ref="D110">ifs(and(isblank($A110),isblank($B110)),"", not(iserror(vlookup($A110&amp;$B110,'3) Release_Label'!$D:$D&amp;'3) Release_Label'!$E:$E,1,0))),vlookup($A110&amp;$B110,{'3) Release_Label'!$D:$D&amp;'3) Release_Label'!$E:$E,'3) Release_Label'!$H:$H},2,0), or(and(not(isblank($B110)),$B110=$B109,$A110&lt;&gt;$A109),and(not(isblank($A110)),$A110=$A109,$B110&lt;&gt;$B109)),"ID LISTS UNALIGNED",and($A110&lt;&gt;"",countif('3) Release_Label'!$D:$D,$A110)=0),"NO UPC MATCH in Release_Label",and($B110&lt;&gt;"",countif('3) Release_Label'!$E:$E,$B110)=0),"NO CATALOG ID MATCH in Release_Label",iserror(vlookup($A110&amp;$B110,'3) Release_Label'!$D:$D&amp;'3) Release_Label'!$E:$E,1,0)),"NO UPC-CATALOG ID pair MATCH in Release_Label" )</f>
        <v/>
      </c>
      <c r="E110" s="141" t="str">
        <f t="shared" si="2"/>
        <v/>
      </c>
      <c r="G110" s="103"/>
      <c r="H110" s="152"/>
      <c r="J110" s="99"/>
      <c r="K110" s="104"/>
      <c r="L110" s="99"/>
      <c r="N110" s="99"/>
      <c r="O110" s="99"/>
      <c r="P110" s="34"/>
    </row>
    <row r="111">
      <c r="A111" s="100"/>
      <c r="B111" s="103"/>
      <c r="C111" s="121" t="str">
        <f t="array" ref="C111">ifs(and(isblank($A111),isblank($B111)),"", not(iserror(vlookup($A111&amp;$B111,'3) Release_Label'!$D:$D&amp;'3) Release_Label'!$E:$E,1,0))),vlookup($A111&amp;$B111,{'3) Release_Label'!$D:$D&amp;'3) Release_Label'!$E:$E,'3) Release_Label'!$F:$F},2,0), or(and(not(isblank($B111)),$B111=$B110,$A111&lt;&gt;$A110),and(not(isblank($A111)),$A111=$A110,$B111&lt;&gt;$B110)),"ID LISTS UNALIGNED",and($A111&lt;&gt;"",countif('3) Release_Label'!$D:$D,$A111)=0),"NO UPC MATCH in Release_Label",and($B111&lt;&gt;"",countif('3) Release_Label'!$E:$E,$B111)=0),"NO CATALOG ID MATCH in Release_Label",iserror(vlookup($A111&amp;$B111,'3) Release_Label'!$D:$D&amp;'3) Release_Label'!$E:$E,1,0)),"NO UPC-CATALOG ID pair MATCH in Release_Label" )</f>
        <v/>
      </c>
      <c r="D111" s="121" t="str">
        <f t="array" ref="D111">ifs(and(isblank($A111),isblank($B111)),"", not(iserror(vlookup($A111&amp;$B111,'3) Release_Label'!$D:$D&amp;'3) Release_Label'!$E:$E,1,0))),vlookup($A111&amp;$B111,{'3) Release_Label'!$D:$D&amp;'3) Release_Label'!$E:$E,'3) Release_Label'!$H:$H},2,0), or(and(not(isblank($B111)),$B111=$B110,$A111&lt;&gt;$A110),and(not(isblank($A111)),$A111=$A110,$B111&lt;&gt;$B110)),"ID LISTS UNALIGNED",and($A111&lt;&gt;"",countif('3) Release_Label'!$D:$D,$A111)=0),"NO UPC MATCH in Release_Label",and($B111&lt;&gt;"",countif('3) Release_Label'!$E:$E,$B111)=0),"NO CATALOG ID MATCH in Release_Label",iserror(vlookup($A111&amp;$B111,'3) Release_Label'!$D:$D&amp;'3) Release_Label'!$E:$E,1,0)),"NO UPC-CATALOG ID pair MATCH in Release_Label" )</f>
        <v/>
      </c>
      <c r="E111" s="141" t="str">
        <f t="shared" si="2"/>
        <v/>
      </c>
      <c r="G111" s="103"/>
      <c r="H111" s="152"/>
      <c r="J111" s="99"/>
      <c r="K111" s="104"/>
      <c r="L111" s="99"/>
      <c r="N111" s="99"/>
      <c r="O111" s="99"/>
      <c r="P111" s="34"/>
    </row>
    <row r="112">
      <c r="A112" s="100"/>
      <c r="B112" s="103"/>
      <c r="C112" s="121" t="str">
        <f t="array" ref="C112">ifs(and(isblank($A112),isblank($B112)),"", not(iserror(vlookup($A112&amp;$B112,'3) Release_Label'!$D:$D&amp;'3) Release_Label'!$E:$E,1,0))),vlookup($A112&amp;$B112,{'3) Release_Label'!$D:$D&amp;'3) Release_Label'!$E:$E,'3) Release_Label'!$F:$F},2,0), or(and(not(isblank($B112)),$B112=$B111,$A112&lt;&gt;$A111),and(not(isblank($A112)),$A112=$A111,$B112&lt;&gt;$B111)),"ID LISTS UNALIGNED",and($A112&lt;&gt;"",countif('3) Release_Label'!$D:$D,$A112)=0),"NO UPC MATCH in Release_Label",and($B112&lt;&gt;"",countif('3) Release_Label'!$E:$E,$B112)=0),"NO CATALOG ID MATCH in Release_Label",iserror(vlookup($A112&amp;$B112,'3) Release_Label'!$D:$D&amp;'3) Release_Label'!$E:$E,1,0)),"NO UPC-CATALOG ID pair MATCH in Release_Label" )</f>
        <v/>
      </c>
      <c r="D112" s="121" t="str">
        <f t="array" ref="D112">ifs(and(isblank($A112),isblank($B112)),"", not(iserror(vlookup($A112&amp;$B112,'3) Release_Label'!$D:$D&amp;'3) Release_Label'!$E:$E,1,0))),vlookup($A112&amp;$B112,{'3) Release_Label'!$D:$D&amp;'3) Release_Label'!$E:$E,'3) Release_Label'!$H:$H},2,0), or(and(not(isblank($B112)),$B112=$B111,$A112&lt;&gt;$A111),and(not(isblank($A112)),$A112=$A111,$B112&lt;&gt;$B111)),"ID LISTS UNALIGNED",and($A112&lt;&gt;"",countif('3) Release_Label'!$D:$D,$A112)=0),"NO UPC MATCH in Release_Label",and($B112&lt;&gt;"",countif('3) Release_Label'!$E:$E,$B112)=0),"NO CATALOG ID MATCH in Release_Label",iserror(vlookup($A112&amp;$B112,'3) Release_Label'!$D:$D&amp;'3) Release_Label'!$E:$E,1,0)),"NO UPC-CATALOG ID pair MATCH in Release_Label" )</f>
        <v/>
      </c>
      <c r="E112" s="141" t="str">
        <f t="shared" si="2"/>
        <v/>
      </c>
      <c r="G112" s="103"/>
      <c r="H112" s="152"/>
      <c r="J112" s="99"/>
      <c r="K112" s="104"/>
      <c r="L112" s="99"/>
      <c r="N112" s="99"/>
      <c r="O112" s="99"/>
      <c r="P112" s="34"/>
    </row>
    <row r="113">
      <c r="A113" s="100"/>
      <c r="B113" s="103"/>
      <c r="C113" s="121" t="str">
        <f t="array" ref="C113">ifs(and(isblank($A113),isblank($B113)),"", not(iserror(vlookup($A113&amp;$B113,'3) Release_Label'!$D:$D&amp;'3) Release_Label'!$E:$E,1,0))),vlookup($A113&amp;$B113,{'3) Release_Label'!$D:$D&amp;'3) Release_Label'!$E:$E,'3) Release_Label'!$F:$F},2,0), or(and(not(isblank($B113)),$B113=$B112,$A113&lt;&gt;$A112),and(not(isblank($A113)),$A113=$A112,$B113&lt;&gt;$B112)),"ID LISTS UNALIGNED",and($A113&lt;&gt;"",countif('3) Release_Label'!$D:$D,$A113)=0),"NO UPC MATCH in Release_Label",and($B113&lt;&gt;"",countif('3) Release_Label'!$E:$E,$B113)=0),"NO CATALOG ID MATCH in Release_Label",iserror(vlookup($A113&amp;$B113,'3) Release_Label'!$D:$D&amp;'3) Release_Label'!$E:$E,1,0)),"NO UPC-CATALOG ID pair MATCH in Release_Label" )</f>
        <v/>
      </c>
      <c r="D113" s="121" t="str">
        <f t="array" ref="D113">ifs(and(isblank($A113),isblank($B113)),"", not(iserror(vlookup($A113&amp;$B113,'3) Release_Label'!$D:$D&amp;'3) Release_Label'!$E:$E,1,0))),vlookup($A113&amp;$B113,{'3) Release_Label'!$D:$D&amp;'3) Release_Label'!$E:$E,'3) Release_Label'!$H:$H},2,0), or(and(not(isblank($B113)),$B113=$B112,$A113&lt;&gt;$A112),and(not(isblank($A113)),$A113=$A112,$B113&lt;&gt;$B112)),"ID LISTS UNALIGNED",and($A113&lt;&gt;"",countif('3) Release_Label'!$D:$D,$A113)=0),"NO UPC MATCH in Release_Label",and($B113&lt;&gt;"",countif('3) Release_Label'!$E:$E,$B113)=0),"NO CATALOG ID MATCH in Release_Label",iserror(vlookup($A113&amp;$B113,'3) Release_Label'!$D:$D&amp;'3) Release_Label'!$E:$E,1,0)),"NO UPC-CATALOG ID pair MATCH in Release_Label" )</f>
        <v/>
      </c>
      <c r="E113" s="141" t="str">
        <f t="shared" si="2"/>
        <v/>
      </c>
      <c r="G113" s="103"/>
      <c r="H113" s="152"/>
      <c r="J113" s="99"/>
      <c r="K113" s="104"/>
      <c r="L113" s="99"/>
      <c r="N113" s="99"/>
      <c r="O113" s="99"/>
      <c r="P113" s="34"/>
    </row>
    <row r="114">
      <c r="A114" s="100"/>
      <c r="B114" s="103"/>
      <c r="C114" s="121" t="str">
        <f t="array" ref="C114">ifs(and(isblank($A114),isblank($B114)),"", not(iserror(vlookup($A114&amp;$B114,'3) Release_Label'!$D:$D&amp;'3) Release_Label'!$E:$E,1,0))),vlookup($A114&amp;$B114,{'3) Release_Label'!$D:$D&amp;'3) Release_Label'!$E:$E,'3) Release_Label'!$F:$F},2,0), or(and(not(isblank($B114)),$B114=$B113,$A114&lt;&gt;$A113),and(not(isblank($A114)),$A114=$A113,$B114&lt;&gt;$B113)),"ID LISTS UNALIGNED",and($A114&lt;&gt;"",countif('3) Release_Label'!$D:$D,$A114)=0),"NO UPC MATCH in Release_Label",and($B114&lt;&gt;"",countif('3) Release_Label'!$E:$E,$B114)=0),"NO CATALOG ID MATCH in Release_Label",iserror(vlookup($A114&amp;$B114,'3) Release_Label'!$D:$D&amp;'3) Release_Label'!$E:$E,1,0)),"NO UPC-CATALOG ID pair MATCH in Release_Label" )</f>
        <v/>
      </c>
      <c r="D114" s="121" t="str">
        <f t="array" ref="D114">ifs(and(isblank($A114),isblank($B114)),"", not(iserror(vlookup($A114&amp;$B114,'3) Release_Label'!$D:$D&amp;'3) Release_Label'!$E:$E,1,0))),vlookup($A114&amp;$B114,{'3) Release_Label'!$D:$D&amp;'3) Release_Label'!$E:$E,'3) Release_Label'!$H:$H},2,0), or(and(not(isblank($B114)),$B114=$B113,$A114&lt;&gt;$A113),and(not(isblank($A114)),$A114=$A113,$B114&lt;&gt;$B113)),"ID LISTS UNALIGNED",and($A114&lt;&gt;"",countif('3) Release_Label'!$D:$D,$A114)=0),"NO UPC MATCH in Release_Label",and($B114&lt;&gt;"",countif('3) Release_Label'!$E:$E,$B114)=0),"NO CATALOG ID MATCH in Release_Label",iserror(vlookup($A114&amp;$B114,'3) Release_Label'!$D:$D&amp;'3) Release_Label'!$E:$E,1,0)),"NO UPC-CATALOG ID pair MATCH in Release_Label" )</f>
        <v/>
      </c>
      <c r="E114" s="141" t="str">
        <f t="shared" si="2"/>
        <v/>
      </c>
      <c r="G114" s="103"/>
      <c r="H114" s="152"/>
      <c r="J114" s="99"/>
      <c r="K114" s="104"/>
      <c r="L114" s="99"/>
      <c r="N114" s="99"/>
      <c r="O114" s="99"/>
      <c r="P114" s="34"/>
    </row>
    <row r="115">
      <c r="A115" s="100"/>
      <c r="B115" s="103"/>
      <c r="C115" s="121" t="str">
        <f t="array" ref="C115">ifs(and(isblank($A115),isblank($B115)),"", not(iserror(vlookup($A115&amp;$B115,'3) Release_Label'!$D:$D&amp;'3) Release_Label'!$E:$E,1,0))),vlookup($A115&amp;$B115,{'3) Release_Label'!$D:$D&amp;'3) Release_Label'!$E:$E,'3) Release_Label'!$F:$F},2,0), or(and(not(isblank($B115)),$B115=$B114,$A115&lt;&gt;$A114),and(not(isblank($A115)),$A115=$A114,$B115&lt;&gt;$B114)),"ID LISTS UNALIGNED",and($A115&lt;&gt;"",countif('3) Release_Label'!$D:$D,$A115)=0),"NO UPC MATCH in Release_Label",and($B115&lt;&gt;"",countif('3) Release_Label'!$E:$E,$B115)=0),"NO CATALOG ID MATCH in Release_Label",iserror(vlookup($A115&amp;$B115,'3) Release_Label'!$D:$D&amp;'3) Release_Label'!$E:$E,1,0)),"NO UPC-CATALOG ID pair MATCH in Release_Label" )</f>
        <v/>
      </c>
      <c r="D115" s="121" t="str">
        <f t="array" ref="D115">ifs(and(isblank($A115),isblank($B115)),"", not(iserror(vlookup($A115&amp;$B115,'3) Release_Label'!$D:$D&amp;'3) Release_Label'!$E:$E,1,0))),vlookup($A115&amp;$B115,{'3) Release_Label'!$D:$D&amp;'3) Release_Label'!$E:$E,'3) Release_Label'!$H:$H},2,0), or(and(not(isblank($B115)),$B115=$B114,$A115&lt;&gt;$A114),and(not(isblank($A115)),$A115=$A114,$B115&lt;&gt;$B114)),"ID LISTS UNALIGNED",and($A115&lt;&gt;"",countif('3) Release_Label'!$D:$D,$A115)=0),"NO UPC MATCH in Release_Label",and($B115&lt;&gt;"",countif('3) Release_Label'!$E:$E,$B115)=0),"NO CATALOG ID MATCH in Release_Label",iserror(vlookup($A115&amp;$B115,'3) Release_Label'!$D:$D&amp;'3) Release_Label'!$E:$E,1,0)),"NO UPC-CATALOG ID pair MATCH in Release_Label" )</f>
        <v/>
      </c>
      <c r="E115" s="141" t="str">
        <f t="shared" si="2"/>
        <v/>
      </c>
      <c r="G115" s="103"/>
      <c r="H115" s="152"/>
      <c r="J115" s="99"/>
      <c r="K115" s="104"/>
      <c r="L115" s="99"/>
      <c r="N115" s="99"/>
      <c r="O115" s="99"/>
      <c r="P115" s="34"/>
    </row>
    <row r="116">
      <c r="A116" s="100"/>
      <c r="B116" s="103"/>
      <c r="C116" s="121" t="str">
        <f t="array" ref="C116">ifs(and(isblank($A116),isblank($B116)),"", not(iserror(vlookup($A116&amp;$B116,'3) Release_Label'!$D:$D&amp;'3) Release_Label'!$E:$E,1,0))),vlookup($A116&amp;$B116,{'3) Release_Label'!$D:$D&amp;'3) Release_Label'!$E:$E,'3) Release_Label'!$F:$F},2,0), or(and(not(isblank($B116)),$B116=$B115,$A116&lt;&gt;$A115),and(not(isblank($A116)),$A116=$A115,$B116&lt;&gt;$B115)),"ID LISTS UNALIGNED",and($A116&lt;&gt;"",countif('3) Release_Label'!$D:$D,$A116)=0),"NO UPC MATCH in Release_Label",and($B116&lt;&gt;"",countif('3) Release_Label'!$E:$E,$B116)=0),"NO CATALOG ID MATCH in Release_Label",iserror(vlookup($A116&amp;$B116,'3) Release_Label'!$D:$D&amp;'3) Release_Label'!$E:$E,1,0)),"NO UPC-CATALOG ID pair MATCH in Release_Label" )</f>
        <v/>
      </c>
      <c r="D116" s="121" t="str">
        <f t="array" ref="D116">ifs(and(isblank($A116),isblank($B116)),"", not(iserror(vlookup($A116&amp;$B116,'3) Release_Label'!$D:$D&amp;'3) Release_Label'!$E:$E,1,0))),vlookup($A116&amp;$B116,{'3) Release_Label'!$D:$D&amp;'3) Release_Label'!$E:$E,'3) Release_Label'!$H:$H},2,0), or(and(not(isblank($B116)),$B116=$B115,$A116&lt;&gt;$A115),and(not(isblank($A116)),$A116=$A115,$B116&lt;&gt;$B115)),"ID LISTS UNALIGNED",and($A116&lt;&gt;"",countif('3) Release_Label'!$D:$D,$A116)=0),"NO UPC MATCH in Release_Label",and($B116&lt;&gt;"",countif('3) Release_Label'!$E:$E,$B116)=0),"NO CATALOG ID MATCH in Release_Label",iserror(vlookup($A116&amp;$B116,'3) Release_Label'!$D:$D&amp;'3) Release_Label'!$E:$E,1,0)),"NO UPC-CATALOG ID pair MATCH in Release_Label" )</f>
        <v/>
      </c>
      <c r="E116" s="141" t="str">
        <f t="shared" si="2"/>
        <v/>
      </c>
      <c r="G116" s="103"/>
      <c r="H116" s="152"/>
      <c r="J116" s="99"/>
      <c r="K116" s="104"/>
      <c r="L116" s="99"/>
      <c r="N116" s="99"/>
      <c r="O116" s="99"/>
      <c r="P116" s="34"/>
    </row>
    <row r="117">
      <c r="A117" s="100"/>
      <c r="B117" s="103"/>
      <c r="C117" s="121" t="str">
        <f t="array" ref="C117">ifs(and(isblank($A117),isblank($B117)),"", not(iserror(vlookup($A117&amp;$B117,'3) Release_Label'!$D:$D&amp;'3) Release_Label'!$E:$E,1,0))),vlookup($A117&amp;$B117,{'3) Release_Label'!$D:$D&amp;'3) Release_Label'!$E:$E,'3) Release_Label'!$F:$F},2,0), or(and(not(isblank($B117)),$B117=$B116,$A117&lt;&gt;$A116),and(not(isblank($A117)),$A117=$A116,$B117&lt;&gt;$B116)),"ID LISTS UNALIGNED",and($A117&lt;&gt;"",countif('3) Release_Label'!$D:$D,$A117)=0),"NO UPC MATCH in Release_Label",and($B117&lt;&gt;"",countif('3) Release_Label'!$E:$E,$B117)=0),"NO CATALOG ID MATCH in Release_Label",iserror(vlookup($A117&amp;$B117,'3) Release_Label'!$D:$D&amp;'3) Release_Label'!$E:$E,1,0)),"NO UPC-CATALOG ID pair MATCH in Release_Label" )</f>
        <v/>
      </c>
      <c r="D117" s="121" t="str">
        <f t="array" ref="D117">ifs(and(isblank($A117),isblank($B117)),"", not(iserror(vlookup($A117&amp;$B117,'3) Release_Label'!$D:$D&amp;'3) Release_Label'!$E:$E,1,0))),vlookup($A117&amp;$B117,{'3) Release_Label'!$D:$D&amp;'3) Release_Label'!$E:$E,'3) Release_Label'!$H:$H},2,0), or(and(not(isblank($B117)),$B117=$B116,$A117&lt;&gt;$A116),and(not(isblank($A117)),$A117=$A116,$B117&lt;&gt;$B116)),"ID LISTS UNALIGNED",and($A117&lt;&gt;"",countif('3) Release_Label'!$D:$D,$A117)=0),"NO UPC MATCH in Release_Label",and($B117&lt;&gt;"",countif('3) Release_Label'!$E:$E,$B117)=0),"NO CATALOG ID MATCH in Release_Label",iserror(vlookup($A117&amp;$B117,'3) Release_Label'!$D:$D&amp;'3) Release_Label'!$E:$E,1,0)),"NO UPC-CATALOG ID pair MATCH in Release_Label" )</f>
        <v/>
      </c>
      <c r="E117" s="141" t="str">
        <f t="shared" si="2"/>
        <v/>
      </c>
      <c r="G117" s="103"/>
      <c r="H117" s="152"/>
      <c r="J117" s="99"/>
      <c r="K117" s="104"/>
      <c r="L117" s="99"/>
      <c r="N117" s="99"/>
      <c r="O117" s="99"/>
      <c r="P117" s="34"/>
    </row>
    <row r="118">
      <c r="A118" s="100"/>
      <c r="B118" s="103"/>
      <c r="C118" s="121" t="str">
        <f t="array" ref="C118">ifs(and(isblank($A118),isblank($B118)),"", not(iserror(vlookup($A118&amp;$B118,'3) Release_Label'!$D:$D&amp;'3) Release_Label'!$E:$E,1,0))),vlookup($A118&amp;$B118,{'3) Release_Label'!$D:$D&amp;'3) Release_Label'!$E:$E,'3) Release_Label'!$F:$F},2,0), or(and(not(isblank($B118)),$B118=$B117,$A118&lt;&gt;$A117),and(not(isblank($A118)),$A118=$A117,$B118&lt;&gt;$B117)),"ID LISTS UNALIGNED",and($A118&lt;&gt;"",countif('3) Release_Label'!$D:$D,$A118)=0),"NO UPC MATCH in Release_Label",and($B118&lt;&gt;"",countif('3) Release_Label'!$E:$E,$B118)=0),"NO CATALOG ID MATCH in Release_Label",iserror(vlookup($A118&amp;$B118,'3) Release_Label'!$D:$D&amp;'3) Release_Label'!$E:$E,1,0)),"NO UPC-CATALOG ID pair MATCH in Release_Label" )</f>
        <v/>
      </c>
      <c r="D118" s="121" t="str">
        <f t="array" ref="D118">ifs(and(isblank($A118),isblank($B118)),"", not(iserror(vlookup($A118&amp;$B118,'3) Release_Label'!$D:$D&amp;'3) Release_Label'!$E:$E,1,0))),vlookup($A118&amp;$B118,{'3) Release_Label'!$D:$D&amp;'3) Release_Label'!$E:$E,'3) Release_Label'!$H:$H},2,0), or(and(not(isblank($B118)),$B118=$B117,$A118&lt;&gt;$A117),and(not(isblank($A118)),$A118=$A117,$B118&lt;&gt;$B117)),"ID LISTS UNALIGNED",and($A118&lt;&gt;"",countif('3) Release_Label'!$D:$D,$A118)=0),"NO UPC MATCH in Release_Label",and($B118&lt;&gt;"",countif('3) Release_Label'!$E:$E,$B118)=0),"NO CATALOG ID MATCH in Release_Label",iserror(vlookup($A118&amp;$B118,'3) Release_Label'!$D:$D&amp;'3) Release_Label'!$E:$E,1,0)),"NO UPC-CATALOG ID pair MATCH in Release_Label" )</f>
        <v/>
      </c>
      <c r="E118" s="141" t="str">
        <f t="shared" si="2"/>
        <v/>
      </c>
      <c r="G118" s="103"/>
      <c r="H118" s="152"/>
      <c r="J118" s="99"/>
      <c r="K118" s="104"/>
      <c r="L118" s="99"/>
      <c r="N118" s="99"/>
      <c r="O118" s="99"/>
      <c r="P118" s="34"/>
    </row>
    <row r="119">
      <c r="A119" s="100"/>
      <c r="B119" s="103"/>
      <c r="C119" s="121" t="str">
        <f t="array" ref="C119">ifs(and(isblank($A119),isblank($B119)),"", not(iserror(vlookup($A119&amp;$B119,'3) Release_Label'!$D:$D&amp;'3) Release_Label'!$E:$E,1,0))),vlookup($A119&amp;$B119,{'3) Release_Label'!$D:$D&amp;'3) Release_Label'!$E:$E,'3) Release_Label'!$F:$F},2,0), or(and(not(isblank($B119)),$B119=$B118,$A119&lt;&gt;$A118),and(not(isblank($A119)),$A119=$A118,$B119&lt;&gt;$B118)),"ID LISTS UNALIGNED",and($A119&lt;&gt;"",countif('3) Release_Label'!$D:$D,$A119)=0),"NO UPC MATCH in Release_Label",and($B119&lt;&gt;"",countif('3) Release_Label'!$E:$E,$B119)=0),"NO CATALOG ID MATCH in Release_Label",iserror(vlookup($A119&amp;$B119,'3) Release_Label'!$D:$D&amp;'3) Release_Label'!$E:$E,1,0)),"NO UPC-CATALOG ID pair MATCH in Release_Label" )</f>
        <v/>
      </c>
      <c r="D119" s="121" t="str">
        <f t="array" ref="D119">ifs(and(isblank($A119),isblank($B119)),"", not(iserror(vlookup($A119&amp;$B119,'3) Release_Label'!$D:$D&amp;'3) Release_Label'!$E:$E,1,0))),vlookup($A119&amp;$B119,{'3) Release_Label'!$D:$D&amp;'3) Release_Label'!$E:$E,'3) Release_Label'!$H:$H},2,0), or(and(not(isblank($B119)),$B119=$B118,$A119&lt;&gt;$A118),and(not(isblank($A119)),$A119=$A118,$B119&lt;&gt;$B118)),"ID LISTS UNALIGNED",and($A119&lt;&gt;"",countif('3) Release_Label'!$D:$D,$A119)=0),"NO UPC MATCH in Release_Label",and($B119&lt;&gt;"",countif('3) Release_Label'!$E:$E,$B119)=0),"NO CATALOG ID MATCH in Release_Label",iserror(vlookup($A119&amp;$B119,'3) Release_Label'!$D:$D&amp;'3) Release_Label'!$E:$E,1,0)),"NO UPC-CATALOG ID pair MATCH in Release_Label" )</f>
        <v/>
      </c>
      <c r="E119" s="141" t="str">
        <f t="shared" si="2"/>
        <v/>
      </c>
      <c r="G119" s="103"/>
      <c r="H119" s="152"/>
      <c r="J119" s="99"/>
      <c r="K119" s="104"/>
      <c r="L119" s="99"/>
      <c r="N119" s="99"/>
      <c r="O119" s="99"/>
      <c r="P119" s="34"/>
    </row>
    <row r="120">
      <c r="A120" s="100"/>
      <c r="B120" s="103"/>
      <c r="C120" s="121" t="str">
        <f t="array" ref="C120">ifs(and(isblank($A120),isblank($B120)),"", not(iserror(vlookup($A120&amp;$B120,'3) Release_Label'!$D:$D&amp;'3) Release_Label'!$E:$E,1,0))),vlookup($A120&amp;$B120,{'3) Release_Label'!$D:$D&amp;'3) Release_Label'!$E:$E,'3) Release_Label'!$F:$F},2,0), or(and(not(isblank($B120)),$B120=$B119,$A120&lt;&gt;$A119),and(not(isblank($A120)),$A120=$A119,$B120&lt;&gt;$B119)),"ID LISTS UNALIGNED",and($A120&lt;&gt;"",countif('3) Release_Label'!$D:$D,$A120)=0),"NO UPC MATCH in Release_Label",and($B120&lt;&gt;"",countif('3) Release_Label'!$E:$E,$B120)=0),"NO CATALOG ID MATCH in Release_Label",iserror(vlookup($A120&amp;$B120,'3) Release_Label'!$D:$D&amp;'3) Release_Label'!$E:$E,1,0)),"NO UPC-CATALOG ID pair MATCH in Release_Label" )</f>
        <v/>
      </c>
      <c r="D120" s="121" t="str">
        <f t="array" ref="D120">ifs(and(isblank($A120),isblank($B120)),"", not(iserror(vlookup($A120&amp;$B120,'3) Release_Label'!$D:$D&amp;'3) Release_Label'!$E:$E,1,0))),vlookup($A120&amp;$B120,{'3) Release_Label'!$D:$D&amp;'3) Release_Label'!$E:$E,'3) Release_Label'!$H:$H},2,0), or(and(not(isblank($B120)),$B120=$B119,$A120&lt;&gt;$A119),and(not(isblank($A120)),$A120=$A119,$B120&lt;&gt;$B119)),"ID LISTS UNALIGNED",and($A120&lt;&gt;"",countif('3) Release_Label'!$D:$D,$A120)=0),"NO UPC MATCH in Release_Label",and($B120&lt;&gt;"",countif('3) Release_Label'!$E:$E,$B120)=0),"NO CATALOG ID MATCH in Release_Label",iserror(vlookup($A120&amp;$B120,'3) Release_Label'!$D:$D&amp;'3) Release_Label'!$E:$E,1,0)),"NO UPC-CATALOG ID pair MATCH in Release_Label" )</f>
        <v/>
      </c>
      <c r="E120" s="141" t="str">
        <f t="shared" si="2"/>
        <v/>
      </c>
      <c r="G120" s="103"/>
      <c r="H120" s="152"/>
      <c r="J120" s="99"/>
      <c r="K120" s="104"/>
      <c r="L120" s="99"/>
      <c r="N120" s="99"/>
      <c r="O120" s="99"/>
      <c r="P120" s="34"/>
    </row>
    <row r="121">
      <c r="A121" s="100"/>
      <c r="B121" s="103"/>
      <c r="C121" s="121" t="str">
        <f t="array" ref="C121">ifs(and(isblank($A121),isblank($B121)),"", not(iserror(vlookup($A121&amp;$B121,'3) Release_Label'!$D:$D&amp;'3) Release_Label'!$E:$E,1,0))),vlookup($A121&amp;$B121,{'3) Release_Label'!$D:$D&amp;'3) Release_Label'!$E:$E,'3) Release_Label'!$F:$F},2,0), or(and(not(isblank($B121)),$B121=$B120,$A121&lt;&gt;$A120),and(not(isblank($A121)),$A121=$A120,$B121&lt;&gt;$B120)),"ID LISTS UNALIGNED",and($A121&lt;&gt;"",countif('3) Release_Label'!$D:$D,$A121)=0),"NO UPC MATCH in Release_Label",and($B121&lt;&gt;"",countif('3) Release_Label'!$E:$E,$B121)=0),"NO CATALOG ID MATCH in Release_Label",iserror(vlookup($A121&amp;$B121,'3) Release_Label'!$D:$D&amp;'3) Release_Label'!$E:$E,1,0)),"NO UPC-CATALOG ID pair MATCH in Release_Label" )</f>
        <v/>
      </c>
      <c r="D121" s="121" t="str">
        <f t="array" ref="D121">ifs(and(isblank($A121),isblank($B121)),"", not(iserror(vlookup($A121&amp;$B121,'3) Release_Label'!$D:$D&amp;'3) Release_Label'!$E:$E,1,0))),vlookup($A121&amp;$B121,{'3) Release_Label'!$D:$D&amp;'3) Release_Label'!$E:$E,'3) Release_Label'!$H:$H},2,0), or(and(not(isblank($B121)),$B121=$B120,$A121&lt;&gt;$A120),and(not(isblank($A121)),$A121=$A120,$B121&lt;&gt;$B120)),"ID LISTS UNALIGNED",and($A121&lt;&gt;"",countif('3) Release_Label'!$D:$D,$A121)=0),"NO UPC MATCH in Release_Label",and($B121&lt;&gt;"",countif('3) Release_Label'!$E:$E,$B121)=0),"NO CATALOG ID MATCH in Release_Label",iserror(vlookup($A121&amp;$B121,'3) Release_Label'!$D:$D&amp;'3) Release_Label'!$E:$E,1,0)),"NO UPC-CATALOG ID pair MATCH in Release_Label" )</f>
        <v/>
      </c>
      <c r="E121" s="141" t="str">
        <f t="shared" si="2"/>
        <v/>
      </c>
      <c r="G121" s="103"/>
      <c r="H121" s="152"/>
      <c r="J121" s="99"/>
      <c r="K121" s="104"/>
      <c r="L121" s="99"/>
      <c r="N121" s="99"/>
      <c r="O121" s="99"/>
      <c r="P121" s="34"/>
    </row>
    <row r="122">
      <c r="A122" s="100"/>
      <c r="B122" s="103"/>
      <c r="C122" s="121" t="str">
        <f t="array" ref="C122">ifs(and(isblank($A122),isblank($B122)),"", not(iserror(vlookup($A122&amp;$B122,'3) Release_Label'!$D:$D&amp;'3) Release_Label'!$E:$E,1,0))),vlookup($A122&amp;$B122,{'3) Release_Label'!$D:$D&amp;'3) Release_Label'!$E:$E,'3) Release_Label'!$F:$F},2,0), or(and(not(isblank($B122)),$B122=$B121,$A122&lt;&gt;$A121),and(not(isblank($A122)),$A122=$A121,$B122&lt;&gt;$B121)),"ID LISTS UNALIGNED",and($A122&lt;&gt;"",countif('3) Release_Label'!$D:$D,$A122)=0),"NO UPC MATCH in Release_Label",and($B122&lt;&gt;"",countif('3) Release_Label'!$E:$E,$B122)=0),"NO CATALOG ID MATCH in Release_Label",iserror(vlookup($A122&amp;$B122,'3) Release_Label'!$D:$D&amp;'3) Release_Label'!$E:$E,1,0)),"NO UPC-CATALOG ID pair MATCH in Release_Label" )</f>
        <v/>
      </c>
      <c r="D122" s="121" t="str">
        <f t="array" ref="D122">ifs(and(isblank($A122),isblank($B122)),"", not(iserror(vlookup($A122&amp;$B122,'3) Release_Label'!$D:$D&amp;'3) Release_Label'!$E:$E,1,0))),vlookup($A122&amp;$B122,{'3) Release_Label'!$D:$D&amp;'3) Release_Label'!$E:$E,'3) Release_Label'!$H:$H},2,0), or(and(not(isblank($B122)),$B122=$B121,$A122&lt;&gt;$A121),and(not(isblank($A122)),$A122=$A121,$B122&lt;&gt;$B121)),"ID LISTS UNALIGNED",and($A122&lt;&gt;"",countif('3) Release_Label'!$D:$D,$A122)=0),"NO UPC MATCH in Release_Label",and($B122&lt;&gt;"",countif('3) Release_Label'!$E:$E,$B122)=0),"NO CATALOG ID MATCH in Release_Label",iserror(vlookup($A122&amp;$B122,'3) Release_Label'!$D:$D&amp;'3) Release_Label'!$E:$E,1,0)),"NO UPC-CATALOG ID pair MATCH in Release_Label" )</f>
        <v/>
      </c>
      <c r="E122" s="141" t="str">
        <f t="shared" si="2"/>
        <v/>
      </c>
      <c r="G122" s="103"/>
      <c r="H122" s="152"/>
      <c r="J122" s="99"/>
      <c r="K122" s="104"/>
      <c r="L122" s="99"/>
      <c r="N122" s="99"/>
      <c r="O122" s="99"/>
      <c r="P122" s="34"/>
    </row>
    <row r="123">
      <c r="A123" s="100"/>
      <c r="B123" s="103"/>
      <c r="C123" s="121" t="str">
        <f t="array" ref="C123">ifs(and(isblank($A123),isblank($B123)),"", not(iserror(vlookup($A123&amp;$B123,'3) Release_Label'!$D:$D&amp;'3) Release_Label'!$E:$E,1,0))),vlookup($A123&amp;$B123,{'3) Release_Label'!$D:$D&amp;'3) Release_Label'!$E:$E,'3) Release_Label'!$F:$F},2,0), or(and(not(isblank($B123)),$B123=$B122,$A123&lt;&gt;$A122),and(not(isblank($A123)),$A123=$A122,$B123&lt;&gt;$B122)),"ID LISTS UNALIGNED",and($A123&lt;&gt;"",countif('3) Release_Label'!$D:$D,$A123)=0),"NO UPC MATCH in Release_Label",and($B123&lt;&gt;"",countif('3) Release_Label'!$E:$E,$B123)=0),"NO CATALOG ID MATCH in Release_Label",iserror(vlookup($A123&amp;$B123,'3) Release_Label'!$D:$D&amp;'3) Release_Label'!$E:$E,1,0)),"NO UPC-CATALOG ID pair MATCH in Release_Label" )</f>
        <v/>
      </c>
      <c r="D123" s="121" t="str">
        <f t="array" ref="D123">ifs(and(isblank($A123),isblank($B123)),"", not(iserror(vlookup($A123&amp;$B123,'3) Release_Label'!$D:$D&amp;'3) Release_Label'!$E:$E,1,0))),vlookup($A123&amp;$B123,{'3) Release_Label'!$D:$D&amp;'3) Release_Label'!$E:$E,'3) Release_Label'!$H:$H},2,0), or(and(not(isblank($B123)),$B123=$B122,$A123&lt;&gt;$A122),and(not(isblank($A123)),$A123=$A122,$B123&lt;&gt;$B122)),"ID LISTS UNALIGNED",and($A123&lt;&gt;"",countif('3) Release_Label'!$D:$D,$A123)=0),"NO UPC MATCH in Release_Label",and($B123&lt;&gt;"",countif('3) Release_Label'!$E:$E,$B123)=0),"NO CATALOG ID MATCH in Release_Label",iserror(vlookup($A123&amp;$B123,'3) Release_Label'!$D:$D&amp;'3) Release_Label'!$E:$E,1,0)),"NO UPC-CATALOG ID pair MATCH in Release_Label" )</f>
        <v/>
      </c>
      <c r="E123" s="141" t="str">
        <f t="shared" si="2"/>
        <v/>
      </c>
      <c r="G123" s="103"/>
      <c r="H123" s="152"/>
      <c r="J123" s="99"/>
      <c r="K123" s="104"/>
      <c r="L123" s="99"/>
      <c r="N123" s="99"/>
      <c r="O123" s="99"/>
      <c r="P123" s="34"/>
    </row>
    <row r="124">
      <c r="A124" s="100"/>
      <c r="B124" s="103"/>
      <c r="C124" s="121" t="str">
        <f t="array" ref="C124">ifs(and(isblank($A124),isblank($B124)),"", not(iserror(vlookup($A124&amp;$B124,'3) Release_Label'!$D:$D&amp;'3) Release_Label'!$E:$E,1,0))),vlookup($A124&amp;$B124,{'3) Release_Label'!$D:$D&amp;'3) Release_Label'!$E:$E,'3) Release_Label'!$F:$F},2,0), or(and(not(isblank($B124)),$B124=$B123,$A124&lt;&gt;$A123),and(not(isblank($A124)),$A124=$A123,$B124&lt;&gt;$B123)),"ID LISTS UNALIGNED",and($A124&lt;&gt;"",countif('3) Release_Label'!$D:$D,$A124)=0),"NO UPC MATCH in Release_Label",and($B124&lt;&gt;"",countif('3) Release_Label'!$E:$E,$B124)=0),"NO CATALOG ID MATCH in Release_Label",iserror(vlookup($A124&amp;$B124,'3) Release_Label'!$D:$D&amp;'3) Release_Label'!$E:$E,1,0)),"NO UPC-CATALOG ID pair MATCH in Release_Label" )</f>
        <v/>
      </c>
      <c r="D124" s="121" t="str">
        <f t="array" ref="D124">ifs(and(isblank($A124),isblank($B124)),"", not(iserror(vlookup($A124&amp;$B124,'3) Release_Label'!$D:$D&amp;'3) Release_Label'!$E:$E,1,0))),vlookup($A124&amp;$B124,{'3) Release_Label'!$D:$D&amp;'3) Release_Label'!$E:$E,'3) Release_Label'!$H:$H},2,0), or(and(not(isblank($B124)),$B124=$B123,$A124&lt;&gt;$A123),and(not(isblank($A124)),$A124=$A123,$B124&lt;&gt;$B123)),"ID LISTS UNALIGNED",and($A124&lt;&gt;"",countif('3) Release_Label'!$D:$D,$A124)=0),"NO UPC MATCH in Release_Label",and($B124&lt;&gt;"",countif('3) Release_Label'!$E:$E,$B124)=0),"NO CATALOG ID MATCH in Release_Label",iserror(vlookup($A124&amp;$B124,'3) Release_Label'!$D:$D&amp;'3) Release_Label'!$E:$E,1,0)),"NO UPC-CATALOG ID pair MATCH in Release_Label" )</f>
        <v/>
      </c>
      <c r="E124" s="141" t="str">
        <f t="shared" si="2"/>
        <v/>
      </c>
      <c r="G124" s="103"/>
      <c r="H124" s="152"/>
      <c r="J124" s="99"/>
      <c r="K124" s="104"/>
      <c r="L124" s="99"/>
      <c r="N124" s="99"/>
      <c r="O124" s="99"/>
      <c r="P124" s="34"/>
    </row>
    <row r="125">
      <c r="A125" s="100"/>
      <c r="B125" s="103"/>
      <c r="C125" s="121" t="str">
        <f t="array" ref="C125">ifs(and(isblank($A125),isblank($B125)),"", not(iserror(vlookup($A125&amp;$B125,'3) Release_Label'!$D:$D&amp;'3) Release_Label'!$E:$E,1,0))),vlookup($A125&amp;$B125,{'3) Release_Label'!$D:$D&amp;'3) Release_Label'!$E:$E,'3) Release_Label'!$F:$F},2,0), or(and(not(isblank($B125)),$B125=$B124,$A125&lt;&gt;$A124),and(not(isblank($A125)),$A125=$A124,$B125&lt;&gt;$B124)),"ID LISTS UNALIGNED",and($A125&lt;&gt;"",countif('3) Release_Label'!$D:$D,$A125)=0),"NO UPC MATCH in Release_Label",and($B125&lt;&gt;"",countif('3) Release_Label'!$E:$E,$B125)=0),"NO CATALOG ID MATCH in Release_Label",iserror(vlookup($A125&amp;$B125,'3) Release_Label'!$D:$D&amp;'3) Release_Label'!$E:$E,1,0)),"NO UPC-CATALOG ID pair MATCH in Release_Label" )</f>
        <v/>
      </c>
      <c r="D125" s="121" t="str">
        <f t="array" ref="D125">ifs(and(isblank($A125),isblank($B125)),"", not(iserror(vlookup($A125&amp;$B125,'3) Release_Label'!$D:$D&amp;'3) Release_Label'!$E:$E,1,0))),vlookup($A125&amp;$B125,{'3) Release_Label'!$D:$D&amp;'3) Release_Label'!$E:$E,'3) Release_Label'!$H:$H},2,0), or(and(not(isblank($B125)),$B125=$B124,$A125&lt;&gt;$A124),and(not(isblank($A125)),$A125=$A124,$B125&lt;&gt;$B124)),"ID LISTS UNALIGNED",and($A125&lt;&gt;"",countif('3) Release_Label'!$D:$D,$A125)=0),"NO UPC MATCH in Release_Label",and($B125&lt;&gt;"",countif('3) Release_Label'!$E:$E,$B125)=0),"NO CATALOG ID MATCH in Release_Label",iserror(vlookup($A125&amp;$B125,'3) Release_Label'!$D:$D&amp;'3) Release_Label'!$E:$E,1,0)),"NO UPC-CATALOG ID pair MATCH in Release_Label" )</f>
        <v/>
      </c>
      <c r="E125" s="141" t="str">
        <f t="shared" si="2"/>
        <v/>
      </c>
      <c r="G125" s="103"/>
      <c r="H125" s="152"/>
      <c r="J125" s="99"/>
      <c r="K125" s="104"/>
      <c r="L125" s="99"/>
      <c r="N125" s="99"/>
      <c r="O125" s="99"/>
      <c r="P125" s="34"/>
    </row>
    <row r="126">
      <c r="A126" s="100"/>
      <c r="B126" s="103"/>
      <c r="C126" s="121" t="str">
        <f t="array" ref="C126">ifs(and(isblank($A126),isblank($B126)),"", not(iserror(vlookup($A126&amp;$B126,'3) Release_Label'!$D:$D&amp;'3) Release_Label'!$E:$E,1,0))),vlookup($A126&amp;$B126,{'3) Release_Label'!$D:$D&amp;'3) Release_Label'!$E:$E,'3) Release_Label'!$F:$F},2,0), or(and(not(isblank($B126)),$B126=$B125,$A126&lt;&gt;$A125),and(not(isblank($A126)),$A126=$A125,$B126&lt;&gt;$B125)),"ID LISTS UNALIGNED",and($A126&lt;&gt;"",countif('3) Release_Label'!$D:$D,$A126)=0),"NO UPC MATCH in Release_Label",and($B126&lt;&gt;"",countif('3) Release_Label'!$E:$E,$B126)=0),"NO CATALOG ID MATCH in Release_Label",iserror(vlookup($A126&amp;$B126,'3) Release_Label'!$D:$D&amp;'3) Release_Label'!$E:$E,1,0)),"NO UPC-CATALOG ID pair MATCH in Release_Label" )</f>
        <v/>
      </c>
      <c r="D126" s="121" t="str">
        <f t="array" ref="D126">ifs(and(isblank($A126),isblank($B126)),"", not(iserror(vlookup($A126&amp;$B126,'3) Release_Label'!$D:$D&amp;'3) Release_Label'!$E:$E,1,0))),vlookup($A126&amp;$B126,{'3) Release_Label'!$D:$D&amp;'3) Release_Label'!$E:$E,'3) Release_Label'!$H:$H},2,0), or(and(not(isblank($B126)),$B126=$B125,$A126&lt;&gt;$A125),and(not(isblank($A126)),$A126=$A125,$B126&lt;&gt;$B125)),"ID LISTS UNALIGNED",and($A126&lt;&gt;"",countif('3) Release_Label'!$D:$D,$A126)=0),"NO UPC MATCH in Release_Label",and($B126&lt;&gt;"",countif('3) Release_Label'!$E:$E,$B126)=0),"NO CATALOG ID MATCH in Release_Label",iserror(vlookup($A126&amp;$B126,'3) Release_Label'!$D:$D&amp;'3) Release_Label'!$E:$E,1,0)),"NO UPC-CATALOG ID pair MATCH in Release_Label" )</f>
        <v/>
      </c>
      <c r="E126" s="141" t="str">
        <f t="shared" si="2"/>
        <v/>
      </c>
      <c r="G126" s="103"/>
      <c r="H126" s="152"/>
      <c r="J126" s="99"/>
      <c r="K126" s="104"/>
      <c r="L126" s="99"/>
      <c r="N126" s="99"/>
      <c r="O126" s="99"/>
      <c r="P126" s="34"/>
    </row>
    <row r="127">
      <c r="A127" s="100"/>
      <c r="B127" s="103"/>
      <c r="C127" s="121" t="str">
        <f t="array" ref="C127">ifs(and(isblank($A127),isblank($B127)),"", not(iserror(vlookup($A127&amp;$B127,'3) Release_Label'!$D:$D&amp;'3) Release_Label'!$E:$E,1,0))),vlookup($A127&amp;$B127,{'3) Release_Label'!$D:$D&amp;'3) Release_Label'!$E:$E,'3) Release_Label'!$F:$F},2,0), or(and(not(isblank($B127)),$B127=$B126,$A127&lt;&gt;$A126),and(not(isblank($A127)),$A127=$A126,$B127&lt;&gt;$B126)),"ID LISTS UNALIGNED",and($A127&lt;&gt;"",countif('3) Release_Label'!$D:$D,$A127)=0),"NO UPC MATCH in Release_Label",and($B127&lt;&gt;"",countif('3) Release_Label'!$E:$E,$B127)=0),"NO CATALOG ID MATCH in Release_Label",iserror(vlookup($A127&amp;$B127,'3) Release_Label'!$D:$D&amp;'3) Release_Label'!$E:$E,1,0)),"NO UPC-CATALOG ID pair MATCH in Release_Label" )</f>
        <v/>
      </c>
      <c r="D127" s="121" t="str">
        <f t="array" ref="D127">ifs(and(isblank($A127),isblank($B127)),"", not(iserror(vlookup($A127&amp;$B127,'3) Release_Label'!$D:$D&amp;'3) Release_Label'!$E:$E,1,0))),vlookup($A127&amp;$B127,{'3) Release_Label'!$D:$D&amp;'3) Release_Label'!$E:$E,'3) Release_Label'!$H:$H},2,0), or(and(not(isblank($B127)),$B127=$B126,$A127&lt;&gt;$A126),and(not(isblank($A127)),$A127=$A126,$B127&lt;&gt;$B126)),"ID LISTS UNALIGNED",and($A127&lt;&gt;"",countif('3) Release_Label'!$D:$D,$A127)=0),"NO UPC MATCH in Release_Label",and($B127&lt;&gt;"",countif('3) Release_Label'!$E:$E,$B127)=0),"NO CATALOG ID MATCH in Release_Label",iserror(vlookup($A127&amp;$B127,'3) Release_Label'!$D:$D&amp;'3) Release_Label'!$E:$E,1,0)),"NO UPC-CATALOG ID pair MATCH in Release_Label" )</f>
        <v/>
      </c>
      <c r="E127" s="141" t="str">
        <f t="shared" si="2"/>
        <v/>
      </c>
      <c r="G127" s="103"/>
      <c r="H127" s="152"/>
      <c r="J127" s="99"/>
      <c r="K127" s="104"/>
      <c r="L127" s="99"/>
      <c r="N127" s="99"/>
      <c r="O127" s="99"/>
      <c r="P127" s="34"/>
    </row>
    <row r="128">
      <c r="A128" s="100"/>
      <c r="B128" s="103"/>
      <c r="C128" s="121" t="str">
        <f t="array" ref="C128">ifs(and(isblank($A128),isblank($B128)),"", not(iserror(vlookup($A128&amp;$B128,'3) Release_Label'!$D:$D&amp;'3) Release_Label'!$E:$E,1,0))),vlookup($A128&amp;$B128,{'3) Release_Label'!$D:$D&amp;'3) Release_Label'!$E:$E,'3) Release_Label'!$F:$F},2,0), or(and(not(isblank($B128)),$B128=$B127,$A128&lt;&gt;$A127),and(not(isblank($A128)),$A128=$A127,$B128&lt;&gt;$B127)),"ID LISTS UNALIGNED",and($A128&lt;&gt;"",countif('3) Release_Label'!$D:$D,$A128)=0),"NO UPC MATCH in Release_Label",and($B128&lt;&gt;"",countif('3) Release_Label'!$E:$E,$B128)=0),"NO CATALOG ID MATCH in Release_Label",iserror(vlookup($A128&amp;$B128,'3) Release_Label'!$D:$D&amp;'3) Release_Label'!$E:$E,1,0)),"NO UPC-CATALOG ID pair MATCH in Release_Label" )</f>
        <v/>
      </c>
      <c r="D128" s="121" t="str">
        <f t="array" ref="D128">ifs(and(isblank($A128),isblank($B128)),"", not(iserror(vlookup($A128&amp;$B128,'3) Release_Label'!$D:$D&amp;'3) Release_Label'!$E:$E,1,0))),vlookup($A128&amp;$B128,{'3) Release_Label'!$D:$D&amp;'3) Release_Label'!$E:$E,'3) Release_Label'!$H:$H},2,0), or(and(not(isblank($B128)),$B128=$B127,$A128&lt;&gt;$A127),and(not(isblank($A128)),$A128=$A127,$B128&lt;&gt;$B127)),"ID LISTS UNALIGNED",and($A128&lt;&gt;"",countif('3) Release_Label'!$D:$D,$A128)=0),"NO UPC MATCH in Release_Label",and($B128&lt;&gt;"",countif('3) Release_Label'!$E:$E,$B128)=0),"NO CATALOG ID MATCH in Release_Label",iserror(vlookup($A128&amp;$B128,'3) Release_Label'!$D:$D&amp;'3) Release_Label'!$E:$E,1,0)),"NO UPC-CATALOG ID pair MATCH in Release_Label" )</f>
        <v/>
      </c>
      <c r="E128" s="141" t="str">
        <f t="shared" si="2"/>
        <v/>
      </c>
      <c r="G128" s="103"/>
      <c r="H128" s="152"/>
      <c r="J128" s="99"/>
      <c r="K128" s="104"/>
      <c r="L128" s="99"/>
      <c r="N128" s="99"/>
      <c r="O128" s="99"/>
      <c r="P128" s="34"/>
    </row>
    <row r="129">
      <c r="A129" s="100"/>
      <c r="B129" s="103"/>
      <c r="C129" s="121" t="str">
        <f t="array" ref="C129">ifs(and(isblank($A129),isblank($B129)),"", not(iserror(vlookup($A129&amp;$B129,'3) Release_Label'!$D:$D&amp;'3) Release_Label'!$E:$E,1,0))),vlookup($A129&amp;$B129,{'3) Release_Label'!$D:$D&amp;'3) Release_Label'!$E:$E,'3) Release_Label'!$F:$F},2,0), or(and(not(isblank($B129)),$B129=$B128,$A129&lt;&gt;$A128),and(not(isblank($A129)),$A129=$A128,$B129&lt;&gt;$B128)),"ID LISTS UNALIGNED",and($A129&lt;&gt;"",countif('3) Release_Label'!$D:$D,$A129)=0),"NO UPC MATCH in Release_Label",and($B129&lt;&gt;"",countif('3) Release_Label'!$E:$E,$B129)=0),"NO CATALOG ID MATCH in Release_Label",iserror(vlookup($A129&amp;$B129,'3) Release_Label'!$D:$D&amp;'3) Release_Label'!$E:$E,1,0)),"NO UPC-CATALOG ID pair MATCH in Release_Label" )</f>
        <v/>
      </c>
      <c r="D129" s="121" t="str">
        <f t="array" ref="D129">ifs(and(isblank($A129),isblank($B129)),"", not(iserror(vlookup($A129&amp;$B129,'3) Release_Label'!$D:$D&amp;'3) Release_Label'!$E:$E,1,0))),vlookup($A129&amp;$B129,{'3) Release_Label'!$D:$D&amp;'3) Release_Label'!$E:$E,'3) Release_Label'!$H:$H},2,0), or(and(not(isblank($B129)),$B129=$B128,$A129&lt;&gt;$A128),and(not(isblank($A129)),$A129=$A128,$B129&lt;&gt;$B128)),"ID LISTS UNALIGNED",and($A129&lt;&gt;"",countif('3) Release_Label'!$D:$D,$A129)=0),"NO UPC MATCH in Release_Label",and($B129&lt;&gt;"",countif('3) Release_Label'!$E:$E,$B129)=0),"NO CATALOG ID MATCH in Release_Label",iserror(vlookup($A129&amp;$B129,'3) Release_Label'!$D:$D&amp;'3) Release_Label'!$E:$E,1,0)),"NO UPC-CATALOG ID pair MATCH in Release_Label" )</f>
        <v/>
      </c>
      <c r="E129" s="141" t="str">
        <f t="shared" si="2"/>
        <v/>
      </c>
      <c r="G129" s="103"/>
      <c r="H129" s="152"/>
      <c r="J129" s="99"/>
      <c r="K129" s="104"/>
      <c r="L129" s="99"/>
      <c r="N129" s="99"/>
      <c r="O129" s="99"/>
      <c r="P129" s="34"/>
    </row>
    <row r="130">
      <c r="A130" s="100"/>
      <c r="B130" s="103"/>
      <c r="C130" s="121" t="str">
        <f t="array" ref="C130">ifs(and(isblank($A130),isblank($B130)),"", not(iserror(vlookup($A130&amp;$B130,'3) Release_Label'!$D:$D&amp;'3) Release_Label'!$E:$E,1,0))),vlookup($A130&amp;$B130,{'3) Release_Label'!$D:$D&amp;'3) Release_Label'!$E:$E,'3) Release_Label'!$F:$F},2,0), or(and(not(isblank($B130)),$B130=$B129,$A130&lt;&gt;$A129),and(not(isblank($A130)),$A130=$A129,$B130&lt;&gt;$B129)),"ID LISTS UNALIGNED",and($A130&lt;&gt;"",countif('3) Release_Label'!$D:$D,$A130)=0),"NO UPC MATCH in Release_Label",and($B130&lt;&gt;"",countif('3) Release_Label'!$E:$E,$B130)=0),"NO CATALOG ID MATCH in Release_Label",iserror(vlookup($A130&amp;$B130,'3) Release_Label'!$D:$D&amp;'3) Release_Label'!$E:$E,1,0)),"NO UPC-CATALOG ID pair MATCH in Release_Label" )</f>
        <v/>
      </c>
      <c r="D130" s="121" t="str">
        <f t="array" ref="D130">ifs(and(isblank($A130),isblank($B130)),"", not(iserror(vlookup($A130&amp;$B130,'3) Release_Label'!$D:$D&amp;'3) Release_Label'!$E:$E,1,0))),vlookup($A130&amp;$B130,{'3) Release_Label'!$D:$D&amp;'3) Release_Label'!$E:$E,'3) Release_Label'!$H:$H},2,0), or(and(not(isblank($B130)),$B130=$B129,$A130&lt;&gt;$A129),and(not(isblank($A130)),$A130=$A129,$B130&lt;&gt;$B129)),"ID LISTS UNALIGNED",and($A130&lt;&gt;"",countif('3) Release_Label'!$D:$D,$A130)=0),"NO UPC MATCH in Release_Label",and($B130&lt;&gt;"",countif('3) Release_Label'!$E:$E,$B130)=0),"NO CATALOG ID MATCH in Release_Label",iserror(vlookup($A130&amp;$B130,'3) Release_Label'!$D:$D&amp;'3) Release_Label'!$E:$E,1,0)),"NO UPC-CATALOG ID pair MATCH in Release_Label" )</f>
        <v/>
      </c>
      <c r="E130" s="141" t="str">
        <f t="shared" si="2"/>
        <v/>
      </c>
      <c r="G130" s="103"/>
      <c r="H130" s="152"/>
      <c r="J130" s="99"/>
      <c r="K130" s="104"/>
      <c r="L130" s="99"/>
      <c r="N130" s="99"/>
      <c r="O130" s="99"/>
      <c r="P130" s="34"/>
    </row>
    <row r="131">
      <c r="A131" s="100"/>
      <c r="B131" s="103"/>
      <c r="C131" s="121" t="str">
        <f t="array" ref="C131">ifs(and(isblank($A131),isblank($B131)),"", not(iserror(vlookup($A131&amp;$B131,'3) Release_Label'!$D:$D&amp;'3) Release_Label'!$E:$E,1,0))),vlookup($A131&amp;$B131,{'3) Release_Label'!$D:$D&amp;'3) Release_Label'!$E:$E,'3) Release_Label'!$F:$F},2,0), or(and(not(isblank($B131)),$B131=$B130,$A131&lt;&gt;$A130),and(not(isblank($A131)),$A131=$A130,$B131&lt;&gt;$B130)),"ID LISTS UNALIGNED",and($A131&lt;&gt;"",countif('3) Release_Label'!$D:$D,$A131)=0),"NO UPC MATCH in Release_Label",and($B131&lt;&gt;"",countif('3) Release_Label'!$E:$E,$B131)=0),"NO CATALOG ID MATCH in Release_Label",iserror(vlookup($A131&amp;$B131,'3) Release_Label'!$D:$D&amp;'3) Release_Label'!$E:$E,1,0)),"NO UPC-CATALOG ID pair MATCH in Release_Label" )</f>
        <v/>
      </c>
      <c r="D131" s="121" t="str">
        <f t="array" ref="D131">ifs(and(isblank($A131),isblank($B131)),"", not(iserror(vlookup($A131&amp;$B131,'3) Release_Label'!$D:$D&amp;'3) Release_Label'!$E:$E,1,0))),vlookup($A131&amp;$B131,{'3) Release_Label'!$D:$D&amp;'3) Release_Label'!$E:$E,'3) Release_Label'!$H:$H},2,0), or(and(not(isblank($B131)),$B131=$B130,$A131&lt;&gt;$A130),and(not(isblank($A131)),$A131=$A130,$B131&lt;&gt;$B130)),"ID LISTS UNALIGNED",and($A131&lt;&gt;"",countif('3) Release_Label'!$D:$D,$A131)=0),"NO UPC MATCH in Release_Label",and($B131&lt;&gt;"",countif('3) Release_Label'!$E:$E,$B131)=0),"NO CATALOG ID MATCH in Release_Label",iserror(vlookup($A131&amp;$B131,'3) Release_Label'!$D:$D&amp;'3) Release_Label'!$E:$E,1,0)),"NO UPC-CATALOG ID pair MATCH in Release_Label" )</f>
        <v/>
      </c>
      <c r="E131" s="141" t="str">
        <f t="shared" si="2"/>
        <v/>
      </c>
      <c r="G131" s="103"/>
      <c r="H131" s="152"/>
      <c r="J131" s="99"/>
      <c r="K131" s="104"/>
      <c r="L131" s="99"/>
      <c r="N131" s="99"/>
      <c r="O131" s="99"/>
      <c r="P131" s="34"/>
    </row>
    <row r="132">
      <c r="A132" s="100"/>
      <c r="B132" s="103"/>
      <c r="C132" s="121" t="str">
        <f t="array" ref="C132">ifs(and(isblank($A132),isblank($B132)),"", not(iserror(vlookup($A132&amp;$B132,'3) Release_Label'!$D:$D&amp;'3) Release_Label'!$E:$E,1,0))),vlookup($A132&amp;$B132,{'3) Release_Label'!$D:$D&amp;'3) Release_Label'!$E:$E,'3) Release_Label'!$F:$F},2,0), or(and(not(isblank($B132)),$B132=$B131,$A132&lt;&gt;$A131),and(not(isblank($A132)),$A132=$A131,$B132&lt;&gt;$B131)),"ID LISTS UNALIGNED",and($A132&lt;&gt;"",countif('3) Release_Label'!$D:$D,$A132)=0),"NO UPC MATCH in Release_Label",and($B132&lt;&gt;"",countif('3) Release_Label'!$E:$E,$B132)=0),"NO CATALOG ID MATCH in Release_Label",iserror(vlookup($A132&amp;$B132,'3) Release_Label'!$D:$D&amp;'3) Release_Label'!$E:$E,1,0)),"NO UPC-CATALOG ID pair MATCH in Release_Label" )</f>
        <v/>
      </c>
      <c r="D132" s="121" t="str">
        <f t="array" ref="D132">ifs(and(isblank($A132),isblank($B132)),"", not(iserror(vlookup($A132&amp;$B132,'3) Release_Label'!$D:$D&amp;'3) Release_Label'!$E:$E,1,0))),vlookup($A132&amp;$B132,{'3) Release_Label'!$D:$D&amp;'3) Release_Label'!$E:$E,'3) Release_Label'!$H:$H},2,0), or(and(not(isblank($B132)),$B132=$B131,$A132&lt;&gt;$A131),and(not(isblank($A132)),$A132=$A131,$B132&lt;&gt;$B131)),"ID LISTS UNALIGNED",and($A132&lt;&gt;"",countif('3) Release_Label'!$D:$D,$A132)=0),"NO UPC MATCH in Release_Label",and($B132&lt;&gt;"",countif('3) Release_Label'!$E:$E,$B132)=0),"NO CATALOG ID MATCH in Release_Label",iserror(vlookup($A132&amp;$B132,'3) Release_Label'!$D:$D&amp;'3) Release_Label'!$E:$E,1,0)),"NO UPC-CATALOG ID pair MATCH in Release_Label" )</f>
        <v/>
      </c>
      <c r="E132" s="141" t="str">
        <f t="shared" si="2"/>
        <v/>
      </c>
      <c r="G132" s="103"/>
      <c r="H132" s="152"/>
      <c r="J132" s="99"/>
      <c r="K132" s="104"/>
      <c r="L132" s="99"/>
      <c r="N132" s="99"/>
      <c r="O132" s="99"/>
      <c r="P132" s="34"/>
    </row>
    <row r="133">
      <c r="A133" s="100"/>
      <c r="B133" s="103"/>
      <c r="C133" s="121" t="str">
        <f t="array" ref="C133">ifs(and(isblank($A133),isblank($B133)),"", not(iserror(vlookup($A133&amp;$B133,'3) Release_Label'!$D:$D&amp;'3) Release_Label'!$E:$E,1,0))),vlookup($A133&amp;$B133,{'3) Release_Label'!$D:$D&amp;'3) Release_Label'!$E:$E,'3) Release_Label'!$F:$F},2,0), or(and(not(isblank($B133)),$B133=$B132,$A133&lt;&gt;$A132),and(not(isblank($A133)),$A133=$A132,$B133&lt;&gt;$B132)),"ID LISTS UNALIGNED",and($A133&lt;&gt;"",countif('3) Release_Label'!$D:$D,$A133)=0),"NO UPC MATCH in Release_Label",and($B133&lt;&gt;"",countif('3) Release_Label'!$E:$E,$B133)=0),"NO CATALOG ID MATCH in Release_Label",iserror(vlookup($A133&amp;$B133,'3) Release_Label'!$D:$D&amp;'3) Release_Label'!$E:$E,1,0)),"NO UPC-CATALOG ID pair MATCH in Release_Label" )</f>
        <v/>
      </c>
      <c r="D133" s="121" t="str">
        <f t="array" ref="D133">ifs(and(isblank($A133),isblank($B133)),"", not(iserror(vlookup($A133&amp;$B133,'3) Release_Label'!$D:$D&amp;'3) Release_Label'!$E:$E,1,0))),vlookup($A133&amp;$B133,{'3) Release_Label'!$D:$D&amp;'3) Release_Label'!$E:$E,'3) Release_Label'!$H:$H},2,0), or(and(not(isblank($B133)),$B133=$B132,$A133&lt;&gt;$A132),and(not(isblank($A133)),$A133=$A132,$B133&lt;&gt;$B132)),"ID LISTS UNALIGNED",and($A133&lt;&gt;"",countif('3) Release_Label'!$D:$D,$A133)=0),"NO UPC MATCH in Release_Label",and($B133&lt;&gt;"",countif('3) Release_Label'!$E:$E,$B133)=0),"NO CATALOG ID MATCH in Release_Label",iserror(vlookup($A133&amp;$B133,'3) Release_Label'!$D:$D&amp;'3) Release_Label'!$E:$E,1,0)),"NO UPC-CATALOG ID pair MATCH in Release_Label" )</f>
        <v/>
      </c>
      <c r="E133" s="141" t="str">
        <f t="shared" si="2"/>
        <v/>
      </c>
      <c r="G133" s="103"/>
      <c r="H133" s="152"/>
      <c r="J133" s="99"/>
      <c r="K133" s="104"/>
      <c r="L133" s="99"/>
      <c r="N133" s="99"/>
      <c r="O133" s="99"/>
      <c r="P133" s="34"/>
    </row>
    <row r="134">
      <c r="A134" s="100"/>
      <c r="B134" s="103"/>
      <c r="C134" s="121" t="str">
        <f t="array" ref="C134">ifs(and(isblank($A134),isblank($B134)),"", not(iserror(vlookup($A134&amp;$B134,'3) Release_Label'!$D:$D&amp;'3) Release_Label'!$E:$E,1,0))),vlookup($A134&amp;$B134,{'3) Release_Label'!$D:$D&amp;'3) Release_Label'!$E:$E,'3) Release_Label'!$F:$F},2,0), or(and(not(isblank($B134)),$B134=$B133,$A134&lt;&gt;$A133),and(not(isblank($A134)),$A134=$A133,$B134&lt;&gt;$B133)),"ID LISTS UNALIGNED",and($A134&lt;&gt;"",countif('3) Release_Label'!$D:$D,$A134)=0),"NO UPC MATCH in Release_Label",and($B134&lt;&gt;"",countif('3) Release_Label'!$E:$E,$B134)=0),"NO CATALOG ID MATCH in Release_Label",iserror(vlookup($A134&amp;$B134,'3) Release_Label'!$D:$D&amp;'3) Release_Label'!$E:$E,1,0)),"NO UPC-CATALOG ID pair MATCH in Release_Label" )</f>
        <v/>
      </c>
      <c r="D134" s="121" t="str">
        <f t="array" ref="D134">ifs(and(isblank($A134),isblank($B134)),"", not(iserror(vlookup($A134&amp;$B134,'3) Release_Label'!$D:$D&amp;'3) Release_Label'!$E:$E,1,0))),vlookup($A134&amp;$B134,{'3) Release_Label'!$D:$D&amp;'3) Release_Label'!$E:$E,'3) Release_Label'!$H:$H},2,0), or(and(not(isblank($B134)),$B134=$B133,$A134&lt;&gt;$A133),and(not(isblank($A134)),$A134=$A133,$B134&lt;&gt;$B133)),"ID LISTS UNALIGNED",and($A134&lt;&gt;"",countif('3) Release_Label'!$D:$D,$A134)=0),"NO UPC MATCH in Release_Label",and($B134&lt;&gt;"",countif('3) Release_Label'!$E:$E,$B134)=0),"NO CATALOG ID MATCH in Release_Label",iserror(vlookup($A134&amp;$B134,'3) Release_Label'!$D:$D&amp;'3) Release_Label'!$E:$E,1,0)),"NO UPC-CATALOG ID pair MATCH in Release_Label" )</f>
        <v/>
      </c>
      <c r="E134" s="141" t="str">
        <f t="shared" si="2"/>
        <v/>
      </c>
      <c r="G134" s="103"/>
      <c r="H134" s="152"/>
      <c r="J134" s="99"/>
      <c r="K134" s="104"/>
      <c r="L134" s="99"/>
      <c r="N134" s="99"/>
      <c r="O134" s="99"/>
      <c r="P134" s="34"/>
    </row>
    <row r="135">
      <c r="A135" s="100"/>
      <c r="B135" s="103"/>
      <c r="C135" s="121" t="str">
        <f t="array" ref="C135">ifs(and(isblank($A135),isblank($B135)),"", not(iserror(vlookup($A135&amp;$B135,'3) Release_Label'!$D:$D&amp;'3) Release_Label'!$E:$E,1,0))),vlookup($A135&amp;$B135,{'3) Release_Label'!$D:$D&amp;'3) Release_Label'!$E:$E,'3) Release_Label'!$F:$F},2,0), or(and(not(isblank($B135)),$B135=$B134,$A135&lt;&gt;$A134),and(not(isblank($A135)),$A135=$A134,$B135&lt;&gt;$B134)),"ID LISTS UNALIGNED",and($A135&lt;&gt;"",countif('3) Release_Label'!$D:$D,$A135)=0),"NO UPC MATCH in Release_Label",and($B135&lt;&gt;"",countif('3) Release_Label'!$E:$E,$B135)=0),"NO CATALOG ID MATCH in Release_Label",iserror(vlookup($A135&amp;$B135,'3) Release_Label'!$D:$D&amp;'3) Release_Label'!$E:$E,1,0)),"NO UPC-CATALOG ID pair MATCH in Release_Label" )</f>
        <v/>
      </c>
      <c r="D135" s="121" t="str">
        <f t="array" ref="D135">ifs(and(isblank($A135),isblank($B135)),"", not(iserror(vlookup($A135&amp;$B135,'3) Release_Label'!$D:$D&amp;'3) Release_Label'!$E:$E,1,0))),vlookup($A135&amp;$B135,{'3) Release_Label'!$D:$D&amp;'3) Release_Label'!$E:$E,'3) Release_Label'!$H:$H},2,0), or(and(not(isblank($B135)),$B135=$B134,$A135&lt;&gt;$A134),and(not(isblank($A135)),$A135=$A134,$B135&lt;&gt;$B134)),"ID LISTS UNALIGNED",and($A135&lt;&gt;"",countif('3) Release_Label'!$D:$D,$A135)=0),"NO UPC MATCH in Release_Label",and($B135&lt;&gt;"",countif('3) Release_Label'!$E:$E,$B135)=0),"NO CATALOG ID MATCH in Release_Label",iserror(vlookup($A135&amp;$B135,'3) Release_Label'!$D:$D&amp;'3) Release_Label'!$E:$E,1,0)),"NO UPC-CATALOG ID pair MATCH in Release_Label" )</f>
        <v/>
      </c>
      <c r="E135" s="141" t="str">
        <f t="shared" si="2"/>
        <v/>
      </c>
      <c r="G135" s="103"/>
      <c r="H135" s="152"/>
      <c r="J135" s="99"/>
      <c r="K135" s="104"/>
      <c r="L135" s="99"/>
      <c r="N135" s="99"/>
      <c r="O135" s="99"/>
      <c r="P135" s="34"/>
    </row>
    <row r="136">
      <c r="A136" s="100"/>
      <c r="B136" s="103"/>
      <c r="C136" s="121" t="str">
        <f t="array" ref="C136">ifs(and(isblank($A136),isblank($B136)),"", not(iserror(vlookup($A136&amp;$B136,'3) Release_Label'!$D:$D&amp;'3) Release_Label'!$E:$E,1,0))),vlookup($A136&amp;$B136,{'3) Release_Label'!$D:$D&amp;'3) Release_Label'!$E:$E,'3) Release_Label'!$F:$F},2,0), or(and(not(isblank($B136)),$B136=$B135,$A136&lt;&gt;$A135),and(not(isblank($A136)),$A136=$A135,$B136&lt;&gt;$B135)),"ID LISTS UNALIGNED",and($A136&lt;&gt;"",countif('3) Release_Label'!$D:$D,$A136)=0),"NO UPC MATCH in Release_Label",and($B136&lt;&gt;"",countif('3) Release_Label'!$E:$E,$B136)=0),"NO CATALOG ID MATCH in Release_Label",iserror(vlookup($A136&amp;$B136,'3) Release_Label'!$D:$D&amp;'3) Release_Label'!$E:$E,1,0)),"NO UPC-CATALOG ID pair MATCH in Release_Label" )</f>
        <v/>
      </c>
      <c r="D136" s="121" t="str">
        <f t="array" ref="D136">ifs(and(isblank($A136),isblank($B136)),"", not(iserror(vlookup($A136&amp;$B136,'3) Release_Label'!$D:$D&amp;'3) Release_Label'!$E:$E,1,0))),vlookup($A136&amp;$B136,{'3) Release_Label'!$D:$D&amp;'3) Release_Label'!$E:$E,'3) Release_Label'!$H:$H},2,0), or(and(not(isblank($B136)),$B136=$B135,$A136&lt;&gt;$A135),and(not(isblank($A136)),$A136=$A135,$B136&lt;&gt;$B135)),"ID LISTS UNALIGNED",and($A136&lt;&gt;"",countif('3) Release_Label'!$D:$D,$A136)=0),"NO UPC MATCH in Release_Label",and($B136&lt;&gt;"",countif('3) Release_Label'!$E:$E,$B136)=0),"NO CATALOG ID MATCH in Release_Label",iserror(vlookup($A136&amp;$B136,'3) Release_Label'!$D:$D&amp;'3) Release_Label'!$E:$E,1,0)),"NO UPC-CATALOG ID pair MATCH in Release_Label" )</f>
        <v/>
      </c>
      <c r="E136" s="141" t="str">
        <f t="shared" si="2"/>
        <v/>
      </c>
      <c r="G136" s="103"/>
      <c r="H136" s="152"/>
      <c r="J136" s="99"/>
      <c r="K136" s="104"/>
      <c r="L136" s="99"/>
      <c r="N136" s="99"/>
      <c r="O136" s="99"/>
      <c r="P136" s="34"/>
    </row>
    <row r="137">
      <c r="A137" s="100"/>
      <c r="B137" s="103"/>
      <c r="C137" s="121" t="str">
        <f t="array" ref="C137">ifs(and(isblank($A137),isblank($B137)),"", not(iserror(vlookup($A137&amp;$B137,'3) Release_Label'!$D:$D&amp;'3) Release_Label'!$E:$E,1,0))),vlookup($A137&amp;$B137,{'3) Release_Label'!$D:$D&amp;'3) Release_Label'!$E:$E,'3) Release_Label'!$F:$F},2,0), or(and(not(isblank($B137)),$B137=$B136,$A137&lt;&gt;$A136),and(not(isblank($A137)),$A137=$A136,$B137&lt;&gt;$B136)),"ID LISTS UNALIGNED",and($A137&lt;&gt;"",countif('3) Release_Label'!$D:$D,$A137)=0),"NO UPC MATCH in Release_Label",and($B137&lt;&gt;"",countif('3) Release_Label'!$E:$E,$B137)=0),"NO CATALOG ID MATCH in Release_Label",iserror(vlookup($A137&amp;$B137,'3) Release_Label'!$D:$D&amp;'3) Release_Label'!$E:$E,1,0)),"NO UPC-CATALOG ID pair MATCH in Release_Label" )</f>
        <v/>
      </c>
      <c r="D137" s="121" t="str">
        <f t="array" ref="D137">ifs(and(isblank($A137),isblank($B137)),"", not(iserror(vlookup($A137&amp;$B137,'3) Release_Label'!$D:$D&amp;'3) Release_Label'!$E:$E,1,0))),vlookup($A137&amp;$B137,{'3) Release_Label'!$D:$D&amp;'3) Release_Label'!$E:$E,'3) Release_Label'!$H:$H},2,0), or(and(not(isblank($B137)),$B137=$B136,$A137&lt;&gt;$A136),and(not(isblank($A137)),$A137=$A136,$B137&lt;&gt;$B136)),"ID LISTS UNALIGNED",and($A137&lt;&gt;"",countif('3) Release_Label'!$D:$D,$A137)=0),"NO UPC MATCH in Release_Label",and($B137&lt;&gt;"",countif('3) Release_Label'!$E:$E,$B137)=0),"NO CATALOG ID MATCH in Release_Label",iserror(vlookup($A137&amp;$B137,'3) Release_Label'!$D:$D&amp;'3) Release_Label'!$E:$E,1,0)),"NO UPC-CATALOG ID pair MATCH in Release_Label" )</f>
        <v/>
      </c>
      <c r="E137" s="141" t="str">
        <f t="shared" si="2"/>
        <v/>
      </c>
      <c r="G137" s="103"/>
      <c r="H137" s="152"/>
      <c r="J137" s="99"/>
      <c r="K137" s="104"/>
      <c r="L137" s="99"/>
      <c r="N137" s="99"/>
      <c r="O137" s="99"/>
      <c r="P137" s="34"/>
    </row>
    <row r="138">
      <c r="A138" s="100"/>
      <c r="B138" s="103"/>
      <c r="C138" s="121" t="str">
        <f t="array" ref="C138">ifs(and(isblank($A138),isblank($B138)),"", not(iserror(vlookup($A138&amp;$B138,'3) Release_Label'!$D:$D&amp;'3) Release_Label'!$E:$E,1,0))),vlookup($A138&amp;$B138,{'3) Release_Label'!$D:$D&amp;'3) Release_Label'!$E:$E,'3) Release_Label'!$F:$F},2,0), or(and(not(isblank($B138)),$B138=$B137,$A138&lt;&gt;$A137),and(not(isblank($A138)),$A138=$A137,$B138&lt;&gt;$B137)),"ID LISTS UNALIGNED",and($A138&lt;&gt;"",countif('3) Release_Label'!$D:$D,$A138)=0),"NO UPC MATCH in Release_Label",and($B138&lt;&gt;"",countif('3) Release_Label'!$E:$E,$B138)=0),"NO CATALOG ID MATCH in Release_Label",iserror(vlookup($A138&amp;$B138,'3) Release_Label'!$D:$D&amp;'3) Release_Label'!$E:$E,1,0)),"NO UPC-CATALOG ID pair MATCH in Release_Label" )</f>
        <v/>
      </c>
      <c r="D138" s="121" t="str">
        <f t="array" ref="D138">ifs(and(isblank($A138),isblank($B138)),"", not(iserror(vlookup($A138&amp;$B138,'3) Release_Label'!$D:$D&amp;'3) Release_Label'!$E:$E,1,0))),vlookup($A138&amp;$B138,{'3) Release_Label'!$D:$D&amp;'3) Release_Label'!$E:$E,'3) Release_Label'!$H:$H},2,0), or(and(not(isblank($B138)),$B138=$B137,$A138&lt;&gt;$A137),and(not(isblank($A138)),$A138=$A137,$B138&lt;&gt;$B137)),"ID LISTS UNALIGNED",and($A138&lt;&gt;"",countif('3) Release_Label'!$D:$D,$A138)=0),"NO UPC MATCH in Release_Label",and($B138&lt;&gt;"",countif('3) Release_Label'!$E:$E,$B138)=0),"NO CATALOG ID MATCH in Release_Label",iserror(vlookup($A138&amp;$B138,'3) Release_Label'!$D:$D&amp;'3) Release_Label'!$E:$E,1,0)),"NO UPC-CATALOG ID pair MATCH in Release_Label" )</f>
        <v/>
      </c>
      <c r="E138" s="141" t="str">
        <f t="shared" si="2"/>
        <v/>
      </c>
      <c r="G138" s="103"/>
      <c r="H138" s="152"/>
      <c r="J138" s="99"/>
      <c r="K138" s="104"/>
      <c r="L138" s="99"/>
      <c r="N138" s="99"/>
      <c r="O138" s="99"/>
      <c r="P138" s="34"/>
    </row>
    <row r="139">
      <c r="A139" s="100"/>
      <c r="B139" s="103"/>
      <c r="C139" s="121" t="str">
        <f t="array" ref="C139">ifs(and(isblank($A139),isblank($B139)),"", not(iserror(vlookup($A139&amp;$B139,'3) Release_Label'!$D:$D&amp;'3) Release_Label'!$E:$E,1,0))),vlookup($A139&amp;$B139,{'3) Release_Label'!$D:$D&amp;'3) Release_Label'!$E:$E,'3) Release_Label'!$F:$F},2,0), or(and(not(isblank($B139)),$B139=$B138,$A139&lt;&gt;$A138),and(not(isblank($A139)),$A139=$A138,$B139&lt;&gt;$B138)),"ID LISTS UNALIGNED",and($A139&lt;&gt;"",countif('3) Release_Label'!$D:$D,$A139)=0),"NO UPC MATCH in Release_Label",and($B139&lt;&gt;"",countif('3) Release_Label'!$E:$E,$B139)=0),"NO CATALOG ID MATCH in Release_Label",iserror(vlookup($A139&amp;$B139,'3) Release_Label'!$D:$D&amp;'3) Release_Label'!$E:$E,1,0)),"NO UPC-CATALOG ID pair MATCH in Release_Label" )</f>
        <v/>
      </c>
      <c r="D139" s="121" t="str">
        <f t="array" ref="D139">ifs(and(isblank($A139),isblank($B139)),"", not(iserror(vlookup($A139&amp;$B139,'3) Release_Label'!$D:$D&amp;'3) Release_Label'!$E:$E,1,0))),vlookup($A139&amp;$B139,{'3) Release_Label'!$D:$D&amp;'3) Release_Label'!$E:$E,'3) Release_Label'!$H:$H},2,0), or(and(not(isblank($B139)),$B139=$B138,$A139&lt;&gt;$A138),and(not(isblank($A139)),$A139=$A138,$B139&lt;&gt;$B138)),"ID LISTS UNALIGNED",and($A139&lt;&gt;"",countif('3) Release_Label'!$D:$D,$A139)=0),"NO UPC MATCH in Release_Label",and($B139&lt;&gt;"",countif('3) Release_Label'!$E:$E,$B139)=0),"NO CATALOG ID MATCH in Release_Label",iserror(vlookup($A139&amp;$B139,'3) Release_Label'!$D:$D&amp;'3) Release_Label'!$E:$E,1,0)),"NO UPC-CATALOG ID pair MATCH in Release_Label" )</f>
        <v/>
      </c>
      <c r="E139" s="141" t="str">
        <f t="shared" si="2"/>
        <v/>
      </c>
      <c r="G139" s="103"/>
      <c r="H139" s="152"/>
      <c r="J139" s="99"/>
      <c r="K139" s="104"/>
      <c r="L139" s="99"/>
      <c r="N139" s="99"/>
      <c r="O139" s="99"/>
      <c r="P139" s="34"/>
    </row>
    <row r="140">
      <c r="A140" s="100"/>
      <c r="B140" s="103"/>
      <c r="C140" s="121" t="str">
        <f t="array" ref="C140">ifs(and(isblank($A140),isblank($B140)),"", not(iserror(vlookup($A140&amp;$B140,'3) Release_Label'!$D:$D&amp;'3) Release_Label'!$E:$E,1,0))),vlookup($A140&amp;$B140,{'3) Release_Label'!$D:$D&amp;'3) Release_Label'!$E:$E,'3) Release_Label'!$F:$F},2,0), or(and(not(isblank($B140)),$B140=$B139,$A140&lt;&gt;$A139),and(not(isblank($A140)),$A140=$A139,$B140&lt;&gt;$B139)),"ID LISTS UNALIGNED",and($A140&lt;&gt;"",countif('3) Release_Label'!$D:$D,$A140)=0),"NO UPC MATCH in Release_Label",and($B140&lt;&gt;"",countif('3) Release_Label'!$E:$E,$B140)=0),"NO CATALOG ID MATCH in Release_Label",iserror(vlookup($A140&amp;$B140,'3) Release_Label'!$D:$D&amp;'3) Release_Label'!$E:$E,1,0)),"NO UPC-CATALOG ID pair MATCH in Release_Label" )</f>
        <v/>
      </c>
      <c r="D140" s="121" t="str">
        <f t="array" ref="D140">ifs(and(isblank($A140),isblank($B140)),"", not(iserror(vlookup($A140&amp;$B140,'3) Release_Label'!$D:$D&amp;'3) Release_Label'!$E:$E,1,0))),vlookup($A140&amp;$B140,{'3) Release_Label'!$D:$D&amp;'3) Release_Label'!$E:$E,'3) Release_Label'!$H:$H},2,0), or(and(not(isblank($B140)),$B140=$B139,$A140&lt;&gt;$A139),and(not(isblank($A140)),$A140=$A139,$B140&lt;&gt;$B139)),"ID LISTS UNALIGNED",and($A140&lt;&gt;"",countif('3) Release_Label'!$D:$D,$A140)=0),"NO UPC MATCH in Release_Label",and($B140&lt;&gt;"",countif('3) Release_Label'!$E:$E,$B140)=0),"NO CATALOG ID MATCH in Release_Label",iserror(vlookup($A140&amp;$B140,'3) Release_Label'!$D:$D&amp;'3) Release_Label'!$E:$E,1,0)),"NO UPC-CATALOG ID pair MATCH in Release_Label" )</f>
        <v/>
      </c>
      <c r="E140" s="141" t="str">
        <f t="shared" si="2"/>
        <v/>
      </c>
      <c r="G140" s="103"/>
      <c r="H140" s="152"/>
      <c r="J140" s="99"/>
      <c r="K140" s="104"/>
      <c r="L140" s="99"/>
      <c r="N140" s="99"/>
      <c r="O140" s="99"/>
      <c r="P140" s="34"/>
    </row>
    <row r="141">
      <c r="A141" s="100"/>
      <c r="B141" s="103"/>
      <c r="C141" s="121" t="str">
        <f t="array" ref="C141">ifs(and(isblank($A141),isblank($B141)),"", not(iserror(vlookup($A141&amp;$B141,'3) Release_Label'!$D:$D&amp;'3) Release_Label'!$E:$E,1,0))),vlookup($A141&amp;$B141,{'3) Release_Label'!$D:$D&amp;'3) Release_Label'!$E:$E,'3) Release_Label'!$F:$F},2,0), or(and(not(isblank($B141)),$B141=$B140,$A141&lt;&gt;$A140),and(not(isblank($A141)),$A141=$A140,$B141&lt;&gt;$B140)),"ID LISTS UNALIGNED",and($A141&lt;&gt;"",countif('3) Release_Label'!$D:$D,$A141)=0),"NO UPC MATCH in Release_Label",and($B141&lt;&gt;"",countif('3) Release_Label'!$E:$E,$B141)=0),"NO CATALOG ID MATCH in Release_Label",iserror(vlookup($A141&amp;$B141,'3) Release_Label'!$D:$D&amp;'3) Release_Label'!$E:$E,1,0)),"NO UPC-CATALOG ID pair MATCH in Release_Label" )</f>
        <v/>
      </c>
      <c r="D141" s="121" t="str">
        <f t="array" ref="D141">ifs(and(isblank($A141),isblank($B141)),"", not(iserror(vlookup($A141&amp;$B141,'3) Release_Label'!$D:$D&amp;'3) Release_Label'!$E:$E,1,0))),vlookup($A141&amp;$B141,{'3) Release_Label'!$D:$D&amp;'3) Release_Label'!$E:$E,'3) Release_Label'!$H:$H},2,0), or(and(not(isblank($B141)),$B141=$B140,$A141&lt;&gt;$A140),and(not(isblank($A141)),$A141=$A140,$B141&lt;&gt;$B140)),"ID LISTS UNALIGNED",and($A141&lt;&gt;"",countif('3) Release_Label'!$D:$D,$A141)=0),"NO UPC MATCH in Release_Label",and($B141&lt;&gt;"",countif('3) Release_Label'!$E:$E,$B141)=0),"NO CATALOG ID MATCH in Release_Label",iserror(vlookup($A141&amp;$B141,'3) Release_Label'!$D:$D&amp;'3) Release_Label'!$E:$E,1,0)),"NO UPC-CATALOG ID pair MATCH in Release_Label" )</f>
        <v/>
      </c>
      <c r="E141" s="141" t="str">
        <f t="shared" si="2"/>
        <v/>
      </c>
      <c r="G141" s="103"/>
      <c r="H141" s="152"/>
      <c r="J141" s="99"/>
      <c r="K141" s="104"/>
      <c r="L141" s="99"/>
      <c r="N141" s="99"/>
      <c r="O141" s="99"/>
      <c r="P141" s="34"/>
    </row>
    <row r="142">
      <c r="A142" s="100"/>
      <c r="B142" s="103"/>
      <c r="C142" s="121" t="str">
        <f t="array" ref="C142">ifs(and(isblank($A142),isblank($B142)),"", not(iserror(vlookup($A142&amp;$B142,'3) Release_Label'!$D:$D&amp;'3) Release_Label'!$E:$E,1,0))),vlookup($A142&amp;$B142,{'3) Release_Label'!$D:$D&amp;'3) Release_Label'!$E:$E,'3) Release_Label'!$F:$F},2,0), or(and(not(isblank($B142)),$B142=$B141,$A142&lt;&gt;$A141),and(not(isblank($A142)),$A142=$A141,$B142&lt;&gt;$B141)),"ID LISTS UNALIGNED",and($A142&lt;&gt;"",countif('3) Release_Label'!$D:$D,$A142)=0),"NO UPC MATCH in Release_Label",and($B142&lt;&gt;"",countif('3) Release_Label'!$E:$E,$B142)=0),"NO CATALOG ID MATCH in Release_Label",iserror(vlookup($A142&amp;$B142,'3) Release_Label'!$D:$D&amp;'3) Release_Label'!$E:$E,1,0)),"NO UPC-CATALOG ID pair MATCH in Release_Label" )</f>
        <v/>
      </c>
      <c r="D142" s="121" t="str">
        <f t="array" ref="D142">ifs(and(isblank($A142),isblank($B142)),"", not(iserror(vlookup($A142&amp;$B142,'3) Release_Label'!$D:$D&amp;'3) Release_Label'!$E:$E,1,0))),vlookup($A142&amp;$B142,{'3) Release_Label'!$D:$D&amp;'3) Release_Label'!$E:$E,'3) Release_Label'!$H:$H},2,0), or(and(not(isblank($B142)),$B142=$B141,$A142&lt;&gt;$A141),and(not(isblank($A142)),$A142=$A141,$B142&lt;&gt;$B141)),"ID LISTS UNALIGNED",and($A142&lt;&gt;"",countif('3) Release_Label'!$D:$D,$A142)=0),"NO UPC MATCH in Release_Label",and($B142&lt;&gt;"",countif('3) Release_Label'!$E:$E,$B142)=0),"NO CATALOG ID MATCH in Release_Label",iserror(vlookup($A142&amp;$B142,'3) Release_Label'!$D:$D&amp;'3) Release_Label'!$E:$E,1,0)),"NO UPC-CATALOG ID pair MATCH in Release_Label" )</f>
        <v/>
      </c>
      <c r="E142" s="141" t="str">
        <f t="shared" si="2"/>
        <v/>
      </c>
      <c r="G142" s="103"/>
      <c r="H142" s="152"/>
      <c r="J142" s="99"/>
      <c r="K142" s="104"/>
      <c r="L142" s="99"/>
      <c r="N142" s="99"/>
      <c r="O142" s="99"/>
      <c r="P142" s="34"/>
    </row>
    <row r="143">
      <c r="A143" s="100"/>
      <c r="B143" s="103"/>
      <c r="C143" s="121" t="str">
        <f t="array" ref="C143">ifs(and(isblank($A143),isblank($B143)),"", not(iserror(vlookup($A143&amp;$B143,'3) Release_Label'!$D:$D&amp;'3) Release_Label'!$E:$E,1,0))),vlookup($A143&amp;$B143,{'3) Release_Label'!$D:$D&amp;'3) Release_Label'!$E:$E,'3) Release_Label'!$F:$F},2,0), or(and(not(isblank($B143)),$B143=$B142,$A143&lt;&gt;$A142),and(not(isblank($A143)),$A143=$A142,$B143&lt;&gt;$B142)),"ID LISTS UNALIGNED",and($A143&lt;&gt;"",countif('3) Release_Label'!$D:$D,$A143)=0),"NO UPC MATCH in Release_Label",and($B143&lt;&gt;"",countif('3) Release_Label'!$E:$E,$B143)=0),"NO CATALOG ID MATCH in Release_Label",iserror(vlookup($A143&amp;$B143,'3) Release_Label'!$D:$D&amp;'3) Release_Label'!$E:$E,1,0)),"NO UPC-CATALOG ID pair MATCH in Release_Label" )</f>
        <v/>
      </c>
      <c r="D143" s="121" t="str">
        <f t="array" ref="D143">ifs(and(isblank($A143),isblank($B143)),"", not(iserror(vlookup($A143&amp;$B143,'3) Release_Label'!$D:$D&amp;'3) Release_Label'!$E:$E,1,0))),vlookup($A143&amp;$B143,{'3) Release_Label'!$D:$D&amp;'3) Release_Label'!$E:$E,'3) Release_Label'!$H:$H},2,0), or(and(not(isblank($B143)),$B143=$B142,$A143&lt;&gt;$A142),and(not(isblank($A143)),$A143=$A142,$B143&lt;&gt;$B142)),"ID LISTS UNALIGNED",and($A143&lt;&gt;"",countif('3) Release_Label'!$D:$D,$A143)=0),"NO UPC MATCH in Release_Label",and($B143&lt;&gt;"",countif('3) Release_Label'!$E:$E,$B143)=0),"NO CATALOG ID MATCH in Release_Label",iserror(vlookup($A143&amp;$B143,'3) Release_Label'!$D:$D&amp;'3) Release_Label'!$E:$E,1,0)),"NO UPC-CATALOG ID pair MATCH in Release_Label" )</f>
        <v/>
      </c>
      <c r="E143" s="141" t="str">
        <f t="shared" si="2"/>
        <v/>
      </c>
      <c r="G143" s="103"/>
      <c r="H143" s="152"/>
      <c r="J143" s="99"/>
      <c r="K143" s="104"/>
      <c r="L143" s="99"/>
      <c r="N143" s="99"/>
      <c r="O143" s="99"/>
      <c r="P143" s="34"/>
    </row>
    <row r="144">
      <c r="A144" s="100"/>
      <c r="B144" s="103"/>
      <c r="C144" s="121" t="str">
        <f t="array" ref="C144">ifs(and(isblank($A144),isblank($B144)),"", not(iserror(vlookup($A144&amp;$B144,'3) Release_Label'!$D:$D&amp;'3) Release_Label'!$E:$E,1,0))),vlookup($A144&amp;$B144,{'3) Release_Label'!$D:$D&amp;'3) Release_Label'!$E:$E,'3) Release_Label'!$F:$F},2,0), or(and(not(isblank($B144)),$B144=$B143,$A144&lt;&gt;$A143),and(not(isblank($A144)),$A144=$A143,$B144&lt;&gt;$B143)),"ID LISTS UNALIGNED",and($A144&lt;&gt;"",countif('3) Release_Label'!$D:$D,$A144)=0),"NO UPC MATCH in Release_Label",and($B144&lt;&gt;"",countif('3) Release_Label'!$E:$E,$B144)=0),"NO CATALOG ID MATCH in Release_Label",iserror(vlookup($A144&amp;$B144,'3) Release_Label'!$D:$D&amp;'3) Release_Label'!$E:$E,1,0)),"NO UPC-CATALOG ID pair MATCH in Release_Label" )</f>
        <v/>
      </c>
      <c r="D144" s="121" t="str">
        <f t="array" ref="D144">ifs(and(isblank($A144),isblank($B144)),"", not(iserror(vlookup($A144&amp;$B144,'3) Release_Label'!$D:$D&amp;'3) Release_Label'!$E:$E,1,0))),vlookup($A144&amp;$B144,{'3) Release_Label'!$D:$D&amp;'3) Release_Label'!$E:$E,'3) Release_Label'!$H:$H},2,0), or(and(not(isblank($B144)),$B144=$B143,$A144&lt;&gt;$A143),and(not(isblank($A144)),$A144=$A143,$B144&lt;&gt;$B143)),"ID LISTS UNALIGNED",and($A144&lt;&gt;"",countif('3) Release_Label'!$D:$D,$A144)=0),"NO UPC MATCH in Release_Label",and($B144&lt;&gt;"",countif('3) Release_Label'!$E:$E,$B144)=0),"NO CATALOG ID MATCH in Release_Label",iserror(vlookup($A144&amp;$B144,'3) Release_Label'!$D:$D&amp;'3) Release_Label'!$E:$E,1,0)),"NO UPC-CATALOG ID pair MATCH in Release_Label" )</f>
        <v/>
      </c>
      <c r="E144" s="141" t="str">
        <f t="shared" si="2"/>
        <v/>
      </c>
      <c r="G144" s="103"/>
      <c r="H144" s="152"/>
      <c r="J144" s="99"/>
      <c r="K144" s="104"/>
      <c r="L144" s="99"/>
      <c r="N144" s="99"/>
      <c r="O144" s="99"/>
      <c r="P144" s="34"/>
    </row>
    <row r="145">
      <c r="A145" s="100"/>
      <c r="B145" s="103"/>
      <c r="C145" s="121" t="str">
        <f t="array" ref="C145">ifs(and(isblank($A145),isblank($B145)),"", not(iserror(vlookup($A145&amp;$B145,'3) Release_Label'!$D:$D&amp;'3) Release_Label'!$E:$E,1,0))),vlookup($A145&amp;$B145,{'3) Release_Label'!$D:$D&amp;'3) Release_Label'!$E:$E,'3) Release_Label'!$F:$F},2,0), or(and(not(isblank($B145)),$B145=$B144,$A145&lt;&gt;$A144),and(not(isblank($A145)),$A145=$A144,$B145&lt;&gt;$B144)),"ID LISTS UNALIGNED",and($A145&lt;&gt;"",countif('3) Release_Label'!$D:$D,$A145)=0),"NO UPC MATCH in Release_Label",and($B145&lt;&gt;"",countif('3) Release_Label'!$E:$E,$B145)=0),"NO CATALOG ID MATCH in Release_Label",iserror(vlookup($A145&amp;$B145,'3) Release_Label'!$D:$D&amp;'3) Release_Label'!$E:$E,1,0)),"NO UPC-CATALOG ID pair MATCH in Release_Label" )</f>
        <v/>
      </c>
      <c r="D145" s="121" t="str">
        <f t="array" ref="D145">ifs(and(isblank($A145),isblank($B145)),"", not(iserror(vlookup($A145&amp;$B145,'3) Release_Label'!$D:$D&amp;'3) Release_Label'!$E:$E,1,0))),vlookup($A145&amp;$B145,{'3) Release_Label'!$D:$D&amp;'3) Release_Label'!$E:$E,'3) Release_Label'!$H:$H},2,0), or(and(not(isblank($B145)),$B145=$B144,$A145&lt;&gt;$A144),and(not(isblank($A145)),$A145=$A144,$B145&lt;&gt;$B144)),"ID LISTS UNALIGNED",and($A145&lt;&gt;"",countif('3) Release_Label'!$D:$D,$A145)=0),"NO UPC MATCH in Release_Label",and($B145&lt;&gt;"",countif('3) Release_Label'!$E:$E,$B145)=0),"NO CATALOG ID MATCH in Release_Label",iserror(vlookup($A145&amp;$B145,'3) Release_Label'!$D:$D&amp;'3) Release_Label'!$E:$E,1,0)),"NO UPC-CATALOG ID pair MATCH in Release_Label" )</f>
        <v/>
      </c>
      <c r="E145" s="141" t="str">
        <f t="shared" si="2"/>
        <v/>
      </c>
      <c r="G145" s="103"/>
      <c r="H145" s="152"/>
      <c r="J145" s="99"/>
      <c r="K145" s="104"/>
      <c r="L145" s="99"/>
      <c r="N145" s="99"/>
      <c r="O145" s="99"/>
      <c r="P145" s="34"/>
    </row>
    <row r="146">
      <c r="A146" s="100"/>
      <c r="B146" s="103"/>
      <c r="C146" s="121" t="str">
        <f t="array" ref="C146">ifs(and(isblank($A146),isblank($B146)),"", not(iserror(vlookup($A146&amp;$B146,'3) Release_Label'!$D:$D&amp;'3) Release_Label'!$E:$E,1,0))),vlookup($A146&amp;$B146,{'3) Release_Label'!$D:$D&amp;'3) Release_Label'!$E:$E,'3) Release_Label'!$F:$F},2,0), or(and(not(isblank($B146)),$B146=$B145,$A146&lt;&gt;$A145),and(not(isblank($A146)),$A146=$A145,$B146&lt;&gt;$B145)),"ID LISTS UNALIGNED",and($A146&lt;&gt;"",countif('3) Release_Label'!$D:$D,$A146)=0),"NO UPC MATCH in Release_Label",and($B146&lt;&gt;"",countif('3) Release_Label'!$E:$E,$B146)=0),"NO CATALOG ID MATCH in Release_Label",iserror(vlookup($A146&amp;$B146,'3) Release_Label'!$D:$D&amp;'3) Release_Label'!$E:$E,1,0)),"NO UPC-CATALOG ID pair MATCH in Release_Label" )</f>
        <v/>
      </c>
      <c r="D146" s="121" t="str">
        <f t="array" ref="D146">ifs(and(isblank($A146),isblank($B146)),"", not(iserror(vlookup($A146&amp;$B146,'3) Release_Label'!$D:$D&amp;'3) Release_Label'!$E:$E,1,0))),vlookup($A146&amp;$B146,{'3) Release_Label'!$D:$D&amp;'3) Release_Label'!$E:$E,'3) Release_Label'!$H:$H},2,0), or(and(not(isblank($B146)),$B146=$B145,$A146&lt;&gt;$A145),and(not(isblank($A146)),$A146=$A145,$B146&lt;&gt;$B145)),"ID LISTS UNALIGNED",and($A146&lt;&gt;"",countif('3) Release_Label'!$D:$D,$A146)=0),"NO UPC MATCH in Release_Label",and($B146&lt;&gt;"",countif('3) Release_Label'!$E:$E,$B146)=0),"NO CATALOG ID MATCH in Release_Label",iserror(vlookup($A146&amp;$B146,'3) Release_Label'!$D:$D&amp;'3) Release_Label'!$E:$E,1,0)),"NO UPC-CATALOG ID pair MATCH in Release_Label" )</f>
        <v/>
      </c>
      <c r="E146" s="141" t="str">
        <f t="shared" si="2"/>
        <v/>
      </c>
      <c r="G146" s="103"/>
      <c r="H146" s="152"/>
      <c r="J146" s="99"/>
      <c r="K146" s="104"/>
      <c r="L146" s="99"/>
      <c r="N146" s="99"/>
      <c r="O146" s="99"/>
      <c r="P146" s="34"/>
    </row>
    <row r="147">
      <c r="A147" s="100"/>
      <c r="B147" s="103"/>
      <c r="C147" s="121" t="str">
        <f t="array" ref="C147">ifs(and(isblank($A147),isblank($B147)),"", not(iserror(vlookup($A147&amp;$B147,'3) Release_Label'!$D:$D&amp;'3) Release_Label'!$E:$E,1,0))),vlookup($A147&amp;$B147,{'3) Release_Label'!$D:$D&amp;'3) Release_Label'!$E:$E,'3) Release_Label'!$F:$F},2,0), or(and(not(isblank($B147)),$B147=$B146,$A147&lt;&gt;$A146),and(not(isblank($A147)),$A147=$A146,$B147&lt;&gt;$B146)),"ID LISTS UNALIGNED",and($A147&lt;&gt;"",countif('3) Release_Label'!$D:$D,$A147)=0),"NO UPC MATCH in Release_Label",and($B147&lt;&gt;"",countif('3) Release_Label'!$E:$E,$B147)=0),"NO CATALOG ID MATCH in Release_Label",iserror(vlookup($A147&amp;$B147,'3) Release_Label'!$D:$D&amp;'3) Release_Label'!$E:$E,1,0)),"NO UPC-CATALOG ID pair MATCH in Release_Label" )</f>
        <v/>
      </c>
      <c r="D147" s="121" t="str">
        <f t="array" ref="D147">ifs(and(isblank($A147),isblank($B147)),"", not(iserror(vlookup($A147&amp;$B147,'3) Release_Label'!$D:$D&amp;'3) Release_Label'!$E:$E,1,0))),vlookup($A147&amp;$B147,{'3) Release_Label'!$D:$D&amp;'3) Release_Label'!$E:$E,'3) Release_Label'!$H:$H},2,0), or(and(not(isblank($B147)),$B147=$B146,$A147&lt;&gt;$A146),and(not(isblank($A147)),$A147=$A146,$B147&lt;&gt;$B146)),"ID LISTS UNALIGNED",and($A147&lt;&gt;"",countif('3) Release_Label'!$D:$D,$A147)=0),"NO UPC MATCH in Release_Label",and($B147&lt;&gt;"",countif('3) Release_Label'!$E:$E,$B147)=0),"NO CATALOG ID MATCH in Release_Label",iserror(vlookup($A147&amp;$B147,'3) Release_Label'!$D:$D&amp;'3) Release_Label'!$E:$E,1,0)),"NO UPC-CATALOG ID pair MATCH in Release_Label" )</f>
        <v/>
      </c>
      <c r="E147" s="141" t="str">
        <f t="shared" si="2"/>
        <v/>
      </c>
      <c r="G147" s="103"/>
      <c r="H147" s="152"/>
      <c r="J147" s="99"/>
      <c r="K147" s="104"/>
      <c r="L147" s="99"/>
      <c r="N147" s="99"/>
      <c r="O147" s="99"/>
      <c r="P147" s="34"/>
    </row>
    <row r="148">
      <c r="A148" s="100"/>
      <c r="B148" s="103"/>
      <c r="C148" s="121" t="str">
        <f t="array" ref="C148">ifs(and(isblank($A148),isblank($B148)),"", not(iserror(vlookup($A148&amp;$B148,'3) Release_Label'!$D:$D&amp;'3) Release_Label'!$E:$E,1,0))),vlookup($A148&amp;$B148,{'3) Release_Label'!$D:$D&amp;'3) Release_Label'!$E:$E,'3) Release_Label'!$F:$F},2,0), or(and(not(isblank($B148)),$B148=$B147,$A148&lt;&gt;$A147),and(not(isblank($A148)),$A148=$A147,$B148&lt;&gt;$B147)),"ID LISTS UNALIGNED",and($A148&lt;&gt;"",countif('3) Release_Label'!$D:$D,$A148)=0),"NO UPC MATCH in Release_Label",and($B148&lt;&gt;"",countif('3) Release_Label'!$E:$E,$B148)=0),"NO CATALOG ID MATCH in Release_Label",iserror(vlookup($A148&amp;$B148,'3) Release_Label'!$D:$D&amp;'3) Release_Label'!$E:$E,1,0)),"NO UPC-CATALOG ID pair MATCH in Release_Label" )</f>
        <v/>
      </c>
      <c r="D148" s="121" t="str">
        <f t="array" ref="D148">ifs(and(isblank($A148),isblank($B148)),"", not(iserror(vlookup($A148&amp;$B148,'3) Release_Label'!$D:$D&amp;'3) Release_Label'!$E:$E,1,0))),vlookup($A148&amp;$B148,{'3) Release_Label'!$D:$D&amp;'3) Release_Label'!$E:$E,'3) Release_Label'!$H:$H},2,0), or(and(not(isblank($B148)),$B148=$B147,$A148&lt;&gt;$A147),and(not(isblank($A148)),$A148=$A147,$B148&lt;&gt;$B147)),"ID LISTS UNALIGNED",and($A148&lt;&gt;"",countif('3) Release_Label'!$D:$D,$A148)=0),"NO UPC MATCH in Release_Label",and($B148&lt;&gt;"",countif('3) Release_Label'!$E:$E,$B148)=0),"NO CATALOG ID MATCH in Release_Label",iserror(vlookup($A148&amp;$B148,'3) Release_Label'!$D:$D&amp;'3) Release_Label'!$E:$E,1,0)),"NO UPC-CATALOG ID pair MATCH in Release_Label" )</f>
        <v/>
      </c>
      <c r="E148" s="141" t="str">
        <f t="shared" si="2"/>
        <v/>
      </c>
      <c r="G148" s="103"/>
      <c r="H148" s="152"/>
      <c r="J148" s="99"/>
      <c r="K148" s="104"/>
      <c r="L148" s="99"/>
      <c r="N148" s="99"/>
      <c r="O148" s="99"/>
      <c r="P148" s="34"/>
    </row>
    <row r="149">
      <c r="A149" s="100"/>
      <c r="B149" s="103"/>
      <c r="C149" s="121" t="str">
        <f t="array" ref="C149">ifs(and(isblank($A149),isblank($B149)),"", not(iserror(vlookup($A149&amp;$B149,'3) Release_Label'!$D:$D&amp;'3) Release_Label'!$E:$E,1,0))),vlookup($A149&amp;$B149,{'3) Release_Label'!$D:$D&amp;'3) Release_Label'!$E:$E,'3) Release_Label'!$F:$F},2,0), or(and(not(isblank($B149)),$B149=$B148,$A149&lt;&gt;$A148),and(not(isblank($A149)),$A149=$A148,$B149&lt;&gt;$B148)),"ID LISTS UNALIGNED",and($A149&lt;&gt;"",countif('3) Release_Label'!$D:$D,$A149)=0),"NO UPC MATCH in Release_Label",and($B149&lt;&gt;"",countif('3) Release_Label'!$E:$E,$B149)=0),"NO CATALOG ID MATCH in Release_Label",iserror(vlookup($A149&amp;$B149,'3) Release_Label'!$D:$D&amp;'3) Release_Label'!$E:$E,1,0)),"NO UPC-CATALOG ID pair MATCH in Release_Label" )</f>
        <v/>
      </c>
      <c r="D149" s="121" t="str">
        <f t="array" ref="D149">ifs(and(isblank($A149),isblank($B149)),"", not(iserror(vlookup($A149&amp;$B149,'3) Release_Label'!$D:$D&amp;'3) Release_Label'!$E:$E,1,0))),vlookup($A149&amp;$B149,{'3) Release_Label'!$D:$D&amp;'3) Release_Label'!$E:$E,'3) Release_Label'!$H:$H},2,0), or(and(not(isblank($B149)),$B149=$B148,$A149&lt;&gt;$A148),and(not(isblank($A149)),$A149=$A148,$B149&lt;&gt;$B148)),"ID LISTS UNALIGNED",and($A149&lt;&gt;"",countif('3) Release_Label'!$D:$D,$A149)=0),"NO UPC MATCH in Release_Label",and($B149&lt;&gt;"",countif('3) Release_Label'!$E:$E,$B149)=0),"NO CATALOG ID MATCH in Release_Label",iserror(vlookup($A149&amp;$B149,'3) Release_Label'!$D:$D&amp;'3) Release_Label'!$E:$E,1,0)),"NO UPC-CATALOG ID pair MATCH in Release_Label" )</f>
        <v/>
      </c>
      <c r="E149" s="141" t="str">
        <f t="shared" si="2"/>
        <v/>
      </c>
      <c r="G149" s="103"/>
      <c r="H149" s="152"/>
      <c r="J149" s="99"/>
      <c r="K149" s="104"/>
      <c r="L149" s="99"/>
      <c r="N149" s="99"/>
      <c r="O149" s="99"/>
      <c r="P149" s="34"/>
    </row>
    <row r="150">
      <c r="A150" s="100"/>
      <c r="B150" s="103"/>
      <c r="C150" s="121" t="str">
        <f t="array" ref="C150">ifs(and(isblank($A150),isblank($B150)),"", not(iserror(vlookup($A150&amp;$B150,'3) Release_Label'!$D:$D&amp;'3) Release_Label'!$E:$E,1,0))),vlookup($A150&amp;$B150,{'3) Release_Label'!$D:$D&amp;'3) Release_Label'!$E:$E,'3) Release_Label'!$F:$F},2,0), or(and(not(isblank($B150)),$B150=$B149,$A150&lt;&gt;$A149),and(not(isblank($A150)),$A150=$A149,$B150&lt;&gt;$B149)),"ID LISTS UNALIGNED",and($A150&lt;&gt;"",countif('3) Release_Label'!$D:$D,$A150)=0),"NO UPC MATCH in Release_Label",and($B150&lt;&gt;"",countif('3) Release_Label'!$E:$E,$B150)=0),"NO CATALOG ID MATCH in Release_Label",iserror(vlookup($A150&amp;$B150,'3) Release_Label'!$D:$D&amp;'3) Release_Label'!$E:$E,1,0)),"NO UPC-CATALOG ID pair MATCH in Release_Label" )</f>
        <v/>
      </c>
      <c r="D150" s="121" t="str">
        <f t="array" ref="D150">ifs(and(isblank($A150),isblank($B150)),"", not(iserror(vlookup($A150&amp;$B150,'3) Release_Label'!$D:$D&amp;'3) Release_Label'!$E:$E,1,0))),vlookup($A150&amp;$B150,{'3) Release_Label'!$D:$D&amp;'3) Release_Label'!$E:$E,'3) Release_Label'!$H:$H},2,0), or(and(not(isblank($B150)),$B150=$B149,$A150&lt;&gt;$A149),and(not(isblank($A150)),$A150=$A149,$B150&lt;&gt;$B149)),"ID LISTS UNALIGNED",and($A150&lt;&gt;"",countif('3) Release_Label'!$D:$D,$A150)=0),"NO UPC MATCH in Release_Label",and($B150&lt;&gt;"",countif('3) Release_Label'!$E:$E,$B150)=0),"NO CATALOG ID MATCH in Release_Label",iserror(vlookup($A150&amp;$B150,'3) Release_Label'!$D:$D&amp;'3) Release_Label'!$E:$E,1,0)),"NO UPC-CATALOG ID pair MATCH in Release_Label" )</f>
        <v/>
      </c>
      <c r="E150" s="141" t="str">
        <f t="shared" si="2"/>
        <v/>
      </c>
      <c r="G150" s="103"/>
      <c r="H150" s="152"/>
      <c r="J150" s="99"/>
      <c r="K150" s="104"/>
      <c r="L150" s="99"/>
      <c r="N150" s="99"/>
      <c r="O150" s="99"/>
      <c r="P150" s="34"/>
    </row>
    <row r="151">
      <c r="A151" s="100"/>
      <c r="B151" s="103"/>
      <c r="C151" s="121" t="str">
        <f t="array" ref="C151">ifs(and(isblank($A151),isblank($B151)),"", not(iserror(vlookup($A151&amp;$B151,'3) Release_Label'!$D:$D&amp;'3) Release_Label'!$E:$E,1,0))),vlookup($A151&amp;$B151,{'3) Release_Label'!$D:$D&amp;'3) Release_Label'!$E:$E,'3) Release_Label'!$F:$F},2,0), or(and(not(isblank($B151)),$B151=$B150,$A151&lt;&gt;$A150),and(not(isblank($A151)),$A151=$A150,$B151&lt;&gt;$B150)),"ID LISTS UNALIGNED",and($A151&lt;&gt;"",countif('3) Release_Label'!$D:$D,$A151)=0),"NO UPC MATCH in Release_Label",and($B151&lt;&gt;"",countif('3) Release_Label'!$E:$E,$B151)=0),"NO CATALOG ID MATCH in Release_Label",iserror(vlookup($A151&amp;$B151,'3) Release_Label'!$D:$D&amp;'3) Release_Label'!$E:$E,1,0)),"NO UPC-CATALOG ID pair MATCH in Release_Label" )</f>
        <v/>
      </c>
      <c r="D151" s="121" t="str">
        <f t="array" ref="D151">ifs(and(isblank($A151),isblank($B151)),"", not(iserror(vlookup($A151&amp;$B151,'3) Release_Label'!$D:$D&amp;'3) Release_Label'!$E:$E,1,0))),vlookup($A151&amp;$B151,{'3) Release_Label'!$D:$D&amp;'3) Release_Label'!$E:$E,'3) Release_Label'!$H:$H},2,0), or(and(not(isblank($B151)),$B151=$B150,$A151&lt;&gt;$A150),and(not(isblank($A151)),$A151=$A150,$B151&lt;&gt;$B150)),"ID LISTS UNALIGNED",and($A151&lt;&gt;"",countif('3) Release_Label'!$D:$D,$A151)=0),"NO UPC MATCH in Release_Label",and($B151&lt;&gt;"",countif('3) Release_Label'!$E:$E,$B151)=0),"NO CATALOG ID MATCH in Release_Label",iserror(vlookup($A151&amp;$B151,'3) Release_Label'!$D:$D&amp;'3) Release_Label'!$E:$E,1,0)),"NO UPC-CATALOG ID pair MATCH in Release_Label" )</f>
        <v/>
      </c>
      <c r="E151" s="141" t="str">
        <f t="shared" si="2"/>
        <v/>
      </c>
      <c r="G151" s="103"/>
      <c r="H151" s="152"/>
      <c r="J151" s="99"/>
      <c r="K151" s="104"/>
      <c r="L151" s="99"/>
      <c r="N151" s="99"/>
      <c r="O151" s="99"/>
      <c r="P151" s="34"/>
    </row>
    <row r="152">
      <c r="A152" s="100"/>
      <c r="B152" s="103"/>
      <c r="C152" s="121" t="str">
        <f t="array" ref="C152">ifs(and(isblank($A152),isblank($B152)),"", not(iserror(vlookup($A152&amp;$B152,'3) Release_Label'!$D:$D&amp;'3) Release_Label'!$E:$E,1,0))),vlookup($A152&amp;$B152,{'3) Release_Label'!$D:$D&amp;'3) Release_Label'!$E:$E,'3) Release_Label'!$F:$F},2,0), or(and(not(isblank($B152)),$B152=$B151,$A152&lt;&gt;$A151),and(not(isblank($A152)),$A152=$A151,$B152&lt;&gt;$B151)),"ID LISTS UNALIGNED",and($A152&lt;&gt;"",countif('3) Release_Label'!$D:$D,$A152)=0),"NO UPC MATCH in Release_Label",and($B152&lt;&gt;"",countif('3) Release_Label'!$E:$E,$B152)=0),"NO CATALOG ID MATCH in Release_Label",iserror(vlookup($A152&amp;$B152,'3) Release_Label'!$D:$D&amp;'3) Release_Label'!$E:$E,1,0)),"NO UPC-CATALOG ID pair MATCH in Release_Label" )</f>
        <v/>
      </c>
      <c r="D152" s="121" t="str">
        <f t="array" ref="D152">ifs(and(isblank($A152),isblank($B152)),"", not(iserror(vlookup($A152&amp;$B152,'3) Release_Label'!$D:$D&amp;'3) Release_Label'!$E:$E,1,0))),vlookup($A152&amp;$B152,{'3) Release_Label'!$D:$D&amp;'3) Release_Label'!$E:$E,'3) Release_Label'!$H:$H},2,0), or(and(not(isblank($B152)),$B152=$B151,$A152&lt;&gt;$A151),and(not(isblank($A152)),$A152=$A151,$B152&lt;&gt;$B151)),"ID LISTS UNALIGNED",and($A152&lt;&gt;"",countif('3) Release_Label'!$D:$D,$A152)=0),"NO UPC MATCH in Release_Label",and($B152&lt;&gt;"",countif('3) Release_Label'!$E:$E,$B152)=0),"NO CATALOG ID MATCH in Release_Label",iserror(vlookup($A152&amp;$B152,'3) Release_Label'!$D:$D&amp;'3) Release_Label'!$E:$E,1,0)),"NO UPC-CATALOG ID pair MATCH in Release_Label" )</f>
        <v/>
      </c>
      <c r="E152" s="141" t="str">
        <f t="shared" si="2"/>
        <v/>
      </c>
      <c r="G152" s="103"/>
      <c r="H152" s="152"/>
      <c r="J152" s="99"/>
      <c r="K152" s="104"/>
      <c r="L152" s="99"/>
      <c r="N152" s="99"/>
      <c r="O152" s="99"/>
      <c r="P152" s="34"/>
    </row>
    <row r="153">
      <c r="A153" s="100"/>
      <c r="B153" s="103"/>
      <c r="C153" s="121" t="str">
        <f t="array" ref="C153">ifs(and(isblank($A153),isblank($B153)),"", not(iserror(vlookup($A153&amp;$B153,'3) Release_Label'!$D:$D&amp;'3) Release_Label'!$E:$E,1,0))),vlookup($A153&amp;$B153,{'3) Release_Label'!$D:$D&amp;'3) Release_Label'!$E:$E,'3) Release_Label'!$F:$F},2,0), or(and(not(isblank($B153)),$B153=$B152,$A153&lt;&gt;$A152),and(not(isblank($A153)),$A153=$A152,$B153&lt;&gt;$B152)),"ID LISTS UNALIGNED",and($A153&lt;&gt;"",countif('3) Release_Label'!$D:$D,$A153)=0),"NO UPC MATCH in Release_Label",and($B153&lt;&gt;"",countif('3) Release_Label'!$E:$E,$B153)=0),"NO CATALOG ID MATCH in Release_Label",iserror(vlookup($A153&amp;$B153,'3) Release_Label'!$D:$D&amp;'3) Release_Label'!$E:$E,1,0)),"NO UPC-CATALOG ID pair MATCH in Release_Label" )</f>
        <v/>
      </c>
      <c r="D153" s="121" t="str">
        <f t="array" ref="D153">ifs(and(isblank($A153),isblank($B153)),"", not(iserror(vlookup($A153&amp;$B153,'3) Release_Label'!$D:$D&amp;'3) Release_Label'!$E:$E,1,0))),vlookup($A153&amp;$B153,{'3) Release_Label'!$D:$D&amp;'3) Release_Label'!$E:$E,'3) Release_Label'!$H:$H},2,0), or(and(not(isblank($B153)),$B153=$B152,$A153&lt;&gt;$A152),and(not(isblank($A153)),$A153=$A152,$B153&lt;&gt;$B152)),"ID LISTS UNALIGNED",and($A153&lt;&gt;"",countif('3) Release_Label'!$D:$D,$A153)=0),"NO UPC MATCH in Release_Label",and($B153&lt;&gt;"",countif('3) Release_Label'!$E:$E,$B153)=0),"NO CATALOG ID MATCH in Release_Label",iserror(vlookup($A153&amp;$B153,'3) Release_Label'!$D:$D&amp;'3) Release_Label'!$E:$E,1,0)),"NO UPC-CATALOG ID pair MATCH in Release_Label" )</f>
        <v/>
      </c>
      <c r="E153" s="141" t="str">
        <f t="shared" si="2"/>
        <v/>
      </c>
      <c r="G153" s="103"/>
      <c r="H153" s="152"/>
      <c r="J153" s="99"/>
      <c r="K153" s="104"/>
      <c r="L153" s="99"/>
      <c r="N153" s="99"/>
      <c r="O153" s="99"/>
      <c r="P153" s="34"/>
    </row>
    <row r="154">
      <c r="A154" s="100"/>
      <c r="B154" s="103"/>
      <c r="C154" s="121" t="str">
        <f t="array" ref="C154">ifs(and(isblank($A154),isblank($B154)),"", not(iserror(vlookup($A154&amp;$B154,'3) Release_Label'!$D:$D&amp;'3) Release_Label'!$E:$E,1,0))),vlookup($A154&amp;$B154,{'3) Release_Label'!$D:$D&amp;'3) Release_Label'!$E:$E,'3) Release_Label'!$F:$F},2,0), or(and(not(isblank($B154)),$B154=$B153,$A154&lt;&gt;$A153),and(not(isblank($A154)),$A154=$A153,$B154&lt;&gt;$B153)),"ID LISTS UNALIGNED",and($A154&lt;&gt;"",countif('3) Release_Label'!$D:$D,$A154)=0),"NO UPC MATCH in Release_Label",and($B154&lt;&gt;"",countif('3) Release_Label'!$E:$E,$B154)=0),"NO CATALOG ID MATCH in Release_Label",iserror(vlookup($A154&amp;$B154,'3) Release_Label'!$D:$D&amp;'3) Release_Label'!$E:$E,1,0)),"NO UPC-CATALOG ID pair MATCH in Release_Label" )</f>
        <v/>
      </c>
      <c r="D154" s="121" t="str">
        <f t="array" ref="D154">ifs(and(isblank($A154),isblank($B154)),"", not(iserror(vlookup($A154&amp;$B154,'3) Release_Label'!$D:$D&amp;'3) Release_Label'!$E:$E,1,0))),vlookup($A154&amp;$B154,{'3) Release_Label'!$D:$D&amp;'3) Release_Label'!$E:$E,'3) Release_Label'!$H:$H},2,0), or(and(not(isblank($B154)),$B154=$B153,$A154&lt;&gt;$A153),and(not(isblank($A154)),$A154=$A153,$B154&lt;&gt;$B153)),"ID LISTS UNALIGNED",and($A154&lt;&gt;"",countif('3) Release_Label'!$D:$D,$A154)=0),"NO UPC MATCH in Release_Label",and($B154&lt;&gt;"",countif('3) Release_Label'!$E:$E,$B154)=0),"NO CATALOG ID MATCH in Release_Label",iserror(vlookup($A154&amp;$B154,'3) Release_Label'!$D:$D&amp;'3) Release_Label'!$E:$E,1,0)),"NO UPC-CATALOG ID pair MATCH in Release_Label" )</f>
        <v/>
      </c>
      <c r="E154" s="141" t="str">
        <f t="shared" si="2"/>
        <v/>
      </c>
      <c r="G154" s="103"/>
      <c r="H154" s="152"/>
      <c r="J154" s="99"/>
      <c r="K154" s="104"/>
      <c r="L154" s="99"/>
      <c r="N154" s="99"/>
      <c r="O154" s="99"/>
      <c r="P154" s="34"/>
    </row>
    <row r="155">
      <c r="A155" s="100"/>
      <c r="B155" s="103"/>
      <c r="C155" s="121" t="str">
        <f t="array" ref="C155">ifs(and(isblank($A155),isblank($B155)),"", not(iserror(vlookup($A155&amp;$B155,'3) Release_Label'!$D:$D&amp;'3) Release_Label'!$E:$E,1,0))),vlookup($A155&amp;$B155,{'3) Release_Label'!$D:$D&amp;'3) Release_Label'!$E:$E,'3) Release_Label'!$F:$F},2,0), or(and(not(isblank($B155)),$B155=$B154,$A155&lt;&gt;$A154),and(not(isblank($A155)),$A155=$A154,$B155&lt;&gt;$B154)),"ID LISTS UNALIGNED",and($A155&lt;&gt;"",countif('3) Release_Label'!$D:$D,$A155)=0),"NO UPC MATCH in Release_Label",and($B155&lt;&gt;"",countif('3) Release_Label'!$E:$E,$B155)=0),"NO CATALOG ID MATCH in Release_Label",iserror(vlookup($A155&amp;$B155,'3) Release_Label'!$D:$D&amp;'3) Release_Label'!$E:$E,1,0)),"NO UPC-CATALOG ID pair MATCH in Release_Label" )</f>
        <v/>
      </c>
      <c r="D155" s="121" t="str">
        <f t="array" ref="D155">ifs(and(isblank($A155),isblank($B155)),"", not(iserror(vlookup($A155&amp;$B155,'3) Release_Label'!$D:$D&amp;'3) Release_Label'!$E:$E,1,0))),vlookup($A155&amp;$B155,{'3) Release_Label'!$D:$D&amp;'3) Release_Label'!$E:$E,'3) Release_Label'!$H:$H},2,0), or(and(not(isblank($B155)),$B155=$B154,$A155&lt;&gt;$A154),and(not(isblank($A155)),$A155=$A154,$B155&lt;&gt;$B154)),"ID LISTS UNALIGNED",and($A155&lt;&gt;"",countif('3) Release_Label'!$D:$D,$A155)=0),"NO UPC MATCH in Release_Label",and($B155&lt;&gt;"",countif('3) Release_Label'!$E:$E,$B155)=0),"NO CATALOG ID MATCH in Release_Label",iserror(vlookup($A155&amp;$B155,'3) Release_Label'!$D:$D&amp;'3) Release_Label'!$E:$E,1,0)),"NO UPC-CATALOG ID pair MATCH in Release_Label" )</f>
        <v/>
      </c>
      <c r="E155" s="141" t="str">
        <f t="shared" si="2"/>
        <v/>
      </c>
      <c r="G155" s="103"/>
      <c r="H155" s="152"/>
      <c r="J155" s="99"/>
      <c r="K155" s="104"/>
      <c r="L155" s="99"/>
      <c r="N155" s="99"/>
      <c r="O155" s="99"/>
      <c r="P155" s="34"/>
    </row>
    <row r="156">
      <c r="A156" s="100"/>
      <c r="B156" s="103"/>
      <c r="C156" s="121" t="str">
        <f t="array" ref="C156">ifs(and(isblank($A156),isblank($B156)),"", not(iserror(vlookup($A156&amp;$B156,'3) Release_Label'!$D:$D&amp;'3) Release_Label'!$E:$E,1,0))),vlookup($A156&amp;$B156,{'3) Release_Label'!$D:$D&amp;'3) Release_Label'!$E:$E,'3) Release_Label'!$F:$F},2,0), or(and(not(isblank($B156)),$B156=$B155,$A156&lt;&gt;$A155),and(not(isblank($A156)),$A156=$A155,$B156&lt;&gt;$B155)),"ID LISTS UNALIGNED",and($A156&lt;&gt;"",countif('3) Release_Label'!$D:$D,$A156)=0),"NO UPC MATCH in Release_Label",and($B156&lt;&gt;"",countif('3) Release_Label'!$E:$E,$B156)=0),"NO CATALOG ID MATCH in Release_Label",iserror(vlookup($A156&amp;$B156,'3) Release_Label'!$D:$D&amp;'3) Release_Label'!$E:$E,1,0)),"NO UPC-CATALOG ID pair MATCH in Release_Label" )</f>
        <v/>
      </c>
      <c r="D156" s="121" t="str">
        <f t="array" ref="D156">ifs(and(isblank($A156),isblank($B156)),"", not(iserror(vlookup($A156&amp;$B156,'3) Release_Label'!$D:$D&amp;'3) Release_Label'!$E:$E,1,0))),vlookup($A156&amp;$B156,{'3) Release_Label'!$D:$D&amp;'3) Release_Label'!$E:$E,'3) Release_Label'!$H:$H},2,0), or(and(not(isblank($B156)),$B156=$B155,$A156&lt;&gt;$A155),and(not(isblank($A156)),$A156=$A155,$B156&lt;&gt;$B155)),"ID LISTS UNALIGNED",and($A156&lt;&gt;"",countif('3) Release_Label'!$D:$D,$A156)=0),"NO UPC MATCH in Release_Label",and($B156&lt;&gt;"",countif('3) Release_Label'!$E:$E,$B156)=0),"NO CATALOG ID MATCH in Release_Label",iserror(vlookup($A156&amp;$B156,'3) Release_Label'!$D:$D&amp;'3) Release_Label'!$E:$E,1,0)),"NO UPC-CATALOG ID pair MATCH in Release_Label" )</f>
        <v/>
      </c>
      <c r="E156" s="141" t="str">
        <f t="shared" si="2"/>
        <v/>
      </c>
      <c r="G156" s="103"/>
      <c r="H156" s="152"/>
      <c r="J156" s="99"/>
      <c r="K156" s="104"/>
      <c r="L156" s="99"/>
      <c r="N156" s="99"/>
      <c r="O156" s="99"/>
      <c r="P156" s="34"/>
    </row>
    <row r="157">
      <c r="A157" s="100"/>
      <c r="B157" s="103"/>
      <c r="C157" s="121" t="str">
        <f t="array" ref="C157">ifs(and(isblank($A157),isblank($B157)),"", not(iserror(vlookup($A157&amp;$B157,'3) Release_Label'!$D:$D&amp;'3) Release_Label'!$E:$E,1,0))),vlookup($A157&amp;$B157,{'3) Release_Label'!$D:$D&amp;'3) Release_Label'!$E:$E,'3) Release_Label'!$F:$F},2,0), or(and(not(isblank($B157)),$B157=$B156,$A157&lt;&gt;$A156),and(not(isblank($A157)),$A157=$A156,$B157&lt;&gt;$B156)),"ID LISTS UNALIGNED",and($A157&lt;&gt;"",countif('3) Release_Label'!$D:$D,$A157)=0),"NO UPC MATCH in Release_Label",and($B157&lt;&gt;"",countif('3) Release_Label'!$E:$E,$B157)=0),"NO CATALOG ID MATCH in Release_Label",iserror(vlookup($A157&amp;$B157,'3) Release_Label'!$D:$D&amp;'3) Release_Label'!$E:$E,1,0)),"NO UPC-CATALOG ID pair MATCH in Release_Label" )</f>
        <v/>
      </c>
      <c r="D157" s="121" t="str">
        <f t="array" ref="D157">ifs(and(isblank($A157),isblank($B157)),"", not(iserror(vlookup($A157&amp;$B157,'3) Release_Label'!$D:$D&amp;'3) Release_Label'!$E:$E,1,0))),vlookup($A157&amp;$B157,{'3) Release_Label'!$D:$D&amp;'3) Release_Label'!$E:$E,'3) Release_Label'!$H:$H},2,0), or(and(not(isblank($B157)),$B157=$B156,$A157&lt;&gt;$A156),and(not(isblank($A157)),$A157=$A156,$B157&lt;&gt;$B156)),"ID LISTS UNALIGNED",and($A157&lt;&gt;"",countif('3) Release_Label'!$D:$D,$A157)=0),"NO UPC MATCH in Release_Label",and($B157&lt;&gt;"",countif('3) Release_Label'!$E:$E,$B157)=0),"NO CATALOG ID MATCH in Release_Label",iserror(vlookup($A157&amp;$B157,'3) Release_Label'!$D:$D&amp;'3) Release_Label'!$E:$E,1,0)),"NO UPC-CATALOG ID pair MATCH in Release_Label" )</f>
        <v/>
      </c>
      <c r="E157" s="141" t="str">
        <f t="shared" si="2"/>
        <v/>
      </c>
      <c r="G157" s="103"/>
      <c r="H157" s="152"/>
      <c r="J157" s="99"/>
      <c r="K157" s="104"/>
      <c r="L157" s="99"/>
      <c r="N157" s="99"/>
      <c r="O157" s="99"/>
      <c r="P157" s="34"/>
    </row>
    <row r="158">
      <c r="A158" s="100"/>
      <c r="B158" s="103"/>
      <c r="C158" s="121" t="str">
        <f t="array" ref="C158">ifs(and(isblank($A158),isblank($B158)),"", not(iserror(vlookup($A158&amp;$B158,'3) Release_Label'!$D:$D&amp;'3) Release_Label'!$E:$E,1,0))),vlookup($A158&amp;$B158,{'3) Release_Label'!$D:$D&amp;'3) Release_Label'!$E:$E,'3) Release_Label'!$F:$F},2,0), or(and(not(isblank($B158)),$B158=$B157,$A158&lt;&gt;$A157),and(not(isblank($A158)),$A158=$A157,$B158&lt;&gt;$B157)),"ID LISTS UNALIGNED",and($A158&lt;&gt;"",countif('3) Release_Label'!$D:$D,$A158)=0),"NO UPC MATCH in Release_Label",and($B158&lt;&gt;"",countif('3) Release_Label'!$E:$E,$B158)=0),"NO CATALOG ID MATCH in Release_Label",iserror(vlookup($A158&amp;$B158,'3) Release_Label'!$D:$D&amp;'3) Release_Label'!$E:$E,1,0)),"NO UPC-CATALOG ID pair MATCH in Release_Label" )</f>
        <v/>
      </c>
      <c r="D158" s="121" t="str">
        <f t="array" ref="D158">ifs(and(isblank($A158),isblank($B158)),"", not(iserror(vlookup($A158&amp;$B158,'3) Release_Label'!$D:$D&amp;'3) Release_Label'!$E:$E,1,0))),vlookup($A158&amp;$B158,{'3) Release_Label'!$D:$D&amp;'3) Release_Label'!$E:$E,'3) Release_Label'!$H:$H},2,0), or(and(not(isblank($B158)),$B158=$B157,$A158&lt;&gt;$A157),and(not(isblank($A158)),$A158=$A157,$B158&lt;&gt;$B157)),"ID LISTS UNALIGNED",and($A158&lt;&gt;"",countif('3) Release_Label'!$D:$D,$A158)=0),"NO UPC MATCH in Release_Label",and($B158&lt;&gt;"",countif('3) Release_Label'!$E:$E,$B158)=0),"NO CATALOG ID MATCH in Release_Label",iserror(vlookup($A158&amp;$B158,'3) Release_Label'!$D:$D&amp;'3) Release_Label'!$E:$E,1,0)),"NO UPC-CATALOG ID pair MATCH in Release_Label" )</f>
        <v/>
      </c>
      <c r="E158" s="141" t="str">
        <f t="shared" si="2"/>
        <v/>
      </c>
      <c r="G158" s="103"/>
      <c r="H158" s="152"/>
      <c r="J158" s="99"/>
      <c r="K158" s="104"/>
      <c r="L158" s="99"/>
      <c r="N158" s="99"/>
      <c r="O158" s="99"/>
      <c r="P158" s="34"/>
    </row>
    <row r="159">
      <c r="A159" s="100"/>
      <c r="B159" s="103"/>
      <c r="C159" s="121" t="str">
        <f t="array" ref="C159">ifs(and(isblank($A159),isblank($B159)),"", not(iserror(vlookup($A159&amp;$B159,'3) Release_Label'!$D:$D&amp;'3) Release_Label'!$E:$E,1,0))),vlookup($A159&amp;$B159,{'3) Release_Label'!$D:$D&amp;'3) Release_Label'!$E:$E,'3) Release_Label'!$F:$F},2,0), or(and(not(isblank($B159)),$B159=$B158,$A159&lt;&gt;$A158),and(not(isblank($A159)),$A159=$A158,$B159&lt;&gt;$B158)),"ID LISTS UNALIGNED",and($A159&lt;&gt;"",countif('3) Release_Label'!$D:$D,$A159)=0),"NO UPC MATCH in Release_Label",and($B159&lt;&gt;"",countif('3) Release_Label'!$E:$E,$B159)=0),"NO CATALOG ID MATCH in Release_Label",iserror(vlookup($A159&amp;$B159,'3) Release_Label'!$D:$D&amp;'3) Release_Label'!$E:$E,1,0)),"NO UPC-CATALOG ID pair MATCH in Release_Label" )</f>
        <v/>
      </c>
      <c r="D159" s="121" t="str">
        <f t="array" ref="D159">ifs(and(isblank($A159),isblank($B159)),"", not(iserror(vlookup($A159&amp;$B159,'3) Release_Label'!$D:$D&amp;'3) Release_Label'!$E:$E,1,0))),vlookup($A159&amp;$B159,{'3) Release_Label'!$D:$D&amp;'3) Release_Label'!$E:$E,'3) Release_Label'!$H:$H},2,0), or(and(not(isblank($B159)),$B159=$B158,$A159&lt;&gt;$A158),and(not(isblank($A159)),$A159=$A158,$B159&lt;&gt;$B158)),"ID LISTS UNALIGNED",and($A159&lt;&gt;"",countif('3) Release_Label'!$D:$D,$A159)=0),"NO UPC MATCH in Release_Label",and($B159&lt;&gt;"",countif('3) Release_Label'!$E:$E,$B159)=0),"NO CATALOG ID MATCH in Release_Label",iserror(vlookup($A159&amp;$B159,'3) Release_Label'!$D:$D&amp;'3) Release_Label'!$E:$E,1,0)),"NO UPC-CATALOG ID pair MATCH in Release_Label" )</f>
        <v/>
      </c>
      <c r="E159" s="141" t="str">
        <f t="shared" si="2"/>
        <v/>
      </c>
      <c r="G159" s="103"/>
      <c r="H159" s="152"/>
      <c r="J159" s="99"/>
      <c r="K159" s="104"/>
      <c r="L159" s="99"/>
      <c r="N159" s="99"/>
      <c r="O159" s="99"/>
      <c r="P159" s="34"/>
    </row>
    <row r="160">
      <c r="A160" s="100"/>
      <c r="B160" s="103"/>
      <c r="C160" s="121" t="str">
        <f t="array" ref="C160">ifs(and(isblank($A160),isblank($B160)),"", not(iserror(vlookup($A160&amp;$B160,'3) Release_Label'!$D:$D&amp;'3) Release_Label'!$E:$E,1,0))),vlookup($A160&amp;$B160,{'3) Release_Label'!$D:$D&amp;'3) Release_Label'!$E:$E,'3) Release_Label'!$F:$F},2,0), or(and(not(isblank($B160)),$B160=$B159,$A160&lt;&gt;$A159),and(not(isblank($A160)),$A160=$A159,$B160&lt;&gt;$B159)),"ID LISTS UNALIGNED",and($A160&lt;&gt;"",countif('3) Release_Label'!$D:$D,$A160)=0),"NO UPC MATCH in Release_Label",and($B160&lt;&gt;"",countif('3) Release_Label'!$E:$E,$B160)=0),"NO CATALOG ID MATCH in Release_Label",iserror(vlookup($A160&amp;$B160,'3) Release_Label'!$D:$D&amp;'3) Release_Label'!$E:$E,1,0)),"NO UPC-CATALOG ID pair MATCH in Release_Label" )</f>
        <v/>
      </c>
      <c r="D160" s="121" t="str">
        <f t="array" ref="D160">ifs(and(isblank($A160),isblank($B160)),"", not(iserror(vlookup($A160&amp;$B160,'3) Release_Label'!$D:$D&amp;'3) Release_Label'!$E:$E,1,0))),vlookup($A160&amp;$B160,{'3) Release_Label'!$D:$D&amp;'3) Release_Label'!$E:$E,'3) Release_Label'!$H:$H},2,0), or(and(not(isblank($B160)),$B160=$B159,$A160&lt;&gt;$A159),and(not(isblank($A160)),$A160=$A159,$B160&lt;&gt;$B159)),"ID LISTS UNALIGNED",and($A160&lt;&gt;"",countif('3) Release_Label'!$D:$D,$A160)=0),"NO UPC MATCH in Release_Label",and($B160&lt;&gt;"",countif('3) Release_Label'!$E:$E,$B160)=0),"NO CATALOG ID MATCH in Release_Label",iserror(vlookup($A160&amp;$B160,'3) Release_Label'!$D:$D&amp;'3) Release_Label'!$E:$E,1,0)),"NO UPC-CATALOG ID pair MATCH in Release_Label" )</f>
        <v/>
      </c>
      <c r="E160" s="141" t="str">
        <f t="shared" si="2"/>
        <v/>
      </c>
      <c r="G160" s="103"/>
      <c r="H160" s="152"/>
      <c r="J160" s="99"/>
      <c r="K160" s="104"/>
      <c r="L160" s="99"/>
      <c r="N160" s="99"/>
      <c r="O160" s="99"/>
      <c r="P160" s="34"/>
    </row>
    <row r="161">
      <c r="A161" s="100"/>
      <c r="B161" s="103"/>
      <c r="C161" s="121" t="str">
        <f t="array" ref="C161">ifs(and(isblank($A161),isblank($B161)),"", not(iserror(vlookup($A161&amp;$B161,'3) Release_Label'!$D:$D&amp;'3) Release_Label'!$E:$E,1,0))),vlookup($A161&amp;$B161,{'3) Release_Label'!$D:$D&amp;'3) Release_Label'!$E:$E,'3) Release_Label'!$F:$F},2,0), or(and(not(isblank($B161)),$B161=$B160,$A161&lt;&gt;$A160),and(not(isblank($A161)),$A161=$A160,$B161&lt;&gt;$B160)),"ID LISTS UNALIGNED",and($A161&lt;&gt;"",countif('3) Release_Label'!$D:$D,$A161)=0),"NO UPC MATCH in Release_Label",and($B161&lt;&gt;"",countif('3) Release_Label'!$E:$E,$B161)=0),"NO CATALOG ID MATCH in Release_Label",iserror(vlookup($A161&amp;$B161,'3) Release_Label'!$D:$D&amp;'3) Release_Label'!$E:$E,1,0)),"NO UPC-CATALOG ID pair MATCH in Release_Label" )</f>
        <v/>
      </c>
      <c r="D161" s="121" t="str">
        <f t="array" ref="D161">ifs(and(isblank($A161),isblank($B161)),"", not(iserror(vlookup($A161&amp;$B161,'3) Release_Label'!$D:$D&amp;'3) Release_Label'!$E:$E,1,0))),vlookup($A161&amp;$B161,{'3) Release_Label'!$D:$D&amp;'3) Release_Label'!$E:$E,'3) Release_Label'!$H:$H},2,0), or(and(not(isblank($B161)),$B161=$B160,$A161&lt;&gt;$A160),and(not(isblank($A161)),$A161=$A160,$B161&lt;&gt;$B160)),"ID LISTS UNALIGNED",and($A161&lt;&gt;"",countif('3) Release_Label'!$D:$D,$A161)=0),"NO UPC MATCH in Release_Label",and($B161&lt;&gt;"",countif('3) Release_Label'!$E:$E,$B161)=0),"NO CATALOG ID MATCH in Release_Label",iserror(vlookup($A161&amp;$B161,'3) Release_Label'!$D:$D&amp;'3) Release_Label'!$E:$E,1,0)),"NO UPC-CATALOG ID pair MATCH in Release_Label" )</f>
        <v/>
      </c>
      <c r="E161" s="141" t="str">
        <f t="shared" si="2"/>
        <v/>
      </c>
      <c r="G161" s="103"/>
      <c r="H161" s="152"/>
      <c r="J161" s="99"/>
      <c r="K161" s="104"/>
      <c r="L161" s="99"/>
      <c r="N161" s="99"/>
      <c r="O161" s="99"/>
      <c r="P161" s="34"/>
    </row>
    <row r="162">
      <c r="A162" s="100"/>
      <c r="B162" s="103"/>
      <c r="C162" s="121" t="str">
        <f t="array" ref="C162">ifs(and(isblank($A162),isblank($B162)),"", not(iserror(vlookup($A162&amp;$B162,'3) Release_Label'!$D:$D&amp;'3) Release_Label'!$E:$E,1,0))),vlookup($A162&amp;$B162,{'3) Release_Label'!$D:$D&amp;'3) Release_Label'!$E:$E,'3) Release_Label'!$F:$F},2,0), or(and(not(isblank($B162)),$B162=$B161,$A162&lt;&gt;$A161),and(not(isblank($A162)),$A162=$A161,$B162&lt;&gt;$B161)),"ID LISTS UNALIGNED",and($A162&lt;&gt;"",countif('3) Release_Label'!$D:$D,$A162)=0),"NO UPC MATCH in Release_Label",and($B162&lt;&gt;"",countif('3) Release_Label'!$E:$E,$B162)=0),"NO CATALOG ID MATCH in Release_Label",iserror(vlookup($A162&amp;$B162,'3) Release_Label'!$D:$D&amp;'3) Release_Label'!$E:$E,1,0)),"NO UPC-CATALOG ID pair MATCH in Release_Label" )</f>
        <v/>
      </c>
      <c r="D162" s="121" t="str">
        <f t="array" ref="D162">ifs(and(isblank($A162),isblank($B162)),"", not(iserror(vlookup($A162&amp;$B162,'3) Release_Label'!$D:$D&amp;'3) Release_Label'!$E:$E,1,0))),vlookup($A162&amp;$B162,{'3) Release_Label'!$D:$D&amp;'3) Release_Label'!$E:$E,'3) Release_Label'!$H:$H},2,0), or(and(not(isblank($B162)),$B162=$B161,$A162&lt;&gt;$A161),and(not(isblank($A162)),$A162=$A161,$B162&lt;&gt;$B161)),"ID LISTS UNALIGNED",and($A162&lt;&gt;"",countif('3) Release_Label'!$D:$D,$A162)=0),"NO UPC MATCH in Release_Label",and($B162&lt;&gt;"",countif('3) Release_Label'!$E:$E,$B162)=0),"NO CATALOG ID MATCH in Release_Label",iserror(vlookup($A162&amp;$B162,'3) Release_Label'!$D:$D&amp;'3) Release_Label'!$E:$E,1,0)),"NO UPC-CATALOG ID pair MATCH in Release_Label" )</f>
        <v/>
      </c>
      <c r="E162" s="141" t="str">
        <f t="shared" si="2"/>
        <v/>
      </c>
      <c r="G162" s="103"/>
      <c r="H162" s="152"/>
      <c r="J162" s="99"/>
      <c r="K162" s="104"/>
      <c r="L162" s="99"/>
      <c r="N162" s="99"/>
      <c r="O162" s="99"/>
      <c r="P162" s="34"/>
    </row>
    <row r="163">
      <c r="A163" s="100"/>
      <c r="B163" s="103"/>
      <c r="C163" s="121" t="str">
        <f t="array" ref="C163">ifs(and(isblank($A163),isblank($B163)),"", not(iserror(vlookup($A163&amp;$B163,'3) Release_Label'!$D:$D&amp;'3) Release_Label'!$E:$E,1,0))),vlookup($A163&amp;$B163,{'3) Release_Label'!$D:$D&amp;'3) Release_Label'!$E:$E,'3) Release_Label'!$F:$F},2,0), or(and(not(isblank($B163)),$B163=$B162,$A163&lt;&gt;$A162),and(not(isblank($A163)),$A163=$A162,$B163&lt;&gt;$B162)),"ID LISTS UNALIGNED",and($A163&lt;&gt;"",countif('3) Release_Label'!$D:$D,$A163)=0),"NO UPC MATCH in Release_Label",and($B163&lt;&gt;"",countif('3) Release_Label'!$E:$E,$B163)=0),"NO CATALOG ID MATCH in Release_Label",iserror(vlookup($A163&amp;$B163,'3) Release_Label'!$D:$D&amp;'3) Release_Label'!$E:$E,1,0)),"NO UPC-CATALOG ID pair MATCH in Release_Label" )</f>
        <v/>
      </c>
      <c r="D163" s="121" t="str">
        <f t="array" ref="D163">ifs(and(isblank($A163),isblank($B163)),"", not(iserror(vlookup($A163&amp;$B163,'3) Release_Label'!$D:$D&amp;'3) Release_Label'!$E:$E,1,0))),vlookup($A163&amp;$B163,{'3) Release_Label'!$D:$D&amp;'3) Release_Label'!$E:$E,'3) Release_Label'!$H:$H},2,0), or(and(not(isblank($B163)),$B163=$B162,$A163&lt;&gt;$A162),and(not(isblank($A163)),$A163=$A162,$B163&lt;&gt;$B162)),"ID LISTS UNALIGNED",and($A163&lt;&gt;"",countif('3) Release_Label'!$D:$D,$A163)=0),"NO UPC MATCH in Release_Label",and($B163&lt;&gt;"",countif('3) Release_Label'!$E:$E,$B163)=0),"NO CATALOG ID MATCH in Release_Label",iserror(vlookup($A163&amp;$B163,'3) Release_Label'!$D:$D&amp;'3) Release_Label'!$E:$E,1,0)),"NO UPC-CATALOG ID pair MATCH in Release_Label" )</f>
        <v/>
      </c>
      <c r="E163" s="141" t="str">
        <f t="shared" si="2"/>
        <v/>
      </c>
      <c r="G163" s="103"/>
      <c r="H163" s="152"/>
      <c r="J163" s="99"/>
      <c r="K163" s="104"/>
      <c r="L163" s="99"/>
      <c r="N163" s="99"/>
      <c r="O163" s="99"/>
      <c r="P163" s="34"/>
    </row>
    <row r="164">
      <c r="A164" s="100"/>
      <c r="B164" s="103"/>
      <c r="C164" s="121" t="str">
        <f t="array" ref="C164">ifs(and(isblank($A164),isblank($B164)),"", not(iserror(vlookup($A164&amp;$B164,'3) Release_Label'!$D:$D&amp;'3) Release_Label'!$E:$E,1,0))),vlookup($A164&amp;$B164,{'3) Release_Label'!$D:$D&amp;'3) Release_Label'!$E:$E,'3) Release_Label'!$F:$F},2,0), or(and(not(isblank($B164)),$B164=$B163,$A164&lt;&gt;$A163),and(not(isblank($A164)),$A164=$A163,$B164&lt;&gt;$B163)),"ID LISTS UNALIGNED",and($A164&lt;&gt;"",countif('3) Release_Label'!$D:$D,$A164)=0),"NO UPC MATCH in Release_Label",and($B164&lt;&gt;"",countif('3) Release_Label'!$E:$E,$B164)=0),"NO CATALOG ID MATCH in Release_Label",iserror(vlookup($A164&amp;$B164,'3) Release_Label'!$D:$D&amp;'3) Release_Label'!$E:$E,1,0)),"NO UPC-CATALOG ID pair MATCH in Release_Label" )</f>
        <v/>
      </c>
      <c r="D164" s="121" t="str">
        <f t="array" ref="D164">ifs(and(isblank($A164),isblank($B164)),"", not(iserror(vlookup($A164&amp;$B164,'3) Release_Label'!$D:$D&amp;'3) Release_Label'!$E:$E,1,0))),vlookup($A164&amp;$B164,{'3) Release_Label'!$D:$D&amp;'3) Release_Label'!$E:$E,'3) Release_Label'!$H:$H},2,0), or(and(not(isblank($B164)),$B164=$B163,$A164&lt;&gt;$A163),and(not(isblank($A164)),$A164=$A163,$B164&lt;&gt;$B163)),"ID LISTS UNALIGNED",and($A164&lt;&gt;"",countif('3) Release_Label'!$D:$D,$A164)=0),"NO UPC MATCH in Release_Label",and($B164&lt;&gt;"",countif('3) Release_Label'!$E:$E,$B164)=0),"NO CATALOG ID MATCH in Release_Label",iserror(vlookup($A164&amp;$B164,'3) Release_Label'!$D:$D&amp;'3) Release_Label'!$E:$E,1,0)),"NO UPC-CATALOG ID pair MATCH in Release_Label" )</f>
        <v/>
      </c>
      <c r="E164" s="141" t="str">
        <f t="shared" si="2"/>
        <v/>
      </c>
      <c r="G164" s="103"/>
      <c r="H164" s="152"/>
      <c r="J164" s="99"/>
      <c r="K164" s="104"/>
      <c r="L164" s="99"/>
      <c r="N164" s="99"/>
      <c r="O164" s="99"/>
      <c r="P164" s="34"/>
    </row>
    <row r="165">
      <c r="A165" s="100"/>
      <c r="B165" s="103"/>
      <c r="C165" s="121" t="str">
        <f t="array" ref="C165">ifs(and(isblank($A165),isblank($B165)),"", not(iserror(vlookup($A165&amp;$B165,'3) Release_Label'!$D:$D&amp;'3) Release_Label'!$E:$E,1,0))),vlookup($A165&amp;$B165,{'3) Release_Label'!$D:$D&amp;'3) Release_Label'!$E:$E,'3) Release_Label'!$F:$F},2,0), or(and(not(isblank($B165)),$B165=$B164,$A165&lt;&gt;$A164),and(not(isblank($A165)),$A165=$A164,$B165&lt;&gt;$B164)),"ID LISTS UNALIGNED",and($A165&lt;&gt;"",countif('3) Release_Label'!$D:$D,$A165)=0),"NO UPC MATCH in Release_Label",and($B165&lt;&gt;"",countif('3) Release_Label'!$E:$E,$B165)=0),"NO CATALOG ID MATCH in Release_Label",iserror(vlookup($A165&amp;$B165,'3) Release_Label'!$D:$D&amp;'3) Release_Label'!$E:$E,1,0)),"NO UPC-CATALOG ID pair MATCH in Release_Label" )</f>
        <v/>
      </c>
      <c r="D165" s="121" t="str">
        <f t="array" ref="D165">ifs(and(isblank($A165),isblank($B165)),"", not(iserror(vlookup($A165&amp;$B165,'3) Release_Label'!$D:$D&amp;'3) Release_Label'!$E:$E,1,0))),vlookup($A165&amp;$B165,{'3) Release_Label'!$D:$D&amp;'3) Release_Label'!$E:$E,'3) Release_Label'!$H:$H},2,0), or(and(not(isblank($B165)),$B165=$B164,$A165&lt;&gt;$A164),and(not(isblank($A165)),$A165=$A164,$B165&lt;&gt;$B164)),"ID LISTS UNALIGNED",and($A165&lt;&gt;"",countif('3) Release_Label'!$D:$D,$A165)=0),"NO UPC MATCH in Release_Label",and($B165&lt;&gt;"",countif('3) Release_Label'!$E:$E,$B165)=0),"NO CATALOG ID MATCH in Release_Label",iserror(vlookup($A165&amp;$B165,'3) Release_Label'!$D:$D&amp;'3) Release_Label'!$E:$E,1,0)),"NO UPC-CATALOG ID pair MATCH in Release_Label" )</f>
        <v/>
      </c>
      <c r="E165" s="141" t="str">
        <f t="shared" si="2"/>
        <v/>
      </c>
      <c r="G165" s="103"/>
      <c r="H165" s="152"/>
      <c r="J165" s="99"/>
      <c r="K165" s="104"/>
      <c r="L165" s="99"/>
      <c r="N165" s="99"/>
      <c r="O165" s="99"/>
      <c r="P165" s="34"/>
    </row>
    <row r="166">
      <c r="A166" s="100"/>
      <c r="B166" s="103"/>
      <c r="C166" s="121" t="str">
        <f t="array" ref="C166">ifs(and(isblank($A166),isblank($B166)),"", not(iserror(vlookup($A166&amp;$B166,'3) Release_Label'!$D:$D&amp;'3) Release_Label'!$E:$E,1,0))),vlookup($A166&amp;$B166,{'3) Release_Label'!$D:$D&amp;'3) Release_Label'!$E:$E,'3) Release_Label'!$F:$F},2,0), or(and(not(isblank($B166)),$B166=$B165,$A166&lt;&gt;$A165),and(not(isblank($A166)),$A166=$A165,$B166&lt;&gt;$B165)),"ID LISTS UNALIGNED",and($A166&lt;&gt;"",countif('3) Release_Label'!$D:$D,$A166)=0),"NO UPC MATCH in Release_Label",and($B166&lt;&gt;"",countif('3) Release_Label'!$E:$E,$B166)=0),"NO CATALOG ID MATCH in Release_Label",iserror(vlookup($A166&amp;$B166,'3) Release_Label'!$D:$D&amp;'3) Release_Label'!$E:$E,1,0)),"NO UPC-CATALOG ID pair MATCH in Release_Label" )</f>
        <v/>
      </c>
      <c r="D166" s="121" t="str">
        <f t="array" ref="D166">ifs(and(isblank($A166),isblank($B166)),"", not(iserror(vlookup($A166&amp;$B166,'3) Release_Label'!$D:$D&amp;'3) Release_Label'!$E:$E,1,0))),vlookup($A166&amp;$B166,{'3) Release_Label'!$D:$D&amp;'3) Release_Label'!$E:$E,'3) Release_Label'!$H:$H},2,0), or(and(not(isblank($B166)),$B166=$B165,$A166&lt;&gt;$A165),and(not(isblank($A166)),$A166=$A165,$B166&lt;&gt;$B165)),"ID LISTS UNALIGNED",and($A166&lt;&gt;"",countif('3) Release_Label'!$D:$D,$A166)=0),"NO UPC MATCH in Release_Label",and($B166&lt;&gt;"",countif('3) Release_Label'!$E:$E,$B166)=0),"NO CATALOG ID MATCH in Release_Label",iserror(vlookup($A166&amp;$B166,'3) Release_Label'!$D:$D&amp;'3) Release_Label'!$E:$E,1,0)),"NO UPC-CATALOG ID pair MATCH in Release_Label" )</f>
        <v/>
      </c>
      <c r="E166" s="141" t="str">
        <f t="shared" si="2"/>
        <v/>
      </c>
      <c r="G166" s="103"/>
      <c r="H166" s="152"/>
      <c r="J166" s="99"/>
      <c r="K166" s="104"/>
      <c r="L166" s="99"/>
      <c r="N166" s="99"/>
      <c r="O166" s="99"/>
      <c r="P166" s="34"/>
    </row>
    <row r="167">
      <c r="A167" s="100"/>
      <c r="B167" s="103"/>
      <c r="C167" s="121" t="str">
        <f t="array" ref="C167">ifs(and(isblank($A167),isblank($B167)),"", not(iserror(vlookup($A167&amp;$B167,'3) Release_Label'!$D:$D&amp;'3) Release_Label'!$E:$E,1,0))),vlookup($A167&amp;$B167,{'3) Release_Label'!$D:$D&amp;'3) Release_Label'!$E:$E,'3) Release_Label'!$F:$F},2,0), or(and(not(isblank($B167)),$B167=$B166,$A167&lt;&gt;$A166),and(not(isblank($A167)),$A167=$A166,$B167&lt;&gt;$B166)),"ID LISTS UNALIGNED",and($A167&lt;&gt;"",countif('3) Release_Label'!$D:$D,$A167)=0),"NO UPC MATCH in Release_Label",and($B167&lt;&gt;"",countif('3) Release_Label'!$E:$E,$B167)=0),"NO CATALOG ID MATCH in Release_Label",iserror(vlookup($A167&amp;$B167,'3) Release_Label'!$D:$D&amp;'3) Release_Label'!$E:$E,1,0)),"NO UPC-CATALOG ID pair MATCH in Release_Label" )</f>
        <v/>
      </c>
      <c r="D167" s="121" t="str">
        <f t="array" ref="D167">ifs(and(isblank($A167),isblank($B167)),"", not(iserror(vlookup($A167&amp;$B167,'3) Release_Label'!$D:$D&amp;'3) Release_Label'!$E:$E,1,0))),vlookup($A167&amp;$B167,{'3) Release_Label'!$D:$D&amp;'3) Release_Label'!$E:$E,'3) Release_Label'!$H:$H},2,0), or(and(not(isblank($B167)),$B167=$B166,$A167&lt;&gt;$A166),and(not(isblank($A167)),$A167=$A166,$B167&lt;&gt;$B166)),"ID LISTS UNALIGNED",and($A167&lt;&gt;"",countif('3) Release_Label'!$D:$D,$A167)=0),"NO UPC MATCH in Release_Label",and($B167&lt;&gt;"",countif('3) Release_Label'!$E:$E,$B167)=0),"NO CATALOG ID MATCH in Release_Label",iserror(vlookup($A167&amp;$B167,'3) Release_Label'!$D:$D&amp;'3) Release_Label'!$E:$E,1,0)),"NO UPC-CATALOG ID pair MATCH in Release_Label" )</f>
        <v/>
      </c>
      <c r="E167" s="141" t="str">
        <f t="shared" si="2"/>
        <v/>
      </c>
      <c r="G167" s="103"/>
      <c r="H167" s="152"/>
      <c r="J167" s="99"/>
      <c r="K167" s="104"/>
      <c r="L167" s="99"/>
      <c r="N167" s="99"/>
      <c r="O167" s="99"/>
      <c r="P167" s="34"/>
    </row>
    <row r="168">
      <c r="A168" s="100"/>
      <c r="B168" s="103"/>
      <c r="C168" s="121" t="str">
        <f t="array" ref="C168">ifs(and(isblank($A168),isblank($B168)),"", not(iserror(vlookup($A168&amp;$B168,'3) Release_Label'!$D:$D&amp;'3) Release_Label'!$E:$E,1,0))),vlookup($A168&amp;$B168,{'3) Release_Label'!$D:$D&amp;'3) Release_Label'!$E:$E,'3) Release_Label'!$F:$F},2,0), or(and(not(isblank($B168)),$B168=$B167,$A168&lt;&gt;$A167),and(not(isblank($A168)),$A168=$A167,$B168&lt;&gt;$B167)),"ID LISTS UNALIGNED",and($A168&lt;&gt;"",countif('3) Release_Label'!$D:$D,$A168)=0),"NO UPC MATCH in Release_Label",and($B168&lt;&gt;"",countif('3) Release_Label'!$E:$E,$B168)=0),"NO CATALOG ID MATCH in Release_Label",iserror(vlookup($A168&amp;$B168,'3) Release_Label'!$D:$D&amp;'3) Release_Label'!$E:$E,1,0)),"NO UPC-CATALOG ID pair MATCH in Release_Label" )</f>
        <v/>
      </c>
      <c r="D168" s="121" t="str">
        <f t="array" ref="D168">ifs(and(isblank($A168),isblank($B168)),"", not(iserror(vlookup($A168&amp;$B168,'3) Release_Label'!$D:$D&amp;'3) Release_Label'!$E:$E,1,0))),vlookup($A168&amp;$B168,{'3) Release_Label'!$D:$D&amp;'3) Release_Label'!$E:$E,'3) Release_Label'!$H:$H},2,0), or(and(not(isblank($B168)),$B168=$B167,$A168&lt;&gt;$A167),and(not(isblank($A168)),$A168=$A167,$B168&lt;&gt;$B167)),"ID LISTS UNALIGNED",and($A168&lt;&gt;"",countif('3) Release_Label'!$D:$D,$A168)=0),"NO UPC MATCH in Release_Label",and($B168&lt;&gt;"",countif('3) Release_Label'!$E:$E,$B168)=0),"NO CATALOG ID MATCH in Release_Label",iserror(vlookup($A168&amp;$B168,'3) Release_Label'!$D:$D&amp;'3) Release_Label'!$E:$E,1,0)),"NO UPC-CATALOG ID pair MATCH in Release_Label" )</f>
        <v/>
      </c>
      <c r="E168" s="141" t="str">
        <f t="shared" si="2"/>
        <v/>
      </c>
      <c r="G168" s="103"/>
      <c r="H168" s="152"/>
      <c r="J168" s="99"/>
      <c r="K168" s="104"/>
      <c r="L168" s="99"/>
      <c r="N168" s="99"/>
      <c r="O168" s="99"/>
      <c r="P168" s="34"/>
    </row>
    <row r="169">
      <c r="A169" s="100"/>
      <c r="B169" s="103"/>
      <c r="C169" s="121" t="str">
        <f t="array" ref="C169">ifs(and(isblank($A169),isblank($B169)),"", not(iserror(vlookup($A169&amp;$B169,'3) Release_Label'!$D:$D&amp;'3) Release_Label'!$E:$E,1,0))),vlookup($A169&amp;$B169,{'3) Release_Label'!$D:$D&amp;'3) Release_Label'!$E:$E,'3) Release_Label'!$F:$F},2,0), or(and(not(isblank($B169)),$B169=$B168,$A169&lt;&gt;$A168),and(not(isblank($A169)),$A169=$A168,$B169&lt;&gt;$B168)),"ID LISTS UNALIGNED",and($A169&lt;&gt;"",countif('3) Release_Label'!$D:$D,$A169)=0),"NO UPC MATCH in Release_Label",and($B169&lt;&gt;"",countif('3) Release_Label'!$E:$E,$B169)=0),"NO CATALOG ID MATCH in Release_Label",iserror(vlookup($A169&amp;$B169,'3) Release_Label'!$D:$D&amp;'3) Release_Label'!$E:$E,1,0)),"NO UPC-CATALOG ID pair MATCH in Release_Label" )</f>
        <v/>
      </c>
      <c r="D169" s="121" t="str">
        <f t="array" ref="D169">ifs(and(isblank($A169),isblank($B169)),"", not(iserror(vlookup($A169&amp;$B169,'3) Release_Label'!$D:$D&amp;'3) Release_Label'!$E:$E,1,0))),vlookup($A169&amp;$B169,{'3) Release_Label'!$D:$D&amp;'3) Release_Label'!$E:$E,'3) Release_Label'!$H:$H},2,0), or(and(not(isblank($B169)),$B169=$B168,$A169&lt;&gt;$A168),and(not(isblank($A169)),$A169=$A168,$B169&lt;&gt;$B168)),"ID LISTS UNALIGNED",and($A169&lt;&gt;"",countif('3) Release_Label'!$D:$D,$A169)=0),"NO UPC MATCH in Release_Label",and($B169&lt;&gt;"",countif('3) Release_Label'!$E:$E,$B169)=0),"NO CATALOG ID MATCH in Release_Label",iserror(vlookup($A169&amp;$B169,'3) Release_Label'!$D:$D&amp;'3) Release_Label'!$E:$E,1,0)),"NO UPC-CATALOG ID pair MATCH in Release_Label" )</f>
        <v/>
      </c>
      <c r="E169" s="141" t="str">
        <f t="shared" si="2"/>
        <v/>
      </c>
      <c r="G169" s="103"/>
      <c r="H169" s="152"/>
      <c r="J169" s="99"/>
      <c r="K169" s="104"/>
      <c r="L169" s="99"/>
      <c r="N169" s="99"/>
      <c r="O169" s="99"/>
      <c r="P169" s="34"/>
    </row>
    <row r="170">
      <c r="A170" s="100"/>
      <c r="B170" s="103"/>
      <c r="C170" s="121" t="str">
        <f t="array" ref="C170">ifs(and(isblank($A170),isblank($B170)),"", not(iserror(vlookup($A170&amp;$B170,'3) Release_Label'!$D:$D&amp;'3) Release_Label'!$E:$E,1,0))),vlookup($A170&amp;$B170,{'3) Release_Label'!$D:$D&amp;'3) Release_Label'!$E:$E,'3) Release_Label'!$F:$F},2,0), or(and(not(isblank($B170)),$B170=$B169,$A170&lt;&gt;$A169),and(not(isblank($A170)),$A170=$A169,$B170&lt;&gt;$B169)),"ID LISTS UNALIGNED",and($A170&lt;&gt;"",countif('3) Release_Label'!$D:$D,$A170)=0),"NO UPC MATCH in Release_Label",and($B170&lt;&gt;"",countif('3) Release_Label'!$E:$E,$B170)=0),"NO CATALOG ID MATCH in Release_Label",iserror(vlookup($A170&amp;$B170,'3) Release_Label'!$D:$D&amp;'3) Release_Label'!$E:$E,1,0)),"NO UPC-CATALOG ID pair MATCH in Release_Label" )</f>
        <v/>
      </c>
      <c r="D170" s="121" t="str">
        <f t="array" ref="D170">ifs(and(isblank($A170),isblank($B170)),"", not(iserror(vlookup($A170&amp;$B170,'3) Release_Label'!$D:$D&amp;'3) Release_Label'!$E:$E,1,0))),vlookup($A170&amp;$B170,{'3) Release_Label'!$D:$D&amp;'3) Release_Label'!$E:$E,'3) Release_Label'!$H:$H},2,0), or(and(not(isblank($B170)),$B170=$B169,$A170&lt;&gt;$A169),and(not(isblank($A170)),$A170=$A169,$B170&lt;&gt;$B169)),"ID LISTS UNALIGNED",and($A170&lt;&gt;"",countif('3) Release_Label'!$D:$D,$A170)=0),"NO UPC MATCH in Release_Label",and($B170&lt;&gt;"",countif('3) Release_Label'!$E:$E,$B170)=0),"NO CATALOG ID MATCH in Release_Label",iserror(vlookup($A170&amp;$B170,'3) Release_Label'!$D:$D&amp;'3) Release_Label'!$E:$E,1,0)),"NO UPC-CATALOG ID pair MATCH in Release_Label" )</f>
        <v/>
      </c>
      <c r="E170" s="141" t="str">
        <f t="shared" si="2"/>
        <v/>
      </c>
      <c r="G170" s="103"/>
      <c r="H170" s="152"/>
      <c r="J170" s="99"/>
      <c r="K170" s="104"/>
      <c r="L170" s="99"/>
      <c r="N170" s="99"/>
      <c r="O170" s="99"/>
      <c r="P170" s="34"/>
    </row>
    <row r="171">
      <c r="A171" s="100"/>
      <c r="B171" s="103"/>
      <c r="C171" s="121" t="str">
        <f t="array" ref="C171">ifs(and(isblank($A171),isblank($B171)),"", not(iserror(vlookup($A171&amp;$B171,'3) Release_Label'!$D:$D&amp;'3) Release_Label'!$E:$E,1,0))),vlookup($A171&amp;$B171,{'3) Release_Label'!$D:$D&amp;'3) Release_Label'!$E:$E,'3) Release_Label'!$F:$F},2,0), or(and(not(isblank($B171)),$B171=$B170,$A171&lt;&gt;$A170),and(not(isblank($A171)),$A171=$A170,$B171&lt;&gt;$B170)),"ID LISTS UNALIGNED",and($A171&lt;&gt;"",countif('3) Release_Label'!$D:$D,$A171)=0),"NO UPC MATCH in Release_Label",and($B171&lt;&gt;"",countif('3) Release_Label'!$E:$E,$B171)=0),"NO CATALOG ID MATCH in Release_Label",iserror(vlookup($A171&amp;$B171,'3) Release_Label'!$D:$D&amp;'3) Release_Label'!$E:$E,1,0)),"NO UPC-CATALOG ID pair MATCH in Release_Label" )</f>
        <v/>
      </c>
      <c r="D171" s="121" t="str">
        <f t="array" ref="D171">ifs(and(isblank($A171),isblank($B171)),"", not(iserror(vlookup($A171&amp;$B171,'3) Release_Label'!$D:$D&amp;'3) Release_Label'!$E:$E,1,0))),vlookup($A171&amp;$B171,{'3) Release_Label'!$D:$D&amp;'3) Release_Label'!$E:$E,'3) Release_Label'!$H:$H},2,0), or(and(not(isblank($B171)),$B171=$B170,$A171&lt;&gt;$A170),and(not(isblank($A171)),$A171=$A170,$B171&lt;&gt;$B170)),"ID LISTS UNALIGNED",and($A171&lt;&gt;"",countif('3) Release_Label'!$D:$D,$A171)=0),"NO UPC MATCH in Release_Label",and($B171&lt;&gt;"",countif('3) Release_Label'!$E:$E,$B171)=0),"NO CATALOG ID MATCH in Release_Label",iserror(vlookup($A171&amp;$B171,'3) Release_Label'!$D:$D&amp;'3) Release_Label'!$E:$E,1,0)),"NO UPC-CATALOG ID pair MATCH in Release_Label" )</f>
        <v/>
      </c>
      <c r="E171" s="141" t="str">
        <f t="shared" si="2"/>
        <v/>
      </c>
      <c r="G171" s="103"/>
      <c r="H171" s="152"/>
      <c r="J171" s="99"/>
      <c r="K171" s="104"/>
      <c r="L171" s="99"/>
      <c r="N171" s="99"/>
      <c r="O171" s="99"/>
      <c r="P171" s="34"/>
    </row>
    <row r="172">
      <c r="A172" s="100"/>
      <c r="B172" s="103"/>
      <c r="C172" s="121" t="str">
        <f t="array" ref="C172">ifs(and(isblank($A172),isblank($B172)),"", not(iserror(vlookup($A172&amp;$B172,'3) Release_Label'!$D:$D&amp;'3) Release_Label'!$E:$E,1,0))),vlookup($A172&amp;$B172,{'3) Release_Label'!$D:$D&amp;'3) Release_Label'!$E:$E,'3) Release_Label'!$F:$F},2,0), or(and(not(isblank($B172)),$B172=$B171,$A172&lt;&gt;$A171),and(not(isblank($A172)),$A172=$A171,$B172&lt;&gt;$B171)),"ID LISTS UNALIGNED",and($A172&lt;&gt;"",countif('3) Release_Label'!$D:$D,$A172)=0),"NO UPC MATCH in Release_Label",and($B172&lt;&gt;"",countif('3) Release_Label'!$E:$E,$B172)=0),"NO CATALOG ID MATCH in Release_Label",iserror(vlookup($A172&amp;$B172,'3) Release_Label'!$D:$D&amp;'3) Release_Label'!$E:$E,1,0)),"NO UPC-CATALOG ID pair MATCH in Release_Label" )</f>
        <v/>
      </c>
      <c r="D172" s="121" t="str">
        <f t="array" ref="D172">ifs(and(isblank($A172),isblank($B172)),"", not(iserror(vlookup($A172&amp;$B172,'3) Release_Label'!$D:$D&amp;'3) Release_Label'!$E:$E,1,0))),vlookup($A172&amp;$B172,{'3) Release_Label'!$D:$D&amp;'3) Release_Label'!$E:$E,'3) Release_Label'!$H:$H},2,0), or(and(not(isblank($B172)),$B172=$B171,$A172&lt;&gt;$A171),and(not(isblank($A172)),$A172=$A171,$B172&lt;&gt;$B171)),"ID LISTS UNALIGNED",and($A172&lt;&gt;"",countif('3) Release_Label'!$D:$D,$A172)=0),"NO UPC MATCH in Release_Label",and($B172&lt;&gt;"",countif('3) Release_Label'!$E:$E,$B172)=0),"NO CATALOG ID MATCH in Release_Label",iserror(vlookup($A172&amp;$B172,'3) Release_Label'!$D:$D&amp;'3) Release_Label'!$E:$E,1,0)),"NO UPC-CATALOG ID pair MATCH in Release_Label" )</f>
        <v/>
      </c>
      <c r="E172" s="141" t="str">
        <f t="shared" si="2"/>
        <v/>
      </c>
      <c r="G172" s="103"/>
      <c r="H172" s="152"/>
      <c r="J172" s="99"/>
      <c r="K172" s="104"/>
      <c r="L172" s="99"/>
      <c r="N172" s="99"/>
      <c r="O172" s="99"/>
      <c r="P172" s="34"/>
    </row>
    <row r="173">
      <c r="A173" s="100"/>
      <c r="B173" s="103"/>
      <c r="C173" s="121" t="str">
        <f t="array" ref="C173">ifs(and(isblank($A173),isblank($B173)),"", not(iserror(vlookup($A173&amp;$B173,'3) Release_Label'!$D:$D&amp;'3) Release_Label'!$E:$E,1,0))),vlookup($A173&amp;$B173,{'3) Release_Label'!$D:$D&amp;'3) Release_Label'!$E:$E,'3) Release_Label'!$F:$F},2,0), or(and(not(isblank($B173)),$B173=$B172,$A173&lt;&gt;$A172),and(not(isblank($A173)),$A173=$A172,$B173&lt;&gt;$B172)),"ID LISTS UNALIGNED",and($A173&lt;&gt;"",countif('3) Release_Label'!$D:$D,$A173)=0),"NO UPC MATCH in Release_Label",and($B173&lt;&gt;"",countif('3) Release_Label'!$E:$E,$B173)=0),"NO CATALOG ID MATCH in Release_Label",iserror(vlookup($A173&amp;$B173,'3) Release_Label'!$D:$D&amp;'3) Release_Label'!$E:$E,1,0)),"NO UPC-CATALOG ID pair MATCH in Release_Label" )</f>
        <v/>
      </c>
      <c r="D173" s="121" t="str">
        <f t="array" ref="D173">ifs(and(isblank($A173),isblank($B173)),"", not(iserror(vlookup($A173&amp;$B173,'3) Release_Label'!$D:$D&amp;'3) Release_Label'!$E:$E,1,0))),vlookup($A173&amp;$B173,{'3) Release_Label'!$D:$D&amp;'3) Release_Label'!$E:$E,'3) Release_Label'!$H:$H},2,0), or(and(not(isblank($B173)),$B173=$B172,$A173&lt;&gt;$A172),and(not(isblank($A173)),$A173=$A172,$B173&lt;&gt;$B172)),"ID LISTS UNALIGNED",and($A173&lt;&gt;"",countif('3) Release_Label'!$D:$D,$A173)=0),"NO UPC MATCH in Release_Label",and($B173&lt;&gt;"",countif('3) Release_Label'!$E:$E,$B173)=0),"NO CATALOG ID MATCH in Release_Label",iserror(vlookup($A173&amp;$B173,'3) Release_Label'!$D:$D&amp;'3) Release_Label'!$E:$E,1,0)),"NO UPC-CATALOG ID pair MATCH in Release_Label" )</f>
        <v/>
      </c>
      <c r="E173" s="141" t="str">
        <f t="shared" si="2"/>
        <v/>
      </c>
      <c r="G173" s="103"/>
      <c r="H173" s="152"/>
      <c r="J173" s="99"/>
      <c r="K173" s="104"/>
      <c r="L173" s="99"/>
      <c r="N173" s="99"/>
      <c r="O173" s="99"/>
      <c r="P173" s="34"/>
    </row>
    <row r="174">
      <c r="A174" s="100"/>
      <c r="B174" s="103"/>
      <c r="C174" s="121" t="str">
        <f t="array" ref="C174">ifs(and(isblank($A174),isblank($B174)),"", not(iserror(vlookup($A174&amp;$B174,'3) Release_Label'!$D:$D&amp;'3) Release_Label'!$E:$E,1,0))),vlookup($A174&amp;$B174,{'3) Release_Label'!$D:$D&amp;'3) Release_Label'!$E:$E,'3) Release_Label'!$F:$F},2,0), or(and(not(isblank($B174)),$B174=$B173,$A174&lt;&gt;$A173),and(not(isblank($A174)),$A174=$A173,$B174&lt;&gt;$B173)),"ID LISTS UNALIGNED",and($A174&lt;&gt;"",countif('3) Release_Label'!$D:$D,$A174)=0),"NO UPC MATCH in Release_Label",and($B174&lt;&gt;"",countif('3) Release_Label'!$E:$E,$B174)=0),"NO CATALOG ID MATCH in Release_Label",iserror(vlookup($A174&amp;$B174,'3) Release_Label'!$D:$D&amp;'3) Release_Label'!$E:$E,1,0)),"NO UPC-CATALOG ID pair MATCH in Release_Label" )</f>
        <v/>
      </c>
      <c r="D174" s="121" t="str">
        <f t="array" ref="D174">ifs(and(isblank($A174),isblank($B174)),"", not(iserror(vlookup($A174&amp;$B174,'3) Release_Label'!$D:$D&amp;'3) Release_Label'!$E:$E,1,0))),vlookup($A174&amp;$B174,{'3) Release_Label'!$D:$D&amp;'3) Release_Label'!$E:$E,'3) Release_Label'!$H:$H},2,0), or(and(not(isblank($B174)),$B174=$B173,$A174&lt;&gt;$A173),and(not(isblank($A174)),$A174=$A173,$B174&lt;&gt;$B173)),"ID LISTS UNALIGNED",and($A174&lt;&gt;"",countif('3) Release_Label'!$D:$D,$A174)=0),"NO UPC MATCH in Release_Label",and($B174&lt;&gt;"",countif('3) Release_Label'!$E:$E,$B174)=0),"NO CATALOG ID MATCH in Release_Label",iserror(vlookup($A174&amp;$B174,'3) Release_Label'!$D:$D&amp;'3) Release_Label'!$E:$E,1,0)),"NO UPC-CATALOG ID pair MATCH in Release_Label" )</f>
        <v/>
      </c>
      <c r="E174" s="141" t="str">
        <f t="shared" si="2"/>
        <v/>
      </c>
      <c r="G174" s="103"/>
      <c r="H174" s="152"/>
      <c r="J174" s="99"/>
      <c r="K174" s="104"/>
      <c r="L174" s="99"/>
      <c r="N174" s="99"/>
      <c r="O174" s="99"/>
      <c r="P174" s="34"/>
    </row>
    <row r="175">
      <c r="A175" s="100"/>
      <c r="B175" s="103"/>
      <c r="C175" s="121" t="str">
        <f t="array" ref="C175">ifs(and(isblank($A175),isblank($B175)),"", not(iserror(vlookup($A175&amp;$B175,'3) Release_Label'!$D:$D&amp;'3) Release_Label'!$E:$E,1,0))),vlookup($A175&amp;$B175,{'3) Release_Label'!$D:$D&amp;'3) Release_Label'!$E:$E,'3) Release_Label'!$F:$F},2,0), or(and(not(isblank($B175)),$B175=$B174,$A175&lt;&gt;$A174),and(not(isblank($A175)),$A175=$A174,$B175&lt;&gt;$B174)),"ID LISTS UNALIGNED",and($A175&lt;&gt;"",countif('3) Release_Label'!$D:$D,$A175)=0),"NO UPC MATCH in Release_Label",and($B175&lt;&gt;"",countif('3) Release_Label'!$E:$E,$B175)=0),"NO CATALOG ID MATCH in Release_Label",iserror(vlookup($A175&amp;$B175,'3) Release_Label'!$D:$D&amp;'3) Release_Label'!$E:$E,1,0)),"NO UPC-CATALOG ID pair MATCH in Release_Label" )</f>
        <v/>
      </c>
      <c r="D175" s="121" t="str">
        <f t="array" ref="D175">ifs(and(isblank($A175),isblank($B175)),"", not(iserror(vlookup($A175&amp;$B175,'3) Release_Label'!$D:$D&amp;'3) Release_Label'!$E:$E,1,0))),vlookup($A175&amp;$B175,{'3) Release_Label'!$D:$D&amp;'3) Release_Label'!$E:$E,'3) Release_Label'!$H:$H},2,0), or(and(not(isblank($B175)),$B175=$B174,$A175&lt;&gt;$A174),and(not(isblank($A175)),$A175=$A174,$B175&lt;&gt;$B174)),"ID LISTS UNALIGNED",and($A175&lt;&gt;"",countif('3) Release_Label'!$D:$D,$A175)=0),"NO UPC MATCH in Release_Label",and($B175&lt;&gt;"",countif('3) Release_Label'!$E:$E,$B175)=0),"NO CATALOG ID MATCH in Release_Label",iserror(vlookup($A175&amp;$B175,'3) Release_Label'!$D:$D&amp;'3) Release_Label'!$E:$E,1,0)),"NO UPC-CATALOG ID pair MATCH in Release_Label" )</f>
        <v/>
      </c>
      <c r="E175" s="141" t="str">
        <f t="shared" si="2"/>
        <v/>
      </c>
      <c r="G175" s="103"/>
      <c r="H175" s="152"/>
      <c r="J175" s="99"/>
      <c r="K175" s="104"/>
      <c r="L175" s="99"/>
      <c r="N175" s="99"/>
      <c r="O175" s="99"/>
      <c r="P175" s="34"/>
    </row>
    <row r="176">
      <c r="A176" s="100"/>
      <c r="B176" s="103"/>
      <c r="C176" s="121" t="str">
        <f t="array" ref="C176">ifs(and(isblank($A176),isblank($B176)),"", not(iserror(vlookup($A176&amp;$B176,'3) Release_Label'!$D:$D&amp;'3) Release_Label'!$E:$E,1,0))),vlookup($A176&amp;$B176,{'3) Release_Label'!$D:$D&amp;'3) Release_Label'!$E:$E,'3) Release_Label'!$F:$F},2,0), or(and(not(isblank($B176)),$B176=$B175,$A176&lt;&gt;$A175),and(not(isblank($A176)),$A176=$A175,$B176&lt;&gt;$B175)),"ID LISTS UNALIGNED",and($A176&lt;&gt;"",countif('3) Release_Label'!$D:$D,$A176)=0),"NO UPC MATCH in Release_Label",and($B176&lt;&gt;"",countif('3) Release_Label'!$E:$E,$B176)=0),"NO CATALOG ID MATCH in Release_Label",iserror(vlookup($A176&amp;$B176,'3) Release_Label'!$D:$D&amp;'3) Release_Label'!$E:$E,1,0)),"NO UPC-CATALOG ID pair MATCH in Release_Label" )</f>
        <v/>
      </c>
      <c r="D176" s="121" t="str">
        <f t="array" ref="D176">ifs(and(isblank($A176),isblank($B176)),"", not(iserror(vlookup($A176&amp;$B176,'3) Release_Label'!$D:$D&amp;'3) Release_Label'!$E:$E,1,0))),vlookup($A176&amp;$B176,{'3) Release_Label'!$D:$D&amp;'3) Release_Label'!$E:$E,'3) Release_Label'!$H:$H},2,0), or(and(not(isblank($B176)),$B176=$B175,$A176&lt;&gt;$A175),and(not(isblank($A176)),$A176=$A175,$B176&lt;&gt;$B175)),"ID LISTS UNALIGNED",and($A176&lt;&gt;"",countif('3) Release_Label'!$D:$D,$A176)=0),"NO UPC MATCH in Release_Label",and($B176&lt;&gt;"",countif('3) Release_Label'!$E:$E,$B176)=0),"NO CATALOG ID MATCH in Release_Label",iserror(vlookup($A176&amp;$B176,'3) Release_Label'!$D:$D&amp;'3) Release_Label'!$E:$E,1,0)),"NO UPC-CATALOG ID pair MATCH in Release_Label" )</f>
        <v/>
      </c>
      <c r="E176" s="141" t="str">
        <f t="shared" si="2"/>
        <v/>
      </c>
      <c r="G176" s="103"/>
      <c r="H176" s="152"/>
      <c r="J176" s="99"/>
      <c r="K176" s="104"/>
      <c r="L176" s="99"/>
      <c r="N176" s="99"/>
      <c r="O176" s="99"/>
      <c r="P176" s="34"/>
    </row>
    <row r="177">
      <c r="A177" s="100"/>
      <c r="B177" s="103"/>
      <c r="C177" s="121" t="str">
        <f t="array" ref="C177">ifs(and(isblank($A177),isblank($B177)),"", not(iserror(vlookup($A177&amp;$B177,'3) Release_Label'!$D:$D&amp;'3) Release_Label'!$E:$E,1,0))),vlookup($A177&amp;$B177,{'3) Release_Label'!$D:$D&amp;'3) Release_Label'!$E:$E,'3) Release_Label'!$F:$F},2,0), or(and(not(isblank($B177)),$B177=$B176,$A177&lt;&gt;$A176),and(not(isblank($A177)),$A177=$A176,$B177&lt;&gt;$B176)),"ID LISTS UNALIGNED",and($A177&lt;&gt;"",countif('3) Release_Label'!$D:$D,$A177)=0),"NO UPC MATCH in Release_Label",and($B177&lt;&gt;"",countif('3) Release_Label'!$E:$E,$B177)=0),"NO CATALOG ID MATCH in Release_Label",iserror(vlookup($A177&amp;$B177,'3) Release_Label'!$D:$D&amp;'3) Release_Label'!$E:$E,1,0)),"NO UPC-CATALOG ID pair MATCH in Release_Label" )</f>
        <v/>
      </c>
      <c r="D177" s="121" t="str">
        <f t="array" ref="D177">ifs(and(isblank($A177),isblank($B177)),"", not(iserror(vlookup($A177&amp;$B177,'3) Release_Label'!$D:$D&amp;'3) Release_Label'!$E:$E,1,0))),vlookup($A177&amp;$B177,{'3) Release_Label'!$D:$D&amp;'3) Release_Label'!$E:$E,'3) Release_Label'!$H:$H},2,0), or(and(not(isblank($B177)),$B177=$B176,$A177&lt;&gt;$A176),and(not(isblank($A177)),$A177=$A176,$B177&lt;&gt;$B176)),"ID LISTS UNALIGNED",and($A177&lt;&gt;"",countif('3) Release_Label'!$D:$D,$A177)=0),"NO UPC MATCH in Release_Label",and($B177&lt;&gt;"",countif('3) Release_Label'!$E:$E,$B177)=0),"NO CATALOG ID MATCH in Release_Label",iserror(vlookup($A177&amp;$B177,'3) Release_Label'!$D:$D&amp;'3) Release_Label'!$E:$E,1,0)),"NO UPC-CATALOG ID pair MATCH in Release_Label" )</f>
        <v/>
      </c>
      <c r="E177" s="141" t="str">
        <f t="shared" si="2"/>
        <v/>
      </c>
      <c r="G177" s="103"/>
      <c r="H177" s="152"/>
      <c r="J177" s="99"/>
      <c r="K177" s="104"/>
      <c r="L177" s="99"/>
      <c r="N177" s="99"/>
      <c r="O177" s="99"/>
      <c r="P177" s="34"/>
    </row>
    <row r="178">
      <c r="A178" s="100"/>
      <c r="B178" s="103"/>
      <c r="C178" s="121" t="str">
        <f t="array" ref="C178">ifs(and(isblank($A178),isblank($B178)),"", not(iserror(vlookup($A178&amp;$B178,'3) Release_Label'!$D:$D&amp;'3) Release_Label'!$E:$E,1,0))),vlookup($A178&amp;$B178,{'3) Release_Label'!$D:$D&amp;'3) Release_Label'!$E:$E,'3) Release_Label'!$F:$F},2,0), or(and(not(isblank($B178)),$B178=$B177,$A178&lt;&gt;$A177),and(not(isblank($A178)),$A178=$A177,$B178&lt;&gt;$B177)),"ID LISTS UNALIGNED",and($A178&lt;&gt;"",countif('3) Release_Label'!$D:$D,$A178)=0),"NO UPC MATCH in Release_Label",and($B178&lt;&gt;"",countif('3) Release_Label'!$E:$E,$B178)=0),"NO CATALOG ID MATCH in Release_Label",iserror(vlookup($A178&amp;$B178,'3) Release_Label'!$D:$D&amp;'3) Release_Label'!$E:$E,1,0)),"NO UPC-CATALOG ID pair MATCH in Release_Label" )</f>
        <v/>
      </c>
      <c r="D178" s="121" t="str">
        <f t="array" ref="D178">ifs(and(isblank($A178),isblank($B178)),"", not(iserror(vlookup($A178&amp;$B178,'3) Release_Label'!$D:$D&amp;'3) Release_Label'!$E:$E,1,0))),vlookup($A178&amp;$B178,{'3) Release_Label'!$D:$D&amp;'3) Release_Label'!$E:$E,'3) Release_Label'!$H:$H},2,0), or(and(not(isblank($B178)),$B178=$B177,$A178&lt;&gt;$A177),and(not(isblank($A178)),$A178=$A177,$B178&lt;&gt;$B177)),"ID LISTS UNALIGNED",and($A178&lt;&gt;"",countif('3) Release_Label'!$D:$D,$A178)=0),"NO UPC MATCH in Release_Label",and($B178&lt;&gt;"",countif('3) Release_Label'!$E:$E,$B178)=0),"NO CATALOG ID MATCH in Release_Label",iserror(vlookup($A178&amp;$B178,'3) Release_Label'!$D:$D&amp;'3) Release_Label'!$E:$E,1,0)),"NO UPC-CATALOG ID pair MATCH in Release_Label" )</f>
        <v/>
      </c>
      <c r="E178" s="141" t="str">
        <f t="shared" si="2"/>
        <v/>
      </c>
      <c r="G178" s="103"/>
      <c r="H178" s="152"/>
      <c r="J178" s="99"/>
      <c r="K178" s="104"/>
      <c r="L178" s="99"/>
      <c r="N178" s="99"/>
      <c r="O178" s="99"/>
      <c r="P178" s="34"/>
    </row>
    <row r="179">
      <c r="A179" s="100"/>
      <c r="B179" s="103"/>
      <c r="C179" s="121" t="str">
        <f t="array" ref="C179">ifs(and(isblank($A179),isblank($B179)),"", not(iserror(vlookup($A179&amp;$B179,'3) Release_Label'!$D:$D&amp;'3) Release_Label'!$E:$E,1,0))),vlookup($A179&amp;$B179,{'3) Release_Label'!$D:$D&amp;'3) Release_Label'!$E:$E,'3) Release_Label'!$F:$F},2,0), or(and(not(isblank($B179)),$B179=$B178,$A179&lt;&gt;$A178),and(not(isblank($A179)),$A179=$A178,$B179&lt;&gt;$B178)),"ID LISTS UNALIGNED",and($A179&lt;&gt;"",countif('3) Release_Label'!$D:$D,$A179)=0),"NO UPC MATCH in Release_Label",and($B179&lt;&gt;"",countif('3) Release_Label'!$E:$E,$B179)=0),"NO CATALOG ID MATCH in Release_Label",iserror(vlookup($A179&amp;$B179,'3) Release_Label'!$D:$D&amp;'3) Release_Label'!$E:$E,1,0)),"NO UPC-CATALOG ID pair MATCH in Release_Label" )</f>
        <v/>
      </c>
      <c r="D179" s="121" t="str">
        <f t="array" ref="D179">ifs(and(isblank($A179),isblank($B179)),"", not(iserror(vlookup($A179&amp;$B179,'3) Release_Label'!$D:$D&amp;'3) Release_Label'!$E:$E,1,0))),vlookup($A179&amp;$B179,{'3) Release_Label'!$D:$D&amp;'3) Release_Label'!$E:$E,'3) Release_Label'!$H:$H},2,0), or(and(not(isblank($B179)),$B179=$B178,$A179&lt;&gt;$A178),and(not(isblank($A179)),$A179=$A178,$B179&lt;&gt;$B178)),"ID LISTS UNALIGNED",and($A179&lt;&gt;"",countif('3) Release_Label'!$D:$D,$A179)=0),"NO UPC MATCH in Release_Label",and($B179&lt;&gt;"",countif('3) Release_Label'!$E:$E,$B179)=0),"NO CATALOG ID MATCH in Release_Label",iserror(vlookup($A179&amp;$B179,'3) Release_Label'!$D:$D&amp;'3) Release_Label'!$E:$E,1,0)),"NO UPC-CATALOG ID pair MATCH in Release_Label" )</f>
        <v/>
      </c>
      <c r="E179" s="141" t="str">
        <f t="shared" si="2"/>
        <v/>
      </c>
      <c r="G179" s="103"/>
      <c r="H179" s="152"/>
      <c r="J179" s="99"/>
      <c r="K179" s="104"/>
      <c r="L179" s="99"/>
      <c r="N179" s="99"/>
      <c r="O179" s="99"/>
      <c r="P179" s="34"/>
    </row>
    <row r="180">
      <c r="A180" s="100"/>
      <c r="B180" s="103"/>
      <c r="C180" s="121" t="str">
        <f t="array" ref="C180">ifs(and(isblank($A180),isblank($B180)),"", not(iserror(vlookup($A180&amp;$B180,'3) Release_Label'!$D:$D&amp;'3) Release_Label'!$E:$E,1,0))),vlookup($A180&amp;$B180,{'3) Release_Label'!$D:$D&amp;'3) Release_Label'!$E:$E,'3) Release_Label'!$F:$F},2,0), or(and(not(isblank($B180)),$B180=$B179,$A180&lt;&gt;$A179),and(not(isblank($A180)),$A180=$A179,$B180&lt;&gt;$B179)),"ID LISTS UNALIGNED",and($A180&lt;&gt;"",countif('3) Release_Label'!$D:$D,$A180)=0),"NO UPC MATCH in Release_Label",and($B180&lt;&gt;"",countif('3) Release_Label'!$E:$E,$B180)=0),"NO CATALOG ID MATCH in Release_Label",iserror(vlookup($A180&amp;$B180,'3) Release_Label'!$D:$D&amp;'3) Release_Label'!$E:$E,1,0)),"NO UPC-CATALOG ID pair MATCH in Release_Label" )</f>
        <v/>
      </c>
      <c r="D180" s="121" t="str">
        <f t="array" ref="D180">ifs(and(isblank($A180),isblank($B180)),"", not(iserror(vlookup($A180&amp;$B180,'3) Release_Label'!$D:$D&amp;'3) Release_Label'!$E:$E,1,0))),vlookup($A180&amp;$B180,{'3) Release_Label'!$D:$D&amp;'3) Release_Label'!$E:$E,'3) Release_Label'!$H:$H},2,0), or(and(not(isblank($B180)),$B180=$B179,$A180&lt;&gt;$A179),and(not(isblank($A180)),$A180=$A179,$B180&lt;&gt;$B179)),"ID LISTS UNALIGNED",and($A180&lt;&gt;"",countif('3) Release_Label'!$D:$D,$A180)=0),"NO UPC MATCH in Release_Label",and($B180&lt;&gt;"",countif('3) Release_Label'!$E:$E,$B180)=0),"NO CATALOG ID MATCH in Release_Label",iserror(vlookup($A180&amp;$B180,'3) Release_Label'!$D:$D&amp;'3) Release_Label'!$E:$E,1,0)),"NO UPC-CATALOG ID pair MATCH in Release_Label" )</f>
        <v/>
      </c>
      <c r="E180" s="141" t="str">
        <f t="shared" si="2"/>
        <v/>
      </c>
      <c r="G180" s="103"/>
      <c r="H180" s="152"/>
      <c r="J180" s="99"/>
      <c r="K180" s="104"/>
      <c r="L180" s="99"/>
      <c r="N180" s="99"/>
      <c r="O180" s="99"/>
      <c r="P180" s="34"/>
    </row>
    <row r="181">
      <c r="A181" s="100"/>
      <c r="B181" s="103"/>
      <c r="C181" s="121" t="str">
        <f t="array" ref="C181">ifs(and(isblank($A181),isblank($B181)),"", not(iserror(vlookup($A181&amp;$B181,'3) Release_Label'!$D:$D&amp;'3) Release_Label'!$E:$E,1,0))),vlookup($A181&amp;$B181,{'3) Release_Label'!$D:$D&amp;'3) Release_Label'!$E:$E,'3) Release_Label'!$F:$F},2,0), or(and(not(isblank($B181)),$B181=$B180,$A181&lt;&gt;$A180),and(not(isblank($A181)),$A181=$A180,$B181&lt;&gt;$B180)),"ID LISTS UNALIGNED",and($A181&lt;&gt;"",countif('3) Release_Label'!$D:$D,$A181)=0),"NO UPC MATCH in Release_Label",and($B181&lt;&gt;"",countif('3) Release_Label'!$E:$E,$B181)=0),"NO CATALOG ID MATCH in Release_Label",iserror(vlookup($A181&amp;$B181,'3) Release_Label'!$D:$D&amp;'3) Release_Label'!$E:$E,1,0)),"NO UPC-CATALOG ID pair MATCH in Release_Label" )</f>
        <v/>
      </c>
      <c r="D181" s="121" t="str">
        <f t="array" ref="D181">ifs(and(isblank($A181),isblank($B181)),"", not(iserror(vlookup($A181&amp;$B181,'3) Release_Label'!$D:$D&amp;'3) Release_Label'!$E:$E,1,0))),vlookup($A181&amp;$B181,{'3) Release_Label'!$D:$D&amp;'3) Release_Label'!$E:$E,'3) Release_Label'!$H:$H},2,0), or(and(not(isblank($B181)),$B181=$B180,$A181&lt;&gt;$A180),and(not(isblank($A181)),$A181=$A180,$B181&lt;&gt;$B180)),"ID LISTS UNALIGNED",and($A181&lt;&gt;"",countif('3) Release_Label'!$D:$D,$A181)=0),"NO UPC MATCH in Release_Label",and($B181&lt;&gt;"",countif('3) Release_Label'!$E:$E,$B181)=0),"NO CATALOG ID MATCH in Release_Label",iserror(vlookup($A181&amp;$B181,'3) Release_Label'!$D:$D&amp;'3) Release_Label'!$E:$E,1,0)),"NO UPC-CATALOG ID pair MATCH in Release_Label" )</f>
        <v/>
      </c>
      <c r="E181" s="141" t="str">
        <f t="shared" si="2"/>
        <v/>
      </c>
      <c r="G181" s="103"/>
      <c r="H181" s="152"/>
      <c r="J181" s="99"/>
      <c r="K181" s="104"/>
      <c r="L181" s="99"/>
      <c r="N181" s="99"/>
      <c r="O181" s="99"/>
      <c r="P181" s="34"/>
    </row>
    <row r="182">
      <c r="A182" s="100"/>
      <c r="B182" s="103"/>
      <c r="C182" s="121" t="str">
        <f t="array" ref="C182">ifs(and(isblank($A182),isblank($B182)),"", not(iserror(vlookup($A182&amp;$B182,'3) Release_Label'!$D:$D&amp;'3) Release_Label'!$E:$E,1,0))),vlookup($A182&amp;$B182,{'3) Release_Label'!$D:$D&amp;'3) Release_Label'!$E:$E,'3) Release_Label'!$F:$F},2,0), or(and(not(isblank($B182)),$B182=$B181,$A182&lt;&gt;$A181),and(not(isblank($A182)),$A182=$A181,$B182&lt;&gt;$B181)),"ID LISTS UNALIGNED",and($A182&lt;&gt;"",countif('3) Release_Label'!$D:$D,$A182)=0),"NO UPC MATCH in Release_Label",and($B182&lt;&gt;"",countif('3) Release_Label'!$E:$E,$B182)=0),"NO CATALOG ID MATCH in Release_Label",iserror(vlookup($A182&amp;$B182,'3) Release_Label'!$D:$D&amp;'3) Release_Label'!$E:$E,1,0)),"NO UPC-CATALOG ID pair MATCH in Release_Label" )</f>
        <v/>
      </c>
      <c r="D182" s="121" t="str">
        <f t="array" ref="D182">ifs(and(isblank($A182),isblank($B182)),"", not(iserror(vlookup($A182&amp;$B182,'3) Release_Label'!$D:$D&amp;'3) Release_Label'!$E:$E,1,0))),vlookup($A182&amp;$B182,{'3) Release_Label'!$D:$D&amp;'3) Release_Label'!$E:$E,'3) Release_Label'!$H:$H},2,0), or(and(not(isblank($B182)),$B182=$B181,$A182&lt;&gt;$A181),and(not(isblank($A182)),$A182=$A181,$B182&lt;&gt;$B181)),"ID LISTS UNALIGNED",and($A182&lt;&gt;"",countif('3) Release_Label'!$D:$D,$A182)=0),"NO UPC MATCH in Release_Label",and($B182&lt;&gt;"",countif('3) Release_Label'!$E:$E,$B182)=0),"NO CATALOG ID MATCH in Release_Label",iserror(vlookup($A182&amp;$B182,'3) Release_Label'!$D:$D&amp;'3) Release_Label'!$E:$E,1,0)),"NO UPC-CATALOG ID pair MATCH in Release_Label" )</f>
        <v/>
      </c>
      <c r="E182" s="141" t="str">
        <f t="shared" si="2"/>
        <v/>
      </c>
      <c r="G182" s="103"/>
      <c r="H182" s="152"/>
      <c r="J182" s="99"/>
      <c r="K182" s="104"/>
      <c r="L182" s="99"/>
      <c r="N182" s="99"/>
      <c r="O182" s="99"/>
      <c r="P182" s="34"/>
    </row>
    <row r="183">
      <c r="A183" s="100"/>
      <c r="B183" s="103"/>
      <c r="C183" s="121" t="str">
        <f t="array" ref="C183">ifs(and(isblank($A183),isblank($B183)),"", not(iserror(vlookup($A183&amp;$B183,'3) Release_Label'!$D:$D&amp;'3) Release_Label'!$E:$E,1,0))),vlookup($A183&amp;$B183,{'3) Release_Label'!$D:$D&amp;'3) Release_Label'!$E:$E,'3) Release_Label'!$F:$F},2,0), or(and(not(isblank($B183)),$B183=$B182,$A183&lt;&gt;$A182),and(not(isblank($A183)),$A183=$A182,$B183&lt;&gt;$B182)),"ID LISTS UNALIGNED",and($A183&lt;&gt;"",countif('3) Release_Label'!$D:$D,$A183)=0),"NO UPC MATCH in Release_Label",and($B183&lt;&gt;"",countif('3) Release_Label'!$E:$E,$B183)=0),"NO CATALOG ID MATCH in Release_Label",iserror(vlookup($A183&amp;$B183,'3) Release_Label'!$D:$D&amp;'3) Release_Label'!$E:$E,1,0)),"NO UPC-CATALOG ID pair MATCH in Release_Label" )</f>
        <v/>
      </c>
      <c r="D183" s="121" t="str">
        <f t="array" ref="D183">ifs(and(isblank($A183),isblank($B183)),"", not(iserror(vlookup($A183&amp;$B183,'3) Release_Label'!$D:$D&amp;'3) Release_Label'!$E:$E,1,0))),vlookup($A183&amp;$B183,{'3) Release_Label'!$D:$D&amp;'3) Release_Label'!$E:$E,'3) Release_Label'!$H:$H},2,0), or(and(not(isblank($B183)),$B183=$B182,$A183&lt;&gt;$A182),and(not(isblank($A183)),$A183=$A182,$B183&lt;&gt;$B182)),"ID LISTS UNALIGNED",and($A183&lt;&gt;"",countif('3) Release_Label'!$D:$D,$A183)=0),"NO UPC MATCH in Release_Label",and($B183&lt;&gt;"",countif('3) Release_Label'!$E:$E,$B183)=0),"NO CATALOG ID MATCH in Release_Label",iserror(vlookup($A183&amp;$B183,'3) Release_Label'!$D:$D&amp;'3) Release_Label'!$E:$E,1,0)),"NO UPC-CATALOG ID pair MATCH in Release_Label" )</f>
        <v/>
      </c>
      <c r="E183" s="141" t="str">
        <f t="shared" si="2"/>
        <v/>
      </c>
      <c r="G183" s="103"/>
      <c r="H183" s="152"/>
      <c r="J183" s="99"/>
      <c r="K183" s="104"/>
      <c r="L183" s="99"/>
      <c r="N183" s="99"/>
      <c r="O183" s="99"/>
      <c r="P183" s="34"/>
    </row>
    <row r="184">
      <c r="A184" s="100"/>
      <c r="B184" s="103"/>
      <c r="C184" s="121" t="str">
        <f t="array" ref="C184">ifs(and(isblank($A184),isblank($B184)),"", not(iserror(vlookup($A184&amp;$B184,'3) Release_Label'!$D:$D&amp;'3) Release_Label'!$E:$E,1,0))),vlookup($A184&amp;$B184,{'3) Release_Label'!$D:$D&amp;'3) Release_Label'!$E:$E,'3) Release_Label'!$F:$F},2,0), or(and(not(isblank($B184)),$B184=$B183,$A184&lt;&gt;$A183),and(not(isblank($A184)),$A184=$A183,$B184&lt;&gt;$B183)),"ID LISTS UNALIGNED",and($A184&lt;&gt;"",countif('3) Release_Label'!$D:$D,$A184)=0),"NO UPC MATCH in Release_Label",and($B184&lt;&gt;"",countif('3) Release_Label'!$E:$E,$B184)=0),"NO CATALOG ID MATCH in Release_Label",iserror(vlookup($A184&amp;$B184,'3) Release_Label'!$D:$D&amp;'3) Release_Label'!$E:$E,1,0)),"NO UPC-CATALOG ID pair MATCH in Release_Label" )</f>
        <v/>
      </c>
      <c r="D184" s="121" t="str">
        <f t="array" ref="D184">ifs(and(isblank($A184),isblank($B184)),"", not(iserror(vlookup($A184&amp;$B184,'3) Release_Label'!$D:$D&amp;'3) Release_Label'!$E:$E,1,0))),vlookup($A184&amp;$B184,{'3) Release_Label'!$D:$D&amp;'3) Release_Label'!$E:$E,'3) Release_Label'!$H:$H},2,0), or(and(not(isblank($B184)),$B184=$B183,$A184&lt;&gt;$A183),and(not(isblank($A184)),$A184=$A183,$B184&lt;&gt;$B183)),"ID LISTS UNALIGNED",and($A184&lt;&gt;"",countif('3) Release_Label'!$D:$D,$A184)=0),"NO UPC MATCH in Release_Label",and($B184&lt;&gt;"",countif('3) Release_Label'!$E:$E,$B184)=0),"NO CATALOG ID MATCH in Release_Label",iserror(vlookup($A184&amp;$B184,'3) Release_Label'!$D:$D&amp;'3) Release_Label'!$E:$E,1,0)),"NO UPC-CATALOG ID pair MATCH in Release_Label" )</f>
        <v/>
      </c>
      <c r="E184" s="141" t="str">
        <f t="shared" si="2"/>
        <v/>
      </c>
      <c r="G184" s="103"/>
      <c r="H184" s="152"/>
      <c r="J184" s="99"/>
      <c r="K184" s="104"/>
      <c r="L184" s="99"/>
      <c r="N184" s="99"/>
      <c r="O184" s="99"/>
      <c r="P184" s="34"/>
    </row>
    <row r="185">
      <c r="A185" s="100"/>
      <c r="B185" s="103"/>
      <c r="C185" s="121" t="str">
        <f t="array" ref="C185">ifs(and(isblank($A185),isblank($B185)),"", not(iserror(vlookup($A185&amp;$B185,'3) Release_Label'!$D:$D&amp;'3) Release_Label'!$E:$E,1,0))),vlookup($A185&amp;$B185,{'3) Release_Label'!$D:$D&amp;'3) Release_Label'!$E:$E,'3) Release_Label'!$F:$F},2,0), or(and(not(isblank($B185)),$B185=$B184,$A185&lt;&gt;$A184),and(not(isblank($A185)),$A185=$A184,$B185&lt;&gt;$B184)),"ID LISTS UNALIGNED",and($A185&lt;&gt;"",countif('3) Release_Label'!$D:$D,$A185)=0),"NO UPC MATCH in Release_Label",and($B185&lt;&gt;"",countif('3) Release_Label'!$E:$E,$B185)=0),"NO CATALOG ID MATCH in Release_Label",iserror(vlookup($A185&amp;$B185,'3) Release_Label'!$D:$D&amp;'3) Release_Label'!$E:$E,1,0)),"NO UPC-CATALOG ID pair MATCH in Release_Label" )</f>
        <v/>
      </c>
      <c r="D185" s="121" t="str">
        <f t="array" ref="D185">ifs(and(isblank($A185),isblank($B185)),"", not(iserror(vlookup($A185&amp;$B185,'3) Release_Label'!$D:$D&amp;'3) Release_Label'!$E:$E,1,0))),vlookup($A185&amp;$B185,{'3) Release_Label'!$D:$D&amp;'3) Release_Label'!$E:$E,'3) Release_Label'!$H:$H},2,0), or(and(not(isblank($B185)),$B185=$B184,$A185&lt;&gt;$A184),and(not(isblank($A185)),$A185=$A184,$B185&lt;&gt;$B184)),"ID LISTS UNALIGNED",and($A185&lt;&gt;"",countif('3) Release_Label'!$D:$D,$A185)=0),"NO UPC MATCH in Release_Label",and($B185&lt;&gt;"",countif('3) Release_Label'!$E:$E,$B185)=0),"NO CATALOG ID MATCH in Release_Label",iserror(vlookup($A185&amp;$B185,'3) Release_Label'!$D:$D&amp;'3) Release_Label'!$E:$E,1,0)),"NO UPC-CATALOG ID pair MATCH in Release_Label" )</f>
        <v/>
      </c>
      <c r="E185" s="141" t="str">
        <f t="shared" si="2"/>
        <v/>
      </c>
      <c r="G185" s="103"/>
      <c r="H185" s="152"/>
      <c r="J185" s="99"/>
      <c r="K185" s="104"/>
      <c r="L185" s="99"/>
      <c r="N185" s="99"/>
      <c r="O185" s="99"/>
      <c r="P185" s="34"/>
    </row>
    <row r="186">
      <c r="A186" s="100"/>
      <c r="B186" s="103"/>
      <c r="C186" s="121" t="str">
        <f t="array" ref="C186">ifs(and(isblank($A186),isblank($B186)),"", not(iserror(vlookup($A186&amp;$B186,'3) Release_Label'!$D:$D&amp;'3) Release_Label'!$E:$E,1,0))),vlookup($A186&amp;$B186,{'3) Release_Label'!$D:$D&amp;'3) Release_Label'!$E:$E,'3) Release_Label'!$F:$F},2,0), or(and(not(isblank($B186)),$B186=$B185,$A186&lt;&gt;$A185),and(not(isblank($A186)),$A186=$A185,$B186&lt;&gt;$B185)),"ID LISTS UNALIGNED",and($A186&lt;&gt;"",countif('3) Release_Label'!$D:$D,$A186)=0),"NO UPC MATCH in Release_Label",and($B186&lt;&gt;"",countif('3) Release_Label'!$E:$E,$B186)=0),"NO CATALOG ID MATCH in Release_Label",iserror(vlookup($A186&amp;$B186,'3) Release_Label'!$D:$D&amp;'3) Release_Label'!$E:$E,1,0)),"NO UPC-CATALOG ID pair MATCH in Release_Label" )</f>
        <v/>
      </c>
      <c r="D186" s="121" t="str">
        <f t="array" ref="D186">ifs(and(isblank($A186),isblank($B186)),"", not(iserror(vlookup($A186&amp;$B186,'3) Release_Label'!$D:$D&amp;'3) Release_Label'!$E:$E,1,0))),vlookup($A186&amp;$B186,{'3) Release_Label'!$D:$D&amp;'3) Release_Label'!$E:$E,'3) Release_Label'!$H:$H},2,0), or(and(not(isblank($B186)),$B186=$B185,$A186&lt;&gt;$A185),and(not(isblank($A186)),$A186=$A185,$B186&lt;&gt;$B185)),"ID LISTS UNALIGNED",and($A186&lt;&gt;"",countif('3) Release_Label'!$D:$D,$A186)=0),"NO UPC MATCH in Release_Label",and($B186&lt;&gt;"",countif('3) Release_Label'!$E:$E,$B186)=0),"NO CATALOG ID MATCH in Release_Label",iserror(vlookup($A186&amp;$B186,'3) Release_Label'!$D:$D&amp;'3) Release_Label'!$E:$E,1,0)),"NO UPC-CATALOG ID pair MATCH in Release_Label" )</f>
        <v/>
      </c>
      <c r="E186" s="141" t="str">
        <f t="shared" si="2"/>
        <v/>
      </c>
      <c r="G186" s="103"/>
      <c r="H186" s="152"/>
      <c r="J186" s="99"/>
      <c r="K186" s="104"/>
      <c r="L186" s="99"/>
      <c r="N186" s="99"/>
      <c r="O186" s="99"/>
      <c r="P186" s="34"/>
    </row>
    <row r="187">
      <c r="A187" s="100"/>
      <c r="B187" s="103"/>
      <c r="C187" s="121" t="str">
        <f t="array" ref="C187">ifs(and(isblank($A187),isblank($B187)),"", not(iserror(vlookup($A187&amp;$B187,'3) Release_Label'!$D:$D&amp;'3) Release_Label'!$E:$E,1,0))),vlookup($A187&amp;$B187,{'3) Release_Label'!$D:$D&amp;'3) Release_Label'!$E:$E,'3) Release_Label'!$F:$F},2,0), or(and(not(isblank($B187)),$B187=$B186,$A187&lt;&gt;$A186),and(not(isblank($A187)),$A187=$A186,$B187&lt;&gt;$B186)),"ID LISTS UNALIGNED",and($A187&lt;&gt;"",countif('3) Release_Label'!$D:$D,$A187)=0),"NO UPC MATCH in Release_Label",and($B187&lt;&gt;"",countif('3) Release_Label'!$E:$E,$B187)=0),"NO CATALOG ID MATCH in Release_Label",iserror(vlookup($A187&amp;$B187,'3) Release_Label'!$D:$D&amp;'3) Release_Label'!$E:$E,1,0)),"NO UPC-CATALOG ID pair MATCH in Release_Label" )</f>
        <v/>
      </c>
      <c r="D187" s="121" t="str">
        <f t="array" ref="D187">ifs(and(isblank($A187),isblank($B187)),"", not(iserror(vlookup($A187&amp;$B187,'3) Release_Label'!$D:$D&amp;'3) Release_Label'!$E:$E,1,0))),vlookup($A187&amp;$B187,{'3) Release_Label'!$D:$D&amp;'3) Release_Label'!$E:$E,'3) Release_Label'!$H:$H},2,0), or(and(not(isblank($B187)),$B187=$B186,$A187&lt;&gt;$A186),and(not(isblank($A187)),$A187=$A186,$B187&lt;&gt;$B186)),"ID LISTS UNALIGNED",and($A187&lt;&gt;"",countif('3) Release_Label'!$D:$D,$A187)=0),"NO UPC MATCH in Release_Label",and($B187&lt;&gt;"",countif('3) Release_Label'!$E:$E,$B187)=0),"NO CATALOG ID MATCH in Release_Label",iserror(vlookup($A187&amp;$B187,'3) Release_Label'!$D:$D&amp;'3) Release_Label'!$E:$E,1,0)),"NO UPC-CATALOG ID pair MATCH in Release_Label" )</f>
        <v/>
      </c>
      <c r="E187" s="141" t="str">
        <f t="shared" si="2"/>
        <v/>
      </c>
      <c r="G187" s="103"/>
      <c r="H187" s="152"/>
      <c r="J187" s="99"/>
      <c r="K187" s="104"/>
      <c r="L187" s="99"/>
      <c r="N187" s="99"/>
      <c r="O187" s="99"/>
      <c r="P187" s="34"/>
    </row>
    <row r="188">
      <c r="A188" s="100"/>
      <c r="B188" s="103"/>
      <c r="C188" s="121" t="str">
        <f t="array" ref="C188">ifs(and(isblank($A188),isblank($B188)),"", not(iserror(vlookup($A188&amp;$B188,'3) Release_Label'!$D:$D&amp;'3) Release_Label'!$E:$E,1,0))),vlookup($A188&amp;$B188,{'3) Release_Label'!$D:$D&amp;'3) Release_Label'!$E:$E,'3) Release_Label'!$F:$F},2,0), or(and(not(isblank($B188)),$B188=$B187,$A188&lt;&gt;$A187),and(not(isblank($A188)),$A188=$A187,$B188&lt;&gt;$B187)),"ID LISTS UNALIGNED",and($A188&lt;&gt;"",countif('3) Release_Label'!$D:$D,$A188)=0),"NO UPC MATCH in Release_Label",and($B188&lt;&gt;"",countif('3) Release_Label'!$E:$E,$B188)=0),"NO CATALOG ID MATCH in Release_Label",iserror(vlookup($A188&amp;$B188,'3) Release_Label'!$D:$D&amp;'3) Release_Label'!$E:$E,1,0)),"NO UPC-CATALOG ID pair MATCH in Release_Label" )</f>
        <v/>
      </c>
      <c r="D188" s="121" t="str">
        <f t="array" ref="D188">ifs(and(isblank($A188),isblank($B188)),"", not(iserror(vlookup($A188&amp;$B188,'3) Release_Label'!$D:$D&amp;'3) Release_Label'!$E:$E,1,0))),vlookup($A188&amp;$B188,{'3) Release_Label'!$D:$D&amp;'3) Release_Label'!$E:$E,'3) Release_Label'!$H:$H},2,0), or(and(not(isblank($B188)),$B188=$B187,$A188&lt;&gt;$A187),and(not(isblank($A188)),$A188=$A187,$B188&lt;&gt;$B187)),"ID LISTS UNALIGNED",and($A188&lt;&gt;"",countif('3) Release_Label'!$D:$D,$A188)=0),"NO UPC MATCH in Release_Label",and($B188&lt;&gt;"",countif('3) Release_Label'!$E:$E,$B188)=0),"NO CATALOG ID MATCH in Release_Label",iserror(vlookup($A188&amp;$B188,'3) Release_Label'!$D:$D&amp;'3) Release_Label'!$E:$E,1,0)),"NO UPC-CATALOG ID pair MATCH in Release_Label" )</f>
        <v/>
      </c>
      <c r="E188" s="141" t="str">
        <f t="shared" si="2"/>
        <v/>
      </c>
      <c r="G188" s="103"/>
      <c r="H188" s="152"/>
      <c r="J188" s="99"/>
      <c r="K188" s="104"/>
      <c r="L188" s="99"/>
      <c r="N188" s="99"/>
      <c r="O188" s="99"/>
      <c r="P188" s="34"/>
    </row>
    <row r="189">
      <c r="A189" s="100"/>
      <c r="B189" s="103"/>
      <c r="C189" s="121" t="str">
        <f t="array" ref="C189">ifs(and(isblank($A189),isblank($B189)),"", not(iserror(vlookup($A189&amp;$B189,'3) Release_Label'!$D:$D&amp;'3) Release_Label'!$E:$E,1,0))),vlookup($A189&amp;$B189,{'3) Release_Label'!$D:$D&amp;'3) Release_Label'!$E:$E,'3) Release_Label'!$F:$F},2,0), or(and(not(isblank($B189)),$B189=$B188,$A189&lt;&gt;$A188),and(not(isblank($A189)),$A189=$A188,$B189&lt;&gt;$B188)),"ID LISTS UNALIGNED",and($A189&lt;&gt;"",countif('3) Release_Label'!$D:$D,$A189)=0),"NO UPC MATCH in Release_Label",and($B189&lt;&gt;"",countif('3) Release_Label'!$E:$E,$B189)=0),"NO CATALOG ID MATCH in Release_Label",iserror(vlookup($A189&amp;$B189,'3) Release_Label'!$D:$D&amp;'3) Release_Label'!$E:$E,1,0)),"NO UPC-CATALOG ID pair MATCH in Release_Label" )</f>
        <v/>
      </c>
      <c r="D189" s="121" t="str">
        <f t="array" ref="D189">ifs(and(isblank($A189),isblank($B189)),"", not(iserror(vlookup($A189&amp;$B189,'3) Release_Label'!$D:$D&amp;'3) Release_Label'!$E:$E,1,0))),vlookup($A189&amp;$B189,{'3) Release_Label'!$D:$D&amp;'3) Release_Label'!$E:$E,'3) Release_Label'!$H:$H},2,0), or(and(not(isblank($B189)),$B189=$B188,$A189&lt;&gt;$A188),and(not(isblank($A189)),$A189=$A188,$B189&lt;&gt;$B188)),"ID LISTS UNALIGNED",and($A189&lt;&gt;"",countif('3) Release_Label'!$D:$D,$A189)=0),"NO UPC MATCH in Release_Label",and($B189&lt;&gt;"",countif('3) Release_Label'!$E:$E,$B189)=0),"NO CATALOG ID MATCH in Release_Label",iserror(vlookup($A189&amp;$B189,'3) Release_Label'!$D:$D&amp;'3) Release_Label'!$E:$E,1,0)),"NO UPC-CATALOG ID pair MATCH in Release_Label" )</f>
        <v/>
      </c>
      <c r="E189" s="141" t="str">
        <f t="shared" si="2"/>
        <v/>
      </c>
      <c r="G189" s="103"/>
      <c r="H189" s="152"/>
      <c r="J189" s="99"/>
      <c r="K189" s="104"/>
      <c r="L189" s="99"/>
      <c r="N189" s="99"/>
      <c r="O189" s="99"/>
      <c r="P189" s="34"/>
    </row>
    <row r="190">
      <c r="A190" s="100"/>
      <c r="B190" s="103"/>
      <c r="C190" s="121" t="str">
        <f t="array" ref="C190">ifs(and(isblank($A190),isblank($B190)),"", not(iserror(vlookup($A190&amp;$B190,'3) Release_Label'!$D:$D&amp;'3) Release_Label'!$E:$E,1,0))),vlookup($A190&amp;$B190,{'3) Release_Label'!$D:$D&amp;'3) Release_Label'!$E:$E,'3) Release_Label'!$F:$F},2,0), or(and(not(isblank($B190)),$B190=$B189,$A190&lt;&gt;$A189),and(not(isblank($A190)),$A190=$A189,$B190&lt;&gt;$B189)),"ID LISTS UNALIGNED",and($A190&lt;&gt;"",countif('3) Release_Label'!$D:$D,$A190)=0),"NO UPC MATCH in Release_Label",and($B190&lt;&gt;"",countif('3) Release_Label'!$E:$E,$B190)=0),"NO CATALOG ID MATCH in Release_Label",iserror(vlookup($A190&amp;$B190,'3) Release_Label'!$D:$D&amp;'3) Release_Label'!$E:$E,1,0)),"NO UPC-CATALOG ID pair MATCH in Release_Label" )</f>
        <v/>
      </c>
      <c r="D190" s="121" t="str">
        <f t="array" ref="D190">ifs(and(isblank($A190),isblank($B190)),"", not(iserror(vlookup($A190&amp;$B190,'3) Release_Label'!$D:$D&amp;'3) Release_Label'!$E:$E,1,0))),vlookup($A190&amp;$B190,{'3) Release_Label'!$D:$D&amp;'3) Release_Label'!$E:$E,'3) Release_Label'!$H:$H},2,0), or(and(not(isblank($B190)),$B190=$B189,$A190&lt;&gt;$A189),and(not(isblank($A190)),$A190=$A189,$B190&lt;&gt;$B189)),"ID LISTS UNALIGNED",and($A190&lt;&gt;"",countif('3) Release_Label'!$D:$D,$A190)=0),"NO UPC MATCH in Release_Label",and($B190&lt;&gt;"",countif('3) Release_Label'!$E:$E,$B190)=0),"NO CATALOG ID MATCH in Release_Label",iserror(vlookup($A190&amp;$B190,'3) Release_Label'!$D:$D&amp;'3) Release_Label'!$E:$E,1,0)),"NO UPC-CATALOG ID pair MATCH in Release_Label" )</f>
        <v/>
      </c>
      <c r="E190" s="141" t="str">
        <f t="shared" si="2"/>
        <v/>
      </c>
      <c r="G190" s="103"/>
      <c r="H190" s="152"/>
      <c r="J190" s="99"/>
      <c r="K190" s="104"/>
      <c r="L190" s="99"/>
      <c r="N190" s="99"/>
      <c r="O190" s="99"/>
      <c r="P190" s="34"/>
    </row>
    <row r="191">
      <c r="A191" s="100"/>
      <c r="B191" s="103"/>
      <c r="C191" s="121" t="str">
        <f t="array" ref="C191">ifs(and(isblank($A191),isblank($B191)),"", not(iserror(vlookup($A191&amp;$B191,'3) Release_Label'!$D:$D&amp;'3) Release_Label'!$E:$E,1,0))),vlookup($A191&amp;$B191,{'3) Release_Label'!$D:$D&amp;'3) Release_Label'!$E:$E,'3) Release_Label'!$F:$F},2,0), or(and(not(isblank($B191)),$B191=$B190,$A191&lt;&gt;$A190),and(not(isblank($A191)),$A191=$A190,$B191&lt;&gt;$B190)),"ID LISTS UNALIGNED",and($A191&lt;&gt;"",countif('3) Release_Label'!$D:$D,$A191)=0),"NO UPC MATCH in Release_Label",and($B191&lt;&gt;"",countif('3) Release_Label'!$E:$E,$B191)=0),"NO CATALOG ID MATCH in Release_Label",iserror(vlookup($A191&amp;$B191,'3) Release_Label'!$D:$D&amp;'3) Release_Label'!$E:$E,1,0)),"NO UPC-CATALOG ID pair MATCH in Release_Label" )</f>
        <v/>
      </c>
      <c r="D191" s="121" t="str">
        <f t="array" ref="D191">ifs(and(isblank($A191),isblank($B191)),"", not(iserror(vlookup($A191&amp;$B191,'3) Release_Label'!$D:$D&amp;'3) Release_Label'!$E:$E,1,0))),vlookup($A191&amp;$B191,{'3) Release_Label'!$D:$D&amp;'3) Release_Label'!$E:$E,'3) Release_Label'!$H:$H},2,0), or(and(not(isblank($B191)),$B191=$B190,$A191&lt;&gt;$A190),and(not(isblank($A191)),$A191=$A190,$B191&lt;&gt;$B190)),"ID LISTS UNALIGNED",and($A191&lt;&gt;"",countif('3) Release_Label'!$D:$D,$A191)=0),"NO UPC MATCH in Release_Label",and($B191&lt;&gt;"",countif('3) Release_Label'!$E:$E,$B191)=0),"NO CATALOG ID MATCH in Release_Label",iserror(vlookup($A191&amp;$B191,'3) Release_Label'!$D:$D&amp;'3) Release_Label'!$E:$E,1,0)),"NO UPC-CATALOG ID pair MATCH in Release_Label" )</f>
        <v/>
      </c>
      <c r="E191" s="141" t="str">
        <f t="shared" si="2"/>
        <v/>
      </c>
      <c r="G191" s="103"/>
      <c r="H191" s="152"/>
      <c r="J191" s="99"/>
      <c r="K191" s="104"/>
      <c r="L191" s="99"/>
      <c r="N191" s="99"/>
      <c r="O191" s="99"/>
      <c r="P191" s="34"/>
    </row>
    <row r="192">
      <c r="A192" s="100"/>
      <c r="B192" s="103"/>
      <c r="C192" s="121" t="str">
        <f t="array" ref="C192">ifs(and(isblank($A192),isblank($B192)),"", not(iserror(vlookup($A192&amp;$B192,'3) Release_Label'!$D:$D&amp;'3) Release_Label'!$E:$E,1,0))),vlookup($A192&amp;$B192,{'3) Release_Label'!$D:$D&amp;'3) Release_Label'!$E:$E,'3) Release_Label'!$F:$F},2,0), or(and(not(isblank($B192)),$B192=$B191,$A192&lt;&gt;$A191),and(not(isblank($A192)),$A192=$A191,$B192&lt;&gt;$B191)),"ID LISTS UNALIGNED",and($A192&lt;&gt;"",countif('3) Release_Label'!$D:$D,$A192)=0),"NO UPC MATCH in Release_Label",and($B192&lt;&gt;"",countif('3) Release_Label'!$E:$E,$B192)=0),"NO CATALOG ID MATCH in Release_Label",iserror(vlookup($A192&amp;$B192,'3) Release_Label'!$D:$D&amp;'3) Release_Label'!$E:$E,1,0)),"NO UPC-CATALOG ID pair MATCH in Release_Label" )</f>
        <v/>
      </c>
      <c r="D192" s="121" t="str">
        <f t="array" ref="D192">ifs(and(isblank($A192),isblank($B192)),"", not(iserror(vlookup($A192&amp;$B192,'3) Release_Label'!$D:$D&amp;'3) Release_Label'!$E:$E,1,0))),vlookup($A192&amp;$B192,{'3) Release_Label'!$D:$D&amp;'3) Release_Label'!$E:$E,'3) Release_Label'!$H:$H},2,0), or(and(not(isblank($B192)),$B192=$B191,$A192&lt;&gt;$A191),and(not(isblank($A192)),$A192=$A191,$B192&lt;&gt;$B191)),"ID LISTS UNALIGNED",and($A192&lt;&gt;"",countif('3) Release_Label'!$D:$D,$A192)=0),"NO UPC MATCH in Release_Label",and($B192&lt;&gt;"",countif('3) Release_Label'!$E:$E,$B192)=0),"NO CATALOG ID MATCH in Release_Label",iserror(vlookup($A192&amp;$B192,'3) Release_Label'!$D:$D&amp;'3) Release_Label'!$E:$E,1,0)),"NO UPC-CATALOG ID pair MATCH in Release_Label" )</f>
        <v/>
      </c>
      <c r="E192" s="141" t="str">
        <f t="shared" si="2"/>
        <v/>
      </c>
      <c r="G192" s="103"/>
      <c r="H192" s="152"/>
      <c r="J192" s="99"/>
      <c r="K192" s="104"/>
      <c r="L192" s="99"/>
      <c r="N192" s="99"/>
      <c r="O192" s="99"/>
      <c r="P192" s="34"/>
    </row>
    <row r="193">
      <c r="A193" s="100"/>
      <c r="B193" s="103"/>
      <c r="C193" s="121" t="str">
        <f t="array" ref="C193">ifs(and(isblank($A193),isblank($B193)),"", not(iserror(vlookup($A193&amp;$B193,'3) Release_Label'!$D:$D&amp;'3) Release_Label'!$E:$E,1,0))),vlookup($A193&amp;$B193,{'3) Release_Label'!$D:$D&amp;'3) Release_Label'!$E:$E,'3) Release_Label'!$F:$F},2,0), or(and(not(isblank($B193)),$B193=$B192,$A193&lt;&gt;$A192),and(not(isblank($A193)),$A193=$A192,$B193&lt;&gt;$B192)),"ID LISTS UNALIGNED",and($A193&lt;&gt;"",countif('3) Release_Label'!$D:$D,$A193)=0),"NO UPC MATCH in Release_Label",and($B193&lt;&gt;"",countif('3) Release_Label'!$E:$E,$B193)=0),"NO CATALOG ID MATCH in Release_Label",iserror(vlookup($A193&amp;$B193,'3) Release_Label'!$D:$D&amp;'3) Release_Label'!$E:$E,1,0)),"NO UPC-CATALOG ID pair MATCH in Release_Label" )</f>
        <v/>
      </c>
      <c r="D193" s="121" t="str">
        <f t="array" ref="D193">ifs(and(isblank($A193),isblank($B193)),"", not(iserror(vlookup($A193&amp;$B193,'3) Release_Label'!$D:$D&amp;'3) Release_Label'!$E:$E,1,0))),vlookup($A193&amp;$B193,{'3) Release_Label'!$D:$D&amp;'3) Release_Label'!$E:$E,'3) Release_Label'!$H:$H},2,0), or(and(not(isblank($B193)),$B193=$B192,$A193&lt;&gt;$A192),and(not(isblank($A193)),$A193=$A192,$B193&lt;&gt;$B192)),"ID LISTS UNALIGNED",and($A193&lt;&gt;"",countif('3) Release_Label'!$D:$D,$A193)=0),"NO UPC MATCH in Release_Label",and($B193&lt;&gt;"",countif('3) Release_Label'!$E:$E,$B193)=0),"NO CATALOG ID MATCH in Release_Label",iserror(vlookup($A193&amp;$B193,'3) Release_Label'!$D:$D&amp;'3) Release_Label'!$E:$E,1,0)),"NO UPC-CATALOG ID pair MATCH in Release_Label" )</f>
        <v/>
      </c>
      <c r="E193" s="141" t="str">
        <f t="shared" si="2"/>
        <v/>
      </c>
      <c r="G193" s="103"/>
      <c r="H193" s="152"/>
      <c r="J193" s="99"/>
      <c r="K193" s="104"/>
      <c r="L193" s="99"/>
      <c r="N193" s="99"/>
      <c r="O193" s="99"/>
      <c r="P193" s="34"/>
    </row>
    <row r="194">
      <c r="A194" s="100"/>
      <c r="B194" s="103"/>
      <c r="C194" s="121" t="str">
        <f t="array" ref="C194">ifs(and(isblank($A194),isblank($B194)),"", not(iserror(vlookup($A194&amp;$B194,'3) Release_Label'!$D:$D&amp;'3) Release_Label'!$E:$E,1,0))),vlookup($A194&amp;$B194,{'3) Release_Label'!$D:$D&amp;'3) Release_Label'!$E:$E,'3) Release_Label'!$F:$F},2,0), or(and(not(isblank($B194)),$B194=$B193,$A194&lt;&gt;$A193),and(not(isblank($A194)),$A194=$A193,$B194&lt;&gt;$B193)),"ID LISTS UNALIGNED",and($A194&lt;&gt;"",countif('3) Release_Label'!$D:$D,$A194)=0),"NO UPC MATCH in Release_Label",and($B194&lt;&gt;"",countif('3) Release_Label'!$E:$E,$B194)=0),"NO CATALOG ID MATCH in Release_Label",iserror(vlookup($A194&amp;$B194,'3) Release_Label'!$D:$D&amp;'3) Release_Label'!$E:$E,1,0)),"NO UPC-CATALOG ID pair MATCH in Release_Label" )</f>
        <v/>
      </c>
      <c r="D194" s="121" t="str">
        <f t="array" ref="D194">ifs(and(isblank($A194),isblank($B194)),"", not(iserror(vlookup($A194&amp;$B194,'3) Release_Label'!$D:$D&amp;'3) Release_Label'!$E:$E,1,0))),vlookup($A194&amp;$B194,{'3) Release_Label'!$D:$D&amp;'3) Release_Label'!$E:$E,'3) Release_Label'!$H:$H},2,0), or(and(not(isblank($B194)),$B194=$B193,$A194&lt;&gt;$A193),and(not(isblank($A194)),$A194=$A193,$B194&lt;&gt;$B193)),"ID LISTS UNALIGNED",and($A194&lt;&gt;"",countif('3) Release_Label'!$D:$D,$A194)=0),"NO UPC MATCH in Release_Label",and($B194&lt;&gt;"",countif('3) Release_Label'!$E:$E,$B194)=0),"NO CATALOG ID MATCH in Release_Label",iserror(vlookup($A194&amp;$B194,'3) Release_Label'!$D:$D&amp;'3) Release_Label'!$E:$E,1,0)),"NO UPC-CATALOG ID pair MATCH in Release_Label" )</f>
        <v/>
      </c>
      <c r="E194" s="141" t="str">
        <f t="shared" si="2"/>
        <v/>
      </c>
      <c r="G194" s="103"/>
      <c r="H194" s="152"/>
      <c r="J194" s="99"/>
      <c r="K194" s="104"/>
      <c r="L194" s="99"/>
      <c r="N194" s="99"/>
      <c r="O194" s="99"/>
      <c r="P194" s="34"/>
    </row>
    <row r="195">
      <c r="A195" s="100"/>
      <c r="B195" s="103"/>
      <c r="C195" s="121" t="str">
        <f t="array" ref="C195">ifs(and(isblank($A195),isblank($B195)),"", not(iserror(vlookup($A195&amp;$B195,'3) Release_Label'!$D:$D&amp;'3) Release_Label'!$E:$E,1,0))),vlookup($A195&amp;$B195,{'3) Release_Label'!$D:$D&amp;'3) Release_Label'!$E:$E,'3) Release_Label'!$F:$F},2,0), or(and(not(isblank($B195)),$B195=$B194,$A195&lt;&gt;$A194),and(not(isblank($A195)),$A195=$A194,$B195&lt;&gt;$B194)),"ID LISTS UNALIGNED",and($A195&lt;&gt;"",countif('3) Release_Label'!$D:$D,$A195)=0),"NO UPC MATCH in Release_Label",and($B195&lt;&gt;"",countif('3) Release_Label'!$E:$E,$B195)=0),"NO CATALOG ID MATCH in Release_Label",iserror(vlookup($A195&amp;$B195,'3) Release_Label'!$D:$D&amp;'3) Release_Label'!$E:$E,1,0)),"NO UPC-CATALOG ID pair MATCH in Release_Label" )</f>
        <v/>
      </c>
      <c r="D195" s="121" t="str">
        <f t="array" ref="D195">ifs(and(isblank($A195),isblank($B195)),"", not(iserror(vlookup($A195&amp;$B195,'3) Release_Label'!$D:$D&amp;'3) Release_Label'!$E:$E,1,0))),vlookup($A195&amp;$B195,{'3) Release_Label'!$D:$D&amp;'3) Release_Label'!$E:$E,'3) Release_Label'!$H:$H},2,0), or(and(not(isblank($B195)),$B195=$B194,$A195&lt;&gt;$A194),and(not(isblank($A195)),$A195=$A194,$B195&lt;&gt;$B194)),"ID LISTS UNALIGNED",and($A195&lt;&gt;"",countif('3) Release_Label'!$D:$D,$A195)=0),"NO UPC MATCH in Release_Label",and($B195&lt;&gt;"",countif('3) Release_Label'!$E:$E,$B195)=0),"NO CATALOG ID MATCH in Release_Label",iserror(vlookup($A195&amp;$B195,'3) Release_Label'!$D:$D&amp;'3) Release_Label'!$E:$E,1,0)),"NO UPC-CATALOG ID pair MATCH in Release_Label" )</f>
        <v/>
      </c>
      <c r="E195" s="141" t="str">
        <f t="shared" si="2"/>
        <v/>
      </c>
      <c r="G195" s="103"/>
      <c r="H195" s="152"/>
      <c r="J195" s="99"/>
      <c r="K195" s="104"/>
      <c r="L195" s="99"/>
      <c r="N195" s="99"/>
      <c r="O195" s="99"/>
      <c r="P195" s="34"/>
    </row>
    <row r="196">
      <c r="A196" s="100"/>
      <c r="B196" s="103"/>
      <c r="C196" s="121" t="str">
        <f t="array" ref="C196">ifs(and(isblank($A196),isblank($B196)),"", not(iserror(vlookup($A196&amp;$B196,'3) Release_Label'!$D:$D&amp;'3) Release_Label'!$E:$E,1,0))),vlookup($A196&amp;$B196,{'3) Release_Label'!$D:$D&amp;'3) Release_Label'!$E:$E,'3) Release_Label'!$F:$F},2,0), or(and(not(isblank($B196)),$B196=$B195,$A196&lt;&gt;$A195),and(not(isblank($A196)),$A196=$A195,$B196&lt;&gt;$B195)),"ID LISTS UNALIGNED",and($A196&lt;&gt;"",countif('3) Release_Label'!$D:$D,$A196)=0),"NO UPC MATCH in Release_Label",and($B196&lt;&gt;"",countif('3) Release_Label'!$E:$E,$B196)=0),"NO CATALOG ID MATCH in Release_Label",iserror(vlookup($A196&amp;$B196,'3) Release_Label'!$D:$D&amp;'3) Release_Label'!$E:$E,1,0)),"NO UPC-CATALOG ID pair MATCH in Release_Label" )</f>
        <v/>
      </c>
      <c r="D196" s="121" t="str">
        <f t="array" ref="D196">ifs(and(isblank($A196),isblank($B196)),"", not(iserror(vlookup($A196&amp;$B196,'3) Release_Label'!$D:$D&amp;'3) Release_Label'!$E:$E,1,0))),vlookup($A196&amp;$B196,{'3) Release_Label'!$D:$D&amp;'3) Release_Label'!$E:$E,'3) Release_Label'!$H:$H},2,0), or(and(not(isblank($B196)),$B196=$B195,$A196&lt;&gt;$A195),and(not(isblank($A196)),$A196=$A195,$B196&lt;&gt;$B195)),"ID LISTS UNALIGNED",and($A196&lt;&gt;"",countif('3) Release_Label'!$D:$D,$A196)=0),"NO UPC MATCH in Release_Label",and($B196&lt;&gt;"",countif('3) Release_Label'!$E:$E,$B196)=0),"NO CATALOG ID MATCH in Release_Label",iserror(vlookup($A196&amp;$B196,'3) Release_Label'!$D:$D&amp;'3) Release_Label'!$E:$E,1,0)),"NO UPC-CATALOG ID pair MATCH in Release_Label" )</f>
        <v/>
      </c>
      <c r="E196" s="141" t="str">
        <f t="shared" si="2"/>
        <v/>
      </c>
      <c r="G196" s="103"/>
      <c r="H196" s="152"/>
      <c r="J196" s="99"/>
      <c r="K196" s="104"/>
      <c r="L196" s="99"/>
      <c r="N196" s="99"/>
      <c r="O196" s="99"/>
      <c r="P196" s="34"/>
    </row>
    <row r="197">
      <c r="A197" s="100"/>
      <c r="B197" s="103"/>
      <c r="C197" s="121" t="str">
        <f t="array" ref="C197">ifs(and(isblank($A197),isblank($B197)),"", not(iserror(vlookup($A197&amp;$B197,'3) Release_Label'!$D:$D&amp;'3) Release_Label'!$E:$E,1,0))),vlookup($A197&amp;$B197,{'3) Release_Label'!$D:$D&amp;'3) Release_Label'!$E:$E,'3) Release_Label'!$F:$F},2,0), or(and(not(isblank($B197)),$B197=$B196,$A197&lt;&gt;$A196),and(not(isblank($A197)),$A197=$A196,$B197&lt;&gt;$B196)),"ID LISTS UNALIGNED",and($A197&lt;&gt;"",countif('3) Release_Label'!$D:$D,$A197)=0),"NO UPC MATCH in Release_Label",and($B197&lt;&gt;"",countif('3) Release_Label'!$E:$E,$B197)=0),"NO CATALOG ID MATCH in Release_Label",iserror(vlookup($A197&amp;$B197,'3) Release_Label'!$D:$D&amp;'3) Release_Label'!$E:$E,1,0)),"NO UPC-CATALOG ID pair MATCH in Release_Label" )</f>
        <v/>
      </c>
      <c r="D197" s="121" t="str">
        <f t="array" ref="D197">ifs(and(isblank($A197),isblank($B197)),"", not(iserror(vlookup($A197&amp;$B197,'3) Release_Label'!$D:$D&amp;'3) Release_Label'!$E:$E,1,0))),vlookup($A197&amp;$B197,{'3) Release_Label'!$D:$D&amp;'3) Release_Label'!$E:$E,'3) Release_Label'!$H:$H},2,0), or(and(not(isblank($B197)),$B197=$B196,$A197&lt;&gt;$A196),and(not(isblank($A197)),$A197=$A196,$B197&lt;&gt;$B196)),"ID LISTS UNALIGNED",and($A197&lt;&gt;"",countif('3) Release_Label'!$D:$D,$A197)=0),"NO UPC MATCH in Release_Label",and($B197&lt;&gt;"",countif('3) Release_Label'!$E:$E,$B197)=0),"NO CATALOG ID MATCH in Release_Label",iserror(vlookup($A197&amp;$B197,'3) Release_Label'!$D:$D&amp;'3) Release_Label'!$E:$E,1,0)),"NO UPC-CATALOG ID pair MATCH in Release_Label" )</f>
        <v/>
      </c>
      <c r="E197" s="141" t="str">
        <f t="shared" si="2"/>
        <v/>
      </c>
      <c r="G197" s="103"/>
      <c r="H197" s="152"/>
      <c r="J197" s="99"/>
      <c r="K197" s="104"/>
      <c r="L197" s="99"/>
      <c r="N197" s="99"/>
      <c r="O197" s="99"/>
      <c r="P197" s="34"/>
    </row>
    <row r="198">
      <c r="A198" s="100"/>
      <c r="B198" s="103"/>
      <c r="C198" s="121" t="str">
        <f t="array" ref="C198">ifs(and(isblank($A198),isblank($B198)),"", not(iserror(vlookup($A198&amp;$B198,'3) Release_Label'!$D:$D&amp;'3) Release_Label'!$E:$E,1,0))),vlookup($A198&amp;$B198,{'3) Release_Label'!$D:$D&amp;'3) Release_Label'!$E:$E,'3) Release_Label'!$F:$F},2,0), or(and(not(isblank($B198)),$B198=$B197,$A198&lt;&gt;$A197),and(not(isblank($A198)),$A198=$A197,$B198&lt;&gt;$B197)),"ID LISTS UNALIGNED",and($A198&lt;&gt;"",countif('3) Release_Label'!$D:$D,$A198)=0),"NO UPC MATCH in Release_Label",and($B198&lt;&gt;"",countif('3) Release_Label'!$E:$E,$B198)=0),"NO CATALOG ID MATCH in Release_Label",iserror(vlookup($A198&amp;$B198,'3) Release_Label'!$D:$D&amp;'3) Release_Label'!$E:$E,1,0)),"NO UPC-CATALOG ID pair MATCH in Release_Label" )</f>
        <v/>
      </c>
      <c r="D198" s="121" t="str">
        <f t="array" ref="D198">ifs(and(isblank($A198),isblank($B198)),"", not(iserror(vlookup($A198&amp;$B198,'3) Release_Label'!$D:$D&amp;'3) Release_Label'!$E:$E,1,0))),vlookup($A198&amp;$B198,{'3) Release_Label'!$D:$D&amp;'3) Release_Label'!$E:$E,'3) Release_Label'!$H:$H},2,0), or(and(not(isblank($B198)),$B198=$B197,$A198&lt;&gt;$A197),and(not(isblank($A198)),$A198=$A197,$B198&lt;&gt;$B197)),"ID LISTS UNALIGNED",and($A198&lt;&gt;"",countif('3) Release_Label'!$D:$D,$A198)=0),"NO UPC MATCH in Release_Label",and($B198&lt;&gt;"",countif('3) Release_Label'!$E:$E,$B198)=0),"NO CATALOG ID MATCH in Release_Label",iserror(vlookup($A198&amp;$B198,'3) Release_Label'!$D:$D&amp;'3) Release_Label'!$E:$E,1,0)),"NO UPC-CATALOG ID pair MATCH in Release_Label" )</f>
        <v/>
      </c>
      <c r="E198" s="141" t="str">
        <f t="shared" si="2"/>
        <v/>
      </c>
      <c r="G198" s="103"/>
      <c r="H198" s="152"/>
      <c r="J198" s="99"/>
      <c r="K198" s="104"/>
      <c r="L198" s="99"/>
      <c r="N198" s="99"/>
      <c r="O198" s="99"/>
      <c r="P198" s="34"/>
    </row>
    <row r="199">
      <c r="A199" s="100"/>
      <c r="B199" s="103"/>
      <c r="C199" s="121" t="str">
        <f t="array" ref="C199">ifs(and(isblank($A199),isblank($B199)),"", not(iserror(vlookup($A199&amp;$B199,'3) Release_Label'!$D:$D&amp;'3) Release_Label'!$E:$E,1,0))),vlookup($A199&amp;$B199,{'3) Release_Label'!$D:$D&amp;'3) Release_Label'!$E:$E,'3) Release_Label'!$F:$F},2,0), or(and(not(isblank($B199)),$B199=$B198,$A199&lt;&gt;$A198),and(not(isblank($A199)),$A199=$A198,$B199&lt;&gt;$B198)),"ID LISTS UNALIGNED",and($A199&lt;&gt;"",countif('3) Release_Label'!$D:$D,$A199)=0),"NO UPC MATCH in Release_Label",and($B199&lt;&gt;"",countif('3) Release_Label'!$E:$E,$B199)=0),"NO CATALOG ID MATCH in Release_Label",iserror(vlookup($A199&amp;$B199,'3) Release_Label'!$D:$D&amp;'3) Release_Label'!$E:$E,1,0)),"NO UPC-CATALOG ID pair MATCH in Release_Label" )</f>
        <v/>
      </c>
      <c r="D199" s="121" t="str">
        <f t="array" ref="D199">ifs(and(isblank($A199),isblank($B199)),"", not(iserror(vlookup($A199&amp;$B199,'3) Release_Label'!$D:$D&amp;'3) Release_Label'!$E:$E,1,0))),vlookup($A199&amp;$B199,{'3) Release_Label'!$D:$D&amp;'3) Release_Label'!$E:$E,'3) Release_Label'!$H:$H},2,0), or(and(not(isblank($B199)),$B199=$B198,$A199&lt;&gt;$A198),and(not(isblank($A199)),$A199=$A198,$B199&lt;&gt;$B198)),"ID LISTS UNALIGNED",and($A199&lt;&gt;"",countif('3) Release_Label'!$D:$D,$A199)=0),"NO UPC MATCH in Release_Label",and($B199&lt;&gt;"",countif('3) Release_Label'!$E:$E,$B199)=0),"NO CATALOG ID MATCH in Release_Label",iserror(vlookup($A199&amp;$B199,'3) Release_Label'!$D:$D&amp;'3) Release_Label'!$E:$E,1,0)),"NO UPC-CATALOG ID pair MATCH in Release_Label" )</f>
        <v/>
      </c>
      <c r="E199" s="141" t="str">
        <f t="shared" si="2"/>
        <v/>
      </c>
      <c r="G199" s="103"/>
      <c r="H199" s="152"/>
      <c r="J199" s="99"/>
      <c r="K199" s="104"/>
      <c r="L199" s="99"/>
      <c r="N199" s="99"/>
      <c r="O199" s="99"/>
      <c r="P199" s="34"/>
    </row>
    <row r="200">
      <c r="A200" s="100"/>
      <c r="B200" s="103"/>
      <c r="C200" s="121" t="str">
        <f t="array" ref="C200">ifs(and(isblank($A200),isblank($B200)),"", not(iserror(vlookup($A200&amp;$B200,'3) Release_Label'!$D:$D&amp;'3) Release_Label'!$E:$E,1,0))),vlookup($A200&amp;$B200,{'3) Release_Label'!$D:$D&amp;'3) Release_Label'!$E:$E,'3) Release_Label'!$F:$F},2,0), or(and(not(isblank($B200)),$B200=$B199,$A200&lt;&gt;$A199),and(not(isblank($A200)),$A200=$A199,$B200&lt;&gt;$B199)),"ID LISTS UNALIGNED",and($A200&lt;&gt;"",countif('3) Release_Label'!$D:$D,$A200)=0),"NO UPC MATCH in Release_Label",and($B200&lt;&gt;"",countif('3) Release_Label'!$E:$E,$B200)=0),"NO CATALOG ID MATCH in Release_Label",iserror(vlookup($A200&amp;$B200,'3) Release_Label'!$D:$D&amp;'3) Release_Label'!$E:$E,1,0)),"NO UPC-CATALOG ID pair MATCH in Release_Label" )</f>
        <v/>
      </c>
      <c r="D200" s="121" t="str">
        <f t="array" ref="D200">ifs(and(isblank($A200),isblank($B200)),"", not(iserror(vlookup($A200&amp;$B200,'3) Release_Label'!$D:$D&amp;'3) Release_Label'!$E:$E,1,0))),vlookup($A200&amp;$B200,{'3) Release_Label'!$D:$D&amp;'3) Release_Label'!$E:$E,'3) Release_Label'!$H:$H},2,0), or(and(not(isblank($B200)),$B200=$B199,$A200&lt;&gt;$A199),and(not(isblank($A200)),$A200=$A199,$B200&lt;&gt;$B199)),"ID LISTS UNALIGNED",and($A200&lt;&gt;"",countif('3) Release_Label'!$D:$D,$A200)=0),"NO UPC MATCH in Release_Label",and($B200&lt;&gt;"",countif('3) Release_Label'!$E:$E,$B200)=0),"NO CATALOG ID MATCH in Release_Label",iserror(vlookup($A200&amp;$B200,'3) Release_Label'!$D:$D&amp;'3) Release_Label'!$E:$E,1,0)),"NO UPC-CATALOG ID pair MATCH in Release_Label" )</f>
        <v/>
      </c>
      <c r="E200" s="141" t="str">
        <f t="shared" si="2"/>
        <v/>
      </c>
      <c r="G200" s="103"/>
      <c r="H200" s="152"/>
      <c r="J200" s="99"/>
      <c r="K200" s="104"/>
      <c r="L200" s="99"/>
      <c r="N200" s="99"/>
      <c r="O200" s="99"/>
      <c r="P200" s="34"/>
    </row>
    <row r="201">
      <c r="A201" s="100"/>
      <c r="B201" s="103"/>
      <c r="C201" s="121" t="str">
        <f t="array" ref="C201">ifs(and(isblank($A201),isblank($B201)),"", not(iserror(vlookup($A201&amp;$B201,'3) Release_Label'!$D:$D&amp;'3) Release_Label'!$E:$E,1,0))),vlookup($A201&amp;$B201,{'3) Release_Label'!$D:$D&amp;'3) Release_Label'!$E:$E,'3) Release_Label'!$F:$F},2,0), or(and(not(isblank($B201)),$B201=$B200,$A201&lt;&gt;$A200),and(not(isblank($A201)),$A201=$A200,$B201&lt;&gt;$B200)),"ID LISTS UNALIGNED",and($A201&lt;&gt;"",countif('3) Release_Label'!$D:$D,$A201)=0),"NO UPC MATCH in Release_Label",and($B201&lt;&gt;"",countif('3) Release_Label'!$E:$E,$B201)=0),"NO CATALOG ID MATCH in Release_Label",iserror(vlookup($A201&amp;$B201,'3) Release_Label'!$D:$D&amp;'3) Release_Label'!$E:$E,1,0)),"NO UPC-CATALOG ID pair MATCH in Release_Label" )</f>
        <v/>
      </c>
      <c r="D201" s="121" t="str">
        <f t="array" ref="D201">ifs(and(isblank($A201),isblank($B201)),"", not(iserror(vlookup($A201&amp;$B201,'3) Release_Label'!$D:$D&amp;'3) Release_Label'!$E:$E,1,0))),vlookup($A201&amp;$B201,{'3) Release_Label'!$D:$D&amp;'3) Release_Label'!$E:$E,'3) Release_Label'!$H:$H},2,0), or(and(not(isblank($B201)),$B201=$B200,$A201&lt;&gt;$A200),and(not(isblank($A201)),$A201=$A200,$B201&lt;&gt;$B200)),"ID LISTS UNALIGNED",and($A201&lt;&gt;"",countif('3) Release_Label'!$D:$D,$A201)=0),"NO UPC MATCH in Release_Label",and($B201&lt;&gt;"",countif('3) Release_Label'!$E:$E,$B201)=0),"NO CATALOG ID MATCH in Release_Label",iserror(vlookup($A201&amp;$B201,'3) Release_Label'!$D:$D&amp;'3) Release_Label'!$E:$E,1,0)),"NO UPC-CATALOG ID pair MATCH in Release_Label" )</f>
        <v/>
      </c>
      <c r="E201" s="141" t="str">
        <f t="shared" si="2"/>
        <v/>
      </c>
      <c r="G201" s="103"/>
      <c r="H201" s="152"/>
      <c r="J201" s="99"/>
      <c r="K201" s="104"/>
      <c r="L201" s="99"/>
      <c r="N201" s="99"/>
      <c r="O201" s="99"/>
      <c r="P201" s="34"/>
    </row>
    <row r="202">
      <c r="A202" s="100"/>
      <c r="B202" s="103"/>
      <c r="C202" s="121" t="str">
        <f t="array" ref="C202">ifs(and(isblank($A202),isblank($B202)),"", not(iserror(vlookup($A202&amp;$B202,'3) Release_Label'!$D:$D&amp;'3) Release_Label'!$E:$E,1,0))),vlookup($A202&amp;$B202,{'3) Release_Label'!$D:$D&amp;'3) Release_Label'!$E:$E,'3) Release_Label'!$F:$F},2,0), or(and(not(isblank($B202)),$B202=$B201,$A202&lt;&gt;$A201),and(not(isblank($A202)),$A202=$A201,$B202&lt;&gt;$B201)),"ID LISTS UNALIGNED",and($A202&lt;&gt;"",countif('3) Release_Label'!$D:$D,$A202)=0),"NO UPC MATCH in Release_Label",and($B202&lt;&gt;"",countif('3) Release_Label'!$E:$E,$B202)=0),"NO CATALOG ID MATCH in Release_Label",iserror(vlookup($A202&amp;$B202,'3) Release_Label'!$D:$D&amp;'3) Release_Label'!$E:$E,1,0)),"NO UPC-CATALOG ID pair MATCH in Release_Label" )</f>
        <v/>
      </c>
      <c r="D202" s="121" t="str">
        <f t="array" ref="D202">ifs(and(isblank($A202),isblank($B202)),"", not(iserror(vlookup($A202&amp;$B202,'3) Release_Label'!$D:$D&amp;'3) Release_Label'!$E:$E,1,0))),vlookup($A202&amp;$B202,{'3) Release_Label'!$D:$D&amp;'3) Release_Label'!$E:$E,'3) Release_Label'!$H:$H},2,0), or(and(not(isblank($B202)),$B202=$B201,$A202&lt;&gt;$A201),and(not(isblank($A202)),$A202=$A201,$B202&lt;&gt;$B201)),"ID LISTS UNALIGNED",and($A202&lt;&gt;"",countif('3) Release_Label'!$D:$D,$A202)=0),"NO UPC MATCH in Release_Label",and($B202&lt;&gt;"",countif('3) Release_Label'!$E:$E,$B202)=0),"NO CATALOG ID MATCH in Release_Label",iserror(vlookup($A202&amp;$B202,'3) Release_Label'!$D:$D&amp;'3) Release_Label'!$E:$E,1,0)),"NO UPC-CATALOG ID pair MATCH in Release_Label" )</f>
        <v/>
      </c>
      <c r="E202" s="141" t="str">
        <f t="shared" si="2"/>
        <v/>
      </c>
      <c r="G202" s="103"/>
      <c r="H202" s="152"/>
      <c r="J202" s="99"/>
      <c r="K202" s="104"/>
      <c r="L202" s="99"/>
      <c r="N202" s="99"/>
      <c r="O202" s="99"/>
      <c r="P202" s="34"/>
    </row>
    <row r="203">
      <c r="A203" s="100"/>
      <c r="B203" s="103"/>
      <c r="C203" s="121" t="str">
        <f t="array" ref="C203">ifs(and(isblank($A203),isblank($B203)),"", not(iserror(vlookup($A203&amp;$B203,'3) Release_Label'!$D:$D&amp;'3) Release_Label'!$E:$E,1,0))),vlookup($A203&amp;$B203,{'3) Release_Label'!$D:$D&amp;'3) Release_Label'!$E:$E,'3) Release_Label'!$F:$F},2,0), or(and(not(isblank($B203)),$B203=$B202,$A203&lt;&gt;$A202),and(not(isblank($A203)),$A203=$A202,$B203&lt;&gt;$B202)),"ID LISTS UNALIGNED",and($A203&lt;&gt;"",countif('3) Release_Label'!$D:$D,$A203)=0),"NO UPC MATCH in Release_Label",and($B203&lt;&gt;"",countif('3) Release_Label'!$E:$E,$B203)=0),"NO CATALOG ID MATCH in Release_Label",iserror(vlookup($A203&amp;$B203,'3) Release_Label'!$D:$D&amp;'3) Release_Label'!$E:$E,1,0)),"NO UPC-CATALOG ID pair MATCH in Release_Label" )</f>
        <v/>
      </c>
      <c r="D203" s="121" t="str">
        <f t="array" ref="D203">ifs(and(isblank($A203),isblank($B203)),"", not(iserror(vlookup($A203&amp;$B203,'3) Release_Label'!$D:$D&amp;'3) Release_Label'!$E:$E,1,0))),vlookup($A203&amp;$B203,{'3) Release_Label'!$D:$D&amp;'3) Release_Label'!$E:$E,'3) Release_Label'!$H:$H},2,0), or(and(not(isblank($B203)),$B203=$B202,$A203&lt;&gt;$A202),and(not(isblank($A203)),$A203=$A202,$B203&lt;&gt;$B202)),"ID LISTS UNALIGNED",and($A203&lt;&gt;"",countif('3) Release_Label'!$D:$D,$A203)=0),"NO UPC MATCH in Release_Label",and($B203&lt;&gt;"",countif('3) Release_Label'!$E:$E,$B203)=0),"NO CATALOG ID MATCH in Release_Label",iserror(vlookup($A203&amp;$B203,'3) Release_Label'!$D:$D&amp;'3) Release_Label'!$E:$E,1,0)),"NO UPC-CATALOG ID pair MATCH in Release_Label" )</f>
        <v/>
      </c>
      <c r="E203" s="141" t="str">
        <f t="shared" si="2"/>
        <v/>
      </c>
      <c r="G203" s="103"/>
      <c r="H203" s="152"/>
      <c r="J203" s="99"/>
      <c r="K203" s="104"/>
      <c r="L203" s="99"/>
      <c r="N203" s="99"/>
      <c r="O203" s="99"/>
      <c r="P203" s="34"/>
    </row>
    <row r="204">
      <c r="A204" s="100"/>
      <c r="B204" s="103"/>
      <c r="C204" s="121" t="str">
        <f t="array" ref="C204">ifs(and(isblank($A204),isblank($B204)),"", not(iserror(vlookup($A204&amp;$B204,'3) Release_Label'!$D:$D&amp;'3) Release_Label'!$E:$E,1,0))),vlookup($A204&amp;$B204,{'3) Release_Label'!$D:$D&amp;'3) Release_Label'!$E:$E,'3) Release_Label'!$F:$F},2,0), or(and(not(isblank($B204)),$B204=$B203,$A204&lt;&gt;$A203),and(not(isblank($A204)),$A204=$A203,$B204&lt;&gt;$B203)),"ID LISTS UNALIGNED",and($A204&lt;&gt;"",countif('3) Release_Label'!$D:$D,$A204)=0),"NO UPC MATCH in Release_Label",and($B204&lt;&gt;"",countif('3) Release_Label'!$E:$E,$B204)=0),"NO CATALOG ID MATCH in Release_Label",iserror(vlookup($A204&amp;$B204,'3) Release_Label'!$D:$D&amp;'3) Release_Label'!$E:$E,1,0)),"NO UPC-CATALOG ID pair MATCH in Release_Label" )</f>
        <v/>
      </c>
      <c r="D204" s="121" t="str">
        <f t="array" ref="D204">ifs(and(isblank($A204),isblank($B204)),"", not(iserror(vlookup($A204&amp;$B204,'3) Release_Label'!$D:$D&amp;'3) Release_Label'!$E:$E,1,0))),vlookup($A204&amp;$B204,{'3) Release_Label'!$D:$D&amp;'3) Release_Label'!$E:$E,'3) Release_Label'!$H:$H},2,0), or(and(not(isblank($B204)),$B204=$B203,$A204&lt;&gt;$A203),and(not(isblank($A204)),$A204=$A203,$B204&lt;&gt;$B203)),"ID LISTS UNALIGNED",and($A204&lt;&gt;"",countif('3) Release_Label'!$D:$D,$A204)=0),"NO UPC MATCH in Release_Label",and($B204&lt;&gt;"",countif('3) Release_Label'!$E:$E,$B204)=0),"NO CATALOG ID MATCH in Release_Label",iserror(vlookup($A204&amp;$B204,'3) Release_Label'!$D:$D&amp;'3) Release_Label'!$E:$E,1,0)),"NO UPC-CATALOG ID pair MATCH in Release_Label" )</f>
        <v/>
      </c>
      <c r="E204" s="141" t="str">
        <f t="shared" si="2"/>
        <v/>
      </c>
      <c r="G204" s="103"/>
      <c r="H204" s="152"/>
      <c r="J204" s="99"/>
      <c r="K204" s="104"/>
      <c r="L204" s="99"/>
      <c r="N204" s="99"/>
      <c r="O204" s="99"/>
      <c r="P204" s="34"/>
    </row>
    <row r="205">
      <c r="A205" s="100"/>
      <c r="B205" s="103"/>
      <c r="C205" s="121" t="str">
        <f t="array" ref="C205">ifs(and(isblank($A205),isblank($B205)),"", not(iserror(vlookup($A205&amp;$B205,'3) Release_Label'!$D:$D&amp;'3) Release_Label'!$E:$E,1,0))),vlookup($A205&amp;$B205,{'3) Release_Label'!$D:$D&amp;'3) Release_Label'!$E:$E,'3) Release_Label'!$F:$F},2,0), or(and(not(isblank($B205)),$B205=$B204,$A205&lt;&gt;$A204),and(not(isblank($A205)),$A205=$A204,$B205&lt;&gt;$B204)),"ID LISTS UNALIGNED",and($A205&lt;&gt;"",countif('3) Release_Label'!$D:$D,$A205)=0),"NO UPC MATCH in Release_Label",and($B205&lt;&gt;"",countif('3) Release_Label'!$E:$E,$B205)=0),"NO CATALOG ID MATCH in Release_Label",iserror(vlookup($A205&amp;$B205,'3) Release_Label'!$D:$D&amp;'3) Release_Label'!$E:$E,1,0)),"NO UPC-CATALOG ID pair MATCH in Release_Label" )</f>
        <v/>
      </c>
      <c r="D205" s="121" t="str">
        <f t="array" ref="D205">ifs(and(isblank($A205),isblank($B205)),"", not(iserror(vlookup($A205&amp;$B205,'3) Release_Label'!$D:$D&amp;'3) Release_Label'!$E:$E,1,0))),vlookup($A205&amp;$B205,{'3) Release_Label'!$D:$D&amp;'3) Release_Label'!$E:$E,'3) Release_Label'!$H:$H},2,0), or(and(not(isblank($B205)),$B205=$B204,$A205&lt;&gt;$A204),and(not(isblank($A205)),$A205=$A204,$B205&lt;&gt;$B204)),"ID LISTS UNALIGNED",and($A205&lt;&gt;"",countif('3) Release_Label'!$D:$D,$A205)=0),"NO UPC MATCH in Release_Label",and($B205&lt;&gt;"",countif('3) Release_Label'!$E:$E,$B205)=0),"NO CATALOG ID MATCH in Release_Label",iserror(vlookup($A205&amp;$B205,'3) Release_Label'!$D:$D&amp;'3) Release_Label'!$E:$E,1,0)),"NO UPC-CATALOG ID pair MATCH in Release_Label" )</f>
        <v/>
      </c>
      <c r="E205" s="141" t="str">
        <f t="shared" si="2"/>
        <v/>
      </c>
      <c r="G205" s="103"/>
      <c r="H205" s="152"/>
      <c r="J205" s="99"/>
      <c r="K205" s="104"/>
      <c r="L205" s="99"/>
      <c r="N205" s="99"/>
      <c r="O205" s="99"/>
      <c r="P205" s="34"/>
    </row>
    <row r="206">
      <c r="A206" s="100"/>
      <c r="B206" s="103"/>
      <c r="C206" s="121" t="str">
        <f t="array" ref="C206">ifs(and(isblank($A206),isblank($B206)),"", not(iserror(vlookup($A206&amp;$B206,'3) Release_Label'!$D:$D&amp;'3) Release_Label'!$E:$E,1,0))),vlookup($A206&amp;$B206,{'3) Release_Label'!$D:$D&amp;'3) Release_Label'!$E:$E,'3) Release_Label'!$F:$F},2,0), or(and(not(isblank($B206)),$B206=$B205,$A206&lt;&gt;$A205),and(not(isblank($A206)),$A206=$A205,$B206&lt;&gt;$B205)),"ID LISTS UNALIGNED",and($A206&lt;&gt;"",countif('3) Release_Label'!$D:$D,$A206)=0),"NO UPC MATCH in Release_Label",and($B206&lt;&gt;"",countif('3) Release_Label'!$E:$E,$B206)=0),"NO CATALOG ID MATCH in Release_Label",iserror(vlookup($A206&amp;$B206,'3) Release_Label'!$D:$D&amp;'3) Release_Label'!$E:$E,1,0)),"NO UPC-CATALOG ID pair MATCH in Release_Label" )</f>
        <v/>
      </c>
      <c r="D206" s="121" t="str">
        <f t="array" ref="D206">ifs(and(isblank($A206),isblank($B206)),"", not(iserror(vlookup($A206&amp;$B206,'3) Release_Label'!$D:$D&amp;'3) Release_Label'!$E:$E,1,0))),vlookup($A206&amp;$B206,{'3) Release_Label'!$D:$D&amp;'3) Release_Label'!$E:$E,'3) Release_Label'!$H:$H},2,0), or(and(not(isblank($B206)),$B206=$B205,$A206&lt;&gt;$A205),and(not(isblank($A206)),$A206=$A205,$B206&lt;&gt;$B205)),"ID LISTS UNALIGNED",and($A206&lt;&gt;"",countif('3) Release_Label'!$D:$D,$A206)=0),"NO UPC MATCH in Release_Label",and($B206&lt;&gt;"",countif('3) Release_Label'!$E:$E,$B206)=0),"NO CATALOG ID MATCH in Release_Label",iserror(vlookup($A206&amp;$B206,'3) Release_Label'!$D:$D&amp;'3) Release_Label'!$E:$E,1,0)),"NO UPC-CATALOG ID pair MATCH in Release_Label" )</f>
        <v/>
      </c>
      <c r="E206" s="141" t="str">
        <f t="shared" si="2"/>
        <v/>
      </c>
      <c r="G206" s="103"/>
      <c r="H206" s="152"/>
      <c r="J206" s="99"/>
      <c r="K206" s="104"/>
      <c r="L206" s="99"/>
      <c r="N206" s="99"/>
      <c r="O206" s="99"/>
      <c r="P206" s="34"/>
    </row>
    <row r="207">
      <c r="A207" s="100"/>
      <c r="B207" s="103"/>
      <c r="C207" s="121" t="str">
        <f t="array" ref="C207">ifs(and(isblank($A207),isblank($B207)),"", not(iserror(vlookup($A207&amp;$B207,'3) Release_Label'!$D:$D&amp;'3) Release_Label'!$E:$E,1,0))),vlookup($A207&amp;$B207,{'3) Release_Label'!$D:$D&amp;'3) Release_Label'!$E:$E,'3) Release_Label'!$F:$F},2,0), or(and(not(isblank($B207)),$B207=$B206,$A207&lt;&gt;$A206),and(not(isblank($A207)),$A207=$A206,$B207&lt;&gt;$B206)),"ID LISTS UNALIGNED",and($A207&lt;&gt;"",countif('3) Release_Label'!$D:$D,$A207)=0),"NO UPC MATCH in Release_Label",and($B207&lt;&gt;"",countif('3) Release_Label'!$E:$E,$B207)=0),"NO CATALOG ID MATCH in Release_Label",iserror(vlookup($A207&amp;$B207,'3) Release_Label'!$D:$D&amp;'3) Release_Label'!$E:$E,1,0)),"NO UPC-CATALOG ID pair MATCH in Release_Label" )</f>
        <v/>
      </c>
      <c r="D207" s="121" t="str">
        <f t="array" ref="D207">ifs(and(isblank($A207),isblank($B207)),"", not(iserror(vlookup($A207&amp;$B207,'3) Release_Label'!$D:$D&amp;'3) Release_Label'!$E:$E,1,0))),vlookup($A207&amp;$B207,{'3) Release_Label'!$D:$D&amp;'3) Release_Label'!$E:$E,'3) Release_Label'!$H:$H},2,0), or(and(not(isblank($B207)),$B207=$B206,$A207&lt;&gt;$A206),and(not(isblank($A207)),$A207=$A206,$B207&lt;&gt;$B206)),"ID LISTS UNALIGNED",and($A207&lt;&gt;"",countif('3) Release_Label'!$D:$D,$A207)=0),"NO UPC MATCH in Release_Label",and($B207&lt;&gt;"",countif('3) Release_Label'!$E:$E,$B207)=0),"NO CATALOG ID MATCH in Release_Label",iserror(vlookup($A207&amp;$B207,'3) Release_Label'!$D:$D&amp;'3) Release_Label'!$E:$E,1,0)),"NO UPC-CATALOG ID pair MATCH in Release_Label" )</f>
        <v/>
      </c>
      <c r="E207" s="141" t="str">
        <f t="shared" si="2"/>
        <v/>
      </c>
      <c r="G207" s="103"/>
      <c r="H207" s="152"/>
      <c r="J207" s="99"/>
      <c r="K207" s="104"/>
      <c r="L207" s="99"/>
      <c r="N207" s="99"/>
      <c r="O207" s="99"/>
      <c r="P207" s="34"/>
    </row>
    <row r="208">
      <c r="A208" s="100"/>
      <c r="B208" s="103"/>
      <c r="C208" s="121" t="str">
        <f t="array" ref="C208">ifs(and(isblank($A208),isblank($B208)),"", not(iserror(vlookup($A208&amp;$B208,'3) Release_Label'!$D:$D&amp;'3) Release_Label'!$E:$E,1,0))),vlookup($A208&amp;$B208,{'3) Release_Label'!$D:$D&amp;'3) Release_Label'!$E:$E,'3) Release_Label'!$F:$F},2,0), or(and(not(isblank($B208)),$B208=$B207,$A208&lt;&gt;$A207),and(not(isblank($A208)),$A208=$A207,$B208&lt;&gt;$B207)),"ID LISTS UNALIGNED",and($A208&lt;&gt;"",countif('3) Release_Label'!$D:$D,$A208)=0),"NO UPC MATCH in Release_Label",and($B208&lt;&gt;"",countif('3) Release_Label'!$E:$E,$B208)=0),"NO CATALOG ID MATCH in Release_Label",iserror(vlookup($A208&amp;$B208,'3) Release_Label'!$D:$D&amp;'3) Release_Label'!$E:$E,1,0)),"NO UPC-CATALOG ID pair MATCH in Release_Label" )</f>
        <v/>
      </c>
      <c r="D208" s="121" t="str">
        <f t="array" ref="D208">ifs(and(isblank($A208),isblank($B208)),"", not(iserror(vlookup($A208&amp;$B208,'3) Release_Label'!$D:$D&amp;'3) Release_Label'!$E:$E,1,0))),vlookup($A208&amp;$B208,{'3) Release_Label'!$D:$D&amp;'3) Release_Label'!$E:$E,'3) Release_Label'!$H:$H},2,0), or(and(not(isblank($B208)),$B208=$B207,$A208&lt;&gt;$A207),and(not(isblank($A208)),$A208=$A207,$B208&lt;&gt;$B207)),"ID LISTS UNALIGNED",and($A208&lt;&gt;"",countif('3) Release_Label'!$D:$D,$A208)=0),"NO UPC MATCH in Release_Label",and($B208&lt;&gt;"",countif('3) Release_Label'!$E:$E,$B208)=0),"NO CATALOG ID MATCH in Release_Label",iserror(vlookup($A208&amp;$B208,'3) Release_Label'!$D:$D&amp;'3) Release_Label'!$E:$E,1,0)),"NO UPC-CATALOG ID pair MATCH in Release_Label" )</f>
        <v/>
      </c>
      <c r="E208" s="141" t="str">
        <f t="shared" si="2"/>
        <v/>
      </c>
      <c r="G208" s="103"/>
      <c r="H208" s="152"/>
      <c r="J208" s="99"/>
      <c r="K208" s="104"/>
      <c r="L208" s="99"/>
      <c r="N208" s="99"/>
      <c r="O208" s="99"/>
      <c r="P208" s="34"/>
    </row>
    <row r="209">
      <c r="A209" s="100"/>
      <c r="B209" s="103"/>
      <c r="C209" s="121" t="str">
        <f t="array" ref="C209">ifs(and(isblank($A209),isblank($B209)),"", not(iserror(vlookup($A209&amp;$B209,'3) Release_Label'!$D:$D&amp;'3) Release_Label'!$E:$E,1,0))),vlookup($A209&amp;$B209,{'3) Release_Label'!$D:$D&amp;'3) Release_Label'!$E:$E,'3) Release_Label'!$F:$F},2,0), or(and(not(isblank($B209)),$B209=$B208,$A209&lt;&gt;$A208),and(not(isblank($A209)),$A209=$A208,$B209&lt;&gt;$B208)),"ID LISTS UNALIGNED",and($A209&lt;&gt;"",countif('3) Release_Label'!$D:$D,$A209)=0),"NO UPC MATCH in Release_Label",and($B209&lt;&gt;"",countif('3) Release_Label'!$E:$E,$B209)=0),"NO CATALOG ID MATCH in Release_Label",iserror(vlookup($A209&amp;$B209,'3) Release_Label'!$D:$D&amp;'3) Release_Label'!$E:$E,1,0)),"NO UPC-CATALOG ID pair MATCH in Release_Label" )</f>
        <v/>
      </c>
      <c r="D209" s="121" t="str">
        <f t="array" ref="D209">ifs(and(isblank($A209),isblank($B209)),"", not(iserror(vlookup($A209&amp;$B209,'3) Release_Label'!$D:$D&amp;'3) Release_Label'!$E:$E,1,0))),vlookup($A209&amp;$B209,{'3) Release_Label'!$D:$D&amp;'3) Release_Label'!$E:$E,'3) Release_Label'!$H:$H},2,0), or(and(not(isblank($B209)),$B209=$B208,$A209&lt;&gt;$A208),and(not(isblank($A209)),$A209=$A208,$B209&lt;&gt;$B208)),"ID LISTS UNALIGNED",and($A209&lt;&gt;"",countif('3) Release_Label'!$D:$D,$A209)=0),"NO UPC MATCH in Release_Label",and($B209&lt;&gt;"",countif('3) Release_Label'!$E:$E,$B209)=0),"NO CATALOG ID MATCH in Release_Label",iserror(vlookup($A209&amp;$B209,'3) Release_Label'!$D:$D&amp;'3) Release_Label'!$E:$E,1,0)),"NO UPC-CATALOG ID pair MATCH in Release_Label" )</f>
        <v/>
      </c>
      <c r="E209" s="141" t="str">
        <f t="shared" si="2"/>
        <v/>
      </c>
      <c r="G209" s="103"/>
      <c r="H209" s="152"/>
      <c r="J209" s="99"/>
      <c r="K209" s="104"/>
      <c r="L209" s="99"/>
      <c r="N209" s="99"/>
      <c r="O209" s="99"/>
      <c r="P209" s="34"/>
    </row>
    <row r="210">
      <c r="A210" s="100"/>
      <c r="B210" s="103"/>
      <c r="C210" s="121" t="str">
        <f t="array" ref="C210">ifs(and(isblank($A210),isblank($B210)),"", not(iserror(vlookup($A210&amp;$B210,'3) Release_Label'!$D:$D&amp;'3) Release_Label'!$E:$E,1,0))),vlookup($A210&amp;$B210,{'3) Release_Label'!$D:$D&amp;'3) Release_Label'!$E:$E,'3) Release_Label'!$F:$F},2,0), or(and(not(isblank($B210)),$B210=$B209,$A210&lt;&gt;$A209),and(not(isblank($A210)),$A210=$A209,$B210&lt;&gt;$B209)),"ID LISTS UNALIGNED",and($A210&lt;&gt;"",countif('3) Release_Label'!$D:$D,$A210)=0),"NO UPC MATCH in Release_Label",and($B210&lt;&gt;"",countif('3) Release_Label'!$E:$E,$B210)=0),"NO CATALOG ID MATCH in Release_Label",iserror(vlookup($A210&amp;$B210,'3) Release_Label'!$D:$D&amp;'3) Release_Label'!$E:$E,1,0)),"NO UPC-CATALOG ID pair MATCH in Release_Label" )</f>
        <v/>
      </c>
      <c r="D210" s="121" t="str">
        <f t="array" ref="D210">ifs(and(isblank($A210),isblank($B210)),"", not(iserror(vlookup($A210&amp;$B210,'3) Release_Label'!$D:$D&amp;'3) Release_Label'!$E:$E,1,0))),vlookup($A210&amp;$B210,{'3) Release_Label'!$D:$D&amp;'3) Release_Label'!$E:$E,'3) Release_Label'!$H:$H},2,0), or(and(not(isblank($B210)),$B210=$B209,$A210&lt;&gt;$A209),and(not(isblank($A210)),$A210=$A209,$B210&lt;&gt;$B209)),"ID LISTS UNALIGNED",and($A210&lt;&gt;"",countif('3) Release_Label'!$D:$D,$A210)=0),"NO UPC MATCH in Release_Label",and($B210&lt;&gt;"",countif('3) Release_Label'!$E:$E,$B210)=0),"NO CATALOG ID MATCH in Release_Label",iserror(vlookup($A210&amp;$B210,'3) Release_Label'!$D:$D&amp;'3) Release_Label'!$E:$E,1,0)),"NO UPC-CATALOG ID pair MATCH in Release_Label" )</f>
        <v/>
      </c>
      <c r="E210" s="141" t="str">
        <f t="shared" si="2"/>
        <v/>
      </c>
      <c r="G210" s="103"/>
      <c r="H210" s="152"/>
      <c r="J210" s="99"/>
      <c r="K210" s="104"/>
      <c r="L210" s="99"/>
      <c r="N210" s="99"/>
      <c r="O210" s="99"/>
      <c r="P210" s="34"/>
    </row>
    <row r="211">
      <c r="A211" s="100"/>
      <c r="B211" s="103"/>
      <c r="C211" s="121" t="str">
        <f t="array" ref="C211">ifs(and(isblank($A211),isblank($B211)),"", not(iserror(vlookup($A211&amp;$B211,'3) Release_Label'!$D:$D&amp;'3) Release_Label'!$E:$E,1,0))),vlookup($A211&amp;$B211,{'3) Release_Label'!$D:$D&amp;'3) Release_Label'!$E:$E,'3) Release_Label'!$F:$F},2,0), or(and(not(isblank($B211)),$B211=$B210,$A211&lt;&gt;$A210),and(not(isblank($A211)),$A211=$A210,$B211&lt;&gt;$B210)),"ID LISTS UNALIGNED",and($A211&lt;&gt;"",countif('3) Release_Label'!$D:$D,$A211)=0),"NO UPC MATCH in Release_Label",and($B211&lt;&gt;"",countif('3) Release_Label'!$E:$E,$B211)=0),"NO CATALOG ID MATCH in Release_Label",iserror(vlookup($A211&amp;$B211,'3) Release_Label'!$D:$D&amp;'3) Release_Label'!$E:$E,1,0)),"NO UPC-CATALOG ID pair MATCH in Release_Label" )</f>
        <v/>
      </c>
      <c r="D211" s="121" t="str">
        <f t="array" ref="D211">ifs(and(isblank($A211),isblank($B211)),"", not(iserror(vlookup($A211&amp;$B211,'3) Release_Label'!$D:$D&amp;'3) Release_Label'!$E:$E,1,0))),vlookup($A211&amp;$B211,{'3) Release_Label'!$D:$D&amp;'3) Release_Label'!$E:$E,'3) Release_Label'!$H:$H},2,0), or(and(not(isblank($B211)),$B211=$B210,$A211&lt;&gt;$A210),and(not(isblank($A211)),$A211=$A210,$B211&lt;&gt;$B210)),"ID LISTS UNALIGNED",and($A211&lt;&gt;"",countif('3) Release_Label'!$D:$D,$A211)=0),"NO UPC MATCH in Release_Label",and($B211&lt;&gt;"",countif('3) Release_Label'!$E:$E,$B211)=0),"NO CATALOG ID MATCH in Release_Label",iserror(vlookup($A211&amp;$B211,'3) Release_Label'!$D:$D&amp;'3) Release_Label'!$E:$E,1,0)),"NO UPC-CATALOG ID pair MATCH in Release_Label" )</f>
        <v/>
      </c>
      <c r="E211" s="141" t="str">
        <f t="shared" si="2"/>
        <v/>
      </c>
      <c r="G211" s="103"/>
      <c r="H211" s="152"/>
      <c r="J211" s="99"/>
      <c r="K211" s="104"/>
      <c r="L211" s="99"/>
      <c r="N211" s="99"/>
      <c r="O211" s="99"/>
      <c r="P211" s="34"/>
    </row>
    <row r="212">
      <c r="A212" s="100"/>
      <c r="B212" s="103"/>
      <c r="C212" s="121" t="str">
        <f t="array" ref="C212">ifs(and(isblank($A212),isblank($B212)),"", not(iserror(vlookup($A212&amp;$B212,'3) Release_Label'!$D:$D&amp;'3) Release_Label'!$E:$E,1,0))),vlookup($A212&amp;$B212,{'3) Release_Label'!$D:$D&amp;'3) Release_Label'!$E:$E,'3) Release_Label'!$F:$F},2,0), or(and(not(isblank($B212)),$B212=$B211,$A212&lt;&gt;$A211),and(not(isblank($A212)),$A212=$A211,$B212&lt;&gt;$B211)),"ID LISTS UNALIGNED",and($A212&lt;&gt;"",countif('3) Release_Label'!$D:$D,$A212)=0),"NO UPC MATCH in Release_Label",and($B212&lt;&gt;"",countif('3) Release_Label'!$E:$E,$B212)=0),"NO CATALOG ID MATCH in Release_Label",iserror(vlookup($A212&amp;$B212,'3) Release_Label'!$D:$D&amp;'3) Release_Label'!$E:$E,1,0)),"NO UPC-CATALOG ID pair MATCH in Release_Label" )</f>
        <v/>
      </c>
      <c r="D212" s="121" t="str">
        <f t="array" ref="D212">ifs(and(isblank($A212),isblank($B212)),"", not(iserror(vlookup($A212&amp;$B212,'3) Release_Label'!$D:$D&amp;'3) Release_Label'!$E:$E,1,0))),vlookup($A212&amp;$B212,{'3) Release_Label'!$D:$D&amp;'3) Release_Label'!$E:$E,'3) Release_Label'!$H:$H},2,0), or(and(not(isblank($B212)),$B212=$B211,$A212&lt;&gt;$A211),and(not(isblank($A212)),$A212=$A211,$B212&lt;&gt;$B211)),"ID LISTS UNALIGNED",and($A212&lt;&gt;"",countif('3) Release_Label'!$D:$D,$A212)=0),"NO UPC MATCH in Release_Label",and($B212&lt;&gt;"",countif('3) Release_Label'!$E:$E,$B212)=0),"NO CATALOG ID MATCH in Release_Label",iserror(vlookup($A212&amp;$B212,'3) Release_Label'!$D:$D&amp;'3) Release_Label'!$E:$E,1,0)),"NO UPC-CATALOG ID pair MATCH in Release_Label" )</f>
        <v/>
      </c>
      <c r="E212" s="141" t="str">
        <f t="shared" si="2"/>
        <v/>
      </c>
      <c r="G212" s="103"/>
      <c r="H212" s="152"/>
      <c r="J212" s="99"/>
      <c r="K212" s="104"/>
      <c r="L212" s="99"/>
      <c r="N212" s="99"/>
      <c r="O212" s="99"/>
      <c r="P212" s="34"/>
    </row>
    <row r="213">
      <c r="A213" s="100"/>
      <c r="B213" s="103"/>
      <c r="C213" s="121" t="str">
        <f t="array" ref="C213">ifs(and(isblank($A213),isblank($B213)),"", not(iserror(vlookup($A213&amp;$B213,'3) Release_Label'!$D:$D&amp;'3) Release_Label'!$E:$E,1,0))),vlookup($A213&amp;$B213,{'3) Release_Label'!$D:$D&amp;'3) Release_Label'!$E:$E,'3) Release_Label'!$F:$F},2,0), or(and(not(isblank($B213)),$B213=$B212,$A213&lt;&gt;$A212),and(not(isblank($A213)),$A213=$A212,$B213&lt;&gt;$B212)),"ID LISTS UNALIGNED",and($A213&lt;&gt;"",countif('3) Release_Label'!$D:$D,$A213)=0),"NO UPC MATCH in Release_Label",and($B213&lt;&gt;"",countif('3) Release_Label'!$E:$E,$B213)=0),"NO CATALOG ID MATCH in Release_Label",iserror(vlookup($A213&amp;$B213,'3) Release_Label'!$D:$D&amp;'3) Release_Label'!$E:$E,1,0)),"NO UPC-CATALOG ID pair MATCH in Release_Label" )</f>
        <v/>
      </c>
      <c r="D213" s="121" t="str">
        <f t="array" ref="D213">ifs(and(isblank($A213),isblank($B213)),"", not(iserror(vlookup($A213&amp;$B213,'3) Release_Label'!$D:$D&amp;'3) Release_Label'!$E:$E,1,0))),vlookup($A213&amp;$B213,{'3) Release_Label'!$D:$D&amp;'3) Release_Label'!$E:$E,'3) Release_Label'!$H:$H},2,0), or(and(not(isblank($B213)),$B213=$B212,$A213&lt;&gt;$A212),and(not(isblank($A213)),$A213=$A212,$B213&lt;&gt;$B212)),"ID LISTS UNALIGNED",and($A213&lt;&gt;"",countif('3) Release_Label'!$D:$D,$A213)=0),"NO UPC MATCH in Release_Label",and($B213&lt;&gt;"",countif('3) Release_Label'!$E:$E,$B213)=0),"NO CATALOG ID MATCH in Release_Label",iserror(vlookup($A213&amp;$B213,'3) Release_Label'!$D:$D&amp;'3) Release_Label'!$E:$E,1,0)),"NO UPC-CATALOG ID pair MATCH in Release_Label" )</f>
        <v/>
      </c>
      <c r="E213" s="141" t="str">
        <f t="shared" si="2"/>
        <v/>
      </c>
      <c r="G213" s="103"/>
      <c r="H213" s="152"/>
      <c r="J213" s="99"/>
      <c r="K213" s="104"/>
      <c r="L213" s="99"/>
      <c r="N213" s="99"/>
      <c r="O213" s="99"/>
      <c r="P213" s="34"/>
    </row>
    <row r="214">
      <c r="A214" s="100"/>
      <c r="B214" s="103"/>
      <c r="C214" s="121" t="str">
        <f t="array" ref="C214">ifs(and(isblank($A214),isblank($B214)),"", not(iserror(vlookup($A214&amp;$B214,'3) Release_Label'!$D:$D&amp;'3) Release_Label'!$E:$E,1,0))),vlookup($A214&amp;$B214,{'3) Release_Label'!$D:$D&amp;'3) Release_Label'!$E:$E,'3) Release_Label'!$F:$F},2,0), or(and(not(isblank($B214)),$B214=$B213,$A214&lt;&gt;$A213),and(not(isblank($A214)),$A214=$A213,$B214&lt;&gt;$B213)),"ID LISTS UNALIGNED",and($A214&lt;&gt;"",countif('3) Release_Label'!$D:$D,$A214)=0),"NO UPC MATCH in Release_Label",and($B214&lt;&gt;"",countif('3) Release_Label'!$E:$E,$B214)=0),"NO CATALOG ID MATCH in Release_Label",iserror(vlookup($A214&amp;$B214,'3) Release_Label'!$D:$D&amp;'3) Release_Label'!$E:$E,1,0)),"NO UPC-CATALOG ID pair MATCH in Release_Label" )</f>
        <v/>
      </c>
      <c r="D214" s="121" t="str">
        <f t="array" ref="D214">ifs(and(isblank($A214),isblank($B214)),"", not(iserror(vlookup($A214&amp;$B214,'3) Release_Label'!$D:$D&amp;'3) Release_Label'!$E:$E,1,0))),vlookup($A214&amp;$B214,{'3) Release_Label'!$D:$D&amp;'3) Release_Label'!$E:$E,'3) Release_Label'!$H:$H},2,0), or(and(not(isblank($B214)),$B214=$B213,$A214&lt;&gt;$A213),and(not(isblank($A214)),$A214=$A213,$B214&lt;&gt;$B213)),"ID LISTS UNALIGNED",and($A214&lt;&gt;"",countif('3) Release_Label'!$D:$D,$A214)=0),"NO UPC MATCH in Release_Label",and($B214&lt;&gt;"",countif('3) Release_Label'!$E:$E,$B214)=0),"NO CATALOG ID MATCH in Release_Label",iserror(vlookup($A214&amp;$B214,'3) Release_Label'!$D:$D&amp;'3) Release_Label'!$E:$E,1,0)),"NO UPC-CATALOG ID pair MATCH in Release_Label" )</f>
        <v/>
      </c>
      <c r="E214" s="141" t="str">
        <f t="shared" si="2"/>
        <v/>
      </c>
      <c r="G214" s="103"/>
      <c r="H214" s="152"/>
      <c r="J214" s="99"/>
      <c r="K214" s="104"/>
      <c r="L214" s="99"/>
      <c r="N214" s="99"/>
      <c r="O214" s="99"/>
      <c r="P214" s="34"/>
    </row>
    <row r="215">
      <c r="A215" s="100"/>
      <c r="B215" s="103"/>
      <c r="C215" s="121" t="str">
        <f t="array" ref="C215">ifs(and(isblank($A215),isblank($B215)),"", not(iserror(vlookup($A215&amp;$B215,'3) Release_Label'!$D:$D&amp;'3) Release_Label'!$E:$E,1,0))),vlookup($A215&amp;$B215,{'3) Release_Label'!$D:$D&amp;'3) Release_Label'!$E:$E,'3) Release_Label'!$F:$F},2,0), or(and(not(isblank($B215)),$B215=$B214,$A215&lt;&gt;$A214),and(not(isblank($A215)),$A215=$A214,$B215&lt;&gt;$B214)),"ID LISTS UNALIGNED",and($A215&lt;&gt;"",countif('3) Release_Label'!$D:$D,$A215)=0),"NO UPC MATCH in Release_Label",and($B215&lt;&gt;"",countif('3) Release_Label'!$E:$E,$B215)=0),"NO CATALOG ID MATCH in Release_Label",iserror(vlookup($A215&amp;$B215,'3) Release_Label'!$D:$D&amp;'3) Release_Label'!$E:$E,1,0)),"NO UPC-CATALOG ID pair MATCH in Release_Label" )</f>
        <v/>
      </c>
      <c r="D215" s="121" t="str">
        <f t="array" ref="D215">ifs(and(isblank($A215),isblank($B215)),"", not(iserror(vlookup($A215&amp;$B215,'3) Release_Label'!$D:$D&amp;'3) Release_Label'!$E:$E,1,0))),vlookup($A215&amp;$B215,{'3) Release_Label'!$D:$D&amp;'3) Release_Label'!$E:$E,'3) Release_Label'!$H:$H},2,0), or(and(not(isblank($B215)),$B215=$B214,$A215&lt;&gt;$A214),and(not(isblank($A215)),$A215=$A214,$B215&lt;&gt;$B214)),"ID LISTS UNALIGNED",and($A215&lt;&gt;"",countif('3) Release_Label'!$D:$D,$A215)=0),"NO UPC MATCH in Release_Label",and($B215&lt;&gt;"",countif('3) Release_Label'!$E:$E,$B215)=0),"NO CATALOG ID MATCH in Release_Label",iserror(vlookup($A215&amp;$B215,'3) Release_Label'!$D:$D&amp;'3) Release_Label'!$E:$E,1,0)),"NO UPC-CATALOG ID pair MATCH in Release_Label" )</f>
        <v/>
      </c>
      <c r="E215" s="141" t="str">
        <f t="shared" si="2"/>
        <v/>
      </c>
      <c r="G215" s="103"/>
      <c r="H215" s="152"/>
      <c r="J215" s="99"/>
      <c r="K215" s="104"/>
      <c r="L215" s="99"/>
      <c r="N215" s="99"/>
      <c r="O215" s="99"/>
      <c r="P215" s="34"/>
    </row>
    <row r="216">
      <c r="A216" s="100"/>
      <c r="B216" s="103"/>
      <c r="C216" s="121" t="str">
        <f t="array" ref="C216">ifs(and(isblank($A216),isblank($B216)),"", not(iserror(vlookup($A216&amp;$B216,'3) Release_Label'!$D:$D&amp;'3) Release_Label'!$E:$E,1,0))),vlookup($A216&amp;$B216,{'3) Release_Label'!$D:$D&amp;'3) Release_Label'!$E:$E,'3) Release_Label'!$F:$F},2,0), or(and(not(isblank($B216)),$B216=$B215,$A216&lt;&gt;$A215),and(not(isblank($A216)),$A216=$A215,$B216&lt;&gt;$B215)),"ID LISTS UNALIGNED",and($A216&lt;&gt;"",countif('3) Release_Label'!$D:$D,$A216)=0),"NO UPC MATCH in Release_Label",and($B216&lt;&gt;"",countif('3) Release_Label'!$E:$E,$B216)=0),"NO CATALOG ID MATCH in Release_Label",iserror(vlookup($A216&amp;$B216,'3) Release_Label'!$D:$D&amp;'3) Release_Label'!$E:$E,1,0)),"NO UPC-CATALOG ID pair MATCH in Release_Label" )</f>
        <v/>
      </c>
      <c r="D216" s="121" t="str">
        <f t="array" ref="D216">ifs(and(isblank($A216),isblank($B216)),"", not(iserror(vlookup($A216&amp;$B216,'3) Release_Label'!$D:$D&amp;'3) Release_Label'!$E:$E,1,0))),vlookup($A216&amp;$B216,{'3) Release_Label'!$D:$D&amp;'3) Release_Label'!$E:$E,'3) Release_Label'!$H:$H},2,0), or(and(not(isblank($B216)),$B216=$B215,$A216&lt;&gt;$A215),and(not(isblank($A216)),$A216=$A215,$B216&lt;&gt;$B215)),"ID LISTS UNALIGNED",and($A216&lt;&gt;"",countif('3) Release_Label'!$D:$D,$A216)=0),"NO UPC MATCH in Release_Label",and($B216&lt;&gt;"",countif('3) Release_Label'!$E:$E,$B216)=0),"NO CATALOG ID MATCH in Release_Label",iserror(vlookup($A216&amp;$B216,'3) Release_Label'!$D:$D&amp;'3) Release_Label'!$E:$E,1,0)),"NO UPC-CATALOG ID pair MATCH in Release_Label" )</f>
        <v/>
      </c>
      <c r="E216" s="141" t="str">
        <f t="shared" si="2"/>
        <v/>
      </c>
      <c r="G216" s="103"/>
      <c r="H216" s="152"/>
      <c r="J216" s="99"/>
      <c r="K216" s="104"/>
      <c r="L216" s="99"/>
      <c r="N216" s="99"/>
      <c r="O216" s="99"/>
      <c r="P216" s="34"/>
    </row>
    <row r="217">
      <c r="A217" s="100"/>
      <c r="B217" s="103"/>
      <c r="C217" s="121" t="str">
        <f t="array" ref="C217">ifs(and(isblank($A217),isblank($B217)),"", not(iserror(vlookup($A217&amp;$B217,'3) Release_Label'!$D:$D&amp;'3) Release_Label'!$E:$E,1,0))),vlookup($A217&amp;$B217,{'3) Release_Label'!$D:$D&amp;'3) Release_Label'!$E:$E,'3) Release_Label'!$F:$F},2,0), or(and(not(isblank($B217)),$B217=$B216,$A217&lt;&gt;$A216),and(not(isblank($A217)),$A217=$A216,$B217&lt;&gt;$B216)),"ID LISTS UNALIGNED",and($A217&lt;&gt;"",countif('3) Release_Label'!$D:$D,$A217)=0),"NO UPC MATCH in Release_Label",and($B217&lt;&gt;"",countif('3) Release_Label'!$E:$E,$B217)=0),"NO CATALOG ID MATCH in Release_Label",iserror(vlookup($A217&amp;$B217,'3) Release_Label'!$D:$D&amp;'3) Release_Label'!$E:$E,1,0)),"NO UPC-CATALOG ID pair MATCH in Release_Label" )</f>
        <v/>
      </c>
      <c r="D217" s="121" t="str">
        <f t="array" ref="D217">ifs(and(isblank($A217),isblank($B217)),"", not(iserror(vlookup($A217&amp;$B217,'3) Release_Label'!$D:$D&amp;'3) Release_Label'!$E:$E,1,0))),vlookup($A217&amp;$B217,{'3) Release_Label'!$D:$D&amp;'3) Release_Label'!$E:$E,'3) Release_Label'!$H:$H},2,0), or(and(not(isblank($B217)),$B217=$B216,$A217&lt;&gt;$A216),and(not(isblank($A217)),$A217=$A216,$B217&lt;&gt;$B216)),"ID LISTS UNALIGNED",and($A217&lt;&gt;"",countif('3) Release_Label'!$D:$D,$A217)=0),"NO UPC MATCH in Release_Label",and($B217&lt;&gt;"",countif('3) Release_Label'!$E:$E,$B217)=0),"NO CATALOG ID MATCH in Release_Label",iserror(vlookup($A217&amp;$B217,'3) Release_Label'!$D:$D&amp;'3) Release_Label'!$E:$E,1,0)),"NO UPC-CATALOG ID pair MATCH in Release_Label" )</f>
        <v/>
      </c>
      <c r="E217" s="141" t="str">
        <f t="shared" si="2"/>
        <v/>
      </c>
      <c r="G217" s="103"/>
      <c r="H217" s="152"/>
      <c r="J217" s="99"/>
      <c r="K217" s="104"/>
      <c r="L217" s="99"/>
      <c r="N217" s="99"/>
      <c r="O217" s="99"/>
      <c r="P217" s="34"/>
    </row>
    <row r="218">
      <c r="A218" s="100"/>
      <c r="B218" s="103"/>
      <c r="C218" s="121" t="str">
        <f t="array" ref="C218">ifs(and(isblank($A218),isblank($B218)),"", not(iserror(vlookup($A218&amp;$B218,'3) Release_Label'!$D:$D&amp;'3) Release_Label'!$E:$E,1,0))),vlookup($A218&amp;$B218,{'3) Release_Label'!$D:$D&amp;'3) Release_Label'!$E:$E,'3) Release_Label'!$F:$F},2,0), or(and(not(isblank($B218)),$B218=$B217,$A218&lt;&gt;$A217),and(not(isblank($A218)),$A218=$A217,$B218&lt;&gt;$B217)),"ID LISTS UNALIGNED",and($A218&lt;&gt;"",countif('3) Release_Label'!$D:$D,$A218)=0),"NO UPC MATCH in Release_Label",and($B218&lt;&gt;"",countif('3) Release_Label'!$E:$E,$B218)=0),"NO CATALOG ID MATCH in Release_Label",iserror(vlookup($A218&amp;$B218,'3) Release_Label'!$D:$D&amp;'3) Release_Label'!$E:$E,1,0)),"NO UPC-CATALOG ID pair MATCH in Release_Label" )</f>
        <v/>
      </c>
      <c r="D218" s="121" t="str">
        <f t="array" ref="D218">ifs(and(isblank($A218),isblank($B218)),"", not(iserror(vlookup($A218&amp;$B218,'3) Release_Label'!$D:$D&amp;'3) Release_Label'!$E:$E,1,0))),vlookup($A218&amp;$B218,{'3) Release_Label'!$D:$D&amp;'3) Release_Label'!$E:$E,'3) Release_Label'!$H:$H},2,0), or(and(not(isblank($B218)),$B218=$B217,$A218&lt;&gt;$A217),and(not(isblank($A218)),$A218=$A217,$B218&lt;&gt;$B217)),"ID LISTS UNALIGNED",and($A218&lt;&gt;"",countif('3) Release_Label'!$D:$D,$A218)=0),"NO UPC MATCH in Release_Label",and($B218&lt;&gt;"",countif('3) Release_Label'!$E:$E,$B218)=0),"NO CATALOG ID MATCH in Release_Label",iserror(vlookup($A218&amp;$B218,'3) Release_Label'!$D:$D&amp;'3) Release_Label'!$E:$E,1,0)),"NO UPC-CATALOG ID pair MATCH in Release_Label" )</f>
        <v/>
      </c>
      <c r="E218" s="141" t="str">
        <f t="shared" si="2"/>
        <v/>
      </c>
      <c r="G218" s="103"/>
      <c r="H218" s="152"/>
      <c r="J218" s="99"/>
      <c r="K218" s="104"/>
      <c r="L218" s="99"/>
      <c r="N218" s="99"/>
      <c r="O218" s="99"/>
      <c r="P218" s="34"/>
    </row>
    <row r="219">
      <c r="A219" s="100"/>
      <c r="B219" s="103"/>
      <c r="C219" s="121" t="str">
        <f t="array" ref="C219">ifs(and(isblank($A219),isblank($B219)),"", not(iserror(vlookup($A219&amp;$B219,'3) Release_Label'!$D:$D&amp;'3) Release_Label'!$E:$E,1,0))),vlookup($A219&amp;$B219,{'3) Release_Label'!$D:$D&amp;'3) Release_Label'!$E:$E,'3) Release_Label'!$F:$F},2,0), or(and(not(isblank($B219)),$B219=$B218,$A219&lt;&gt;$A218),and(not(isblank($A219)),$A219=$A218,$B219&lt;&gt;$B218)),"ID LISTS UNALIGNED",and($A219&lt;&gt;"",countif('3) Release_Label'!$D:$D,$A219)=0),"NO UPC MATCH in Release_Label",and($B219&lt;&gt;"",countif('3) Release_Label'!$E:$E,$B219)=0),"NO CATALOG ID MATCH in Release_Label",iserror(vlookup($A219&amp;$B219,'3) Release_Label'!$D:$D&amp;'3) Release_Label'!$E:$E,1,0)),"NO UPC-CATALOG ID pair MATCH in Release_Label" )</f>
        <v/>
      </c>
      <c r="D219" s="121" t="str">
        <f t="array" ref="D219">ifs(and(isblank($A219),isblank($B219)),"", not(iserror(vlookup($A219&amp;$B219,'3) Release_Label'!$D:$D&amp;'3) Release_Label'!$E:$E,1,0))),vlookup($A219&amp;$B219,{'3) Release_Label'!$D:$D&amp;'3) Release_Label'!$E:$E,'3) Release_Label'!$H:$H},2,0), or(and(not(isblank($B219)),$B219=$B218,$A219&lt;&gt;$A218),and(not(isblank($A219)),$A219=$A218,$B219&lt;&gt;$B218)),"ID LISTS UNALIGNED",and($A219&lt;&gt;"",countif('3) Release_Label'!$D:$D,$A219)=0),"NO UPC MATCH in Release_Label",and($B219&lt;&gt;"",countif('3) Release_Label'!$E:$E,$B219)=0),"NO CATALOG ID MATCH in Release_Label",iserror(vlookup($A219&amp;$B219,'3) Release_Label'!$D:$D&amp;'3) Release_Label'!$E:$E,1,0)),"NO UPC-CATALOG ID pair MATCH in Release_Label" )</f>
        <v/>
      </c>
      <c r="E219" s="141" t="str">
        <f t="shared" si="2"/>
        <v/>
      </c>
      <c r="G219" s="103"/>
      <c r="H219" s="152"/>
      <c r="J219" s="99"/>
      <c r="K219" s="104"/>
      <c r="L219" s="99"/>
      <c r="N219" s="99"/>
      <c r="O219" s="99"/>
      <c r="P219" s="34"/>
    </row>
    <row r="220">
      <c r="A220" s="100"/>
      <c r="B220" s="103"/>
      <c r="C220" s="121" t="str">
        <f t="array" ref="C220">ifs(and(isblank($A220),isblank($B220)),"", not(iserror(vlookup($A220&amp;$B220,'3) Release_Label'!$D:$D&amp;'3) Release_Label'!$E:$E,1,0))),vlookup($A220&amp;$B220,{'3) Release_Label'!$D:$D&amp;'3) Release_Label'!$E:$E,'3) Release_Label'!$F:$F},2,0), or(and(not(isblank($B220)),$B220=$B219,$A220&lt;&gt;$A219),and(not(isblank($A220)),$A220=$A219,$B220&lt;&gt;$B219)),"ID LISTS UNALIGNED",and($A220&lt;&gt;"",countif('3) Release_Label'!$D:$D,$A220)=0),"NO UPC MATCH in Release_Label",and($B220&lt;&gt;"",countif('3) Release_Label'!$E:$E,$B220)=0),"NO CATALOG ID MATCH in Release_Label",iserror(vlookup($A220&amp;$B220,'3) Release_Label'!$D:$D&amp;'3) Release_Label'!$E:$E,1,0)),"NO UPC-CATALOG ID pair MATCH in Release_Label" )</f>
        <v/>
      </c>
      <c r="D220" s="121" t="str">
        <f t="array" ref="D220">ifs(and(isblank($A220),isblank($B220)),"", not(iserror(vlookup($A220&amp;$B220,'3) Release_Label'!$D:$D&amp;'3) Release_Label'!$E:$E,1,0))),vlookup($A220&amp;$B220,{'3) Release_Label'!$D:$D&amp;'3) Release_Label'!$E:$E,'3) Release_Label'!$H:$H},2,0), or(and(not(isblank($B220)),$B220=$B219,$A220&lt;&gt;$A219),and(not(isblank($A220)),$A220=$A219,$B220&lt;&gt;$B219)),"ID LISTS UNALIGNED",and($A220&lt;&gt;"",countif('3) Release_Label'!$D:$D,$A220)=0),"NO UPC MATCH in Release_Label",and($B220&lt;&gt;"",countif('3) Release_Label'!$E:$E,$B220)=0),"NO CATALOG ID MATCH in Release_Label",iserror(vlookup($A220&amp;$B220,'3) Release_Label'!$D:$D&amp;'3) Release_Label'!$E:$E,1,0)),"NO UPC-CATALOG ID pair MATCH in Release_Label" )</f>
        <v/>
      </c>
      <c r="E220" s="141" t="str">
        <f t="shared" si="2"/>
        <v/>
      </c>
      <c r="G220" s="103"/>
      <c r="H220" s="152"/>
      <c r="J220" s="99"/>
      <c r="K220" s="104"/>
      <c r="L220" s="99"/>
      <c r="N220" s="99"/>
      <c r="O220" s="99"/>
      <c r="P220" s="34"/>
    </row>
    <row r="221">
      <c r="A221" s="100"/>
      <c r="B221" s="103"/>
      <c r="C221" s="121" t="str">
        <f t="array" ref="C221">ifs(and(isblank($A221),isblank($B221)),"", not(iserror(vlookup($A221&amp;$B221,'3) Release_Label'!$D:$D&amp;'3) Release_Label'!$E:$E,1,0))),vlookup($A221&amp;$B221,{'3) Release_Label'!$D:$D&amp;'3) Release_Label'!$E:$E,'3) Release_Label'!$F:$F},2,0), or(and(not(isblank($B221)),$B221=$B220,$A221&lt;&gt;$A220),and(not(isblank($A221)),$A221=$A220,$B221&lt;&gt;$B220)),"ID LISTS UNALIGNED",and($A221&lt;&gt;"",countif('3) Release_Label'!$D:$D,$A221)=0),"NO UPC MATCH in Release_Label",and($B221&lt;&gt;"",countif('3) Release_Label'!$E:$E,$B221)=0),"NO CATALOG ID MATCH in Release_Label",iserror(vlookup($A221&amp;$B221,'3) Release_Label'!$D:$D&amp;'3) Release_Label'!$E:$E,1,0)),"NO UPC-CATALOG ID pair MATCH in Release_Label" )</f>
        <v/>
      </c>
      <c r="D221" s="121" t="str">
        <f t="array" ref="D221">ifs(and(isblank($A221),isblank($B221)),"", not(iserror(vlookup($A221&amp;$B221,'3) Release_Label'!$D:$D&amp;'3) Release_Label'!$E:$E,1,0))),vlookup($A221&amp;$B221,{'3) Release_Label'!$D:$D&amp;'3) Release_Label'!$E:$E,'3) Release_Label'!$H:$H},2,0), or(and(not(isblank($B221)),$B221=$B220,$A221&lt;&gt;$A220),and(not(isblank($A221)),$A221=$A220,$B221&lt;&gt;$B220)),"ID LISTS UNALIGNED",and($A221&lt;&gt;"",countif('3) Release_Label'!$D:$D,$A221)=0),"NO UPC MATCH in Release_Label",and($B221&lt;&gt;"",countif('3) Release_Label'!$E:$E,$B221)=0),"NO CATALOG ID MATCH in Release_Label",iserror(vlookup($A221&amp;$B221,'3) Release_Label'!$D:$D&amp;'3) Release_Label'!$E:$E,1,0)),"NO UPC-CATALOG ID pair MATCH in Release_Label" )</f>
        <v/>
      </c>
      <c r="E221" s="141" t="str">
        <f t="shared" si="2"/>
        <v/>
      </c>
      <c r="G221" s="103"/>
      <c r="H221" s="152"/>
      <c r="J221" s="99"/>
      <c r="K221" s="104"/>
      <c r="L221" s="99"/>
      <c r="N221" s="99"/>
      <c r="O221" s="99"/>
      <c r="P221" s="34"/>
    </row>
    <row r="222">
      <c r="A222" s="100"/>
      <c r="B222" s="103"/>
      <c r="C222" s="121" t="str">
        <f t="array" ref="C222">ifs(and(isblank($A222),isblank($B222)),"", not(iserror(vlookup($A222&amp;$B222,'3) Release_Label'!$D:$D&amp;'3) Release_Label'!$E:$E,1,0))),vlookup($A222&amp;$B222,{'3) Release_Label'!$D:$D&amp;'3) Release_Label'!$E:$E,'3) Release_Label'!$F:$F},2,0), or(and(not(isblank($B222)),$B222=$B221,$A222&lt;&gt;$A221),and(not(isblank($A222)),$A222=$A221,$B222&lt;&gt;$B221)),"ID LISTS UNALIGNED",and($A222&lt;&gt;"",countif('3) Release_Label'!$D:$D,$A222)=0),"NO UPC MATCH in Release_Label",and($B222&lt;&gt;"",countif('3) Release_Label'!$E:$E,$B222)=0),"NO CATALOG ID MATCH in Release_Label",iserror(vlookup($A222&amp;$B222,'3) Release_Label'!$D:$D&amp;'3) Release_Label'!$E:$E,1,0)),"NO UPC-CATALOG ID pair MATCH in Release_Label" )</f>
        <v/>
      </c>
      <c r="D222" s="121" t="str">
        <f t="array" ref="D222">ifs(and(isblank($A222),isblank($B222)),"", not(iserror(vlookup($A222&amp;$B222,'3) Release_Label'!$D:$D&amp;'3) Release_Label'!$E:$E,1,0))),vlookup($A222&amp;$B222,{'3) Release_Label'!$D:$D&amp;'3) Release_Label'!$E:$E,'3) Release_Label'!$H:$H},2,0), or(and(not(isblank($B222)),$B222=$B221,$A222&lt;&gt;$A221),and(not(isblank($A222)),$A222=$A221,$B222&lt;&gt;$B221)),"ID LISTS UNALIGNED",and($A222&lt;&gt;"",countif('3) Release_Label'!$D:$D,$A222)=0),"NO UPC MATCH in Release_Label",and($B222&lt;&gt;"",countif('3) Release_Label'!$E:$E,$B222)=0),"NO CATALOG ID MATCH in Release_Label",iserror(vlookup($A222&amp;$B222,'3) Release_Label'!$D:$D&amp;'3) Release_Label'!$E:$E,1,0)),"NO UPC-CATALOG ID pair MATCH in Release_Label" )</f>
        <v/>
      </c>
      <c r="E222" s="141" t="str">
        <f t="shared" si="2"/>
        <v/>
      </c>
      <c r="G222" s="103"/>
      <c r="H222" s="152"/>
      <c r="J222" s="99"/>
      <c r="K222" s="104"/>
      <c r="L222" s="99"/>
      <c r="N222" s="99"/>
      <c r="O222" s="99"/>
      <c r="P222" s="34"/>
    </row>
    <row r="223">
      <c r="A223" s="100"/>
      <c r="B223" s="103"/>
      <c r="C223" s="121" t="str">
        <f t="array" ref="C223">ifs(and(isblank($A223),isblank($B223)),"", not(iserror(vlookup($A223&amp;$B223,'3) Release_Label'!$D:$D&amp;'3) Release_Label'!$E:$E,1,0))),vlookup($A223&amp;$B223,{'3) Release_Label'!$D:$D&amp;'3) Release_Label'!$E:$E,'3) Release_Label'!$F:$F},2,0), or(and(not(isblank($B223)),$B223=$B222,$A223&lt;&gt;$A222),and(not(isblank($A223)),$A223=$A222,$B223&lt;&gt;$B222)),"ID LISTS UNALIGNED",and($A223&lt;&gt;"",countif('3) Release_Label'!$D:$D,$A223)=0),"NO UPC MATCH in Release_Label",and($B223&lt;&gt;"",countif('3) Release_Label'!$E:$E,$B223)=0),"NO CATALOG ID MATCH in Release_Label",iserror(vlookup($A223&amp;$B223,'3) Release_Label'!$D:$D&amp;'3) Release_Label'!$E:$E,1,0)),"NO UPC-CATALOG ID pair MATCH in Release_Label" )</f>
        <v/>
      </c>
      <c r="D223" s="121" t="str">
        <f t="array" ref="D223">ifs(and(isblank($A223),isblank($B223)),"", not(iserror(vlookup($A223&amp;$B223,'3) Release_Label'!$D:$D&amp;'3) Release_Label'!$E:$E,1,0))),vlookup($A223&amp;$B223,{'3) Release_Label'!$D:$D&amp;'3) Release_Label'!$E:$E,'3) Release_Label'!$H:$H},2,0), or(and(not(isblank($B223)),$B223=$B222,$A223&lt;&gt;$A222),and(not(isblank($A223)),$A223=$A222,$B223&lt;&gt;$B222)),"ID LISTS UNALIGNED",and($A223&lt;&gt;"",countif('3) Release_Label'!$D:$D,$A223)=0),"NO UPC MATCH in Release_Label",and($B223&lt;&gt;"",countif('3) Release_Label'!$E:$E,$B223)=0),"NO CATALOG ID MATCH in Release_Label",iserror(vlookup($A223&amp;$B223,'3) Release_Label'!$D:$D&amp;'3) Release_Label'!$E:$E,1,0)),"NO UPC-CATALOG ID pair MATCH in Release_Label" )</f>
        <v/>
      </c>
      <c r="E223" s="141" t="str">
        <f t="shared" si="2"/>
        <v/>
      </c>
      <c r="G223" s="103"/>
      <c r="H223" s="152"/>
      <c r="J223" s="99"/>
      <c r="K223" s="104"/>
      <c r="L223" s="99"/>
      <c r="N223" s="99"/>
      <c r="O223" s="99"/>
      <c r="P223" s="34"/>
    </row>
    <row r="224">
      <c r="A224" s="100"/>
      <c r="B224" s="103"/>
      <c r="C224" s="121" t="str">
        <f t="array" ref="C224">ifs(and(isblank($A224),isblank($B224)),"", not(iserror(vlookup($A224&amp;$B224,'3) Release_Label'!$D:$D&amp;'3) Release_Label'!$E:$E,1,0))),vlookup($A224&amp;$B224,{'3) Release_Label'!$D:$D&amp;'3) Release_Label'!$E:$E,'3) Release_Label'!$F:$F},2,0), or(and(not(isblank($B224)),$B224=$B223,$A224&lt;&gt;$A223),and(not(isblank($A224)),$A224=$A223,$B224&lt;&gt;$B223)),"ID LISTS UNALIGNED",and($A224&lt;&gt;"",countif('3) Release_Label'!$D:$D,$A224)=0),"NO UPC MATCH in Release_Label",and($B224&lt;&gt;"",countif('3) Release_Label'!$E:$E,$B224)=0),"NO CATALOG ID MATCH in Release_Label",iserror(vlookup($A224&amp;$B224,'3) Release_Label'!$D:$D&amp;'3) Release_Label'!$E:$E,1,0)),"NO UPC-CATALOG ID pair MATCH in Release_Label" )</f>
        <v/>
      </c>
      <c r="D224" s="121" t="str">
        <f t="array" ref="D224">ifs(and(isblank($A224),isblank($B224)),"", not(iserror(vlookup($A224&amp;$B224,'3) Release_Label'!$D:$D&amp;'3) Release_Label'!$E:$E,1,0))),vlookup($A224&amp;$B224,{'3) Release_Label'!$D:$D&amp;'3) Release_Label'!$E:$E,'3) Release_Label'!$H:$H},2,0), or(and(not(isblank($B224)),$B224=$B223,$A224&lt;&gt;$A223),and(not(isblank($A224)),$A224=$A223,$B224&lt;&gt;$B223)),"ID LISTS UNALIGNED",and($A224&lt;&gt;"",countif('3) Release_Label'!$D:$D,$A224)=0),"NO UPC MATCH in Release_Label",and($B224&lt;&gt;"",countif('3) Release_Label'!$E:$E,$B224)=0),"NO CATALOG ID MATCH in Release_Label",iserror(vlookup($A224&amp;$B224,'3) Release_Label'!$D:$D&amp;'3) Release_Label'!$E:$E,1,0)),"NO UPC-CATALOG ID pair MATCH in Release_Label" )</f>
        <v/>
      </c>
      <c r="E224" s="141" t="str">
        <f t="shared" si="2"/>
        <v/>
      </c>
      <c r="G224" s="103"/>
      <c r="H224" s="152"/>
      <c r="J224" s="99"/>
      <c r="K224" s="104"/>
      <c r="L224" s="99"/>
      <c r="N224" s="99"/>
      <c r="O224" s="99"/>
      <c r="P224" s="34"/>
    </row>
    <row r="225">
      <c r="A225" s="100"/>
      <c r="B225" s="103"/>
      <c r="C225" s="121" t="str">
        <f t="array" ref="C225">ifs(and(isblank($A225),isblank($B225)),"", not(iserror(vlookup($A225&amp;$B225,'3) Release_Label'!$D:$D&amp;'3) Release_Label'!$E:$E,1,0))),vlookup($A225&amp;$B225,{'3) Release_Label'!$D:$D&amp;'3) Release_Label'!$E:$E,'3) Release_Label'!$F:$F},2,0), or(and(not(isblank($B225)),$B225=$B224,$A225&lt;&gt;$A224),and(not(isblank($A225)),$A225=$A224,$B225&lt;&gt;$B224)),"ID LISTS UNALIGNED",and($A225&lt;&gt;"",countif('3) Release_Label'!$D:$D,$A225)=0),"NO UPC MATCH in Release_Label",and($B225&lt;&gt;"",countif('3) Release_Label'!$E:$E,$B225)=0),"NO CATALOG ID MATCH in Release_Label",iserror(vlookup($A225&amp;$B225,'3) Release_Label'!$D:$D&amp;'3) Release_Label'!$E:$E,1,0)),"NO UPC-CATALOG ID pair MATCH in Release_Label" )</f>
        <v/>
      </c>
      <c r="D225" s="121" t="str">
        <f t="array" ref="D225">ifs(and(isblank($A225),isblank($B225)),"", not(iserror(vlookup($A225&amp;$B225,'3) Release_Label'!$D:$D&amp;'3) Release_Label'!$E:$E,1,0))),vlookup($A225&amp;$B225,{'3) Release_Label'!$D:$D&amp;'3) Release_Label'!$E:$E,'3) Release_Label'!$H:$H},2,0), or(and(not(isblank($B225)),$B225=$B224,$A225&lt;&gt;$A224),and(not(isblank($A225)),$A225=$A224,$B225&lt;&gt;$B224)),"ID LISTS UNALIGNED",and($A225&lt;&gt;"",countif('3) Release_Label'!$D:$D,$A225)=0),"NO UPC MATCH in Release_Label",and($B225&lt;&gt;"",countif('3) Release_Label'!$E:$E,$B225)=0),"NO CATALOG ID MATCH in Release_Label",iserror(vlookup($A225&amp;$B225,'3) Release_Label'!$D:$D&amp;'3) Release_Label'!$E:$E,1,0)),"NO UPC-CATALOG ID pair MATCH in Release_Label" )</f>
        <v/>
      </c>
      <c r="E225" s="141" t="str">
        <f t="shared" si="2"/>
        <v/>
      </c>
      <c r="G225" s="103"/>
      <c r="H225" s="152"/>
      <c r="J225" s="99"/>
      <c r="K225" s="104"/>
      <c r="L225" s="99"/>
      <c r="N225" s="99"/>
      <c r="O225" s="99"/>
      <c r="P225" s="34"/>
    </row>
    <row r="226">
      <c r="A226" s="100"/>
      <c r="B226" s="103"/>
      <c r="C226" s="121" t="str">
        <f t="array" ref="C226">ifs(and(isblank($A226),isblank($B226)),"", not(iserror(vlookup($A226&amp;$B226,'3) Release_Label'!$D:$D&amp;'3) Release_Label'!$E:$E,1,0))),vlookup($A226&amp;$B226,{'3) Release_Label'!$D:$D&amp;'3) Release_Label'!$E:$E,'3) Release_Label'!$F:$F},2,0), or(and(not(isblank($B226)),$B226=$B225,$A226&lt;&gt;$A225),and(not(isblank($A226)),$A226=$A225,$B226&lt;&gt;$B225)),"ID LISTS UNALIGNED",and($A226&lt;&gt;"",countif('3) Release_Label'!$D:$D,$A226)=0),"NO UPC MATCH in Release_Label",and($B226&lt;&gt;"",countif('3) Release_Label'!$E:$E,$B226)=0),"NO CATALOG ID MATCH in Release_Label",iserror(vlookup($A226&amp;$B226,'3) Release_Label'!$D:$D&amp;'3) Release_Label'!$E:$E,1,0)),"NO UPC-CATALOG ID pair MATCH in Release_Label" )</f>
        <v/>
      </c>
      <c r="D226" s="121" t="str">
        <f t="array" ref="D226">ifs(and(isblank($A226),isblank($B226)),"", not(iserror(vlookup($A226&amp;$B226,'3) Release_Label'!$D:$D&amp;'3) Release_Label'!$E:$E,1,0))),vlookup($A226&amp;$B226,{'3) Release_Label'!$D:$D&amp;'3) Release_Label'!$E:$E,'3) Release_Label'!$H:$H},2,0), or(and(not(isblank($B226)),$B226=$B225,$A226&lt;&gt;$A225),and(not(isblank($A226)),$A226=$A225,$B226&lt;&gt;$B225)),"ID LISTS UNALIGNED",and($A226&lt;&gt;"",countif('3) Release_Label'!$D:$D,$A226)=0),"NO UPC MATCH in Release_Label",and($B226&lt;&gt;"",countif('3) Release_Label'!$E:$E,$B226)=0),"NO CATALOG ID MATCH in Release_Label",iserror(vlookup($A226&amp;$B226,'3) Release_Label'!$D:$D&amp;'3) Release_Label'!$E:$E,1,0)),"NO UPC-CATALOG ID pair MATCH in Release_Label" )</f>
        <v/>
      </c>
      <c r="E226" s="141" t="str">
        <f t="shared" si="2"/>
        <v/>
      </c>
      <c r="G226" s="103"/>
      <c r="H226" s="152"/>
      <c r="J226" s="99"/>
      <c r="K226" s="104"/>
      <c r="L226" s="99"/>
      <c r="N226" s="99"/>
      <c r="O226" s="99"/>
      <c r="P226" s="34"/>
    </row>
    <row r="227">
      <c r="A227" s="100"/>
      <c r="B227" s="103"/>
      <c r="C227" s="121" t="str">
        <f t="array" ref="C227">ifs(and(isblank($A227),isblank($B227)),"", not(iserror(vlookup($A227&amp;$B227,'3) Release_Label'!$D:$D&amp;'3) Release_Label'!$E:$E,1,0))),vlookup($A227&amp;$B227,{'3) Release_Label'!$D:$D&amp;'3) Release_Label'!$E:$E,'3) Release_Label'!$F:$F},2,0), or(and(not(isblank($B227)),$B227=$B226,$A227&lt;&gt;$A226),and(not(isblank($A227)),$A227=$A226,$B227&lt;&gt;$B226)),"ID LISTS UNALIGNED",and($A227&lt;&gt;"",countif('3) Release_Label'!$D:$D,$A227)=0),"NO UPC MATCH in Release_Label",and($B227&lt;&gt;"",countif('3) Release_Label'!$E:$E,$B227)=0),"NO CATALOG ID MATCH in Release_Label",iserror(vlookup($A227&amp;$B227,'3) Release_Label'!$D:$D&amp;'3) Release_Label'!$E:$E,1,0)),"NO UPC-CATALOG ID pair MATCH in Release_Label" )</f>
        <v/>
      </c>
      <c r="D227" s="121" t="str">
        <f t="array" ref="D227">ifs(and(isblank($A227),isblank($B227)),"", not(iserror(vlookup($A227&amp;$B227,'3) Release_Label'!$D:$D&amp;'3) Release_Label'!$E:$E,1,0))),vlookup($A227&amp;$B227,{'3) Release_Label'!$D:$D&amp;'3) Release_Label'!$E:$E,'3) Release_Label'!$H:$H},2,0), or(and(not(isblank($B227)),$B227=$B226,$A227&lt;&gt;$A226),and(not(isblank($A227)),$A227=$A226,$B227&lt;&gt;$B226)),"ID LISTS UNALIGNED",and($A227&lt;&gt;"",countif('3) Release_Label'!$D:$D,$A227)=0),"NO UPC MATCH in Release_Label",and($B227&lt;&gt;"",countif('3) Release_Label'!$E:$E,$B227)=0),"NO CATALOG ID MATCH in Release_Label",iserror(vlookup($A227&amp;$B227,'3) Release_Label'!$D:$D&amp;'3) Release_Label'!$E:$E,1,0)),"NO UPC-CATALOG ID pair MATCH in Release_Label" )</f>
        <v/>
      </c>
      <c r="E227" s="141" t="str">
        <f t="shared" si="2"/>
        <v/>
      </c>
      <c r="G227" s="103"/>
      <c r="H227" s="152"/>
      <c r="J227" s="99"/>
      <c r="K227" s="104"/>
      <c r="L227" s="99"/>
      <c r="N227" s="99"/>
      <c r="O227" s="99"/>
      <c r="P227" s="34"/>
    </row>
    <row r="228">
      <c r="A228" s="100"/>
      <c r="B228" s="103"/>
      <c r="C228" s="121" t="str">
        <f t="array" ref="C228">ifs(and(isblank($A228),isblank($B228)),"", not(iserror(vlookup($A228&amp;$B228,'3) Release_Label'!$D:$D&amp;'3) Release_Label'!$E:$E,1,0))),vlookup($A228&amp;$B228,{'3) Release_Label'!$D:$D&amp;'3) Release_Label'!$E:$E,'3) Release_Label'!$F:$F},2,0), or(and(not(isblank($B228)),$B228=$B227,$A228&lt;&gt;$A227),and(not(isblank($A228)),$A228=$A227,$B228&lt;&gt;$B227)),"ID LISTS UNALIGNED",and($A228&lt;&gt;"",countif('3) Release_Label'!$D:$D,$A228)=0),"NO UPC MATCH in Release_Label",and($B228&lt;&gt;"",countif('3) Release_Label'!$E:$E,$B228)=0),"NO CATALOG ID MATCH in Release_Label",iserror(vlookup($A228&amp;$B228,'3) Release_Label'!$D:$D&amp;'3) Release_Label'!$E:$E,1,0)),"NO UPC-CATALOG ID pair MATCH in Release_Label" )</f>
        <v/>
      </c>
      <c r="D228" s="121" t="str">
        <f t="array" ref="D228">ifs(and(isblank($A228),isblank($B228)),"", not(iserror(vlookup($A228&amp;$B228,'3) Release_Label'!$D:$D&amp;'3) Release_Label'!$E:$E,1,0))),vlookup($A228&amp;$B228,{'3) Release_Label'!$D:$D&amp;'3) Release_Label'!$E:$E,'3) Release_Label'!$H:$H},2,0), or(and(not(isblank($B228)),$B228=$B227,$A228&lt;&gt;$A227),and(not(isblank($A228)),$A228=$A227,$B228&lt;&gt;$B227)),"ID LISTS UNALIGNED",and($A228&lt;&gt;"",countif('3) Release_Label'!$D:$D,$A228)=0),"NO UPC MATCH in Release_Label",and($B228&lt;&gt;"",countif('3) Release_Label'!$E:$E,$B228)=0),"NO CATALOG ID MATCH in Release_Label",iserror(vlookup($A228&amp;$B228,'3) Release_Label'!$D:$D&amp;'3) Release_Label'!$E:$E,1,0)),"NO UPC-CATALOG ID pair MATCH in Release_Label" )</f>
        <v/>
      </c>
      <c r="E228" s="141" t="str">
        <f t="shared" si="2"/>
        <v/>
      </c>
      <c r="G228" s="103"/>
      <c r="H228" s="152"/>
      <c r="J228" s="99"/>
      <c r="K228" s="104"/>
      <c r="L228" s="99"/>
      <c r="N228" s="99"/>
      <c r="O228" s="99"/>
      <c r="P228" s="34"/>
    </row>
    <row r="229">
      <c r="A229" s="100"/>
      <c r="B229" s="103"/>
      <c r="C229" s="121" t="str">
        <f t="array" ref="C229">ifs(and(isblank($A229),isblank($B229)),"", not(iserror(vlookup($A229&amp;$B229,'3) Release_Label'!$D:$D&amp;'3) Release_Label'!$E:$E,1,0))),vlookup($A229&amp;$B229,{'3) Release_Label'!$D:$D&amp;'3) Release_Label'!$E:$E,'3) Release_Label'!$F:$F},2,0), or(and(not(isblank($B229)),$B229=$B228,$A229&lt;&gt;$A228),and(not(isblank($A229)),$A229=$A228,$B229&lt;&gt;$B228)),"ID LISTS UNALIGNED",and($A229&lt;&gt;"",countif('3) Release_Label'!$D:$D,$A229)=0),"NO UPC MATCH in Release_Label",and($B229&lt;&gt;"",countif('3) Release_Label'!$E:$E,$B229)=0),"NO CATALOG ID MATCH in Release_Label",iserror(vlookup($A229&amp;$B229,'3) Release_Label'!$D:$D&amp;'3) Release_Label'!$E:$E,1,0)),"NO UPC-CATALOG ID pair MATCH in Release_Label" )</f>
        <v/>
      </c>
      <c r="D229" s="121" t="str">
        <f t="array" ref="D229">ifs(and(isblank($A229),isblank($B229)),"", not(iserror(vlookup($A229&amp;$B229,'3) Release_Label'!$D:$D&amp;'3) Release_Label'!$E:$E,1,0))),vlookup($A229&amp;$B229,{'3) Release_Label'!$D:$D&amp;'3) Release_Label'!$E:$E,'3) Release_Label'!$H:$H},2,0), or(and(not(isblank($B229)),$B229=$B228,$A229&lt;&gt;$A228),and(not(isblank($A229)),$A229=$A228,$B229&lt;&gt;$B228)),"ID LISTS UNALIGNED",and($A229&lt;&gt;"",countif('3) Release_Label'!$D:$D,$A229)=0),"NO UPC MATCH in Release_Label",and($B229&lt;&gt;"",countif('3) Release_Label'!$E:$E,$B229)=0),"NO CATALOG ID MATCH in Release_Label",iserror(vlookup($A229&amp;$B229,'3) Release_Label'!$D:$D&amp;'3) Release_Label'!$E:$E,1,0)),"NO UPC-CATALOG ID pair MATCH in Release_Label" )</f>
        <v/>
      </c>
      <c r="E229" s="141" t="str">
        <f t="shared" si="2"/>
        <v/>
      </c>
      <c r="G229" s="103"/>
      <c r="H229" s="152"/>
      <c r="J229" s="99"/>
      <c r="K229" s="104"/>
      <c r="L229" s="99"/>
      <c r="N229" s="99"/>
      <c r="O229" s="99"/>
      <c r="P229" s="34"/>
    </row>
    <row r="230">
      <c r="A230" s="100"/>
      <c r="B230" s="103"/>
      <c r="C230" s="121" t="str">
        <f t="array" ref="C230">ifs(and(isblank($A230),isblank($B230)),"", not(iserror(vlookup($A230&amp;$B230,'3) Release_Label'!$D:$D&amp;'3) Release_Label'!$E:$E,1,0))),vlookup($A230&amp;$B230,{'3) Release_Label'!$D:$D&amp;'3) Release_Label'!$E:$E,'3) Release_Label'!$F:$F},2,0), or(and(not(isblank($B230)),$B230=$B229,$A230&lt;&gt;$A229),and(not(isblank($A230)),$A230=$A229,$B230&lt;&gt;$B229)),"ID LISTS UNALIGNED",and($A230&lt;&gt;"",countif('3) Release_Label'!$D:$D,$A230)=0),"NO UPC MATCH in Release_Label",and($B230&lt;&gt;"",countif('3) Release_Label'!$E:$E,$B230)=0),"NO CATALOG ID MATCH in Release_Label",iserror(vlookup($A230&amp;$B230,'3) Release_Label'!$D:$D&amp;'3) Release_Label'!$E:$E,1,0)),"NO UPC-CATALOG ID pair MATCH in Release_Label" )</f>
        <v/>
      </c>
      <c r="D230" s="121" t="str">
        <f t="array" ref="D230">ifs(and(isblank($A230),isblank($B230)),"", not(iserror(vlookup($A230&amp;$B230,'3) Release_Label'!$D:$D&amp;'3) Release_Label'!$E:$E,1,0))),vlookup($A230&amp;$B230,{'3) Release_Label'!$D:$D&amp;'3) Release_Label'!$E:$E,'3) Release_Label'!$H:$H},2,0), or(and(not(isblank($B230)),$B230=$B229,$A230&lt;&gt;$A229),and(not(isblank($A230)),$A230=$A229,$B230&lt;&gt;$B229)),"ID LISTS UNALIGNED",and($A230&lt;&gt;"",countif('3) Release_Label'!$D:$D,$A230)=0),"NO UPC MATCH in Release_Label",and($B230&lt;&gt;"",countif('3) Release_Label'!$E:$E,$B230)=0),"NO CATALOG ID MATCH in Release_Label",iserror(vlookup($A230&amp;$B230,'3) Release_Label'!$D:$D&amp;'3) Release_Label'!$E:$E,1,0)),"NO UPC-CATALOG ID pair MATCH in Release_Label" )</f>
        <v/>
      </c>
      <c r="E230" s="141" t="str">
        <f t="shared" si="2"/>
        <v/>
      </c>
      <c r="G230" s="103"/>
      <c r="H230" s="152"/>
      <c r="J230" s="99"/>
      <c r="K230" s="104"/>
      <c r="L230" s="99"/>
      <c r="N230" s="99"/>
      <c r="O230" s="99"/>
      <c r="P230" s="34"/>
    </row>
    <row r="231">
      <c r="A231" s="100"/>
      <c r="B231" s="103"/>
      <c r="C231" s="121" t="str">
        <f t="array" ref="C231">ifs(and(isblank($A231),isblank($B231)),"", not(iserror(vlookup($A231&amp;$B231,'3) Release_Label'!$D:$D&amp;'3) Release_Label'!$E:$E,1,0))),vlookup($A231&amp;$B231,{'3) Release_Label'!$D:$D&amp;'3) Release_Label'!$E:$E,'3) Release_Label'!$F:$F},2,0), or(and(not(isblank($B231)),$B231=$B230,$A231&lt;&gt;$A230),and(not(isblank($A231)),$A231=$A230,$B231&lt;&gt;$B230)),"ID LISTS UNALIGNED",and($A231&lt;&gt;"",countif('3) Release_Label'!$D:$D,$A231)=0),"NO UPC MATCH in Release_Label",and($B231&lt;&gt;"",countif('3) Release_Label'!$E:$E,$B231)=0),"NO CATALOG ID MATCH in Release_Label",iserror(vlookup($A231&amp;$B231,'3) Release_Label'!$D:$D&amp;'3) Release_Label'!$E:$E,1,0)),"NO UPC-CATALOG ID pair MATCH in Release_Label" )</f>
        <v/>
      </c>
      <c r="D231" s="121" t="str">
        <f t="array" ref="D231">ifs(and(isblank($A231),isblank($B231)),"", not(iserror(vlookup($A231&amp;$B231,'3) Release_Label'!$D:$D&amp;'3) Release_Label'!$E:$E,1,0))),vlookup($A231&amp;$B231,{'3) Release_Label'!$D:$D&amp;'3) Release_Label'!$E:$E,'3) Release_Label'!$H:$H},2,0), or(and(not(isblank($B231)),$B231=$B230,$A231&lt;&gt;$A230),and(not(isblank($A231)),$A231=$A230,$B231&lt;&gt;$B230)),"ID LISTS UNALIGNED",and($A231&lt;&gt;"",countif('3) Release_Label'!$D:$D,$A231)=0),"NO UPC MATCH in Release_Label",and($B231&lt;&gt;"",countif('3) Release_Label'!$E:$E,$B231)=0),"NO CATALOG ID MATCH in Release_Label",iserror(vlookup($A231&amp;$B231,'3) Release_Label'!$D:$D&amp;'3) Release_Label'!$E:$E,1,0)),"NO UPC-CATALOG ID pair MATCH in Release_Label" )</f>
        <v/>
      </c>
      <c r="E231" s="141" t="str">
        <f t="shared" si="2"/>
        <v/>
      </c>
      <c r="G231" s="103"/>
      <c r="H231" s="152"/>
      <c r="J231" s="99"/>
      <c r="K231" s="104"/>
      <c r="L231" s="99"/>
      <c r="N231" s="99"/>
      <c r="O231" s="99"/>
      <c r="P231" s="34"/>
    </row>
    <row r="232">
      <c r="A232" s="100"/>
      <c r="B232" s="103"/>
      <c r="C232" s="121" t="str">
        <f t="array" ref="C232">ifs(and(isblank($A232),isblank($B232)),"", not(iserror(vlookup($A232&amp;$B232,'3) Release_Label'!$D:$D&amp;'3) Release_Label'!$E:$E,1,0))),vlookup($A232&amp;$B232,{'3) Release_Label'!$D:$D&amp;'3) Release_Label'!$E:$E,'3) Release_Label'!$F:$F},2,0), or(and(not(isblank($B232)),$B232=$B231,$A232&lt;&gt;$A231),and(not(isblank($A232)),$A232=$A231,$B232&lt;&gt;$B231)),"ID LISTS UNALIGNED",and($A232&lt;&gt;"",countif('3) Release_Label'!$D:$D,$A232)=0),"NO UPC MATCH in Release_Label",and($B232&lt;&gt;"",countif('3) Release_Label'!$E:$E,$B232)=0),"NO CATALOG ID MATCH in Release_Label",iserror(vlookup($A232&amp;$B232,'3) Release_Label'!$D:$D&amp;'3) Release_Label'!$E:$E,1,0)),"NO UPC-CATALOG ID pair MATCH in Release_Label" )</f>
        <v/>
      </c>
      <c r="D232" s="121" t="str">
        <f t="array" ref="D232">ifs(and(isblank($A232),isblank($B232)),"", not(iserror(vlookup($A232&amp;$B232,'3) Release_Label'!$D:$D&amp;'3) Release_Label'!$E:$E,1,0))),vlookup($A232&amp;$B232,{'3) Release_Label'!$D:$D&amp;'3) Release_Label'!$E:$E,'3) Release_Label'!$H:$H},2,0), or(and(not(isblank($B232)),$B232=$B231,$A232&lt;&gt;$A231),and(not(isblank($A232)),$A232=$A231,$B232&lt;&gt;$B231)),"ID LISTS UNALIGNED",and($A232&lt;&gt;"",countif('3) Release_Label'!$D:$D,$A232)=0),"NO UPC MATCH in Release_Label",and($B232&lt;&gt;"",countif('3) Release_Label'!$E:$E,$B232)=0),"NO CATALOG ID MATCH in Release_Label",iserror(vlookup($A232&amp;$B232,'3) Release_Label'!$D:$D&amp;'3) Release_Label'!$E:$E,1,0)),"NO UPC-CATALOG ID pair MATCH in Release_Label" )</f>
        <v/>
      </c>
      <c r="E232" s="141" t="str">
        <f t="shared" si="2"/>
        <v/>
      </c>
      <c r="G232" s="103"/>
      <c r="H232" s="152"/>
      <c r="J232" s="99"/>
      <c r="K232" s="104"/>
      <c r="L232" s="99"/>
      <c r="N232" s="99"/>
      <c r="O232" s="99"/>
      <c r="P232" s="34"/>
    </row>
    <row r="233">
      <c r="A233" s="100"/>
      <c r="B233" s="103"/>
      <c r="C233" s="121" t="str">
        <f t="array" ref="C233">ifs(and(isblank($A233),isblank($B233)),"", not(iserror(vlookup($A233&amp;$B233,'3) Release_Label'!$D:$D&amp;'3) Release_Label'!$E:$E,1,0))),vlookup($A233&amp;$B233,{'3) Release_Label'!$D:$D&amp;'3) Release_Label'!$E:$E,'3) Release_Label'!$F:$F},2,0), or(and(not(isblank($B233)),$B233=$B232,$A233&lt;&gt;$A232),and(not(isblank($A233)),$A233=$A232,$B233&lt;&gt;$B232)),"ID LISTS UNALIGNED",and($A233&lt;&gt;"",countif('3) Release_Label'!$D:$D,$A233)=0),"NO UPC MATCH in Release_Label",and($B233&lt;&gt;"",countif('3) Release_Label'!$E:$E,$B233)=0),"NO CATALOG ID MATCH in Release_Label",iserror(vlookup($A233&amp;$B233,'3) Release_Label'!$D:$D&amp;'3) Release_Label'!$E:$E,1,0)),"NO UPC-CATALOG ID pair MATCH in Release_Label" )</f>
        <v/>
      </c>
      <c r="D233" s="121" t="str">
        <f t="array" ref="D233">ifs(and(isblank($A233),isblank($B233)),"", not(iserror(vlookup($A233&amp;$B233,'3) Release_Label'!$D:$D&amp;'3) Release_Label'!$E:$E,1,0))),vlookup($A233&amp;$B233,{'3) Release_Label'!$D:$D&amp;'3) Release_Label'!$E:$E,'3) Release_Label'!$H:$H},2,0), or(and(not(isblank($B233)),$B233=$B232,$A233&lt;&gt;$A232),and(not(isblank($A233)),$A233=$A232,$B233&lt;&gt;$B232)),"ID LISTS UNALIGNED",and($A233&lt;&gt;"",countif('3) Release_Label'!$D:$D,$A233)=0),"NO UPC MATCH in Release_Label",and($B233&lt;&gt;"",countif('3) Release_Label'!$E:$E,$B233)=0),"NO CATALOG ID MATCH in Release_Label",iserror(vlookup($A233&amp;$B233,'3) Release_Label'!$D:$D&amp;'3) Release_Label'!$E:$E,1,0)),"NO UPC-CATALOG ID pair MATCH in Release_Label" )</f>
        <v/>
      </c>
      <c r="E233" s="141" t="str">
        <f t="shared" si="2"/>
        <v/>
      </c>
      <c r="G233" s="103"/>
      <c r="H233" s="152"/>
      <c r="J233" s="99"/>
      <c r="K233" s="104"/>
      <c r="L233" s="99"/>
      <c r="N233" s="99"/>
      <c r="O233" s="99"/>
      <c r="P233" s="34"/>
    </row>
    <row r="234">
      <c r="A234" s="100"/>
      <c r="B234" s="103"/>
      <c r="C234" s="121" t="str">
        <f t="array" ref="C234">ifs(and(isblank($A234),isblank($B234)),"", not(iserror(vlookup($A234&amp;$B234,'3) Release_Label'!$D:$D&amp;'3) Release_Label'!$E:$E,1,0))),vlookup($A234&amp;$B234,{'3) Release_Label'!$D:$D&amp;'3) Release_Label'!$E:$E,'3) Release_Label'!$F:$F},2,0), or(and(not(isblank($B234)),$B234=$B233,$A234&lt;&gt;$A233),and(not(isblank($A234)),$A234=$A233,$B234&lt;&gt;$B233)),"ID LISTS UNALIGNED",and($A234&lt;&gt;"",countif('3) Release_Label'!$D:$D,$A234)=0),"NO UPC MATCH in Release_Label",and($B234&lt;&gt;"",countif('3) Release_Label'!$E:$E,$B234)=0),"NO CATALOG ID MATCH in Release_Label",iserror(vlookup($A234&amp;$B234,'3) Release_Label'!$D:$D&amp;'3) Release_Label'!$E:$E,1,0)),"NO UPC-CATALOG ID pair MATCH in Release_Label" )</f>
        <v/>
      </c>
      <c r="D234" s="121" t="str">
        <f t="array" ref="D234">ifs(and(isblank($A234),isblank($B234)),"", not(iserror(vlookup($A234&amp;$B234,'3) Release_Label'!$D:$D&amp;'3) Release_Label'!$E:$E,1,0))),vlookup($A234&amp;$B234,{'3) Release_Label'!$D:$D&amp;'3) Release_Label'!$E:$E,'3) Release_Label'!$H:$H},2,0), or(and(not(isblank($B234)),$B234=$B233,$A234&lt;&gt;$A233),and(not(isblank($A234)),$A234=$A233,$B234&lt;&gt;$B233)),"ID LISTS UNALIGNED",and($A234&lt;&gt;"",countif('3) Release_Label'!$D:$D,$A234)=0),"NO UPC MATCH in Release_Label",and($B234&lt;&gt;"",countif('3) Release_Label'!$E:$E,$B234)=0),"NO CATALOG ID MATCH in Release_Label",iserror(vlookup($A234&amp;$B234,'3) Release_Label'!$D:$D&amp;'3) Release_Label'!$E:$E,1,0)),"NO UPC-CATALOG ID pair MATCH in Release_Label" )</f>
        <v/>
      </c>
      <c r="E234" s="141" t="str">
        <f t="shared" si="2"/>
        <v/>
      </c>
      <c r="G234" s="103"/>
      <c r="H234" s="152"/>
      <c r="J234" s="99"/>
      <c r="K234" s="104"/>
      <c r="L234" s="99"/>
      <c r="N234" s="99"/>
      <c r="O234" s="99"/>
      <c r="P234" s="34"/>
    </row>
    <row r="235">
      <c r="A235" s="100"/>
      <c r="B235" s="103"/>
      <c r="C235" s="121" t="str">
        <f t="array" ref="C235">ifs(and(isblank($A235),isblank($B235)),"", not(iserror(vlookup($A235&amp;$B235,'3) Release_Label'!$D:$D&amp;'3) Release_Label'!$E:$E,1,0))),vlookup($A235&amp;$B235,{'3) Release_Label'!$D:$D&amp;'3) Release_Label'!$E:$E,'3) Release_Label'!$F:$F},2,0), or(and(not(isblank($B235)),$B235=$B234,$A235&lt;&gt;$A234),and(not(isblank($A235)),$A235=$A234,$B235&lt;&gt;$B234)),"ID LISTS UNALIGNED",and($A235&lt;&gt;"",countif('3) Release_Label'!$D:$D,$A235)=0),"NO UPC MATCH in Release_Label",and($B235&lt;&gt;"",countif('3) Release_Label'!$E:$E,$B235)=0),"NO CATALOG ID MATCH in Release_Label",iserror(vlookup($A235&amp;$B235,'3) Release_Label'!$D:$D&amp;'3) Release_Label'!$E:$E,1,0)),"NO UPC-CATALOG ID pair MATCH in Release_Label" )</f>
        <v/>
      </c>
      <c r="D235" s="121" t="str">
        <f t="array" ref="D235">ifs(and(isblank($A235),isblank($B235)),"", not(iserror(vlookup($A235&amp;$B235,'3) Release_Label'!$D:$D&amp;'3) Release_Label'!$E:$E,1,0))),vlookup($A235&amp;$B235,{'3) Release_Label'!$D:$D&amp;'3) Release_Label'!$E:$E,'3) Release_Label'!$H:$H},2,0), or(and(not(isblank($B235)),$B235=$B234,$A235&lt;&gt;$A234),and(not(isblank($A235)),$A235=$A234,$B235&lt;&gt;$B234)),"ID LISTS UNALIGNED",and($A235&lt;&gt;"",countif('3) Release_Label'!$D:$D,$A235)=0),"NO UPC MATCH in Release_Label",and($B235&lt;&gt;"",countif('3) Release_Label'!$E:$E,$B235)=0),"NO CATALOG ID MATCH in Release_Label",iserror(vlookup($A235&amp;$B235,'3) Release_Label'!$D:$D&amp;'3) Release_Label'!$E:$E,1,0)),"NO UPC-CATALOG ID pair MATCH in Release_Label" )</f>
        <v/>
      </c>
      <c r="E235" s="141" t="str">
        <f t="shared" si="2"/>
        <v/>
      </c>
      <c r="G235" s="103"/>
      <c r="H235" s="152"/>
      <c r="J235" s="99"/>
      <c r="K235" s="104"/>
      <c r="L235" s="99"/>
      <c r="N235" s="99"/>
      <c r="O235" s="99"/>
      <c r="P235" s="34"/>
    </row>
    <row r="236">
      <c r="A236" s="100"/>
      <c r="B236" s="103"/>
      <c r="C236" s="121" t="str">
        <f t="array" ref="C236">ifs(and(isblank($A236),isblank($B236)),"", not(iserror(vlookup($A236&amp;$B236,'3) Release_Label'!$D:$D&amp;'3) Release_Label'!$E:$E,1,0))),vlookup($A236&amp;$B236,{'3) Release_Label'!$D:$D&amp;'3) Release_Label'!$E:$E,'3) Release_Label'!$F:$F},2,0), or(and(not(isblank($B236)),$B236=$B235,$A236&lt;&gt;$A235),and(not(isblank($A236)),$A236=$A235,$B236&lt;&gt;$B235)),"ID LISTS UNALIGNED",and($A236&lt;&gt;"",countif('3) Release_Label'!$D:$D,$A236)=0),"NO UPC MATCH in Release_Label",and($B236&lt;&gt;"",countif('3) Release_Label'!$E:$E,$B236)=0),"NO CATALOG ID MATCH in Release_Label",iserror(vlookup($A236&amp;$B236,'3) Release_Label'!$D:$D&amp;'3) Release_Label'!$E:$E,1,0)),"NO UPC-CATALOG ID pair MATCH in Release_Label" )</f>
        <v/>
      </c>
      <c r="D236" s="121" t="str">
        <f t="array" ref="D236">ifs(and(isblank($A236),isblank($B236)),"", not(iserror(vlookup($A236&amp;$B236,'3) Release_Label'!$D:$D&amp;'3) Release_Label'!$E:$E,1,0))),vlookup($A236&amp;$B236,{'3) Release_Label'!$D:$D&amp;'3) Release_Label'!$E:$E,'3) Release_Label'!$H:$H},2,0), or(and(not(isblank($B236)),$B236=$B235,$A236&lt;&gt;$A235),and(not(isblank($A236)),$A236=$A235,$B236&lt;&gt;$B235)),"ID LISTS UNALIGNED",and($A236&lt;&gt;"",countif('3) Release_Label'!$D:$D,$A236)=0),"NO UPC MATCH in Release_Label",and($B236&lt;&gt;"",countif('3) Release_Label'!$E:$E,$B236)=0),"NO CATALOG ID MATCH in Release_Label",iserror(vlookup($A236&amp;$B236,'3) Release_Label'!$D:$D&amp;'3) Release_Label'!$E:$E,1,0)),"NO UPC-CATALOG ID pair MATCH in Release_Label" )</f>
        <v/>
      </c>
      <c r="E236" s="141" t="str">
        <f t="shared" si="2"/>
        <v/>
      </c>
      <c r="G236" s="103"/>
      <c r="H236" s="152"/>
      <c r="J236" s="99"/>
      <c r="K236" s="104"/>
      <c r="L236" s="99"/>
      <c r="N236" s="99"/>
      <c r="O236" s="99"/>
      <c r="P236" s="34"/>
    </row>
    <row r="237">
      <c r="A237" s="100"/>
      <c r="B237" s="103"/>
      <c r="C237" s="121" t="str">
        <f t="array" ref="C237">ifs(and(isblank($A237),isblank($B237)),"", not(iserror(vlookup($A237&amp;$B237,'3) Release_Label'!$D:$D&amp;'3) Release_Label'!$E:$E,1,0))),vlookup($A237&amp;$B237,{'3) Release_Label'!$D:$D&amp;'3) Release_Label'!$E:$E,'3) Release_Label'!$F:$F},2,0), or(and(not(isblank($B237)),$B237=$B236,$A237&lt;&gt;$A236),and(not(isblank($A237)),$A237=$A236,$B237&lt;&gt;$B236)),"ID LISTS UNALIGNED",and($A237&lt;&gt;"",countif('3) Release_Label'!$D:$D,$A237)=0),"NO UPC MATCH in Release_Label",and($B237&lt;&gt;"",countif('3) Release_Label'!$E:$E,$B237)=0),"NO CATALOG ID MATCH in Release_Label",iserror(vlookup($A237&amp;$B237,'3) Release_Label'!$D:$D&amp;'3) Release_Label'!$E:$E,1,0)),"NO UPC-CATALOG ID pair MATCH in Release_Label" )</f>
        <v/>
      </c>
      <c r="D237" s="121" t="str">
        <f t="array" ref="D237">ifs(and(isblank($A237),isblank($B237)),"", not(iserror(vlookup($A237&amp;$B237,'3) Release_Label'!$D:$D&amp;'3) Release_Label'!$E:$E,1,0))),vlookup($A237&amp;$B237,{'3) Release_Label'!$D:$D&amp;'3) Release_Label'!$E:$E,'3) Release_Label'!$H:$H},2,0), or(and(not(isblank($B237)),$B237=$B236,$A237&lt;&gt;$A236),and(not(isblank($A237)),$A237=$A236,$B237&lt;&gt;$B236)),"ID LISTS UNALIGNED",and($A237&lt;&gt;"",countif('3) Release_Label'!$D:$D,$A237)=0),"NO UPC MATCH in Release_Label",and($B237&lt;&gt;"",countif('3) Release_Label'!$E:$E,$B237)=0),"NO CATALOG ID MATCH in Release_Label",iserror(vlookup($A237&amp;$B237,'3) Release_Label'!$D:$D&amp;'3) Release_Label'!$E:$E,1,0)),"NO UPC-CATALOG ID pair MATCH in Release_Label" )</f>
        <v/>
      </c>
      <c r="E237" s="141" t="str">
        <f t="shared" si="2"/>
        <v/>
      </c>
      <c r="G237" s="103"/>
      <c r="H237" s="152"/>
      <c r="J237" s="99"/>
      <c r="K237" s="104"/>
      <c r="L237" s="99"/>
      <c r="N237" s="99"/>
      <c r="O237" s="99"/>
      <c r="P237" s="34"/>
    </row>
    <row r="238">
      <c r="A238" s="100"/>
      <c r="B238" s="103"/>
      <c r="C238" s="121" t="str">
        <f t="array" ref="C238">ifs(and(isblank($A238),isblank($B238)),"", not(iserror(vlookup($A238&amp;$B238,'3) Release_Label'!$D:$D&amp;'3) Release_Label'!$E:$E,1,0))),vlookup($A238&amp;$B238,{'3) Release_Label'!$D:$D&amp;'3) Release_Label'!$E:$E,'3) Release_Label'!$F:$F},2,0), or(and(not(isblank($B238)),$B238=$B237,$A238&lt;&gt;$A237),and(not(isblank($A238)),$A238=$A237,$B238&lt;&gt;$B237)),"ID LISTS UNALIGNED",and($A238&lt;&gt;"",countif('3) Release_Label'!$D:$D,$A238)=0),"NO UPC MATCH in Release_Label",and($B238&lt;&gt;"",countif('3) Release_Label'!$E:$E,$B238)=0),"NO CATALOG ID MATCH in Release_Label",iserror(vlookup($A238&amp;$B238,'3) Release_Label'!$D:$D&amp;'3) Release_Label'!$E:$E,1,0)),"NO UPC-CATALOG ID pair MATCH in Release_Label" )</f>
        <v/>
      </c>
      <c r="D238" s="121" t="str">
        <f t="array" ref="D238">ifs(and(isblank($A238),isblank($B238)),"", not(iserror(vlookup($A238&amp;$B238,'3) Release_Label'!$D:$D&amp;'3) Release_Label'!$E:$E,1,0))),vlookup($A238&amp;$B238,{'3) Release_Label'!$D:$D&amp;'3) Release_Label'!$E:$E,'3) Release_Label'!$H:$H},2,0), or(and(not(isblank($B238)),$B238=$B237,$A238&lt;&gt;$A237),and(not(isblank($A238)),$A238=$A237,$B238&lt;&gt;$B237)),"ID LISTS UNALIGNED",and($A238&lt;&gt;"",countif('3) Release_Label'!$D:$D,$A238)=0),"NO UPC MATCH in Release_Label",and($B238&lt;&gt;"",countif('3) Release_Label'!$E:$E,$B238)=0),"NO CATALOG ID MATCH in Release_Label",iserror(vlookup($A238&amp;$B238,'3) Release_Label'!$D:$D&amp;'3) Release_Label'!$E:$E,1,0)),"NO UPC-CATALOG ID pair MATCH in Release_Label" )</f>
        <v/>
      </c>
      <c r="E238" s="141" t="str">
        <f t="shared" si="2"/>
        <v/>
      </c>
      <c r="G238" s="103"/>
      <c r="H238" s="152"/>
      <c r="J238" s="99"/>
      <c r="K238" s="104"/>
      <c r="L238" s="99"/>
      <c r="N238" s="99"/>
      <c r="O238" s="99"/>
      <c r="P238" s="34"/>
    </row>
    <row r="239">
      <c r="A239" s="100"/>
      <c r="B239" s="103"/>
      <c r="C239" s="121" t="str">
        <f t="array" ref="C239">ifs(and(isblank($A239),isblank($B239)),"", not(iserror(vlookup($A239&amp;$B239,'3) Release_Label'!$D:$D&amp;'3) Release_Label'!$E:$E,1,0))),vlookup($A239&amp;$B239,{'3) Release_Label'!$D:$D&amp;'3) Release_Label'!$E:$E,'3) Release_Label'!$F:$F},2,0), or(and(not(isblank($B239)),$B239=$B238,$A239&lt;&gt;$A238),and(not(isblank($A239)),$A239=$A238,$B239&lt;&gt;$B238)),"ID LISTS UNALIGNED",and($A239&lt;&gt;"",countif('3) Release_Label'!$D:$D,$A239)=0),"NO UPC MATCH in Release_Label",and($B239&lt;&gt;"",countif('3) Release_Label'!$E:$E,$B239)=0),"NO CATALOG ID MATCH in Release_Label",iserror(vlookup($A239&amp;$B239,'3) Release_Label'!$D:$D&amp;'3) Release_Label'!$E:$E,1,0)),"NO UPC-CATALOG ID pair MATCH in Release_Label" )</f>
        <v/>
      </c>
      <c r="D239" s="121" t="str">
        <f t="array" ref="D239">ifs(and(isblank($A239),isblank($B239)),"", not(iserror(vlookup($A239&amp;$B239,'3) Release_Label'!$D:$D&amp;'3) Release_Label'!$E:$E,1,0))),vlookup($A239&amp;$B239,{'3) Release_Label'!$D:$D&amp;'3) Release_Label'!$E:$E,'3) Release_Label'!$H:$H},2,0), or(and(not(isblank($B239)),$B239=$B238,$A239&lt;&gt;$A238),and(not(isblank($A239)),$A239=$A238,$B239&lt;&gt;$B238)),"ID LISTS UNALIGNED",and($A239&lt;&gt;"",countif('3) Release_Label'!$D:$D,$A239)=0),"NO UPC MATCH in Release_Label",and($B239&lt;&gt;"",countif('3) Release_Label'!$E:$E,$B239)=0),"NO CATALOG ID MATCH in Release_Label",iserror(vlookup($A239&amp;$B239,'3) Release_Label'!$D:$D&amp;'3) Release_Label'!$E:$E,1,0)),"NO UPC-CATALOG ID pair MATCH in Release_Label" )</f>
        <v/>
      </c>
      <c r="E239" s="141" t="str">
        <f t="shared" si="2"/>
        <v/>
      </c>
      <c r="G239" s="103"/>
      <c r="H239" s="152"/>
      <c r="J239" s="99"/>
      <c r="K239" s="104"/>
      <c r="L239" s="99"/>
      <c r="N239" s="99"/>
      <c r="O239" s="99"/>
      <c r="P239" s="34"/>
    </row>
    <row r="240">
      <c r="A240" s="100"/>
      <c r="B240" s="103"/>
      <c r="C240" s="121" t="str">
        <f t="array" ref="C240">ifs(and(isblank($A240),isblank($B240)),"", not(iserror(vlookup($A240&amp;$B240,'3) Release_Label'!$D:$D&amp;'3) Release_Label'!$E:$E,1,0))),vlookup($A240&amp;$B240,{'3) Release_Label'!$D:$D&amp;'3) Release_Label'!$E:$E,'3) Release_Label'!$F:$F},2,0), or(and(not(isblank($B240)),$B240=$B239,$A240&lt;&gt;$A239),and(not(isblank($A240)),$A240=$A239,$B240&lt;&gt;$B239)),"ID LISTS UNALIGNED",and($A240&lt;&gt;"",countif('3) Release_Label'!$D:$D,$A240)=0),"NO UPC MATCH in Release_Label",and($B240&lt;&gt;"",countif('3) Release_Label'!$E:$E,$B240)=0),"NO CATALOG ID MATCH in Release_Label",iserror(vlookup($A240&amp;$B240,'3) Release_Label'!$D:$D&amp;'3) Release_Label'!$E:$E,1,0)),"NO UPC-CATALOG ID pair MATCH in Release_Label" )</f>
        <v/>
      </c>
      <c r="D240" s="121" t="str">
        <f t="array" ref="D240">ifs(and(isblank($A240),isblank($B240)),"", not(iserror(vlookup($A240&amp;$B240,'3) Release_Label'!$D:$D&amp;'3) Release_Label'!$E:$E,1,0))),vlookup($A240&amp;$B240,{'3) Release_Label'!$D:$D&amp;'3) Release_Label'!$E:$E,'3) Release_Label'!$H:$H},2,0), or(and(not(isblank($B240)),$B240=$B239,$A240&lt;&gt;$A239),and(not(isblank($A240)),$A240=$A239,$B240&lt;&gt;$B239)),"ID LISTS UNALIGNED",and($A240&lt;&gt;"",countif('3) Release_Label'!$D:$D,$A240)=0),"NO UPC MATCH in Release_Label",and($B240&lt;&gt;"",countif('3) Release_Label'!$E:$E,$B240)=0),"NO CATALOG ID MATCH in Release_Label",iserror(vlookup($A240&amp;$B240,'3) Release_Label'!$D:$D&amp;'3) Release_Label'!$E:$E,1,0)),"NO UPC-CATALOG ID pair MATCH in Release_Label" )</f>
        <v/>
      </c>
      <c r="E240" s="141" t="str">
        <f t="shared" si="2"/>
        <v/>
      </c>
      <c r="G240" s="103"/>
      <c r="H240" s="152"/>
      <c r="J240" s="99"/>
      <c r="K240" s="104"/>
      <c r="L240" s="99"/>
      <c r="N240" s="99"/>
      <c r="O240" s="99"/>
      <c r="P240" s="34"/>
    </row>
    <row r="241">
      <c r="A241" s="100"/>
      <c r="B241" s="103"/>
      <c r="C241" s="121" t="str">
        <f t="array" ref="C241">ifs(and(isblank($A241),isblank($B241)),"", not(iserror(vlookup($A241&amp;$B241,'3) Release_Label'!$D:$D&amp;'3) Release_Label'!$E:$E,1,0))),vlookup($A241&amp;$B241,{'3) Release_Label'!$D:$D&amp;'3) Release_Label'!$E:$E,'3) Release_Label'!$F:$F},2,0), or(and(not(isblank($B241)),$B241=$B240,$A241&lt;&gt;$A240),and(not(isblank($A241)),$A241=$A240,$B241&lt;&gt;$B240)),"ID LISTS UNALIGNED",and($A241&lt;&gt;"",countif('3) Release_Label'!$D:$D,$A241)=0),"NO UPC MATCH in Release_Label",and($B241&lt;&gt;"",countif('3) Release_Label'!$E:$E,$B241)=0),"NO CATALOG ID MATCH in Release_Label",iserror(vlookup($A241&amp;$B241,'3) Release_Label'!$D:$D&amp;'3) Release_Label'!$E:$E,1,0)),"NO UPC-CATALOG ID pair MATCH in Release_Label" )</f>
        <v/>
      </c>
      <c r="D241" s="121" t="str">
        <f t="array" ref="D241">ifs(and(isblank($A241),isblank($B241)),"", not(iserror(vlookup($A241&amp;$B241,'3) Release_Label'!$D:$D&amp;'3) Release_Label'!$E:$E,1,0))),vlookup($A241&amp;$B241,{'3) Release_Label'!$D:$D&amp;'3) Release_Label'!$E:$E,'3) Release_Label'!$H:$H},2,0), or(and(not(isblank($B241)),$B241=$B240,$A241&lt;&gt;$A240),and(not(isblank($A241)),$A241=$A240,$B241&lt;&gt;$B240)),"ID LISTS UNALIGNED",and($A241&lt;&gt;"",countif('3) Release_Label'!$D:$D,$A241)=0),"NO UPC MATCH in Release_Label",and($B241&lt;&gt;"",countif('3) Release_Label'!$E:$E,$B241)=0),"NO CATALOG ID MATCH in Release_Label",iserror(vlookup($A241&amp;$B241,'3) Release_Label'!$D:$D&amp;'3) Release_Label'!$E:$E,1,0)),"NO UPC-CATALOG ID pair MATCH in Release_Label" )</f>
        <v/>
      </c>
      <c r="E241" s="141" t="str">
        <f t="shared" si="2"/>
        <v/>
      </c>
      <c r="G241" s="103"/>
      <c r="H241" s="152"/>
      <c r="J241" s="99"/>
      <c r="K241" s="104"/>
      <c r="L241" s="99"/>
      <c r="N241" s="99"/>
      <c r="O241" s="99"/>
      <c r="P241" s="34"/>
    </row>
    <row r="242">
      <c r="A242" s="100"/>
      <c r="B242" s="103"/>
      <c r="C242" s="121" t="str">
        <f t="array" ref="C242">ifs(and(isblank($A242),isblank($B242)),"", not(iserror(vlookup($A242&amp;$B242,'3) Release_Label'!$D:$D&amp;'3) Release_Label'!$E:$E,1,0))),vlookup($A242&amp;$B242,{'3) Release_Label'!$D:$D&amp;'3) Release_Label'!$E:$E,'3) Release_Label'!$F:$F},2,0), or(and(not(isblank($B242)),$B242=$B241,$A242&lt;&gt;$A241),and(not(isblank($A242)),$A242=$A241,$B242&lt;&gt;$B241)),"ID LISTS UNALIGNED",and($A242&lt;&gt;"",countif('3) Release_Label'!$D:$D,$A242)=0),"NO UPC MATCH in Release_Label",and($B242&lt;&gt;"",countif('3) Release_Label'!$E:$E,$B242)=0),"NO CATALOG ID MATCH in Release_Label",iserror(vlookup($A242&amp;$B242,'3) Release_Label'!$D:$D&amp;'3) Release_Label'!$E:$E,1,0)),"NO UPC-CATALOG ID pair MATCH in Release_Label" )</f>
        <v/>
      </c>
      <c r="D242" s="121" t="str">
        <f t="array" ref="D242">ifs(and(isblank($A242),isblank($B242)),"", not(iserror(vlookup($A242&amp;$B242,'3) Release_Label'!$D:$D&amp;'3) Release_Label'!$E:$E,1,0))),vlookup($A242&amp;$B242,{'3) Release_Label'!$D:$D&amp;'3) Release_Label'!$E:$E,'3) Release_Label'!$H:$H},2,0), or(and(not(isblank($B242)),$B242=$B241,$A242&lt;&gt;$A241),and(not(isblank($A242)),$A242=$A241,$B242&lt;&gt;$B241)),"ID LISTS UNALIGNED",and($A242&lt;&gt;"",countif('3) Release_Label'!$D:$D,$A242)=0),"NO UPC MATCH in Release_Label",and($B242&lt;&gt;"",countif('3) Release_Label'!$E:$E,$B242)=0),"NO CATALOG ID MATCH in Release_Label",iserror(vlookup($A242&amp;$B242,'3) Release_Label'!$D:$D&amp;'3) Release_Label'!$E:$E,1,0)),"NO UPC-CATALOG ID pair MATCH in Release_Label" )</f>
        <v/>
      </c>
      <c r="E242" s="141" t="str">
        <f t="shared" si="2"/>
        <v/>
      </c>
      <c r="G242" s="103"/>
      <c r="H242" s="152"/>
      <c r="J242" s="99"/>
      <c r="K242" s="104"/>
      <c r="L242" s="99"/>
      <c r="N242" s="99"/>
      <c r="O242" s="99"/>
      <c r="P242" s="34"/>
    </row>
    <row r="243">
      <c r="A243" s="100"/>
      <c r="B243" s="103"/>
      <c r="C243" s="121" t="str">
        <f t="array" ref="C243">ifs(and(isblank($A243),isblank($B243)),"", not(iserror(vlookup($A243&amp;$B243,'3) Release_Label'!$D:$D&amp;'3) Release_Label'!$E:$E,1,0))),vlookup($A243&amp;$B243,{'3) Release_Label'!$D:$D&amp;'3) Release_Label'!$E:$E,'3) Release_Label'!$F:$F},2,0), or(and(not(isblank($B243)),$B243=$B242,$A243&lt;&gt;$A242),and(not(isblank($A243)),$A243=$A242,$B243&lt;&gt;$B242)),"ID LISTS UNALIGNED",and($A243&lt;&gt;"",countif('3) Release_Label'!$D:$D,$A243)=0),"NO UPC MATCH in Release_Label",and($B243&lt;&gt;"",countif('3) Release_Label'!$E:$E,$B243)=0),"NO CATALOG ID MATCH in Release_Label",iserror(vlookup($A243&amp;$B243,'3) Release_Label'!$D:$D&amp;'3) Release_Label'!$E:$E,1,0)),"NO UPC-CATALOG ID pair MATCH in Release_Label" )</f>
        <v/>
      </c>
      <c r="D243" s="121" t="str">
        <f t="array" ref="D243">ifs(and(isblank($A243),isblank($B243)),"", not(iserror(vlookup($A243&amp;$B243,'3) Release_Label'!$D:$D&amp;'3) Release_Label'!$E:$E,1,0))),vlookup($A243&amp;$B243,{'3) Release_Label'!$D:$D&amp;'3) Release_Label'!$E:$E,'3) Release_Label'!$H:$H},2,0), or(and(not(isblank($B243)),$B243=$B242,$A243&lt;&gt;$A242),and(not(isblank($A243)),$A243=$A242,$B243&lt;&gt;$B242)),"ID LISTS UNALIGNED",and($A243&lt;&gt;"",countif('3) Release_Label'!$D:$D,$A243)=0),"NO UPC MATCH in Release_Label",and($B243&lt;&gt;"",countif('3) Release_Label'!$E:$E,$B243)=0),"NO CATALOG ID MATCH in Release_Label",iserror(vlookup($A243&amp;$B243,'3) Release_Label'!$D:$D&amp;'3) Release_Label'!$E:$E,1,0)),"NO UPC-CATALOG ID pair MATCH in Release_Label" )</f>
        <v/>
      </c>
      <c r="E243" s="141" t="str">
        <f t="shared" si="2"/>
        <v/>
      </c>
      <c r="G243" s="103"/>
      <c r="H243" s="152"/>
      <c r="J243" s="99"/>
      <c r="K243" s="104"/>
      <c r="L243" s="99"/>
      <c r="N243" s="99"/>
      <c r="O243" s="99"/>
      <c r="P243" s="34"/>
    </row>
    <row r="244">
      <c r="A244" s="100"/>
      <c r="B244" s="103"/>
      <c r="C244" s="121" t="str">
        <f t="array" ref="C244">ifs(and(isblank($A244),isblank($B244)),"", not(iserror(vlookup($A244&amp;$B244,'3) Release_Label'!$D:$D&amp;'3) Release_Label'!$E:$E,1,0))),vlookup($A244&amp;$B244,{'3) Release_Label'!$D:$D&amp;'3) Release_Label'!$E:$E,'3) Release_Label'!$F:$F},2,0), or(and(not(isblank($B244)),$B244=$B243,$A244&lt;&gt;$A243),and(not(isblank($A244)),$A244=$A243,$B244&lt;&gt;$B243)),"ID LISTS UNALIGNED",and($A244&lt;&gt;"",countif('3) Release_Label'!$D:$D,$A244)=0),"NO UPC MATCH in Release_Label",and($B244&lt;&gt;"",countif('3) Release_Label'!$E:$E,$B244)=0),"NO CATALOG ID MATCH in Release_Label",iserror(vlookup($A244&amp;$B244,'3) Release_Label'!$D:$D&amp;'3) Release_Label'!$E:$E,1,0)),"NO UPC-CATALOG ID pair MATCH in Release_Label" )</f>
        <v/>
      </c>
      <c r="D244" s="121" t="str">
        <f t="array" ref="D244">ifs(and(isblank($A244),isblank($B244)),"", not(iserror(vlookup($A244&amp;$B244,'3) Release_Label'!$D:$D&amp;'3) Release_Label'!$E:$E,1,0))),vlookup($A244&amp;$B244,{'3) Release_Label'!$D:$D&amp;'3) Release_Label'!$E:$E,'3) Release_Label'!$H:$H},2,0), or(and(not(isblank($B244)),$B244=$B243,$A244&lt;&gt;$A243),and(not(isblank($A244)),$A244=$A243,$B244&lt;&gt;$B243)),"ID LISTS UNALIGNED",and($A244&lt;&gt;"",countif('3) Release_Label'!$D:$D,$A244)=0),"NO UPC MATCH in Release_Label",and($B244&lt;&gt;"",countif('3) Release_Label'!$E:$E,$B244)=0),"NO CATALOG ID MATCH in Release_Label",iserror(vlookup($A244&amp;$B244,'3) Release_Label'!$D:$D&amp;'3) Release_Label'!$E:$E,1,0)),"NO UPC-CATALOG ID pair MATCH in Release_Label" )</f>
        <v/>
      </c>
      <c r="E244" s="141" t="str">
        <f t="shared" si="2"/>
        <v/>
      </c>
      <c r="G244" s="103"/>
      <c r="H244" s="152"/>
      <c r="J244" s="99"/>
      <c r="K244" s="104"/>
      <c r="L244" s="99"/>
      <c r="N244" s="99"/>
      <c r="O244" s="99"/>
      <c r="P244" s="34"/>
    </row>
    <row r="245">
      <c r="A245" s="100"/>
      <c r="B245" s="103"/>
      <c r="C245" s="121" t="str">
        <f t="array" ref="C245">ifs(and(isblank($A245),isblank($B245)),"", not(iserror(vlookup($A245&amp;$B245,'3) Release_Label'!$D:$D&amp;'3) Release_Label'!$E:$E,1,0))),vlookup($A245&amp;$B245,{'3) Release_Label'!$D:$D&amp;'3) Release_Label'!$E:$E,'3) Release_Label'!$F:$F},2,0), or(and(not(isblank($B245)),$B245=$B244,$A245&lt;&gt;$A244),and(not(isblank($A245)),$A245=$A244,$B245&lt;&gt;$B244)),"ID LISTS UNALIGNED",and($A245&lt;&gt;"",countif('3) Release_Label'!$D:$D,$A245)=0),"NO UPC MATCH in Release_Label",and($B245&lt;&gt;"",countif('3) Release_Label'!$E:$E,$B245)=0),"NO CATALOG ID MATCH in Release_Label",iserror(vlookup($A245&amp;$B245,'3) Release_Label'!$D:$D&amp;'3) Release_Label'!$E:$E,1,0)),"NO UPC-CATALOG ID pair MATCH in Release_Label" )</f>
        <v/>
      </c>
      <c r="D245" s="121" t="str">
        <f t="array" ref="D245">ifs(and(isblank($A245),isblank($B245)),"", not(iserror(vlookup($A245&amp;$B245,'3) Release_Label'!$D:$D&amp;'3) Release_Label'!$E:$E,1,0))),vlookup($A245&amp;$B245,{'3) Release_Label'!$D:$D&amp;'3) Release_Label'!$E:$E,'3) Release_Label'!$H:$H},2,0), or(and(not(isblank($B245)),$B245=$B244,$A245&lt;&gt;$A244),and(not(isblank($A245)),$A245=$A244,$B245&lt;&gt;$B244)),"ID LISTS UNALIGNED",and($A245&lt;&gt;"",countif('3) Release_Label'!$D:$D,$A245)=0),"NO UPC MATCH in Release_Label",and($B245&lt;&gt;"",countif('3) Release_Label'!$E:$E,$B245)=0),"NO CATALOG ID MATCH in Release_Label",iserror(vlookup($A245&amp;$B245,'3) Release_Label'!$D:$D&amp;'3) Release_Label'!$E:$E,1,0)),"NO UPC-CATALOG ID pair MATCH in Release_Label" )</f>
        <v/>
      </c>
      <c r="E245" s="141" t="str">
        <f t="shared" si="2"/>
        <v/>
      </c>
      <c r="G245" s="103"/>
      <c r="H245" s="152"/>
      <c r="J245" s="99"/>
      <c r="K245" s="104"/>
      <c r="L245" s="99"/>
      <c r="N245" s="99"/>
      <c r="O245" s="99"/>
      <c r="P245" s="34"/>
    </row>
    <row r="246">
      <c r="A246" s="100"/>
      <c r="B246" s="103"/>
      <c r="C246" s="121" t="str">
        <f t="array" ref="C246">ifs(and(isblank($A246),isblank($B246)),"", not(iserror(vlookup($A246&amp;$B246,'3) Release_Label'!$D:$D&amp;'3) Release_Label'!$E:$E,1,0))),vlookup($A246&amp;$B246,{'3) Release_Label'!$D:$D&amp;'3) Release_Label'!$E:$E,'3) Release_Label'!$F:$F},2,0), or(and(not(isblank($B246)),$B246=$B245,$A246&lt;&gt;$A245),and(not(isblank($A246)),$A246=$A245,$B246&lt;&gt;$B245)),"ID LISTS UNALIGNED",and($A246&lt;&gt;"",countif('3) Release_Label'!$D:$D,$A246)=0),"NO UPC MATCH in Release_Label",and($B246&lt;&gt;"",countif('3) Release_Label'!$E:$E,$B246)=0),"NO CATALOG ID MATCH in Release_Label",iserror(vlookup($A246&amp;$B246,'3) Release_Label'!$D:$D&amp;'3) Release_Label'!$E:$E,1,0)),"NO UPC-CATALOG ID pair MATCH in Release_Label" )</f>
        <v/>
      </c>
      <c r="D246" s="121" t="str">
        <f t="array" ref="D246">ifs(and(isblank($A246),isblank($B246)),"", not(iserror(vlookup($A246&amp;$B246,'3) Release_Label'!$D:$D&amp;'3) Release_Label'!$E:$E,1,0))),vlookup($A246&amp;$B246,{'3) Release_Label'!$D:$D&amp;'3) Release_Label'!$E:$E,'3) Release_Label'!$H:$H},2,0), or(and(not(isblank($B246)),$B246=$B245,$A246&lt;&gt;$A245),and(not(isblank($A246)),$A246=$A245,$B246&lt;&gt;$B245)),"ID LISTS UNALIGNED",and($A246&lt;&gt;"",countif('3) Release_Label'!$D:$D,$A246)=0),"NO UPC MATCH in Release_Label",and($B246&lt;&gt;"",countif('3) Release_Label'!$E:$E,$B246)=0),"NO CATALOG ID MATCH in Release_Label",iserror(vlookup($A246&amp;$B246,'3) Release_Label'!$D:$D&amp;'3) Release_Label'!$E:$E,1,0)),"NO UPC-CATALOG ID pair MATCH in Release_Label" )</f>
        <v/>
      </c>
      <c r="E246" s="141" t="str">
        <f t="shared" si="2"/>
        <v/>
      </c>
      <c r="G246" s="103"/>
      <c r="H246" s="152"/>
      <c r="J246" s="99"/>
      <c r="K246" s="104"/>
      <c r="L246" s="99"/>
      <c r="N246" s="99"/>
      <c r="O246" s="99"/>
      <c r="P246" s="34"/>
    </row>
    <row r="247">
      <c r="A247" s="100"/>
      <c r="B247" s="103"/>
      <c r="C247" s="121" t="str">
        <f t="array" ref="C247">ifs(and(isblank($A247),isblank($B247)),"", not(iserror(vlookup($A247&amp;$B247,'3) Release_Label'!$D:$D&amp;'3) Release_Label'!$E:$E,1,0))),vlookup($A247&amp;$B247,{'3) Release_Label'!$D:$D&amp;'3) Release_Label'!$E:$E,'3) Release_Label'!$F:$F},2,0), or(and(not(isblank($B247)),$B247=$B246,$A247&lt;&gt;$A246),and(not(isblank($A247)),$A247=$A246,$B247&lt;&gt;$B246)),"ID LISTS UNALIGNED",and($A247&lt;&gt;"",countif('3) Release_Label'!$D:$D,$A247)=0),"NO UPC MATCH in Release_Label",and($B247&lt;&gt;"",countif('3) Release_Label'!$E:$E,$B247)=0),"NO CATALOG ID MATCH in Release_Label",iserror(vlookup($A247&amp;$B247,'3) Release_Label'!$D:$D&amp;'3) Release_Label'!$E:$E,1,0)),"NO UPC-CATALOG ID pair MATCH in Release_Label" )</f>
        <v/>
      </c>
      <c r="D247" s="121" t="str">
        <f t="array" ref="D247">ifs(and(isblank($A247),isblank($B247)),"", not(iserror(vlookup($A247&amp;$B247,'3) Release_Label'!$D:$D&amp;'3) Release_Label'!$E:$E,1,0))),vlookup($A247&amp;$B247,{'3) Release_Label'!$D:$D&amp;'3) Release_Label'!$E:$E,'3) Release_Label'!$H:$H},2,0), or(and(not(isblank($B247)),$B247=$B246,$A247&lt;&gt;$A246),and(not(isblank($A247)),$A247=$A246,$B247&lt;&gt;$B246)),"ID LISTS UNALIGNED",and($A247&lt;&gt;"",countif('3) Release_Label'!$D:$D,$A247)=0),"NO UPC MATCH in Release_Label",and($B247&lt;&gt;"",countif('3) Release_Label'!$E:$E,$B247)=0),"NO CATALOG ID MATCH in Release_Label",iserror(vlookup($A247&amp;$B247,'3) Release_Label'!$D:$D&amp;'3) Release_Label'!$E:$E,1,0)),"NO UPC-CATALOG ID pair MATCH in Release_Label" )</f>
        <v/>
      </c>
      <c r="E247" s="141" t="str">
        <f t="shared" si="2"/>
        <v/>
      </c>
      <c r="G247" s="103"/>
      <c r="H247" s="152"/>
      <c r="J247" s="99"/>
      <c r="K247" s="104"/>
      <c r="L247" s="99"/>
      <c r="N247" s="99"/>
      <c r="O247" s="99"/>
      <c r="P247" s="34"/>
    </row>
    <row r="248">
      <c r="A248" s="100"/>
      <c r="B248" s="103"/>
      <c r="C248" s="121" t="str">
        <f t="array" ref="C248">ifs(and(isblank($A248),isblank($B248)),"", not(iserror(vlookup($A248&amp;$B248,'3) Release_Label'!$D:$D&amp;'3) Release_Label'!$E:$E,1,0))),vlookup($A248&amp;$B248,{'3) Release_Label'!$D:$D&amp;'3) Release_Label'!$E:$E,'3) Release_Label'!$F:$F},2,0), or(and(not(isblank($B248)),$B248=$B247,$A248&lt;&gt;$A247),and(not(isblank($A248)),$A248=$A247,$B248&lt;&gt;$B247)),"ID LISTS UNALIGNED",and($A248&lt;&gt;"",countif('3) Release_Label'!$D:$D,$A248)=0),"NO UPC MATCH in Release_Label",and($B248&lt;&gt;"",countif('3) Release_Label'!$E:$E,$B248)=0),"NO CATALOG ID MATCH in Release_Label",iserror(vlookup($A248&amp;$B248,'3) Release_Label'!$D:$D&amp;'3) Release_Label'!$E:$E,1,0)),"NO UPC-CATALOG ID pair MATCH in Release_Label" )</f>
        <v/>
      </c>
      <c r="D248" s="121" t="str">
        <f t="array" ref="D248">ifs(and(isblank($A248),isblank($B248)),"", not(iserror(vlookup($A248&amp;$B248,'3) Release_Label'!$D:$D&amp;'3) Release_Label'!$E:$E,1,0))),vlookup($A248&amp;$B248,{'3) Release_Label'!$D:$D&amp;'3) Release_Label'!$E:$E,'3) Release_Label'!$H:$H},2,0), or(and(not(isblank($B248)),$B248=$B247,$A248&lt;&gt;$A247),and(not(isblank($A248)),$A248=$A247,$B248&lt;&gt;$B247)),"ID LISTS UNALIGNED",and($A248&lt;&gt;"",countif('3) Release_Label'!$D:$D,$A248)=0),"NO UPC MATCH in Release_Label",and($B248&lt;&gt;"",countif('3) Release_Label'!$E:$E,$B248)=0),"NO CATALOG ID MATCH in Release_Label",iserror(vlookup($A248&amp;$B248,'3) Release_Label'!$D:$D&amp;'3) Release_Label'!$E:$E,1,0)),"NO UPC-CATALOG ID pair MATCH in Release_Label" )</f>
        <v/>
      </c>
      <c r="E248" s="141" t="str">
        <f t="shared" si="2"/>
        <v/>
      </c>
      <c r="G248" s="103"/>
      <c r="H248" s="152"/>
      <c r="J248" s="99"/>
      <c r="K248" s="104"/>
      <c r="L248" s="99"/>
      <c r="N248" s="99"/>
      <c r="O248" s="99"/>
      <c r="P248" s="34"/>
    </row>
    <row r="249">
      <c r="A249" s="100"/>
      <c r="B249" s="103"/>
      <c r="C249" s="121" t="str">
        <f t="array" ref="C249">ifs(and(isblank($A249),isblank($B249)),"", not(iserror(vlookup($A249&amp;$B249,'3) Release_Label'!$D:$D&amp;'3) Release_Label'!$E:$E,1,0))),vlookup($A249&amp;$B249,{'3) Release_Label'!$D:$D&amp;'3) Release_Label'!$E:$E,'3) Release_Label'!$F:$F},2,0), or(and(not(isblank($B249)),$B249=$B248,$A249&lt;&gt;$A248),and(not(isblank($A249)),$A249=$A248,$B249&lt;&gt;$B248)),"ID LISTS UNALIGNED",and($A249&lt;&gt;"",countif('3) Release_Label'!$D:$D,$A249)=0),"NO UPC MATCH in Release_Label",and($B249&lt;&gt;"",countif('3) Release_Label'!$E:$E,$B249)=0),"NO CATALOG ID MATCH in Release_Label",iserror(vlookup($A249&amp;$B249,'3) Release_Label'!$D:$D&amp;'3) Release_Label'!$E:$E,1,0)),"NO UPC-CATALOG ID pair MATCH in Release_Label" )</f>
        <v/>
      </c>
      <c r="D249" s="121" t="str">
        <f t="array" ref="D249">ifs(and(isblank($A249),isblank($B249)),"", not(iserror(vlookup($A249&amp;$B249,'3) Release_Label'!$D:$D&amp;'3) Release_Label'!$E:$E,1,0))),vlookup($A249&amp;$B249,{'3) Release_Label'!$D:$D&amp;'3) Release_Label'!$E:$E,'3) Release_Label'!$H:$H},2,0), or(and(not(isblank($B249)),$B249=$B248,$A249&lt;&gt;$A248),and(not(isblank($A249)),$A249=$A248,$B249&lt;&gt;$B248)),"ID LISTS UNALIGNED",and($A249&lt;&gt;"",countif('3) Release_Label'!$D:$D,$A249)=0),"NO UPC MATCH in Release_Label",and($B249&lt;&gt;"",countif('3) Release_Label'!$E:$E,$B249)=0),"NO CATALOG ID MATCH in Release_Label",iserror(vlookup($A249&amp;$B249,'3) Release_Label'!$D:$D&amp;'3) Release_Label'!$E:$E,1,0)),"NO UPC-CATALOG ID pair MATCH in Release_Label" )</f>
        <v/>
      </c>
      <c r="E249" s="141" t="str">
        <f t="shared" si="2"/>
        <v/>
      </c>
      <c r="G249" s="103"/>
      <c r="H249" s="152"/>
      <c r="J249" s="99"/>
      <c r="K249" s="104"/>
      <c r="L249" s="99"/>
      <c r="N249" s="99"/>
      <c r="O249" s="99"/>
      <c r="P249" s="34"/>
    </row>
    <row r="250">
      <c r="A250" s="100"/>
      <c r="B250" s="103"/>
      <c r="C250" s="121" t="str">
        <f t="array" ref="C250">ifs(and(isblank($A250),isblank($B250)),"", not(iserror(vlookup($A250&amp;$B250,'3) Release_Label'!$D:$D&amp;'3) Release_Label'!$E:$E,1,0))),vlookup($A250&amp;$B250,{'3) Release_Label'!$D:$D&amp;'3) Release_Label'!$E:$E,'3) Release_Label'!$F:$F},2,0), or(and(not(isblank($B250)),$B250=$B249,$A250&lt;&gt;$A249),and(not(isblank($A250)),$A250=$A249,$B250&lt;&gt;$B249)),"ID LISTS UNALIGNED",and($A250&lt;&gt;"",countif('3) Release_Label'!$D:$D,$A250)=0),"NO UPC MATCH in Release_Label",and($B250&lt;&gt;"",countif('3) Release_Label'!$E:$E,$B250)=0),"NO CATALOG ID MATCH in Release_Label",iserror(vlookup($A250&amp;$B250,'3) Release_Label'!$D:$D&amp;'3) Release_Label'!$E:$E,1,0)),"NO UPC-CATALOG ID pair MATCH in Release_Label" )</f>
        <v/>
      </c>
      <c r="D250" s="121" t="str">
        <f t="array" ref="D250">ifs(and(isblank($A250),isblank($B250)),"", not(iserror(vlookup($A250&amp;$B250,'3) Release_Label'!$D:$D&amp;'3) Release_Label'!$E:$E,1,0))),vlookup($A250&amp;$B250,{'3) Release_Label'!$D:$D&amp;'3) Release_Label'!$E:$E,'3) Release_Label'!$H:$H},2,0), or(and(not(isblank($B250)),$B250=$B249,$A250&lt;&gt;$A249),and(not(isblank($A250)),$A250=$A249,$B250&lt;&gt;$B249)),"ID LISTS UNALIGNED",and($A250&lt;&gt;"",countif('3) Release_Label'!$D:$D,$A250)=0),"NO UPC MATCH in Release_Label",and($B250&lt;&gt;"",countif('3) Release_Label'!$E:$E,$B250)=0),"NO CATALOG ID MATCH in Release_Label",iserror(vlookup($A250&amp;$B250,'3) Release_Label'!$D:$D&amp;'3) Release_Label'!$E:$E,1,0)),"NO UPC-CATALOG ID pair MATCH in Release_Label" )</f>
        <v/>
      </c>
      <c r="E250" s="141" t="str">
        <f t="shared" si="2"/>
        <v/>
      </c>
      <c r="G250" s="103"/>
      <c r="H250" s="152"/>
      <c r="J250" s="99"/>
      <c r="K250" s="104"/>
      <c r="L250" s="99"/>
      <c r="N250" s="99"/>
      <c r="O250" s="99"/>
      <c r="P250" s="34"/>
    </row>
    <row r="251">
      <c r="A251" s="100"/>
      <c r="B251" s="103"/>
      <c r="C251" s="121" t="str">
        <f t="array" ref="C251">ifs(and(isblank($A251),isblank($B251)),"", not(iserror(vlookup($A251&amp;$B251,'3) Release_Label'!$D:$D&amp;'3) Release_Label'!$E:$E,1,0))),vlookup($A251&amp;$B251,{'3) Release_Label'!$D:$D&amp;'3) Release_Label'!$E:$E,'3) Release_Label'!$F:$F},2,0), or(and(not(isblank($B251)),$B251=$B250,$A251&lt;&gt;$A250),and(not(isblank($A251)),$A251=$A250,$B251&lt;&gt;$B250)),"ID LISTS UNALIGNED",and($A251&lt;&gt;"",countif('3) Release_Label'!$D:$D,$A251)=0),"NO UPC MATCH in Release_Label",and($B251&lt;&gt;"",countif('3) Release_Label'!$E:$E,$B251)=0),"NO CATALOG ID MATCH in Release_Label",iserror(vlookup($A251&amp;$B251,'3) Release_Label'!$D:$D&amp;'3) Release_Label'!$E:$E,1,0)),"NO UPC-CATALOG ID pair MATCH in Release_Label" )</f>
        <v/>
      </c>
      <c r="D251" s="121" t="str">
        <f t="array" ref="D251">ifs(and(isblank($A251),isblank($B251)),"", not(iserror(vlookup($A251&amp;$B251,'3) Release_Label'!$D:$D&amp;'3) Release_Label'!$E:$E,1,0))),vlookup($A251&amp;$B251,{'3) Release_Label'!$D:$D&amp;'3) Release_Label'!$E:$E,'3) Release_Label'!$H:$H},2,0), or(and(not(isblank($B251)),$B251=$B250,$A251&lt;&gt;$A250),and(not(isblank($A251)),$A251=$A250,$B251&lt;&gt;$B250)),"ID LISTS UNALIGNED",and($A251&lt;&gt;"",countif('3) Release_Label'!$D:$D,$A251)=0),"NO UPC MATCH in Release_Label",and($B251&lt;&gt;"",countif('3) Release_Label'!$E:$E,$B251)=0),"NO CATALOG ID MATCH in Release_Label",iserror(vlookup($A251&amp;$B251,'3) Release_Label'!$D:$D&amp;'3) Release_Label'!$E:$E,1,0)),"NO UPC-CATALOG ID pair MATCH in Release_Label" )</f>
        <v/>
      </c>
      <c r="E251" s="141" t="str">
        <f t="shared" si="2"/>
        <v/>
      </c>
      <c r="G251" s="103"/>
      <c r="H251" s="152"/>
      <c r="J251" s="99"/>
      <c r="K251" s="104"/>
      <c r="L251" s="99"/>
      <c r="N251" s="99"/>
      <c r="O251" s="99"/>
      <c r="P251" s="34"/>
    </row>
    <row r="252">
      <c r="A252" s="100"/>
      <c r="B252" s="103"/>
      <c r="C252" s="121" t="str">
        <f t="array" ref="C252">ifs(and(isblank($A252),isblank($B252)),"", not(iserror(vlookup($A252&amp;$B252,'3) Release_Label'!$D:$D&amp;'3) Release_Label'!$E:$E,1,0))),vlookup($A252&amp;$B252,{'3) Release_Label'!$D:$D&amp;'3) Release_Label'!$E:$E,'3) Release_Label'!$F:$F},2,0), or(and(not(isblank($B252)),$B252=$B251,$A252&lt;&gt;$A251),and(not(isblank($A252)),$A252=$A251,$B252&lt;&gt;$B251)),"ID LISTS UNALIGNED",and($A252&lt;&gt;"",countif('3) Release_Label'!$D:$D,$A252)=0),"NO UPC MATCH in Release_Label",and($B252&lt;&gt;"",countif('3) Release_Label'!$E:$E,$B252)=0),"NO CATALOG ID MATCH in Release_Label",iserror(vlookup($A252&amp;$B252,'3) Release_Label'!$D:$D&amp;'3) Release_Label'!$E:$E,1,0)),"NO UPC-CATALOG ID pair MATCH in Release_Label" )</f>
        <v/>
      </c>
      <c r="D252" s="121" t="str">
        <f t="array" ref="D252">ifs(and(isblank($A252),isblank($B252)),"", not(iserror(vlookup($A252&amp;$B252,'3) Release_Label'!$D:$D&amp;'3) Release_Label'!$E:$E,1,0))),vlookup($A252&amp;$B252,{'3) Release_Label'!$D:$D&amp;'3) Release_Label'!$E:$E,'3) Release_Label'!$H:$H},2,0), or(and(not(isblank($B252)),$B252=$B251,$A252&lt;&gt;$A251),and(not(isblank($A252)),$A252=$A251,$B252&lt;&gt;$B251)),"ID LISTS UNALIGNED",and($A252&lt;&gt;"",countif('3) Release_Label'!$D:$D,$A252)=0),"NO UPC MATCH in Release_Label",and($B252&lt;&gt;"",countif('3) Release_Label'!$E:$E,$B252)=0),"NO CATALOG ID MATCH in Release_Label",iserror(vlookup($A252&amp;$B252,'3) Release_Label'!$D:$D&amp;'3) Release_Label'!$E:$E,1,0)),"NO UPC-CATALOG ID pair MATCH in Release_Label" )</f>
        <v/>
      </c>
      <c r="E252" s="141" t="str">
        <f t="shared" si="2"/>
        <v/>
      </c>
      <c r="G252" s="103"/>
      <c r="H252" s="152"/>
      <c r="J252" s="99"/>
      <c r="K252" s="104"/>
      <c r="L252" s="99"/>
      <c r="N252" s="99"/>
      <c r="O252" s="99"/>
      <c r="P252" s="34"/>
    </row>
    <row r="253">
      <c r="A253" s="100"/>
      <c r="B253" s="103"/>
      <c r="C253" s="121" t="str">
        <f t="array" ref="C253">ifs(and(isblank($A253),isblank($B253)),"", not(iserror(vlookup($A253&amp;$B253,'3) Release_Label'!$D:$D&amp;'3) Release_Label'!$E:$E,1,0))),vlookup($A253&amp;$B253,{'3) Release_Label'!$D:$D&amp;'3) Release_Label'!$E:$E,'3) Release_Label'!$F:$F},2,0), or(and(not(isblank($B253)),$B253=$B252,$A253&lt;&gt;$A252),and(not(isblank($A253)),$A253=$A252,$B253&lt;&gt;$B252)),"ID LISTS UNALIGNED",and($A253&lt;&gt;"",countif('3) Release_Label'!$D:$D,$A253)=0),"NO UPC MATCH in Release_Label",and($B253&lt;&gt;"",countif('3) Release_Label'!$E:$E,$B253)=0),"NO CATALOG ID MATCH in Release_Label",iserror(vlookup($A253&amp;$B253,'3) Release_Label'!$D:$D&amp;'3) Release_Label'!$E:$E,1,0)),"NO UPC-CATALOG ID pair MATCH in Release_Label" )</f>
        <v/>
      </c>
      <c r="D253" s="121" t="str">
        <f t="array" ref="D253">ifs(and(isblank($A253),isblank($B253)),"", not(iserror(vlookup($A253&amp;$B253,'3) Release_Label'!$D:$D&amp;'3) Release_Label'!$E:$E,1,0))),vlookup($A253&amp;$B253,{'3) Release_Label'!$D:$D&amp;'3) Release_Label'!$E:$E,'3) Release_Label'!$H:$H},2,0), or(and(not(isblank($B253)),$B253=$B252,$A253&lt;&gt;$A252),and(not(isblank($A253)),$A253=$A252,$B253&lt;&gt;$B252)),"ID LISTS UNALIGNED",and($A253&lt;&gt;"",countif('3) Release_Label'!$D:$D,$A253)=0),"NO UPC MATCH in Release_Label",and($B253&lt;&gt;"",countif('3) Release_Label'!$E:$E,$B253)=0),"NO CATALOG ID MATCH in Release_Label",iserror(vlookup($A253&amp;$B253,'3) Release_Label'!$D:$D&amp;'3) Release_Label'!$E:$E,1,0)),"NO UPC-CATALOG ID pair MATCH in Release_Label" )</f>
        <v/>
      </c>
      <c r="E253" s="141" t="str">
        <f t="shared" si="2"/>
        <v/>
      </c>
      <c r="G253" s="103"/>
      <c r="H253" s="152"/>
      <c r="J253" s="99"/>
      <c r="K253" s="104"/>
      <c r="L253" s="99"/>
      <c r="N253" s="99"/>
      <c r="O253" s="99"/>
      <c r="P253" s="34"/>
    </row>
    <row r="254">
      <c r="A254" s="100"/>
      <c r="B254" s="103"/>
      <c r="C254" s="121" t="str">
        <f t="array" ref="C254">ifs(and(isblank($A254),isblank($B254)),"", not(iserror(vlookup($A254&amp;$B254,'3) Release_Label'!$D:$D&amp;'3) Release_Label'!$E:$E,1,0))),vlookup($A254&amp;$B254,{'3) Release_Label'!$D:$D&amp;'3) Release_Label'!$E:$E,'3) Release_Label'!$F:$F},2,0), or(and(not(isblank($B254)),$B254=$B253,$A254&lt;&gt;$A253),and(not(isblank($A254)),$A254=$A253,$B254&lt;&gt;$B253)),"ID LISTS UNALIGNED",and($A254&lt;&gt;"",countif('3) Release_Label'!$D:$D,$A254)=0),"NO UPC MATCH in Release_Label",and($B254&lt;&gt;"",countif('3) Release_Label'!$E:$E,$B254)=0),"NO CATALOG ID MATCH in Release_Label",iserror(vlookup($A254&amp;$B254,'3) Release_Label'!$D:$D&amp;'3) Release_Label'!$E:$E,1,0)),"NO UPC-CATALOG ID pair MATCH in Release_Label" )</f>
        <v/>
      </c>
      <c r="D254" s="121" t="str">
        <f t="array" ref="D254">ifs(and(isblank($A254),isblank($B254)),"", not(iserror(vlookup($A254&amp;$B254,'3) Release_Label'!$D:$D&amp;'3) Release_Label'!$E:$E,1,0))),vlookup($A254&amp;$B254,{'3) Release_Label'!$D:$D&amp;'3) Release_Label'!$E:$E,'3) Release_Label'!$H:$H},2,0), or(and(not(isblank($B254)),$B254=$B253,$A254&lt;&gt;$A253),and(not(isblank($A254)),$A254=$A253,$B254&lt;&gt;$B253)),"ID LISTS UNALIGNED",and($A254&lt;&gt;"",countif('3) Release_Label'!$D:$D,$A254)=0),"NO UPC MATCH in Release_Label",and($B254&lt;&gt;"",countif('3) Release_Label'!$E:$E,$B254)=0),"NO CATALOG ID MATCH in Release_Label",iserror(vlookup($A254&amp;$B254,'3) Release_Label'!$D:$D&amp;'3) Release_Label'!$E:$E,1,0)),"NO UPC-CATALOG ID pair MATCH in Release_Label" )</f>
        <v/>
      </c>
      <c r="E254" s="141" t="str">
        <f t="shared" si="2"/>
        <v/>
      </c>
      <c r="G254" s="103"/>
      <c r="H254" s="152"/>
      <c r="J254" s="99"/>
      <c r="K254" s="104"/>
      <c r="L254" s="99"/>
      <c r="N254" s="99"/>
      <c r="O254" s="99"/>
      <c r="P254" s="34"/>
    </row>
    <row r="255">
      <c r="A255" s="100"/>
      <c r="B255" s="103"/>
      <c r="C255" s="121" t="str">
        <f t="array" ref="C255">ifs(and(isblank($A255),isblank($B255)),"", not(iserror(vlookup($A255&amp;$B255,'3) Release_Label'!$D:$D&amp;'3) Release_Label'!$E:$E,1,0))),vlookup($A255&amp;$B255,{'3) Release_Label'!$D:$D&amp;'3) Release_Label'!$E:$E,'3) Release_Label'!$F:$F},2,0), or(and(not(isblank($B255)),$B255=$B254,$A255&lt;&gt;$A254),and(not(isblank($A255)),$A255=$A254,$B255&lt;&gt;$B254)),"ID LISTS UNALIGNED",and($A255&lt;&gt;"",countif('3) Release_Label'!$D:$D,$A255)=0),"NO UPC MATCH in Release_Label",and($B255&lt;&gt;"",countif('3) Release_Label'!$E:$E,$B255)=0),"NO CATALOG ID MATCH in Release_Label",iserror(vlookup($A255&amp;$B255,'3) Release_Label'!$D:$D&amp;'3) Release_Label'!$E:$E,1,0)),"NO UPC-CATALOG ID pair MATCH in Release_Label" )</f>
        <v/>
      </c>
      <c r="D255" s="121" t="str">
        <f t="array" ref="D255">ifs(and(isblank($A255),isblank($B255)),"", not(iserror(vlookup($A255&amp;$B255,'3) Release_Label'!$D:$D&amp;'3) Release_Label'!$E:$E,1,0))),vlookup($A255&amp;$B255,{'3) Release_Label'!$D:$D&amp;'3) Release_Label'!$E:$E,'3) Release_Label'!$H:$H},2,0), or(and(not(isblank($B255)),$B255=$B254,$A255&lt;&gt;$A254),and(not(isblank($A255)),$A255=$A254,$B255&lt;&gt;$B254)),"ID LISTS UNALIGNED",and($A255&lt;&gt;"",countif('3) Release_Label'!$D:$D,$A255)=0),"NO UPC MATCH in Release_Label",and($B255&lt;&gt;"",countif('3) Release_Label'!$E:$E,$B255)=0),"NO CATALOG ID MATCH in Release_Label",iserror(vlookup($A255&amp;$B255,'3) Release_Label'!$D:$D&amp;'3) Release_Label'!$E:$E,1,0)),"NO UPC-CATALOG ID pair MATCH in Release_Label" )</f>
        <v/>
      </c>
      <c r="E255" s="141" t="str">
        <f t="shared" si="2"/>
        <v/>
      </c>
      <c r="G255" s="103"/>
      <c r="H255" s="152"/>
      <c r="J255" s="99"/>
      <c r="K255" s="104"/>
      <c r="L255" s="99"/>
      <c r="N255" s="99"/>
      <c r="O255" s="99"/>
      <c r="P255" s="34"/>
    </row>
    <row r="256">
      <c r="A256" s="100"/>
      <c r="B256" s="103"/>
      <c r="C256" s="121" t="str">
        <f t="array" ref="C256">ifs(and(isblank($A256),isblank($B256)),"", not(iserror(vlookup($A256&amp;$B256,'3) Release_Label'!$D:$D&amp;'3) Release_Label'!$E:$E,1,0))),vlookup($A256&amp;$B256,{'3) Release_Label'!$D:$D&amp;'3) Release_Label'!$E:$E,'3) Release_Label'!$F:$F},2,0), or(and(not(isblank($B256)),$B256=$B255,$A256&lt;&gt;$A255),and(not(isblank($A256)),$A256=$A255,$B256&lt;&gt;$B255)),"ID LISTS UNALIGNED",and($A256&lt;&gt;"",countif('3) Release_Label'!$D:$D,$A256)=0),"NO UPC MATCH in Release_Label",and($B256&lt;&gt;"",countif('3) Release_Label'!$E:$E,$B256)=0),"NO CATALOG ID MATCH in Release_Label",iserror(vlookup($A256&amp;$B256,'3) Release_Label'!$D:$D&amp;'3) Release_Label'!$E:$E,1,0)),"NO UPC-CATALOG ID pair MATCH in Release_Label" )</f>
        <v/>
      </c>
      <c r="D256" s="121" t="str">
        <f t="array" ref="D256">ifs(and(isblank($A256),isblank($B256)),"", not(iserror(vlookup($A256&amp;$B256,'3) Release_Label'!$D:$D&amp;'3) Release_Label'!$E:$E,1,0))),vlookup($A256&amp;$B256,{'3) Release_Label'!$D:$D&amp;'3) Release_Label'!$E:$E,'3) Release_Label'!$H:$H},2,0), or(and(not(isblank($B256)),$B256=$B255,$A256&lt;&gt;$A255),and(not(isblank($A256)),$A256=$A255,$B256&lt;&gt;$B255)),"ID LISTS UNALIGNED",and($A256&lt;&gt;"",countif('3) Release_Label'!$D:$D,$A256)=0),"NO UPC MATCH in Release_Label",and($B256&lt;&gt;"",countif('3) Release_Label'!$E:$E,$B256)=0),"NO CATALOG ID MATCH in Release_Label",iserror(vlookup($A256&amp;$B256,'3) Release_Label'!$D:$D&amp;'3) Release_Label'!$E:$E,1,0)),"NO UPC-CATALOG ID pair MATCH in Release_Label" )</f>
        <v/>
      </c>
      <c r="E256" s="141" t="str">
        <f t="shared" si="2"/>
        <v/>
      </c>
      <c r="G256" s="103"/>
      <c r="H256" s="152"/>
      <c r="J256" s="99"/>
      <c r="K256" s="104"/>
      <c r="L256" s="99"/>
      <c r="N256" s="99"/>
      <c r="O256" s="99"/>
      <c r="P256" s="34"/>
    </row>
    <row r="257">
      <c r="A257" s="100"/>
      <c r="B257" s="103"/>
      <c r="C257" s="121" t="str">
        <f t="array" ref="C257">ifs(and(isblank($A257),isblank($B257)),"", not(iserror(vlookup($A257&amp;$B257,'3) Release_Label'!$D:$D&amp;'3) Release_Label'!$E:$E,1,0))),vlookup($A257&amp;$B257,{'3) Release_Label'!$D:$D&amp;'3) Release_Label'!$E:$E,'3) Release_Label'!$F:$F},2,0), or(and(not(isblank($B257)),$B257=$B256,$A257&lt;&gt;$A256),and(not(isblank($A257)),$A257=$A256,$B257&lt;&gt;$B256)),"ID LISTS UNALIGNED",and($A257&lt;&gt;"",countif('3) Release_Label'!$D:$D,$A257)=0),"NO UPC MATCH in Release_Label",and($B257&lt;&gt;"",countif('3) Release_Label'!$E:$E,$B257)=0),"NO CATALOG ID MATCH in Release_Label",iserror(vlookup($A257&amp;$B257,'3) Release_Label'!$D:$D&amp;'3) Release_Label'!$E:$E,1,0)),"NO UPC-CATALOG ID pair MATCH in Release_Label" )</f>
        <v/>
      </c>
      <c r="D257" s="121" t="str">
        <f t="array" ref="D257">ifs(and(isblank($A257),isblank($B257)),"", not(iserror(vlookup($A257&amp;$B257,'3) Release_Label'!$D:$D&amp;'3) Release_Label'!$E:$E,1,0))),vlookup($A257&amp;$B257,{'3) Release_Label'!$D:$D&amp;'3) Release_Label'!$E:$E,'3) Release_Label'!$H:$H},2,0), or(and(not(isblank($B257)),$B257=$B256,$A257&lt;&gt;$A256),and(not(isblank($A257)),$A257=$A256,$B257&lt;&gt;$B256)),"ID LISTS UNALIGNED",and($A257&lt;&gt;"",countif('3) Release_Label'!$D:$D,$A257)=0),"NO UPC MATCH in Release_Label",and($B257&lt;&gt;"",countif('3) Release_Label'!$E:$E,$B257)=0),"NO CATALOG ID MATCH in Release_Label",iserror(vlookup($A257&amp;$B257,'3) Release_Label'!$D:$D&amp;'3) Release_Label'!$E:$E,1,0)),"NO UPC-CATALOG ID pair MATCH in Release_Label" )</f>
        <v/>
      </c>
      <c r="E257" s="141" t="str">
        <f t="shared" si="2"/>
        <v/>
      </c>
      <c r="G257" s="103"/>
      <c r="H257" s="152"/>
      <c r="J257" s="99"/>
      <c r="K257" s="104"/>
      <c r="L257" s="99"/>
      <c r="N257" s="99"/>
      <c r="O257" s="99"/>
      <c r="P257" s="34"/>
    </row>
    <row r="258">
      <c r="A258" s="100"/>
      <c r="B258" s="103"/>
      <c r="C258" s="121" t="str">
        <f t="array" ref="C258">ifs(and(isblank($A258),isblank($B258)),"", not(iserror(vlookup($A258&amp;$B258,'3) Release_Label'!$D:$D&amp;'3) Release_Label'!$E:$E,1,0))),vlookup($A258&amp;$B258,{'3) Release_Label'!$D:$D&amp;'3) Release_Label'!$E:$E,'3) Release_Label'!$F:$F},2,0), or(and(not(isblank($B258)),$B258=$B257,$A258&lt;&gt;$A257),and(not(isblank($A258)),$A258=$A257,$B258&lt;&gt;$B257)),"ID LISTS UNALIGNED",and($A258&lt;&gt;"",countif('3) Release_Label'!$D:$D,$A258)=0),"NO UPC MATCH in Release_Label",and($B258&lt;&gt;"",countif('3) Release_Label'!$E:$E,$B258)=0),"NO CATALOG ID MATCH in Release_Label",iserror(vlookup($A258&amp;$B258,'3) Release_Label'!$D:$D&amp;'3) Release_Label'!$E:$E,1,0)),"NO UPC-CATALOG ID pair MATCH in Release_Label" )</f>
        <v/>
      </c>
      <c r="D258" s="121" t="str">
        <f t="array" ref="D258">ifs(and(isblank($A258),isblank($B258)),"", not(iserror(vlookup($A258&amp;$B258,'3) Release_Label'!$D:$D&amp;'3) Release_Label'!$E:$E,1,0))),vlookup($A258&amp;$B258,{'3) Release_Label'!$D:$D&amp;'3) Release_Label'!$E:$E,'3) Release_Label'!$H:$H},2,0), or(and(not(isblank($B258)),$B258=$B257,$A258&lt;&gt;$A257),and(not(isblank($A258)),$A258=$A257,$B258&lt;&gt;$B257)),"ID LISTS UNALIGNED",and($A258&lt;&gt;"",countif('3) Release_Label'!$D:$D,$A258)=0),"NO UPC MATCH in Release_Label",and($B258&lt;&gt;"",countif('3) Release_Label'!$E:$E,$B258)=0),"NO CATALOG ID MATCH in Release_Label",iserror(vlookup($A258&amp;$B258,'3) Release_Label'!$D:$D&amp;'3) Release_Label'!$E:$E,1,0)),"NO UPC-CATALOG ID pair MATCH in Release_Label" )</f>
        <v/>
      </c>
      <c r="E258" s="141" t="str">
        <f t="shared" si="2"/>
        <v/>
      </c>
      <c r="G258" s="103"/>
      <c r="H258" s="152"/>
      <c r="J258" s="99"/>
      <c r="K258" s="104"/>
      <c r="L258" s="99"/>
      <c r="N258" s="99"/>
      <c r="O258" s="99"/>
      <c r="P258" s="34"/>
    </row>
    <row r="259">
      <c r="A259" s="100"/>
      <c r="B259" s="103"/>
      <c r="C259" s="121" t="str">
        <f t="array" ref="C259">ifs(and(isblank($A259),isblank($B259)),"", not(iserror(vlookup($A259&amp;$B259,'3) Release_Label'!$D:$D&amp;'3) Release_Label'!$E:$E,1,0))),vlookup($A259&amp;$B259,{'3) Release_Label'!$D:$D&amp;'3) Release_Label'!$E:$E,'3) Release_Label'!$F:$F},2,0), or(and(not(isblank($B259)),$B259=$B258,$A259&lt;&gt;$A258),and(not(isblank($A259)),$A259=$A258,$B259&lt;&gt;$B258)),"ID LISTS UNALIGNED",and($A259&lt;&gt;"",countif('3) Release_Label'!$D:$D,$A259)=0),"NO UPC MATCH in Release_Label",and($B259&lt;&gt;"",countif('3) Release_Label'!$E:$E,$B259)=0),"NO CATALOG ID MATCH in Release_Label",iserror(vlookup($A259&amp;$B259,'3) Release_Label'!$D:$D&amp;'3) Release_Label'!$E:$E,1,0)),"NO UPC-CATALOG ID pair MATCH in Release_Label" )</f>
        <v/>
      </c>
      <c r="D259" s="121" t="str">
        <f t="array" ref="D259">ifs(and(isblank($A259),isblank($B259)),"", not(iserror(vlookup($A259&amp;$B259,'3) Release_Label'!$D:$D&amp;'3) Release_Label'!$E:$E,1,0))),vlookup($A259&amp;$B259,{'3) Release_Label'!$D:$D&amp;'3) Release_Label'!$E:$E,'3) Release_Label'!$H:$H},2,0), or(and(not(isblank($B259)),$B259=$B258,$A259&lt;&gt;$A258),and(not(isblank($A259)),$A259=$A258,$B259&lt;&gt;$B258)),"ID LISTS UNALIGNED",and($A259&lt;&gt;"",countif('3) Release_Label'!$D:$D,$A259)=0),"NO UPC MATCH in Release_Label",and($B259&lt;&gt;"",countif('3) Release_Label'!$E:$E,$B259)=0),"NO CATALOG ID MATCH in Release_Label",iserror(vlookup($A259&amp;$B259,'3) Release_Label'!$D:$D&amp;'3) Release_Label'!$E:$E,1,0)),"NO UPC-CATALOG ID pair MATCH in Release_Label" )</f>
        <v/>
      </c>
      <c r="E259" s="141" t="str">
        <f t="shared" si="2"/>
        <v/>
      </c>
      <c r="G259" s="103"/>
      <c r="H259" s="152"/>
      <c r="J259" s="99"/>
      <c r="K259" s="104"/>
      <c r="L259" s="99"/>
      <c r="N259" s="99"/>
      <c r="O259" s="99"/>
      <c r="P259" s="34"/>
    </row>
    <row r="260">
      <c r="A260" s="100"/>
      <c r="B260" s="103"/>
      <c r="C260" s="121" t="str">
        <f t="array" ref="C260">ifs(and(isblank($A260),isblank($B260)),"", not(iserror(vlookup($A260&amp;$B260,'3) Release_Label'!$D:$D&amp;'3) Release_Label'!$E:$E,1,0))),vlookup($A260&amp;$B260,{'3) Release_Label'!$D:$D&amp;'3) Release_Label'!$E:$E,'3) Release_Label'!$F:$F},2,0), or(and(not(isblank($B260)),$B260=$B259,$A260&lt;&gt;$A259),and(not(isblank($A260)),$A260=$A259,$B260&lt;&gt;$B259)),"ID LISTS UNALIGNED",and($A260&lt;&gt;"",countif('3) Release_Label'!$D:$D,$A260)=0),"NO UPC MATCH in Release_Label",and($B260&lt;&gt;"",countif('3) Release_Label'!$E:$E,$B260)=0),"NO CATALOG ID MATCH in Release_Label",iserror(vlookup($A260&amp;$B260,'3) Release_Label'!$D:$D&amp;'3) Release_Label'!$E:$E,1,0)),"NO UPC-CATALOG ID pair MATCH in Release_Label" )</f>
        <v/>
      </c>
      <c r="D260" s="121" t="str">
        <f t="array" ref="D260">ifs(and(isblank($A260),isblank($B260)),"", not(iserror(vlookup($A260&amp;$B260,'3) Release_Label'!$D:$D&amp;'3) Release_Label'!$E:$E,1,0))),vlookup($A260&amp;$B260,{'3) Release_Label'!$D:$D&amp;'3) Release_Label'!$E:$E,'3) Release_Label'!$H:$H},2,0), or(and(not(isblank($B260)),$B260=$B259,$A260&lt;&gt;$A259),and(not(isblank($A260)),$A260=$A259,$B260&lt;&gt;$B259)),"ID LISTS UNALIGNED",and($A260&lt;&gt;"",countif('3) Release_Label'!$D:$D,$A260)=0),"NO UPC MATCH in Release_Label",and($B260&lt;&gt;"",countif('3) Release_Label'!$E:$E,$B260)=0),"NO CATALOG ID MATCH in Release_Label",iserror(vlookup($A260&amp;$B260,'3) Release_Label'!$D:$D&amp;'3) Release_Label'!$E:$E,1,0)),"NO UPC-CATALOG ID pair MATCH in Release_Label" )</f>
        <v/>
      </c>
      <c r="E260" s="141" t="str">
        <f t="shared" si="2"/>
        <v/>
      </c>
      <c r="G260" s="103"/>
      <c r="H260" s="152"/>
      <c r="J260" s="99"/>
      <c r="K260" s="104"/>
      <c r="L260" s="99"/>
      <c r="N260" s="99"/>
      <c r="O260" s="99"/>
      <c r="P260" s="34"/>
    </row>
    <row r="261">
      <c r="A261" s="100"/>
      <c r="B261" s="103"/>
      <c r="C261" s="121" t="str">
        <f t="array" ref="C261">ifs(and(isblank($A261),isblank($B261)),"", not(iserror(vlookup($A261&amp;$B261,'3) Release_Label'!$D:$D&amp;'3) Release_Label'!$E:$E,1,0))),vlookup($A261&amp;$B261,{'3) Release_Label'!$D:$D&amp;'3) Release_Label'!$E:$E,'3) Release_Label'!$F:$F},2,0), or(and(not(isblank($B261)),$B261=$B260,$A261&lt;&gt;$A260),and(not(isblank($A261)),$A261=$A260,$B261&lt;&gt;$B260)),"ID LISTS UNALIGNED",and($A261&lt;&gt;"",countif('3) Release_Label'!$D:$D,$A261)=0),"NO UPC MATCH in Release_Label",and($B261&lt;&gt;"",countif('3) Release_Label'!$E:$E,$B261)=0),"NO CATALOG ID MATCH in Release_Label",iserror(vlookup($A261&amp;$B261,'3) Release_Label'!$D:$D&amp;'3) Release_Label'!$E:$E,1,0)),"NO UPC-CATALOG ID pair MATCH in Release_Label" )</f>
        <v/>
      </c>
      <c r="D261" s="121" t="str">
        <f t="array" ref="D261">ifs(and(isblank($A261),isblank($B261)),"", not(iserror(vlookup($A261&amp;$B261,'3) Release_Label'!$D:$D&amp;'3) Release_Label'!$E:$E,1,0))),vlookup($A261&amp;$B261,{'3) Release_Label'!$D:$D&amp;'3) Release_Label'!$E:$E,'3) Release_Label'!$H:$H},2,0), or(and(not(isblank($B261)),$B261=$B260,$A261&lt;&gt;$A260),and(not(isblank($A261)),$A261=$A260,$B261&lt;&gt;$B260)),"ID LISTS UNALIGNED",and($A261&lt;&gt;"",countif('3) Release_Label'!$D:$D,$A261)=0),"NO UPC MATCH in Release_Label",and($B261&lt;&gt;"",countif('3) Release_Label'!$E:$E,$B261)=0),"NO CATALOG ID MATCH in Release_Label",iserror(vlookup($A261&amp;$B261,'3) Release_Label'!$D:$D&amp;'3) Release_Label'!$E:$E,1,0)),"NO UPC-CATALOG ID pair MATCH in Release_Label" )</f>
        <v/>
      </c>
      <c r="E261" s="141" t="str">
        <f t="shared" si="2"/>
        <v/>
      </c>
      <c r="G261" s="103"/>
      <c r="H261" s="152"/>
      <c r="J261" s="99"/>
      <c r="K261" s="104"/>
      <c r="L261" s="99"/>
      <c r="N261" s="99"/>
      <c r="O261" s="99"/>
      <c r="P261" s="34"/>
    </row>
    <row r="262">
      <c r="A262" s="100"/>
      <c r="B262" s="103"/>
      <c r="C262" s="121" t="str">
        <f t="array" ref="C262">ifs(and(isblank($A262),isblank($B262)),"", not(iserror(vlookup($A262&amp;$B262,'3) Release_Label'!$D:$D&amp;'3) Release_Label'!$E:$E,1,0))),vlookup($A262&amp;$B262,{'3) Release_Label'!$D:$D&amp;'3) Release_Label'!$E:$E,'3) Release_Label'!$F:$F},2,0), or(and(not(isblank($B262)),$B262=$B261,$A262&lt;&gt;$A261),and(not(isblank($A262)),$A262=$A261,$B262&lt;&gt;$B261)),"ID LISTS UNALIGNED",and($A262&lt;&gt;"",countif('3) Release_Label'!$D:$D,$A262)=0),"NO UPC MATCH in Release_Label",and($B262&lt;&gt;"",countif('3) Release_Label'!$E:$E,$B262)=0),"NO CATALOG ID MATCH in Release_Label",iserror(vlookup($A262&amp;$B262,'3) Release_Label'!$D:$D&amp;'3) Release_Label'!$E:$E,1,0)),"NO UPC-CATALOG ID pair MATCH in Release_Label" )</f>
        <v/>
      </c>
      <c r="D262" s="121" t="str">
        <f t="array" ref="D262">ifs(and(isblank($A262),isblank($B262)),"", not(iserror(vlookup($A262&amp;$B262,'3) Release_Label'!$D:$D&amp;'3) Release_Label'!$E:$E,1,0))),vlookup($A262&amp;$B262,{'3) Release_Label'!$D:$D&amp;'3) Release_Label'!$E:$E,'3) Release_Label'!$H:$H},2,0), or(and(not(isblank($B262)),$B262=$B261,$A262&lt;&gt;$A261),and(not(isblank($A262)),$A262=$A261,$B262&lt;&gt;$B261)),"ID LISTS UNALIGNED",and($A262&lt;&gt;"",countif('3) Release_Label'!$D:$D,$A262)=0),"NO UPC MATCH in Release_Label",and($B262&lt;&gt;"",countif('3) Release_Label'!$E:$E,$B262)=0),"NO CATALOG ID MATCH in Release_Label",iserror(vlookup($A262&amp;$B262,'3) Release_Label'!$D:$D&amp;'3) Release_Label'!$E:$E,1,0)),"NO UPC-CATALOG ID pair MATCH in Release_Label" )</f>
        <v/>
      </c>
      <c r="E262" s="141" t="str">
        <f t="shared" si="2"/>
        <v/>
      </c>
      <c r="G262" s="103"/>
      <c r="H262" s="152"/>
      <c r="J262" s="99"/>
      <c r="K262" s="104"/>
      <c r="L262" s="99"/>
      <c r="N262" s="99"/>
      <c r="O262" s="99"/>
      <c r="P262" s="34"/>
    </row>
    <row r="263">
      <c r="A263" s="100"/>
      <c r="B263" s="103"/>
      <c r="C263" s="121" t="str">
        <f t="array" ref="C263">ifs(and(isblank($A263),isblank($B263)),"", not(iserror(vlookup($A263&amp;$B263,'3) Release_Label'!$D:$D&amp;'3) Release_Label'!$E:$E,1,0))),vlookup($A263&amp;$B263,{'3) Release_Label'!$D:$D&amp;'3) Release_Label'!$E:$E,'3) Release_Label'!$F:$F},2,0), or(and(not(isblank($B263)),$B263=$B262,$A263&lt;&gt;$A262),and(not(isblank($A263)),$A263=$A262,$B263&lt;&gt;$B262)),"ID LISTS UNALIGNED",and($A263&lt;&gt;"",countif('3) Release_Label'!$D:$D,$A263)=0),"NO UPC MATCH in Release_Label",and($B263&lt;&gt;"",countif('3) Release_Label'!$E:$E,$B263)=0),"NO CATALOG ID MATCH in Release_Label",iserror(vlookup($A263&amp;$B263,'3) Release_Label'!$D:$D&amp;'3) Release_Label'!$E:$E,1,0)),"NO UPC-CATALOG ID pair MATCH in Release_Label" )</f>
        <v/>
      </c>
      <c r="D263" s="121" t="str">
        <f t="array" ref="D263">ifs(and(isblank($A263),isblank($B263)),"", not(iserror(vlookup($A263&amp;$B263,'3) Release_Label'!$D:$D&amp;'3) Release_Label'!$E:$E,1,0))),vlookup($A263&amp;$B263,{'3) Release_Label'!$D:$D&amp;'3) Release_Label'!$E:$E,'3) Release_Label'!$H:$H},2,0), or(and(not(isblank($B263)),$B263=$B262,$A263&lt;&gt;$A262),and(not(isblank($A263)),$A263=$A262,$B263&lt;&gt;$B262)),"ID LISTS UNALIGNED",and($A263&lt;&gt;"",countif('3) Release_Label'!$D:$D,$A263)=0),"NO UPC MATCH in Release_Label",and($B263&lt;&gt;"",countif('3) Release_Label'!$E:$E,$B263)=0),"NO CATALOG ID MATCH in Release_Label",iserror(vlookup($A263&amp;$B263,'3) Release_Label'!$D:$D&amp;'3) Release_Label'!$E:$E,1,0)),"NO UPC-CATALOG ID pair MATCH in Release_Label" )</f>
        <v/>
      </c>
      <c r="E263" s="141" t="str">
        <f t="shared" si="2"/>
        <v/>
      </c>
      <c r="G263" s="103"/>
      <c r="H263" s="152"/>
      <c r="J263" s="99"/>
      <c r="K263" s="104"/>
      <c r="L263" s="99"/>
      <c r="N263" s="99"/>
      <c r="O263" s="99"/>
      <c r="P263" s="34"/>
    </row>
    <row r="264">
      <c r="A264" s="100"/>
      <c r="B264" s="103"/>
      <c r="C264" s="121" t="str">
        <f t="array" ref="C264">ifs(and(isblank($A264),isblank($B264)),"", not(iserror(vlookup($A264&amp;$B264,'3) Release_Label'!$D:$D&amp;'3) Release_Label'!$E:$E,1,0))),vlookup($A264&amp;$B264,{'3) Release_Label'!$D:$D&amp;'3) Release_Label'!$E:$E,'3) Release_Label'!$F:$F},2,0), or(and(not(isblank($B264)),$B264=$B263,$A264&lt;&gt;$A263),and(not(isblank($A264)),$A264=$A263,$B264&lt;&gt;$B263)),"ID LISTS UNALIGNED",and($A264&lt;&gt;"",countif('3) Release_Label'!$D:$D,$A264)=0),"NO UPC MATCH in Release_Label",and($B264&lt;&gt;"",countif('3) Release_Label'!$E:$E,$B264)=0),"NO CATALOG ID MATCH in Release_Label",iserror(vlookup($A264&amp;$B264,'3) Release_Label'!$D:$D&amp;'3) Release_Label'!$E:$E,1,0)),"NO UPC-CATALOG ID pair MATCH in Release_Label" )</f>
        <v/>
      </c>
      <c r="D264" s="121" t="str">
        <f t="array" ref="D264">ifs(and(isblank($A264),isblank($B264)),"", not(iserror(vlookup($A264&amp;$B264,'3) Release_Label'!$D:$D&amp;'3) Release_Label'!$E:$E,1,0))),vlookup($A264&amp;$B264,{'3) Release_Label'!$D:$D&amp;'3) Release_Label'!$E:$E,'3) Release_Label'!$H:$H},2,0), or(and(not(isblank($B264)),$B264=$B263,$A264&lt;&gt;$A263),and(not(isblank($A264)),$A264=$A263,$B264&lt;&gt;$B263)),"ID LISTS UNALIGNED",and($A264&lt;&gt;"",countif('3) Release_Label'!$D:$D,$A264)=0),"NO UPC MATCH in Release_Label",and($B264&lt;&gt;"",countif('3) Release_Label'!$E:$E,$B264)=0),"NO CATALOG ID MATCH in Release_Label",iserror(vlookup($A264&amp;$B264,'3) Release_Label'!$D:$D&amp;'3) Release_Label'!$E:$E,1,0)),"NO UPC-CATALOG ID pair MATCH in Release_Label" )</f>
        <v/>
      </c>
      <c r="E264" s="141" t="str">
        <f t="shared" si="2"/>
        <v/>
      </c>
      <c r="G264" s="103"/>
      <c r="H264" s="152"/>
      <c r="J264" s="99"/>
      <c r="K264" s="104"/>
      <c r="L264" s="99"/>
      <c r="N264" s="99"/>
      <c r="O264" s="99"/>
      <c r="P264" s="34"/>
    </row>
    <row r="265">
      <c r="A265" s="100"/>
      <c r="B265" s="103"/>
      <c r="C265" s="121" t="str">
        <f t="array" ref="C265">ifs(and(isblank($A265),isblank($B265)),"", not(iserror(vlookup($A265&amp;$B265,'3) Release_Label'!$D:$D&amp;'3) Release_Label'!$E:$E,1,0))),vlookup($A265&amp;$B265,{'3) Release_Label'!$D:$D&amp;'3) Release_Label'!$E:$E,'3) Release_Label'!$F:$F},2,0), or(and(not(isblank($B265)),$B265=$B264,$A265&lt;&gt;$A264),and(not(isblank($A265)),$A265=$A264,$B265&lt;&gt;$B264)),"ID LISTS UNALIGNED",and($A265&lt;&gt;"",countif('3) Release_Label'!$D:$D,$A265)=0),"NO UPC MATCH in Release_Label",and($B265&lt;&gt;"",countif('3) Release_Label'!$E:$E,$B265)=0),"NO CATALOG ID MATCH in Release_Label",iserror(vlookup($A265&amp;$B265,'3) Release_Label'!$D:$D&amp;'3) Release_Label'!$E:$E,1,0)),"NO UPC-CATALOG ID pair MATCH in Release_Label" )</f>
        <v/>
      </c>
      <c r="D265" s="121" t="str">
        <f t="array" ref="D265">ifs(and(isblank($A265),isblank($B265)),"", not(iserror(vlookup($A265&amp;$B265,'3) Release_Label'!$D:$D&amp;'3) Release_Label'!$E:$E,1,0))),vlookup($A265&amp;$B265,{'3) Release_Label'!$D:$D&amp;'3) Release_Label'!$E:$E,'3) Release_Label'!$H:$H},2,0), or(and(not(isblank($B265)),$B265=$B264,$A265&lt;&gt;$A264),and(not(isblank($A265)),$A265=$A264,$B265&lt;&gt;$B264)),"ID LISTS UNALIGNED",and($A265&lt;&gt;"",countif('3) Release_Label'!$D:$D,$A265)=0),"NO UPC MATCH in Release_Label",and($B265&lt;&gt;"",countif('3) Release_Label'!$E:$E,$B265)=0),"NO CATALOG ID MATCH in Release_Label",iserror(vlookup($A265&amp;$B265,'3) Release_Label'!$D:$D&amp;'3) Release_Label'!$E:$E,1,0)),"NO UPC-CATALOG ID pair MATCH in Release_Label" )</f>
        <v/>
      </c>
      <c r="E265" s="141" t="str">
        <f t="shared" si="2"/>
        <v/>
      </c>
      <c r="G265" s="103"/>
      <c r="H265" s="152"/>
      <c r="J265" s="99"/>
      <c r="K265" s="104"/>
      <c r="L265" s="99"/>
      <c r="N265" s="99"/>
      <c r="O265" s="99"/>
      <c r="P265" s="34"/>
    </row>
    <row r="266">
      <c r="A266" s="100"/>
      <c r="B266" s="103"/>
      <c r="C266" s="121" t="str">
        <f t="array" ref="C266">ifs(and(isblank($A266),isblank($B266)),"", not(iserror(vlookup($A266&amp;$B266,'3) Release_Label'!$D:$D&amp;'3) Release_Label'!$E:$E,1,0))),vlookup($A266&amp;$B266,{'3) Release_Label'!$D:$D&amp;'3) Release_Label'!$E:$E,'3) Release_Label'!$F:$F},2,0), or(and(not(isblank($B266)),$B266=$B265,$A266&lt;&gt;$A265),and(not(isblank($A266)),$A266=$A265,$B266&lt;&gt;$B265)),"ID LISTS UNALIGNED",and($A266&lt;&gt;"",countif('3) Release_Label'!$D:$D,$A266)=0),"NO UPC MATCH in Release_Label",and($B266&lt;&gt;"",countif('3) Release_Label'!$E:$E,$B266)=0),"NO CATALOG ID MATCH in Release_Label",iserror(vlookup($A266&amp;$B266,'3) Release_Label'!$D:$D&amp;'3) Release_Label'!$E:$E,1,0)),"NO UPC-CATALOG ID pair MATCH in Release_Label" )</f>
        <v/>
      </c>
      <c r="D266" s="121" t="str">
        <f t="array" ref="D266">ifs(and(isblank($A266),isblank($B266)),"", not(iserror(vlookup($A266&amp;$B266,'3) Release_Label'!$D:$D&amp;'3) Release_Label'!$E:$E,1,0))),vlookup($A266&amp;$B266,{'3) Release_Label'!$D:$D&amp;'3) Release_Label'!$E:$E,'3) Release_Label'!$H:$H},2,0), or(and(not(isblank($B266)),$B266=$B265,$A266&lt;&gt;$A265),and(not(isblank($A266)),$A266=$A265,$B266&lt;&gt;$B265)),"ID LISTS UNALIGNED",and($A266&lt;&gt;"",countif('3) Release_Label'!$D:$D,$A266)=0),"NO UPC MATCH in Release_Label",and($B266&lt;&gt;"",countif('3) Release_Label'!$E:$E,$B266)=0),"NO CATALOG ID MATCH in Release_Label",iserror(vlookup($A266&amp;$B266,'3) Release_Label'!$D:$D&amp;'3) Release_Label'!$E:$E,1,0)),"NO UPC-CATALOG ID pair MATCH in Release_Label" )</f>
        <v/>
      </c>
      <c r="E266" s="141" t="str">
        <f t="shared" si="2"/>
        <v/>
      </c>
      <c r="G266" s="103"/>
      <c r="H266" s="152"/>
      <c r="J266" s="99"/>
      <c r="K266" s="104"/>
      <c r="L266" s="99"/>
      <c r="N266" s="99"/>
      <c r="O266" s="99"/>
      <c r="P266" s="34"/>
    </row>
    <row r="267">
      <c r="A267" s="100"/>
      <c r="B267" s="103"/>
      <c r="C267" s="121" t="str">
        <f t="array" ref="C267">ifs(and(isblank($A267),isblank($B267)),"", not(iserror(vlookup($A267&amp;$B267,'3) Release_Label'!$D:$D&amp;'3) Release_Label'!$E:$E,1,0))),vlookup($A267&amp;$B267,{'3) Release_Label'!$D:$D&amp;'3) Release_Label'!$E:$E,'3) Release_Label'!$F:$F},2,0), or(and(not(isblank($B267)),$B267=$B266,$A267&lt;&gt;$A266),and(not(isblank($A267)),$A267=$A266,$B267&lt;&gt;$B266)),"ID LISTS UNALIGNED",and($A267&lt;&gt;"",countif('3) Release_Label'!$D:$D,$A267)=0),"NO UPC MATCH in Release_Label",and($B267&lt;&gt;"",countif('3) Release_Label'!$E:$E,$B267)=0),"NO CATALOG ID MATCH in Release_Label",iserror(vlookup($A267&amp;$B267,'3) Release_Label'!$D:$D&amp;'3) Release_Label'!$E:$E,1,0)),"NO UPC-CATALOG ID pair MATCH in Release_Label" )</f>
        <v/>
      </c>
      <c r="D267" s="121" t="str">
        <f t="array" ref="D267">ifs(and(isblank($A267),isblank($B267)),"", not(iserror(vlookup($A267&amp;$B267,'3) Release_Label'!$D:$D&amp;'3) Release_Label'!$E:$E,1,0))),vlookup($A267&amp;$B267,{'3) Release_Label'!$D:$D&amp;'3) Release_Label'!$E:$E,'3) Release_Label'!$H:$H},2,0), or(and(not(isblank($B267)),$B267=$B266,$A267&lt;&gt;$A266),and(not(isblank($A267)),$A267=$A266,$B267&lt;&gt;$B266)),"ID LISTS UNALIGNED",and($A267&lt;&gt;"",countif('3) Release_Label'!$D:$D,$A267)=0),"NO UPC MATCH in Release_Label",and($B267&lt;&gt;"",countif('3) Release_Label'!$E:$E,$B267)=0),"NO CATALOG ID MATCH in Release_Label",iserror(vlookup($A267&amp;$B267,'3) Release_Label'!$D:$D&amp;'3) Release_Label'!$E:$E,1,0)),"NO UPC-CATALOG ID pair MATCH in Release_Label" )</f>
        <v/>
      </c>
      <c r="E267" s="141" t="str">
        <f t="shared" si="2"/>
        <v/>
      </c>
      <c r="G267" s="103"/>
      <c r="H267" s="152"/>
      <c r="J267" s="99"/>
      <c r="K267" s="104"/>
      <c r="L267" s="99"/>
      <c r="N267" s="99"/>
      <c r="O267" s="99"/>
      <c r="P267" s="34"/>
    </row>
    <row r="268">
      <c r="A268" s="100"/>
      <c r="B268" s="103"/>
      <c r="C268" s="121" t="str">
        <f t="array" ref="C268">ifs(and(isblank($A268),isblank($B268)),"", not(iserror(vlookup($A268&amp;$B268,'3) Release_Label'!$D:$D&amp;'3) Release_Label'!$E:$E,1,0))),vlookup($A268&amp;$B268,{'3) Release_Label'!$D:$D&amp;'3) Release_Label'!$E:$E,'3) Release_Label'!$F:$F},2,0), or(and(not(isblank($B268)),$B268=$B267,$A268&lt;&gt;$A267),and(not(isblank($A268)),$A268=$A267,$B268&lt;&gt;$B267)),"ID LISTS UNALIGNED",and($A268&lt;&gt;"",countif('3) Release_Label'!$D:$D,$A268)=0),"NO UPC MATCH in Release_Label",and($B268&lt;&gt;"",countif('3) Release_Label'!$E:$E,$B268)=0),"NO CATALOG ID MATCH in Release_Label",iserror(vlookup($A268&amp;$B268,'3) Release_Label'!$D:$D&amp;'3) Release_Label'!$E:$E,1,0)),"NO UPC-CATALOG ID pair MATCH in Release_Label" )</f>
        <v/>
      </c>
      <c r="D268" s="121" t="str">
        <f t="array" ref="D268">ifs(and(isblank($A268),isblank($B268)),"", not(iserror(vlookup($A268&amp;$B268,'3) Release_Label'!$D:$D&amp;'3) Release_Label'!$E:$E,1,0))),vlookup($A268&amp;$B268,{'3) Release_Label'!$D:$D&amp;'3) Release_Label'!$E:$E,'3) Release_Label'!$H:$H},2,0), or(and(not(isblank($B268)),$B268=$B267,$A268&lt;&gt;$A267),and(not(isblank($A268)),$A268=$A267,$B268&lt;&gt;$B267)),"ID LISTS UNALIGNED",and($A268&lt;&gt;"",countif('3) Release_Label'!$D:$D,$A268)=0),"NO UPC MATCH in Release_Label",and($B268&lt;&gt;"",countif('3) Release_Label'!$E:$E,$B268)=0),"NO CATALOG ID MATCH in Release_Label",iserror(vlookup($A268&amp;$B268,'3) Release_Label'!$D:$D&amp;'3) Release_Label'!$E:$E,1,0)),"NO UPC-CATALOG ID pair MATCH in Release_Label" )</f>
        <v/>
      </c>
      <c r="E268" s="141" t="str">
        <f t="shared" si="2"/>
        <v/>
      </c>
      <c r="G268" s="103"/>
      <c r="H268" s="152"/>
      <c r="J268" s="99"/>
      <c r="K268" s="104"/>
      <c r="L268" s="99"/>
      <c r="N268" s="99"/>
      <c r="O268" s="99"/>
      <c r="P268" s="34"/>
    </row>
    <row r="269">
      <c r="A269" s="100"/>
      <c r="B269" s="103"/>
      <c r="C269" s="121" t="str">
        <f t="array" ref="C269">ifs(and(isblank($A269),isblank($B269)),"", not(iserror(vlookup($A269&amp;$B269,'3) Release_Label'!$D:$D&amp;'3) Release_Label'!$E:$E,1,0))),vlookup($A269&amp;$B269,{'3) Release_Label'!$D:$D&amp;'3) Release_Label'!$E:$E,'3) Release_Label'!$F:$F},2,0), or(and(not(isblank($B269)),$B269=$B268,$A269&lt;&gt;$A268),and(not(isblank($A269)),$A269=$A268,$B269&lt;&gt;$B268)),"ID LISTS UNALIGNED",and($A269&lt;&gt;"",countif('3) Release_Label'!$D:$D,$A269)=0),"NO UPC MATCH in Release_Label",and($B269&lt;&gt;"",countif('3) Release_Label'!$E:$E,$B269)=0),"NO CATALOG ID MATCH in Release_Label",iserror(vlookup($A269&amp;$B269,'3) Release_Label'!$D:$D&amp;'3) Release_Label'!$E:$E,1,0)),"NO UPC-CATALOG ID pair MATCH in Release_Label" )</f>
        <v/>
      </c>
      <c r="D269" s="121" t="str">
        <f t="array" ref="D269">ifs(and(isblank($A269),isblank($B269)),"", not(iserror(vlookup($A269&amp;$B269,'3) Release_Label'!$D:$D&amp;'3) Release_Label'!$E:$E,1,0))),vlookup($A269&amp;$B269,{'3) Release_Label'!$D:$D&amp;'3) Release_Label'!$E:$E,'3) Release_Label'!$H:$H},2,0), or(and(not(isblank($B269)),$B269=$B268,$A269&lt;&gt;$A268),and(not(isblank($A269)),$A269=$A268,$B269&lt;&gt;$B268)),"ID LISTS UNALIGNED",and($A269&lt;&gt;"",countif('3) Release_Label'!$D:$D,$A269)=0),"NO UPC MATCH in Release_Label",and($B269&lt;&gt;"",countif('3) Release_Label'!$E:$E,$B269)=0),"NO CATALOG ID MATCH in Release_Label",iserror(vlookup($A269&amp;$B269,'3) Release_Label'!$D:$D&amp;'3) Release_Label'!$E:$E,1,0)),"NO UPC-CATALOG ID pair MATCH in Release_Label" )</f>
        <v/>
      </c>
      <c r="E269" s="141" t="str">
        <f t="shared" si="2"/>
        <v/>
      </c>
      <c r="G269" s="103"/>
      <c r="H269" s="152"/>
      <c r="J269" s="99"/>
      <c r="K269" s="104"/>
      <c r="L269" s="99"/>
      <c r="N269" s="99"/>
      <c r="O269" s="99"/>
      <c r="P269" s="34"/>
    </row>
    <row r="270">
      <c r="A270" s="100"/>
      <c r="B270" s="103"/>
      <c r="C270" s="121" t="str">
        <f t="array" ref="C270">ifs(and(isblank($A270),isblank($B270)),"", not(iserror(vlookup($A270&amp;$B270,'3) Release_Label'!$D:$D&amp;'3) Release_Label'!$E:$E,1,0))),vlookup($A270&amp;$B270,{'3) Release_Label'!$D:$D&amp;'3) Release_Label'!$E:$E,'3) Release_Label'!$F:$F},2,0), or(and(not(isblank($B270)),$B270=$B269,$A270&lt;&gt;$A269),and(not(isblank($A270)),$A270=$A269,$B270&lt;&gt;$B269)),"ID LISTS UNALIGNED",and($A270&lt;&gt;"",countif('3) Release_Label'!$D:$D,$A270)=0),"NO UPC MATCH in Release_Label",and($B270&lt;&gt;"",countif('3) Release_Label'!$E:$E,$B270)=0),"NO CATALOG ID MATCH in Release_Label",iserror(vlookup($A270&amp;$B270,'3) Release_Label'!$D:$D&amp;'3) Release_Label'!$E:$E,1,0)),"NO UPC-CATALOG ID pair MATCH in Release_Label" )</f>
        <v/>
      </c>
      <c r="D270" s="121" t="str">
        <f t="array" ref="D270">ifs(and(isblank($A270),isblank($B270)),"", not(iserror(vlookup($A270&amp;$B270,'3) Release_Label'!$D:$D&amp;'3) Release_Label'!$E:$E,1,0))),vlookup($A270&amp;$B270,{'3) Release_Label'!$D:$D&amp;'3) Release_Label'!$E:$E,'3) Release_Label'!$H:$H},2,0), or(and(not(isblank($B270)),$B270=$B269,$A270&lt;&gt;$A269),and(not(isblank($A270)),$A270=$A269,$B270&lt;&gt;$B269)),"ID LISTS UNALIGNED",and($A270&lt;&gt;"",countif('3) Release_Label'!$D:$D,$A270)=0),"NO UPC MATCH in Release_Label",and($B270&lt;&gt;"",countif('3) Release_Label'!$E:$E,$B270)=0),"NO CATALOG ID MATCH in Release_Label",iserror(vlookup($A270&amp;$B270,'3) Release_Label'!$D:$D&amp;'3) Release_Label'!$E:$E,1,0)),"NO UPC-CATALOG ID pair MATCH in Release_Label" )</f>
        <v/>
      </c>
      <c r="E270" s="141" t="str">
        <f t="shared" si="2"/>
        <v/>
      </c>
      <c r="G270" s="103"/>
      <c r="H270" s="152"/>
      <c r="J270" s="99"/>
      <c r="K270" s="104"/>
      <c r="L270" s="99"/>
      <c r="N270" s="99"/>
      <c r="O270" s="99"/>
      <c r="P270" s="34"/>
    </row>
    <row r="271">
      <c r="A271" s="100"/>
      <c r="B271" s="103"/>
      <c r="C271" s="121" t="str">
        <f t="array" ref="C271">ifs(and(isblank($A271),isblank($B271)),"", not(iserror(vlookup($A271&amp;$B271,'3) Release_Label'!$D:$D&amp;'3) Release_Label'!$E:$E,1,0))),vlookup($A271&amp;$B271,{'3) Release_Label'!$D:$D&amp;'3) Release_Label'!$E:$E,'3) Release_Label'!$F:$F},2,0), or(and(not(isblank($B271)),$B271=$B270,$A271&lt;&gt;$A270),and(not(isblank($A271)),$A271=$A270,$B271&lt;&gt;$B270)),"ID LISTS UNALIGNED",and($A271&lt;&gt;"",countif('3) Release_Label'!$D:$D,$A271)=0),"NO UPC MATCH in Release_Label",and($B271&lt;&gt;"",countif('3) Release_Label'!$E:$E,$B271)=0),"NO CATALOG ID MATCH in Release_Label",iserror(vlookup($A271&amp;$B271,'3) Release_Label'!$D:$D&amp;'3) Release_Label'!$E:$E,1,0)),"NO UPC-CATALOG ID pair MATCH in Release_Label" )</f>
        <v/>
      </c>
      <c r="D271" s="121" t="str">
        <f t="array" ref="D271">ifs(and(isblank($A271),isblank($B271)),"", not(iserror(vlookup($A271&amp;$B271,'3) Release_Label'!$D:$D&amp;'3) Release_Label'!$E:$E,1,0))),vlookup($A271&amp;$B271,{'3) Release_Label'!$D:$D&amp;'3) Release_Label'!$E:$E,'3) Release_Label'!$H:$H},2,0), or(and(not(isblank($B271)),$B271=$B270,$A271&lt;&gt;$A270),and(not(isblank($A271)),$A271=$A270,$B271&lt;&gt;$B270)),"ID LISTS UNALIGNED",and($A271&lt;&gt;"",countif('3) Release_Label'!$D:$D,$A271)=0),"NO UPC MATCH in Release_Label",and($B271&lt;&gt;"",countif('3) Release_Label'!$E:$E,$B271)=0),"NO CATALOG ID MATCH in Release_Label",iserror(vlookup($A271&amp;$B271,'3) Release_Label'!$D:$D&amp;'3) Release_Label'!$E:$E,1,0)),"NO UPC-CATALOG ID pair MATCH in Release_Label" )</f>
        <v/>
      </c>
      <c r="E271" s="141" t="str">
        <f t="shared" si="2"/>
        <v/>
      </c>
      <c r="G271" s="103"/>
      <c r="H271" s="152"/>
      <c r="J271" s="99"/>
      <c r="K271" s="104"/>
      <c r="L271" s="99"/>
      <c r="N271" s="99"/>
      <c r="O271" s="99"/>
      <c r="P271" s="34"/>
    </row>
    <row r="272">
      <c r="A272" s="100"/>
      <c r="B272" s="103"/>
      <c r="C272" s="121" t="str">
        <f t="array" ref="C272">ifs(and(isblank($A272),isblank($B272)),"", not(iserror(vlookup($A272&amp;$B272,'3) Release_Label'!$D:$D&amp;'3) Release_Label'!$E:$E,1,0))),vlookup($A272&amp;$B272,{'3) Release_Label'!$D:$D&amp;'3) Release_Label'!$E:$E,'3) Release_Label'!$F:$F},2,0), or(and(not(isblank($B272)),$B272=$B271,$A272&lt;&gt;$A271),and(not(isblank($A272)),$A272=$A271,$B272&lt;&gt;$B271)),"ID LISTS UNALIGNED",and($A272&lt;&gt;"",countif('3) Release_Label'!$D:$D,$A272)=0),"NO UPC MATCH in Release_Label",and($B272&lt;&gt;"",countif('3) Release_Label'!$E:$E,$B272)=0),"NO CATALOG ID MATCH in Release_Label",iserror(vlookup($A272&amp;$B272,'3) Release_Label'!$D:$D&amp;'3) Release_Label'!$E:$E,1,0)),"NO UPC-CATALOG ID pair MATCH in Release_Label" )</f>
        <v/>
      </c>
      <c r="D272" s="121" t="str">
        <f t="array" ref="D272">ifs(and(isblank($A272),isblank($B272)),"", not(iserror(vlookup($A272&amp;$B272,'3) Release_Label'!$D:$D&amp;'3) Release_Label'!$E:$E,1,0))),vlookup($A272&amp;$B272,{'3) Release_Label'!$D:$D&amp;'3) Release_Label'!$E:$E,'3) Release_Label'!$H:$H},2,0), or(and(not(isblank($B272)),$B272=$B271,$A272&lt;&gt;$A271),and(not(isblank($A272)),$A272=$A271,$B272&lt;&gt;$B271)),"ID LISTS UNALIGNED",and($A272&lt;&gt;"",countif('3) Release_Label'!$D:$D,$A272)=0),"NO UPC MATCH in Release_Label",and($B272&lt;&gt;"",countif('3) Release_Label'!$E:$E,$B272)=0),"NO CATALOG ID MATCH in Release_Label",iserror(vlookup($A272&amp;$B272,'3) Release_Label'!$D:$D&amp;'3) Release_Label'!$E:$E,1,0)),"NO UPC-CATALOG ID pair MATCH in Release_Label" )</f>
        <v/>
      </c>
      <c r="E272" s="141" t="str">
        <f t="shared" si="2"/>
        <v/>
      </c>
      <c r="G272" s="103"/>
      <c r="H272" s="152"/>
      <c r="J272" s="99"/>
      <c r="K272" s="104"/>
      <c r="L272" s="99"/>
      <c r="N272" s="99"/>
      <c r="O272" s="99"/>
      <c r="P272" s="34"/>
    </row>
    <row r="273">
      <c r="A273" s="100"/>
      <c r="B273" s="103"/>
      <c r="C273" s="121" t="str">
        <f t="array" ref="C273">ifs(and(isblank($A273),isblank($B273)),"", not(iserror(vlookup($A273&amp;$B273,'3) Release_Label'!$D:$D&amp;'3) Release_Label'!$E:$E,1,0))),vlookup($A273&amp;$B273,{'3) Release_Label'!$D:$D&amp;'3) Release_Label'!$E:$E,'3) Release_Label'!$F:$F},2,0), or(and(not(isblank($B273)),$B273=$B272,$A273&lt;&gt;$A272),and(not(isblank($A273)),$A273=$A272,$B273&lt;&gt;$B272)),"ID LISTS UNALIGNED",and($A273&lt;&gt;"",countif('3) Release_Label'!$D:$D,$A273)=0),"NO UPC MATCH in Release_Label",and($B273&lt;&gt;"",countif('3) Release_Label'!$E:$E,$B273)=0),"NO CATALOG ID MATCH in Release_Label",iserror(vlookup($A273&amp;$B273,'3) Release_Label'!$D:$D&amp;'3) Release_Label'!$E:$E,1,0)),"NO UPC-CATALOG ID pair MATCH in Release_Label" )</f>
        <v/>
      </c>
      <c r="D273" s="121" t="str">
        <f t="array" ref="D273">ifs(and(isblank($A273),isblank($B273)),"", not(iserror(vlookup($A273&amp;$B273,'3) Release_Label'!$D:$D&amp;'3) Release_Label'!$E:$E,1,0))),vlookup($A273&amp;$B273,{'3) Release_Label'!$D:$D&amp;'3) Release_Label'!$E:$E,'3) Release_Label'!$H:$H},2,0), or(and(not(isblank($B273)),$B273=$B272,$A273&lt;&gt;$A272),and(not(isblank($A273)),$A273=$A272,$B273&lt;&gt;$B272)),"ID LISTS UNALIGNED",and($A273&lt;&gt;"",countif('3) Release_Label'!$D:$D,$A273)=0),"NO UPC MATCH in Release_Label",and($B273&lt;&gt;"",countif('3) Release_Label'!$E:$E,$B273)=0),"NO CATALOG ID MATCH in Release_Label",iserror(vlookup($A273&amp;$B273,'3) Release_Label'!$D:$D&amp;'3) Release_Label'!$E:$E,1,0)),"NO UPC-CATALOG ID pair MATCH in Release_Label" )</f>
        <v/>
      </c>
      <c r="E273" s="141" t="str">
        <f t="shared" si="2"/>
        <v/>
      </c>
      <c r="G273" s="103"/>
      <c r="H273" s="152"/>
      <c r="J273" s="99"/>
      <c r="K273" s="104"/>
      <c r="L273" s="99"/>
      <c r="N273" s="99"/>
      <c r="O273" s="99"/>
      <c r="P273" s="34"/>
    </row>
    <row r="274">
      <c r="A274" s="100"/>
      <c r="B274" s="103"/>
      <c r="C274" s="121" t="str">
        <f t="array" ref="C274">ifs(and(isblank($A274),isblank($B274)),"", not(iserror(vlookup($A274&amp;$B274,'3) Release_Label'!$D:$D&amp;'3) Release_Label'!$E:$E,1,0))),vlookup($A274&amp;$B274,{'3) Release_Label'!$D:$D&amp;'3) Release_Label'!$E:$E,'3) Release_Label'!$F:$F},2,0), or(and(not(isblank($B274)),$B274=$B273,$A274&lt;&gt;$A273),and(not(isblank($A274)),$A274=$A273,$B274&lt;&gt;$B273)),"ID LISTS UNALIGNED",and($A274&lt;&gt;"",countif('3) Release_Label'!$D:$D,$A274)=0),"NO UPC MATCH in Release_Label",and($B274&lt;&gt;"",countif('3) Release_Label'!$E:$E,$B274)=0),"NO CATALOG ID MATCH in Release_Label",iserror(vlookup($A274&amp;$B274,'3) Release_Label'!$D:$D&amp;'3) Release_Label'!$E:$E,1,0)),"NO UPC-CATALOG ID pair MATCH in Release_Label" )</f>
        <v/>
      </c>
      <c r="D274" s="121" t="str">
        <f t="array" ref="D274">ifs(and(isblank($A274),isblank($B274)),"", not(iserror(vlookup($A274&amp;$B274,'3) Release_Label'!$D:$D&amp;'3) Release_Label'!$E:$E,1,0))),vlookup($A274&amp;$B274,{'3) Release_Label'!$D:$D&amp;'3) Release_Label'!$E:$E,'3) Release_Label'!$H:$H},2,0), or(and(not(isblank($B274)),$B274=$B273,$A274&lt;&gt;$A273),and(not(isblank($A274)),$A274=$A273,$B274&lt;&gt;$B273)),"ID LISTS UNALIGNED",and($A274&lt;&gt;"",countif('3) Release_Label'!$D:$D,$A274)=0),"NO UPC MATCH in Release_Label",and($B274&lt;&gt;"",countif('3) Release_Label'!$E:$E,$B274)=0),"NO CATALOG ID MATCH in Release_Label",iserror(vlookup($A274&amp;$B274,'3) Release_Label'!$D:$D&amp;'3) Release_Label'!$E:$E,1,0)),"NO UPC-CATALOG ID pair MATCH in Release_Label" )</f>
        <v/>
      </c>
      <c r="E274" s="141" t="str">
        <f t="shared" si="2"/>
        <v/>
      </c>
      <c r="G274" s="103"/>
      <c r="H274" s="152"/>
      <c r="J274" s="99"/>
      <c r="K274" s="104"/>
      <c r="L274" s="99"/>
      <c r="N274" s="99"/>
      <c r="O274" s="99"/>
      <c r="P274" s="34"/>
    </row>
    <row r="275">
      <c r="A275" s="100"/>
      <c r="B275" s="103"/>
      <c r="C275" s="121" t="str">
        <f t="array" ref="C275">ifs(and(isblank($A275),isblank($B275)),"", not(iserror(vlookup($A275&amp;$B275,'3) Release_Label'!$D:$D&amp;'3) Release_Label'!$E:$E,1,0))),vlookup($A275&amp;$B275,{'3) Release_Label'!$D:$D&amp;'3) Release_Label'!$E:$E,'3) Release_Label'!$F:$F},2,0), or(and(not(isblank($B275)),$B275=$B274,$A275&lt;&gt;$A274),and(not(isblank($A275)),$A275=$A274,$B275&lt;&gt;$B274)),"ID LISTS UNALIGNED",and($A275&lt;&gt;"",countif('3) Release_Label'!$D:$D,$A275)=0),"NO UPC MATCH in Release_Label",and($B275&lt;&gt;"",countif('3) Release_Label'!$E:$E,$B275)=0),"NO CATALOG ID MATCH in Release_Label",iserror(vlookup($A275&amp;$B275,'3) Release_Label'!$D:$D&amp;'3) Release_Label'!$E:$E,1,0)),"NO UPC-CATALOG ID pair MATCH in Release_Label" )</f>
        <v/>
      </c>
      <c r="D275" s="121" t="str">
        <f t="array" ref="D275">ifs(and(isblank($A275),isblank($B275)),"", not(iserror(vlookup($A275&amp;$B275,'3) Release_Label'!$D:$D&amp;'3) Release_Label'!$E:$E,1,0))),vlookup($A275&amp;$B275,{'3) Release_Label'!$D:$D&amp;'3) Release_Label'!$E:$E,'3) Release_Label'!$H:$H},2,0), or(and(not(isblank($B275)),$B275=$B274,$A275&lt;&gt;$A274),and(not(isblank($A275)),$A275=$A274,$B275&lt;&gt;$B274)),"ID LISTS UNALIGNED",and($A275&lt;&gt;"",countif('3) Release_Label'!$D:$D,$A275)=0),"NO UPC MATCH in Release_Label",and($B275&lt;&gt;"",countif('3) Release_Label'!$E:$E,$B275)=0),"NO CATALOG ID MATCH in Release_Label",iserror(vlookup($A275&amp;$B275,'3) Release_Label'!$D:$D&amp;'3) Release_Label'!$E:$E,1,0)),"NO UPC-CATALOG ID pair MATCH in Release_Label" )</f>
        <v/>
      </c>
      <c r="E275" s="141" t="str">
        <f t="shared" si="2"/>
        <v/>
      </c>
      <c r="G275" s="103"/>
      <c r="H275" s="152"/>
      <c r="J275" s="99"/>
      <c r="K275" s="104"/>
      <c r="L275" s="99"/>
      <c r="N275" s="99"/>
      <c r="O275" s="99"/>
      <c r="P275" s="34"/>
    </row>
    <row r="276">
      <c r="A276" s="100"/>
      <c r="B276" s="103"/>
      <c r="C276" s="121" t="str">
        <f t="array" ref="C276">ifs(and(isblank($A276),isblank($B276)),"", not(iserror(vlookup($A276&amp;$B276,'3) Release_Label'!$D:$D&amp;'3) Release_Label'!$E:$E,1,0))),vlookup($A276&amp;$B276,{'3) Release_Label'!$D:$D&amp;'3) Release_Label'!$E:$E,'3) Release_Label'!$F:$F},2,0), or(and(not(isblank($B276)),$B276=$B275,$A276&lt;&gt;$A275),and(not(isblank($A276)),$A276=$A275,$B276&lt;&gt;$B275)),"ID LISTS UNALIGNED",and($A276&lt;&gt;"",countif('3) Release_Label'!$D:$D,$A276)=0),"NO UPC MATCH in Release_Label",and($B276&lt;&gt;"",countif('3) Release_Label'!$E:$E,$B276)=0),"NO CATALOG ID MATCH in Release_Label",iserror(vlookup($A276&amp;$B276,'3) Release_Label'!$D:$D&amp;'3) Release_Label'!$E:$E,1,0)),"NO UPC-CATALOG ID pair MATCH in Release_Label" )</f>
        <v/>
      </c>
      <c r="D276" s="121" t="str">
        <f t="array" ref="D276">ifs(and(isblank($A276),isblank($B276)),"", not(iserror(vlookup($A276&amp;$B276,'3) Release_Label'!$D:$D&amp;'3) Release_Label'!$E:$E,1,0))),vlookup($A276&amp;$B276,{'3) Release_Label'!$D:$D&amp;'3) Release_Label'!$E:$E,'3) Release_Label'!$H:$H},2,0), or(and(not(isblank($B276)),$B276=$B275,$A276&lt;&gt;$A275),and(not(isblank($A276)),$A276=$A275,$B276&lt;&gt;$B275)),"ID LISTS UNALIGNED",and($A276&lt;&gt;"",countif('3) Release_Label'!$D:$D,$A276)=0),"NO UPC MATCH in Release_Label",and($B276&lt;&gt;"",countif('3) Release_Label'!$E:$E,$B276)=0),"NO CATALOG ID MATCH in Release_Label",iserror(vlookup($A276&amp;$B276,'3) Release_Label'!$D:$D&amp;'3) Release_Label'!$E:$E,1,0)),"NO UPC-CATALOG ID pair MATCH in Release_Label" )</f>
        <v/>
      </c>
      <c r="E276" s="141" t="str">
        <f t="shared" si="2"/>
        <v/>
      </c>
      <c r="G276" s="103"/>
      <c r="H276" s="152"/>
      <c r="J276" s="99"/>
      <c r="K276" s="104"/>
      <c r="L276" s="99"/>
      <c r="N276" s="99"/>
      <c r="O276" s="99"/>
      <c r="P276" s="34"/>
    </row>
    <row r="277">
      <c r="A277" s="100"/>
      <c r="B277" s="103"/>
      <c r="C277" s="121" t="str">
        <f t="array" ref="C277">ifs(and(isblank($A277),isblank($B277)),"", not(iserror(vlookup($A277&amp;$B277,'3) Release_Label'!$D:$D&amp;'3) Release_Label'!$E:$E,1,0))),vlookup($A277&amp;$B277,{'3) Release_Label'!$D:$D&amp;'3) Release_Label'!$E:$E,'3) Release_Label'!$F:$F},2,0), or(and(not(isblank($B277)),$B277=$B276,$A277&lt;&gt;$A276),and(not(isblank($A277)),$A277=$A276,$B277&lt;&gt;$B276)),"ID LISTS UNALIGNED",and($A277&lt;&gt;"",countif('3) Release_Label'!$D:$D,$A277)=0),"NO UPC MATCH in Release_Label",and($B277&lt;&gt;"",countif('3) Release_Label'!$E:$E,$B277)=0),"NO CATALOG ID MATCH in Release_Label",iserror(vlookup($A277&amp;$B277,'3) Release_Label'!$D:$D&amp;'3) Release_Label'!$E:$E,1,0)),"NO UPC-CATALOG ID pair MATCH in Release_Label" )</f>
        <v/>
      </c>
      <c r="D277" s="121" t="str">
        <f t="array" ref="D277">ifs(and(isblank($A277),isblank($B277)),"", not(iserror(vlookup($A277&amp;$B277,'3) Release_Label'!$D:$D&amp;'3) Release_Label'!$E:$E,1,0))),vlookup($A277&amp;$B277,{'3) Release_Label'!$D:$D&amp;'3) Release_Label'!$E:$E,'3) Release_Label'!$H:$H},2,0), or(and(not(isblank($B277)),$B277=$B276,$A277&lt;&gt;$A276),and(not(isblank($A277)),$A277=$A276,$B277&lt;&gt;$B276)),"ID LISTS UNALIGNED",and($A277&lt;&gt;"",countif('3) Release_Label'!$D:$D,$A277)=0),"NO UPC MATCH in Release_Label",and($B277&lt;&gt;"",countif('3) Release_Label'!$E:$E,$B277)=0),"NO CATALOG ID MATCH in Release_Label",iserror(vlookup($A277&amp;$B277,'3) Release_Label'!$D:$D&amp;'3) Release_Label'!$E:$E,1,0)),"NO UPC-CATALOG ID pair MATCH in Release_Label" )</f>
        <v/>
      </c>
      <c r="E277" s="141" t="str">
        <f t="shared" si="2"/>
        <v/>
      </c>
      <c r="G277" s="103"/>
      <c r="H277" s="152"/>
      <c r="J277" s="99"/>
      <c r="K277" s="104"/>
      <c r="L277" s="99"/>
      <c r="N277" s="99"/>
      <c r="O277" s="99"/>
      <c r="P277" s="34"/>
    </row>
    <row r="278">
      <c r="A278" s="100"/>
      <c r="B278" s="103"/>
      <c r="C278" s="121" t="str">
        <f t="array" ref="C278">ifs(and(isblank($A278),isblank($B278)),"", not(iserror(vlookup($A278&amp;$B278,'3) Release_Label'!$D:$D&amp;'3) Release_Label'!$E:$E,1,0))),vlookup($A278&amp;$B278,{'3) Release_Label'!$D:$D&amp;'3) Release_Label'!$E:$E,'3) Release_Label'!$F:$F},2,0), or(and(not(isblank($B278)),$B278=$B277,$A278&lt;&gt;$A277),and(not(isblank($A278)),$A278=$A277,$B278&lt;&gt;$B277)),"ID LISTS UNALIGNED",and($A278&lt;&gt;"",countif('3) Release_Label'!$D:$D,$A278)=0),"NO UPC MATCH in Release_Label",and($B278&lt;&gt;"",countif('3) Release_Label'!$E:$E,$B278)=0),"NO CATALOG ID MATCH in Release_Label",iserror(vlookup($A278&amp;$B278,'3) Release_Label'!$D:$D&amp;'3) Release_Label'!$E:$E,1,0)),"NO UPC-CATALOG ID pair MATCH in Release_Label" )</f>
        <v/>
      </c>
      <c r="D278" s="121" t="str">
        <f t="array" ref="D278">ifs(and(isblank($A278),isblank($B278)),"", not(iserror(vlookup($A278&amp;$B278,'3) Release_Label'!$D:$D&amp;'3) Release_Label'!$E:$E,1,0))),vlookup($A278&amp;$B278,{'3) Release_Label'!$D:$D&amp;'3) Release_Label'!$E:$E,'3) Release_Label'!$H:$H},2,0), or(and(not(isblank($B278)),$B278=$B277,$A278&lt;&gt;$A277),and(not(isblank($A278)),$A278=$A277,$B278&lt;&gt;$B277)),"ID LISTS UNALIGNED",and($A278&lt;&gt;"",countif('3) Release_Label'!$D:$D,$A278)=0),"NO UPC MATCH in Release_Label",and($B278&lt;&gt;"",countif('3) Release_Label'!$E:$E,$B278)=0),"NO CATALOG ID MATCH in Release_Label",iserror(vlookup($A278&amp;$B278,'3) Release_Label'!$D:$D&amp;'3) Release_Label'!$E:$E,1,0)),"NO UPC-CATALOG ID pair MATCH in Release_Label" )</f>
        <v/>
      </c>
      <c r="E278" s="141" t="str">
        <f t="shared" si="2"/>
        <v/>
      </c>
      <c r="G278" s="103"/>
      <c r="H278" s="152"/>
      <c r="J278" s="99"/>
      <c r="K278" s="104"/>
      <c r="L278" s="99"/>
      <c r="N278" s="99"/>
      <c r="O278" s="99"/>
      <c r="P278" s="34"/>
    </row>
    <row r="279">
      <c r="A279" s="100"/>
      <c r="B279" s="103"/>
      <c r="C279" s="121" t="str">
        <f t="array" ref="C279">ifs(and(isblank($A279),isblank($B279)),"", not(iserror(vlookup($A279&amp;$B279,'3) Release_Label'!$D:$D&amp;'3) Release_Label'!$E:$E,1,0))),vlookup($A279&amp;$B279,{'3) Release_Label'!$D:$D&amp;'3) Release_Label'!$E:$E,'3) Release_Label'!$F:$F},2,0), or(and(not(isblank($B279)),$B279=$B278,$A279&lt;&gt;$A278),and(not(isblank($A279)),$A279=$A278,$B279&lt;&gt;$B278)),"ID LISTS UNALIGNED",and($A279&lt;&gt;"",countif('3) Release_Label'!$D:$D,$A279)=0),"NO UPC MATCH in Release_Label",and($B279&lt;&gt;"",countif('3) Release_Label'!$E:$E,$B279)=0),"NO CATALOG ID MATCH in Release_Label",iserror(vlookup($A279&amp;$B279,'3) Release_Label'!$D:$D&amp;'3) Release_Label'!$E:$E,1,0)),"NO UPC-CATALOG ID pair MATCH in Release_Label" )</f>
        <v/>
      </c>
      <c r="D279" s="121" t="str">
        <f t="array" ref="D279">ifs(and(isblank($A279),isblank($B279)),"", not(iserror(vlookup($A279&amp;$B279,'3) Release_Label'!$D:$D&amp;'3) Release_Label'!$E:$E,1,0))),vlookup($A279&amp;$B279,{'3) Release_Label'!$D:$D&amp;'3) Release_Label'!$E:$E,'3) Release_Label'!$H:$H},2,0), or(and(not(isblank($B279)),$B279=$B278,$A279&lt;&gt;$A278),and(not(isblank($A279)),$A279=$A278,$B279&lt;&gt;$B278)),"ID LISTS UNALIGNED",and($A279&lt;&gt;"",countif('3) Release_Label'!$D:$D,$A279)=0),"NO UPC MATCH in Release_Label",and($B279&lt;&gt;"",countif('3) Release_Label'!$E:$E,$B279)=0),"NO CATALOG ID MATCH in Release_Label",iserror(vlookup($A279&amp;$B279,'3) Release_Label'!$D:$D&amp;'3) Release_Label'!$E:$E,1,0)),"NO UPC-CATALOG ID pair MATCH in Release_Label" )</f>
        <v/>
      </c>
      <c r="E279" s="141" t="str">
        <f t="shared" si="2"/>
        <v/>
      </c>
      <c r="G279" s="103"/>
      <c r="H279" s="152"/>
      <c r="J279" s="99"/>
      <c r="K279" s="104"/>
      <c r="L279" s="99"/>
      <c r="N279" s="99"/>
      <c r="O279" s="99"/>
      <c r="P279" s="34"/>
    </row>
    <row r="280">
      <c r="A280" s="100"/>
      <c r="B280" s="103"/>
      <c r="C280" s="121" t="str">
        <f t="array" ref="C280">ifs(and(isblank($A280),isblank($B280)),"", not(iserror(vlookup($A280&amp;$B280,'3) Release_Label'!$D:$D&amp;'3) Release_Label'!$E:$E,1,0))),vlookup($A280&amp;$B280,{'3) Release_Label'!$D:$D&amp;'3) Release_Label'!$E:$E,'3) Release_Label'!$F:$F},2,0), or(and(not(isblank($B280)),$B280=$B279,$A280&lt;&gt;$A279),and(not(isblank($A280)),$A280=$A279,$B280&lt;&gt;$B279)),"ID LISTS UNALIGNED",and($A280&lt;&gt;"",countif('3) Release_Label'!$D:$D,$A280)=0),"NO UPC MATCH in Release_Label",and($B280&lt;&gt;"",countif('3) Release_Label'!$E:$E,$B280)=0),"NO CATALOG ID MATCH in Release_Label",iserror(vlookup($A280&amp;$B280,'3) Release_Label'!$D:$D&amp;'3) Release_Label'!$E:$E,1,0)),"NO UPC-CATALOG ID pair MATCH in Release_Label" )</f>
        <v/>
      </c>
      <c r="D280" s="121" t="str">
        <f t="array" ref="D280">ifs(and(isblank($A280),isblank($B280)),"", not(iserror(vlookup($A280&amp;$B280,'3) Release_Label'!$D:$D&amp;'3) Release_Label'!$E:$E,1,0))),vlookup($A280&amp;$B280,{'3) Release_Label'!$D:$D&amp;'3) Release_Label'!$E:$E,'3) Release_Label'!$H:$H},2,0), or(and(not(isblank($B280)),$B280=$B279,$A280&lt;&gt;$A279),and(not(isblank($A280)),$A280=$A279,$B280&lt;&gt;$B279)),"ID LISTS UNALIGNED",and($A280&lt;&gt;"",countif('3) Release_Label'!$D:$D,$A280)=0),"NO UPC MATCH in Release_Label",and($B280&lt;&gt;"",countif('3) Release_Label'!$E:$E,$B280)=0),"NO CATALOG ID MATCH in Release_Label",iserror(vlookup($A280&amp;$B280,'3) Release_Label'!$D:$D&amp;'3) Release_Label'!$E:$E,1,0)),"NO UPC-CATALOG ID pair MATCH in Release_Label" )</f>
        <v/>
      </c>
      <c r="E280" s="141" t="str">
        <f t="shared" si="2"/>
        <v/>
      </c>
      <c r="G280" s="103"/>
      <c r="H280" s="152"/>
      <c r="J280" s="99"/>
      <c r="K280" s="104"/>
      <c r="L280" s="99"/>
      <c r="N280" s="99"/>
      <c r="O280" s="99"/>
      <c r="P280" s="34"/>
    </row>
    <row r="281">
      <c r="A281" s="100"/>
      <c r="B281" s="103"/>
      <c r="C281" s="121" t="str">
        <f t="array" ref="C281">ifs(and(isblank($A281),isblank($B281)),"", not(iserror(vlookup($A281&amp;$B281,'3) Release_Label'!$D:$D&amp;'3) Release_Label'!$E:$E,1,0))),vlookup($A281&amp;$B281,{'3) Release_Label'!$D:$D&amp;'3) Release_Label'!$E:$E,'3) Release_Label'!$F:$F},2,0), or(and(not(isblank($B281)),$B281=$B280,$A281&lt;&gt;$A280),and(not(isblank($A281)),$A281=$A280,$B281&lt;&gt;$B280)),"ID LISTS UNALIGNED",and($A281&lt;&gt;"",countif('3) Release_Label'!$D:$D,$A281)=0),"NO UPC MATCH in Release_Label",and($B281&lt;&gt;"",countif('3) Release_Label'!$E:$E,$B281)=0),"NO CATALOG ID MATCH in Release_Label",iserror(vlookup($A281&amp;$B281,'3) Release_Label'!$D:$D&amp;'3) Release_Label'!$E:$E,1,0)),"NO UPC-CATALOG ID pair MATCH in Release_Label" )</f>
        <v/>
      </c>
      <c r="D281" s="121" t="str">
        <f t="array" ref="D281">ifs(and(isblank($A281),isblank($B281)),"", not(iserror(vlookup($A281&amp;$B281,'3) Release_Label'!$D:$D&amp;'3) Release_Label'!$E:$E,1,0))),vlookup($A281&amp;$B281,{'3) Release_Label'!$D:$D&amp;'3) Release_Label'!$E:$E,'3) Release_Label'!$H:$H},2,0), or(and(not(isblank($B281)),$B281=$B280,$A281&lt;&gt;$A280),and(not(isblank($A281)),$A281=$A280,$B281&lt;&gt;$B280)),"ID LISTS UNALIGNED",and($A281&lt;&gt;"",countif('3) Release_Label'!$D:$D,$A281)=0),"NO UPC MATCH in Release_Label",and($B281&lt;&gt;"",countif('3) Release_Label'!$E:$E,$B281)=0),"NO CATALOG ID MATCH in Release_Label",iserror(vlookup($A281&amp;$B281,'3) Release_Label'!$D:$D&amp;'3) Release_Label'!$E:$E,1,0)),"NO UPC-CATALOG ID pair MATCH in Release_Label" )</f>
        <v/>
      </c>
      <c r="E281" s="141" t="str">
        <f t="shared" si="2"/>
        <v/>
      </c>
      <c r="G281" s="103"/>
      <c r="H281" s="152"/>
      <c r="J281" s="99"/>
      <c r="K281" s="104"/>
      <c r="L281" s="99"/>
      <c r="N281" s="99"/>
      <c r="O281" s="99"/>
      <c r="P281" s="34"/>
    </row>
    <row r="282">
      <c r="A282" s="100"/>
      <c r="B282" s="103"/>
      <c r="C282" s="121" t="str">
        <f t="array" ref="C282">ifs(and(isblank($A282),isblank($B282)),"", not(iserror(vlookup($A282&amp;$B282,'3) Release_Label'!$D:$D&amp;'3) Release_Label'!$E:$E,1,0))),vlookup($A282&amp;$B282,{'3) Release_Label'!$D:$D&amp;'3) Release_Label'!$E:$E,'3) Release_Label'!$F:$F},2,0), or(and(not(isblank($B282)),$B282=$B281,$A282&lt;&gt;$A281),and(not(isblank($A282)),$A282=$A281,$B282&lt;&gt;$B281)),"ID LISTS UNALIGNED",and($A282&lt;&gt;"",countif('3) Release_Label'!$D:$D,$A282)=0),"NO UPC MATCH in Release_Label",and($B282&lt;&gt;"",countif('3) Release_Label'!$E:$E,$B282)=0),"NO CATALOG ID MATCH in Release_Label",iserror(vlookup($A282&amp;$B282,'3) Release_Label'!$D:$D&amp;'3) Release_Label'!$E:$E,1,0)),"NO UPC-CATALOG ID pair MATCH in Release_Label" )</f>
        <v/>
      </c>
      <c r="D282" s="121" t="str">
        <f t="array" ref="D282">ifs(and(isblank($A282),isblank($B282)),"", not(iserror(vlookup($A282&amp;$B282,'3) Release_Label'!$D:$D&amp;'3) Release_Label'!$E:$E,1,0))),vlookup($A282&amp;$B282,{'3) Release_Label'!$D:$D&amp;'3) Release_Label'!$E:$E,'3) Release_Label'!$H:$H},2,0), or(and(not(isblank($B282)),$B282=$B281,$A282&lt;&gt;$A281),and(not(isblank($A282)),$A282=$A281,$B282&lt;&gt;$B281)),"ID LISTS UNALIGNED",and($A282&lt;&gt;"",countif('3) Release_Label'!$D:$D,$A282)=0),"NO UPC MATCH in Release_Label",and($B282&lt;&gt;"",countif('3) Release_Label'!$E:$E,$B282)=0),"NO CATALOG ID MATCH in Release_Label",iserror(vlookup($A282&amp;$B282,'3) Release_Label'!$D:$D&amp;'3) Release_Label'!$E:$E,1,0)),"NO UPC-CATALOG ID pair MATCH in Release_Label" )</f>
        <v/>
      </c>
      <c r="E282" s="141" t="str">
        <f t="shared" si="2"/>
        <v/>
      </c>
      <c r="G282" s="103"/>
      <c r="H282" s="152"/>
      <c r="J282" s="99"/>
      <c r="K282" s="104"/>
      <c r="L282" s="99"/>
      <c r="N282" s="99"/>
      <c r="O282" s="99"/>
      <c r="P282" s="34"/>
    </row>
    <row r="283">
      <c r="A283" s="100"/>
      <c r="B283" s="103"/>
      <c r="C283" s="121" t="str">
        <f t="array" ref="C283">ifs(and(isblank($A283),isblank($B283)),"", not(iserror(vlookup($A283&amp;$B283,'3) Release_Label'!$D:$D&amp;'3) Release_Label'!$E:$E,1,0))),vlookup($A283&amp;$B283,{'3) Release_Label'!$D:$D&amp;'3) Release_Label'!$E:$E,'3) Release_Label'!$F:$F},2,0), or(and(not(isblank($B283)),$B283=$B282,$A283&lt;&gt;$A282),and(not(isblank($A283)),$A283=$A282,$B283&lt;&gt;$B282)),"ID LISTS UNALIGNED",and($A283&lt;&gt;"",countif('3) Release_Label'!$D:$D,$A283)=0),"NO UPC MATCH in Release_Label",and($B283&lt;&gt;"",countif('3) Release_Label'!$E:$E,$B283)=0),"NO CATALOG ID MATCH in Release_Label",iserror(vlookup($A283&amp;$B283,'3) Release_Label'!$D:$D&amp;'3) Release_Label'!$E:$E,1,0)),"NO UPC-CATALOG ID pair MATCH in Release_Label" )</f>
        <v/>
      </c>
      <c r="D283" s="121" t="str">
        <f t="array" ref="D283">ifs(and(isblank($A283),isblank($B283)),"", not(iserror(vlookup($A283&amp;$B283,'3) Release_Label'!$D:$D&amp;'3) Release_Label'!$E:$E,1,0))),vlookup($A283&amp;$B283,{'3) Release_Label'!$D:$D&amp;'3) Release_Label'!$E:$E,'3) Release_Label'!$H:$H},2,0), or(and(not(isblank($B283)),$B283=$B282,$A283&lt;&gt;$A282),and(not(isblank($A283)),$A283=$A282,$B283&lt;&gt;$B282)),"ID LISTS UNALIGNED",and($A283&lt;&gt;"",countif('3) Release_Label'!$D:$D,$A283)=0),"NO UPC MATCH in Release_Label",and($B283&lt;&gt;"",countif('3) Release_Label'!$E:$E,$B283)=0),"NO CATALOG ID MATCH in Release_Label",iserror(vlookup($A283&amp;$B283,'3) Release_Label'!$D:$D&amp;'3) Release_Label'!$E:$E,1,0)),"NO UPC-CATALOG ID pair MATCH in Release_Label" )</f>
        <v/>
      </c>
      <c r="E283" s="141" t="str">
        <f t="shared" si="2"/>
        <v/>
      </c>
      <c r="G283" s="103"/>
      <c r="H283" s="152"/>
      <c r="J283" s="99"/>
      <c r="K283" s="104"/>
      <c r="L283" s="99"/>
      <c r="N283" s="99"/>
      <c r="O283" s="99"/>
      <c r="P283" s="34"/>
    </row>
    <row r="284">
      <c r="A284" s="100"/>
      <c r="B284" s="103"/>
      <c r="C284" s="121" t="str">
        <f t="array" ref="C284">ifs(and(isblank($A284),isblank($B284)),"", not(iserror(vlookup($A284&amp;$B284,'3) Release_Label'!$D:$D&amp;'3) Release_Label'!$E:$E,1,0))),vlookup($A284&amp;$B284,{'3) Release_Label'!$D:$D&amp;'3) Release_Label'!$E:$E,'3) Release_Label'!$F:$F},2,0), or(and(not(isblank($B284)),$B284=$B283,$A284&lt;&gt;$A283),and(not(isblank($A284)),$A284=$A283,$B284&lt;&gt;$B283)),"ID LISTS UNALIGNED",and($A284&lt;&gt;"",countif('3) Release_Label'!$D:$D,$A284)=0),"NO UPC MATCH in Release_Label",and($B284&lt;&gt;"",countif('3) Release_Label'!$E:$E,$B284)=0),"NO CATALOG ID MATCH in Release_Label",iserror(vlookup($A284&amp;$B284,'3) Release_Label'!$D:$D&amp;'3) Release_Label'!$E:$E,1,0)),"NO UPC-CATALOG ID pair MATCH in Release_Label" )</f>
        <v/>
      </c>
      <c r="D284" s="121" t="str">
        <f t="array" ref="D284">ifs(and(isblank($A284),isblank($B284)),"", not(iserror(vlookup($A284&amp;$B284,'3) Release_Label'!$D:$D&amp;'3) Release_Label'!$E:$E,1,0))),vlookup($A284&amp;$B284,{'3) Release_Label'!$D:$D&amp;'3) Release_Label'!$E:$E,'3) Release_Label'!$H:$H},2,0), or(and(not(isblank($B284)),$B284=$B283,$A284&lt;&gt;$A283),and(not(isblank($A284)),$A284=$A283,$B284&lt;&gt;$B283)),"ID LISTS UNALIGNED",and($A284&lt;&gt;"",countif('3) Release_Label'!$D:$D,$A284)=0),"NO UPC MATCH in Release_Label",and($B284&lt;&gt;"",countif('3) Release_Label'!$E:$E,$B284)=0),"NO CATALOG ID MATCH in Release_Label",iserror(vlookup($A284&amp;$B284,'3) Release_Label'!$D:$D&amp;'3) Release_Label'!$E:$E,1,0)),"NO UPC-CATALOG ID pair MATCH in Release_Label" )</f>
        <v/>
      </c>
      <c r="E284" s="141" t="str">
        <f t="shared" si="2"/>
        <v/>
      </c>
      <c r="G284" s="103"/>
      <c r="H284" s="152"/>
      <c r="J284" s="99"/>
      <c r="K284" s="104"/>
      <c r="L284" s="99"/>
      <c r="N284" s="99"/>
      <c r="O284" s="99"/>
      <c r="P284" s="34"/>
    </row>
    <row r="285">
      <c r="A285" s="100"/>
      <c r="B285" s="103"/>
      <c r="C285" s="121" t="str">
        <f t="array" ref="C285">ifs(and(isblank($A285),isblank($B285)),"", not(iserror(vlookup($A285&amp;$B285,'3) Release_Label'!$D:$D&amp;'3) Release_Label'!$E:$E,1,0))),vlookup($A285&amp;$B285,{'3) Release_Label'!$D:$D&amp;'3) Release_Label'!$E:$E,'3) Release_Label'!$F:$F},2,0), or(and(not(isblank($B285)),$B285=$B284,$A285&lt;&gt;$A284),and(not(isblank($A285)),$A285=$A284,$B285&lt;&gt;$B284)),"ID LISTS UNALIGNED",and($A285&lt;&gt;"",countif('3) Release_Label'!$D:$D,$A285)=0),"NO UPC MATCH in Release_Label",and($B285&lt;&gt;"",countif('3) Release_Label'!$E:$E,$B285)=0),"NO CATALOG ID MATCH in Release_Label",iserror(vlookup($A285&amp;$B285,'3) Release_Label'!$D:$D&amp;'3) Release_Label'!$E:$E,1,0)),"NO UPC-CATALOG ID pair MATCH in Release_Label" )</f>
        <v/>
      </c>
      <c r="D285" s="121" t="str">
        <f t="array" ref="D285">ifs(and(isblank($A285),isblank($B285)),"", not(iserror(vlookup($A285&amp;$B285,'3) Release_Label'!$D:$D&amp;'3) Release_Label'!$E:$E,1,0))),vlookup($A285&amp;$B285,{'3) Release_Label'!$D:$D&amp;'3) Release_Label'!$E:$E,'3) Release_Label'!$H:$H},2,0), or(and(not(isblank($B285)),$B285=$B284,$A285&lt;&gt;$A284),and(not(isblank($A285)),$A285=$A284,$B285&lt;&gt;$B284)),"ID LISTS UNALIGNED",and($A285&lt;&gt;"",countif('3) Release_Label'!$D:$D,$A285)=0),"NO UPC MATCH in Release_Label",and($B285&lt;&gt;"",countif('3) Release_Label'!$E:$E,$B285)=0),"NO CATALOG ID MATCH in Release_Label",iserror(vlookup($A285&amp;$B285,'3) Release_Label'!$D:$D&amp;'3) Release_Label'!$E:$E,1,0)),"NO UPC-CATALOG ID pair MATCH in Release_Label" )</f>
        <v/>
      </c>
      <c r="E285" s="141" t="str">
        <f t="shared" si="2"/>
        <v/>
      </c>
      <c r="G285" s="103"/>
      <c r="H285" s="152"/>
      <c r="J285" s="99"/>
      <c r="K285" s="104"/>
      <c r="L285" s="99"/>
      <c r="N285" s="99"/>
      <c r="O285" s="99"/>
      <c r="P285" s="34"/>
    </row>
    <row r="286">
      <c r="A286" s="100"/>
      <c r="B286" s="103"/>
      <c r="C286" s="121" t="str">
        <f t="array" ref="C286">ifs(and(isblank($A286),isblank($B286)),"", not(iserror(vlookup($A286&amp;$B286,'3) Release_Label'!$D:$D&amp;'3) Release_Label'!$E:$E,1,0))),vlookup($A286&amp;$B286,{'3) Release_Label'!$D:$D&amp;'3) Release_Label'!$E:$E,'3) Release_Label'!$F:$F},2,0), or(and(not(isblank($B286)),$B286=$B285,$A286&lt;&gt;$A285),and(not(isblank($A286)),$A286=$A285,$B286&lt;&gt;$B285)),"ID LISTS UNALIGNED",and($A286&lt;&gt;"",countif('3) Release_Label'!$D:$D,$A286)=0),"NO UPC MATCH in Release_Label",and($B286&lt;&gt;"",countif('3) Release_Label'!$E:$E,$B286)=0),"NO CATALOG ID MATCH in Release_Label",iserror(vlookup($A286&amp;$B286,'3) Release_Label'!$D:$D&amp;'3) Release_Label'!$E:$E,1,0)),"NO UPC-CATALOG ID pair MATCH in Release_Label" )</f>
        <v/>
      </c>
      <c r="D286" s="121" t="str">
        <f t="array" ref="D286">ifs(and(isblank($A286),isblank($B286)),"", not(iserror(vlookup($A286&amp;$B286,'3) Release_Label'!$D:$D&amp;'3) Release_Label'!$E:$E,1,0))),vlookup($A286&amp;$B286,{'3) Release_Label'!$D:$D&amp;'3) Release_Label'!$E:$E,'3) Release_Label'!$H:$H},2,0), or(and(not(isblank($B286)),$B286=$B285,$A286&lt;&gt;$A285),and(not(isblank($A286)),$A286=$A285,$B286&lt;&gt;$B285)),"ID LISTS UNALIGNED",and($A286&lt;&gt;"",countif('3) Release_Label'!$D:$D,$A286)=0),"NO UPC MATCH in Release_Label",and($B286&lt;&gt;"",countif('3) Release_Label'!$E:$E,$B286)=0),"NO CATALOG ID MATCH in Release_Label",iserror(vlookup($A286&amp;$B286,'3) Release_Label'!$D:$D&amp;'3) Release_Label'!$E:$E,1,0)),"NO UPC-CATALOG ID pair MATCH in Release_Label" )</f>
        <v/>
      </c>
      <c r="E286" s="141" t="str">
        <f t="shared" si="2"/>
        <v/>
      </c>
      <c r="G286" s="103"/>
      <c r="H286" s="152"/>
      <c r="J286" s="99"/>
      <c r="K286" s="104"/>
      <c r="L286" s="99"/>
      <c r="N286" s="99"/>
      <c r="O286" s="99"/>
      <c r="P286" s="34"/>
    </row>
    <row r="287">
      <c r="A287" s="100"/>
      <c r="B287" s="103"/>
      <c r="C287" s="121" t="str">
        <f t="array" ref="C287">ifs(and(isblank($A287),isblank($B287)),"", not(iserror(vlookup($A287&amp;$B287,'3) Release_Label'!$D:$D&amp;'3) Release_Label'!$E:$E,1,0))),vlookup($A287&amp;$B287,{'3) Release_Label'!$D:$D&amp;'3) Release_Label'!$E:$E,'3) Release_Label'!$F:$F},2,0), or(and(not(isblank($B287)),$B287=$B286,$A287&lt;&gt;$A286),and(not(isblank($A287)),$A287=$A286,$B287&lt;&gt;$B286)),"ID LISTS UNALIGNED",and($A287&lt;&gt;"",countif('3) Release_Label'!$D:$D,$A287)=0),"NO UPC MATCH in Release_Label",and($B287&lt;&gt;"",countif('3) Release_Label'!$E:$E,$B287)=0),"NO CATALOG ID MATCH in Release_Label",iserror(vlookup($A287&amp;$B287,'3) Release_Label'!$D:$D&amp;'3) Release_Label'!$E:$E,1,0)),"NO UPC-CATALOG ID pair MATCH in Release_Label" )</f>
        <v/>
      </c>
      <c r="D287" s="121" t="str">
        <f t="array" ref="D287">ifs(and(isblank($A287),isblank($B287)),"", not(iserror(vlookup($A287&amp;$B287,'3) Release_Label'!$D:$D&amp;'3) Release_Label'!$E:$E,1,0))),vlookup($A287&amp;$B287,{'3) Release_Label'!$D:$D&amp;'3) Release_Label'!$E:$E,'3) Release_Label'!$H:$H},2,0), or(and(not(isblank($B287)),$B287=$B286,$A287&lt;&gt;$A286),and(not(isblank($A287)),$A287=$A286,$B287&lt;&gt;$B286)),"ID LISTS UNALIGNED",and($A287&lt;&gt;"",countif('3) Release_Label'!$D:$D,$A287)=0),"NO UPC MATCH in Release_Label",and($B287&lt;&gt;"",countif('3) Release_Label'!$E:$E,$B287)=0),"NO CATALOG ID MATCH in Release_Label",iserror(vlookup($A287&amp;$B287,'3) Release_Label'!$D:$D&amp;'3) Release_Label'!$E:$E,1,0)),"NO UPC-CATALOG ID pair MATCH in Release_Label" )</f>
        <v/>
      </c>
      <c r="E287" s="141" t="str">
        <f t="shared" si="2"/>
        <v/>
      </c>
      <c r="G287" s="103"/>
      <c r="H287" s="152"/>
      <c r="J287" s="99"/>
      <c r="K287" s="104"/>
      <c r="L287" s="99"/>
      <c r="N287" s="99"/>
      <c r="O287" s="99"/>
      <c r="P287" s="34"/>
    </row>
    <row r="288">
      <c r="A288" s="100"/>
      <c r="B288" s="103"/>
      <c r="C288" s="121" t="str">
        <f t="array" ref="C288">ifs(and(isblank($A288),isblank($B288)),"", not(iserror(vlookup($A288&amp;$B288,'3) Release_Label'!$D:$D&amp;'3) Release_Label'!$E:$E,1,0))),vlookup($A288&amp;$B288,{'3) Release_Label'!$D:$D&amp;'3) Release_Label'!$E:$E,'3) Release_Label'!$F:$F},2,0), or(and(not(isblank($B288)),$B288=$B287,$A288&lt;&gt;$A287),and(not(isblank($A288)),$A288=$A287,$B288&lt;&gt;$B287)),"ID LISTS UNALIGNED",and($A288&lt;&gt;"",countif('3) Release_Label'!$D:$D,$A288)=0),"NO UPC MATCH in Release_Label",and($B288&lt;&gt;"",countif('3) Release_Label'!$E:$E,$B288)=0),"NO CATALOG ID MATCH in Release_Label",iserror(vlookup($A288&amp;$B288,'3) Release_Label'!$D:$D&amp;'3) Release_Label'!$E:$E,1,0)),"NO UPC-CATALOG ID pair MATCH in Release_Label" )</f>
        <v/>
      </c>
      <c r="D288" s="121" t="str">
        <f t="array" ref="D288">ifs(and(isblank($A288),isblank($B288)),"", not(iserror(vlookup($A288&amp;$B288,'3) Release_Label'!$D:$D&amp;'3) Release_Label'!$E:$E,1,0))),vlookup($A288&amp;$B288,{'3) Release_Label'!$D:$D&amp;'3) Release_Label'!$E:$E,'3) Release_Label'!$H:$H},2,0), or(and(not(isblank($B288)),$B288=$B287,$A288&lt;&gt;$A287),and(not(isblank($A288)),$A288=$A287,$B288&lt;&gt;$B287)),"ID LISTS UNALIGNED",and($A288&lt;&gt;"",countif('3) Release_Label'!$D:$D,$A288)=0),"NO UPC MATCH in Release_Label",and($B288&lt;&gt;"",countif('3) Release_Label'!$E:$E,$B288)=0),"NO CATALOG ID MATCH in Release_Label",iserror(vlookup($A288&amp;$B288,'3) Release_Label'!$D:$D&amp;'3) Release_Label'!$E:$E,1,0)),"NO UPC-CATALOG ID pair MATCH in Release_Label" )</f>
        <v/>
      </c>
      <c r="E288" s="141" t="str">
        <f t="shared" si="2"/>
        <v/>
      </c>
      <c r="G288" s="103"/>
      <c r="H288" s="152"/>
      <c r="J288" s="99"/>
      <c r="K288" s="104"/>
      <c r="L288" s="99"/>
      <c r="N288" s="99"/>
      <c r="O288" s="99"/>
      <c r="P288" s="34"/>
    </row>
    <row r="289">
      <c r="A289" s="100"/>
      <c r="B289" s="103"/>
      <c r="C289" s="121" t="str">
        <f t="array" ref="C289">ifs(and(isblank($A289),isblank($B289)),"", not(iserror(vlookup($A289&amp;$B289,'3) Release_Label'!$D:$D&amp;'3) Release_Label'!$E:$E,1,0))),vlookup($A289&amp;$B289,{'3) Release_Label'!$D:$D&amp;'3) Release_Label'!$E:$E,'3) Release_Label'!$F:$F},2,0), or(and(not(isblank($B289)),$B289=$B288,$A289&lt;&gt;$A288),and(not(isblank($A289)),$A289=$A288,$B289&lt;&gt;$B288)),"ID LISTS UNALIGNED",and($A289&lt;&gt;"",countif('3) Release_Label'!$D:$D,$A289)=0),"NO UPC MATCH in Release_Label",and($B289&lt;&gt;"",countif('3) Release_Label'!$E:$E,$B289)=0),"NO CATALOG ID MATCH in Release_Label",iserror(vlookup($A289&amp;$B289,'3) Release_Label'!$D:$D&amp;'3) Release_Label'!$E:$E,1,0)),"NO UPC-CATALOG ID pair MATCH in Release_Label" )</f>
        <v/>
      </c>
      <c r="D289" s="121" t="str">
        <f t="array" ref="D289">ifs(and(isblank($A289),isblank($B289)),"", not(iserror(vlookup($A289&amp;$B289,'3) Release_Label'!$D:$D&amp;'3) Release_Label'!$E:$E,1,0))),vlookup($A289&amp;$B289,{'3) Release_Label'!$D:$D&amp;'3) Release_Label'!$E:$E,'3) Release_Label'!$H:$H},2,0), or(and(not(isblank($B289)),$B289=$B288,$A289&lt;&gt;$A288),and(not(isblank($A289)),$A289=$A288,$B289&lt;&gt;$B288)),"ID LISTS UNALIGNED",and($A289&lt;&gt;"",countif('3) Release_Label'!$D:$D,$A289)=0),"NO UPC MATCH in Release_Label",and($B289&lt;&gt;"",countif('3) Release_Label'!$E:$E,$B289)=0),"NO CATALOG ID MATCH in Release_Label",iserror(vlookup($A289&amp;$B289,'3) Release_Label'!$D:$D&amp;'3) Release_Label'!$E:$E,1,0)),"NO UPC-CATALOG ID pair MATCH in Release_Label" )</f>
        <v/>
      </c>
      <c r="E289" s="141" t="str">
        <f t="shared" si="2"/>
        <v/>
      </c>
      <c r="G289" s="103"/>
      <c r="H289" s="152"/>
      <c r="J289" s="99"/>
      <c r="K289" s="104"/>
      <c r="L289" s="99"/>
      <c r="N289" s="99"/>
      <c r="O289" s="99"/>
      <c r="P289" s="34"/>
    </row>
    <row r="290">
      <c r="A290" s="100"/>
      <c r="B290" s="103"/>
      <c r="C290" s="121" t="str">
        <f t="array" ref="C290">ifs(and(isblank($A290),isblank($B290)),"", not(iserror(vlookup($A290&amp;$B290,'3) Release_Label'!$D:$D&amp;'3) Release_Label'!$E:$E,1,0))),vlookup($A290&amp;$B290,{'3) Release_Label'!$D:$D&amp;'3) Release_Label'!$E:$E,'3) Release_Label'!$F:$F},2,0), or(and(not(isblank($B290)),$B290=$B289,$A290&lt;&gt;$A289),and(not(isblank($A290)),$A290=$A289,$B290&lt;&gt;$B289)),"ID LISTS UNALIGNED",and($A290&lt;&gt;"",countif('3) Release_Label'!$D:$D,$A290)=0),"NO UPC MATCH in Release_Label",and($B290&lt;&gt;"",countif('3) Release_Label'!$E:$E,$B290)=0),"NO CATALOG ID MATCH in Release_Label",iserror(vlookup($A290&amp;$B290,'3) Release_Label'!$D:$D&amp;'3) Release_Label'!$E:$E,1,0)),"NO UPC-CATALOG ID pair MATCH in Release_Label" )</f>
        <v/>
      </c>
      <c r="D290" s="121" t="str">
        <f t="array" ref="D290">ifs(and(isblank($A290),isblank($B290)),"", not(iserror(vlookup($A290&amp;$B290,'3) Release_Label'!$D:$D&amp;'3) Release_Label'!$E:$E,1,0))),vlookup($A290&amp;$B290,{'3) Release_Label'!$D:$D&amp;'3) Release_Label'!$E:$E,'3) Release_Label'!$H:$H},2,0), or(and(not(isblank($B290)),$B290=$B289,$A290&lt;&gt;$A289),and(not(isblank($A290)),$A290=$A289,$B290&lt;&gt;$B289)),"ID LISTS UNALIGNED",and($A290&lt;&gt;"",countif('3) Release_Label'!$D:$D,$A290)=0),"NO UPC MATCH in Release_Label",and($B290&lt;&gt;"",countif('3) Release_Label'!$E:$E,$B290)=0),"NO CATALOG ID MATCH in Release_Label",iserror(vlookup($A290&amp;$B290,'3) Release_Label'!$D:$D&amp;'3) Release_Label'!$E:$E,1,0)),"NO UPC-CATALOG ID pair MATCH in Release_Label" )</f>
        <v/>
      </c>
      <c r="E290" s="141" t="str">
        <f t="shared" si="2"/>
        <v/>
      </c>
      <c r="G290" s="103"/>
      <c r="H290" s="152"/>
      <c r="J290" s="99"/>
      <c r="K290" s="104"/>
      <c r="L290" s="99"/>
      <c r="N290" s="99"/>
      <c r="O290" s="99"/>
      <c r="P290" s="34"/>
    </row>
    <row r="291">
      <c r="A291" s="100"/>
      <c r="B291" s="103"/>
      <c r="C291" s="121" t="str">
        <f t="array" ref="C291">ifs(and(isblank($A291),isblank($B291)),"", not(iserror(vlookup($A291&amp;$B291,'3) Release_Label'!$D:$D&amp;'3) Release_Label'!$E:$E,1,0))),vlookup($A291&amp;$B291,{'3) Release_Label'!$D:$D&amp;'3) Release_Label'!$E:$E,'3) Release_Label'!$F:$F},2,0), or(and(not(isblank($B291)),$B291=$B290,$A291&lt;&gt;$A290),and(not(isblank($A291)),$A291=$A290,$B291&lt;&gt;$B290)),"ID LISTS UNALIGNED",and($A291&lt;&gt;"",countif('3) Release_Label'!$D:$D,$A291)=0),"NO UPC MATCH in Release_Label",and($B291&lt;&gt;"",countif('3) Release_Label'!$E:$E,$B291)=0),"NO CATALOG ID MATCH in Release_Label",iserror(vlookup($A291&amp;$B291,'3) Release_Label'!$D:$D&amp;'3) Release_Label'!$E:$E,1,0)),"NO UPC-CATALOG ID pair MATCH in Release_Label" )</f>
        <v/>
      </c>
      <c r="D291" s="121" t="str">
        <f t="array" ref="D291">ifs(and(isblank($A291),isblank($B291)),"", not(iserror(vlookup($A291&amp;$B291,'3) Release_Label'!$D:$D&amp;'3) Release_Label'!$E:$E,1,0))),vlookup($A291&amp;$B291,{'3) Release_Label'!$D:$D&amp;'3) Release_Label'!$E:$E,'3) Release_Label'!$H:$H},2,0), or(and(not(isblank($B291)),$B291=$B290,$A291&lt;&gt;$A290),and(not(isblank($A291)),$A291=$A290,$B291&lt;&gt;$B290)),"ID LISTS UNALIGNED",and($A291&lt;&gt;"",countif('3) Release_Label'!$D:$D,$A291)=0),"NO UPC MATCH in Release_Label",and($B291&lt;&gt;"",countif('3) Release_Label'!$E:$E,$B291)=0),"NO CATALOG ID MATCH in Release_Label",iserror(vlookup($A291&amp;$B291,'3) Release_Label'!$D:$D&amp;'3) Release_Label'!$E:$E,1,0)),"NO UPC-CATALOG ID pair MATCH in Release_Label" )</f>
        <v/>
      </c>
      <c r="E291" s="141" t="str">
        <f t="shared" si="2"/>
        <v/>
      </c>
      <c r="G291" s="103"/>
      <c r="H291" s="152"/>
      <c r="J291" s="99"/>
      <c r="K291" s="104"/>
      <c r="L291" s="99"/>
      <c r="N291" s="99"/>
      <c r="O291" s="99"/>
      <c r="P291" s="34"/>
    </row>
    <row r="292">
      <c r="A292" s="100"/>
      <c r="B292" s="103"/>
      <c r="C292" s="121" t="str">
        <f t="array" ref="C292">ifs(and(isblank($A292),isblank($B292)),"", not(iserror(vlookup($A292&amp;$B292,'3) Release_Label'!$D:$D&amp;'3) Release_Label'!$E:$E,1,0))),vlookup($A292&amp;$B292,{'3) Release_Label'!$D:$D&amp;'3) Release_Label'!$E:$E,'3) Release_Label'!$F:$F},2,0), or(and(not(isblank($B292)),$B292=$B291,$A292&lt;&gt;$A291),and(not(isblank($A292)),$A292=$A291,$B292&lt;&gt;$B291)),"ID LISTS UNALIGNED",and($A292&lt;&gt;"",countif('3) Release_Label'!$D:$D,$A292)=0),"NO UPC MATCH in Release_Label",and($B292&lt;&gt;"",countif('3) Release_Label'!$E:$E,$B292)=0),"NO CATALOG ID MATCH in Release_Label",iserror(vlookup($A292&amp;$B292,'3) Release_Label'!$D:$D&amp;'3) Release_Label'!$E:$E,1,0)),"NO UPC-CATALOG ID pair MATCH in Release_Label" )</f>
        <v/>
      </c>
      <c r="D292" s="121" t="str">
        <f t="array" ref="D292">ifs(and(isblank($A292),isblank($B292)),"", not(iserror(vlookup($A292&amp;$B292,'3) Release_Label'!$D:$D&amp;'3) Release_Label'!$E:$E,1,0))),vlookup($A292&amp;$B292,{'3) Release_Label'!$D:$D&amp;'3) Release_Label'!$E:$E,'3) Release_Label'!$H:$H},2,0), or(and(not(isblank($B292)),$B292=$B291,$A292&lt;&gt;$A291),and(not(isblank($A292)),$A292=$A291,$B292&lt;&gt;$B291)),"ID LISTS UNALIGNED",and($A292&lt;&gt;"",countif('3) Release_Label'!$D:$D,$A292)=0),"NO UPC MATCH in Release_Label",and($B292&lt;&gt;"",countif('3) Release_Label'!$E:$E,$B292)=0),"NO CATALOG ID MATCH in Release_Label",iserror(vlookup($A292&amp;$B292,'3) Release_Label'!$D:$D&amp;'3) Release_Label'!$E:$E,1,0)),"NO UPC-CATALOG ID pair MATCH in Release_Label" )</f>
        <v/>
      </c>
      <c r="E292" s="141" t="str">
        <f t="shared" si="2"/>
        <v/>
      </c>
      <c r="G292" s="103"/>
      <c r="H292" s="152"/>
      <c r="J292" s="99"/>
      <c r="K292" s="104"/>
      <c r="L292" s="99"/>
      <c r="N292" s="99"/>
      <c r="O292" s="99"/>
      <c r="P292" s="34"/>
    </row>
    <row r="293">
      <c r="A293" s="100"/>
      <c r="B293" s="103"/>
      <c r="C293" s="121" t="str">
        <f t="array" ref="C293">ifs(and(isblank($A293),isblank($B293)),"", not(iserror(vlookup($A293&amp;$B293,'3) Release_Label'!$D:$D&amp;'3) Release_Label'!$E:$E,1,0))),vlookup($A293&amp;$B293,{'3) Release_Label'!$D:$D&amp;'3) Release_Label'!$E:$E,'3) Release_Label'!$F:$F},2,0), or(and(not(isblank($B293)),$B293=$B292,$A293&lt;&gt;$A292),and(not(isblank($A293)),$A293=$A292,$B293&lt;&gt;$B292)),"ID LISTS UNALIGNED",and($A293&lt;&gt;"",countif('3) Release_Label'!$D:$D,$A293)=0),"NO UPC MATCH in Release_Label",and($B293&lt;&gt;"",countif('3) Release_Label'!$E:$E,$B293)=0),"NO CATALOG ID MATCH in Release_Label",iserror(vlookup($A293&amp;$B293,'3) Release_Label'!$D:$D&amp;'3) Release_Label'!$E:$E,1,0)),"NO UPC-CATALOG ID pair MATCH in Release_Label" )</f>
        <v/>
      </c>
      <c r="D293" s="121" t="str">
        <f t="array" ref="D293">ifs(and(isblank($A293),isblank($B293)),"", not(iserror(vlookup($A293&amp;$B293,'3) Release_Label'!$D:$D&amp;'3) Release_Label'!$E:$E,1,0))),vlookup($A293&amp;$B293,{'3) Release_Label'!$D:$D&amp;'3) Release_Label'!$E:$E,'3) Release_Label'!$H:$H},2,0), or(and(not(isblank($B293)),$B293=$B292,$A293&lt;&gt;$A292),and(not(isblank($A293)),$A293=$A292,$B293&lt;&gt;$B292)),"ID LISTS UNALIGNED",and($A293&lt;&gt;"",countif('3) Release_Label'!$D:$D,$A293)=0),"NO UPC MATCH in Release_Label",and($B293&lt;&gt;"",countif('3) Release_Label'!$E:$E,$B293)=0),"NO CATALOG ID MATCH in Release_Label",iserror(vlookup($A293&amp;$B293,'3) Release_Label'!$D:$D&amp;'3) Release_Label'!$E:$E,1,0)),"NO UPC-CATALOG ID pair MATCH in Release_Label" )</f>
        <v/>
      </c>
      <c r="E293" s="141" t="str">
        <f t="shared" si="2"/>
        <v/>
      </c>
      <c r="G293" s="103"/>
      <c r="H293" s="152"/>
      <c r="J293" s="99"/>
      <c r="K293" s="104"/>
      <c r="L293" s="99"/>
      <c r="N293" s="99"/>
      <c r="O293" s="99"/>
      <c r="P293" s="34"/>
    </row>
    <row r="294">
      <c r="A294" s="100"/>
      <c r="B294" s="103"/>
      <c r="C294" s="121" t="str">
        <f t="array" ref="C294">ifs(and(isblank($A294),isblank($B294)),"", not(iserror(vlookup($A294&amp;$B294,'3) Release_Label'!$D:$D&amp;'3) Release_Label'!$E:$E,1,0))),vlookup($A294&amp;$B294,{'3) Release_Label'!$D:$D&amp;'3) Release_Label'!$E:$E,'3) Release_Label'!$F:$F},2,0), or(and(not(isblank($B294)),$B294=$B293,$A294&lt;&gt;$A293),and(not(isblank($A294)),$A294=$A293,$B294&lt;&gt;$B293)),"ID LISTS UNALIGNED",and($A294&lt;&gt;"",countif('3) Release_Label'!$D:$D,$A294)=0),"NO UPC MATCH in Release_Label",and($B294&lt;&gt;"",countif('3) Release_Label'!$E:$E,$B294)=0),"NO CATALOG ID MATCH in Release_Label",iserror(vlookup($A294&amp;$B294,'3) Release_Label'!$D:$D&amp;'3) Release_Label'!$E:$E,1,0)),"NO UPC-CATALOG ID pair MATCH in Release_Label" )</f>
        <v/>
      </c>
      <c r="D294" s="121" t="str">
        <f t="array" ref="D294">ifs(and(isblank($A294),isblank($B294)),"", not(iserror(vlookup($A294&amp;$B294,'3) Release_Label'!$D:$D&amp;'3) Release_Label'!$E:$E,1,0))),vlookup($A294&amp;$B294,{'3) Release_Label'!$D:$D&amp;'3) Release_Label'!$E:$E,'3) Release_Label'!$H:$H},2,0), or(and(not(isblank($B294)),$B294=$B293,$A294&lt;&gt;$A293),and(not(isblank($A294)),$A294=$A293,$B294&lt;&gt;$B293)),"ID LISTS UNALIGNED",and($A294&lt;&gt;"",countif('3) Release_Label'!$D:$D,$A294)=0),"NO UPC MATCH in Release_Label",and($B294&lt;&gt;"",countif('3) Release_Label'!$E:$E,$B294)=0),"NO CATALOG ID MATCH in Release_Label",iserror(vlookup($A294&amp;$B294,'3) Release_Label'!$D:$D&amp;'3) Release_Label'!$E:$E,1,0)),"NO UPC-CATALOG ID pair MATCH in Release_Label" )</f>
        <v/>
      </c>
      <c r="E294" s="141" t="str">
        <f t="shared" si="2"/>
        <v/>
      </c>
      <c r="G294" s="103"/>
      <c r="H294" s="152"/>
      <c r="J294" s="99"/>
      <c r="K294" s="104"/>
      <c r="L294" s="99"/>
      <c r="N294" s="99"/>
      <c r="O294" s="99"/>
      <c r="P294" s="34"/>
    </row>
    <row r="295">
      <c r="A295" s="100"/>
      <c r="B295" s="103"/>
      <c r="C295" s="121" t="str">
        <f t="array" ref="C295">ifs(and(isblank($A295),isblank($B295)),"", not(iserror(vlookup($A295&amp;$B295,'3) Release_Label'!$D:$D&amp;'3) Release_Label'!$E:$E,1,0))),vlookup($A295&amp;$B295,{'3) Release_Label'!$D:$D&amp;'3) Release_Label'!$E:$E,'3) Release_Label'!$F:$F},2,0), or(and(not(isblank($B295)),$B295=$B294,$A295&lt;&gt;$A294),and(not(isblank($A295)),$A295=$A294,$B295&lt;&gt;$B294)),"ID LISTS UNALIGNED",and($A295&lt;&gt;"",countif('3) Release_Label'!$D:$D,$A295)=0),"NO UPC MATCH in Release_Label",and($B295&lt;&gt;"",countif('3) Release_Label'!$E:$E,$B295)=0),"NO CATALOG ID MATCH in Release_Label",iserror(vlookup($A295&amp;$B295,'3) Release_Label'!$D:$D&amp;'3) Release_Label'!$E:$E,1,0)),"NO UPC-CATALOG ID pair MATCH in Release_Label" )</f>
        <v/>
      </c>
      <c r="D295" s="121" t="str">
        <f t="array" ref="D295">ifs(and(isblank($A295),isblank($B295)),"", not(iserror(vlookup($A295&amp;$B295,'3) Release_Label'!$D:$D&amp;'3) Release_Label'!$E:$E,1,0))),vlookup($A295&amp;$B295,{'3) Release_Label'!$D:$D&amp;'3) Release_Label'!$E:$E,'3) Release_Label'!$H:$H},2,0), or(and(not(isblank($B295)),$B295=$B294,$A295&lt;&gt;$A294),and(not(isblank($A295)),$A295=$A294,$B295&lt;&gt;$B294)),"ID LISTS UNALIGNED",and($A295&lt;&gt;"",countif('3) Release_Label'!$D:$D,$A295)=0),"NO UPC MATCH in Release_Label",and($B295&lt;&gt;"",countif('3) Release_Label'!$E:$E,$B295)=0),"NO CATALOG ID MATCH in Release_Label",iserror(vlookup($A295&amp;$B295,'3) Release_Label'!$D:$D&amp;'3) Release_Label'!$E:$E,1,0)),"NO UPC-CATALOG ID pair MATCH in Release_Label" )</f>
        <v/>
      </c>
      <c r="E295" s="141" t="str">
        <f t="shared" si="2"/>
        <v/>
      </c>
      <c r="G295" s="103"/>
      <c r="H295" s="152"/>
      <c r="J295" s="99"/>
      <c r="K295" s="104"/>
      <c r="L295" s="99"/>
      <c r="N295" s="99"/>
      <c r="O295" s="99"/>
      <c r="P295" s="34"/>
    </row>
    <row r="296">
      <c r="A296" s="100"/>
      <c r="B296" s="103"/>
      <c r="C296" s="121" t="str">
        <f t="array" ref="C296">ifs(and(isblank($A296),isblank($B296)),"", not(iserror(vlookup($A296&amp;$B296,'3) Release_Label'!$D:$D&amp;'3) Release_Label'!$E:$E,1,0))),vlookup($A296&amp;$B296,{'3) Release_Label'!$D:$D&amp;'3) Release_Label'!$E:$E,'3) Release_Label'!$F:$F},2,0), or(and(not(isblank($B296)),$B296=$B295,$A296&lt;&gt;$A295),and(not(isblank($A296)),$A296=$A295,$B296&lt;&gt;$B295)),"ID LISTS UNALIGNED",and($A296&lt;&gt;"",countif('3) Release_Label'!$D:$D,$A296)=0),"NO UPC MATCH in Release_Label",and($B296&lt;&gt;"",countif('3) Release_Label'!$E:$E,$B296)=0),"NO CATALOG ID MATCH in Release_Label",iserror(vlookup($A296&amp;$B296,'3) Release_Label'!$D:$D&amp;'3) Release_Label'!$E:$E,1,0)),"NO UPC-CATALOG ID pair MATCH in Release_Label" )</f>
        <v/>
      </c>
      <c r="D296" s="121" t="str">
        <f t="array" ref="D296">ifs(and(isblank($A296),isblank($B296)),"", not(iserror(vlookup($A296&amp;$B296,'3) Release_Label'!$D:$D&amp;'3) Release_Label'!$E:$E,1,0))),vlookup($A296&amp;$B296,{'3) Release_Label'!$D:$D&amp;'3) Release_Label'!$E:$E,'3) Release_Label'!$H:$H},2,0), or(and(not(isblank($B296)),$B296=$B295,$A296&lt;&gt;$A295),and(not(isblank($A296)),$A296=$A295,$B296&lt;&gt;$B295)),"ID LISTS UNALIGNED",and($A296&lt;&gt;"",countif('3) Release_Label'!$D:$D,$A296)=0),"NO UPC MATCH in Release_Label",and($B296&lt;&gt;"",countif('3) Release_Label'!$E:$E,$B296)=0),"NO CATALOG ID MATCH in Release_Label",iserror(vlookup($A296&amp;$B296,'3) Release_Label'!$D:$D&amp;'3) Release_Label'!$E:$E,1,0)),"NO UPC-CATALOG ID pair MATCH in Release_Label" )</f>
        <v/>
      </c>
      <c r="E296" s="141" t="str">
        <f t="shared" si="2"/>
        <v/>
      </c>
      <c r="G296" s="103"/>
      <c r="H296" s="152"/>
      <c r="J296" s="99"/>
      <c r="K296" s="104"/>
      <c r="L296" s="99"/>
      <c r="N296" s="99"/>
      <c r="O296" s="99"/>
      <c r="P296" s="34"/>
    </row>
    <row r="297">
      <c r="A297" s="100"/>
      <c r="B297" s="103"/>
      <c r="C297" s="121" t="str">
        <f t="array" ref="C297">ifs(and(isblank($A297),isblank($B297)),"", not(iserror(vlookup($A297&amp;$B297,'3) Release_Label'!$D:$D&amp;'3) Release_Label'!$E:$E,1,0))),vlookup($A297&amp;$B297,{'3) Release_Label'!$D:$D&amp;'3) Release_Label'!$E:$E,'3) Release_Label'!$F:$F},2,0), or(and(not(isblank($B297)),$B297=$B296,$A297&lt;&gt;$A296),and(not(isblank($A297)),$A297=$A296,$B297&lt;&gt;$B296)),"ID LISTS UNALIGNED",and($A297&lt;&gt;"",countif('3) Release_Label'!$D:$D,$A297)=0),"NO UPC MATCH in Release_Label",and($B297&lt;&gt;"",countif('3) Release_Label'!$E:$E,$B297)=0),"NO CATALOG ID MATCH in Release_Label",iserror(vlookup($A297&amp;$B297,'3) Release_Label'!$D:$D&amp;'3) Release_Label'!$E:$E,1,0)),"NO UPC-CATALOG ID pair MATCH in Release_Label" )</f>
        <v/>
      </c>
      <c r="D297" s="121" t="str">
        <f t="array" ref="D297">ifs(and(isblank($A297),isblank($B297)),"", not(iserror(vlookup($A297&amp;$B297,'3) Release_Label'!$D:$D&amp;'3) Release_Label'!$E:$E,1,0))),vlookup($A297&amp;$B297,{'3) Release_Label'!$D:$D&amp;'3) Release_Label'!$E:$E,'3) Release_Label'!$H:$H},2,0), or(and(not(isblank($B297)),$B297=$B296,$A297&lt;&gt;$A296),and(not(isblank($A297)),$A297=$A296,$B297&lt;&gt;$B296)),"ID LISTS UNALIGNED",and($A297&lt;&gt;"",countif('3) Release_Label'!$D:$D,$A297)=0),"NO UPC MATCH in Release_Label",and($B297&lt;&gt;"",countif('3) Release_Label'!$E:$E,$B297)=0),"NO CATALOG ID MATCH in Release_Label",iserror(vlookup($A297&amp;$B297,'3) Release_Label'!$D:$D&amp;'3) Release_Label'!$E:$E,1,0)),"NO UPC-CATALOG ID pair MATCH in Release_Label" )</f>
        <v/>
      </c>
      <c r="E297" s="141" t="str">
        <f t="shared" si="2"/>
        <v/>
      </c>
      <c r="G297" s="103"/>
      <c r="H297" s="152"/>
      <c r="J297" s="99"/>
      <c r="K297" s="104"/>
      <c r="L297" s="99"/>
      <c r="N297" s="99"/>
      <c r="O297" s="99"/>
      <c r="P297" s="34"/>
    </row>
    <row r="298">
      <c r="A298" s="100"/>
      <c r="B298" s="103"/>
      <c r="C298" s="121" t="str">
        <f t="array" ref="C298">ifs(and(isblank($A298),isblank($B298)),"", not(iserror(vlookup($A298&amp;$B298,'3) Release_Label'!$D:$D&amp;'3) Release_Label'!$E:$E,1,0))),vlookup($A298&amp;$B298,{'3) Release_Label'!$D:$D&amp;'3) Release_Label'!$E:$E,'3) Release_Label'!$F:$F},2,0), or(and(not(isblank($B298)),$B298=$B297,$A298&lt;&gt;$A297),and(not(isblank($A298)),$A298=$A297,$B298&lt;&gt;$B297)),"ID LISTS UNALIGNED",and($A298&lt;&gt;"",countif('3) Release_Label'!$D:$D,$A298)=0),"NO UPC MATCH in Release_Label",and($B298&lt;&gt;"",countif('3) Release_Label'!$E:$E,$B298)=0),"NO CATALOG ID MATCH in Release_Label",iserror(vlookup($A298&amp;$B298,'3) Release_Label'!$D:$D&amp;'3) Release_Label'!$E:$E,1,0)),"NO UPC-CATALOG ID pair MATCH in Release_Label" )</f>
        <v/>
      </c>
      <c r="D298" s="121" t="str">
        <f t="array" ref="D298">ifs(and(isblank($A298),isblank($B298)),"", not(iserror(vlookup($A298&amp;$B298,'3) Release_Label'!$D:$D&amp;'3) Release_Label'!$E:$E,1,0))),vlookup($A298&amp;$B298,{'3) Release_Label'!$D:$D&amp;'3) Release_Label'!$E:$E,'3) Release_Label'!$H:$H},2,0), or(and(not(isblank($B298)),$B298=$B297,$A298&lt;&gt;$A297),and(not(isblank($A298)),$A298=$A297,$B298&lt;&gt;$B297)),"ID LISTS UNALIGNED",and($A298&lt;&gt;"",countif('3) Release_Label'!$D:$D,$A298)=0),"NO UPC MATCH in Release_Label",and($B298&lt;&gt;"",countif('3) Release_Label'!$E:$E,$B298)=0),"NO CATALOG ID MATCH in Release_Label",iserror(vlookup($A298&amp;$B298,'3) Release_Label'!$D:$D&amp;'3) Release_Label'!$E:$E,1,0)),"NO UPC-CATALOG ID pair MATCH in Release_Label" )</f>
        <v/>
      </c>
      <c r="E298" s="141" t="str">
        <f t="shared" si="2"/>
        <v/>
      </c>
      <c r="G298" s="103"/>
      <c r="H298" s="152"/>
      <c r="J298" s="99"/>
      <c r="K298" s="104"/>
      <c r="L298" s="99"/>
      <c r="N298" s="99"/>
      <c r="O298" s="99"/>
      <c r="P298" s="34"/>
    </row>
    <row r="299">
      <c r="A299" s="100"/>
      <c r="B299" s="103"/>
      <c r="C299" s="121" t="str">
        <f t="array" ref="C299">ifs(and(isblank($A299),isblank($B299)),"", not(iserror(vlookup($A299&amp;$B299,'3) Release_Label'!$D:$D&amp;'3) Release_Label'!$E:$E,1,0))),vlookup($A299&amp;$B299,{'3) Release_Label'!$D:$D&amp;'3) Release_Label'!$E:$E,'3) Release_Label'!$F:$F},2,0), or(and(not(isblank($B299)),$B299=$B298,$A299&lt;&gt;$A298),and(not(isblank($A299)),$A299=$A298,$B299&lt;&gt;$B298)),"ID LISTS UNALIGNED",and($A299&lt;&gt;"",countif('3) Release_Label'!$D:$D,$A299)=0),"NO UPC MATCH in Release_Label",and($B299&lt;&gt;"",countif('3) Release_Label'!$E:$E,$B299)=0),"NO CATALOG ID MATCH in Release_Label",iserror(vlookup($A299&amp;$B299,'3) Release_Label'!$D:$D&amp;'3) Release_Label'!$E:$E,1,0)),"NO UPC-CATALOG ID pair MATCH in Release_Label" )</f>
        <v/>
      </c>
      <c r="D299" s="121" t="str">
        <f t="array" ref="D299">ifs(and(isblank($A299),isblank($B299)),"", not(iserror(vlookup($A299&amp;$B299,'3) Release_Label'!$D:$D&amp;'3) Release_Label'!$E:$E,1,0))),vlookup($A299&amp;$B299,{'3) Release_Label'!$D:$D&amp;'3) Release_Label'!$E:$E,'3) Release_Label'!$H:$H},2,0), or(and(not(isblank($B299)),$B299=$B298,$A299&lt;&gt;$A298),and(not(isblank($A299)),$A299=$A298,$B299&lt;&gt;$B298)),"ID LISTS UNALIGNED",and($A299&lt;&gt;"",countif('3) Release_Label'!$D:$D,$A299)=0),"NO UPC MATCH in Release_Label",and($B299&lt;&gt;"",countif('3) Release_Label'!$E:$E,$B299)=0),"NO CATALOG ID MATCH in Release_Label",iserror(vlookup($A299&amp;$B299,'3) Release_Label'!$D:$D&amp;'3) Release_Label'!$E:$E,1,0)),"NO UPC-CATALOG ID pair MATCH in Release_Label" )</f>
        <v/>
      </c>
      <c r="E299" s="141" t="str">
        <f t="shared" si="2"/>
        <v/>
      </c>
      <c r="G299" s="103"/>
      <c r="H299" s="152"/>
      <c r="J299" s="99"/>
      <c r="K299" s="104"/>
      <c r="L299" s="99"/>
      <c r="N299" s="99"/>
      <c r="O299" s="99"/>
      <c r="P299" s="34"/>
    </row>
    <row r="300">
      <c r="A300" s="100"/>
      <c r="B300" s="103"/>
      <c r="C300" s="121" t="str">
        <f t="array" ref="C300">ifs(and(isblank($A300),isblank($B300)),"", not(iserror(vlookup($A300&amp;$B300,'3) Release_Label'!$D:$D&amp;'3) Release_Label'!$E:$E,1,0))),vlookup($A300&amp;$B300,{'3) Release_Label'!$D:$D&amp;'3) Release_Label'!$E:$E,'3) Release_Label'!$F:$F},2,0), or(and(not(isblank($B300)),$B300=$B299,$A300&lt;&gt;$A299),and(not(isblank($A300)),$A300=$A299,$B300&lt;&gt;$B299)),"ID LISTS UNALIGNED",and($A300&lt;&gt;"",countif('3) Release_Label'!$D:$D,$A300)=0),"NO UPC MATCH in Release_Label",and($B300&lt;&gt;"",countif('3) Release_Label'!$E:$E,$B300)=0),"NO CATALOG ID MATCH in Release_Label",iserror(vlookup($A300&amp;$B300,'3) Release_Label'!$D:$D&amp;'3) Release_Label'!$E:$E,1,0)),"NO UPC-CATALOG ID pair MATCH in Release_Label" )</f>
        <v/>
      </c>
      <c r="D300" s="121" t="str">
        <f t="array" ref="D300">ifs(and(isblank($A300),isblank($B300)),"", not(iserror(vlookup($A300&amp;$B300,'3) Release_Label'!$D:$D&amp;'3) Release_Label'!$E:$E,1,0))),vlookup($A300&amp;$B300,{'3) Release_Label'!$D:$D&amp;'3) Release_Label'!$E:$E,'3) Release_Label'!$H:$H},2,0), or(and(not(isblank($B300)),$B300=$B299,$A300&lt;&gt;$A299),and(not(isblank($A300)),$A300=$A299,$B300&lt;&gt;$B299)),"ID LISTS UNALIGNED",and($A300&lt;&gt;"",countif('3) Release_Label'!$D:$D,$A300)=0),"NO UPC MATCH in Release_Label",and($B300&lt;&gt;"",countif('3) Release_Label'!$E:$E,$B300)=0),"NO CATALOG ID MATCH in Release_Label",iserror(vlookup($A300&amp;$B300,'3) Release_Label'!$D:$D&amp;'3) Release_Label'!$E:$E,1,0)),"NO UPC-CATALOG ID pair MATCH in Release_Label" )</f>
        <v/>
      </c>
      <c r="E300" s="141" t="str">
        <f t="shared" si="2"/>
        <v/>
      </c>
      <c r="G300" s="103"/>
      <c r="H300" s="152"/>
      <c r="J300" s="99"/>
      <c r="K300" s="104"/>
      <c r="L300" s="99"/>
      <c r="N300" s="99"/>
      <c r="O300" s="99"/>
      <c r="P300" s="34"/>
    </row>
    <row r="301">
      <c r="A301" s="100"/>
      <c r="B301" s="103"/>
      <c r="C301" s="121" t="str">
        <f t="array" ref="C301">ifs(and(isblank($A301),isblank($B301)),"", not(iserror(vlookup($A301&amp;$B301,'3) Release_Label'!$D:$D&amp;'3) Release_Label'!$E:$E,1,0))),vlookup($A301&amp;$B301,{'3) Release_Label'!$D:$D&amp;'3) Release_Label'!$E:$E,'3) Release_Label'!$F:$F},2,0), or(and(not(isblank($B301)),$B301=$B300,$A301&lt;&gt;$A300),and(not(isblank($A301)),$A301=$A300,$B301&lt;&gt;$B300)),"ID LISTS UNALIGNED",and($A301&lt;&gt;"",countif('3) Release_Label'!$D:$D,$A301)=0),"NO UPC MATCH in Release_Label",and($B301&lt;&gt;"",countif('3) Release_Label'!$E:$E,$B301)=0),"NO CATALOG ID MATCH in Release_Label",iserror(vlookup($A301&amp;$B301,'3) Release_Label'!$D:$D&amp;'3) Release_Label'!$E:$E,1,0)),"NO UPC-CATALOG ID pair MATCH in Release_Label" )</f>
        <v/>
      </c>
      <c r="D301" s="121" t="str">
        <f t="array" ref="D301">ifs(and(isblank($A301),isblank($B301)),"", not(iserror(vlookup($A301&amp;$B301,'3) Release_Label'!$D:$D&amp;'3) Release_Label'!$E:$E,1,0))),vlookup($A301&amp;$B301,{'3) Release_Label'!$D:$D&amp;'3) Release_Label'!$E:$E,'3) Release_Label'!$H:$H},2,0), or(and(not(isblank($B301)),$B301=$B300,$A301&lt;&gt;$A300),and(not(isblank($A301)),$A301=$A300,$B301&lt;&gt;$B300)),"ID LISTS UNALIGNED",and($A301&lt;&gt;"",countif('3) Release_Label'!$D:$D,$A301)=0),"NO UPC MATCH in Release_Label",and($B301&lt;&gt;"",countif('3) Release_Label'!$E:$E,$B301)=0),"NO CATALOG ID MATCH in Release_Label",iserror(vlookup($A301&amp;$B301,'3) Release_Label'!$D:$D&amp;'3) Release_Label'!$E:$E,1,0)),"NO UPC-CATALOG ID pair MATCH in Release_Label" )</f>
        <v/>
      </c>
      <c r="E301" s="141" t="str">
        <f t="shared" si="2"/>
        <v/>
      </c>
      <c r="G301" s="103"/>
      <c r="H301" s="152"/>
      <c r="J301" s="99"/>
      <c r="K301" s="104"/>
      <c r="L301" s="99"/>
      <c r="N301" s="99"/>
      <c r="O301" s="99"/>
      <c r="P301" s="34"/>
    </row>
    <row r="302">
      <c r="A302" s="100"/>
      <c r="B302" s="103"/>
      <c r="C302" s="121" t="str">
        <f t="array" ref="C302">ifs(and(isblank($A302),isblank($B302)),"", not(iserror(vlookup($A302&amp;$B302,'3) Release_Label'!$D:$D&amp;'3) Release_Label'!$E:$E,1,0))),vlookup($A302&amp;$B302,{'3) Release_Label'!$D:$D&amp;'3) Release_Label'!$E:$E,'3) Release_Label'!$F:$F},2,0), or(and(not(isblank($B302)),$B302=$B301,$A302&lt;&gt;$A301),and(not(isblank($A302)),$A302=$A301,$B302&lt;&gt;$B301)),"ID LISTS UNALIGNED",and($A302&lt;&gt;"",countif('3) Release_Label'!$D:$D,$A302)=0),"NO UPC MATCH in Release_Label",and($B302&lt;&gt;"",countif('3) Release_Label'!$E:$E,$B302)=0),"NO CATALOG ID MATCH in Release_Label",iserror(vlookup($A302&amp;$B302,'3) Release_Label'!$D:$D&amp;'3) Release_Label'!$E:$E,1,0)),"NO UPC-CATALOG ID pair MATCH in Release_Label" )</f>
        <v/>
      </c>
      <c r="D302" s="121" t="str">
        <f t="array" ref="D302">ifs(and(isblank($A302),isblank($B302)),"", not(iserror(vlookup($A302&amp;$B302,'3) Release_Label'!$D:$D&amp;'3) Release_Label'!$E:$E,1,0))),vlookup($A302&amp;$B302,{'3) Release_Label'!$D:$D&amp;'3) Release_Label'!$E:$E,'3) Release_Label'!$H:$H},2,0), or(and(not(isblank($B302)),$B302=$B301,$A302&lt;&gt;$A301),and(not(isblank($A302)),$A302=$A301,$B302&lt;&gt;$B301)),"ID LISTS UNALIGNED",and($A302&lt;&gt;"",countif('3) Release_Label'!$D:$D,$A302)=0),"NO UPC MATCH in Release_Label",and($B302&lt;&gt;"",countif('3) Release_Label'!$E:$E,$B302)=0),"NO CATALOG ID MATCH in Release_Label",iserror(vlookup($A302&amp;$B302,'3) Release_Label'!$D:$D&amp;'3) Release_Label'!$E:$E,1,0)),"NO UPC-CATALOG ID pair MATCH in Release_Label" )</f>
        <v/>
      </c>
      <c r="E302" s="141" t="str">
        <f t="shared" si="2"/>
        <v/>
      </c>
      <c r="G302" s="103"/>
      <c r="H302" s="152"/>
      <c r="J302" s="99"/>
      <c r="K302" s="104"/>
      <c r="L302" s="99"/>
      <c r="N302" s="99"/>
      <c r="O302" s="99"/>
      <c r="P302" s="34"/>
    </row>
    <row r="303">
      <c r="A303" s="100"/>
      <c r="B303" s="103"/>
      <c r="C303" s="121" t="str">
        <f t="array" ref="C303">ifs(and(isblank($A303),isblank($B303)),"", not(iserror(vlookup($A303&amp;$B303,'3) Release_Label'!$D:$D&amp;'3) Release_Label'!$E:$E,1,0))),vlookup($A303&amp;$B303,{'3) Release_Label'!$D:$D&amp;'3) Release_Label'!$E:$E,'3) Release_Label'!$F:$F},2,0), or(and(not(isblank($B303)),$B303=$B302,$A303&lt;&gt;$A302),and(not(isblank($A303)),$A303=$A302,$B303&lt;&gt;$B302)),"ID LISTS UNALIGNED",and($A303&lt;&gt;"",countif('3) Release_Label'!$D:$D,$A303)=0),"NO UPC MATCH in Release_Label",and($B303&lt;&gt;"",countif('3) Release_Label'!$E:$E,$B303)=0),"NO CATALOG ID MATCH in Release_Label",iserror(vlookup($A303&amp;$B303,'3) Release_Label'!$D:$D&amp;'3) Release_Label'!$E:$E,1,0)),"NO UPC-CATALOG ID pair MATCH in Release_Label" )</f>
        <v/>
      </c>
      <c r="D303" s="121" t="str">
        <f t="array" ref="D303">ifs(and(isblank($A303),isblank($B303)),"", not(iserror(vlookup($A303&amp;$B303,'3) Release_Label'!$D:$D&amp;'3) Release_Label'!$E:$E,1,0))),vlookup($A303&amp;$B303,{'3) Release_Label'!$D:$D&amp;'3) Release_Label'!$E:$E,'3) Release_Label'!$H:$H},2,0), or(and(not(isblank($B303)),$B303=$B302,$A303&lt;&gt;$A302),and(not(isblank($A303)),$A303=$A302,$B303&lt;&gt;$B302)),"ID LISTS UNALIGNED",and($A303&lt;&gt;"",countif('3) Release_Label'!$D:$D,$A303)=0),"NO UPC MATCH in Release_Label",and($B303&lt;&gt;"",countif('3) Release_Label'!$E:$E,$B303)=0),"NO CATALOG ID MATCH in Release_Label",iserror(vlookup($A303&amp;$B303,'3) Release_Label'!$D:$D&amp;'3) Release_Label'!$E:$E,1,0)),"NO UPC-CATALOG ID pair MATCH in Release_Label" )</f>
        <v/>
      </c>
      <c r="E303" s="141" t="str">
        <f t="shared" si="2"/>
        <v/>
      </c>
      <c r="G303" s="103"/>
      <c r="H303" s="152"/>
      <c r="J303" s="99"/>
      <c r="K303" s="104"/>
      <c r="L303" s="99"/>
      <c r="N303" s="99"/>
      <c r="O303" s="99"/>
      <c r="P303" s="34"/>
    </row>
    <row r="304">
      <c r="A304" s="100"/>
      <c r="B304" s="103"/>
      <c r="C304" s="121" t="str">
        <f t="array" ref="C304">ifs(and(isblank($A304),isblank($B304)),"", not(iserror(vlookup($A304&amp;$B304,'3) Release_Label'!$D:$D&amp;'3) Release_Label'!$E:$E,1,0))),vlookup($A304&amp;$B304,{'3) Release_Label'!$D:$D&amp;'3) Release_Label'!$E:$E,'3) Release_Label'!$F:$F},2,0), or(and(not(isblank($B304)),$B304=$B303,$A304&lt;&gt;$A303),and(not(isblank($A304)),$A304=$A303,$B304&lt;&gt;$B303)),"ID LISTS UNALIGNED",and($A304&lt;&gt;"",countif('3) Release_Label'!$D:$D,$A304)=0),"NO UPC MATCH in Release_Label",and($B304&lt;&gt;"",countif('3) Release_Label'!$E:$E,$B304)=0),"NO CATALOG ID MATCH in Release_Label",iserror(vlookup($A304&amp;$B304,'3) Release_Label'!$D:$D&amp;'3) Release_Label'!$E:$E,1,0)),"NO UPC-CATALOG ID pair MATCH in Release_Label" )</f>
        <v/>
      </c>
      <c r="D304" s="121" t="str">
        <f t="array" ref="D304">ifs(and(isblank($A304),isblank($B304)),"", not(iserror(vlookup($A304&amp;$B304,'3) Release_Label'!$D:$D&amp;'3) Release_Label'!$E:$E,1,0))),vlookup($A304&amp;$B304,{'3) Release_Label'!$D:$D&amp;'3) Release_Label'!$E:$E,'3) Release_Label'!$H:$H},2,0), or(and(not(isblank($B304)),$B304=$B303,$A304&lt;&gt;$A303),and(not(isblank($A304)),$A304=$A303,$B304&lt;&gt;$B303)),"ID LISTS UNALIGNED",and($A304&lt;&gt;"",countif('3) Release_Label'!$D:$D,$A304)=0),"NO UPC MATCH in Release_Label",and($B304&lt;&gt;"",countif('3) Release_Label'!$E:$E,$B304)=0),"NO CATALOG ID MATCH in Release_Label",iserror(vlookup($A304&amp;$B304,'3) Release_Label'!$D:$D&amp;'3) Release_Label'!$E:$E,1,0)),"NO UPC-CATALOG ID pair MATCH in Release_Label" )</f>
        <v/>
      </c>
      <c r="E304" s="141" t="str">
        <f t="shared" si="2"/>
        <v/>
      </c>
      <c r="G304" s="103"/>
      <c r="H304" s="152"/>
      <c r="J304" s="99"/>
      <c r="K304" s="104"/>
      <c r="L304" s="99"/>
      <c r="N304" s="99"/>
      <c r="O304" s="99"/>
      <c r="P304" s="34"/>
    </row>
    <row r="305">
      <c r="A305" s="100"/>
      <c r="B305" s="103"/>
      <c r="C305" s="121" t="str">
        <f t="array" ref="C305">ifs(and(isblank($A305),isblank($B305)),"", not(iserror(vlookup($A305&amp;$B305,'3) Release_Label'!$D:$D&amp;'3) Release_Label'!$E:$E,1,0))),vlookup($A305&amp;$B305,{'3) Release_Label'!$D:$D&amp;'3) Release_Label'!$E:$E,'3) Release_Label'!$F:$F},2,0), or(and(not(isblank($B305)),$B305=$B304,$A305&lt;&gt;$A304),and(not(isblank($A305)),$A305=$A304,$B305&lt;&gt;$B304)),"ID LISTS UNALIGNED",and($A305&lt;&gt;"",countif('3) Release_Label'!$D:$D,$A305)=0),"NO UPC MATCH in Release_Label",and($B305&lt;&gt;"",countif('3) Release_Label'!$E:$E,$B305)=0),"NO CATALOG ID MATCH in Release_Label",iserror(vlookup($A305&amp;$B305,'3) Release_Label'!$D:$D&amp;'3) Release_Label'!$E:$E,1,0)),"NO UPC-CATALOG ID pair MATCH in Release_Label" )</f>
        <v/>
      </c>
      <c r="D305" s="121" t="str">
        <f t="array" ref="D305">ifs(and(isblank($A305),isblank($B305)),"", not(iserror(vlookup($A305&amp;$B305,'3) Release_Label'!$D:$D&amp;'3) Release_Label'!$E:$E,1,0))),vlookup($A305&amp;$B305,{'3) Release_Label'!$D:$D&amp;'3) Release_Label'!$E:$E,'3) Release_Label'!$H:$H},2,0), or(and(not(isblank($B305)),$B305=$B304,$A305&lt;&gt;$A304),and(not(isblank($A305)),$A305=$A304,$B305&lt;&gt;$B304)),"ID LISTS UNALIGNED",and($A305&lt;&gt;"",countif('3) Release_Label'!$D:$D,$A305)=0),"NO UPC MATCH in Release_Label",and($B305&lt;&gt;"",countif('3) Release_Label'!$E:$E,$B305)=0),"NO CATALOG ID MATCH in Release_Label",iserror(vlookup($A305&amp;$B305,'3) Release_Label'!$D:$D&amp;'3) Release_Label'!$E:$E,1,0)),"NO UPC-CATALOG ID pair MATCH in Release_Label" )</f>
        <v/>
      </c>
      <c r="E305" s="141" t="str">
        <f t="shared" si="2"/>
        <v/>
      </c>
      <c r="G305" s="103"/>
      <c r="H305" s="152"/>
      <c r="J305" s="99"/>
      <c r="K305" s="104"/>
      <c r="L305" s="99"/>
      <c r="N305" s="99"/>
      <c r="O305" s="99"/>
      <c r="P305" s="34"/>
    </row>
    <row r="306">
      <c r="A306" s="100"/>
      <c r="B306" s="103"/>
      <c r="C306" s="121" t="str">
        <f t="array" ref="C306">ifs(and(isblank($A306),isblank($B306)),"", not(iserror(vlookup($A306&amp;$B306,'3) Release_Label'!$D:$D&amp;'3) Release_Label'!$E:$E,1,0))),vlookup($A306&amp;$B306,{'3) Release_Label'!$D:$D&amp;'3) Release_Label'!$E:$E,'3) Release_Label'!$F:$F},2,0), or(and(not(isblank($B306)),$B306=$B305,$A306&lt;&gt;$A305),and(not(isblank($A306)),$A306=$A305,$B306&lt;&gt;$B305)),"ID LISTS UNALIGNED",and($A306&lt;&gt;"",countif('3) Release_Label'!$D:$D,$A306)=0),"NO UPC MATCH in Release_Label",and($B306&lt;&gt;"",countif('3) Release_Label'!$E:$E,$B306)=0),"NO CATALOG ID MATCH in Release_Label",iserror(vlookup($A306&amp;$B306,'3) Release_Label'!$D:$D&amp;'3) Release_Label'!$E:$E,1,0)),"NO UPC-CATALOG ID pair MATCH in Release_Label" )</f>
        <v/>
      </c>
      <c r="D306" s="121" t="str">
        <f t="array" ref="D306">ifs(and(isblank($A306),isblank($B306)),"", not(iserror(vlookup($A306&amp;$B306,'3) Release_Label'!$D:$D&amp;'3) Release_Label'!$E:$E,1,0))),vlookup($A306&amp;$B306,{'3) Release_Label'!$D:$D&amp;'3) Release_Label'!$E:$E,'3) Release_Label'!$H:$H},2,0), or(and(not(isblank($B306)),$B306=$B305,$A306&lt;&gt;$A305),and(not(isblank($A306)),$A306=$A305,$B306&lt;&gt;$B305)),"ID LISTS UNALIGNED",and($A306&lt;&gt;"",countif('3) Release_Label'!$D:$D,$A306)=0),"NO UPC MATCH in Release_Label",and($B306&lt;&gt;"",countif('3) Release_Label'!$E:$E,$B306)=0),"NO CATALOG ID MATCH in Release_Label",iserror(vlookup($A306&amp;$B306,'3) Release_Label'!$D:$D&amp;'3) Release_Label'!$E:$E,1,0)),"NO UPC-CATALOG ID pair MATCH in Release_Label" )</f>
        <v/>
      </c>
      <c r="E306" s="141" t="str">
        <f t="shared" si="2"/>
        <v/>
      </c>
      <c r="G306" s="103"/>
      <c r="H306" s="152"/>
      <c r="J306" s="99"/>
      <c r="K306" s="104"/>
      <c r="L306" s="99"/>
      <c r="N306" s="99"/>
      <c r="O306" s="99"/>
      <c r="P306" s="34"/>
    </row>
    <row r="307">
      <c r="A307" s="100"/>
      <c r="B307" s="103"/>
      <c r="C307" s="121" t="str">
        <f t="array" ref="C307">ifs(and(isblank($A307),isblank($B307)),"", not(iserror(vlookup($A307&amp;$B307,'3) Release_Label'!$D:$D&amp;'3) Release_Label'!$E:$E,1,0))),vlookup($A307&amp;$B307,{'3) Release_Label'!$D:$D&amp;'3) Release_Label'!$E:$E,'3) Release_Label'!$F:$F},2,0), or(and(not(isblank($B307)),$B307=$B306,$A307&lt;&gt;$A306),and(not(isblank($A307)),$A307=$A306,$B307&lt;&gt;$B306)),"ID LISTS UNALIGNED",and($A307&lt;&gt;"",countif('3) Release_Label'!$D:$D,$A307)=0),"NO UPC MATCH in Release_Label",and($B307&lt;&gt;"",countif('3) Release_Label'!$E:$E,$B307)=0),"NO CATALOG ID MATCH in Release_Label",iserror(vlookup($A307&amp;$B307,'3) Release_Label'!$D:$D&amp;'3) Release_Label'!$E:$E,1,0)),"NO UPC-CATALOG ID pair MATCH in Release_Label" )</f>
        <v/>
      </c>
      <c r="D307" s="121" t="str">
        <f t="array" ref="D307">ifs(and(isblank($A307),isblank($B307)),"", not(iserror(vlookup($A307&amp;$B307,'3) Release_Label'!$D:$D&amp;'3) Release_Label'!$E:$E,1,0))),vlookup($A307&amp;$B307,{'3) Release_Label'!$D:$D&amp;'3) Release_Label'!$E:$E,'3) Release_Label'!$H:$H},2,0), or(and(not(isblank($B307)),$B307=$B306,$A307&lt;&gt;$A306),and(not(isblank($A307)),$A307=$A306,$B307&lt;&gt;$B306)),"ID LISTS UNALIGNED",and($A307&lt;&gt;"",countif('3) Release_Label'!$D:$D,$A307)=0),"NO UPC MATCH in Release_Label",and($B307&lt;&gt;"",countif('3) Release_Label'!$E:$E,$B307)=0),"NO CATALOG ID MATCH in Release_Label",iserror(vlookup($A307&amp;$B307,'3) Release_Label'!$D:$D&amp;'3) Release_Label'!$E:$E,1,0)),"NO UPC-CATALOG ID pair MATCH in Release_Label" )</f>
        <v/>
      </c>
      <c r="E307" s="141" t="str">
        <f t="shared" si="2"/>
        <v/>
      </c>
      <c r="G307" s="103"/>
      <c r="H307" s="152"/>
      <c r="J307" s="99"/>
      <c r="K307" s="104"/>
      <c r="L307" s="99"/>
      <c r="N307" s="99"/>
      <c r="O307" s="99"/>
      <c r="P307" s="34"/>
    </row>
    <row r="308">
      <c r="A308" s="100"/>
      <c r="B308" s="103"/>
      <c r="C308" s="121" t="str">
        <f t="array" ref="C308">ifs(and(isblank($A308),isblank($B308)),"", not(iserror(vlookup($A308&amp;$B308,'3) Release_Label'!$D:$D&amp;'3) Release_Label'!$E:$E,1,0))),vlookup($A308&amp;$B308,{'3) Release_Label'!$D:$D&amp;'3) Release_Label'!$E:$E,'3) Release_Label'!$F:$F},2,0), or(and(not(isblank($B308)),$B308=$B307,$A308&lt;&gt;$A307),and(not(isblank($A308)),$A308=$A307,$B308&lt;&gt;$B307)),"ID LISTS UNALIGNED",and($A308&lt;&gt;"",countif('3) Release_Label'!$D:$D,$A308)=0),"NO UPC MATCH in Release_Label",and($B308&lt;&gt;"",countif('3) Release_Label'!$E:$E,$B308)=0),"NO CATALOG ID MATCH in Release_Label",iserror(vlookup($A308&amp;$B308,'3) Release_Label'!$D:$D&amp;'3) Release_Label'!$E:$E,1,0)),"NO UPC-CATALOG ID pair MATCH in Release_Label" )</f>
        <v/>
      </c>
      <c r="D308" s="121" t="str">
        <f t="array" ref="D308">ifs(and(isblank($A308),isblank($B308)),"", not(iserror(vlookup($A308&amp;$B308,'3) Release_Label'!$D:$D&amp;'3) Release_Label'!$E:$E,1,0))),vlookup($A308&amp;$B308,{'3) Release_Label'!$D:$D&amp;'3) Release_Label'!$E:$E,'3) Release_Label'!$H:$H},2,0), or(and(not(isblank($B308)),$B308=$B307,$A308&lt;&gt;$A307),and(not(isblank($A308)),$A308=$A307,$B308&lt;&gt;$B307)),"ID LISTS UNALIGNED",and($A308&lt;&gt;"",countif('3) Release_Label'!$D:$D,$A308)=0),"NO UPC MATCH in Release_Label",and($B308&lt;&gt;"",countif('3) Release_Label'!$E:$E,$B308)=0),"NO CATALOG ID MATCH in Release_Label",iserror(vlookup($A308&amp;$B308,'3) Release_Label'!$D:$D&amp;'3) Release_Label'!$E:$E,1,0)),"NO UPC-CATALOG ID pair MATCH in Release_Label" )</f>
        <v/>
      </c>
      <c r="E308" s="141" t="str">
        <f t="shared" si="2"/>
        <v/>
      </c>
      <c r="G308" s="103"/>
      <c r="H308" s="152"/>
      <c r="J308" s="99"/>
      <c r="K308" s="104"/>
      <c r="L308" s="99"/>
      <c r="N308" s="99"/>
      <c r="O308" s="99"/>
      <c r="P308" s="34"/>
    </row>
    <row r="309">
      <c r="A309" s="100"/>
      <c r="B309" s="103"/>
      <c r="C309" s="121" t="str">
        <f t="array" ref="C309">ifs(and(isblank($A309),isblank($B309)),"", not(iserror(vlookup($A309&amp;$B309,'3) Release_Label'!$D:$D&amp;'3) Release_Label'!$E:$E,1,0))),vlookup($A309&amp;$B309,{'3) Release_Label'!$D:$D&amp;'3) Release_Label'!$E:$E,'3) Release_Label'!$F:$F},2,0), or(and(not(isblank($B309)),$B309=$B308,$A309&lt;&gt;$A308),and(not(isblank($A309)),$A309=$A308,$B309&lt;&gt;$B308)),"ID LISTS UNALIGNED",and($A309&lt;&gt;"",countif('3) Release_Label'!$D:$D,$A309)=0),"NO UPC MATCH in Release_Label",and($B309&lt;&gt;"",countif('3) Release_Label'!$E:$E,$B309)=0),"NO CATALOG ID MATCH in Release_Label",iserror(vlookup($A309&amp;$B309,'3) Release_Label'!$D:$D&amp;'3) Release_Label'!$E:$E,1,0)),"NO UPC-CATALOG ID pair MATCH in Release_Label" )</f>
        <v/>
      </c>
      <c r="D309" s="121" t="str">
        <f t="array" ref="D309">ifs(and(isblank($A309),isblank($B309)),"", not(iserror(vlookup($A309&amp;$B309,'3) Release_Label'!$D:$D&amp;'3) Release_Label'!$E:$E,1,0))),vlookup($A309&amp;$B309,{'3) Release_Label'!$D:$D&amp;'3) Release_Label'!$E:$E,'3) Release_Label'!$H:$H},2,0), or(and(not(isblank($B309)),$B309=$B308,$A309&lt;&gt;$A308),and(not(isblank($A309)),$A309=$A308,$B309&lt;&gt;$B308)),"ID LISTS UNALIGNED",and($A309&lt;&gt;"",countif('3) Release_Label'!$D:$D,$A309)=0),"NO UPC MATCH in Release_Label",and($B309&lt;&gt;"",countif('3) Release_Label'!$E:$E,$B309)=0),"NO CATALOG ID MATCH in Release_Label",iserror(vlookup($A309&amp;$B309,'3) Release_Label'!$D:$D&amp;'3) Release_Label'!$E:$E,1,0)),"NO UPC-CATALOG ID pair MATCH in Release_Label" )</f>
        <v/>
      </c>
      <c r="E309" s="141" t="str">
        <f t="shared" si="2"/>
        <v/>
      </c>
      <c r="G309" s="103"/>
      <c r="H309" s="152"/>
      <c r="J309" s="99"/>
      <c r="K309" s="104"/>
      <c r="L309" s="99"/>
      <c r="N309" s="99"/>
      <c r="O309" s="99"/>
      <c r="P309" s="34"/>
    </row>
    <row r="310">
      <c r="A310" s="100"/>
      <c r="B310" s="103"/>
      <c r="C310" s="121" t="str">
        <f t="array" ref="C310">ifs(and(isblank($A310),isblank($B310)),"", not(iserror(vlookup($A310&amp;$B310,'3) Release_Label'!$D:$D&amp;'3) Release_Label'!$E:$E,1,0))),vlookup($A310&amp;$B310,{'3) Release_Label'!$D:$D&amp;'3) Release_Label'!$E:$E,'3) Release_Label'!$F:$F},2,0), or(and(not(isblank($B310)),$B310=$B309,$A310&lt;&gt;$A309),and(not(isblank($A310)),$A310=$A309,$B310&lt;&gt;$B309)),"ID LISTS UNALIGNED",and($A310&lt;&gt;"",countif('3) Release_Label'!$D:$D,$A310)=0),"NO UPC MATCH in Release_Label",and($B310&lt;&gt;"",countif('3) Release_Label'!$E:$E,$B310)=0),"NO CATALOG ID MATCH in Release_Label",iserror(vlookup($A310&amp;$B310,'3) Release_Label'!$D:$D&amp;'3) Release_Label'!$E:$E,1,0)),"NO UPC-CATALOG ID pair MATCH in Release_Label" )</f>
        <v/>
      </c>
      <c r="D310" s="121" t="str">
        <f t="array" ref="D310">ifs(and(isblank($A310),isblank($B310)),"", not(iserror(vlookup($A310&amp;$B310,'3) Release_Label'!$D:$D&amp;'3) Release_Label'!$E:$E,1,0))),vlookup($A310&amp;$B310,{'3) Release_Label'!$D:$D&amp;'3) Release_Label'!$E:$E,'3) Release_Label'!$H:$H},2,0), or(and(not(isblank($B310)),$B310=$B309,$A310&lt;&gt;$A309),and(not(isblank($A310)),$A310=$A309,$B310&lt;&gt;$B309)),"ID LISTS UNALIGNED",and($A310&lt;&gt;"",countif('3) Release_Label'!$D:$D,$A310)=0),"NO UPC MATCH in Release_Label",and($B310&lt;&gt;"",countif('3) Release_Label'!$E:$E,$B310)=0),"NO CATALOG ID MATCH in Release_Label",iserror(vlookup($A310&amp;$B310,'3) Release_Label'!$D:$D&amp;'3) Release_Label'!$E:$E,1,0)),"NO UPC-CATALOG ID pair MATCH in Release_Label" )</f>
        <v/>
      </c>
      <c r="E310" s="141" t="str">
        <f t="shared" si="2"/>
        <v/>
      </c>
      <c r="G310" s="103"/>
      <c r="H310" s="152"/>
      <c r="J310" s="99"/>
      <c r="K310" s="104"/>
      <c r="L310" s="99"/>
      <c r="N310" s="99"/>
      <c r="O310" s="99"/>
      <c r="P310" s="34"/>
    </row>
    <row r="311">
      <c r="A311" s="100"/>
      <c r="B311" s="103"/>
      <c r="C311" s="121" t="str">
        <f t="array" ref="C311">ifs(and(isblank($A311),isblank($B311)),"", not(iserror(vlookup($A311&amp;$B311,'3) Release_Label'!$D:$D&amp;'3) Release_Label'!$E:$E,1,0))),vlookup($A311&amp;$B311,{'3) Release_Label'!$D:$D&amp;'3) Release_Label'!$E:$E,'3) Release_Label'!$F:$F},2,0), or(and(not(isblank($B311)),$B311=$B310,$A311&lt;&gt;$A310),and(not(isblank($A311)),$A311=$A310,$B311&lt;&gt;$B310)),"ID LISTS UNALIGNED",and($A311&lt;&gt;"",countif('3) Release_Label'!$D:$D,$A311)=0),"NO UPC MATCH in Release_Label",and($B311&lt;&gt;"",countif('3) Release_Label'!$E:$E,$B311)=0),"NO CATALOG ID MATCH in Release_Label",iserror(vlookup($A311&amp;$B311,'3) Release_Label'!$D:$D&amp;'3) Release_Label'!$E:$E,1,0)),"NO UPC-CATALOG ID pair MATCH in Release_Label" )</f>
        <v/>
      </c>
      <c r="D311" s="121" t="str">
        <f t="array" ref="D311">ifs(and(isblank($A311),isblank($B311)),"", not(iserror(vlookup($A311&amp;$B311,'3) Release_Label'!$D:$D&amp;'3) Release_Label'!$E:$E,1,0))),vlookup($A311&amp;$B311,{'3) Release_Label'!$D:$D&amp;'3) Release_Label'!$E:$E,'3) Release_Label'!$H:$H},2,0), or(and(not(isblank($B311)),$B311=$B310,$A311&lt;&gt;$A310),and(not(isblank($A311)),$A311=$A310,$B311&lt;&gt;$B310)),"ID LISTS UNALIGNED",and($A311&lt;&gt;"",countif('3) Release_Label'!$D:$D,$A311)=0),"NO UPC MATCH in Release_Label",and($B311&lt;&gt;"",countif('3) Release_Label'!$E:$E,$B311)=0),"NO CATALOG ID MATCH in Release_Label",iserror(vlookup($A311&amp;$B311,'3) Release_Label'!$D:$D&amp;'3) Release_Label'!$E:$E,1,0)),"NO UPC-CATALOG ID pair MATCH in Release_Label" )</f>
        <v/>
      </c>
      <c r="E311" s="141" t="str">
        <f t="shared" si="2"/>
        <v/>
      </c>
      <c r="G311" s="103"/>
      <c r="H311" s="152"/>
      <c r="J311" s="99"/>
      <c r="K311" s="104"/>
      <c r="L311" s="99"/>
      <c r="N311" s="99"/>
      <c r="O311" s="99"/>
      <c r="P311" s="34"/>
    </row>
    <row r="312">
      <c r="A312" s="100"/>
      <c r="B312" s="103"/>
      <c r="C312" s="121" t="str">
        <f t="array" ref="C312">ifs(and(isblank($A312),isblank($B312)),"", not(iserror(vlookup($A312&amp;$B312,'3) Release_Label'!$D:$D&amp;'3) Release_Label'!$E:$E,1,0))),vlookup($A312&amp;$B312,{'3) Release_Label'!$D:$D&amp;'3) Release_Label'!$E:$E,'3) Release_Label'!$F:$F},2,0), or(and(not(isblank($B312)),$B312=$B311,$A312&lt;&gt;$A311),and(not(isblank($A312)),$A312=$A311,$B312&lt;&gt;$B311)),"ID LISTS UNALIGNED",and($A312&lt;&gt;"",countif('3) Release_Label'!$D:$D,$A312)=0),"NO UPC MATCH in Release_Label",and($B312&lt;&gt;"",countif('3) Release_Label'!$E:$E,$B312)=0),"NO CATALOG ID MATCH in Release_Label",iserror(vlookup($A312&amp;$B312,'3) Release_Label'!$D:$D&amp;'3) Release_Label'!$E:$E,1,0)),"NO UPC-CATALOG ID pair MATCH in Release_Label" )</f>
        <v/>
      </c>
      <c r="D312" s="121" t="str">
        <f t="array" ref="D312">ifs(and(isblank($A312),isblank($B312)),"", not(iserror(vlookup($A312&amp;$B312,'3) Release_Label'!$D:$D&amp;'3) Release_Label'!$E:$E,1,0))),vlookup($A312&amp;$B312,{'3) Release_Label'!$D:$D&amp;'3) Release_Label'!$E:$E,'3) Release_Label'!$H:$H},2,0), or(and(not(isblank($B312)),$B312=$B311,$A312&lt;&gt;$A311),and(not(isblank($A312)),$A312=$A311,$B312&lt;&gt;$B311)),"ID LISTS UNALIGNED",and($A312&lt;&gt;"",countif('3) Release_Label'!$D:$D,$A312)=0),"NO UPC MATCH in Release_Label",and($B312&lt;&gt;"",countif('3) Release_Label'!$E:$E,$B312)=0),"NO CATALOG ID MATCH in Release_Label",iserror(vlookup($A312&amp;$B312,'3) Release_Label'!$D:$D&amp;'3) Release_Label'!$E:$E,1,0)),"NO UPC-CATALOG ID pair MATCH in Release_Label" )</f>
        <v/>
      </c>
      <c r="E312" s="141" t="str">
        <f t="shared" si="2"/>
        <v/>
      </c>
      <c r="G312" s="103"/>
      <c r="H312" s="152"/>
      <c r="J312" s="99"/>
      <c r="K312" s="104"/>
      <c r="L312" s="99"/>
      <c r="N312" s="99"/>
      <c r="O312" s="99"/>
      <c r="P312" s="34"/>
    </row>
    <row r="313">
      <c r="A313" s="100"/>
      <c r="B313" s="103"/>
      <c r="C313" s="121" t="str">
        <f t="array" ref="C313">ifs(and(isblank($A313),isblank($B313)),"", not(iserror(vlookup($A313&amp;$B313,'3) Release_Label'!$D:$D&amp;'3) Release_Label'!$E:$E,1,0))),vlookup($A313&amp;$B313,{'3) Release_Label'!$D:$D&amp;'3) Release_Label'!$E:$E,'3) Release_Label'!$F:$F},2,0), or(and(not(isblank($B313)),$B313=$B312,$A313&lt;&gt;$A312),and(not(isblank($A313)),$A313=$A312,$B313&lt;&gt;$B312)),"ID LISTS UNALIGNED",and($A313&lt;&gt;"",countif('3) Release_Label'!$D:$D,$A313)=0),"NO UPC MATCH in Release_Label",and($B313&lt;&gt;"",countif('3) Release_Label'!$E:$E,$B313)=0),"NO CATALOG ID MATCH in Release_Label",iserror(vlookup($A313&amp;$B313,'3) Release_Label'!$D:$D&amp;'3) Release_Label'!$E:$E,1,0)),"NO UPC-CATALOG ID pair MATCH in Release_Label" )</f>
        <v/>
      </c>
      <c r="D313" s="121" t="str">
        <f t="array" ref="D313">ifs(and(isblank($A313),isblank($B313)),"", not(iserror(vlookup($A313&amp;$B313,'3) Release_Label'!$D:$D&amp;'3) Release_Label'!$E:$E,1,0))),vlookup($A313&amp;$B313,{'3) Release_Label'!$D:$D&amp;'3) Release_Label'!$E:$E,'3) Release_Label'!$H:$H},2,0), or(and(not(isblank($B313)),$B313=$B312,$A313&lt;&gt;$A312),and(not(isblank($A313)),$A313=$A312,$B313&lt;&gt;$B312)),"ID LISTS UNALIGNED",and($A313&lt;&gt;"",countif('3) Release_Label'!$D:$D,$A313)=0),"NO UPC MATCH in Release_Label",and($B313&lt;&gt;"",countif('3) Release_Label'!$E:$E,$B313)=0),"NO CATALOG ID MATCH in Release_Label",iserror(vlookup($A313&amp;$B313,'3) Release_Label'!$D:$D&amp;'3) Release_Label'!$E:$E,1,0)),"NO UPC-CATALOG ID pair MATCH in Release_Label" )</f>
        <v/>
      </c>
      <c r="E313" s="141" t="str">
        <f t="shared" si="2"/>
        <v/>
      </c>
      <c r="G313" s="103"/>
      <c r="H313" s="152"/>
      <c r="J313" s="99"/>
      <c r="K313" s="104"/>
      <c r="L313" s="99"/>
      <c r="N313" s="99"/>
      <c r="O313" s="99"/>
      <c r="P313" s="34"/>
    </row>
    <row r="314">
      <c r="A314" s="100"/>
      <c r="B314" s="103"/>
      <c r="C314" s="121" t="str">
        <f t="array" ref="C314">ifs(and(isblank($A314),isblank($B314)),"", not(iserror(vlookup($A314&amp;$B314,'3) Release_Label'!$D:$D&amp;'3) Release_Label'!$E:$E,1,0))),vlookup($A314&amp;$B314,{'3) Release_Label'!$D:$D&amp;'3) Release_Label'!$E:$E,'3) Release_Label'!$F:$F},2,0), or(and(not(isblank($B314)),$B314=$B313,$A314&lt;&gt;$A313),and(not(isblank($A314)),$A314=$A313,$B314&lt;&gt;$B313)),"ID LISTS UNALIGNED",and($A314&lt;&gt;"",countif('3) Release_Label'!$D:$D,$A314)=0),"NO UPC MATCH in Release_Label",and($B314&lt;&gt;"",countif('3) Release_Label'!$E:$E,$B314)=0),"NO CATALOG ID MATCH in Release_Label",iserror(vlookup($A314&amp;$B314,'3) Release_Label'!$D:$D&amp;'3) Release_Label'!$E:$E,1,0)),"NO UPC-CATALOG ID pair MATCH in Release_Label" )</f>
        <v/>
      </c>
      <c r="D314" s="121" t="str">
        <f t="array" ref="D314">ifs(and(isblank($A314),isblank($B314)),"", not(iserror(vlookup($A314&amp;$B314,'3) Release_Label'!$D:$D&amp;'3) Release_Label'!$E:$E,1,0))),vlookup($A314&amp;$B314,{'3) Release_Label'!$D:$D&amp;'3) Release_Label'!$E:$E,'3) Release_Label'!$H:$H},2,0), or(and(not(isblank($B314)),$B314=$B313,$A314&lt;&gt;$A313),and(not(isblank($A314)),$A314=$A313,$B314&lt;&gt;$B313)),"ID LISTS UNALIGNED",and($A314&lt;&gt;"",countif('3) Release_Label'!$D:$D,$A314)=0),"NO UPC MATCH in Release_Label",and($B314&lt;&gt;"",countif('3) Release_Label'!$E:$E,$B314)=0),"NO CATALOG ID MATCH in Release_Label",iserror(vlookup($A314&amp;$B314,'3) Release_Label'!$D:$D&amp;'3) Release_Label'!$E:$E,1,0)),"NO UPC-CATALOG ID pair MATCH in Release_Label" )</f>
        <v/>
      </c>
      <c r="E314" s="141" t="str">
        <f t="shared" si="2"/>
        <v/>
      </c>
      <c r="G314" s="103"/>
      <c r="H314" s="152"/>
      <c r="J314" s="99"/>
      <c r="K314" s="104"/>
      <c r="L314" s="99"/>
      <c r="N314" s="99"/>
      <c r="O314" s="99"/>
      <c r="P314" s="34"/>
    </row>
    <row r="315">
      <c r="A315" s="100"/>
      <c r="B315" s="103"/>
      <c r="C315" s="121" t="str">
        <f t="array" ref="C315">ifs(and(isblank($A315),isblank($B315)),"", not(iserror(vlookup($A315&amp;$B315,'3) Release_Label'!$D:$D&amp;'3) Release_Label'!$E:$E,1,0))),vlookup($A315&amp;$B315,{'3) Release_Label'!$D:$D&amp;'3) Release_Label'!$E:$E,'3) Release_Label'!$F:$F},2,0), or(and(not(isblank($B315)),$B315=$B314,$A315&lt;&gt;$A314),and(not(isblank($A315)),$A315=$A314,$B315&lt;&gt;$B314)),"ID LISTS UNALIGNED",and($A315&lt;&gt;"",countif('3) Release_Label'!$D:$D,$A315)=0),"NO UPC MATCH in Release_Label",and($B315&lt;&gt;"",countif('3) Release_Label'!$E:$E,$B315)=0),"NO CATALOG ID MATCH in Release_Label",iserror(vlookup($A315&amp;$B315,'3) Release_Label'!$D:$D&amp;'3) Release_Label'!$E:$E,1,0)),"NO UPC-CATALOG ID pair MATCH in Release_Label" )</f>
        <v/>
      </c>
      <c r="D315" s="121" t="str">
        <f t="array" ref="D315">ifs(and(isblank($A315),isblank($B315)),"", not(iserror(vlookup($A315&amp;$B315,'3) Release_Label'!$D:$D&amp;'3) Release_Label'!$E:$E,1,0))),vlookup($A315&amp;$B315,{'3) Release_Label'!$D:$D&amp;'3) Release_Label'!$E:$E,'3) Release_Label'!$H:$H},2,0), or(and(not(isblank($B315)),$B315=$B314,$A315&lt;&gt;$A314),and(not(isblank($A315)),$A315=$A314,$B315&lt;&gt;$B314)),"ID LISTS UNALIGNED",and($A315&lt;&gt;"",countif('3) Release_Label'!$D:$D,$A315)=0),"NO UPC MATCH in Release_Label",and($B315&lt;&gt;"",countif('3) Release_Label'!$E:$E,$B315)=0),"NO CATALOG ID MATCH in Release_Label",iserror(vlookup($A315&amp;$B315,'3) Release_Label'!$D:$D&amp;'3) Release_Label'!$E:$E,1,0)),"NO UPC-CATALOG ID pair MATCH in Release_Label" )</f>
        <v/>
      </c>
      <c r="E315" s="141" t="str">
        <f t="shared" si="2"/>
        <v/>
      </c>
      <c r="G315" s="103"/>
      <c r="H315" s="152"/>
      <c r="J315" s="99"/>
      <c r="K315" s="104"/>
      <c r="L315" s="99"/>
      <c r="N315" s="99"/>
      <c r="O315" s="99"/>
      <c r="P315" s="34"/>
    </row>
    <row r="316">
      <c r="A316" s="100"/>
      <c r="B316" s="103"/>
      <c r="C316" s="121" t="str">
        <f t="array" ref="C316">ifs(and(isblank($A316),isblank($B316)),"", not(iserror(vlookup($A316&amp;$B316,'3) Release_Label'!$D:$D&amp;'3) Release_Label'!$E:$E,1,0))),vlookup($A316&amp;$B316,{'3) Release_Label'!$D:$D&amp;'3) Release_Label'!$E:$E,'3) Release_Label'!$F:$F},2,0), or(and(not(isblank($B316)),$B316=$B315,$A316&lt;&gt;$A315),and(not(isblank($A316)),$A316=$A315,$B316&lt;&gt;$B315)),"ID LISTS UNALIGNED",and($A316&lt;&gt;"",countif('3) Release_Label'!$D:$D,$A316)=0),"NO UPC MATCH in Release_Label",and($B316&lt;&gt;"",countif('3) Release_Label'!$E:$E,$B316)=0),"NO CATALOG ID MATCH in Release_Label",iserror(vlookup($A316&amp;$B316,'3) Release_Label'!$D:$D&amp;'3) Release_Label'!$E:$E,1,0)),"NO UPC-CATALOG ID pair MATCH in Release_Label" )</f>
        <v/>
      </c>
      <c r="D316" s="121" t="str">
        <f t="array" ref="D316">ifs(and(isblank($A316),isblank($B316)),"", not(iserror(vlookup($A316&amp;$B316,'3) Release_Label'!$D:$D&amp;'3) Release_Label'!$E:$E,1,0))),vlookup($A316&amp;$B316,{'3) Release_Label'!$D:$D&amp;'3) Release_Label'!$E:$E,'3) Release_Label'!$H:$H},2,0), or(and(not(isblank($B316)),$B316=$B315,$A316&lt;&gt;$A315),and(not(isblank($A316)),$A316=$A315,$B316&lt;&gt;$B315)),"ID LISTS UNALIGNED",and($A316&lt;&gt;"",countif('3) Release_Label'!$D:$D,$A316)=0),"NO UPC MATCH in Release_Label",and($B316&lt;&gt;"",countif('3) Release_Label'!$E:$E,$B316)=0),"NO CATALOG ID MATCH in Release_Label",iserror(vlookup($A316&amp;$B316,'3) Release_Label'!$D:$D&amp;'3) Release_Label'!$E:$E,1,0)),"NO UPC-CATALOG ID pair MATCH in Release_Label" )</f>
        <v/>
      </c>
      <c r="E316" s="141" t="str">
        <f t="shared" si="2"/>
        <v/>
      </c>
      <c r="G316" s="103"/>
      <c r="H316" s="152"/>
      <c r="J316" s="99"/>
      <c r="K316" s="104"/>
      <c r="L316" s="99"/>
      <c r="N316" s="99"/>
      <c r="O316" s="99"/>
      <c r="P316" s="34"/>
    </row>
    <row r="317">
      <c r="A317" s="100"/>
      <c r="B317" s="103"/>
      <c r="C317" s="121" t="str">
        <f t="array" ref="C317">ifs(and(isblank($A317),isblank($B317)),"", not(iserror(vlookup($A317&amp;$B317,'3) Release_Label'!$D:$D&amp;'3) Release_Label'!$E:$E,1,0))),vlookup($A317&amp;$B317,{'3) Release_Label'!$D:$D&amp;'3) Release_Label'!$E:$E,'3) Release_Label'!$F:$F},2,0), or(and(not(isblank($B317)),$B317=$B316,$A317&lt;&gt;$A316),and(not(isblank($A317)),$A317=$A316,$B317&lt;&gt;$B316)),"ID LISTS UNALIGNED",and($A317&lt;&gt;"",countif('3) Release_Label'!$D:$D,$A317)=0),"NO UPC MATCH in Release_Label",and($B317&lt;&gt;"",countif('3) Release_Label'!$E:$E,$B317)=0),"NO CATALOG ID MATCH in Release_Label",iserror(vlookup($A317&amp;$B317,'3) Release_Label'!$D:$D&amp;'3) Release_Label'!$E:$E,1,0)),"NO UPC-CATALOG ID pair MATCH in Release_Label" )</f>
        <v/>
      </c>
      <c r="D317" s="121" t="str">
        <f t="array" ref="D317">ifs(and(isblank($A317),isblank($B317)),"", not(iserror(vlookup($A317&amp;$B317,'3) Release_Label'!$D:$D&amp;'3) Release_Label'!$E:$E,1,0))),vlookup($A317&amp;$B317,{'3) Release_Label'!$D:$D&amp;'3) Release_Label'!$E:$E,'3) Release_Label'!$H:$H},2,0), or(and(not(isblank($B317)),$B317=$B316,$A317&lt;&gt;$A316),and(not(isblank($A317)),$A317=$A316,$B317&lt;&gt;$B316)),"ID LISTS UNALIGNED",and($A317&lt;&gt;"",countif('3) Release_Label'!$D:$D,$A317)=0),"NO UPC MATCH in Release_Label",and($B317&lt;&gt;"",countif('3) Release_Label'!$E:$E,$B317)=0),"NO CATALOG ID MATCH in Release_Label",iserror(vlookup($A317&amp;$B317,'3) Release_Label'!$D:$D&amp;'3) Release_Label'!$E:$E,1,0)),"NO UPC-CATALOG ID pair MATCH in Release_Label" )</f>
        <v/>
      </c>
      <c r="E317" s="141" t="str">
        <f t="shared" si="2"/>
        <v/>
      </c>
      <c r="G317" s="103"/>
      <c r="H317" s="152"/>
      <c r="J317" s="99"/>
      <c r="K317" s="104"/>
      <c r="L317" s="99"/>
      <c r="N317" s="99"/>
      <c r="O317" s="99"/>
      <c r="P317" s="34"/>
    </row>
    <row r="318">
      <c r="A318" s="100"/>
      <c r="B318" s="103"/>
      <c r="C318" s="121" t="str">
        <f t="array" ref="C318">ifs(and(isblank($A318),isblank($B318)),"", not(iserror(vlookup($A318&amp;$B318,'3) Release_Label'!$D:$D&amp;'3) Release_Label'!$E:$E,1,0))),vlookup($A318&amp;$B318,{'3) Release_Label'!$D:$D&amp;'3) Release_Label'!$E:$E,'3) Release_Label'!$F:$F},2,0), or(and(not(isblank($B318)),$B318=$B317,$A318&lt;&gt;$A317),and(not(isblank($A318)),$A318=$A317,$B318&lt;&gt;$B317)),"ID LISTS UNALIGNED",and($A318&lt;&gt;"",countif('3) Release_Label'!$D:$D,$A318)=0),"NO UPC MATCH in Release_Label",and($B318&lt;&gt;"",countif('3) Release_Label'!$E:$E,$B318)=0),"NO CATALOG ID MATCH in Release_Label",iserror(vlookup($A318&amp;$B318,'3) Release_Label'!$D:$D&amp;'3) Release_Label'!$E:$E,1,0)),"NO UPC-CATALOG ID pair MATCH in Release_Label" )</f>
        <v/>
      </c>
      <c r="D318" s="121" t="str">
        <f t="array" ref="D318">ifs(and(isblank($A318),isblank($B318)),"", not(iserror(vlookup($A318&amp;$B318,'3) Release_Label'!$D:$D&amp;'3) Release_Label'!$E:$E,1,0))),vlookup($A318&amp;$B318,{'3) Release_Label'!$D:$D&amp;'3) Release_Label'!$E:$E,'3) Release_Label'!$H:$H},2,0), or(and(not(isblank($B318)),$B318=$B317,$A318&lt;&gt;$A317),and(not(isblank($A318)),$A318=$A317,$B318&lt;&gt;$B317)),"ID LISTS UNALIGNED",and($A318&lt;&gt;"",countif('3) Release_Label'!$D:$D,$A318)=0),"NO UPC MATCH in Release_Label",and($B318&lt;&gt;"",countif('3) Release_Label'!$E:$E,$B318)=0),"NO CATALOG ID MATCH in Release_Label",iserror(vlookup($A318&amp;$B318,'3) Release_Label'!$D:$D&amp;'3) Release_Label'!$E:$E,1,0)),"NO UPC-CATALOG ID pair MATCH in Release_Label" )</f>
        <v/>
      </c>
      <c r="E318" s="141" t="str">
        <f t="shared" si="2"/>
        <v/>
      </c>
      <c r="G318" s="103"/>
      <c r="H318" s="152"/>
      <c r="J318" s="99"/>
      <c r="K318" s="104"/>
      <c r="L318" s="99"/>
      <c r="N318" s="99"/>
      <c r="O318" s="99"/>
      <c r="P318" s="34"/>
    </row>
    <row r="319">
      <c r="A319" s="100"/>
      <c r="B319" s="103"/>
      <c r="C319" s="121" t="str">
        <f t="array" ref="C319">ifs(and(isblank($A319),isblank($B319)),"", not(iserror(vlookup($A319&amp;$B319,'3) Release_Label'!$D:$D&amp;'3) Release_Label'!$E:$E,1,0))),vlookup($A319&amp;$B319,{'3) Release_Label'!$D:$D&amp;'3) Release_Label'!$E:$E,'3) Release_Label'!$F:$F},2,0), or(and(not(isblank($B319)),$B319=$B318,$A319&lt;&gt;$A318),and(not(isblank($A319)),$A319=$A318,$B319&lt;&gt;$B318)),"ID LISTS UNALIGNED",and($A319&lt;&gt;"",countif('3) Release_Label'!$D:$D,$A319)=0),"NO UPC MATCH in Release_Label",and($B319&lt;&gt;"",countif('3) Release_Label'!$E:$E,$B319)=0),"NO CATALOG ID MATCH in Release_Label",iserror(vlookup($A319&amp;$B319,'3) Release_Label'!$D:$D&amp;'3) Release_Label'!$E:$E,1,0)),"NO UPC-CATALOG ID pair MATCH in Release_Label" )</f>
        <v/>
      </c>
      <c r="D319" s="121" t="str">
        <f t="array" ref="D319">ifs(and(isblank($A319),isblank($B319)),"", not(iserror(vlookup($A319&amp;$B319,'3) Release_Label'!$D:$D&amp;'3) Release_Label'!$E:$E,1,0))),vlookup($A319&amp;$B319,{'3) Release_Label'!$D:$D&amp;'3) Release_Label'!$E:$E,'3) Release_Label'!$H:$H},2,0), or(and(not(isblank($B319)),$B319=$B318,$A319&lt;&gt;$A318),and(not(isblank($A319)),$A319=$A318,$B319&lt;&gt;$B318)),"ID LISTS UNALIGNED",and($A319&lt;&gt;"",countif('3) Release_Label'!$D:$D,$A319)=0),"NO UPC MATCH in Release_Label",and($B319&lt;&gt;"",countif('3) Release_Label'!$E:$E,$B319)=0),"NO CATALOG ID MATCH in Release_Label",iserror(vlookup($A319&amp;$B319,'3) Release_Label'!$D:$D&amp;'3) Release_Label'!$E:$E,1,0)),"NO UPC-CATALOG ID pair MATCH in Release_Label" )</f>
        <v/>
      </c>
      <c r="E319" s="141" t="str">
        <f t="shared" si="2"/>
        <v/>
      </c>
      <c r="G319" s="103"/>
      <c r="H319" s="152"/>
      <c r="J319" s="99"/>
      <c r="K319" s="104"/>
      <c r="L319" s="99"/>
      <c r="N319" s="99"/>
      <c r="O319" s="99"/>
      <c r="P319" s="34"/>
    </row>
    <row r="320">
      <c r="A320" s="100"/>
      <c r="B320" s="103"/>
      <c r="C320" s="121" t="str">
        <f t="array" ref="C320">ifs(and(isblank($A320),isblank($B320)),"", not(iserror(vlookup($A320&amp;$B320,'3) Release_Label'!$D:$D&amp;'3) Release_Label'!$E:$E,1,0))),vlookup($A320&amp;$B320,{'3) Release_Label'!$D:$D&amp;'3) Release_Label'!$E:$E,'3) Release_Label'!$F:$F},2,0), or(and(not(isblank($B320)),$B320=$B319,$A320&lt;&gt;$A319),and(not(isblank($A320)),$A320=$A319,$B320&lt;&gt;$B319)),"ID LISTS UNALIGNED",and($A320&lt;&gt;"",countif('3) Release_Label'!$D:$D,$A320)=0),"NO UPC MATCH in Release_Label",and($B320&lt;&gt;"",countif('3) Release_Label'!$E:$E,$B320)=0),"NO CATALOG ID MATCH in Release_Label",iserror(vlookup($A320&amp;$B320,'3) Release_Label'!$D:$D&amp;'3) Release_Label'!$E:$E,1,0)),"NO UPC-CATALOG ID pair MATCH in Release_Label" )</f>
        <v/>
      </c>
      <c r="D320" s="121" t="str">
        <f t="array" ref="D320">ifs(and(isblank($A320),isblank($B320)),"", not(iserror(vlookup($A320&amp;$B320,'3) Release_Label'!$D:$D&amp;'3) Release_Label'!$E:$E,1,0))),vlookup($A320&amp;$B320,{'3) Release_Label'!$D:$D&amp;'3) Release_Label'!$E:$E,'3) Release_Label'!$H:$H},2,0), or(and(not(isblank($B320)),$B320=$B319,$A320&lt;&gt;$A319),and(not(isblank($A320)),$A320=$A319,$B320&lt;&gt;$B319)),"ID LISTS UNALIGNED",and($A320&lt;&gt;"",countif('3) Release_Label'!$D:$D,$A320)=0),"NO UPC MATCH in Release_Label",and($B320&lt;&gt;"",countif('3) Release_Label'!$E:$E,$B320)=0),"NO CATALOG ID MATCH in Release_Label",iserror(vlookup($A320&amp;$B320,'3) Release_Label'!$D:$D&amp;'3) Release_Label'!$E:$E,1,0)),"NO UPC-CATALOG ID pair MATCH in Release_Label" )</f>
        <v/>
      </c>
      <c r="E320" s="141" t="str">
        <f t="shared" si="2"/>
        <v/>
      </c>
      <c r="G320" s="103"/>
      <c r="H320" s="152"/>
      <c r="J320" s="99"/>
      <c r="K320" s="104"/>
      <c r="L320" s="99"/>
      <c r="N320" s="99"/>
      <c r="O320" s="99"/>
      <c r="P320" s="34"/>
    </row>
    <row r="321">
      <c r="A321" s="100"/>
      <c r="B321" s="103"/>
      <c r="C321" s="121" t="str">
        <f t="array" ref="C321">ifs(and(isblank($A321),isblank($B321)),"", not(iserror(vlookup($A321&amp;$B321,'3) Release_Label'!$D:$D&amp;'3) Release_Label'!$E:$E,1,0))),vlookup($A321&amp;$B321,{'3) Release_Label'!$D:$D&amp;'3) Release_Label'!$E:$E,'3) Release_Label'!$F:$F},2,0), or(and(not(isblank($B321)),$B321=$B320,$A321&lt;&gt;$A320),and(not(isblank($A321)),$A321=$A320,$B321&lt;&gt;$B320)),"ID LISTS UNALIGNED",and($A321&lt;&gt;"",countif('3) Release_Label'!$D:$D,$A321)=0),"NO UPC MATCH in Release_Label",and($B321&lt;&gt;"",countif('3) Release_Label'!$E:$E,$B321)=0),"NO CATALOG ID MATCH in Release_Label",iserror(vlookup($A321&amp;$B321,'3) Release_Label'!$D:$D&amp;'3) Release_Label'!$E:$E,1,0)),"NO UPC-CATALOG ID pair MATCH in Release_Label" )</f>
        <v/>
      </c>
      <c r="D321" s="121" t="str">
        <f t="array" ref="D321">ifs(and(isblank($A321),isblank($B321)),"", not(iserror(vlookup($A321&amp;$B321,'3) Release_Label'!$D:$D&amp;'3) Release_Label'!$E:$E,1,0))),vlookup($A321&amp;$B321,{'3) Release_Label'!$D:$D&amp;'3) Release_Label'!$E:$E,'3) Release_Label'!$H:$H},2,0), or(and(not(isblank($B321)),$B321=$B320,$A321&lt;&gt;$A320),and(not(isblank($A321)),$A321=$A320,$B321&lt;&gt;$B320)),"ID LISTS UNALIGNED",and($A321&lt;&gt;"",countif('3) Release_Label'!$D:$D,$A321)=0),"NO UPC MATCH in Release_Label",and($B321&lt;&gt;"",countif('3) Release_Label'!$E:$E,$B321)=0),"NO CATALOG ID MATCH in Release_Label",iserror(vlookup($A321&amp;$B321,'3) Release_Label'!$D:$D&amp;'3) Release_Label'!$E:$E,1,0)),"NO UPC-CATALOG ID pair MATCH in Release_Label" )</f>
        <v/>
      </c>
      <c r="E321" s="141" t="str">
        <f t="shared" si="2"/>
        <v/>
      </c>
      <c r="G321" s="103"/>
      <c r="H321" s="152"/>
      <c r="J321" s="99"/>
      <c r="K321" s="104"/>
      <c r="L321" s="99"/>
      <c r="N321" s="99"/>
      <c r="O321" s="99"/>
      <c r="P321" s="34"/>
    </row>
    <row r="322">
      <c r="A322" s="100"/>
      <c r="B322" s="103"/>
      <c r="C322" s="121" t="str">
        <f t="array" ref="C322">ifs(and(isblank($A322),isblank($B322)),"", not(iserror(vlookup($A322&amp;$B322,'3) Release_Label'!$D:$D&amp;'3) Release_Label'!$E:$E,1,0))),vlookup($A322&amp;$B322,{'3) Release_Label'!$D:$D&amp;'3) Release_Label'!$E:$E,'3) Release_Label'!$F:$F},2,0), or(and(not(isblank($B322)),$B322=$B321,$A322&lt;&gt;$A321),and(not(isblank($A322)),$A322=$A321,$B322&lt;&gt;$B321)),"ID LISTS UNALIGNED",and($A322&lt;&gt;"",countif('3) Release_Label'!$D:$D,$A322)=0),"NO UPC MATCH in Release_Label",and($B322&lt;&gt;"",countif('3) Release_Label'!$E:$E,$B322)=0),"NO CATALOG ID MATCH in Release_Label",iserror(vlookup($A322&amp;$B322,'3) Release_Label'!$D:$D&amp;'3) Release_Label'!$E:$E,1,0)),"NO UPC-CATALOG ID pair MATCH in Release_Label" )</f>
        <v/>
      </c>
      <c r="D322" s="121" t="str">
        <f t="array" ref="D322">ifs(and(isblank($A322),isblank($B322)),"", not(iserror(vlookup($A322&amp;$B322,'3) Release_Label'!$D:$D&amp;'3) Release_Label'!$E:$E,1,0))),vlookup($A322&amp;$B322,{'3) Release_Label'!$D:$D&amp;'3) Release_Label'!$E:$E,'3) Release_Label'!$H:$H},2,0), or(and(not(isblank($B322)),$B322=$B321,$A322&lt;&gt;$A321),and(not(isblank($A322)),$A322=$A321,$B322&lt;&gt;$B321)),"ID LISTS UNALIGNED",and($A322&lt;&gt;"",countif('3) Release_Label'!$D:$D,$A322)=0),"NO UPC MATCH in Release_Label",and($B322&lt;&gt;"",countif('3) Release_Label'!$E:$E,$B322)=0),"NO CATALOG ID MATCH in Release_Label",iserror(vlookup($A322&amp;$B322,'3) Release_Label'!$D:$D&amp;'3) Release_Label'!$E:$E,1,0)),"NO UPC-CATALOG ID pair MATCH in Release_Label" )</f>
        <v/>
      </c>
      <c r="E322" s="141" t="str">
        <f t="shared" si="2"/>
        <v/>
      </c>
      <c r="G322" s="103"/>
      <c r="H322" s="152"/>
      <c r="J322" s="99"/>
      <c r="K322" s="104"/>
      <c r="L322" s="99"/>
      <c r="N322" s="99"/>
      <c r="O322" s="99"/>
      <c r="P322" s="34"/>
    </row>
    <row r="323">
      <c r="A323" s="100"/>
      <c r="B323" s="103"/>
      <c r="C323" s="121" t="str">
        <f t="array" ref="C323">ifs(and(isblank($A323),isblank($B323)),"", not(iserror(vlookup($A323&amp;$B323,'3) Release_Label'!$D:$D&amp;'3) Release_Label'!$E:$E,1,0))),vlookup($A323&amp;$B323,{'3) Release_Label'!$D:$D&amp;'3) Release_Label'!$E:$E,'3) Release_Label'!$F:$F},2,0), or(and(not(isblank($B323)),$B323=$B322,$A323&lt;&gt;$A322),and(not(isblank($A323)),$A323=$A322,$B323&lt;&gt;$B322)),"ID LISTS UNALIGNED",and($A323&lt;&gt;"",countif('3) Release_Label'!$D:$D,$A323)=0),"NO UPC MATCH in Release_Label",and($B323&lt;&gt;"",countif('3) Release_Label'!$E:$E,$B323)=0),"NO CATALOG ID MATCH in Release_Label",iserror(vlookup($A323&amp;$B323,'3) Release_Label'!$D:$D&amp;'3) Release_Label'!$E:$E,1,0)),"NO UPC-CATALOG ID pair MATCH in Release_Label" )</f>
        <v/>
      </c>
      <c r="D323" s="121" t="str">
        <f t="array" ref="D323">ifs(and(isblank($A323),isblank($B323)),"", not(iserror(vlookup($A323&amp;$B323,'3) Release_Label'!$D:$D&amp;'3) Release_Label'!$E:$E,1,0))),vlookup($A323&amp;$B323,{'3) Release_Label'!$D:$D&amp;'3) Release_Label'!$E:$E,'3) Release_Label'!$H:$H},2,0), or(and(not(isblank($B323)),$B323=$B322,$A323&lt;&gt;$A322),and(not(isblank($A323)),$A323=$A322,$B323&lt;&gt;$B322)),"ID LISTS UNALIGNED",and($A323&lt;&gt;"",countif('3) Release_Label'!$D:$D,$A323)=0),"NO UPC MATCH in Release_Label",and($B323&lt;&gt;"",countif('3) Release_Label'!$E:$E,$B323)=0),"NO CATALOG ID MATCH in Release_Label",iserror(vlookup($A323&amp;$B323,'3) Release_Label'!$D:$D&amp;'3) Release_Label'!$E:$E,1,0)),"NO UPC-CATALOG ID pair MATCH in Release_Label" )</f>
        <v/>
      </c>
      <c r="E323" s="141" t="str">
        <f t="shared" si="2"/>
        <v/>
      </c>
      <c r="G323" s="103"/>
      <c r="H323" s="152"/>
      <c r="J323" s="99"/>
      <c r="K323" s="104"/>
      <c r="L323" s="99"/>
      <c r="N323" s="99"/>
      <c r="O323" s="99"/>
      <c r="P323" s="34"/>
    </row>
    <row r="324">
      <c r="A324" s="100"/>
      <c r="B324" s="103"/>
      <c r="C324" s="121" t="str">
        <f t="array" ref="C324">ifs(and(isblank($A324),isblank($B324)),"", not(iserror(vlookup($A324&amp;$B324,'3) Release_Label'!$D:$D&amp;'3) Release_Label'!$E:$E,1,0))),vlookup($A324&amp;$B324,{'3) Release_Label'!$D:$D&amp;'3) Release_Label'!$E:$E,'3) Release_Label'!$F:$F},2,0), or(and(not(isblank($B324)),$B324=$B323,$A324&lt;&gt;$A323),and(not(isblank($A324)),$A324=$A323,$B324&lt;&gt;$B323)),"ID LISTS UNALIGNED",and($A324&lt;&gt;"",countif('3) Release_Label'!$D:$D,$A324)=0),"NO UPC MATCH in Release_Label",and($B324&lt;&gt;"",countif('3) Release_Label'!$E:$E,$B324)=0),"NO CATALOG ID MATCH in Release_Label",iserror(vlookup($A324&amp;$B324,'3) Release_Label'!$D:$D&amp;'3) Release_Label'!$E:$E,1,0)),"NO UPC-CATALOG ID pair MATCH in Release_Label" )</f>
        <v/>
      </c>
      <c r="D324" s="121" t="str">
        <f t="array" ref="D324">ifs(and(isblank($A324),isblank($B324)),"", not(iserror(vlookup($A324&amp;$B324,'3) Release_Label'!$D:$D&amp;'3) Release_Label'!$E:$E,1,0))),vlookup($A324&amp;$B324,{'3) Release_Label'!$D:$D&amp;'3) Release_Label'!$E:$E,'3) Release_Label'!$H:$H},2,0), or(and(not(isblank($B324)),$B324=$B323,$A324&lt;&gt;$A323),and(not(isblank($A324)),$A324=$A323,$B324&lt;&gt;$B323)),"ID LISTS UNALIGNED",and($A324&lt;&gt;"",countif('3) Release_Label'!$D:$D,$A324)=0),"NO UPC MATCH in Release_Label",and($B324&lt;&gt;"",countif('3) Release_Label'!$E:$E,$B324)=0),"NO CATALOG ID MATCH in Release_Label",iserror(vlookup($A324&amp;$B324,'3) Release_Label'!$D:$D&amp;'3) Release_Label'!$E:$E,1,0)),"NO UPC-CATALOG ID pair MATCH in Release_Label" )</f>
        <v/>
      </c>
      <c r="E324" s="141" t="str">
        <f t="shared" si="2"/>
        <v/>
      </c>
      <c r="G324" s="103"/>
      <c r="H324" s="152"/>
      <c r="J324" s="99"/>
      <c r="K324" s="104"/>
      <c r="L324" s="99"/>
      <c r="N324" s="99"/>
      <c r="O324" s="99"/>
      <c r="P324" s="34"/>
    </row>
    <row r="325">
      <c r="A325" s="100"/>
      <c r="B325" s="103"/>
      <c r="C325" s="121" t="str">
        <f t="array" ref="C325">ifs(and(isblank($A325),isblank($B325)),"", not(iserror(vlookup($A325&amp;$B325,'3) Release_Label'!$D:$D&amp;'3) Release_Label'!$E:$E,1,0))),vlookup($A325&amp;$B325,{'3) Release_Label'!$D:$D&amp;'3) Release_Label'!$E:$E,'3) Release_Label'!$F:$F},2,0), or(and(not(isblank($B325)),$B325=$B324,$A325&lt;&gt;$A324),and(not(isblank($A325)),$A325=$A324,$B325&lt;&gt;$B324)),"ID LISTS UNALIGNED",and($A325&lt;&gt;"",countif('3) Release_Label'!$D:$D,$A325)=0),"NO UPC MATCH in Release_Label",and($B325&lt;&gt;"",countif('3) Release_Label'!$E:$E,$B325)=0),"NO CATALOG ID MATCH in Release_Label",iserror(vlookup($A325&amp;$B325,'3) Release_Label'!$D:$D&amp;'3) Release_Label'!$E:$E,1,0)),"NO UPC-CATALOG ID pair MATCH in Release_Label" )</f>
        <v/>
      </c>
      <c r="D325" s="121" t="str">
        <f t="array" ref="D325">ifs(and(isblank($A325),isblank($B325)),"", not(iserror(vlookup($A325&amp;$B325,'3) Release_Label'!$D:$D&amp;'3) Release_Label'!$E:$E,1,0))),vlookup($A325&amp;$B325,{'3) Release_Label'!$D:$D&amp;'3) Release_Label'!$E:$E,'3) Release_Label'!$H:$H},2,0), or(and(not(isblank($B325)),$B325=$B324,$A325&lt;&gt;$A324),and(not(isblank($A325)),$A325=$A324,$B325&lt;&gt;$B324)),"ID LISTS UNALIGNED",and($A325&lt;&gt;"",countif('3) Release_Label'!$D:$D,$A325)=0),"NO UPC MATCH in Release_Label",and($B325&lt;&gt;"",countif('3) Release_Label'!$E:$E,$B325)=0),"NO CATALOG ID MATCH in Release_Label",iserror(vlookup($A325&amp;$B325,'3) Release_Label'!$D:$D&amp;'3) Release_Label'!$E:$E,1,0)),"NO UPC-CATALOG ID pair MATCH in Release_Label" )</f>
        <v/>
      </c>
      <c r="E325" s="141" t="str">
        <f t="shared" si="2"/>
        <v/>
      </c>
      <c r="G325" s="103"/>
      <c r="H325" s="152"/>
      <c r="J325" s="99"/>
      <c r="K325" s="104"/>
      <c r="L325" s="99"/>
      <c r="N325" s="99"/>
      <c r="O325" s="99"/>
      <c r="P325" s="34"/>
    </row>
    <row r="326">
      <c r="A326" s="100"/>
      <c r="B326" s="103"/>
      <c r="C326" s="121" t="str">
        <f t="array" ref="C326">ifs(and(isblank($A326),isblank($B326)),"", not(iserror(vlookup($A326&amp;$B326,'3) Release_Label'!$D:$D&amp;'3) Release_Label'!$E:$E,1,0))),vlookup($A326&amp;$B326,{'3) Release_Label'!$D:$D&amp;'3) Release_Label'!$E:$E,'3) Release_Label'!$F:$F},2,0), or(and(not(isblank($B326)),$B326=$B325,$A326&lt;&gt;$A325),and(not(isblank($A326)),$A326=$A325,$B326&lt;&gt;$B325)),"ID LISTS UNALIGNED",and($A326&lt;&gt;"",countif('3) Release_Label'!$D:$D,$A326)=0),"NO UPC MATCH in Release_Label",and($B326&lt;&gt;"",countif('3) Release_Label'!$E:$E,$B326)=0),"NO CATALOG ID MATCH in Release_Label",iserror(vlookup($A326&amp;$B326,'3) Release_Label'!$D:$D&amp;'3) Release_Label'!$E:$E,1,0)),"NO UPC-CATALOG ID pair MATCH in Release_Label" )</f>
        <v/>
      </c>
      <c r="D326" s="121" t="str">
        <f t="array" ref="D326">ifs(and(isblank($A326),isblank($B326)),"", not(iserror(vlookup($A326&amp;$B326,'3) Release_Label'!$D:$D&amp;'3) Release_Label'!$E:$E,1,0))),vlookup($A326&amp;$B326,{'3) Release_Label'!$D:$D&amp;'3) Release_Label'!$E:$E,'3) Release_Label'!$H:$H},2,0), or(and(not(isblank($B326)),$B326=$B325,$A326&lt;&gt;$A325),and(not(isblank($A326)),$A326=$A325,$B326&lt;&gt;$B325)),"ID LISTS UNALIGNED",and($A326&lt;&gt;"",countif('3) Release_Label'!$D:$D,$A326)=0),"NO UPC MATCH in Release_Label",and($B326&lt;&gt;"",countif('3) Release_Label'!$E:$E,$B326)=0),"NO CATALOG ID MATCH in Release_Label",iserror(vlookup($A326&amp;$B326,'3) Release_Label'!$D:$D&amp;'3) Release_Label'!$E:$E,1,0)),"NO UPC-CATALOG ID pair MATCH in Release_Label" )</f>
        <v/>
      </c>
      <c r="E326" s="141" t="str">
        <f t="shared" si="2"/>
        <v/>
      </c>
      <c r="G326" s="103"/>
      <c r="H326" s="152"/>
      <c r="J326" s="99"/>
      <c r="K326" s="104"/>
      <c r="L326" s="99"/>
      <c r="N326" s="99"/>
      <c r="O326" s="99"/>
      <c r="P326" s="34"/>
    </row>
    <row r="327">
      <c r="A327" s="100"/>
      <c r="B327" s="103"/>
      <c r="C327" s="121" t="str">
        <f t="array" ref="C327">ifs(and(isblank($A327),isblank($B327)),"", not(iserror(vlookup($A327&amp;$B327,'3) Release_Label'!$D:$D&amp;'3) Release_Label'!$E:$E,1,0))),vlookup($A327&amp;$B327,{'3) Release_Label'!$D:$D&amp;'3) Release_Label'!$E:$E,'3) Release_Label'!$F:$F},2,0), or(and(not(isblank($B327)),$B327=$B326,$A327&lt;&gt;$A326),and(not(isblank($A327)),$A327=$A326,$B327&lt;&gt;$B326)),"ID LISTS UNALIGNED",and($A327&lt;&gt;"",countif('3) Release_Label'!$D:$D,$A327)=0),"NO UPC MATCH in Release_Label",and($B327&lt;&gt;"",countif('3) Release_Label'!$E:$E,$B327)=0),"NO CATALOG ID MATCH in Release_Label",iserror(vlookup($A327&amp;$B327,'3) Release_Label'!$D:$D&amp;'3) Release_Label'!$E:$E,1,0)),"NO UPC-CATALOG ID pair MATCH in Release_Label" )</f>
        <v/>
      </c>
      <c r="D327" s="121" t="str">
        <f t="array" ref="D327">ifs(and(isblank($A327),isblank($B327)),"", not(iserror(vlookup($A327&amp;$B327,'3) Release_Label'!$D:$D&amp;'3) Release_Label'!$E:$E,1,0))),vlookup($A327&amp;$B327,{'3) Release_Label'!$D:$D&amp;'3) Release_Label'!$E:$E,'3) Release_Label'!$H:$H},2,0), or(and(not(isblank($B327)),$B327=$B326,$A327&lt;&gt;$A326),and(not(isblank($A327)),$A327=$A326,$B327&lt;&gt;$B326)),"ID LISTS UNALIGNED",and($A327&lt;&gt;"",countif('3) Release_Label'!$D:$D,$A327)=0),"NO UPC MATCH in Release_Label",and($B327&lt;&gt;"",countif('3) Release_Label'!$E:$E,$B327)=0),"NO CATALOG ID MATCH in Release_Label",iserror(vlookup($A327&amp;$B327,'3) Release_Label'!$D:$D&amp;'3) Release_Label'!$E:$E,1,0)),"NO UPC-CATALOG ID pair MATCH in Release_Label" )</f>
        <v/>
      </c>
      <c r="E327" s="141" t="str">
        <f t="shared" si="2"/>
        <v/>
      </c>
      <c r="G327" s="103"/>
      <c r="H327" s="152"/>
      <c r="J327" s="99"/>
      <c r="K327" s="104"/>
      <c r="L327" s="99"/>
      <c r="N327" s="99"/>
      <c r="O327" s="99"/>
      <c r="P327" s="34"/>
    </row>
    <row r="328">
      <c r="A328" s="100"/>
      <c r="B328" s="103"/>
      <c r="C328" s="121" t="str">
        <f t="array" ref="C328">ifs(and(isblank($A328),isblank($B328)),"", not(iserror(vlookup($A328&amp;$B328,'3) Release_Label'!$D:$D&amp;'3) Release_Label'!$E:$E,1,0))),vlookup($A328&amp;$B328,{'3) Release_Label'!$D:$D&amp;'3) Release_Label'!$E:$E,'3) Release_Label'!$F:$F},2,0), or(and(not(isblank($B328)),$B328=$B327,$A328&lt;&gt;$A327),and(not(isblank($A328)),$A328=$A327,$B328&lt;&gt;$B327)),"ID LISTS UNALIGNED",and($A328&lt;&gt;"",countif('3) Release_Label'!$D:$D,$A328)=0),"NO UPC MATCH in Release_Label",and($B328&lt;&gt;"",countif('3) Release_Label'!$E:$E,$B328)=0),"NO CATALOG ID MATCH in Release_Label",iserror(vlookup($A328&amp;$B328,'3) Release_Label'!$D:$D&amp;'3) Release_Label'!$E:$E,1,0)),"NO UPC-CATALOG ID pair MATCH in Release_Label" )</f>
        <v/>
      </c>
      <c r="D328" s="121" t="str">
        <f t="array" ref="D328">ifs(and(isblank($A328),isblank($B328)),"", not(iserror(vlookup($A328&amp;$B328,'3) Release_Label'!$D:$D&amp;'3) Release_Label'!$E:$E,1,0))),vlookup($A328&amp;$B328,{'3) Release_Label'!$D:$D&amp;'3) Release_Label'!$E:$E,'3) Release_Label'!$H:$H},2,0), or(and(not(isblank($B328)),$B328=$B327,$A328&lt;&gt;$A327),and(not(isblank($A328)),$A328=$A327,$B328&lt;&gt;$B327)),"ID LISTS UNALIGNED",and($A328&lt;&gt;"",countif('3) Release_Label'!$D:$D,$A328)=0),"NO UPC MATCH in Release_Label",and($B328&lt;&gt;"",countif('3) Release_Label'!$E:$E,$B328)=0),"NO CATALOG ID MATCH in Release_Label",iserror(vlookup($A328&amp;$B328,'3) Release_Label'!$D:$D&amp;'3) Release_Label'!$E:$E,1,0)),"NO UPC-CATALOG ID pair MATCH in Release_Label" )</f>
        <v/>
      </c>
      <c r="E328" s="141" t="str">
        <f t="shared" si="2"/>
        <v/>
      </c>
      <c r="G328" s="103"/>
      <c r="H328" s="152"/>
      <c r="J328" s="99"/>
      <c r="K328" s="104"/>
      <c r="L328" s="99"/>
      <c r="N328" s="99"/>
      <c r="O328" s="99"/>
      <c r="P328" s="34"/>
    </row>
    <row r="329">
      <c r="A329" s="100"/>
      <c r="B329" s="103"/>
      <c r="C329" s="121" t="str">
        <f t="array" ref="C329">ifs(and(isblank($A329),isblank($B329)),"", not(iserror(vlookup($A329&amp;$B329,'3) Release_Label'!$D:$D&amp;'3) Release_Label'!$E:$E,1,0))),vlookup($A329&amp;$B329,{'3) Release_Label'!$D:$D&amp;'3) Release_Label'!$E:$E,'3) Release_Label'!$F:$F},2,0), or(and(not(isblank($B329)),$B329=$B328,$A329&lt;&gt;$A328),and(not(isblank($A329)),$A329=$A328,$B329&lt;&gt;$B328)),"ID LISTS UNALIGNED",and($A329&lt;&gt;"",countif('3) Release_Label'!$D:$D,$A329)=0),"NO UPC MATCH in Release_Label",and($B329&lt;&gt;"",countif('3) Release_Label'!$E:$E,$B329)=0),"NO CATALOG ID MATCH in Release_Label",iserror(vlookup($A329&amp;$B329,'3) Release_Label'!$D:$D&amp;'3) Release_Label'!$E:$E,1,0)),"NO UPC-CATALOG ID pair MATCH in Release_Label" )</f>
        <v/>
      </c>
      <c r="D329" s="121" t="str">
        <f t="array" ref="D329">ifs(and(isblank($A329),isblank($B329)),"", not(iserror(vlookup($A329&amp;$B329,'3) Release_Label'!$D:$D&amp;'3) Release_Label'!$E:$E,1,0))),vlookup($A329&amp;$B329,{'3) Release_Label'!$D:$D&amp;'3) Release_Label'!$E:$E,'3) Release_Label'!$H:$H},2,0), or(and(not(isblank($B329)),$B329=$B328,$A329&lt;&gt;$A328),and(not(isblank($A329)),$A329=$A328,$B329&lt;&gt;$B328)),"ID LISTS UNALIGNED",and($A329&lt;&gt;"",countif('3) Release_Label'!$D:$D,$A329)=0),"NO UPC MATCH in Release_Label",and($B329&lt;&gt;"",countif('3) Release_Label'!$E:$E,$B329)=0),"NO CATALOG ID MATCH in Release_Label",iserror(vlookup($A329&amp;$B329,'3) Release_Label'!$D:$D&amp;'3) Release_Label'!$E:$E,1,0)),"NO UPC-CATALOG ID pair MATCH in Release_Label" )</f>
        <v/>
      </c>
      <c r="E329" s="141" t="str">
        <f t="shared" si="2"/>
        <v/>
      </c>
      <c r="G329" s="103"/>
      <c r="H329" s="152"/>
      <c r="J329" s="99"/>
      <c r="K329" s="104"/>
      <c r="L329" s="99"/>
      <c r="N329" s="99"/>
      <c r="O329" s="99"/>
      <c r="P329" s="34"/>
    </row>
    <row r="330">
      <c r="A330" s="100"/>
      <c r="B330" s="103"/>
      <c r="C330" s="121" t="str">
        <f t="array" ref="C330">ifs(and(isblank($A330),isblank($B330)),"", not(iserror(vlookup($A330&amp;$B330,'3) Release_Label'!$D:$D&amp;'3) Release_Label'!$E:$E,1,0))),vlookup($A330&amp;$B330,{'3) Release_Label'!$D:$D&amp;'3) Release_Label'!$E:$E,'3) Release_Label'!$F:$F},2,0), or(and(not(isblank($B330)),$B330=$B329,$A330&lt;&gt;$A329),and(not(isblank($A330)),$A330=$A329,$B330&lt;&gt;$B329)),"ID LISTS UNALIGNED",and($A330&lt;&gt;"",countif('3) Release_Label'!$D:$D,$A330)=0),"NO UPC MATCH in Release_Label",and($B330&lt;&gt;"",countif('3) Release_Label'!$E:$E,$B330)=0),"NO CATALOG ID MATCH in Release_Label",iserror(vlookup($A330&amp;$B330,'3) Release_Label'!$D:$D&amp;'3) Release_Label'!$E:$E,1,0)),"NO UPC-CATALOG ID pair MATCH in Release_Label" )</f>
        <v/>
      </c>
      <c r="D330" s="121" t="str">
        <f t="array" ref="D330">ifs(and(isblank($A330),isblank($B330)),"", not(iserror(vlookup($A330&amp;$B330,'3) Release_Label'!$D:$D&amp;'3) Release_Label'!$E:$E,1,0))),vlookup($A330&amp;$B330,{'3) Release_Label'!$D:$D&amp;'3) Release_Label'!$E:$E,'3) Release_Label'!$H:$H},2,0), or(and(not(isblank($B330)),$B330=$B329,$A330&lt;&gt;$A329),and(not(isblank($A330)),$A330=$A329,$B330&lt;&gt;$B329)),"ID LISTS UNALIGNED",and($A330&lt;&gt;"",countif('3) Release_Label'!$D:$D,$A330)=0),"NO UPC MATCH in Release_Label",and($B330&lt;&gt;"",countif('3) Release_Label'!$E:$E,$B330)=0),"NO CATALOG ID MATCH in Release_Label",iserror(vlookup($A330&amp;$B330,'3) Release_Label'!$D:$D&amp;'3) Release_Label'!$E:$E,1,0)),"NO UPC-CATALOG ID pair MATCH in Release_Label" )</f>
        <v/>
      </c>
      <c r="E330" s="141" t="str">
        <f t="shared" si="2"/>
        <v/>
      </c>
      <c r="G330" s="103"/>
      <c r="H330" s="152"/>
      <c r="J330" s="99"/>
      <c r="K330" s="104"/>
      <c r="L330" s="99"/>
      <c r="N330" s="99"/>
      <c r="O330" s="99"/>
      <c r="P330" s="34"/>
    </row>
    <row r="331">
      <c r="A331" s="100"/>
      <c r="B331" s="103"/>
      <c r="C331" s="121" t="str">
        <f t="array" ref="C331">ifs(and(isblank($A331),isblank($B331)),"", not(iserror(vlookup($A331&amp;$B331,'3) Release_Label'!$D:$D&amp;'3) Release_Label'!$E:$E,1,0))),vlookup($A331&amp;$B331,{'3) Release_Label'!$D:$D&amp;'3) Release_Label'!$E:$E,'3) Release_Label'!$F:$F},2,0), or(and(not(isblank($B331)),$B331=$B330,$A331&lt;&gt;$A330),and(not(isblank($A331)),$A331=$A330,$B331&lt;&gt;$B330)),"ID LISTS UNALIGNED",and($A331&lt;&gt;"",countif('3) Release_Label'!$D:$D,$A331)=0),"NO UPC MATCH in Release_Label",and($B331&lt;&gt;"",countif('3) Release_Label'!$E:$E,$B331)=0),"NO CATALOG ID MATCH in Release_Label",iserror(vlookup($A331&amp;$B331,'3) Release_Label'!$D:$D&amp;'3) Release_Label'!$E:$E,1,0)),"NO UPC-CATALOG ID pair MATCH in Release_Label" )</f>
        <v/>
      </c>
      <c r="D331" s="121" t="str">
        <f t="array" ref="D331">ifs(and(isblank($A331),isblank($B331)),"", not(iserror(vlookup($A331&amp;$B331,'3) Release_Label'!$D:$D&amp;'3) Release_Label'!$E:$E,1,0))),vlookup($A331&amp;$B331,{'3) Release_Label'!$D:$D&amp;'3) Release_Label'!$E:$E,'3) Release_Label'!$H:$H},2,0), or(and(not(isblank($B331)),$B331=$B330,$A331&lt;&gt;$A330),and(not(isblank($A331)),$A331=$A330,$B331&lt;&gt;$B330)),"ID LISTS UNALIGNED",and($A331&lt;&gt;"",countif('3) Release_Label'!$D:$D,$A331)=0),"NO UPC MATCH in Release_Label",and($B331&lt;&gt;"",countif('3) Release_Label'!$E:$E,$B331)=0),"NO CATALOG ID MATCH in Release_Label",iserror(vlookup($A331&amp;$B331,'3) Release_Label'!$D:$D&amp;'3) Release_Label'!$E:$E,1,0)),"NO UPC-CATALOG ID pair MATCH in Release_Label" )</f>
        <v/>
      </c>
      <c r="E331" s="141" t="str">
        <f t="shared" si="2"/>
        <v/>
      </c>
      <c r="G331" s="103"/>
      <c r="H331" s="152"/>
      <c r="J331" s="99"/>
      <c r="K331" s="104"/>
      <c r="L331" s="99"/>
      <c r="N331" s="99"/>
      <c r="O331" s="99"/>
      <c r="P331" s="34"/>
    </row>
    <row r="332">
      <c r="A332" s="100"/>
      <c r="B332" s="103"/>
      <c r="C332" s="121" t="str">
        <f t="array" ref="C332">ifs(and(isblank($A332),isblank($B332)),"", not(iserror(vlookup($A332&amp;$B332,'3) Release_Label'!$D:$D&amp;'3) Release_Label'!$E:$E,1,0))),vlookup($A332&amp;$B332,{'3) Release_Label'!$D:$D&amp;'3) Release_Label'!$E:$E,'3) Release_Label'!$F:$F},2,0), or(and(not(isblank($B332)),$B332=$B331,$A332&lt;&gt;$A331),and(not(isblank($A332)),$A332=$A331,$B332&lt;&gt;$B331)),"ID LISTS UNALIGNED",and($A332&lt;&gt;"",countif('3) Release_Label'!$D:$D,$A332)=0),"NO UPC MATCH in Release_Label",and($B332&lt;&gt;"",countif('3) Release_Label'!$E:$E,$B332)=0),"NO CATALOG ID MATCH in Release_Label",iserror(vlookup($A332&amp;$B332,'3) Release_Label'!$D:$D&amp;'3) Release_Label'!$E:$E,1,0)),"NO UPC-CATALOG ID pair MATCH in Release_Label" )</f>
        <v/>
      </c>
      <c r="D332" s="121" t="str">
        <f t="array" ref="D332">ifs(and(isblank($A332),isblank($B332)),"", not(iserror(vlookup($A332&amp;$B332,'3) Release_Label'!$D:$D&amp;'3) Release_Label'!$E:$E,1,0))),vlookup($A332&amp;$B332,{'3) Release_Label'!$D:$D&amp;'3) Release_Label'!$E:$E,'3) Release_Label'!$H:$H},2,0), or(and(not(isblank($B332)),$B332=$B331,$A332&lt;&gt;$A331),and(not(isblank($A332)),$A332=$A331,$B332&lt;&gt;$B331)),"ID LISTS UNALIGNED",and($A332&lt;&gt;"",countif('3) Release_Label'!$D:$D,$A332)=0),"NO UPC MATCH in Release_Label",and($B332&lt;&gt;"",countif('3) Release_Label'!$E:$E,$B332)=0),"NO CATALOG ID MATCH in Release_Label",iserror(vlookup($A332&amp;$B332,'3) Release_Label'!$D:$D&amp;'3) Release_Label'!$E:$E,1,0)),"NO UPC-CATALOG ID pair MATCH in Release_Label" )</f>
        <v/>
      </c>
      <c r="E332" s="141" t="str">
        <f t="shared" si="2"/>
        <v/>
      </c>
      <c r="G332" s="103"/>
      <c r="H332" s="152"/>
      <c r="J332" s="99"/>
      <c r="K332" s="104"/>
      <c r="L332" s="99"/>
      <c r="N332" s="99"/>
      <c r="O332" s="99"/>
      <c r="P332" s="34"/>
    </row>
    <row r="333">
      <c r="A333" s="100"/>
      <c r="B333" s="103"/>
      <c r="C333" s="121" t="str">
        <f t="array" ref="C333">ifs(and(isblank($A333),isblank($B333)),"", not(iserror(vlookup($A333&amp;$B333,'3) Release_Label'!$D:$D&amp;'3) Release_Label'!$E:$E,1,0))),vlookup($A333&amp;$B333,{'3) Release_Label'!$D:$D&amp;'3) Release_Label'!$E:$E,'3) Release_Label'!$F:$F},2,0), or(and(not(isblank($B333)),$B333=$B332,$A333&lt;&gt;$A332),and(not(isblank($A333)),$A333=$A332,$B333&lt;&gt;$B332)),"ID LISTS UNALIGNED",and($A333&lt;&gt;"",countif('3) Release_Label'!$D:$D,$A333)=0),"NO UPC MATCH in Release_Label",and($B333&lt;&gt;"",countif('3) Release_Label'!$E:$E,$B333)=0),"NO CATALOG ID MATCH in Release_Label",iserror(vlookup($A333&amp;$B333,'3) Release_Label'!$D:$D&amp;'3) Release_Label'!$E:$E,1,0)),"NO UPC-CATALOG ID pair MATCH in Release_Label" )</f>
        <v/>
      </c>
      <c r="D333" s="121" t="str">
        <f t="array" ref="D333">ifs(and(isblank($A333),isblank($B333)),"", not(iserror(vlookup($A333&amp;$B333,'3) Release_Label'!$D:$D&amp;'3) Release_Label'!$E:$E,1,0))),vlookup($A333&amp;$B333,{'3) Release_Label'!$D:$D&amp;'3) Release_Label'!$E:$E,'3) Release_Label'!$H:$H},2,0), or(and(not(isblank($B333)),$B333=$B332,$A333&lt;&gt;$A332),and(not(isblank($A333)),$A333=$A332,$B333&lt;&gt;$B332)),"ID LISTS UNALIGNED",and($A333&lt;&gt;"",countif('3) Release_Label'!$D:$D,$A333)=0),"NO UPC MATCH in Release_Label",and($B333&lt;&gt;"",countif('3) Release_Label'!$E:$E,$B333)=0),"NO CATALOG ID MATCH in Release_Label",iserror(vlookup($A333&amp;$B333,'3) Release_Label'!$D:$D&amp;'3) Release_Label'!$E:$E,1,0)),"NO UPC-CATALOG ID pair MATCH in Release_Label" )</f>
        <v/>
      </c>
      <c r="E333" s="141" t="str">
        <f t="shared" si="2"/>
        <v/>
      </c>
      <c r="G333" s="103"/>
      <c r="H333" s="152"/>
      <c r="J333" s="99"/>
      <c r="K333" s="104"/>
      <c r="L333" s="99"/>
      <c r="N333" s="99"/>
      <c r="O333" s="99"/>
      <c r="P333" s="34"/>
    </row>
    <row r="334">
      <c r="A334" s="100"/>
      <c r="B334" s="103"/>
      <c r="C334" s="121" t="str">
        <f t="array" ref="C334">ifs(and(isblank($A334),isblank($B334)),"", not(iserror(vlookup($A334&amp;$B334,'3) Release_Label'!$D:$D&amp;'3) Release_Label'!$E:$E,1,0))),vlookup($A334&amp;$B334,{'3) Release_Label'!$D:$D&amp;'3) Release_Label'!$E:$E,'3) Release_Label'!$F:$F},2,0), or(and(not(isblank($B334)),$B334=$B333,$A334&lt;&gt;$A333),and(not(isblank($A334)),$A334=$A333,$B334&lt;&gt;$B333)),"ID LISTS UNALIGNED",and($A334&lt;&gt;"",countif('3) Release_Label'!$D:$D,$A334)=0),"NO UPC MATCH in Release_Label",and($B334&lt;&gt;"",countif('3) Release_Label'!$E:$E,$B334)=0),"NO CATALOG ID MATCH in Release_Label",iserror(vlookup($A334&amp;$B334,'3) Release_Label'!$D:$D&amp;'3) Release_Label'!$E:$E,1,0)),"NO UPC-CATALOG ID pair MATCH in Release_Label" )</f>
        <v/>
      </c>
      <c r="D334" s="121" t="str">
        <f t="array" ref="D334">ifs(and(isblank($A334),isblank($B334)),"", not(iserror(vlookup($A334&amp;$B334,'3) Release_Label'!$D:$D&amp;'3) Release_Label'!$E:$E,1,0))),vlookup($A334&amp;$B334,{'3) Release_Label'!$D:$D&amp;'3) Release_Label'!$E:$E,'3) Release_Label'!$H:$H},2,0), or(and(not(isblank($B334)),$B334=$B333,$A334&lt;&gt;$A333),and(not(isblank($A334)),$A334=$A333,$B334&lt;&gt;$B333)),"ID LISTS UNALIGNED",and($A334&lt;&gt;"",countif('3) Release_Label'!$D:$D,$A334)=0),"NO UPC MATCH in Release_Label",and($B334&lt;&gt;"",countif('3) Release_Label'!$E:$E,$B334)=0),"NO CATALOG ID MATCH in Release_Label",iserror(vlookup($A334&amp;$B334,'3) Release_Label'!$D:$D&amp;'3) Release_Label'!$E:$E,1,0)),"NO UPC-CATALOG ID pair MATCH in Release_Label" )</f>
        <v/>
      </c>
      <c r="E334" s="141" t="str">
        <f t="shared" si="2"/>
        <v/>
      </c>
      <c r="G334" s="103"/>
      <c r="H334" s="152"/>
      <c r="J334" s="99"/>
      <c r="K334" s="104"/>
      <c r="L334" s="99"/>
      <c r="N334" s="99"/>
      <c r="O334" s="99"/>
      <c r="P334" s="34"/>
    </row>
    <row r="335">
      <c r="A335" s="100"/>
      <c r="B335" s="103"/>
      <c r="C335" s="121" t="str">
        <f t="array" ref="C335">ifs(and(isblank($A335),isblank($B335)),"", not(iserror(vlookup($A335&amp;$B335,'3) Release_Label'!$D:$D&amp;'3) Release_Label'!$E:$E,1,0))),vlookup($A335&amp;$B335,{'3) Release_Label'!$D:$D&amp;'3) Release_Label'!$E:$E,'3) Release_Label'!$F:$F},2,0), or(and(not(isblank($B335)),$B335=$B334,$A335&lt;&gt;$A334),and(not(isblank($A335)),$A335=$A334,$B335&lt;&gt;$B334)),"ID LISTS UNALIGNED",and($A335&lt;&gt;"",countif('3) Release_Label'!$D:$D,$A335)=0),"NO UPC MATCH in Release_Label",and($B335&lt;&gt;"",countif('3) Release_Label'!$E:$E,$B335)=0),"NO CATALOG ID MATCH in Release_Label",iserror(vlookup($A335&amp;$B335,'3) Release_Label'!$D:$D&amp;'3) Release_Label'!$E:$E,1,0)),"NO UPC-CATALOG ID pair MATCH in Release_Label" )</f>
        <v/>
      </c>
      <c r="D335" s="121" t="str">
        <f t="array" ref="D335">ifs(and(isblank($A335),isblank($B335)),"", not(iserror(vlookup($A335&amp;$B335,'3) Release_Label'!$D:$D&amp;'3) Release_Label'!$E:$E,1,0))),vlookup($A335&amp;$B335,{'3) Release_Label'!$D:$D&amp;'3) Release_Label'!$E:$E,'3) Release_Label'!$H:$H},2,0), or(and(not(isblank($B335)),$B335=$B334,$A335&lt;&gt;$A334),and(not(isblank($A335)),$A335=$A334,$B335&lt;&gt;$B334)),"ID LISTS UNALIGNED",and($A335&lt;&gt;"",countif('3) Release_Label'!$D:$D,$A335)=0),"NO UPC MATCH in Release_Label",and($B335&lt;&gt;"",countif('3) Release_Label'!$E:$E,$B335)=0),"NO CATALOG ID MATCH in Release_Label",iserror(vlookup($A335&amp;$B335,'3) Release_Label'!$D:$D&amp;'3) Release_Label'!$E:$E,1,0)),"NO UPC-CATALOG ID pair MATCH in Release_Label" )</f>
        <v/>
      </c>
      <c r="E335" s="141" t="str">
        <f t="shared" si="2"/>
        <v/>
      </c>
      <c r="G335" s="103"/>
      <c r="H335" s="152"/>
      <c r="J335" s="99"/>
      <c r="K335" s="104"/>
      <c r="L335" s="99"/>
      <c r="N335" s="99"/>
      <c r="O335" s="99"/>
      <c r="P335" s="34"/>
    </row>
    <row r="336">
      <c r="A336" s="100"/>
      <c r="B336" s="103"/>
      <c r="C336" s="121" t="str">
        <f t="array" ref="C336">ifs(and(isblank($A336),isblank($B336)),"", not(iserror(vlookup($A336&amp;$B336,'3) Release_Label'!$D:$D&amp;'3) Release_Label'!$E:$E,1,0))),vlookup($A336&amp;$B336,{'3) Release_Label'!$D:$D&amp;'3) Release_Label'!$E:$E,'3) Release_Label'!$F:$F},2,0), or(and(not(isblank($B336)),$B336=$B335,$A336&lt;&gt;$A335),and(not(isblank($A336)),$A336=$A335,$B336&lt;&gt;$B335)),"ID LISTS UNALIGNED",and($A336&lt;&gt;"",countif('3) Release_Label'!$D:$D,$A336)=0),"NO UPC MATCH in Release_Label",and($B336&lt;&gt;"",countif('3) Release_Label'!$E:$E,$B336)=0),"NO CATALOG ID MATCH in Release_Label",iserror(vlookup($A336&amp;$B336,'3) Release_Label'!$D:$D&amp;'3) Release_Label'!$E:$E,1,0)),"NO UPC-CATALOG ID pair MATCH in Release_Label" )</f>
        <v/>
      </c>
      <c r="D336" s="121" t="str">
        <f t="array" ref="D336">ifs(and(isblank($A336),isblank($B336)),"", not(iserror(vlookup($A336&amp;$B336,'3) Release_Label'!$D:$D&amp;'3) Release_Label'!$E:$E,1,0))),vlookup($A336&amp;$B336,{'3) Release_Label'!$D:$D&amp;'3) Release_Label'!$E:$E,'3) Release_Label'!$H:$H},2,0), or(and(not(isblank($B336)),$B336=$B335,$A336&lt;&gt;$A335),and(not(isblank($A336)),$A336=$A335,$B336&lt;&gt;$B335)),"ID LISTS UNALIGNED",and($A336&lt;&gt;"",countif('3) Release_Label'!$D:$D,$A336)=0),"NO UPC MATCH in Release_Label",and($B336&lt;&gt;"",countif('3) Release_Label'!$E:$E,$B336)=0),"NO CATALOG ID MATCH in Release_Label",iserror(vlookup($A336&amp;$B336,'3) Release_Label'!$D:$D&amp;'3) Release_Label'!$E:$E,1,0)),"NO UPC-CATALOG ID pair MATCH in Release_Label" )</f>
        <v/>
      </c>
      <c r="E336" s="141" t="str">
        <f t="shared" si="2"/>
        <v/>
      </c>
      <c r="G336" s="103"/>
      <c r="H336" s="152"/>
      <c r="J336" s="99"/>
      <c r="K336" s="104"/>
      <c r="L336" s="99"/>
      <c r="N336" s="99"/>
      <c r="O336" s="99"/>
      <c r="P336" s="34"/>
    </row>
    <row r="337">
      <c r="A337" s="100"/>
      <c r="B337" s="103"/>
      <c r="C337" s="121" t="str">
        <f t="array" ref="C337">ifs(and(isblank($A337),isblank($B337)),"", not(iserror(vlookup($A337&amp;$B337,'3) Release_Label'!$D:$D&amp;'3) Release_Label'!$E:$E,1,0))),vlookup($A337&amp;$B337,{'3) Release_Label'!$D:$D&amp;'3) Release_Label'!$E:$E,'3) Release_Label'!$F:$F},2,0), or(and(not(isblank($B337)),$B337=$B336,$A337&lt;&gt;$A336),and(not(isblank($A337)),$A337=$A336,$B337&lt;&gt;$B336)),"ID LISTS UNALIGNED",and($A337&lt;&gt;"",countif('3) Release_Label'!$D:$D,$A337)=0),"NO UPC MATCH in Release_Label",and($B337&lt;&gt;"",countif('3) Release_Label'!$E:$E,$B337)=0),"NO CATALOG ID MATCH in Release_Label",iserror(vlookup($A337&amp;$B337,'3) Release_Label'!$D:$D&amp;'3) Release_Label'!$E:$E,1,0)),"NO UPC-CATALOG ID pair MATCH in Release_Label" )</f>
        <v/>
      </c>
      <c r="D337" s="121" t="str">
        <f t="array" ref="D337">ifs(and(isblank($A337),isblank($B337)),"", not(iserror(vlookup($A337&amp;$B337,'3) Release_Label'!$D:$D&amp;'3) Release_Label'!$E:$E,1,0))),vlookup($A337&amp;$B337,{'3) Release_Label'!$D:$D&amp;'3) Release_Label'!$E:$E,'3) Release_Label'!$H:$H},2,0), or(and(not(isblank($B337)),$B337=$B336,$A337&lt;&gt;$A336),and(not(isblank($A337)),$A337=$A336,$B337&lt;&gt;$B336)),"ID LISTS UNALIGNED",and($A337&lt;&gt;"",countif('3) Release_Label'!$D:$D,$A337)=0),"NO UPC MATCH in Release_Label",and($B337&lt;&gt;"",countif('3) Release_Label'!$E:$E,$B337)=0),"NO CATALOG ID MATCH in Release_Label",iserror(vlookup($A337&amp;$B337,'3) Release_Label'!$D:$D&amp;'3) Release_Label'!$E:$E,1,0)),"NO UPC-CATALOG ID pair MATCH in Release_Label" )</f>
        <v/>
      </c>
      <c r="E337" s="141" t="str">
        <f t="shared" si="2"/>
        <v/>
      </c>
      <c r="G337" s="103"/>
      <c r="H337" s="152"/>
      <c r="J337" s="99"/>
      <c r="K337" s="104"/>
      <c r="L337" s="99"/>
      <c r="N337" s="99"/>
      <c r="O337" s="99"/>
      <c r="P337" s="34"/>
    </row>
    <row r="338">
      <c r="A338" s="100"/>
      <c r="B338" s="103"/>
      <c r="C338" s="121" t="str">
        <f t="array" ref="C338">ifs(and(isblank($A338),isblank($B338)),"", not(iserror(vlookup($A338&amp;$B338,'3) Release_Label'!$D:$D&amp;'3) Release_Label'!$E:$E,1,0))),vlookup($A338&amp;$B338,{'3) Release_Label'!$D:$D&amp;'3) Release_Label'!$E:$E,'3) Release_Label'!$F:$F},2,0), or(and(not(isblank($B338)),$B338=$B337,$A338&lt;&gt;$A337),and(not(isblank($A338)),$A338=$A337,$B338&lt;&gt;$B337)),"ID LISTS UNALIGNED",and($A338&lt;&gt;"",countif('3) Release_Label'!$D:$D,$A338)=0),"NO UPC MATCH in Release_Label",and($B338&lt;&gt;"",countif('3) Release_Label'!$E:$E,$B338)=0),"NO CATALOG ID MATCH in Release_Label",iserror(vlookup($A338&amp;$B338,'3) Release_Label'!$D:$D&amp;'3) Release_Label'!$E:$E,1,0)),"NO UPC-CATALOG ID pair MATCH in Release_Label" )</f>
        <v/>
      </c>
      <c r="D338" s="121" t="str">
        <f t="array" ref="D338">ifs(and(isblank($A338),isblank($B338)),"", not(iserror(vlookup($A338&amp;$B338,'3) Release_Label'!$D:$D&amp;'3) Release_Label'!$E:$E,1,0))),vlookup($A338&amp;$B338,{'3) Release_Label'!$D:$D&amp;'3) Release_Label'!$E:$E,'3) Release_Label'!$H:$H},2,0), or(and(not(isblank($B338)),$B338=$B337,$A338&lt;&gt;$A337),and(not(isblank($A338)),$A338=$A337,$B338&lt;&gt;$B337)),"ID LISTS UNALIGNED",and($A338&lt;&gt;"",countif('3) Release_Label'!$D:$D,$A338)=0),"NO UPC MATCH in Release_Label",and($B338&lt;&gt;"",countif('3) Release_Label'!$E:$E,$B338)=0),"NO CATALOG ID MATCH in Release_Label",iserror(vlookup($A338&amp;$B338,'3) Release_Label'!$D:$D&amp;'3) Release_Label'!$E:$E,1,0)),"NO UPC-CATALOG ID pair MATCH in Release_Label" )</f>
        <v/>
      </c>
      <c r="E338" s="141" t="str">
        <f t="shared" si="2"/>
        <v/>
      </c>
      <c r="G338" s="103"/>
      <c r="H338" s="152"/>
      <c r="J338" s="99"/>
      <c r="K338" s="104"/>
      <c r="L338" s="99"/>
      <c r="N338" s="99"/>
      <c r="O338" s="99"/>
      <c r="P338" s="34"/>
    </row>
    <row r="339">
      <c r="A339" s="100"/>
      <c r="B339" s="103"/>
      <c r="C339" s="121" t="str">
        <f t="array" ref="C339">ifs(and(isblank($A339),isblank($B339)),"", not(iserror(vlookup($A339&amp;$B339,'3) Release_Label'!$D:$D&amp;'3) Release_Label'!$E:$E,1,0))),vlookup($A339&amp;$B339,{'3) Release_Label'!$D:$D&amp;'3) Release_Label'!$E:$E,'3) Release_Label'!$F:$F},2,0), or(and(not(isblank($B339)),$B339=$B338,$A339&lt;&gt;$A338),and(not(isblank($A339)),$A339=$A338,$B339&lt;&gt;$B338)),"ID LISTS UNALIGNED",and($A339&lt;&gt;"",countif('3) Release_Label'!$D:$D,$A339)=0),"NO UPC MATCH in Release_Label",and($B339&lt;&gt;"",countif('3) Release_Label'!$E:$E,$B339)=0),"NO CATALOG ID MATCH in Release_Label",iserror(vlookup($A339&amp;$B339,'3) Release_Label'!$D:$D&amp;'3) Release_Label'!$E:$E,1,0)),"NO UPC-CATALOG ID pair MATCH in Release_Label" )</f>
        <v/>
      </c>
      <c r="D339" s="121" t="str">
        <f t="array" ref="D339">ifs(and(isblank($A339),isblank($B339)),"", not(iserror(vlookup($A339&amp;$B339,'3) Release_Label'!$D:$D&amp;'3) Release_Label'!$E:$E,1,0))),vlookup($A339&amp;$B339,{'3) Release_Label'!$D:$D&amp;'3) Release_Label'!$E:$E,'3) Release_Label'!$H:$H},2,0), or(and(not(isblank($B339)),$B339=$B338,$A339&lt;&gt;$A338),and(not(isblank($A339)),$A339=$A338,$B339&lt;&gt;$B338)),"ID LISTS UNALIGNED",and($A339&lt;&gt;"",countif('3) Release_Label'!$D:$D,$A339)=0),"NO UPC MATCH in Release_Label",and($B339&lt;&gt;"",countif('3) Release_Label'!$E:$E,$B339)=0),"NO CATALOG ID MATCH in Release_Label",iserror(vlookup($A339&amp;$B339,'3) Release_Label'!$D:$D&amp;'3) Release_Label'!$E:$E,1,0)),"NO UPC-CATALOG ID pair MATCH in Release_Label" )</f>
        <v/>
      </c>
      <c r="E339" s="141" t="str">
        <f t="shared" si="2"/>
        <v/>
      </c>
      <c r="G339" s="103"/>
      <c r="H339" s="152"/>
      <c r="J339" s="99"/>
      <c r="K339" s="104"/>
      <c r="L339" s="99"/>
      <c r="N339" s="99"/>
      <c r="O339" s="99"/>
      <c r="P339" s="34"/>
    </row>
    <row r="340">
      <c r="A340" s="100"/>
      <c r="B340" s="103"/>
      <c r="C340" s="121" t="str">
        <f t="array" ref="C340">ifs(and(isblank($A340),isblank($B340)),"", not(iserror(vlookup($A340&amp;$B340,'3) Release_Label'!$D:$D&amp;'3) Release_Label'!$E:$E,1,0))),vlookup($A340&amp;$B340,{'3) Release_Label'!$D:$D&amp;'3) Release_Label'!$E:$E,'3) Release_Label'!$F:$F},2,0), or(and(not(isblank($B340)),$B340=$B339,$A340&lt;&gt;$A339),and(not(isblank($A340)),$A340=$A339,$B340&lt;&gt;$B339)),"ID LISTS UNALIGNED",and($A340&lt;&gt;"",countif('3) Release_Label'!$D:$D,$A340)=0),"NO UPC MATCH in Release_Label",and($B340&lt;&gt;"",countif('3) Release_Label'!$E:$E,$B340)=0),"NO CATALOG ID MATCH in Release_Label",iserror(vlookup($A340&amp;$B340,'3) Release_Label'!$D:$D&amp;'3) Release_Label'!$E:$E,1,0)),"NO UPC-CATALOG ID pair MATCH in Release_Label" )</f>
        <v/>
      </c>
      <c r="D340" s="121" t="str">
        <f t="array" ref="D340">ifs(and(isblank($A340),isblank($B340)),"", not(iserror(vlookup($A340&amp;$B340,'3) Release_Label'!$D:$D&amp;'3) Release_Label'!$E:$E,1,0))),vlookup($A340&amp;$B340,{'3) Release_Label'!$D:$D&amp;'3) Release_Label'!$E:$E,'3) Release_Label'!$H:$H},2,0), or(and(not(isblank($B340)),$B340=$B339,$A340&lt;&gt;$A339),and(not(isblank($A340)),$A340=$A339,$B340&lt;&gt;$B339)),"ID LISTS UNALIGNED",and($A340&lt;&gt;"",countif('3) Release_Label'!$D:$D,$A340)=0),"NO UPC MATCH in Release_Label",and($B340&lt;&gt;"",countif('3) Release_Label'!$E:$E,$B340)=0),"NO CATALOG ID MATCH in Release_Label",iserror(vlookup($A340&amp;$B340,'3) Release_Label'!$D:$D&amp;'3) Release_Label'!$E:$E,1,0)),"NO UPC-CATALOG ID pair MATCH in Release_Label" )</f>
        <v/>
      </c>
      <c r="E340" s="141" t="str">
        <f t="shared" si="2"/>
        <v/>
      </c>
      <c r="G340" s="103"/>
      <c r="H340" s="152"/>
      <c r="J340" s="99"/>
      <c r="K340" s="104"/>
      <c r="L340" s="99"/>
      <c r="N340" s="99"/>
      <c r="O340" s="99"/>
      <c r="P340" s="34"/>
    </row>
    <row r="341">
      <c r="A341" s="100"/>
      <c r="B341" s="103"/>
      <c r="C341" s="121" t="str">
        <f t="array" ref="C341">ifs(and(isblank($A341),isblank($B341)),"", not(iserror(vlookup($A341&amp;$B341,'3) Release_Label'!$D:$D&amp;'3) Release_Label'!$E:$E,1,0))),vlookup($A341&amp;$B341,{'3) Release_Label'!$D:$D&amp;'3) Release_Label'!$E:$E,'3) Release_Label'!$F:$F},2,0), or(and(not(isblank($B341)),$B341=$B340,$A341&lt;&gt;$A340),and(not(isblank($A341)),$A341=$A340,$B341&lt;&gt;$B340)),"ID LISTS UNALIGNED",and($A341&lt;&gt;"",countif('3) Release_Label'!$D:$D,$A341)=0),"NO UPC MATCH in Release_Label",and($B341&lt;&gt;"",countif('3) Release_Label'!$E:$E,$B341)=0),"NO CATALOG ID MATCH in Release_Label",iserror(vlookup($A341&amp;$B341,'3) Release_Label'!$D:$D&amp;'3) Release_Label'!$E:$E,1,0)),"NO UPC-CATALOG ID pair MATCH in Release_Label" )</f>
        <v/>
      </c>
      <c r="D341" s="121" t="str">
        <f t="array" ref="D341">ifs(and(isblank($A341),isblank($B341)),"", not(iserror(vlookup($A341&amp;$B341,'3) Release_Label'!$D:$D&amp;'3) Release_Label'!$E:$E,1,0))),vlookup($A341&amp;$B341,{'3) Release_Label'!$D:$D&amp;'3) Release_Label'!$E:$E,'3) Release_Label'!$H:$H},2,0), or(and(not(isblank($B341)),$B341=$B340,$A341&lt;&gt;$A340),and(not(isblank($A341)),$A341=$A340,$B341&lt;&gt;$B340)),"ID LISTS UNALIGNED",and($A341&lt;&gt;"",countif('3) Release_Label'!$D:$D,$A341)=0),"NO UPC MATCH in Release_Label",and($B341&lt;&gt;"",countif('3) Release_Label'!$E:$E,$B341)=0),"NO CATALOG ID MATCH in Release_Label",iserror(vlookup($A341&amp;$B341,'3) Release_Label'!$D:$D&amp;'3) Release_Label'!$E:$E,1,0)),"NO UPC-CATALOG ID pair MATCH in Release_Label" )</f>
        <v/>
      </c>
      <c r="E341" s="141" t="str">
        <f t="shared" si="2"/>
        <v/>
      </c>
      <c r="G341" s="103"/>
      <c r="H341" s="152"/>
      <c r="J341" s="99"/>
      <c r="K341" s="104"/>
      <c r="L341" s="99"/>
      <c r="N341" s="99"/>
      <c r="O341" s="99"/>
      <c r="P341" s="34"/>
    </row>
    <row r="342">
      <c r="A342" s="100"/>
      <c r="B342" s="103"/>
      <c r="C342" s="121" t="str">
        <f t="array" ref="C342">ifs(and(isblank($A342),isblank($B342)),"", not(iserror(vlookup($A342&amp;$B342,'3) Release_Label'!$D:$D&amp;'3) Release_Label'!$E:$E,1,0))),vlookup($A342&amp;$B342,{'3) Release_Label'!$D:$D&amp;'3) Release_Label'!$E:$E,'3) Release_Label'!$F:$F},2,0), or(and(not(isblank($B342)),$B342=$B341,$A342&lt;&gt;$A341),and(not(isblank($A342)),$A342=$A341,$B342&lt;&gt;$B341)),"ID LISTS UNALIGNED",and($A342&lt;&gt;"",countif('3) Release_Label'!$D:$D,$A342)=0),"NO UPC MATCH in Release_Label",and($B342&lt;&gt;"",countif('3) Release_Label'!$E:$E,$B342)=0),"NO CATALOG ID MATCH in Release_Label",iserror(vlookup($A342&amp;$B342,'3) Release_Label'!$D:$D&amp;'3) Release_Label'!$E:$E,1,0)),"NO UPC-CATALOG ID pair MATCH in Release_Label" )</f>
        <v/>
      </c>
      <c r="D342" s="121" t="str">
        <f t="array" ref="D342">ifs(and(isblank($A342),isblank($B342)),"", not(iserror(vlookup($A342&amp;$B342,'3) Release_Label'!$D:$D&amp;'3) Release_Label'!$E:$E,1,0))),vlookup($A342&amp;$B342,{'3) Release_Label'!$D:$D&amp;'3) Release_Label'!$E:$E,'3) Release_Label'!$H:$H},2,0), or(and(not(isblank($B342)),$B342=$B341,$A342&lt;&gt;$A341),and(not(isblank($A342)),$A342=$A341,$B342&lt;&gt;$B341)),"ID LISTS UNALIGNED",and($A342&lt;&gt;"",countif('3) Release_Label'!$D:$D,$A342)=0),"NO UPC MATCH in Release_Label",and($B342&lt;&gt;"",countif('3) Release_Label'!$E:$E,$B342)=0),"NO CATALOG ID MATCH in Release_Label",iserror(vlookup($A342&amp;$B342,'3) Release_Label'!$D:$D&amp;'3) Release_Label'!$E:$E,1,0)),"NO UPC-CATALOG ID pair MATCH in Release_Label" )</f>
        <v/>
      </c>
      <c r="E342" s="141" t="str">
        <f t="shared" si="2"/>
        <v/>
      </c>
      <c r="G342" s="103"/>
      <c r="H342" s="152"/>
      <c r="J342" s="99"/>
      <c r="K342" s="104"/>
      <c r="L342" s="99"/>
      <c r="N342" s="99"/>
      <c r="O342" s="99"/>
      <c r="P342" s="34"/>
    </row>
    <row r="343">
      <c r="A343" s="100"/>
      <c r="B343" s="103"/>
      <c r="C343" s="121" t="str">
        <f t="array" ref="C343">ifs(and(isblank($A343),isblank($B343)),"", not(iserror(vlookup($A343&amp;$B343,'3) Release_Label'!$D:$D&amp;'3) Release_Label'!$E:$E,1,0))),vlookup($A343&amp;$B343,{'3) Release_Label'!$D:$D&amp;'3) Release_Label'!$E:$E,'3) Release_Label'!$F:$F},2,0), or(and(not(isblank($B343)),$B343=$B342,$A343&lt;&gt;$A342),and(not(isblank($A343)),$A343=$A342,$B343&lt;&gt;$B342)),"ID LISTS UNALIGNED",and($A343&lt;&gt;"",countif('3) Release_Label'!$D:$D,$A343)=0),"NO UPC MATCH in Release_Label",and($B343&lt;&gt;"",countif('3) Release_Label'!$E:$E,$B343)=0),"NO CATALOG ID MATCH in Release_Label",iserror(vlookup($A343&amp;$B343,'3) Release_Label'!$D:$D&amp;'3) Release_Label'!$E:$E,1,0)),"NO UPC-CATALOG ID pair MATCH in Release_Label" )</f>
        <v/>
      </c>
      <c r="D343" s="121" t="str">
        <f t="array" ref="D343">ifs(and(isblank($A343),isblank($B343)),"", not(iserror(vlookup($A343&amp;$B343,'3) Release_Label'!$D:$D&amp;'3) Release_Label'!$E:$E,1,0))),vlookup($A343&amp;$B343,{'3) Release_Label'!$D:$D&amp;'3) Release_Label'!$E:$E,'3) Release_Label'!$H:$H},2,0), or(and(not(isblank($B343)),$B343=$B342,$A343&lt;&gt;$A342),and(not(isblank($A343)),$A343=$A342,$B343&lt;&gt;$B342)),"ID LISTS UNALIGNED",and($A343&lt;&gt;"",countif('3) Release_Label'!$D:$D,$A343)=0),"NO UPC MATCH in Release_Label",and($B343&lt;&gt;"",countif('3) Release_Label'!$E:$E,$B343)=0),"NO CATALOG ID MATCH in Release_Label",iserror(vlookup($A343&amp;$B343,'3) Release_Label'!$D:$D&amp;'3) Release_Label'!$E:$E,1,0)),"NO UPC-CATALOG ID pair MATCH in Release_Label" )</f>
        <v/>
      </c>
      <c r="E343" s="141" t="str">
        <f t="shared" si="2"/>
        <v/>
      </c>
      <c r="G343" s="103"/>
      <c r="H343" s="152"/>
      <c r="J343" s="99"/>
      <c r="K343" s="104"/>
      <c r="L343" s="99"/>
      <c r="N343" s="99"/>
      <c r="O343" s="99"/>
      <c r="P343" s="34"/>
    </row>
    <row r="344">
      <c r="A344" s="100"/>
      <c r="B344" s="103"/>
      <c r="C344" s="121" t="str">
        <f t="array" ref="C344">ifs(and(isblank($A344),isblank($B344)),"", not(iserror(vlookup($A344&amp;$B344,'3) Release_Label'!$D:$D&amp;'3) Release_Label'!$E:$E,1,0))),vlookup($A344&amp;$B344,{'3) Release_Label'!$D:$D&amp;'3) Release_Label'!$E:$E,'3) Release_Label'!$F:$F},2,0), or(and(not(isblank($B344)),$B344=$B343,$A344&lt;&gt;$A343),and(not(isblank($A344)),$A344=$A343,$B344&lt;&gt;$B343)),"ID LISTS UNALIGNED",and($A344&lt;&gt;"",countif('3) Release_Label'!$D:$D,$A344)=0),"NO UPC MATCH in Release_Label",and($B344&lt;&gt;"",countif('3) Release_Label'!$E:$E,$B344)=0),"NO CATALOG ID MATCH in Release_Label",iserror(vlookup($A344&amp;$B344,'3) Release_Label'!$D:$D&amp;'3) Release_Label'!$E:$E,1,0)),"NO UPC-CATALOG ID pair MATCH in Release_Label" )</f>
        <v/>
      </c>
      <c r="D344" s="121" t="str">
        <f t="array" ref="D344">ifs(and(isblank($A344),isblank($B344)),"", not(iserror(vlookup($A344&amp;$B344,'3) Release_Label'!$D:$D&amp;'3) Release_Label'!$E:$E,1,0))),vlookup($A344&amp;$B344,{'3) Release_Label'!$D:$D&amp;'3) Release_Label'!$E:$E,'3) Release_Label'!$H:$H},2,0), or(and(not(isblank($B344)),$B344=$B343,$A344&lt;&gt;$A343),and(not(isblank($A344)),$A344=$A343,$B344&lt;&gt;$B343)),"ID LISTS UNALIGNED",and($A344&lt;&gt;"",countif('3) Release_Label'!$D:$D,$A344)=0),"NO UPC MATCH in Release_Label",and($B344&lt;&gt;"",countif('3) Release_Label'!$E:$E,$B344)=0),"NO CATALOG ID MATCH in Release_Label",iserror(vlookup($A344&amp;$B344,'3) Release_Label'!$D:$D&amp;'3) Release_Label'!$E:$E,1,0)),"NO UPC-CATALOG ID pair MATCH in Release_Label" )</f>
        <v/>
      </c>
      <c r="E344" s="141" t="str">
        <f t="shared" si="2"/>
        <v/>
      </c>
      <c r="G344" s="103"/>
      <c r="H344" s="152"/>
      <c r="J344" s="99"/>
      <c r="K344" s="104"/>
      <c r="L344" s="99"/>
      <c r="N344" s="99"/>
      <c r="O344" s="99"/>
      <c r="P344" s="34"/>
    </row>
    <row r="345">
      <c r="A345" s="100"/>
      <c r="B345" s="103"/>
      <c r="C345" s="121" t="str">
        <f t="array" ref="C345">ifs(and(isblank($A345),isblank($B345)),"", not(iserror(vlookup($A345&amp;$B345,'3) Release_Label'!$D:$D&amp;'3) Release_Label'!$E:$E,1,0))),vlookup($A345&amp;$B345,{'3) Release_Label'!$D:$D&amp;'3) Release_Label'!$E:$E,'3) Release_Label'!$F:$F},2,0), or(and(not(isblank($B345)),$B345=$B344,$A345&lt;&gt;$A344),and(not(isblank($A345)),$A345=$A344,$B345&lt;&gt;$B344)),"ID LISTS UNALIGNED",and($A345&lt;&gt;"",countif('3) Release_Label'!$D:$D,$A345)=0),"NO UPC MATCH in Release_Label",and($B345&lt;&gt;"",countif('3) Release_Label'!$E:$E,$B345)=0),"NO CATALOG ID MATCH in Release_Label",iserror(vlookup($A345&amp;$B345,'3) Release_Label'!$D:$D&amp;'3) Release_Label'!$E:$E,1,0)),"NO UPC-CATALOG ID pair MATCH in Release_Label" )</f>
        <v/>
      </c>
      <c r="D345" s="121" t="str">
        <f t="array" ref="D345">ifs(and(isblank($A345),isblank($B345)),"", not(iserror(vlookup($A345&amp;$B345,'3) Release_Label'!$D:$D&amp;'3) Release_Label'!$E:$E,1,0))),vlookup($A345&amp;$B345,{'3) Release_Label'!$D:$D&amp;'3) Release_Label'!$E:$E,'3) Release_Label'!$H:$H},2,0), or(and(not(isblank($B345)),$B345=$B344,$A345&lt;&gt;$A344),and(not(isblank($A345)),$A345=$A344,$B345&lt;&gt;$B344)),"ID LISTS UNALIGNED",and($A345&lt;&gt;"",countif('3) Release_Label'!$D:$D,$A345)=0),"NO UPC MATCH in Release_Label",and($B345&lt;&gt;"",countif('3) Release_Label'!$E:$E,$B345)=0),"NO CATALOG ID MATCH in Release_Label",iserror(vlookup($A345&amp;$B345,'3) Release_Label'!$D:$D&amp;'3) Release_Label'!$E:$E,1,0)),"NO UPC-CATALOG ID pair MATCH in Release_Label" )</f>
        <v/>
      </c>
      <c r="E345" s="141" t="str">
        <f t="shared" si="2"/>
        <v/>
      </c>
      <c r="G345" s="103"/>
      <c r="H345" s="152"/>
      <c r="J345" s="99"/>
      <c r="K345" s="104"/>
      <c r="L345" s="99"/>
      <c r="N345" s="99"/>
      <c r="O345" s="99"/>
      <c r="P345" s="34"/>
    </row>
    <row r="346">
      <c r="A346" s="100"/>
      <c r="B346" s="103"/>
      <c r="C346" s="121" t="str">
        <f t="array" ref="C346">ifs(and(isblank($A346),isblank($B346)),"", not(iserror(vlookup($A346&amp;$B346,'3) Release_Label'!$D:$D&amp;'3) Release_Label'!$E:$E,1,0))),vlookup($A346&amp;$B346,{'3) Release_Label'!$D:$D&amp;'3) Release_Label'!$E:$E,'3) Release_Label'!$F:$F},2,0), or(and(not(isblank($B346)),$B346=$B345,$A346&lt;&gt;$A345),and(not(isblank($A346)),$A346=$A345,$B346&lt;&gt;$B345)),"ID LISTS UNALIGNED",and($A346&lt;&gt;"",countif('3) Release_Label'!$D:$D,$A346)=0),"NO UPC MATCH in Release_Label",and($B346&lt;&gt;"",countif('3) Release_Label'!$E:$E,$B346)=0),"NO CATALOG ID MATCH in Release_Label",iserror(vlookup($A346&amp;$B346,'3) Release_Label'!$D:$D&amp;'3) Release_Label'!$E:$E,1,0)),"NO UPC-CATALOG ID pair MATCH in Release_Label" )</f>
        <v/>
      </c>
      <c r="D346" s="121" t="str">
        <f t="array" ref="D346">ifs(and(isblank($A346),isblank($B346)),"", not(iserror(vlookup($A346&amp;$B346,'3) Release_Label'!$D:$D&amp;'3) Release_Label'!$E:$E,1,0))),vlookup($A346&amp;$B346,{'3) Release_Label'!$D:$D&amp;'3) Release_Label'!$E:$E,'3) Release_Label'!$H:$H},2,0), or(and(not(isblank($B346)),$B346=$B345,$A346&lt;&gt;$A345),and(not(isblank($A346)),$A346=$A345,$B346&lt;&gt;$B345)),"ID LISTS UNALIGNED",and($A346&lt;&gt;"",countif('3) Release_Label'!$D:$D,$A346)=0),"NO UPC MATCH in Release_Label",and($B346&lt;&gt;"",countif('3) Release_Label'!$E:$E,$B346)=0),"NO CATALOG ID MATCH in Release_Label",iserror(vlookup($A346&amp;$B346,'3) Release_Label'!$D:$D&amp;'3) Release_Label'!$E:$E,1,0)),"NO UPC-CATALOG ID pair MATCH in Release_Label" )</f>
        <v/>
      </c>
      <c r="E346" s="141" t="str">
        <f t="shared" si="2"/>
        <v/>
      </c>
      <c r="G346" s="103"/>
      <c r="H346" s="152"/>
      <c r="J346" s="99"/>
      <c r="K346" s="104"/>
      <c r="L346" s="99"/>
      <c r="N346" s="99"/>
      <c r="O346" s="99"/>
      <c r="P346" s="34"/>
    </row>
    <row r="347">
      <c r="A347" s="100"/>
      <c r="B347" s="103"/>
      <c r="C347" s="121" t="str">
        <f t="array" ref="C347">ifs(and(isblank($A347),isblank($B347)),"", not(iserror(vlookup($A347&amp;$B347,'3) Release_Label'!$D:$D&amp;'3) Release_Label'!$E:$E,1,0))),vlookup($A347&amp;$B347,{'3) Release_Label'!$D:$D&amp;'3) Release_Label'!$E:$E,'3) Release_Label'!$F:$F},2,0), or(and(not(isblank($B347)),$B347=$B346,$A347&lt;&gt;$A346),and(not(isblank($A347)),$A347=$A346,$B347&lt;&gt;$B346)),"ID LISTS UNALIGNED",and($A347&lt;&gt;"",countif('3) Release_Label'!$D:$D,$A347)=0),"NO UPC MATCH in Release_Label",and($B347&lt;&gt;"",countif('3) Release_Label'!$E:$E,$B347)=0),"NO CATALOG ID MATCH in Release_Label",iserror(vlookup($A347&amp;$B347,'3) Release_Label'!$D:$D&amp;'3) Release_Label'!$E:$E,1,0)),"NO UPC-CATALOG ID pair MATCH in Release_Label" )</f>
        <v/>
      </c>
      <c r="D347" s="121" t="str">
        <f t="array" ref="D347">ifs(and(isblank($A347),isblank($B347)),"", not(iserror(vlookup($A347&amp;$B347,'3) Release_Label'!$D:$D&amp;'3) Release_Label'!$E:$E,1,0))),vlookup($A347&amp;$B347,{'3) Release_Label'!$D:$D&amp;'3) Release_Label'!$E:$E,'3) Release_Label'!$H:$H},2,0), or(and(not(isblank($B347)),$B347=$B346,$A347&lt;&gt;$A346),and(not(isblank($A347)),$A347=$A346,$B347&lt;&gt;$B346)),"ID LISTS UNALIGNED",and($A347&lt;&gt;"",countif('3) Release_Label'!$D:$D,$A347)=0),"NO UPC MATCH in Release_Label",and($B347&lt;&gt;"",countif('3) Release_Label'!$E:$E,$B347)=0),"NO CATALOG ID MATCH in Release_Label",iserror(vlookup($A347&amp;$B347,'3) Release_Label'!$D:$D&amp;'3) Release_Label'!$E:$E,1,0)),"NO UPC-CATALOG ID pair MATCH in Release_Label" )</f>
        <v/>
      </c>
      <c r="E347" s="141" t="str">
        <f t="shared" si="2"/>
        <v/>
      </c>
      <c r="G347" s="103"/>
      <c r="H347" s="152"/>
      <c r="J347" s="99"/>
      <c r="K347" s="104"/>
      <c r="L347" s="99"/>
      <c r="N347" s="99"/>
      <c r="O347" s="99"/>
      <c r="P347" s="34"/>
    </row>
    <row r="348">
      <c r="A348" s="100"/>
      <c r="B348" s="103"/>
      <c r="C348" s="121" t="str">
        <f t="array" ref="C348">ifs(and(isblank($A348),isblank($B348)),"", not(iserror(vlookup($A348&amp;$B348,'3) Release_Label'!$D:$D&amp;'3) Release_Label'!$E:$E,1,0))),vlookup($A348&amp;$B348,{'3) Release_Label'!$D:$D&amp;'3) Release_Label'!$E:$E,'3) Release_Label'!$F:$F},2,0), or(and(not(isblank($B348)),$B348=$B347,$A348&lt;&gt;$A347),and(not(isblank($A348)),$A348=$A347,$B348&lt;&gt;$B347)),"ID LISTS UNALIGNED",and($A348&lt;&gt;"",countif('3) Release_Label'!$D:$D,$A348)=0),"NO UPC MATCH in Release_Label",and($B348&lt;&gt;"",countif('3) Release_Label'!$E:$E,$B348)=0),"NO CATALOG ID MATCH in Release_Label",iserror(vlookup($A348&amp;$B348,'3) Release_Label'!$D:$D&amp;'3) Release_Label'!$E:$E,1,0)),"NO UPC-CATALOG ID pair MATCH in Release_Label" )</f>
        <v/>
      </c>
      <c r="D348" s="121" t="str">
        <f t="array" ref="D348">ifs(and(isblank($A348),isblank($B348)),"", not(iserror(vlookup($A348&amp;$B348,'3) Release_Label'!$D:$D&amp;'3) Release_Label'!$E:$E,1,0))),vlookup($A348&amp;$B348,{'3) Release_Label'!$D:$D&amp;'3) Release_Label'!$E:$E,'3) Release_Label'!$H:$H},2,0), or(and(not(isblank($B348)),$B348=$B347,$A348&lt;&gt;$A347),and(not(isblank($A348)),$A348=$A347,$B348&lt;&gt;$B347)),"ID LISTS UNALIGNED",and($A348&lt;&gt;"",countif('3) Release_Label'!$D:$D,$A348)=0),"NO UPC MATCH in Release_Label",and($B348&lt;&gt;"",countif('3) Release_Label'!$E:$E,$B348)=0),"NO CATALOG ID MATCH in Release_Label",iserror(vlookup($A348&amp;$B348,'3) Release_Label'!$D:$D&amp;'3) Release_Label'!$E:$E,1,0)),"NO UPC-CATALOG ID pair MATCH in Release_Label" )</f>
        <v/>
      </c>
      <c r="E348" s="141" t="str">
        <f t="shared" si="2"/>
        <v/>
      </c>
      <c r="G348" s="103"/>
      <c r="H348" s="152"/>
      <c r="J348" s="99"/>
      <c r="K348" s="104"/>
      <c r="L348" s="99"/>
      <c r="N348" s="99"/>
      <c r="O348" s="99"/>
      <c r="P348" s="34"/>
    </row>
    <row r="349">
      <c r="A349" s="100"/>
      <c r="B349" s="103"/>
      <c r="C349" s="121" t="str">
        <f t="array" ref="C349">ifs(and(isblank($A349),isblank($B349)),"", not(iserror(vlookup($A349&amp;$B349,'3) Release_Label'!$D:$D&amp;'3) Release_Label'!$E:$E,1,0))),vlookup($A349&amp;$B349,{'3) Release_Label'!$D:$D&amp;'3) Release_Label'!$E:$E,'3) Release_Label'!$F:$F},2,0), or(and(not(isblank($B349)),$B349=$B348,$A349&lt;&gt;$A348),and(not(isblank($A349)),$A349=$A348,$B349&lt;&gt;$B348)),"ID LISTS UNALIGNED",and($A349&lt;&gt;"",countif('3) Release_Label'!$D:$D,$A349)=0),"NO UPC MATCH in Release_Label",and($B349&lt;&gt;"",countif('3) Release_Label'!$E:$E,$B349)=0),"NO CATALOG ID MATCH in Release_Label",iserror(vlookup($A349&amp;$B349,'3) Release_Label'!$D:$D&amp;'3) Release_Label'!$E:$E,1,0)),"NO UPC-CATALOG ID pair MATCH in Release_Label" )</f>
        <v/>
      </c>
      <c r="D349" s="121" t="str">
        <f t="array" ref="D349">ifs(and(isblank($A349),isblank($B349)),"", not(iserror(vlookup($A349&amp;$B349,'3) Release_Label'!$D:$D&amp;'3) Release_Label'!$E:$E,1,0))),vlookup($A349&amp;$B349,{'3) Release_Label'!$D:$D&amp;'3) Release_Label'!$E:$E,'3) Release_Label'!$H:$H},2,0), or(and(not(isblank($B349)),$B349=$B348,$A349&lt;&gt;$A348),and(not(isblank($A349)),$A349=$A348,$B349&lt;&gt;$B348)),"ID LISTS UNALIGNED",and($A349&lt;&gt;"",countif('3) Release_Label'!$D:$D,$A349)=0),"NO UPC MATCH in Release_Label",and($B349&lt;&gt;"",countif('3) Release_Label'!$E:$E,$B349)=0),"NO CATALOG ID MATCH in Release_Label",iserror(vlookup($A349&amp;$B349,'3) Release_Label'!$D:$D&amp;'3) Release_Label'!$E:$E,1,0)),"NO UPC-CATALOG ID pair MATCH in Release_Label" )</f>
        <v/>
      </c>
      <c r="E349" s="141" t="str">
        <f t="shared" si="2"/>
        <v/>
      </c>
      <c r="G349" s="103"/>
      <c r="H349" s="152"/>
      <c r="J349" s="99"/>
      <c r="K349" s="104"/>
      <c r="L349" s="99"/>
      <c r="N349" s="99"/>
      <c r="O349" s="99"/>
      <c r="P349" s="34"/>
    </row>
    <row r="350">
      <c r="A350" s="100"/>
      <c r="B350" s="103"/>
      <c r="C350" s="121" t="str">
        <f t="array" ref="C350">ifs(and(isblank($A350),isblank($B350)),"", not(iserror(vlookup($A350&amp;$B350,'3) Release_Label'!$D:$D&amp;'3) Release_Label'!$E:$E,1,0))),vlookup($A350&amp;$B350,{'3) Release_Label'!$D:$D&amp;'3) Release_Label'!$E:$E,'3) Release_Label'!$F:$F},2,0), or(and(not(isblank($B350)),$B350=$B349,$A350&lt;&gt;$A349),and(not(isblank($A350)),$A350=$A349,$B350&lt;&gt;$B349)),"ID LISTS UNALIGNED",and($A350&lt;&gt;"",countif('3) Release_Label'!$D:$D,$A350)=0),"NO UPC MATCH in Release_Label",and($B350&lt;&gt;"",countif('3) Release_Label'!$E:$E,$B350)=0),"NO CATALOG ID MATCH in Release_Label",iserror(vlookup($A350&amp;$B350,'3) Release_Label'!$D:$D&amp;'3) Release_Label'!$E:$E,1,0)),"NO UPC-CATALOG ID pair MATCH in Release_Label" )</f>
        <v/>
      </c>
      <c r="D350" s="121" t="str">
        <f t="array" ref="D350">ifs(and(isblank($A350),isblank($B350)),"", not(iserror(vlookup($A350&amp;$B350,'3) Release_Label'!$D:$D&amp;'3) Release_Label'!$E:$E,1,0))),vlookup($A350&amp;$B350,{'3) Release_Label'!$D:$D&amp;'3) Release_Label'!$E:$E,'3) Release_Label'!$H:$H},2,0), or(and(not(isblank($B350)),$B350=$B349,$A350&lt;&gt;$A349),and(not(isblank($A350)),$A350=$A349,$B350&lt;&gt;$B349)),"ID LISTS UNALIGNED",and($A350&lt;&gt;"",countif('3) Release_Label'!$D:$D,$A350)=0),"NO UPC MATCH in Release_Label",and($B350&lt;&gt;"",countif('3) Release_Label'!$E:$E,$B350)=0),"NO CATALOG ID MATCH in Release_Label",iserror(vlookup($A350&amp;$B350,'3) Release_Label'!$D:$D&amp;'3) Release_Label'!$E:$E,1,0)),"NO UPC-CATALOG ID pair MATCH in Release_Label" )</f>
        <v/>
      </c>
      <c r="E350" s="141" t="str">
        <f t="shared" si="2"/>
        <v/>
      </c>
      <c r="G350" s="103"/>
      <c r="H350" s="152"/>
      <c r="J350" s="99"/>
      <c r="K350" s="104"/>
      <c r="L350" s="99"/>
      <c r="N350" s="99"/>
      <c r="O350" s="99"/>
      <c r="P350" s="34"/>
    </row>
    <row r="351">
      <c r="A351" s="100"/>
      <c r="B351" s="103"/>
      <c r="C351" s="121" t="str">
        <f t="array" ref="C351">ifs(and(isblank($A351),isblank($B351)),"", not(iserror(vlookup($A351&amp;$B351,'3) Release_Label'!$D:$D&amp;'3) Release_Label'!$E:$E,1,0))),vlookup($A351&amp;$B351,{'3) Release_Label'!$D:$D&amp;'3) Release_Label'!$E:$E,'3) Release_Label'!$F:$F},2,0), or(and(not(isblank($B351)),$B351=$B350,$A351&lt;&gt;$A350),and(not(isblank($A351)),$A351=$A350,$B351&lt;&gt;$B350)),"ID LISTS UNALIGNED",and($A351&lt;&gt;"",countif('3) Release_Label'!$D:$D,$A351)=0),"NO UPC MATCH in Release_Label",and($B351&lt;&gt;"",countif('3) Release_Label'!$E:$E,$B351)=0),"NO CATALOG ID MATCH in Release_Label",iserror(vlookup($A351&amp;$B351,'3) Release_Label'!$D:$D&amp;'3) Release_Label'!$E:$E,1,0)),"NO UPC-CATALOG ID pair MATCH in Release_Label" )</f>
        <v/>
      </c>
      <c r="D351" s="121" t="str">
        <f t="array" ref="D351">ifs(and(isblank($A351),isblank($B351)),"", not(iserror(vlookup($A351&amp;$B351,'3) Release_Label'!$D:$D&amp;'3) Release_Label'!$E:$E,1,0))),vlookup($A351&amp;$B351,{'3) Release_Label'!$D:$D&amp;'3) Release_Label'!$E:$E,'3) Release_Label'!$H:$H},2,0), or(and(not(isblank($B351)),$B351=$B350,$A351&lt;&gt;$A350),and(not(isblank($A351)),$A351=$A350,$B351&lt;&gt;$B350)),"ID LISTS UNALIGNED",and($A351&lt;&gt;"",countif('3) Release_Label'!$D:$D,$A351)=0),"NO UPC MATCH in Release_Label",and($B351&lt;&gt;"",countif('3) Release_Label'!$E:$E,$B351)=0),"NO CATALOG ID MATCH in Release_Label",iserror(vlookup($A351&amp;$B351,'3) Release_Label'!$D:$D&amp;'3) Release_Label'!$E:$E,1,0)),"NO UPC-CATALOG ID pair MATCH in Release_Label" )</f>
        <v/>
      </c>
      <c r="E351" s="141" t="str">
        <f t="shared" si="2"/>
        <v/>
      </c>
      <c r="G351" s="103"/>
      <c r="H351" s="152"/>
      <c r="J351" s="99"/>
      <c r="K351" s="104"/>
      <c r="L351" s="99"/>
      <c r="N351" s="99"/>
      <c r="O351" s="99"/>
      <c r="P351" s="34"/>
    </row>
    <row r="352">
      <c r="A352" s="100"/>
      <c r="B352" s="103"/>
      <c r="C352" s="121" t="str">
        <f t="array" ref="C352">ifs(and(isblank($A352),isblank($B352)),"", not(iserror(vlookup($A352&amp;$B352,'3) Release_Label'!$D:$D&amp;'3) Release_Label'!$E:$E,1,0))),vlookup($A352&amp;$B352,{'3) Release_Label'!$D:$D&amp;'3) Release_Label'!$E:$E,'3) Release_Label'!$F:$F},2,0), or(and(not(isblank($B352)),$B352=$B351,$A352&lt;&gt;$A351),and(not(isblank($A352)),$A352=$A351,$B352&lt;&gt;$B351)),"ID LISTS UNALIGNED",and($A352&lt;&gt;"",countif('3) Release_Label'!$D:$D,$A352)=0),"NO UPC MATCH in Release_Label",and($B352&lt;&gt;"",countif('3) Release_Label'!$E:$E,$B352)=0),"NO CATALOG ID MATCH in Release_Label",iserror(vlookup($A352&amp;$B352,'3) Release_Label'!$D:$D&amp;'3) Release_Label'!$E:$E,1,0)),"NO UPC-CATALOG ID pair MATCH in Release_Label" )</f>
        <v/>
      </c>
      <c r="D352" s="121" t="str">
        <f t="array" ref="D352">ifs(and(isblank($A352),isblank($B352)),"", not(iserror(vlookup($A352&amp;$B352,'3) Release_Label'!$D:$D&amp;'3) Release_Label'!$E:$E,1,0))),vlookup($A352&amp;$B352,{'3) Release_Label'!$D:$D&amp;'3) Release_Label'!$E:$E,'3) Release_Label'!$H:$H},2,0), or(and(not(isblank($B352)),$B352=$B351,$A352&lt;&gt;$A351),and(not(isblank($A352)),$A352=$A351,$B352&lt;&gt;$B351)),"ID LISTS UNALIGNED",and($A352&lt;&gt;"",countif('3) Release_Label'!$D:$D,$A352)=0),"NO UPC MATCH in Release_Label",and($B352&lt;&gt;"",countif('3) Release_Label'!$E:$E,$B352)=0),"NO CATALOG ID MATCH in Release_Label",iserror(vlookup($A352&amp;$B352,'3) Release_Label'!$D:$D&amp;'3) Release_Label'!$E:$E,1,0)),"NO UPC-CATALOG ID pair MATCH in Release_Label" )</f>
        <v/>
      </c>
      <c r="E352" s="141" t="str">
        <f t="shared" si="2"/>
        <v/>
      </c>
      <c r="G352" s="103"/>
      <c r="H352" s="152"/>
      <c r="J352" s="99"/>
      <c r="K352" s="104"/>
      <c r="L352" s="99"/>
      <c r="N352" s="99"/>
      <c r="O352" s="99"/>
      <c r="P352" s="34"/>
    </row>
    <row r="353">
      <c r="A353" s="100"/>
      <c r="B353" s="103"/>
      <c r="C353" s="121" t="str">
        <f t="array" ref="C353">ifs(and(isblank($A353),isblank($B353)),"", not(iserror(vlookup($A353&amp;$B353,'3) Release_Label'!$D:$D&amp;'3) Release_Label'!$E:$E,1,0))),vlookup($A353&amp;$B353,{'3) Release_Label'!$D:$D&amp;'3) Release_Label'!$E:$E,'3) Release_Label'!$F:$F},2,0), or(and(not(isblank($B353)),$B353=$B352,$A353&lt;&gt;$A352),and(not(isblank($A353)),$A353=$A352,$B353&lt;&gt;$B352)),"ID LISTS UNALIGNED",and($A353&lt;&gt;"",countif('3) Release_Label'!$D:$D,$A353)=0),"NO UPC MATCH in Release_Label",and($B353&lt;&gt;"",countif('3) Release_Label'!$E:$E,$B353)=0),"NO CATALOG ID MATCH in Release_Label",iserror(vlookup($A353&amp;$B353,'3) Release_Label'!$D:$D&amp;'3) Release_Label'!$E:$E,1,0)),"NO UPC-CATALOG ID pair MATCH in Release_Label" )</f>
        <v/>
      </c>
      <c r="D353" s="121" t="str">
        <f t="array" ref="D353">ifs(and(isblank($A353),isblank($B353)),"", not(iserror(vlookup($A353&amp;$B353,'3) Release_Label'!$D:$D&amp;'3) Release_Label'!$E:$E,1,0))),vlookup($A353&amp;$B353,{'3) Release_Label'!$D:$D&amp;'3) Release_Label'!$E:$E,'3) Release_Label'!$H:$H},2,0), or(and(not(isblank($B353)),$B353=$B352,$A353&lt;&gt;$A352),and(not(isblank($A353)),$A353=$A352,$B353&lt;&gt;$B352)),"ID LISTS UNALIGNED",and($A353&lt;&gt;"",countif('3) Release_Label'!$D:$D,$A353)=0),"NO UPC MATCH in Release_Label",and($B353&lt;&gt;"",countif('3) Release_Label'!$E:$E,$B353)=0),"NO CATALOG ID MATCH in Release_Label",iserror(vlookup($A353&amp;$B353,'3) Release_Label'!$D:$D&amp;'3) Release_Label'!$E:$E,1,0)),"NO UPC-CATALOG ID pair MATCH in Release_Label" )</f>
        <v/>
      </c>
      <c r="E353" s="141" t="str">
        <f t="shared" si="2"/>
        <v/>
      </c>
      <c r="G353" s="103"/>
      <c r="H353" s="152"/>
      <c r="J353" s="99"/>
      <c r="K353" s="104"/>
      <c r="L353" s="99"/>
      <c r="N353" s="99"/>
      <c r="O353" s="99"/>
      <c r="P353" s="34"/>
    </row>
    <row r="354">
      <c r="A354" s="100"/>
      <c r="B354" s="103"/>
      <c r="C354" s="121" t="str">
        <f t="array" ref="C354">ifs(and(isblank($A354),isblank($B354)),"", not(iserror(vlookup($A354&amp;$B354,'3) Release_Label'!$D:$D&amp;'3) Release_Label'!$E:$E,1,0))),vlookup($A354&amp;$B354,{'3) Release_Label'!$D:$D&amp;'3) Release_Label'!$E:$E,'3) Release_Label'!$F:$F},2,0), or(and(not(isblank($B354)),$B354=$B353,$A354&lt;&gt;$A353),and(not(isblank($A354)),$A354=$A353,$B354&lt;&gt;$B353)),"ID LISTS UNALIGNED",and($A354&lt;&gt;"",countif('3) Release_Label'!$D:$D,$A354)=0),"NO UPC MATCH in Release_Label",and($B354&lt;&gt;"",countif('3) Release_Label'!$E:$E,$B354)=0),"NO CATALOG ID MATCH in Release_Label",iserror(vlookup($A354&amp;$B354,'3) Release_Label'!$D:$D&amp;'3) Release_Label'!$E:$E,1,0)),"NO UPC-CATALOG ID pair MATCH in Release_Label" )</f>
        <v/>
      </c>
      <c r="D354" s="121" t="str">
        <f t="array" ref="D354">ifs(and(isblank($A354),isblank($B354)),"", not(iserror(vlookup($A354&amp;$B354,'3) Release_Label'!$D:$D&amp;'3) Release_Label'!$E:$E,1,0))),vlookup($A354&amp;$B354,{'3) Release_Label'!$D:$D&amp;'3) Release_Label'!$E:$E,'3) Release_Label'!$H:$H},2,0), or(and(not(isblank($B354)),$B354=$B353,$A354&lt;&gt;$A353),and(not(isblank($A354)),$A354=$A353,$B354&lt;&gt;$B353)),"ID LISTS UNALIGNED",and($A354&lt;&gt;"",countif('3) Release_Label'!$D:$D,$A354)=0),"NO UPC MATCH in Release_Label",and($B354&lt;&gt;"",countif('3) Release_Label'!$E:$E,$B354)=0),"NO CATALOG ID MATCH in Release_Label",iserror(vlookup($A354&amp;$B354,'3) Release_Label'!$D:$D&amp;'3) Release_Label'!$E:$E,1,0)),"NO UPC-CATALOG ID pair MATCH in Release_Label" )</f>
        <v/>
      </c>
      <c r="E354" s="141" t="str">
        <f t="shared" si="2"/>
        <v/>
      </c>
      <c r="G354" s="103"/>
      <c r="H354" s="152"/>
      <c r="J354" s="99"/>
      <c r="K354" s="104"/>
      <c r="L354" s="99"/>
      <c r="N354" s="99"/>
      <c r="O354" s="99"/>
      <c r="P354" s="34"/>
    </row>
    <row r="355">
      <c r="A355" s="100"/>
      <c r="B355" s="103"/>
      <c r="C355" s="121" t="str">
        <f t="array" ref="C355">ifs(and(isblank($A355),isblank($B355)),"", not(iserror(vlookup($A355&amp;$B355,'3) Release_Label'!$D:$D&amp;'3) Release_Label'!$E:$E,1,0))),vlookup($A355&amp;$B355,{'3) Release_Label'!$D:$D&amp;'3) Release_Label'!$E:$E,'3) Release_Label'!$F:$F},2,0), or(and(not(isblank($B355)),$B355=$B354,$A355&lt;&gt;$A354),and(not(isblank($A355)),$A355=$A354,$B355&lt;&gt;$B354)),"ID LISTS UNALIGNED",and($A355&lt;&gt;"",countif('3) Release_Label'!$D:$D,$A355)=0),"NO UPC MATCH in Release_Label",and($B355&lt;&gt;"",countif('3) Release_Label'!$E:$E,$B355)=0),"NO CATALOG ID MATCH in Release_Label",iserror(vlookup($A355&amp;$B355,'3) Release_Label'!$D:$D&amp;'3) Release_Label'!$E:$E,1,0)),"NO UPC-CATALOG ID pair MATCH in Release_Label" )</f>
        <v/>
      </c>
      <c r="D355" s="121" t="str">
        <f t="array" ref="D355">ifs(and(isblank($A355),isblank($B355)),"", not(iserror(vlookup($A355&amp;$B355,'3) Release_Label'!$D:$D&amp;'3) Release_Label'!$E:$E,1,0))),vlookup($A355&amp;$B355,{'3) Release_Label'!$D:$D&amp;'3) Release_Label'!$E:$E,'3) Release_Label'!$H:$H},2,0), or(and(not(isblank($B355)),$B355=$B354,$A355&lt;&gt;$A354),and(not(isblank($A355)),$A355=$A354,$B355&lt;&gt;$B354)),"ID LISTS UNALIGNED",and($A355&lt;&gt;"",countif('3) Release_Label'!$D:$D,$A355)=0),"NO UPC MATCH in Release_Label",and($B355&lt;&gt;"",countif('3) Release_Label'!$E:$E,$B355)=0),"NO CATALOG ID MATCH in Release_Label",iserror(vlookup($A355&amp;$B355,'3) Release_Label'!$D:$D&amp;'3) Release_Label'!$E:$E,1,0)),"NO UPC-CATALOG ID pair MATCH in Release_Label" )</f>
        <v/>
      </c>
      <c r="E355" s="141" t="str">
        <f t="shared" si="2"/>
        <v/>
      </c>
      <c r="G355" s="103"/>
      <c r="H355" s="152"/>
      <c r="J355" s="99"/>
      <c r="K355" s="104"/>
      <c r="L355" s="99"/>
      <c r="N355" s="99"/>
      <c r="O355" s="99"/>
      <c r="P355" s="34"/>
    </row>
    <row r="356">
      <c r="A356" s="100"/>
      <c r="B356" s="103"/>
      <c r="C356" s="121" t="str">
        <f t="array" ref="C356">ifs(and(isblank($A356),isblank($B356)),"", not(iserror(vlookup($A356&amp;$B356,'3) Release_Label'!$D:$D&amp;'3) Release_Label'!$E:$E,1,0))),vlookup($A356&amp;$B356,{'3) Release_Label'!$D:$D&amp;'3) Release_Label'!$E:$E,'3) Release_Label'!$F:$F},2,0), or(and(not(isblank($B356)),$B356=$B355,$A356&lt;&gt;$A355),and(not(isblank($A356)),$A356=$A355,$B356&lt;&gt;$B355)),"ID LISTS UNALIGNED",and($A356&lt;&gt;"",countif('3) Release_Label'!$D:$D,$A356)=0),"NO UPC MATCH in Release_Label",and($B356&lt;&gt;"",countif('3) Release_Label'!$E:$E,$B356)=0),"NO CATALOG ID MATCH in Release_Label",iserror(vlookup($A356&amp;$B356,'3) Release_Label'!$D:$D&amp;'3) Release_Label'!$E:$E,1,0)),"NO UPC-CATALOG ID pair MATCH in Release_Label" )</f>
        <v/>
      </c>
      <c r="D356" s="121" t="str">
        <f t="array" ref="D356">ifs(and(isblank($A356),isblank($B356)),"", not(iserror(vlookup($A356&amp;$B356,'3) Release_Label'!$D:$D&amp;'3) Release_Label'!$E:$E,1,0))),vlookup($A356&amp;$B356,{'3) Release_Label'!$D:$D&amp;'3) Release_Label'!$E:$E,'3) Release_Label'!$H:$H},2,0), or(and(not(isblank($B356)),$B356=$B355,$A356&lt;&gt;$A355),and(not(isblank($A356)),$A356=$A355,$B356&lt;&gt;$B355)),"ID LISTS UNALIGNED",and($A356&lt;&gt;"",countif('3) Release_Label'!$D:$D,$A356)=0),"NO UPC MATCH in Release_Label",and($B356&lt;&gt;"",countif('3) Release_Label'!$E:$E,$B356)=0),"NO CATALOG ID MATCH in Release_Label",iserror(vlookup($A356&amp;$B356,'3) Release_Label'!$D:$D&amp;'3) Release_Label'!$E:$E,1,0)),"NO UPC-CATALOG ID pair MATCH in Release_Label" )</f>
        <v/>
      </c>
      <c r="E356" s="141" t="str">
        <f t="shared" si="2"/>
        <v/>
      </c>
      <c r="G356" s="103"/>
      <c r="H356" s="152"/>
      <c r="J356" s="99"/>
      <c r="K356" s="104"/>
      <c r="L356" s="99"/>
      <c r="N356" s="99"/>
      <c r="O356" s="99"/>
      <c r="P356" s="34"/>
    </row>
    <row r="357">
      <c r="A357" s="100"/>
      <c r="B357" s="103"/>
      <c r="C357" s="121" t="str">
        <f t="array" ref="C357">ifs(and(isblank($A357),isblank($B357)),"", not(iserror(vlookup($A357&amp;$B357,'3) Release_Label'!$D:$D&amp;'3) Release_Label'!$E:$E,1,0))),vlookup($A357&amp;$B357,{'3) Release_Label'!$D:$D&amp;'3) Release_Label'!$E:$E,'3) Release_Label'!$F:$F},2,0), or(and(not(isblank($B357)),$B357=$B356,$A357&lt;&gt;$A356),and(not(isblank($A357)),$A357=$A356,$B357&lt;&gt;$B356)),"ID LISTS UNALIGNED",and($A357&lt;&gt;"",countif('3) Release_Label'!$D:$D,$A357)=0),"NO UPC MATCH in Release_Label",and($B357&lt;&gt;"",countif('3) Release_Label'!$E:$E,$B357)=0),"NO CATALOG ID MATCH in Release_Label",iserror(vlookup($A357&amp;$B357,'3) Release_Label'!$D:$D&amp;'3) Release_Label'!$E:$E,1,0)),"NO UPC-CATALOG ID pair MATCH in Release_Label" )</f>
        <v/>
      </c>
      <c r="D357" s="121" t="str">
        <f t="array" ref="D357">ifs(and(isblank($A357),isblank($B357)),"", not(iserror(vlookup($A357&amp;$B357,'3) Release_Label'!$D:$D&amp;'3) Release_Label'!$E:$E,1,0))),vlookup($A357&amp;$B357,{'3) Release_Label'!$D:$D&amp;'3) Release_Label'!$E:$E,'3) Release_Label'!$H:$H},2,0), or(and(not(isblank($B357)),$B357=$B356,$A357&lt;&gt;$A356),and(not(isblank($A357)),$A357=$A356,$B357&lt;&gt;$B356)),"ID LISTS UNALIGNED",and($A357&lt;&gt;"",countif('3) Release_Label'!$D:$D,$A357)=0),"NO UPC MATCH in Release_Label",and($B357&lt;&gt;"",countif('3) Release_Label'!$E:$E,$B357)=0),"NO CATALOG ID MATCH in Release_Label",iserror(vlookup($A357&amp;$B357,'3) Release_Label'!$D:$D&amp;'3) Release_Label'!$E:$E,1,0)),"NO UPC-CATALOG ID pair MATCH in Release_Label" )</f>
        <v/>
      </c>
      <c r="E357" s="141" t="str">
        <f t="shared" si="2"/>
        <v/>
      </c>
      <c r="G357" s="103"/>
      <c r="H357" s="152"/>
      <c r="J357" s="99"/>
      <c r="K357" s="104"/>
      <c r="L357" s="99"/>
      <c r="N357" s="99"/>
      <c r="O357" s="99"/>
      <c r="P357" s="34"/>
    </row>
    <row r="358">
      <c r="A358" s="100"/>
      <c r="B358" s="103"/>
      <c r="C358" s="121" t="str">
        <f t="array" ref="C358">ifs(and(isblank($A358),isblank($B358)),"", not(iserror(vlookup($A358&amp;$B358,'3) Release_Label'!$D:$D&amp;'3) Release_Label'!$E:$E,1,0))),vlookup($A358&amp;$B358,{'3) Release_Label'!$D:$D&amp;'3) Release_Label'!$E:$E,'3) Release_Label'!$F:$F},2,0), or(and(not(isblank($B358)),$B358=$B357,$A358&lt;&gt;$A357),and(not(isblank($A358)),$A358=$A357,$B358&lt;&gt;$B357)),"ID LISTS UNALIGNED",and($A358&lt;&gt;"",countif('3) Release_Label'!$D:$D,$A358)=0),"NO UPC MATCH in Release_Label",and($B358&lt;&gt;"",countif('3) Release_Label'!$E:$E,$B358)=0),"NO CATALOG ID MATCH in Release_Label",iserror(vlookup($A358&amp;$B358,'3) Release_Label'!$D:$D&amp;'3) Release_Label'!$E:$E,1,0)),"NO UPC-CATALOG ID pair MATCH in Release_Label" )</f>
        <v/>
      </c>
      <c r="D358" s="121" t="str">
        <f t="array" ref="D358">ifs(and(isblank($A358),isblank($B358)),"", not(iserror(vlookup($A358&amp;$B358,'3) Release_Label'!$D:$D&amp;'3) Release_Label'!$E:$E,1,0))),vlookup($A358&amp;$B358,{'3) Release_Label'!$D:$D&amp;'3) Release_Label'!$E:$E,'3) Release_Label'!$H:$H},2,0), or(and(not(isblank($B358)),$B358=$B357,$A358&lt;&gt;$A357),and(not(isblank($A358)),$A358=$A357,$B358&lt;&gt;$B357)),"ID LISTS UNALIGNED",and($A358&lt;&gt;"",countif('3) Release_Label'!$D:$D,$A358)=0),"NO UPC MATCH in Release_Label",and($B358&lt;&gt;"",countif('3) Release_Label'!$E:$E,$B358)=0),"NO CATALOG ID MATCH in Release_Label",iserror(vlookup($A358&amp;$B358,'3) Release_Label'!$D:$D&amp;'3) Release_Label'!$E:$E,1,0)),"NO UPC-CATALOG ID pair MATCH in Release_Label" )</f>
        <v/>
      </c>
      <c r="E358" s="141" t="str">
        <f t="shared" si="2"/>
        <v/>
      </c>
      <c r="G358" s="103"/>
      <c r="H358" s="152"/>
      <c r="J358" s="99"/>
      <c r="K358" s="104"/>
      <c r="L358" s="99"/>
      <c r="N358" s="99"/>
      <c r="O358" s="99"/>
      <c r="P358" s="34"/>
    </row>
    <row r="359">
      <c r="A359" s="100"/>
      <c r="B359" s="103"/>
      <c r="C359" s="121" t="str">
        <f t="array" ref="C359">ifs(and(isblank($A359),isblank($B359)),"", not(iserror(vlookup($A359&amp;$B359,'3) Release_Label'!$D:$D&amp;'3) Release_Label'!$E:$E,1,0))),vlookup($A359&amp;$B359,{'3) Release_Label'!$D:$D&amp;'3) Release_Label'!$E:$E,'3) Release_Label'!$F:$F},2,0), or(and(not(isblank($B359)),$B359=$B358,$A359&lt;&gt;$A358),and(not(isblank($A359)),$A359=$A358,$B359&lt;&gt;$B358)),"ID LISTS UNALIGNED",and($A359&lt;&gt;"",countif('3) Release_Label'!$D:$D,$A359)=0),"NO UPC MATCH in Release_Label",and($B359&lt;&gt;"",countif('3) Release_Label'!$E:$E,$B359)=0),"NO CATALOG ID MATCH in Release_Label",iserror(vlookup($A359&amp;$B359,'3) Release_Label'!$D:$D&amp;'3) Release_Label'!$E:$E,1,0)),"NO UPC-CATALOG ID pair MATCH in Release_Label" )</f>
        <v/>
      </c>
      <c r="D359" s="121" t="str">
        <f t="array" ref="D359">ifs(and(isblank($A359),isblank($B359)),"", not(iserror(vlookup($A359&amp;$B359,'3) Release_Label'!$D:$D&amp;'3) Release_Label'!$E:$E,1,0))),vlookup($A359&amp;$B359,{'3) Release_Label'!$D:$D&amp;'3) Release_Label'!$E:$E,'3) Release_Label'!$H:$H},2,0), or(and(not(isblank($B359)),$B359=$B358,$A359&lt;&gt;$A358),and(not(isblank($A359)),$A359=$A358,$B359&lt;&gt;$B358)),"ID LISTS UNALIGNED",and($A359&lt;&gt;"",countif('3) Release_Label'!$D:$D,$A359)=0),"NO UPC MATCH in Release_Label",and($B359&lt;&gt;"",countif('3) Release_Label'!$E:$E,$B359)=0),"NO CATALOG ID MATCH in Release_Label",iserror(vlookup($A359&amp;$B359,'3) Release_Label'!$D:$D&amp;'3) Release_Label'!$E:$E,1,0)),"NO UPC-CATALOG ID pair MATCH in Release_Label" )</f>
        <v/>
      </c>
      <c r="E359" s="141" t="str">
        <f t="shared" si="2"/>
        <v/>
      </c>
      <c r="G359" s="103"/>
      <c r="H359" s="152"/>
      <c r="J359" s="99"/>
      <c r="K359" s="104"/>
      <c r="L359" s="99"/>
      <c r="N359" s="99"/>
      <c r="O359" s="99"/>
      <c r="P359" s="34"/>
    </row>
    <row r="360">
      <c r="A360" s="100"/>
      <c r="B360" s="103"/>
      <c r="C360" s="121" t="str">
        <f t="array" ref="C360">ifs(and(isblank($A360),isblank($B360)),"", not(iserror(vlookup($A360&amp;$B360,'3) Release_Label'!$D:$D&amp;'3) Release_Label'!$E:$E,1,0))),vlookup($A360&amp;$B360,{'3) Release_Label'!$D:$D&amp;'3) Release_Label'!$E:$E,'3) Release_Label'!$F:$F},2,0), or(and(not(isblank($B360)),$B360=$B359,$A360&lt;&gt;$A359),and(not(isblank($A360)),$A360=$A359,$B360&lt;&gt;$B359)),"ID LISTS UNALIGNED",and($A360&lt;&gt;"",countif('3) Release_Label'!$D:$D,$A360)=0),"NO UPC MATCH in Release_Label",and($B360&lt;&gt;"",countif('3) Release_Label'!$E:$E,$B360)=0),"NO CATALOG ID MATCH in Release_Label",iserror(vlookup($A360&amp;$B360,'3) Release_Label'!$D:$D&amp;'3) Release_Label'!$E:$E,1,0)),"NO UPC-CATALOG ID pair MATCH in Release_Label" )</f>
        <v/>
      </c>
      <c r="D360" s="121" t="str">
        <f t="array" ref="D360">ifs(and(isblank($A360),isblank($B360)),"", not(iserror(vlookup($A360&amp;$B360,'3) Release_Label'!$D:$D&amp;'3) Release_Label'!$E:$E,1,0))),vlookup($A360&amp;$B360,{'3) Release_Label'!$D:$D&amp;'3) Release_Label'!$E:$E,'3) Release_Label'!$H:$H},2,0), or(and(not(isblank($B360)),$B360=$B359,$A360&lt;&gt;$A359),and(not(isblank($A360)),$A360=$A359,$B360&lt;&gt;$B359)),"ID LISTS UNALIGNED",and($A360&lt;&gt;"",countif('3) Release_Label'!$D:$D,$A360)=0),"NO UPC MATCH in Release_Label",and($B360&lt;&gt;"",countif('3) Release_Label'!$E:$E,$B360)=0),"NO CATALOG ID MATCH in Release_Label",iserror(vlookup($A360&amp;$B360,'3) Release_Label'!$D:$D&amp;'3) Release_Label'!$E:$E,1,0)),"NO UPC-CATALOG ID pair MATCH in Release_Label" )</f>
        <v/>
      </c>
      <c r="E360" s="141" t="str">
        <f t="shared" si="2"/>
        <v/>
      </c>
      <c r="G360" s="103"/>
      <c r="H360" s="152"/>
      <c r="J360" s="99"/>
      <c r="K360" s="104"/>
      <c r="L360" s="99"/>
      <c r="N360" s="99"/>
      <c r="O360" s="99"/>
      <c r="P360" s="34"/>
    </row>
    <row r="361">
      <c r="A361" s="100"/>
      <c r="B361" s="103"/>
      <c r="C361" s="121" t="str">
        <f t="array" ref="C361">ifs(and(isblank($A361),isblank($B361)),"", not(iserror(vlookup($A361&amp;$B361,'3) Release_Label'!$D:$D&amp;'3) Release_Label'!$E:$E,1,0))),vlookup($A361&amp;$B361,{'3) Release_Label'!$D:$D&amp;'3) Release_Label'!$E:$E,'3) Release_Label'!$F:$F},2,0), or(and(not(isblank($B361)),$B361=$B360,$A361&lt;&gt;$A360),and(not(isblank($A361)),$A361=$A360,$B361&lt;&gt;$B360)),"ID LISTS UNALIGNED",and($A361&lt;&gt;"",countif('3) Release_Label'!$D:$D,$A361)=0),"NO UPC MATCH in Release_Label",and($B361&lt;&gt;"",countif('3) Release_Label'!$E:$E,$B361)=0),"NO CATALOG ID MATCH in Release_Label",iserror(vlookup($A361&amp;$B361,'3) Release_Label'!$D:$D&amp;'3) Release_Label'!$E:$E,1,0)),"NO UPC-CATALOG ID pair MATCH in Release_Label" )</f>
        <v/>
      </c>
      <c r="D361" s="121" t="str">
        <f t="array" ref="D361">ifs(and(isblank($A361),isblank($B361)),"", not(iserror(vlookup($A361&amp;$B361,'3) Release_Label'!$D:$D&amp;'3) Release_Label'!$E:$E,1,0))),vlookup($A361&amp;$B361,{'3) Release_Label'!$D:$D&amp;'3) Release_Label'!$E:$E,'3) Release_Label'!$H:$H},2,0), or(and(not(isblank($B361)),$B361=$B360,$A361&lt;&gt;$A360),and(not(isblank($A361)),$A361=$A360,$B361&lt;&gt;$B360)),"ID LISTS UNALIGNED",and($A361&lt;&gt;"",countif('3) Release_Label'!$D:$D,$A361)=0),"NO UPC MATCH in Release_Label",and($B361&lt;&gt;"",countif('3) Release_Label'!$E:$E,$B361)=0),"NO CATALOG ID MATCH in Release_Label",iserror(vlookup($A361&amp;$B361,'3) Release_Label'!$D:$D&amp;'3) Release_Label'!$E:$E,1,0)),"NO UPC-CATALOG ID pair MATCH in Release_Label" )</f>
        <v/>
      </c>
      <c r="E361" s="141" t="str">
        <f t="shared" si="2"/>
        <v/>
      </c>
      <c r="G361" s="103"/>
      <c r="H361" s="152"/>
      <c r="J361" s="99"/>
      <c r="K361" s="104"/>
      <c r="L361" s="99"/>
      <c r="N361" s="99"/>
      <c r="O361" s="99"/>
      <c r="P361" s="34"/>
    </row>
    <row r="362">
      <c r="A362" s="100"/>
      <c r="B362" s="103"/>
      <c r="C362" s="121" t="str">
        <f t="array" ref="C362">ifs(and(isblank($A362),isblank($B362)),"", not(iserror(vlookup($A362&amp;$B362,'3) Release_Label'!$D:$D&amp;'3) Release_Label'!$E:$E,1,0))),vlookup($A362&amp;$B362,{'3) Release_Label'!$D:$D&amp;'3) Release_Label'!$E:$E,'3) Release_Label'!$F:$F},2,0), or(and(not(isblank($B362)),$B362=$B361,$A362&lt;&gt;$A361),and(not(isblank($A362)),$A362=$A361,$B362&lt;&gt;$B361)),"ID LISTS UNALIGNED",and($A362&lt;&gt;"",countif('3) Release_Label'!$D:$D,$A362)=0),"NO UPC MATCH in Release_Label",and($B362&lt;&gt;"",countif('3) Release_Label'!$E:$E,$B362)=0),"NO CATALOG ID MATCH in Release_Label",iserror(vlookup($A362&amp;$B362,'3) Release_Label'!$D:$D&amp;'3) Release_Label'!$E:$E,1,0)),"NO UPC-CATALOG ID pair MATCH in Release_Label" )</f>
        <v/>
      </c>
      <c r="D362" s="121" t="str">
        <f t="array" ref="D362">ifs(and(isblank($A362),isblank($B362)),"", not(iserror(vlookup($A362&amp;$B362,'3) Release_Label'!$D:$D&amp;'3) Release_Label'!$E:$E,1,0))),vlookup($A362&amp;$B362,{'3) Release_Label'!$D:$D&amp;'3) Release_Label'!$E:$E,'3) Release_Label'!$H:$H},2,0), or(and(not(isblank($B362)),$B362=$B361,$A362&lt;&gt;$A361),and(not(isblank($A362)),$A362=$A361,$B362&lt;&gt;$B361)),"ID LISTS UNALIGNED",and($A362&lt;&gt;"",countif('3) Release_Label'!$D:$D,$A362)=0),"NO UPC MATCH in Release_Label",and($B362&lt;&gt;"",countif('3) Release_Label'!$E:$E,$B362)=0),"NO CATALOG ID MATCH in Release_Label",iserror(vlookup($A362&amp;$B362,'3) Release_Label'!$D:$D&amp;'3) Release_Label'!$E:$E,1,0)),"NO UPC-CATALOG ID pair MATCH in Release_Label" )</f>
        <v/>
      </c>
      <c r="E362" s="141" t="str">
        <f t="shared" si="2"/>
        <v/>
      </c>
      <c r="G362" s="103"/>
      <c r="H362" s="152"/>
      <c r="J362" s="99"/>
      <c r="K362" s="104"/>
      <c r="L362" s="99"/>
      <c r="N362" s="99"/>
      <c r="O362" s="99"/>
      <c r="P362" s="34"/>
    </row>
    <row r="363">
      <c r="A363" s="100"/>
      <c r="B363" s="103"/>
      <c r="C363" s="121" t="str">
        <f t="array" ref="C363">ifs(and(isblank($A363),isblank($B363)),"", not(iserror(vlookup($A363&amp;$B363,'3) Release_Label'!$D:$D&amp;'3) Release_Label'!$E:$E,1,0))),vlookup($A363&amp;$B363,{'3) Release_Label'!$D:$D&amp;'3) Release_Label'!$E:$E,'3) Release_Label'!$F:$F},2,0), or(and(not(isblank($B363)),$B363=$B362,$A363&lt;&gt;$A362),and(not(isblank($A363)),$A363=$A362,$B363&lt;&gt;$B362)),"ID LISTS UNALIGNED",and($A363&lt;&gt;"",countif('3) Release_Label'!$D:$D,$A363)=0),"NO UPC MATCH in Release_Label",and($B363&lt;&gt;"",countif('3) Release_Label'!$E:$E,$B363)=0),"NO CATALOG ID MATCH in Release_Label",iserror(vlookup($A363&amp;$B363,'3) Release_Label'!$D:$D&amp;'3) Release_Label'!$E:$E,1,0)),"NO UPC-CATALOG ID pair MATCH in Release_Label" )</f>
        <v/>
      </c>
      <c r="D363" s="121" t="str">
        <f t="array" ref="D363">ifs(and(isblank($A363),isblank($B363)),"", not(iserror(vlookup($A363&amp;$B363,'3) Release_Label'!$D:$D&amp;'3) Release_Label'!$E:$E,1,0))),vlookup($A363&amp;$B363,{'3) Release_Label'!$D:$D&amp;'3) Release_Label'!$E:$E,'3) Release_Label'!$H:$H},2,0), or(and(not(isblank($B363)),$B363=$B362,$A363&lt;&gt;$A362),and(not(isblank($A363)),$A363=$A362,$B363&lt;&gt;$B362)),"ID LISTS UNALIGNED",and($A363&lt;&gt;"",countif('3) Release_Label'!$D:$D,$A363)=0),"NO UPC MATCH in Release_Label",and($B363&lt;&gt;"",countif('3) Release_Label'!$E:$E,$B363)=0),"NO CATALOG ID MATCH in Release_Label",iserror(vlookup($A363&amp;$B363,'3) Release_Label'!$D:$D&amp;'3) Release_Label'!$E:$E,1,0)),"NO UPC-CATALOG ID pair MATCH in Release_Label" )</f>
        <v/>
      </c>
      <c r="E363" s="141" t="str">
        <f t="shared" si="2"/>
        <v/>
      </c>
      <c r="G363" s="103"/>
      <c r="H363" s="152"/>
      <c r="J363" s="99"/>
      <c r="K363" s="104"/>
      <c r="L363" s="99"/>
      <c r="N363" s="99"/>
      <c r="O363" s="99"/>
      <c r="P363" s="34"/>
    </row>
    <row r="364">
      <c r="A364" s="100"/>
      <c r="B364" s="103"/>
      <c r="C364" s="121" t="str">
        <f t="array" ref="C364">ifs(and(isblank($A364),isblank($B364)),"", not(iserror(vlookup($A364&amp;$B364,'3) Release_Label'!$D:$D&amp;'3) Release_Label'!$E:$E,1,0))),vlookup($A364&amp;$B364,{'3) Release_Label'!$D:$D&amp;'3) Release_Label'!$E:$E,'3) Release_Label'!$F:$F},2,0), or(and(not(isblank($B364)),$B364=$B363,$A364&lt;&gt;$A363),and(not(isblank($A364)),$A364=$A363,$B364&lt;&gt;$B363)),"ID LISTS UNALIGNED",and($A364&lt;&gt;"",countif('3) Release_Label'!$D:$D,$A364)=0),"NO UPC MATCH in Release_Label",and($B364&lt;&gt;"",countif('3) Release_Label'!$E:$E,$B364)=0),"NO CATALOG ID MATCH in Release_Label",iserror(vlookup($A364&amp;$B364,'3) Release_Label'!$D:$D&amp;'3) Release_Label'!$E:$E,1,0)),"NO UPC-CATALOG ID pair MATCH in Release_Label" )</f>
        <v/>
      </c>
      <c r="D364" s="121" t="str">
        <f t="array" ref="D364">ifs(and(isblank($A364),isblank($B364)),"", not(iserror(vlookup($A364&amp;$B364,'3) Release_Label'!$D:$D&amp;'3) Release_Label'!$E:$E,1,0))),vlookup($A364&amp;$B364,{'3) Release_Label'!$D:$D&amp;'3) Release_Label'!$E:$E,'3) Release_Label'!$H:$H},2,0), or(and(not(isblank($B364)),$B364=$B363,$A364&lt;&gt;$A363),and(not(isblank($A364)),$A364=$A363,$B364&lt;&gt;$B363)),"ID LISTS UNALIGNED",and($A364&lt;&gt;"",countif('3) Release_Label'!$D:$D,$A364)=0),"NO UPC MATCH in Release_Label",and($B364&lt;&gt;"",countif('3) Release_Label'!$E:$E,$B364)=0),"NO CATALOG ID MATCH in Release_Label",iserror(vlookup($A364&amp;$B364,'3) Release_Label'!$D:$D&amp;'3) Release_Label'!$E:$E,1,0)),"NO UPC-CATALOG ID pair MATCH in Release_Label" )</f>
        <v/>
      </c>
      <c r="E364" s="141" t="str">
        <f t="shared" si="2"/>
        <v/>
      </c>
      <c r="G364" s="103"/>
      <c r="H364" s="152"/>
      <c r="J364" s="99"/>
      <c r="K364" s="104"/>
      <c r="L364" s="99"/>
      <c r="N364" s="99"/>
      <c r="O364" s="99"/>
      <c r="P364" s="34"/>
    </row>
    <row r="365">
      <c r="A365" s="100"/>
      <c r="B365" s="103"/>
      <c r="C365" s="121" t="str">
        <f t="array" ref="C365">ifs(and(isblank($A365),isblank($B365)),"", not(iserror(vlookup($A365&amp;$B365,'3) Release_Label'!$D:$D&amp;'3) Release_Label'!$E:$E,1,0))),vlookup($A365&amp;$B365,{'3) Release_Label'!$D:$D&amp;'3) Release_Label'!$E:$E,'3) Release_Label'!$F:$F},2,0), or(and(not(isblank($B365)),$B365=$B364,$A365&lt;&gt;$A364),and(not(isblank($A365)),$A365=$A364,$B365&lt;&gt;$B364)),"ID LISTS UNALIGNED",and($A365&lt;&gt;"",countif('3) Release_Label'!$D:$D,$A365)=0),"NO UPC MATCH in Release_Label",and($B365&lt;&gt;"",countif('3) Release_Label'!$E:$E,$B365)=0),"NO CATALOG ID MATCH in Release_Label",iserror(vlookup($A365&amp;$B365,'3) Release_Label'!$D:$D&amp;'3) Release_Label'!$E:$E,1,0)),"NO UPC-CATALOG ID pair MATCH in Release_Label" )</f>
        <v/>
      </c>
      <c r="D365" s="121" t="str">
        <f t="array" ref="D365">ifs(and(isblank($A365),isblank($B365)),"", not(iserror(vlookup($A365&amp;$B365,'3) Release_Label'!$D:$D&amp;'3) Release_Label'!$E:$E,1,0))),vlookup($A365&amp;$B365,{'3) Release_Label'!$D:$D&amp;'3) Release_Label'!$E:$E,'3) Release_Label'!$H:$H},2,0), or(and(not(isblank($B365)),$B365=$B364,$A365&lt;&gt;$A364),and(not(isblank($A365)),$A365=$A364,$B365&lt;&gt;$B364)),"ID LISTS UNALIGNED",and($A365&lt;&gt;"",countif('3) Release_Label'!$D:$D,$A365)=0),"NO UPC MATCH in Release_Label",and($B365&lt;&gt;"",countif('3) Release_Label'!$E:$E,$B365)=0),"NO CATALOG ID MATCH in Release_Label",iserror(vlookup($A365&amp;$B365,'3) Release_Label'!$D:$D&amp;'3) Release_Label'!$E:$E,1,0)),"NO UPC-CATALOG ID pair MATCH in Release_Label" )</f>
        <v/>
      </c>
      <c r="E365" s="141" t="str">
        <f t="shared" si="2"/>
        <v/>
      </c>
      <c r="G365" s="103"/>
      <c r="H365" s="152"/>
      <c r="J365" s="99"/>
      <c r="K365" s="104"/>
      <c r="L365" s="99"/>
      <c r="N365" s="99"/>
      <c r="O365" s="99"/>
      <c r="P365" s="34"/>
    </row>
    <row r="366">
      <c r="A366" s="100"/>
      <c r="B366" s="103"/>
      <c r="C366" s="121" t="str">
        <f t="array" ref="C366">ifs(and(isblank($A366),isblank($B366)),"", not(iserror(vlookup($A366&amp;$B366,'3) Release_Label'!$D:$D&amp;'3) Release_Label'!$E:$E,1,0))),vlookup($A366&amp;$B366,{'3) Release_Label'!$D:$D&amp;'3) Release_Label'!$E:$E,'3) Release_Label'!$F:$F},2,0), or(and(not(isblank($B366)),$B366=$B365,$A366&lt;&gt;$A365),and(not(isblank($A366)),$A366=$A365,$B366&lt;&gt;$B365)),"ID LISTS UNALIGNED",and($A366&lt;&gt;"",countif('3) Release_Label'!$D:$D,$A366)=0),"NO UPC MATCH in Release_Label",and($B366&lt;&gt;"",countif('3) Release_Label'!$E:$E,$B366)=0),"NO CATALOG ID MATCH in Release_Label",iserror(vlookup($A366&amp;$B366,'3) Release_Label'!$D:$D&amp;'3) Release_Label'!$E:$E,1,0)),"NO UPC-CATALOG ID pair MATCH in Release_Label" )</f>
        <v/>
      </c>
      <c r="D366" s="121" t="str">
        <f t="array" ref="D366">ifs(and(isblank($A366),isblank($B366)),"", not(iserror(vlookup($A366&amp;$B366,'3) Release_Label'!$D:$D&amp;'3) Release_Label'!$E:$E,1,0))),vlookup($A366&amp;$B366,{'3) Release_Label'!$D:$D&amp;'3) Release_Label'!$E:$E,'3) Release_Label'!$H:$H},2,0), or(and(not(isblank($B366)),$B366=$B365,$A366&lt;&gt;$A365),and(not(isblank($A366)),$A366=$A365,$B366&lt;&gt;$B365)),"ID LISTS UNALIGNED",and($A366&lt;&gt;"",countif('3) Release_Label'!$D:$D,$A366)=0),"NO UPC MATCH in Release_Label",and($B366&lt;&gt;"",countif('3) Release_Label'!$E:$E,$B366)=0),"NO CATALOG ID MATCH in Release_Label",iserror(vlookup($A366&amp;$B366,'3) Release_Label'!$D:$D&amp;'3) Release_Label'!$E:$E,1,0)),"NO UPC-CATALOG ID pair MATCH in Release_Label" )</f>
        <v/>
      </c>
      <c r="E366" s="141" t="str">
        <f t="shared" si="2"/>
        <v/>
      </c>
      <c r="G366" s="103"/>
      <c r="H366" s="152"/>
      <c r="J366" s="99"/>
      <c r="K366" s="104"/>
      <c r="L366" s="99"/>
      <c r="N366" s="99"/>
      <c r="O366" s="99"/>
      <c r="P366" s="34"/>
    </row>
    <row r="367">
      <c r="A367" s="100"/>
      <c r="B367" s="103"/>
      <c r="C367" s="121" t="str">
        <f t="array" ref="C367">ifs(and(isblank($A367),isblank($B367)),"", not(iserror(vlookup($A367&amp;$B367,'3) Release_Label'!$D:$D&amp;'3) Release_Label'!$E:$E,1,0))),vlookup($A367&amp;$B367,{'3) Release_Label'!$D:$D&amp;'3) Release_Label'!$E:$E,'3) Release_Label'!$F:$F},2,0), or(and(not(isblank($B367)),$B367=$B366,$A367&lt;&gt;$A366),and(not(isblank($A367)),$A367=$A366,$B367&lt;&gt;$B366)),"ID LISTS UNALIGNED",and($A367&lt;&gt;"",countif('3) Release_Label'!$D:$D,$A367)=0),"NO UPC MATCH in Release_Label",and($B367&lt;&gt;"",countif('3) Release_Label'!$E:$E,$B367)=0),"NO CATALOG ID MATCH in Release_Label",iserror(vlookup($A367&amp;$B367,'3) Release_Label'!$D:$D&amp;'3) Release_Label'!$E:$E,1,0)),"NO UPC-CATALOG ID pair MATCH in Release_Label" )</f>
        <v/>
      </c>
      <c r="D367" s="121" t="str">
        <f t="array" ref="D367">ifs(and(isblank($A367),isblank($B367)),"", not(iserror(vlookup($A367&amp;$B367,'3) Release_Label'!$D:$D&amp;'3) Release_Label'!$E:$E,1,0))),vlookup($A367&amp;$B367,{'3) Release_Label'!$D:$D&amp;'3) Release_Label'!$E:$E,'3) Release_Label'!$H:$H},2,0), or(and(not(isblank($B367)),$B367=$B366,$A367&lt;&gt;$A366),and(not(isblank($A367)),$A367=$A366,$B367&lt;&gt;$B366)),"ID LISTS UNALIGNED",and($A367&lt;&gt;"",countif('3) Release_Label'!$D:$D,$A367)=0),"NO UPC MATCH in Release_Label",and($B367&lt;&gt;"",countif('3) Release_Label'!$E:$E,$B367)=0),"NO CATALOG ID MATCH in Release_Label",iserror(vlookup($A367&amp;$B367,'3) Release_Label'!$D:$D&amp;'3) Release_Label'!$E:$E,1,0)),"NO UPC-CATALOG ID pair MATCH in Release_Label" )</f>
        <v/>
      </c>
      <c r="E367" s="141" t="str">
        <f t="shared" si="2"/>
        <v/>
      </c>
      <c r="G367" s="103"/>
      <c r="H367" s="152"/>
      <c r="J367" s="99"/>
      <c r="K367" s="104"/>
      <c r="L367" s="99"/>
      <c r="N367" s="99"/>
      <c r="O367" s="99"/>
      <c r="P367" s="34"/>
    </row>
    <row r="368">
      <c r="A368" s="100"/>
      <c r="B368" s="103"/>
      <c r="C368" s="121" t="str">
        <f t="array" ref="C368">ifs(and(isblank($A368),isblank($B368)),"", not(iserror(vlookup($A368&amp;$B368,'3) Release_Label'!$D:$D&amp;'3) Release_Label'!$E:$E,1,0))),vlookup($A368&amp;$B368,{'3) Release_Label'!$D:$D&amp;'3) Release_Label'!$E:$E,'3) Release_Label'!$F:$F},2,0), or(and(not(isblank($B368)),$B368=$B367,$A368&lt;&gt;$A367),and(not(isblank($A368)),$A368=$A367,$B368&lt;&gt;$B367)),"ID LISTS UNALIGNED",and($A368&lt;&gt;"",countif('3) Release_Label'!$D:$D,$A368)=0),"NO UPC MATCH in Release_Label",and($B368&lt;&gt;"",countif('3) Release_Label'!$E:$E,$B368)=0),"NO CATALOG ID MATCH in Release_Label",iserror(vlookup($A368&amp;$B368,'3) Release_Label'!$D:$D&amp;'3) Release_Label'!$E:$E,1,0)),"NO UPC-CATALOG ID pair MATCH in Release_Label" )</f>
        <v/>
      </c>
      <c r="D368" s="121" t="str">
        <f t="array" ref="D368">ifs(and(isblank($A368),isblank($B368)),"", not(iserror(vlookup($A368&amp;$B368,'3) Release_Label'!$D:$D&amp;'3) Release_Label'!$E:$E,1,0))),vlookup($A368&amp;$B368,{'3) Release_Label'!$D:$D&amp;'3) Release_Label'!$E:$E,'3) Release_Label'!$H:$H},2,0), or(and(not(isblank($B368)),$B368=$B367,$A368&lt;&gt;$A367),and(not(isblank($A368)),$A368=$A367,$B368&lt;&gt;$B367)),"ID LISTS UNALIGNED",and($A368&lt;&gt;"",countif('3) Release_Label'!$D:$D,$A368)=0),"NO UPC MATCH in Release_Label",and($B368&lt;&gt;"",countif('3) Release_Label'!$E:$E,$B368)=0),"NO CATALOG ID MATCH in Release_Label",iserror(vlookup($A368&amp;$B368,'3) Release_Label'!$D:$D&amp;'3) Release_Label'!$E:$E,1,0)),"NO UPC-CATALOG ID pair MATCH in Release_Label" )</f>
        <v/>
      </c>
      <c r="E368" s="141" t="str">
        <f t="shared" si="2"/>
        <v/>
      </c>
      <c r="G368" s="103"/>
      <c r="H368" s="152"/>
      <c r="J368" s="99"/>
      <c r="K368" s="104"/>
      <c r="L368" s="99"/>
      <c r="N368" s="99"/>
      <c r="O368" s="99"/>
      <c r="P368" s="34"/>
    </row>
    <row r="369">
      <c r="A369" s="100"/>
      <c r="B369" s="103"/>
      <c r="C369" s="121" t="str">
        <f t="array" ref="C369">ifs(and(isblank($A369),isblank($B369)),"", not(iserror(vlookup($A369&amp;$B369,'3) Release_Label'!$D:$D&amp;'3) Release_Label'!$E:$E,1,0))),vlookup($A369&amp;$B369,{'3) Release_Label'!$D:$D&amp;'3) Release_Label'!$E:$E,'3) Release_Label'!$F:$F},2,0), or(and(not(isblank($B369)),$B369=$B368,$A369&lt;&gt;$A368),and(not(isblank($A369)),$A369=$A368,$B369&lt;&gt;$B368)),"ID LISTS UNALIGNED",and($A369&lt;&gt;"",countif('3) Release_Label'!$D:$D,$A369)=0),"NO UPC MATCH in Release_Label",and($B369&lt;&gt;"",countif('3) Release_Label'!$E:$E,$B369)=0),"NO CATALOG ID MATCH in Release_Label",iserror(vlookup($A369&amp;$B369,'3) Release_Label'!$D:$D&amp;'3) Release_Label'!$E:$E,1,0)),"NO UPC-CATALOG ID pair MATCH in Release_Label" )</f>
        <v/>
      </c>
      <c r="D369" s="121" t="str">
        <f t="array" ref="D369">ifs(and(isblank($A369),isblank($B369)),"", not(iserror(vlookup($A369&amp;$B369,'3) Release_Label'!$D:$D&amp;'3) Release_Label'!$E:$E,1,0))),vlookup($A369&amp;$B369,{'3) Release_Label'!$D:$D&amp;'3) Release_Label'!$E:$E,'3) Release_Label'!$H:$H},2,0), or(and(not(isblank($B369)),$B369=$B368,$A369&lt;&gt;$A368),and(not(isblank($A369)),$A369=$A368,$B369&lt;&gt;$B368)),"ID LISTS UNALIGNED",and($A369&lt;&gt;"",countif('3) Release_Label'!$D:$D,$A369)=0),"NO UPC MATCH in Release_Label",and($B369&lt;&gt;"",countif('3) Release_Label'!$E:$E,$B369)=0),"NO CATALOG ID MATCH in Release_Label",iserror(vlookup($A369&amp;$B369,'3) Release_Label'!$D:$D&amp;'3) Release_Label'!$E:$E,1,0)),"NO UPC-CATALOG ID pair MATCH in Release_Label" )</f>
        <v/>
      </c>
      <c r="E369" s="141" t="str">
        <f t="shared" si="2"/>
        <v/>
      </c>
      <c r="G369" s="103"/>
      <c r="H369" s="152"/>
      <c r="J369" s="99"/>
      <c r="K369" s="104"/>
      <c r="L369" s="99"/>
      <c r="N369" s="99"/>
      <c r="O369" s="99"/>
      <c r="P369" s="34"/>
    </row>
    <row r="370">
      <c r="A370" s="100"/>
      <c r="B370" s="103"/>
      <c r="C370" s="121" t="str">
        <f t="array" ref="C370">ifs(and(isblank($A370),isblank($B370)),"", not(iserror(vlookup($A370&amp;$B370,'3) Release_Label'!$D:$D&amp;'3) Release_Label'!$E:$E,1,0))),vlookup($A370&amp;$B370,{'3) Release_Label'!$D:$D&amp;'3) Release_Label'!$E:$E,'3) Release_Label'!$F:$F},2,0), or(and(not(isblank($B370)),$B370=$B369,$A370&lt;&gt;$A369),and(not(isblank($A370)),$A370=$A369,$B370&lt;&gt;$B369)),"ID LISTS UNALIGNED",and($A370&lt;&gt;"",countif('3) Release_Label'!$D:$D,$A370)=0),"NO UPC MATCH in Release_Label",and($B370&lt;&gt;"",countif('3) Release_Label'!$E:$E,$B370)=0),"NO CATALOG ID MATCH in Release_Label",iserror(vlookup($A370&amp;$B370,'3) Release_Label'!$D:$D&amp;'3) Release_Label'!$E:$E,1,0)),"NO UPC-CATALOG ID pair MATCH in Release_Label" )</f>
        <v/>
      </c>
      <c r="D370" s="121" t="str">
        <f t="array" ref="D370">ifs(and(isblank($A370),isblank($B370)),"", not(iserror(vlookup($A370&amp;$B370,'3) Release_Label'!$D:$D&amp;'3) Release_Label'!$E:$E,1,0))),vlookup($A370&amp;$B370,{'3) Release_Label'!$D:$D&amp;'3) Release_Label'!$E:$E,'3) Release_Label'!$H:$H},2,0), or(and(not(isblank($B370)),$B370=$B369,$A370&lt;&gt;$A369),and(not(isblank($A370)),$A370=$A369,$B370&lt;&gt;$B369)),"ID LISTS UNALIGNED",and($A370&lt;&gt;"",countif('3) Release_Label'!$D:$D,$A370)=0),"NO UPC MATCH in Release_Label",and($B370&lt;&gt;"",countif('3) Release_Label'!$E:$E,$B370)=0),"NO CATALOG ID MATCH in Release_Label",iserror(vlookup($A370&amp;$B370,'3) Release_Label'!$D:$D&amp;'3) Release_Label'!$E:$E,1,0)),"NO UPC-CATALOG ID pair MATCH in Release_Label" )</f>
        <v/>
      </c>
      <c r="E370" s="141" t="str">
        <f t="shared" si="2"/>
        <v/>
      </c>
      <c r="G370" s="103"/>
      <c r="H370" s="152"/>
      <c r="J370" s="99"/>
      <c r="K370" s="104"/>
      <c r="L370" s="99"/>
      <c r="N370" s="99"/>
      <c r="O370" s="99"/>
      <c r="P370" s="34"/>
    </row>
    <row r="371">
      <c r="A371" s="100"/>
      <c r="B371" s="103"/>
      <c r="C371" s="121" t="str">
        <f t="array" ref="C371">ifs(and(isblank($A371),isblank($B371)),"", not(iserror(vlookup($A371&amp;$B371,'3) Release_Label'!$D:$D&amp;'3) Release_Label'!$E:$E,1,0))),vlookup($A371&amp;$B371,{'3) Release_Label'!$D:$D&amp;'3) Release_Label'!$E:$E,'3) Release_Label'!$F:$F},2,0), or(and(not(isblank($B371)),$B371=$B370,$A371&lt;&gt;$A370),and(not(isblank($A371)),$A371=$A370,$B371&lt;&gt;$B370)),"ID LISTS UNALIGNED",and($A371&lt;&gt;"",countif('3) Release_Label'!$D:$D,$A371)=0),"NO UPC MATCH in Release_Label",and($B371&lt;&gt;"",countif('3) Release_Label'!$E:$E,$B371)=0),"NO CATALOG ID MATCH in Release_Label",iserror(vlookup($A371&amp;$B371,'3) Release_Label'!$D:$D&amp;'3) Release_Label'!$E:$E,1,0)),"NO UPC-CATALOG ID pair MATCH in Release_Label" )</f>
        <v/>
      </c>
      <c r="D371" s="121" t="str">
        <f t="array" ref="D371">ifs(and(isblank($A371),isblank($B371)),"", not(iserror(vlookup($A371&amp;$B371,'3) Release_Label'!$D:$D&amp;'3) Release_Label'!$E:$E,1,0))),vlookup($A371&amp;$B371,{'3) Release_Label'!$D:$D&amp;'3) Release_Label'!$E:$E,'3) Release_Label'!$H:$H},2,0), or(and(not(isblank($B371)),$B371=$B370,$A371&lt;&gt;$A370),and(not(isblank($A371)),$A371=$A370,$B371&lt;&gt;$B370)),"ID LISTS UNALIGNED",and($A371&lt;&gt;"",countif('3) Release_Label'!$D:$D,$A371)=0),"NO UPC MATCH in Release_Label",and($B371&lt;&gt;"",countif('3) Release_Label'!$E:$E,$B371)=0),"NO CATALOG ID MATCH in Release_Label",iserror(vlookup($A371&amp;$B371,'3) Release_Label'!$D:$D&amp;'3) Release_Label'!$E:$E,1,0)),"NO UPC-CATALOG ID pair MATCH in Release_Label" )</f>
        <v/>
      </c>
      <c r="E371" s="141" t="str">
        <f t="shared" si="2"/>
        <v/>
      </c>
      <c r="G371" s="103"/>
      <c r="H371" s="152"/>
      <c r="J371" s="99"/>
      <c r="K371" s="104"/>
      <c r="L371" s="99"/>
      <c r="N371" s="99"/>
      <c r="O371" s="99"/>
      <c r="P371" s="34"/>
    </row>
    <row r="372">
      <c r="A372" s="100"/>
      <c r="B372" s="103"/>
      <c r="C372" s="121" t="str">
        <f t="array" ref="C372">ifs(and(isblank($A372),isblank($B372)),"", not(iserror(vlookup($A372&amp;$B372,'3) Release_Label'!$D:$D&amp;'3) Release_Label'!$E:$E,1,0))),vlookup($A372&amp;$B372,{'3) Release_Label'!$D:$D&amp;'3) Release_Label'!$E:$E,'3) Release_Label'!$F:$F},2,0), or(and(not(isblank($B372)),$B372=$B371,$A372&lt;&gt;$A371),and(not(isblank($A372)),$A372=$A371,$B372&lt;&gt;$B371)),"ID LISTS UNALIGNED",and($A372&lt;&gt;"",countif('3) Release_Label'!$D:$D,$A372)=0),"NO UPC MATCH in Release_Label",and($B372&lt;&gt;"",countif('3) Release_Label'!$E:$E,$B372)=0),"NO CATALOG ID MATCH in Release_Label",iserror(vlookup($A372&amp;$B372,'3) Release_Label'!$D:$D&amp;'3) Release_Label'!$E:$E,1,0)),"NO UPC-CATALOG ID pair MATCH in Release_Label" )</f>
        <v/>
      </c>
      <c r="D372" s="121" t="str">
        <f t="array" ref="D372">ifs(and(isblank($A372),isblank($B372)),"", not(iserror(vlookup($A372&amp;$B372,'3) Release_Label'!$D:$D&amp;'3) Release_Label'!$E:$E,1,0))),vlookup($A372&amp;$B372,{'3) Release_Label'!$D:$D&amp;'3) Release_Label'!$E:$E,'3) Release_Label'!$H:$H},2,0), or(and(not(isblank($B372)),$B372=$B371,$A372&lt;&gt;$A371),and(not(isblank($A372)),$A372=$A371,$B372&lt;&gt;$B371)),"ID LISTS UNALIGNED",and($A372&lt;&gt;"",countif('3) Release_Label'!$D:$D,$A372)=0),"NO UPC MATCH in Release_Label",and($B372&lt;&gt;"",countif('3) Release_Label'!$E:$E,$B372)=0),"NO CATALOG ID MATCH in Release_Label",iserror(vlookup($A372&amp;$B372,'3) Release_Label'!$D:$D&amp;'3) Release_Label'!$E:$E,1,0)),"NO UPC-CATALOG ID pair MATCH in Release_Label" )</f>
        <v/>
      </c>
      <c r="E372" s="141" t="str">
        <f t="shared" si="2"/>
        <v/>
      </c>
      <c r="G372" s="103"/>
      <c r="H372" s="152"/>
      <c r="J372" s="99"/>
      <c r="K372" s="104"/>
      <c r="L372" s="99"/>
      <c r="N372" s="99"/>
      <c r="O372" s="99"/>
      <c r="P372" s="34"/>
    </row>
    <row r="373">
      <c r="A373" s="100"/>
      <c r="B373" s="103"/>
      <c r="C373" s="121" t="str">
        <f t="array" ref="C373">ifs(and(isblank($A373),isblank($B373)),"", not(iserror(vlookup($A373&amp;$B373,'3) Release_Label'!$D:$D&amp;'3) Release_Label'!$E:$E,1,0))),vlookup($A373&amp;$B373,{'3) Release_Label'!$D:$D&amp;'3) Release_Label'!$E:$E,'3) Release_Label'!$F:$F},2,0), or(and(not(isblank($B373)),$B373=$B372,$A373&lt;&gt;$A372),and(not(isblank($A373)),$A373=$A372,$B373&lt;&gt;$B372)),"ID LISTS UNALIGNED",and($A373&lt;&gt;"",countif('3) Release_Label'!$D:$D,$A373)=0),"NO UPC MATCH in Release_Label",and($B373&lt;&gt;"",countif('3) Release_Label'!$E:$E,$B373)=0),"NO CATALOG ID MATCH in Release_Label",iserror(vlookup($A373&amp;$B373,'3) Release_Label'!$D:$D&amp;'3) Release_Label'!$E:$E,1,0)),"NO UPC-CATALOG ID pair MATCH in Release_Label" )</f>
        <v/>
      </c>
      <c r="D373" s="121" t="str">
        <f t="array" ref="D373">ifs(and(isblank($A373),isblank($B373)),"", not(iserror(vlookup($A373&amp;$B373,'3) Release_Label'!$D:$D&amp;'3) Release_Label'!$E:$E,1,0))),vlookup($A373&amp;$B373,{'3) Release_Label'!$D:$D&amp;'3) Release_Label'!$E:$E,'3) Release_Label'!$H:$H},2,0), or(and(not(isblank($B373)),$B373=$B372,$A373&lt;&gt;$A372),and(not(isblank($A373)),$A373=$A372,$B373&lt;&gt;$B372)),"ID LISTS UNALIGNED",and($A373&lt;&gt;"",countif('3) Release_Label'!$D:$D,$A373)=0),"NO UPC MATCH in Release_Label",and($B373&lt;&gt;"",countif('3) Release_Label'!$E:$E,$B373)=0),"NO CATALOG ID MATCH in Release_Label",iserror(vlookup($A373&amp;$B373,'3) Release_Label'!$D:$D&amp;'3) Release_Label'!$E:$E,1,0)),"NO UPC-CATALOG ID pair MATCH in Release_Label" )</f>
        <v/>
      </c>
      <c r="E373" s="141" t="str">
        <f t="shared" si="2"/>
        <v/>
      </c>
      <c r="G373" s="103"/>
      <c r="H373" s="152"/>
      <c r="J373" s="99"/>
      <c r="K373" s="104"/>
      <c r="L373" s="99"/>
      <c r="N373" s="99"/>
      <c r="O373" s="99"/>
      <c r="P373" s="34"/>
    </row>
    <row r="374">
      <c r="A374" s="100"/>
      <c r="B374" s="103"/>
      <c r="C374" s="121" t="str">
        <f t="array" ref="C374">ifs(and(isblank($A374),isblank($B374)),"", not(iserror(vlookup($A374&amp;$B374,'3) Release_Label'!$D:$D&amp;'3) Release_Label'!$E:$E,1,0))),vlookup($A374&amp;$B374,{'3) Release_Label'!$D:$D&amp;'3) Release_Label'!$E:$E,'3) Release_Label'!$F:$F},2,0), or(and(not(isblank($B374)),$B374=$B373,$A374&lt;&gt;$A373),and(not(isblank($A374)),$A374=$A373,$B374&lt;&gt;$B373)),"ID LISTS UNALIGNED",and($A374&lt;&gt;"",countif('3) Release_Label'!$D:$D,$A374)=0),"NO UPC MATCH in Release_Label",and($B374&lt;&gt;"",countif('3) Release_Label'!$E:$E,$B374)=0),"NO CATALOG ID MATCH in Release_Label",iserror(vlookup($A374&amp;$B374,'3) Release_Label'!$D:$D&amp;'3) Release_Label'!$E:$E,1,0)),"NO UPC-CATALOG ID pair MATCH in Release_Label" )</f>
        <v/>
      </c>
      <c r="D374" s="121" t="str">
        <f t="array" ref="D374">ifs(and(isblank($A374),isblank($B374)),"", not(iserror(vlookup($A374&amp;$B374,'3) Release_Label'!$D:$D&amp;'3) Release_Label'!$E:$E,1,0))),vlookup($A374&amp;$B374,{'3) Release_Label'!$D:$D&amp;'3) Release_Label'!$E:$E,'3) Release_Label'!$H:$H},2,0), or(and(not(isblank($B374)),$B374=$B373,$A374&lt;&gt;$A373),and(not(isblank($A374)),$A374=$A373,$B374&lt;&gt;$B373)),"ID LISTS UNALIGNED",and($A374&lt;&gt;"",countif('3) Release_Label'!$D:$D,$A374)=0),"NO UPC MATCH in Release_Label",and($B374&lt;&gt;"",countif('3) Release_Label'!$E:$E,$B374)=0),"NO CATALOG ID MATCH in Release_Label",iserror(vlookup($A374&amp;$B374,'3) Release_Label'!$D:$D&amp;'3) Release_Label'!$E:$E,1,0)),"NO UPC-CATALOG ID pair MATCH in Release_Label" )</f>
        <v/>
      </c>
      <c r="E374" s="141" t="str">
        <f t="shared" si="2"/>
        <v/>
      </c>
      <c r="G374" s="103"/>
      <c r="H374" s="152"/>
      <c r="J374" s="99"/>
      <c r="K374" s="104"/>
      <c r="L374" s="99"/>
      <c r="N374" s="99"/>
      <c r="O374" s="99"/>
      <c r="P374" s="34"/>
    </row>
    <row r="375">
      <c r="A375" s="100"/>
      <c r="B375" s="103"/>
      <c r="C375" s="121" t="str">
        <f t="array" ref="C375">ifs(and(isblank($A375),isblank($B375)),"", not(iserror(vlookup($A375&amp;$B375,'3) Release_Label'!$D:$D&amp;'3) Release_Label'!$E:$E,1,0))),vlookup($A375&amp;$B375,{'3) Release_Label'!$D:$D&amp;'3) Release_Label'!$E:$E,'3) Release_Label'!$F:$F},2,0), or(and(not(isblank($B375)),$B375=$B374,$A375&lt;&gt;$A374),and(not(isblank($A375)),$A375=$A374,$B375&lt;&gt;$B374)),"ID LISTS UNALIGNED",and($A375&lt;&gt;"",countif('3) Release_Label'!$D:$D,$A375)=0),"NO UPC MATCH in Release_Label",and($B375&lt;&gt;"",countif('3) Release_Label'!$E:$E,$B375)=0),"NO CATALOG ID MATCH in Release_Label",iserror(vlookup($A375&amp;$B375,'3) Release_Label'!$D:$D&amp;'3) Release_Label'!$E:$E,1,0)),"NO UPC-CATALOG ID pair MATCH in Release_Label" )</f>
        <v/>
      </c>
      <c r="D375" s="121" t="str">
        <f t="array" ref="D375">ifs(and(isblank($A375),isblank($B375)),"", not(iserror(vlookup($A375&amp;$B375,'3) Release_Label'!$D:$D&amp;'3) Release_Label'!$E:$E,1,0))),vlookup($A375&amp;$B375,{'3) Release_Label'!$D:$D&amp;'3) Release_Label'!$E:$E,'3) Release_Label'!$H:$H},2,0), or(and(not(isblank($B375)),$B375=$B374,$A375&lt;&gt;$A374),and(not(isblank($A375)),$A375=$A374,$B375&lt;&gt;$B374)),"ID LISTS UNALIGNED",and($A375&lt;&gt;"",countif('3) Release_Label'!$D:$D,$A375)=0),"NO UPC MATCH in Release_Label",and($B375&lt;&gt;"",countif('3) Release_Label'!$E:$E,$B375)=0),"NO CATALOG ID MATCH in Release_Label",iserror(vlookup($A375&amp;$B375,'3) Release_Label'!$D:$D&amp;'3) Release_Label'!$E:$E,1,0)),"NO UPC-CATALOG ID pair MATCH in Release_Label" )</f>
        <v/>
      </c>
      <c r="E375" s="141" t="str">
        <f t="shared" si="2"/>
        <v/>
      </c>
      <c r="G375" s="103"/>
      <c r="H375" s="152"/>
      <c r="J375" s="99"/>
      <c r="K375" s="104"/>
      <c r="L375" s="99"/>
      <c r="N375" s="99"/>
      <c r="O375" s="99"/>
      <c r="P375" s="34"/>
    </row>
    <row r="376">
      <c r="A376" s="100"/>
      <c r="B376" s="103"/>
      <c r="C376" s="121" t="str">
        <f t="array" ref="C376">ifs(and(isblank($A376),isblank($B376)),"", not(iserror(vlookup($A376&amp;$B376,'3) Release_Label'!$D:$D&amp;'3) Release_Label'!$E:$E,1,0))),vlookup($A376&amp;$B376,{'3) Release_Label'!$D:$D&amp;'3) Release_Label'!$E:$E,'3) Release_Label'!$F:$F},2,0), or(and(not(isblank($B376)),$B376=$B375,$A376&lt;&gt;$A375),and(not(isblank($A376)),$A376=$A375,$B376&lt;&gt;$B375)),"ID LISTS UNALIGNED",and($A376&lt;&gt;"",countif('3) Release_Label'!$D:$D,$A376)=0),"NO UPC MATCH in Release_Label",and($B376&lt;&gt;"",countif('3) Release_Label'!$E:$E,$B376)=0),"NO CATALOG ID MATCH in Release_Label",iserror(vlookup($A376&amp;$B376,'3) Release_Label'!$D:$D&amp;'3) Release_Label'!$E:$E,1,0)),"NO UPC-CATALOG ID pair MATCH in Release_Label" )</f>
        <v/>
      </c>
      <c r="D376" s="121" t="str">
        <f t="array" ref="D376">ifs(and(isblank($A376),isblank($B376)),"", not(iserror(vlookup($A376&amp;$B376,'3) Release_Label'!$D:$D&amp;'3) Release_Label'!$E:$E,1,0))),vlookup($A376&amp;$B376,{'3) Release_Label'!$D:$D&amp;'3) Release_Label'!$E:$E,'3) Release_Label'!$H:$H},2,0), or(and(not(isblank($B376)),$B376=$B375,$A376&lt;&gt;$A375),and(not(isblank($A376)),$A376=$A375,$B376&lt;&gt;$B375)),"ID LISTS UNALIGNED",and($A376&lt;&gt;"",countif('3) Release_Label'!$D:$D,$A376)=0),"NO UPC MATCH in Release_Label",and($B376&lt;&gt;"",countif('3) Release_Label'!$E:$E,$B376)=0),"NO CATALOG ID MATCH in Release_Label",iserror(vlookup($A376&amp;$B376,'3) Release_Label'!$D:$D&amp;'3) Release_Label'!$E:$E,1,0)),"NO UPC-CATALOG ID pair MATCH in Release_Label" )</f>
        <v/>
      </c>
      <c r="E376" s="141" t="str">
        <f t="shared" si="2"/>
        <v/>
      </c>
      <c r="G376" s="103"/>
      <c r="H376" s="152"/>
      <c r="J376" s="99"/>
      <c r="K376" s="104"/>
      <c r="L376" s="99"/>
      <c r="N376" s="99"/>
      <c r="O376" s="99"/>
      <c r="P376" s="34"/>
    </row>
    <row r="377">
      <c r="A377" s="100"/>
      <c r="B377" s="103"/>
      <c r="C377" s="121" t="str">
        <f t="array" ref="C377">ifs(and(isblank($A377),isblank($B377)),"", not(iserror(vlookup($A377&amp;$B377,'3) Release_Label'!$D:$D&amp;'3) Release_Label'!$E:$E,1,0))),vlookup($A377&amp;$B377,{'3) Release_Label'!$D:$D&amp;'3) Release_Label'!$E:$E,'3) Release_Label'!$F:$F},2,0), or(and(not(isblank($B377)),$B377=$B376,$A377&lt;&gt;$A376),and(not(isblank($A377)),$A377=$A376,$B377&lt;&gt;$B376)),"ID LISTS UNALIGNED",and($A377&lt;&gt;"",countif('3) Release_Label'!$D:$D,$A377)=0),"NO UPC MATCH in Release_Label",and($B377&lt;&gt;"",countif('3) Release_Label'!$E:$E,$B377)=0),"NO CATALOG ID MATCH in Release_Label",iserror(vlookup($A377&amp;$B377,'3) Release_Label'!$D:$D&amp;'3) Release_Label'!$E:$E,1,0)),"NO UPC-CATALOG ID pair MATCH in Release_Label" )</f>
        <v/>
      </c>
      <c r="D377" s="121" t="str">
        <f t="array" ref="D377">ifs(and(isblank($A377),isblank($B377)),"", not(iserror(vlookup($A377&amp;$B377,'3) Release_Label'!$D:$D&amp;'3) Release_Label'!$E:$E,1,0))),vlookup($A377&amp;$B377,{'3) Release_Label'!$D:$D&amp;'3) Release_Label'!$E:$E,'3) Release_Label'!$H:$H},2,0), or(and(not(isblank($B377)),$B377=$B376,$A377&lt;&gt;$A376),and(not(isblank($A377)),$A377=$A376,$B377&lt;&gt;$B376)),"ID LISTS UNALIGNED",and($A377&lt;&gt;"",countif('3) Release_Label'!$D:$D,$A377)=0),"NO UPC MATCH in Release_Label",and($B377&lt;&gt;"",countif('3) Release_Label'!$E:$E,$B377)=0),"NO CATALOG ID MATCH in Release_Label",iserror(vlookup($A377&amp;$B377,'3) Release_Label'!$D:$D&amp;'3) Release_Label'!$E:$E,1,0)),"NO UPC-CATALOG ID pair MATCH in Release_Label" )</f>
        <v/>
      </c>
      <c r="E377" s="141" t="str">
        <f t="shared" si="2"/>
        <v/>
      </c>
      <c r="G377" s="103"/>
      <c r="H377" s="152"/>
      <c r="J377" s="99"/>
      <c r="K377" s="104"/>
      <c r="L377" s="99"/>
      <c r="N377" s="99"/>
      <c r="O377" s="99"/>
      <c r="P377" s="34"/>
    </row>
    <row r="378">
      <c r="A378" s="100"/>
      <c r="B378" s="103"/>
      <c r="C378" s="121" t="str">
        <f t="array" ref="C378">ifs(and(isblank($A378),isblank($B378)),"", not(iserror(vlookup($A378&amp;$B378,'3) Release_Label'!$D:$D&amp;'3) Release_Label'!$E:$E,1,0))),vlookup($A378&amp;$B378,{'3) Release_Label'!$D:$D&amp;'3) Release_Label'!$E:$E,'3) Release_Label'!$F:$F},2,0), or(and(not(isblank($B378)),$B378=$B377,$A378&lt;&gt;$A377),and(not(isblank($A378)),$A378=$A377,$B378&lt;&gt;$B377)),"ID LISTS UNALIGNED",and($A378&lt;&gt;"",countif('3) Release_Label'!$D:$D,$A378)=0),"NO UPC MATCH in Release_Label",and($B378&lt;&gt;"",countif('3) Release_Label'!$E:$E,$B378)=0),"NO CATALOG ID MATCH in Release_Label",iserror(vlookup($A378&amp;$B378,'3) Release_Label'!$D:$D&amp;'3) Release_Label'!$E:$E,1,0)),"NO UPC-CATALOG ID pair MATCH in Release_Label" )</f>
        <v/>
      </c>
      <c r="D378" s="121" t="str">
        <f t="array" ref="D378">ifs(and(isblank($A378),isblank($B378)),"", not(iserror(vlookup($A378&amp;$B378,'3) Release_Label'!$D:$D&amp;'3) Release_Label'!$E:$E,1,0))),vlookup($A378&amp;$B378,{'3) Release_Label'!$D:$D&amp;'3) Release_Label'!$E:$E,'3) Release_Label'!$H:$H},2,0), or(and(not(isblank($B378)),$B378=$B377,$A378&lt;&gt;$A377),and(not(isblank($A378)),$A378=$A377,$B378&lt;&gt;$B377)),"ID LISTS UNALIGNED",and($A378&lt;&gt;"",countif('3) Release_Label'!$D:$D,$A378)=0),"NO UPC MATCH in Release_Label",and($B378&lt;&gt;"",countif('3) Release_Label'!$E:$E,$B378)=0),"NO CATALOG ID MATCH in Release_Label",iserror(vlookup($A378&amp;$B378,'3) Release_Label'!$D:$D&amp;'3) Release_Label'!$E:$E,1,0)),"NO UPC-CATALOG ID pair MATCH in Release_Label" )</f>
        <v/>
      </c>
      <c r="E378" s="141" t="str">
        <f t="shared" si="2"/>
        <v/>
      </c>
      <c r="G378" s="103"/>
      <c r="H378" s="152"/>
      <c r="J378" s="99"/>
      <c r="K378" s="104"/>
      <c r="L378" s="99"/>
      <c r="N378" s="99"/>
      <c r="O378" s="99"/>
      <c r="P378" s="34"/>
    </row>
    <row r="379">
      <c r="A379" s="100"/>
      <c r="B379" s="103"/>
      <c r="C379" s="121" t="str">
        <f t="array" ref="C379">ifs(and(isblank($A379),isblank($B379)),"", not(iserror(vlookup($A379&amp;$B379,'3) Release_Label'!$D:$D&amp;'3) Release_Label'!$E:$E,1,0))),vlookup($A379&amp;$B379,{'3) Release_Label'!$D:$D&amp;'3) Release_Label'!$E:$E,'3) Release_Label'!$F:$F},2,0), or(and(not(isblank($B379)),$B379=$B378,$A379&lt;&gt;$A378),and(not(isblank($A379)),$A379=$A378,$B379&lt;&gt;$B378)),"ID LISTS UNALIGNED",and($A379&lt;&gt;"",countif('3) Release_Label'!$D:$D,$A379)=0),"NO UPC MATCH in Release_Label",and($B379&lt;&gt;"",countif('3) Release_Label'!$E:$E,$B379)=0),"NO CATALOG ID MATCH in Release_Label",iserror(vlookup($A379&amp;$B379,'3) Release_Label'!$D:$D&amp;'3) Release_Label'!$E:$E,1,0)),"NO UPC-CATALOG ID pair MATCH in Release_Label" )</f>
        <v/>
      </c>
      <c r="D379" s="121" t="str">
        <f t="array" ref="D379">ifs(and(isblank($A379),isblank($B379)),"", not(iserror(vlookup($A379&amp;$B379,'3) Release_Label'!$D:$D&amp;'3) Release_Label'!$E:$E,1,0))),vlookup($A379&amp;$B379,{'3) Release_Label'!$D:$D&amp;'3) Release_Label'!$E:$E,'3) Release_Label'!$H:$H},2,0), or(and(not(isblank($B379)),$B379=$B378,$A379&lt;&gt;$A378),and(not(isblank($A379)),$A379=$A378,$B379&lt;&gt;$B378)),"ID LISTS UNALIGNED",and($A379&lt;&gt;"",countif('3) Release_Label'!$D:$D,$A379)=0),"NO UPC MATCH in Release_Label",and($B379&lt;&gt;"",countif('3) Release_Label'!$E:$E,$B379)=0),"NO CATALOG ID MATCH in Release_Label",iserror(vlookup($A379&amp;$B379,'3) Release_Label'!$D:$D&amp;'3) Release_Label'!$E:$E,1,0)),"NO UPC-CATALOG ID pair MATCH in Release_Label" )</f>
        <v/>
      </c>
      <c r="E379" s="141" t="str">
        <f t="shared" si="2"/>
        <v/>
      </c>
      <c r="G379" s="103"/>
      <c r="H379" s="152"/>
      <c r="J379" s="99"/>
      <c r="K379" s="104"/>
      <c r="L379" s="99"/>
      <c r="N379" s="99"/>
      <c r="O379" s="99"/>
      <c r="P379" s="34"/>
    </row>
    <row r="380">
      <c r="A380" s="100"/>
      <c r="B380" s="103"/>
      <c r="C380" s="121" t="str">
        <f t="array" ref="C380">ifs(and(isblank($A380),isblank($B380)),"", not(iserror(vlookup($A380&amp;$B380,'3) Release_Label'!$D:$D&amp;'3) Release_Label'!$E:$E,1,0))),vlookup($A380&amp;$B380,{'3) Release_Label'!$D:$D&amp;'3) Release_Label'!$E:$E,'3) Release_Label'!$F:$F},2,0), or(and(not(isblank($B380)),$B380=$B379,$A380&lt;&gt;$A379),and(not(isblank($A380)),$A380=$A379,$B380&lt;&gt;$B379)),"ID LISTS UNALIGNED",and($A380&lt;&gt;"",countif('3) Release_Label'!$D:$D,$A380)=0),"NO UPC MATCH in Release_Label",and($B380&lt;&gt;"",countif('3) Release_Label'!$E:$E,$B380)=0),"NO CATALOG ID MATCH in Release_Label",iserror(vlookup($A380&amp;$B380,'3) Release_Label'!$D:$D&amp;'3) Release_Label'!$E:$E,1,0)),"NO UPC-CATALOG ID pair MATCH in Release_Label" )</f>
        <v/>
      </c>
      <c r="D380" s="121" t="str">
        <f t="array" ref="D380">ifs(and(isblank($A380),isblank($B380)),"", not(iserror(vlookup($A380&amp;$B380,'3) Release_Label'!$D:$D&amp;'3) Release_Label'!$E:$E,1,0))),vlookup($A380&amp;$B380,{'3) Release_Label'!$D:$D&amp;'3) Release_Label'!$E:$E,'3) Release_Label'!$H:$H},2,0), or(and(not(isblank($B380)),$B380=$B379,$A380&lt;&gt;$A379),and(not(isblank($A380)),$A380=$A379,$B380&lt;&gt;$B379)),"ID LISTS UNALIGNED",and($A380&lt;&gt;"",countif('3) Release_Label'!$D:$D,$A380)=0),"NO UPC MATCH in Release_Label",and($B380&lt;&gt;"",countif('3) Release_Label'!$E:$E,$B380)=0),"NO CATALOG ID MATCH in Release_Label",iserror(vlookup($A380&amp;$B380,'3) Release_Label'!$D:$D&amp;'3) Release_Label'!$E:$E,1,0)),"NO UPC-CATALOG ID pair MATCH in Release_Label" )</f>
        <v/>
      </c>
      <c r="E380" s="141" t="str">
        <f t="shared" si="2"/>
        <v/>
      </c>
      <c r="G380" s="103"/>
      <c r="H380" s="152"/>
      <c r="J380" s="99"/>
      <c r="K380" s="104"/>
      <c r="L380" s="99"/>
      <c r="N380" s="99"/>
      <c r="O380" s="99"/>
      <c r="P380" s="34"/>
    </row>
    <row r="381">
      <c r="A381" s="100"/>
      <c r="B381" s="103"/>
      <c r="C381" s="121" t="str">
        <f t="array" ref="C381">ifs(and(isblank($A381),isblank($B381)),"", not(iserror(vlookup($A381&amp;$B381,'3) Release_Label'!$D:$D&amp;'3) Release_Label'!$E:$E,1,0))),vlookup($A381&amp;$B381,{'3) Release_Label'!$D:$D&amp;'3) Release_Label'!$E:$E,'3) Release_Label'!$F:$F},2,0), or(and(not(isblank($B381)),$B381=$B380,$A381&lt;&gt;$A380),and(not(isblank($A381)),$A381=$A380,$B381&lt;&gt;$B380)),"ID LISTS UNALIGNED",and($A381&lt;&gt;"",countif('3) Release_Label'!$D:$D,$A381)=0),"NO UPC MATCH in Release_Label",and($B381&lt;&gt;"",countif('3) Release_Label'!$E:$E,$B381)=0),"NO CATALOG ID MATCH in Release_Label",iserror(vlookup($A381&amp;$B381,'3) Release_Label'!$D:$D&amp;'3) Release_Label'!$E:$E,1,0)),"NO UPC-CATALOG ID pair MATCH in Release_Label" )</f>
        <v/>
      </c>
      <c r="D381" s="121" t="str">
        <f t="array" ref="D381">ifs(and(isblank($A381),isblank($B381)),"", not(iserror(vlookup($A381&amp;$B381,'3) Release_Label'!$D:$D&amp;'3) Release_Label'!$E:$E,1,0))),vlookup($A381&amp;$B381,{'3) Release_Label'!$D:$D&amp;'3) Release_Label'!$E:$E,'3) Release_Label'!$H:$H},2,0), or(and(not(isblank($B381)),$B381=$B380,$A381&lt;&gt;$A380),and(not(isblank($A381)),$A381=$A380,$B381&lt;&gt;$B380)),"ID LISTS UNALIGNED",and($A381&lt;&gt;"",countif('3) Release_Label'!$D:$D,$A381)=0),"NO UPC MATCH in Release_Label",and($B381&lt;&gt;"",countif('3) Release_Label'!$E:$E,$B381)=0),"NO CATALOG ID MATCH in Release_Label",iserror(vlookup($A381&amp;$B381,'3) Release_Label'!$D:$D&amp;'3) Release_Label'!$E:$E,1,0)),"NO UPC-CATALOG ID pair MATCH in Release_Label" )</f>
        <v/>
      </c>
      <c r="E381" s="141" t="str">
        <f t="shared" si="2"/>
        <v/>
      </c>
      <c r="G381" s="103"/>
      <c r="H381" s="152"/>
      <c r="J381" s="99"/>
      <c r="K381" s="104"/>
      <c r="L381" s="99"/>
      <c r="N381" s="99"/>
      <c r="O381" s="99"/>
      <c r="P381" s="34"/>
    </row>
    <row r="382">
      <c r="A382" s="100"/>
      <c r="B382" s="103"/>
      <c r="C382" s="121" t="str">
        <f t="array" ref="C382">ifs(and(isblank($A382),isblank($B382)),"", not(iserror(vlookup($A382&amp;$B382,'3) Release_Label'!$D:$D&amp;'3) Release_Label'!$E:$E,1,0))),vlookup($A382&amp;$B382,{'3) Release_Label'!$D:$D&amp;'3) Release_Label'!$E:$E,'3) Release_Label'!$F:$F},2,0), or(and(not(isblank($B382)),$B382=$B381,$A382&lt;&gt;$A381),and(not(isblank($A382)),$A382=$A381,$B382&lt;&gt;$B381)),"ID LISTS UNALIGNED",and($A382&lt;&gt;"",countif('3) Release_Label'!$D:$D,$A382)=0),"NO UPC MATCH in Release_Label",and($B382&lt;&gt;"",countif('3) Release_Label'!$E:$E,$B382)=0),"NO CATALOG ID MATCH in Release_Label",iserror(vlookup($A382&amp;$B382,'3) Release_Label'!$D:$D&amp;'3) Release_Label'!$E:$E,1,0)),"NO UPC-CATALOG ID pair MATCH in Release_Label" )</f>
        <v/>
      </c>
      <c r="D382" s="121" t="str">
        <f t="array" ref="D382">ifs(and(isblank($A382),isblank($B382)),"", not(iserror(vlookup($A382&amp;$B382,'3) Release_Label'!$D:$D&amp;'3) Release_Label'!$E:$E,1,0))),vlookup($A382&amp;$B382,{'3) Release_Label'!$D:$D&amp;'3) Release_Label'!$E:$E,'3) Release_Label'!$H:$H},2,0), or(and(not(isblank($B382)),$B382=$B381,$A382&lt;&gt;$A381),and(not(isblank($A382)),$A382=$A381,$B382&lt;&gt;$B381)),"ID LISTS UNALIGNED",and($A382&lt;&gt;"",countif('3) Release_Label'!$D:$D,$A382)=0),"NO UPC MATCH in Release_Label",and($B382&lt;&gt;"",countif('3) Release_Label'!$E:$E,$B382)=0),"NO CATALOG ID MATCH in Release_Label",iserror(vlookup($A382&amp;$B382,'3) Release_Label'!$D:$D&amp;'3) Release_Label'!$E:$E,1,0)),"NO UPC-CATALOG ID pair MATCH in Release_Label" )</f>
        <v/>
      </c>
      <c r="E382" s="141" t="str">
        <f t="shared" si="2"/>
        <v/>
      </c>
      <c r="G382" s="103"/>
      <c r="H382" s="152"/>
      <c r="J382" s="99"/>
      <c r="K382" s="104"/>
      <c r="L382" s="99"/>
      <c r="N382" s="99"/>
      <c r="O382" s="99"/>
      <c r="P382" s="34"/>
    </row>
    <row r="383">
      <c r="A383" s="100"/>
      <c r="B383" s="103"/>
      <c r="C383" s="121" t="str">
        <f t="array" ref="C383">ifs(and(isblank($A383),isblank($B383)),"", not(iserror(vlookup($A383&amp;$B383,'3) Release_Label'!$D:$D&amp;'3) Release_Label'!$E:$E,1,0))),vlookup($A383&amp;$B383,{'3) Release_Label'!$D:$D&amp;'3) Release_Label'!$E:$E,'3) Release_Label'!$F:$F},2,0), or(and(not(isblank($B383)),$B383=$B382,$A383&lt;&gt;$A382),and(not(isblank($A383)),$A383=$A382,$B383&lt;&gt;$B382)),"ID LISTS UNALIGNED",and($A383&lt;&gt;"",countif('3) Release_Label'!$D:$D,$A383)=0),"NO UPC MATCH in Release_Label",and($B383&lt;&gt;"",countif('3) Release_Label'!$E:$E,$B383)=0),"NO CATALOG ID MATCH in Release_Label",iserror(vlookup($A383&amp;$B383,'3) Release_Label'!$D:$D&amp;'3) Release_Label'!$E:$E,1,0)),"NO UPC-CATALOG ID pair MATCH in Release_Label" )</f>
        <v/>
      </c>
      <c r="D383" s="121" t="str">
        <f t="array" ref="D383">ifs(and(isblank($A383),isblank($B383)),"", not(iserror(vlookup($A383&amp;$B383,'3) Release_Label'!$D:$D&amp;'3) Release_Label'!$E:$E,1,0))),vlookup($A383&amp;$B383,{'3) Release_Label'!$D:$D&amp;'3) Release_Label'!$E:$E,'3) Release_Label'!$H:$H},2,0), or(and(not(isblank($B383)),$B383=$B382,$A383&lt;&gt;$A382),and(not(isblank($A383)),$A383=$A382,$B383&lt;&gt;$B382)),"ID LISTS UNALIGNED",and($A383&lt;&gt;"",countif('3) Release_Label'!$D:$D,$A383)=0),"NO UPC MATCH in Release_Label",and($B383&lt;&gt;"",countif('3) Release_Label'!$E:$E,$B383)=0),"NO CATALOG ID MATCH in Release_Label",iserror(vlookup($A383&amp;$B383,'3) Release_Label'!$D:$D&amp;'3) Release_Label'!$E:$E,1,0)),"NO UPC-CATALOG ID pair MATCH in Release_Label" )</f>
        <v/>
      </c>
      <c r="E383" s="141" t="str">
        <f t="shared" si="2"/>
        <v/>
      </c>
      <c r="G383" s="103"/>
      <c r="H383" s="152"/>
      <c r="J383" s="99"/>
      <c r="K383" s="104"/>
      <c r="L383" s="99"/>
      <c r="N383" s="99"/>
      <c r="O383" s="99"/>
      <c r="P383" s="34"/>
    </row>
    <row r="384">
      <c r="A384" s="100"/>
      <c r="B384" s="103"/>
      <c r="C384" s="121" t="str">
        <f t="array" ref="C384">ifs(and(isblank($A384),isblank($B384)),"", not(iserror(vlookup($A384&amp;$B384,'3) Release_Label'!$D:$D&amp;'3) Release_Label'!$E:$E,1,0))),vlookup($A384&amp;$B384,{'3) Release_Label'!$D:$D&amp;'3) Release_Label'!$E:$E,'3) Release_Label'!$F:$F},2,0), or(and(not(isblank($B384)),$B384=$B383,$A384&lt;&gt;$A383),and(not(isblank($A384)),$A384=$A383,$B384&lt;&gt;$B383)),"ID LISTS UNALIGNED",and($A384&lt;&gt;"",countif('3) Release_Label'!$D:$D,$A384)=0),"NO UPC MATCH in Release_Label",and($B384&lt;&gt;"",countif('3) Release_Label'!$E:$E,$B384)=0),"NO CATALOG ID MATCH in Release_Label",iserror(vlookup($A384&amp;$B384,'3) Release_Label'!$D:$D&amp;'3) Release_Label'!$E:$E,1,0)),"NO UPC-CATALOG ID pair MATCH in Release_Label" )</f>
        <v/>
      </c>
      <c r="D384" s="121" t="str">
        <f t="array" ref="D384">ifs(and(isblank($A384),isblank($B384)),"", not(iserror(vlookup($A384&amp;$B384,'3) Release_Label'!$D:$D&amp;'3) Release_Label'!$E:$E,1,0))),vlookup($A384&amp;$B384,{'3) Release_Label'!$D:$D&amp;'3) Release_Label'!$E:$E,'3) Release_Label'!$H:$H},2,0), or(and(not(isblank($B384)),$B384=$B383,$A384&lt;&gt;$A383),and(not(isblank($A384)),$A384=$A383,$B384&lt;&gt;$B383)),"ID LISTS UNALIGNED",and($A384&lt;&gt;"",countif('3) Release_Label'!$D:$D,$A384)=0),"NO UPC MATCH in Release_Label",and($B384&lt;&gt;"",countif('3) Release_Label'!$E:$E,$B384)=0),"NO CATALOG ID MATCH in Release_Label",iserror(vlookup($A384&amp;$B384,'3) Release_Label'!$D:$D&amp;'3) Release_Label'!$E:$E,1,0)),"NO UPC-CATALOG ID pair MATCH in Release_Label" )</f>
        <v/>
      </c>
      <c r="E384" s="141" t="str">
        <f t="shared" si="2"/>
        <v/>
      </c>
      <c r="G384" s="103"/>
      <c r="H384" s="152"/>
      <c r="J384" s="99"/>
      <c r="K384" s="104"/>
      <c r="L384" s="99"/>
      <c r="N384" s="99"/>
      <c r="O384" s="99"/>
      <c r="P384" s="34"/>
    </row>
    <row r="385">
      <c r="A385" s="100"/>
      <c r="B385" s="103"/>
      <c r="C385" s="121" t="str">
        <f t="array" ref="C385">ifs(and(isblank($A385),isblank($B385)),"", not(iserror(vlookup($A385&amp;$B385,'3) Release_Label'!$D:$D&amp;'3) Release_Label'!$E:$E,1,0))),vlookup($A385&amp;$B385,{'3) Release_Label'!$D:$D&amp;'3) Release_Label'!$E:$E,'3) Release_Label'!$F:$F},2,0), or(and(not(isblank($B385)),$B385=$B384,$A385&lt;&gt;$A384),and(not(isblank($A385)),$A385=$A384,$B385&lt;&gt;$B384)),"ID LISTS UNALIGNED",and($A385&lt;&gt;"",countif('3) Release_Label'!$D:$D,$A385)=0),"NO UPC MATCH in Release_Label",and($B385&lt;&gt;"",countif('3) Release_Label'!$E:$E,$B385)=0),"NO CATALOG ID MATCH in Release_Label",iserror(vlookup($A385&amp;$B385,'3) Release_Label'!$D:$D&amp;'3) Release_Label'!$E:$E,1,0)),"NO UPC-CATALOG ID pair MATCH in Release_Label" )</f>
        <v/>
      </c>
      <c r="D385" s="121" t="str">
        <f t="array" ref="D385">ifs(and(isblank($A385),isblank($B385)),"", not(iserror(vlookup($A385&amp;$B385,'3) Release_Label'!$D:$D&amp;'3) Release_Label'!$E:$E,1,0))),vlookup($A385&amp;$B385,{'3) Release_Label'!$D:$D&amp;'3) Release_Label'!$E:$E,'3) Release_Label'!$H:$H},2,0), or(and(not(isblank($B385)),$B385=$B384,$A385&lt;&gt;$A384),and(not(isblank($A385)),$A385=$A384,$B385&lt;&gt;$B384)),"ID LISTS UNALIGNED",and($A385&lt;&gt;"",countif('3) Release_Label'!$D:$D,$A385)=0),"NO UPC MATCH in Release_Label",and($B385&lt;&gt;"",countif('3) Release_Label'!$E:$E,$B385)=0),"NO CATALOG ID MATCH in Release_Label",iserror(vlookup($A385&amp;$B385,'3) Release_Label'!$D:$D&amp;'3) Release_Label'!$E:$E,1,0)),"NO UPC-CATALOG ID pair MATCH in Release_Label" )</f>
        <v/>
      </c>
      <c r="E385" s="141" t="str">
        <f t="shared" si="2"/>
        <v/>
      </c>
      <c r="G385" s="103"/>
      <c r="H385" s="152"/>
      <c r="J385" s="99"/>
      <c r="K385" s="104"/>
      <c r="L385" s="99"/>
      <c r="N385" s="99"/>
      <c r="O385" s="99"/>
      <c r="P385" s="34"/>
    </row>
    <row r="386">
      <c r="A386" s="100"/>
      <c r="B386" s="103"/>
      <c r="C386" s="121" t="str">
        <f t="array" ref="C386">ifs(and(isblank($A386),isblank($B386)),"", not(iserror(vlookup($A386&amp;$B386,'3) Release_Label'!$D:$D&amp;'3) Release_Label'!$E:$E,1,0))),vlookup($A386&amp;$B386,{'3) Release_Label'!$D:$D&amp;'3) Release_Label'!$E:$E,'3) Release_Label'!$F:$F},2,0), or(and(not(isblank($B386)),$B386=$B385,$A386&lt;&gt;$A385),and(not(isblank($A386)),$A386=$A385,$B386&lt;&gt;$B385)),"ID LISTS UNALIGNED",and($A386&lt;&gt;"",countif('3) Release_Label'!$D:$D,$A386)=0),"NO UPC MATCH in Release_Label",and($B386&lt;&gt;"",countif('3) Release_Label'!$E:$E,$B386)=0),"NO CATALOG ID MATCH in Release_Label",iserror(vlookup($A386&amp;$B386,'3) Release_Label'!$D:$D&amp;'3) Release_Label'!$E:$E,1,0)),"NO UPC-CATALOG ID pair MATCH in Release_Label" )</f>
        <v/>
      </c>
      <c r="D386" s="121" t="str">
        <f t="array" ref="D386">ifs(and(isblank($A386),isblank($B386)),"", not(iserror(vlookup($A386&amp;$B386,'3) Release_Label'!$D:$D&amp;'3) Release_Label'!$E:$E,1,0))),vlookup($A386&amp;$B386,{'3) Release_Label'!$D:$D&amp;'3) Release_Label'!$E:$E,'3) Release_Label'!$H:$H},2,0), or(and(not(isblank($B386)),$B386=$B385,$A386&lt;&gt;$A385),and(not(isblank($A386)),$A386=$A385,$B386&lt;&gt;$B385)),"ID LISTS UNALIGNED",and($A386&lt;&gt;"",countif('3) Release_Label'!$D:$D,$A386)=0),"NO UPC MATCH in Release_Label",and($B386&lt;&gt;"",countif('3) Release_Label'!$E:$E,$B386)=0),"NO CATALOG ID MATCH in Release_Label",iserror(vlookup($A386&amp;$B386,'3) Release_Label'!$D:$D&amp;'3) Release_Label'!$E:$E,1,0)),"NO UPC-CATALOG ID pair MATCH in Release_Label" )</f>
        <v/>
      </c>
      <c r="E386" s="141" t="str">
        <f t="shared" si="2"/>
        <v/>
      </c>
      <c r="G386" s="103"/>
      <c r="H386" s="152"/>
      <c r="J386" s="99"/>
      <c r="K386" s="104"/>
      <c r="L386" s="99"/>
      <c r="N386" s="99"/>
      <c r="O386" s="99"/>
      <c r="P386" s="34"/>
    </row>
    <row r="387">
      <c r="A387" s="100"/>
      <c r="B387" s="103"/>
      <c r="C387" s="121" t="str">
        <f t="array" ref="C387">ifs(and(isblank($A387),isblank($B387)),"", not(iserror(vlookup($A387&amp;$B387,'3) Release_Label'!$D:$D&amp;'3) Release_Label'!$E:$E,1,0))),vlookup($A387&amp;$B387,{'3) Release_Label'!$D:$D&amp;'3) Release_Label'!$E:$E,'3) Release_Label'!$F:$F},2,0), or(and(not(isblank($B387)),$B387=$B386,$A387&lt;&gt;$A386),and(not(isblank($A387)),$A387=$A386,$B387&lt;&gt;$B386)),"ID LISTS UNALIGNED",and($A387&lt;&gt;"",countif('3) Release_Label'!$D:$D,$A387)=0),"NO UPC MATCH in Release_Label",and($B387&lt;&gt;"",countif('3) Release_Label'!$E:$E,$B387)=0),"NO CATALOG ID MATCH in Release_Label",iserror(vlookup($A387&amp;$B387,'3) Release_Label'!$D:$D&amp;'3) Release_Label'!$E:$E,1,0)),"NO UPC-CATALOG ID pair MATCH in Release_Label" )</f>
        <v/>
      </c>
      <c r="D387" s="121" t="str">
        <f t="array" ref="D387">ifs(and(isblank($A387),isblank($B387)),"", not(iserror(vlookup($A387&amp;$B387,'3) Release_Label'!$D:$D&amp;'3) Release_Label'!$E:$E,1,0))),vlookup($A387&amp;$B387,{'3) Release_Label'!$D:$D&amp;'3) Release_Label'!$E:$E,'3) Release_Label'!$H:$H},2,0), or(and(not(isblank($B387)),$B387=$B386,$A387&lt;&gt;$A386),and(not(isblank($A387)),$A387=$A386,$B387&lt;&gt;$B386)),"ID LISTS UNALIGNED",and($A387&lt;&gt;"",countif('3) Release_Label'!$D:$D,$A387)=0),"NO UPC MATCH in Release_Label",and($B387&lt;&gt;"",countif('3) Release_Label'!$E:$E,$B387)=0),"NO CATALOG ID MATCH in Release_Label",iserror(vlookup($A387&amp;$B387,'3) Release_Label'!$D:$D&amp;'3) Release_Label'!$E:$E,1,0)),"NO UPC-CATALOG ID pair MATCH in Release_Label" )</f>
        <v/>
      </c>
      <c r="E387" s="141" t="str">
        <f t="shared" si="2"/>
        <v/>
      </c>
      <c r="G387" s="103"/>
      <c r="H387" s="152"/>
      <c r="J387" s="99"/>
      <c r="K387" s="104"/>
      <c r="L387" s="99"/>
      <c r="N387" s="99"/>
      <c r="O387" s="99"/>
      <c r="P387" s="34"/>
    </row>
    <row r="388">
      <c r="A388" s="100"/>
      <c r="B388" s="103"/>
      <c r="C388" s="121" t="str">
        <f t="array" ref="C388">ifs(and(isblank($A388),isblank($B388)),"", not(iserror(vlookup($A388&amp;$B388,'3) Release_Label'!$D:$D&amp;'3) Release_Label'!$E:$E,1,0))),vlookup($A388&amp;$B388,{'3) Release_Label'!$D:$D&amp;'3) Release_Label'!$E:$E,'3) Release_Label'!$F:$F},2,0), or(and(not(isblank($B388)),$B388=$B387,$A388&lt;&gt;$A387),and(not(isblank($A388)),$A388=$A387,$B388&lt;&gt;$B387)),"ID LISTS UNALIGNED",and($A388&lt;&gt;"",countif('3) Release_Label'!$D:$D,$A388)=0),"NO UPC MATCH in Release_Label",and($B388&lt;&gt;"",countif('3) Release_Label'!$E:$E,$B388)=0),"NO CATALOG ID MATCH in Release_Label",iserror(vlookup($A388&amp;$B388,'3) Release_Label'!$D:$D&amp;'3) Release_Label'!$E:$E,1,0)),"NO UPC-CATALOG ID pair MATCH in Release_Label" )</f>
        <v/>
      </c>
      <c r="D388" s="121" t="str">
        <f t="array" ref="D388">ifs(and(isblank($A388),isblank($B388)),"", not(iserror(vlookup($A388&amp;$B388,'3) Release_Label'!$D:$D&amp;'3) Release_Label'!$E:$E,1,0))),vlookup($A388&amp;$B388,{'3) Release_Label'!$D:$D&amp;'3) Release_Label'!$E:$E,'3) Release_Label'!$H:$H},2,0), or(and(not(isblank($B388)),$B388=$B387,$A388&lt;&gt;$A387),and(not(isblank($A388)),$A388=$A387,$B388&lt;&gt;$B387)),"ID LISTS UNALIGNED",and($A388&lt;&gt;"",countif('3) Release_Label'!$D:$D,$A388)=0),"NO UPC MATCH in Release_Label",and($B388&lt;&gt;"",countif('3) Release_Label'!$E:$E,$B388)=0),"NO CATALOG ID MATCH in Release_Label",iserror(vlookup($A388&amp;$B388,'3) Release_Label'!$D:$D&amp;'3) Release_Label'!$E:$E,1,0)),"NO UPC-CATALOG ID pair MATCH in Release_Label" )</f>
        <v/>
      </c>
      <c r="E388" s="141" t="str">
        <f t="shared" si="2"/>
        <v/>
      </c>
      <c r="G388" s="103"/>
      <c r="H388" s="152"/>
      <c r="J388" s="99"/>
      <c r="K388" s="104"/>
      <c r="L388" s="99"/>
      <c r="N388" s="99"/>
      <c r="O388" s="99"/>
      <c r="P388" s="34"/>
    </row>
    <row r="389">
      <c r="A389" s="100"/>
      <c r="B389" s="103"/>
      <c r="C389" s="121" t="str">
        <f t="array" ref="C389">ifs(and(isblank($A389),isblank($B389)),"", not(iserror(vlookup($A389&amp;$B389,'3) Release_Label'!$D:$D&amp;'3) Release_Label'!$E:$E,1,0))),vlookup($A389&amp;$B389,{'3) Release_Label'!$D:$D&amp;'3) Release_Label'!$E:$E,'3) Release_Label'!$F:$F},2,0), or(and(not(isblank($B389)),$B389=$B388,$A389&lt;&gt;$A388),and(not(isblank($A389)),$A389=$A388,$B389&lt;&gt;$B388)),"ID LISTS UNALIGNED",and($A389&lt;&gt;"",countif('3) Release_Label'!$D:$D,$A389)=0),"NO UPC MATCH in Release_Label",and($B389&lt;&gt;"",countif('3) Release_Label'!$E:$E,$B389)=0),"NO CATALOG ID MATCH in Release_Label",iserror(vlookup($A389&amp;$B389,'3) Release_Label'!$D:$D&amp;'3) Release_Label'!$E:$E,1,0)),"NO UPC-CATALOG ID pair MATCH in Release_Label" )</f>
        <v/>
      </c>
      <c r="D389" s="121" t="str">
        <f t="array" ref="D389">ifs(and(isblank($A389),isblank($B389)),"", not(iserror(vlookup($A389&amp;$B389,'3) Release_Label'!$D:$D&amp;'3) Release_Label'!$E:$E,1,0))),vlookup($A389&amp;$B389,{'3) Release_Label'!$D:$D&amp;'3) Release_Label'!$E:$E,'3) Release_Label'!$H:$H},2,0), or(and(not(isblank($B389)),$B389=$B388,$A389&lt;&gt;$A388),and(not(isblank($A389)),$A389=$A388,$B389&lt;&gt;$B388)),"ID LISTS UNALIGNED",and($A389&lt;&gt;"",countif('3) Release_Label'!$D:$D,$A389)=0),"NO UPC MATCH in Release_Label",and($B389&lt;&gt;"",countif('3) Release_Label'!$E:$E,$B389)=0),"NO CATALOG ID MATCH in Release_Label",iserror(vlookup($A389&amp;$B389,'3) Release_Label'!$D:$D&amp;'3) Release_Label'!$E:$E,1,0)),"NO UPC-CATALOG ID pair MATCH in Release_Label" )</f>
        <v/>
      </c>
      <c r="E389" s="141" t="str">
        <f t="shared" si="2"/>
        <v/>
      </c>
      <c r="G389" s="103"/>
      <c r="H389" s="152"/>
      <c r="J389" s="99"/>
      <c r="K389" s="104"/>
      <c r="L389" s="99"/>
      <c r="N389" s="99"/>
      <c r="O389" s="99"/>
      <c r="P389" s="34"/>
    </row>
    <row r="390">
      <c r="A390" s="100"/>
      <c r="B390" s="103"/>
      <c r="C390" s="121" t="str">
        <f t="array" ref="C390">ifs(and(isblank($A390),isblank($B390)),"", not(iserror(vlookup($A390&amp;$B390,'3) Release_Label'!$D:$D&amp;'3) Release_Label'!$E:$E,1,0))),vlookup($A390&amp;$B390,{'3) Release_Label'!$D:$D&amp;'3) Release_Label'!$E:$E,'3) Release_Label'!$F:$F},2,0), or(and(not(isblank($B390)),$B390=$B389,$A390&lt;&gt;$A389),and(not(isblank($A390)),$A390=$A389,$B390&lt;&gt;$B389)),"ID LISTS UNALIGNED",and($A390&lt;&gt;"",countif('3) Release_Label'!$D:$D,$A390)=0),"NO UPC MATCH in Release_Label",and($B390&lt;&gt;"",countif('3) Release_Label'!$E:$E,$B390)=0),"NO CATALOG ID MATCH in Release_Label",iserror(vlookup($A390&amp;$B390,'3) Release_Label'!$D:$D&amp;'3) Release_Label'!$E:$E,1,0)),"NO UPC-CATALOG ID pair MATCH in Release_Label" )</f>
        <v/>
      </c>
      <c r="D390" s="121" t="str">
        <f t="array" ref="D390">ifs(and(isblank($A390),isblank($B390)),"", not(iserror(vlookup($A390&amp;$B390,'3) Release_Label'!$D:$D&amp;'3) Release_Label'!$E:$E,1,0))),vlookup($A390&amp;$B390,{'3) Release_Label'!$D:$D&amp;'3) Release_Label'!$E:$E,'3) Release_Label'!$H:$H},2,0), or(and(not(isblank($B390)),$B390=$B389,$A390&lt;&gt;$A389),and(not(isblank($A390)),$A390=$A389,$B390&lt;&gt;$B389)),"ID LISTS UNALIGNED",and($A390&lt;&gt;"",countif('3) Release_Label'!$D:$D,$A390)=0),"NO UPC MATCH in Release_Label",and($B390&lt;&gt;"",countif('3) Release_Label'!$E:$E,$B390)=0),"NO CATALOG ID MATCH in Release_Label",iserror(vlookup($A390&amp;$B390,'3) Release_Label'!$D:$D&amp;'3) Release_Label'!$E:$E,1,0)),"NO UPC-CATALOG ID pair MATCH in Release_Label" )</f>
        <v/>
      </c>
      <c r="E390" s="141" t="str">
        <f t="shared" si="2"/>
        <v/>
      </c>
      <c r="G390" s="103"/>
      <c r="H390" s="152"/>
      <c r="J390" s="99"/>
      <c r="K390" s="104"/>
      <c r="L390" s="99"/>
      <c r="N390" s="99"/>
      <c r="O390" s="99"/>
      <c r="P390" s="34"/>
    </row>
    <row r="391">
      <c r="A391" s="100"/>
      <c r="B391" s="103"/>
      <c r="C391" s="121" t="str">
        <f t="array" ref="C391">ifs(and(isblank($A391),isblank($B391)),"", not(iserror(vlookup($A391&amp;$B391,'3) Release_Label'!$D:$D&amp;'3) Release_Label'!$E:$E,1,0))),vlookup($A391&amp;$B391,{'3) Release_Label'!$D:$D&amp;'3) Release_Label'!$E:$E,'3) Release_Label'!$F:$F},2,0), or(and(not(isblank($B391)),$B391=$B390,$A391&lt;&gt;$A390),and(not(isblank($A391)),$A391=$A390,$B391&lt;&gt;$B390)),"ID LISTS UNALIGNED",and($A391&lt;&gt;"",countif('3) Release_Label'!$D:$D,$A391)=0),"NO UPC MATCH in Release_Label",and($B391&lt;&gt;"",countif('3) Release_Label'!$E:$E,$B391)=0),"NO CATALOG ID MATCH in Release_Label",iserror(vlookup($A391&amp;$B391,'3) Release_Label'!$D:$D&amp;'3) Release_Label'!$E:$E,1,0)),"NO UPC-CATALOG ID pair MATCH in Release_Label" )</f>
        <v/>
      </c>
      <c r="D391" s="121" t="str">
        <f t="array" ref="D391">ifs(and(isblank($A391),isblank($B391)),"", not(iserror(vlookup($A391&amp;$B391,'3) Release_Label'!$D:$D&amp;'3) Release_Label'!$E:$E,1,0))),vlookup($A391&amp;$B391,{'3) Release_Label'!$D:$D&amp;'3) Release_Label'!$E:$E,'3) Release_Label'!$H:$H},2,0), or(and(not(isblank($B391)),$B391=$B390,$A391&lt;&gt;$A390),and(not(isblank($A391)),$A391=$A390,$B391&lt;&gt;$B390)),"ID LISTS UNALIGNED",and($A391&lt;&gt;"",countif('3) Release_Label'!$D:$D,$A391)=0),"NO UPC MATCH in Release_Label",and($B391&lt;&gt;"",countif('3) Release_Label'!$E:$E,$B391)=0),"NO CATALOG ID MATCH in Release_Label",iserror(vlookup($A391&amp;$B391,'3) Release_Label'!$D:$D&amp;'3) Release_Label'!$E:$E,1,0)),"NO UPC-CATALOG ID pair MATCH in Release_Label" )</f>
        <v/>
      </c>
      <c r="E391" s="141" t="str">
        <f t="shared" si="2"/>
        <v/>
      </c>
      <c r="G391" s="103"/>
      <c r="H391" s="152"/>
      <c r="J391" s="99"/>
      <c r="K391" s="104"/>
      <c r="L391" s="99"/>
      <c r="N391" s="99"/>
      <c r="O391" s="99"/>
      <c r="P391" s="34"/>
    </row>
    <row r="392">
      <c r="A392" s="100"/>
      <c r="B392" s="103"/>
      <c r="C392" s="121" t="str">
        <f t="array" ref="C392">ifs(and(isblank($A392),isblank($B392)),"", not(iserror(vlookup($A392&amp;$B392,'3) Release_Label'!$D:$D&amp;'3) Release_Label'!$E:$E,1,0))),vlookup($A392&amp;$B392,{'3) Release_Label'!$D:$D&amp;'3) Release_Label'!$E:$E,'3) Release_Label'!$F:$F},2,0), or(and(not(isblank($B392)),$B392=$B391,$A392&lt;&gt;$A391),and(not(isblank($A392)),$A392=$A391,$B392&lt;&gt;$B391)),"ID LISTS UNALIGNED",and($A392&lt;&gt;"",countif('3) Release_Label'!$D:$D,$A392)=0),"NO UPC MATCH in Release_Label",and($B392&lt;&gt;"",countif('3) Release_Label'!$E:$E,$B392)=0),"NO CATALOG ID MATCH in Release_Label",iserror(vlookup($A392&amp;$B392,'3) Release_Label'!$D:$D&amp;'3) Release_Label'!$E:$E,1,0)),"NO UPC-CATALOG ID pair MATCH in Release_Label" )</f>
        <v/>
      </c>
      <c r="D392" s="121" t="str">
        <f t="array" ref="D392">ifs(and(isblank($A392),isblank($B392)),"", not(iserror(vlookup($A392&amp;$B392,'3) Release_Label'!$D:$D&amp;'3) Release_Label'!$E:$E,1,0))),vlookup($A392&amp;$B392,{'3) Release_Label'!$D:$D&amp;'3) Release_Label'!$E:$E,'3) Release_Label'!$H:$H},2,0), or(and(not(isblank($B392)),$B392=$B391,$A392&lt;&gt;$A391),and(not(isblank($A392)),$A392=$A391,$B392&lt;&gt;$B391)),"ID LISTS UNALIGNED",and($A392&lt;&gt;"",countif('3) Release_Label'!$D:$D,$A392)=0),"NO UPC MATCH in Release_Label",and($B392&lt;&gt;"",countif('3) Release_Label'!$E:$E,$B392)=0),"NO CATALOG ID MATCH in Release_Label",iserror(vlookup($A392&amp;$B392,'3) Release_Label'!$D:$D&amp;'3) Release_Label'!$E:$E,1,0)),"NO UPC-CATALOG ID pair MATCH in Release_Label" )</f>
        <v/>
      </c>
      <c r="E392" s="141" t="str">
        <f t="shared" si="2"/>
        <v/>
      </c>
      <c r="G392" s="103"/>
      <c r="H392" s="152"/>
      <c r="J392" s="99"/>
      <c r="K392" s="104"/>
      <c r="L392" s="99"/>
      <c r="N392" s="99"/>
      <c r="O392" s="99"/>
      <c r="P392" s="34"/>
    </row>
    <row r="393">
      <c r="A393" s="100"/>
      <c r="B393" s="103"/>
      <c r="C393" s="121" t="str">
        <f t="array" ref="C393">ifs(and(isblank($A393),isblank($B393)),"", not(iserror(vlookup($A393&amp;$B393,'3) Release_Label'!$D:$D&amp;'3) Release_Label'!$E:$E,1,0))),vlookup($A393&amp;$B393,{'3) Release_Label'!$D:$D&amp;'3) Release_Label'!$E:$E,'3) Release_Label'!$F:$F},2,0), or(and(not(isblank($B393)),$B393=$B392,$A393&lt;&gt;$A392),and(not(isblank($A393)),$A393=$A392,$B393&lt;&gt;$B392)),"ID LISTS UNALIGNED",and($A393&lt;&gt;"",countif('3) Release_Label'!$D:$D,$A393)=0),"NO UPC MATCH in Release_Label",and($B393&lt;&gt;"",countif('3) Release_Label'!$E:$E,$B393)=0),"NO CATALOG ID MATCH in Release_Label",iserror(vlookup($A393&amp;$B393,'3) Release_Label'!$D:$D&amp;'3) Release_Label'!$E:$E,1,0)),"NO UPC-CATALOG ID pair MATCH in Release_Label" )</f>
        <v/>
      </c>
      <c r="D393" s="121" t="str">
        <f t="array" ref="D393">ifs(and(isblank($A393),isblank($B393)),"", not(iserror(vlookup($A393&amp;$B393,'3) Release_Label'!$D:$D&amp;'3) Release_Label'!$E:$E,1,0))),vlookup($A393&amp;$B393,{'3) Release_Label'!$D:$D&amp;'3) Release_Label'!$E:$E,'3) Release_Label'!$H:$H},2,0), or(and(not(isblank($B393)),$B393=$B392,$A393&lt;&gt;$A392),and(not(isblank($A393)),$A393=$A392,$B393&lt;&gt;$B392)),"ID LISTS UNALIGNED",and($A393&lt;&gt;"",countif('3) Release_Label'!$D:$D,$A393)=0),"NO UPC MATCH in Release_Label",and($B393&lt;&gt;"",countif('3) Release_Label'!$E:$E,$B393)=0),"NO CATALOG ID MATCH in Release_Label",iserror(vlookup($A393&amp;$B393,'3) Release_Label'!$D:$D&amp;'3) Release_Label'!$E:$E,1,0)),"NO UPC-CATALOG ID pair MATCH in Release_Label" )</f>
        <v/>
      </c>
      <c r="E393" s="141" t="str">
        <f t="shared" si="2"/>
        <v/>
      </c>
      <c r="G393" s="103"/>
      <c r="H393" s="152"/>
      <c r="J393" s="99"/>
      <c r="K393" s="104"/>
      <c r="L393" s="99"/>
      <c r="N393" s="99"/>
      <c r="O393" s="99"/>
      <c r="P393" s="34"/>
    </row>
    <row r="394">
      <c r="A394" s="100"/>
      <c r="B394" s="103"/>
      <c r="C394" s="121" t="str">
        <f t="array" ref="C394">ifs(and(isblank($A394),isblank($B394)),"", not(iserror(vlookup($A394&amp;$B394,'3) Release_Label'!$D:$D&amp;'3) Release_Label'!$E:$E,1,0))),vlookup($A394&amp;$B394,{'3) Release_Label'!$D:$D&amp;'3) Release_Label'!$E:$E,'3) Release_Label'!$F:$F},2,0), or(and(not(isblank($B394)),$B394=$B393,$A394&lt;&gt;$A393),and(not(isblank($A394)),$A394=$A393,$B394&lt;&gt;$B393)),"ID LISTS UNALIGNED",and($A394&lt;&gt;"",countif('3) Release_Label'!$D:$D,$A394)=0),"NO UPC MATCH in Release_Label",and($B394&lt;&gt;"",countif('3) Release_Label'!$E:$E,$B394)=0),"NO CATALOG ID MATCH in Release_Label",iserror(vlookup($A394&amp;$B394,'3) Release_Label'!$D:$D&amp;'3) Release_Label'!$E:$E,1,0)),"NO UPC-CATALOG ID pair MATCH in Release_Label" )</f>
        <v/>
      </c>
      <c r="D394" s="121" t="str">
        <f t="array" ref="D394">ifs(and(isblank($A394),isblank($B394)),"", not(iserror(vlookup($A394&amp;$B394,'3) Release_Label'!$D:$D&amp;'3) Release_Label'!$E:$E,1,0))),vlookup($A394&amp;$B394,{'3) Release_Label'!$D:$D&amp;'3) Release_Label'!$E:$E,'3) Release_Label'!$H:$H},2,0), or(and(not(isblank($B394)),$B394=$B393,$A394&lt;&gt;$A393),and(not(isblank($A394)),$A394=$A393,$B394&lt;&gt;$B393)),"ID LISTS UNALIGNED",and($A394&lt;&gt;"",countif('3) Release_Label'!$D:$D,$A394)=0),"NO UPC MATCH in Release_Label",and($B394&lt;&gt;"",countif('3) Release_Label'!$E:$E,$B394)=0),"NO CATALOG ID MATCH in Release_Label",iserror(vlookup($A394&amp;$B394,'3) Release_Label'!$D:$D&amp;'3) Release_Label'!$E:$E,1,0)),"NO UPC-CATALOG ID pair MATCH in Release_Label" )</f>
        <v/>
      </c>
      <c r="E394" s="141" t="str">
        <f t="shared" si="2"/>
        <v/>
      </c>
      <c r="G394" s="103"/>
      <c r="H394" s="152"/>
      <c r="J394" s="99"/>
      <c r="K394" s="104"/>
      <c r="L394" s="99"/>
      <c r="N394" s="99"/>
      <c r="O394" s="99"/>
      <c r="P394" s="34"/>
    </row>
    <row r="395">
      <c r="A395" s="100"/>
      <c r="B395" s="103"/>
      <c r="C395" s="121" t="str">
        <f t="array" ref="C395">ifs(and(isblank($A395),isblank($B395)),"", not(iserror(vlookup($A395&amp;$B395,'3) Release_Label'!$D:$D&amp;'3) Release_Label'!$E:$E,1,0))),vlookup($A395&amp;$B395,{'3) Release_Label'!$D:$D&amp;'3) Release_Label'!$E:$E,'3) Release_Label'!$F:$F},2,0), or(and(not(isblank($B395)),$B395=$B394,$A395&lt;&gt;$A394),and(not(isblank($A395)),$A395=$A394,$B395&lt;&gt;$B394)),"ID LISTS UNALIGNED",and($A395&lt;&gt;"",countif('3) Release_Label'!$D:$D,$A395)=0),"NO UPC MATCH in Release_Label",and($B395&lt;&gt;"",countif('3) Release_Label'!$E:$E,$B395)=0),"NO CATALOG ID MATCH in Release_Label",iserror(vlookup($A395&amp;$B395,'3) Release_Label'!$D:$D&amp;'3) Release_Label'!$E:$E,1,0)),"NO UPC-CATALOG ID pair MATCH in Release_Label" )</f>
        <v/>
      </c>
      <c r="D395" s="121" t="str">
        <f t="array" ref="D395">ifs(and(isblank($A395),isblank($B395)),"", not(iserror(vlookup($A395&amp;$B395,'3) Release_Label'!$D:$D&amp;'3) Release_Label'!$E:$E,1,0))),vlookup($A395&amp;$B395,{'3) Release_Label'!$D:$D&amp;'3) Release_Label'!$E:$E,'3) Release_Label'!$H:$H},2,0), or(and(not(isblank($B395)),$B395=$B394,$A395&lt;&gt;$A394),and(not(isblank($A395)),$A395=$A394,$B395&lt;&gt;$B394)),"ID LISTS UNALIGNED",and($A395&lt;&gt;"",countif('3) Release_Label'!$D:$D,$A395)=0),"NO UPC MATCH in Release_Label",and($B395&lt;&gt;"",countif('3) Release_Label'!$E:$E,$B395)=0),"NO CATALOG ID MATCH in Release_Label",iserror(vlookup($A395&amp;$B395,'3) Release_Label'!$D:$D&amp;'3) Release_Label'!$E:$E,1,0)),"NO UPC-CATALOG ID pair MATCH in Release_Label" )</f>
        <v/>
      </c>
      <c r="E395" s="141" t="str">
        <f t="shared" si="2"/>
        <v/>
      </c>
      <c r="G395" s="103"/>
      <c r="H395" s="152"/>
      <c r="J395" s="99"/>
      <c r="K395" s="104"/>
      <c r="L395" s="99"/>
      <c r="N395" s="99"/>
      <c r="O395" s="99"/>
      <c r="P395" s="34"/>
    </row>
    <row r="396">
      <c r="A396" s="100"/>
      <c r="B396" s="103"/>
      <c r="C396" s="121" t="str">
        <f t="array" ref="C396">ifs(and(isblank($A396),isblank($B396)),"", not(iserror(vlookup($A396&amp;$B396,'3) Release_Label'!$D:$D&amp;'3) Release_Label'!$E:$E,1,0))),vlookup($A396&amp;$B396,{'3) Release_Label'!$D:$D&amp;'3) Release_Label'!$E:$E,'3) Release_Label'!$F:$F},2,0), or(and(not(isblank($B396)),$B396=$B395,$A396&lt;&gt;$A395),and(not(isblank($A396)),$A396=$A395,$B396&lt;&gt;$B395)),"ID LISTS UNALIGNED",and($A396&lt;&gt;"",countif('3) Release_Label'!$D:$D,$A396)=0),"NO UPC MATCH in Release_Label",and($B396&lt;&gt;"",countif('3) Release_Label'!$E:$E,$B396)=0),"NO CATALOG ID MATCH in Release_Label",iserror(vlookup($A396&amp;$B396,'3) Release_Label'!$D:$D&amp;'3) Release_Label'!$E:$E,1,0)),"NO UPC-CATALOG ID pair MATCH in Release_Label" )</f>
        <v/>
      </c>
      <c r="D396" s="121" t="str">
        <f t="array" ref="D396">ifs(and(isblank($A396),isblank($B396)),"", not(iserror(vlookup($A396&amp;$B396,'3) Release_Label'!$D:$D&amp;'3) Release_Label'!$E:$E,1,0))),vlookup($A396&amp;$B396,{'3) Release_Label'!$D:$D&amp;'3) Release_Label'!$E:$E,'3) Release_Label'!$H:$H},2,0), or(and(not(isblank($B396)),$B396=$B395,$A396&lt;&gt;$A395),and(not(isblank($A396)),$A396=$A395,$B396&lt;&gt;$B395)),"ID LISTS UNALIGNED",and($A396&lt;&gt;"",countif('3) Release_Label'!$D:$D,$A396)=0),"NO UPC MATCH in Release_Label",and($B396&lt;&gt;"",countif('3) Release_Label'!$E:$E,$B396)=0),"NO CATALOG ID MATCH in Release_Label",iserror(vlookup($A396&amp;$B396,'3) Release_Label'!$D:$D&amp;'3) Release_Label'!$E:$E,1,0)),"NO UPC-CATALOG ID pair MATCH in Release_Label" )</f>
        <v/>
      </c>
      <c r="E396" s="141" t="str">
        <f t="shared" si="2"/>
        <v/>
      </c>
      <c r="G396" s="103"/>
      <c r="H396" s="152"/>
      <c r="J396" s="99"/>
      <c r="K396" s="104"/>
      <c r="L396" s="99"/>
      <c r="N396" s="99"/>
      <c r="O396" s="99"/>
      <c r="P396" s="34"/>
    </row>
    <row r="397">
      <c r="A397" s="100"/>
      <c r="B397" s="103"/>
      <c r="C397" s="121" t="str">
        <f t="array" ref="C397">ifs(and(isblank($A397),isblank($B397)),"", not(iserror(vlookup($A397&amp;$B397,'3) Release_Label'!$D:$D&amp;'3) Release_Label'!$E:$E,1,0))),vlookup($A397&amp;$B397,{'3) Release_Label'!$D:$D&amp;'3) Release_Label'!$E:$E,'3) Release_Label'!$F:$F},2,0), or(and(not(isblank($B397)),$B397=$B396,$A397&lt;&gt;$A396),and(not(isblank($A397)),$A397=$A396,$B397&lt;&gt;$B396)),"ID LISTS UNALIGNED",and($A397&lt;&gt;"",countif('3) Release_Label'!$D:$D,$A397)=0),"NO UPC MATCH in Release_Label",and($B397&lt;&gt;"",countif('3) Release_Label'!$E:$E,$B397)=0),"NO CATALOG ID MATCH in Release_Label",iserror(vlookup($A397&amp;$B397,'3) Release_Label'!$D:$D&amp;'3) Release_Label'!$E:$E,1,0)),"NO UPC-CATALOG ID pair MATCH in Release_Label" )</f>
        <v/>
      </c>
      <c r="D397" s="121" t="str">
        <f t="array" ref="D397">ifs(and(isblank($A397),isblank($B397)),"", not(iserror(vlookup($A397&amp;$B397,'3) Release_Label'!$D:$D&amp;'3) Release_Label'!$E:$E,1,0))),vlookup($A397&amp;$B397,{'3) Release_Label'!$D:$D&amp;'3) Release_Label'!$E:$E,'3) Release_Label'!$H:$H},2,0), or(and(not(isblank($B397)),$B397=$B396,$A397&lt;&gt;$A396),and(not(isblank($A397)),$A397=$A396,$B397&lt;&gt;$B396)),"ID LISTS UNALIGNED",and($A397&lt;&gt;"",countif('3) Release_Label'!$D:$D,$A397)=0),"NO UPC MATCH in Release_Label",and($B397&lt;&gt;"",countif('3) Release_Label'!$E:$E,$B397)=0),"NO CATALOG ID MATCH in Release_Label",iserror(vlookup($A397&amp;$B397,'3) Release_Label'!$D:$D&amp;'3) Release_Label'!$E:$E,1,0)),"NO UPC-CATALOG ID pair MATCH in Release_Label" )</f>
        <v/>
      </c>
      <c r="E397" s="141" t="str">
        <f t="shared" si="2"/>
        <v/>
      </c>
      <c r="G397" s="103"/>
      <c r="H397" s="152"/>
      <c r="J397" s="99"/>
      <c r="K397" s="104"/>
      <c r="L397" s="99"/>
      <c r="N397" s="99"/>
      <c r="O397" s="99"/>
      <c r="P397" s="34"/>
    </row>
    <row r="398">
      <c r="A398" s="100"/>
      <c r="B398" s="103"/>
      <c r="C398" s="121" t="str">
        <f t="array" ref="C398">ifs(and(isblank($A398),isblank($B398)),"", not(iserror(vlookup($A398&amp;$B398,'3) Release_Label'!$D:$D&amp;'3) Release_Label'!$E:$E,1,0))),vlookup($A398&amp;$B398,{'3) Release_Label'!$D:$D&amp;'3) Release_Label'!$E:$E,'3) Release_Label'!$F:$F},2,0), or(and(not(isblank($B398)),$B398=$B397,$A398&lt;&gt;$A397),and(not(isblank($A398)),$A398=$A397,$B398&lt;&gt;$B397)),"ID LISTS UNALIGNED",and($A398&lt;&gt;"",countif('3) Release_Label'!$D:$D,$A398)=0),"NO UPC MATCH in Release_Label",and($B398&lt;&gt;"",countif('3) Release_Label'!$E:$E,$B398)=0),"NO CATALOG ID MATCH in Release_Label",iserror(vlookup($A398&amp;$B398,'3) Release_Label'!$D:$D&amp;'3) Release_Label'!$E:$E,1,0)),"NO UPC-CATALOG ID pair MATCH in Release_Label" )</f>
        <v/>
      </c>
      <c r="D398" s="121" t="str">
        <f t="array" ref="D398">ifs(and(isblank($A398),isblank($B398)),"", not(iserror(vlookup($A398&amp;$B398,'3) Release_Label'!$D:$D&amp;'3) Release_Label'!$E:$E,1,0))),vlookup($A398&amp;$B398,{'3) Release_Label'!$D:$D&amp;'3) Release_Label'!$E:$E,'3) Release_Label'!$H:$H},2,0), or(and(not(isblank($B398)),$B398=$B397,$A398&lt;&gt;$A397),and(not(isblank($A398)),$A398=$A397,$B398&lt;&gt;$B397)),"ID LISTS UNALIGNED",and($A398&lt;&gt;"",countif('3) Release_Label'!$D:$D,$A398)=0),"NO UPC MATCH in Release_Label",and($B398&lt;&gt;"",countif('3) Release_Label'!$E:$E,$B398)=0),"NO CATALOG ID MATCH in Release_Label",iserror(vlookup($A398&amp;$B398,'3) Release_Label'!$D:$D&amp;'3) Release_Label'!$E:$E,1,0)),"NO UPC-CATALOG ID pair MATCH in Release_Label" )</f>
        <v/>
      </c>
      <c r="E398" s="141" t="str">
        <f t="shared" si="2"/>
        <v/>
      </c>
      <c r="G398" s="103"/>
      <c r="H398" s="152"/>
      <c r="J398" s="99"/>
      <c r="K398" s="104"/>
      <c r="L398" s="99"/>
      <c r="N398" s="99"/>
      <c r="O398" s="99"/>
      <c r="P398" s="34"/>
    </row>
    <row r="399">
      <c r="A399" s="100"/>
      <c r="B399" s="103"/>
      <c r="C399" s="121" t="str">
        <f t="array" ref="C399">ifs(and(isblank($A399),isblank($B399)),"", not(iserror(vlookup($A399&amp;$B399,'3) Release_Label'!$D:$D&amp;'3) Release_Label'!$E:$E,1,0))),vlookup($A399&amp;$B399,{'3) Release_Label'!$D:$D&amp;'3) Release_Label'!$E:$E,'3) Release_Label'!$F:$F},2,0), or(and(not(isblank($B399)),$B399=$B398,$A399&lt;&gt;$A398),and(not(isblank($A399)),$A399=$A398,$B399&lt;&gt;$B398)),"ID LISTS UNALIGNED",and($A399&lt;&gt;"",countif('3) Release_Label'!$D:$D,$A399)=0),"NO UPC MATCH in Release_Label",and($B399&lt;&gt;"",countif('3) Release_Label'!$E:$E,$B399)=0),"NO CATALOG ID MATCH in Release_Label",iserror(vlookup($A399&amp;$B399,'3) Release_Label'!$D:$D&amp;'3) Release_Label'!$E:$E,1,0)),"NO UPC-CATALOG ID pair MATCH in Release_Label" )</f>
        <v/>
      </c>
      <c r="D399" s="121" t="str">
        <f t="array" ref="D399">ifs(and(isblank($A399),isblank($B399)),"", not(iserror(vlookup($A399&amp;$B399,'3) Release_Label'!$D:$D&amp;'3) Release_Label'!$E:$E,1,0))),vlookup($A399&amp;$B399,{'3) Release_Label'!$D:$D&amp;'3) Release_Label'!$E:$E,'3) Release_Label'!$H:$H},2,0), or(and(not(isblank($B399)),$B399=$B398,$A399&lt;&gt;$A398),and(not(isblank($A399)),$A399=$A398,$B399&lt;&gt;$B398)),"ID LISTS UNALIGNED",and($A399&lt;&gt;"",countif('3) Release_Label'!$D:$D,$A399)=0),"NO UPC MATCH in Release_Label",and($B399&lt;&gt;"",countif('3) Release_Label'!$E:$E,$B399)=0),"NO CATALOG ID MATCH in Release_Label",iserror(vlookup($A399&amp;$B399,'3) Release_Label'!$D:$D&amp;'3) Release_Label'!$E:$E,1,0)),"NO UPC-CATALOG ID pair MATCH in Release_Label" )</f>
        <v/>
      </c>
      <c r="E399" s="141" t="str">
        <f t="shared" si="2"/>
        <v/>
      </c>
      <c r="G399" s="103"/>
      <c r="H399" s="152"/>
      <c r="J399" s="99"/>
      <c r="K399" s="104"/>
      <c r="L399" s="99"/>
      <c r="N399" s="99"/>
      <c r="O399" s="99"/>
      <c r="P399" s="34"/>
    </row>
    <row r="400">
      <c r="A400" s="100"/>
      <c r="B400" s="103"/>
      <c r="C400" s="121" t="str">
        <f t="array" ref="C400">ifs(and(isblank($A400),isblank($B400)),"", not(iserror(vlookup($A400&amp;$B400,'3) Release_Label'!$D:$D&amp;'3) Release_Label'!$E:$E,1,0))),vlookup($A400&amp;$B400,{'3) Release_Label'!$D:$D&amp;'3) Release_Label'!$E:$E,'3) Release_Label'!$F:$F},2,0), or(and(not(isblank($B400)),$B400=$B399,$A400&lt;&gt;$A399),and(not(isblank($A400)),$A400=$A399,$B400&lt;&gt;$B399)),"ID LISTS UNALIGNED",and($A400&lt;&gt;"",countif('3) Release_Label'!$D:$D,$A400)=0),"NO UPC MATCH in Release_Label",and($B400&lt;&gt;"",countif('3) Release_Label'!$E:$E,$B400)=0),"NO CATALOG ID MATCH in Release_Label",iserror(vlookup($A400&amp;$B400,'3) Release_Label'!$D:$D&amp;'3) Release_Label'!$E:$E,1,0)),"NO UPC-CATALOG ID pair MATCH in Release_Label" )</f>
        <v/>
      </c>
      <c r="D400" s="121" t="str">
        <f t="array" ref="D400">ifs(and(isblank($A400),isblank($B400)),"", not(iserror(vlookup($A400&amp;$B400,'3) Release_Label'!$D:$D&amp;'3) Release_Label'!$E:$E,1,0))),vlookup($A400&amp;$B400,{'3) Release_Label'!$D:$D&amp;'3) Release_Label'!$E:$E,'3) Release_Label'!$H:$H},2,0), or(and(not(isblank($B400)),$B400=$B399,$A400&lt;&gt;$A399),and(not(isblank($A400)),$A400=$A399,$B400&lt;&gt;$B399)),"ID LISTS UNALIGNED",and($A400&lt;&gt;"",countif('3) Release_Label'!$D:$D,$A400)=0),"NO UPC MATCH in Release_Label",and($B400&lt;&gt;"",countif('3) Release_Label'!$E:$E,$B400)=0),"NO CATALOG ID MATCH in Release_Label",iserror(vlookup($A400&amp;$B400,'3) Release_Label'!$D:$D&amp;'3) Release_Label'!$E:$E,1,0)),"NO UPC-CATALOG ID pair MATCH in Release_Label" )</f>
        <v/>
      </c>
      <c r="E400" s="141" t="str">
        <f t="shared" si="2"/>
        <v/>
      </c>
      <c r="G400" s="103"/>
      <c r="H400" s="152"/>
      <c r="J400" s="99"/>
      <c r="K400" s="104"/>
      <c r="L400" s="99"/>
      <c r="N400" s="99"/>
      <c r="O400" s="99"/>
      <c r="P400" s="34"/>
    </row>
    <row r="401">
      <c r="A401" s="100"/>
      <c r="B401" s="103"/>
      <c r="C401" s="121" t="str">
        <f t="array" ref="C401">ifs(and(isblank($A401),isblank($B401)),"", not(iserror(vlookup($A401&amp;$B401,'3) Release_Label'!$D:$D&amp;'3) Release_Label'!$E:$E,1,0))),vlookup($A401&amp;$B401,{'3) Release_Label'!$D:$D&amp;'3) Release_Label'!$E:$E,'3) Release_Label'!$F:$F},2,0), or(and(not(isblank($B401)),$B401=$B400,$A401&lt;&gt;$A400),and(not(isblank($A401)),$A401=$A400,$B401&lt;&gt;$B400)),"ID LISTS UNALIGNED",and($A401&lt;&gt;"",countif('3) Release_Label'!$D:$D,$A401)=0),"NO UPC MATCH in Release_Label",and($B401&lt;&gt;"",countif('3) Release_Label'!$E:$E,$B401)=0),"NO CATALOG ID MATCH in Release_Label",iserror(vlookup($A401&amp;$B401,'3) Release_Label'!$D:$D&amp;'3) Release_Label'!$E:$E,1,0)),"NO UPC-CATALOG ID pair MATCH in Release_Label" )</f>
        <v/>
      </c>
      <c r="D401" s="121" t="str">
        <f t="array" ref="D401">ifs(and(isblank($A401),isblank($B401)),"", not(iserror(vlookup($A401&amp;$B401,'3) Release_Label'!$D:$D&amp;'3) Release_Label'!$E:$E,1,0))),vlookup($A401&amp;$B401,{'3) Release_Label'!$D:$D&amp;'3) Release_Label'!$E:$E,'3) Release_Label'!$H:$H},2,0), or(and(not(isblank($B401)),$B401=$B400,$A401&lt;&gt;$A400),and(not(isblank($A401)),$A401=$A400,$B401&lt;&gt;$B400)),"ID LISTS UNALIGNED",and($A401&lt;&gt;"",countif('3) Release_Label'!$D:$D,$A401)=0),"NO UPC MATCH in Release_Label",and($B401&lt;&gt;"",countif('3) Release_Label'!$E:$E,$B401)=0),"NO CATALOG ID MATCH in Release_Label",iserror(vlookup($A401&amp;$B401,'3) Release_Label'!$D:$D&amp;'3) Release_Label'!$E:$E,1,0)),"NO UPC-CATALOG ID pair MATCH in Release_Label" )</f>
        <v/>
      </c>
      <c r="E401" s="141" t="str">
        <f t="shared" si="2"/>
        <v/>
      </c>
      <c r="G401" s="103"/>
      <c r="H401" s="152"/>
      <c r="J401" s="99"/>
      <c r="K401" s="104"/>
      <c r="L401" s="99"/>
      <c r="N401" s="99"/>
      <c r="O401" s="99"/>
      <c r="P401" s="34"/>
    </row>
    <row r="402">
      <c r="A402" s="100"/>
      <c r="B402" s="103"/>
      <c r="C402" s="121" t="str">
        <f t="array" ref="C402">ifs(and(isblank($A402),isblank($B402)),"", not(iserror(vlookup($A402&amp;$B402,'3) Release_Label'!$D:$D&amp;'3) Release_Label'!$E:$E,1,0))),vlookup($A402&amp;$B402,{'3) Release_Label'!$D:$D&amp;'3) Release_Label'!$E:$E,'3) Release_Label'!$F:$F},2,0), or(and(not(isblank($B402)),$B402=$B401,$A402&lt;&gt;$A401),and(not(isblank($A402)),$A402=$A401,$B402&lt;&gt;$B401)),"ID LISTS UNALIGNED",and($A402&lt;&gt;"",countif('3) Release_Label'!$D:$D,$A402)=0),"NO UPC MATCH in Release_Label",and($B402&lt;&gt;"",countif('3) Release_Label'!$E:$E,$B402)=0),"NO CATALOG ID MATCH in Release_Label",iserror(vlookup($A402&amp;$B402,'3) Release_Label'!$D:$D&amp;'3) Release_Label'!$E:$E,1,0)),"NO UPC-CATALOG ID pair MATCH in Release_Label" )</f>
        <v/>
      </c>
      <c r="D402" s="121" t="str">
        <f t="array" ref="D402">ifs(and(isblank($A402),isblank($B402)),"", not(iserror(vlookup($A402&amp;$B402,'3) Release_Label'!$D:$D&amp;'3) Release_Label'!$E:$E,1,0))),vlookup($A402&amp;$B402,{'3) Release_Label'!$D:$D&amp;'3) Release_Label'!$E:$E,'3) Release_Label'!$H:$H},2,0), or(and(not(isblank($B402)),$B402=$B401,$A402&lt;&gt;$A401),and(not(isblank($A402)),$A402=$A401,$B402&lt;&gt;$B401)),"ID LISTS UNALIGNED",and($A402&lt;&gt;"",countif('3) Release_Label'!$D:$D,$A402)=0),"NO UPC MATCH in Release_Label",and($B402&lt;&gt;"",countif('3) Release_Label'!$E:$E,$B402)=0),"NO CATALOG ID MATCH in Release_Label",iserror(vlookup($A402&amp;$B402,'3) Release_Label'!$D:$D&amp;'3) Release_Label'!$E:$E,1,0)),"NO UPC-CATALOG ID pair MATCH in Release_Label" )</f>
        <v/>
      </c>
      <c r="E402" s="141" t="str">
        <f t="shared" si="2"/>
        <v/>
      </c>
      <c r="G402" s="103"/>
      <c r="H402" s="152"/>
      <c r="J402" s="99"/>
      <c r="K402" s="104"/>
      <c r="L402" s="99"/>
      <c r="N402" s="99"/>
      <c r="O402" s="99"/>
      <c r="P402" s="34"/>
    </row>
    <row r="403">
      <c r="A403" s="100"/>
      <c r="B403" s="103"/>
      <c r="C403" s="121" t="str">
        <f t="array" ref="C403">ifs(and(isblank($A403),isblank($B403)),"", not(iserror(vlookup($A403&amp;$B403,'3) Release_Label'!$D:$D&amp;'3) Release_Label'!$E:$E,1,0))),vlookup($A403&amp;$B403,{'3) Release_Label'!$D:$D&amp;'3) Release_Label'!$E:$E,'3) Release_Label'!$F:$F},2,0), or(and(not(isblank($B403)),$B403=$B402,$A403&lt;&gt;$A402),and(not(isblank($A403)),$A403=$A402,$B403&lt;&gt;$B402)),"ID LISTS UNALIGNED",and($A403&lt;&gt;"",countif('3) Release_Label'!$D:$D,$A403)=0),"NO UPC MATCH in Release_Label",and($B403&lt;&gt;"",countif('3) Release_Label'!$E:$E,$B403)=0),"NO CATALOG ID MATCH in Release_Label",iserror(vlookup($A403&amp;$B403,'3) Release_Label'!$D:$D&amp;'3) Release_Label'!$E:$E,1,0)),"NO UPC-CATALOG ID pair MATCH in Release_Label" )</f>
        <v/>
      </c>
      <c r="D403" s="121" t="str">
        <f t="array" ref="D403">ifs(and(isblank($A403),isblank($B403)),"", not(iserror(vlookup($A403&amp;$B403,'3) Release_Label'!$D:$D&amp;'3) Release_Label'!$E:$E,1,0))),vlookup($A403&amp;$B403,{'3) Release_Label'!$D:$D&amp;'3) Release_Label'!$E:$E,'3) Release_Label'!$H:$H},2,0), or(and(not(isblank($B403)),$B403=$B402,$A403&lt;&gt;$A402),and(not(isblank($A403)),$A403=$A402,$B403&lt;&gt;$B402)),"ID LISTS UNALIGNED",and($A403&lt;&gt;"",countif('3) Release_Label'!$D:$D,$A403)=0),"NO UPC MATCH in Release_Label",and($B403&lt;&gt;"",countif('3) Release_Label'!$E:$E,$B403)=0),"NO CATALOG ID MATCH in Release_Label",iserror(vlookup($A403&amp;$B403,'3) Release_Label'!$D:$D&amp;'3) Release_Label'!$E:$E,1,0)),"NO UPC-CATALOG ID pair MATCH in Release_Label" )</f>
        <v/>
      </c>
      <c r="E403" s="141" t="str">
        <f t="shared" si="2"/>
        <v/>
      </c>
      <c r="G403" s="103"/>
      <c r="H403" s="152"/>
      <c r="J403" s="99"/>
      <c r="K403" s="104"/>
      <c r="L403" s="99"/>
      <c r="N403" s="99"/>
      <c r="O403" s="99"/>
      <c r="P403" s="34"/>
    </row>
    <row r="404">
      <c r="A404" s="100"/>
      <c r="B404" s="103"/>
      <c r="C404" s="121" t="str">
        <f t="array" ref="C404">ifs(and(isblank($A404),isblank($B404)),"", not(iserror(vlookup($A404&amp;$B404,'3) Release_Label'!$D:$D&amp;'3) Release_Label'!$E:$E,1,0))),vlookup($A404&amp;$B404,{'3) Release_Label'!$D:$D&amp;'3) Release_Label'!$E:$E,'3) Release_Label'!$F:$F},2,0), or(and(not(isblank($B404)),$B404=$B403,$A404&lt;&gt;$A403),and(not(isblank($A404)),$A404=$A403,$B404&lt;&gt;$B403)),"ID LISTS UNALIGNED",and($A404&lt;&gt;"",countif('3) Release_Label'!$D:$D,$A404)=0),"NO UPC MATCH in Release_Label",and($B404&lt;&gt;"",countif('3) Release_Label'!$E:$E,$B404)=0),"NO CATALOG ID MATCH in Release_Label",iserror(vlookup($A404&amp;$B404,'3) Release_Label'!$D:$D&amp;'3) Release_Label'!$E:$E,1,0)),"NO UPC-CATALOG ID pair MATCH in Release_Label" )</f>
        <v/>
      </c>
      <c r="D404" s="121" t="str">
        <f t="array" ref="D404">ifs(and(isblank($A404),isblank($B404)),"", not(iserror(vlookup($A404&amp;$B404,'3) Release_Label'!$D:$D&amp;'3) Release_Label'!$E:$E,1,0))),vlookup($A404&amp;$B404,{'3) Release_Label'!$D:$D&amp;'3) Release_Label'!$E:$E,'3) Release_Label'!$H:$H},2,0), or(and(not(isblank($B404)),$B404=$B403,$A404&lt;&gt;$A403),and(not(isblank($A404)),$A404=$A403,$B404&lt;&gt;$B403)),"ID LISTS UNALIGNED",and($A404&lt;&gt;"",countif('3) Release_Label'!$D:$D,$A404)=0),"NO UPC MATCH in Release_Label",and($B404&lt;&gt;"",countif('3) Release_Label'!$E:$E,$B404)=0),"NO CATALOG ID MATCH in Release_Label",iserror(vlookup($A404&amp;$B404,'3) Release_Label'!$D:$D&amp;'3) Release_Label'!$E:$E,1,0)),"NO UPC-CATALOG ID pair MATCH in Release_Label" )</f>
        <v/>
      </c>
      <c r="E404" s="141" t="str">
        <f t="shared" si="2"/>
        <v/>
      </c>
      <c r="G404" s="103"/>
      <c r="H404" s="152"/>
      <c r="J404" s="99"/>
      <c r="K404" s="104"/>
      <c r="L404" s="99"/>
      <c r="N404" s="99"/>
      <c r="O404" s="99"/>
      <c r="P404" s="34"/>
    </row>
    <row r="405">
      <c r="A405" s="100"/>
      <c r="B405" s="103"/>
      <c r="C405" s="121" t="str">
        <f t="array" ref="C405">ifs(and(isblank($A405),isblank($B405)),"", not(iserror(vlookup($A405&amp;$B405,'3) Release_Label'!$D:$D&amp;'3) Release_Label'!$E:$E,1,0))),vlookup($A405&amp;$B405,{'3) Release_Label'!$D:$D&amp;'3) Release_Label'!$E:$E,'3) Release_Label'!$F:$F},2,0), or(and(not(isblank($B405)),$B405=$B404,$A405&lt;&gt;$A404),and(not(isblank($A405)),$A405=$A404,$B405&lt;&gt;$B404)),"ID LISTS UNALIGNED",and($A405&lt;&gt;"",countif('3) Release_Label'!$D:$D,$A405)=0),"NO UPC MATCH in Release_Label",and($B405&lt;&gt;"",countif('3) Release_Label'!$E:$E,$B405)=0),"NO CATALOG ID MATCH in Release_Label",iserror(vlookup($A405&amp;$B405,'3) Release_Label'!$D:$D&amp;'3) Release_Label'!$E:$E,1,0)),"NO UPC-CATALOG ID pair MATCH in Release_Label" )</f>
        <v/>
      </c>
      <c r="D405" s="121" t="str">
        <f t="array" ref="D405">ifs(and(isblank($A405),isblank($B405)),"", not(iserror(vlookup($A405&amp;$B405,'3) Release_Label'!$D:$D&amp;'3) Release_Label'!$E:$E,1,0))),vlookup($A405&amp;$B405,{'3) Release_Label'!$D:$D&amp;'3) Release_Label'!$E:$E,'3) Release_Label'!$H:$H},2,0), or(and(not(isblank($B405)),$B405=$B404,$A405&lt;&gt;$A404),and(not(isblank($A405)),$A405=$A404,$B405&lt;&gt;$B404)),"ID LISTS UNALIGNED",and($A405&lt;&gt;"",countif('3) Release_Label'!$D:$D,$A405)=0),"NO UPC MATCH in Release_Label",and($B405&lt;&gt;"",countif('3) Release_Label'!$E:$E,$B405)=0),"NO CATALOG ID MATCH in Release_Label",iserror(vlookup($A405&amp;$B405,'3) Release_Label'!$D:$D&amp;'3) Release_Label'!$E:$E,1,0)),"NO UPC-CATALOG ID pair MATCH in Release_Label" )</f>
        <v/>
      </c>
      <c r="E405" s="141" t="str">
        <f t="shared" si="2"/>
        <v/>
      </c>
      <c r="G405" s="103"/>
      <c r="H405" s="152"/>
      <c r="J405" s="99"/>
      <c r="K405" s="104"/>
      <c r="L405" s="99"/>
      <c r="N405" s="99"/>
      <c r="O405" s="99"/>
      <c r="P405" s="34"/>
    </row>
    <row r="406">
      <c r="A406" s="100"/>
      <c r="B406" s="103"/>
      <c r="C406" s="121" t="str">
        <f t="array" ref="C406">ifs(and(isblank($A406),isblank($B406)),"", not(iserror(vlookup($A406&amp;$B406,'3) Release_Label'!$D:$D&amp;'3) Release_Label'!$E:$E,1,0))),vlookup($A406&amp;$B406,{'3) Release_Label'!$D:$D&amp;'3) Release_Label'!$E:$E,'3) Release_Label'!$F:$F},2,0), or(and(not(isblank($B406)),$B406=$B405,$A406&lt;&gt;$A405),and(not(isblank($A406)),$A406=$A405,$B406&lt;&gt;$B405)),"ID LISTS UNALIGNED",and($A406&lt;&gt;"",countif('3) Release_Label'!$D:$D,$A406)=0),"NO UPC MATCH in Release_Label",and($B406&lt;&gt;"",countif('3) Release_Label'!$E:$E,$B406)=0),"NO CATALOG ID MATCH in Release_Label",iserror(vlookup($A406&amp;$B406,'3) Release_Label'!$D:$D&amp;'3) Release_Label'!$E:$E,1,0)),"NO UPC-CATALOG ID pair MATCH in Release_Label" )</f>
        <v/>
      </c>
      <c r="D406" s="121" t="str">
        <f t="array" ref="D406">ifs(and(isblank($A406),isblank($B406)),"", not(iserror(vlookup($A406&amp;$B406,'3) Release_Label'!$D:$D&amp;'3) Release_Label'!$E:$E,1,0))),vlookup($A406&amp;$B406,{'3) Release_Label'!$D:$D&amp;'3) Release_Label'!$E:$E,'3) Release_Label'!$H:$H},2,0), or(and(not(isblank($B406)),$B406=$B405,$A406&lt;&gt;$A405),and(not(isblank($A406)),$A406=$A405,$B406&lt;&gt;$B405)),"ID LISTS UNALIGNED",and($A406&lt;&gt;"",countif('3) Release_Label'!$D:$D,$A406)=0),"NO UPC MATCH in Release_Label",and($B406&lt;&gt;"",countif('3) Release_Label'!$E:$E,$B406)=0),"NO CATALOG ID MATCH in Release_Label",iserror(vlookup($A406&amp;$B406,'3) Release_Label'!$D:$D&amp;'3) Release_Label'!$E:$E,1,0)),"NO UPC-CATALOG ID pair MATCH in Release_Label" )</f>
        <v/>
      </c>
      <c r="E406" s="141" t="str">
        <f t="shared" si="2"/>
        <v/>
      </c>
      <c r="G406" s="103"/>
      <c r="H406" s="152"/>
      <c r="J406" s="99"/>
      <c r="K406" s="104"/>
      <c r="L406" s="99"/>
      <c r="N406" s="99"/>
      <c r="O406" s="99"/>
      <c r="P406" s="34"/>
    </row>
    <row r="407">
      <c r="A407" s="100"/>
      <c r="B407" s="103"/>
      <c r="C407" s="121" t="str">
        <f t="array" ref="C407">ifs(and(isblank($A407),isblank($B407)),"", not(iserror(vlookup($A407&amp;$B407,'3) Release_Label'!$D:$D&amp;'3) Release_Label'!$E:$E,1,0))),vlookup($A407&amp;$B407,{'3) Release_Label'!$D:$D&amp;'3) Release_Label'!$E:$E,'3) Release_Label'!$F:$F},2,0), or(and(not(isblank($B407)),$B407=$B406,$A407&lt;&gt;$A406),and(not(isblank($A407)),$A407=$A406,$B407&lt;&gt;$B406)),"ID LISTS UNALIGNED",and($A407&lt;&gt;"",countif('3) Release_Label'!$D:$D,$A407)=0),"NO UPC MATCH in Release_Label",and($B407&lt;&gt;"",countif('3) Release_Label'!$E:$E,$B407)=0),"NO CATALOG ID MATCH in Release_Label",iserror(vlookup($A407&amp;$B407,'3) Release_Label'!$D:$D&amp;'3) Release_Label'!$E:$E,1,0)),"NO UPC-CATALOG ID pair MATCH in Release_Label" )</f>
        <v/>
      </c>
      <c r="D407" s="121" t="str">
        <f t="array" ref="D407">ifs(and(isblank($A407),isblank($B407)),"", not(iserror(vlookup($A407&amp;$B407,'3) Release_Label'!$D:$D&amp;'3) Release_Label'!$E:$E,1,0))),vlookup($A407&amp;$B407,{'3) Release_Label'!$D:$D&amp;'3) Release_Label'!$E:$E,'3) Release_Label'!$H:$H},2,0), or(and(not(isblank($B407)),$B407=$B406,$A407&lt;&gt;$A406),and(not(isblank($A407)),$A407=$A406,$B407&lt;&gt;$B406)),"ID LISTS UNALIGNED",and($A407&lt;&gt;"",countif('3) Release_Label'!$D:$D,$A407)=0),"NO UPC MATCH in Release_Label",and($B407&lt;&gt;"",countif('3) Release_Label'!$E:$E,$B407)=0),"NO CATALOG ID MATCH in Release_Label",iserror(vlookup($A407&amp;$B407,'3) Release_Label'!$D:$D&amp;'3) Release_Label'!$E:$E,1,0)),"NO UPC-CATALOG ID pair MATCH in Release_Label" )</f>
        <v/>
      </c>
      <c r="E407" s="141" t="str">
        <f t="shared" si="2"/>
        <v/>
      </c>
      <c r="G407" s="103"/>
      <c r="H407" s="152"/>
      <c r="J407" s="99"/>
      <c r="K407" s="104"/>
      <c r="L407" s="99"/>
      <c r="N407" s="99"/>
      <c r="O407" s="99"/>
      <c r="P407" s="34"/>
    </row>
    <row r="408">
      <c r="A408" s="100"/>
      <c r="B408" s="103"/>
      <c r="C408" s="121" t="str">
        <f t="array" ref="C408">ifs(and(isblank($A408),isblank($B408)),"", not(iserror(vlookup($A408&amp;$B408,'3) Release_Label'!$D:$D&amp;'3) Release_Label'!$E:$E,1,0))),vlookup($A408&amp;$B408,{'3) Release_Label'!$D:$D&amp;'3) Release_Label'!$E:$E,'3) Release_Label'!$F:$F},2,0), or(and(not(isblank($B408)),$B408=$B407,$A408&lt;&gt;$A407),and(not(isblank($A408)),$A408=$A407,$B408&lt;&gt;$B407)),"ID LISTS UNALIGNED",and($A408&lt;&gt;"",countif('3) Release_Label'!$D:$D,$A408)=0),"NO UPC MATCH in Release_Label",and($B408&lt;&gt;"",countif('3) Release_Label'!$E:$E,$B408)=0),"NO CATALOG ID MATCH in Release_Label",iserror(vlookup($A408&amp;$B408,'3) Release_Label'!$D:$D&amp;'3) Release_Label'!$E:$E,1,0)),"NO UPC-CATALOG ID pair MATCH in Release_Label" )</f>
        <v/>
      </c>
      <c r="D408" s="121" t="str">
        <f t="array" ref="D408">ifs(and(isblank($A408),isblank($B408)),"", not(iserror(vlookup($A408&amp;$B408,'3) Release_Label'!$D:$D&amp;'3) Release_Label'!$E:$E,1,0))),vlookup($A408&amp;$B408,{'3) Release_Label'!$D:$D&amp;'3) Release_Label'!$E:$E,'3) Release_Label'!$H:$H},2,0), or(and(not(isblank($B408)),$B408=$B407,$A408&lt;&gt;$A407),and(not(isblank($A408)),$A408=$A407,$B408&lt;&gt;$B407)),"ID LISTS UNALIGNED",and($A408&lt;&gt;"",countif('3) Release_Label'!$D:$D,$A408)=0),"NO UPC MATCH in Release_Label",and($B408&lt;&gt;"",countif('3) Release_Label'!$E:$E,$B408)=0),"NO CATALOG ID MATCH in Release_Label",iserror(vlookup($A408&amp;$B408,'3) Release_Label'!$D:$D&amp;'3) Release_Label'!$E:$E,1,0)),"NO UPC-CATALOG ID pair MATCH in Release_Label" )</f>
        <v/>
      </c>
      <c r="E408" s="141" t="str">
        <f t="shared" si="2"/>
        <v/>
      </c>
      <c r="G408" s="103"/>
      <c r="H408" s="152"/>
      <c r="J408" s="99"/>
      <c r="K408" s="104"/>
      <c r="L408" s="99"/>
      <c r="N408" s="99"/>
      <c r="O408" s="99"/>
      <c r="P408" s="34"/>
    </row>
    <row r="409">
      <c r="A409" s="100"/>
      <c r="B409" s="103"/>
      <c r="C409" s="121" t="str">
        <f t="array" ref="C409">ifs(and(isblank($A409),isblank($B409)),"", not(iserror(vlookup($A409&amp;$B409,'3) Release_Label'!$D:$D&amp;'3) Release_Label'!$E:$E,1,0))),vlookup($A409&amp;$B409,{'3) Release_Label'!$D:$D&amp;'3) Release_Label'!$E:$E,'3) Release_Label'!$F:$F},2,0), or(and(not(isblank($B409)),$B409=$B408,$A409&lt;&gt;$A408),and(not(isblank($A409)),$A409=$A408,$B409&lt;&gt;$B408)),"ID LISTS UNALIGNED",and($A409&lt;&gt;"",countif('3) Release_Label'!$D:$D,$A409)=0),"NO UPC MATCH in Release_Label",and($B409&lt;&gt;"",countif('3) Release_Label'!$E:$E,$B409)=0),"NO CATALOG ID MATCH in Release_Label",iserror(vlookup($A409&amp;$B409,'3) Release_Label'!$D:$D&amp;'3) Release_Label'!$E:$E,1,0)),"NO UPC-CATALOG ID pair MATCH in Release_Label" )</f>
        <v/>
      </c>
      <c r="D409" s="121" t="str">
        <f t="array" ref="D409">ifs(and(isblank($A409),isblank($B409)),"", not(iserror(vlookup($A409&amp;$B409,'3) Release_Label'!$D:$D&amp;'3) Release_Label'!$E:$E,1,0))),vlookup($A409&amp;$B409,{'3) Release_Label'!$D:$D&amp;'3) Release_Label'!$E:$E,'3) Release_Label'!$H:$H},2,0), or(and(not(isblank($B409)),$B409=$B408,$A409&lt;&gt;$A408),and(not(isblank($A409)),$A409=$A408,$B409&lt;&gt;$B408)),"ID LISTS UNALIGNED",and($A409&lt;&gt;"",countif('3) Release_Label'!$D:$D,$A409)=0),"NO UPC MATCH in Release_Label",and($B409&lt;&gt;"",countif('3) Release_Label'!$E:$E,$B409)=0),"NO CATALOG ID MATCH in Release_Label",iserror(vlookup($A409&amp;$B409,'3) Release_Label'!$D:$D&amp;'3) Release_Label'!$E:$E,1,0)),"NO UPC-CATALOG ID pair MATCH in Release_Label" )</f>
        <v/>
      </c>
      <c r="E409" s="141" t="str">
        <f t="shared" si="2"/>
        <v/>
      </c>
      <c r="G409" s="103"/>
      <c r="H409" s="152"/>
      <c r="J409" s="99"/>
      <c r="K409" s="104"/>
      <c r="L409" s="99"/>
      <c r="N409" s="99"/>
      <c r="O409" s="99"/>
      <c r="P409" s="34"/>
    </row>
    <row r="410">
      <c r="A410" s="100"/>
      <c r="B410" s="103"/>
      <c r="C410" s="121" t="str">
        <f t="array" ref="C410">ifs(and(isblank($A410),isblank($B410)),"", not(iserror(vlookup($A410&amp;$B410,'3) Release_Label'!$D:$D&amp;'3) Release_Label'!$E:$E,1,0))),vlookup($A410&amp;$B410,{'3) Release_Label'!$D:$D&amp;'3) Release_Label'!$E:$E,'3) Release_Label'!$F:$F},2,0), or(and(not(isblank($B410)),$B410=$B409,$A410&lt;&gt;$A409),and(not(isblank($A410)),$A410=$A409,$B410&lt;&gt;$B409)),"ID LISTS UNALIGNED",and($A410&lt;&gt;"",countif('3) Release_Label'!$D:$D,$A410)=0),"NO UPC MATCH in Release_Label",and($B410&lt;&gt;"",countif('3) Release_Label'!$E:$E,$B410)=0),"NO CATALOG ID MATCH in Release_Label",iserror(vlookup($A410&amp;$B410,'3) Release_Label'!$D:$D&amp;'3) Release_Label'!$E:$E,1,0)),"NO UPC-CATALOG ID pair MATCH in Release_Label" )</f>
        <v/>
      </c>
      <c r="D410" s="121" t="str">
        <f t="array" ref="D410">ifs(and(isblank($A410),isblank($B410)),"", not(iserror(vlookup($A410&amp;$B410,'3) Release_Label'!$D:$D&amp;'3) Release_Label'!$E:$E,1,0))),vlookup($A410&amp;$B410,{'3) Release_Label'!$D:$D&amp;'3) Release_Label'!$E:$E,'3) Release_Label'!$H:$H},2,0), or(and(not(isblank($B410)),$B410=$B409,$A410&lt;&gt;$A409),and(not(isblank($A410)),$A410=$A409,$B410&lt;&gt;$B409)),"ID LISTS UNALIGNED",and($A410&lt;&gt;"",countif('3) Release_Label'!$D:$D,$A410)=0),"NO UPC MATCH in Release_Label",and($B410&lt;&gt;"",countif('3) Release_Label'!$E:$E,$B410)=0),"NO CATALOG ID MATCH in Release_Label",iserror(vlookup($A410&amp;$B410,'3) Release_Label'!$D:$D&amp;'3) Release_Label'!$E:$E,1,0)),"NO UPC-CATALOG ID pair MATCH in Release_Label" )</f>
        <v/>
      </c>
      <c r="E410" s="141" t="str">
        <f t="shared" si="2"/>
        <v/>
      </c>
      <c r="G410" s="103"/>
      <c r="H410" s="152"/>
      <c r="J410" s="99"/>
      <c r="K410" s="104"/>
      <c r="L410" s="99"/>
      <c r="N410" s="99"/>
      <c r="O410" s="99"/>
      <c r="P410" s="34"/>
    </row>
    <row r="411">
      <c r="A411" s="100"/>
      <c r="B411" s="103"/>
      <c r="C411" s="121" t="str">
        <f t="array" ref="C411">ifs(and(isblank($A411),isblank($B411)),"", not(iserror(vlookup($A411&amp;$B411,'3) Release_Label'!$D:$D&amp;'3) Release_Label'!$E:$E,1,0))),vlookup($A411&amp;$B411,{'3) Release_Label'!$D:$D&amp;'3) Release_Label'!$E:$E,'3) Release_Label'!$F:$F},2,0), or(and(not(isblank($B411)),$B411=$B410,$A411&lt;&gt;$A410),and(not(isblank($A411)),$A411=$A410,$B411&lt;&gt;$B410)),"ID LISTS UNALIGNED",and($A411&lt;&gt;"",countif('3) Release_Label'!$D:$D,$A411)=0),"NO UPC MATCH in Release_Label",and($B411&lt;&gt;"",countif('3) Release_Label'!$E:$E,$B411)=0),"NO CATALOG ID MATCH in Release_Label",iserror(vlookup($A411&amp;$B411,'3) Release_Label'!$D:$D&amp;'3) Release_Label'!$E:$E,1,0)),"NO UPC-CATALOG ID pair MATCH in Release_Label" )</f>
        <v/>
      </c>
      <c r="D411" s="121" t="str">
        <f t="array" ref="D411">ifs(and(isblank($A411),isblank($B411)),"", not(iserror(vlookup($A411&amp;$B411,'3) Release_Label'!$D:$D&amp;'3) Release_Label'!$E:$E,1,0))),vlookup($A411&amp;$B411,{'3) Release_Label'!$D:$D&amp;'3) Release_Label'!$E:$E,'3) Release_Label'!$H:$H},2,0), or(and(not(isblank($B411)),$B411=$B410,$A411&lt;&gt;$A410),and(not(isblank($A411)),$A411=$A410,$B411&lt;&gt;$B410)),"ID LISTS UNALIGNED",and($A411&lt;&gt;"",countif('3) Release_Label'!$D:$D,$A411)=0),"NO UPC MATCH in Release_Label",and($B411&lt;&gt;"",countif('3) Release_Label'!$E:$E,$B411)=0),"NO CATALOG ID MATCH in Release_Label",iserror(vlookup($A411&amp;$B411,'3) Release_Label'!$D:$D&amp;'3) Release_Label'!$E:$E,1,0)),"NO UPC-CATALOG ID pair MATCH in Release_Label" )</f>
        <v/>
      </c>
      <c r="E411" s="141" t="str">
        <f t="shared" si="2"/>
        <v/>
      </c>
      <c r="G411" s="103"/>
      <c r="H411" s="152"/>
      <c r="J411" s="99"/>
      <c r="K411" s="104"/>
      <c r="L411" s="99"/>
      <c r="N411" s="99"/>
      <c r="O411" s="99"/>
      <c r="P411" s="34"/>
    </row>
    <row r="412">
      <c r="A412" s="100"/>
      <c r="B412" s="103"/>
      <c r="C412" s="121" t="str">
        <f t="array" ref="C412">ifs(and(isblank($A412),isblank($B412)),"", not(iserror(vlookup($A412&amp;$B412,'3) Release_Label'!$D:$D&amp;'3) Release_Label'!$E:$E,1,0))),vlookup($A412&amp;$B412,{'3) Release_Label'!$D:$D&amp;'3) Release_Label'!$E:$E,'3) Release_Label'!$F:$F},2,0), or(and(not(isblank($B412)),$B412=$B411,$A412&lt;&gt;$A411),and(not(isblank($A412)),$A412=$A411,$B412&lt;&gt;$B411)),"ID LISTS UNALIGNED",and($A412&lt;&gt;"",countif('3) Release_Label'!$D:$D,$A412)=0),"NO UPC MATCH in Release_Label",and($B412&lt;&gt;"",countif('3) Release_Label'!$E:$E,$B412)=0),"NO CATALOG ID MATCH in Release_Label",iserror(vlookup($A412&amp;$B412,'3) Release_Label'!$D:$D&amp;'3) Release_Label'!$E:$E,1,0)),"NO UPC-CATALOG ID pair MATCH in Release_Label" )</f>
        <v/>
      </c>
      <c r="D412" s="121" t="str">
        <f t="array" ref="D412">ifs(and(isblank($A412),isblank($B412)),"", not(iserror(vlookup($A412&amp;$B412,'3) Release_Label'!$D:$D&amp;'3) Release_Label'!$E:$E,1,0))),vlookup($A412&amp;$B412,{'3) Release_Label'!$D:$D&amp;'3) Release_Label'!$E:$E,'3) Release_Label'!$H:$H},2,0), or(and(not(isblank($B412)),$B412=$B411,$A412&lt;&gt;$A411),and(not(isblank($A412)),$A412=$A411,$B412&lt;&gt;$B411)),"ID LISTS UNALIGNED",and($A412&lt;&gt;"",countif('3) Release_Label'!$D:$D,$A412)=0),"NO UPC MATCH in Release_Label",and($B412&lt;&gt;"",countif('3) Release_Label'!$E:$E,$B412)=0),"NO CATALOG ID MATCH in Release_Label",iserror(vlookup($A412&amp;$B412,'3) Release_Label'!$D:$D&amp;'3) Release_Label'!$E:$E,1,0)),"NO UPC-CATALOG ID pair MATCH in Release_Label" )</f>
        <v/>
      </c>
      <c r="E412" s="141" t="str">
        <f t="shared" si="2"/>
        <v/>
      </c>
      <c r="G412" s="103"/>
      <c r="H412" s="152"/>
      <c r="J412" s="99"/>
      <c r="K412" s="104"/>
      <c r="L412" s="99"/>
      <c r="N412" s="99"/>
      <c r="O412" s="99"/>
      <c r="P412" s="34"/>
    </row>
    <row r="413">
      <c r="A413" s="100"/>
      <c r="B413" s="103"/>
      <c r="C413" s="121" t="str">
        <f t="array" ref="C413">ifs(and(isblank($A413),isblank($B413)),"", not(iserror(vlookup($A413&amp;$B413,'3) Release_Label'!$D:$D&amp;'3) Release_Label'!$E:$E,1,0))),vlookup($A413&amp;$B413,{'3) Release_Label'!$D:$D&amp;'3) Release_Label'!$E:$E,'3) Release_Label'!$F:$F},2,0), or(and(not(isblank($B413)),$B413=$B412,$A413&lt;&gt;$A412),and(not(isblank($A413)),$A413=$A412,$B413&lt;&gt;$B412)),"ID LISTS UNALIGNED",and($A413&lt;&gt;"",countif('3) Release_Label'!$D:$D,$A413)=0),"NO UPC MATCH in Release_Label",and($B413&lt;&gt;"",countif('3) Release_Label'!$E:$E,$B413)=0),"NO CATALOG ID MATCH in Release_Label",iserror(vlookup($A413&amp;$B413,'3) Release_Label'!$D:$D&amp;'3) Release_Label'!$E:$E,1,0)),"NO UPC-CATALOG ID pair MATCH in Release_Label" )</f>
        <v/>
      </c>
      <c r="D413" s="121" t="str">
        <f t="array" ref="D413">ifs(and(isblank($A413),isblank($B413)),"", not(iserror(vlookup($A413&amp;$B413,'3) Release_Label'!$D:$D&amp;'3) Release_Label'!$E:$E,1,0))),vlookup($A413&amp;$B413,{'3) Release_Label'!$D:$D&amp;'3) Release_Label'!$E:$E,'3) Release_Label'!$H:$H},2,0), or(and(not(isblank($B413)),$B413=$B412,$A413&lt;&gt;$A412),and(not(isblank($A413)),$A413=$A412,$B413&lt;&gt;$B412)),"ID LISTS UNALIGNED",and($A413&lt;&gt;"",countif('3) Release_Label'!$D:$D,$A413)=0),"NO UPC MATCH in Release_Label",and($B413&lt;&gt;"",countif('3) Release_Label'!$E:$E,$B413)=0),"NO CATALOG ID MATCH in Release_Label",iserror(vlookup($A413&amp;$B413,'3) Release_Label'!$D:$D&amp;'3) Release_Label'!$E:$E,1,0)),"NO UPC-CATALOG ID pair MATCH in Release_Label" )</f>
        <v/>
      </c>
      <c r="E413" s="141" t="str">
        <f t="shared" si="2"/>
        <v/>
      </c>
      <c r="G413" s="103"/>
      <c r="H413" s="152"/>
      <c r="J413" s="99"/>
      <c r="K413" s="104"/>
      <c r="L413" s="99"/>
      <c r="N413" s="99"/>
      <c r="O413" s="99"/>
      <c r="P413" s="34"/>
    </row>
    <row r="414">
      <c r="A414" s="100"/>
      <c r="B414" s="103"/>
      <c r="C414" s="121" t="str">
        <f t="array" ref="C414">ifs(and(isblank($A414),isblank($B414)),"", not(iserror(vlookup($A414&amp;$B414,'3) Release_Label'!$D:$D&amp;'3) Release_Label'!$E:$E,1,0))),vlookup($A414&amp;$B414,{'3) Release_Label'!$D:$D&amp;'3) Release_Label'!$E:$E,'3) Release_Label'!$F:$F},2,0), or(and(not(isblank($B414)),$B414=$B413,$A414&lt;&gt;$A413),and(not(isblank($A414)),$A414=$A413,$B414&lt;&gt;$B413)),"ID LISTS UNALIGNED",and($A414&lt;&gt;"",countif('3) Release_Label'!$D:$D,$A414)=0),"NO UPC MATCH in Release_Label",and($B414&lt;&gt;"",countif('3) Release_Label'!$E:$E,$B414)=0),"NO CATALOG ID MATCH in Release_Label",iserror(vlookup($A414&amp;$B414,'3) Release_Label'!$D:$D&amp;'3) Release_Label'!$E:$E,1,0)),"NO UPC-CATALOG ID pair MATCH in Release_Label" )</f>
        <v/>
      </c>
      <c r="D414" s="121" t="str">
        <f t="array" ref="D414">ifs(and(isblank($A414),isblank($B414)),"", not(iserror(vlookup($A414&amp;$B414,'3) Release_Label'!$D:$D&amp;'3) Release_Label'!$E:$E,1,0))),vlookup($A414&amp;$B414,{'3) Release_Label'!$D:$D&amp;'3) Release_Label'!$E:$E,'3) Release_Label'!$H:$H},2,0), or(and(not(isblank($B414)),$B414=$B413,$A414&lt;&gt;$A413),and(not(isblank($A414)),$A414=$A413,$B414&lt;&gt;$B413)),"ID LISTS UNALIGNED",and($A414&lt;&gt;"",countif('3) Release_Label'!$D:$D,$A414)=0),"NO UPC MATCH in Release_Label",and($B414&lt;&gt;"",countif('3) Release_Label'!$E:$E,$B414)=0),"NO CATALOG ID MATCH in Release_Label",iserror(vlookup($A414&amp;$B414,'3) Release_Label'!$D:$D&amp;'3) Release_Label'!$E:$E,1,0)),"NO UPC-CATALOG ID pair MATCH in Release_Label" )</f>
        <v/>
      </c>
      <c r="E414" s="141" t="str">
        <f t="shared" si="2"/>
        <v/>
      </c>
      <c r="G414" s="103"/>
      <c r="H414" s="152"/>
      <c r="J414" s="99"/>
      <c r="K414" s="104"/>
      <c r="L414" s="99"/>
      <c r="N414" s="99"/>
      <c r="O414" s="99"/>
      <c r="P414" s="34"/>
    </row>
    <row r="415">
      <c r="A415" s="100"/>
      <c r="B415" s="103"/>
      <c r="C415" s="121" t="str">
        <f t="array" ref="C415">ifs(and(isblank($A415),isblank($B415)),"", not(iserror(vlookup($A415&amp;$B415,'3) Release_Label'!$D:$D&amp;'3) Release_Label'!$E:$E,1,0))),vlookup($A415&amp;$B415,{'3) Release_Label'!$D:$D&amp;'3) Release_Label'!$E:$E,'3) Release_Label'!$F:$F},2,0), or(and(not(isblank($B415)),$B415=$B414,$A415&lt;&gt;$A414),and(not(isblank($A415)),$A415=$A414,$B415&lt;&gt;$B414)),"ID LISTS UNALIGNED",and($A415&lt;&gt;"",countif('3) Release_Label'!$D:$D,$A415)=0),"NO UPC MATCH in Release_Label",and($B415&lt;&gt;"",countif('3) Release_Label'!$E:$E,$B415)=0),"NO CATALOG ID MATCH in Release_Label",iserror(vlookup($A415&amp;$B415,'3) Release_Label'!$D:$D&amp;'3) Release_Label'!$E:$E,1,0)),"NO UPC-CATALOG ID pair MATCH in Release_Label" )</f>
        <v/>
      </c>
      <c r="D415" s="121" t="str">
        <f t="array" ref="D415">ifs(and(isblank($A415),isblank($B415)),"", not(iserror(vlookup($A415&amp;$B415,'3) Release_Label'!$D:$D&amp;'3) Release_Label'!$E:$E,1,0))),vlookup($A415&amp;$B415,{'3) Release_Label'!$D:$D&amp;'3) Release_Label'!$E:$E,'3) Release_Label'!$H:$H},2,0), or(and(not(isblank($B415)),$B415=$B414,$A415&lt;&gt;$A414),and(not(isblank($A415)),$A415=$A414,$B415&lt;&gt;$B414)),"ID LISTS UNALIGNED",and($A415&lt;&gt;"",countif('3) Release_Label'!$D:$D,$A415)=0),"NO UPC MATCH in Release_Label",and($B415&lt;&gt;"",countif('3) Release_Label'!$E:$E,$B415)=0),"NO CATALOG ID MATCH in Release_Label",iserror(vlookup($A415&amp;$B415,'3) Release_Label'!$D:$D&amp;'3) Release_Label'!$E:$E,1,0)),"NO UPC-CATALOG ID pair MATCH in Release_Label" )</f>
        <v/>
      </c>
      <c r="E415" s="141" t="str">
        <f t="shared" si="2"/>
        <v/>
      </c>
      <c r="G415" s="103"/>
      <c r="H415" s="152"/>
      <c r="J415" s="99"/>
      <c r="K415" s="104"/>
      <c r="L415" s="99"/>
      <c r="N415" s="99"/>
      <c r="O415" s="99"/>
      <c r="P415" s="34"/>
    </row>
    <row r="416">
      <c r="A416" s="100"/>
      <c r="B416" s="103"/>
      <c r="C416" s="121" t="str">
        <f t="array" ref="C416">ifs(and(isblank($A416),isblank($B416)),"", not(iserror(vlookup($A416&amp;$B416,'3) Release_Label'!$D:$D&amp;'3) Release_Label'!$E:$E,1,0))),vlookup($A416&amp;$B416,{'3) Release_Label'!$D:$D&amp;'3) Release_Label'!$E:$E,'3) Release_Label'!$F:$F},2,0), or(and(not(isblank($B416)),$B416=$B415,$A416&lt;&gt;$A415),and(not(isblank($A416)),$A416=$A415,$B416&lt;&gt;$B415)),"ID LISTS UNALIGNED",and($A416&lt;&gt;"",countif('3) Release_Label'!$D:$D,$A416)=0),"NO UPC MATCH in Release_Label",and($B416&lt;&gt;"",countif('3) Release_Label'!$E:$E,$B416)=0),"NO CATALOG ID MATCH in Release_Label",iserror(vlookup($A416&amp;$B416,'3) Release_Label'!$D:$D&amp;'3) Release_Label'!$E:$E,1,0)),"NO UPC-CATALOG ID pair MATCH in Release_Label" )</f>
        <v/>
      </c>
      <c r="D416" s="121" t="str">
        <f t="array" ref="D416">ifs(and(isblank($A416),isblank($B416)),"", not(iserror(vlookup($A416&amp;$B416,'3) Release_Label'!$D:$D&amp;'3) Release_Label'!$E:$E,1,0))),vlookup($A416&amp;$B416,{'3) Release_Label'!$D:$D&amp;'3) Release_Label'!$E:$E,'3) Release_Label'!$H:$H},2,0), or(and(not(isblank($B416)),$B416=$B415,$A416&lt;&gt;$A415),and(not(isblank($A416)),$A416=$A415,$B416&lt;&gt;$B415)),"ID LISTS UNALIGNED",and($A416&lt;&gt;"",countif('3) Release_Label'!$D:$D,$A416)=0),"NO UPC MATCH in Release_Label",and($B416&lt;&gt;"",countif('3) Release_Label'!$E:$E,$B416)=0),"NO CATALOG ID MATCH in Release_Label",iserror(vlookup($A416&amp;$B416,'3) Release_Label'!$D:$D&amp;'3) Release_Label'!$E:$E,1,0)),"NO UPC-CATALOG ID pair MATCH in Release_Label" )</f>
        <v/>
      </c>
      <c r="E416" s="141" t="str">
        <f t="shared" si="2"/>
        <v/>
      </c>
      <c r="G416" s="103"/>
      <c r="H416" s="152"/>
      <c r="J416" s="99"/>
      <c r="K416" s="104"/>
      <c r="L416" s="99"/>
      <c r="N416" s="99"/>
      <c r="O416" s="99"/>
      <c r="P416" s="34"/>
    </row>
    <row r="417">
      <c r="A417" s="100"/>
      <c r="B417" s="103"/>
      <c r="C417" s="121" t="str">
        <f t="array" ref="C417">ifs(and(isblank($A417),isblank($B417)),"", not(iserror(vlookup($A417&amp;$B417,'3) Release_Label'!$D:$D&amp;'3) Release_Label'!$E:$E,1,0))),vlookup($A417&amp;$B417,{'3) Release_Label'!$D:$D&amp;'3) Release_Label'!$E:$E,'3) Release_Label'!$F:$F},2,0), or(and(not(isblank($B417)),$B417=$B416,$A417&lt;&gt;$A416),and(not(isblank($A417)),$A417=$A416,$B417&lt;&gt;$B416)),"ID LISTS UNALIGNED",and($A417&lt;&gt;"",countif('3) Release_Label'!$D:$D,$A417)=0),"NO UPC MATCH in Release_Label",and($B417&lt;&gt;"",countif('3) Release_Label'!$E:$E,$B417)=0),"NO CATALOG ID MATCH in Release_Label",iserror(vlookup($A417&amp;$B417,'3) Release_Label'!$D:$D&amp;'3) Release_Label'!$E:$E,1,0)),"NO UPC-CATALOG ID pair MATCH in Release_Label" )</f>
        <v/>
      </c>
      <c r="D417" s="121" t="str">
        <f t="array" ref="D417">ifs(and(isblank($A417),isblank($B417)),"", not(iserror(vlookup($A417&amp;$B417,'3) Release_Label'!$D:$D&amp;'3) Release_Label'!$E:$E,1,0))),vlookup($A417&amp;$B417,{'3) Release_Label'!$D:$D&amp;'3) Release_Label'!$E:$E,'3) Release_Label'!$H:$H},2,0), or(and(not(isblank($B417)),$B417=$B416,$A417&lt;&gt;$A416),and(not(isblank($A417)),$A417=$A416,$B417&lt;&gt;$B416)),"ID LISTS UNALIGNED",and($A417&lt;&gt;"",countif('3) Release_Label'!$D:$D,$A417)=0),"NO UPC MATCH in Release_Label",and($B417&lt;&gt;"",countif('3) Release_Label'!$E:$E,$B417)=0),"NO CATALOG ID MATCH in Release_Label",iserror(vlookup($A417&amp;$B417,'3) Release_Label'!$D:$D&amp;'3) Release_Label'!$E:$E,1,0)),"NO UPC-CATALOG ID pair MATCH in Release_Label" )</f>
        <v/>
      </c>
      <c r="E417" s="141" t="str">
        <f t="shared" si="2"/>
        <v/>
      </c>
      <c r="G417" s="103"/>
      <c r="H417" s="152"/>
      <c r="J417" s="99"/>
      <c r="K417" s="104"/>
      <c r="L417" s="99"/>
      <c r="N417" s="99"/>
      <c r="O417" s="99"/>
      <c r="P417" s="34"/>
    </row>
    <row r="418">
      <c r="A418" s="100"/>
      <c r="B418" s="103"/>
      <c r="C418" s="121" t="str">
        <f t="array" ref="C418">ifs(and(isblank($A418),isblank($B418)),"", not(iserror(vlookup($A418&amp;$B418,'3) Release_Label'!$D:$D&amp;'3) Release_Label'!$E:$E,1,0))),vlookup($A418&amp;$B418,{'3) Release_Label'!$D:$D&amp;'3) Release_Label'!$E:$E,'3) Release_Label'!$F:$F},2,0), or(and(not(isblank($B418)),$B418=$B417,$A418&lt;&gt;$A417),and(not(isblank($A418)),$A418=$A417,$B418&lt;&gt;$B417)),"ID LISTS UNALIGNED",and($A418&lt;&gt;"",countif('3) Release_Label'!$D:$D,$A418)=0),"NO UPC MATCH in Release_Label",and($B418&lt;&gt;"",countif('3) Release_Label'!$E:$E,$B418)=0),"NO CATALOG ID MATCH in Release_Label",iserror(vlookup($A418&amp;$B418,'3) Release_Label'!$D:$D&amp;'3) Release_Label'!$E:$E,1,0)),"NO UPC-CATALOG ID pair MATCH in Release_Label" )</f>
        <v/>
      </c>
      <c r="D418" s="121" t="str">
        <f t="array" ref="D418">ifs(and(isblank($A418),isblank($B418)),"", not(iserror(vlookup($A418&amp;$B418,'3) Release_Label'!$D:$D&amp;'3) Release_Label'!$E:$E,1,0))),vlookup($A418&amp;$B418,{'3) Release_Label'!$D:$D&amp;'3) Release_Label'!$E:$E,'3) Release_Label'!$H:$H},2,0), or(and(not(isblank($B418)),$B418=$B417,$A418&lt;&gt;$A417),and(not(isblank($A418)),$A418=$A417,$B418&lt;&gt;$B417)),"ID LISTS UNALIGNED",and($A418&lt;&gt;"",countif('3) Release_Label'!$D:$D,$A418)=0),"NO UPC MATCH in Release_Label",and($B418&lt;&gt;"",countif('3) Release_Label'!$E:$E,$B418)=0),"NO CATALOG ID MATCH in Release_Label",iserror(vlookup($A418&amp;$B418,'3) Release_Label'!$D:$D&amp;'3) Release_Label'!$E:$E,1,0)),"NO UPC-CATALOG ID pair MATCH in Release_Label" )</f>
        <v/>
      </c>
      <c r="E418" s="141" t="str">
        <f t="shared" si="2"/>
        <v/>
      </c>
      <c r="G418" s="103"/>
      <c r="H418" s="152"/>
      <c r="J418" s="99"/>
      <c r="K418" s="104"/>
      <c r="L418" s="99"/>
      <c r="N418" s="99"/>
      <c r="O418" s="99"/>
      <c r="P418" s="34"/>
    </row>
    <row r="419">
      <c r="A419" s="100"/>
      <c r="B419" s="103"/>
      <c r="C419" s="121" t="str">
        <f t="array" ref="C419">ifs(and(isblank($A419),isblank($B419)),"", not(iserror(vlookup($A419&amp;$B419,'3) Release_Label'!$D:$D&amp;'3) Release_Label'!$E:$E,1,0))),vlookup($A419&amp;$B419,{'3) Release_Label'!$D:$D&amp;'3) Release_Label'!$E:$E,'3) Release_Label'!$F:$F},2,0), or(and(not(isblank($B419)),$B419=$B418,$A419&lt;&gt;$A418),and(not(isblank($A419)),$A419=$A418,$B419&lt;&gt;$B418)),"ID LISTS UNALIGNED",and($A419&lt;&gt;"",countif('3) Release_Label'!$D:$D,$A419)=0),"NO UPC MATCH in Release_Label",and($B419&lt;&gt;"",countif('3) Release_Label'!$E:$E,$B419)=0),"NO CATALOG ID MATCH in Release_Label",iserror(vlookup($A419&amp;$B419,'3) Release_Label'!$D:$D&amp;'3) Release_Label'!$E:$E,1,0)),"NO UPC-CATALOG ID pair MATCH in Release_Label" )</f>
        <v/>
      </c>
      <c r="D419" s="121" t="str">
        <f t="array" ref="D419">ifs(and(isblank($A419),isblank($B419)),"", not(iserror(vlookup($A419&amp;$B419,'3) Release_Label'!$D:$D&amp;'3) Release_Label'!$E:$E,1,0))),vlookup($A419&amp;$B419,{'3) Release_Label'!$D:$D&amp;'3) Release_Label'!$E:$E,'3) Release_Label'!$H:$H},2,0), or(and(not(isblank($B419)),$B419=$B418,$A419&lt;&gt;$A418),and(not(isblank($A419)),$A419=$A418,$B419&lt;&gt;$B418)),"ID LISTS UNALIGNED",and($A419&lt;&gt;"",countif('3) Release_Label'!$D:$D,$A419)=0),"NO UPC MATCH in Release_Label",and($B419&lt;&gt;"",countif('3) Release_Label'!$E:$E,$B419)=0),"NO CATALOG ID MATCH in Release_Label",iserror(vlookup($A419&amp;$B419,'3) Release_Label'!$D:$D&amp;'3) Release_Label'!$E:$E,1,0)),"NO UPC-CATALOG ID pair MATCH in Release_Label" )</f>
        <v/>
      </c>
      <c r="E419" s="141" t="str">
        <f t="shared" si="2"/>
        <v/>
      </c>
      <c r="G419" s="103"/>
      <c r="H419" s="152"/>
      <c r="J419" s="99"/>
      <c r="K419" s="104"/>
      <c r="L419" s="99"/>
      <c r="N419" s="99"/>
      <c r="O419" s="99"/>
      <c r="P419" s="34"/>
    </row>
    <row r="420">
      <c r="A420" s="100"/>
      <c r="B420" s="103"/>
      <c r="C420" s="121" t="str">
        <f t="array" ref="C420">ifs(and(isblank($A420),isblank($B420)),"", not(iserror(vlookup($A420&amp;$B420,'3) Release_Label'!$D:$D&amp;'3) Release_Label'!$E:$E,1,0))),vlookup($A420&amp;$B420,{'3) Release_Label'!$D:$D&amp;'3) Release_Label'!$E:$E,'3) Release_Label'!$F:$F},2,0), or(and(not(isblank($B420)),$B420=$B419,$A420&lt;&gt;$A419),and(not(isblank($A420)),$A420=$A419,$B420&lt;&gt;$B419)),"ID LISTS UNALIGNED",and($A420&lt;&gt;"",countif('3) Release_Label'!$D:$D,$A420)=0),"NO UPC MATCH in Release_Label",and($B420&lt;&gt;"",countif('3) Release_Label'!$E:$E,$B420)=0),"NO CATALOG ID MATCH in Release_Label",iserror(vlookup($A420&amp;$B420,'3) Release_Label'!$D:$D&amp;'3) Release_Label'!$E:$E,1,0)),"NO UPC-CATALOG ID pair MATCH in Release_Label" )</f>
        <v/>
      </c>
      <c r="D420" s="121" t="str">
        <f t="array" ref="D420">ifs(and(isblank($A420),isblank($B420)),"", not(iserror(vlookup($A420&amp;$B420,'3) Release_Label'!$D:$D&amp;'3) Release_Label'!$E:$E,1,0))),vlookup($A420&amp;$B420,{'3) Release_Label'!$D:$D&amp;'3) Release_Label'!$E:$E,'3) Release_Label'!$H:$H},2,0), or(and(not(isblank($B420)),$B420=$B419,$A420&lt;&gt;$A419),and(not(isblank($A420)),$A420=$A419,$B420&lt;&gt;$B419)),"ID LISTS UNALIGNED",and($A420&lt;&gt;"",countif('3) Release_Label'!$D:$D,$A420)=0),"NO UPC MATCH in Release_Label",and($B420&lt;&gt;"",countif('3) Release_Label'!$E:$E,$B420)=0),"NO CATALOG ID MATCH in Release_Label",iserror(vlookup($A420&amp;$B420,'3) Release_Label'!$D:$D&amp;'3) Release_Label'!$E:$E,1,0)),"NO UPC-CATALOG ID pair MATCH in Release_Label" )</f>
        <v/>
      </c>
      <c r="E420" s="141" t="str">
        <f t="shared" si="2"/>
        <v/>
      </c>
      <c r="G420" s="103"/>
      <c r="H420" s="152"/>
      <c r="J420" s="99"/>
      <c r="K420" s="104"/>
      <c r="L420" s="99"/>
      <c r="N420" s="99"/>
      <c r="O420" s="99"/>
      <c r="P420" s="34"/>
    </row>
    <row r="421">
      <c r="A421" s="100"/>
      <c r="B421" s="103"/>
      <c r="C421" s="121" t="str">
        <f t="array" ref="C421">ifs(and(isblank($A421),isblank($B421)),"", not(iserror(vlookup($A421&amp;$B421,'3) Release_Label'!$D:$D&amp;'3) Release_Label'!$E:$E,1,0))),vlookup($A421&amp;$B421,{'3) Release_Label'!$D:$D&amp;'3) Release_Label'!$E:$E,'3) Release_Label'!$F:$F},2,0), or(and(not(isblank($B421)),$B421=$B420,$A421&lt;&gt;$A420),and(not(isblank($A421)),$A421=$A420,$B421&lt;&gt;$B420)),"ID LISTS UNALIGNED",and($A421&lt;&gt;"",countif('3) Release_Label'!$D:$D,$A421)=0),"NO UPC MATCH in Release_Label",and($B421&lt;&gt;"",countif('3) Release_Label'!$E:$E,$B421)=0),"NO CATALOG ID MATCH in Release_Label",iserror(vlookup($A421&amp;$B421,'3) Release_Label'!$D:$D&amp;'3) Release_Label'!$E:$E,1,0)),"NO UPC-CATALOG ID pair MATCH in Release_Label" )</f>
        <v/>
      </c>
      <c r="D421" s="121" t="str">
        <f t="array" ref="D421">ifs(and(isblank($A421),isblank($B421)),"", not(iserror(vlookup($A421&amp;$B421,'3) Release_Label'!$D:$D&amp;'3) Release_Label'!$E:$E,1,0))),vlookup($A421&amp;$B421,{'3) Release_Label'!$D:$D&amp;'3) Release_Label'!$E:$E,'3) Release_Label'!$H:$H},2,0), or(and(not(isblank($B421)),$B421=$B420,$A421&lt;&gt;$A420),and(not(isblank($A421)),$A421=$A420,$B421&lt;&gt;$B420)),"ID LISTS UNALIGNED",and($A421&lt;&gt;"",countif('3) Release_Label'!$D:$D,$A421)=0),"NO UPC MATCH in Release_Label",and($B421&lt;&gt;"",countif('3) Release_Label'!$E:$E,$B421)=0),"NO CATALOG ID MATCH in Release_Label",iserror(vlookup($A421&amp;$B421,'3) Release_Label'!$D:$D&amp;'3) Release_Label'!$E:$E,1,0)),"NO UPC-CATALOG ID pair MATCH in Release_Label" )</f>
        <v/>
      </c>
      <c r="E421" s="141" t="str">
        <f t="shared" si="2"/>
        <v/>
      </c>
      <c r="G421" s="103"/>
      <c r="H421" s="152"/>
      <c r="J421" s="99"/>
      <c r="K421" s="104"/>
      <c r="L421" s="99"/>
      <c r="N421" s="99"/>
      <c r="O421" s="99"/>
      <c r="P421" s="34"/>
    </row>
    <row r="422">
      <c r="A422" s="100"/>
      <c r="B422" s="103"/>
      <c r="C422" s="121" t="str">
        <f t="array" ref="C422">ifs(and(isblank($A422),isblank($B422)),"", not(iserror(vlookup($A422&amp;$B422,'3) Release_Label'!$D:$D&amp;'3) Release_Label'!$E:$E,1,0))),vlookup($A422&amp;$B422,{'3) Release_Label'!$D:$D&amp;'3) Release_Label'!$E:$E,'3) Release_Label'!$F:$F},2,0), or(and(not(isblank($B422)),$B422=$B421,$A422&lt;&gt;$A421),and(not(isblank($A422)),$A422=$A421,$B422&lt;&gt;$B421)),"ID LISTS UNALIGNED",and($A422&lt;&gt;"",countif('3) Release_Label'!$D:$D,$A422)=0),"NO UPC MATCH in Release_Label",and($B422&lt;&gt;"",countif('3) Release_Label'!$E:$E,$B422)=0),"NO CATALOG ID MATCH in Release_Label",iserror(vlookup($A422&amp;$B422,'3) Release_Label'!$D:$D&amp;'3) Release_Label'!$E:$E,1,0)),"NO UPC-CATALOG ID pair MATCH in Release_Label" )</f>
        <v/>
      </c>
      <c r="D422" s="121" t="str">
        <f t="array" ref="D422">ifs(and(isblank($A422),isblank($B422)),"", not(iserror(vlookup($A422&amp;$B422,'3) Release_Label'!$D:$D&amp;'3) Release_Label'!$E:$E,1,0))),vlookup($A422&amp;$B422,{'3) Release_Label'!$D:$D&amp;'3) Release_Label'!$E:$E,'3) Release_Label'!$H:$H},2,0), or(and(not(isblank($B422)),$B422=$B421,$A422&lt;&gt;$A421),and(not(isblank($A422)),$A422=$A421,$B422&lt;&gt;$B421)),"ID LISTS UNALIGNED",and($A422&lt;&gt;"",countif('3) Release_Label'!$D:$D,$A422)=0),"NO UPC MATCH in Release_Label",and($B422&lt;&gt;"",countif('3) Release_Label'!$E:$E,$B422)=0),"NO CATALOG ID MATCH in Release_Label",iserror(vlookup($A422&amp;$B422,'3) Release_Label'!$D:$D&amp;'3) Release_Label'!$E:$E,1,0)),"NO UPC-CATALOG ID pair MATCH in Release_Label" )</f>
        <v/>
      </c>
      <c r="E422" s="141" t="str">
        <f t="shared" si="2"/>
        <v/>
      </c>
      <c r="G422" s="103"/>
      <c r="H422" s="152"/>
      <c r="J422" s="99"/>
      <c r="K422" s="104"/>
      <c r="L422" s="99"/>
      <c r="N422" s="99"/>
      <c r="O422" s="99"/>
      <c r="P422" s="34"/>
    </row>
    <row r="423">
      <c r="A423" s="100"/>
      <c r="B423" s="103"/>
      <c r="C423" s="121" t="str">
        <f t="array" ref="C423">ifs(and(isblank($A423),isblank($B423)),"", not(iserror(vlookup($A423&amp;$B423,'3) Release_Label'!$D:$D&amp;'3) Release_Label'!$E:$E,1,0))),vlookup($A423&amp;$B423,{'3) Release_Label'!$D:$D&amp;'3) Release_Label'!$E:$E,'3) Release_Label'!$F:$F},2,0), or(and(not(isblank($B423)),$B423=$B422,$A423&lt;&gt;$A422),and(not(isblank($A423)),$A423=$A422,$B423&lt;&gt;$B422)),"ID LISTS UNALIGNED",and($A423&lt;&gt;"",countif('3) Release_Label'!$D:$D,$A423)=0),"NO UPC MATCH in Release_Label",and($B423&lt;&gt;"",countif('3) Release_Label'!$E:$E,$B423)=0),"NO CATALOG ID MATCH in Release_Label",iserror(vlookup($A423&amp;$B423,'3) Release_Label'!$D:$D&amp;'3) Release_Label'!$E:$E,1,0)),"NO UPC-CATALOG ID pair MATCH in Release_Label" )</f>
        <v/>
      </c>
      <c r="D423" s="121" t="str">
        <f t="array" ref="D423">ifs(and(isblank($A423),isblank($B423)),"", not(iserror(vlookup($A423&amp;$B423,'3) Release_Label'!$D:$D&amp;'3) Release_Label'!$E:$E,1,0))),vlookup($A423&amp;$B423,{'3) Release_Label'!$D:$D&amp;'3) Release_Label'!$E:$E,'3) Release_Label'!$H:$H},2,0), or(and(not(isblank($B423)),$B423=$B422,$A423&lt;&gt;$A422),and(not(isblank($A423)),$A423=$A422,$B423&lt;&gt;$B422)),"ID LISTS UNALIGNED",and($A423&lt;&gt;"",countif('3) Release_Label'!$D:$D,$A423)=0),"NO UPC MATCH in Release_Label",and($B423&lt;&gt;"",countif('3) Release_Label'!$E:$E,$B423)=0),"NO CATALOG ID MATCH in Release_Label",iserror(vlookup($A423&amp;$B423,'3) Release_Label'!$D:$D&amp;'3) Release_Label'!$E:$E,1,0)),"NO UPC-CATALOG ID pair MATCH in Release_Label" )</f>
        <v/>
      </c>
      <c r="E423" s="141" t="str">
        <f t="shared" si="2"/>
        <v/>
      </c>
      <c r="G423" s="103"/>
      <c r="H423" s="152"/>
      <c r="J423" s="99"/>
      <c r="K423" s="104"/>
      <c r="L423" s="99"/>
      <c r="N423" s="99"/>
      <c r="O423" s="99"/>
      <c r="P423" s="34"/>
    </row>
    <row r="424">
      <c r="A424" s="100"/>
      <c r="B424" s="103"/>
      <c r="C424" s="121" t="str">
        <f t="array" ref="C424">ifs(and(isblank($A424),isblank($B424)),"", not(iserror(vlookup($A424&amp;$B424,'3) Release_Label'!$D:$D&amp;'3) Release_Label'!$E:$E,1,0))),vlookup($A424&amp;$B424,{'3) Release_Label'!$D:$D&amp;'3) Release_Label'!$E:$E,'3) Release_Label'!$F:$F},2,0), or(and(not(isblank($B424)),$B424=$B423,$A424&lt;&gt;$A423),and(not(isblank($A424)),$A424=$A423,$B424&lt;&gt;$B423)),"ID LISTS UNALIGNED",and($A424&lt;&gt;"",countif('3) Release_Label'!$D:$D,$A424)=0),"NO UPC MATCH in Release_Label",and($B424&lt;&gt;"",countif('3) Release_Label'!$E:$E,$B424)=0),"NO CATALOG ID MATCH in Release_Label",iserror(vlookup($A424&amp;$B424,'3) Release_Label'!$D:$D&amp;'3) Release_Label'!$E:$E,1,0)),"NO UPC-CATALOG ID pair MATCH in Release_Label" )</f>
        <v/>
      </c>
      <c r="D424" s="121" t="str">
        <f t="array" ref="D424">ifs(and(isblank($A424),isblank($B424)),"", not(iserror(vlookup($A424&amp;$B424,'3) Release_Label'!$D:$D&amp;'3) Release_Label'!$E:$E,1,0))),vlookup($A424&amp;$B424,{'3) Release_Label'!$D:$D&amp;'3) Release_Label'!$E:$E,'3) Release_Label'!$H:$H},2,0), or(and(not(isblank($B424)),$B424=$B423,$A424&lt;&gt;$A423),and(not(isblank($A424)),$A424=$A423,$B424&lt;&gt;$B423)),"ID LISTS UNALIGNED",and($A424&lt;&gt;"",countif('3) Release_Label'!$D:$D,$A424)=0),"NO UPC MATCH in Release_Label",and($B424&lt;&gt;"",countif('3) Release_Label'!$E:$E,$B424)=0),"NO CATALOG ID MATCH in Release_Label",iserror(vlookup($A424&amp;$B424,'3) Release_Label'!$D:$D&amp;'3) Release_Label'!$E:$E,1,0)),"NO UPC-CATALOG ID pair MATCH in Release_Label" )</f>
        <v/>
      </c>
      <c r="E424" s="141" t="str">
        <f t="shared" si="2"/>
        <v/>
      </c>
      <c r="G424" s="103"/>
      <c r="H424" s="152"/>
      <c r="J424" s="99"/>
      <c r="K424" s="104"/>
      <c r="L424" s="99"/>
      <c r="N424" s="99"/>
      <c r="O424" s="99"/>
      <c r="P424" s="34"/>
    </row>
    <row r="425">
      <c r="A425" s="100"/>
      <c r="B425" s="103"/>
      <c r="C425" s="121" t="str">
        <f t="array" ref="C425">ifs(and(isblank($A425),isblank($B425)),"", not(iserror(vlookup($A425&amp;$B425,'3) Release_Label'!$D:$D&amp;'3) Release_Label'!$E:$E,1,0))),vlookup($A425&amp;$B425,{'3) Release_Label'!$D:$D&amp;'3) Release_Label'!$E:$E,'3) Release_Label'!$F:$F},2,0), or(and(not(isblank($B425)),$B425=$B424,$A425&lt;&gt;$A424),and(not(isblank($A425)),$A425=$A424,$B425&lt;&gt;$B424)),"ID LISTS UNALIGNED",and($A425&lt;&gt;"",countif('3) Release_Label'!$D:$D,$A425)=0),"NO UPC MATCH in Release_Label",and($B425&lt;&gt;"",countif('3) Release_Label'!$E:$E,$B425)=0),"NO CATALOG ID MATCH in Release_Label",iserror(vlookup($A425&amp;$B425,'3) Release_Label'!$D:$D&amp;'3) Release_Label'!$E:$E,1,0)),"NO UPC-CATALOG ID pair MATCH in Release_Label" )</f>
        <v/>
      </c>
      <c r="D425" s="121" t="str">
        <f t="array" ref="D425">ifs(and(isblank($A425),isblank($B425)),"", not(iserror(vlookup($A425&amp;$B425,'3) Release_Label'!$D:$D&amp;'3) Release_Label'!$E:$E,1,0))),vlookup($A425&amp;$B425,{'3) Release_Label'!$D:$D&amp;'3) Release_Label'!$E:$E,'3) Release_Label'!$H:$H},2,0), or(and(not(isblank($B425)),$B425=$B424,$A425&lt;&gt;$A424),and(not(isblank($A425)),$A425=$A424,$B425&lt;&gt;$B424)),"ID LISTS UNALIGNED",and($A425&lt;&gt;"",countif('3) Release_Label'!$D:$D,$A425)=0),"NO UPC MATCH in Release_Label",and($B425&lt;&gt;"",countif('3) Release_Label'!$E:$E,$B425)=0),"NO CATALOG ID MATCH in Release_Label",iserror(vlookup($A425&amp;$B425,'3) Release_Label'!$D:$D&amp;'3) Release_Label'!$E:$E,1,0)),"NO UPC-CATALOG ID pair MATCH in Release_Label" )</f>
        <v/>
      </c>
      <c r="E425" s="141" t="str">
        <f t="shared" si="2"/>
        <v/>
      </c>
      <c r="G425" s="103"/>
      <c r="H425" s="152"/>
      <c r="J425" s="99"/>
      <c r="K425" s="104"/>
      <c r="L425" s="99"/>
      <c r="N425" s="99"/>
      <c r="O425" s="99"/>
      <c r="P425" s="34"/>
    </row>
    <row r="426">
      <c r="A426" s="100"/>
      <c r="B426" s="103"/>
      <c r="C426" s="121" t="str">
        <f t="array" ref="C426">ifs(and(isblank($A426),isblank($B426)),"", not(iserror(vlookup($A426&amp;$B426,'3) Release_Label'!$D:$D&amp;'3) Release_Label'!$E:$E,1,0))),vlookup($A426&amp;$B426,{'3) Release_Label'!$D:$D&amp;'3) Release_Label'!$E:$E,'3) Release_Label'!$F:$F},2,0), or(and(not(isblank($B426)),$B426=$B425,$A426&lt;&gt;$A425),and(not(isblank($A426)),$A426=$A425,$B426&lt;&gt;$B425)),"ID LISTS UNALIGNED",and($A426&lt;&gt;"",countif('3) Release_Label'!$D:$D,$A426)=0),"NO UPC MATCH in Release_Label",and($B426&lt;&gt;"",countif('3) Release_Label'!$E:$E,$B426)=0),"NO CATALOG ID MATCH in Release_Label",iserror(vlookup($A426&amp;$B426,'3) Release_Label'!$D:$D&amp;'3) Release_Label'!$E:$E,1,0)),"NO UPC-CATALOG ID pair MATCH in Release_Label" )</f>
        <v/>
      </c>
      <c r="D426" s="121" t="str">
        <f t="array" ref="D426">ifs(and(isblank($A426),isblank($B426)),"", not(iserror(vlookup($A426&amp;$B426,'3) Release_Label'!$D:$D&amp;'3) Release_Label'!$E:$E,1,0))),vlookup($A426&amp;$B426,{'3) Release_Label'!$D:$D&amp;'3) Release_Label'!$E:$E,'3) Release_Label'!$H:$H},2,0), or(and(not(isblank($B426)),$B426=$B425,$A426&lt;&gt;$A425),and(not(isblank($A426)),$A426=$A425,$B426&lt;&gt;$B425)),"ID LISTS UNALIGNED",and($A426&lt;&gt;"",countif('3) Release_Label'!$D:$D,$A426)=0),"NO UPC MATCH in Release_Label",and($B426&lt;&gt;"",countif('3) Release_Label'!$E:$E,$B426)=0),"NO CATALOG ID MATCH in Release_Label",iserror(vlookup($A426&amp;$B426,'3) Release_Label'!$D:$D&amp;'3) Release_Label'!$E:$E,1,0)),"NO UPC-CATALOG ID pair MATCH in Release_Label" )</f>
        <v/>
      </c>
      <c r="E426" s="141" t="str">
        <f t="shared" si="2"/>
        <v/>
      </c>
      <c r="G426" s="103"/>
      <c r="H426" s="152"/>
      <c r="J426" s="99"/>
      <c r="K426" s="104"/>
      <c r="L426" s="99"/>
      <c r="N426" s="99"/>
      <c r="O426" s="99"/>
      <c r="P426" s="34"/>
    </row>
    <row r="427">
      <c r="A427" s="100"/>
      <c r="B427" s="103"/>
      <c r="C427" s="121" t="str">
        <f t="array" ref="C427">ifs(and(isblank($A427),isblank($B427)),"", not(iserror(vlookup($A427&amp;$B427,'3) Release_Label'!$D:$D&amp;'3) Release_Label'!$E:$E,1,0))),vlookup($A427&amp;$B427,{'3) Release_Label'!$D:$D&amp;'3) Release_Label'!$E:$E,'3) Release_Label'!$F:$F},2,0), or(and(not(isblank($B427)),$B427=$B426,$A427&lt;&gt;$A426),and(not(isblank($A427)),$A427=$A426,$B427&lt;&gt;$B426)),"ID LISTS UNALIGNED",and($A427&lt;&gt;"",countif('3) Release_Label'!$D:$D,$A427)=0),"NO UPC MATCH in Release_Label",and($B427&lt;&gt;"",countif('3) Release_Label'!$E:$E,$B427)=0),"NO CATALOG ID MATCH in Release_Label",iserror(vlookup($A427&amp;$B427,'3) Release_Label'!$D:$D&amp;'3) Release_Label'!$E:$E,1,0)),"NO UPC-CATALOG ID pair MATCH in Release_Label" )</f>
        <v/>
      </c>
      <c r="D427" s="121" t="str">
        <f t="array" ref="D427">ifs(and(isblank($A427),isblank($B427)),"", not(iserror(vlookup($A427&amp;$B427,'3) Release_Label'!$D:$D&amp;'3) Release_Label'!$E:$E,1,0))),vlookup($A427&amp;$B427,{'3) Release_Label'!$D:$D&amp;'3) Release_Label'!$E:$E,'3) Release_Label'!$H:$H},2,0), or(and(not(isblank($B427)),$B427=$B426,$A427&lt;&gt;$A426),and(not(isblank($A427)),$A427=$A426,$B427&lt;&gt;$B426)),"ID LISTS UNALIGNED",and($A427&lt;&gt;"",countif('3) Release_Label'!$D:$D,$A427)=0),"NO UPC MATCH in Release_Label",and($B427&lt;&gt;"",countif('3) Release_Label'!$E:$E,$B427)=0),"NO CATALOG ID MATCH in Release_Label",iserror(vlookup($A427&amp;$B427,'3) Release_Label'!$D:$D&amp;'3) Release_Label'!$E:$E,1,0)),"NO UPC-CATALOG ID pair MATCH in Release_Label" )</f>
        <v/>
      </c>
      <c r="E427" s="141" t="str">
        <f t="shared" si="2"/>
        <v/>
      </c>
      <c r="G427" s="103"/>
      <c r="H427" s="152"/>
      <c r="J427" s="99"/>
      <c r="K427" s="104"/>
      <c r="L427" s="99"/>
      <c r="N427" s="99"/>
      <c r="O427" s="99"/>
      <c r="P427" s="34"/>
    </row>
    <row r="428">
      <c r="A428" s="100"/>
      <c r="B428" s="103"/>
      <c r="C428" s="121" t="str">
        <f t="array" ref="C428">ifs(and(isblank($A428),isblank($B428)),"", not(iserror(vlookup($A428&amp;$B428,'3) Release_Label'!$D:$D&amp;'3) Release_Label'!$E:$E,1,0))),vlookup($A428&amp;$B428,{'3) Release_Label'!$D:$D&amp;'3) Release_Label'!$E:$E,'3) Release_Label'!$F:$F},2,0), or(and(not(isblank($B428)),$B428=$B427,$A428&lt;&gt;$A427),and(not(isblank($A428)),$A428=$A427,$B428&lt;&gt;$B427)),"ID LISTS UNALIGNED",and($A428&lt;&gt;"",countif('3) Release_Label'!$D:$D,$A428)=0),"NO UPC MATCH in Release_Label",and($B428&lt;&gt;"",countif('3) Release_Label'!$E:$E,$B428)=0),"NO CATALOG ID MATCH in Release_Label",iserror(vlookup($A428&amp;$B428,'3) Release_Label'!$D:$D&amp;'3) Release_Label'!$E:$E,1,0)),"NO UPC-CATALOG ID pair MATCH in Release_Label" )</f>
        <v/>
      </c>
      <c r="D428" s="121" t="str">
        <f t="array" ref="D428">ifs(and(isblank($A428),isblank($B428)),"", not(iserror(vlookup($A428&amp;$B428,'3) Release_Label'!$D:$D&amp;'3) Release_Label'!$E:$E,1,0))),vlookup($A428&amp;$B428,{'3) Release_Label'!$D:$D&amp;'3) Release_Label'!$E:$E,'3) Release_Label'!$H:$H},2,0), or(and(not(isblank($B428)),$B428=$B427,$A428&lt;&gt;$A427),and(not(isblank($A428)),$A428=$A427,$B428&lt;&gt;$B427)),"ID LISTS UNALIGNED",and($A428&lt;&gt;"",countif('3) Release_Label'!$D:$D,$A428)=0),"NO UPC MATCH in Release_Label",and($B428&lt;&gt;"",countif('3) Release_Label'!$E:$E,$B428)=0),"NO CATALOG ID MATCH in Release_Label",iserror(vlookup($A428&amp;$B428,'3) Release_Label'!$D:$D&amp;'3) Release_Label'!$E:$E,1,0)),"NO UPC-CATALOG ID pair MATCH in Release_Label" )</f>
        <v/>
      </c>
      <c r="E428" s="141" t="str">
        <f t="shared" si="2"/>
        <v/>
      </c>
      <c r="G428" s="103"/>
      <c r="H428" s="152"/>
      <c r="J428" s="99"/>
      <c r="K428" s="104"/>
      <c r="L428" s="99"/>
      <c r="N428" s="99"/>
      <c r="O428" s="99"/>
      <c r="P428" s="34"/>
    </row>
    <row r="429">
      <c r="A429" s="100"/>
      <c r="B429" s="103"/>
      <c r="C429" s="121" t="str">
        <f t="array" ref="C429">ifs(and(isblank($A429),isblank($B429)),"", not(iserror(vlookup($A429&amp;$B429,'3) Release_Label'!$D:$D&amp;'3) Release_Label'!$E:$E,1,0))),vlookup($A429&amp;$B429,{'3) Release_Label'!$D:$D&amp;'3) Release_Label'!$E:$E,'3) Release_Label'!$F:$F},2,0), or(and(not(isblank($B429)),$B429=$B428,$A429&lt;&gt;$A428),and(not(isblank($A429)),$A429=$A428,$B429&lt;&gt;$B428)),"ID LISTS UNALIGNED",and($A429&lt;&gt;"",countif('3) Release_Label'!$D:$D,$A429)=0),"NO UPC MATCH in Release_Label",and($B429&lt;&gt;"",countif('3) Release_Label'!$E:$E,$B429)=0),"NO CATALOG ID MATCH in Release_Label",iserror(vlookup($A429&amp;$B429,'3) Release_Label'!$D:$D&amp;'3) Release_Label'!$E:$E,1,0)),"NO UPC-CATALOG ID pair MATCH in Release_Label" )</f>
        <v/>
      </c>
      <c r="D429" s="121" t="str">
        <f t="array" ref="D429">ifs(and(isblank($A429),isblank($B429)),"", not(iserror(vlookup($A429&amp;$B429,'3) Release_Label'!$D:$D&amp;'3) Release_Label'!$E:$E,1,0))),vlookup($A429&amp;$B429,{'3) Release_Label'!$D:$D&amp;'3) Release_Label'!$E:$E,'3) Release_Label'!$H:$H},2,0), or(and(not(isblank($B429)),$B429=$B428,$A429&lt;&gt;$A428),and(not(isblank($A429)),$A429=$A428,$B429&lt;&gt;$B428)),"ID LISTS UNALIGNED",and($A429&lt;&gt;"",countif('3) Release_Label'!$D:$D,$A429)=0),"NO UPC MATCH in Release_Label",and($B429&lt;&gt;"",countif('3) Release_Label'!$E:$E,$B429)=0),"NO CATALOG ID MATCH in Release_Label",iserror(vlookup($A429&amp;$B429,'3) Release_Label'!$D:$D&amp;'3) Release_Label'!$E:$E,1,0)),"NO UPC-CATALOG ID pair MATCH in Release_Label" )</f>
        <v/>
      </c>
      <c r="E429" s="141" t="str">
        <f t="shared" si="2"/>
        <v/>
      </c>
      <c r="G429" s="103"/>
      <c r="H429" s="152"/>
      <c r="J429" s="99"/>
      <c r="K429" s="104"/>
      <c r="L429" s="99"/>
      <c r="N429" s="99"/>
      <c r="O429" s="99"/>
      <c r="P429" s="34"/>
    </row>
    <row r="430">
      <c r="A430" s="100"/>
      <c r="B430" s="103"/>
      <c r="C430" s="121" t="str">
        <f t="array" ref="C430">ifs(and(isblank($A430),isblank($B430)),"", not(iserror(vlookup($A430&amp;$B430,'3) Release_Label'!$D:$D&amp;'3) Release_Label'!$E:$E,1,0))),vlookup($A430&amp;$B430,{'3) Release_Label'!$D:$D&amp;'3) Release_Label'!$E:$E,'3) Release_Label'!$F:$F},2,0), or(and(not(isblank($B430)),$B430=$B429,$A430&lt;&gt;$A429),and(not(isblank($A430)),$A430=$A429,$B430&lt;&gt;$B429)),"ID LISTS UNALIGNED",and($A430&lt;&gt;"",countif('3) Release_Label'!$D:$D,$A430)=0),"NO UPC MATCH in Release_Label",and($B430&lt;&gt;"",countif('3) Release_Label'!$E:$E,$B430)=0),"NO CATALOG ID MATCH in Release_Label",iserror(vlookup($A430&amp;$B430,'3) Release_Label'!$D:$D&amp;'3) Release_Label'!$E:$E,1,0)),"NO UPC-CATALOG ID pair MATCH in Release_Label" )</f>
        <v/>
      </c>
      <c r="D430" s="121" t="str">
        <f t="array" ref="D430">ifs(and(isblank($A430),isblank($B430)),"", not(iserror(vlookup($A430&amp;$B430,'3) Release_Label'!$D:$D&amp;'3) Release_Label'!$E:$E,1,0))),vlookup($A430&amp;$B430,{'3) Release_Label'!$D:$D&amp;'3) Release_Label'!$E:$E,'3) Release_Label'!$H:$H},2,0), or(and(not(isblank($B430)),$B430=$B429,$A430&lt;&gt;$A429),and(not(isblank($A430)),$A430=$A429,$B430&lt;&gt;$B429)),"ID LISTS UNALIGNED",and($A430&lt;&gt;"",countif('3) Release_Label'!$D:$D,$A430)=0),"NO UPC MATCH in Release_Label",and($B430&lt;&gt;"",countif('3) Release_Label'!$E:$E,$B430)=0),"NO CATALOG ID MATCH in Release_Label",iserror(vlookup($A430&amp;$B430,'3) Release_Label'!$D:$D&amp;'3) Release_Label'!$E:$E,1,0)),"NO UPC-CATALOG ID pair MATCH in Release_Label" )</f>
        <v/>
      </c>
      <c r="E430" s="141" t="str">
        <f t="shared" si="2"/>
        <v/>
      </c>
      <c r="G430" s="103"/>
      <c r="H430" s="152"/>
      <c r="J430" s="99"/>
      <c r="K430" s="104"/>
      <c r="L430" s="99"/>
      <c r="N430" s="99"/>
      <c r="O430" s="99"/>
      <c r="P430" s="34"/>
    </row>
    <row r="431">
      <c r="A431" s="100"/>
      <c r="B431" s="103"/>
      <c r="C431" s="121" t="str">
        <f t="array" ref="C431">ifs(and(isblank($A431),isblank($B431)),"", not(iserror(vlookup($A431&amp;$B431,'3) Release_Label'!$D:$D&amp;'3) Release_Label'!$E:$E,1,0))),vlookup($A431&amp;$B431,{'3) Release_Label'!$D:$D&amp;'3) Release_Label'!$E:$E,'3) Release_Label'!$F:$F},2,0), or(and(not(isblank($B431)),$B431=$B430,$A431&lt;&gt;$A430),and(not(isblank($A431)),$A431=$A430,$B431&lt;&gt;$B430)),"ID LISTS UNALIGNED",and($A431&lt;&gt;"",countif('3) Release_Label'!$D:$D,$A431)=0),"NO UPC MATCH in Release_Label",and($B431&lt;&gt;"",countif('3) Release_Label'!$E:$E,$B431)=0),"NO CATALOG ID MATCH in Release_Label",iserror(vlookup($A431&amp;$B431,'3) Release_Label'!$D:$D&amp;'3) Release_Label'!$E:$E,1,0)),"NO UPC-CATALOG ID pair MATCH in Release_Label" )</f>
        <v/>
      </c>
      <c r="D431" s="121" t="str">
        <f t="array" ref="D431">ifs(and(isblank($A431),isblank($B431)),"", not(iserror(vlookup($A431&amp;$B431,'3) Release_Label'!$D:$D&amp;'3) Release_Label'!$E:$E,1,0))),vlookup($A431&amp;$B431,{'3) Release_Label'!$D:$D&amp;'3) Release_Label'!$E:$E,'3) Release_Label'!$H:$H},2,0), or(and(not(isblank($B431)),$B431=$B430,$A431&lt;&gt;$A430),and(not(isblank($A431)),$A431=$A430,$B431&lt;&gt;$B430)),"ID LISTS UNALIGNED",and($A431&lt;&gt;"",countif('3) Release_Label'!$D:$D,$A431)=0),"NO UPC MATCH in Release_Label",and($B431&lt;&gt;"",countif('3) Release_Label'!$E:$E,$B431)=0),"NO CATALOG ID MATCH in Release_Label",iserror(vlookup($A431&amp;$B431,'3) Release_Label'!$D:$D&amp;'3) Release_Label'!$E:$E,1,0)),"NO UPC-CATALOG ID pair MATCH in Release_Label" )</f>
        <v/>
      </c>
      <c r="E431" s="141" t="str">
        <f t="shared" si="2"/>
        <v/>
      </c>
      <c r="G431" s="103"/>
      <c r="H431" s="152"/>
      <c r="J431" s="99"/>
      <c r="K431" s="104"/>
      <c r="L431" s="99"/>
      <c r="N431" s="99"/>
      <c r="O431" s="99"/>
      <c r="P431" s="34"/>
    </row>
    <row r="432">
      <c r="A432" s="100"/>
      <c r="B432" s="103"/>
      <c r="C432" s="121" t="str">
        <f t="array" ref="C432">ifs(and(isblank($A432),isblank($B432)),"", not(iserror(vlookup($A432&amp;$B432,'3) Release_Label'!$D:$D&amp;'3) Release_Label'!$E:$E,1,0))),vlookup($A432&amp;$B432,{'3) Release_Label'!$D:$D&amp;'3) Release_Label'!$E:$E,'3) Release_Label'!$F:$F},2,0), or(and(not(isblank($B432)),$B432=$B431,$A432&lt;&gt;$A431),and(not(isblank($A432)),$A432=$A431,$B432&lt;&gt;$B431)),"ID LISTS UNALIGNED",and($A432&lt;&gt;"",countif('3) Release_Label'!$D:$D,$A432)=0),"NO UPC MATCH in Release_Label",and($B432&lt;&gt;"",countif('3) Release_Label'!$E:$E,$B432)=0),"NO CATALOG ID MATCH in Release_Label",iserror(vlookup($A432&amp;$B432,'3) Release_Label'!$D:$D&amp;'3) Release_Label'!$E:$E,1,0)),"NO UPC-CATALOG ID pair MATCH in Release_Label" )</f>
        <v/>
      </c>
      <c r="D432" s="121" t="str">
        <f t="array" ref="D432">ifs(and(isblank($A432),isblank($B432)),"", not(iserror(vlookup($A432&amp;$B432,'3) Release_Label'!$D:$D&amp;'3) Release_Label'!$E:$E,1,0))),vlookup($A432&amp;$B432,{'3) Release_Label'!$D:$D&amp;'3) Release_Label'!$E:$E,'3) Release_Label'!$H:$H},2,0), or(and(not(isblank($B432)),$B432=$B431,$A432&lt;&gt;$A431),and(not(isblank($A432)),$A432=$A431,$B432&lt;&gt;$B431)),"ID LISTS UNALIGNED",and($A432&lt;&gt;"",countif('3) Release_Label'!$D:$D,$A432)=0),"NO UPC MATCH in Release_Label",and($B432&lt;&gt;"",countif('3) Release_Label'!$E:$E,$B432)=0),"NO CATALOG ID MATCH in Release_Label",iserror(vlookup($A432&amp;$B432,'3) Release_Label'!$D:$D&amp;'3) Release_Label'!$E:$E,1,0)),"NO UPC-CATALOG ID pair MATCH in Release_Label" )</f>
        <v/>
      </c>
      <c r="E432" s="141" t="str">
        <f t="shared" si="2"/>
        <v/>
      </c>
      <c r="G432" s="103"/>
      <c r="H432" s="152"/>
      <c r="J432" s="99"/>
      <c r="K432" s="104"/>
      <c r="L432" s="99"/>
      <c r="N432" s="99"/>
      <c r="O432" s="99"/>
      <c r="P432" s="34"/>
    </row>
    <row r="433">
      <c r="A433" s="100"/>
      <c r="B433" s="103"/>
      <c r="C433" s="121" t="str">
        <f t="array" ref="C433">ifs(and(isblank($A433),isblank($B433)),"", not(iserror(vlookup($A433&amp;$B433,'3) Release_Label'!$D:$D&amp;'3) Release_Label'!$E:$E,1,0))),vlookup($A433&amp;$B433,{'3) Release_Label'!$D:$D&amp;'3) Release_Label'!$E:$E,'3) Release_Label'!$F:$F},2,0), or(and(not(isblank($B433)),$B433=$B432,$A433&lt;&gt;$A432),and(not(isblank($A433)),$A433=$A432,$B433&lt;&gt;$B432)),"ID LISTS UNALIGNED",and($A433&lt;&gt;"",countif('3) Release_Label'!$D:$D,$A433)=0),"NO UPC MATCH in Release_Label",and($B433&lt;&gt;"",countif('3) Release_Label'!$E:$E,$B433)=0),"NO CATALOG ID MATCH in Release_Label",iserror(vlookup($A433&amp;$B433,'3) Release_Label'!$D:$D&amp;'3) Release_Label'!$E:$E,1,0)),"NO UPC-CATALOG ID pair MATCH in Release_Label" )</f>
        <v/>
      </c>
      <c r="D433" s="121" t="str">
        <f t="array" ref="D433">ifs(and(isblank($A433),isblank($B433)),"", not(iserror(vlookup($A433&amp;$B433,'3) Release_Label'!$D:$D&amp;'3) Release_Label'!$E:$E,1,0))),vlookup($A433&amp;$B433,{'3) Release_Label'!$D:$D&amp;'3) Release_Label'!$E:$E,'3) Release_Label'!$H:$H},2,0), or(and(not(isblank($B433)),$B433=$B432,$A433&lt;&gt;$A432),and(not(isblank($A433)),$A433=$A432,$B433&lt;&gt;$B432)),"ID LISTS UNALIGNED",and($A433&lt;&gt;"",countif('3) Release_Label'!$D:$D,$A433)=0),"NO UPC MATCH in Release_Label",and($B433&lt;&gt;"",countif('3) Release_Label'!$E:$E,$B433)=0),"NO CATALOG ID MATCH in Release_Label",iserror(vlookup($A433&amp;$B433,'3) Release_Label'!$D:$D&amp;'3) Release_Label'!$E:$E,1,0)),"NO UPC-CATALOG ID pair MATCH in Release_Label" )</f>
        <v/>
      </c>
      <c r="E433" s="141" t="str">
        <f t="shared" si="2"/>
        <v/>
      </c>
      <c r="G433" s="103"/>
      <c r="H433" s="152"/>
      <c r="J433" s="99"/>
      <c r="K433" s="104"/>
      <c r="L433" s="99"/>
      <c r="N433" s="99"/>
      <c r="O433" s="99"/>
      <c r="P433" s="34"/>
    </row>
    <row r="434">
      <c r="A434" s="100"/>
      <c r="B434" s="103"/>
      <c r="C434" s="121" t="str">
        <f t="array" ref="C434">ifs(and(isblank($A434),isblank($B434)),"", not(iserror(vlookup($A434&amp;$B434,'3) Release_Label'!$D:$D&amp;'3) Release_Label'!$E:$E,1,0))),vlookup($A434&amp;$B434,{'3) Release_Label'!$D:$D&amp;'3) Release_Label'!$E:$E,'3) Release_Label'!$F:$F},2,0), or(and(not(isblank($B434)),$B434=$B433,$A434&lt;&gt;$A433),and(not(isblank($A434)),$A434=$A433,$B434&lt;&gt;$B433)),"ID LISTS UNALIGNED",and($A434&lt;&gt;"",countif('3) Release_Label'!$D:$D,$A434)=0),"NO UPC MATCH in Release_Label",and($B434&lt;&gt;"",countif('3) Release_Label'!$E:$E,$B434)=0),"NO CATALOG ID MATCH in Release_Label",iserror(vlookup($A434&amp;$B434,'3) Release_Label'!$D:$D&amp;'3) Release_Label'!$E:$E,1,0)),"NO UPC-CATALOG ID pair MATCH in Release_Label" )</f>
        <v/>
      </c>
      <c r="D434" s="121" t="str">
        <f t="array" ref="D434">ifs(and(isblank($A434),isblank($B434)),"", not(iserror(vlookup($A434&amp;$B434,'3) Release_Label'!$D:$D&amp;'3) Release_Label'!$E:$E,1,0))),vlookup($A434&amp;$B434,{'3) Release_Label'!$D:$D&amp;'3) Release_Label'!$E:$E,'3) Release_Label'!$H:$H},2,0), or(and(not(isblank($B434)),$B434=$B433,$A434&lt;&gt;$A433),and(not(isblank($A434)),$A434=$A433,$B434&lt;&gt;$B433)),"ID LISTS UNALIGNED",and($A434&lt;&gt;"",countif('3) Release_Label'!$D:$D,$A434)=0),"NO UPC MATCH in Release_Label",and($B434&lt;&gt;"",countif('3) Release_Label'!$E:$E,$B434)=0),"NO CATALOG ID MATCH in Release_Label",iserror(vlookup($A434&amp;$B434,'3) Release_Label'!$D:$D&amp;'3) Release_Label'!$E:$E,1,0)),"NO UPC-CATALOG ID pair MATCH in Release_Label" )</f>
        <v/>
      </c>
      <c r="E434" s="141" t="str">
        <f t="shared" si="2"/>
        <v/>
      </c>
      <c r="G434" s="103"/>
      <c r="H434" s="152"/>
      <c r="J434" s="99"/>
      <c r="K434" s="104"/>
      <c r="L434" s="99"/>
      <c r="N434" s="99"/>
      <c r="O434" s="99"/>
      <c r="P434" s="34"/>
    </row>
    <row r="435">
      <c r="A435" s="100"/>
      <c r="B435" s="103"/>
      <c r="C435" s="121" t="str">
        <f t="array" ref="C435">ifs(and(isblank($A435),isblank($B435)),"", not(iserror(vlookup($A435&amp;$B435,'3) Release_Label'!$D:$D&amp;'3) Release_Label'!$E:$E,1,0))),vlookup($A435&amp;$B435,{'3) Release_Label'!$D:$D&amp;'3) Release_Label'!$E:$E,'3) Release_Label'!$F:$F},2,0), or(and(not(isblank($B435)),$B435=$B434,$A435&lt;&gt;$A434),and(not(isblank($A435)),$A435=$A434,$B435&lt;&gt;$B434)),"ID LISTS UNALIGNED",and($A435&lt;&gt;"",countif('3) Release_Label'!$D:$D,$A435)=0),"NO UPC MATCH in Release_Label",and($B435&lt;&gt;"",countif('3) Release_Label'!$E:$E,$B435)=0),"NO CATALOG ID MATCH in Release_Label",iserror(vlookup($A435&amp;$B435,'3) Release_Label'!$D:$D&amp;'3) Release_Label'!$E:$E,1,0)),"NO UPC-CATALOG ID pair MATCH in Release_Label" )</f>
        <v/>
      </c>
      <c r="D435" s="121" t="str">
        <f t="array" ref="D435">ifs(and(isblank($A435),isblank($B435)),"", not(iserror(vlookup($A435&amp;$B435,'3) Release_Label'!$D:$D&amp;'3) Release_Label'!$E:$E,1,0))),vlookup($A435&amp;$B435,{'3) Release_Label'!$D:$D&amp;'3) Release_Label'!$E:$E,'3) Release_Label'!$H:$H},2,0), or(and(not(isblank($B435)),$B435=$B434,$A435&lt;&gt;$A434),and(not(isblank($A435)),$A435=$A434,$B435&lt;&gt;$B434)),"ID LISTS UNALIGNED",and($A435&lt;&gt;"",countif('3) Release_Label'!$D:$D,$A435)=0),"NO UPC MATCH in Release_Label",and($B435&lt;&gt;"",countif('3) Release_Label'!$E:$E,$B435)=0),"NO CATALOG ID MATCH in Release_Label",iserror(vlookup($A435&amp;$B435,'3) Release_Label'!$D:$D&amp;'3) Release_Label'!$E:$E,1,0)),"NO UPC-CATALOG ID pair MATCH in Release_Label" )</f>
        <v/>
      </c>
      <c r="E435" s="141" t="str">
        <f t="shared" si="2"/>
        <v/>
      </c>
      <c r="G435" s="103"/>
      <c r="H435" s="152"/>
      <c r="J435" s="99"/>
      <c r="K435" s="104"/>
      <c r="L435" s="99"/>
      <c r="N435" s="99"/>
      <c r="O435" s="99"/>
      <c r="P435" s="34"/>
    </row>
    <row r="436">
      <c r="A436" s="100"/>
      <c r="B436" s="103"/>
      <c r="C436" s="121" t="str">
        <f t="array" ref="C436">ifs(and(isblank($A436),isblank($B436)),"", not(iserror(vlookup($A436&amp;$B436,'3) Release_Label'!$D:$D&amp;'3) Release_Label'!$E:$E,1,0))),vlookup($A436&amp;$B436,{'3) Release_Label'!$D:$D&amp;'3) Release_Label'!$E:$E,'3) Release_Label'!$F:$F},2,0), or(and(not(isblank($B436)),$B436=$B435,$A436&lt;&gt;$A435),and(not(isblank($A436)),$A436=$A435,$B436&lt;&gt;$B435)),"ID LISTS UNALIGNED",and($A436&lt;&gt;"",countif('3) Release_Label'!$D:$D,$A436)=0),"NO UPC MATCH in Release_Label",and($B436&lt;&gt;"",countif('3) Release_Label'!$E:$E,$B436)=0),"NO CATALOG ID MATCH in Release_Label",iserror(vlookup($A436&amp;$B436,'3) Release_Label'!$D:$D&amp;'3) Release_Label'!$E:$E,1,0)),"NO UPC-CATALOG ID pair MATCH in Release_Label" )</f>
        <v/>
      </c>
      <c r="D436" s="121" t="str">
        <f t="array" ref="D436">ifs(and(isblank($A436),isblank($B436)),"", not(iserror(vlookup($A436&amp;$B436,'3) Release_Label'!$D:$D&amp;'3) Release_Label'!$E:$E,1,0))),vlookup($A436&amp;$B436,{'3) Release_Label'!$D:$D&amp;'3) Release_Label'!$E:$E,'3) Release_Label'!$H:$H},2,0), or(and(not(isblank($B436)),$B436=$B435,$A436&lt;&gt;$A435),and(not(isblank($A436)),$A436=$A435,$B436&lt;&gt;$B435)),"ID LISTS UNALIGNED",and($A436&lt;&gt;"",countif('3) Release_Label'!$D:$D,$A436)=0),"NO UPC MATCH in Release_Label",and($B436&lt;&gt;"",countif('3) Release_Label'!$E:$E,$B436)=0),"NO CATALOG ID MATCH in Release_Label",iserror(vlookup($A436&amp;$B436,'3) Release_Label'!$D:$D&amp;'3) Release_Label'!$E:$E,1,0)),"NO UPC-CATALOG ID pair MATCH in Release_Label" )</f>
        <v/>
      </c>
      <c r="E436" s="141" t="str">
        <f t="shared" si="2"/>
        <v/>
      </c>
      <c r="G436" s="103"/>
      <c r="H436" s="152"/>
      <c r="J436" s="99"/>
      <c r="K436" s="104"/>
      <c r="L436" s="99"/>
      <c r="N436" s="99"/>
      <c r="O436" s="99"/>
      <c r="P436" s="34"/>
    </row>
    <row r="437">
      <c r="A437" s="28"/>
      <c r="B437" s="103"/>
      <c r="C437" s="121" t="str">
        <f t="array" ref="C437">ifs(and(isblank($A437),isblank($B437)),"", not(iserror(vlookup($A437&amp;$B437,'3) Release_Label'!$D:$D&amp;'3) Release_Label'!$E:$E,1,0))),vlookup($A437&amp;$B437,{'3) Release_Label'!$D:$D&amp;'3) Release_Label'!$E:$E,'3) Release_Label'!$F:$F},2,0), or(and(not(isblank($B437)),$B437=$B436,$A437&lt;&gt;$A436),and(not(isblank($A437)),$A437=$A436,$B437&lt;&gt;$B436)),"ID LISTS UNALIGNED",and($A437&lt;&gt;"",countif('3) Release_Label'!$D:$D,$A437)=0),"NO UPC MATCH in Release_Label",and($B437&lt;&gt;"",countif('3) Release_Label'!$E:$E,$B437)=0),"NO CATALOG ID MATCH in Release_Label",iserror(vlookup($A437&amp;$B437,'3) Release_Label'!$D:$D&amp;'3) Release_Label'!$E:$E,1,0)),"NO UPC-CATALOG ID pair MATCH in Release_Label" )</f>
        <v/>
      </c>
      <c r="D437" s="121" t="str">
        <f t="array" ref="D437">ifs(and(isblank($A437),isblank($B437)),"", not(iserror(vlookup($A437&amp;$B437,'3) Release_Label'!$D:$D&amp;'3) Release_Label'!$E:$E,1,0))),vlookup($A437&amp;$B437,{'3) Release_Label'!$D:$D&amp;'3) Release_Label'!$E:$E,'3) Release_Label'!$H:$H},2,0), or(and(not(isblank($B437)),$B437=$B436,$A437&lt;&gt;$A436),and(not(isblank($A437)),$A437=$A436,$B437&lt;&gt;$B436)),"ID LISTS UNALIGNED",and($A437&lt;&gt;"",countif('3) Release_Label'!$D:$D,$A437)=0),"NO UPC MATCH in Release_Label",and($B437&lt;&gt;"",countif('3) Release_Label'!$E:$E,$B437)=0),"NO CATALOG ID MATCH in Release_Label",iserror(vlookup($A437&amp;$B437,'3) Release_Label'!$D:$D&amp;'3) Release_Label'!$E:$E,1,0)),"NO UPC-CATALOG ID pair MATCH in Release_Label" )</f>
        <v/>
      </c>
      <c r="E437" s="141" t="str">
        <f t="shared" si="2"/>
        <v/>
      </c>
      <c r="G437" s="103"/>
      <c r="H437" s="152"/>
      <c r="J437" s="99"/>
      <c r="K437" s="104"/>
      <c r="L437" s="99"/>
      <c r="N437" s="99"/>
      <c r="O437" s="99"/>
      <c r="P437" s="34"/>
    </row>
    <row r="438">
      <c r="A438" s="28"/>
      <c r="B438" s="103"/>
      <c r="C438" s="121" t="str">
        <f t="array" ref="C438">ifs(and(isblank($A438),isblank($B438)),"", not(iserror(vlookup($A438&amp;$B438,'3) Release_Label'!$D:$D&amp;'3) Release_Label'!$E:$E,1,0))),vlookup($A438&amp;$B438,{'3) Release_Label'!$D:$D&amp;'3) Release_Label'!$E:$E,'3) Release_Label'!$F:$F},2,0), or(and(not(isblank($B438)),$B438=$B437,$A438&lt;&gt;$A437),and(not(isblank($A438)),$A438=$A437,$B438&lt;&gt;$B437)),"ID LISTS UNALIGNED",and($A438&lt;&gt;"",countif('3) Release_Label'!$D:$D,$A438)=0),"NO UPC MATCH in Release_Label",and($B438&lt;&gt;"",countif('3) Release_Label'!$E:$E,$B438)=0),"NO CATALOG ID MATCH in Release_Label",iserror(vlookup($A438&amp;$B438,'3) Release_Label'!$D:$D&amp;'3) Release_Label'!$E:$E,1,0)),"NO UPC-CATALOG ID pair MATCH in Release_Label" )</f>
        <v/>
      </c>
      <c r="D438" s="121" t="str">
        <f t="array" ref="D438">ifs(and(isblank($A438),isblank($B438)),"", not(iserror(vlookup($A438&amp;$B438,'3) Release_Label'!$D:$D&amp;'3) Release_Label'!$E:$E,1,0))),vlookup($A438&amp;$B438,{'3) Release_Label'!$D:$D&amp;'3) Release_Label'!$E:$E,'3) Release_Label'!$H:$H},2,0), or(and(not(isblank($B438)),$B438=$B437,$A438&lt;&gt;$A437),and(not(isblank($A438)),$A438=$A437,$B438&lt;&gt;$B437)),"ID LISTS UNALIGNED",and($A438&lt;&gt;"",countif('3) Release_Label'!$D:$D,$A438)=0),"NO UPC MATCH in Release_Label",and($B438&lt;&gt;"",countif('3) Release_Label'!$E:$E,$B438)=0),"NO CATALOG ID MATCH in Release_Label",iserror(vlookup($A438&amp;$B438,'3) Release_Label'!$D:$D&amp;'3) Release_Label'!$E:$E,1,0)),"NO UPC-CATALOG ID pair MATCH in Release_Label" )</f>
        <v/>
      </c>
      <c r="E438" s="141" t="str">
        <f t="shared" si="2"/>
        <v/>
      </c>
      <c r="G438" s="103"/>
      <c r="H438" s="152"/>
      <c r="J438" s="99"/>
      <c r="K438" s="104"/>
      <c r="L438" s="99"/>
      <c r="N438" s="99"/>
      <c r="O438" s="99"/>
      <c r="P438" s="34"/>
    </row>
    <row r="439">
      <c r="A439" s="28"/>
      <c r="B439" s="103"/>
      <c r="C439" s="121" t="str">
        <f t="array" ref="C439">ifs(and(isblank($A439),isblank($B439)),"", not(iserror(vlookup($A439&amp;$B439,'3) Release_Label'!$D:$D&amp;'3) Release_Label'!$E:$E,1,0))),vlookup($A439&amp;$B439,{'3) Release_Label'!$D:$D&amp;'3) Release_Label'!$E:$E,'3) Release_Label'!$F:$F},2,0), or(and(not(isblank($B439)),$B439=$B438,$A439&lt;&gt;$A438),and(not(isblank($A439)),$A439=$A438,$B439&lt;&gt;$B438)),"ID LISTS UNALIGNED",and($A439&lt;&gt;"",countif('3) Release_Label'!$D:$D,$A439)=0),"NO UPC MATCH in Release_Label",and($B439&lt;&gt;"",countif('3) Release_Label'!$E:$E,$B439)=0),"NO CATALOG ID MATCH in Release_Label",iserror(vlookup($A439&amp;$B439,'3) Release_Label'!$D:$D&amp;'3) Release_Label'!$E:$E,1,0)),"NO UPC-CATALOG ID pair MATCH in Release_Label" )</f>
        <v/>
      </c>
      <c r="D439" s="121" t="str">
        <f t="array" ref="D439">ifs(and(isblank($A439),isblank($B439)),"", not(iserror(vlookup($A439&amp;$B439,'3) Release_Label'!$D:$D&amp;'3) Release_Label'!$E:$E,1,0))),vlookup($A439&amp;$B439,{'3) Release_Label'!$D:$D&amp;'3) Release_Label'!$E:$E,'3) Release_Label'!$H:$H},2,0), or(and(not(isblank($B439)),$B439=$B438,$A439&lt;&gt;$A438),and(not(isblank($A439)),$A439=$A438,$B439&lt;&gt;$B438)),"ID LISTS UNALIGNED",and($A439&lt;&gt;"",countif('3) Release_Label'!$D:$D,$A439)=0),"NO UPC MATCH in Release_Label",and($B439&lt;&gt;"",countif('3) Release_Label'!$E:$E,$B439)=0),"NO CATALOG ID MATCH in Release_Label",iserror(vlookup($A439&amp;$B439,'3) Release_Label'!$D:$D&amp;'3) Release_Label'!$E:$E,1,0)),"NO UPC-CATALOG ID pair MATCH in Release_Label" )</f>
        <v/>
      </c>
      <c r="E439" s="141" t="str">
        <f t="shared" si="2"/>
        <v/>
      </c>
      <c r="G439" s="103"/>
      <c r="H439" s="152"/>
      <c r="J439" s="99"/>
      <c r="K439" s="104"/>
      <c r="L439" s="99"/>
      <c r="N439" s="99"/>
      <c r="O439" s="99"/>
      <c r="P439" s="34"/>
    </row>
    <row r="440">
      <c r="A440" s="28"/>
      <c r="B440" s="103"/>
      <c r="C440" s="121" t="str">
        <f t="array" ref="C440">ifs(and(isblank($A440),isblank($B440)),"", not(iserror(vlookup($A440&amp;$B440,'3) Release_Label'!$D:$D&amp;'3) Release_Label'!$E:$E,1,0))),vlookup($A440&amp;$B440,{'3) Release_Label'!$D:$D&amp;'3) Release_Label'!$E:$E,'3) Release_Label'!$F:$F},2,0), or(and(not(isblank($B440)),$B440=$B439,$A440&lt;&gt;$A439),and(not(isblank($A440)),$A440=$A439,$B440&lt;&gt;$B439)),"ID LISTS UNALIGNED",and($A440&lt;&gt;"",countif('3) Release_Label'!$D:$D,$A440)=0),"NO UPC MATCH in Release_Label",and($B440&lt;&gt;"",countif('3) Release_Label'!$E:$E,$B440)=0),"NO CATALOG ID MATCH in Release_Label",iserror(vlookup($A440&amp;$B440,'3) Release_Label'!$D:$D&amp;'3) Release_Label'!$E:$E,1,0)),"NO UPC-CATALOG ID pair MATCH in Release_Label" )</f>
        <v/>
      </c>
      <c r="D440" s="121" t="str">
        <f t="array" ref="D440">ifs(and(isblank($A440),isblank($B440)),"", not(iserror(vlookup($A440&amp;$B440,'3) Release_Label'!$D:$D&amp;'3) Release_Label'!$E:$E,1,0))),vlookup($A440&amp;$B440,{'3) Release_Label'!$D:$D&amp;'3) Release_Label'!$E:$E,'3) Release_Label'!$H:$H},2,0), or(and(not(isblank($B440)),$B440=$B439,$A440&lt;&gt;$A439),and(not(isblank($A440)),$A440=$A439,$B440&lt;&gt;$B439)),"ID LISTS UNALIGNED",and($A440&lt;&gt;"",countif('3) Release_Label'!$D:$D,$A440)=0),"NO UPC MATCH in Release_Label",and($B440&lt;&gt;"",countif('3) Release_Label'!$E:$E,$B440)=0),"NO CATALOG ID MATCH in Release_Label",iserror(vlookup($A440&amp;$B440,'3) Release_Label'!$D:$D&amp;'3) Release_Label'!$E:$E,1,0)),"NO UPC-CATALOG ID pair MATCH in Release_Label" )</f>
        <v/>
      </c>
      <c r="E440" s="141" t="str">
        <f t="shared" si="2"/>
        <v/>
      </c>
      <c r="G440" s="103"/>
      <c r="H440" s="152"/>
      <c r="J440" s="99"/>
      <c r="K440" s="104"/>
      <c r="L440" s="99"/>
      <c r="N440" s="99"/>
      <c r="O440" s="99"/>
      <c r="P440" s="34"/>
    </row>
    <row r="441">
      <c r="A441" s="28"/>
      <c r="B441" s="103"/>
      <c r="C441" s="121" t="str">
        <f t="array" ref="C441">ifs(and(isblank($A441),isblank($B441)),"", not(iserror(vlookup($A441&amp;$B441,'3) Release_Label'!$D:$D&amp;'3) Release_Label'!$E:$E,1,0))),vlookup($A441&amp;$B441,{'3) Release_Label'!$D:$D&amp;'3) Release_Label'!$E:$E,'3) Release_Label'!$F:$F},2,0), or(and(not(isblank($B441)),$B441=$B440,$A441&lt;&gt;$A440),and(not(isblank($A441)),$A441=$A440,$B441&lt;&gt;$B440)),"ID LISTS UNALIGNED",and($A441&lt;&gt;"",countif('3) Release_Label'!$D:$D,$A441)=0),"NO UPC MATCH in Release_Label",and($B441&lt;&gt;"",countif('3) Release_Label'!$E:$E,$B441)=0),"NO CATALOG ID MATCH in Release_Label",iserror(vlookup($A441&amp;$B441,'3) Release_Label'!$D:$D&amp;'3) Release_Label'!$E:$E,1,0)),"NO UPC-CATALOG ID pair MATCH in Release_Label" )</f>
        <v/>
      </c>
      <c r="D441" s="121" t="str">
        <f t="array" ref="D441">ifs(and(isblank($A441),isblank($B441)),"", not(iserror(vlookup($A441&amp;$B441,'3) Release_Label'!$D:$D&amp;'3) Release_Label'!$E:$E,1,0))),vlookup($A441&amp;$B441,{'3) Release_Label'!$D:$D&amp;'3) Release_Label'!$E:$E,'3) Release_Label'!$H:$H},2,0), or(and(not(isblank($B441)),$B441=$B440,$A441&lt;&gt;$A440),and(not(isblank($A441)),$A441=$A440,$B441&lt;&gt;$B440)),"ID LISTS UNALIGNED",and($A441&lt;&gt;"",countif('3) Release_Label'!$D:$D,$A441)=0),"NO UPC MATCH in Release_Label",and($B441&lt;&gt;"",countif('3) Release_Label'!$E:$E,$B441)=0),"NO CATALOG ID MATCH in Release_Label",iserror(vlookup($A441&amp;$B441,'3) Release_Label'!$D:$D&amp;'3) Release_Label'!$E:$E,1,0)),"NO UPC-CATALOG ID pair MATCH in Release_Label" )</f>
        <v/>
      </c>
      <c r="E441" s="141" t="str">
        <f t="shared" si="2"/>
        <v/>
      </c>
      <c r="G441" s="103"/>
      <c r="H441" s="152"/>
      <c r="J441" s="99"/>
      <c r="K441" s="104"/>
      <c r="L441" s="99"/>
      <c r="N441" s="99"/>
      <c r="O441" s="99"/>
      <c r="P441" s="34"/>
    </row>
    <row r="442">
      <c r="A442" s="28"/>
      <c r="B442" s="103"/>
      <c r="C442" s="121" t="str">
        <f t="array" ref="C442">ifs(and(isblank($A442),isblank($B442)),"", not(iserror(vlookup($A442&amp;$B442,'3) Release_Label'!$D:$D&amp;'3) Release_Label'!$E:$E,1,0))),vlookup($A442&amp;$B442,{'3) Release_Label'!$D:$D&amp;'3) Release_Label'!$E:$E,'3) Release_Label'!$F:$F},2,0), or(and(not(isblank($B442)),$B442=$B441,$A442&lt;&gt;$A441),and(not(isblank($A442)),$A442=$A441,$B442&lt;&gt;$B441)),"ID LISTS UNALIGNED",and($A442&lt;&gt;"",countif('3) Release_Label'!$D:$D,$A442)=0),"NO UPC MATCH in Release_Label",and($B442&lt;&gt;"",countif('3) Release_Label'!$E:$E,$B442)=0),"NO CATALOG ID MATCH in Release_Label",iserror(vlookup($A442&amp;$B442,'3) Release_Label'!$D:$D&amp;'3) Release_Label'!$E:$E,1,0)),"NO UPC-CATALOG ID pair MATCH in Release_Label" )</f>
        <v/>
      </c>
      <c r="D442" s="121" t="str">
        <f t="array" ref="D442">ifs(and(isblank($A442),isblank($B442)),"", not(iserror(vlookup($A442&amp;$B442,'3) Release_Label'!$D:$D&amp;'3) Release_Label'!$E:$E,1,0))),vlookup($A442&amp;$B442,{'3) Release_Label'!$D:$D&amp;'3) Release_Label'!$E:$E,'3) Release_Label'!$H:$H},2,0), or(and(not(isblank($B442)),$B442=$B441,$A442&lt;&gt;$A441),and(not(isblank($A442)),$A442=$A441,$B442&lt;&gt;$B441)),"ID LISTS UNALIGNED",and($A442&lt;&gt;"",countif('3) Release_Label'!$D:$D,$A442)=0),"NO UPC MATCH in Release_Label",and($B442&lt;&gt;"",countif('3) Release_Label'!$E:$E,$B442)=0),"NO CATALOG ID MATCH in Release_Label",iserror(vlookup($A442&amp;$B442,'3) Release_Label'!$D:$D&amp;'3) Release_Label'!$E:$E,1,0)),"NO UPC-CATALOG ID pair MATCH in Release_Label" )</f>
        <v/>
      </c>
      <c r="E442" s="141" t="str">
        <f t="shared" si="2"/>
        <v/>
      </c>
      <c r="G442" s="103"/>
      <c r="H442" s="152"/>
      <c r="J442" s="99"/>
      <c r="K442" s="104"/>
      <c r="L442" s="99"/>
      <c r="N442" s="99"/>
      <c r="O442" s="99"/>
      <c r="P442" s="34"/>
    </row>
    <row r="443">
      <c r="A443" s="28"/>
      <c r="B443" s="103"/>
      <c r="C443" s="121" t="str">
        <f t="array" ref="C443">ifs(and(isblank($A443),isblank($B443)),"", not(iserror(vlookup($A443&amp;$B443,'3) Release_Label'!$D:$D&amp;'3) Release_Label'!$E:$E,1,0))),vlookup($A443&amp;$B443,{'3) Release_Label'!$D:$D&amp;'3) Release_Label'!$E:$E,'3) Release_Label'!$F:$F},2,0), or(and(not(isblank($B443)),$B443=$B442,$A443&lt;&gt;$A442),and(not(isblank($A443)),$A443=$A442,$B443&lt;&gt;$B442)),"ID LISTS UNALIGNED",and($A443&lt;&gt;"",countif('3) Release_Label'!$D:$D,$A443)=0),"NO UPC MATCH in Release_Label",and($B443&lt;&gt;"",countif('3) Release_Label'!$E:$E,$B443)=0),"NO CATALOG ID MATCH in Release_Label",iserror(vlookup($A443&amp;$B443,'3) Release_Label'!$D:$D&amp;'3) Release_Label'!$E:$E,1,0)),"NO UPC-CATALOG ID pair MATCH in Release_Label" )</f>
        <v/>
      </c>
      <c r="D443" s="121" t="str">
        <f t="array" ref="D443">ifs(and(isblank($A443),isblank($B443)),"", not(iserror(vlookup($A443&amp;$B443,'3) Release_Label'!$D:$D&amp;'3) Release_Label'!$E:$E,1,0))),vlookup($A443&amp;$B443,{'3) Release_Label'!$D:$D&amp;'3) Release_Label'!$E:$E,'3) Release_Label'!$H:$H},2,0), or(and(not(isblank($B443)),$B443=$B442,$A443&lt;&gt;$A442),and(not(isblank($A443)),$A443=$A442,$B443&lt;&gt;$B442)),"ID LISTS UNALIGNED",and($A443&lt;&gt;"",countif('3) Release_Label'!$D:$D,$A443)=0),"NO UPC MATCH in Release_Label",and($B443&lt;&gt;"",countif('3) Release_Label'!$E:$E,$B443)=0),"NO CATALOG ID MATCH in Release_Label",iserror(vlookup($A443&amp;$B443,'3) Release_Label'!$D:$D&amp;'3) Release_Label'!$E:$E,1,0)),"NO UPC-CATALOG ID pair MATCH in Release_Label" )</f>
        <v/>
      </c>
      <c r="E443" s="141" t="str">
        <f t="shared" si="2"/>
        <v/>
      </c>
      <c r="G443" s="103"/>
      <c r="H443" s="152"/>
      <c r="J443" s="99"/>
      <c r="K443" s="104"/>
      <c r="L443" s="99"/>
      <c r="N443" s="99"/>
      <c r="O443" s="99"/>
      <c r="P443" s="34"/>
    </row>
    <row r="444">
      <c r="A444" s="28"/>
      <c r="B444" s="103"/>
      <c r="C444" s="121" t="str">
        <f t="array" ref="C444">ifs(and(isblank($A444),isblank($B444)),"", not(iserror(vlookup($A444&amp;$B444,'3) Release_Label'!$D:$D&amp;'3) Release_Label'!$E:$E,1,0))),vlookup($A444&amp;$B444,{'3) Release_Label'!$D:$D&amp;'3) Release_Label'!$E:$E,'3) Release_Label'!$F:$F},2,0), or(and(not(isblank($B444)),$B444=$B443,$A444&lt;&gt;$A443),and(not(isblank($A444)),$A444=$A443,$B444&lt;&gt;$B443)),"ID LISTS UNALIGNED",and($A444&lt;&gt;"",countif('3) Release_Label'!$D:$D,$A444)=0),"NO UPC MATCH in Release_Label",and($B444&lt;&gt;"",countif('3) Release_Label'!$E:$E,$B444)=0),"NO CATALOG ID MATCH in Release_Label",iserror(vlookup($A444&amp;$B444,'3) Release_Label'!$D:$D&amp;'3) Release_Label'!$E:$E,1,0)),"NO UPC-CATALOG ID pair MATCH in Release_Label" )</f>
        <v/>
      </c>
      <c r="D444" s="121" t="str">
        <f t="array" ref="D444">ifs(and(isblank($A444),isblank($B444)),"", not(iserror(vlookup($A444&amp;$B444,'3) Release_Label'!$D:$D&amp;'3) Release_Label'!$E:$E,1,0))),vlookup($A444&amp;$B444,{'3) Release_Label'!$D:$D&amp;'3) Release_Label'!$E:$E,'3) Release_Label'!$H:$H},2,0), or(and(not(isblank($B444)),$B444=$B443,$A444&lt;&gt;$A443),and(not(isblank($A444)),$A444=$A443,$B444&lt;&gt;$B443)),"ID LISTS UNALIGNED",and($A444&lt;&gt;"",countif('3) Release_Label'!$D:$D,$A444)=0),"NO UPC MATCH in Release_Label",and($B444&lt;&gt;"",countif('3) Release_Label'!$E:$E,$B444)=0),"NO CATALOG ID MATCH in Release_Label",iserror(vlookup($A444&amp;$B444,'3) Release_Label'!$D:$D&amp;'3) Release_Label'!$E:$E,1,0)),"NO UPC-CATALOG ID pair MATCH in Release_Label" )</f>
        <v/>
      </c>
      <c r="E444" s="141" t="str">
        <f t="shared" si="2"/>
        <v/>
      </c>
      <c r="G444" s="103"/>
      <c r="H444" s="152"/>
      <c r="J444" s="99"/>
      <c r="K444" s="104"/>
      <c r="L444" s="99"/>
      <c r="N444" s="99"/>
      <c r="O444" s="99"/>
      <c r="P444" s="34"/>
    </row>
    <row r="445">
      <c r="A445" s="28"/>
      <c r="B445" s="103"/>
      <c r="C445" s="121" t="str">
        <f t="array" ref="C445">ifs(and(isblank($A445),isblank($B445)),"", not(iserror(vlookup($A445&amp;$B445,'3) Release_Label'!$D:$D&amp;'3) Release_Label'!$E:$E,1,0))),vlookup($A445&amp;$B445,{'3) Release_Label'!$D:$D&amp;'3) Release_Label'!$E:$E,'3) Release_Label'!$F:$F},2,0), or(and(not(isblank($B445)),$B445=$B444,$A445&lt;&gt;$A444),and(not(isblank($A445)),$A445=$A444,$B445&lt;&gt;$B444)),"ID LISTS UNALIGNED",and($A445&lt;&gt;"",countif('3) Release_Label'!$D:$D,$A445)=0),"NO UPC MATCH in Release_Label",and($B445&lt;&gt;"",countif('3) Release_Label'!$E:$E,$B445)=0),"NO CATALOG ID MATCH in Release_Label",iserror(vlookup($A445&amp;$B445,'3) Release_Label'!$D:$D&amp;'3) Release_Label'!$E:$E,1,0)),"NO UPC-CATALOG ID pair MATCH in Release_Label" )</f>
        <v/>
      </c>
      <c r="D445" s="121" t="str">
        <f t="array" ref="D445">ifs(and(isblank($A445),isblank($B445)),"", not(iserror(vlookup($A445&amp;$B445,'3) Release_Label'!$D:$D&amp;'3) Release_Label'!$E:$E,1,0))),vlookup($A445&amp;$B445,{'3) Release_Label'!$D:$D&amp;'3) Release_Label'!$E:$E,'3) Release_Label'!$H:$H},2,0), or(and(not(isblank($B445)),$B445=$B444,$A445&lt;&gt;$A444),and(not(isblank($A445)),$A445=$A444,$B445&lt;&gt;$B444)),"ID LISTS UNALIGNED",and($A445&lt;&gt;"",countif('3) Release_Label'!$D:$D,$A445)=0),"NO UPC MATCH in Release_Label",and($B445&lt;&gt;"",countif('3) Release_Label'!$E:$E,$B445)=0),"NO CATALOG ID MATCH in Release_Label",iserror(vlookup($A445&amp;$B445,'3) Release_Label'!$D:$D&amp;'3) Release_Label'!$E:$E,1,0)),"NO UPC-CATALOG ID pair MATCH in Release_Label" )</f>
        <v/>
      </c>
      <c r="E445" s="141" t="str">
        <f t="shared" si="2"/>
        <v/>
      </c>
      <c r="G445" s="103"/>
      <c r="H445" s="152"/>
      <c r="J445" s="99"/>
      <c r="K445" s="104"/>
      <c r="L445" s="99"/>
      <c r="N445" s="99"/>
      <c r="O445" s="99"/>
      <c r="P445" s="34"/>
    </row>
    <row r="446">
      <c r="A446" s="28"/>
      <c r="B446" s="103"/>
      <c r="C446" s="121" t="str">
        <f t="array" ref="C446">ifs(and(isblank($A446),isblank($B446)),"", not(iserror(vlookup($A446&amp;$B446,'3) Release_Label'!$D:$D&amp;'3) Release_Label'!$E:$E,1,0))),vlookup($A446&amp;$B446,{'3) Release_Label'!$D:$D&amp;'3) Release_Label'!$E:$E,'3) Release_Label'!$F:$F},2,0), or(and(not(isblank($B446)),$B446=$B445,$A446&lt;&gt;$A445),and(not(isblank($A446)),$A446=$A445,$B446&lt;&gt;$B445)),"ID LISTS UNALIGNED",and($A446&lt;&gt;"",countif('3) Release_Label'!$D:$D,$A446)=0),"NO UPC MATCH in Release_Label",and($B446&lt;&gt;"",countif('3) Release_Label'!$E:$E,$B446)=0),"NO CATALOG ID MATCH in Release_Label",iserror(vlookup($A446&amp;$B446,'3) Release_Label'!$D:$D&amp;'3) Release_Label'!$E:$E,1,0)),"NO UPC-CATALOG ID pair MATCH in Release_Label" )</f>
        <v/>
      </c>
      <c r="D446" s="121" t="str">
        <f t="array" ref="D446">ifs(and(isblank($A446),isblank($B446)),"", not(iserror(vlookup($A446&amp;$B446,'3) Release_Label'!$D:$D&amp;'3) Release_Label'!$E:$E,1,0))),vlookup($A446&amp;$B446,{'3) Release_Label'!$D:$D&amp;'3) Release_Label'!$E:$E,'3) Release_Label'!$H:$H},2,0), or(and(not(isblank($B446)),$B446=$B445,$A446&lt;&gt;$A445),and(not(isblank($A446)),$A446=$A445,$B446&lt;&gt;$B445)),"ID LISTS UNALIGNED",and($A446&lt;&gt;"",countif('3) Release_Label'!$D:$D,$A446)=0),"NO UPC MATCH in Release_Label",and($B446&lt;&gt;"",countif('3) Release_Label'!$E:$E,$B446)=0),"NO CATALOG ID MATCH in Release_Label",iserror(vlookup($A446&amp;$B446,'3) Release_Label'!$D:$D&amp;'3) Release_Label'!$E:$E,1,0)),"NO UPC-CATALOG ID pair MATCH in Release_Label" )</f>
        <v/>
      </c>
      <c r="E446" s="141" t="str">
        <f t="shared" si="2"/>
        <v/>
      </c>
      <c r="G446" s="103"/>
      <c r="H446" s="152"/>
      <c r="J446" s="99"/>
      <c r="K446" s="104"/>
      <c r="L446" s="99"/>
      <c r="N446" s="99"/>
      <c r="O446" s="99"/>
      <c r="P446" s="34"/>
    </row>
    <row r="447">
      <c r="A447" s="28"/>
      <c r="B447" s="103"/>
      <c r="C447" s="121" t="str">
        <f t="array" ref="C447">ifs(and(isblank($A447),isblank($B447)),"", not(iserror(vlookup($A447&amp;$B447,'3) Release_Label'!$D:$D&amp;'3) Release_Label'!$E:$E,1,0))),vlookup($A447&amp;$B447,{'3) Release_Label'!$D:$D&amp;'3) Release_Label'!$E:$E,'3) Release_Label'!$F:$F},2,0), or(and(not(isblank($B447)),$B447=$B446,$A447&lt;&gt;$A446),and(not(isblank($A447)),$A447=$A446,$B447&lt;&gt;$B446)),"ID LISTS UNALIGNED",and($A447&lt;&gt;"",countif('3) Release_Label'!$D:$D,$A447)=0),"NO UPC MATCH in Release_Label",and($B447&lt;&gt;"",countif('3) Release_Label'!$E:$E,$B447)=0),"NO CATALOG ID MATCH in Release_Label",iserror(vlookup($A447&amp;$B447,'3) Release_Label'!$D:$D&amp;'3) Release_Label'!$E:$E,1,0)),"NO UPC-CATALOG ID pair MATCH in Release_Label" )</f>
        <v/>
      </c>
      <c r="D447" s="121" t="str">
        <f t="array" ref="D447">ifs(and(isblank($A447),isblank($B447)),"", not(iserror(vlookup($A447&amp;$B447,'3) Release_Label'!$D:$D&amp;'3) Release_Label'!$E:$E,1,0))),vlookup($A447&amp;$B447,{'3) Release_Label'!$D:$D&amp;'3) Release_Label'!$E:$E,'3) Release_Label'!$H:$H},2,0), or(and(not(isblank($B447)),$B447=$B446,$A447&lt;&gt;$A446),and(not(isblank($A447)),$A447=$A446,$B447&lt;&gt;$B446)),"ID LISTS UNALIGNED",and($A447&lt;&gt;"",countif('3) Release_Label'!$D:$D,$A447)=0),"NO UPC MATCH in Release_Label",and($B447&lt;&gt;"",countif('3) Release_Label'!$E:$E,$B447)=0),"NO CATALOG ID MATCH in Release_Label",iserror(vlookup($A447&amp;$B447,'3) Release_Label'!$D:$D&amp;'3) Release_Label'!$E:$E,1,0)),"NO UPC-CATALOG ID pair MATCH in Release_Label" )</f>
        <v/>
      </c>
      <c r="E447" s="141" t="str">
        <f t="shared" si="2"/>
        <v/>
      </c>
      <c r="G447" s="103"/>
      <c r="H447" s="152"/>
      <c r="J447" s="99"/>
      <c r="K447" s="104"/>
      <c r="L447" s="99"/>
      <c r="N447" s="99"/>
      <c r="O447" s="99"/>
      <c r="P447" s="34"/>
    </row>
    <row r="448">
      <c r="A448" s="28"/>
      <c r="B448" s="103"/>
      <c r="C448" s="121" t="str">
        <f t="array" ref="C448">ifs(and(isblank($A448),isblank($B448)),"", not(iserror(vlookup($A448&amp;$B448,'3) Release_Label'!$D:$D&amp;'3) Release_Label'!$E:$E,1,0))),vlookup($A448&amp;$B448,{'3) Release_Label'!$D:$D&amp;'3) Release_Label'!$E:$E,'3) Release_Label'!$F:$F},2,0), or(and(not(isblank($B448)),$B448=$B447,$A448&lt;&gt;$A447),and(not(isblank($A448)),$A448=$A447,$B448&lt;&gt;$B447)),"ID LISTS UNALIGNED",and($A448&lt;&gt;"",countif('3) Release_Label'!$D:$D,$A448)=0),"NO UPC MATCH in Release_Label",and($B448&lt;&gt;"",countif('3) Release_Label'!$E:$E,$B448)=0),"NO CATALOG ID MATCH in Release_Label",iserror(vlookup($A448&amp;$B448,'3) Release_Label'!$D:$D&amp;'3) Release_Label'!$E:$E,1,0)),"NO UPC-CATALOG ID pair MATCH in Release_Label" )</f>
        <v/>
      </c>
      <c r="D448" s="121" t="str">
        <f t="array" ref="D448">ifs(and(isblank($A448),isblank($B448)),"", not(iserror(vlookup($A448&amp;$B448,'3) Release_Label'!$D:$D&amp;'3) Release_Label'!$E:$E,1,0))),vlookup($A448&amp;$B448,{'3) Release_Label'!$D:$D&amp;'3) Release_Label'!$E:$E,'3) Release_Label'!$H:$H},2,0), or(and(not(isblank($B448)),$B448=$B447,$A448&lt;&gt;$A447),and(not(isblank($A448)),$A448=$A447,$B448&lt;&gt;$B447)),"ID LISTS UNALIGNED",and($A448&lt;&gt;"",countif('3) Release_Label'!$D:$D,$A448)=0),"NO UPC MATCH in Release_Label",and($B448&lt;&gt;"",countif('3) Release_Label'!$E:$E,$B448)=0),"NO CATALOG ID MATCH in Release_Label",iserror(vlookup($A448&amp;$B448,'3) Release_Label'!$D:$D&amp;'3) Release_Label'!$E:$E,1,0)),"NO UPC-CATALOG ID pair MATCH in Release_Label" )</f>
        <v/>
      </c>
      <c r="E448" s="141" t="str">
        <f t="shared" si="2"/>
        <v/>
      </c>
      <c r="G448" s="103"/>
      <c r="H448" s="152"/>
      <c r="J448" s="99"/>
      <c r="K448" s="104"/>
      <c r="L448" s="99"/>
      <c r="N448" s="99"/>
      <c r="O448" s="99"/>
      <c r="P448" s="34"/>
    </row>
    <row r="449">
      <c r="A449" s="28"/>
      <c r="B449" s="103"/>
      <c r="C449" s="121" t="str">
        <f t="array" ref="C449">ifs(and(isblank($A449),isblank($B449)),"", not(iserror(vlookup($A449&amp;$B449,'3) Release_Label'!$D:$D&amp;'3) Release_Label'!$E:$E,1,0))),vlookup($A449&amp;$B449,{'3) Release_Label'!$D:$D&amp;'3) Release_Label'!$E:$E,'3) Release_Label'!$F:$F},2,0), or(and(not(isblank($B449)),$B449=$B448,$A449&lt;&gt;$A448),and(not(isblank($A449)),$A449=$A448,$B449&lt;&gt;$B448)),"ID LISTS UNALIGNED",and($A449&lt;&gt;"",countif('3) Release_Label'!$D:$D,$A449)=0),"NO UPC MATCH in Release_Label",and($B449&lt;&gt;"",countif('3) Release_Label'!$E:$E,$B449)=0),"NO CATALOG ID MATCH in Release_Label",iserror(vlookup($A449&amp;$B449,'3) Release_Label'!$D:$D&amp;'3) Release_Label'!$E:$E,1,0)),"NO UPC-CATALOG ID pair MATCH in Release_Label" )</f>
        <v/>
      </c>
      <c r="D449" s="121" t="str">
        <f t="array" ref="D449">ifs(and(isblank($A449),isblank($B449)),"", not(iserror(vlookup($A449&amp;$B449,'3) Release_Label'!$D:$D&amp;'3) Release_Label'!$E:$E,1,0))),vlookup($A449&amp;$B449,{'3) Release_Label'!$D:$D&amp;'3) Release_Label'!$E:$E,'3) Release_Label'!$H:$H},2,0), or(and(not(isblank($B449)),$B449=$B448,$A449&lt;&gt;$A448),and(not(isblank($A449)),$A449=$A448,$B449&lt;&gt;$B448)),"ID LISTS UNALIGNED",and($A449&lt;&gt;"",countif('3) Release_Label'!$D:$D,$A449)=0),"NO UPC MATCH in Release_Label",and($B449&lt;&gt;"",countif('3) Release_Label'!$E:$E,$B449)=0),"NO CATALOG ID MATCH in Release_Label",iserror(vlookup($A449&amp;$B449,'3) Release_Label'!$D:$D&amp;'3) Release_Label'!$E:$E,1,0)),"NO UPC-CATALOG ID pair MATCH in Release_Label" )</f>
        <v/>
      </c>
      <c r="E449" s="141" t="str">
        <f t="shared" si="2"/>
        <v/>
      </c>
      <c r="G449" s="103"/>
      <c r="H449" s="152"/>
      <c r="J449" s="99"/>
      <c r="K449" s="104"/>
      <c r="L449" s="99"/>
      <c r="N449" s="99"/>
      <c r="O449" s="99"/>
      <c r="P449" s="34"/>
    </row>
    <row r="450">
      <c r="A450" s="28"/>
      <c r="B450" s="103"/>
      <c r="C450" s="121" t="str">
        <f t="array" ref="C450">ifs(and(isblank($A450),isblank($B450)),"", not(iserror(vlookup($A450&amp;$B450,'3) Release_Label'!$D:$D&amp;'3) Release_Label'!$E:$E,1,0))),vlookup($A450&amp;$B450,{'3) Release_Label'!$D:$D&amp;'3) Release_Label'!$E:$E,'3) Release_Label'!$F:$F},2,0), or(and(not(isblank($B450)),$B450=$B449,$A450&lt;&gt;$A449),and(not(isblank($A450)),$A450=$A449,$B450&lt;&gt;$B449)),"ID LISTS UNALIGNED",and($A450&lt;&gt;"",countif('3) Release_Label'!$D:$D,$A450)=0),"NO UPC MATCH in Release_Label",and($B450&lt;&gt;"",countif('3) Release_Label'!$E:$E,$B450)=0),"NO CATALOG ID MATCH in Release_Label",iserror(vlookup($A450&amp;$B450,'3) Release_Label'!$D:$D&amp;'3) Release_Label'!$E:$E,1,0)),"NO UPC-CATALOG ID pair MATCH in Release_Label" )</f>
        <v/>
      </c>
      <c r="D450" s="121" t="str">
        <f t="array" ref="D450">ifs(and(isblank($A450),isblank($B450)),"", not(iserror(vlookup($A450&amp;$B450,'3) Release_Label'!$D:$D&amp;'3) Release_Label'!$E:$E,1,0))),vlookup($A450&amp;$B450,{'3) Release_Label'!$D:$D&amp;'3) Release_Label'!$E:$E,'3) Release_Label'!$H:$H},2,0), or(and(not(isblank($B450)),$B450=$B449,$A450&lt;&gt;$A449),and(not(isblank($A450)),$A450=$A449,$B450&lt;&gt;$B449)),"ID LISTS UNALIGNED",and($A450&lt;&gt;"",countif('3) Release_Label'!$D:$D,$A450)=0),"NO UPC MATCH in Release_Label",and($B450&lt;&gt;"",countif('3) Release_Label'!$E:$E,$B450)=0),"NO CATALOG ID MATCH in Release_Label",iserror(vlookup($A450&amp;$B450,'3) Release_Label'!$D:$D&amp;'3) Release_Label'!$E:$E,1,0)),"NO UPC-CATALOG ID pair MATCH in Release_Label" )</f>
        <v/>
      </c>
      <c r="E450" s="141" t="str">
        <f t="shared" si="2"/>
        <v/>
      </c>
      <c r="G450" s="103"/>
      <c r="H450" s="152"/>
      <c r="J450" s="99"/>
      <c r="K450" s="104"/>
      <c r="L450" s="99"/>
      <c r="N450" s="99"/>
      <c r="O450" s="99"/>
      <c r="P450" s="34"/>
    </row>
    <row r="451">
      <c r="A451" s="28"/>
      <c r="B451" s="103"/>
      <c r="C451" s="121" t="str">
        <f t="array" ref="C451">ifs(and(isblank($A451),isblank($B451)),"", not(iserror(vlookup($A451&amp;$B451,'3) Release_Label'!$D:$D&amp;'3) Release_Label'!$E:$E,1,0))),vlookup($A451&amp;$B451,{'3) Release_Label'!$D:$D&amp;'3) Release_Label'!$E:$E,'3) Release_Label'!$F:$F},2,0), or(and(not(isblank($B451)),$B451=$B450,$A451&lt;&gt;$A450),and(not(isblank($A451)),$A451=$A450,$B451&lt;&gt;$B450)),"ID LISTS UNALIGNED",and($A451&lt;&gt;"",countif('3) Release_Label'!$D:$D,$A451)=0),"NO UPC MATCH in Release_Label",and($B451&lt;&gt;"",countif('3) Release_Label'!$E:$E,$B451)=0),"NO CATALOG ID MATCH in Release_Label",iserror(vlookup($A451&amp;$B451,'3) Release_Label'!$D:$D&amp;'3) Release_Label'!$E:$E,1,0)),"NO UPC-CATALOG ID pair MATCH in Release_Label" )</f>
        <v/>
      </c>
      <c r="D451" s="121" t="str">
        <f t="array" ref="D451">ifs(and(isblank($A451),isblank($B451)),"", not(iserror(vlookup($A451&amp;$B451,'3) Release_Label'!$D:$D&amp;'3) Release_Label'!$E:$E,1,0))),vlookup($A451&amp;$B451,{'3) Release_Label'!$D:$D&amp;'3) Release_Label'!$E:$E,'3) Release_Label'!$H:$H},2,0), or(and(not(isblank($B451)),$B451=$B450,$A451&lt;&gt;$A450),and(not(isblank($A451)),$A451=$A450,$B451&lt;&gt;$B450)),"ID LISTS UNALIGNED",and($A451&lt;&gt;"",countif('3) Release_Label'!$D:$D,$A451)=0),"NO UPC MATCH in Release_Label",and($B451&lt;&gt;"",countif('3) Release_Label'!$E:$E,$B451)=0),"NO CATALOG ID MATCH in Release_Label",iserror(vlookup($A451&amp;$B451,'3) Release_Label'!$D:$D&amp;'3) Release_Label'!$E:$E,1,0)),"NO UPC-CATALOG ID pair MATCH in Release_Label" )</f>
        <v/>
      </c>
      <c r="E451" s="141" t="str">
        <f t="shared" si="2"/>
        <v/>
      </c>
      <c r="G451" s="103"/>
      <c r="H451" s="152"/>
      <c r="J451" s="99"/>
      <c r="K451" s="104"/>
      <c r="L451" s="99"/>
      <c r="N451" s="99"/>
      <c r="O451" s="99"/>
      <c r="P451" s="34"/>
    </row>
    <row r="452">
      <c r="A452" s="28"/>
      <c r="B452" s="103"/>
      <c r="C452" s="121" t="str">
        <f t="array" ref="C452">ifs(and(isblank($A452),isblank($B452)),"", not(iserror(vlookup($A452&amp;$B452,'3) Release_Label'!$D:$D&amp;'3) Release_Label'!$E:$E,1,0))),vlookup($A452&amp;$B452,{'3) Release_Label'!$D:$D&amp;'3) Release_Label'!$E:$E,'3) Release_Label'!$F:$F},2,0), or(and(not(isblank($B452)),$B452=$B451,$A452&lt;&gt;$A451),and(not(isblank($A452)),$A452=$A451,$B452&lt;&gt;$B451)),"ID LISTS UNALIGNED",and($A452&lt;&gt;"",countif('3) Release_Label'!$D:$D,$A452)=0),"NO UPC MATCH in Release_Label",and($B452&lt;&gt;"",countif('3) Release_Label'!$E:$E,$B452)=0),"NO CATALOG ID MATCH in Release_Label",iserror(vlookup($A452&amp;$B452,'3) Release_Label'!$D:$D&amp;'3) Release_Label'!$E:$E,1,0)),"NO UPC-CATALOG ID pair MATCH in Release_Label" )</f>
        <v/>
      </c>
      <c r="D452" s="121" t="str">
        <f t="array" ref="D452">ifs(and(isblank($A452),isblank($B452)),"", not(iserror(vlookup($A452&amp;$B452,'3) Release_Label'!$D:$D&amp;'3) Release_Label'!$E:$E,1,0))),vlookup($A452&amp;$B452,{'3) Release_Label'!$D:$D&amp;'3) Release_Label'!$E:$E,'3) Release_Label'!$H:$H},2,0), or(and(not(isblank($B452)),$B452=$B451,$A452&lt;&gt;$A451),and(not(isblank($A452)),$A452=$A451,$B452&lt;&gt;$B451)),"ID LISTS UNALIGNED",and($A452&lt;&gt;"",countif('3) Release_Label'!$D:$D,$A452)=0),"NO UPC MATCH in Release_Label",and($B452&lt;&gt;"",countif('3) Release_Label'!$E:$E,$B452)=0),"NO CATALOG ID MATCH in Release_Label",iserror(vlookup($A452&amp;$B452,'3) Release_Label'!$D:$D&amp;'3) Release_Label'!$E:$E,1,0)),"NO UPC-CATALOG ID pair MATCH in Release_Label" )</f>
        <v/>
      </c>
      <c r="E452" s="141" t="str">
        <f t="shared" si="2"/>
        <v/>
      </c>
      <c r="G452" s="103"/>
      <c r="H452" s="152"/>
      <c r="J452" s="99"/>
      <c r="K452" s="104"/>
      <c r="L452" s="99"/>
      <c r="N452" s="99"/>
      <c r="O452" s="99"/>
      <c r="P452" s="34"/>
    </row>
    <row r="453">
      <c r="A453" s="28"/>
      <c r="B453" s="103"/>
      <c r="C453" s="121" t="str">
        <f t="array" ref="C453">ifs(and(isblank($A453),isblank($B453)),"", not(iserror(vlookup($A453&amp;$B453,'3) Release_Label'!$D:$D&amp;'3) Release_Label'!$E:$E,1,0))),vlookup($A453&amp;$B453,{'3) Release_Label'!$D:$D&amp;'3) Release_Label'!$E:$E,'3) Release_Label'!$F:$F},2,0), or(and(not(isblank($B453)),$B453=$B452,$A453&lt;&gt;$A452),and(not(isblank($A453)),$A453=$A452,$B453&lt;&gt;$B452)),"ID LISTS UNALIGNED",and($A453&lt;&gt;"",countif('3) Release_Label'!$D:$D,$A453)=0),"NO UPC MATCH in Release_Label",and($B453&lt;&gt;"",countif('3) Release_Label'!$E:$E,$B453)=0),"NO CATALOG ID MATCH in Release_Label",iserror(vlookup($A453&amp;$B453,'3) Release_Label'!$D:$D&amp;'3) Release_Label'!$E:$E,1,0)),"NO UPC-CATALOG ID pair MATCH in Release_Label" )</f>
        <v/>
      </c>
      <c r="D453" s="121" t="str">
        <f t="array" ref="D453">ifs(and(isblank($A453),isblank($B453)),"", not(iserror(vlookup($A453&amp;$B453,'3) Release_Label'!$D:$D&amp;'3) Release_Label'!$E:$E,1,0))),vlookup($A453&amp;$B453,{'3) Release_Label'!$D:$D&amp;'3) Release_Label'!$E:$E,'3) Release_Label'!$H:$H},2,0), or(and(not(isblank($B453)),$B453=$B452,$A453&lt;&gt;$A452),and(not(isblank($A453)),$A453=$A452,$B453&lt;&gt;$B452)),"ID LISTS UNALIGNED",and($A453&lt;&gt;"",countif('3) Release_Label'!$D:$D,$A453)=0),"NO UPC MATCH in Release_Label",and($B453&lt;&gt;"",countif('3) Release_Label'!$E:$E,$B453)=0),"NO CATALOG ID MATCH in Release_Label",iserror(vlookup($A453&amp;$B453,'3) Release_Label'!$D:$D&amp;'3) Release_Label'!$E:$E,1,0)),"NO UPC-CATALOG ID pair MATCH in Release_Label" )</f>
        <v/>
      </c>
      <c r="E453" s="141" t="str">
        <f t="shared" si="2"/>
        <v/>
      </c>
      <c r="G453" s="103"/>
      <c r="H453" s="152"/>
      <c r="J453" s="99"/>
      <c r="K453" s="104"/>
      <c r="L453" s="99"/>
      <c r="N453" s="99"/>
      <c r="O453" s="99"/>
      <c r="P453" s="34"/>
    </row>
    <row r="454">
      <c r="A454" s="28"/>
      <c r="B454" s="103"/>
      <c r="C454" s="121" t="str">
        <f t="array" ref="C454">ifs(and(isblank($A454),isblank($B454)),"", not(iserror(vlookup($A454&amp;$B454,'3) Release_Label'!$D:$D&amp;'3) Release_Label'!$E:$E,1,0))),vlookup($A454&amp;$B454,{'3) Release_Label'!$D:$D&amp;'3) Release_Label'!$E:$E,'3) Release_Label'!$F:$F},2,0), or(and(not(isblank($B454)),$B454=$B453,$A454&lt;&gt;$A453),and(not(isblank($A454)),$A454=$A453,$B454&lt;&gt;$B453)),"ID LISTS UNALIGNED",and($A454&lt;&gt;"",countif('3) Release_Label'!$D:$D,$A454)=0),"NO UPC MATCH in Release_Label",and($B454&lt;&gt;"",countif('3) Release_Label'!$E:$E,$B454)=0),"NO CATALOG ID MATCH in Release_Label",iserror(vlookup($A454&amp;$B454,'3) Release_Label'!$D:$D&amp;'3) Release_Label'!$E:$E,1,0)),"NO UPC-CATALOG ID pair MATCH in Release_Label" )</f>
        <v/>
      </c>
      <c r="D454" s="121" t="str">
        <f t="array" ref="D454">ifs(and(isblank($A454),isblank($B454)),"", not(iserror(vlookup($A454&amp;$B454,'3) Release_Label'!$D:$D&amp;'3) Release_Label'!$E:$E,1,0))),vlookup($A454&amp;$B454,{'3) Release_Label'!$D:$D&amp;'3) Release_Label'!$E:$E,'3) Release_Label'!$H:$H},2,0), or(and(not(isblank($B454)),$B454=$B453,$A454&lt;&gt;$A453),and(not(isblank($A454)),$A454=$A453,$B454&lt;&gt;$B453)),"ID LISTS UNALIGNED",and($A454&lt;&gt;"",countif('3) Release_Label'!$D:$D,$A454)=0),"NO UPC MATCH in Release_Label",and($B454&lt;&gt;"",countif('3) Release_Label'!$E:$E,$B454)=0),"NO CATALOG ID MATCH in Release_Label",iserror(vlookup($A454&amp;$B454,'3) Release_Label'!$D:$D&amp;'3) Release_Label'!$E:$E,1,0)),"NO UPC-CATALOG ID pair MATCH in Release_Label" )</f>
        <v/>
      </c>
      <c r="E454" s="141" t="str">
        <f t="shared" si="2"/>
        <v/>
      </c>
      <c r="G454" s="103"/>
      <c r="H454" s="152"/>
      <c r="J454" s="99"/>
      <c r="K454" s="104"/>
      <c r="L454" s="99"/>
      <c r="N454" s="99"/>
      <c r="O454" s="99"/>
      <c r="P454" s="34"/>
    </row>
    <row r="455">
      <c r="A455" s="28"/>
      <c r="B455" s="103"/>
      <c r="C455" s="121" t="str">
        <f t="array" ref="C455">ifs(and(isblank($A455),isblank($B455)),"", not(iserror(vlookup($A455&amp;$B455,'3) Release_Label'!$D:$D&amp;'3) Release_Label'!$E:$E,1,0))),vlookup($A455&amp;$B455,{'3) Release_Label'!$D:$D&amp;'3) Release_Label'!$E:$E,'3) Release_Label'!$F:$F},2,0), or(and(not(isblank($B455)),$B455=$B454,$A455&lt;&gt;$A454),and(not(isblank($A455)),$A455=$A454,$B455&lt;&gt;$B454)),"ID LISTS UNALIGNED",and($A455&lt;&gt;"",countif('3) Release_Label'!$D:$D,$A455)=0),"NO UPC MATCH in Release_Label",and($B455&lt;&gt;"",countif('3) Release_Label'!$E:$E,$B455)=0),"NO CATALOG ID MATCH in Release_Label",iserror(vlookup($A455&amp;$B455,'3) Release_Label'!$D:$D&amp;'3) Release_Label'!$E:$E,1,0)),"NO UPC-CATALOG ID pair MATCH in Release_Label" )</f>
        <v/>
      </c>
      <c r="D455" s="121" t="str">
        <f t="array" ref="D455">ifs(and(isblank($A455),isblank($B455)),"", not(iserror(vlookup($A455&amp;$B455,'3) Release_Label'!$D:$D&amp;'3) Release_Label'!$E:$E,1,0))),vlookup($A455&amp;$B455,{'3) Release_Label'!$D:$D&amp;'3) Release_Label'!$E:$E,'3) Release_Label'!$H:$H},2,0), or(and(not(isblank($B455)),$B455=$B454,$A455&lt;&gt;$A454),and(not(isblank($A455)),$A455=$A454,$B455&lt;&gt;$B454)),"ID LISTS UNALIGNED",and($A455&lt;&gt;"",countif('3) Release_Label'!$D:$D,$A455)=0),"NO UPC MATCH in Release_Label",and($B455&lt;&gt;"",countif('3) Release_Label'!$E:$E,$B455)=0),"NO CATALOG ID MATCH in Release_Label",iserror(vlookup($A455&amp;$B455,'3) Release_Label'!$D:$D&amp;'3) Release_Label'!$E:$E,1,0)),"NO UPC-CATALOG ID pair MATCH in Release_Label" )</f>
        <v/>
      </c>
      <c r="E455" s="141" t="str">
        <f t="shared" si="2"/>
        <v/>
      </c>
      <c r="G455" s="103"/>
      <c r="H455" s="152"/>
      <c r="J455" s="99"/>
      <c r="K455" s="104"/>
      <c r="L455" s="99"/>
      <c r="N455" s="99"/>
      <c r="O455" s="99"/>
      <c r="P455" s="34"/>
    </row>
    <row r="456">
      <c r="A456" s="28"/>
      <c r="B456" s="103"/>
      <c r="C456" s="121" t="str">
        <f t="array" ref="C456">ifs(and(isblank($A456),isblank($B456)),"", not(iserror(vlookup($A456&amp;$B456,'3) Release_Label'!$D:$D&amp;'3) Release_Label'!$E:$E,1,0))),vlookup($A456&amp;$B456,{'3) Release_Label'!$D:$D&amp;'3) Release_Label'!$E:$E,'3) Release_Label'!$F:$F},2,0), or(and(not(isblank($B456)),$B456=$B455,$A456&lt;&gt;$A455),and(not(isblank($A456)),$A456=$A455,$B456&lt;&gt;$B455)),"ID LISTS UNALIGNED",and($A456&lt;&gt;"",countif('3) Release_Label'!$D:$D,$A456)=0),"NO UPC MATCH in Release_Label",and($B456&lt;&gt;"",countif('3) Release_Label'!$E:$E,$B456)=0),"NO CATALOG ID MATCH in Release_Label",iserror(vlookup($A456&amp;$B456,'3) Release_Label'!$D:$D&amp;'3) Release_Label'!$E:$E,1,0)),"NO UPC-CATALOG ID pair MATCH in Release_Label" )</f>
        <v/>
      </c>
      <c r="D456" s="121" t="str">
        <f t="array" ref="D456">ifs(and(isblank($A456),isblank($B456)),"", not(iserror(vlookup($A456&amp;$B456,'3) Release_Label'!$D:$D&amp;'3) Release_Label'!$E:$E,1,0))),vlookup($A456&amp;$B456,{'3) Release_Label'!$D:$D&amp;'3) Release_Label'!$E:$E,'3) Release_Label'!$H:$H},2,0), or(and(not(isblank($B456)),$B456=$B455,$A456&lt;&gt;$A455),and(not(isblank($A456)),$A456=$A455,$B456&lt;&gt;$B455)),"ID LISTS UNALIGNED",and($A456&lt;&gt;"",countif('3) Release_Label'!$D:$D,$A456)=0),"NO UPC MATCH in Release_Label",and($B456&lt;&gt;"",countif('3) Release_Label'!$E:$E,$B456)=0),"NO CATALOG ID MATCH in Release_Label",iserror(vlookup($A456&amp;$B456,'3) Release_Label'!$D:$D&amp;'3) Release_Label'!$E:$E,1,0)),"NO UPC-CATALOG ID pair MATCH in Release_Label" )</f>
        <v/>
      </c>
      <c r="E456" s="141" t="str">
        <f t="shared" si="2"/>
        <v/>
      </c>
      <c r="G456" s="103"/>
      <c r="H456" s="152"/>
      <c r="J456" s="99"/>
      <c r="K456" s="104"/>
      <c r="L456" s="99"/>
      <c r="N456" s="99"/>
      <c r="O456" s="99"/>
      <c r="P456" s="34"/>
    </row>
    <row r="457">
      <c r="A457" s="28"/>
      <c r="B457" s="103"/>
      <c r="C457" s="121" t="str">
        <f t="array" ref="C457">ifs(and(isblank($A457),isblank($B457)),"", not(iserror(vlookup($A457&amp;$B457,'3) Release_Label'!$D:$D&amp;'3) Release_Label'!$E:$E,1,0))),vlookup($A457&amp;$B457,{'3) Release_Label'!$D:$D&amp;'3) Release_Label'!$E:$E,'3) Release_Label'!$F:$F},2,0), or(and(not(isblank($B457)),$B457=$B456,$A457&lt;&gt;$A456),and(not(isblank($A457)),$A457=$A456,$B457&lt;&gt;$B456)),"ID LISTS UNALIGNED",and($A457&lt;&gt;"",countif('3) Release_Label'!$D:$D,$A457)=0),"NO UPC MATCH in Release_Label",and($B457&lt;&gt;"",countif('3) Release_Label'!$E:$E,$B457)=0),"NO CATALOG ID MATCH in Release_Label",iserror(vlookup($A457&amp;$B457,'3) Release_Label'!$D:$D&amp;'3) Release_Label'!$E:$E,1,0)),"NO UPC-CATALOG ID pair MATCH in Release_Label" )</f>
        <v/>
      </c>
      <c r="D457" s="121" t="str">
        <f t="array" ref="D457">ifs(and(isblank($A457),isblank($B457)),"", not(iserror(vlookup($A457&amp;$B457,'3) Release_Label'!$D:$D&amp;'3) Release_Label'!$E:$E,1,0))),vlookup($A457&amp;$B457,{'3) Release_Label'!$D:$D&amp;'3) Release_Label'!$E:$E,'3) Release_Label'!$H:$H},2,0), or(and(not(isblank($B457)),$B457=$B456,$A457&lt;&gt;$A456),and(not(isblank($A457)),$A457=$A456,$B457&lt;&gt;$B456)),"ID LISTS UNALIGNED",and($A457&lt;&gt;"",countif('3) Release_Label'!$D:$D,$A457)=0),"NO UPC MATCH in Release_Label",and($B457&lt;&gt;"",countif('3) Release_Label'!$E:$E,$B457)=0),"NO CATALOG ID MATCH in Release_Label",iserror(vlookup($A457&amp;$B457,'3) Release_Label'!$D:$D&amp;'3) Release_Label'!$E:$E,1,0)),"NO UPC-CATALOG ID pair MATCH in Release_Label" )</f>
        <v/>
      </c>
      <c r="E457" s="141" t="str">
        <f t="shared" si="2"/>
        <v/>
      </c>
      <c r="G457" s="103"/>
      <c r="H457" s="152"/>
      <c r="J457" s="99"/>
      <c r="K457" s="104"/>
      <c r="L457" s="99"/>
      <c r="N457" s="99"/>
      <c r="O457" s="99"/>
      <c r="P457" s="34"/>
    </row>
    <row r="458">
      <c r="A458" s="28"/>
      <c r="B458" s="103"/>
      <c r="C458" s="121" t="str">
        <f t="array" ref="C458">ifs(and(isblank($A458),isblank($B458)),"", not(iserror(vlookup($A458&amp;$B458,'3) Release_Label'!$D:$D&amp;'3) Release_Label'!$E:$E,1,0))),vlookup($A458&amp;$B458,{'3) Release_Label'!$D:$D&amp;'3) Release_Label'!$E:$E,'3) Release_Label'!$F:$F},2,0), or(and(not(isblank($B458)),$B458=$B457,$A458&lt;&gt;$A457),and(not(isblank($A458)),$A458=$A457,$B458&lt;&gt;$B457)),"ID LISTS UNALIGNED",and($A458&lt;&gt;"",countif('3) Release_Label'!$D:$D,$A458)=0),"NO UPC MATCH in Release_Label",and($B458&lt;&gt;"",countif('3) Release_Label'!$E:$E,$B458)=0),"NO CATALOG ID MATCH in Release_Label",iserror(vlookup($A458&amp;$B458,'3) Release_Label'!$D:$D&amp;'3) Release_Label'!$E:$E,1,0)),"NO UPC-CATALOG ID pair MATCH in Release_Label" )</f>
        <v/>
      </c>
      <c r="D458" s="121" t="str">
        <f t="array" ref="D458">ifs(and(isblank($A458),isblank($B458)),"", not(iserror(vlookup($A458&amp;$B458,'3) Release_Label'!$D:$D&amp;'3) Release_Label'!$E:$E,1,0))),vlookup($A458&amp;$B458,{'3) Release_Label'!$D:$D&amp;'3) Release_Label'!$E:$E,'3) Release_Label'!$H:$H},2,0), or(and(not(isblank($B458)),$B458=$B457,$A458&lt;&gt;$A457),and(not(isblank($A458)),$A458=$A457,$B458&lt;&gt;$B457)),"ID LISTS UNALIGNED",and($A458&lt;&gt;"",countif('3) Release_Label'!$D:$D,$A458)=0),"NO UPC MATCH in Release_Label",and($B458&lt;&gt;"",countif('3) Release_Label'!$E:$E,$B458)=0),"NO CATALOG ID MATCH in Release_Label",iserror(vlookup($A458&amp;$B458,'3) Release_Label'!$D:$D&amp;'3) Release_Label'!$E:$E,1,0)),"NO UPC-CATALOG ID pair MATCH in Release_Label" )</f>
        <v/>
      </c>
      <c r="E458" s="141" t="str">
        <f t="shared" si="2"/>
        <v/>
      </c>
      <c r="G458" s="103"/>
      <c r="H458" s="152"/>
      <c r="J458" s="99"/>
      <c r="K458" s="104"/>
      <c r="L458" s="99"/>
      <c r="N458" s="99"/>
      <c r="O458" s="99"/>
      <c r="P458" s="34"/>
    </row>
    <row r="459">
      <c r="A459" s="28"/>
      <c r="B459" s="103"/>
      <c r="C459" s="121" t="str">
        <f t="array" ref="C459">ifs(and(isblank($A459),isblank($B459)),"", not(iserror(vlookup($A459&amp;$B459,'3) Release_Label'!$D:$D&amp;'3) Release_Label'!$E:$E,1,0))),vlookup($A459&amp;$B459,{'3) Release_Label'!$D:$D&amp;'3) Release_Label'!$E:$E,'3) Release_Label'!$F:$F},2,0), or(and(not(isblank($B459)),$B459=$B458,$A459&lt;&gt;$A458),and(not(isblank($A459)),$A459=$A458,$B459&lt;&gt;$B458)),"ID LISTS UNALIGNED",and($A459&lt;&gt;"",countif('3) Release_Label'!$D:$D,$A459)=0),"NO UPC MATCH in Release_Label",and($B459&lt;&gt;"",countif('3) Release_Label'!$E:$E,$B459)=0),"NO CATALOG ID MATCH in Release_Label",iserror(vlookup($A459&amp;$B459,'3) Release_Label'!$D:$D&amp;'3) Release_Label'!$E:$E,1,0)),"NO UPC-CATALOG ID pair MATCH in Release_Label" )</f>
        <v/>
      </c>
      <c r="D459" s="121" t="str">
        <f t="array" ref="D459">ifs(and(isblank($A459),isblank($B459)),"", not(iserror(vlookup($A459&amp;$B459,'3) Release_Label'!$D:$D&amp;'3) Release_Label'!$E:$E,1,0))),vlookup($A459&amp;$B459,{'3) Release_Label'!$D:$D&amp;'3) Release_Label'!$E:$E,'3) Release_Label'!$H:$H},2,0), or(and(not(isblank($B459)),$B459=$B458,$A459&lt;&gt;$A458),and(not(isblank($A459)),$A459=$A458,$B459&lt;&gt;$B458)),"ID LISTS UNALIGNED",and($A459&lt;&gt;"",countif('3) Release_Label'!$D:$D,$A459)=0),"NO UPC MATCH in Release_Label",and($B459&lt;&gt;"",countif('3) Release_Label'!$E:$E,$B459)=0),"NO CATALOG ID MATCH in Release_Label",iserror(vlookup($A459&amp;$B459,'3) Release_Label'!$D:$D&amp;'3) Release_Label'!$E:$E,1,0)),"NO UPC-CATALOG ID pair MATCH in Release_Label" )</f>
        <v/>
      </c>
      <c r="E459" s="141" t="str">
        <f t="shared" si="2"/>
        <v/>
      </c>
      <c r="G459" s="103"/>
      <c r="H459" s="152"/>
      <c r="J459" s="99"/>
      <c r="K459" s="104"/>
      <c r="L459" s="99"/>
      <c r="N459" s="99"/>
      <c r="O459" s="99"/>
      <c r="P459" s="34"/>
    </row>
    <row r="460">
      <c r="A460" s="28"/>
      <c r="B460" s="103"/>
      <c r="C460" s="121" t="str">
        <f t="array" ref="C460">ifs(and(isblank($A460),isblank($B460)),"", not(iserror(vlookup($A460&amp;$B460,'3) Release_Label'!$D:$D&amp;'3) Release_Label'!$E:$E,1,0))),vlookup($A460&amp;$B460,{'3) Release_Label'!$D:$D&amp;'3) Release_Label'!$E:$E,'3) Release_Label'!$F:$F},2,0), or(and(not(isblank($B460)),$B460=$B459,$A460&lt;&gt;$A459),and(not(isblank($A460)),$A460=$A459,$B460&lt;&gt;$B459)),"ID LISTS UNALIGNED",and($A460&lt;&gt;"",countif('3) Release_Label'!$D:$D,$A460)=0),"NO UPC MATCH in Release_Label",and($B460&lt;&gt;"",countif('3) Release_Label'!$E:$E,$B460)=0),"NO CATALOG ID MATCH in Release_Label",iserror(vlookup($A460&amp;$B460,'3) Release_Label'!$D:$D&amp;'3) Release_Label'!$E:$E,1,0)),"NO UPC-CATALOG ID pair MATCH in Release_Label" )</f>
        <v/>
      </c>
      <c r="D460" s="121" t="str">
        <f t="array" ref="D460">ifs(and(isblank($A460),isblank($B460)),"", not(iserror(vlookup($A460&amp;$B460,'3) Release_Label'!$D:$D&amp;'3) Release_Label'!$E:$E,1,0))),vlookup($A460&amp;$B460,{'3) Release_Label'!$D:$D&amp;'3) Release_Label'!$E:$E,'3) Release_Label'!$H:$H},2,0), or(and(not(isblank($B460)),$B460=$B459,$A460&lt;&gt;$A459),and(not(isblank($A460)),$A460=$A459,$B460&lt;&gt;$B459)),"ID LISTS UNALIGNED",and($A460&lt;&gt;"",countif('3) Release_Label'!$D:$D,$A460)=0),"NO UPC MATCH in Release_Label",and($B460&lt;&gt;"",countif('3) Release_Label'!$E:$E,$B460)=0),"NO CATALOG ID MATCH in Release_Label",iserror(vlookup($A460&amp;$B460,'3) Release_Label'!$D:$D&amp;'3) Release_Label'!$E:$E,1,0)),"NO UPC-CATALOG ID pair MATCH in Release_Label" )</f>
        <v/>
      </c>
      <c r="E460" s="141" t="str">
        <f t="shared" si="2"/>
        <v/>
      </c>
      <c r="G460" s="103"/>
      <c r="H460" s="152"/>
      <c r="J460" s="99"/>
      <c r="K460" s="104"/>
      <c r="L460" s="99"/>
      <c r="N460" s="99"/>
      <c r="O460" s="99"/>
      <c r="P460" s="34"/>
    </row>
    <row r="461">
      <c r="A461" s="28"/>
      <c r="B461" s="103"/>
      <c r="C461" s="121" t="str">
        <f t="array" ref="C461">ifs(and(isblank($A461),isblank($B461)),"", not(iserror(vlookup($A461&amp;$B461,'3) Release_Label'!$D:$D&amp;'3) Release_Label'!$E:$E,1,0))),vlookup($A461&amp;$B461,{'3) Release_Label'!$D:$D&amp;'3) Release_Label'!$E:$E,'3) Release_Label'!$F:$F},2,0), or(and(not(isblank($B461)),$B461=$B460,$A461&lt;&gt;$A460),and(not(isblank($A461)),$A461=$A460,$B461&lt;&gt;$B460)),"ID LISTS UNALIGNED",and($A461&lt;&gt;"",countif('3) Release_Label'!$D:$D,$A461)=0),"NO UPC MATCH in Release_Label",and($B461&lt;&gt;"",countif('3) Release_Label'!$E:$E,$B461)=0),"NO CATALOG ID MATCH in Release_Label",iserror(vlookup($A461&amp;$B461,'3) Release_Label'!$D:$D&amp;'3) Release_Label'!$E:$E,1,0)),"NO UPC-CATALOG ID pair MATCH in Release_Label" )</f>
        <v/>
      </c>
      <c r="D461" s="121" t="str">
        <f t="array" ref="D461">ifs(and(isblank($A461),isblank($B461)),"", not(iserror(vlookup($A461&amp;$B461,'3) Release_Label'!$D:$D&amp;'3) Release_Label'!$E:$E,1,0))),vlookup($A461&amp;$B461,{'3) Release_Label'!$D:$D&amp;'3) Release_Label'!$E:$E,'3) Release_Label'!$H:$H},2,0), or(and(not(isblank($B461)),$B461=$B460,$A461&lt;&gt;$A460),and(not(isblank($A461)),$A461=$A460,$B461&lt;&gt;$B460)),"ID LISTS UNALIGNED",and($A461&lt;&gt;"",countif('3) Release_Label'!$D:$D,$A461)=0),"NO UPC MATCH in Release_Label",and($B461&lt;&gt;"",countif('3) Release_Label'!$E:$E,$B461)=0),"NO CATALOG ID MATCH in Release_Label",iserror(vlookup($A461&amp;$B461,'3) Release_Label'!$D:$D&amp;'3) Release_Label'!$E:$E,1,0)),"NO UPC-CATALOG ID pair MATCH in Release_Label" )</f>
        <v/>
      </c>
      <c r="E461" s="141" t="str">
        <f t="shared" si="2"/>
        <v/>
      </c>
      <c r="G461" s="103"/>
      <c r="H461" s="152"/>
      <c r="J461" s="99"/>
      <c r="K461" s="104"/>
      <c r="L461" s="99"/>
      <c r="N461" s="99"/>
      <c r="O461" s="99"/>
      <c r="P461" s="34"/>
    </row>
    <row r="462">
      <c r="A462" s="28"/>
      <c r="B462" s="103"/>
      <c r="C462" s="121" t="str">
        <f t="array" ref="C462">ifs(and(isblank($A462),isblank($B462)),"", not(iserror(vlookup($A462&amp;$B462,'3) Release_Label'!$D:$D&amp;'3) Release_Label'!$E:$E,1,0))),vlookup($A462&amp;$B462,{'3) Release_Label'!$D:$D&amp;'3) Release_Label'!$E:$E,'3) Release_Label'!$F:$F},2,0), or(and(not(isblank($B462)),$B462=$B461,$A462&lt;&gt;$A461),and(not(isblank($A462)),$A462=$A461,$B462&lt;&gt;$B461)),"ID LISTS UNALIGNED",and($A462&lt;&gt;"",countif('3) Release_Label'!$D:$D,$A462)=0),"NO UPC MATCH in Release_Label",and($B462&lt;&gt;"",countif('3) Release_Label'!$E:$E,$B462)=0),"NO CATALOG ID MATCH in Release_Label",iserror(vlookup($A462&amp;$B462,'3) Release_Label'!$D:$D&amp;'3) Release_Label'!$E:$E,1,0)),"NO UPC-CATALOG ID pair MATCH in Release_Label" )</f>
        <v/>
      </c>
      <c r="D462" s="121" t="str">
        <f t="array" ref="D462">ifs(and(isblank($A462),isblank($B462)),"", not(iserror(vlookup($A462&amp;$B462,'3) Release_Label'!$D:$D&amp;'3) Release_Label'!$E:$E,1,0))),vlookup($A462&amp;$B462,{'3) Release_Label'!$D:$D&amp;'3) Release_Label'!$E:$E,'3) Release_Label'!$H:$H},2,0), or(and(not(isblank($B462)),$B462=$B461,$A462&lt;&gt;$A461),and(not(isblank($A462)),$A462=$A461,$B462&lt;&gt;$B461)),"ID LISTS UNALIGNED",and($A462&lt;&gt;"",countif('3) Release_Label'!$D:$D,$A462)=0),"NO UPC MATCH in Release_Label",and($B462&lt;&gt;"",countif('3) Release_Label'!$E:$E,$B462)=0),"NO CATALOG ID MATCH in Release_Label",iserror(vlookup($A462&amp;$B462,'3) Release_Label'!$D:$D&amp;'3) Release_Label'!$E:$E,1,0)),"NO UPC-CATALOG ID pair MATCH in Release_Label" )</f>
        <v/>
      </c>
      <c r="E462" s="141" t="str">
        <f t="shared" si="2"/>
        <v/>
      </c>
      <c r="G462" s="103"/>
      <c r="H462" s="152"/>
      <c r="J462" s="99"/>
      <c r="K462" s="104"/>
      <c r="L462" s="99"/>
      <c r="N462" s="99"/>
      <c r="O462" s="99"/>
      <c r="P462" s="34"/>
    </row>
    <row r="463">
      <c r="A463" s="28"/>
      <c r="B463" s="103"/>
      <c r="C463" s="121" t="str">
        <f t="array" ref="C463">ifs(and(isblank($A463),isblank($B463)),"", not(iserror(vlookup($A463&amp;$B463,'3) Release_Label'!$D:$D&amp;'3) Release_Label'!$E:$E,1,0))),vlookup($A463&amp;$B463,{'3) Release_Label'!$D:$D&amp;'3) Release_Label'!$E:$E,'3) Release_Label'!$F:$F},2,0), or(and(not(isblank($B463)),$B463=$B462,$A463&lt;&gt;$A462),and(not(isblank($A463)),$A463=$A462,$B463&lt;&gt;$B462)),"ID LISTS UNALIGNED",and($A463&lt;&gt;"",countif('3) Release_Label'!$D:$D,$A463)=0),"NO UPC MATCH in Release_Label",and($B463&lt;&gt;"",countif('3) Release_Label'!$E:$E,$B463)=0),"NO CATALOG ID MATCH in Release_Label",iserror(vlookup($A463&amp;$B463,'3) Release_Label'!$D:$D&amp;'3) Release_Label'!$E:$E,1,0)),"NO UPC-CATALOG ID pair MATCH in Release_Label" )</f>
        <v/>
      </c>
      <c r="D463" s="121" t="str">
        <f t="array" ref="D463">ifs(and(isblank($A463),isblank($B463)),"", not(iserror(vlookup($A463&amp;$B463,'3) Release_Label'!$D:$D&amp;'3) Release_Label'!$E:$E,1,0))),vlookup($A463&amp;$B463,{'3) Release_Label'!$D:$D&amp;'3) Release_Label'!$E:$E,'3) Release_Label'!$H:$H},2,0), or(and(not(isblank($B463)),$B463=$B462,$A463&lt;&gt;$A462),and(not(isblank($A463)),$A463=$A462,$B463&lt;&gt;$B462)),"ID LISTS UNALIGNED",and($A463&lt;&gt;"",countif('3) Release_Label'!$D:$D,$A463)=0),"NO UPC MATCH in Release_Label",and($B463&lt;&gt;"",countif('3) Release_Label'!$E:$E,$B463)=0),"NO CATALOG ID MATCH in Release_Label",iserror(vlookup($A463&amp;$B463,'3) Release_Label'!$D:$D&amp;'3) Release_Label'!$E:$E,1,0)),"NO UPC-CATALOG ID pair MATCH in Release_Label" )</f>
        <v/>
      </c>
      <c r="E463" s="141" t="str">
        <f t="shared" si="2"/>
        <v/>
      </c>
      <c r="G463" s="103"/>
      <c r="H463" s="152"/>
      <c r="J463" s="99"/>
      <c r="K463" s="104"/>
      <c r="L463" s="99"/>
      <c r="N463" s="99"/>
      <c r="O463" s="99"/>
      <c r="P463" s="34"/>
    </row>
    <row r="464">
      <c r="A464" s="28"/>
      <c r="B464" s="103"/>
      <c r="C464" s="121" t="str">
        <f t="array" ref="C464">ifs(and(isblank($A464),isblank($B464)),"", not(iserror(vlookup($A464&amp;$B464,'3) Release_Label'!$D:$D&amp;'3) Release_Label'!$E:$E,1,0))),vlookup($A464&amp;$B464,{'3) Release_Label'!$D:$D&amp;'3) Release_Label'!$E:$E,'3) Release_Label'!$F:$F},2,0), or(and(not(isblank($B464)),$B464=$B463,$A464&lt;&gt;$A463),and(not(isblank($A464)),$A464=$A463,$B464&lt;&gt;$B463)),"ID LISTS UNALIGNED",and($A464&lt;&gt;"",countif('3) Release_Label'!$D:$D,$A464)=0),"NO UPC MATCH in Release_Label",and($B464&lt;&gt;"",countif('3) Release_Label'!$E:$E,$B464)=0),"NO CATALOG ID MATCH in Release_Label",iserror(vlookup($A464&amp;$B464,'3) Release_Label'!$D:$D&amp;'3) Release_Label'!$E:$E,1,0)),"NO UPC-CATALOG ID pair MATCH in Release_Label" )</f>
        <v/>
      </c>
      <c r="D464" s="121" t="str">
        <f t="array" ref="D464">ifs(and(isblank($A464),isblank($B464)),"", not(iserror(vlookup($A464&amp;$B464,'3) Release_Label'!$D:$D&amp;'3) Release_Label'!$E:$E,1,0))),vlookup($A464&amp;$B464,{'3) Release_Label'!$D:$D&amp;'3) Release_Label'!$E:$E,'3) Release_Label'!$H:$H},2,0), or(and(not(isblank($B464)),$B464=$B463,$A464&lt;&gt;$A463),and(not(isblank($A464)),$A464=$A463,$B464&lt;&gt;$B463)),"ID LISTS UNALIGNED",and($A464&lt;&gt;"",countif('3) Release_Label'!$D:$D,$A464)=0),"NO UPC MATCH in Release_Label",and($B464&lt;&gt;"",countif('3) Release_Label'!$E:$E,$B464)=0),"NO CATALOG ID MATCH in Release_Label",iserror(vlookup($A464&amp;$B464,'3) Release_Label'!$D:$D&amp;'3) Release_Label'!$E:$E,1,0)),"NO UPC-CATALOG ID pair MATCH in Release_Label" )</f>
        <v/>
      </c>
      <c r="E464" s="141" t="str">
        <f t="shared" si="2"/>
        <v/>
      </c>
      <c r="G464" s="103"/>
      <c r="H464" s="152"/>
      <c r="J464" s="99"/>
      <c r="K464" s="104"/>
      <c r="L464" s="99"/>
      <c r="N464" s="99"/>
      <c r="O464" s="99"/>
      <c r="P464" s="34"/>
    </row>
    <row r="465">
      <c r="A465" s="28"/>
      <c r="B465" s="103"/>
      <c r="C465" s="121" t="str">
        <f t="array" ref="C465">ifs(and(isblank($A465),isblank($B465)),"", not(iserror(vlookup($A465&amp;$B465,'3) Release_Label'!$D:$D&amp;'3) Release_Label'!$E:$E,1,0))),vlookup($A465&amp;$B465,{'3) Release_Label'!$D:$D&amp;'3) Release_Label'!$E:$E,'3) Release_Label'!$F:$F},2,0), or(and(not(isblank($B465)),$B465=$B464,$A465&lt;&gt;$A464),and(not(isblank($A465)),$A465=$A464,$B465&lt;&gt;$B464)),"ID LISTS UNALIGNED",and($A465&lt;&gt;"",countif('3) Release_Label'!$D:$D,$A465)=0),"NO UPC MATCH in Release_Label",and($B465&lt;&gt;"",countif('3) Release_Label'!$E:$E,$B465)=0),"NO CATALOG ID MATCH in Release_Label",iserror(vlookup($A465&amp;$B465,'3) Release_Label'!$D:$D&amp;'3) Release_Label'!$E:$E,1,0)),"NO UPC-CATALOG ID pair MATCH in Release_Label" )</f>
        <v/>
      </c>
      <c r="D465" s="121" t="str">
        <f t="array" ref="D465">ifs(and(isblank($A465),isblank($B465)),"", not(iserror(vlookup($A465&amp;$B465,'3) Release_Label'!$D:$D&amp;'3) Release_Label'!$E:$E,1,0))),vlookup($A465&amp;$B465,{'3) Release_Label'!$D:$D&amp;'3) Release_Label'!$E:$E,'3) Release_Label'!$H:$H},2,0), or(and(not(isblank($B465)),$B465=$B464,$A465&lt;&gt;$A464),and(not(isblank($A465)),$A465=$A464,$B465&lt;&gt;$B464)),"ID LISTS UNALIGNED",and($A465&lt;&gt;"",countif('3) Release_Label'!$D:$D,$A465)=0),"NO UPC MATCH in Release_Label",and($B465&lt;&gt;"",countif('3) Release_Label'!$E:$E,$B465)=0),"NO CATALOG ID MATCH in Release_Label",iserror(vlookup($A465&amp;$B465,'3) Release_Label'!$D:$D&amp;'3) Release_Label'!$E:$E,1,0)),"NO UPC-CATALOG ID pair MATCH in Release_Label" )</f>
        <v/>
      </c>
      <c r="E465" s="141" t="str">
        <f t="shared" si="2"/>
        <v/>
      </c>
      <c r="G465" s="103"/>
      <c r="H465" s="152"/>
      <c r="J465" s="99"/>
      <c r="K465" s="104"/>
      <c r="L465" s="99"/>
      <c r="N465" s="99"/>
      <c r="O465" s="99"/>
      <c r="P465" s="34"/>
    </row>
    <row r="466">
      <c r="A466" s="28"/>
      <c r="B466" s="103"/>
      <c r="C466" s="121" t="str">
        <f t="array" ref="C466">ifs(and(isblank($A466),isblank($B466)),"", not(iserror(vlookup($A466&amp;$B466,'3) Release_Label'!$D:$D&amp;'3) Release_Label'!$E:$E,1,0))),vlookup($A466&amp;$B466,{'3) Release_Label'!$D:$D&amp;'3) Release_Label'!$E:$E,'3) Release_Label'!$F:$F},2,0), or(and(not(isblank($B466)),$B466=$B465,$A466&lt;&gt;$A465),and(not(isblank($A466)),$A466=$A465,$B466&lt;&gt;$B465)),"ID LISTS UNALIGNED",and($A466&lt;&gt;"",countif('3) Release_Label'!$D:$D,$A466)=0),"NO UPC MATCH in Release_Label",and($B466&lt;&gt;"",countif('3) Release_Label'!$E:$E,$B466)=0),"NO CATALOG ID MATCH in Release_Label",iserror(vlookup($A466&amp;$B466,'3) Release_Label'!$D:$D&amp;'3) Release_Label'!$E:$E,1,0)),"NO UPC-CATALOG ID pair MATCH in Release_Label" )</f>
        <v/>
      </c>
      <c r="D466" s="121" t="str">
        <f t="array" ref="D466">ifs(and(isblank($A466),isblank($B466)),"", not(iserror(vlookup($A466&amp;$B466,'3) Release_Label'!$D:$D&amp;'3) Release_Label'!$E:$E,1,0))),vlookup($A466&amp;$B466,{'3) Release_Label'!$D:$D&amp;'3) Release_Label'!$E:$E,'3) Release_Label'!$H:$H},2,0), or(and(not(isblank($B466)),$B466=$B465,$A466&lt;&gt;$A465),and(not(isblank($A466)),$A466=$A465,$B466&lt;&gt;$B465)),"ID LISTS UNALIGNED",and($A466&lt;&gt;"",countif('3) Release_Label'!$D:$D,$A466)=0),"NO UPC MATCH in Release_Label",and($B466&lt;&gt;"",countif('3) Release_Label'!$E:$E,$B466)=0),"NO CATALOG ID MATCH in Release_Label",iserror(vlookup($A466&amp;$B466,'3) Release_Label'!$D:$D&amp;'3) Release_Label'!$E:$E,1,0)),"NO UPC-CATALOG ID pair MATCH in Release_Label" )</f>
        <v/>
      </c>
      <c r="E466" s="141" t="str">
        <f t="shared" si="2"/>
        <v/>
      </c>
      <c r="G466" s="103"/>
      <c r="H466" s="152"/>
      <c r="J466" s="99"/>
      <c r="K466" s="104"/>
      <c r="L466" s="99"/>
      <c r="N466" s="99"/>
      <c r="O466" s="99"/>
      <c r="P466" s="34"/>
    </row>
    <row r="467">
      <c r="A467" s="28"/>
      <c r="B467" s="103"/>
      <c r="C467" s="121" t="str">
        <f t="array" ref="C467">ifs(and(isblank($A467),isblank($B467)),"", not(iserror(vlookup($A467&amp;$B467,'3) Release_Label'!$D:$D&amp;'3) Release_Label'!$E:$E,1,0))),vlookup($A467&amp;$B467,{'3) Release_Label'!$D:$D&amp;'3) Release_Label'!$E:$E,'3) Release_Label'!$F:$F},2,0), or(and(not(isblank($B467)),$B467=$B466,$A467&lt;&gt;$A466),and(not(isblank($A467)),$A467=$A466,$B467&lt;&gt;$B466)),"ID LISTS UNALIGNED",and($A467&lt;&gt;"",countif('3) Release_Label'!$D:$D,$A467)=0),"NO UPC MATCH in Release_Label",and($B467&lt;&gt;"",countif('3) Release_Label'!$E:$E,$B467)=0),"NO CATALOG ID MATCH in Release_Label",iserror(vlookup($A467&amp;$B467,'3) Release_Label'!$D:$D&amp;'3) Release_Label'!$E:$E,1,0)),"NO UPC-CATALOG ID pair MATCH in Release_Label" )</f>
        <v/>
      </c>
      <c r="D467" s="121" t="str">
        <f t="array" ref="D467">ifs(and(isblank($A467),isblank($B467)),"", not(iserror(vlookup($A467&amp;$B467,'3) Release_Label'!$D:$D&amp;'3) Release_Label'!$E:$E,1,0))),vlookup($A467&amp;$B467,{'3) Release_Label'!$D:$D&amp;'3) Release_Label'!$E:$E,'3) Release_Label'!$H:$H},2,0), or(and(not(isblank($B467)),$B467=$B466,$A467&lt;&gt;$A466),and(not(isblank($A467)),$A467=$A466,$B467&lt;&gt;$B466)),"ID LISTS UNALIGNED",and($A467&lt;&gt;"",countif('3) Release_Label'!$D:$D,$A467)=0),"NO UPC MATCH in Release_Label",and($B467&lt;&gt;"",countif('3) Release_Label'!$E:$E,$B467)=0),"NO CATALOG ID MATCH in Release_Label",iserror(vlookup($A467&amp;$B467,'3) Release_Label'!$D:$D&amp;'3) Release_Label'!$E:$E,1,0)),"NO UPC-CATALOG ID pair MATCH in Release_Label" )</f>
        <v/>
      </c>
      <c r="E467" s="141" t="str">
        <f t="shared" si="2"/>
        <v/>
      </c>
      <c r="G467" s="103"/>
      <c r="H467" s="152"/>
      <c r="J467" s="99"/>
      <c r="K467" s="104"/>
      <c r="L467" s="99"/>
      <c r="N467" s="99"/>
      <c r="O467" s="99"/>
      <c r="P467" s="34"/>
    </row>
    <row r="468">
      <c r="A468" s="28"/>
      <c r="B468" s="103"/>
      <c r="C468" s="121" t="str">
        <f t="array" ref="C468">ifs(and(isblank($A468),isblank($B468)),"", not(iserror(vlookup($A468&amp;$B468,'3) Release_Label'!$D:$D&amp;'3) Release_Label'!$E:$E,1,0))),vlookup($A468&amp;$B468,{'3) Release_Label'!$D:$D&amp;'3) Release_Label'!$E:$E,'3) Release_Label'!$F:$F},2,0), or(and(not(isblank($B468)),$B468=$B467,$A468&lt;&gt;$A467),and(not(isblank($A468)),$A468=$A467,$B468&lt;&gt;$B467)),"ID LISTS UNALIGNED",and($A468&lt;&gt;"",countif('3) Release_Label'!$D:$D,$A468)=0),"NO UPC MATCH in Release_Label",and($B468&lt;&gt;"",countif('3) Release_Label'!$E:$E,$B468)=0),"NO CATALOG ID MATCH in Release_Label",iserror(vlookup($A468&amp;$B468,'3) Release_Label'!$D:$D&amp;'3) Release_Label'!$E:$E,1,0)),"NO UPC-CATALOG ID pair MATCH in Release_Label" )</f>
        <v/>
      </c>
      <c r="D468" s="121" t="str">
        <f t="array" ref="D468">ifs(and(isblank($A468),isblank($B468)),"", not(iserror(vlookup($A468&amp;$B468,'3) Release_Label'!$D:$D&amp;'3) Release_Label'!$E:$E,1,0))),vlookup($A468&amp;$B468,{'3) Release_Label'!$D:$D&amp;'3) Release_Label'!$E:$E,'3) Release_Label'!$H:$H},2,0), or(and(not(isblank($B468)),$B468=$B467,$A468&lt;&gt;$A467),and(not(isblank($A468)),$A468=$A467,$B468&lt;&gt;$B467)),"ID LISTS UNALIGNED",and($A468&lt;&gt;"",countif('3) Release_Label'!$D:$D,$A468)=0),"NO UPC MATCH in Release_Label",and($B468&lt;&gt;"",countif('3) Release_Label'!$E:$E,$B468)=0),"NO CATALOG ID MATCH in Release_Label",iserror(vlookup($A468&amp;$B468,'3) Release_Label'!$D:$D&amp;'3) Release_Label'!$E:$E,1,0)),"NO UPC-CATALOG ID pair MATCH in Release_Label" )</f>
        <v/>
      </c>
      <c r="E468" s="141" t="str">
        <f t="shared" si="2"/>
        <v/>
      </c>
      <c r="G468" s="103"/>
      <c r="H468" s="152"/>
      <c r="J468" s="99"/>
      <c r="K468" s="104"/>
      <c r="L468" s="99"/>
      <c r="N468" s="99"/>
      <c r="O468" s="99"/>
      <c r="P468" s="34"/>
    </row>
    <row r="469">
      <c r="A469" s="28"/>
      <c r="B469" s="103"/>
      <c r="C469" s="121" t="str">
        <f t="array" ref="C469">ifs(and(isblank($A469),isblank($B469)),"", not(iserror(vlookup($A469&amp;$B469,'3) Release_Label'!$D:$D&amp;'3) Release_Label'!$E:$E,1,0))),vlookup($A469&amp;$B469,{'3) Release_Label'!$D:$D&amp;'3) Release_Label'!$E:$E,'3) Release_Label'!$F:$F},2,0), or(and(not(isblank($B469)),$B469=$B468,$A469&lt;&gt;$A468),and(not(isblank($A469)),$A469=$A468,$B469&lt;&gt;$B468)),"ID LISTS UNALIGNED",and($A469&lt;&gt;"",countif('3) Release_Label'!$D:$D,$A469)=0),"NO UPC MATCH in Release_Label",and($B469&lt;&gt;"",countif('3) Release_Label'!$E:$E,$B469)=0),"NO CATALOG ID MATCH in Release_Label",iserror(vlookup($A469&amp;$B469,'3) Release_Label'!$D:$D&amp;'3) Release_Label'!$E:$E,1,0)),"NO UPC-CATALOG ID pair MATCH in Release_Label" )</f>
        <v/>
      </c>
      <c r="D469" s="121" t="str">
        <f t="array" ref="D469">ifs(and(isblank($A469),isblank($B469)),"", not(iserror(vlookup($A469&amp;$B469,'3) Release_Label'!$D:$D&amp;'3) Release_Label'!$E:$E,1,0))),vlookup($A469&amp;$B469,{'3) Release_Label'!$D:$D&amp;'3) Release_Label'!$E:$E,'3) Release_Label'!$H:$H},2,0), or(and(not(isblank($B469)),$B469=$B468,$A469&lt;&gt;$A468),and(not(isblank($A469)),$A469=$A468,$B469&lt;&gt;$B468)),"ID LISTS UNALIGNED",and($A469&lt;&gt;"",countif('3) Release_Label'!$D:$D,$A469)=0),"NO UPC MATCH in Release_Label",and($B469&lt;&gt;"",countif('3) Release_Label'!$E:$E,$B469)=0),"NO CATALOG ID MATCH in Release_Label",iserror(vlookup($A469&amp;$B469,'3) Release_Label'!$D:$D&amp;'3) Release_Label'!$E:$E,1,0)),"NO UPC-CATALOG ID pair MATCH in Release_Label" )</f>
        <v/>
      </c>
      <c r="E469" s="141" t="str">
        <f t="shared" si="2"/>
        <v/>
      </c>
      <c r="G469" s="103"/>
      <c r="H469" s="152"/>
      <c r="J469" s="99"/>
      <c r="K469" s="104"/>
      <c r="L469" s="99"/>
      <c r="N469" s="99"/>
      <c r="O469" s="99"/>
      <c r="P469" s="34"/>
    </row>
    <row r="470">
      <c r="A470" s="28"/>
      <c r="B470" s="103"/>
      <c r="C470" s="121" t="str">
        <f t="array" ref="C470">ifs(and(isblank($A470),isblank($B470)),"", not(iserror(vlookup($A470&amp;$B470,'3) Release_Label'!$D:$D&amp;'3) Release_Label'!$E:$E,1,0))),vlookup($A470&amp;$B470,{'3) Release_Label'!$D:$D&amp;'3) Release_Label'!$E:$E,'3) Release_Label'!$F:$F},2,0), or(and(not(isblank($B470)),$B470=$B469,$A470&lt;&gt;$A469),and(not(isblank($A470)),$A470=$A469,$B470&lt;&gt;$B469)),"ID LISTS UNALIGNED",and($A470&lt;&gt;"",countif('3) Release_Label'!$D:$D,$A470)=0),"NO UPC MATCH in Release_Label",and($B470&lt;&gt;"",countif('3) Release_Label'!$E:$E,$B470)=0),"NO CATALOG ID MATCH in Release_Label",iserror(vlookup($A470&amp;$B470,'3) Release_Label'!$D:$D&amp;'3) Release_Label'!$E:$E,1,0)),"NO UPC-CATALOG ID pair MATCH in Release_Label" )</f>
        <v/>
      </c>
      <c r="D470" s="121" t="str">
        <f t="array" ref="D470">ifs(and(isblank($A470),isblank($B470)),"", not(iserror(vlookup($A470&amp;$B470,'3) Release_Label'!$D:$D&amp;'3) Release_Label'!$E:$E,1,0))),vlookup($A470&amp;$B470,{'3) Release_Label'!$D:$D&amp;'3) Release_Label'!$E:$E,'3) Release_Label'!$H:$H},2,0), or(and(not(isblank($B470)),$B470=$B469,$A470&lt;&gt;$A469),and(not(isblank($A470)),$A470=$A469,$B470&lt;&gt;$B469)),"ID LISTS UNALIGNED",and($A470&lt;&gt;"",countif('3) Release_Label'!$D:$D,$A470)=0),"NO UPC MATCH in Release_Label",and($B470&lt;&gt;"",countif('3) Release_Label'!$E:$E,$B470)=0),"NO CATALOG ID MATCH in Release_Label",iserror(vlookup($A470&amp;$B470,'3) Release_Label'!$D:$D&amp;'3) Release_Label'!$E:$E,1,0)),"NO UPC-CATALOG ID pair MATCH in Release_Label" )</f>
        <v/>
      </c>
      <c r="E470" s="141" t="str">
        <f t="shared" si="2"/>
        <v/>
      </c>
      <c r="G470" s="103"/>
      <c r="H470" s="152"/>
      <c r="J470" s="99"/>
      <c r="K470" s="104"/>
      <c r="L470" s="99"/>
      <c r="N470" s="99"/>
      <c r="O470" s="99"/>
      <c r="P470" s="34"/>
    </row>
    <row r="471">
      <c r="A471" s="28"/>
      <c r="B471" s="103"/>
      <c r="C471" s="121" t="str">
        <f t="array" ref="C471">ifs(and(isblank($A471),isblank($B471)),"", not(iserror(vlookup($A471&amp;$B471,'3) Release_Label'!$D:$D&amp;'3) Release_Label'!$E:$E,1,0))),vlookup($A471&amp;$B471,{'3) Release_Label'!$D:$D&amp;'3) Release_Label'!$E:$E,'3) Release_Label'!$F:$F},2,0), or(and(not(isblank($B471)),$B471=$B470,$A471&lt;&gt;$A470),and(not(isblank($A471)),$A471=$A470,$B471&lt;&gt;$B470)),"ID LISTS UNALIGNED",and($A471&lt;&gt;"",countif('3) Release_Label'!$D:$D,$A471)=0),"NO UPC MATCH in Release_Label",and($B471&lt;&gt;"",countif('3) Release_Label'!$E:$E,$B471)=0),"NO CATALOG ID MATCH in Release_Label",iserror(vlookup($A471&amp;$B471,'3) Release_Label'!$D:$D&amp;'3) Release_Label'!$E:$E,1,0)),"NO UPC-CATALOG ID pair MATCH in Release_Label" )</f>
        <v/>
      </c>
      <c r="D471" s="121" t="str">
        <f t="array" ref="D471">ifs(and(isblank($A471),isblank($B471)),"", not(iserror(vlookup($A471&amp;$B471,'3) Release_Label'!$D:$D&amp;'3) Release_Label'!$E:$E,1,0))),vlookup($A471&amp;$B471,{'3) Release_Label'!$D:$D&amp;'3) Release_Label'!$E:$E,'3) Release_Label'!$H:$H},2,0), or(and(not(isblank($B471)),$B471=$B470,$A471&lt;&gt;$A470),and(not(isblank($A471)),$A471=$A470,$B471&lt;&gt;$B470)),"ID LISTS UNALIGNED",and($A471&lt;&gt;"",countif('3) Release_Label'!$D:$D,$A471)=0),"NO UPC MATCH in Release_Label",and($B471&lt;&gt;"",countif('3) Release_Label'!$E:$E,$B471)=0),"NO CATALOG ID MATCH in Release_Label",iserror(vlookup($A471&amp;$B471,'3) Release_Label'!$D:$D&amp;'3) Release_Label'!$E:$E,1,0)),"NO UPC-CATALOG ID pair MATCH in Release_Label" )</f>
        <v/>
      </c>
      <c r="E471" s="141" t="str">
        <f t="shared" si="2"/>
        <v/>
      </c>
      <c r="G471" s="103"/>
      <c r="H471" s="152"/>
      <c r="J471" s="99"/>
      <c r="K471" s="104"/>
      <c r="L471" s="99"/>
      <c r="N471" s="99"/>
      <c r="O471" s="99"/>
      <c r="P471" s="34"/>
    </row>
    <row r="472">
      <c r="A472" s="28"/>
      <c r="B472" s="103"/>
      <c r="C472" s="121" t="str">
        <f t="array" ref="C472">ifs(and(isblank($A472),isblank($B472)),"", not(iserror(vlookup($A472&amp;$B472,'3) Release_Label'!$D:$D&amp;'3) Release_Label'!$E:$E,1,0))),vlookup($A472&amp;$B472,{'3) Release_Label'!$D:$D&amp;'3) Release_Label'!$E:$E,'3) Release_Label'!$F:$F},2,0), or(and(not(isblank($B472)),$B472=$B471,$A472&lt;&gt;$A471),and(not(isblank($A472)),$A472=$A471,$B472&lt;&gt;$B471)),"ID LISTS UNALIGNED",and($A472&lt;&gt;"",countif('3) Release_Label'!$D:$D,$A472)=0),"NO UPC MATCH in Release_Label",and($B472&lt;&gt;"",countif('3) Release_Label'!$E:$E,$B472)=0),"NO CATALOG ID MATCH in Release_Label",iserror(vlookup($A472&amp;$B472,'3) Release_Label'!$D:$D&amp;'3) Release_Label'!$E:$E,1,0)),"NO UPC-CATALOG ID pair MATCH in Release_Label" )</f>
        <v/>
      </c>
      <c r="D472" s="121" t="str">
        <f t="array" ref="D472">ifs(and(isblank($A472),isblank($B472)),"", not(iserror(vlookup($A472&amp;$B472,'3) Release_Label'!$D:$D&amp;'3) Release_Label'!$E:$E,1,0))),vlookup($A472&amp;$B472,{'3) Release_Label'!$D:$D&amp;'3) Release_Label'!$E:$E,'3) Release_Label'!$H:$H},2,0), or(and(not(isblank($B472)),$B472=$B471,$A472&lt;&gt;$A471),and(not(isblank($A472)),$A472=$A471,$B472&lt;&gt;$B471)),"ID LISTS UNALIGNED",and($A472&lt;&gt;"",countif('3) Release_Label'!$D:$D,$A472)=0),"NO UPC MATCH in Release_Label",and($B472&lt;&gt;"",countif('3) Release_Label'!$E:$E,$B472)=0),"NO CATALOG ID MATCH in Release_Label",iserror(vlookup($A472&amp;$B472,'3) Release_Label'!$D:$D&amp;'3) Release_Label'!$E:$E,1,0)),"NO UPC-CATALOG ID pair MATCH in Release_Label" )</f>
        <v/>
      </c>
      <c r="E472" s="141" t="str">
        <f t="shared" si="2"/>
        <v/>
      </c>
      <c r="G472" s="103"/>
      <c r="H472" s="152"/>
      <c r="J472" s="99"/>
      <c r="K472" s="104"/>
      <c r="L472" s="99"/>
      <c r="N472" s="99"/>
      <c r="O472" s="99"/>
      <c r="P472" s="34"/>
    </row>
    <row r="473">
      <c r="A473" s="28"/>
      <c r="B473" s="103"/>
      <c r="C473" s="121" t="str">
        <f t="array" ref="C473">ifs(and(isblank($A473),isblank($B473)),"", not(iserror(vlookup($A473&amp;$B473,'3) Release_Label'!$D:$D&amp;'3) Release_Label'!$E:$E,1,0))),vlookup($A473&amp;$B473,{'3) Release_Label'!$D:$D&amp;'3) Release_Label'!$E:$E,'3) Release_Label'!$F:$F},2,0), or(and(not(isblank($B473)),$B473=$B472,$A473&lt;&gt;$A472),and(not(isblank($A473)),$A473=$A472,$B473&lt;&gt;$B472)),"ID LISTS UNALIGNED",and($A473&lt;&gt;"",countif('3) Release_Label'!$D:$D,$A473)=0),"NO UPC MATCH in Release_Label",and($B473&lt;&gt;"",countif('3) Release_Label'!$E:$E,$B473)=0),"NO CATALOG ID MATCH in Release_Label",iserror(vlookup($A473&amp;$B473,'3) Release_Label'!$D:$D&amp;'3) Release_Label'!$E:$E,1,0)),"NO UPC-CATALOG ID pair MATCH in Release_Label" )</f>
        <v/>
      </c>
      <c r="D473" s="121" t="str">
        <f t="array" ref="D473">ifs(and(isblank($A473),isblank($B473)),"", not(iserror(vlookup($A473&amp;$B473,'3) Release_Label'!$D:$D&amp;'3) Release_Label'!$E:$E,1,0))),vlookup($A473&amp;$B473,{'3) Release_Label'!$D:$D&amp;'3) Release_Label'!$E:$E,'3) Release_Label'!$H:$H},2,0), or(and(not(isblank($B473)),$B473=$B472,$A473&lt;&gt;$A472),and(not(isblank($A473)),$A473=$A472,$B473&lt;&gt;$B472)),"ID LISTS UNALIGNED",and($A473&lt;&gt;"",countif('3) Release_Label'!$D:$D,$A473)=0),"NO UPC MATCH in Release_Label",and($B473&lt;&gt;"",countif('3) Release_Label'!$E:$E,$B473)=0),"NO CATALOG ID MATCH in Release_Label",iserror(vlookup($A473&amp;$B473,'3) Release_Label'!$D:$D&amp;'3) Release_Label'!$E:$E,1,0)),"NO UPC-CATALOG ID pair MATCH in Release_Label" )</f>
        <v/>
      </c>
      <c r="E473" s="141" t="str">
        <f t="shared" si="2"/>
        <v/>
      </c>
      <c r="G473" s="103"/>
      <c r="H473" s="152"/>
      <c r="J473" s="99"/>
      <c r="K473" s="104"/>
      <c r="L473" s="99"/>
      <c r="N473" s="99"/>
      <c r="O473" s="99"/>
      <c r="P473" s="34"/>
    </row>
    <row r="474">
      <c r="A474" s="28"/>
      <c r="B474" s="103"/>
      <c r="C474" s="121" t="str">
        <f t="array" ref="C474">ifs(and(isblank($A474),isblank($B474)),"", not(iserror(vlookup($A474&amp;$B474,'3) Release_Label'!$D:$D&amp;'3) Release_Label'!$E:$E,1,0))),vlookup($A474&amp;$B474,{'3) Release_Label'!$D:$D&amp;'3) Release_Label'!$E:$E,'3) Release_Label'!$F:$F},2,0), or(and(not(isblank($B474)),$B474=$B473,$A474&lt;&gt;$A473),and(not(isblank($A474)),$A474=$A473,$B474&lt;&gt;$B473)),"ID LISTS UNALIGNED",and($A474&lt;&gt;"",countif('3) Release_Label'!$D:$D,$A474)=0),"NO UPC MATCH in Release_Label",and($B474&lt;&gt;"",countif('3) Release_Label'!$E:$E,$B474)=0),"NO CATALOG ID MATCH in Release_Label",iserror(vlookup($A474&amp;$B474,'3) Release_Label'!$D:$D&amp;'3) Release_Label'!$E:$E,1,0)),"NO UPC-CATALOG ID pair MATCH in Release_Label" )</f>
        <v/>
      </c>
      <c r="D474" s="121" t="str">
        <f t="array" ref="D474">ifs(and(isblank($A474),isblank($B474)),"", not(iserror(vlookup($A474&amp;$B474,'3) Release_Label'!$D:$D&amp;'3) Release_Label'!$E:$E,1,0))),vlookup($A474&amp;$B474,{'3) Release_Label'!$D:$D&amp;'3) Release_Label'!$E:$E,'3) Release_Label'!$H:$H},2,0), or(and(not(isblank($B474)),$B474=$B473,$A474&lt;&gt;$A473),and(not(isblank($A474)),$A474=$A473,$B474&lt;&gt;$B473)),"ID LISTS UNALIGNED",and($A474&lt;&gt;"",countif('3) Release_Label'!$D:$D,$A474)=0),"NO UPC MATCH in Release_Label",and($B474&lt;&gt;"",countif('3) Release_Label'!$E:$E,$B474)=0),"NO CATALOG ID MATCH in Release_Label",iserror(vlookup($A474&amp;$B474,'3) Release_Label'!$D:$D&amp;'3) Release_Label'!$E:$E,1,0)),"NO UPC-CATALOG ID pair MATCH in Release_Label" )</f>
        <v/>
      </c>
      <c r="E474" s="141" t="str">
        <f t="shared" si="2"/>
        <v/>
      </c>
      <c r="G474" s="103"/>
      <c r="H474" s="152"/>
      <c r="J474" s="99"/>
      <c r="K474" s="104"/>
      <c r="L474" s="99"/>
      <c r="N474" s="99"/>
      <c r="O474" s="99"/>
      <c r="P474" s="34"/>
    </row>
    <row r="475">
      <c r="A475" s="28"/>
      <c r="B475" s="103"/>
      <c r="C475" s="121" t="str">
        <f t="array" ref="C475">ifs(and(isblank($A475),isblank($B475)),"", not(iserror(vlookup($A475&amp;$B475,'3) Release_Label'!$D:$D&amp;'3) Release_Label'!$E:$E,1,0))),vlookup($A475&amp;$B475,{'3) Release_Label'!$D:$D&amp;'3) Release_Label'!$E:$E,'3) Release_Label'!$F:$F},2,0), or(and(not(isblank($B475)),$B475=$B474,$A475&lt;&gt;$A474),and(not(isblank($A475)),$A475=$A474,$B475&lt;&gt;$B474)),"ID LISTS UNALIGNED",and($A475&lt;&gt;"",countif('3) Release_Label'!$D:$D,$A475)=0),"NO UPC MATCH in Release_Label",and($B475&lt;&gt;"",countif('3) Release_Label'!$E:$E,$B475)=0),"NO CATALOG ID MATCH in Release_Label",iserror(vlookup($A475&amp;$B475,'3) Release_Label'!$D:$D&amp;'3) Release_Label'!$E:$E,1,0)),"NO UPC-CATALOG ID pair MATCH in Release_Label" )</f>
        <v/>
      </c>
      <c r="D475" s="121" t="str">
        <f t="array" ref="D475">ifs(and(isblank($A475),isblank($B475)),"", not(iserror(vlookup($A475&amp;$B475,'3) Release_Label'!$D:$D&amp;'3) Release_Label'!$E:$E,1,0))),vlookup($A475&amp;$B475,{'3) Release_Label'!$D:$D&amp;'3) Release_Label'!$E:$E,'3) Release_Label'!$H:$H},2,0), or(and(not(isblank($B475)),$B475=$B474,$A475&lt;&gt;$A474),and(not(isblank($A475)),$A475=$A474,$B475&lt;&gt;$B474)),"ID LISTS UNALIGNED",and($A475&lt;&gt;"",countif('3) Release_Label'!$D:$D,$A475)=0),"NO UPC MATCH in Release_Label",and($B475&lt;&gt;"",countif('3) Release_Label'!$E:$E,$B475)=0),"NO CATALOG ID MATCH in Release_Label",iserror(vlookup($A475&amp;$B475,'3) Release_Label'!$D:$D&amp;'3) Release_Label'!$E:$E,1,0)),"NO UPC-CATALOG ID pair MATCH in Release_Label" )</f>
        <v/>
      </c>
      <c r="E475" s="141" t="str">
        <f t="shared" si="2"/>
        <v/>
      </c>
      <c r="G475" s="103"/>
      <c r="H475" s="152"/>
      <c r="J475" s="99"/>
      <c r="K475" s="104"/>
      <c r="L475" s="99"/>
      <c r="N475" s="99"/>
      <c r="O475" s="99"/>
      <c r="P475" s="34"/>
    </row>
    <row r="476">
      <c r="A476" s="28"/>
      <c r="B476" s="103"/>
      <c r="C476" s="121" t="str">
        <f t="array" ref="C476">ifs(and(isblank($A476),isblank($B476)),"", not(iserror(vlookup($A476&amp;$B476,'3) Release_Label'!$D:$D&amp;'3) Release_Label'!$E:$E,1,0))),vlookup($A476&amp;$B476,{'3) Release_Label'!$D:$D&amp;'3) Release_Label'!$E:$E,'3) Release_Label'!$F:$F},2,0), or(and(not(isblank($B476)),$B476=$B475,$A476&lt;&gt;$A475),and(not(isblank($A476)),$A476=$A475,$B476&lt;&gt;$B475)),"ID LISTS UNALIGNED",and($A476&lt;&gt;"",countif('3) Release_Label'!$D:$D,$A476)=0),"NO UPC MATCH in Release_Label",and($B476&lt;&gt;"",countif('3) Release_Label'!$E:$E,$B476)=0),"NO CATALOG ID MATCH in Release_Label",iserror(vlookup($A476&amp;$B476,'3) Release_Label'!$D:$D&amp;'3) Release_Label'!$E:$E,1,0)),"NO UPC-CATALOG ID pair MATCH in Release_Label" )</f>
        <v/>
      </c>
      <c r="D476" s="121" t="str">
        <f t="array" ref="D476">ifs(and(isblank($A476),isblank($B476)),"", not(iserror(vlookup($A476&amp;$B476,'3) Release_Label'!$D:$D&amp;'3) Release_Label'!$E:$E,1,0))),vlookup($A476&amp;$B476,{'3) Release_Label'!$D:$D&amp;'3) Release_Label'!$E:$E,'3) Release_Label'!$H:$H},2,0), or(and(not(isblank($B476)),$B476=$B475,$A476&lt;&gt;$A475),and(not(isblank($A476)),$A476=$A475,$B476&lt;&gt;$B475)),"ID LISTS UNALIGNED",and($A476&lt;&gt;"",countif('3) Release_Label'!$D:$D,$A476)=0),"NO UPC MATCH in Release_Label",and($B476&lt;&gt;"",countif('3) Release_Label'!$E:$E,$B476)=0),"NO CATALOG ID MATCH in Release_Label",iserror(vlookup($A476&amp;$B476,'3) Release_Label'!$D:$D&amp;'3) Release_Label'!$E:$E,1,0)),"NO UPC-CATALOG ID pair MATCH in Release_Label" )</f>
        <v/>
      </c>
      <c r="E476" s="141" t="str">
        <f t="shared" si="2"/>
        <v/>
      </c>
      <c r="G476" s="103"/>
      <c r="H476" s="152"/>
      <c r="J476" s="99"/>
      <c r="K476" s="104"/>
      <c r="L476" s="99"/>
      <c r="N476" s="99"/>
      <c r="O476" s="99"/>
      <c r="P476" s="34"/>
    </row>
    <row r="477">
      <c r="A477" s="28"/>
      <c r="B477" s="103"/>
      <c r="C477" s="121" t="str">
        <f t="array" ref="C477">ifs(and(isblank($A477),isblank($B477)),"", not(iserror(vlookup($A477&amp;$B477,'3) Release_Label'!$D:$D&amp;'3) Release_Label'!$E:$E,1,0))),vlookup($A477&amp;$B477,{'3) Release_Label'!$D:$D&amp;'3) Release_Label'!$E:$E,'3) Release_Label'!$F:$F},2,0), or(and(not(isblank($B477)),$B477=$B476,$A477&lt;&gt;$A476),and(not(isblank($A477)),$A477=$A476,$B477&lt;&gt;$B476)),"ID LISTS UNALIGNED",and($A477&lt;&gt;"",countif('3) Release_Label'!$D:$D,$A477)=0),"NO UPC MATCH in Release_Label",and($B477&lt;&gt;"",countif('3) Release_Label'!$E:$E,$B477)=0),"NO CATALOG ID MATCH in Release_Label",iserror(vlookup($A477&amp;$B477,'3) Release_Label'!$D:$D&amp;'3) Release_Label'!$E:$E,1,0)),"NO UPC-CATALOG ID pair MATCH in Release_Label" )</f>
        <v/>
      </c>
      <c r="D477" s="121" t="str">
        <f t="array" ref="D477">ifs(and(isblank($A477),isblank($B477)),"", not(iserror(vlookup($A477&amp;$B477,'3) Release_Label'!$D:$D&amp;'3) Release_Label'!$E:$E,1,0))),vlookup($A477&amp;$B477,{'3) Release_Label'!$D:$D&amp;'3) Release_Label'!$E:$E,'3) Release_Label'!$H:$H},2,0), or(and(not(isblank($B477)),$B477=$B476,$A477&lt;&gt;$A476),and(not(isblank($A477)),$A477=$A476,$B477&lt;&gt;$B476)),"ID LISTS UNALIGNED",and($A477&lt;&gt;"",countif('3) Release_Label'!$D:$D,$A477)=0),"NO UPC MATCH in Release_Label",and($B477&lt;&gt;"",countif('3) Release_Label'!$E:$E,$B477)=0),"NO CATALOG ID MATCH in Release_Label",iserror(vlookup($A477&amp;$B477,'3) Release_Label'!$D:$D&amp;'3) Release_Label'!$E:$E,1,0)),"NO UPC-CATALOG ID pair MATCH in Release_Label" )</f>
        <v/>
      </c>
      <c r="E477" s="141" t="str">
        <f t="shared" si="2"/>
        <v/>
      </c>
      <c r="G477" s="103"/>
      <c r="H477" s="152"/>
      <c r="J477" s="99"/>
      <c r="K477" s="104"/>
      <c r="L477" s="99"/>
      <c r="N477" s="99"/>
      <c r="O477" s="99"/>
      <c r="P477" s="34"/>
    </row>
    <row r="478">
      <c r="A478" s="28"/>
      <c r="B478" s="103"/>
      <c r="C478" s="121" t="str">
        <f t="array" ref="C478">ifs(and(isblank($A478),isblank($B478)),"", not(iserror(vlookup($A478&amp;$B478,'3) Release_Label'!$D:$D&amp;'3) Release_Label'!$E:$E,1,0))),vlookup($A478&amp;$B478,{'3) Release_Label'!$D:$D&amp;'3) Release_Label'!$E:$E,'3) Release_Label'!$F:$F},2,0), or(and(not(isblank($B478)),$B478=$B477,$A478&lt;&gt;$A477),and(not(isblank($A478)),$A478=$A477,$B478&lt;&gt;$B477)),"ID LISTS UNALIGNED",and($A478&lt;&gt;"",countif('3) Release_Label'!$D:$D,$A478)=0),"NO UPC MATCH in Release_Label",and($B478&lt;&gt;"",countif('3) Release_Label'!$E:$E,$B478)=0),"NO CATALOG ID MATCH in Release_Label",iserror(vlookup($A478&amp;$B478,'3) Release_Label'!$D:$D&amp;'3) Release_Label'!$E:$E,1,0)),"NO UPC-CATALOG ID pair MATCH in Release_Label" )</f>
        <v/>
      </c>
      <c r="D478" s="121" t="str">
        <f t="array" ref="D478">ifs(and(isblank($A478),isblank($B478)),"", not(iserror(vlookup($A478&amp;$B478,'3) Release_Label'!$D:$D&amp;'3) Release_Label'!$E:$E,1,0))),vlookup($A478&amp;$B478,{'3) Release_Label'!$D:$D&amp;'3) Release_Label'!$E:$E,'3) Release_Label'!$H:$H},2,0), or(and(not(isblank($B478)),$B478=$B477,$A478&lt;&gt;$A477),and(not(isblank($A478)),$A478=$A477,$B478&lt;&gt;$B477)),"ID LISTS UNALIGNED",and($A478&lt;&gt;"",countif('3) Release_Label'!$D:$D,$A478)=0),"NO UPC MATCH in Release_Label",and($B478&lt;&gt;"",countif('3) Release_Label'!$E:$E,$B478)=0),"NO CATALOG ID MATCH in Release_Label",iserror(vlookup($A478&amp;$B478,'3) Release_Label'!$D:$D&amp;'3) Release_Label'!$E:$E,1,0)),"NO UPC-CATALOG ID pair MATCH in Release_Label" )</f>
        <v/>
      </c>
      <c r="E478" s="141" t="str">
        <f t="shared" si="2"/>
        <v/>
      </c>
      <c r="G478" s="103"/>
      <c r="H478" s="152"/>
      <c r="J478" s="99"/>
      <c r="K478" s="104"/>
      <c r="L478" s="99"/>
      <c r="N478" s="99"/>
      <c r="O478" s="99"/>
      <c r="P478" s="34"/>
    </row>
    <row r="479">
      <c r="A479" s="28"/>
      <c r="B479" s="103"/>
      <c r="C479" s="121" t="str">
        <f t="array" ref="C479">ifs(and(isblank($A479),isblank($B479)),"", not(iserror(vlookup($A479&amp;$B479,'3) Release_Label'!$D:$D&amp;'3) Release_Label'!$E:$E,1,0))),vlookup($A479&amp;$B479,{'3) Release_Label'!$D:$D&amp;'3) Release_Label'!$E:$E,'3) Release_Label'!$F:$F},2,0), or(and(not(isblank($B479)),$B479=$B478,$A479&lt;&gt;$A478),and(not(isblank($A479)),$A479=$A478,$B479&lt;&gt;$B478)),"ID LISTS UNALIGNED",and($A479&lt;&gt;"",countif('3) Release_Label'!$D:$D,$A479)=0),"NO UPC MATCH in Release_Label",and($B479&lt;&gt;"",countif('3) Release_Label'!$E:$E,$B479)=0),"NO CATALOG ID MATCH in Release_Label",iserror(vlookup($A479&amp;$B479,'3) Release_Label'!$D:$D&amp;'3) Release_Label'!$E:$E,1,0)),"NO UPC-CATALOG ID pair MATCH in Release_Label" )</f>
        <v/>
      </c>
      <c r="D479" s="121" t="str">
        <f t="array" ref="D479">ifs(and(isblank($A479),isblank($B479)),"", not(iserror(vlookup($A479&amp;$B479,'3) Release_Label'!$D:$D&amp;'3) Release_Label'!$E:$E,1,0))),vlookup($A479&amp;$B479,{'3) Release_Label'!$D:$D&amp;'3) Release_Label'!$E:$E,'3) Release_Label'!$H:$H},2,0), or(and(not(isblank($B479)),$B479=$B478,$A479&lt;&gt;$A478),and(not(isblank($A479)),$A479=$A478,$B479&lt;&gt;$B478)),"ID LISTS UNALIGNED",and($A479&lt;&gt;"",countif('3) Release_Label'!$D:$D,$A479)=0),"NO UPC MATCH in Release_Label",and($B479&lt;&gt;"",countif('3) Release_Label'!$E:$E,$B479)=0),"NO CATALOG ID MATCH in Release_Label",iserror(vlookup($A479&amp;$B479,'3) Release_Label'!$D:$D&amp;'3) Release_Label'!$E:$E,1,0)),"NO UPC-CATALOG ID pair MATCH in Release_Label" )</f>
        <v/>
      </c>
      <c r="E479" s="141" t="str">
        <f t="shared" si="2"/>
        <v/>
      </c>
      <c r="G479" s="103"/>
      <c r="H479" s="152"/>
      <c r="J479" s="99"/>
      <c r="K479" s="104"/>
      <c r="L479" s="99"/>
      <c r="N479" s="99"/>
      <c r="O479" s="99"/>
      <c r="P479" s="34"/>
    </row>
    <row r="480">
      <c r="A480" s="28"/>
      <c r="B480" s="103"/>
      <c r="C480" s="121" t="str">
        <f t="array" ref="C480">ifs(and(isblank($A480),isblank($B480)),"", not(iserror(vlookup($A480&amp;$B480,'3) Release_Label'!$D:$D&amp;'3) Release_Label'!$E:$E,1,0))),vlookup($A480&amp;$B480,{'3) Release_Label'!$D:$D&amp;'3) Release_Label'!$E:$E,'3) Release_Label'!$F:$F},2,0), or(and(not(isblank($B480)),$B480=$B479,$A480&lt;&gt;$A479),and(not(isblank($A480)),$A480=$A479,$B480&lt;&gt;$B479)),"ID LISTS UNALIGNED",and($A480&lt;&gt;"",countif('3) Release_Label'!$D:$D,$A480)=0),"NO UPC MATCH in Release_Label",and($B480&lt;&gt;"",countif('3) Release_Label'!$E:$E,$B480)=0),"NO CATALOG ID MATCH in Release_Label",iserror(vlookup($A480&amp;$B480,'3) Release_Label'!$D:$D&amp;'3) Release_Label'!$E:$E,1,0)),"NO UPC-CATALOG ID pair MATCH in Release_Label" )</f>
        <v/>
      </c>
      <c r="D480" s="121" t="str">
        <f t="array" ref="D480">ifs(and(isblank($A480),isblank($B480)),"", not(iserror(vlookup($A480&amp;$B480,'3) Release_Label'!$D:$D&amp;'3) Release_Label'!$E:$E,1,0))),vlookup($A480&amp;$B480,{'3) Release_Label'!$D:$D&amp;'3) Release_Label'!$E:$E,'3) Release_Label'!$H:$H},2,0), or(and(not(isblank($B480)),$B480=$B479,$A480&lt;&gt;$A479),and(not(isblank($A480)),$A480=$A479,$B480&lt;&gt;$B479)),"ID LISTS UNALIGNED",and($A480&lt;&gt;"",countif('3) Release_Label'!$D:$D,$A480)=0),"NO UPC MATCH in Release_Label",and($B480&lt;&gt;"",countif('3) Release_Label'!$E:$E,$B480)=0),"NO CATALOG ID MATCH in Release_Label",iserror(vlookup($A480&amp;$B480,'3) Release_Label'!$D:$D&amp;'3) Release_Label'!$E:$E,1,0)),"NO UPC-CATALOG ID pair MATCH in Release_Label" )</f>
        <v/>
      </c>
      <c r="E480" s="141" t="str">
        <f t="shared" si="2"/>
        <v/>
      </c>
      <c r="G480" s="103"/>
      <c r="H480" s="152"/>
      <c r="J480" s="99"/>
      <c r="K480" s="104"/>
      <c r="L480" s="99"/>
      <c r="N480" s="99"/>
      <c r="O480" s="99"/>
      <c r="P480" s="34"/>
    </row>
    <row r="481">
      <c r="A481" s="28"/>
      <c r="B481" s="103"/>
      <c r="C481" s="121" t="str">
        <f t="array" ref="C481">ifs(and(isblank($A481),isblank($B481)),"", not(iserror(vlookup($A481&amp;$B481,'3) Release_Label'!$D:$D&amp;'3) Release_Label'!$E:$E,1,0))),vlookup($A481&amp;$B481,{'3) Release_Label'!$D:$D&amp;'3) Release_Label'!$E:$E,'3) Release_Label'!$F:$F},2,0), or(and(not(isblank($B481)),$B481=$B480,$A481&lt;&gt;$A480),and(not(isblank($A481)),$A481=$A480,$B481&lt;&gt;$B480)),"ID LISTS UNALIGNED",and($A481&lt;&gt;"",countif('3) Release_Label'!$D:$D,$A481)=0),"NO UPC MATCH in Release_Label",and($B481&lt;&gt;"",countif('3) Release_Label'!$E:$E,$B481)=0),"NO CATALOG ID MATCH in Release_Label",iserror(vlookup($A481&amp;$B481,'3) Release_Label'!$D:$D&amp;'3) Release_Label'!$E:$E,1,0)),"NO UPC-CATALOG ID pair MATCH in Release_Label" )</f>
        <v/>
      </c>
      <c r="D481" s="121" t="str">
        <f t="array" ref="D481">ifs(and(isblank($A481),isblank($B481)),"", not(iserror(vlookup($A481&amp;$B481,'3) Release_Label'!$D:$D&amp;'3) Release_Label'!$E:$E,1,0))),vlookup($A481&amp;$B481,{'3) Release_Label'!$D:$D&amp;'3) Release_Label'!$E:$E,'3) Release_Label'!$H:$H},2,0), or(and(not(isblank($B481)),$B481=$B480,$A481&lt;&gt;$A480),and(not(isblank($A481)),$A481=$A480,$B481&lt;&gt;$B480)),"ID LISTS UNALIGNED",and($A481&lt;&gt;"",countif('3) Release_Label'!$D:$D,$A481)=0),"NO UPC MATCH in Release_Label",and($B481&lt;&gt;"",countif('3) Release_Label'!$E:$E,$B481)=0),"NO CATALOG ID MATCH in Release_Label",iserror(vlookup($A481&amp;$B481,'3) Release_Label'!$D:$D&amp;'3) Release_Label'!$E:$E,1,0)),"NO UPC-CATALOG ID pair MATCH in Release_Label" )</f>
        <v/>
      </c>
      <c r="E481" s="141" t="str">
        <f t="shared" si="2"/>
        <v/>
      </c>
      <c r="G481" s="103"/>
      <c r="H481" s="152"/>
      <c r="J481" s="99"/>
      <c r="K481" s="104"/>
      <c r="L481" s="99"/>
      <c r="N481" s="99"/>
      <c r="O481" s="99"/>
      <c r="P481" s="34"/>
    </row>
    <row r="482">
      <c r="A482" s="28"/>
      <c r="B482" s="103"/>
      <c r="C482" s="121" t="str">
        <f t="array" ref="C482">ifs(and(isblank($A482),isblank($B482)),"", not(iserror(vlookup($A482&amp;$B482,'3) Release_Label'!$D:$D&amp;'3) Release_Label'!$E:$E,1,0))),vlookup($A482&amp;$B482,{'3) Release_Label'!$D:$D&amp;'3) Release_Label'!$E:$E,'3) Release_Label'!$F:$F},2,0), or(and(not(isblank($B482)),$B482=$B481,$A482&lt;&gt;$A481),and(not(isblank($A482)),$A482=$A481,$B482&lt;&gt;$B481)),"ID LISTS UNALIGNED",and($A482&lt;&gt;"",countif('3) Release_Label'!$D:$D,$A482)=0),"NO UPC MATCH in Release_Label",and($B482&lt;&gt;"",countif('3) Release_Label'!$E:$E,$B482)=0),"NO CATALOG ID MATCH in Release_Label",iserror(vlookup($A482&amp;$B482,'3) Release_Label'!$D:$D&amp;'3) Release_Label'!$E:$E,1,0)),"NO UPC-CATALOG ID pair MATCH in Release_Label" )</f>
        <v/>
      </c>
      <c r="D482" s="121" t="str">
        <f t="array" ref="D482">ifs(and(isblank($A482),isblank($B482)),"", not(iserror(vlookup($A482&amp;$B482,'3) Release_Label'!$D:$D&amp;'3) Release_Label'!$E:$E,1,0))),vlookup($A482&amp;$B482,{'3) Release_Label'!$D:$D&amp;'3) Release_Label'!$E:$E,'3) Release_Label'!$H:$H},2,0), or(and(not(isblank($B482)),$B482=$B481,$A482&lt;&gt;$A481),and(not(isblank($A482)),$A482=$A481,$B482&lt;&gt;$B481)),"ID LISTS UNALIGNED",and($A482&lt;&gt;"",countif('3) Release_Label'!$D:$D,$A482)=0),"NO UPC MATCH in Release_Label",and($B482&lt;&gt;"",countif('3) Release_Label'!$E:$E,$B482)=0),"NO CATALOG ID MATCH in Release_Label",iserror(vlookup($A482&amp;$B482,'3) Release_Label'!$D:$D&amp;'3) Release_Label'!$E:$E,1,0)),"NO UPC-CATALOG ID pair MATCH in Release_Label" )</f>
        <v/>
      </c>
      <c r="E482" s="141" t="str">
        <f t="shared" si="2"/>
        <v/>
      </c>
      <c r="G482" s="103"/>
      <c r="H482" s="152"/>
      <c r="J482" s="99"/>
      <c r="K482" s="104"/>
      <c r="L482" s="99"/>
      <c r="N482" s="99"/>
      <c r="O482" s="99"/>
      <c r="P482" s="34"/>
    </row>
    <row r="483">
      <c r="A483" s="28"/>
      <c r="B483" s="103"/>
      <c r="C483" s="121" t="str">
        <f t="array" ref="C483">ifs(and(isblank($A483),isblank($B483)),"", not(iserror(vlookup($A483&amp;$B483,'3) Release_Label'!$D:$D&amp;'3) Release_Label'!$E:$E,1,0))),vlookup($A483&amp;$B483,{'3) Release_Label'!$D:$D&amp;'3) Release_Label'!$E:$E,'3) Release_Label'!$F:$F},2,0), or(and(not(isblank($B483)),$B483=$B482,$A483&lt;&gt;$A482),and(not(isblank($A483)),$A483=$A482,$B483&lt;&gt;$B482)),"ID LISTS UNALIGNED",and($A483&lt;&gt;"",countif('3) Release_Label'!$D:$D,$A483)=0),"NO UPC MATCH in Release_Label",and($B483&lt;&gt;"",countif('3) Release_Label'!$E:$E,$B483)=0),"NO CATALOG ID MATCH in Release_Label",iserror(vlookup($A483&amp;$B483,'3) Release_Label'!$D:$D&amp;'3) Release_Label'!$E:$E,1,0)),"NO UPC-CATALOG ID pair MATCH in Release_Label" )</f>
        <v/>
      </c>
      <c r="D483" s="121" t="str">
        <f t="array" ref="D483">ifs(and(isblank($A483),isblank($B483)),"", not(iserror(vlookup($A483&amp;$B483,'3) Release_Label'!$D:$D&amp;'3) Release_Label'!$E:$E,1,0))),vlookup($A483&amp;$B483,{'3) Release_Label'!$D:$D&amp;'3) Release_Label'!$E:$E,'3) Release_Label'!$H:$H},2,0), or(and(not(isblank($B483)),$B483=$B482,$A483&lt;&gt;$A482),and(not(isblank($A483)),$A483=$A482,$B483&lt;&gt;$B482)),"ID LISTS UNALIGNED",and($A483&lt;&gt;"",countif('3) Release_Label'!$D:$D,$A483)=0),"NO UPC MATCH in Release_Label",and($B483&lt;&gt;"",countif('3) Release_Label'!$E:$E,$B483)=0),"NO CATALOG ID MATCH in Release_Label",iserror(vlookup($A483&amp;$B483,'3) Release_Label'!$D:$D&amp;'3) Release_Label'!$E:$E,1,0)),"NO UPC-CATALOG ID pair MATCH in Release_Label" )</f>
        <v/>
      </c>
      <c r="E483" s="141" t="str">
        <f t="shared" si="2"/>
        <v/>
      </c>
      <c r="G483" s="103"/>
      <c r="H483" s="152"/>
      <c r="J483" s="99"/>
      <c r="K483" s="104"/>
      <c r="L483" s="99"/>
      <c r="N483" s="99"/>
      <c r="O483" s="99"/>
      <c r="P483" s="34"/>
    </row>
    <row r="484">
      <c r="A484" s="28"/>
      <c r="B484" s="103"/>
      <c r="C484" s="121" t="str">
        <f t="array" ref="C484">ifs(and(isblank($A484),isblank($B484)),"", not(iserror(vlookup($A484&amp;$B484,'3) Release_Label'!$D:$D&amp;'3) Release_Label'!$E:$E,1,0))),vlookup($A484&amp;$B484,{'3) Release_Label'!$D:$D&amp;'3) Release_Label'!$E:$E,'3) Release_Label'!$F:$F},2,0), or(and(not(isblank($B484)),$B484=$B483,$A484&lt;&gt;$A483),and(not(isblank($A484)),$A484=$A483,$B484&lt;&gt;$B483)),"ID LISTS UNALIGNED",and($A484&lt;&gt;"",countif('3) Release_Label'!$D:$D,$A484)=0),"NO UPC MATCH in Release_Label",and($B484&lt;&gt;"",countif('3) Release_Label'!$E:$E,$B484)=0),"NO CATALOG ID MATCH in Release_Label",iserror(vlookup($A484&amp;$B484,'3) Release_Label'!$D:$D&amp;'3) Release_Label'!$E:$E,1,0)),"NO UPC-CATALOG ID pair MATCH in Release_Label" )</f>
        <v/>
      </c>
      <c r="D484" s="121" t="str">
        <f t="array" ref="D484">ifs(and(isblank($A484),isblank($B484)),"", not(iserror(vlookup($A484&amp;$B484,'3) Release_Label'!$D:$D&amp;'3) Release_Label'!$E:$E,1,0))),vlookup($A484&amp;$B484,{'3) Release_Label'!$D:$D&amp;'3) Release_Label'!$E:$E,'3) Release_Label'!$H:$H},2,0), or(and(not(isblank($B484)),$B484=$B483,$A484&lt;&gt;$A483),and(not(isblank($A484)),$A484=$A483,$B484&lt;&gt;$B483)),"ID LISTS UNALIGNED",and($A484&lt;&gt;"",countif('3) Release_Label'!$D:$D,$A484)=0),"NO UPC MATCH in Release_Label",and($B484&lt;&gt;"",countif('3) Release_Label'!$E:$E,$B484)=0),"NO CATALOG ID MATCH in Release_Label",iserror(vlookup($A484&amp;$B484,'3) Release_Label'!$D:$D&amp;'3) Release_Label'!$E:$E,1,0)),"NO UPC-CATALOG ID pair MATCH in Release_Label" )</f>
        <v/>
      </c>
      <c r="E484" s="141" t="str">
        <f t="shared" si="2"/>
        <v/>
      </c>
      <c r="G484" s="103"/>
      <c r="H484" s="152"/>
      <c r="J484" s="99"/>
      <c r="K484" s="104"/>
      <c r="L484" s="99"/>
      <c r="N484" s="99"/>
      <c r="O484" s="99"/>
      <c r="P484" s="34"/>
    </row>
    <row r="485">
      <c r="A485" s="28"/>
      <c r="B485" s="103"/>
      <c r="C485" s="121" t="str">
        <f t="array" ref="C485">ifs(and(isblank($A485),isblank($B485)),"", not(iserror(vlookup($A485&amp;$B485,'3) Release_Label'!$D:$D&amp;'3) Release_Label'!$E:$E,1,0))),vlookup($A485&amp;$B485,{'3) Release_Label'!$D:$D&amp;'3) Release_Label'!$E:$E,'3) Release_Label'!$F:$F},2,0), or(and(not(isblank($B485)),$B485=$B484,$A485&lt;&gt;$A484),and(not(isblank($A485)),$A485=$A484,$B485&lt;&gt;$B484)),"ID LISTS UNALIGNED",and($A485&lt;&gt;"",countif('3) Release_Label'!$D:$D,$A485)=0),"NO UPC MATCH in Release_Label",and($B485&lt;&gt;"",countif('3) Release_Label'!$E:$E,$B485)=0),"NO CATALOG ID MATCH in Release_Label",iserror(vlookup($A485&amp;$B485,'3) Release_Label'!$D:$D&amp;'3) Release_Label'!$E:$E,1,0)),"NO UPC-CATALOG ID pair MATCH in Release_Label" )</f>
        <v/>
      </c>
      <c r="D485" s="121" t="str">
        <f t="array" ref="D485">ifs(and(isblank($A485),isblank($B485)),"", not(iserror(vlookup($A485&amp;$B485,'3) Release_Label'!$D:$D&amp;'3) Release_Label'!$E:$E,1,0))),vlookup($A485&amp;$B485,{'3) Release_Label'!$D:$D&amp;'3) Release_Label'!$E:$E,'3) Release_Label'!$H:$H},2,0), or(and(not(isblank($B485)),$B485=$B484,$A485&lt;&gt;$A484),and(not(isblank($A485)),$A485=$A484,$B485&lt;&gt;$B484)),"ID LISTS UNALIGNED",and($A485&lt;&gt;"",countif('3) Release_Label'!$D:$D,$A485)=0),"NO UPC MATCH in Release_Label",and($B485&lt;&gt;"",countif('3) Release_Label'!$E:$E,$B485)=0),"NO CATALOG ID MATCH in Release_Label",iserror(vlookup($A485&amp;$B485,'3) Release_Label'!$D:$D&amp;'3) Release_Label'!$E:$E,1,0)),"NO UPC-CATALOG ID pair MATCH in Release_Label" )</f>
        <v/>
      </c>
      <c r="E485" s="141" t="str">
        <f t="shared" si="2"/>
        <v/>
      </c>
      <c r="G485" s="103"/>
      <c r="H485" s="152"/>
      <c r="J485" s="99"/>
      <c r="K485" s="104"/>
      <c r="L485" s="99"/>
      <c r="N485" s="99"/>
      <c r="O485" s="99"/>
      <c r="P485" s="34"/>
    </row>
    <row r="486">
      <c r="A486" s="28"/>
      <c r="B486" s="103"/>
      <c r="C486" s="121" t="str">
        <f t="array" ref="C486">ifs(and(isblank($A486),isblank($B486)),"", not(iserror(vlookup($A486&amp;$B486,'3) Release_Label'!$D:$D&amp;'3) Release_Label'!$E:$E,1,0))),vlookup($A486&amp;$B486,{'3) Release_Label'!$D:$D&amp;'3) Release_Label'!$E:$E,'3) Release_Label'!$F:$F},2,0), or(and(not(isblank($B486)),$B486=$B485,$A486&lt;&gt;$A485),and(not(isblank($A486)),$A486=$A485,$B486&lt;&gt;$B485)),"ID LISTS UNALIGNED",and($A486&lt;&gt;"",countif('3) Release_Label'!$D:$D,$A486)=0),"NO UPC MATCH in Release_Label",and($B486&lt;&gt;"",countif('3) Release_Label'!$E:$E,$B486)=0),"NO CATALOG ID MATCH in Release_Label",iserror(vlookup($A486&amp;$B486,'3) Release_Label'!$D:$D&amp;'3) Release_Label'!$E:$E,1,0)),"NO UPC-CATALOG ID pair MATCH in Release_Label" )</f>
        <v/>
      </c>
      <c r="D486" s="121" t="str">
        <f t="array" ref="D486">ifs(and(isblank($A486),isblank($B486)),"", not(iserror(vlookup($A486&amp;$B486,'3) Release_Label'!$D:$D&amp;'3) Release_Label'!$E:$E,1,0))),vlookup($A486&amp;$B486,{'3) Release_Label'!$D:$D&amp;'3) Release_Label'!$E:$E,'3) Release_Label'!$H:$H},2,0), or(and(not(isblank($B486)),$B486=$B485,$A486&lt;&gt;$A485),and(not(isblank($A486)),$A486=$A485,$B486&lt;&gt;$B485)),"ID LISTS UNALIGNED",and($A486&lt;&gt;"",countif('3) Release_Label'!$D:$D,$A486)=0),"NO UPC MATCH in Release_Label",and($B486&lt;&gt;"",countif('3) Release_Label'!$E:$E,$B486)=0),"NO CATALOG ID MATCH in Release_Label",iserror(vlookup($A486&amp;$B486,'3) Release_Label'!$D:$D&amp;'3) Release_Label'!$E:$E,1,0)),"NO UPC-CATALOG ID pair MATCH in Release_Label" )</f>
        <v/>
      </c>
      <c r="E486" s="141" t="str">
        <f t="shared" si="2"/>
        <v/>
      </c>
      <c r="G486" s="103"/>
      <c r="H486" s="152"/>
      <c r="J486" s="99"/>
      <c r="K486" s="104"/>
      <c r="L486" s="99"/>
      <c r="N486" s="99"/>
      <c r="O486" s="99"/>
      <c r="P486" s="34"/>
    </row>
    <row r="487">
      <c r="A487" s="28"/>
      <c r="B487" s="103"/>
      <c r="C487" s="121" t="str">
        <f t="array" ref="C487">ifs(and(isblank($A487),isblank($B487)),"", not(iserror(vlookup($A487&amp;$B487,'3) Release_Label'!$D:$D&amp;'3) Release_Label'!$E:$E,1,0))),vlookup($A487&amp;$B487,{'3) Release_Label'!$D:$D&amp;'3) Release_Label'!$E:$E,'3) Release_Label'!$F:$F},2,0), or(and(not(isblank($B487)),$B487=$B486,$A487&lt;&gt;$A486),and(not(isblank($A487)),$A487=$A486,$B487&lt;&gt;$B486)),"ID LISTS UNALIGNED",and($A487&lt;&gt;"",countif('3) Release_Label'!$D:$D,$A487)=0),"NO UPC MATCH in Release_Label",and($B487&lt;&gt;"",countif('3) Release_Label'!$E:$E,$B487)=0),"NO CATALOG ID MATCH in Release_Label",iserror(vlookup($A487&amp;$B487,'3) Release_Label'!$D:$D&amp;'3) Release_Label'!$E:$E,1,0)),"NO UPC-CATALOG ID pair MATCH in Release_Label" )</f>
        <v/>
      </c>
      <c r="D487" s="121" t="str">
        <f t="array" ref="D487">ifs(and(isblank($A487),isblank($B487)),"", not(iserror(vlookup($A487&amp;$B487,'3) Release_Label'!$D:$D&amp;'3) Release_Label'!$E:$E,1,0))),vlookup($A487&amp;$B487,{'3) Release_Label'!$D:$D&amp;'3) Release_Label'!$E:$E,'3) Release_Label'!$H:$H},2,0), or(and(not(isblank($B487)),$B487=$B486,$A487&lt;&gt;$A486),and(not(isblank($A487)),$A487=$A486,$B487&lt;&gt;$B486)),"ID LISTS UNALIGNED",and($A487&lt;&gt;"",countif('3) Release_Label'!$D:$D,$A487)=0),"NO UPC MATCH in Release_Label",and($B487&lt;&gt;"",countif('3) Release_Label'!$E:$E,$B487)=0),"NO CATALOG ID MATCH in Release_Label",iserror(vlookup($A487&amp;$B487,'3) Release_Label'!$D:$D&amp;'3) Release_Label'!$E:$E,1,0)),"NO UPC-CATALOG ID pair MATCH in Release_Label" )</f>
        <v/>
      </c>
      <c r="E487" s="141" t="str">
        <f t="shared" si="2"/>
        <v/>
      </c>
      <c r="G487" s="103"/>
      <c r="H487" s="152"/>
      <c r="J487" s="99"/>
      <c r="K487" s="104"/>
      <c r="L487" s="99"/>
      <c r="N487" s="99"/>
      <c r="O487" s="99"/>
      <c r="P487" s="34"/>
    </row>
    <row r="488">
      <c r="A488" s="28"/>
      <c r="B488" s="103"/>
      <c r="C488" s="121" t="str">
        <f t="array" ref="C488">ifs(and(isblank($A488),isblank($B488)),"", not(iserror(vlookup($A488&amp;$B488,'3) Release_Label'!$D:$D&amp;'3) Release_Label'!$E:$E,1,0))),vlookup($A488&amp;$B488,{'3) Release_Label'!$D:$D&amp;'3) Release_Label'!$E:$E,'3) Release_Label'!$F:$F},2,0), or(and(not(isblank($B488)),$B488=$B487,$A488&lt;&gt;$A487),and(not(isblank($A488)),$A488=$A487,$B488&lt;&gt;$B487)),"ID LISTS UNALIGNED",and($A488&lt;&gt;"",countif('3) Release_Label'!$D:$D,$A488)=0),"NO UPC MATCH in Release_Label",and($B488&lt;&gt;"",countif('3) Release_Label'!$E:$E,$B488)=0),"NO CATALOG ID MATCH in Release_Label",iserror(vlookup($A488&amp;$B488,'3) Release_Label'!$D:$D&amp;'3) Release_Label'!$E:$E,1,0)),"NO UPC-CATALOG ID pair MATCH in Release_Label" )</f>
        <v/>
      </c>
      <c r="D488" s="121" t="str">
        <f t="array" ref="D488">ifs(and(isblank($A488),isblank($B488)),"", not(iserror(vlookup($A488&amp;$B488,'3) Release_Label'!$D:$D&amp;'3) Release_Label'!$E:$E,1,0))),vlookup($A488&amp;$B488,{'3) Release_Label'!$D:$D&amp;'3) Release_Label'!$E:$E,'3) Release_Label'!$H:$H},2,0), or(and(not(isblank($B488)),$B488=$B487,$A488&lt;&gt;$A487),and(not(isblank($A488)),$A488=$A487,$B488&lt;&gt;$B487)),"ID LISTS UNALIGNED",and($A488&lt;&gt;"",countif('3) Release_Label'!$D:$D,$A488)=0),"NO UPC MATCH in Release_Label",and($B488&lt;&gt;"",countif('3) Release_Label'!$E:$E,$B488)=0),"NO CATALOG ID MATCH in Release_Label",iserror(vlookup($A488&amp;$B488,'3) Release_Label'!$D:$D&amp;'3) Release_Label'!$E:$E,1,0)),"NO UPC-CATALOG ID pair MATCH in Release_Label" )</f>
        <v/>
      </c>
      <c r="E488" s="141" t="str">
        <f t="shared" si="2"/>
        <v/>
      </c>
      <c r="G488" s="103"/>
      <c r="H488" s="152"/>
      <c r="J488" s="99"/>
      <c r="K488" s="104"/>
      <c r="L488" s="99"/>
      <c r="N488" s="99"/>
      <c r="O488" s="99"/>
      <c r="P488" s="34"/>
    </row>
    <row r="489">
      <c r="A489" s="28"/>
      <c r="B489" s="103"/>
      <c r="C489" s="121" t="str">
        <f t="array" ref="C489">ifs(and(isblank($A489),isblank($B489)),"", not(iserror(vlookup($A489&amp;$B489,'3) Release_Label'!$D:$D&amp;'3) Release_Label'!$E:$E,1,0))),vlookup($A489&amp;$B489,{'3) Release_Label'!$D:$D&amp;'3) Release_Label'!$E:$E,'3) Release_Label'!$F:$F},2,0), or(and(not(isblank($B489)),$B489=$B488,$A489&lt;&gt;$A488),and(not(isblank($A489)),$A489=$A488,$B489&lt;&gt;$B488)),"ID LISTS UNALIGNED",and($A489&lt;&gt;"",countif('3) Release_Label'!$D:$D,$A489)=0),"NO UPC MATCH in Release_Label",and($B489&lt;&gt;"",countif('3) Release_Label'!$E:$E,$B489)=0),"NO CATALOG ID MATCH in Release_Label",iserror(vlookup($A489&amp;$B489,'3) Release_Label'!$D:$D&amp;'3) Release_Label'!$E:$E,1,0)),"NO UPC-CATALOG ID pair MATCH in Release_Label" )</f>
        <v/>
      </c>
      <c r="D489" s="121" t="str">
        <f t="array" ref="D489">ifs(and(isblank($A489),isblank($B489)),"", not(iserror(vlookup($A489&amp;$B489,'3) Release_Label'!$D:$D&amp;'3) Release_Label'!$E:$E,1,0))),vlookup($A489&amp;$B489,{'3) Release_Label'!$D:$D&amp;'3) Release_Label'!$E:$E,'3) Release_Label'!$H:$H},2,0), or(and(not(isblank($B489)),$B489=$B488,$A489&lt;&gt;$A488),and(not(isblank($A489)),$A489=$A488,$B489&lt;&gt;$B488)),"ID LISTS UNALIGNED",and($A489&lt;&gt;"",countif('3) Release_Label'!$D:$D,$A489)=0),"NO UPC MATCH in Release_Label",and($B489&lt;&gt;"",countif('3) Release_Label'!$E:$E,$B489)=0),"NO CATALOG ID MATCH in Release_Label",iserror(vlookup($A489&amp;$B489,'3) Release_Label'!$D:$D&amp;'3) Release_Label'!$E:$E,1,0)),"NO UPC-CATALOG ID pair MATCH in Release_Label" )</f>
        <v/>
      </c>
      <c r="E489" s="141" t="str">
        <f t="shared" si="2"/>
        <v/>
      </c>
      <c r="G489" s="103"/>
      <c r="H489" s="152"/>
      <c r="J489" s="99"/>
      <c r="K489" s="104"/>
      <c r="L489" s="99"/>
      <c r="N489" s="99"/>
      <c r="O489" s="99"/>
      <c r="P489" s="34"/>
    </row>
    <row r="490">
      <c r="A490" s="28"/>
      <c r="B490" s="103"/>
      <c r="C490" s="121" t="str">
        <f t="array" ref="C490">ifs(and(isblank($A490),isblank($B490)),"", not(iserror(vlookup($A490&amp;$B490,'3) Release_Label'!$D:$D&amp;'3) Release_Label'!$E:$E,1,0))),vlookup($A490&amp;$B490,{'3) Release_Label'!$D:$D&amp;'3) Release_Label'!$E:$E,'3) Release_Label'!$F:$F},2,0), or(and(not(isblank($B490)),$B490=$B489,$A490&lt;&gt;$A489),and(not(isblank($A490)),$A490=$A489,$B490&lt;&gt;$B489)),"ID LISTS UNALIGNED",and($A490&lt;&gt;"",countif('3) Release_Label'!$D:$D,$A490)=0),"NO UPC MATCH in Release_Label",and($B490&lt;&gt;"",countif('3) Release_Label'!$E:$E,$B490)=0),"NO CATALOG ID MATCH in Release_Label",iserror(vlookup($A490&amp;$B490,'3) Release_Label'!$D:$D&amp;'3) Release_Label'!$E:$E,1,0)),"NO UPC-CATALOG ID pair MATCH in Release_Label" )</f>
        <v/>
      </c>
      <c r="D490" s="121" t="str">
        <f t="array" ref="D490">ifs(and(isblank($A490),isblank($B490)),"", not(iserror(vlookup($A490&amp;$B490,'3) Release_Label'!$D:$D&amp;'3) Release_Label'!$E:$E,1,0))),vlookup($A490&amp;$B490,{'3) Release_Label'!$D:$D&amp;'3) Release_Label'!$E:$E,'3) Release_Label'!$H:$H},2,0), or(and(not(isblank($B490)),$B490=$B489,$A490&lt;&gt;$A489),and(not(isblank($A490)),$A490=$A489,$B490&lt;&gt;$B489)),"ID LISTS UNALIGNED",and($A490&lt;&gt;"",countif('3) Release_Label'!$D:$D,$A490)=0),"NO UPC MATCH in Release_Label",and($B490&lt;&gt;"",countif('3) Release_Label'!$E:$E,$B490)=0),"NO CATALOG ID MATCH in Release_Label",iserror(vlookup($A490&amp;$B490,'3) Release_Label'!$D:$D&amp;'3) Release_Label'!$E:$E,1,0)),"NO UPC-CATALOG ID pair MATCH in Release_Label" )</f>
        <v/>
      </c>
      <c r="E490" s="141" t="str">
        <f t="shared" si="2"/>
        <v/>
      </c>
      <c r="G490" s="103"/>
      <c r="H490" s="152"/>
      <c r="J490" s="99"/>
      <c r="K490" s="104"/>
      <c r="L490" s="99"/>
      <c r="N490" s="99"/>
      <c r="O490" s="99"/>
      <c r="P490" s="34"/>
    </row>
    <row r="491">
      <c r="A491" s="28"/>
      <c r="B491" s="103"/>
      <c r="C491" s="121" t="str">
        <f t="array" ref="C491">ifs(and(isblank($A491),isblank($B491)),"", not(iserror(vlookup($A491&amp;$B491,'3) Release_Label'!$D:$D&amp;'3) Release_Label'!$E:$E,1,0))),vlookup($A491&amp;$B491,{'3) Release_Label'!$D:$D&amp;'3) Release_Label'!$E:$E,'3) Release_Label'!$F:$F},2,0), or(and(not(isblank($B491)),$B491=$B490,$A491&lt;&gt;$A490),and(not(isblank($A491)),$A491=$A490,$B491&lt;&gt;$B490)),"ID LISTS UNALIGNED",and($A491&lt;&gt;"",countif('3) Release_Label'!$D:$D,$A491)=0),"NO UPC MATCH in Release_Label",and($B491&lt;&gt;"",countif('3) Release_Label'!$E:$E,$B491)=0),"NO CATALOG ID MATCH in Release_Label",iserror(vlookup($A491&amp;$B491,'3) Release_Label'!$D:$D&amp;'3) Release_Label'!$E:$E,1,0)),"NO UPC-CATALOG ID pair MATCH in Release_Label" )</f>
        <v/>
      </c>
      <c r="D491" s="121" t="str">
        <f t="array" ref="D491">ifs(and(isblank($A491),isblank($B491)),"", not(iserror(vlookup($A491&amp;$B491,'3) Release_Label'!$D:$D&amp;'3) Release_Label'!$E:$E,1,0))),vlookup($A491&amp;$B491,{'3) Release_Label'!$D:$D&amp;'3) Release_Label'!$E:$E,'3) Release_Label'!$H:$H},2,0), or(and(not(isblank($B491)),$B491=$B490,$A491&lt;&gt;$A490),and(not(isblank($A491)),$A491=$A490,$B491&lt;&gt;$B490)),"ID LISTS UNALIGNED",and($A491&lt;&gt;"",countif('3) Release_Label'!$D:$D,$A491)=0),"NO UPC MATCH in Release_Label",and($B491&lt;&gt;"",countif('3) Release_Label'!$E:$E,$B491)=0),"NO CATALOG ID MATCH in Release_Label",iserror(vlookup($A491&amp;$B491,'3) Release_Label'!$D:$D&amp;'3) Release_Label'!$E:$E,1,0)),"NO UPC-CATALOG ID pair MATCH in Release_Label" )</f>
        <v/>
      </c>
      <c r="E491" s="141" t="str">
        <f t="shared" si="2"/>
        <v/>
      </c>
      <c r="G491" s="103"/>
      <c r="H491" s="152"/>
      <c r="J491" s="99"/>
      <c r="K491" s="104"/>
      <c r="L491" s="99"/>
      <c r="N491" s="99"/>
      <c r="O491" s="99"/>
      <c r="P491" s="34"/>
    </row>
    <row r="492">
      <c r="A492" s="28"/>
      <c r="B492" s="103"/>
      <c r="C492" s="121" t="str">
        <f t="array" ref="C492">ifs(and(isblank($A492),isblank($B492)),"", not(iserror(vlookup($A492&amp;$B492,'3) Release_Label'!$D:$D&amp;'3) Release_Label'!$E:$E,1,0))),vlookup($A492&amp;$B492,{'3) Release_Label'!$D:$D&amp;'3) Release_Label'!$E:$E,'3) Release_Label'!$F:$F},2,0), or(and(not(isblank($B492)),$B492=$B491,$A492&lt;&gt;$A491),and(not(isblank($A492)),$A492=$A491,$B492&lt;&gt;$B491)),"ID LISTS UNALIGNED",and($A492&lt;&gt;"",countif('3) Release_Label'!$D:$D,$A492)=0),"NO UPC MATCH in Release_Label",and($B492&lt;&gt;"",countif('3) Release_Label'!$E:$E,$B492)=0),"NO CATALOG ID MATCH in Release_Label",iserror(vlookup($A492&amp;$B492,'3) Release_Label'!$D:$D&amp;'3) Release_Label'!$E:$E,1,0)),"NO UPC-CATALOG ID pair MATCH in Release_Label" )</f>
        <v/>
      </c>
      <c r="D492" s="121" t="str">
        <f t="array" ref="D492">ifs(and(isblank($A492),isblank($B492)),"", not(iserror(vlookup($A492&amp;$B492,'3) Release_Label'!$D:$D&amp;'3) Release_Label'!$E:$E,1,0))),vlookup($A492&amp;$B492,{'3) Release_Label'!$D:$D&amp;'3) Release_Label'!$E:$E,'3) Release_Label'!$H:$H},2,0), or(and(not(isblank($B492)),$B492=$B491,$A492&lt;&gt;$A491),and(not(isblank($A492)),$A492=$A491,$B492&lt;&gt;$B491)),"ID LISTS UNALIGNED",and($A492&lt;&gt;"",countif('3) Release_Label'!$D:$D,$A492)=0),"NO UPC MATCH in Release_Label",and($B492&lt;&gt;"",countif('3) Release_Label'!$E:$E,$B492)=0),"NO CATALOG ID MATCH in Release_Label",iserror(vlookup($A492&amp;$B492,'3) Release_Label'!$D:$D&amp;'3) Release_Label'!$E:$E,1,0)),"NO UPC-CATALOG ID pair MATCH in Release_Label" )</f>
        <v/>
      </c>
      <c r="E492" s="141" t="str">
        <f t="shared" si="2"/>
        <v/>
      </c>
      <c r="G492" s="103"/>
      <c r="H492" s="152"/>
      <c r="J492" s="99"/>
      <c r="K492" s="104"/>
      <c r="L492" s="99"/>
      <c r="N492" s="99"/>
      <c r="O492" s="99"/>
      <c r="P492" s="34"/>
    </row>
    <row r="493">
      <c r="A493" s="28"/>
      <c r="B493" s="103"/>
      <c r="C493" s="121" t="str">
        <f t="array" ref="C493">ifs(and(isblank($A493),isblank($B493)),"", not(iserror(vlookup($A493&amp;$B493,'3) Release_Label'!$D:$D&amp;'3) Release_Label'!$E:$E,1,0))),vlookup($A493&amp;$B493,{'3) Release_Label'!$D:$D&amp;'3) Release_Label'!$E:$E,'3) Release_Label'!$F:$F},2,0), or(and(not(isblank($B493)),$B493=$B492,$A493&lt;&gt;$A492),and(not(isblank($A493)),$A493=$A492,$B493&lt;&gt;$B492)),"ID LISTS UNALIGNED",and($A493&lt;&gt;"",countif('3) Release_Label'!$D:$D,$A493)=0),"NO UPC MATCH in Release_Label",and($B493&lt;&gt;"",countif('3) Release_Label'!$E:$E,$B493)=0),"NO CATALOG ID MATCH in Release_Label",iserror(vlookup($A493&amp;$B493,'3) Release_Label'!$D:$D&amp;'3) Release_Label'!$E:$E,1,0)),"NO UPC-CATALOG ID pair MATCH in Release_Label" )</f>
        <v/>
      </c>
      <c r="D493" s="121" t="str">
        <f t="array" ref="D493">ifs(and(isblank($A493),isblank($B493)),"", not(iserror(vlookup($A493&amp;$B493,'3) Release_Label'!$D:$D&amp;'3) Release_Label'!$E:$E,1,0))),vlookup($A493&amp;$B493,{'3) Release_Label'!$D:$D&amp;'3) Release_Label'!$E:$E,'3) Release_Label'!$H:$H},2,0), or(and(not(isblank($B493)),$B493=$B492,$A493&lt;&gt;$A492),and(not(isblank($A493)),$A493=$A492,$B493&lt;&gt;$B492)),"ID LISTS UNALIGNED",and($A493&lt;&gt;"",countif('3) Release_Label'!$D:$D,$A493)=0),"NO UPC MATCH in Release_Label",and($B493&lt;&gt;"",countif('3) Release_Label'!$E:$E,$B493)=0),"NO CATALOG ID MATCH in Release_Label",iserror(vlookup($A493&amp;$B493,'3) Release_Label'!$D:$D&amp;'3) Release_Label'!$E:$E,1,0)),"NO UPC-CATALOG ID pair MATCH in Release_Label" )</f>
        <v/>
      </c>
      <c r="E493" s="141" t="str">
        <f t="shared" si="2"/>
        <v/>
      </c>
      <c r="G493" s="103"/>
      <c r="H493" s="152"/>
      <c r="J493" s="99"/>
      <c r="K493" s="104"/>
      <c r="L493" s="99"/>
      <c r="N493" s="99"/>
      <c r="O493" s="99"/>
      <c r="P493" s="34"/>
    </row>
    <row r="494">
      <c r="A494" s="28"/>
      <c r="B494" s="103"/>
      <c r="C494" s="121" t="str">
        <f t="array" ref="C494">ifs(and(isblank($A494),isblank($B494)),"", not(iserror(vlookup($A494&amp;$B494,'3) Release_Label'!$D:$D&amp;'3) Release_Label'!$E:$E,1,0))),vlookup($A494&amp;$B494,{'3) Release_Label'!$D:$D&amp;'3) Release_Label'!$E:$E,'3) Release_Label'!$F:$F},2,0), or(and(not(isblank($B494)),$B494=$B493,$A494&lt;&gt;$A493),and(not(isblank($A494)),$A494=$A493,$B494&lt;&gt;$B493)),"ID LISTS UNALIGNED",and($A494&lt;&gt;"",countif('3) Release_Label'!$D:$D,$A494)=0),"NO UPC MATCH in Release_Label",and($B494&lt;&gt;"",countif('3) Release_Label'!$E:$E,$B494)=0),"NO CATALOG ID MATCH in Release_Label",iserror(vlookup($A494&amp;$B494,'3) Release_Label'!$D:$D&amp;'3) Release_Label'!$E:$E,1,0)),"NO UPC-CATALOG ID pair MATCH in Release_Label" )</f>
        <v/>
      </c>
      <c r="D494" s="121" t="str">
        <f t="array" ref="D494">ifs(and(isblank($A494),isblank($B494)),"", not(iserror(vlookup($A494&amp;$B494,'3) Release_Label'!$D:$D&amp;'3) Release_Label'!$E:$E,1,0))),vlookup($A494&amp;$B494,{'3) Release_Label'!$D:$D&amp;'3) Release_Label'!$E:$E,'3) Release_Label'!$H:$H},2,0), or(and(not(isblank($B494)),$B494=$B493,$A494&lt;&gt;$A493),and(not(isblank($A494)),$A494=$A493,$B494&lt;&gt;$B493)),"ID LISTS UNALIGNED",and($A494&lt;&gt;"",countif('3) Release_Label'!$D:$D,$A494)=0),"NO UPC MATCH in Release_Label",and($B494&lt;&gt;"",countif('3) Release_Label'!$E:$E,$B494)=0),"NO CATALOG ID MATCH in Release_Label",iserror(vlookup($A494&amp;$B494,'3) Release_Label'!$D:$D&amp;'3) Release_Label'!$E:$E,1,0)),"NO UPC-CATALOG ID pair MATCH in Release_Label" )</f>
        <v/>
      </c>
      <c r="E494" s="141" t="str">
        <f t="shared" si="2"/>
        <v/>
      </c>
      <c r="G494" s="103"/>
      <c r="H494" s="152"/>
      <c r="J494" s="99"/>
      <c r="K494" s="104"/>
      <c r="L494" s="99"/>
      <c r="N494" s="99"/>
      <c r="O494" s="99"/>
      <c r="P494" s="34"/>
    </row>
    <row r="495">
      <c r="A495" s="28"/>
      <c r="B495" s="103"/>
      <c r="C495" s="121" t="str">
        <f t="array" ref="C495">ifs(and(isblank($A495),isblank($B495)),"", not(iserror(vlookup($A495&amp;$B495,'3) Release_Label'!$D:$D&amp;'3) Release_Label'!$E:$E,1,0))),vlookup($A495&amp;$B495,{'3) Release_Label'!$D:$D&amp;'3) Release_Label'!$E:$E,'3) Release_Label'!$F:$F},2,0), or(and(not(isblank($B495)),$B495=$B494,$A495&lt;&gt;$A494),and(not(isblank($A495)),$A495=$A494,$B495&lt;&gt;$B494)),"ID LISTS UNALIGNED",and($A495&lt;&gt;"",countif('3) Release_Label'!$D:$D,$A495)=0),"NO UPC MATCH in Release_Label",and($B495&lt;&gt;"",countif('3) Release_Label'!$E:$E,$B495)=0),"NO CATALOG ID MATCH in Release_Label",iserror(vlookup($A495&amp;$B495,'3) Release_Label'!$D:$D&amp;'3) Release_Label'!$E:$E,1,0)),"NO UPC-CATALOG ID pair MATCH in Release_Label" )</f>
        <v/>
      </c>
      <c r="D495" s="121" t="str">
        <f t="array" ref="D495">ifs(and(isblank($A495),isblank($B495)),"", not(iserror(vlookup($A495&amp;$B495,'3) Release_Label'!$D:$D&amp;'3) Release_Label'!$E:$E,1,0))),vlookup($A495&amp;$B495,{'3) Release_Label'!$D:$D&amp;'3) Release_Label'!$E:$E,'3) Release_Label'!$H:$H},2,0), or(and(not(isblank($B495)),$B495=$B494,$A495&lt;&gt;$A494),and(not(isblank($A495)),$A495=$A494,$B495&lt;&gt;$B494)),"ID LISTS UNALIGNED",and($A495&lt;&gt;"",countif('3) Release_Label'!$D:$D,$A495)=0),"NO UPC MATCH in Release_Label",and($B495&lt;&gt;"",countif('3) Release_Label'!$E:$E,$B495)=0),"NO CATALOG ID MATCH in Release_Label",iserror(vlookup($A495&amp;$B495,'3) Release_Label'!$D:$D&amp;'3) Release_Label'!$E:$E,1,0)),"NO UPC-CATALOG ID pair MATCH in Release_Label" )</f>
        <v/>
      </c>
      <c r="E495" s="141" t="str">
        <f t="shared" si="2"/>
        <v/>
      </c>
      <c r="G495" s="103"/>
      <c r="H495" s="152"/>
      <c r="J495" s="99"/>
      <c r="K495" s="104"/>
      <c r="L495" s="99"/>
      <c r="N495" s="99"/>
      <c r="O495" s="99"/>
      <c r="P495" s="34"/>
    </row>
    <row r="496">
      <c r="A496" s="28"/>
      <c r="B496" s="103"/>
      <c r="C496" s="121" t="str">
        <f t="array" ref="C496">ifs(and(isblank($A496),isblank($B496)),"", not(iserror(vlookup($A496&amp;$B496,'3) Release_Label'!$D:$D&amp;'3) Release_Label'!$E:$E,1,0))),vlookup($A496&amp;$B496,{'3) Release_Label'!$D:$D&amp;'3) Release_Label'!$E:$E,'3) Release_Label'!$F:$F},2,0), or(and(not(isblank($B496)),$B496=$B495,$A496&lt;&gt;$A495),and(not(isblank($A496)),$A496=$A495,$B496&lt;&gt;$B495)),"ID LISTS UNALIGNED",and($A496&lt;&gt;"",countif('3) Release_Label'!$D:$D,$A496)=0),"NO UPC MATCH in Release_Label",and($B496&lt;&gt;"",countif('3) Release_Label'!$E:$E,$B496)=0),"NO CATALOG ID MATCH in Release_Label",iserror(vlookup($A496&amp;$B496,'3) Release_Label'!$D:$D&amp;'3) Release_Label'!$E:$E,1,0)),"NO UPC-CATALOG ID pair MATCH in Release_Label" )</f>
        <v/>
      </c>
      <c r="D496" s="121" t="str">
        <f t="array" ref="D496">ifs(and(isblank($A496),isblank($B496)),"", not(iserror(vlookup($A496&amp;$B496,'3) Release_Label'!$D:$D&amp;'3) Release_Label'!$E:$E,1,0))),vlookup($A496&amp;$B496,{'3) Release_Label'!$D:$D&amp;'3) Release_Label'!$E:$E,'3) Release_Label'!$H:$H},2,0), or(and(not(isblank($B496)),$B496=$B495,$A496&lt;&gt;$A495),and(not(isblank($A496)),$A496=$A495,$B496&lt;&gt;$B495)),"ID LISTS UNALIGNED",and($A496&lt;&gt;"",countif('3) Release_Label'!$D:$D,$A496)=0),"NO UPC MATCH in Release_Label",and($B496&lt;&gt;"",countif('3) Release_Label'!$E:$E,$B496)=0),"NO CATALOG ID MATCH in Release_Label",iserror(vlookup($A496&amp;$B496,'3) Release_Label'!$D:$D&amp;'3) Release_Label'!$E:$E,1,0)),"NO UPC-CATALOG ID pair MATCH in Release_Label" )</f>
        <v/>
      </c>
      <c r="E496" s="141" t="str">
        <f t="shared" si="2"/>
        <v/>
      </c>
      <c r="G496" s="103"/>
      <c r="H496" s="152"/>
      <c r="J496" s="99"/>
      <c r="K496" s="104"/>
      <c r="L496" s="99"/>
      <c r="N496" s="99"/>
      <c r="O496" s="99"/>
      <c r="P496" s="34"/>
    </row>
    <row r="497">
      <c r="A497" s="28"/>
      <c r="B497" s="103"/>
      <c r="C497" s="121" t="str">
        <f t="array" ref="C497">ifs(and(isblank($A497),isblank($B497)),"", not(iserror(vlookup($A497&amp;$B497,'3) Release_Label'!$D:$D&amp;'3) Release_Label'!$E:$E,1,0))),vlookup($A497&amp;$B497,{'3) Release_Label'!$D:$D&amp;'3) Release_Label'!$E:$E,'3) Release_Label'!$F:$F},2,0), or(and(not(isblank($B497)),$B497=$B496,$A497&lt;&gt;$A496),and(not(isblank($A497)),$A497=$A496,$B497&lt;&gt;$B496)),"ID LISTS UNALIGNED",and($A497&lt;&gt;"",countif('3) Release_Label'!$D:$D,$A497)=0),"NO UPC MATCH in Release_Label",and($B497&lt;&gt;"",countif('3) Release_Label'!$E:$E,$B497)=0),"NO CATALOG ID MATCH in Release_Label",iserror(vlookup($A497&amp;$B497,'3) Release_Label'!$D:$D&amp;'3) Release_Label'!$E:$E,1,0)),"NO UPC-CATALOG ID pair MATCH in Release_Label" )</f>
        <v/>
      </c>
      <c r="D497" s="121" t="str">
        <f t="array" ref="D497">ifs(and(isblank($A497),isblank($B497)),"", not(iserror(vlookup($A497&amp;$B497,'3) Release_Label'!$D:$D&amp;'3) Release_Label'!$E:$E,1,0))),vlookup($A497&amp;$B497,{'3) Release_Label'!$D:$D&amp;'3) Release_Label'!$E:$E,'3) Release_Label'!$H:$H},2,0), or(and(not(isblank($B497)),$B497=$B496,$A497&lt;&gt;$A496),and(not(isblank($A497)),$A497=$A496,$B497&lt;&gt;$B496)),"ID LISTS UNALIGNED",and($A497&lt;&gt;"",countif('3) Release_Label'!$D:$D,$A497)=0),"NO UPC MATCH in Release_Label",and($B497&lt;&gt;"",countif('3) Release_Label'!$E:$E,$B497)=0),"NO CATALOG ID MATCH in Release_Label",iserror(vlookup($A497&amp;$B497,'3) Release_Label'!$D:$D&amp;'3) Release_Label'!$E:$E,1,0)),"NO UPC-CATALOG ID pair MATCH in Release_Label" )</f>
        <v/>
      </c>
      <c r="E497" s="141" t="str">
        <f t="shared" si="2"/>
        <v/>
      </c>
      <c r="G497" s="103"/>
      <c r="H497" s="152"/>
      <c r="J497" s="99"/>
      <c r="K497" s="104"/>
      <c r="L497" s="99"/>
      <c r="N497" s="99"/>
      <c r="O497" s="99"/>
      <c r="P497" s="34"/>
    </row>
    <row r="498">
      <c r="A498" s="28"/>
      <c r="B498" s="103"/>
      <c r="C498" s="121" t="str">
        <f t="array" ref="C498">ifs(and(isblank($A498),isblank($B498)),"", not(iserror(vlookup($A498&amp;$B498,'3) Release_Label'!$D:$D&amp;'3) Release_Label'!$E:$E,1,0))),vlookup($A498&amp;$B498,{'3) Release_Label'!$D:$D&amp;'3) Release_Label'!$E:$E,'3) Release_Label'!$F:$F},2,0), or(and(not(isblank($B498)),$B498=$B497,$A498&lt;&gt;$A497),and(not(isblank($A498)),$A498=$A497,$B498&lt;&gt;$B497)),"ID LISTS UNALIGNED",and($A498&lt;&gt;"",countif('3) Release_Label'!$D:$D,$A498)=0),"NO UPC MATCH in Release_Label",and($B498&lt;&gt;"",countif('3) Release_Label'!$E:$E,$B498)=0),"NO CATALOG ID MATCH in Release_Label",iserror(vlookup($A498&amp;$B498,'3) Release_Label'!$D:$D&amp;'3) Release_Label'!$E:$E,1,0)),"NO UPC-CATALOG ID pair MATCH in Release_Label" )</f>
        <v/>
      </c>
      <c r="D498" s="121" t="str">
        <f t="array" ref="D498">ifs(and(isblank($A498),isblank($B498)),"", not(iserror(vlookup($A498&amp;$B498,'3) Release_Label'!$D:$D&amp;'3) Release_Label'!$E:$E,1,0))),vlookup($A498&amp;$B498,{'3) Release_Label'!$D:$D&amp;'3) Release_Label'!$E:$E,'3) Release_Label'!$H:$H},2,0), or(and(not(isblank($B498)),$B498=$B497,$A498&lt;&gt;$A497),and(not(isblank($A498)),$A498=$A497,$B498&lt;&gt;$B497)),"ID LISTS UNALIGNED",and($A498&lt;&gt;"",countif('3) Release_Label'!$D:$D,$A498)=0),"NO UPC MATCH in Release_Label",and($B498&lt;&gt;"",countif('3) Release_Label'!$E:$E,$B498)=0),"NO CATALOG ID MATCH in Release_Label",iserror(vlookup($A498&amp;$B498,'3) Release_Label'!$D:$D&amp;'3) Release_Label'!$E:$E,1,0)),"NO UPC-CATALOG ID pair MATCH in Release_Label" )</f>
        <v/>
      </c>
      <c r="E498" s="141" t="str">
        <f t="shared" si="2"/>
        <v/>
      </c>
      <c r="G498" s="103"/>
      <c r="H498" s="152"/>
      <c r="J498" s="99"/>
      <c r="K498" s="104"/>
      <c r="L498" s="99"/>
      <c r="N498" s="99"/>
      <c r="O498" s="99"/>
      <c r="P498" s="34"/>
    </row>
    <row r="499">
      <c r="A499" s="28"/>
      <c r="B499" s="103"/>
      <c r="C499" s="121" t="str">
        <f t="array" ref="C499">ifs(and(isblank($A499),isblank($B499)),"", not(iserror(vlookup($A499&amp;$B499,'3) Release_Label'!$D:$D&amp;'3) Release_Label'!$E:$E,1,0))),vlookup($A499&amp;$B499,{'3) Release_Label'!$D:$D&amp;'3) Release_Label'!$E:$E,'3) Release_Label'!$F:$F},2,0), or(and(not(isblank($B499)),$B499=$B498,$A499&lt;&gt;$A498),and(not(isblank($A499)),$A499=$A498,$B499&lt;&gt;$B498)),"ID LISTS UNALIGNED",and($A499&lt;&gt;"",countif('3) Release_Label'!$D:$D,$A499)=0),"NO UPC MATCH in Release_Label",and($B499&lt;&gt;"",countif('3) Release_Label'!$E:$E,$B499)=0),"NO CATALOG ID MATCH in Release_Label",iserror(vlookup($A499&amp;$B499,'3) Release_Label'!$D:$D&amp;'3) Release_Label'!$E:$E,1,0)),"NO UPC-CATALOG ID pair MATCH in Release_Label" )</f>
        <v/>
      </c>
      <c r="D499" s="121" t="str">
        <f t="array" ref="D499">ifs(and(isblank($A499),isblank($B499)),"", not(iserror(vlookup($A499&amp;$B499,'3) Release_Label'!$D:$D&amp;'3) Release_Label'!$E:$E,1,0))),vlookup($A499&amp;$B499,{'3) Release_Label'!$D:$D&amp;'3) Release_Label'!$E:$E,'3) Release_Label'!$H:$H},2,0), or(and(not(isblank($B499)),$B499=$B498,$A499&lt;&gt;$A498),and(not(isblank($A499)),$A499=$A498,$B499&lt;&gt;$B498)),"ID LISTS UNALIGNED",and($A499&lt;&gt;"",countif('3) Release_Label'!$D:$D,$A499)=0),"NO UPC MATCH in Release_Label",and($B499&lt;&gt;"",countif('3) Release_Label'!$E:$E,$B499)=0),"NO CATALOG ID MATCH in Release_Label",iserror(vlookup($A499&amp;$B499,'3) Release_Label'!$D:$D&amp;'3) Release_Label'!$E:$E,1,0)),"NO UPC-CATALOG ID pair MATCH in Release_Label" )</f>
        <v/>
      </c>
      <c r="E499" s="141" t="str">
        <f t="shared" si="2"/>
        <v/>
      </c>
      <c r="G499" s="103"/>
      <c r="H499" s="152"/>
      <c r="J499" s="99"/>
      <c r="K499" s="104"/>
      <c r="L499" s="99"/>
      <c r="N499" s="99"/>
      <c r="O499" s="99"/>
      <c r="P499" s="34"/>
    </row>
    <row r="500">
      <c r="A500" s="28"/>
      <c r="B500" s="103"/>
      <c r="C500" s="121" t="str">
        <f t="array" ref="C500">ifs(and(isblank($A500),isblank($B500)),"", not(iserror(vlookup($A500&amp;$B500,'3) Release_Label'!$D:$D&amp;'3) Release_Label'!$E:$E,1,0))),vlookup($A500&amp;$B500,{'3) Release_Label'!$D:$D&amp;'3) Release_Label'!$E:$E,'3) Release_Label'!$F:$F},2,0), or(and(not(isblank($B500)),$B500=$B499,$A500&lt;&gt;$A499),and(not(isblank($A500)),$A500=$A499,$B500&lt;&gt;$B499)),"ID LISTS UNALIGNED",and($A500&lt;&gt;"",countif('3) Release_Label'!$D:$D,$A500)=0),"NO UPC MATCH in Release_Label",and($B500&lt;&gt;"",countif('3) Release_Label'!$E:$E,$B500)=0),"NO CATALOG ID MATCH in Release_Label",iserror(vlookup($A500&amp;$B500,'3) Release_Label'!$D:$D&amp;'3) Release_Label'!$E:$E,1,0)),"NO UPC-CATALOG ID pair MATCH in Release_Label" )</f>
        <v/>
      </c>
      <c r="D500" s="121" t="str">
        <f t="array" ref="D500">ifs(and(isblank($A500),isblank($B500)),"", not(iserror(vlookup($A500&amp;$B500,'3) Release_Label'!$D:$D&amp;'3) Release_Label'!$E:$E,1,0))),vlookup($A500&amp;$B500,{'3) Release_Label'!$D:$D&amp;'3) Release_Label'!$E:$E,'3) Release_Label'!$H:$H},2,0), or(and(not(isblank($B500)),$B500=$B499,$A500&lt;&gt;$A499),and(not(isblank($A500)),$A500=$A499,$B500&lt;&gt;$B499)),"ID LISTS UNALIGNED",and($A500&lt;&gt;"",countif('3) Release_Label'!$D:$D,$A500)=0),"NO UPC MATCH in Release_Label",and($B500&lt;&gt;"",countif('3) Release_Label'!$E:$E,$B500)=0),"NO CATALOG ID MATCH in Release_Label",iserror(vlookup($A500&amp;$B500,'3) Release_Label'!$D:$D&amp;'3) Release_Label'!$E:$E,1,0)),"NO UPC-CATALOG ID pair MATCH in Release_Label" )</f>
        <v/>
      </c>
      <c r="E500" s="141" t="str">
        <f t="shared" si="2"/>
        <v/>
      </c>
      <c r="G500" s="103"/>
      <c r="H500" s="152"/>
      <c r="J500" s="99"/>
      <c r="K500" s="104"/>
      <c r="L500" s="99"/>
      <c r="N500" s="99"/>
      <c r="O500" s="99"/>
      <c r="P500" s="34"/>
    </row>
    <row r="501">
      <c r="A501" s="28"/>
      <c r="B501" s="103"/>
      <c r="C501" s="121" t="str">
        <f t="array" ref="C501">ifs(and(isblank($A501),isblank($B501)),"", not(iserror(vlookup($A501&amp;$B501,'3) Release_Label'!$D:$D&amp;'3) Release_Label'!$E:$E,1,0))),vlookup($A501&amp;$B501,{'3) Release_Label'!$D:$D&amp;'3) Release_Label'!$E:$E,'3) Release_Label'!$F:$F},2,0), or(and(not(isblank($B501)),$B501=$B500,$A501&lt;&gt;$A500),and(not(isblank($A501)),$A501=$A500,$B501&lt;&gt;$B500)),"ID LISTS UNALIGNED",and($A501&lt;&gt;"",countif('3) Release_Label'!$D:$D,$A501)=0),"NO UPC MATCH in Release_Label",and($B501&lt;&gt;"",countif('3) Release_Label'!$E:$E,$B501)=0),"NO CATALOG ID MATCH in Release_Label",iserror(vlookup($A501&amp;$B501,'3) Release_Label'!$D:$D&amp;'3) Release_Label'!$E:$E,1,0)),"NO UPC-CATALOG ID pair MATCH in Release_Label" )</f>
        <v/>
      </c>
      <c r="D501" s="121" t="str">
        <f t="array" ref="D501">ifs(and(isblank($A501),isblank($B501)),"", not(iserror(vlookup($A501&amp;$B501,'3) Release_Label'!$D:$D&amp;'3) Release_Label'!$E:$E,1,0))),vlookup($A501&amp;$B501,{'3) Release_Label'!$D:$D&amp;'3) Release_Label'!$E:$E,'3) Release_Label'!$H:$H},2,0), or(and(not(isblank($B501)),$B501=$B500,$A501&lt;&gt;$A500),and(not(isblank($A501)),$A501=$A500,$B501&lt;&gt;$B500)),"ID LISTS UNALIGNED",and($A501&lt;&gt;"",countif('3) Release_Label'!$D:$D,$A501)=0),"NO UPC MATCH in Release_Label",and($B501&lt;&gt;"",countif('3) Release_Label'!$E:$E,$B501)=0),"NO CATALOG ID MATCH in Release_Label",iserror(vlookup($A501&amp;$B501,'3) Release_Label'!$D:$D&amp;'3) Release_Label'!$E:$E,1,0)),"NO UPC-CATALOG ID pair MATCH in Release_Label" )</f>
        <v/>
      </c>
      <c r="E501" s="141" t="str">
        <f t="shared" si="2"/>
        <v/>
      </c>
      <c r="G501" s="103"/>
      <c r="H501" s="152"/>
      <c r="J501" s="99"/>
      <c r="K501" s="104"/>
      <c r="L501" s="99"/>
      <c r="N501" s="99"/>
      <c r="O501" s="99"/>
      <c r="P501" s="34"/>
    </row>
    <row r="502">
      <c r="A502" s="28"/>
      <c r="B502" s="103"/>
      <c r="C502" s="121" t="str">
        <f t="array" ref="C502">ifs(and(isblank($A502),isblank($B502)),"", not(iserror(vlookup($A502&amp;$B502,'3) Release_Label'!$D:$D&amp;'3) Release_Label'!$E:$E,1,0))),vlookup($A502&amp;$B502,{'3) Release_Label'!$D:$D&amp;'3) Release_Label'!$E:$E,'3) Release_Label'!$F:$F},2,0), or(and(not(isblank($B502)),$B502=$B501,$A502&lt;&gt;$A501),and(not(isblank($A502)),$A502=$A501,$B502&lt;&gt;$B501)),"ID LISTS UNALIGNED",and($A502&lt;&gt;"",countif('3) Release_Label'!$D:$D,$A502)=0),"NO UPC MATCH in Release_Label",and($B502&lt;&gt;"",countif('3) Release_Label'!$E:$E,$B502)=0),"NO CATALOG ID MATCH in Release_Label",iserror(vlookup($A502&amp;$B502,'3) Release_Label'!$D:$D&amp;'3) Release_Label'!$E:$E,1,0)),"NO UPC-CATALOG ID pair MATCH in Release_Label" )</f>
        <v/>
      </c>
      <c r="D502" s="121" t="str">
        <f t="array" ref="D502">ifs(and(isblank($A502),isblank($B502)),"", not(iserror(vlookup($A502&amp;$B502,'3) Release_Label'!$D:$D&amp;'3) Release_Label'!$E:$E,1,0))),vlookup($A502&amp;$B502,{'3) Release_Label'!$D:$D&amp;'3) Release_Label'!$E:$E,'3) Release_Label'!$H:$H},2,0), or(and(not(isblank($B502)),$B502=$B501,$A502&lt;&gt;$A501),and(not(isblank($A502)),$A502=$A501,$B502&lt;&gt;$B501)),"ID LISTS UNALIGNED",and($A502&lt;&gt;"",countif('3) Release_Label'!$D:$D,$A502)=0),"NO UPC MATCH in Release_Label",and($B502&lt;&gt;"",countif('3) Release_Label'!$E:$E,$B502)=0),"NO CATALOG ID MATCH in Release_Label",iserror(vlookup($A502&amp;$B502,'3) Release_Label'!$D:$D&amp;'3) Release_Label'!$E:$E,1,0)),"NO UPC-CATALOG ID pair MATCH in Release_Label" )</f>
        <v/>
      </c>
      <c r="E502" s="141" t="str">
        <f t="shared" si="2"/>
        <v/>
      </c>
      <c r="G502" s="103"/>
      <c r="H502" s="152"/>
      <c r="J502" s="99"/>
      <c r="K502" s="104"/>
      <c r="L502" s="99"/>
      <c r="N502" s="99"/>
      <c r="O502" s="99"/>
      <c r="P502" s="34"/>
    </row>
    <row r="503">
      <c r="A503" s="28"/>
      <c r="B503" s="103"/>
      <c r="C503" s="121" t="str">
        <f t="array" ref="C503">ifs(and(isblank($A503),isblank($B503)),"", not(iserror(vlookup($A503&amp;$B503,'3) Release_Label'!$D:$D&amp;'3) Release_Label'!$E:$E,1,0))),vlookup($A503&amp;$B503,{'3) Release_Label'!$D:$D&amp;'3) Release_Label'!$E:$E,'3) Release_Label'!$F:$F},2,0), or(and(not(isblank($B503)),$B503=$B502,$A503&lt;&gt;$A502),and(not(isblank($A503)),$A503=$A502,$B503&lt;&gt;$B502)),"ID LISTS UNALIGNED",and($A503&lt;&gt;"",countif('3) Release_Label'!$D:$D,$A503)=0),"NO UPC MATCH in Release_Label",and($B503&lt;&gt;"",countif('3) Release_Label'!$E:$E,$B503)=0),"NO CATALOG ID MATCH in Release_Label",iserror(vlookup($A503&amp;$B503,'3) Release_Label'!$D:$D&amp;'3) Release_Label'!$E:$E,1,0)),"NO UPC-CATALOG ID pair MATCH in Release_Label" )</f>
        <v/>
      </c>
      <c r="D503" s="121" t="str">
        <f t="array" ref="D503">ifs(and(isblank($A503),isblank($B503)),"", not(iserror(vlookup($A503&amp;$B503,'3) Release_Label'!$D:$D&amp;'3) Release_Label'!$E:$E,1,0))),vlookup($A503&amp;$B503,{'3) Release_Label'!$D:$D&amp;'3) Release_Label'!$E:$E,'3) Release_Label'!$H:$H},2,0), or(and(not(isblank($B503)),$B503=$B502,$A503&lt;&gt;$A502),and(not(isblank($A503)),$A503=$A502,$B503&lt;&gt;$B502)),"ID LISTS UNALIGNED",and($A503&lt;&gt;"",countif('3) Release_Label'!$D:$D,$A503)=0),"NO UPC MATCH in Release_Label",and($B503&lt;&gt;"",countif('3) Release_Label'!$E:$E,$B503)=0),"NO CATALOG ID MATCH in Release_Label",iserror(vlookup($A503&amp;$B503,'3) Release_Label'!$D:$D&amp;'3) Release_Label'!$E:$E,1,0)),"NO UPC-CATALOG ID pair MATCH in Release_Label" )</f>
        <v/>
      </c>
      <c r="E503" s="141" t="str">
        <f t="shared" si="2"/>
        <v/>
      </c>
      <c r="G503" s="103"/>
      <c r="H503" s="152"/>
      <c r="J503" s="99"/>
      <c r="K503" s="104"/>
      <c r="L503" s="99"/>
      <c r="N503" s="99"/>
      <c r="O503" s="99"/>
      <c r="P503" s="34"/>
    </row>
    <row r="504">
      <c r="A504" s="28"/>
      <c r="B504" s="103"/>
      <c r="C504" s="121" t="str">
        <f t="array" ref="C504">ifs(and(isblank($A504),isblank($B504)),"", not(iserror(vlookup($A504&amp;$B504,'3) Release_Label'!$D:$D&amp;'3) Release_Label'!$E:$E,1,0))),vlookup($A504&amp;$B504,{'3) Release_Label'!$D:$D&amp;'3) Release_Label'!$E:$E,'3) Release_Label'!$F:$F},2,0), or(and(not(isblank($B504)),$B504=$B503,$A504&lt;&gt;$A503),and(not(isblank($A504)),$A504=$A503,$B504&lt;&gt;$B503)),"ID LISTS UNALIGNED",and($A504&lt;&gt;"",countif('3) Release_Label'!$D:$D,$A504)=0),"NO UPC MATCH in Release_Label",and($B504&lt;&gt;"",countif('3) Release_Label'!$E:$E,$B504)=0),"NO CATALOG ID MATCH in Release_Label",iserror(vlookup($A504&amp;$B504,'3) Release_Label'!$D:$D&amp;'3) Release_Label'!$E:$E,1,0)),"NO UPC-CATALOG ID pair MATCH in Release_Label" )</f>
        <v/>
      </c>
      <c r="D504" s="121" t="str">
        <f t="array" ref="D504">ifs(and(isblank($A504),isblank($B504)),"", not(iserror(vlookup($A504&amp;$B504,'3) Release_Label'!$D:$D&amp;'3) Release_Label'!$E:$E,1,0))),vlookup($A504&amp;$B504,{'3) Release_Label'!$D:$D&amp;'3) Release_Label'!$E:$E,'3) Release_Label'!$H:$H},2,0), or(and(not(isblank($B504)),$B504=$B503,$A504&lt;&gt;$A503),and(not(isblank($A504)),$A504=$A503,$B504&lt;&gt;$B503)),"ID LISTS UNALIGNED",and($A504&lt;&gt;"",countif('3) Release_Label'!$D:$D,$A504)=0),"NO UPC MATCH in Release_Label",and($B504&lt;&gt;"",countif('3) Release_Label'!$E:$E,$B504)=0),"NO CATALOG ID MATCH in Release_Label",iserror(vlookup($A504&amp;$B504,'3) Release_Label'!$D:$D&amp;'3) Release_Label'!$E:$E,1,0)),"NO UPC-CATALOG ID pair MATCH in Release_Label" )</f>
        <v/>
      </c>
      <c r="E504" s="141" t="str">
        <f t="shared" si="2"/>
        <v/>
      </c>
      <c r="G504" s="103"/>
      <c r="H504" s="152"/>
      <c r="J504" s="99"/>
      <c r="K504" s="104"/>
      <c r="L504" s="99"/>
      <c r="N504" s="99"/>
      <c r="O504" s="99"/>
      <c r="P504" s="34"/>
    </row>
    <row r="505">
      <c r="A505" s="28"/>
      <c r="B505" s="103"/>
      <c r="C505" s="121" t="str">
        <f t="array" ref="C505">ifs(and(isblank($A505),isblank($B505)),"", not(iserror(vlookup($A505&amp;$B505,'3) Release_Label'!$D:$D&amp;'3) Release_Label'!$E:$E,1,0))),vlookup($A505&amp;$B505,{'3) Release_Label'!$D:$D&amp;'3) Release_Label'!$E:$E,'3) Release_Label'!$F:$F},2,0), or(and(not(isblank($B505)),$B505=$B504,$A505&lt;&gt;$A504),and(not(isblank($A505)),$A505=$A504,$B505&lt;&gt;$B504)),"ID LISTS UNALIGNED",and($A505&lt;&gt;"",countif('3) Release_Label'!$D:$D,$A505)=0),"NO UPC MATCH in Release_Label",and($B505&lt;&gt;"",countif('3) Release_Label'!$E:$E,$B505)=0),"NO CATALOG ID MATCH in Release_Label",iserror(vlookup($A505&amp;$B505,'3) Release_Label'!$D:$D&amp;'3) Release_Label'!$E:$E,1,0)),"NO UPC-CATALOG ID pair MATCH in Release_Label" )</f>
        <v/>
      </c>
      <c r="D505" s="121" t="str">
        <f t="array" ref="D505">ifs(and(isblank($A505),isblank($B505)),"", not(iserror(vlookup($A505&amp;$B505,'3) Release_Label'!$D:$D&amp;'3) Release_Label'!$E:$E,1,0))),vlookup($A505&amp;$B505,{'3) Release_Label'!$D:$D&amp;'3) Release_Label'!$E:$E,'3) Release_Label'!$H:$H},2,0), or(and(not(isblank($B505)),$B505=$B504,$A505&lt;&gt;$A504),and(not(isblank($A505)),$A505=$A504,$B505&lt;&gt;$B504)),"ID LISTS UNALIGNED",and($A505&lt;&gt;"",countif('3) Release_Label'!$D:$D,$A505)=0),"NO UPC MATCH in Release_Label",and($B505&lt;&gt;"",countif('3) Release_Label'!$E:$E,$B505)=0),"NO CATALOG ID MATCH in Release_Label",iserror(vlookup($A505&amp;$B505,'3) Release_Label'!$D:$D&amp;'3) Release_Label'!$E:$E,1,0)),"NO UPC-CATALOG ID pair MATCH in Release_Label" )</f>
        <v/>
      </c>
      <c r="E505" s="141" t="str">
        <f t="shared" si="2"/>
        <v/>
      </c>
      <c r="G505" s="103"/>
      <c r="H505" s="152"/>
      <c r="J505" s="99"/>
      <c r="K505" s="104"/>
      <c r="L505" s="99"/>
      <c r="N505" s="99"/>
      <c r="O505" s="99"/>
      <c r="P505" s="34"/>
    </row>
    <row r="506">
      <c r="A506" s="28"/>
      <c r="B506" s="103"/>
      <c r="C506" s="121" t="str">
        <f t="array" ref="C506">ifs(and(isblank($A506),isblank($B506)),"", not(iserror(vlookup($A506&amp;$B506,'3) Release_Label'!$D:$D&amp;'3) Release_Label'!$E:$E,1,0))),vlookup($A506&amp;$B506,{'3) Release_Label'!$D:$D&amp;'3) Release_Label'!$E:$E,'3) Release_Label'!$F:$F},2,0), or(and(not(isblank($B506)),$B506=$B505,$A506&lt;&gt;$A505),and(not(isblank($A506)),$A506=$A505,$B506&lt;&gt;$B505)),"ID LISTS UNALIGNED",and($A506&lt;&gt;"",countif('3) Release_Label'!$D:$D,$A506)=0),"NO UPC MATCH in Release_Label",and($B506&lt;&gt;"",countif('3) Release_Label'!$E:$E,$B506)=0),"NO CATALOG ID MATCH in Release_Label",iserror(vlookup($A506&amp;$B506,'3) Release_Label'!$D:$D&amp;'3) Release_Label'!$E:$E,1,0)),"NO UPC-CATALOG ID pair MATCH in Release_Label" )</f>
        <v/>
      </c>
      <c r="D506" s="121" t="str">
        <f t="array" ref="D506">ifs(and(isblank($A506),isblank($B506)),"", not(iserror(vlookup($A506&amp;$B506,'3) Release_Label'!$D:$D&amp;'3) Release_Label'!$E:$E,1,0))),vlookup($A506&amp;$B506,{'3) Release_Label'!$D:$D&amp;'3) Release_Label'!$E:$E,'3) Release_Label'!$H:$H},2,0), or(and(not(isblank($B506)),$B506=$B505,$A506&lt;&gt;$A505),and(not(isblank($A506)),$A506=$A505,$B506&lt;&gt;$B505)),"ID LISTS UNALIGNED",and($A506&lt;&gt;"",countif('3) Release_Label'!$D:$D,$A506)=0),"NO UPC MATCH in Release_Label",and($B506&lt;&gt;"",countif('3) Release_Label'!$E:$E,$B506)=0),"NO CATALOG ID MATCH in Release_Label",iserror(vlookup($A506&amp;$B506,'3) Release_Label'!$D:$D&amp;'3) Release_Label'!$E:$E,1,0)),"NO UPC-CATALOG ID pair MATCH in Release_Label" )</f>
        <v/>
      </c>
      <c r="E506" s="141" t="str">
        <f t="shared" si="2"/>
        <v/>
      </c>
      <c r="G506" s="103"/>
      <c r="H506" s="152"/>
      <c r="J506" s="99"/>
      <c r="K506" s="104"/>
      <c r="L506" s="99"/>
      <c r="N506" s="99"/>
      <c r="O506" s="99"/>
      <c r="P506" s="34"/>
    </row>
    <row r="507">
      <c r="A507" s="28"/>
      <c r="B507" s="103"/>
      <c r="C507" s="121" t="str">
        <f t="array" ref="C507">ifs(and(isblank($A507),isblank($B507)),"", not(iserror(vlookup($A507&amp;$B507,'3) Release_Label'!$D:$D&amp;'3) Release_Label'!$E:$E,1,0))),vlookup($A507&amp;$B507,{'3) Release_Label'!$D:$D&amp;'3) Release_Label'!$E:$E,'3) Release_Label'!$F:$F},2,0), or(and(not(isblank($B507)),$B507=$B506,$A507&lt;&gt;$A506),and(not(isblank($A507)),$A507=$A506,$B507&lt;&gt;$B506)),"ID LISTS UNALIGNED",and($A507&lt;&gt;"",countif('3) Release_Label'!$D:$D,$A507)=0),"NO UPC MATCH in Release_Label",and($B507&lt;&gt;"",countif('3) Release_Label'!$E:$E,$B507)=0),"NO CATALOG ID MATCH in Release_Label",iserror(vlookup($A507&amp;$B507,'3) Release_Label'!$D:$D&amp;'3) Release_Label'!$E:$E,1,0)),"NO UPC-CATALOG ID pair MATCH in Release_Label" )</f>
        <v/>
      </c>
      <c r="D507" s="121" t="str">
        <f t="array" ref="D507">ifs(and(isblank($A507),isblank($B507)),"", not(iserror(vlookup($A507&amp;$B507,'3) Release_Label'!$D:$D&amp;'3) Release_Label'!$E:$E,1,0))),vlookup($A507&amp;$B507,{'3) Release_Label'!$D:$D&amp;'3) Release_Label'!$E:$E,'3) Release_Label'!$H:$H},2,0), or(and(not(isblank($B507)),$B507=$B506,$A507&lt;&gt;$A506),and(not(isblank($A507)),$A507=$A506,$B507&lt;&gt;$B506)),"ID LISTS UNALIGNED",and($A507&lt;&gt;"",countif('3) Release_Label'!$D:$D,$A507)=0),"NO UPC MATCH in Release_Label",and($B507&lt;&gt;"",countif('3) Release_Label'!$E:$E,$B507)=0),"NO CATALOG ID MATCH in Release_Label",iserror(vlookup($A507&amp;$B507,'3) Release_Label'!$D:$D&amp;'3) Release_Label'!$E:$E,1,0)),"NO UPC-CATALOG ID pair MATCH in Release_Label" )</f>
        <v/>
      </c>
      <c r="E507" s="141" t="str">
        <f t="shared" si="2"/>
        <v/>
      </c>
      <c r="G507" s="103"/>
      <c r="H507" s="152"/>
      <c r="J507" s="99"/>
      <c r="K507" s="104"/>
      <c r="L507" s="99"/>
      <c r="N507" s="99"/>
      <c r="O507" s="99"/>
      <c r="P507" s="34"/>
    </row>
    <row r="508">
      <c r="A508" s="28"/>
      <c r="B508" s="103"/>
      <c r="C508" s="121" t="str">
        <f t="array" ref="C508">ifs(and(isblank($A508),isblank($B508)),"", not(iserror(vlookup($A508&amp;$B508,'3) Release_Label'!$D:$D&amp;'3) Release_Label'!$E:$E,1,0))),vlookup($A508&amp;$B508,{'3) Release_Label'!$D:$D&amp;'3) Release_Label'!$E:$E,'3) Release_Label'!$F:$F},2,0), or(and(not(isblank($B508)),$B508=$B507,$A508&lt;&gt;$A507),and(not(isblank($A508)),$A508=$A507,$B508&lt;&gt;$B507)),"ID LISTS UNALIGNED",and($A508&lt;&gt;"",countif('3) Release_Label'!$D:$D,$A508)=0),"NO UPC MATCH in Release_Label",and($B508&lt;&gt;"",countif('3) Release_Label'!$E:$E,$B508)=0),"NO CATALOG ID MATCH in Release_Label",iserror(vlookup($A508&amp;$B508,'3) Release_Label'!$D:$D&amp;'3) Release_Label'!$E:$E,1,0)),"NO UPC-CATALOG ID pair MATCH in Release_Label" )</f>
        <v/>
      </c>
      <c r="D508" s="121" t="str">
        <f t="array" ref="D508">ifs(and(isblank($A508),isblank($B508)),"", not(iserror(vlookup($A508&amp;$B508,'3) Release_Label'!$D:$D&amp;'3) Release_Label'!$E:$E,1,0))),vlookup($A508&amp;$B508,{'3) Release_Label'!$D:$D&amp;'3) Release_Label'!$E:$E,'3) Release_Label'!$H:$H},2,0), or(and(not(isblank($B508)),$B508=$B507,$A508&lt;&gt;$A507),and(not(isblank($A508)),$A508=$A507,$B508&lt;&gt;$B507)),"ID LISTS UNALIGNED",and($A508&lt;&gt;"",countif('3) Release_Label'!$D:$D,$A508)=0),"NO UPC MATCH in Release_Label",and($B508&lt;&gt;"",countif('3) Release_Label'!$E:$E,$B508)=0),"NO CATALOG ID MATCH in Release_Label",iserror(vlookup($A508&amp;$B508,'3) Release_Label'!$D:$D&amp;'3) Release_Label'!$E:$E,1,0)),"NO UPC-CATALOG ID pair MATCH in Release_Label" )</f>
        <v/>
      </c>
      <c r="E508" s="141" t="str">
        <f t="shared" si="2"/>
        <v/>
      </c>
      <c r="G508" s="103"/>
      <c r="H508" s="152"/>
      <c r="J508" s="99"/>
      <c r="K508" s="104"/>
      <c r="L508" s="99"/>
      <c r="N508" s="99"/>
      <c r="O508" s="99"/>
      <c r="P508" s="34"/>
    </row>
    <row r="509">
      <c r="A509" s="28"/>
      <c r="B509" s="103"/>
      <c r="C509" s="121" t="str">
        <f t="array" ref="C509">ifs(and(isblank($A509),isblank($B509)),"", not(iserror(vlookup($A509&amp;$B509,'3) Release_Label'!$D:$D&amp;'3) Release_Label'!$E:$E,1,0))),vlookup($A509&amp;$B509,{'3) Release_Label'!$D:$D&amp;'3) Release_Label'!$E:$E,'3) Release_Label'!$F:$F},2,0), or(and(not(isblank($B509)),$B509=$B508,$A509&lt;&gt;$A508),and(not(isblank($A509)),$A509=$A508,$B509&lt;&gt;$B508)),"ID LISTS UNALIGNED",and($A509&lt;&gt;"",countif('3) Release_Label'!$D:$D,$A509)=0),"NO UPC MATCH in Release_Label",and($B509&lt;&gt;"",countif('3) Release_Label'!$E:$E,$B509)=0),"NO CATALOG ID MATCH in Release_Label",iserror(vlookup($A509&amp;$B509,'3) Release_Label'!$D:$D&amp;'3) Release_Label'!$E:$E,1,0)),"NO UPC-CATALOG ID pair MATCH in Release_Label" )</f>
        <v/>
      </c>
      <c r="D509" s="121" t="str">
        <f t="array" ref="D509">ifs(and(isblank($A509),isblank($B509)),"", not(iserror(vlookup($A509&amp;$B509,'3) Release_Label'!$D:$D&amp;'3) Release_Label'!$E:$E,1,0))),vlookup($A509&amp;$B509,{'3) Release_Label'!$D:$D&amp;'3) Release_Label'!$E:$E,'3) Release_Label'!$H:$H},2,0), or(and(not(isblank($B509)),$B509=$B508,$A509&lt;&gt;$A508),and(not(isblank($A509)),$A509=$A508,$B509&lt;&gt;$B508)),"ID LISTS UNALIGNED",and($A509&lt;&gt;"",countif('3) Release_Label'!$D:$D,$A509)=0),"NO UPC MATCH in Release_Label",and($B509&lt;&gt;"",countif('3) Release_Label'!$E:$E,$B509)=0),"NO CATALOG ID MATCH in Release_Label",iserror(vlookup($A509&amp;$B509,'3) Release_Label'!$D:$D&amp;'3) Release_Label'!$E:$E,1,0)),"NO UPC-CATALOG ID pair MATCH in Release_Label" )</f>
        <v/>
      </c>
      <c r="E509" s="141" t="str">
        <f t="shared" si="2"/>
        <v/>
      </c>
      <c r="G509" s="103"/>
      <c r="H509" s="152"/>
      <c r="J509" s="99"/>
      <c r="K509" s="104"/>
      <c r="L509" s="99"/>
      <c r="N509" s="99"/>
      <c r="O509" s="99"/>
      <c r="P509" s="34"/>
    </row>
    <row r="510">
      <c r="A510" s="28"/>
      <c r="B510" s="103"/>
      <c r="C510" s="121" t="str">
        <f t="array" ref="C510">ifs(and(isblank($A510),isblank($B510)),"", not(iserror(vlookup($A510&amp;$B510,'3) Release_Label'!$D:$D&amp;'3) Release_Label'!$E:$E,1,0))),vlookup($A510&amp;$B510,{'3) Release_Label'!$D:$D&amp;'3) Release_Label'!$E:$E,'3) Release_Label'!$F:$F},2,0), or(and(not(isblank($B510)),$B510=$B509,$A510&lt;&gt;$A509),and(not(isblank($A510)),$A510=$A509,$B510&lt;&gt;$B509)),"ID LISTS UNALIGNED",and($A510&lt;&gt;"",countif('3) Release_Label'!$D:$D,$A510)=0),"NO UPC MATCH in Release_Label",and($B510&lt;&gt;"",countif('3) Release_Label'!$E:$E,$B510)=0),"NO CATALOG ID MATCH in Release_Label",iserror(vlookup($A510&amp;$B510,'3) Release_Label'!$D:$D&amp;'3) Release_Label'!$E:$E,1,0)),"NO UPC-CATALOG ID pair MATCH in Release_Label" )</f>
        <v/>
      </c>
      <c r="D510" s="121" t="str">
        <f t="array" ref="D510">ifs(and(isblank($A510),isblank($B510)),"", not(iserror(vlookup($A510&amp;$B510,'3) Release_Label'!$D:$D&amp;'3) Release_Label'!$E:$E,1,0))),vlookup($A510&amp;$B510,{'3) Release_Label'!$D:$D&amp;'3) Release_Label'!$E:$E,'3) Release_Label'!$H:$H},2,0), or(and(not(isblank($B510)),$B510=$B509,$A510&lt;&gt;$A509),and(not(isblank($A510)),$A510=$A509,$B510&lt;&gt;$B509)),"ID LISTS UNALIGNED",and($A510&lt;&gt;"",countif('3) Release_Label'!$D:$D,$A510)=0),"NO UPC MATCH in Release_Label",and($B510&lt;&gt;"",countif('3) Release_Label'!$E:$E,$B510)=0),"NO CATALOG ID MATCH in Release_Label",iserror(vlookup($A510&amp;$B510,'3) Release_Label'!$D:$D&amp;'3) Release_Label'!$E:$E,1,0)),"NO UPC-CATALOG ID pair MATCH in Release_Label" )</f>
        <v/>
      </c>
      <c r="E510" s="141" t="str">
        <f t="shared" si="2"/>
        <v/>
      </c>
      <c r="G510" s="103"/>
      <c r="H510" s="152"/>
      <c r="J510" s="99"/>
      <c r="K510" s="104"/>
      <c r="L510" s="99"/>
      <c r="N510" s="99"/>
      <c r="O510" s="99"/>
      <c r="P510" s="34"/>
    </row>
    <row r="511">
      <c r="A511" s="28"/>
      <c r="B511" s="103"/>
      <c r="C511" s="121" t="str">
        <f t="array" ref="C511">ifs(and(isblank($A511),isblank($B511)),"", not(iserror(vlookup($A511&amp;$B511,'3) Release_Label'!$D:$D&amp;'3) Release_Label'!$E:$E,1,0))),vlookup($A511&amp;$B511,{'3) Release_Label'!$D:$D&amp;'3) Release_Label'!$E:$E,'3) Release_Label'!$F:$F},2,0), or(and(not(isblank($B511)),$B511=$B510,$A511&lt;&gt;$A510),and(not(isblank($A511)),$A511=$A510,$B511&lt;&gt;$B510)),"ID LISTS UNALIGNED",and($A511&lt;&gt;"",countif('3) Release_Label'!$D:$D,$A511)=0),"NO UPC MATCH in Release_Label",and($B511&lt;&gt;"",countif('3) Release_Label'!$E:$E,$B511)=0),"NO CATALOG ID MATCH in Release_Label",iserror(vlookup($A511&amp;$B511,'3) Release_Label'!$D:$D&amp;'3) Release_Label'!$E:$E,1,0)),"NO UPC-CATALOG ID pair MATCH in Release_Label" )</f>
        <v/>
      </c>
      <c r="D511" s="121" t="str">
        <f t="array" ref="D511">ifs(and(isblank($A511),isblank($B511)),"", not(iserror(vlookup($A511&amp;$B511,'3) Release_Label'!$D:$D&amp;'3) Release_Label'!$E:$E,1,0))),vlookup($A511&amp;$B511,{'3) Release_Label'!$D:$D&amp;'3) Release_Label'!$E:$E,'3) Release_Label'!$H:$H},2,0), or(and(not(isblank($B511)),$B511=$B510,$A511&lt;&gt;$A510),and(not(isblank($A511)),$A511=$A510,$B511&lt;&gt;$B510)),"ID LISTS UNALIGNED",and($A511&lt;&gt;"",countif('3) Release_Label'!$D:$D,$A511)=0),"NO UPC MATCH in Release_Label",and($B511&lt;&gt;"",countif('3) Release_Label'!$E:$E,$B511)=0),"NO CATALOG ID MATCH in Release_Label",iserror(vlookup($A511&amp;$B511,'3) Release_Label'!$D:$D&amp;'3) Release_Label'!$E:$E,1,0)),"NO UPC-CATALOG ID pair MATCH in Release_Label" )</f>
        <v/>
      </c>
      <c r="E511" s="141" t="str">
        <f t="shared" si="2"/>
        <v/>
      </c>
      <c r="G511" s="103"/>
      <c r="H511" s="152"/>
      <c r="J511" s="99"/>
      <c r="K511" s="104"/>
      <c r="L511" s="99"/>
      <c r="N511" s="99"/>
      <c r="O511" s="99"/>
      <c r="P511" s="34"/>
    </row>
    <row r="512">
      <c r="A512" s="28"/>
      <c r="B512" s="103"/>
      <c r="C512" s="121" t="str">
        <f t="array" ref="C512">ifs(and(isblank($A512),isblank($B512)),"", not(iserror(vlookup($A512&amp;$B512,'3) Release_Label'!$D:$D&amp;'3) Release_Label'!$E:$E,1,0))),vlookup($A512&amp;$B512,{'3) Release_Label'!$D:$D&amp;'3) Release_Label'!$E:$E,'3) Release_Label'!$F:$F},2,0), or(and(not(isblank($B512)),$B512=$B511,$A512&lt;&gt;$A511),and(not(isblank($A512)),$A512=$A511,$B512&lt;&gt;$B511)),"ID LISTS UNALIGNED",and($A512&lt;&gt;"",countif('3) Release_Label'!$D:$D,$A512)=0),"NO UPC MATCH in Release_Label",and($B512&lt;&gt;"",countif('3) Release_Label'!$E:$E,$B512)=0),"NO CATALOG ID MATCH in Release_Label",iserror(vlookup($A512&amp;$B512,'3) Release_Label'!$D:$D&amp;'3) Release_Label'!$E:$E,1,0)),"NO UPC-CATALOG ID pair MATCH in Release_Label" )</f>
        <v/>
      </c>
      <c r="D512" s="121" t="str">
        <f t="array" ref="D512">ifs(and(isblank($A512),isblank($B512)),"", not(iserror(vlookup($A512&amp;$B512,'3) Release_Label'!$D:$D&amp;'3) Release_Label'!$E:$E,1,0))),vlookup($A512&amp;$B512,{'3) Release_Label'!$D:$D&amp;'3) Release_Label'!$E:$E,'3) Release_Label'!$H:$H},2,0), or(and(not(isblank($B512)),$B512=$B511,$A512&lt;&gt;$A511),and(not(isblank($A512)),$A512=$A511,$B512&lt;&gt;$B511)),"ID LISTS UNALIGNED",and($A512&lt;&gt;"",countif('3) Release_Label'!$D:$D,$A512)=0),"NO UPC MATCH in Release_Label",and($B512&lt;&gt;"",countif('3) Release_Label'!$E:$E,$B512)=0),"NO CATALOG ID MATCH in Release_Label",iserror(vlookup($A512&amp;$B512,'3) Release_Label'!$D:$D&amp;'3) Release_Label'!$E:$E,1,0)),"NO UPC-CATALOG ID pair MATCH in Release_Label" )</f>
        <v/>
      </c>
      <c r="E512" s="141" t="str">
        <f t="shared" si="2"/>
        <v/>
      </c>
      <c r="G512" s="103"/>
      <c r="H512" s="152"/>
      <c r="J512" s="99"/>
      <c r="K512" s="104"/>
      <c r="L512" s="99"/>
      <c r="N512" s="99"/>
      <c r="O512" s="99"/>
      <c r="P512" s="34"/>
    </row>
    <row r="513">
      <c r="A513" s="28"/>
      <c r="B513" s="103"/>
      <c r="C513" s="121" t="str">
        <f t="array" ref="C513">ifs(and(isblank($A513),isblank($B513)),"", not(iserror(vlookup($A513&amp;$B513,'3) Release_Label'!$D:$D&amp;'3) Release_Label'!$E:$E,1,0))),vlookup($A513&amp;$B513,{'3) Release_Label'!$D:$D&amp;'3) Release_Label'!$E:$E,'3) Release_Label'!$F:$F},2,0), or(and(not(isblank($B513)),$B513=$B512,$A513&lt;&gt;$A512),and(not(isblank($A513)),$A513=$A512,$B513&lt;&gt;$B512)),"ID LISTS UNALIGNED",and($A513&lt;&gt;"",countif('3) Release_Label'!$D:$D,$A513)=0),"NO UPC MATCH in Release_Label",and($B513&lt;&gt;"",countif('3) Release_Label'!$E:$E,$B513)=0),"NO CATALOG ID MATCH in Release_Label",iserror(vlookup($A513&amp;$B513,'3) Release_Label'!$D:$D&amp;'3) Release_Label'!$E:$E,1,0)),"NO UPC-CATALOG ID pair MATCH in Release_Label" )</f>
        <v/>
      </c>
      <c r="D513" s="121" t="str">
        <f t="array" ref="D513">ifs(and(isblank($A513),isblank($B513)),"", not(iserror(vlookup($A513&amp;$B513,'3) Release_Label'!$D:$D&amp;'3) Release_Label'!$E:$E,1,0))),vlookup($A513&amp;$B513,{'3) Release_Label'!$D:$D&amp;'3) Release_Label'!$E:$E,'3) Release_Label'!$H:$H},2,0), or(and(not(isblank($B513)),$B513=$B512,$A513&lt;&gt;$A512),and(not(isblank($A513)),$A513=$A512,$B513&lt;&gt;$B512)),"ID LISTS UNALIGNED",and($A513&lt;&gt;"",countif('3) Release_Label'!$D:$D,$A513)=0),"NO UPC MATCH in Release_Label",and($B513&lt;&gt;"",countif('3) Release_Label'!$E:$E,$B513)=0),"NO CATALOG ID MATCH in Release_Label",iserror(vlookup($A513&amp;$B513,'3) Release_Label'!$D:$D&amp;'3) Release_Label'!$E:$E,1,0)),"NO UPC-CATALOG ID pair MATCH in Release_Label" )</f>
        <v/>
      </c>
      <c r="E513" s="141" t="str">
        <f t="shared" si="2"/>
        <v/>
      </c>
      <c r="G513" s="103"/>
      <c r="H513" s="152"/>
      <c r="J513" s="99"/>
      <c r="K513" s="104"/>
      <c r="L513" s="99"/>
      <c r="N513" s="99"/>
      <c r="O513" s="99"/>
      <c r="P513" s="34"/>
    </row>
    <row r="514">
      <c r="A514" s="28"/>
      <c r="B514" s="103"/>
      <c r="C514" s="121" t="str">
        <f t="array" ref="C514">ifs(and(isblank($A514),isblank($B514)),"", not(iserror(vlookup($A514&amp;$B514,'3) Release_Label'!$D:$D&amp;'3) Release_Label'!$E:$E,1,0))),vlookup($A514&amp;$B514,{'3) Release_Label'!$D:$D&amp;'3) Release_Label'!$E:$E,'3) Release_Label'!$F:$F},2,0), or(and(not(isblank($B514)),$B514=$B513,$A514&lt;&gt;$A513),and(not(isblank($A514)),$A514=$A513,$B514&lt;&gt;$B513)),"ID LISTS UNALIGNED",and($A514&lt;&gt;"",countif('3) Release_Label'!$D:$D,$A514)=0),"NO UPC MATCH in Release_Label",and($B514&lt;&gt;"",countif('3) Release_Label'!$E:$E,$B514)=0),"NO CATALOG ID MATCH in Release_Label",iserror(vlookup($A514&amp;$B514,'3) Release_Label'!$D:$D&amp;'3) Release_Label'!$E:$E,1,0)),"NO UPC-CATALOG ID pair MATCH in Release_Label" )</f>
        <v/>
      </c>
      <c r="D514" s="121" t="str">
        <f t="array" ref="D514">ifs(and(isblank($A514),isblank($B514)),"", not(iserror(vlookup($A514&amp;$B514,'3) Release_Label'!$D:$D&amp;'3) Release_Label'!$E:$E,1,0))),vlookup($A514&amp;$B514,{'3) Release_Label'!$D:$D&amp;'3) Release_Label'!$E:$E,'3) Release_Label'!$H:$H},2,0), or(and(not(isblank($B514)),$B514=$B513,$A514&lt;&gt;$A513),and(not(isblank($A514)),$A514=$A513,$B514&lt;&gt;$B513)),"ID LISTS UNALIGNED",and($A514&lt;&gt;"",countif('3) Release_Label'!$D:$D,$A514)=0),"NO UPC MATCH in Release_Label",and($B514&lt;&gt;"",countif('3) Release_Label'!$E:$E,$B514)=0),"NO CATALOG ID MATCH in Release_Label",iserror(vlookup($A514&amp;$B514,'3) Release_Label'!$D:$D&amp;'3) Release_Label'!$E:$E,1,0)),"NO UPC-CATALOG ID pair MATCH in Release_Label" )</f>
        <v/>
      </c>
      <c r="E514" s="141" t="str">
        <f t="shared" si="2"/>
        <v/>
      </c>
      <c r="G514" s="103"/>
      <c r="H514" s="152"/>
      <c r="J514" s="99"/>
      <c r="K514" s="104"/>
      <c r="L514" s="99"/>
      <c r="N514" s="99"/>
      <c r="O514" s="99"/>
      <c r="P514" s="34"/>
    </row>
    <row r="515">
      <c r="A515" s="28"/>
      <c r="B515" s="103"/>
      <c r="C515" s="121" t="str">
        <f t="array" ref="C515">ifs(and(isblank($A515),isblank($B515)),"", not(iserror(vlookup($A515&amp;$B515,'3) Release_Label'!$D:$D&amp;'3) Release_Label'!$E:$E,1,0))),vlookup($A515&amp;$B515,{'3) Release_Label'!$D:$D&amp;'3) Release_Label'!$E:$E,'3) Release_Label'!$F:$F},2,0), or(and(not(isblank($B515)),$B515=$B514,$A515&lt;&gt;$A514),and(not(isblank($A515)),$A515=$A514,$B515&lt;&gt;$B514)),"ID LISTS UNALIGNED",and($A515&lt;&gt;"",countif('3) Release_Label'!$D:$D,$A515)=0),"NO UPC MATCH in Release_Label",and($B515&lt;&gt;"",countif('3) Release_Label'!$E:$E,$B515)=0),"NO CATALOG ID MATCH in Release_Label",iserror(vlookup($A515&amp;$B515,'3) Release_Label'!$D:$D&amp;'3) Release_Label'!$E:$E,1,0)),"NO UPC-CATALOG ID pair MATCH in Release_Label" )</f>
        <v/>
      </c>
      <c r="D515" s="121" t="str">
        <f t="array" ref="D515">ifs(and(isblank($A515),isblank($B515)),"", not(iserror(vlookup($A515&amp;$B515,'3) Release_Label'!$D:$D&amp;'3) Release_Label'!$E:$E,1,0))),vlookup($A515&amp;$B515,{'3) Release_Label'!$D:$D&amp;'3) Release_Label'!$E:$E,'3) Release_Label'!$H:$H},2,0), or(and(not(isblank($B515)),$B515=$B514,$A515&lt;&gt;$A514),and(not(isblank($A515)),$A515=$A514,$B515&lt;&gt;$B514)),"ID LISTS UNALIGNED",and($A515&lt;&gt;"",countif('3) Release_Label'!$D:$D,$A515)=0),"NO UPC MATCH in Release_Label",and($B515&lt;&gt;"",countif('3) Release_Label'!$E:$E,$B515)=0),"NO CATALOG ID MATCH in Release_Label",iserror(vlookup($A515&amp;$B515,'3) Release_Label'!$D:$D&amp;'3) Release_Label'!$E:$E,1,0)),"NO UPC-CATALOG ID pair MATCH in Release_Label" )</f>
        <v/>
      </c>
      <c r="E515" s="141" t="str">
        <f t="shared" si="2"/>
        <v/>
      </c>
      <c r="G515" s="103"/>
      <c r="H515" s="152"/>
      <c r="J515" s="99"/>
      <c r="K515" s="104"/>
      <c r="L515" s="99"/>
      <c r="N515" s="99"/>
      <c r="O515" s="99"/>
      <c r="P515" s="34"/>
    </row>
    <row r="516">
      <c r="A516" s="28"/>
      <c r="B516" s="103"/>
      <c r="C516" s="121" t="str">
        <f t="array" ref="C516">ifs(and(isblank($A516),isblank($B516)),"", not(iserror(vlookup($A516&amp;$B516,'3) Release_Label'!$D:$D&amp;'3) Release_Label'!$E:$E,1,0))),vlookup($A516&amp;$B516,{'3) Release_Label'!$D:$D&amp;'3) Release_Label'!$E:$E,'3) Release_Label'!$F:$F},2,0), or(and(not(isblank($B516)),$B516=$B515,$A516&lt;&gt;$A515),and(not(isblank($A516)),$A516=$A515,$B516&lt;&gt;$B515)),"ID LISTS UNALIGNED",and($A516&lt;&gt;"",countif('3) Release_Label'!$D:$D,$A516)=0),"NO UPC MATCH in Release_Label",and($B516&lt;&gt;"",countif('3) Release_Label'!$E:$E,$B516)=0),"NO CATALOG ID MATCH in Release_Label",iserror(vlookup($A516&amp;$B516,'3) Release_Label'!$D:$D&amp;'3) Release_Label'!$E:$E,1,0)),"NO UPC-CATALOG ID pair MATCH in Release_Label" )</f>
        <v/>
      </c>
      <c r="D516" s="121" t="str">
        <f t="array" ref="D516">ifs(and(isblank($A516),isblank($B516)),"", not(iserror(vlookup($A516&amp;$B516,'3) Release_Label'!$D:$D&amp;'3) Release_Label'!$E:$E,1,0))),vlookup($A516&amp;$B516,{'3) Release_Label'!$D:$D&amp;'3) Release_Label'!$E:$E,'3) Release_Label'!$H:$H},2,0), or(and(not(isblank($B516)),$B516=$B515,$A516&lt;&gt;$A515),and(not(isblank($A516)),$A516=$A515,$B516&lt;&gt;$B515)),"ID LISTS UNALIGNED",and($A516&lt;&gt;"",countif('3) Release_Label'!$D:$D,$A516)=0),"NO UPC MATCH in Release_Label",and($B516&lt;&gt;"",countif('3) Release_Label'!$E:$E,$B516)=0),"NO CATALOG ID MATCH in Release_Label",iserror(vlookup($A516&amp;$B516,'3) Release_Label'!$D:$D&amp;'3) Release_Label'!$E:$E,1,0)),"NO UPC-CATALOG ID pair MATCH in Release_Label" )</f>
        <v/>
      </c>
      <c r="E516" s="141" t="str">
        <f t="shared" si="2"/>
        <v/>
      </c>
      <c r="G516" s="103"/>
      <c r="H516" s="152"/>
      <c r="J516" s="99"/>
      <c r="K516" s="104"/>
      <c r="L516" s="99"/>
      <c r="N516" s="99"/>
      <c r="O516" s="99"/>
      <c r="P516" s="34"/>
    </row>
    <row r="517">
      <c r="A517" s="28"/>
      <c r="B517" s="103"/>
      <c r="C517" s="121" t="str">
        <f t="array" ref="C517">ifs(and(isblank($A517),isblank($B517)),"", not(iserror(vlookup($A517&amp;$B517,'3) Release_Label'!$D:$D&amp;'3) Release_Label'!$E:$E,1,0))),vlookup($A517&amp;$B517,{'3) Release_Label'!$D:$D&amp;'3) Release_Label'!$E:$E,'3) Release_Label'!$F:$F},2,0), or(and(not(isblank($B517)),$B517=$B516,$A517&lt;&gt;$A516),and(not(isblank($A517)),$A517=$A516,$B517&lt;&gt;$B516)),"ID LISTS UNALIGNED",and($A517&lt;&gt;"",countif('3) Release_Label'!$D:$D,$A517)=0),"NO UPC MATCH in Release_Label",and($B517&lt;&gt;"",countif('3) Release_Label'!$E:$E,$B517)=0),"NO CATALOG ID MATCH in Release_Label",iserror(vlookup($A517&amp;$B517,'3) Release_Label'!$D:$D&amp;'3) Release_Label'!$E:$E,1,0)),"NO UPC-CATALOG ID pair MATCH in Release_Label" )</f>
        <v/>
      </c>
      <c r="D517" s="121" t="str">
        <f t="array" ref="D517">ifs(and(isblank($A517),isblank($B517)),"", not(iserror(vlookup($A517&amp;$B517,'3) Release_Label'!$D:$D&amp;'3) Release_Label'!$E:$E,1,0))),vlookup($A517&amp;$B517,{'3) Release_Label'!$D:$D&amp;'3) Release_Label'!$E:$E,'3) Release_Label'!$H:$H},2,0), or(and(not(isblank($B517)),$B517=$B516,$A517&lt;&gt;$A516),and(not(isblank($A517)),$A517=$A516,$B517&lt;&gt;$B516)),"ID LISTS UNALIGNED",and($A517&lt;&gt;"",countif('3) Release_Label'!$D:$D,$A517)=0),"NO UPC MATCH in Release_Label",and($B517&lt;&gt;"",countif('3) Release_Label'!$E:$E,$B517)=0),"NO CATALOG ID MATCH in Release_Label",iserror(vlookup($A517&amp;$B517,'3) Release_Label'!$D:$D&amp;'3) Release_Label'!$E:$E,1,0)),"NO UPC-CATALOG ID pair MATCH in Release_Label" )</f>
        <v/>
      </c>
      <c r="E517" s="141" t="str">
        <f t="shared" si="2"/>
        <v/>
      </c>
      <c r="G517" s="103"/>
      <c r="H517" s="152"/>
      <c r="J517" s="99"/>
      <c r="K517" s="104"/>
      <c r="L517" s="99"/>
      <c r="N517" s="99"/>
      <c r="O517" s="99"/>
      <c r="P517" s="34"/>
    </row>
    <row r="518">
      <c r="A518" s="28"/>
      <c r="B518" s="103"/>
      <c r="C518" s="121" t="str">
        <f t="array" ref="C518">ifs(and(isblank($A518),isblank($B518)),"", not(iserror(vlookup($A518&amp;$B518,'3) Release_Label'!$D:$D&amp;'3) Release_Label'!$E:$E,1,0))),vlookup($A518&amp;$B518,{'3) Release_Label'!$D:$D&amp;'3) Release_Label'!$E:$E,'3) Release_Label'!$F:$F},2,0), or(and(not(isblank($B518)),$B518=$B517,$A518&lt;&gt;$A517),and(not(isblank($A518)),$A518=$A517,$B518&lt;&gt;$B517)),"ID LISTS UNALIGNED",and($A518&lt;&gt;"",countif('3) Release_Label'!$D:$D,$A518)=0),"NO UPC MATCH in Release_Label",and($B518&lt;&gt;"",countif('3) Release_Label'!$E:$E,$B518)=0),"NO CATALOG ID MATCH in Release_Label",iserror(vlookup($A518&amp;$B518,'3) Release_Label'!$D:$D&amp;'3) Release_Label'!$E:$E,1,0)),"NO UPC-CATALOG ID pair MATCH in Release_Label" )</f>
        <v/>
      </c>
      <c r="D518" s="121" t="str">
        <f t="array" ref="D518">ifs(and(isblank($A518),isblank($B518)),"", not(iserror(vlookup($A518&amp;$B518,'3) Release_Label'!$D:$D&amp;'3) Release_Label'!$E:$E,1,0))),vlookup($A518&amp;$B518,{'3) Release_Label'!$D:$D&amp;'3) Release_Label'!$E:$E,'3) Release_Label'!$H:$H},2,0), or(and(not(isblank($B518)),$B518=$B517,$A518&lt;&gt;$A517),and(not(isblank($A518)),$A518=$A517,$B518&lt;&gt;$B517)),"ID LISTS UNALIGNED",and($A518&lt;&gt;"",countif('3) Release_Label'!$D:$D,$A518)=0),"NO UPC MATCH in Release_Label",and($B518&lt;&gt;"",countif('3) Release_Label'!$E:$E,$B518)=0),"NO CATALOG ID MATCH in Release_Label",iserror(vlookup($A518&amp;$B518,'3) Release_Label'!$D:$D&amp;'3) Release_Label'!$E:$E,1,0)),"NO UPC-CATALOG ID pair MATCH in Release_Label" )</f>
        <v/>
      </c>
      <c r="E518" s="141" t="str">
        <f t="shared" si="2"/>
        <v/>
      </c>
      <c r="G518" s="103"/>
      <c r="H518" s="152"/>
      <c r="J518" s="99"/>
      <c r="K518" s="104"/>
      <c r="L518" s="99"/>
      <c r="N518" s="99"/>
      <c r="O518" s="99"/>
      <c r="P518" s="34"/>
    </row>
    <row r="519">
      <c r="A519" s="28"/>
      <c r="B519" s="103"/>
      <c r="C519" s="121" t="str">
        <f t="array" ref="C519">ifs(and(isblank($A519),isblank($B519)),"", not(iserror(vlookup($A519&amp;$B519,'3) Release_Label'!$D:$D&amp;'3) Release_Label'!$E:$E,1,0))),vlookup($A519&amp;$B519,{'3) Release_Label'!$D:$D&amp;'3) Release_Label'!$E:$E,'3) Release_Label'!$F:$F},2,0), or(and(not(isblank($B519)),$B519=$B518,$A519&lt;&gt;$A518),and(not(isblank($A519)),$A519=$A518,$B519&lt;&gt;$B518)),"ID LISTS UNALIGNED",and($A519&lt;&gt;"",countif('3) Release_Label'!$D:$D,$A519)=0),"NO UPC MATCH in Release_Label",and($B519&lt;&gt;"",countif('3) Release_Label'!$E:$E,$B519)=0),"NO CATALOG ID MATCH in Release_Label",iserror(vlookup($A519&amp;$B519,'3) Release_Label'!$D:$D&amp;'3) Release_Label'!$E:$E,1,0)),"NO UPC-CATALOG ID pair MATCH in Release_Label" )</f>
        <v/>
      </c>
      <c r="D519" s="121" t="str">
        <f t="array" ref="D519">ifs(and(isblank($A519),isblank($B519)),"", not(iserror(vlookup($A519&amp;$B519,'3) Release_Label'!$D:$D&amp;'3) Release_Label'!$E:$E,1,0))),vlookup($A519&amp;$B519,{'3) Release_Label'!$D:$D&amp;'3) Release_Label'!$E:$E,'3) Release_Label'!$H:$H},2,0), or(and(not(isblank($B519)),$B519=$B518,$A519&lt;&gt;$A518),and(not(isblank($A519)),$A519=$A518,$B519&lt;&gt;$B518)),"ID LISTS UNALIGNED",and($A519&lt;&gt;"",countif('3) Release_Label'!$D:$D,$A519)=0),"NO UPC MATCH in Release_Label",and($B519&lt;&gt;"",countif('3) Release_Label'!$E:$E,$B519)=0),"NO CATALOG ID MATCH in Release_Label",iserror(vlookup($A519&amp;$B519,'3) Release_Label'!$D:$D&amp;'3) Release_Label'!$E:$E,1,0)),"NO UPC-CATALOG ID pair MATCH in Release_Label" )</f>
        <v/>
      </c>
      <c r="E519" s="141" t="str">
        <f t="shared" si="2"/>
        <v/>
      </c>
      <c r="G519" s="103"/>
      <c r="H519" s="152"/>
      <c r="J519" s="99"/>
      <c r="K519" s="104"/>
      <c r="L519" s="99"/>
      <c r="N519" s="99"/>
      <c r="O519" s="99"/>
      <c r="P519" s="34"/>
    </row>
    <row r="520">
      <c r="A520" s="28"/>
      <c r="B520" s="103"/>
      <c r="C520" s="121" t="str">
        <f t="array" ref="C520">ifs(and(isblank($A520),isblank($B520)),"", not(iserror(vlookup($A520&amp;$B520,'3) Release_Label'!$D:$D&amp;'3) Release_Label'!$E:$E,1,0))),vlookup($A520&amp;$B520,{'3) Release_Label'!$D:$D&amp;'3) Release_Label'!$E:$E,'3) Release_Label'!$F:$F},2,0), or(and(not(isblank($B520)),$B520=$B519,$A520&lt;&gt;$A519),and(not(isblank($A520)),$A520=$A519,$B520&lt;&gt;$B519)),"ID LISTS UNALIGNED",and($A520&lt;&gt;"",countif('3) Release_Label'!$D:$D,$A520)=0),"NO UPC MATCH in Release_Label",and($B520&lt;&gt;"",countif('3) Release_Label'!$E:$E,$B520)=0),"NO CATALOG ID MATCH in Release_Label",iserror(vlookup($A520&amp;$B520,'3) Release_Label'!$D:$D&amp;'3) Release_Label'!$E:$E,1,0)),"NO UPC-CATALOG ID pair MATCH in Release_Label" )</f>
        <v/>
      </c>
      <c r="D520" s="121" t="str">
        <f t="array" ref="D520">ifs(and(isblank($A520),isblank($B520)),"", not(iserror(vlookup($A520&amp;$B520,'3) Release_Label'!$D:$D&amp;'3) Release_Label'!$E:$E,1,0))),vlookup($A520&amp;$B520,{'3) Release_Label'!$D:$D&amp;'3) Release_Label'!$E:$E,'3) Release_Label'!$H:$H},2,0), or(and(not(isblank($B520)),$B520=$B519,$A520&lt;&gt;$A519),and(not(isblank($A520)),$A520=$A519,$B520&lt;&gt;$B519)),"ID LISTS UNALIGNED",and($A520&lt;&gt;"",countif('3) Release_Label'!$D:$D,$A520)=0),"NO UPC MATCH in Release_Label",and($B520&lt;&gt;"",countif('3) Release_Label'!$E:$E,$B520)=0),"NO CATALOG ID MATCH in Release_Label",iserror(vlookup($A520&amp;$B520,'3) Release_Label'!$D:$D&amp;'3) Release_Label'!$E:$E,1,0)),"NO UPC-CATALOG ID pair MATCH in Release_Label" )</f>
        <v/>
      </c>
      <c r="E520" s="141" t="str">
        <f t="shared" si="2"/>
        <v/>
      </c>
      <c r="G520" s="103"/>
      <c r="H520" s="152"/>
      <c r="J520" s="99"/>
      <c r="K520" s="104"/>
      <c r="L520" s="99"/>
      <c r="N520" s="99"/>
      <c r="O520" s="99"/>
      <c r="P520" s="34"/>
    </row>
    <row r="521">
      <c r="A521" s="28"/>
      <c r="B521" s="103"/>
      <c r="C521" s="121" t="str">
        <f t="array" ref="C521">ifs(and(isblank($A521),isblank($B521)),"", not(iserror(vlookup($A521&amp;$B521,'3) Release_Label'!$D:$D&amp;'3) Release_Label'!$E:$E,1,0))),vlookup($A521&amp;$B521,{'3) Release_Label'!$D:$D&amp;'3) Release_Label'!$E:$E,'3) Release_Label'!$F:$F},2,0), or(and(not(isblank($B521)),$B521=$B520,$A521&lt;&gt;$A520),and(not(isblank($A521)),$A521=$A520,$B521&lt;&gt;$B520)),"ID LISTS UNALIGNED",and($A521&lt;&gt;"",countif('3) Release_Label'!$D:$D,$A521)=0),"NO UPC MATCH in Release_Label",and($B521&lt;&gt;"",countif('3) Release_Label'!$E:$E,$B521)=0),"NO CATALOG ID MATCH in Release_Label",iserror(vlookup($A521&amp;$B521,'3) Release_Label'!$D:$D&amp;'3) Release_Label'!$E:$E,1,0)),"NO UPC-CATALOG ID pair MATCH in Release_Label" )</f>
        <v/>
      </c>
      <c r="D521" s="121" t="str">
        <f t="array" ref="D521">ifs(and(isblank($A521),isblank($B521)),"", not(iserror(vlookup($A521&amp;$B521,'3) Release_Label'!$D:$D&amp;'3) Release_Label'!$E:$E,1,0))),vlookup($A521&amp;$B521,{'3) Release_Label'!$D:$D&amp;'3) Release_Label'!$E:$E,'3) Release_Label'!$H:$H},2,0), or(and(not(isblank($B521)),$B521=$B520,$A521&lt;&gt;$A520),and(not(isblank($A521)),$A521=$A520,$B521&lt;&gt;$B520)),"ID LISTS UNALIGNED",and($A521&lt;&gt;"",countif('3) Release_Label'!$D:$D,$A521)=0),"NO UPC MATCH in Release_Label",and($B521&lt;&gt;"",countif('3) Release_Label'!$E:$E,$B521)=0),"NO CATALOG ID MATCH in Release_Label",iserror(vlookup($A521&amp;$B521,'3) Release_Label'!$D:$D&amp;'3) Release_Label'!$E:$E,1,0)),"NO UPC-CATALOG ID pair MATCH in Release_Label" )</f>
        <v/>
      </c>
      <c r="E521" s="141" t="str">
        <f t="shared" si="2"/>
        <v/>
      </c>
      <c r="G521" s="103"/>
      <c r="H521" s="152"/>
      <c r="J521" s="99"/>
      <c r="K521" s="104"/>
      <c r="L521" s="99"/>
      <c r="N521" s="99"/>
      <c r="O521" s="99"/>
      <c r="P521" s="34"/>
    </row>
    <row r="522">
      <c r="A522" s="28"/>
      <c r="B522" s="103"/>
      <c r="C522" s="121" t="str">
        <f t="array" ref="C522">ifs(and(isblank($A522),isblank($B522)),"", not(iserror(vlookup($A522&amp;$B522,'3) Release_Label'!$D:$D&amp;'3) Release_Label'!$E:$E,1,0))),vlookup($A522&amp;$B522,{'3) Release_Label'!$D:$D&amp;'3) Release_Label'!$E:$E,'3) Release_Label'!$F:$F},2,0), or(and(not(isblank($B522)),$B522=$B521,$A522&lt;&gt;$A521),and(not(isblank($A522)),$A522=$A521,$B522&lt;&gt;$B521)),"ID LISTS UNALIGNED",and($A522&lt;&gt;"",countif('3) Release_Label'!$D:$D,$A522)=0),"NO UPC MATCH in Release_Label",and($B522&lt;&gt;"",countif('3) Release_Label'!$E:$E,$B522)=0),"NO CATALOG ID MATCH in Release_Label",iserror(vlookup($A522&amp;$B522,'3) Release_Label'!$D:$D&amp;'3) Release_Label'!$E:$E,1,0)),"NO UPC-CATALOG ID pair MATCH in Release_Label" )</f>
        <v/>
      </c>
      <c r="D522" s="121" t="str">
        <f t="array" ref="D522">ifs(and(isblank($A522),isblank($B522)),"", not(iserror(vlookup($A522&amp;$B522,'3) Release_Label'!$D:$D&amp;'3) Release_Label'!$E:$E,1,0))),vlookup($A522&amp;$B522,{'3) Release_Label'!$D:$D&amp;'3) Release_Label'!$E:$E,'3) Release_Label'!$H:$H},2,0), or(and(not(isblank($B522)),$B522=$B521,$A522&lt;&gt;$A521),and(not(isblank($A522)),$A522=$A521,$B522&lt;&gt;$B521)),"ID LISTS UNALIGNED",and($A522&lt;&gt;"",countif('3) Release_Label'!$D:$D,$A522)=0),"NO UPC MATCH in Release_Label",and($B522&lt;&gt;"",countif('3) Release_Label'!$E:$E,$B522)=0),"NO CATALOG ID MATCH in Release_Label",iserror(vlookup($A522&amp;$B522,'3) Release_Label'!$D:$D&amp;'3) Release_Label'!$E:$E,1,0)),"NO UPC-CATALOG ID pair MATCH in Release_Label" )</f>
        <v/>
      </c>
      <c r="E522" s="141" t="str">
        <f t="shared" si="2"/>
        <v/>
      </c>
      <c r="G522" s="103"/>
      <c r="H522" s="152"/>
      <c r="J522" s="99"/>
      <c r="K522" s="104"/>
      <c r="L522" s="99"/>
      <c r="N522" s="99"/>
      <c r="O522" s="99"/>
      <c r="P522" s="34"/>
    </row>
    <row r="523">
      <c r="A523" s="28"/>
      <c r="B523" s="103"/>
      <c r="C523" s="121" t="str">
        <f t="array" ref="C523">ifs(and(isblank($A523),isblank($B523)),"", not(iserror(vlookup($A523&amp;$B523,'3) Release_Label'!$D:$D&amp;'3) Release_Label'!$E:$E,1,0))),vlookup($A523&amp;$B523,{'3) Release_Label'!$D:$D&amp;'3) Release_Label'!$E:$E,'3) Release_Label'!$F:$F},2,0), or(and(not(isblank($B523)),$B523=$B522,$A523&lt;&gt;$A522),and(not(isblank($A523)),$A523=$A522,$B523&lt;&gt;$B522)),"ID LISTS UNALIGNED",and($A523&lt;&gt;"",countif('3) Release_Label'!$D:$D,$A523)=0),"NO UPC MATCH in Release_Label",and($B523&lt;&gt;"",countif('3) Release_Label'!$E:$E,$B523)=0),"NO CATALOG ID MATCH in Release_Label",iserror(vlookup($A523&amp;$B523,'3) Release_Label'!$D:$D&amp;'3) Release_Label'!$E:$E,1,0)),"NO UPC-CATALOG ID pair MATCH in Release_Label" )</f>
        <v/>
      </c>
      <c r="D523" s="121" t="str">
        <f t="array" ref="D523">ifs(and(isblank($A523),isblank($B523)),"", not(iserror(vlookup($A523&amp;$B523,'3) Release_Label'!$D:$D&amp;'3) Release_Label'!$E:$E,1,0))),vlookup($A523&amp;$B523,{'3) Release_Label'!$D:$D&amp;'3) Release_Label'!$E:$E,'3) Release_Label'!$H:$H},2,0), or(and(not(isblank($B523)),$B523=$B522,$A523&lt;&gt;$A522),and(not(isblank($A523)),$A523=$A522,$B523&lt;&gt;$B522)),"ID LISTS UNALIGNED",and($A523&lt;&gt;"",countif('3) Release_Label'!$D:$D,$A523)=0),"NO UPC MATCH in Release_Label",and($B523&lt;&gt;"",countif('3) Release_Label'!$E:$E,$B523)=0),"NO CATALOG ID MATCH in Release_Label",iserror(vlookup($A523&amp;$B523,'3) Release_Label'!$D:$D&amp;'3) Release_Label'!$E:$E,1,0)),"NO UPC-CATALOG ID pair MATCH in Release_Label" )</f>
        <v/>
      </c>
      <c r="E523" s="141" t="str">
        <f t="shared" si="2"/>
        <v/>
      </c>
      <c r="G523" s="103"/>
      <c r="H523" s="152"/>
      <c r="J523" s="99"/>
      <c r="K523" s="104"/>
      <c r="L523" s="99"/>
      <c r="N523" s="99"/>
      <c r="O523" s="99"/>
      <c r="P523" s="34"/>
    </row>
    <row r="524">
      <c r="A524" s="28"/>
      <c r="B524" s="103"/>
      <c r="C524" s="121" t="str">
        <f t="array" ref="C524">ifs(and(isblank($A524),isblank($B524)),"", not(iserror(vlookup($A524&amp;$B524,'3) Release_Label'!$D:$D&amp;'3) Release_Label'!$E:$E,1,0))),vlookup($A524&amp;$B524,{'3) Release_Label'!$D:$D&amp;'3) Release_Label'!$E:$E,'3) Release_Label'!$F:$F},2,0), or(and(not(isblank($B524)),$B524=$B523,$A524&lt;&gt;$A523),and(not(isblank($A524)),$A524=$A523,$B524&lt;&gt;$B523)),"ID LISTS UNALIGNED",and($A524&lt;&gt;"",countif('3) Release_Label'!$D:$D,$A524)=0),"NO UPC MATCH in Release_Label",and($B524&lt;&gt;"",countif('3) Release_Label'!$E:$E,$B524)=0),"NO CATALOG ID MATCH in Release_Label",iserror(vlookup($A524&amp;$B524,'3) Release_Label'!$D:$D&amp;'3) Release_Label'!$E:$E,1,0)),"NO UPC-CATALOG ID pair MATCH in Release_Label" )</f>
        <v/>
      </c>
      <c r="D524" s="121" t="str">
        <f t="array" ref="D524">ifs(and(isblank($A524),isblank($B524)),"", not(iserror(vlookup($A524&amp;$B524,'3) Release_Label'!$D:$D&amp;'3) Release_Label'!$E:$E,1,0))),vlookup($A524&amp;$B524,{'3) Release_Label'!$D:$D&amp;'3) Release_Label'!$E:$E,'3) Release_Label'!$H:$H},2,0), or(and(not(isblank($B524)),$B524=$B523,$A524&lt;&gt;$A523),and(not(isblank($A524)),$A524=$A523,$B524&lt;&gt;$B523)),"ID LISTS UNALIGNED",and($A524&lt;&gt;"",countif('3) Release_Label'!$D:$D,$A524)=0),"NO UPC MATCH in Release_Label",and($B524&lt;&gt;"",countif('3) Release_Label'!$E:$E,$B524)=0),"NO CATALOG ID MATCH in Release_Label",iserror(vlookup($A524&amp;$B524,'3) Release_Label'!$D:$D&amp;'3) Release_Label'!$E:$E,1,0)),"NO UPC-CATALOG ID pair MATCH in Release_Label" )</f>
        <v/>
      </c>
      <c r="E524" s="141" t="str">
        <f t="shared" si="2"/>
        <v/>
      </c>
      <c r="G524" s="103"/>
      <c r="H524" s="152"/>
      <c r="J524" s="99"/>
      <c r="K524" s="104"/>
      <c r="L524" s="99"/>
      <c r="N524" s="99"/>
      <c r="O524" s="99"/>
      <c r="P524" s="34"/>
    </row>
    <row r="525">
      <c r="A525" s="28"/>
      <c r="B525" s="103"/>
      <c r="C525" s="121" t="str">
        <f t="array" ref="C525">ifs(and(isblank($A525),isblank($B525)),"", not(iserror(vlookup($A525&amp;$B525,'3) Release_Label'!$D:$D&amp;'3) Release_Label'!$E:$E,1,0))),vlookup($A525&amp;$B525,{'3) Release_Label'!$D:$D&amp;'3) Release_Label'!$E:$E,'3) Release_Label'!$F:$F},2,0), or(and(not(isblank($B525)),$B525=$B524,$A525&lt;&gt;$A524),and(not(isblank($A525)),$A525=$A524,$B525&lt;&gt;$B524)),"ID LISTS UNALIGNED",and($A525&lt;&gt;"",countif('3) Release_Label'!$D:$D,$A525)=0),"NO UPC MATCH in Release_Label",and($B525&lt;&gt;"",countif('3) Release_Label'!$E:$E,$B525)=0),"NO CATALOG ID MATCH in Release_Label",iserror(vlookup($A525&amp;$B525,'3) Release_Label'!$D:$D&amp;'3) Release_Label'!$E:$E,1,0)),"NO UPC-CATALOG ID pair MATCH in Release_Label" )</f>
        <v/>
      </c>
      <c r="D525" s="121" t="str">
        <f t="array" ref="D525">ifs(and(isblank($A525),isblank($B525)),"", not(iserror(vlookup($A525&amp;$B525,'3) Release_Label'!$D:$D&amp;'3) Release_Label'!$E:$E,1,0))),vlookup($A525&amp;$B525,{'3) Release_Label'!$D:$D&amp;'3) Release_Label'!$E:$E,'3) Release_Label'!$H:$H},2,0), or(and(not(isblank($B525)),$B525=$B524,$A525&lt;&gt;$A524),and(not(isblank($A525)),$A525=$A524,$B525&lt;&gt;$B524)),"ID LISTS UNALIGNED",and($A525&lt;&gt;"",countif('3) Release_Label'!$D:$D,$A525)=0),"NO UPC MATCH in Release_Label",and($B525&lt;&gt;"",countif('3) Release_Label'!$E:$E,$B525)=0),"NO CATALOG ID MATCH in Release_Label",iserror(vlookup($A525&amp;$B525,'3) Release_Label'!$D:$D&amp;'3) Release_Label'!$E:$E,1,0)),"NO UPC-CATALOG ID pair MATCH in Release_Label" )</f>
        <v/>
      </c>
      <c r="E525" s="141" t="str">
        <f t="shared" si="2"/>
        <v/>
      </c>
      <c r="G525" s="103"/>
      <c r="H525" s="152"/>
      <c r="J525" s="99"/>
      <c r="K525" s="104"/>
      <c r="L525" s="99"/>
      <c r="N525" s="99"/>
      <c r="O525" s="99"/>
      <c r="P525" s="34"/>
    </row>
    <row r="526">
      <c r="A526" s="28"/>
      <c r="B526" s="103"/>
      <c r="C526" s="121" t="str">
        <f t="array" ref="C526">ifs(and(isblank($A526),isblank($B526)),"", not(iserror(vlookup($A526&amp;$B526,'3) Release_Label'!$D:$D&amp;'3) Release_Label'!$E:$E,1,0))),vlookup($A526&amp;$B526,{'3) Release_Label'!$D:$D&amp;'3) Release_Label'!$E:$E,'3) Release_Label'!$F:$F},2,0), or(and(not(isblank($B526)),$B526=$B525,$A526&lt;&gt;$A525),and(not(isblank($A526)),$A526=$A525,$B526&lt;&gt;$B525)),"ID LISTS UNALIGNED",and($A526&lt;&gt;"",countif('3) Release_Label'!$D:$D,$A526)=0),"NO UPC MATCH in Release_Label",and($B526&lt;&gt;"",countif('3) Release_Label'!$E:$E,$B526)=0),"NO CATALOG ID MATCH in Release_Label",iserror(vlookup($A526&amp;$B526,'3) Release_Label'!$D:$D&amp;'3) Release_Label'!$E:$E,1,0)),"NO UPC-CATALOG ID pair MATCH in Release_Label" )</f>
        <v/>
      </c>
      <c r="D526" s="121" t="str">
        <f t="array" ref="D526">ifs(and(isblank($A526),isblank($B526)),"", not(iserror(vlookup($A526&amp;$B526,'3) Release_Label'!$D:$D&amp;'3) Release_Label'!$E:$E,1,0))),vlookup($A526&amp;$B526,{'3) Release_Label'!$D:$D&amp;'3) Release_Label'!$E:$E,'3) Release_Label'!$H:$H},2,0), or(and(not(isblank($B526)),$B526=$B525,$A526&lt;&gt;$A525),and(not(isblank($A526)),$A526=$A525,$B526&lt;&gt;$B525)),"ID LISTS UNALIGNED",and($A526&lt;&gt;"",countif('3) Release_Label'!$D:$D,$A526)=0),"NO UPC MATCH in Release_Label",and($B526&lt;&gt;"",countif('3) Release_Label'!$E:$E,$B526)=0),"NO CATALOG ID MATCH in Release_Label",iserror(vlookup($A526&amp;$B526,'3) Release_Label'!$D:$D&amp;'3) Release_Label'!$E:$E,1,0)),"NO UPC-CATALOG ID pair MATCH in Release_Label" )</f>
        <v/>
      </c>
      <c r="E526" s="141" t="str">
        <f t="shared" si="2"/>
        <v/>
      </c>
      <c r="G526" s="103"/>
      <c r="H526" s="152"/>
      <c r="J526" s="99"/>
      <c r="K526" s="104"/>
      <c r="L526" s="99"/>
      <c r="N526" s="99"/>
      <c r="O526" s="99"/>
      <c r="P526" s="34"/>
    </row>
    <row r="527">
      <c r="A527" s="28"/>
      <c r="B527" s="103"/>
      <c r="C527" s="121" t="str">
        <f t="array" ref="C527">ifs(and(isblank($A527),isblank($B527)),"", not(iserror(vlookup($A527&amp;$B527,'3) Release_Label'!$D:$D&amp;'3) Release_Label'!$E:$E,1,0))),vlookup($A527&amp;$B527,{'3) Release_Label'!$D:$D&amp;'3) Release_Label'!$E:$E,'3) Release_Label'!$F:$F},2,0), or(and(not(isblank($B527)),$B527=$B526,$A527&lt;&gt;$A526),and(not(isblank($A527)),$A527=$A526,$B527&lt;&gt;$B526)),"ID LISTS UNALIGNED",and($A527&lt;&gt;"",countif('3) Release_Label'!$D:$D,$A527)=0),"NO UPC MATCH in Release_Label",and($B527&lt;&gt;"",countif('3) Release_Label'!$E:$E,$B527)=0),"NO CATALOG ID MATCH in Release_Label",iserror(vlookup($A527&amp;$B527,'3) Release_Label'!$D:$D&amp;'3) Release_Label'!$E:$E,1,0)),"NO UPC-CATALOG ID pair MATCH in Release_Label" )</f>
        <v/>
      </c>
      <c r="D527" s="121" t="str">
        <f t="array" ref="D527">ifs(and(isblank($A527),isblank($B527)),"", not(iserror(vlookup($A527&amp;$B527,'3) Release_Label'!$D:$D&amp;'3) Release_Label'!$E:$E,1,0))),vlookup($A527&amp;$B527,{'3) Release_Label'!$D:$D&amp;'3) Release_Label'!$E:$E,'3) Release_Label'!$H:$H},2,0), or(and(not(isblank($B527)),$B527=$B526,$A527&lt;&gt;$A526),and(not(isblank($A527)),$A527=$A526,$B527&lt;&gt;$B526)),"ID LISTS UNALIGNED",and($A527&lt;&gt;"",countif('3) Release_Label'!$D:$D,$A527)=0),"NO UPC MATCH in Release_Label",and($B527&lt;&gt;"",countif('3) Release_Label'!$E:$E,$B527)=0),"NO CATALOG ID MATCH in Release_Label",iserror(vlookup($A527&amp;$B527,'3) Release_Label'!$D:$D&amp;'3) Release_Label'!$E:$E,1,0)),"NO UPC-CATALOG ID pair MATCH in Release_Label" )</f>
        <v/>
      </c>
      <c r="E527" s="141" t="str">
        <f t="shared" si="2"/>
        <v/>
      </c>
      <c r="G527" s="103"/>
      <c r="H527" s="152"/>
      <c r="J527" s="99"/>
      <c r="K527" s="104"/>
      <c r="L527" s="99"/>
      <c r="N527" s="99"/>
      <c r="O527" s="99"/>
      <c r="P527" s="34"/>
    </row>
    <row r="528">
      <c r="A528" s="28"/>
      <c r="B528" s="103"/>
      <c r="C528" s="121" t="str">
        <f t="array" ref="C528">ifs(and(isblank($A528),isblank($B528)),"", not(iserror(vlookup($A528&amp;$B528,'3) Release_Label'!$D:$D&amp;'3) Release_Label'!$E:$E,1,0))),vlookup($A528&amp;$B528,{'3) Release_Label'!$D:$D&amp;'3) Release_Label'!$E:$E,'3) Release_Label'!$F:$F},2,0), or(and(not(isblank($B528)),$B528=$B527,$A528&lt;&gt;$A527),and(not(isblank($A528)),$A528=$A527,$B528&lt;&gt;$B527)),"ID LISTS UNALIGNED",and($A528&lt;&gt;"",countif('3) Release_Label'!$D:$D,$A528)=0),"NO UPC MATCH in Release_Label",and($B528&lt;&gt;"",countif('3) Release_Label'!$E:$E,$B528)=0),"NO CATALOG ID MATCH in Release_Label",iserror(vlookup($A528&amp;$B528,'3) Release_Label'!$D:$D&amp;'3) Release_Label'!$E:$E,1,0)),"NO UPC-CATALOG ID pair MATCH in Release_Label" )</f>
        <v/>
      </c>
      <c r="D528" s="121" t="str">
        <f t="array" ref="D528">ifs(and(isblank($A528),isblank($B528)),"", not(iserror(vlookup($A528&amp;$B528,'3) Release_Label'!$D:$D&amp;'3) Release_Label'!$E:$E,1,0))),vlookup($A528&amp;$B528,{'3) Release_Label'!$D:$D&amp;'3) Release_Label'!$E:$E,'3) Release_Label'!$H:$H},2,0), or(and(not(isblank($B528)),$B528=$B527,$A528&lt;&gt;$A527),and(not(isblank($A528)),$A528=$A527,$B528&lt;&gt;$B527)),"ID LISTS UNALIGNED",and($A528&lt;&gt;"",countif('3) Release_Label'!$D:$D,$A528)=0),"NO UPC MATCH in Release_Label",and($B528&lt;&gt;"",countif('3) Release_Label'!$E:$E,$B528)=0),"NO CATALOG ID MATCH in Release_Label",iserror(vlookup($A528&amp;$B528,'3) Release_Label'!$D:$D&amp;'3) Release_Label'!$E:$E,1,0)),"NO UPC-CATALOG ID pair MATCH in Release_Label" )</f>
        <v/>
      </c>
      <c r="E528" s="141" t="str">
        <f t="shared" si="2"/>
        <v/>
      </c>
      <c r="G528" s="103"/>
      <c r="H528" s="152"/>
      <c r="J528" s="99"/>
      <c r="K528" s="104"/>
      <c r="L528" s="99"/>
      <c r="N528" s="99"/>
      <c r="O528" s="99"/>
      <c r="P528" s="34"/>
    </row>
    <row r="529">
      <c r="A529" s="28"/>
      <c r="B529" s="103"/>
      <c r="C529" s="121" t="str">
        <f t="array" ref="C529">ifs(and(isblank($A529),isblank($B529)),"", not(iserror(vlookup($A529&amp;$B529,'3) Release_Label'!$D:$D&amp;'3) Release_Label'!$E:$E,1,0))),vlookup($A529&amp;$B529,{'3) Release_Label'!$D:$D&amp;'3) Release_Label'!$E:$E,'3) Release_Label'!$F:$F},2,0), or(and(not(isblank($B529)),$B529=$B528,$A529&lt;&gt;$A528),and(not(isblank($A529)),$A529=$A528,$B529&lt;&gt;$B528)),"ID LISTS UNALIGNED",and($A529&lt;&gt;"",countif('3) Release_Label'!$D:$D,$A529)=0),"NO UPC MATCH in Release_Label",and($B529&lt;&gt;"",countif('3) Release_Label'!$E:$E,$B529)=0),"NO CATALOG ID MATCH in Release_Label",iserror(vlookup($A529&amp;$B529,'3) Release_Label'!$D:$D&amp;'3) Release_Label'!$E:$E,1,0)),"NO UPC-CATALOG ID pair MATCH in Release_Label" )</f>
        <v/>
      </c>
      <c r="D529" s="121" t="str">
        <f t="array" ref="D529">ifs(and(isblank($A529),isblank($B529)),"", not(iserror(vlookup($A529&amp;$B529,'3) Release_Label'!$D:$D&amp;'3) Release_Label'!$E:$E,1,0))),vlookup($A529&amp;$B529,{'3) Release_Label'!$D:$D&amp;'3) Release_Label'!$E:$E,'3) Release_Label'!$H:$H},2,0), or(and(not(isblank($B529)),$B529=$B528,$A529&lt;&gt;$A528),and(not(isblank($A529)),$A529=$A528,$B529&lt;&gt;$B528)),"ID LISTS UNALIGNED",and($A529&lt;&gt;"",countif('3) Release_Label'!$D:$D,$A529)=0),"NO UPC MATCH in Release_Label",and($B529&lt;&gt;"",countif('3) Release_Label'!$E:$E,$B529)=0),"NO CATALOG ID MATCH in Release_Label",iserror(vlookup($A529&amp;$B529,'3) Release_Label'!$D:$D&amp;'3) Release_Label'!$E:$E,1,0)),"NO UPC-CATALOG ID pair MATCH in Release_Label" )</f>
        <v/>
      </c>
      <c r="E529" s="141" t="str">
        <f t="shared" si="2"/>
        <v/>
      </c>
      <c r="G529" s="103"/>
      <c r="H529" s="152"/>
      <c r="J529" s="99"/>
      <c r="K529" s="104"/>
      <c r="L529" s="99"/>
      <c r="N529" s="99"/>
      <c r="O529" s="99"/>
      <c r="P529" s="34"/>
    </row>
    <row r="530">
      <c r="A530" s="28"/>
      <c r="B530" s="103"/>
      <c r="C530" s="121" t="str">
        <f t="array" ref="C530">ifs(and(isblank($A530),isblank($B530)),"", not(iserror(vlookup($A530&amp;$B530,'3) Release_Label'!$D:$D&amp;'3) Release_Label'!$E:$E,1,0))),vlookup($A530&amp;$B530,{'3) Release_Label'!$D:$D&amp;'3) Release_Label'!$E:$E,'3) Release_Label'!$F:$F},2,0), or(and(not(isblank($B530)),$B530=$B529,$A530&lt;&gt;$A529),and(not(isblank($A530)),$A530=$A529,$B530&lt;&gt;$B529)),"ID LISTS UNALIGNED",and($A530&lt;&gt;"",countif('3) Release_Label'!$D:$D,$A530)=0),"NO UPC MATCH in Release_Label",and($B530&lt;&gt;"",countif('3) Release_Label'!$E:$E,$B530)=0),"NO CATALOG ID MATCH in Release_Label",iserror(vlookup($A530&amp;$B530,'3) Release_Label'!$D:$D&amp;'3) Release_Label'!$E:$E,1,0)),"NO UPC-CATALOG ID pair MATCH in Release_Label" )</f>
        <v/>
      </c>
      <c r="D530" s="121" t="str">
        <f t="array" ref="D530">ifs(and(isblank($A530),isblank($B530)),"", not(iserror(vlookup($A530&amp;$B530,'3) Release_Label'!$D:$D&amp;'3) Release_Label'!$E:$E,1,0))),vlookup($A530&amp;$B530,{'3) Release_Label'!$D:$D&amp;'3) Release_Label'!$E:$E,'3) Release_Label'!$H:$H},2,0), or(and(not(isblank($B530)),$B530=$B529,$A530&lt;&gt;$A529),and(not(isblank($A530)),$A530=$A529,$B530&lt;&gt;$B529)),"ID LISTS UNALIGNED",and($A530&lt;&gt;"",countif('3) Release_Label'!$D:$D,$A530)=0),"NO UPC MATCH in Release_Label",and($B530&lt;&gt;"",countif('3) Release_Label'!$E:$E,$B530)=0),"NO CATALOG ID MATCH in Release_Label",iserror(vlookup($A530&amp;$B530,'3) Release_Label'!$D:$D&amp;'3) Release_Label'!$E:$E,1,0)),"NO UPC-CATALOG ID pair MATCH in Release_Label" )</f>
        <v/>
      </c>
      <c r="E530" s="141" t="str">
        <f t="shared" si="2"/>
        <v/>
      </c>
      <c r="G530" s="103"/>
      <c r="H530" s="152"/>
      <c r="J530" s="99"/>
      <c r="K530" s="104"/>
      <c r="L530" s="99"/>
      <c r="N530" s="99"/>
      <c r="O530" s="99"/>
      <c r="P530" s="34"/>
    </row>
    <row r="531">
      <c r="A531" s="28"/>
      <c r="B531" s="103"/>
      <c r="C531" s="121" t="str">
        <f t="array" ref="C531">ifs(and(isblank($A531),isblank($B531)),"", not(iserror(vlookup($A531&amp;$B531,'3) Release_Label'!$D:$D&amp;'3) Release_Label'!$E:$E,1,0))),vlookup($A531&amp;$B531,{'3) Release_Label'!$D:$D&amp;'3) Release_Label'!$E:$E,'3) Release_Label'!$F:$F},2,0), or(and(not(isblank($B531)),$B531=$B530,$A531&lt;&gt;$A530),and(not(isblank($A531)),$A531=$A530,$B531&lt;&gt;$B530)),"ID LISTS UNALIGNED",and($A531&lt;&gt;"",countif('3) Release_Label'!$D:$D,$A531)=0),"NO UPC MATCH in Release_Label",and($B531&lt;&gt;"",countif('3) Release_Label'!$E:$E,$B531)=0),"NO CATALOG ID MATCH in Release_Label",iserror(vlookup($A531&amp;$B531,'3) Release_Label'!$D:$D&amp;'3) Release_Label'!$E:$E,1,0)),"NO UPC-CATALOG ID pair MATCH in Release_Label" )</f>
        <v/>
      </c>
      <c r="D531" s="121" t="str">
        <f t="array" ref="D531">ifs(and(isblank($A531),isblank($B531)),"", not(iserror(vlookup($A531&amp;$B531,'3) Release_Label'!$D:$D&amp;'3) Release_Label'!$E:$E,1,0))),vlookup($A531&amp;$B531,{'3) Release_Label'!$D:$D&amp;'3) Release_Label'!$E:$E,'3) Release_Label'!$H:$H},2,0), or(and(not(isblank($B531)),$B531=$B530,$A531&lt;&gt;$A530),and(not(isblank($A531)),$A531=$A530,$B531&lt;&gt;$B530)),"ID LISTS UNALIGNED",and($A531&lt;&gt;"",countif('3) Release_Label'!$D:$D,$A531)=0),"NO UPC MATCH in Release_Label",and($B531&lt;&gt;"",countif('3) Release_Label'!$E:$E,$B531)=0),"NO CATALOG ID MATCH in Release_Label",iserror(vlookup($A531&amp;$B531,'3) Release_Label'!$D:$D&amp;'3) Release_Label'!$E:$E,1,0)),"NO UPC-CATALOG ID pair MATCH in Release_Label" )</f>
        <v/>
      </c>
      <c r="E531" s="141" t="str">
        <f t="shared" si="2"/>
        <v/>
      </c>
      <c r="G531" s="103"/>
      <c r="H531" s="152"/>
      <c r="J531" s="99"/>
      <c r="K531" s="104"/>
      <c r="L531" s="99"/>
      <c r="N531" s="99"/>
      <c r="O531" s="99"/>
      <c r="P531" s="34"/>
    </row>
    <row r="532">
      <c r="A532" s="28"/>
      <c r="B532" s="103"/>
      <c r="C532" s="121" t="str">
        <f t="array" ref="C532">ifs(and(isblank($A532),isblank($B532)),"", not(iserror(vlookup($A532&amp;$B532,'3) Release_Label'!$D:$D&amp;'3) Release_Label'!$E:$E,1,0))),vlookup($A532&amp;$B532,{'3) Release_Label'!$D:$D&amp;'3) Release_Label'!$E:$E,'3) Release_Label'!$F:$F},2,0), or(and(not(isblank($B532)),$B532=$B531,$A532&lt;&gt;$A531),and(not(isblank($A532)),$A532=$A531,$B532&lt;&gt;$B531)),"ID LISTS UNALIGNED",and($A532&lt;&gt;"",countif('3) Release_Label'!$D:$D,$A532)=0),"NO UPC MATCH in Release_Label",and($B532&lt;&gt;"",countif('3) Release_Label'!$E:$E,$B532)=0),"NO CATALOG ID MATCH in Release_Label",iserror(vlookup($A532&amp;$B532,'3) Release_Label'!$D:$D&amp;'3) Release_Label'!$E:$E,1,0)),"NO UPC-CATALOG ID pair MATCH in Release_Label" )</f>
        <v/>
      </c>
      <c r="D532" s="121" t="str">
        <f t="array" ref="D532">ifs(and(isblank($A532),isblank($B532)),"", not(iserror(vlookup($A532&amp;$B532,'3) Release_Label'!$D:$D&amp;'3) Release_Label'!$E:$E,1,0))),vlookup($A532&amp;$B532,{'3) Release_Label'!$D:$D&amp;'3) Release_Label'!$E:$E,'3) Release_Label'!$H:$H},2,0), or(and(not(isblank($B532)),$B532=$B531,$A532&lt;&gt;$A531),and(not(isblank($A532)),$A532=$A531,$B532&lt;&gt;$B531)),"ID LISTS UNALIGNED",and($A532&lt;&gt;"",countif('3) Release_Label'!$D:$D,$A532)=0),"NO UPC MATCH in Release_Label",and($B532&lt;&gt;"",countif('3) Release_Label'!$E:$E,$B532)=0),"NO CATALOG ID MATCH in Release_Label",iserror(vlookup($A532&amp;$B532,'3) Release_Label'!$D:$D&amp;'3) Release_Label'!$E:$E,1,0)),"NO UPC-CATALOG ID pair MATCH in Release_Label" )</f>
        <v/>
      </c>
      <c r="E532" s="141" t="str">
        <f t="shared" si="2"/>
        <v/>
      </c>
      <c r="G532" s="103"/>
      <c r="H532" s="152"/>
      <c r="J532" s="99"/>
      <c r="K532" s="104"/>
      <c r="L532" s="99"/>
      <c r="N532" s="99"/>
      <c r="O532" s="99"/>
      <c r="P532" s="34"/>
    </row>
    <row r="533">
      <c r="A533" s="28"/>
      <c r="B533" s="103"/>
      <c r="C533" s="121" t="str">
        <f t="array" ref="C533">ifs(and(isblank($A533),isblank($B533)),"", not(iserror(vlookup($A533&amp;$B533,'3) Release_Label'!$D:$D&amp;'3) Release_Label'!$E:$E,1,0))),vlookup($A533&amp;$B533,{'3) Release_Label'!$D:$D&amp;'3) Release_Label'!$E:$E,'3) Release_Label'!$F:$F},2,0), or(and(not(isblank($B533)),$B533=$B532,$A533&lt;&gt;$A532),and(not(isblank($A533)),$A533=$A532,$B533&lt;&gt;$B532)),"ID LISTS UNALIGNED",and($A533&lt;&gt;"",countif('3) Release_Label'!$D:$D,$A533)=0),"NO UPC MATCH in Release_Label",and($B533&lt;&gt;"",countif('3) Release_Label'!$E:$E,$B533)=0),"NO CATALOG ID MATCH in Release_Label",iserror(vlookup($A533&amp;$B533,'3) Release_Label'!$D:$D&amp;'3) Release_Label'!$E:$E,1,0)),"NO UPC-CATALOG ID pair MATCH in Release_Label" )</f>
        <v/>
      </c>
      <c r="D533" s="121" t="str">
        <f t="array" ref="D533">ifs(and(isblank($A533),isblank($B533)),"", not(iserror(vlookup($A533&amp;$B533,'3) Release_Label'!$D:$D&amp;'3) Release_Label'!$E:$E,1,0))),vlookup($A533&amp;$B533,{'3) Release_Label'!$D:$D&amp;'3) Release_Label'!$E:$E,'3) Release_Label'!$H:$H},2,0), or(and(not(isblank($B533)),$B533=$B532,$A533&lt;&gt;$A532),and(not(isblank($A533)),$A533=$A532,$B533&lt;&gt;$B532)),"ID LISTS UNALIGNED",and($A533&lt;&gt;"",countif('3) Release_Label'!$D:$D,$A533)=0),"NO UPC MATCH in Release_Label",and($B533&lt;&gt;"",countif('3) Release_Label'!$E:$E,$B533)=0),"NO CATALOG ID MATCH in Release_Label",iserror(vlookup($A533&amp;$B533,'3) Release_Label'!$D:$D&amp;'3) Release_Label'!$E:$E,1,0)),"NO UPC-CATALOG ID pair MATCH in Release_Label" )</f>
        <v/>
      </c>
      <c r="E533" s="141" t="str">
        <f t="shared" si="2"/>
        <v/>
      </c>
      <c r="G533" s="103"/>
      <c r="H533" s="152"/>
      <c r="J533" s="99"/>
      <c r="K533" s="104"/>
      <c r="L533" s="99"/>
      <c r="N533" s="99"/>
      <c r="O533" s="99"/>
      <c r="P533" s="34"/>
    </row>
    <row r="534">
      <c r="A534" s="28"/>
      <c r="B534" s="103"/>
      <c r="C534" s="121" t="str">
        <f t="array" ref="C534">ifs(and(isblank($A534),isblank($B534)),"", not(iserror(vlookup($A534&amp;$B534,'3) Release_Label'!$D:$D&amp;'3) Release_Label'!$E:$E,1,0))),vlookup($A534&amp;$B534,{'3) Release_Label'!$D:$D&amp;'3) Release_Label'!$E:$E,'3) Release_Label'!$F:$F},2,0), or(and(not(isblank($B534)),$B534=$B533,$A534&lt;&gt;$A533),and(not(isblank($A534)),$A534=$A533,$B534&lt;&gt;$B533)),"ID LISTS UNALIGNED",and($A534&lt;&gt;"",countif('3) Release_Label'!$D:$D,$A534)=0),"NO UPC MATCH in Release_Label",and($B534&lt;&gt;"",countif('3) Release_Label'!$E:$E,$B534)=0),"NO CATALOG ID MATCH in Release_Label",iserror(vlookup($A534&amp;$B534,'3) Release_Label'!$D:$D&amp;'3) Release_Label'!$E:$E,1,0)),"NO UPC-CATALOG ID pair MATCH in Release_Label" )</f>
        <v/>
      </c>
      <c r="D534" s="121" t="str">
        <f t="array" ref="D534">ifs(and(isblank($A534),isblank($B534)),"", not(iserror(vlookup($A534&amp;$B534,'3) Release_Label'!$D:$D&amp;'3) Release_Label'!$E:$E,1,0))),vlookup($A534&amp;$B534,{'3) Release_Label'!$D:$D&amp;'3) Release_Label'!$E:$E,'3) Release_Label'!$H:$H},2,0), or(and(not(isblank($B534)),$B534=$B533,$A534&lt;&gt;$A533),and(not(isblank($A534)),$A534=$A533,$B534&lt;&gt;$B533)),"ID LISTS UNALIGNED",and($A534&lt;&gt;"",countif('3) Release_Label'!$D:$D,$A534)=0),"NO UPC MATCH in Release_Label",and($B534&lt;&gt;"",countif('3) Release_Label'!$E:$E,$B534)=0),"NO CATALOG ID MATCH in Release_Label",iserror(vlookup($A534&amp;$B534,'3) Release_Label'!$D:$D&amp;'3) Release_Label'!$E:$E,1,0)),"NO UPC-CATALOG ID pair MATCH in Release_Label" )</f>
        <v/>
      </c>
      <c r="E534" s="141" t="str">
        <f t="shared" si="2"/>
        <v/>
      </c>
      <c r="G534" s="103"/>
      <c r="H534" s="152"/>
      <c r="J534" s="99"/>
      <c r="K534" s="104"/>
      <c r="L534" s="99"/>
      <c r="N534" s="99"/>
      <c r="O534" s="99"/>
      <c r="P534" s="34"/>
    </row>
    <row r="535">
      <c r="A535" s="28"/>
      <c r="B535" s="103"/>
      <c r="C535" s="121" t="str">
        <f t="array" ref="C535">ifs(and(isblank($A535),isblank($B535)),"", not(iserror(vlookup($A535&amp;$B535,'3) Release_Label'!$D:$D&amp;'3) Release_Label'!$E:$E,1,0))),vlookup($A535&amp;$B535,{'3) Release_Label'!$D:$D&amp;'3) Release_Label'!$E:$E,'3) Release_Label'!$F:$F},2,0), or(and(not(isblank($B535)),$B535=$B534,$A535&lt;&gt;$A534),and(not(isblank($A535)),$A535=$A534,$B535&lt;&gt;$B534)),"ID LISTS UNALIGNED",and($A535&lt;&gt;"",countif('3) Release_Label'!$D:$D,$A535)=0),"NO UPC MATCH in Release_Label",and($B535&lt;&gt;"",countif('3) Release_Label'!$E:$E,$B535)=0),"NO CATALOG ID MATCH in Release_Label",iserror(vlookup($A535&amp;$B535,'3) Release_Label'!$D:$D&amp;'3) Release_Label'!$E:$E,1,0)),"NO UPC-CATALOG ID pair MATCH in Release_Label" )</f>
        <v/>
      </c>
      <c r="D535" s="121" t="str">
        <f t="array" ref="D535">ifs(and(isblank($A535),isblank($B535)),"", not(iserror(vlookup($A535&amp;$B535,'3) Release_Label'!$D:$D&amp;'3) Release_Label'!$E:$E,1,0))),vlookup($A535&amp;$B535,{'3) Release_Label'!$D:$D&amp;'3) Release_Label'!$E:$E,'3) Release_Label'!$H:$H},2,0), or(and(not(isblank($B535)),$B535=$B534,$A535&lt;&gt;$A534),and(not(isblank($A535)),$A535=$A534,$B535&lt;&gt;$B534)),"ID LISTS UNALIGNED",and($A535&lt;&gt;"",countif('3) Release_Label'!$D:$D,$A535)=0),"NO UPC MATCH in Release_Label",and($B535&lt;&gt;"",countif('3) Release_Label'!$E:$E,$B535)=0),"NO CATALOG ID MATCH in Release_Label",iserror(vlookup($A535&amp;$B535,'3) Release_Label'!$D:$D&amp;'3) Release_Label'!$E:$E,1,0)),"NO UPC-CATALOG ID pair MATCH in Release_Label" )</f>
        <v/>
      </c>
      <c r="E535" s="141" t="str">
        <f t="shared" si="2"/>
        <v/>
      </c>
      <c r="G535" s="103"/>
      <c r="H535" s="152"/>
      <c r="J535" s="99"/>
      <c r="K535" s="104"/>
      <c r="L535" s="99"/>
      <c r="N535" s="99"/>
      <c r="O535" s="99"/>
      <c r="P535" s="34"/>
    </row>
    <row r="536">
      <c r="A536" s="28"/>
      <c r="B536" s="103"/>
      <c r="C536" s="121" t="str">
        <f t="array" ref="C536">ifs(and(isblank($A536),isblank($B536)),"", not(iserror(vlookup($A536&amp;$B536,'3) Release_Label'!$D:$D&amp;'3) Release_Label'!$E:$E,1,0))),vlookup($A536&amp;$B536,{'3) Release_Label'!$D:$D&amp;'3) Release_Label'!$E:$E,'3) Release_Label'!$F:$F},2,0), or(and(not(isblank($B536)),$B536=$B535,$A536&lt;&gt;$A535),and(not(isblank($A536)),$A536=$A535,$B536&lt;&gt;$B535)),"ID LISTS UNALIGNED",and($A536&lt;&gt;"",countif('3) Release_Label'!$D:$D,$A536)=0),"NO UPC MATCH in Release_Label",and($B536&lt;&gt;"",countif('3) Release_Label'!$E:$E,$B536)=0),"NO CATALOG ID MATCH in Release_Label",iserror(vlookup($A536&amp;$B536,'3) Release_Label'!$D:$D&amp;'3) Release_Label'!$E:$E,1,0)),"NO UPC-CATALOG ID pair MATCH in Release_Label" )</f>
        <v/>
      </c>
      <c r="D536" s="121" t="str">
        <f t="array" ref="D536">ifs(and(isblank($A536),isblank($B536)),"", not(iserror(vlookup($A536&amp;$B536,'3) Release_Label'!$D:$D&amp;'3) Release_Label'!$E:$E,1,0))),vlookup($A536&amp;$B536,{'3) Release_Label'!$D:$D&amp;'3) Release_Label'!$E:$E,'3) Release_Label'!$H:$H},2,0), or(and(not(isblank($B536)),$B536=$B535,$A536&lt;&gt;$A535),and(not(isblank($A536)),$A536=$A535,$B536&lt;&gt;$B535)),"ID LISTS UNALIGNED",and($A536&lt;&gt;"",countif('3) Release_Label'!$D:$D,$A536)=0),"NO UPC MATCH in Release_Label",and($B536&lt;&gt;"",countif('3) Release_Label'!$E:$E,$B536)=0),"NO CATALOG ID MATCH in Release_Label",iserror(vlookup($A536&amp;$B536,'3) Release_Label'!$D:$D&amp;'3) Release_Label'!$E:$E,1,0)),"NO UPC-CATALOG ID pair MATCH in Release_Label" )</f>
        <v/>
      </c>
      <c r="E536" s="141" t="str">
        <f t="shared" si="2"/>
        <v/>
      </c>
      <c r="G536" s="103"/>
      <c r="H536" s="152"/>
      <c r="J536" s="99"/>
      <c r="K536" s="104"/>
      <c r="L536" s="99"/>
      <c r="N536" s="99"/>
      <c r="O536" s="99"/>
      <c r="P536" s="34"/>
    </row>
    <row r="537">
      <c r="A537" s="28"/>
      <c r="B537" s="103"/>
      <c r="C537" s="121" t="str">
        <f t="array" ref="C537">ifs(and(isblank($A537),isblank($B537)),"", not(iserror(vlookup($A537&amp;$B537,'3) Release_Label'!$D:$D&amp;'3) Release_Label'!$E:$E,1,0))),vlookup($A537&amp;$B537,{'3) Release_Label'!$D:$D&amp;'3) Release_Label'!$E:$E,'3) Release_Label'!$F:$F},2,0), or(and(not(isblank($B537)),$B537=$B536,$A537&lt;&gt;$A536),and(not(isblank($A537)),$A537=$A536,$B537&lt;&gt;$B536)),"ID LISTS UNALIGNED",and($A537&lt;&gt;"",countif('3) Release_Label'!$D:$D,$A537)=0),"NO UPC MATCH in Release_Label",and($B537&lt;&gt;"",countif('3) Release_Label'!$E:$E,$B537)=0),"NO CATALOG ID MATCH in Release_Label",iserror(vlookup($A537&amp;$B537,'3) Release_Label'!$D:$D&amp;'3) Release_Label'!$E:$E,1,0)),"NO UPC-CATALOG ID pair MATCH in Release_Label" )</f>
        <v/>
      </c>
      <c r="D537" s="121" t="str">
        <f t="array" ref="D537">ifs(and(isblank($A537),isblank($B537)),"", not(iserror(vlookup($A537&amp;$B537,'3) Release_Label'!$D:$D&amp;'3) Release_Label'!$E:$E,1,0))),vlookup($A537&amp;$B537,{'3) Release_Label'!$D:$D&amp;'3) Release_Label'!$E:$E,'3) Release_Label'!$H:$H},2,0), or(and(not(isblank($B537)),$B537=$B536,$A537&lt;&gt;$A536),and(not(isblank($A537)),$A537=$A536,$B537&lt;&gt;$B536)),"ID LISTS UNALIGNED",and($A537&lt;&gt;"",countif('3) Release_Label'!$D:$D,$A537)=0),"NO UPC MATCH in Release_Label",and($B537&lt;&gt;"",countif('3) Release_Label'!$E:$E,$B537)=0),"NO CATALOG ID MATCH in Release_Label",iserror(vlookup($A537&amp;$B537,'3) Release_Label'!$D:$D&amp;'3) Release_Label'!$E:$E,1,0)),"NO UPC-CATALOG ID pair MATCH in Release_Label" )</f>
        <v/>
      </c>
      <c r="E537" s="141" t="str">
        <f t="shared" si="2"/>
        <v/>
      </c>
      <c r="G537" s="103"/>
      <c r="H537" s="152"/>
      <c r="J537" s="99"/>
      <c r="K537" s="104"/>
      <c r="L537" s="99"/>
      <c r="N537" s="99"/>
      <c r="O537" s="99"/>
      <c r="P537" s="34"/>
    </row>
    <row r="538">
      <c r="A538" s="28"/>
      <c r="B538" s="103"/>
      <c r="C538" s="121" t="str">
        <f t="array" ref="C538">ifs(and(isblank($A538),isblank($B538)),"", not(iserror(vlookup($A538&amp;$B538,'3) Release_Label'!$D:$D&amp;'3) Release_Label'!$E:$E,1,0))),vlookup($A538&amp;$B538,{'3) Release_Label'!$D:$D&amp;'3) Release_Label'!$E:$E,'3) Release_Label'!$F:$F},2,0), or(and(not(isblank($B538)),$B538=$B537,$A538&lt;&gt;$A537),and(not(isblank($A538)),$A538=$A537,$B538&lt;&gt;$B537)),"ID LISTS UNALIGNED",and($A538&lt;&gt;"",countif('3) Release_Label'!$D:$D,$A538)=0),"NO UPC MATCH in Release_Label",and($B538&lt;&gt;"",countif('3) Release_Label'!$E:$E,$B538)=0),"NO CATALOG ID MATCH in Release_Label",iserror(vlookup($A538&amp;$B538,'3) Release_Label'!$D:$D&amp;'3) Release_Label'!$E:$E,1,0)),"NO UPC-CATALOG ID pair MATCH in Release_Label" )</f>
        <v/>
      </c>
      <c r="D538" s="121" t="str">
        <f t="array" ref="D538">ifs(and(isblank($A538),isblank($B538)),"", not(iserror(vlookup($A538&amp;$B538,'3) Release_Label'!$D:$D&amp;'3) Release_Label'!$E:$E,1,0))),vlookup($A538&amp;$B538,{'3) Release_Label'!$D:$D&amp;'3) Release_Label'!$E:$E,'3) Release_Label'!$H:$H},2,0), or(and(not(isblank($B538)),$B538=$B537,$A538&lt;&gt;$A537),and(not(isblank($A538)),$A538=$A537,$B538&lt;&gt;$B537)),"ID LISTS UNALIGNED",and($A538&lt;&gt;"",countif('3) Release_Label'!$D:$D,$A538)=0),"NO UPC MATCH in Release_Label",and($B538&lt;&gt;"",countif('3) Release_Label'!$E:$E,$B538)=0),"NO CATALOG ID MATCH in Release_Label",iserror(vlookup($A538&amp;$B538,'3) Release_Label'!$D:$D&amp;'3) Release_Label'!$E:$E,1,0)),"NO UPC-CATALOG ID pair MATCH in Release_Label" )</f>
        <v/>
      </c>
      <c r="E538" s="141" t="str">
        <f t="shared" si="2"/>
        <v/>
      </c>
      <c r="G538" s="103"/>
      <c r="H538" s="152"/>
      <c r="J538" s="99"/>
      <c r="K538" s="104"/>
      <c r="L538" s="99"/>
      <c r="N538" s="99"/>
      <c r="O538" s="99"/>
      <c r="P538" s="34"/>
    </row>
    <row r="539">
      <c r="A539" s="28"/>
      <c r="B539" s="103"/>
      <c r="C539" s="121" t="str">
        <f t="array" ref="C539">ifs(and(isblank($A539),isblank($B539)),"", not(iserror(vlookup($A539&amp;$B539,'3) Release_Label'!$D:$D&amp;'3) Release_Label'!$E:$E,1,0))),vlookup($A539&amp;$B539,{'3) Release_Label'!$D:$D&amp;'3) Release_Label'!$E:$E,'3) Release_Label'!$F:$F},2,0), or(and(not(isblank($B539)),$B539=$B538,$A539&lt;&gt;$A538),and(not(isblank($A539)),$A539=$A538,$B539&lt;&gt;$B538)),"ID LISTS UNALIGNED",and($A539&lt;&gt;"",countif('3) Release_Label'!$D:$D,$A539)=0),"NO UPC MATCH in Release_Label",and($B539&lt;&gt;"",countif('3) Release_Label'!$E:$E,$B539)=0),"NO CATALOG ID MATCH in Release_Label",iserror(vlookup($A539&amp;$B539,'3) Release_Label'!$D:$D&amp;'3) Release_Label'!$E:$E,1,0)),"NO UPC-CATALOG ID pair MATCH in Release_Label" )</f>
        <v/>
      </c>
      <c r="D539" s="121" t="str">
        <f t="array" ref="D539">ifs(and(isblank($A539),isblank($B539)),"", not(iserror(vlookup($A539&amp;$B539,'3) Release_Label'!$D:$D&amp;'3) Release_Label'!$E:$E,1,0))),vlookup($A539&amp;$B539,{'3) Release_Label'!$D:$D&amp;'3) Release_Label'!$E:$E,'3) Release_Label'!$H:$H},2,0), or(and(not(isblank($B539)),$B539=$B538,$A539&lt;&gt;$A538),and(not(isblank($A539)),$A539=$A538,$B539&lt;&gt;$B538)),"ID LISTS UNALIGNED",and($A539&lt;&gt;"",countif('3) Release_Label'!$D:$D,$A539)=0),"NO UPC MATCH in Release_Label",and($B539&lt;&gt;"",countif('3) Release_Label'!$E:$E,$B539)=0),"NO CATALOG ID MATCH in Release_Label",iserror(vlookup($A539&amp;$B539,'3) Release_Label'!$D:$D&amp;'3) Release_Label'!$E:$E,1,0)),"NO UPC-CATALOG ID pair MATCH in Release_Label" )</f>
        <v/>
      </c>
      <c r="E539" s="141" t="str">
        <f t="shared" si="2"/>
        <v/>
      </c>
      <c r="G539" s="103"/>
      <c r="H539" s="152"/>
      <c r="J539" s="99"/>
      <c r="K539" s="104"/>
      <c r="L539" s="99"/>
      <c r="N539" s="99"/>
      <c r="O539" s="99"/>
      <c r="P539" s="34"/>
    </row>
    <row r="540">
      <c r="A540" s="28"/>
      <c r="B540" s="103"/>
      <c r="C540" s="121" t="str">
        <f t="array" ref="C540">ifs(and(isblank($A540),isblank($B540)),"", not(iserror(vlookup($A540&amp;$B540,'3) Release_Label'!$D:$D&amp;'3) Release_Label'!$E:$E,1,0))),vlookup($A540&amp;$B540,{'3) Release_Label'!$D:$D&amp;'3) Release_Label'!$E:$E,'3) Release_Label'!$F:$F},2,0), or(and(not(isblank($B540)),$B540=$B539,$A540&lt;&gt;$A539),and(not(isblank($A540)),$A540=$A539,$B540&lt;&gt;$B539)),"ID LISTS UNALIGNED",and($A540&lt;&gt;"",countif('3) Release_Label'!$D:$D,$A540)=0),"NO UPC MATCH in Release_Label",and($B540&lt;&gt;"",countif('3) Release_Label'!$E:$E,$B540)=0),"NO CATALOG ID MATCH in Release_Label",iserror(vlookup($A540&amp;$B540,'3) Release_Label'!$D:$D&amp;'3) Release_Label'!$E:$E,1,0)),"NO UPC-CATALOG ID pair MATCH in Release_Label" )</f>
        <v/>
      </c>
      <c r="D540" s="121" t="str">
        <f t="array" ref="D540">ifs(and(isblank($A540),isblank($B540)),"", not(iserror(vlookup($A540&amp;$B540,'3) Release_Label'!$D:$D&amp;'3) Release_Label'!$E:$E,1,0))),vlookup($A540&amp;$B540,{'3) Release_Label'!$D:$D&amp;'3) Release_Label'!$E:$E,'3) Release_Label'!$H:$H},2,0), or(and(not(isblank($B540)),$B540=$B539,$A540&lt;&gt;$A539),and(not(isblank($A540)),$A540=$A539,$B540&lt;&gt;$B539)),"ID LISTS UNALIGNED",and($A540&lt;&gt;"",countif('3) Release_Label'!$D:$D,$A540)=0),"NO UPC MATCH in Release_Label",and($B540&lt;&gt;"",countif('3) Release_Label'!$E:$E,$B540)=0),"NO CATALOG ID MATCH in Release_Label",iserror(vlookup($A540&amp;$B540,'3) Release_Label'!$D:$D&amp;'3) Release_Label'!$E:$E,1,0)),"NO UPC-CATALOG ID pair MATCH in Release_Label" )</f>
        <v/>
      </c>
      <c r="E540" s="141" t="str">
        <f t="shared" si="2"/>
        <v/>
      </c>
      <c r="G540" s="103"/>
      <c r="H540" s="152"/>
      <c r="J540" s="99"/>
      <c r="K540" s="104"/>
      <c r="L540" s="99"/>
      <c r="N540" s="99"/>
      <c r="O540" s="99"/>
      <c r="P540" s="34"/>
    </row>
    <row r="541">
      <c r="A541" s="28"/>
      <c r="B541" s="103"/>
      <c r="C541" s="121" t="str">
        <f t="array" ref="C541">ifs(and(isblank($A541),isblank($B541)),"", not(iserror(vlookup($A541&amp;$B541,'3) Release_Label'!$D:$D&amp;'3) Release_Label'!$E:$E,1,0))),vlookup($A541&amp;$B541,{'3) Release_Label'!$D:$D&amp;'3) Release_Label'!$E:$E,'3) Release_Label'!$F:$F},2,0), or(and(not(isblank($B541)),$B541=$B540,$A541&lt;&gt;$A540),and(not(isblank($A541)),$A541=$A540,$B541&lt;&gt;$B540)),"ID LISTS UNALIGNED",and($A541&lt;&gt;"",countif('3) Release_Label'!$D:$D,$A541)=0),"NO UPC MATCH in Release_Label",and($B541&lt;&gt;"",countif('3) Release_Label'!$E:$E,$B541)=0),"NO CATALOG ID MATCH in Release_Label",iserror(vlookup($A541&amp;$B541,'3) Release_Label'!$D:$D&amp;'3) Release_Label'!$E:$E,1,0)),"NO UPC-CATALOG ID pair MATCH in Release_Label" )</f>
        <v/>
      </c>
      <c r="D541" s="121" t="str">
        <f t="array" ref="D541">ifs(and(isblank($A541),isblank($B541)),"", not(iserror(vlookup($A541&amp;$B541,'3) Release_Label'!$D:$D&amp;'3) Release_Label'!$E:$E,1,0))),vlookup($A541&amp;$B541,{'3) Release_Label'!$D:$D&amp;'3) Release_Label'!$E:$E,'3) Release_Label'!$H:$H},2,0), or(and(not(isblank($B541)),$B541=$B540,$A541&lt;&gt;$A540),and(not(isblank($A541)),$A541=$A540,$B541&lt;&gt;$B540)),"ID LISTS UNALIGNED",and($A541&lt;&gt;"",countif('3) Release_Label'!$D:$D,$A541)=0),"NO UPC MATCH in Release_Label",and($B541&lt;&gt;"",countif('3) Release_Label'!$E:$E,$B541)=0),"NO CATALOG ID MATCH in Release_Label",iserror(vlookup($A541&amp;$B541,'3) Release_Label'!$D:$D&amp;'3) Release_Label'!$E:$E,1,0)),"NO UPC-CATALOG ID pair MATCH in Release_Label" )</f>
        <v/>
      </c>
      <c r="E541" s="141" t="str">
        <f t="shared" si="2"/>
        <v/>
      </c>
      <c r="G541" s="103"/>
      <c r="H541" s="152"/>
      <c r="J541" s="99"/>
      <c r="K541" s="104"/>
      <c r="L541" s="99"/>
      <c r="N541" s="99"/>
      <c r="O541" s="99"/>
      <c r="P541" s="34"/>
    </row>
    <row r="542">
      <c r="A542" s="28"/>
      <c r="B542" s="103"/>
      <c r="C542" s="121" t="str">
        <f t="array" ref="C542">ifs(and(isblank($A542),isblank($B542)),"", not(iserror(vlookup($A542&amp;$B542,'3) Release_Label'!$D:$D&amp;'3) Release_Label'!$E:$E,1,0))),vlookup($A542&amp;$B542,{'3) Release_Label'!$D:$D&amp;'3) Release_Label'!$E:$E,'3) Release_Label'!$F:$F},2,0), or(and(not(isblank($B542)),$B542=$B541,$A542&lt;&gt;$A541),and(not(isblank($A542)),$A542=$A541,$B542&lt;&gt;$B541)),"ID LISTS UNALIGNED",and($A542&lt;&gt;"",countif('3) Release_Label'!$D:$D,$A542)=0),"NO UPC MATCH in Release_Label",and($B542&lt;&gt;"",countif('3) Release_Label'!$E:$E,$B542)=0),"NO CATALOG ID MATCH in Release_Label",iserror(vlookup($A542&amp;$B542,'3) Release_Label'!$D:$D&amp;'3) Release_Label'!$E:$E,1,0)),"NO UPC-CATALOG ID pair MATCH in Release_Label" )</f>
        <v/>
      </c>
      <c r="D542" s="121" t="str">
        <f t="array" ref="D542">ifs(and(isblank($A542),isblank($B542)),"", not(iserror(vlookup($A542&amp;$B542,'3) Release_Label'!$D:$D&amp;'3) Release_Label'!$E:$E,1,0))),vlookup($A542&amp;$B542,{'3) Release_Label'!$D:$D&amp;'3) Release_Label'!$E:$E,'3) Release_Label'!$H:$H},2,0), or(and(not(isblank($B542)),$B542=$B541,$A542&lt;&gt;$A541),and(not(isblank($A542)),$A542=$A541,$B542&lt;&gt;$B541)),"ID LISTS UNALIGNED",and($A542&lt;&gt;"",countif('3) Release_Label'!$D:$D,$A542)=0),"NO UPC MATCH in Release_Label",and($B542&lt;&gt;"",countif('3) Release_Label'!$E:$E,$B542)=0),"NO CATALOG ID MATCH in Release_Label",iserror(vlookup($A542&amp;$B542,'3) Release_Label'!$D:$D&amp;'3) Release_Label'!$E:$E,1,0)),"NO UPC-CATALOG ID pair MATCH in Release_Label" )</f>
        <v/>
      </c>
      <c r="E542" s="141" t="str">
        <f t="shared" si="2"/>
        <v/>
      </c>
      <c r="G542" s="103"/>
      <c r="H542" s="152"/>
      <c r="J542" s="99"/>
      <c r="K542" s="104"/>
      <c r="L542" s="99"/>
      <c r="N542" s="99"/>
      <c r="O542" s="99"/>
      <c r="P542" s="34"/>
    </row>
    <row r="543">
      <c r="A543" s="28"/>
      <c r="B543" s="103"/>
      <c r="C543" s="121" t="str">
        <f t="array" ref="C543">ifs(and(isblank($A543),isblank($B543)),"", not(iserror(vlookup($A543&amp;$B543,'3) Release_Label'!$D:$D&amp;'3) Release_Label'!$E:$E,1,0))),vlookup($A543&amp;$B543,{'3) Release_Label'!$D:$D&amp;'3) Release_Label'!$E:$E,'3) Release_Label'!$F:$F},2,0), or(and(not(isblank($B543)),$B543=$B542,$A543&lt;&gt;$A542),and(not(isblank($A543)),$A543=$A542,$B543&lt;&gt;$B542)),"ID LISTS UNALIGNED",and($A543&lt;&gt;"",countif('3) Release_Label'!$D:$D,$A543)=0),"NO UPC MATCH in Release_Label",and($B543&lt;&gt;"",countif('3) Release_Label'!$E:$E,$B543)=0),"NO CATALOG ID MATCH in Release_Label",iserror(vlookup($A543&amp;$B543,'3) Release_Label'!$D:$D&amp;'3) Release_Label'!$E:$E,1,0)),"NO UPC-CATALOG ID pair MATCH in Release_Label" )</f>
        <v/>
      </c>
      <c r="D543" s="121" t="str">
        <f t="array" ref="D543">ifs(and(isblank($A543),isblank($B543)),"", not(iserror(vlookup($A543&amp;$B543,'3) Release_Label'!$D:$D&amp;'3) Release_Label'!$E:$E,1,0))),vlookup($A543&amp;$B543,{'3) Release_Label'!$D:$D&amp;'3) Release_Label'!$E:$E,'3) Release_Label'!$H:$H},2,0), or(and(not(isblank($B543)),$B543=$B542,$A543&lt;&gt;$A542),and(not(isblank($A543)),$A543=$A542,$B543&lt;&gt;$B542)),"ID LISTS UNALIGNED",and($A543&lt;&gt;"",countif('3) Release_Label'!$D:$D,$A543)=0),"NO UPC MATCH in Release_Label",and($B543&lt;&gt;"",countif('3) Release_Label'!$E:$E,$B543)=0),"NO CATALOG ID MATCH in Release_Label",iserror(vlookup($A543&amp;$B543,'3) Release_Label'!$D:$D&amp;'3) Release_Label'!$E:$E,1,0)),"NO UPC-CATALOG ID pair MATCH in Release_Label" )</f>
        <v/>
      </c>
      <c r="E543" s="141" t="str">
        <f t="shared" si="2"/>
        <v/>
      </c>
      <c r="G543" s="103"/>
      <c r="H543" s="152"/>
      <c r="J543" s="99"/>
      <c r="K543" s="104"/>
      <c r="L543" s="99"/>
      <c r="N543" s="99"/>
      <c r="O543" s="99"/>
      <c r="P543" s="34"/>
    </row>
    <row r="544">
      <c r="A544" s="28"/>
      <c r="B544" s="103"/>
      <c r="C544" s="121" t="str">
        <f t="array" ref="C544">ifs(and(isblank($A544),isblank($B544)),"", not(iserror(vlookup($A544&amp;$B544,'3) Release_Label'!$D:$D&amp;'3) Release_Label'!$E:$E,1,0))),vlookup($A544&amp;$B544,{'3) Release_Label'!$D:$D&amp;'3) Release_Label'!$E:$E,'3) Release_Label'!$F:$F},2,0), or(and(not(isblank($B544)),$B544=$B543,$A544&lt;&gt;$A543),and(not(isblank($A544)),$A544=$A543,$B544&lt;&gt;$B543)),"ID LISTS UNALIGNED",and($A544&lt;&gt;"",countif('3) Release_Label'!$D:$D,$A544)=0),"NO UPC MATCH in Release_Label",and($B544&lt;&gt;"",countif('3) Release_Label'!$E:$E,$B544)=0),"NO CATALOG ID MATCH in Release_Label",iserror(vlookup($A544&amp;$B544,'3) Release_Label'!$D:$D&amp;'3) Release_Label'!$E:$E,1,0)),"NO UPC-CATALOG ID pair MATCH in Release_Label" )</f>
        <v/>
      </c>
      <c r="D544" s="121" t="str">
        <f t="array" ref="D544">ifs(and(isblank($A544),isblank($B544)),"", not(iserror(vlookup($A544&amp;$B544,'3) Release_Label'!$D:$D&amp;'3) Release_Label'!$E:$E,1,0))),vlookup($A544&amp;$B544,{'3) Release_Label'!$D:$D&amp;'3) Release_Label'!$E:$E,'3) Release_Label'!$H:$H},2,0), or(and(not(isblank($B544)),$B544=$B543,$A544&lt;&gt;$A543),and(not(isblank($A544)),$A544=$A543,$B544&lt;&gt;$B543)),"ID LISTS UNALIGNED",and($A544&lt;&gt;"",countif('3) Release_Label'!$D:$D,$A544)=0),"NO UPC MATCH in Release_Label",and($B544&lt;&gt;"",countif('3) Release_Label'!$E:$E,$B544)=0),"NO CATALOG ID MATCH in Release_Label",iserror(vlookup($A544&amp;$B544,'3) Release_Label'!$D:$D&amp;'3) Release_Label'!$E:$E,1,0)),"NO UPC-CATALOG ID pair MATCH in Release_Label" )</f>
        <v/>
      </c>
      <c r="E544" s="141" t="str">
        <f t="shared" si="2"/>
        <v/>
      </c>
      <c r="G544" s="103"/>
      <c r="H544" s="152"/>
      <c r="J544" s="99"/>
      <c r="K544" s="104"/>
      <c r="L544" s="99"/>
      <c r="N544" s="99"/>
      <c r="O544" s="99"/>
      <c r="P544" s="34"/>
    </row>
    <row r="545">
      <c r="A545" s="28"/>
      <c r="B545" s="103"/>
      <c r="C545" s="121" t="str">
        <f t="array" ref="C545">ifs(and(isblank($A545),isblank($B545)),"", not(iserror(vlookup($A545&amp;$B545,'3) Release_Label'!$D:$D&amp;'3) Release_Label'!$E:$E,1,0))),vlookup($A545&amp;$B545,{'3) Release_Label'!$D:$D&amp;'3) Release_Label'!$E:$E,'3) Release_Label'!$F:$F},2,0), or(and(not(isblank($B545)),$B545=$B544,$A545&lt;&gt;$A544),and(not(isblank($A545)),$A545=$A544,$B545&lt;&gt;$B544)),"ID LISTS UNALIGNED",and($A545&lt;&gt;"",countif('3) Release_Label'!$D:$D,$A545)=0),"NO UPC MATCH in Release_Label",and($B545&lt;&gt;"",countif('3) Release_Label'!$E:$E,$B545)=0),"NO CATALOG ID MATCH in Release_Label",iserror(vlookup($A545&amp;$B545,'3) Release_Label'!$D:$D&amp;'3) Release_Label'!$E:$E,1,0)),"NO UPC-CATALOG ID pair MATCH in Release_Label" )</f>
        <v/>
      </c>
      <c r="D545" s="121" t="str">
        <f t="array" ref="D545">ifs(and(isblank($A545),isblank($B545)),"", not(iserror(vlookup($A545&amp;$B545,'3) Release_Label'!$D:$D&amp;'3) Release_Label'!$E:$E,1,0))),vlookup($A545&amp;$B545,{'3) Release_Label'!$D:$D&amp;'3) Release_Label'!$E:$E,'3) Release_Label'!$H:$H},2,0), or(and(not(isblank($B545)),$B545=$B544,$A545&lt;&gt;$A544),and(not(isblank($A545)),$A545=$A544,$B545&lt;&gt;$B544)),"ID LISTS UNALIGNED",and($A545&lt;&gt;"",countif('3) Release_Label'!$D:$D,$A545)=0),"NO UPC MATCH in Release_Label",and($B545&lt;&gt;"",countif('3) Release_Label'!$E:$E,$B545)=0),"NO CATALOG ID MATCH in Release_Label",iserror(vlookup($A545&amp;$B545,'3) Release_Label'!$D:$D&amp;'3) Release_Label'!$E:$E,1,0)),"NO UPC-CATALOG ID pair MATCH in Release_Label" )</f>
        <v/>
      </c>
      <c r="E545" s="141" t="str">
        <f t="shared" si="2"/>
        <v/>
      </c>
      <c r="G545" s="103"/>
      <c r="H545" s="152"/>
      <c r="J545" s="99"/>
      <c r="K545" s="104"/>
      <c r="L545" s="99"/>
      <c r="N545" s="99"/>
      <c r="O545" s="99"/>
      <c r="P545" s="34"/>
    </row>
    <row r="546">
      <c r="A546" s="28"/>
      <c r="B546" s="103"/>
      <c r="C546" s="121" t="str">
        <f t="array" ref="C546">ifs(and(isblank($A546),isblank($B546)),"", not(iserror(vlookup($A546&amp;$B546,'3) Release_Label'!$D:$D&amp;'3) Release_Label'!$E:$E,1,0))),vlookup($A546&amp;$B546,{'3) Release_Label'!$D:$D&amp;'3) Release_Label'!$E:$E,'3) Release_Label'!$F:$F},2,0), or(and(not(isblank($B546)),$B546=$B545,$A546&lt;&gt;$A545),and(not(isblank($A546)),$A546=$A545,$B546&lt;&gt;$B545)),"ID LISTS UNALIGNED",and($A546&lt;&gt;"",countif('3) Release_Label'!$D:$D,$A546)=0),"NO UPC MATCH in Release_Label",and($B546&lt;&gt;"",countif('3) Release_Label'!$E:$E,$B546)=0),"NO CATALOG ID MATCH in Release_Label",iserror(vlookup($A546&amp;$B546,'3) Release_Label'!$D:$D&amp;'3) Release_Label'!$E:$E,1,0)),"NO UPC-CATALOG ID pair MATCH in Release_Label" )</f>
        <v/>
      </c>
      <c r="D546" s="121" t="str">
        <f t="array" ref="D546">ifs(and(isblank($A546),isblank($B546)),"", not(iserror(vlookup($A546&amp;$B546,'3) Release_Label'!$D:$D&amp;'3) Release_Label'!$E:$E,1,0))),vlookup($A546&amp;$B546,{'3) Release_Label'!$D:$D&amp;'3) Release_Label'!$E:$E,'3) Release_Label'!$H:$H},2,0), or(and(not(isblank($B546)),$B546=$B545,$A546&lt;&gt;$A545),and(not(isblank($A546)),$A546=$A545,$B546&lt;&gt;$B545)),"ID LISTS UNALIGNED",and($A546&lt;&gt;"",countif('3) Release_Label'!$D:$D,$A546)=0),"NO UPC MATCH in Release_Label",and($B546&lt;&gt;"",countif('3) Release_Label'!$E:$E,$B546)=0),"NO CATALOG ID MATCH in Release_Label",iserror(vlookup($A546&amp;$B546,'3) Release_Label'!$D:$D&amp;'3) Release_Label'!$E:$E,1,0)),"NO UPC-CATALOG ID pair MATCH in Release_Label" )</f>
        <v/>
      </c>
      <c r="E546" s="141" t="str">
        <f t="shared" si="2"/>
        <v/>
      </c>
      <c r="G546" s="103"/>
      <c r="H546" s="152"/>
      <c r="J546" s="99"/>
      <c r="K546" s="104"/>
      <c r="L546" s="99"/>
      <c r="N546" s="99"/>
      <c r="O546" s="99"/>
      <c r="P546" s="34"/>
    </row>
    <row r="547">
      <c r="A547" s="28"/>
      <c r="B547" s="103"/>
      <c r="C547" s="121" t="str">
        <f t="array" ref="C547">ifs(and(isblank($A547),isblank($B547)),"", not(iserror(vlookup($A547&amp;$B547,'3) Release_Label'!$D:$D&amp;'3) Release_Label'!$E:$E,1,0))),vlookup($A547&amp;$B547,{'3) Release_Label'!$D:$D&amp;'3) Release_Label'!$E:$E,'3) Release_Label'!$F:$F},2,0), or(and(not(isblank($B547)),$B547=$B546,$A547&lt;&gt;$A546),and(not(isblank($A547)),$A547=$A546,$B547&lt;&gt;$B546)),"ID LISTS UNALIGNED",and($A547&lt;&gt;"",countif('3) Release_Label'!$D:$D,$A547)=0),"NO UPC MATCH in Release_Label",and($B547&lt;&gt;"",countif('3) Release_Label'!$E:$E,$B547)=0),"NO CATALOG ID MATCH in Release_Label",iserror(vlookup($A547&amp;$B547,'3) Release_Label'!$D:$D&amp;'3) Release_Label'!$E:$E,1,0)),"NO UPC-CATALOG ID pair MATCH in Release_Label" )</f>
        <v/>
      </c>
      <c r="D547" s="121" t="str">
        <f t="array" ref="D547">ifs(and(isblank($A547),isblank($B547)),"", not(iserror(vlookup($A547&amp;$B547,'3) Release_Label'!$D:$D&amp;'3) Release_Label'!$E:$E,1,0))),vlookup($A547&amp;$B547,{'3) Release_Label'!$D:$D&amp;'3) Release_Label'!$E:$E,'3) Release_Label'!$H:$H},2,0), or(and(not(isblank($B547)),$B547=$B546,$A547&lt;&gt;$A546),and(not(isblank($A547)),$A547=$A546,$B547&lt;&gt;$B546)),"ID LISTS UNALIGNED",and($A547&lt;&gt;"",countif('3) Release_Label'!$D:$D,$A547)=0),"NO UPC MATCH in Release_Label",and($B547&lt;&gt;"",countif('3) Release_Label'!$E:$E,$B547)=0),"NO CATALOG ID MATCH in Release_Label",iserror(vlookup($A547&amp;$B547,'3) Release_Label'!$D:$D&amp;'3) Release_Label'!$E:$E,1,0)),"NO UPC-CATALOG ID pair MATCH in Release_Label" )</f>
        <v/>
      </c>
      <c r="E547" s="141" t="str">
        <f t="shared" si="2"/>
        <v/>
      </c>
      <c r="G547" s="103"/>
      <c r="H547" s="152"/>
      <c r="J547" s="99"/>
      <c r="K547" s="104"/>
      <c r="L547" s="99"/>
      <c r="N547" s="99"/>
      <c r="O547" s="99"/>
      <c r="P547" s="34"/>
    </row>
    <row r="548">
      <c r="A548" s="28"/>
      <c r="B548" s="103"/>
      <c r="C548" s="121" t="str">
        <f t="array" ref="C548">ifs(and(isblank($A548),isblank($B548)),"", not(iserror(vlookup($A548&amp;$B548,'3) Release_Label'!$D:$D&amp;'3) Release_Label'!$E:$E,1,0))),vlookup($A548&amp;$B548,{'3) Release_Label'!$D:$D&amp;'3) Release_Label'!$E:$E,'3) Release_Label'!$F:$F},2,0), or(and(not(isblank($B548)),$B548=$B547,$A548&lt;&gt;$A547),and(not(isblank($A548)),$A548=$A547,$B548&lt;&gt;$B547)),"ID LISTS UNALIGNED",and($A548&lt;&gt;"",countif('3) Release_Label'!$D:$D,$A548)=0),"NO UPC MATCH in Release_Label",and($B548&lt;&gt;"",countif('3) Release_Label'!$E:$E,$B548)=0),"NO CATALOG ID MATCH in Release_Label",iserror(vlookup($A548&amp;$B548,'3) Release_Label'!$D:$D&amp;'3) Release_Label'!$E:$E,1,0)),"NO UPC-CATALOG ID pair MATCH in Release_Label" )</f>
        <v/>
      </c>
      <c r="D548" s="121" t="str">
        <f t="array" ref="D548">ifs(and(isblank($A548),isblank($B548)),"", not(iserror(vlookup($A548&amp;$B548,'3) Release_Label'!$D:$D&amp;'3) Release_Label'!$E:$E,1,0))),vlookup($A548&amp;$B548,{'3) Release_Label'!$D:$D&amp;'3) Release_Label'!$E:$E,'3) Release_Label'!$H:$H},2,0), or(and(not(isblank($B548)),$B548=$B547,$A548&lt;&gt;$A547),and(not(isblank($A548)),$A548=$A547,$B548&lt;&gt;$B547)),"ID LISTS UNALIGNED",and($A548&lt;&gt;"",countif('3) Release_Label'!$D:$D,$A548)=0),"NO UPC MATCH in Release_Label",and($B548&lt;&gt;"",countif('3) Release_Label'!$E:$E,$B548)=0),"NO CATALOG ID MATCH in Release_Label",iserror(vlookup($A548&amp;$B548,'3) Release_Label'!$D:$D&amp;'3) Release_Label'!$E:$E,1,0)),"NO UPC-CATALOG ID pair MATCH in Release_Label" )</f>
        <v/>
      </c>
      <c r="E548" s="141" t="str">
        <f t="shared" si="2"/>
        <v/>
      </c>
      <c r="G548" s="103"/>
      <c r="H548" s="152"/>
      <c r="J548" s="99"/>
      <c r="K548" s="104"/>
      <c r="L548" s="99"/>
      <c r="N548" s="99"/>
      <c r="O548" s="99"/>
      <c r="P548" s="34"/>
    </row>
    <row r="549">
      <c r="A549" s="28"/>
      <c r="B549" s="103"/>
      <c r="C549" s="121" t="str">
        <f t="array" ref="C549">ifs(and(isblank($A549),isblank($B549)),"", not(iserror(vlookup($A549&amp;$B549,'3) Release_Label'!$D:$D&amp;'3) Release_Label'!$E:$E,1,0))),vlookup($A549&amp;$B549,{'3) Release_Label'!$D:$D&amp;'3) Release_Label'!$E:$E,'3) Release_Label'!$F:$F},2,0), or(and(not(isblank($B549)),$B549=$B548,$A549&lt;&gt;$A548),and(not(isblank($A549)),$A549=$A548,$B549&lt;&gt;$B548)),"ID LISTS UNALIGNED",and($A549&lt;&gt;"",countif('3) Release_Label'!$D:$D,$A549)=0),"NO UPC MATCH in Release_Label",and($B549&lt;&gt;"",countif('3) Release_Label'!$E:$E,$B549)=0),"NO CATALOG ID MATCH in Release_Label",iserror(vlookup($A549&amp;$B549,'3) Release_Label'!$D:$D&amp;'3) Release_Label'!$E:$E,1,0)),"NO UPC-CATALOG ID pair MATCH in Release_Label" )</f>
        <v/>
      </c>
      <c r="D549" s="121" t="str">
        <f t="array" ref="D549">ifs(and(isblank($A549),isblank($B549)),"", not(iserror(vlookup($A549&amp;$B549,'3) Release_Label'!$D:$D&amp;'3) Release_Label'!$E:$E,1,0))),vlookup($A549&amp;$B549,{'3) Release_Label'!$D:$D&amp;'3) Release_Label'!$E:$E,'3) Release_Label'!$H:$H},2,0), or(and(not(isblank($B549)),$B549=$B548,$A549&lt;&gt;$A548),and(not(isblank($A549)),$A549=$A548,$B549&lt;&gt;$B548)),"ID LISTS UNALIGNED",and($A549&lt;&gt;"",countif('3) Release_Label'!$D:$D,$A549)=0),"NO UPC MATCH in Release_Label",and($B549&lt;&gt;"",countif('3) Release_Label'!$E:$E,$B549)=0),"NO CATALOG ID MATCH in Release_Label",iserror(vlookup($A549&amp;$B549,'3) Release_Label'!$D:$D&amp;'3) Release_Label'!$E:$E,1,0)),"NO UPC-CATALOG ID pair MATCH in Release_Label" )</f>
        <v/>
      </c>
      <c r="E549" s="141" t="str">
        <f t="shared" si="2"/>
        <v/>
      </c>
      <c r="G549" s="103"/>
      <c r="H549" s="152"/>
      <c r="J549" s="99"/>
      <c r="K549" s="104"/>
      <c r="L549" s="99"/>
      <c r="N549" s="99"/>
      <c r="O549" s="99"/>
      <c r="P549" s="34"/>
    </row>
    <row r="550">
      <c r="A550" s="28"/>
      <c r="B550" s="103"/>
      <c r="C550" s="121" t="str">
        <f t="array" ref="C550">ifs(and(isblank($A550),isblank($B550)),"", not(iserror(vlookup($A550&amp;$B550,'3) Release_Label'!$D:$D&amp;'3) Release_Label'!$E:$E,1,0))),vlookup($A550&amp;$B550,{'3) Release_Label'!$D:$D&amp;'3) Release_Label'!$E:$E,'3) Release_Label'!$F:$F},2,0), or(and(not(isblank($B550)),$B550=$B549,$A550&lt;&gt;$A549),and(not(isblank($A550)),$A550=$A549,$B550&lt;&gt;$B549)),"ID LISTS UNALIGNED",and($A550&lt;&gt;"",countif('3) Release_Label'!$D:$D,$A550)=0),"NO UPC MATCH in Release_Label",and($B550&lt;&gt;"",countif('3) Release_Label'!$E:$E,$B550)=0),"NO CATALOG ID MATCH in Release_Label",iserror(vlookup($A550&amp;$B550,'3) Release_Label'!$D:$D&amp;'3) Release_Label'!$E:$E,1,0)),"NO UPC-CATALOG ID pair MATCH in Release_Label" )</f>
        <v/>
      </c>
      <c r="D550" s="121" t="str">
        <f t="array" ref="D550">ifs(and(isblank($A550),isblank($B550)),"", not(iserror(vlookup($A550&amp;$B550,'3) Release_Label'!$D:$D&amp;'3) Release_Label'!$E:$E,1,0))),vlookup($A550&amp;$B550,{'3) Release_Label'!$D:$D&amp;'3) Release_Label'!$E:$E,'3) Release_Label'!$H:$H},2,0), or(and(not(isblank($B550)),$B550=$B549,$A550&lt;&gt;$A549),and(not(isblank($A550)),$A550=$A549,$B550&lt;&gt;$B549)),"ID LISTS UNALIGNED",and($A550&lt;&gt;"",countif('3) Release_Label'!$D:$D,$A550)=0),"NO UPC MATCH in Release_Label",and($B550&lt;&gt;"",countif('3) Release_Label'!$E:$E,$B550)=0),"NO CATALOG ID MATCH in Release_Label",iserror(vlookup($A550&amp;$B550,'3) Release_Label'!$D:$D&amp;'3) Release_Label'!$E:$E,1,0)),"NO UPC-CATALOG ID pair MATCH in Release_Label" )</f>
        <v/>
      </c>
      <c r="E550" s="141" t="str">
        <f t="shared" si="2"/>
        <v/>
      </c>
      <c r="G550" s="103"/>
      <c r="H550" s="152"/>
      <c r="J550" s="99"/>
      <c r="K550" s="104"/>
      <c r="L550" s="99"/>
      <c r="N550" s="99"/>
      <c r="O550" s="99"/>
      <c r="P550" s="34"/>
    </row>
    <row r="551">
      <c r="A551" s="28"/>
      <c r="B551" s="103"/>
      <c r="C551" s="121" t="str">
        <f t="array" ref="C551">ifs(and(isblank($A551),isblank($B551)),"", not(iserror(vlookup($A551&amp;$B551,'3) Release_Label'!$D:$D&amp;'3) Release_Label'!$E:$E,1,0))),vlookup($A551&amp;$B551,{'3) Release_Label'!$D:$D&amp;'3) Release_Label'!$E:$E,'3) Release_Label'!$F:$F},2,0), or(and(not(isblank($B551)),$B551=$B550,$A551&lt;&gt;$A550),and(not(isblank($A551)),$A551=$A550,$B551&lt;&gt;$B550)),"ID LISTS UNALIGNED",and($A551&lt;&gt;"",countif('3) Release_Label'!$D:$D,$A551)=0),"NO UPC MATCH in Release_Label",and($B551&lt;&gt;"",countif('3) Release_Label'!$E:$E,$B551)=0),"NO CATALOG ID MATCH in Release_Label",iserror(vlookup($A551&amp;$B551,'3) Release_Label'!$D:$D&amp;'3) Release_Label'!$E:$E,1,0)),"NO UPC-CATALOG ID pair MATCH in Release_Label" )</f>
        <v/>
      </c>
      <c r="D551" s="121" t="str">
        <f t="array" ref="D551">ifs(and(isblank($A551),isblank($B551)),"", not(iserror(vlookup($A551&amp;$B551,'3) Release_Label'!$D:$D&amp;'3) Release_Label'!$E:$E,1,0))),vlookup($A551&amp;$B551,{'3) Release_Label'!$D:$D&amp;'3) Release_Label'!$E:$E,'3) Release_Label'!$H:$H},2,0), or(and(not(isblank($B551)),$B551=$B550,$A551&lt;&gt;$A550),and(not(isblank($A551)),$A551=$A550,$B551&lt;&gt;$B550)),"ID LISTS UNALIGNED",and($A551&lt;&gt;"",countif('3) Release_Label'!$D:$D,$A551)=0),"NO UPC MATCH in Release_Label",and($B551&lt;&gt;"",countif('3) Release_Label'!$E:$E,$B551)=0),"NO CATALOG ID MATCH in Release_Label",iserror(vlookup($A551&amp;$B551,'3) Release_Label'!$D:$D&amp;'3) Release_Label'!$E:$E,1,0)),"NO UPC-CATALOG ID pair MATCH in Release_Label" )</f>
        <v/>
      </c>
      <c r="E551" s="141" t="str">
        <f t="shared" si="2"/>
        <v/>
      </c>
      <c r="G551" s="103"/>
      <c r="H551" s="152"/>
      <c r="J551" s="99"/>
      <c r="K551" s="104"/>
      <c r="L551" s="99"/>
      <c r="N551" s="99"/>
      <c r="O551" s="99"/>
      <c r="P551" s="34"/>
    </row>
    <row r="552">
      <c r="A552" s="28"/>
      <c r="B552" s="103"/>
      <c r="C552" s="121" t="str">
        <f t="array" ref="C552">ifs(and(isblank($A552),isblank($B552)),"", not(iserror(vlookup($A552&amp;$B552,'3) Release_Label'!$D:$D&amp;'3) Release_Label'!$E:$E,1,0))),vlookup($A552&amp;$B552,{'3) Release_Label'!$D:$D&amp;'3) Release_Label'!$E:$E,'3) Release_Label'!$F:$F},2,0), or(and(not(isblank($B552)),$B552=$B551,$A552&lt;&gt;$A551),and(not(isblank($A552)),$A552=$A551,$B552&lt;&gt;$B551)),"ID LISTS UNALIGNED",and($A552&lt;&gt;"",countif('3) Release_Label'!$D:$D,$A552)=0),"NO UPC MATCH in Release_Label",and($B552&lt;&gt;"",countif('3) Release_Label'!$E:$E,$B552)=0),"NO CATALOG ID MATCH in Release_Label",iserror(vlookup($A552&amp;$B552,'3) Release_Label'!$D:$D&amp;'3) Release_Label'!$E:$E,1,0)),"NO UPC-CATALOG ID pair MATCH in Release_Label" )</f>
        <v/>
      </c>
      <c r="D552" s="121" t="str">
        <f t="array" ref="D552">ifs(and(isblank($A552),isblank($B552)),"", not(iserror(vlookup($A552&amp;$B552,'3) Release_Label'!$D:$D&amp;'3) Release_Label'!$E:$E,1,0))),vlookup($A552&amp;$B552,{'3) Release_Label'!$D:$D&amp;'3) Release_Label'!$E:$E,'3) Release_Label'!$H:$H},2,0), or(and(not(isblank($B552)),$B552=$B551,$A552&lt;&gt;$A551),and(not(isblank($A552)),$A552=$A551,$B552&lt;&gt;$B551)),"ID LISTS UNALIGNED",and($A552&lt;&gt;"",countif('3) Release_Label'!$D:$D,$A552)=0),"NO UPC MATCH in Release_Label",and($B552&lt;&gt;"",countif('3) Release_Label'!$E:$E,$B552)=0),"NO CATALOG ID MATCH in Release_Label",iserror(vlookup($A552&amp;$B552,'3) Release_Label'!$D:$D&amp;'3) Release_Label'!$E:$E,1,0)),"NO UPC-CATALOG ID pair MATCH in Release_Label" )</f>
        <v/>
      </c>
      <c r="E552" s="141" t="str">
        <f t="shared" si="2"/>
        <v/>
      </c>
      <c r="G552" s="103"/>
      <c r="H552" s="152"/>
      <c r="J552" s="99"/>
      <c r="K552" s="104"/>
      <c r="L552" s="99"/>
      <c r="N552" s="99"/>
      <c r="O552" s="99"/>
      <c r="P552" s="34"/>
    </row>
    <row r="553">
      <c r="A553" s="28"/>
      <c r="B553" s="103"/>
      <c r="C553" s="121" t="str">
        <f t="array" ref="C553">ifs(and(isblank($A553),isblank($B553)),"", not(iserror(vlookup($A553&amp;$B553,'3) Release_Label'!$D:$D&amp;'3) Release_Label'!$E:$E,1,0))),vlookup($A553&amp;$B553,{'3) Release_Label'!$D:$D&amp;'3) Release_Label'!$E:$E,'3) Release_Label'!$F:$F},2,0), or(and(not(isblank($B553)),$B553=$B552,$A553&lt;&gt;$A552),and(not(isblank($A553)),$A553=$A552,$B553&lt;&gt;$B552)),"ID LISTS UNALIGNED",and($A553&lt;&gt;"",countif('3) Release_Label'!$D:$D,$A553)=0),"NO UPC MATCH in Release_Label",and($B553&lt;&gt;"",countif('3) Release_Label'!$E:$E,$B553)=0),"NO CATALOG ID MATCH in Release_Label",iserror(vlookup($A553&amp;$B553,'3) Release_Label'!$D:$D&amp;'3) Release_Label'!$E:$E,1,0)),"NO UPC-CATALOG ID pair MATCH in Release_Label" )</f>
        <v/>
      </c>
      <c r="D553" s="121" t="str">
        <f t="array" ref="D553">ifs(and(isblank($A553),isblank($B553)),"", not(iserror(vlookup($A553&amp;$B553,'3) Release_Label'!$D:$D&amp;'3) Release_Label'!$E:$E,1,0))),vlookup($A553&amp;$B553,{'3) Release_Label'!$D:$D&amp;'3) Release_Label'!$E:$E,'3) Release_Label'!$H:$H},2,0), or(and(not(isblank($B553)),$B553=$B552,$A553&lt;&gt;$A552),and(not(isblank($A553)),$A553=$A552,$B553&lt;&gt;$B552)),"ID LISTS UNALIGNED",and($A553&lt;&gt;"",countif('3) Release_Label'!$D:$D,$A553)=0),"NO UPC MATCH in Release_Label",and($B553&lt;&gt;"",countif('3) Release_Label'!$E:$E,$B553)=0),"NO CATALOG ID MATCH in Release_Label",iserror(vlookup($A553&amp;$B553,'3) Release_Label'!$D:$D&amp;'3) Release_Label'!$E:$E,1,0)),"NO UPC-CATALOG ID pair MATCH in Release_Label" )</f>
        <v/>
      </c>
      <c r="E553" s="141" t="str">
        <f t="shared" si="2"/>
        <v/>
      </c>
      <c r="G553" s="103"/>
      <c r="H553" s="152"/>
      <c r="J553" s="99"/>
      <c r="K553" s="104"/>
      <c r="L553" s="99"/>
      <c r="N553" s="99"/>
      <c r="O553" s="99"/>
      <c r="P553" s="34"/>
    </row>
    <row r="554">
      <c r="A554" s="28"/>
      <c r="B554" s="103"/>
      <c r="C554" s="121" t="str">
        <f t="array" ref="C554">ifs(and(isblank($A554),isblank($B554)),"", not(iserror(vlookup($A554&amp;$B554,'3) Release_Label'!$D:$D&amp;'3) Release_Label'!$E:$E,1,0))),vlookup($A554&amp;$B554,{'3) Release_Label'!$D:$D&amp;'3) Release_Label'!$E:$E,'3) Release_Label'!$F:$F},2,0), or(and(not(isblank($B554)),$B554=$B553,$A554&lt;&gt;$A553),and(not(isblank($A554)),$A554=$A553,$B554&lt;&gt;$B553)),"ID LISTS UNALIGNED",and($A554&lt;&gt;"",countif('3) Release_Label'!$D:$D,$A554)=0),"NO UPC MATCH in Release_Label",and($B554&lt;&gt;"",countif('3) Release_Label'!$E:$E,$B554)=0),"NO CATALOG ID MATCH in Release_Label",iserror(vlookup($A554&amp;$B554,'3) Release_Label'!$D:$D&amp;'3) Release_Label'!$E:$E,1,0)),"NO UPC-CATALOG ID pair MATCH in Release_Label" )</f>
        <v/>
      </c>
      <c r="D554" s="121" t="str">
        <f t="array" ref="D554">ifs(and(isblank($A554),isblank($B554)),"", not(iserror(vlookup($A554&amp;$B554,'3) Release_Label'!$D:$D&amp;'3) Release_Label'!$E:$E,1,0))),vlookup($A554&amp;$B554,{'3) Release_Label'!$D:$D&amp;'3) Release_Label'!$E:$E,'3) Release_Label'!$H:$H},2,0), or(and(not(isblank($B554)),$B554=$B553,$A554&lt;&gt;$A553),and(not(isblank($A554)),$A554=$A553,$B554&lt;&gt;$B553)),"ID LISTS UNALIGNED",and($A554&lt;&gt;"",countif('3) Release_Label'!$D:$D,$A554)=0),"NO UPC MATCH in Release_Label",and($B554&lt;&gt;"",countif('3) Release_Label'!$E:$E,$B554)=0),"NO CATALOG ID MATCH in Release_Label",iserror(vlookup($A554&amp;$B554,'3) Release_Label'!$D:$D&amp;'3) Release_Label'!$E:$E,1,0)),"NO UPC-CATALOG ID pair MATCH in Release_Label" )</f>
        <v/>
      </c>
      <c r="E554" s="141" t="str">
        <f t="shared" si="2"/>
        <v/>
      </c>
      <c r="G554" s="103"/>
      <c r="H554" s="152"/>
      <c r="J554" s="99"/>
      <c r="K554" s="104"/>
      <c r="L554" s="99"/>
      <c r="N554" s="99"/>
      <c r="O554" s="99"/>
      <c r="P554" s="34"/>
    </row>
    <row r="555">
      <c r="A555" s="28"/>
      <c r="B555" s="103"/>
      <c r="C555" s="121" t="str">
        <f t="array" ref="C555">ifs(and(isblank($A555),isblank($B555)),"", not(iserror(vlookup($A555&amp;$B555,'3) Release_Label'!$D:$D&amp;'3) Release_Label'!$E:$E,1,0))),vlookup($A555&amp;$B555,{'3) Release_Label'!$D:$D&amp;'3) Release_Label'!$E:$E,'3) Release_Label'!$F:$F},2,0), or(and(not(isblank($B555)),$B555=$B554,$A555&lt;&gt;$A554),and(not(isblank($A555)),$A555=$A554,$B555&lt;&gt;$B554)),"ID LISTS UNALIGNED",and($A555&lt;&gt;"",countif('3) Release_Label'!$D:$D,$A555)=0),"NO UPC MATCH in Release_Label",and($B555&lt;&gt;"",countif('3) Release_Label'!$E:$E,$B555)=0),"NO CATALOG ID MATCH in Release_Label",iserror(vlookup($A555&amp;$B555,'3) Release_Label'!$D:$D&amp;'3) Release_Label'!$E:$E,1,0)),"NO UPC-CATALOG ID pair MATCH in Release_Label" )</f>
        <v/>
      </c>
      <c r="D555" s="121" t="str">
        <f t="array" ref="D555">ifs(and(isblank($A555),isblank($B555)),"", not(iserror(vlookup($A555&amp;$B555,'3) Release_Label'!$D:$D&amp;'3) Release_Label'!$E:$E,1,0))),vlookup($A555&amp;$B555,{'3) Release_Label'!$D:$D&amp;'3) Release_Label'!$E:$E,'3) Release_Label'!$H:$H},2,0), or(and(not(isblank($B555)),$B555=$B554,$A555&lt;&gt;$A554),and(not(isblank($A555)),$A555=$A554,$B555&lt;&gt;$B554)),"ID LISTS UNALIGNED",and($A555&lt;&gt;"",countif('3) Release_Label'!$D:$D,$A555)=0),"NO UPC MATCH in Release_Label",and($B555&lt;&gt;"",countif('3) Release_Label'!$E:$E,$B555)=0),"NO CATALOG ID MATCH in Release_Label",iserror(vlookup($A555&amp;$B555,'3) Release_Label'!$D:$D&amp;'3) Release_Label'!$E:$E,1,0)),"NO UPC-CATALOG ID pair MATCH in Release_Label" )</f>
        <v/>
      </c>
      <c r="E555" s="141" t="str">
        <f t="shared" si="2"/>
        <v/>
      </c>
      <c r="G555" s="103"/>
      <c r="H555" s="152"/>
      <c r="J555" s="99"/>
      <c r="K555" s="104"/>
      <c r="L555" s="99"/>
      <c r="N555" s="99"/>
      <c r="O555" s="99"/>
      <c r="P555" s="34"/>
    </row>
    <row r="556">
      <c r="A556" s="28"/>
      <c r="B556" s="103"/>
      <c r="C556" s="121" t="str">
        <f t="array" ref="C556">ifs(and(isblank($A556),isblank($B556)),"", not(iserror(vlookup($A556&amp;$B556,'3) Release_Label'!$D:$D&amp;'3) Release_Label'!$E:$E,1,0))),vlookup($A556&amp;$B556,{'3) Release_Label'!$D:$D&amp;'3) Release_Label'!$E:$E,'3) Release_Label'!$F:$F},2,0), or(and(not(isblank($B556)),$B556=$B555,$A556&lt;&gt;$A555),and(not(isblank($A556)),$A556=$A555,$B556&lt;&gt;$B555)),"ID LISTS UNALIGNED",and($A556&lt;&gt;"",countif('3) Release_Label'!$D:$D,$A556)=0),"NO UPC MATCH in Release_Label",and($B556&lt;&gt;"",countif('3) Release_Label'!$E:$E,$B556)=0),"NO CATALOG ID MATCH in Release_Label",iserror(vlookup($A556&amp;$B556,'3) Release_Label'!$D:$D&amp;'3) Release_Label'!$E:$E,1,0)),"NO UPC-CATALOG ID pair MATCH in Release_Label" )</f>
        <v/>
      </c>
      <c r="D556" s="121" t="str">
        <f t="array" ref="D556">ifs(and(isblank($A556),isblank($B556)),"", not(iserror(vlookup($A556&amp;$B556,'3) Release_Label'!$D:$D&amp;'3) Release_Label'!$E:$E,1,0))),vlookup($A556&amp;$B556,{'3) Release_Label'!$D:$D&amp;'3) Release_Label'!$E:$E,'3) Release_Label'!$H:$H},2,0), or(and(not(isblank($B556)),$B556=$B555,$A556&lt;&gt;$A555),and(not(isblank($A556)),$A556=$A555,$B556&lt;&gt;$B555)),"ID LISTS UNALIGNED",and($A556&lt;&gt;"",countif('3) Release_Label'!$D:$D,$A556)=0),"NO UPC MATCH in Release_Label",and($B556&lt;&gt;"",countif('3) Release_Label'!$E:$E,$B556)=0),"NO CATALOG ID MATCH in Release_Label",iserror(vlookup($A556&amp;$B556,'3) Release_Label'!$D:$D&amp;'3) Release_Label'!$E:$E,1,0)),"NO UPC-CATALOG ID pair MATCH in Release_Label" )</f>
        <v/>
      </c>
      <c r="E556" s="141" t="str">
        <f t="shared" si="2"/>
        <v/>
      </c>
      <c r="G556" s="103"/>
      <c r="H556" s="152"/>
      <c r="J556" s="99"/>
      <c r="K556" s="104"/>
      <c r="L556" s="99"/>
      <c r="N556" s="99"/>
      <c r="O556" s="99"/>
      <c r="P556" s="34"/>
    </row>
    <row r="557">
      <c r="A557" s="28"/>
      <c r="B557" s="103"/>
      <c r="C557" s="121" t="str">
        <f t="array" ref="C557">ifs(and(isblank($A557),isblank($B557)),"", not(iserror(vlookup($A557&amp;$B557,'3) Release_Label'!$D:$D&amp;'3) Release_Label'!$E:$E,1,0))),vlookup($A557&amp;$B557,{'3) Release_Label'!$D:$D&amp;'3) Release_Label'!$E:$E,'3) Release_Label'!$F:$F},2,0), or(and(not(isblank($B557)),$B557=$B556,$A557&lt;&gt;$A556),and(not(isblank($A557)),$A557=$A556,$B557&lt;&gt;$B556)),"ID LISTS UNALIGNED",and($A557&lt;&gt;"",countif('3) Release_Label'!$D:$D,$A557)=0),"NO UPC MATCH in Release_Label",and($B557&lt;&gt;"",countif('3) Release_Label'!$E:$E,$B557)=0),"NO CATALOG ID MATCH in Release_Label",iserror(vlookup($A557&amp;$B557,'3) Release_Label'!$D:$D&amp;'3) Release_Label'!$E:$E,1,0)),"NO UPC-CATALOG ID pair MATCH in Release_Label" )</f>
        <v/>
      </c>
      <c r="D557" s="121" t="str">
        <f t="array" ref="D557">ifs(and(isblank($A557),isblank($B557)),"", not(iserror(vlookup($A557&amp;$B557,'3) Release_Label'!$D:$D&amp;'3) Release_Label'!$E:$E,1,0))),vlookup($A557&amp;$B557,{'3) Release_Label'!$D:$D&amp;'3) Release_Label'!$E:$E,'3) Release_Label'!$H:$H},2,0), or(and(not(isblank($B557)),$B557=$B556,$A557&lt;&gt;$A556),and(not(isblank($A557)),$A557=$A556,$B557&lt;&gt;$B556)),"ID LISTS UNALIGNED",and($A557&lt;&gt;"",countif('3) Release_Label'!$D:$D,$A557)=0),"NO UPC MATCH in Release_Label",and($B557&lt;&gt;"",countif('3) Release_Label'!$E:$E,$B557)=0),"NO CATALOG ID MATCH in Release_Label",iserror(vlookup($A557&amp;$B557,'3) Release_Label'!$D:$D&amp;'3) Release_Label'!$E:$E,1,0)),"NO UPC-CATALOG ID pair MATCH in Release_Label" )</f>
        <v/>
      </c>
      <c r="E557" s="141" t="str">
        <f t="shared" si="2"/>
        <v/>
      </c>
      <c r="G557" s="103"/>
      <c r="H557" s="152"/>
      <c r="J557" s="99"/>
      <c r="K557" s="104"/>
      <c r="L557" s="99"/>
      <c r="N557" s="99"/>
      <c r="O557" s="99"/>
      <c r="P557" s="34"/>
    </row>
    <row r="558">
      <c r="A558" s="28"/>
      <c r="B558" s="103"/>
      <c r="C558" s="121" t="str">
        <f t="array" ref="C558">ifs(and(isblank($A558),isblank($B558)),"", not(iserror(vlookup($A558&amp;$B558,'3) Release_Label'!$D:$D&amp;'3) Release_Label'!$E:$E,1,0))),vlookup($A558&amp;$B558,{'3) Release_Label'!$D:$D&amp;'3) Release_Label'!$E:$E,'3) Release_Label'!$F:$F},2,0), or(and(not(isblank($B558)),$B558=$B557,$A558&lt;&gt;$A557),and(not(isblank($A558)),$A558=$A557,$B558&lt;&gt;$B557)),"ID LISTS UNALIGNED",and($A558&lt;&gt;"",countif('3) Release_Label'!$D:$D,$A558)=0),"NO UPC MATCH in Release_Label",and($B558&lt;&gt;"",countif('3) Release_Label'!$E:$E,$B558)=0),"NO CATALOG ID MATCH in Release_Label",iserror(vlookup($A558&amp;$B558,'3) Release_Label'!$D:$D&amp;'3) Release_Label'!$E:$E,1,0)),"NO UPC-CATALOG ID pair MATCH in Release_Label" )</f>
        <v/>
      </c>
      <c r="D558" s="121" t="str">
        <f t="array" ref="D558">ifs(and(isblank($A558),isblank($B558)),"", not(iserror(vlookup($A558&amp;$B558,'3) Release_Label'!$D:$D&amp;'3) Release_Label'!$E:$E,1,0))),vlookup($A558&amp;$B558,{'3) Release_Label'!$D:$D&amp;'3) Release_Label'!$E:$E,'3) Release_Label'!$H:$H},2,0), or(and(not(isblank($B558)),$B558=$B557,$A558&lt;&gt;$A557),and(not(isblank($A558)),$A558=$A557,$B558&lt;&gt;$B557)),"ID LISTS UNALIGNED",and($A558&lt;&gt;"",countif('3) Release_Label'!$D:$D,$A558)=0),"NO UPC MATCH in Release_Label",and($B558&lt;&gt;"",countif('3) Release_Label'!$E:$E,$B558)=0),"NO CATALOG ID MATCH in Release_Label",iserror(vlookup($A558&amp;$B558,'3) Release_Label'!$D:$D&amp;'3) Release_Label'!$E:$E,1,0)),"NO UPC-CATALOG ID pair MATCH in Release_Label" )</f>
        <v/>
      </c>
      <c r="E558" s="141" t="str">
        <f t="shared" si="2"/>
        <v/>
      </c>
      <c r="G558" s="103"/>
      <c r="H558" s="152"/>
      <c r="J558" s="99"/>
      <c r="K558" s="104"/>
      <c r="L558" s="99"/>
      <c r="N558" s="99"/>
      <c r="O558" s="99"/>
      <c r="P558" s="34"/>
    </row>
    <row r="559">
      <c r="A559" s="28"/>
      <c r="B559" s="103"/>
      <c r="C559" s="121" t="str">
        <f t="array" ref="C559">ifs(and(isblank($A559),isblank($B559)),"", not(iserror(vlookup($A559&amp;$B559,'3) Release_Label'!$D:$D&amp;'3) Release_Label'!$E:$E,1,0))),vlookup($A559&amp;$B559,{'3) Release_Label'!$D:$D&amp;'3) Release_Label'!$E:$E,'3) Release_Label'!$F:$F},2,0), or(and(not(isblank($B559)),$B559=$B558,$A559&lt;&gt;$A558),and(not(isblank($A559)),$A559=$A558,$B559&lt;&gt;$B558)),"ID LISTS UNALIGNED",and($A559&lt;&gt;"",countif('3) Release_Label'!$D:$D,$A559)=0),"NO UPC MATCH in Release_Label",and($B559&lt;&gt;"",countif('3) Release_Label'!$E:$E,$B559)=0),"NO CATALOG ID MATCH in Release_Label",iserror(vlookup($A559&amp;$B559,'3) Release_Label'!$D:$D&amp;'3) Release_Label'!$E:$E,1,0)),"NO UPC-CATALOG ID pair MATCH in Release_Label" )</f>
        <v/>
      </c>
      <c r="D559" s="121" t="str">
        <f t="array" ref="D559">ifs(and(isblank($A559),isblank($B559)),"", not(iserror(vlookup($A559&amp;$B559,'3) Release_Label'!$D:$D&amp;'3) Release_Label'!$E:$E,1,0))),vlookup($A559&amp;$B559,{'3) Release_Label'!$D:$D&amp;'3) Release_Label'!$E:$E,'3) Release_Label'!$H:$H},2,0), or(and(not(isblank($B559)),$B559=$B558,$A559&lt;&gt;$A558),and(not(isblank($A559)),$A559=$A558,$B559&lt;&gt;$B558)),"ID LISTS UNALIGNED",and($A559&lt;&gt;"",countif('3) Release_Label'!$D:$D,$A559)=0),"NO UPC MATCH in Release_Label",and($B559&lt;&gt;"",countif('3) Release_Label'!$E:$E,$B559)=0),"NO CATALOG ID MATCH in Release_Label",iserror(vlookup($A559&amp;$B559,'3) Release_Label'!$D:$D&amp;'3) Release_Label'!$E:$E,1,0)),"NO UPC-CATALOG ID pair MATCH in Release_Label" )</f>
        <v/>
      </c>
      <c r="E559" s="141" t="str">
        <f t="shared" si="2"/>
        <v/>
      </c>
      <c r="G559" s="103"/>
      <c r="H559" s="152"/>
      <c r="J559" s="99"/>
      <c r="K559" s="104"/>
      <c r="L559" s="99"/>
      <c r="N559" s="99"/>
      <c r="O559" s="99"/>
      <c r="P559" s="34"/>
    </row>
    <row r="560">
      <c r="A560" s="28"/>
      <c r="B560" s="103"/>
      <c r="C560" s="121" t="str">
        <f t="array" ref="C560">ifs(and(isblank($A560),isblank($B560)),"", not(iserror(vlookup($A560&amp;$B560,'3) Release_Label'!$D:$D&amp;'3) Release_Label'!$E:$E,1,0))),vlookup($A560&amp;$B560,{'3) Release_Label'!$D:$D&amp;'3) Release_Label'!$E:$E,'3) Release_Label'!$F:$F},2,0), or(and(not(isblank($B560)),$B560=$B559,$A560&lt;&gt;$A559),and(not(isblank($A560)),$A560=$A559,$B560&lt;&gt;$B559)),"ID LISTS UNALIGNED",and($A560&lt;&gt;"",countif('3) Release_Label'!$D:$D,$A560)=0),"NO UPC MATCH in Release_Label",and($B560&lt;&gt;"",countif('3) Release_Label'!$E:$E,$B560)=0),"NO CATALOG ID MATCH in Release_Label",iserror(vlookup($A560&amp;$B560,'3) Release_Label'!$D:$D&amp;'3) Release_Label'!$E:$E,1,0)),"NO UPC-CATALOG ID pair MATCH in Release_Label" )</f>
        <v/>
      </c>
      <c r="D560" s="121" t="str">
        <f t="array" ref="D560">ifs(and(isblank($A560),isblank($B560)),"", not(iserror(vlookup($A560&amp;$B560,'3) Release_Label'!$D:$D&amp;'3) Release_Label'!$E:$E,1,0))),vlookup($A560&amp;$B560,{'3) Release_Label'!$D:$D&amp;'3) Release_Label'!$E:$E,'3) Release_Label'!$H:$H},2,0), or(and(not(isblank($B560)),$B560=$B559,$A560&lt;&gt;$A559),and(not(isblank($A560)),$A560=$A559,$B560&lt;&gt;$B559)),"ID LISTS UNALIGNED",and($A560&lt;&gt;"",countif('3) Release_Label'!$D:$D,$A560)=0),"NO UPC MATCH in Release_Label",and($B560&lt;&gt;"",countif('3) Release_Label'!$E:$E,$B560)=0),"NO CATALOG ID MATCH in Release_Label",iserror(vlookup($A560&amp;$B560,'3) Release_Label'!$D:$D&amp;'3) Release_Label'!$E:$E,1,0)),"NO UPC-CATALOG ID pair MATCH in Release_Label" )</f>
        <v/>
      </c>
      <c r="E560" s="141" t="str">
        <f t="shared" si="2"/>
        <v/>
      </c>
      <c r="G560" s="103"/>
      <c r="H560" s="152"/>
      <c r="J560" s="99"/>
      <c r="K560" s="104"/>
      <c r="L560" s="99"/>
      <c r="N560" s="99"/>
      <c r="O560" s="99"/>
      <c r="P560" s="34"/>
    </row>
    <row r="561">
      <c r="A561" s="28"/>
      <c r="B561" s="103"/>
      <c r="C561" s="121" t="str">
        <f t="array" ref="C561">ifs(and(isblank($A561),isblank($B561)),"", not(iserror(vlookup($A561&amp;$B561,'3) Release_Label'!$D:$D&amp;'3) Release_Label'!$E:$E,1,0))),vlookup($A561&amp;$B561,{'3) Release_Label'!$D:$D&amp;'3) Release_Label'!$E:$E,'3) Release_Label'!$F:$F},2,0), or(and(not(isblank($B561)),$B561=$B560,$A561&lt;&gt;$A560),and(not(isblank($A561)),$A561=$A560,$B561&lt;&gt;$B560)),"ID LISTS UNALIGNED",and($A561&lt;&gt;"",countif('3) Release_Label'!$D:$D,$A561)=0),"NO UPC MATCH in Release_Label",and($B561&lt;&gt;"",countif('3) Release_Label'!$E:$E,$B561)=0),"NO CATALOG ID MATCH in Release_Label",iserror(vlookup($A561&amp;$B561,'3) Release_Label'!$D:$D&amp;'3) Release_Label'!$E:$E,1,0)),"NO UPC-CATALOG ID pair MATCH in Release_Label" )</f>
        <v/>
      </c>
      <c r="D561" s="121" t="str">
        <f t="array" ref="D561">ifs(and(isblank($A561),isblank($B561)),"", not(iserror(vlookup($A561&amp;$B561,'3) Release_Label'!$D:$D&amp;'3) Release_Label'!$E:$E,1,0))),vlookup($A561&amp;$B561,{'3) Release_Label'!$D:$D&amp;'3) Release_Label'!$E:$E,'3) Release_Label'!$H:$H},2,0), or(and(not(isblank($B561)),$B561=$B560,$A561&lt;&gt;$A560),and(not(isblank($A561)),$A561=$A560,$B561&lt;&gt;$B560)),"ID LISTS UNALIGNED",and($A561&lt;&gt;"",countif('3) Release_Label'!$D:$D,$A561)=0),"NO UPC MATCH in Release_Label",and($B561&lt;&gt;"",countif('3) Release_Label'!$E:$E,$B561)=0),"NO CATALOG ID MATCH in Release_Label",iserror(vlookup($A561&amp;$B561,'3) Release_Label'!$D:$D&amp;'3) Release_Label'!$E:$E,1,0)),"NO UPC-CATALOG ID pair MATCH in Release_Label" )</f>
        <v/>
      </c>
      <c r="E561" s="141" t="str">
        <f t="shared" si="2"/>
        <v/>
      </c>
      <c r="G561" s="103"/>
      <c r="H561" s="152"/>
      <c r="J561" s="99"/>
      <c r="K561" s="104"/>
      <c r="L561" s="99"/>
      <c r="N561" s="99"/>
      <c r="O561" s="99"/>
      <c r="P561" s="34"/>
    </row>
    <row r="562">
      <c r="A562" s="28"/>
      <c r="B562" s="103"/>
      <c r="C562" s="121" t="str">
        <f t="array" ref="C562">ifs(and(isblank($A562),isblank($B562)),"", not(iserror(vlookup($A562&amp;$B562,'3) Release_Label'!$D:$D&amp;'3) Release_Label'!$E:$E,1,0))),vlookup($A562&amp;$B562,{'3) Release_Label'!$D:$D&amp;'3) Release_Label'!$E:$E,'3) Release_Label'!$F:$F},2,0), or(and(not(isblank($B562)),$B562=$B561,$A562&lt;&gt;$A561),and(not(isblank($A562)),$A562=$A561,$B562&lt;&gt;$B561)),"ID LISTS UNALIGNED",and($A562&lt;&gt;"",countif('3) Release_Label'!$D:$D,$A562)=0),"NO UPC MATCH in Release_Label",and($B562&lt;&gt;"",countif('3) Release_Label'!$E:$E,$B562)=0),"NO CATALOG ID MATCH in Release_Label",iserror(vlookup($A562&amp;$B562,'3) Release_Label'!$D:$D&amp;'3) Release_Label'!$E:$E,1,0)),"NO UPC-CATALOG ID pair MATCH in Release_Label" )</f>
        <v/>
      </c>
      <c r="D562" s="121" t="str">
        <f t="array" ref="D562">ifs(and(isblank($A562),isblank($B562)),"", not(iserror(vlookup($A562&amp;$B562,'3) Release_Label'!$D:$D&amp;'3) Release_Label'!$E:$E,1,0))),vlookup($A562&amp;$B562,{'3) Release_Label'!$D:$D&amp;'3) Release_Label'!$E:$E,'3) Release_Label'!$H:$H},2,0), or(and(not(isblank($B562)),$B562=$B561,$A562&lt;&gt;$A561),and(not(isblank($A562)),$A562=$A561,$B562&lt;&gt;$B561)),"ID LISTS UNALIGNED",and($A562&lt;&gt;"",countif('3) Release_Label'!$D:$D,$A562)=0),"NO UPC MATCH in Release_Label",and($B562&lt;&gt;"",countif('3) Release_Label'!$E:$E,$B562)=0),"NO CATALOG ID MATCH in Release_Label",iserror(vlookup($A562&amp;$B562,'3) Release_Label'!$D:$D&amp;'3) Release_Label'!$E:$E,1,0)),"NO UPC-CATALOG ID pair MATCH in Release_Label" )</f>
        <v/>
      </c>
      <c r="E562" s="141" t="str">
        <f t="shared" si="2"/>
        <v/>
      </c>
      <c r="G562" s="103"/>
      <c r="H562" s="152"/>
      <c r="J562" s="99"/>
      <c r="K562" s="104"/>
      <c r="L562" s="99"/>
      <c r="N562" s="99"/>
      <c r="O562" s="99"/>
      <c r="P562" s="34"/>
    </row>
    <row r="563">
      <c r="A563" s="28"/>
      <c r="B563" s="103"/>
      <c r="C563" s="121" t="str">
        <f t="array" ref="C563">ifs(and(isblank($A563),isblank($B563)),"", not(iserror(vlookup($A563&amp;$B563,'3) Release_Label'!$D:$D&amp;'3) Release_Label'!$E:$E,1,0))),vlookup($A563&amp;$B563,{'3) Release_Label'!$D:$D&amp;'3) Release_Label'!$E:$E,'3) Release_Label'!$F:$F},2,0), or(and(not(isblank($B563)),$B563=$B562,$A563&lt;&gt;$A562),and(not(isblank($A563)),$A563=$A562,$B563&lt;&gt;$B562)),"ID LISTS UNALIGNED",and($A563&lt;&gt;"",countif('3) Release_Label'!$D:$D,$A563)=0),"NO UPC MATCH in Release_Label",and($B563&lt;&gt;"",countif('3) Release_Label'!$E:$E,$B563)=0),"NO CATALOG ID MATCH in Release_Label",iserror(vlookup($A563&amp;$B563,'3) Release_Label'!$D:$D&amp;'3) Release_Label'!$E:$E,1,0)),"NO UPC-CATALOG ID pair MATCH in Release_Label" )</f>
        <v/>
      </c>
      <c r="D563" s="121" t="str">
        <f t="array" ref="D563">ifs(and(isblank($A563),isblank($B563)),"", not(iserror(vlookup($A563&amp;$B563,'3) Release_Label'!$D:$D&amp;'3) Release_Label'!$E:$E,1,0))),vlookup($A563&amp;$B563,{'3) Release_Label'!$D:$D&amp;'3) Release_Label'!$E:$E,'3) Release_Label'!$H:$H},2,0), or(and(not(isblank($B563)),$B563=$B562,$A563&lt;&gt;$A562),and(not(isblank($A563)),$A563=$A562,$B563&lt;&gt;$B562)),"ID LISTS UNALIGNED",and($A563&lt;&gt;"",countif('3) Release_Label'!$D:$D,$A563)=0),"NO UPC MATCH in Release_Label",and($B563&lt;&gt;"",countif('3) Release_Label'!$E:$E,$B563)=0),"NO CATALOG ID MATCH in Release_Label",iserror(vlookup($A563&amp;$B563,'3) Release_Label'!$D:$D&amp;'3) Release_Label'!$E:$E,1,0)),"NO UPC-CATALOG ID pair MATCH in Release_Label" )</f>
        <v/>
      </c>
      <c r="E563" s="141" t="str">
        <f t="shared" si="2"/>
        <v/>
      </c>
      <c r="G563" s="103"/>
      <c r="H563" s="152"/>
      <c r="J563" s="99"/>
      <c r="K563" s="104"/>
      <c r="L563" s="99"/>
      <c r="N563" s="99"/>
      <c r="O563" s="99"/>
      <c r="P563" s="34"/>
    </row>
    <row r="564">
      <c r="A564" s="28"/>
      <c r="B564" s="103"/>
      <c r="C564" s="121" t="str">
        <f t="array" ref="C564">ifs(and(isblank($A564),isblank($B564)),"", not(iserror(vlookup($A564&amp;$B564,'3) Release_Label'!$D:$D&amp;'3) Release_Label'!$E:$E,1,0))),vlookup($A564&amp;$B564,{'3) Release_Label'!$D:$D&amp;'3) Release_Label'!$E:$E,'3) Release_Label'!$F:$F},2,0), or(and(not(isblank($B564)),$B564=$B563,$A564&lt;&gt;$A563),and(not(isblank($A564)),$A564=$A563,$B564&lt;&gt;$B563)),"ID LISTS UNALIGNED",and($A564&lt;&gt;"",countif('3) Release_Label'!$D:$D,$A564)=0),"NO UPC MATCH in Release_Label",and($B564&lt;&gt;"",countif('3) Release_Label'!$E:$E,$B564)=0),"NO CATALOG ID MATCH in Release_Label",iserror(vlookup($A564&amp;$B564,'3) Release_Label'!$D:$D&amp;'3) Release_Label'!$E:$E,1,0)),"NO UPC-CATALOG ID pair MATCH in Release_Label" )</f>
        <v/>
      </c>
      <c r="D564" s="121" t="str">
        <f t="array" ref="D564">ifs(and(isblank($A564),isblank($B564)),"", not(iserror(vlookup($A564&amp;$B564,'3) Release_Label'!$D:$D&amp;'3) Release_Label'!$E:$E,1,0))),vlookup($A564&amp;$B564,{'3) Release_Label'!$D:$D&amp;'3) Release_Label'!$E:$E,'3) Release_Label'!$H:$H},2,0), or(and(not(isblank($B564)),$B564=$B563,$A564&lt;&gt;$A563),and(not(isblank($A564)),$A564=$A563,$B564&lt;&gt;$B563)),"ID LISTS UNALIGNED",and($A564&lt;&gt;"",countif('3) Release_Label'!$D:$D,$A564)=0),"NO UPC MATCH in Release_Label",and($B564&lt;&gt;"",countif('3) Release_Label'!$E:$E,$B564)=0),"NO CATALOG ID MATCH in Release_Label",iserror(vlookup($A564&amp;$B564,'3) Release_Label'!$D:$D&amp;'3) Release_Label'!$E:$E,1,0)),"NO UPC-CATALOG ID pair MATCH in Release_Label" )</f>
        <v/>
      </c>
      <c r="E564" s="141" t="str">
        <f t="shared" si="2"/>
        <v/>
      </c>
      <c r="G564" s="103"/>
      <c r="H564" s="152"/>
      <c r="J564" s="99"/>
      <c r="K564" s="104"/>
      <c r="L564" s="99"/>
      <c r="N564" s="99"/>
      <c r="O564" s="99"/>
      <c r="P564" s="34"/>
    </row>
    <row r="565">
      <c r="A565" s="28"/>
      <c r="B565" s="103"/>
      <c r="C565" s="121" t="str">
        <f t="array" ref="C565">ifs(and(isblank($A565),isblank($B565)),"", not(iserror(vlookup($A565&amp;$B565,'3) Release_Label'!$D:$D&amp;'3) Release_Label'!$E:$E,1,0))),vlookup($A565&amp;$B565,{'3) Release_Label'!$D:$D&amp;'3) Release_Label'!$E:$E,'3) Release_Label'!$F:$F},2,0), or(and(not(isblank($B565)),$B565=$B564,$A565&lt;&gt;$A564),and(not(isblank($A565)),$A565=$A564,$B565&lt;&gt;$B564)),"ID LISTS UNALIGNED",and($A565&lt;&gt;"",countif('3) Release_Label'!$D:$D,$A565)=0),"NO UPC MATCH in Release_Label",and($B565&lt;&gt;"",countif('3) Release_Label'!$E:$E,$B565)=0),"NO CATALOG ID MATCH in Release_Label",iserror(vlookup($A565&amp;$B565,'3) Release_Label'!$D:$D&amp;'3) Release_Label'!$E:$E,1,0)),"NO UPC-CATALOG ID pair MATCH in Release_Label" )</f>
        <v/>
      </c>
      <c r="D565" s="121" t="str">
        <f t="array" ref="D565">ifs(and(isblank($A565),isblank($B565)),"", not(iserror(vlookup($A565&amp;$B565,'3) Release_Label'!$D:$D&amp;'3) Release_Label'!$E:$E,1,0))),vlookup($A565&amp;$B565,{'3) Release_Label'!$D:$D&amp;'3) Release_Label'!$E:$E,'3) Release_Label'!$H:$H},2,0), or(and(not(isblank($B565)),$B565=$B564,$A565&lt;&gt;$A564),and(not(isblank($A565)),$A565=$A564,$B565&lt;&gt;$B564)),"ID LISTS UNALIGNED",and($A565&lt;&gt;"",countif('3) Release_Label'!$D:$D,$A565)=0),"NO UPC MATCH in Release_Label",and($B565&lt;&gt;"",countif('3) Release_Label'!$E:$E,$B565)=0),"NO CATALOG ID MATCH in Release_Label",iserror(vlookup($A565&amp;$B565,'3) Release_Label'!$D:$D&amp;'3) Release_Label'!$E:$E,1,0)),"NO UPC-CATALOG ID pair MATCH in Release_Label" )</f>
        <v/>
      </c>
      <c r="E565" s="141" t="str">
        <f t="shared" si="2"/>
        <v/>
      </c>
      <c r="G565" s="103"/>
      <c r="H565" s="152"/>
      <c r="J565" s="99"/>
      <c r="K565" s="104"/>
      <c r="L565" s="99"/>
      <c r="N565" s="99"/>
      <c r="O565" s="99"/>
      <c r="P565" s="34"/>
    </row>
    <row r="566">
      <c r="A566" s="28"/>
      <c r="B566" s="103"/>
      <c r="C566" s="121" t="str">
        <f t="array" ref="C566">ifs(and(isblank($A566),isblank($B566)),"", not(iserror(vlookup($A566&amp;$B566,'3) Release_Label'!$D:$D&amp;'3) Release_Label'!$E:$E,1,0))),vlookup($A566&amp;$B566,{'3) Release_Label'!$D:$D&amp;'3) Release_Label'!$E:$E,'3) Release_Label'!$F:$F},2,0), or(and(not(isblank($B566)),$B566=$B565,$A566&lt;&gt;$A565),and(not(isblank($A566)),$A566=$A565,$B566&lt;&gt;$B565)),"ID LISTS UNALIGNED",and($A566&lt;&gt;"",countif('3) Release_Label'!$D:$D,$A566)=0),"NO UPC MATCH in Release_Label",and($B566&lt;&gt;"",countif('3) Release_Label'!$E:$E,$B566)=0),"NO CATALOG ID MATCH in Release_Label",iserror(vlookup($A566&amp;$B566,'3) Release_Label'!$D:$D&amp;'3) Release_Label'!$E:$E,1,0)),"NO UPC-CATALOG ID pair MATCH in Release_Label" )</f>
        <v/>
      </c>
      <c r="D566" s="121" t="str">
        <f t="array" ref="D566">ifs(and(isblank($A566),isblank($B566)),"", not(iserror(vlookup($A566&amp;$B566,'3) Release_Label'!$D:$D&amp;'3) Release_Label'!$E:$E,1,0))),vlookup($A566&amp;$B566,{'3) Release_Label'!$D:$D&amp;'3) Release_Label'!$E:$E,'3) Release_Label'!$H:$H},2,0), or(and(not(isblank($B566)),$B566=$B565,$A566&lt;&gt;$A565),and(not(isblank($A566)),$A566=$A565,$B566&lt;&gt;$B565)),"ID LISTS UNALIGNED",and($A566&lt;&gt;"",countif('3) Release_Label'!$D:$D,$A566)=0),"NO UPC MATCH in Release_Label",and($B566&lt;&gt;"",countif('3) Release_Label'!$E:$E,$B566)=0),"NO CATALOG ID MATCH in Release_Label",iserror(vlookup($A566&amp;$B566,'3) Release_Label'!$D:$D&amp;'3) Release_Label'!$E:$E,1,0)),"NO UPC-CATALOG ID pair MATCH in Release_Label" )</f>
        <v/>
      </c>
      <c r="E566" s="141" t="str">
        <f t="shared" si="2"/>
        <v/>
      </c>
      <c r="G566" s="103"/>
      <c r="H566" s="152"/>
      <c r="J566" s="99"/>
      <c r="K566" s="104"/>
      <c r="L566" s="99"/>
      <c r="N566" s="99"/>
      <c r="O566" s="99"/>
      <c r="P566" s="34"/>
    </row>
    <row r="567">
      <c r="A567" s="28"/>
      <c r="B567" s="103"/>
      <c r="C567" s="121" t="str">
        <f t="array" ref="C567">ifs(and(isblank($A567),isblank($B567)),"", not(iserror(vlookup($A567&amp;$B567,'3) Release_Label'!$D:$D&amp;'3) Release_Label'!$E:$E,1,0))),vlookup($A567&amp;$B567,{'3) Release_Label'!$D:$D&amp;'3) Release_Label'!$E:$E,'3) Release_Label'!$F:$F},2,0), or(and(not(isblank($B567)),$B567=$B566,$A567&lt;&gt;$A566),and(not(isblank($A567)),$A567=$A566,$B567&lt;&gt;$B566)),"ID LISTS UNALIGNED",and($A567&lt;&gt;"",countif('3) Release_Label'!$D:$D,$A567)=0),"NO UPC MATCH in Release_Label",and($B567&lt;&gt;"",countif('3) Release_Label'!$E:$E,$B567)=0),"NO CATALOG ID MATCH in Release_Label",iserror(vlookup($A567&amp;$B567,'3) Release_Label'!$D:$D&amp;'3) Release_Label'!$E:$E,1,0)),"NO UPC-CATALOG ID pair MATCH in Release_Label" )</f>
        <v/>
      </c>
      <c r="D567" s="121" t="str">
        <f t="array" ref="D567">ifs(and(isblank($A567),isblank($B567)),"", not(iserror(vlookup($A567&amp;$B567,'3) Release_Label'!$D:$D&amp;'3) Release_Label'!$E:$E,1,0))),vlookup($A567&amp;$B567,{'3) Release_Label'!$D:$D&amp;'3) Release_Label'!$E:$E,'3) Release_Label'!$H:$H},2,0), or(and(not(isblank($B567)),$B567=$B566,$A567&lt;&gt;$A566),and(not(isblank($A567)),$A567=$A566,$B567&lt;&gt;$B566)),"ID LISTS UNALIGNED",and($A567&lt;&gt;"",countif('3) Release_Label'!$D:$D,$A567)=0),"NO UPC MATCH in Release_Label",and($B567&lt;&gt;"",countif('3) Release_Label'!$E:$E,$B567)=0),"NO CATALOG ID MATCH in Release_Label",iserror(vlookup($A567&amp;$B567,'3) Release_Label'!$D:$D&amp;'3) Release_Label'!$E:$E,1,0)),"NO UPC-CATALOG ID pair MATCH in Release_Label" )</f>
        <v/>
      </c>
      <c r="E567" s="141" t="str">
        <f t="shared" si="2"/>
        <v/>
      </c>
      <c r="G567" s="103"/>
      <c r="H567" s="152"/>
      <c r="J567" s="99"/>
      <c r="K567" s="104"/>
      <c r="L567" s="99"/>
      <c r="N567" s="99"/>
      <c r="O567" s="99"/>
      <c r="P567" s="34"/>
    </row>
    <row r="568">
      <c r="A568" s="28"/>
      <c r="B568" s="103"/>
      <c r="C568" s="121" t="str">
        <f t="array" ref="C568">ifs(and(isblank($A568),isblank($B568)),"", not(iserror(vlookup($A568&amp;$B568,'3) Release_Label'!$D:$D&amp;'3) Release_Label'!$E:$E,1,0))),vlookup($A568&amp;$B568,{'3) Release_Label'!$D:$D&amp;'3) Release_Label'!$E:$E,'3) Release_Label'!$F:$F},2,0), or(and(not(isblank($B568)),$B568=$B567,$A568&lt;&gt;$A567),and(not(isblank($A568)),$A568=$A567,$B568&lt;&gt;$B567)),"ID LISTS UNALIGNED",and($A568&lt;&gt;"",countif('3) Release_Label'!$D:$D,$A568)=0),"NO UPC MATCH in Release_Label",and($B568&lt;&gt;"",countif('3) Release_Label'!$E:$E,$B568)=0),"NO CATALOG ID MATCH in Release_Label",iserror(vlookup($A568&amp;$B568,'3) Release_Label'!$D:$D&amp;'3) Release_Label'!$E:$E,1,0)),"NO UPC-CATALOG ID pair MATCH in Release_Label" )</f>
        <v/>
      </c>
      <c r="D568" s="121" t="str">
        <f t="array" ref="D568">ifs(and(isblank($A568),isblank($B568)),"", not(iserror(vlookup($A568&amp;$B568,'3) Release_Label'!$D:$D&amp;'3) Release_Label'!$E:$E,1,0))),vlookup($A568&amp;$B568,{'3) Release_Label'!$D:$D&amp;'3) Release_Label'!$E:$E,'3) Release_Label'!$H:$H},2,0), or(and(not(isblank($B568)),$B568=$B567,$A568&lt;&gt;$A567),and(not(isblank($A568)),$A568=$A567,$B568&lt;&gt;$B567)),"ID LISTS UNALIGNED",and($A568&lt;&gt;"",countif('3) Release_Label'!$D:$D,$A568)=0),"NO UPC MATCH in Release_Label",and($B568&lt;&gt;"",countif('3) Release_Label'!$E:$E,$B568)=0),"NO CATALOG ID MATCH in Release_Label",iserror(vlookup($A568&amp;$B568,'3) Release_Label'!$D:$D&amp;'3) Release_Label'!$E:$E,1,0)),"NO UPC-CATALOG ID pair MATCH in Release_Label" )</f>
        <v/>
      </c>
      <c r="E568" s="141" t="str">
        <f t="shared" si="2"/>
        <v/>
      </c>
      <c r="G568" s="103"/>
      <c r="H568" s="152"/>
      <c r="J568" s="99"/>
      <c r="K568" s="104"/>
      <c r="L568" s="99"/>
      <c r="N568" s="99"/>
      <c r="O568" s="99"/>
      <c r="P568" s="34"/>
    </row>
    <row r="569">
      <c r="A569" s="28"/>
      <c r="B569" s="103"/>
      <c r="C569" s="121" t="str">
        <f t="array" ref="C569">ifs(and(isblank($A569),isblank($B569)),"", not(iserror(vlookup($A569&amp;$B569,'3) Release_Label'!$D:$D&amp;'3) Release_Label'!$E:$E,1,0))),vlookup($A569&amp;$B569,{'3) Release_Label'!$D:$D&amp;'3) Release_Label'!$E:$E,'3) Release_Label'!$F:$F},2,0), or(and(not(isblank($B569)),$B569=$B568,$A569&lt;&gt;$A568),and(not(isblank($A569)),$A569=$A568,$B569&lt;&gt;$B568)),"ID LISTS UNALIGNED",and($A569&lt;&gt;"",countif('3) Release_Label'!$D:$D,$A569)=0),"NO UPC MATCH in Release_Label",and($B569&lt;&gt;"",countif('3) Release_Label'!$E:$E,$B569)=0),"NO CATALOG ID MATCH in Release_Label",iserror(vlookup($A569&amp;$B569,'3) Release_Label'!$D:$D&amp;'3) Release_Label'!$E:$E,1,0)),"NO UPC-CATALOG ID pair MATCH in Release_Label" )</f>
        <v/>
      </c>
      <c r="D569" s="121" t="str">
        <f t="array" ref="D569">ifs(and(isblank($A569),isblank($B569)),"", not(iserror(vlookup($A569&amp;$B569,'3) Release_Label'!$D:$D&amp;'3) Release_Label'!$E:$E,1,0))),vlookup($A569&amp;$B569,{'3) Release_Label'!$D:$D&amp;'3) Release_Label'!$E:$E,'3) Release_Label'!$H:$H},2,0), or(and(not(isblank($B569)),$B569=$B568,$A569&lt;&gt;$A568),and(not(isblank($A569)),$A569=$A568,$B569&lt;&gt;$B568)),"ID LISTS UNALIGNED",and($A569&lt;&gt;"",countif('3) Release_Label'!$D:$D,$A569)=0),"NO UPC MATCH in Release_Label",and($B569&lt;&gt;"",countif('3) Release_Label'!$E:$E,$B569)=0),"NO CATALOG ID MATCH in Release_Label",iserror(vlookup($A569&amp;$B569,'3) Release_Label'!$D:$D&amp;'3) Release_Label'!$E:$E,1,0)),"NO UPC-CATALOG ID pair MATCH in Release_Label" )</f>
        <v/>
      </c>
      <c r="E569" s="141" t="str">
        <f t="shared" si="2"/>
        <v/>
      </c>
      <c r="G569" s="103"/>
      <c r="H569" s="152"/>
      <c r="J569" s="99"/>
      <c r="K569" s="104"/>
      <c r="L569" s="99"/>
      <c r="N569" s="99"/>
      <c r="O569" s="99"/>
      <c r="P569" s="34"/>
    </row>
    <row r="570">
      <c r="A570" s="28"/>
      <c r="B570" s="103"/>
      <c r="C570" s="121" t="str">
        <f t="array" ref="C570">ifs(and(isblank($A570),isblank($B570)),"", not(iserror(vlookup($A570&amp;$B570,'3) Release_Label'!$D:$D&amp;'3) Release_Label'!$E:$E,1,0))),vlookup($A570&amp;$B570,{'3) Release_Label'!$D:$D&amp;'3) Release_Label'!$E:$E,'3) Release_Label'!$F:$F},2,0), or(and(not(isblank($B570)),$B570=$B569,$A570&lt;&gt;$A569),and(not(isblank($A570)),$A570=$A569,$B570&lt;&gt;$B569)),"ID LISTS UNALIGNED",and($A570&lt;&gt;"",countif('3) Release_Label'!$D:$D,$A570)=0),"NO UPC MATCH in Release_Label",and($B570&lt;&gt;"",countif('3) Release_Label'!$E:$E,$B570)=0),"NO CATALOG ID MATCH in Release_Label",iserror(vlookup($A570&amp;$B570,'3) Release_Label'!$D:$D&amp;'3) Release_Label'!$E:$E,1,0)),"NO UPC-CATALOG ID pair MATCH in Release_Label" )</f>
        <v/>
      </c>
      <c r="D570" s="121" t="str">
        <f t="array" ref="D570">ifs(and(isblank($A570),isblank($B570)),"", not(iserror(vlookup($A570&amp;$B570,'3) Release_Label'!$D:$D&amp;'3) Release_Label'!$E:$E,1,0))),vlookup($A570&amp;$B570,{'3) Release_Label'!$D:$D&amp;'3) Release_Label'!$E:$E,'3) Release_Label'!$H:$H},2,0), or(and(not(isblank($B570)),$B570=$B569,$A570&lt;&gt;$A569),and(not(isblank($A570)),$A570=$A569,$B570&lt;&gt;$B569)),"ID LISTS UNALIGNED",and($A570&lt;&gt;"",countif('3) Release_Label'!$D:$D,$A570)=0),"NO UPC MATCH in Release_Label",and($B570&lt;&gt;"",countif('3) Release_Label'!$E:$E,$B570)=0),"NO CATALOG ID MATCH in Release_Label",iserror(vlookup($A570&amp;$B570,'3) Release_Label'!$D:$D&amp;'3) Release_Label'!$E:$E,1,0)),"NO UPC-CATALOG ID pair MATCH in Release_Label" )</f>
        <v/>
      </c>
      <c r="E570" s="141" t="str">
        <f t="shared" si="2"/>
        <v/>
      </c>
      <c r="G570" s="103"/>
      <c r="H570" s="152"/>
      <c r="J570" s="99"/>
      <c r="K570" s="104"/>
      <c r="L570" s="99"/>
      <c r="N570" s="99"/>
      <c r="O570" s="99"/>
      <c r="P570" s="34"/>
    </row>
    <row r="571">
      <c r="A571" s="28"/>
      <c r="B571" s="103"/>
      <c r="C571" s="121" t="str">
        <f t="array" ref="C571">ifs(and(isblank($A571),isblank($B571)),"", not(iserror(vlookup($A571&amp;$B571,'3) Release_Label'!$D:$D&amp;'3) Release_Label'!$E:$E,1,0))),vlookup($A571&amp;$B571,{'3) Release_Label'!$D:$D&amp;'3) Release_Label'!$E:$E,'3) Release_Label'!$F:$F},2,0), or(and(not(isblank($B571)),$B571=$B570,$A571&lt;&gt;$A570),and(not(isblank($A571)),$A571=$A570,$B571&lt;&gt;$B570)),"ID LISTS UNALIGNED",and($A571&lt;&gt;"",countif('3) Release_Label'!$D:$D,$A571)=0),"NO UPC MATCH in Release_Label",and($B571&lt;&gt;"",countif('3) Release_Label'!$E:$E,$B571)=0),"NO CATALOG ID MATCH in Release_Label",iserror(vlookup($A571&amp;$B571,'3) Release_Label'!$D:$D&amp;'3) Release_Label'!$E:$E,1,0)),"NO UPC-CATALOG ID pair MATCH in Release_Label" )</f>
        <v/>
      </c>
      <c r="D571" s="121" t="str">
        <f t="array" ref="D571">ifs(and(isblank($A571),isblank($B571)),"", not(iserror(vlookup($A571&amp;$B571,'3) Release_Label'!$D:$D&amp;'3) Release_Label'!$E:$E,1,0))),vlookup($A571&amp;$B571,{'3) Release_Label'!$D:$D&amp;'3) Release_Label'!$E:$E,'3) Release_Label'!$H:$H},2,0), or(and(not(isblank($B571)),$B571=$B570,$A571&lt;&gt;$A570),and(not(isblank($A571)),$A571=$A570,$B571&lt;&gt;$B570)),"ID LISTS UNALIGNED",and($A571&lt;&gt;"",countif('3) Release_Label'!$D:$D,$A571)=0),"NO UPC MATCH in Release_Label",and($B571&lt;&gt;"",countif('3) Release_Label'!$E:$E,$B571)=0),"NO CATALOG ID MATCH in Release_Label",iserror(vlookup($A571&amp;$B571,'3) Release_Label'!$D:$D&amp;'3) Release_Label'!$E:$E,1,0)),"NO UPC-CATALOG ID pair MATCH in Release_Label" )</f>
        <v/>
      </c>
      <c r="E571" s="141" t="str">
        <f t="shared" si="2"/>
        <v/>
      </c>
      <c r="G571" s="103"/>
      <c r="H571" s="152"/>
      <c r="J571" s="99"/>
      <c r="K571" s="104"/>
      <c r="L571" s="99"/>
      <c r="N571" s="99"/>
      <c r="O571" s="99"/>
      <c r="P571" s="34"/>
    </row>
    <row r="572">
      <c r="A572" s="28"/>
      <c r="B572" s="103"/>
      <c r="C572" s="121" t="str">
        <f t="array" ref="C572">ifs(and(isblank($A572),isblank($B572)),"", not(iserror(vlookup($A572&amp;$B572,'3) Release_Label'!$D:$D&amp;'3) Release_Label'!$E:$E,1,0))),vlookup($A572&amp;$B572,{'3) Release_Label'!$D:$D&amp;'3) Release_Label'!$E:$E,'3) Release_Label'!$F:$F},2,0), or(and(not(isblank($B572)),$B572=$B571,$A572&lt;&gt;$A571),and(not(isblank($A572)),$A572=$A571,$B572&lt;&gt;$B571)),"ID LISTS UNALIGNED",and($A572&lt;&gt;"",countif('3) Release_Label'!$D:$D,$A572)=0),"NO UPC MATCH in Release_Label",and($B572&lt;&gt;"",countif('3) Release_Label'!$E:$E,$B572)=0),"NO CATALOG ID MATCH in Release_Label",iserror(vlookup($A572&amp;$B572,'3) Release_Label'!$D:$D&amp;'3) Release_Label'!$E:$E,1,0)),"NO UPC-CATALOG ID pair MATCH in Release_Label" )</f>
        <v/>
      </c>
      <c r="D572" s="121" t="str">
        <f t="array" ref="D572">ifs(and(isblank($A572),isblank($B572)),"", not(iserror(vlookup($A572&amp;$B572,'3) Release_Label'!$D:$D&amp;'3) Release_Label'!$E:$E,1,0))),vlookup($A572&amp;$B572,{'3) Release_Label'!$D:$D&amp;'3) Release_Label'!$E:$E,'3) Release_Label'!$H:$H},2,0), or(and(not(isblank($B572)),$B572=$B571,$A572&lt;&gt;$A571),and(not(isblank($A572)),$A572=$A571,$B572&lt;&gt;$B571)),"ID LISTS UNALIGNED",and($A572&lt;&gt;"",countif('3) Release_Label'!$D:$D,$A572)=0),"NO UPC MATCH in Release_Label",and($B572&lt;&gt;"",countif('3) Release_Label'!$E:$E,$B572)=0),"NO CATALOG ID MATCH in Release_Label",iserror(vlookup($A572&amp;$B572,'3) Release_Label'!$D:$D&amp;'3) Release_Label'!$E:$E,1,0)),"NO UPC-CATALOG ID pair MATCH in Release_Label" )</f>
        <v/>
      </c>
      <c r="E572" s="141" t="str">
        <f t="shared" si="2"/>
        <v/>
      </c>
      <c r="G572" s="103"/>
      <c r="H572" s="152"/>
      <c r="J572" s="99"/>
      <c r="K572" s="104"/>
      <c r="L572" s="99"/>
      <c r="N572" s="99"/>
      <c r="O572" s="99"/>
      <c r="P572" s="34"/>
    </row>
    <row r="573">
      <c r="A573" s="28"/>
      <c r="B573" s="103"/>
      <c r="C573" s="121" t="str">
        <f t="array" ref="C573">ifs(and(isblank($A573),isblank($B573)),"", not(iserror(vlookup($A573&amp;$B573,'3) Release_Label'!$D:$D&amp;'3) Release_Label'!$E:$E,1,0))),vlookup($A573&amp;$B573,{'3) Release_Label'!$D:$D&amp;'3) Release_Label'!$E:$E,'3) Release_Label'!$F:$F},2,0), or(and(not(isblank($B573)),$B573=$B572,$A573&lt;&gt;$A572),and(not(isblank($A573)),$A573=$A572,$B573&lt;&gt;$B572)),"ID LISTS UNALIGNED",and($A573&lt;&gt;"",countif('3) Release_Label'!$D:$D,$A573)=0),"NO UPC MATCH in Release_Label",and($B573&lt;&gt;"",countif('3) Release_Label'!$E:$E,$B573)=0),"NO CATALOG ID MATCH in Release_Label",iserror(vlookup($A573&amp;$B573,'3) Release_Label'!$D:$D&amp;'3) Release_Label'!$E:$E,1,0)),"NO UPC-CATALOG ID pair MATCH in Release_Label" )</f>
        <v/>
      </c>
      <c r="D573" s="121" t="str">
        <f t="array" ref="D573">ifs(and(isblank($A573),isblank($B573)),"", not(iserror(vlookup($A573&amp;$B573,'3) Release_Label'!$D:$D&amp;'3) Release_Label'!$E:$E,1,0))),vlookup($A573&amp;$B573,{'3) Release_Label'!$D:$D&amp;'3) Release_Label'!$E:$E,'3) Release_Label'!$H:$H},2,0), or(and(not(isblank($B573)),$B573=$B572,$A573&lt;&gt;$A572),and(not(isblank($A573)),$A573=$A572,$B573&lt;&gt;$B572)),"ID LISTS UNALIGNED",and($A573&lt;&gt;"",countif('3) Release_Label'!$D:$D,$A573)=0),"NO UPC MATCH in Release_Label",and($B573&lt;&gt;"",countif('3) Release_Label'!$E:$E,$B573)=0),"NO CATALOG ID MATCH in Release_Label",iserror(vlookup($A573&amp;$B573,'3) Release_Label'!$D:$D&amp;'3) Release_Label'!$E:$E,1,0)),"NO UPC-CATALOG ID pair MATCH in Release_Label" )</f>
        <v/>
      </c>
      <c r="E573" s="141" t="str">
        <f t="shared" si="2"/>
        <v/>
      </c>
      <c r="G573" s="103"/>
      <c r="H573" s="152"/>
      <c r="J573" s="99"/>
      <c r="K573" s="104"/>
      <c r="L573" s="99"/>
      <c r="N573" s="99"/>
      <c r="O573" s="99"/>
      <c r="P573" s="34"/>
    </row>
    <row r="574">
      <c r="A574" s="28"/>
      <c r="B574" s="103"/>
      <c r="C574" s="121" t="str">
        <f t="array" ref="C574">ifs(and(isblank($A574),isblank($B574)),"", not(iserror(vlookup($A574&amp;$B574,'3) Release_Label'!$D:$D&amp;'3) Release_Label'!$E:$E,1,0))),vlookup($A574&amp;$B574,{'3) Release_Label'!$D:$D&amp;'3) Release_Label'!$E:$E,'3) Release_Label'!$F:$F},2,0), or(and(not(isblank($B574)),$B574=$B573,$A574&lt;&gt;$A573),and(not(isblank($A574)),$A574=$A573,$B574&lt;&gt;$B573)),"ID LISTS UNALIGNED",and($A574&lt;&gt;"",countif('3) Release_Label'!$D:$D,$A574)=0),"NO UPC MATCH in Release_Label",and($B574&lt;&gt;"",countif('3) Release_Label'!$E:$E,$B574)=0),"NO CATALOG ID MATCH in Release_Label",iserror(vlookup($A574&amp;$B574,'3) Release_Label'!$D:$D&amp;'3) Release_Label'!$E:$E,1,0)),"NO UPC-CATALOG ID pair MATCH in Release_Label" )</f>
        <v/>
      </c>
      <c r="D574" s="121" t="str">
        <f t="array" ref="D574">ifs(and(isblank($A574),isblank($B574)),"", not(iserror(vlookup($A574&amp;$B574,'3) Release_Label'!$D:$D&amp;'3) Release_Label'!$E:$E,1,0))),vlookup($A574&amp;$B574,{'3) Release_Label'!$D:$D&amp;'3) Release_Label'!$E:$E,'3) Release_Label'!$H:$H},2,0), or(and(not(isblank($B574)),$B574=$B573,$A574&lt;&gt;$A573),and(not(isblank($A574)),$A574=$A573,$B574&lt;&gt;$B573)),"ID LISTS UNALIGNED",and($A574&lt;&gt;"",countif('3) Release_Label'!$D:$D,$A574)=0),"NO UPC MATCH in Release_Label",and($B574&lt;&gt;"",countif('3) Release_Label'!$E:$E,$B574)=0),"NO CATALOG ID MATCH in Release_Label",iserror(vlookup($A574&amp;$B574,'3) Release_Label'!$D:$D&amp;'3) Release_Label'!$E:$E,1,0)),"NO UPC-CATALOG ID pair MATCH in Release_Label" )</f>
        <v/>
      </c>
      <c r="E574" s="141" t="str">
        <f t="shared" si="2"/>
        <v/>
      </c>
      <c r="G574" s="103"/>
      <c r="H574" s="152"/>
      <c r="J574" s="99"/>
      <c r="K574" s="104"/>
      <c r="L574" s="99"/>
      <c r="N574" s="99"/>
      <c r="O574" s="99"/>
      <c r="P574" s="34"/>
    </row>
    <row r="575">
      <c r="A575" s="28"/>
      <c r="B575" s="103"/>
      <c r="C575" s="121" t="str">
        <f t="array" ref="C575">ifs(and(isblank($A575),isblank($B575)),"", not(iserror(vlookup($A575&amp;$B575,'3) Release_Label'!$D:$D&amp;'3) Release_Label'!$E:$E,1,0))),vlookup($A575&amp;$B575,{'3) Release_Label'!$D:$D&amp;'3) Release_Label'!$E:$E,'3) Release_Label'!$F:$F},2,0), or(and(not(isblank($B575)),$B575=$B574,$A575&lt;&gt;$A574),and(not(isblank($A575)),$A575=$A574,$B575&lt;&gt;$B574)),"ID LISTS UNALIGNED",and($A575&lt;&gt;"",countif('3) Release_Label'!$D:$D,$A575)=0),"NO UPC MATCH in Release_Label",and($B575&lt;&gt;"",countif('3) Release_Label'!$E:$E,$B575)=0),"NO CATALOG ID MATCH in Release_Label",iserror(vlookup($A575&amp;$B575,'3) Release_Label'!$D:$D&amp;'3) Release_Label'!$E:$E,1,0)),"NO UPC-CATALOG ID pair MATCH in Release_Label" )</f>
        <v/>
      </c>
      <c r="D575" s="121" t="str">
        <f t="array" ref="D575">ifs(and(isblank($A575),isblank($B575)),"", not(iserror(vlookup($A575&amp;$B575,'3) Release_Label'!$D:$D&amp;'3) Release_Label'!$E:$E,1,0))),vlookup($A575&amp;$B575,{'3) Release_Label'!$D:$D&amp;'3) Release_Label'!$E:$E,'3) Release_Label'!$H:$H},2,0), or(and(not(isblank($B575)),$B575=$B574,$A575&lt;&gt;$A574),and(not(isblank($A575)),$A575=$A574,$B575&lt;&gt;$B574)),"ID LISTS UNALIGNED",and($A575&lt;&gt;"",countif('3) Release_Label'!$D:$D,$A575)=0),"NO UPC MATCH in Release_Label",and($B575&lt;&gt;"",countif('3) Release_Label'!$E:$E,$B575)=0),"NO CATALOG ID MATCH in Release_Label",iserror(vlookup($A575&amp;$B575,'3) Release_Label'!$D:$D&amp;'3) Release_Label'!$E:$E,1,0)),"NO UPC-CATALOG ID pair MATCH in Release_Label" )</f>
        <v/>
      </c>
      <c r="E575" s="141" t="str">
        <f t="shared" si="2"/>
        <v/>
      </c>
      <c r="G575" s="103"/>
      <c r="H575" s="152"/>
      <c r="J575" s="99"/>
      <c r="K575" s="104"/>
      <c r="L575" s="99"/>
      <c r="N575" s="99"/>
      <c r="O575" s="99"/>
      <c r="P575" s="34"/>
    </row>
    <row r="576">
      <c r="A576" s="28"/>
      <c r="B576" s="103"/>
      <c r="C576" s="121" t="str">
        <f t="array" ref="C576">ifs(and(isblank($A576),isblank($B576)),"", not(iserror(vlookup($A576&amp;$B576,'3) Release_Label'!$D:$D&amp;'3) Release_Label'!$E:$E,1,0))),vlookup($A576&amp;$B576,{'3) Release_Label'!$D:$D&amp;'3) Release_Label'!$E:$E,'3) Release_Label'!$F:$F},2,0), or(and(not(isblank($B576)),$B576=$B575,$A576&lt;&gt;$A575),and(not(isblank($A576)),$A576=$A575,$B576&lt;&gt;$B575)),"ID LISTS UNALIGNED",and($A576&lt;&gt;"",countif('3) Release_Label'!$D:$D,$A576)=0),"NO UPC MATCH in Release_Label",and($B576&lt;&gt;"",countif('3) Release_Label'!$E:$E,$B576)=0),"NO CATALOG ID MATCH in Release_Label",iserror(vlookup($A576&amp;$B576,'3) Release_Label'!$D:$D&amp;'3) Release_Label'!$E:$E,1,0)),"NO UPC-CATALOG ID pair MATCH in Release_Label" )</f>
        <v/>
      </c>
      <c r="D576" s="121" t="str">
        <f t="array" ref="D576">ifs(and(isblank($A576),isblank($B576)),"", not(iserror(vlookup($A576&amp;$B576,'3) Release_Label'!$D:$D&amp;'3) Release_Label'!$E:$E,1,0))),vlookup($A576&amp;$B576,{'3) Release_Label'!$D:$D&amp;'3) Release_Label'!$E:$E,'3) Release_Label'!$H:$H},2,0), or(and(not(isblank($B576)),$B576=$B575,$A576&lt;&gt;$A575),and(not(isblank($A576)),$A576=$A575,$B576&lt;&gt;$B575)),"ID LISTS UNALIGNED",and($A576&lt;&gt;"",countif('3) Release_Label'!$D:$D,$A576)=0),"NO UPC MATCH in Release_Label",and($B576&lt;&gt;"",countif('3) Release_Label'!$E:$E,$B576)=0),"NO CATALOG ID MATCH in Release_Label",iserror(vlookup($A576&amp;$B576,'3) Release_Label'!$D:$D&amp;'3) Release_Label'!$E:$E,1,0)),"NO UPC-CATALOG ID pair MATCH in Release_Label" )</f>
        <v/>
      </c>
      <c r="E576" s="141" t="str">
        <f t="shared" si="2"/>
        <v/>
      </c>
      <c r="G576" s="103"/>
      <c r="H576" s="152"/>
      <c r="J576" s="99"/>
      <c r="K576" s="104"/>
      <c r="L576" s="99"/>
      <c r="N576" s="99"/>
      <c r="O576" s="99"/>
      <c r="P576" s="34"/>
    </row>
    <row r="577">
      <c r="A577" s="28"/>
      <c r="B577" s="103"/>
      <c r="C577" s="121" t="str">
        <f t="array" ref="C577">ifs(and(isblank($A577),isblank($B577)),"", not(iserror(vlookup($A577&amp;$B577,'3) Release_Label'!$D:$D&amp;'3) Release_Label'!$E:$E,1,0))),vlookup($A577&amp;$B577,{'3) Release_Label'!$D:$D&amp;'3) Release_Label'!$E:$E,'3) Release_Label'!$F:$F},2,0), or(and(not(isblank($B577)),$B577=$B576,$A577&lt;&gt;$A576),and(not(isblank($A577)),$A577=$A576,$B577&lt;&gt;$B576)),"ID LISTS UNALIGNED",and($A577&lt;&gt;"",countif('3) Release_Label'!$D:$D,$A577)=0),"NO UPC MATCH in Release_Label",and($B577&lt;&gt;"",countif('3) Release_Label'!$E:$E,$B577)=0),"NO CATALOG ID MATCH in Release_Label",iserror(vlookup($A577&amp;$B577,'3) Release_Label'!$D:$D&amp;'3) Release_Label'!$E:$E,1,0)),"NO UPC-CATALOG ID pair MATCH in Release_Label" )</f>
        <v/>
      </c>
      <c r="D577" s="121" t="str">
        <f t="array" ref="D577">ifs(and(isblank($A577),isblank($B577)),"", not(iserror(vlookup($A577&amp;$B577,'3) Release_Label'!$D:$D&amp;'3) Release_Label'!$E:$E,1,0))),vlookup($A577&amp;$B577,{'3) Release_Label'!$D:$D&amp;'3) Release_Label'!$E:$E,'3) Release_Label'!$H:$H},2,0), or(and(not(isblank($B577)),$B577=$B576,$A577&lt;&gt;$A576),and(not(isblank($A577)),$A577=$A576,$B577&lt;&gt;$B576)),"ID LISTS UNALIGNED",and($A577&lt;&gt;"",countif('3) Release_Label'!$D:$D,$A577)=0),"NO UPC MATCH in Release_Label",and($B577&lt;&gt;"",countif('3) Release_Label'!$E:$E,$B577)=0),"NO CATALOG ID MATCH in Release_Label",iserror(vlookup($A577&amp;$B577,'3) Release_Label'!$D:$D&amp;'3) Release_Label'!$E:$E,1,0)),"NO UPC-CATALOG ID pair MATCH in Release_Label" )</f>
        <v/>
      </c>
      <c r="E577" s="141" t="str">
        <f t="shared" si="2"/>
        <v/>
      </c>
      <c r="G577" s="103"/>
      <c r="H577" s="152"/>
      <c r="J577" s="99"/>
      <c r="K577" s="104"/>
      <c r="L577" s="99"/>
      <c r="N577" s="99"/>
      <c r="O577" s="99"/>
      <c r="P577" s="34"/>
    </row>
    <row r="578">
      <c r="A578" s="28"/>
      <c r="B578" s="103"/>
      <c r="C578" s="121" t="str">
        <f t="array" ref="C578">ifs(and(isblank($A578),isblank($B578)),"", not(iserror(vlookup($A578&amp;$B578,'3) Release_Label'!$D:$D&amp;'3) Release_Label'!$E:$E,1,0))),vlookup($A578&amp;$B578,{'3) Release_Label'!$D:$D&amp;'3) Release_Label'!$E:$E,'3) Release_Label'!$F:$F},2,0), or(and(not(isblank($B578)),$B578=$B577,$A578&lt;&gt;$A577),and(not(isblank($A578)),$A578=$A577,$B578&lt;&gt;$B577)),"ID LISTS UNALIGNED",and($A578&lt;&gt;"",countif('3) Release_Label'!$D:$D,$A578)=0),"NO UPC MATCH in Release_Label",and($B578&lt;&gt;"",countif('3) Release_Label'!$E:$E,$B578)=0),"NO CATALOG ID MATCH in Release_Label",iserror(vlookup($A578&amp;$B578,'3) Release_Label'!$D:$D&amp;'3) Release_Label'!$E:$E,1,0)),"NO UPC-CATALOG ID pair MATCH in Release_Label" )</f>
        <v/>
      </c>
      <c r="D578" s="121" t="str">
        <f t="array" ref="D578">ifs(and(isblank($A578),isblank($B578)),"", not(iserror(vlookup($A578&amp;$B578,'3) Release_Label'!$D:$D&amp;'3) Release_Label'!$E:$E,1,0))),vlookup($A578&amp;$B578,{'3) Release_Label'!$D:$D&amp;'3) Release_Label'!$E:$E,'3) Release_Label'!$H:$H},2,0), or(and(not(isblank($B578)),$B578=$B577,$A578&lt;&gt;$A577),and(not(isblank($A578)),$A578=$A577,$B578&lt;&gt;$B577)),"ID LISTS UNALIGNED",and($A578&lt;&gt;"",countif('3) Release_Label'!$D:$D,$A578)=0),"NO UPC MATCH in Release_Label",and($B578&lt;&gt;"",countif('3) Release_Label'!$E:$E,$B578)=0),"NO CATALOG ID MATCH in Release_Label",iserror(vlookup($A578&amp;$B578,'3) Release_Label'!$D:$D&amp;'3) Release_Label'!$E:$E,1,0)),"NO UPC-CATALOG ID pair MATCH in Release_Label" )</f>
        <v/>
      </c>
      <c r="E578" s="141" t="str">
        <f t="shared" si="2"/>
        <v/>
      </c>
      <c r="G578" s="103"/>
      <c r="H578" s="152"/>
      <c r="J578" s="99"/>
      <c r="K578" s="104"/>
      <c r="L578" s="99"/>
      <c r="N578" s="99"/>
      <c r="O578" s="99"/>
      <c r="P578" s="34"/>
    </row>
    <row r="579">
      <c r="A579" s="28"/>
      <c r="B579" s="103"/>
      <c r="C579" s="121" t="str">
        <f t="array" ref="C579">ifs(and(isblank($A579),isblank($B579)),"", not(iserror(vlookup($A579&amp;$B579,'3) Release_Label'!$D:$D&amp;'3) Release_Label'!$E:$E,1,0))),vlookup($A579&amp;$B579,{'3) Release_Label'!$D:$D&amp;'3) Release_Label'!$E:$E,'3) Release_Label'!$F:$F},2,0), or(and(not(isblank($B579)),$B579=$B578,$A579&lt;&gt;$A578),and(not(isblank($A579)),$A579=$A578,$B579&lt;&gt;$B578)),"ID LISTS UNALIGNED",and($A579&lt;&gt;"",countif('3) Release_Label'!$D:$D,$A579)=0),"NO UPC MATCH in Release_Label",and($B579&lt;&gt;"",countif('3) Release_Label'!$E:$E,$B579)=0),"NO CATALOG ID MATCH in Release_Label",iserror(vlookup($A579&amp;$B579,'3) Release_Label'!$D:$D&amp;'3) Release_Label'!$E:$E,1,0)),"NO UPC-CATALOG ID pair MATCH in Release_Label" )</f>
        <v/>
      </c>
      <c r="D579" s="121" t="str">
        <f t="array" ref="D579">ifs(and(isblank($A579),isblank($B579)),"", not(iserror(vlookup($A579&amp;$B579,'3) Release_Label'!$D:$D&amp;'3) Release_Label'!$E:$E,1,0))),vlookup($A579&amp;$B579,{'3) Release_Label'!$D:$D&amp;'3) Release_Label'!$E:$E,'3) Release_Label'!$H:$H},2,0), or(and(not(isblank($B579)),$B579=$B578,$A579&lt;&gt;$A578),and(not(isblank($A579)),$A579=$A578,$B579&lt;&gt;$B578)),"ID LISTS UNALIGNED",and($A579&lt;&gt;"",countif('3) Release_Label'!$D:$D,$A579)=0),"NO UPC MATCH in Release_Label",and($B579&lt;&gt;"",countif('3) Release_Label'!$E:$E,$B579)=0),"NO CATALOG ID MATCH in Release_Label",iserror(vlookup($A579&amp;$B579,'3) Release_Label'!$D:$D&amp;'3) Release_Label'!$E:$E,1,0)),"NO UPC-CATALOG ID pair MATCH in Release_Label" )</f>
        <v/>
      </c>
      <c r="E579" s="141" t="str">
        <f t="shared" si="2"/>
        <v/>
      </c>
      <c r="G579" s="103"/>
      <c r="H579" s="152"/>
      <c r="J579" s="99"/>
      <c r="K579" s="104"/>
      <c r="L579" s="99"/>
      <c r="N579" s="99"/>
      <c r="O579" s="99"/>
      <c r="P579" s="34"/>
    </row>
    <row r="580">
      <c r="A580" s="28"/>
      <c r="B580" s="103"/>
      <c r="C580" s="121" t="str">
        <f t="array" ref="C580">ifs(and(isblank($A580),isblank($B580)),"", not(iserror(vlookup($A580&amp;$B580,'3) Release_Label'!$D:$D&amp;'3) Release_Label'!$E:$E,1,0))),vlookup($A580&amp;$B580,{'3) Release_Label'!$D:$D&amp;'3) Release_Label'!$E:$E,'3) Release_Label'!$F:$F},2,0), or(and(not(isblank($B580)),$B580=$B579,$A580&lt;&gt;$A579),and(not(isblank($A580)),$A580=$A579,$B580&lt;&gt;$B579)),"ID LISTS UNALIGNED",and($A580&lt;&gt;"",countif('3) Release_Label'!$D:$D,$A580)=0),"NO UPC MATCH in Release_Label",and($B580&lt;&gt;"",countif('3) Release_Label'!$E:$E,$B580)=0),"NO CATALOG ID MATCH in Release_Label",iserror(vlookup($A580&amp;$B580,'3) Release_Label'!$D:$D&amp;'3) Release_Label'!$E:$E,1,0)),"NO UPC-CATALOG ID pair MATCH in Release_Label" )</f>
        <v/>
      </c>
      <c r="D580" s="121" t="str">
        <f t="array" ref="D580">ifs(and(isblank($A580),isblank($B580)),"", not(iserror(vlookup($A580&amp;$B580,'3) Release_Label'!$D:$D&amp;'3) Release_Label'!$E:$E,1,0))),vlookup($A580&amp;$B580,{'3) Release_Label'!$D:$D&amp;'3) Release_Label'!$E:$E,'3) Release_Label'!$H:$H},2,0), or(and(not(isblank($B580)),$B580=$B579,$A580&lt;&gt;$A579),and(not(isblank($A580)),$A580=$A579,$B580&lt;&gt;$B579)),"ID LISTS UNALIGNED",and($A580&lt;&gt;"",countif('3) Release_Label'!$D:$D,$A580)=0),"NO UPC MATCH in Release_Label",and($B580&lt;&gt;"",countif('3) Release_Label'!$E:$E,$B580)=0),"NO CATALOG ID MATCH in Release_Label",iserror(vlookup($A580&amp;$B580,'3) Release_Label'!$D:$D&amp;'3) Release_Label'!$E:$E,1,0)),"NO UPC-CATALOG ID pair MATCH in Release_Label" )</f>
        <v/>
      </c>
      <c r="E580" s="141" t="str">
        <f t="shared" si="2"/>
        <v/>
      </c>
      <c r="G580" s="103"/>
      <c r="H580" s="152"/>
      <c r="J580" s="99"/>
      <c r="K580" s="104"/>
      <c r="L580" s="99"/>
      <c r="N580" s="99"/>
      <c r="O580" s="99"/>
      <c r="P580" s="34"/>
    </row>
    <row r="581">
      <c r="A581" s="28"/>
      <c r="B581" s="103"/>
      <c r="C581" s="121" t="str">
        <f t="array" ref="C581">ifs(and(isblank($A581),isblank($B581)),"", not(iserror(vlookup($A581&amp;$B581,'3) Release_Label'!$D:$D&amp;'3) Release_Label'!$E:$E,1,0))),vlookup($A581&amp;$B581,{'3) Release_Label'!$D:$D&amp;'3) Release_Label'!$E:$E,'3) Release_Label'!$F:$F},2,0), or(and(not(isblank($B581)),$B581=$B580,$A581&lt;&gt;$A580),and(not(isblank($A581)),$A581=$A580,$B581&lt;&gt;$B580)),"ID LISTS UNALIGNED",and($A581&lt;&gt;"",countif('3) Release_Label'!$D:$D,$A581)=0),"NO UPC MATCH in Release_Label",and($B581&lt;&gt;"",countif('3) Release_Label'!$E:$E,$B581)=0),"NO CATALOG ID MATCH in Release_Label",iserror(vlookup($A581&amp;$B581,'3) Release_Label'!$D:$D&amp;'3) Release_Label'!$E:$E,1,0)),"NO UPC-CATALOG ID pair MATCH in Release_Label" )</f>
        <v/>
      </c>
      <c r="D581" s="121" t="str">
        <f t="array" ref="D581">ifs(and(isblank($A581),isblank($B581)),"", not(iserror(vlookup($A581&amp;$B581,'3) Release_Label'!$D:$D&amp;'3) Release_Label'!$E:$E,1,0))),vlookup($A581&amp;$B581,{'3) Release_Label'!$D:$D&amp;'3) Release_Label'!$E:$E,'3) Release_Label'!$H:$H},2,0), or(and(not(isblank($B581)),$B581=$B580,$A581&lt;&gt;$A580),and(not(isblank($A581)),$A581=$A580,$B581&lt;&gt;$B580)),"ID LISTS UNALIGNED",and($A581&lt;&gt;"",countif('3) Release_Label'!$D:$D,$A581)=0),"NO UPC MATCH in Release_Label",and($B581&lt;&gt;"",countif('3) Release_Label'!$E:$E,$B581)=0),"NO CATALOG ID MATCH in Release_Label",iserror(vlookup($A581&amp;$B581,'3) Release_Label'!$D:$D&amp;'3) Release_Label'!$E:$E,1,0)),"NO UPC-CATALOG ID pair MATCH in Release_Label" )</f>
        <v/>
      </c>
      <c r="E581" s="141" t="str">
        <f t="shared" si="2"/>
        <v/>
      </c>
      <c r="G581" s="103"/>
      <c r="H581" s="152"/>
      <c r="J581" s="99"/>
      <c r="K581" s="104"/>
      <c r="L581" s="99"/>
      <c r="N581" s="99"/>
      <c r="O581" s="99"/>
      <c r="P581" s="34"/>
    </row>
    <row r="582">
      <c r="A582" s="28"/>
      <c r="B582" s="103"/>
      <c r="C582" s="121" t="str">
        <f t="array" ref="C582">ifs(and(isblank($A582),isblank($B582)),"", not(iserror(vlookup($A582&amp;$B582,'3) Release_Label'!$D:$D&amp;'3) Release_Label'!$E:$E,1,0))),vlookup($A582&amp;$B582,{'3) Release_Label'!$D:$D&amp;'3) Release_Label'!$E:$E,'3) Release_Label'!$F:$F},2,0), or(and(not(isblank($B582)),$B582=$B581,$A582&lt;&gt;$A581),and(not(isblank($A582)),$A582=$A581,$B582&lt;&gt;$B581)),"ID LISTS UNALIGNED",and($A582&lt;&gt;"",countif('3) Release_Label'!$D:$D,$A582)=0),"NO UPC MATCH in Release_Label",and($B582&lt;&gt;"",countif('3) Release_Label'!$E:$E,$B582)=0),"NO CATALOG ID MATCH in Release_Label",iserror(vlookup($A582&amp;$B582,'3) Release_Label'!$D:$D&amp;'3) Release_Label'!$E:$E,1,0)),"NO UPC-CATALOG ID pair MATCH in Release_Label" )</f>
        <v/>
      </c>
      <c r="D582" s="121" t="str">
        <f t="array" ref="D582">ifs(and(isblank($A582),isblank($B582)),"", not(iserror(vlookup($A582&amp;$B582,'3) Release_Label'!$D:$D&amp;'3) Release_Label'!$E:$E,1,0))),vlookup($A582&amp;$B582,{'3) Release_Label'!$D:$D&amp;'3) Release_Label'!$E:$E,'3) Release_Label'!$H:$H},2,0), or(and(not(isblank($B582)),$B582=$B581,$A582&lt;&gt;$A581),and(not(isblank($A582)),$A582=$A581,$B582&lt;&gt;$B581)),"ID LISTS UNALIGNED",and($A582&lt;&gt;"",countif('3) Release_Label'!$D:$D,$A582)=0),"NO UPC MATCH in Release_Label",and($B582&lt;&gt;"",countif('3) Release_Label'!$E:$E,$B582)=0),"NO CATALOG ID MATCH in Release_Label",iserror(vlookup($A582&amp;$B582,'3) Release_Label'!$D:$D&amp;'3) Release_Label'!$E:$E,1,0)),"NO UPC-CATALOG ID pair MATCH in Release_Label" )</f>
        <v/>
      </c>
      <c r="E582" s="141" t="str">
        <f t="shared" si="2"/>
        <v/>
      </c>
      <c r="G582" s="103"/>
      <c r="H582" s="152"/>
      <c r="J582" s="99"/>
      <c r="K582" s="104"/>
      <c r="L582" s="99"/>
      <c r="N582" s="99"/>
      <c r="O582" s="99"/>
      <c r="P582" s="34"/>
    </row>
    <row r="583">
      <c r="A583" s="28"/>
      <c r="B583" s="103"/>
      <c r="C583" s="121" t="str">
        <f t="array" ref="C583">ifs(and(isblank($A583),isblank($B583)),"", not(iserror(vlookup($A583&amp;$B583,'3) Release_Label'!$D:$D&amp;'3) Release_Label'!$E:$E,1,0))),vlookup($A583&amp;$B583,{'3) Release_Label'!$D:$D&amp;'3) Release_Label'!$E:$E,'3) Release_Label'!$F:$F},2,0), or(and(not(isblank($B583)),$B583=$B582,$A583&lt;&gt;$A582),and(not(isblank($A583)),$A583=$A582,$B583&lt;&gt;$B582)),"ID LISTS UNALIGNED",and($A583&lt;&gt;"",countif('3) Release_Label'!$D:$D,$A583)=0),"NO UPC MATCH in Release_Label",and($B583&lt;&gt;"",countif('3) Release_Label'!$E:$E,$B583)=0),"NO CATALOG ID MATCH in Release_Label",iserror(vlookup($A583&amp;$B583,'3) Release_Label'!$D:$D&amp;'3) Release_Label'!$E:$E,1,0)),"NO UPC-CATALOG ID pair MATCH in Release_Label" )</f>
        <v/>
      </c>
      <c r="D583" s="121" t="str">
        <f t="array" ref="D583">ifs(and(isblank($A583),isblank($B583)),"", not(iserror(vlookup($A583&amp;$B583,'3) Release_Label'!$D:$D&amp;'3) Release_Label'!$E:$E,1,0))),vlookup($A583&amp;$B583,{'3) Release_Label'!$D:$D&amp;'3) Release_Label'!$E:$E,'3) Release_Label'!$H:$H},2,0), or(and(not(isblank($B583)),$B583=$B582,$A583&lt;&gt;$A582),and(not(isblank($A583)),$A583=$A582,$B583&lt;&gt;$B582)),"ID LISTS UNALIGNED",and($A583&lt;&gt;"",countif('3) Release_Label'!$D:$D,$A583)=0),"NO UPC MATCH in Release_Label",and($B583&lt;&gt;"",countif('3) Release_Label'!$E:$E,$B583)=0),"NO CATALOG ID MATCH in Release_Label",iserror(vlookup($A583&amp;$B583,'3) Release_Label'!$D:$D&amp;'3) Release_Label'!$E:$E,1,0)),"NO UPC-CATALOG ID pair MATCH in Release_Label" )</f>
        <v/>
      </c>
      <c r="E583" s="141" t="str">
        <f t="shared" si="2"/>
        <v/>
      </c>
      <c r="G583" s="103"/>
      <c r="H583" s="152"/>
      <c r="J583" s="99"/>
      <c r="K583" s="104"/>
      <c r="L583" s="99"/>
      <c r="N583" s="99"/>
      <c r="O583" s="99"/>
      <c r="P583" s="34"/>
    </row>
    <row r="584">
      <c r="A584" s="28"/>
      <c r="B584" s="103"/>
      <c r="C584" s="121" t="str">
        <f t="array" ref="C584">ifs(and(isblank($A584),isblank($B584)),"", not(iserror(vlookup($A584&amp;$B584,'3) Release_Label'!$D:$D&amp;'3) Release_Label'!$E:$E,1,0))),vlookup($A584&amp;$B584,{'3) Release_Label'!$D:$D&amp;'3) Release_Label'!$E:$E,'3) Release_Label'!$F:$F},2,0), or(and(not(isblank($B584)),$B584=$B583,$A584&lt;&gt;$A583),and(not(isblank($A584)),$A584=$A583,$B584&lt;&gt;$B583)),"ID LISTS UNALIGNED",and($A584&lt;&gt;"",countif('3) Release_Label'!$D:$D,$A584)=0),"NO UPC MATCH in Release_Label",and($B584&lt;&gt;"",countif('3) Release_Label'!$E:$E,$B584)=0),"NO CATALOG ID MATCH in Release_Label",iserror(vlookup($A584&amp;$B584,'3) Release_Label'!$D:$D&amp;'3) Release_Label'!$E:$E,1,0)),"NO UPC-CATALOG ID pair MATCH in Release_Label" )</f>
        <v/>
      </c>
      <c r="D584" s="121" t="str">
        <f t="array" ref="D584">ifs(and(isblank($A584),isblank($B584)),"", not(iserror(vlookup($A584&amp;$B584,'3) Release_Label'!$D:$D&amp;'3) Release_Label'!$E:$E,1,0))),vlookup($A584&amp;$B584,{'3) Release_Label'!$D:$D&amp;'3) Release_Label'!$E:$E,'3) Release_Label'!$H:$H},2,0), or(and(not(isblank($B584)),$B584=$B583,$A584&lt;&gt;$A583),and(not(isblank($A584)),$A584=$A583,$B584&lt;&gt;$B583)),"ID LISTS UNALIGNED",and($A584&lt;&gt;"",countif('3) Release_Label'!$D:$D,$A584)=0),"NO UPC MATCH in Release_Label",and($B584&lt;&gt;"",countif('3) Release_Label'!$E:$E,$B584)=0),"NO CATALOG ID MATCH in Release_Label",iserror(vlookup($A584&amp;$B584,'3) Release_Label'!$D:$D&amp;'3) Release_Label'!$E:$E,1,0)),"NO UPC-CATALOG ID pair MATCH in Release_Label" )</f>
        <v/>
      </c>
      <c r="E584" s="141" t="str">
        <f t="shared" si="2"/>
        <v/>
      </c>
      <c r="G584" s="103"/>
      <c r="H584" s="152"/>
      <c r="J584" s="99"/>
      <c r="K584" s="104"/>
      <c r="L584" s="99"/>
      <c r="N584" s="99"/>
      <c r="O584" s="99"/>
      <c r="P584" s="34"/>
    </row>
    <row r="585">
      <c r="A585" s="28"/>
      <c r="B585" s="103"/>
      <c r="C585" s="121" t="str">
        <f t="array" ref="C585">ifs(and(isblank($A585),isblank($B585)),"", not(iserror(vlookup($A585&amp;$B585,'3) Release_Label'!$D:$D&amp;'3) Release_Label'!$E:$E,1,0))),vlookup($A585&amp;$B585,{'3) Release_Label'!$D:$D&amp;'3) Release_Label'!$E:$E,'3) Release_Label'!$F:$F},2,0), or(and(not(isblank($B585)),$B585=$B584,$A585&lt;&gt;$A584),and(not(isblank($A585)),$A585=$A584,$B585&lt;&gt;$B584)),"ID LISTS UNALIGNED",and($A585&lt;&gt;"",countif('3) Release_Label'!$D:$D,$A585)=0),"NO UPC MATCH in Release_Label",and($B585&lt;&gt;"",countif('3) Release_Label'!$E:$E,$B585)=0),"NO CATALOG ID MATCH in Release_Label",iserror(vlookup($A585&amp;$B585,'3) Release_Label'!$D:$D&amp;'3) Release_Label'!$E:$E,1,0)),"NO UPC-CATALOG ID pair MATCH in Release_Label" )</f>
        <v/>
      </c>
      <c r="D585" s="121" t="str">
        <f t="array" ref="D585">ifs(and(isblank($A585),isblank($B585)),"", not(iserror(vlookup($A585&amp;$B585,'3) Release_Label'!$D:$D&amp;'3) Release_Label'!$E:$E,1,0))),vlookup($A585&amp;$B585,{'3) Release_Label'!$D:$D&amp;'3) Release_Label'!$E:$E,'3) Release_Label'!$H:$H},2,0), or(and(not(isblank($B585)),$B585=$B584,$A585&lt;&gt;$A584),and(not(isblank($A585)),$A585=$A584,$B585&lt;&gt;$B584)),"ID LISTS UNALIGNED",and($A585&lt;&gt;"",countif('3) Release_Label'!$D:$D,$A585)=0),"NO UPC MATCH in Release_Label",and($B585&lt;&gt;"",countif('3) Release_Label'!$E:$E,$B585)=0),"NO CATALOG ID MATCH in Release_Label",iserror(vlookup($A585&amp;$B585,'3) Release_Label'!$D:$D&amp;'3) Release_Label'!$E:$E,1,0)),"NO UPC-CATALOG ID pair MATCH in Release_Label" )</f>
        <v/>
      </c>
      <c r="E585" s="141" t="str">
        <f t="shared" si="2"/>
        <v/>
      </c>
      <c r="G585" s="103"/>
      <c r="H585" s="152"/>
      <c r="J585" s="99"/>
      <c r="K585" s="104"/>
      <c r="L585" s="99"/>
      <c r="N585" s="99"/>
      <c r="O585" s="99"/>
      <c r="P585" s="34"/>
    </row>
    <row r="586">
      <c r="A586" s="28"/>
      <c r="B586" s="103"/>
      <c r="C586" s="121" t="str">
        <f t="array" ref="C586">ifs(and(isblank($A586),isblank($B586)),"", not(iserror(vlookup($A586&amp;$B586,'3) Release_Label'!$D:$D&amp;'3) Release_Label'!$E:$E,1,0))),vlookup($A586&amp;$B586,{'3) Release_Label'!$D:$D&amp;'3) Release_Label'!$E:$E,'3) Release_Label'!$F:$F},2,0), or(and(not(isblank($B586)),$B586=$B585,$A586&lt;&gt;$A585),and(not(isblank($A586)),$A586=$A585,$B586&lt;&gt;$B585)),"ID LISTS UNALIGNED",and($A586&lt;&gt;"",countif('3) Release_Label'!$D:$D,$A586)=0),"NO UPC MATCH in Release_Label",and($B586&lt;&gt;"",countif('3) Release_Label'!$E:$E,$B586)=0),"NO CATALOG ID MATCH in Release_Label",iserror(vlookup($A586&amp;$B586,'3) Release_Label'!$D:$D&amp;'3) Release_Label'!$E:$E,1,0)),"NO UPC-CATALOG ID pair MATCH in Release_Label" )</f>
        <v/>
      </c>
      <c r="D586" s="121" t="str">
        <f t="array" ref="D586">ifs(and(isblank($A586),isblank($B586)),"", not(iserror(vlookup($A586&amp;$B586,'3) Release_Label'!$D:$D&amp;'3) Release_Label'!$E:$E,1,0))),vlookup($A586&amp;$B586,{'3) Release_Label'!$D:$D&amp;'3) Release_Label'!$E:$E,'3) Release_Label'!$H:$H},2,0), or(and(not(isblank($B586)),$B586=$B585,$A586&lt;&gt;$A585),and(not(isblank($A586)),$A586=$A585,$B586&lt;&gt;$B585)),"ID LISTS UNALIGNED",and($A586&lt;&gt;"",countif('3) Release_Label'!$D:$D,$A586)=0),"NO UPC MATCH in Release_Label",and($B586&lt;&gt;"",countif('3) Release_Label'!$E:$E,$B586)=0),"NO CATALOG ID MATCH in Release_Label",iserror(vlookup($A586&amp;$B586,'3) Release_Label'!$D:$D&amp;'3) Release_Label'!$E:$E,1,0)),"NO UPC-CATALOG ID pair MATCH in Release_Label" )</f>
        <v/>
      </c>
      <c r="E586" s="141" t="str">
        <f t="shared" si="2"/>
        <v/>
      </c>
      <c r="G586" s="103"/>
      <c r="H586" s="152"/>
      <c r="J586" s="99"/>
      <c r="K586" s="104"/>
      <c r="L586" s="99"/>
      <c r="N586" s="99"/>
      <c r="O586" s="99"/>
      <c r="P586" s="34"/>
    </row>
    <row r="587">
      <c r="A587" s="28"/>
      <c r="B587" s="103"/>
      <c r="C587" s="121" t="str">
        <f t="array" ref="C587">ifs(and(isblank($A587),isblank($B587)),"", not(iserror(vlookup($A587&amp;$B587,'3) Release_Label'!$D:$D&amp;'3) Release_Label'!$E:$E,1,0))),vlookup($A587&amp;$B587,{'3) Release_Label'!$D:$D&amp;'3) Release_Label'!$E:$E,'3) Release_Label'!$F:$F},2,0), or(and(not(isblank($B587)),$B587=$B586,$A587&lt;&gt;$A586),and(not(isblank($A587)),$A587=$A586,$B587&lt;&gt;$B586)),"ID LISTS UNALIGNED",and($A587&lt;&gt;"",countif('3) Release_Label'!$D:$D,$A587)=0),"NO UPC MATCH in Release_Label",and($B587&lt;&gt;"",countif('3) Release_Label'!$E:$E,$B587)=0),"NO CATALOG ID MATCH in Release_Label",iserror(vlookup($A587&amp;$B587,'3) Release_Label'!$D:$D&amp;'3) Release_Label'!$E:$E,1,0)),"NO UPC-CATALOG ID pair MATCH in Release_Label" )</f>
        <v/>
      </c>
      <c r="D587" s="121" t="str">
        <f t="array" ref="D587">ifs(and(isblank($A587),isblank($B587)),"", not(iserror(vlookup($A587&amp;$B587,'3) Release_Label'!$D:$D&amp;'3) Release_Label'!$E:$E,1,0))),vlookup($A587&amp;$B587,{'3) Release_Label'!$D:$D&amp;'3) Release_Label'!$E:$E,'3) Release_Label'!$H:$H},2,0), or(and(not(isblank($B587)),$B587=$B586,$A587&lt;&gt;$A586),and(not(isblank($A587)),$A587=$A586,$B587&lt;&gt;$B586)),"ID LISTS UNALIGNED",and($A587&lt;&gt;"",countif('3) Release_Label'!$D:$D,$A587)=0),"NO UPC MATCH in Release_Label",and($B587&lt;&gt;"",countif('3) Release_Label'!$E:$E,$B587)=0),"NO CATALOG ID MATCH in Release_Label",iserror(vlookup($A587&amp;$B587,'3) Release_Label'!$D:$D&amp;'3) Release_Label'!$E:$E,1,0)),"NO UPC-CATALOG ID pair MATCH in Release_Label" )</f>
        <v/>
      </c>
      <c r="E587" s="141" t="str">
        <f t="shared" si="2"/>
        <v/>
      </c>
      <c r="G587" s="103"/>
      <c r="H587" s="152"/>
      <c r="J587" s="99"/>
      <c r="K587" s="104"/>
      <c r="L587" s="99"/>
      <c r="N587" s="99"/>
      <c r="O587" s="99"/>
      <c r="P587" s="34"/>
    </row>
    <row r="588">
      <c r="A588" s="28"/>
      <c r="B588" s="103"/>
      <c r="C588" s="121" t="str">
        <f t="array" ref="C588">ifs(and(isblank($A588),isblank($B588)),"", not(iserror(vlookup($A588&amp;$B588,'3) Release_Label'!$D:$D&amp;'3) Release_Label'!$E:$E,1,0))),vlookup($A588&amp;$B588,{'3) Release_Label'!$D:$D&amp;'3) Release_Label'!$E:$E,'3) Release_Label'!$F:$F},2,0), or(and(not(isblank($B588)),$B588=$B587,$A588&lt;&gt;$A587),and(not(isblank($A588)),$A588=$A587,$B588&lt;&gt;$B587)),"ID LISTS UNALIGNED",and($A588&lt;&gt;"",countif('3) Release_Label'!$D:$D,$A588)=0),"NO UPC MATCH in Release_Label",and($B588&lt;&gt;"",countif('3) Release_Label'!$E:$E,$B588)=0),"NO CATALOG ID MATCH in Release_Label",iserror(vlookup($A588&amp;$B588,'3) Release_Label'!$D:$D&amp;'3) Release_Label'!$E:$E,1,0)),"NO UPC-CATALOG ID pair MATCH in Release_Label" )</f>
        <v/>
      </c>
      <c r="D588" s="121" t="str">
        <f t="array" ref="D588">ifs(and(isblank($A588),isblank($B588)),"", not(iserror(vlookup($A588&amp;$B588,'3) Release_Label'!$D:$D&amp;'3) Release_Label'!$E:$E,1,0))),vlookup($A588&amp;$B588,{'3) Release_Label'!$D:$D&amp;'3) Release_Label'!$E:$E,'3) Release_Label'!$H:$H},2,0), or(and(not(isblank($B588)),$B588=$B587,$A588&lt;&gt;$A587),and(not(isblank($A588)),$A588=$A587,$B588&lt;&gt;$B587)),"ID LISTS UNALIGNED",and($A588&lt;&gt;"",countif('3) Release_Label'!$D:$D,$A588)=0),"NO UPC MATCH in Release_Label",and($B588&lt;&gt;"",countif('3) Release_Label'!$E:$E,$B588)=0),"NO CATALOG ID MATCH in Release_Label",iserror(vlookup($A588&amp;$B588,'3) Release_Label'!$D:$D&amp;'3) Release_Label'!$E:$E,1,0)),"NO UPC-CATALOG ID pair MATCH in Release_Label" )</f>
        <v/>
      </c>
      <c r="E588" s="141" t="str">
        <f t="shared" si="2"/>
        <v/>
      </c>
      <c r="G588" s="103"/>
      <c r="H588" s="152"/>
      <c r="J588" s="99"/>
      <c r="K588" s="104"/>
      <c r="L588" s="99"/>
      <c r="N588" s="99"/>
      <c r="O588" s="99"/>
      <c r="P588" s="34"/>
    </row>
    <row r="589">
      <c r="A589" s="28"/>
      <c r="B589" s="103"/>
      <c r="C589" s="121" t="str">
        <f t="array" ref="C589">ifs(and(isblank($A589),isblank($B589)),"", not(iserror(vlookup($A589&amp;$B589,'3) Release_Label'!$D:$D&amp;'3) Release_Label'!$E:$E,1,0))),vlookup($A589&amp;$B589,{'3) Release_Label'!$D:$D&amp;'3) Release_Label'!$E:$E,'3) Release_Label'!$F:$F},2,0), or(and(not(isblank($B589)),$B589=$B588,$A589&lt;&gt;$A588),and(not(isblank($A589)),$A589=$A588,$B589&lt;&gt;$B588)),"ID LISTS UNALIGNED",and($A589&lt;&gt;"",countif('3) Release_Label'!$D:$D,$A589)=0),"NO UPC MATCH in Release_Label",and($B589&lt;&gt;"",countif('3) Release_Label'!$E:$E,$B589)=0),"NO CATALOG ID MATCH in Release_Label",iserror(vlookup($A589&amp;$B589,'3) Release_Label'!$D:$D&amp;'3) Release_Label'!$E:$E,1,0)),"NO UPC-CATALOG ID pair MATCH in Release_Label" )</f>
        <v/>
      </c>
      <c r="D589" s="121" t="str">
        <f t="array" ref="D589">ifs(and(isblank($A589),isblank($B589)),"", not(iserror(vlookup($A589&amp;$B589,'3) Release_Label'!$D:$D&amp;'3) Release_Label'!$E:$E,1,0))),vlookup($A589&amp;$B589,{'3) Release_Label'!$D:$D&amp;'3) Release_Label'!$E:$E,'3) Release_Label'!$H:$H},2,0), or(and(not(isblank($B589)),$B589=$B588,$A589&lt;&gt;$A588),and(not(isblank($A589)),$A589=$A588,$B589&lt;&gt;$B588)),"ID LISTS UNALIGNED",and($A589&lt;&gt;"",countif('3) Release_Label'!$D:$D,$A589)=0),"NO UPC MATCH in Release_Label",and($B589&lt;&gt;"",countif('3) Release_Label'!$E:$E,$B589)=0),"NO CATALOG ID MATCH in Release_Label",iserror(vlookup($A589&amp;$B589,'3) Release_Label'!$D:$D&amp;'3) Release_Label'!$E:$E,1,0)),"NO UPC-CATALOG ID pair MATCH in Release_Label" )</f>
        <v/>
      </c>
      <c r="E589" s="141" t="str">
        <f t="shared" si="2"/>
        <v/>
      </c>
      <c r="G589" s="103"/>
      <c r="H589" s="152"/>
      <c r="J589" s="99"/>
      <c r="K589" s="104"/>
      <c r="L589" s="99"/>
      <c r="N589" s="99"/>
      <c r="O589" s="99"/>
      <c r="P589" s="34"/>
    </row>
    <row r="590">
      <c r="A590" s="28"/>
      <c r="B590" s="103"/>
      <c r="C590" s="121" t="str">
        <f t="array" ref="C590">ifs(and(isblank($A590),isblank($B590)),"", not(iserror(vlookup($A590&amp;$B590,'3) Release_Label'!$D:$D&amp;'3) Release_Label'!$E:$E,1,0))),vlookup($A590&amp;$B590,{'3) Release_Label'!$D:$D&amp;'3) Release_Label'!$E:$E,'3) Release_Label'!$F:$F},2,0), or(and(not(isblank($B590)),$B590=$B589,$A590&lt;&gt;$A589),and(not(isblank($A590)),$A590=$A589,$B590&lt;&gt;$B589)),"ID LISTS UNALIGNED",and($A590&lt;&gt;"",countif('3) Release_Label'!$D:$D,$A590)=0),"NO UPC MATCH in Release_Label",and($B590&lt;&gt;"",countif('3) Release_Label'!$E:$E,$B590)=0),"NO CATALOG ID MATCH in Release_Label",iserror(vlookup($A590&amp;$B590,'3) Release_Label'!$D:$D&amp;'3) Release_Label'!$E:$E,1,0)),"NO UPC-CATALOG ID pair MATCH in Release_Label" )</f>
        <v/>
      </c>
      <c r="D590" s="121" t="str">
        <f t="array" ref="D590">ifs(and(isblank($A590),isblank($B590)),"", not(iserror(vlookup($A590&amp;$B590,'3) Release_Label'!$D:$D&amp;'3) Release_Label'!$E:$E,1,0))),vlookup($A590&amp;$B590,{'3) Release_Label'!$D:$D&amp;'3) Release_Label'!$E:$E,'3) Release_Label'!$H:$H},2,0), or(and(not(isblank($B590)),$B590=$B589,$A590&lt;&gt;$A589),and(not(isblank($A590)),$A590=$A589,$B590&lt;&gt;$B589)),"ID LISTS UNALIGNED",and($A590&lt;&gt;"",countif('3) Release_Label'!$D:$D,$A590)=0),"NO UPC MATCH in Release_Label",and($B590&lt;&gt;"",countif('3) Release_Label'!$E:$E,$B590)=0),"NO CATALOG ID MATCH in Release_Label",iserror(vlookup($A590&amp;$B590,'3) Release_Label'!$D:$D&amp;'3) Release_Label'!$E:$E,1,0)),"NO UPC-CATALOG ID pair MATCH in Release_Label" )</f>
        <v/>
      </c>
      <c r="E590" s="141" t="str">
        <f t="shared" si="2"/>
        <v/>
      </c>
      <c r="G590" s="103"/>
      <c r="H590" s="152"/>
      <c r="J590" s="99"/>
      <c r="K590" s="104"/>
      <c r="L590" s="99"/>
      <c r="N590" s="99"/>
      <c r="O590" s="99"/>
      <c r="P590" s="34"/>
    </row>
    <row r="591">
      <c r="A591" s="28"/>
      <c r="B591" s="103"/>
      <c r="C591" s="121" t="str">
        <f t="array" ref="C591">ifs(and(isblank($A591),isblank($B591)),"", not(iserror(vlookup($A591&amp;$B591,'3) Release_Label'!$D:$D&amp;'3) Release_Label'!$E:$E,1,0))),vlookup($A591&amp;$B591,{'3) Release_Label'!$D:$D&amp;'3) Release_Label'!$E:$E,'3) Release_Label'!$F:$F},2,0), or(and(not(isblank($B591)),$B591=$B590,$A591&lt;&gt;$A590),and(not(isblank($A591)),$A591=$A590,$B591&lt;&gt;$B590)),"ID LISTS UNALIGNED",and($A591&lt;&gt;"",countif('3) Release_Label'!$D:$D,$A591)=0),"NO UPC MATCH in Release_Label",and($B591&lt;&gt;"",countif('3) Release_Label'!$E:$E,$B591)=0),"NO CATALOG ID MATCH in Release_Label",iserror(vlookup($A591&amp;$B591,'3) Release_Label'!$D:$D&amp;'3) Release_Label'!$E:$E,1,0)),"NO UPC-CATALOG ID pair MATCH in Release_Label" )</f>
        <v/>
      </c>
      <c r="D591" s="121" t="str">
        <f t="array" ref="D591">ifs(and(isblank($A591),isblank($B591)),"", not(iserror(vlookup($A591&amp;$B591,'3) Release_Label'!$D:$D&amp;'3) Release_Label'!$E:$E,1,0))),vlookup($A591&amp;$B591,{'3) Release_Label'!$D:$D&amp;'3) Release_Label'!$E:$E,'3) Release_Label'!$H:$H},2,0), or(and(not(isblank($B591)),$B591=$B590,$A591&lt;&gt;$A590),and(not(isblank($A591)),$A591=$A590,$B591&lt;&gt;$B590)),"ID LISTS UNALIGNED",and($A591&lt;&gt;"",countif('3) Release_Label'!$D:$D,$A591)=0),"NO UPC MATCH in Release_Label",and($B591&lt;&gt;"",countif('3) Release_Label'!$E:$E,$B591)=0),"NO CATALOG ID MATCH in Release_Label",iserror(vlookup($A591&amp;$B591,'3) Release_Label'!$D:$D&amp;'3) Release_Label'!$E:$E,1,0)),"NO UPC-CATALOG ID pair MATCH in Release_Label" )</f>
        <v/>
      </c>
      <c r="E591" s="141" t="str">
        <f t="shared" si="2"/>
        <v/>
      </c>
      <c r="G591" s="103"/>
      <c r="H591" s="152"/>
      <c r="J591" s="99"/>
      <c r="K591" s="104"/>
      <c r="L591" s="99"/>
      <c r="N591" s="99"/>
      <c r="O591" s="99"/>
      <c r="P591" s="34"/>
    </row>
    <row r="592">
      <c r="A592" s="28"/>
      <c r="B592" s="103"/>
      <c r="C592" s="121" t="str">
        <f t="array" ref="C592">ifs(and(isblank($A592),isblank($B592)),"", not(iserror(vlookup($A592&amp;$B592,'3) Release_Label'!$D:$D&amp;'3) Release_Label'!$E:$E,1,0))),vlookup($A592&amp;$B592,{'3) Release_Label'!$D:$D&amp;'3) Release_Label'!$E:$E,'3) Release_Label'!$F:$F},2,0), or(and(not(isblank($B592)),$B592=$B591,$A592&lt;&gt;$A591),and(not(isblank($A592)),$A592=$A591,$B592&lt;&gt;$B591)),"ID LISTS UNALIGNED",and($A592&lt;&gt;"",countif('3) Release_Label'!$D:$D,$A592)=0),"NO UPC MATCH in Release_Label",and($B592&lt;&gt;"",countif('3) Release_Label'!$E:$E,$B592)=0),"NO CATALOG ID MATCH in Release_Label",iserror(vlookup($A592&amp;$B592,'3) Release_Label'!$D:$D&amp;'3) Release_Label'!$E:$E,1,0)),"NO UPC-CATALOG ID pair MATCH in Release_Label" )</f>
        <v/>
      </c>
      <c r="D592" s="121" t="str">
        <f t="array" ref="D592">ifs(and(isblank($A592),isblank($B592)),"", not(iserror(vlookup($A592&amp;$B592,'3) Release_Label'!$D:$D&amp;'3) Release_Label'!$E:$E,1,0))),vlookup($A592&amp;$B592,{'3) Release_Label'!$D:$D&amp;'3) Release_Label'!$E:$E,'3) Release_Label'!$H:$H},2,0), or(and(not(isblank($B592)),$B592=$B591,$A592&lt;&gt;$A591),and(not(isblank($A592)),$A592=$A591,$B592&lt;&gt;$B591)),"ID LISTS UNALIGNED",and($A592&lt;&gt;"",countif('3) Release_Label'!$D:$D,$A592)=0),"NO UPC MATCH in Release_Label",and($B592&lt;&gt;"",countif('3) Release_Label'!$E:$E,$B592)=0),"NO CATALOG ID MATCH in Release_Label",iserror(vlookup($A592&amp;$B592,'3) Release_Label'!$D:$D&amp;'3) Release_Label'!$E:$E,1,0)),"NO UPC-CATALOG ID pair MATCH in Release_Label" )</f>
        <v/>
      </c>
      <c r="E592" s="141" t="str">
        <f t="shared" si="2"/>
        <v/>
      </c>
      <c r="G592" s="103"/>
      <c r="H592" s="152"/>
      <c r="J592" s="99"/>
      <c r="K592" s="104"/>
      <c r="L592" s="99"/>
      <c r="N592" s="99"/>
      <c r="O592" s="99"/>
      <c r="P592" s="34"/>
    </row>
    <row r="593">
      <c r="A593" s="28"/>
      <c r="B593" s="103"/>
      <c r="C593" s="121" t="str">
        <f t="array" ref="C593">ifs(and(isblank($A593),isblank($B593)),"", not(iserror(vlookup($A593&amp;$B593,'3) Release_Label'!$D:$D&amp;'3) Release_Label'!$E:$E,1,0))),vlookup($A593&amp;$B593,{'3) Release_Label'!$D:$D&amp;'3) Release_Label'!$E:$E,'3) Release_Label'!$F:$F},2,0), or(and(not(isblank($B593)),$B593=$B592,$A593&lt;&gt;$A592),and(not(isblank($A593)),$A593=$A592,$B593&lt;&gt;$B592)),"ID LISTS UNALIGNED",and($A593&lt;&gt;"",countif('3) Release_Label'!$D:$D,$A593)=0),"NO UPC MATCH in Release_Label",and($B593&lt;&gt;"",countif('3) Release_Label'!$E:$E,$B593)=0),"NO CATALOG ID MATCH in Release_Label",iserror(vlookup($A593&amp;$B593,'3) Release_Label'!$D:$D&amp;'3) Release_Label'!$E:$E,1,0)),"NO UPC-CATALOG ID pair MATCH in Release_Label" )</f>
        <v/>
      </c>
      <c r="D593" s="121" t="str">
        <f t="array" ref="D593">ifs(and(isblank($A593),isblank($B593)),"", not(iserror(vlookup($A593&amp;$B593,'3) Release_Label'!$D:$D&amp;'3) Release_Label'!$E:$E,1,0))),vlookup($A593&amp;$B593,{'3) Release_Label'!$D:$D&amp;'3) Release_Label'!$E:$E,'3) Release_Label'!$H:$H},2,0), or(and(not(isblank($B593)),$B593=$B592,$A593&lt;&gt;$A592),and(not(isblank($A593)),$A593=$A592,$B593&lt;&gt;$B592)),"ID LISTS UNALIGNED",and($A593&lt;&gt;"",countif('3) Release_Label'!$D:$D,$A593)=0),"NO UPC MATCH in Release_Label",and($B593&lt;&gt;"",countif('3) Release_Label'!$E:$E,$B593)=0),"NO CATALOG ID MATCH in Release_Label",iserror(vlookup($A593&amp;$B593,'3) Release_Label'!$D:$D&amp;'3) Release_Label'!$E:$E,1,0)),"NO UPC-CATALOG ID pair MATCH in Release_Label" )</f>
        <v/>
      </c>
      <c r="E593" s="141" t="str">
        <f t="shared" si="2"/>
        <v/>
      </c>
      <c r="G593" s="103"/>
      <c r="H593" s="152"/>
      <c r="J593" s="99"/>
      <c r="K593" s="104"/>
      <c r="L593" s="99"/>
      <c r="N593" s="99"/>
      <c r="O593" s="99"/>
      <c r="P593" s="34"/>
    </row>
    <row r="594">
      <c r="A594" s="28"/>
      <c r="B594" s="103"/>
      <c r="C594" s="121" t="str">
        <f t="array" ref="C594">ifs(and(isblank($A594),isblank($B594)),"", not(iserror(vlookup($A594&amp;$B594,'3) Release_Label'!$D:$D&amp;'3) Release_Label'!$E:$E,1,0))),vlookup($A594&amp;$B594,{'3) Release_Label'!$D:$D&amp;'3) Release_Label'!$E:$E,'3) Release_Label'!$F:$F},2,0), or(and(not(isblank($B594)),$B594=$B593,$A594&lt;&gt;$A593),and(not(isblank($A594)),$A594=$A593,$B594&lt;&gt;$B593)),"ID LISTS UNALIGNED",and($A594&lt;&gt;"",countif('3) Release_Label'!$D:$D,$A594)=0),"NO UPC MATCH in Release_Label",and($B594&lt;&gt;"",countif('3) Release_Label'!$E:$E,$B594)=0),"NO CATALOG ID MATCH in Release_Label",iserror(vlookup($A594&amp;$B594,'3) Release_Label'!$D:$D&amp;'3) Release_Label'!$E:$E,1,0)),"NO UPC-CATALOG ID pair MATCH in Release_Label" )</f>
        <v/>
      </c>
      <c r="D594" s="121" t="str">
        <f t="array" ref="D594">ifs(and(isblank($A594),isblank($B594)),"", not(iserror(vlookup($A594&amp;$B594,'3) Release_Label'!$D:$D&amp;'3) Release_Label'!$E:$E,1,0))),vlookup($A594&amp;$B594,{'3) Release_Label'!$D:$D&amp;'3) Release_Label'!$E:$E,'3) Release_Label'!$H:$H},2,0), or(and(not(isblank($B594)),$B594=$B593,$A594&lt;&gt;$A593),and(not(isblank($A594)),$A594=$A593,$B594&lt;&gt;$B593)),"ID LISTS UNALIGNED",and($A594&lt;&gt;"",countif('3) Release_Label'!$D:$D,$A594)=0),"NO UPC MATCH in Release_Label",and($B594&lt;&gt;"",countif('3) Release_Label'!$E:$E,$B594)=0),"NO CATALOG ID MATCH in Release_Label",iserror(vlookup($A594&amp;$B594,'3) Release_Label'!$D:$D&amp;'3) Release_Label'!$E:$E,1,0)),"NO UPC-CATALOG ID pair MATCH in Release_Label" )</f>
        <v/>
      </c>
      <c r="E594" s="141" t="str">
        <f t="shared" si="2"/>
        <v/>
      </c>
      <c r="G594" s="103"/>
      <c r="H594" s="152"/>
      <c r="J594" s="99"/>
      <c r="K594" s="104"/>
      <c r="L594" s="99"/>
      <c r="N594" s="99"/>
      <c r="O594" s="99"/>
      <c r="P594" s="34"/>
    </row>
    <row r="595">
      <c r="A595" s="28"/>
      <c r="B595" s="103"/>
      <c r="C595" s="121" t="str">
        <f t="array" ref="C595">ifs(and(isblank($A595),isblank($B595)),"", not(iserror(vlookup($A595&amp;$B595,'3) Release_Label'!$D:$D&amp;'3) Release_Label'!$E:$E,1,0))),vlookup($A595&amp;$B595,{'3) Release_Label'!$D:$D&amp;'3) Release_Label'!$E:$E,'3) Release_Label'!$F:$F},2,0), or(and(not(isblank($B595)),$B595=$B594,$A595&lt;&gt;$A594),and(not(isblank($A595)),$A595=$A594,$B595&lt;&gt;$B594)),"ID LISTS UNALIGNED",and($A595&lt;&gt;"",countif('3) Release_Label'!$D:$D,$A595)=0),"NO UPC MATCH in Release_Label",and($B595&lt;&gt;"",countif('3) Release_Label'!$E:$E,$B595)=0),"NO CATALOG ID MATCH in Release_Label",iserror(vlookup($A595&amp;$B595,'3) Release_Label'!$D:$D&amp;'3) Release_Label'!$E:$E,1,0)),"NO UPC-CATALOG ID pair MATCH in Release_Label" )</f>
        <v/>
      </c>
      <c r="D595" s="121" t="str">
        <f t="array" ref="D595">ifs(and(isblank($A595),isblank($B595)),"", not(iserror(vlookup($A595&amp;$B595,'3) Release_Label'!$D:$D&amp;'3) Release_Label'!$E:$E,1,0))),vlookup($A595&amp;$B595,{'3) Release_Label'!$D:$D&amp;'3) Release_Label'!$E:$E,'3) Release_Label'!$H:$H},2,0), or(and(not(isblank($B595)),$B595=$B594,$A595&lt;&gt;$A594),and(not(isblank($A595)),$A595=$A594,$B595&lt;&gt;$B594)),"ID LISTS UNALIGNED",and($A595&lt;&gt;"",countif('3) Release_Label'!$D:$D,$A595)=0),"NO UPC MATCH in Release_Label",and($B595&lt;&gt;"",countif('3) Release_Label'!$E:$E,$B595)=0),"NO CATALOG ID MATCH in Release_Label",iserror(vlookup($A595&amp;$B595,'3) Release_Label'!$D:$D&amp;'3) Release_Label'!$E:$E,1,0)),"NO UPC-CATALOG ID pair MATCH in Release_Label" )</f>
        <v/>
      </c>
      <c r="E595" s="141" t="str">
        <f t="shared" si="2"/>
        <v/>
      </c>
      <c r="G595" s="103"/>
      <c r="H595" s="152"/>
      <c r="J595" s="99"/>
      <c r="K595" s="104"/>
      <c r="L595" s="99"/>
      <c r="N595" s="99"/>
      <c r="O595" s="99"/>
      <c r="P595" s="34"/>
    </row>
    <row r="596">
      <c r="A596" s="28"/>
      <c r="B596" s="103"/>
      <c r="C596" s="121" t="str">
        <f t="array" ref="C596">ifs(and(isblank($A596),isblank($B596)),"", not(iserror(vlookup($A596&amp;$B596,'3) Release_Label'!$D:$D&amp;'3) Release_Label'!$E:$E,1,0))),vlookup($A596&amp;$B596,{'3) Release_Label'!$D:$D&amp;'3) Release_Label'!$E:$E,'3) Release_Label'!$F:$F},2,0), or(and(not(isblank($B596)),$B596=$B595,$A596&lt;&gt;$A595),and(not(isblank($A596)),$A596=$A595,$B596&lt;&gt;$B595)),"ID LISTS UNALIGNED",and($A596&lt;&gt;"",countif('3) Release_Label'!$D:$D,$A596)=0),"NO UPC MATCH in Release_Label",and($B596&lt;&gt;"",countif('3) Release_Label'!$E:$E,$B596)=0),"NO CATALOG ID MATCH in Release_Label",iserror(vlookup($A596&amp;$B596,'3) Release_Label'!$D:$D&amp;'3) Release_Label'!$E:$E,1,0)),"NO UPC-CATALOG ID pair MATCH in Release_Label" )</f>
        <v/>
      </c>
      <c r="D596" s="121" t="str">
        <f t="array" ref="D596">ifs(and(isblank($A596),isblank($B596)),"", not(iserror(vlookup($A596&amp;$B596,'3) Release_Label'!$D:$D&amp;'3) Release_Label'!$E:$E,1,0))),vlookup($A596&amp;$B596,{'3) Release_Label'!$D:$D&amp;'3) Release_Label'!$E:$E,'3) Release_Label'!$H:$H},2,0), or(and(not(isblank($B596)),$B596=$B595,$A596&lt;&gt;$A595),and(not(isblank($A596)),$A596=$A595,$B596&lt;&gt;$B595)),"ID LISTS UNALIGNED",and($A596&lt;&gt;"",countif('3) Release_Label'!$D:$D,$A596)=0),"NO UPC MATCH in Release_Label",and($B596&lt;&gt;"",countif('3) Release_Label'!$E:$E,$B596)=0),"NO CATALOG ID MATCH in Release_Label",iserror(vlookup($A596&amp;$B596,'3) Release_Label'!$D:$D&amp;'3) Release_Label'!$E:$E,1,0)),"NO UPC-CATALOG ID pair MATCH in Release_Label" )</f>
        <v/>
      </c>
      <c r="E596" s="141" t="str">
        <f t="shared" si="2"/>
        <v/>
      </c>
      <c r="G596" s="103"/>
      <c r="H596" s="152"/>
      <c r="J596" s="99"/>
      <c r="K596" s="104"/>
      <c r="L596" s="99"/>
      <c r="N596" s="99"/>
      <c r="O596" s="99"/>
      <c r="P596" s="34"/>
    </row>
    <row r="597">
      <c r="A597" s="28"/>
      <c r="B597" s="103"/>
      <c r="C597" s="121" t="str">
        <f t="array" ref="C597">ifs(and(isblank($A597),isblank($B597)),"", not(iserror(vlookup($A597&amp;$B597,'3) Release_Label'!$D:$D&amp;'3) Release_Label'!$E:$E,1,0))),vlookup($A597&amp;$B597,{'3) Release_Label'!$D:$D&amp;'3) Release_Label'!$E:$E,'3) Release_Label'!$F:$F},2,0), or(and(not(isblank($B597)),$B597=$B596,$A597&lt;&gt;$A596),and(not(isblank($A597)),$A597=$A596,$B597&lt;&gt;$B596)),"ID LISTS UNALIGNED",and($A597&lt;&gt;"",countif('3) Release_Label'!$D:$D,$A597)=0),"NO UPC MATCH in Release_Label",and($B597&lt;&gt;"",countif('3) Release_Label'!$E:$E,$B597)=0),"NO CATALOG ID MATCH in Release_Label",iserror(vlookup($A597&amp;$B597,'3) Release_Label'!$D:$D&amp;'3) Release_Label'!$E:$E,1,0)),"NO UPC-CATALOG ID pair MATCH in Release_Label" )</f>
        <v/>
      </c>
      <c r="D597" s="121" t="str">
        <f t="array" ref="D597">ifs(and(isblank($A597),isblank($B597)),"", not(iserror(vlookup($A597&amp;$B597,'3) Release_Label'!$D:$D&amp;'3) Release_Label'!$E:$E,1,0))),vlookup($A597&amp;$B597,{'3) Release_Label'!$D:$D&amp;'3) Release_Label'!$E:$E,'3) Release_Label'!$H:$H},2,0), or(and(not(isblank($B597)),$B597=$B596,$A597&lt;&gt;$A596),and(not(isblank($A597)),$A597=$A596,$B597&lt;&gt;$B596)),"ID LISTS UNALIGNED",and($A597&lt;&gt;"",countif('3) Release_Label'!$D:$D,$A597)=0),"NO UPC MATCH in Release_Label",and($B597&lt;&gt;"",countif('3) Release_Label'!$E:$E,$B597)=0),"NO CATALOG ID MATCH in Release_Label",iserror(vlookup($A597&amp;$B597,'3) Release_Label'!$D:$D&amp;'3) Release_Label'!$E:$E,1,0)),"NO UPC-CATALOG ID pair MATCH in Release_Label" )</f>
        <v/>
      </c>
      <c r="E597" s="141" t="str">
        <f t="shared" si="2"/>
        <v/>
      </c>
      <c r="G597" s="103"/>
      <c r="H597" s="152"/>
      <c r="J597" s="99"/>
      <c r="K597" s="104"/>
      <c r="L597" s="99"/>
      <c r="N597" s="99"/>
      <c r="O597" s="99"/>
      <c r="P597" s="34"/>
    </row>
    <row r="598">
      <c r="A598" s="28"/>
      <c r="B598" s="103"/>
      <c r="C598" s="121" t="str">
        <f t="array" ref="C598">ifs(and(isblank($A598),isblank($B598)),"", not(iserror(vlookup($A598&amp;$B598,'3) Release_Label'!$D:$D&amp;'3) Release_Label'!$E:$E,1,0))),vlookup($A598&amp;$B598,{'3) Release_Label'!$D:$D&amp;'3) Release_Label'!$E:$E,'3) Release_Label'!$F:$F},2,0), or(and(not(isblank($B598)),$B598=$B597,$A598&lt;&gt;$A597),and(not(isblank($A598)),$A598=$A597,$B598&lt;&gt;$B597)),"ID LISTS UNALIGNED",and($A598&lt;&gt;"",countif('3) Release_Label'!$D:$D,$A598)=0),"NO UPC MATCH in Release_Label",and($B598&lt;&gt;"",countif('3) Release_Label'!$E:$E,$B598)=0),"NO CATALOG ID MATCH in Release_Label",iserror(vlookup($A598&amp;$B598,'3) Release_Label'!$D:$D&amp;'3) Release_Label'!$E:$E,1,0)),"NO UPC-CATALOG ID pair MATCH in Release_Label" )</f>
        <v/>
      </c>
      <c r="D598" s="121" t="str">
        <f t="array" ref="D598">ifs(and(isblank($A598),isblank($B598)),"", not(iserror(vlookup($A598&amp;$B598,'3) Release_Label'!$D:$D&amp;'3) Release_Label'!$E:$E,1,0))),vlookup($A598&amp;$B598,{'3) Release_Label'!$D:$D&amp;'3) Release_Label'!$E:$E,'3) Release_Label'!$H:$H},2,0), or(and(not(isblank($B598)),$B598=$B597,$A598&lt;&gt;$A597),and(not(isblank($A598)),$A598=$A597,$B598&lt;&gt;$B597)),"ID LISTS UNALIGNED",and($A598&lt;&gt;"",countif('3) Release_Label'!$D:$D,$A598)=0),"NO UPC MATCH in Release_Label",and($B598&lt;&gt;"",countif('3) Release_Label'!$E:$E,$B598)=0),"NO CATALOG ID MATCH in Release_Label",iserror(vlookup($A598&amp;$B598,'3) Release_Label'!$D:$D&amp;'3) Release_Label'!$E:$E,1,0)),"NO UPC-CATALOG ID pair MATCH in Release_Label" )</f>
        <v/>
      </c>
      <c r="E598" s="141" t="str">
        <f t="shared" si="2"/>
        <v/>
      </c>
      <c r="G598" s="103"/>
      <c r="H598" s="152"/>
      <c r="J598" s="99"/>
      <c r="K598" s="104"/>
      <c r="L598" s="99"/>
      <c r="N598" s="99"/>
      <c r="O598" s="99"/>
      <c r="P598" s="34"/>
    </row>
    <row r="599">
      <c r="A599" s="28"/>
      <c r="B599" s="103"/>
      <c r="C599" s="121" t="str">
        <f t="array" ref="C599">ifs(and(isblank($A599),isblank($B599)),"", not(iserror(vlookup($A599&amp;$B599,'3) Release_Label'!$D:$D&amp;'3) Release_Label'!$E:$E,1,0))),vlookup($A599&amp;$B599,{'3) Release_Label'!$D:$D&amp;'3) Release_Label'!$E:$E,'3) Release_Label'!$F:$F},2,0), or(and(not(isblank($B599)),$B599=$B598,$A599&lt;&gt;$A598),and(not(isblank($A599)),$A599=$A598,$B599&lt;&gt;$B598)),"ID LISTS UNALIGNED",and($A599&lt;&gt;"",countif('3) Release_Label'!$D:$D,$A599)=0),"NO UPC MATCH in Release_Label",and($B599&lt;&gt;"",countif('3) Release_Label'!$E:$E,$B599)=0),"NO CATALOG ID MATCH in Release_Label",iserror(vlookup($A599&amp;$B599,'3) Release_Label'!$D:$D&amp;'3) Release_Label'!$E:$E,1,0)),"NO UPC-CATALOG ID pair MATCH in Release_Label" )</f>
        <v/>
      </c>
      <c r="D599" s="121" t="str">
        <f t="array" ref="D599">ifs(and(isblank($A599),isblank($B599)),"", not(iserror(vlookup($A599&amp;$B599,'3) Release_Label'!$D:$D&amp;'3) Release_Label'!$E:$E,1,0))),vlookup($A599&amp;$B599,{'3) Release_Label'!$D:$D&amp;'3) Release_Label'!$E:$E,'3) Release_Label'!$H:$H},2,0), or(and(not(isblank($B599)),$B599=$B598,$A599&lt;&gt;$A598),and(not(isblank($A599)),$A599=$A598,$B599&lt;&gt;$B598)),"ID LISTS UNALIGNED",and($A599&lt;&gt;"",countif('3) Release_Label'!$D:$D,$A599)=0),"NO UPC MATCH in Release_Label",and($B599&lt;&gt;"",countif('3) Release_Label'!$E:$E,$B599)=0),"NO CATALOG ID MATCH in Release_Label",iserror(vlookup($A599&amp;$B599,'3) Release_Label'!$D:$D&amp;'3) Release_Label'!$E:$E,1,0)),"NO UPC-CATALOG ID pair MATCH in Release_Label" )</f>
        <v/>
      </c>
      <c r="E599" s="141" t="str">
        <f t="shared" si="2"/>
        <v/>
      </c>
      <c r="G599" s="103"/>
      <c r="H599" s="152"/>
      <c r="J599" s="99"/>
      <c r="K599" s="104"/>
      <c r="L599" s="99"/>
      <c r="N599" s="99"/>
      <c r="O599" s="99"/>
      <c r="P599" s="34"/>
    </row>
    <row r="600">
      <c r="A600" s="28"/>
      <c r="B600" s="103"/>
      <c r="C600" s="121" t="str">
        <f t="array" ref="C600">ifs(and(isblank($A600),isblank($B600)),"", not(iserror(vlookup($A600&amp;$B600,'3) Release_Label'!$D:$D&amp;'3) Release_Label'!$E:$E,1,0))),vlookup($A600&amp;$B600,{'3) Release_Label'!$D:$D&amp;'3) Release_Label'!$E:$E,'3) Release_Label'!$F:$F},2,0), or(and(not(isblank($B600)),$B600=$B599,$A600&lt;&gt;$A599),and(not(isblank($A600)),$A600=$A599,$B600&lt;&gt;$B599)),"ID LISTS UNALIGNED",and($A600&lt;&gt;"",countif('3) Release_Label'!$D:$D,$A600)=0),"NO UPC MATCH in Release_Label",and($B600&lt;&gt;"",countif('3) Release_Label'!$E:$E,$B600)=0),"NO CATALOG ID MATCH in Release_Label",iserror(vlookup($A600&amp;$B600,'3) Release_Label'!$D:$D&amp;'3) Release_Label'!$E:$E,1,0)),"NO UPC-CATALOG ID pair MATCH in Release_Label" )</f>
        <v/>
      </c>
      <c r="D600" s="121" t="str">
        <f t="array" ref="D600">ifs(and(isblank($A600),isblank($B600)),"", not(iserror(vlookup($A600&amp;$B600,'3) Release_Label'!$D:$D&amp;'3) Release_Label'!$E:$E,1,0))),vlookup($A600&amp;$B600,{'3) Release_Label'!$D:$D&amp;'3) Release_Label'!$E:$E,'3) Release_Label'!$H:$H},2,0), or(and(not(isblank($B600)),$B600=$B599,$A600&lt;&gt;$A599),and(not(isblank($A600)),$A600=$A599,$B600&lt;&gt;$B599)),"ID LISTS UNALIGNED",and($A600&lt;&gt;"",countif('3) Release_Label'!$D:$D,$A600)=0),"NO UPC MATCH in Release_Label",and($B600&lt;&gt;"",countif('3) Release_Label'!$E:$E,$B600)=0),"NO CATALOG ID MATCH in Release_Label",iserror(vlookup($A600&amp;$B600,'3) Release_Label'!$D:$D&amp;'3) Release_Label'!$E:$E,1,0)),"NO UPC-CATALOG ID pair MATCH in Release_Label" )</f>
        <v/>
      </c>
      <c r="E600" s="141" t="str">
        <f t="shared" si="2"/>
        <v/>
      </c>
      <c r="G600" s="103"/>
      <c r="H600" s="152"/>
      <c r="J600" s="99"/>
      <c r="K600" s="104"/>
      <c r="L600" s="99"/>
      <c r="N600" s="99"/>
      <c r="O600" s="99"/>
      <c r="P600" s="34"/>
    </row>
    <row r="601">
      <c r="A601" s="28"/>
      <c r="B601" s="103"/>
      <c r="C601" s="121" t="str">
        <f t="array" ref="C601">ifs(and(isblank($A601),isblank($B601)),"", not(iserror(vlookup($A601&amp;$B601,'3) Release_Label'!$D:$D&amp;'3) Release_Label'!$E:$E,1,0))),vlookup($A601&amp;$B601,{'3) Release_Label'!$D:$D&amp;'3) Release_Label'!$E:$E,'3) Release_Label'!$F:$F},2,0), or(and(not(isblank($B601)),$B601=$B600,$A601&lt;&gt;$A600),and(not(isblank($A601)),$A601=$A600,$B601&lt;&gt;$B600)),"ID LISTS UNALIGNED",and($A601&lt;&gt;"",countif('3) Release_Label'!$D:$D,$A601)=0),"NO UPC MATCH in Release_Label",and($B601&lt;&gt;"",countif('3) Release_Label'!$E:$E,$B601)=0),"NO CATALOG ID MATCH in Release_Label",iserror(vlookup($A601&amp;$B601,'3) Release_Label'!$D:$D&amp;'3) Release_Label'!$E:$E,1,0)),"NO UPC-CATALOG ID pair MATCH in Release_Label" )</f>
        <v/>
      </c>
      <c r="D601" s="121" t="str">
        <f t="array" ref="D601">ifs(and(isblank($A601),isblank($B601)),"", not(iserror(vlookup($A601&amp;$B601,'3) Release_Label'!$D:$D&amp;'3) Release_Label'!$E:$E,1,0))),vlookup($A601&amp;$B601,{'3) Release_Label'!$D:$D&amp;'3) Release_Label'!$E:$E,'3) Release_Label'!$H:$H},2,0), or(and(not(isblank($B601)),$B601=$B600,$A601&lt;&gt;$A600),and(not(isblank($A601)),$A601=$A600,$B601&lt;&gt;$B600)),"ID LISTS UNALIGNED",and($A601&lt;&gt;"",countif('3) Release_Label'!$D:$D,$A601)=0),"NO UPC MATCH in Release_Label",and($B601&lt;&gt;"",countif('3) Release_Label'!$E:$E,$B601)=0),"NO CATALOG ID MATCH in Release_Label",iserror(vlookup($A601&amp;$B601,'3) Release_Label'!$D:$D&amp;'3) Release_Label'!$E:$E,1,0)),"NO UPC-CATALOG ID pair MATCH in Release_Label" )</f>
        <v/>
      </c>
      <c r="E601" s="141" t="str">
        <f t="shared" si="2"/>
        <v/>
      </c>
      <c r="G601" s="103"/>
      <c r="H601" s="152"/>
      <c r="J601" s="99"/>
      <c r="K601" s="104"/>
      <c r="L601" s="99"/>
      <c r="N601" s="99"/>
      <c r="O601" s="99"/>
      <c r="P601" s="34"/>
    </row>
    <row r="602">
      <c r="A602" s="28"/>
      <c r="B602" s="103"/>
      <c r="C602" s="121" t="str">
        <f t="array" ref="C602">ifs(and(isblank($A602),isblank($B602)),"", not(iserror(vlookup($A602&amp;$B602,'3) Release_Label'!$D:$D&amp;'3) Release_Label'!$E:$E,1,0))),vlookup($A602&amp;$B602,{'3) Release_Label'!$D:$D&amp;'3) Release_Label'!$E:$E,'3) Release_Label'!$F:$F},2,0), or(and(not(isblank($B602)),$B602=$B601,$A602&lt;&gt;$A601),and(not(isblank($A602)),$A602=$A601,$B602&lt;&gt;$B601)),"ID LISTS UNALIGNED",and($A602&lt;&gt;"",countif('3) Release_Label'!$D:$D,$A602)=0),"NO UPC MATCH in Release_Label",and($B602&lt;&gt;"",countif('3) Release_Label'!$E:$E,$B602)=0),"NO CATALOG ID MATCH in Release_Label",iserror(vlookup($A602&amp;$B602,'3) Release_Label'!$D:$D&amp;'3) Release_Label'!$E:$E,1,0)),"NO UPC-CATALOG ID pair MATCH in Release_Label" )</f>
        <v/>
      </c>
      <c r="D602" s="121" t="str">
        <f t="array" ref="D602">ifs(and(isblank($A602),isblank($B602)),"", not(iserror(vlookup($A602&amp;$B602,'3) Release_Label'!$D:$D&amp;'3) Release_Label'!$E:$E,1,0))),vlookup($A602&amp;$B602,{'3) Release_Label'!$D:$D&amp;'3) Release_Label'!$E:$E,'3) Release_Label'!$H:$H},2,0), or(and(not(isblank($B602)),$B602=$B601,$A602&lt;&gt;$A601),and(not(isblank($A602)),$A602=$A601,$B602&lt;&gt;$B601)),"ID LISTS UNALIGNED",and($A602&lt;&gt;"",countif('3) Release_Label'!$D:$D,$A602)=0),"NO UPC MATCH in Release_Label",and($B602&lt;&gt;"",countif('3) Release_Label'!$E:$E,$B602)=0),"NO CATALOG ID MATCH in Release_Label",iserror(vlookup($A602&amp;$B602,'3) Release_Label'!$D:$D&amp;'3) Release_Label'!$E:$E,1,0)),"NO UPC-CATALOG ID pair MATCH in Release_Label" )</f>
        <v/>
      </c>
      <c r="E602" s="141" t="str">
        <f t="shared" si="2"/>
        <v/>
      </c>
      <c r="G602" s="103"/>
      <c r="H602" s="152"/>
      <c r="J602" s="99"/>
      <c r="K602" s="104"/>
      <c r="L602" s="99"/>
      <c r="N602" s="99"/>
      <c r="O602" s="99"/>
      <c r="P602" s="34"/>
    </row>
    <row r="603">
      <c r="A603" s="28"/>
      <c r="B603" s="103"/>
      <c r="C603" s="121" t="str">
        <f t="array" ref="C603">ifs(and(isblank($A603),isblank($B603)),"", not(iserror(vlookup($A603&amp;$B603,'3) Release_Label'!$D:$D&amp;'3) Release_Label'!$E:$E,1,0))),vlookup($A603&amp;$B603,{'3) Release_Label'!$D:$D&amp;'3) Release_Label'!$E:$E,'3) Release_Label'!$F:$F},2,0), or(and(not(isblank($B603)),$B603=$B602,$A603&lt;&gt;$A602),and(not(isblank($A603)),$A603=$A602,$B603&lt;&gt;$B602)),"ID LISTS UNALIGNED",and($A603&lt;&gt;"",countif('3) Release_Label'!$D:$D,$A603)=0),"NO UPC MATCH in Release_Label",and($B603&lt;&gt;"",countif('3) Release_Label'!$E:$E,$B603)=0),"NO CATALOG ID MATCH in Release_Label",iserror(vlookup($A603&amp;$B603,'3) Release_Label'!$D:$D&amp;'3) Release_Label'!$E:$E,1,0)),"NO UPC-CATALOG ID pair MATCH in Release_Label" )</f>
        <v/>
      </c>
      <c r="D603" s="121" t="str">
        <f t="array" ref="D603">ifs(and(isblank($A603),isblank($B603)),"", not(iserror(vlookup($A603&amp;$B603,'3) Release_Label'!$D:$D&amp;'3) Release_Label'!$E:$E,1,0))),vlookup($A603&amp;$B603,{'3) Release_Label'!$D:$D&amp;'3) Release_Label'!$E:$E,'3) Release_Label'!$H:$H},2,0), or(and(not(isblank($B603)),$B603=$B602,$A603&lt;&gt;$A602),and(not(isblank($A603)),$A603=$A602,$B603&lt;&gt;$B602)),"ID LISTS UNALIGNED",and($A603&lt;&gt;"",countif('3) Release_Label'!$D:$D,$A603)=0),"NO UPC MATCH in Release_Label",and($B603&lt;&gt;"",countif('3) Release_Label'!$E:$E,$B603)=0),"NO CATALOG ID MATCH in Release_Label",iserror(vlookup($A603&amp;$B603,'3) Release_Label'!$D:$D&amp;'3) Release_Label'!$E:$E,1,0)),"NO UPC-CATALOG ID pair MATCH in Release_Label" )</f>
        <v/>
      </c>
      <c r="E603" s="141" t="str">
        <f t="shared" si="2"/>
        <v/>
      </c>
      <c r="G603" s="103"/>
      <c r="H603" s="152"/>
      <c r="J603" s="99"/>
      <c r="K603" s="104"/>
      <c r="L603" s="99"/>
      <c r="N603" s="99"/>
      <c r="O603" s="99"/>
      <c r="P603" s="34"/>
    </row>
    <row r="604">
      <c r="A604" s="28"/>
      <c r="B604" s="103"/>
      <c r="C604" s="121" t="str">
        <f t="array" ref="C604">ifs(and(isblank($A604),isblank($B604)),"", not(iserror(vlookup($A604&amp;$B604,'3) Release_Label'!$D:$D&amp;'3) Release_Label'!$E:$E,1,0))),vlookup($A604&amp;$B604,{'3) Release_Label'!$D:$D&amp;'3) Release_Label'!$E:$E,'3) Release_Label'!$F:$F},2,0), or(and(not(isblank($B604)),$B604=$B603,$A604&lt;&gt;$A603),and(not(isblank($A604)),$A604=$A603,$B604&lt;&gt;$B603)),"ID LISTS UNALIGNED",and($A604&lt;&gt;"",countif('3) Release_Label'!$D:$D,$A604)=0),"NO UPC MATCH in Release_Label",and($B604&lt;&gt;"",countif('3) Release_Label'!$E:$E,$B604)=0),"NO CATALOG ID MATCH in Release_Label",iserror(vlookup($A604&amp;$B604,'3) Release_Label'!$D:$D&amp;'3) Release_Label'!$E:$E,1,0)),"NO UPC-CATALOG ID pair MATCH in Release_Label" )</f>
        <v/>
      </c>
      <c r="D604" s="121" t="str">
        <f t="array" ref="D604">ifs(and(isblank($A604),isblank($B604)),"", not(iserror(vlookup($A604&amp;$B604,'3) Release_Label'!$D:$D&amp;'3) Release_Label'!$E:$E,1,0))),vlookup($A604&amp;$B604,{'3) Release_Label'!$D:$D&amp;'3) Release_Label'!$E:$E,'3) Release_Label'!$H:$H},2,0), or(and(not(isblank($B604)),$B604=$B603,$A604&lt;&gt;$A603),and(not(isblank($A604)),$A604=$A603,$B604&lt;&gt;$B603)),"ID LISTS UNALIGNED",and($A604&lt;&gt;"",countif('3) Release_Label'!$D:$D,$A604)=0),"NO UPC MATCH in Release_Label",and($B604&lt;&gt;"",countif('3) Release_Label'!$E:$E,$B604)=0),"NO CATALOG ID MATCH in Release_Label",iserror(vlookup($A604&amp;$B604,'3) Release_Label'!$D:$D&amp;'3) Release_Label'!$E:$E,1,0)),"NO UPC-CATALOG ID pair MATCH in Release_Label" )</f>
        <v/>
      </c>
      <c r="E604" s="141" t="str">
        <f t="shared" si="2"/>
        <v/>
      </c>
      <c r="G604" s="103"/>
      <c r="H604" s="152"/>
      <c r="J604" s="99"/>
      <c r="K604" s="104"/>
      <c r="L604" s="99"/>
      <c r="N604" s="99"/>
      <c r="O604" s="99"/>
      <c r="P604" s="34"/>
    </row>
    <row r="605">
      <c r="A605" s="28"/>
      <c r="B605" s="103"/>
      <c r="C605" s="121" t="str">
        <f t="array" ref="C605">ifs(and(isblank($A605),isblank($B605)),"", not(iserror(vlookup($A605&amp;$B605,'3) Release_Label'!$D:$D&amp;'3) Release_Label'!$E:$E,1,0))),vlookup($A605&amp;$B605,{'3) Release_Label'!$D:$D&amp;'3) Release_Label'!$E:$E,'3) Release_Label'!$F:$F},2,0), or(and(not(isblank($B605)),$B605=$B604,$A605&lt;&gt;$A604),and(not(isblank($A605)),$A605=$A604,$B605&lt;&gt;$B604)),"ID LISTS UNALIGNED",and($A605&lt;&gt;"",countif('3) Release_Label'!$D:$D,$A605)=0),"NO UPC MATCH in Release_Label",and($B605&lt;&gt;"",countif('3) Release_Label'!$E:$E,$B605)=0),"NO CATALOG ID MATCH in Release_Label",iserror(vlookup($A605&amp;$B605,'3) Release_Label'!$D:$D&amp;'3) Release_Label'!$E:$E,1,0)),"NO UPC-CATALOG ID pair MATCH in Release_Label" )</f>
        <v/>
      </c>
      <c r="D605" s="121" t="str">
        <f t="array" ref="D605">ifs(and(isblank($A605),isblank($B605)),"", not(iserror(vlookup($A605&amp;$B605,'3) Release_Label'!$D:$D&amp;'3) Release_Label'!$E:$E,1,0))),vlookup($A605&amp;$B605,{'3) Release_Label'!$D:$D&amp;'3) Release_Label'!$E:$E,'3) Release_Label'!$H:$H},2,0), or(and(not(isblank($B605)),$B605=$B604,$A605&lt;&gt;$A604),and(not(isblank($A605)),$A605=$A604,$B605&lt;&gt;$B604)),"ID LISTS UNALIGNED",and($A605&lt;&gt;"",countif('3) Release_Label'!$D:$D,$A605)=0),"NO UPC MATCH in Release_Label",and($B605&lt;&gt;"",countif('3) Release_Label'!$E:$E,$B605)=0),"NO CATALOG ID MATCH in Release_Label",iserror(vlookup($A605&amp;$B605,'3) Release_Label'!$D:$D&amp;'3) Release_Label'!$E:$E,1,0)),"NO UPC-CATALOG ID pair MATCH in Release_Label" )</f>
        <v/>
      </c>
      <c r="E605" s="141" t="str">
        <f t="shared" si="2"/>
        <v/>
      </c>
      <c r="G605" s="103"/>
      <c r="H605" s="152"/>
      <c r="J605" s="99"/>
      <c r="K605" s="104"/>
      <c r="L605" s="99"/>
      <c r="N605" s="99"/>
      <c r="O605" s="99"/>
      <c r="P605" s="34"/>
    </row>
    <row r="606">
      <c r="A606" s="28"/>
      <c r="B606" s="103"/>
      <c r="C606" s="121" t="str">
        <f t="array" ref="C606">ifs(and(isblank($A606),isblank($B606)),"", not(iserror(vlookup($A606&amp;$B606,'3) Release_Label'!$D:$D&amp;'3) Release_Label'!$E:$E,1,0))),vlookup($A606&amp;$B606,{'3) Release_Label'!$D:$D&amp;'3) Release_Label'!$E:$E,'3) Release_Label'!$F:$F},2,0), or(and(not(isblank($B606)),$B606=$B605,$A606&lt;&gt;$A605),and(not(isblank($A606)),$A606=$A605,$B606&lt;&gt;$B605)),"ID LISTS UNALIGNED",and($A606&lt;&gt;"",countif('3) Release_Label'!$D:$D,$A606)=0),"NO UPC MATCH in Release_Label",and($B606&lt;&gt;"",countif('3) Release_Label'!$E:$E,$B606)=0),"NO CATALOG ID MATCH in Release_Label",iserror(vlookup($A606&amp;$B606,'3) Release_Label'!$D:$D&amp;'3) Release_Label'!$E:$E,1,0)),"NO UPC-CATALOG ID pair MATCH in Release_Label" )</f>
        <v/>
      </c>
      <c r="D606" s="121" t="str">
        <f t="array" ref="D606">ifs(and(isblank($A606),isblank($B606)),"", not(iserror(vlookup($A606&amp;$B606,'3) Release_Label'!$D:$D&amp;'3) Release_Label'!$E:$E,1,0))),vlookup($A606&amp;$B606,{'3) Release_Label'!$D:$D&amp;'3) Release_Label'!$E:$E,'3) Release_Label'!$H:$H},2,0), or(and(not(isblank($B606)),$B606=$B605,$A606&lt;&gt;$A605),and(not(isblank($A606)),$A606=$A605,$B606&lt;&gt;$B605)),"ID LISTS UNALIGNED",and($A606&lt;&gt;"",countif('3) Release_Label'!$D:$D,$A606)=0),"NO UPC MATCH in Release_Label",and($B606&lt;&gt;"",countif('3) Release_Label'!$E:$E,$B606)=0),"NO CATALOG ID MATCH in Release_Label",iserror(vlookup($A606&amp;$B606,'3) Release_Label'!$D:$D&amp;'3) Release_Label'!$E:$E,1,0)),"NO UPC-CATALOG ID pair MATCH in Release_Label" )</f>
        <v/>
      </c>
      <c r="E606" s="141" t="str">
        <f t="shared" si="2"/>
        <v/>
      </c>
      <c r="G606" s="103"/>
      <c r="H606" s="152"/>
      <c r="J606" s="99"/>
      <c r="K606" s="104"/>
      <c r="L606" s="99"/>
      <c r="N606" s="99"/>
      <c r="O606" s="99"/>
      <c r="P606" s="34"/>
    </row>
    <row r="607">
      <c r="A607" s="28"/>
      <c r="B607" s="103"/>
      <c r="C607" s="121" t="str">
        <f t="array" ref="C607">ifs(and(isblank($A607),isblank($B607)),"", not(iserror(vlookup($A607&amp;$B607,'3) Release_Label'!$D:$D&amp;'3) Release_Label'!$E:$E,1,0))),vlookup($A607&amp;$B607,{'3) Release_Label'!$D:$D&amp;'3) Release_Label'!$E:$E,'3) Release_Label'!$F:$F},2,0), or(and(not(isblank($B607)),$B607=$B606,$A607&lt;&gt;$A606),and(not(isblank($A607)),$A607=$A606,$B607&lt;&gt;$B606)),"ID LISTS UNALIGNED",and($A607&lt;&gt;"",countif('3) Release_Label'!$D:$D,$A607)=0),"NO UPC MATCH in Release_Label",and($B607&lt;&gt;"",countif('3) Release_Label'!$E:$E,$B607)=0),"NO CATALOG ID MATCH in Release_Label",iserror(vlookup($A607&amp;$B607,'3) Release_Label'!$D:$D&amp;'3) Release_Label'!$E:$E,1,0)),"NO UPC-CATALOG ID pair MATCH in Release_Label" )</f>
        <v/>
      </c>
      <c r="D607" s="121" t="str">
        <f t="array" ref="D607">ifs(and(isblank($A607),isblank($B607)),"", not(iserror(vlookup($A607&amp;$B607,'3) Release_Label'!$D:$D&amp;'3) Release_Label'!$E:$E,1,0))),vlookup($A607&amp;$B607,{'3) Release_Label'!$D:$D&amp;'3) Release_Label'!$E:$E,'3) Release_Label'!$H:$H},2,0), or(and(not(isblank($B607)),$B607=$B606,$A607&lt;&gt;$A606),and(not(isblank($A607)),$A607=$A606,$B607&lt;&gt;$B606)),"ID LISTS UNALIGNED",and($A607&lt;&gt;"",countif('3) Release_Label'!$D:$D,$A607)=0),"NO UPC MATCH in Release_Label",and($B607&lt;&gt;"",countif('3) Release_Label'!$E:$E,$B607)=0),"NO CATALOG ID MATCH in Release_Label",iserror(vlookup($A607&amp;$B607,'3) Release_Label'!$D:$D&amp;'3) Release_Label'!$E:$E,1,0)),"NO UPC-CATALOG ID pair MATCH in Release_Label" )</f>
        <v/>
      </c>
      <c r="E607" s="141" t="str">
        <f t="shared" si="2"/>
        <v/>
      </c>
      <c r="G607" s="103"/>
      <c r="H607" s="152"/>
      <c r="J607" s="99"/>
      <c r="K607" s="104"/>
      <c r="L607" s="99"/>
      <c r="N607" s="99"/>
      <c r="O607" s="99"/>
      <c r="P607" s="34"/>
    </row>
    <row r="608">
      <c r="A608" s="28"/>
      <c r="B608" s="103"/>
      <c r="C608" s="121" t="str">
        <f t="array" ref="C608">ifs(and(isblank($A608),isblank($B608)),"", not(iserror(vlookup($A608&amp;$B608,'3) Release_Label'!$D:$D&amp;'3) Release_Label'!$E:$E,1,0))),vlookup($A608&amp;$B608,{'3) Release_Label'!$D:$D&amp;'3) Release_Label'!$E:$E,'3) Release_Label'!$F:$F},2,0), or(and(not(isblank($B608)),$B608=$B607,$A608&lt;&gt;$A607),and(not(isblank($A608)),$A608=$A607,$B608&lt;&gt;$B607)),"ID LISTS UNALIGNED",and($A608&lt;&gt;"",countif('3) Release_Label'!$D:$D,$A608)=0),"NO UPC MATCH in Release_Label",and($B608&lt;&gt;"",countif('3) Release_Label'!$E:$E,$B608)=0),"NO CATALOG ID MATCH in Release_Label",iserror(vlookup($A608&amp;$B608,'3) Release_Label'!$D:$D&amp;'3) Release_Label'!$E:$E,1,0)),"NO UPC-CATALOG ID pair MATCH in Release_Label" )</f>
        <v/>
      </c>
      <c r="D608" s="121" t="str">
        <f t="array" ref="D608">ifs(and(isblank($A608),isblank($B608)),"", not(iserror(vlookup($A608&amp;$B608,'3) Release_Label'!$D:$D&amp;'3) Release_Label'!$E:$E,1,0))),vlookup($A608&amp;$B608,{'3) Release_Label'!$D:$D&amp;'3) Release_Label'!$E:$E,'3) Release_Label'!$H:$H},2,0), or(and(not(isblank($B608)),$B608=$B607,$A608&lt;&gt;$A607),and(not(isblank($A608)),$A608=$A607,$B608&lt;&gt;$B607)),"ID LISTS UNALIGNED",and($A608&lt;&gt;"",countif('3) Release_Label'!$D:$D,$A608)=0),"NO UPC MATCH in Release_Label",and($B608&lt;&gt;"",countif('3) Release_Label'!$E:$E,$B608)=0),"NO CATALOG ID MATCH in Release_Label",iserror(vlookup($A608&amp;$B608,'3) Release_Label'!$D:$D&amp;'3) Release_Label'!$E:$E,1,0)),"NO UPC-CATALOG ID pair MATCH in Release_Label" )</f>
        <v/>
      </c>
      <c r="E608" s="141" t="str">
        <f t="shared" si="2"/>
        <v/>
      </c>
      <c r="G608" s="103"/>
      <c r="H608" s="152"/>
      <c r="J608" s="99"/>
      <c r="K608" s="104"/>
      <c r="L608" s="99"/>
      <c r="N608" s="99"/>
      <c r="O608" s="99"/>
      <c r="P608" s="34"/>
    </row>
    <row r="609">
      <c r="A609" s="28"/>
      <c r="B609" s="103"/>
      <c r="C609" s="121" t="str">
        <f t="array" ref="C609">ifs(and(isblank($A609),isblank($B609)),"", not(iserror(vlookup($A609&amp;$B609,'3) Release_Label'!$D:$D&amp;'3) Release_Label'!$E:$E,1,0))),vlookup($A609&amp;$B609,{'3) Release_Label'!$D:$D&amp;'3) Release_Label'!$E:$E,'3) Release_Label'!$F:$F},2,0), or(and(not(isblank($B609)),$B609=$B608,$A609&lt;&gt;$A608),and(not(isblank($A609)),$A609=$A608,$B609&lt;&gt;$B608)),"ID LISTS UNALIGNED",and($A609&lt;&gt;"",countif('3) Release_Label'!$D:$D,$A609)=0),"NO UPC MATCH in Release_Label",and($B609&lt;&gt;"",countif('3) Release_Label'!$E:$E,$B609)=0),"NO CATALOG ID MATCH in Release_Label",iserror(vlookup($A609&amp;$B609,'3) Release_Label'!$D:$D&amp;'3) Release_Label'!$E:$E,1,0)),"NO UPC-CATALOG ID pair MATCH in Release_Label" )</f>
        <v/>
      </c>
      <c r="D609" s="121" t="str">
        <f t="array" ref="D609">ifs(and(isblank($A609),isblank($B609)),"", not(iserror(vlookup($A609&amp;$B609,'3) Release_Label'!$D:$D&amp;'3) Release_Label'!$E:$E,1,0))),vlookup($A609&amp;$B609,{'3) Release_Label'!$D:$D&amp;'3) Release_Label'!$E:$E,'3) Release_Label'!$H:$H},2,0), or(and(not(isblank($B609)),$B609=$B608,$A609&lt;&gt;$A608),and(not(isblank($A609)),$A609=$A608,$B609&lt;&gt;$B608)),"ID LISTS UNALIGNED",and($A609&lt;&gt;"",countif('3) Release_Label'!$D:$D,$A609)=0),"NO UPC MATCH in Release_Label",and($B609&lt;&gt;"",countif('3) Release_Label'!$E:$E,$B609)=0),"NO CATALOG ID MATCH in Release_Label",iserror(vlookup($A609&amp;$B609,'3) Release_Label'!$D:$D&amp;'3) Release_Label'!$E:$E,1,0)),"NO UPC-CATALOG ID pair MATCH in Release_Label" )</f>
        <v/>
      </c>
      <c r="E609" s="141" t="str">
        <f t="shared" si="2"/>
        <v/>
      </c>
      <c r="G609" s="103"/>
      <c r="H609" s="152"/>
      <c r="J609" s="99"/>
      <c r="K609" s="104"/>
      <c r="L609" s="99"/>
      <c r="N609" s="99"/>
      <c r="O609" s="99"/>
      <c r="P609" s="34"/>
    </row>
    <row r="610">
      <c r="A610" s="28"/>
      <c r="B610" s="103"/>
      <c r="C610" s="121" t="str">
        <f t="array" ref="C610">ifs(and(isblank($A610),isblank($B610)),"", not(iserror(vlookup($A610&amp;$B610,'3) Release_Label'!$D:$D&amp;'3) Release_Label'!$E:$E,1,0))),vlookup($A610&amp;$B610,{'3) Release_Label'!$D:$D&amp;'3) Release_Label'!$E:$E,'3) Release_Label'!$F:$F},2,0), or(and(not(isblank($B610)),$B610=$B609,$A610&lt;&gt;$A609),and(not(isblank($A610)),$A610=$A609,$B610&lt;&gt;$B609)),"ID LISTS UNALIGNED",and($A610&lt;&gt;"",countif('3) Release_Label'!$D:$D,$A610)=0),"NO UPC MATCH in Release_Label",and($B610&lt;&gt;"",countif('3) Release_Label'!$E:$E,$B610)=0),"NO CATALOG ID MATCH in Release_Label",iserror(vlookup($A610&amp;$B610,'3) Release_Label'!$D:$D&amp;'3) Release_Label'!$E:$E,1,0)),"NO UPC-CATALOG ID pair MATCH in Release_Label" )</f>
        <v/>
      </c>
      <c r="D610" s="121" t="str">
        <f t="array" ref="D610">ifs(and(isblank($A610),isblank($B610)),"", not(iserror(vlookup($A610&amp;$B610,'3) Release_Label'!$D:$D&amp;'3) Release_Label'!$E:$E,1,0))),vlookup($A610&amp;$B610,{'3) Release_Label'!$D:$D&amp;'3) Release_Label'!$E:$E,'3) Release_Label'!$H:$H},2,0), or(and(not(isblank($B610)),$B610=$B609,$A610&lt;&gt;$A609),and(not(isblank($A610)),$A610=$A609,$B610&lt;&gt;$B609)),"ID LISTS UNALIGNED",and($A610&lt;&gt;"",countif('3) Release_Label'!$D:$D,$A610)=0),"NO UPC MATCH in Release_Label",and($B610&lt;&gt;"",countif('3) Release_Label'!$E:$E,$B610)=0),"NO CATALOG ID MATCH in Release_Label",iserror(vlookup($A610&amp;$B610,'3) Release_Label'!$D:$D&amp;'3) Release_Label'!$E:$E,1,0)),"NO UPC-CATALOG ID pair MATCH in Release_Label" )</f>
        <v/>
      </c>
      <c r="E610" s="141" t="str">
        <f t="shared" si="2"/>
        <v/>
      </c>
      <c r="G610" s="103"/>
      <c r="H610" s="152"/>
      <c r="J610" s="99"/>
      <c r="K610" s="104"/>
      <c r="L610" s="99"/>
      <c r="N610" s="99"/>
      <c r="O610" s="99"/>
      <c r="P610" s="34"/>
    </row>
    <row r="611">
      <c r="A611" s="28"/>
      <c r="B611" s="103"/>
      <c r="C611" s="121" t="str">
        <f t="array" ref="C611">ifs(and(isblank($A611),isblank($B611)),"", not(iserror(vlookup($A611&amp;$B611,'3) Release_Label'!$D:$D&amp;'3) Release_Label'!$E:$E,1,0))),vlookup($A611&amp;$B611,{'3) Release_Label'!$D:$D&amp;'3) Release_Label'!$E:$E,'3) Release_Label'!$F:$F},2,0), or(and(not(isblank($B611)),$B611=$B610,$A611&lt;&gt;$A610),and(not(isblank($A611)),$A611=$A610,$B611&lt;&gt;$B610)),"ID LISTS UNALIGNED",and($A611&lt;&gt;"",countif('3) Release_Label'!$D:$D,$A611)=0),"NO UPC MATCH in Release_Label",and($B611&lt;&gt;"",countif('3) Release_Label'!$E:$E,$B611)=0),"NO CATALOG ID MATCH in Release_Label",iserror(vlookup($A611&amp;$B611,'3) Release_Label'!$D:$D&amp;'3) Release_Label'!$E:$E,1,0)),"NO UPC-CATALOG ID pair MATCH in Release_Label" )</f>
        <v/>
      </c>
      <c r="D611" s="121" t="str">
        <f t="array" ref="D611">ifs(and(isblank($A611),isblank($B611)),"", not(iserror(vlookup($A611&amp;$B611,'3) Release_Label'!$D:$D&amp;'3) Release_Label'!$E:$E,1,0))),vlookup($A611&amp;$B611,{'3) Release_Label'!$D:$D&amp;'3) Release_Label'!$E:$E,'3) Release_Label'!$H:$H},2,0), or(and(not(isblank($B611)),$B611=$B610,$A611&lt;&gt;$A610),and(not(isblank($A611)),$A611=$A610,$B611&lt;&gt;$B610)),"ID LISTS UNALIGNED",and($A611&lt;&gt;"",countif('3) Release_Label'!$D:$D,$A611)=0),"NO UPC MATCH in Release_Label",and($B611&lt;&gt;"",countif('3) Release_Label'!$E:$E,$B611)=0),"NO CATALOG ID MATCH in Release_Label",iserror(vlookup($A611&amp;$B611,'3) Release_Label'!$D:$D&amp;'3) Release_Label'!$E:$E,1,0)),"NO UPC-CATALOG ID pair MATCH in Release_Label" )</f>
        <v/>
      </c>
      <c r="E611" s="141" t="str">
        <f t="shared" si="2"/>
        <v/>
      </c>
      <c r="G611" s="103"/>
      <c r="H611" s="152"/>
      <c r="J611" s="99"/>
      <c r="K611" s="104"/>
      <c r="L611" s="99"/>
      <c r="N611" s="99"/>
      <c r="O611" s="99"/>
      <c r="P611" s="34"/>
    </row>
    <row r="612">
      <c r="A612" s="28"/>
      <c r="B612" s="103"/>
      <c r="C612" s="121" t="str">
        <f t="array" ref="C612">ifs(and(isblank($A612),isblank($B612)),"", not(iserror(vlookup($A612&amp;$B612,'3) Release_Label'!$D:$D&amp;'3) Release_Label'!$E:$E,1,0))),vlookup($A612&amp;$B612,{'3) Release_Label'!$D:$D&amp;'3) Release_Label'!$E:$E,'3) Release_Label'!$F:$F},2,0), or(and(not(isblank($B612)),$B612=$B611,$A612&lt;&gt;$A611),and(not(isblank($A612)),$A612=$A611,$B612&lt;&gt;$B611)),"ID LISTS UNALIGNED",and($A612&lt;&gt;"",countif('3) Release_Label'!$D:$D,$A612)=0),"NO UPC MATCH in Release_Label",and($B612&lt;&gt;"",countif('3) Release_Label'!$E:$E,$B612)=0),"NO CATALOG ID MATCH in Release_Label",iserror(vlookup($A612&amp;$B612,'3) Release_Label'!$D:$D&amp;'3) Release_Label'!$E:$E,1,0)),"NO UPC-CATALOG ID pair MATCH in Release_Label" )</f>
        <v/>
      </c>
      <c r="D612" s="121" t="str">
        <f t="array" ref="D612">ifs(and(isblank($A612),isblank($B612)),"", not(iserror(vlookup($A612&amp;$B612,'3) Release_Label'!$D:$D&amp;'3) Release_Label'!$E:$E,1,0))),vlookup($A612&amp;$B612,{'3) Release_Label'!$D:$D&amp;'3) Release_Label'!$E:$E,'3) Release_Label'!$H:$H},2,0), or(and(not(isblank($B612)),$B612=$B611,$A612&lt;&gt;$A611),and(not(isblank($A612)),$A612=$A611,$B612&lt;&gt;$B611)),"ID LISTS UNALIGNED",and($A612&lt;&gt;"",countif('3) Release_Label'!$D:$D,$A612)=0),"NO UPC MATCH in Release_Label",and($B612&lt;&gt;"",countif('3) Release_Label'!$E:$E,$B612)=0),"NO CATALOG ID MATCH in Release_Label",iserror(vlookup($A612&amp;$B612,'3) Release_Label'!$D:$D&amp;'3) Release_Label'!$E:$E,1,0)),"NO UPC-CATALOG ID pair MATCH in Release_Label" )</f>
        <v/>
      </c>
      <c r="E612" s="141" t="str">
        <f t="shared" si="2"/>
        <v/>
      </c>
      <c r="G612" s="103"/>
      <c r="H612" s="152"/>
      <c r="J612" s="99"/>
      <c r="K612" s="104"/>
      <c r="L612" s="99"/>
      <c r="N612" s="99"/>
      <c r="O612" s="99"/>
      <c r="P612" s="34"/>
    </row>
    <row r="613">
      <c r="A613" s="28"/>
      <c r="B613" s="103"/>
      <c r="C613" s="121" t="str">
        <f t="array" ref="C613">ifs(and(isblank($A613),isblank($B613)),"", not(iserror(vlookup($A613&amp;$B613,'3) Release_Label'!$D:$D&amp;'3) Release_Label'!$E:$E,1,0))),vlookup($A613&amp;$B613,{'3) Release_Label'!$D:$D&amp;'3) Release_Label'!$E:$E,'3) Release_Label'!$F:$F},2,0), or(and(not(isblank($B613)),$B613=$B612,$A613&lt;&gt;$A612),and(not(isblank($A613)),$A613=$A612,$B613&lt;&gt;$B612)),"ID LISTS UNALIGNED",and($A613&lt;&gt;"",countif('3) Release_Label'!$D:$D,$A613)=0),"NO UPC MATCH in Release_Label",and($B613&lt;&gt;"",countif('3) Release_Label'!$E:$E,$B613)=0),"NO CATALOG ID MATCH in Release_Label",iserror(vlookup($A613&amp;$B613,'3) Release_Label'!$D:$D&amp;'3) Release_Label'!$E:$E,1,0)),"NO UPC-CATALOG ID pair MATCH in Release_Label" )</f>
        <v/>
      </c>
      <c r="D613" s="121" t="str">
        <f t="array" ref="D613">ifs(and(isblank($A613),isblank($B613)),"", not(iserror(vlookup($A613&amp;$B613,'3) Release_Label'!$D:$D&amp;'3) Release_Label'!$E:$E,1,0))),vlookup($A613&amp;$B613,{'3) Release_Label'!$D:$D&amp;'3) Release_Label'!$E:$E,'3) Release_Label'!$H:$H},2,0), or(and(not(isblank($B613)),$B613=$B612,$A613&lt;&gt;$A612),and(not(isblank($A613)),$A613=$A612,$B613&lt;&gt;$B612)),"ID LISTS UNALIGNED",and($A613&lt;&gt;"",countif('3) Release_Label'!$D:$D,$A613)=0),"NO UPC MATCH in Release_Label",and($B613&lt;&gt;"",countif('3) Release_Label'!$E:$E,$B613)=0),"NO CATALOG ID MATCH in Release_Label",iserror(vlookup($A613&amp;$B613,'3) Release_Label'!$D:$D&amp;'3) Release_Label'!$E:$E,1,0)),"NO UPC-CATALOG ID pair MATCH in Release_Label" )</f>
        <v/>
      </c>
      <c r="E613" s="141" t="str">
        <f t="shared" si="2"/>
        <v/>
      </c>
      <c r="G613" s="103"/>
      <c r="H613" s="152"/>
      <c r="J613" s="99"/>
      <c r="K613" s="104"/>
      <c r="L613" s="99"/>
      <c r="N613" s="99"/>
      <c r="O613" s="99"/>
      <c r="P613" s="34"/>
    </row>
    <row r="614">
      <c r="A614" s="28"/>
      <c r="B614" s="103"/>
      <c r="C614" s="121" t="str">
        <f t="array" ref="C614">ifs(and(isblank($A614),isblank($B614)),"", not(iserror(vlookup($A614&amp;$B614,'3) Release_Label'!$D:$D&amp;'3) Release_Label'!$E:$E,1,0))),vlookup($A614&amp;$B614,{'3) Release_Label'!$D:$D&amp;'3) Release_Label'!$E:$E,'3) Release_Label'!$F:$F},2,0), or(and(not(isblank($B614)),$B614=$B613,$A614&lt;&gt;$A613),and(not(isblank($A614)),$A614=$A613,$B614&lt;&gt;$B613)),"ID LISTS UNALIGNED",and($A614&lt;&gt;"",countif('3) Release_Label'!$D:$D,$A614)=0),"NO UPC MATCH in Release_Label",and($B614&lt;&gt;"",countif('3) Release_Label'!$E:$E,$B614)=0),"NO CATALOG ID MATCH in Release_Label",iserror(vlookup($A614&amp;$B614,'3) Release_Label'!$D:$D&amp;'3) Release_Label'!$E:$E,1,0)),"NO UPC-CATALOG ID pair MATCH in Release_Label" )</f>
        <v/>
      </c>
      <c r="D614" s="121" t="str">
        <f t="array" ref="D614">ifs(and(isblank($A614),isblank($B614)),"", not(iserror(vlookup($A614&amp;$B614,'3) Release_Label'!$D:$D&amp;'3) Release_Label'!$E:$E,1,0))),vlookup($A614&amp;$B614,{'3) Release_Label'!$D:$D&amp;'3) Release_Label'!$E:$E,'3) Release_Label'!$H:$H},2,0), or(and(not(isblank($B614)),$B614=$B613,$A614&lt;&gt;$A613),and(not(isblank($A614)),$A614=$A613,$B614&lt;&gt;$B613)),"ID LISTS UNALIGNED",and($A614&lt;&gt;"",countif('3) Release_Label'!$D:$D,$A614)=0),"NO UPC MATCH in Release_Label",and($B614&lt;&gt;"",countif('3) Release_Label'!$E:$E,$B614)=0),"NO CATALOG ID MATCH in Release_Label",iserror(vlookup($A614&amp;$B614,'3) Release_Label'!$D:$D&amp;'3) Release_Label'!$E:$E,1,0)),"NO UPC-CATALOG ID pair MATCH in Release_Label" )</f>
        <v/>
      </c>
      <c r="E614" s="141" t="str">
        <f t="shared" si="2"/>
        <v/>
      </c>
      <c r="G614" s="103"/>
      <c r="H614" s="152"/>
      <c r="J614" s="99"/>
      <c r="K614" s="104"/>
      <c r="L614" s="99"/>
      <c r="N614" s="99"/>
      <c r="O614" s="99"/>
      <c r="P614" s="34"/>
    </row>
    <row r="615">
      <c r="A615" s="28"/>
      <c r="B615" s="103"/>
      <c r="C615" s="121" t="str">
        <f t="array" ref="C615">ifs(and(isblank($A615),isblank($B615)),"", not(iserror(vlookup($A615&amp;$B615,'3) Release_Label'!$D:$D&amp;'3) Release_Label'!$E:$E,1,0))),vlookup($A615&amp;$B615,{'3) Release_Label'!$D:$D&amp;'3) Release_Label'!$E:$E,'3) Release_Label'!$F:$F},2,0), or(and(not(isblank($B615)),$B615=$B614,$A615&lt;&gt;$A614),and(not(isblank($A615)),$A615=$A614,$B615&lt;&gt;$B614)),"ID LISTS UNALIGNED",and($A615&lt;&gt;"",countif('3) Release_Label'!$D:$D,$A615)=0),"NO UPC MATCH in Release_Label",and($B615&lt;&gt;"",countif('3) Release_Label'!$E:$E,$B615)=0),"NO CATALOG ID MATCH in Release_Label",iserror(vlookup($A615&amp;$B615,'3) Release_Label'!$D:$D&amp;'3) Release_Label'!$E:$E,1,0)),"NO UPC-CATALOG ID pair MATCH in Release_Label" )</f>
        <v/>
      </c>
      <c r="D615" s="121" t="str">
        <f t="array" ref="D615">ifs(and(isblank($A615),isblank($B615)),"", not(iserror(vlookup($A615&amp;$B615,'3) Release_Label'!$D:$D&amp;'3) Release_Label'!$E:$E,1,0))),vlookup($A615&amp;$B615,{'3) Release_Label'!$D:$D&amp;'3) Release_Label'!$E:$E,'3) Release_Label'!$H:$H},2,0), or(and(not(isblank($B615)),$B615=$B614,$A615&lt;&gt;$A614),and(not(isblank($A615)),$A615=$A614,$B615&lt;&gt;$B614)),"ID LISTS UNALIGNED",and($A615&lt;&gt;"",countif('3) Release_Label'!$D:$D,$A615)=0),"NO UPC MATCH in Release_Label",and($B615&lt;&gt;"",countif('3) Release_Label'!$E:$E,$B615)=0),"NO CATALOG ID MATCH in Release_Label",iserror(vlookup($A615&amp;$B615,'3) Release_Label'!$D:$D&amp;'3) Release_Label'!$E:$E,1,0)),"NO UPC-CATALOG ID pair MATCH in Release_Label" )</f>
        <v/>
      </c>
      <c r="E615" s="141" t="str">
        <f t="shared" si="2"/>
        <v/>
      </c>
      <c r="G615" s="103"/>
      <c r="H615" s="152"/>
      <c r="J615" s="99"/>
      <c r="K615" s="104"/>
      <c r="L615" s="99"/>
      <c r="N615" s="99"/>
      <c r="O615" s="99"/>
      <c r="P615" s="34"/>
    </row>
    <row r="616">
      <c r="A616" s="28"/>
      <c r="B616" s="103"/>
      <c r="C616" s="121" t="str">
        <f t="array" ref="C616">ifs(and(isblank($A616),isblank($B616)),"", not(iserror(vlookup($A616&amp;$B616,'3) Release_Label'!$D:$D&amp;'3) Release_Label'!$E:$E,1,0))),vlookup($A616&amp;$B616,{'3) Release_Label'!$D:$D&amp;'3) Release_Label'!$E:$E,'3) Release_Label'!$F:$F},2,0), or(and(not(isblank($B616)),$B616=$B615,$A616&lt;&gt;$A615),and(not(isblank($A616)),$A616=$A615,$B616&lt;&gt;$B615)),"ID LISTS UNALIGNED",and($A616&lt;&gt;"",countif('3) Release_Label'!$D:$D,$A616)=0),"NO UPC MATCH in Release_Label",and($B616&lt;&gt;"",countif('3) Release_Label'!$E:$E,$B616)=0),"NO CATALOG ID MATCH in Release_Label",iserror(vlookup($A616&amp;$B616,'3) Release_Label'!$D:$D&amp;'3) Release_Label'!$E:$E,1,0)),"NO UPC-CATALOG ID pair MATCH in Release_Label" )</f>
        <v/>
      </c>
      <c r="D616" s="121" t="str">
        <f t="array" ref="D616">ifs(and(isblank($A616),isblank($B616)),"", not(iserror(vlookup($A616&amp;$B616,'3) Release_Label'!$D:$D&amp;'3) Release_Label'!$E:$E,1,0))),vlookup($A616&amp;$B616,{'3) Release_Label'!$D:$D&amp;'3) Release_Label'!$E:$E,'3) Release_Label'!$H:$H},2,0), or(and(not(isblank($B616)),$B616=$B615,$A616&lt;&gt;$A615),and(not(isblank($A616)),$A616=$A615,$B616&lt;&gt;$B615)),"ID LISTS UNALIGNED",and($A616&lt;&gt;"",countif('3) Release_Label'!$D:$D,$A616)=0),"NO UPC MATCH in Release_Label",and($B616&lt;&gt;"",countif('3) Release_Label'!$E:$E,$B616)=0),"NO CATALOG ID MATCH in Release_Label",iserror(vlookup($A616&amp;$B616,'3) Release_Label'!$D:$D&amp;'3) Release_Label'!$E:$E,1,0)),"NO UPC-CATALOG ID pair MATCH in Release_Label" )</f>
        <v/>
      </c>
      <c r="E616" s="141" t="str">
        <f t="shared" si="2"/>
        <v/>
      </c>
      <c r="G616" s="103"/>
      <c r="H616" s="152"/>
      <c r="J616" s="99"/>
      <c r="K616" s="104"/>
      <c r="L616" s="99"/>
      <c r="N616" s="99"/>
      <c r="O616" s="99"/>
      <c r="P616" s="34"/>
    </row>
    <row r="617">
      <c r="A617" s="28"/>
      <c r="B617" s="103"/>
      <c r="C617" s="121" t="str">
        <f t="array" ref="C617">ifs(and(isblank($A617),isblank($B617)),"", not(iserror(vlookup($A617&amp;$B617,'3) Release_Label'!$D:$D&amp;'3) Release_Label'!$E:$E,1,0))),vlookup($A617&amp;$B617,{'3) Release_Label'!$D:$D&amp;'3) Release_Label'!$E:$E,'3) Release_Label'!$F:$F},2,0), or(and(not(isblank($B617)),$B617=$B616,$A617&lt;&gt;$A616),and(not(isblank($A617)),$A617=$A616,$B617&lt;&gt;$B616)),"ID LISTS UNALIGNED",and($A617&lt;&gt;"",countif('3) Release_Label'!$D:$D,$A617)=0),"NO UPC MATCH in Release_Label",and($B617&lt;&gt;"",countif('3) Release_Label'!$E:$E,$B617)=0),"NO CATALOG ID MATCH in Release_Label",iserror(vlookup($A617&amp;$B617,'3) Release_Label'!$D:$D&amp;'3) Release_Label'!$E:$E,1,0)),"NO UPC-CATALOG ID pair MATCH in Release_Label" )</f>
        <v/>
      </c>
      <c r="D617" s="121" t="str">
        <f t="array" ref="D617">ifs(and(isblank($A617),isblank($B617)),"", not(iserror(vlookup($A617&amp;$B617,'3) Release_Label'!$D:$D&amp;'3) Release_Label'!$E:$E,1,0))),vlookup($A617&amp;$B617,{'3) Release_Label'!$D:$D&amp;'3) Release_Label'!$E:$E,'3) Release_Label'!$H:$H},2,0), or(and(not(isblank($B617)),$B617=$B616,$A617&lt;&gt;$A616),and(not(isblank($A617)),$A617=$A616,$B617&lt;&gt;$B616)),"ID LISTS UNALIGNED",and($A617&lt;&gt;"",countif('3) Release_Label'!$D:$D,$A617)=0),"NO UPC MATCH in Release_Label",and($B617&lt;&gt;"",countif('3) Release_Label'!$E:$E,$B617)=0),"NO CATALOG ID MATCH in Release_Label",iserror(vlookup($A617&amp;$B617,'3) Release_Label'!$D:$D&amp;'3) Release_Label'!$E:$E,1,0)),"NO UPC-CATALOG ID pair MATCH in Release_Label" )</f>
        <v/>
      </c>
      <c r="E617" s="141" t="str">
        <f t="shared" si="2"/>
        <v/>
      </c>
      <c r="G617" s="103"/>
      <c r="H617" s="152"/>
      <c r="J617" s="99"/>
      <c r="K617" s="104"/>
      <c r="L617" s="99"/>
      <c r="N617" s="99"/>
      <c r="O617" s="99"/>
      <c r="P617" s="34"/>
    </row>
    <row r="618">
      <c r="A618" s="28"/>
      <c r="B618" s="103"/>
      <c r="C618" s="121" t="str">
        <f t="array" ref="C618">ifs(and(isblank($A618),isblank($B618)),"", not(iserror(vlookup($A618&amp;$B618,'3) Release_Label'!$D:$D&amp;'3) Release_Label'!$E:$E,1,0))),vlookup($A618&amp;$B618,{'3) Release_Label'!$D:$D&amp;'3) Release_Label'!$E:$E,'3) Release_Label'!$F:$F},2,0), or(and(not(isblank($B618)),$B618=$B617,$A618&lt;&gt;$A617),and(not(isblank($A618)),$A618=$A617,$B618&lt;&gt;$B617)),"ID LISTS UNALIGNED",and($A618&lt;&gt;"",countif('3) Release_Label'!$D:$D,$A618)=0),"NO UPC MATCH in Release_Label",and($B618&lt;&gt;"",countif('3) Release_Label'!$E:$E,$B618)=0),"NO CATALOG ID MATCH in Release_Label",iserror(vlookup($A618&amp;$B618,'3) Release_Label'!$D:$D&amp;'3) Release_Label'!$E:$E,1,0)),"NO UPC-CATALOG ID pair MATCH in Release_Label" )</f>
        <v/>
      </c>
      <c r="D618" s="121" t="str">
        <f t="array" ref="D618">ifs(and(isblank($A618),isblank($B618)),"", not(iserror(vlookup($A618&amp;$B618,'3) Release_Label'!$D:$D&amp;'3) Release_Label'!$E:$E,1,0))),vlookup($A618&amp;$B618,{'3) Release_Label'!$D:$D&amp;'3) Release_Label'!$E:$E,'3) Release_Label'!$H:$H},2,0), or(and(not(isblank($B618)),$B618=$B617,$A618&lt;&gt;$A617),and(not(isblank($A618)),$A618=$A617,$B618&lt;&gt;$B617)),"ID LISTS UNALIGNED",and($A618&lt;&gt;"",countif('3) Release_Label'!$D:$D,$A618)=0),"NO UPC MATCH in Release_Label",and($B618&lt;&gt;"",countif('3) Release_Label'!$E:$E,$B618)=0),"NO CATALOG ID MATCH in Release_Label",iserror(vlookup($A618&amp;$B618,'3) Release_Label'!$D:$D&amp;'3) Release_Label'!$E:$E,1,0)),"NO UPC-CATALOG ID pair MATCH in Release_Label" )</f>
        <v/>
      </c>
      <c r="E618" s="141" t="str">
        <f t="shared" si="2"/>
        <v/>
      </c>
      <c r="G618" s="103"/>
      <c r="H618" s="152"/>
      <c r="J618" s="99"/>
      <c r="K618" s="104"/>
      <c r="L618" s="99"/>
      <c r="N618" s="99"/>
      <c r="O618" s="99"/>
      <c r="P618" s="34"/>
    </row>
    <row r="619">
      <c r="A619" s="28"/>
      <c r="B619" s="103"/>
      <c r="C619" s="121" t="str">
        <f t="array" ref="C619">ifs(and(isblank($A619),isblank($B619)),"", not(iserror(vlookup($A619&amp;$B619,'3) Release_Label'!$D:$D&amp;'3) Release_Label'!$E:$E,1,0))),vlookup($A619&amp;$B619,{'3) Release_Label'!$D:$D&amp;'3) Release_Label'!$E:$E,'3) Release_Label'!$F:$F},2,0), or(and(not(isblank($B619)),$B619=$B618,$A619&lt;&gt;$A618),and(not(isblank($A619)),$A619=$A618,$B619&lt;&gt;$B618)),"ID LISTS UNALIGNED",and($A619&lt;&gt;"",countif('3) Release_Label'!$D:$D,$A619)=0),"NO UPC MATCH in Release_Label",and($B619&lt;&gt;"",countif('3) Release_Label'!$E:$E,$B619)=0),"NO CATALOG ID MATCH in Release_Label",iserror(vlookup($A619&amp;$B619,'3) Release_Label'!$D:$D&amp;'3) Release_Label'!$E:$E,1,0)),"NO UPC-CATALOG ID pair MATCH in Release_Label" )</f>
        <v/>
      </c>
      <c r="D619" s="121" t="str">
        <f t="array" ref="D619">ifs(and(isblank($A619),isblank($B619)),"", not(iserror(vlookup($A619&amp;$B619,'3) Release_Label'!$D:$D&amp;'3) Release_Label'!$E:$E,1,0))),vlookup($A619&amp;$B619,{'3) Release_Label'!$D:$D&amp;'3) Release_Label'!$E:$E,'3) Release_Label'!$H:$H},2,0), or(and(not(isblank($B619)),$B619=$B618,$A619&lt;&gt;$A618),and(not(isblank($A619)),$A619=$A618,$B619&lt;&gt;$B618)),"ID LISTS UNALIGNED",and($A619&lt;&gt;"",countif('3) Release_Label'!$D:$D,$A619)=0),"NO UPC MATCH in Release_Label",and($B619&lt;&gt;"",countif('3) Release_Label'!$E:$E,$B619)=0),"NO CATALOG ID MATCH in Release_Label",iserror(vlookup($A619&amp;$B619,'3) Release_Label'!$D:$D&amp;'3) Release_Label'!$E:$E,1,0)),"NO UPC-CATALOG ID pair MATCH in Release_Label" )</f>
        <v/>
      </c>
      <c r="E619" s="141" t="str">
        <f t="shared" si="2"/>
        <v/>
      </c>
      <c r="G619" s="103"/>
      <c r="H619" s="152"/>
      <c r="J619" s="99"/>
      <c r="K619" s="104"/>
      <c r="L619" s="99"/>
      <c r="N619" s="99"/>
      <c r="O619" s="99"/>
      <c r="P619" s="34"/>
    </row>
    <row r="620">
      <c r="A620" s="28"/>
      <c r="B620" s="103"/>
      <c r="C620" s="121" t="str">
        <f t="array" ref="C620">ifs(and(isblank($A620),isblank($B620)),"", not(iserror(vlookup($A620&amp;$B620,'3) Release_Label'!$D:$D&amp;'3) Release_Label'!$E:$E,1,0))),vlookup($A620&amp;$B620,{'3) Release_Label'!$D:$D&amp;'3) Release_Label'!$E:$E,'3) Release_Label'!$F:$F},2,0), or(and(not(isblank($B620)),$B620=$B619,$A620&lt;&gt;$A619),and(not(isblank($A620)),$A620=$A619,$B620&lt;&gt;$B619)),"ID LISTS UNALIGNED",and($A620&lt;&gt;"",countif('3) Release_Label'!$D:$D,$A620)=0),"NO UPC MATCH in Release_Label",and($B620&lt;&gt;"",countif('3) Release_Label'!$E:$E,$B620)=0),"NO CATALOG ID MATCH in Release_Label",iserror(vlookup($A620&amp;$B620,'3) Release_Label'!$D:$D&amp;'3) Release_Label'!$E:$E,1,0)),"NO UPC-CATALOG ID pair MATCH in Release_Label" )</f>
        <v/>
      </c>
      <c r="D620" s="121" t="str">
        <f t="array" ref="D620">ifs(and(isblank($A620),isblank($B620)),"", not(iserror(vlookup($A620&amp;$B620,'3) Release_Label'!$D:$D&amp;'3) Release_Label'!$E:$E,1,0))),vlookup($A620&amp;$B620,{'3) Release_Label'!$D:$D&amp;'3) Release_Label'!$E:$E,'3) Release_Label'!$H:$H},2,0), or(and(not(isblank($B620)),$B620=$B619,$A620&lt;&gt;$A619),and(not(isblank($A620)),$A620=$A619,$B620&lt;&gt;$B619)),"ID LISTS UNALIGNED",and($A620&lt;&gt;"",countif('3) Release_Label'!$D:$D,$A620)=0),"NO UPC MATCH in Release_Label",and($B620&lt;&gt;"",countif('3) Release_Label'!$E:$E,$B620)=0),"NO CATALOG ID MATCH in Release_Label",iserror(vlookup($A620&amp;$B620,'3) Release_Label'!$D:$D&amp;'3) Release_Label'!$E:$E,1,0)),"NO UPC-CATALOG ID pair MATCH in Release_Label" )</f>
        <v/>
      </c>
      <c r="E620" s="141" t="str">
        <f t="shared" si="2"/>
        <v/>
      </c>
      <c r="G620" s="103"/>
      <c r="H620" s="152"/>
      <c r="J620" s="99"/>
      <c r="K620" s="104"/>
      <c r="L620" s="99"/>
      <c r="N620" s="99"/>
      <c r="O620" s="99"/>
      <c r="P620" s="34"/>
    </row>
    <row r="621">
      <c r="A621" s="28"/>
      <c r="B621" s="103"/>
      <c r="C621" s="121" t="str">
        <f t="array" ref="C621">ifs(and(isblank($A621),isblank($B621)),"", not(iserror(vlookup($A621&amp;$B621,'3) Release_Label'!$D:$D&amp;'3) Release_Label'!$E:$E,1,0))),vlookup($A621&amp;$B621,{'3) Release_Label'!$D:$D&amp;'3) Release_Label'!$E:$E,'3) Release_Label'!$F:$F},2,0), or(and(not(isblank($B621)),$B621=$B620,$A621&lt;&gt;$A620),and(not(isblank($A621)),$A621=$A620,$B621&lt;&gt;$B620)),"ID LISTS UNALIGNED",and($A621&lt;&gt;"",countif('3) Release_Label'!$D:$D,$A621)=0),"NO UPC MATCH in Release_Label",and($B621&lt;&gt;"",countif('3) Release_Label'!$E:$E,$B621)=0),"NO CATALOG ID MATCH in Release_Label",iserror(vlookup($A621&amp;$B621,'3) Release_Label'!$D:$D&amp;'3) Release_Label'!$E:$E,1,0)),"NO UPC-CATALOG ID pair MATCH in Release_Label" )</f>
        <v/>
      </c>
      <c r="D621" s="121" t="str">
        <f t="array" ref="D621">ifs(and(isblank($A621),isblank($B621)),"", not(iserror(vlookup($A621&amp;$B621,'3) Release_Label'!$D:$D&amp;'3) Release_Label'!$E:$E,1,0))),vlookup($A621&amp;$B621,{'3) Release_Label'!$D:$D&amp;'3) Release_Label'!$E:$E,'3) Release_Label'!$H:$H},2,0), or(and(not(isblank($B621)),$B621=$B620,$A621&lt;&gt;$A620),and(not(isblank($A621)),$A621=$A620,$B621&lt;&gt;$B620)),"ID LISTS UNALIGNED",and($A621&lt;&gt;"",countif('3) Release_Label'!$D:$D,$A621)=0),"NO UPC MATCH in Release_Label",and($B621&lt;&gt;"",countif('3) Release_Label'!$E:$E,$B621)=0),"NO CATALOG ID MATCH in Release_Label",iserror(vlookup($A621&amp;$B621,'3) Release_Label'!$D:$D&amp;'3) Release_Label'!$E:$E,1,0)),"NO UPC-CATALOG ID pair MATCH in Release_Label" )</f>
        <v/>
      </c>
      <c r="E621" s="141" t="str">
        <f t="shared" si="2"/>
        <v/>
      </c>
      <c r="G621" s="103"/>
      <c r="H621" s="152"/>
      <c r="J621" s="99"/>
      <c r="K621" s="104"/>
      <c r="L621" s="99"/>
      <c r="N621" s="99"/>
      <c r="O621" s="99"/>
      <c r="P621" s="34"/>
    </row>
    <row r="622">
      <c r="A622" s="28"/>
      <c r="B622" s="103"/>
      <c r="C622" s="121" t="str">
        <f t="array" ref="C622">ifs(and(isblank($A622),isblank($B622)),"", not(iserror(vlookup($A622&amp;$B622,'3) Release_Label'!$D:$D&amp;'3) Release_Label'!$E:$E,1,0))),vlookup($A622&amp;$B622,{'3) Release_Label'!$D:$D&amp;'3) Release_Label'!$E:$E,'3) Release_Label'!$F:$F},2,0), or(and(not(isblank($B622)),$B622=$B621,$A622&lt;&gt;$A621),and(not(isblank($A622)),$A622=$A621,$B622&lt;&gt;$B621)),"ID LISTS UNALIGNED",and($A622&lt;&gt;"",countif('3) Release_Label'!$D:$D,$A622)=0),"NO UPC MATCH in Release_Label",and($B622&lt;&gt;"",countif('3) Release_Label'!$E:$E,$B622)=0),"NO CATALOG ID MATCH in Release_Label",iserror(vlookup($A622&amp;$B622,'3) Release_Label'!$D:$D&amp;'3) Release_Label'!$E:$E,1,0)),"NO UPC-CATALOG ID pair MATCH in Release_Label" )</f>
        <v/>
      </c>
      <c r="D622" s="121" t="str">
        <f t="array" ref="D622">ifs(and(isblank($A622),isblank($B622)),"", not(iserror(vlookup($A622&amp;$B622,'3) Release_Label'!$D:$D&amp;'3) Release_Label'!$E:$E,1,0))),vlookup($A622&amp;$B622,{'3) Release_Label'!$D:$D&amp;'3) Release_Label'!$E:$E,'3) Release_Label'!$H:$H},2,0), or(and(not(isblank($B622)),$B622=$B621,$A622&lt;&gt;$A621),and(not(isblank($A622)),$A622=$A621,$B622&lt;&gt;$B621)),"ID LISTS UNALIGNED",and($A622&lt;&gt;"",countif('3) Release_Label'!$D:$D,$A622)=0),"NO UPC MATCH in Release_Label",and($B622&lt;&gt;"",countif('3) Release_Label'!$E:$E,$B622)=0),"NO CATALOG ID MATCH in Release_Label",iserror(vlookup($A622&amp;$B622,'3) Release_Label'!$D:$D&amp;'3) Release_Label'!$E:$E,1,0)),"NO UPC-CATALOG ID pair MATCH in Release_Label" )</f>
        <v/>
      </c>
      <c r="E622" s="141" t="str">
        <f t="shared" si="2"/>
        <v/>
      </c>
      <c r="G622" s="103"/>
      <c r="H622" s="152"/>
      <c r="J622" s="99"/>
      <c r="K622" s="104"/>
      <c r="L622" s="99"/>
      <c r="N622" s="99"/>
      <c r="O622" s="99"/>
      <c r="P622" s="34"/>
    </row>
    <row r="623">
      <c r="A623" s="28"/>
      <c r="B623" s="103"/>
      <c r="C623" s="121" t="str">
        <f t="array" ref="C623">ifs(and(isblank($A623),isblank($B623)),"", not(iserror(vlookup($A623&amp;$B623,'3) Release_Label'!$D:$D&amp;'3) Release_Label'!$E:$E,1,0))),vlookup($A623&amp;$B623,{'3) Release_Label'!$D:$D&amp;'3) Release_Label'!$E:$E,'3) Release_Label'!$F:$F},2,0), or(and(not(isblank($B623)),$B623=$B622,$A623&lt;&gt;$A622),and(not(isblank($A623)),$A623=$A622,$B623&lt;&gt;$B622)),"ID LISTS UNALIGNED",and($A623&lt;&gt;"",countif('3) Release_Label'!$D:$D,$A623)=0),"NO UPC MATCH in Release_Label",and($B623&lt;&gt;"",countif('3) Release_Label'!$E:$E,$B623)=0),"NO CATALOG ID MATCH in Release_Label",iserror(vlookup($A623&amp;$B623,'3) Release_Label'!$D:$D&amp;'3) Release_Label'!$E:$E,1,0)),"NO UPC-CATALOG ID pair MATCH in Release_Label" )</f>
        <v/>
      </c>
      <c r="D623" s="121" t="str">
        <f t="array" ref="D623">ifs(and(isblank($A623),isblank($B623)),"", not(iserror(vlookup($A623&amp;$B623,'3) Release_Label'!$D:$D&amp;'3) Release_Label'!$E:$E,1,0))),vlookup($A623&amp;$B623,{'3) Release_Label'!$D:$D&amp;'3) Release_Label'!$E:$E,'3) Release_Label'!$H:$H},2,0), or(and(not(isblank($B623)),$B623=$B622,$A623&lt;&gt;$A622),and(not(isblank($A623)),$A623=$A622,$B623&lt;&gt;$B622)),"ID LISTS UNALIGNED",and($A623&lt;&gt;"",countif('3) Release_Label'!$D:$D,$A623)=0),"NO UPC MATCH in Release_Label",and($B623&lt;&gt;"",countif('3) Release_Label'!$E:$E,$B623)=0),"NO CATALOG ID MATCH in Release_Label",iserror(vlookup($A623&amp;$B623,'3) Release_Label'!$D:$D&amp;'3) Release_Label'!$E:$E,1,0)),"NO UPC-CATALOG ID pair MATCH in Release_Label" )</f>
        <v/>
      </c>
      <c r="E623" s="141" t="str">
        <f t="shared" si="2"/>
        <v/>
      </c>
      <c r="G623" s="103"/>
      <c r="H623" s="152"/>
      <c r="J623" s="99"/>
      <c r="K623" s="104"/>
      <c r="L623" s="99"/>
      <c r="N623" s="99"/>
      <c r="O623" s="99"/>
      <c r="P623" s="34"/>
    </row>
    <row r="624">
      <c r="A624" s="28"/>
      <c r="B624" s="103"/>
      <c r="C624" s="121" t="str">
        <f t="array" ref="C624">ifs(and(isblank($A624),isblank($B624)),"", not(iserror(vlookup($A624&amp;$B624,'3) Release_Label'!$D:$D&amp;'3) Release_Label'!$E:$E,1,0))),vlookup($A624&amp;$B624,{'3) Release_Label'!$D:$D&amp;'3) Release_Label'!$E:$E,'3) Release_Label'!$F:$F},2,0), or(and(not(isblank($B624)),$B624=$B623,$A624&lt;&gt;$A623),and(not(isblank($A624)),$A624=$A623,$B624&lt;&gt;$B623)),"ID LISTS UNALIGNED",and($A624&lt;&gt;"",countif('3) Release_Label'!$D:$D,$A624)=0),"NO UPC MATCH in Release_Label",and($B624&lt;&gt;"",countif('3) Release_Label'!$E:$E,$B624)=0),"NO CATALOG ID MATCH in Release_Label",iserror(vlookup($A624&amp;$B624,'3) Release_Label'!$D:$D&amp;'3) Release_Label'!$E:$E,1,0)),"NO UPC-CATALOG ID pair MATCH in Release_Label" )</f>
        <v/>
      </c>
      <c r="D624" s="121" t="str">
        <f t="array" ref="D624">ifs(and(isblank($A624),isblank($B624)),"", not(iserror(vlookup($A624&amp;$B624,'3) Release_Label'!$D:$D&amp;'3) Release_Label'!$E:$E,1,0))),vlookup($A624&amp;$B624,{'3) Release_Label'!$D:$D&amp;'3) Release_Label'!$E:$E,'3) Release_Label'!$H:$H},2,0), or(and(not(isblank($B624)),$B624=$B623,$A624&lt;&gt;$A623),and(not(isblank($A624)),$A624=$A623,$B624&lt;&gt;$B623)),"ID LISTS UNALIGNED",and($A624&lt;&gt;"",countif('3) Release_Label'!$D:$D,$A624)=0),"NO UPC MATCH in Release_Label",and($B624&lt;&gt;"",countif('3) Release_Label'!$E:$E,$B624)=0),"NO CATALOG ID MATCH in Release_Label",iserror(vlookup($A624&amp;$B624,'3) Release_Label'!$D:$D&amp;'3) Release_Label'!$E:$E,1,0)),"NO UPC-CATALOG ID pair MATCH in Release_Label" )</f>
        <v/>
      </c>
      <c r="E624" s="141" t="str">
        <f t="shared" si="2"/>
        <v/>
      </c>
      <c r="G624" s="103"/>
      <c r="H624" s="152"/>
      <c r="J624" s="99"/>
      <c r="K624" s="104"/>
      <c r="L624" s="99"/>
      <c r="N624" s="99"/>
      <c r="O624" s="99"/>
      <c r="P624" s="34"/>
    </row>
    <row r="625">
      <c r="A625" s="28"/>
      <c r="B625" s="103"/>
      <c r="C625" s="121" t="str">
        <f t="array" ref="C625">ifs(and(isblank($A625),isblank($B625)),"", not(iserror(vlookup($A625&amp;$B625,'3) Release_Label'!$D:$D&amp;'3) Release_Label'!$E:$E,1,0))),vlookup($A625&amp;$B625,{'3) Release_Label'!$D:$D&amp;'3) Release_Label'!$E:$E,'3) Release_Label'!$F:$F},2,0), or(and(not(isblank($B625)),$B625=$B624,$A625&lt;&gt;$A624),and(not(isblank($A625)),$A625=$A624,$B625&lt;&gt;$B624)),"ID LISTS UNALIGNED",and($A625&lt;&gt;"",countif('3) Release_Label'!$D:$D,$A625)=0),"NO UPC MATCH in Release_Label",and($B625&lt;&gt;"",countif('3) Release_Label'!$E:$E,$B625)=0),"NO CATALOG ID MATCH in Release_Label",iserror(vlookup($A625&amp;$B625,'3) Release_Label'!$D:$D&amp;'3) Release_Label'!$E:$E,1,0)),"NO UPC-CATALOG ID pair MATCH in Release_Label" )</f>
        <v/>
      </c>
      <c r="D625" s="121" t="str">
        <f t="array" ref="D625">ifs(and(isblank($A625),isblank($B625)),"", not(iserror(vlookup($A625&amp;$B625,'3) Release_Label'!$D:$D&amp;'3) Release_Label'!$E:$E,1,0))),vlookup($A625&amp;$B625,{'3) Release_Label'!$D:$D&amp;'3) Release_Label'!$E:$E,'3) Release_Label'!$H:$H},2,0), or(and(not(isblank($B625)),$B625=$B624,$A625&lt;&gt;$A624),and(not(isblank($A625)),$A625=$A624,$B625&lt;&gt;$B624)),"ID LISTS UNALIGNED",and($A625&lt;&gt;"",countif('3) Release_Label'!$D:$D,$A625)=0),"NO UPC MATCH in Release_Label",and($B625&lt;&gt;"",countif('3) Release_Label'!$E:$E,$B625)=0),"NO CATALOG ID MATCH in Release_Label",iserror(vlookup($A625&amp;$B625,'3) Release_Label'!$D:$D&amp;'3) Release_Label'!$E:$E,1,0)),"NO UPC-CATALOG ID pair MATCH in Release_Label" )</f>
        <v/>
      </c>
      <c r="E625" s="141" t="str">
        <f t="shared" si="2"/>
        <v/>
      </c>
      <c r="G625" s="103"/>
      <c r="H625" s="152"/>
      <c r="J625" s="99"/>
      <c r="K625" s="104"/>
      <c r="L625" s="99"/>
      <c r="N625" s="99"/>
      <c r="O625" s="99"/>
      <c r="P625" s="34"/>
    </row>
    <row r="626">
      <c r="A626" s="28"/>
      <c r="B626" s="103"/>
      <c r="C626" s="121" t="str">
        <f t="array" ref="C626">ifs(and(isblank($A626),isblank($B626)),"", not(iserror(vlookup($A626&amp;$B626,'3) Release_Label'!$D:$D&amp;'3) Release_Label'!$E:$E,1,0))),vlookup($A626&amp;$B626,{'3) Release_Label'!$D:$D&amp;'3) Release_Label'!$E:$E,'3) Release_Label'!$F:$F},2,0), or(and(not(isblank($B626)),$B626=$B625,$A626&lt;&gt;$A625),and(not(isblank($A626)),$A626=$A625,$B626&lt;&gt;$B625)),"ID LISTS UNALIGNED",and($A626&lt;&gt;"",countif('3) Release_Label'!$D:$D,$A626)=0),"NO UPC MATCH in Release_Label",and($B626&lt;&gt;"",countif('3) Release_Label'!$E:$E,$B626)=0),"NO CATALOG ID MATCH in Release_Label",iserror(vlookup($A626&amp;$B626,'3) Release_Label'!$D:$D&amp;'3) Release_Label'!$E:$E,1,0)),"NO UPC-CATALOG ID pair MATCH in Release_Label" )</f>
        <v/>
      </c>
      <c r="D626" s="121" t="str">
        <f t="array" ref="D626">ifs(and(isblank($A626),isblank($B626)),"", not(iserror(vlookup($A626&amp;$B626,'3) Release_Label'!$D:$D&amp;'3) Release_Label'!$E:$E,1,0))),vlookup($A626&amp;$B626,{'3) Release_Label'!$D:$D&amp;'3) Release_Label'!$E:$E,'3) Release_Label'!$H:$H},2,0), or(and(not(isblank($B626)),$B626=$B625,$A626&lt;&gt;$A625),and(not(isblank($A626)),$A626=$A625,$B626&lt;&gt;$B625)),"ID LISTS UNALIGNED",and($A626&lt;&gt;"",countif('3) Release_Label'!$D:$D,$A626)=0),"NO UPC MATCH in Release_Label",and($B626&lt;&gt;"",countif('3) Release_Label'!$E:$E,$B626)=0),"NO CATALOG ID MATCH in Release_Label",iserror(vlookup($A626&amp;$B626,'3) Release_Label'!$D:$D&amp;'3) Release_Label'!$E:$E,1,0)),"NO UPC-CATALOG ID pair MATCH in Release_Label" )</f>
        <v/>
      </c>
      <c r="E626" s="141" t="str">
        <f t="shared" si="2"/>
        <v/>
      </c>
      <c r="G626" s="103"/>
      <c r="H626" s="152"/>
      <c r="J626" s="99"/>
      <c r="K626" s="104"/>
      <c r="L626" s="99"/>
      <c r="N626" s="99"/>
      <c r="O626" s="99"/>
      <c r="P626" s="34"/>
    </row>
    <row r="627">
      <c r="A627" s="28"/>
      <c r="B627" s="103"/>
      <c r="C627" s="121" t="str">
        <f t="array" ref="C627">ifs(and(isblank($A627),isblank($B627)),"", not(iserror(vlookup($A627&amp;$B627,'3) Release_Label'!$D:$D&amp;'3) Release_Label'!$E:$E,1,0))),vlookup($A627&amp;$B627,{'3) Release_Label'!$D:$D&amp;'3) Release_Label'!$E:$E,'3) Release_Label'!$F:$F},2,0), or(and(not(isblank($B627)),$B627=$B626,$A627&lt;&gt;$A626),and(not(isblank($A627)),$A627=$A626,$B627&lt;&gt;$B626)),"ID LISTS UNALIGNED",and($A627&lt;&gt;"",countif('3) Release_Label'!$D:$D,$A627)=0),"NO UPC MATCH in Release_Label",and($B627&lt;&gt;"",countif('3) Release_Label'!$E:$E,$B627)=0),"NO CATALOG ID MATCH in Release_Label",iserror(vlookup($A627&amp;$B627,'3) Release_Label'!$D:$D&amp;'3) Release_Label'!$E:$E,1,0)),"NO UPC-CATALOG ID pair MATCH in Release_Label" )</f>
        <v/>
      </c>
      <c r="D627" s="121" t="str">
        <f t="array" ref="D627">ifs(and(isblank($A627),isblank($B627)),"", not(iserror(vlookup($A627&amp;$B627,'3) Release_Label'!$D:$D&amp;'3) Release_Label'!$E:$E,1,0))),vlookup($A627&amp;$B627,{'3) Release_Label'!$D:$D&amp;'3) Release_Label'!$E:$E,'3) Release_Label'!$H:$H},2,0), or(and(not(isblank($B627)),$B627=$B626,$A627&lt;&gt;$A626),and(not(isblank($A627)),$A627=$A626,$B627&lt;&gt;$B626)),"ID LISTS UNALIGNED",and($A627&lt;&gt;"",countif('3) Release_Label'!$D:$D,$A627)=0),"NO UPC MATCH in Release_Label",and($B627&lt;&gt;"",countif('3) Release_Label'!$E:$E,$B627)=0),"NO CATALOG ID MATCH in Release_Label",iserror(vlookup($A627&amp;$B627,'3) Release_Label'!$D:$D&amp;'3) Release_Label'!$E:$E,1,0)),"NO UPC-CATALOG ID pair MATCH in Release_Label" )</f>
        <v/>
      </c>
      <c r="E627" s="141" t="str">
        <f t="shared" si="2"/>
        <v/>
      </c>
      <c r="G627" s="103"/>
      <c r="H627" s="152"/>
      <c r="J627" s="99"/>
      <c r="K627" s="104"/>
      <c r="L627" s="99"/>
      <c r="N627" s="99"/>
      <c r="O627" s="99"/>
      <c r="P627" s="34"/>
    </row>
    <row r="628">
      <c r="A628" s="28"/>
      <c r="B628" s="103"/>
      <c r="C628" s="121" t="str">
        <f t="array" ref="C628">ifs(and(isblank($A628),isblank($B628)),"", not(iserror(vlookup($A628&amp;$B628,'3) Release_Label'!$D:$D&amp;'3) Release_Label'!$E:$E,1,0))),vlookup($A628&amp;$B628,{'3) Release_Label'!$D:$D&amp;'3) Release_Label'!$E:$E,'3) Release_Label'!$F:$F},2,0), or(and(not(isblank($B628)),$B628=$B627,$A628&lt;&gt;$A627),and(not(isblank($A628)),$A628=$A627,$B628&lt;&gt;$B627)),"ID LISTS UNALIGNED",and($A628&lt;&gt;"",countif('3) Release_Label'!$D:$D,$A628)=0),"NO UPC MATCH in Release_Label",and($B628&lt;&gt;"",countif('3) Release_Label'!$E:$E,$B628)=0),"NO CATALOG ID MATCH in Release_Label",iserror(vlookup($A628&amp;$B628,'3) Release_Label'!$D:$D&amp;'3) Release_Label'!$E:$E,1,0)),"NO UPC-CATALOG ID pair MATCH in Release_Label" )</f>
        <v/>
      </c>
      <c r="D628" s="121" t="str">
        <f t="array" ref="D628">ifs(and(isblank($A628),isblank($B628)),"", not(iserror(vlookup($A628&amp;$B628,'3) Release_Label'!$D:$D&amp;'3) Release_Label'!$E:$E,1,0))),vlookup($A628&amp;$B628,{'3) Release_Label'!$D:$D&amp;'3) Release_Label'!$E:$E,'3) Release_Label'!$H:$H},2,0), or(and(not(isblank($B628)),$B628=$B627,$A628&lt;&gt;$A627),and(not(isblank($A628)),$A628=$A627,$B628&lt;&gt;$B627)),"ID LISTS UNALIGNED",and($A628&lt;&gt;"",countif('3) Release_Label'!$D:$D,$A628)=0),"NO UPC MATCH in Release_Label",and($B628&lt;&gt;"",countif('3) Release_Label'!$E:$E,$B628)=0),"NO CATALOG ID MATCH in Release_Label",iserror(vlookup($A628&amp;$B628,'3) Release_Label'!$D:$D&amp;'3) Release_Label'!$E:$E,1,0)),"NO UPC-CATALOG ID pair MATCH in Release_Label" )</f>
        <v/>
      </c>
      <c r="E628" s="141" t="str">
        <f t="shared" si="2"/>
        <v/>
      </c>
      <c r="G628" s="103"/>
      <c r="H628" s="152"/>
      <c r="J628" s="99"/>
      <c r="K628" s="104"/>
      <c r="L628" s="99"/>
      <c r="N628" s="99"/>
      <c r="O628" s="99"/>
      <c r="P628" s="34"/>
    </row>
    <row r="629">
      <c r="A629" s="28"/>
      <c r="B629" s="103"/>
      <c r="C629" s="121" t="str">
        <f t="array" ref="C629">ifs(and(isblank($A629),isblank($B629)),"", not(iserror(vlookup($A629&amp;$B629,'3) Release_Label'!$D:$D&amp;'3) Release_Label'!$E:$E,1,0))),vlookup($A629&amp;$B629,{'3) Release_Label'!$D:$D&amp;'3) Release_Label'!$E:$E,'3) Release_Label'!$F:$F},2,0), or(and(not(isblank($B629)),$B629=$B628,$A629&lt;&gt;$A628),and(not(isblank($A629)),$A629=$A628,$B629&lt;&gt;$B628)),"ID LISTS UNALIGNED",and($A629&lt;&gt;"",countif('3) Release_Label'!$D:$D,$A629)=0),"NO UPC MATCH in Release_Label",and($B629&lt;&gt;"",countif('3) Release_Label'!$E:$E,$B629)=0),"NO CATALOG ID MATCH in Release_Label",iserror(vlookup($A629&amp;$B629,'3) Release_Label'!$D:$D&amp;'3) Release_Label'!$E:$E,1,0)),"NO UPC-CATALOG ID pair MATCH in Release_Label" )</f>
        <v/>
      </c>
      <c r="D629" s="121" t="str">
        <f t="array" ref="D629">ifs(and(isblank($A629),isblank($B629)),"", not(iserror(vlookup($A629&amp;$B629,'3) Release_Label'!$D:$D&amp;'3) Release_Label'!$E:$E,1,0))),vlookup($A629&amp;$B629,{'3) Release_Label'!$D:$D&amp;'3) Release_Label'!$E:$E,'3) Release_Label'!$H:$H},2,0), or(and(not(isblank($B629)),$B629=$B628,$A629&lt;&gt;$A628),and(not(isblank($A629)),$A629=$A628,$B629&lt;&gt;$B628)),"ID LISTS UNALIGNED",and($A629&lt;&gt;"",countif('3) Release_Label'!$D:$D,$A629)=0),"NO UPC MATCH in Release_Label",and($B629&lt;&gt;"",countif('3) Release_Label'!$E:$E,$B629)=0),"NO CATALOG ID MATCH in Release_Label",iserror(vlookup($A629&amp;$B629,'3) Release_Label'!$D:$D&amp;'3) Release_Label'!$E:$E,1,0)),"NO UPC-CATALOG ID pair MATCH in Release_Label" )</f>
        <v/>
      </c>
      <c r="E629" s="141" t="str">
        <f t="shared" si="2"/>
        <v/>
      </c>
      <c r="G629" s="103"/>
      <c r="H629" s="152"/>
      <c r="J629" s="99"/>
      <c r="K629" s="104"/>
      <c r="L629" s="99"/>
      <c r="N629" s="99"/>
      <c r="O629" s="99"/>
      <c r="P629" s="34"/>
    </row>
    <row r="630">
      <c r="A630" s="28"/>
      <c r="B630" s="103"/>
      <c r="C630" s="121" t="str">
        <f t="array" ref="C630">ifs(and(isblank($A630),isblank($B630)),"", not(iserror(vlookup($A630&amp;$B630,'3) Release_Label'!$D:$D&amp;'3) Release_Label'!$E:$E,1,0))),vlookup($A630&amp;$B630,{'3) Release_Label'!$D:$D&amp;'3) Release_Label'!$E:$E,'3) Release_Label'!$F:$F},2,0), or(and(not(isblank($B630)),$B630=$B629,$A630&lt;&gt;$A629),and(not(isblank($A630)),$A630=$A629,$B630&lt;&gt;$B629)),"ID LISTS UNALIGNED",and($A630&lt;&gt;"",countif('3) Release_Label'!$D:$D,$A630)=0),"NO UPC MATCH in Release_Label",and($B630&lt;&gt;"",countif('3) Release_Label'!$E:$E,$B630)=0),"NO CATALOG ID MATCH in Release_Label",iserror(vlookup($A630&amp;$B630,'3) Release_Label'!$D:$D&amp;'3) Release_Label'!$E:$E,1,0)),"NO UPC-CATALOG ID pair MATCH in Release_Label" )</f>
        <v/>
      </c>
      <c r="D630" s="121" t="str">
        <f t="array" ref="D630">ifs(and(isblank($A630),isblank($B630)),"", not(iserror(vlookup($A630&amp;$B630,'3) Release_Label'!$D:$D&amp;'3) Release_Label'!$E:$E,1,0))),vlookup($A630&amp;$B630,{'3) Release_Label'!$D:$D&amp;'3) Release_Label'!$E:$E,'3) Release_Label'!$H:$H},2,0), or(and(not(isblank($B630)),$B630=$B629,$A630&lt;&gt;$A629),and(not(isblank($A630)),$A630=$A629,$B630&lt;&gt;$B629)),"ID LISTS UNALIGNED",and($A630&lt;&gt;"",countif('3) Release_Label'!$D:$D,$A630)=0),"NO UPC MATCH in Release_Label",and($B630&lt;&gt;"",countif('3) Release_Label'!$E:$E,$B630)=0),"NO CATALOG ID MATCH in Release_Label",iserror(vlookup($A630&amp;$B630,'3) Release_Label'!$D:$D&amp;'3) Release_Label'!$E:$E,1,0)),"NO UPC-CATALOG ID pair MATCH in Release_Label" )</f>
        <v/>
      </c>
      <c r="E630" s="141" t="str">
        <f t="shared" si="2"/>
        <v/>
      </c>
      <c r="G630" s="103"/>
      <c r="H630" s="152"/>
      <c r="J630" s="99"/>
      <c r="K630" s="104"/>
      <c r="L630" s="99"/>
      <c r="N630" s="99"/>
      <c r="O630" s="99"/>
      <c r="P630" s="34"/>
    </row>
    <row r="631">
      <c r="A631" s="28"/>
      <c r="B631" s="103"/>
      <c r="C631" s="121" t="str">
        <f t="array" ref="C631">ifs(and(isblank($A631),isblank($B631)),"", not(iserror(vlookup($A631&amp;$B631,'3) Release_Label'!$D:$D&amp;'3) Release_Label'!$E:$E,1,0))),vlookup($A631&amp;$B631,{'3) Release_Label'!$D:$D&amp;'3) Release_Label'!$E:$E,'3) Release_Label'!$F:$F},2,0), or(and(not(isblank($B631)),$B631=$B630,$A631&lt;&gt;$A630),and(not(isblank($A631)),$A631=$A630,$B631&lt;&gt;$B630)),"ID LISTS UNALIGNED",and($A631&lt;&gt;"",countif('3) Release_Label'!$D:$D,$A631)=0),"NO UPC MATCH in Release_Label",and($B631&lt;&gt;"",countif('3) Release_Label'!$E:$E,$B631)=0),"NO CATALOG ID MATCH in Release_Label",iserror(vlookup($A631&amp;$B631,'3) Release_Label'!$D:$D&amp;'3) Release_Label'!$E:$E,1,0)),"NO UPC-CATALOG ID pair MATCH in Release_Label" )</f>
        <v/>
      </c>
      <c r="D631" s="121" t="str">
        <f t="array" ref="D631">ifs(and(isblank($A631),isblank($B631)),"", not(iserror(vlookup($A631&amp;$B631,'3) Release_Label'!$D:$D&amp;'3) Release_Label'!$E:$E,1,0))),vlookup($A631&amp;$B631,{'3) Release_Label'!$D:$D&amp;'3) Release_Label'!$E:$E,'3) Release_Label'!$H:$H},2,0), or(and(not(isblank($B631)),$B631=$B630,$A631&lt;&gt;$A630),and(not(isblank($A631)),$A631=$A630,$B631&lt;&gt;$B630)),"ID LISTS UNALIGNED",and($A631&lt;&gt;"",countif('3) Release_Label'!$D:$D,$A631)=0),"NO UPC MATCH in Release_Label",and($B631&lt;&gt;"",countif('3) Release_Label'!$E:$E,$B631)=0),"NO CATALOG ID MATCH in Release_Label",iserror(vlookup($A631&amp;$B631,'3) Release_Label'!$D:$D&amp;'3) Release_Label'!$E:$E,1,0)),"NO UPC-CATALOG ID pair MATCH in Release_Label" )</f>
        <v/>
      </c>
      <c r="E631" s="141" t="str">
        <f t="shared" si="2"/>
        <v/>
      </c>
      <c r="G631" s="103"/>
      <c r="H631" s="152"/>
      <c r="J631" s="99"/>
      <c r="K631" s="104"/>
      <c r="L631" s="99"/>
      <c r="N631" s="99"/>
      <c r="O631" s="99"/>
      <c r="P631" s="34"/>
    </row>
    <row r="632">
      <c r="A632" s="28"/>
      <c r="B632" s="103"/>
      <c r="C632" s="121" t="str">
        <f t="array" ref="C632">ifs(and(isblank($A632),isblank($B632)),"", not(iserror(vlookup($A632&amp;$B632,'3) Release_Label'!$D:$D&amp;'3) Release_Label'!$E:$E,1,0))),vlookup($A632&amp;$B632,{'3) Release_Label'!$D:$D&amp;'3) Release_Label'!$E:$E,'3) Release_Label'!$F:$F},2,0), or(and(not(isblank($B632)),$B632=$B631,$A632&lt;&gt;$A631),and(not(isblank($A632)),$A632=$A631,$B632&lt;&gt;$B631)),"ID LISTS UNALIGNED",and($A632&lt;&gt;"",countif('3) Release_Label'!$D:$D,$A632)=0),"NO UPC MATCH in Release_Label",and($B632&lt;&gt;"",countif('3) Release_Label'!$E:$E,$B632)=0),"NO CATALOG ID MATCH in Release_Label",iserror(vlookup($A632&amp;$B632,'3) Release_Label'!$D:$D&amp;'3) Release_Label'!$E:$E,1,0)),"NO UPC-CATALOG ID pair MATCH in Release_Label" )</f>
        <v/>
      </c>
      <c r="D632" s="121" t="str">
        <f t="array" ref="D632">ifs(and(isblank($A632),isblank($B632)),"", not(iserror(vlookup($A632&amp;$B632,'3) Release_Label'!$D:$D&amp;'3) Release_Label'!$E:$E,1,0))),vlookup($A632&amp;$B632,{'3) Release_Label'!$D:$D&amp;'3) Release_Label'!$E:$E,'3) Release_Label'!$H:$H},2,0), or(and(not(isblank($B632)),$B632=$B631,$A632&lt;&gt;$A631),and(not(isblank($A632)),$A632=$A631,$B632&lt;&gt;$B631)),"ID LISTS UNALIGNED",and($A632&lt;&gt;"",countif('3) Release_Label'!$D:$D,$A632)=0),"NO UPC MATCH in Release_Label",and($B632&lt;&gt;"",countif('3) Release_Label'!$E:$E,$B632)=0),"NO CATALOG ID MATCH in Release_Label",iserror(vlookup($A632&amp;$B632,'3) Release_Label'!$D:$D&amp;'3) Release_Label'!$E:$E,1,0)),"NO UPC-CATALOG ID pair MATCH in Release_Label" )</f>
        <v/>
      </c>
      <c r="E632" s="141" t="str">
        <f t="shared" si="2"/>
        <v/>
      </c>
      <c r="G632" s="103"/>
      <c r="H632" s="152"/>
      <c r="J632" s="99"/>
      <c r="K632" s="104"/>
      <c r="L632" s="99"/>
      <c r="N632" s="99"/>
      <c r="O632" s="99"/>
      <c r="P632" s="34"/>
    </row>
    <row r="633">
      <c r="A633" s="28"/>
      <c r="B633" s="103"/>
      <c r="C633" s="121" t="str">
        <f t="array" ref="C633">ifs(and(isblank($A633),isblank($B633)),"", not(iserror(vlookup($A633&amp;$B633,'3) Release_Label'!$D:$D&amp;'3) Release_Label'!$E:$E,1,0))),vlookup($A633&amp;$B633,{'3) Release_Label'!$D:$D&amp;'3) Release_Label'!$E:$E,'3) Release_Label'!$F:$F},2,0), or(and(not(isblank($B633)),$B633=$B632,$A633&lt;&gt;$A632),and(not(isblank($A633)),$A633=$A632,$B633&lt;&gt;$B632)),"ID LISTS UNALIGNED",and($A633&lt;&gt;"",countif('3) Release_Label'!$D:$D,$A633)=0),"NO UPC MATCH in Release_Label",and($B633&lt;&gt;"",countif('3) Release_Label'!$E:$E,$B633)=0),"NO CATALOG ID MATCH in Release_Label",iserror(vlookup($A633&amp;$B633,'3) Release_Label'!$D:$D&amp;'3) Release_Label'!$E:$E,1,0)),"NO UPC-CATALOG ID pair MATCH in Release_Label" )</f>
        <v/>
      </c>
      <c r="D633" s="121" t="str">
        <f t="array" ref="D633">ifs(and(isblank($A633),isblank($B633)),"", not(iserror(vlookup($A633&amp;$B633,'3) Release_Label'!$D:$D&amp;'3) Release_Label'!$E:$E,1,0))),vlookup($A633&amp;$B633,{'3) Release_Label'!$D:$D&amp;'3) Release_Label'!$E:$E,'3) Release_Label'!$H:$H},2,0), or(and(not(isblank($B633)),$B633=$B632,$A633&lt;&gt;$A632),and(not(isblank($A633)),$A633=$A632,$B633&lt;&gt;$B632)),"ID LISTS UNALIGNED",and($A633&lt;&gt;"",countif('3) Release_Label'!$D:$D,$A633)=0),"NO UPC MATCH in Release_Label",and($B633&lt;&gt;"",countif('3) Release_Label'!$E:$E,$B633)=0),"NO CATALOG ID MATCH in Release_Label",iserror(vlookup($A633&amp;$B633,'3) Release_Label'!$D:$D&amp;'3) Release_Label'!$E:$E,1,0)),"NO UPC-CATALOG ID pair MATCH in Release_Label" )</f>
        <v/>
      </c>
      <c r="E633" s="141" t="str">
        <f t="shared" si="2"/>
        <v/>
      </c>
      <c r="G633" s="103"/>
      <c r="H633" s="152"/>
      <c r="J633" s="99"/>
      <c r="K633" s="104"/>
      <c r="L633" s="99"/>
      <c r="N633" s="99"/>
      <c r="O633" s="99"/>
      <c r="P633" s="34"/>
    </row>
    <row r="634">
      <c r="A634" s="28"/>
      <c r="B634" s="103"/>
      <c r="C634" s="121" t="str">
        <f t="array" ref="C634">ifs(and(isblank($A634),isblank($B634)),"", not(iserror(vlookup($A634&amp;$B634,'3) Release_Label'!$D:$D&amp;'3) Release_Label'!$E:$E,1,0))),vlookup($A634&amp;$B634,{'3) Release_Label'!$D:$D&amp;'3) Release_Label'!$E:$E,'3) Release_Label'!$F:$F},2,0), or(and(not(isblank($B634)),$B634=$B633,$A634&lt;&gt;$A633),and(not(isblank($A634)),$A634=$A633,$B634&lt;&gt;$B633)),"ID LISTS UNALIGNED",and($A634&lt;&gt;"",countif('3) Release_Label'!$D:$D,$A634)=0),"NO UPC MATCH in Release_Label",and($B634&lt;&gt;"",countif('3) Release_Label'!$E:$E,$B634)=0),"NO CATALOG ID MATCH in Release_Label",iserror(vlookup($A634&amp;$B634,'3) Release_Label'!$D:$D&amp;'3) Release_Label'!$E:$E,1,0)),"NO UPC-CATALOG ID pair MATCH in Release_Label" )</f>
        <v/>
      </c>
      <c r="D634" s="121" t="str">
        <f t="array" ref="D634">ifs(and(isblank($A634),isblank($B634)),"", not(iserror(vlookup($A634&amp;$B634,'3) Release_Label'!$D:$D&amp;'3) Release_Label'!$E:$E,1,0))),vlookup($A634&amp;$B634,{'3) Release_Label'!$D:$D&amp;'3) Release_Label'!$E:$E,'3) Release_Label'!$H:$H},2,0), or(and(not(isblank($B634)),$B634=$B633,$A634&lt;&gt;$A633),and(not(isblank($A634)),$A634=$A633,$B634&lt;&gt;$B633)),"ID LISTS UNALIGNED",and($A634&lt;&gt;"",countif('3) Release_Label'!$D:$D,$A634)=0),"NO UPC MATCH in Release_Label",and($B634&lt;&gt;"",countif('3) Release_Label'!$E:$E,$B634)=0),"NO CATALOG ID MATCH in Release_Label",iserror(vlookup($A634&amp;$B634,'3) Release_Label'!$D:$D&amp;'3) Release_Label'!$E:$E,1,0)),"NO UPC-CATALOG ID pair MATCH in Release_Label" )</f>
        <v/>
      </c>
      <c r="E634" s="141" t="str">
        <f t="shared" si="2"/>
        <v/>
      </c>
      <c r="G634" s="103"/>
      <c r="H634" s="152"/>
      <c r="J634" s="99"/>
      <c r="K634" s="104"/>
      <c r="L634" s="99"/>
      <c r="N634" s="99"/>
      <c r="O634" s="99"/>
      <c r="P634" s="34"/>
    </row>
    <row r="635">
      <c r="A635" s="28"/>
      <c r="B635" s="103"/>
      <c r="C635" s="121" t="str">
        <f t="array" ref="C635">ifs(and(isblank($A635),isblank($B635)),"", not(iserror(vlookup($A635&amp;$B635,'3) Release_Label'!$D:$D&amp;'3) Release_Label'!$E:$E,1,0))),vlookup($A635&amp;$B635,{'3) Release_Label'!$D:$D&amp;'3) Release_Label'!$E:$E,'3) Release_Label'!$F:$F},2,0), or(and(not(isblank($B635)),$B635=$B634,$A635&lt;&gt;$A634),and(not(isblank($A635)),$A635=$A634,$B635&lt;&gt;$B634)),"ID LISTS UNALIGNED",and($A635&lt;&gt;"",countif('3) Release_Label'!$D:$D,$A635)=0),"NO UPC MATCH in Release_Label",and($B635&lt;&gt;"",countif('3) Release_Label'!$E:$E,$B635)=0),"NO CATALOG ID MATCH in Release_Label",iserror(vlookup($A635&amp;$B635,'3) Release_Label'!$D:$D&amp;'3) Release_Label'!$E:$E,1,0)),"NO UPC-CATALOG ID pair MATCH in Release_Label" )</f>
        <v/>
      </c>
      <c r="D635" s="121" t="str">
        <f t="array" ref="D635">ifs(and(isblank($A635),isblank($B635)),"", not(iserror(vlookup($A635&amp;$B635,'3) Release_Label'!$D:$D&amp;'3) Release_Label'!$E:$E,1,0))),vlookup($A635&amp;$B635,{'3) Release_Label'!$D:$D&amp;'3) Release_Label'!$E:$E,'3) Release_Label'!$H:$H},2,0), or(and(not(isblank($B635)),$B635=$B634,$A635&lt;&gt;$A634),and(not(isblank($A635)),$A635=$A634,$B635&lt;&gt;$B634)),"ID LISTS UNALIGNED",and($A635&lt;&gt;"",countif('3) Release_Label'!$D:$D,$A635)=0),"NO UPC MATCH in Release_Label",and($B635&lt;&gt;"",countif('3) Release_Label'!$E:$E,$B635)=0),"NO CATALOG ID MATCH in Release_Label",iserror(vlookup($A635&amp;$B635,'3) Release_Label'!$D:$D&amp;'3) Release_Label'!$E:$E,1,0)),"NO UPC-CATALOG ID pair MATCH in Release_Label" )</f>
        <v/>
      </c>
      <c r="E635" s="141" t="str">
        <f t="shared" si="2"/>
        <v/>
      </c>
      <c r="G635" s="103"/>
      <c r="H635" s="152"/>
      <c r="J635" s="99"/>
      <c r="K635" s="104"/>
      <c r="L635" s="99"/>
      <c r="N635" s="99"/>
      <c r="O635" s="99"/>
      <c r="P635" s="34"/>
    </row>
    <row r="636">
      <c r="A636" s="28"/>
      <c r="B636" s="103"/>
      <c r="C636" s="121" t="str">
        <f t="array" ref="C636">ifs(and(isblank($A636),isblank($B636)),"", not(iserror(vlookup($A636&amp;$B636,'3) Release_Label'!$D:$D&amp;'3) Release_Label'!$E:$E,1,0))),vlookup($A636&amp;$B636,{'3) Release_Label'!$D:$D&amp;'3) Release_Label'!$E:$E,'3) Release_Label'!$F:$F},2,0), or(and(not(isblank($B636)),$B636=$B635,$A636&lt;&gt;$A635),and(not(isblank($A636)),$A636=$A635,$B636&lt;&gt;$B635)),"ID LISTS UNALIGNED",and($A636&lt;&gt;"",countif('3) Release_Label'!$D:$D,$A636)=0),"NO UPC MATCH in Release_Label",and($B636&lt;&gt;"",countif('3) Release_Label'!$E:$E,$B636)=0),"NO CATALOG ID MATCH in Release_Label",iserror(vlookup($A636&amp;$B636,'3) Release_Label'!$D:$D&amp;'3) Release_Label'!$E:$E,1,0)),"NO UPC-CATALOG ID pair MATCH in Release_Label" )</f>
        <v/>
      </c>
      <c r="D636" s="121" t="str">
        <f t="array" ref="D636">ifs(and(isblank($A636),isblank($B636)),"", not(iserror(vlookup($A636&amp;$B636,'3) Release_Label'!$D:$D&amp;'3) Release_Label'!$E:$E,1,0))),vlookup($A636&amp;$B636,{'3) Release_Label'!$D:$D&amp;'3) Release_Label'!$E:$E,'3) Release_Label'!$H:$H},2,0), or(and(not(isblank($B636)),$B636=$B635,$A636&lt;&gt;$A635),and(not(isblank($A636)),$A636=$A635,$B636&lt;&gt;$B635)),"ID LISTS UNALIGNED",and($A636&lt;&gt;"",countif('3) Release_Label'!$D:$D,$A636)=0),"NO UPC MATCH in Release_Label",and($B636&lt;&gt;"",countif('3) Release_Label'!$E:$E,$B636)=0),"NO CATALOG ID MATCH in Release_Label",iserror(vlookup($A636&amp;$B636,'3) Release_Label'!$D:$D&amp;'3) Release_Label'!$E:$E,1,0)),"NO UPC-CATALOG ID pair MATCH in Release_Label" )</f>
        <v/>
      </c>
      <c r="E636" s="141" t="str">
        <f t="shared" si="2"/>
        <v/>
      </c>
      <c r="G636" s="103"/>
      <c r="H636" s="152"/>
      <c r="J636" s="99"/>
      <c r="K636" s="104"/>
      <c r="L636" s="99"/>
      <c r="N636" s="99"/>
      <c r="O636" s="99"/>
      <c r="P636" s="34"/>
    </row>
    <row r="637">
      <c r="A637" s="28"/>
      <c r="B637" s="103"/>
      <c r="C637" s="121" t="str">
        <f t="array" ref="C637">ifs(and(isblank($A637),isblank($B637)),"", not(iserror(vlookup($A637&amp;$B637,'3) Release_Label'!$D:$D&amp;'3) Release_Label'!$E:$E,1,0))),vlookup($A637&amp;$B637,{'3) Release_Label'!$D:$D&amp;'3) Release_Label'!$E:$E,'3) Release_Label'!$F:$F},2,0), or(and(not(isblank($B637)),$B637=$B636,$A637&lt;&gt;$A636),and(not(isblank($A637)),$A637=$A636,$B637&lt;&gt;$B636)),"ID LISTS UNALIGNED",and($A637&lt;&gt;"",countif('3) Release_Label'!$D:$D,$A637)=0),"NO UPC MATCH in Release_Label",and($B637&lt;&gt;"",countif('3) Release_Label'!$E:$E,$B637)=0),"NO CATALOG ID MATCH in Release_Label",iserror(vlookup($A637&amp;$B637,'3) Release_Label'!$D:$D&amp;'3) Release_Label'!$E:$E,1,0)),"NO UPC-CATALOG ID pair MATCH in Release_Label" )</f>
        <v/>
      </c>
      <c r="D637" s="121" t="str">
        <f t="array" ref="D637">ifs(and(isblank($A637),isblank($B637)),"", not(iserror(vlookup($A637&amp;$B637,'3) Release_Label'!$D:$D&amp;'3) Release_Label'!$E:$E,1,0))),vlookup($A637&amp;$B637,{'3) Release_Label'!$D:$D&amp;'3) Release_Label'!$E:$E,'3) Release_Label'!$H:$H},2,0), or(and(not(isblank($B637)),$B637=$B636,$A637&lt;&gt;$A636),and(not(isblank($A637)),$A637=$A636,$B637&lt;&gt;$B636)),"ID LISTS UNALIGNED",and($A637&lt;&gt;"",countif('3) Release_Label'!$D:$D,$A637)=0),"NO UPC MATCH in Release_Label",and($B637&lt;&gt;"",countif('3) Release_Label'!$E:$E,$B637)=0),"NO CATALOG ID MATCH in Release_Label",iserror(vlookup($A637&amp;$B637,'3) Release_Label'!$D:$D&amp;'3) Release_Label'!$E:$E,1,0)),"NO UPC-CATALOG ID pair MATCH in Release_Label" )</f>
        <v/>
      </c>
      <c r="E637" s="141" t="str">
        <f t="shared" si="2"/>
        <v/>
      </c>
      <c r="G637" s="103"/>
      <c r="H637" s="152"/>
      <c r="J637" s="99"/>
      <c r="K637" s="104"/>
      <c r="L637" s="99"/>
      <c r="N637" s="99"/>
      <c r="O637" s="99"/>
      <c r="P637" s="34"/>
    </row>
    <row r="638">
      <c r="A638" s="28"/>
      <c r="B638" s="103"/>
      <c r="C638" s="121" t="str">
        <f t="array" ref="C638">ifs(and(isblank($A638),isblank($B638)),"", not(iserror(vlookup($A638&amp;$B638,'3) Release_Label'!$D:$D&amp;'3) Release_Label'!$E:$E,1,0))),vlookup($A638&amp;$B638,{'3) Release_Label'!$D:$D&amp;'3) Release_Label'!$E:$E,'3) Release_Label'!$F:$F},2,0), or(and(not(isblank($B638)),$B638=$B637,$A638&lt;&gt;$A637),and(not(isblank($A638)),$A638=$A637,$B638&lt;&gt;$B637)),"ID LISTS UNALIGNED",and($A638&lt;&gt;"",countif('3) Release_Label'!$D:$D,$A638)=0),"NO UPC MATCH in Release_Label",and($B638&lt;&gt;"",countif('3) Release_Label'!$E:$E,$B638)=0),"NO CATALOG ID MATCH in Release_Label",iserror(vlookup($A638&amp;$B638,'3) Release_Label'!$D:$D&amp;'3) Release_Label'!$E:$E,1,0)),"NO UPC-CATALOG ID pair MATCH in Release_Label" )</f>
        <v/>
      </c>
      <c r="D638" s="121" t="str">
        <f t="array" ref="D638">ifs(and(isblank($A638),isblank($B638)),"", not(iserror(vlookup($A638&amp;$B638,'3) Release_Label'!$D:$D&amp;'3) Release_Label'!$E:$E,1,0))),vlookup($A638&amp;$B638,{'3) Release_Label'!$D:$D&amp;'3) Release_Label'!$E:$E,'3) Release_Label'!$H:$H},2,0), or(and(not(isblank($B638)),$B638=$B637,$A638&lt;&gt;$A637),and(not(isblank($A638)),$A638=$A637,$B638&lt;&gt;$B637)),"ID LISTS UNALIGNED",and($A638&lt;&gt;"",countif('3) Release_Label'!$D:$D,$A638)=0),"NO UPC MATCH in Release_Label",and($B638&lt;&gt;"",countif('3) Release_Label'!$E:$E,$B638)=0),"NO CATALOG ID MATCH in Release_Label",iserror(vlookup($A638&amp;$B638,'3) Release_Label'!$D:$D&amp;'3) Release_Label'!$E:$E,1,0)),"NO UPC-CATALOG ID pair MATCH in Release_Label" )</f>
        <v/>
      </c>
      <c r="E638" s="141" t="str">
        <f t="shared" si="2"/>
        <v/>
      </c>
      <c r="G638" s="103"/>
      <c r="H638" s="152"/>
      <c r="J638" s="99"/>
      <c r="K638" s="104"/>
      <c r="L638" s="99"/>
      <c r="N638" s="99"/>
      <c r="O638" s="99"/>
      <c r="P638" s="34"/>
    </row>
    <row r="639">
      <c r="A639" s="28"/>
      <c r="B639" s="103"/>
      <c r="C639" s="121" t="str">
        <f t="array" ref="C639">ifs(and(isblank($A639),isblank($B639)),"", not(iserror(vlookup($A639&amp;$B639,'3) Release_Label'!$D:$D&amp;'3) Release_Label'!$E:$E,1,0))),vlookup($A639&amp;$B639,{'3) Release_Label'!$D:$D&amp;'3) Release_Label'!$E:$E,'3) Release_Label'!$F:$F},2,0), or(and(not(isblank($B639)),$B639=$B638,$A639&lt;&gt;$A638),and(not(isblank($A639)),$A639=$A638,$B639&lt;&gt;$B638)),"ID LISTS UNALIGNED",and($A639&lt;&gt;"",countif('3) Release_Label'!$D:$D,$A639)=0),"NO UPC MATCH in Release_Label",and($B639&lt;&gt;"",countif('3) Release_Label'!$E:$E,$B639)=0),"NO CATALOG ID MATCH in Release_Label",iserror(vlookup($A639&amp;$B639,'3) Release_Label'!$D:$D&amp;'3) Release_Label'!$E:$E,1,0)),"NO UPC-CATALOG ID pair MATCH in Release_Label" )</f>
        <v/>
      </c>
      <c r="D639" s="121" t="str">
        <f t="array" ref="D639">ifs(and(isblank($A639),isblank($B639)),"", not(iserror(vlookup($A639&amp;$B639,'3) Release_Label'!$D:$D&amp;'3) Release_Label'!$E:$E,1,0))),vlookup($A639&amp;$B639,{'3) Release_Label'!$D:$D&amp;'3) Release_Label'!$E:$E,'3) Release_Label'!$H:$H},2,0), or(and(not(isblank($B639)),$B639=$B638,$A639&lt;&gt;$A638),and(not(isblank($A639)),$A639=$A638,$B639&lt;&gt;$B638)),"ID LISTS UNALIGNED",and($A639&lt;&gt;"",countif('3) Release_Label'!$D:$D,$A639)=0),"NO UPC MATCH in Release_Label",and($B639&lt;&gt;"",countif('3) Release_Label'!$E:$E,$B639)=0),"NO CATALOG ID MATCH in Release_Label",iserror(vlookup($A639&amp;$B639,'3) Release_Label'!$D:$D&amp;'3) Release_Label'!$E:$E,1,0)),"NO UPC-CATALOG ID pair MATCH in Release_Label" )</f>
        <v/>
      </c>
      <c r="E639" s="141" t="str">
        <f t="shared" si="2"/>
        <v/>
      </c>
      <c r="G639" s="103"/>
      <c r="H639" s="152"/>
      <c r="J639" s="99"/>
      <c r="K639" s="104"/>
      <c r="L639" s="99"/>
      <c r="N639" s="99"/>
      <c r="O639" s="99"/>
      <c r="P639" s="34"/>
    </row>
    <row r="640">
      <c r="A640" s="28"/>
      <c r="B640" s="103"/>
      <c r="C640" s="121" t="str">
        <f t="array" ref="C640">ifs(and(isblank($A640),isblank($B640)),"", not(iserror(vlookup($A640&amp;$B640,'3) Release_Label'!$D:$D&amp;'3) Release_Label'!$E:$E,1,0))),vlookup($A640&amp;$B640,{'3) Release_Label'!$D:$D&amp;'3) Release_Label'!$E:$E,'3) Release_Label'!$F:$F},2,0), or(and(not(isblank($B640)),$B640=$B639,$A640&lt;&gt;$A639),and(not(isblank($A640)),$A640=$A639,$B640&lt;&gt;$B639)),"ID LISTS UNALIGNED",and($A640&lt;&gt;"",countif('3) Release_Label'!$D:$D,$A640)=0),"NO UPC MATCH in Release_Label",and($B640&lt;&gt;"",countif('3) Release_Label'!$E:$E,$B640)=0),"NO CATALOG ID MATCH in Release_Label",iserror(vlookup($A640&amp;$B640,'3) Release_Label'!$D:$D&amp;'3) Release_Label'!$E:$E,1,0)),"NO UPC-CATALOG ID pair MATCH in Release_Label" )</f>
        <v/>
      </c>
      <c r="D640" s="121" t="str">
        <f t="array" ref="D640">ifs(and(isblank($A640),isblank($B640)),"", not(iserror(vlookup($A640&amp;$B640,'3) Release_Label'!$D:$D&amp;'3) Release_Label'!$E:$E,1,0))),vlookup($A640&amp;$B640,{'3) Release_Label'!$D:$D&amp;'3) Release_Label'!$E:$E,'3) Release_Label'!$H:$H},2,0), or(and(not(isblank($B640)),$B640=$B639,$A640&lt;&gt;$A639),and(not(isblank($A640)),$A640=$A639,$B640&lt;&gt;$B639)),"ID LISTS UNALIGNED",and($A640&lt;&gt;"",countif('3) Release_Label'!$D:$D,$A640)=0),"NO UPC MATCH in Release_Label",and($B640&lt;&gt;"",countif('3) Release_Label'!$E:$E,$B640)=0),"NO CATALOG ID MATCH in Release_Label",iserror(vlookup($A640&amp;$B640,'3) Release_Label'!$D:$D&amp;'3) Release_Label'!$E:$E,1,0)),"NO UPC-CATALOG ID pair MATCH in Release_Label" )</f>
        <v/>
      </c>
      <c r="E640" s="141" t="str">
        <f t="shared" si="2"/>
        <v/>
      </c>
      <c r="G640" s="103"/>
      <c r="H640" s="152"/>
      <c r="J640" s="99"/>
      <c r="K640" s="104"/>
      <c r="L640" s="99"/>
      <c r="N640" s="99"/>
      <c r="O640" s="99"/>
      <c r="P640" s="34"/>
    </row>
    <row r="641">
      <c r="A641" s="28"/>
      <c r="B641" s="103"/>
      <c r="C641" s="121" t="str">
        <f t="array" ref="C641">ifs(and(isblank($A641),isblank($B641)),"", not(iserror(vlookup($A641&amp;$B641,'3) Release_Label'!$D:$D&amp;'3) Release_Label'!$E:$E,1,0))),vlookup($A641&amp;$B641,{'3) Release_Label'!$D:$D&amp;'3) Release_Label'!$E:$E,'3) Release_Label'!$F:$F},2,0), or(and(not(isblank($B641)),$B641=$B640,$A641&lt;&gt;$A640),and(not(isblank($A641)),$A641=$A640,$B641&lt;&gt;$B640)),"ID LISTS UNALIGNED",and($A641&lt;&gt;"",countif('3) Release_Label'!$D:$D,$A641)=0),"NO UPC MATCH in Release_Label",and($B641&lt;&gt;"",countif('3) Release_Label'!$E:$E,$B641)=0),"NO CATALOG ID MATCH in Release_Label",iserror(vlookup($A641&amp;$B641,'3) Release_Label'!$D:$D&amp;'3) Release_Label'!$E:$E,1,0)),"NO UPC-CATALOG ID pair MATCH in Release_Label" )</f>
        <v/>
      </c>
      <c r="D641" s="121" t="str">
        <f t="array" ref="D641">ifs(and(isblank($A641),isblank($B641)),"", not(iserror(vlookup($A641&amp;$B641,'3) Release_Label'!$D:$D&amp;'3) Release_Label'!$E:$E,1,0))),vlookup($A641&amp;$B641,{'3) Release_Label'!$D:$D&amp;'3) Release_Label'!$E:$E,'3) Release_Label'!$H:$H},2,0), or(and(not(isblank($B641)),$B641=$B640,$A641&lt;&gt;$A640),and(not(isblank($A641)),$A641=$A640,$B641&lt;&gt;$B640)),"ID LISTS UNALIGNED",and($A641&lt;&gt;"",countif('3) Release_Label'!$D:$D,$A641)=0),"NO UPC MATCH in Release_Label",and($B641&lt;&gt;"",countif('3) Release_Label'!$E:$E,$B641)=0),"NO CATALOG ID MATCH in Release_Label",iserror(vlookup($A641&amp;$B641,'3) Release_Label'!$D:$D&amp;'3) Release_Label'!$E:$E,1,0)),"NO UPC-CATALOG ID pair MATCH in Release_Label" )</f>
        <v/>
      </c>
      <c r="E641" s="141" t="str">
        <f t="shared" si="2"/>
        <v/>
      </c>
      <c r="G641" s="103"/>
      <c r="H641" s="152"/>
      <c r="J641" s="99"/>
      <c r="K641" s="104"/>
      <c r="L641" s="99"/>
      <c r="N641" s="99"/>
      <c r="O641" s="99"/>
      <c r="P641" s="34"/>
    </row>
    <row r="642">
      <c r="A642" s="28"/>
      <c r="B642" s="103"/>
      <c r="C642" s="121" t="str">
        <f t="array" ref="C642">ifs(and(isblank($A642),isblank($B642)),"", not(iserror(vlookup($A642&amp;$B642,'3) Release_Label'!$D:$D&amp;'3) Release_Label'!$E:$E,1,0))),vlookup($A642&amp;$B642,{'3) Release_Label'!$D:$D&amp;'3) Release_Label'!$E:$E,'3) Release_Label'!$F:$F},2,0), or(and(not(isblank($B642)),$B642=$B641,$A642&lt;&gt;$A641),and(not(isblank($A642)),$A642=$A641,$B642&lt;&gt;$B641)),"ID LISTS UNALIGNED",and($A642&lt;&gt;"",countif('3) Release_Label'!$D:$D,$A642)=0),"NO UPC MATCH in Release_Label",and($B642&lt;&gt;"",countif('3) Release_Label'!$E:$E,$B642)=0),"NO CATALOG ID MATCH in Release_Label",iserror(vlookup($A642&amp;$B642,'3) Release_Label'!$D:$D&amp;'3) Release_Label'!$E:$E,1,0)),"NO UPC-CATALOG ID pair MATCH in Release_Label" )</f>
        <v/>
      </c>
      <c r="D642" s="121" t="str">
        <f t="array" ref="D642">ifs(and(isblank($A642),isblank($B642)),"", not(iserror(vlookup($A642&amp;$B642,'3) Release_Label'!$D:$D&amp;'3) Release_Label'!$E:$E,1,0))),vlookup($A642&amp;$B642,{'3) Release_Label'!$D:$D&amp;'3) Release_Label'!$E:$E,'3) Release_Label'!$H:$H},2,0), or(and(not(isblank($B642)),$B642=$B641,$A642&lt;&gt;$A641),and(not(isblank($A642)),$A642=$A641,$B642&lt;&gt;$B641)),"ID LISTS UNALIGNED",and($A642&lt;&gt;"",countif('3) Release_Label'!$D:$D,$A642)=0),"NO UPC MATCH in Release_Label",and($B642&lt;&gt;"",countif('3) Release_Label'!$E:$E,$B642)=0),"NO CATALOG ID MATCH in Release_Label",iserror(vlookup($A642&amp;$B642,'3) Release_Label'!$D:$D&amp;'3) Release_Label'!$E:$E,1,0)),"NO UPC-CATALOG ID pair MATCH in Release_Label" )</f>
        <v/>
      </c>
      <c r="E642" s="141" t="str">
        <f t="shared" si="2"/>
        <v/>
      </c>
      <c r="G642" s="103"/>
      <c r="H642" s="152"/>
      <c r="J642" s="99"/>
      <c r="K642" s="104"/>
      <c r="L642" s="99"/>
      <c r="N642" s="99"/>
      <c r="O642" s="99"/>
      <c r="P642" s="34"/>
    </row>
    <row r="643">
      <c r="A643" s="28"/>
      <c r="B643" s="103"/>
      <c r="C643" s="121" t="str">
        <f t="array" ref="C643">ifs(and(isblank($A643),isblank($B643)),"", not(iserror(vlookup($A643&amp;$B643,'3) Release_Label'!$D:$D&amp;'3) Release_Label'!$E:$E,1,0))),vlookup($A643&amp;$B643,{'3) Release_Label'!$D:$D&amp;'3) Release_Label'!$E:$E,'3) Release_Label'!$F:$F},2,0), or(and(not(isblank($B643)),$B643=$B642,$A643&lt;&gt;$A642),and(not(isblank($A643)),$A643=$A642,$B643&lt;&gt;$B642)),"ID LISTS UNALIGNED",and($A643&lt;&gt;"",countif('3) Release_Label'!$D:$D,$A643)=0),"NO UPC MATCH in Release_Label",and($B643&lt;&gt;"",countif('3) Release_Label'!$E:$E,$B643)=0),"NO CATALOG ID MATCH in Release_Label",iserror(vlookup($A643&amp;$B643,'3) Release_Label'!$D:$D&amp;'3) Release_Label'!$E:$E,1,0)),"NO UPC-CATALOG ID pair MATCH in Release_Label" )</f>
        <v/>
      </c>
      <c r="D643" s="121" t="str">
        <f t="array" ref="D643">ifs(and(isblank($A643),isblank($B643)),"", not(iserror(vlookup($A643&amp;$B643,'3) Release_Label'!$D:$D&amp;'3) Release_Label'!$E:$E,1,0))),vlookup($A643&amp;$B643,{'3) Release_Label'!$D:$D&amp;'3) Release_Label'!$E:$E,'3) Release_Label'!$H:$H},2,0), or(and(not(isblank($B643)),$B643=$B642,$A643&lt;&gt;$A642),and(not(isblank($A643)),$A643=$A642,$B643&lt;&gt;$B642)),"ID LISTS UNALIGNED",and($A643&lt;&gt;"",countif('3) Release_Label'!$D:$D,$A643)=0),"NO UPC MATCH in Release_Label",and($B643&lt;&gt;"",countif('3) Release_Label'!$E:$E,$B643)=0),"NO CATALOG ID MATCH in Release_Label",iserror(vlookup($A643&amp;$B643,'3) Release_Label'!$D:$D&amp;'3) Release_Label'!$E:$E,1,0)),"NO UPC-CATALOG ID pair MATCH in Release_Label" )</f>
        <v/>
      </c>
      <c r="E643" s="141" t="str">
        <f t="shared" si="2"/>
        <v/>
      </c>
      <c r="G643" s="103"/>
      <c r="H643" s="152"/>
      <c r="J643" s="99"/>
      <c r="K643" s="104"/>
      <c r="L643" s="99"/>
      <c r="N643" s="99"/>
      <c r="O643" s="99"/>
      <c r="P643" s="34"/>
    </row>
    <row r="644">
      <c r="A644" s="28"/>
      <c r="B644" s="103"/>
      <c r="C644" s="121" t="str">
        <f t="array" ref="C644">ifs(and(isblank($A644),isblank($B644)),"", not(iserror(vlookup($A644&amp;$B644,'3) Release_Label'!$D:$D&amp;'3) Release_Label'!$E:$E,1,0))),vlookup($A644&amp;$B644,{'3) Release_Label'!$D:$D&amp;'3) Release_Label'!$E:$E,'3) Release_Label'!$F:$F},2,0), or(and(not(isblank($B644)),$B644=$B643,$A644&lt;&gt;$A643),and(not(isblank($A644)),$A644=$A643,$B644&lt;&gt;$B643)),"ID LISTS UNALIGNED",and($A644&lt;&gt;"",countif('3) Release_Label'!$D:$D,$A644)=0),"NO UPC MATCH in Release_Label",and($B644&lt;&gt;"",countif('3) Release_Label'!$E:$E,$B644)=0),"NO CATALOG ID MATCH in Release_Label",iserror(vlookup($A644&amp;$B644,'3) Release_Label'!$D:$D&amp;'3) Release_Label'!$E:$E,1,0)),"NO UPC-CATALOG ID pair MATCH in Release_Label" )</f>
        <v/>
      </c>
      <c r="D644" s="121" t="str">
        <f t="array" ref="D644">ifs(and(isblank($A644),isblank($B644)),"", not(iserror(vlookup($A644&amp;$B644,'3) Release_Label'!$D:$D&amp;'3) Release_Label'!$E:$E,1,0))),vlookup($A644&amp;$B644,{'3) Release_Label'!$D:$D&amp;'3) Release_Label'!$E:$E,'3) Release_Label'!$H:$H},2,0), or(and(not(isblank($B644)),$B644=$B643,$A644&lt;&gt;$A643),and(not(isblank($A644)),$A644=$A643,$B644&lt;&gt;$B643)),"ID LISTS UNALIGNED",and($A644&lt;&gt;"",countif('3) Release_Label'!$D:$D,$A644)=0),"NO UPC MATCH in Release_Label",and($B644&lt;&gt;"",countif('3) Release_Label'!$E:$E,$B644)=0),"NO CATALOG ID MATCH in Release_Label",iserror(vlookup($A644&amp;$B644,'3) Release_Label'!$D:$D&amp;'3) Release_Label'!$E:$E,1,0)),"NO UPC-CATALOG ID pair MATCH in Release_Label" )</f>
        <v/>
      </c>
      <c r="E644" s="141" t="str">
        <f t="shared" si="2"/>
        <v/>
      </c>
      <c r="G644" s="103"/>
      <c r="H644" s="152"/>
      <c r="J644" s="99"/>
      <c r="K644" s="104"/>
      <c r="L644" s="99"/>
      <c r="N644" s="99"/>
      <c r="O644" s="99"/>
      <c r="P644" s="34"/>
    </row>
    <row r="645">
      <c r="A645" s="28"/>
      <c r="B645" s="103"/>
      <c r="C645" s="121" t="str">
        <f t="array" ref="C645">ifs(and(isblank($A645),isblank($B645)),"", not(iserror(vlookup($A645&amp;$B645,'3) Release_Label'!$D:$D&amp;'3) Release_Label'!$E:$E,1,0))),vlookup($A645&amp;$B645,{'3) Release_Label'!$D:$D&amp;'3) Release_Label'!$E:$E,'3) Release_Label'!$F:$F},2,0), or(and(not(isblank($B645)),$B645=$B644,$A645&lt;&gt;$A644),and(not(isblank($A645)),$A645=$A644,$B645&lt;&gt;$B644)),"ID LISTS UNALIGNED",and($A645&lt;&gt;"",countif('3) Release_Label'!$D:$D,$A645)=0),"NO UPC MATCH in Release_Label",and($B645&lt;&gt;"",countif('3) Release_Label'!$E:$E,$B645)=0),"NO CATALOG ID MATCH in Release_Label",iserror(vlookup($A645&amp;$B645,'3) Release_Label'!$D:$D&amp;'3) Release_Label'!$E:$E,1,0)),"NO UPC-CATALOG ID pair MATCH in Release_Label" )</f>
        <v/>
      </c>
      <c r="D645" s="121" t="str">
        <f t="array" ref="D645">ifs(and(isblank($A645),isblank($B645)),"", not(iserror(vlookup($A645&amp;$B645,'3) Release_Label'!$D:$D&amp;'3) Release_Label'!$E:$E,1,0))),vlookup($A645&amp;$B645,{'3) Release_Label'!$D:$D&amp;'3) Release_Label'!$E:$E,'3) Release_Label'!$H:$H},2,0), or(and(not(isblank($B645)),$B645=$B644,$A645&lt;&gt;$A644),and(not(isblank($A645)),$A645=$A644,$B645&lt;&gt;$B644)),"ID LISTS UNALIGNED",and($A645&lt;&gt;"",countif('3) Release_Label'!$D:$D,$A645)=0),"NO UPC MATCH in Release_Label",and($B645&lt;&gt;"",countif('3) Release_Label'!$E:$E,$B645)=0),"NO CATALOG ID MATCH in Release_Label",iserror(vlookup($A645&amp;$B645,'3) Release_Label'!$D:$D&amp;'3) Release_Label'!$E:$E,1,0)),"NO UPC-CATALOG ID pair MATCH in Release_Label" )</f>
        <v/>
      </c>
      <c r="E645" s="141" t="str">
        <f t="shared" si="2"/>
        <v/>
      </c>
      <c r="G645" s="103"/>
      <c r="H645" s="152"/>
      <c r="J645" s="99"/>
      <c r="K645" s="104"/>
      <c r="L645" s="99"/>
      <c r="N645" s="99"/>
      <c r="O645" s="99"/>
      <c r="P645" s="34"/>
    </row>
    <row r="646">
      <c r="A646" s="28"/>
      <c r="B646" s="103"/>
      <c r="C646" s="121" t="str">
        <f t="array" ref="C646">ifs(and(isblank($A646),isblank($B646)),"", not(iserror(vlookup($A646&amp;$B646,'3) Release_Label'!$D:$D&amp;'3) Release_Label'!$E:$E,1,0))),vlookup($A646&amp;$B646,{'3) Release_Label'!$D:$D&amp;'3) Release_Label'!$E:$E,'3) Release_Label'!$F:$F},2,0), or(and(not(isblank($B646)),$B646=$B645,$A646&lt;&gt;$A645),and(not(isblank($A646)),$A646=$A645,$B646&lt;&gt;$B645)),"ID LISTS UNALIGNED",and($A646&lt;&gt;"",countif('3) Release_Label'!$D:$D,$A646)=0),"NO UPC MATCH in Release_Label",and($B646&lt;&gt;"",countif('3) Release_Label'!$E:$E,$B646)=0),"NO CATALOG ID MATCH in Release_Label",iserror(vlookup($A646&amp;$B646,'3) Release_Label'!$D:$D&amp;'3) Release_Label'!$E:$E,1,0)),"NO UPC-CATALOG ID pair MATCH in Release_Label" )</f>
        <v/>
      </c>
      <c r="D646" s="121" t="str">
        <f t="array" ref="D646">ifs(and(isblank($A646),isblank($B646)),"", not(iserror(vlookup($A646&amp;$B646,'3) Release_Label'!$D:$D&amp;'3) Release_Label'!$E:$E,1,0))),vlookup($A646&amp;$B646,{'3) Release_Label'!$D:$D&amp;'3) Release_Label'!$E:$E,'3) Release_Label'!$H:$H},2,0), or(and(not(isblank($B646)),$B646=$B645,$A646&lt;&gt;$A645),and(not(isblank($A646)),$A646=$A645,$B646&lt;&gt;$B645)),"ID LISTS UNALIGNED",and($A646&lt;&gt;"",countif('3) Release_Label'!$D:$D,$A646)=0),"NO UPC MATCH in Release_Label",and($B646&lt;&gt;"",countif('3) Release_Label'!$E:$E,$B646)=0),"NO CATALOG ID MATCH in Release_Label",iserror(vlookup($A646&amp;$B646,'3) Release_Label'!$D:$D&amp;'3) Release_Label'!$E:$E,1,0)),"NO UPC-CATALOG ID pair MATCH in Release_Label" )</f>
        <v/>
      </c>
      <c r="E646" s="141" t="str">
        <f t="shared" si="2"/>
        <v/>
      </c>
      <c r="G646" s="103"/>
      <c r="H646" s="152"/>
      <c r="J646" s="99"/>
      <c r="K646" s="104"/>
      <c r="L646" s="99"/>
      <c r="N646" s="99"/>
      <c r="O646" s="99"/>
      <c r="P646" s="34"/>
    </row>
    <row r="647">
      <c r="A647" s="28"/>
      <c r="B647" s="103"/>
      <c r="C647" s="121" t="str">
        <f t="array" ref="C647">ifs(and(isblank($A647),isblank($B647)),"", not(iserror(vlookup($A647&amp;$B647,'3) Release_Label'!$D:$D&amp;'3) Release_Label'!$E:$E,1,0))),vlookup($A647&amp;$B647,{'3) Release_Label'!$D:$D&amp;'3) Release_Label'!$E:$E,'3) Release_Label'!$F:$F},2,0), or(and(not(isblank($B647)),$B647=$B646,$A647&lt;&gt;$A646),and(not(isblank($A647)),$A647=$A646,$B647&lt;&gt;$B646)),"ID LISTS UNALIGNED",and($A647&lt;&gt;"",countif('3) Release_Label'!$D:$D,$A647)=0),"NO UPC MATCH in Release_Label",and($B647&lt;&gt;"",countif('3) Release_Label'!$E:$E,$B647)=0),"NO CATALOG ID MATCH in Release_Label",iserror(vlookup($A647&amp;$B647,'3) Release_Label'!$D:$D&amp;'3) Release_Label'!$E:$E,1,0)),"NO UPC-CATALOG ID pair MATCH in Release_Label" )</f>
        <v/>
      </c>
      <c r="D647" s="121" t="str">
        <f t="array" ref="D647">ifs(and(isblank($A647),isblank($B647)),"", not(iserror(vlookup($A647&amp;$B647,'3) Release_Label'!$D:$D&amp;'3) Release_Label'!$E:$E,1,0))),vlookup($A647&amp;$B647,{'3) Release_Label'!$D:$D&amp;'3) Release_Label'!$E:$E,'3) Release_Label'!$H:$H},2,0), or(and(not(isblank($B647)),$B647=$B646,$A647&lt;&gt;$A646),and(not(isblank($A647)),$A647=$A646,$B647&lt;&gt;$B646)),"ID LISTS UNALIGNED",and($A647&lt;&gt;"",countif('3) Release_Label'!$D:$D,$A647)=0),"NO UPC MATCH in Release_Label",and($B647&lt;&gt;"",countif('3) Release_Label'!$E:$E,$B647)=0),"NO CATALOG ID MATCH in Release_Label",iserror(vlookup($A647&amp;$B647,'3) Release_Label'!$D:$D&amp;'3) Release_Label'!$E:$E,1,0)),"NO UPC-CATALOG ID pair MATCH in Release_Label" )</f>
        <v/>
      </c>
      <c r="E647" s="141" t="str">
        <f t="shared" si="2"/>
        <v/>
      </c>
      <c r="G647" s="103"/>
      <c r="H647" s="152"/>
      <c r="J647" s="99"/>
      <c r="K647" s="104"/>
      <c r="L647" s="99"/>
      <c r="N647" s="99"/>
      <c r="O647" s="99"/>
      <c r="P647" s="34"/>
    </row>
    <row r="648">
      <c r="A648" s="28"/>
      <c r="B648" s="103"/>
      <c r="C648" s="121" t="str">
        <f t="array" ref="C648">ifs(and(isblank($A648),isblank($B648)),"", not(iserror(vlookup($A648&amp;$B648,'3) Release_Label'!$D:$D&amp;'3) Release_Label'!$E:$E,1,0))),vlookup($A648&amp;$B648,{'3) Release_Label'!$D:$D&amp;'3) Release_Label'!$E:$E,'3) Release_Label'!$F:$F},2,0), or(and(not(isblank($B648)),$B648=$B647,$A648&lt;&gt;$A647),and(not(isblank($A648)),$A648=$A647,$B648&lt;&gt;$B647)),"ID LISTS UNALIGNED",and($A648&lt;&gt;"",countif('3) Release_Label'!$D:$D,$A648)=0),"NO UPC MATCH in Release_Label",and($B648&lt;&gt;"",countif('3) Release_Label'!$E:$E,$B648)=0),"NO CATALOG ID MATCH in Release_Label",iserror(vlookup($A648&amp;$B648,'3) Release_Label'!$D:$D&amp;'3) Release_Label'!$E:$E,1,0)),"NO UPC-CATALOG ID pair MATCH in Release_Label" )</f>
        <v/>
      </c>
      <c r="D648" s="121" t="str">
        <f t="array" ref="D648">ifs(and(isblank($A648),isblank($B648)),"", not(iserror(vlookup($A648&amp;$B648,'3) Release_Label'!$D:$D&amp;'3) Release_Label'!$E:$E,1,0))),vlookup($A648&amp;$B648,{'3) Release_Label'!$D:$D&amp;'3) Release_Label'!$E:$E,'3) Release_Label'!$H:$H},2,0), or(and(not(isblank($B648)),$B648=$B647,$A648&lt;&gt;$A647),and(not(isblank($A648)),$A648=$A647,$B648&lt;&gt;$B647)),"ID LISTS UNALIGNED",and($A648&lt;&gt;"",countif('3) Release_Label'!$D:$D,$A648)=0),"NO UPC MATCH in Release_Label",and($B648&lt;&gt;"",countif('3) Release_Label'!$E:$E,$B648)=0),"NO CATALOG ID MATCH in Release_Label",iserror(vlookup($A648&amp;$B648,'3) Release_Label'!$D:$D&amp;'3) Release_Label'!$E:$E,1,0)),"NO UPC-CATALOG ID pair MATCH in Release_Label" )</f>
        <v/>
      </c>
      <c r="E648" s="141" t="str">
        <f t="shared" si="2"/>
        <v/>
      </c>
      <c r="G648" s="103"/>
      <c r="H648" s="152"/>
      <c r="J648" s="99"/>
      <c r="K648" s="104"/>
      <c r="L648" s="99"/>
      <c r="N648" s="99"/>
      <c r="O648" s="99"/>
      <c r="P648" s="34"/>
    </row>
    <row r="649">
      <c r="A649" s="28"/>
      <c r="B649" s="103"/>
      <c r="C649" s="121" t="str">
        <f t="array" ref="C649">ifs(and(isblank($A649),isblank($B649)),"", not(iserror(vlookup($A649&amp;$B649,'3) Release_Label'!$D:$D&amp;'3) Release_Label'!$E:$E,1,0))),vlookup($A649&amp;$B649,{'3) Release_Label'!$D:$D&amp;'3) Release_Label'!$E:$E,'3) Release_Label'!$F:$F},2,0), or(and(not(isblank($B649)),$B649=$B648,$A649&lt;&gt;$A648),and(not(isblank($A649)),$A649=$A648,$B649&lt;&gt;$B648)),"ID LISTS UNALIGNED",and($A649&lt;&gt;"",countif('3) Release_Label'!$D:$D,$A649)=0),"NO UPC MATCH in Release_Label",and($B649&lt;&gt;"",countif('3) Release_Label'!$E:$E,$B649)=0),"NO CATALOG ID MATCH in Release_Label",iserror(vlookup($A649&amp;$B649,'3) Release_Label'!$D:$D&amp;'3) Release_Label'!$E:$E,1,0)),"NO UPC-CATALOG ID pair MATCH in Release_Label" )</f>
        <v/>
      </c>
      <c r="D649" s="121" t="str">
        <f t="array" ref="D649">ifs(and(isblank($A649),isblank($B649)),"", not(iserror(vlookup($A649&amp;$B649,'3) Release_Label'!$D:$D&amp;'3) Release_Label'!$E:$E,1,0))),vlookup($A649&amp;$B649,{'3) Release_Label'!$D:$D&amp;'3) Release_Label'!$E:$E,'3) Release_Label'!$H:$H},2,0), or(and(not(isblank($B649)),$B649=$B648,$A649&lt;&gt;$A648),and(not(isblank($A649)),$A649=$A648,$B649&lt;&gt;$B648)),"ID LISTS UNALIGNED",and($A649&lt;&gt;"",countif('3) Release_Label'!$D:$D,$A649)=0),"NO UPC MATCH in Release_Label",and($B649&lt;&gt;"",countif('3) Release_Label'!$E:$E,$B649)=0),"NO CATALOG ID MATCH in Release_Label",iserror(vlookup($A649&amp;$B649,'3) Release_Label'!$D:$D&amp;'3) Release_Label'!$E:$E,1,0)),"NO UPC-CATALOG ID pair MATCH in Release_Label" )</f>
        <v/>
      </c>
      <c r="E649" s="141" t="str">
        <f t="shared" si="2"/>
        <v/>
      </c>
      <c r="G649" s="103"/>
      <c r="H649" s="152"/>
      <c r="J649" s="99"/>
      <c r="K649" s="104"/>
      <c r="L649" s="99"/>
      <c r="N649" s="99"/>
      <c r="O649" s="99"/>
      <c r="P649" s="34"/>
    </row>
    <row r="650">
      <c r="A650" s="28"/>
      <c r="B650" s="103"/>
      <c r="C650" s="121" t="str">
        <f t="array" ref="C650">ifs(and(isblank($A650),isblank($B650)),"", not(iserror(vlookup($A650&amp;$B650,'3) Release_Label'!$D:$D&amp;'3) Release_Label'!$E:$E,1,0))),vlookup($A650&amp;$B650,{'3) Release_Label'!$D:$D&amp;'3) Release_Label'!$E:$E,'3) Release_Label'!$F:$F},2,0), or(and(not(isblank($B650)),$B650=$B649,$A650&lt;&gt;$A649),and(not(isblank($A650)),$A650=$A649,$B650&lt;&gt;$B649)),"ID LISTS UNALIGNED",and($A650&lt;&gt;"",countif('3) Release_Label'!$D:$D,$A650)=0),"NO UPC MATCH in Release_Label",and($B650&lt;&gt;"",countif('3) Release_Label'!$E:$E,$B650)=0),"NO CATALOG ID MATCH in Release_Label",iserror(vlookup($A650&amp;$B650,'3) Release_Label'!$D:$D&amp;'3) Release_Label'!$E:$E,1,0)),"NO UPC-CATALOG ID pair MATCH in Release_Label" )</f>
        <v/>
      </c>
      <c r="D650" s="121" t="str">
        <f t="array" ref="D650">ifs(and(isblank($A650),isblank($B650)),"", not(iserror(vlookup($A650&amp;$B650,'3) Release_Label'!$D:$D&amp;'3) Release_Label'!$E:$E,1,0))),vlookup($A650&amp;$B650,{'3) Release_Label'!$D:$D&amp;'3) Release_Label'!$E:$E,'3) Release_Label'!$H:$H},2,0), or(and(not(isblank($B650)),$B650=$B649,$A650&lt;&gt;$A649),and(not(isblank($A650)),$A650=$A649,$B650&lt;&gt;$B649)),"ID LISTS UNALIGNED",and($A650&lt;&gt;"",countif('3) Release_Label'!$D:$D,$A650)=0),"NO UPC MATCH in Release_Label",and($B650&lt;&gt;"",countif('3) Release_Label'!$E:$E,$B650)=0),"NO CATALOG ID MATCH in Release_Label",iserror(vlookup($A650&amp;$B650,'3) Release_Label'!$D:$D&amp;'3) Release_Label'!$E:$E,1,0)),"NO UPC-CATALOG ID pair MATCH in Release_Label" )</f>
        <v/>
      </c>
      <c r="E650" s="141" t="str">
        <f t="shared" si="2"/>
        <v/>
      </c>
      <c r="G650" s="103"/>
      <c r="H650" s="152"/>
      <c r="J650" s="99"/>
      <c r="K650" s="104"/>
      <c r="L650" s="99"/>
      <c r="N650" s="99"/>
      <c r="O650" s="99"/>
      <c r="P650" s="34"/>
    </row>
    <row r="651">
      <c r="A651" s="28"/>
      <c r="B651" s="103"/>
      <c r="C651" s="121" t="str">
        <f t="array" ref="C651">ifs(and(isblank($A651),isblank($B651)),"", not(iserror(vlookup($A651&amp;$B651,'3) Release_Label'!$D:$D&amp;'3) Release_Label'!$E:$E,1,0))),vlookup($A651&amp;$B651,{'3) Release_Label'!$D:$D&amp;'3) Release_Label'!$E:$E,'3) Release_Label'!$F:$F},2,0), or(and(not(isblank($B651)),$B651=$B650,$A651&lt;&gt;$A650),and(not(isblank($A651)),$A651=$A650,$B651&lt;&gt;$B650)),"ID LISTS UNALIGNED",and($A651&lt;&gt;"",countif('3) Release_Label'!$D:$D,$A651)=0),"NO UPC MATCH in Release_Label",and($B651&lt;&gt;"",countif('3) Release_Label'!$E:$E,$B651)=0),"NO CATALOG ID MATCH in Release_Label",iserror(vlookup($A651&amp;$B651,'3) Release_Label'!$D:$D&amp;'3) Release_Label'!$E:$E,1,0)),"NO UPC-CATALOG ID pair MATCH in Release_Label" )</f>
        <v/>
      </c>
      <c r="D651" s="121" t="str">
        <f t="array" ref="D651">ifs(and(isblank($A651),isblank($B651)),"", not(iserror(vlookup($A651&amp;$B651,'3) Release_Label'!$D:$D&amp;'3) Release_Label'!$E:$E,1,0))),vlookup($A651&amp;$B651,{'3) Release_Label'!$D:$D&amp;'3) Release_Label'!$E:$E,'3) Release_Label'!$H:$H},2,0), or(and(not(isblank($B651)),$B651=$B650,$A651&lt;&gt;$A650),and(not(isblank($A651)),$A651=$A650,$B651&lt;&gt;$B650)),"ID LISTS UNALIGNED",and($A651&lt;&gt;"",countif('3) Release_Label'!$D:$D,$A651)=0),"NO UPC MATCH in Release_Label",and($B651&lt;&gt;"",countif('3) Release_Label'!$E:$E,$B651)=0),"NO CATALOG ID MATCH in Release_Label",iserror(vlookup($A651&amp;$B651,'3) Release_Label'!$D:$D&amp;'3) Release_Label'!$E:$E,1,0)),"NO UPC-CATALOG ID pair MATCH in Release_Label" )</f>
        <v/>
      </c>
      <c r="E651" s="141" t="str">
        <f t="shared" si="2"/>
        <v/>
      </c>
      <c r="G651" s="103"/>
      <c r="H651" s="152"/>
      <c r="J651" s="99"/>
      <c r="K651" s="104"/>
      <c r="L651" s="99"/>
      <c r="N651" s="99"/>
      <c r="O651" s="99"/>
      <c r="P651" s="34"/>
    </row>
    <row r="652">
      <c r="A652" s="28"/>
      <c r="B652" s="103"/>
      <c r="C652" s="121" t="str">
        <f t="array" ref="C652">ifs(and(isblank($A652),isblank($B652)),"", not(iserror(vlookup($A652&amp;$B652,'3) Release_Label'!$D:$D&amp;'3) Release_Label'!$E:$E,1,0))),vlookup($A652&amp;$B652,{'3) Release_Label'!$D:$D&amp;'3) Release_Label'!$E:$E,'3) Release_Label'!$F:$F},2,0), or(and(not(isblank($B652)),$B652=$B651,$A652&lt;&gt;$A651),and(not(isblank($A652)),$A652=$A651,$B652&lt;&gt;$B651)),"ID LISTS UNALIGNED",and($A652&lt;&gt;"",countif('3) Release_Label'!$D:$D,$A652)=0),"NO UPC MATCH in Release_Label",and($B652&lt;&gt;"",countif('3) Release_Label'!$E:$E,$B652)=0),"NO CATALOG ID MATCH in Release_Label",iserror(vlookup($A652&amp;$B652,'3) Release_Label'!$D:$D&amp;'3) Release_Label'!$E:$E,1,0)),"NO UPC-CATALOG ID pair MATCH in Release_Label" )</f>
        <v/>
      </c>
      <c r="D652" s="121" t="str">
        <f t="array" ref="D652">ifs(and(isblank($A652),isblank($B652)),"", not(iserror(vlookup($A652&amp;$B652,'3) Release_Label'!$D:$D&amp;'3) Release_Label'!$E:$E,1,0))),vlookup($A652&amp;$B652,{'3) Release_Label'!$D:$D&amp;'3) Release_Label'!$E:$E,'3) Release_Label'!$H:$H},2,0), or(and(not(isblank($B652)),$B652=$B651,$A652&lt;&gt;$A651),and(not(isblank($A652)),$A652=$A651,$B652&lt;&gt;$B651)),"ID LISTS UNALIGNED",and($A652&lt;&gt;"",countif('3) Release_Label'!$D:$D,$A652)=0),"NO UPC MATCH in Release_Label",and($B652&lt;&gt;"",countif('3) Release_Label'!$E:$E,$B652)=0),"NO CATALOG ID MATCH in Release_Label",iserror(vlookup($A652&amp;$B652,'3) Release_Label'!$D:$D&amp;'3) Release_Label'!$E:$E,1,0)),"NO UPC-CATALOG ID pair MATCH in Release_Label" )</f>
        <v/>
      </c>
      <c r="E652" s="141" t="str">
        <f t="shared" si="2"/>
        <v/>
      </c>
      <c r="G652" s="103"/>
      <c r="H652" s="152"/>
      <c r="J652" s="99"/>
      <c r="K652" s="104"/>
      <c r="L652" s="99"/>
      <c r="N652" s="99"/>
      <c r="O652" s="99"/>
      <c r="P652" s="34"/>
    </row>
    <row r="653">
      <c r="A653" s="28"/>
      <c r="B653" s="103"/>
      <c r="C653" s="121" t="str">
        <f t="array" ref="C653">ifs(and(isblank($A653),isblank($B653)),"", not(iserror(vlookup($A653&amp;$B653,'3) Release_Label'!$D:$D&amp;'3) Release_Label'!$E:$E,1,0))),vlookup($A653&amp;$B653,{'3) Release_Label'!$D:$D&amp;'3) Release_Label'!$E:$E,'3) Release_Label'!$F:$F},2,0), or(and(not(isblank($B653)),$B653=$B652,$A653&lt;&gt;$A652),and(not(isblank($A653)),$A653=$A652,$B653&lt;&gt;$B652)),"ID LISTS UNALIGNED",and($A653&lt;&gt;"",countif('3) Release_Label'!$D:$D,$A653)=0),"NO UPC MATCH in Release_Label",and($B653&lt;&gt;"",countif('3) Release_Label'!$E:$E,$B653)=0),"NO CATALOG ID MATCH in Release_Label",iserror(vlookup($A653&amp;$B653,'3) Release_Label'!$D:$D&amp;'3) Release_Label'!$E:$E,1,0)),"NO UPC-CATALOG ID pair MATCH in Release_Label" )</f>
        <v/>
      </c>
      <c r="D653" s="121" t="str">
        <f t="array" ref="D653">ifs(and(isblank($A653),isblank($B653)),"", not(iserror(vlookup($A653&amp;$B653,'3) Release_Label'!$D:$D&amp;'3) Release_Label'!$E:$E,1,0))),vlookup($A653&amp;$B653,{'3) Release_Label'!$D:$D&amp;'3) Release_Label'!$E:$E,'3) Release_Label'!$H:$H},2,0), or(and(not(isblank($B653)),$B653=$B652,$A653&lt;&gt;$A652),and(not(isblank($A653)),$A653=$A652,$B653&lt;&gt;$B652)),"ID LISTS UNALIGNED",and($A653&lt;&gt;"",countif('3) Release_Label'!$D:$D,$A653)=0),"NO UPC MATCH in Release_Label",and($B653&lt;&gt;"",countif('3) Release_Label'!$E:$E,$B653)=0),"NO CATALOG ID MATCH in Release_Label",iserror(vlookup($A653&amp;$B653,'3) Release_Label'!$D:$D&amp;'3) Release_Label'!$E:$E,1,0)),"NO UPC-CATALOG ID pair MATCH in Release_Label" )</f>
        <v/>
      </c>
      <c r="E653" s="141" t="str">
        <f t="shared" si="2"/>
        <v/>
      </c>
      <c r="G653" s="103"/>
      <c r="H653" s="152"/>
      <c r="J653" s="99"/>
      <c r="K653" s="104"/>
      <c r="L653" s="99"/>
      <c r="N653" s="99"/>
      <c r="O653" s="99"/>
      <c r="P653" s="34"/>
    </row>
    <row r="654">
      <c r="A654" s="28"/>
      <c r="B654" s="103"/>
      <c r="C654" s="121" t="str">
        <f t="array" ref="C654">ifs(and(isblank($A654),isblank($B654)),"", not(iserror(vlookup($A654&amp;$B654,'3) Release_Label'!$D:$D&amp;'3) Release_Label'!$E:$E,1,0))),vlookup($A654&amp;$B654,{'3) Release_Label'!$D:$D&amp;'3) Release_Label'!$E:$E,'3) Release_Label'!$F:$F},2,0), or(and(not(isblank($B654)),$B654=$B653,$A654&lt;&gt;$A653),and(not(isblank($A654)),$A654=$A653,$B654&lt;&gt;$B653)),"ID LISTS UNALIGNED",and($A654&lt;&gt;"",countif('3) Release_Label'!$D:$D,$A654)=0),"NO UPC MATCH in Release_Label",and($B654&lt;&gt;"",countif('3) Release_Label'!$E:$E,$B654)=0),"NO CATALOG ID MATCH in Release_Label",iserror(vlookup($A654&amp;$B654,'3) Release_Label'!$D:$D&amp;'3) Release_Label'!$E:$E,1,0)),"NO UPC-CATALOG ID pair MATCH in Release_Label" )</f>
        <v/>
      </c>
      <c r="D654" s="121" t="str">
        <f t="array" ref="D654">ifs(and(isblank($A654),isblank($B654)),"", not(iserror(vlookup($A654&amp;$B654,'3) Release_Label'!$D:$D&amp;'3) Release_Label'!$E:$E,1,0))),vlookup($A654&amp;$B654,{'3) Release_Label'!$D:$D&amp;'3) Release_Label'!$E:$E,'3) Release_Label'!$H:$H},2,0), or(and(not(isblank($B654)),$B654=$B653,$A654&lt;&gt;$A653),and(not(isblank($A654)),$A654=$A653,$B654&lt;&gt;$B653)),"ID LISTS UNALIGNED",and($A654&lt;&gt;"",countif('3) Release_Label'!$D:$D,$A654)=0),"NO UPC MATCH in Release_Label",and($B654&lt;&gt;"",countif('3) Release_Label'!$E:$E,$B654)=0),"NO CATALOG ID MATCH in Release_Label",iserror(vlookup($A654&amp;$B654,'3) Release_Label'!$D:$D&amp;'3) Release_Label'!$E:$E,1,0)),"NO UPC-CATALOG ID pair MATCH in Release_Label" )</f>
        <v/>
      </c>
      <c r="E654" s="141" t="str">
        <f t="shared" si="2"/>
        <v/>
      </c>
      <c r="G654" s="103"/>
      <c r="H654" s="152"/>
      <c r="J654" s="99"/>
      <c r="K654" s="104"/>
      <c r="L654" s="99"/>
      <c r="N654" s="99"/>
      <c r="O654" s="99"/>
      <c r="P654" s="34"/>
    </row>
    <row r="655">
      <c r="A655" s="28"/>
      <c r="B655" s="103"/>
      <c r="C655" s="121" t="str">
        <f t="array" ref="C655">ifs(and(isblank($A655),isblank($B655)),"", not(iserror(vlookup($A655&amp;$B655,'3) Release_Label'!$D:$D&amp;'3) Release_Label'!$E:$E,1,0))),vlookup($A655&amp;$B655,{'3) Release_Label'!$D:$D&amp;'3) Release_Label'!$E:$E,'3) Release_Label'!$F:$F},2,0), or(and(not(isblank($B655)),$B655=$B654,$A655&lt;&gt;$A654),and(not(isblank($A655)),$A655=$A654,$B655&lt;&gt;$B654)),"ID LISTS UNALIGNED",and($A655&lt;&gt;"",countif('3) Release_Label'!$D:$D,$A655)=0),"NO UPC MATCH in Release_Label",and($B655&lt;&gt;"",countif('3) Release_Label'!$E:$E,$B655)=0),"NO CATALOG ID MATCH in Release_Label",iserror(vlookup($A655&amp;$B655,'3) Release_Label'!$D:$D&amp;'3) Release_Label'!$E:$E,1,0)),"NO UPC-CATALOG ID pair MATCH in Release_Label" )</f>
        <v/>
      </c>
      <c r="D655" s="121" t="str">
        <f t="array" ref="D655">ifs(and(isblank($A655),isblank($B655)),"", not(iserror(vlookup($A655&amp;$B655,'3) Release_Label'!$D:$D&amp;'3) Release_Label'!$E:$E,1,0))),vlookup($A655&amp;$B655,{'3) Release_Label'!$D:$D&amp;'3) Release_Label'!$E:$E,'3) Release_Label'!$H:$H},2,0), or(and(not(isblank($B655)),$B655=$B654,$A655&lt;&gt;$A654),and(not(isblank($A655)),$A655=$A654,$B655&lt;&gt;$B654)),"ID LISTS UNALIGNED",and($A655&lt;&gt;"",countif('3) Release_Label'!$D:$D,$A655)=0),"NO UPC MATCH in Release_Label",and($B655&lt;&gt;"",countif('3) Release_Label'!$E:$E,$B655)=0),"NO CATALOG ID MATCH in Release_Label",iserror(vlookup($A655&amp;$B655,'3) Release_Label'!$D:$D&amp;'3) Release_Label'!$E:$E,1,0)),"NO UPC-CATALOG ID pair MATCH in Release_Label" )</f>
        <v/>
      </c>
      <c r="E655" s="141" t="str">
        <f t="shared" si="2"/>
        <v/>
      </c>
      <c r="G655" s="103"/>
      <c r="H655" s="152"/>
      <c r="J655" s="99"/>
      <c r="K655" s="104"/>
      <c r="L655" s="99"/>
      <c r="N655" s="99"/>
      <c r="O655" s="99"/>
      <c r="P655" s="34"/>
    </row>
    <row r="656">
      <c r="A656" s="28"/>
      <c r="B656" s="103"/>
      <c r="C656" s="121" t="str">
        <f t="array" ref="C656">ifs(and(isblank($A656),isblank($B656)),"", not(iserror(vlookup($A656&amp;$B656,'3) Release_Label'!$D:$D&amp;'3) Release_Label'!$E:$E,1,0))),vlookup($A656&amp;$B656,{'3) Release_Label'!$D:$D&amp;'3) Release_Label'!$E:$E,'3) Release_Label'!$F:$F},2,0), or(and(not(isblank($B656)),$B656=$B655,$A656&lt;&gt;$A655),and(not(isblank($A656)),$A656=$A655,$B656&lt;&gt;$B655)),"ID LISTS UNALIGNED",and($A656&lt;&gt;"",countif('3) Release_Label'!$D:$D,$A656)=0),"NO UPC MATCH in Release_Label",and($B656&lt;&gt;"",countif('3) Release_Label'!$E:$E,$B656)=0),"NO CATALOG ID MATCH in Release_Label",iserror(vlookup($A656&amp;$B656,'3) Release_Label'!$D:$D&amp;'3) Release_Label'!$E:$E,1,0)),"NO UPC-CATALOG ID pair MATCH in Release_Label" )</f>
        <v/>
      </c>
      <c r="D656" s="121" t="str">
        <f t="array" ref="D656">ifs(and(isblank($A656),isblank($B656)),"", not(iserror(vlookup($A656&amp;$B656,'3) Release_Label'!$D:$D&amp;'3) Release_Label'!$E:$E,1,0))),vlookup($A656&amp;$B656,{'3) Release_Label'!$D:$D&amp;'3) Release_Label'!$E:$E,'3) Release_Label'!$H:$H},2,0), or(and(not(isblank($B656)),$B656=$B655,$A656&lt;&gt;$A655),and(not(isblank($A656)),$A656=$A655,$B656&lt;&gt;$B655)),"ID LISTS UNALIGNED",and($A656&lt;&gt;"",countif('3) Release_Label'!$D:$D,$A656)=0),"NO UPC MATCH in Release_Label",and($B656&lt;&gt;"",countif('3) Release_Label'!$E:$E,$B656)=0),"NO CATALOG ID MATCH in Release_Label",iserror(vlookup($A656&amp;$B656,'3) Release_Label'!$D:$D&amp;'3) Release_Label'!$E:$E,1,0)),"NO UPC-CATALOG ID pair MATCH in Release_Label" )</f>
        <v/>
      </c>
      <c r="E656" s="141" t="str">
        <f t="shared" si="2"/>
        <v/>
      </c>
      <c r="G656" s="103"/>
      <c r="H656" s="152"/>
      <c r="J656" s="99"/>
      <c r="K656" s="104"/>
      <c r="L656" s="99"/>
      <c r="N656" s="99"/>
      <c r="O656" s="99"/>
      <c r="P656" s="34"/>
    </row>
    <row r="657">
      <c r="A657" s="28"/>
      <c r="B657" s="103"/>
      <c r="C657" s="121" t="str">
        <f t="array" ref="C657">ifs(and(isblank($A657),isblank($B657)),"", not(iserror(vlookup($A657&amp;$B657,'3) Release_Label'!$D:$D&amp;'3) Release_Label'!$E:$E,1,0))),vlookup($A657&amp;$B657,{'3) Release_Label'!$D:$D&amp;'3) Release_Label'!$E:$E,'3) Release_Label'!$F:$F},2,0), or(and(not(isblank($B657)),$B657=$B656,$A657&lt;&gt;$A656),and(not(isblank($A657)),$A657=$A656,$B657&lt;&gt;$B656)),"ID LISTS UNALIGNED",and($A657&lt;&gt;"",countif('3) Release_Label'!$D:$D,$A657)=0),"NO UPC MATCH in Release_Label",and($B657&lt;&gt;"",countif('3) Release_Label'!$E:$E,$B657)=0),"NO CATALOG ID MATCH in Release_Label",iserror(vlookup($A657&amp;$B657,'3) Release_Label'!$D:$D&amp;'3) Release_Label'!$E:$E,1,0)),"NO UPC-CATALOG ID pair MATCH in Release_Label" )</f>
        <v/>
      </c>
      <c r="D657" s="121" t="str">
        <f t="array" ref="D657">ifs(and(isblank($A657),isblank($B657)),"", not(iserror(vlookup($A657&amp;$B657,'3) Release_Label'!$D:$D&amp;'3) Release_Label'!$E:$E,1,0))),vlookup($A657&amp;$B657,{'3) Release_Label'!$D:$D&amp;'3) Release_Label'!$E:$E,'3) Release_Label'!$H:$H},2,0), or(and(not(isblank($B657)),$B657=$B656,$A657&lt;&gt;$A656),and(not(isblank($A657)),$A657=$A656,$B657&lt;&gt;$B656)),"ID LISTS UNALIGNED",and($A657&lt;&gt;"",countif('3) Release_Label'!$D:$D,$A657)=0),"NO UPC MATCH in Release_Label",and($B657&lt;&gt;"",countif('3) Release_Label'!$E:$E,$B657)=0),"NO CATALOG ID MATCH in Release_Label",iserror(vlookup($A657&amp;$B657,'3) Release_Label'!$D:$D&amp;'3) Release_Label'!$E:$E,1,0)),"NO UPC-CATALOG ID pair MATCH in Release_Label" )</f>
        <v/>
      </c>
      <c r="E657" s="141" t="str">
        <f t="shared" si="2"/>
        <v/>
      </c>
      <c r="G657" s="103"/>
      <c r="H657" s="152"/>
      <c r="J657" s="99"/>
      <c r="K657" s="104"/>
      <c r="L657" s="99"/>
      <c r="N657" s="99"/>
      <c r="O657" s="99"/>
      <c r="P657" s="34"/>
    </row>
    <row r="658">
      <c r="A658" s="28"/>
      <c r="B658" s="103"/>
      <c r="C658" s="121" t="str">
        <f t="array" ref="C658">ifs(and(isblank($A658),isblank($B658)),"", not(iserror(vlookup($A658&amp;$B658,'3) Release_Label'!$D:$D&amp;'3) Release_Label'!$E:$E,1,0))),vlookup($A658&amp;$B658,{'3) Release_Label'!$D:$D&amp;'3) Release_Label'!$E:$E,'3) Release_Label'!$F:$F},2,0), or(and(not(isblank($B658)),$B658=$B657,$A658&lt;&gt;$A657),and(not(isblank($A658)),$A658=$A657,$B658&lt;&gt;$B657)),"ID LISTS UNALIGNED",and($A658&lt;&gt;"",countif('3) Release_Label'!$D:$D,$A658)=0),"NO UPC MATCH in Release_Label",and($B658&lt;&gt;"",countif('3) Release_Label'!$E:$E,$B658)=0),"NO CATALOG ID MATCH in Release_Label",iserror(vlookup($A658&amp;$B658,'3) Release_Label'!$D:$D&amp;'3) Release_Label'!$E:$E,1,0)),"NO UPC-CATALOG ID pair MATCH in Release_Label" )</f>
        <v/>
      </c>
      <c r="D658" s="121" t="str">
        <f t="array" ref="D658">ifs(and(isblank($A658),isblank($B658)),"", not(iserror(vlookup($A658&amp;$B658,'3) Release_Label'!$D:$D&amp;'3) Release_Label'!$E:$E,1,0))),vlookup($A658&amp;$B658,{'3) Release_Label'!$D:$D&amp;'3) Release_Label'!$E:$E,'3) Release_Label'!$H:$H},2,0), or(and(not(isblank($B658)),$B658=$B657,$A658&lt;&gt;$A657),and(not(isblank($A658)),$A658=$A657,$B658&lt;&gt;$B657)),"ID LISTS UNALIGNED",and($A658&lt;&gt;"",countif('3) Release_Label'!$D:$D,$A658)=0),"NO UPC MATCH in Release_Label",and($B658&lt;&gt;"",countif('3) Release_Label'!$E:$E,$B658)=0),"NO CATALOG ID MATCH in Release_Label",iserror(vlookup($A658&amp;$B658,'3) Release_Label'!$D:$D&amp;'3) Release_Label'!$E:$E,1,0)),"NO UPC-CATALOG ID pair MATCH in Release_Label" )</f>
        <v/>
      </c>
      <c r="E658" s="141" t="str">
        <f t="shared" si="2"/>
        <v/>
      </c>
      <c r="G658" s="103"/>
      <c r="H658" s="152"/>
      <c r="J658" s="99"/>
      <c r="K658" s="104"/>
      <c r="L658" s="99"/>
      <c r="N658" s="99"/>
      <c r="O658" s="99"/>
      <c r="P658" s="34"/>
    </row>
    <row r="659">
      <c r="A659" s="28"/>
      <c r="B659" s="103"/>
      <c r="C659" s="121" t="str">
        <f t="array" ref="C659">ifs(and(isblank($A659),isblank($B659)),"", not(iserror(vlookup($A659&amp;$B659,'3) Release_Label'!$D:$D&amp;'3) Release_Label'!$E:$E,1,0))),vlookup($A659&amp;$B659,{'3) Release_Label'!$D:$D&amp;'3) Release_Label'!$E:$E,'3) Release_Label'!$F:$F},2,0), or(and(not(isblank($B659)),$B659=$B658,$A659&lt;&gt;$A658),and(not(isblank($A659)),$A659=$A658,$B659&lt;&gt;$B658)),"ID LISTS UNALIGNED",and($A659&lt;&gt;"",countif('3) Release_Label'!$D:$D,$A659)=0),"NO UPC MATCH in Release_Label",and($B659&lt;&gt;"",countif('3) Release_Label'!$E:$E,$B659)=0),"NO CATALOG ID MATCH in Release_Label",iserror(vlookup($A659&amp;$B659,'3) Release_Label'!$D:$D&amp;'3) Release_Label'!$E:$E,1,0)),"NO UPC-CATALOG ID pair MATCH in Release_Label" )</f>
        <v/>
      </c>
      <c r="D659" s="121" t="str">
        <f t="array" ref="D659">ifs(and(isblank($A659),isblank($B659)),"", not(iserror(vlookup($A659&amp;$B659,'3) Release_Label'!$D:$D&amp;'3) Release_Label'!$E:$E,1,0))),vlookup($A659&amp;$B659,{'3) Release_Label'!$D:$D&amp;'3) Release_Label'!$E:$E,'3) Release_Label'!$H:$H},2,0), or(and(not(isblank($B659)),$B659=$B658,$A659&lt;&gt;$A658),and(not(isblank($A659)),$A659=$A658,$B659&lt;&gt;$B658)),"ID LISTS UNALIGNED",and($A659&lt;&gt;"",countif('3) Release_Label'!$D:$D,$A659)=0),"NO UPC MATCH in Release_Label",and($B659&lt;&gt;"",countif('3) Release_Label'!$E:$E,$B659)=0),"NO CATALOG ID MATCH in Release_Label",iserror(vlookup($A659&amp;$B659,'3) Release_Label'!$D:$D&amp;'3) Release_Label'!$E:$E,1,0)),"NO UPC-CATALOG ID pair MATCH in Release_Label" )</f>
        <v/>
      </c>
      <c r="E659" s="141" t="str">
        <f t="shared" si="2"/>
        <v/>
      </c>
      <c r="G659" s="103"/>
      <c r="H659" s="152"/>
      <c r="J659" s="99"/>
      <c r="K659" s="104"/>
      <c r="L659" s="99"/>
      <c r="N659" s="99"/>
      <c r="O659" s="99"/>
      <c r="P659" s="34"/>
    </row>
    <row r="660">
      <c r="A660" s="28"/>
      <c r="B660" s="103"/>
      <c r="C660" s="121" t="str">
        <f t="array" ref="C660">ifs(and(isblank($A660),isblank($B660)),"", not(iserror(vlookup($A660&amp;$B660,'3) Release_Label'!$D:$D&amp;'3) Release_Label'!$E:$E,1,0))),vlookup($A660&amp;$B660,{'3) Release_Label'!$D:$D&amp;'3) Release_Label'!$E:$E,'3) Release_Label'!$F:$F},2,0), or(and(not(isblank($B660)),$B660=$B659,$A660&lt;&gt;$A659),and(not(isblank($A660)),$A660=$A659,$B660&lt;&gt;$B659)),"ID LISTS UNALIGNED",and($A660&lt;&gt;"",countif('3) Release_Label'!$D:$D,$A660)=0),"NO UPC MATCH in Release_Label",and($B660&lt;&gt;"",countif('3) Release_Label'!$E:$E,$B660)=0),"NO CATALOG ID MATCH in Release_Label",iserror(vlookup($A660&amp;$B660,'3) Release_Label'!$D:$D&amp;'3) Release_Label'!$E:$E,1,0)),"NO UPC-CATALOG ID pair MATCH in Release_Label" )</f>
        <v/>
      </c>
      <c r="D660" s="121" t="str">
        <f t="array" ref="D660">ifs(and(isblank($A660),isblank($B660)),"", not(iserror(vlookup($A660&amp;$B660,'3) Release_Label'!$D:$D&amp;'3) Release_Label'!$E:$E,1,0))),vlookup($A660&amp;$B660,{'3) Release_Label'!$D:$D&amp;'3) Release_Label'!$E:$E,'3) Release_Label'!$H:$H},2,0), or(and(not(isblank($B660)),$B660=$B659,$A660&lt;&gt;$A659),and(not(isblank($A660)),$A660=$A659,$B660&lt;&gt;$B659)),"ID LISTS UNALIGNED",and($A660&lt;&gt;"",countif('3) Release_Label'!$D:$D,$A660)=0),"NO UPC MATCH in Release_Label",and($B660&lt;&gt;"",countif('3) Release_Label'!$E:$E,$B660)=0),"NO CATALOG ID MATCH in Release_Label",iserror(vlookup($A660&amp;$B660,'3) Release_Label'!$D:$D&amp;'3) Release_Label'!$E:$E,1,0)),"NO UPC-CATALOG ID pair MATCH in Release_Label" )</f>
        <v/>
      </c>
      <c r="E660" s="141" t="str">
        <f t="shared" si="2"/>
        <v/>
      </c>
      <c r="G660" s="103"/>
      <c r="H660" s="152"/>
      <c r="J660" s="99"/>
      <c r="K660" s="104"/>
      <c r="L660" s="99"/>
      <c r="N660" s="99"/>
      <c r="O660" s="99"/>
      <c r="P660" s="34"/>
    </row>
    <row r="661">
      <c r="A661" s="28"/>
      <c r="B661" s="103"/>
      <c r="C661" s="121" t="str">
        <f t="array" ref="C661">ifs(and(isblank($A661),isblank($B661)),"", not(iserror(vlookup($A661&amp;$B661,'3) Release_Label'!$D:$D&amp;'3) Release_Label'!$E:$E,1,0))),vlookup($A661&amp;$B661,{'3) Release_Label'!$D:$D&amp;'3) Release_Label'!$E:$E,'3) Release_Label'!$F:$F},2,0), or(and(not(isblank($B661)),$B661=$B660,$A661&lt;&gt;$A660),and(not(isblank($A661)),$A661=$A660,$B661&lt;&gt;$B660)),"ID LISTS UNALIGNED",and($A661&lt;&gt;"",countif('3) Release_Label'!$D:$D,$A661)=0),"NO UPC MATCH in Release_Label",and($B661&lt;&gt;"",countif('3) Release_Label'!$E:$E,$B661)=0),"NO CATALOG ID MATCH in Release_Label",iserror(vlookup($A661&amp;$B661,'3) Release_Label'!$D:$D&amp;'3) Release_Label'!$E:$E,1,0)),"NO UPC-CATALOG ID pair MATCH in Release_Label" )</f>
        <v/>
      </c>
      <c r="D661" s="121" t="str">
        <f t="array" ref="D661">ifs(and(isblank($A661),isblank($B661)),"", not(iserror(vlookup($A661&amp;$B661,'3) Release_Label'!$D:$D&amp;'3) Release_Label'!$E:$E,1,0))),vlookup($A661&amp;$B661,{'3) Release_Label'!$D:$D&amp;'3) Release_Label'!$E:$E,'3) Release_Label'!$H:$H},2,0), or(and(not(isblank($B661)),$B661=$B660,$A661&lt;&gt;$A660),and(not(isblank($A661)),$A661=$A660,$B661&lt;&gt;$B660)),"ID LISTS UNALIGNED",and($A661&lt;&gt;"",countif('3) Release_Label'!$D:$D,$A661)=0),"NO UPC MATCH in Release_Label",and($B661&lt;&gt;"",countif('3) Release_Label'!$E:$E,$B661)=0),"NO CATALOG ID MATCH in Release_Label",iserror(vlookup($A661&amp;$B661,'3) Release_Label'!$D:$D&amp;'3) Release_Label'!$E:$E,1,0)),"NO UPC-CATALOG ID pair MATCH in Release_Label" )</f>
        <v/>
      </c>
      <c r="E661" s="141" t="str">
        <f t="shared" si="2"/>
        <v/>
      </c>
      <c r="G661" s="103"/>
      <c r="H661" s="152"/>
      <c r="J661" s="99"/>
      <c r="K661" s="104"/>
      <c r="L661" s="99"/>
      <c r="N661" s="99"/>
      <c r="O661" s="99"/>
      <c r="P661" s="34"/>
    </row>
    <row r="662">
      <c r="A662" s="28"/>
      <c r="B662" s="103"/>
      <c r="C662" s="121" t="str">
        <f t="array" ref="C662">ifs(and(isblank($A662),isblank($B662)),"", not(iserror(vlookup($A662&amp;$B662,'3) Release_Label'!$D:$D&amp;'3) Release_Label'!$E:$E,1,0))),vlookup($A662&amp;$B662,{'3) Release_Label'!$D:$D&amp;'3) Release_Label'!$E:$E,'3) Release_Label'!$F:$F},2,0), or(and(not(isblank($B662)),$B662=$B661,$A662&lt;&gt;$A661),and(not(isblank($A662)),$A662=$A661,$B662&lt;&gt;$B661)),"ID LISTS UNALIGNED",and($A662&lt;&gt;"",countif('3) Release_Label'!$D:$D,$A662)=0),"NO UPC MATCH in Release_Label",and($B662&lt;&gt;"",countif('3) Release_Label'!$E:$E,$B662)=0),"NO CATALOG ID MATCH in Release_Label",iserror(vlookup($A662&amp;$B662,'3) Release_Label'!$D:$D&amp;'3) Release_Label'!$E:$E,1,0)),"NO UPC-CATALOG ID pair MATCH in Release_Label" )</f>
        <v/>
      </c>
      <c r="D662" s="121" t="str">
        <f t="array" ref="D662">ifs(and(isblank($A662),isblank($B662)),"", not(iserror(vlookup($A662&amp;$B662,'3) Release_Label'!$D:$D&amp;'3) Release_Label'!$E:$E,1,0))),vlookup($A662&amp;$B662,{'3) Release_Label'!$D:$D&amp;'3) Release_Label'!$E:$E,'3) Release_Label'!$H:$H},2,0), or(and(not(isblank($B662)),$B662=$B661,$A662&lt;&gt;$A661),and(not(isblank($A662)),$A662=$A661,$B662&lt;&gt;$B661)),"ID LISTS UNALIGNED",and($A662&lt;&gt;"",countif('3) Release_Label'!$D:$D,$A662)=0),"NO UPC MATCH in Release_Label",and($B662&lt;&gt;"",countif('3) Release_Label'!$E:$E,$B662)=0),"NO CATALOG ID MATCH in Release_Label",iserror(vlookup($A662&amp;$B662,'3) Release_Label'!$D:$D&amp;'3) Release_Label'!$E:$E,1,0)),"NO UPC-CATALOG ID pair MATCH in Release_Label" )</f>
        <v/>
      </c>
      <c r="E662" s="141" t="str">
        <f t="shared" si="2"/>
        <v/>
      </c>
      <c r="G662" s="103"/>
      <c r="H662" s="152"/>
      <c r="J662" s="99"/>
      <c r="K662" s="104"/>
      <c r="L662" s="99"/>
      <c r="N662" s="99"/>
      <c r="O662" s="99"/>
      <c r="P662" s="34"/>
    </row>
    <row r="663">
      <c r="A663" s="28"/>
      <c r="B663" s="103"/>
      <c r="C663" s="121" t="str">
        <f t="array" ref="C663">ifs(and(isblank($A663),isblank($B663)),"", not(iserror(vlookup($A663&amp;$B663,'3) Release_Label'!$D:$D&amp;'3) Release_Label'!$E:$E,1,0))),vlookup($A663&amp;$B663,{'3) Release_Label'!$D:$D&amp;'3) Release_Label'!$E:$E,'3) Release_Label'!$F:$F},2,0), or(and(not(isblank($B663)),$B663=$B662,$A663&lt;&gt;$A662),and(not(isblank($A663)),$A663=$A662,$B663&lt;&gt;$B662)),"ID LISTS UNALIGNED",and($A663&lt;&gt;"",countif('3) Release_Label'!$D:$D,$A663)=0),"NO UPC MATCH in Release_Label",and($B663&lt;&gt;"",countif('3) Release_Label'!$E:$E,$B663)=0),"NO CATALOG ID MATCH in Release_Label",iserror(vlookup($A663&amp;$B663,'3) Release_Label'!$D:$D&amp;'3) Release_Label'!$E:$E,1,0)),"NO UPC-CATALOG ID pair MATCH in Release_Label" )</f>
        <v/>
      </c>
      <c r="D663" s="121" t="str">
        <f t="array" ref="D663">ifs(and(isblank($A663),isblank($B663)),"", not(iserror(vlookup($A663&amp;$B663,'3) Release_Label'!$D:$D&amp;'3) Release_Label'!$E:$E,1,0))),vlookup($A663&amp;$B663,{'3) Release_Label'!$D:$D&amp;'3) Release_Label'!$E:$E,'3) Release_Label'!$H:$H},2,0), or(and(not(isblank($B663)),$B663=$B662,$A663&lt;&gt;$A662),and(not(isblank($A663)),$A663=$A662,$B663&lt;&gt;$B662)),"ID LISTS UNALIGNED",and($A663&lt;&gt;"",countif('3) Release_Label'!$D:$D,$A663)=0),"NO UPC MATCH in Release_Label",and($B663&lt;&gt;"",countif('3) Release_Label'!$E:$E,$B663)=0),"NO CATALOG ID MATCH in Release_Label",iserror(vlookup($A663&amp;$B663,'3) Release_Label'!$D:$D&amp;'3) Release_Label'!$E:$E,1,0)),"NO UPC-CATALOG ID pair MATCH in Release_Label" )</f>
        <v/>
      </c>
      <c r="E663" s="141" t="str">
        <f t="shared" si="2"/>
        <v/>
      </c>
      <c r="G663" s="103"/>
      <c r="H663" s="152"/>
      <c r="J663" s="99"/>
      <c r="K663" s="104"/>
      <c r="L663" s="99"/>
      <c r="N663" s="99"/>
      <c r="O663" s="99"/>
      <c r="P663" s="34"/>
    </row>
    <row r="664">
      <c r="A664" s="28"/>
      <c r="B664" s="103"/>
      <c r="C664" s="121" t="str">
        <f t="array" ref="C664">ifs(and(isblank($A664),isblank($B664)),"", not(iserror(vlookup($A664&amp;$B664,'3) Release_Label'!$D:$D&amp;'3) Release_Label'!$E:$E,1,0))),vlookup($A664&amp;$B664,{'3) Release_Label'!$D:$D&amp;'3) Release_Label'!$E:$E,'3) Release_Label'!$F:$F},2,0), or(and(not(isblank($B664)),$B664=$B663,$A664&lt;&gt;$A663),and(not(isblank($A664)),$A664=$A663,$B664&lt;&gt;$B663)),"ID LISTS UNALIGNED",and($A664&lt;&gt;"",countif('3) Release_Label'!$D:$D,$A664)=0),"NO UPC MATCH in Release_Label",and($B664&lt;&gt;"",countif('3) Release_Label'!$E:$E,$B664)=0),"NO CATALOG ID MATCH in Release_Label",iserror(vlookup($A664&amp;$B664,'3) Release_Label'!$D:$D&amp;'3) Release_Label'!$E:$E,1,0)),"NO UPC-CATALOG ID pair MATCH in Release_Label" )</f>
        <v/>
      </c>
      <c r="D664" s="121" t="str">
        <f t="array" ref="D664">ifs(and(isblank($A664),isblank($B664)),"", not(iserror(vlookup($A664&amp;$B664,'3) Release_Label'!$D:$D&amp;'3) Release_Label'!$E:$E,1,0))),vlookup($A664&amp;$B664,{'3) Release_Label'!$D:$D&amp;'3) Release_Label'!$E:$E,'3) Release_Label'!$H:$H},2,0), or(and(not(isblank($B664)),$B664=$B663,$A664&lt;&gt;$A663),and(not(isblank($A664)),$A664=$A663,$B664&lt;&gt;$B663)),"ID LISTS UNALIGNED",and($A664&lt;&gt;"",countif('3) Release_Label'!$D:$D,$A664)=0),"NO UPC MATCH in Release_Label",and($B664&lt;&gt;"",countif('3) Release_Label'!$E:$E,$B664)=0),"NO CATALOG ID MATCH in Release_Label",iserror(vlookup($A664&amp;$B664,'3) Release_Label'!$D:$D&amp;'3) Release_Label'!$E:$E,1,0)),"NO UPC-CATALOG ID pair MATCH in Release_Label" )</f>
        <v/>
      </c>
      <c r="E664" s="141" t="str">
        <f t="shared" si="2"/>
        <v/>
      </c>
      <c r="G664" s="103"/>
      <c r="H664" s="152"/>
      <c r="J664" s="99"/>
      <c r="K664" s="104"/>
      <c r="L664" s="99"/>
      <c r="N664" s="99"/>
      <c r="O664" s="99"/>
      <c r="P664" s="34"/>
    </row>
    <row r="665">
      <c r="A665" s="28"/>
      <c r="B665" s="103"/>
      <c r="C665" s="121" t="str">
        <f t="array" ref="C665">ifs(and(isblank($A665),isblank($B665)),"", not(iserror(vlookup($A665&amp;$B665,'3) Release_Label'!$D:$D&amp;'3) Release_Label'!$E:$E,1,0))),vlookup($A665&amp;$B665,{'3) Release_Label'!$D:$D&amp;'3) Release_Label'!$E:$E,'3) Release_Label'!$F:$F},2,0), or(and(not(isblank($B665)),$B665=$B664,$A665&lt;&gt;$A664),and(not(isblank($A665)),$A665=$A664,$B665&lt;&gt;$B664)),"ID LISTS UNALIGNED",and($A665&lt;&gt;"",countif('3) Release_Label'!$D:$D,$A665)=0),"NO UPC MATCH in Release_Label",and($B665&lt;&gt;"",countif('3) Release_Label'!$E:$E,$B665)=0),"NO CATALOG ID MATCH in Release_Label",iserror(vlookup($A665&amp;$B665,'3) Release_Label'!$D:$D&amp;'3) Release_Label'!$E:$E,1,0)),"NO UPC-CATALOG ID pair MATCH in Release_Label" )</f>
        <v/>
      </c>
      <c r="D665" s="121" t="str">
        <f t="array" ref="D665">ifs(and(isblank($A665),isblank($B665)),"", not(iserror(vlookup($A665&amp;$B665,'3) Release_Label'!$D:$D&amp;'3) Release_Label'!$E:$E,1,0))),vlookup($A665&amp;$B665,{'3) Release_Label'!$D:$D&amp;'3) Release_Label'!$E:$E,'3) Release_Label'!$H:$H},2,0), or(and(not(isblank($B665)),$B665=$B664,$A665&lt;&gt;$A664),and(not(isblank($A665)),$A665=$A664,$B665&lt;&gt;$B664)),"ID LISTS UNALIGNED",and($A665&lt;&gt;"",countif('3) Release_Label'!$D:$D,$A665)=0),"NO UPC MATCH in Release_Label",and($B665&lt;&gt;"",countif('3) Release_Label'!$E:$E,$B665)=0),"NO CATALOG ID MATCH in Release_Label",iserror(vlookup($A665&amp;$B665,'3) Release_Label'!$D:$D&amp;'3) Release_Label'!$E:$E,1,0)),"NO UPC-CATALOG ID pair MATCH in Release_Label" )</f>
        <v/>
      </c>
      <c r="E665" s="141" t="str">
        <f t="shared" si="2"/>
        <v/>
      </c>
      <c r="G665" s="103"/>
      <c r="H665" s="152"/>
      <c r="J665" s="99"/>
      <c r="K665" s="104"/>
      <c r="L665" s="99"/>
      <c r="N665" s="99"/>
      <c r="O665" s="99"/>
      <c r="P665" s="34"/>
    </row>
    <row r="666">
      <c r="A666" s="28"/>
      <c r="B666" s="103"/>
      <c r="C666" s="121" t="str">
        <f t="array" ref="C666">ifs(and(isblank($A666),isblank($B666)),"", not(iserror(vlookup($A666&amp;$B666,'3) Release_Label'!$D:$D&amp;'3) Release_Label'!$E:$E,1,0))),vlookup($A666&amp;$B666,{'3) Release_Label'!$D:$D&amp;'3) Release_Label'!$E:$E,'3) Release_Label'!$F:$F},2,0), or(and(not(isblank($B666)),$B666=$B665,$A666&lt;&gt;$A665),and(not(isblank($A666)),$A666=$A665,$B666&lt;&gt;$B665)),"ID LISTS UNALIGNED",and($A666&lt;&gt;"",countif('3) Release_Label'!$D:$D,$A666)=0),"NO UPC MATCH in Release_Label",and($B666&lt;&gt;"",countif('3) Release_Label'!$E:$E,$B666)=0),"NO CATALOG ID MATCH in Release_Label",iserror(vlookup($A666&amp;$B666,'3) Release_Label'!$D:$D&amp;'3) Release_Label'!$E:$E,1,0)),"NO UPC-CATALOG ID pair MATCH in Release_Label" )</f>
        <v/>
      </c>
      <c r="D666" s="121" t="str">
        <f t="array" ref="D666">ifs(and(isblank($A666),isblank($B666)),"", not(iserror(vlookup($A666&amp;$B666,'3) Release_Label'!$D:$D&amp;'3) Release_Label'!$E:$E,1,0))),vlookup($A666&amp;$B666,{'3) Release_Label'!$D:$D&amp;'3) Release_Label'!$E:$E,'3) Release_Label'!$H:$H},2,0), or(and(not(isblank($B666)),$B666=$B665,$A666&lt;&gt;$A665),and(not(isblank($A666)),$A666=$A665,$B666&lt;&gt;$B665)),"ID LISTS UNALIGNED",and($A666&lt;&gt;"",countif('3) Release_Label'!$D:$D,$A666)=0),"NO UPC MATCH in Release_Label",and($B666&lt;&gt;"",countif('3) Release_Label'!$E:$E,$B666)=0),"NO CATALOG ID MATCH in Release_Label",iserror(vlookup($A666&amp;$B666,'3) Release_Label'!$D:$D&amp;'3) Release_Label'!$E:$E,1,0)),"NO UPC-CATALOG ID pair MATCH in Release_Label" )</f>
        <v/>
      </c>
      <c r="E666" s="141" t="str">
        <f t="shared" si="2"/>
        <v/>
      </c>
      <c r="G666" s="103"/>
      <c r="H666" s="152"/>
      <c r="J666" s="99"/>
      <c r="K666" s="104"/>
      <c r="L666" s="99"/>
      <c r="N666" s="99"/>
      <c r="O666" s="99"/>
      <c r="P666" s="34"/>
    </row>
    <row r="667">
      <c r="A667" s="28"/>
      <c r="B667" s="103"/>
      <c r="C667" s="121" t="str">
        <f t="array" ref="C667">ifs(and(isblank($A667),isblank($B667)),"", not(iserror(vlookup($A667&amp;$B667,'3) Release_Label'!$D:$D&amp;'3) Release_Label'!$E:$E,1,0))),vlookup($A667&amp;$B667,{'3) Release_Label'!$D:$D&amp;'3) Release_Label'!$E:$E,'3) Release_Label'!$F:$F},2,0), or(and(not(isblank($B667)),$B667=$B666,$A667&lt;&gt;$A666),and(not(isblank($A667)),$A667=$A666,$B667&lt;&gt;$B666)),"ID LISTS UNALIGNED",and($A667&lt;&gt;"",countif('3) Release_Label'!$D:$D,$A667)=0),"NO UPC MATCH in Release_Label",and($B667&lt;&gt;"",countif('3) Release_Label'!$E:$E,$B667)=0),"NO CATALOG ID MATCH in Release_Label",iserror(vlookup($A667&amp;$B667,'3) Release_Label'!$D:$D&amp;'3) Release_Label'!$E:$E,1,0)),"NO UPC-CATALOG ID pair MATCH in Release_Label" )</f>
        <v/>
      </c>
      <c r="D667" s="121" t="str">
        <f t="array" ref="D667">ifs(and(isblank($A667),isblank($B667)),"", not(iserror(vlookup($A667&amp;$B667,'3) Release_Label'!$D:$D&amp;'3) Release_Label'!$E:$E,1,0))),vlookup($A667&amp;$B667,{'3) Release_Label'!$D:$D&amp;'3) Release_Label'!$E:$E,'3) Release_Label'!$H:$H},2,0), or(and(not(isblank($B667)),$B667=$B666,$A667&lt;&gt;$A666),and(not(isblank($A667)),$A667=$A666,$B667&lt;&gt;$B666)),"ID LISTS UNALIGNED",and($A667&lt;&gt;"",countif('3) Release_Label'!$D:$D,$A667)=0),"NO UPC MATCH in Release_Label",and($B667&lt;&gt;"",countif('3) Release_Label'!$E:$E,$B667)=0),"NO CATALOG ID MATCH in Release_Label",iserror(vlookup($A667&amp;$B667,'3) Release_Label'!$D:$D&amp;'3) Release_Label'!$E:$E,1,0)),"NO UPC-CATALOG ID pair MATCH in Release_Label" )</f>
        <v/>
      </c>
      <c r="E667" s="141" t="str">
        <f t="shared" si="2"/>
        <v/>
      </c>
      <c r="G667" s="103"/>
      <c r="H667" s="152"/>
      <c r="J667" s="99"/>
      <c r="K667" s="104"/>
      <c r="L667" s="99"/>
      <c r="N667" s="99"/>
      <c r="O667" s="99"/>
      <c r="P667" s="34"/>
    </row>
    <row r="668">
      <c r="A668" s="28"/>
      <c r="B668" s="103"/>
      <c r="C668" s="121" t="str">
        <f t="array" ref="C668">ifs(and(isblank($A668),isblank($B668)),"", not(iserror(vlookup($A668&amp;$B668,'3) Release_Label'!$D:$D&amp;'3) Release_Label'!$E:$E,1,0))),vlookup($A668&amp;$B668,{'3) Release_Label'!$D:$D&amp;'3) Release_Label'!$E:$E,'3) Release_Label'!$F:$F},2,0), or(and(not(isblank($B668)),$B668=$B667,$A668&lt;&gt;$A667),and(not(isblank($A668)),$A668=$A667,$B668&lt;&gt;$B667)),"ID LISTS UNALIGNED",and($A668&lt;&gt;"",countif('3) Release_Label'!$D:$D,$A668)=0),"NO UPC MATCH in Release_Label",and($B668&lt;&gt;"",countif('3) Release_Label'!$E:$E,$B668)=0),"NO CATALOG ID MATCH in Release_Label",iserror(vlookup($A668&amp;$B668,'3) Release_Label'!$D:$D&amp;'3) Release_Label'!$E:$E,1,0)),"NO UPC-CATALOG ID pair MATCH in Release_Label" )</f>
        <v/>
      </c>
      <c r="D668" s="121" t="str">
        <f t="array" ref="D668">ifs(and(isblank($A668),isblank($B668)),"", not(iserror(vlookup($A668&amp;$B668,'3) Release_Label'!$D:$D&amp;'3) Release_Label'!$E:$E,1,0))),vlookup($A668&amp;$B668,{'3) Release_Label'!$D:$D&amp;'3) Release_Label'!$E:$E,'3) Release_Label'!$H:$H},2,0), or(and(not(isblank($B668)),$B668=$B667,$A668&lt;&gt;$A667),and(not(isblank($A668)),$A668=$A667,$B668&lt;&gt;$B667)),"ID LISTS UNALIGNED",and($A668&lt;&gt;"",countif('3) Release_Label'!$D:$D,$A668)=0),"NO UPC MATCH in Release_Label",and($B668&lt;&gt;"",countif('3) Release_Label'!$E:$E,$B668)=0),"NO CATALOG ID MATCH in Release_Label",iserror(vlookup($A668&amp;$B668,'3) Release_Label'!$D:$D&amp;'3) Release_Label'!$E:$E,1,0)),"NO UPC-CATALOG ID pair MATCH in Release_Label" )</f>
        <v/>
      </c>
      <c r="E668" s="141" t="str">
        <f t="shared" si="2"/>
        <v/>
      </c>
      <c r="G668" s="103"/>
      <c r="H668" s="152"/>
      <c r="J668" s="99"/>
      <c r="K668" s="104"/>
      <c r="L668" s="99"/>
      <c r="N668" s="99"/>
      <c r="O668" s="99"/>
      <c r="P668" s="34"/>
    </row>
    <row r="669">
      <c r="A669" s="28"/>
      <c r="B669" s="103"/>
      <c r="C669" s="121" t="str">
        <f t="array" ref="C669">ifs(and(isblank($A669),isblank($B669)),"", not(iserror(vlookup($A669&amp;$B669,'3) Release_Label'!$D:$D&amp;'3) Release_Label'!$E:$E,1,0))),vlookup($A669&amp;$B669,{'3) Release_Label'!$D:$D&amp;'3) Release_Label'!$E:$E,'3) Release_Label'!$F:$F},2,0), or(and(not(isblank($B669)),$B669=$B668,$A669&lt;&gt;$A668),and(not(isblank($A669)),$A669=$A668,$B669&lt;&gt;$B668)),"ID LISTS UNALIGNED",and($A669&lt;&gt;"",countif('3) Release_Label'!$D:$D,$A669)=0),"NO UPC MATCH in Release_Label",and($B669&lt;&gt;"",countif('3) Release_Label'!$E:$E,$B669)=0),"NO CATALOG ID MATCH in Release_Label",iserror(vlookup($A669&amp;$B669,'3) Release_Label'!$D:$D&amp;'3) Release_Label'!$E:$E,1,0)),"NO UPC-CATALOG ID pair MATCH in Release_Label" )</f>
        <v/>
      </c>
      <c r="D669" s="121" t="str">
        <f t="array" ref="D669">ifs(and(isblank($A669),isblank($B669)),"", not(iserror(vlookup($A669&amp;$B669,'3) Release_Label'!$D:$D&amp;'3) Release_Label'!$E:$E,1,0))),vlookup($A669&amp;$B669,{'3) Release_Label'!$D:$D&amp;'3) Release_Label'!$E:$E,'3) Release_Label'!$H:$H},2,0), or(and(not(isblank($B669)),$B669=$B668,$A669&lt;&gt;$A668),and(not(isblank($A669)),$A669=$A668,$B669&lt;&gt;$B668)),"ID LISTS UNALIGNED",and($A669&lt;&gt;"",countif('3) Release_Label'!$D:$D,$A669)=0),"NO UPC MATCH in Release_Label",and($B669&lt;&gt;"",countif('3) Release_Label'!$E:$E,$B669)=0),"NO CATALOG ID MATCH in Release_Label",iserror(vlookup($A669&amp;$B669,'3) Release_Label'!$D:$D&amp;'3) Release_Label'!$E:$E,1,0)),"NO UPC-CATALOG ID pair MATCH in Release_Label" )</f>
        <v/>
      </c>
      <c r="E669" s="141" t="str">
        <f t="shared" si="2"/>
        <v/>
      </c>
      <c r="G669" s="103"/>
      <c r="H669" s="152"/>
      <c r="J669" s="99"/>
      <c r="K669" s="104"/>
      <c r="L669" s="99"/>
      <c r="N669" s="99"/>
      <c r="O669" s="99"/>
      <c r="P669" s="34"/>
    </row>
    <row r="670">
      <c r="A670" s="28"/>
      <c r="B670" s="103"/>
      <c r="C670" s="121" t="str">
        <f t="array" ref="C670">ifs(and(isblank($A670),isblank($B670)),"", not(iserror(vlookup($A670&amp;$B670,'3) Release_Label'!$D:$D&amp;'3) Release_Label'!$E:$E,1,0))),vlookup($A670&amp;$B670,{'3) Release_Label'!$D:$D&amp;'3) Release_Label'!$E:$E,'3) Release_Label'!$F:$F},2,0), or(and(not(isblank($B670)),$B670=$B669,$A670&lt;&gt;$A669),and(not(isblank($A670)),$A670=$A669,$B670&lt;&gt;$B669)),"ID LISTS UNALIGNED",and($A670&lt;&gt;"",countif('3) Release_Label'!$D:$D,$A670)=0),"NO UPC MATCH in Release_Label",and($B670&lt;&gt;"",countif('3) Release_Label'!$E:$E,$B670)=0),"NO CATALOG ID MATCH in Release_Label",iserror(vlookup($A670&amp;$B670,'3) Release_Label'!$D:$D&amp;'3) Release_Label'!$E:$E,1,0)),"NO UPC-CATALOG ID pair MATCH in Release_Label" )</f>
        <v/>
      </c>
      <c r="D670" s="121" t="str">
        <f t="array" ref="D670">ifs(and(isblank($A670),isblank($B670)),"", not(iserror(vlookup($A670&amp;$B670,'3) Release_Label'!$D:$D&amp;'3) Release_Label'!$E:$E,1,0))),vlookup($A670&amp;$B670,{'3) Release_Label'!$D:$D&amp;'3) Release_Label'!$E:$E,'3) Release_Label'!$H:$H},2,0), or(and(not(isblank($B670)),$B670=$B669,$A670&lt;&gt;$A669),and(not(isblank($A670)),$A670=$A669,$B670&lt;&gt;$B669)),"ID LISTS UNALIGNED",and($A670&lt;&gt;"",countif('3) Release_Label'!$D:$D,$A670)=0),"NO UPC MATCH in Release_Label",and($B670&lt;&gt;"",countif('3) Release_Label'!$E:$E,$B670)=0),"NO CATALOG ID MATCH in Release_Label",iserror(vlookup($A670&amp;$B670,'3) Release_Label'!$D:$D&amp;'3) Release_Label'!$E:$E,1,0)),"NO UPC-CATALOG ID pair MATCH in Release_Label" )</f>
        <v/>
      </c>
      <c r="E670" s="141" t="str">
        <f t="shared" si="2"/>
        <v/>
      </c>
      <c r="G670" s="103"/>
      <c r="H670" s="152"/>
      <c r="J670" s="99"/>
      <c r="K670" s="104"/>
      <c r="L670" s="99"/>
      <c r="N670" s="99"/>
      <c r="O670" s="99"/>
      <c r="P670" s="34"/>
    </row>
    <row r="671">
      <c r="A671" s="28"/>
      <c r="B671" s="103"/>
      <c r="C671" s="121" t="str">
        <f t="array" ref="C671">ifs(and(isblank($A671),isblank($B671)),"", not(iserror(vlookup($A671&amp;$B671,'3) Release_Label'!$D:$D&amp;'3) Release_Label'!$E:$E,1,0))),vlookup($A671&amp;$B671,{'3) Release_Label'!$D:$D&amp;'3) Release_Label'!$E:$E,'3) Release_Label'!$F:$F},2,0), or(and(not(isblank($B671)),$B671=$B670,$A671&lt;&gt;$A670),and(not(isblank($A671)),$A671=$A670,$B671&lt;&gt;$B670)),"ID LISTS UNALIGNED",and($A671&lt;&gt;"",countif('3) Release_Label'!$D:$D,$A671)=0),"NO UPC MATCH in Release_Label",and($B671&lt;&gt;"",countif('3) Release_Label'!$E:$E,$B671)=0),"NO CATALOG ID MATCH in Release_Label",iserror(vlookup($A671&amp;$B671,'3) Release_Label'!$D:$D&amp;'3) Release_Label'!$E:$E,1,0)),"NO UPC-CATALOG ID pair MATCH in Release_Label" )</f>
        <v/>
      </c>
      <c r="D671" s="121" t="str">
        <f t="array" ref="D671">ifs(and(isblank($A671),isblank($B671)),"", not(iserror(vlookup($A671&amp;$B671,'3) Release_Label'!$D:$D&amp;'3) Release_Label'!$E:$E,1,0))),vlookup($A671&amp;$B671,{'3) Release_Label'!$D:$D&amp;'3) Release_Label'!$E:$E,'3) Release_Label'!$H:$H},2,0), or(and(not(isblank($B671)),$B671=$B670,$A671&lt;&gt;$A670),and(not(isblank($A671)),$A671=$A670,$B671&lt;&gt;$B670)),"ID LISTS UNALIGNED",and($A671&lt;&gt;"",countif('3) Release_Label'!$D:$D,$A671)=0),"NO UPC MATCH in Release_Label",and($B671&lt;&gt;"",countif('3) Release_Label'!$E:$E,$B671)=0),"NO CATALOG ID MATCH in Release_Label",iserror(vlookup($A671&amp;$B671,'3) Release_Label'!$D:$D&amp;'3) Release_Label'!$E:$E,1,0)),"NO UPC-CATALOG ID pair MATCH in Release_Label" )</f>
        <v/>
      </c>
      <c r="E671" s="141" t="str">
        <f t="shared" si="2"/>
        <v/>
      </c>
      <c r="G671" s="103"/>
      <c r="H671" s="152"/>
      <c r="J671" s="99"/>
      <c r="K671" s="104"/>
      <c r="L671" s="99"/>
      <c r="N671" s="99"/>
      <c r="O671" s="99"/>
      <c r="P671" s="34"/>
    </row>
    <row r="672">
      <c r="A672" s="28"/>
      <c r="B672" s="103"/>
      <c r="C672" s="121" t="str">
        <f t="array" ref="C672">ifs(and(isblank($A672),isblank($B672)),"", not(iserror(vlookup($A672&amp;$B672,'3) Release_Label'!$D:$D&amp;'3) Release_Label'!$E:$E,1,0))),vlookup($A672&amp;$B672,{'3) Release_Label'!$D:$D&amp;'3) Release_Label'!$E:$E,'3) Release_Label'!$F:$F},2,0), or(and(not(isblank($B672)),$B672=$B671,$A672&lt;&gt;$A671),and(not(isblank($A672)),$A672=$A671,$B672&lt;&gt;$B671)),"ID LISTS UNALIGNED",and($A672&lt;&gt;"",countif('3) Release_Label'!$D:$D,$A672)=0),"NO UPC MATCH in Release_Label",and($B672&lt;&gt;"",countif('3) Release_Label'!$E:$E,$B672)=0),"NO CATALOG ID MATCH in Release_Label",iserror(vlookup($A672&amp;$B672,'3) Release_Label'!$D:$D&amp;'3) Release_Label'!$E:$E,1,0)),"NO UPC-CATALOG ID pair MATCH in Release_Label" )</f>
        <v/>
      </c>
      <c r="D672" s="121" t="str">
        <f t="array" ref="D672">ifs(and(isblank($A672),isblank($B672)),"", not(iserror(vlookup($A672&amp;$B672,'3) Release_Label'!$D:$D&amp;'3) Release_Label'!$E:$E,1,0))),vlookup($A672&amp;$B672,{'3) Release_Label'!$D:$D&amp;'3) Release_Label'!$E:$E,'3) Release_Label'!$H:$H},2,0), or(and(not(isblank($B672)),$B672=$B671,$A672&lt;&gt;$A671),and(not(isblank($A672)),$A672=$A671,$B672&lt;&gt;$B671)),"ID LISTS UNALIGNED",and($A672&lt;&gt;"",countif('3) Release_Label'!$D:$D,$A672)=0),"NO UPC MATCH in Release_Label",and($B672&lt;&gt;"",countif('3) Release_Label'!$E:$E,$B672)=0),"NO CATALOG ID MATCH in Release_Label",iserror(vlookup($A672&amp;$B672,'3) Release_Label'!$D:$D&amp;'3) Release_Label'!$E:$E,1,0)),"NO UPC-CATALOG ID pair MATCH in Release_Label" )</f>
        <v/>
      </c>
      <c r="E672" s="141" t="str">
        <f t="shared" si="2"/>
        <v/>
      </c>
      <c r="G672" s="103"/>
      <c r="H672" s="152"/>
      <c r="J672" s="99"/>
      <c r="K672" s="104"/>
      <c r="L672" s="99"/>
      <c r="N672" s="99"/>
      <c r="O672" s="99"/>
      <c r="P672" s="34"/>
    </row>
    <row r="673">
      <c r="A673" s="28"/>
      <c r="B673" s="103"/>
      <c r="C673" s="121" t="str">
        <f t="array" ref="C673">ifs(and(isblank($A673),isblank($B673)),"", not(iserror(vlookup($A673&amp;$B673,'3) Release_Label'!$D:$D&amp;'3) Release_Label'!$E:$E,1,0))),vlookup($A673&amp;$B673,{'3) Release_Label'!$D:$D&amp;'3) Release_Label'!$E:$E,'3) Release_Label'!$F:$F},2,0), or(and(not(isblank($B673)),$B673=$B672,$A673&lt;&gt;$A672),and(not(isblank($A673)),$A673=$A672,$B673&lt;&gt;$B672)),"ID LISTS UNALIGNED",and($A673&lt;&gt;"",countif('3) Release_Label'!$D:$D,$A673)=0),"NO UPC MATCH in Release_Label",and($B673&lt;&gt;"",countif('3) Release_Label'!$E:$E,$B673)=0),"NO CATALOG ID MATCH in Release_Label",iserror(vlookup($A673&amp;$B673,'3) Release_Label'!$D:$D&amp;'3) Release_Label'!$E:$E,1,0)),"NO UPC-CATALOG ID pair MATCH in Release_Label" )</f>
        <v/>
      </c>
      <c r="D673" s="121" t="str">
        <f t="array" ref="D673">ifs(and(isblank($A673),isblank($B673)),"", not(iserror(vlookup($A673&amp;$B673,'3) Release_Label'!$D:$D&amp;'3) Release_Label'!$E:$E,1,0))),vlookup($A673&amp;$B673,{'3) Release_Label'!$D:$D&amp;'3) Release_Label'!$E:$E,'3) Release_Label'!$H:$H},2,0), or(and(not(isblank($B673)),$B673=$B672,$A673&lt;&gt;$A672),and(not(isblank($A673)),$A673=$A672,$B673&lt;&gt;$B672)),"ID LISTS UNALIGNED",and($A673&lt;&gt;"",countif('3) Release_Label'!$D:$D,$A673)=0),"NO UPC MATCH in Release_Label",and($B673&lt;&gt;"",countif('3) Release_Label'!$E:$E,$B673)=0),"NO CATALOG ID MATCH in Release_Label",iserror(vlookup($A673&amp;$B673,'3) Release_Label'!$D:$D&amp;'3) Release_Label'!$E:$E,1,0)),"NO UPC-CATALOG ID pair MATCH in Release_Label" )</f>
        <v/>
      </c>
      <c r="E673" s="141" t="str">
        <f t="shared" si="2"/>
        <v/>
      </c>
      <c r="G673" s="103"/>
      <c r="H673" s="152"/>
      <c r="J673" s="99"/>
      <c r="K673" s="104"/>
      <c r="L673" s="99"/>
      <c r="N673" s="99"/>
      <c r="O673" s="99"/>
      <c r="P673" s="34"/>
    </row>
    <row r="674">
      <c r="A674" s="28"/>
      <c r="B674" s="103"/>
      <c r="C674" s="121" t="str">
        <f t="array" ref="C674">ifs(and(isblank($A674),isblank($B674)),"", not(iserror(vlookup($A674&amp;$B674,'3) Release_Label'!$D:$D&amp;'3) Release_Label'!$E:$E,1,0))),vlookup($A674&amp;$B674,{'3) Release_Label'!$D:$D&amp;'3) Release_Label'!$E:$E,'3) Release_Label'!$F:$F},2,0), or(and(not(isblank($B674)),$B674=$B673,$A674&lt;&gt;$A673),and(not(isblank($A674)),$A674=$A673,$B674&lt;&gt;$B673)),"ID LISTS UNALIGNED",and($A674&lt;&gt;"",countif('3) Release_Label'!$D:$D,$A674)=0),"NO UPC MATCH in Release_Label",and($B674&lt;&gt;"",countif('3) Release_Label'!$E:$E,$B674)=0),"NO CATALOG ID MATCH in Release_Label",iserror(vlookup($A674&amp;$B674,'3) Release_Label'!$D:$D&amp;'3) Release_Label'!$E:$E,1,0)),"NO UPC-CATALOG ID pair MATCH in Release_Label" )</f>
        <v/>
      </c>
      <c r="D674" s="121" t="str">
        <f t="array" ref="D674">ifs(and(isblank($A674),isblank($B674)),"", not(iserror(vlookup($A674&amp;$B674,'3) Release_Label'!$D:$D&amp;'3) Release_Label'!$E:$E,1,0))),vlookup($A674&amp;$B674,{'3) Release_Label'!$D:$D&amp;'3) Release_Label'!$E:$E,'3) Release_Label'!$H:$H},2,0), or(and(not(isblank($B674)),$B674=$B673,$A674&lt;&gt;$A673),and(not(isblank($A674)),$A674=$A673,$B674&lt;&gt;$B673)),"ID LISTS UNALIGNED",and($A674&lt;&gt;"",countif('3) Release_Label'!$D:$D,$A674)=0),"NO UPC MATCH in Release_Label",and($B674&lt;&gt;"",countif('3) Release_Label'!$E:$E,$B674)=0),"NO CATALOG ID MATCH in Release_Label",iserror(vlookup($A674&amp;$B674,'3) Release_Label'!$D:$D&amp;'3) Release_Label'!$E:$E,1,0)),"NO UPC-CATALOG ID pair MATCH in Release_Label" )</f>
        <v/>
      </c>
      <c r="E674" s="141" t="str">
        <f t="shared" si="2"/>
        <v/>
      </c>
      <c r="G674" s="103"/>
      <c r="H674" s="152"/>
      <c r="J674" s="99"/>
      <c r="K674" s="104"/>
      <c r="L674" s="99"/>
      <c r="N674" s="99"/>
      <c r="O674" s="99"/>
      <c r="P674" s="34"/>
    </row>
    <row r="675">
      <c r="A675" s="28"/>
      <c r="B675" s="103"/>
      <c r="C675" s="121" t="str">
        <f t="array" ref="C675">ifs(and(isblank($A675),isblank($B675)),"", not(iserror(vlookup($A675&amp;$B675,'3) Release_Label'!$D:$D&amp;'3) Release_Label'!$E:$E,1,0))),vlookup($A675&amp;$B675,{'3) Release_Label'!$D:$D&amp;'3) Release_Label'!$E:$E,'3) Release_Label'!$F:$F},2,0), or(and(not(isblank($B675)),$B675=$B674,$A675&lt;&gt;$A674),and(not(isblank($A675)),$A675=$A674,$B675&lt;&gt;$B674)),"ID LISTS UNALIGNED",and($A675&lt;&gt;"",countif('3) Release_Label'!$D:$D,$A675)=0),"NO UPC MATCH in Release_Label",and($B675&lt;&gt;"",countif('3) Release_Label'!$E:$E,$B675)=0),"NO CATALOG ID MATCH in Release_Label",iserror(vlookup($A675&amp;$B675,'3) Release_Label'!$D:$D&amp;'3) Release_Label'!$E:$E,1,0)),"NO UPC-CATALOG ID pair MATCH in Release_Label" )</f>
        <v/>
      </c>
      <c r="D675" s="121" t="str">
        <f t="array" ref="D675">ifs(and(isblank($A675),isblank($B675)),"", not(iserror(vlookup($A675&amp;$B675,'3) Release_Label'!$D:$D&amp;'3) Release_Label'!$E:$E,1,0))),vlookup($A675&amp;$B675,{'3) Release_Label'!$D:$D&amp;'3) Release_Label'!$E:$E,'3) Release_Label'!$H:$H},2,0), or(and(not(isblank($B675)),$B675=$B674,$A675&lt;&gt;$A674),and(not(isblank($A675)),$A675=$A674,$B675&lt;&gt;$B674)),"ID LISTS UNALIGNED",and($A675&lt;&gt;"",countif('3) Release_Label'!$D:$D,$A675)=0),"NO UPC MATCH in Release_Label",and($B675&lt;&gt;"",countif('3) Release_Label'!$E:$E,$B675)=0),"NO CATALOG ID MATCH in Release_Label",iserror(vlookup($A675&amp;$B675,'3) Release_Label'!$D:$D&amp;'3) Release_Label'!$E:$E,1,0)),"NO UPC-CATALOG ID pair MATCH in Release_Label" )</f>
        <v/>
      </c>
      <c r="E675" s="141" t="str">
        <f t="shared" si="2"/>
        <v/>
      </c>
      <c r="G675" s="103"/>
      <c r="H675" s="152"/>
      <c r="J675" s="99"/>
      <c r="K675" s="104"/>
      <c r="L675" s="99"/>
      <c r="N675" s="99"/>
      <c r="O675" s="99"/>
      <c r="P675" s="34"/>
    </row>
    <row r="676">
      <c r="A676" s="28"/>
      <c r="B676" s="103"/>
      <c r="C676" s="121" t="str">
        <f t="array" ref="C676">ifs(and(isblank($A676),isblank($B676)),"", not(iserror(vlookup($A676&amp;$B676,'3) Release_Label'!$D:$D&amp;'3) Release_Label'!$E:$E,1,0))),vlookup($A676&amp;$B676,{'3) Release_Label'!$D:$D&amp;'3) Release_Label'!$E:$E,'3) Release_Label'!$F:$F},2,0), or(and(not(isblank($B676)),$B676=$B675,$A676&lt;&gt;$A675),and(not(isblank($A676)),$A676=$A675,$B676&lt;&gt;$B675)),"ID LISTS UNALIGNED",and($A676&lt;&gt;"",countif('3) Release_Label'!$D:$D,$A676)=0),"NO UPC MATCH in Release_Label",and($B676&lt;&gt;"",countif('3) Release_Label'!$E:$E,$B676)=0),"NO CATALOG ID MATCH in Release_Label",iserror(vlookup($A676&amp;$B676,'3) Release_Label'!$D:$D&amp;'3) Release_Label'!$E:$E,1,0)),"NO UPC-CATALOG ID pair MATCH in Release_Label" )</f>
        <v/>
      </c>
      <c r="D676" s="121" t="str">
        <f t="array" ref="D676">ifs(and(isblank($A676),isblank($B676)),"", not(iserror(vlookup($A676&amp;$B676,'3) Release_Label'!$D:$D&amp;'3) Release_Label'!$E:$E,1,0))),vlookup($A676&amp;$B676,{'3) Release_Label'!$D:$D&amp;'3) Release_Label'!$E:$E,'3) Release_Label'!$H:$H},2,0), or(and(not(isblank($B676)),$B676=$B675,$A676&lt;&gt;$A675),and(not(isblank($A676)),$A676=$A675,$B676&lt;&gt;$B675)),"ID LISTS UNALIGNED",and($A676&lt;&gt;"",countif('3) Release_Label'!$D:$D,$A676)=0),"NO UPC MATCH in Release_Label",and($B676&lt;&gt;"",countif('3) Release_Label'!$E:$E,$B676)=0),"NO CATALOG ID MATCH in Release_Label",iserror(vlookup($A676&amp;$B676,'3) Release_Label'!$D:$D&amp;'3) Release_Label'!$E:$E,1,0)),"NO UPC-CATALOG ID pair MATCH in Release_Label" )</f>
        <v/>
      </c>
      <c r="E676" s="141" t="str">
        <f t="shared" si="2"/>
        <v/>
      </c>
      <c r="G676" s="103"/>
      <c r="H676" s="152"/>
      <c r="J676" s="99"/>
      <c r="K676" s="104"/>
      <c r="L676" s="99"/>
      <c r="N676" s="99"/>
      <c r="O676" s="99"/>
      <c r="P676" s="34"/>
    </row>
    <row r="677">
      <c r="A677" s="28"/>
      <c r="B677" s="103"/>
      <c r="C677" s="121" t="str">
        <f t="array" ref="C677">ifs(and(isblank($A677),isblank($B677)),"", not(iserror(vlookup($A677&amp;$B677,'3) Release_Label'!$D:$D&amp;'3) Release_Label'!$E:$E,1,0))),vlookup($A677&amp;$B677,{'3) Release_Label'!$D:$D&amp;'3) Release_Label'!$E:$E,'3) Release_Label'!$F:$F},2,0), or(and(not(isblank($B677)),$B677=$B676,$A677&lt;&gt;$A676),and(not(isblank($A677)),$A677=$A676,$B677&lt;&gt;$B676)),"ID LISTS UNALIGNED",and($A677&lt;&gt;"",countif('3) Release_Label'!$D:$D,$A677)=0),"NO UPC MATCH in Release_Label",and($B677&lt;&gt;"",countif('3) Release_Label'!$E:$E,$B677)=0),"NO CATALOG ID MATCH in Release_Label",iserror(vlookup($A677&amp;$B677,'3) Release_Label'!$D:$D&amp;'3) Release_Label'!$E:$E,1,0)),"NO UPC-CATALOG ID pair MATCH in Release_Label" )</f>
        <v/>
      </c>
      <c r="D677" s="121" t="str">
        <f t="array" ref="D677">ifs(and(isblank($A677),isblank($B677)),"", not(iserror(vlookup($A677&amp;$B677,'3) Release_Label'!$D:$D&amp;'3) Release_Label'!$E:$E,1,0))),vlookup($A677&amp;$B677,{'3) Release_Label'!$D:$D&amp;'3) Release_Label'!$E:$E,'3) Release_Label'!$H:$H},2,0), or(and(not(isblank($B677)),$B677=$B676,$A677&lt;&gt;$A676),and(not(isblank($A677)),$A677=$A676,$B677&lt;&gt;$B676)),"ID LISTS UNALIGNED",and($A677&lt;&gt;"",countif('3) Release_Label'!$D:$D,$A677)=0),"NO UPC MATCH in Release_Label",and($B677&lt;&gt;"",countif('3) Release_Label'!$E:$E,$B677)=0),"NO CATALOG ID MATCH in Release_Label",iserror(vlookup($A677&amp;$B677,'3) Release_Label'!$D:$D&amp;'3) Release_Label'!$E:$E,1,0)),"NO UPC-CATALOG ID pair MATCH in Release_Label" )</f>
        <v/>
      </c>
      <c r="E677" s="141" t="str">
        <f t="shared" si="2"/>
        <v/>
      </c>
      <c r="G677" s="103"/>
      <c r="H677" s="152"/>
      <c r="J677" s="99"/>
      <c r="K677" s="104"/>
      <c r="L677" s="99"/>
      <c r="N677" s="99"/>
      <c r="O677" s="99"/>
      <c r="P677" s="34"/>
    </row>
    <row r="678">
      <c r="A678" s="28"/>
      <c r="B678" s="103"/>
      <c r="C678" s="121" t="str">
        <f t="array" ref="C678">ifs(and(isblank($A678),isblank($B678)),"", not(iserror(vlookup($A678&amp;$B678,'3) Release_Label'!$D:$D&amp;'3) Release_Label'!$E:$E,1,0))),vlookup($A678&amp;$B678,{'3) Release_Label'!$D:$D&amp;'3) Release_Label'!$E:$E,'3) Release_Label'!$F:$F},2,0), or(and(not(isblank($B678)),$B678=$B677,$A678&lt;&gt;$A677),and(not(isblank($A678)),$A678=$A677,$B678&lt;&gt;$B677)),"ID LISTS UNALIGNED",and($A678&lt;&gt;"",countif('3) Release_Label'!$D:$D,$A678)=0),"NO UPC MATCH in Release_Label",and($B678&lt;&gt;"",countif('3) Release_Label'!$E:$E,$B678)=0),"NO CATALOG ID MATCH in Release_Label",iserror(vlookup($A678&amp;$B678,'3) Release_Label'!$D:$D&amp;'3) Release_Label'!$E:$E,1,0)),"NO UPC-CATALOG ID pair MATCH in Release_Label" )</f>
        <v/>
      </c>
      <c r="D678" s="121" t="str">
        <f t="array" ref="D678">ifs(and(isblank($A678),isblank($B678)),"", not(iserror(vlookup($A678&amp;$B678,'3) Release_Label'!$D:$D&amp;'3) Release_Label'!$E:$E,1,0))),vlookup($A678&amp;$B678,{'3) Release_Label'!$D:$D&amp;'3) Release_Label'!$E:$E,'3) Release_Label'!$H:$H},2,0), or(and(not(isblank($B678)),$B678=$B677,$A678&lt;&gt;$A677),and(not(isblank($A678)),$A678=$A677,$B678&lt;&gt;$B677)),"ID LISTS UNALIGNED",and($A678&lt;&gt;"",countif('3) Release_Label'!$D:$D,$A678)=0),"NO UPC MATCH in Release_Label",and($B678&lt;&gt;"",countif('3) Release_Label'!$E:$E,$B678)=0),"NO CATALOG ID MATCH in Release_Label",iserror(vlookup($A678&amp;$B678,'3) Release_Label'!$D:$D&amp;'3) Release_Label'!$E:$E,1,0)),"NO UPC-CATALOG ID pair MATCH in Release_Label" )</f>
        <v/>
      </c>
      <c r="E678" s="141" t="str">
        <f t="shared" si="2"/>
        <v/>
      </c>
      <c r="G678" s="103"/>
      <c r="H678" s="152"/>
      <c r="J678" s="99"/>
      <c r="K678" s="104"/>
      <c r="L678" s="99"/>
      <c r="N678" s="99"/>
      <c r="O678" s="99"/>
      <c r="P678" s="34"/>
    </row>
    <row r="679">
      <c r="A679" s="28"/>
      <c r="B679" s="103"/>
      <c r="C679" s="121" t="str">
        <f t="array" ref="C679">ifs(and(isblank($A679),isblank($B679)),"", not(iserror(vlookup($A679&amp;$B679,'3) Release_Label'!$D:$D&amp;'3) Release_Label'!$E:$E,1,0))),vlookup($A679&amp;$B679,{'3) Release_Label'!$D:$D&amp;'3) Release_Label'!$E:$E,'3) Release_Label'!$F:$F},2,0), or(and(not(isblank($B679)),$B679=$B678,$A679&lt;&gt;$A678),and(not(isblank($A679)),$A679=$A678,$B679&lt;&gt;$B678)),"ID LISTS UNALIGNED",and($A679&lt;&gt;"",countif('3) Release_Label'!$D:$D,$A679)=0),"NO UPC MATCH in Release_Label",and($B679&lt;&gt;"",countif('3) Release_Label'!$E:$E,$B679)=0),"NO CATALOG ID MATCH in Release_Label",iserror(vlookup($A679&amp;$B679,'3) Release_Label'!$D:$D&amp;'3) Release_Label'!$E:$E,1,0)),"NO UPC-CATALOG ID pair MATCH in Release_Label" )</f>
        <v/>
      </c>
      <c r="D679" s="121" t="str">
        <f t="array" ref="D679">ifs(and(isblank($A679),isblank($B679)),"", not(iserror(vlookup($A679&amp;$B679,'3) Release_Label'!$D:$D&amp;'3) Release_Label'!$E:$E,1,0))),vlookup($A679&amp;$B679,{'3) Release_Label'!$D:$D&amp;'3) Release_Label'!$E:$E,'3) Release_Label'!$H:$H},2,0), or(and(not(isblank($B679)),$B679=$B678,$A679&lt;&gt;$A678),and(not(isblank($A679)),$A679=$A678,$B679&lt;&gt;$B678)),"ID LISTS UNALIGNED",and($A679&lt;&gt;"",countif('3) Release_Label'!$D:$D,$A679)=0),"NO UPC MATCH in Release_Label",and($B679&lt;&gt;"",countif('3) Release_Label'!$E:$E,$B679)=0),"NO CATALOG ID MATCH in Release_Label",iserror(vlookup($A679&amp;$B679,'3) Release_Label'!$D:$D&amp;'3) Release_Label'!$E:$E,1,0)),"NO UPC-CATALOG ID pair MATCH in Release_Label" )</f>
        <v/>
      </c>
      <c r="E679" s="141" t="str">
        <f t="shared" si="2"/>
        <v/>
      </c>
      <c r="G679" s="103"/>
      <c r="H679" s="152"/>
      <c r="J679" s="99"/>
      <c r="K679" s="104"/>
      <c r="L679" s="99"/>
      <c r="N679" s="99"/>
      <c r="O679" s="99"/>
      <c r="P679" s="34"/>
    </row>
    <row r="680">
      <c r="A680" s="28"/>
      <c r="B680" s="103"/>
      <c r="C680" s="121" t="str">
        <f t="array" ref="C680">ifs(and(isblank($A680),isblank($B680)),"", not(iserror(vlookup($A680&amp;$B680,'3) Release_Label'!$D:$D&amp;'3) Release_Label'!$E:$E,1,0))),vlookup($A680&amp;$B680,{'3) Release_Label'!$D:$D&amp;'3) Release_Label'!$E:$E,'3) Release_Label'!$F:$F},2,0), or(and(not(isblank($B680)),$B680=$B679,$A680&lt;&gt;$A679),and(not(isblank($A680)),$A680=$A679,$B680&lt;&gt;$B679)),"ID LISTS UNALIGNED",and($A680&lt;&gt;"",countif('3) Release_Label'!$D:$D,$A680)=0),"NO UPC MATCH in Release_Label",and($B680&lt;&gt;"",countif('3) Release_Label'!$E:$E,$B680)=0),"NO CATALOG ID MATCH in Release_Label",iserror(vlookup($A680&amp;$B680,'3) Release_Label'!$D:$D&amp;'3) Release_Label'!$E:$E,1,0)),"NO UPC-CATALOG ID pair MATCH in Release_Label" )</f>
        <v/>
      </c>
      <c r="D680" s="121" t="str">
        <f t="array" ref="D680">ifs(and(isblank($A680),isblank($B680)),"", not(iserror(vlookup($A680&amp;$B680,'3) Release_Label'!$D:$D&amp;'3) Release_Label'!$E:$E,1,0))),vlookup($A680&amp;$B680,{'3) Release_Label'!$D:$D&amp;'3) Release_Label'!$E:$E,'3) Release_Label'!$H:$H},2,0), or(and(not(isblank($B680)),$B680=$B679,$A680&lt;&gt;$A679),and(not(isblank($A680)),$A680=$A679,$B680&lt;&gt;$B679)),"ID LISTS UNALIGNED",and($A680&lt;&gt;"",countif('3) Release_Label'!$D:$D,$A680)=0),"NO UPC MATCH in Release_Label",and($B680&lt;&gt;"",countif('3) Release_Label'!$E:$E,$B680)=0),"NO CATALOG ID MATCH in Release_Label",iserror(vlookup($A680&amp;$B680,'3) Release_Label'!$D:$D&amp;'3) Release_Label'!$E:$E,1,0)),"NO UPC-CATALOG ID pair MATCH in Release_Label" )</f>
        <v/>
      </c>
      <c r="E680" s="141" t="str">
        <f t="shared" si="2"/>
        <v/>
      </c>
      <c r="G680" s="103"/>
      <c r="H680" s="152"/>
      <c r="J680" s="99"/>
      <c r="K680" s="104"/>
      <c r="L680" s="99"/>
      <c r="N680" s="99"/>
      <c r="O680" s="99"/>
      <c r="P680" s="34"/>
    </row>
    <row r="681">
      <c r="A681" s="28"/>
      <c r="B681" s="103"/>
      <c r="C681" s="121" t="str">
        <f t="array" ref="C681">ifs(and(isblank($A681),isblank($B681)),"", not(iserror(vlookup($A681&amp;$B681,'3) Release_Label'!$D:$D&amp;'3) Release_Label'!$E:$E,1,0))),vlookup($A681&amp;$B681,{'3) Release_Label'!$D:$D&amp;'3) Release_Label'!$E:$E,'3) Release_Label'!$F:$F},2,0), or(and(not(isblank($B681)),$B681=$B680,$A681&lt;&gt;$A680),and(not(isblank($A681)),$A681=$A680,$B681&lt;&gt;$B680)),"ID LISTS UNALIGNED",and($A681&lt;&gt;"",countif('3) Release_Label'!$D:$D,$A681)=0),"NO UPC MATCH in Release_Label",and($B681&lt;&gt;"",countif('3) Release_Label'!$E:$E,$B681)=0),"NO CATALOG ID MATCH in Release_Label",iserror(vlookup($A681&amp;$B681,'3) Release_Label'!$D:$D&amp;'3) Release_Label'!$E:$E,1,0)),"NO UPC-CATALOG ID pair MATCH in Release_Label" )</f>
        <v/>
      </c>
      <c r="D681" s="121" t="str">
        <f t="array" ref="D681">ifs(and(isblank($A681),isblank($B681)),"", not(iserror(vlookup($A681&amp;$B681,'3) Release_Label'!$D:$D&amp;'3) Release_Label'!$E:$E,1,0))),vlookup($A681&amp;$B681,{'3) Release_Label'!$D:$D&amp;'3) Release_Label'!$E:$E,'3) Release_Label'!$H:$H},2,0), or(and(not(isblank($B681)),$B681=$B680,$A681&lt;&gt;$A680),and(not(isblank($A681)),$A681=$A680,$B681&lt;&gt;$B680)),"ID LISTS UNALIGNED",and($A681&lt;&gt;"",countif('3) Release_Label'!$D:$D,$A681)=0),"NO UPC MATCH in Release_Label",and($B681&lt;&gt;"",countif('3) Release_Label'!$E:$E,$B681)=0),"NO CATALOG ID MATCH in Release_Label",iserror(vlookup($A681&amp;$B681,'3) Release_Label'!$D:$D&amp;'3) Release_Label'!$E:$E,1,0)),"NO UPC-CATALOG ID pair MATCH in Release_Label" )</f>
        <v/>
      </c>
      <c r="E681" s="141" t="str">
        <f t="shared" si="2"/>
        <v/>
      </c>
      <c r="G681" s="103"/>
      <c r="H681" s="152"/>
      <c r="J681" s="99"/>
      <c r="K681" s="104"/>
      <c r="L681" s="99"/>
      <c r="N681" s="99"/>
      <c r="O681" s="99"/>
      <c r="P681" s="34"/>
    </row>
    <row r="682">
      <c r="A682" s="28"/>
      <c r="B682" s="103"/>
      <c r="C682" s="121" t="str">
        <f t="array" ref="C682">ifs(and(isblank($A682),isblank($B682)),"", not(iserror(vlookup($A682&amp;$B682,'3) Release_Label'!$D:$D&amp;'3) Release_Label'!$E:$E,1,0))),vlookup($A682&amp;$B682,{'3) Release_Label'!$D:$D&amp;'3) Release_Label'!$E:$E,'3) Release_Label'!$F:$F},2,0), or(and(not(isblank($B682)),$B682=$B681,$A682&lt;&gt;$A681),and(not(isblank($A682)),$A682=$A681,$B682&lt;&gt;$B681)),"ID LISTS UNALIGNED",and($A682&lt;&gt;"",countif('3) Release_Label'!$D:$D,$A682)=0),"NO UPC MATCH in Release_Label",and($B682&lt;&gt;"",countif('3) Release_Label'!$E:$E,$B682)=0),"NO CATALOG ID MATCH in Release_Label",iserror(vlookup($A682&amp;$B682,'3) Release_Label'!$D:$D&amp;'3) Release_Label'!$E:$E,1,0)),"NO UPC-CATALOG ID pair MATCH in Release_Label" )</f>
        <v/>
      </c>
      <c r="D682" s="121" t="str">
        <f t="array" ref="D682">ifs(and(isblank($A682),isblank($B682)),"", not(iserror(vlookup($A682&amp;$B682,'3) Release_Label'!$D:$D&amp;'3) Release_Label'!$E:$E,1,0))),vlookup($A682&amp;$B682,{'3) Release_Label'!$D:$D&amp;'3) Release_Label'!$E:$E,'3) Release_Label'!$H:$H},2,0), or(and(not(isblank($B682)),$B682=$B681,$A682&lt;&gt;$A681),and(not(isblank($A682)),$A682=$A681,$B682&lt;&gt;$B681)),"ID LISTS UNALIGNED",and($A682&lt;&gt;"",countif('3) Release_Label'!$D:$D,$A682)=0),"NO UPC MATCH in Release_Label",and($B682&lt;&gt;"",countif('3) Release_Label'!$E:$E,$B682)=0),"NO CATALOG ID MATCH in Release_Label",iserror(vlookup($A682&amp;$B682,'3) Release_Label'!$D:$D&amp;'3) Release_Label'!$E:$E,1,0)),"NO UPC-CATALOG ID pair MATCH in Release_Label" )</f>
        <v/>
      </c>
      <c r="E682" s="141" t="str">
        <f t="shared" si="2"/>
        <v/>
      </c>
      <c r="G682" s="103"/>
      <c r="H682" s="152"/>
      <c r="J682" s="99"/>
      <c r="K682" s="104"/>
      <c r="L682" s="99"/>
      <c r="N682" s="99"/>
      <c r="O682" s="99"/>
      <c r="P682" s="34"/>
    </row>
    <row r="683">
      <c r="A683" s="28"/>
      <c r="B683" s="103"/>
      <c r="C683" s="121" t="str">
        <f t="array" ref="C683">ifs(and(isblank($A683),isblank($B683)),"", not(iserror(vlookup($A683&amp;$B683,'3) Release_Label'!$D:$D&amp;'3) Release_Label'!$E:$E,1,0))),vlookup($A683&amp;$B683,{'3) Release_Label'!$D:$D&amp;'3) Release_Label'!$E:$E,'3) Release_Label'!$F:$F},2,0), or(and(not(isblank($B683)),$B683=$B682,$A683&lt;&gt;$A682),and(not(isblank($A683)),$A683=$A682,$B683&lt;&gt;$B682)),"ID LISTS UNALIGNED",and($A683&lt;&gt;"",countif('3) Release_Label'!$D:$D,$A683)=0),"NO UPC MATCH in Release_Label",and($B683&lt;&gt;"",countif('3) Release_Label'!$E:$E,$B683)=0),"NO CATALOG ID MATCH in Release_Label",iserror(vlookup($A683&amp;$B683,'3) Release_Label'!$D:$D&amp;'3) Release_Label'!$E:$E,1,0)),"NO UPC-CATALOG ID pair MATCH in Release_Label" )</f>
        <v/>
      </c>
      <c r="D683" s="121" t="str">
        <f t="array" ref="D683">ifs(and(isblank($A683),isblank($B683)),"", not(iserror(vlookup($A683&amp;$B683,'3) Release_Label'!$D:$D&amp;'3) Release_Label'!$E:$E,1,0))),vlookup($A683&amp;$B683,{'3) Release_Label'!$D:$D&amp;'3) Release_Label'!$E:$E,'3) Release_Label'!$H:$H},2,0), or(and(not(isblank($B683)),$B683=$B682,$A683&lt;&gt;$A682),and(not(isblank($A683)),$A683=$A682,$B683&lt;&gt;$B682)),"ID LISTS UNALIGNED",and($A683&lt;&gt;"",countif('3) Release_Label'!$D:$D,$A683)=0),"NO UPC MATCH in Release_Label",and($B683&lt;&gt;"",countif('3) Release_Label'!$E:$E,$B683)=0),"NO CATALOG ID MATCH in Release_Label",iserror(vlookup($A683&amp;$B683,'3) Release_Label'!$D:$D&amp;'3) Release_Label'!$E:$E,1,0)),"NO UPC-CATALOG ID pair MATCH in Release_Label" )</f>
        <v/>
      </c>
      <c r="E683" s="141" t="str">
        <f t="shared" si="2"/>
        <v/>
      </c>
      <c r="G683" s="103"/>
      <c r="H683" s="152"/>
      <c r="J683" s="99"/>
      <c r="K683" s="104"/>
      <c r="L683" s="99"/>
      <c r="N683" s="99"/>
      <c r="O683" s="99"/>
      <c r="P683" s="34"/>
    </row>
    <row r="684">
      <c r="A684" s="28"/>
      <c r="B684" s="103"/>
      <c r="C684" s="121" t="str">
        <f t="array" ref="C684">ifs(and(isblank($A684),isblank($B684)),"", not(iserror(vlookup($A684&amp;$B684,'3) Release_Label'!$D:$D&amp;'3) Release_Label'!$E:$E,1,0))),vlookup($A684&amp;$B684,{'3) Release_Label'!$D:$D&amp;'3) Release_Label'!$E:$E,'3) Release_Label'!$F:$F},2,0), or(and(not(isblank($B684)),$B684=$B683,$A684&lt;&gt;$A683),and(not(isblank($A684)),$A684=$A683,$B684&lt;&gt;$B683)),"ID LISTS UNALIGNED",and($A684&lt;&gt;"",countif('3) Release_Label'!$D:$D,$A684)=0),"NO UPC MATCH in Release_Label",and($B684&lt;&gt;"",countif('3) Release_Label'!$E:$E,$B684)=0),"NO CATALOG ID MATCH in Release_Label",iserror(vlookup($A684&amp;$B684,'3) Release_Label'!$D:$D&amp;'3) Release_Label'!$E:$E,1,0)),"NO UPC-CATALOG ID pair MATCH in Release_Label" )</f>
        <v/>
      </c>
      <c r="D684" s="121" t="str">
        <f t="array" ref="D684">ifs(and(isblank($A684),isblank($B684)),"", not(iserror(vlookup($A684&amp;$B684,'3) Release_Label'!$D:$D&amp;'3) Release_Label'!$E:$E,1,0))),vlookup($A684&amp;$B684,{'3) Release_Label'!$D:$D&amp;'3) Release_Label'!$E:$E,'3) Release_Label'!$H:$H},2,0), or(and(not(isblank($B684)),$B684=$B683,$A684&lt;&gt;$A683),and(not(isblank($A684)),$A684=$A683,$B684&lt;&gt;$B683)),"ID LISTS UNALIGNED",and($A684&lt;&gt;"",countif('3) Release_Label'!$D:$D,$A684)=0),"NO UPC MATCH in Release_Label",and($B684&lt;&gt;"",countif('3) Release_Label'!$E:$E,$B684)=0),"NO CATALOG ID MATCH in Release_Label",iserror(vlookup($A684&amp;$B684,'3) Release_Label'!$D:$D&amp;'3) Release_Label'!$E:$E,1,0)),"NO UPC-CATALOG ID pair MATCH in Release_Label" )</f>
        <v/>
      </c>
      <c r="E684" s="141" t="str">
        <f t="shared" si="2"/>
        <v/>
      </c>
      <c r="G684" s="103"/>
      <c r="H684" s="152"/>
      <c r="J684" s="99"/>
      <c r="K684" s="104"/>
      <c r="L684" s="99"/>
      <c r="N684" s="99"/>
      <c r="O684" s="99"/>
      <c r="P684" s="34"/>
    </row>
    <row r="685">
      <c r="A685" s="28"/>
      <c r="B685" s="103"/>
      <c r="C685" s="121" t="str">
        <f t="array" ref="C685">ifs(and(isblank($A685),isblank($B685)),"", not(iserror(vlookup($A685&amp;$B685,'3) Release_Label'!$D:$D&amp;'3) Release_Label'!$E:$E,1,0))),vlookup($A685&amp;$B685,{'3) Release_Label'!$D:$D&amp;'3) Release_Label'!$E:$E,'3) Release_Label'!$F:$F},2,0), or(and(not(isblank($B685)),$B685=$B684,$A685&lt;&gt;$A684),and(not(isblank($A685)),$A685=$A684,$B685&lt;&gt;$B684)),"ID LISTS UNALIGNED",and($A685&lt;&gt;"",countif('3) Release_Label'!$D:$D,$A685)=0),"NO UPC MATCH in Release_Label",and($B685&lt;&gt;"",countif('3) Release_Label'!$E:$E,$B685)=0),"NO CATALOG ID MATCH in Release_Label",iserror(vlookup($A685&amp;$B685,'3) Release_Label'!$D:$D&amp;'3) Release_Label'!$E:$E,1,0)),"NO UPC-CATALOG ID pair MATCH in Release_Label" )</f>
        <v/>
      </c>
      <c r="D685" s="121" t="str">
        <f t="array" ref="D685">ifs(and(isblank($A685),isblank($B685)),"", not(iserror(vlookup($A685&amp;$B685,'3) Release_Label'!$D:$D&amp;'3) Release_Label'!$E:$E,1,0))),vlookup($A685&amp;$B685,{'3) Release_Label'!$D:$D&amp;'3) Release_Label'!$E:$E,'3) Release_Label'!$H:$H},2,0), or(and(not(isblank($B685)),$B685=$B684,$A685&lt;&gt;$A684),and(not(isblank($A685)),$A685=$A684,$B685&lt;&gt;$B684)),"ID LISTS UNALIGNED",and($A685&lt;&gt;"",countif('3) Release_Label'!$D:$D,$A685)=0),"NO UPC MATCH in Release_Label",and($B685&lt;&gt;"",countif('3) Release_Label'!$E:$E,$B685)=0),"NO CATALOG ID MATCH in Release_Label",iserror(vlookup($A685&amp;$B685,'3) Release_Label'!$D:$D&amp;'3) Release_Label'!$E:$E,1,0)),"NO UPC-CATALOG ID pair MATCH in Release_Label" )</f>
        <v/>
      </c>
      <c r="E685" s="141" t="str">
        <f t="shared" si="2"/>
        <v/>
      </c>
      <c r="G685" s="103"/>
      <c r="H685" s="152"/>
      <c r="J685" s="99"/>
      <c r="K685" s="104"/>
      <c r="L685" s="99"/>
      <c r="N685" s="99"/>
      <c r="O685" s="99"/>
      <c r="P685" s="34"/>
    </row>
    <row r="686">
      <c r="A686" s="28"/>
      <c r="B686" s="103"/>
      <c r="C686" s="121" t="str">
        <f t="array" ref="C686">ifs(and(isblank($A686),isblank($B686)),"", not(iserror(vlookup($A686&amp;$B686,'3) Release_Label'!$D:$D&amp;'3) Release_Label'!$E:$E,1,0))),vlookup($A686&amp;$B686,{'3) Release_Label'!$D:$D&amp;'3) Release_Label'!$E:$E,'3) Release_Label'!$F:$F},2,0), or(and(not(isblank($B686)),$B686=$B685,$A686&lt;&gt;$A685),and(not(isblank($A686)),$A686=$A685,$B686&lt;&gt;$B685)),"ID LISTS UNALIGNED",and($A686&lt;&gt;"",countif('3) Release_Label'!$D:$D,$A686)=0),"NO UPC MATCH in Release_Label",and($B686&lt;&gt;"",countif('3) Release_Label'!$E:$E,$B686)=0),"NO CATALOG ID MATCH in Release_Label",iserror(vlookup($A686&amp;$B686,'3) Release_Label'!$D:$D&amp;'3) Release_Label'!$E:$E,1,0)),"NO UPC-CATALOG ID pair MATCH in Release_Label" )</f>
        <v/>
      </c>
      <c r="D686" s="121" t="str">
        <f t="array" ref="D686">ifs(and(isblank($A686),isblank($B686)),"", not(iserror(vlookup($A686&amp;$B686,'3) Release_Label'!$D:$D&amp;'3) Release_Label'!$E:$E,1,0))),vlookup($A686&amp;$B686,{'3) Release_Label'!$D:$D&amp;'3) Release_Label'!$E:$E,'3) Release_Label'!$H:$H},2,0), or(and(not(isblank($B686)),$B686=$B685,$A686&lt;&gt;$A685),and(not(isblank($A686)),$A686=$A685,$B686&lt;&gt;$B685)),"ID LISTS UNALIGNED",and($A686&lt;&gt;"",countif('3) Release_Label'!$D:$D,$A686)=0),"NO UPC MATCH in Release_Label",and($B686&lt;&gt;"",countif('3) Release_Label'!$E:$E,$B686)=0),"NO CATALOG ID MATCH in Release_Label",iserror(vlookup($A686&amp;$B686,'3) Release_Label'!$D:$D&amp;'3) Release_Label'!$E:$E,1,0)),"NO UPC-CATALOG ID pair MATCH in Release_Label" )</f>
        <v/>
      </c>
      <c r="E686" s="141" t="str">
        <f t="shared" si="2"/>
        <v/>
      </c>
      <c r="G686" s="103"/>
      <c r="H686" s="152"/>
      <c r="J686" s="99"/>
      <c r="K686" s="104"/>
      <c r="L686" s="99"/>
      <c r="N686" s="99"/>
      <c r="O686" s="99"/>
      <c r="P686" s="34"/>
    </row>
    <row r="687">
      <c r="A687" s="28"/>
      <c r="B687" s="103"/>
      <c r="C687" s="121" t="str">
        <f t="array" ref="C687">ifs(and(isblank($A687),isblank($B687)),"", not(iserror(vlookup($A687&amp;$B687,'3) Release_Label'!$D:$D&amp;'3) Release_Label'!$E:$E,1,0))),vlookup($A687&amp;$B687,{'3) Release_Label'!$D:$D&amp;'3) Release_Label'!$E:$E,'3) Release_Label'!$F:$F},2,0), or(and(not(isblank($B687)),$B687=$B686,$A687&lt;&gt;$A686),and(not(isblank($A687)),$A687=$A686,$B687&lt;&gt;$B686)),"ID LISTS UNALIGNED",and($A687&lt;&gt;"",countif('3) Release_Label'!$D:$D,$A687)=0),"NO UPC MATCH in Release_Label",and($B687&lt;&gt;"",countif('3) Release_Label'!$E:$E,$B687)=0),"NO CATALOG ID MATCH in Release_Label",iserror(vlookup($A687&amp;$B687,'3) Release_Label'!$D:$D&amp;'3) Release_Label'!$E:$E,1,0)),"NO UPC-CATALOG ID pair MATCH in Release_Label" )</f>
        <v/>
      </c>
      <c r="D687" s="121" t="str">
        <f t="array" ref="D687">ifs(and(isblank($A687),isblank($B687)),"", not(iserror(vlookup($A687&amp;$B687,'3) Release_Label'!$D:$D&amp;'3) Release_Label'!$E:$E,1,0))),vlookup($A687&amp;$B687,{'3) Release_Label'!$D:$D&amp;'3) Release_Label'!$E:$E,'3) Release_Label'!$H:$H},2,0), or(and(not(isblank($B687)),$B687=$B686,$A687&lt;&gt;$A686),and(not(isblank($A687)),$A687=$A686,$B687&lt;&gt;$B686)),"ID LISTS UNALIGNED",and($A687&lt;&gt;"",countif('3) Release_Label'!$D:$D,$A687)=0),"NO UPC MATCH in Release_Label",and($B687&lt;&gt;"",countif('3) Release_Label'!$E:$E,$B687)=0),"NO CATALOG ID MATCH in Release_Label",iserror(vlookup($A687&amp;$B687,'3) Release_Label'!$D:$D&amp;'3) Release_Label'!$E:$E,1,0)),"NO UPC-CATALOG ID pair MATCH in Release_Label" )</f>
        <v/>
      </c>
      <c r="E687" s="141" t="str">
        <f t="shared" si="2"/>
        <v/>
      </c>
      <c r="G687" s="103"/>
      <c r="H687" s="152"/>
      <c r="J687" s="99"/>
      <c r="K687" s="104"/>
      <c r="L687" s="99"/>
      <c r="N687" s="99"/>
      <c r="O687" s="99"/>
      <c r="P687" s="34"/>
    </row>
    <row r="688">
      <c r="A688" s="28"/>
      <c r="B688" s="103"/>
      <c r="C688" s="121" t="str">
        <f t="array" ref="C688">ifs(and(isblank($A688),isblank($B688)),"", not(iserror(vlookup($A688&amp;$B688,'3) Release_Label'!$D:$D&amp;'3) Release_Label'!$E:$E,1,0))),vlookup($A688&amp;$B688,{'3) Release_Label'!$D:$D&amp;'3) Release_Label'!$E:$E,'3) Release_Label'!$F:$F},2,0), or(and(not(isblank($B688)),$B688=$B687,$A688&lt;&gt;$A687),and(not(isblank($A688)),$A688=$A687,$B688&lt;&gt;$B687)),"ID LISTS UNALIGNED",and($A688&lt;&gt;"",countif('3) Release_Label'!$D:$D,$A688)=0),"NO UPC MATCH in Release_Label",and($B688&lt;&gt;"",countif('3) Release_Label'!$E:$E,$B688)=0),"NO CATALOG ID MATCH in Release_Label",iserror(vlookup($A688&amp;$B688,'3) Release_Label'!$D:$D&amp;'3) Release_Label'!$E:$E,1,0)),"NO UPC-CATALOG ID pair MATCH in Release_Label" )</f>
        <v/>
      </c>
      <c r="D688" s="121" t="str">
        <f t="array" ref="D688">ifs(and(isblank($A688),isblank($B688)),"", not(iserror(vlookup($A688&amp;$B688,'3) Release_Label'!$D:$D&amp;'3) Release_Label'!$E:$E,1,0))),vlookup($A688&amp;$B688,{'3) Release_Label'!$D:$D&amp;'3) Release_Label'!$E:$E,'3) Release_Label'!$H:$H},2,0), or(and(not(isblank($B688)),$B688=$B687,$A688&lt;&gt;$A687),and(not(isblank($A688)),$A688=$A687,$B688&lt;&gt;$B687)),"ID LISTS UNALIGNED",and($A688&lt;&gt;"",countif('3) Release_Label'!$D:$D,$A688)=0),"NO UPC MATCH in Release_Label",and($B688&lt;&gt;"",countif('3) Release_Label'!$E:$E,$B688)=0),"NO CATALOG ID MATCH in Release_Label",iserror(vlookup($A688&amp;$B688,'3) Release_Label'!$D:$D&amp;'3) Release_Label'!$E:$E,1,0)),"NO UPC-CATALOG ID pair MATCH in Release_Label" )</f>
        <v/>
      </c>
      <c r="E688" s="141" t="str">
        <f t="shared" si="2"/>
        <v/>
      </c>
      <c r="G688" s="103"/>
      <c r="H688" s="152"/>
      <c r="J688" s="99"/>
      <c r="K688" s="104"/>
      <c r="L688" s="99"/>
      <c r="N688" s="99"/>
      <c r="O688" s="99"/>
      <c r="P688" s="34"/>
    </row>
    <row r="689">
      <c r="A689" s="28"/>
      <c r="B689" s="103"/>
      <c r="C689" s="121" t="str">
        <f t="array" ref="C689">ifs(and(isblank($A689),isblank($B689)),"", not(iserror(vlookup($A689&amp;$B689,'3) Release_Label'!$D:$D&amp;'3) Release_Label'!$E:$E,1,0))),vlookup($A689&amp;$B689,{'3) Release_Label'!$D:$D&amp;'3) Release_Label'!$E:$E,'3) Release_Label'!$F:$F},2,0), or(and(not(isblank($B689)),$B689=$B688,$A689&lt;&gt;$A688),and(not(isblank($A689)),$A689=$A688,$B689&lt;&gt;$B688)),"ID LISTS UNALIGNED",and($A689&lt;&gt;"",countif('3) Release_Label'!$D:$D,$A689)=0),"NO UPC MATCH in Release_Label",and($B689&lt;&gt;"",countif('3) Release_Label'!$E:$E,$B689)=0),"NO CATALOG ID MATCH in Release_Label",iserror(vlookup($A689&amp;$B689,'3) Release_Label'!$D:$D&amp;'3) Release_Label'!$E:$E,1,0)),"NO UPC-CATALOG ID pair MATCH in Release_Label" )</f>
        <v/>
      </c>
      <c r="D689" s="121" t="str">
        <f t="array" ref="D689">ifs(and(isblank($A689),isblank($B689)),"", not(iserror(vlookup($A689&amp;$B689,'3) Release_Label'!$D:$D&amp;'3) Release_Label'!$E:$E,1,0))),vlookup($A689&amp;$B689,{'3) Release_Label'!$D:$D&amp;'3) Release_Label'!$E:$E,'3) Release_Label'!$H:$H},2,0), or(and(not(isblank($B689)),$B689=$B688,$A689&lt;&gt;$A688),and(not(isblank($A689)),$A689=$A688,$B689&lt;&gt;$B688)),"ID LISTS UNALIGNED",and($A689&lt;&gt;"",countif('3) Release_Label'!$D:$D,$A689)=0),"NO UPC MATCH in Release_Label",and($B689&lt;&gt;"",countif('3) Release_Label'!$E:$E,$B689)=0),"NO CATALOG ID MATCH in Release_Label",iserror(vlookup($A689&amp;$B689,'3) Release_Label'!$D:$D&amp;'3) Release_Label'!$E:$E,1,0)),"NO UPC-CATALOG ID pair MATCH in Release_Label" )</f>
        <v/>
      </c>
      <c r="E689" s="141" t="str">
        <f t="shared" si="2"/>
        <v/>
      </c>
      <c r="G689" s="103"/>
      <c r="H689" s="152"/>
      <c r="J689" s="99"/>
      <c r="K689" s="104"/>
      <c r="L689" s="99"/>
      <c r="N689" s="99"/>
      <c r="O689" s="99"/>
      <c r="P689" s="34"/>
    </row>
    <row r="690">
      <c r="A690" s="28"/>
      <c r="B690" s="103"/>
      <c r="C690" s="121" t="str">
        <f t="array" ref="C690">ifs(and(isblank($A690),isblank($B690)),"", not(iserror(vlookup($A690&amp;$B690,'3) Release_Label'!$D:$D&amp;'3) Release_Label'!$E:$E,1,0))),vlookup($A690&amp;$B690,{'3) Release_Label'!$D:$D&amp;'3) Release_Label'!$E:$E,'3) Release_Label'!$F:$F},2,0), or(and(not(isblank($B690)),$B690=$B689,$A690&lt;&gt;$A689),and(not(isblank($A690)),$A690=$A689,$B690&lt;&gt;$B689)),"ID LISTS UNALIGNED",and($A690&lt;&gt;"",countif('3) Release_Label'!$D:$D,$A690)=0),"NO UPC MATCH in Release_Label",and($B690&lt;&gt;"",countif('3) Release_Label'!$E:$E,$B690)=0),"NO CATALOG ID MATCH in Release_Label",iserror(vlookup($A690&amp;$B690,'3) Release_Label'!$D:$D&amp;'3) Release_Label'!$E:$E,1,0)),"NO UPC-CATALOG ID pair MATCH in Release_Label" )</f>
        <v/>
      </c>
      <c r="D690" s="121" t="str">
        <f t="array" ref="D690">ifs(and(isblank($A690),isblank($B690)),"", not(iserror(vlookup($A690&amp;$B690,'3) Release_Label'!$D:$D&amp;'3) Release_Label'!$E:$E,1,0))),vlookup($A690&amp;$B690,{'3) Release_Label'!$D:$D&amp;'3) Release_Label'!$E:$E,'3) Release_Label'!$H:$H},2,0), or(and(not(isblank($B690)),$B690=$B689,$A690&lt;&gt;$A689),and(not(isblank($A690)),$A690=$A689,$B690&lt;&gt;$B689)),"ID LISTS UNALIGNED",and($A690&lt;&gt;"",countif('3) Release_Label'!$D:$D,$A690)=0),"NO UPC MATCH in Release_Label",and($B690&lt;&gt;"",countif('3) Release_Label'!$E:$E,$B690)=0),"NO CATALOG ID MATCH in Release_Label",iserror(vlookup($A690&amp;$B690,'3) Release_Label'!$D:$D&amp;'3) Release_Label'!$E:$E,1,0)),"NO UPC-CATALOG ID pair MATCH in Release_Label" )</f>
        <v/>
      </c>
      <c r="E690" s="141" t="str">
        <f t="shared" si="2"/>
        <v/>
      </c>
      <c r="G690" s="103"/>
      <c r="H690" s="152"/>
      <c r="J690" s="99"/>
      <c r="K690" s="104"/>
      <c r="L690" s="99"/>
      <c r="N690" s="99"/>
      <c r="O690" s="99"/>
      <c r="P690" s="34"/>
    </row>
    <row r="691">
      <c r="A691" s="28"/>
      <c r="B691" s="103"/>
      <c r="C691" s="121" t="str">
        <f t="array" ref="C691">ifs(and(isblank($A691),isblank($B691)),"", not(iserror(vlookup($A691&amp;$B691,'3) Release_Label'!$D:$D&amp;'3) Release_Label'!$E:$E,1,0))),vlookup($A691&amp;$B691,{'3) Release_Label'!$D:$D&amp;'3) Release_Label'!$E:$E,'3) Release_Label'!$F:$F},2,0), or(and(not(isblank($B691)),$B691=$B690,$A691&lt;&gt;$A690),and(not(isblank($A691)),$A691=$A690,$B691&lt;&gt;$B690)),"ID LISTS UNALIGNED",and($A691&lt;&gt;"",countif('3) Release_Label'!$D:$D,$A691)=0),"NO UPC MATCH in Release_Label",and($B691&lt;&gt;"",countif('3) Release_Label'!$E:$E,$B691)=0),"NO CATALOG ID MATCH in Release_Label",iserror(vlookup($A691&amp;$B691,'3) Release_Label'!$D:$D&amp;'3) Release_Label'!$E:$E,1,0)),"NO UPC-CATALOG ID pair MATCH in Release_Label" )</f>
        <v/>
      </c>
      <c r="D691" s="121" t="str">
        <f t="array" ref="D691">ifs(and(isblank($A691),isblank($B691)),"", not(iserror(vlookup($A691&amp;$B691,'3) Release_Label'!$D:$D&amp;'3) Release_Label'!$E:$E,1,0))),vlookup($A691&amp;$B691,{'3) Release_Label'!$D:$D&amp;'3) Release_Label'!$E:$E,'3) Release_Label'!$H:$H},2,0), or(and(not(isblank($B691)),$B691=$B690,$A691&lt;&gt;$A690),and(not(isblank($A691)),$A691=$A690,$B691&lt;&gt;$B690)),"ID LISTS UNALIGNED",and($A691&lt;&gt;"",countif('3) Release_Label'!$D:$D,$A691)=0),"NO UPC MATCH in Release_Label",and($B691&lt;&gt;"",countif('3) Release_Label'!$E:$E,$B691)=0),"NO CATALOG ID MATCH in Release_Label",iserror(vlookup($A691&amp;$B691,'3) Release_Label'!$D:$D&amp;'3) Release_Label'!$E:$E,1,0)),"NO UPC-CATALOG ID pair MATCH in Release_Label" )</f>
        <v/>
      </c>
      <c r="E691" s="141" t="str">
        <f t="shared" si="2"/>
        <v/>
      </c>
      <c r="G691" s="103"/>
      <c r="H691" s="152"/>
      <c r="J691" s="99"/>
      <c r="K691" s="104"/>
      <c r="L691" s="99"/>
      <c r="N691" s="99"/>
      <c r="O691" s="99"/>
      <c r="P691" s="34"/>
    </row>
    <row r="692">
      <c r="A692" s="28"/>
      <c r="B692" s="103"/>
      <c r="C692" s="121" t="str">
        <f t="array" ref="C692">ifs(and(isblank($A692),isblank($B692)),"", not(iserror(vlookup($A692&amp;$B692,'3) Release_Label'!$D:$D&amp;'3) Release_Label'!$E:$E,1,0))),vlookup($A692&amp;$B692,{'3) Release_Label'!$D:$D&amp;'3) Release_Label'!$E:$E,'3) Release_Label'!$F:$F},2,0), or(and(not(isblank($B692)),$B692=$B691,$A692&lt;&gt;$A691),and(not(isblank($A692)),$A692=$A691,$B692&lt;&gt;$B691)),"ID LISTS UNALIGNED",and($A692&lt;&gt;"",countif('3) Release_Label'!$D:$D,$A692)=0),"NO UPC MATCH in Release_Label",and($B692&lt;&gt;"",countif('3) Release_Label'!$E:$E,$B692)=0),"NO CATALOG ID MATCH in Release_Label",iserror(vlookup($A692&amp;$B692,'3) Release_Label'!$D:$D&amp;'3) Release_Label'!$E:$E,1,0)),"NO UPC-CATALOG ID pair MATCH in Release_Label" )</f>
        <v/>
      </c>
      <c r="D692" s="121" t="str">
        <f t="array" ref="D692">ifs(and(isblank($A692),isblank($B692)),"", not(iserror(vlookup($A692&amp;$B692,'3) Release_Label'!$D:$D&amp;'3) Release_Label'!$E:$E,1,0))),vlookup($A692&amp;$B692,{'3) Release_Label'!$D:$D&amp;'3) Release_Label'!$E:$E,'3) Release_Label'!$H:$H},2,0), or(and(not(isblank($B692)),$B692=$B691,$A692&lt;&gt;$A691),and(not(isblank($A692)),$A692=$A691,$B692&lt;&gt;$B691)),"ID LISTS UNALIGNED",and($A692&lt;&gt;"",countif('3) Release_Label'!$D:$D,$A692)=0),"NO UPC MATCH in Release_Label",and($B692&lt;&gt;"",countif('3) Release_Label'!$E:$E,$B692)=0),"NO CATALOG ID MATCH in Release_Label",iserror(vlookup($A692&amp;$B692,'3) Release_Label'!$D:$D&amp;'3) Release_Label'!$E:$E,1,0)),"NO UPC-CATALOG ID pair MATCH in Release_Label" )</f>
        <v/>
      </c>
      <c r="E692" s="141" t="str">
        <f t="shared" si="2"/>
        <v/>
      </c>
      <c r="G692" s="103"/>
      <c r="H692" s="152"/>
      <c r="J692" s="99"/>
      <c r="K692" s="104"/>
      <c r="L692" s="99"/>
      <c r="N692" s="99"/>
      <c r="O692" s="99"/>
      <c r="P692" s="34"/>
    </row>
    <row r="693">
      <c r="A693" s="28"/>
      <c r="B693" s="103"/>
      <c r="C693" s="121" t="str">
        <f t="array" ref="C693">ifs(and(isblank($A693),isblank($B693)),"", not(iserror(vlookup($A693&amp;$B693,'3) Release_Label'!$D:$D&amp;'3) Release_Label'!$E:$E,1,0))),vlookup($A693&amp;$B693,{'3) Release_Label'!$D:$D&amp;'3) Release_Label'!$E:$E,'3) Release_Label'!$F:$F},2,0), or(and(not(isblank($B693)),$B693=$B692,$A693&lt;&gt;$A692),and(not(isblank($A693)),$A693=$A692,$B693&lt;&gt;$B692)),"ID LISTS UNALIGNED",and($A693&lt;&gt;"",countif('3) Release_Label'!$D:$D,$A693)=0),"NO UPC MATCH in Release_Label",and($B693&lt;&gt;"",countif('3) Release_Label'!$E:$E,$B693)=0),"NO CATALOG ID MATCH in Release_Label",iserror(vlookup($A693&amp;$B693,'3) Release_Label'!$D:$D&amp;'3) Release_Label'!$E:$E,1,0)),"NO UPC-CATALOG ID pair MATCH in Release_Label" )</f>
        <v/>
      </c>
      <c r="D693" s="121" t="str">
        <f t="array" ref="D693">ifs(and(isblank($A693),isblank($B693)),"", not(iserror(vlookup($A693&amp;$B693,'3) Release_Label'!$D:$D&amp;'3) Release_Label'!$E:$E,1,0))),vlookup($A693&amp;$B693,{'3) Release_Label'!$D:$D&amp;'3) Release_Label'!$E:$E,'3) Release_Label'!$H:$H},2,0), or(and(not(isblank($B693)),$B693=$B692,$A693&lt;&gt;$A692),and(not(isblank($A693)),$A693=$A692,$B693&lt;&gt;$B692)),"ID LISTS UNALIGNED",and($A693&lt;&gt;"",countif('3) Release_Label'!$D:$D,$A693)=0),"NO UPC MATCH in Release_Label",and($B693&lt;&gt;"",countif('3) Release_Label'!$E:$E,$B693)=0),"NO CATALOG ID MATCH in Release_Label",iserror(vlookup($A693&amp;$B693,'3) Release_Label'!$D:$D&amp;'3) Release_Label'!$E:$E,1,0)),"NO UPC-CATALOG ID pair MATCH in Release_Label" )</f>
        <v/>
      </c>
      <c r="E693" s="141" t="str">
        <f t="shared" si="2"/>
        <v/>
      </c>
      <c r="G693" s="103"/>
      <c r="H693" s="152"/>
      <c r="J693" s="99"/>
      <c r="K693" s="104"/>
      <c r="L693" s="99"/>
      <c r="N693" s="99"/>
      <c r="O693" s="99"/>
      <c r="P693" s="34"/>
    </row>
    <row r="694">
      <c r="A694" s="28"/>
      <c r="B694" s="103"/>
      <c r="C694" s="121" t="str">
        <f t="array" ref="C694">ifs(and(isblank($A694),isblank($B694)),"", not(iserror(vlookup($A694&amp;$B694,'3) Release_Label'!$D:$D&amp;'3) Release_Label'!$E:$E,1,0))),vlookup($A694&amp;$B694,{'3) Release_Label'!$D:$D&amp;'3) Release_Label'!$E:$E,'3) Release_Label'!$F:$F},2,0), or(and(not(isblank($B694)),$B694=$B693,$A694&lt;&gt;$A693),and(not(isblank($A694)),$A694=$A693,$B694&lt;&gt;$B693)),"ID LISTS UNALIGNED",and($A694&lt;&gt;"",countif('3) Release_Label'!$D:$D,$A694)=0),"NO UPC MATCH in Release_Label",and($B694&lt;&gt;"",countif('3) Release_Label'!$E:$E,$B694)=0),"NO CATALOG ID MATCH in Release_Label",iserror(vlookup($A694&amp;$B694,'3) Release_Label'!$D:$D&amp;'3) Release_Label'!$E:$E,1,0)),"NO UPC-CATALOG ID pair MATCH in Release_Label" )</f>
        <v/>
      </c>
      <c r="D694" s="121" t="str">
        <f t="array" ref="D694">ifs(and(isblank($A694),isblank($B694)),"", not(iserror(vlookup($A694&amp;$B694,'3) Release_Label'!$D:$D&amp;'3) Release_Label'!$E:$E,1,0))),vlookup($A694&amp;$B694,{'3) Release_Label'!$D:$D&amp;'3) Release_Label'!$E:$E,'3) Release_Label'!$H:$H},2,0), or(and(not(isblank($B694)),$B694=$B693,$A694&lt;&gt;$A693),and(not(isblank($A694)),$A694=$A693,$B694&lt;&gt;$B693)),"ID LISTS UNALIGNED",and($A694&lt;&gt;"",countif('3) Release_Label'!$D:$D,$A694)=0),"NO UPC MATCH in Release_Label",and($B694&lt;&gt;"",countif('3) Release_Label'!$E:$E,$B694)=0),"NO CATALOG ID MATCH in Release_Label",iserror(vlookup($A694&amp;$B694,'3) Release_Label'!$D:$D&amp;'3) Release_Label'!$E:$E,1,0)),"NO UPC-CATALOG ID pair MATCH in Release_Label" )</f>
        <v/>
      </c>
      <c r="E694" s="141" t="str">
        <f t="shared" si="2"/>
        <v/>
      </c>
      <c r="G694" s="103"/>
      <c r="H694" s="152"/>
      <c r="J694" s="99"/>
      <c r="K694" s="104"/>
      <c r="L694" s="99"/>
      <c r="N694" s="99"/>
      <c r="O694" s="99"/>
      <c r="P694" s="34"/>
    </row>
    <row r="695">
      <c r="A695" s="28"/>
      <c r="B695" s="103"/>
      <c r="C695" s="121" t="str">
        <f t="array" ref="C695">ifs(and(isblank($A695),isblank($B695)),"", not(iserror(vlookup($A695&amp;$B695,'3) Release_Label'!$D:$D&amp;'3) Release_Label'!$E:$E,1,0))),vlookup($A695&amp;$B695,{'3) Release_Label'!$D:$D&amp;'3) Release_Label'!$E:$E,'3) Release_Label'!$F:$F},2,0), or(and(not(isblank($B695)),$B695=$B694,$A695&lt;&gt;$A694),and(not(isblank($A695)),$A695=$A694,$B695&lt;&gt;$B694)),"ID LISTS UNALIGNED",and($A695&lt;&gt;"",countif('3) Release_Label'!$D:$D,$A695)=0),"NO UPC MATCH in Release_Label",and($B695&lt;&gt;"",countif('3) Release_Label'!$E:$E,$B695)=0),"NO CATALOG ID MATCH in Release_Label",iserror(vlookup($A695&amp;$B695,'3) Release_Label'!$D:$D&amp;'3) Release_Label'!$E:$E,1,0)),"NO UPC-CATALOG ID pair MATCH in Release_Label" )</f>
        <v/>
      </c>
      <c r="D695" s="121" t="str">
        <f t="array" ref="D695">ifs(and(isblank($A695),isblank($B695)),"", not(iserror(vlookup($A695&amp;$B695,'3) Release_Label'!$D:$D&amp;'3) Release_Label'!$E:$E,1,0))),vlookup($A695&amp;$B695,{'3) Release_Label'!$D:$D&amp;'3) Release_Label'!$E:$E,'3) Release_Label'!$H:$H},2,0), or(and(not(isblank($B695)),$B695=$B694,$A695&lt;&gt;$A694),and(not(isblank($A695)),$A695=$A694,$B695&lt;&gt;$B694)),"ID LISTS UNALIGNED",and($A695&lt;&gt;"",countif('3) Release_Label'!$D:$D,$A695)=0),"NO UPC MATCH in Release_Label",and($B695&lt;&gt;"",countif('3) Release_Label'!$E:$E,$B695)=0),"NO CATALOG ID MATCH in Release_Label",iserror(vlookup($A695&amp;$B695,'3) Release_Label'!$D:$D&amp;'3) Release_Label'!$E:$E,1,0)),"NO UPC-CATALOG ID pair MATCH in Release_Label" )</f>
        <v/>
      </c>
      <c r="E695" s="141" t="str">
        <f t="shared" si="2"/>
        <v/>
      </c>
      <c r="G695" s="103"/>
      <c r="H695" s="152"/>
      <c r="J695" s="99"/>
      <c r="K695" s="104"/>
      <c r="L695" s="99"/>
      <c r="N695" s="99"/>
      <c r="O695" s="99"/>
      <c r="P695" s="34"/>
    </row>
    <row r="696">
      <c r="A696" s="28"/>
      <c r="B696" s="103"/>
      <c r="C696" s="121" t="str">
        <f t="array" ref="C696">ifs(and(isblank($A696),isblank($B696)),"", not(iserror(vlookup($A696&amp;$B696,'3) Release_Label'!$D:$D&amp;'3) Release_Label'!$E:$E,1,0))),vlookup($A696&amp;$B696,{'3) Release_Label'!$D:$D&amp;'3) Release_Label'!$E:$E,'3) Release_Label'!$F:$F},2,0), or(and(not(isblank($B696)),$B696=$B695,$A696&lt;&gt;$A695),and(not(isblank($A696)),$A696=$A695,$B696&lt;&gt;$B695)),"ID LISTS UNALIGNED",and($A696&lt;&gt;"",countif('3) Release_Label'!$D:$D,$A696)=0),"NO UPC MATCH in Release_Label",and($B696&lt;&gt;"",countif('3) Release_Label'!$E:$E,$B696)=0),"NO CATALOG ID MATCH in Release_Label",iserror(vlookup($A696&amp;$B696,'3) Release_Label'!$D:$D&amp;'3) Release_Label'!$E:$E,1,0)),"NO UPC-CATALOG ID pair MATCH in Release_Label" )</f>
        <v/>
      </c>
      <c r="D696" s="121" t="str">
        <f t="array" ref="D696">ifs(and(isblank($A696),isblank($B696)),"", not(iserror(vlookup($A696&amp;$B696,'3) Release_Label'!$D:$D&amp;'3) Release_Label'!$E:$E,1,0))),vlookup($A696&amp;$B696,{'3) Release_Label'!$D:$D&amp;'3) Release_Label'!$E:$E,'3) Release_Label'!$H:$H},2,0), or(and(not(isblank($B696)),$B696=$B695,$A696&lt;&gt;$A695),and(not(isblank($A696)),$A696=$A695,$B696&lt;&gt;$B695)),"ID LISTS UNALIGNED",and($A696&lt;&gt;"",countif('3) Release_Label'!$D:$D,$A696)=0),"NO UPC MATCH in Release_Label",and($B696&lt;&gt;"",countif('3) Release_Label'!$E:$E,$B696)=0),"NO CATALOG ID MATCH in Release_Label",iserror(vlookup($A696&amp;$B696,'3) Release_Label'!$D:$D&amp;'3) Release_Label'!$E:$E,1,0)),"NO UPC-CATALOG ID pair MATCH in Release_Label" )</f>
        <v/>
      </c>
      <c r="E696" s="141" t="str">
        <f t="shared" si="2"/>
        <v/>
      </c>
      <c r="G696" s="103"/>
      <c r="H696" s="152"/>
      <c r="J696" s="99"/>
      <c r="K696" s="104"/>
      <c r="L696" s="99"/>
      <c r="N696" s="99"/>
      <c r="O696" s="99"/>
      <c r="P696" s="34"/>
    </row>
    <row r="697">
      <c r="A697" s="28"/>
      <c r="B697" s="103"/>
      <c r="C697" s="121" t="str">
        <f t="array" ref="C697">ifs(and(isblank($A697),isblank($B697)),"", not(iserror(vlookup($A697&amp;$B697,'3) Release_Label'!$D:$D&amp;'3) Release_Label'!$E:$E,1,0))),vlookup($A697&amp;$B697,{'3) Release_Label'!$D:$D&amp;'3) Release_Label'!$E:$E,'3) Release_Label'!$F:$F},2,0), or(and(not(isblank($B697)),$B697=$B696,$A697&lt;&gt;$A696),and(not(isblank($A697)),$A697=$A696,$B697&lt;&gt;$B696)),"ID LISTS UNALIGNED",and($A697&lt;&gt;"",countif('3) Release_Label'!$D:$D,$A697)=0),"NO UPC MATCH in Release_Label",and($B697&lt;&gt;"",countif('3) Release_Label'!$E:$E,$B697)=0),"NO CATALOG ID MATCH in Release_Label",iserror(vlookup($A697&amp;$B697,'3) Release_Label'!$D:$D&amp;'3) Release_Label'!$E:$E,1,0)),"NO UPC-CATALOG ID pair MATCH in Release_Label" )</f>
        <v/>
      </c>
      <c r="D697" s="121" t="str">
        <f t="array" ref="D697">ifs(and(isblank($A697),isblank($B697)),"", not(iserror(vlookup($A697&amp;$B697,'3) Release_Label'!$D:$D&amp;'3) Release_Label'!$E:$E,1,0))),vlookup($A697&amp;$B697,{'3) Release_Label'!$D:$D&amp;'3) Release_Label'!$E:$E,'3) Release_Label'!$H:$H},2,0), or(and(not(isblank($B697)),$B697=$B696,$A697&lt;&gt;$A696),and(not(isblank($A697)),$A697=$A696,$B697&lt;&gt;$B696)),"ID LISTS UNALIGNED",and($A697&lt;&gt;"",countif('3) Release_Label'!$D:$D,$A697)=0),"NO UPC MATCH in Release_Label",and($B697&lt;&gt;"",countif('3) Release_Label'!$E:$E,$B697)=0),"NO CATALOG ID MATCH in Release_Label",iserror(vlookup($A697&amp;$B697,'3) Release_Label'!$D:$D&amp;'3) Release_Label'!$E:$E,1,0)),"NO UPC-CATALOG ID pair MATCH in Release_Label" )</f>
        <v/>
      </c>
      <c r="E697" s="141" t="str">
        <f t="shared" si="2"/>
        <v/>
      </c>
      <c r="G697" s="103"/>
      <c r="H697" s="152"/>
      <c r="J697" s="99"/>
      <c r="K697" s="104"/>
      <c r="L697" s="99"/>
      <c r="N697" s="99"/>
      <c r="O697" s="99"/>
      <c r="P697" s="34"/>
    </row>
    <row r="698">
      <c r="A698" s="28"/>
      <c r="B698" s="103"/>
      <c r="C698" s="121" t="str">
        <f t="array" ref="C698">ifs(and(isblank($A698),isblank($B698)),"", not(iserror(vlookup($A698&amp;$B698,'3) Release_Label'!$D:$D&amp;'3) Release_Label'!$E:$E,1,0))),vlookup($A698&amp;$B698,{'3) Release_Label'!$D:$D&amp;'3) Release_Label'!$E:$E,'3) Release_Label'!$F:$F},2,0), or(and(not(isblank($B698)),$B698=$B697,$A698&lt;&gt;$A697),and(not(isblank($A698)),$A698=$A697,$B698&lt;&gt;$B697)),"ID LISTS UNALIGNED",and($A698&lt;&gt;"",countif('3) Release_Label'!$D:$D,$A698)=0),"NO UPC MATCH in Release_Label",and($B698&lt;&gt;"",countif('3) Release_Label'!$E:$E,$B698)=0),"NO CATALOG ID MATCH in Release_Label",iserror(vlookup($A698&amp;$B698,'3) Release_Label'!$D:$D&amp;'3) Release_Label'!$E:$E,1,0)),"NO UPC-CATALOG ID pair MATCH in Release_Label" )</f>
        <v/>
      </c>
      <c r="D698" s="121" t="str">
        <f t="array" ref="D698">ifs(and(isblank($A698),isblank($B698)),"", not(iserror(vlookup($A698&amp;$B698,'3) Release_Label'!$D:$D&amp;'3) Release_Label'!$E:$E,1,0))),vlookup($A698&amp;$B698,{'3) Release_Label'!$D:$D&amp;'3) Release_Label'!$E:$E,'3) Release_Label'!$H:$H},2,0), or(and(not(isblank($B698)),$B698=$B697,$A698&lt;&gt;$A697),and(not(isblank($A698)),$A698=$A697,$B698&lt;&gt;$B697)),"ID LISTS UNALIGNED",and($A698&lt;&gt;"",countif('3) Release_Label'!$D:$D,$A698)=0),"NO UPC MATCH in Release_Label",and($B698&lt;&gt;"",countif('3) Release_Label'!$E:$E,$B698)=0),"NO CATALOG ID MATCH in Release_Label",iserror(vlookup($A698&amp;$B698,'3) Release_Label'!$D:$D&amp;'3) Release_Label'!$E:$E,1,0)),"NO UPC-CATALOG ID pair MATCH in Release_Label" )</f>
        <v/>
      </c>
      <c r="E698" s="141" t="str">
        <f t="shared" si="2"/>
        <v/>
      </c>
      <c r="G698" s="103"/>
      <c r="H698" s="152"/>
      <c r="J698" s="99"/>
      <c r="K698" s="104"/>
      <c r="L698" s="99"/>
      <c r="N698" s="99"/>
      <c r="O698" s="99"/>
      <c r="P698" s="34"/>
    </row>
    <row r="699">
      <c r="A699" s="28"/>
      <c r="B699" s="103"/>
      <c r="C699" s="121" t="str">
        <f t="array" ref="C699">ifs(and(isblank($A699),isblank($B699)),"", not(iserror(vlookup($A699&amp;$B699,'3) Release_Label'!$D:$D&amp;'3) Release_Label'!$E:$E,1,0))),vlookup($A699&amp;$B699,{'3) Release_Label'!$D:$D&amp;'3) Release_Label'!$E:$E,'3) Release_Label'!$F:$F},2,0), or(and(not(isblank($B699)),$B699=$B698,$A699&lt;&gt;$A698),and(not(isblank($A699)),$A699=$A698,$B699&lt;&gt;$B698)),"ID LISTS UNALIGNED",and($A699&lt;&gt;"",countif('3) Release_Label'!$D:$D,$A699)=0),"NO UPC MATCH in Release_Label",and($B699&lt;&gt;"",countif('3) Release_Label'!$E:$E,$B699)=0),"NO CATALOG ID MATCH in Release_Label",iserror(vlookup($A699&amp;$B699,'3) Release_Label'!$D:$D&amp;'3) Release_Label'!$E:$E,1,0)),"NO UPC-CATALOG ID pair MATCH in Release_Label" )</f>
        <v/>
      </c>
      <c r="D699" s="121" t="str">
        <f t="array" ref="D699">ifs(and(isblank($A699),isblank($B699)),"", not(iserror(vlookup($A699&amp;$B699,'3) Release_Label'!$D:$D&amp;'3) Release_Label'!$E:$E,1,0))),vlookup($A699&amp;$B699,{'3) Release_Label'!$D:$D&amp;'3) Release_Label'!$E:$E,'3) Release_Label'!$H:$H},2,0), or(and(not(isblank($B699)),$B699=$B698,$A699&lt;&gt;$A698),and(not(isblank($A699)),$A699=$A698,$B699&lt;&gt;$B698)),"ID LISTS UNALIGNED",and($A699&lt;&gt;"",countif('3) Release_Label'!$D:$D,$A699)=0),"NO UPC MATCH in Release_Label",and($B699&lt;&gt;"",countif('3) Release_Label'!$E:$E,$B699)=0),"NO CATALOG ID MATCH in Release_Label",iserror(vlookup($A699&amp;$B699,'3) Release_Label'!$D:$D&amp;'3) Release_Label'!$E:$E,1,0)),"NO UPC-CATALOG ID pair MATCH in Release_Label" )</f>
        <v/>
      </c>
      <c r="E699" s="141" t="str">
        <f t="shared" si="2"/>
        <v/>
      </c>
      <c r="G699" s="103"/>
      <c r="H699" s="152"/>
      <c r="J699" s="99"/>
      <c r="K699" s="104"/>
      <c r="L699" s="99"/>
      <c r="N699" s="99"/>
      <c r="O699" s="99"/>
      <c r="P699" s="34"/>
    </row>
    <row r="700">
      <c r="A700" s="28"/>
      <c r="B700" s="103"/>
      <c r="C700" s="121" t="str">
        <f t="array" ref="C700">ifs(and(isblank($A700),isblank($B700)),"", not(iserror(vlookup($A700&amp;$B700,'3) Release_Label'!$D:$D&amp;'3) Release_Label'!$E:$E,1,0))),vlookup($A700&amp;$B700,{'3) Release_Label'!$D:$D&amp;'3) Release_Label'!$E:$E,'3) Release_Label'!$F:$F},2,0), or(and(not(isblank($B700)),$B700=$B699,$A700&lt;&gt;$A699),and(not(isblank($A700)),$A700=$A699,$B700&lt;&gt;$B699)),"ID LISTS UNALIGNED",and($A700&lt;&gt;"",countif('3) Release_Label'!$D:$D,$A700)=0),"NO UPC MATCH in Release_Label",and($B700&lt;&gt;"",countif('3) Release_Label'!$E:$E,$B700)=0),"NO CATALOG ID MATCH in Release_Label",iserror(vlookup($A700&amp;$B700,'3) Release_Label'!$D:$D&amp;'3) Release_Label'!$E:$E,1,0)),"NO UPC-CATALOG ID pair MATCH in Release_Label" )</f>
        <v/>
      </c>
      <c r="D700" s="121" t="str">
        <f t="array" ref="D700">ifs(and(isblank($A700),isblank($B700)),"", not(iserror(vlookup($A700&amp;$B700,'3) Release_Label'!$D:$D&amp;'3) Release_Label'!$E:$E,1,0))),vlookup($A700&amp;$B700,{'3) Release_Label'!$D:$D&amp;'3) Release_Label'!$E:$E,'3) Release_Label'!$H:$H},2,0), or(and(not(isblank($B700)),$B700=$B699,$A700&lt;&gt;$A699),and(not(isblank($A700)),$A700=$A699,$B700&lt;&gt;$B699)),"ID LISTS UNALIGNED",and($A700&lt;&gt;"",countif('3) Release_Label'!$D:$D,$A700)=0),"NO UPC MATCH in Release_Label",and($B700&lt;&gt;"",countif('3) Release_Label'!$E:$E,$B700)=0),"NO CATALOG ID MATCH in Release_Label",iserror(vlookup($A700&amp;$B700,'3) Release_Label'!$D:$D&amp;'3) Release_Label'!$E:$E,1,0)),"NO UPC-CATALOG ID pair MATCH in Release_Label" )</f>
        <v/>
      </c>
      <c r="E700" s="141" t="str">
        <f t="shared" si="2"/>
        <v/>
      </c>
      <c r="G700" s="103"/>
      <c r="H700" s="152"/>
      <c r="J700" s="99"/>
      <c r="K700" s="104"/>
      <c r="L700" s="99"/>
      <c r="N700" s="99"/>
      <c r="O700" s="99"/>
      <c r="P700" s="34"/>
    </row>
    <row r="701">
      <c r="A701" s="28"/>
      <c r="B701" s="103"/>
      <c r="C701" s="121" t="str">
        <f t="array" ref="C701">ifs(and(isblank($A701),isblank($B701)),"", not(iserror(vlookup($A701&amp;$B701,'3) Release_Label'!$D:$D&amp;'3) Release_Label'!$E:$E,1,0))),vlookup($A701&amp;$B701,{'3) Release_Label'!$D:$D&amp;'3) Release_Label'!$E:$E,'3) Release_Label'!$F:$F},2,0), or(and(not(isblank($B701)),$B701=$B700,$A701&lt;&gt;$A700),and(not(isblank($A701)),$A701=$A700,$B701&lt;&gt;$B700)),"ID LISTS UNALIGNED",and($A701&lt;&gt;"",countif('3) Release_Label'!$D:$D,$A701)=0),"NO UPC MATCH in Release_Label",and($B701&lt;&gt;"",countif('3) Release_Label'!$E:$E,$B701)=0),"NO CATALOG ID MATCH in Release_Label",iserror(vlookup($A701&amp;$B701,'3) Release_Label'!$D:$D&amp;'3) Release_Label'!$E:$E,1,0)),"NO UPC-CATALOG ID pair MATCH in Release_Label" )</f>
        <v/>
      </c>
      <c r="D701" s="121" t="str">
        <f t="array" ref="D701">ifs(and(isblank($A701),isblank($B701)),"", not(iserror(vlookup($A701&amp;$B701,'3) Release_Label'!$D:$D&amp;'3) Release_Label'!$E:$E,1,0))),vlookup($A701&amp;$B701,{'3) Release_Label'!$D:$D&amp;'3) Release_Label'!$E:$E,'3) Release_Label'!$H:$H},2,0), or(and(not(isblank($B701)),$B701=$B700,$A701&lt;&gt;$A700),and(not(isblank($A701)),$A701=$A700,$B701&lt;&gt;$B700)),"ID LISTS UNALIGNED",and($A701&lt;&gt;"",countif('3) Release_Label'!$D:$D,$A701)=0),"NO UPC MATCH in Release_Label",and($B701&lt;&gt;"",countif('3) Release_Label'!$E:$E,$B701)=0),"NO CATALOG ID MATCH in Release_Label",iserror(vlookup($A701&amp;$B701,'3) Release_Label'!$D:$D&amp;'3) Release_Label'!$E:$E,1,0)),"NO UPC-CATALOG ID pair MATCH in Release_Label" )</f>
        <v/>
      </c>
      <c r="E701" s="141" t="str">
        <f t="shared" si="2"/>
        <v/>
      </c>
      <c r="G701" s="103"/>
      <c r="H701" s="152"/>
      <c r="J701" s="99"/>
      <c r="K701" s="104"/>
      <c r="L701" s="99"/>
      <c r="N701" s="99"/>
      <c r="O701" s="99"/>
      <c r="P701" s="34"/>
    </row>
    <row r="702">
      <c r="A702" s="28"/>
      <c r="B702" s="103"/>
      <c r="C702" s="121" t="str">
        <f t="array" ref="C702">ifs(and(isblank($A702),isblank($B702)),"", not(iserror(vlookup($A702&amp;$B702,'3) Release_Label'!$D:$D&amp;'3) Release_Label'!$E:$E,1,0))),vlookup($A702&amp;$B702,{'3) Release_Label'!$D:$D&amp;'3) Release_Label'!$E:$E,'3) Release_Label'!$F:$F},2,0), or(and(not(isblank($B702)),$B702=$B701,$A702&lt;&gt;$A701),and(not(isblank($A702)),$A702=$A701,$B702&lt;&gt;$B701)),"ID LISTS UNALIGNED",and($A702&lt;&gt;"",countif('3) Release_Label'!$D:$D,$A702)=0),"NO UPC MATCH in Release_Label",and($B702&lt;&gt;"",countif('3) Release_Label'!$E:$E,$B702)=0),"NO CATALOG ID MATCH in Release_Label",iserror(vlookup($A702&amp;$B702,'3) Release_Label'!$D:$D&amp;'3) Release_Label'!$E:$E,1,0)),"NO UPC-CATALOG ID pair MATCH in Release_Label" )</f>
        <v/>
      </c>
      <c r="D702" s="121" t="str">
        <f t="array" ref="D702">ifs(and(isblank($A702),isblank($B702)),"", not(iserror(vlookup($A702&amp;$B702,'3) Release_Label'!$D:$D&amp;'3) Release_Label'!$E:$E,1,0))),vlookup($A702&amp;$B702,{'3) Release_Label'!$D:$D&amp;'3) Release_Label'!$E:$E,'3) Release_Label'!$H:$H},2,0), or(and(not(isblank($B702)),$B702=$B701,$A702&lt;&gt;$A701),and(not(isblank($A702)),$A702=$A701,$B702&lt;&gt;$B701)),"ID LISTS UNALIGNED",and($A702&lt;&gt;"",countif('3) Release_Label'!$D:$D,$A702)=0),"NO UPC MATCH in Release_Label",and($B702&lt;&gt;"",countif('3) Release_Label'!$E:$E,$B702)=0),"NO CATALOG ID MATCH in Release_Label",iserror(vlookup($A702&amp;$B702,'3) Release_Label'!$D:$D&amp;'3) Release_Label'!$E:$E,1,0)),"NO UPC-CATALOG ID pair MATCH in Release_Label" )</f>
        <v/>
      </c>
      <c r="E702" s="141" t="str">
        <f t="shared" si="2"/>
        <v/>
      </c>
      <c r="G702" s="103"/>
      <c r="H702" s="152"/>
      <c r="J702" s="99"/>
      <c r="K702" s="104"/>
      <c r="L702" s="99"/>
      <c r="N702" s="99"/>
      <c r="O702" s="99"/>
      <c r="P702" s="34"/>
    </row>
    <row r="703">
      <c r="A703" s="28"/>
      <c r="B703" s="103"/>
      <c r="C703" s="121" t="str">
        <f t="array" ref="C703">ifs(and(isblank($A703),isblank($B703)),"", not(iserror(vlookup($A703&amp;$B703,'3) Release_Label'!$D:$D&amp;'3) Release_Label'!$E:$E,1,0))),vlookup($A703&amp;$B703,{'3) Release_Label'!$D:$D&amp;'3) Release_Label'!$E:$E,'3) Release_Label'!$F:$F},2,0), or(and(not(isblank($B703)),$B703=$B702,$A703&lt;&gt;$A702),and(not(isblank($A703)),$A703=$A702,$B703&lt;&gt;$B702)),"ID LISTS UNALIGNED",and($A703&lt;&gt;"",countif('3) Release_Label'!$D:$D,$A703)=0),"NO UPC MATCH in Release_Label",and($B703&lt;&gt;"",countif('3) Release_Label'!$E:$E,$B703)=0),"NO CATALOG ID MATCH in Release_Label",iserror(vlookup($A703&amp;$B703,'3) Release_Label'!$D:$D&amp;'3) Release_Label'!$E:$E,1,0)),"NO UPC-CATALOG ID pair MATCH in Release_Label" )</f>
        <v/>
      </c>
      <c r="D703" s="121" t="str">
        <f t="array" ref="D703">ifs(and(isblank($A703),isblank($B703)),"", not(iserror(vlookup($A703&amp;$B703,'3) Release_Label'!$D:$D&amp;'3) Release_Label'!$E:$E,1,0))),vlookup($A703&amp;$B703,{'3) Release_Label'!$D:$D&amp;'3) Release_Label'!$E:$E,'3) Release_Label'!$H:$H},2,0), or(and(not(isblank($B703)),$B703=$B702,$A703&lt;&gt;$A702),and(not(isblank($A703)),$A703=$A702,$B703&lt;&gt;$B702)),"ID LISTS UNALIGNED",and($A703&lt;&gt;"",countif('3) Release_Label'!$D:$D,$A703)=0),"NO UPC MATCH in Release_Label",and($B703&lt;&gt;"",countif('3) Release_Label'!$E:$E,$B703)=0),"NO CATALOG ID MATCH in Release_Label",iserror(vlookup($A703&amp;$B703,'3) Release_Label'!$D:$D&amp;'3) Release_Label'!$E:$E,1,0)),"NO UPC-CATALOG ID pair MATCH in Release_Label" )</f>
        <v/>
      </c>
      <c r="E703" s="141" t="str">
        <f t="shared" si="2"/>
        <v/>
      </c>
      <c r="G703" s="103"/>
      <c r="H703" s="152"/>
      <c r="J703" s="99"/>
      <c r="K703" s="104"/>
      <c r="L703" s="99"/>
      <c r="N703" s="99"/>
      <c r="O703" s="99"/>
      <c r="P703" s="34"/>
    </row>
    <row r="704">
      <c r="A704" s="28"/>
      <c r="B704" s="103"/>
      <c r="C704" s="121" t="str">
        <f t="array" ref="C704">ifs(and(isblank($A704),isblank($B704)),"", not(iserror(vlookup($A704&amp;$B704,'3) Release_Label'!$D:$D&amp;'3) Release_Label'!$E:$E,1,0))),vlookup($A704&amp;$B704,{'3) Release_Label'!$D:$D&amp;'3) Release_Label'!$E:$E,'3) Release_Label'!$F:$F},2,0), or(and(not(isblank($B704)),$B704=$B703,$A704&lt;&gt;$A703),and(not(isblank($A704)),$A704=$A703,$B704&lt;&gt;$B703)),"ID LISTS UNALIGNED",and($A704&lt;&gt;"",countif('3) Release_Label'!$D:$D,$A704)=0),"NO UPC MATCH in Release_Label",and($B704&lt;&gt;"",countif('3) Release_Label'!$E:$E,$B704)=0),"NO CATALOG ID MATCH in Release_Label",iserror(vlookup($A704&amp;$B704,'3) Release_Label'!$D:$D&amp;'3) Release_Label'!$E:$E,1,0)),"NO UPC-CATALOG ID pair MATCH in Release_Label" )</f>
        <v/>
      </c>
      <c r="D704" s="121" t="str">
        <f t="array" ref="D704">ifs(and(isblank($A704),isblank($B704)),"", not(iserror(vlookup($A704&amp;$B704,'3) Release_Label'!$D:$D&amp;'3) Release_Label'!$E:$E,1,0))),vlookup($A704&amp;$B704,{'3) Release_Label'!$D:$D&amp;'3) Release_Label'!$E:$E,'3) Release_Label'!$H:$H},2,0), or(and(not(isblank($B704)),$B704=$B703,$A704&lt;&gt;$A703),and(not(isblank($A704)),$A704=$A703,$B704&lt;&gt;$B703)),"ID LISTS UNALIGNED",and($A704&lt;&gt;"",countif('3) Release_Label'!$D:$D,$A704)=0),"NO UPC MATCH in Release_Label",and($B704&lt;&gt;"",countif('3) Release_Label'!$E:$E,$B704)=0),"NO CATALOG ID MATCH in Release_Label",iserror(vlookup($A704&amp;$B704,'3) Release_Label'!$D:$D&amp;'3) Release_Label'!$E:$E,1,0)),"NO UPC-CATALOG ID pair MATCH in Release_Label" )</f>
        <v/>
      </c>
      <c r="E704" s="141" t="str">
        <f t="shared" si="2"/>
        <v/>
      </c>
      <c r="G704" s="103"/>
      <c r="H704" s="152"/>
      <c r="J704" s="99"/>
      <c r="K704" s="104"/>
      <c r="L704" s="99"/>
      <c r="N704" s="99"/>
      <c r="O704" s="99"/>
      <c r="P704" s="34"/>
    </row>
    <row r="705">
      <c r="A705" s="28"/>
      <c r="B705" s="103"/>
      <c r="C705" s="121" t="str">
        <f t="array" ref="C705">ifs(and(isblank($A705),isblank($B705)),"", not(iserror(vlookup($A705&amp;$B705,'3) Release_Label'!$D:$D&amp;'3) Release_Label'!$E:$E,1,0))),vlookup($A705&amp;$B705,{'3) Release_Label'!$D:$D&amp;'3) Release_Label'!$E:$E,'3) Release_Label'!$F:$F},2,0), or(and(not(isblank($B705)),$B705=$B704,$A705&lt;&gt;$A704),and(not(isblank($A705)),$A705=$A704,$B705&lt;&gt;$B704)),"ID LISTS UNALIGNED",and($A705&lt;&gt;"",countif('3) Release_Label'!$D:$D,$A705)=0),"NO UPC MATCH in Release_Label",and($B705&lt;&gt;"",countif('3) Release_Label'!$E:$E,$B705)=0),"NO CATALOG ID MATCH in Release_Label",iserror(vlookup($A705&amp;$B705,'3) Release_Label'!$D:$D&amp;'3) Release_Label'!$E:$E,1,0)),"NO UPC-CATALOG ID pair MATCH in Release_Label" )</f>
        <v/>
      </c>
      <c r="D705" s="121" t="str">
        <f t="array" ref="D705">ifs(and(isblank($A705),isblank($B705)),"", not(iserror(vlookup($A705&amp;$B705,'3) Release_Label'!$D:$D&amp;'3) Release_Label'!$E:$E,1,0))),vlookup($A705&amp;$B705,{'3) Release_Label'!$D:$D&amp;'3) Release_Label'!$E:$E,'3) Release_Label'!$H:$H},2,0), or(and(not(isblank($B705)),$B705=$B704,$A705&lt;&gt;$A704),and(not(isblank($A705)),$A705=$A704,$B705&lt;&gt;$B704)),"ID LISTS UNALIGNED",and($A705&lt;&gt;"",countif('3) Release_Label'!$D:$D,$A705)=0),"NO UPC MATCH in Release_Label",and($B705&lt;&gt;"",countif('3) Release_Label'!$E:$E,$B705)=0),"NO CATALOG ID MATCH in Release_Label",iserror(vlookup($A705&amp;$B705,'3) Release_Label'!$D:$D&amp;'3) Release_Label'!$E:$E,1,0)),"NO UPC-CATALOG ID pair MATCH in Release_Label" )</f>
        <v/>
      </c>
      <c r="E705" s="141" t="str">
        <f t="shared" si="2"/>
        <v/>
      </c>
      <c r="G705" s="103"/>
      <c r="H705" s="152"/>
      <c r="J705" s="99"/>
      <c r="K705" s="104"/>
      <c r="L705" s="99"/>
      <c r="N705" s="99"/>
      <c r="O705" s="99"/>
      <c r="P705" s="34"/>
    </row>
    <row r="706">
      <c r="A706" s="28"/>
      <c r="B706" s="103"/>
      <c r="C706" s="121" t="str">
        <f t="array" ref="C706">ifs(and(isblank($A706),isblank($B706)),"", not(iserror(vlookup($A706&amp;$B706,'3) Release_Label'!$D:$D&amp;'3) Release_Label'!$E:$E,1,0))),vlookup($A706&amp;$B706,{'3) Release_Label'!$D:$D&amp;'3) Release_Label'!$E:$E,'3) Release_Label'!$F:$F},2,0), or(and(not(isblank($B706)),$B706=$B705,$A706&lt;&gt;$A705),and(not(isblank($A706)),$A706=$A705,$B706&lt;&gt;$B705)),"ID LISTS UNALIGNED",and($A706&lt;&gt;"",countif('3) Release_Label'!$D:$D,$A706)=0),"NO UPC MATCH in Release_Label",and($B706&lt;&gt;"",countif('3) Release_Label'!$E:$E,$B706)=0),"NO CATALOG ID MATCH in Release_Label",iserror(vlookup($A706&amp;$B706,'3) Release_Label'!$D:$D&amp;'3) Release_Label'!$E:$E,1,0)),"NO UPC-CATALOG ID pair MATCH in Release_Label" )</f>
        <v/>
      </c>
      <c r="D706" s="121" t="str">
        <f t="array" ref="D706">ifs(and(isblank($A706),isblank($B706)),"", not(iserror(vlookup($A706&amp;$B706,'3) Release_Label'!$D:$D&amp;'3) Release_Label'!$E:$E,1,0))),vlookup($A706&amp;$B706,{'3) Release_Label'!$D:$D&amp;'3) Release_Label'!$E:$E,'3) Release_Label'!$H:$H},2,0), or(and(not(isblank($B706)),$B706=$B705,$A706&lt;&gt;$A705),and(not(isblank($A706)),$A706=$A705,$B706&lt;&gt;$B705)),"ID LISTS UNALIGNED",and($A706&lt;&gt;"",countif('3) Release_Label'!$D:$D,$A706)=0),"NO UPC MATCH in Release_Label",and($B706&lt;&gt;"",countif('3) Release_Label'!$E:$E,$B706)=0),"NO CATALOG ID MATCH in Release_Label",iserror(vlookup($A706&amp;$B706,'3) Release_Label'!$D:$D&amp;'3) Release_Label'!$E:$E,1,0)),"NO UPC-CATALOG ID pair MATCH in Release_Label" )</f>
        <v/>
      </c>
      <c r="E706" s="141" t="str">
        <f t="shared" si="2"/>
        <v/>
      </c>
      <c r="G706" s="103"/>
      <c r="H706" s="152"/>
      <c r="J706" s="99"/>
      <c r="K706" s="104"/>
      <c r="L706" s="99"/>
      <c r="N706" s="99"/>
      <c r="O706" s="99"/>
      <c r="P706" s="34"/>
    </row>
    <row r="707">
      <c r="A707" s="28"/>
      <c r="B707" s="103"/>
      <c r="C707" s="121" t="str">
        <f t="array" ref="C707">ifs(and(isblank($A707),isblank($B707)),"", not(iserror(vlookup($A707&amp;$B707,'3) Release_Label'!$D:$D&amp;'3) Release_Label'!$E:$E,1,0))),vlookup($A707&amp;$B707,{'3) Release_Label'!$D:$D&amp;'3) Release_Label'!$E:$E,'3) Release_Label'!$F:$F},2,0), or(and(not(isblank($B707)),$B707=$B706,$A707&lt;&gt;$A706),and(not(isblank($A707)),$A707=$A706,$B707&lt;&gt;$B706)),"ID LISTS UNALIGNED",and($A707&lt;&gt;"",countif('3) Release_Label'!$D:$D,$A707)=0),"NO UPC MATCH in Release_Label",and($B707&lt;&gt;"",countif('3) Release_Label'!$E:$E,$B707)=0),"NO CATALOG ID MATCH in Release_Label",iserror(vlookup($A707&amp;$B707,'3) Release_Label'!$D:$D&amp;'3) Release_Label'!$E:$E,1,0)),"NO UPC-CATALOG ID pair MATCH in Release_Label" )</f>
        <v/>
      </c>
      <c r="D707" s="121" t="str">
        <f t="array" ref="D707">ifs(and(isblank($A707),isblank($B707)),"", not(iserror(vlookup($A707&amp;$B707,'3) Release_Label'!$D:$D&amp;'3) Release_Label'!$E:$E,1,0))),vlookup($A707&amp;$B707,{'3) Release_Label'!$D:$D&amp;'3) Release_Label'!$E:$E,'3) Release_Label'!$H:$H},2,0), or(and(not(isblank($B707)),$B707=$B706,$A707&lt;&gt;$A706),and(not(isblank($A707)),$A707=$A706,$B707&lt;&gt;$B706)),"ID LISTS UNALIGNED",and($A707&lt;&gt;"",countif('3) Release_Label'!$D:$D,$A707)=0),"NO UPC MATCH in Release_Label",and($B707&lt;&gt;"",countif('3) Release_Label'!$E:$E,$B707)=0),"NO CATALOG ID MATCH in Release_Label",iserror(vlookup($A707&amp;$B707,'3) Release_Label'!$D:$D&amp;'3) Release_Label'!$E:$E,1,0)),"NO UPC-CATALOG ID pair MATCH in Release_Label" )</f>
        <v/>
      </c>
      <c r="E707" s="141" t="str">
        <f t="shared" si="2"/>
        <v/>
      </c>
      <c r="G707" s="103"/>
      <c r="H707" s="152"/>
      <c r="J707" s="99"/>
      <c r="K707" s="104"/>
      <c r="L707" s="99"/>
      <c r="N707" s="99"/>
      <c r="O707" s="99"/>
      <c r="P707" s="34"/>
    </row>
    <row r="708">
      <c r="A708" s="28"/>
      <c r="B708" s="103"/>
      <c r="C708" s="121" t="str">
        <f t="array" ref="C708">ifs(and(isblank($A708),isblank($B708)),"", not(iserror(vlookup($A708&amp;$B708,'3) Release_Label'!$D:$D&amp;'3) Release_Label'!$E:$E,1,0))),vlookup($A708&amp;$B708,{'3) Release_Label'!$D:$D&amp;'3) Release_Label'!$E:$E,'3) Release_Label'!$F:$F},2,0), or(and(not(isblank($B708)),$B708=$B707,$A708&lt;&gt;$A707),and(not(isblank($A708)),$A708=$A707,$B708&lt;&gt;$B707)),"ID LISTS UNALIGNED",and($A708&lt;&gt;"",countif('3) Release_Label'!$D:$D,$A708)=0),"NO UPC MATCH in Release_Label",and($B708&lt;&gt;"",countif('3) Release_Label'!$E:$E,$B708)=0),"NO CATALOG ID MATCH in Release_Label",iserror(vlookup($A708&amp;$B708,'3) Release_Label'!$D:$D&amp;'3) Release_Label'!$E:$E,1,0)),"NO UPC-CATALOG ID pair MATCH in Release_Label" )</f>
        <v/>
      </c>
      <c r="D708" s="121" t="str">
        <f t="array" ref="D708">ifs(and(isblank($A708),isblank($B708)),"", not(iserror(vlookup($A708&amp;$B708,'3) Release_Label'!$D:$D&amp;'3) Release_Label'!$E:$E,1,0))),vlookup($A708&amp;$B708,{'3) Release_Label'!$D:$D&amp;'3) Release_Label'!$E:$E,'3) Release_Label'!$H:$H},2,0), or(and(not(isblank($B708)),$B708=$B707,$A708&lt;&gt;$A707),and(not(isblank($A708)),$A708=$A707,$B708&lt;&gt;$B707)),"ID LISTS UNALIGNED",and($A708&lt;&gt;"",countif('3) Release_Label'!$D:$D,$A708)=0),"NO UPC MATCH in Release_Label",and($B708&lt;&gt;"",countif('3) Release_Label'!$E:$E,$B708)=0),"NO CATALOG ID MATCH in Release_Label",iserror(vlookup($A708&amp;$B708,'3) Release_Label'!$D:$D&amp;'3) Release_Label'!$E:$E,1,0)),"NO UPC-CATALOG ID pair MATCH in Release_Label" )</f>
        <v/>
      </c>
      <c r="E708" s="141" t="str">
        <f t="shared" si="2"/>
        <v/>
      </c>
      <c r="G708" s="103"/>
      <c r="H708" s="152"/>
      <c r="J708" s="99"/>
      <c r="K708" s="104"/>
      <c r="L708" s="99"/>
      <c r="N708" s="99"/>
      <c r="O708" s="99"/>
      <c r="P708" s="34"/>
    </row>
    <row r="709">
      <c r="A709" s="28"/>
      <c r="B709" s="103"/>
      <c r="C709" s="121" t="str">
        <f t="array" ref="C709">ifs(and(isblank($A709),isblank($B709)),"", not(iserror(vlookup($A709&amp;$B709,'3) Release_Label'!$D:$D&amp;'3) Release_Label'!$E:$E,1,0))),vlookup($A709&amp;$B709,{'3) Release_Label'!$D:$D&amp;'3) Release_Label'!$E:$E,'3) Release_Label'!$F:$F},2,0), or(and(not(isblank($B709)),$B709=$B708,$A709&lt;&gt;$A708),and(not(isblank($A709)),$A709=$A708,$B709&lt;&gt;$B708)),"ID LISTS UNALIGNED",and($A709&lt;&gt;"",countif('3) Release_Label'!$D:$D,$A709)=0),"NO UPC MATCH in Release_Label",and($B709&lt;&gt;"",countif('3) Release_Label'!$E:$E,$B709)=0),"NO CATALOG ID MATCH in Release_Label",iserror(vlookup($A709&amp;$B709,'3) Release_Label'!$D:$D&amp;'3) Release_Label'!$E:$E,1,0)),"NO UPC-CATALOG ID pair MATCH in Release_Label" )</f>
        <v/>
      </c>
      <c r="D709" s="121" t="str">
        <f t="array" ref="D709">ifs(and(isblank($A709),isblank($B709)),"", not(iserror(vlookup($A709&amp;$B709,'3) Release_Label'!$D:$D&amp;'3) Release_Label'!$E:$E,1,0))),vlookup($A709&amp;$B709,{'3) Release_Label'!$D:$D&amp;'3) Release_Label'!$E:$E,'3) Release_Label'!$H:$H},2,0), or(and(not(isblank($B709)),$B709=$B708,$A709&lt;&gt;$A708),and(not(isblank($A709)),$A709=$A708,$B709&lt;&gt;$B708)),"ID LISTS UNALIGNED",and($A709&lt;&gt;"",countif('3) Release_Label'!$D:$D,$A709)=0),"NO UPC MATCH in Release_Label",and($B709&lt;&gt;"",countif('3) Release_Label'!$E:$E,$B709)=0),"NO CATALOG ID MATCH in Release_Label",iserror(vlookup($A709&amp;$B709,'3) Release_Label'!$D:$D&amp;'3) Release_Label'!$E:$E,1,0)),"NO UPC-CATALOG ID pair MATCH in Release_Label" )</f>
        <v/>
      </c>
      <c r="E709" s="141" t="str">
        <f t="shared" si="2"/>
        <v/>
      </c>
      <c r="G709" s="103"/>
      <c r="H709" s="152"/>
      <c r="J709" s="99"/>
      <c r="K709" s="104"/>
      <c r="L709" s="99"/>
      <c r="N709" s="99"/>
      <c r="O709" s="99"/>
      <c r="P709" s="34"/>
    </row>
    <row r="710">
      <c r="A710" s="28"/>
      <c r="B710" s="103"/>
      <c r="C710" s="121" t="str">
        <f t="array" ref="C710">ifs(and(isblank($A710),isblank($B710)),"", not(iserror(vlookup($A710&amp;$B710,'3) Release_Label'!$D:$D&amp;'3) Release_Label'!$E:$E,1,0))),vlookup($A710&amp;$B710,{'3) Release_Label'!$D:$D&amp;'3) Release_Label'!$E:$E,'3) Release_Label'!$F:$F},2,0), or(and(not(isblank($B710)),$B710=$B709,$A710&lt;&gt;$A709),and(not(isblank($A710)),$A710=$A709,$B710&lt;&gt;$B709)),"ID LISTS UNALIGNED",and($A710&lt;&gt;"",countif('3) Release_Label'!$D:$D,$A710)=0),"NO UPC MATCH in Release_Label",and($B710&lt;&gt;"",countif('3) Release_Label'!$E:$E,$B710)=0),"NO CATALOG ID MATCH in Release_Label",iserror(vlookup($A710&amp;$B710,'3) Release_Label'!$D:$D&amp;'3) Release_Label'!$E:$E,1,0)),"NO UPC-CATALOG ID pair MATCH in Release_Label" )</f>
        <v/>
      </c>
      <c r="D710" s="121" t="str">
        <f t="array" ref="D710">ifs(and(isblank($A710),isblank($B710)),"", not(iserror(vlookup($A710&amp;$B710,'3) Release_Label'!$D:$D&amp;'3) Release_Label'!$E:$E,1,0))),vlookup($A710&amp;$B710,{'3) Release_Label'!$D:$D&amp;'3) Release_Label'!$E:$E,'3) Release_Label'!$H:$H},2,0), or(and(not(isblank($B710)),$B710=$B709,$A710&lt;&gt;$A709),and(not(isblank($A710)),$A710=$A709,$B710&lt;&gt;$B709)),"ID LISTS UNALIGNED",and($A710&lt;&gt;"",countif('3) Release_Label'!$D:$D,$A710)=0),"NO UPC MATCH in Release_Label",and($B710&lt;&gt;"",countif('3) Release_Label'!$E:$E,$B710)=0),"NO CATALOG ID MATCH in Release_Label",iserror(vlookup($A710&amp;$B710,'3) Release_Label'!$D:$D&amp;'3) Release_Label'!$E:$E,1,0)),"NO UPC-CATALOG ID pair MATCH in Release_Label" )</f>
        <v/>
      </c>
      <c r="E710" s="141" t="str">
        <f t="shared" si="2"/>
        <v/>
      </c>
      <c r="G710" s="103"/>
      <c r="H710" s="152"/>
      <c r="J710" s="99"/>
      <c r="K710" s="104"/>
      <c r="L710" s="99"/>
      <c r="N710" s="99"/>
      <c r="O710" s="99"/>
      <c r="P710" s="34"/>
    </row>
    <row r="711">
      <c r="A711" s="28"/>
      <c r="B711" s="103"/>
      <c r="C711" s="121" t="str">
        <f t="array" ref="C711">ifs(and(isblank($A711),isblank($B711)),"", not(iserror(vlookup($A711&amp;$B711,'3) Release_Label'!$D:$D&amp;'3) Release_Label'!$E:$E,1,0))),vlookup($A711&amp;$B711,{'3) Release_Label'!$D:$D&amp;'3) Release_Label'!$E:$E,'3) Release_Label'!$F:$F},2,0), or(and(not(isblank($B711)),$B711=$B710,$A711&lt;&gt;$A710),and(not(isblank($A711)),$A711=$A710,$B711&lt;&gt;$B710)),"ID LISTS UNALIGNED",and($A711&lt;&gt;"",countif('3) Release_Label'!$D:$D,$A711)=0),"NO UPC MATCH in Release_Label",and($B711&lt;&gt;"",countif('3) Release_Label'!$E:$E,$B711)=0),"NO CATALOG ID MATCH in Release_Label",iserror(vlookup($A711&amp;$B711,'3) Release_Label'!$D:$D&amp;'3) Release_Label'!$E:$E,1,0)),"NO UPC-CATALOG ID pair MATCH in Release_Label" )</f>
        <v/>
      </c>
      <c r="D711" s="121" t="str">
        <f t="array" ref="D711">ifs(and(isblank($A711),isblank($B711)),"", not(iserror(vlookup($A711&amp;$B711,'3) Release_Label'!$D:$D&amp;'3) Release_Label'!$E:$E,1,0))),vlookup($A711&amp;$B711,{'3) Release_Label'!$D:$D&amp;'3) Release_Label'!$E:$E,'3) Release_Label'!$H:$H},2,0), or(and(not(isblank($B711)),$B711=$B710,$A711&lt;&gt;$A710),and(not(isblank($A711)),$A711=$A710,$B711&lt;&gt;$B710)),"ID LISTS UNALIGNED",and($A711&lt;&gt;"",countif('3) Release_Label'!$D:$D,$A711)=0),"NO UPC MATCH in Release_Label",and($B711&lt;&gt;"",countif('3) Release_Label'!$E:$E,$B711)=0),"NO CATALOG ID MATCH in Release_Label",iserror(vlookup($A711&amp;$B711,'3) Release_Label'!$D:$D&amp;'3) Release_Label'!$E:$E,1,0)),"NO UPC-CATALOG ID pair MATCH in Release_Label" )</f>
        <v/>
      </c>
      <c r="E711" s="141" t="str">
        <f t="shared" si="2"/>
        <v/>
      </c>
      <c r="G711" s="103"/>
      <c r="H711" s="152"/>
      <c r="J711" s="99"/>
      <c r="K711" s="104"/>
      <c r="L711" s="99"/>
      <c r="N711" s="99"/>
      <c r="O711" s="99"/>
      <c r="P711" s="34"/>
    </row>
    <row r="712">
      <c r="A712" s="28"/>
      <c r="B712" s="103"/>
      <c r="C712" s="121" t="str">
        <f t="array" ref="C712">ifs(and(isblank($A712),isblank($B712)),"", not(iserror(vlookup($A712&amp;$B712,'3) Release_Label'!$D:$D&amp;'3) Release_Label'!$E:$E,1,0))),vlookup($A712&amp;$B712,{'3) Release_Label'!$D:$D&amp;'3) Release_Label'!$E:$E,'3) Release_Label'!$F:$F},2,0), or(and(not(isblank($B712)),$B712=$B711,$A712&lt;&gt;$A711),and(not(isblank($A712)),$A712=$A711,$B712&lt;&gt;$B711)),"ID LISTS UNALIGNED",and($A712&lt;&gt;"",countif('3) Release_Label'!$D:$D,$A712)=0),"NO UPC MATCH in Release_Label",and($B712&lt;&gt;"",countif('3) Release_Label'!$E:$E,$B712)=0),"NO CATALOG ID MATCH in Release_Label",iserror(vlookup($A712&amp;$B712,'3) Release_Label'!$D:$D&amp;'3) Release_Label'!$E:$E,1,0)),"NO UPC-CATALOG ID pair MATCH in Release_Label" )</f>
        <v/>
      </c>
      <c r="D712" s="121" t="str">
        <f t="array" ref="D712">ifs(and(isblank($A712),isblank($B712)),"", not(iserror(vlookup($A712&amp;$B712,'3) Release_Label'!$D:$D&amp;'3) Release_Label'!$E:$E,1,0))),vlookup($A712&amp;$B712,{'3) Release_Label'!$D:$D&amp;'3) Release_Label'!$E:$E,'3) Release_Label'!$H:$H},2,0), or(and(not(isblank($B712)),$B712=$B711,$A712&lt;&gt;$A711),and(not(isblank($A712)),$A712=$A711,$B712&lt;&gt;$B711)),"ID LISTS UNALIGNED",and($A712&lt;&gt;"",countif('3) Release_Label'!$D:$D,$A712)=0),"NO UPC MATCH in Release_Label",and($B712&lt;&gt;"",countif('3) Release_Label'!$E:$E,$B712)=0),"NO CATALOG ID MATCH in Release_Label",iserror(vlookup($A712&amp;$B712,'3) Release_Label'!$D:$D&amp;'3) Release_Label'!$E:$E,1,0)),"NO UPC-CATALOG ID pair MATCH in Release_Label" )</f>
        <v/>
      </c>
      <c r="E712" s="141" t="str">
        <f t="shared" si="2"/>
        <v/>
      </c>
      <c r="G712" s="103"/>
      <c r="H712" s="152"/>
      <c r="J712" s="99"/>
      <c r="K712" s="104"/>
      <c r="L712" s="99"/>
      <c r="N712" s="99"/>
      <c r="O712" s="99"/>
      <c r="P712" s="34"/>
    </row>
    <row r="713">
      <c r="A713" s="28"/>
      <c r="B713" s="103"/>
      <c r="C713" s="121" t="str">
        <f t="array" ref="C713">ifs(and(isblank($A713),isblank($B713)),"", not(iserror(vlookup($A713&amp;$B713,'3) Release_Label'!$D:$D&amp;'3) Release_Label'!$E:$E,1,0))),vlookup($A713&amp;$B713,{'3) Release_Label'!$D:$D&amp;'3) Release_Label'!$E:$E,'3) Release_Label'!$F:$F},2,0), or(and(not(isblank($B713)),$B713=$B712,$A713&lt;&gt;$A712),and(not(isblank($A713)),$A713=$A712,$B713&lt;&gt;$B712)),"ID LISTS UNALIGNED",and($A713&lt;&gt;"",countif('3) Release_Label'!$D:$D,$A713)=0),"NO UPC MATCH in Release_Label",and($B713&lt;&gt;"",countif('3) Release_Label'!$E:$E,$B713)=0),"NO CATALOG ID MATCH in Release_Label",iserror(vlookup($A713&amp;$B713,'3) Release_Label'!$D:$D&amp;'3) Release_Label'!$E:$E,1,0)),"NO UPC-CATALOG ID pair MATCH in Release_Label" )</f>
        <v/>
      </c>
      <c r="D713" s="121" t="str">
        <f t="array" ref="D713">ifs(and(isblank($A713),isblank($B713)),"", not(iserror(vlookup($A713&amp;$B713,'3) Release_Label'!$D:$D&amp;'3) Release_Label'!$E:$E,1,0))),vlookup($A713&amp;$B713,{'3) Release_Label'!$D:$D&amp;'3) Release_Label'!$E:$E,'3) Release_Label'!$H:$H},2,0), or(and(not(isblank($B713)),$B713=$B712,$A713&lt;&gt;$A712),and(not(isblank($A713)),$A713=$A712,$B713&lt;&gt;$B712)),"ID LISTS UNALIGNED",and($A713&lt;&gt;"",countif('3) Release_Label'!$D:$D,$A713)=0),"NO UPC MATCH in Release_Label",and($B713&lt;&gt;"",countif('3) Release_Label'!$E:$E,$B713)=0),"NO CATALOG ID MATCH in Release_Label",iserror(vlookup($A713&amp;$B713,'3) Release_Label'!$D:$D&amp;'3) Release_Label'!$E:$E,1,0)),"NO UPC-CATALOG ID pair MATCH in Release_Label" )</f>
        <v/>
      </c>
      <c r="E713" s="141" t="str">
        <f t="shared" si="2"/>
        <v/>
      </c>
      <c r="G713" s="103"/>
      <c r="H713" s="152"/>
      <c r="J713" s="99"/>
      <c r="K713" s="104"/>
      <c r="L713" s="99"/>
      <c r="N713" s="99"/>
      <c r="O713" s="99"/>
      <c r="P713" s="34"/>
    </row>
    <row r="714">
      <c r="A714" s="28"/>
      <c r="B714" s="103"/>
      <c r="C714" s="121" t="str">
        <f t="array" ref="C714">ifs(and(isblank($A714),isblank($B714)),"", not(iserror(vlookup($A714&amp;$B714,'3) Release_Label'!$D:$D&amp;'3) Release_Label'!$E:$E,1,0))),vlookup($A714&amp;$B714,{'3) Release_Label'!$D:$D&amp;'3) Release_Label'!$E:$E,'3) Release_Label'!$F:$F},2,0), or(and(not(isblank($B714)),$B714=$B713,$A714&lt;&gt;$A713),and(not(isblank($A714)),$A714=$A713,$B714&lt;&gt;$B713)),"ID LISTS UNALIGNED",and($A714&lt;&gt;"",countif('3) Release_Label'!$D:$D,$A714)=0),"NO UPC MATCH in Release_Label",and($B714&lt;&gt;"",countif('3) Release_Label'!$E:$E,$B714)=0),"NO CATALOG ID MATCH in Release_Label",iserror(vlookup($A714&amp;$B714,'3) Release_Label'!$D:$D&amp;'3) Release_Label'!$E:$E,1,0)),"NO UPC-CATALOG ID pair MATCH in Release_Label" )</f>
        <v/>
      </c>
      <c r="D714" s="121" t="str">
        <f t="array" ref="D714">ifs(and(isblank($A714),isblank($B714)),"", not(iserror(vlookup($A714&amp;$B714,'3) Release_Label'!$D:$D&amp;'3) Release_Label'!$E:$E,1,0))),vlookup($A714&amp;$B714,{'3) Release_Label'!$D:$D&amp;'3) Release_Label'!$E:$E,'3) Release_Label'!$H:$H},2,0), or(and(not(isblank($B714)),$B714=$B713,$A714&lt;&gt;$A713),and(not(isblank($A714)),$A714=$A713,$B714&lt;&gt;$B713)),"ID LISTS UNALIGNED",and($A714&lt;&gt;"",countif('3) Release_Label'!$D:$D,$A714)=0),"NO UPC MATCH in Release_Label",and($B714&lt;&gt;"",countif('3) Release_Label'!$E:$E,$B714)=0),"NO CATALOG ID MATCH in Release_Label",iserror(vlookup($A714&amp;$B714,'3) Release_Label'!$D:$D&amp;'3) Release_Label'!$E:$E,1,0)),"NO UPC-CATALOG ID pair MATCH in Release_Label" )</f>
        <v/>
      </c>
      <c r="E714" s="141" t="str">
        <f t="shared" si="2"/>
        <v/>
      </c>
      <c r="G714" s="103"/>
      <c r="H714" s="152"/>
      <c r="J714" s="99"/>
      <c r="K714" s="104"/>
      <c r="L714" s="99"/>
      <c r="N714" s="99"/>
      <c r="O714" s="99"/>
      <c r="P714" s="34"/>
    </row>
    <row r="715">
      <c r="A715" s="28"/>
      <c r="B715" s="103"/>
      <c r="C715" s="121" t="str">
        <f t="array" ref="C715">ifs(and(isblank($A715),isblank($B715)),"", not(iserror(vlookup($A715&amp;$B715,'3) Release_Label'!$D:$D&amp;'3) Release_Label'!$E:$E,1,0))),vlookup($A715&amp;$B715,{'3) Release_Label'!$D:$D&amp;'3) Release_Label'!$E:$E,'3) Release_Label'!$F:$F},2,0), or(and(not(isblank($B715)),$B715=$B714,$A715&lt;&gt;$A714),and(not(isblank($A715)),$A715=$A714,$B715&lt;&gt;$B714)),"ID LISTS UNALIGNED",and($A715&lt;&gt;"",countif('3) Release_Label'!$D:$D,$A715)=0),"NO UPC MATCH in Release_Label",and($B715&lt;&gt;"",countif('3) Release_Label'!$E:$E,$B715)=0),"NO CATALOG ID MATCH in Release_Label",iserror(vlookup($A715&amp;$B715,'3) Release_Label'!$D:$D&amp;'3) Release_Label'!$E:$E,1,0)),"NO UPC-CATALOG ID pair MATCH in Release_Label" )</f>
        <v/>
      </c>
      <c r="D715" s="121" t="str">
        <f t="array" ref="D715">ifs(and(isblank($A715),isblank($B715)),"", not(iserror(vlookup($A715&amp;$B715,'3) Release_Label'!$D:$D&amp;'3) Release_Label'!$E:$E,1,0))),vlookup($A715&amp;$B715,{'3) Release_Label'!$D:$D&amp;'3) Release_Label'!$E:$E,'3) Release_Label'!$H:$H},2,0), or(and(not(isblank($B715)),$B715=$B714,$A715&lt;&gt;$A714),and(not(isblank($A715)),$A715=$A714,$B715&lt;&gt;$B714)),"ID LISTS UNALIGNED",and($A715&lt;&gt;"",countif('3) Release_Label'!$D:$D,$A715)=0),"NO UPC MATCH in Release_Label",and($B715&lt;&gt;"",countif('3) Release_Label'!$E:$E,$B715)=0),"NO CATALOG ID MATCH in Release_Label",iserror(vlookup($A715&amp;$B715,'3) Release_Label'!$D:$D&amp;'3) Release_Label'!$E:$E,1,0)),"NO UPC-CATALOG ID pair MATCH in Release_Label" )</f>
        <v/>
      </c>
      <c r="E715" s="141" t="str">
        <f t="shared" si="2"/>
        <v/>
      </c>
      <c r="G715" s="103"/>
      <c r="H715" s="152"/>
      <c r="J715" s="99"/>
      <c r="K715" s="104"/>
      <c r="L715" s="99"/>
      <c r="N715" s="99"/>
      <c r="O715" s="99"/>
      <c r="P715" s="34"/>
    </row>
    <row r="716">
      <c r="A716" s="28"/>
      <c r="B716" s="103"/>
      <c r="C716" s="121" t="str">
        <f t="array" ref="C716">ifs(and(isblank($A716),isblank($B716)),"", not(iserror(vlookup($A716&amp;$B716,'3) Release_Label'!$D:$D&amp;'3) Release_Label'!$E:$E,1,0))),vlookup($A716&amp;$B716,{'3) Release_Label'!$D:$D&amp;'3) Release_Label'!$E:$E,'3) Release_Label'!$F:$F},2,0), or(and(not(isblank($B716)),$B716=$B715,$A716&lt;&gt;$A715),and(not(isblank($A716)),$A716=$A715,$B716&lt;&gt;$B715)),"ID LISTS UNALIGNED",and($A716&lt;&gt;"",countif('3) Release_Label'!$D:$D,$A716)=0),"NO UPC MATCH in Release_Label",and($B716&lt;&gt;"",countif('3) Release_Label'!$E:$E,$B716)=0),"NO CATALOG ID MATCH in Release_Label",iserror(vlookup($A716&amp;$B716,'3) Release_Label'!$D:$D&amp;'3) Release_Label'!$E:$E,1,0)),"NO UPC-CATALOG ID pair MATCH in Release_Label" )</f>
        <v/>
      </c>
      <c r="D716" s="121" t="str">
        <f t="array" ref="D716">ifs(and(isblank($A716),isblank($B716)),"", not(iserror(vlookup($A716&amp;$B716,'3) Release_Label'!$D:$D&amp;'3) Release_Label'!$E:$E,1,0))),vlookup($A716&amp;$B716,{'3) Release_Label'!$D:$D&amp;'3) Release_Label'!$E:$E,'3) Release_Label'!$H:$H},2,0), or(and(not(isblank($B716)),$B716=$B715,$A716&lt;&gt;$A715),and(not(isblank($A716)),$A716=$A715,$B716&lt;&gt;$B715)),"ID LISTS UNALIGNED",and($A716&lt;&gt;"",countif('3) Release_Label'!$D:$D,$A716)=0),"NO UPC MATCH in Release_Label",and($B716&lt;&gt;"",countif('3) Release_Label'!$E:$E,$B716)=0),"NO CATALOG ID MATCH in Release_Label",iserror(vlookup($A716&amp;$B716,'3) Release_Label'!$D:$D&amp;'3) Release_Label'!$E:$E,1,0)),"NO UPC-CATALOG ID pair MATCH in Release_Label" )</f>
        <v/>
      </c>
      <c r="E716" s="141" t="str">
        <f t="shared" si="2"/>
        <v/>
      </c>
      <c r="G716" s="103"/>
      <c r="H716" s="152"/>
      <c r="J716" s="99"/>
      <c r="K716" s="104"/>
      <c r="L716" s="99"/>
      <c r="N716" s="99"/>
      <c r="O716" s="99"/>
      <c r="P716" s="34"/>
    </row>
    <row r="717">
      <c r="A717" s="28"/>
      <c r="B717" s="103"/>
      <c r="C717" s="121" t="str">
        <f t="array" ref="C717">ifs(and(isblank($A717),isblank($B717)),"", not(iserror(vlookup($A717&amp;$B717,'3) Release_Label'!$D:$D&amp;'3) Release_Label'!$E:$E,1,0))),vlookup($A717&amp;$B717,{'3) Release_Label'!$D:$D&amp;'3) Release_Label'!$E:$E,'3) Release_Label'!$F:$F},2,0), or(and(not(isblank($B717)),$B717=$B716,$A717&lt;&gt;$A716),and(not(isblank($A717)),$A717=$A716,$B717&lt;&gt;$B716)),"ID LISTS UNALIGNED",and($A717&lt;&gt;"",countif('3) Release_Label'!$D:$D,$A717)=0),"NO UPC MATCH in Release_Label",and($B717&lt;&gt;"",countif('3) Release_Label'!$E:$E,$B717)=0),"NO CATALOG ID MATCH in Release_Label",iserror(vlookup($A717&amp;$B717,'3) Release_Label'!$D:$D&amp;'3) Release_Label'!$E:$E,1,0)),"NO UPC-CATALOG ID pair MATCH in Release_Label" )</f>
        <v/>
      </c>
      <c r="D717" s="121" t="str">
        <f t="array" ref="D717">ifs(and(isblank($A717),isblank($B717)),"", not(iserror(vlookup($A717&amp;$B717,'3) Release_Label'!$D:$D&amp;'3) Release_Label'!$E:$E,1,0))),vlookup($A717&amp;$B717,{'3) Release_Label'!$D:$D&amp;'3) Release_Label'!$E:$E,'3) Release_Label'!$H:$H},2,0), or(and(not(isblank($B717)),$B717=$B716,$A717&lt;&gt;$A716),and(not(isblank($A717)),$A717=$A716,$B717&lt;&gt;$B716)),"ID LISTS UNALIGNED",and($A717&lt;&gt;"",countif('3) Release_Label'!$D:$D,$A717)=0),"NO UPC MATCH in Release_Label",and($B717&lt;&gt;"",countif('3) Release_Label'!$E:$E,$B717)=0),"NO CATALOG ID MATCH in Release_Label",iserror(vlookup($A717&amp;$B717,'3) Release_Label'!$D:$D&amp;'3) Release_Label'!$E:$E,1,0)),"NO UPC-CATALOG ID pair MATCH in Release_Label" )</f>
        <v/>
      </c>
      <c r="E717" s="141" t="str">
        <f t="shared" si="2"/>
        <v/>
      </c>
      <c r="G717" s="103"/>
      <c r="H717" s="152"/>
      <c r="J717" s="99"/>
      <c r="K717" s="104"/>
      <c r="L717" s="99"/>
      <c r="N717" s="99"/>
      <c r="O717" s="99"/>
      <c r="P717" s="34"/>
    </row>
    <row r="718">
      <c r="A718" s="28"/>
      <c r="B718" s="103"/>
      <c r="C718" s="121" t="str">
        <f t="array" ref="C718">ifs(and(isblank($A718),isblank($B718)),"", not(iserror(vlookup($A718&amp;$B718,'3) Release_Label'!$D:$D&amp;'3) Release_Label'!$E:$E,1,0))),vlookup($A718&amp;$B718,{'3) Release_Label'!$D:$D&amp;'3) Release_Label'!$E:$E,'3) Release_Label'!$F:$F},2,0), or(and(not(isblank($B718)),$B718=$B717,$A718&lt;&gt;$A717),and(not(isblank($A718)),$A718=$A717,$B718&lt;&gt;$B717)),"ID LISTS UNALIGNED",and($A718&lt;&gt;"",countif('3) Release_Label'!$D:$D,$A718)=0),"NO UPC MATCH in Release_Label",and($B718&lt;&gt;"",countif('3) Release_Label'!$E:$E,$B718)=0),"NO CATALOG ID MATCH in Release_Label",iserror(vlookup($A718&amp;$B718,'3) Release_Label'!$D:$D&amp;'3) Release_Label'!$E:$E,1,0)),"NO UPC-CATALOG ID pair MATCH in Release_Label" )</f>
        <v/>
      </c>
      <c r="D718" s="121" t="str">
        <f t="array" ref="D718">ifs(and(isblank($A718),isblank($B718)),"", not(iserror(vlookup($A718&amp;$B718,'3) Release_Label'!$D:$D&amp;'3) Release_Label'!$E:$E,1,0))),vlookup($A718&amp;$B718,{'3) Release_Label'!$D:$D&amp;'3) Release_Label'!$E:$E,'3) Release_Label'!$H:$H},2,0), or(and(not(isblank($B718)),$B718=$B717,$A718&lt;&gt;$A717),and(not(isblank($A718)),$A718=$A717,$B718&lt;&gt;$B717)),"ID LISTS UNALIGNED",and($A718&lt;&gt;"",countif('3) Release_Label'!$D:$D,$A718)=0),"NO UPC MATCH in Release_Label",and($B718&lt;&gt;"",countif('3) Release_Label'!$E:$E,$B718)=0),"NO CATALOG ID MATCH in Release_Label",iserror(vlookup($A718&amp;$B718,'3) Release_Label'!$D:$D&amp;'3) Release_Label'!$E:$E,1,0)),"NO UPC-CATALOG ID pair MATCH in Release_Label" )</f>
        <v/>
      </c>
      <c r="E718" s="141" t="str">
        <f t="shared" si="2"/>
        <v/>
      </c>
      <c r="G718" s="103"/>
      <c r="H718" s="152"/>
      <c r="J718" s="99"/>
      <c r="K718" s="104"/>
      <c r="L718" s="99"/>
      <c r="N718" s="99"/>
      <c r="O718" s="99"/>
      <c r="P718" s="34"/>
    </row>
    <row r="719">
      <c r="A719" s="28"/>
      <c r="B719" s="103"/>
      <c r="C719" s="121" t="str">
        <f t="array" ref="C719">ifs(and(isblank($A719),isblank($B719)),"", not(iserror(vlookup($A719&amp;$B719,'3) Release_Label'!$D:$D&amp;'3) Release_Label'!$E:$E,1,0))),vlookup($A719&amp;$B719,{'3) Release_Label'!$D:$D&amp;'3) Release_Label'!$E:$E,'3) Release_Label'!$F:$F},2,0), or(and(not(isblank($B719)),$B719=$B718,$A719&lt;&gt;$A718),and(not(isblank($A719)),$A719=$A718,$B719&lt;&gt;$B718)),"ID LISTS UNALIGNED",and($A719&lt;&gt;"",countif('3) Release_Label'!$D:$D,$A719)=0),"NO UPC MATCH in Release_Label",and($B719&lt;&gt;"",countif('3) Release_Label'!$E:$E,$B719)=0),"NO CATALOG ID MATCH in Release_Label",iserror(vlookup($A719&amp;$B719,'3) Release_Label'!$D:$D&amp;'3) Release_Label'!$E:$E,1,0)),"NO UPC-CATALOG ID pair MATCH in Release_Label" )</f>
        <v/>
      </c>
      <c r="D719" s="121" t="str">
        <f t="array" ref="D719">ifs(and(isblank($A719),isblank($B719)),"", not(iserror(vlookup($A719&amp;$B719,'3) Release_Label'!$D:$D&amp;'3) Release_Label'!$E:$E,1,0))),vlookup($A719&amp;$B719,{'3) Release_Label'!$D:$D&amp;'3) Release_Label'!$E:$E,'3) Release_Label'!$H:$H},2,0), or(and(not(isblank($B719)),$B719=$B718,$A719&lt;&gt;$A718),and(not(isblank($A719)),$A719=$A718,$B719&lt;&gt;$B718)),"ID LISTS UNALIGNED",and($A719&lt;&gt;"",countif('3) Release_Label'!$D:$D,$A719)=0),"NO UPC MATCH in Release_Label",and($B719&lt;&gt;"",countif('3) Release_Label'!$E:$E,$B719)=0),"NO CATALOG ID MATCH in Release_Label",iserror(vlookup($A719&amp;$B719,'3) Release_Label'!$D:$D&amp;'3) Release_Label'!$E:$E,1,0)),"NO UPC-CATALOG ID pair MATCH in Release_Label" )</f>
        <v/>
      </c>
      <c r="E719" s="141" t="str">
        <f t="shared" si="2"/>
        <v/>
      </c>
      <c r="G719" s="103"/>
      <c r="H719" s="152"/>
      <c r="J719" s="99"/>
      <c r="K719" s="104"/>
      <c r="L719" s="99"/>
      <c r="N719" s="99"/>
      <c r="O719" s="99"/>
      <c r="P719" s="34"/>
    </row>
    <row r="720">
      <c r="A720" s="28"/>
      <c r="B720" s="103"/>
      <c r="C720" s="121" t="str">
        <f t="array" ref="C720">ifs(and(isblank($A720),isblank($B720)),"", not(iserror(vlookup($A720&amp;$B720,'3) Release_Label'!$D:$D&amp;'3) Release_Label'!$E:$E,1,0))),vlookup($A720&amp;$B720,{'3) Release_Label'!$D:$D&amp;'3) Release_Label'!$E:$E,'3) Release_Label'!$F:$F},2,0), or(and(not(isblank($B720)),$B720=$B719,$A720&lt;&gt;$A719),and(not(isblank($A720)),$A720=$A719,$B720&lt;&gt;$B719)),"ID LISTS UNALIGNED",and($A720&lt;&gt;"",countif('3) Release_Label'!$D:$D,$A720)=0),"NO UPC MATCH in Release_Label",and($B720&lt;&gt;"",countif('3) Release_Label'!$E:$E,$B720)=0),"NO CATALOG ID MATCH in Release_Label",iserror(vlookup($A720&amp;$B720,'3) Release_Label'!$D:$D&amp;'3) Release_Label'!$E:$E,1,0)),"NO UPC-CATALOG ID pair MATCH in Release_Label" )</f>
        <v/>
      </c>
      <c r="D720" s="121" t="str">
        <f t="array" ref="D720">ifs(and(isblank($A720),isblank($B720)),"", not(iserror(vlookup($A720&amp;$B720,'3) Release_Label'!$D:$D&amp;'3) Release_Label'!$E:$E,1,0))),vlookup($A720&amp;$B720,{'3) Release_Label'!$D:$D&amp;'3) Release_Label'!$E:$E,'3) Release_Label'!$H:$H},2,0), or(and(not(isblank($B720)),$B720=$B719,$A720&lt;&gt;$A719),and(not(isblank($A720)),$A720=$A719,$B720&lt;&gt;$B719)),"ID LISTS UNALIGNED",and($A720&lt;&gt;"",countif('3) Release_Label'!$D:$D,$A720)=0),"NO UPC MATCH in Release_Label",and($B720&lt;&gt;"",countif('3) Release_Label'!$E:$E,$B720)=0),"NO CATALOG ID MATCH in Release_Label",iserror(vlookup($A720&amp;$B720,'3) Release_Label'!$D:$D&amp;'3) Release_Label'!$E:$E,1,0)),"NO UPC-CATALOG ID pair MATCH in Release_Label" )</f>
        <v/>
      </c>
      <c r="E720" s="141" t="str">
        <f t="shared" si="2"/>
        <v/>
      </c>
      <c r="G720" s="103"/>
      <c r="H720" s="152"/>
      <c r="J720" s="99"/>
      <c r="K720" s="104"/>
      <c r="L720" s="99"/>
      <c r="N720" s="99"/>
      <c r="O720" s="99"/>
      <c r="P720" s="34"/>
    </row>
    <row r="721">
      <c r="A721" s="28"/>
      <c r="B721" s="103"/>
      <c r="C721" s="121" t="str">
        <f t="array" ref="C721">ifs(and(isblank($A721),isblank($B721)),"", not(iserror(vlookup($A721&amp;$B721,'3) Release_Label'!$D:$D&amp;'3) Release_Label'!$E:$E,1,0))),vlookup($A721&amp;$B721,{'3) Release_Label'!$D:$D&amp;'3) Release_Label'!$E:$E,'3) Release_Label'!$F:$F},2,0), or(and(not(isblank($B721)),$B721=$B720,$A721&lt;&gt;$A720),and(not(isblank($A721)),$A721=$A720,$B721&lt;&gt;$B720)),"ID LISTS UNALIGNED",and($A721&lt;&gt;"",countif('3) Release_Label'!$D:$D,$A721)=0),"NO UPC MATCH in Release_Label",and($B721&lt;&gt;"",countif('3) Release_Label'!$E:$E,$B721)=0),"NO CATALOG ID MATCH in Release_Label",iserror(vlookup($A721&amp;$B721,'3) Release_Label'!$D:$D&amp;'3) Release_Label'!$E:$E,1,0)),"NO UPC-CATALOG ID pair MATCH in Release_Label" )</f>
        <v/>
      </c>
      <c r="D721" s="121" t="str">
        <f t="array" ref="D721">ifs(and(isblank($A721),isblank($B721)),"", not(iserror(vlookup($A721&amp;$B721,'3) Release_Label'!$D:$D&amp;'3) Release_Label'!$E:$E,1,0))),vlookup($A721&amp;$B721,{'3) Release_Label'!$D:$D&amp;'3) Release_Label'!$E:$E,'3) Release_Label'!$H:$H},2,0), or(and(not(isblank($B721)),$B721=$B720,$A721&lt;&gt;$A720),and(not(isblank($A721)),$A721=$A720,$B721&lt;&gt;$B720)),"ID LISTS UNALIGNED",and($A721&lt;&gt;"",countif('3) Release_Label'!$D:$D,$A721)=0),"NO UPC MATCH in Release_Label",and($B721&lt;&gt;"",countif('3) Release_Label'!$E:$E,$B721)=0),"NO CATALOG ID MATCH in Release_Label",iserror(vlookup($A721&amp;$B721,'3) Release_Label'!$D:$D&amp;'3) Release_Label'!$E:$E,1,0)),"NO UPC-CATALOG ID pair MATCH in Release_Label" )</f>
        <v/>
      </c>
      <c r="E721" s="141" t="str">
        <f t="shared" si="2"/>
        <v/>
      </c>
      <c r="G721" s="103"/>
      <c r="H721" s="152"/>
      <c r="J721" s="99"/>
      <c r="K721" s="104"/>
      <c r="L721" s="99"/>
      <c r="N721" s="99"/>
      <c r="O721" s="99"/>
      <c r="P721" s="34"/>
    </row>
    <row r="722">
      <c r="A722" s="28"/>
      <c r="B722" s="103"/>
      <c r="C722" s="121" t="str">
        <f t="array" ref="C722">ifs(and(isblank($A722),isblank($B722)),"", not(iserror(vlookup($A722&amp;$B722,'3) Release_Label'!$D:$D&amp;'3) Release_Label'!$E:$E,1,0))),vlookup($A722&amp;$B722,{'3) Release_Label'!$D:$D&amp;'3) Release_Label'!$E:$E,'3) Release_Label'!$F:$F},2,0), or(and(not(isblank($B722)),$B722=$B721,$A722&lt;&gt;$A721),and(not(isblank($A722)),$A722=$A721,$B722&lt;&gt;$B721)),"ID LISTS UNALIGNED",and($A722&lt;&gt;"",countif('3) Release_Label'!$D:$D,$A722)=0),"NO UPC MATCH in Release_Label",and($B722&lt;&gt;"",countif('3) Release_Label'!$E:$E,$B722)=0),"NO CATALOG ID MATCH in Release_Label",iserror(vlookup($A722&amp;$B722,'3) Release_Label'!$D:$D&amp;'3) Release_Label'!$E:$E,1,0)),"NO UPC-CATALOG ID pair MATCH in Release_Label" )</f>
        <v/>
      </c>
      <c r="D722" s="121" t="str">
        <f t="array" ref="D722">ifs(and(isblank($A722),isblank($B722)),"", not(iserror(vlookup($A722&amp;$B722,'3) Release_Label'!$D:$D&amp;'3) Release_Label'!$E:$E,1,0))),vlookup($A722&amp;$B722,{'3) Release_Label'!$D:$D&amp;'3) Release_Label'!$E:$E,'3) Release_Label'!$H:$H},2,0), or(and(not(isblank($B722)),$B722=$B721,$A722&lt;&gt;$A721),and(not(isblank($A722)),$A722=$A721,$B722&lt;&gt;$B721)),"ID LISTS UNALIGNED",and($A722&lt;&gt;"",countif('3) Release_Label'!$D:$D,$A722)=0),"NO UPC MATCH in Release_Label",and($B722&lt;&gt;"",countif('3) Release_Label'!$E:$E,$B722)=0),"NO CATALOG ID MATCH in Release_Label",iserror(vlookup($A722&amp;$B722,'3) Release_Label'!$D:$D&amp;'3) Release_Label'!$E:$E,1,0)),"NO UPC-CATALOG ID pair MATCH in Release_Label" )</f>
        <v/>
      </c>
      <c r="E722" s="141" t="str">
        <f t="shared" si="2"/>
        <v/>
      </c>
      <c r="G722" s="103"/>
      <c r="H722" s="152"/>
      <c r="J722" s="99"/>
      <c r="K722" s="104"/>
      <c r="L722" s="99"/>
      <c r="N722" s="99"/>
      <c r="O722" s="99"/>
      <c r="P722" s="34"/>
    </row>
    <row r="723">
      <c r="A723" s="28"/>
      <c r="B723" s="103"/>
      <c r="C723" s="121" t="str">
        <f t="array" ref="C723">ifs(and(isblank($A723),isblank($B723)),"", not(iserror(vlookup($A723&amp;$B723,'3) Release_Label'!$D:$D&amp;'3) Release_Label'!$E:$E,1,0))),vlookup($A723&amp;$B723,{'3) Release_Label'!$D:$D&amp;'3) Release_Label'!$E:$E,'3) Release_Label'!$F:$F},2,0), or(and(not(isblank($B723)),$B723=$B722,$A723&lt;&gt;$A722),and(not(isblank($A723)),$A723=$A722,$B723&lt;&gt;$B722)),"ID LISTS UNALIGNED",and($A723&lt;&gt;"",countif('3) Release_Label'!$D:$D,$A723)=0),"NO UPC MATCH in Release_Label",and($B723&lt;&gt;"",countif('3) Release_Label'!$E:$E,$B723)=0),"NO CATALOG ID MATCH in Release_Label",iserror(vlookup($A723&amp;$B723,'3) Release_Label'!$D:$D&amp;'3) Release_Label'!$E:$E,1,0)),"NO UPC-CATALOG ID pair MATCH in Release_Label" )</f>
        <v/>
      </c>
      <c r="D723" s="121" t="str">
        <f t="array" ref="D723">ifs(and(isblank($A723),isblank($B723)),"", not(iserror(vlookup($A723&amp;$B723,'3) Release_Label'!$D:$D&amp;'3) Release_Label'!$E:$E,1,0))),vlookup($A723&amp;$B723,{'3) Release_Label'!$D:$D&amp;'3) Release_Label'!$E:$E,'3) Release_Label'!$H:$H},2,0), or(and(not(isblank($B723)),$B723=$B722,$A723&lt;&gt;$A722),and(not(isblank($A723)),$A723=$A722,$B723&lt;&gt;$B722)),"ID LISTS UNALIGNED",and($A723&lt;&gt;"",countif('3) Release_Label'!$D:$D,$A723)=0),"NO UPC MATCH in Release_Label",and($B723&lt;&gt;"",countif('3) Release_Label'!$E:$E,$B723)=0),"NO CATALOG ID MATCH in Release_Label",iserror(vlookup($A723&amp;$B723,'3) Release_Label'!$D:$D&amp;'3) Release_Label'!$E:$E,1,0)),"NO UPC-CATALOG ID pair MATCH in Release_Label" )</f>
        <v/>
      </c>
      <c r="E723" s="141" t="str">
        <f t="shared" si="2"/>
        <v/>
      </c>
      <c r="G723" s="103"/>
      <c r="H723" s="152"/>
      <c r="J723" s="99"/>
      <c r="K723" s="104"/>
      <c r="L723" s="99"/>
      <c r="N723" s="99"/>
      <c r="O723" s="99"/>
      <c r="P723" s="34"/>
    </row>
    <row r="724">
      <c r="A724" s="28"/>
      <c r="B724" s="103"/>
      <c r="C724" s="121" t="str">
        <f t="array" ref="C724">ifs(and(isblank($A724),isblank($B724)),"", not(iserror(vlookup($A724&amp;$B724,'3) Release_Label'!$D:$D&amp;'3) Release_Label'!$E:$E,1,0))),vlookup($A724&amp;$B724,{'3) Release_Label'!$D:$D&amp;'3) Release_Label'!$E:$E,'3) Release_Label'!$F:$F},2,0), or(and(not(isblank($B724)),$B724=$B723,$A724&lt;&gt;$A723),and(not(isblank($A724)),$A724=$A723,$B724&lt;&gt;$B723)),"ID LISTS UNALIGNED",and($A724&lt;&gt;"",countif('3) Release_Label'!$D:$D,$A724)=0),"NO UPC MATCH in Release_Label",and($B724&lt;&gt;"",countif('3) Release_Label'!$E:$E,$B724)=0),"NO CATALOG ID MATCH in Release_Label",iserror(vlookup($A724&amp;$B724,'3) Release_Label'!$D:$D&amp;'3) Release_Label'!$E:$E,1,0)),"NO UPC-CATALOG ID pair MATCH in Release_Label" )</f>
        <v/>
      </c>
      <c r="D724" s="121" t="str">
        <f t="array" ref="D724">ifs(and(isblank($A724),isblank($B724)),"", not(iserror(vlookup($A724&amp;$B724,'3) Release_Label'!$D:$D&amp;'3) Release_Label'!$E:$E,1,0))),vlookup($A724&amp;$B724,{'3) Release_Label'!$D:$D&amp;'3) Release_Label'!$E:$E,'3) Release_Label'!$H:$H},2,0), or(and(not(isblank($B724)),$B724=$B723,$A724&lt;&gt;$A723),and(not(isblank($A724)),$A724=$A723,$B724&lt;&gt;$B723)),"ID LISTS UNALIGNED",and($A724&lt;&gt;"",countif('3) Release_Label'!$D:$D,$A724)=0),"NO UPC MATCH in Release_Label",and($B724&lt;&gt;"",countif('3) Release_Label'!$E:$E,$B724)=0),"NO CATALOG ID MATCH in Release_Label",iserror(vlookup($A724&amp;$B724,'3) Release_Label'!$D:$D&amp;'3) Release_Label'!$E:$E,1,0)),"NO UPC-CATALOG ID pair MATCH in Release_Label" )</f>
        <v/>
      </c>
      <c r="E724" s="141" t="str">
        <f t="shared" si="2"/>
        <v/>
      </c>
      <c r="G724" s="103"/>
      <c r="H724" s="152"/>
      <c r="J724" s="99"/>
      <c r="K724" s="104"/>
      <c r="L724" s="99"/>
      <c r="N724" s="99"/>
      <c r="O724" s="99"/>
      <c r="P724" s="34"/>
    </row>
    <row r="725">
      <c r="A725" s="28"/>
      <c r="B725" s="103"/>
      <c r="C725" s="121" t="str">
        <f t="array" ref="C725">ifs(and(isblank($A725),isblank($B725)),"", not(iserror(vlookup($A725&amp;$B725,'3) Release_Label'!$D:$D&amp;'3) Release_Label'!$E:$E,1,0))),vlookup($A725&amp;$B725,{'3) Release_Label'!$D:$D&amp;'3) Release_Label'!$E:$E,'3) Release_Label'!$F:$F},2,0), or(and(not(isblank($B725)),$B725=$B724,$A725&lt;&gt;$A724),and(not(isblank($A725)),$A725=$A724,$B725&lt;&gt;$B724)),"ID LISTS UNALIGNED",and($A725&lt;&gt;"",countif('3) Release_Label'!$D:$D,$A725)=0),"NO UPC MATCH in Release_Label",and($B725&lt;&gt;"",countif('3) Release_Label'!$E:$E,$B725)=0),"NO CATALOG ID MATCH in Release_Label",iserror(vlookup($A725&amp;$B725,'3) Release_Label'!$D:$D&amp;'3) Release_Label'!$E:$E,1,0)),"NO UPC-CATALOG ID pair MATCH in Release_Label" )</f>
        <v/>
      </c>
      <c r="D725" s="121" t="str">
        <f t="array" ref="D725">ifs(and(isblank($A725),isblank($B725)),"", not(iserror(vlookup($A725&amp;$B725,'3) Release_Label'!$D:$D&amp;'3) Release_Label'!$E:$E,1,0))),vlookup($A725&amp;$B725,{'3) Release_Label'!$D:$D&amp;'3) Release_Label'!$E:$E,'3) Release_Label'!$H:$H},2,0), or(and(not(isblank($B725)),$B725=$B724,$A725&lt;&gt;$A724),and(not(isblank($A725)),$A725=$A724,$B725&lt;&gt;$B724)),"ID LISTS UNALIGNED",and($A725&lt;&gt;"",countif('3) Release_Label'!$D:$D,$A725)=0),"NO UPC MATCH in Release_Label",and($B725&lt;&gt;"",countif('3) Release_Label'!$E:$E,$B725)=0),"NO CATALOG ID MATCH in Release_Label",iserror(vlookup($A725&amp;$B725,'3) Release_Label'!$D:$D&amp;'3) Release_Label'!$E:$E,1,0)),"NO UPC-CATALOG ID pair MATCH in Release_Label" )</f>
        <v/>
      </c>
      <c r="E725" s="141" t="str">
        <f t="shared" si="2"/>
        <v/>
      </c>
      <c r="G725" s="103"/>
      <c r="H725" s="152"/>
      <c r="J725" s="99"/>
      <c r="K725" s="104"/>
      <c r="L725" s="99"/>
      <c r="N725" s="99"/>
      <c r="O725" s="99"/>
      <c r="P725" s="34"/>
    </row>
    <row r="726">
      <c r="A726" s="28"/>
      <c r="B726" s="103"/>
      <c r="C726" s="121" t="str">
        <f t="array" ref="C726">ifs(and(isblank($A726),isblank($B726)),"", not(iserror(vlookup($A726&amp;$B726,'3) Release_Label'!$D:$D&amp;'3) Release_Label'!$E:$E,1,0))),vlookup($A726&amp;$B726,{'3) Release_Label'!$D:$D&amp;'3) Release_Label'!$E:$E,'3) Release_Label'!$F:$F},2,0), or(and(not(isblank($B726)),$B726=$B725,$A726&lt;&gt;$A725),and(not(isblank($A726)),$A726=$A725,$B726&lt;&gt;$B725)),"ID LISTS UNALIGNED",and($A726&lt;&gt;"",countif('3) Release_Label'!$D:$D,$A726)=0),"NO UPC MATCH in Release_Label",and($B726&lt;&gt;"",countif('3) Release_Label'!$E:$E,$B726)=0),"NO CATALOG ID MATCH in Release_Label",iserror(vlookup($A726&amp;$B726,'3) Release_Label'!$D:$D&amp;'3) Release_Label'!$E:$E,1,0)),"NO UPC-CATALOG ID pair MATCH in Release_Label" )</f>
        <v/>
      </c>
      <c r="D726" s="121" t="str">
        <f t="array" ref="D726">ifs(and(isblank($A726),isblank($B726)),"", not(iserror(vlookup($A726&amp;$B726,'3) Release_Label'!$D:$D&amp;'3) Release_Label'!$E:$E,1,0))),vlookup($A726&amp;$B726,{'3) Release_Label'!$D:$D&amp;'3) Release_Label'!$E:$E,'3) Release_Label'!$H:$H},2,0), or(and(not(isblank($B726)),$B726=$B725,$A726&lt;&gt;$A725),and(not(isblank($A726)),$A726=$A725,$B726&lt;&gt;$B725)),"ID LISTS UNALIGNED",and($A726&lt;&gt;"",countif('3) Release_Label'!$D:$D,$A726)=0),"NO UPC MATCH in Release_Label",and($B726&lt;&gt;"",countif('3) Release_Label'!$E:$E,$B726)=0),"NO CATALOG ID MATCH in Release_Label",iserror(vlookup($A726&amp;$B726,'3) Release_Label'!$D:$D&amp;'3) Release_Label'!$E:$E,1,0)),"NO UPC-CATALOG ID pair MATCH in Release_Label" )</f>
        <v/>
      </c>
      <c r="E726" s="141" t="str">
        <f t="shared" si="2"/>
        <v/>
      </c>
      <c r="G726" s="103"/>
      <c r="H726" s="152"/>
      <c r="J726" s="99"/>
      <c r="K726" s="104"/>
      <c r="L726" s="99"/>
      <c r="N726" s="99"/>
      <c r="O726" s="99"/>
      <c r="P726" s="34"/>
    </row>
    <row r="727">
      <c r="A727" s="28"/>
      <c r="B727" s="103"/>
      <c r="C727" s="121" t="str">
        <f t="array" ref="C727">ifs(and(isblank($A727),isblank($B727)),"", not(iserror(vlookup($A727&amp;$B727,'3) Release_Label'!$D:$D&amp;'3) Release_Label'!$E:$E,1,0))),vlookup($A727&amp;$B727,{'3) Release_Label'!$D:$D&amp;'3) Release_Label'!$E:$E,'3) Release_Label'!$F:$F},2,0), or(and(not(isblank($B727)),$B727=$B726,$A727&lt;&gt;$A726),and(not(isblank($A727)),$A727=$A726,$B727&lt;&gt;$B726)),"ID LISTS UNALIGNED",and($A727&lt;&gt;"",countif('3) Release_Label'!$D:$D,$A727)=0),"NO UPC MATCH in Release_Label",and($B727&lt;&gt;"",countif('3) Release_Label'!$E:$E,$B727)=0),"NO CATALOG ID MATCH in Release_Label",iserror(vlookup($A727&amp;$B727,'3) Release_Label'!$D:$D&amp;'3) Release_Label'!$E:$E,1,0)),"NO UPC-CATALOG ID pair MATCH in Release_Label" )</f>
        <v/>
      </c>
      <c r="D727" s="121" t="str">
        <f t="array" ref="D727">ifs(and(isblank($A727),isblank($B727)),"", not(iserror(vlookup($A727&amp;$B727,'3) Release_Label'!$D:$D&amp;'3) Release_Label'!$E:$E,1,0))),vlookup($A727&amp;$B727,{'3) Release_Label'!$D:$D&amp;'3) Release_Label'!$E:$E,'3) Release_Label'!$H:$H},2,0), or(and(not(isblank($B727)),$B727=$B726,$A727&lt;&gt;$A726),and(not(isblank($A727)),$A727=$A726,$B727&lt;&gt;$B726)),"ID LISTS UNALIGNED",and($A727&lt;&gt;"",countif('3) Release_Label'!$D:$D,$A727)=0),"NO UPC MATCH in Release_Label",and($B727&lt;&gt;"",countif('3) Release_Label'!$E:$E,$B727)=0),"NO CATALOG ID MATCH in Release_Label",iserror(vlookup($A727&amp;$B727,'3) Release_Label'!$D:$D&amp;'3) Release_Label'!$E:$E,1,0)),"NO UPC-CATALOG ID pair MATCH in Release_Label" )</f>
        <v/>
      </c>
      <c r="E727" s="141" t="str">
        <f t="shared" si="2"/>
        <v/>
      </c>
      <c r="G727" s="103"/>
      <c r="H727" s="152"/>
      <c r="J727" s="99"/>
      <c r="K727" s="104"/>
      <c r="L727" s="99"/>
      <c r="N727" s="99"/>
      <c r="O727" s="99"/>
      <c r="P727" s="34"/>
    </row>
    <row r="728">
      <c r="A728" s="28"/>
      <c r="B728" s="103"/>
      <c r="C728" s="121" t="str">
        <f t="array" ref="C728">ifs(and(isblank($A728),isblank($B728)),"", not(iserror(vlookup($A728&amp;$B728,'3) Release_Label'!$D:$D&amp;'3) Release_Label'!$E:$E,1,0))),vlookup($A728&amp;$B728,{'3) Release_Label'!$D:$D&amp;'3) Release_Label'!$E:$E,'3) Release_Label'!$F:$F},2,0), or(and(not(isblank($B728)),$B728=$B727,$A728&lt;&gt;$A727),and(not(isblank($A728)),$A728=$A727,$B728&lt;&gt;$B727)),"ID LISTS UNALIGNED",and($A728&lt;&gt;"",countif('3) Release_Label'!$D:$D,$A728)=0),"NO UPC MATCH in Release_Label",and($B728&lt;&gt;"",countif('3) Release_Label'!$E:$E,$B728)=0),"NO CATALOG ID MATCH in Release_Label",iserror(vlookup($A728&amp;$B728,'3) Release_Label'!$D:$D&amp;'3) Release_Label'!$E:$E,1,0)),"NO UPC-CATALOG ID pair MATCH in Release_Label" )</f>
        <v/>
      </c>
      <c r="D728" s="121" t="str">
        <f t="array" ref="D728">ifs(and(isblank($A728),isblank($B728)),"", not(iserror(vlookup($A728&amp;$B728,'3) Release_Label'!$D:$D&amp;'3) Release_Label'!$E:$E,1,0))),vlookup($A728&amp;$B728,{'3) Release_Label'!$D:$D&amp;'3) Release_Label'!$E:$E,'3) Release_Label'!$H:$H},2,0), or(and(not(isblank($B728)),$B728=$B727,$A728&lt;&gt;$A727),and(not(isblank($A728)),$A728=$A727,$B728&lt;&gt;$B727)),"ID LISTS UNALIGNED",and($A728&lt;&gt;"",countif('3) Release_Label'!$D:$D,$A728)=0),"NO UPC MATCH in Release_Label",and($B728&lt;&gt;"",countif('3) Release_Label'!$E:$E,$B728)=0),"NO CATALOG ID MATCH in Release_Label",iserror(vlookup($A728&amp;$B728,'3) Release_Label'!$D:$D&amp;'3) Release_Label'!$E:$E,1,0)),"NO UPC-CATALOG ID pair MATCH in Release_Label" )</f>
        <v/>
      </c>
      <c r="E728" s="141" t="str">
        <f t="shared" si="2"/>
        <v/>
      </c>
      <c r="G728" s="103"/>
      <c r="H728" s="152"/>
      <c r="J728" s="99"/>
      <c r="K728" s="104"/>
      <c r="L728" s="99"/>
      <c r="N728" s="99"/>
      <c r="O728" s="99"/>
      <c r="P728" s="34"/>
    </row>
    <row r="729">
      <c r="A729" s="28"/>
      <c r="B729" s="103"/>
      <c r="C729" s="121" t="str">
        <f t="array" ref="C729">ifs(and(isblank($A729),isblank($B729)),"", not(iserror(vlookup($A729&amp;$B729,'3) Release_Label'!$D:$D&amp;'3) Release_Label'!$E:$E,1,0))),vlookup($A729&amp;$B729,{'3) Release_Label'!$D:$D&amp;'3) Release_Label'!$E:$E,'3) Release_Label'!$F:$F},2,0), or(and(not(isblank($B729)),$B729=$B728,$A729&lt;&gt;$A728),and(not(isblank($A729)),$A729=$A728,$B729&lt;&gt;$B728)),"ID LISTS UNALIGNED",and($A729&lt;&gt;"",countif('3) Release_Label'!$D:$D,$A729)=0),"NO UPC MATCH in Release_Label",and($B729&lt;&gt;"",countif('3) Release_Label'!$E:$E,$B729)=0),"NO CATALOG ID MATCH in Release_Label",iserror(vlookup($A729&amp;$B729,'3) Release_Label'!$D:$D&amp;'3) Release_Label'!$E:$E,1,0)),"NO UPC-CATALOG ID pair MATCH in Release_Label" )</f>
        <v/>
      </c>
      <c r="D729" s="121" t="str">
        <f t="array" ref="D729">ifs(and(isblank($A729),isblank($B729)),"", not(iserror(vlookup($A729&amp;$B729,'3) Release_Label'!$D:$D&amp;'3) Release_Label'!$E:$E,1,0))),vlookup($A729&amp;$B729,{'3) Release_Label'!$D:$D&amp;'3) Release_Label'!$E:$E,'3) Release_Label'!$H:$H},2,0), or(and(not(isblank($B729)),$B729=$B728,$A729&lt;&gt;$A728),and(not(isblank($A729)),$A729=$A728,$B729&lt;&gt;$B728)),"ID LISTS UNALIGNED",and($A729&lt;&gt;"",countif('3) Release_Label'!$D:$D,$A729)=0),"NO UPC MATCH in Release_Label",and($B729&lt;&gt;"",countif('3) Release_Label'!$E:$E,$B729)=0),"NO CATALOG ID MATCH in Release_Label",iserror(vlookup($A729&amp;$B729,'3) Release_Label'!$D:$D&amp;'3) Release_Label'!$E:$E,1,0)),"NO UPC-CATALOG ID pair MATCH in Release_Label" )</f>
        <v/>
      </c>
      <c r="E729" s="141" t="str">
        <f t="shared" si="2"/>
        <v/>
      </c>
      <c r="G729" s="103"/>
      <c r="H729" s="152"/>
      <c r="J729" s="99"/>
      <c r="K729" s="104"/>
      <c r="L729" s="99"/>
      <c r="N729" s="99"/>
      <c r="O729" s="99"/>
      <c r="P729" s="34"/>
    </row>
    <row r="730">
      <c r="A730" s="28"/>
      <c r="B730" s="103"/>
      <c r="C730" s="121" t="str">
        <f t="array" ref="C730">ifs(and(isblank($A730),isblank($B730)),"", not(iserror(vlookup($A730&amp;$B730,'3) Release_Label'!$D:$D&amp;'3) Release_Label'!$E:$E,1,0))),vlookup($A730&amp;$B730,{'3) Release_Label'!$D:$D&amp;'3) Release_Label'!$E:$E,'3) Release_Label'!$F:$F},2,0), or(and(not(isblank($B730)),$B730=$B729,$A730&lt;&gt;$A729),and(not(isblank($A730)),$A730=$A729,$B730&lt;&gt;$B729)),"ID LISTS UNALIGNED",and($A730&lt;&gt;"",countif('3) Release_Label'!$D:$D,$A730)=0),"NO UPC MATCH in Release_Label",and($B730&lt;&gt;"",countif('3) Release_Label'!$E:$E,$B730)=0),"NO CATALOG ID MATCH in Release_Label",iserror(vlookup($A730&amp;$B730,'3) Release_Label'!$D:$D&amp;'3) Release_Label'!$E:$E,1,0)),"NO UPC-CATALOG ID pair MATCH in Release_Label" )</f>
        <v/>
      </c>
      <c r="D730" s="121" t="str">
        <f t="array" ref="D730">ifs(and(isblank($A730),isblank($B730)),"", not(iserror(vlookup($A730&amp;$B730,'3) Release_Label'!$D:$D&amp;'3) Release_Label'!$E:$E,1,0))),vlookup($A730&amp;$B730,{'3) Release_Label'!$D:$D&amp;'3) Release_Label'!$E:$E,'3) Release_Label'!$H:$H},2,0), or(and(not(isblank($B730)),$B730=$B729,$A730&lt;&gt;$A729),and(not(isblank($A730)),$A730=$A729,$B730&lt;&gt;$B729)),"ID LISTS UNALIGNED",and($A730&lt;&gt;"",countif('3) Release_Label'!$D:$D,$A730)=0),"NO UPC MATCH in Release_Label",and($B730&lt;&gt;"",countif('3) Release_Label'!$E:$E,$B730)=0),"NO CATALOG ID MATCH in Release_Label",iserror(vlookup($A730&amp;$B730,'3) Release_Label'!$D:$D&amp;'3) Release_Label'!$E:$E,1,0)),"NO UPC-CATALOG ID pair MATCH in Release_Label" )</f>
        <v/>
      </c>
      <c r="E730" s="141" t="str">
        <f t="shared" si="2"/>
        <v/>
      </c>
      <c r="G730" s="103"/>
      <c r="H730" s="152"/>
      <c r="J730" s="99"/>
      <c r="K730" s="104"/>
      <c r="L730" s="99"/>
      <c r="N730" s="99"/>
      <c r="O730" s="99"/>
      <c r="P730" s="34"/>
    </row>
    <row r="731">
      <c r="A731" s="28"/>
      <c r="B731" s="103"/>
      <c r="C731" s="121" t="str">
        <f t="array" ref="C731">ifs(and(isblank($A731),isblank($B731)),"", not(iserror(vlookup($A731&amp;$B731,'3) Release_Label'!$D:$D&amp;'3) Release_Label'!$E:$E,1,0))),vlookup($A731&amp;$B731,{'3) Release_Label'!$D:$D&amp;'3) Release_Label'!$E:$E,'3) Release_Label'!$F:$F},2,0), or(and(not(isblank($B731)),$B731=$B730,$A731&lt;&gt;$A730),and(not(isblank($A731)),$A731=$A730,$B731&lt;&gt;$B730)),"ID LISTS UNALIGNED",and($A731&lt;&gt;"",countif('3) Release_Label'!$D:$D,$A731)=0),"NO UPC MATCH in Release_Label",and($B731&lt;&gt;"",countif('3) Release_Label'!$E:$E,$B731)=0),"NO CATALOG ID MATCH in Release_Label",iserror(vlookup($A731&amp;$B731,'3) Release_Label'!$D:$D&amp;'3) Release_Label'!$E:$E,1,0)),"NO UPC-CATALOG ID pair MATCH in Release_Label" )</f>
        <v/>
      </c>
      <c r="D731" s="121" t="str">
        <f t="array" ref="D731">ifs(and(isblank($A731),isblank($B731)),"", not(iserror(vlookup($A731&amp;$B731,'3) Release_Label'!$D:$D&amp;'3) Release_Label'!$E:$E,1,0))),vlookup($A731&amp;$B731,{'3) Release_Label'!$D:$D&amp;'3) Release_Label'!$E:$E,'3) Release_Label'!$H:$H},2,0), or(and(not(isblank($B731)),$B731=$B730,$A731&lt;&gt;$A730),and(not(isblank($A731)),$A731=$A730,$B731&lt;&gt;$B730)),"ID LISTS UNALIGNED",and($A731&lt;&gt;"",countif('3) Release_Label'!$D:$D,$A731)=0),"NO UPC MATCH in Release_Label",and($B731&lt;&gt;"",countif('3) Release_Label'!$E:$E,$B731)=0),"NO CATALOG ID MATCH in Release_Label",iserror(vlookup($A731&amp;$B731,'3) Release_Label'!$D:$D&amp;'3) Release_Label'!$E:$E,1,0)),"NO UPC-CATALOG ID pair MATCH in Release_Label" )</f>
        <v/>
      </c>
      <c r="E731" s="141" t="str">
        <f t="shared" si="2"/>
        <v/>
      </c>
      <c r="G731" s="103"/>
      <c r="H731" s="152"/>
      <c r="J731" s="99"/>
      <c r="K731" s="104"/>
      <c r="L731" s="99"/>
      <c r="N731" s="99"/>
      <c r="O731" s="99"/>
      <c r="P731" s="34"/>
    </row>
    <row r="732">
      <c r="A732" s="28"/>
      <c r="B732" s="103"/>
      <c r="C732" s="121" t="str">
        <f t="array" ref="C732">ifs(and(isblank($A732),isblank($B732)),"", not(iserror(vlookup($A732&amp;$B732,'3) Release_Label'!$D:$D&amp;'3) Release_Label'!$E:$E,1,0))),vlookup($A732&amp;$B732,{'3) Release_Label'!$D:$D&amp;'3) Release_Label'!$E:$E,'3) Release_Label'!$F:$F},2,0), or(and(not(isblank($B732)),$B732=$B731,$A732&lt;&gt;$A731),and(not(isblank($A732)),$A732=$A731,$B732&lt;&gt;$B731)),"ID LISTS UNALIGNED",and($A732&lt;&gt;"",countif('3) Release_Label'!$D:$D,$A732)=0),"NO UPC MATCH in Release_Label",and($B732&lt;&gt;"",countif('3) Release_Label'!$E:$E,$B732)=0),"NO CATALOG ID MATCH in Release_Label",iserror(vlookup($A732&amp;$B732,'3) Release_Label'!$D:$D&amp;'3) Release_Label'!$E:$E,1,0)),"NO UPC-CATALOG ID pair MATCH in Release_Label" )</f>
        <v/>
      </c>
      <c r="D732" s="121" t="str">
        <f t="array" ref="D732">ifs(and(isblank($A732),isblank($B732)),"", not(iserror(vlookup($A732&amp;$B732,'3) Release_Label'!$D:$D&amp;'3) Release_Label'!$E:$E,1,0))),vlookup($A732&amp;$B732,{'3) Release_Label'!$D:$D&amp;'3) Release_Label'!$E:$E,'3) Release_Label'!$H:$H},2,0), or(and(not(isblank($B732)),$B732=$B731,$A732&lt;&gt;$A731),and(not(isblank($A732)),$A732=$A731,$B732&lt;&gt;$B731)),"ID LISTS UNALIGNED",and($A732&lt;&gt;"",countif('3) Release_Label'!$D:$D,$A732)=0),"NO UPC MATCH in Release_Label",and($B732&lt;&gt;"",countif('3) Release_Label'!$E:$E,$B732)=0),"NO CATALOG ID MATCH in Release_Label",iserror(vlookup($A732&amp;$B732,'3) Release_Label'!$D:$D&amp;'3) Release_Label'!$E:$E,1,0)),"NO UPC-CATALOG ID pair MATCH in Release_Label" )</f>
        <v/>
      </c>
      <c r="E732" s="141" t="str">
        <f t="shared" si="2"/>
        <v/>
      </c>
      <c r="G732" s="103"/>
      <c r="H732" s="152"/>
      <c r="J732" s="99"/>
      <c r="K732" s="104"/>
      <c r="L732" s="99"/>
      <c r="N732" s="99"/>
      <c r="O732" s="99"/>
      <c r="P732" s="34"/>
    </row>
    <row r="733">
      <c r="A733" s="28"/>
      <c r="B733" s="103"/>
      <c r="C733" s="121" t="str">
        <f t="array" ref="C733">ifs(and(isblank($A733),isblank($B733)),"", not(iserror(vlookup($A733&amp;$B733,'3) Release_Label'!$D:$D&amp;'3) Release_Label'!$E:$E,1,0))),vlookup($A733&amp;$B733,{'3) Release_Label'!$D:$D&amp;'3) Release_Label'!$E:$E,'3) Release_Label'!$F:$F},2,0), or(and(not(isblank($B733)),$B733=$B732,$A733&lt;&gt;$A732),and(not(isblank($A733)),$A733=$A732,$B733&lt;&gt;$B732)),"ID LISTS UNALIGNED",and($A733&lt;&gt;"",countif('3) Release_Label'!$D:$D,$A733)=0),"NO UPC MATCH in Release_Label",and($B733&lt;&gt;"",countif('3) Release_Label'!$E:$E,$B733)=0),"NO CATALOG ID MATCH in Release_Label",iserror(vlookup($A733&amp;$B733,'3) Release_Label'!$D:$D&amp;'3) Release_Label'!$E:$E,1,0)),"NO UPC-CATALOG ID pair MATCH in Release_Label" )</f>
        <v/>
      </c>
      <c r="D733" s="121" t="str">
        <f t="array" ref="D733">ifs(and(isblank($A733),isblank($B733)),"", not(iserror(vlookup($A733&amp;$B733,'3) Release_Label'!$D:$D&amp;'3) Release_Label'!$E:$E,1,0))),vlookup($A733&amp;$B733,{'3) Release_Label'!$D:$D&amp;'3) Release_Label'!$E:$E,'3) Release_Label'!$H:$H},2,0), or(and(not(isblank($B733)),$B733=$B732,$A733&lt;&gt;$A732),and(not(isblank($A733)),$A733=$A732,$B733&lt;&gt;$B732)),"ID LISTS UNALIGNED",and($A733&lt;&gt;"",countif('3) Release_Label'!$D:$D,$A733)=0),"NO UPC MATCH in Release_Label",and($B733&lt;&gt;"",countif('3) Release_Label'!$E:$E,$B733)=0),"NO CATALOG ID MATCH in Release_Label",iserror(vlookup($A733&amp;$B733,'3) Release_Label'!$D:$D&amp;'3) Release_Label'!$E:$E,1,0)),"NO UPC-CATALOG ID pair MATCH in Release_Label" )</f>
        <v/>
      </c>
      <c r="E733" s="141" t="str">
        <f t="shared" si="2"/>
        <v/>
      </c>
      <c r="G733" s="103"/>
      <c r="H733" s="152"/>
      <c r="J733" s="99"/>
      <c r="K733" s="104"/>
      <c r="L733" s="99"/>
      <c r="N733" s="99"/>
      <c r="O733" s="99"/>
      <c r="P733" s="34"/>
    </row>
    <row r="734">
      <c r="A734" s="28"/>
      <c r="B734" s="103"/>
      <c r="C734" s="121" t="str">
        <f t="array" ref="C734">ifs(and(isblank($A734),isblank($B734)),"", not(iserror(vlookup($A734&amp;$B734,'3) Release_Label'!$D:$D&amp;'3) Release_Label'!$E:$E,1,0))),vlookup($A734&amp;$B734,{'3) Release_Label'!$D:$D&amp;'3) Release_Label'!$E:$E,'3) Release_Label'!$F:$F},2,0), or(and(not(isblank($B734)),$B734=$B733,$A734&lt;&gt;$A733),and(not(isblank($A734)),$A734=$A733,$B734&lt;&gt;$B733)),"ID LISTS UNALIGNED",and($A734&lt;&gt;"",countif('3) Release_Label'!$D:$D,$A734)=0),"NO UPC MATCH in Release_Label",and($B734&lt;&gt;"",countif('3) Release_Label'!$E:$E,$B734)=0),"NO CATALOG ID MATCH in Release_Label",iserror(vlookup($A734&amp;$B734,'3) Release_Label'!$D:$D&amp;'3) Release_Label'!$E:$E,1,0)),"NO UPC-CATALOG ID pair MATCH in Release_Label" )</f>
        <v/>
      </c>
      <c r="D734" s="121" t="str">
        <f t="array" ref="D734">ifs(and(isblank($A734),isblank($B734)),"", not(iserror(vlookup($A734&amp;$B734,'3) Release_Label'!$D:$D&amp;'3) Release_Label'!$E:$E,1,0))),vlookup($A734&amp;$B734,{'3) Release_Label'!$D:$D&amp;'3) Release_Label'!$E:$E,'3) Release_Label'!$H:$H},2,0), or(and(not(isblank($B734)),$B734=$B733,$A734&lt;&gt;$A733),and(not(isblank($A734)),$A734=$A733,$B734&lt;&gt;$B733)),"ID LISTS UNALIGNED",and($A734&lt;&gt;"",countif('3) Release_Label'!$D:$D,$A734)=0),"NO UPC MATCH in Release_Label",and($B734&lt;&gt;"",countif('3) Release_Label'!$E:$E,$B734)=0),"NO CATALOG ID MATCH in Release_Label",iserror(vlookup($A734&amp;$B734,'3) Release_Label'!$D:$D&amp;'3) Release_Label'!$E:$E,1,0)),"NO UPC-CATALOG ID pair MATCH in Release_Label" )</f>
        <v/>
      </c>
      <c r="E734" s="141" t="str">
        <f t="shared" si="2"/>
        <v/>
      </c>
      <c r="G734" s="103"/>
      <c r="H734" s="152"/>
      <c r="J734" s="99"/>
      <c r="K734" s="104"/>
      <c r="L734" s="99"/>
      <c r="N734" s="99"/>
      <c r="O734" s="99"/>
      <c r="P734" s="34"/>
    </row>
    <row r="735">
      <c r="A735" s="28"/>
      <c r="B735" s="103"/>
      <c r="C735" s="121" t="str">
        <f t="array" ref="C735">ifs(and(isblank($A735),isblank($B735)),"", not(iserror(vlookup($A735&amp;$B735,'3) Release_Label'!$D:$D&amp;'3) Release_Label'!$E:$E,1,0))),vlookup($A735&amp;$B735,{'3) Release_Label'!$D:$D&amp;'3) Release_Label'!$E:$E,'3) Release_Label'!$F:$F},2,0), or(and(not(isblank($B735)),$B735=$B734,$A735&lt;&gt;$A734),and(not(isblank($A735)),$A735=$A734,$B735&lt;&gt;$B734)),"ID LISTS UNALIGNED",and($A735&lt;&gt;"",countif('3) Release_Label'!$D:$D,$A735)=0),"NO UPC MATCH in Release_Label",and($B735&lt;&gt;"",countif('3) Release_Label'!$E:$E,$B735)=0),"NO CATALOG ID MATCH in Release_Label",iserror(vlookup($A735&amp;$B735,'3) Release_Label'!$D:$D&amp;'3) Release_Label'!$E:$E,1,0)),"NO UPC-CATALOG ID pair MATCH in Release_Label" )</f>
        <v/>
      </c>
      <c r="D735" s="121" t="str">
        <f t="array" ref="D735">ifs(and(isblank($A735),isblank($B735)),"", not(iserror(vlookup($A735&amp;$B735,'3) Release_Label'!$D:$D&amp;'3) Release_Label'!$E:$E,1,0))),vlookup($A735&amp;$B735,{'3) Release_Label'!$D:$D&amp;'3) Release_Label'!$E:$E,'3) Release_Label'!$H:$H},2,0), or(and(not(isblank($B735)),$B735=$B734,$A735&lt;&gt;$A734),and(not(isblank($A735)),$A735=$A734,$B735&lt;&gt;$B734)),"ID LISTS UNALIGNED",and($A735&lt;&gt;"",countif('3) Release_Label'!$D:$D,$A735)=0),"NO UPC MATCH in Release_Label",and($B735&lt;&gt;"",countif('3) Release_Label'!$E:$E,$B735)=0),"NO CATALOG ID MATCH in Release_Label",iserror(vlookup($A735&amp;$B735,'3) Release_Label'!$D:$D&amp;'3) Release_Label'!$E:$E,1,0)),"NO UPC-CATALOG ID pair MATCH in Release_Label" )</f>
        <v/>
      </c>
      <c r="E735" s="141" t="str">
        <f t="shared" si="2"/>
        <v/>
      </c>
      <c r="G735" s="103"/>
      <c r="H735" s="152"/>
      <c r="J735" s="99"/>
      <c r="K735" s="104"/>
      <c r="L735" s="99"/>
      <c r="N735" s="99"/>
      <c r="O735" s="99"/>
      <c r="P735" s="34"/>
    </row>
    <row r="736">
      <c r="A736" s="28"/>
      <c r="B736" s="103"/>
      <c r="C736" s="121" t="str">
        <f t="array" ref="C736">ifs(and(isblank($A736),isblank($B736)),"", not(iserror(vlookup($A736&amp;$B736,'3) Release_Label'!$D:$D&amp;'3) Release_Label'!$E:$E,1,0))),vlookup($A736&amp;$B736,{'3) Release_Label'!$D:$D&amp;'3) Release_Label'!$E:$E,'3) Release_Label'!$F:$F},2,0), or(and(not(isblank($B736)),$B736=$B735,$A736&lt;&gt;$A735),and(not(isblank($A736)),$A736=$A735,$B736&lt;&gt;$B735)),"ID LISTS UNALIGNED",and($A736&lt;&gt;"",countif('3) Release_Label'!$D:$D,$A736)=0),"NO UPC MATCH in Release_Label",and($B736&lt;&gt;"",countif('3) Release_Label'!$E:$E,$B736)=0),"NO CATALOG ID MATCH in Release_Label",iserror(vlookup($A736&amp;$B736,'3) Release_Label'!$D:$D&amp;'3) Release_Label'!$E:$E,1,0)),"NO UPC-CATALOG ID pair MATCH in Release_Label" )</f>
        <v/>
      </c>
      <c r="D736" s="121" t="str">
        <f t="array" ref="D736">ifs(and(isblank($A736),isblank($B736)),"", not(iserror(vlookup($A736&amp;$B736,'3) Release_Label'!$D:$D&amp;'3) Release_Label'!$E:$E,1,0))),vlookup($A736&amp;$B736,{'3) Release_Label'!$D:$D&amp;'3) Release_Label'!$E:$E,'3) Release_Label'!$H:$H},2,0), or(and(not(isblank($B736)),$B736=$B735,$A736&lt;&gt;$A735),and(not(isblank($A736)),$A736=$A735,$B736&lt;&gt;$B735)),"ID LISTS UNALIGNED",and($A736&lt;&gt;"",countif('3) Release_Label'!$D:$D,$A736)=0),"NO UPC MATCH in Release_Label",and($B736&lt;&gt;"",countif('3) Release_Label'!$E:$E,$B736)=0),"NO CATALOG ID MATCH in Release_Label",iserror(vlookup($A736&amp;$B736,'3) Release_Label'!$D:$D&amp;'3) Release_Label'!$E:$E,1,0)),"NO UPC-CATALOG ID pair MATCH in Release_Label" )</f>
        <v/>
      </c>
      <c r="E736" s="141" t="str">
        <f t="shared" si="2"/>
        <v/>
      </c>
      <c r="G736" s="103"/>
      <c r="H736" s="152"/>
      <c r="J736" s="99"/>
      <c r="K736" s="104"/>
      <c r="L736" s="99"/>
      <c r="N736" s="99"/>
      <c r="O736" s="99"/>
      <c r="P736" s="34"/>
    </row>
    <row r="737">
      <c r="A737" s="28"/>
      <c r="B737" s="103"/>
      <c r="C737" s="121" t="str">
        <f t="array" ref="C737">ifs(and(isblank($A737),isblank($B737)),"", not(iserror(vlookup($A737&amp;$B737,'3) Release_Label'!$D:$D&amp;'3) Release_Label'!$E:$E,1,0))),vlookup($A737&amp;$B737,{'3) Release_Label'!$D:$D&amp;'3) Release_Label'!$E:$E,'3) Release_Label'!$F:$F},2,0), or(and(not(isblank($B737)),$B737=$B736,$A737&lt;&gt;$A736),and(not(isblank($A737)),$A737=$A736,$B737&lt;&gt;$B736)),"ID LISTS UNALIGNED",and($A737&lt;&gt;"",countif('3) Release_Label'!$D:$D,$A737)=0),"NO UPC MATCH in Release_Label",and($B737&lt;&gt;"",countif('3) Release_Label'!$E:$E,$B737)=0),"NO CATALOG ID MATCH in Release_Label",iserror(vlookup($A737&amp;$B737,'3) Release_Label'!$D:$D&amp;'3) Release_Label'!$E:$E,1,0)),"NO UPC-CATALOG ID pair MATCH in Release_Label" )</f>
        <v/>
      </c>
      <c r="D737" s="121" t="str">
        <f t="array" ref="D737">ifs(and(isblank($A737),isblank($B737)),"", not(iserror(vlookup($A737&amp;$B737,'3) Release_Label'!$D:$D&amp;'3) Release_Label'!$E:$E,1,0))),vlookup($A737&amp;$B737,{'3) Release_Label'!$D:$D&amp;'3) Release_Label'!$E:$E,'3) Release_Label'!$H:$H},2,0), or(and(not(isblank($B737)),$B737=$B736,$A737&lt;&gt;$A736),and(not(isblank($A737)),$A737=$A736,$B737&lt;&gt;$B736)),"ID LISTS UNALIGNED",and($A737&lt;&gt;"",countif('3) Release_Label'!$D:$D,$A737)=0),"NO UPC MATCH in Release_Label",and($B737&lt;&gt;"",countif('3) Release_Label'!$E:$E,$B737)=0),"NO CATALOG ID MATCH in Release_Label",iserror(vlookup($A737&amp;$B737,'3) Release_Label'!$D:$D&amp;'3) Release_Label'!$E:$E,1,0)),"NO UPC-CATALOG ID pair MATCH in Release_Label" )</f>
        <v/>
      </c>
      <c r="E737" s="141" t="str">
        <f t="shared" si="2"/>
        <v/>
      </c>
      <c r="G737" s="103"/>
      <c r="H737" s="152"/>
      <c r="J737" s="99"/>
      <c r="K737" s="104"/>
      <c r="L737" s="99"/>
      <c r="N737" s="99"/>
      <c r="O737" s="99"/>
      <c r="P737" s="34"/>
    </row>
    <row r="738">
      <c r="A738" s="28"/>
      <c r="B738" s="103"/>
      <c r="C738" s="121" t="str">
        <f t="array" ref="C738">ifs(and(isblank($A738),isblank($B738)),"", not(iserror(vlookup($A738&amp;$B738,'3) Release_Label'!$D:$D&amp;'3) Release_Label'!$E:$E,1,0))),vlookup($A738&amp;$B738,{'3) Release_Label'!$D:$D&amp;'3) Release_Label'!$E:$E,'3) Release_Label'!$F:$F},2,0), or(and(not(isblank($B738)),$B738=$B737,$A738&lt;&gt;$A737),and(not(isblank($A738)),$A738=$A737,$B738&lt;&gt;$B737)),"ID LISTS UNALIGNED",and($A738&lt;&gt;"",countif('3) Release_Label'!$D:$D,$A738)=0),"NO UPC MATCH in Release_Label",and($B738&lt;&gt;"",countif('3) Release_Label'!$E:$E,$B738)=0),"NO CATALOG ID MATCH in Release_Label",iserror(vlookup($A738&amp;$B738,'3) Release_Label'!$D:$D&amp;'3) Release_Label'!$E:$E,1,0)),"NO UPC-CATALOG ID pair MATCH in Release_Label" )</f>
        <v/>
      </c>
      <c r="D738" s="121" t="str">
        <f t="array" ref="D738">ifs(and(isblank($A738),isblank($B738)),"", not(iserror(vlookup($A738&amp;$B738,'3) Release_Label'!$D:$D&amp;'3) Release_Label'!$E:$E,1,0))),vlookup($A738&amp;$B738,{'3) Release_Label'!$D:$D&amp;'3) Release_Label'!$E:$E,'3) Release_Label'!$H:$H},2,0), or(and(not(isblank($B738)),$B738=$B737,$A738&lt;&gt;$A737),and(not(isblank($A738)),$A738=$A737,$B738&lt;&gt;$B737)),"ID LISTS UNALIGNED",and($A738&lt;&gt;"",countif('3) Release_Label'!$D:$D,$A738)=0),"NO UPC MATCH in Release_Label",and($B738&lt;&gt;"",countif('3) Release_Label'!$E:$E,$B738)=0),"NO CATALOG ID MATCH in Release_Label",iserror(vlookup($A738&amp;$B738,'3) Release_Label'!$D:$D&amp;'3) Release_Label'!$E:$E,1,0)),"NO UPC-CATALOG ID pair MATCH in Release_Label" )</f>
        <v/>
      </c>
      <c r="E738" s="141" t="str">
        <f t="shared" si="2"/>
        <v/>
      </c>
      <c r="G738" s="103"/>
      <c r="H738" s="152"/>
      <c r="J738" s="99"/>
      <c r="K738" s="104"/>
      <c r="L738" s="99"/>
      <c r="N738" s="99"/>
      <c r="O738" s="99"/>
      <c r="P738" s="34"/>
    </row>
    <row r="739">
      <c r="A739" s="28"/>
      <c r="B739" s="103"/>
      <c r="C739" s="121" t="str">
        <f t="array" ref="C739">ifs(and(isblank($A739),isblank($B739)),"", not(iserror(vlookup($A739&amp;$B739,'3) Release_Label'!$D:$D&amp;'3) Release_Label'!$E:$E,1,0))),vlookup($A739&amp;$B739,{'3) Release_Label'!$D:$D&amp;'3) Release_Label'!$E:$E,'3) Release_Label'!$F:$F},2,0), or(and(not(isblank($B739)),$B739=$B738,$A739&lt;&gt;$A738),and(not(isblank($A739)),$A739=$A738,$B739&lt;&gt;$B738)),"ID LISTS UNALIGNED",and($A739&lt;&gt;"",countif('3) Release_Label'!$D:$D,$A739)=0),"NO UPC MATCH in Release_Label",and($B739&lt;&gt;"",countif('3) Release_Label'!$E:$E,$B739)=0),"NO CATALOG ID MATCH in Release_Label",iserror(vlookup($A739&amp;$B739,'3) Release_Label'!$D:$D&amp;'3) Release_Label'!$E:$E,1,0)),"NO UPC-CATALOG ID pair MATCH in Release_Label" )</f>
        <v/>
      </c>
      <c r="D739" s="121" t="str">
        <f t="array" ref="D739">ifs(and(isblank($A739),isblank($B739)),"", not(iserror(vlookup($A739&amp;$B739,'3) Release_Label'!$D:$D&amp;'3) Release_Label'!$E:$E,1,0))),vlookup($A739&amp;$B739,{'3) Release_Label'!$D:$D&amp;'3) Release_Label'!$E:$E,'3) Release_Label'!$H:$H},2,0), or(and(not(isblank($B739)),$B739=$B738,$A739&lt;&gt;$A738),and(not(isblank($A739)),$A739=$A738,$B739&lt;&gt;$B738)),"ID LISTS UNALIGNED",and($A739&lt;&gt;"",countif('3) Release_Label'!$D:$D,$A739)=0),"NO UPC MATCH in Release_Label",and($B739&lt;&gt;"",countif('3) Release_Label'!$E:$E,$B739)=0),"NO CATALOG ID MATCH in Release_Label",iserror(vlookup($A739&amp;$B739,'3) Release_Label'!$D:$D&amp;'3) Release_Label'!$E:$E,1,0)),"NO UPC-CATALOG ID pair MATCH in Release_Label" )</f>
        <v/>
      </c>
      <c r="E739" s="141" t="str">
        <f t="shared" si="2"/>
        <v/>
      </c>
      <c r="G739" s="103"/>
      <c r="H739" s="152"/>
      <c r="J739" s="99"/>
      <c r="K739" s="104"/>
      <c r="L739" s="99"/>
      <c r="N739" s="99"/>
      <c r="O739" s="99"/>
      <c r="P739" s="34"/>
    </row>
    <row r="740">
      <c r="A740" s="28"/>
      <c r="B740" s="103"/>
      <c r="C740" s="121" t="str">
        <f t="array" ref="C740">ifs(and(isblank($A740),isblank($B740)),"", not(iserror(vlookup($A740&amp;$B740,'3) Release_Label'!$D:$D&amp;'3) Release_Label'!$E:$E,1,0))),vlookup($A740&amp;$B740,{'3) Release_Label'!$D:$D&amp;'3) Release_Label'!$E:$E,'3) Release_Label'!$F:$F},2,0), or(and(not(isblank($B740)),$B740=$B739,$A740&lt;&gt;$A739),and(not(isblank($A740)),$A740=$A739,$B740&lt;&gt;$B739)),"ID LISTS UNALIGNED",and($A740&lt;&gt;"",countif('3) Release_Label'!$D:$D,$A740)=0),"NO UPC MATCH in Release_Label",and($B740&lt;&gt;"",countif('3) Release_Label'!$E:$E,$B740)=0),"NO CATALOG ID MATCH in Release_Label",iserror(vlookup($A740&amp;$B740,'3) Release_Label'!$D:$D&amp;'3) Release_Label'!$E:$E,1,0)),"NO UPC-CATALOG ID pair MATCH in Release_Label" )</f>
        <v/>
      </c>
      <c r="D740" s="121" t="str">
        <f t="array" ref="D740">ifs(and(isblank($A740),isblank($B740)),"", not(iserror(vlookup($A740&amp;$B740,'3) Release_Label'!$D:$D&amp;'3) Release_Label'!$E:$E,1,0))),vlookup($A740&amp;$B740,{'3) Release_Label'!$D:$D&amp;'3) Release_Label'!$E:$E,'3) Release_Label'!$H:$H},2,0), or(and(not(isblank($B740)),$B740=$B739,$A740&lt;&gt;$A739),and(not(isblank($A740)),$A740=$A739,$B740&lt;&gt;$B739)),"ID LISTS UNALIGNED",and($A740&lt;&gt;"",countif('3) Release_Label'!$D:$D,$A740)=0),"NO UPC MATCH in Release_Label",and($B740&lt;&gt;"",countif('3) Release_Label'!$E:$E,$B740)=0),"NO CATALOG ID MATCH in Release_Label",iserror(vlookup($A740&amp;$B740,'3) Release_Label'!$D:$D&amp;'3) Release_Label'!$E:$E,1,0)),"NO UPC-CATALOG ID pair MATCH in Release_Label" )</f>
        <v/>
      </c>
      <c r="E740" s="141" t="str">
        <f t="shared" si="2"/>
        <v/>
      </c>
      <c r="G740" s="103"/>
      <c r="H740" s="152"/>
      <c r="J740" s="99"/>
      <c r="K740" s="104"/>
      <c r="L740" s="99"/>
      <c r="N740" s="99"/>
      <c r="O740" s="99"/>
      <c r="P740" s="34"/>
    </row>
    <row r="741">
      <c r="A741" s="28"/>
      <c r="B741" s="103"/>
      <c r="C741" s="121" t="str">
        <f t="array" ref="C741">ifs(and(isblank($A741),isblank($B741)),"", not(iserror(vlookup($A741&amp;$B741,'3) Release_Label'!$D:$D&amp;'3) Release_Label'!$E:$E,1,0))),vlookup($A741&amp;$B741,{'3) Release_Label'!$D:$D&amp;'3) Release_Label'!$E:$E,'3) Release_Label'!$F:$F},2,0), or(and(not(isblank($B741)),$B741=$B740,$A741&lt;&gt;$A740),and(not(isblank($A741)),$A741=$A740,$B741&lt;&gt;$B740)),"ID LISTS UNALIGNED",and($A741&lt;&gt;"",countif('3) Release_Label'!$D:$D,$A741)=0),"NO UPC MATCH in Release_Label",and($B741&lt;&gt;"",countif('3) Release_Label'!$E:$E,$B741)=0),"NO CATALOG ID MATCH in Release_Label",iserror(vlookup($A741&amp;$B741,'3) Release_Label'!$D:$D&amp;'3) Release_Label'!$E:$E,1,0)),"NO UPC-CATALOG ID pair MATCH in Release_Label" )</f>
        <v/>
      </c>
      <c r="D741" s="121" t="str">
        <f t="array" ref="D741">ifs(and(isblank($A741),isblank($B741)),"", not(iserror(vlookup($A741&amp;$B741,'3) Release_Label'!$D:$D&amp;'3) Release_Label'!$E:$E,1,0))),vlookup($A741&amp;$B741,{'3) Release_Label'!$D:$D&amp;'3) Release_Label'!$E:$E,'3) Release_Label'!$H:$H},2,0), or(and(not(isblank($B741)),$B741=$B740,$A741&lt;&gt;$A740),and(not(isblank($A741)),$A741=$A740,$B741&lt;&gt;$B740)),"ID LISTS UNALIGNED",and($A741&lt;&gt;"",countif('3) Release_Label'!$D:$D,$A741)=0),"NO UPC MATCH in Release_Label",and($B741&lt;&gt;"",countif('3) Release_Label'!$E:$E,$B741)=0),"NO CATALOG ID MATCH in Release_Label",iserror(vlookup($A741&amp;$B741,'3) Release_Label'!$D:$D&amp;'3) Release_Label'!$E:$E,1,0)),"NO UPC-CATALOG ID pair MATCH in Release_Label" )</f>
        <v/>
      </c>
      <c r="E741" s="141" t="str">
        <f t="shared" si="2"/>
        <v/>
      </c>
      <c r="G741" s="103"/>
      <c r="H741" s="152"/>
      <c r="J741" s="99"/>
      <c r="K741" s="104"/>
      <c r="L741" s="99"/>
      <c r="N741" s="99"/>
      <c r="O741" s="99"/>
      <c r="P741" s="34"/>
    </row>
    <row r="742">
      <c r="A742" s="28"/>
      <c r="B742" s="103"/>
      <c r="C742" s="121" t="str">
        <f t="array" ref="C742">ifs(and(isblank($A742),isblank($B742)),"", not(iserror(vlookup($A742&amp;$B742,'3) Release_Label'!$D:$D&amp;'3) Release_Label'!$E:$E,1,0))),vlookup($A742&amp;$B742,{'3) Release_Label'!$D:$D&amp;'3) Release_Label'!$E:$E,'3) Release_Label'!$F:$F},2,0), or(and(not(isblank($B742)),$B742=$B741,$A742&lt;&gt;$A741),and(not(isblank($A742)),$A742=$A741,$B742&lt;&gt;$B741)),"ID LISTS UNALIGNED",and($A742&lt;&gt;"",countif('3) Release_Label'!$D:$D,$A742)=0),"NO UPC MATCH in Release_Label",and($B742&lt;&gt;"",countif('3) Release_Label'!$E:$E,$B742)=0),"NO CATALOG ID MATCH in Release_Label",iserror(vlookup($A742&amp;$B742,'3) Release_Label'!$D:$D&amp;'3) Release_Label'!$E:$E,1,0)),"NO UPC-CATALOG ID pair MATCH in Release_Label" )</f>
        <v/>
      </c>
      <c r="D742" s="121" t="str">
        <f t="array" ref="D742">ifs(and(isblank($A742),isblank($B742)),"", not(iserror(vlookup($A742&amp;$B742,'3) Release_Label'!$D:$D&amp;'3) Release_Label'!$E:$E,1,0))),vlookup($A742&amp;$B742,{'3) Release_Label'!$D:$D&amp;'3) Release_Label'!$E:$E,'3) Release_Label'!$H:$H},2,0), or(and(not(isblank($B742)),$B742=$B741,$A742&lt;&gt;$A741),and(not(isblank($A742)),$A742=$A741,$B742&lt;&gt;$B741)),"ID LISTS UNALIGNED",and($A742&lt;&gt;"",countif('3) Release_Label'!$D:$D,$A742)=0),"NO UPC MATCH in Release_Label",and($B742&lt;&gt;"",countif('3) Release_Label'!$E:$E,$B742)=0),"NO CATALOG ID MATCH in Release_Label",iserror(vlookup($A742&amp;$B742,'3) Release_Label'!$D:$D&amp;'3) Release_Label'!$E:$E,1,0)),"NO UPC-CATALOG ID pair MATCH in Release_Label" )</f>
        <v/>
      </c>
      <c r="E742" s="141" t="str">
        <f t="shared" si="2"/>
        <v/>
      </c>
      <c r="G742" s="103"/>
      <c r="H742" s="152"/>
      <c r="J742" s="99"/>
      <c r="K742" s="104"/>
      <c r="L742" s="99"/>
      <c r="N742" s="99"/>
      <c r="O742" s="99"/>
      <c r="P742" s="34"/>
    </row>
    <row r="743">
      <c r="A743" s="28"/>
      <c r="B743" s="103"/>
      <c r="C743" s="121" t="str">
        <f t="array" ref="C743">ifs(and(isblank($A743),isblank($B743)),"", not(iserror(vlookup($A743&amp;$B743,'3) Release_Label'!$D:$D&amp;'3) Release_Label'!$E:$E,1,0))),vlookup($A743&amp;$B743,{'3) Release_Label'!$D:$D&amp;'3) Release_Label'!$E:$E,'3) Release_Label'!$F:$F},2,0), or(and(not(isblank($B743)),$B743=$B742,$A743&lt;&gt;$A742),and(not(isblank($A743)),$A743=$A742,$B743&lt;&gt;$B742)),"ID LISTS UNALIGNED",and($A743&lt;&gt;"",countif('3) Release_Label'!$D:$D,$A743)=0),"NO UPC MATCH in Release_Label",and($B743&lt;&gt;"",countif('3) Release_Label'!$E:$E,$B743)=0),"NO CATALOG ID MATCH in Release_Label",iserror(vlookup($A743&amp;$B743,'3) Release_Label'!$D:$D&amp;'3) Release_Label'!$E:$E,1,0)),"NO UPC-CATALOG ID pair MATCH in Release_Label" )</f>
        <v/>
      </c>
      <c r="D743" s="121" t="str">
        <f t="array" ref="D743">ifs(and(isblank($A743),isblank($B743)),"", not(iserror(vlookup($A743&amp;$B743,'3) Release_Label'!$D:$D&amp;'3) Release_Label'!$E:$E,1,0))),vlookup($A743&amp;$B743,{'3) Release_Label'!$D:$D&amp;'3) Release_Label'!$E:$E,'3) Release_Label'!$H:$H},2,0), or(and(not(isblank($B743)),$B743=$B742,$A743&lt;&gt;$A742),and(not(isblank($A743)),$A743=$A742,$B743&lt;&gt;$B742)),"ID LISTS UNALIGNED",and($A743&lt;&gt;"",countif('3) Release_Label'!$D:$D,$A743)=0),"NO UPC MATCH in Release_Label",and($B743&lt;&gt;"",countif('3) Release_Label'!$E:$E,$B743)=0),"NO CATALOG ID MATCH in Release_Label",iserror(vlookup($A743&amp;$B743,'3) Release_Label'!$D:$D&amp;'3) Release_Label'!$E:$E,1,0)),"NO UPC-CATALOG ID pair MATCH in Release_Label" )</f>
        <v/>
      </c>
      <c r="E743" s="141" t="str">
        <f t="shared" si="2"/>
        <v/>
      </c>
      <c r="G743" s="103"/>
      <c r="H743" s="152"/>
      <c r="J743" s="99"/>
      <c r="K743" s="104"/>
      <c r="L743" s="99"/>
      <c r="N743" s="99"/>
      <c r="O743" s="99"/>
      <c r="P743" s="34"/>
    </row>
    <row r="744">
      <c r="A744" s="28"/>
      <c r="B744" s="103"/>
      <c r="C744" s="121" t="str">
        <f t="array" ref="C744">ifs(and(isblank($A744),isblank($B744)),"", not(iserror(vlookup($A744&amp;$B744,'3) Release_Label'!$D:$D&amp;'3) Release_Label'!$E:$E,1,0))),vlookup($A744&amp;$B744,{'3) Release_Label'!$D:$D&amp;'3) Release_Label'!$E:$E,'3) Release_Label'!$F:$F},2,0), or(and(not(isblank($B744)),$B744=$B743,$A744&lt;&gt;$A743),and(not(isblank($A744)),$A744=$A743,$B744&lt;&gt;$B743)),"ID LISTS UNALIGNED",and($A744&lt;&gt;"",countif('3) Release_Label'!$D:$D,$A744)=0),"NO UPC MATCH in Release_Label",and($B744&lt;&gt;"",countif('3) Release_Label'!$E:$E,$B744)=0),"NO CATALOG ID MATCH in Release_Label",iserror(vlookup($A744&amp;$B744,'3) Release_Label'!$D:$D&amp;'3) Release_Label'!$E:$E,1,0)),"NO UPC-CATALOG ID pair MATCH in Release_Label" )</f>
        <v/>
      </c>
      <c r="D744" s="121" t="str">
        <f t="array" ref="D744">ifs(and(isblank($A744),isblank($B744)),"", not(iserror(vlookup($A744&amp;$B744,'3) Release_Label'!$D:$D&amp;'3) Release_Label'!$E:$E,1,0))),vlookup($A744&amp;$B744,{'3) Release_Label'!$D:$D&amp;'3) Release_Label'!$E:$E,'3) Release_Label'!$H:$H},2,0), or(and(not(isblank($B744)),$B744=$B743,$A744&lt;&gt;$A743),and(not(isblank($A744)),$A744=$A743,$B744&lt;&gt;$B743)),"ID LISTS UNALIGNED",and($A744&lt;&gt;"",countif('3) Release_Label'!$D:$D,$A744)=0),"NO UPC MATCH in Release_Label",and($B744&lt;&gt;"",countif('3) Release_Label'!$E:$E,$B744)=0),"NO CATALOG ID MATCH in Release_Label",iserror(vlookup($A744&amp;$B744,'3) Release_Label'!$D:$D&amp;'3) Release_Label'!$E:$E,1,0)),"NO UPC-CATALOG ID pair MATCH in Release_Label" )</f>
        <v/>
      </c>
      <c r="E744" s="141" t="str">
        <f t="shared" si="2"/>
        <v/>
      </c>
      <c r="G744" s="103"/>
      <c r="H744" s="152"/>
      <c r="J744" s="99"/>
      <c r="K744" s="104"/>
      <c r="L744" s="99"/>
      <c r="N744" s="99"/>
      <c r="O744" s="99"/>
      <c r="P744" s="34"/>
    </row>
    <row r="745">
      <c r="A745" s="28"/>
      <c r="B745" s="103"/>
      <c r="C745" s="121" t="str">
        <f t="array" ref="C745">ifs(and(isblank($A745),isblank($B745)),"", not(iserror(vlookup($A745&amp;$B745,'3) Release_Label'!$D:$D&amp;'3) Release_Label'!$E:$E,1,0))),vlookup($A745&amp;$B745,{'3) Release_Label'!$D:$D&amp;'3) Release_Label'!$E:$E,'3) Release_Label'!$F:$F},2,0), or(and(not(isblank($B745)),$B745=$B744,$A745&lt;&gt;$A744),and(not(isblank($A745)),$A745=$A744,$B745&lt;&gt;$B744)),"ID LISTS UNALIGNED",and($A745&lt;&gt;"",countif('3) Release_Label'!$D:$D,$A745)=0),"NO UPC MATCH in Release_Label",and($B745&lt;&gt;"",countif('3) Release_Label'!$E:$E,$B745)=0),"NO CATALOG ID MATCH in Release_Label",iserror(vlookup($A745&amp;$B745,'3) Release_Label'!$D:$D&amp;'3) Release_Label'!$E:$E,1,0)),"NO UPC-CATALOG ID pair MATCH in Release_Label" )</f>
        <v/>
      </c>
      <c r="D745" s="121" t="str">
        <f t="array" ref="D745">ifs(and(isblank($A745),isblank($B745)),"", not(iserror(vlookup($A745&amp;$B745,'3) Release_Label'!$D:$D&amp;'3) Release_Label'!$E:$E,1,0))),vlookup($A745&amp;$B745,{'3) Release_Label'!$D:$D&amp;'3) Release_Label'!$E:$E,'3) Release_Label'!$H:$H},2,0), or(and(not(isblank($B745)),$B745=$B744,$A745&lt;&gt;$A744),and(not(isblank($A745)),$A745=$A744,$B745&lt;&gt;$B744)),"ID LISTS UNALIGNED",and($A745&lt;&gt;"",countif('3) Release_Label'!$D:$D,$A745)=0),"NO UPC MATCH in Release_Label",and($B745&lt;&gt;"",countif('3) Release_Label'!$E:$E,$B745)=0),"NO CATALOG ID MATCH in Release_Label",iserror(vlookup($A745&amp;$B745,'3) Release_Label'!$D:$D&amp;'3) Release_Label'!$E:$E,1,0)),"NO UPC-CATALOG ID pair MATCH in Release_Label" )</f>
        <v/>
      </c>
      <c r="E745" s="141" t="str">
        <f t="shared" si="2"/>
        <v/>
      </c>
      <c r="G745" s="103"/>
      <c r="H745" s="152"/>
      <c r="J745" s="99"/>
      <c r="K745" s="104"/>
      <c r="L745" s="99"/>
      <c r="N745" s="99"/>
      <c r="O745" s="99"/>
      <c r="P745" s="34"/>
    </row>
    <row r="746">
      <c r="A746" s="28"/>
      <c r="B746" s="103"/>
      <c r="C746" s="121" t="str">
        <f t="array" ref="C746">ifs(and(isblank($A746),isblank($B746)),"", not(iserror(vlookup($A746&amp;$B746,'3) Release_Label'!$D:$D&amp;'3) Release_Label'!$E:$E,1,0))),vlookup($A746&amp;$B746,{'3) Release_Label'!$D:$D&amp;'3) Release_Label'!$E:$E,'3) Release_Label'!$F:$F},2,0), or(and(not(isblank($B746)),$B746=$B745,$A746&lt;&gt;$A745),and(not(isblank($A746)),$A746=$A745,$B746&lt;&gt;$B745)),"ID LISTS UNALIGNED",and($A746&lt;&gt;"",countif('3) Release_Label'!$D:$D,$A746)=0),"NO UPC MATCH in Release_Label",and($B746&lt;&gt;"",countif('3) Release_Label'!$E:$E,$B746)=0),"NO CATALOG ID MATCH in Release_Label",iserror(vlookup($A746&amp;$B746,'3) Release_Label'!$D:$D&amp;'3) Release_Label'!$E:$E,1,0)),"NO UPC-CATALOG ID pair MATCH in Release_Label" )</f>
        <v/>
      </c>
      <c r="D746" s="121" t="str">
        <f t="array" ref="D746">ifs(and(isblank($A746),isblank($B746)),"", not(iserror(vlookup($A746&amp;$B746,'3) Release_Label'!$D:$D&amp;'3) Release_Label'!$E:$E,1,0))),vlookup($A746&amp;$B746,{'3) Release_Label'!$D:$D&amp;'3) Release_Label'!$E:$E,'3) Release_Label'!$H:$H},2,0), or(and(not(isblank($B746)),$B746=$B745,$A746&lt;&gt;$A745),and(not(isblank($A746)),$A746=$A745,$B746&lt;&gt;$B745)),"ID LISTS UNALIGNED",and($A746&lt;&gt;"",countif('3) Release_Label'!$D:$D,$A746)=0),"NO UPC MATCH in Release_Label",and($B746&lt;&gt;"",countif('3) Release_Label'!$E:$E,$B746)=0),"NO CATALOG ID MATCH in Release_Label",iserror(vlookup($A746&amp;$B746,'3) Release_Label'!$D:$D&amp;'3) Release_Label'!$E:$E,1,0)),"NO UPC-CATALOG ID pair MATCH in Release_Label" )</f>
        <v/>
      </c>
      <c r="E746" s="141" t="str">
        <f t="shared" si="2"/>
        <v/>
      </c>
      <c r="G746" s="103"/>
      <c r="H746" s="152"/>
      <c r="J746" s="99"/>
      <c r="K746" s="104"/>
      <c r="L746" s="99"/>
      <c r="N746" s="99"/>
      <c r="O746" s="99"/>
      <c r="P746" s="34"/>
    </row>
    <row r="747">
      <c r="A747" s="28"/>
      <c r="B747" s="103"/>
      <c r="C747" s="121" t="str">
        <f t="array" ref="C747">ifs(and(isblank($A747),isblank($B747)),"", not(iserror(vlookup($A747&amp;$B747,'3) Release_Label'!$D:$D&amp;'3) Release_Label'!$E:$E,1,0))),vlookup($A747&amp;$B747,{'3) Release_Label'!$D:$D&amp;'3) Release_Label'!$E:$E,'3) Release_Label'!$F:$F},2,0), or(and(not(isblank($B747)),$B747=$B746,$A747&lt;&gt;$A746),and(not(isblank($A747)),$A747=$A746,$B747&lt;&gt;$B746)),"ID LISTS UNALIGNED",and($A747&lt;&gt;"",countif('3) Release_Label'!$D:$D,$A747)=0),"NO UPC MATCH in Release_Label",and($B747&lt;&gt;"",countif('3) Release_Label'!$E:$E,$B747)=0),"NO CATALOG ID MATCH in Release_Label",iserror(vlookup($A747&amp;$B747,'3) Release_Label'!$D:$D&amp;'3) Release_Label'!$E:$E,1,0)),"NO UPC-CATALOG ID pair MATCH in Release_Label" )</f>
        <v/>
      </c>
      <c r="D747" s="121" t="str">
        <f t="array" ref="D747">ifs(and(isblank($A747),isblank($B747)),"", not(iserror(vlookup($A747&amp;$B747,'3) Release_Label'!$D:$D&amp;'3) Release_Label'!$E:$E,1,0))),vlookup($A747&amp;$B747,{'3) Release_Label'!$D:$D&amp;'3) Release_Label'!$E:$E,'3) Release_Label'!$H:$H},2,0), or(and(not(isblank($B747)),$B747=$B746,$A747&lt;&gt;$A746),and(not(isblank($A747)),$A747=$A746,$B747&lt;&gt;$B746)),"ID LISTS UNALIGNED",and($A747&lt;&gt;"",countif('3) Release_Label'!$D:$D,$A747)=0),"NO UPC MATCH in Release_Label",and($B747&lt;&gt;"",countif('3) Release_Label'!$E:$E,$B747)=0),"NO CATALOG ID MATCH in Release_Label",iserror(vlookup($A747&amp;$B747,'3) Release_Label'!$D:$D&amp;'3) Release_Label'!$E:$E,1,0)),"NO UPC-CATALOG ID pair MATCH in Release_Label" )</f>
        <v/>
      </c>
      <c r="E747" s="141" t="str">
        <f t="shared" si="2"/>
        <v/>
      </c>
      <c r="G747" s="103"/>
      <c r="H747" s="152"/>
      <c r="J747" s="99"/>
      <c r="K747" s="104"/>
      <c r="L747" s="99"/>
      <c r="N747" s="99"/>
      <c r="O747" s="99"/>
      <c r="P747" s="34"/>
    </row>
    <row r="748">
      <c r="A748" s="28"/>
      <c r="B748" s="103"/>
      <c r="C748" s="121" t="str">
        <f t="array" ref="C748">ifs(and(isblank($A748),isblank($B748)),"", not(iserror(vlookup($A748&amp;$B748,'3) Release_Label'!$D:$D&amp;'3) Release_Label'!$E:$E,1,0))),vlookup($A748&amp;$B748,{'3) Release_Label'!$D:$D&amp;'3) Release_Label'!$E:$E,'3) Release_Label'!$F:$F},2,0), or(and(not(isblank($B748)),$B748=$B747,$A748&lt;&gt;$A747),and(not(isblank($A748)),$A748=$A747,$B748&lt;&gt;$B747)),"ID LISTS UNALIGNED",and($A748&lt;&gt;"",countif('3) Release_Label'!$D:$D,$A748)=0),"NO UPC MATCH in Release_Label",and($B748&lt;&gt;"",countif('3) Release_Label'!$E:$E,$B748)=0),"NO CATALOG ID MATCH in Release_Label",iserror(vlookup($A748&amp;$B748,'3) Release_Label'!$D:$D&amp;'3) Release_Label'!$E:$E,1,0)),"NO UPC-CATALOG ID pair MATCH in Release_Label" )</f>
        <v/>
      </c>
      <c r="D748" s="121" t="str">
        <f t="array" ref="D748">ifs(and(isblank($A748),isblank($B748)),"", not(iserror(vlookup($A748&amp;$B748,'3) Release_Label'!$D:$D&amp;'3) Release_Label'!$E:$E,1,0))),vlookup($A748&amp;$B748,{'3) Release_Label'!$D:$D&amp;'3) Release_Label'!$E:$E,'3) Release_Label'!$H:$H},2,0), or(and(not(isblank($B748)),$B748=$B747,$A748&lt;&gt;$A747),and(not(isblank($A748)),$A748=$A747,$B748&lt;&gt;$B747)),"ID LISTS UNALIGNED",and($A748&lt;&gt;"",countif('3) Release_Label'!$D:$D,$A748)=0),"NO UPC MATCH in Release_Label",and($B748&lt;&gt;"",countif('3) Release_Label'!$E:$E,$B748)=0),"NO CATALOG ID MATCH in Release_Label",iserror(vlookup($A748&amp;$B748,'3) Release_Label'!$D:$D&amp;'3) Release_Label'!$E:$E,1,0)),"NO UPC-CATALOG ID pair MATCH in Release_Label" )</f>
        <v/>
      </c>
      <c r="E748" s="141" t="str">
        <f t="shared" si="2"/>
        <v/>
      </c>
      <c r="G748" s="103"/>
      <c r="H748" s="152"/>
      <c r="J748" s="99"/>
      <c r="K748" s="104"/>
      <c r="L748" s="99"/>
      <c r="N748" s="99"/>
      <c r="O748" s="99"/>
      <c r="P748" s="34"/>
    </row>
    <row r="749">
      <c r="A749" s="28"/>
      <c r="B749" s="103"/>
      <c r="C749" s="121" t="str">
        <f t="array" ref="C749">ifs(and(isblank($A749),isblank($B749)),"", not(iserror(vlookup($A749&amp;$B749,'3) Release_Label'!$D:$D&amp;'3) Release_Label'!$E:$E,1,0))),vlookup($A749&amp;$B749,{'3) Release_Label'!$D:$D&amp;'3) Release_Label'!$E:$E,'3) Release_Label'!$F:$F},2,0), or(and(not(isblank($B749)),$B749=$B748,$A749&lt;&gt;$A748),and(not(isblank($A749)),$A749=$A748,$B749&lt;&gt;$B748)),"ID LISTS UNALIGNED",and($A749&lt;&gt;"",countif('3) Release_Label'!$D:$D,$A749)=0),"NO UPC MATCH in Release_Label",and($B749&lt;&gt;"",countif('3) Release_Label'!$E:$E,$B749)=0),"NO CATALOG ID MATCH in Release_Label",iserror(vlookup($A749&amp;$B749,'3) Release_Label'!$D:$D&amp;'3) Release_Label'!$E:$E,1,0)),"NO UPC-CATALOG ID pair MATCH in Release_Label" )</f>
        <v/>
      </c>
      <c r="D749" s="121" t="str">
        <f t="array" ref="D749">ifs(and(isblank($A749),isblank($B749)),"", not(iserror(vlookup($A749&amp;$B749,'3) Release_Label'!$D:$D&amp;'3) Release_Label'!$E:$E,1,0))),vlookup($A749&amp;$B749,{'3) Release_Label'!$D:$D&amp;'3) Release_Label'!$E:$E,'3) Release_Label'!$H:$H},2,0), or(and(not(isblank($B749)),$B749=$B748,$A749&lt;&gt;$A748),and(not(isblank($A749)),$A749=$A748,$B749&lt;&gt;$B748)),"ID LISTS UNALIGNED",and($A749&lt;&gt;"",countif('3) Release_Label'!$D:$D,$A749)=0),"NO UPC MATCH in Release_Label",and($B749&lt;&gt;"",countif('3) Release_Label'!$E:$E,$B749)=0),"NO CATALOG ID MATCH in Release_Label",iserror(vlookup($A749&amp;$B749,'3) Release_Label'!$D:$D&amp;'3) Release_Label'!$E:$E,1,0)),"NO UPC-CATALOG ID pair MATCH in Release_Label" )</f>
        <v/>
      </c>
      <c r="E749" s="141" t="str">
        <f t="shared" si="2"/>
        <v/>
      </c>
      <c r="G749" s="103"/>
      <c r="H749" s="152"/>
      <c r="J749" s="99"/>
      <c r="K749" s="104"/>
      <c r="L749" s="99"/>
      <c r="N749" s="99"/>
      <c r="O749" s="99"/>
      <c r="P749" s="34"/>
    </row>
    <row r="750">
      <c r="A750" s="28"/>
      <c r="B750" s="103"/>
      <c r="C750" s="121" t="str">
        <f t="array" ref="C750">ifs(and(isblank($A750),isblank($B750)),"", not(iserror(vlookup($A750&amp;$B750,'3) Release_Label'!$D:$D&amp;'3) Release_Label'!$E:$E,1,0))),vlookup($A750&amp;$B750,{'3) Release_Label'!$D:$D&amp;'3) Release_Label'!$E:$E,'3) Release_Label'!$F:$F},2,0), or(and(not(isblank($B750)),$B750=$B749,$A750&lt;&gt;$A749),and(not(isblank($A750)),$A750=$A749,$B750&lt;&gt;$B749)),"ID LISTS UNALIGNED",and($A750&lt;&gt;"",countif('3) Release_Label'!$D:$D,$A750)=0),"NO UPC MATCH in Release_Label",and($B750&lt;&gt;"",countif('3) Release_Label'!$E:$E,$B750)=0),"NO CATALOG ID MATCH in Release_Label",iserror(vlookup($A750&amp;$B750,'3) Release_Label'!$D:$D&amp;'3) Release_Label'!$E:$E,1,0)),"NO UPC-CATALOG ID pair MATCH in Release_Label" )</f>
        <v/>
      </c>
      <c r="D750" s="121" t="str">
        <f t="array" ref="D750">ifs(and(isblank($A750),isblank($B750)),"", not(iserror(vlookup($A750&amp;$B750,'3) Release_Label'!$D:$D&amp;'3) Release_Label'!$E:$E,1,0))),vlookup($A750&amp;$B750,{'3) Release_Label'!$D:$D&amp;'3) Release_Label'!$E:$E,'3) Release_Label'!$H:$H},2,0), or(and(not(isblank($B750)),$B750=$B749,$A750&lt;&gt;$A749),and(not(isblank($A750)),$A750=$A749,$B750&lt;&gt;$B749)),"ID LISTS UNALIGNED",and($A750&lt;&gt;"",countif('3) Release_Label'!$D:$D,$A750)=0),"NO UPC MATCH in Release_Label",and($B750&lt;&gt;"",countif('3) Release_Label'!$E:$E,$B750)=0),"NO CATALOG ID MATCH in Release_Label",iserror(vlookup($A750&amp;$B750,'3) Release_Label'!$D:$D&amp;'3) Release_Label'!$E:$E,1,0)),"NO UPC-CATALOG ID pair MATCH in Release_Label" )</f>
        <v/>
      </c>
      <c r="E750" s="141" t="str">
        <f t="shared" si="2"/>
        <v/>
      </c>
      <c r="G750" s="103"/>
      <c r="H750" s="152"/>
      <c r="J750" s="99"/>
      <c r="K750" s="104"/>
      <c r="L750" s="99"/>
      <c r="N750" s="99"/>
      <c r="O750" s="99"/>
      <c r="P750" s="34"/>
    </row>
    <row r="751">
      <c r="A751" s="28"/>
      <c r="B751" s="103"/>
      <c r="C751" s="121" t="str">
        <f t="array" ref="C751">ifs(and(isblank($A751),isblank($B751)),"", not(iserror(vlookup($A751&amp;$B751,'3) Release_Label'!$D:$D&amp;'3) Release_Label'!$E:$E,1,0))),vlookup($A751&amp;$B751,{'3) Release_Label'!$D:$D&amp;'3) Release_Label'!$E:$E,'3) Release_Label'!$F:$F},2,0), or(and(not(isblank($B751)),$B751=$B750,$A751&lt;&gt;$A750),and(not(isblank($A751)),$A751=$A750,$B751&lt;&gt;$B750)),"ID LISTS UNALIGNED",and($A751&lt;&gt;"",countif('3) Release_Label'!$D:$D,$A751)=0),"NO UPC MATCH in Release_Label",and($B751&lt;&gt;"",countif('3) Release_Label'!$E:$E,$B751)=0),"NO CATALOG ID MATCH in Release_Label",iserror(vlookup($A751&amp;$B751,'3) Release_Label'!$D:$D&amp;'3) Release_Label'!$E:$E,1,0)),"NO UPC-CATALOG ID pair MATCH in Release_Label" )</f>
        <v/>
      </c>
      <c r="D751" s="121" t="str">
        <f t="array" ref="D751">ifs(and(isblank($A751),isblank($B751)),"", not(iserror(vlookup($A751&amp;$B751,'3) Release_Label'!$D:$D&amp;'3) Release_Label'!$E:$E,1,0))),vlookup($A751&amp;$B751,{'3) Release_Label'!$D:$D&amp;'3) Release_Label'!$E:$E,'3) Release_Label'!$H:$H},2,0), or(and(not(isblank($B751)),$B751=$B750,$A751&lt;&gt;$A750),and(not(isblank($A751)),$A751=$A750,$B751&lt;&gt;$B750)),"ID LISTS UNALIGNED",and($A751&lt;&gt;"",countif('3) Release_Label'!$D:$D,$A751)=0),"NO UPC MATCH in Release_Label",and($B751&lt;&gt;"",countif('3) Release_Label'!$E:$E,$B751)=0),"NO CATALOG ID MATCH in Release_Label",iserror(vlookup($A751&amp;$B751,'3) Release_Label'!$D:$D&amp;'3) Release_Label'!$E:$E,1,0)),"NO UPC-CATALOG ID pair MATCH in Release_Label" )</f>
        <v/>
      </c>
      <c r="E751" s="141" t="str">
        <f t="shared" si="2"/>
        <v/>
      </c>
      <c r="G751" s="103"/>
      <c r="H751" s="152"/>
      <c r="J751" s="99"/>
      <c r="K751" s="104"/>
      <c r="L751" s="99"/>
      <c r="N751" s="99"/>
      <c r="O751" s="99"/>
      <c r="P751" s="34"/>
    </row>
    <row r="752">
      <c r="A752" s="28"/>
      <c r="B752" s="103"/>
      <c r="C752" s="121" t="str">
        <f t="array" ref="C752">ifs(and(isblank($A752),isblank($B752)),"", not(iserror(vlookup($A752&amp;$B752,'3) Release_Label'!$D:$D&amp;'3) Release_Label'!$E:$E,1,0))),vlookup($A752&amp;$B752,{'3) Release_Label'!$D:$D&amp;'3) Release_Label'!$E:$E,'3) Release_Label'!$F:$F},2,0), or(and(not(isblank($B752)),$B752=$B751,$A752&lt;&gt;$A751),and(not(isblank($A752)),$A752=$A751,$B752&lt;&gt;$B751)),"ID LISTS UNALIGNED",and($A752&lt;&gt;"",countif('3) Release_Label'!$D:$D,$A752)=0),"NO UPC MATCH in Release_Label",and($B752&lt;&gt;"",countif('3) Release_Label'!$E:$E,$B752)=0),"NO CATALOG ID MATCH in Release_Label",iserror(vlookup($A752&amp;$B752,'3) Release_Label'!$D:$D&amp;'3) Release_Label'!$E:$E,1,0)),"NO UPC-CATALOG ID pair MATCH in Release_Label" )</f>
        <v/>
      </c>
      <c r="D752" s="121" t="str">
        <f t="array" ref="D752">ifs(and(isblank($A752),isblank($B752)),"", not(iserror(vlookup($A752&amp;$B752,'3) Release_Label'!$D:$D&amp;'3) Release_Label'!$E:$E,1,0))),vlookup($A752&amp;$B752,{'3) Release_Label'!$D:$D&amp;'3) Release_Label'!$E:$E,'3) Release_Label'!$H:$H},2,0), or(and(not(isblank($B752)),$B752=$B751,$A752&lt;&gt;$A751),and(not(isblank($A752)),$A752=$A751,$B752&lt;&gt;$B751)),"ID LISTS UNALIGNED",and($A752&lt;&gt;"",countif('3) Release_Label'!$D:$D,$A752)=0),"NO UPC MATCH in Release_Label",and($B752&lt;&gt;"",countif('3) Release_Label'!$E:$E,$B752)=0),"NO CATALOG ID MATCH in Release_Label",iserror(vlookup($A752&amp;$B752,'3) Release_Label'!$D:$D&amp;'3) Release_Label'!$E:$E,1,0)),"NO UPC-CATALOG ID pair MATCH in Release_Label" )</f>
        <v/>
      </c>
      <c r="E752" s="141" t="str">
        <f t="shared" si="2"/>
        <v/>
      </c>
      <c r="G752" s="103"/>
      <c r="H752" s="152"/>
      <c r="J752" s="99"/>
      <c r="K752" s="104"/>
      <c r="L752" s="99"/>
      <c r="N752" s="99"/>
      <c r="O752" s="99"/>
      <c r="P752" s="34"/>
    </row>
    <row r="753">
      <c r="A753" s="28"/>
      <c r="B753" s="103"/>
      <c r="C753" s="121" t="str">
        <f t="array" ref="C753">ifs(and(isblank($A753),isblank($B753)),"", not(iserror(vlookup($A753&amp;$B753,'3) Release_Label'!$D:$D&amp;'3) Release_Label'!$E:$E,1,0))),vlookup($A753&amp;$B753,{'3) Release_Label'!$D:$D&amp;'3) Release_Label'!$E:$E,'3) Release_Label'!$F:$F},2,0), or(and(not(isblank($B753)),$B753=$B752,$A753&lt;&gt;$A752),and(not(isblank($A753)),$A753=$A752,$B753&lt;&gt;$B752)),"ID LISTS UNALIGNED",and($A753&lt;&gt;"",countif('3) Release_Label'!$D:$D,$A753)=0),"NO UPC MATCH in Release_Label",and($B753&lt;&gt;"",countif('3) Release_Label'!$E:$E,$B753)=0),"NO CATALOG ID MATCH in Release_Label",iserror(vlookup($A753&amp;$B753,'3) Release_Label'!$D:$D&amp;'3) Release_Label'!$E:$E,1,0)),"NO UPC-CATALOG ID pair MATCH in Release_Label" )</f>
        <v/>
      </c>
      <c r="D753" s="121" t="str">
        <f t="array" ref="D753">ifs(and(isblank($A753),isblank($B753)),"", not(iserror(vlookup($A753&amp;$B753,'3) Release_Label'!$D:$D&amp;'3) Release_Label'!$E:$E,1,0))),vlookup($A753&amp;$B753,{'3) Release_Label'!$D:$D&amp;'3) Release_Label'!$E:$E,'3) Release_Label'!$H:$H},2,0), or(and(not(isblank($B753)),$B753=$B752,$A753&lt;&gt;$A752),and(not(isblank($A753)),$A753=$A752,$B753&lt;&gt;$B752)),"ID LISTS UNALIGNED",and($A753&lt;&gt;"",countif('3) Release_Label'!$D:$D,$A753)=0),"NO UPC MATCH in Release_Label",and($B753&lt;&gt;"",countif('3) Release_Label'!$E:$E,$B753)=0),"NO CATALOG ID MATCH in Release_Label",iserror(vlookup($A753&amp;$B753,'3) Release_Label'!$D:$D&amp;'3) Release_Label'!$E:$E,1,0)),"NO UPC-CATALOG ID pair MATCH in Release_Label" )</f>
        <v/>
      </c>
      <c r="E753" s="141" t="str">
        <f t="shared" si="2"/>
        <v/>
      </c>
      <c r="G753" s="103"/>
      <c r="H753" s="152"/>
      <c r="J753" s="99"/>
      <c r="K753" s="104"/>
      <c r="L753" s="99"/>
      <c r="N753" s="99"/>
      <c r="O753" s="99"/>
      <c r="P753" s="34"/>
    </row>
    <row r="754">
      <c r="A754" s="28"/>
      <c r="B754" s="103"/>
      <c r="C754" s="121" t="str">
        <f t="array" ref="C754">ifs(and(isblank($A754),isblank($B754)),"", not(iserror(vlookup($A754&amp;$B754,'3) Release_Label'!$D:$D&amp;'3) Release_Label'!$E:$E,1,0))),vlookup($A754&amp;$B754,{'3) Release_Label'!$D:$D&amp;'3) Release_Label'!$E:$E,'3) Release_Label'!$F:$F},2,0), or(and(not(isblank($B754)),$B754=$B753,$A754&lt;&gt;$A753),and(not(isblank($A754)),$A754=$A753,$B754&lt;&gt;$B753)),"ID LISTS UNALIGNED",and($A754&lt;&gt;"",countif('3) Release_Label'!$D:$D,$A754)=0),"NO UPC MATCH in Release_Label",and($B754&lt;&gt;"",countif('3) Release_Label'!$E:$E,$B754)=0),"NO CATALOG ID MATCH in Release_Label",iserror(vlookup($A754&amp;$B754,'3) Release_Label'!$D:$D&amp;'3) Release_Label'!$E:$E,1,0)),"NO UPC-CATALOG ID pair MATCH in Release_Label" )</f>
        <v/>
      </c>
      <c r="D754" s="121" t="str">
        <f t="array" ref="D754">ifs(and(isblank($A754),isblank($B754)),"", not(iserror(vlookup($A754&amp;$B754,'3) Release_Label'!$D:$D&amp;'3) Release_Label'!$E:$E,1,0))),vlookup($A754&amp;$B754,{'3) Release_Label'!$D:$D&amp;'3) Release_Label'!$E:$E,'3) Release_Label'!$H:$H},2,0), or(and(not(isblank($B754)),$B754=$B753,$A754&lt;&gt;$A753),and(not(isblank($A754)),$A754=$A753,$B754&lt;&gt;$B753)),"ID LISTS UNALIGNED",and($A754&lt;&gt;"",countif('3) Release_Label'!$D:$D,$A754)=0),"NO UPC MATCH in Release_Label",and($B754&lt;&gt;"",countif('3) Release_Label'!$E:$E,$B754)=0),"NO CATALOG ID MATCH in Release_Label",iserror(vlookup($A754&amp;$B754,'3) Release_Label'!$D:$D&amp;'3) Release_Label'!$E:$E,1,0)),"NO UPC-CATALOG ID pair MATCH in Release_Label" )</f>
        <v/>
      </c>
      <c r="E754" s="141" t="str">
        <f t="shared" si="2"/>
        <v/>
      </c>
      <c r="G754" s="103"/>
      <c r="H754" s="152"/>
      <c r="J754" s="99"/>
      <c r="K754" s="104"/>
      <c r="L754" s="99"/>
      <c r="N754" s="99"/>
      <c r="O754" s="99"/>
      <c r="P754" s="34"/>
    </row>
    <row r="755">
      <c r="A755" s="28"/>
      <c r="B755" s="103"/>
      <c r="C755" s="121" t="str">
        <f t="array" ref="C755">ifs(and(isblank($A755),isblank($B755)),"", not(iserror(vlookup($A755&amp;$B755,'3) Release_Label'!$D:$D&amp;'3) Release_Label'!$E:$E,1,0))),vlookup($A755&amp;$B755,{'3) Release_Label'!$D:$D&amp;'3) Release_Label'!$E:$E,'3) Release_Label'!$F:$F},2,0), or(and(not(isblank($B755)),$B755=$B754,$A755&lt;&gt;$A754),and(not(isblank($A755)),$A755=$A754,$B755&lt;&gt;$B754)),"ID LISTS UNALIGNED",and($A755&lt;&gt;"",countif('3) Release_Label'!$D:$D,$A755)=0),"NO UPC MATCH in Release_Label",and($B755&lt;&gt;"",countif('3) Release_Label'!$E:$E,$B755)=0),"NO CATALOG ID MATCH in Release_Label",iserror(vlookup($A755&amp;$B755,'3) Release_Label'!$D:$D&amp;'3) Release_Label'!$E:$E,1,0)),"NO UPC-CATALOG ID pair MATCH in Release_Label" )</f>
        <v/>
      </c>
      <c r="D755" s="121" t="str">
        <f t="array" ref="D755">ifs(and(isblank($A755),isblank($B755)),"", not(iserror(vlookup($A755&amp;$B755,'3) Release_Label'!$D:$D&amp;'3) Release_Label'!$E:$E,1,0))),vlookup($A755&amp;$B755,{'3) Release_Label'!$D:$D&amp;'3) Release_Label'!$E:$E,'3) Release_Label'!$H:$H},2,0), or(and(not(isblank($B755)),$B755=$B754,$A755&lt;&gt;$A754),and(not(isblank($A755)),$A755=$A754,$B755&lt;&gt;$B754)),"ID LISTS UNALIGNED",and($A755&lt;&gt;"",countif('3) Release_Label'!$D:$D,$A755)=0),"NO UPC MATCH in Release_Label",and($B755&lt;&gt;"",countif('3) Release_Label'!$E:$E,$B755)=0),"NO CATALOG ID MATCH in Release_Label",iserror(vlookup($A755&amp;$B755,'3) Release_Label'!$D:$D&amp;'3) Release_Label'!$E:$E,1,0)),"NO UPC-CATALOG ID pair MATCH in Release_Label" )</f>
        <v/>
      </c>
      <c r="E755" s="141" t="str">
        <f t="shared" si="2"/>
        <v/>
      </c>
      <c r="G755" s="103"/>
      <c r="H755" s="152"/>
      <c r="J755" s="99"/>
      <c r="K755" s="104"/>
      <c r="L755" s="99"/>
      <c r="N755" s="99"/>
      <c r="O755" s="99"/>
      <c r="P755" s="34"/>
    </row>
    <row r="756">
      <c r="A756" s="28"/>
      <c r="B756" s="103"/>
      <c r="C756" s="121" t="str">
        <f t="array" ref="C756">ifs(and(isblank($A756),isblank($B756)),"", not(iserror(vlookup($A756&amp;$B756,'3) Release_Label'!$D:$D&amp;'3) Release_Label'!$E:$E,1,0))),vlookup($A756&amp;$B756,{'3) Release_Label'!$D:$D&amp;'3) Release_Label'!$E:$E,'3) Release_Label'!$F:$F},2,0), or(and(not(isblank($B756)),$B756=$B755,$A756&lt;&gt;$A755),and(not(isblank($A756)),$A756=$A755,$B756&lt;&gt;$B755)),"ID LISTS UNALIGNED",and($A756&lt;&gt;"",countif('3) Release_Label'!$D:$D,$A756)=0),"NO UPC MATCH in Release_Label",and($B756&lt;&gt;"",countif('3) Release_Label'!$E:$E,$B756)=0),"NO CATALOG ID MATCH in Release_Label",iserror(vlookup($A756&amp;$B756,'3) Release_Label'!$D:$D&amp;'3) Release_Label'!$E:$E,1,0)),"NO UPC-CATALOG ID pair MATCH in Release_Label" )</f>
        <v/>
      </c>
      <c r="D756" s="121" t="str">
        <f t="array" ref="D756">ifs(and(isblank($A756),isblank($B756)),"", not(iserror(vlookup($A756&amp;$B756,'3) Release_Label'!$D:$D&amp;'3) Release_Label'!$E:$E,1,0))),vlookup($A756&amp;$B756,{'3) Release_Label'!$D:$D&amp;'3) Release_Label'!$E:$E,'3) Release_Label'!$H:$H},2,0), or(and(not(isblank($B756)),$B756=$B755,$A756&lt;&gt;$A755),and(not(isblank($A756)),$A756=$A755,$B756&lt;&gt;$B755)),"ID LISTS UNALIGNED",and($A756&lt;&gt;"",countif('3) Release_Label'!$D:$D,$A756)=0),"NO UPC MATCH in Release_Label",and($B756&lt;&gt;"",countif('3) Release_Label'!$E:$E,$B756)=0),"NO CATALOG ID MATCH in Release_Label",iserror(vlookup($A756&amp;$B756,'3) Release_Label'!$D:$D&amp;'3) Release_Label'!$E:$E,1,0)),"NO UPC-CATALOG ID pair MATCH in Release_Label" )</f>
        <v/>
      </c>
      <c r="E756" s="141" t="str">
        <f t="shared" si="2"/>
        <v/>
      </c>
      <c r="G756" s="103"/>
      <c r="H756" s="152"/>
      <c r="J756" s="99"/>
      <c r="K756" s="104"/>
      <c r="L756" s="99"/>
      <c r="N756" s="99"/>
      <c r="O756" s="99"/>
      <c r="P756" s="34"/>
    </row>
    <row r="757">
      <c r="A757" s="28"/>
      <c r="B757" s="103"/>
      <c r="C757" s="121" t="str">
        <f t="array" ref="C757">ifs(and(isblank($A757),isblank($B757)),"", not(iserror(vlookup($A757&amp;$B757,'3) Release_Label'!$D:$D&amp;'3) Release_Label'!$E:$E,1,0))),vlookup($A757&amp;$B757,{'3) Release_Label'!$D:$D&amp;'3) Release_Label'!$E:$E,'3) Release_Label'!$F:$F},2,0), or(and(not(isblank($B757)),$B757=$B756,$A757&lt;&gt;$A756),and(not(isblank($A757)),$A757=$A756,$B757&lt;&gt;$B756)),"ID LISTS UNALIGNED",and($A757&lt;&gt;"",countif('3) Release_Label'!$D:$D,$A757)=0),"NO UPC MATCH in Release_Label",and($B757&lt;&gt;"",countif('3) Release_Label'!$E:$E,$B757)=0),"NO CATALOG ID MATCH in Release_Label",iserror(vlookup($A757&amp;$B757,'3) Release_Label'!$D:$D&amp;'3) Release_Label'!$E:$E,1,0)),"NO UPC-CATALOG ID pair MATCH in Release_Label" )</f>
        <v/>
      </c>
      <c r="D757" s="121" t="str">
        <f t="array" ref="D757">ifs(and(isblank($A757),isblank($B757)),"", not(iserror(vlookup($A757&amp;$B757,'3) Release_Label'!$D:$D&amp;'3) Release_Label'!$E:$E,1,0))),vlookup($A757&amp;$B757,{'3) Release_Label'!$D:$D&amp;'3) Release_Label'!$E:$E,'3) Release_Label'!$H:$H},2,0), or(and(not(isblank($B757)),$B757=$B756,$A757&lt;&gt;$A756),and(not(isblank($A757)),$A757=$A756,$B757&lt;&gt;$B756)),"ID LISTS UNALIGNED",and($A757&lt;&gt;"",countif('3) Release_Label'!$D:$D,$A757)=0),"NO UPC MATCH in Release_Label",and($B757&lt;&gt;"",countif('3) Release_Label'!$E:$E,$B757)=0),"NO CATALOG ID MATCH in Release_Label",iserror(vlookup($A757&amp;$B757,'3) Release_Label'!$D:$D&amp;'3) Release_Label'!$E:$E,1,0)),"NO UPC-CATALOG ID pair MATCH in Release_Label" )</f>
        <v/>
      </c>
      <c r="E757" s="141" t="str">
        <f t="shared" si="2"/>
        <v/>
      </c>
      <c r="G757" s="103"/>
      <c r="H757" s="152"/>
      <c r="J757" s="99"/>
      <c r="K757" s="104"/>
      <c r="L757" s="99"/>
      <c r="N757" s="99"/>
      <c r="O757" s="99"/>
      <c r="P757" s="34"/>
    </row>
    <row r="758">
      <c r="A758" s="28"/>
      <c r="B758" s="103"/>
      <c r="C758" s="121" t="str">
        <f t="array" ref="C758">ifs(and(isblank($A758),isblank($B758)),"", not(iserror(vlookup($A758&amp;$B758,'3) Release_Label'!$D:$D&amp;'3) Release_Label'!$E:$E,1,0))),vlookup($A758&amp;$B758,{'3) Release_Label'!$D:$D&amp;'3) Release_Label'!$E:$E,'3) Release_Label'!$F:$F},2,0), or(and(not(isblank($B758)),$B758=$B757,$A758&lt;&gt;$A757),and(not(isblank($A758)),$A758=$A757,$B758&lt;&gt;$B757)),"ID LISTS UNALIGNED",and($A758&lt;&gt;"",countif('3) Release_Label'!$D:$D,$A758)=0),"NO UPC MATCH in Release_Label",and($B758&lt;&gt;"",countif('3) Release_Label'!$E:$E,$B758)=0),"NO CATALOG ID MATCH in Release_Label",iserror(vlookup($A758&amp;$B758,'3) Release_Label'!$D:$D&amp;'3) Release_Label'!$E:$E,1,0)),"NO UPC-CATALOG ID pair MATCH in Release_Label" )</f>
        <v/>
      </c>
      <c r="D758" s="121" t="str">
        <f t="array" ref="D758">ifs(and(isblank($A758),isblank($B758)),"", not(iserror(vlookup($A758&amp;$B758,'3) Release_Label'!$D:$D&amp;'3) Release_Label'!$E:$E,1,0))),vlookup($A758&amp;$B758,{'3) Release_Label'!$D:$D&amp;'3) Release_Label'!$E:$E,'3) Release_Label'!$H:$H},2,0), or(and(not(isblank($B758)),$B758=$B757,$A758&lt;&gt;$A757),and(not(isblank($A758)),$A758=$A757,$B758&lt;&gt;$B757)),"ID LISTS UNALIGNED",and($A758&lt;&gt;"",countif('3) Release_Label'!$D:$D,$A758)=0),"NO UPC MATCH in Release_Label",and($B758&lt;&gt;"",countif('3) Release_Label'!$E:$E,$B758)=0),"NO CATALOG ID MATCH in Release_Label",iserror(vlookup($A758&amp;$B758,'3) Release_Label'!$D:$D&amp;'3) Release_Label'!$E:$E,1,0)),"NO UPC-CATALOG ID pair MATCH in Release_Label" )</f>
        <v/>
      </c>
      <c r="E758" s="141" t="str">
        <f t="shared" si="2"/>
        <v/>
      </c>
      <c r="G758" s="103"/>
      <c r="H758" s="152"/>
      <c r="J758" s="99"/>
      <c r="K758" s="104"/>
      <c r="L758" s="99"/>
      <c r="N758" s="99"/>
      <c r="O758" s="99"/>
      <c r="P758" s="34"/>
    </row>
    <row r="759">
      <c r="A759" s="28"/>
      <c r="B759" s="103"/>
      <c r="C759" s="121" t="str">
        <f t="array" ref="C759">ifs(and(isblank($A759),isblank($B759)),"", not(iserror(vlookup($A759&amp;$B759,'3) Release_Label'!$D:$D&amp;'3) Release_Label'!$E:$E,1,0))),vlookup($A759&amp;$B759,{'3) Release_Label'!$D:$D&amp;'3) Release_Label'!$E:$E,'3) Release_Label'!$F:$F},2,0), or(and(not(isblank($B759)),$B759=$B758,$A759&lt;&gt;$A758),and(not(isblank($A759)),$A759=$A758,$B759&lt;&gt;$B758)),"ID LISTS UNALIGNED",and($A759&lt;&gt;"",countif('3) Release_Label'!$D:$D,$A759)=0),"NO UPC MATCH in Release_Label",and($B759&lt;&gt;"",countif('3) Release_Label'!$E:$E,$B759)=0),"NO CATALOG ID MATCH in Release_Label",iserror(vlookup($A759&amp;$B759,'3) Release_Label'!$D:$D&amp;'3) Release_Label'!$E:$E,1,0)),"NO UPC-CATALOG ID pair MATCH in Release_Label" )</f>
        <v/>
      </c>
      <c r="D759" s="121" t="str">
        <f t="array" ref="D759">ifs(and(isblank($A759),isblank($B759)),"", not(iserror(vlookup($A759&amp;$B759,'3) Release_Label'!$D:$D&amp;'3) Release_Label'!$E:$E,1,0))),vlookup($A759&amp;$B759,{'3) Release_Label'!$D:$D&amp;'3) Release_Label'!$E:$E,'3) Release_Label'!$H:$H},2,0), or(and(not(isblank($B759)),$B759=$B758,$A759&lt;&gt;$A758),and(not(isblank($A759)),$A759=$A758,$B759&lt;&gt;$B758)),"ID LISTS UNALIGNED",and($A759&lt;&gt;"",countif('3) Release_Label'!$D:$D,$A759)=0),"NO UPC MATCH in Release_Label",and($B759&lt;&gt;"",countif('3) Release_Label'!$E:$E,$B759)=0),"NO CATALOG ID MATCH in Release_Label",iserror(vlookup($A759&amp;$B759,'3) Release_Label'!$D:$D&amp;'3) Release_Label'!$E:$E,1,0)),"NO UPC-CATALOG ID pair MATCH in Release_Label" )</f>
        <v/>
      </c>
      <c r="E759" s="141" t="str">
        <f t="shared" si="2"/>
        <v/>
      </c>
      <c r="G759" s="103"/>
      <c r="H759" s="152"/>
      <c r="J759" s="99"/>
      <c r="K759" s="104"/>
      <c r="L759" s="99"/>
      <c r="N759" s="99"/>
      <c r="O759" s="99"/>
      <c r="P759" s="34"/>
    </row>
    <row r="760">
      <c r="A760" s="28"/>
      <c r="B760" s="103"/>
      <c r="C760" s="121" t="str">
        <f t="array" ref="C760">ifs(and(isblank($A760),isblank($B760)),"", not(iserror(vlookup($A760&amp;$B760,'3) Release_Label'!$D:$D&amp;'3) Release_Label'!$E:$E,1,0))),vlookup($A760&amp;$B760,{'3) Release_Label'!$D:$D&amp;'3) Release_Label'!$E:$E,'3) Release_Label'!$F:$F},2,0), or(and(not(isblank($B760)),$B760=$B759,$A760&lt;&gt;$A759),and(not(isblank($A760)),$A760=$A759,$B760&lt;&gt;$B759)),"ID LISTS UNALIGNED",and($A760&lt;&gt;"",countif('3) Release_Label'!$D:$D,$A760)=0),"NO UPC MATCH in Release_Label",and($B760&lt;&gt;"",countif('3) Release_Label'!$E:$E,$B760)=0),"NO CATALOG ID MATCH in Release_Label",iserror(vlookup($A760&amp;$B760,'3) Release_Label'!$D:$D&amp;'3) Release_Label'!$E:$E,1,0)),"NO UPC-CATALOG ID pair MATCH in Release_Label" )</f>
        <v/>
      </c>
      <c r="D760" s="121" t="str">
        <f t="array" ref="D760">ifs(and(isblank($A760),isblank($B760)),"", not(iserror(vlookup($A760&amp;$B760,'3) Release_Label'!$D:$D&amp;'3) Release_Label'!$E:$E,1,0))),vlookup($A760&amp;$B760,{'3) Release_Label'!$D:$D&amp;'3) Release_Label'!$E:$E,'3) Release_Label'!$H:$H},2,0), or(and(not(isblank($B760)),$B760=$B759,$A760&lt;&gt;$A759),and(not(isblank($A760)),$A760=$A759,$B760&lt;&gt;$B759)),"ID LISTS UNALIGNED",and($A760&lt;&gt;"",countif('3) Release_Label'!$D:$D,$A760)=0),"NO UPC MATCH in Release_Label",and($B760&lt;&gt;"",countif('3) Release_Label'!$E:$E,$B760)=0),"NO CATALOG ID MATCH in Release_Label",iserror(vlookup($A760&amp;$B760,'3) Release_Label'!$D:$D&amp;'3) Release_Label'!$E:$E,1,0)),"NO UPC-CATALOG ID pair MATCH in Release_Label" )</f>
        <v/>
      </c>
      <c r="E760" s="141" t="str">
        <f t="shared" si="2"/>
        <v/>
      </c>
      <c r="G760" s="103"/>
      <c r="H760" s="152"/>
      <c r="J760" s="99"/>
      <c r="K760" s="104"/>
      <c r="L760" s="99"/>
      <c r="N760" s="99"/>
      <c r="O760" s="99"/>
      <c r="P760" s="34"/>
    </row>
    <row r="761">
      <c r="A761" s="28"/>
      <c r="B761" s="103"/>
      <c r="C761" s="121" t="str">
        <f t="array" ref="C761">ifs(and(isblank($A761),isblank($B761)),"", not(iserror(vlookup($A761&amp;$B761,'3) Release_Label'!$D:$D&amp;'3) Release_Label'!$E:$E,1,0))),vlookup($A761&amp;$B761,{'3) Release_Label'!$D:$D&amp;'3) Release_Label'!$E:$E,'3) Release_Label'!$F:$F},2,0), or(and(not(isblank($B761)),$B761=$B760,$A761&lt;&gt;$A760),and(not(isblank($A761)),$A761=$A760,$B761&lt;&gt;$B760)),"ID LISTS UNALIGNED",and($A761&lt;&gt;"",countif('3) Release_Label'!$D:$D,$A761)=0),"NO UPC MATCH in Release_Label",and($B761&lt;&gt;"",countif('3) Release_Label'!$E:$E,$B761)=0),"NO CATALOG ID MATCH in Release_Label",iserror(vlookup($A761&amp;$B761,'3) Release_Label'!$D:$D&amp;'3) Release_Label'!$E:$E,1,0)),"NO UPC-CATALOG ID pair MATCH in Release_Label" )</f>
        <v/>
      </c>
      <c r="D761" s="121" t="str">
        <f t="array" ref="D761">ifs(and(isblank($A761),isblank($B761)),"", not(iserror(vlookup($A761&amp;$B761,'3) Release_Label'!$D:$D&amp;'3) Release_Label'!$E:$E,1,0))),vlookup($A761&amp;$B761,{'3) Release_Label'!$D:$D&amp;'3) Release_Label'!$E:$E,'3) Release_Label'!$H:$H},2,0), or(and(not(isblank($B761)),$B761=$B760,$A761&lt;&gt;$A760),and(not(isblank($A761)),$A761=$A760,$B761&lt;&gt;$B760)),"ID LISTS UNALIGNED",and($A761&lt;&gt;"",countif('3) Release_Label'!$D:$D,$A761)=0),"NO UPC MATCH in Release_Label",and($B761&lt;&gt;"",countif('3) Release_Label'!$E:$E,$B761)=0),"NO CATALOG ID MATCH in Release_Label",iserror(vlookup($A761&amp;$B761,'3) Release_Label'!$D:$D&amp;'3) Release_Label'!$E:$E,1,0)),"NO UPC-CATALOG ID pair MATCH in Release_Label" )</f>
        <v/>
      </c>
      <c r="E761" s="141" t="str">
        <f t="shared" si="2"/>
        <v/>
      </c>
      <c r="G761" s="103"/>
      <c r="H761" s="152"/>
      <c r="J761" s="99"/>
      <c r="K761" s="104"/>
      <c r="L761" s="99"/>
      <c r="N761" s="99"/>
      <c r="O761" s="99"/>
      <c r="P761" s="34"/>
    </row>
    <row r="762">
      <c r="A762" s="28"/>
      <c r="B762" s="103"/>
      <c r="C762" s="121" t="str">
        <f t="array" ref="C762">ifs(and(isblank($A762),isblank($B762)),"", not(iserror(vlookup($A762&amp;$B762,'3) Release_Label'!$D:$D&amp;'3) Release_Label'!$E:$E,1,0))),vlookup($A762&amp;$B762,{'3) Release_Label'!$D:$D&amp;'3) Release_Label'!$E:$E,'3) Release_Label'!$F:$F},2,0), or(and(not(isblank($B762)),$B762=$B761,$A762&lt;&gt;$A761),and(not(isblank($A762)),$A762=$A761,$B762&lt;&gt;$B761)),"ID LISTS UNALIGNED",and($A762&lt;&gt;"",countif('3) Release_Label'!$D:$D,$A762)=0),"NO UPC MATCH in Release_Label",and($B762&lt;&gt;"",countif('3) Release_Label'!$E:$E,$B762)=0),"NO CATALOG ID MATCH in Release_Label",iserror(vlookup($A762&amp;$B762,'3) Release_Label'!$D:$D&amp;'3) Release_Label'!$E:$E,1,0)),"NO UPC-CATALOG ID pair MATCH in Release_Label" )</f>
        <v/>
      </c>
      <c r="D762" s="121" t="str">
        <f t="array" ref="D762">ifs(and(isblank($A762),isblank($B762)),"", not(iserror(vlookup($A762&amp;$B762,'3) Release_Label'!$D:$D&amp;'3) Release_Label'!$E:$E,1,0))),vlookup($A762&amp;$B762,{'3) Release_Label'!$D:$D&amp;'3) Release_Label'!$E:$E,'3) Release_Label'!$H:$H},2,0), or(and(not(isblank($B762)),$B762=$B761,$A762&lt;&gt;$A761),and(not(isblank($A762)),$A762=$A761,$B762&lt;&gt;$B761)),"ID LISTS UNALIGNED",and($A762&lt;&gt;"",countif('3) Release_Label'!$D:$D,$A762)=0),"NO UPC MATCH in Release_Label",and($B762&lt;&gt;"",countif('3) Release_Label'!$E:$E,$B762)=0),"NO CATALOG ID MATCH in Release_Label",iserror(vlookup($A762&amp;$B762,'3) Release_Label'!$D:$D&amp;'3) Release_Label'!$E:$E,1,0)),"NO UPC-CATALOG ID pair MATCH in Release_Label" )</f>
        <v/>
      </c>
      <c r="E762" s="141" t="str">
        <f t="shared" si="2"/>
        <v/>
      </c>
      <c r="G762" s="103"/>
      <c r="H762" s="152"/>
      <c r="J762" s="99"/>
      <c r="K762" s="104"/>
      <c r="L762" s="99"/>
      <c r="N762" s="99"/>
      <c r="O762" s="99"/>
      <c r="P762" s="34"/>
    </row>
    <row r="763">
      <c r="A763" s="28"/>
      <c r="B763" s="103"/>
      <c r="C763" s="121" t="str">
        <f t="array" ref="C763">ifs(and(isblank($A763),isblank($B763)),"", not(iserror(vlookup($A763&amp;$B763,'3) Release_Label'!$D:$D&amp;'3) Release_Label'!$E:$E,1,0))),vlookup($A763&amp;$B763,{'3) Release_Label'!$D:$D&amp;'3) Release_Label'!$E:$E,'3) Release_Label'!$F:$F},2,0), or(and(not(isblank($B763)),$B763=$B762,$A763&lt;&gt;$A762),and(not(isblank($A763)),$A763=$A762,$B763&lt;&gt;$B762)),"ID LISTS UNALIGNED",and($A763&lt;&gt;"",countif('3) Release_Label'!$D:$D,$A763)=0),"NO UPC MATCH in Release_Label",and($B763&lt;&gt;"",countif('3) Release_Label'!$E:$E,$B763)=0),"NO CATALOG ID MATCH in Release_Label",iserror(vlookup($A763&amp;$B763,'3) Release_Label'!$D:$D&amp;'3) Release_Label'!$E:$E,1,0)),"NO UPC-CATALOG ID pair MATCH in Release_Label" )</f>
        <v/>
      </c>
      <c r="D763" s="121" t="str">
        <f t="array" ref="D763">ifs(and(isblank($A763),isblank($B763)),"", not(iserror(vlookup($A763&amp;$B763,'3) Release_Label'!$D:$D&amp;'3) Release_Label'!$E:$E,1,0))),vlookup($A763&amp;$B763,{'3) Release_Label'!$D:$D&amp;'3) Release_Label'!$E:$E,'3) Release_Label'!$H:$H},2,0), or(and(not(isblank($B763)),$B763=$B762,$A763&lt;&gt;$A762),and(not(isblank($A763)),$A763=$A762,$B763&lt;&gt;$B762)),"ID LISTS UNALIGNED",and($A763&lt;&gt;"",countif('3) Release_Label'!$D:$D,$A763)=0),"NO UPC MATCH in Release_Label",and($B763&lt;&gt;"",countif('3) Release_Label'!$E:$E,$B763)=0),"NO CATALOG ID MATCH in Release_Label",iserror(vlookup($A763&amp;$B763,'3) Release_Label'!$D:$D&amp;'3) Release_Label'!$E:$E,1,0)),"NO UPC-CATALOG ID pair MATCH in Release_Label" )</f>
        <v/>
      </c>
      <c r="E763" s="141" t="str">
        <f t="shared" si="2"/>
        <v/>
      </c>
      <c r="G763" s="103"/>
      <c r="H763" s="152"/>
      <c r="J763" s="99"/>
      <c r="K763" s="104"/>
      <c r="L763" s="99"/>
      <c r="N763" s="99"/>
      <c r="O763" s="99"/>
      <c r="P763" s="34"/>
    </row>
    <row r="764">
      <c r="A764" s="28"/>
      <c r="B764" s="103"/>
      <c r="C764" s="121" t="str">
        <f t="array" ref="C764">ifs(and(isblank($A764),isblank($B764)),"", not(iserror(vlookup($A764&amp;$B764,'3) Release_Label'!$D:$D&amp;'3) Release_Label'!$E:$E,1,0))),vlookup($A764&amp;$B764,{'3) Release_Label'!$D:$D&amp;'3) Release_Label'!$E:$E,'3) Release_Label'!$F:$F},2,0), or(and(not(isblank($B764)),$B764=$B763,$A764&lt;&gt;$A763),and(not(isblank($A764)),$A764=$A763,$B764&lt;&gt;$B763)),"ID LISTS UNALIGNED",and($A764&lt;&gt;"",countif('3) Release_Label'!$D:$D,$A764)=0),"NO UPC MATCH in Release_Label",and($B764&lt;&gt;"",countif('3) Release_Label'!$E:$E,$B764)=0),"NO CATALOG ID MATCH in Release_Label",iserror(vlookup($A764&amp;$B764,'3) Release_Label'!$D:$D&amp;'3) Release_Label'!$E:$E,1,0)),"NO UPC-CATALOG ID pair MATCH in Release_Label" )</f>
        <v/>
      </c>
      <c r="D764" s="121" t="str">
        <f t="array" ref="D764">ifs(and(isblank($A764),isblank($B764)),"", not(iserror(vlookup($A764&amp;$B764,'3) Release_Label'!$D:$D&amp;'3) Release_Label'!$E:$E,1,0))),vlookup($A764&amp;$B764,{'3) Release_Label'!$D:$D&amp;'3) Release_Label'!$E:$E,'3) Release_Label'!$H:$H},2,0), or(and(not(isblank($B764)),$B764=$B763,$A764&lt;&gt;$A763),and(not(isblank($A764)),$A764=$A763,$B764&lt;&gt;$B763)),"ID LISTS UNALIGNED",and($A764&lt;&gt;"",countif('3) Release_Label'!$D:$D,$A764)=0),"NO UPC MATCH in Release_Label",and($B764&lt;&gt;"",countif('3) Release_Label'!$E:$E,$B764)=0),"NO CATALOG ID MATCH in Release_Label",iserror(vlookup($A764&amp;$B764,'3) Release_Label'!$D:$D&amp;'3) Release_Label'!$E:$E,1,0)),"NO UPC-CATALOG ID pair MATCH in Release_Label" )</f>
        <v/>
      </c>
      <c r="E764" s="141" t="str">
        <f t="shared" si="2"/>
        <v/>
      </c>
      <c r="G764" s="103"/>
      <c r="H764" s="152"/>
      <c r="J764" s="99"/>
      <c r="K764" s="104"/>
      <c r="L764" s="99"/>
      <c r="N764" s="99"/>
      <c r="O764" s="99"/>
      <c r="P764" s="34"/>
    </row>
    <row r="765">
      <c r="A765" s="28"/>
      <c r="B765" s="103"/>
      <c r="C765" s="121" t="str">
        <f t="array" ref="C765">ifs(and(isblank($A765),isblank($B765)),"", not(iserror(vlookup($A765&amp;$B765,'3) Release_Label'!$D:$D&amp;'3) Release_Label'!$E:$E,1,0))),vlookup($A765&amp;$B765,{'3) Release_Label'!$D:$D&amp;'3) Release_Label'!$E:$E,'3) Release_Label'!$F:$F},2,0), or(and(not(isblank($B765)),$B765=$B764,$A765&lt;&gt;$A764),and(not(isblank($A765)),$A765=$A764,$B765&lt;&gt;$B764)),"ID LISTS UNALIGNED",and($A765&lt;&gt;"",countif('3) Release_Label'!$D:$D,$A765)=0),"NO UPC MATCH in Release_Label",and($B765&lt;&gt;"",countif('3) Release_Label'!$E:$E,$B765)=0),"NO CATALOG ID MATCH in Release_Label",iserror(vlookup($A765&amp;$B765,'3) Release_Label'!$D:$D&amp;'3) Release_Label'!$E:$E,1,0)),"NO UPC-CATALOG ID pair MATCH in Release_Label" )</f>
        <v/>
      </c>
      <c r="D765" s="121" t="str">
        <f t="array" ref="D765">ifs(and(isblank($A765),isblank($B765)),"", not(iserror(vlookup($A765&amp;$B765,'3) Release_Label'!$D:$D&amp;'3) Release_Label'!$E:$E,1,0))),vlookup($A765&amp;$B765,{'3) Release_Label'!$D:$D&amp;'3) Release_Label'!$E:$E,'3) Release_Label'!$H:$H},2,0), or(and(not(isblank($B765)),$B765=$B764,$A765&lt;&gt;$A764),and(not(isblank($A765)),$A765=$A764,$B765&lt;&gt;$B764)),"ID LISTS UNALIGNED",and($A765&lt;&gt;"",countif('3) Release_Label'!$D:$D,$A765)=0),"NO UPC MATCH in Release_Label",and($B765&lt;&gt;"",countif('3) Release_Label'!$E:$E,$B765)=0),"NO CATALOG ID MATCH in Release_Label",iserror(vlookup($A765&amp;$B765,'3) Release_Label'!$D:$D&amp;'3) Release_Label'!$E:$E,1,0)),"NO UPC-CATALOG ID pair MATCH in Release_Label" )</f>
        <v/>
      </c>
      <c r="E765" s="141" t="str">
        <f t="shared" si="2"/>
        <v/>
      </c>
      <c r="G765" s="103"/>
      <c r="H765" s="152"/>
      <c r="J765" s="99"/>
      <c r="K765" s="104"/>
      <c r="L765" s="99"/>
      <c r="N765" s="99"/>
      <c r="O765" s="99"/>
      <c r="P765" s="34"/>
    </row>
    <row r="766">
      <c r="A766" s="28"/>
      <c r="B766" s="103"/>
      <c r="C766" s="121" t="str">
        <f t="array" ref="C766">ifs(and(isblank($A766),isblank($B766)),"", not(iserror(vlookup($A766&amp;$B766,'3) Release_Label'!$D:$D&amp;'3) Release_Label'!$E:$E,1,0))),vlookup($A766&amp;$B766,{'3) Release_Label'!$D:$D&amp;'3) Release_Label'!$E:$E,'3) Release_Label'!$F:$F},2,0), or(and(not(isblank($B766)),$B766=$B765,$A766&lt;&gt;$A765),and(not(isblank($A766)),$A766=$A765,$B766&lt;&gt;$B765)),"ID LISTS UNALIGNED",and($A766&lt;&gt;"",countif('3) Release_Label'!$D:$D,$A766)=0),"NO UPC MATCH in Release_Label",and($B766&lt;&gt;"",countif('3) Release_Label'!$E:$E,$B766)=0),"NO CATALOG ID MATCH in Release_Label",iserror(vlookup($A766&amp;$B766,'3) Release_Label'!$D:$D&amp;'3) Release_Label'!$E:$E,1,0)),"NO UPC-CATALOG ID pair MATCH in Release_Label" )</f>
        <v/>
      </c>
      <c r="D766" s="121" t="str">
        <f t="array" ref="D766">ifs(and(isblank($A766),isblank($B766)),"", not(iserror(vlookup($A766&amp;$B766,'3) Release_Label'!$D:$D&amp;'3) Release_Label'!$E:$E,1,0))),vlookup($A766&amp;$B766,{'3) Release_Label'!$D:$D&amp;'3) Release_Label'!$E:$E,'3) Release_Label'!$H:$H},2,0), or(and(not(isblank($B766)),$B766=$B765,$A766&lt;&gt;$A765),and(not(isblank($A766)),$A766=$A765,$B766&lt;&gt;$B765)),"ID LISTS UNALIGNED",and($A766&lt;&gt;"",countif('3) Release_Label'!$D:$D,$A766)=0),"NO UPC MATCH in Release_Label",and($B766&lt;&gt;"",countif('3) Release_Label'!$E:$E,$B766)=0),"NO CATALOG ID MATCH in Release_Label",iserror(vlookup($A766&amp;$B766,'3) Release_Label'!$D:$D&amp;'3) Release_Label'!$E:$E,1,0)),"NO UPC-CATALOG ID pair MATCH in Release_Label" )</f>
        <v/>
      </c>
      <c r="E766" s="141" t="str">
        <f t="shared" si="2"/>
        <v/>
      </c>
      <c r="G766" s="103"/>
      <c r="H766" s="152"/>
      <c r="J766" s="99"/>
      <c r="K766" s="104"/>
      <c r="L766" s="99"/>
      <c r="N766" s="99"/>
      <c r="O766" s="99"/>
      <c r="P766" s="34"/>
    </row>
    <row r="767">
      <c r="A767" s="28"/>
      <c r="B767" s="103"/>
      <c r="C767" s="121" t="str">
        <f t="array" ref="C767">ifs(and(isblank($A767),isblank($B767)),"", not(iserror(vlookup($A767&amp;$B767,'3) Release_Label'!$D:$D&amp;'3) Release_Label'!$E:$E,1,0))),vlookup($A767&amp;$B767,{'3) Release_Label'!$D:$D&amp;'3) Release_Label'!$E:$E,'3) Release_Label'!$F:$F},2,0), or(and(not(isblank($B767)),$B767=$B766,$A767&lt;&gt;$A766),and(not(isblank($A767)),$A767=$A766,$B767&lt;&gt;$B766)),"ID LISTS UNALIGNED",and($A767&lt;&gt;"",countif('3) Release_Label'!$D:$D,$A767)=0),"NO UPC MATCH in Release_Label",and($B767&lt;&gt;"",countif('3) Release_Label'!$E:$E,$B767)=0),"NO CATALOG ID MATCH in Release_Label",iserror(vlookup($A767&amp;$B767,'3) Release_Label'!$D:$D&amp;'3) Release_Label'!$E:$E,1,0)),"NO UPC-CATALOG ID pair MATCH in Release_Label" )</f>
        <v/>
      </c>
      <c r="D767" s="121" t="str">
        <f t="array" ref="D767">ifs(and(isblank($A767),isblank($B767)),"", not(iserror(vlookup($A767&amp;$B767,'3) Release_Label'!$D:$D&amp;'3) Release_Label'!$E:$E,1,0))),vlookup($A767&amp;$B767,{'3) Release_Label'!$D:$D&amp;'3) Release_Label'!$E:$E,'3) Release_Label'!$H:$H},2,0), or(and(not(isblank($B767)),$B767=$B766,$A767&lt;&gt;$A766),and(not(isblank($A767)),$A767=$A766,$B767&lt;&gt;$B766)),"ID LISTS UNALIGNED",and($A767&lt;&gt;"",countif('3) Release_Label'!$D:$D,$A767)=0),"NO UPC MATCH in Release_Label",and($B767&lt;&gt;"",countif('3) Release_Label'!$E:$E,$B767)=0),"NO CATALOG ID MATCH in Release_Label",iserror(vlookup($A767&amp;$B767,'3) Release_Label'!$D:$D&amp;'3) Release_Label'!$E:$E,1,0)),"NO UPC-CATALOG ID pair MATCH in Release_Label" )</f>
        <v/>
      </c>
      <c r="E767" s="141" t="str">
        <f t="shared" si="2"/>
        <v/>
      </c>
      <c r="G767" s="103"/>
      <c r="H767" s="152"/>
      <c r="J767" s="99"/>
      <c r="K767" s="104"/>
      <c r="L767" s="99"/>
      <c r="N767" s="99"/>
      <c r="O767" s="99"/>
      <c r="P767" s="34"/>
    </row>
    <row r="768">
      <c r="A768" s="28"/>
      <c r="B768" s="103"/>
      <c r="C768" s="121" t="str">
        <f t="array" ref="C768">ifs(and(isblank($A768),isblank($B768)),"", not(iserror(vlookup($A768&amp;$B768,'3) Release_Label'!$D:$D&amp;'3) Release_Label'!$E:$E,1,0))),vlookup($A768&amp;$B768,{'3) Release_Label'!$D:$D&amp;'3) Release_Label'!$E:$E,'3) Release_Label'!$F:$F},2,0), or(and(not(isblank($B768)),$B768=$B767,$A768&lt;&gt;$A767),and(not(isblank($A768)),$A768=$A767,$B768&lt;&gt;$B767)),"ID LISTS UNALIGNED",and($A768&lt;&gt;"",countif('3) Release_Label'!$D:$D,$A768)=0),"NO UPC MATCH in Release_Label",and($B768&lt;&gt;"",countif('3) Release_Label'!$E:$E,$B768)=0),"NO CATALOG ID MATCH in Release_Label",iserror(vlookup($A768&amp;$B768,'3) Release_Label'!$D:$D&amp;'3) Release_Label'!$E:$E,1,0)),"NO UPC-CATALOG ID pair MATCH in Release_Label" )</f>
        <v/>
      </c>
      <c r="D768" s="121" t="str">
        <f t="array" ref="D768">ifs(and(isblank($A768),isblank($B768)),"", not(iserror(vlookup($A768&amp;$B768,'3) Release_Label'!$D:$D&amp;'3) Release_Label'!$E:$E,1,0))),vlookup($A768&amp;$B768,{'3) Release_Label'!$D:$D&amp;'3) Release_Label'!$E:$E,'3) Release_Label'!$H:$H},2,0), or(and(not(isblank($B768)),$B768=$B767,$A768&lt;&gt;$A767),and(not(isblank($A768)),$A768=$A767,$B768&lt;&gt;$B767)),"ID LISTS UNALIGNED",and($A768&lt;&gt;"",countif('3) Release_Label'!$D:$D,$A768)=0),"NO UPC MATCH in Release_Label",and($B768&lt;&gt;"",countif('3) Release_Label'!$E:$E,$B768)=0),"NO CATALOG ID MATCH in Release_Label",iserror(vlookup($A768&amp;$B768,'3) Release_Label'!$D:$D&amp;'3) Release_Label'!$E:$E,1,0)),"NO UPC-CATALOG ID pair MATCH in Release_Label" )</f>
        <v/>
      </c>
      <c r="E768" s="141" t="str">
        <f t="shared" si="2"/>
        <v/>
      </c>
      <c r="G768" s="103"/>
      <c r="H768" s="152"/>
      <c r="J768" s="99"/>
      <c r="K768" s="104"/>
      <c r="L768" s="99"/>
      <c r="N768" s="99"/>
      <c r="O768" s="99"/>
      <c r="P768" s="34"/>
    </row>
    <row r="769">
      <c r="A769" s="28"/>
      <c r="B769" s="103"/>
      <c r="C769" s="121" t="str">
        <f t="array" ref="C769">ifs(and(isblank($A769),isblank($B769)),"", not(iserror(vlookup($A769&amp;$B769,'3) Release_Label'!$D:$D&amp;'3) Release_Label'!$E:$E,1,0))),vlookup($A769&amp;$B769,{'3) Release_Label'!$D:$D&amp;'3) Release_Label'!$E:$E,'3) Release_Label'!$F:$F},2,0), or(and(not(isblank($B769)),$B769=$B768,$A769&lt;&gt;$A768),and(not(isblank($A769)),$A769=$A768,$B769&lt;&gt;$B768)),"ID LISTS UNALIGNED",and($A769&lt;&gt;"",countif('3) Release_Label'!$D:$D,$A769)=0),"NO UPC MATCH in Release_Label",and($B769&lt;&gt;"",countif('3) Release_Label'!$E:$E,$B769)=0),"NO CATALOG ID MATCH in Release_Label",iserror(vlookup($A769&amp;$B769,'3) Release_Label'!$D:$D&amp;'3) Release_Label'!$E:$E,1,0)),"NO UPC-CATALOG ID pair MATCH in Release_Label" )</f>
        <v/>
      </c>
      <c r="D769" s="121" t="str">
        <f t="array" ref="D769">ifs(and(isblank($A769),isblank($B769)),"", not(iserror(vlookup($A769&amp;$B769,'3) Release_Label'!$D:$D&amp;'3) Release_Label'!$E:$E,1,0))),vlookup($A769&amp;$B769,{'3) Release_Label'!$D:$D&amp;'3) Release_Label'!$E:$E,'3) Release_Label'!$H:$H},2,0), or(and(not(isblank($B769)),$B769=$B768,$A769&lt;&gt;$A768),and(not(isblank($A769)),$A769=$A768,$B769&lt;&gt;$B768)),"ID LISTS UNALIGNED",and($A769&lt;&gt;"",countif('3) Release_Label'!$D:$D,$A769)=0),"NO UPC MATCH in Release_Label",and($B769&lt;&gt;"",countif('3) Release_Label'!$E:$E,$B769)=0),"NO CATALOG ID MATCH in Release_Label",iserror(vlookup($A769&amp;$B769,'3) Release_Label'!$D:$D&amp;'3) Release_Label'!$E:$E,1,0)),"NO UPC-CATALOG ID pair MATCH in Release_Label" )</f>
        <v/>
      </c>
      <c r="E769" s="141" t="str">
        <f t="shared" si="2"/>
        <v/>
      </c>
      <c r="G769" s="103"/>
      <c r="H769" s="152"/>
      <c r="J769" s="99"/>
      <c r="K769" s="104"/>
      <c r="L769" s="99"/>
      <c r="N769" s="99"/>
      <c r="O769" s="99"/>
      <c r="P769" s="34"/>
    </row>
    <row r="770">
      <c r="A770" s="28"/>
      <c r="B770" s="103"/>
      <c r="C770" s="121" t="str">
        <f t="array" ref="C770">ifs(and(isblank($A770),isblank($B770)),"", not(iserror(vlookup($A770&amp;$B770,'3) Release_Label'!$D:$D&amp;'3) Release_Label'!$E:$E,1,0))),vlookup($A770&amp;$B770,{'3) Release_Label'!$D:$D&amp;'3) Release_Label'!$E:$E,'3) Release_Label'!$F:$F},2,0), or(and(not(isblank($B770)),$B770=$B769,$A770&lt;&gt;$A769),and(not(isblank($A770)),$A770=$A769,$B770&lt;&gt;$B769)),"ID LISTS UNALIGNED",and($A770&lt;&gt;"",countif('3) Release_Label'!$D:$D,$A770)=0),"NO UPC MATCH in Release_Label",and($B770&lt;&gt;"",countif('3) Release_Label'!$E:$E,$B770)=0),"NO CATALOG ID MATCH in Release_Label",iserror(vlookup($A770&amp;$B770,'3) Release_Label'!$D:$D&amp;'3) Release_Label'!$E:$E,1,0)),"NO UPC-CATALOG ID pair MATCH in Release_Label" )</f>
        <v/>
      </c>
      <c r="D770" s="121" t="str">
        <f t="array" ref="D770">ifs(and(isblank($A770),isblank($B770)),"", not(iserror(vlookup($A770&amp;$B770,'3) Release_Label'!$D:$D&amp;'3) Release_Label'!$E:$E,1,0))),vlookup($A770&amp;$B770,{'3) Release_Label'!$D:$D&amp;'3) Release_Label'!$E:$E,'3) Release_Label'!$H:$H},2,0), or(and(not(isblank($B770)),$B770=$B769,$A770&lt;&gt;$A769),and(not(isblank($A770)),$A770=$A769,$B770&lt;&gt;$B769)),"ID LISTS UNALIGNED",and($A770&lt;&gt;"",countif('3) Release_Label'!$D:$D,$A770)=0),"NO UPC MATCH in Release_Label",and($B770&lt;&gt;"",countif('3) Release_Label'!$E:$E,$B770)=0),"NO CATALOG ID MATCH in Release_Label",iserror(vlookup($A770&amp;$B770,'3) Release_Label'!$D:$D&amp;'3) Release_Label'!$E:$E,1,0)),"NO UPC-CATALOG ID pair MATCH in Release_Label" )</f>
        <v/>
      </c>
      <c r="E770" s="141" t="str">
        <f t="shared" si="2"/>
        <v/>
      </c>
      <c r="G770" s="103"/>
      <c r="H770" s="152"/>
      <c r="J770" s="99"/>
      <c r="K770" s="104"/>
      <c r="L770" s="99"/>
      <c r="N770" s="99"/>
      <c r="O770" s="99"/>
      <c r="P770" s="34"/>
    </row>
    <row r="771">
      <c r="A771" s="28"/>
      <c r="B771" s="103"/>
      <c r="C771" s="121" t="str">
        <f t="array" ref="C771">ifs(and(isblank($A771),isblank($B771)),"", not(iserror(vlookup($A771&amp;$B771,'3) Release_Label'!$D:$D&amp;'3) Release_Label'!$E:$E,1,0))),vlookup($A771&amp;$B771,{'3) Release_Label'!$D:$D&amp;'3) Release_Label'!$E:$E,'3) Release_Label'!$F:$F},2,0), or(and(not(isblank($B771)),$B771=$B770,$A771&lt;&gt;$A770),and(not(isblank($A771)),$A771=$A770,$B771&lt;&gt;$B770)),"ID LISTS UNALIGNED",and($A771&lt;&gt;"",countif('3) Release_Label'!$D:$D,$A771)=0),"NO UPC MATCH in Release_Label",and($B771&lt;&gt;"",countif('3) Release_Label'!$E:$E,$B771)=0),"NO CATALOG ID MATCH in Release_Label",iserror(vlookup($A771&amp;$B771,'3) Release_Label'!$D:$D&amp;'3) Release_Label'!$E:$E,1,0)),"NO UPC-CATALOG ID pair MATCH in Release_Label" )</f>
        <v/>
      </c>
      <c r="D771" s="121" t="str">
        <f t="array" ref="D771">ifs(and(isblank($A771),isblank($B771)),"", not(iserror(vlookup($A771&amp;$B771,'3) Release_Label'!$D:$D&amp;'3) Release_Label'!$E:$E,1,0))),vlookup($A771&amp;$B771,{'3) Release_Label'!$D:$D&amp;'3) Release_Label'!$E:$E,'3) Release_Label'!$H:$H},2,0), or(and(not(isblank($B771)),$B771=$B770,$A771&lt;&gt;$A770),and(not(isblank($A771)),$A771=$A770,$B771&lt;&gt;$B770)),"ID LISTS UNALIGNED",and($A771&lt;&gt;"",countif('3) Release_Label'!$D:$D,$A771)=0),"NO UPC MATCH in Release_Label",and($B771&lt;&gt;"",countif('3) Release_Label'!$E:$E,$B771)=0),"NO CATALOG ID MATCH in Release_Label",iserror(vlookup($A771&amp;$B771,'3) Release_Label'!$D:$D&amp;'3) Release_Label'!$E:$E,1,0)),"NO UPC-CATALOG ID pair MATCH in Release_Label" )</f>
        <v/>
      </c>
      <c r="E771" s="141" t="str">
        <f t="shared" si="2"/>
        <v/>
      </c>
      <c r="G771" s="103"/>
      <c r="H771" s="152"/>
      <c r="J771" s="99"/>
      <c r="K771" s="104"/>
      <c r="L771" s="99"/>
      <c r="N771" s="99"/>
      <c r="O771" s="99"/>
      <c r="P771" s="34"/>
    </row>
    <row r="772">
      <c r="A772" s="28"/>
      <c r="B772" s="103"/>
      <c r="C772" s="121" t="str">
        <f t="array" ref="C772">ifs(and(isblank($A772),isblank($B772)),"", not(iserror(vlookup($A772&amp;$B772,'3) Release_Label'!$D:$D&amp;'3) Release_Label'!$E:$E,1,0))),vlookup($A772&amp;$B772,{'3) Release_Label'!$D:$D&amp;'3) Release_Label'!$E:$E,'3) Release_Label'!$F:$F},2,0), or(and(not(isblank($B772)),$B772=$B771,$A772&lt;&gt;$A771),and(not(isblank($A772)),$A772=$A771,$B772&lt;&gt;$B771)),"ID LISTS UNALIGNED",and($A772&lt;&gt;"",countif('3) Release_Label'!$D:$D,$A772)=0),"NO UPC MATCH in Release_Label",and($B772&lt;&gt;"",countif('3) Release_Label'!$E:$E,$B772)=0),"NO CATALOG ID MATCH in Release_Label",iserror(vlookup($A772&amp;$B772,'3) Release_Label'!$D:$D&amp;'3) Release_Label'!$E:$E,1,0)),"NO UPC-CATALOG ID pair MATCH in Release_Label" )</f>
        <v/>
      </c>
      <c r="D772" s="121" t="str">
        <f t="array" ref="D772">ifs(and(isblank($A772),isblank($B772)),"", not(iserror(vlookup($A772&amp;$B772,'3) Release_Label'!$D:$D&amp;'3) Release_Label'!$E:$E,1,0))),vlookup($A772&amp;$B772,{'3) Release_Label'!$D:$D&amp;'3) Release_Label'!$E:$E,'3) Release_Label'!$H:$H},2,0), or(and(not(isblank($B772)),$B772=$B771,$A772&lt;&gt;$A771),and(not(isblank($A772)),$A772=$A771,$B772&lt;&gt;$B771)),"ID LISTS UNALIGNED",and($A772&lt;&gt;"",countif('3) Release_Label'!$D:$D,$A772)=0),"NO UPC MATCH in Release_Label",and($B772&lt;&gt;"",countif('3) Release_Label'!$E:$E,$B772)=0),"NO CATALOG ID MATCH in Release_Label",iserror(vlookup($A772&amp;$B772,'3) Release_Label'!$D:$D&amp;'3) Release_Label'!$E:$E,1,0)),"NO UPC-CATALOG ID pair MATCH in Release_Label" )</f>
        <v/>
      </c>
      <c r="E772" s="141" t="str">
        <f t="shared" si="2"/>
        <v/>
      </c>
      <c r="G772" s="103"/>
      <c r="H772" s="152"/>
      <c r="J772" s="99"/>
      <c r="K772" s="104"/>
      <c r="L772" s="99"/>
      <c r="N772" s="99"/>
      <c r="O772" s="99"/>
      <c r="P772" s="34"/>
    </row>
    <row r="773">
      <c r="A773" s="28"/>
      <c r="B773" s="103"/>
      <c r="C773" s="121" t="str">
        <f t="array" ref="C773">ifs(and(isblank($A773),isblank($B773)),"", not(iserror(vlookup($A773&amp;$B773,'3) Release_Label'!$D:$D&amp;'3) Release_Label'!$E:$E,1,0))),vlookup($A773&amp;$B773,{'3) Release_Label'!$D:$D&amp;'3) Release_Label'!$E:$E,'3) Release_Label'!$F:$F},2,0), or(and(not(isblank($B773)),$B773=$B772,$A773&lt;&gt;$A772),and(not(isblank($A773)),$A773=$A772,$B773&lt;&gt;$B772)),"ID LISTS UNALIGNED",and($A773&lt;&gt;"",countif('3) Release_Label'!$D:$D,$A773)=0),"NO UPC MATCH in Release_Label",and($B773&lt;&gt;"",countif('3) Release_Label'!$E:$E,$B773)=0),"NO CATALOG ID MATCH in Release_Label",iserror(vlookup($A773&amp;$B773,'3) Release_Label'!$D:$D&amp;'3) Release_Label'!$E:$E,1,0)),"NO UPC-CATALOG ID pair MATCH in Release_Label" )</f>
        <v/>
      </c>
      <c r="D773" s="121" t="str">
        <f t="array" ref="D773">ifs(and(isblank($A773),isblank($B773)),"", not(iserror(vlookup($A773&amp;$B773,'3) Release_Label'!$D:$D&amp;'3) Release_Label'!$E:$E,1,0))),vlookup($A773&amp;$B773,{'3) Release_Label'!$D:$D&amp;'3) Release_Label'!$E:$E,'3) Release_Label'!$H:$H},2,0), or(and(not(isblank($B773)),$B773=$B772,$A773&lt;&gt;$A772),and(not(isblank($A773)),$A773=$A772,$B773&lt;&gt;$B772)),"ID LISTS UNALIGNED",and($A773&lt;&gt;"",countif('3) Release_Label'!$D:$D,$A773)=0),"NO UPC MATCH in Release_Label",and($B773&lt;&gt;"",countif('3) Release_Label'!$E:$E,$B773)=0),"NO CATALOG ID MATCH in Release_Label",iserror(vlookup($A773&amp;$B773,'3) Release_Label'!$D:$D&amp;'3) Release_Label'!$E:$E,1,0)),"NO UPC-CATALOG ID pair MATCH in Release_Label" )</f>
        <v/>
      </c>
      <c r="E773" s="141" t="str">
        <f t="shared" si="2"/>
        <v/>
      </c>
      <c r="G773" s="103"/>
      <c r="H773" s="152"/>
      <c r="J773" s="99"/>
      <c r="K773" s="104"/>
      <c r="L773" s="99"/>
      <c r="N773" s="99"/>
      <c r="O773" s="99"/>
      <c r="P773" s="34"/>
    </row>
    <row r="774">
      <c r="A774" s="28"/>
      <c r="B774" s="103"/>
      <c r="C774" s="121" t="str">
        <f t="array" ref="C774">ifs(and(isblank($A774),isblank($B774)),"", not(iserror(vlookup($A774&amp;$B774,'3) Release_Label'!$D:$D&amp;'3) Release_Label'!$E:$E,1,0))),vlookup($A774&amp;$B774,{'3) Release_Label'!$D:$D&amp;'3) Release_Label'!$E:$E,'3) Release_Label'!$F:$F},2,0), or(and(not(isblank($B774)),$B774=$B773,$A774&lt;&gt;$A773),and(not(isblank($A774)),$A774=$A773,$B774&lt;&gt;$B773)),"ID LISTS UNALIGNED",and($A774&lt;&gt;"",countif('3) Release_Label'!$D:$D,$A774)=0),"NO UPC MATCH in Release_Label",and($B774&lt;&gt;"",countif('3) Release_Label'!$E:$E,$B774)=0),"NO CATALOG ID MATCH in Release_Label",iserror(vlookup($A774&amp;$B774,'3) Release_Label'!$D:$D&amp;'3) Release_Label'!$E:$E,1,0)),"NO UPC-CATALOG ID pair MATCH in Release_Label" )</f>
        <v/>
      </c>
      <c r="D774" s="121" t="str">
        <f t="array" ref="D774">ifs(and(isblank($A774),isblank($B774)),"", not(iserror(vlookup($A774&amp;$B774,'3) Release_Label'!$D:$D&amp;'3) Release_Label'!$E:$E,1,0))),vlookup($A774&amp;$B774,{'3) Release_Label'!$D:$D&amp;'3) Release_Label'!$E:$E,'3) Release_Label'!$H:$H},2,0), or(and(not(isblank($B774)),$B774=$B773,$A774&lt;&gt;$A773),and(not(isblank($A774)),$A774=$A773,$B774&lt;&gt;$B773)),"ID LISTS UNALIGNED",and($A774&lt;&gt;"",countif('3) Release_Label'!$D:$D,$A774)=0),"NO UPC MATCH in Release_Label",and($B774&lt;&gt;"",countif('3) Release_Label'!$E:$E,$B774)=0),"NO CATALOG ID MATCH in Release_Label",iserror(vlookup($A774&amp;$B774,'3) Release_Label'!$D:$D&amp;'3) Release_Label'!$E:$E,1,0)),"NO UPC-CATALOG ID pair MATCH in Release_Label" )</f>
        <v/>
      </c>
      <c r="E774" s="141" t="str">
        <f t="shared" si="2"/>
        <v/>
      </c>
      <c r="G774" s="103"/>
      <c r="H774" s="152"/>
      <c r="J774" s="99"/>
      <c r="K774" s="104"/>
      <c r="L774" s="99"/>
      <c r="N774" s="99"/>
      <c r="O774" s="99"/>
      <c r="P774" s="34"/>
    </row>
    <row r="775">
      <c r="A775" s="28"/>
      <c r="B775" s="103"/>
      <c r="C775" s="121" t="str">
        <f t="array" ref="C775">ifs(and(isblank($A775),isblank($B775)),"", not(iserror(vlookup($A775&amp;$B775,'3) Release_Label'!$D:$D&amp;'3) Release_Label'!$E:$E,1,0))),vlookup($A775&amp;$B775,{'3) Release_Label'!$D:$D&amp;'3) Release_Label'!$E:$E,'3) Release_Label'!$F:$F},2,0), or(and(not(isblank($B775)),$B775=$B774,$A775&lt;&gt;$A774),and(not(isblank($A775)),$A775=$A774,$B775&lt;&gt;$B774)),"ID LISTS UNALIGNED",and($A775&lt;&gt;"",countif('3) Release_Label'!$D:$D,$A775)=0),"NO UPC MATCH in Release_Label",and($B775&lt;&gt;"",countif('3) Release_Label'!$E:$E,$B775)=0),"NO CATALOG ID MATCH in Release_Label",iserror(vlookup($A775&amp;$B775,'3) Release_Label'!$D:$D&amp;'3) Release_Label'!$E:$E,1,0)),"NO UPC-CATALOG ID pair MATCH in Release_Label" )</f>
        <v/>
      </c>
      <c r="D775" s="121" t="str">
        <f t="array" ref="D775">ifs(and(isblank($A775),isblank($B775)),"", not(iserror(vlookup($A775&amp;$B775,'3) Release_Label'!$D:$D&amp;'3) Release_Label'!$E:$E,1,0))),vlookup($A775&amp;$B775,{'3) Release_Label'!$D:$D&amp;'3) Release_Label'!$E:$E,'3) Release_Label'!$H:$H},2,0), or(and(not(isblank($B775)),$B775=$B774,$A775&lt;&gt;$A774),and(not(isblank($A775)),$A775=$A774,$B775&lt;&gt;$B774)),"ID LISTS UNALIGNED",and($A775&lt;&gt;"",countif('3) Release_Label'!$D:$D,$A775)=0),"NO UPC MATCH in Release_Label",and($B775&lt;&gt;"",countif('3) Release_Label'!$E:$E,$B775)=0),"NO CATALOG ID MATCH in Release_Label",iserror(vlookup($A775&amp;$B775,'3) Release_Label'!$D:$D&amp;'3) Release_Label'!$E:$E,1,0)),"NO UPC-CATALOG ID pair MATCH in Release_Label" )</f>
        <v/>
      </c>
      <c r="E775" s="141" t="str">
        <f t="shared" si="2"/>
        <v/>
      </c>
      <c r="G775" s="103"/>
      <c r="H775" s="152"/>
      <c r="J775" s="99"/>
      <c r="K775" s="104"/>
      <c r="L775" s="99"/>
      <c r="N775" s="99"/>
      <c r="O775" s="99"/>
      <c r="P775" s="34"/>
    </row>
    <row r="776">
      <c r="A776" s="28"/>
      <c r="B776" s="103"/>
      <c r="C776" s="121" t="str">
        <f t="array" ref="C776">ifs(and(isblank($A776),isblank($B776)),"", not(iserror(vlookup($A776&amp;$B776,'3) Release_Label'!$D:$D&amp;'3) Release_Label'!$E:$E,1,0))),vlookup($A776&amp;$B776,{'3) Release_Label'!$D:$D&amp;'3) Release_Label'!$E:$E,'3) Release_Label'!$F:$F},2,0), or(and(not(isblank($B776)),$B776=$B775,$A776&lt;&gt;$A775),and(not(isblank($A776)),$A776=$A775,$B776&lt;&gt;$B775)),"ID LISTS UNALIGNED",and($A776&lt;&gt;"",countif('3) Release_Label'!$D:$D,$A776)=0),"NO UPC MATCH in Release_Label",and($B776&lt;&gt;"",countif('3) Release_Label'!$E:$E,$B776)=0),"NO CATALOG ID MATCH in Release_Label",iserror(vlookup($A776&amp;$B776,'3) Release_Label'!$D:$D&amp;'3) Release_Label'!$E:$E,1,0)),"NO UPC-CATALOG ID pair MATCH in Release_Label" )</f>
        <v/>
      </c>
      <c r="D776" s="121" t="str">
        <f t="array" ref="D776">ifs(and(isblank($A776),isblank($B776)),"", not(iserror(vlookup($A776&amp;$B776,'3) Release_Label'!$D:$D&amp;'3) Release_Label'!$E:$E,1,0))),vlookup($A776&amp;$B776,{'3) Release_Label'!$D:$D&amp;'3) Release_Label'!$E:$E,'3) Release_Label'!$H:$H},2,0), or(and(not(isblank($B776)),$B776=$B775,$A776&lt;&gt;$A775),and(not(isblank($A776)),$A776=$A775,$B776&lt;&gt;$B775)),"ID LISTS UNALIGNED",and($A776&lt;&gt;"",countif('3) Release_Label'!$D:$D,$A776)=0),"NO UPC MATCH in Release_Label",and($B776&lt;&gt;"",countif('3) Release_Label'!$E:$E,$B776)=0),"NO CATALOG ID MATCH in Release_Label",iserror(vlookup($A776&amp;$B776,'3) Release_Label'!$D:$D&amp;'3) Release_Label'!$E:$E,1,0)),"NO UPC-CATALOG ID pair MATCH in Release_Label" )</f>
        <v/>
      </c>
      <c r="E776" s="141" t="str">
        <f t="shared" si="2"/>
        <v/>
      </c>
      <c r="G776" s="103"/>
      <c r="H776" s="152"/>
      <c r="J776" s="99"/>
      <c r="K776" s="104"/>
      <c r="L776" s="99"/>
      <c r="N776" s="99"/>
      <c r="O776" s="99"/>
      <c r="P776" s="34"/>
    </row>
    <row r="777">
      <c r="A777" s="28"/>
      <c r="B777" s="103"/>
      <c r="C777" s="121" t="str">
        <f t="array" ref="C777">ifs(and(isblank($A777),isblank($B777)),"", not(iserror(vlookup($A777&amp;$B777,'3) Release_Label'!$D:$D&amp;'3) Release_Label'!$E:$E,1,0))),vlookup($A777&amp;$B777,{'3) Release_Label'!$D:$D&amp;'3) Release_Label'!$E:$E,'3) Release_Label'!$F:$F},2,0), or(and(not(isblank($B777)),$B777=$B776,$A777&lt;&gt;$A776),and(not(isblank($A777)),$A777=$A776,$B777&lt;&gt;$B776)),"ID LISTS UNALIGNED",and($A777&lt;&gt;"",countif('3) Release_Label'!$D:$D,$A777)=0),"NO UPC MATCH in Release_Label",and($B777&lt;&gt;"",countif('3) Release_Label'!$E:$E,$B777)=0),"NO CATALOG ID MATCH in Release_Label",iserror(vlookup($A777&amp;$B777,'3) Release_Label'!$D:$D&amp;'3) Release_Label'!$E:$E,1,0)),"NO UPC-CATALOG ID pair MATCH in Release_Label" )</f>
        <v/>
      </c>
      <c r="D777" s="121" t="str">
        <f t="array" ref="D777">ifs(and(isblank($A777),isblank($B777)),"", not(iserror(vlookup($A777&amp;$B777,'3) Release_Label'!$D:$D&amp;'3) Release_Label'!$E:$E,1,0))),vlookup($A777&amp;$B777,{'3) Release_Label'!$D:$D&amp;'3) Release_Label'!$E:$E,'3) Release_Label'!$H:$H},2,0), or(and(not(isblank($B777)),$B777=$B776,$A777&lt;&gt;$A776),and(not(isblank($A777)),$A777=$A776,$B777&lt;&gt;$B776)),"ID LISTS UNALIGNED",and($A777&lt;&gt;"",countif('3) Release_Label'!$D:$D,$A777)=0),"NO UPC MATCH in Release_Label",and($B777&lt;&gt;"",countif('3) Release_Label'!$E:$E,$B777)=0),"NO CATALOG ID MATCH in Release_Label",iserror(vlookup($A777&amp;$B777,'3) Release_Label'!$D:$D&amp;'3) Release_Label'!$E:$E,1,0)),"NO UPC-CATALOG ID pair MATCH in Release_Label" )</f>
        <v/>
      </c>
      <c r="E777" s="141" t="str">
        <f t="shared" si="2"/>
        <v/>
      </c>
      <c r="G777" s="103"/>
      <c r="H777" s="152"/>
      <c r="J777" s="99"/>
      <c r="K777" s="104"/>
      <c r="L777" s="99"/>
      <c r="N777" s="99"/>
      <c r="O777" s="99"/>
      <c r="P777" s="34"/>
    </row>
    <row r="778">
      <c r="A778" s="28"/>
      <c r="B778" s="103"/>
      <c r="C778" s="121" t="str">
        <f t="array" ref="C778">ifs(and(isblank($A778),isblank($B778)),"", not(iserror(vlookup($A778&amp;$B778,'3) Release_Label'!$D:$D&amp;'3) Release_Label'!$E:$E,1,0))),vlookup($A778&amp;$B778,{'3) Release_Label'!$D:$D&amp;'3) Release_Label'!$E:$E,'3) Release_Label'!$F:$F},2,0), or(and(not(isblank($B778)),$B778=$B777,$A778&lt;&gt;$A777),and(not(isblank($A778)),$A778=$A777,$B778&lt;&gt;$B777)),"ID LISTS UNALIGNED",and($A778&lt;&gt;"",countif('3) Release_Label'!$D:$D,$A778)=0),"NO UPC MATCH in Release_Label",and($B778&lt;&gt;"",countif('3) Release_Label'!$E:$E,$B778)=0),"NO CATALOG ID MATCH in Release_Label",iserror(vlookup($A778&amp;$B778,'3) Release_Label'!$D:$D&amp;'3) Release_Label'!$E:$E,1,0)),"NO UPC-CATALOG ID pair MATCH in Release_Label" )</f>
        <v/>
      </c>
      <c r="D778" s="121" t="str">
        <f t="array" ref="D778">ifs(and(isblank($A778),isblank($B778)),"", not(iserror(vlookup($A778&amp;$B778,'3) Release_Label'!$D:$D&amp;'3) Release_Label'!$E:$E,1,0))),vlookup($A778&amp;$B778,{'3) Release_Label'!$D:$D&amp;'3) Release_Label'!$E:$E,'3) Release_Label'!$H:$H},2,0), or(and(not(isblank($B778)),$B778=$B777,$A778&lt;&gt;$A777),and(not(isblank($A778)),$A778=$A777,$B778&lt;&gt;$B777)),"ID LISTS UNALIGNED",and($A778&lt;&gt;"",countif('3) Release_Label'!$D:$D,$A778)=0),"NO UPC MATCH in Release_Label",and($B778&lt;&gt;"",countif('3) Release_Label'!$E:$E,$B778)=0),"NO CATALOG ID MATCH in Release_Label",iserror(vlookup($A778&amp;$B778,'3) Release_Label'!$D:$D&amp;'3) Release_Label'!$E:$E,1,0)),"NO UPC-CATALOG ID pair MATCH in Release_Label" )</f>
        <v/>
      </c>
      <c r="E778" s="141" t="str">
        <f t="shared" si="2"/>
        <v/>
      </c>
      <c r="G778" s="103"/>
      <c r="H778" s="152"/>
      <c r="J778" s="99"/>
      <c r="K778" s="104"/>
      <c r="L778" s="99"/>
      <c r="N778" s="99"/>
      <c r="O778" s="99"/>
      <c r="P778" s="34"/>
    </row>
    <row r="779">
      <c r="A779" s="28"/>
      <c r="B779" s="103"/>
      <c r="C779" s="121" t="str">
        <f t="array" ref="C779">ifs(and(isblank($A779),isblank($B779)),"", not(iserror(vlookup($A779&amp;$B779,'3) Release_Label'!$D:$D&amp;'3) Release_Label'!$E:$E,1,0))),vlookup($A779&amp;$B779,{'3) Release_Label'!$D:$D&amp;'3) Release_Label'!$E:$E,'3) Release_Label'!$F:$F},2,0), or(and(not(isblank($B779)),$B779=$B778,$A779&lt;&gt;$A778),and(not(isblank($A779)),$A779=$A778,$B779&lt;&gt;$B778)),"ID LISTS UNALIGNED",and($A779&lt;&gt;"",countif('3) Release_Label'!$D:$D,$A779)=0),"NO UPC MATCH in Release_Label",and($B779&lt;&gt;"",countif('3) Release_Label'!$E:$E,$B779)=0),"NO CATALOG ID MATCH in Release_Label",iserror(vlookup($A779&amp;$B779,'3) Release_Label'!$D:$D&amp;'3) Release_Label'!$E:$E,1,0)),"NO UPC-CATALOG ID pair MATCH in Release_Label" )</f>
        <v/>
      </c>
      <c r="D779" s="121" t="str">
        <f t="array" ref="D779">ifs(and(isblank($A779),isblank($B779)),"", not(iserror(vlookup($A779&amp;$B779,'3) Release_Label'!$D:$D&amp;'3) Release_Label'!$E:$E,1,0))),vlookup($A779&amp;$B779,{'3) Release_Label'!$D:$D&amp;'3) Release_Label'!$E:$E,'3) Release_Label'!$H:$H},2,0), or(and(not(isblank($B779)),$B779=$B778,$A779&lt;&gt;$A778),and(not(isblank($A779)),$A779=$A778,$B779&lt;&gt;$B778)),"ID LISTS UNALIGNED",and($A779&lt;&gt;"",countif('3) Release_Label'!$D:$D,$A779)=0),"NO UPC MATCH in Release_Label",and($B779&lt;&gt;"",countif('3) Release_Label'!$E:$E,$B779)=0),"NO CATALOG ID MATCH in Release_Label",iserror(vlookup($A779&amp;$B779,'3) Release_Label'!$D:$D&amp;'3) Release_Label'!$E:$E,1,0)),"NO UPC-CATALOG ID pair MATCH in Release_Label" )</f>
        <v/>
      </c>
      <c r="E779" s="141" t="str">
        <f t="shared" si="2"/>
        <v/>
      </c>
      <c r="G779" s="103"/>
      <c r="H779" s="152"/>
      <c r="J779" s="99"/>
      <c r="K779" s="104"/>
      <c r="L779" s="99"/>
      <c r="N779" s="99"/>
      <c r="O779" s="99"/>
      <c r="P779" s="34"/>
    </row>
    <row r="780">
      <c r="A780" s="28"/>
      <c r="B780" s="103"/>
      <c r="C780" s="121" t="str">
        <f t="array" ref="C780">ifs(and(isblank($A780),isblank($B780)),"", not(iserror(vlookup($A780&amp;$B780,'3) Release_Label'!$D:$D&amp;'3) Release_Label'!$E:$E,1,0))),vlookup($A780&amp;$B780,{'3) Release_Label'!$D:$D&amp;'3) Release_Label'!$E:$E,'3) Release_Label'!$F:$F},2,0), or(and(not(isblank($B780)),$B780=$B779,$A780&lt;&gt;$A779),and(not(isblank($A780)),$A780=$A779,$B780&lt;&gt;$B779)),"ID LISTS UNALIGNED",and($A780&lt;&gt;"",countif('3) Release_Label'!$D:$D,$A780)=0),"NO UPC MATCH in Release_Label",and($B780&lt;&gt;"",countif('3) Release_Label'!$E:$E,$B780)=0),"NO CATALOG ID MATCH in Release_Label",iserror(vlookup($A780&amp;$B780,'3) Release_Label'!$D:$D&amp;'3) Release_Label'!$E:$E,1,0)),"NO UPC-CATALOG ID pair MATCH in Release_Label" )</f>
        <v/>
      </c>
      <c r="D780" s="121" t="str">
        <f t="array" ref="D780">ifs(and(isblank($A780),isblank($B780)),"", not(iserror(vlookup($A780&amp;$B780,'3) Release_Label'!$D:$D&amp;'3) Release_Label'!$E:$E,1,0))),vlookup($A780&amp;$B780,{'3) Release_Label'!$D:$D&amp;'3) Release_Label'!$E:$E,'3) Release_Label'!$H:$H},2,0), or(and(not(isblank($B780)),$B780=$B779,$A780&lt;&gt;$A779),and(not(isblank($A780)),$A780=$A779,$B780&lt;&gt;$B779)),"ID LISTS UNALIGNED",and($A780&lt;&gt;"",countif('3) Release_Label'!$D:$D,$A780)=0),"NO UPC MATCH in Release_Label",and($B780&lt;&gt;"",countif('3) Release_Label'!$E:$E,$B780)=0),"NO CATALOG ID MATCH in Release_Label",iserror(vlookup($A780&amp;$B780,'3) Release_Label'!$D:$D&amp;'3) Release_Label'!$E:$E,1,0)),"NO UPC-CATALOG ID pair MATCH in Release_Label" )</f>
        <v/>
      </c>
      <c r="E780" s="141" t="str">
        <f t="shared" si="2"/>
        <v/>
      </c>
      <c r="G780" s="103"/>
      <c r="H780" s="152"/>
      <c r="J780" s="99"/>
      <c r="K780" s="104"/>
      <c r="L780" s="99"/>
      <c r="N780" s="99"/>
      <c r="O780" s="99"/>
      <c r="P780" s="34"/>
    </row>
    <row r="781">
      <c r="A781" s="28"/>
      <c r="B781" s="103"/>
      <c r="C781" s="121" t="str">
        <f t="array" ref="C781">ifs(and(isblank($A781),isblank($B781)),"", not(iserror(vlookup($A781&amp;$B781,'3) Release_Label'!$D:$D&amp;'3) Release_Label'!$E:$E,1,0))),vlookup($A781&amp;$B781,{'3) Release_Label'!$D:$D&amp;'3) Release_Label'!$E:$E,'3) Release_Label'!$F:$F},2,0), or(and(not(isblank($B781)),$B781=$B780,$A781&lt;&gt;$A780),and(not(isblank($A781)),$A781=$A780,$B781&lt;&gt;$B780)),"ID LISTS UNALIGNED",and($A781&lt;&gt;"",countif('3) Release_Label'!$D:$D,$A781)=0),"NO UPC MATCH in Release_Label",and($B781&lt;&gt;"",countif('3) Release_Label'!$E:$E,$B781)=0),"NO CATALOG ID MATCH in Release_Label",iserror(vlookup($A781&amp;$B781,'3) Release_Label'!$D:$D&amp;'3) Release_Label'!$E:$E,1,0)),"NO UPC-CATALOG ID pair MATCH in Release_Label" )</f>
        <v/>
      </c>
      <c r="D781" s="121" t="str">
        <f t="array" ref="D781">ifs(and(isblank($A781),isblank($B781)),"", not(iserror(vlookup($A781&amp;$B781,'3) Release_Label'!$D:$D&amp;'3) Release_Label'!$E:$E,1,0))),vlookup($A781&amp;$B781,{'3) Release_Label'!$D:$D&amp;'3) Release_Label'!$E:$E,'3) Release_Label'!$H:$H},2,0), or(and(not(isblank($B781)),$B781=$B780,$A781&lt;&gt;$A780),and(not(isblank($A781)),$A781=$A780,$B781&lt;&gt;$B780)),"ID LISTS UNALIGNED",and($A781&lt;&gt;"",countif('3) Release_Label'!$D:$D,$A781)=0),"NO UPC MATCH in Release_Label",and($B781&lt;&gt;"",countif('3) Release_Label'!$E:$E,$B781)=0),"NO CATALOG ID MATCH in Release_Label",iserror(vlookup($A781&amp;$B781,'3) Release_Label'!$D:$D&amp;'3) Release_Label'!$E:$E,1,0)),"NO UPC-CATALOG ID pair MATCH in Release_Label" )</f>
        <v/>
      </c>
      <c r="E781" s="141" t="str">
        <f t="shared" si="2"/>
        <v/>
      </c>
      <c r="G781" s="103"/>
      <c r="H781" s="152"/>
      <c r="J781" s="99"/>
      <c r="K781" s="104"/>
      <c r="L781" s="99"/>
      <c r="N781" s="99"/>
      <c r="O781" s="99"/>
      <c r="P781" s="34"/>
    </row>
    <row r="782">
      <c r="A782" s="28"/>
      <c r="B782" s="103"/>
      <c r="C782" s="121" t="str">
        <f t="array" ref="C782">ifs(and(isblank($A782),isblank($B782)),"", not(iserror(vlookup($A782&amp;$B782,'3) Release_Label'!$D:$D&amp;'3) Release_Label'!$E:$E,1,0))),vlookup($A782&amp;$B782,{'3) Release_Label'!$D:$D&amp;'3) Release_Label'!$E:$E,'3) Release_Label'!$F:$F},2,0), or(and(not(isblank($B782)),$B782=$B781,$A782&lt;&gt;$A781),and(not(isblank($A782)),$A782=$A781,$B782&lt;&gt;$B781)),"ID LISTS UNALIGNED",and($A782&lt;&gt;"",countif('3) Release_Label'!$D:$D,$A782)=0),"NO UPC MATCH in Release_Label",and($B782&lt;&gt;"",countif('3) Release_Label'!$E:$E,$B782)=0),"NO CATALOG ID MATCH in Release_Label",iserror(vlookup($A782&amp;$B782,'3) Release_Label'!$D:$D&amp;'3) Release_Label'!$E:$E,1,0)),"NO UPC-CATALOG ID pair MATCH in Release_Label" )</f>
        <v/>
      </c>
      <c r="D782" s="121" t="str">
        <f t="array" ref="D782">ifs(and(isblank($A782),isblank($B782)),"", not(iserror(vlookup($A782&amp;$B782,'3) Release_Label'!$D:$D&amp;'3) Release_Label'!$E:$E,1,0))),vlookup($A782&amp;$B782,{'3) Release_Label'!$D:$D&amp;'3) Release_Label'!$E:$E,'3) Release_Label'!$H:$H},2,0), or(and(not(isblank($B782)),$B782=$B781,$A782&lt;&gt;$A781),and(not(isblank($A782)),$A782=$A781,$B782&lt;&gt;$B781)),"ID LISTS UNALIGNED",and($A782&lt;&gt;"",countif('3) Release_Label'!$D:$D,$A782)=0),"NO UPC MATCH in Release_Label",and($B782&lt;&gt;"",countif('3) Release_Label'!$E:$E,$B782)=0),"NO CATALOG ID MATCH in Release_Label",iserror(vlookup($A782&amp;$B782,'3) Release_Label'!$D:$D&amp;'3) Release_Label'!$E:$E,1,0)),"NO UPC-CATALOG ID pair MATCH in Release_Label" )</f>
        <v/>
      </c>
      <c r="E782" s="141" t="str">
        <f t="shared" si="2"/>
        <v/>
      </c>
      <c r="G782" s="103"/>
      <c r="H782" s="152"/>
      <c r="J782" s="99"/>
      <c r="K782" s="104"/>
      <c r="L782" s="99"/>
      <c r="N782" s="99"/>
      <c r="O782" s="99"/>
      <c r="P782" s="34"/>
    </row>
    <row r="783">
      <c r="A783" s="28"/>
      <c r="B783" s="103"/>
      <c r="C783" s="121" t="str">
        <f t="array" ref="C783">ifs(and(isblank($A783),isblank($B783)),"", not(iserror(vlookup($A783&amp;$B783,'3) Release_Label'!$D:$D&amp;'3) Release_Label'!$E:$E,1,0))),vlookup($A783&amp;$B783,{'3) Release_Label'!$D:$D&amp;'3) Release_Label'!$E:$E,'3) Release_Label'!$F:$F},2,0), or(and(not(isblank($B783)),$B783=$B782,$A783&lt;&gt;$A782),and(not(isblank($A783)),$A783=$A782,$B783&lt;&gt;$B782)),"ID LISTS UNALIGNED",and($A783&lt;&gt;"",countif('3) Release_Label'!$D:$D,$A783)=0),"NO UPC MATCH in Release_Label",and($B783&lt;&gt;"",countif('3) Release_Label'!$E:$E,$B783)=0),"NO CATALOG ID MATCH in Release_Label",iserror(vlookup($A783&amp;$B783,'3) Release_Label'!$D:$D&amp;'3) Release_Label'!$E:$E,1,0)),"NO UPC-CATALOG ID pair MATCH in Release_Label" )</f>
        <v/>
      </c>
      <c r="D783" s="121" t="str">
        <f t="array" ref="D783">ifs(and(isblank($A783),isblank($B783)),"", not(iserror(vlookup($A783&amp;$B783,'3) Release_Label'!$D:$D&amp;'3) Release_Label'!$E:$E,1,0))),vlookup($A783&amp;$B783,{'3) Release_Label'!$D:$D&amp;'3) Release_Label'!$E:$E,'3) Release_Label'!$H:$H},2,0), or(and(not(isblank($B783)),$B783=$B782,$A783&lt;&gt;$A782),and(not(isblank($A783)),$A783=$A782,$B783&lt;&gt;$B782)),"ID LISTS UNALIGNED",and($A783&lt;&gt;"",countif('3) Release_Label'!$D:$D,$A783)=0),"NO UPC MATCH in Release_Label",and($B783&lt;&gt;"",countif('3) Release_Label'!$E:$E,$B783)=0),"NO CATALOG ID MATCH in Release_Label",iserror(vlookup($A783&amp;$B783,'3) Release_Label'!$D:$D&amp;'3) Release_Label'!$E:$E,1,0)),"NO UPC-CATALOG ID pair MATCH in Release_Label" )</f>
        <v/>
      </c>
      <c r="E783" s="141" t="str">
        <f t="shared" si="2"/>
        <v/>
      </c>
      <c r="G783" s="103"/>
      <c r="H783" s="152"/>
      <c r="J783" s="99"/>
      <c r="K783" s="104"/>
      <c r="L783" s="99"/>
      <c r="N783" s="99"/>
      <c r="O783" s="99"/>
      <c r="P783" s="34"/>
    </row>
    <row r="784">
      <c r="A784" s="28"/>
      <c r="B784" s="103"/>
      <c r="C784" s="121" t="str">
        <f t="array" ref="C784">ifs(and(isblank($A784),isblank($B784)),"", not(iserror(vlookup($A784&amp;$B784,'3) Release_Label'!$D:$D&amp;'3) Release_Label'!$E:$E,1,0))),vlookup($A784&amp;$B784,{'3) Release_Label'!$D:$D&amp;'3) Release_Label'!$E:$E,'3) Release_Label'!$F:$F},2,0), or(and(not(isblank($B784)),$B784=$B783,$A784&lt;&gt;$A783),and(not(isblank($A784)),$A784=$A783,$B784&lt;&gt;$B783)),"ID LISTS UNALIGNED",and($A784&lt;&gt;"",countif('3) Release_Label'!$D:$D,$A784)=0),"NO UPC MATCH in Release_Label",and($B784&lt;&gt;"",countif('3) Release_Label'!$E:$E,$B784)=0),"NO CATALOG ID MATCH in Release_Label",iserror(vlookup($A784&amp;$B784,'3) Release_Label'!$D:$D&amp;'3) Release_Label'!$E:$E,1,0)),"NO UPC-CATALOG ID pair MATCH in Release_Label" )</f>
        <v/>
      </c>
      <c r="D784" s="121" t="str">
        <f t="array" ref="D784">ifs(and(isblank($A784),isblank($B784)),"", not(iserror(vlookup($A784&amp;$B784,'3) Release_Label'!$D:$D&amp;'3) Release_Label'!$E:$E,1,0))),vlookup($A784&amp;$B784,{'3) Release_Label'!$D:$D&amp;'3) Release_Label'!$E:$E,'3) Release_Label'!$H:$H},2,0), or(and(not(isblank($B784)),$B784=$B783,$A784&lt;&gt;$A783),and(not(isblank($A784)),$A784=$A783,$B784&lt;&gt;$B783)),"ID LISTS UNALIGNED",and($A784&lt;&gt;"",countif('3) Release_Label'!$D:$D,$A784)=0),"NO UPC MATCH in Release_Label",and($B784&lt;&gt;"",countif('3) Release_Label'!$E:$E,$B784)=0),"NO CATALOG ID MATCH in Release_Label",iserror(vlookup($A784&amp;$B784,'3) Release_Label'!$D:$D&amp;'3) Release_Label'!$E:$E,1,0)),"NO UPC-CATALOG ID pair MATCH in Release_Label" )</f>
        <v/>
      </c>
      <c r="E784" s="141" t="str">
        <f t="shared" si="2"/>
        <v/>
      </c>
      <c r="G784" s="103"/>
      <c r="H784" s="152"/>
      <c r="J784" s="99"/>
      <c r="K784" s="104"/>
      <c r="L784" s="99"/>
      <c r="N784" s="99"/>
      <c r="O784" s="99"/>
      <c r="P784" s="34"/>
    </row>
    <row r="785">
      <c r="A785" s="28"/>
      <c r="B785" s="103"/>
      <c r="C785" s="121" t="str">
        <f t="array" ref="C785">ifs(and(isblank($A785),isblank($B785)),"", not(iserror(vlookup($A785&amp;$B785,'3) Release_Label'!$D:$D&amp;'3) Release_Label'!$E:$E,1,0))),vlookup($A785&amp;$B785,{'3) Release_Label'!$D:$D&amp;'3) Release_Label'!$E:$E,'3) Release_Label'!$F:$F},2,0), or(and(not(isblank($B785)),$B785=$B784,$A785&lt;&gt;$A784),and(not(isblank($A785)),$A785=$A784,$B785&lt;&gt;$B784)),"ID LISTS UNALIGNED",and($A785&lt;&gt;"",countif('3) Release_Label'!$D:$D,$A785)=0),"NO UPC MATCH in Release_Label",and($B785&lt;&gt;"",countif('3) Release_Label'!$E:$E,$B785)=0),"NO CATALOG ID MATCH in Release_Label",iserror(vlookup($A785&amp;$B785,'3) Release_Label'!$D:$D&amp;'3) Release_Label'!$E:$E,1,0)),"NO UPC-CATALOG ID pair MATCH in Release_Label" )</f>
        <v/>
      </c>
      <c r="D785" s="121" t="str">
        <f t="array" ref="D785">ifs(and(isblank($A785),isblank($B785)),"", not(iserror(vlookup($A785&amp;$B785,'3) Release_Label'!$D:$D&amp;'3) Release_Label'!$E:$E,1,0))),vlookup($A785&amp;$B785,{'3) Release_Label'!$D:$D&amp;'3) Release_Label'!$E:$E,'3) Release_Label'!$H:$H},2,0), or(and(not(isblank($B785)),$B785=$B784,$A785&lt;&gt;$A784),and(not(isblank($A785)),$A785=$A784,$B785&lt;&gt;$B784)),"ID LISTS UNALIGNED",and($A785&lt;&gt;"",countif('3) Release_Label'!$D:$D,$A785)=0),"NO UPC MATCH in Release_Label",and($B785&lt;&gt;"",countif('3) Release_Label'!$E:$E,$B785)=0),"NO CATALOG ID MATCH in Release_Label",iserror(vlookup($A785&amp;$B785,'3) Release_Label'!$D:$D&amp;'3) Release_Label'!$E:$E,1,0)),"NO UPC-CATALOG ID pair MATCH in Release_Label" )</f>
        <v/>
      </c>
      <c r="E785" s="141" t="str">
        <f t="shared" si="2"/>
        <v/>
      </c>
      <c r="G785" s="103"/>
      <c r="H785" s="152"/>
      <c r="J785" s="99"/>
      <c r="K785" s="104"/>
      <c r="L785" s="99"/>
      <c r="N785" s="99"/>
      <c r="O785" s="99"/>
      <c r="P785" s="34"/>
    </row>
    <row r="786">
      <c r="A786" s="28"/>
      <c r="B786" s="103"/>
      <c r="C786" s="121" t="str">
        <f t="array" ref="C786">ifs(and(isblank($A786),isblank($B786)),"", not(iserror(vlookup($A786&amp;$B786,'3) Release_Label'!$D:$D&amp;'3) Release_Label'!$E:$E,1,0))),vlookup($A786&amp;$B786,{'3) Release_Label'!$D:$D&amp;'3) Release_Label'!$E:$E,'3) Release_Label'!$F:$F},2,0), or(and(not(isblank($B786)),$B786=$B785,$A786&lt;&gt;$A785),and(not(isblank($A786)),$A786=$A785,$B786&lt;&gt;$B785)),"ID LISTS UNALIGNED",and($A786&lt;&gt;"",countif('3) Release_Label'!$D:$D,$A786)=0),"NO UPC MATCH in Release_Label",and($B786&lt;&gt;"",countif('3) Release_Label'!$E:$E,$B786)=0),"NO CATALOG ID MATCH in Release_Label",iserror(vlookup($A786&amp;$B786,'3) Release_Label'!$D:$D&amp;'3) Release_Label'!$E:$E,1,0)),"NO UPC-CATALOG ID pair MATCH in Release_Label" )</f>
        <v/>
      </c>
      <c r="D786" s="121" t="str">
        <f t="array" ref="D786">ifs(and(isblank($A786),isblank($B786)),"", not(iserror(vlookup($A786&amp;$B786,'3) Release_Label'!$D:$D&amp;'3) Release_Label'!$E:$E,1,0))),vlookup($A786&amp;$B786,{'3) Release_Label'!$D:$D&amp;'3) Release_Label'!$E:$E,'3) Release_Label'!$H:$H},2,0), or(and(not(isblank($B786)),$B786=$B785,$A786&lt;&gt;$A785),and(not(isblank($A786)),$A786=$A785,$B786&lt;&gt;$B785)),"ID LISTS UNALIGNED",and($A786&lt;&gt;"",countif('3) Release_Label'!$D:$D,$A786)=0),"NO UPC MATCH in Release_Label",and($B786&lt;&gt;"",countif('3) Release_Label'!$E:$E,$B786)=0),"NO CATALOG ID MATCH in Release_Label",iserror(vlookup($A786&amp;$B786,'3) Release_Label'!$D:$D&amp;'3) Release_Label'!$E:$E,1,0)),"NO UPC-CATALOG ID pair MATCH in Release_Label" )</f>
        <v/>
      </c>
      <c r="E786" s="141" t="str">
        <f t="shared" si="2"/>
        <v/>
      </c>
      <c r="G786" s="103"/>
      <c r="H786" s="152"/>
      <c r="J786" s="99"/>
      <c r="K786" s="104"/>
      <c r="L786" s="99"/>
      <c r="N786" s="99"/>
      <c r="O786" s="99"/>
      <c r="P786" s="34"/>
    </row>
    <row r="787">
      <c r="A787" s="28"/>
      <c r="B787" s="103"/>
      <c r="C787" s="121" t="str">
        <f t="array" ref="C787">ifs(and(isblank($A787),isblank($B787)),"", not(iserror(vlookup($A787&amp;$B787,'3) Release_Label'!$D:$D&amp;'3) Release_Label'!$E:$E,1,0))),vlookup($A787&amp;$B787,{'3) Release_Label'!$D:$D&amp;'3) Release_Label'!$E:$E,'3) Release_Label'!$F:$F},2,0), or(and(not(isblank($B787)),$B787=$B786,$A787&lt;&gt;$A786),and(not(isblank($A787)),$A787=$A786,$B787&lt;&gt;$B786)),"ID LISTS UNALIGNED",and($A787&lt;&gt;"",countif('3) Release_Label'!$D:$D,$A787)=0),"NO UPC MATCH in Release_Label",and($B787&lt;&gt;"",countif('3) Release_Label'!$E:$E,$B787)=0),"NO CATALOG ID MATCH in Release_Label",iserror(vlookup($A787&amp;$B787,'3) Release_Label'!$D:$D&amp;'3) Release_Label'!$E:$E,1,0)),"NO UPC-CATALOG ID pair MATCH in Release_Label" )</f>
        <v/>
      </c>
      <c r="D787" s="121" t="str">
        <f t="array" ref="D787">ifs(and(isblank($A787),isblank($B787)),"", not(iserror(vlookup($A787&amp;$B787,'3) Release_Label'!$D:$D&amp;'3) Release_Label'!$E:$E,1,0))),vlookup($A787&amp;$B787,{'3) Release_Label'!$D:$D&amp;'3) Release_Label'!$E:$E,'3) Release_Label'!$H:$H},2,0), or(and(not(isblank($B787)),$B787=$B786,$A787&lt;&gt;$A786),and(not(isblank($A787)),$A787=$A786,$B787&lt;&gt;$B786)),"ID LISTS UNALIGNED",and($A787&lt;&gt;"",countif('3) Release_Label'!$D:$D,$A787)=0),"NO UPC MATCH in Release_Label",and($B787&lt;&gt;"",countif('3) Release_Label'!$E:$E,$B787)=0),"NO CATALOG ID MATCH in Release_Label",iserror(vlookup($A787&amp;$B787,'3) Release_Label'!$D:$D&amp;'3) Release_Label'!$E:$E,1,0)),"NO UPC-CATALOG ID pair MATCH in Release_Label" )</f>
        <v/>
      </c>
      <c r="E787" s="141" t="str">
        <f t="shared" si="2"/>
        <v/>
      </c>
      <c r="G787" s="103"/>
      <c r="H787" s="152"/>
      <c r="J787" s="99"/>
      <c r="K787" s="104"/>
      <c r="L787" s="99"/>
      <c r="N787" s="99"/>
      <c r="O787" s="99"/>
      <c r="P787" s="34"/>
    </row>
    <row r="788">
      <c r="A788" s="28"/>
      <c r="B788" s="103"/>
      <c r="C788" s="121" t="str">
        <f t="array" ref="C788">ifs(and(isblank($A788),isblank($B788)),"", not(iserror(vlookup($A788&amp;$B788,'3) Release_Label'!$D:$D&amp;'3) Release_Label'!$E:$E,1,0))),vlookup($A788&amp;$B788,{'3) Release_Label'!$D:$D&amp;'3) Release_Label'!$E:$E,'3) Release_Label'!$F:$F},2,0), or(and(not(isblank($B788)),$B788=$B787,$A788&lt;&gt;$A787),and(not(isblank($A788)),$A788=$A787,$B788&lt;&gt;$B787)),"ID LISTS UNALIGNED",and($A788&lt;&gt;"",countif('3) Release_Label'!$D:$D,$A788)=0),"NO UPC MATCH in Release_Label",and($B788&lt;&gt;"",countif('3) Release_Label'!$E:$E,$B788)=0),"NO CATALOG ID MATCH in Release_Label",iserror(vlookup($A788&amp;$B788,'3) Release_Label'!$D:$D&amp;'3) Release_Label'!$E:$E,1,0)),"NO UPC-CATALOG ID pair MATCH in Release_Label" )</f>
        <v/>
      </c>
      <c r="D788" s="121" t="str">
        <f t="array" ref="D788">ifs(and(isblank($A788),isblank($B788)),"", not(iserror(vlookup($A788&amp;$B788,'3) Release_Label'!$D:$D&amp;'3) Release_Label'!$E:$E,1,0))),vlookup($A788&amp;$B788,{'3) Release_Label'!$D:$D&amp;'3) Release_Label'!$E:$E,'3) Release_Label'!$H:$H},2,0), or(and(not(isblank($B788)),$B788=$B787,$A788&lt;&gt;$A787),and(not(isblank($A788)),$A788=$A787,$B788&lt;&gt;$B787)),"ID LISTS UNALIGNED",and($A788&lt;&gt;"",countif('3) Release_Label'!$D:$D,$A788)=0),"NO UPC MATCH in Release_Label",and($B788&lt;&gt;"",countif('3) Release_Label'!$E:$E,$B788)=0),"NO CATALOG ID MATCH in Release_Label",iserror(vlookup($A788&amp;$B788,'3) Release_Label'!$D:$D&amp;'3) Release_Label'!$E:$E,1,0)),"NO UPC-CATALOG ID pair MATCH in Release_Label" )</f>
        <v/>
      </c>
      <c r="E788" s="141" t="str">
        <f t="shared" si="2"/>
        <v/>
      </c>
      <c r="G788" s="103"/>
      <c r="H788" s="152"/>
      <c r="J788" s="99"/>
      <c r="K788" s="104"/>
      <c r="L788" s="99"/>
      <c r="N788" s="99"/>
      <c r="O788" s="99"/>
      <c r="P788" s="34"/>
    </row>
    <row r="789">
      <c r="A789" s="28"/>
      <c r="B789" s="103"/>
      <c r="C789" s="121" t="str">
        <f t="array" ref="C789">ifs(and(isblank($A789),isblank($B789)),"", not(iserror(vlookup($A789&amp;$B789,'3) Release_Label'!$D:$D&amp;'3) Release_Label'!$E:$E,1,0))),vlookup($A789&amp;$B789,{'3) Release_Label'!$D:$D&amp;'3) Release_Label'!$E:$E,'3) Release_Label'!$F:$F},2,0), or(and(not(isblank($B789)),$B789=$B788,$A789&lt;&gt;$A788),and(not(isblank($A789)),$A789=$A788,$B789&lt;&gt;$B788)),"ID LISTS UNALIGNED",and($A789&lt;&gt;"",countif('3) Release_Label'!$D:$D,$A789)=0),"NO UPC MATCH in Release_Label",and($B789&lt;&gt;"",countif('3) Release_Label'!$E:$E,$B789)=0),"NO CATALOG ID MATCH in Release_Label",iserror(vlookup($A789&amp;$B789,'3) Release_Label'!$D:$D&amp;'3) Release_Label'!$E:$E,1,0)),"NO UPC-CATALOG ID pair MATCH in Release_Label" )</f>
        <v/>
      </c>
      <c r="D789" s="121" t="str">
        <f t="array" ref="D789">ifs(and(isblank($A789),isblank($B789)),"", not(iserror(vlookup($A789&amp;$B789,'3) Release_Label'!$D:$D&amp;'3) Release_Label'!$E:$E,1,0))),vlookup($A789&amp;$B789,{'3) Release_Label'!$D:$D&amp;'3) Release_Label'!$E:$E,'3) Release_Label'!$H:$H},2,0), or(and(not(isblank($B789)),$B789=$B788,$A789&lt;&gt;$A788),and(not(isblank($A789)),$A789=$A788,$B789&lt;&gt;$B788)),"ID LISTS UNALIGNED",and($A789&lt;&gt;"",countif('3) Release_Label'!$D:$D,$A789)=0),"NO UPC MATCH in Release_Label",and($B789&lt;&gt;"",countif('3) Release_Label'!$E:$E,$B789)=0),"NO CATALOG ID MATCH in Release_Label",iserror(vlookup($A789&amp;$B789,'3) Release_Label'!$D:$D&amp;'3) Release_Label'!$E:$E,1,0)),"NO UPC-CATALOG ID pair MATCH in Release_Label" )</f>
        <v/>
      </c>
      <c r="E789" s="141" t="str">
        <f t="shared" si="2"/>
        <v/>
      </c>
      <c r="G789" s="103"/>
      <c r="H789" s="152"/>
      <c r="J789" s="99"/>
      <c r="K789" s="104"/>
      <c r="L789" s="99"/>
      <c r="N789" s="99"/>
      <c r="O789" s="99"/>
      <c r="P789" s="34"/>
    </row>
    <row r="790">
      <c r="A790" s="28"/>
      <c r="B790" s="103"/>
      <c r="C790" s="121" t="str">
        <f t="array" ref="C790">ifs(and(isblank($A790),isblank($B790)),"", not(iserror(vlookup($A790&amp;$B790,'3) Release_Label'!$D:$D&amp;'3) Release_Label'!$E:$E,1,0))),vlookup($A790&amp;$B790,{'3) Release_Label'!$D:$D&amp;'3) Release_Label'!$E:$E,'3) Release_Label'!$F:$F},2,0), or(and(not(isblank($B790)),$B790=$B789,$A790&lt;&gt;$A789),and(not(isblank($A790)),$A790=$A789,$B790&lt;&gt;$B789)),"ID LISTS UNALIGNED",and($A790&lt;&gt;"",countif('3) Release_Label'!$D:$D,$A790)=0),"NO UPC MATCH in Release_Label",and($B790&lt;&gt;"",countif('3) Release_Label'!$E:$E,$B790)=0),"NO CATALOG ID MATCH in Release_Label",iserror(vlookup($A790&amp;$B790,'3) Release_Label'!$D:$D&amp;'3) Release_Label'!$E:$E,1,0)),"NO UPC-CATALOG ID pair MATCH in Release_Label" )</f>
        <v/>
      </c>
      <c r="D790" s="121" t="str">
        <f t="array" ref="D790">ifs(and(isblank($A790),isblank($B790)),"", not(iserror(vlookup($A790&amp;$B790,'3) Release_Label'!$D:$D&amp;'3) Release_Label'!$E:$E,1,0))),vlookup($A790&amp;$B790,{'3) Release_Label'!$D:$D&amp;'3) Release_Label'!$E:$E,'3) Release_Label'!$H:$H},2,0), or(and(not(isblank($B790)),$B790=$B789,$A790&lt;&gt;$A789),and(not(isblank($A790)),$A790=$A789,$B790&lt;&gt;$B789)),"ID LISTS UNALIGNED",and($A790&lt;&gt;"",countif('3) Release_Label'!$D:$D,$A790)=0),"NO UPC MATCH in Release_Label",and($B790&lt;&gt;"",countif('3) Release_Label'!$E:$E,$B790)=0),"NO CATALOG ID MATCH in Release_Label",iserror(vlookup($A790&amp;$B790,'3) Release_Label'!$D:$D&amp;'3) Release_Label'!$E:$E,1,0)),"NO UPC-CATALOG ID pair MATCH in Release_Label" )</f>
        <v/>
      </c>
      <c r="E790" s="141" t="str">
        <f t="shared" si="2"/>
        <v/>
      </c>
      <c r="G790" s="103"/>
      <c r="H790" s="152"/>
      <c r="J790" s="99"/>
      <c r="K790" s="104"/>
      <c r="L790" s="99"/>
      <c r="N790" s="99"/>
      <c r="O790" s="99"/>
      <c r="P790" s="34"/>
    </row>
    <row r="791">
      <c r="A791" s="28"/>
      <c r="B791" s="103"/>
      <c r="C791" s="121" t="str">
        <f t="array" ref="C791">ifs(and(isblank($A791),isblank($B791)),"", not(iserror(vlookup($A791&amp;$B791,'3) Release_Label'!$D:$D&amp;'3) Release_Label'!$E:$E,1,0))),vlookup($A791&amp;$B791,{'3) Release_Label'!$D:$D&amp;'3) Release_Label'!$E:$E,'3) Release_Label'!$F:$F},2,0), or(and(not(isblank($B791)),$B791=$B790,$A791&lt;&gt;$A790),and(not(isblank($A791)),$A791=$A790,$B791&lt;&gt;$B790)),"ID LISTS UNALIGNED",and($A791&lt;&gt;"",countif('3) Release_Label'!$D:$D,$A791)=0),"NO UPC MATCH in Release_Label",and($B791&lt;&gt;"",countif('3) Release_Label'!$E:$E,$B791)=0),"NO CATALOG ID MATCH in Release_Label",iserror(vlookup($A791&amp;$B791,'3) Release_Label'!$D:$D&amp;'3) Release_Label'!$E:$E,1,0)),"NO UPC-CATALOG ID pair MATCH in Release_Label" )</f>
        <v/>
      </c>
      <c r="D791" s="121" t="str">
        <f t="array" ref="D791">ifs(and(isblank($A791),isblank($B791)),"", not(iserror(vlookup($A791&amp;$B791,'3) Release_Label'!$D:$D&amp;'3) Release_Label'!$E:$E,1,0))),vlookup($A791&amp;$B791,{'3) Release_Label'!$D:$D&amp;'3) Release_Label'!$E:$E,'3) Release_Label'!$H:$H},2,0), or(and(not(isblank($B791)),$B791=$B790,$A791&lt;&gt;$A790),and(not(isblank($A791)),$A791=$A790,$B791&lt;&gt;$B790)),"ID LISTS UNALIGNED",and($A791&lt;&gt;"",countif('3) Release_Label'!$D:$D,$A791)=0),"NO UPC MATCH in Release_Label",and($B791&lt;&gt;"",countif('3) Release_Label'!$E:$E,$B791)=0),"NO CATALOG ID MATCH in Release_Label",iserror(vlookup($A791&amp;$B791,'3) Release_Label'!$D:$D&amp;'3) Release_Label'!$E:$E,1,0)),"NO UPC-CATALOG ID pair MATCH in Release_Label" )</f>
        <v/>
      </c>
      <c r="E791" s="141" t="str">
        <f t="shared" si="2"/>
        <v/>
      </c>
      <c r="G791" s="103"/>
      <c r="H791" s="152"/>
      <c r="J791" s="99"/>
      <c r="K791" s="104"/>
      <c r="L791" s="99"/>
      <c r="N791" s="99"/>
      <c r="O791" s="99"/>
      <c r="P791" s="34"/>
    </row>
    <row r="792">
      <c r="A792" s="28"/>
      <c r="B792" s="103"/>
      <c r="C792" s="121" t="str">
        <f t="array" ref="C792">ifs(and(isblank($A792),isblank($B792)),"", not(iserror(vlookup($A792&amp;$B792,'3) Release_Label'!$D:$D&amp;'3) Release_Label'!$E:$E,1,0))),vlookup($A792&amp;$B792,{'3) Release_Label'!$D:$D&amp;'3) Release_Label'!$E:$E,'3) Release_Label'!$F:$F},2,0), or(and(not(isblank($B792)),$B792=$B791,$A792&lt;&gt;$A791),and(not(isblank($A792)),$A792=$A791,$B792&lt;&gt;$B791)),"ID LISTS UNALIGNED",and($A792&lt;&gt;"",countif('3) Release_Label'!$D:$D,$A792)=0),"NO UPC MATCH in Release_Label",and($B792&lt;&gt;"",countif('3) Release_Label'!$E:$E,$B792)=0),"NO CATALOG ID MATCH in Release_Label",iserror(vlookup($A792&amp;$B792,'3) Release_Label'!$D:$D&amp;'3) Release_Label'!$E:$E,1,0)),"NO UPC-CATALOG ID pair MATCH in Release_Label" )</f>
        <v/>
      </c>
      <c r="D792" s="121" t="str">
        <f t="array" ref="D792">ifs(and(isblank($A792),isblank($B792)),"", not(iserror(vlookup($A792&amp;$B792,'3) Release_Label'!$D:$D&amp;'3) Release_Label'!$E:$E,1,0))),vlookup($A792&amp;$B792,{'3) Release_Label'!$D:$D&amp;'3) Release_Label'!$E:$E,'3) Release_Label'!$H:$H},2,0), or(and(not(isblank($B792)),$B792=$B791,$A792&lt;&gt;$A791),and(not(isblank($A792)),$A792=$A791,$B792&lt;&gt;$B791)),"ID LISTS UNALIGNED",and($A792&lt;&gt;"",countif('3) Release_Label'!$D:$D,$A792)=0),"NO UPC MATCH in Release_Label",and($B792&lt;&gt;"",countif('3) Release_Label'!$E:$E,$B792)=0),"NO CATALOG ID MATCH in Release_Label",iserror(vlookup($A792&amp;$B792,'3) Release_Label'!$D:$D&amp;'3) Release_Label'!$E:$E,1,0)),"NO UPC-CATALOG ID pair MATCH in Release_Label" )</f>
        <v/>
      </c>
      <c r="E792" s="141" t="str">
        <f t="shared" si="2"/>
        <v/>
      </c>
      <c r="G792" s="103"/>
      <c r="H792" s="152"/>
      <c r="J792" s="99"/>
      <c r="K792" s="104"/>
      <c r="L792" s="99"/>
      <c r="N792" s="99"/>
      <c r="O792" s="99"/>
      <c r="P792" s="34"/>
    </row>
    <row r="793">
      <c r="A793" s="28"/>
      <c r="B793" s="103"/>
      <c r="C793" s="121" t="str">
        <f t="array" ref="C793">ifs(and(isblank($A793),isblank($B793)),"", not(iserror(vlookup($A793&amp;$B793,'3) Release_Label'!$D:$D&amp;'3) Release_Label'!$E:$E,1,0))),vlookup($A793&amp;$B793,{'3) Release_Label'!$D:$D&amp;'3) Release_Label'!$E:$E,'3) Release_Label'!$F:$F},2,0), or(and(not(isblank($B793)),$B793=$B792,$A793&lt;&gt;$A792),and(not(isblank($A793)),$A793=$A792,$B793&lt;&gt;$B792)),"ID LISTS UNALIGNED",and($A793&lt;&gt;"",countif('3) Release_Label'!$D:$D,$A793)=0),"NO UPC MATCH in Release_Label",and($B793&lt;&gt;"",countif('3) Release_Label'!$E:$E,$B793)=0),"NO CATALOG ID MATCH in Release_Label",iserror(vlookup($A793&amp;$B793,'3) Release_Label'!$D:$D&amp;'3) Release_Label'!$E:$E,1,0)),"NO UPC-CATALOG ID pair MATCH in Release_Label" )</f>
        <v/>
      </c>
      <c r="D793" s="121" t="str">
        <f t="array" ref="D793">ifs(and(isblank($A793),isblank($B793)),"", not(iserror(vlookup($A793&amp;$B793,'3) Release_Label'!$D:$D&amp;'3) Release_Label'!$E:$E,1,0))),vlookup($A793&amp;$B793,{'3) Release_Label'!$D:$D&amp;'3) Release_Label'!$E:$E,'3) Release_Label'!$H:$H},2,0), or(and(not(isblank($B793)),$B793=$B792,$A793&lt;&gt;$A792),and(not(isblank($A793)),$A793=$A792,$B793&lt;&gt;$B792)),"ID LISTS UNALIGNED",and($A793&lt;&gt;"",countif('3) Release_Label'!$D:$D,$A793)=0),"NO UPC MATCH in Release_Label",and($B793&lt;&gt;"",countif('3) Release_Label'!$E:$E,$B793)=0),"NO CATALOG ID MATCH in Release_Label",iserror(vlookup($A793&amp;$B793,'3) Release_Label'!$D:$D&amp;'3) Release_Label'!$E:$E,1,0)),"NO UPC-CATALOG ID pair MATCH in Release_Label" )</f>
        <v/>
      </c>
      <c r="E793" s="141" t="str">
        <f t="shared" si="2"/>
        <v/>
      </c>
      <c r="G793" s="103"/>
      <c r="H793" s="152"/>
      <c r="J793" s="99"/>
      <c r="K793" s="104"/>
      <c r="L793" s="99"/>
      <c r="N793" s="99"/>
      <c r="O793" s="99"/>
      <c r="P793" s="34"/>
    </row>
    <row r="794">
      <c r="A794" s="28"/>
      <c r="B794" s="103"/>
      <c r="C794" s="121" t="str">
        <f t="array" ref="C794">ifs(and(isblank($A794),isblank($B794)),"", not(iserror(vlookup($A794&amp;$B794,'3) Release_Label'!$D:$D&amp;'3) Release_Label'!$E:$E,1,0))),vlookup($A794&amp;$B794,{'3) Release_Label'!$D:$D&amp;'3) Release_Label'!$E:$E,'3) Release_Label'!$F:$F},2,0), or(and(not(isblank($B794)),$B794=$B793,$A794&lt;&gt;$A793),and(not(isblank($A794)),$A794=$A793,$B794&lt;&gt;$B793)),"ID LISTS UNALIGNED",and($A794&lt;&gt;"",countif('3) Release_Label'!$D:$D,$A794)=0),"NO UPC MATCH in Release_Label",and($B794&lt;&gt;"",countif('3) Release_Label'!$E:$E,$B794)=0),"NO CATALOG ID MATCH in Release_Label",iserror(vlookup($A794&amp;$B794,'3) Release_Label'!$D:$D&amp;'3) Release_Label'!$E:$E,1,0)),"NO UPC-CATALOG ID pair MATCH in Release_Label" )</f>
        <v/>
      </c>
      <c r="D794" s="121" t="str">
        <f t="array" ref="D794">ifs(and(isblank($A794),isblank($B794)),"", not(iserror(vlookup($A794&amp;$B794,'3) Release_Label'!$D:$D&amp;'3) Release_Label'!$E:$E,1,0))),vlookup($A794&amp;$B794,{'3) Release_Label'!$D:$D&amp;'3) Release_Label'!$E:$E,'3) Release_Label'!$H:$H},2,0), or(and(not(isblank($B794)),$B794=$B793,$A794&lt;&gt;$A793),and(not(isblank($A794)),$A794=$A793,$B794&lt;&gt;$B793)),"ID LISTS UNALIGNED",and($A794&lt;&gt;"",countif('3) Release_Label'!$D:$D,$A794)=0),"NO UPC MATCH in Release_Label",and($B794&lt;&gt;"",countif('3) Release_Label'!$E:$E,$B794)=0),"NO CATALOG ID MATCH in Release_Label",iserror(vlookup($A794&amp;$B794,'3) Release_Label'!$D:$D&amp;'3) Release_Label'!$E:$E,1,0)),"NO UPC-CATALOG ID pair MATCH in Release_Label" )</f>
        <v/>
      </c>
      <c r="E794" s="141" t="str">
        <f t="shared" si="2"/>
        <v/>
      </c>
      <c r="G794" s="103"/>
      <c r="H794" s="152"/>
      <c r="J794" s="99"/>
      <c r="K794" s="104"/>
      <c r="L794" s="99"/>
      <c r="N794" s="99"/>
      <c r="O794" s="99"/>
      <c r="P794" s="34"/>
    </row>
    <row r="795">
      <c r="A795" s="28"/>
      <c r="B795" s="103"/>
      <c r="C795" s="121" t="str">
        <f t="array" ref="C795">ifs(and(isblank($A795),isblank($B795)),"", not(iserror(vlookup($A795&amp;$B795,'3) Release_Label'!$D:$D&amp;'3) Release_Label'!$E:$E,1,0))),vlookup($A795&amp;$B795,{'3) Release_Label'!$D:$D&amp;'3) Release_Label'!$E:$E,'3) Release_Label'!$F:$F},2,0), or(and(not(isblank($B795)),$B795=$B794,$A795&lt;&gt;$A794),and(not(isblank($A795)),$A795=$A794,$B795&lt;&gt;$B794)),"ID LISTS UNALIGNED",and($A795&lt;&gt;"",countif('3) Release_Label'!$D:$D,$A795)=0),"NO UPC MATCH in Release_Label",and($B795&lt;&gt;"",countif('3) Release_Label'!$E:$E,$B795)=0),"NO CATALOG ID MATCH in Release_Label",iserror(vlookup($A795&amp;$B795,'3) Release_Label'!$D:$D&amp;'3) Release_Label'!$E:$E,1,0)),"NO UPC-CATALOG ID pair MATCH in Release_Label" )</f>
        <v/>
      </c>
      <c r="D795" s="121" t="str">
        <f t="array" ref="D795">ifs(and(isblank($A795),isblank($B795)),"", not(iserror(vlookup($A795&amp;$B795,'3) Release_Label'!$D:$D&amp;'3) Release_Label'!$E:$E,1,0))),vlookup($A795&amp;$B795,{'3) Release_Label'!$D:$D&amp;'3) Release_Label'!$E:$E,'3) Release_Label'!$H:$H},2,0), or(and(not(isblank($B795)),$B795=$B794,$A795&lt;&gt;$A794),and(not(isblank($A795)),$A795=$A794,$B795&lt;&gt;$B794)),"ID LISTS UNALIGNED",and($A795&lt;&gt;"",countif('3) Release_Label'!$D:$D,$A795)=0),"NO UPC MATCH in Release_Label",and($B795&lt;&gt;"",countif('3) Release_Label'!$E:$E,$B795)=0),"NO CATALOG ID MATCH in Release_Label",iserror(vlookup($A795&amp;$B795,'3) Release_Label'!$D:$D&amp;'3) Release_Label'!$E:$E,1,0)),"NO UPC-CATALOG ID pair MATCH in Release_Label" )</f>
        <v/>
      </c>
      <c r="E795" s="141" t="str">
        <f t="shared" si="2"/>
        <v/>
      </c>
      <c r="G795" s="103"/>
      <c r="H795" s="152"/>
      <c r="J795" s="99"/>
      <c r="K795" s="104"/>
      <c r="L795" s="99"/>
      <c r="N795" s="99"/>
      <c r="O795" s="99"/>
      <c r="P795" s="34"/>
    </row>
    <row r="796">
      <c r="A796" s="28"/>
      <c r="B796" s="103"/>
      <c r="C796" s="121" t="str">
        <f t="array" ref="C796">ifs(and(isblank($A796),isblank($B796)),"", not(iserror(vlookup($A796&amp;$B796,'3) Release_Label'!$D:$D&amp;'3) Release_Label'!$E:$E,1,0))),vlookup($A796&amp;$B796,{'3) Release_Label'!$D:$D&amp;'3) Release_Label'!$E:$E,'3) Release_Label'!$F:$F},2,0), or(and(not(isblank($B796)),$B796=$B795,$A796&lt;&gt;$A795),and(not(isblank($A796)),$A796=$A795,$B796&lt;&gt;$B795)),"ID LISTS UNALIGNED",and($A796&lt;&gt;"",countif('3) Release_Label'!$D:$D,$A796)=0),"NO UPC MATCH in Release_Label",and($B796&lt;&gt;"",countif('3) Release_Label'!$E:$E,$B796)=0),"NO CATALOG ID MATCH in Release_Label",iserror(vlookup($A796&amp;$B796,'3) Release_Label'!$D:$D&amp;'3) Release_Label'!$E:$E,1,0)),"NO UPC-CATALOG ID pair MATCH in Release_Label" )</f>
        <v/>
      </c>
      <c r="D796" s="121" t="str">
        <f t="array" ref="D796">ifs(and(isblank($A796),isblank($B796)),"", not(iserror(vlookup($A796&amp;$B796,'3) Release_Label'!$D:$D&amp;'3) Release_Label'!$E:$E,1,0))),vlookup($A796&amp;$B796,{'3) Release_Label'!$D:$D&amp;'3) Release_Label'!$E:$E,'3) Release_Label'!$H:$H},2,0), or(and(not(isblank($B796)),$B796=$B795,$A796&lt;&gt;$A795),and(not(isblank($A796)),$A796=$A795,$B796&lt;&gt;$B795)),"ID LISTS UNALIGNED",and($A796&lt;&gt;"",countif('3) Release_Label'!$D:$D,$A796)=0),"NO UPC MATCH in Release_Label",and($B796&lt;&gt;"",countif('3) Release_Label'!$E:$E,$B796)=0),"NO CATALOG ID MATCH in Release_Label",iserror(vlookup($A796&amp;$B796,'3) Release_Label'!$D:$D&amp;'3) Release_Label'!$E:$E,1,0)),"NO UPC-CATALOG ID pair MATCH in Release_Label" )</f>
        <v/>
      </c>
      <c r="E796" s="141" t="str">
        <f t="shared" si="2"/>
        <v/>
      </c>
      <c r="G796" s="103"/>
      <c r="H796" s="152"/>
      <c r="J796" s="99"/>
      <c r="K796" s="104"/>
      <c r="L796" s="99"/>
      <c r="N796" s="99"/>
      <c r="O796" s="99"/>
      <c r="P796" s="34"/>
    </row>
    <row r="797">
      <c r="A797" s="28"/>
      <c r="B797" s="103"/>
      <c r="C797" s="121" t="str">
        <f t="array" ref="C797">ifs(and(isblank($A797),isblank($B797)),"", not(iserror(vlookup($A797&amp;$B797,'3) Release_Label'!$D:$D&amp;'3) Release_Label'!$E:$E,1,0))),vlookup($A797&amp;$B797,{'3) Release_Label'!$D:$D&amp;'3) Release_Label'!$E:$E,'3) Release_Label'!$F:$F},2,0), or(and(not(isblank($B797)),$B797=$B796,$A797&lt;&gt;$A796),and(not(isblank($A797)),$A797=$A796,$B797&lt;&gt;$B796)),"ID LISTS UNALIGNED",and($A797&lt;&gt;"",countif('3) Release_Label'!$D:$D,$A797)=0),"NO UPC MATCH in Release_Label",and($B797&lt;&gt;"",countif('3) Release_Label'!$E:$E,$B797)=0),"NO CATALOG ID MATCH in Release_Label",iserror(vlookup($A797&amp;$B797,'3) Release_Label'!$D:$D&amp;'3) Release_Label'!$E:$E,1,0)),"NO UPC-CATALOG ID pair MATCH in Release_Label" )</f>
        <v/>
      </c>
      <c r="D797" s="121" t="str">
        <f t="array" ref="D797">ifs(and(isblank($A797),isblank($B797)),"", not(iserror(vlookup($A797&amp;$B797,'3) Release_Label'!$D:$D&amp;'3) Release_Label'!$E:$E,1,0))),vlookup($A797&amp;$B797,{'3) Release_Label'!$D:$D&amp;'3) Release_Label'!$E:$E,'3) Release_Label'!$H:$H},2,0), or(and(not(isblank($B797)),$B797=$B796,$A797&lt;&gt;$A796),and(not(isblank($A797)),$A797=$A796,$B797&lt;&gt;$B796)),"ID LISTS UNALIGNED",and($A797&lt;&gt;"",countif('3) Release_Label'!$D:$D,$A797)=0),"NO UPC MATCH in Release_Label",and($B797&lt;&gt;"",countif('3) Release_Label'!$E:$E,$B797)=0),"NO CATALOG ID MATCH in Release_Label",iserror(vlookup($A797&amp;$B797,'3) Release_Label'!$D:$D&amp;'3) Release_Label'!$E:$E,1,0)),"NO UPC-CATALOG ID pair MATCH in Release_Label" )</f>
        <v/>
      </c>
      <c r="E797" s="141" t="str">
        <f t="shared" si="2"/>
        <v/>
      </c>
      <c r="G797" s="103"/>
      <c r="H797" s="152"/>
      <c r="J797" s="99"/>
      <c r="K797" s="104"/>
      <c r="L797" s="99"/>
      <c r="N797" s="99"/>
      <c r="O797" s="99"/>
      <c r="P797" s="34"/>
    </row>
    <row r="798">
      <c r="A798" s="28"/>
      <c r="B798" s="103"/>
      <c r="C798" s="121" t="str">
        <f t="array" ref="C798">ifs(and(isblank($A798),isblank($B798)),"", not(iserror(vlookup($A798&amp;$B798,'3) Release_Label'!$D:$D&amp;'3) Release_Label'!$E:$E,1,0))),vlookup($A798&amp;$B798,{'3) Release_Label'!$D:$D&amp;'3) Release_Label'!$E:$E,'3) Release_Label'!$F:$F},2,0), or(and(not(isblank($B798)),$B798=$B797,$A798&lt;&gt;$A797),and(not(isblank($A798)),$A798=$A797,$B798&lt;&gt;$B797)),"ID LISTS UNALIGNED",and($A798&lt;&gt;"",countif('3) Release_Label'!$D:$D,$A798)=0),"NO UPC MATCH in Release_Label",and($B798&lt;&gt;"",countif('3) Release_Label'!$E:$E,$B798)=0),"NO CATALOG ID MATCH in Release_Label",iserror(vlookup($A798&amp;$B798,'3) Release_Label'!$D:$D&amp;'3) Release_Label'!$E:$E,1,0)),"NO UPC-CATALOG ID pair MATCH in Release_Label" )</f>
        <v/>
      </c>
      <c r="D798" s="121" t="str">
        <f t="array" ref="D798">ifs(and(isblank($A798),isblank($B798)),"", not(iserror(vlookup($A798&amp;$B798,'3) Release_Label'!$D:$D&amp;'3) Release_Label'!$E:$E,1,0))),vlookup($A798&amp;$B798,{'3) Release_Label'!$D:$D&amp;'3) Release_Label'!$E:$E,'3) Release_Label'!$H:$H},2,0), or(and(not(isblank($B798)),$B798=$B797,$A798&lt;&gt;$A797),and(not(isblank($A798)),$A798=$A797,$B798&lt;&gt;$B797)),"ID LISTS UNALIGNED",and($A798&lt;&gt;"",countif('3) Release_Label'!$D:$D,$A798)=0),"NO UPC MATCH in Release_Label",and($B798&lt;&gt;"",countif('3) Release_Label'!$E:$E,$B798)=0),"NO CATALOG ID MATCH in Release_Label",iserror(vlookup($A798&amp;$B798,'3) Release_Label'!$D:$D&amp;'3) Release_Label'!$E:$E,1,0)),"NO UPC-CATALOG ID pair MATCH in Release_Label" )</f>
        <v/>
      </c>
      <c r="E798" s="141" t="str">
        <f t="shared" si="2"/>
        <v/>
      </c>
      <c r="G798" s="103"/>
      <c r="H798" s="152"/>
      <c r="J798" s="99"/>
      <c r="K798" s="104"/>
      <c r="L798" s="99"/>
      <c r="N798" s="99"/>
      <c r="O798" s="99"/>
      <c r="P798" s="34"/>
    </row>
    <row r="799">
      <c r="A799" s="28"/>
      <c r="B799" s="103"/>
      <c r="C799" s="121" t="str">
        <f t="array" ref="C799">ifs(and(isblank($A799),isblank($B799)),"", not(iserror(vlookup($A799&amp;$B799,'3) Release_Label'!$D:$D&amp;'3) Release_Label'!$E:$E,1,0))),vlookup($A799&amp;$B799,{'3) Release_Label'!$D:$D&amp;'3) Release_Label'!$E:$E,'3) Release_Label'!$F:$F},2,0), or(and(not(isblank($B799)),$B799=$B798,$A799&lt;&gt;$A798),and(not(isblank($A799)),$A799=$A798,$B799&lt;&gt;$B798)),"ID LISTS UNALIGNED",and($A799&lt;&gt;"",countif('3) Release_Label'!$D:$D,$A799)=0),"NO UPC MATCH in Release_Label",and($B799&lt;&gt;"",countif('3) Release_Label'!$E:$E,$B799)=0),"NO CATALOG ID MATCH in Release_Label",iserror(vlookup($A799&amp;$B799,'3) Release_Label'!$D:$D&amp;'3) Release_Label'!$E:$E,1,0)),"NO UPC-CATALOG ID pair MATCH in Release_Label" )</f>
        <v/>
      </c>
      <c r="D799" s="121" t="str">
        <f t="array" ref="D799">ifs(and(isblank($A799),isblank($B799)),"", not(iserror(vlookup($A799&amp;$B799,'3) Release_Label'!$D:$D&amp;'3) Release_Label'!$E:$E,1,0))),vlookup($A799&amp;$B799,{'3) Release_Label'!$D:$D&amp;'3) Release_Label'!$E:$E,'3) Release_Label'!$H:$H},2,0), or(and(not(isblank($B799)),$B799=$B798,$A799&lt;&gt;$A798),and(not(isblank($A799)),$A799=$A798,$B799&lt;&gt;$B798)),"ID LISTS UNALIGNED",and($A799&lt;&gt;"",countif('3) Release_Label'!$D:$D,$A799)=0),"NO UPC MATCH in Release_Label",and($B799&lt;&gt;"",countif('3) Release_Label'!$E:$E,$B799)=0),"NO CATALOG ID MATCH in Release_Label",iserror(vlookup($A799&amp;$B799,'3) Release_Label'!$D:$D&amp;'3) Release_Label'!$E:$E,1,0)),"NO UPC-CATALOG ID pair MATCH in Release_Label" )</f>
        <v/>
      </c>
      <c r="E799" s="141" t="str">
        <f t="shared" si="2"/>
        <v/>
      </c>
      <c r="G799" s="103"/>
      <c r="H799" s="152"/>
      <c r="J799" s="99"/>
      <c r="K799" s="104"/>
      <c r="L799" s="99"/>
      <c r="N799" s="99"/>
      <c r="O799" s="99"/>
      <c r="P799" s="34"/>
    </row>
    <row r="800">
      <c r="A800" s="28"/>
      <c r="B800" s="103"/>
      <c r="C800" s="121" t="str">
        <f t="array" ref="C800">ifs(and(isblank($A800),isblank($B800)),"", not(iserror(vlookup($A800&amp;$B800,'3) Release_Label'!$D:$D&amp;'3) Release_Label'!$E:$E,1,0))),vlookup($A800&amp;$B800,{'3) Release_Label'!$D:$D&amp;'3) Release_Label'!$E:$E,'3) Release_Label'!$F:$F},2,0), or(and(not(isblank($B800)),$B800=$B799,$A800&lt;&gt;$A799),and(not(isblank($A800)),$A800=$A799,$B800&lt;&gt;$B799)),"ID LISTS UNALIGNED",and($A800&lt;&gt;"",countif('3) Release_Label'!$D:$D,$A800)=0),"NO UPC MATCH in Release_Label",and($B800&lt;&gt;"",countif('3) Release_Label'!$E:$E,$B800)=0),"NO CATALOG ID MATCH in Release_Label",iserror(vlookup($A800&amp;$B800,'3) Release_Label'!$D:$D&amp;'3) Release_Label'!$E:$E,1,0)),"NO UPC-CATALOG ID pair MATCH in Release_Label" )</f>
        <v/>
      </c>
      <c r="D800" s="121" t="str">
        <f t="array" ref="D800">ifs(and(isblank($A800),isblank($B800)),"", not(iserror(vlookup($A800&amp;$B800,'3) Release_Label'!$D:$D&amp;'3) Release_Label'!$E:$E,1,0))),vlookup($A800&amp;$B800,{'3) Release_Label'!$D:$D&amp;'3) Release_Label'!$E:$E,'3) Release_Label'!$H:$H},2,0), or(and(not(isblank($B800)),$B800=$B799,$A800&lt;&gt;$A799),and(not(isblank($A800)),$A800=$A799,$B800&lt;&gt;$B799)),"ID LISTS UNALIGNED",and($A800&lt;&gt;"",countif('3) Release_Label'!$D:$D,$A800)=0),"NO UPC MATCH in Release_Label",and($B800&lt;&gt;"",countif('3) Release_Label'!$E:$E,$B800)=0),"NO CATALOG ID MATCH in Release_Label",iserror(vlookup($A800&amp;$B800,'3) Release_Label'!$D:$D&amp;'3) Release_Label'!$E:$E,1,0)),"NO UPC-CATALOG ID pair MATCH in Release_Label" )</f>
        <v/>
      </c>
      <c r="E800" s="141" t="str">
        <f t="shared" si="2"/>
        <v/>
      </c>
      <c r="G800" s="103"/>
      <c r="H800" s="152"/>
      <c r="J800" s="99"/>
      <c r="K800" s="104"/>
      <c r="L800" s="99"/>
      <c r="N800" s="99"/>
      <c r="O800" s="99"/>
      <c r="P800" s="34"/>
    </row>
    <row r="801">
      <c r="A801" s="28"/>
      <c r="B801" s="103"/>
      <c r="C801" s="121" t="str">
        <f t="array" ref="C801">ifs(and(isblank($A801),isblank($B801)),"", not(iserror(vlookup($A801&amp;$B801,'3) Release_Label'!$D:$D&amp;'3) Release_Label'!$E:$E,1,0))),vlookup($A801&amp;$B801,{'3) Release_Label'!$D:$D&amp;'3) Release_Label'!$E:$E,'3) Release_Label'!$F:$F},2,0), or(and(not(isblank($B801)),$B801=$B800,$A801&lt;&gt;$A800),and(not(isblank($A801)),$A801=$A800,$B801&lt;&gt;$B800)),"ID LISTS UNALIGNED",and($A801&lt;&gt;"",countif('3) Release_Label'!$D:$D,$A801)=0),"NO UPC MATCH in Release_Label",and($B801&lt;&gt;"",countif('3) Release_Label'!$E:$E,$B801)=0),"NO CATALOG ID MATCH in Release_Label",iserror(vlookup($A801&amp;$B801,'3) Release_Label'!$D:$D&amp;'3) Release_Label'!$E:$E,1,0)),"NO UPC-CATALOG ID pair MATCH in Release_Label" )</f>
        <v/>
      </c>
      <c r="D801" s="121" t="str">
        <f t="array" ref="D801">ifs(and(isblank($A801),isblank($B801)),"", not(iserror(vlookup($A801&amp;$B801,'3) Release_Label'!$D:$D&amp;'3) Release_Label'!$E:$E,1,0))),vlookup($A801&amp;$B801,{'3) Release_Label'!$D:$D&amp;'3) Release_Label'!$E:$E,'3) Release_Label'!$H:$H},2,0), or(and(not(isblank($B801)),$B801=$B800,$A801&lt;&gt;$A800),and(not(isblank($A801)),$A801=$A800,$B801&lt;&gt;$B800)),"ID LISTS UNALIGNED",and($A801&lt;&gt;"",countif('3) Release_Label'!$D:$D,$A801)=0),"NO UPC MATCH in Release_Label",and($B801&lt;&gt;"",countif('3) Release_Label'!$E:$E,$B801)=0),"NO CATALOG ID MATCH in Release_Label",iserror(vlookup($A801&amp;$B801,'3) Release_Label'!$D:$D&amp;'3) Release_Label'!$E:$E,1,0)),"NO UPC-CATALOG ID pair MATCH in Release_Label" )</f>
        <v/>
      </c>
      <c r="E801" s="141" t="str">
        <f t="shared" si="2"/>
        <v/>
      </c>
      <c r="G801" s="103"/>
      <c r="H801" s="152"/>
      <c r="J801" s="99"/>
      <c r="K801" s="104"/>
      <c r="L801" s="99"/>
      <c r="N801" s="99"/>
      <c r="O801" s="99"/>
      <c r="P801" s="34"/>
    </row>
    <row r="802">
      <c r="A802" s="28"/>
      <c r="B802" s="103"/>
      <c r="C802" s="121" t="str">
        <f t="array" ref="C802">ifs(and(isblank($A802),isblank($B802)),"", not(iserror(vlookup($A802&amp;$B802,'3) Release_Label'!$D:$D&amp;'3) Release_Label'!$E:$E,1,0))),vlookup($A802&amp;$B802,{'3) Release_Label'!$D:$D&amp;'3) Release_Label'!$E:$E,'3) Release_Label'!$F:$F},2,0), or(and(not(isblank($B802)),$B802=$B801,$A802&lt;&gt;$A801),and(not(isblank($A802)),$A802=$A801,$B802&lt;&gt;$B801)),"ID LISTS UNALIGNED",and($A802&lt;&gt;"",countif('3) Release_Label'!$D:$D,$A802)=0),"NO UPC MATCH in Release_Label",and($B802&lt;&gt;"",countif('3) Release_Label'!$E:$E,$B802)=0),"NO CATALOG ID MATCH in Release_Label",iserror(vlookup($A802&amp;$B802,'3) Release_Label'!$D:$D&amp;'3) Release_Label'!$E:$E,1,0)),"NO UPC-CATALOG ID pair MATCH in Release_Label" )</f>
        <v/>
      </c>
      <c r="D802" s="121" t="str">
        <f t="array" ref="D802">ifs(and(isblank($A802),isblank($B802)),"", not(iserror(vlookup($A802&amp;$B802,'3) Release_Label'!$D:$D&amp;'3) Release_Label'!$E:$E,1,0))),vlookup($A802&amp;$B802,{'3) Release_Label'!$D:$D&amp;'3) Release_Label'!$E:$E,'3) Release_Label'!$H:$H},2,0), or(and(not(isblank($B802)),$B802=$B801,$A802&lt;&gt;$A801),and(not(isblank($A802)),$A802=$A801,$B802&lt;&gt;$B801)),"ID LISTS UNALIGNED",and($A802&lt;&gt;"",countif('3) Release_Label'!$D:$D,$A802)=0),"NO UPC MATCH in Release_Label",and($B802&lt;&gt;"",countif('3) Release_Label'!$E:$E,$B802)=0),"NO CATALOG ID MATCH in Release_Label",iserror(vlookup($A802&amp;$B802,'3) Release_Label'!$D:$D&amp;'3) Release_Label'!$E:$E,1,0)),"NO UPC-CATALOG ID pair MATCH in Release_Label" )</f>
        <v/>
      </c>
      <c r="E802" s="141" t="str">
        <f t="shared" si="2"/>
        <v/>
      </c>
      <c r="G802" s="103"/>
      <c r="H802" s="152"/>
      <c r="J802" s="99"/>
      <c r="K802" s="104"/>
      <c r="L802" s="99"/>
      <c r="N802" s="99"/>
      <c r="O802" s="99"/>
      <c r="P802" s="34"/>
    </row>
    <row r="803">
      <c r="A803" s="28"/>
      <c r="B803" s="103"/>
      <c r="C803" s="121" t="str">
        <f t="array" ref="C803">ifs(and(isblank($A803),isblank($B803)),"", not(iserror(vlookup($A803&amp;$B803,'3) Release_Label'!$D:$D&amp;'3) Release_Label'!$E:$E,1,0))),vlookup($A803&amp;$B803,{'3) Release_Label'!$D:$D&amp;'3) Release_Label'!$E:$E,'3) Release_Label'!$F:$F},2,0), or(and(not(isblank($B803)),$B803=$B802,$A803&lt;&gt;$A802),and(not(isblank($A803)),$A803=$A802,$B803&lt;&gt;$B802)),"ID LISTS UNALIGNED",and($A803&lt;&gt;"",countif('3) Release_Label'!$D:$D,$A803)=0),"NO UPC MATCH in Release_Label",and($B803&lt;&gt;"",countif('3) Release_Label'!$E:$E,$B803)=0),"NO CATALOG ID MATCH in Release_Label",iserror(vlookup($A803&amp;$B803,'3) Release_Label'!$D:$D&amp;'3) Release_Label'!$E:$E,1,0)),"NO UPC-CATALOG ID pair MATCH in Release_Label" )</f>
        <v/>
      </c>
      <c r="D803" s="121" t="str">
        <f t="array" ref="D803">ifs(and(isblank($A803),isblank($B803)),"", not(iserror(vlookup($A803&amp;$B803,'3) Release_Label'!$D:$D&amp;'3) Release_Label'!$E:$E,1,0))),vlookup($A803&amp;$B803,{'3) Release_Label'!$D:$D&amp;'3) Release_Label'!$E:$E,'3) Release_Label'!$H:$H},2,0), or(and(not(isblank($B803)),$B803=$B802,$A803&lt;&gt;$A802),and(not(isblank($A803)),$A803=$A802,$B803&lt;&gt;$B802)),"ID LISTS UNALIGNED",and($A803&lt;&gt;"",countif('3) Release_Label'!$D:$D,$A803)=0),"NO UPC MATCH in Release_Label",and($B803&lt;&gt;"",countif('3) Release_Label'!$E:$E,$B803)=0),"NO CATALOG ID MATCH in Release_Label",iserror(vlookup($A803&amp;$B803,'3) Release_Label'!$D:$D&amp;'3) Release_Label'!$E:$E,1,0)),"NO UPC-CATALOG ID pair MATCH in Release_Label" )</f>
        <v/>
      </c>
      <c r="E803" s="141" t="str">
        <f t="shared" si="2"/>
        <v/>
      </c>
      <c r="G803" s="103"/>
      <c r="H803" s="152"/>
      <c r="J803" s="99"/>
      <c r="K803" s="104"/>
      <c r="L803" s="99"/>
      <c r="N803" s="99"/>
      <c r="O803" s="99"/>
      <c r="P803" s="34"/>
    </row>
    <row r="804">
      <c r="A804" s="28"/>
      <c r="B804" s="103"/>
      <c r="C804" s="121" t="str">
        <f t="array" ref="C804">ifs(and(isblank($A804),isblank($B804)),"", not(iserror(vlookup($A804&amp;$B804,'3) Release_Label'!$D:$D&amp;'3) Release_Label'!$E:$E,1,0))),vlookup($A804&amp;$B804,{'3) Release_Label'!$D:$D&amp;'3) Release_Label'!$E:$E,'3) Release_Label'!$F:$F},2,0), or(and(not(isblank($B804)),$B804=$B803,$A804&lt;&gt;$A803),and(not(isblank($A804)),$A804=$A803,$B804&lt;&gt;$B803)),"ID LISTS UNALIGNED",and($A804&lt;&gt;"",countif('3) Release_Label'!$D:$D,$A804)=0),"NO UPC MATCH in Release_Label",and($B804&lt;&gt;"",countif('3) Release_Label'!$E:$E,$B804)=0),"NO CATALOG ID MATCH in Release_Label",iserror(vlookup($A804&amp;$B804,'3) Release_Label'!$D:$D&amp;'3) Release_Label'!$E:$E,1,0)),"NO UPC-CATALOG ID pair MATCH in Release_Label" )</f>
        <v/>
      </c>
      <c r="D804" s="121" t="str">
        <f t="array" ref="D804">ifs(and(isblank($A804),isblank($B804)),"", not(iserror(vlookup($A804&amp;$B804,'3) Release_Label'!$D:$D&amp;'3) Release_Label'!$E:$E,1,0))),vlookup($A804&amp;$B804,{'3) Release_Label'!$D:$D&amp;'3) Release_Label'!$E:$E,'3) Release_Label'!$H:$H},2,0), or(and(not(isblank($B804)),$B804=$B803,$A804&lt;&gt;$A803),and(not(isblank($A804)),$A804=$A803,$B804&lt;&gt;$B803)),"ID LISTS UNALIGNED",and($A804&lt;&gt;"",countif('3) Release_Label'!$D:$D,$A804)=0),"NO UPC MATCH in Release_Label",and($B804&lt;&gt;"",countif('3) Release_Label'!$E:$E,$B804)=0),"NO CATALOG ID MATCH in Release_Label",iserror(vlookup($A804&amp;$B804,'3) Release_Label'!$D:$D&amp;'3) Release_Label'!$E:$E,1,0)),"NO UPC-CATALOG ID pair MATCH in Release_Label" )</f>
        <v/>
      </c>
      <c r="E804" s="141" t="str">
        <f t="shared" si="2"/>
        <v/>
      </c>
      <c r="G804" s="103"/>
      <c r="H804" s="152"/>
      <c r="J804" s="99"/>
      <c r="K804" s="104"/>
      <c r="L804" s="99"/>
      <c r="N804" s="99"/>
      <c r="O804" s="99"/>
      <c r="P804" s="34"/>
    </row>
    <row r="805">
      <c r="A805" s="28"/>
      <c r="B805" s="103"/>
      <c r="C805" s="121" t="str">
        <f t="array" ref="C805">ifs(and(isblank($A805),isblank($B805)),"", not(iserror(vlookup($A805&amp;$B805,'3) Release_Label'!$D:$D&amp;'3) Release_Label'!$E:$E,1,0))),vlookup($A805&amp;$B805,{'3) Release_Label'!$D:$D&amp;'3) Release_Label'!$E:$E,'3) Release_Label'!$F:$F},2,0), or(and(not(isblank($B805)),$B805=$B804,$A805&lt;&gt;$A804),and(not(isblank($A805)),$A805=$A804,$B805&lt;&gt;$B804)),"ID LISTS UNALIGNED",and($A805&lt;&gt;"",countif('3) Release_Label'!$D:$D,$A805)=0),"NO UPC MATCH in Release_Label",and($B805&lt;&gt;"",countif('3) Release_Label'!$E:$E,$B805)=0),"NO CATALOG ID MATCH in Release_Label",iserror(vlookup($A805&amp;$B805,'3) Release_Label'!$D:$D&amp;'3) Release_Label'!$E:$E,1,0)),"NO UPC-CATALOG ID pair MATCH in Release_Label" )</f>
        <v/>
      </c>
      <c r="D805" s="121" t="str">
        <f t="array" ref="D805">ifs(and(isblank($A805),isblank($B805)),"", not(iserror(vlookup($A805&amp;$B805,'3) Release_Label'!$D:$D&amp;'3) Release_Label'!$E:$E,1,0))),vlookup($A805&amp;$B805,{'3) Release_Label'!$D:$D&amp;'3) Release_Label'!$E:$E,'3) Release_Label'!$H:$H},2,0), or(and(not(isblank($B805)),$B805=$B804,$A805&lt;&gt;$A804),and(not(isblank($A805)),$A805=$A804,$B805&lt;&gt;$B804)),"ID LISTS UNALIGNED",and($A805&lt;&gt;"",countif('3) Release_Label'!$D:$D,$A805)=0),"NO UPC MATCH in Release_Label",and($B805&lt;&gt;"",countif('3) Release_Label'!$E:$E,$B805)=0),"NO CATALOG ID MATCH in Release_Label",iserror(vlookup($A805&amp;$B805,'3) Release_Label'!$D:$D&amp;'3) Release_Label'!$E:$E,1,0)),"NO UPC-CATALOG ID pair MATCH in Release_Label" )</f>
        <v/>
      </c>
      <c r="E805" s="141" t="str">
        <f t="shared" si="2"/>
        <v/>
      </c>
      <c r="G805" s="103"/>
      <c r="H805" s="152"/>
      <c r="J805" s="99"/>
      <c r="K805" s="104"/>
      <c r="L805" s="99"/>
      <c r="N805" s="99"/>
      <c r="O805" s="99"/>
      <c r="P805" s="34"/>
    </row>
    <row r="806">
      <c r="A806" s="28"/>
      <c r="B806" s="103"/>
      <c r="C806" s="121" t="str">
        <f t="array" ref="C806">ifs(and(isblank($A806),isblank($B806)),"", not(iserror(vlookup($A806&amp;$B806,'3) Release_Label'!$D:$D&amp;'3) Release_Label'!$E:$E,1,0))),vlookup($A806&amp;$B806,{'3) Release_Label'!$D:$D&amp;'3) Release_Label'!$E:$E,'3) Release_Label'!$F:$F},2,0), or(and(not(isblank($B806)),$B806=$B805,$A806&lt;&gt;$A805),and(not(isblank($A806)),$A806=$A805,$B806&lt;&gt;$B805)),"ID LISTS UNALIGNED",and($A806&lt;&gt;"",countif('3) Release_Label'!$D:$D,$A806)=0),"NO UPC MATCH in Release_Label",and($B806&lt;&gt;"",countif('3) Release_Label'!$E:$E,$B806)=0),"NO CATALOG ID MATCH in Release_Label",iserror(vlookup($A806&amp;$B806,'3) Release_Label'!$D:$D&amp;'3) Release_Label'!$E:$E,1,0)),"NO UPC-CATALOG ID pair MATCH in Release_Label" )</f>
        <v/>
      </c>
      <c r="D806" s="121" t="str">
        <f t="array" ref="D806">ifs(and(isblank($A806),isblank($B806)),"", not(iserror(vlookup($A806&amp;$B806,'3) Release_Label'!$D:$D&amp;'3) Release_Label'!$E:$E,1,0))),vlookup($A806&amp;$B806,{'3) Release_Label'!$D:$D&amp;'3) Release_Label'!$E:$E,'3) Release_Label'!$H:$H},2,0), or(and(not(isblank($B806)),$B806=$B805,$A806&lt;&gt;$A805),and(not(isblank($A806)),$A806=$A805,$B806&lt;&gt;$B805)),"ID LISTS UNALIGNED",and($A806&lt;&gt;"",countif('3) Release_Label'!$D:$D,$A806)=0),"NO UPC MATCH in Release_Label",and($B806&lt;&gt;"",countif('3) Release_Label'!$E:$E,$B806)=0),"NO CATALOG ID MATCH in Release_Label",iserror(vlookup($A806&amp;$B806,'3) Release_Label'!$D:$D&amp;'3) Release_Label'!$E:$E,1,0)),"NO UPC-CATALOG ID pair MATCH in Release_Label" )</f>
        <v/>
      </c>
      <c r="E806" s="141" t="str">
        <f t="shared" si="2"/>
        <v/>
      </c>
      <c r="G806" s="103"/>
      <c r="H806" s="152"/>
      <c r="J806" s="99"/>
      <c r="K806" s="104"/>
      <c r="L806" s="99"/>
      <c r="N806" s="99"/>
      <c r="O806" s="99"/>
      <c r="P806" s="34"/>
    </row>
    <row r="807">
      <c r="A807" s="28"/>
      <c r="B807" s="103"/>
      <c r="C807" s="121" t="str">
        <f t="array" ref="C807">ifs(and(isblank($A807),isblank($B807)),"", not(iserror(vlookup($A807&amp;$B807,'3) Release_Label'!$D:$D&amp;'3) Release_Label'!$E:$E,1,0))),vlookup($A807&amp;$B807,{'3) Release_Label'!$D:$D&amp;'3) Release_Label'!$E:$E,'3) Release_Label'!$F:$F},2,0), or(and(not(isblank($B807)),$B807=$B806,$A807&lt;&gt;$A806),and(not(isblank($A807)),$A807=$A806,$B807&lt;&gt;$B806)),"ID LISTS UNALIGNED",and($A807&lt;&gt;"",countif('3) Release_Label'!$D:$D,$A807)=0),"NO UPC MATCH in Release_Label",and($B807&lt;&gt;"",countif('3) Release_Label'!$E:$E,$B807)=0),"NO CATALOG ID MATCH in Release_Label",iserror(vlookup($A807&amp;$B807,'3) Release_Label'!$D:$D&amp;'3) Release_Label'!$E:$E,1,0)),"NO UPC-CATALOG ID pair MATCH in Release_Label" )</f>
        <v/>
      </c>
      <c r="D807" s="121" t="str">
        <f t="array" ref="D807">ifs(and(isblank($A807),isblank($B807)),"", not(iserror(vlookup($A807&amp;$B807,'3) Release_Label'!$D:$D&amp;'3) Release_Label'!$E:$E,1,0))),vlookup($A807&amp;$B807,{'3) Release_Label'!$D:$D&amp;'3) Release_Label'!$E:$E,'3) Release_Label'!$H:$H},2,0), or(and(not(isblank($B807)),$B807=$B806,$A807&lt;&gt;$A806),and(not(isblank($A807)),$A807=$A806,$B807&lt;&gt;$B806)),"ID LISTS UNALIGNED",and($A807&lt;&gt;"",countif('3) Release_Label'!$D:$D,$A807)=0),"NO UPC MATCH in Release_Label",and($B807&lt;&gt;"",countif('3) Release_Label'!$E:$E,$B807)=0),"NO CATALOG ID MATCH in Release_Label",iserror(vlookup($A807&amp;$B807,'3) Release_Label'!$D:$D&amp;'3) Release_Label'!$E:$E,1,0)),"NO UPC-CATALOG ID pair MATCH in Release_Label" )</f>
        <v/>
      </c>
      <c r="E807" s="141" t="str">
        <f t="shared" si="2"/>
        <v/>
      </c>
      <c r="G807" s="103"/>
      <c r="H807" s="152"/>
      <c r="J807" s="99"/>
      <c r="K807" s="104"/>
      <c r="L807" s="99"/>
      <c r="N807" s="99"/>
      <c r="O807" s="99"/>
      <c r="P807" s="34"/>
    </row>
    <row r="808">
      <c r="A808" s="28"/>
      <c r="B808" s="103"/>
      <c r="C808" s="121" t="str">
        <f t="array" ref="C808">ifs(and(isblank($A808),isblank($B808)),"", not(iserror(vlookup($A808&amp;$B808,'3) Release_Label'!$D:$D&amp;'3) Release_Label'!$E:$E,1,0))),vlookup($A808&amp;$B808,{'3) Release_Label'!$D:$D&amp;'3) Release_Label'!$E:$E,'3) Release_Label'!$F:$F},2,0), or(and(not(isblank($B808)),$B808=$B807,$A808&lt;&gt;$A807),and(not(isblank($A808)),$A808=$A807,$B808&lt;&gt;$B807)),"ID LISTS UNALIGNED",and($A808&lt;&gt;"",countif('3) Release_Label'!$D:$D,$A808)=0),"NO UPC MATCH in Release_Label",and($B808&lt;&gt;"",countif('3) Release_Label'!$E:$E,$B808)=0),"NO CATALOG ID MATCH in Release_Label",iserror(vlookup($A808&amp;$B808,'3) Release_Label'!$D:$D&amp;'3) Release_Label'!$E:$E,1,0)),"NO UPC-CATALOG ID pair MATCH in Release_Label" )</f>
        <v/>
      </c>
      <c r="D808" s="121" t="str">
        <f t="array" ref="D808">ifs(and(isblank($A808),isblank($B808)),"", not(iserror(vlookup($A808&amp;$B808,'3) Release_Label'!$D:$D&amp;'3) Release_Label'!$E:$E,1,0))),vlookup($A808&amp;$B808,{'3) Release_Label'!$D:$D&amp;'3) Release_Label'!$E:$E,'3) Release_Label'!$H:$H},2,0), or(and(not(isblank($B808)),$B808=$B807,$A808&lt;&gt;$A807),and(not(isblank($A808)),$A808=$A807,$B808&lt;&gt;$B807)),"ID LISTS UNALIGNED",and($A808&lt;&gt;"",countif('3) Release_Label'!$D:$D,$A808)=0),"NO UPC MATCH in Release_Label",and($B808&lt;&gt;"",countif('3) Release_Label'!$E:$E,$B808)=0),"NO CATALOG ID MATCH in Release_Label",iserror(vlookup($A808&amp;$B808,'3) Release_Label'!$D:$D&amp;'3) Release_Label'!$E:$E,1,0)),"NO UPC-CATALOG ID pair MATCH in Release_Label" )</f>
        <v/>
      </c>
      <c r="E808" s="141" t="str">
        <f t="shared" si="2"/>
        <v/>
      </c>
      <c r="G808" s="103"/>
      <c r="H808" s="152"/>
      <c r="J808" s="99"/>
      <c r="K808" s="104"/>
      <c r="L808" s="99"/>
      <c r="N808" s="99"/>
      <c r="O808" s="99"/>
      <c r="P808" s="34"/>
    </row>
    <row r="809">
      <c r="A809" s="28"/>
      <c r="B809" s="103"/>
      <c r="C809" s="121" t="str">
        <f t="array" ref="C809">ifs(and(isblank($A809),isblank($B809)),"", not(iserror(vlookup($A809&amp;$B809,'3) Release_Label'!$D:$D&amp;'3) Release_Label'!$E:$E,1,0))),vlookup($A809&amp;$B809,{'3) Release_Label'!$D:$D&amp;'3) Release_Label'!$E:$E,'3) Release_Label'!$F:$F},2,0), or(and(not(isblank($B809)),$B809=$B808,$A809&lt;&gt;$A808),and(not(isblank($A809)),$A809=$A808,$B809&lt;&gt;$B808)),"ID LISTS UNALIGNED",and($A809&lt;&gt;"",countif('3) Release_Label'!$D:$D,$A809)=0),"NO UPC MATCH in Release_Label",and($B809&lt;&gt;"",countif('3) Release_Label'!$E:$E,$B809)=0),"NO CATALOG ID MATCH in Release_Label",iserror(vlookup($A809&amp;$B809,'3) Release_Label'!$D:$D&amp;'3) Release_Label'!$E:$E,1,0)),"NO UPC-CATALOG ID pair MATCH in Release_Label" )</f>
        <v/>
      </c>
      <c r="D809" s="121" t="str">
        <f t="array" ref="D809">ifs(and(isblank($A809),isblank($B809)),"", not(iserror(vlookup($A809&amp;$B809,'3) Release_Label'!$D:$D&amp;'3) Release_Label'!$E:$E,1,0))),vlookup($A809&amp;$B809,{'3) Release_Label'!$D:$D&amp;'3) Release_Label'!$E:$E,'3) Release_Label'!$H:$H},2,0), or(and(not(isblank($B809)),$B809=$B808,$A809&lt;&gt;$A808),and(not(isblank($A809)),$A809=$A808,$B809&lt;&gt;$B808)),"ID LISTS UNALIGNED",and($A809&lt;&gt;"",countif('3) Release_Label'!$D:$D,$A809)=0),"NO UPC MATCH in Release_Label",and($B809&lt;&gt;"",countif('3) Release_Label'!$E:$E,$B809)=0),"NO CATALOG ID MATCH in Release_Label",iserror(vlookup($A809&amp;$B809,'3) Release_Label'!$D:$D&amp;'3) Release_Label'!$E:$E,1,0)),"NO UPC-CATALOG ID pair MATCH in Release_Label" )</f>
        <v/>
      </c>
      <c r="E809" s="141" t="str">
        <f t="shared" si="2"/>
        <v/>
      </c>
      <c r="G809" s="103"/>
      <c r="H809" s="152"/>
      <c r="J809" s="99"/>
      <c r="K809" s="104"/>
      <c r="L809" s="99"/>
      <c r="N809" s="99"/>
      <c r="O809" s="99"/>
      <c r="P809" s="34"/>
    </row>
    <row r="810">
      <c r="A810" s="28"/>
      <c r="B810" s="103"/>
      <c r="C810" s="121" t="str">
        <f t="array" ref="C810">ifs(and(isblank($A810),isblank($B810)),"", not(iserror(vlookup($A810&amp;$B810,'3) Release_Label'!$D:$D&amp;'3) Release_Label'!$E:$E,1,0))),vlookup($A810&amp;$B810,{'3) Release_Label'!$D:$D&amp;'3) Release_Label'!$E:$E,'3) Release_Label'!$F:$F},2,0), or(and(not(isblank($B810)),$B810=$B809,$A810&lt;&gt;$A809),and(not(isblank($A810)),$A810=$A809,$B810&lt;&gt;$B809)),"ID LISTS UNALIGNED",and($A810&lt;&gt;"",countif('3) Release_Label'!$D:$D,$A810)=0),"NO UPC MATCH in Release_Label",and($B810&lt;&gt;"",countif('3) Release_Label'!$E:$E,$B810)=0),"NO CATALOG ID MATCH in Release_Label",iserror(vlookup($A810&amp;$B810,'3) Release_Label'!$D:$D&amp;'3) Release_Label'!$E:$E,1,0)),"NO UPC-CATALOG ID pair MATCH in Release_Label" )</f>
        <v/>
      </c>
      <c r="D810" s="121" t="str">
        <f t="array" ref="D810">ifs(and(isblank($A810),isblank($B810)),"", not(iserror(vlookup($A810&amp;$B810,'3) Release_Label'!$D:$D&amp;'3) Release_Label'!$E:$E,1,0))),vlookup($A810&amp;$B810,{'3) Release_Label'!$D:$D&amp;'3) Release_Label'!$E:$E,'3) Release_Label'!$H:$H},2,0), or(and(not(isblank($B810)),$B810=$B809,$A810&lt;&gt;$A809),and(not(isblank($A810)),$A810=$A809,$B810&lt;&gt;$B809)),"ID LISTS UNALIGNED",and($A810&lt;&gt;"",countif('3) Release_Label'!$D:$D,$A810)=0),"NO UPC MATCH in Release_Label",and($B810&lt;&gt;"",countif('3) Release_Label'!$E:$E,$B810)=0),"NO CATALOG ID MATCH in Release_Label",iserror(vlookup($A810&amp;$B810,'3) Release_Label'!$D:$D&amp;'3) Release_Label'!$E:$E,1,0)),"NO UPC-CATALOG ID pair MATCH in Release_Label" )</f>
        <v/>
      </c>
      <c r="E810" s="141" t="str">
        <f t="shared" si="2"/>
        <v/>
      </c>
      <c r="G810" s="103"/>
      <c r="H810" s="152"/>
      <c r="J810" s="99"/>
      <c r="K810" s="104"/>
      <c r="L810" s="99"/>
      <c r="N810" s="99"/>
      <c r="O810" s="99"/>
      <c r="P810" s="34"/>
    </row>
    <row r="811">
      <c r="A811" s="28"/>
      <c r="B811" s="103"/>
      <c r="C811" s="121" t="str">
        <f t="array" ref="C811">ifs(and(isblank($A811),isblank($B811)),"", not(iserror(vlookup($A811&amp;$B811,'3) Release_Label'!$D:$D&amp;'3) Release_Label'!$E:$E,1,0))),vlookup($A811&amp;$B811,{'3) Release_Label'!$D:$D&amp;'3) Release_Label'!$E:$E,'3) Release_Label'!$F:$F},2,0), or(and(not(isblank($B811)),$B811=$B810,$A811&lt;&gt;$A810),and(not(isblank($A811)),$A811=$A810,$B811&lt;&gt;$B810)),"ID LISTS UNALIGNED",and($A811&lt;&gt;"",countif('3) Release_Label'!$D:$D,$A811)=0),"NO UPC MATCH in Release_Label",and($B811&lt;&gt;"",countif('3) Release_Label'!$E:$E,$B811)=0),"NO CATALOG ID MATCH in Release_Label",iserror(vlookup($A811&amp;$B811,'3) Release_Label'!$D:$D&amp;'3) Release_Label'!$E:$E,1,0)),"NO UPC-CATALOG ID pair MATCH in Release_Label" )</f>
        <v/>
      </c>
      <c r="D811" s="121" t="str">
        <f t="array" ref="D811">ifs(and(isblank($A811),isblank($B811)),"", not(iserror(vlookup($A811&amp;$B811,'3) Release_Label'!$D:$D&amp;'3) Release_Label'!$E:$E,1,0))),vlookup($A811&amp;$B811,{'3) Release_Label'!$D:$D&amp;'3) Release_Label'!$E:$E,'3) Release_Label'!$H:$H},2,0), or(and(not(isblank($B811)),$B811=$B810,$A811&lt;&gt;$A810),and(not(isblank($A811)),$A811=$A810,$B811&lt;&gt;$B810)),"ID LISTS UNALIGNED",and($A811&lt;&gt;"",countif('3) Release_Label'!$D:$D,$A811)=0),"NO UPC MATCH in Release_Label",and($B811&lt;&gt;"",countif('3) Release_Label'!$E:$E,$B811)=0),"NO CATALOG ID MATCH in Release_Label",iserror(vlookup($A811&amp;$B811,'3) Release_Label'!$D:$D&amp;'3) Release_Label'!$E:$E,1,0)),"NO UPC-CATALOG ID pair MATCH in Release_Label" )</f>
        <v/>
      </c>
      <c r="E811" s="141" t="str">
        <f t="shared" si="2"/>
        <v/>
      </c>
      <c r="G811" s="103"/>
      <c r="H811" s="152"/>
      <c r="J811" s="99"/>
      <c r="K811" s="104"/>
      <c r="L811" s="99"/>
      <c r="N811" s="99"/>
      <c r="O811" s="99"/>
      <c r="P811" s="34"/>
    </row>
    <row r="812">
      <c r="A812" s="28"/>
      <c r="B812" s="103"/>
      <c r="C812" s="121" t="str">
        <f t="array" ref="C812">ifs(and(isblank($A812),isblank($B812)),"", not(iserror(vlookup($A812&amp;$B812,'3) Release_Label'!$D:$D&amp;'3) Release_Label'!$E:$E,1,0))),vlookup($A812&amp;$B812,{'3) Release_Label'!$D:$D&amp;'3) Release_Label'!$E:$E,'3) Release_Label'!$F:$F},2,0), or(and(not(isblank($B812)),$B812=$B811,$A812&lt;&gt;$A811),and(not(isblank($A812)),$A812=$A811,$B812&lt;&gt;$B811)),"ID LISTS UNALIGNED",and($A812&lt;&gt;"",countif('3) Release_Label'!$D:$D,$A812)=0),"NO UPC MATCH in Release_Label",and($B812&lt;&gt;"",countif('3) Release_Label'!$E:$E,$B812)=0),"NO CATALOG ID MATCH in Release_Label",iserror(vlookup($A812&amp;$B812,'3) Release_Label'!$D:$D&amp;'3) Release_Label'!$E:$E,1,0)),"NO UPC-CATALOG ID pair MATCH in Release_Label" )</f>
        <v/>
      </c>
      <c r="D812" s="121" t="str">
        <f t="array" ref="D812">ifs(and(isblank($A812),isblank($B812)),"", not(iserror(vlookup($A812&amp;$B812,'3) Release_Label'!$D:$D&amp;'3) Release_Label'!$E:$E,1,0))),vlookup($A812&amp;$B812,{'3) Release_Label'!$D:$D&amp;'3) Release_Label'!$E:$E,'3) Release_Label'!$H:$H},2,0), or(and(not(isblank($B812)),$B812=$B811,$A812&lt;&gt;$A811),and(not(isblank($A812)),$A812=$A811,$B812&lt;&gt;$B811)),"ID LISTS UNALIGNED",and($A812&lt;&gt;"",countif('3) Release_Label'!$D:$D,$A812)=0),"NO UPC MATCH in Release_Label",and($B812&lt;&gt;"",countif('3) Release_Label'!$E:$E,$B812)=0),"NO CATALOG ID MATCH in Release_Label",iserror(vlookup($A812&amp;$B812,'3) Release_Label'!$D:$D&amp;'3) Release_Label'!$E:$E,1,0)),"NO UPC-CATALOG ID pair MATCH in Release_Label" )</f>
        <v/>
      </c>
      <c r="E812" s="141" t="str">
        <f t="shared" si="2"/>
        <v/>
      </c>
      <c r="G812" s="103"/>
      <c r="H812" s="152"/>
      <c r="J812" s="99"/>
      <c r="K812" s="104"/>
      <c r="L812" s="99"/>
      <c r="N812" s="99"/>
      <c r="O812" s="99"/>
      <c r="P812" s="34"/>
    </row>
    <row r="813">
      <c r="A813" s="28"/>
      <c r="B813" s="103"/>
      <c r="C813" s="121" t="str">
        <f t="array" ref="C813">ifs(and(isblank($A813),isblank($B813)),"", not(iserror(vlookup($A813&amp;$B813,'3) Release_Label'!$D:$D&amp;'3) Release_Label'!$E:$E,1,0))),vlookup($A813&amp;$B813,{'3) Release_Label'!$D:$D&amp;'3) Release_Label'!$E:$E,'3) Release_Label'!$F:$F},2,0), or(and(not(isblank($B813)),$B813=$B812,$A813&lt;&gt;$A812),and(not(isblank($A813)),$A813=$A812,$B813&lt;&gt;$B812)),"ID LISTS UNALIGNED",and($A813&lt;&gt;"",countif('3) Release_Label'!$D:$D,$A813)=0),"NO UPC MATCH in Release_Label",and($B813&lt;&gt;"",countif('3) Release_Label'!$E:$E,$B813)=0),"NO CATALOG ID MATCH in Release_Label",iserror(vlookup($A813&amp;$B813,'3) Release_Label'!$D:$D&amp;'3) Release_Label'!$E:$E,1,0)),"NO UPC-CATALOG ID pair MATCH in Release_Label" )</f>
        <v/>
      </c>
      <c r="D813" s="121" t="str">
        <f t="array" ref="D813">ifs(and(isblank($A813),isblank($B813)),"", not(iserror(vlookup($A813&amp;$B813,'3) Release_Label'!$D:$D&amp;'3) Release_Label'!$E:$E,1,0))),vlookup($A813&amp;$B813,{'3) Release_Label'!$D:$D&amp;'3) Release_Label'!$E:$E,'3) Release_Label'!$H:$H},2,0), or(and(not(isblank($B813)),$B813=$B812,$A813&lt;&gt;$A812),and(not(isblank($A813)),$A813=$A812,$B813&lt;&gt;$B812)),"ID LISTS UNALIGNED",and($A813&lt;&gt;"",countif('3) Release_Label'!$D:$D,$A813)=0),"NO UPC MATCH in Release_Label",and($B813&lt;&gt;"",countif('3) Release_Label'!$E:$E,$B813)=0),"NO CATALOG ID MATCH in Release_Label",iserror(vlookup($A813&amp;$B813,'3) Release_Label'!$D:$D&amp;'3) Release_Label'!$E:$E,1,0)),"NO UPC-CATALOG ID pair MATCH in Release_Label" )</f>
        <v/>
      </c>
      <c r="E813" s="141" t="str">
        <f t="shared" si="2"/>
        <v/>
      </c>
      <c r="G813" s="103"/>
      <c r="H813" s="152"/>
      <c r="J813" s="99"/>
      <c r="K813" s="104"/>
      <c r="L813" s="99"/>
      <c r="N813" s="99"/>
      <c r="O813" s="99"/>
      <c r="P813" s="34"/>
    </row>
    <row r="814">
      <c r="A814" s="28"/>
      <c r="B814" s="103"/>
      <c r="C814" s="121" t="str">
        <f t="array" ref="C814">ifs(and(isblank($A814),isblank($B814)),"", not(iserror(vlookup($A814&amp;$B814,'3) Release_Label'!$D:$D&amp;'3) Release_Label'!$E:$E,1,0))),vlookup($A814&amp;$B814,{'3) Release_Label'!$D:$D&amp;'3) Release_Label'!$E:$E,'3) Release_Label'!$F:$F},2,0), or(and(not(isblank($B814)),$B814=$B813,$A814&lt;&gt;$A813),and(not(isblank($A814)),$A814=$A813,$B814&lt;&gt;$B813)),"ID LISTS UNALIGNED",and($A814&lt;&gt;"",countif('3) Release_Label'!$D:$D,$A814)=0),"NO UPC MATCH in Release_Label",and($B814&lt;&gt;"",countif('3) Release_Label'!$E:$E,$B814)=0),"NO CATALOG ID MATCH in Release_Label",iserror(vlookup($A814&amp;$B814,'3) Release_Label'!$D:$D&amp;'3) Release_Label'!$E:$E,1,0)),"NO UPC-CATALOG ID pair MATCH in Release_Label" )</f>
        <v/>
      </c>
      <c r="D814" s="121" t="str">
        <f t="array" ref="D814">ifs(and(isblank($A814),isblank($B814)),"", not(iserror(vlookup($A814&amp;$B814,'3) Release_Label'!$D:$D&amp;'3) Release_Label'!$E:$E,1,0))),vlookup($A814&amp;$B814,{'3) Release_Label'!$D:$D&amp;'3) Release_Label'!$E:$E,'3) Release_Label'!$H:$H},2,0), or(and(not(isblank($B814)),$B814=$B813,$A814&lt;&gt;$A813),and(not(isblank($A814)),$A814=$A813,$B814&lt;&gt;$B813)),"ID LISTS UNALIGNED",and($A814&lt;&gt;"",countif('3) Release_Label'!$D:$D,$A814)=0),"NO UPC MATCH in Release_Label",and($B814&lt;&gt;"",countif('3) Release_Label'!$E:$E,$B814)=0),"NO CATALOG ID MATCH in Release_Label",iserror(vlookup($A814&amp;$B814,'3) Release_Label'!$D:$D&amp;'3) Release_Label'!$E:$E,1,0)),"NO UPC-CATALOG ID pair MATCH in Release_Label" )</f>
        <v/>
      </c>
      <c r="E814" s="141" t="str">
        <f t="shared" si="2"/>
        <v/>
      </c>
      <c r="G814" s="103"/>
      <c r="H814" s="152"/>
      <c r="J814" s="99"/>
      <c r="K814" s="104"/>
      <c r="L814" s="99"/>
      <c r="N814" s="99"/>
      <c r="O814" s="99"/>
      <c r="P814" s="34"/>
    </row>
    <row r="815">
      <c r="A815" s="28"/>
      <c r="B815" s="103"/>
      <c r="C815" s="121" t="str">
        <f t="array" ref="C815">ifs(and(isblank($A815),isblank($B815)),"", not(iserror(vlookup($A815&amp;$B815,'3) Release_Label'!$D:$D&amp;'3) Release_Label'!$E:$E,1,0))),vlookup($A815&amp;$B815,{'3) Release_Label'!$D:$D&amp;'3) Release_Label'!$E:$E,'3) Release_Label'!$F:$F},2,0), or(and(not(isblank($B815)),$B815=$B814,$A815&lt;&gt;$A814),and(not(isblank($A815)),$A815=$A814,$B815&lt;&gt;$B814)),"ID LISTS UNALIGNED",and($A815&lt;&gt;"",countif('3) Release_Label'!$D:$D,$A815)=0),"NO UPC MATCH in Release_Label",and($B815&lt;&gt;"",countif('3) Release_Label'!$E:$E,$B815)=0),"NO CATALOG ID MATCH in Release_Label",iserror(vlookup($A815&amp;$B815,'3) Release_Label'!$D:$D&amp;'3) Release_Label'!$E:$E,1,0)),"NO UPC-CATALOG ID pair MATCH in Release_Label" )</f>
        <v/>
      </c>
      <c r="D815" s="121" t="str">
        <f t="array" ref="D815">ifs(and(isblank($A815),isblank($B815)),"", not(iserror(vlookup($A815&amp;$B815,'3) Release_Label'!$D:$D&amp;'3) Release_Label'!$E:$E,1,0))),vlookup($A815&amp;$B815,{'3) Release_Label'!$D:$D&amp;'3) Release_Label'!$E:$E,'3) Release_Label'!$H:$H},2,0), or(and(not(isblank($B815)),$B815=$B814,$A815&lt;&gt;$A814),and(not(isblank($A815)),$A815=$A814,$B815&lt;&gt;$B814)),"ID LISTS UNALIGNED",and($A815&lt;&gt;"",countif('3) Release_Label'!$D:$D,$A815)=0),"NO UPC MATCH in Release_Label",and($B815&lt;&gt;"",countif('3) Release_Label'!$E:$E,$B815)=0),"NO CATALOG ID MATCH in Release_Label",iserror(vlookup($A815&amp;$B815,'3) Release_Label'!$D:$D&amp;'3) Release_Label'!$E:$E,1,0)),"NO UPC-CATALOG ID pair MATCH in Release_Label" )</f>
        <v/>
      </c>
      <c r="E815" s="141" t="str">
        <f t="shared" si="2"/>
        <v/>
      </c>
      <c r="G815" s="103"/>
      <c r="H815" s="152"/>
      <c r="J815" s="99"/>
      <c r="K815" s="104"/>
      <c r="L815" s="99"/>
      <c r="N815" s="99"/>
      <c r="O815" s="99"/>
      <c r="P815" s="34"/>
    </row>
    <row r="816">
      <c r="A816" s="28"/>
      <c r="B816" s="103"/>
      <c r="C816" s="121" t="str">
        <f t="array" ref="C816">ifs(and(isblank($A816),isblank($B816)),"", not(iserror(vlookup($A816&amp;$B816,'3) Release_Label'!$D:$D&amp;'3) Release_Label'!$E:$E,1,0))),vlookup($A816&amp;$B816,{'3) Release_Label'!$D:$D&amp;'3) Release_Label'!$E:$E,'3) Release_Label'!$F:$F},2,0), or(and(not(isblank($B816)),$B816=$B815,$A816&lt;&gt;$A815),and(not(isblank($A816)),$A816=$A815,$B816&lt;&gt;$B815)),"ID LISTS UNALIGNED",and($A816&lt;&gt;"",countif('3) Release_Label'!$D:$D,$A816)=0),"NO UPC MATCH in Release_Label",and($B816&lt;&gt;"",countif('3) Release_Label'!$E:$E,$B816)=0),"NO CATALOG ID MATCH in Release_Label",iserror(vlookup($A816&amp;$B816,'3) Release_Label'!$D:$D&amp;'3) Release_Label'!$E:$E,1,0)),"NO UPC-CATALOG ID pair MATCH in Release_Label" )</f>
        <v/>
      </c>
      <c r="D816" s="121" t="str">
        <f t="array" ref="D816">ifs(and(isblank($A816),isblank($B816)),"", not(iserror(vlookup($A816&amp;$B816,'3) Release_Label'!$D:$D&amp;'3) Release_Label'!$E:$E,1,0))),vlookup($A816&amp;$B816,{'3) Release_Label'!$D:$D&amp;'3) Release_Label'!$E:$E,'3) Release_Label'!$H:$H},2,0), or(and(not(isblank($B816)),$B816=$B815,$A816&lt;&gt;$A815),and(not(isblank($A816)),$A816=$A815,$B816&lt;&gt;$B815)),"ID LISTS UNALIGNED",and($A816&lt;&gt;"",countif('3) Release_Label'!$D:$D,$A816)=0),"NO UPC MATCH in Release_Label",and($B816&lt;&gt;"",countif('3) Release_Label'!$E:$E,$B816)=0),"NO CATALOG ID MATCH in Release_Label",iserror(vlookup($A816&amp;$B816,'3) Release_Label'!$D:$D&amp;'3) Release_Label'!$E:$E,1,0)),"NO UPC-CATALOG ID pair MATCH in Release_Label" )</f>
        <v/>
      </c>
      <c r="E816" s="141" t="str">
        <f t="shared" si="2"/>
        <v/>
      </c>
      <c r="G816" s="103"/>
      <c r="H816" s="152"/>
      <c r="J816" s="99"/>
      <c r="K816" s="104"/>
      <c r="L816" s="99"/>
      <c r="N816" s="99"/>
      <c r="O816" s="99"/>
      <c r="P816" s="34"/>
    </row>
    <row r="817">
      <c r="A817" s="28"/>
      <c r="B817" s="103"/>
      <c r="C817" s="121" t="str">
        <f t="array" ref="C817">ifs(and(isblank($A817),isblank($B817)),"", not(iserror(vlookup($A817&amp;$B817,'3) Release_Label'!$D:$D&amp;'3) Release_Label'!$E:$E,1,0))),vlookup($A817&amp;$B817,{'3) Release_Label'!$D:$D&amp;'3) Release_Label'!$E:$E,'3) Release_Label'!$F:$F},2,0), or(and(not(isblank($B817)),$B817=$B816,$A817&lt;&gt;$A816),and(not(isblank($A817)),$A817=$A816,$B817&lt;&gt;$B816)),"ID LISTS UNALIGNED",and($A817&lt;&gt;"",countif('3) Release_Label'!$D:$D,$A817)=0),"NO UPC MATCH in Release_Label",and($B817&lt;&gt;"",countif('3) Release_Label'!$E:$E,$B817)=0),"NO CATALOG ID MATCH in Release_Label",iserror(vlookup($A817&amp;$B817,'3) Release_Label'!$D:$D&amp;'3) Release_Label'!$E:$E,1,0)),"NO UPC-CATALOG ID pair MATCH in Release_Label" )</f>
        <v/>
      </c>
      <c r="D817" s="121" t="str">
        <f t="array" ref="D817">ifs(and(isblank($A817),isblank($B817)),"", not(iserror(vlookup($A817&amp;$B817,'3) Release_Label'!$D:$D&amp;'3) Release_Label'!$E:$E,1,0))),vlookup($A817&amp;$B817,{'3) Release_Label'!$D:$D&amp;'3) Release_Label'!$E:$E,'3) Release_Label'!$H:$H},2,0), or(and(not(isblank($B817)),$B817=$B816,$A817&lt;&gt;$A816),and(not(isblank($A817)),$A817=$A816,$B817&lt;&gt;$B816)),"ID LISTS UNALIGNED",and($A817&lt;&gt;"",countif('3) Release_Label'!$D:$D,$A817)=0),"NO UPC MATCH in Release_Label",and($B817&lt;&gt;"",countif('3) Release_Label'!$E:$E,$B817)=0),"NO CATALOG ID MATCH in Release_Label",iserror(vlookup($A817&amp;$B817,'3) Release_Label'!$D:$D&amp;'3) Release_Label'!$E:$E,1,0)),"NO UPC-CATALOG ID pair MATCH in Release_Label" )</f>
        <v/>
      </c>
      <c r="E817" s="141" t="str">
        <f t="shared" si="2"/>
        <v/>
      </c>
      <c r="G817" s="103"/>
      <c r="H817" s="152"/>
      <c r="J817" s="99"/>
      <c r="K817" s="104"/>
      <c r="L817" s="99"/>
      <c r="N817" s="99"/>
      <c r="O817" s="99"/>
      <c r="P817" s="34"/>
    </row>
    <row r="818">
      <c r="A818" s="28"/>
      <c r="B818" s="103"/>
      <c r="C818" s="121" t="str">
        <f t="array" ref="C818">ifs(and(isblank($A818),isblank($B818)),"", not(iserror(vlookup($A818&amp;$B818,'3) Release_Label'!$D:$D&amp;'3) Release_Label'!$E:$E,1,0))),vlookup($A818&amp;$B818,{'3) Release_Label'!$D:$D&amp;'3) Release_Label'!$E:$E,'3) Release_Label'!$F:$F},2,0), or(and(not(isblank($B818)),$B818=$B817,$A818&lt;&gt;$A817),and(not(isblank($A818)),$A818=$A817,$B818&lt;&gt;$B817)),"ID LISTS UNALIGNED",and($A818&lt;&gt;"",countif('3) Release_Label'!$D:$D,$A818)=0),"NO UPC MATCH in Release_Label",and($B818&lt;&gt;"",countif('3) Release_Label'!$E:$E,$B818)=0),"NO CATALOG ID MATCH in Release_Label",iserror(vlookup($A818&amp;$B818,'3) Release_Label'!$D:$D&amp;'3) Release_Label'!$E:$E,1,0)),"NO UPC-CATALOG ID pair MATCH in Release_Label" )</f>
        <v/>
      </c>
      <c r="D818" s="121" t="str">
        <f t="array" ref="D818">ifs(and(isblank($A818),isblank($B818)),"", not(iserror(vlookup($A818&amp;$B818,'3) Release_Label'!$D:$D&amp;'3) Release_Label'!$E:$E,1,0))),vlookup($A818&amp;$B818,{'3) Release_Label'!$D:$D&amp;'3) Release_Label'!$E:$E,'3) Release_Label'!$H:$H},2,0), or(and(not(isblank($B818)),$B818=$B817,$A818&lt;&gt;$A817),and(not(isblank($A818)),$A818=$A817,$B818&lt;&gt;$B817)),"ID LISTS UNALIGNED",and($A818&lt;&gt;"",countif('3) Release_Label'!$D:$D,$A818)=0),"NO UPC MATCH in Release_Label",and($B818&lt;&gt;"",countif('3) Release_Label'!$E:$E,$B818)=0),"NO CATALOG ID MATCH in Release_Label",iserror(vlookup($A818&amp;$B818,'3) Release_Label'!$D:$D&amp;'3) Release_Label'!$E:$E,1,0)),"NO UPC-CATALOG ID pair MATCH in Release_Label" )</f>
        <v/>
      </c>
      <c r="E818" s="141" t="str">
        <f t="shared" si="2"/>
        <v/>
      </c>
      <c r="G818" s="103"/>
      <c r="H818" s="152"/>
      <c r="J818" s="99"/>
      <c r="K818" s="104"/>
      <c r="L818" s="99"/>
      <c r="N818" s="99"/>
      <c r="O818" s="99"/>
      <c r="P818" s="34"/>
    </row>
    <row r="819">
      <c r="A819" s="28"/>
      <c r="B819" s="103"/>
      <c r="C819" s="121" t="str">
        <f t="array" ref="C819">ifs(and(isblank($A819),isblank($B819)),"", not(iserror(vlookup($A819&amp;$B819,'3) Release_Label'!$D:$D&amp;'3) Release_Label'!$E:$E,1,0))),vlookup($A819&amp;$B819,{'3) Release_Label'!$D:$D&amp;'3) Release_Label'!$E:$E,'3) Release_Label'!$F:$F},2,0), or(and(not(isblank($B819)),$B819=$B818,$A819&lt;&gt;$A818),and(not(isblank($A819)),$A819=$A818,$B819&lt;&gt;$B818)),"ID LISTS UNALIGNED",and($A819&lt;&gt;"",countif('3) Release_Label'!$D:$D,$A819)=0),"NO UPC MATCH in Release_Label",and($B819&lt;&gt;"",countif('3) Release_Label'!$E:$E,$B819)=0),"NO CATALOG ID MATCH in Release_Label",iserror(vlookup($A819&amp;$B819,'3) Release_Label'!$D:$D&amp;'3) Release_Label'!$E:$E,1,0)),"NO UPC-CATALOG ID pair MATCH in Release_Label" )</f>
        <v/>
      </c>
      <c r="D819" s="121" t="str">
        <f t="array" ref="D819">ifs(and(isblank($A819),isblank($B819)),"", not(iserror(vlookup($A819&amp;$B819,'3) Release_Label'!$D:$D&amp;'3) Release_Label'!$E:$E,1,0))),vlookup($A819&amp;$B819,{'3) Release_Label'!$D:$D&amp;'3) Release_Label'!$E:$E,'3) Release_Label'!$H:$H},2,0), or(and(not(isblank($B819)),$B819=$B818,$A819&lt;&gt;$A818),and(not(isblank($A819)),$A819=$A818,$B819&lt;&gt;$B818)),"ID LISTS UNALIGNED",and($A819&lt;&gt;"",countif('3) Release_Label'!$D:$D,$A819)=0),"NO UPC MATCH in Release_Label",and($B819&lt;&gt;"",countif('3) Release_Label'!$E:$E,$B819)=0),"NO CATALOG ID MATCH in Release_Label",iserror(vlookup($A819&amp;$B819,'3) Release_Label'!$D:$D&amp;'3) Release_Label'!$E:$E,1,0)),"NO UPC-CATALOG ID pair MATCH in Release_Label" )</f>
        <v/>
      </c>
      <c r="E819" s="141" t="str">
        <f t="shared" si="2"/>
        <v/>
      </c>
      <c r="G819" s="103"/>
      <c r="H819" s="152"/>
      <c r="J819" s="99"/>
      <c r="K819" s="104"/>
      <c r="L819" s="99"/>
      <c r="N819" s="99"/>
      <c r="O819" s="99"/>
      <c r="P819" s="34"/>
    </row>
    <row r="820">
      <c r="A820" s="28"/>
      <c r="B820" s="103"/>
      <c r="C820" s="121" t="str">
        <f t="array" ref="C820">ifs(and(isblank($A820),isblank($B820)),"", not(iserror(vlookup($A820&amp;$B820,'3) Release_Label'!$D:$D&amp;'3) Release_Label'!$E:$E,1,0))),vlookup($A820&amp;$B820,{'3) Release_Label'!$D:$D&amp;'3) Release_Label'!$E:$E,'3) Release_Label'!$F:$F},2,0), or(and(not(isblank($B820)),$B820=$B819,$A820&lt;&gt;$A819),and(not(isblank($A820)),$A820=$A819,$B820&lt;&gt;$B819)),"ID LISTS UNALIGNED",and($A820&lt;&gt;"",countif('3) Release_Label'!$D:$D,$A820)=0),"NO UPC MATCH in Release_Label",and($B820&lt;&gt;"",countif('3) Release_Label'!$E:$E,$B820)=0),"NO CATALOG ID MATCH in Release_Label",iserror(vlookup($A820&amp;$B820,'3) Release_Label'!$D:$D&amp;'3) Release_Label'!$E:$E,1,0)),"NO UPC-CATALOG ID pair MATCH in Release_Label" )</f>
        <v/>
      </c>
      <c r="D820" s="121" t="str">
        <f t="array" ref="D820">ifs(and(isblank($A820),isblank($B820)),"", not(iserror(vlookup($A820&amp;$B820,'3) Release_Label'!$D:$D&amp;'3) Release_Label'!$E:$E,1,0))),vlookup($A820&amp;$B820,{'3) Release_Label'!$D:$D&amp;'3) Release_Label'!$E:$E,'3) Release_Label'!$H:$H},2,0), or(and(not(isblank($B820)),$B820=$B819,$A820&lt;&gt;$A819),and(not(isblank($A820)),$A820=$A819,$B820&lt;&gt;$B819)),"ID LISTS UNALIGNED",and($A820&lt;&gt;"",countif('3) Release_Label'!$D:$D,$A820)=0),"NO UPC MATCH in Release_Label",and($B820&lt;&gt;"",countif('3) Release_Label'!$E:$E,$B820)=0),"NO CATALOG ID MATCH in Release_Label",iserror(vlookup($A820&amp;$B820,'3) Release_Label'!$D:$D&amp;'3) Release_Label'!$E:$E,1,0)),"NO UPC-CATALOG ID pair MATCH in Release_Label" )</f>
        <v/>
      </c>
      <c r="E820" s="141" t="str">
        <f t="shared" si="2"/>
        <v/>
      </c>
      <c r="G820" s="103"/>
      <c r="H820" s="152"/>
      <c r="J820" s="99"/>
      <c r="K820" s="104"/>
      <c r="L820" s="99"/>
      <c r="N820" s="99"/>
      <c r="O820" s="99"/>
      <c r="P820" s="34"/>
    </row>
    <row r="821">
      <c r="A821" s="28"/>
      <c r="B821" s="103"/>
      <c r="C821" s="121" t="str">
        <f t="array" ref="C821">ifs(and(isblank($A821),isblank($B821)),"", not(iserror(vlookup($A821&amp;$B821,'3) Release_Label'!$D:$D&amp;'3) Release_Label'!$E:$E,1,0))),vlookup($A821&amp;$B821,{'3) Release_Label'!$D:$D&amp;'3) Release_Label'!$E:$E,'3) Release_Label'!$F:$F},2,0), or(and(not(isblank($B821)),$B821=$B820,$A821&lt;&gt;$A820),and(not(isblank($A821)),$A821=$A820,$B821&lt;&gt;$B820)),"ID LISTS UNALIGNED",and($A821&lt;&gt;"",countif('3) Release_Label'!$D:$D,$A821)=0),"NO UPC MATCH in Release_Label",and($B821&lt;&gt;"",countif('3) Release_Label'!$E:$E,$B821)=0),"NO CATALOG ID MATCH in Release_Label",iserror(vlookup($A821&amp;$B821,'3) Release_Label'!$D:$D&amp;'3) Release_Label'!$E:$E,1,0)),"NO UPC-CATALOG ID pair MATCH in Release_Label" )</f>
        <v/>
      </c>
      <c r="D821" s="121" t="str">
        <f t="array" ref="D821">ifs(and(isblank($A821),isblank($B821)),"", not(iserror(vlookup($A821&amp;$B821,'3) Release_Label'!$D:$D&amp;'3) Release_Label'!$E:$E,1,0))),vlookup($A821&amp;$B821,{'3) Release_Label'!$D:$D&amp;'3) Release_Label'!$E:$E,'3) Release_Label'!$H:$H},2,0), or(and(not(isblank($B821)),$B821=$B820,$A821&lt;&gt;$A820),and(not(isblank($A821)),$A821=$A820,$B821&lt;&gt;$B820)),"ID LISTS UNALIGNED",and($A821&lt;&gt;"",countif('3) Release_Label'!$D:$D,$A821)=0),"NO UPC MATCH in Release_Label",and($B821&lt;&gt;"",countif('3) Release_Label'!$E:$E,$B821)=0),"NO CATALOG ID MATCH in Release_Label",iserror(vlookup($A821&amp;$B821,'3) Release_Label'!$D:$D&amp;'3) Release_Label'!$E:$E,1,0)),"NO UPC-CATALOG ID pair MATCH in Release_Label" )</f>
        <v/>
      </c>
      <c r="E821" s="141" t="str">
        <f t="shared" si="2"/>
        <v/>
      </c>
      <c r="G821" s="103"/>
      <c r="H821" s="152"/>
      <c r="J821" s="99"/>
      <c r="K821" s="104"/>
      <c r="L821" s="99"/>
      <c r="N821" s="99"/>
      <c r="O821" s="99"/>
      <c r="P821" s="34"/>
    </row>
    <row r="822">
      <c r="A822" s="28"/>
      <c r="B822" s="103"/>
      <c r="C822" s="121" t="str">
        <f t="array" ref="C822">ifs(and(isblank($A822),isblank($B822)),"", not(iserror(vlookup($A822&amp;$B822,'3) Release_Label'!$D:$D&amp;'3) Release_Label'!$E:$E,1,0))),vlookup($A822&amp;$B822,{'3) Release_Label'!$D:$D&amp;'3) Release_Label'!$E:$E,'3) Release_Label'!$F:$F},2,0), or(and(not(isblank($B822)),$B822=$B821,$A822&lt;&gt;$A821),and(not(isblank($A822)),$A822=$A821,$B822&lt;&gt;$B821)),"ID LISTS UNALIGNED",and($A822&lt;&gt;"",countif('3) Release_Label'!$D:$D,$A822)=0),"NO UPC MATCH in Release_Label",and($B822&lt;&gt;"",countif('3) Release_Label'!$E:$E,$B822)=0),"NO CATALOG ID MATCH in Release_Label",iserror(vlookup($A822&amp;$B822,'3) Release_Label'!$D:$D&amp;'3) Release_Label'!$E:$E,1,0)),"NO UPC-CATALOG ID pair MATCH in Release_Label" )</f>
        <v/>
      </c>
      <c r="D822" s="121" t="str">
        <f t="array" ref="D822">ifs(and(isblank($A822),isblank($B822)),"", not(iserror(vlookup($A822&amp;$B822,'3) Release_Label'!$D:$D&amp;'3) Release_Label'!$E:$E,1,0))),vlookup($A822&amp;$B822,{'3) Release_Label'!$D:$D&amp;'3) Release_Label'!$E:$E,'3) Release_Label'!$H:$H},2,0), or(and(not(isblank($B822)),$B822=$B821,$A822&lt;&gt;$A821),and(not(isblank($A822)),$A822=$A821,$B822&lt;&gt;$B821)),"ID LISTS UNALIGNED",and($A822&lt;&gt;"",countif('3) Release_Label'!$D:$D,$A822)=0),"NO UPC MATCH in Release_Label",and($B822&lt;&gt;"",countif('3) Release_Label'!$E:$E,$B822)=0),"NO CATALOG ID MATCH in Release_Label",iserror(vlookup($A822&amp;$B822,'3) Release_Label'!$D:$D&amp;'3) Release_Label'!$E:$E,1,0)),"NO UPC-CATALOG ID pair MATCH in Release_Label" )</f>
        <v/>
      </c>
      <c r="E822" s="141" t="str">
        <f t="shared" si="2"/>
        <v/>
      </c>
      <c r="G822" s="103"/>
      <c r="H822" s="152"/>
      <c r="J822" s="99"/>
      <c r="K822" s="104"/>
      <c r="L822" s="99"/>
      <c r="N822" s="99"/>
      <c r="O822" s="99"/>
      <c r="P822" s="34"/>
    </row>
    <row r="823">
      <c r="A823" s="28"/>
      <c r="B823" s="103"/>
      <c r="C823" s="121" t="str">
        <f t="array" ref="C823">ifs(and(isblank($A823),isblank($B823)),"", not(iserror(vlookup($A823&amp;$B823,'3) Release_Label'!$D:$D&amp;'3) Release_Label'!$E:$E,1,0))),vlookup($A823&amp;$B823,{'3) Release_Label'!$D:$D&amp;'3) Release_Label'!$E:$E,'3) Release_Label'!$F:$F},2,0), or(and(not(isblank($B823)),$B823=$B822,$A823&lt;&gt;$A822),and(not(isblank($A823)),$A823=$A822,$B823&lt;&gt;$B822)),"ID LISTS UNALIGNED",and($A823&lt;&gt;"",countif('3) Release_Label'!$D:$D,$A823)=0),"NO UPC MATCH in Release_Label",and($B823&lt;&gt;"",countif('3) Release_Label'!$E:$E,$B823)=0),"NO CATALOG ID MATCH in Release_Label",iserror(vlookup($A823&amp;$B823,'3) Release_Label'!$D:$D&amp;'3) Release_Label'!$E:$E,1,0)),"NO UPC-CATALOG ID pair MATCH in Release_Label" )</f>
        <v/>
      </c>
      <c r="D823" s="121" t="str">
        <f t="array" ref="D823">ifs(and(isblank($A823),isblank($B823)),"", not(iserror(vlookup($A823&amp;$B823,'3) Release_Label'!$D:$D&amp;'3) Release_Label'!$E:$E,1,0))),vlookup($A823&amp;$B823,{'3) Release_Label'!$D:$D&amp;'3) Release_Label'!$E:$E,'3) Release_Label'!$H:$H},2,0), or(and(not(isblank($B823)),$B823=$B822,$A823&lt;&gt;$A822),and(not(isblank($A823)),$A823=$A822,$B823&lt;&gt;$B822)),"ID LISTS UNALIGNED",and($A823&lt;&gt;"",countif('3) Release_Label'!$D:$D,$A823)=0),"NO UPC MATCH in Release_Label",and($B823&lt;&gt;"",countif('3) Release_Label'!$E:$E,$B823)=0),"NO CATALOG ID MATCH in Release_Label",iserror(vlookup($A823&amp;$B823,'3) Release_Label'!$D:$D&amp;'3) Release_Label'!$E:$E,1,0)),"NO UPC-CATALOG ID pair MATCH in Release_Label" )</f>
        <v/>
      </c>
      <c r="E823" s="141" t="str">
        <f t="shared" si="2"/>
        <v/>
      </c>
      <c r="G823" s="103"/>
      <c r="H823" s="152"/>
      <c r="J823" s="99"/>
      <c r="K823" s="104"/>
      <c r="L823" s="99"/>
      <c r="N823" s="99"/>
      <c r="O823" s="99"/>
      <c r="P823" s="34"/>
    </row>
    <row r="824">
      <c r="A824" s="28"/>
      <c r="B824" s="103"/>
      <c r="C824" s="121" t="str">
        <f t="array" ref="C824">ifs(and(isblank($A824),isblank($B824)),"", not(iserror(vlookup($A824&amp;$B824,'3) Release_Label'!$D:$D&amp;'3) Release_Label'!$E:$E,1,0))),vlookup($A824&amp;$B824,{'3) Release_Label'!$D:$D&amp;'3) Release_Label'!$E:$E,'3) Release_Label'!$F:$F},2,0), or(and(not(isblank($B824)),$B824=$B823,$A824&lt;&gt;$A823),and(not(isblank($A824)),$A824=$A823,$B824&lt;&gt;$B823)),"ID LISTS UNALIGNED",and($A824&lt;&gt;"",countif('3) Release_Label'!$D:$D,$A824)=0),"NO UPC MATCH in Release_Label",and($B824&lt;&gt;"",countif('3) Release_Label'!$E:$E,$B824)=0),"NO CATALOG ID MATCH in Release_Label",iserror(vlookup($A824&amp;$B824,'3) Release_Label'!$D:$D&amp;'3) Release_Label'!$E:$E,1,0)),"NO UPC-CATALOG ID pair MATCH in Release_Label" )</f>
        <v/>
      </c>
      <c r="D824" s="121" t="str">
        <f t="array" ref="D824">ifs(and(isblank($A824),isblank($B824)),"", not(iserror(vlookup($A824&amp;$B824,'3) Release_Label'!$D:$D&amp;'3) Release_Label'!$E:$E,1,0))),vlookup($A824&amp;$B824,{'3) Release_Label'!$D:$D&amp;'3) Release_Label'!$E:$E,'3) Release_Label'!$H:$H},2,0), or(and(not(isblank($B824)),$B824=$B823,$A824&lt;&gt;$A823),and(not(isblank($A824)),$A824=$A823,$B824&lt;&gt;$B823)),"ID LISTS UNALIGNED",and($A824&lt;&gt;"",countif('3) Release_Label'!$D:$D,$A824)=0),"NO UPC MATCH in Release_Label",and($B824&lt;&gt;"",countif('3) Release_Label'!$E:$E,$B824)=0),"NO CATALOG ID MATCH in Release_Label",iserror(vlookup($A824&amp;$B824,'3) Release_Label'!$D:$D&amp;'3) Release_Label'!$E:$E,1,0)),"NO UPC-CATALOG ID pair MATCH in Release_Label" )</f>
        <v/>
      </c>
      <c r="E824" s="141" t="str">
        <f t="shared" si="2"/>
        <v/>
      </c>
      <c r="G824" s="103"/>
      <c r="H824" s="152"/>
      <c r="J824" s="99"/>
      <c r="K824" s="104"/>
      <c r="L824" s="99"/>
      <c r="N824" s="99"/>
      <c r="O824" s="99"/>
      <c r="P824" s="34"/>
    </row>
    <row r="825">
      <c r="A825" s="28"/>
      <c r="B825" s="103"/>
      <c r="C825" s="121" t="str">
        <f t="array" ref="C825">ifs(and(isblank($A825),isblank($B825)),"", not(iserror(vlookup($A825&amp;$B825,'3) Release_Label'!$D:$D&amp;'3) Release_Label'!$E:$E,1,0))),vlookup($A825&amp;$B825,{'3) Release_Label'!$D:$D&amp;'3) Release_Label'!$E:$E,'3) Release_Label'!$F:$F},2,0), or(and(not(isblank($B825)),$B825=$B824,$A825&lt;&gt;$A824),and(not(isblank($A825)),$A825=$A824,$B825&lt;&gt;$B824)),"ID LISTS UNALIGNED",and($A825&lt;&gt;"",countif('3) Release_Label'!$D:$D,$A825)=0),"NO UPC MATCH in Release_Label",and($B825&lt;&gt;"",countif('3) Release_Label'!$E:$E,$B825)=0),"NO CATALOG ID MATCH in Release_Label",iserror(vlookup($A825&amp;$B825,'3) Release_Label'!$D:$D&amp;'3) Release_Label'!$E:$E,1,0)),"NO UPC-CATALOG ID pair MATCH in Release_Label" )</f>
        <v/>
      </c>
      <c r="D825" s="121" t="str">
        <f t="array" ref="D825">ifs(and(isblank($A825),isblank($B825)),"", not(iserror(vlookup($A825&amp;$B825,'3) Release_Label'!$D:$D&amp;'3) Release_Label'!$E:$E,1,0))),vlookup($A825&amp;$B825,{'3) Release_Label'!$D:$D&amp;'3) Release_Label'!$E:$E,'3) Release_Label'!$H:$H},2,0), or(and(not(isblank($B825)),$B825=$B824,$A825&lt;&gt;$A824),and(not(isblank($A825)),$A825=$A824,$B825&lt;&gt;$B824)),"ID LISTS UNALIGNED",and($A825&lt;&gt;"",countif('3) Release_Label'!$D:$D,$A825)=0),"NO UPC MATCH in Release_Label",and($B825&lt;&gt;"",countif('3) Release_Label'!$E:$E,$B825)=0),"NO CATALOG ID MATCH in Release_Label",iserror(vlookup($A825&amp;$B825,'3) Release_Label'!$D:$D&amp;'3) Release_Label'!$E:$E,1,0)),"NO UPC-CATALOG ID pair MATCH in Release_Label" )</f>
        <v/>
      </c>
      <c r="E825" s="141" t="str">
        <f t="shared" si="2"/>
        <v/>
      </c>
      <c r="G825" s="103"/>
      <c r="H825" s="152"/>
      <c r="J825" s="99"/>
      <c r="K825" s="104"/>
      <c r="L825" s="99"/>
      <c r="N825" s="99"/>
      <c r="O825" s="99"/>
      <c r="P825" s="34"/>
    </row>
    <row r="826">
      <c r="A826" s="28"/>
      <c r="B826" s="103"/>
      <c r="C826" s="121" t="str">
        <f t="array" ref="C826">ifs(and(isblank($A826),isblank($B826)),"", not(iserror(vlookup($A826&amp;$B826,'3) Release_Label'!$D:$D&amp;'3) Release_Label'!$E:$E,1,0))),vlookup($A826&amp;$B826,{'3) Release_Label'!$D:$D&amp;'3) Release_Label'!$E:$E,'3) Release_Label'!$F:$F},2,0), or(and(not(isblank($B826)),$B826=$B825,$A826&lt;&gt;$A825),and(not(isblank($A826)),$A826=$A825,$B826&lt;&gt;$B825)),"ID LISTS UNALIGNED",and($A826&lt;&gt;"",countif('3) Release_Label'!$D:$D,$A826)=0),"NO UPC MATCH in Release_Label",and($B826&lt;&gt;"",countif('3) Release_Label'!$E:$E,$B826)=0),"NO CATALOG ID MATCH in Release_Label",iserror(vlookup($A826&amp;$B826,'3) Release_Label'!$D:$D&amp;'3) Release_Label'!$E:$E,1,0)),"NO UPC-CATALOG ID pair MATCH in Release_Label" )</f>
        <v/>
      </c>
      <c r="D826" s="121" t="str">
        <f t="array" ref="D826">ifs(and(isblank($A826),isblank($B826)),"", not(iserror(vlookup($A826&amp;$B826,'3) Release_Label'!$D:$D&amp;'3) Release_Label'!$E:$E,1,0))),vlookup($A826&amp;$B826,{'3) Release_Label'!$D:$D&amp;'3) Release_Label'!$E:$E,'3) Release_Label'!$H:$H},2,0), or(and(not(isblank($B826)),$B826=$B825,$A826&lt;&gt;$A825),and(not(isblank($A826)),$A826=$A825,$B826&lt;&gt;$B825)),"ID LISTS UNALIGNED",and($A826&lt;&gt;"",countif('3) Release_Label'!$D:$D,$A826)=0),"NO UPC MATCH in Release_Label",and($B826&lt;&gt;"",countif('3) Release_Label'!$E:$E,$B826)=0),"NO CATALOG ID MATCH in Release_Label",iserror(vlookup($A826&amp;$B826,'3) Release_Label'!$D:$D&amp;'3) Release_Label'!$E:$E,1,0)),"NO UPC-CATALOG ID pair MATCH in Release_Label" )</f>
        <v/>
      </c>
      <c r="E826" s="141" t="str">
        <f t="shared" si="2"/>
        <v/>
      </c>
      <c r="G826" s="103"/>
      <c r="H826" s="152"/>
      <c r="J826" s="99"/>
      <c r="K826" s="104"/>
      <c r="L826" s="99"/>
      <c r="N826" s="99"/>
      <c r="O826" s="99"/>
      <c r="P826" s="34"/>
    </row>
    <row r="827">
      <c r="A827" s="28"/>
      <c r="B827" s="103"/>
      <c r="C827" s="121" t="str">
        <f t="array" ref="C827">ifs(and(isblank($A827),isblank($B827)),"", not(iserror(vlookup($A827&amp;$B827,'3) Release_Label'!$D:$D&amp;'3) Release_Label'!$E:$E,1,0))),vlookup($A827&amp;$B827,{'3) Release_Label'!$D:$D&amp;'3) Release_Label'!$E:$E,'3) Release_Label'!$F:$F},2,0), or(and(not(isblank($B827)),$B827=$B826,$A827&lt;&gt;$A826),and(not(isblank($A827)),$A827=$A826,$B827&lt;&gt;$B826)),"ID LISTS UNALIGNED",and($A827&lt;&gt;"",countif('3) Release_Label'!$D:$D,$A827)=0),"NO UPC MATCH in Release_Label",and($B827&lt;&gt;"",countif('3) Release_Label'!$E:$E,$B827)=0),"NO CATALOG ID MATCH in Release_Label",iserror(vlookup($A827&amp;$B827,'3) Release_Label'!$D:$D&amp;'3) Release_Label'!$E:$E,1,0)),"NO UPC-CATALOG ID pair MATCH in Release_Label" )</f>
        <v/>
      </c>
      <c r="D827" s="121" t="str">
        <f t="array" ref="D827">ifs(and(isblank($A827),isblank($B827)),"", not(iserror(vlookup($A827&amp;$B827,'3) Release_Label'!$D:$D&amp;'3) Release_Label'!$E:$E,1,0))),vlookup($A827&amp;$B827,{'3) Release_Label'!$D:$D&amp;'3) Release_Label'!$E:$E,'3) Release_Label'!$H:$H},2,0), or(and(not(isblank($B827)),$B827=$B826,$A827&lt;&gt;$A826),and(not(isblank($A827)),$A827=$A826,$B827&lt;&gt;$B826)),"ID LISTS UNALIGNED",and($A827&lt;&gt;"",countif('3) Release_Label'!$D:$D,$A827)=0),"NO UPC MATCH in Release_Label",and($B827&lt;&gt;"",countif('3) Release_Label'!$E:$E,$B827)=0),"NO CATALOG ID MATCH in Release_Label",iserror(vlookup($A827&amp;$B827,'3) Release_Label'!$D:$D&amp;'3) Release_Label'!$E:$E,1,0)),"NO UPC-CATALOG ID pair MATCH in Release_Label" )</f>
        <v/>
      </c>
      <c r="E827" s="141" t="str">
        <f t="shared" si="2"/>
        <v/>
      </c>
      <c r="G827" s="103"/>
      <c r="H827" s="152"/>
      <c r="J827" s="99"/>
      <c r="K827" s="104"/>
      <c r="L827" s="99"/>
      <c r="N827" s="99"/>
      <c r="O827" s="99"/>
      <c r="P827" s="34"/>
    </row>
    <row r="828">
      <c r="A828" s="28"/>
      <c r="B828" s="103"/>
      <c r="C828" s="121" t="str">
        <f t="array" ref="C828">ifs(and(isblank($A828),isblank($B828)),"", not(iserror(vlookup($A828&amp;$B828,'3) Release_Label'!$D:$D&amp;'3) Release_Label'!$E:$E,1,0))),vlookup($A828&amp;$B828,{'3) Release_Label'!$D:$D&amp;'3) Release_Label'!$E:$E,'3) Release_Label'!$F:$F},2,0), or(and(not(isblank($B828)),$B828=$B827,$A828&lt;&gt;$A827),and(not(isblank($A828)),$A828=$A827,$B828&lt;&gt;$B827)),"ID LISTS UNALIGNED",and($A828&lt;&gt;"",countif('3) Release_Label'!$D:$D,$A828)=0),"NO UPC MATCH in Release_Label",and($B828&lt;&gt;"",countif('3) Release_Label'!$E:$E,$B828)=0),"NO CATALOG ID MATCH in Release_Label",iserror(vlookup($A828&amp;$B828,'3) Release_Label'!$D:$D&amp;'3) Release_Label'!$E:$E,1,0)),"NO UPC-CATALOG ID pair MATCH in Release_Label" )</f>
        <v/>
      </c>
      <c r="D828" s="121" t="str">
        <f t="array" ref="D828">ifs(and(isblank($A828),isblank($B828)),"", not(iserror(vlookup($A828&amp;$B828,'3) Release_Label'!$D:$D&amp;'3) Release_Label'!$E:$E,1,0))),vlookup($A828&amp;$B828,{'3) Release_Label'!$D:$D&amp;'3) Release_Label'!$E:$E,'3) Release_Label'!$H:$H},2,0), or(and(not(isblank($B828)),$B828=$B827,$A828&lt;&gt;$A827),and(not(isblank($A828)),$A828=$A827,$B828&lt;&gt;$B827)),"ID LISTS UNALIGNED",and($A828&lt;&gt;"",countif('3) Release_Label'!$D:$D,$A828)=0),"NO UPC MATCH in Release_Label",and($B828&lt;&gt;"",countif('3) Release_Label'!$E:$E,$B828)=0),"NO CATALOG ID MATCH in Release_Label",iserror(vlookup($A828&amp;$B828,'3) Release_Label'!$D:$D&amp;'3) Release_Label'!$E:$E,1,0)),"NO UPC-CATALOG ID pair MATCH in Release_Label" )</f>
        <v/>
      </c>
      <c r="E828" s="141" t="str">
        <f t="shared" si="2"/>
        <v/>
      </c>
      <c r="G828" s="103"/>
      <c r="H828" s="152"/>
      <c r="J828" s="99"/>
      <c r="K828" s="104"/>
      <c r="L828" s="99"/>
      <c r="N828" s="99"/>
      <c r="O828" s="99"/>
      <c r="P828" s="34"/>
    </row>
    <row r="829">
      <c r="A829" s="28"/>
      <c r="B829" s="103"/>
      <c r="C829" s="121" t="str">
        <f t="array" ref="C829">ifs(and(isblank($A829),isblank($B829)),"", not(iserror(vlookup($A829&amp;$B829,'3) Release_Label'!$D:$D&amp;'3) Release_Label'!$E:$E,1,0))),vlookup($A829&amp;$B829,{'3) Release_Label'!$D:$D&amp;'3) Release_Label'!$E:$E,'3) Release_Label'!$F:$F},2,0), or(and(not(isblank($B829)),$B829=$B828,$A829&lt;&gt;$A828),and(not(isblank($A829)),$A829=$A828,$B829&lt;&gt;$B828)),"ID LISTS UNALIGNED",and($A829&lt;&gt;"",countif('3) Release_Label'!$D:$D,$A829)=0),"NO UPC MATCH in Release_Label",and($B829&lt;&gt;"",countif('3) Release_Label'!$E:$E,$B829)=0),"NO CATALOG ID MATCH in Release_Label",iserror(vlookup($A829&amp;$B829,'3) Release_Label'!$D:$D&amp;'3) Release_Label'!$E:$E,1,0)),"NO UPC-CATALOG ID pair MATCH in Release_Label" )</f>
        <v/>
      </c>
      <c r="D829" s="121" t="str">
        <f t="array" ref="D829">ifs(and(isblank($A829),isblank($B829)),"", not(iserror(vlookup($A829&amp;$B829,'3) Release_Label'!$D:$D&amp;'3) Release_Label'!$E:$E,1,0))),vlookup($A829&amp;$B829,{'3) Release_Label'!$D:$D&amp;'3) Release_Label'!$E:$E,'3) Release_Label'!$H:$H},2,0), or(and(not(isblank($B829)),$B829=$B828,$A829&lt;&gt;$A828),and(not(isblank($A829)),$A829=$A828,$B829&lt;&gt;$B828)),"ID LISTS UNALIGNED",and($A829&lt;&gt;"",countif('3) Release_Label'!$D:$D,$A829)=0),"NO UPC MATCH in Release_Label",and($B829&lt;&gt;"",countif('3) Release_Label'!$E:$E,$B829)=0),"NO CATALOG ID MATCH in Release_Label",iserror(vlookup($A829&amp;$B829,'3) Release_Label'!$D:$D&amp;'3) Release_Label'!$E:$E,1,0)),"NO UPC-CATALOG ID pair MATCH in Release_Label" )</f>
        <v/>
      </c>
      <c r="E829" s="141" t="str">
        <f t="shared" si="2"/>
        <v/>
      </c>
      <c r="G829" s="103"/>
      <c r="H829" s="152"/>
      <c r="J829" s="99"/>
      <c r="K829" s="104"/>
      <c r="L829" s="99"/>
      <c r="N829" s="99"/>
      <c r="O829" s="99"/>
      <c r="P829" s="34"/>
    </row>
    <row r="830">
      <c r="A830" s="28"/>
      <c r="B830" s="103"/>
      <c r="C830" s="121" t="str">
        <f t="array" ref="C830">ifs(and(isblank($A830),isblank($B830)),"", not(iserror(vlookup($A830&amp;$B830,'3) Release_Label'!$D:$D&amp;'3) Release_Label'!$E:$E,1,0))),vlookup($A830&amp;$B830,{'3) Release_Label'!$D:$D&amp;'3) Release_Label'!$E:$E,'3) Release_Label'!$F:$F},2,0), or(and(not(isblank($B830)),$B830=$B829,$A830&lt;&gt;$A829),and(not(isblank($A830)),$A830=$A829,$B830&lt;&gt;$B829)),"ID LISTS UNALIGNED",and($A830&lt;&gt;"",countif('3) Release_Label'!$D:$D,$A830)=0),"NO UPC MATCH in Release_Label",and($B830&lt;&gt;"",countif('3) Release_Label'!$E:$E,$B830)=0),"NO CATALOG ID MATCH in Release_Label",iserror(vlookup($A830&amp;$B830,'3) Release_Label'!$D:$D&amp;'3) Release_Label'!$E:$E,1,0)),"NO UPC-CATALOG ID pair MATCH in Release_Label" )</f>
        <v/>
      </c>
      <c r="D830" s="121" t="str">
        <f t="array" ref="D830">ifs(and(isblank($A830),isblank($B830)),"", not(iserror(vlookup($A830&amp;$B830,'3) Release_Label'!$D:$D&amp;'3) Release_Label'!$E:$E,1,0))),vlookup($A830&amp;$B830,{'3) Release_Label'!$D:$D&amp;'3) Release_Label'!$E:$E,'3) Release_Label'!$H:$H},2,0), or(and(not(isblank($B830)),$B830=$B829,$A830&lt;&gt;$A829),and(not(isblank($A830)),$A830=$A829,$B830&lt;&gt;$B829)),"ID LISTS UNALIGNED",and($A830&lt;&gt;"",countif('3) Release_Label'!$D:$D,$A830)=0),"NO UPC MATCH in Release_Label",and($B830&lt;&gt;"",countif('3) Release_Label'!$E:$E,$B830)=0),"NO CATALOG ID MATCH in Release_Label",iserror(vlookup($A830&amp;$B830,'3) Release_Label'!$D:$D&amp;'3) Release_Label'!$E:$E,1,0)),"NO UPC-CATALOG ID pair MATCH in Release_Label" )</f>
        <v/>
      </c>
      <c r="E830" s="141" t="str">
        <f t="shared" si="2"/>
        <v/>
      </c>
      <c r="G830" s="103"/>
      <c r="H830" s="152"/>
      <c r="J830" s="99"/>
      <c r="K830" s="104"/>
      <c r="L830" s="99"/>
      <c r="N830" s="99"/>
      <c r="O830" s="99"/>
      <c r="P830" s="34"/>
    </row>
    <row r="831">
      <c r="A831" s="28"/>
      <c r="B831" s="103"/>
      <c r="C831" s="121" t="str">
        <f t="array" ref="C831">ifs(and(isblank($A831),isblank($B831)),"", not(iserror(vlookup($A831&amp;$B831,'3) Release_Label'!$D:$D&amp;'3) Release_Label'!$E:$E,1,0))),vlookup($A831&amp;$B831,{'3) Release_Label'!$D:$D&amp;'3) Release_Label'!$E:$E,'3) Release_Label'!$F:$F},2,0), or(and(not(isblank($B831)),$B831=$B830,$A831&lt;&gt;$A830),and(not(isblank($A831)),$A831=$A830,$B831&lt;&gt;$B830)),"ID LISTS UNALIGNED",and($A831&lt;&gt;"",countif('3) Release_Label'!$D:$D,$A831)=0),"NO UPC MATCH in Release_Label",and($B831&lt;&gt;"",countif('3) Release_Label'!$E:$E,$B831)=0),"NO CATALOG ID MATCH in Release_Label",iserror(vlookup($A831&amp;$B831,'3) Release_Label'!$D:$D&amp;'3) Release_Label'!$E:$E,1,0)),"NO UPC-CATALOG ID pair MATCH in Release_Label" )</f>
        <v/>
      </c>
      <c r="D831" s="121" t="str">
        <f t="array" ref="D831">ifs(and(isblank($A831),isblank($B831)),"", not(iserror(vlookup($A831&amp;$B831,'3) Release_Label'!$D:$D&amp;'3) Release_Label'!$E:$E,1,0))),vlookup($A831&amp;$B831,{'3) Release_Label'!$D:$D&amp;'3) Release_Label'!$E:$E,'3) Release_Label'!$H:$H},2,0), or(and(not(isblank($B831)),$B831=$B830,$A831&lt;&gt;$A830),and(not(isblank($A831)),$A831=$A830,$B831&lt;&gt;$B830)),"ID LISTS UNALIGNED",and($A831&lt;&gt;"",countif('3) Release_Label'!$D:$D,$A831)=0),"NO UPC MATCH in Release_Label",and($B831&lt;&gt;"",countif('3) Release_Label'!$E:$E,$B831)=0),"NO CATALOG ID MATCH in Release_Label",iserror(vlookup($A831&amp;$B831,'3) Release_Label'!$D:$D&amp;'3) Release_Label'!$E:$E,1,0)),"NO UPC-CATALOG ID pair MATCH in Release_Label" )</f>
        <v/>
      </c>
      <c r="E831" s="141" t="str">
        <f t="shared" si="2"/>
        <v/>
      </c>
      <c r="G831" s="103"/>
      <c r="H831" s="152"/>
      <c r="J831" s="99"/>
      <c r="K831" s="104"/>
      <c r="L831" s="99"/>
      <c r="N831" s="99"/>
      <c r="O831" s="99"/>
      <c r="P831" s="34"/>
    </row>
    <row r="832">
      <c r="A832" s="28"/>
      <c r="B832" s="103"/>
      <c r="C832" s="121" t="str">
        <f t="array" ref="C832">ifs(and(isblank($A832),isblank($B832)),"", not(iserror(vlookup($A832&amp;$B832,'3) Release_Label'!$D:$D&amp;'3) Release_Label'!$E:$E,1,0))),vlookup($A832&amp;$B832,{'3) Release_Label'!$D:$D&amp;'3) Release_Label'!$E:$E,'3) Release_Label'!$F:$F},2,0), or(and(not(isblank($B832)),$B832=$B831,$A832&lt;&gt;$A831),and(not(isblank($A832)),$A832=$A831,$B832&lt;&gt;$B831)),"ID LISTS UNALIGNED",and($A832&lt;&gt;"",countif('3) Release_Label'!$D:$D,$A832)=0),"NO UPC MATCH in Release_Label",and($B832&lt;&gt;"",countif('3) Release_Label'!$E:$E,$B832)=0),"NO CATALOG ID MATCH in Release_Label",iserror(vlookup($A832&amp;$B832,'3) Release_Label'!$D:$D&amp;'3) Release_Label'!$E:$E,1,0)),"NO UPC-CATALOG ID pair MATCH in Release_Label" )</f>
        <v/>
      </c>
      <c r="D832" s="121" t="str">
        <f t="array" ref="D832">ifs(and(isblank($A832),isblank($B832)),"", not(iserror(vlookup($A832&amp;$B832,'3) Release_Label'!$D:$D&amp;'3) Release_Label'!$E:$E,1,0))),vlookup($A832&amp;$B832,{'3) Release_Label'!$D:$D&amp;'3) Release_Label'!$E:$E,'3) Release_Label'!$H:$H},2,0), or(and(not(isblank($B832)),$B832=$B831,$A832&lt;&gt;$A831),and(not(isblank($A832)),$A832=$A831,$B832&lt;&gt;$B831)),"ID LISTS UNALIGNED",and($A832&lt;&gt;"",countif('3) Release_Label'!$D:$D,$A832)=0),"NO UPC MATCH in Release_Label",and($B832&lt;&gt;"",countif('3) Release_Label'!$E:$E,$B832)=0),"NO CATALOG ID MATCH in Release_Label",iserror(vlookup($A832&amp;$B832,'3) Release_Label'!$D:$D&amp;'3) Release_Label'!$E:$E,1,0)),"NO UPC-CATALOG ID pair MATCH in Release_Label" )</f>
        <v/>
      </c>
      <c r="E832" s="141" t="str">
        <f t="shared" si="2"/>
        <v/>
      </c>
      <c r="G832" s="103"/>
      <c r="H832" s="152"/>
      <c r="J832" s="99"/>
      <c r="K832" s="104"/>
      <c r="L832" s="99"/>
      <c r="N832" s="99"/>
      <c r="O832" s="99"/>
      <c r="P832" s="34"/>
    </row>
    <row r="833">
      <c r="A833" s="28"/>
      <c r="B833" s="103"/>
      <c r="C833" s="121" t="str">
        <f t="array" ref="C833">ifs(and(isblank($A833),isblank($B833)),"", not(iserror(vlookup($A833&amp;$B833,'3) Release_Label'!$D:$D&amp;'3) Release_Label'!$E:$E,1,0))),vlookup($A833&amp;$B833,{'3) Release_Label'!$D:$D&amp;'3) Release_Label'!$E:$E,'3) Release_Label'!$F:$F},2,0), or(and(not(isblank($B833)),$B833=$B832,$A833&lt;&gt;$A832),and(not(isblank($A833)),$A833=$A832,$B833&lt;&gt;$B832)),"ID LISTS UNALIGNED",and($A833&lt;&gt;"",countif('3) Release_Label'!$D:$D,$A833)=0),"NO UPC MATCH in Release_Label",and($B833&lt;&gt;"",countif('3) Release_Label'!$E:$E,$B833)=0),"NO CATALOG ID MATCH in Release_Label",iserror(vlookup($A833&amp;$B833,'3) Release_Label'!$D:$D&amp;'3) Release_Label'!$E:$E,1,0)),"NO UPC-CATALOG ID pair MATCH in Release_Label" )</f>
        <v/>
      </c>
      <c r="D833" s="121" t="str">
        <f t="array" ref="D833">ifs(and(isblank($A833),isblank($B833)),"", not(iserror(vlookup($A833&amp;$B833,'3) Release_Label'!$D:$D&amp;'3) Release_Label'!$E:$E,1,0))),vlookup($A833&amp;$B833,{'3) Release_Label'!$D:$D&amp;'3) Release_Label'!$E:$E,'3) Release_Label'!$H:$H},2,0), or(and(not(isblank($B833)),$B833=$B832,$A833&lt;&gt;$A832),and(not(isblank($A833)),$A833=$A832,$B833&lt;&gt;$B832)),"ID LISTS UNALIGNED",and($A833&lt;&gt;"",countif('3) Release_Label'!$D:$D,$A833)=0),"NO UPC MATCH in Release_Label",and($B833&lt;&gt;"",countif('3) Release_Label'!$E:$E,$B833)=0),"NO CATALOG ID MATCH in Release_Label",iserror(vlookup($A833&amp;$B833,'3) Release_Label'!$D:$D&amp;'3) Release_Label'!$E:$E,1,0)),"NO UPC-CATALOG ID pair MATCH in Release_Label" )</f>
        <v/>
      </c>
      <c r="E833" s="141" t="str">
        <f t="shared" si="2"/>
        <v/>
      </c>
      <c r="G833" s="103"/>
      <c r="H833" s="152"/>
      <c r="J833" s="99"/>
      <c r="K833" s="104"/>
      <c r="L833" s="99"/>
      <c r="N833" s="99"/>
      <c r="O833" s="99"/>
      <c r="P833" s="34"/>
    </row>
    <row r="834">
      <c r="A834" s="28"/>
      <c r="B834" s="103"/>
      <c r="C834" s="121" t="str">
        <f t="array" ref="C834">ifs(and(isblank($A834),isblank($B834)),"", not(iserror(vlookup($A834&amp;$B834,'3) Release_Label'!$D:$D&amp;'3) Release_Label'!$E:$E,1,0))),vlookup($A834&amp;$B834,{'3) Release_Label'!$D:$D&amp;'3) Release_Label'!$E:$E,'3) Release_Label'!$F:$F},2,0), or(and(not(isblank($B834)),$B834=$B833,$A834&lt;&gt;$A833),and(not(isblank($A834)),$A834=$A833,$B834&lt;&gt;$B833)),"ID LISTS UNALIGNED",and($A834&lt;&gt;"",countif('3) Release_Label'!$D:$D,$A834)=0),"NO UPC MATCH in Release_Label",and($B834&lt;&gt;"",countif('3) Release_Label'!$E:$E,$B834)=0),"NO CATALOG ID MATCH in Release_Label",iserror(vlookup($A834&amp;$B834,'3) Release_Label'!$D:$D&amp;'3) Release_Label'!$E:$E,1,0)),"NO UPC-CATALOG ID pair MATCH in Release_Label" )</f>
        <v/>
      </c>
      <c r="D834" s="121" t="str">
        <f t="array" ref="D834">ifs(and(isblank($A834),isblank($B834)),"", not(iserror(vlookup($A834&amp;$B834,'3) Release_Label'!$D:$D&amp;'3) Release_Label'!$E:$E,1,0))),vlookup($A834&amp;$B834,{'3) Release_Label'!$D:$D&amp;'3) Release_Label'!$E:$E,'3) Release_Label'!$H:$H},2,0), or(and(not(isblank($B834)),$B834=$B833,$A834&lt;&gt;$A833),and(not(isblank($A834)),$A834=$A833,$B834&lt;&gt;$B833)),"ID LISTS UNALIGNED",and($A834&lt;&gt;"",countif('3) Release_Label'!$D:$D,$A834)=0),"NO UPC MATCH in Release_Label",and($B834&lt;&gt;"",countif('3) Release_Label'!$E:$E,$B834)=0),"NO CATALOG ID MATCH in Release_Label",iserror(vlookup($A834&amp;$B834,'3) Release_Label'!$D:$D&amp;'3) Release_Label'!$E:$E,1,0)),"NO UPC-CATALOG ID pair MATCH in Release_Label" )</f>
        <v/>
      </c>
      <c r="E834" s="141" t="str">
        <f t="shared" si="2"/>
        <v/>
      </c>
      <c r="G834" s="103"/>
      <c r="H834" s="152"/>
      <c r="J834" s="99"/>
      <c r="K834" s="104"/>
      <c r="L834" s="99"/>
      <c r="N834" s="99"/>
      <c r="O834" s="99"/>
      <c r="P834" s="34"/>
    </row>
    <row r="835">
      <c r="A835" s="28"/>
      <c r="B835" s="103"/>
      <c r="C835" s="121" t="str">
        <f t="array" ref="C835">ifs(and(isblank($A835),isblank($B835)),"", not(iserror(vlookup($A835&amp;$B835,'3) Release_Label'!$D:$D&amp;'3) Release_Label'!$E:$E,1,0))),vlookup($A835&amp;$B835,{'3) Release_Label'!$D:$D&amp;'3) Release_Label'!$E:$E,'3) Release_Label'!$F:$F},2,0), or(and(not(isblank($B835)),$B835=$B834,$A835&lt;&gt;$A834),and(not(isblank($A835)),$A835=$A834,$B835&lt;&gt;$B834)),"ID LISTS UNALIGNED",and($A835&lt;&gt;"",countif('3) Release_Label'!$D:$D,$A835)=0),"NO UPC MATCH in Release_Label",and($B835&lt;&gt;"",countif('3) Release_Label'!$E:$E,$B835)=0),"NO CATALOG ID MATCH in Release_Label",iserror(vlookup($A835&amp;$B835,'3) Release_Label'!$D:$D&amp;'3) Release_Label'!$E:$E,1,0)),"NO UPC-CATALOG ID pair MATCH in Release_Label" )</f>
        <v/>
      </c>
      <c r="D835" s="121" t="str">
        <f t="array" ref="D835">ifs(and(isblank($A835),isblank($B835)),"", not(iserror(vlookup($A835&amp;$B835,'3) Release_Label'!$D:$D&amp;'3) Release_Label'!$E:$E,1,0))),vlookup($A835&amp;$B835,{'3) Release_Label'!$D:$D&amp;'3) Release_Label'!$E:$E,'3) Release_Label'!$H:$H},2,0), or(and(not(isblank($B835)),$B835=$B834,$A835&lt;&gt;$A834),and(not(isblank($A835)),$A835=$A834,$B835&lt;&gt;$B834)),"ID LISTS UNALIGNED",and($A835&lt;&gt;"",countif('3) Release_Label'!$D:$D,$A835)=0),"NO UPC MATCH in Release_Label",and($B835&lt;&gt;"",countif('3) Release_Label'!$E:$E,$B835)=0),"NO CATALOG ID MATCH in Release_Label",iserror(vlookup($A835&amp;$B835,'3) Release_Label'!$D:$D&amp;'3) Release_Label'!$E:$E,1,0)),"NO UPC-CATALOG ID pair MATCH in Release_Label" )</f>
        <v/>
      </c>
      <c r="E835" s="141" t="str">
        <f t="shared" si="2"/>
        <v/>
      </c>
      <c r="G835" s="103"/>
      <c r="H835" s="152"/>
      <c r="J835" s="99"/>
      <c r="K835" s="104"/>
      <c r="L835" s="99"/>
      <c r="N835" s="99"/>
      <c r="O835" s="99"/>
      <c r="P835" s="34"/>
    </row>
    <row r="836">
      <c r="A836" s="28"/>
      <c r="B836" s="103"/>
      <c r="C836" s="121" t="str">
        <f t="array" ref="C836">ifs(and(isblank($A836),isblank($B836)),"", not(iserror(vlookup($A836&amp;$B836,'3) Release_Label'!$D:$D&amp;'3) Release_Label'!$E:$E,1,0))),vlookup($A836&amp;$B836,{'3) Release_Label'!$D:$D&amp;'3) Release_Label'!$E:$E,'3) Release_Label'!$F:$F},2,0), or(and(not(isblank($B836)),$B836=$B835,$A836&lt;&gt;$A835),and(not(isblank($A836)),$A836=$A835,$B836&lt;&gt;$B835)),"ID LISTS UNALIGNED",and($A836&lt;&gt;"",countif('3) Release_Label'!$D:$D,$A836)=0),"NO UPC MATCH in Release_Label",and($B836&lt;&gt;"",countif('3) Release_Label'!$E:$E,$B836)=0),"NO CATALOG ID MATCH in Release_Label",iserror(vlookup($A836&amp;$B836,'3) Release_Label'!$D:$D&amp;'3) Release_Label'!$E:$E,1,0)),"NO UPC-CATALOG ID pair MATCH in Release_Label" )</f>
        <v/>
      </c>
      <c r="D836" s="121" t="str">
        <f t="array" ref="D836">ifs(and(isblank($A836),isblank($B836)),"", not(iserror(vlookup($A836&amp;$B836,'3) Release_Label'!$D:$D&amp;'3) Release_Label'!$E:$E,1,0))),vlookup($A836&amp;$B836,{'3) Release_Label'!$D:$D&amp;'3) Release_Label'!$E:$E,'3) Release_Label'!$H:$H},2,0), or(and(not(isblank($B836)),$B836=$B835,$A836&lt;&gt;$A835),and(not(isblank($A836)),$A836=$A835,$B836&lt;&gt;$B835)),"ID LISTS UNALIGNED",and($A836&lt;&gt;"",countif('3) Release_Label'!$D:$D,$A836)=0),"NO UPC MATCH in Release_Label",and($B836&lt;&gt;"",countif('3) Release_Label'!$E:$E,$B836)=0),"NO CATALOG ID MATCH in Release_Label",iserror(vlookup($A836&amp;$B836,'3) Release_Label'!$D:$D&amp;'3) Release_Label'!$E:$E,1,0)),"NO UPC-CATALOG ID pair MATCH in Release_Label" )</f>
        <v/>
      </c>
      <c r="E836" s="141" t="str">
        <f t="shared" si="2"/>
        <v/>
      </c>
      <c r="G836" s="103"/>
      <c r="H836" s="152"/>
      <c r="J836" s="99"/>
      <c r="K836" s="104"/>
      <c r="L836" s="99"/>
      <c r="N836" s="99"/>
      <c r="O836" s="99"/>
      <c r="P836" s="34"/>
    </row>
    <row r="837">
      <c r="A837" s="28"/>
      <c r="B837" s="103"/>
      <c r="C837" s="121" t="str">
        <f t="array" ref="C837">ifs(and(isblank($A837),isblank($B837)),"", not(iserror(vlookup($A837&amp;$B837,'3) Release_Label'!$D:$D&amp;'3) Release_Label'!$E:$E,1,0))),vlookup($A837&amp;$B837,{'3) Release_Label'!$D:$D&amp;'3) Release_Label'!$E:$E,'3) Release_Label'!$F:$F},2,0), or(and(not(isblank($B837)),$B837=$B836,$A837&lt;&gt;$A836),and(not(isblank($A837)),$A837=$A836,$B837&lt;&gt;$B836)),"ID LISTS UNALIGNED",and($A837&lt;&gt;"",countif('3) Release_Label'!$D:$D,$A837)=0),"NO UPC MATCH in Release_Label",and($B837&lt;&gt;"",countif('3) Release_Label'!$E:$E,$B837)=0),"NO CATALOG ID MATCH in Release_Label",iserror(vlookup($A837&amp;$B837,'3) Release_Label'!$D:$D&amp;'3) Release_Label'!$E:$E,1,0)),"NO UPC-CATALOG ID pair MATCH in Release_Label" )</f>
        <v/>
      </c>
      <c r="D837" s="121" t="str">
        <f t="array" ref="D837">ifs(and(isblank($A837),isblank($B837)),"", not(iserror(vlookup($A837&amp;$B837,'3) Release_Label'!$D:$D&amp;'3) Release_Label'!$E:$E,1,0))),vlookup($A837&amp;$B837,{'3) Release_Label'!$D:$D&amp;'3) Release_Label'!$E:$E,'3) Release_Label'!$H:$H},2,0), or(and(not(isblank($B837)),$B837=$B836,$A837&lt;&gt;$A836),and(not(isblank($A837)),$A837=$A836,$B837&lt;&gt;$B836)),"ID LISTS UNALIGNED",and($A837&lt;&gt;"",countif('3) Release_Label'!$D:$D,$A837)=0),"NO UPC MATCH in Release_Label",and($B837&lt;&gt;"",countif('3) Release_Label'!$E:$E,$B837)=0),"NO CATALOG ID MATCH in Release_Label",iserror(vlookup($A837&amp;$B837,'3) Release_Label'!$D:$D&amp;'3) Release_Label'!$E:$E,1,0)),"NO UPC-CATALOG ID pair MATCH in Release_Label" )</f>
        <v/>
      </c>
      <c r="E837" s="141" t="str">
        <f t="shared" si="2"/>
        <v/>
      </c>
      <c r="G837" s="103"/>
      <c r="H837" s="152"/>
      <c r="J837" s="99"/>
      <c r="K837" s="104"/>
      <c r="L837" s="99"/>
      <c r="N837" s="99"/>
      <c r="O837" s="99"/>
      <c r="P837" s="34"/>
    </row>
    <row r="838">
      <c r="A838" s="28"/>
      <c r="B838" s="103"/>
      <c r="C838" s="121" t="str">
        <f t="array" ref="C838">ifs(and(isblank($A838),isblank($B838)),"", not(iserror(vlookup($A838&amp;$B838,'3) Release_Label'!$D:$D&amp;'3) Release_Label'!$E:$E,1,0))),vlookup($A838&amp;$B838,{'3) Release_Label'!$D:$D&amp;'3) Release_Label'!$E:$E,'3) Release_Label'!$F:$F},2,0), or(and(not(isblank($B838)),$B838=$B837,$A838&lt;&gt;$A837),and(not(isblank($A838)),$A838=$A837,$B838&lt;&gt;$B837)),"ID LISTS UNALIGNED",and($A838&lt;&gt;"",countif('3) Release_Label'!$D:$D,$A838)=0),"NO UPC MATCH in Release_Label",and($B838&lt;&gt;"",countif('3) Release_Label'!$E:$E,$B838)=0),"NO CATALOG ID MATCH in Release_Label",iserror(vlookup($A838&amp;$B838,'3) Release_Label'!$D:$D&amp;'3) Release_Label'!$E:$E,1,0)),"NO UPC-CATALOG ID pair MATCH in Release_Label" )</f>
        <v/>
      </c>
      <c r="D838" s="121" t="str">
        <f t="array" ref="D838">ifs(and(isblank($A838),isblank($B838)),"", not(iserror(vlookup($A838&amp;$B838,'3) Release_Label'!$D:$D&amp;'3) Release_Label'!$E:$E,1,0))),vlookup($A838&amp;$B838,{'3) Release_Label'!$D:$D&amp;'3) Release_Label'!$E:$E,'3) Release_Label'!$H:$H},2,0), or(and(not(isblank($B838)),$B838=$B837,$A838&lt;&gt;$A837),and(not(isblank($A838)),$A838=$A837,$B838&lt;&gt;$B837)),"ID LISTS UNALIGNED",and($A838&lt;&gt;"",countif('3) Release_Label'!$D:$D,$A838)=0),"NO UPC MATCH in Release_Label",and($B838&lt;&gt;"",countif('3) Release_Label'!$E:$E,$B838)=0),"NO CATALOG ID MATCH in Release_Label",iserror(vlookup($A838&amp;$B838,'3) Release_Label'!$D:$D&amp;'3) Release_Label'!$E:$E,1,0)),"NO UPC-CATALOG ID pair MATCH in Release_Label" )</f>
        <v/>
      </c>
      <c r="E838" s="141" t="str">
        <f t="shared" si="2"/>
        <v/>
      </c>
      <c r="G838" s="103"/>
      <c r="H838" s="152"/>
      <c r="J838" s="99"/>
      <c r="K838" s="104"/>
      <c r="L838" s="99"/>
      <c r="N838" s="99"/>
      <c r="O838" s="99"/>
      <c r="P838" s="34"/>
    </row>
    <row r="839">
      <c r="A839" s="28"/>
      <c r="B839" s="103"/>
      <c r="C839" s="121" t="str">
        <f t="array" ref="C839">ifs(and(isblank($A839),isblank($B839)),"", not(iserror(vlookup($A839&amp;$B839,'3) Release_Label'!$D:$D&amp;'3) Release_Label'!$E:$E,1,0))),vlookup($A839&amp;$B839,{'3) Release_Label'!$D:$D&amp;'3) Release_Label'!$E:$E,'3) Release_Label'!$F:$F},2,0), or(and(not(isblank($B839)),$B839=$B838,$A839&lt;&gt;$A838),and(not(isblank($A839)),$A839=$A838,$B839&lt;&gt;$B838)),"ID LISTS UNALIGNED",and($A839&lt;&gt;"",countif('3) Release_Label'!$D:$D,$A839)=0),"NO UPC MATCH in Release_Label",and($B839&lt;&gt;"",countif('3) Release_Label'!$E:$E,$B839)=0),"NO CATALOG ID MATCH in Release_Label",iserror(vlookup($A839&amp;$B839,'3) Release_Label'!$D:$D&amp;'3) Release_Label'!$E:$E,1,0)),"NO UPC-CATALOG ID pair MATCH in Release_Label" )</f>
        <v/>
      </c>
      <c r="D839" s="121" t="str">
        <f t="array" ref="D839">ifs(and(isblank($A839),isblank($B839)),"", not(iserror(vlookup($A839&amp;$B839,'3) Release_Label'!$D:$D&amp;'3) Release_Label'!$E:$E,1,0))),vlookup($A839&amp;$B839,{'3) Release_Label'!$D:$D&amp;'3) Release_Label'!$E:$E,'3) Release_Label'!$H:$H},2,0), or(and(not(isblank($B839)),$B839=$B838,$A839&lt;&gt;$A838),and(not(isblank($A839)),$A839=$A838,$B839&lt;&gt;$B838)),"ID LISTS UNALIGNED",and($A839&lt;&gt;"",countif('3) Release_Label'!$D:$D,$A839)=0),"NO UPC MATCH in Release_Label",and($B839&lt;&gt;"",countif('3) Release_Label'!$E:$E,$B839)=0),"NO CATALOG ID MATCH in Release_Label",iserror(vlookup($A839&amp;$B839,'3) Release_Label'!$D:$D&amp;'3) Release_Label'!$E:$E,1,0)),"NO UPC-CATALOG ID pair MATCH in Release_Label" )</f>
        <v/>
      </c>
      <c r="E839" s="141" t="str">
        <f t="shared" si="2"/>
        <v/>
      </c>
      <c r="G839" s="103"/>
      <c r="H839" s="152"/>
      <c r="J839" s="99"/>
      <c r="K839" s="104"/>
      <c r="L839" s="99"/>
      <c r="N839" s="99"/>
      <c r="O839" s="99"/>
      <c r="P839" s="34"/>
    </row>
    <row r="840">
      <c r="A840" s="28"/>
      <c r="B840" s="103"/>
      <c r="C840" s="121" t="str">
        <f t="array" ref="C840">ifs(and(isblank($A840),isblank($B840)),"", not(iserror(vlookup($A840&amp;$B840,'3) Release_Label'!$D:$D&amp;'3) Release_Label'!$E:$E,1,0))),vlookup($A840&amp;$B840,{'3) Release_Label'!$D:$D&amp;'3) Release_Label'!$E:$E,'3) Release_Label'!$F:$F},2,0), or(and(not(isblank($B840)),$B840=$B839,$A840&lt;&gt;$A839),and(not(isblank($A840)),$A840=$A839,$B840&lt;&gt;$B839)),"ID LISTS UNALIGNED",and($A840&lt;&gt;"",countif('3) Release_Label'!$D:$D,$A840)=0),"NO UPC MATCH in Release_Label",and($B840&lt;&gt;"",countif('3) Release_Label'!$E:$E,$B840)=0),"NO CATALOG ID MATCH in Release_Label",iserror(vlookup($A840&amp;$B840,'3) Release_Label'!$D:$D&amp;'3) Release_Label'!$E:$E,1,0)),"NO UPC-CATALOG ID pair MATCH in Release_Label" )</f>
        <v/>
      </c>
      <c r="D840" s="121" t="str">
        <f t="array" ref="D840">ifs(and(isblank($A840),isblank($B840)),"", not(iserror(vlookup($A840&amp;$B840,'3) Release_Label'!$D:$D&amp;'3) Release_Label'!$E:$E,1,0))),vlookup($A840&amp;$B840,{'3) Release_Label'!$D:$D&amp;'3) Release_Label'!$E:$E,'3) Release_Label'!$H:$H},2,0), or(and(not(isblank($B840)),$B840=$B839,$A840&lt;&gt;$A839),and(not(isblank($A840)),$A840=$A839,$B840&lt;&gt;$B839)),"ID LISTS UNALIGNED",and($A840&lt;&gt;"",countif('3) Release_Label'!$D:$D,$A840)=0),"NO UPC MATCH in Release_Label",and($B840&lt;&gt;"",countif('3) Release_Label'!$E:$E,$B840)=0),"NO CATALOG ID MATCH in Release_Label",iserror(vlookup($A840&amp;$B840,'3) Release_Label'!$D:$D&amp;'3) Release_Label'!$E:$E,1,0)),"NO UPC-CATALOG ID pair MATCH in Release_Label" )</f>
        <v/>
      </c>
      <c r="E840" s="141" t="str">
        <f t="shared" si="2"/>
        <v/>
      </c>
      <c r="G840" s="103"/>
      <c r="H840" s="152"/>
      <c r="J840" s="99"/>
      <c r="K840" s="104"/>
      <c r="L840" s="99"/>
      <c r="N840" s="99"/>
      <c r="O840" s="99"/>
      <c r="P840" s="34"/>
    </row>
    <row r="841">
      <c r="A841" s="28"/>
      <c r="B841" s="103"/>
      <c r="C841" s="121" t="str">
        <f t="array" ref="C841">ifs(and(isblank($A841),isblank($B841)),"", not(iserror(vlookup($A841&amp;$B841,'3) Release_Label'!$D:$D&amp;'3) Release_Label'!$E:$E,1,0))),vlookup($A841&amp;$B841,{'3) Release_Label'!$D:$D&amp;'3) Release_Label'!$E:$E,'3) Release_Label'!$F:$F},2,0), or(and(not(isblank($B841)),$B841=$B840,$A841&lt;&gt;$A840),and(not(isblank($A841)),$A841=$A840,$B841&lt;&gt;$B840)),"ID LISTS UNALIGNED",and($A841&lt;&gt;"",countif('3) Release_Label'!$D:$D,$A841)=0),"NO UPC MATCH in Release_Label",and($B841&lt;&gt;"",countif('3) Release_Label'!$E:$E,$B841)=0),"NO CATALOG ID MATCH in Release_Label",iserror(vlookup($A841&amp;$B841,'3) Release_Label'!$D:$D&amp;'3) Release_Label'!$E:$E,1,0)),"NO UPC-CATALOG ID pair MATCH in Release_Label" )</f>
        <v/>
      </c>
      <c r="D841" s="121" t="str">
        <f t="array" ref="D841">ifs(and(isblank($A841),isblank($B841)),"", not(iserror(vlookup($A841&amp;$B841,'3) Release_Label'!$D:$D&amp;'3) Release_Label'!$E:$E,1,0))),vlookup($A841&amp;$B841,{'3) Release_Label'!$D:$D&amp;'3) Release_Label'!$E:$E,'3) Release_Label'!$H:$H},2,0), or(and(not(isblank($B841)),$B841=$B840,$A841&lt;&gt;$A840),and(not(isblank($A841)),$A841=$A840,$B841&lt;&gt;$B840)),"ID LISTS UNALIGNED",and($A841&lt;&gt;"",countif('3) Release_Label'!$D:$D,$A841)=0),"NO UPC MATCH in Release_Label",and($B841&lt;&gt;"",countif('3) Release_Label'!$E:$E,$B841)=0),"NO CATALOG ID MATCH in Release_Label",iserror(vlookup($A841&amp;$B841,'3) Release_Label'!$D:$D&amp;'3) Release_Label'!$E:$E,1,0)),"NO UPC-CATALOG ID pair MATCH in Release_Label" )</f>
        <v/>
      </c>
      <c r="E841" s="141" t="str">
        <f t="shared" si="2"/>
        <v/>
      </c>
      <c r="G841" s="103"/>
      <c r="H841" s="152"/>
      <c r="J841" s="99"/>
      <c r="K841" s="104"/>
      <c r="L841" s="99"/>
      <c r="N841" s="99"/>
      <c r="O841" s="99"/>
      <c r="P841" s="34"/>
    </row>
    <row r="842">
      <c r="A842" s="28"/>
      <c r="B842" s="103"/>
      <c r="C842" s="121" t="str">
        <f t="array" ref="C842">ifs(and(isblank($A842),isblank($B842)),"", not(iserror(vlookup($A842&amp;$B842,'3) Release_Label'!$D:$D&amp;'3) Release_Label'!$E:$E,1,0))),vlookup($A842&amp;$B842,{'3) Release_Label'!$D:$D&amp;'3) Release_Label'!$E:$E,'3) Release_Label'!$F:$F},2,0), or(and(not(isblank($B842)),$B842=$B841,$A842&lt;&gt;$A841),and(not(isblank($A842)),$A842=$A841,$B842&lt;&gt;$B841)),"ID LISTS UNALIGNED",and($A842&lt;&gt;"",countif('3) Release_Label'!$D:$D,$A842)=0),"NO UPC MATCH in Release_Label",and($B842&lt;&gt;"",countif('3) Release_Label'!$E:$E,$B842)=0),"NO CATALOG ID MATCH in Release_Label",iserror(vlookup($A842&amp;$B842,'3) Release_Label'!$D:$D&amp;'3) Release_Label'!$E:$E,1,0)),"NO UPC-CATALOG ID pair MATCH in Release_Label" )</f>
        <v/>
      </c>
      <c r="D842" s="121" t="str">
        <f t="array" ref="D842">ifs(and(isblank($A842),isblank($B842)),"", not(iserror(vlookup($A842&amp;$B842,'3) Release_Label'!$D:$D&amp;'3) Release_Label'!$E:$E,1,0))),vlookup($A842&amp;$B842,{'3) Release_Label'!$D:$D&amp;'3) Release_Label'!$E:$E,'3) Release_Label'!$H:$H},2,0), or(and(not(isblank($B842)),$B842=$B841,$A842&lt;&gt;$A841),and(not(isblank($A842)),$A842=$A841,$B842&lt;&gt;$B841)),"ID LISTS UNALIGNED",and($A842&lt;&gt;"",countif('3) Release_Label'!$D:$D,$A842)=0),"NO UPC MATCH in Release_Label",and($B842&lt;&gt;"",countif('3) Release_Label'!$E:$E,$B842)=0),"NO CATALOG ID MATCH in Release_Label",iserror(vlookup($A842&amp;$B842,'3) Release_Label'!$D:$D&amp;'3) Release_Label'!$E:$E,1,0)),"NO UPC-CATALOG ID pair MATCH in Release_Label" )</f>
        <v/>
      </c>
      <c r="E842" s="141" t="str">
        <f t="shared" si="2"/>
        <v/>
      </c>
      <c r="G842" s="103"/>
      <c r="H842" s="152"/>
      <c r="J842" s="99"/>
      <c r="K842" s="104"/>
      <c r="L842" s="99"/>
      <c r="N842" s="99"/>
      <c r="O842" s="99"/>
      <c r="P842" s="34"/>
    </row>
    <row r="843">
      <c r="A843" s="28"/>
      <c r="B843" s="103"/>
      <c r="C843" s="121" t="str">
        <f t="array" ref="C843">ifs(and(isblank($A843),isblank($B843)),"", not(iserror(vlookup($A843&amp;$B843,'3) Release_Label'!$D:$D&amp;'3) Release_Label'!$E:$E,1,0))),vlookup($A843&amp;$B843,{'3) Release_Label'!$D:$D&amp;'3) Release_Label'!$E:$E,'3) Release_Label'!$F:$F},2,0), or(and(not(isblank($B843)),$B843=$B842,$A843&lt;&gt;$A842),and(not(isblank($A843)),$A843=$A842,$B843&lt;&gt;$B842)),"ID LISTS UNALIGNED",and($A843&lt;&gt;"",countif('3) Release_Label'!$D:$D,$A843)=0),"NO UPC MATCH in Release_Label",and($B843&lt;&gt;"",countif('3) Release_Label'!$E:$E,$B843)=0),"NO CATALOG ID MATCH in Release_Label",iserror(vlookup($A843&amp;$B843,'3) Release_Label'!$D:$D&amp;'3) Release_Label'!$E:$E,1,0)),"NO UPC-CATALOG ID pair MATCH in Release_Label" )</f>
        <v/>
      </c>
      <c r="D843" s="121" t="str">
        <f t="array" ref="D843">ifs(and(isblank($A843),isblank($B843)),"", not(iserror(vlookup($A843&amp;$B843,'3) Release_Label'!$D:$D&amp;'3) Release_Label'!$E:$E,1,0))),vlookup($A843&amp;$B843,{'3) Release_Label'!$D:$D&amp;'3) Release_Label'!$E:$E,'3) Release_Label'!$H:$H},2,0), or(and(not(isblank($B843)),$B843=$B842,$A843&lt;&gt;$A842),and(not(isblank($A843)),$A843=$A842,$B843&lt;&gt;$B842)),"ID LISTS UNALIGNED",and($A843&lt;&gt;"",countif('3) Release_Label'!$D:$D,$A843)=0),"NO UPC MATCH in Release_Label",and($B843&lt;&gt;"",countif('3) Release_Label'!$E:$E,$B843)=0),"NO CATALOG ID MATCH in Release_Label",iserror(vlookup($A843&amp;$B843,'3) Release_Label'!$D:$D&amp;'3) Release_Label'!$E:$E,1,0)),"NO UPC-CATALOG ID pair MATCH in Release_Label" )</f>
        <v/>
      </c>
      <c r="E843" s="141" t="str">
        <f t="shared" si="2"/>
        <v/>
      </c>
      <c r="G843" s="103"/>
      <c r="H843" s="152"/>
      <c r="J843" s="99"/>
      <c r="K843" s="104"/>
      <c r="L843" s="99"/>
      <c r="N843" s="99"/>
      <c r="O843" s="99"/>
      <c r="P843" s="34"/>
    </row>
    <row r="844">
      <c r="A844" s="28"/>
      <c r="B844" s="103"/>
      <c r="C844" s="121" t="str">
        <f t="array" ref="C844">ifs(and(isblank($A844),isblank($B844)),"", not(iserror(vlookup($A844&amp;$B844,'3) Release_Label'!$D:$D&amp;'3) Release_Label'!$E:$E,1,0))),vlookup($A844&amp;$B844,{'3) Release_Label'!$D:$D&amp;'3) Release_Label'!$E:$E,'3) Release_Label'!$F:$F},2,0), or(and(not(isblank($B844)),$B844=$B843,$A844&lt;&gt;$A843),and(not(isblank($A844)),$A844=$A843,$B844&lt;&gt;$B843)),"ID LISTS UNALIGNED",and($A844&lt;&gt;"",countif('3) Release_Label'!$D:$D,$A844)=0),"NO UPC MATCH in Release_Label",and($B844&lt;&gt;"",countif('3) Release_Label'!$E:$E,$B844)=0),"NO CATALOG ID MATCH in Release_Label",iserror(vlookup($A844&amp;$B844,'3) Release_Label'!$D:$D&amp;'3) Release_Label'!$E:$E,1,0)),"NO UPC-CATALOG ID pair MATCH in Release_Label" )</f>
        <v/>
      </c>
      <c r="D844" s="121" t="str">
        <f t="array" ref="D844">ifs(and(isblank($A844),isblank($B844)),"", not(iserror(vlookup($A844&amp;$B844,'3) Release_Label'!$D:$D&amp;'3) Release_Label'!$E:$E,1,0))),vlookup($A844&amp;$B844,{'3) Release_Label'!$D:$D&amp;'3) Release_Label'!$E:$E,'3) Release_Label'!$H:$H},2,0), or(and(not(isblank($B844)),$B844=$B843,$A844&lt;&gt;$A843),and(not(isblank($A844)),$A844=$A843,$B844&lt;&gt;$B843)),"ID LISTS UNALIGNED",and($A844&lt;&gt;"",countif('3) Release_Label'!$D:$D,$A844)=0),"NO UPC MATCH in Release_Label",and($B844&lt;&gt;"",countif('3) Release_Label'!$E:$E,$B844)=0),"NO CATALOG ID MATCH in Release_Label",iserror(vlookup($A844&amp;$B844,'3) Release_Label'!$D:$D&amp;'3) Release_Label'!$E:$E,1,0)),"NO UPC-CATALOG ID pair MATCH in Release_Label" )</f>
        <v/>
      </c>
      <c r="E844" s="141" t="str">
        <f t="shared" si="2"/>
        <v/>
      </c>
      <c r="G844" s="103"/>
      <c r="H844" s="152"/>
      <c r="J844" s="99"/>
      <c r="K844" s="104"/>
      <c r="L844" s="99"/>
      <c r="N844" s="99"/>
      <c r="O844" s="99"/>
      <c r="P844" s="34"/>
    </row>
    <row r="845">
      <c r="A845" s="28"/>
      <c r="B845" s="103"/>
      <c r="C845" s="121" t="str">
        <f t="array" ref="C845">ifs(and(isblank($A845),isblank($B845)),"", not(iserror(vlookup($A845&amp;$B845,'3) Release_Label'!$D:$D&amp;'3) Release_Label'!$E:$E,1,0))),vlookup($A845&amp;$B845,{'3) Release_Label'!$D:$D&amp;'3) Release_Label'!$E:$E,'3) Release_Label'!$F:$F},2,0), or(and(not(isblank($B845)),$B845=$B844,$A845&lt;&gt;$A844),and(not(isblank($A845)),$A845=$A844,$B845&lt;&gt;$B844)),"ID LISTS UNALIGNED",and($A845&lt;&gt;"",countif('3) Release_Label'!$D:$D,$A845)=0),"NO UPC MATCH in Release_Label",and($B845&lt;&gt;"",countif('3) Release_Label'!$E:$E,$B845)=0),"NO CATALOG ID MATCH in Release_Label",iserror(vlookup($A845&amp;$B845,'3) Release_Label'!$D:$D&amp;'3) Release_Label'!$E:$E,1,0)),"NO UPC-CATALOG ID pair MATCH in Release_Label" )</f>
        <v/>
      </c>
      <c r="D845" s="121" t="str">
        <f t="array" ref="D845">ifs(and(isblank($A845),isblank($B845)),"", not(iserror(vlookup($A845&amp;$B845,'3) Release_Label'!$D:$D&amp;'3) Release_Label'!$E:$E,1,0))),vlookup($A845&amp;$B845,{'3) Release_Label'!$D:$D&amp;'3) Release_Label'!$E:$E,'3) Release_Label'!$H:$H},2,0), or(and(not(isblank($B845)),$B845=$B844,$A845&lt;&gt;$A844),and(not(isblank($A845)),$A845=$A844,$B845&lt;&gt;$B844)),"ID LISTS UNALIGNED",and($A845&lt;&gt;"",countif('3) Release_Label'!$D:$D,$A845)=0),"NO UPC MATCH in Release_Label",and($B845&lt;&gt;"",countif('3) Release_Label'!$E:$E,$B845)=0),"NO CATALOG ID MATCH in Release_Label",iserror(vlookup($A845&amp;$B845,'3) Release_Label'!$D:$D&amp;'3) Release_Label'!$E:$E,1,0)),"NO UPC-CATALOG ID pair MATCH in Release_Label" )</f>
        <v/>
      </c>
      <c r="E845" s="141" t="str">
        <f t="shared" si="2"/>
        <v/>
      </c>
      <c r="G845" s="103"/>
      <c r="H845" s="152"/>
      <c r="J845" s="99"/>
      <c r="K845" s="104"/>
      <c r="L845" s="99"/>
      <c r="N845" s="99"/>
      <c r="O845" s="99"/>
      <c r="P845" s="34"/>
    </row>
    <row r="846">
      <c r="A846" s="28"/>
      <c r="B846" s="103"/>
      <c r="C846" s="121" t="str">
        <f t="array" ref="C846">ifs(and(isblank($A846),isblank($B846)),"", not(iserror(vlookup($A846&amp;$B846,'3) Release_Label'!$D:$D&amp;'3) Release_Label'!$E:$E,1,0))),vlookup($A846&amp;$B846,{'3) Release_Label'!$D:$D&amp;'3) Release_Label'!$E:$E,'3) Release_Label'!$F:$F},2,0), or(and(not(isblank($B846)),$B846=$B845,$A846&lt;&gt;$A845),and(not(isblank($A846)),$A846=$A845,$B846&lt;&gt;$B845)),"ID LISTS UNALIGNED",and($A846&lt;&gt;"",countif('3) Release_Label'!$D:$D,$A846)=0),"NO UPC MATCH in Release_Label",and($B846&lt;&gt;"",countif('3) Release_Label'!$E:$E,$B846)=0),"NO CATALOG ID MATCH in Release_Label",iserror(vlookup($A846&amp;$B846,'3) Release_Label'!$D:$D&amp;'3) Release_Label'!$E:$E,1,0)),"NO UPC-CATALOG ID pair MATCH in Release_Label" )</f>
        <v/>
      </c>
      <c r="D846" s="121" t="str">
        <f t="array" ref="D846">ifs(and(isblank($A846),isblank($B846)),"", not(iserror(vlookup($A846&amp;$B846,'3) Release_Label'!$D:$D&amp;'3) Release_Label'!$E:$E,1,0))),vlookup($A846&amp;$B846,{'3) Release_Label'!$D:$D&amp;'3) Release_Label'!$E:$E,'3) Release_Label'!$H:$H},2,0), or(and(not(isblank($B846)),$B846=$B845,$A846&lt;&gt;$A845),and(not(isblank($A846)),$A846=$A845,$B846&lt;&gt;$B845)),"ID LISTS UNALIGNED",and($A846&lt;&gt;"",countif('3) Release_Label'!$D:$D,$A846)=0),"NO UPC MATCH in Release_Label",and($B846&lt;&gt;"",countif('3) Release_Label'!$E:$E,$B846)=0),"NO CATALOG ID MATCH in Release_Label",iserror(vlookup($A846&amp;$B846,'3) Release_Label'!$D:$D&amp;'3) Release_Label'!$E:$E,1,0)),"NO UPC-CATALOG ID pair MATCH in Release_Label" )</f>
        <v/>
      </c>
      <c r="E846" s="141" t="str">
        <f t="shared" si="2"/>
        <v/>
      </c>
      <c r="G846" s="103"/>
      <c r="H846" s="152"/>
      <c r="J846" s="99"/>
      <c r="K846" s="104"/>
      <c r="L846" s="99"/>
      <c r="N846" s="99"/>
      <c r="O846" s="99"/>
      <c r="P846" s="34"/>
    </row>
    <row r="847">
      <c r="A847" s="28"/>
      <c r="B847" s="103"/>
      <c r="C847" s="121" t="str">
        <f t="array" ref="C847">ifs(and(isblank($A847),isblank($B847)),"", not(iserror(vlookup($A847&amp;$B847,'3) Release_Label'!$D:$D&amp;'3) Release_Label'!$E:$E,1,0))),vlookup($A847&amp;$B847,{'3) Release_Label'!$D:$D&amp;'3) Release_Label'!$E:$E,'3) Release_Label'!$F:$F},2,0), or(and(not(isblank($B847)),$B847=$B846,$A847&lt;&gt;$A846),and(not(isblank($A847)),$A847=$A846,$B847&lt;&gt;$B846)),"ID LISTS UNALIGNED",and($A847&lt;&gt;"",countif('3) Release_Label'!$D:$D,$A847)=0),"NO UPC MATCH in Release_Label",and($B847&lt;&gt;"",countif('3) Release_Label'!$E:$E,$B847)=0),"NO CATALOG ID MATCH in Release_Label",iserror(vlookup($A847&amp;$B847,'3) Release_Label'!$D:$D&amp;'3) Release_Label'!$E:$E,1,0)),"NO UPC-CATALOG ID pair MATCH in Release_Label" )</f>
        <v/>
      </c>
      <c r="D847" s="121" t="str">
        <f t="array" ref="D847">ifs(and(isblank($A847),isblank($B847)),"", not(iserror(vlookup($A847&amp;$B847,'3) Release_Label'!$D:$D&amp;'3) Release_Label'!$E:$E,1,0))),vlookup($A847&amp;$B847,{'3) Release_Label'!$D:$D&amp;'3) Release_Label'!$E:$E,'3) Release_Label'!$H:$H},2,0), or(and(not(isblank($B847)),$B847=$B846,$A847&lt;&gt;$A846),and(not(isblank($A847)),$A847=$A846,$B847&lt;&gt;$B846)),"ID LISTS UNALIGNED",and($A847&lt;&gt;"",countif('3) Release_Label'!$D:$D,$A847)=0),"NO UPC MATCH in Release_Label",and($B847&lt;&gt;"",countif('3) Release_Label'!$E:$E,$B847)=0),"NO CATALOG ID MATCH in Release_Label",iserror(vlookup($A847&amp;$B847,'3) Release_Label'!$D:$D&amp;'3) Release_Label'!$E:$E,1,0)),"NO UPC-CATALOG ID pair MATCH in Release_Label" )</f>
        <v/>
      </c>
      <c r="E847" s="141" t="str">
        <f t="shared" si="2"/>
        <v/>
      </c>
      <c r="G847" s="103"/>
      <c r="H847" s="152"/>
      <c r="J847" s="99"/>
      <c r="K847" s="104"/>
      <c r="L847" s="99"/>
      <c r="N847" s="99"/>
      <c r="O847" s="99"/>
      <c r="P847" s="34"/>
    </row>
    <row r="848">
      <c r="A848" s="28"/>
      <c r="B848" s="103"/>
      <c r="C848" s="121" t="str">
        <f t="array" ref="C848">ifs(and(isblank($A848),isblank($B848)),"", not(iserror(vlookup($A848&amp;$B848,'3) Release_Label'!$D:$D&amp;'3) Release_Label'!$E:$E,1,0))),vlookup($A848&amp;$B848,{'3) Release_Label'!$D:$D&amp;'3) Release_Label'!$E:$E,'3) Release_Label'!$F:$F},2,0), or(and(not(isblank($B848)),$B848=$B847,$A848&lt;&gt;$A847),and(not(isblank($A848)),$A848=$A847,$B848&lt;&gt;$B847)),"ID LISTS UNALIGNED",and($A848&lt;&gt;"",countif('3) Release_Label'!$D:$D,$A848)=0),"NO UPC MATCH in Release_Label",and($B848&lt;&gt;"",countif('3) Release_Label'!$E:$E,$B848)=0),"NO CATALOG ID MATCH in Release_Label",iserror(vlookup($A848&amp;$B848,'3) Release_Label'!$D:$D&amp;'3) Release_Label'!$E:$E,1,0)),"NO UPC-CATALOG ID pair MATCH in Release_Label" )</f>
        <v/>
      </c>
      <c r="D848" s="121" t="str">
        <f t="array" ref="D848">ifs(and(isblank($A848),isblank($B848)),"", not(iserror(vlookup($A848&amp;$B848,'3) Release_Label'!$D:$D&amp;'3) Release_Label'!$E:$E,1,0))),vlookup($A848&amp;$B848,{'3) Release_Label'!$D:$D&amp;'3) Release_Label'!$E:$E,'3) Release_Label'!$H:$H},2,0), or(and(not(isblank($B848)),$B848=$B847,$A848&lt;&gt;$A847),and(not(isblank($A848)),$A848=$A847,$B848&lt;&gt;$B847)),"ID LISTS UNALIGNED",and($A848&lt;&gt;"",countif('3) Release_Label'!$D:$D,$A848)=0),"NO UPC MATCH in Release_Label",and($B848&lt;&gt;"",countif('3) Release_Label'!$E:$E,$B848)=0),"NO CATALOG ID MATCH in Release_Label",iserror(vlookup($A848&amp;$B848,'3) Release_Label'!$D:$D&amp;'3) Release_Label'!$E:$E,1,0)),"NO UPC-CATALOG ID pair MATCH in Release_Label" )</f>
        <v/>
      </c>
      <c r="E848" s="141" t="str">
        <f t="shared" si="2"/>
        <v/>
      </c>
      <c r="G848" s="103"/>
      <c r="H848" s="152"/>
      <c r="J848" s="99"/>
      <c r="K848" s="104"/>
      <c r="L848" s="99"/>
      <c r="N848" s="99"/>
      <c r="O848" s="99"/>
      <c r="P848" s="34"/>
    </row>
    <row r="849">
      <c r="A849" s="28"/>
      <c r="B849" s="103"/>
      <c r="C849" s="121" t="str">
        <f t="array" ref="C849">ifs(and(isblank($A849),isblank($B849)),"", not(iserror(vlookup($A849&amp;$B849,'3) Release_Label'!$D:$D&amp;'3) Release_Label'!$E:$E,1,0))),vlookup($A849&amp;$B849,{'3) Release_Label'!$D:$D&amp;'3) Release_Label'!$E:$E,'3) Release_Label'!$F:$F},2,0), or(and(not(isblank($B849)),$B849=$B848,$A849&lt;&gt;$A848),and(not(isblank($A849)),$A849=$A848,$B849&lt;&gt;$B848)),"ID LISTS UNALIGNED",and($A849&lt;&gt;"",countif('3) Release_Label'!$D:$D,$A849)=0),"NO UPC MATCH in Release_Label",and($B849&lt;&gt;"",countif('3) Release_Label'!$E:$E,$B849)=0),"NO CATALOG ID MATCH in Release_Label",iserror(vlookup($A849&amp;$B849,'3) Release_Label'!$D:$D&amp;'3) Release_Label'!$E:$E,1,0)),"NO UPC-CATALOG ID pair MATCH in Release_Label" )</f>
        <v/>
      </c>
      <c r="D849" s="121" t="str">
        <f t="array" ref="D849">ifs(and(isblank($A849),isblank($B849)),"", not(iserror(vlookup($A849&amp;$B849,'3) Release_Label'!$D:$D&amp;'3) Release_Label'!$E:$E,1,0))),vlookup($A849&amp;$B849,{'3) Release_Label'!$D:$D&amp;'3) Release_Label'!$E:$E,'3) Release_Label'!$H:$H},2,0), or(and(not(isblank($B849)),$B849=$B848,$A849&lt;&gt;$A848),and(not(isblank($A849)),$A849=$A848,$B849&lt;&gt;$B848)),"ID LISTS UNALIGNED",and($A849&lt;&gt;"",countif('3) Release_Label'!$D:$D,$A849)=0),"NO UPC MATCH in Release_Label",and($B849&lt;&gt;"",countif('3) Release_Label'!$E:$E,$B849)=0),"NO CATALOG ID MATCH in Release_Label",iserror(vlookup($A849&amp;$B849,'3) Release_Label'!$D:$D&amp;'3) Release_Label'!$E:$E,1,0)),"NO UPC-CATALOG ID pair MATCH in Release_Label" )</f>
        <v/>
      </c>
      <c r="E849" s="141" t="str">
        <f t="shared" si="2"/>
        <v/>
      </c>
      <c r="G849" s="103"/>
      <c r="H849" s="152"/>
      <c r="J849" s="99"/>
      <c r="K849" s="104"/>
      <c r="L849" s="99"/>
      <c r="N849" s="99"/>
      <c r="O849" s="99"/>
      <c r="P849" s="34"/>
    </row>
    <row r="850">
      <c r="A850" s="28"/>
      <c r="B850" s="103"/>
      <c r="C850" s="121" t="str">
        <f t="array" ref="C850">ifs(and(isblank($A850),isblank($B850)),"", not(iserror(vlookup($A850&amp;$B850,'3) Release_Label'!$D:$D&amp;'3) Release_Label'!$E:$E,1,0))),vlookup($A850&amp;$B850,{'3) Release_Label'!$D:$D&amp;'3) Release_Label'!$E:$E,'3) Release_Label'!$F:$F},2,0), or(and(not(isblank($B850)),$B850=$B849,$A850&lt;&gt;$A849),and(not(isblank($A850)),$A850=$A849,$B850&lt;&gt;$B849)),"ID LISTS UNALIGNED",and($A850&lt;&gt;"",countif('3) Release_Label'!$D:$D,$A850)=0),"NO UPC MATCH in Release_Label",and($B850&lt;&gt;"",countif('3) Release_Label'!$E:$E,$B850)=0),"NO CATALOG ID MATCH in Release_Label",iserror(vlookup($A850&amp;$B850,'3) Release_Label'!$D:$D&amp;'3) Release_Label'!$E:$E,1,0)),"NO UPC-CATALOG ID pair MATCH in Release_Label" )</f>
        <v/>
      </c>
      <c r="D850" s="121" t="str">
        <f t="array" ref="D850">ifs(and(isblank($A850),isblank($B850)),"", not(iserror(vlookup($A850&amp;$B850,'3) Release_Label'!$D:$D&amp;'3) Release_Label'!$E:$E,1,0))),vlookup($A850&amp;$B850,{'3) Release_Label'!$D:$D&amp;'3) Release_Label'!$E:$E,'3) Release_Label'!$H:$H},2,0), or(and(not(isblank($B850)),$B850=$B849,$A850&lt;&gt;$A849),and(not(isblank($A850)),$A850=$A849,$B850&lt;&gt;$B849)),"ID LISTS UNALIGNED",and($A850&lt;&gt;"",countif('3) Release_Label'!$D:$D,$A850)=0),"NO UPC MATCH in Release_Label",and($B850&lt;&gt;"",countif('3) Release_Label'!$E:$E,$B850)=0),"NO CATALOG ID MATCH in Release_Label",iserror(vlookup($A850&amp;$B850,'3) Release_Label'!$D:$D&amp;'3) Release_Label'!$E:$E,1,0)),"NO UPC-CATALOG ID pair MATCH in Release_Label" )</f>
        <v/>
      </c>
      <c r="E850" s="141" t="str">
        <f t="shared" si="2"/>
        <v/>
      </c>
      <c r="G850" s="103"/>
      <c r="H850" s="152"/>
      <c r="J850" s="99"/>
      <c r="K850" s="104"/>
      <c r="L850" s="99"/>
      <c r="N850" s="99"/>
      <c r="O850" s="99"/>
      <c r="P850" s="34"/>
    </row>
    <row r="851">
      <c r="A851" s="28"/>
      <c r="B851" s="103"/>
      <c r="C851" s="121" t="str">
        <f t="array" ref="C851">ifs(and(isblank($A851),isblank($B851)),"", not(iserror(vlookup($A851&amp;$B851,'3) Release_Label'!$D:$D&amp;'3) Release_Label'!$E:$E,1,0))),vlookup($A851&amp;$B851,{'3) Release_Label'!$D:$D&amp;'3) Release_Label'!$E:$E,'3) Release_Label'!$F:$F},2,0), or(and(not(isblank($B851)),$B851=$B850,$A851&lt;&gt;$A850),and(not(isblank($A851)),$A851=$A850,$B851&lt;&gt;$B850)),"ID LISTS UNALIGNED",and($A851&lt;&gt;"",countif('3) Release_Label'!$D:$D,$A851)=0),"NO UPC MATCH in Release_Label",and($B851&lt;&gt;"",countif('3) Release_Label'!$E:$E,$B851)=0),"NO CATALOG ID MATCH in Release_Label",iserror(vlookup($A851&amp;$B851,'3) Release_Label'!$D:$D&amp;'3) Release_Label'!$E:$E,1,0)),"NO UPC-CATALOG ID pair MATCH in Release_Label" )</f>
        <v/>
      </c>
      <c r="D851" s="121" t="str">
        <f t="array" ref="D851">ifs(and(isblank($A851),isblank($B851)),"", not(iserror(vlookup($A851&amp;$B851,'3) Release_Label'!$D:$D&amp;'3) Release_Label'!$E:$E,1,0))),vlookup($A851&amp;$B851,{'3) Release_Label'!$D:$D&amp;'3) Release_Label'!$E:$E,'3) Release_Label'!$H:$H},2,0), or(and(not(isblank($B851)),$B851=$B850,$A851&lt;&gt;$A850),and(not(isblank($A851)),$A851=$A850,$B851&lt;&gt;$B850)),"ID LISTS UNALIGNED",and($A851&lt;&gt;"",countif('3) Release_Label'!$D:$D,$A851)=0),"NO UPC MATCH in Release_Label",and($B851&lt;&gt;"",countif('3) Release_Label'!$E:$E,$B851)=0),"NO CATALOG ID MATCH in Release_Label",iserror(vlookup($A851&amp;$B851,'3) Release_Label'!$D:$D&amp;'3) Release_Label'!$E:$E,1,0)),"NO UPC-CATALOG ID pair MATCH in Release_Label" )</f>
        <v/>
      </c>
      <c r="E851" s="141" t="str">
        <f t="shared" si="2"/>
        <v/>
      </c>
      <c r="G851" s="103"/>
      <c r="H851" s="152"/>
      <c r="J851" s="99"/>
      <c r="K851" s="104"/>
      <c r="L851" s="99"/>
      <c r="N851" s="99"/>
      <c r="O851" s="99"/>
      <c r="P851" s="34"/>
    </row>
    <row r="852">
      <c r="A852" s="28"/>
      <c r="B852" s="103"/>
      <c r="C852" s="121" t="str">
        <f t="array" ref="C852">ifs(and(isblank($A852),isblank($B852)),"", not(iserror(vlookup($A852&amp;$B852,'3) Release_Label'!$D:$D&amp;'3) Release_Label'!$E:$E,1,0))),vlookup($A852&amp;$B852,{'3) Release_Label'!$D:$D&amp;'3) Release_Label'!$E:$E,'3) Release_Label'!$F:$F},2,0), or(and(not(isblank($B852)),$B852=$B851,$A852&lt;&gt;$A851),and(not(isblank($A852)),$A852=$A851,$B852&lt;&gt;$B851)),"ID LISTS UNALIGNED",and($A852&lt;&gt;"",countif('3) Release_Label'!$D:$D,$A852)=0),"NO UPC MATCH in Release_Label",and($B852&lt;&gt;"",countif('3) Release_Label'!$E:$E,$B852)=0),"NO CATALOG ID MATCH in Release_Label",iserror(vlookup($A852&amp;$B852,'3) Release_Label'!$D:$D&amp;'3) Release_Label'!$E:$E,1,0)),"NO UPC-CATALOG ID pair MATCH in Release_Label" )</f>
        <v/>
      </c>
      <c r="D852" s="121" t="str">
        <f t="array" ref="D852">ifs(and(isblank($A852),isblank($B852)),"", not(iserror(vlookup($A852&amp;$B852,'3) Release_Label'!$D:$D&amp;'3) Release_Label'!$E:$E,1,0))),vlookup($A852&amp;$B852,{'3) Release_Label'!$D:$D&amp;'3) Release_Label'!$E:$E,'3) Release_Label'!$H:$H},2,0), or(and(not(isblank($B852)),$B852=$B851,$A852&lt;&gt;$A851),and(not(isblank($A852)),$A852=$A851,$B852&lt;&gt;$B851)),"ID LISTS UNALIGNED",and($A852&lt;&gt;"",countif('3) Release_Label'!$D:$D,$A852)=0),"NO UPC MATCH in Release_Label",and($B852&lt;&gt;"",countif('3) Release_Label'!$E:$E,$B852)=0),"NO CATALOG ID MATCH in Release_Label",iserror(vlookup($A852&amp;$B852,'3) Release_Label'!$D:$D&amp;'3) Release_Label'!$E:$E,1,0)),"NO UPC-CATALOG ID pair MATCH in Release_Label" )</f>
        <v/>
      </c>
      <c r="E852" s="141" t="str">
        <f t="shared" si="2"/>
        <v/>
      </c>
      <c r="G852" s="103"/>
      <c r="H852" s="152"/>
      <c r="J852" s="99"/>
      <c r="K852" s="104"/>
      <c r="L852" s="99"/>
      <c r="N852" s="99"/>
      <c r="O852" s="99"/>
      <c r="P852" s="34"/>
    </row>
    <row r="853">
      <c r="A853" s="28"/>
      <c r="B853" s="103"/>
      <c r="C853" s="121" t="str">
        <f t="array" ref="C853">ifs(and(isblank($A853),isblank($B853)),"", not(iserror(vlookup($A853&amp;$B853,'3) Release_Label'!$D:$D&amp;'3) Release_Label'!$E:$E,1,0))),vlookup($A853&amp;$B853,{'3) Release_Label'!$D:$D&amp;'3) Release_Label'!$E:$E,'3) Release_Label'!$F:$F},2,0), or(and(not(isblank($B853)),$B853=$B852,$A853&lt;&gt;$A852),and(not(isblank($A853)),$A853=$A852,$B853&lt;&gt;$B852)),"ID LISTS UNALIGNED",and($A853&lt;&gt;"",countif('3) Release_Label'!$D:$D,$A853)=0),"NO UPC MATCH in Release_Label",and($B853&lt;&gt;"",countif('3) Release_Label'!$E:$E,$B853)=0),"NO CATALOG ID MATCH in Release_Label",iserror(vlookup($A853&amp;$B853,'3) Release_Label'!$D:$D&amp;'3) Release_Label'!$E:$E,1,0)),"NO UPC-CATALOG ID pair MATCH in Release_Label" )</f>
        <v/>
      </c>
      <c r="D853" s="121" t="str">
        <f t="array" ref="D853">ifs(and(isblank($A853),isblank($B853)),"", not(iserror(vlookup($A853&amp;$B853,'3) Release_Label'!$D:$D&amp;'3) Release_Label'!$E:$E,1,0))),vlookup($A853&amp;$B853,{'3) Release_Label'!$D:$D&amp;'3) Release_Label'!$E:$E,'3) Release_Label'!$H:$H},2,0), or(and(not(isblank($B853)),$B853=$B852,$A853&lt;&gt;$A852),and(not(isblank($A853)),$A853=$A852,$B853&lt;&gt;$B852)),"ID LISTS UNALIGNED",and($A853&lt;&gt;"",countif('3) Release_Label'!$D:$D,$A853)=0),"NO UPC MATCH in Release_Label",and($B853&lt;&gt;"",countif('3) Release_Label'!$E:$E,$B853)=0),"NO CATALOG ID MATCH in Release_Label",iserror(vlookup($A853&amp;$B853,'3) Release_Label'!$D:$D&amp;'3) Release_Label'!$E:$E,1,0)),"NO UPC-CATALOG ID pair MATCH in Release_Label" )</f>
        <v/>
      </c>
      <c r="E853" s="141" t="str">
        <f t="shared" si="2"/>
        <v/>
      </c>
      <c r="G853" s="103"/>
      <c r="H853" s="152"/>
      <c r="J853" s="99"/>
      <c r="K853" s="104"/>
      <c r="L853" s="99"/>
      <c r="N853" s="99"/>
      <c r="O853" s="99"/>
      <c r="P853" s="34"/>
    </row>
    <row r="854">
      <c r="A854" s="28"/>
      <c r="B854" s="103"/>
      <c r="C854" s="121" t="str">
        <f t="array" ref="C854">ifs(and(isblank($A854),isblank($B854)),"", not(iserror(vlookup($A854&amp;$B854,'3) Release_Label'!$D:$D&amp;'3) Release_Label'!$E:$E,1,0))),vlookup($A854&amp;$B854,{'3) Release_Label'!$D:$D&amp;'3) Release_Label'!$E:$E,'3) Release_Label'!$F:$F},2,0), or(and(not(isblank($B854)),$B854=$B853,$A854&lt;&gt;$A853),and(not(isblank($A854)),$A854=$A853,$B854&lt;&gt;$B853)),"ID LISTS UNALIGNED",and($A854&lt;&gt;"",countif('3) Release_Label'!$D:$D,$A854)=0),"NO UPC MATCH in Release_Label",and($B854&lt;&gt;"",countif('3) Release_Label'!$E:$E,$B854)=0),"NO CATALOG ID MATCH in Release_Label",iserror(vlookup($A854&amp;$B854,'3) Release_Label'!$D:$D&amp;'3) Release_Label'!$E:$E,1,0)),"NO UPC-CATALOG ID pair MATCH in Release_Label" )</f>
        <v/>
      </c>
      <c r="D854" s="121" t="str">
        <f t="array" ref="D854">ifs(and(isblank($A854),isblank($B854)),"", not(iserror(vlookup($A854&amp;$B854,'3) Release_Label'!$D:$D&amp;'3) Release_Label'!$E:$E,1,0))),vlookup($A854&amp;$B854,{'3) Release_Label'!$D:$D&amp;'3) Release_Label'!$E:$E,'3) Release_Label'!$H:$H},2,0), or(and(not(isblank($B854)),$B854=$B853,$A854&lt;&gt;$A853),and(not(isblank($A854)),$A854=$A853,$B854&lt;&gt;$B853)),"ID LISTS UNALIGNED",and($A854&lt;&gt;"",countif('3) Release_Label'!$D:$D,$A854)=0),"NO UPC MATCH in Release_Label",and($B854&lt;&gt;"",countif('3) Release_Label'!$E:$E,$B854)=0),"NO CATALOG ID MATCH in Release_Label",iserror(vlookup($A854&amp;$B854,'3) Release_Label'!$D:$D&amp;'3) Release_Label'!$E:$E,1,0)),"NO UPC-CATALOG ID pair MATCH in Release_Label" )</f>
        <v/>
      </c>
      <c r="E854" s="141" t="str">
        <f t="shared" si="2"/>
        <v/>
      </c>
      <c r="G854" s="103"/>
      <c r="H854" s="152"/>
      <c r="J854" s="99"/>
      <c r="K854" s="104"/>
      <c r="L854" s="99"/>
      <c r="N854" s="99"/>
      <c r="O854" s="99"/>
      <c r="P854" s="34"/>
    </row>
    <row r="855">
      <c r="A855" s="28"/>
      <c r="B855" s="103"/>
      <c r="C855" s="121" t="str">
        <f t="array" ref="C855">ifs(and(isblank($A855),isblank($B855)),"", not(iserror(vlookup($A855&amp;$B855,'3) Release_Label'!$D:$D&amp;'3) Release_Label'!$E:$E,1,0))),vlookup($A855&amp;$B855,{'3) Release_Label'!$D:$D&amp;'3) Release_Label'!$E:$E,'3) Release_Label'!$F:$F},2,0), or(and(not(isblank($B855)),$B855=$B854,$A855&lt;&gt;$A854),and(not(isblank($A855)),$A855=$A854,$B855&lt;&gt;$B854)),"ID LISTS UNALIGNED",and($A855&lt;&gt;"",countif('3) Release_Label'!$D:$D,$A855)=0),"NO UPC MATCH in Release_Label",and($B855&lt;&gt;"",countif('3) Release_Label'!$E:$E,$B855)=0),"NO CATALOG ID MATCH in Release_Label",iserror(vlookup($A855&amp;$B855,'3) Release_Label'!$D:$D&amp;'3) Release_Label'!$E:$E,1,0)),"NO UPC-CATALOG ID pair MATCH in Release_Label" )</f>
        <v/>
      </c>
      <c r="D855" s="121" t="str">
        <f t="array" ref="D855">ifs(and(isblank($A855),isblank($B855)),"", not(iserror(vlookup($A855&amp;$B855,'3) Release_Label'!$D:$D&amp;'3) Release_Label'!$E:$E,1,0))),vlookup($A855&amp;$B855,{'3) Release_Label'!$D:$D&amp;'3) Release_Label'!$E:$E,'3) Release_Label'!$H:$H},2,0), or(and(not(isblank($B855)),$B855=$B854,$A855&lt;&gt;$A854),and(not(isblank($A855)),$A855=$A854,$B855&lt;&gt;$B854)),"ID LISTS UNALIGNED",and($A855&lt;&gt;"",countif('3) Release_Label'!$D:$D,$A855)=0),"NO UPC MATCH in Release_Label",and($B855&lt;&gt;"",countif('3) Release_Label'!$E:$E,$B855)=0),"NO CATALOG ID MATCH in Release_Label",iserror(vlookup($A855&amp;$B855,'3) Release_Label'!$D:$D&amp;'3) Release_Label'!$E:$E,1,0)),"NO UPC-CATALOG ID pair MATCH in Release_Label" )</f>
        <v/>
      </c>
      <c r="E855" s="141" t="str">
        <f t="shared" si="2"/>
        <v/>
      </c>
      <c r="G855" s="103"/>
      <c r="H855" s="152"/>
      <c r="J855" s="99"/>
      <c r="K855" s="104"/>
      <c r="L855" s="99"/>
      <c r="N855" s="99"/>
      <c r="O855" s="99"/>
      <c r="P855" s="34"/>
    </row>
    <row r="856">
      <c r="A856" s="28"/>
      <c r="B856" s="103"/>
      <c r="C856" s="121" t="str">
        <f t="array" ref="C856">ifs(and(isblank($A856),isblank($B856)),"", not(iserror(vlookup($A856&amp;$B856,'3) Release_Label'!$D:$D&amp;'3) Release_Label'!$E:$E,1,0))),vlookup($A856&amp;$B856,{'3) Release_Label'!$D:$D&amp;'3) Release_Label'!$E:$E,'3) Release_Label'!$F:$F},2,0), or(and(not(isblank($B856)),$B856=$B855,$A856&lt;&gt;$A855),and(not(isblank($A856)),$A856=$A855,$B856&lt;&gt;$B855)),"ID LISTS UNALIGNED",and($A856&lt;&gt;"",countif('3) Release_Label'!$D:$D,$A856)=0),"NO UPC MATCH in Release_Label",and($B856&lt;&gt;"",countif('3) Release_Label'!$E:$E,$B856)=0),"NO CATALOG ID MATCH in Release_Label",iserror(vlookup($A856&amp;$B856,'3) Release_Label'!$D:$D&amp;'3) Release_Label'!$E:$E,1,0)),"NO UPC-CATALOG ID pair MATCH in Release_Label" )</f>
        <v/>
      </c>
      <c r="D856" s="121" t="str">
        <f t="array" ref="D856">ifs(and(isblank($A856),isblank($B856)),"", not(iserror(vlookup($A856&amp;$B856,'3) Release_Label'!$D:$D&amp;'3) Release_Label'!$E:$E,1,0))),vlookup($A856&amp;$B856,{'3) Release_Label'!$D:$D&amp;'3) Release_Label'!$E:$E,'3) Release_Label'!$H:$H},2,0), or(and(not(isblank($B856)),$B856=$B855,$A856&lt;&gt;$A855),and(not(isblank($A856)),$A856=$A855,$B856&lt;&gt;$B855)),"ID LISTS UNALIGNED",and($A856&lt;&gt;"",countif('3) Release_Label'!$D:$D,$A856)=0),"NO UPC MATCH in Release_Label",and($B856&lt;&gt;"",countif('3) Release_Label'!$E:$E,$B856)=0),"NO CATALOG ID MATCH in Release_Label",iserror(vlookup($A856&amp;$B856,'3) Release_Label'!$D:$D&amp;'3) Release_Label'!$E:$E,1,0)),"NO UPC-CATALOG ID pair MATCH in Release_Label" )</f>
        <v/>
      </c>
      <c r="E856" s="141" t="str">
        <f t="shared" si="2"/>
        <v/>
      </c>
      <c r="G856" s="103"/>
      <c r="H856" s="152"/>
      <c r="J856" s="99"/>
      <c r="K856" s="104"/>
      <c r="L856" s="99"/>
      <c r="N856" s="99"/>
      <c r="O856" s="99"/>
      <c r="P856" s="34"/>
    </row>
    <row r="857">
      <c r="A857" s="28"/>
      <c r="B857" s="103"/>
      <c r="C857" s="121" t="str">
        <f t="array" ref="C857">ifs(and(isblank($A857),isblank($B857)),"", not(iserror(vlookup($A857&amp;$B857,'3) Release_Label'!$D:$D&amp;'3) Release_Label'!$E:$E,1,0))),vlookup($A857&amp;$B857,{'3) Release_Label'!$D:$D&amp;'3) Release_Label'!$E:$E,'3) Release_Label'!$F:$F},2,0), or(and(not(isblank($B857)),$B857=$B856,$A857&lt;&gt;$A856),and(not(isblank($A857)),$A857=$A856,$B857&lt;&gt;$B856)),"ID LISTS UNALIGNED",and($A857&lt;&gt;"",countif('3) Release_Label'!$D:$D,$A857)=0),"NO UPC MATCH in Release_Label",and($B857&lt;&gt;"",countif('3) Release_Label'!$E:$E,$B857)=0),"NO CATALOG ID MATCH in Release_Label",iserror(vlookup($A857&amp;$B857,'3) Release_Label'!$D:$D&amp;'3) Release_Label'!$E:$E,1,0)),"NO UPC-CATALOG ID pair MATCH in Release_Label" )</f>
        <v/>
      </c>
      <c r="D857" s="121" t="str">
        <f t="array" ref="D857">ifs(and(isblank($A857),isblank($B857)),"", not(iserror(vlookup($A857&amp;$B857,'3) Release_Label'!$D:$D&amp;'3) Release_Label'!$E:$E,1,0))),vlookup($A857&amp;$B857,{'3) Release_Label'!$D:$D&amp;'3) Release_Label'!$E:$E,'3) Release_Label'!$H:$H},2,0), or(and(not(isblank($B857)),$B857=$B856,$A857&lt;&gt;$A856),and(not(isblank($A857)),$A857=$A856,$B857&lt;&gt;$B856)),"ID LISTS UNALIGNED",and($A857&lt;&gt;"",countif('3) Release_Label'!$D:$D,$A857)=0),"NO UPC MATCH in Release_Label",and($B857&lt;&gt;"",countif('3) Release_Label'!$E:$E,$B857)=0),"NO CATALOG ID MATCH in Release_Label",iserror(vlookup($A857&amp;$B857,'3) Release_Label'!$D:$D&amp;'3) Release_Label'!$E:$E,1,0)),"NO UPC-CATALOG ID pair MATCH in Release_Label" )</f>
        <v/>
      </c>
      <c r="E857" s="141" t="str">
        <f t="shared" si="2"/>
        <v/>
      </c>
      <c r="G857" s="103"/>
      <c r="H857" s="152"/>
      <c r="J857" s="99"/>
      <c r="K857" s="104"/>
      <c r="L857" s="99"/>
      <c r="N857" s="99"/>
      <c r="O857" s="99"/>
      <c r="P857" s="34"/>
    </row>
    <row r="858">
      <c r="A858" s="28"/>
      <c r="B858" s="103"/>
      <c r="C858" s="121" t="str">
        <f t="array" ref="C858">ifs(and(isblank($A858),isblank($B858)),"", not(iserror(vlookup($A858&amp;$B858,'3) Release_Label'!$D:$D&amp;'3) Release_Label'!$E:$E,1,0))),vlookup($A858&amp;$B858,{'3) Release_Label'!$D:$D&amp;'3) Release_Label'!$E:$E,'3) Release_Label'!$F:$F},2,0), or(and(not(isblank($B858)),$B858=$B857,$A858&lt;&gt;$A857),and(not(isblank($A858)),$A858=$A857,$B858&lt;&gt;$B857)),"ID LISTS UNALIGNED",and($A858&lt;&gt;"",countif('3) Release_Label'!$D:$D,$A858)=0),"NO UPC MATCH in Release_Label",and($B858&lt;&gt;"",countif('3) Release_Label'!$E:$E,$B858)=0),"NO CATALOG ID MATCH in Release_Label",iserror(vlookup($A858&amp;$B858,'3) Release_Label'!$D:$D&amp;'3) Release_Label'!$E:$E,1,0)),"NO UPC-CATALOG ID pair MATCH in Release_Label" )</f>
        <v/>
      </c>
      <c r="D858" s="121" t="str">
        <f t="array" ref="D858">ifs(and(isblank($A858),isblank($B858)),"", not(iserror(vlookup($A858&amp;$B858,'3) Release_Label'!$D:$D&amp;'3) Release_Label'!$E:$E,1,0))),vlookup($A858&amp;$B858,{'3) Release_Label'!$D:$D&amp;'3) Release_Label'!$E:$E,'3) Release_Label'!$H:$H},2,0), or(and(not(isblank($B858)),$B858=$B857,$A858&lt;&gt;$A857),and(not(isblank($A858)),$A858=$A857,$B858&lt;&gt;$B857)),"ID LISTS UNALIGNED",and($A858&lt;&gt;"",countif('3) Release_Label'!$D:$D,$A858)=0),"NO UPC MATCH in Release_Label",and($B858&lt;&gt;"",countif('3) Release_Label'!$E:$E,$B858)=0),"NO CATALOG ID MATCH in Release_Label",iserror(vlookup($A858&amp;$B858,'3) Release_Label'!$D:$D&amp;'3) Release_Label'!$E:$E,1,0)),"NO UPC-CATALOG ID pair MATCH in Release_Label" )</f>
        <v/>
      </c>
      <c r="E858" s="141" t="str">
        <f t="shared" si="2"/>
        <v/>
      </c>
      <c r="G858" s="103"/>
      <c r="H858" s="152"/>
      <c r="J858" s="99"/>
      <c r="K858" s="104"/>
      <c r="L858" s="99"/>
      <c r="N858" s="99"/>
      <c r="O858" s="99"/>
      <c r="P858" s="34"/>
    </row>
    <row r="859">
      <c r="A859" s="28"/>
      <c r="B859" s="103"/>
      <c r="C859" s="121" t="str">
        <f t="array" ref="C859">ifs(and(isblank($A859),isblank($B859)),"", not(iserror(vlookup($A859&amp;$B859,'3) Release_Label'!$D:$D&amp;'3) Release_Label'!$E:$E,1,0))),vlookup($A859&amp;$B859,{'3) Release_Label'!$D:$D&amp;'3) Release_Label'!$E:$E,'3) Release_Label'!$F:$F},2,0), or(and(not(isblank($B859)),$B859=$B858,$A859&lt;&gt;$A858),and(not(isblank($A859)),$A859=$A858,$B859&lt;&gt;$B858)),"ID LISTS UNALIGNED",and($A859&lt;&gt;"",countif('3) Release_Label'!$D:$D,$A859)=0),"NO UPC MATCH in Release_Label",and($B859&lt;&gt;"",countif('3) Release_Label'!$E:$E,$B859)=0),"NO CATALOG ID MATCH in Release_Label",iserror(vlookup($A859&amp;$B859,'3) Release_Label'!$D:$D&amp;'3) Release_Label'!$E:$E,1,0)),"NO UPC-CATALOG ID pair MATCH in Release_Label" )</f>
        <v/>
      </c>
      <c r="D859" s="121" t="str">
        <f t="array" ref="D859">ifs(and(isblank($A859),isblank($B859)),"", not(iserror(vlookup($A859&amp;$B859,'3) Release_Label'!$D:$D&amp;'3) Release_Label'!$E:$E,1,0))),vlookup($A859&amp;$B859,{'3) Release_Label'!$D:$D&amp;'3) Release_Label'!$E:$E,'3) Release_Label'!$H:$H},2,0), or(and(not(isblank($B859)),$B859=$B858,$A859&lt;&gt;$A858),and(not(isblank($A859)),$A859=$A858,$B859&lt;&gt;$B858)),"ID LISTS UNALIGNED",and($A859&lt;&gt;"",countif('3) Release_Label'!$D:$D,$A859)=0),"NO UPC MATCH in Release_Label",and($B859&lt;&gt;"",countif('3) Release_Label'!$E:$E,$B859)=0),"NO CATALOG ID MATCH in Release_Label",iserror(vlookup($A859&amp;$B859,'3) Release_Label'!$D:$D&amp;'3) Release_Label'!$E:$E,1,0)),"NO UPC-CATALOG ID pair MATCH in Release_Label" )</f>
        <v/>
      </c>
      <c r="E859" s="141" t="str">
        <f t="shared" si="2"/>
        <v/>
      </c>
      <c r="G859" s="103"/>
      <c r="H859" s="152"/>
      <c r="J859" s="99"/>
      <c r="K859" s="104"/>
      <c r="L859" s="99"/>
      <c r="N859" s="99"/>
      <c r="O859" s="99"/>
      <c r="P859" s="34"/>
    </row>
    <row r="860">
      <c r="A860" s="28"/>
      <c r="B860" s="103"/>
      <c r="C860" s="121" t="str">
        <f t="array" ref="C860">ifs(and(isblank($A860),isblank($B860)),"", not(iserror(vlookup($A860&amp;$B860,'3) Release_Label'!$D:$D&amp;'3) Release_Label'!$E:$E,1,0))),vlookup($A860&amp;$B860,{'3) Release_Label'!$D:$D&amp;'3) Release_Label'!$E:$E,'3) Release_Label'!$F:$F},2,0), or(and(not(isblank($B860)),$B860=$B859,$A860&lt;&gt;$A859),and(not(isblank($A860)),$A860=$A859,$B860&lt;&gt;$B859)),"ID LISTS UNALIGNED",and($A860&lt;&gt;"",countif('3) Release_Label'!$D:$D,$A860)=0),"NO UPC MATCH in Release_Label",and($B860&lt;&gt;"",countif('3) Release_Label'!$E:$E,$B860)=0),"NO CATALOG ID MATCH in Release_Label",iserror(vlookup($A860&amp;$B860,'3) Release_Label'!$D:$D&amp;'3) Release_Label'!$E:$E,1,0)),"NO UPC-CATALOG ID pair MATCH in Release_Label" )</f>
        <v/>
      </c>
      <c r="D860" s="121" t="str">
        <f t="array" ref="D860">ifs(and(isblank($A860),isblank($B860)),"", not(iserror(vlookup($A860&amp;$B860,'3) Release_Label'!$D:$D&amp;'3) Release_Label'!$E:$E,1,0))),vlookup($A860&amp;$B860,{'3) Release_Label'!$D:$D&amp;'3) Release_Label'!$E:$E,'3) Release_Label'!$H:$H},2,0), or(and(not(isblank($B860)),$B860=$B859,$A860&lt;&gt;$A859),and(not(isblank($A860)),$A860=$A859,$B860&lt;&gt;$B859)),"ID LISTS UNALIGNED",and($A860&lt;&gt;"",countif('3) Release_Label'!$D:$D,$A860)=0),"NO UPC MATCH in Release_Label",and($B860&lt;&gt;"",countif('3) Release_Label'!$E:$E,$B860)=0),"NO CATALOG ID MATCH in Release_Label",iserror(vlookup($A860&amp;$B860,'3) Release_Label'!$D:$D&amp;'3) Release_Label'!$E:$E,1,0)),"NO UPC-CATALOG ID pair MATCH in Release_Label" )</f>
        <v/>
      </c>
      <c r="E860" s="141" t="str">
        <f t="shared" si="2"/>
        <v/>
      </c>
      <c r="G860" s="103"/>
      <c r="H860" s="152"/>
      <c r="J860" s="99"/>
      <c r="K860" s="104"/>
      <c r="L860" s="99"/>
      <c r="N860" s="99"/>
      <c r="O860" s="99"/>
      <c r="P860" s="34"/>
    </row>
    <row r="861">
      <c r="A861" s="28"/>
      <c r="B861" s="103"/>
      <c r="C861" s="121" t="str">
        <f t="array" ref="C861">ifs(and(isblank($A861),isblank($B861)),"", not(iserror(vlookup($A861&amp;$B861,'3) Release_Label'!$D:$D&amp;'3) Release_Label'!$E:$E,1,0))),vlookup($A861&amp;$B861,{'3) Release_Label'!$D:$D&amp;'3) Release_Label'!$E:$E,'3) Release_Label'!$F:$F},2,0), or(and(not(isblank($B861)),$B861=$B860,$A861&lt;&gt;$A860),and(not(isblank($A861)),$A861=$A860,$B861&lt;&gt;$B860)),"ID LISTS UNALIGNED",and($A861&lt;&gt;"",countif('3) Release_Label'!$D:$D,$A861)=0),"NO UPC MATCH in Release_Label",and($B861&lt;&gt;"",countif('3) Release_Label'!$E:$E,$B861)=0),"NO CATALOG ID MATCH in Release_Label",iserror(vlookup($A861&amp;$B861,'3) Release_Label'!$D:$D&amp;'3) Release_Label'!$E:$E,1,0)),"NO UPC-CATALOG ID pair MATCH in Release_Label" )</f>
        <v/>
      </c>
      <c r="D861" s="121" t="str">
        <f t="array" ref="D861">ifs(and(isblank($A861),isblank($B861)),"", not(iserror(vlookup($A861&amp;$B861,'3) Release_Label'!$D:$D&amp;'3) Release_Label'!$E:$E,1,0))),vlookup($A861&amp;$B861,{'3) Release_Label'!$D:$D&amp;'3) Release_Label'!$E:$E,'3) Release_Label'!$H:$H},2,0), or(and(not(isblank($B861)),$B861=$B860,$A861&lt;&gt;$A860),and(not(isblank($A861)),$A861=$A860,$B861&lt;&gt;$B860)),"ID LISTS UNALIGNED",and($A861&lt;&gt;"",countif('3) Release_Label'!$D:$D,$A861)=0),"NO UPC MATCH in Release_Label",and($B861&lt;&gt;"",countif('3) Release_Label'!$E:$E,$B861)=0),"NO CATALOG ID MATCH in Release_Label",iserror(vlookup($A861&amp;$B861,'3) Release_Label'!$D:$D&amp;'3) Release_Label'!$E:$E,1,0)),"NO UPC-CATALOG ID pair MATCH in Release_Label" )</f>
        <v/>
      </c>
      <c r="E861" s="141" t="str">
        <f t="shared" si="2"/>
        <v/>
      </c>
      <c r="G861" s="103"/>
      <c r="H861" s="152"/>
      <c r="J861" s="99"/>
      <c r="K861" s="104"/>
      <c r="L861" s="99"/>
      <c r="N861" s="99"/>
      <c r="O861" s="99"/>
      <c r="P861" s="34"/>
    </row>
    <row r="862">
      <c r="A862" s="28"/>
      <c r="B862" s="103"/>
      <c r="C862" s="121" t="str">
        <f t="array" ref="C862">ifs(and(isblank($A862),isblank($B862)),"", not(iserror(vlookup($A862&amp;$B862,'3) Release_Label'!$D:$D&amp;'3) Release_Label'!$E:$E,1,0))),vlookup($A862&amp;$B862,{'3) Release_Label'!$D:$D&amp;'3) Release_Label'!$E:$E,'3) Release_Label'!$F:$F},2,0), or(and(not(isblank($B862)),$B862=$B861,$A862&lt;&gt;$A861),and(not(isblank($A862)),$A862=$A861,$B862&lt;&gt;$B861)),"ID LISTS UNALIGNED",and($A862&lt;&gt;"",countif('3) Release_Label'!$D:$D,$A862)=0),"NO UPC MATCH in Release_Label",and($B862&lt;&gt;"",countif('3) Release_Label'!$E:$E,$B862)=0),"NO CATALOG ID MATCH in Release_Label",iserror(vlookup($A862&amp;$B862,'3) Release_Label'!$D:$D&amp;'3) Release_Label'!$E:$E,1,0)),"NO UPC-CATALOG ID pair MATCH in Release_Label" )</f>
        <v/>
      </c>
      <c r="D862" s="121" t="str">
        <f t="array" ref="D862">ifs(and(isblank($A862),isblank($B862)),"", not(iserror(vlookup($A862&amp;$B862,'3) Release_Label'!$D:$D&amp;'3) Release_Label'!$E:$E,1,0))),vlookup($A862&amp;$B862,{'3) Release_Label'!$D:$D&amp;'3) Release_Label'!$E:$E,'3) Release_Label'!$H:$H},2,0), or(and(not(isblank($B862)),$B862=$B861,$A862&lt;&gt;$A861),and(not(isblank($A862)),$A862=$A861,$B862&lt;&gt;$B861)),"ID LISTS UNALIGNED",and($A862&lt;&gt;"",countif('3) Release_Label'!$D:$D,$A862)=0),"NO UPC MATCH in Release_Label",and($B862&lt;&gt;"",countif('3) Release_Label'!$E:$E,$B862)=0),"NO CATALOG ID MATCH in Release_Label",iserror(vlookup($A862&amp;$B862,'3) Release_Label'!$D:$D&amp;'3) Release_Label'!$E:$E,1,0)),"NO UPC-CATALOG ID pair MATCH in Release_Label" )</f>
        <v/>
      </c>
      <c r="E862" s="141" t="str">
        <f t="shared" si="2"/>
        <v/>
      </c>
      <c r="G862" s="103"/>
      <c r="H862" s="152"/>
      <c r="J862" s="99"/>
      <c r="K862" s="104"/>
      <c r="L862" s="99"/>
      <c r="N862" s="99"/>
      <c r="O862" s="99"/>
      <c r="P862" s="34"/>
    </row>
    <row r="863">
      <c r="A863" s="28"/>
      <c r="B863" s="103"/>
      <c r="C863" s="121" t="str">
        <f t="array" ref="C863">ifs(and(isblank($A863),isblank($B863)),"", not(iserror(vlookup($A863&amp;$B863,'3) Release_Label'!$D:$D&amp;'3) Release_Label'!$E:$E,1,0))),vlookup($A863&amp;$B863,{'3) Release_Label'!$D:$D&amp;'3) Release_Label'!$E:$E,'3) Release_Label'!$F:$F},2,0), or(and(not(isblank($B863)),$B863=$B862,$A863&lt;&gt;$A862),and(not(isblank($A863)),$A863=$A862,$B863&lt;&gt;$B862)),"ID LISTS UNALIGNED",and($A863&lt;&gt;"",countif('3) Release_Label'!$D:$D,$A863)=0),"NO UPC MATCH in Release_Label",and($B863&lt;&gt;"",countif('3) Release_Label'!$E:$E,$B863)=0),"NO CATALOG ID MATCH in Release_Label",iserror(vlookup($A863&amp;$B863,'3) Release_Label'!$D:$D&amp;'3) Release_Label'!$E:$E,1,0)),"NO UPC-CATALOG ID pair MATCH in Release_Label" )</f>
        <v/>
      </c>
      <c r="D863" s="121" t="str">
        <f t="array" ref="D863">ifs(and(isblank($A863),isblank($B863)),"", not(iserror(vlookup($A863&amp;$B863,'3) Release_Label'!$D:$D&amp;'3) Release_Label'!$E:$E,1,0))),vlookup($A863&amp;$B863,{'3) Release_Label'!$D:$D&amp;'3) Release_Label'!$E:$E,'3) Release_Label'!$H:$H},2,0), or(and(not(isblank($B863)),$B863=$B862,$A863&lt;&gt;$A862),and(not(isblank($A863)),$A863=$A862,$B863&lt;&gt;$B862)),"ID LISTS UNALIGNED",and($A863&lt;&gt;"",countif('3) Release_Label'!$D:$D,$A863)=0),"NO UPC MATCH in Release_Label",and($B863&lt;&gt;"",countif('3) Release_Label'!$E:$E,$B863)=0),"NO CATALOG ID MATCH in Release_Label",iserror(vlookup($A863&amp;$B863,'3) Release_Label'!$D:$D&amp;'3) Release_Label'!$E:$E,1,0)),"NO UPC-CATALOG ID pair MATCH in Release_Label" )</f>
        <v/>
      </c>
      <c r="E863" s="141" t="str">
        <f t="shared" si="2"/>
        <v/>
      </c>
      <c r="G863" s="103"/>
      <c r="H863" s="152"/>
      <c r="J863" s="99"/>
      <c r="K863" s="104"/>
      <c r="L863" s="99"/>
      <c r="N863" s="99"/>
      <c r="O863" s="99"/>
      <c r="P863" s="34"/>
    </row>
    <row r="864">
      <c r="A864" s="28"/>
      <c r="B864" s="103"/>
      <c r="C864" s="121" t="str">
        <f t="array" ref="C864">ifs(and(isblank($A864),isblank($B864)),"", not(iserror(vlookup($A864&amp;$B864,'3) Release_Label'!$D:$D&amp;'3) Release_Label'!$E:$E,1,0))),vlookup($A864&amp;$B864,{'3) Release_Label'!$D:$D&amp;'3) Release_Label'!$E:$E,'3) Release_Label'!$F:$F},2,0), or(and(not(isblank($B864)),$B864=$B863,$A864&lt;&gt;$A863),and(not(isblank($A864)),$A864=$A863,$B864&lt;&gt;$B863)),"ID LISTS UNALIGNED",and($A864&lt;&gt;"",countif('3) Release_Label'!$D:$D,$A864)=0),"NO UPC MATCH in Release_Label",and($B864&lt;&gt;"",countif('3) Release_Label'!$E:$E,$B864)=0),"NO CATALOG ID MATCH in Release_Label",iserror(vlookup($A864&amp;$B864,'3) Release_Label'!$D:$D&amp;'3) Release_Label'!$E:$E,1,0)),"NO UPC-CATALOG ID pair MATCH in Release_Label" )</f>
        <v/>
      </c>
      <c r="D864" s="121" t="str">
        <f t="array" ref="D864">ifs(and(isblank($A864),isblank($B864)),"", not(iserror(vlookup($A864&amp;$B864,'3) Release_Label'!$D:$D&amp;'3) Release_Label'!$E:$E,1,0))),vlookup($A864&amp;$B864,{'3) Release_Label'!$D:$D&amp;'3) Release_Label'!$E:$E,'3) Release_Label'!$H:$H},2,0), or(and(not(isblank($B864)),$B864=$B863,$A864&lt;&gt;$A863),and(not(isblank($A864)),$A864=$A863,$B864&lt;&gt;$B863)),"ID LISTS UNALIGNED",and($A864&lt;&gt;"",countif('3) Release_Label'!$D:$D,$A864)=0),"NO UPC MATCH in Release_Label",and($B864&lt;&gt;"",countif('3) Release_Label'!$E:$E,$B864)=0),"NO CATALOG ID MATCH in Release_Label",iserror(vlookup($A864&amp;$B864,'3) Release_Label'!$D:$D&amp;'3) Release_Label'!$E:$E,1,0)),"NO UPC-CATALOG ID pair MATCH in Release_Label" )</f>
        <v/>
      </c>
      <c r="E864" s="141" t="str">
        <f t="shared" si="2"/>
        <v/>
      </c>
      <c r="G864" s="103"/>
      <c r="H864" s="152"/>
      <c r="J864" s="99"/>
      <c r="K864" s="104"/>
      <c r="L864" s="99"/>
      <c r="N864" s="99"/>
      <c r="O864" s="99"/>
      <c r="P864" s="34"/>
    </row>
    <row r="865">
      <c r="A865" s="28"/>
      <c r="B865" s="103"/>
      <c r="C865" s="121" t="str">
        <f t="array" ref="C865">ifs(and(isblank($A865),isblank($B865)),"", not(iserror(vlookup($A865&amp;$B865,'3) Release_Label'!$D:$D&amp;'3) Release_Label'!$E:$E,1,0))),vlookup($A865&amp;$B865,{'3) Release_Label'!$D:$D&amp;'3) Release_Label'!$E:$E,'3) Release_Label'!$F:$F},2,0), or(and(not(isblank($B865)),$B865=$B864,$A865&lt;&gt;$A864),and(not(isblank($A865)),$A865=$A864,$B865&lt;&gt;$B864)),"ID LISTS UNALIGNED",and($A865&lt;&gt;"",countif('3) Release_Label'!$D:$D,$A865)=0),"NO UPC MATCH in Release_Label",and($B865&lt;&gt;"",countif('3) Release_Label'!$E:$E,$B865)=0),"NO CATALOG ID MATCH in Release_Label",iserror(vlookup($A865&amp;$B865,'3) Release_Label'!$D:$D&amp;'3) Release_Label'!$E:$E,1,0)),"NO UPC-CATALOG ID pair MATCH in Release_Label" )</f>
        <v/>
      </c>
      <c r="D865" s="121" t="str">
        <f t="array" ref="D865">ifs(and(isblank($A865),isblank($B865)),"", not(iserror(vlookup($A865&amp;$B865,'3) Release_Label'!$D:$D&amp;'3) Release_Label'!$E:$E,1,0))),vlookup($A865&amp;$B865,{'3) Release_Label'!$D:$D&amp;'3) Release_Label'!$E:$E,'3) Release_Label'!$H:$H},2,0), or(and(not(isblank($B865)),$B865=$B864,$A865&lt;&gt;$A864),and(not(isblank($A865)),$A865=$A864,$B865&lt;&gt;$B864)),"ID LISTS UNALIGNED",and($A865&lt;&gt;"",countif('3) Release_Label'!$D:$D,$A865)=0),"NO UPC MATCH in Release_Label",and($B865&lt;&gt;"",countif('3) Release_Label'!$E:$E,$B865)=0),"NO CATALOG ID MATCH in Release_Label",iserror(vlookup($A865&amp;$B865,'3) Release_Label'!$D:$D&amp;'3) Release_Label'!$E:$E,1,0)),"NO UPC-CATALOG ID pair MATCH in Release_Label" )</f>
        <v/>
      </c>
      <c r="E865" s="141" t="str">
        <f t="shared" si="2"/>
        <v/>
      </c>
      <c r="G865" s="103"/>
      <c r="H865" s="152"/>
      <c r="J865" s="99"/>
      <c r="K865" s="104"/>
      <c r="L865" s="99"/>
      <c r="N865" s="99"/>
      <c r="O865" s="99"/>
      <c r="P865" s="34"/>
    </row>
    <row r="866">
      <c r="A866" s="28"/>
      <c r="B866" s="103"/>
      <c r="C866" s="121" t="str">
        <f t="array" ref="C866">ifs(and(isblank($A866),isblank($B866)),"", not(iserror(vlookup($A866&amp;$B866,'3) Release_Label'!$D:$D&amp;'3) Release_Label'!$E:$E,1,0))),vlookup($A866&amp;$B866,{'3) Release_Label'!$D:$D&amp;'3) Release_Label'!$E:$E,'3) Release_Label'!$F:$F},2,0), or(and(not(isblank($B866)),$B866=$B865,$A866&lt;&gt;$A865),and(not(isblank($A866)),$A866=$A865,$B866&lt;&gt;$B865)),"ID LISTS UNALIGNED",and($A866&lt;&gt;"",countif('3) Release_Label'!$D:$D,$A866)=0),"NO UPC MATCH in Release_Label",and($B866&lt;&gt;"",countif('3) Release_Label'!$E:$E,$B866)=0),"NO CATALOG ID MATCH in Release_Label",iserror(vlookup($A866&amp;$B866,'3) Release_Label'!$D:$D&amp;'3) Release_Label'!$E:$E,1,0)),"NO UPC-CATALOG ID pair MATCH in Release_Label" )</f>
        <v/>
      </c>
      <c r="D866" s="121" t="str">
        <f t="array" ref="D866">ifs(and(isblank($A866),isblank($B866)),"", not(iserror(vlookup($A866&amp;$B866,'3) Release_Label'!$D:$D&amp;'3) Release_Label'!$E:$E,1,0))),vlookup($A866&amp;$B866,{'3) Release_Label'!$D:$D&amp;'3) Release_Label'!$E:$E,'3) Release_Label'!$H:$H},2,0), or(and(not(isblank($B866)),$B866=$B865,$A866&lt;&gt;$A865),and(not(isblank($A866)),$A866=$A865,$B866&lt;&gt;$B865)),"ID LISTS UNALIGNED",and($A866&lt;&gt;"",countif('3) Release_Label'!$D:$D,$A866)=0),"NO UPC MATCH in Release_Label",and($B866&lt;&gt;"",countif('3) Release_Label'!$E:$E,$B866)=0),"NO CATALOG ID MATCH in Release_Label",iserror(vlookup($A866&amp;$B866,'3) Release_Label'!$D:$D&amp;'3) Release_Label'!$E:$E,1,0)),"NO UPC-CATALOG ID pair MATCH in Release_Label" )</f>
        <v/>
      </c>
      <c r="E866" s="141" t="str">
        <f t="shared" si="2"/>
        <v/>
      </c>
      <c r="G866" s="103"/>
      <c r="H866" s="152"/>
      <c r="J866" s="99"/>
      <c r="K866" s="104"/>
      <c r="L866" s="99"/>
      <c r="N866" s="99"/>
      <c r="O866" s="99"/>
      <c r="P866" s="34"/>
    </row>
    <row r="867">
      <c r="A867" s="28"/>
      <c r="B867" s="103"/>
      <c r="C867" s="121" t="str">
        <f t="array" ref="C867">ifs(and(isblank($A867),isblank($B867)),"", not(iserror(vlookup($A867&amp;$B867,'3) Release_Label'!$D:$D&amp;'3) Release_Label'!$E:$E,1,0))),vlookup($A867&amp;$B867,{'3) Release_Label'!$D:$D&amp;'3) Release_Label'!$E:$E,'3) Release_Label'!$F:$F},2,0), or(and(not(isblank($B867)),$B867=$B866,$A867&lt;&gt;$A866),and(not(isblank($A867)),$A867=$A866,$B867&lt;&gt;$B866)),"ID LISTS UNALIGNED",and($A867&lt;&gt;"",countif('3) Release_Label'!$D:$D,$A867)=0),"NO UPC MATCH in Release_Label",and($B867&lt;&gt;"",countif('3) Release_Label'!$E:$E,$B867)=0),"NO CATALOG ID MATCH in Release_Label",iserror(vlookup($A867&amp;$B867,'3) Release_Label'!$D:$D&amp;'3) Release_Label'!$E:$E,1,0)),"NO UPC-CATALOG ID pair MATCH in Release_Label" )</f>
        <v/>
      </c>
      <c r="D867" s="121" t="str">
        <f t="array" ref="D867">ifs(and(isblank($A867),isblank($B867)),"", not(iserror(vlookup($A867&amp;$B867,'3) Release_Label'!$D:$D&amp;'3) Release_Label'!$E:$E,1,0))),vlookup($A867&amp;$B867,{'3) Release_Label'!$D:$D&amp;'3) Release_Label'!$E:$E,'3) Release_Label'!$H:$H},2,0), or(and(not(isblank($B867)),$B867=$B866,$A867&lt;&gt;$A866),and(not(isblank($A867)),$A867=$A866,$B867&lt;&gt;$B866)),"ID LISTS UNALIGNED",and($A867&lt;&gt;"",countif('3) Release_Label'!$D:$D,$A867)=0),"NO UPC MATCH in Release_Label",and($B867&lt;&gt;"",countif('3) Release_Label'!$E:$E,$B867)=0),"NO CATALOG ID MATCH in Release_Label",iserror(vlookup($A867&amp;$B867,'3) Release_Label'!$D:$D&amp;'3) Release_Label'!$E:$E,1,0)),"NO UPC-CATALOG ID pair MATCH in Release_Label" )</f>
        <v/>
      </c>
      <c r="E867" s="141" t="str">
        <f t="shared" si="2"/>
        <v/>
      </c>
      <c r="G867" s="103"/>
      <c r="H867" s="152"/>
      <c r="J867" s="99"/>
      <c r="K867" s="104"/>
      <c r="L867" s="99"/>
      <c r="N867" s="99"/>
      <c r="O867" s="99"/>
      <c r="P867" s="34"/>
    </row>
    <row r="868">
      <c r="A868" s="28"/>
      <c r="B868" s="103"/>
      <c r="C868" s="121" t="str">
        <f t="array" ref="C868">ifs(and(isblank($A868),isblank($B868)),"", not(iserror(vlookup($A868&amp;$B868,'3) Release_Label'!$D:$D&amp;'3) Release_Label'!$E:$E,1,0))),vlookup($A868&amp;$B868,{'3) Release_Label'!$D:$D&amp;'3) Release_Label'!$E:$E,'3) Release_Label'!$F:$F},2,0), or(and(not(isblank($B868)),$B868=$B867,$A868&lt;&gt;$A867),and(not(isblank($A868)),$A868=$A867,$B868&lt;&gt;$B867)),"ID LISTS UNALIGNED",and($A868&lt;&gt;"",countif('3) Release_Label'!$D:$D,$A868)=0),"NO UPC MATCH in Release_Label",and($B868&lt;&gt;"",countif('3) Release_Label'!$E:$E,$B868)=0),"NO CATALOG ID MATCH in Release_Label",iserror(vlookup($A868&amp;$B868,'3) Release_Label'!$D:$D&amp;'3) Release_Label'!$E:$E,1,0)),"NO UPC-CATALOG ID pair MATCH in Release_Label" )</f>
        <v/>
      </c>
      <c r="D868" s="121" t="str">
        <f t="array" ref="D868">ifs(and(isblank($A868),isblank($B868)),"", not(iserror(vlookup($A868&amp;$B868,'3) Release_Label'!$D:$D&amp;'3) Release_Label'!$E:$E,1,0))),vlookup($A868&amp;$B868,{'3) Release_Label'!$D:$D&amp;'3) Release_Label'!$E:$E,'3) Release_Label'!$H:$H},2,0), or(and(not(isblank($B868)),$B868=$B867,$A868&lt;&gt;$A867),and(not(isblank($A868)),$A868=$A867,$B868&lt;&gt;$B867)),"ID LISTS UNALIGNED",and($A868&lt;&gt;"",countif('3) Release_Label'!$D:$D,$A868)=0),"NO UPC MATCH in Release_Label",and($B868&lt;&gt;"",countif('3) Release_Label'!$E:$E,$B868)=0),"NO CATALOG ID MATCH in Release_Label",iserror(vlookup($A868&amp;$B868,'3) Release_Label'!$D:$D&amp;'3) Release_Label'!$E:$E,1,0)),"NO UPC-CATALOG ID pair MATCH in Release_Label" )</f>
        <v/>
      </c>
      <c r="E868" s="141" t="str">
        <f t="shared" si="2"/>
        <v/>
      </c>
      <c r="G868" s="103"/>
      <c r="H868" s="152"/>
      <c r="J868" s="99"/>
      <c r="K868" s="104"/>
      <c r="L868" s="99"/>
      <c r="N868" s="99"/>
      <c r="O868" s="99"/>
      <c r="P868" s="34"/>
    </row>
    <row r="869">
      <c r="A869" s="28"/>
      <c r="B869" s="103"/>
      <c r="C869" s="121" t="str">
        <f t="array" ref="C869">ifs(and(isblank($A869),isblank($B869)),"", not(iserror(vlookup($A869&amp;$B869,'3) Release_Label'!$D:$D&amp;'3) Release_Label'!$E:$E,1,0))),vlookup($A869&amp;$B869,{'3) Release_Label'!$D:$D&amp;'3) Release_Label'!$E:$E,'3) Release_Label'!$F:$F},2,0), or(and(not(isblank($B869)),$B869=$B868,$A869&lt;&gt;$A868),and(not(isblank($A869)),$A869=$A868,$B869&lt;&gt;$B868)),"ID LISTS UNALIGNED",and($A869&lt;&gt;"",countif('3) Release_Label'!$D:$D,$A869)=0),"NO UPC MATCH in Release_Label",and($B869&lt;&gt;"",countif('3) Release_Label'!$E:$E,$B869)=0),"NO CATALOG ID MATCH in Release_Label",iserror(vlookup($A869&amp;$B869,'3) Release_Label'!$D:$D&amp;'3) Release_Label'!$E:$E,1,0)),"NO UPC-CATALOG ID pair MATCH in Release_Label" )</f>
        <v/>
      </c>
      <c r="D869" s="121" t="str">
        <f t="array" ref="D869">ifs(and(isblank($A869),isblank($B869)),"", not(iserror(vlookup($A869&amp;$B869,'3) Release_Label'!$D:$D&amp;'3) Release_Label'!$E:$E,1,0))),vlookup($A869&amp;$B869,{'3) Release_Label'!$D:$D&amp;'3) Release_Label'!$E:$E,'3) Release_Label'!$H:$H},2,0), or(and(not(isblank($B869)),$B869=$B868,$A869&lt;&gt;$A868),and(not(isblank($A869)),$A869=$A868,$B869&lt;&gt;$B868)),"ID LISTS UNALIGNED",and($A869&lt;&gt;"",countif('3) Release_Label'!$D:$D,$A869)=0),"NO UPC MATCH in Release_Label",and($B869&lt;&gt;"",countif('3) Release_Label'!$E:$E,$B869)=0),"NO CATALOG ID MATCH in Release_Label",iserror(vlookup($A869&amp;$B869,'3) Release_Label'!$D:$D&amp;'3) Release_Label'!$E:$E,1,0)),"NO UPC-CATALOG ID pair MATCH in Release_Label" )</f>
        <v/>
      </c>
      <c r="E869" s="141" t="str">
        <f t="shared" si="2"/>
        <v/>
      </c>
      <c r="G869" s="103"/>
      <c r="H869" s="152"/>
      <c r="J869" s="99"/>
      <c r="K869" s="104"/>
      <c r="L869" s="99"/>
      <c r="N869" s="99"/>
      <c r="O869" s="99"/>
      <c r="P869" s="34"/>
    </row>
    <row r="870">
      <c r="A870" s="28"/>
      <c r="B870" s="103"/>
      <c r="C870" s="121" t="str">
        <f t="array" ref="C870">ifs(and(isblank($A870),isblank($B870)),"", not(iserror(vlookup($A870&amp;$B870,'3) Release_Label'!$D:$D&amp;'3) Release_Label'!$E:$E,1,0))),vlookup($A870&amp;$B870,{'3) Release_Label'!$D:$D&amp;'3) Release_Label'!$E:$E,'3) Release_Label'!$F:$F},2,0), or(and(not(isblank($B870)),$B870=$B869,$A870&lt;&gt;$A869),and(not(isblank($A870)),$A870=$A869,$B870&lt;&gt;$B869)),"ID LISTS UNALIGNED",and($A870&lt;&gt;"",countif('3) Release_Label'!$D:$D,$A870)=0),"NO UPC MATCH in Release_Label",and($B870&lt;&gt;"",countif('3) Release_Label'!$E:$E,$B870)=0),"NO CATALOG ID MATCH in Release_Label",iserror(vlookup($A870&amp;$B870,'3) Release_Label'!$D:$D&amp;'3) Release_Label'!$E:$E,1,0)),"NO UPC-CATALOG ID pair MATCH in Release_Label" )</f>
        <v/>
      </c>
      <c r="D870" s="121" t="str">
        <f t="array" ref="D870">ifs(and(isblank($A870),isblank($B870)),"", not(iserror(vlookup($A870&amp;$B870,'3) Release_Label'!$D:$D&amp;'3) Release_Label'!$E:$E,1,0))),vlookup($A870&amp;$B870,{'3) Release_Label'!$D:$D&amp;'3) Release_Label'!$E:$E,'3) Release_Label'!$H:$H},2,0), or(and(not(isblank($B870)),$B870=$B869,$A870&lt;&gt;$A869),and(not(isblank($A870)),$A870=$A869,$B870&lt;&gt;$B869)),"ID LISTS UNALIGNED",and($A870&lt;&gt;"",countif('3) Release_Label'!$D:$D,$A870)=0),"NO UPC MATCH in Release_Label",and($B870&lt;&gt;"",countif('3) Release_Label'!$E:$E,$B870)=0),"NO CATALOG ID MATCH in Release_Label",iserror(vlookup($A870&amp;$B870,'3) Release_Label'!$D:$D&amp;'3) Release_Label'!$E:$E,1,0)),"NO UPC-CATALOG ID pair MATCH in Release_Label" )</f>
        <v/>
      </c>
      <c r="E870" s="141" t="str">
        <f t="shared" si="2"/>
        <v/>
      </c>
      <c r="G870" s="103"/>
      <c r="H870" s="152"/>
      <c r="J870" s="99"/>
      <c r="K870" s="104"/>
      <c r="L870" s="99"/>
      <c r="N870" s="99"/>
      <c r="O870" s="99"/>
      <c r="P870" s="34"/>
    </row>
    <row r="871">
      <c r="A871" s="28"/>
      <c r="B871" s="103"/>
      <c r="C871" s="121" t="str">
        <f t="array" ref="C871">ifs(and(isblank($A871),isblank($B871)),"", not(iserror(vlookup($A871&amp;$B871,'3) Release_Label'!$D:$D&amp;'3) Release_Label'!$E:$E,1,0))),vlookup($A871&amp;$B871,{'3) Release_Label'!$D:$D&amp;'3) Release_Label'!$E:$E,'3) Release_Label'!$F:$F},2,0), or(and(not(isblank($B871)),$B871=$B870,$A871&lt;&gt;$A870),and(not(isblank($A871)),$A871=$A870,$B871&lt;&gt;$B870)),"ID LISTS UNALIGNED",and($A871&lt;&gt;"",countif('3) Release_Label'!$D:$D,$A871)=0),"NO UPC MATCH in Release_Label",and($B871&lt;&gt;"",countif('3) Release_Label'!$E:$E,$B871)=0),"NO CATALOG ID MATCH in Release_Label",iserror(vlookup($A871&amp;$B871,'3) Release_Label'!$D:$D&amp;'3) Release_Label'!$E:$E,1,0)),"NO UPC-CATALOG ID pair MATCH in Release_Label" )</f>
        <v/>
      </c>
      <c r="D871" s="121" t="str">
        <f t="array" ref="D871">ifs(and(isblank($A871),isblank($B871)),"", not(iserror(vlookup($A871&amp;$B871,'3) Release_Label'!$D:$D&amp;'3) Release_Label'!$E:$E,1,0))),vlookup($A871&amp;$B871,{'3) Release_Label'!$D:$D&amp;'3) Release_Label'!$E:$E,'3) Release_Label'!$H:$H},2,0), or(and(not(isblank($B871)),$B871=$B870,$A871&lt;&gt;$A870),and(not(isblank($A871)),$A871=$A870,$B871&lt;&gt;$B870)),"ID LISTS UNALIGNED",and($A871&lt;&gt;"",countif('3) Release_Label'!$D:$D,$A871)=0),"NO UPC MATCH in Release_Label",and($B871&lt;&gt;"",countif('3) Release_Label'!$E:$E,$B871)=0),"NO CATALOG ID MATCH in Release_Label",iserror(vlookup($A871&amp;$B871,'3) Release_Label'!$D:$D&amp;'3) Release_Label'!$E:$E,1,0)),"NO UPC-CATALOG ID pair MATCH in Release_Label" )</f>
        <v/>
      </c>
      <c r="E871" s="141" t="str">
        <f t="shared" si="2"/>
        <v/>
      </c>
      <c r="G871" s="103"/>
      <c r="H871" s="152"/>
      <c r="J871" s="99"/>
      <c r="K871" s="104"/>
      <c r="L871" s="99"/>
      <c r="N871" s="99"/>
      <c r="O871" s="99"/>
      <c r="P871" s="34"/>
    </row>
    <row r="872">
      <c r="A872" s="28"/>
      <c r="B872" s="103"/>
      <c r="C872" s="121" t="str">
        <f t="array" ref="C872">ifs(and(isblank($A872),isblank($B872)),"", not(iserror(vlookup($A872&amp;$B872,'3) Release_Label'!$D:$D&amp;'3) Release_Label'!$E:$E,1,0))),vlookup($A872&amp;$B872,{'3) Release_Label'!$D:$D&amp;'3) Release_Label'!$E:$E,'3) Release_Label'!$F:$F},2,0), or(and(not(isblank($B872)),$B872=$B871,$A872&lt;&gt;$A871),and(not(isblank($A872)),$A872=$A871,$B872&lt;&gt;$B871)),"ID LISTS UNALIGNED",and($A872&lt;&gt;"",countif('3) Release_Label'!$D:$D,$A872)=0),"NO UPC MATCH in Release_Label",and($B872&lt;&gt;"",countif('3) Release_Label'!$E:$E,$B872)=0),"NO CATALOG ID MATCH in Release_Label",iserror(vlookup($A872&amp;$B872,'3) Release_Label'!$D:$D&amp;'3) Release_Label'!$E:$E,1,0)),"NO UPC-CATALOG ID pair MATCH in Release_Label" )</f>
        <v/>
      </c>
      <c r="D872" s="121" t="str">
        <f t="array" ref="D872">ifs(and(isblank($A872),isblank($B872)),"", not(iserror(vlookup($A872&amp;$B872,'3) Release_Label'!$D:$D&amp;'3) Release_Label'!$E:$E,1,0))),vlookup($A872&amp;$B872,{'3) Release_Label'!$D:$D&amp;'3) Release_Label'!$E:$E,'3) Release_Label'!$H:$H},2,0), or(and(not(isblank($B872)),$B872=$B871,$A872&lt;&gt;$A871),and(not(isblank($A872)),$A872=$A871,$B872&lt;&gt;$B871)),"ID LISTS UNALIGNED",and($A872&lt;&gt;"",countif('3) Release_Label'!$D:$D,$A872)=0),"NO UPC MATCH in Release_Label",and($B872&lt;&gt;"",countif('3) Release_Label'!$E:$E,$B872)=0),"NO CATALOG ID MATCH in Release_Label",iserror(vlookup($A872&amp;$B872,'3) Release_Label'!$D:$D&amp;'3) Release_Label'!$E:$E,1,0)),"NO UPC-CATALOG ID pair MATCH in Release_Label" )</f>
        <v/>
      </c>
      <c r="E872" s="141" t="str">
        <f t="shared" si="2"/>
        <v/>
      </c>
      <c r="G872" s="103"/>
      <c r="H872" s="152"/>
      <c r="J872" s="99"/>
      <c r="K872" s="104"/>
      <c r="L872" s="99"/>
      <c r="N872" s="99"/>
      <c r="O872" s="99"/>
      <c r="P872" s="34"/>
    </row>
    <row r="873">
      <c r="A873" s="28"/>
      <c r="B873" s="103"/>
      <c r="C873" s="121" t="str">
        <f t="array" ref="C873">ifs(and(isblank($A873),isblank($B873)),"", not(iserror(vlookup($A873&amp;$B873,'3) Release_Label'!$D:$D&amp;'3) Release_Label'!$E:$E,1,0))),vlookup($A873&amp;$B873,{'3) Release_Label'!$D:$D&amp;'3) Release_Label'!$E:$E,'3) Release_Label'!$F:$F},2,0), or(and(not(isblank($B873)),$B873=$B872,$A873&lt;&gt;$A872),and(not(isblank($A873)),$A873=$A872,$B873&lt;&gt;$B872)),"ID LISTS UNALIGNED",and($A873&lt;&gt;"",countif('3) Release_Label'!$D:$D,$A873)=0),"NO UPC MATCH in Release_Label",and($B873&lt;&gt;"",countif('3) Release_Label'!$E:$E,$B873)=0),"NO CATALOG ID MATCH in Release_Label",iserror(vlookup($A873&amp;$B873,'3) Release_Label'!$D:$D&amp;'3) Release_Label'!$E:$E,1,0)),"NO UPC-CATALOG ID pair MATCH in Release_Label" )</f>
        <v/>
      </c>
      <c r="D873" s="121" t="str">
        <f t="array" ref="D873">ifs(and(isblank($A873),isblank($B873)),"", not(iserror(vlookup($A873&amp;$B873,'3) Release_Label'!$D:$D&amp;'3) Release_Label'!$E:$E,1,0))),vlookup($A873&amp;$B873,{'3) Release_Label'!$D:$D&amp;'3) Release_Label'!$E:$E,'3) Release_Label'!$H:$H},2,0), or(and(not(isblank($B873)),$B873=$B872,$A873&lt;&gt;$A872),and(not(isblank($A873)),$A873=$A872,$B873&lt;&gt;$B872)),"ID LISTS UNALIGNED",and($A873&lt;&gt;"",countif('3) Release_Label'!$D:$D,$A873)=0),"NO UPC MATCH in Release_Label",and($B873&lt;&gt;"",countif('3) Release_Label'!$E:$E,$B873)=0),"NO CATALOG ID MATCH in Release_Label",iserror(vlookup($A873&amp;$B873,'3) Release_Label'!$D:$D&amp;'3) Release_Label'!$E:$E,1,0)),"NO UPC-CATALOG ID pair MATCH in Release_Label" )</f>
        <v/>
      </c>
      <c r="E873" s="141" t="str">
        <f t="shared" si="2"/>
        <v/>
      </c>
      <c r="G873" s="103"/>
      <c r="H873" s="152"/>
      <c r="J873" s="99"/>
      <c r="K873" s="104"/>
      <c r="L873" s="99"/>
      <c r="N873" s="99"/>
      <c r="O873" s="99"/>
      <c r="P873" s="34"/>
    </row>
    <row r="874">
      <c r="A874" s="28"/>
      <c r="B874" s="103"/>
      <c r="C874" s="121" t="str">
        <f t="array" ref="C874">ifs(and(isblank($A874),isblank($B874)),"", not(iserror(vlookup($A874&amp;$B874,'3) Release_Label'!$D:$D&amp;'3) Release_Label'!$E:$E,1,0))),vlookup($A874&amp;$B874,{'3) Release_Label'!$D:$D&amp;'3) Release_Label'!$E:$E,'3) Release_Label'!$F:$F},2,0), or(and(not(isblank($B874)),$B874=$B873,$A874&lt;&gt;$A873),and(not(isblank($A874)),$A874=$A873,$B874&lt;&gt;$B873)),"ID LISTS UNALIGNED",and($A874&lt;&gt;"",countif('3) Release_Label'!$D:$D,$A874)=0),"NO UPC MATCH in Release_Label",and($B874&lt;&gt;"",countif('3) Release_Label'!$E:$E,$B874)=0),"NO CATALOG ID MATCH in Release_Label",iserror(vlookup($A874&amp;$B874,'3) Release_Label'!$D:$D&amp;'3) Release_Label'!$E:$E,1,0)),"NO UPC-CATALOG ID pair MATCH in Release_Label" )</f>
        <v/>
      </c>
      <c r="D874" s="121" t="str">
        <f t="array" ref="D874">ifs(and(isblank($A874),isblank($B874)),"", not(iserror(vlookup($A874&amp;$B874,'3) Release_Label'!$D:$D&amp;'3) Release_Label'!$E:$E,1,0))),vlookup($A874&amp;$B874,{'3) Release_Label'!$D:$D&amp;'3) Release_Label'!$E:$E,'3) Release_Label'!$H:$H},2,0), or(and(not(isblank($B874)),$B874=$B873,$A874&lt;&gt;$A873),and(not(isblank($A874)),$A874=$A873,$B874&lt;&gt;$B873)),"ID LISTS UNALIGNED",and($A874&lt;&gt;"",countif('3) Release_Label'!$D:$D,$A874)=0),"NO UPC MATCH in Release_Label",and($B874&lt;&gt;"",countif('3) Release_Label'!$E:$E,$B874)=0),"NO CATALOG ID MATCH in Release_Label",iserror(vlookup($A874&amp;$B874,'3) Release_Label'!$D:$D&amp;'3) Release_Label'!$E:$E,1,0)),"NO UPC-CATALOG ID pair MATCH in Release_Label" )</f>
        <v/>
      </c>
      <c r="E874" s="141" t="str">
        <f t="shared" si="2"/>
        <v/>
      </c>
      <c r="G874" s="103"/>
      <c r="H874" s="152"/>
      <c r="J874" s="99"/>
      <c r="K874" s="104"/>
      <c r="L874" s="99"/>
      <c r="N874" s="99"/>
      <c r="O874" s="99"/>
      <c r="P874" s="34"/>
    </row>
    <row r="875">
      <c r="A875" s="28"/>
      <c r="B875" s="103"/>
      <c r="C875" s="121" t="str">
        <f t="array" ref="C875">ifs(and(isblank($A875),isblank($B875)),"", not(iserror(vlookup($A875&amp;$B875,'3) Release_Label'!$D:$D&amp;'3) Release_Label'!$E:$E,1,0))),vlookup($A875&amp;$B875,{'3) Release_Label'!$D:$D&amp;'3) Release_Label'!$E:$E,'3) Release_Label'!$F:$F},2,0), or(and(not(isblank($B875)),$B875=$B874,$A875&lt;&gt;$A874),and(not(isblank($A875)),$A875=$A874,$B875&lt;&gt;$B874)),"ID LISTS UNALIGNED",and($A875&lt;&gt;"",countif('3) Release_Label'!$D:$D,$A875)=0),"NO UPC MATCH in Release_Label",and($B875&lt;&gt;"",countif('3) Release_Label'!$E:$E,$B875)=0),"NO CATALOG ID MATCH in Release_Label",iserror(vlookup($A875&amp;$B875,'3) Release_Label'!$D:$D&amp;'3) Release_Label'!$E:$E,1,0)),"NO UPC-CATALOG ID pair MATCH in Release_Label" )</f>
        <v/>
      </c>
      <c r="D875" s="121" t="str">
        <f t="array" ref="D875">ifs(and(isblank($A875),isblank($B875)),"", not(iserror(vlookup($A875&amp;$B875,'3) Release_Label'!$D:$D&amp;'3) Release_Label'!$E:$E,1,0))),vlookup($A875&amp;$B875,{'3) Release_Label'!$D:$D&amp;'3) Release_Label'!$E:$E,'3) Release_Label'!$H:$H},2,0), or(and(not(isblank($B875)),$B875=$B874,$A875&lt;&gt;$A874),and(not(isblank($A875)),$A875=$A874,$B875&lt;&gt;$B874)),"ID LISTS UNALIGNED",and($A875&lt;&gt;"",countif('3) Release_Label'!$D:$D,$A875)=0),"NO UPC MATCH in Release_Label",and($B875&lt;&gt;"",countif('3) Release_Label'!$E:$E,$B875)=0),"NO CATALOG ID MATCH in Release_Label",iserror(vlookup($A875&amp;$B875,'3) Release_Label'!$D:$D&amp;'3) Release_Label'!$E:$E,1,0)),"NO UPC-CATALOG ID pair MATCH in Release_Label" )</f>
        <v/>
      </c>
      <c r="E875" s="141" t="str">
        <f t="shared" si="2"/>
        <v/>
      </c>
      <c r="G875" s="103"/>
      <c r="H875" s="152"/>
      <c r="J875" s="99"/>
      <c r="K875" s="104"/>
      <c r="L875" s="99"/>
      <c r="N875" s="99"/>
      <c r="O875" s="99"/>
      <c r="P875" s="34"/>
    </row>
    <row r="876">
      <c r="A876" s="28"/>
      <c r="B876" s="103"/>
      <c r="C876" s="121" t="str">
        <f t="array" ref="C876">ifs(and(isblank($A876),isblank($B876)),"", not(iserror(vlookup($A876&amp;$B876,'3) Release_Label'!$D:$D&amp;'3) Release_Label'!$E:$E,1,0))),vlookup($A876&amp;$B876,{'3) Release_Label'!$D:$D&amp;'3) Release_Label'!$E:$E,'3) Release_Label'!$F:$F},2,0), or(and(not(isblank($B876)),$B876=$B875,$A876&lt;&gt;$A875),and(not(isblank($A876)),$A876=$A875,$B876&lt;&gt;$B875)),"ID LISTS UNALIGNED",and($A876&lt;&gt;"",countif('3) Release_Label'!$D:$D,$A876)=0),"NO UPC MATCH in Release_Label",and($B876&lt;&gt;"",countif('3) Release_Label'!$E:$E,$B876)=0),"NO CATALOG ID MATCH in Release_Label",iserror(vlookup($A876&amp;$B876,'3) Release_Label'!$D:$D&amp;'3) Release_Label'!$E:$E,1,0)),"NO UPC-CATALOG ID pair MATCH in Release_Label" )</f>
        <v/>
      </c>
      <c r="D876" s="121" t="str">
        <f t="array" ref="D876">ifs(and(isblank($A876),isblank($B876)),"", not(iserror(vlookup($A876&amp;$B876,'3) Release_Label'!$D:$D&amp;'3) Release_Label'!$E:$E,1,0))),vlookup($A876&amp;$B876,{'3) Release_Label'!$D:$D&amp;'3) Release_Label'!$E:$E,'3) Release_Label'!$H:$H},2,0), or(and(not(isblank($B876)),$B876=$B875,$A876&lt;&gt;$A875),and(not(isblank($A876)),$A876=$A875,$B876&lt;&gt;$B875)),"ID LISTS UNALIGNED",and($A876&lt;&gt;"",countif('3) Release_Label'!$D:$D,$A876)=0),"NO UPC MATCH in Release_Label",and($B876&lt;&gt;"",countif('3) Release_Label'!$E:$E,$B876)=0),"NO CATALOG ID MATCH in Release_Label",iserror(vlookup($A876&amp;$B876,'3) Release_Label'!$D:$D&amp;'3) Release_Label'!$E:$E,1,0)),"NO UPC-CATALOG ID pair MATCH in Release_Label" )</f>
        <v/>
      </c>
      <c r="E876" s="141" t="str">
        <f t="shared" si="2"/>
        <v/>
      </c>
      <c r="G876" s="103"/>
      <c r="H876" s="152"/>
      <c r="J876" s="99"/>
      <c r="K876" s="104"/>
      <c r="L876" s="99"/>
      <c r="N876" s="99"/>
      <c r="O876" s="99"/>
      <c r="P876" s="34"/>
    </row>
    <row r="877">
      <c r="A877" s="28"/>
      <c r="B877" s="103"/>
      <c r="C877" s="121" t="str">
        <f t="array" ref="C877">ifs(and(isblank($A877),isblank($B877)),"", not(iserror(vlookup($A877&amp;$B877,'3) Release_Label'!$D:$D&amp;'3) Release_Label'!$E:$E,1,0))),vlookup($A877&amp;$B877,{'3) Release_Label'!$D:$D&amp;'3) Release_Label'!$E:$E,'3) Release_Label'!$F:$F},2,0), or(and(not(isblank($B877)),$B877=$B876,$A877&lt;&gt;$A876),and(not(isblank($A877)),$A877=$A876,$B877&lt;&gt;$B876)),"ID LISTS UNALIGNED",and($A877&lt;&gt;"",countif('3) Release_Label'!$D:$D,$A877)=0),"NO UPC MATCH in Release_Label",and($B877&lt;&gt;"",countif('3) Release_Label'!$E:$E,$B877)=0),"NO CATALOG ID MATCH in Release_Label",iserror(vlookup($A877&amp;$B877,'3) Release_Label'!$D:$D&amp;'3) Release_Label'!$E:$E,1,0)),"NO UPC-CATALOG ID pair MATCH in Release_Label" )</f>
        <v/>
      </c>
      <c r="D877" s="121" t="str">
        <f t="array" ref="D877">ifs(and(isblank($A877),isblank($B877)),"", not(iserror(vlookup($A877&amp;$B877,'3) Release_Label'!$D:$D&amp;'3) Release_Label'!$E:$E,1,0))),vlookup($A877&amp;$B877,{'3) Release_Label'!$D:$D&amp;'3) Release_Label'!$E:$E,'3) Release_Label'!$H:$H},2,0), or(and(not(isblank($B877)),$B877=$B876,$A877&lt;&gt;$A876),and(not(isblank($A877)),$A877=$A876,$B877&lt;&gt;$B876)),"ID LISTS UNALIGNED",and($A877&lt;&gt;"",countif('3) Release_Label'!$D:$D,$A877)=0),"NO UPC MATCH in Release_Label",and($B877&lt;&gt;"",countif('3) Release_Label'!$E:$E,$B877)=0),"NO CATALOG ID MATCH in Release_Label",iserror(vlookup($A877&amp;$B877,'3) Release_Label'!$D:$D&amp;'3) Release_Label'!$E:$E,1,0)),"NO UPC-CATALOG ID pair MATCH in Release_Label" )</f>
        <v/>
      </c>
      <c r="E877" s="141" t="str">
        <f t="shared" si="2"/>
        <v/>
      </c>
      <c r="G877" s="103"/>
      <c r="H877" s="152"/>
      <c r="J877" s="99"/>
      <c r="K877" s="104"/>
      <c r="L877" s="99"/>
      <c r="N877" s="99"/>
      <c r="O877" s="99"/>
      <c r="P877" s="34"/>
    </row>
    <row r="878">
      <c r="A878" s="28"/>
      <c r="B878" s="103"/>
      <c r="C878" s="121" t="str">
        <f t="array" ref="C878">ifs(and(isblank($A878),isblank($B878)),"", not(iserror(vlookup($A878&amp;$B878,'3) Release_Label'!$D:$D&amp;'3) Release_Label'!$E:$E,1,0))),vlookup($A878&amp;$B878,{'3) Release_Label'!$D:$D&amp;'3) Release_Label'!$E:$E,'3) Release_Label'!$F:$F},2,0), or(and(not(isblank($B878)),$B878=$B877,$A878&lt;&gt;$A877),and(not(isblank($A878)),$A878=$A877,$B878&lt;&gt;$B877)),"ID LISTS UNALIGNED",and($A878&lt;&gt;"",countif('3) Release_Label'!$D:$D,$A878)=0),"NO UPC MATCH in Release_Label",and($B878&lt;&gt;"",countif('3) Release_Label'!$E:$E,$B878)=0),"NO CATALOG ID MATCH in Release_Label",iserror(vlookup($A878&amp;$B878,'3) Release_Label'!$D:$D&amp;'3) Release_Label'!$E:$E,1,0)),"NO UPC-CATALOG ID pair MATCH in Release_Label" )</f>
        <v/>
      </c>
      <c r="D878" s="121" t="str">
        <f t="array" ref="D878">ifs(and(isblank($A878),isblank($B878)),"", not(iserror(vlookup($A878&amp;$B878,'3) Release_Label'!$D:$D&amp;'3) Release_Label'!$E:$E,1,0))),vlookup($A878&amp;$B878,{'3) Release_Label'!$D:$D&amp;'3) Release_Label'!$E:$E,'3) Release_Label'!$H:$H},2,0), or(and(not(isblank($B878)),$B878=$B877,$A878&lt;&gt;$A877),and(not(isblank($A878)),$A878=$A877,$B878&lt;&gt;$B877)),"ID LISTS UNALIGNED",and($A878&lt;&gt;"",countif('3) Release_Label'!$D:$D,$A878)=0),"NO UPC MATCH in Release_Label",and($B878&lt;&gt;"",countif('3) Release_Label'!$E:$E,$B878)=0),"NO CATALOG ID MATCH in Release_Label",iserror(vlookup($A878&amp;$B878,'3) Release_Label'!$D:$D&amp;'3) Release_Label'!$E:$E,1,0)),"NO UPC-CATALOG ID pair MATCH in Release_Label" )</f>
        <v/>
      </c>
      <c r="E878" s="141" t="str">
        <f t="shared" si="2"/>
        <v/>
      </c>
      <c r="G878" s="103"/>
      <c r="H878" s="152"/>
      <c r="J878" s="99"/>
      <c r="K878" s="104"/>
      <c r="L878" s="99"/>
      <c r="N878" s="99"/>
      <c r="O878" s="99"/>
      <c r="P878" s="34"/>
    </row>
    <row r="879">
      <c r="A879" s="28"/>
      <c r="B879" s="103"/>
      <c r="C879" s="121" t="str">
        <f t="array" ref="C879">ifs(and(isblank($A879),isblank($B879)),"", not(iserror(vlookup($A879&amp;$B879,'3) Release_Label'!$D:$D&amp;'3) Release_Label'!$E:$E,1,0))),vlookup($A879&amp;$B879,{'3) Release_Label'!$D:$D&amp;'3) Release_Label'!$E:$E,'3) Release_Label'!$F:$F},2,0), or(and(not(isblank($B879)),$B879=$B878,$A879&lt;&gt;$A878),and(not(isblank($A879)),$A879=$A878,$B879&lt;&gt;$B878)),"ID LISTS UNALIGNED",and($A879&lt;&gt;"",countif('3) Release_Label'!$D:$D,$A879)=0),"NO UPC MATCH in Release_Label",and($B879&lt;&gt;"",countif('3) Release_Label'!$E:$E,$B879)=0),"NO CATALOG ID MATCH in Release_Label",iserror(vlookup($A879&amp;$B879,'3) Release_Label'!$D:$D&amp;'3) Release_Label'!$E:$E,1,0)),"NO UPC-CATALOG ID pair MATCH in Release_Label" )</f>
        <v/>
      </c>
      <c r="D879" s="121" t="str">
        <f t="array" ref="D879">ifs(and(isblank($A879),isblank($B879)),"", not(iserror(vlookup($A879&amp;$B879,'3) Release_Label'!$D:$D&amp;'3) Release_Label'!$E:$E,1,0))),vlookup($A879&amp;$B879,{'3) Release_Label'!$D:$D&amp;'3) Release_Label'!$E:$E,'3) Release_Label'!$H:$H},2,0), or(and(not(isblank($B879)),$B879=$B878,$A879&lt;&gt;$A878),and(not(isblank($A879)),$A879=$A878,$B879&lt;&gt;$B878)),"ID LISTS UNALIGNED",and($A879&lt;&gt;"",countif('3) Release_Label'!$D:$D,$A879)=0),"NO UPC MATCH in Release_Label",and($B879&lt;&gt;"",countif('3) Release_Label'!$E:$E,$B879)=0),"NO CATALOG ID MATCH in Release_Label",iserror(vlookup($A879&amp;$B879,'3) Release_Label'!$D:$D&amp;'3) Release_Label'!$E:$E,1,0)),"NO UPC-CATALOG ID pair MATCH in Release_Label" )</f>
        <v/>
      </c>
      <c r="E879" s="141" t="str">
        <f t="shared" si="2"/>
        <v/>
      </c>
      <c r="G879" s="103"/>
      <c r="H879" s="152"/>
      <c r="J879" s="99"/>
      <c r="K879" s="104"/>
      <c r="L879" s="99"/>
      <c r="N879" s="99"/>
      <c r="O879" s="99"/>
      <c r="P879" s="34"/>
    </row>
    <row r="880">
      <c r="A880" s="28"/>
      <c r="B880" s="103"/>
      <c r="C880" s="121" t="str">
        <f t="array" ref="C880">ifs(and(isblank($A880),isblank($B880)),"", not(iserror(vlookup($A880&amp;$B880,'3) Release_Label'!$D:$D&amp;'3) Release_Label'!$E:$E,1,0))),vlookup($A880&amp;$B880,{'3) Release_Label'!$D:$D&amp;'3) Release_Label'!$E:$E,'3) Release_Label'!$F:$F},2,0), or(and(not(isblank($B880)),$B880=$B879,$A880&lt;&gt;$A879),and(not(isblank($A880)),$A880=$A879,$B880&lt;&gt;$B879)),"ID LISTS UNALIGNED",and($A880&lt;&gt;"",countif('3) Release_Label'!$D:$D,$A880)=0),"NO UPC MATCH in Release_Label",and($B880&lt;&gt;"",countif('3) Release_Label'!$E:$E,$B880)=0),"NO CATALOG ID MATCH in Release_Label",iserror(vlookup($A880&amp;$B880,'3) Release_Label'!$D:$D&amp;'3) Release_Label'!$E:$E,1,0)),"NO UPC-CATALOG ID pair MATCH in Release_Label" )</f>
        <v/>
      </c>
      <c r="D880" s="121" t="str">
        <f t="array" ref="D880">ifs(and(isblank($A880),isblank($B880)),"", not(iserror(vlookup($A880&amp;$B880,'3) Release_Label'!$D:$D&amp;'3) Release_Label'!$E:$E,1,0))),vlookup($A880&amp;$B880,{'3) Release_Label'!$D:$D&amp;'3) Release_Label'!$E:$E,'3) Release_Label'!$H:$H},2,0), or(and(not(isblank($B880)),$B880=$B879,$A880&lt;&gt;$A879),and(not(isblank($A880)),$A880=$A879,$B880&lt;&gt;$B879)),"ID LISTS UNALIGNED",and($A880&lt;&gt;"",countif('3) Release_Label'!$D:$D,$A880)=0),"NO UPC MATCH in Release_Label",and($B880&lt;&gt;"",countif('3) Release_Label'!$E:$E,$B880)=0),"NO CATALOG ID MATCH in Release_Label",iserror(vlookup($A880&amp;$B880,'3) Release_Label'!$D:$D&amp;'3) Release_Label'!$E:$E,1,0)),"NO UPC-CATALOG ID pair MATCH in Release_Label" )</f>
        <v/>
      </c>
      <c r="E880" s="141" t="str">
        <f t="shared" si="2"/>
        <v/>
      </c>
      <c r="G880" s="103"/>
      <c r="H880" s="152"/>
      <c r="J880" s="99"/>
      <c r="K880" s="104"/>
      <c r="L880" s="99"/>
      <c r="N880" s="99"/>
      <c r="O880" s="99"/>
      <c r="P880" s="34"/>
    </row>
    <row r="881">
      <c r="A881" s="28"/>
      <c r="B881" s="103"/>
      <c r="C881" s="121" t="str">
        <f t="array" ref="C881">ifs(and(isblank($A881),isblank($B881)),"", not(iserror(vlookup($A881&amp;$B881,'3) Release_Label'!$D:$D&amp;'3) Release_Label'!$E:$E,1,0))),vlookup($A881&amp;$B881,{'3) Release_Label'!$D:$D&amp;'3) Release_Label'!$E:$E,'3) Release_Label'!$F:$F},2,0), or(and(not(isblank($B881)),$B881=$B880,$A881&lt;&gt;$A880),and(not(isblank($A881)),$A881=$A880,$B881&lt;&gt;$B880)),"ID LISTS UNALIGNED",and($A881&lt;&gt;"",countif('3) Release_Label'!$D:$D,$A881)=0),"NO UPC MATCH in Release_Label",and($B881&lt;&gt;"",countif('3) Release_Label'!$E:$E,$B881)=0),"NO CATALOG ID MATCH in Release_Label",iserror(vlookup($A881&amp;$B881,'3) Release_Label'!$D:$D&amp;'3) Release_Label'!$E:$E,1,0)),"NO UPC-CATALOG ID pair MATCH in Release_Label" )</f>
        <v/>
      </c>
      <c r="D881" s="121" t="str">
        <f t="array" ref="D881">ifs(and(isblank($A881),isblank($B881)),"", not(iserror(vlookup($A881&amp;$B881,'3) Release_Label'!$D:$D&amp;'3) Release_Label'!$E:$E,1,0))),vlookup($A881&amp;$B881,{'3) Release_Label'!$D:$D&amp;'3) Release_Label'!$E:$E,'3) Release_Label'!$H:$H},2,0), or(and(not(isblank($B881)),$B881=$B880,$A881&lt;&gt;$A880),and(not(isblank($A881)),$A881=$A880,$B881&lt;&gt;$B880)),"ID LISTS UNALIGNED",and($A881&lt;&gt;"",countif('3) Release_Label'!$D:$D,$A881)=0),"NO UPC MATCH in Release_Label",and($B881&lt;&gt;"",countif('3) Release_Label'!$E:$E,$B881)=0),"NO CATALOG ID MATCH in Release_Label",iserror(vlookup($A881&amp;$B881,'3) Release_Label'!$D:$D&amp;'3) Release_Label'!$E:$E,1,0)),"NO UPC-CATALOG ID pair MATCH in Release_Label" )</f>
        <v/>
      </c>
      <c r="E881" s="141" t="str">
        <f t="shared" si="2"/>
        <v/>
      </c>
      <c r="G881" s="103"/>
      <c r="H881" s="152"/>
      <c r="J881" s="99"/>
      <c r="K881" s="104"/>
      <c r="L881" s="99"/>
      <c r="N881" s="99"/>
      <c r="O881" s="99"/>
      <c r="P881" s="34"/>
    </row>
    <row r="882">
      <c r="A882" s="28"/>
      <c r="B882" s="103"/>
      <c r="C882" s="121" t="str">
        <f t="array" ref="C882">ifs(and(isblank($A882),isblank($B882)),"", not(iserror(vlookup($A882&amp;$B882,'3) Release_Label'!$D:$D&amp;'3) Release_Label'!$E:$E,1,0))),vlookup($A882&amp;$B882,{'3) Release_Label'!$D:$D&amp;'3) Release_Label'!$E:$E,'3) Release_Label'!$F:$F},2,0), or(and(not(isblank($B882)),$B882=$B881,$A882&lt;&gt;$A881),and(not(isblank($A882)),$A882=$A881,$B882&lt;&gt;$B881)),"ID LISTS UNALIGNED",and($A882&lt;&gt;"",countif('3) Release_Label'!$D:$D,$A882)=0),"NO UPC MATCH in Release_Label",and($B882&lt;&gt;"",countif('3) Release_Label'!$E:$E,$B882)=0),"NO CATALOG ID MATCH in Release_Label",iserror(vlookup($A882&amp;$B882,'3) Release_Label'!$D:$D&amp;'3) Release_Label'!$E:$E,1,0)),"NO UPC-CATALOG ID pair MATCH in Release_Label" )</f>
        <v/>
      </c>
      <c r="D882" s="121" t="str">
        <f t="array" ref="D882">ifs(and(isblank($A882),isblank($B882)),"", not(iserror(vlookup($A882&amp;$B882,'3) Release_Label'!$D:$D&amp;'3) Release_Label'!$E:$E,1,0))),vlookup($A882&amp;$B882,{'3) Release_Label'!$D:$D&amp;'3) Release_Label'!$E:$E,'3) Release_Label'!$H:$H},2,0), or(and(not(isblank($B882)),$B882=$B881,$A882&lt;&gt;$A881),and(not(isblank($A882)),$A882=$A881,$B882&lt;&gt;$B881)),"ID LISTS UNALIGNED",and($A882&lt;&gt;"",countif('3) Release_Label'!$D:$D,$A882)=0),"NO UPC MATCH in Release_Label",and($B882&lt;&gt;"",countif('3) Release_Label'!$E:$E,$B882)=0),"NO CATALOG ID MATCH in Release_Label",iserror(vlookup($A882&amp;$B882,'3) Release_Label'!$D:$D&amp;'3) Release_Label'!$E:$E,1,0)),"NO UPC-CATALOG ID pair MATCH in Release_Label" )</f>
        <v/>
      </c>
      <c r="E882" s="141" t="str">
        <f t="shared" si="2"/>
        <v/>
      </c>
      <c r="G882" s="103"/>
      <c r="H882" s="152"/>
      <c r="J882" s="99"/>
      <c r="K882" s="104"/>
      <c r="L882" s="99"/>
      <c r="N882" s="99"/>
      <c r="O882" s="99"/>
      <c r="P882" s="34"/>
    </row>
    <row r="883">
      <c r="A883" s="28"/>
      <c r="B883" s="103"/>
      <c r="C883" s="121" t="str">
        <f t="array" ref="C883">ifs(and(isblank($A883),isblank($B883)),"", not(iserror(vlookup($A883&amp;$B883,'3) Release_Label'!$D:$D&amp;'3) Release_Label'!$E:$E,1,0))),vlookup($A883&amp;$B883,{'3) Release_Label'!$D:$D&amp;'3) Release_Label'!$E:$E,'3) Release_Label'!$F:$F},2,0), or(and(not(isblank($B883)),$B883=$B882,$A883&lt;&gt;$A882),and(not(isblank($A883)),$A883=$A882,$B883&lt;&gt;$B882)),"ID LISTS UNALIGNED",and($A883&lt;&gt;"",countif('3) Release_Label'!$D:$D,$A883)=0),"NO UPC MATCH in Release_Label",and($B883&lt;&gt;"",countif('3) Release_Label'!$E:$E,$B883)=0),"NO CATALOG ID MATCH in Release_Label",iserror(vlookup($A883&amp;$B883,'3) Release_Label'!$D:$D&amp;'3) Release_Label'!$E:$E,1,0)),"NO UPC-CATALOG ID pair MATCH in Release_Label" )</f>
        <v/>
      </c>
      <c r="D883" s="121" t="str">
        <f t="array" ref="D883">ifs(and(isblank($A883),isblank($B883)),"", not(iserror(vlookup($A883&amp;$B883,'3) Release_Label'!$D:$D&amp;'3) Release_Label'!$E:$E,1,0))),vlookup($A883&amp;$B883,{'3) Release_Label'!$D:$D&amp;'3) Release_Label'!$E:$E,'3) Release_Label'!$H:$H},2,0), or(and(not(isblank($B883)),$B883=$B882,$A883&lt;&gt;$A882),and(not(isblank($A883)),$A883=$A882,$B883&lt;&gt;$B882)),"ID LISTS UNALIGNED",and($A883&lt;&gt;"",countif('3) Release_Label'!$D:$D,$A883)=0),"NO UPC MATCH in Release_Label",and($B883&lt;&gt;"",countif('3) Release_Label'!$E:$E,$B883)=0),"NO CATALOG ID MATCH in Release_Label",iserror(vlookup($A883&amp;$B883,'3) Release_Label'!$D:$D&amp;'3) Release_Label'!$E:$E,1,0)),"NO UPC-CATALOG ID pair MATCH in Release_Label" )</f>
        <v/>
      </c>
      <c r="E883" s="141" t="str">
        <f t="shared" si="2"/>
        <v/>
      </c>
      <c r="G883" s="103"/>
      <c r="H883" s="152"/>
      <c r="J883" s="99"/>
      <c r="K883" s="104"/>
      <c r="L883" s="99"/>
      <c r="N883" s="99"/>
      <c r="O883" s="99"/>
      <c r="P883" s="34"/>
    </row>
    <row r="884">
      <c r="A884" s="28"/>
      <c r="B884" s="103"/>
      <c r="C884" s="121" t="str">
        <f t="array" ref="C884">ifs(and(isblank($A884),isblank($B884)),"", not(iserror(vlookup($A884&amp;$B884,'3) Release_Label'!$D:$D&amp;'3) Release_Label'!$E:$E,1,0))),vlookup($A884&amp;$B884,{'3) Release_Label'!$D:$D&amp;'3) Release_Label'!$E:$E,'3) Release_Label'!$F:$F},2,0), or(and(not(isblank($B884)),$B884=$B883,$A884&lt;&gt;$A883),and(not(isblank($A884)),$A884=$A883,$B884&lt;&gt;$B883)),"ID LISTS UNALIGNED",and($A884&lt;&gt;"",countif('3) Release_Label'!$D:$D,$A884)=0),"NO UPC MATCH in Release_Label",and($B884&lt;&gt;"",countif('3) Release_Label'!$E:$E,$B884)=0),"NO CATALOG ID MATCH in Release_Label",iserror(vlookup($A884&amp;$B884,'3) Release_Label'!$D:$D&amp;'3) Release_Label'!$E:$E,1,0)),"NO UPC-CATALOG ID pair MATCH in Release_Label" )</f>
        <v/>
      </c>
      <c r="D884" s="121" t="str">
        <f t="array" ref="D884">ifs(and(isblank($A884),isblank($B884)),"", not(iserror(vlookup($A884&amp;$B884,'3) Release_Label'!$D:$D&amp;'3) Release_Label'!$E:$E,1,0))),vlookup($A884&amp;$B884,{'3) Release_Label'!$D:$D&amp;'3) Release_Label'!$E:$E,'3) Release_Label'!$H:$H},2,0), or(and(not(isblank($B884)),$B884=$B883,$A884&lt;&gt;$A883),and(not(isblank($A884)),$A884=$A883,$B884&lt;&gt;$B883)),"ID LISTS UNALIGNED",and($A884&lt;&gt;"",countif('3) Release_Label'!$D:$D,$A884)=0),"NO UPC MATCH in Release_Label",and($B884&lt;&gt;"",countif('3) Release_Label'!$E:$E,$B884)=0),"NO CATALOG ID MATCH in Release_Label",iserror(vlookup($A884&amp;$B884,'3) Release_Label'!$D:$D&amp;'3) Release_Label'!$E:$E,1,0)),"NO UPC-CATALOG ID pair MATCH in Release_Label" )</f>
        <v/>
      </c>
      <c r="E884" s="141" t="str">
        <f t="shared" si="2"/>
        <v/>
      </c>
      <c r="G884" s="103"/>
      <c r="H884" s="152"/>
      <c r="J884" s="99"/>
      <c r="K884" s="104"/>
      <c r="L884" s="99"/>
      <c r="N884" s="99"/>
      <c r="O884" s="99"/>
      <c r="P884" s="34"/>
    </row>
    <row r="885">
      <c r="A885" s="28"/>
      <c r="B885" s="103"/>
      <c r="C885" s="121" t="str">
        <f t="array" ref="C885">ifs(and(isblank($A885),isblank($B885)),"", not(iserror(vlookup($A885&amp;$B885,'3) Release_Label'!$D:$D&amp;'3) Release_Label'!$E:$E,1,0))),vlookup($A885&amp;$B885,{'3) Release_Label'!$D:$D&amp;'3) Release_Label'!$E:$E,'3) Release_Label'!$F:$F},2,0), or(and(not(isblank($B885)),$B885=$B884,$A885&lt;&gt;$A884),and(not(isblank($A885)),$A885=$A884,$B885&lt;&gt;$B884)),"ID LISTS UNALIGNED",and($A885&lt;&gt;"",countif('3) Release_Label'!$D:$D,$A885)=0),"NO UPC MATCH in Release_Label",and($B885&lt;&gt;"",countif('3) Release_Label'!$E:$E,$B885)=0),"NO CATALOG ID MATCH in Release_Label",iserror(vlookup($A885&amp;$B885,'3) Release_Label'!$D:$D&amp;'3) Release_Label'!$E:$E,1,0)),"NO UPC-CATALOG ID pair MATCH in Release_Label" )</f>
        <v/>
      </c>
      <c r="D885" s="121" t="str">
        <f t="array" ref="D885">ifs(and(isblank($A885),isblank($B885)),"", not(iserror(vlookup($A885&amp;$B885,'3) Release_Label'!$D:$D&amp;'3) Release_Label'!$E:$E,1,0))),vlookup($A885&amp;$B885,{'3) Release_Label'!$D:$D&amp;'3) Release_Label'!$E:$E,'3) Release_Label'!$H:$H},2,0), or(and(not(isblank($B885)),$B885=$B884,$A885&lt;&gt;$A884),and(not(isblank($A885)),$A885=$A884,$B885&lt;&gt;$B884)),"ID LISTS UNALIGNED",and($A885&lt;&gt;"",countif('3) Release_Label'!$D:$D,$A885)=0),"NO UPC MATCH in Release_Label",and($B885&lt;&gt;"",countif('3) Release_Label'!$E:$E,$B885)=0),"NO CATALOG ID MATCH in Release_Label",iserror(vlookup($A885&amp;$B885,'3) Release_Label'!$D:$D&amp;'3) Release_Label'!$E:$E,1,0)),"NO UPC-CATALOG ID pair MATCH in Release_Label" )</f>
        <v/>
      </c>
      <c r="E885" s="141" t="str">
        <f t="shared" si="2"/>
        <v/>
      </c>
      <c r="G885" s="103"/>
      <c r="H885" s="152"/>
      <c r="J885" s="99"/>
      <c r="K885" s="104"/>
      <c r="L885" s="99"/>
      <c r="N885" s="99"/>
      <c r="O885" s="99"/>
      <c r="P885" s="34"/>
    </row>
    <row r="886">
      <c r="A886" s="28"/>
      <c r="B886" s="103"/>
      <c r="C886" s="121" t="str">
        <f t="array" ref="C886">ifs(and(isblank($A886),isblank($B886)),"", not(iserror(vlookup($A886&amp;$B886,'3) Release_Label'!$D:$D&amp;'3) Release_Label'!$E:$E,1,0))),vlookup($A886&amp;$B886,{'3) Release_Label'!$D:$D&amp;'3) Release_Label'!$E:$E,'3) Release_Label'!$F:$F},2,0), or(and(not(isblank($B886)),$B886=$B885,$A886&lt;&gt;$A885),and(not(isblank($A886)),$A886=$A885,$B886&lt;&gt;$B885)),"ID LISTS UNALIGNED",and($A886&lt;&gt;"",countif('3) Release_Label'!$D:$D,$A886)=0),"NO UPC MATCH in Release_Label",and($B886&lt;&gt;"",countif('3) Release_Label'!$E:$E,$B886)=0),"NO CATALOG ID MATCH in Release_Label",iserror(vlookup($A886&amp;$B886,'3) Release_Label'!$D:$D&amp;'3) Release_Label'!$E:$E,1,0)),"NO UPC-CATALOG ID pair MATCH in Release_Label" )</f>
        <v/>
      </c>
      <c r="D886" s="121" t="str">
        <f t="array" ref="D886">ifs(and(isblank($A886),isblank($B886)),"", not(iserror(vlookup($A886&amp;$B886,'3) Release_Label'!$D:$D&amp;'3) Release_Label'!$E:$E,1,0))),vlookup($A886&amp;$B886,{'3) Release_Label'!$D:$D&amp;'3) Release_Label'!$E:$E,'3) Release_Label'!$H:$H},2,0), or(and(not(isblank($B886)),$B886=$B885,$A886&lt;&gt;$A885),and(not(isblank($A886)),$A886=$A885,$B886&lt;&gt;$B885)),"ID LISTS UNALIGNED",and($A886&lt;&gt;"",countif('3) Release_Label'!$D:$D,$A886)=0),"NO UPC MATCH in Release_Label",and($B886&lt;&gt;"",countif('3) Release_Label'!$E:$E,$B886)=0),"NO CATALOG ID MATCH in Release_Label",iserror(vlookup($A886&amp;$B886,'3) Release_Label'!$D:$D&amp;'3) Release_Label'!$E:$E,1,0)),"NO UPC-CATALOG ID pair MATCH in Release_Label" )</f>
        <v/>
      </c>
      <c r="E886" s="141" t="str">
        <f t="shared" si="2"/>
        <v/>
      </c>
      <c r="G886" s="103"/>
      <c r="H886" s="152"/>
      <c r="J886" s="99"/>
      <c r="K886" s="104"/>
      <c r="L886" s="99"/>
      <c r="N886" s="99"/>
      <c r="O886" s="99"/>
      <c r="P886" s="34"/>
    </row>
    <row r="887">
      <c r="A887" s="28"/>
      <c r="B887" s="103"/>
      <c r="C887" s="121" t="str">
        <f t="array" ref="C887">ifs(and(isblank($A887),isblank($B887)),"", not(iserror(vlookup($A887&amp;$B887,'3) Release_Label'!$D:$D&amp;'3) Release_Label'!$E:$E,1,0))),vlookup($A887&amp;$B887,{'3) Release_Label'!$D:$D&amp;'3) Release_Label'!$E:$E,'3) Release_Label'!$F:$F},2,0), or(and(not(isblank($B887)),$B887=$B886,$A887&lt;&gt;$A886),and(not(isblank($A887)),$A887=$A886,$B887&lt;&gt;$B886)),"ID LISTS UNALIGNED",and($A887&lt;&gt;"",countif('3) Release_Label'!$D:$D,$A887)=0),"NO UPC MATCH in Release_Label",and($B887&lt;&gt;"",countif('3) Release_Label'!$E:$E,$B887)=0),"NO CATALOG ID MATCH in Release_Label",iserror(vlookup($A887&amp;$B887,'3) Release_Label'!$D:$D&amp;'3) Release_Label'!$E:$E,1,0)),"NO UPC-CATALOG ID pair MATCH in Release_Label" )</f>
        <v/>
      </c>
      <c r="D887" s="121" t="str">
        <f t="array" ref="D887">ifs(and(isblank($A887),isblank($B887)),"", not(iserror(vlookup($A887&amp;$B887,'3) Release_Label'!$D:$D&amp;'3) Release_Label'!$E:$E,1,0))),vlookup($A887&amp;$B887,{'3) Release_Label'!$D:$D&amp;'3) Release_Label'!$E:$E,'3) Release_Label'!$H:$H},2,0), or(and(not(isblank($B887)),$B887=$B886,$A887&lt;&gt;$A886),and(not(isblank($A887)),$A887=$A886,$B887&lt;&gt;$B886)),"ID LISTS UNALIGNED",and($A887&lt;&gt;"",countif('3) Release_Label'!$D:$D,$A887)=0),"NO UPC MATCH in Release_Label",and($B887&lt;&gt;"",countif('3) Release_Label'!$E:$E,$B887)=0),"NO CATALOG ID MATCH in Release_Label",iserror(vlookup($A887&amp;$B887,'3) Release_Label'!$D:$D&amp;'3) Release_Label'!$E:$E,1,0)),"NO UPC-CATALOG ID pair MATCH in Release_Label" )</f>
        <v/>
      </c>
      <c r="E887" s="141" t="str">
        <f t="shared" si="2"/>
        <v/>
      </c>
      <c r="G887" s="103"/>
      <c r="H887" s="152"/>
      <c r="J887" s="99"/>
      <c r="K887" s="104"/>
      <c r="L887" s="99"/>
      <c r="N887" s="99"/>
      <c r="O887" s="99"/>
      <c r="P887" s="34"/>
    </row>
    <row r="888">
      <c r="A888" s="28"/>
      <c r="B888" s="103"/>
      <c r="C888" s="121" t="str">
        <f t="array" ref="C888">ifs(and(isblank($A888),isblank($B888)),"", not(iserror(vlookup($A888&amp;$B888,'3) Release_Label'!$D:$D&amp;'3) Release_Label'!$E:$E,1,0))),vlookup($A888&amp;$B888,{'3) Release_Label'!$D:$D&amp;'3) Release_Label'!$E:$E,'3) Release_Label'!$F:$F},2,0), or(and(not(isblank($B888)),$B888=$B887,$A888&lt;&gt;$A887),and(not(isblank($A888)),$A888=$A887,$B888&lt;&gt;$B887)),"ID LISTS UNALIGNED",and($A888&lt;&gt;"",countif('3) Release_Label'!$D:$D,$A888)=0),"NO UPC MATCH in Release_Label",and($B888&lt;&gt;"",countif('3) Release_Label'!$E:$E,$B888)=0),"NO CATALOG ID MATCH in Release_Label",iserror(vlookup($A888&amp;$B888,'3) Release_Label'!$D:$D&amp;'3) Release_Label'!$E:$E,1,0)),"NO UPC-CATALOG ID pair MATCH in Release_Label" )</f>
        <v/>
      </c>
      <c r="D888" s="121" t="str">
        <f t="array" ref="D888">ifs(and(isblank($A888),isblank($B888)),"", not(iserror(vlookup($A888&amp;$B888,'3) Release_Label'!$D:$D&amp;'3) Release_Label'!$E:$E,1,0))),vlookup($A888&amp;$B888,{'3) Release_Label'!$D:$D&amp;'3) Release_Label'!$E:$E,'3) Release_Label'!$H:$H},2,0), or(and(not(isblank($B888)),$B888=$B887,$A888&lt;&gt;$A887),and(not(isblank($A888)),$A888=$A887,$B888&lt;&gt;$B887)),"ID LISTS UNALIGNED",and($A888&lt;&gt;"",countif('3) Release_Label'!$D:$D,$A888)=0),"NO UPC MATCH in Release_Label",and($B888&lt;&gt;"",countif('3) Release_Label'!$E:$E,$B888)=0),"NO CATALOG ID MATCH in Release_Label",iserror(vlookup($A888&amp;$B888,'3) Release_Label'!$D:$D&amp;'3) Release_Label'!$E:$E,1,0)),"NO UPC-CATALOG ID pair MATCH in Release_Label" )</f>
        <v/>
      </c>
      <c r="E888" s="141" t="str">
        <f t="shared" si="2"/>
        <v/>
      </c>
      <c r="G888" s="103"/>
      <c r="H888" s="152"/>
      <c r="J888" s="99"/>
      <c r="K888" s="104"/>
      <c r="L888" s="99"/>
      <c r="N888" s="99"/>
      <c r="O888" s="99"/>
      <c r="P888" s="34"/>
    </row>
    <row r="889">
      <c r="A889" s="28"/>
      <c r="B889" s="103"/>
      <c r="C889" s="121" t="str">
        <f t="array" ref="C889">ifs(and(isblank($A889),isblank($B889)),"", not(iserror(vlookup($A889&amp;$B889,'3) Release_Label'!$D:$D&amp;'3) Release_Label'!$E:$E,1,0))),vlookup($A889&amp;$B889,{'3) Release_Label'!$D:$D&amp;'3) Release_Label'!$E:$E,'3) Release_Label'!$F:$F},2,0), or(and(not(isblank($B889)),$B889=$B888,$A889&lt;&gt;$A888),and(not(isblank($A889)),$A889=$A888,$B889&lt;&gt;$B888)),"ID LISTS UNALIGNED",and($A889&lt;&gt;"",countif('3) Release_Label'!$D:$D,$A889)=0),"NO UPC MATCH in Release_Label",and($B889&lt;&gt;"",countif('3) Release_Label'!$E:$E,$B889)=0),"NO CATALOG ID MATCH in Release_Label",iserror(vlookup($A889&amp;$B889,'3) Release_Label'!$D:$D&amp;'3) Release_Label'!$E:$E,1,0)),"NO UPC-CATALOG ID pair MATCH in Release_Label" )</f>
        <v/>
      </c>
      <c r="D889" s="121" t="str">
        <f t="array" ref="D889">ifs(and(isblank($A889),isblank($B889)),"", not(iserror(vlookup($A889&amp;$B889,'3) Release_Label'!$D:$D&amp;'3) Release_Label'!$E:$E,1,0))),vlookup($A889&amp;$B889,{'3) Release_Label'!$D:$D&amp;'3) Release_Label'!$E:$E,'3) Release_Label'!$H:$H},2,0), or(and(not(isblank($B889)),$B889=$B888,$A889&lt;&gt;$A888),and(not(isblank($A889)),$A889=$A888,$B889&lt;&gt;$B888)),"ID LISTS UNALIGNED",and($A889&lt;&gt;"",countif('3) Release_Label'!$D:$D,$A889)=0),"NO UPC MATCH in Release_Label",and($B889&lt;&gt;"",countif('3) Release_Label'!$E:$E,$B889)=0),"NO CATALOG ID MATCH in Release_Label",iserror(vlookup($A889&amp;$B889,'3) Release_Label'!$D:$D&amp;'3) Release_Label'!$E:$E,1,0)),"NO UPC-CATALOG ID pair MATCH in Release_Label" )</f>
        <v/>
      </c>
      <c r="E889" s="141" t="str">
        <f t="shared" si="2"/>
        <v/>
      </c>
      <c r="G889" s="103"/>
      <c r="H889" s="152"/>
      <c r="J889" s="99"/>
      <c r="K889" s="104"/>
      <c r="L889" s="99"/>
      <c r="N889" s="99"/>
      <c r="O889" s="99"/>
      <c r="P889" s="34"/>
    </row>
    <row r="890">
      <c r="A890" s="28"/>
      <c r="B890" s="103"/>
      <c r="C890" s="121" t="str">
        <f t="array" ref="C890">ifs(and(isblank($A890),isblank($B890)),"", not(iserror(vlookup($A890&amp;$B890,'3) Release_Label'!$D:$D&amp;'3) Release_Label'!$E:$E,1,0))),vlookup($A890&amp;$B890,{'3) Release_Label'!$D:$D&amp;'3) Release_Label'!$E:$E,'3) Release_Label'!$F:$F},2,0), or(and(not(isblank($B890)),$B890=$B889,$A890&lt;&gt;$A889),and(not(isblank($A890)),$A890=$A889,$B890&lt;&gt;$B889)),"ID LISTS UNALIGNED",and($A890&lt;&gt;"",countif('3) Release_Label'!$D:$D,$A890)=0),"NO UPC MATCH in Release_Label",and($B890&lt;&gt;"",countif('3) Release_Label'!$E:$E,$B890)=0),"NO CATALOG ID MATCH in Release_Label",iserror(vlookup($A890&amp;$B890,'3) Release_Label'!$D:$D&amp;'3) Release_Label'!$E:$E,1,0)),"NO UPC-CATALOG ID pair MATCH in Release_Label" )</f>
        <v/>
      </c>
      <c r="D890" s="121" t="str">
        <f t="array" ref="D890">ifs(and(isblank($A890),isblank($B890)),"", not(iserror(vlookup($A890&amp;$B890,'3) Release_Label'!$D:$D&amp;'3) Release_Label'!$E:$E,1,0))),vlookup($A890&amp;$B890,{'3) Release_Label'!$D:$D&amp;'3) Release_Label'!$E:$E,'3) Release_Label'!$H:$H},2,0), or(and(not(isblank($B890)),$B890=$B889,$A890&lt;&gt;$A889),and(not(isblank($A890)),$A890=$A889,$B890&lt;&gt;$B889)),"ID LISTS UNALIGNED",and($A890&lt;&gt;"",countif('3) Release_Label'!$D:$D,$A890)=0),"NO UPC MATCH in Release_Label",and($B890&lt;&gt;"",countif('3) Release_Label'!$E:$E,$B890)=0),"NO CATALOG ID MATCH in Release_Label",iserror(vlookup($A890&amp;$B890,'3) Release_Label'!$D:$D&amp;'3) Release_Label'!$E:$E,1,0)),"NO UPC-CATALOG ID pair MATCH in Release_Label" )</f>
        <v/>
      </c>
      <c r="E890" s="141" t="str">
        <f t="shared" si="2"/>
        <v/>
      </c>
      <c r="G890" s="103"/>
      <c r="H890" s="152"/>
      <c r="J890" s="99"/>
      <c r="K890" s="104"/>
      <c r="L890" s="99"/>
      <c r="N890" s="99"/>
      <c r="O890" s="99"/>
      <c r="P890" s="34"/>
    </row>
    <row r="891">
      <c r="A891" s="28"/>
      <c r="B891" s="103"/>
      <c r="C891" s="121" t="str">
        <f t="array" ref="C891">ifs(and(isblank($A891),isblank($B891)),"", not(iserror(vlookup($A891&amp;$B891,'3) Release_Label'!$D:$D&amp;'3) Release_Label'!$E:$E,1,0))),vlookup($A891&amp;$B891,{'3) Release_Label'!$D:$D&amp;'3) Release_Label'!$E:$E,'3) Release_Label'!$F:$F},2,0), or(and(not(isblank($B891)),$B891=$B890,$A891&lt;&gt;$A890),and(not(isblank($A891)),$A891=$A890,$B891&lt;&gt;$B890)),"ID LISTS UNALIGNED",and($A891&lt;&gt;"",countif('3) Release_Label'!$D:$D,$A891)=0),"NO UPC MATCH in Release_Label",and($B891&lt;&gt;"",countif('3) Release_Label'!$E:$E,$B891)=0),"NO CATALOG ID MATCH in Release_Label",iserror(vlookup($A891&amp;$B891,'3) Release_Label'!$D:$D&amp;'3) Release_Label'!$E:$E,1,0)),"NO UPC-CATALOG ID pair MATCH in Release_Label" )</f>
        <v/>
      </c>
      <c r="D891" s="121" t="str">
        <f t="array" ref="D891">ifs(and(isblank($A891),isblank($B891)),"", not(iserror(vlookup($A891&amp;$B891,'3) Release_Label'!$D:$D&amp;'3) Release_Label'!$E:$E,1,0))),vlookup($A891&amp;$B891,{'3) Release_Label'!$D:$D&amp;'3) Release_Label'!$E:$E,'3) Release_Label'!$H:$H},2,0), or(and(not(isblank($B891)),$B891=$B890,$A891&lt;&gt;$A890),and(not(isblank($A891)),$A891=$A890,$B891&lt;&gt;$B890)),"ID LISTS UNALIGNED",and($A891&lt;&gt;"",countif('3) Release_Label'!$D:$D,$A891)=0),"NO UPC MATCH in Release_Label",and($B891&lt;&gt;"",countif('3) Release_Label'!$E:$E,$B891)=0),"NO CATALOG ID MATCH in Release_Label",iserror(vlookup($A891&amp;$B891,'3) Release_Label'!$D:$D&amp;'3) Release_Label'!$E:$E,1,0)),"NO UPC-CATALOG ID pair MATCH in Release_Label" )</f>
        <v/>
      </c>
      <c r="E891" s="141" t="str">
        <f t="shared" si="2"/>
        <v/>
      </c>
      <c r="G891" s="103"/>
      <c r="H891" s="152"/>
      <c r="J891" s="99"/>
      <c r="K891" s="104"/>
      <c r="L891" s="99"/>
      <c r="N891" s="99"/>
      <c r="O891" s="99"/>
      <c r="P891" s="34"/>
    </row>
    <row r="892">
      <c r="A892" s="28"/>
      <c r="B892" s="103"/>
      <c r="C892" s="121" t="str">
        <f t="array" ref="C892">ifs(and(isblank($A892),isblank($B892)),"", not(iserror(vlookup($A892&amp;$B892,'3) Release_Label'!$D:$D&amp;'3) Release_Label'!$E:$E,1,0))),vlookup($A892&amp;$B892,{'3) Release_Label'!$D:$D&amp;'3) Release_Label'!$E:$E,'3) Release_Label'!$F:$F},2,0), or(and(not(isblank($B892)),$B892=$B891,$A892&lt;&gt;$A891),and(not(isblank($A892)),$A892=$A891,$B892&lt;&gt;$B891)),"ID LISTS UNALIGNED",and($A892&lt;&gt;"",countif('3) Release_Label'!$D:$D,$A892)=0),"NO UPC MATCH in Release_Label",and($B892&lt;&gt;"",countif('3) Release_Label'!$E:$E,$B892)=0),"NO CATALOG ID MATCH in Release_Label",iserror(vlookup($A892&amp;$B892,'3) Release_Label'!$D:$D&amp;'3) Release_Label'!$E:$E,1,0)),"NO UPC-CATALOG ID pair MATCH in Release_Label" )</f>
        <v/>
      </c>
      <c r="D892" s="121" t="str">
        <f t="array" ref="D892">ifs(and(isblank($A892),isblank($B892)),"", not(iserror(vlookup($A892&amp;$B892,'3) Release_Label'!$D:$D&amp;'3) Release_Label'!$E:$E,1,0))),vlookup($A892&amp;$B892,{'3) Release_Label'!$D:$D&amp;'3) Release_Label'!$E:$E,'3) Release_Label'!$H:$H},2,0), or(and(not(isblank($B892)),$B892=$B891,$A892&lt;&gt;$A891),and(not(isblank($A892)),$A892=$A891,$B892&lt;&gt;$B891)),"ID LISTS UNALIGNED",and($A892&lt;&gt;"",countif('3) Release_Label'!$D:$D,$A892)=0),"NO UPC MATCH in Release_Label",and($B892&lt;&gt;"",countif('3) Release_Label'!$E:$E,$B892)=0),"NO CATALOG ID MATCH in Release_Label",iserror(vlookup($A892&amp;$B892,'3) Release_Label'!$D:$D&amp;'3) Release_Label'!$E:$E,1,0)),"NO UPC-CATALOG ID pair MATCH in Release_Label" )</f>
        <v/>
      </c>
      <c r="E892" s="141" t="str">
        <f t="shared" si="2"/>
        <v/>
      </c>
      <c r="G892" s="103"/>
      <c r="H892" s="152"/>
      <c r="J892" s="99"/>
      <c r="K892" s="104"/>
      <c r="L892" s="99"/>
      <c r="N892" s="99"/>
      <c r="O892" s="99"/>
      <c r="P892" s="34"/>
    </row>
    <row r="893">
      <c r="A893" s="28"/>
      <c r="B893" s="103"/>
      <c r="C893" s="121" t="str">
        <f t="array" ref="C893">ifs(and(isblank($A893),isblank($B893)),"", not(iserror(vlookup($A893&amp;$B893,'3) Release_Label'!$D:$D&amp;'3) Release_Label'!$E:$E,1,0))),vlookup($A893&amp;$B893,{'3) Release_Label'!$D:$D&amp;'3) Release_Label'!$E:$E,'3) Release_Label'!$F:$F},2,0), or(and(not(isblank($B893)),$B893=$B892,$A893&lt;&gt;$A892),and(not(isblank($A893)),$A893=$A892,$B893&lt;&gt;$B892)),"ID LISTS UNALIGNED",and($A893&lt;&gt;"",countif('3) Release_Label'!$D:$D,$A893)=0),"NO UPC MATCH in Release_Label",and($B893&lt;&gt;"",countif('3) Release_Label'!$E:$E,$B893)=0),"NO CATALOG ID MATCH in Release_Label",iserror(vlookup($A893&amp;$B893,'3) Release_Label'!$D:$D&amp;'3) Release_Label'!$E:$E,1,0)),"NO UPC-CATALOG ID pair MATCH in Release_Label" )</f>
        <v/>
      </c>
      <c r="D893" s="121" t="str">
        <f t="array" ref="D893">ifs(and(isblank($A893),isblank($B893)),"", not(iserror(vlookup($A893&amp;$B893,'3) Release_Label'!$D:$D&amp;'3) Release_Label'!$E:$E,1,0))),vlookup($A893&amp;$B893,{'3) Release_Label'!$D:$D&amp;'3) Release_Label'!$E:$E,'3) Release_Label'!$H:$H},2,0), or(and(not(isblank($B893)),$B893=$B892,$A893&lt;&gt;$A892),and(not(isblank($A893)),$A893=$A892,$B893&lt;&gt;$B892)),"ID LISTS UNALIGNED",and($A893&lt;&gt;"",countif('3) Release_Label'!$D:$D,$A893)=0),"NO UPC MATCH in Release_Label",and($B893&lt;&gt;"",countif('3) Release_Label'!$E:$E,$B893)=0),"NO CATALOG ID MATCH in Release_Label",iserror(vlookup($A893&amp;$B893,'3) Release_Label'!$D:$D&amp;'3) Release_Label'!$E:$E,1,0)),"NO UPC-CATALOG ID pair MATCH in Release_Label" )</f>
        <v/>
      </c>
      <c r="E893" s="141" t="str">
        <f t="shared" si="2"/>
        <v/>
      </c>
      <c r="G893" s="103"/>
      <c r="H893" s="152"/>
      <c r="J893" s="99"/>
      <c r="K893" s="104"/>
      <c r="L893" s="99"/>
      <c r="N893" s="99"/>
      <c r="O893" s="99"/>
      <c r="P893" s="34"/>
    </row>
    <row r="894">
      <c r="A894" s="28"/>
      <c r="B894" s="103"/>
      <c r="C894" s="121" t="str">
        <f t="array" ref="C894">ifs(and(isblank($A894),isblank($B894)),"", not(iserror(vlookup($A894&amp;$B894,'3) Release_Label'!$D:$D&amp;'3) Release_Label'!$E:$E,1,0))),vlookup($A894&amp;$B894,{'3) Release_Label'!$D:$D&amp;'3) Release_Label'!$E:$E,'3) Release_Label'!$F:$F},2,0), or(and(not(isblank($B894)),$B894=$B893,$A894&lt;&gt;$A893),and(not(isblank($A894)),$A894=$A893,$B894&lt;&gt;$B893)),"ID LISTS UNALIGNED",and($A894&lt;&gt;"",countif('3) Release_Label'!$D:$D,$A894)=0),"NO UPC MATCH in Release_Label",and($B894&lt;&gt;"",countif('3) Release_Label'!$E:$E,$B894)=0),"NO CATALOG ID MATCH in Release_Label",iserror(vlookup($A894&amp;$B894,'3) Release_Label'!$D:$D&amp;'3) Release_Label'!$E:$E,1,0)),"NO UPC-CATALOG ID pair MATCH in Release_Label" )</f>
        <v/>
      </c>
      <c r="D894" s="121" t="str">
        <f t="array" ref="D894">ifs(and(isblank($A894),isblank($B894)),"", not(iserror(vlookup($A894&amp;$B894,'3) Release_Label'!$D:$D&amp;'3) Release_Label'!$E:$E,1,0))),vlookup($A894&amp;$B894,{'3) Release_Label'!$D:$D&amp;'3) Release_Label'!$E:$E,'3) Release_Label'!$H:$H},2,0), or(and(not(isblank($B894)),$B894=$B893,$A894&lt;&gt;$A893),and(not(isblank($A894)),$A894=$A893,$B894&lt;&gt;$B893)),"ID LISTS UNALIGNED",and($A894&lt;&gt;"",countif('3) Release_Label'!$D:$D,$A894)=0),"NO UPC MATCH in Release_Label",and($B894&lt;&gt;"",countif('3) Release_Label'!$E:$E,$B894)=0),"NO CATALOG ID MATCH in Release_Label",iserror(vlookup($A894&amp;$B894,'3) Release_Label'!$D:$D&amp;'3) Release_Label'!$E:$E,1,0)),"NO UPC-CATALOG ID pair MATCH in Release_Label" )</f>
        <v/>
      </c>
      <c r="E894" s="141" t="str">
        <f t="shared" si="2"/>
        <v/>
      </c>
      <c r="G894" s="103"/>
      <c r="H894" s="152"/>
      <c r="J894" s="99"/>
      <c r="K894" s="104"/>
      <c r="L894" s="99"/>
      <c r="N894" s="99"/>
      <c r="O894" s="99"/>
      <c r="P894" s="34"/>
    </row>
    <row r="895">
      <c r="A895" s="28"/>
      <c r="B895" s="103"/>
      <c r="C895" s="121" t="str">
        <f t="array" ref="C895">ifs(and(isblank($A895),isblank($B895)),"", not(iserror(vlookup($A895&amp;$B895,'3) Release_Label'!$D:$D&amp;'3) Release_Label'!$E:$E,1,0))),vlookup($A895&amp;$B895,{'3) Release_Label'!$D:$D&amp;'3) Release_Label'!$E:$E,'3) Release_Label'!$F:$F},2,0), or(and(not(isblank($B895)),$B895=$B894,$A895&lt;&gt;$A894),and(not(isblank($A895)),$A895=$A894,$B895&lt;&gt;$B894)),"ID LISTS UNALIGNED",and($A895&lt;&gt;"",countif('3) Release_Label'!$D:$D,$A895)=0),"NO UPC MATCH in Release_Label",and($B895&lt;&gt;"",countif('3) Release_Label'!$E:$E,$B895)=0),"NO CATALOG ID MATCH in Release_Label",iserror(vlookup($A895&amp;$B895,'3) Release_Label'!$D:$D&amp;'3) Release_Label'!$E:$E,1,0)),"NO UPC-CATALOG ID pair MATCH in Release_Label" )</f>
        <v/>
      </c>
      <c r="D895" s="121" t="str">
        <f t="array" ref="D895">ifs(and(isblank($A895),isblank($B895)),"", not(iserror(vlookup($A895&amp;$B895,'3) Release_Label'!$D:$D&amp;'3) Release_Label'!$E:$E,1,0))),vlookup($A895&amp;$B895,{'3) Release_Label'!$D:$D&amp;'3) Release_Label'!$E:$E,'3) Release_Label'!$H:$H},2,0), or(and(not(isblank($B895)),$B895=$B894,$A895&lt;&gt;$A894),and(not(isblank($A895)),$A895=$A894,$B895&lt;&gt;$B894)),"ID LISTS UNALIGNED",and($A895&lt;&gt;"",countif('3) Release_Label'!$D:$D,$A895)=0),"NO UPC MATCH in Release_Label",and($B895&lt;&gt;"",countif('3) Release_Label'!$E:$E,$B895)=0),"NO CATALOG ID MATCH in Release_Label",iserror(vlookup($A895&amp;$B895,'3) Release_Label'!$D:$D&amp;'3) Release_Label'!$E:$E,1,0)),"NO UPC-CATALOG ID pair MATCH in Release_Label" )</f>
        <v/>
      </c>
      <c r="E895" s="141" t="str">
        <f t="shared" si="2"/>
        <v/>
      </c>
      <c r="G895" s="103"/>
      <c r="H895" s="152"/>
      <c r="J895" s="99"/>
      <c r="K895" s="104"/>
      <c r="L895" s="99"/>
      <c r="N895" s="99"/>
      <c r="O895" s="99"/>
      <c r="P895" s="34"/>
    </row>
    <row r="896">
      <c r="A896" s="28"/>
      <c r="B896" s="103"/>
      <c r="C896" s="121" t="str">
        <f t="array" ref="C896">ifs(and(isblank($A896),isblank($B896)),"", not(iserror(vlookup($A896&amp;$B896,'3) Release_Label'!$D:$D&amp;'3) Release_Label'!$E:$E,1,0))),vlookup($A896&amp;$B896,{'3) Release_Label'!$D:$D&amp;'3) Release_Label'!$E:$E,'3) Release_Label'!$F:$F},2,0), or(and(not(isblank($B896)),$B896=$B895,$A896&lt;&gt;$A895),and(not(isblank($A896)),$A896=$A895,$B896&lt;&gt;$B895)),"ID LISTS UNALIGNED",and($A896&lt;&gt;"",countif('3) Release_Label'!$D:$D,$A896)=0),"NO UPC MATCH in Release_Label",and($B896&lt;&gt;"",countif('3) Release_Label'!$E:$E,$B896)=0),"NO CATALOG ID MATCH in Release_Label",iserror(vlookup($A896&amp;$B896,'3) Release_Label'!$D:$D&amp;'3) Release_Label'!$E:$E,1,0)),"NO UPC-CATALOG ID pair MATCH in Release_Label" )</f>
        <v/>
      </c>
      <c r="D896" s="121" t="str">
        <f t="array" ref="D896">ifs(and(isblank($A896),isblank($B896)),"", not(iserror(vlookup($A896&amp;$B896,'3) Release_Label'!$D:$D&amp;'3) Release_Label'!$E:$E,1,0))),vlookup($A896&amp;$B896,{'3) Release_Label'!$D:$D&amp;'3) Release_Label'!$E:$E,'3) Release_Label'!$H:$H},2,0), or(and(not(isblank($B896)),$B896=$B895,$A896&lt;&gt;$A895),and(not(isblank($A896)),$A896=$A895,$B896&lt;&gt;$B895)),"ID LISTS UNALIGNED",and($A896&lt;&gt;"",countif('3) Release_Label'!$D:$D,$A896)=0),"NO UPC MATCH in Release_Label",and($B896&lt;&gt;"",countif('3) Release_Label'!$E:$E,$B896)=0),"NO CATALOG ID MATCH in Release_Label",iserror(vlookup($A896&amp;$B896,'3) Release_Label'!$D:$D&amp;'3) Release_Label'!$E:$E,1,0)),"NO UPC-CATALOG ID pair MATCH in Release_Label" )</f>
        <v/>
      </c>
      <c r="E896" s="141" t="str">
        <f t="shared" si="2"/>
        <v/>
      </c>
      <c r="G896" s="103"/>
      <c r="H896" s="152"/>
      <c r="J896" s="99"/>
      <c r="K896" s="104"/>
      <c r="L896" s="99"/>
      <c r="N896" s="99"/>
      <c r="O896" s="99"/>
      <c r="P896" s="34"/>
    </row>
    <row r="897">
      <c r="A897" s="28"/>
      <c r="B897" s="103"/>
      <c r="C897" s="121" t="str">
        <f t="array" ref="C897">ifs(and(isblank($A897),isblank($B897)),"", not(iserror(vlookup($A897&amp;$B897,'3) Release_Label'!$D:$D&amp;'3) Release_Label'!$E:$E,1,0))),vlookup($A897&amp;$B897,{'3) Release_Label'!$D:$D&amp;'3) Release_Label'!$E:$E,'3) Release_Label'!$F:$F},2,0), or(and(not(isblank($B897)),$B897=$B896,$A897&lt;&gt;$A896),and(not(isblank($A897)),$A897=$A896,$B897&lt;&gt;$B896)),"ID LISTS UNALIGNED",and($A897&lt;&gt;"",countif('3) Release_Label'!$D:$D,$A897)=0),"NO UPC MATCH in Release_Label",and($B897&lt;&gt;"",countif('3) Release_Label'!$E:$E,$B897)=0),"NO CATALOG ID MATCH in Release_Label",iserror(vlookup($A897&amp;$B897,'3) Release_Label'!$D:$D&amp;'3) Release_Label'!$E:$E,1,0)),"NO UPC-CATALOG ID pair MATCH in Release_Label" )</f>
        <v/>
      </c>
      <c r="D897" s="121" t="str">
        <f t="array" ref="D897">ifs(and(isblank($A897),isblank($B897)),"", not(iserror(vlookup($A897&amp;$B897,'3) Release_Label'!$D:$D&amp;'3) Release_Label'!$E:$E,1,0))),vlookup($A897&amp;$B897,{'3) Release_Label'!$D:$D&amp;'3) Release_Label'!$E:$E,'3) Release_Label'!$H:$H},2,0), or(and(not(isblank($B897)),$B897=$B896,$A897&lt;&gt;$A896),and(not(isblank($A897)),$A897=$A896,$B897&lt;&gt;$B896)),"ID LISTS UNALIGNED",and($A897&lt;&gt;"",countif('3) Release_Label'!$D:$D,$A897)=0),"NO UPC MATCH in Release_Label",and($B897&lt;&gt;"",countif('3) Release_Label'!$E:$E,$B897)=0),"NO CATALOG ID MATCH in Release_Label",iserror(vlookup($A897&amp;$B897,'3) Release_Label'!$D:$D&amp;'3) Release_Label'!$E:$E,1,0)),"NO UPC-CATALOG ID pair MATCH in Release_Label" )</f>
        <v/>
      </c>
      <c r="E897" s="141" t="str">
        <f t="shared" si="2"/>
        <v/>
      </c>
      <c r="G897" s="103"/>
      <c r="H897" s="152"/>
      <c r="J897" s="99"/>
      <c r="K897" s="104"/>
      <c r="L897" s="99"/>
      <c r="N897" s="99"/>
      <c r="O897" s="99"/>
      <c r="P897" s="34"/>
    </row>
    <row r="898">
      <c r="A898" s="28"/>
      <c r="B898" s="103"/>
      <c r="C898" s="121" t="str">
        <f t="array" ref="C898">ifs(and(isblank($A898),isblank($B898)),"", not(iserror(vlookup($A898&amp;$B898,'3) Release_Label'!$D:$D&amp;'3) Release_Label'!$E:$E,1,0))),vlookup($A898&amp;$B898,{'3) Release_Label'!$D:$D&amp;'3) Release_Label'!$E:$E,'3) Release_Label'!$F:$F},2,0), or(and(not(isblank($B898)),$B898=$B897,$A898&lt;&gt;$A897),and(not(isblank($A898)),$A898=$A897,$B898&lt;&gt;$B897)),"ID LISTS UNALIGNED",and($A898&lt;&gt;"",countif('3) Release_Label'!$D:$D,$A898)=0),"NO UPC MATCH in Release_Label",and($B898&lt;&gt;"",countif('3) Release_Label'!$E:$E,$B898)=0),"NO CATALOG ID MATCH in Release_Label",iserror(vlookup($A898&amp;$B898,'3) Release_Label'!$D:$D&amp;'3) Release_Label'!$E:$E,1,0)),"NO UPC-CATALOG ID pair MATCH in Release_Label" )</f>
        <v/>
      </c>
      <c r="D898" s="121" t="str">
        <f t="array" ref="D898">ifs(and(isblank($A898),isblank($B898)),"", not(iserror(vlookup($A898&amp;$B898,'3) Release_Label'!$D:$D&amp;'3) Release_Label'!$E:$E,1,0))),vlookup($A898&amp;$B898,{'3) Release_Label'!$D:$D&amp;'3) Release_Label'!$E:$E,'3) Release_Label'!$H:$H},2,0), or(and(not(isblank($B898)),$B898=$B897,$A898&lt;&gt;$A897),and(not(isblank($A898)),$A898=$A897,$B898&lt;&gt;$B897)),"ID LISTS UNALIGNED",and($A898&lt;&gt;"",countif('3) Release_Label'!$D:$D,$A898)=0),"NO UPC MATCH in Release_Label",and($B898&lt;&gt;"",countif('3) Release_Label'!$E:$E,$B898)=0),"NO CATALOG ID MATCH in Release_Label",iserror(vlookup($A898&amp;$B898,'3) Release_Label'!$D:$D&amp;'3) Release_Label'!$E:$E,1,0)),"NO UPC-CATALOG ID pair MATCH in Release_Label" )</f>
        <v/>
      </c>
      <c r="E898" s="141" t="str">
        <f t="shared" si="2"/>
        <v/>
      </c>
      <c r="G898" s="103"/>
      <c r="H898" s="152"/>
      <c r="J898" s="99"/>
      <c r="K898" s="104"/>
      <c r="L898" s="99"/>
      <c r="N898" s="99"/>
      <c r="O898" s="99"/>
      <c r="P898" s="34"/>
    </row>
    <row r="899">
      <c r="A899" s="28"/>
      <c r="B899" s="103"/>
      <c r="C899" s="121" t="str">
        <f t="array" ref="C899">ifs(and(isblank($A899),isblank($B899)),"", not(iserror(vlookup($A899&amp;$B899,'3) Release_Label'!$D:$D&amp;'3) Release_Label'!$E:$E,1,0))),vlookup($A899&amp;$B899,{'3) Release_Label'!$D:$D&amp;'3) Release_Label'!$E:$E,'3) Release_Label'!$F:$F},2,0), or(and(not(isblank($B899)),$B899=$B898,$A899&lt;&gt;$A898),and(not(isblank($A899)),$A899=$A898,$B899&lt;&gt;$B898)),"ID LISTS UNALIGNED",and($A899&lt;&gt;"",countif('3) Release_Label'!$D:$D,$A899)=0),"NO UPC MATCH in Release_Label",and($B899&lt;&gt;"",countif('3) Release_Label'!$E:$E,$B899)=0),"NO CATALOG ID MATCH in Release_Label",iserror(vlookup($A899&amp;$B899,'3) Release_Label'!$D:$D&amp;'3) Release_Label'!$E:$E,1,0)),"NO UPC-CATALOG ID pair MATCH in Release_Label" )</f>
        <v/>
      </c>
      <c r="D899" s="121" t="str">
        <f t="array" ref="D899">ifs(and(isblank($A899),isblank($B899)),"", not(iserror(vlookup($A899&amp;$B899,'3) Release_Label'!$D:$D&amp;'3) Release_Label'!$E:$E,1,0))),vlookup($A899&amp;$B899,{'3) Release_Label'!$D:$D&amp;'3) Release_Label'!$E:$E,'3) Release_Label'!$H:$H},2,0), or(and(not(isblank($B899)),$B899=$B898,$A899&lt;&gt;$A898),and(not(isblank($A899)),$A899=$A898,$B899&lt;&gt;$B898)),"ID LISTS UNALIGNED",and($A899&lt;&gt;"",countif('3) Release_Label'!$D:$D,$A899)=0),"NO UPC MATCH in Release_Label",and($B899&lt;&gt;"",countif('3) Release_Label'!$E:$E,$B899)=0),"NO CATALOG ID MATCH in Release_Label",iserror(vlookup($A899&amp;$B899,'3) Release_Label'!$D:$D&amp;'3) Release_Label'!$E:$E,1,0)),"NO UPC-CATALOG ID pair MATCH in Release_Label" )</f>
        <v/>
      </c>
      <c r="E899" s="141" t="str">
        <f t="shared" si="2"/>
        <v/>
      </c>
      <c r="G899" s="103"/>
      <c r="H899" s="152"/>
      <c r="J899" s="99"/>
      <c r="K899" s="104"/>
      <c r="L899" s="99"/>
      <c r="N899" s="99"/>
      <c r="O899" s="99"/>
      <c r="P899" s="34"/>
    </row>
    <row r="900">
      <c r="A900" s="28"/>
      <c r="B900" s="103"/>
      <c r="C900" s="121" t="str">
        <f t="array" ref="C900">ifs(and(isblank($A900),isblank($B900)),"", not(iserror(vlookup($A900&amp;$B900,'3) Release_Label'!$D:$D&amp;'3) Release_Label'!$E:$E,1,0))),vlookup($A900&amp;$B900,{'3) Release_Label'!$D:$D&amp;'3) Release_Label'!$E:$E,'3) Release_Label'!$F:$F},2,0), or(and(not(isblank($B900)),$B900=$B899,$A900&lt;&gt;$A899),and(not(isblank($A900)),$A900=$A899,$B900&lt;&gt;$B899)),"ID LISTS UNALIGNED",and($A900&lt;&gt;"",countif('3) Release_Label'!$D:$D,$A900)=0),"NO UPC MATCH in Release_Label",and($B900&lt;&gt;"",countif('3) Release_Label'!$E:$E,$B900)=0),"NO CATALOG ID MATCH in Release_Label",iserror(vlookup($A900&amp;$B900,'3) Release_Label'!$D:$D&amp;'3) Release_Label'!$E:$E,1,0)),"NO UPC-CATALOG ID pair MATCH in Release_Label" )</f>
        <v/>
      </c>
      <c r="D900" s="121" t="str">
        <f t="array" ref="D900">ifs(and(isblank($A900),isblank($B900)),"", not(iserror(vlookup($A900&amp;$B900,'3) Release_Label'!$D:$D&amp;'3) Release_Label'!$E:$E,1,0))),vlookup($A900&amp;$B900,{'3) Release_Label'!$D:$D&amp;'3) Release_Label'!$E:$E,'3) Release_Label'!$H:$H},2,0), or(and(not(isblank($B900)),$B900=$B899,$A900&lt;&gt;$A899),and(not(isblank($A900)),$A900=$A899,$B900&lt;&gt;$B899)),"ID LISTS UNALIGNED",and($A900&lt;&gt;"",countif('3) Release_Label'!$D:$D,$A900)=0),"NO UPC MATCH in Release_Label",and($B900&lt;&gt;"",countif('3) Release_Label'!$E:$E,$B900)=0),"NO CATALOG ID MATCH in Release_Label",iserror(vlookup($A900&amp;$B900,'3) Release_Label'!$D:$D&amp;'3) Release_Label'!$E:$E,1,0)),"NO UPC-CATALOG ID pair MATCH in Release_Label" )</f>
        <v/>
      </c>
      <c r="E900" s="141" t="str">
        <f t="shared" si="2"/>
        <v/>
      </c>
      <c r="G900" s="103"/>
      <c r="H900" s="152"/>
      <c r="J900" s="99"/>
      <c r="K900" s="104"/>
      <c r="L900" s="99"/>
      <c r="N900" s="99"/>
      <c r="O900" s="99"/>
      <c r="P900" s="34"/>
    </row>
    <row r="901">
      <c r="A901" s="28"/>
      <c r="B901" s="103"/>
      <c r="C901" s="121" t="str">
        <f t="array" ref="C901">ifs(and(isblank($A901),isblank($B901)),"", not(iserror(vlookup($A901&amp;$B901,'3) Release_Label'!$D:$D&amp;'3) Release_Label'!$E:$E,1,0))),vlookup($A901&amp;$B901,{'3) Release_Label'!$D:$D&amp;'3) Release_Label'!$E:$E,'3) Release_Label'!$F:$F},2,0), or(and(not(isblank($B901)),$B901=$B900,$A901&lt;&gt;$A900),and(not(isblank($A901)),$A901=$A900,$B901&lt;&gt;$B900)),"ID LISTS UNALIGNED",and($A901&lt;&gt;"",countif('3) Release_Label'!$D:$D,$A901)=0),"NO UPC MATCH in Release_Label",and($B901&lt;&gt;"",countif('3) Release_Label'!$E:$E,$B901)=0),"NO CATALOG ID MATCH in Release_Label",iserror(vlookup($A901&amp;$B901,'3) Release_Label'!$D:$D&amp;'3) Release_Label'!$E:$E,1,0)),"NO UPC-CATALOG ID pair MATCH in Release_Label" )</f>
        <v/>
      </c>
      <c r="D901" s="121" t="str">
        <f t="array" ref="D901">ifs(and(isblank($A901),isblank($B901)),"", not(iserror(vlookup($A901&amp;$B901,'3) Release_Label'!$D:$D&amp;'3) Release_Label'!$E:$E,1,0))),vlookup($A901&amp;$B901,{'3) Release_Label'!$D:$D&amp;'3) Release_Label'!$E:$E,'3) Release_Label'!$H:$H},2,0), or(and(not(isblank($B901)),$B901=$B900,$A901&lt;&gt;$A900),and(not(isblank($A901)),$A901=$A900,$B901&lt;&gt;$B900)),"ID LISTS UNALIGNED",and($A901&lt;&gt;"",countif('3) Release_Label'!$D:$D,$A901)=0),"NO UPC MATCH in Release_Label",and($B901&lt;&gt;"",countif('3) Release_Label'!$E:$E,$B901)=0),"NO CATALOG ID MATCH in Release_Label",iserror(vlookup($A901&amp;$B901,'3) Release_Label'!$D:$D&amp;'3) Release_Label'!$E:$E,1,0)),"NO UPC-CATALOG ID pair MATCH in Release_Label" )</f>
        <v/>
      </c>
      <c r="E901" s="141" t="str">
        <f t="shared" si="2"/>
        <v/>
      </c>
      <c r="G901" s="103"/>
      <c r="H901" s="152"/>
      <c r="J901" s="99"/>
      <c r="K901" s="104"/>
      <c r="L901" s="99"/>
      <c r="N901" s="99"/>
      <c r="O901" s="99"/>
      <c r="P901" s="34"/>
    </row>
    <row r="902">
      <c r="A902" s="28"/>
      <c r="B902" s="103"/>
      <c r="C902" s="121" t="str">
        <f t="array" ref="C902">ifs(and(isblank($A902),isblank($B902)),"", not(iserror(vlookup($A902&amp;$B902,'3) Release_Label'!$D:$D&amp;'3) Release_Label'!$E:$E,1,0))),vlookup($A902&amp;$B902,{'3) Release_Label'!$D:$D&amp;'3) Release_Label'!$E:$E,'3) Release_Label'!$F:$F},2,0), or(and(not(isblank($B902)),$B902=$B901,$A902&lt;&gt;$A901),and(not(isblank($A902)),$A902=$A901,$B902&lt;&gt;$B901)),"ID LISTS UNALIGNED",and($A902&lt;&gt;"",countif('3) Release_Label'!$D:$D,$A902)=0),"NO UPC MATCH in Release_Label",and($B902&lt;&gt;"",countif('3) Release_Label'!$E:$E,$B902)=0),"NO CATALOG ID MATCH in Release_Label",iserror(vlookup($A902&amp;$B902,'3) Release_Label'!$D:$D&amp;'3) Release_Label'!$E:$E,1,0)),"NO UPC-CATALOG ID pair MATCH in Release_Label" )</f>
        <v/>
      </c>
      <c r="D902" s="121" t="str">
        <f t="array" ref="D902">ifs(and(isblank($A902),isblank($B902)),"", not(iserror(vlookup($A902&amp;$B902,'3) Release_Label'!$D:$D&amp;'3) Release_Label'!$E:$E,1,0))),vlookup($A902&amp;$B902,{'3) Release_Label'!$D:$D&amp;'3) Release_Label'!$E:$E,'3) Release_Label'!$H:$H},2,0), or(and(not(isblank($B902)),$B902=$B901,$A902&lt;&gt;$A901),and(not(isblank($A902)),$A902=$A901,$B902&lt;&gt;$B901)),"ID LISTS UNALIGNED",and($A902&lt;&gt;"",countif('3) Release_Label'!$D:$D,$A902)=0),"NO UPC MATCH in Release_Label",and($B902&lt;&gt;"",countif('3) Release_Label'!$E:$E,$B902)=0),"NO CATALOG ID MATCH in Release_Label",iserror(vlookup($A902&amp;$B902,'3) Release_Label'!$D:$D&amp;'3) Release_Label'!$E:$E,1,0)),"NO UPC-CATALOG ID pair MATCH in Release_Label" )</f>
        <v/>
      </c>
      <c r="E902" s="141" t="str">
        <f t="shared" si="2"/>
        <v/>
      </c>
      <c r="G902" s="103"/>
      <c r="H902" s="152"/>
      <c r="J902" s="99"/>
      <c r="K902" s="104"/>
      <c r="L902" s="99"/>
      <c r="N902" s="99"/>
      <c r="O902" s="99"/>
      <c r="P902" s="34"/>
    </row>
    <row r="903">
      <c r="A903" s="28"/>
      <c r="B903" s="103"/>
      <c r="C903" s="121" t="str">
        <f t="array" ref="C903">ifs(and(isblank($A903),isblank($B903)),"", not(iserror(vlookup($A903&amp;$B903,'3) Release_Label'!$D:$D&amp;'3) Release_Label'!$E:$E,1,0))),vlookup($A903&amp;$B903,{'3) Release_Label'!$D:$D&amp;'3) Release_Label'!$E:$E,'3) Release_Label'!$F:$F},2,0), or(and(not(isblank($B903)),$B903=$B902,$A903&lt;&gt;$A902),and(not(isblank($A903)),$A903=$A902,$B903&lt;&gt;$B902)),"ID LISTS UNALIGNED",and($A903&lt;&gt;"",countif('3) Release_Label'!$D:$D,$A903)=0),"NO UPC MATCH in Release_Label",and($B903&lt;&gt;"",countif('3) Release_Label'!$E:$E,$B903)=0),"NO CATALOG ID MATCH in Release_Label",iserror(vlookup($A903&amp;$B903,'3) Release_Label'!$D:$D&amp;'3) Release_Label'!$E:$E,1,0)),"NO UPC-CATALOG ID pair MATCH in Release_Label" )</f>
        <v/>
      </c>
      <c r="D903" s="121" t="str">
        <f t="array" ref="D903">ifs(and(isblank($A903),isblank($B903)),"", not(iserror(vlookup($A903&amp;$B903,'3) Release_Label'!$D:$D&amp;'3) Release_Label'!$E:$E,1,0))),vlookup($A903&amp;$B903,{'3) Release_Label'!$D:$D&amp;'3) Release_Label'!$E:$E,'3) Release_Label'!$H:$H},2,0), or(and(not(isblank($B903)),$B903=$B902,$A903&lt;&gt;$A902),and(not(isblank($A903)),$A903=$A902,$B903&lt;&gt;$B902)),"ID LISTS UNALIGNED",and($A903&lt;&gt;"",countif('3) Release_Label'!$D:$D,$A903)=0),"NO UPC MATCH in Release_Label",and($B903&lt;&gt;"",countif('3) Release_Label'!$E:$E,$B903)=0),"NO CATALOG ID MATCH in Release_Label",iserror(vlookup($A903&amp;$B903,'3) Release_Label'!$D:$D&amp;'3) Release_Label'!$E:$E,1,0)),"NO UPC-CATALOG ID pair MATCH in Release_Label" )</f>
        <v/>
      </c>
      <c r="E903" s="141" t="str">
        <f t="shared" si="2"/>
        <v/>
      </c>
      <c r="G903" s="103"/>
      <c r="H903" s="152"/>
      <c r="J903" s="99"/>
      <c r="K903" s="104"/>
      <c r="L903" s="99"/>
      <c r="N903" s="99"/>
      <c r="O903" s="99"/>
      <c r="P903" s="34"/>
    </row>
    <row r="904">
      <c r="A904" s="28"/>
      <c r="B904" s="103"/>
      <c r="C904" s="121" t="str">
        <f t="array" ref="C904">ifs(and(isblank($A904),isblank($B904)),"", not(iserror(vlookup($A904&amp;$B904,'3) Release_Label'!$D:$D&amp;'3) Release_Label'!$E:$E,1,0))),vlookup($A904&amp;$B904,{'3) Release_Label'!$D:$D&amp;'3) Release_Label'!$E:$E,'3) Release_Label'!$F:$F},2,0), or(and(not(isblank($B904)),$B904=$B903,$A904&lt;&gt;$A903),and(not(isblank($A904)),$A904=$A903,$B904&lt;&gt;$B903)),"ID LISTS UNALIGNED",and($A904&lt;&gt;"",countif('3) Release_Label'!$D:$D,$A904)=0),"NO UPC MATCH in Release_Label",and($B904&lt;&gt;"",countif('3) Release_Label'!$E:$E,$B904)=0),"NO CATALOG ID MATCH in Release_Label",iserror(vlookup($A904&amp;$B904,'3) Release_Label'!$D:$D&amp;'3) Release_Label'!$E:$E,1,0)),"NO UPC-CATALOG ID pair MATCH in Release_Label" )</f>
        <v/>
      </c>
      <c r="D904" s="121" t="str">
        <f t="array" ref="D904">ifs(and(isblank($A904),isblank($B904)),"", not(iserror(vlookup($A904&amp;$B904,'3) Release_Label'!$D:$D&amp;'3) Release_Label'!$E:$E,1,0))),vlookup($A904&amp;$B904,{'3) Release_Label'!$D:$D&amp;'3) Release_Label'!$E:$E,'3) Release_Label'!$H:$H},2,0), or(and(not(isblank($B904)),$B904=$B903,$A904&lt;&gt;$A903),and(not(isblank($A904)),$A904=$A903,$B904&lt;&gt;$B903)),"ID LISTS UNALIGNED",and($A904&lt;&gt;"",countif('3) Release_Label'!$D:$D,$A904)=0),"NO UPC MATCH in Release_Label",and($B904&lt;&gt;"",countif('3) Release_Label'!$E:$E,$B904)=0),"NO CATALOG ID MATCH in Release_Label",iserror(vlookup($A904&amp;$B904,'3) Release_Label'!$D:$D&amp;'3) Release_Label'!$E:$E,1,0)),"NO UPC-CATALOG ID pair MATCH in Release_Label" )</f>
        <v/>
      </c>
      <c r="E904" s="141" t="str">
        <f t="shared" si="2"/>
        <v/>
      </c>
      <c r="G904" s="103"/>
      <c r="H904" s="152"/>
      <c r="J904" s="99"/>
      <c r="K904" s="104"/>
      <c r="L904" s="99"/>
      <c r="N904" s="99"/>
      <c r="O904" s="99"/>
      <c r="P904" s="34"/>
    </row>
    <row r="905">
      <c r="A905" s="28"/>
      <c r="B905" s="103"/>
      <c r="C905" s="121" t="str">
        <f t="array" ref="C905">ifs(and(isblank($A905),isblank($B905)),"", not(iserror(vlookup($A905&amp;$B905,'3) Release_Label'!$D:$D&amp;'3) Release_Label'!$E:$E,1,0))),vlookup($A905&amp;$B905,{'3) Release_Label'!$D:$D&amp;'3) Release_Label'!$E:$E,'3) Release_Label'!$F:$F},2,0), or(and(not(isblank($B905)),$B905=$B904,$A905&lt;&gt;$A904),and(not(isblank($A905)),$A905=$A904,$B905&lt;&gt;$B904)),"ID LISTS UNALIGNED",and($A905&lt;&gt;"",countif('3) Release_Label'!$D:$D,$A905)=0),"NO UPC MATCH in Release_Label",and($B905&lt;&gt;"",countif('3) Release_Label'!$E:$E,$B905)=0),"NO CATALOG ID MATCH in Release_Label",iserror(vlookup($A905&amp;$B905,'3) Release_Label'!$D:$D&amp;'3) Release_Label'!$E:$E,1,0)),"NO UPC-CATALOG ID pair MATCH in Release_Label" )</f>
        <v/>
      </c>
      <c r="D905" s="121" t="str">
        <f t="array" ref="D905">ifs(and(isblank($A905),isblank($B905)),"", not(iserror(vlookup($A905&amp;$B905,'3) Release_Label'!$D:$D&amp;'3) Release_Label'!$E:$E,1,0))),vlookup($A905&amp;$B905,{'3) Release_Label'!$D:$D&amp;'3) Release_Label'!$E:$E,'3) Release_Label'!$H:$H},2,0), or(and(not(isblank($B905)),$B905=$B904,$A905&lt;&gt;$A904),and(not(isblank($A905)),$A905=$A904,$B905&lt;&gt;$B904)),"ID LISTS UNALIGNED",and($A905&lt;&gt;"",countif('3) Release_Label'!$D:$D,$A905)=0),"NO UPC MATCH in Release_Label",and($B905&lt;&gt;"",countif('3) Release_Label'!$E:$E,$B905)=0),"NO CATALOG ID MATCH in Release_Label",iserror(vlookup($A905&amp;$B905,'3) Release_Label'!$D:$D&amp;'3) Release_Label'!$E:$E,1,0)),"NO UPC-CATALOG ID pair MATCH in Release_Label" )</f>
        <v/>
      </c>
      <c r="E905" s="141" t="str">
        <f t="shared" si="2"/>
        <v/>
      </c>
      <c r="G905" s="103"/>
      <c r="H905" s="152"/>
      <c r="J905" s="99"/>
      <c r="K905" s="104"/>
      <c r="L905" s="99"/>
      <c r="N905" s="99"/>
      <c r="O905" s="99"/>
      <c r="P905" s="34"/>
    </row>
    <row r="906">
      <c r="A906" s="28"/>
      <c r="B906" s="103"/>
      <c r="C906" s="121" t="str">
        <f t="array" ref="C906">ifs(and(isblank($A906),isblank($B906)),"", not(iserror(vlookup($A906&amp;$B906,'3) Release_Label'!$D:$D&amp;'3) Release_Label'!$E:$E,1,0))),vlookup($A906&amp;$B906,{'3) Release_Label'!$D:$D&amp;'3) Release_Label'!$E:$E,'3) Release_Label'!$F:$F},2,0), or(and(not(isblank($B906)),$B906=$B905,$A906&lt;&gt;$A905),and(not(isblank($A906)),$A906=$A905,$B906&lt;&gt;$B905)),"ID LISTS UNALIGNED",and($A906&lt;&gt;"",countif('3) Release_Label'!$D:$D,$A906)=0),"NO UPC MATCH in Release_Label",and($B906&lt;&gt;"",countif('3) Release_Label'!$E:$E,$B906)=0),"NO CATALOG ID MATCH in Release_Label",iserror(vlookup($A906&amp;$B906,'3) Release_Label'!$D:$D&amp;'3) Release_Label'!$E:$E,1,0)),"NO UPC-CATALOG ID pair MATCH in Release_Label" )</f>
        <v/>
      </c>
      <c r="D906" s="121" t="str">
        <f t="array" ref="D906">ifs(and(isblank($A906),isblank($B906)),"", not(iserror(vlookup($A906&amp;$B906,'3) Release_Label'!$D:$D&amp;'3) Release_Label'!$E:$E,1,0))),vlookup($A906&amp;$B906,{'3) Release_Label'!$D:$D&amp;'3) Release_Label'!$E:$E,'3) Release_Label'!$H:$H},2,0), or(and(not(isblank($B906)),$B906=$B905,$A906&lt;&gt;$A905),and(not(isblank($A906)),$A906=$A905,$B906&lt;&gt;$B905)),"ID LISTS UNALIGNED",and($A906&lt;&gt;"",countif('3) Release_Label'!$D:$D,$A906)=0),"NO UPC MATCH in Release_Label",and($B906&lt;&gt;"",countif('3) Release_Label'!$E:$E,$B906)=0),"NO CATALOG ID MATCH in Release_Label",iserror(vlookup($A906&amp;$B906,'3) Release_Label'!$D:$D&amp;'3) Release_Label'!$E:$E,1,0)),"NO UPC-CATALOG ID pair MATCH in Release_Label" )</f>
        <v/>
      </c>
      <c r="E906" s="141" t="str">
        <f t="shared" si="2"/>
        <v/>
      </c>
      <c r="G906" s="103"/>
      <c r="H906" s="152"/>
      <c r="J906" s="99"/>
      <c r="K906" s="104"/>
      <c r="L906" s="99"/>
      <c r="N906" s="99"/>
      <c r="O906" s="99"/>
      <c r="P906" s="34"/>
    </row>
    <row r="907">
      <c r="A907" s="28"/>
      <c r="B907" s="103"/>
      <c r="C907" s="121" t="str">
        <f t="array" ref="C907">ifs(and(isblank($A907),isblank($B907)),"", not(iserror(vlookup($A907&amp;$B907,'3) Release_Label'!$D:$D&amp;'3) Release_Label'!$E:$E,1,0))),vlookup($A907&amp;$B907,{'3) Release_Label'!$D:$D&amp;'3) Release_Label'!$E:$E,'3) Release_Label'!$F:$F},2,0), or(and(not(isblank($B907)),$B907=$B906,$A907&lt;&gt;$A906),and(not(isblank($A907)),$A907=$A906,$B907&lt;&gt;$B906)),"ID LISTS UNALIGNED",and($A907&lt;&gt;"",countif('3) Release_Label'!$D:$D,$A907)=0),"NO UPC MATCH in Release_Label",and($B907&lt;&gt;"",countif('3) Release_Label'!$E:$E,$B907)=0),"NO CATALOG ID MATCH in Release_Label",iserror(vlookup($A907&amp;$B907,'3) Release_Label'!$D:$D&amp;'3) Release_Label'!$E:$E,1,0)),"NO UPC-CATALOG ID pair MATCH in Release_Label" )</f>
        <v/>
      </c>
      <c r="D907" s="121" t="str">
        <f t="array" ref="D907">ifs(and(isblank($A907),isblank($B907)),"", not(iserror(vlookup($A907&amp;$B907,'3) Release_Label'!$D:$D&amp;'3) Release_Label'!$E:$E,1,0))),vlookup($A907&amp;$B907,{'3) Release_Label'!$D:$D&amp;'3) Release_Label'!$E:$E,'3) Release_Label'!$H:$H},2,0), or(and(not(isblank($B907)),$B907=$B906,$A907&lt;&gt;$A906),and(not(isblank($A907)),$A907=$A906,$B907&lt;&gt;$B906)),"ID LISTS UNALIGNED",and($A907&lt;&gt;"",countif('3) Release_Label'!$D:$D,$A907)=0),"NO UPC MATCH in Release_Label",and($B907&lt;&gt;"",countif('3) Release_Label'!$E:$E,$B907)=0),"NO CATALOG ID MATCH in Release_Label",iserror(vlookup($A907&amp;$B907,'3) Release_Label'!$D:$D&amp;'3) Release_Label'!$E:$E,1,0)),"NO UPC-CATALOG ID pair MATCH in Release_Label" )</f>
        <v/>
      </c>
      <c r="E907" s="141" t="str">
        <f t="shared" si="2"/>
        <v/>
      </c>
      <c r="G907" s="103"/>
      <c r="H907" s="152"/>
      <c r="J907" s="99"/>
      <c r="K907" s="104"/>
      <c r="L907" s="99"/>
      <c r="N907" s="99"/>
      <c r="O907" s="99"/>
      <c r="P907" s="34"/>
    </row>
    <row r="908">
      <c r="A908" s="28"/>
      <c r="B908" s="103"/>
      <c r="C908" s="121" t="str">
        <f t="array" ref="C908">ifs(and(isblank($A908),isblank($B908)),"", not(iserror(vlookup($A908&amp;$B908,'3) Release_Label'!$D:$D&amp;'3) Release_Label'!$E:$E,1,0))),vlookup($A908&amp;$B908,{'3) Release_Label'!$D:$D&amp;'3) Release_Label'!$E:$E,'3) Release_Label'!$F:$F},2,0), or(and(not(isblank($B908)),$B908=$B907,$A908&lt;&gt;$A907),and(not(isblank($A908)),$A908=$A907,$B908&lt;&gt;$B907)),"ID LISTS UNALIGNED",and($A908&lt;&gt;"",countif('3) Release_Label'!$D:$D,$A908)=0),"NO UPC MATCH in Release_Label",and($B908&lt;&gt;"",countif('3) Release_Label'!$E:$E,$B908)=0),"NO CATALOG ID MATCH in Release_Label",iserror(vlookup($A908&amp;$B908,'3) Release_Label'!$D:$D&amp;'3) Release_Label'!$E:$E,1,0)),"NO UPC-CATALOG ID pair MATCH in Release_Label" )</f>
        <v/>
      </c>
      <c r="D908" s="121" t="str">
        <f t="array" ref="D908">ifs(and(isblank($A908),isblank($B908)),"", not(iserror(vlookup($A908&amp;$B908,'3) Release_Label'!$D:$D&amp;'3) Release_Label'!$E:$E,1,0))),vlookup($A908&amp;$B908,{'3) Release_Label'!$D:$D&amp;'3) Release_Label'!$E:$E,'3) Release_Label'!$H:$H},2,0), or(and(not(isblank($B908)),$B908=$B907,$A908&lt;&gt;$A907),and(not(isblank($A908)),$A908=$A907,$B908&lt;&gt;$B907)),"ID LISTS UNALIGNED",and($A908&lt;&gt;"",countif('3) Release_Label'!$D:$D,$A908)=0),"NO UPC MATCH in Release_Label",and($B908&lt;&gt;"",countif('3) Release_Label'!$E:$E,$B908)=0),"NO CATALOG ID MATCH in Release_Label",iserror(vlookup($A908&amp;$B908,'3) Release_Label'!$D:$D&amp;'3) Release_Label'!$E:$E,1,0)),"NO UPC-CATALOG ID pair MATCH in Release_Label" )</f>
        <v/>
      </c>
      <c r="E908" s="141" t="str">
        <f t="shared" si="2"/>
        <v/>
      </c>
      <c r="G908" s="103"/>
      <c r="H908" s="152"/>
      <c r="J908" s="99"/>
      <c r="K908" s="104"/>
      <c r="L908" s="99"/>
      <c r="N908" s="99"/>
      <c r="O908" s="99"/>
      <c r="P908" s="34"/>
    </row>
    <row r="909">
      <c r="A909" s="28"/>
      <c r="B909" s="103"/>
      <c r="C909" s="121" t="str">
        <f t="array" ref="C909">ifs(and(isblank($A909),isblank($B909)),"", not(iserror(vlookup($A909&amp;$B909,'3) Release_Label'!$D:$D&amp;'3) Release_Label'!$E:$E,1,0))),vlookup($A909&amp;$B909,{'3) Release_Label'!$D:$D&amp;'3) Release_Label'!$E:$E,'3) Release_Label'!$F:$F},2,0), or(and(not(isblank($B909)),$B909=$B908,$A909&lt;&gt;$A908),and(not(isblank($A909)),$A909=$A908,$B909&lt;&gt;$B908)),"ID LISTS UNALIGNED",and($A909&lt;&gt;"",countif('3) Release_Label'!$D:$D,$A909)=0),"NO UPC MATCH in Release_Label",and($B909&lt;&gt;"",countif('3) Release_Label'!$E:$E,$B909)=0),"NO CATALOG ID MATCH in Release_Label",iserror(vlookup($A909&amp;$B909,'3) Release_Label'!$D:$D&amp;'3) Release_Label'!$E:$E,1,0)),"NO UPC-CATALOG ID pair MATCH in Release_Label" )</f>
        <v/>
      </c>
      <c r="D909" s="121" t="str">
        <f t="array" ref="D909">ifs(and(isblank($A909),isblank($B909)),"", not(iserror(vlookup($A909&amp;$B909,'3) Release_Label'!$D:$D&amp;'3) Release_Label'!$E:$E,1,0))),vlookup($A909&amp;$B909,{'3) Release_Label'!$D:$D&amp;'3) Release_Label'!$E:$E,'3) Release_Label'!$H:$H},2,0), or(and(not(isblank($B909)),$B909=$B908,$A909&lt;&gt;$A908),and(not(isblank($A909)),$A909=$A908,$B909&lt;&gt;$B908)),"ID LISTS UNALIGNED",and($A909&lt;&gt;"",countif('3) Release_Label'!$D:$D,$A909)=0),"NO UPC MATCH in Release_Label",and($B909&lt;&gt;"",countif('3) Release_Label'!$E:$E,$B909)=0),"NO CATALOG ID MATCH in Release_Label",iserror(vlookup($A909&amp;$B909,'3) Release_Label'!$D:$D&amp;'3) Release_Label'!$E:$E,1,0)),"NO UPC-CATALOG ID pair MATCH in Release_Label" )</f>
        <v/>
      </c>
      <c r="E909" s="141" t="str">
        <f t="shared" si="2"/>
        <v/>
      </c>
      <c r="G909" s="103"/>
      <c r="H909" s="152"/>
      <c r="J909" s="99"/>
      <c r="K909" s="104"/>
      <c r="L909" s="99"/>
      <c r="N909" s="99"/>
      <c r="O909" s="99"/>
      <c r="P909" s="34"/>
    </row>
    <row r="910">
      <c r="A910" s="28"/>
      <c r="B910" s="103"/>
      <c r="C910" s="121" t="str">
        <f t="array" ref="C910">ifs(and(isblank($A910),isblank($B910)),"", not(iserror(vlookup($A910&amp;$B910,'3) Release_Label'!$D:$D&amp;'3) Release_Label'!$E:$E,1,0))),vlookup($A910&amp;$B910,{'3) Release_Label'!$D:$D&amp;'3) Release_Label'!$E:$E,'3) Release_Label'!$F:$F},2,0), or(and(not(isblank($B910)),$B910=$B909,$A910&lt;&gt;$A909),and(not(isblank($A910)),$A910=$A909,$B910&lt;&gt;$B909)),"ID LISTS UNALIGNED",and($A910&lt;&gt;"",countif('3) Release_Label'!$D:$D,$A910)=0),"NO UPC MATCH in Release_Label",and($B910&lt;&gt;"",countif('3) Release_Label'!$E:$E,$B910)=0),"NO CATALOG ID MATCH in Release_Label",iserror(vlookup($A910&amp;$B910,'3) Release_Label'!$D:$D&amp;'3) Release_Label'!$E:$E,1,0)),"NO UPC-CATALOG ID pair MATCH in Release_Label" )</f>
        <v/>
      </c>
      <c r="D910" s="121" t="str">
        <f t="array" ref="D910">ifs(and(isblank($A910),isblank($B910)),"", not(iserror(vlookup($A910&amp;$B910,'3) Release_Label'!$D:$D&amp;'3) Release_Label'!$E:$E,1,0))),vlookup($A910&amp;$B910,{'3) Release_Label'!$D:$D&amp;'3) Release_Label'!$E:$E,'3) Release_Label'!$H:$H},2,0), or(and(not(isblank($B910)),$B910=$B909,$A910&lt;&gt;$A909),and(not(isblank($A910)),$A910=$A909,$B910&lt;&gt;$B909)),"ID LISTS UNALIGNED",and($A910&lt;&gt;"",countif('3) Release_Label'!$D:$D,$A910)=0),"NO UPC MATCH in Release_Label",and($B910&lt;&gt;"",countif('3) Release_Label'!$E:$E,$B910)=0),"NO CATALOG ID MATCH in Release_Label",iserror(vlookup($A910&amp;$B910,'3) Release_Label'!$D:$D&amp;'3) Release_Label'!$E:$E,1,0)),"NO UPC-CATALOG ID pair MATCH in Release_Label" )</f>
        <v/>
      </c>
      <c r="E910" s="141" t="str">
        <f t="shared" si="2"/>
        <v/>
      </c>
      <c r="G910" s="103"/>
      <c r="H910" s="152"/>
      <c r="J910" s="99"/>
      <c r="K910" s="104"/>
      <c r="L910" s="99"/>
      <c r="N910" s="99"/>
      <c r="O910" s="99"/>
      <c r="P910" s="34"/>
    </row>
    <row r="911">
      <c r="A911" s="28"/>
      <c r="B911" s="103"/>
      <c r="C911" s="121" t="str">
        <f t="array" ref="C911">ifs(and(isblank($A911),isblank($B911)),"", not(iserror(vlookup($A911&amp;$B911,'3) Release_Label'!$D:$D&amp;'3) Release_Label'!$E:$E,1,0))),vlookup($A911&amp;$B911,{'3) Release_Label'!$D:$D&amp;'3) Release_Label'!$E:$E,'3) Release_Label'!$F:$F},2,0), or(and(not(isblank($B911)),$B911=$B910,$A911&lt;&gt;$A910),and(not(isblank($A911)),$A911=$A910,$B911&lt;&gt;$B910)),"ID LISTS UNALIGNED",and($A911&lt;&gt;"",countif('3) Release_Label'!$D:$D,$A911)=0),"NO UPC MATCH in Release_Label",and($B911&lt;&gt;"",countif('3) Release_Label'!$E:$E,$B911)=0),"NO CATALOG ID MATCH in Release_Label",iserror(vlookup($A911&amp;$B911,'3) Release_Label'!$D:$D&amp;'3) Release_Label'!$E:$E,1,0)),"NO UPC-CATALOG ID pair MATCH in Release_Label" )</f>
        <v/>
      </c>
      <c r="D911" s="121" t="str">
        <f t="array" ref="D911">ifs(and(isblank($A911),isblank($B911)),"", not(iserror(vlookup($A911&amp;$B911,'3) Release_Label'!$D:$D&amp;'3) Release_Label'!$E:$E,1,0))),vlookup($A911&amp;$B911,{'3) Release_Label'!$D:$D&amp;'3) Release_Label'!$E:$E,'3) Release_Label'!$H:$H},2,0), or(and(not(isblank($B911)),$B911=$B910,$A911&lt;&gt;$A910),and(not(isblank($A911)),$A911=$A910,$B911&lt;&gt;$B910)),"ID LISTS UNALIGNED",and($A911&lt;&gt;"",countif('3) Release_Label'!$D:$D,$A911)=0),"NO UPC MATCH in Release_Label",and($B911&lt;&gt;"",countif('3) Release_Label'!$E:$E,$B911)=0),"NO CATALOG ID MATCH in Release_Label",iserror(vlookup($A911&amp;$B911,'3) Release_Label'!$D:$D&amp;'3) Release_Label'!$E:$E,1,0)),"NO UPC-CATALOG ID pair MATCH in Release_Label" )</f>
        <v/>
      </c>
      <c r="E911" s="141" t="str">
        <f t="shared" si="2"/>
        <v/>
      </c>
      <c r="G911" s="103"/>
      <c r="H911" s="152"/>
      <c r="J911" s="99"/>
      <c r="K911" s="104"/>
      <c r="L911" s="99"/>
      <c r="N911" s="99"/>
      <c r="O911" s="99"/>
      <c r="P911" s="34"/>
    </row>
    <row r="912">
      <c r="A912" s="28"/>
      <c r="B912" s="103"/>
      <c r="C912" s="121" t="str">
        <f t="array" ref="C912">ifs(and(isblank($A912),isblank($B912)),"", not(iserror(vlookup($A912&amp;$B912,'3) Release_Label'!$D:$D&amp;'3) Release_Label'!$E:$E,1,0))),vlookup($A912&amp;$B912,{'3) Release_Label'!$D:$D&amp;'3) Release_Label'!$E:$E,'3) Release_Label'!$F:$F},2,0), or(and(not(isblank($B912)),$B912=$B911,$A912&lt;&gt;$A911),and(not(isblank($A912)),$A912=$A911,$B912&lt;&gt;$B911)),"ID LISTS UNALIGNED",and($A912&lt;&gt;"",countif('3) Release_Label'!$D:$D,$A912)=0),"NO UPC MATCH in Release_Label",and($B912&lt;&gt;"",countif('3) Release_Label'!$E:$E,$B912)=0),"NO CATALOG ID MATCH in Release_Label",iserror(vlookup($A912&amp;$B912,'3) Release_Label'!$D:$D&amp;'3) Release_Label'!$E:$E,1,0)),"NO UPC-CATALOG ID pair MATCH in Release_Label" )</f>
        <v/>
      </c>
      <c r="D912" s="121" t="str">
        <f t="array" ref="D912">ifs(and(isblank($A912),isblank($B912)),"", not(iserror(vlookup($A912&amp;$B912,'3) Release_Label'!$D:$D&amp;'3) Release_Label'!$E:$E,1,0))),vlookup($A912&amp;$B912,{'3) Release_Label'!$D:$D&amp;'3) Release_Label'!$E:$E,'3) Release_Label'!$H:$H},2,0), or(and(not(isblank($B912)),$B912=$B911,$A912&lt;&gt;$A911),and(not(isblank($A912)),$A912=$A911,$B912&lt;&gt;$B911)),"ID LISTS UNALIGNED",and($A912&lt;&gt;"",countif('3) Release_Label'!$D:$D,$A912)=0),"NO UPC MATCH in Release_Label",and($B912&lt;&gt;"",countif('3) Release_Label'!$E:$E,$B912)=0),"NO CATALOG ID MATCH in Release_Label",iserror(vlookup($A912&amp;$B912,'3) Release_Label'!$D:$D&amp;'3) Release_Label'!$E:$E,1,0)),"NO UPC-CATALOG ID pair MATCH in Release_Label" )</f>
        <v/>
      </c>
      <c r="E912" s="141" t="str">
        <f t="shared" si="2"/>
        <v/>
      </c>
      <c r="G912" s="103"/>
      <c r="H912" s="152"/>
      <c r="J912" s="99"/>
      <c r="K912" s="104"/>
      <c r="L912" s="99"/>
      <c r="N912" s="99"/>
      <c r="O912" s="99"/>
      <c r="P912" s="34"/>
    </row>
    <row r="913">
      <c r="A913" s="28"/>
      <c r="B913" s="103"/>
      <c r="C913" s="121" t="str">
        <f t="array" ref="C913">ifs(and(isblank($A913),isblank($B913)),"", not(iserror(vlookup($A913&amp;$B913,'3) Release_Label'!$D:$D&amp;'3) Release_Label'!$E:$E,1,0))),vlookup($A913&amp;$B913,{'3) Release_Label'!$D:$D&amp;'3) Release_Label'!$E:$E,'3) Release_Label'!$F:$F},2,0), or(and(not(isblank($B913)),$B913=$B912,$A913&lt;&gt;$A912),and(not(isblank($A913)),$A913=$A912,$B913&lt;&gt;$B912)),"ID LISTS UNALIGNED",and($A913&lt;&gt;"",countif('3) Release_Label'!$D:$D,$A913)=0),"NO UPC MATCH in Release_Label",and($B913&lt;&gt;"",countif('3) Release_Label'!$E:$E,$B913)=0),"NO CATALOG ID MATCH in Release_Label",iserror(vlookup($A913&amp;$B913,'3) Release_Label'!$D:$D&amp;'3) Release_Label'!$E:$E,1,0)),"NO UPC-CATALOG ID pair MATCH in Release_Label" )</f>
        <v/>
      </c>
      <c r="D913" s="121" t="str">
        <f t="array" ref="D913">ifs(and(isblank($A913),isblank($B913)),"", not(iserror(vlookup($A913&amp;$B913,'3) Release_Label'!$D:$D&amp;'3) Release_Label'!$E:$E,1,0))),vlookup($A913&amp;$B913,{'3) Release_Label'!$D:$D&amp;'3) Release_Label'!$E:$E,'3) Release_Label'!$H:$H},2,0), or(and(not(isblank($B913)),$B913=$B912,$A913&lt;&gt;$A912),and(not(isblank($A913)),$A913=$A912,$B913&lt;&gt;$B912)),"ID LISTS UNALIGNED",and($A913&lt;&gt;"",countif('3) Release_Label'!$D:$D,$A913)=0),"NO UPC MATCH in Release_Label",and($B913&lt;&gt;"",countif('3) Release_Label'!$E:$E,$B913)=0),"NO CATALOG ID MATCH in Release_Label",iserror(vlookup($A913&amp;$B913,'3) Release_Label'!$D:$D&amp;'3) Release_Label'!$E:$E,1,0)),"NO UPC-CATALOG ID pair MATCH in Release_Label" )</f>
        <v/>
      </c>
      <c r="E913" s="141" t="str">
        <f t="shared" si="2"/>
        <v/>
      </c>
      <c r="G913" s="103"/>
      <c r="H913" s="152"/>
      <c r="J913" s="99"/>
      <c r="K913" s="104"/>
      <c r="L913" s="99"/>
      <c r="N913" s="99"/>
      <c r="O913" s="99"/>
      <c r="P913" s="34"/>
    </row>
    <row r="914">
      <c r="A914" s="28"/>
      <c r="B914" s="103"/>
      <c r="C914" s="121" t="str">
        <f t="array" ref="C914">ifs(and(isblank($A914),isblank($B914)),"", not(iserror(vlookup($A914&amp;$B914,'3) Release_Label'!$D:$D&amp;'3) Release_Label'!$E:$E,1,0))),vlookup($A914&amp;$B914,{'3) Release_Label'!$D:$D&amp;'3) Release_Label'!$E:$E,'3) Release_Label'!$F:$F},2,0), or(and(not(isblank($B914)),$B914=$B913,$A914&lt;&gt;$A913),and(not(isblank($A914)),$A914=$A913,$B914&lt;&gt;$B913)),"ID LISTS UNALIGNED",and($A914&lt;&gt;"",countif('3) Release_Label'!$D:$D,$A914)=0),"NO UPC MATCH in Release_Label",and($B914&lt;&gt;"",countif('3) Release_Label'!$E:$E,$B914)=0),"NO CATALOG ID MATCH in Release_Label",iserror(vlookup($A914&amp;$B914,'3) Release_Label'!$D:$D&amp;'3) Release_Label'!$E:$E,1,0)),"NO UPC-CATALOG ID pair MATCH in Release_Label" )</f>
        <v/>
      </c>
      <c r="D914" s="121" t="str">
        <f t="array" ref="D914">ifs(and(isblank($A914),isblank($B914)),"", not(iserror(vlookup($A914&amp;$B914,'3) Release_Label'!$D:$D&amp;'3) Release_Label'!$E:$E,1,0))),vlookup($A914&amp;$B914,{'3) Release_Label'!$D:$D&amp;'3) Release_Label'!$E:$E,'3) Release_Label'!$H:$H},2,0), or(and(not(isblank($B914)),$B914=$B913,$A914&lt;&gt;$A913),and(not(isblank($A914)),$A914=$A913,$B914&lt;&gt;$B913)),"ID LISTS UNALIGNED",and($A914&lt;&gt;"",countif('3) Release_Label'!$D:$D,$A914)=0),"NO UPC MATCH in Release_Label",and($B914&lt;&gt;"",countif('3) Release_Label'!$E:$E,$B914)=0),"NO CATALOG ID MATCH in Release_Label",iserror(vlookup($A914&amp;$B914,'3) Release_Label'!$D:$D&amp;'3) Release_Label'!$E:$E,1,0)),"NO UPC-CATALOG ID pair MATCH in Release_Label" )</f>
        <v/>
      </c>
      <c r="E914" s="141" t="str">
        <f t="shared" si="2"/>
        <v/>
      </c>
      <c r="G914" s="103"/>
      <c r="H914" s="152"/>
      <c r="J914" s="99"/>
      <c r="K914" s="104"/>
      <c r="L914" s="99"/>
      <c r="N914" s="99"/>
      <c r="O914" s="99"/>
      <c r="P914" s="34"/>
    </row>
    <row r="915">
      <c r="A915" s="28"/>
      <c r="B915" s="103"/>
      <c r="C915" s="121" t="str">
        <f t="array" ref="C915">ifs(and(isblank($A915),isblank($B915)),"", not(iserror(vlookup($A915&amp;$B915,'3) Release_Label'!$D:$D&amp;'3) Release_Label'!$E:$E,1,0))),vlookup($A915&amp;$B915,{'3) Release_Label'!$D:$D&amp;'3) Release_Label'!$E:$E,'3) Release_Label'!$F:$F},2,0), or(and(not(isblank($B915)),$B915=$B914,$A915&lt;&gt;$A914),and(not(isblank($A915)),$A915=$A914,$B915&lt;&gt;$B914)),"ID LISTS UNALIGNED",and($A915&lt;&gt;"",countif('3) Release_Label'!$D:$D,$A915)=0),"NO UPC MATCH in Release_Label",and($B915&lt;&gt;"",countif('3) Release_Label'!$E:$E,$B915)=0),"NO CATALOG ID MATCH in Release_Label",iserror(vlookup($A915&amp;$B915,'3) Release_Label'!$D:$D&amp;'3) Release_Label'!$E:$E,1,0)),"NO UPC-CATALOG ID pair MATCH in Release_Label" )</f>
        <v/>
      </c>
      <c r="D915" s="121" t="str">
        <f t="array" ref="D915">ifs(and(isblank($A915),isblank($B915)),"", not(iserror(vlookup($A915&amp;$B915,'3) Release_Label'!$D:$D&amp;'3) Release_Label'!$E:$E,1,0))),vlookup($A915&amp;$B915,{'3) Release_Label'!$D:$D&amp;'3) Release_Label'!$E:$E,'3) Release_Label'!$H:$H},2,0), or(and(not(isblank($B915)),$B915=$B914,$A915&lt;&gt;$A914),and(not(isblank($A915)),$A915=$A914,$B915&lt;&gt;$B914)),"ID LISTS UNALIGNED",and($A915&lt;&gt;"",countif('3) Release_Label'!$D:$D,$A915)=0),"NO UPC MATCH in Release_Label",and($B915&lt;&gt;"",countif('3) Release_Label'!$E:$E,$B915)=0),"NO CATALOG ID MATCH in Release_Label",iserror(vlookup($A915&amp;$B915,'3) Release_Label'!$D:$D&amp;'3) Release_Label'!$E:$E,1,0)),"NO UPC-CATALOG ID pair MATCH in Release_Label" )</f>
        <v/>
      </c>
      <c r="E915" s="141" t="str">
        <f t="shared" si="2"/>
        <v/>
      </c>
      <c r="G915" s="103"/>
      <c r="H915" s="152"/>
      <c r="J915" s="99"/>
      <c r="K915" s="104"/>
      <c r="L915" s="99"/>
      <c r="N915" s="99"/>
      <c r="O915" s="99"/>
      <c r="P915" s="34"/>
    </row>
    <row r="916">
      <c r="A916" s="28"/>
      <c r="B916" s="103"/>
      <c r="C916" s="121" t="str">
        <f t="array" ref="C916">ifs(and(isblank($A916),isblank($B916)),"", not(iserror(vlookup($A916&amp;$B916,'3) Release_Label'!$D:$D&amp;'3) Release_Label'!$E:$E,1,0))),vlookup($A916&amp;$B916,{'3) Release_Label'!$D:$D&amp;'3) Release_Label'!$E:$E,'3) Release_Label'!$F:$F},2,0), or(and(not(isblank($B916)),$B916=$B915,$A916&lt;&gt;$A915),and(not(isblank($A916)),$A916=$A915,$B916&lt;&gt;$B915)),"ID LISTS UNALIGNED",and($A916&lt;&gt;"",countif('3) Release_Label'!$D:$D,$A916)=0),"NO UPC MATCH in Release_Label",and($B916&lt;&gt;"",countif('3) Release_Label'!$E:$E,$B916)=0),"NO CATALOG ID MATCH in Release_Label",iserror(vlookup($A916&amp;$B916,'3) Release_Label'!$D:$D&amp;'3) Release_Label'!$E:$E,1,0)),"NO UPC-CATALOG ID pair MATCH in Release_Label" )</f>
        <v/>
      </c>
      <c r="D916" s="121" t="str">
        <f t="array" ref="D916">ifs(and(isblank($A916),isblank($B916)),"", not(iserror(vlookup($A916&amp;$B916,'3) Release_Label'!$D:$D&amp;'3) Release_Label'!$E:$E,1,0))),vlookup($A916&amp;$B916,{'3) Release_Label'!$D:$D&amp;'3) Release_Label'!$E:$E,'3) Release_Label'!$H:$H},2,0), or(and(not(isblank($B916)),$B916=$B915,$A916&lt;&gt;$A915),and(not(isblank($A916)),$A916=$A915,$B916&lt;&gt;$B915)),"ID LISTS UNALIGNED",and($A916&lt;&gt;"",countif('3) Release_Label'!$D:$D,$A916)=0),"NO UPC MATCH in Release_Label",and($B916&lt;&gt;"",countif('3) Release_Label'!$E:$E,$B916)=0),"NO CATALOG ID MATCH in Release_Label",iserror(vlookup($A916&amp;$B916,'3) Release_Label'!$D:$D&amp;'3) Release_Label'!$E:$E,1,0)),"NO UPC-CATALOG ID pair MATCH in Release_Label" )</f>
        <v/>
      </c>
      <c r="E916" s="141" t="str">
        <f t="shared" si="2"/>
        <v/>
      </c>
      <c r="G916" s="103"/>
      <c r="H916" s="152"/>
      <c r="J916" s="99"/>
      <c r="K916" s="104"/>
      <c r="L916" s="99"/>
      <c r="N916" s="99"/>
      <c r="O916" s="99"/>
      <c r="P916" s="34"/>
    </row>
    <row r="917">
      <c r="A917" s="28"/>
      <c r="B917" s="103"/>
      <c r="C917" s="121" t="str">
        <f t="array" ref="C917">ifs(and(isblank($A917),isblank($B917)),"", not(iserror(vlookup($A917&amp;$B917,'3) Release_Label'!$D:$D&amp;'3) Release_Label'!$E:$E,1,0))),vlookup($A917&amp;$B917,{'3) Release_Label'!$D:$D&amp;'3) Release_Label'!$E:$E,'3) Release_Label'!$F:$F},2,0), or(and(not(isblank($B917)),$B917=$B916,$A917&lt;&gt;$A916),and(not(isblank($A917)),$A917=$A916,$B917&lt;&gt;$B916)),"ID LISTS UNALIGNED",and($A917&lt;&gt;"",countif('3) Release_Label'!$D:$D,$A917)=0),"NO UPC MATCH in Release_Label",and($B917&lt;&gt;"",countif('3) Release_Label'!$E:$E,$B917)=0),"NO CATALOG ID MATCH in Release_Label",iserror(vlookup($A917&amp;$B917,'3) Release_Label'!$D:$D&amp;'3) Release_Label'!$E:$E,1,0)),"NO UPC-CATALOG ID pair MATCH in Release_Label" )</f>
        <v/>
      </c>
      <c r="D917" s="121" t="str">
        <f t="array" ref="D917">ifs(and(isblank($A917),isblank($B917)),"", not(iserror(vlookup($A917&amp;$B917,'3) Release_Label'!$D:$D&amp;'3) Release_Label'!$E:$E,1,0))),vlookup($A917&amp;$B917,{'3) Release_Label'!$D:$D&amp;'3) Release_Label'!$E:$E,'3) Release_Label'!$H:$H},2,0), or(and(not(isblank($B917)),$B917=$B916,$A917&lt;&gt;$A916),and(not(isblank($A917)),$A917=$A916,$B917&lt;&gt;$B916)),"ID LISTS UNALIGNED",and($A917&lt;&gt;"",countif('3) Release_Label'!$D:$D,$A917)=0),"NO UPC MATCH in Release_Label",and($B917&lt;&gt;"",countif('3) Release_Label'!$E:$E,$B917)=0),"NO CATALOG ID MATCH in Release_Label",iserror(vlookup($A917&amp;$B917,'3) Release_Label'!$D:$D&amp;'3) Release_Label'!$E:$E,1,0)),"NO UPC-CATALOG ID pair MATCH in Release_Label" )</f>
        <v/>
      </c>
      <c r="E917" s="141" t="str">
        <f t="shared" si="2"/>
        <v/>
      </c>
      <c r="G917" s="103"/>
      <c r="H917" s="152"/>
      <c r="J917" s="99"/>
      <c r="K917" s="104"/>
      <c r="L917" s="99"/>
      <c r="N917" s="99"/>
      <c r="O917" s="99"/>
      <c r="P917" s="34"/>
    </row>
    <row r="918">
      <c r="A918" s="28"/>
      <c r="B918" s="103"/>
      <c r="C918" s="121" t="str">
        <f t="array" ref="C918">ifs(and(isblank($A918),isblank($B918)),"", not(iserror(vlookup($A918&amp;$B918,'3) Release_Label'!$D:$D&amp;'3) Release_Label'!$E:$E,1,0))),vlookup($A918&amp;$B918,{'3) Release_Label'!$D:$D&amp;'3) Release_Label'!$E:$E,'3) Release_Label'!$F:$F},2,0), or(and(not(isblank($B918)),$B918=$B917,$A918&lt;&gt;$A917),and(not(isblank($A918)),$A918=$A917,$B918&lt;&gt;$B917)),"ID LISTS UNALIGNED",and($A918&lt;&gt;"",countif('3) Release_Label'!$D:$D,$A918)=0),"NO UPC MATCH in Release_Label",and($B918&lt;&gt;"",countif('3) Release_Label'!$E:$E,$B918)=0),"NO CATALOG ID MATCH in Release_Label",iserror(vlookup($A918&amp;$B918,'3) Release_Label'!$D:$D&amp;'3) Release_Label'!$E:$E,1,0)),"NO UPC-CATALOG ID pair MATCH in Release_Label" )</f>
        <v/>
      </c>
      <c r="D918" s="121" t="str">
        <f t="array" ref="D918">ifs(and(isblank($A918),isblank($B918)),"", not(iserror(vlookup($A918&amp;$B918,'3) Release_Label'!$D:$D&amp;'3) Release_Label'!$E:$E,1,0))),vlookup($A918&amp;$B918,{'3) Release_Label'!$D:$D&amp;'3) Release_Label'!$E:$E,'3) Release_Label'!$H:$H},2,0), or(and(not(isblank($B918)),$B918=$B917,$A918&lt;&gt;$A917),and(not(isblank($A918)),$A918=$A917,$B918&lt;&gt;$B917)),"ID LISTS UNALIGNED",and($A918&lt;&gt;"",countif('3) Release_Label'!$D:$D,$A918)=0),"NO UPC MATCH in Release_Label",and($B918&lt;&gt;"",countif('3) Release_Label'!$E:$E,$B918)=0),"NO CATALOG ID MATCH in Release_Label",iserror(vlookup($A918&amp;$B918,'3) Release_Label'!$D:$D&amp;'3) Release_Label'!$E:$E,1,0)),"NO UPC-CATALOG ID pair MATCH in Release_Label" )</f>
        <v/>
      </c>
      <c r="E918" s="141" t="str">
        <f t="shared" si="2"/>
        <v/>
      </c>
      <c r="G918" s="103"/>
      <c r="H918" s="152"/>
      <c r="J918" s="99"/>
      <c r="K918" s="104"/>
      <c r="L918" s="99"/>
      <c r="N918" s="99"/>
      <c r="O918" s="99"/>
      <c r="P918" s="34"/>
    </row>
    <row r="919">
      <c r="A919" s="28"/>
      <c r="B919" s="103"/>
      <c r="C919" s="121" t="str">
        <f t="array" ref="C919">ifs(and(isblank($A919),isblank($B919)),"", not(iserror(vlookup($A919&amp;$B919,'3) Release_Label'!$D:$D&amp;'3) Release_Label'!$E:$E,1,0))),vlookup($A919&amp;$B919,{'3) Release_Label'!$D:$D&amp;'3) Release_Label'!$E:$E,'3) Release_Label'!$F:$F},2,0), or(and(not(isblank($B919)),$B919=$B918,$A919&lt;&gt;$A918),and(not(isblank($A919)),$A919=$A918,$B919&lt;&gt;$B918)),"ID LISTS UNALIGNED",and($A919&lt;&gt;"",countif('3) Release_Label'!$D:$D,$A919)=0),"NO UPC MATCH in Release_Label",and($B919&lt;&gt;"",countif('3) Release_Label'!$E:$E,$B919)=0),"NO CATALOG ID MATCH in Release_Label",iserror(vlookup($A919&amp;$B919,'3) Release_Label'!$D:$D&amp;'3) Release_Label'!$E:$E,1,0)),"NO UPC-CATALOG ID pair MATCH in Release_Label" )</f>
        <v/>
      </c>
      <c r="D919" s="121" t="str">
        <f t="array" ref="D919">ifs(and(isblank($A919),isblank($B919)),"", not(iserror(vlookup($A919&amp;$B919,'3) Release_Label'!$D:$D&amp;'3) Release_Label'!$E:$E,1,0))),vlookup($A919&amp;$B919,{'3) Release_Label'!$D:$D&amp;'3) Release_Label'!$E:$E,'3) Release_Label'!$H:$H},2,0), or(and(not(isblank($B919)),$B919=$B918,$A919&lt;&gt;$A918),and(not(isblank($A919)),$A919=$A918,$B919&lt;&gt;$B918)),"ID LISTS UNALIGNED",and($A919&lt;&gt;"",countif('3) Release_Label'!$D:$D,$A919)=0),"NO UPC MATCH in Release_Label",and($B919&lt;&gt;"",countif('3) Release_Label'!$E:$E,$B919)=0),"NO CATALOG ID MATCH in Release_Label",iserror(vlookup($A919&amp;$B919,'3) Release_Label'!$D:$D&amp;'3) Release_Label'!$E:$E,1,0)),"NO UPC-CATALOG ID pair MATCH in Release_Label" )</f>
        <v/>
      </c>
      <c r="E919" s="141" t="str">
        <f t="shared" si="2"/>
        <v/>
      </c>
      <c r="G919" s="103"/>
      <c r="H919" s="152"/>
      <c r="J919" s="99"/>
      <c r="K919" s="104"/>
      <c r="L919" s="99"/>
      <c r="N919" s="99"/>
      <c r="O919" s="99"/>
      <c r="P919" s="34"/>
    </row>
    <row r="920">
      <c r="A920" s="28"/>
      <c r="B920" s="103"/>
      <c r="C920" s="121" t="str">
        <f t="array" ref="C920">ifs(and(isblank($A920),isblank($B920)),"", not(iserror(vlookup($A920&amp;$B920,'3) Release_Label'!$D:$D&amp;'3) Release_Label'!$E:$E,1,0))),vlookup($A920&amp;$B920,{'3) Release_Label'!$D:$D&amp;'3) Release_Label'!$E:$E,'3) Release_Label'!$F:$F},2,0), or(and(not(isblank($B920)),$B920=$B919,$A920&lt;&gt;$A919),and(not(isblank($A920)),$A920=$A919,$B920&lt;&gt;$B919)),"ID LISTS UNALIGNED",and($A920&lt;&gt;"",countif('3) Release_Label'!$D:$D,$A920)=0),"NO UPC MATCH in Release_Label",and($B920&lt;&gt;"",countif('3) Release_Label'!$E:$E,$B920)=0),"NO CATALOG ID MATCH in Release_Label",iserror(vlookup($A920&amp;$B920,'3) Release_Label'!$D:$D&amp;'3) Release_Label'!$E:$E,1,0)),"NO UPC-CATALOG ID pair MATCH in Release_Label" )</f>
        <v/>
      </c>
      <c r="D920" s="121" t="str">
        <f t="array" ref="D920">ifs(and(isblank($A920),isblank($B920)),"", not(iserror(vlookup($A920&amp;$B920,'3) Release_Label'!$D:$D&amp;'3) Release_Label'!$E:$E,1,0))),vlookup($A920&amp;$B920,{'3) Release_Label'!$D:$D&amp;'3) Release_Label'!$E:$E,'3) Release_Label'!$H:$H},2,0), or(and(not(isblank($B920)),$B920=$B919,$A920&lt;&gt;$A919),and(not(isblank($A920)),$A920=$A919,$B920&lt;&gt;$B919)),"ID LISTS UNALIGNED",and($A920&lt;&gt;"",countif('3) Release_Label'!$D:$D,$A920)=0),"NO UPC MATCH in Release_Label",and($B920&lt;&gt;"",countif('3) Release_Label'!$E:$E,$B920)=0),"NO CATALOG ID MATCH in Release_Label",iserror(vlookup($A920&amp;$B920,'3) Release_Label'!$D:$D&amp;'3) Release_Label'!$E:$E,1,0)),"NO UPC-CATALOG ID pair MATCH in Release_Label" )</f>
        <v/>
      </c>
      <c r="E920" s="141" t="str">
        <f t="shared" si="2"/>
        <v/>
      </c>
      <c r="G920" s="103"/>
      <c r="H920" s="152"/>
      <c r="J920" s="99"/>
      <c r="K920" s="104"/>
      <c r="L920" s="99"/>
      <c r="N920" s="99"/>
      <c r="O920" s="99"/>
      <c r="P920" s="34"/>
    </row>
    <row r="921">
      <c r="A921" s="28"/>
      <c r="B921" s="103"/>
      <c r="C921" s="121" t="str">
        <f t="array" ref="C921">ifs(and(isblank($A921),isblank($B921)),"", not(iserror(vlookup($A921&amp;$B921,'3) Release_Label'!$D:$D&amp;'3) Release_Label'!$E:$E,1,0))),vlookup($A921&amp;$B921,{'3) Release_Label'!$D:$D&amp;'3) Release_Label'!$E:$E,'3) Release_Label'!$F:$F},2,0), or(and(not(isblank($B921)),$B921=$B920,$A921&lt;&gt;$A920),and(not(isblank($A921)),$A921=$A920,$B921&lt;&gt;$B920)),"ID LISTS UNALIGNED",and($A921&lt;&gt;"",countif('3) Release_Label'!$D:$D,$A921)=0),"NO UPC MATCH in Release_Label",and($B921&lt;&gt;"",countif('3) Release_Label'!$E:$E,$B921)=0),"NO CATALOG ID MATCH in Release_Label",iserror(vlookup($A921&amp;$B921,'3) Release_Label'!$D:$D&amp;'3) Release_Label'!$E:$E,1,0)),"NO UPC-CATALOG ID pair MATCH in Release_Label" )</f>
        <v/>
      </c>
      <c r="D921" s="121" t="str">
        <f t="array" ref="D921">ifs(and(isblank($A921),isblank($B921)),"", not(iserror(vlookup($A921&amp;$B921,'3) Release_Label'!$D:$D&amp;'3) Release_Label'!$E:$E,1,0))),vlookup($A921&amp;$B921,{'3) Release_Label'!$D:$D&amp;'3) Release_Label'!$E:$E,'3) Release_Label'!$H:$H},2,0), or(and(not(isblank($B921)),$B921=$B920,$A921&lt;&gt;$A920),and(not(isblank($A921)),$A921=$A920,$B921&lt;&gt;$B920)),"ID LISTS UNALIGNED",and($A921&lt;&gt;"",countif('3) Release_Label'!$D:$D,$A921)=0),"NO UPC MATCH in Release_Label",and($B921&lt;&gt;"",countif('3) Release_Label'!$E:$E,$B921)=0),"NO CATALOG ID MATCH in Release_Label",iserror(vlookup($A921&amp;$B921,'3) Release_Label'!$D:$D&amp;'3) Release_Label'!$E:$E,1,0)),"NO UPC-CATALOG ID pair MATCH in Release_Label" )</f>
        <v/>
      </c>
      <c r="E921" s="141" t="str">
        <f t="shared" si="2"/>
        <v/>
      </c>
      <c r="G921" s="103"/>
      <c r="H921" s="152"/>
      <c r="J921" s="99"/>
      <c r="K921" s="104"/>
      <c r="L921" s="99"/>
      <c r="N921" s="99"/>
      <c r="O921" s="99"/>
      <c r="P921" s="34"/>
    </row>
    <row r="922">
      <c r="A922" s="28"/>
      <c r="B922" s="103"/>
      <c r="C922" s="121" t="str">
        <f t="array" ref="C922">ifs(and(isblank($A922),isblank($B922)),"", not(iserror(vlookup($A922&amp;$B922,'3) Release_Label'!$D:$D&amp;'3) Release_Label'!$E:$E,1,0))),vlookup($A922&amp;$B922,{'3) Release_Label'!$D:$D&amp;'3) Release_Label'!$E:$E,'3) Release_Label'!$F:$F},2,0), or(and(not(isblank($B922)),$B922=$B921,$A922&lt;&gt;$A921),and(not(isblank($A922)),$A922=$A921,$B922&lt;&gt;$B921)),"ID LISTS UNALIGNED",and($A922&lt;&gt;"",countif('3) Release_Label'!$D:$D,$A922)=0),"NO UPC MATCH in Release_Label",and($B922&lt;&gt;"",countif('3) Release_Label'!$E:$E,$B922)=0),"NO CATALOG ID MATCH in Release_Label",iserror(vlookup($A922&amp;$B922,'3) Release_Label'!$D:$D&amp;'3) Release_Label'!$E:$E,1,0)),"NO UPC-CATALOG ID pair MATCH in Release_Label" )</f>
        <v/>
      </c>
      <c r="D922" s="121" t="str">
        <f t="array" ref="D922">ifs(and(isblank($A922),isblank($B922)),"", not(iserror(vlookup($A922&amp;$B922,'3) Release_Label'!$D:$D&amp;'3) Release_Label'!$E:$E,1,0))),vlookup($A922&amp;$B922,{'3) Release_Label'!$D:$D&amp;'3) Release_Label'!$E:$E,'3) Release_Label'!$H:$H},2,0), or(and(not(isblank($B922)),$B922=$B921,$A922&lt;&gt;$A921),and(not(isblank($A922)),$A922=$A921,$B922&lt;&gt;$B921)),"ID LISTS UNALIGNED",and($A922&lt;&gt;"",countif('3) Release_Label'!$D:$D,$A922)=0),"NO UPC MATCH in Release_Label",and($B922&lt;&gt;"",countif('3) Release_Label'!$E:$E,$B922)=0),"NO CATALOG ID MATCH in Release_Label",iserror(vlookup($A922&amp;$B922,'3) Release_Label'!$D:$D&amp;'3) Release_Label'!$E:$E,1,0)),"NO UPC-CATALOG ID pair MATCH in Release_Label" )</f>
        <v/>
      </c>
      <c r="E922" s="141" t="str">
        <f t="shared" si="2"/>
        <v/>
      </c>
      <c r="G922" s="103"/>
      <c r="H922" s="152"/>
      <c r="J922" s="99"/>
      <c r="K922" s="104"/>
      <c r="L922" s="99"/>
      <c r="N922" s="99"/>
      <c r="O922" s="99"/>
      <c r="P922" s="34"/>
    </row>
    <row r="923">
      <c r="A923" s="28"/>
      <c r="B923" s="103"/>
      <c r="C923" s="121" t="str">
        <f t="array" ref="C923">ifs(and(isblank($A923),isblank($B923)),"", not(iserror(vlookup($A923&amp;$B923,'3) Release_Label'!$D:$D&amp;'3) Release_Label'!$E:$E,1,0))),vlookup($A923&amp;$B923,{'3) Release_Label'!$D:$D&amp;'3) Release_Label'!$E:$E,'3) Release_Label'!$F:$F},2,0), or(and(not(isblank($B923)),$B923=$B922,$A923&lt;&gt;$A922),and(not(isblank($A923)),$A923=$A922,$B923&lt;&gt;$B922)),"ID LISTS UNALIGNED",and($A923&lt;&gt;"",countif('3) Release_Label'!$D:$D,$A923)=0),"NO UPC MATCH in Release_Label",and($B923&lt;&gt;"",countif('3) Release_Label'!$E:$E,$B923)=0),"NO CATALOG ID MATCH in Release_Label",iserror(vlookup($A923&amp;$B923,'3) Release_Label'!$D:$D&amp;'3) Release_Label'!$E:$E,1,0)),"NO UPC-CATALOG ID pair MATCH in Release_Label" )</f>
        <v/>
      </c>
      <c r="D923" s="121" t="str">
        <f t="array" ref="D923">ifs(and(isblank($A923),isblank($B923)),"", not(iserror(vlookup($A923&amp;$B923,'3) Release_Label'!$D:$D&amp;'3) Release_Label'!$E:$E,1,0))),vlookup($A923&amp;$B923,{'3) Release_Label'!$D:$D&amp;'3) Release_Label'!$E:$E,'3) Release_Label'!$H:$H},2,0), or(and(not(isblank($B923)),$B923=$B922,$A923&lt;&gt;$A922),and(not(isblank($A923)),$A923=$A922,$B923&lt;&gt;$B922)),"ID LISTS UNALIGNED",and($A923&lt;&gt;"",countif('3) Release_Label'!$D:$D,$A923)=0),"NO UPC MATCH in Release_Label",and($B923&lt;&gt;"",countif('3) Release_Label'!$E:$E,$B923)=0),"NO CATALOG ID MATCH in Release_Label",iserror(vlookup($A923&amp;$B923,'3) Release_Label'!$D:$D&amp;'3) Release_Label'!$E:$E,1,0)),"NO UPC-CATALOG ID pair MATCH in Release_Label" )</f>
        <v/>
      </c>
      <c r="E923" s="141" t="str">
        <f t="shared" si="2"/>
        <v/>
      </c>
      <c r="G923" s="103"/>
      <c r="H923" s="152"/>
      <c r="J923" s="99"/>
      <c r="K923" s="104"/>
      <c r="L923" s="99"/>
      <c r="N923" s="99"/>
      <c r="O923" s="99"/>
      <c r="P923" s="34"/>
    </row>
    <row r="924">
      <c r="A924" s="28"/>
      <c r="B924" s="103"/>
      <c r="C924" s="121" t="str">
        <f t="array" ref="C924">ifs(and(isblank($A924),isblank($B924)),"", not(iserror(vlookup($A924&amp;$B924,'3) Release_Label'!$D:$D&amp;'3) Release_Label'!$E:$E,1,0))),vlookup($A924&amp;$B924,{'3) Release_Label'!$D:$D&amp;'3) Release_Label'!$E:$E,'3) Release_Label'!$F:$F},2,0), or(and(not(isblank($B924)),$B924=$B923,$A924&lt;&gt;$A923),and(not(isblank($A924)),$A924=$A923,$B924&lt;&gt;$B923)),"ID LISTS UNALIGNED",and($A924&lt;&gt;"",countif('3) Release_Label'!$D:$D,$A924)=0),"NO UPC MATCH in Release_Label",and($B924&lt;&gt;"",countif('3) Release_Label'!$E:$E,$B924)=0),"NO CATALOG ID MATCH in Release_Label",iserror(vlookup($A924&amp;$B924,'3) Release_Label'!$D:$D&amp;'3) Release_Label'!$E:$E,1,0)),"NO UPC-CATALOG ID pair MATCH in Release_Label" )</f>
        <v/>
      </c>
      <c r="D924" s="121" t="str">
        <f t="array" ref="D924">ifs(and(isblank($A924),isblank($B924)),"", not(iserror(vlookup($A924&amp;$B924,'3) Release_Label'!$D:$D&amp;'3) Release_Label'!$E:$E,1,0))),vlookup($A924&amp;$B924,{'3) Release_Label'!$D:$D&amp;'3) Release_Label'!$E:$E,'3) Release_Label'!$H:$H},2,0), or(and(not(isblank($B924)),$B924=$B923,$A924&lt;&gt;$A923),and(not(isblank($A924)),$A924=$A923,$B924&lt;&gt;$B923)),"ID LISTS UNALIGNED",and($A924&lt;&gt;"",countif('3) Release_Label'!$D:$D,$A924)=0),"NO UPC MATCH in Release_Label",and($B924&lt;&gt;"",countif('3) Release_Label'!$E:$E,$B924)=0),"NO CATALOG ID MATCH in Release_Label",iserror(vlookup($A924&amp;$B924,'3) Release_Label'!$D:$D&amp;'3) Release_Label'!$E:$E,1,0)),"NO UPC-CATALOG ID pair MATCH in Release_Label" )</f>
        <v/>
      </c>
      <c r="E924" s="141" t="str">
        <f t="shared" si="2"/>
        <v/>
      </c>
      <c r="G924" s="103"/>
      <c r="H924" s="152"/>
      <c r="J924" s="99"/>
      <c r="K924" s="104"/>
      <c r="L924" s="99"/>
      <c r="N924" s="99"/>
      <c r="O924" s="99"/>
      <c r="P924" s="34"/>
    </row>
    <row r="925">
      <c r="A925" s="28"/>
      <c r="B925" s="103"/>
      <c r="C925" s="121" t="str">
        <f t="array" ref="C925">ifs(and(isblank($A925),isblank($B925)),"", not(iserror(vlookup($A925&amp;$B925,'3) Release_Label'!$D:$D&amp;'3) Release_Label'!$E:$E,1,0))),vlookup($A925&amp;$B925,{'3) Release_Label'!$D:$D&amp;'3) Release_Label'!$E:$E,'3) Release_Label'!$F:$F},2,0), or(and(not(isblank($B925)),$B925=$B924,$A925&lt;&gt;$A924),and(not(isblank($A925)),$A925=$A924,$B925&lt;&gt;$B924)),"ID LISTS UNALIGNED",and($A925&lt;&gt;"",countif('3) Release_Label'!$D:$D,$A925)=0),"NO UPC MATCH in Release_Label",and($B925&lt;&gt;"",countif('3) Release_Label'!$E:$E,$B925)=0),"NO CATALOG ID MATCH in Release_Label",iserror(vlookup($A925&amp;$B925,'3) Release_Label'!$D:$D&amp;'3) Release_Label'!$E:$E,1,0)),"NO UPC-CATALOG ID pair MATCH in Release_Label" )</f>
        <v/>
      </c>
      <c r="D925" s="121" t="str">
        <f t="array" ref="D925">ifs(and(isblank($A925),isblank($B925)),"", not(iserror(vlookup($A925&amp;$B925,'3) Release_Label'!$D:$D&amp;'3) Release_Label'!$E:$E,1,0))),vlookup($A925&amp;$B925,{'3) Release_Label'!$D:$D&amp;'3) Release_Label'!$E:$E,'3) Release_Label'!$H:$H},2,0), or(and(not(isblank($B925)),$B925=$B924,$A925&lt;&gt;$A924),and(not(isblank($A925)),$A925=$A924,$B925&lt;&gt;$B924)),"ID LISTS UNALIGNED",and($A925&lt;&gt;"",countif('3) Release_Label'!$D:$D,$A925)=0),"NO UPC MATCH in Release_Label",and($B925&lt;&gt;"",countif('3) Release_Label'!$E:$E,$B925)=0),"NO CATALOG ID MATCH in Release_Label",iserror(vlookup($A925&amp;$B925,'3) Release_Label'!$D:$D&amp;'3) Release_Label'!$E:$E,1,0)),"NO UPC-CATALOG ID pair MATCH in Release_Label" )</f>
        <v/>
      </c>
      <c r="E925" s="141" t="str">
        <f t="shared" si="2"/>
        <v/>
      </c>
      <c r="G925" s="103"/>
      <c r="H925" s="152"/>
      <c r="J925" s="99"/>
      <c r="K925" s="104"/>
      <c r="L925" s="99"/>
      <c r="N925" s="99"/>
      <c r="O925" s="99"/>
      <c r="P925" s="34"/>
    </row>
    <row r="926">
      <c r="A926" s="28"/>
      <c r="B926" s="103"/>
      <c r="C926" s="121" t="str">
        <f t="array" ref="C926">ifs(and(isblank($A926),isblank($B926)),"", not(iserror(vlookup($A926&amp;$B926,'3) Release_Label'!$D:$D&amp;'3) Release_Label'!$E:$E,1,0))),vlookup($A926&amp;$B926,{'3) Release_Label'!$D:$D&amp;'3) Release_Label'!$E:$E,'3) Release_Label'!$F:$F},2,0), or(and(not(isblank($B926)),$B926=$B925,$A926&lt;&gt;$A925),and(not(isblank($A926)),$A926=$A925,$B926&lt;&gt;$B925)),"ID LISTS UNALIGNED",and($A926&lt;&gt;"",countif('3) Release_Label'!$D:$D,$A926)=0),"NO UPC MATCH in Release_Label",and($B926&lt;&gt;"",countif('3) Release_Label'!$E:$E,$B926)=0),"NO CATALOG ID MATCH in Release_Label",iserror(vlookup($A926&amp;$B926,'3) Release_Label'!$D:$D&amp;'3) Release_Label'!$E:$E,1,0)),"NO UPC-CATALOG ID pair MATCH in Release_Label" )</f>
        <v/>
      </c>
      <c r="D926" s="121" t="str">
        <f t="array" ref="D926">ifs(and(isblank($A926),isblank($B926)),"", not(iserror(vlookup($A926&amp;$B926,'3) Release_Label'!$D:$D&amp;'3) Release_Label'!$E:$E,1,0))),vlookup($A926&amp;$B926,{'3) Release_Label'!$D:$D&amp;'3) Release_Label'!$E:$E,'3) Release_Label'!$H:$H},2,0), or(and(not(isblank($B926)),$B926=$B925,$A926&lt;&gt;$A925),and(not(isblank($A926)),$A926=$A925,$B926&lt;&gt;$B925)),"ID LISTS UNALIGNED",and($A926&lt;&gt;"",countif('3) Release_Label'!$D:$D,$A926)=0),"NO UPC MATCH in Release_Label",and($B926&lt;&gt;"",countif('3) Release_Label'!$E:$E,$B926)=0),"NO CATALOG ID MATCH in Release_Label",iserror(vlookup($A926&amp;$B926,'3) Release_Label'!$D:$D&amp;'3) Release_Label'!$E:$E,1,0)),"NO UPC-CATALOG ID pair MATCH in Release_Label" )</f>
        <v/>
      </c>
      <c r="E926" s="141" t="str">
        <f t="shared" si="2"/>
        <v/>
      </c>
      <c r="G926" s="103"/>
      <c r="H926" s="152"/>
      <c r="J926" s="99"/>
      <c r="K926" s="104"/>
      <c r="L926" s="99"/>
      <c r="N926" s="99"/>
      <c r="O926" s="99"/>
      <c r="P926" s="34"/>
    </row>
    <row r="927">
      <c r="A927" s="28"/>
      <c r="B927" s="103"/>
      <c r="C927" s="121" t="str">
        <f t="array" ref="C927">ifs(and(isblank($A927),isblank($B927)),"", not(iserror(vlookup($A927&amp;$B927,'3) Release_Label'!$D:$D&amp;'3) Release_Label'!$E:$E,1,0))),vlookup($A927&amp;$B927,{'3) Release_Label'!$D:$D&amp;'3) Release_Label'!$E:$E,'3) Release_Label'!$F:$F},2,0), or(and(not(isblank($B927)),$B927=$B926,$A927&lt;&gt;$A926),and(not(isblank($A927)),$A927=$A926,$B927&lt;&gt;$B926)),"ID LISTS UNALIGNED",and($A927&lt;&gt;"",countif('3) Release_Label'!$D:$D,$A927)=0),"NO UPC MATCH in Release_Label",and($B927&lt;&gt;"",countif('3) Release_Label'!$E:$E,$B927)=0),"NO CATALOG ID MATCH in Release_Label",iserror(vlookup($A927&amp;$B927,'3) Release_Label'!$D:$D&amp;'3) Release_Label'!$E:$E,1,0)),"NO UPC-CATALOG ID pair MATCH in Release_Label" )</f>
        <v/>
      </c>
      <c r="D927" s="121" t="str">
        <f t="array" ref="D927">ifs(and(isblank($A927),isblank($B927)),"", not(iserror(vlookup($A927&amp;$B927,'3) Release_Label'!$D:$D&amp;'3) Release_Label'!$E:$E,1,0))),vlookup($A927&amp;$B927,{'3) Release_Label'!$D:$D&amp;'3) Release_Label'!$E:$E,'3) Release_Label'!$H:$H},2,0), or(and(not(isblank($B927)),$B927=$B926,$A927&lt;&gt;$A926),and(not(isblank($A927)),$A927=$A926,$B927&lt;&gt;$B926)),"ID LISTS UNALIGNED",and($A927&lt;&gt;"",countif('3) Release_Label'!$D:$D,$A927)=0),"NO UPC MATCH in Release_Label",and($B927&lt;&gt;"",countif('3) Release_Label'!$E:$E,$B927)=0),"NO CATALOG ID MATCH in Release_Label",iserror(vlookup($A927&amp;$B927,'3) Release_Label'!$D:$D&amp;'3) Release_Label'!$E:$E,1,0)),"NO UPC-CATALOG ID pair MATCH in Release_Label" )</f>
        <v/>
      </c>
      <c r="E927" s="141" t="str">
        <f t="shared" si="2"/>
        <v/>
      </c>
      <c r="G927" s="103"/>
      <c r="H927" s="152"/>
      <c r="J927" s="99"/>
      <c r="K927" s="104"/>
      <c r="L927" s="99"/>
      <c r="N927" s="99"/>
      <c r="O927" s="99"/>
      <c r="P927" s="34"/>
    </row>
    <row r="928">
      <c r="A928" s="28"/>
      <c r="B928" s="103"/>
      <c r="C928" s="121" t="str">
        <f t="array" ref="C928">ifs(and(isblank($A928),isblank($B928)),"", not(iserror(vlookup($A928&amp;$B928,'3) Release_Label'!$D:$D&amp;'3) Release_Label'!$E:$E,1,0))),vlookup($A928&amp;$B928,{'3) Release_Label'!$D:$D&amp;'3) Release_Label'!$E:$E,'3) Release_Label'!$F:$F},2,0), or(and(not(isblank($B928)),$B928=$B927,$A928&lt;&gt;$A927),and(not(isblank($A928)),$A928=$A927,$B928&lt;&gt;$B927)),"ID LISTS UNALIGNED",and($A928&lt;&gt;"",countif('3) Release_Label'!$D:$D,$A928)=0),"NO UPC MATCH in Release_Label",and($B928&lt;&gt;"",countif('3) Release_Label'!$E:$E,$B928)=0),"NO CATALOG ID MATCH in Release_Label",iserror(vlookup($A928&amp;$B928,'3) Release_Label'!$D:$D&amp;'3) Release_Label'!$E:$E,1,0)),"NO UPC-CATALOG ID pair MATCH in Release_Label" )</f>
        <v/>
      </c>
      <c r="D928" s="121" t="str">
        <f t="array" ref="D928">ifs(and(isblank($A928),isblank($B928)),"", not(iserror(vlookup($A928&amp;$B928,'3) Release_Label'!$D:$D&amp;'3) Release_Label'!$E:$E,1,0))),vlookup($A928&amp;$B928,{'3) Release_Label'!$D:$D&amp;'3) Release_Label'!$E:$E,'3) Release_Label'!$H:$H},2,0), or(and(not(isblank($B928)),$B928=$B927,$A928&lt;&gt;$A927),and(not(isblank($A928)),$A928=$A927,$B928&lt;&gt;$B927)),"ID LISTS UNALIGNED",and($A928&lt;&gt;"",countif('3) Release_Label'!$D:$D,$A928)=0),"NO UPC MATCH in Release_Label",and($B928&lt;&gt;"",countif('3) Release_Label'!$E:$E,$B928)=0),"NO CATALOG ID MATCH in Release_Label",iserror(vlookup($A928&amp;$B928,'3) Release_Label'!$D:$D&amp;'3) Release_Label'!$E:$E,1,0)),"NO UPC-CATALOG ID pair MATCH in Release_Label" )</f>
        <v/>
      </c>
      <c r="E928" s="141" t="str">
        <f t="shared" si="2"/>
        <v/>
      </c>
      <c r="G928" s="103"/>
      <c r="H928" s="152"/>
      <c r="J928" s="99"/>
      <c r="K928" s="104"/>
      <c r="L928" s="99"/>
      <c r="N928" s="99"/>
      <c r="O928" s="99"/>
      <c r="P928" s="34"/>
    </row>
    <row r="929">
      <c r="A929" s="28"/>
      <c r="B929" s="103"/>
      <c r="C929" s="121" t="str">
        <f t="array" ref="C929">ifs(and(isblank($A929),isblank($B929)),"", not(iserror(vlookup($A929&amp;$B929,'3) Release_Label'!$D:$D&amp;'3) Release_Label'!$E:$E,1,0))),vlookup($A929&amp;$B929,{'3) Release_Label'!$D:$D&amp;'3) Release_Label'!$E:$E,'3) Release_Label'!$F:$F},2,0), or(and(not(isblank($B929)),$B929=$B928,$A929&lt;&gt;$A928),and(not(isblank($A929)),$A929=$A928,$B929&lt;&gt;$B928)),"ID LISTS UNALIGNED",and($A929&lt;&gt;"",countif('3) Release_Label'!$D:$D,$A929)=0),"NO UPC MATCH in Release_Label",and($B929&lt;&gt;"",countif('3) Release_Label'!$E:$E,$B929)=0),"NO CATALOG ID MATCH in Release_Label",iserror(vlookup($A929&amp;$B929,'3) Release_Label'!$D:$D&amp;'3) Release_Label'!$E:$E,1,0)),"NO UPC-CATALOG ID pair MATCH in Release_Label" )</f>
        <v/>
      </c>
      <c r="D929" s="121" t="str">
        <f t="array" ref="D929">ifs(and(isblank($A929),isblank($B929)),"", not(iserror(vlookup($A929&amp;$B929,'3) Release_Label'!$D:$D&amp;'3) Release_Label'!$E:$E,1,0))),vlookup($A929&amp;$B929,{'3) Release_Label'!$D:$D&amp;'3) Release_Label'!$E:$E,'3) Release_Label'!$H:$H},2,0), or(and(not(isblank($B929)),$B929=$B928,$A929&lt;&gt;$A928),and(not(isblank($A929)),$A929=$A928,$B929&lt;&gt;$B928)),"ID LISTS UNALIGNED",and($A929&lt;&gt;"",countif('3) Release_Label'!$D:$D,$A929)=0),"NO UPC MATCH in Release_Label",and($B929&lt;&gt;"",countif('3) Release_Label'!$E:$E,$B929)=0),"NO CATALOG ID MATCH in Release_Label",iserror(vlookup($A929&amp;$B929,'3) Release_Label'!$D:$D&amp;'3) Release_Label'!$E:$E,1,0)),"NO UPC-CATALOG ID pair MATCH in Release_Label" )</f>
        <v/>
      </c>
      <c r="E929" s="141" t="str">
        <f t="shared" si="2"/>
        <v/>
      </c>
      <c r="G929" s="103"/>
      <c r="H929" s="152"/>
      <c r="J929" s="99"/>
      <c r="K929" s="104"/>
      <c r="L929" s="99"/>
      <c r="N929" s="99"/>
      <c r="O929" s="99"/>
      <c r="P929" s="34"/>
    </row>
    <row r="930">
      <c r="A930" s="28"/>
      <c r="B930" s="103"/>
      <c r="C930" s="121" t="str">
        <f t="array" ref="C930">ifs(and(isblank($A930),isblank($B930)),"", not(iserror(vlookup($A930&amp;$B930,'3) Release_Label'!$D:$D&amp;'3) Release_Label'!$E:$E,1,0))),vlookup($A930&amp;$B930,{'3) Release_Label'!$D:$D&amp;'3) Release_Label'!$E:$E,'3) Release_Label'!$F:$F},2,0), or(and(not(isblank($B930)),$B930=$B929,$A930&lt;&gt;$A929),and(not(isblank($A930)),$A930=$A929,$B930&lt;&gt;$B929)),"ID LISTS UNALIGNED",and($A930&lt;&gt;"",countif('3) Release_Label'!$D:$D,$A930)=0),"NO UPC MATCH in Release_Label",and($B930&lt;&gt;"",countif('3) Release_Label'!$E:$E,$B930)=0),"NO CATALOG ID MATCH in Release_Label",iserror(vlookup($A930&amp;$B930,'3) Release_Label'!$D:$D&amp;'3) Release_Label'!$E:$E,1,0)),"NO UPC-CATALOG ID pair MATCH in Release_Label" )</f>
        <v/>
      </c>
      <c r="D930" s="121" t="str">
        <f t="array" ref="D930">ifs(and(isblank($A930),isblank($B930)),"", not(iserror(vlookup($A930&amp;$B930,'3) Release_Label'!$D:$D&amp;'3) Release_Label'!$E:$E,1,0))),vlookup($A930&amp;$B930,{'3) Release_Label'!$D:$D&amp;'3) Release_Label'!$E:$E,'3) Release_Label'!$H:$H},2,0), or(and(not(isblank($B930)),$B930=$B929,$A930&lt;&gt;$A929),and(not(isblank($A930)),$A930=$A929,$B930&lt;&gt;$B929)),"ID LISTS UNALIGNED",and($A930&lt;&gt;"",countif('3) Release_Label'!$D:$D,$A930)=0),"NO UPC MATCH in Release_Label",and($B930&lt;&gt;"",countif('3) Release_Label'!$E:$E,$B930)=0),"NO CATALOG ID MATCH in Release_Label",iserror(vlookup($A930&amp;$B930,'3) Release_Label'!$D:$D&amp;'3) Release_Label'!$E:$E,1,0)),"NO UPC-CATALOG ID pair MATCH in Release_Label" )</f>
        <v/>
      </c>
      <c r="E930" s="141" t="str">
        <f t="shared" si="2"/>
        <v/>
      </c>
      <c r="G930" s="103"/>
      <c r="H930" s="152"/>
      <c r="J930" s="99"/>
      <c r="K930" s="104"/>
      <c r="L930" s="99"/>
      <c r="N930" s="99"/>
      <c r="O930" s="99"/>
      <c r="P930" s="34"/>
    </row>
    <row r="931">
      <c r="A931" s="28"/>
      <c r="B931" s="103"/>
      <c r="C931" s="121" t="str">
        <f t="array" ref="C931">ifs(and(isblank($A931),isblank($B931)),"", not(iserror(vlookup($A931&amp;$B931,'3) Release_Label'!$D:$D&amp;'3) Release_Label'!$E:$E,1,0))),vlookup($A931&amp;$B931,{'3) Release_Label'!$D:$D&amp;'3) Release_Label'!$E:$E,'3) Release_Label'!$F:$F},2,0), or(and(not(isblank($B931)),$B931=$B930,$A931&lt;&gt;$A930),and(not(isblank($A931)),$A931=$A930,$B931&lt;&gt;$B930)),"ID LISTS UNALIGNED",and($A931&lt;&gt;"",countif('3) Release_Label'!$D:$D,$A931)=0),"NO UPC MATCH in Release_Label",and($B931&lt;&gt;"",countif('3) Release_Label'!$E:$E,$B931)=0),"NO CATALOG ID MATCH in Release_Label",iserror(vlookup($A931&amp;$B931,'3) Release_Label'!$D:$D&amp;'3) Release_Label'!$E:$E,1,0)),"NO UPC-CATALOG ID pair MATCH in Release_Label" )</f>
        <v/>
      </c>
      <c r="D931" s="121" t="str">
        <f t="array" ref="D931">ifs(and(isblank($A931),isblank($B931)),"", not(iserror(vlookup($A931&amp;$B931,'3) Release_Label'!$D:$D&amp;'3) Release_Label'!$E:$E,1,0))),vlookup($A931&amp;$B931,{'3) Release_Label'!$D:$D&amp;'3) Release_Label'!$E:$E,'3) Release_Label'!$H:$H},2,0), or(and(not(isblank($B931)),$B931=$B930,$A931&lt;&gt;$A930),and(not(isblank($A931)),$A931=$A930,$B931&lt;&gt;$B930)),"ID LISTS UNALIGNED",and($A931&lt;&gt;"",countif('3) Release_Label'!$D:$D,$A931)=0),"NO UPC MATCH in Release_Label",and($B931&lt;&gt;"",countif('3) Release_Label'!$E:$E,$B931)=0),"NO CATALOG ID MATCH in Release_Label",iserror(vlookup($A931&amp;$B931,'3) Release_Label'!$D:$D&amp;'3) Release_Label'!$E:$E,1,0)),"NO UPC-CATALOG ID pair MATCH in Release_Label" )</f>
        <v/>
      </c>
      <c r="E931" s="141" t="str">
        <f t="shared" si="2"/>
        <v/>
      </c>
      <c r="G931" s="103"/>
      <c r="H931" s="152"/>
      <c r="J931" s="99"/>
      <c r="K931" s="104"/>
      <c r="L931" s="99"/>
      <c r="N931" s="99"/>
      <c r="O931" s="99"/>
      <c r="P931" s="34"/>
    </row>
    <row r="932">
      <c r="A932" s="28"/>
      <c r="B932" s="103"/>
      <c r="C932" s="121" t="str">
        <f t="array" ref="C932">ifs(and(isblank($A932),isblank($B932)),"", not(iserror(vlookup($A932&amp;$B932,'3) Release_Label'!$D:$D&amp;'3) Release_Label'!$E:$E,1,0))),vlookup($A932&amp;$B932,{'3) Release_Label'!$D:$D&amp;'3) Release_Label'!$E:$E,'3) Release_Label'!$F:$F},2,0), or(and(not(isblank($B932)),$B932=$B931,$A932&lt;&gt;$A931),and(not(isblank($A932)),$A932=$A931,$B932&lt;&gt;$B931)),"ID LISTS UNALIGNED",and($A932&lt;&gt;"",countif('3) Release_Label'!$D:$D,$A932)=0),"NO UPC MATCH in Release_Label",and($B932&lt;&gt;"",countif('3) Release_Label'!$E:$E,$B932)=0),"NO CATALOG ID MATCH in Release_Label",iserror(vlookup($A932&amp;$B932,'3) Release_Label'!$D:$D&amp;'3) Release_Label'!$E:$E,1,0)),"NO UPC-CATALOG ID pair MATCH in Release_Label" )</f>
        <v/>
      </c>
      <c r="D932" s="121" t="str">
        <f t="array" ref="D932">ifs(and(isblank($A932),isblank($B932)),"", not(iserror(vlookup($A932&amp;$B932,'3) Release_Label'!$D:$D&amp;'3) Release_Label'!$E:$E,1,0))),vlookup($A932&amp;$B932,{'3) Release_Label'!$D:$D&amp;'3) Release_Label'!$E:$E,'3) Release_Label'!$H:$H},2,0), or(and(not(isblank($B932)),$B932=$B931,$A932&lt;&gt;$A931),and(not(isblank($A932)),$A932=$A931,$B932&lt;&gt;$B931)),"ID LISTS UNALIGNED",and($A932&lt;&gt;"",countif('3) Release_Label'!$D:$D,$A932)=0),"NO UPC MATCH in Release_Label",and($B932&lt;&gt;"",countif('3) Release_Label'!$E:$E,$B932)=0),"NO CATALOG ID MATCH in Release_Label",iserror(vlookup($A932&amp;$B932,'3) Release_Label'!$D:$D&amp;'3) Release_Label'!$E:$E,1,0)),"NO UPC-CATALOG ID pair MATCH in Release_Label" )</f>
        <v/>
      </c>
      <c r="E932" s="141" t="str">
        <f t="shared" si="2"/>
        <v/>
      </c>
      <c r="G932" s="103"/>
      <c r="H932" s="152"/>
      <c r="J932" s="99"/>
      <c r="K932" s="104"/>
      <c r="L932" s="99"/>
      <c r="N932" s="99"/>
      <c r="O932" s="99"/>
      <c r="P932" s="34"/>
    </row>
    <row r="933">
      <c r="A933" s="28"/>
      <c r="B933" s="103"/>
      <c r="C933" s="121" t="str">
        <f t="array" ref="C933">ifs(and(isblank($A933),isblank($B933)),"", not(iserror(vlookup($A933&amp;$B933,'3) Release_Label'!$D:$D&amp;'3) Release_Label'!$E:$E,1,0))),vlookup($A933&amp;$B933,{'3) Release_Label'!$D:$D&amp;'3) Release_Label'!$E:$E,'3) Release_Label'!$F:$F},2,0), or(and(not(isblank($B933)),$B933=$B932,$A933&lt;&gt;$A932),and(not(isblank($A933)),$A933=$A932,$B933&lt;&gt;$B932)),"ID LISTS UNALIGNED",and($A933&lt;&gt;"",countif('3) Release_Label'!$D:$D,$A933)=0),"NO UPC MATCH in Release_Label",and($B933&lt;&gt;"",countif('3) Release_Label'!$E:$E,$B933)=0),"NO CATALOG ID MATCH in Release_Label",iserror(vlookup($A933&amp;$B933,'3) Release_Label'!$D:$D&amp;'3) Release_Label'!$E:$E,1,0)),"NO UPC-CATALOG ID pair MATCH in Release_Label" )</f>
        <v/>
      </c>
      <c r="D933" s="121" t="str">
        <f t="array" ref="D933">ifs(and(isblank($A933),isblank($B933)),"", not(iserror(vlookup($A933&amp;$B933,'3) Release_Label'!$D:$D&amp;'3) Release_Label'!$E:$E,1,0))),vlookup($A933&amp;$B933,{'3) Release_Label'!$D:$D&amp;'3) Release_Label'!$E:$E,'3) Release_Label'!$H:$H},2,0), or(and(not(isblank($B933)),$B933=$B932,$A933&lt;&gt;$A932),and(not(isblank($A933)),$A933=$A932,$B933&lt;&gt;$B932)),"ID LISTS UNALIGNED",and($A933&lt;&gt;"",countif('3) Release_Label'!$D:$D,$A933)=0),"NO UPC MATCH in Release_Label",and($B933&lt;&gt;"",countif('3) Release_Label'!$E:$E,$B933)=0),"NO CATALOG ID MATCH in Release_Label",iserror(vlookup($A933&amp;$B933,'3) Release_Label'!$D:$D&amp;'3) Release_Label'!$E:$E,1,0)),"NO UPC-CATALOG ID pair MATCH in Release_Label" )</f>
        <v/>
      </c>
      <c r="E933" s="141" t="str">
        <f t="shared" si="2"/>
        <v/>
      </c>
      <c r="G933" s="103"/>
      <c r="H933" s="152"/>
      <c r="J933" s="99"/>
      <c r="K933" s="104"/>
      <c r="L933" s="99"/>
      <c r="N933" s="99"/>
      <c r="O933" s="99"/>
      <c r="P933" s="34"/>
    </row>
    <row r="934">
      <c r="A934" s="28"/>
      <c r="B934" s="103"/>
      <c r="C934" s="121" t="str">
        <f t="array" ref="C934">ifs(and(isblank($A934),isblank($B934)),"", not(iserror(vlookup($A934&amp;$B934,'3) Release_Label'!$D:$D&amp;'3) Release_Label'!$E:$E,1,0))),vlookup($A934&amp;$B934,{'3) Release_Label'!$D:$D&amp;'3) Release_Label'!$E:$E,'3) Release_Label'!$F:$F},2,0), or(and(not(isblank($B934)),$B934=$B933,$A934&lt;&gt;$A933),and(not(isblank($A934)),$A934=$A933,$B934&lt;&gt;$B933)),"ID LISTS UNALIGNED",and($A934&lt;&gt;"",countif('3) Release_Label'!$D:$D,$A934)=0),"NO UPC MATCH in Release_Label",and($B934&lt;&gt;"",countif('3) Release_Label'!$E:$E,$B934)=0),"NO CATALOG ID MATCH in Release_Label",iserror(vlookup($A934&amp;$B934,'3) Release_Label'!$D:$D&amp;'3) Release_Label'!$E:$E,1,0)),"NO UPC-CATALOG ID pair MATCH in Release_Label" )</f>
        <v/>
      </c>
      <c r="D934" s="121" t="str">
        <f t="array" ref="D934">ifs(and(isblank($A934),isblank($B934)),"", not(iserror(vlookup($A934&amp;$B934,'3) Release_Label'!$D:$D&amp;'3) Release_Label'!$E:$E,1,0))),vlookup($A934&amp;$B934,{'3) Release_Label'!$D:$D&amp;'3) Release_Label'!$E:$E,'3) Release_Label'!$H:$H},2,0), or(and(not(isblank($B934)),$B934=$B933,$A934&lt;&gt;$A933),and(not(isblank($A934)),$A934=$A933,$B934&lt;&gt;$B933)),"ID LISTS UNALIGNED",and($A934&lt;&gt;"",countif('3) Release_Label'!$D:$D,$A934)=0),"NO UPC MATCH in Release_Label",and($B934&lt;&gt;"",countif('3) Release_Label'!$E:$E,$B934)=0),"NO CATALOG ID MATCH in Release_Label",iserror(vlookup($A934&amp;$B934,'3) Release_Label'!$D:$D&amp;'3) Release_Label'!$E:$E,1,0)),"NO UPC-CATALOG ID pair MATCH in Release_Label" )</f>
        <v/>
      </c>
      <c r="E934" s="141" t="str">
        <f t="shared" si="2"/>
        <v/>
      </c>
      <c r="G934" s="103"/>
      <c r="H934" s="152"/>
      <c r="J934" s="99"/>
      <c r="K934" s="104"/>
      <c r="L934" s="99"/>
      <c r="N934" s="99"/>
      <c r="O934" s="99"/>
      <c r="P934" s="34"/>
    </row>
    <row r="935">
      <c r="A935" s="28"/>
      <c r="B935" s="103"/>
      <c r="C935" s="121" t="str">
        <f t="array" ref="C935">ifs(and(isblank($A935),isblank($B935)),"", not(iserror(vlookup($A935&amp;$B935,'3) Release_Label'!$D:$D&amp;'3) Release_Label'!$E:$E,1,0))),vlookup($A935&amp;$B935,{'3) Release_Label'!$D:$D&amp;'3) Release_Label'!$E:$E,'3) Release_Label'!$F:$F},2,0), or(and(not(isblank($B935)),$B935=$B934,$A935&lt;&gt;$A934),and(not(isblank($A935)),$A935=$A934,$B935&lt;&gt;$B934)),"ID LISTS UNALIGNED",and($A935&lt;&gt;"",countif('3) Release_Label'!$D:$D,$A935)=0),"NO UPC MATCH in Release_Label",and($B935&lt;&gt;"",countif('3) Release_Label'!$E:$E,$B935)=0),"NO CATALOG ID MATCH in Release_Label",iserror(vlookup($A935&amp;$B935,'3) Release_Label'!$D:$D&amp;'3) Release_Label'!$E:$E,1,0)),"NO UPC-CATALOG ID pair MATCH in Release_Label" )</f>
        <v/>
      </c>
      <c r="D935" s="121" t="str">
        <f t="array" ref="D935">ifs(and(isblank($A935),isblank($B935)),"", not(iserror(vlookup($A935&amp;$B935,'3) Release_Label'!$D:$D&amp;'3) Release_Label'!$E:$E,1,0))),vlookup($A935&amp;$B935,{'3) Release_Label'!$D:$D&amp;'3) Release_Label'!$E:$E,'3) Release_Label'!$H:$H},2,0), or(and(not(isblank($B935)),$B935=$B934,$A935&lt;&gt;$A934),and(not(isblank($A935)),$A935=$A934,$B935&lt;&gt;$B934)),"ID LISTS UNALIGNED",and($A935&lt;&gt;"",countif('3) Release_Label'!$D:$D,$A935)=0),"NO UPC MATCH in Release_Label",and($B935&lt;&gt;"",countif('3) Release_Label'!$E:$E,$B935)=0),"NO CATALOG ID MATCH in Release_Label",iserror(vlookup($A935&amp;$B935,'3) Release_Label'!$D:$D&amp;'3) Release_Label'!$E:$E,1,0)),"NO UPC-CATALOG ID pair MATCH in Release_Label" )</f>
        <v/>
      </c>
      <c r="E935" s="141" t="str">
        <f t="shared" si="2"/>
        <v/>
      </c>
      <c r="G935" s="103"/>
      <c r="H935" s="152"/>
      <c r="J935" s="99"/>
      <c r="K935" s="104"/>
      <c r="L935" s="99"/>
      <c r="N935" s="99"/>
      <c r="O935" s="99"/>
      <c r="P935" s="34"/>
    </row>
    <row r="936">
      <c r="A936" s="28"/>
      <c r="B936" s="103"/>
      <c r="C936" s="121" t="str">
        <f t="array" ref="C936">ifs(and(isblank($A936),isblank($B936)),"", not(iserror(vlookup($A936&amp;$B936,'3) Release_Label'!$D:$D&amp;'3) Release_Label'!$E:$E,1,0))),vlookup($A936&amp;$B936,{'3) Release_Label'!$D:$D&amp;'3) Release_Label'!$E:$E,'3) Release_Label'!$F:$F},2,0), or(and(not(isblank($B936)),$B936=$B935,$A936&lt;&gt;$A935),and(not(isblank($A936)),$A936=$A935,$B936&lt;&gt;$B935)),"ID LISTS UNALIGNED",and($A936&lt;&gt;"",countif('3) Release_Label'!$D:$D,$A936)=0),"NO UPC MATCH in Release_Label",and($B936&lt;&gt;"",countif('3) Release_Label'!$E:$E,$B936)=0),"NO CATALOG ID MATCH in Release_Label",iserror(vlookup($A936&amp;$B936,'3) Release_Label'!$D:$D&amp;'3) Release_Label'!$E:$E,1,0)),"NO UPC-CATALOG ID pair MATCH in Release_Label" )</f>
        <v/>
      </c>
      <c r="D936" s="121" t="str">
        <f t="array" ref="D936">ifs(and(isblank($A936),isblank($B936)),"", not(iserror(vlookup($A936&amp;$B936,'3) Release_Label'!$D:$D&amp;'3) Release_Label'!$E:$E,1,0))),vlookup($A936&amp;$B936,{'3) Release_Label'!$D:$D&amp;'3) Release_Label'!$E:$E,'3) Release_Label'!$H:$H},2,0), or(and(not(isblank($B936)),$B936=$B935,$A936&lt;&gt;$A935),and(not(isblank($A936)),$A936=$A935,$B936&lt;&gt;$B935)),"ID LISTS UNALIGNED",and($A936&lt;&gt;"",countif('3) Release_Label'!$D:$D,$A936)=0),"NO UPC MATCH in Release_Label",and($B936&lt;&gt;"",countif('3) Release_Label'!$E:$E,$B936)=0),"NO CATALOG ID MATCH in Release_Label",iserror(vlookup($A936&amp;$B936,'3) Release_Label'!$D:$D&amp;'3) Release_Label'!$E:$E,1,0)),"NO UPC-CATALOG ID pair MATCH in Release_Label" )</f>
        <v/>
      </c>
      <c r="E936" s="141" t="str">
        <f t="shared" si="2"/>
        <v/>
      </c>
      <c r="G936" s="103"/>
      <c r="H936" s="152"/>
      <c r="J936" s="99"/>
      <c r="K936" s="104"/>
      <c r="L936" s="99"/>
      <c r="N936" s="99"/>
      <c r="O936" s="99"/>
      <c r="P936" s="34"/>
    </row>
    <row r="937">
      <c r="A937" s="28"/>
      <c r="B937" s="103"/>
      <c r="C937" s="121" t="str">
        <f t="array" ref="C937">ifs(and(isblank($A937),isblank($B937)),"", not(iserror(vlookup($A937&amp;$B937,'3) Release_Label'!$D:$D&amp;'3) Release_Label'!$E:$E,1,0))),vlookup($A937&amp;$B937,{'3) Release_Label'!$D:$D&amp;'3) Release_Label'!$E:$E,'3) Release_Label'!$F:$F},2,0), or(and(not(isblank($B937)),$B937=$B936,$A937&lt;&gt;$A936),and(not(isblank($A937)),$A937=$A936,$B937&lt;&gt;$B936)),"ID LISTS UNALIGNED",and($A937&lt;&gt;"",countif('3) Release_Label'!$D:$D,$A937)=0),"NO UPC MATCH in Release_Label",and($B937&lt;&gt;"",countif('3) Release_Label'!$E:$E,$B937)=0),"NO CATALOG ID MATCH in Release_Label",iserror(vlookup($A937&amp;$B937,'3) Release_Label'!$D:$D&amp;'3) Release_Label'!$E:$E,1,0)),"NO UPC-CATALOG ID pair MATCH in Release_Label" )</f>
        <v/>
      </c>
      <c r="D937" s="121" t="str">
        <f t="array" ref="D937">ifs(and(isblank($A937),isblank($B937)),"", not(iserror(vlookup($A937&amp;$B937,'3) Release_Label'!$D:$D&amp;'3) Release_Label'!$E:$E,1,0))),vlookup($A937&amp;$B937,{'3) Release_Label'!$D:$D&amp;'3) Release_Label'!$E:$E,'3) Release_Label'!$H:$H},2,0), or(and(not(isblank($B937)),$B937=$B936,$A937&lt;&gt;$A936),and(not(isblank($A937)),$A937=$A936,$B937&lt;&gt;$B936)),"ID LISTS UNALIGNED",and($A937&lt;&gt;"",countif('3) Release_Label'!$D:$D,$A937)=0),"NO UPC MATCH in Release_Label",and($B937&lt;&gt;"",countif('3) Release_Label'!$E:$E,$B937)=0),"NO CATALOG ID MATCH in Release_Label",iserror(vlookup($A937&amp;$B937,'3) Release_Label'!$D:$D&amp;'3) Release_Label'!$E:$E,1,0)),"NO UPC-CATALOG ID pair MATCH in Release_Label" )</f>
        <v/>
      </c>
      <c r="E937" s="141" t="str">
        <f t="shared" si="2"/>
        <v/>
      </c>
      <c r="G937" s="103"/>
      <c r="H937" s="152"/>
      <c r="J937" s="99"/>
      <c r="K937" s="104"/>
      <c r="L937" s="99"/>
      <c r="N937" s="99"/>
      <c r="O937" s="99"/>
      <c r="P937" s="34"/>
    </row>
    <row r="938">
      <c r="A938" s="28"/>
      <c r="B938" s="103"/>
      <c r="C938" s="121" t="str">
        <f t="array" ref="C938">ifs(and(isblank($A938),isblank($B938)),"", not(iserror(vlookup($A938&amp;$B938,'3) Release_Label'!$D:$D&amp;'3) Release_Label'!$E:$E,1,0))),vlookup($A938&amp;$B938,{'3) Release_Label'!$D:$D&amp;'3) Release_Label'!$E:$E,'3) Release_Label'!$F:$F},2,0), or(and(not(isblank($B938)),$B938=$B937,$A938&lt;&gt;$A937),and(not(isblank($A938)),$A938=$A937,$B938&lt;&gt;$B937)),"ID LISTS UNALIGNED",and($A938&lt;&gt;"",countif('3) Release_Label'!$D:$D,$A938)=0),"NO UPC MATCH in Release_Label",and($B938&lt;&gt;"",countif('3) Release_Label'!$E:$E,$B938)=0),"NO CATALOG ID MATCH in Release_Label",iserror(vlookup($A938&amp;$B938,'3) Release_Label'!$D:$D&amp;'3) Release_Label'!$E:$E,1,0)),"NO UPC-CATALOG ID pair MATCH in Release_Label" )</f>
        <v/>
      </c>
      <c r="D938" s="121" t="str">
        <f t="array" ref="D938">ifs(and(isblank($A938),isblank($B938)),"", not(iserror(vlookup($A938&amp;$B938,'3) Release_Label'!$D:$D&amp;'3) Release_Label'!$E:$E,1,0))),vlookup($A938&amp;$B938,{'3) Release_Label'!$D:$D&amp;'3) Release_Label'!$E:$E,'3) Release_Label'!$H:$H},2,0), or(and(not(isblank($B938)),$B938=$B937,$A938&lt;&gt;$A937),and(not(isblank($A938)),$A938=$A937,$B938&lt;&gt;$B937)),"ID LISTS UNALIGNED",and($A938&lt;&gt;"",countif('3) Release_Label'!$D:$D,$A938)=0),"NO UPC MATCH in Release_Label",and($B938&lt;&gt;"",countif('3) Release_Label'!$E:$E,$B938)=0),"NO CATALOG ID MATCH in Release_Label",iserror(vlookup($A938&amp;$B938,'3) Release_Label'!$D:$D&amp;'3) Release_Label'!$E:$E,1,0)),"NO UPC-CATALOG ID pair MATCH in Release_Label" )</f>
        <v/>
      </c>
      <c r="E938" s="141" t="str">
        <f t="shared" si="2"/>
        <v/>
      </c>
      <c r="G938" s="103"/>
      <c r="H938" s="152"/>
      <c r="J938" s="99"/>
      <c r="K938" s="104"/>
      <c r="L938" s="99"/>
      <c r="N938" s="99"/>
      <c r="O938" s="99"/>
      <c r="P938" s="34"/>
    </row>
    <row r="939">
      <c r="A939" s="28"/>
      <c r="B939" s="103"/>
      <c r="C939" s="121" t="str">
        <f t="array" ref="C939">ifs(and(isblank($A939),isblank($B939)),"", not(iserror(vlookup($A939&amp;$B939,'3) Release_Label'!$D:$D&amp;'3) Release_Label'!$E:$E,1,0))),vlookup($A939&amp;$B939,{'3) Release_Label'!$D:$D&amp;'3) Release_Label'!$E:$E,'3) Release_Label'!$F:$F},2,0), or(and(not(isblank($B939)),$B939=$B938,$A939&lt;&gt;$A938),and(not(isblank($A939)),$A939=$A938,$B939&lt;&gt;$B938)),"ID LISTS UNALIGNED",and($A939&lt;&gt;"",countif('3) Release_Label'!$D:$D,$A939)=0),"NO UPC MATCH in Release_Label",and($B939&lt;&gt;"",countif('3) Release_Label'!$E:$E,$B939)=0),"NO CATALOG ID MATCH in Release_Label",iserror(vlookup($A939&amp;$B939,'3) Release_Label'!$D:$D&amp;'3) Release_Label'!$E:$E,1,0)),"NO UPC-CATALOG ID pair MATCH in Release_Label" )</f>
        <v/>
      </c>
      <c r="D939" s="121" t="str">
        <f t="array" ref="D939">ifs(and(isblank($A939),isblank($B939)),"", not(iserror(vlookup($A939&amp;$B939,'3) Release_Label'!$D:$D&amp;'3) Release_Label'!$E:$E,1,0))),vlookup($A939&amp;$B939,{'3) Release_Label'!$D:$D&amp;'3) Release_Label'!$E:$E,'3) Release_Label'!$H:$H},2,0), or(and(not(isblank($B939)),$B939=$B938,$A939&lt;&gt;$A938),and(not(isblank($A939)),$A939=$A938,$B939&lt;&gt;$B938)),"ID LISTS UNALIGNED",and($A939&lt;&gt;"",countif('3) Release_Label'!$D:$D,$A939)=0),"NO UPC MATCH in Release_Label",and($B939&lt;&gt;"",countif('3) Release_Label'!$E:$E,$B939)=0),"NO CATALOG ID MATCH in Release_Label",iserror(vlookup($A939&amp;$B939,'3) Release_Label'!$D:$D&amp;'3) Release_Label'!$E:$E,1,0)),"NO UPC-CATALOG ID pair MATCH in Release_Label" )</f>
        <v/>
      </c>
      <c r="E939" s="141" t="str">
        <f t="shared" si="2"/>
        <v/>
      </c>
      <c r="G939" s="103"/>
      <c r="H939" s="152"/>
      <c r="J939" s="99"/>
      <c r="K939" s="104"/>
      <c r="L939" s="99"/>
      <c r="N939" s="99"/>
      <c r="O939" s="99"/>
      <c r="P939" s="34"/>
    </row>
    <row r="940">
      <c r="A940" s="28"/>
      <c r="B940" s="103"/>
      <c r="C940" s="121" t="str">
        <f t="array" ref="C940">ifs(and(isblank($A940),isblank($B940)),"", not(iserror(vlookup($A940&amp;$B940,'3) Release_Label'!$D:$D&amp;'3) Release_Label'!$E:$E,1,0))),vlookup($A940&amp;$B940,{'3) Release_Label'!$D:$D&amp;'3) Release_Label'!$E:$E,'3) Release_Label'!$F:$F},2,0), or(and(not(isblank($B940)),$B940=$B939,$A940&lt;&gt;$A939),and(not(isblank($A940)),$A940=$A939,$B940&lt;&gt;$B939)),"ID LISTS UNALIGNED",and($A940&lt;&gt;"",countif('3) Release_Label'!$D:$D,$A940)=0),"NO UPC MATCH in Release_Label",and($B940&lt;&gt;"",countif('3) Release_Label'!$E:$E,$B940)=0),"NO CATALOG ID MATCH in Release_Label",iserror(vlookup($A940&amp;$B940,'3) Release_Label'!$D:$D&amp;'3) Release_Label'!$E:$E,1,0)),"NO UPC-CATALOG ID pair MATCH in Release_Label" )</f>
        <v/>
      </c>
      <c r="D940" s="121" t="str">
        <f t="array" ref="D940">ifs(and(isblank($A940),isblank($B940)),"", not(iserror(vlookup($A940&amp;$B940,'3) Release_Label'!$D:$D&amp;'3) Release_Label'!$E:$E,1,0))),vlookup($A940&amp;$B940,{'3) Release_Label'!$D:$D&amp;'3) Release_Label'!$E:$E,'3) Release_Label'!$H:$H},2,0), or(and(not(isblank($B940)),$B940=$B939,$A940&lt;&gt;$A939),and(not(isblank($A940)),$A940=$A939,$B940&lt;&gt;$B939)),"ID LISTS UNALIGNED",and($A940&lt;&gt;"",countif('3) Release_Label'!$D:$D,$A940)=0),"NO UPC MATCH in Release_Label",and($B940&lt;&gt;"",countif('3) Release_Label'!$E:$E,$B940)=0),"NO CATALOG ID MATCH in Release_Label",iserror(vlookup($A940&amp;$B940,'3) Release_Label'!$D:$D&amp;'3) Release_Label'!$E:$E,1,0)),"NO UPC-CATALOG ID pair MATCH in Release_Label" )</f>
        <v/>
      </c>
      <c r="E940" s="141" t="str">
        <f t="shared" si="2"/>
        <v/>
      </c>
      <c r="G940" s="103"/>
      <c r="H940" s="152"/>
      <c r="J940" s="99"/>
      <c r="K940" s="104"/>
      <c r="L940" s="99"/>
      <c r="N940" s="99"/>
      <c r="O940" s="99"/>
      <c r="P940" s="34"/>
    </row>
    <row r="941">
      <c r="A941" s="28"/>
      <c r="B941" s="103"/>
      <c r="C941" s="121" t="str">
        <f t="array" ref="C941">ifs(and(isblank($A941),isblank($B941)),"", not(iserror(vlookup($A941&amp;$B941,'3) Release_Label'!$D:$D&amp;'3) Release_Label'!$E:$E,1,0))),vlookup($A941&amp;$B941,{'3) Release_Label'!$D:$D&amp;'3) Release_Label'!$E:$E,'3) Release_Label'!$F:$F},2,0), or(and(not(isblank($B941)),$B941=$B940,$A941&lt;&gt;$A940),and(not(isblank($A941)),$A941=$A940,$B941&lt;&gt;$B940)),"ID LISTS UNALIGNED",and($A941&lt;&gt;"",countif('3) Release_Label'!$D:$D,$A941)=0),"NO UPC MATCH in Release_Label",and($B941&lt;&gt;"",countif('3) Release_Label'!$E:$E,$B941)=0),"NO CATALOG ID MATCH in Release_Label",iserror(vlookup($A941&amp;$B941,'3) Release_Label'!$D:$D&amp;'3) Release_Label'!$E:$E,1,0)),"NO UPC-CATALOG ID pair MATCH in Release_Label" )</f>
        <v/>
      </c>
      <c r="D941" s="121" t="str">
        <f t="array" ref="D941">ifs(and(isblank($A941),isblank($B941)),"", not(iserror(vlookup($A941&amp;$B941,'3) Release_Label'!$D:$D&amp;'3) Release_Label'!$E:$E,1,0))),vlookup($A941&amp;$B941,{'3) Release_Label'!$D:$D&amp;'3) Release_Label'!$E:$E,'3) Release_Label'!$H:$H},2,0), or(and(not(isblank($B941)),$B941=$B940,$A941&lt;&gt;$A940),and(not(isblank($A941)),$A941=$A940,$B941&lt;&gt;$B940)),"ID LISTS UNALIGNED",and($A941&lt;&gt;"",countif('3) Release_Label'!$D:$D,$A941)=0),"NO UPC MATCH in Release_Label",and($B941&lt;&gt;"",countif('3) Release_Label'!$E:$E,$B941)=0),"NO CATALOG ID MATCH in Release_Label",iserror(vlookup($A941&amp;$B941,'3) Release_Label'!$D:$D&amp;'3) Release_Label'!$E:$E,1,0)),"NO UPC-CATALOG ID pair MATCH in Release_Label" )</f>
        <v/>
      </c>
      <c r="E941" s="141" t="str">
        <f t="shared" si="2"/>
        <v/>
      </c>
      <c r="G941" s="103"/>
      <c r="H941" s="152"/>
      <c r="J941" s="99"/>
      <c r="K941" s="104"/>
      <c r="L941" s="99"/>
      <c r="N941" s="99"/>
      <c r="O941" s="99"/>
      <c r="P941" s="34"/>
    </row>
    <row r="942">
      <c r="A942" s="28"/>
      <c r="B942" s="103"/>
      <c r="C942" s="121" t="str">
        <f t="array" ref="C942">ifs(and(isblank($A942),isblank($B942)),"", not(iserror(vlookup($A942&amp;$B942,'3) Release_Label'!$D:$D&amp;'3) Release_Label'!$E:$E,1,0))),vlookup($A942&amp;$B942,{'3) Release_Label'!$D:$D&amp;'3) Release_Label'!$E:$E,'3) Release_Label'!$F:$F},2,0), or(and(not(isblank($B942)),$B942=$B941,$A942&lt;&gt;$A941),and(not(isblank($A942)),$A942=$A941,$B942&lt;&gt;$B941)),"ID LISTS UNALIGNED",and($A942&lt;&gt;"",countif('3) Release_Label'!$D:$D,$A942)=0),"NO UPC MATCH in Release_Label",and($B942&lt;&gt;"",countif('3) Release_Label'!$E:$E,$B942)=0),"NO CATALOG ID MATCH in Release_Label",iserror(vlookup($A942&amp;$B942,'3) Release_Label'!$D:$D&amp;'3) Release_Label'!$E:$E,1,0)),"NO UPC-CATALOG ID pair MATCH in Release_Label" )</f>
        <v/>
      </c>
      <c r="D942" s="121" t="str">
        <f t="array" ref="D942">ifs(and(isblank($A942),isblank($B942)),"", not(iserror(vlookup($A942&amp;$B942,'3) Release_Label'!$D:$D&amp;'3) Release_Label'!$E:$E,1,0))),vlookup($A942&amp;$B942,{'3) Release_Label'!$D:$D&amp;'3) Release_Label'!$E:$E,'3) Release_Label'!$H:$H},2,0), or(and(not(isblank($B942)),$B942=$B941,$A942&lt;&gt;$A941),and(not(isblank($A942)),$A942=$A941,$B942&lt;&gt;$B941)),"ID LISTS UNALIGNED",and($A942&lt;&gt;"",countif('3) Release_Label'!$D:$D,$A942)=0),"NO UPC MATCH in Release_Label",and($B942&lt;&gt;"",countif('3) Release_Label'!$E:$E,$B942)=0),"NO CATALOG ID MATCH in Release_Label",iserror(vlookup($A942&amp;$B942,'3) Release_Label'!$D:$D&amp;'3) Release_Label'!$E:$E,1,0)),"NO UPC-CATALOG ID pair MATCH in Release_Label" )</f>
        <v/>
      </c>
      <c r="E942" s="141" t="str">
        <f t="shared" si="2"/>
        <v/>
      </c>
      <c r="G942" s="103"/>
      <c r="H942" s="152"/>
      <c r="J942" s="99"/>
      <c r="K942" s="104"/>
      <c r="L942" s="99"/>
      <c r="N942" s="99"/>
      <c r="O942" s="99"/>
      <c r="P942" s="34"/>
    </row>
    <row r="943">
      <c r="A943" s="28"/>
      <c r="B943" s="103"/>
      <c r="C943" s="121" t="str">
        <f t="array" ref="C943">ifs(and(isblank($A943),isblank($B943)),"", not(iserror(vlookup($A943&amp;$B943,'3) Release_Label'!$D:$D&amp;'3) Release_Label'!$E:$E,1,0))),vlookup($A943&amp;$B943,{'3) Release_Label'!$D:$D&amp;'3) Release_Label'!$E:$E,'3) Release_Label'!$F:$F},2,0), or(and(not(isblank($B943)),$B943=$B942,$A943&lt;&gt;$A942),and(not(isblank($A943)),$A943=$A942,$B943&lt;&gt;$B942)),"ID LISTS UNALIGNED",and($A943&lt;&gt;"",countif('3) Release_Label'!$D:$D,$A943)=0),"NO UPC MATCH in Release_Label",and($B943&lt;&gt;"",countif('3) Release_Label'!$E:$E,$B943)=0),"NO CATALOG ID MATCH in Release_Label",iserror(vlookup($A943&amp;$B943,'3) Release_Label'!$D:$D&amp;'3) Release_Label'!$E:$E,1,0)),"NO UPC-CATALOG ID pair MATCH in Release_Label" )</f>
        <v/>
      </c>
      <c r="D943" s="121" t="str">
        <f t="array" ref="D943">ifs(and(isblank($A943),isblank($B943)),"", not(iserror(vlookup($A943&amp;$B943,'3) Release_Label'!$D:$D&amp;'3) Release_Label'!$E:$E,1,0))),vlookup($A943&amp;$B943,{'3) Release_Label'!$D:$D&amp;'3) Release_Label'!$E:$E,'3) Release_Label'!$H:$H},2,0), or(and(not(isblank($B943)),$B943=$B942,$A943&lt;&gt;$A942),and(not(isblank($A943)),$A943=$A942,$B943&lt;&gt;$B942)),"ID LISTS UNALIGNED",and($A943&lt;&gt;"",countif('3) Release_Label'!$D:$D,$A943)=0),"NO UPC MATCH in Release_Label",and($B943&lt;&gt;"",countif('3) Release_Label'!$E:$E,$B943)=0),"NO CATALOG ID MATCH in Release_Label",iserror(vlookup($A943&amp;$B943,'3) Release_Label'!$D:$D&amp;'3) Release_Label'!$E:$E,1,0)),"NO UPC-CATALOG ID pair MATCH in Release_Label" )</f>
        <v/>
      </c>
      <c r="E943" s="141" t="str">
        <f t="shared" si="2"/>
        <v/>
      </c>
      <c r="G943" s="103"/>
      <c r="H943" s="152"/>
      <c r="J943" s="99"/>
      <c r="K943" s="104"/>
      <c r="L943" s="99"/>
      <c r="N943" s="99"/>
      <c r="O943" s="99"/>
      <c r="P943" s="34"/>
    </row>
    <row r="944">
      <c r="A944" s="28"/>
      <c r="B944" s="103"/>
      <c r="C944" s="121" t="str">
        <f t="array" ref="C944">ifs(and(isblank($A944),isblank($B944)),"", not(iserror(vlookup($A944&amp;$B944,'3) Release_Label'!$D:$D&amp;'3) Release_Label'!$E:$E,1,0))),vlookup($A944&amp;$B944,{'3) Release_Label'!$D:$D&amp;'3) Release_Label'!$E:$E,'3) Release_Label'!$F:$F},2,0), or(and(not(isblank($B944)),$B944=$B943,$A944&lt;&gt;$A943),and(not(isblank($A944)),$A944=$A943,$B944&lt;&gt;$B943)),"ID LISTS UNALIGNED",and($A944&lt;&gt;"",countif('3) Release_Label'!$D:$D,$A944)=0),"NO UPC MATCH in Release_Label",and($B944&lt;&gt;"",countif('3) Release_Label'!$E:$E,$B944)=0),"NO CATALOG ID MATCH in Release_Label",iserror(vlookup($A944&amp;$B944,'3) Release_Label'!$D:$D&amp;'3) Release_Label'!$E:$E,1,0)),"NO UPC-CATALOG ID pair MATCH in Release_Label" )</f>
        <v/>
      </c>
      <c r="D944" s="121" t="str">
        <f t="array" ref="D944">ifs(and(isblank($A944),isblank($B944)),"", not(iserror(vlookup($A944&amp;$B944,'3) Release_Label'!$D:$D&amp;'3) Release_Label'!$E:$E,1,0))),vlookup($A944&amp;$B944,{'3) Release_Label'!$D:$D&amp;'3) Release_Label'!$E:$E,'3) Release_Label'!$H:$H},2,0), or(and(not(isblank($B944)),$B944=$B943,$A944&lt;&gt;$A943),and(not(isblank($A944)),$A944=$A943,$B944&lt;&gt;$B943)),"ID LISTS UNALIGNED",and($A944&lt;&gt;"",countif('3) Release_Label'!$D:$D,$A944)=0),"NO UPC MATCH in Release_Label",and($B944&lt;&gt;"",countif('3) Release_Label'!$E:$E,$B944)=0),"NO CATALOG ID MATCH in Release_Label",iserror(vlookup($A944&amp;$B944,'3) Release_Label'!$D:$D&amp;'3) Release_Label'!$E:$E,1,0)),"NO UPC-CATALOG ID pair MATCH in Release_Label" )</f>
        <v/>
      </c>
      <c r="E944" s="141" t="str">
        <f t="shared" si="2"/>
        <v/>
      </c>
      <c r="G944" s="103"/>
      <c r="H944" s="152"/>
      <c r="J944" s="99"/>
      <c r="K944" s="104"/>
      <c r="L944" s="99"/>
      <c r="N944" s="99"/>
      <c r="O944" s="99"/>
      <c r="P944" s="34"/>
    </row>
    <row r="945">
      <c r="A945" s="28"/>
      <c r="B945" s="103"/>
      <c r="C945" s="121" t="str">
        <f t="array" ref="C945">ifs(and(isblank($A945),isblank($B945)),"", not(iserror(vlookup($A945&amp;$B945,'3) Release_Label'!$D:$D&amp;'3) Release_Label'!$E:$E,1,0))),vlookup($A945&amp;$B945,{'3) Release_Label'!$D:$D&amp;'3) Release_Label'!$E:$E,'3) Release_Label'!$F:$F},2,0), or(and(not(isblank($B945)),$B945=$B944,$A945&lt;&gt;$A944),and(not(isblank($A945)),$A945=$A944,$B945&lt;&gt;$B944)),"ID LISTS UNALIGNED",and($A945&lt;&gt;"",countif('3) Release_Label'!$D:$D,$A945)=0),"NO UPC MATCH in Release_Label",and($B945&lt;&gt;"",countif('3) Release_Label'!$E:$E,$B945)=0),"NO CATALOG ID MATCH in Release_Label",iserror(vlookup($A945&amp;$B945,'3) Release_Label'!$D:$D&amp;'3) Release_Label'!$E:$E,1,0)),"NO UPC-CATALOG ID pair MATCH in Release_Label" )</f>
        <v/>
      </c>
      <c r="D945" s="121" t="str">
        <f t="array" ref="D945">ifs(and(isblank($A945),isblank($B945)),"", not(iserror(vlookup($A945&amp;$B945,'3) Release_Label'!$D:$D&amp;'3) Release_Label'!$E:$E,1,0))),vlookup($A945&amp;$B945,{'3) Release_Label'!$D:$D&amp;'3) Release_Label'!$E:$E,'3) Release_Label'!$H:$H},2,0), or(and(not(isblank($B945)),$B945=$B944,$A945&lt;&gt;$A944),and(not(isblank($A945)),$A945=$A944,$B945&lt;&gt;$B944)),"ID LISTS UNALIGNED",and($A945&lt;&gt;"",countif('3) Release_Label'!$D:$D,$A945)=0),"NO UPC MATCH in Release_Label",and($B945&lt;&gt;"",countif('3) Release_Label'!$E:$E,$B945)=0),"NO CATALOG ID MATCH in Release_Label",iserror(vlookup($A945&amp;$B945,'3) Release_Label'!$D:$D&amp;'3) Release_Label'!$E:$E,1,0)),"NO UPC-CATALOG ID pair MATCH in Release_Label" )</f>
        <v/>
      </c>
      <c r="E945" s="141" t="str">
        <f t="shared" si="2"/>
        <v/>
      </c>
      <c r="G945" s="103"/>
      <c r="H945" s="152"/>
      <c r="J945" s="99"/>
      <c r="K945" s="104"/>
      <c r="L945" s="99"/>
      <c r="N945" s="99"/>
      <c r="O945" s="99"/>
      <c r="P945" s="34"/>
    </row>
    <row r="946">
      <c r="A946" s="28"/>
      <c r="B946" s="103"/>
      <c r="C946" s="121" t="str">
        <f t="array" ref="C946">ifs(and(isblank($A946),isblank($B946)),"", not(iserror(vlookup($A946&amp;$B946,'3) Release_Label'!$D:$D&amp;'3) Release_Label'!$E:$E,1,0))),vlookup($A946&amp;$B946,{'3) Release_Label'!$D:$D&amp;'3) Release_Label'!$E:$E,'3) Release_Label'!$F:$F},2,0), or(and(not(isblank($B946)),$B946=$B945,$A946&lt;&gt;$A945),and(not(isblank($A946)),$A946=$A945,$B946&lt;&gt;$B945)),"ID LISTS UNALIGNED",and($A946&lt;&gt;"",countif('3) Release_Label'!$D:$D,$A946)=0),"NO UPC MATCH in Release_Label",and($B946&lt;&gt;"",countif('3) Release_Label'!$E:$E,$B946)=0),"NO CATALOG ID MATCH in Release_Label",iserror(vlookup($A946&amp;$B946,'3) Release_Label'!$D:$D&amp;'3) Release_Label'!$E:$E,1,0)),"NO UPC-CATALOG ID pair MATCH in Release_Label" )</f>
        <v/>
      </c>
      <c r="D946" s="121" t="str">
        <f t="array" ref="D946">ifs(and(isblank($A946),isblank($B946)),"", not(iserror(vlookup($A946&amp;$B946,'3) Release_Label'!$D:$D&amp;'3) Release_Label'!$E:$E,1,0))),vlookup($A946&amp;$B946,{'3) Release_Label'!$D:$D&amp;'3) Release_Label'!$E:$E,'3) Release_Label'!$H:$H},2,0), or(and(not(isblank($B946)),$B946=$B945,$A946&lt;&gt;$A945),and(not(isblank($A946)),$A946=$A945,$B946&lt;&gt;$B945)),"ID LISTS UNALIGNED",and($A946&lt;&gt;"",countif('3) Release_Label'!$D:$D,$A946)=0),"NO UPC MATCH in Release_Label",and($B946&lt;&gt;"",countif('3) Release_Label'!$E:$E,$B946)=0),"NO CATALOG ID MATCH in Release_Label",iserror(vlookup($A946&amp;$B946,'3) Release_Label'!$D:$D&amp;'3) Release_Label'!$E:$E,1,0)),"NO UPC-CATALOG ID pair MATCH in Release_Label" )</f>
        <v/>
      </c>
      <c r="E946" s="141" t="str">
        <f t="shared" si="2"/>
        <v/>
      </c>
      <c r="G946" s="103"/>
      <c r="H946" s="152"/>
      <c r="J946" s="99"/>
      <c r="K946" s="104"/>
      <c r="L946" s="99"/>
      <c r="N946" s="99"/>
      <c r="O946" s="99"/>
      <c r="P946" s="34"/>
    </row>
    <row r="947">
      <c r="A947" s="28"/>
      <c r="B947" s="103"/>
      <c r="C947" s="121" t="str">
        <f t="array" ref="C947">ifs(and(isblank($A947),isblank($B947)),"", not(iserror(vlookup($A947&amp;$B947,'3) Release_Label'!$D:$D&amp;'3) Release_Label'!$E:$E,1,0))),vlookup($A947&amp;$B947,{'3) Release_Label'!$D:$D&amp;'3) Release_Label'!$E:$E,'3) Release_Label'!$F:$F},2,0), or(and(not(isblank($B947)),$B947=$B946,$A947&lt;&gt;$A946),and(not(isblank($A947)),$A947=$A946,$B947&lt;&gt;$B946)),"ID LISTS UNALIGNED",and($A947&lt;&gt;"",countif('3) Release_Label'!$D:$D,$A947)=0),"NO UPC MATCH in Release_Label",and($B947&lt;&gt;"",countif('3) Release_Label'!$E:$E,$B947)=0),"NO CATALOG ID MATCH in Release_Label",iserror(vlookup($A947&amp;$B947,'3) Release_Label'!$D:$D&amp;'3) Release_Label'!$E:$E,1,0)),"NO UPC-CATALOG ID pair MATCH in Release_Label" )</f>
        <v/>
      </c>
      <c r="D947" s="121" t="str">
        <f t="array" ref="D947">ifs(and(isblank($A947),isblank($B947)),"", not(iserror(vlookup($A947&amp;$B947,'3) Release_Label'!$D:$D&amp;'3) Release_Label'!$E:$E,1,0))),vlookup($A947&amp;$B947,{'3) Release_Label'!$D:$D&amp;'3) Release_Label'!$E:$E,'3) Release_Label'!$H:$H},2,0), or(and(not(isblank($B947)),$B947=$B946,$A947&lt;&gt;$A946),and(not(isblank($A947)),$A947=$A946,$B947&lt;&gt;$B946)),"ID LISTS UNALIGNED",and($A947&lt;&gt;"",countif('3) Release_Label'!$D:$D,$A947)=0),"NO UPC MATCH in Release_Label",and($B947&lt;&gt;"",countif('3) Release_Label'!$E:$E,$B947)=0),"NO CATALOG ID MATCH in Release_Label",iserror(vlookup($A947&amp;$B947,'3) Release_Label'!$D:$D&amp;'3) Release_Label'!$E:$E,1,0)),"NO UPC-CATALOG ID pair MATCH in Release_Label" )</f>
        <v/>
      </c>
      <c r="E947" s="141" t="str">
        <f t="shared" si="2"/>
        <v/>
      </c>
      <c r="G947" s="103"/>
      <c r="H947" s="152"/>
      <c r="J947" s="99"/>
      <c r="K947" s="104"/>
      <c r="L947" s="99"/>
      <c r="N947" s="99"/>
      <c r="O947" s="99"/>
      <c r="P947" s="34"/>
    </row>
    <row r="948">
      <c r="A948" s="28"/>
      <c r="B948" s="103"/>
      <c r="C948" s="121" t="str">
        <f t="array" ref="C948">ifs(and(isblank($A948),isblank($B948)),"", not(iserror(vlookup($A948&amp;$B948,'3) Release_Label'!$D:$D&amp;'3) Release_Label'!$E:$E,1,0))),vlookup($A948&amp;$B948,{'3) Release_Label'!$D:$D&amp;'3) Release_Label'!$E:$E,'3) Release_Label'!$F:$F},2,0), or(and(not(isblank($B948)),$B948=$B947,$A948&lt;&gt;$A947),and(not(isblank($A948)),$A948=$A947,$B948&lt;&gt;$B947)),"ID LISTS UNALIGNED",and($A948&lt;&gt;"",countif('3) Release_Label'!$D:$D,$A948)=0),"NO UPC MATCH in Release_Label",and($B948&lt;&gt;"",countif('3) Release_Label'!$E:$E,$B948)=0),"NO CATALOG ID MATCH in Release_Label",iserror(vlookup($A948&amp;$B948,'3) Release_Label'!$D:$D&amp;'3) Release_Label'!$E:$E,1,0)),"NO UPC-CATALOG ID pair MATCH in Release_Label" )</f>
        <v/>
      </c>
      <c r="D948" s="121" t="str">
        <f t="array" ref="D948">ifs(and(isblank($A948),isblank($B948)),"", not(iserror(vlookup($A948&amp;$B948,'3) Release_Label'!$D:$D&amp;'3) Release_Label'!$E:$E,1,0))),vlookup($A948&amp;$B948,{'3) Release_Label'!$D:$D&amp;'3) Release_Label'!$E:$E,'3) Release_Label'!$H:$H},2,0), or(and(not(isblank($B948)),$B948=$B947,$A948&lt;&gt;$A947),and(not(isblank($A948)),$A948=$A947,$B948&lt;&gt;$B947)),"ID LISTS UNALIGNED",and($A948&lt;&gt;"",countif('3) Release_Label'!$D:$D,$A948)=0),"NO UPC MATCH in Release_Label",and($B948&lt;&gt;"",countif('3) Release_Label'!$E:$E,$B948)=0),"NO CATALOG ID MATCH in Release_Label",iserror(vlookup($A948&amp;$B948,'3) Release_Label'!$D:$D&amp;'3) Release_Label'!$E:$E,1,0)),"NO UPC-CATALOG ID pair MATCH in Release_Label" )</f>
        <v/>
      </c>
      <c r="E948" s="141" t="str">
        <f t="shared" si="2"/>
        <v/>
      </c>
      <c r="G948" s="103"/>
      <c r="H948" s="152"/>
      <c r="J948" s="99"/>
      <c r="K948" s="104"/>
      <c r="L948" s="99"/>
      <c r="N948" s="99"/>
      <c r="O948" s="99"/>
      <c r="P948" s="34"/>
    </row>
    <row r="949">
      <c r="A949" s="28"/>
      <c r="B949" s="103"/>
      <c r="C949" s="121" t="str">
        <f t="array" ref="C949">ifs(and(isblank($A949),isblank($B949)),"", not(iserror(vlookup($A949&amp;$B949,'3) Release_Label'!$D:$D&amp;'3) Release_Label'!$E:$E,1,0))),vlookup($A949&amp;$B949,{'3) Release_Label'!$D:$D&amp;'3) Release_Label'!$E:$E,'3) Release_Label'!$F:$F},2,0), or(and(not(isblank($B949)),$B949=$B948,$A949&lt;&gt;$A948),and(not(isblank($A949)),$A949=$A948,$B949&lt;&gt;$B948)),"ID LISTS UNALIGNED",and($A949&lt;&gt;"",countif('3) Release_Label'!$D:$D,$A949)=0),"NO UPC MATCH in Release_Label",and($B949&lt;&gt;"",countif('3) Release_Label'!$E:$E,$B949)=0),"NO CATALOG ID MATCH in Release_Label",iserror(vlookup($A949&amp;$B949,'3) Release_Label'!$D:$D&amp;'3) Release_Label'!$E:$E,1,0)),"NO UPC-CATALOG ID pair MATCH in Release_Label" )</f>
        <v/>
      </c>
      <c r="D949" s="121" t="str">
        <f t="array" ref="D949">ifs(and(isblank($A949),isblank($B949)),"", not(iserror(vlookup($A949&amp;$B949,'3) Release_Label'!$D:$D&amp;'3) Release_Label'!$E:$E,1,0))),vlookup($A949&amp;$B949,{'3) Release_Label'!$D:$D&amp;'3) Release_Label'!$E:$E,'3) Release_Label'!$H:$H},2,0), or(and(not(isblank($B949)),$B949=$B948,$A949&lt;&gt;$A948),and(not(isblank($A949)),$A949=$A948,$B949&lt;&gt;$B948)),"ID LISTS UNALIGNED",and($A949&lt;&gt;"",countif('3) Release_Label'!$D:$D,$A949)=0),"NO UPC MATCH in Release_Label",and($B949&lt;&gt;"",countif('3) Release_Label'!$E:$E,$B949)=0),"NO CATALOG ID MATCH in Release_Label",iserror(vlookup($A949&amp;$B949,'3) Release_Label'!$D:$D&amp;'3) Release_Label'!$E:$E,1,0)),"NO UPC-CATALOG ID pair MATCH in Release_Label" )</f>
        <v/>
      </c>
      <c r="E949" s="141" t="str">
        <f t="shared" si="2"/>
        <v/>
      </c>
      <c r="G949" s="103"/>
      <c r="H949" s="152"/>
      <c r="J949" s="99"/>
      <c r="K949" s="104"/>
      <c r="L949" s="99"/>
      <c r="N949" s="99"/>
      <c r="O949" s="99"/>
      <c r="P949" s="34"/>
    </row>
    <row r="950">
      <c r="A950" s="28"/>
      <c r="B950" s="103"/>
      <c r="C950" s="121" t="str">
        <f t="array" ref="C950">ifs(and(isblank($A950),isblank($B950)),"", not(iserror(vlookup($A950&amp;$B950,'3) Release_Label'!$D:$D&amp;'3) Release_Label'!$E:$E,1,0))),vlookup($A950&amp;$B950,{'3) Release_Label'!$D:$D&amp;'3) Release_Label'!$E:$E,'3) Release_Label'!$F:$F},2,0), or(and(not(isblank($B950)),$B950=$B949,$A950&lt;&gt;$A949),and(not(isblank($A950)),$A950=$A949,$B950&lt;&gt;$B949)),"ID LISTS UNALIGNED",and($A950&lt;&gt;"",countif('3) Release_Label'!$D:$D,$A950)=0),"NO UPC MATCH in Release_Label",and($B950&lt;&gt;"",countif('3) Release_Label'!$E:$E,$B950)=0),"NO CATALOG ID MATCH in Release_Label",iserror(vlookup($A950&amp;$B950,'3) Release_Label'!$D:$D&amp;'3) Release_Label'!$E:$E,1,0)),"NO UPC-CATALOG ID pair MATCH in Release_Label" )</f>
        <v/>
      </c>
      <c r="D950" s="121" t="str">
        <f t="array" ref="D950">ifs(and(isblank($A950),isblank($B950)),"", not(iserror(vlookup($A950&amp;$B950,'3) Release_Label'!$D:$D&amp;'3) Release_Label'!$E:$E,1,0))),vlookup($A950&amp;$B950,{'3) Release_Label'!$D:$D&amp;'3) Release_Label'!$E:$E,'3) Release_Label'!$H:$H},2,0), or(and(not(isblank($B950)),$B950=$B949,$A950&lt;&gt;$A949),and(not(isblank($A950)),$A950=$A949,$B950&lt;&gt;$B949)),"ID LISTS UNALIGNED",and($A950&lt;&gt;"",countif('3) Release_Label'!$D:$D,$A950)=0),"NO UPC MATCH in Release_Label",and($B950&lt;&gt;"",countif('3) Release_Label'!$E:$E,$B950)=0),"NO CATALOG ID MATCH in Release_Label",iserror(vlookup($A950&amp;$B950,'3) Release_Label'!$D:$D&amp;'3) Release_Label'!$E:$E,1,0)),"NO UPC-CATALOG ID pair MATCH in Release_Label" )</f>
        <v/>
      </c>
      <c r="E950" s="141" t="str">
        <f t="shared" si="2"/>
        <v/>
      </c>
      <c r="G950" s="103"/>
      <c r="H950" s="152"/>
      <c r="J950" s="99"/>
      <c r="K950" s="104"/>
      <c r="L950" s="99"/>
      <c r="N950" s="99"/>
      <c r="O950" s="99"/>
      <c r="P950" s="34"/>
    </row>
    <row r="951">
      <c r="A951" s="28"/>
      <c r="B951" s="103"/>
      <c r="C951" s="121" t="str">
        <f t="array" ref="C951">ifs(and(isblank($A951),isblank($B951)),"", not(iserror(vlookup($A951&amp;$B951,'3) Release_Label'!$D:$D&amp;'3) Release_Label'!$E:$E,1,0))),vlookup($A951&amp;$B951,{'3) Release_Label'!$D:$D&amp;'3) Release_Label'!$E:$E,'3) Release_Label'!$F:$F},2,0), or(and(not(isblank($B951)),$B951=$B950,$A951&lt;&gt;$A950),and(not(isblank($A951)),$A951=$A950,$B951&lt;&gt;$B950)),"ID LISTS UNALIGNED",and($A951&lt;&gt;"",countif('3) Release_Label'!$D:$D,$A951)=0),"NO UPC MATCH in Release_Label",and($B951&lt;&gt;"",countif('3) Release_Label'!$E:$E,$B951)=0),"NO CATALOG ID MATCH in Release_Label",iserror(vlookup($A951&amp;$B951,'3) Release_Label'!$D:$D&amp;'3) Release_Label'!$E:$E,1,0)),"NO UPC-CATALOG ID pair MATCH in Release_Label" )</f>
        <v/>
      </c>
      <c r="D951" s="121" t="str">
        <f t="array" ref="D951">ifs(and(isblank($A951),isblank($B951)),"", not(iserror(vlookup($A951&amp;$B951,'3) Release_Label'!$D:$D&amp;'3) Release_Label'!$E:$E,1,0))),vlookup($A951&amp;$B951,{'3) Release_Label'!$D:$D&amp;'3) Release_Label'!$E:$E,'3) Release_Label'!$H:$H},2,0), or(and(not(isblank($B951)),$B951=$B950,$A951&lt;&gt;$A950),and(not(isblank($A951)),$A951=$A950,$B951&lt;&gt;$B950)),"ID LISTS UNALIGNED",and($A951&lt;&gt;"",countif('3) Release_Label'!$D:$D,$A951)=0),"NO UPC MATCH in Release_Label",and($B951&lt;&gt;"",countif('3) Release_Label'!$E:$E,$B951)=0),"NO CATALOG ID MATCH in Release_Label",iserror(vlookup($A951&amp;$B951,'3) Release_Label'!$D:$D&amp;'3) Release_Label'!$E:$E,1,0)),"NO UPC-CATALOG ID pair MATCH in Release_Label" )</f>
        <v/>
      </c>
      <c r="E951" s="141" t="str">
        <f t="shared" si="2"/>
        <v/>
      </c>
      <c r="G951" s="103"/>
      <c r="H951" s="152"/>
      <c r="J951" s="99"/>
      <c r="K951" s="104"/>
      <c r="L951" s="99"/>
      <c r="N951" s="99"/>
      <c r="O951" s="99"/>
      <c r="P951" s="34"/>
    </row>
    <row r="952">
      <c r="A952" s="28"/>
      <c r="B952" s="103"/>
      <c r="C952" s="121" t="str">
        <f t="array" ref="C952">ifs(and(isblank($A952),isblank($B952)),"", not(iserror(vlookup($A952&amp;$B952,'3) Release_Label'!$D:$D&amp;'3) Release_Label'!$E:$E,1,0))),vlookup($A952&amp;$B952,{'3) Release_Label'!$D:$D&amp;'3) Release_Label'!$E:$E,'3) Release_Label'!$F:$F},2,0), or(and(not(isblank($B952)),$B952=$B951,$A952&lt;&gt;$A951),and(not(isblank($A952)),$A952=$A951,$B952&lt;&gt;$B951)),"ID LISTS UNALIGNED",and($A952&lt;&gt;"",countif('3) Release_Label'!$D:$D,$A952)=0),"NO UPC MATCH in Release_Label",and($B952&lt;&gt;"",countif('3) Release_Label'!$E:$E,$B952)=0),"NO CATALOG ID MATCH in Release_Label",iserror(vlookup($A952&amp;$B952,'3) Release_Label'!$D:$D&amp;'3) Release_Label'!$E:$E,1,0)),"NO UPC-CATALOG ID pair MATCH in Release_Label" )</f>
        <v/>
      </c>
      <c r="D952" s="121" t="str">
        <f t="array" ref="D952">ifs(and(isblank($A952),isblank($B952)),"", not(iserror(vlookup($A952&amp;$B952,'3) Release_Label'!$D:$D&amp;'3) Release_Label'!$E:$E,1,0))),vlookup($A952&amp;$B952,{'3) Release_Label'!$D:$D&amp;'3) Release_Label'!$E:$E,'3) Release_Label'!$H:$H},2,0), or(and(not(isblank($B952)),$B952=$B951,$A952&lt;&gt;$A951),and(not(isblank($A952)),$A952=$A951,$B952&lt;&gt;$B951)),"ID LISTS UNALIGNED",and($A952&lt;&gt;"",countif('3) Release_Label'!$D:$D,$A952)=0),"NO UPC MATCH in Release_Label",and($B952&lt;&gt;"",countif('3) Release_Label'!$E:$E,$B952)=0),"NO CATALOG ID MATCH in Release_Label",iserror(vlookup($A952&amp;$B952,'3) Release_Label'!$D:$D&amp;'3) Release_Label'!$E:$E,1,0)),"NO UPC-CATALOG ID pair MATCH in Release_Label" )</f>
        <v/>
      </c>
      <c r="E952" s="141" t="str">
        <f t="shared" si="2"/>
        <v/>
      </c>
      <c r="G952" s="103"/>
      <c r="H952" s="152"/>
      <c r="J952" s="99"/>
      <c r="K952" s="104"/>
      <c r="L952" s="99"/>
      <c r="N952" s="99"/>
      <c r="O952" s="99"/>
      <c r="P952" s="34"/>
    </row>
    <row r="953">
      <c r="A953" s="28"/>
      <c r="B953" s="103"/>
      <c r="C953" s="121" t="str">
        <f t="array" ref="C953">ifs(and(isblank($A953),isblank($B953)),"", not(iserror(vlookup($A953&amp;$B953,'3) Release_Label'!$D:$D&amp;'3) Release_Label'!$E:$E,1,0))),vlookup($A953&amp;$B953,{'3) Release_Label'!$D:$D&amp;'3) Release_Label'!$E:$E,'3) Release_Label'!$F:$F},2,0), or(and(not(isblank($B953)),$B953=$B952,$A953&lt;&gt;$A952),and(not(isblank($A953)),$A953=$A952,$B953&lt;&gt;$B952)),"ID LISTS UNALIGNED",and($A953&lt;&gt;"",countif('3) Release_Label'!$D:$D,$A953)=0),"NO UPC MATCH in Release_Label",and($B953&lt;&gt;"",countif('3) Release_Label'!$E:$E,$B953)=0),"NO CATALOG ID MATCH in Release_Label",iserror(vlookup($A953&amp;$B953,'3) Release_Label'!$D:$D&amp;'3) Release_Label'!$E:$E,1,0)),"NO UPC-CATALOG ID pair MATCH in Release_Label" )</f>
        <v/>
      </c>
      <c r="D953" s="121" t="str">
        <f t="array" ref="D953">ifs(and(isblank($A953),isblank($B953)),"", not(iserror(vlookup($A953&amp;$B953,'3) Release_Label'!$D:$D&amp;'3) Release_Label'!$E:$E,1,0))),vlookup($A953&amp;$B953,{'3) Release_Label'!$D:$D&amp;'3) Release_Label'!$E:$E,'3) Release_Label'!$H:$H},2,0), or(and(not(isblank($B953)),$B953=$B952,$A953&lt;&gt;$A952),and(not(isblank($A953)),$A953=$A952,$B953&lt;&gt;$B952)),"ID LISTS UNALIGNED",and($A953&lt;&gt;"",countif('3) Release_Label'!$D:$D,$A953)=0),"NO UPC MATCH in Release_Label",and($B953&lt;&gt;"",countif('3) Release_Label'!$E:$E,$B953)=0),"NO CATALOG ID MATCH in Release_Label",iserror(vlookup($A953&amp;$B953,'3) Release_Label'!$D:$D&amp;'3) Release_Label'!$E:$E,1,0)),"NO UPC-CATALOG ID pair MATCH in Release_Label" )</f>
        <v/>
      </c>
      <c r="E953" s="141" t="str">
        <f t="shared" si="2"/>
        <v/>
      </c>
      <c r="G953" s="103"/>
      <c r="H953" s="152"/>
      <c r="J953" s="99"/>
      <c r="K953" s="104"/>
      <c r="L953" s="99"/>
      <c r="N953" s="99"/>
      <c r="O953" s="99"/>
      <c r="P953" s="34"/>
    </row>
    <row r="954">
      <c r="A954" s="28"/>
      <c r="B954" s="103"/>
      <c r="C954" s="121" t="str">
        <f t="array" ref="C954">ifs(and(isblank($A954),isblank($B954)),"", not(iserror(vlookup($A954&amp;$B954,'3) Release_Label'!$D:$D&amp;'3) Release_Label'!$E:$E,1,0))),vlookup($A954&amp;$B954,{'3) Release_Label'!$D:$D&amp;'3) Release_Label'!$E:$E,'3) Release_Label'!$F:$F},2,0), or(and(not(isblank($B954)),$B954=$B953,$A954&lt;&gt;$A953),and(not(isblank($A954)),$A954=$A953,$B954&lt;&gt;$B953)),"ID LISTS UNALIGNED",and($A954&lt;&gt;"",countif('3) Release_Label'!$D:$D,$A954)=0),"NO UPC MATCH in Release_Label",and($B954&lt;&gt;"",countif('3) Release_Label'!$E:$E,$B954)=0),"NO CATALOG ID MATCH in Release_Label",iserror(vlookup($A954&amp;$B954,'3) Release_Label'!$D:$D&amp;'3) Release_Label'!$E:$E,1,0)),"NO UPC-CATALOG ID pair MATCH in Release_Label" )</f>
        <v/>
      </c>
      <c r="D954" s="121" t="str">
        <f t="array" ref="D954">ifs(and(isblank($A954),isblank($B954)),"", not(iserror(vlookup($A954&amp;$B954,'3) Release_Label'!$D:$D&amp;'3) Release_Label'!$E:$E,1,0))),vlookup($A954&amp;$B954,{'3) Release_Label'!$D:$D&amp;'3) Release_Label'!$E:$E,'3) Release_Label'!$H:$H},2,0), or(and(not(isblank($B954)),$B954=$B953,$A954&lt;&gt;$A953),and(not(isblank($A954)),$A954=$A953,$B954&lt;&gt;$B953)),"ID LISTS UNALIGNED",and($A954&lt;&gt;"",countif('3) Release_Label'!$D:$D,$A954)=0),"NO UPC MATCH in Release_Label",and($B954&lt;&gt;"",countif('3) Release_Label'!$E:$E,$B954)=0),"NO CATALOG ID MATCH in Release_Label",iserror(vlookup($A954&amp;$B954,'3) Release_Label'!$D:$D&amp;'3) Release_Label'!$E:$E,1,0)),"NO UPC-CATALOG ID pair MATCH in Release_Label" )</f>
        <v/>
      </c>
      <c r="E954" s="141" t="str">
        <f t="shared" si="2"/>
        <v/>
      </c>
      <c r="G954" s="103"/>
      <c r="H954" s="152"/>
      <c r="J954" s="99"/>
      <c r="K954" s="104"/>
      <c r="L954" s="99"/>
      <c r="N954" s="99"/>
      <c r="O954" s="99"/>
      <c r="P954" s="34"/>
    </row>
    <row r="955">
      <c r="A955" s="28"/>
      <c r="B955" s="103"/>
      <c r="C955" s="121" t="str">
        <f t="array" ref="C955">ifs(and(isblank($A955),isblank($B955)),"", not(iserror(vlookup($A955&amp;$B955,'3) Release_Label'!$D:$D&amp;'3) Release_Label'!$E:$E,1,0))),vlookup($A955&amp;$B955,{'3) Release_Label'!$D:$D&amp;'3) Release_Label'!$E:$E,'3) Release_Label'!$F:$F},2,0), or(and(not(isblank($B955)),$B955=$B954,$A955&lt;&gt;$A954),and(not(isblank($A955)),$A955=$A954,$B955&lt;&gt;$B954)),"ID LISTS UNALIGNED",and($A955&lt;&gt;"",countif('3) Release_Label'!$D:$D,$A955)=0),"NO UPC MATCH in Release_Label",and($B955&lt;&gt;"",countif('3) Release_Label'!$E:$E,$B955)=0),"NO CATALOG ID MATCH in Release_Label",iserror(vlookup($A955&amp;$B955,'3) Release_Label'!$D:$D&amp;'3) Release_Label'!$E:$E,1,0)),"NO UPC-CATALOG ID pair MATCH in Release_Label" )</f>
        <v/>
      </c>
      <c r="D955" s="121" t="str">
        <f t="array" ref="D955">ifs(and(isblank($A955),isblank($B955)),"", not(iserror(vlookup($A955&amp;$B955,'3) Release_Label'!$D:$D&amp;'3) Release_Label'!$E:$E,1,0))),vlookup($A955&amp;$B955,{'3) Release_Label'!$D:$D&amp;'3) Release_Label'!$E:$E,'3) Release_Label'!$H:$H},2,0), or(and(not(isblank($B955)),$B955=$B954,$A955&lt;&gt;$A954),and(not(isblank($A955)),$A955=$A954,$B955&lt;&gt;$B954)),"ID LISTS UNALIGNED",and($A955&lt;&gt;"",countif('3) Release_Label'!$D:$D,$A955)=0),"NO UPC MATCH in Release_Label",and($B955&lt;&gt;"",countif('3) Release_Label'!$E:$E,$B955)=0),"NO CATALOG ID MATCH in Release_Label",iserror(vlookup($A955&amp;$B955,'3) Release_Label'!$D:$D&amp;'3) Release_Label'!$E:$E,1,0)),"NO UPC-CATALOG ID pair MATCH in Release_Label" )</f>
        <v/>
      </c>
      <c r="E955" s="141" t="str">
        <f t="shared" si="2"/>
        <v/>
      </c>
      <c r="G955" s="103"/>
      <c r="H955" s="152"/>
      <c r="J955" s="99"/>
      <c r="K955" s="104"/>
      <c r="L955" s="99"/>
      <c r="N955" s="99"/>
      <c r="O955" s="99"/>
      <c r="P955" s="34"/>
    </row>
    <row r="956">
      <c r="A956" s="28"/>
      <c r="B956" s="103"/>
      <c r="C956" s="121" t="str">
        <f t="array" ref="C956">ifs(and(isblank($A956),isblank($B956)),"", not(iserror(vlookup($A956&amp;$B956,'3) Release_Label'!$D:$D&amp;'3) Release_Label'!$E:$E,1,0))),vlookup($A956&amp;$B956,{'3) Release_Label'!$D:$D&amp;'3) Release_Label'!$E:$E,'3) Release_Label'!$F:$F},2,0), or(and(not(isblank($B956)),$B956=$B955,$A956&lt;&gt;$A955),and(not(isblank($A956)),$A956=$A955,$B956&lt;&gt;$B955)),"ID LISTS UNALIGNED",and($A956&lt;&gt;"",countif('3) Release_Label'!$D:$D,$A956)=0),"NO UPC MATCH in Release_Label",and($B956&lt;&gt;"",countif('3) Release_Label'!$E:$E,$B956)=0),"NO CATALOG ID MATCH in Release_Label",iserror(vlookup($A956&amp;$B956,'3) Release_Label'!$D:$D&amp;'3) Release_Label'!$E:$E,1,0)),"NO UPC-CATALOG ID pair MATCH in Release_Label" )</f>
        <v/>
      </c>
      <c r="D956" s="121" t="str">
        <f t="array" ref="D956">ifs(and(isblank($A956),isblank($B956)),"", not(iserror(vlookup($A956&amp;$B956,'3) Release_Label'!$D:$D&amp;'3) Release_Label'!$E:$E,1,0))),vlookup($A956&amp;$B956,{'3) Release_Label'!$D:$D&amp;'3) Release_Label'!$E:$E,'3) Release_Label'!$H:$H},2,0), or(and(not(isblank($B956)),$B956=$B955,$A956&lt;&gt;$A955),and(not(isblank($A956)),$A956=$A955,$B956&lt;&gt;$B955)),"ID LISTS UNALIGNED",and($A956&lt;&gt;"",countif('3) Release_Label'!$D:$D,$A956)=0),"NO UPC MATCH in Release_Label",and($B956&lt;&gt;"",countif('3) Release_Label'!$E:$E,$B956)=0),"NO CATALOG ID MATCH in Release_Label",iserror(vlookup($A956&amp;$B956,'3) Release_Label'!$D:$D&amp;'3) Release_Label'!$E:$E,1,0)),"NO UPC-CATALOG ID pair MATCH in Release_Label" )</f>
        <v/>
      </c>
      <c r="E956" s="141" t="str">
        <f t="shared" si="2"/>
        <v/>
      </c>
      <c r="G956" s="103"/>
      <c r="H956" s="152"/>
      <c r="J956" s="99"/>
      <c r="K956" s="104"/>
      <c r="L956" s="99"/>
      <c r="N956" s="99"/>
      <c r="O956" s="99"/>
      <c r="P956" s="34"/>
    </row>
    <row r="957">
      <c r="A957" s="28"/>
      <c r="B957" s="103"/>
      <c r="C957" s="121" t="str">
        <f t="array" ref="C957">ifs(and(isblank($A957),isblank($B957)),"", not(iserror(vlookup($A957&amp;$B957,'3) Release_Label'!$D:$D&amp;'3) Release_Label'!$E:$E,1,0))),vlookup($A957&amp;$B957,{'3) Release_Label'!$D:$D&amp;'3) Release_Label'!$E:$E,'3) Release_Label'!$F:$F},2,0), or(and(not(isblank($B957)),$B957=$B956,$A957&lt;&gt;$A956),and(not(isblank($A957)),$A957=$A956,$B957&lt;&gt;$B956)),"ID LISTS UNALIGNED",and($A957&lt;&gt;"",countif('3) Release_Label'!$D:$D,$A957)=0),"NO UPC MATCH in Release_Label",and($B957&lt;&gt;"",countif('3) Release_Label'!$E:$E,$B957)=0),"NO CATALOG ID MATCH in Release_Label",iserror(vlookup($A957&amp;$B957,'3) Release_Label'!$D:$D&amp;'3) Release_Label'!$E:$E,1,0)),"NO UPC-CATALOG ID pair MATCH in Release_Label" )</f>
        <v/>
      </c>
      <c r="D957" s="121" t="str">
        <f t="array" ref="D957">ifs(and(isblank($A957),isblank($B957)),"", not(iserror(vlookup($A957&amp;$B957,'3) Release_Label'!$D:$D&amp;'3) Release_Label'!$E:$E,1,0))),vlookup($A957&amp;$B957,{'3) Release_Label'!$D:$D&amp;'3) Release_Label'!$E:$E,'3) Release_Label'!$H:$H},2,0), or(and(not(isblank($B957)),$B957=$B956,$A957&lt;&gt;$A956),and(not(isblank($A957)),$A957=$A956,$B957&lt;&gt;$B956)),"ID LISTS UNALIGNED",and($A957&lt;&gt;"",countif('3) Release_Label'!$D:$D,$A957)=0),"NO UPC MATCH in Release_Label",and($B957&lt;&gt;"",countif('3) Release_Label'!$E:$E,$B957)=0),"NO CATALOG ID MATCH in Release_Label",iserror(vlookup($A957&amp;$B957,'3) Release_Label'!$D:$D&amp;'3) Release_Label'!$E:$E,1,0)),"NO UPC-CATALOG ID pair MATCH in Release_Label" )</f>
        <v/>
      </c>
      <c r="E957" s="141" t="str">
        <f t="shared" si="2"/>
        <v/>
      </c>
      <c r="G957" s="103"/>
      <c r="H957" s="152"/>
      <c r="J957" s="99"/>
      <c r="K957" s="104"/>
      <c r="L957" s="99"/>
      <c r="N957" s="99"/>
      <c r="O957" s="99"/>
      <c r="P957" s="34"/>
    </row>
    <row r="958">
      <c r="A958" s="28"/>
      <c r="B958" s="103"/>
      <c r="C958" s="121" t="str">
        <f t="array" ref="C958">ifs(and(isblank($A958),isblank($B958)),"", not(iserror(vlookup($A958&amp;$B958,'3) Release_Label'!$D:$D&amp;'3) Release_Label'!$E:$E,1,0))),vlookup($A958&amp;$B958,{'3) Release_Label'!$D:$D&amp;'3) Release_Label'!$E:$E,'3) Release_Label'!$F:$F},2,0), or(and(not(isblank($B958)),$B958=$B957,$A958&lt;&gt;$A957),and(not(isblank($A958)),$A958=$A957,$B958&lt;&gt;$B957)),"ID LISTS UNALIGNED",and($A958&lt;&gt;"",countif('3) Release_Label'!$D:$D,$A958)=0),"NO UPC MATCH in Release_Label",and($B958&lt;&gt;"",countif('3) Release_Label'!$E:$E,$B958)=0),"NO CATALOG ID MATCH in Release_Label",iserror(vlookup($A958&amp;$B958,'3) Release_Label'!$D:$D&amp;'3) Release_Label'!$E:$E,1,0)),"NO UPC-CATALOG ID pair MATCH in Release_Label" )</f>
        <v/>
      </c>
      <c r="D958" s="121" t="str">
        <f t="array" ref="D958">ifs(and(isblank($A958),isblank($B958)),"", not(iserror(vlookup($A958&amp;$B958,'3) Release_Label'!$D:$D&amp;'3) Release_Label'!$E:$E,1,0))),vlookup($A958&amp;$B958,{'3) Release_Label'!$D:$D&amp;'3) Release_Label'!$E:$E,'3) Release_Label'!$H:$H},2,0), or(and(not(isblank($B958)),$B958=$B957,$A958&lt;&gt;$A957),and(not(isblank($A958)),$A958=$A957,$B958&lt;&gt;$B957)),"ID LISTS UNALIGNED",and($A958&lt;&gt;"",countif('3) Release_Label'!$D:$D,$A958)=0),"NO UPC MATCH in Release_Label",and($B958&lt;&gt;"",countif('3) Release_Label'!$E:$E,$B958)=0),"NO CATALOG ID MATCH in Release_Label",iserror(vlookup($A958&amp;$B958,'3) Release_Label'!$D:$D&amp;'3) Release_Label'!$E:$E,1,0)),"NO UPC-CATALOG ID pair MATCH in Release_Label" )</f>
        <v/>
      </c>
      <c r="E958" s="141" t="str">
        <f t="shared" si="2"/>
        <v/>
      </c>
      <c r="G958" s="103"/>
      <c r="H958" s="152"/>
      <c r="J958" s="99"/>
      <c r="K958" s="104"/>
      <c r="L958" s="99"/>
      <c r="N958" s="99"/>
      <c r="O958" s="99"/>
      <c r="P958" s="34"/>
    </row>
    <row r="959">
      <c r="A959" s="28"/>
      <c r="B959" s="103"/>
      <c r="C959" s="121" t="str">
        <f t="array" ref="C959">ifs(and(isblank($A959),isblank($B959)),"", not(iserror(vlookup($A959&amp;$B959,'3) Release_Label'!$D:$D&amp;'3) Release_Label'!$E:$E,1,0))),vlookup($A959&amp;$B959,{'3) Release_Label'!$D:$D&amp;'3) Release_Label'!$E:$E,'3) Release_Label'!$F:$F},2,0), or(and(not(isblank($B959)),$B959=$B958,$A959&lt;&gt;$A958),and(not(isblank($A959)),$A959=$A958,$B959&lt;&gt;$B958)),"ID LISTS UNALIGNED",and($A959&lt;&gt;"",countif('3) Release_Label'!$D:$D,$A959)=0),"NO UPC MATCH in Release_Label",and($B959&lt;&gt;"",countif('3) Release_Label'!$E:$E,$B959)=0),"NO CATALOG ID MATCH in Release_Label",iserror(vlookup($A959&amp;$B959,'3) Release_Label'!$D:$D&amp;'3) Release_Label'!$E:$E,1,0)),"NO UPC-CATALOG ID pair MATCH in Release_Label" )</f>
        <v/>
      </c>
      <c r="D959" s="121" t="str">
        <f t="array" ref="D959">ifs(and(isblank($A959),isblank($B959)),"", not(iserror(vlookup($A959&amp;$B959,'3) Release_Label'!$D:$D&amp;'3) Release_Label'!$E:$E,1,0))),vlookup($A959&amp;$B959,{'3) Release_Label'!$D:$D&amp;'3) Release_Label'!$E:$E,'3) Release_Label'!$H:$H},2,0), or(and(not(isblank($B959)),$B959=$B958,$A959&lt;&gt;$A958),and(not(isblank($A959)),$A959=$A958,$B959&lt;&gt;$B958)),"ID LISTS UNALIGNED",and($A959&lt;&gt;"",countif('3) Release_Label'!$D:$D,$A959)=0),"NO UPC MATCH in Release_Label",and($B959&lt;&gt;"",countif('3) Release_Label'!$E:$E,$B959)=0),"NO CATALOG ID MATCH in Release_Label",iserror(vlookup($A959&amp;$B959,'3) Release_Label'!$D:$D&amp;'3) Release_Label'!$E:$E,1,0)),"NO UPC-CATALOG ID pair MATCH in Release_Label" )</f>
        <v/>
      </c>
      <c r="E959" s="141" t="str">
        <f t="shared" si="2"/>
        <v/>
      </c>
      <c r="G959" s="103"/>
      <c r="H959" s="152"/>
      <c r="J959" s="99"/>
      <c r="K959" s="104"/>
      <c r="L959" s="99"/>
      <c r="N959" s="99"/>
      <c r="O959" s="99"/>
      <c r="P959" s="34"/>
    </row>
    <row r="960">
      <c r="A960" s="28"/>
      <c r="B960" s="103"/>
      <c r="C960" s="121" t="str">
        <f t="array" ref="C960">ifs(and(isblank($A960),isblank($B960)),"", not(iserror(vlookup($A960&amp;$B960,'3) Release_Label'!$D:$D&amp;'3) Release_Label'!$E:$E,1,0))),vlookup($A960&amp;$B960,{'3) Release_Label'!$D:$D&amp;'3) Release_Label'!$E:$E,'3) Release_Label'!$F:$F},2,0), or(and(not(isblank($B960)),$B960=$B959,$A960&lt;&gt;$A959),and(not(isblank($A960)),$A960=$A959,$B960&lt;&gt;$B959)),"ID LISTS UNALIGNED",and($A960&lt;&gt;"",countif('3) Release_Label'!$D:$D,$A960)=0),"NO UPC MATCH in Release_Label",and($B960&lt;&gt;"",countif('3) Release_Label'!$E:$E,$B960)=0),"NO CATALOG ID MATCH in Release_Label",iserror(vlookup($A960&amp;$B960,'3) Release_Label'!$D:$D&amp;'3) Release_Label'!$E:$E,1,0)),"NO UPC-CATALOG ID pair MATCH in Release_Label" )</f>
        <v/>
      </c>
      <c r="D960" s="121" t="str">
        <f t="array" ref="D960">ifs(and(isblank($A960),isblank($B960)),"", not(iserror(vlookup($A960&amp;$B960,'3) Release_Label'!$D:$D&amp;'3) Release_Label'!$E:$E,1,0))),vlookup($A960&amp;$B960,{'3) Release_Label'!$D:$D&amp;'3) Release_Label'!$E:$E,'3) Release_Label'!$H:$H},2,0), or(and(not(isblank($B960)),$B960=$B959,$A960&lt;&gt;$A959),and(not(isblank($A960)),$A960=$A959,$B960&lt;&gt;$B959)),"ID LISTS UNALIGNED",and($A960&lt;&gt;"",countif('3) Release_Label'!$D:$D,$A960)=0),"NO UPC MATCH in Release_Label",and($B960&lt;&gt;"",countif('3) Release_Label'!$E:$E,$B960)=0),"NO CATALOG ID MATCH in Release_Label",iserror(vlookup($A960&amp;$B960,'3) Release_Label'!$D:$D&amp;'3) Release_Label'!$E:$E,1,0)),"NO UPC-CATALOG ID pair MATCH in Release_Label" )</f>
        <v/>
      </c>
      <c r="E960" s="141" t="str">
        <f t="shared" si="2"/>
        <v/>
      </c>
      <c r="G960" s="103"/>
      <c r="H960" s="152"/>
      <c r="J960" s="99"/>
      <c r="K960" s="104"/>
      <c r="L960" s="99"/>
      <c r="N960" s="99"/>
      <c r="O960" s="99"/>
      <c r="P960" s="34"/>
    </row>
    <row r="961">
      <c r="A961" s="28"/>
      <c r="B961" s="103"/>
      <c r="C961" s="121" t="str">
        <f t="array" ref="C961">ifs(and(isblank($A961),isblank($B961)),"", not(iserror(vlookup($A961&amp;$B961,'3) Release_Label'!$D:$D&amp;'3) Release_Label'!$E:$E,1,0))),vlookup($A961&amp;$B961,{'3) Release_Label'!$D:$D&amp;'3) Release_Label'!$E:$E,'3) Release_Label'!$F:$F},2,0), or(and(not(isblank($B961)),$B961=$B960,$A961&lt;&gt;$A960),and(not(isblank($A961)),$A961=$A960,$B961&lt;&gt;$B960)),"ID LISTS UNALIGNED",and($A961&lt;&gt;"",countif('3) Release_Label'!$D:$D,$A961)=0),"NO UPC MATCH in Release_Label",and($B961&lt;&gt;"",countif('3) Release_Label'!$E:$E,$B961)=0),"NO CATALOG ID MATCH in Release_Label",iserror(vlookup($A961&amp;$B961,'3) Release_Label'!$D:$D&amp;'3) Release_Label'!$E:$E,1,0)),"NO UPC-CATALOG ID pair MATCH in Release_Label" )</f>
        <v/>
      </c>
      <c r="D961" s="121" t="str">
        <f t="array" ref="D961">ifs(and(isblank($A961),isblank($B961)),"", not(iserror(vlookup($A961&amp;$B961,'3) Release_Label'!$D:$D&amp;'3) Release_Label'!$E:$E,1,0))),vlookup($A961&amp;$B961,{'3) Release_Label'!$D:$D&amp;'3) Release_Label'!$E:$E,'3) Release_Label'!$H:$H},2,0), or(and(not(isblank($B961)),$B961=$B960,$A961&lt;&gt;$A960),and(not(isblank($A961)),$A961=$A960,$B961&lt;&gt;$B960)),"ID LISTS UNALIGNED",and($A961&lt;&gt;"",countif('3) Release_Label'!$D:$D,$A961)=0),"NO UPC MATCH in Release_Label",and($B961&lt;&gt;"",countif('3) Release_Label'!$E:$E,$B961)=0),"NO CATALOG ID MATCH in Release_Label",iserror(vlookup($A961&amp;$B961,'3) Release_Label'!$D:$D&amp;'3) Release_Label'!$E:$E,1,0)),"NO UPC-CATALOG ID pair MATCH in Release_Label" )</f>
        <v/>
      </c>
      <c r="E961" s="141" t="str">
        <f t="shared" si="2"/>
        <v/>
      </c>
      <c r="G961" s="103"/>
      <c r="H961" s="152"/>
      <c r="J961" s="99"/>
      <c r="K961" s="104"/>
      <c r="L961" s="99"/>
      <c r="N961" s="99"/>
      <c r="O961" s="99"/>
      <c r="P961" s="34"/>
    </row>
    <row r="962">
      <c r="A962" s="28"/>
      <c r="B962" s="103"/>
      <c r="C962" s="121" t="str">
        <f t="array" ref="C962">ifs(and(isblank($A962),isblank($B962)),"", not(iserror(vlookup($A962&amp;$B962,'3) Release_Label'!$D:$D&amp;'3) Release_Label'!$E:$E,1,0))),vlookup($A962&amp;$B962,{'3) Release_Label'!$D:$D&amp;'3) Release_Label'!$E:$E,'3) Release_Label'!$F:$F},2,0), or(and(not(isblank($B962)),$B962=$B961,$A962&lt;&gt;$A961),and(not(isblank($A962)),$A962=$A961,$B962&lt;&gt;$B961)),"ID LISTS UNALIGNED",and($A962&lt;&gt;"",countif('3) Release_Label'!$D:$D,$A962)=0),"NO UPC MATCH in Release_Label",and($B962&lt;&gt;"",countif('3) Release_Label'!$E:$E,$B962)=0),"NO CATALOG ID MATCH in Release_Label",iserror(vlookup($A962&amp;$B962,'3) Release_Label'!$D:$D&amp;'3) Release_Label'!$E:$E,1,0)),"NO UPC-CATALOG ID pair MATCH in Release_Label" )</f>
        <v/>
      </c>
      <c r="D962" s="121" t="str">
        <f t="array" ref="D962">ifs(and(isblank($A962),isblank($B962)),"", not(iserror(vlookup($A962&amp;$B962,'3) Release_Label'!$D:$D&amp;'3) Release_Label'!$E:$E,1,0))),vlookup($A962&amp;$B962,{'3) Release_Label'!$D:$D&amp;'3) Release_Label'!$E:$E,'3) Release_Label'!$H:$H},2,0), or(and(not(isblank($B962)),$B962=$B961,$A962&lt;&gt;$A961),and(not(isblank($A962)),$A962=$A961,$B962&lt;&gt;$B961)),"ID LISTS UNALIGNED",and($A962&lt;&gt;"",countif('3) Release_Label'!$D:$D,$A962)=0),"NO UPC MATCH in Release_Label",and($B962&lt;&gt;"",countif('3) Release_Label'!$E:$E,$B962)=0),"NO CATALOG ID MATCH in Release_Label",iserror(vlookup($A962&amp;$B962,'3) Release_Label'!$D:$D&amp;'3) Release_Label'!$E:$E,1,0)),"NO UPC-CATALOG ID pair MATCH in Release_Label" )</f>
        <v/>
      </c>
      <c r="E962" s="141" t="str">
        <f t="shared" si="2"/>
        <v/>
      </c>
      <c r="G962" s="103"/>
      <c r="H962" s="152"/>
      <c r="J962" s="99"/>
      <c r="K962" s="104"/>
      <c r="L962" s="99"/>
      <c r="N962" s="99"/>
      <c r="O962" s="99"/>
      <c r="P962" s="34"/>
    </row>
    <row r="963">
      <c r="A963" s="28"/>
      <c r="B963" s="103"/>
      <c r="C963" s="121" t="str">
        <f t="array" ref="C963">ifs(and(isblank($A963),isblank($B963)),"", not(iserror(vlookup($A963&amp;$B963,'3) Release_Label'!$D:$D&amp;'3) Release_Label'!$E:$E,1,0))),vlookup($A963&amp;$B963,{'3) Release_Label'!$D:$D&amp;'3) Release_Label'!$E:$E,'3) Release_Label'!$F:$F},2,0), or(and(not(isblank($B963)),$B963=$B962,$A963&lt;&gt;$A962),and(not(isblank($A963)),$A963=$A962,$B963&lt;&gt;$B962)),"ID LISTS UNALIGNED",and($A963&lt;&gt;"",countif('3) Release_Label'!$D:$D,$A963)=0),"NO UPC MATCH in Release_Label",and($B963&lt;&gt;"",countif('3) Release_Label'!$E:$E,$B963)=0),"NO CATALOG ID MATCH in Release_Label",iserror(vlookup($A963&amp;$B963,'3) Release_Label'!$D:$D&amp;'3) Release_Label'!$E:$E,1,0)),"NO UPC-CATALOG ID pair MATCH in Release_Label" )</f>
        <v/>
      </c>
      <c r="D963" s="121" t="str">
        <f t="array" ref="D963">ifs(and(isblank($A963),isblank($B963)),"", not(iserror(vlookup($A963&amp;$B963,'3) Release_Label'!$D:$D&amp;'3) Release_Label'!$E:$E,1,0))),vlookup($A963&amp;$B963,{'3) Release_Label'!$D:$D&amp;'3) Release_Label'!$E:$E,'3) Release_Label'!$H:$H},2,0), or(and(not(isblank($B963)),$B963=$B962,$A963&lt;&gt;$A962),and(not(isblank($A963)),$A963=$A962,$B963&lt;&gt;$B962)),"ID LISTS UNALIGNED",and($A963&lt;&gt;"",countif('3) Release_Label'!$D:$D,$A963)=0),"NO UPC MATCH in Release_Label",and($B963&lt;&gt;"",countif('3) Release_Label'!$E:$E,$B963)=0),"NO CATALOG ID MATCH in Release_Label",iserror(vlookup($A963&amp;$B963,'3) Release_Label'!$D:$D&amp;'3) Release_Label'!$E:$E,1,0)),"NO UPC-CATALOG ID pair MATCH in Release_Label" )</f>
        <v/>
      </c>
      <c r="E963" s="141" t="str">
        <f t="shared" si="2"/>
        <v/>
      </c>
      <c r="G963" s="103"/>
      <c r="H963" s="152"/>
      <c r="J963" s="99"/>
      <c r="K963" s="104"/>
      <c r="L963" s="99"/>
      <c r="N963" s="99"/>
      <c r="O963" s="99"/>
      <c r="P963" s="34"/>
    </row>
    <row r="964">
      <c r="A964" s="28"/>
      <c r="B964" s="103"/>
      <c r="C964" s="121" t="str">
        <f t="array" ref="C964">ifs(and(isblank($A964),isblank($B964)),"", not(iserror(vlookup($A964&amp;$B964,'3) Release_Label'!$D:$D&amp;'3) Release_Label'!$E:$E,1,0))),vlookup($A964&amp;$B964,{'3) Release_Label'!$D:$D&amp;'3) Release_Label'!$E:$E,'3) Release_Label'!$F:$F},2,0), or(and(not(isblank($B964)),$B964=$B963,$A964&lt;&gt;$A963),and(not(isblank($A964)),$A964=$A963,$B964&lt;&gt;$B963)),"ID LISTS UNALIGNED",and($A964&lt;&gt;"",countif('3) Release_Label'!$D:$D,$A964)=0),"NO UPC MATCH in Release_Label",and($B964&lt;&gt;"",countif('3) Release_Label'!$E:$E,$B964)=0),"NO CATALOG ID MATCH in Release_Label",iserror(vlookup($A964&amp;$B964,'3) Release_Label'!$D:$D&amp;'3) Release_Label'!$E:$E,1,0)),"NO UPC-CATALOG ID pair MATCH in Release_Label" )</f>
        <v/>
      </c>
      <c r="D964" s="121" t="str">
        <f t="array" ref="D964">ifs(and(isblank($A964),isblank($B964)),"", not(iserror(vlookup($A964&amp;$B964,'3) Release_Label'!$D:$D&amp;'3) Release_Label'!$E:$E,1,0))),vlookup($A964&amp;$B964,{'3) Release_Label'!$D:$D&amp;'3) Release_Label'!$E:$E,'3) Release_Label'!$H:$H},2,0), or(and(not(isblank($B964)),$B964=$B963,$A964&lt;&gt;$A963),and(not(isblank($A964)),$A964=$A963,$B964&lt;&gt;$B963)),"ID LISTS UNALIGNED",and($A964&lt;&gt;"",countif('3) Release_Label'!$D:$D,$A964)=0),"NO UPC MATCH in Release_Label",and($B964&lt;&gt;"",countif('3) Release_Label'!$E:$E,$B964)=0),"NO CATALOG ID MATCH in Release_Label",iserror(vlookup($A964&amp;$B964,'3) Release_Label'!$D:$D&amp;'3) Release_Label'!$E:$E,1,0)),"NO UPC-CATALOG ID pair MATCH in Release_Label" )</f>
        <v/>
      </c>
      <c r="E964" s="141" t="str">
        <f t="shared" si="2"/>
        <v/>
      </c>
      <c r="G964" s="103"/>
      <c r="H964" s="152"/>
      <c r="J964" s="99"/>
      <c r="K964" s="104"/>
      <c r="L964" s="99"/>
      <c r="N964" s="99"/>
      <c r="O964" s="99"/>
      <c r="P964" s="34"/>
    </row>
    <row r="965">
      <c r="A965" s="28"/>
      <c r="B965" s="103"/>
      <c r="C965" s="121" t="str">
        <f t="array" ref="C965">ifs(and(isblank($A965),isblank($B965)),"", not(iserror(vlookup($A965&amp;$B965,'3) Release_Label'!$D:$D&amp;'3) Release_Label'!$E:$E,1,0))),vlookup($A965&amp;$B965,{'3) Release_Label'!$D:$D&amp;'3) Release_Label'!$E:$E,'3) Release_Label'!$F:$F},2,0), or(and(not(isblank($B965)),$B965=$B964,$A965&lt;&gt;$A964),and(not(isblank($A965)),$A965=$A964,$B965&lt;&gt;$B964)),"ID LISTS UNALIGNED",and($A965&lt;&gt;"",countif('3) Release_Label'!$D:$D,$A965)=0),"NO UPC MATCH in Release_Label",and($B965&lt;&gt;"",countif('3) Release_Label'!$E:$E,$B965)=0),"NO CATALOG ID MATCH in Release_Label",iserror(vlookup($A965&amp;$B965,'3) Release_Label'!$D:$D&amp;'3) Release_Label'!$E:$E,1,0)),"NO UPC-CATALOG ID pair MATCH in Release_Label" )</f>
        <v/>
      </c>
      <c r="D965" s="121" t="str">
        <f t="array" ref="D965">ifs(and(isblank($A965),isblank($B965)),"", not(iserror(vlookup($A965&amp;$B965,'3) Release_Label'!$D:$D&amp;'3) Release_Label'!$E:$E,1,0))),vlookup($A965&amp;$B965,{'3) Release_Label'!$D:$D&amp;'3) Release_Label'!$E:$E,'3) Release_Label'!$H:$H},2,0), or(and(not(isblank($B965)),$B965=$B964,$A965&lt;&gt;$A964),and(not(isblank($A965)),$A965=$A964,$B965&lt;&gt;$B964)),"ID LISTS UNALIGNED",and($A965&lt;&gt;"",countif('3) Release_Label'!$D:$D,$A965)=0),"NO UPC MATCH in Release_Label",and($B965&lt;&gt;"",countif('3) Release_Label'!$E:$E,$B965)=0),"NO CATALOG ID MATCH in Release_Label",iserror(vlookup($A965&amp;$B965,'3) Release_Label'!$D:$D&amp;'3) Release_Label'!$E:$E,1,0)),"NO UPC-CATALOG ID pair MATCH in Release_Label" )</f>
        <v/>
      </c>
      <c r="E965" s="141" t="str">
        <f t="shared" si="2"/>
        <v/>
      </c>
      <c r="G965" s="103"/>
      <c r="H965" s="152"/>
      <c r="J965" s="99"/>
      <c r="K965" s="104"/>
      <c r="L965" s="99"/>
      <c r="N965" s="99"/>
      <c r="O965" s="99"/>
      <c r="P965" s="34"/>
    </row>
    <row r="966">
      <c r="A966" s="28"/>
      <c r="B966" s="103"/>
      <c r="C966" s="121" t="str">
        <f t="array" ref="C966">ifs(and(isblank($A966),isblank($B966)),"", not(iserror(vlookup($A966&amp;$B966,'3) Release_Label'!$D:$D&amp;'3) Release_Label'!$E:$E,1,0))),vlookup($A966&amp;$B966,{'3) Release_Label'!$D:$D&amp;'3) Release_Label'!$E:$E,'3) Release_Label'!$F:$F},2,0), or(and(not(isblank($B966)),$B966=$B965,$A966&lt;&gt;$A965),and(not(isblank($A966)),$A966=$A965,$B966&lt;&gt;$B965)),"ID LISTS UNALIGNED",and($A966&lt;&gt;"",countif('3) Release_Label'!$D:$D,$A966)=0),"NO UPC MATCH in Release_Label",and($B966&lt;&gt;"",countif('3) Release_Label'!$E:$E,$B966)=0),"NO CATALOG ID MATCH in Release_Label",iserror(vlookup($A966&amp;$B966,'3) Release_Label'!$D:$D&amp;'3) Release_Label'!$E:$E,1,0)),"NO UPC-CATALOG ID pair MATCH in Release_Label" )</f>
        <v/>
      </c>
      <c r="D966" s="121" t="str">
        <f t="array" ref="D966">ifs(and(isblank($A966),isblank($B966)),"", not(iserror(vlookup($A966&amp;$B966,'3) Release_Label'!$D:$D&amp;'3) Release_Label'!$E:$E,1,0))),vlookup($A966&amp;$B966,{'3) Release_Label'!$D:$D&amp;'3) Release_Label'!$E:$E,'3) Release_Label'!$H:$H},2,0), or(and(not(isblank($B966)),$B966=$B965,$A966&lt;&gt;$A965),and(not(isblank($A966)),$A966=$A965,$B966&lt;&gt;$B965)),"ID LISTS UNALIGNED",and($A966&lt;&gt;"",countif('3) Release_Label'!$D:$D,$A966)=0),"NO UPC MATCH in Release_Label",and($B966&lt;&gt;"",countif('3) Release_Label'!$E:$E,$B966)=0),"NO CATALOG ID MATCH in Release_Label",iserror(vlookup($A966&amp;$B966,'3) Release_Label'!$D:$D&amp;'3) Release_Label'!$E:$E,1,0)),"NO UPC-CATALOG ID pair MATCH in Release_Label" )</f>
        <v/>
      </c>
      <c r="E966" s="141" t="str">
        <f t="shared" si="2"/>
        <v/>
      </c>
      <c r="G966" s="103"/>
      <c r="H966" s="152"/>
      <c r="J966" s="99"/>
      <c r="K966" s="104"/>
      <c r="L966" s="99"/>
      <c r="N966" s="99"/>
      <c r="O966" s="99"/>
      <c r="P966" s="34"/>
    </row>
    <row r="967">
      <c r="A967" s="28"/>
      <c r="B967" s="103"/>
      <c r="C967" s="121" t="str">
        <f t="array" ref="C967">ifs(and(isblank($A967),isblank($B967)),"", not(iserror(vlookup($A967&amp;$B967,'3) Release_Label'!$D:$D&amp;'3) Release_Label'!$E:$E,1,0))),vlookup($A967&amp;$B967,{'3) Release_Label'!$D:$D&amp;'3) Release_Label'!$E:$E,'3) Release_Label'!$F:$F},2,0), or(and(not(isblank($B967)),$B967=$B966,$A967&lt;&gt;$A966),and(not(isblank($A967)),$A967=$A966,$B967&lt;&gt;$B966)),"ID LISTS UNALIGNED",and($A967&lt;&gt;"",countif('3) Release_Label'!$D:$D,$A967)=0),"NO UPC MATCH in Release_Label",and($B967&lt;&gt;"",countif('3) Release_Label'!$E:$E,$B967)=0),"NO CATALOG ID MATCH in Release_Label",iserror(vlookup($A967&amp;$B967,'3) Release_Label'!$D:$D&amp;'3) Release_Label'!$E:$E,1,0)),"NO UPC-CATALOG ID pair MATCH in Release_Label" )</f>
        <v/>
      </c>
      <c r="D967" s="121" t="str">
        <f t="array" ref="D967">ifs(and(isblank($A967),isblank($B967)),"", not(iserror(vlookup($A967&amp;$B967,'3) Release_Label'!$D:$D&amp;'3) Release_Label'!$E:$E,1,0))),vlookup($A967&amp;$B967,{'3) Release_Label'!$D:$D&amp;'3) Release_Label'!$E:$E,'3) Release_Label'!$H:$H},2,0), or(and(not(isblank($B967)),$B967=$B966,$A967&lt;&gt;$A966),and(not(isblank($A967)),$A967=$A966,$B967&lt;&gt;$B966)),"ID LISTS UNALIGNED",and($A967&lt;&gt;"",countif('3) Release_Label'!$D:$D,$A967)=0),"NO UPC MATCH in Release_Label",and($B967&lt;&gt;"",countif('3) Release_Label'!$E:$E,$B967)=0),"NO CATALOG ID MATCH in Release_Label",iserror(vlookup($A967&amp;$B967,'3) Release_Label'!$D:$D&amp;'3) Release_Label'!$E:$E,1,0)),"NO UPC-CATALOG ID pair MATCH in Release_Label" )</f>
        <v/>
      </c>
      <c r="E967" s="141" t="str">
        <f t="shared" si="2"/>
        <v/>
      </c>
      <c r="G967" s="103"/>
      <c r="H967" s="152"/>
      <c r="J967" s="99"/>
      <c r="K967" s="104"/>
      <c r="L967" s="99"/>
      <c r="N967" s="99"/>
      <c r="O967" s="99"/>
      <c r="P967" s="34"/>
    </row>
    <row r="968">
      <c r="A968" s="28"/>
      <c r="B968" s="103"/>
      <c r="C968" s="121" t="str">
        <f t="array" ref="C968">ifs(and(isblank($A968),isblank($B968)),"", not(iserror(vlookup($A968&amp;$B968,'3) Release_Label'!$D:$D&amp;'3) Release_Label'!$E:$E,1,0))),vlookup($A968&amp;$B968,{'3) Release_Label'!$D:$D&amp;'3) Release_Label'!$E:$E,'3) Release_Label'!$F:$F},2,0), or(and(not(isblank($B968)),$B968=$B967,$A968&lt;&gt;$A967),and(not(isblank($A968)),$A968=$A967,$B968&lt;&gt;$B967)),"ID LISTS UNALIGNED",and($A968&lt;&gt;"",countif('3) Release_Label'!$D:$D,$A968)=0),"NO UPC MATCH in Release_Label",and($B968&lt;&gt;"",countif('3) Release_Label'!$E:$E,$B968)=0),"NO CATALOG ID MATCH in Release_Label",iserror(vlookup($A968&amp;$B968,'3) Release_Label'!$D:$D&amp;'3) Release_Label'!$E:$E,1,0)),"NO UPC-CATALOG ID pair MATCH in Release_Label" )</f>
        <v/>
      </c>
      <c r="D968" s="121" t="str">
        <f t="array" ref="D968">ifs(and(isblank($A968),isblank($B968)),"", not(iserror(vlookup($A968&amp;$B968,'3) Release_Label'!$D:$D&amp;'3) Release_Label'!$E:$E,1,0))),vlookup($A968&amp;$B968,{'3) Release_Label'!$D:$D&amp;'3) Release_Label'!$E:$E,'3) Release_Label'!$H:$H},2,0), or(and(not(isblank($B968)),$B968=$B967,$A968&lt;&gt;$A967),and(not(isblank($A968)),$A968=$A967,$B968&lt;&gt;$B967)),"ID LISTS UNALIGNED",and($A968&lt;&gt;"",countif('3) Release_Label'!$D:$D,$A968)=0),"NO UPC MATCH in Release_Label",and($B968&lt;&gt;"",countif('3) Release_Label'!$E:$E,$B968)=0),"NO CATALOG ID MATCH in Release_Label",iserror(vlookup($A968&amp;$B968,'3) Release_Label'!$D:$D&amp;'3) Release_Label'!$E:$E,1,0)),"NO UPC-CATALOG ID pair MATCH in Release_Label" )</f>
        <v/>
      </c>
      <c r="E968" s="141" t="str">
        <f t="shared" si="2"/>
        <v/>
      </c>
      <c r="G968" s="103"/>
      <c r="H968" s="152"/>
      <c r="J968" s="99"/>
      <c r="K968" s="104"/>
      <c r="L968" s="99"/>
      <c r="N968" s="99"/>
      <c r="O968" s="99"/>
      <c r="P968" s="34"/>
    </row>
    <row r="969">
      <c r="A969" s="28"/>
      <c r="B969" s="103"/>
      <c r="C969" s="121" t="str">
        <f t="array" ref="C969">ifs(and(isblank($A969),isblank($B969)),"", not(iserror(vlookup($A969&amp;$B969,'3) Release_Label'!$D:$D&amp;'3) Release_Label'!$E:$E,1,0))),vlookup($A969&amp;$B969,{'3) Release_Label'!$D:$D&amp;'3) Release_Label'!$E:$E,'3) Release_Label'!$F:$F},2,0), or(and(not(isblank($B969)),$B969=$B968,$A969&lt;&gt;$A968),and(not(isblank($A969)),$A969=$A968,$B969&lt;&gt;$B968)),"ID LISTS UNALIGNED",and($A969&lt;&gt;"",countif('3) Release_Label'!$D:$D,$A969)=0),"NO UPC MATCH in Release_Label",and($B969&lt;&gt;"",countif('3) Release_Label'!$E:$E,$B969)=0),"NO CATALOG ID MATCH in Release_Label",iserror(vlookup($A969&amp;$B969,'3) Release_Label'!$D:$D&amp;'3) Release_Label'!$E:$E,1,0)),"NO UPC-CATALOG ID pair MATCH in Release_Label" )</f>
        <v/>
      </c>
      <c r="D969" s="121" t="str">
        <f t="array" ref="D969">ifs(and(isblank($A969),isblank($B969)),"", not(iserror(vlookup($A969&amp;$B969,'3) Release_Label'!$D:$D&amp;'3) Release_Label'!$E:$E,1,0))),vlookup($A969&amp;$B969,{'3) Release_Label'!$D:$D&amp;'3) Release_Label'!$E:$E,'3) Release_Label'!$H:$H},2,0), or(and(not(isblank($B969)),$B969=$B968,$A969&lt;&gt;$A968),and(not(isblank($A969)),$A969=$A968,$B969&lt;&gt;$B968)),"ID LISTS UNALIGNED",and($A969&lt;&gt;"",countif('3) Release_Label'!$D:$D,$A969)=0),"NO UPC MATCH in Release_Label",and($B969&lt;&gt;"",countif('3) Release_Label'!$E:$E,$B969)=0),"NO CATALOG ID MATCH in Release_Label",iserror(vlookup($A969&amp;$B969,'3) Release_Label'!$D:$D&amp;'3) Release_Label'!$E:$E,1,0)),"NO UPC-CATALOG ID pair MATCH in Release_Label" )</f>
        <v/>
      </c>
      <c r="E969" s="141" t="str">
        <f t="shared" si="2"/>
        <v/>
      </c>
      <c r="G969" s="103"/>
      <c r="H969" s="152"/>
      <c r="J969" s="99"/>
      <c r="K969" s="104"/>
      <c r="L969" s="99"/>
      <c r="N969" s="99"/>
      <c r="O969" s="99"/>
      <c r="P969" s="34"/>
    </row>
    <row r="970">
      <c r="A970" s="28"/>
      <c r="B970" s="103"/>
      <c r="C970" s="121" t="str">
        <f t="array" ref="C970">ifs(and(isblank($A970),isblank($B970)),"", not(iserror(vlookup($A970&amp;$B970,'3) Release_Label'!$D:$D&amp;'3) Release_Label'!$E:$E,1,0))),vlookup($A970&amp;$B970,{'3) Release_Label'!$D:$D&amp;'3) Release_Label'!$E:$E,'3) Release_Label'!$F:$F},2,0), or(and(not(isblank($B970)),$B970=$B969,$A970&lt;&gt;$A969),and(not(isblank($A970)),$A970=$A969,$B970&lt;&gt;$B969)),"ID LISTS UNALIGNED",and($A970&lt;&gt;"",countif('3) Release_Label'!$D:$D,$A970)=0),"NO UPC MATCH in Release_Label",and($B970&lt;&gt;"",countif('3) Release_Label'!$E:$E,$B970)=0),"NO CATALOG ID MATCH in Release_Label",iserror(vlookup($A970&amp;$B970,'3) Release_Label'!$D:$D&amp;'3) Release_Label'!$E:$E,1,0)),"NO UPC-CATALOG ID pair MATCH in Release_Label" )</f>
        <v/>
      </c>
      <c r="D970" s="121" t="str">
        <f t="array" ref="D970">ifs(and(isblank($A970),isblank($B970)),"", not(iserror(vlookup($A970&amp;$B970,'3) Release_Label'!$D:$D&amp;'3) Release_Label'!$E:$E,1,0))),vlookup($A970&amp;$B970,{'3) Release_Label'!$D:$D&amp;'3) Release_Label'!$E:$E,'3) Release_Label'!$H:$H},2,0), or(and(not(isblank($B970)),$B970=$B969,$A970&lt;&gt;$A969),and(not(isblank($A970)),$A970=$A969,$B970&lt;&gt;$B969)),"ID LISTS UNALIGNED",and($A970&lt;&gt;"",countif('3) Release_Label'!$D:$D,$A970)=0),"NO UPC MATCH in Release_Label",and($B970&lt;&gt;"",countif('3) Release_Label'!$E:$E,$B970)=0),"NO CATALOG ID MATCH in Release_Label",iserror(vlookup($A970&amp;$B970,'3) Release_Label'!$D:$D&amp;'3) Release_Label'!$E:$E,1,0)),"NO UPC-CATALOG ID pair MATCH in Release_Label" )</f>
        <v/>
      </c>
      <c r="E970" s="141" t="str">
        <f t="shared" si="2"/>
        <v/>
      </c>
      <c r="G970" s="103"/>
      <c r="H970" s="152"/>
      <c r="J970" s="99"/>
      <c r="K970" s="104"/>
      <c r="L970" s="99"/>
      <c r="N970" s="99"/>
      <c r="O970" s="99"/>
      <c r="P970" s="34"/>
    </row>
    <row r="971">
      <c r="A971" s="28"/>
      <c r="B971" s="103"/>
      <c r="C971" s="121" t="str">
        <f t="array" ref="C971">ifs(and(isblank($A971),isblank($B971)),"", not(iserror(vlookup($A971&amp;$B971,'3) Release_Label'!$D:$D&amp;'3) Release_Label'!$E:$E,1,0))),vlookup($A971&amp;$B971,{'3) Release_Label'!$D:$D&amp;'3) Release_Label'!$E:$E,'3) Release_Label'!$F:$F},2,0), or(and(not(isblank($B971)),$B971=$B970,$A971&lt;&gt;$A970),and(not(isblank($A971)),$A971=$A970,$B971&lt;&gt;$B970)),"ID LISTS UNALIGNED",and($A971&lt;&gt;"",countif('3) Release_Label'!$D:$D,$A971)=0),"NO UPC MATCH in Release_Label",and($B971&lt;&gt;"",countif('3) Release_Label'!$E:$E,$B971)=0),"NO CATALOG ID MATCH in Release_Label",iserror(vlookup($A971&amp;$B971,'3) Release_Label'!$D:$D&amp;'3) Release_Label'!$E:$E,1,0)),"NO UPC-CATALOG ID pair MATCH in Release_Label" )</f>
        <v/>
      </c>
      <c r="D971" s="121" t="str">
        <f t="array" ref="D971">ifs(and(isblank($A971),isblank($B971)),"", not(iserror(vlookup($A971&amp;$B971,'3) Release_Label'!$D:$D&amp;'3) Release_Label'!$E:$E,1,0))),vlookup($A971&amp;$B971,{'3) Release_Label'!$D:$D&amp;'3) Release_Label'!$E:$E,'3) Release_Label'!$H:$H},2,0), or(and(not(isblank($B971)),$B971=$B970,$A971&lt;&gt;$A970),and(not(isblank($A971)),$A971=$A970,$B971&lt;&gt;$B970)),"ID LISTS UNALIGNED",and($A971&lt;&gt;"",countif('3) Release_Label'!$D:$D,$A971)=0),"NO UPC MATCH in Release_Label",and($B971&lt;&gt;"",countif('3) Release_Label'!$E:$E,$B971)=0),"NO CATALOG ID MATCH in Release_Label",iserror(vlookup($A971&amp;$B971,'3) Release_Label'!$D:$D&amp;'3) Release_Label'!$E:$E,1,0)),"NO UPC-CATALOG ID pair MATCH in Release_Label" )</f>
        <v/>
      </c>
      <c r="E971" s="141" t="str">
        <f t="shared" si="2"/>
        <v/>
      </c>
      <c r="G971" s="103"/>
      <c r="H971" s="152"/>
      <c r="J971" s="99"/>
      <c r="K971" s="104"/>
      <c r="L971" s="99"/>
      <c r="N971" s="99"/>
      <c r="O971" s="99"/>
      <c r="P971" s="34"/>
    </row>
    <row r="972">
      <c r="A972" s="28"/>
      <c r="B972" s="103"/>
      <c r="C972" s="121" t="str">
        <f t="array" ref="C972">ifs(and(isblank($A972),isblank($B972)),"", not(iserror(vlookup($A972&amp;$B972,'3) Release_Label'!$D:$D&amp;'3) Release_Label'!$E:$E,1,0))),vlookup($A972&amp;$B972,{'3) Release_Label'!$D:$D&amp;'3) Release_Label'!$E:$E,'3) Release_Label'!$F:$F},2,0), or(and(not(isblank($B972)),$B972=$B971,$A972&lt;&gt;$A971),and(not(isblank($A972)),$A972=$A971,$B972&lt;&gt;$B971)),"ID LISTS UNALIGNED",and($A972&lt;&gt;"",countif('3) Release_Label'!$D:$D,$A972)=0),"NO UPC MATCH in Release_Label",and($B972&lt;&gt;"",countif('3) Release_Label'!$E:$E,$B972)=0),"NO CATALOG ID MATCH in Release_Label",iserror(vlookup($A972&amp;$B972,'3) Release_Label'!$D:$D&amp;'3) Release_Label'!$E:$E,1,0)),"NO UPC-CATALOG ID pair MATCH in Release_Label" )</f>
        <v/>
      </c>
      <c r="D972" s="121" t="str">
        <f t="array" ref="D972">ifs(and(isblank($A972),isblank($B972)),"", not(iserror(vlookup($A972&amp;$B972,'3) Release_Label'!$D:$D&amp;'3) Release_Label'!$E:$E,1,0))),vlookup($A972&amp;$B972,{'3) Release_Label'!$D:$D&amp;'3) Release_Label'!$E:$E,'3) Release_Label'!$H:$H},2,0), or(and(not(isblank($B972)),$B972=$B971,$A972&lt;&gt;$A971),and(not(isblank($A972)),$A972=$A971,$B972&lt;&gt;$B971)),"ID LISTS UNALIGNED",and($A972&lt;&gt;"",countif('3) Release_Label'!$D:$D,$A972)=0),"NO UPC MATCH in Release_Label",and($B972&lt;&gt;"",countif('3) Release_Label'!$E:$E,$B972)=0),"NO CATALOG ID MATCH in Release_Label",iserror(vlookup($A972&amp;$B972,'3) Release_Label'!$D:$D&amp;'3) Release_Label'!$E:$E,1,0)),"NO UPC-CATALOG ID pair MATCH in Release_Label" )</f>
        <v/>
      </c>
      <c r="E972" s="141" t="str">
        <f t="shared" si="2"/>
        <v/>
      </c>
      <c r="G972" s="103"/>
      <c r="H972" s="152"/>
      <c r="J972" s="99"/>
      <c r="K972" s="104"/>
      <c r="L972" s="99"/>
      <c r="N972" s="99"/>
      <c r="O972" s="99"/>
      <c r="P972" s="34"/>
    </row>
    <row r="973">
      <c r="A973" s="28"/>
      <c r="B973" s="103"/>
      <c r="C973" s="121" t="str">
        <f t="array" ref="C973">ifs(and(isblank($A973),isblank($B973)),"", not(iserror(vlookup($A973&amp;$B973,'3) Release_Label'!$D:$D&amp;'3) Release_Label'!$E:$E,1,0))),vlookup($A973&amp;$B973,{'3) Release_Label'!$D:$D&amp;'3) Release_Label'!$E:$E,'3) Release_Label'!$F:$F},2,0), or(and(not(isblank($B973)),$B973=$B972,$A973&lt;&gt;$A972),and(not(isblank($A973)),$A973=$A972,$B973&lt;&gt;$B972)),"ID LISTS UNALIGNED",and($A973&lt;&gt;"",countif('3) Release_Label'!$D:$D,$A973)=0),"NO UPC MATCH in Release_Label",and($B973&lt;&gt;"",countif('3) Release_Label'!$E:$E,$B973)=0),"NO CATALOG ID MATCH in Release_Label",iserror(vlookup($A973&amp;$B973,'3) Release_Label'!$D:$D&amp;'3) Release_Label'!$E:$E,1,0)),"NO UPC-CATALOG ID pair MATCH in Release_Label" )</f>
        <v/>
      </c>
      <c r="D973" s="121" t="str">
        <f t="array" ref="D973">ifs(and(isblank($A973),isblank($B973)),"", not(iserror(vlookup($A973&amp;$B973,'3) Release_Label'!$D:$D&amp;'3) Release_Label'!$E:$E,1,0))),vlookup($A973&amp;$B973,{'3) Release_Label'!$D:$D&amp;'3) Release_Label'!$E:$E,'3) Release_Label'!$H:$H},2,0), or(and(not(isblank($B973)),$B973=$B972,$A973&lt;&gt;$A972),and(not(isblank($A973)),$A973=$A972,$B973&lt;&gt;$B972)),"ID LISTS UNALIGNED",and($A973&lt;&gt;"",countif('3) Release_Label'!$D:$D,$A973)=0),"NO UPC MATCH in Release_Label",and($B973&lt;&gt;"",countif('3) Release_Label'!$E:$E,$B973)=0),"NO CATALOG ID MATCH in Release_Label",iserror(vlookup($A973&amp;$B973,'3) Release_Label'!$D:$D&amp;'3) Release_Label'!$E:$E,1,0)),"NO UPC-CATALOG ID pair MATCH in Release_Label" )</f>
        <v/>
      </c>
      <c r="E973" s="141" t="str">
        <f t="shared" si="2"/>
        <v/>
      </c>
      <c r="G973" s="103"/>
      <c r="H973" s="152"/>
      <c r="J973" s="99"/>
      <c r="K973" s="104"/>
      <c r="L973" s="99"/>
      <c r="N973" s="99"/>
      <c r="O973" s="99"/>
      <c r="P973" s="34"/>
    </row>
    <row r="974">
      <c r="A974" s="28"/>
      <c r="B974" s="103"/>
      <c r="C974" s="121" t="str">
        <f t="array" ref="C974">ifs(and(isblank($A974),isblank($B974)),"", not(iserror(vlookup($A974&amp;$B974,'3) Release_Label'!$D:$D&amp;'3) Release_Label'!$E:$E,1,0))),vlookup($A974&amp;$B974,{'3) Release_Label'!$D:$D&amp;'3) Release_Label'!$E:$E,'3) Release_Label'!$F:$F},2,0), or(and(not(isblank($B974)),$B974=$B973,$A974&lt;&gt;$A973),and(not(isblank($A974)),$A974=$A973,$B974&lt;&gt;$B973)),"ID LISTS UNALIGNED",and($A974&lt;&gt;"",countif('3) Release_Label'!$D:$D,$A974)=0),"NO UPC MATCH in Release_Label",and($B974&lt;&gt;"",countif('3) Release_Label'!$E:$E,$B974)=0),"NO CATALOG ID MATCH in Release_Label",iserror(vlookup($A974&amp;$B974,'3) Release_Label'!$D:$D&amp;'3) Release_Label'!$E:$E,1,0)),"NO UPC-CATALOG ID pair MATCH in Release_Label" )</f>
        <v/>
      </c>
      <c r="D974" s="121" t="str">
        <f t="array" ref="D974">ifs(and(isblank($A974),isblank($B974)),"", not(iserror(vlookup($A974&amp;$B974,'3) Release_Label'!$D:$D&amp;'3) Release_Label'!$E:$E,1,0))),vlookup($A974&amp;$B974,{'3) Release_Label'!$D:$D&amp;'3) Release_Label'!$E:$E,'3) Release_Label'!$H:$H},2,0), or(and(not(isblank($B974)),$B974=$B973,$A974&lt;&gt;$A973),and(not(isblank($A974)),$A974=$A973,$B974&lt;&gt;$B973)),"ID LISTS UNALIGNED",and($A974&lt;&gt;"",countif('3) Release_Label'!$D:$D,$A974)=0),"NO UPC MATCH in Release_Label",and($B974&lt;&gt;"",countif('3) Release_Label'!$E:$E,$B974)=0),"NO CATALOG ID MATCH in Release_Label",iserror(vlookup($A974&amp;$B974,'3) Release_Label'!$D:$D&amp;'3) Release_Label'!$E:$E,1,0)),"NO UPC-CATALOG ID pair MATCH in Release_Label" )</f>
        <v/>
      </c>
      <c r="E974" s="141" t="str">
        <f t="shared" si="2"/>
        <v/>
      </c>
      <c r="G974" s="103"/>
      <c r="H974" s="152"/>
      <c r="J974" s="99"/>
      <c r="K974" s="104"/>
      <c r="L974" s="99"/>
      <c r="N974" s="99"/>
      <c r="O974" s="99"/>
      <c r="P974" s="34"/>
    </row>
    <row r="975">
      <c r="A975" s="28"/>
      <c r="B975" s="103"/>
      <c r="C975" s="121" t="str">
        <f t="array" ref="C975">ifs(and(isblank($A975),isblank($B975)),"", not(iserror(vlookup($A975&amp;$B975,'3) Release_Label'!$D:$D&amp;'3) Release_Label'!$E:$E,1,0))),vlookup($A975&amp;$B975,{'3) Release_Label'!$D:$D&amp;'3) Release_Label'!$E:$E,'3) Release_Label'!$F:$F},2,0), or(and(not(isblank($B975)),$B975=$B974,$A975&lt;&gt;$A974),and(not(isblank($A975)),$A975=$A974,$B975&lt;&gt;$B974)),"ID LISTS UNALIGNED",and($A975&lt;&gt;"",countif('3) Release_Label'!$D:$D,$A975)=0),"NO UPC MATCH in Release_Label",and($B975&lt;&gt;"",countif('3) Release_Label'!$E:$E,$B975)=0),"NO CATALOG ID MATCH in Release_Label",iserror(vlookup($A975&amp;$B975,'3) Release_Label'!$D:$D&amp;'3) Release_Label'!$E:$E,1,0)),"NO UPC-CATALOG ID pair MATCH in Release_Label" )</f>
        <v/>
      </c>
      <c r="D975" s="121" t="str">
        <f t="array" ref="D975">ifs(and(isblank($A975),isblank($B975)),"", not(iserror(vlookup($A975&amp;$B975,'3) Release_Label'!$D:$D&amp;'3) Release_Label'!$E:$E,1,0))),vlookup($A975&amp;$B975,{'3) Release_Label'!$D:$D&amp;'3) Release_Label'!$E:$E,'3) Release_Label'!$H:$H},2,0), or(and(not(isblank($B975)),$B975=$B974,$A975&lt;&gt;$A974),and(not(isblank($A975)),$A975=$A974,$B975&lt;&gt;$B974)),"ID LISTS UNALIGNED",and($A975&lt;&gt;"",countif('3) Release_Label'!$D:$D,$A975)=0),"NO UPC MATCH in Release_Label",and($B975&lt;&gt;"",countif('3) Release_Label'!$E:$E,$B975)=0),"NO CATALOG ID MATCH in Release_Label",iserror(vlookup($A975&amp;$B975,'3) Release_Label'!$D:$D&amp;'3) Release_Label'!$E:$E,1,0)),"NO UPC-CATALOG ID pair MATCH in Release_Label" )</f>
        <v/>
      </c>
      <c r="E975" s="141" t="str">
        <f t="shared" si="2"/>
        <v/>
      </c>
      <c r="G975" s="103"/>
      <c r="H975" s="152"/>
      <c r="J975" s="99"/>
      <c r="K975" s="104"/>
      <c r="L975" s="99"/>
      <c r="N975" s="99"/>
      <c r="O975" s="99"/>
      <c r="P975" s="34"/>
    </row>
    <row r="976">
      <c r="A976" s="28"/>
      <c r="B976" s="103"/>
      <c r="C976" s="121" t="str">
        <f t="array" ref="C976">ifs(and(isblank($A976),isblank($B976)),"", not(iserror(vlookup($A976&amp;$B976,'3) Release_Label'!$D:$D&amp;'3) Release_Label'!$E:$E,1,0))),vlookup($A976&amp;$B976,{'3) Release_Label'!$D:$D&amp;'3) Release_Label'!$E:$E,'3) Release_Label'!$F:$F},2,0), or(and(not(isblank($B976)),$B976=$B975,$A976&lt;&gt;$A975),and(not(isblank($A976)),$A976=$A975,$B976&lt;&gt;$B975)),"ID LISTS UNALIGNED",and($A976&lt;&gt;"",countif('3) Release_Label'!$D:$D,$A976)=0),"NO UPC MATCH in Release_Label",and($B976&lt;&gt;"",countif('3) Release_Label'!$E:$E,$B976)=0),"NO CATALOG ID MATCH in Release_Label",iserror(vlookup($A976&amp;$B976,'3) Release_Label'!$D:$D&amp;'3) Release_Label'!$E:$E,1,0)),"NO UPC-CATALOG ID pair MATCH in Release_Label" )</f>
        <v/>
      </c>
      <c r="D976" s="121" t="str">
        <f t="array" ref="D976">ifs(and(isblank($A976),isblank($B976)),"", not(iserror(vlookup($A976&amp;$B976,'3) Release_Label'!$D:$D&amp;'3) Release_Label'!$E:$E,1,0))),vlookup($A976&amp;$B976,{'3) Release_Label'!$D:$D&amp;'3) Release_Label'!$E:$E,'3) Release_Label'!$H:$H},2,0), or(and(not(isblank($B976)),$B976=$B975,$A976&lt;&gt;$A975),and(not(isblank($A976)),$A976=$A975,$B976&lt;&gt;$B975)),"ID LISTS UNALIGNED",and($A976&lt;&gt;"",countif('3) Release_Label'!$D:$D,$A976)=0),"NO UPC MATCH in Release_Label",and($B976&lt;&gt;"",countif('3) Release_Label'!$E:$E,$B976)=0),"NO CATALOG ID MATCH in Release_Label",iserror(vlookup($A976&amp;$B976,'3) Release_Label'!$D:$D&amp;'3) Release_Label'!$E:$E,1,0)),"NO UPC-CATALOG ID pair MATCH in Release_Label" )</f>
        <v/>
      </c>
      <c r="E976" s="141" t="str">
        <f t="shared" si="2"/>
        <v/>
      </c>
      <c r="G976" s="103"/>
      <c r="H976" s="152"/>
      <c r="J976" s="99"/>
      <c r="K976" s="104"/>
      <c r="L976" s="99"/>
      <c r="N976" s="99"/>
      <c r="O976" s="99"/>
      <c r="P976" s="34"/>
    </row>
    <row r="977">
      <c r="A977" s="28"/>
      <c r="B977" s="103"/>
      <c r="C977" s="121" t="str">
        <f t="array" ref="C977">ifs(and(isblank($A977),isblank($B977)),"", not(iserror(vlookup($A977&amp;$B977,'3) Release_Label'!$D:$D&amp;'3) Release_Label'!$E:$E,1,0))),vlookup($A977&amp;$B977,{'3) Release_Label'!$D:$D&amp;'3) Release_Label'!$E:$E,'3) Release_Label'!$F:$F},2,0), or(and(not(isblank($B977)),$B977=$B976,$A977&lt;&gt;$A976),and(not(isblank($A977)),$A977=$A976,$B977&lt;&gt;$B976)),"ID LISTS UNALIGNED",and($A977&lt;&gt;"",countif('3) Release_Label'!$D:$D,$A977)=0),"NO UPC MATCH in Release_Label",and($B977&lt;&gt;"",countif('3) Release_Label'!$E:$E,$B977)=0),"NO CATALOG ID MATCH in Release_Label",iserror(vlookup($A977&amp;$B977,'3) Release_Label'!$D:$D&amp;'3) Release_Label'!$E:$E,1,0)),"NO UPC-CATALOG ID pair MATCH in Release_Label" )</f>
        <v/>
      </c>
      <c r="D977" s="121" t="str">
        <f t="array" ref="D977">ifs(and(isblank($A977),isblank($B977)),"", not(iserror(vlookup($A977&amp;$B977,'3) Release_Label'!$D:$D&amp;'3) Release_Label'!$E:$E,1,0))),vlookup($A977&amp;$B977,{'3) Release_Label'!$D:$D&amp;'3) Release_Label'!$E:$E,'3) Release_Label'!$H:$H},2,0), or(and(not(isblank($B977)),$B977=$B976,$A977&lt;&gt;$A976),and(not(isblank($A977)),$A977=$A976,$B977&lt;&gt;$B976)),"ID LISTS UNALIGNED",and($A977&lt;&gt;"",countif('3) Release_Label'!$D:$D,$A977)=0),"NO UPC MATCH in Release_Label",and($B977&lt;&gt;"",countif('3) Release_Label'!$E:$E,$B977)=0),"NO CATALOG ID MATCH in Release_Label",iserror(vlookup($A977&amp;$B977,'3) Release_Label'!$D:$D&amp;'3) Release_Label'!$E:$E,1,0)),"NO UPC-CATALOG ID pair MATCH in Release_Label" )</f>
        <v/>
      </c>
      <c r="E977" s="141" t="str">
        <f t="shared" si="2"/>
        <v/>
      </c>
      <c r="G977" s="103"/>
      <c r="H977" s="152"/>
      <c r="J977" s="99"/>
      <c r="K977" s="104"/>
      <c r="L977" s="99"/>
      <c r="N977" s="99"/>
      <c r="O977" s="99"/>
      <c r="P977" s="34"/>
    </row>
    <row r="978">
      <c r="A978" s="28"/>
      <c r="B978" s="103"/>
      <c r="C978" s="121" t="str">
        <f t="array" ref="C978">ifs(and(isblank($A978),isblank($B978)),"", not(iserror(vlookup($A978&amp;$B978,'3) Release_Label'!$D:$D&amp;'3) Release_Label'!$E:$E,1,0))),vlookup($A978&amp;$B978,{'3) Release_Label'!$D:$D&amp;'3) Release_Label'!$E:$E,'3) Release_Label'!$F:$F},2,0), or(and(not(isblank($B978)),$B978=$B977,$A978&lt;&gt;$A977),and(not(isblank($A978)),$A978=$A977,$B978&lt;&gt;$B977)),"ID LISTS UNALIGNED",and($A978&lt;&gt;"",countif('3) Release_Label'!$D:$D,$A978)=0),"NO UPC MATCH in Release_Label",and($B978&lt;&gt;"",countif('3) Release_Label'!$E:$E,$B978)=0),"NO CATALOG ID MATCH in Release_Label",iserror(vlookup($A978&amp;$B978,'3) Release_Label'!$D:$D&amp;'3) Release_Label'!$E:$E,1,0)),"NO UPC-CATALOG ID pair MATCH in Release_Label" )</f>
        <v/>
      </c>
      <c r="D978" s="121" t="str">
        <f t="array" ref="D978">ifs(and(isblank($A978),isblank($B978)),"", not(iserror(vlookup($A978&amp;$B978,'3) Release_Label'!$D:$D&amp;'3) Release_Label'!$E:$E,1,0))),vlookup($A978&amp;$B978,{'3) Release_Label'!$D:$D&amp;'3) Release_Label'!$E:$E,'3) Release_Label'!$H:$H},2,0), or(and(not(isblank($B978)),$B978=$B977,$A978&lt;&gt;$A977),and(not(isblank($A978)),$A978=$A977,$B978&lt;&gt;$B977)),"ID LISTS UNALIGNED",and($A978&lt;&gt;"",countif('3) Release_Label'!$D:$D,$A978)=0),"NO UPC MATCH in Release_Label",and($B978&lt;&gt;"",countif('3) Release_Label'!$E:$E,$B978)=0),"NO CATALOG ID MATCH in Release_Label",iserror(vlookup($A978&amp;$B978,'3) Release_Label'!$D:$D&amp;'3) Release_Label'!$E:$E,1,0)),"NO UPC-CATALOG ID pair MATCH in Release_Label" )</f>
        <v/>
      </c>
      <c r="E978" s="141" t="str">
        <f t="shared" si="2"/>
        <v/>
      </c>
      <c r="G978" s="103"/>
      <c r="H978" s="152"/>
      <c r="J978" s="99"/>
      <c r="K978" s="104"/>
      <c r="L978" s="99"/>
      <c r="N978" s="99"/>
      <c r="O978" s="99"/>
      <c r="P978" s="34"/>
    </row>
    <row r="979">
      <c r="A979" s="28"/>
      <c r="B979" s="103"/>
      <c r="C979" s="121" t="str">
        <f t="array" ref="C979">ifs(and(isblank($A979),isblank($B979)),"", not(iserror(vlookup($A979&amp;$B979,'3) Release_Label'!$D:$D&amp;'3) Release_Label'!$E:$E,1,0))),vlookup($A979&amp;$B979,{'3) Release_Label'!$D:$D&amp;'3) Release_Label'!$E:$E,'3) Release_Label'!$F:$F},2,0), or(and(not(isblank($B979)),$B979=$B978,$A979&lt;&gt;$A978),and(not(isblank($A979)),$A979=$A978,$B979&lt;&gt;$B978)),"ID LISTS UNALIGNED",and($A979&lt;&gt;"",countif('3) Release_Label'!$D:$D,$A979)=0),"NO UPC MATCH in Release_Label",and($B979&lt;&gt;"",countif('3) Release_Label'!$E:$E,$B979)=0),"NO CATALOG ID MATCH in Release_Label",iserror(vlookup($A979&amp;$B979,'3) Release_Label'!$D:$D&amp;'3) Release_Label'!$E:$E,1,0)),"NO UPC-CATALOG ID pair MATCH in Release_Label" )</f>
        <v/>
      </c>
      <c r="D979" s="121" t="str">
        <f t="array" ref="D979">ifs(and(isblank($A979),isblank($B979)),"", not(iserror(vlookup($A979&amp;$B979,'3) Release_Label'!$D:$D&amp;'3) Release_Label'!$E:$E,1,0))),vlookup($A979&amp;$B979,{'3) Release_Label'!$D:$D&amp;'3) Release_Label'!$E:$E,'3) Release_Label'!$H:$H},2,0), or(and(not(isblank($B979)),$B979=$B978,$A979&lt;&gt;$A978),and(not(isblank($A979)),$A979=$A978,$B979&lt;&gt;$B978)),"ID LISTS UNALIGNED",and($A979&lt;&gt;"",countif('3) Release_Label'!$D:$D,$A979)=0),"NO UPC MATCH in Release_Label",and($B979&lt;&gt;"",countif('3) Release_Label'!$E:$E,$B979)=0),"NO CATALOG ID MATCH in Release_Label",iserror(vlookup($A979&amp;$B979,'3) Release_Label'!$D:$D&amp;'3) Release_Label'!$E:$E,1,0)),"NO UPC-CATALOG ID pair MATCH in Release_Label" )</f>
        <v/>
      </c>
      <c r="E979" s="141" t="str">
        <f t="shared" si="2"/>
        <v/>
      </c>
      <c r="G979" s="103"/>
      <c r="H979" s="152"/>
      <c r="J979" s="99"/>
      <c r="K979" s="104"/>
      <c r="L979" s="99"/>
      <c r="N979" s="99"/>
      <c r="O979" s="99"/>
      <c r="P979" s="34"/>
    </row>
    <row r="980">
      <c r="A980" s="28"/>
      <c r="B980" s="103"/>
      <c r="C980" s="121" t="str">
        <f t="array" ref="C980">ifs(and(isblank($A980),isblank($B980)),"", not(iserror(vlookup($A980&amp;$B980,'3) Release_Label'!$D:$D&amp;'3) Release_Label'!$E:$E,1,0))),vlookup($A980&amp;$B980,{'3) Release_Label'!$D:$D&amp;'3) Release_Label'!$E:$E,'3) Release_Label'!$F:$F},2,0), or(and(not(isblank($B980)),$B980=$B979,$A980&lt;&gt;$A979),and(not(isblank($A980)),$A980=$A979,$B980&lt;&gt;$B979)),"ID LISTS UNALIGNED",and($A980&lt;&gt;"",countif('3) Release_Label'!$D:$D,$A980)=0),"NO UPC MATCH in Release_Label",and($B980&lt;&gt;"",countif('3) Release_Label'!$E:$E,$B980)=0),"NO CATALOG ID MATCH in Release_Label",iserror(vlookup($A980&amp;$B980,'3) Release_Label'!$D:$D&amp;'3) Release_Label'!$E:$E,1,0)),"NO UPC-CATALOG ID pair MATCH in Release_Label" )</f>
        <v/>
      </c>
      <c r="D980" s="121" t="str">
        <f t="array" ref="D980">ifs(and(isblank($A980),isblank($B980)),"", not(iserror(vlookup($A980&amp;$B980,'3) Release_Label'!$D:$D&amp;'3) Release_Label'!$E:$E,1,0))),vlookup($A980&amp;$B980,{'3) Release_Label'!$D:$D&amp;'3) Release_Label'!$E:$E,'3) Release_Label'!$H:$H},2,0), or(and(not(isblank($B980)),$B980=$B979,$A980&lt;&gt;$A979),and(not(isblank($A980)),$A980=$A979,$B980&lt;&gt;$B979)),"ID LISTS UNALIGNED",and($A980&lt;&gt;"",countif('3) Release_Label'!$D:$D,$A980)=0),"NO UPC MATCH in Release_Label",and($B980&lt;&gt;"",countif('3) Release_Label'!$E:$E,$B980)=0),"NO CATALOG ID MATCH in Release_Label",iserror(vlookup($A980&amp;$B980,'3) Release_Label'!$D:$D&amp;'3) Release_Label'!$E:$E,1,0)),"NO UPC-CATALOG ID pair MATCH in Release_Label" )</f>
        <v/>
      </c>
      <c r="E980" s="141" t="str">
        <f t="shared" si="2"/>
        <v/>
      </c>
      <c r="G980" s="103"/>
      <c r="H980" s="152"/>
      <c r="J980" s="99"/>
      <c r="K980" s="104"/>
      <c r="L980" s="99"/>
      <c r="N980" s="99"/>
      <c r="O980" s="99"/>
      <c r="P980" s="34"/>
    </row>
    <row r="981">
      <c r="A981" s="28"/>
      <c r="B981" s="103"/>
      <c r="C981" s="121" t="str">
        <f t="array" ref="C981">ifs(and(isblank($A981),isblank($B981)),"", not(iserror(vlookup($A981&amp;$B981,'3) Release_Label'!$D:$D&amp;'3) Release_Label'!$E:$E,1,0))),vlookup($A981&amp;$B981,{'3) Release_Label'!$D:$D&amp;'3) Release_Label'!$E:$E,'3) Release_Label'!$F:$F},2,0), or(and(not(isblank($B981)),$B981=$B980,$A981&lt;&gt;$A980),and(not(isblank($A981)),$A981=$A980,$B981&lt;&gt;$B980)),"ID LISTS UNALIGNED",and($A981&lt;&gt;"",countif('3) Release_Label'!$D:$D,$A981)=0),"NO UPC MATCH in Release_Label",and($B981&lt;&gt;"",countif('3) Release_Label'!$E:$E,$B981)=0),"NO CATALOG ID MATCH in Release_Label",iserror(vlookup($A981&amp;$B981,'3) Release_Label'!$D:$D&amp;'3) Release_Label'!$E:$E,1,0)),"NO UPC-CATALOG ID pair MATCH in Release_Label" )</f>
        <v/>
      </c>
      <c r="D981" s="121" t="str">
        <f t="array" ref="D981">ifs(and(isblank($A981),isblank($B981)),"", not(iserror(vlookup($A981&amp;$B981,'3) Release_Label'!$D:$D&amp;'3) Release_Label'!$E:$E,1,0))),vlookup($A981&amp;$B981,{'3) Release_Label'!$D:$D&amp;'3) Release_Label'!$E:$E,'3) Release_Label'!$H:$H},2,0), or(and(not(isblank($B981)),$B981=$B980,$A981&lt;&gt;$A980),and(not(isblank($A981)),$A981=$A980,$B981&lt;&gt;$B980)),"ID LISTS UNALIGNED",and($A981&lt;&gt;"",countif('3) Release_Label'!$D:$D,$A981)=0),"NO UPC MATCH in Release_Label",and($B981&lt;&gt;"",countif('3) Release_Label'!$E:$E,$B981)=0),"NO CATALOG ID MATCH in Release_Label",iserror(vlookup($A981&amp;$B981,'3) Release_Label'!$D:$D&amp;'3) Release_Label'!$E:$E,1,0)),"NO UPC-CATALOG ID pair MATCH in Release_Label" )</f>
        <v/>
      </c>
      <c r="E981" s="141" t="str">
        <f t="shared" si="2"/>
        <v/>
      </c>
      <c r="G981" s="103"/>
      <c r="H981" s="152"/>
      <c r="J981" s="99"/>
      <c r="K981" s="104"/>
      <c r="L981" s="99"/>
      <c r="N981" s="99"/>
      <c r="O981" s="99"/>
      <c r="P981" s="34"/>
    </row>
    <row r="982">
      <c r="A982" s="28"/>
      <c r="B982" s="103"/>
      <c r="C982" s="121" t="str">
        <f t="array" ref="C982">ifs(and(isblank($A982),isblank($B982)),"", not(iserror(vlookup($A982&amp;$B982,'3) Release_Label'!$D:$D&amp;'3) Release_Label'!$E:$E,1,0))),vlookup($A982&amp;$B982,{'3) Release_Label'!$D:$D&amp;'3) Release_Label'!$E:$E,'3) Release_Label'!$F:$F},2,0), or(and(not(isblank($B982)),$B982=$B981,$A982&lt;&gt;$A981),and(not(isblank($A982)),$A982=$A981,$B982&lt;&gt;$B981)),"ID LISTS UNALIGNED",and($A982&lt;&gt;"",countif('3) Release_Label'!$D:$D,$A982)=0),"NO UPC MATCH in Release_Label",and($B982&lt;&gt;"",countif('3) Release_Label'!$E:$E,$B982)=0),"NO CATALOG ID MATCH in Release_Label",iserror(vlookup($A982&amp;$B982,'3) Release_Label'!$D:$D&amp;'3) Release_Label'!$E:$E,1,0)),"NO UPC-CATALOG ID pair MATCH in Release_Label" )</f>
        <v/>
      </c>
      <c r="D982" s="121" t="str">
        <f t="array" ref="D982">ifs(and(isblank($A982),isblank($B982)),"", not(iserror(vlookup($A982&amp;$B982,'3) Release_Label'!$D:$D&amp;'3) Release_Label'!$E:$E,1,0))),vlookup($A982&amp;$B982,{'3) Release_Label'!$D:$D&amp;'3) Release_Label'!$E:$E,'3) Release_Label'!$H:$H},2,0), or(and(not(isblank($B982)),$B982=$B981,$A982&lt;&gt;$A981),and(not(isblank($A982)),$A982=$A981,$B982&lt;&gt;$B981)),"ID LISTS UNALIGNED",and($A982&lt;&gt;"",countif('3) Release_Label'!$D:$D,$A982)=0),"NO UPC MATCH in Release_Label",and($B982&lt;&gt;"",countif('3) Release_Label'!$E:$E,$B982)=0),"NO CATALOG ID MATCH in Release_Label",iserror(vlookup($A982&amp;$B982,'3) Release_Label'!$D:$D&amp;'3) Release_Label'!$E:$E,1,0)),"NO UPC-CATALOG ID pair MATCH in Release_Label" )</f>
        <v/>
      </c>
      <c r="E982" s="141" t="str">
        <f t="shared" si="2"/>
        <v/>
      </c>
      <c r="G982" s="103"/>
      <c r="H982" s="152"/>
      <c r="J982" s="99"/>
      <c r="K982" s="104"/>
      <c r="L982" s="99"/>
      <c r="N982" s="99"/>
      <c r="O982" s="99"/>
      <c r="P982" s="34"/>
    </row>
    <row r="983">
      <c r="A983" s="28"/>
      <c r="B983" s="103"/>
      <c r="C983" s="121" t="str">
        <f t="array" ref="C983">ifs(and(isblank($A983),isblank($B983)),"", not(iserror(vlookup($A983&amp;$B983,'3) Release_Label'!$D:$D&amp;'3) Release_Label'!$E:$E,1,0))),vlookup($A983&amp;$B983,{'3) Release_Label'!$D:$D&amp;'3) Release_Label'!$E:$E,'3) Release_Label'!$F:$F},2,0), or(and(not(isblank($B983)),$B983=$B982,$A983&lt;&gt;$A982),and(not(isblank($A983)),$A983=$A982,$B983&lt;&gt;$B982)),"ID LISTS UNALIGNED",and($A983&lt;&gt;"",countif('3) Release_Label'!$D:$D,$A983)=0),"NO UPC MATCH in Release_Label",and($B983&lt;&gt;"",countif('3) Release_Label'!$E:$E,$B983)=0),"NO CATALOG ID MATCH in Release_Label",iserror(vlookup($A983&amp;$B983,'3) Release_Label'!$D:$D&amp;'3) Release_Label'!$E:$E,1,0)),"NO UPC-CATALOG ID pair MATCH in Release_Label" )</f>
        <v/>
      </c>
      <c r="D983" s="121" t="str">
        <f t="array" ref="D983">ifs(and(isblank($A983),isblank($B983)),"", not(iserror(vlookup($A983&amp;$B983,'3) Release_Label'!$D:$D&amp;'3) Release_Label'!$E:$E,1,0))),vlookup($A983&amp;$B983,{'3) Release_Label'!$D:$D&amp;'3) Release_Label'!$E:$E,'3) Release_Label'!$H:$H},2,0), or(and(not(isblank($B983)),$B983=$B982,$A983&lt;&gt;$A982),and(not(isblank($A983)),$A983=$A982,$B983&lt;&gt;$B982)),"ID LISTS UNALIGNED",and($A983&lt;&gt;"",countif('3) Release_Label'!$D:$D,$A983)=0),"NO UPC MATCH in Release_Label",and($B983&lt;&gt;"",countif('3) Release_Label'!$E:$E,$B983)=0),"NO CATALOG ID MATCH in Release_Label",iserror(vlookup($A983&amp;$B983,'3) Release_Label'!$D:$D&amp;'3) Release_Label'!$E:$E,1,0)),"NO UPC-CATALOG ID pair MATCH in Release_Label" )</f>
        <v/>
      </c>
      <c r="E983" s="141" t="str">
        <f t="shared" si="2"/>
        <v/>
      </c>
      <c r="G983" s="103"/>
      <c r="H983" s="152"/>
      <c r="J983" s="99"/>
      <c r="K983" s="104"/>
      <c r="L983" s="99"/>
      <c r="N983" s="99"/>
      <c r="O983" s="99"/>
      <c r="P983" s="34"/>
    </row>
    <row r="984">
      <c r="A984" s="28"/>
      <c r="B984" s="103"/>
      <c r="C984" s="121" t="str">
        <f t="array" ref="C984">ifs(and(isblank($A984),isblank($B984)),"", not(iserror(vlookup($A984&amp;$B984,'3) Release_Label'!$D:$D&amp;'3) Release_Label'!$E:$E,1,0))),vlookup($A984&amp;$B984,{'3) Release_Label'!$D:$D&amp;'3) Release_Label'!$E:$E,'3) Release_Label'!$F:$F},2,0), or(and(not(isblank($B984)),$B984=$B983,$A984&lt;&gt;$A983),and(not(isblank($A984)),$A984=$A983,$B984&lt;&gt;$B983)),"ID LISTS UNALIGNED",and($A984&lt;&gt;"",countif('3) Release_Label'!$D:$D,$A984)=0),"NO UPC MATCH in Release_Label",and($B984&lt;&gt;"",countif('3) Release_Label'!$E:$E,$B984)=0),"NO CATALOG ID MATCH in Release_Label",iserror(vlookup($A984&amp;$B984,'3) Release_Label'!$D:$D&amp;'3) Release_Label'!$E:$E,1,0)),"NO UPC-CATALOG ID pair MATCH in Release_Label" )</f>
        <v/>
      </c>
      <c r="D984" s="121" t="str">
        <f t="array" ref="D984">ifs(and(isblank($A984),isblank($B984)),"", not(iserror(vlookup($A984&amp;$B984,'3) Release_Label'!$D:$D&amp;'3) Release_Label'!$E:$E,1,0))),vlookup($A984&amp;$B984,{'3) Release_Label'!$D:$D&amp;'3) Release_Label'!$E:$E,'3) Release_Label'!$H:$H},2,0), or(and(not(isblank($B984)),$B984=$B983,$A984&lt;&gt;$A983),and(not(isblank($A984)),$A984=$A983,$B984&lt;&gt;$B983)),"ID LISTS UNALIGNED",and($A984&lt;&gt;"",countif('3) Release_Label'!$D:$D,$A984)=0),"NO UPC MATCH in Release_Label",and($B984&lt;&gt;"",countif('3) Release_Label'!$E:$E,$B984)=0),"NO CATALOG ID MATCH in Release_Label",iserror(vlookup($A984&amp;$B984,'3) Release_Label'!$D:$D&amp;'3) Release_Label'!$E:$E,1,0)),"NO UPC-CATALOG ID pair MATCH in Release_Label" )</f>
        <v/>
      </c>
      <c r="E984" s="141" t="str">
        <f t="shared" si="2"/>
        <v/>
      </c>
      <c r="G984" s="103"/>
      <c r="H984" s="152"/>
      <c r="J984" s="99"/>
      <c r="K984" s="104"/>
      <c r="L984" s="99"/>
      <c r="N984" s="99"/>
      <c r="O984" s="99"/>
      <c r="P984" s="34"/>
    </row>
    <row r="985">
      <c r="A985" s="28"/>
      <c r="B985" s="103"/>
      <c r="C985" s="121" t="str">
        <f t="array" ref="C985">ifs(and(isblank($A985),isblank($B985)),"", not(iserror(vlookup($A985&amp;$B985,'3) Release_Label'!$D:$D&amp;'3) Release_Label'!$E:$E,1,0))),vlookup($A985&amp;$B985,{'3) Release_Label'!$D:$D&amp;'3) Release_Label'!$E:$E,'3) Release_Label'!$F:$F},2,0), or(and(not(isblank($B985)),$B985=$B984,$A985&lt;&gt;$A984),and(not(isblank($A985)),$A985=$A984,$B985&lt;&gt;$B984)),"ID LISTS UNALIGNED",and($A985&lt;&gt;"",countif('3) Release_Label'!$D:$D,$A985)=0),"NO UPC MATCH in Release_Label",and($B985&lt;&gt;"",countif('3) Release_Label'!$E:$E,$B985)=0),"NO CATALOG ID MATCH in Release_Label",iserror(vlookup($A985&amp;$B985,'3) Release_Label'!$D:$D&amp;'3) Release_Label'!$E:$E,1,0)),"NO UPC-CATALOG ID pair MATCH in Release_Label" )</f>
        <v/>
      </c>
      <c r="D985" s="121" t="str">
        <f t="array" ref="D985">ifs(and(isblank($A985),isblank($B985)),"", not(iserror(vlookup($A985&amp;$B985,'3) Release_Label'!$D:$D&amp;'3) Release_Label'!$E:$E,1,0))),vlookup($A985&amp;$B985,{'3) Release_Label'!$D:$D&amp;'3) Release_Label'!$E:$E,'3) Release_Label'!$H:$H},2,0), or(and(not(isblank($B985)),$B985=$B984,$A985&lt;&gt;$A984),and(not(isblank($A985)),$A985=$A984,$B985&lt;&gt;$B984)),"ID LISTS UNALIGNED",and($A985&lt;&gt;"",countif('3) Release_Label'!$D:$D,$A985)=0),"NO UPC MATCH in Release_Label",and($B985&lt;&gt;"",countif('3) Release_Label'!$E:$E,$B985)=0),"NO CATALOG ID MATCH in Release_Label",iserror(vlookup($A985&amp;$B985,'3) Release_Label'!$D:$D&amp;'3) Release_Label'!$E:$E,1,0)),"NO UPC-CATALOG ID pair MATCH in Release_Label" )</f>
        <v/>
      </c>
      <c r="E985" s="141" t="str">
        <f t="shared" si="2"/>
        <v/>
      </c>
      <c r="G985" s="103"/>
      <c r="H985" s="152"/>
      <c r="J985" s="99"/>
      <c r="K985" s="104"/>
      <c r="L985" s="99"/>
      <c r="N985" s="99"/>
      <c r="O985" s="99"/>
      <c r="P985" s="34"/>
    </row>
    <row r="986">
      <c r="A986" s="28"/>
      <c r="B986" s="103"/>
      <c r="C986" s="121" t="str">
        <f t="array" ref="C986">ifs(and(isblank($A986),isblank($B986)),"", not(iserror(vlookup($A986&amp;$B986,'3) Release_Label'!$D:$D&amp;'3) Release_Label'!$E:$E,1,0))),vlookup($A986&amp;$B986,{'3) Release_Label'!$D:$D&amp;'3) Release_Label'!$E:$E,'3) Release_Label'!$F:$F},2,0), or(and(not(isblank($B986)),$B986=$B985,$A986&lt;&gt;$A985),and(not(isblank($A986)),$A986=$A985,$B986&lt;&gt;$B985)),"ID LISTS UNALIGNED",and($A986&lt;&gt;"",countif('3) Release_Label'!$D:$D,$A986)=0),"NO UPC MATCH in Release_Label",and($B986&lt;&gt;"",countif('3) Release_Label'!$E:$E,$B986)=0),"NO CATALOG ID MATCH in Release_Label",iserror(vlookup($A986&amp;$B986,'3) Release_Label'!$D:$D&amp;'3) Release_Label'!$E:$E,1,0)),"NO UPC-CATALOG ID pair MATCH in Release_Label" )</f>
        <v/>
      </c>
      <c r="D986" s="121" t="str">
        <f t="array" ref="D986">ifs(and(isblank($A986),isblank($B986)),"", not(iserror(vlookup($A986&amp;$B986,'3) Release_Label'!$D:$D&amp;'3) Release_Label'!$E:$E,1,0))),vlookup($A986&amp;$B986,{'3) Release_Label'!$D:$D&amp;'3) Release_Label'!$E:$E,'3) Release_Label'!$H:$H},2,0), or(and(not(isblank($B986)),$B986=$B985,$A986&lt;&gt;$A985),and(not(isblank($A986)),$A986=$A985,$B986&lt;&gt;$B985)),"ID LISTS UNALIGNED",and($A986&lt;&gt;"",countif('3) Release_Label'!$D:$D,$A986)=0),"NO UPC MATCH in Release_Label",and($B986&lt;&gt;"",countif('3) Release_Label'!$E:$E,$B986)=0),"NO CATALOG ID MATCH in Release_Label",iserror(vlookup($A986&amp;$B986,'3) Release_Label'!$D:$D&amp;'3) Release_Label'!$E:$E,1,0)),"NO UPC-CATALOG ID pair MATCH in Release_Label" )</f>
        <v/>
      </c>
      <c r="E986" s="141" t="str">
        <f t="shared" si="2"/>
        <v/>
      </c>
      <c r="G986" s="103"/>
      <c r="H986" s="152"/>
      <c r="J986" s="99"/>
      <c r="K986" s="104"/>
      <c r="L986" s="99"/>
      <c r="N986" s="99"/>
      <c r="O986" s="99"/>
      <c r="P986" s="34"/>
    </row>
    <row r="987">
      <c r="A987" s="28"/>
      <c r="B987" s="103"/>
      <c r="C987" s="121" t="str">
        <f t="array" ref="C987">ifs(and(isblank($A987),isblank($B987)),"", not(iserror(vlookup($A987&amp;$B987,'3) Release_Label'!$D:$D&amp;'3) Release_Label'!$E:$E,1,0))),vlookup($A987&amp;$B987,{'3) Release_Label'!$D:$D&amp;'3) Release_Label'!$E:$E,'3) Release_Label'!$F:$F},2,0), or(and(not(isblank($B987)),$B987=$B986,$A987&lt;&gt;$A986),and(not(isblank($A987)),$A987=$A986,$B987&lt;&gt;$B986)),"ID LISTS UNALIGNED",and($A987&lt;&gt;"",countif('3) Release_Label'!$D:$D,$A987)=0),"NO UPC MATCH in Release_Label",and($B987&lt;&gt;"",countif('3) Release_Label'!$E:$E,$B987)=0),"NO CATALOG ID MATCH in Release_Label",iserror(vlookup($A987&amp;$B987,'3) Release_Label'!$D:$D&amp;'3) Release_Label'!$E:$E,1,0)),"NO UPC-CATALOG ID pair MATCH in Release_Label" )</f>
        <v/>
      </c>
      <c r="D987" s="121" t="str">
        <f t="array" ref="D987">ifs(and(isblank($A987),isblank($B987)),"", not(iserror(vlookup($A987&amp;$B987,'3) Release_Label'!$D:$D&amp;'3) Release_Label'!$E:$E,1,0))),vlookup($A987&amp;$B987,{'3) Release_Label'!$D:$D&amp;'3) Release_Label'!$E:$E,'3) Release_Label'!$H:$H},2,0), or(and(not(isblank($B987)),$B987=$B986,$A987&lt;&gt;$A986),and(not(isblank($A987)),$A987=$A986,$B987&lt;&gt;$B986)),"ID LISTS UNALIGNED",and($A987&lt;&gt;"",countif('3) Release_Label'!$D:$D,$A987)=0),"NO UPC MATCH in Release_Label",and($B987&lt;&gt;"",countif('3) Release_Label'!$E:$E,$B987)=0),"NO CATALOG ID MATCH in Release_Label",iserror(vlookup($A987&amp;$B987,'3) Release_Label'!$D:$D&amp;'3) Release_Label'!$E:$E,1,0)),"NO UPC-CATALOG ID pair MATCH in Release_Label" )</f>
        <v/>
      </c>
      <c r="E987" s="141" t="str">
        <f t="shared" si="2"/>
        <v/>
      </c>
      <c r="G987" s="103"/>
      <c r="H987" s="152"/>
      <c r="J987" s="99"/>
      <c r="K987" s="104"/>
      <c r="L987" s="99"/>
      <c r="N987" s="99"/>
      <c r="O987" s="99"/>
      <c r="P987" s="34"/>
    </row>
    <row r="988">
      <c r="A988" s="28"/>
      <c r="B988" s="103"/>
      <c r="C988" s="121" t="str">
        <f t="array" ref="C988">ifs(and(isblank($A988),isblank($B988)),"", not(iserror(vlookup($A988&amp;$B988,'3) Release_Label'!$D:$D&amp;'3) Release_Label'!$E:$E,1,0))),vlookup($A988&amp;$B988,{'3) Release_Label'!$D:$D&amp;'3) Release_Label'!$E:$E,'3) Release_Label'!$F:$F},2,0), or(and(not(isblank($B988)),$B988=$B987,$A988&lt;&gt;$A987),and(not(isblank($A988)),$A988=$A987,$B988&lt;&gt;$B987)),"ID LISTS UNALIGNED",and($A988&lt;&gt;"",countif('3) Release_Label'!$D:$D,$A988)=0),"NO UPC MATCH in Release_Label",and($B988&lt;&gt;"",countif('3) Release_Label'!$E:$E,$B988)=0),"NO CATALOG ID MATCH in Release_Label",iserror(vlookup($A988&amp;$B988,'3) Release_Label'!$D:$D&amp;'3) Release_Label'!$E:$E,1,0)),"NO UPC-CATALOG ID pair MATCH in Release_Label" )</f>
        <v/>
      </c>
      <c r="D988" s="121" t="str">
        <f t="array" ref="D988">ifs(and(isblank($A988),isblank($B988)),"", not(iserror(vlookup($A988&amp;$B988,'3) Release_Label'!$D:$D&amp;'3) Release_Label'!$E:$E,1,0))),vlookup($A988&amp;$B988,{'3) Release_Label'!$D:$D&amp;'3) Release_Label'!$E:$E,'3) Release_Label'!$H:$H},2,0), or(and(not(isblank($B988)),$B988=$B987,$A988&lt;&gt;$A987),and(not(isblank($A988)),$A988=$A987,$B988&lt;&gt;$B987)),"ID LISTS UNALIGNED",and($A988&lt;&gt;"",countif('3) Release_Label'!$D:$D,$A988)=0),"NO UPC MATCH in Release_Label",and($B988&lt;&gt;"",countif('3) Release_Label'!$E:$E,$B988)=0),"NO CATALOG ID MATCH in Release_Label",iserror(vlookup($A988&amp;$B988,'3) Release_Label'!$D:$D&amp;'3) Release_Label'!$E:$E,1,0)),"NO UPC-CATALOG ID pair MATCH in Release_Label" )</f>
        <v/>
      </c>
      <c r="E988" s="141" t="str">
        <f t="shared" si="2"/>
        <v/>
      </c>
      <c r="G988" s="103"/>
      <c r="H988" s="152"/>
      <c r="J988" s="99"/>
      <c r="K988" s="104"/>
      <c r="L988" s="99"/>
      <c r="N988" s="99"/>
      <c r="O988" s="99"/>
      <c r="P988" s="34"/>
    </row>
    <row r="989">
      <c r="A989" s="28"/>
      <c r="B989" s="103"/>
      <c r="C989" s="121" t="str">
        <f t="array" ref="C989">ifs(and(isblank($A989),isblank($B989)),"", not(iserror(vlookup($A989&amp;$B989,'3) Release_Label'!$D:$D&amp;'3) Release_Label'!$E:$E,1,0))),vlookup($A989&amp;$B989,{'3) Release_Label'!$D:$D&amp;'3) Release_Label'!$E:$E,'3) Release_Label'!$F:$F},2,0), or(and(not(isblank($B989)),$B989=$B988,$A989&lt;&gt;$A988),and(not(isblank($A989)),$A989=$A988,$B989&lt;&gt;$B988)),"ID LISTS UNALIGNED",and($A989&lt;&gt;"",countif('3) Release_Label'!$D:$D,$A989)=0),"NO UPC MATCH in Release_Label",and($B989&lt;&gt;"",countif('3) Release_Label'!$E:$E,$B989)=0),"NO CATALOG ID MATCH in Release_Label",iserror(vlookup($A989&amp;$B989,'3) Release_Label'!$D:$D&amp;'3) Release_Label'!$E:$E,1,0)),"NO UPC-CATALOG ID pair MATCH in Release_Label" )</f>
        <v/>
      </c>
      <c r="D989" s="121" t="str">
        <f t="array" ref="D989">ifs(and(isblank($A989),isblank($B989)),"", not(iserror(vlookup($A989&amp;$B989,'3) Release_Label'!$D:$D&amp;'3) Release_Label'!$E:$E,1,0))),vlookup($A989&amp;$B989,{'3) Release_Label'!$D:$D&amp;'3) Release_Label'!$E:$E,'3) Release_Label'!$H:$H},2,0), or(and(not(isblank($B989)),$B989=$B988,$A989&lt;&gt;$A988),and(not(isblank($A989)),$A989=$A988,$B989&lt;&gt;$B988)),"ID LISTS UNALIGNED",and($A989&lt;&gt;"",countif('3) Release_Label'!$D:$D,$A989)=0),"NO UPC MATCH in Release_Label",and($B989&lt;&gt;"",countif('3) Release_Label'!$E:$E,$B989)=0),"NO CATALOG ID MATCH in Release_Label",iserror(vlookup($A989&amp;$B989,'3) Release_Label'!$D:$D&amp;'3) Release_Label'!$E:$E,1,0)),"NO UPC-CATALOG ID pair MATCH in Release_Label" )</f>
        <v/>
      </c>
      <c r="E989" s="141" t="str">
        <f t="shared" si="2"/>
        <v/>
      </c>
      <c r="G989" s="103"/>
      <c r="H989" s="152"/>
      <c r="J989" s="99"/>
      <c r="K989" s="104"/>
      <c r="L989" s="99"/>
      <c r="N989" s="99"/>
      <c r="O989" s="99"/>
      <c r="P989" s="34"/>
    </row>
    <row r="990">
      <c r="A990" s="28"/>
      <c r="B990" s="103"/>
      <c r="C990" s="121" t="str">
        <f t="array" ref="C990">ifs(and(isblank($A990),isblank($B990)),"", not(iserror(vlookup($A990&amp;$B990,'3) Release_Label'!$D:$D&amp;'3) Release_Label'!$E:$E,1,0))),vlookup($A990&amp;$B990,{'3) Release_Label'!$D:$D&amp;'3) Release_Label'!$E:$E,'3) Release_Label'!$F:$F},2,0), or(and(not(isblank($B990)),$B990=$B989,$A990&lt;&gt;$A989),and(not(isblank($A990)),$A990=$A989,$B990&lt;&gt;$B989)),"ID LISTS UNALIGNED",and($A990&lt;&gt;"",countif('3) Release_Label'!$D:$D,$A990)=0),"NO UPC MATCH in Release_Label",and($B990&lt;&gt;"",countif('3) Release_Label'!$E:$E,$B990)=0),"NO CATALOG ID MATCH in Release_Label",iserror(vlookup($A990&amp;$B990,'3) Release_Label'!$D:$D&amp;'3) Release_Label'!$E:$E,1,0)),"NO UPC-CATALOG ID pair MATCH in Release_Label" )</f>
        <v/>
      </c>
      <c r="D990" s="121" t="str">
        <f t="array" ref="D990">ifs(and(isblank($A990),isblank($B990)),"", not(iserror(vlookup($A990&amp;$B990,'3) Release_Label'!$D:$D&amp;'3) Release_Label'!$E:$E,1,0))),vlookup($A990&amp;$B990,{'3) Release_Label'!$D:$D&amp;'3) Release_Label'!$E:$E,'3) Release_Label'!$H:$H},2,0), or(and(not(isblank($B990)),$B990=$B989,$A990&lt;&gt;$A989),and(not(isblank($A990)),$A990=$A989,$B990&lt;&gt;$B989)),"ID LISTS UNALIGNED",and($A990&lt;&gt;"",countif('3) Release_Label'!$D:$D,$A990)=0),"NO UPC MATCH in Release_Label",and($B990&lt;&gt;"",countif('3) Release_Label'!$E:$E,$B990)=0),"NO CATALOG ID MATCH in Release_Label",iserror(vlookup($A990&amp;$B990,'3) Release_Label'!$D:$D&amp;'3) Release_Label'!$E:$E,1,0)),"NO UPC-CATALOG ID pair MATCH in Release_Label" )</f>
        <v/>
      </c>
      <c r="E990" s="141" t="str">
        <f t="shared" si="2"/>
        <v/>
      </c>
      <c r="G990" s="103"/>
      <c r="H990" s="152"/>
      <c r="J990" s="99"/>
      <c r="K990" s="104"/>
      <c r="L990" s="99"/>
      <c r="N990" s="99"/>
      <c r="O990" s="99"/>
      <c r="P990" s="34"/>
    </row>
    <row r="991">
      <c r="A991" s="28"/>
      <c r="B991" s="103"/>
      <c r="C991" s="121" t="str">
        <f t="array" ref="C991">ifs(and(isblank($A991),isblank($B991)),"", not(iserror(vlookup($A991&amp;$B991,'3) Release_Label'!$D:$D&amp;'3) Release_Label'!$E:$E,1,0))),vlookup($A991&amp;$B991,{'3) Release_Label'!$D:$D&amp;'3) Release_Label'!$E:$E,'3) Release_Label'!$F:$F},2,0), or(and(not(isblank($B991)),$B991=$B990,$A991&lt;&gt;$A990),and(not(isblank($A991)),$A991=$A990,$B991&lt;&gt;$B990)),"ID LISTS UNALIGNED",and($A991&lt;&gt;"",countif('3) Release_Label'!$D:$D,$A991)=0),"NO UPC MATCH in Release_Label",and($B991&lt;&gt;"",countif('3) Release_Label'!$E:$E,$B991)=0),"NO CATALOG ID MATCH in Release_Label",iserror(vlookup($A991&amp;$B991,'3) Release_Label'!$D:$D&amp;'3) Release_Label'!$E:$E,1,0)),"NO UPC-CATALOG ID pair MATCH in Release_Label" )</f>
        <v/>
      </c>
      <c r="D991" s="121" t="str">
        <f t="array" ref="D991">ifs(and(isblank($A991),isblank($B991)),"", not(iserror(vlookup($A991&amp;$B991,'3) Release_Label'!$D:$D&amp;'3) Release_Label'!$E:$E,1,0))),vlookup($A991&amp;$B991,{'3) Release_Label'!$D:$D&amp;'3) Release_Label'!$E:$E,'3) Release_Label'!$H:$H},2,0), or(and(not(isblank($B991)),$B991=$B990,$A991&lt;&gt;$A990),and(not(isblank($A991)),$A991=$A990,$B991&lt;&gt;$B990)),"ID LISTS UNALIGNED",and($A991&lt;&gt;"",countif('3) Release_Label'!$D:$D,$A991)=0),"NO UPC MATCH in Release_Label",and($B991&lt;&gt;"",countif('3) Release_Label'!$E:$E,$B991)=0),"NO CATALOG ID MATCH in Release_Label",iserror(vlookup($A991&amp;$B991,'3) Release_Label'!$D:$D&amp;'3) Release_Label'!$E:$E,1,0)),"NO UPC-CATALOG ID pair MATCH in Release_Label" )</f>
        <v/>
      </c>
      <c r="E991" s="141" t="str">
        <f t="shared" si="2"/>
        <v/>
      </c>
      <c r="G991" s="103"/>
      <c r="H991" s="152"/>
      <c r="J991" s="99"/>
      <c r="K991" s="104"/>
      <c r="L991" s="99"/>
      <c r="N991" s="99"/>
      <c r="O991" s="99"/>
      <c r="P991" s="34"/>
    </row>
    <row r="992">
      <c r="A992" s="28"/>
      <c r="B992" s="103"/>
      <c r="C992" s="121" t="str">
        <f t="array" ref="C992">ifs(and(isblank($A992),isblank($B992)),"", not(iserror(vlookup($A992&amp;$B992,'3) Release_Label'!$D:$D&amp;'3) Release_Label'!$E:$E,1,0))),vlookup($A992&amp;$B992,{'3) Release_Label'!$D:$D&amp;'3) Release_Label'!$E:$E,'3) Release_Label'!$F:$F},2,0), or(and(not(isblank($B992)),$B992=$B991,$A992&lt;&gt;$A991),and(not(isblank($A992)),$A992=$A991,$B992&lt;&gt;$B991)),"ID LISTS UNALIGNED",and($A992&lt;&gt;"",countif('3) Release_Label'!$D:$D,$A992)=0),"NO UPC MATCH in Release_Label",and($B992&lt;&gt;"",countif('3) Release_Label'!$E:$E,$B992)=0),"NO CATALOG ID MATCH in Release_Label",iserror(vlookup($A992&amp;$B992,'3) Release_Label'!$D:$D&amp;'3) Release_Label'!$E:$E,1,0)),"NO UPC-CATALOG ID pair MATCH in Release_Label" )</f>
        <v/>
      </c>
      <c r="D992" s="121" t="str">
        <f t="array" ref="D992">ifs(and(isblank($A992),isblank($B992)),"", not(iserror(vlookup($A992&amp;$B992,'3) Release_Label'!$D:$D&amp;'3) Release_Label'!$E:$E,1,0))),vlookup($A992&amp;$B992,{'3) Release_Label'!$D:$D&amp;'3) Release_Label'!$E:$E,'3) Release_Label'!$H:$H},2,0), or(and(not(isblank($B992)),$B992=$B991,$A992&lt;&gt;$A991),and(not(isblank($A992)),$A992=$A991,$B992&lt;&gt;$B991)),"ID LISTS UNALIGNED",and($A992&lt;&gt;"",countif('3) Release_Label'!$D:$D,$A992)=0),"NO UPC MATCH in Release_Label",and($B992&lt;&gt;"",countif('3) Release_Label'!$E:$E,$B992)=0),"NO CATALOG ID MATCH in Release_Label",iserror(vlookup($A992&amp;$B992,'3) Release_Label'!$D:$D&amp;'3) Release_Label'!$E:$E,1,0)),"NO UPC-CATALOG ID pair MATCH in Release_Label" )</f>
        <v/>
      </c>
      <c r="E992" s="141" t="str">
        <f t="shared" si="2"/>
        <v/>
      </c>
      <c r="G992" s="103"/>
      <c r="H992" s="152"/>
      <c r="J992" s="99"/>
      <c r="K992" s="104"/>
      <c r="L992" s="99"/>
      <c r="N992" s="99"/>
      <c r="O992" s="99"/>
      <c r="P992" s="34"/>
    </row>
    <row r="993">
      <c r="A993" s="28"/>
      <c r="B993" s="103"/>
      <c r="C993" s="121" t="str">
        <f t="array" ref="C993">ifs(and(isblank($A993),isblank($B993)),"", not(iserror(vlookup($A993&amp;$B993,'3) Release_Label'!$D:$D&amp;'3) Release_Label'!$E:$E,1,0))),vlookup($A993&amp;$B993,{'3) Release_Label'!$D:$D&amp;'3) Release_Label'!$E:$E,'3) Release_Label'!$F:$F},2,0), or(and(not(isblank($B993)),$B993=$B992,$A993&lt;&gt;$A992),and(not(isblank($A993)),$A993=$A992,$B993&lt;&gt;$B992)),"ID LISTS UNALIGNED",and($A993&lt;&gt;"",countif('3) Release_Label'!$D:$D,$A993)=0),"NO UPC MATCH in Release_Label",and($B993&lt;&gt;"",countif('3) Release_Label'!$E:$E,$B993)=0),"NO CATALOG ID MATCH in Release_Label",iserror(vlookup($A993&amp;$B993,'3) Release_Label'!$D:$D&amp;'3) Release_Label'!$E:$E,1,0)),"NO UPC-CATALOG ID pair MATCH in Release_Label" )</f>
        <v/>
      </c>
      <c r="D993" s="121" t="str">
        <f t="array" ref="D993">ifs(and(isblank($A993),isblank($B993)),"", not(iserror(vlookup($A993&amp;$B993,'3) Release_Label'!$D:$D&amp;'3) Release_Label'!$E:$E,1,0))),vlookup($A993&amp;$B993,{'3) Release_Label'!$D:$D&amp;'3) Release_Label'!$E:$E,'3) Release_Label'!$H:$H},2,0), or(and(not(isblank($B993)),$B993=$B992,$A993&lt;&gt;$A992),and(not(isblank($A993)),$A993=$A992,$B993&lt;&gt;$B992)),"ID LISTS UNALIGNED",and($A993&lt;&gt;"",countif('3) Release_Label'!$D:$D,$A993)=0),"NO UPC MATCH in Release_Label",and($B993&lt;&gt;"",countif('3) Release_Label'!$E:$E,$B993)=0),"NO CATALOG ID MATCH in Release_Label",iserror(vlookup($A993&amp;$B993,'3) Release_Label'!$D:$D&amp;'3) Release_Label'!$E:$E,1,0)),"NO UPC-CATALOG ID pair MATCH in Release_Label" )</f>
        <v/>
      </c>
      <c r="E993" s="141" t="str">
        <f t="shared" si="2"/>
        <v/>
      </c>
      <c r="G993" s="103"/>
      <c r="H993" s="152"/>
      <c r="J993" s="99"/>
      <c r="K993" s="104"/>
      <c r="L993" s="99"/>
      <c r="N993" s="99"/>
      <c r="O993" s="99"/>
      <c r="P993" s="34"/>
    </row>
    <row r="994">
      <c r="A994" s="28"/>
      <c r="B994" s="103"/>
      <c r="C994" s="121" t="str">
        <f t="array" ref="C994">ifs(and(isblank($A994),isblank($B994)),"", not(iserror(vlookup($A994&amp;$B994,'3) Release_Label'!$D:$D&amp;'3) Release_Label'!$E:$E,1,0))),vlookup($A994&amp;$B994,{'3) Release_Label'!$D:$D&amp;'3) Release_Label'!$E:$E,'3) Release_Label'!$F:$F},2,0), or(and(not(isblank($B994)),$B994=$B993,$A994&lt;&gt;$A993),and(not(isblank($A994)),$A994=$A993,$B994&lt;&gt;$B993)),"ID LISTS UNALIGNED",and($A994&lt;&gt;"",countif('3) Release_Label'!$D:$D,$A994)=0),"NO UPC MATCH in Release_Label",and($B994&lt;&gt;"",countif('3) Release_Label'!$E:$E,$B994)=0),"NO CATALOG ID MATCH in Release_Label",iserror(vlookup($A994&amp;$B994,'3) Release_Label'!$D:$D&amp;'3) Release_Label'!$E:$E,1,0)),"NO UPC-CATALOG ID pair MATCH in Release_Label" )</f>
        <v/>
      </c>
      <c r="D994" s="121" t="str">
        <f t="array" ref="D994">ifs(and(isblank($A994),isblank($B994)),"", not(iserror(vlookup($A994&amp;$B994,'3) Release_Label'!$D:$D&amp;'3) Release_Label'!$E:$E,1,0))),vlookup($A994&amp;$B994,{'3) Release_Label'!$D:$D&amp;'3) Release_Label'!$E:$E,'3) Release_Label'!$H:$H},2,0), or(and(not(isblank($B994)),$B994=$B993,$A994&lt;&gt;$A993),and(not(isblank($A994)),$A994=$A993,$B994&lt;&gt;$B993)),"ID LISTS UNALIGNED",and($A994&lt;&gt;"",countif('3) Release_Label'!$D:$D,$A994)=0),"NO UPC MATCH in Release_Label",and($B994&lt;&gt;"",countif('3) Release_Label'!$E:$E,$B994)=0),"NO CATALOG ID MATCH in Release_Label",iserror(vlookup($A994&amp;$B994,'3) Release_Label'!$D:$D&amp;'3) Release_Label'!$E:$E,1,0)),"NO UPC-CATALOG ID pair MATCH in Release_Label" )</f>
        <v/>
      </c>
      <c r="E994" s="141" t="str">
        <f t="shared" si="2"/>
        <v/>
      </c>
      <c r="G994" s="103"/>
      <c r="H994" s="152"/>
      <c r="J994" s="99"/>
      <c r="K994" s="104"/>
      <c r="L994" s="99"/>
      <c r="N994" s="99"/>
      <c r="O994" s="99"/>
      <c r="P994" s="34"/>
    </row>
    <row r="995">
      <c r="A995" s="28"/>
      <c r="B995" s="103"/>
      <c r="C995" s="121" t="str">
        <f t="array" ref="C995">ifs(and(isblank($A995),isblank($B995)),"", not(iserror(vlookup($A995&amp;$B995,'3) Release_Label'!$D:$D&amp;'3) Release_Label'!$E:$E,1,0))),vlookup($A995&amp;$B995,{'3) Release_Label'!$D:$D&amp;'3) Release_Label'!$E:$E,'3) Release_Label'!$F:$F},2,0), or(and(not(isblank($B995)),$B995=$B994,$A995&lt;&gt;$A994),and(not(isblank($A995)),$A995=$A994,$B995&lt;&gt;$B994)),"ID LISTS UNALIGNED",and($A995&lt;&gt;"",countif('3) Release_Label'!$D:$D,$A995)=0),"NO UPC MATCH in Release_Label",and($B995&lt;&gt;"",countif('3) Release_Label'!$E:$E,$B995)=0),"NO CATALOG ID MATCH in Release_Label",iserror(vlookup($A995&amp;$B995,'3) Release_Label'!$D:$D&amp;'3) Release_Label'!$E:$E,1,0)),"NO UPC-CATALOG ID pair MATCH in Release_Label" )</f>
        <v/>
      </c>
      <c r="D995" s="121" t="str">
        <f t="array" ref="D995">ifs(and(isblank($A995),isblank($B995)),"", not(iserror(vlookup($A995&amp;$B995,'3) Release_Label'!$D:$D&amp;'3) Release_Label'!$E:$E,1,0))),vlookup($A995&amp;$B995,{'3) Release_Label'!$D:$D&amp;'3) Release_Label'!$E:$E,'3) Release_Label'!$H:$H},2,0), or(and(not(isblank($B995)),$B995=$B994,$A995&lt;&gt;$A994),and(not(isblank($A995)),$A995=$A994,$B995&lt;&gt;$B994)),"ID LISTS UNALIGNED",and($A995&lt;&gt;"",countif('3) Release_Label'!$D:$D,$A995)=0),"NO UPC MATCH in Release_Label",and($B995&lt;&gt;"",countif('3) Release_Label'!$E:$E,$B995)=0),"NO CATALOG ID MATCH in Release_Label",iserror(vlookup($A995&amp;$B995,'3) Release_Label'!$D:$D&amp;'3) Release_Label'!$E:$E,1,0)),"NO UPC-CATALOG ID pair MATCH in Release_Label" )</f>
        <v/>
      </c>
      <c r="E995" s="141" t="str">
        <f t="shared" si="2"/>
        <v/>
      </c>
      <c r="G995" s="103"/>
      <c r="H995" s="152"/>
      <c r="J995" s="99"/>
      <c r="K995" s="104"/>
      <c r="L995" s="99"/>
      <c r="N995" s="99"/>
      <c r="O995" s="99"/>
      <c r="P995" s="34"/>
    </row>
    <row r="996">
      <c r="A996" s="28"/>
      <c r="B996" s="103"/>
      <c r="C996" s="121" t="str">
        <f t="array" ref="C996">ifs(and(isblank($A996),isblank($B996)),"", not(iserror(vlookup($A996&amp;$B996,'3) Release_Label'!$D:$D&amp;'3) Release_Label'!$E:$E,1,0))),vlookup($A996&amp;$B996,{'3) Release_Label'!$D:$D&amp;'3) Release_Label'!$E:$E,'3) Release_Label'!$F:$F},2,0), or(and(not(isblank($B996)),$B996=$B995,$A996&lt;&gt;$A995),and(not(isblank($A996)),$A996=$A995,$B996&lt;&gt;$B995)),"ID LISTS UNALIGNED",and($A996&lt;&gt;"",countif('3) Release_Label'!$D:$D,$A996)=0),"NO UPC MATCH in Release_Label",and($B996&lt;&gt;"",countif('3) Release_Label'!$E:$E,$B996)=0),"NO CATALOG ID MATCH in Release_Label",iserror(vlookup($A996&amp;$B996,'3) Release_Label'!$D:$D&amp;'3) Release_Label'!$E:$E,1,0)),"NO UPC-CATALOG ID pair MATCH in Release_Label" )</f>
        <v/>
      </c>
      <c r="D996" s="121" t="str">
        <f t="array" ref="D996">ifs(and(isblank($A996),isblank($B996)),"", not(iserror(vlookup($A996&amp;$B996,'3) Release_Label'!$D:$D&amp;'3) Release_Label'!$E:$E,1,0))),vlookup($A996&amp;$B996,{'3) Release_Label'!$D:$D&amp;'3) Release_Label'!$E:$E,'3) Release_Label'!$H:$H},2,0), or(and(not(isblank($B996)),$B996=$B995,$A996&lt;&gt;$A995),and(not(isblank($A996)),$A996=$A995,$B996&lt;&gt;$B995)),"ID LISTS UNALIGNED",and($A996&lt;&gt;"",countif('3) Release_Label'!$D:$D,$A996)=0),"NO UPC MATCH in Release_Label",and($B996&lt;&gt;"",countif('3) Release_Label'!$E:$E,$B996)=0),"NO CATALOG ID MATCH in Release_Label",iserror(vlookup($A996&amp;$B996,'3) Release_Label'!$D:$D&amp;'3) Release_Label'!$E:$E,1,0)),"NO UPC-CATALOG ID pair MATCH in Release_Label" )</f>
        <v/>
      </c>
      <c r="E996" s="141" t="str">
        <f t="shared" si="2"/>
        <v/>
      </c>
      <c r="G996" s="103"/>
      <c r="H996" s="152"/>
      <c r="J996" s="99"/>
      <c r="K996" s="104"/>
      <c r="L996" s="99"/>
      <c r="N996" s="99"/>
      <c r="O996" s="99"/>
      <c r="P996" s="34"/>
    </row>
    <row r="997">
      <c r="A997" s="28"/>
      <c r="B997" s="103"/>
      <c r="C997" s="121"/>
      <c r="D997" s="121"/>
      <c r="E997" s="141"/>
      <c r="G997" s="103"/>
      <c r="H997" s="152"/>
      <c r="J997" s="99"/>
      <c r="K997" s="104"/>
      <c r="L997" s="99"/>
      <c r="N997" s="99"/>
      <c r="O997" s="99"/>
      <c r="P997" s="34"/>
    </row>
    <row r="998">
      <c r="A998" s="28"/>
      <c r="B998" s="103"/>
      <c r="C998" s="121"/>
      <c r="D998" s="121"/>
      <c r="E998" s="141"/>
      <c r="G998" s="103"/>
      <c r="H998" s="152"/>
      <c r="J998" s="99"/>
      <c r="K998" s="104"/>
      <c r="L998" s="99"/>
      <c r="N998" s="99"/>
      <c r="O998" s="99"/>
      <c r="P998" s="34"/>
    </row>
    <row r="999">
      <c r="A999" s="28"/>
      <c r="B999" s="103"/>
      <c r="C999" s="121"/>
      <c r="D999" s="121"/>
      <c r="E999" s="141"/>
      <c r="G999" s="103"/>
      <c r="H999" s="152"/>
      <c r="J999" s="99"/>
      <c r="K999" s="104"/>
      <c r="L999" s="99"/>
      <c r="N999" s="99"/>
      <c r="O999" s="99"/>
      <c r="P999" s="34"/>
    </row>
    <row r="1000">
      <c r="A1000" s="28"/>
      <c r="B1000" s="103"/>
      <c r="C1000" s="121"/>
      <c r="D1000" s="121"/>
      <c r="E1000" s="141"/>
      <c r="G1000" s="103"/>
      <c r="H1000" s="152"/>
      <c r="J1000" s="99"/>
      <c r="K1000" s="104"/>
      <c r="L1000" s="99"/>
      <c r="N1000" s="99"/>
      <c r="O1000" s="99"/>
      <c r="P1000" s="34"/>
    </row>
    <row r="1001">
      <c r="A1001" s="28"/>
      <c r="B1001" s="103"/>
      <c r="C1001" s="121"/>
      <c r="D1001" s="121"/>
      <c r="E1001" s="141"/>
      <c r="G1001" s="103"/>
      <c r="H1001" s="152"/>
      <c r="J1001" s="99"/>
      <c r="K1001" s="104"/>
      <c r="L1001" s="99"/>
      <c r="N1001" s="99"/>
      <c r="O1001" s="99"/>
      <c r="P1001" s="34"/>
    </row>
    <row r="1002">
      <c r="A1002" s="28"/>
      <c r="B1002" s="103"/>
      <c r="C1002" s="121"/>
      <c r="D1002" s="121"/>
      <c r="E1002" s="141"/>
      <c r="G1002" s="103"/>
      <c r="H1002" s="152"/>
      <c r="J1002" s="99"/>
      <c r="K1002" s="104"/>
      <c r="L1002" s="99"/>
      <c r="N1002" s="99"/>
      <c r="O1002" s="99"/>
      <c r="P1002" s="34"/>
    </row>
    <row r="1003">
      <c r="A1003" s="28"/>
      <c r="B1003" s="103"/>
      <c r="C1003" s="121"/>
      <c r="D1003" s="121"/>
      <c r="E1003" s="141"/>
      <c r="G1003" s="103"/>
      <c r="H1003" s="152"/>
      <c r="J1003" s="99"/>
      <c r="K1003" s="104"/>
      <c r="L1003" s="99"/>
      <c r="N1003" s="99"/>
      <c r="O1003" s="99"/>
      <c r="P1003" s="34"/>
    </row>
  </sheetData>
  <mergeCells count="1">
    <mergeCell ref="C4:D4"/>
  </mergeCells>
  <conditionalFormatting sqref="A1:B1">
    <cfRule type="cellIs" dxfId="3" priority="1" operator="notEqual">
      <formula>0</formula>
    </cfRule>
  </conditionalFormatting>
  <conditionalFormatting sqref="H5:H1003">
    <cfRule type="expression" dxfId="0" priority="2">
      <formula>REGEXMATCH(H5,"(?i)[\(\[\{\-][ ]*(feat|ft|explic|dirt|single|ep|video|acoustic)| feat(ur|\.| )| ft|f\/|w\/")</formula>
    </cfRule>
  </conditionalFormatting>
  <conditionalFormatting sqref="J5:J1003">
    <cfRule type="expression" dxfId="0" priority="3">
      <formula>and(not(isblank(J5)),iserror(match(J5,indirect("'Reference info'!k:k"),0)))</formula>
    </cfRule>
  </conditionalFormatting>
  <conditionalFormatting sqref="K5:K1003">
    <cfRule type="expression" dxfId="0" priority="4">
      <formula>and(not(isblank(H5)),K5&lt;&gt;"YES",K5&lt;&gt;"NO")</formula>
    </cfRule>
  </conditionalFormatting>
  <conditionalFormatting sqref="L5:L1003">
    <cfRule type="expression" dxfId="0" priority="5">
      <formula>and(not(isblank(H5)),L5&lt;&gt;"Original",L5&lt;&gt;"Public domain")</formula>
    </cfRule>
  </conditionalFormatting>
  <conditionalFormatting sqref="F5:F1003">
    <cfRule type="expression" dxfId="3" priority="6">
      <formula>and(countif(F:F,F5)&gt;countif(H:H,H5),H5&lt;&gt;"")</formula>
    </cfRule>
  </conditionalFormatting>
  <conditionalFormatting sqref="G5:G1003">
    <cfRule type="expression" dxfId="3" priority="7">
      <formula>and(countif(G:G,G5)&gt;countif(H:H,H5),H5&lt;&gt;"")</formula>
    </cfRule>
  </conditionalFormatting>
  <conditionalFormatting sqref="M5:M1003">
    <cfRule type="expression" dxfId="3" priority="8">
      <formula>and(countif(M:M,M5)&gt;countif(H:H,H5),H5&lt;&gt;"")</formula>
    </cfRule>
  </conditionalFormatting>
  <conditionalFormatting sqref="N5:N1003">
    <cfRule type="expression" dxfId="0" priority="9">
      <formula>and(not(isblank(M5)),N5&lt;&gt;"wav",N5&lt;&gt;"flac")</formula>
    </cfRule>
  </conditionalFormatting>
  <conditionalFormatting sqref="O5:O1003">
    <cfRule type="expression" dxfId="0" priority="10">
      <formula>and(O5&lt;&gt;"",or(INT(O5)&lt;&gt;O5,O5&lt;0))</formula>
    </cfRule>
  </conditionalFormatting>
  <conditionalFormatting sqref="F5:F1003">
    <cfRule type="expression" dxfId="5" priority="11">
      <formula>and(F5&lt;&gt;"",G5&lt;&gt;"",countif(F:F,F5)&lt;&gt;countif(G:G,G5))</formula>
    </cfRule>
  </conditionalFormatting>
  <conditionalFormatting sqref="G5:G1003">
    <cfRule type="expression" dxfId="5" priority="12">
      <formula>and(F5&lt;&gt;"",G5&lt;&gt;"",countif(F:F,F5)&lt;&gt;countif(G:G,G5))</formula>
    </cfRule>
  </conditionalFormatting>
  <conditionalFormatting sqref="A5:A1003">
    <cfRule type="expression" dxfId="5" priority="13">
      <formula>and(B5&lt;&gt;"",A5&lt;&gt;"",countif(A:A,A5)&lt;&gt;countif(B:B,B5))</formula>
    </cfRule>
  </conditionalFormatting>
  <conditionalFormatting sqref="B5:B1003">
    <cfRule type="expression" dxfId="5" priority="14">
      <formula>and(B5&lt;&gt;"",A5&lt;&gt;"",countif(A:A,A5)&lt;&gt;countif(B:B,B5))</formula>
    </cfRule>
  </conditionalFormatting>
  <conditionalFormatting sqref="F5:F1003">
    <cfRule type="expression" dxfId="3" priority="15">
      <formula>or(and(A5&lt;&gt;"",F5&lt;&gt;"",A5=A6,F5=F6),and(A4&lt;&gt;"",F4&lt;&gt;"",A5=A4,F5=F4))</formula>
    </cfRule>
  </conditionalFormatting>
  <conditionalFormatting sqref="A5:A1003">
    <cfRule type="expression" dxfId="3" priority="16">
      <formula>and(A5&lt;&gt;"",F5&lt;&gt;"",COUNTIFS(A:A,A5,F:F,F5)&gt;1)</formula>
    </cfRule>
  </conditionalFormatting>
  <conditionalFormatting sqref="G5:G1003">
    <cfRule type="expression" dxfId="3" priority="17">
      <formula>or(and(B5&lt;&gt;"",G5&lt;&gt;"",B5=B6,G5=G6),and(B4&lt;&gt;"",G4&lt;&gt;"",B5=B4,G5=G4))</formula>
    </cfRule>
  </conditionalFormatting>
  <conditionalFormatting sqref="B5:B1003">
    <cfRule type="expression" dxfId="3" priority="18">
      <formula>And(B5&lt;&gt;"",G5&lt;&gt;"",COUNTIFS(B:B,B5,G:G,G5)&gt;1)</formula>
    </cfRule>
  </conditionalFormatting>
  <conditionalFormatting sqref="H6:H1003">
    <cfRule type="expression" dxfId="0" priority="19">
      <formula>and(not(isblank(H6)),H6=H5,I6=I5,J6=J5,K6=K5)</formula>
    </cfRule>
  </conditionalFormatting>
  <dataValidations>
    <dataValidation type="list" allowBlank="1" showInputMessage="1" showErrorMessage="1" prompt="select from list, start typing or drag" sqref="J5:J1003">
      <formula1>Language</formula1>
    </dataValidation>
    <dataValidation type="list" allowBlank="1" showInputMessage="1" showErrorMessage="1" prompt="select from list, start typing or drag" sqref="L5:L1003">
      <formula1>"Original,Public domain"</formula1>
    </dataValidation>
    <dataValidation type="list" allowBlank="1" showInputMessage="1" showErrorMessage="1" prompt="select from list, start typing or drag" sqref="K5:K1003">
      <formula1>"YES,NO"</formula1>
    </dataValidation>
    <dataValidation type="custom" allowBlank="1" showDropDown="1" showInputMessage="1" showErrorMessage="1" prompt="must contain 2 letters, 3 character minimum, 20 character maximum, alphanumeric ONLY (letter or number; no dashes, spaces, punctuation marks, etc.)" sqref="B5:B1003 G5:G1003">
      <formula1>and(regexmatch(B5,"^[a-zA-Z0-9]*$"), len(B5)&gt;=3, len(B5)&lt;=20)</formula1>
    </dataValidation>
    <dataValidation type="custom" allowBlank="1" showDropDown="1" showInputMessage="1" showErrorMessage="1" prompt="Enter a valid UPC/EAN/JAN" sqref="A5:A1003">
      <formula1>and(INT(A5)=A5,A5&gt;9999999999)</formula1>
    </dataValidation>
    <dataValidation type="custom" allowBlank="1" showDropDown="1" showInputMessage="1" showErrorMessage="1" prompt="Enter a valid number of seconds" sqref="O5:P1003">
      <formula1>and(INT(O5)=O5,O5&gt;=0)</formula1>
    </dataValidation>
    <dataValidation type="list" allowBlank="1" showInputMessage="1" showErrorMessage="1" prompt="select from list, start typing or drag" sqref="N5:N1003">
      <formula1>"wav,flac"</formula1>
    </dataValidation>
  </dataValidations>
  <hyperlinks>
    <hyperlink r:id="rId2" ref="M5"/>
    <hyperlink r:id="rId3" ref="M6"/>
    <hyperlink r:id="rId4" ref="M7"/>
    <hyperlink r:id="rId5" ref="M8"/>
    <hyperlink r:id="rId6" ref="M9"/>
    <hyperlink r:id="rId7" ref="M10"/>
    <hyperlink r:id="rId8" ref="M11"/>
    <hyperlink r:id="rId9" ref="M12"/>
    <hyperlink r:id="rId10" ref="M13"/>
    <hyperlink r:id="rId11" ref="M14"/>
    <hyperlink r:id="rId12" ref="M15"/>
    <hyperlink r:id="rId13" ref="M16"/>
    <hyperlink r:id="rId14" ref="M17"/>
    <hyperlink r:id="rId15" ref="M18"/>
    <hyperlink r:id="rId16" ref="M19"/>
    <hyperlink r:id="rId17" ref="M20"/>
    <hyperlink r:id="rId18" ref="M21"/>
    <hyperlink r:id="rId19" ref="M22"/>
    <hyperlink r:id="rId20" ref="M23"/>
    <hyperlink r:id="rId21" ref="M24"/>
    <hyperlink r:id="rId22" ref="M25"/>
    <hyperlink r:id="rId23" ref="M26"/>
    <hyperlink r:id="rId24" ref="M27"/>
    <hyperlink r:id="rId25" ref="M28"/>
    <hyperlink r:id="rId26" ref="M29"/>
    <hyperlink r:id="rId27" ref="M30"/>
    <hyperlink r:id="rId28" ref="M31"/>
    <hyperlink r:id="rId29" ref="M32"/>
    <hyperlink r:id="rId30" ref="M33"/>
    <hyperlink r:id="rId31" ref="M34"/>
    <hyperlink r:id="rId32" ref="M35"/>
    <hyperlink r:id="rId33" ref="M36"/>
    <hyperlink r:id="rId34" ref="M37"/>
    <hyperlink r:id="rId35" ref="M38"/>
    <hyperlink r:id="rId36" ref="M39"/>
    <hyperlink r:id="rId37" ref="M40"/>
    <hyperlink r:id="rId38" ref="M41"/>
    <hyperlink r:id="rId39" ref="M42"/>
    <hyperlink r:id="rId40" ref="M43"/>
    <hyperlink r:id="rId41" ref="M44"/>
    <hyperlink r:id="rId42" ref="M45"/>
    <hyperlink r:id="rId43" ref="M46"/>
    <hyperlink r:id="rId44" ref="M47"/>
    <hyperlink r:id="rId45" ref="M48"/>
    <hyperlink r:id="rId46" ref="M49"/>
    <hyperlink r:id="rId47" ref="M50"/>
    <hyperlink r:id="rId48" ref="M51"/>
    <hyperlink r:id="rId49" ref="M52"/>
    <hyperlink r:id="rId50" ref="M53"/>
    <hyperlink r:id="rId51" ref="M54"/>
    <hyperlink r:id="rId52" ref="M55"/>
    <hyperlink r:id="rId53" ref="M56"/>
    <hyperlink r:id="rId54" ref="M57"/>
    <hyperlink r:id="rId55" ref="M58"/>
    <hyperlink r:id="rId56" ref="M59"/>
    <hyperlink r:id="rId57" ref="M60"/>
    <hyperlink r:id="rId58" ref="M61"/>
    <hyperlink r:id="rId59" ref="M62"/>
    <hyperlink r:id="rId60" ref="M63"/>
    <hyperlink r:id="rId61" ref="M64"/>
    <hyperlink r:id="rId62" ref="M65"/>
    <hyperlink r:id="rId63" ref="M66"/>
    <hyperlink r:id="rId64" ref="M67"/>
    <hyperlink r:id="rId65" ref="M68"/>
    <hyperlink r:id="rId66" ref="M69"/>
    <hyperlink r:id="rId67" ref="M70"/>
    <hyperlink r:id="rId68" ref="M71"/>
    <hyperlink r:id="rId69" ref="M72"/>
    <hyperlink r:id="rId70" ref="M73"/>
    <hyperlink r:id="rId71" ref="M74"/>
    <hyperlink r:id="rId72" ref="M75"/>
    <hyperlink r:id="rId73" ref="M76"/>
    <hyperlink r:id="rId74" ref="M77"/>
    <hyperlink r:id="rId75" ref="M78"/>
    <hyperlink r:id="rId76" ref="M79"/>
    <hyperlink r:id="rId77" ref="M80"/>
    <hyperlink r:id="rId78" ref="M81"/>
    <hyperlink r:id="rId79" ref="M82"/>
    <hyperlink r:id="rId80" ref="M83"/>
    <hyperlink r:id="rId81" ref="M84"/>
    <hyperlink r:id="rId82" ref="M85"/>
    <hyperlink r:id="rId83" ref="M86"/>
    <hyperlink r:id="rId84" ref="M87"/>
    <hyperlink r:id="rId85" ref="M88"/>
  </hyperlinks>
  <drawing r:id="rId86"/>
  <legacyDrawing r:id="rId8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0.0"/>
    <col customWidth="1" min="2" max="2" width="15.5"/>
    <col customWidth="1" min="3" max="3" width="28.75"/>
    <col customWidth="1" min="4" max="4" width="14.5"/>
    <col customWidth="1" min="5" max="5" width="31.75"/>
    <col customWidth="1" min="6" max="6" width="18.0"/>
    <col customWidth="1" min="7" max="8" width="26.63"/>
    <col customWidth="1" min="9" max="9" width="21.88"/>
    <col customWidth="1" min="10" max="10" width="8.38"/>
    <col customWidth="1" min="11" max="11" width="16.0"/>
    <col customWidth="1" min="12" max="12" width="12.13"/>
    <col customWidth="1" min="13" max="13" width="12.75"/>
    <col customWidth="1" min="14" max="14" width="9.75"/>
    <col customWidth="1" min="15" max="15" width="8.0"/>
    <col customWidth="1" min="16" max="16" width="9.5"/>
    <col customWidth="1" min="17" max="17" width="9.0"/>
    <col customWidth="1" min="18" max="18" width="12.5"/>
    <col customWidth="1" min="19" max="19" width="4.38"/>
    <col customWidth="1" min="20" max="20" width="8.38"/>
    <col customWidth="1" min="21" max="21" width="6.75"/>
    <col customWidth="1" min="25" max="25" width="11.0"/>
  </cols>
  <sheetData>
    <row r="1">
      <c r="A1" s="13">
        <f>IFERROR(__xludf.DUMMYFUNCTION("COUNTUNIQUE(A5:A912)-'5) Release_Track'!F1"),0.0)</f>
        <v>0</v>
      </c>
      <c r="B1" s="13">
        <f>IFERROR(__xludf.DUMMYFUNCTION("COUNTUNIQUE(B5:B912)-'5) Release_Track'!G1"),0.0)</f>
        <v>0</v>
      </c>
      <c r="C1" s="105" t="s">
        <v>314</v>
      </c>
      <c r="D1" s="106"/>
      <c r="E1" s="13">
        <f>IFERROR(__xludf.DUMMYFUNCTION("COUNTUNIQUE(E5:E912)"),47.0)</f>
        <v>47</v>
      </c>
      <c r="F1" s="21" t="s">
        <v>24</v>
      </c>
      <c r="G1" s="18">
        <f>IFERROR(__xludf.DUMMYFUNCTION("countif(F:F,""Main Primary Artist"")-arrayformula(COUNTUNIQUE('5) Release_Track'!F5:F912&amp;'5) Release_Track'!G5:G912))"),0.0)</f>
        <v>0</v>
      </c>
      <c r="H1" s="107" t="s">
        <v>26</v>
      </c>
      <c r="I1" s="153"/>
    </row>
    <row r="2">
      <c r="A2" s="111" t="s">
        <v>539</v>
      </c>
      <c r="B2" s="112"/>
      <c r="C2" s="154"/>
      <c r="D2" s="154"/>
      <c r="E2" s="154"/>
      <c r="F2" s="154"/>
      <c r="G2" s="63"/>
    </row>
    <row r="3">
      <c r="A3" s="132" t="s">
        <v>334</v>
      </c>
      <c r="B3" s="71" t="s">
        <v>335</v>
      </c>
      <c r="C3" s="155" t="s">
        <v>336</v>
      </c>
      <c r="D3" s="155" t="s">
        <v>337</v>
      </c>
      <c r="E3" s="114" t="s">
        <v>316</v>
      </c>
      <c r="F3" s="114" t="s">
        <v>317</v>
      </c>
      <c r="G3" s="115" t="s">
        <v>318</v>
      </c>
      <c r="H3" s="18">
        <f>IFERROR(__xludf.DUMMYFUNCTION("if(iserror(filter(A:B,G:G=""Producer &amp; Engineer"")),0, countunique(filter(A:B,G:G=""Producer &amp; Engineer"")))-arrayformula(COUNTUNIQUE('5) Release_Track'!F5:F912&amp;'5) Release_Track'!G5:G912))"),0.0)</f>
        <v>0</v>
      </c>
    </row>
    <row r="4">
      <c r="A4" s="80" t="s">
        <v>540</v>
      </c>
      <c r="B4" s="156" t="s">
        <v>540</v>
      </c>
      <c r="C4" s="116" t="s">
        <v>541</v>
      </c>
      <c r="E4" s="117" t="s">
        <v>542</v>
      </c>
      <c r="F4" s="35" t="s">
        <v>165</v>
      </c>
      <c r="G4" s="118" t="s">
        <v>322</v>
      </c>
      <c r="H4" s="18">
        <f>IFERROR(__xludf.DUMMYFUNCTION("if(iserror(filter(A:B,G:G=""Performer"")),0, countunique(filter(A:B,G:G=""Performer"")))-arrayformula(COUNTUNIQUE('5) Release_Track'!F5:F912&amp;'5) Release_Track'!G5:G912))"),-84.0)</f>
        <v>-84</v>
      </c>
      <c r="J4" s="28"/>
    </row>
    <row r="5">
      <c r="A5" s="44" t="s">
        <v>354</v>
      </c>
      <c r="B5" s="120"/>
      <c r="C5" s="121" t="str">
        <f t="array" ref="C5">ifs(and(isblank($A5),isblank($B5)),"", not(iserror(vlookup($A5&amp;$B5,'5) Release_Track'!$F:$F&amp;'5) Release_Track'!$G:$G,1,0))),vlookup($A5&amp;$B5,{'5) Release_Track'!$F:$F&amp;'5) Release_Track'!$G:$G,'5) Release_Track'!$H:$H},2,0), or(and(not(isblank($B5)),$B5=$B4,$A5&lt;&gt;$A4),and(not(isblank($A5)),$A5=$A4,$B5&lt;&gt;$B4)),"ID LISTS UNALIGNED",and($A5&lt;&gt;"",countif('5) Release_Track'!$F:$F,$A5)=0),"NO ISRC MATCH in Release_Track",and($B5&lt;&gt;"",countif('5) Release_Track'!$G:$G,$B5)=0),"NO CATALOG ID MATCH in Release_Track",iserror(vlookup($A5&amp;$B5,'5) Release_Track'!$F:$F&amp;'5) Release_Track'!$G:$G,1,0)),"NO ISRC-CATALOG ID pair MATCH in Release_Track" )</f>
        <v>Aakad (From "Bhalwan Singh" Soundtrack)</v>
      </c>
      <c r="D5" s="121" t="str">
        <f t="array" ref="D5">ifs(and(isblank($A5),isblank($B5)),"", not(iserror(vlookup($A5&amp;$B5,'5) Release_Track'!$F:$F&amp;'5) Release_Track'!$G:$G,1,0))),vlookup($A5&amp;$B5,{'5) Release_Track'!$F:$F&amp;'5) Release_Track'!$G:$G,'5) Release_Track'!$I:$I},2,0), or(and(not(isblank($B5)),$B5=$B4,$A5&lt;&gt;$A4),and(not(isblank($A5)),$A5=$A4,$B5&lt;&gt;$B4)),"ID LISTS UNALIGNED",and($A5&lt;&gt;"",countif('5) Release_Track'!$F:$F,$A5)=0),"NO ISRC MATCH in Release_Track",and($B5&lt;&gt;"",countif('5) Release_Track'!$G:$G,$B5)=0),"NO CATALOG ID MATCH in Release_Track",iserror(vlookup($A5&amp;$B5,'5) Release_Track'!$F:$F&amp;'5) Release_Track'!$G:$G,1,0)),"NO ISRC-CATALOG ID pair MATCH in Release_Track" )</f>
        <v/>
      </c>
      <c r="E5" s="44" t="s">
        <v>42</v>
      </c>
      <c r="F5" s="122" t="s">
        <v>323</v>
      </c>
      <c r="G5" s="125" t="str">
        <f t="array" ref="G5">ifs(or($F5="",$F5="Main Primary Artist"),$F5,not(iserror(vlookup($F5,'Reference info'!$J$5:$J$8,1,0))),"Key Artist",not(iserror(vlookup($F5,'Reference info'!$J$38:$J$405,1,0))),"Performer",not(iserror(vlookup($F5,'Reference info'!$J$10:$J$36,1,0))),"Producer &amp; Engineer")</f>
        <v>Main Primary Artist</v>
      </c>
      <c r="H5" s="49" t="s">
        <v>543</v>
      </c>
      <c r="J5" s="28"/>
    </row>
    <row r="6">
      <c r="A6" s="44" t="s">
        <v>354</v>
      </c>
      <c r="B6" s="103"/>
      <c r="C6" s="121" t="str">
        <f t="array" ref="C6">ifs(and(isblank($A6),isblank($B6)),"", not(iserror(vlookup($A6&amp;$B6,'5) Release_Track'!$F:$F&amp;'5) Release_Track'!$G:$G,1,0))),vlookup($A6&amp;$B6,{'5) Release_Track'!$F:$F&amp;'5) Release_Track'!$G:$G,'5) Release_Track'!$H:$H},2,0), or(and(not(isblank($B6)),$B6=$B5,$A6&lt;&gt;$A5),and(not(isblank($A6)),$A6=$A5,$B6&lt;&gt;$B5)),"ID LISTS UNALIGNED",and($A6&lt;&gt;"",countif('5) Release_Track'!$F:$F,$A6)=0),"NO ISRC MATCH in Release_Track",and($B6&lt;&gt;"",countif('5) Release_Track'!$G:$G,$B6)=0),"NO CATALOG ID MATCH in Release_Track",iserror(vlookup($A6&amp;$B6,'5) Release_Track'!$F:$F&amp;'5) Release_Track'!$G:$G,1,0)),"NO ISRC-CATALOG ID pair MATCH in Release_Track" )</f>
        <v>Aakad (From "Bhalwan Singh" Soundtrack)</v>
      </c>
      <c r="D6" s="121" t="str">
        <f t="array" ref="D6">ifs(and(isblank($A6),isblank($B6)),"", not(iserror(vlookup($A6&amp;$B6,'5) Release_Track'!$F:$F&amp;'5) Release_Track'!$G:$G,1,0))),vlookup($A6&amp;$B6,{'5) Release_Track'!$F:$F&amp;'5) Release_Track'!$G:$G,'5) Release_Track'!$I:$I},2,0), or(and(not(isblank($B6)),$B6=$B5,$A6&lt;&gt;$A5),and(not(isblank($A6)),$A6=$A5,$B6&lt;&gt;$B5)),"ID LISTS UNALIGNED",and($A6&lt;&gt;"",countif('5) Release_Track'!$F:$F,$A6)=0),"NO ISRC MATCH in Release_Track",and($B6&lt;&gt;"",countif('5) Release_Track'!$G:$G,$B6)=0),"NO CATALOG ID MATCH in Release_Track",iserror(vlookup($A6&amp;$B6,'5) Release_Track'!$F:$F&amp;'5) Release_Track'!$G:$G,1,0)),"NO ISRC-CATALOG ID pair MATCH in Release_Track" )</f>
        <v/>
      </c>
      <c r="E6" s="44" t="s">
        <v>45</v>
      </c>
      <c r="F6" s="122" t="s">
        <v>324</v>
      </c>
      <c r="G6" s="123" t="str">
        <f t="array" ref="G6">ifs(or($F6="",$F6="Main Primary Artist"),$F6,not(iserror(vlookup($F6,'Reference info'!$J$5:$J$8,1,0))),"Key Artist",not(iserror(vlookup($F6,'Reference info'!$J$38:$J$405,1,0))),"Performer",not(iserror(vlookup($F6,'Reference info'!$J$10:$J$36,1,0))),"Producer &amp; Engineer")</f>
        <v>Key Artist</v>
      </c>
    </row>
    <row r="7">
      <c r="A7" s="44" t="s">
        <v>354</v>
      </c>
      <c r="B7" s="103"/>
      <c r="C7" s="121" t="str">
        <f t="array" ref="C7">ifs(and(isblank($A7),isblank($B7)),"", not(iserror(vlookup($A7&amp;$B7,'5) Release_Track'!$F:$F&amp;'5) Release_Track'!$G:$G,1,0))),vlookup($A7&amp;$B7,{'5) Release_Track'!$F:$F&amp;'5) Release_Track'!$G:$G,'5) Release_Track'!$H:$H},2,0), or(and(not(isblank($B7)),$B7=$B6,$A7&lt;&gt;$A6),and(not(isblank($A7)),$A7=$A6,$B7&lt;&gt;$B6)),"ID LISTS UNALIGNED",and($A7&lt;&gt;"",countif('5) Release_Track'!$F:$F,$A7)=0),"NO ISRC MATCH in Release_Track",and($B7&lt;&gt;"",countif('5) Release_Track'!$G:$G,$B7)=0),"NO CATALOG ID MATCH in Release_Track",iserror(vlookup($A7&amp;$B7,'5) Release_Track'!$F:$F&amp;'5) Release_Track'!$G:$G,1,0)),"NO ISRC-CATALOG ID pair MATCH in Release_Track" )</f>
        <v>Aakad (From "Bhalwan Singh" Soundtrack)</v>
      </c>
      <c r="D7" s="121" t="str">
        <f t="array" ref="D7">ifs(and(isblank($A7),isblank($B7)),"", not(iserror(vlookup($A7&amp;$B7,'5) Release_Track'!$F:$F&amp;'5) Release_Track'!$G:$G,1,0))),vlookup($A7&amp;$B7,{'5) Release_Track'!$F:$F&amp;'5) Release_Track'!$G:$G,'5) Release_Track'!$I:$I},2,0), or(and(not(isblank($B7)),$B7=$B6,$A7&lt;&gt;$A6),and(not(isblank($A7)),$A7=$A6,$B7&lt;&gt;$B6)),"ID LISTS UNALIGNED",and($A7&lt;&gt;"",countif('5) Release_Track'!$F:$F,$A7)=0),"NO ISRC MATCH in Release_Track",and($B7&lt;&gt;"",countif('5) Release_Track'!$G:$G,$B7)=0),"NO CATALOG ID MATCH in Release_Track",iserror(vlookup($A7&amp;$B7,'5) Release_Track'!$F:$F&amp;'5) Release_Track'!$G:$G,1,0)),"NO ISRC-CATALOG ID pair MATCH in Release_Track" )</f>
        <v/>
      </c>
      <c r="E7" s="44" t="s">
        <v>47</v>
      </c>
      <c r="F7" s="122" t="s">
        <v>325</v>
      </c>
      <c r="G7" s="125" t="str">
        <f t="array" ref="G7">ifs(or($F7="",$F7="Main Primary Artist"),$F7,not(iserror(vlookup($F7,'Reference info'!$J$5:$J$8,1,0))),"Key Artist",not(iserror(vlookup($F7,'Reference info'!$J$38:$J$405,1,0))),"Performer",not(iserror(vlookup($F7,'Reference info'!$J$10:$J$36,1,0))),"Producer &amp; Engineer")</f>
        <v>Key Artist</v>
      </c>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row>
    <row r="8">
      <c r="A8" s="44" t="s">
        <v>354</v>
      </c>
      <c r="B8" s="103"/>
      <c r="C8" s="121" t="str">
        <f t="array" ref="C8">ifs(and(isblank($A8),isblank($B8)),"", not(iserror(vlookup($A8&amp;$B8,'5) Release_Track'!$F:$F&amp;'5) Release_Track'!$G:$G,1,0))),vlookup($A8&amp;$B8,{'5) Release_Track'!$F:$F&amp;'5) Release_Track'!$G:$G,'5) Release_Track'!$H:$H},2,0), or(and(not(isblank($B8)),$B8=$B7,$A8&lt;&gt;$A7),and(not(isblank($A8)),$A8=$A7,$B8&lt;&gt;$B7)),"ID LISTS UNALIGNED",and($A8&lt;&gt;"",countif('5) Release_Track'!$F:$F,$A8)=0),"NO ISRC MATCH in Release_Track",and($B8&lt;&gt;"",countif('5) Release_Track'!$G:$G,$B8)=0),"NO CATALOG ID MATCH in Release_Track",iserror(vlookup($A8&amp;$B8,'5) Release_Track'!$F:$F&amp;'5) Release_Track'!$G:$G,1,0)),"NO ISRC-CATALOG ID pair MATCH in Release_Track" )</f>
        <v>Aakad (From "Bhalwan Singh" Soundtrack)</v>
      </c>
      <c r="D8" s="121" t="str">
        <f t="array" ref="D8">ifs(and(isblank($A8),isblank($B8)),"", not(iserror(vlookup($A8&amp;$B8,'5) Release_Track'!$F:$F&amp;'5) Release_Track'!$G:$G,1,0))),vlookup($A8&amp;$B8,{'5) Release_Track'!$F:$F&amp;'5) Release_Track'!$G:$G,'5) Release_Track'!$I:$I},2,0), or(and(not(isblank($B8)),$B8=$B7,$A8&lt;&gt;$A7),and(not(isblank($A8)),$A8=$A7,$B8&lt;&gt;$B7)),"ID LISTS UNALIGNED",and($A8&lt;&gt;"",countif('5) Release_Track'!$F:$F,$A8)=0),"NO ISRC MATCH in Release_Track",and($B8&lt;&gt;"",countif('5) Release_Track'!$G:$G,$B8)=0),"NO CATALOG ID MATCH in Release_Track",iserror(vlookup($A8&amp;$B8,'5) Release_Track'!$F:$F&amp;'5) Release_Track'!$G:$G,1,0)),"NO ISRC-CATALOG ID pair MATCH in Release_Track" )</f>
        <v/>
      </c>
      <c r="E8" s="44" t="s">
        <v>47</v>
      </c>
      <c r="F8" s="122" t="s">
        <v>325</v>
      </c>
      <c r="G8" s="125" t="str">
        <f t="array" ref="G8">ifs(or($F8="",$F8="Main Primary Artist"),$F8,not(iserror(vlookup($F8,'Reference info'!$J$5:$J$8,1,0))),"Key Artist",not(iserror(vlookup($F8,'Reference info'!$J$38:$J$405,1,0))),"Performer",not(iserror(vlookup($F8,'Reference info'!$J$10:$J$36,1,0))),"Producer &amp; Engineer")</f>
        <v>Key Artist</v>
      </c>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row>
    <row r="9">
      <c r="A9" s="44" t="s">
        <v>358</v>
      </c>
      <c r="B9" s="103"/>
      <c r="C9" s="121" t="str">
        <f t="array" ref="C9">ifs(and(isblank($A9),isblank($B9)),"", not(iserror(vlookup($A9&amp;$B9,'5) Release_Track'!$F:$F&amp;'5) Release_Track'!$G:$G,1,0))),vlookup($A9&amp;$B9,{'5) Release_Track'!$F:$F&amp;'5) Release_Track'!$G:$G,'5) Release_Track'!$H:$H},2,0), or(and(not(isblank($B9)),$B9=$B7,$A9&lt;&gt;$A7),and(not(isblank($A9)),$A9=$A7,$B9&lt;&gt;$B7)),"ID LISTS UNALIGNED",and($A9&lt;&gt;"",countif('5) Release_Track'!$F:$F,$A9)=0),"NO ISRC MATCH in Release_Track",and($B9&lt;&gt;"",countif('5) Release_Track'!$G:$G,$B9)=0),"NO CATALOG ID MATCH in Release_Track",iserror(vlookup($A9&amp;$B9,'5) Release_Track'!$F:$F&amp;'5) Release_Track'!$G:$G,1,0)),"NO ISRC-CATALOG ID pair MATCH in Release_Track" )</f>
        <v>Aisi Taisi (From "Golak Bugni Bank Te Batua" Soundtrack)</v>
      </c>
      <c r="D9" s="121" t="str">
        <f t="array" ref="D9">ifs(and(isblank($A9),isblank($B9)),"", not(iserror(vlookup($A9&amp;$B9,'5) Release_Track'!$F:$F&amp;'5) Release_Track'!$G:$G,1,0))),vlookup($A9&amp;$B9,{'5) Release_Track'!$F:$F&amp;'5) Release_Track'!$G:$G,'5) Release_Track'!$I:$I},2,0), or(and(not(isblank($B9)),$B9=$B7,$A9&lt;&gt;$A7),and(not(isblank($A9)),$A9=$A7,$B9&lt;&gt;$B7)),"ID LISTS UNALIGNED",and($A9&lt;&gt;"",countif('5) Release_Track'!$F:$F,$A9)=0),"NO ISRC MATCH in Release_Track",and($B9&lt;&gt;"",countif('5) Release_Track'!$G:$G,$B9)=0),"NO CATALOG ID MATCH in Release_Track",iserror(vlookup($A9&amp;$B9,'5) Release_Track'!$F:$F&amp;'5) Release_Track'!$G:$G,1,0)),"NO ISRC-CATALOG ID pair MATCH in Release_Track" )</f>
        <v/>
      </c>
      <c r="E9" s="44" t="s">
        <v>49</v>
      </c>
      <c r="F9" s="122" t="s">
        <v>323</v>
      </c>
      <c r="G9" s="125" t="str">
        <f t="array" ref="G9">ifs(or($F9="",$F9="Main Primary Artist"),$F9,not(iserror(vlookup($F9,'Reference info'!$J$5:$J$8,1,0))),"Key Artist",not(iserror(vlookup($F9,'Reference info'!$J$38:$J$405,1,0))),"Performer",not(iserror(vlookup($F9,'Reference info'!$J$10:$J$36,1,0))),"Producer &amp; Engineer")</f>
        <v>Main Primary Artist</v>
      </c>
      <c r="H9" s="28"/>
      <c r="J9" s="151"/>
      <c r="K9" s="151"/>
      <c r="L9" s="151"/>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row>
    <row r="10">
      <c r="A10" s="44" t="s">
        <v>358</v>
      </c>
      <c r="B10" s="124"/>
      <c r="C10" s="121" t="str">
        <f t="array" ref="C10">ifs(and(isblank($A10),isblank($B10)),"", not(iserror(vlookup($A10&amp;$B10,'5) Release_Track'!$F:$F&amp;'5) Release_Track'!$G:$G,1,0))),vlookup($A10&amp;$B10,{'5) Release_Track'!$F:$F&amp;'5) Release_Track'!$G:$G,'5) Release_Track'!$H:$H},2,0), or(and(not(isblank($B10)),$B10=$B9,$A10&lt;&gt;$A9),and(not(isblank($A10)),$A10=$A9,$B10&lt;&gt;$B9)),"ID LISTS UNALIGNED",and($A10&lt;&gt;"",countif('5) Release_Track'!$F:$F,$A10)=0),"NO ISRC MATCH in Release_Track",and($B10&lt;&gt;"",countif('5) Release_Track'!$G:$G,$B10)=0),"NO CATALOG ID MATCH in Release_Track",iserror(vlookup($A10&amp;$B10,'5) Release_Track'!$F:$F&amp;'5) Release_Track'!$G:$G,1,0)),"NO ISRC-CATALOG ID pair MATCH in Release_Track" )</f>
        <v>Aisi Taisi (From "Golak Bugni Bank Te Batua" Soundtrack)</v>
      </c>
      <c r="D10" s="121" t="str">
        <f t="array" ref="D10">ifs(and(isblank($A10),isblank($B10)),"", not(iserror(vlookup($A10&amp;$B10,'5) Release_Track'!$F:$F&amp;'5) Release_Track'!$G:$G,1,0))),vlookup($A10&amp;$B10,{'5) Release_Track'!$F:$F&amp;'5) Release_Track'!$G:$G,'5) Release_Track'!$I:$I},2,0), or(and(not(isblank($B10)),$B10=$B9,$A10&lt;&gt;$A9),and(not(isblank($A10)),$A10=$A9,$B10&lt;&gt;$B9)),"ID LISTS UNALIGNED",and($A10&lt;&gt;"",countif('5) Release_Track'!$F:$F,$A10)=0),"NO ISRC MATCH in Release_Track",and($B10&lt;&gt;"",countif('5) Release_Track'!$G:$G,$B10)=0),"NO CATALOG ID MATCH in Release_Track",iserror(vlookup($A10&amp;$B10,'5) Release_Track'!$F:$F&amp;'5) Release_Track'!$G:$G,1,0)),"NO ISRC-CATALOG ID pair MATCH in Release_Track" )</f>
        <v/>
      </c>
      <c r="E10" s="44" t="s">
        <v>51</v>
      </c>
      <c r="F10" s="122" t="s">
        <v>325</v>
      </c>
      <c r="G10" s="125" t="str">
        <f t="array" ref="G10">ifs(or($F10="",$F10="Main Primary Artist"),$F10,not(iserror(vlookup($F10,'Reference info'!$J$5:$J$8,1,0))),"Key Artist",not(iserror(vlookup($F10,'Reference info'!$J$38:$J$405,1,0))),"Performer",not(iserror(vlookup($F10,'Reference info'!$J$10:$J$36,1,0))),"Producer &amp; Engineer")</f>
        <v>Key Artist</v>
      </c>
      <c r="H10" s="28"/>
      <c r="I10" s="28"/>
      <c r="J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row>
    <row r="11">
      <c r="A11" s="44" t="s">
        <v>360</v>
      </c>
      <c r="B11" s="124"/>
      <c r="C11" s="121" t="str">
        <f t="array" ref="C11">ifs(and(isblank($A11),isblank($B11)),"", not(iserror(vlookup($A11&amp;$B11,'5) Release_Track'!$F:$F&amp;'5) Release_Track'!$G:$G,1,0))),vlookup($A11&amp;$B11,{'5) Release_Track'!$F:$F&amp;'5) Release_Track'!$G:$G,'5) Release_Track'!$H:$H},2,0), or(and(not(isblank($B11)),$B11=$B10,$A11&lt;&gt;$A10),and(not(isblank($A11)),$A11=$A10,$B11&lt;&gt;$B10)),"ID LISTS UNALIGNED",and($A11&lt;&gt;"",countif('5) Release_Track'!$F:$F,$A11)=0),"NO ISRC MATCH in Release_Track",and($B11&lt;&gt;"",countif('5) Release_Track'!$G:$G,$B11)=0),"NO CATALOG ID MATCH in Release_Track",iserror(vlookup($A11&amp;$B11,'5) Release_Track'!$F:$F&amp;'5) Release_Track'!$G:$G,1,0)),"NO ISRC-CATALOG ID pair MATCH in Release_Track" )</f>
        <v>Akhar - Female Version (From "Lahoriye" Soundtrack)</v>
      </c>
      <c r="D11" s="121" t="str">
        <f t="array" ref="D11">ifs(and(isblank($A11),isblank($B11)),"", not(iserror(vlookup($A11&amp;$B11,'5) Release_Track'!$F:$F&amp;'5) Release_Track'!$G:$G,1,0))),vlookup($A11&amp;$B11,{'5) Release_Track'!$F:$F&amp;'5) Release_Track'!$G:$G,'5) Release_Track'!$I:$I},2,0), or(and(not(isblank($B11)),$B11=$B10,$A11&lt;&gt;$A10),and(not(isblank($A11)),$A11=$A10,$B11&lt;&gt;$B10)),"ID LISTS UNALIGNED",and($A11&lt;&gt;"",countif('5) Release_Track'!$F:$F,$A11)=0),"NO ISRC MATCH in Release_Track",and($B11&lt;&gt;"",countif('5) Release_Track'!$G:$G,$B11)=0),"NO CATALOG ID MATCH in Release_Track",iserror(vlookup($A11&amp;$B11,'5) Release_Track'!$F:$F&amp;'5) Release_Track'!$G:$G,1,0)),"NO ISRC-CATALOG ID pair MATCH in Release_Track" )</f>
        <v/>
      </c>
      <c r="E11" s="44" t="s">
        <v>53</v>
      </c>
      <c r="F11" s="122" t="s">
        <v>323</v>
      </c>
      <c r="G11" s="125" t="str">
        <f t="array" ref="G11">ifs(or($F11="",$F11="Main Primary Artist"),$F11,not(iserror(vlookup($F11,'Reference info'!$J$5:$J$8,1,0))),"Key Artist",not(iserror(vlookup($F11,'Reference info'!$J$38:$J$405,1,0))),"Performer",not(iserror(vlookup($F11,'Reference info'!$J$10:$J$36,1,0))),"Producer &amp; Engineer")</f>
        <v>Main Primary Artist</v>
      </c>
      <c r="H11" s="28" t="s">
        <v>544</v>
      </c>
      <c r="J11" s="151"/>
      <c r="K11" s="28"/>
      <c r="L11" s="28"/>
      <c r="M11" s="151"/>
      <c r="N11" s="28"/>
      <c r="O11" s="28"/>
      <c r="P11" s="28" t="s">
        <v>545</v>
      </c>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row>
    <row r="12">
      <c r="A12" s="44" t="s">
        <v>360</v>
      </c>
      <c r="B12" s="124"/>
      <c r="C12" s="121" t="str">
        <f t="array" ref="C12">ifs(and(isblank($A12),isblank($B12)),"", not(iserror(vlookup($A12&amp;$B12,'5) Release_Track'!$F:$F&amp;'5) Release_Track'!$G:$G,1,0))),vlookup($A12&amp;$B12,{'5) Release_Track'!$F:$F&amp;'5) Release_Track'!$G:$G,'5) Release_Track'!$H:$H},2,0), or(and(not(isblank($B12)),$B12=$B11,$A12&lt;&gt;$A11),and(not(isblank($A12)),$A12=$A11,$B12&lt;&gt;$B11)),"ID LISTS UNALIGNED",and($A12&lt;&gt;"",countif('5) Release_Track'!$F:$F,$A12)=0),"NO ISRC MATCH in Release_Track",and($B12&lt;&gt;"",countif('5) Release_Track'!$G:$G,$B12)=0),"NO CATALOG ID MATCH in Release_Track",iserror(vlookup($A12&amp;$B12,'5) Release_Track'!$F:$F&amp;'5) Release_Track'!$G:$G,1,0)),"NO ISRC-CATALOG ID pair MATCH in Release_Track" )</f>
        <v>Akhar - Female Version (From "Lahoriye" Soundtrack)</v>
      </c>
      <c r="D12" s="121" t="str">
        <f t="array" ref="D12">ifs(and(isblank($A12),isblank($B12)),"", not(iserror(vlookup($A12&amp;$B12,'5) Release_Track'!$F:$F&amp;'5) Release_Track'!$G:$G,1,0))),vlookup($A12&amp;$B12,{'5) Release_Track'!$F:$F&amp;'5) Release_Track'!$G:$G,'5) Release_Track'!$I:$I},2,0), or(and(not(isblank($B12)),$B12=$B11,$A12&lt;&gt;$A11),and(not(isblank($A12)),$A12=$A11,$B12&lt;&gt;$B11)),"ID LISTS UNALIGNED",and($A12&lt;&gt;"",countif('5) Release_Track'!$F:$F,$A12)=0),"NO ISRC MATCH in Release_Track",and($B12&lt;&gt;"",countif('5) Release_Track'!$G:$G,$B12)=0),"NO CATALOG ID MATCH in Release_Track",iserror(vlookup($A12&amp;$B12,'5) Release_Track'!$F:$F&amp;'5) Release_Track'!$G:$G,1,0)),"NO ISRC-CATALOG ID pair MATCH in Release_Track" )</f>
        <v/>
      </c>
      <c r="E12" s="44" t="s">
        <v>51</v>
      </c>
      <c r="F12" s="122" t="s">
        <v>325</v>
      </c>
      <c r="G12" s="125" t="str">
        <f t="array" ref="G12">ifs(or($F12="",$F12="Main Primary Artist"),$F12,not(iserror(vlookup($F12,'Reference info'!$J$5:$J$8,1,0))),"Key Artist",not(iserror(vlookup($F12,'Reference info'!$J$38:$J$405,1,0))),"Performer",not(iserror(vlookup($F12,'Reference info'!$J$10:$J$36,1,0))),"Producer &amp; Engineer")</f>
        <v>Key Artist</v>
      </c>
      <c r="H12" s="28" t="s">
        <v>546</v>
      </c>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row>
    <row r="13">
      <c r="A13" s="44" t="s">
        <v>362</v>
      </c>
      <c r="B13" s="124"/>
      <c r="C13" s="121" t="str">
        <f t="array" ref="C13">ifs(and(isblank($A13),isblank($B13)),"", not(iserror(vlookup($A13&amp;$B13,'5) Release_Track'!$F:$F&amp;'5) Release_Track'!$G:$G,1,0))),vlookup($A13&amp;$B13,{'5) Release_Track'!$F:$F&amp;'5) Release_Track'!$G:$G,'5) Release_Track'!$H:$H},2,0), or(and(not(isblank($B13)),$B13=$B12,$A13&lt;&gt;$A12),and(not(isblank($A13)),$A13=$A12,$B13&lt;&gt;$B12)),"ID LISTS UNALIGNED",and($A13&lt;&gt;"",countif('5) Release_Track'!$F:$F,$A13)=0),"NO ISRC MATCH in Release_Track",and($B13&lt;&gt;"",countif('5) Release_Track'!$G:$G,$B13)=0),"NO CATALOG ID MATCH in Release_Track",iserror(vlookup($A13&amp;$B13,'5) Release_Track'!$F:$F&amp;'5) Release_Track'!$G:$G,1,0)),"NO ISRC-CATALOG ID pair MATCH in Release_Track" )</f>
        <v>Akhar (From "Lahoriye" Soundtrack)</v>
      </c>
      <c r="D13" s="121" t="str">
        <f t="array" ref="D13">ifs(and(isblank($A13),isblank($B13)),"", not(iserror(vlookup($A13&amp;$B13,'5) Release_Track'!$F:$F&amp;'5) Release_Track'!$G:$G,1,0))),vlookup($A13&amp;$B13,{'5) Release_Track'!$F:$F&amp;'5) Release_Track'!$G:$G,'5) Release_Track'!$I:$I},2,0), or(and(not(isblank($B13)),$B13=$B12,$A13&lt;&gt;$A12),and(not(isblank($A13)),$A13=$A12,$B13&lt;&gt;$B12)),"ID LISTS UNALIGNED",and($A13&lt;&gt;"",countif('5) Release_Track'!$F:$F,$A13)=0),"NO ISRC MATCH in Release_Track",and($B13&lt;&gt;"",countif('5) Release_Track'!$G:$G,$B13)=0),"NO CATALOG ID MATCH in Release_Track",iserror(vlookup($A13&amp;$B13,'5) Release_Track'!$F:$F&amp;'5) Release_Track'!$G:$G,1,0)),"NO ISRC-CATALOG ID pair MATCH in Release_Track" )</f>
        <v/>
      </c>
      <c r="E13" s="44" t="s">
        <v>49</v>
      </c>
      <c r="F13" s="122" t="s">
        <v>323</v>
      </c>
      <c r="G13" s="125" t="str">
        <f t="array" ref="G13">ifs(or($F13="",$F13="Main Primary Artist"),$F13,not(iserror(vlookup($F13,'Reference info'!$J$5:$J$8,1,0))),"Key Artist",not(iserror(vlookup($F13,'Reference info'!$J$38:$J$405,1,0))),"Performer",not(iserror(vlookup($F13,'Reference info'!$J$10:$J$36,1,0))),"Producer &amp; Engineer")</f>
        <v>Main Primary Artist</v>
      </c>
      <c r="H13" s="28" t="s">
        <v>547</v>
      </c>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row>
    <row r="14">
      <c r="A14" s="44" t="s">
        <v>362</v>
      </c>
      <c r="B14" s="124"/>
      <c r="C14" s="121" t="str">
        <f t="array" ref="C14">ifs(and(isblank($A14),isblank($B14)),"", not(iserror(vlookup($A14&amp;$B14,'5) Release_Track'!$F:$F&amp;'5) Release_Track'!$G:$G,1,0))),vlookup($A14&amp;$B14,{'5) Release_Track'!$F:$F&amp;'5) Release_Track'!$G:$G,'5) Release_Track'!$H:$H},2,0), or(and(not(isblank($B14)),$B14=$B13,$A14&lt;&gt;$A13),and(not(isblank($A14)),$A14=$A13,$B14&lt;&gt;$B13)),"ID LISTS UNALIGNED",and($A14&lt;&gt;"",countif('5) Release_Track'!$F:$F,$A14)=0),"NO ISRC MATCH in Release_Track",and($B14&lt;&gt;"",countif('5) Release_Track'!$G:$G,$B14)=0),"NO CATALOG ID MATCH in Release_Track",iserror(vlookup($A14&amp;$B14,'5) Release_Track'!$F:$F&amp;'5) Release_Track'!$G:$G,1,0)),"NO ISRC-CATALOG ID pair MATCH in Release_Track" )</f>
        <v>Akhar (From "Lahoriye" Soundtrack)</v>
      </c>
      <c r="D14" s="121" t="str">
        <f t="array" ref="D14">ifs(and(isblank($A14),isblank($B14)),"", not(iserror(vlookup($A14&amp;$B14,'5) Release_Track'!$F:$F&amp;'5) Release_Track'!$G:$G,1,0))),vlookup($A14&amp;$B14,{'5) Release_Track'!$F:$F&amp;'5) Release_Track'!$G:$G,'5) Release_Track'!$I:$I},2,0), or(and(not(isblank($B14)),$B14=$B13,$A14&lt;&gt;$A13),and(not(isblank($A14)),$A14=$A13,$B14&lt;&gt;$B13)),"ID LISTS UNALIGNED",and($A14&lt;&gt;"",countif('5) Release_Track'!$F:$F,$A14)=0),"NO ISRC MATCH in Release_Track",and($B14&lt;&gt;"",countif('5) Release_Track'!$G:$G,$B14)=0),"NO CATALOG ID MATCH in Release_Track",iserror(vlookup($A14&amp;$B14,'5) Release_Track'!$F:$F&amp;'5) Release_Track'!$G:$G,1,0)),"NO ISRC-CATALOG ID pair MATCH in Release_Track" )</f>
        <v/>
      </c>
      <c r="E14" s="44" t="s">
        <v>51</v>
      </c>
      <c r="F14" s="122" t="s">
        <v>325</v>
      </c>
      <c r="G14" s="125" t="str">
        <f t="array" ref="G14">ifs(or($F14="",$F14="Main Primary Artist"),$F14,not(iserror(vlookup($F14,'Reference info'!$J$5:$J$8,1,0))),"Key Artist",not(iserror(vlookup($F14,'Reference info'!$J$38:$J$405,1,0))),"Performer",not(iserror(vlookup($F14,'Reference info'!$J$10:$J$36,1,0))),"Producer &amp; Engineer")</f>
        <v>Key Artist</v>
      </c>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row>
    <row r="15">
      <c r="A15" s="44" t="s">
        <v>364</v>
      </c>
      <c r="B15" s="124"/>
      <c r="C15" s="121" t="str">
        <f t="array" ref="C15">ifs(and(isblank($A15),isblank($B15)),"", not(iserror(vlookup($A15&amp;$B15,'5) Release_Track'!$F:$F&amp;'5) Release_Track'!$G:$G,1,0))),vlookup($A15&amp;$B15,{'5) Release_Track'!$F:$F&amp;'5) Release_Track'!$G:$G,'5) Release_Track'!$H:$H},2,0), or(and(not(isblank($B15)),$B15=$B14,$A15&lt;&gt;$A14),and(not(isblank($A15)),$A15=$A14,$B15&lt;&gt;$B14)),"ID LISTS UNALIGNED",and($A15&lt;&gt;"",countif('5) Release_Track'!$F:$F,$A15)=0),"NO ISRC MATCH in Release_Track",and($B15&lt;&gt;"",countif('5) Release_Track'!$G:$G,$B15)=0),"NO CATALOG ID MATCH in Release_Track",iserror(vlookup($A15&amp;$B15,'5) Release_Track'!$F:$F&amp;'5) Release_Track'!$G:$G,1,0)),"NO ISRC-CATALOG ID pair MATCH in Release_Track" )</f>
        <v>Mil Ke Baithange</v>
      </c>
      <c r="D15" s="121" t="str">
        <f t="array" ref="D15">ifs(and(isblank($A15),isblank($B15)),"", not(iserror(vlookup($A15&amp;$B15,'5) Release_Track'!$F:$F&amp;'5) Release_Track'!$G:$G,1,0))),vlookup($A15&amp;$B15,{'5) Release_Track'!$F:$F&amp;'5) Release_Track'!$G:$G,'5) Release_Track'!$I:$I},2,0), or(and(not(isblank($B15)),$B15=$B14,$A15&lt;&gt;$A14),and(not(isblank($A15)),$A15=$A14,$B15&lt;&gt;$B14)),"ID LISTS UNALIGNED",and($A15&lt;&gt;"",countif('5) Release_Track'!$F:$F,$A15)=0),"NO ISRC MATCH in Release_Track",and($B15&lt;&gt;"",countif('5) Release_Track'!$G:$G,$B15)=0),"NO CATALOG ID MATCH in Release_Track",iserror(vlookup($A15&amp;$B15,'5) Release_Track'!$F:$F&amp;'5) Release_Track'!$G:$G,1,0)),"NO ISRC-CATALOG ID pair MATCH in Release_Track" )</f>
        <v/>
      </c>
      <c r="E15" s="44" t="s">
        <v>49</v>
      </c>
      <c r="F15" s="122" t="s">
        <v>323</v>
      </c>
      <c r="G15" s="125" t="str">
        <f t="array" ref="G15">ifs(or($F15="",$F15="Main Primary Artist"),$F15,not(iserror(vlookup($F15,'Reference info'!$J$5:$J$8,1,0))),"Key Artist",not(iserror(vlookup($F15,'Reference info'!$J$38:$J$405,1,0))),"Performer",not(iserror(vlookup($F15,'Reference info'!$J$10:$J$36,1,0))),"Producer &amp; Engineer")</f>
        <v>Main Primary Artist</v>
      </c>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row>
    <row r="16">
      <c r="A16" s="44" t="s">
        <v>367</v>
      </c>
      <c r="B16" s="124"/>
      <c r="C16" s="121" t="str">
        <f t="array" ref="C16">ifs(and(isblank($A16),isblank($B16)),"", not(iserror(vlookup($A16&amp;$B16,'5) Release_Track'!$F:$F&amp;'5) Release_Track'!$G:$G,1,0))),vlookup($A16&amp;$B16,{'5) Release_Track'!$F:$F&amp;'5) Release_Track'!$G:$G,'5) Release_Track'!$H:$H},2,0), or(and(not(isblank($B16)),$B16=$B15,$A16&lt;&gt;$A15),and(not(isblank($A16)),$A16=$A15,$B16&lt;&gt;$B15)),"ID LISTS UNALIGNED",and($A16&lt;&gt;"",countif('5) Release_Track'!$F:$F,$A16)=0),"NO ISRC MATCH in Release_Track",and($B16&lt;&gt;"",countif('5) Release_Track'!$G:$G,$B16)=0),"NO CATALOG ID MATCH in Release_Track",iserror(vlookup($A16&amp;$B16,'5) Release_Track'!$F:$F&amp;'5) Release_Track'!$G:$G,1,0)),"NO ISRC-CATALOG ID pair MATCH in Release_Track" )</f>
        <v>Kurta Suha</v>
      </c>
      <c r="D16" s="121" t="str">
        <f t="array" ref="D16">ifs(and(isblank($A16),isblank($B16)),"", not(iserror(vlookup($A16&amp;$B16,'5) Release_Track'!$F:$F&amp;'5) Release_Track'!$G:$G,1,0))),vlookup($A16&amp;$B16,{'5) Release_Track'!$F:$F&amp;'5) Release_Track'!$G:$G,'5) Release_Track'!$I:$I},2,0), or(and(not(isblank($B16)),$B16=$B15,$A16&lt;&gt;$A15),and(not(isblank($A16)),$A16=$A15,$B16&lt;&gt;$B15)),"ID LISTS UNALIGNED",and($A16&lt;&gt;"",countif('5) Release_Track'!$F:$F,$A16)=0),"NO ISRC MATCH in Release_Track",and($B16&lt;&gt;"",countif('5) Release_Track'!$G:$G,$B16)=0),"NO CATALOG ID MATCH in Release_Track",iserror(vlookup($A16&amp;$B16,'5) Release_Track'!$F:$F&amp;'5) Release_Track'!$G:$G,1,0)),"NO ISRC-CATALOG ID pair MATCH in Release_Track" )</f>
        <v/>
      </c>
      <c r="E16" s="44" t="s">
        <v>49</v>
      </c>
      <c r="F16" s="28" t="s">
        <v>323</v>
      </c>
      <c r="G16" s="125" t="str">
        <f t="array" ref="G16">ifs(or($F16="",$F16="Main Primary Artist"),$F16,not(iserror(vlookup($F16,'Reference info'!$J$5:$J$8,1,0))),"Key Artist",not(iserror(vlookup($F16,'Reference info'!$J$38:$J$405,1,0))),"Performer",not(iserror(vlookup($F16,'Reference info'!$J$10:$J$36,1,0))),"Producer &amp; Engineer")</f>
        <v>Main Primary Artist</v>
      </c>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row>
    <row r="17">
      <c r="A17" s="44" t="s">
        <v>370</v>
      </c>
      <c r="B17" s="124"/>
      <c r="C17" s="121" t="str">
        <f t="array" ref="C17">ifs(and(isblank($A17),isblank($B17)),"", not(iserror(vlookup($A17&amp;$B17,'5) Release_Track'!$F:$F&amp;'5) Release_Track'!$G:$G,1,0))),vlookup($A17&amp;$B17,{'5) Release_Track'!$F:$F&amp;'5) Release_Track'!$G:$G,'5) Release_Track'!$H:$H},2,0), or(and(not(isblank($B17)),$B17=$B16,$A17&lt;&gt;$A16),and(not(isblank($A17)),$A17=$A16,$B17&lt;&gt;$B16)),"ID LISTS UNALIGNED",and($A17&lt;&gt;"",countif('5) Release_Track'!$F:$F,$A17)=0),"NO ISRC MATCH in Release_Track",and($B17&lt;&gt;"",countif('5) Release_Track'!$G:$G,$B17)=0),"NO CATALOG ID MATCH in Release_Track",iserror(vlookup($A17&amp;$B17,'5) Release_Track'!$F:$F&amp;'5) Release_Track'!$G:$G,1,0)),"NO ISRC-CATALOG ID pair MATCH in Release_Track" )</f>
        <v>Family Di Member</v>
      </c>
      <c r="D17" s="121" t="str">
        <f t="array" ref="D17">ifs(and(isblank($A17),isblank($B17)),"", not(iserror(vlookup($A17&amp;$B17,'5) Release_Track'!$F:$F&amp;'5) Release_Track'!$G:$G,1,0))),vlookup($A17&amp;$B17,{'5) Release_Track'!$F:$F&amp;'5) Release_Track'!$G:$G,'5) Release_Track'!$I:$I},2,0), or(and(not(isblank($B17)),$B17=$B16,$A17&lt;&gt;$A16),and(not(isblank($A17)),$A17=$A16,$B17&lt;&gt;$B16)),"ID LISTS UNALIGNED",and($A17&lt;&gt;"",countif('5) Release_Track'!$F:$F,$A17)=0),"NO ISRC MATCH in Release_Track",and($B17&lt;&gt;"",countif('5) Release_Track'!$G:$G,$B17)=0),"NO CATALOG ID MATCH in Release_Track",iserror(vlookup($A17&amp;$B17,'5) Release_Track'!$F:$F&amp;'5) Release_Track'!$G:$G,1,0)),"NO ISRC-CATALOG ID pair MATCH in Release_Track" )</f>
        <v/>
      </c>
      <c r="E17" s="44" t="s">
        <v>49</v>
      </c>
      <c r="F17" s="28" t="s">
        <v>323</v>
      </c>
      <c r="G17" s="125" t="str">
        <f t="array" ref="G17">ifs(or($F17="",$F17="Main Primary Artist"),$F17,not(iserror(vlookup($F17,'Reference info'!$J$5:$J$8,1,0))),"Key Artist",not(iserror(vlookup($F17,'Reference info'!$J$38:$J$405,1,0))),"Performer",not(iserror(vlookup($F17,'Reference info'!$J$10:$J$36,1,0))),"Producer &amp; Engineer")</f>
        <v>Main Primary Artist</v>
      </c>
      <c r="H17" s="28"/>
      <c r="J17" s="157"/>
      <c r="M17" s="28"/>
      <c r="N17" s="28"/>
      <c r="O17" s="28"/>
      <c r="P17" s="28"/>
      <c r="Q17" s="28"/>
      <c r="R17" s="28"/>
      <c r="S17" s="28"/>
      <c r="T17" s="28"/>
      <c r="U17" s="43"/>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row>
    <row r="18">
      <c r="A18" s="44" t="s">
        <v>373</v>
      </c>
      <c r="B18" s="103"/>
      <c r="C18" s="121" t="str">
        <f t="array" ref="C18">ifs(and(isblank($A18),isblank($B18)),"", not(iserror(vlookup($A18&amp;$B18,'5) Release_Track'!$F:$F&amp;'5) Release_Track'!$G:$G,1,0))),vlookup($A18&amp;$B18,{'5) Release_Track'!$F:$F&amp;'5) Release_Track'!$G:$G,'5) Release_Track'!$H:$H},2,0), or(and(not(isblank($B18)),$B18=$B17,$A18&lt;&gt;$A17),and(not(isblank($A18)),$A18=$A17,$B18&lt;&gt;$B17)),"ID LISTS UNALIGNED",and($A18&lt;&gt;"",countif('5) Release_Track'!$F:$F,$A18)=0),"NO ISRC MATCH in Release_Track",and($B18&lt;&gt;"",countif('5) Release_Track'!$G:$G,$B18)=0),"NO CATALOG ID MATCH in Release_Track",iserror(vlookup($A18&amp;$B18,'5) Release_Track'!$F:$F&amp;'5) Release_Track'!$G:$G,1,0)),"NO ISRC-CATALOG ID pair MATCH in Release_Track" )</f>
        <v>Chete Kar Kar Ke</v>
      </c>
      <c r="D18" s="121" t="str">
        <f t="array" ref="D18">ifs(and(isblank($A18),isblank($B18)),"", not(iserror(vlookup($A18&amp;$B18,'5) Release_Track'!$F:$F&amp;'5) Release_Track'!$G:$G,1,0))),vlookup($A18&amp;$B18,{'5) Release_Track'!$F:$F&amp;'5) Release_Track'!$G:$G,'5) Release_Track'!$I:$I},2,0), or(and(not(isblank($B18)),$B18=$B17,$A18&lt;&gt;$A17),and(not(isblank($A18)),$A18=$A17,$B18&lt;&gt;$B17)),"ID LISTS UNALIGNED",and($A18&lt;&gt;"",countif('5) Release_Track'!$F:$F,$A18)=0),"NO ISRC MATCH in Release_Track",and($B18&lt;&gt;"",countif('5) Release_Track'!$G:$G,$B18)=0),"NO CATALOG ID MATCH in Release_Track",iserror(vlookup($A18&amp;$B18,'5) Release_Track'!$F:$F&amp;'5) Release_Track'!$G:$G,1,0)),"NO ISRC-CATALOG ID pair MATCH in Release_Track" )</f>
        <v/>
      </c>
      <c r="E18" s="44" t="s">
        <v>49</v>
      </c>
      <c r="F18" s="8" t="s">
        <v>323</v>
      </c>
      <c r="G18" s="123" t="str">
        <f t="array" ref="G18">ifs(or($F18="",$F18="Main Primary Artist"),$F18,not(iserror(vlookup($F18,'Reference info'!$J$5:$J$8,1,0))),"Key Artist",not(iserror(vlookup($F18,'Reference info'!$J$38:$J$405,1,0))),"Performer",not(iserror(vlookup($F18,'Reference info'!$J$10:$J$36,1,0))),"Producer &amp; Engineer")</f>
        <v>Main Primary Artist</v>
      </c>
      <c r="J18" s="157"/>
    </row>
    <row r="19">
      <c r="A19" s="44" t="s">
        <v>382</v>
      </c>
      <c r="B19" s="103"/>
      <c r="C19" s="121" t="str">
        <f t="array" ref="C19">ifs(and(isblank($A19),isblank($B19)),"", not(iserror(vlookup($A19&amp;$B19,'5) Release_Track'!$F:$F&amp;'5) Release_Track'!$G:$G,1,0))),vlookup($A19&amp;$B19,{'5) Release_Track'!$F:$F&amp;'5) Release_Track'!$G:$G,'5) Release_Track'!$H:$H},2,0), or(and(not(isblank($B19)),$B19=#REF!,$A19&lt;&gt;#REF!),and(not(isblank($A19)),$A19=#REF!,$B19&lt;&gt;#REF!)),"ID LISTS UNALIGNED",and($A19&lt;&gt;"",countif('5) Release_Track'!$F:$F,$A19)=0),"NO ISRC MATCH in Release_Track",and($B19&lt;&gt;"",countif('5) Release_Track'!$G:$G,$B19)=0),"NO CATALOG ID MATCH in Release_Track",iserror(vlookup($A19&amp;$B19,'5) Release_Track'!$F:$F&amp;'5) Release_Track'!$G:$G,1,0)),"NO ISRC-CATALOG ID pair MATCH in Release_Track" )</f>
        <v>Angrej Tappe</v>
      </c>
      <c r="D19" s="121" t="str">
        <f t="array" ref="D19">ifs(and(isblank($A19),isblank($B19)),"", not(iserror(vlookup($A19&amp;$B19,'5) Release_Track'!$F:$F&amp;'5) Release_Track'!$G:$G,1,0))),vlookup($A19&amp;$B19,{'5) Release_Track'!$F:$F&amp;'5) Release_Track'!$G:$G,'5) Release_Track'!$I:$I},2,0), or(and(not(isblank($B19)),$B19=#REF!,$A19&lt;&gt;#REF!),and(not(isblank($A19)),$A19=#REF!,$B19&lt;&gt;#REF!)),"ID LISTS UNALIGNED",and($A19&lt;&gt;"",countif('5) Release_Track'!$F:$F,$A19)=0),"NO ISRC MATCH in Release_Track",and($B19&lt;&gt;"",countif('5) Release_Track'!$G:$G,$B19)=0),"NO CATALOG ID MATCH in Release_Track",iserror(vlookup($A19&amp;$B19,'5) Release_Track'!$F:$F&amp;'5) Release_Track'!$G:$G,1,0)),"NO ISRC-CATALOG ID pair MATCH in Release_Track" )</f>
        <v/>
      </c>
      <c r="E19" s="44" t="s">
        <v>49</v>
      </c>
      <c r="F19" s="8" t="s">
        <v>323</v>
      </c>
      <c r="G19" s="123" t="str">
        <f t="array" ref="G19">ifs(or($F19="",$F19="Main Primary Artist"),$F19,not(iserror(vlookup($F19,'Reference info'!$J$5:$J$8,1,0))),"Key Artist",not(iserror(vlookup($F19,'Reference info'!$J$38:$J$405,1,0))),"Performer",not(iserror(vlookup($F19,'Reference info'!$J$10:$J$36,1,0))),"Producer &amp; Engineer")</f>
        <v>Main Primary Artist</v>
      </c>
    </row>
    <row r="20">
      <c r="A20" s="50" t="s">
        <v>382</v>
      </c>
      <c r="B20" s="103"/>
      <c r="C20" s="121" t="str">
        <f t="array" ref="C20">ifs(and(isblank($A20),isblank($B20)),"", not(iserror(vlookup($A20&amp;$B20,'5) Release_Track'!$F:$F&amp;'5) Release_Track'!$G:$G,1,0))),vlookup($A20&amp;$B20,{'5) Release_Track'!$F:$F&amp;'5) Release_Track'!$G:$G,'5) Release_Track'!$H:$H},2,0), or(and(not(isblank($B20)),$B20=$B19,$A20&lt;&gt;$A19),and(not(isblank($A20)),$A20=$A19,$B20&lt;&gt;$B19)),"ID LISTS UNALIGNED",and($A20&lt;&gt;"",countif('5) Release_Track'!$F:$F,$A20)=0),"NO ISRC MATCH in Release_Track",and($B20&lt;&gt;"",countif('5) Release_Track'!$G:$G,$B20)=0),"NO CATALOG ID MATCH in Release_Track",iserror(vlookup($A20&amp;$B20,'5) Release_Track'!$F:$F&amp;'5) Release_Track'!$G:$G,1,0)),"NO ISRC-CATALOG ID pair MATCH in Release_Track" )</f>
        <v>Angrej Tappe</v>
      </c>
      <c r="D20" s="121"/>
      <c r="E20" s="50" t="s">
        <v>55</v>
      </c>
      <c r="F20" s="8" t="s">
        <v>324</v>
      </c>
      <c r="G20" s="123" t="str">
        <f t="array" ref="G20">ifs(or($F20="",$F20="Main Primary Artist"),$F20,not(iserror(vlookup($F20,'Reference info'!$J$5:$J$8,1,0))),"Key Artist",not(iserror(vlookup($F20,'Reference info'!$J$38:$J$405,1,0))),"Performer",not(iserror(vlookup($F20,'Reference info'!$J$10:$J$36,1,0))),"Producer &amp; Engineer")</f>
        <v>Key Artist</v>
      </c>
    </row>
    <row r="21">
      <c r="A21" s="44" t="s">
        <v>385</v>
      </c>
      <c r="B21" s="103"/>
      <c r="C21" s="121" t="str">
        <f t="array" ref="C21">ifs(and(isblank($A21),isblank($B21)),"", not(iserror(vlookup($A21&amp;$B21,'5) Release_Track'!$F:$F&amp;'5) Release_Track'!$G:$G,1,0))),vlookup($A21&amp;$B21,{'5) Release_Track'!$F:$F&amp;'5) Release_Track'!$G:$G,'5) Release_Track'!$H:$H},2,0), or(and(not(isblank($B21)),$B21=$B19,$A21&lt;&gt;$A19),and(not(isblank($A21)),$A21=$A19,$B21&lt;&gt;$B19)),"ID LISTS UNALIGNED",and($A21&lt;&gt;"",countif('5) Release_Track'!$F:$F,$A21)=0),"NO ISRC MATCH in Release_Track",and($B21&lt;&gt;"",countif('5) Release_Track'!$G:$G,$B21)=0),"NO CATALOG ID MATCH in Release_Track",iserror(vlookup($A21&amp;$B21,'5) Release_Track'!$F:$F&amp;'5) Release_Track'!$G:$G,1,0)),"NO ISRC-CATALOG ID pair MATCH in Release_Track" )</f>
        <v>Bambukat (From "Bambukat" Soundtrack)</v>
      </c>
      <c r="D21" s="121" t="str">
        <f t="array" ref="D21">ifs(and(isblank($A21),isblank($B21)),"", not(iserror(vlookup($A21&amp;$B21,'5) Release_Track'!$F:$F&amp;'5) Release_Track'!$G:$G,1,0))),vlookup($A21&amp;$B21,{'5) Release_Track'!$F:$F&amp;'5) Release_Track'!$G:$G,'5) Release_Track'!$I:$I},2,0), or(and(not(isblank($B21)),$B21=$B19,$A21&lt;&gt;$A19),and(not(isblank($A21)),$A21=$A19,$B21&lt;&gt;$B19)),"ID LISTS UNALIGNED",and($A21&lt;&gt;"",countif('5) Release_Track'!$F:$F,$A21)=0),"NO ISRC MATCH in Release_Track",and($B21&lt;&gt;"",countif('5) Release_Track'!$G:$G,$B21)=0),"NO CATALOG ID MATCH in Release_Track",iserror(vlookup($A21&amp;$B21,'5) Release_Track'!$F:$F&amp;'5) Release_Track'!$G:$G,1,0)),"NO ISRC-CATALOG ID pair MATCH in Release_Track" )</f>
        <v/>
      </c>
      <c r="E21" s="44" t="s">
        <v>55</v>
      </c>
      <c r="F21" s="8" t="s">
        <v>323</v>
      </c>
      <c r="G21" s="123" t="str">
        <f t="array" ref="G21">ifs(or($F21="",$F21="Main Primary Artist"),$F21,not(iserror(vlookup($F21,'Reference info'!$J$5:$J$8,1,0))),"Key Artist",not(iserror(vlookup($F21,'Reference info'!$J$38:$J$405,1,0))),"Performer",not(iserror(vlookup($F21,'Reference info'!$J$10:$J$36,1,0))),"Producer &amp; Engineer")</f>
        <v>Main Primary Artist</v>
      </c>
    </row>
    <row r="22">
      <c r="A22" s="44" t="s">
        <v>385</v>
      </c>
      <c r="B22" s="103"/>
      <c r="C22" s="121" t="str">
        <f t="array" ref="C22">ifs(and(isblank($A22),isblank($B22)),"", not(iserror(vlookup($A22&amp;$B22,'5) Release_Track'!$F:$F&amp;'5) Release_Track'!$G:$G,1,0))),vlookup($A22&amp;$B22,{'5) Release_Track'!$F:$F&amp;'5) Release_Track'!$G:$G,'5) Release_Track'!$H:$H},2,0), or(and(not(isblank($B22)),$B22=$B21,$A22&lt;&gt;$A21),and(not(isblank($A22)),$A22=$A21,$B22&lt;&gt;$B21)),"ID LISTS UNALIGNED",and($A22&lt;&gt;"",countif('5) Release_Track'!$F:$F,$A22)=0),"NO ISRC MATCH in Release_Track",and($B22&lt;&gt;"",countif('5) Release_Track'!$G:$G,$B22)=0),"NO CATALOG ID MATCH in Release_Track",iserror(vlookup($A22&amp;$B22,'5) Release_Track'!$F:$F&amp;'5) Release_Track'!$G:$G,1,0)),"NO ISRC-CATALOG ID pair MATCH in Release_Track" )</f>
        <v>Bambukat (From "Bambukat" Soundtrack)</v>
      </c>
      <c r="D22" s="121" t="str">
        <f t="array" ref="D22">ifs(and(isblank($A22),isblank($B22)),"", not(iserror(vlookup($A22&amp;$B22,'5) Release_Track'!$F:$F&amp;'5) Release_Track'!$G:$G,1,0))),vlookup($A22&amp;$B22,{'5) Release_Track'!$F:$F&amp;'5) Release_Track'!$G:$G,'5) Release_Track'!$I:$I},2,0), or(and(not(isblank($B22)),$B22=$B21,$A22&lt;&gt;$A21),and(not(isblank($A22)),$A22=$A21,$B22&lt;&gt;$B21)),"ID LISTS UNALIGNED",and($A22&lt;&gt;"",countif('5) Release_Track'!$F:$F,$A22)=0),"NO ISRC MATCH in Release_Track",and($B22&lt;&gt;"",countif('5) Release_Track'!$G:$G,$B22)=0),"NO CATALOG ID MATCH in Release_Track",iserror(vlookup($A22&amp;$B22,'5) Release_Track'!$F:$F&amp;'5) Release_Track'!$G:$G,1,0)),"NO ISRC-CATALOG ID pair MATCH in Release_Track" )</f>
        <v/>
      </c>
      <c r="E22" s="44" t="s">
        <v>51</v>
      </c>
      <c r="F22" s="8" t="s">
        <v>325</v>
      </c>
      <c r="G22" s="123" t="str">
        <f t="array" ref="G22">ifs(or($F22="",$F22="Main Primary Artist"),$F22,not(iserror(vlookup($F22,'Reference info'!$J$5:$J$8,1,0))),"Key Artist",not(iserror(vlookup($F22,'Reference info'!$J$38:$J$405,1,0))),"Performer",not(iserror(vlookup($F22,'Reference info'!$J$10:$J$36,1,0))),"Producer &amp; Engineer")</f>
        <v>Key Artist</v>
      </c>
    </row>
    <row r="23">
      <c r="A23" s="44" t="s">
        <v>387</v>
      </c>
      <c r="B23" s="103"/>
      <c r="C23" s="121" t="str">
        <f t="array" ref="C23">ifs(and(isblank($A23),isblank($B23)),"", not(iserror(vlookup($A23&amp;$B23,'5) Release_Track'!$F:$F&amp;'5) Release_Track'!$G:$G,1,0))),vlookup($A23&amp;$B23,{'5) Release_Track'!$F:$F&amp;'5) Release_Track'!$G:$G,'5) Release_Track'!$H:$H},2,0), or(and(not(isblank($B23)),$B23=$B22,$A23&lt;&gt;$A22),and(not(isblank($A23)),$A23=$A22,$B23&lt;&gt;$B22)),"ID LISTS UNALIGNED",and($A23&lt;&gt;"",countif('5) Release_Track'!$F:$F,$A23)=0),"NO ISRC MATCH in Release_Track",and($B23&lt;&gt;"",countif('5) Release_Track'!$G:$G,$B23)=0),"NO CATALOG ID MATCH in Release_Track",iserror(vlookup($A23&amp;$B23,'5) Release_Track'!$F:$F&amp;'5) Release_Track'!$G:$G,1,0)),"NO ISRC-CATALOG ID pair MATCH in Release_Track" )</f>
        <v>Chann Ve</v>
      </c>
      <c r="D23" s="121" t="str">
        <f t="array" ref="D23">ifs(and(isblank($A23),isblank($B23)),"", not(iserror(vlookup($A23&amp;$B23,'5) Release_Track'!$F:$F&amp;'5) Release_Track'!$G:$G,1,0))),vlookup($A23&amp;$B23,{'5) Release_Track'!$F:$F&amp;'5) Release_Track'!$G:$G,'5) Release_Track'!$I:$I},2,0), or(and(not(isblank($B23)),$B23=$B22,$A23&lt;&gt;$A22),and(not(isblank($A23)),$A23=$A22,$B23&lt;&gt;$B22)),"ID LISTS UNALIGNED",and($A23&lt;&gt;"",countif('5) Release_Track'!$F:$F,$A23)=0),"NO ISRC MATCH in Release_Track",and($B23&lt;&gt;"",countif('5) Release_Track'!$G:$G,$B23)=0),"NO CATALOG ID MATCH in Release_Track",iserror(vlookup($A23&amp;$B23,'5) Release_Track'!$F:$F&amp;'5) Release_Track'!$G:$G,1,0)),"NO ISRC-CATALOG ID pair MATCH in Release_Track" )</f>
        <v/>
      </c>
      <c r="E23" s="44" t="s">
        <v>57</v>
      </c>
      <c r="F23" s="8" t="s">
        <v>323</v>
      </c>
      <c r="G23" s="123" t="str">
        <f t="array" ref="G23">ifs(or($F23="",$F23="Main Primary Artist"),$F23,not(iserror(vlookup($F23,'Reference info'!$J$5:$J$8,1,0))),"Key Artist",not(iserror(vlookup($F23,'Reference info'!$J$38:$J$405,1,0))),"Performer",not(iserror(vlookup($F23,'Reference info'!$J$10:$J$36,1,0))),"Producer &amp; Engineer")</f>
        <v>Main Primary Artist</v>
      </c>
    </row>
    <row r="24">
      <c r="A24" s="44" t="s">
        <v>387</v>
      </c>
      <c r="B24" s="103"/>
      <c r="C24" s="121" t="str">
        <f t="array" ref="C24">ifs(and(isblank($A24),isblank($B24)),"", not(iserror(vlookup($A24&amp;$B24,'5) Release_Track'!$F:$F&amp;'5) Release_Track'!$G:$G,1,0))),vlookup($A24&amp;$B24,{'5) Release_Track'!$F:$F&amp;'5) Release_Track'!$G:$G,'5) Release_Track'!$H:$H},2,0), or(and(not(isblank($B24)),$B24=$B23,$A24&lt;&gt;$A23),and(not(isblank($A24)),$A24=$A23,$B24&lt;&gt;$B23)),"ID LISTS UNALIGNED",and($A24&lt;&gt;"",countif('5) Release_Track'!$F:$F,$A24)=0),"NO ISRC MATCH in Release_Track",and($B24&lt;&gt;"",countif('5) Release_Track'!$G:$G,$B24)=0),"NO CATALOG ID MATCH in Release_Track",iserror(vlookup($A24&amp;$B24,'5) Release_Track'!$F:$F&amp;'5) Release_Track'!$G:$G,1,0)),"NO ISRC-CATALOG ID pair MATCH in Release_Track" )</f>
        <v>Chann Ve</v>
      </c>
      <c r="D24" s="121" t="str">
        <f t="array" ref="D24">ifs(and(isblank($A24),isblank($B24)),"", not(iserror(vlookup($A24&amp;$B24,'5) Release_Track'!$F:$F&amp;'5) Release_Track'!$G:$G,1,0))),vlookup($A24&amp;$B24,{'5) Release_Track'!$F:$F&amp;'5) Release_Track'!$G:$G,'5) Release_Track'!$I:$I},2,0), or(and(not(isblank($B24)),$B24=$B23,$A24&lt;&gt;$A23),and(not(isblank($A24)),$A24=$A23,$B24&lt;&gt;$B23)),"ID LISTS UNALIGNED",and($A24&lt;&gt;"",countif('5) Release_Track'!$F:$F,$A24)=0),"NO ISRC MATCH in Release_Track",and($B24&lt;&gt;"",countif('5) Release_Track'!$G:$G,$B24)=0),"NO CATALOG ID MATCH in Release_Track",iserror(vlookup($A24&amp;$B24,'5) Release_Track'!$F:$F&amp;'5) Release_Track'!$G:$G,1,0)),"NO ISRC-CATALOG ID pair MATCH in Release_Track" )</f>
        <v/>
      </c>
      <c r="E24" s="44" t="s">
        <v>47</v>
      </c>
      <c r="F24" s="8" t="s">
        <v>325</v>
      </c>
      <c r="G24" s="123" t="str">
        <f t="array" ref="G24">ifs(or($F24="",$F24="Main Primary Artist"),$F24,not(iserror(vlookup($F24,'Reference info'!$J$5:$J$8,1,0))),"Key Artist",not(iserror(vlookup($F24,'Reference info'!$J$38:$J$405,1,0))),"Performer",not(iserror(vlookup($F24,'Reference info'!$J$10:$J$36,1,0))),"Producer &amp; Engineer")</f>
        <v>Key Artist</v>
      </c>
    </row>
    <row r="25">
      <c r="A25" s="44" t="s">
        <v>389</v>
      </c>
      <c r="B25" s="103"/>
      <c r="C25" s="121" t="str">
        <f t="array" ref="C25">ifs(and(isblank($A25),isblank($B25)),"", not(iserror(vlookup($A25&amp;$B25,'5) Release_Track'!$F:$F&amp;'5) Release_Track'!$G:$G,1,0))),vlookup($A25&amp;$B25,{'5) Release_Track'!$F:$F&amp;'5) Release_Track'!$G:$G,'5) Release_Track'!$H:$H},2,0), or(and(not(isblank($B25)),$B25=$B24,$A25&lt;&gt;$A24),and(not(isblank($A25)),$A25=$A24,$B25&lt;&gt;$B24)),"ID LISTS UNALIGNED",and($A25&lt;&gt;"",countif('5) Release_Track'!$F:$F,$A25)=0),"NO ISRC MATCH in Release_Track",and($B25&lt;&gt;"",countif('5) Release_Track'!$G:$G,$B25)=0),"NO CATALOG ID MATCH in Release_Track",iserror(vlookup($A25&amp;$B25,'5) Release_Track'!$F:$F&amp;'5) Release_Track'!$G:$G,1,0)),"NO ISRC-CATALOG ID pair MATCH in Release_Track" )</f>
        <v>Chunni (From "Lahoriye" Soundtrack)</v>
      </c>
      <c r="D25" s="121" t="str">
        <f t="array" ref="D25">ifs(and(isblank($A25),isblank($B25)),"", not(iserror(vlookup($A25&amp;$B25,'5) Release_Track'!$F:$F&amp;'5) Release_Track'!$G:$G,1,0))),vlookup($A25&amp;$B25,{'5) Release_Track'!$F:$F&amp;'5) Release_Track'!$G:$G,'5) Release_Track'!$I:$I},2,0), or(and(not(isblank($B25)),$B25=$B24,$A25&lt;&gt;$A24),and(not(isblank($A25)),$A25=$A24,$B25&lt;&gt;$B24)),"ID LISTS UNALIGNED",and($A25&lt;&gt;"",countif('5) Release_Track'!$F:$F,$A25)=0),"NO ISRC MATCH in Release_Track",and($B25&lt;&gt;"",countif('5) Release_Track'!$G:$G,$B25)=0),"NO CATALOG ID MATCH in Release_Track",iserror(vlookup($A25&amp;$B25,'5) Release_Track'!$F:$F&amp;'5) Release_Track'!$G:$G,1,0)),"NO ISRC-CATALOG ID pair MATCH in Release_Track" )</f>
        <v/>
      </c>
      <c r="E25" s="44" t="s">
        <v>49</v>
      </c>
      <c r="F25" s="8" t="s">
        <v>323</v>
      </c>
      <c r="G25" s="123" t="str">
        <f t="array" ref="G25">ifs(or($F25="",$F25="Main Primary Artist"),$F25,not(iserror(vlookup($F25,'Reference info'!$J$5:$J$8,1,0))),"Key Artist",not(iserror(vlookup($F25,'Reference info'!$J$38:$J$405,1,0))),"Performer",not(iserror(vlookup($F25,'Reference info'!$J$10:$J$36,1,0))),"Producer &amp; Engineer")</f>
        <v>Main Primary Artist</v>
      </c>
    </row>
    <row r="26">
      <c r="A26" s="44" t="s">
        <v>389</v>
      </c>
      <c r="B26" s="103"/>
      <c r="C26" s="121" t="str">
        <f t="array" ref="C26">ifs(and(isblank($A26),isblank($B26)),"", not(iserror(vlookup($A26&amp;$B26,'5) Release_Track'!$F:$F&amp;'5) Release_Track'!$G:$G,1,0))),vlookup($A26&amp;$B26,{'5) Release_Track'!$F:$F&amp;'5) Release_Track'!$G:$G,'5) Release_Track'!$H:$H},2,0), or(and(not(isblank($B26)),$B26=$B25,$A26&lt;&gt;$A25),and(not(isblank($A26)),$A26=$A25,$B26&lt;&gt;$B25)),"ID LISTS UNALIGNED",and($A26&lt;&gt;"",countif('5) Release_Track'!$F:$F,$A26)=0),"NO ISRC MATCH in Release_Track",and($B26&lt;&gt;"",countif('5) Release_Track'!$G:$G,$B26)=0),"NO CATALOG ID MATCH in Release_Track",iserror(vlookup($A26&amp;$B26,'5) Release_Track'!$F:$F&amp;'5) Release_Track'!$G:$G,1,0)),"NO ISRC-CATALOG ID pair MATCH in Release_Track" )</f>
        <v>Chunni (From "Lahoriye" Soundtrack)</v>
      </c>
      <c r="D26" s="121" t="str">
        <f t="array" ref="D26">ifs(and(isblank($A26),isblank($B26)),"", not(iserror(vlookup($A26&amp;$B26,'5) Release_Track'!$F:$F&amp;'5) Release_Track'!$G:$G,1,0))),vlookup($A26&amp;$B26,{'5) Release_Track'!$F:$F&amp;'5) Release_Track'!$G:$G,'5) Release_Track'!$I:$I},2,0), or(and(not(isblank($B26)),$B26=$B25,$A26&lt;&gt;$A25),and(not(isblank($A26)),$A26=$A25,$B26&lt;&gt;$B25)),"ID LISTS UNALIGNED",and($A26&lt;&gt;"",countif('5) Release_Track'!$F:$F,$A26)=0),"NO ISRC MATCH in Release_Track",and($B26&lt;&gt;"",countif('5) Release_Track'!$G:$G,$B26)=0),"NO CATALOG ID MATCH in Release_Track",iserror(vlookup($A26&amp;$B26,'5) Release_Track'!$F:$F&amp;'5) Release_Track'!$G:$G,1,0)),"NO ISRC-CATALOG ID pair MATCH in Release_Track" )</f>
        <v/>
      </c>
      <c r="E26" s="44" t="s">
        <v>51</v>
      </c>
      <c r="F26" s="8" t="s">
        <v>325</v>
      </c>
      <c r="G26" s="123" t="str">
        <f t="array" ref="G26">ifs(or($F26="",$F26="Main Primary Artist"),$F26,not(iserror(vlookup($F26,'Reference info'!$J$5:$J$8,1,0))),"Key Artist",not(iserror(vlookup($F26,'Reference info'!$J$38:$J$405,1,0))),"Performer",not(iserror(vlookup($F26,'Reference info'!$J$10:$J$36,1,0))),"Producer &amp; Engineer")</f>
        <v>Key Artist</v>
      </c>
    </row>
    <row r="27">
      <c r="A27" s="44" t="s">
        <v>391</v>
      </c>
      <c r="B27" s="103"/>
      <c r="C27" s="121" t="str">
        <f t="array" ref="C27">ifs(and(isblank($A27),isblank($B27)),"", not(iserror(vlookup($A27&amp;$B27,'5) Release_Track'!$F:$F&amp;'5) Release_Track'!$G:$G,1,0))),vlookup($A27&amp;$B27,{'5) Release_Track'!$F:$F&amp;'5) Release_Track'!$G:$G,'5) Release_Track'!$H:$H},2,0), or(and(not(isblank($B27)),$B27=$B26,$A27&lt;&gt;$A26),and(not(isblank($A27)),$A27=$A26,$B27&lt;&gt;$B26)),"ID LISTS UNALIGNED",and($A27&lt;&gt;"",countif('5) Release_Track'!$F:$F,$A27)=0),"NO ISRC MATCH in Release_Track",and($B27&lt;&gt;"",countif('5) Release_Track'!$G:$G,$B27)=0),"NO CATALOG ID MATCH in Release_Track",iserror(vlookup($A27&amp;$B27,'5) Release_Track'!$F:$F&amp;'5) Release_Track'!$G:$G,1,0)),"NO ISRC-CATALOG ID pair MATCH in Release_Track" )</f>
        <v>Daana Paani - Title Song (From "Daana Paani" Soundtrack)</v>
      </c>
      <c r="D27" s="121" t="str">
        <f t="array" ref="D27">ifs(and(isblank($A27),isblank($B27)),"", not(iserror(vlookup($A27&amp;$B27,'5) Release_Track'!$F:$F&amp;'5) Release_Track'!$G:$G,1,0))),vlookup($A27&amp;$B27,{'5) Release_Track'!$F:$F&amp;'5) Release_Track'!$G:$G,'5) Release_Track'!$I:$I},2,0), or(and(not(isblank($B27)),$B27=$B26,$A27&lt;&gt;$A26),and(not(isblank($A27)),$A27=$A26,$B27&lt;&gt;$B26)),"ID LISTS UNALIGNED",and($A27&lt;&gt;"",countif('5) Release_Track'!$F:$F,$A27)=0),"NO ISRC MATCH in Release_Track",and($B27&lt;&gt;"",countif('5) Release_Track'!$G:$G,$B27)=0),"NO CATALOG ID MATCH in Release_Track",iserror(vlookup($A27&amp;$B27,'5) Release_Track'!$F:$F&amp;'5) Release_Track'!$G:$G,1,0)),"NO ISRC-CATALOG ID pair MATCH in Release_Track" )</f>
        <v/>
      </c>
      <c r="E27" s="44" t="s">
        <v>59</v>
      </c>
      <c r="F27" s="8" t="s">
        <v>323</v>
      </c>
      <c r="G27" s="123" t="str">
        <f t="array" ref="G27">ifs(or($F27="",$F27="Main Primary Artist"),$F27,not(iserror(vlookup($F27,'Reference info'!$J$5:$J$8,1,0))),"Key Artist",not(iserror(vlookup($F27,'Reference info'!$J$38:$J$405,1,0))),"Performer",not(iserror(vlookup($F27,'Reference info'!$J$10:$J$36,1,0))),"Producer &amp; Engineer")</f>
        <v>Main Primary Artist</v>
      </c>
    </row>
    <row r="28">
      <c r="A28" s="44" t="s">
        <v>391</v>
      </c>
      <c r="B28" s="103"/>
      <c r="C28" s="121" t="str">
        <f t="array" ref="C28">ifs(and(isblank($A28),isblank($B28)),"", not(iserror(vlookup($A28&amp;$B28,'5) Release_Track'!$F:$F&amp;'5) Release_Track'!$G:$G,1,0))),vlookup($A28&amp;$B28,{'5) Release_Track'!$F:$F&amp;'5) Release_Track'!$G:$G,'5) Release_Track'!$H:$H},2,0), or(and(not(isblank($B28)),$B28=$B27,$A28&lt;&gt;$A27),and(not(isblank($A28)),$A28=$A27,$B28&lt;&gt;$B27)),"ID LISTS UNALIGNED",and($A28&lt;&gt;"",countif('5) Release_Track'!$F:$F,$A28)=0),"NO ISRC MATCH in Release_Track",and($B28&lt;&gt;"",countif('5) Release_Track'!$G:$G,$B28)=0),"NO CATALOG ID MATCH in Release_Track",iserror(vlookup($A28&amp;$B28,'5) Release_Track'!$F:$F&amp;'5) Release_Track'!$G:$G,1,0)),"NO ISRC-CATALOG ID pair MATCH in Release_Track" )</f>
        <v>Daana Paani - Title Song (From "Daana Paani" Soundtrack)</v>
      </c>
      <c r="D28" s="121" t="str">
        <f t="array" ref="D28">ifs(and(isblank($A28),isblank($B28)),"", not(iserror(vlookup($A28&amp;$B28,'5) Release_Track'!$F:$F&amp;'5) Release_Track'!$G:$G,1,0))),vlookup($A28&amp;$B28,{'5) Release_Track'!$F:$F&amp;'5) Release_Track'!$G:$G,'5) Release_Track'!$I:$I},2,0), or(and(not(isblank($B28)),$B28=$B27,$A28&lt;&gt;$A27),and(not(isblank($A28)),$A28=$A27,$B28&lt;&gt;$B27)),"ID LISTS UNALIGNED",and($A28&lt;&gt;"",countif('5) Release_Track'!$F:$F,$A28)=0),"NO ISRC MATCH in Release_Track",and($B28&lt;&gt;"",countif('5) Release_Track'!$G:$G,$B28)=0),"NO CATALOG ID MATCH in Release_Track",iserror(vlookup($A28&amp;$B28,'5) Release_Track'!$F:$F&amp;'5) Release_Track'!$G:$G,1,0)),"NO ISRC-CATALOG ID pair MATCH in Release_Track" )</f>
        <v/>
      </c>
      <c r="E28" s="44" t="s">
        <v>61</v>
      </c>
      <c r="F28" s="8" t="s">
        <v>325</v>
      </c>
      <c r="G28" s="123" t="str">
        <f t="array" ref="G28">ifs(or($F28="",$F28="Main Primary Artist"),$F28,not(iserror(vlookup($F28,'Reference info'!$J$5:$J$8,1,0))),"Key Artist",not(iserror(vlookup($F28,'Reference info'!$J$38:$J$405,1,0))),"Performer",not(iserror(vlookup($F28,'Reference info'!$J$10:$J$36,1,0))),"Producer &amp; Engineer")</f>
        <v>Key Artist</v>
      </c>
    </row>
    <row r="29">
      <c r="A29" s="44" t="s">
        <v>393</v>
      </c>
      <c r="B29" s="103"/>
      <c r="C29" s="121" t="str">
        <f t="array" ref="C29">ifs(and(isblank($A29),isblank($B29)),"", not(iserror(vlookup($A29&amp;$B29,'5) Release_Track'!$F:$F&amp;'5) Release_Track'!$G:$G,1,0))),vlookup($A29&amp;$B29,{'5) Release_Track'!$F:$F&amp;'5) Release_Track'!$G:$G,'5) Release_Track'!$H:$H},2,0), or(and(not(isblank($B29)),$B29=$B28,$A29&lt;&gt;$A28),and(not(isblank($A29)),$A29=$A28,$B29&lt;&gt;$B28)),"ID LISTS UNALIGNED",and($A29&lt;&gt;"",countif('5) Release_Track'!$F:$F,$A29)=0),"NO ISRC MATCH in Release_Track",and($B29&lt;&gt;"",countif('5) Release_Track'!$G:$G,$B29)=0),"NO CATALOG ID MATCH in Release_Track",iserror(vlookup($A29&amp;$B29,'5) Release_Track'!$F:$F&amp;'5) Release_Track'!$G:$G,1,0)),"NO ISRC-CATALOG ID pair MATCH in Release_Track" )</f>
        <v>Daana Paani (From "Daana Paani" Soundtrack)</v>
      </c>
      <c r="D29" s="121" t="str">
        <f t="array" ref="D29">ifs(and(isblank($A29),isblank($B29)),"", not(iserror(vlookup($A29&amp;$B29,'5) Release_Track'!$F:$F&amp;'5) Release_Track'!$G:$G,1,0))),vlookup($A29&amp;$B29,{'5) Release_Track'!$F:$F&amp;'5) Release_Track'!$G:$G,'5) Release_Track'!$I:$I},2,0), or(and(not(isblank($B29)),$B29=$B28,$A29&lt;&gt;$A28),and(not(isblank($A29)),$A29=$A28,$B29&lt;&gt;$B28)),"ID LISTS UNALIGNED",and($A29&lt;&gt;"",countif('5) Release_Track'!$F:$F,$A29)=0),"NO ISRC MATCH in Release_Track",and($B29&lt;&gt;"",countif('5) Release_Track'!$G:$G,$B29)=0),"NO CATALOG ID MATCH in Release_Track",iserror(vlookup($A29&amp;$B29,'5) Release_Track'!$F:$F&amp;'5) Release_Track'!$G:$G,1,0)),"NO ISRC-CATALOG ID pair MATCH in Release_Track" )</f>
        <v/>
      </c>
      <c r="E29" s="44" t="s">
        <v>49</v>
      </c>
      <c r="F29" s="8" t="s">
        <v>323</v>
      </c>
      <c r="G29" s="123" t="str">
        <f t="array" ref="G29">ifs(or($F29="",$F29="Main Primary Artist"),$F29,not(iserror(vlookup($F29,'Reference info'!$J$5:$J$8,1,0))),"Key Artist",not(iserror(vlookup($F29,'Reference info'!$J$38:$J$405,1,0))),"Performer",not(iserror(vlookup($F29,'Reference info'!$J$10:$J$36,1,0))),"Producer &amp; Engineer")</f>
        <v>Main Primary Artist</v>
      </c>
    </row>
    <row r="30">
      <c r="A30" s="44" t="s">
        <v>393</v>
      </c>
      <c r="B30" s="103"/>
      <c r="C30" s="121" t="str">
        <f t="array" ref="C30">ifs(and(isblank($A30),isblank($B30)),"", not(iserror(vlookup($A30&amp;$B30,'5) Release_Track'!$F:$F&amp;'5) Release_Track'!$G:$G,1,0))),vlookup($A30&amp;$B30,{'5) Release_Track'!$F:$F&amp;'5) Release_Track'!$G:$G,'5) Release_Track'!$H:$H},2,0), or(and(not(isblank($B30)),$B30=$B29,$A30&lt;&gt;$A29),and(not(isblank($A30)),$A30=$A29,$B30&lt;&gt;$B29)),"ID LISTS UNALIGNED",and($A30&lt;&gt;"",countif('5) Release_Track'!$F:$F,$A30)=0),"NO ISRC MATCH in Release_Track",and($B30&lt;&gt;"",countif('5) Release_Track'!$G:$G,$B30)=0),"NO CATALOG ID MATCH in Release_Track",iserror(vlookup($A30&amp;$B30,'5) Release_Track'!$F:$F&amp;'5) Release_Track'!$G:$G,1,0)),"NO ISRC-CATALOG ID pair MATCH in Release_Track" )</f>
        <v>Daana Paani (From "Daana Paani" Soundtrack)</v>
      </c>
      <c r="D30" s="121" t="str">
        <f t="array" ref="D30">ifs(and(isblank($A30),isblank($B30)),"", not(iserror(vlookup($A30&amp;$B30,'5) Release_Track'!$F:$F&amp;'5) Release_Track'!$G:$G,1,0))),vlookup($A30&amp;$B30,{'5) Release_Track'!$F:$F&amp;'5) Release_Track'!$G:$G,'5) Release_Track'!$I:$I},2,0), or(and(not(isblank($B30)),$B30=$B29,$A30&lt;&gt;$A29),and(not(isblank($A30)),$A30=$A29,$B30&lt;&gt;$B29)),"ID LISTS UNALIGNED",and($A30&lt;&gt;"",countif('5) Release_Track'!$F:$F,$A30)=0),"NO ISRC MATCH in Release_Track",and($B30&lt;&gt;"",countif('5) Release_Track'!$G:$G,$B30)=0),"NO CATALOG ID MATCH in Release_Track",iserror(vlookup($A30&amp;$B30,'5) Release_Track'!$F:$F&amp;'5) Release_Track'!$G:$G,1,0)),"NO ISRC-CATALOG ID pair MATCH in Release_Track" )</f>
        <v/>
      </c>
      <c r="E30" s="44" t="s">
        <v>63</v>
      </c>
      <c r="F30" s="8" t="s">
        <v>325</v>
      </c>
      <c r="G30" s="123" t="str">
        <f t="array" ref="G30">ifs(or($F30="",$F30="Main Primary Artist"),$F30,not(iserror(vlookup($F30,'Reference info'!$J$5:$J$8,1,0))),"Key Artist",not(iserror(vlookup($F30,'Reference info'!$J$38:$J$405,1,0))),"Performer",not(iserror(vlookup($F30,'Reference info'!$J$10:$J$36,1,0))),"Producer &amp; Engineer")</f>
        <v>Key Artist</v>
      </c>
    </row>
    <row r="31">
      <c r="A31" s="44" t="s">
        <v>395</v>
      </c>
      <c r="B31" s="103"/>
      <c r="C31" s="121" t="str">
        <f t="array" ref="C31">ifs(and(isblank($A31),isblank($B31)),"", not(iserror(vlookup($A31&amp;$B31,'5) Release_Track'!$F:$F&amp;'5) Release_Track'!$G:$G,1,0))),vlookup($A31&amp;$B31,{'5) Release_Track'!$F:$F&amp;'5) Release_Track'!$G:$G,'5) Release_Track'!$H:$H},2,0), or(and(not(isblank($B31)),$B31=$B30,$A31&lt;&gt;$A30),and(not(isblank($A31)),$A31=$A30,$B31&lt;&gt;$B30)),"ID LISTS UNALIGNED",and($A31&lt;&gt;"",countif('5) Release_Track'!$F:$F,$A31)=0),"NO ISRC MATCH in Release_Track",and($B31&lt;&gt;"",countif('5) Release_Track'!$G:$G,$B31)=0),"NO CATALOG ID MATCH in Release_Track",iserror(vlookup($A31&amp;$B31,'5) Release_Track'!$F:$F&amp;'5) Release_Track'!$G:$G,1,0)),"NO ISRC-CATALOG ID pair MATCH in Release_Track" )</f>
        <v>Dil Di Dua (From "Bhalwan Singh" Soundtrack)</v>
      </c>
      <c r="D31" s="121" t="str">
        <f t="array" ref="D31">ifs(and(isblank($A31),isblank($B31)),"", not(iserror(vlookup($A31&amp;$B31,'5) Release_Track'!$F:$F&amp;'5) Release_Track'!$G:$G,1,0))),vlookup($A31&amp;$B31,{'5) Release_Track'!$F:$F&amp;'5) Release_Track'!$G:$G,'5) Release_Track'!$I:$I},2,0), or(and(not(isblank($B31)),$B31=$B30,$A31&lt;&gt;$A30),and(not(isblank($A31)),$A31=$A30,$B31&lt;&gt;$B30)),"ID LISTS UNALIGNED",and($A31&lt;&gt;"",countif('5) Release_Track'!$F:$F,$A31)=0),"NO ISRC MATCH in Release_Track",and($B31&lt;&gt;"",countif('5) Release_Track'!$G:$G,$B31)=0),"NO CATALOG ID MATCH in Release_Track",iserror(vlookup($A31&amp;$B31,'5) Release_Track'!$F:$F&amp;'5) Release_Track'!$G:$G,1,0)),"NO ISRC-CATALOG ID pair MATCH in Release_Track" )</f>
        <v/>
      </c>
      <c r="E31" s="44" t="s">
        <v>49</v>
      </c>
      <c r="F31" s="8" t="s">
        <v>323</v>
      </c>
      <c r="G31" s="123" t="str">
        <f t="array" ref="G31">ifs(or($F31="",$F31="Main Primary Artist"),$F31,not(iserror(vlookup($F31,'Reference info'!$J$5:$J$8,1,0))),"Key Artist",not(iserror(vlookup($F31,'Reference info'!$J$38:$J$405,1,0))),"Performer",not(iserror(vlookup($F31,'Reference info'!$J$10:$J$36,1,0))),"Producer &amp; Engineer")</f>
        <v>Main Primary Artist</v>
      </c>
    </row>
    <row r="32">
      <c r="A32" s="44" t="s">
        <v>395</v>
      </c>
      <c r="B32" s="103"/>
      <c r="C32" s="121" t="str">
        <f t="array" ref="C32">ifs(and(isblank($A32),isblank($B32)),"", not(iserror(vlookup($A32&amp;$B32,'5) Release_Track'!$F:$F&amp;'5) Release_Track'!$G:$G,1,0))),vlookup($A32&amp;$B32,{'5) Release_Track'!$F:$F&amp;'5) Release_Track'!$G:$G,'5) Release_Track'!$H:$H},2,0), or(and(not(isblank($B32)),$B32=$B31,$A32&lt;&gt;$A31),and(not(isblank($A32)),$A32=$A31,$B32&lt;&gt;$B31)),"ID LISTS UNALIGNED",and($A32&lt;&gt;"",countif('5) Release_Track'!$F:$F,$A32)=0),"NO ISRC MATCH in Release_Track",and($B32&lt;&gt;"",countif('5) Release_Track'!$G:$G,$B32)=0),"NO CATALOG ID MATCH in Release_Track",iserror(vlookup($A32&amp;$B32,'5) Release_Track'!$F:$F&amp;'5) Release_Track'!$G:$G,1,0)),"NO ISRC-CATALOG ID pair MATCH in Release_Track" )</f>
        <v>Dil Di Dua (From "Bhalwan Singh" Soundtrack)</v>
      </c>
      <c r="D32" s="121" t="str">
        <f t="array" ref="D32">ifs(and(isblank($A32),isblank($B32)),"", not(iserror(vlookup($A32&amp;$B32,'5) Release_Track'!$F:$F&amp;'5) Release_Track'!$G:$G,1,0))),vlookup($A32&amp;$B32,{'5) Release_Track'!$F:$F&amp;'5) Release_Track'!$G:$G,'5) Release_Track'!$I:$I},2,0), or(and(not(isblank($B32)),$B32=$B31,$A32&lt;&gt;$A31),and(not(isblank($A32)),$A32=$A31,$B32&lt;&gt;$B31)),"ID LISTS UNALIGNED",and($A32&lt;&gt;"",countif('5) Release_Track'!$F:$F,$A32)=0),"NO ISRC MATCH in Release_Track",and($B32&lt;&gt;"",countif('5) Release_Track'!$G:$G,$B32)=0),"NO CATALOG ID MATCH in Release_Track",iserror(vlookup($A32&amp;$B32,'5) Release_Track'!$F:$F&amp;'5) Release_Track'!$G:$G,1,0)),"NO ISRC-CATALOG ID pair MATCH in Release_Track" )</f>
        <v/>
      </c>
      <c r="E32" s="44" t="s">
        <v>47</v>
      </c>
      <c r="F32" s="8" t="s">
        <v>325</v>
      </c>
      <c r="G32" s="123" t="str">
        <f t="array" ref="G32">ifs(or($F32="",$F32="Main Primary Artist"),$F32,not(iserror(vlookup($F32,'Reference info'!$J$5:$J$8,1,0))),"Key Artist",not(iserror(vlookup($F32,'Reference info'!$J$38:$J$405,1,0))),"Performer",not(iserror(vlookup($F32,'Reference info'!$J$10:$J$36,1,0))),"Producer &amp; Engineer")</f>
        <v>Key Artist</v>
      </c>
    </row>
    <row r="33">
      <c r="A33" s="44" t="s">
        <v>397</v>
      </c>
      <c r="B33" s="120"/>
      <c r="C33" s="121" t="str">
        <f t="array" ref="C33">ifs(and(isblank($A33),isblank($B33)),"", not(iserror(vlookup($A33&amp;$B33,'5) Release_Track'!$F:$F&amp;'5) Release_Track'!$G:$G,1,0))),vlookup($A33&amp;$B33,{'5) Release_Track'!$F:$F&amp;'5) Release_Track'!$G:$G,'5) Release_Track'!$H:$H},2,0), or(and(not(isblank($B33)),$B33=$B32,$A33&lt;&gt;$A32),and(not(isblank($A33)),$A33=$A32,$B33&lt;&gt;$B32)),"ID LISTS UNALIGNED",and($A33&lt;&gt;"",countif('5) Release_Track'!$F:$F,$A33)=0),"NO ISRC MATCH in Release_Track",and($B33&lt;&gt;"",countif('5) Release_Track'!$G:$G,$B33)=0),"NO CATALOG ID MATCH in Release_Track",iserror(vlookup($A33&amp;$B33,'5) Release_Track'!$F:$F&amp;'5) Release_Track'!$G:$G,1,0)),"NO ISRC-CATALOG ID pair MATCH in Release_Track" )</f>
        <v>Geetkariyan</v>
      </c>
      <c r="D33" s="121" t="str">
        <f t="array" ref="D33">ifs(and(isblank($A33),isblank($B33)),"", not(iserror(vlookup($A33&amp;$B33,'5) Release_Track'!$F:$F&amp;'5) Release_Track'!$G:$G,1,0))),vlookup($A33&amp;$B33,{'5) Release_Track'!$F:$F&amp;'5) Release_Track'!$G:$G,'5) Release_Track'!$I:$I},2,0), or(and(not(isblank($B33)),$B33=$B32,$A33&lt;&gt;$A32),and(not(isblank($A33)),$A33=$A32,$B33&lt;&gt;$B32)),"ID LISTS UNALIGNED",and($A33&lt;&gt;"",countif('5) Release_Track'!$F:$F,$A33)=0),"NO ISRC MATCH in Release_Track",and($B33&lt;&gt;"",countif('5) Release_Track'!$G:$G,$B33)=0),"NO CATALOG ID MATCH in Release_Track",iserror(vlookup($A33&amp;$B33,'5) Release_Track'!$F:$F&amp;'5) Release_Track'!$G:$G,1,0)),"NO ISRC-CATALOG ID pair MATCH in Release_Track" )</f>
        <v/>
      </c>
      <c r="E33" s="44" t="s">
        <v>57</v>
      </c>
      <c r="F33" s="8" t="s">
        <v>323</v>
      </c>
      <c r="G33" s="123" t="str">
        <f t="array" ref="G33">ifs(or($F33="",$F33="Main Primary Artist"),$F33,not(iserror(vlookup($F33,'Reference info'!$J$5:$J$8,1,0))),"Key Artist",not(iserror(vlookup($F33,'Reference info'!$J$38:$J$405,1,0))),"Performer",not(iserror(vlookup($F33,'Reference info'!$J$10:$J$36,1,0))),"Producer &amp; Engineer")</f>
        <v>Main Primary Artist</v>
      </c>
    </row>
    <row r="34">
      <c r="A34" s="44" t="s">
        <v>397</v>
      </c>
      <c r="B34" s="103"/>
      <c r="C34" s="121" t="str">
        <f t="array" ref="C34">ifs(and(isblank($A34),isblank($B34)),"", not(iserror(vlookup($A34&amp;$B34,'5) Release_Track'!$F:$F&amp;'5) Release_Track'!$G:$G,1,0))),vlookup($A34&amp;$B34,{'5) Release_Track'!$F:$F&amp;'5) Release_Track'!$G:$G,'5) Release_Track'!$H:$H},2,0), or(and(not(isblank($B34)),$B34=$B33,$A34&lt;&gt;$A33),and(not(isblank($A34)),$A34=$A33,$B34&lt;&gt;$B33)),"ID LISTS UNALIGNED",and($A34&lt;&gt;"",countif('5) Release_Track'!$F:$F,$A34)=0),"NO ISRC MATCH in Release_Track",and($B34&lt;&gt;"",countif('5) Release_Track'!$G:$G,$B34)=0),"NO CATALOG ID MATCH in Release_Track",iserror(vlookup($A34&amp;$B34,'5) Release_Track'!$F:$F&amp;'5) Release_Track'!$G:$G,1,0)),"NO ISRC-CATALOG ID pair MATCH in Release_Track" )</f>
        <v>Geetkariyan</v>
      </c>
      <c r="D34" s="121" t="str">
        <f t="array" ref="D34">ifs(and(isblank($A34),isblank($B34)),"", not(iserror(vlookup($A34&amp;$B34,'5) Release_Track'!$F:$F&amp;'5) Release_Track'!$G:$G,1,0))),vlookup($A34&amp;$B34,{'5) Release_Track'!$F:$F&amp;'5) Release_Track'!$G:$G,'5) Release_Track'!$I:$I},2,0), or(and(not(isblank($B34)),$B34=$B33,$A34&lt;&gt;$A33),and(not(isblank($A34)),$A34=$A33,$B34&lt;&gt;$B33)),"ID LISTS UNALIGNED",and($A34&lt;&gt;"",countif('5) Release_Track'!$F:$F,$A34)=0),"NO ISRC MATCH in Release_Track",and($B34&lt;&gt;"",countif('5) Release_Track'!$G:$G,$B34)=0),"NO CATALOG ID MATCH in Release_Track",iserror(vlookup($A34&amp;$B34,'5) Release_Track'!$F:$F&amp;'5) Release_Track'!$G:$G,1,0)),"NO ISRC-CATALOG ID pair MATCH in Release_Track" )</f>
        <v/>
      </c>
      <c r="E34" s="44" t="s">
        <v>65</v>
      </c>
      <c r="F34" s="8" t="s">
        <v>324</v>
      </c>
      <c r="G34" s="123" t="str">
        <f t="array" ref="G34">ifs(or($F34="",$F34="Main Primary Artist"),$F34,not(iserror(vlookup($F34,'Reference info'!$J$5:$J$8,1,0))),"Key Artist",not(iserror(vlookup($F34,'Reference info'!$J$38:$J$405,1,0))),"Performer",not(iserror(vlookup($F34,'Reference info'!$J$10:$J$36,1,0))),"Producer &amp; Engineer")</f>
        <v>Key Artist</v>
      </c>
    </row>
    <row r="35">
      <c r="A35" s="44" t="s">
        <v>397</v>
      </c>
      <c r="B35" s="103"/>
      <c r="C35" s="121" t="str">
        <f t="array" ref="C35">ifs(and(isblank($A35),isblank($B35)),"", not(iserror(vlookup($A35&amp;$B35,'5) Release_Track'!$F:$F&amp;'5) Release_Track'!$G:$G,1,0))),vlookup($A35&amp;$B35,{'5) Release_Track'!$F:$F&amp;'5) Release_Track'!$G:$G,'5) Release_Track'!$H:$H},2,0), or(and(not(isblank($B35)),$B35=$B34,$A35&lt;&gt;$A34),and(not(isblank($A35)),$A35=$A34,$B35&lt;&gt;$B34)),"ID LISTS UNALIGNED",and($A35&lt;&gt;"",countif('5) Release_Track'!$F:$F,$A35)=0),"NO ISRC MATCH in Release_Track",and($B35&lt;&gt;"",countif('5) Release_Track'!$G:$G,$B35)=0),"NO CATALOG ID MATCH in Release_Track",iserror(vlookup($A35&amp;$B35,'5) Release_Track'!$F:$F&amp;'5) Release_Track'!$G:$G,1,0)),"NO ISRC-CATALOG ID pair MATCH in Release_Track" )</f>
        <v>Geetkariyan</v>
      </c>
      <c r="D35" s="121" t="str">
        <f t="array" ref="D35">ifs(and(isblank($A35),isblank($B35)),"", not(iserror(vlookup($A35&amp;$B35,'5) Release_Track'!$F:$F&amp;'5) Release_Track'!$G:$G,1,0))),vlookup($A35&amp;$B35,{'5) Release_Track'!$F:$F&amp;'5) Release_Track'!$G:$G,'5) Release_Track'!$I:$I},2,0), or(and(not(isblank($B35)),$B35=$B34,$A35&lt;&gt;$A34),and(not(isblank($A35)),$A35=$A34,$B35&lt;&gt;$B34)),"ID LISTS UNALIGNED",and($A35&lt;&gt;"",countif('5) Release_Track'!$F:$F,$A35)=0),"NO ISRC MATCH in Release_Track",and($B35&lt;&gt;"",countif('5) Release_Track'!$G:$G,$B35)=0),"NO CATALOG ID MATCH in Release_Track",iserror(vlookup($A35&amp;$B35,'5) Release_Track'!$F:$F&amp;'5) Release_Track'!$G:$G,1,0)),"NO ISRC-CATALOG ID pair MATCH in Release_Track" )</f>
        <v/>
      </c>
      <c r="E35" s="44" t="s">
        <v>47</v>
      </c>
      <c r="F35" s="8" t="s">
        <v>325</v>
      </c>
      <c r="G35" s="123" t="str">
        <f t="array" ref="G35">ifs(or($F35="",$F35="Main Primary Artist"),$F35,not(iserror(vlookup($F35,'Reference info'!$J$5:$J$8,1,0))),"Key Artist",not(iserror(vlookup($F35,'Reference info'!$J$38:$J$405,1,0))),"Performer",not(iserror(vlookup($F35,'Reference info'!$J$10:$J$36,1,0))),"Producer &amp; Engineer")</f>
        <v>Key Artist</v>
      </c>
    </row>
    <row r="36">
      <c r="A36" s="44" t="s">
        <v>413</v>
      </c>
      <c r="B36" s="103"/>
      <c r="C36" s="121" t="str">
        <f t="array" ref="C36">ifs(and(isblank($A36),isblank($B36)),"", not(iserror(vlookup($A36&amp;$B36,'5) Release_Track'!$F:$F&amp;'5) Release_Track'!$G:$G,1,0))),vlookup($A36&amp;$B36,{'5) Release_Track'!$F:$F&amp;'5) Release_Track'!$G:$G,'5) Release_Track'!$H:$H},2,0), or(and(not(isblank($B36)),$B36=$B35,$A36&lt;&gt;$A35),and(not(isblank($A36)),$A36=$A35,$B36&lt;&gt;$B35)),"ID LISTS UNALIGNED",and($A36&lt;&gt;"",countif('5) Release_Track'!$F:$F,$A36)=0),"NO ISRC MATCH in Release_Track",and($B36&lt;&gt;"",countif('5) Release_Track'!$G:$G,$B36)=0),"NO CATALOG ID MATCH in Release_Track",iserror(vlookup($A36&amp;$B36,'5) Release_Track'!$F:$F&amp;'5) Release_Track'!$G:$G,1,0)),"NO ISRC-CATALOG ID pair MATCH in Release_Track" )</f>
        <v>Heerey</v>
      </c>
      <c r="D36" s="121" t="str">
        <f t="array" ref="D36">ifs(and(isblank($A36),isblank($B36)),"", not(iserror(vlookup($A36&amp;$B36,'5) Release_Track'!$F:$F&amp;'5) Release_Track'!$G:$G,1,0))),vlookup($A36&amp;$B36,{'5) Release_Track'!$F:$F&amp;'5) Release_Track'!$G:$G,'5) Release_Track'!$I:$I},2,0), or(and(not(isblank($B36)),$B36=$B35,$A36&lt;&gt;$A35),and(not(isblank($A36)),$A36=$A35,$B36&lt;&gt;$B35)),"ID LISTS UNALIGNED",and($A36&lt;&gt;"",countif('5) Release_Track'!$F:$F,$A36)=0),"NO ISRC MATCH in Release_Track",and($B36&lt;&gt;"",countif('5) Release_Track'!$G:$G,$B36)=0),"NO CATALOG ID MATCH in Release_Track",iserror(vlookup($A36&amp;$B36,'5) Release_Track'!$F:$F&amp;'5) Release_Track'!$G:$G,1,0)),"NO ISRC-CATALOG ID pair MATCH in Release_Track" )</f>
        <v/>
      </c>
      <c r="E36" s="44" t="s">
        <v>49</v>
      </c>
      <c r="F36" s="8" t="s">
        <v>323</v>
      </c>
      <c r="G36" s="123" t="str">
        <f t="array" ref="G36">ifs(or($F36="",$F36="Main Primary Artist"),$F36,not(iserror(vlookup($F36,'Reference info'!$J$5:$J$8,1,0))),"Key Artist",not(iserror(vlookup($F36,'Reference info'!$J$38:$J$405,1,0))),"Performer",not(iserror(vlookup($F36,'Reference info'!$J$10:$J$36,1,0))),"Producer &amp; Engineer")</f>
        <v>Main Primary Artist</v>
      </c>
    </row>
    <row r="37">
      <c r="A37" s="44" t="s">
        <v>413</v>
      </c>
      <c r="B37" s="103"/>
      <c r="C37" s="121" t="str">
        <f t="array" ref="C37">ifs(and(isblank($A37),isblank($B37)),"", not(iserror(vlookup($A37&amp;$B37,'5) Release_Track'!$F:$F&amp;'5) Release_Track'!$G:$G,1,0))),vlookup($A37&amp;$B37,{'5) Release_Track'!$F:$F&amp;'5) Release_Track'!$G:$G,'5) Release_Track'!$H:$H},2,0), or(and(not(isblank($B37)),$B37=$B36,$A37&lt;&gt;$A36),and(not(isblank($A37)),$A37=$A36,$B37&lt;&gt;$B36)),"ID LISTS UNALIGNED",and($A37&lt;&gt;"",countif('5) Release_Track'!$F:$F,$A37)=0),"NO ISRC MATCH in Release_Track",and($B37&lt;&gt;"",countif('5) Release_Track'!$G:$G,$B37)=0),"NO CATALOG ID MATCH in Release_Track",iserror(vlookup($A37&amp;$B37,'5) Release_Track'!$F:$F&amp;'5) Release_Track'!$G:$G,1,0)),"NO ISRC-CATALOG ID pair MATCH in Release_Track" )</f>
        <v>Heerey</v>
      </c>
      <c r="D37" s="121" t="str">
        <f t="array" ref="D37">ifs(and(isblank($A37),isblank($B37)),"", not(iserror(vlookup($A37&amp;$B37,'5) Release_Track'!$F:$F&amp;'5) Release_Track'!$G:$G,1,0))),vlookup($A37&amp;$B37,{'5) Release_Track'!$F:$F&amp;'5) Release_Track'!$G:$G,'5) Release_Track'!$I:$I},2,0), or(and(not(isblank($B37)),$B37=$B36,$A37&lt;&gt;$A36),and(not(isblank($A37)),$A37=$A36,$B37&lt;&gt;$B36)),"ID LISTS UNALIGNED",and($A37&lt;&gt;"",countif('5) Release_Track'!$F:$F,$A37)=0),"NO ISRC MATCH in Release_Track",and($B37&lt;&gt;"",countif('5) Release_Track'!$G:$G,$B37)=0),"NO CATALOG ID MATCH in Release_Track",iserror(vlookup($A37&amp;$B37,'5) Release_Track'!$F:$F&amp;'5) Release_Track'!$G:$G,1,0)),"NO ISRC-CATALOG ID pair MATCH in Release_Track" )</f>
        <v/>
      </c>
      <c r="E37" s="44" t="s">
        <v>51</v>
      </c>
      <c r="F37" s="8" t="s">
        <v>325</v>
      </c>
      <c r="G37" s="123" t="str">
        <f t="array" ref="G37">ifs(or($F37="",$F37="Main Primary Artist"),$F37,not(iserror(vlookup($F37,'Reference info'!$J$5:$J$8,1,0))),"Key Artist",not(iserror(vlookup($F37,'Reference info'!$J$38:$J$405,1,0))),"Performer",not(iserror(vlookup($F37,'Reference info'!$J$10:$J$36,1,0))),"Producer &amp; Engineer")</f>
        <v>Key Artist</v>
      </c>
    </row>
    <row r="38">
      <c r="A38" s="44" t="s">
        <v>399</v>
      </c>
      <c r="B38" s="103"/>
      <c r="C38" s="121" t="str">
        <f t="array" ref="C38">ifs(and(isblank($A38),isblank($B38)),"", not(iserror(vlookup($A38&amp;$B38,'5) Release_Track'!$F:$F&amp;'5) Release_Track'!$G:$G,1,0))),vlookup($A38&amp;$B38,{'5) Release_Track'!$F:$F&amp;'5) Release_Track'!$G:$G,'5) Release_Track'!$H:$H},2,0), or(and(not(isblank($B38)),$B38=$B37,$A38&lt;&gt;$A37),and(not(isblank($A38)),$A38=$A37,$B38&lt;&gt;$B37)),"ID LISTS UNALIGNED",and($A38&lt;&gt;"",countif('5) Release_Track'!$F:$F,$A38)=0),"NO ISRC MATCH in Release_Track",and($B38&lt;&gt;"",countif('5) Release_Track'!$G:$G,$B38)=0),"NO CATALOG ID MATCH in Release_Track",iserror(vlookup($A38&amp;$B38,'5) Release_Track'!$F:$F&amp;'5) Release_Track'!$G:$G,1,0)),"NO ISRC-CATALOG ID pair MATCH in Release_Track" )</f>
        <v>Janjhan (From "Lahoriye" Soundtrack)</v>
      </c>
      <c r="D38" s="121" t="str">
        <f t="array" ref="D38">ifs(and(isblank($A38),isblank($B38)),"", not(iserror(vlookup($A38&amp;$B38,'5) Release_Track'!$F:$F&amp;'5) Release_Track'!$G:$G,1,0))),vlookup($A38&amp;$B38,{'5) Release_Track'!$F:$F&amp;'5) Release_Track'!$G:$G,'5) Release_Track'!$I:$I},2,0), or(and(not(isblank($B38)),$B38=$B37,$A38&lt;&gt;$A37),and(not(isblank($A38)),$A38=$A37,$B38&lt;&gt;$B37)),"ID LISTS UNALIGNED",and($A38&lt;&gt;"",countif('5) Release_Track'!$F:$F,$A38)=0),"NO ISRC MATCH in Release_Track",and($B38&lt;&gt;"",countif('5) Release_Track'!$G:$G,$B38)=0),"NO CATALOG ID MATCH in Release_Track",iserror(vlookup($A38&amp;$B38,'5) Release_Track'!$F:$F&amp;'5) Release_Track'!$G:$G,1,0)),"NO ISRC-CATALOG ID pair MATCH in Release_Track" )</f>
        <v/>
      </c>
      <c r="E38" s="44" t="s">
        <v>67</v>
      </c>
      <c r="F38" s="8" t="s">
        <v>323</v>
      </c>
      <c r="G38" s="123" t="str">
        <f t="array" ref="G38">ifs(or($F38="",$F38="Main Primary Artist"),$F38,not(iserror(vlookup($F38,'Reference info'!$J$5:$J$8,1,0))),"Key Artist",not(iserror(vlookup($F38,'Reference info'!$J$38:$J$405,1,0))),"Performer",not(iserror(vlookup($F38,'Reference info'!$J$10:$J$36,1,0))),"Producer &amp; Engineer")</f>
        <v>Main Primary Artist</v>
      </c>
    </row>
    <row r="39">
      <c r="A39" s="44" t="s">
        <v>399</v>
      </c>
      <c r="B39" s="103"/>
      <c r="C39" s="121" t="str">
        <f t="array" ref="C39">ifs(and(isblank($A39),isblank($B39)),"", not(iserror(vlookup($A39&amp;$B39,'5) Release_Track'!$F:$F&amp;'5) Release_Track'!$G:$G,1,0))),vlookup($A39&amp;$B39,{'5) Release_Track'!$F:$F&amp;'5) Release_Track'!$G:$G,'5) Release_Track'!$H:$H},2,0), or(and(not(isblank($B39)),$B39=$B38,$A39&lt;&gt;$A38),and(not(isblank($A39)),$A39=$A38,$B39&lt;&gt;$B38)),"ID LISTS UNALIGNED",and($A39&lt;&gt;"",countif('5) Release_Track'!$F:$F,$A39)=0),"NO ISRC MATCH in Release_Track",and($B39&lt;&gt;"",countif('5) Release_Track'!$G:$G,$B39)=0),"NO CATALOG ID MATCH in Release_Track",iserror(vlookup($A39&amp;$B39,'5) Release_Track'!$F:$F&amp;'5) Release_Track'!$G:$G,1,0)),"NO ISRC-CATALOG ID pair MATCH in Release_Track" )</f>
        <v>Janjhan (From "Lahoriye" Soundtrack)</v>
      </c>
      <c r="D39" s="121" t="str">
        <f t="array" ref="D39">ifs(and(isblank($A39),isblank($B39)),"", not(iserror(vlookup($A39&amp;$B39,'5) Release_Track'!$F:$F&amp;'5) Release_Track'!$G:$G,1,0))),vlookup($A39&amp;$B39,{'5) Release_Track'!$F:$F&amp;'5) Release_Track'!$G:$G,'5) Release_Track'!$I:$I},2,0), or(and(not(isblank($B39)),$B39=$B38,$A39&lt;&gt;$A38),and(not(isblank($A39)),$A39=$A38,$B39&lt;&gt;$B38)),"ID LISTS UNALIGNED",and($A39&lt;&gt;"",countif('5) Release_Track'!$F:$F,$A39)=0),"NO ISRC MATCH in Release_Track",and($B39&lt;&gt;"",countif('5) Release_Track'!$G:$G,$B39)=0),"NO CATALOG ID MATCH in Release_Track",iserror(vlookup($A39&amp;$B39,'5) Release_Track'!$F:$F&amp;'5) Release_Track'!$G:$G,1,0)),"NO ISRC-CATALOG ID pair MATCH in Release_Track" )</f>
        <v/>
      </c>
      <c r="E39" s="44" t="s">
        <v>51</v>
      </c>
      <c r="F39" s="8" t="s">
        <v>325</v>
      </c>
      <c r="G39" s="123" t="str">
        <f t="array" ref="G39">ifs(or($F39="",$F39="Main Primary Artist"),$F39,not(iserror(vlookup($F39,'Reference info'!$J$5:$J$8,1,0))),"Key Artist",not(iserror(vlookup($F39,'Reference info'!$J$38:$J$405,1,0))),"Performer",not(iserror(vlookup($F39,'Reference info'!$J$10:$J$36,1,0))),"Producer &amp; Engineer")</f>
        <v>Key Artist</v>
      </c>
    </row>
    <row r="40">
      <c r="A40" s="44" t="s">
        <v>401</v>
      </c>
      <c r="B40" s="103"/>
      <c r="C40" s="121" t="str">
        <f t="array" ref="C40">ifs(and(isblank($A40),isblank($B40)),"", not(iserror(vlookup($A40&amp;$B40,'5) Release_Track'!$F:$F&amp;'5) Release_Track'!$G:$G,1,0))),vlookup($A40&amp;$B40,{'5) Release_Track'!$F:$F&amp;'5) Release_Track'!$G:$G,'5) Release_Track'!$H:$H},2,0), or(and(not(isblank($B40)),$B40=$B39,$A40&lt;&gt;$A39),and(not(isblank($A40)),$A40=$A39,$B40&lt;&gt;$B39)),"ID LISTS UNALIGNED",and($A40&lt;&gt;"",countif('5) Release_Track'!$F:$F,$A40)=0),"NO ISRC MATCH in Release_Track",and($B40&lt;&gt;"",countif('5) Release_Track'!$G:$G,$B40)=0),"NO CATALOG ID MATCH in Release_Track",iserror(vlookup($A40&amp;$B40,'5) Release_Track'!$F:$F&amp;'5) Release_Track'!$G:$G,1,0)),"NO ISRC-CATALOG ID pair MATCH in Release_Track" )</f>
        <v>Jeeondean Ch (From "Lahoriye" Soundtrack)</v>
      </c>
      <c r="D40" s="121" t="str">
        <f t="array" ref="D40">ifs(and(isblank($A40),isblank($B40)),"", not(iserror(vlookup($A40&amp;$B40,'5) Release_Track'!$F:$F&amp;'5) Release_Track'!$G:$G,1,0))),vlookup($A40&amp;$B40,{'5) Release_Track'!$F:$F&amp;'5) Release_Track'!$G:$G,'5) Release_Track'!$I:$I},2,0), or(and(not(isblank($B40)),$B40=$B39,$A40&lt;&gt;$A39),and(not(isblank($A40)),$A40=$A39,$B40&lt;&gt;$B39)),"ID LISTS UNALIGNED",and($A40&lt;&gt;"",countif('5) Release_Track'!$F:$F,$A40)=0),"NO ISRC MATCH in Release_Track",and($B40&lt;&gt;"",countif('5) Release_Track'!$G:$G,$B40)=0),"NO CATALOG ID MATCH in Release_Track",iserror(vlookup($A40&amp;$B40,'5) Release_Track'!$F:$F&amp;'5) Release_Track'!$G:$G,1,0)),"NO ISRC-CATALOG ID pair MATCH in Release_Track" )</f>
        <v/>
      </c>
      <c r="E40" s="44" t="s">
        <v>49</v>
      </c>
      <c r="F40" s="8" t="s">
        <v>323</v>
      </c>
      <c r="G40" s="123" t="str">
        <f t="array" ref="G40">ifs(or($F40="",$F40="Main Primary Artist"),$F40,not(iserror(vlookup($F40,'Reference info'!$J$5:$J$8,1,0))),"Key Artist",not(iserror(vlookup($F40,'Reference info'!$J$38:$J$405,1,0))),"Performer",not(iserror(vlookup($F40,'Reference info'!$J$10:$J$36,1,0))),"Producer &amp; Engineer")</f>
        <v>Main Primary Artist</v>
      </c>
    </row>
    <row r="41">
      <c r="A41" s="44" t="s">
        <v>401</v>
      </c>
      <c r="B41" s="103"/>
      <c r="C41" s="121" t="str">
        <f t="array" ref="C41">ifs(and(isblank($A41),isblank($B41)),"", not(iserror(vlookup($A41&amp;$B41,'5) Release_Track'!$F:$F&amp;'5) Release_Track'!$G:$G,1,0))),vlookup($A41&amp;$B41,{'5) Release_Track'!$F:$F&amp;'5) Release_Track'!$G:$G,'5) Release_Track'!$H:$H},2,0), or(and(not(isblank($B41)),$B41=$B40,$A41&lt;&gt;$A40),and(not(isblank($A41)),$A41=$A40,$B41&lt;&gt;$B40)),"ID LISTS UNALIGNED",and($A41&lt;&gt;"",countif('5) Release_Track'!$F:$F,$A41)=0),"NO ISRC MATCH in Release_Track",and($B41&lt;&gt;"",countif('5) Release_Track'!$G:$G,$B41)=0),"NO CATALOG ID MATCH in Release_Track",iserror(vlookup($A41&amp;$B41,'5) Release_Track'!$F:$F&amp;'5) Release_Track'!$G:$G,1,0)),"NO ISRC-CATALOG ID pair MATCH in Release_Track" )</f>
        <v>Jeeondean Ch (From "Lahoriye" Soundtrack)</v>
      </c>
      <c r="D41" s="121" t="str">
        <f t="array" ref="D41">ifs(and(isblank($A41),isblank($B41)),"", not(iserror(vlookup($A41&amp;$B41,'5) Release_Track'!$F:$F&amp;'5) Release_Track'!$G:$G,1,0))),vlookup($A41&amp;$B41,{'5) Release_Track'!$F:$F&amp;'5) Release_Track'!$G:$G,'5) Release_Track'!$I:$I},2,0), or(and(not(isblank($B41)),$B41=$B40,$A41&lt;&gt;$A40),and(not(isblank($A41)),$A41=$A40,$B41&lt;&gt;$B40)),"ID LISTS UNALIGNED",and($A41&lt;&gt;"",countif('5) Release_Track'!$F:$F,$A41)=0),"NO ISRC MATCH in Release_Track",and($B41&lt;&gt;"",countif('5) Release_Track'!$G:$G,$B41)=0),"NO CATALOG ID MATCH in Release_Track",iserror(vlookup($A41&amp;$B41,'5) Release_Track'!$F:$F&amp;'5) Release_Track'!$G:$G,1,0)),"NO ISRC-CATALOG ID pair MATCH in Release_Track" )</f>
        <v/>
      </c>
      <c r="E41" s="44" t="s">
        <v>51</v>
      </c>
      <c r="F41" s="8" t="s">
        <v>325</v>
      </c>
      <c r="G41" s="123" t="str">
        <f t="array" ref="G41">ifs(or($F41="",$F41="Main Primary Artist"),$F41,not(iserror(vlookup($F41,'Reference info'!$J$5:$J$8,1,0))),"Key Artist",not(iserror(vlookup($F41,'Reference info'!$J$38:$J$405,1,0))),"Performer",not(iserror(vlookup($F41,'Reference info'!$J$10:$J$36,1,0))),"Producer &amp; Engineer")</f>
        <v>Key Artist</v>
      </c>
    </row>
    <row r="42">
      <c r="A42" s="44" t="s">
        <v>403</v>
      </c>
      <c r="B42" s="103"/>
      <c r="C42" s="121" t="str">
        <f t="array" ref="C42">ifs(and(isblank($A42),isblank($B42)),"", not(iserror(vlookup($A42&amp;$B42,'5) Release_Track'!$F:$F&amp;'5) Release_Track'!$G:$G,1,0))),vlookup($A42&amp;$B42,{'5) Release_Track'!$F:$F&amp;'5) Release_Track'!$G:$G,'5) Release_Track'!$H:$H},2,0), or(and(not(isblank($B42)),$B42=$B41,$A42&lt;&gt;$A41),and(not(isblank($A42)),$A42=$A41,$B42&lt;&gt;$B41)),"ID LISTS UNALIGNED",and($A42&lt;&gt;"",countif('5) Release_Track'!$F:$F,$A42)=0),"NO ISRC MATCH in Release_Track",and($B42&lt;&gt;"",countif('5) Release_Track'!$G:$G,$B42)=0),"NO CATALOG ID MATCH in Release_Track",iserror(vlookup($A42&amp;$B42,'5) Release_Track'!$F:$F&amp;'5) Release_Track'!$G:$G,1,0)),"NO ISRC-CATALOG ID pair MATCH in Release_Track" )</f>
        <v>Jind (From "Bambukat" Soundtrack)</v>
      </c>
      <c r="D42" s="121" t="str">
        <f t="array" ref="D42">ifs(and(isblank($A42),isblank($B42)),"", not(iserror(vlookup($A42&amp;$B42,'5) Release_Track'!$F:$F&amp;'5) Release_Track'!$G:$G,1,0))),vlookup($A42&amp;$B42,{'5) Release_Track'!$F:$F&amp;'5) Release_Track'!$G:$G,'5) Release_Track'!$I:$I},2,0), or(and(not(isblank($B42)),$B42=$B41,$A42&lt;&gt;$A41),and(not(isblank($A42)),$A42=$A41,$B42&lt;&gt;$B41)),"ID LISTS UNALIGNED",and($A42&lt;&gt;"",countif('5) Release_Track'!$F:$F,$A42)=0),"NO ISRC MATCH in Release_Track",and($B42&lt;&gt;"",countif('5) Release_Track'!$G:$G,$B42)=0),"NO CATALOG ID MATCH in Release_Track",iserror(vlookup($A42&amp;$B42,'5) Release_Track'!$F:$F&amp;'5) Release_Track'!$G:$G,1,0)),"NO ISRC-CATALOG ID pair MATCH in Release_Track" )</f>
        <v/>
      </c>
      <c r="E42" s="44" t="s">
        <v>49</v>
      </c>
      <c r="F42" s="8" t="s">
        <v>323</v>
      </c>
      <c r="G42" s="123" t="str">
        <f t="array" ref="G42">ifs(or($F42="",$F42="Main Primary Artist"),$F42,not(iserror(vlookup($F42,'Reference info'!$J$5:$J$8,1,0))),"Key Artist",not(iserror(vlookup($F42,'Reference info'!$J$38:$J$405,1,0))),"Performer",not(iserror(vlookup($F42,'Reference info'!$J$10:$J$36,1,0))),"Producer &amp; Engineer")</f>
        <v>Main Primary Artist</v>
      </c>
    </row>
    <row r="43">
      <c r="A43" s="44" t="s">
        <v>403</v>
      </c>
      <c r="B43" s="103"/>
      <c r="C43" s="121" t="str">
        <f t="array" ref="C43">ifs(and(isblank($A43),isblank($B43)),"", not(iserror(vlookup($A43&amp;$B43,'5) Release_Track'!$F:$F&amp;'5) Release_Track'!$G:$G,1,0))),vlookup($A43&amp;$B43,{'5) Release_Track'!$F:$F&amp;'5) Release_Track'!$G:$G,'5) Release_Track'!$H:$H},2,0), or(and(not(isblank($B43)),$B43=$B42,$A43&lt;&gt;$A42),and(not(isblank($A43)),$A43=$A42,$B43&lt;&gt;$B42)),"ID LISTS UNALIGNED",and($A43&lt;&gt;"",countif('5) Release_Track'!$F:$F,$A43)=0),"NO ISRC MATCH in Release_Track",and($B43&lt;&gt;"",countif('5) Release_Track'!$G:$G,$B43)=0),"NO CATALOG ID MATCH in Release_Track",iserror(vlookup($A43&amp;$B43,'5) Release_Track'!$F:$F&amp;'5) Release_Track'!$G:$G,1,0)),"NO ISRC-CATALOG ID pair MATCH in Release_Track" )</f>
        <v>Jind (From "Bambukat" Soundtrack)</v>
      </c>
      <c r="D43" s="121" t="str">
        <f t="array" ref="D43">ifs(and(isblank($A43),isblank($B43)),"", not(iserror(vlookup($A43&amp;$B43,'5) Release_Track'!$F:$F&amp;'5) Release_Track'!$G:$G,1,0))),vlookup($A43&amp;$B43,{'5) Release_Track'!$F:$F&amp;'5) Release_Track'!$G:$G,'5) Release_Track'!$I:$I},2,0), or(and(not(isblank($B43)),$B43=$B42,$A43&lt;&gt;$A42),and(not(isblank($A43)),$A43=$A42,$B43&lt;&gt;$B42)),"ID LISTS UNALIGNED",and($A43&lt;&gt;"",countif('5) Release_Track'!$F:$F,$A43)=0),"NO ISRC MATCH in Release_Track",and($B43&lt;&gt;"",countif('5) Release_Track'!$G:$G,$B43)=0),"NO CATALOG ID MATCH in Release_Track",iserror(vlookup($A43&amp;$B43,'5) Release_Track'!$F:$F&amp;'5) Release_Track'!$G:$G,1,0)),"NO ISRC-CATALOG ID pair MATCH in Release_Track" )</f>
        <v/>
      </c>
      <c r="E43" s="44" t="s">
        <v>51</v>
      </c>
      <c r="F43" s="8" t="s">
        <v>325</v>
      </c>
      <c r="G43" s="123" t="str">
        <f t="array" ref="G43">ifs(or($F43="",$F43="Main Primary Artist"),$F43,not(iserror(vlookup($F43,'Reference info'!$J$5:$J$8,1,0))),"Key Artist",not(iserror(vlookup($F43,'Reference info'!$J$38:$J$405,1,0))),"Performer",not(iserror(vlookup($F43,'Reference info'!$J$10:$J$36,1,0))),"Producer &amp; Engineer")</f>
        <v>Key Artist</v>
      </c>
    </row>
    <row r="44">
      <c r="A44" s="44" t="s">
        <v>379</v>
      </c>
      <c r="B44" s="103"/>
      <c r="C44" s="121" t="str">
        <f t="array" ref="C44">ifs(and(isblank($A44),isblank($B44)),"", not(iserror(vlookup($A44&amp;$B44,'5) Release_Track'!$F:$F&amp;'5) Release_Track'!$G:$G,1,0))),vlookup($A44&amp;$B44,{'5) Release_Track'!$F:$F&amp;'5) Release_Track'!$G:$G,'5) Release_Track'!$H:$H},2,0), or(and(not(isblank($B44)),$B44=$B43,$A44&lt;&gt;$A43),and(not(isblank($A44)),$A44=$A43,$B44&lt;&gt;$B43)),"ID LISTS UNALIGNED",and($A44&lt;&gt;"",countif('5) Release_Track'!$F:$F,$A44)=0),"NO ISRC MATCH in Release_Track",and($B44&lt;&gt;"",countif('5) Release_Track'!$G:$G,$B44)=0),"NO CATALOG ID MATCH in Release_Track",iserror(vlookup($A44&amp;$B44,'5) Release_Track'!$F:$F&amp;'5) Release_Track'!$G:$G,1,0)),"NO ISRC-CATALOG ID pair MATCH in Release_Track" )</f>
        <v>Jind Mahi</v>
      </c>
      <c r="D44" s="121" t="str">
        <f t="array" ref="D44">ifs(and(isblank($A44),isblank($B44)),"", not(iserror(vlookup($A44&amp;$B44,'5) Release_Track'!$F:$F&amp;'5) Release_Track'!$G:$G,1,0))),vlookup($A44&amp;$B44,{'5) Release_Track'!$F:$F&amp;'5) Release_Track'!$G:$G,'5) Release_Track'!$I:$I},2,0), or(and(not(isblank($B44)),$B44=$B43,$A44&lt;&gt;$A43),and(not(isblank($A44)),$A44=$A43,$B44&lt;&gt;$B43)),"ID LISTS UNALIGNED",and($A44&lt;&gt;"",countif('5) Release_Track'!$F:$F,$A44)=0),"NO ISRC MATCH in Release_Track",and($B44&lt;&gt;"",countif('5) Release_Track'!$G:$G,$B44)=0),"NO CATALOG ID MATCH in Release_Track",iserror(vlookup($A44&amp;$B44,'5) Release_Track'!$F:$F&amp;'5) Release_Track'!$G:$G,1,0)),"NO ISRC-CATALOG ID pair MATCH in Release_Track" )</f>
        <v/>
      </c>
      <c r="E44" s="44" t="s">
        <v>45</v>
      </c>
      <c r="F44" s="8" t="s">
        <v>323</v>
      </c>
      <c r="G44" s="123" t="str">
        <f t="array" ref="G44">ifs(or($F44="",$F44="Main Primary Artist"),$F44,not(iserror(vlookup($F44,'Reference info'!$J$5:$J$8,1,0))),"Key Artist",not(iserror(vlookup($F44,'Reference info'!$J$38:$J$405,1,0))),"Performer",not(iserror(vlookup($F44,'Reference info'!$J$10:$J$36,1,0))),"Producer &amp; Engineer")</f>
        <v>Main Primary Artist</v>
      </c>
    </row>
    <row r="45">
      <c r="A45" s="44" t="s">
        <v>405</v>
      </c>
      <c r="B45" s="103"/>
      <c r="C45" s="121" t="str">
        <f t="array" ref="C45">ifs(and(isblank($A45),isblank($B45)),"", not(iserror(vlookup($A45&amp;$B45,'5) Release_Track'!$F:$F&amp;'5) Release_Track'!$G:$G,1,0))),vlookup($A45&amp;$B45,{'5) Release_Track'!$F:$F&amp;'5) Release_Track'!$G:$G,'5) Release_Track'!$H:$H},2,0), or(and(not(isblank($B45)),$B45=$B44,$A45&lt;&gt;$A44),and(not(isblank($A45)),$A45=$A44,$B45&lt;&gt;$B44)),"ID LISTS UNALIGNED",and($A45&lt;&gt;"",countif('5) Release_Track'!$F:$F,$A45)=0),"NO ISRC MATCH in Release_Track",and($B45&lt;&gt;"",countif('5) Release_Track'!$G:$G,$B45)=0),"NO CATALOG ID MATCH in Release_Track",iserror(vlookup($A45&amp;$B45,'5) Release_Track'!$F:$F&amp;'5) Release_Track'!$G:$G,1,0)),"NO ISRC-CATALOG ID pair MATCH in Release_Track" )</f>
        <v>Kainthe Wala (From "Bambukat" Soundtrack)</v>
      </c>
      <c r="D45" s="121" t="str">
        <f t="array" ref="D45">ifs(and(isblank($A45),isblank($B45)),"", not(iserror(vlookup($A45&amp;$B45,'5) Release_Track'!$F:$F&amp;'5) Release_Track'!$G:$G,1,0))),vlookup($A45&amp;$B45,{'5) Release_Track'!$F:$F&amp;'5) Release_Track'!$G:$G,'5) Release_Track'!$I:$I},2,0), or(and(not(isblank($B45)),$B45=$B44,$A45&lt;&gt;$A44),and(not(isblank($A45)),$A45=$A44,$B45&lt;&gt;$B44)),"ID LISTS UNALIGNED",and($A45&lt;&gt;"",countif('5) Release_Track'!$F:$F,$A45)=0),"NO ISRC MATCH in Release_Track",and($B45&lt;&gt;"",countif('5) Release_Track'!$G:$G,$B45)=0),"NO CATALOG ID MATCH in Release_Track",iserror(vlookup($A45&amp;$B45,'5) Release_Track'!$F:$F&amp;'5) Release_Track'!$G:$G,1,0)),"NO ISRC-CATALOG ID pair MATCH in Release_Track" )</f>
        <v/>
      </c>
      <c r="E45" s="44" t="s">
        <v>55</v>
      </c>
      <c r="F45" s="8" t="s">
        <v>323</v>
      </c>
      <c r="G45" s="123" t="str">
        <f t="array" ref="G45">ifs(or($F45="",$F45="Main Primary Artist"),$F45,not(iserror(vlookup($F45,'Reference info'!$J$5:$J$8,1,0))),"Key Artist",not(iserror(vlookup($F45,'Reference info'!$J$38:$J$405,1,0))),"Performer",not(iserror(vlookup($F45,'Reference info'!$J$10:$J$36,1,0))),"Producer &amp; Engineer")</f>
        <v>Main Primary Artist</v>
      </c>
    </row>
    <row r="46">
      <c r="A46" s="44" t="s">
        <v>405</v>
      </c>
      <c r="B46" s="103"/>
      <c r="C46" s="121" t="str">
        <f t="array" ref="C46">ifs(and(isblank($A46),isblank($B46)),"", not(iserror(vlookup($A46&amp;$B46,'5) Release_Track'!$F:$F&amp;'5) Release_Track'!$G:$G,1,0))),vlookup($A46&amp;$B46,{'5) Release_Track'!$F:$F&amp;'5) Release_Track'!$G:$G,'5) Release_Track'!$H:$H},2,0), or(and(not(isblank($B46)),$B46=$B45,$A46&lt;&gt;$A45),and(not(isblank($A46)),$A46=$A45,$B46&lt;&gt;$B45)),"ID LISTS UNALIGNED",and($A46&lt;&gt;"",countif('5) Release_Track'!$F:$F,$A46)=0),"NO ISRC MATCH in Release_Track",and($B46&lt;&gt;"",countif('5) Release_Track'!$G:$G,$B46)=0),"NO CATALOG ID MATCH in Release_Track",iserror(vlookup($A46&amp;$B46,'5) Release_Track'!$F:$F&amp;'5) Release_Track'!$G:$G,1,0)),"NO ISRC-CATALOG ID pair MATCH in Release_Track" )</f>
        <v>Kainthe Wala (From "Bambukat" Soundtrack)</v>
      </c>
      <c r="D46" s="121" t="str">
        <f t="array" ref="D46">ifs(and(isblank($A46),isblank($B46)),"", not(iserror(vlookup($A46&amp;$B46,'5) Release_Track'!$F:$F&amp;'5) Release_Track'!$G:$G,1,0))),vlookup($A46&amp;$B46,{'5) Release_Track'!$F:$F&amp;'5) Release_Track'!$G:$G,'5) Release_Track'!$I:$I},2,0), or(and(not(isblank($B46)),$B46=$B45,$A46&lt;&gt;$A45),and(not(isblank($A46)),$A46=$A45,$B46&lt;&gt;$B45)),"ID LISTS UNALIGNED",and($A46&lt;&gt;"",countif('5) Release_Track'!$F:$F,$A46)=0),"NO ISRC MATCH in Release_Track",and($B46&lt;&gt;"",countif('5) Release_Track'!$G:$G,$B46)=0),"NO CATALOG ID MATCH in Release_Track",iserror(vlookup($A46&amp;$B46,'5) Release_Track'!$F:$F&amp;'5) Release_Track'!$G:$G,1,0)),"NO ISRC-CATALOG ID pair MATCH in Release_Track" )</f>
        <v/>
      </c>
      <c r="E46" s="44" t="s">
        <v>69</v>
      </c>
      <c r="F46" s="8" t="s">
        <v>324</v>
      </c>
      <c r="G46" s="123" t="str">
        <f t="array" ref="G46">ifs(or($F46="",$F46="Main Primary Artist"),$F46,not(iserror(vlookup($F46,'Reference info'!$J$5:$J$8,1,0))),"Key Artist",not(iserror(vlookup($F46,'Reference info'!$J$38:$J$405,1,0))),"Performer",not(iserror(vlookup($F46,'Reference info'!$J$10:$J$36,1,0))),"Producer &amp; Engineer")</f>
        <v>Key Artist</v>
      </c>
    </row>
    <row r="47">
      <c r="A47" s="44" t="s">
        <v>405</v>
      </c>
      <c r="B47" s="103"/>
      <c r="C47" s="121" t="str">
        <f t="array" ref="C47">ifs(and(isblank($A47),isblank($B47)),"", not(iserror(vlookup($A47&amp;$B47,'5) Release_Track'!$F:$F&amp;'5) Release_Track'!$G:$G,1,0))),vlookup($A47&amp;$B47,{'5) Release_Track'!$F:$F&amp;'5) Release_Track'!$G:$G,'5) Release_Track'!$H:$H},2,0), or(and(not(isblank($B47)),$B47=$B46,$A47&lt;&gt;$A46),and(not(isblank($A47)),$A47=$A46,$B47&lt;&gt;$B46)),"ID LISTS UNALIGNED",and($A47&lt;&gt;"",countif('5) Release_Track'!$F:$F,$A47)=0),"NO ISRC MATCH in Release_Track",and($B47&lt;&gt;"",countif('5) Release_Track'!$G:$G,$B47)=0),"NO CATALOG ID MATCH in Release_Track",iserror(vlookup($A47&amp;$B47,'5) Release_Track'!$F:$F&amp;'5) Release_Track'!$G:$G,1,0)),"NO ISRC-CATALOG ID pair MATCH in Release_Track" )</f>
        <v>Kainthe Wala (From "Bambukat" Soundtrack)</v>
      </c>
      <c r="D47" s="121" t="str">
        <f t="array" ref="D47">ifs(and(isblank($A47),isblank($B47)),"", not(iserror(vlookup($A47&amp;$B47,'5) Release_Track'!$F:$F&amp;'5) Release_Track'!$G:$G,1,0))),vlookup($A47&amp;$B47,{'5) Release_Track'!$F:$F&amp;'5) Release_Track'!$G:$G,'5) Release_Track'!$I:$I},2,0), or(and(not(isblank($B47)),$B47=$B46,$A47&lt;&gt;$A46),and(not(isblank($A47)),$A47=$A46,$B47&lt;&gt;$B46)),"ID LISTS UNALIGNED",and($A47&lt;&gt;"",countif('5) Release_Track'!$F:$F,$A47)=0),"NO ISRC MATCH in Release_Track",and($B47&lt;&gt;"",countif('5) Release_Track'!$G:$G,$B47)=0),"NO CATALOG ID MATCH in Release_Track",iserror(vlookup($A47&amp;$B47,'5) Release_Track'!$F:$F&amp;'5) Release_Track'!$G:$G,1,0)),"NO ISRC-CATALOG ID pair MATCH in Release_Track" )</f>
        <v/>
      </c>
      <c r="E47" s="44" t="s">
        <v>51</v>
      </c>
      <c r="F47" s="8" t="s">
        <v>325</v>
      </c>
      <c r="G47" s="123" t="str">
        <f t="array" ref="G47">ifs(or($F47="",$F47="Main Primary Artist"),$F47,not(iserror(vlookup($F47,'Reference info'!$J$5:$J$8,1,0))),"Key Artist",not(iserror(vlookup($F47,'Reference info'!$J$38:$J$405,1,0))),"Performer",not(iserror(vlookup($F47,'Reference info'!$J$10:$J$36,1,0))),"Producer &amp; Engineer")</f>
        <v>Key Artist</v>
      </c>
    </row>
    <row r="48">
      <c r="A48" s="44" t="s">
        <v>407</v>
      </c>
      <c r="B48" s="103"/>
      <c r="C48" s="121" t="str">
        <f t="array" ref="C48">ifs(and(isblank($A48),isblank($B48)),"", not(iserror(vlookup($A48&amp;$B48,'5) Release_Track'!$F:$F&amp;'5) Release_Track'!$G:$G,1,0))),vlookup($A48&amp;$B48,{'5) Release_Track'!$F:$F&amp;'5) Release_Track'!$G:$G,'5) Release_Track'!$H:$H},2,0), or(and(not(isblank($B48)),$B48=$B47,$A48&lt;&gt;$A47),and(not(isblank($A48)),$A48=$A47,$B48&lt;&gt;$B47)),"ID LISTS UNALIGNED",and($A48&lt;&gt;"",countif('5) Release_Track'!$F:$F,$A48)=0),"NO ISRC MATCH in Release_Track",and($B48&lt;&gt;"",countif('5) Release_Track'!$G:$G,$B48)=0),"NO CATALOG ID MATCH in Release_Track",iserror(vlookup($A48&amp;$B48,'5) Release_Track'!$F:$F&amp;'5) Release_Track'!$G:$G,1,0)),"NO ISRC-CATALOG ID pair MATCH in Release_Track" )</f>
        <v>Kanda Kacheya Ne (From "Daana Paani" Soundtrack)</v>
      </c>
      <c r="D48" s="121" t="str">
        <f t="array" ref="D48">ifs(and(isblank($A48),isblank($B48)),"", not(iserror(vlookup($A48&amp;$B48,'5) Release_Track'!$F:$F&amp;'5) Release_Track'!$G:$G,1,0))),vlookup($A48&amp;$B48,{'5) Release_Track'!$F:$F&amp;'5) Release_Track'!$G:$G,'5) Release_Track'!$I:$I},2,0), or(and(not(isblank($B48)),$B48=$B47,$A48&lt;&gt;$A47),and(not(isblank($A48)),$A48=$A47,$B48&lt;&gt;$B47)),"ID LISTS UNALIGNED",and($A48&lt;&gt;"",countif('5) Release_Track'!$F:$F,$A48)=0),"NO ISRC MATCH in Release_Track",and($B48&lt;&gt;"",countif('5) Release_Track'!$G:$G,$B48)=0),"NO CATALOG ID MATCH in Release_Track",iserror(vlookup($A48&amp;$B48,'5) Release_Track'!$F:$F&amp;'5) Release_Track'!$G:$G,1,0)),"NO ISRC-CATALOG ID pair MATCH in Release_Track" )</f>
        <v/>
      </c>
      <c r="E48" s="44" t="s">
        <v>71</v>
      </c>
      <c r="F48" s="8" t="s">
        <v>323</v>
      </c>
      <c r="G48" s="123" t="str">
        <f t="array" ref="G48">ifs(or($F48="",$F48="Main Primary Artist"),$F48,not(iserror(vlookup($F48,'Reference info'!$J$5:$J$8,1,0))),"Key Artist",not(iserror(vlookup($F48,'Reference info'!$J$38:$J$405,1,0))),"Performer",not(iserror(vlookup($F48,'Reference info'!$J$10:$J$36,1,0))),"Producer &amp; Engineer")</f>
        <v>Main Primary Artist</v>
      </c>
    </row>
    <row r="49">
      <c r="A49" s="44" t="s">
        <v>407</v>
      </c>
      <c r="B49" s="103"/>
      <c r="C49" s="121" t="str">
        <f t="array" ref="C49">ifs(and(isblank($A49),isblank($B49)),"", not(iserror(vlookup($A49&amp;$B49,'5) Release_Track'!$F:$F&amp;'5) Release_Track'!$G:$G,1,0))),vlookup($A49&amp;$B49,{'5) Release_Track'!$F:$F&amp;'5) Release_Track'!$G:$G,'5) Release_Track'!$H:$H},2,0), or(and(not(isblank($B49)),$B49=$B48,$A49&lt;&gt;$A48),and(not(isblank($A49)),$A49=$A48,$B49&lt;&gt;$B48)),"ID LISTS UNALIGNED",and($A49&lt;&gt;"",countif('5) Release_Track'!$F:$F,$A49)=0),"NO ISRC MATCH in Release_Track",and($B49&lt;&gt;"",countif('5) Release_Track'!$G:$G,$B49)=0),"NO CATALOG ID MATCH in Release_Track",iserror(vlookup($A49&amp;$B49,'5) Release_Track'!$F:$F&amp;'5) Release_Track'!$G:$G,1,0)),"NO ISRC-CATALOG ID pair MATCH in Release_Track" )</f>
        <v>Kanda Kacheya Ne (From "Daana Paani" Soundtrack)</v>
      </c>
      <c r="D49" s="121" t="str">
        <f t="array" ref="D49">ifs(and(isblank($A49),isblank($B49)),"", not(iserror(vlookup($A49&amp;$B49,'5) Release_Track'!$F:$F&amp;'5) Release_Track'!$G:$G,1,0))),vlookup($A49&amp;$B49,{'5) Release_Track'!$F:$F&amp;'5) Release_Track'!$G:$G,'5) Release_Track'!$I:$I},2,0), or(and(not(isblank($B49)),$B49=$B48,$A49&lt;&gt;$A48),and(not(isblank($A49)),$A49=$A48,$B49&lt;&gt;$B48)),"ID LISTS UNALIGNED",and($A49&lt;&gt;"",countif('5) Release_Track'!$F:$F,$A49)=0),"NO ISRC MATCH in Release_Track",and($B49&lt;&gt;"",countif('5) Release_Track'!$G:$G,$B49)=0),"NO CATALOG ID MATCH in Release_Track",iserror(vlookup($A49&amp;$B49,'5) Release_Track'!$F:$F&amp;'5) Release_Track'!$G:$G,1,0)),"NO ISRC-CATALOG ID pair MATCH in Release_Track" )</f>
        <v/>
      </c>
      <c r="E49" s="44" t="s">
        <v>73</v>
      </c>
      <c r="F49" s="8" t="s">
        <v>325</v>
      </c>
      <c r="G49" s="123" t="str">
        <f t="array" ref="G49">ifs(or($F49="",$F49="Main Primary Artist"),$F49,not(iserror(vlookup($F49,'Reference info'!$J$5:$J$8,1,0))),"Key Artist",not(iserror(vlookup($F49,'Reference info'!$J$38:$J$405,1,0))),"Performer",not(iserror(vlookup($F49,'Reference info'!$J$10:$J$36,1,0))),"Producer &amp; Engineer")</f>
        <v>Key Artist</v>
      </c>
    </row>
    <row r="50">
      <c r="A50" s="44" t="s">
        <v>409</v>
      </c>
      <c r="B50" s="103"/>
      <c r="C50" s="121" t="str">
        <f t="array" ref="C50">ifs(and(isblank($A50),isblank($B50)),"", not(iserror(vlookup($A50&amp;$B50,'5) Release_Track'!$F:$F&amp;'5) Release_Track'!$G:$G,1,0))),vlookup($A50&amp;$B50,{'5) Release_Track'!$F:$F&amp;'5) Release_Track'!$G:$G,'5) Release_Track'!$H:$H},2,0), or(and(not(isblank($B50)),$B50=#REF!,$A50&lt;&gt;#REF!),and(not(isblank($A50)),$A50=#REF!,$B50&lt;&gt;#REF!)),"ID LISTS UNALIGNED",and($A50&lt;&gt;"",countif('5) Release_Track'!$F:$F,$A50)=0),"NO ISRC MATCH in Release_Track",and($B50&lt;&gt;"",countif('5) Release_Track'!$G:$G,$B50)=0),"NO CATALOG ID MATCH in Release_Track",iserror(vlookup($A50&amp;$B50,'5) Release_Track'!$F:$F&amp;'5) Release_Track'!$G:$G,1,0)),"NO ISRC-CATALOG ID pair MATCH in Release_Track" )</f>
        <v>Lakh Vaari (From "Golak Bugni Bank Te Batua" Soundtrack)</v>
      </c>
      <c r="D50" s="121" t="str">
        <f t="array" ref="D50">ifs(and(isblank($A50),isblank($B50)),"", not(iserror(vlookup($A50&amp;$B50,'5) Release_Track'!$F:$F&amp;'5) Release_Track'!$G:$G,1,0))),vlookup($A50&amp;$B50,{'5) Release_Track'!$F:$F&amp;'5) Release_Track'!$G:$G,'5) Release_Track'!$I:$I},2,0), or(and(not(isblank($B50)),$B50=#REF!,$A50&lt;&gt;#REF!),and(not(isblank($A50)),$A50=#REF!,$B50&lt;&gt;#REF!)),"ID LISTS UNALIGNED",and($A50&lt;&gt;"",countif('5) Release_Track'!$F:$F,$A50)=0),"NO ISRC MATCH in Release_Track",and($B50&lt;&gt;"",countif('5) Release_Track'!$G:$G,$B50)=0),"NO CATALOG ID MATCH in Release_Track",iserror(vlookup($A50&amp;$B50,'5) Release_Track'!$F:$F&amp;'5) Release_Track'!$G:$G,1,0)),"NO ISRC-CATALOG ID pair MATCH in Release_Track" )</f>
        <v/>
      </c>
      <c r="E50" s="44" t="s">
        <v>49</v>
      </c>
      <c r="F50" s="8" t="s">
        <v>323</v>
      </c>
      <c r="G50" s="123" t="str">
        <f t="array" ref="G50">ifs(or($F50="",$F50="Main Primary Artist"),$F50,not(iserror(vlookup($F50,'Reference info'!$J$5:$J$8,1,0))),"Key Artist",not(iserror(vlookup($F50,'Reference info'!$J$38:$J$405,1,0))),"Performer",not(iserror(vlookup($F50,'Reference info'!$J$10:$J$36,1,0))),"Producer &amp; Engineer")</f>
        <v>Main Primary Artist</v>
      </c>
    </row>
    <row r="51">
      <c r="A51" s="44" t="s">
        <v>409</v>
      </c>
      <c r="B51" s="103"/>
      <c r="C51" s="121" t="str">
        <f t="array" ref="C51">ifs(and(isblank($A51),isblank($B51)),"", not(iserror(vlookup($A51&amp;$B51,'5) Release_Track'!$F:$F&amp;'5) Release_Track'!$G:$G,1,0))),vlookup($A51&amp;$B51,{'5) Release_Track'!$F:$F&amp;'5) Release_Track'!$G:$G,'5) Release_Track'!$H:$H},2,0), or(and(not(isblank($B51)),$B51=$B50,$A51&lt;&gt;$A50),and(not(isblank($A51)),$A51=$A50,$B51&lt;&gt;$B50)),"ID LISTS UNALIGNED",and($A51&lt;&gt;"",countif('5) Release_Track'!$F:$F,$A51)=0),"NO ISRC MATCH in Release_Track",and($B51&lt;&gt;"",countif('5) Release_Track'!$G:$G,$B51)=0),"NO CATALOG ID MATCH in Release_Track",iserror(vlookup($A51&amp;$B51,'5) Release_Track'!$F:$F&amp;'5) Release_Track'!$G:$G,1,0)),"NO ISRC-CATALOG ID pair MATCH in Release_Track" )</f>
        <v>Lakh Vaari (From "Golak Bugni Bank Te Batua" Soundtrack)</v>
      </c>
      <c r="D51" s="121" t="str">
        <f t="array" ref="D51">ifs(and(isblank($A51),isblank($B51)),"", not(iserror(vlookup($A51&amp;$B51,'5) Release_Track'!$F:$F&amp;'5) Release_Track'!$G:$G,1,0))),vlookup($A51&amp;$B51,{'5) Release_Track'!$F:$F&amp;'5) Release_Track'!$G:$G,'5) Release_Track'!$I:$I},2,0), or(and(not(isblank($B51)),$B51=$B50,$A51&lt;&gt;$A50),and(not(isblank($A51)),$A51=$A50,$B51&lt;&gt;$B50)),"ID LISTS UNALIGNED",and($A51&lt;&gt;"",countif('5) Release_Track'!$F:$F,$A51)=0),"NO ISRC MATCH in Release_Track",and($B51&lt;&gt;"",countif('5) Release_Track'!$G:$G,$B51)=0),"NO CATALOG ID MATCH in Release_Track",iserror(vlookup($A51&amp;$B51,'5) Release_Track'!$F:$F&amp;'5) Release_Track'!$G:$G,1,0)),"NO ISRC-CATALOG ID pair MATCH in Release_Track" )</f>
        <v/>
      </c>
      <c r="E51" s="44" t="s">
        <v>51</v>
      </c>
      <c r="F51" s="8" t="s">
        <v>325</v>
      </c>
      <c r="G51" s="123" t="str">
        <f t="array" ref="G51">ifs(or($F51="",$F51="Main Primary Artist"),$F51,not(iserror(vlookup($F51,'Reference info'!$J$5:$J$8,1,0))),"Key Artist",not(iserror(vlookup($F51,'Reference info'!$J$38:$J$405,1,0))),"Performer",not(iserror(vlookup($F51,'Reference info'!$J$10:$J$36,1,0))),"Producer &amp; Engineer")</f>
        <v>Key Artist</v>
      </c>
    </row>
    <row r="52">
      <c r="A52" s="44" t="s">
        <v>411</v>
      </c>
      <c r="B52" s="103"/>
      <c r="C52" s="121" t="str">
        <f t="array" ref="C52">ifs(and(isblank($A52),isblank($B52)),"", not(iserror(vlookup($A52&amp;$B52,'5) Release_Track'!$F:$F&amp;'5) Release_Track'!$G:$G,1,0))),vlookup($A52&amp;$B52,{'5) Release_Track'!$F:$F&amp;'5) Release_Track'!$G:$G,'5) Release_Track'!$H:$H},2,0), or(and(not(isblank($B52)),$B52=$B51,$A52&lt;&gt;$A51),and(not(isblank($A52)),$A52=$A51,$B52&lt;&gt;$B51)),"ID LISTS UNALIGNED",and($A52&lt;&gt;"",countif('5) Release_Track'!$F:$F,$A52)=0),"NO ISRC MATCH in Release_Track",and($B52&lt;&gt;"",countif('5) Release_Track'!$G:$G,$B52)=0),"NO CATALOG ID MATCH in Release_Track",iserror(vlookup($A52&amp;$B52,'5) Release_Track'!$F:$F&amp;'5) Release_Track'!$G:$G,1,0)),"NO ISRC-CATALOG ID pair MATCH in Release_Track" )</f>
        <v>Langhe Paani (From "Bambukat" Soundtrack)</v>
      </c>
      <c r="D52" s="121" t="str">
        <f t="array" ref="D52">ifs(and(isblank($A52),isblank($B52)),"", not(iserror(vlookup($A52&amp;$B52,'5) Release_Track'!$F:$F&amp;'5) Release_Track'!$G:$G,1,0))),vlookup($A52&amp;$B52,{'5) Release_Track'!$F:$F&amp;'5) Release_Track'!$G:$G,'5) Release_Track'!$I:$I},2,0), or(and(not(isblank($B52)),$B52=$B51,$A52&lt;&gt;$A51),and(not(isblank($A52)),$A52=$A51,$B52&lt;&gt;$B51)),"ID LISTS UNALIGNED",and($A52&lt;&gt;"",countif('5) Release_Track'!$F:$F,$A52)=0),"NO ISRC MATCH in Release_Track",and($B52&lt;&gt;"",countif('5) Release_Track'!$G:$G,$B52)=0),"NO CATALOG ID MATCH in Release_Track",iserror(vlookup($A52&amp;$B52,'5) Release_Track'!$F:$F&amp;'5) Release_Track'!$G:$G,1,0)),"NO ISRC-CATALOG ID pair MATCH in Release_Track" )</f>
        <v/>
      </c>
      <c r="E52" s="44" t="s">
        <v>75</v>
      </c>
      <c r="F52" s="8" t="s">
        <v>323</v>
      </c>
      <c r="G52" s="123" t="str">
        <f t="array" ref="G52">ifs(or($F52="",$F52="Main Primary Artist"),$F52,not(iserror(vlookup($F52,'Reference info'!$J$5:$J$8,1,0))),"Key Artist",not(iserror(vlookup($F52,'Reference info'!$J$38:$J$405,1,0))),"Performer",not(iserror(vlookup($F52,'Reference info'!$J$10:$J$36,1,0))),"Producer &amp; Engineer")</f>
        <v>Main Primary Artist</v>
      </c>
    </row>
    <row r="53">
      <c r="A53" s="44" t="s">
        <v>411</v>
      </c>
      <c r="B53" s="103"/>
      <c r="C53" s="121" t="str">
        <f t="array" ref="C53">ifs(and(isblank($A53),isblank($B53)),"", not(iserror(vlookup($A53&amp;$B53,'5) Release_Track'!$F:$F&amp;'5) Release_Track'!$G:$G,1,0))),vlookup($A53&amp;$B53,{'5) Release_Track'!$F:$F&amp;'5) Release_Track'!$G:$G,'5) Release_Track'!$H:$H},2,0), or(and(not(isblank($B53)),$B53=$B52,$A53&lt;&gt;$A52),and(not(isblank($A53)),$A53=$A52,$B53&lt;&gt;$B52)),"ID LISTS UNALIGNED",and($A53&lt;&gt;"",countif('5) Release_Track'!$F:$F,$A53)=0),"NO ISRC MATCH in Release_Track",and($B53&lt;&gt;"",countif('5) Release_Track'!$G:$G,$B53)=0),"NO CATALOG ID MATCH in Release_Track",iserror(vlookup($A53&amp;$B53,'5) Release_Track'!$F:$F&amp;'5) Release_Track'!$G:$G,1,0)),"NO ISRC-CATALOG ID pair MATCH in Release_Track" )</f>
        <v>Langhe Paani (From "Bambukat" Soundtrack)</v>
      </c>
      <c r="D53" s="121" t="str">
        <f t="array" ref="D53">ifs(and(isblank($A53),isblank($B53)),"", not(iserror(vlookup($A53&amp;$B53,'5) Release_Track'!$F:$F&amp;'5) Release_Track'!$G:$G,1,0))),vlookup($A53&amp;$B53,{'5) Release_Track'!$F:$F&amp;'5) Release_Track'!$G:$G,'5) Release_Track'!$I:$I},2,0), or(and(not(isblank($B53)),$B53=$B52,$A53&lt;&gt;$A52),and(not(isblank($A53)),$A53=$A52,$B53&lt;&gt;$B52)),"ID LISTS UNALIGNED",and($A53&lt;&gt;"",countif('5) Release_Track'!$F:$F,$A53)=0),"NO ISRC MATCH in Release_Track",and($B53&lt;&gt;"",countif('5) Release_Track'!$G:$G,$B53)=0),"NO CATALOG ID MATCH in Release_Track",iserror(vlookup($A53&amp;$B53,'5) Release_Track'!$F:$F&amp;'5) Release_Track'!$G:$G,1,0)),"NO ISRC-CATALOG ID pair MATCH in Release_Track" )</f>
        <v/>
      </c>
      <c r="E53" s="44" t="s">
        <v>51</v>
      </c>
      <c r="F53" s="8" t="s">
        <v>325</v>
      </c>
      <c r="G53" s="123" t="str">
        <f t="array" ref="G53">ifs(or($F53="",$F53="Main Primary Artist"),$F53,not(iserror(vlookup($F53,'Reference info'!$J$5:$J$8,1,0))),"Key Artist",not(iserror(vlookup($F53,'Reference info'!$J$38:$J$405,1,0))),"Performer",not(iserror(vlookup($F53,'Reference info'!$J$10:$J$36,1,0))),"Producer &amp; Engineer")</f>
        <v>Key Artist</v>
      </c>
    </row>
    <row r="54">
      <c r="A54" s="44" t="s">
        <v>419</v>
      </c>
      <c r="B54" s="103"/>
      <c r="C54" s="121" t="str">
        <f t="array" ref="C54">ifs(and(isblank($A54),isblank($B54)),"", not(iserror(vlookup($A54&amp;$B54,'5) Release_Track'!$F:$F&amp;'5) Release_Track'!$G:$G,1,0))),vlookup($A54&amp;$B54,{'5) Release_Track'!$F:$F&amp;'5) Release_Track'!$G:$G,'5) Release_Track'!$H:$H},2,0), or(and(not(isblank($B54)),$B54=#REF!,$A54&lt;&gt;#REF!),and(not(isblank($A54)),$A54=#REF!,$B54&lt;&gt;#REF!)),"ID LISTS UNALIGNED",and($A54&lt;&gt;"",countif('5) Release_Track'!$F:$F,$A54)=0),"NO ISRC MATCH in Release_Track",and($B54&lt;&gt;"",countif('5) Release_Track'!$G:$G,$B54)=0),"NO CATALOG ID MATCH in Release_Track",iserror(vlookup($A54&amp;$B54,'5) Release_Track'!$F:$F&amp;'5) Release_Track'!$G:$G,1,0)),"NO ISRC-CATALOG ID pair MATCH in Release_Track" )</f>
        <v>Zindagi</v>
      </c>
      <c r="D54" s="121" t="str">
        <f t="array" ref="D54">ifs(and(isblank($A54),isblank($B54)),"", not(iserror(vlookup($A54&amp;$B54,'5) Release_Track'!$F:$F&amp;'5) Release_Track'!$G:$G,1,0))),vlookup($A54&amp;$B54,{'5) Release_Track'!$F:$F&amp;'5) Release_Track'!$G:$G,'5) Release_Track'!$I:$I},2,0), or(and(not(isblank($B54)),$B54=#REF!,$A54&lt;&gt;#REF!),and(not(isblank($A54)),$A54=#REF!,$B54&lt;&gt;#REF!)),"ID LISTS UNALIGNED",and($A54&lt;&gt;"",countif('5) Release_Track'!$F:$F,$A54)=0),"NO ISRC MATCH in Release_Track",and($B54&lt;&gt;"",countif('5) Release_Track'!$G:$G,$B54)=0),"NO CATALOG ID MATCH in Release_Track",iserror(vlookup($A54&amp;$B54,'5) Release_Track'!$F:$F&amp;'5) Release_Track'!$G:$G,1,0)),"NO ISRC-CATALOG ID pair MATCH in Release_Track" )</f>
        <v/>
      </c>
      <c r="E54" s="44" t="s">
        <v>49</v>
      </c>
      <c r="F54" s="8" t="s">
        <v>323</v>
      </c>
      <c r="G54" s="123" t="str">
        <f t="array" ref="G54">ifs(or($F54="",$F54="Main Primary Artist"),$F54,not(iserror(vlookup($F54,'Reference info'!$J$5:$J$8,1,0))),"Key Artist",not(iserror(vlookup($F54,'Reference info'!$J$38:$J$405,1,0))),"Performer",not(iserror(vlookup($F54,'Reference info'!$J$10:$J$36,1,0))),"Producer &amp; Engineer")</f>
        <v>Main Primary Artist</v>
      </c>
    </row>
    <row r="55">
      <c r="A55" s="44" t="s">
        <v>419</v>
      </c>
      <c r="B55" s="103"/>
      <c r="C55" s="121" t="str">
        <f t="array" ref="C55">ifs(and(isblank($A55),isblank($B55)),"", not(iserror(vlookup($A55&amp;$B55,'5) Release_Track'!$F:$F&amp;'5) Release_Track'!$G:$G,1,0))),vlookup($A55&amp;$B55,{'5) Release_Track'!$F:$F&amp;'5) Release_Track'!$G:$G,'5) Release_Track'!$H:$H},2,0), or(and(not(isblank($B55)),$B55=$B54,$A55&lt;&gt;$A54),and(not(isblank($A55)),$A55=$A54,$B55&lt;&gt;$B54)),"ID LISTS UNALIGNED",and($A55&lt;&gt;"",countif('5) Release_Track'!$F:$F,$A55)=0),"NO ISRC MATCH in Release_Track",and($B55&lt;&gt;"",countif('5) Release_Track'!$G:$G,$B55)=0),"NO CATALOG ID MATCH in Release_Track",iserror(vlookup($A55&amp;$B55,'5) Release_Track'!$F:$F&amp;'5) Release_Track'!$G:$G,1,0)),"NO ISRC-CATALOG ID pair MATCH in Release_Track" )</f>
        <v>Zindagi</v>
      </c>
      <c r="D55" s="121" t="str">
        <f t="array" ref="D55">ifs(and(isblank($A55),isblank($B55)),"", not(iserror(vlookup($A55&amp;$B55,'5) Release_Track'!$F:$F&amp;'5) Release_Track'!$G:$G,1,0))),vlookup($A55&amp;$B55,{'5) Release_Track'!$F:$F&amp;'5) Release_Track'!$G:$G,'5) Release_Track'!$I:$I},2,0), or(and(not(isblank($B55)),$B55=$B54,$A55&lt;&gt;$A54),and(not(isblank($A55)),$A55=$A54,$B55&lt;&gt;$B54)),"ID LISTS UNALIGNED",and($A55&lt;&gt;"",countif('5) Release_Track'!$F:$F,$A55)=0),"NO ISRC MATCH in Release_Track",and($B55&lt;&gt;"",countif('5) Release_Track'!$G:$G,$B55)=0),"NO CATALOG ID MATCH in Release_Track",iserror(vlookup($A55&amp;$B55,'5) Release_Track'!$F:$F&amp;'5) Release_Track'!$G:$G,1,0)),"NO ISRC-CATALOG ID pair MATCH in Release_Track" )</f>
        <v/>
      </c>
      <c r="E55" s="44" t="s">
        <v>51</v>
      </c>
      <c r="F55" s="8" t="s">
        <v>325</v>
      </c>
      <c r="G55" s="123" t="str">
        <f t="array" ref="G55">ifs(or($F55="",$F55="Main Primary Artist"),$F55,not(iserror(vlookup($F55,'Reference info'!$J$5:$J$8,1,0))),"Key Artist",not(iserror(vlookup($F55,'Reference info'!$J$38:$J$405,1,0))),"Performer",not(iserror(vlookup($F55,'Reference info'!$J$10:$J$36,1,0))),"Producer &amp; Engineer")</f>
        <v>Key Artist</v>
      </c>
    </row>
    <row r="56">
      <c r="A56" s="44" t="s">
        <v>422</v>
      </c>
      <c r="B56" s="103"/>
      <c r="C56" s="121" t="str">
        <f t="array" ref="C56">ifs(and(isblank($A56),isblank($B56)),"", not(iserror(vlookup($A56&amp;$B56,'5) Release_Track'!$F:$F&amp;'5) Release_Track'!$G:$G,1,0))),vlookup($A56&amp;$B56,{'5) Release_Track'!$F:$F&amp;'5) Release_Track'!$G:$G,'5) Release_Track'!$H:$H},2,0), or(and(not(isblank($B56)),$B56=$B55,$A56&lt;&gt;$A55),and(not(isblank($A56)),$A56=$A55,$B56&lt;&gt;$B55)),"ID LISTS UNALIGNED",and($A56&lt;&gt;"",countif('5) Release_Track'!$F:$F,$A56)=0),"NO ISRC MATCH in Release_Track",and($B56&lt;&gt;"",countif('5) Release_Track'!$G:$G,$B56)=0),"NO CATALOG ID MATCH in Release_Track",iserror(vlookup($A56&amp;$B56,'5) Release_Track'!$F:$F&amp;'5) Release_Track'!$G:$G,1,0)),"NO ISRC-CATALOG ID pair MATCH in Release_Track" )</f>
        <v>Goriyan Bhavaan</v>
      </c>
      <c r="D56" s="121" t="str">
        <f t="array" ref="D56">ifs(and(isblank($A56),isblank($B56)),"", not(iserror(vlookup($A56&amp;$B56,'5) Release_Track'!$F:$F&amp;'5) Release_Track'!$G:$G,1,0))),vlookup($A56&amp;$B56,{'5) Release_Track'!$F:$F&amp;'5) Release_Track'!$G:$G,'5) Release_Track'!$I:$I},2,0), or(and(not(isblank($B56)),$B56=$B55,$A56&lt;&gt;$A55),and(not(isblank($A56)),$A56=$A55,$B56&lt;&gt;$B55)),"ID LISTS UNALIGNED",and($A56&lt;&gt;"",countif('5) Release_Track'!$F:$F,$A56)=0),"NO ISRC MATCH in Release_Track",and($B56&lt;&gt;"",countif('5) Release_Track'!$G:$G,$B56)=0),"NO CATALOG ID MATCH in Release_Track",iserror(vlookup($A56&amp;$B56,'5) Release_Track'!$F:$F&amp;'5) Release_Track'!$G:$G,1,0)),"NO ISRC-CATALOG ID pair MATCH in Release_Track" )</f>
        <v/>
      </c>
      <c r="E56" s="44" t="s">
        <v>49</v>
      </c>
      <c r="F56" s="8" t="s">
        <v>323</v>
      </c>
      <c r="G56" s="123" t="str">
        <f t="array" ref="G56">ifs(or($F56="",$F56="Main Primary Artist"),$F56,not(iserror(vlookup($F56,'Reference info'!$J$5:$J$8,1,0))),"Key Artist",not(iserror(vlookup($F56,'Reference info'!$J$38:$J$405,1,0))),"Performer",not(iserror(vlookup($F56,'Reference info'!$J$10:$J$36,1,0))),"Producer &amp; Engineer")</f>
        <v>Main Primary Artist</v>
      </c>
    </row>
    <row r="57">
      <c r="A57" s="44" t="s">
        <v>422</v>
      </c>
      <c r="B57" s="103"/>
      <c r="C57" s="121" t="str">
        <f t="array" ref="C57">ifs(and(isblank($A57),isblank($B57)),"", not(iserror(vlookup($A57&amp;$B57,'5) Release_Track'!$F:$F&amp;'5) Release_Track'!$G:$G,1,0))),vlookup($A57&amp;$B57,{'5) Release_Track'!$F:$F&amp;'5) Release_Track'!$G:$G,'5) Release_Track'!$H:$H},2,0), or(and(not(isblank($B57)),$B57=$B56,$A57&lt;&gt;$A56),and(not(isblank($A57)),$A57=$A56,$B57&lt;&gt;$B56)),"ID LISTS UNALIGNED",and($A57&lt;&gt;"",countif('5) Release_Track'!$F:$F,$A57)=0),"NO ISRC MATCH in Release_Track",and($B57&lt;&gt;"",countif('5) Release_Track'!$G:$G,$B57)=0),"NO CATALOG ID MATCH in Release_Track",iserror(vlookup($A57&amp;$B57,'5) Release_Track'!$F:$F&amp;'5) Release_Track'!$G:$G,1,0)),"NO ISRC-CATALOG ID pair MATCH in Release_Track" )</f>
        <v>Goriyan Bhavaan</v>
      </c>
      <c r="D57" s="121" t="str">
        <f t="array" ref="D57">ifs(and(isblank($A57),isblank($B57)),"", not(iserror(vlookup($A57&amp;$B57,'5) Release_Track'!$F:$F&amp;'5) Release_Track'!$G:$G,1,0))),vlookup($A57&amp;$B57,{'5) Release_Track'!$F:$F&amp;'5) Release_Track'!$G:$G,'5) Release_Track'!$I:$I},2,0), or(and(not(isblank($B57)),$B57=$B56,$A57&lt;&gt;$A56),and(not(isblank($A57)),$A57=$A56,$B57&lt;&gt;$B56)),"ID LISTS UNALIGNED",and($A57&lt;&gt;"",countif('5) Release_Track'!$F:$F,$A57)=0),"NO ISRC MATCH in Release_Track",and($B57&lt;&gt;"",countif('5) Release_Track'!$G:$G,$B57)=0),"NO CATALOG ID MATCH in Release_Track",iserror(vlookup($A57&amp;$B57,'5) Release_Track'!$F:$F&amp;'5) Release_Track'!$G:$G,1,0)),"NO ISRC-CATALOG ID pair MATCH in Release_Track" )</f>
        <v/>
      </c>
      <c r="E57" s="44" t="s">
        <v>51</v>
      </c>
      <c r="F57" s="8" t="s">
        <v>325</v>
      </c>
      <c r="G57" s="123" t="str">
        <f t="array" ref="G57">ifs(or($F57="",$F57="Main Primary Artist"),$F57,not(iserror(vlookup($F57,'Reference info'!$J$5:$J$8,1,0))),"Key Artist",not(iserror(vlookup($F57,'Reference info'!$J$38:$J$405,1,0))),"Performer",not(iserror(vlookup($F57,'Reference info'!$J$10:$J$36,1,0))),"Producer &amp; Engineer")</f>
        <v>Key Artist</v>
      </c>
    </row>
    <row r="58">
      <c r="A58" s="44" t="s">
        <v>425</v>
      </c>
      <c r="B58" s="103"/>
      <c r="C58" s="121" t="str">
        <f t="array" ref="C58">ifs(and(isblank($A58),isblank($B58)),"", not(iserror(vlookup($A58&amp;$B58,'5) Release_Track'!$F:$F&amp;'5) Release_Track'!$G:$G,1,0))),vlookup($A58&amp;$B58,{'5) Release_Track'!$F:$F&amp;'5) Release_Track'!$G:$G,'5) Release_Track'!$H:$H},2,0), or(and(not(isblank($B58)),$B58=$B57,$A58&lt;&gt;$A57),and(not(isblank($A58)),$A58=$A57,$B58&lt;&gt;$B57)),"ID LISTS UNALIGNED",and($A58&lt;&gt;"",countif('5) Release_Track'!$F:$F,$A58)=0),"NO ISRC MATCH in Release_Track",and($B58&lt;&gt;"",countif('5) Release_Track'!$G:$G,$B58)=0),"NO CATALOG ID MATCH in Release_Track",iserror(vlookup($A58&amp;$B58,'5) Release_Track'!$F:$F&amp;'5) Release_Track'!$G:$G,1,0)),"NO ISRC-CATALOG ID pair MATCH in Release_Track" )</f>
        <v>Akhiyan De Taare</v>
      </c>
      <c r="D58" s="121" t="str">
        <f t="array" ref="D58">ifs(and(isblank($A58),isblank($B58)),"", not(iserror(vlookup($A58&amp;$B58,'5) Release_Track'!$F:$F&amp;'5) Release_Track'!$G:$G,1,0))),vlookup($A58&amp;$B58,{'5) Release_Track'!$F:$F&amp;'5) Release_Track'!$G:$G,'5) Release_Track'!$I:$I},2,0), or(and(not(isblank($B58)),$B58=$B57,$A58&lt;&gt;$A57),and(not(isblank($A58)),$A58=$A57,$B58&lt;&gt;$B57)),"ID LISTS UNALIGNED",and($A58&lt;&gt;"",countif('5) Release_Track'!$F:$F,$A58)=0),"NO ISRC MATCH in Release_Track",and($B58&lt;&gt;"",countif('5) Release_Track'!$G:$G,$B58)=0),"NO CATALOG ID MATCH in Release_Track",iserror(vlookup($A58&amp;$B58,'5) Release_Track'!$F:$F&amp;'5) Release_Track'!$G:$G,1,0)),"NO ISRC-CATALOG ID pair MATCH in Release_Track" )</f>
        <v/>
      </c>
      <c r="E58" s="50" t="s">
        <v>131</v>
      </c>
      <c r="F58" s="8" t="s">
        <v>323</v>
      </c>
      <c r="G58" s="123" t="str">
        <f t="array" ref="G58">ifs(or($F58="",$F58="Main Primary Artist"),$F58,not(iserror(vlookup($F58,'Reference info'!$J$5:$J$8,1,0))),"Key Artist",not(iserror(vlookup($F58,'Reference info'!$J$38:$J$405,1,0))),"Performer",not(iserror(vlookup($F58,'Reference info'!$J$10:$J$36,1,0))),"Producer &amp; Engineer")</f>
        <v>Main Primary Artist</v>
      </c>
    </row>
    <row r="59">
      <c r="A59" s="44" t="s">
        <v>425</v>
      </c>
      <c r="B59" s="103"/>
      <c r="C59" s="121" t="str">
        <f t="array" ref="C59">ifs(and(isblank($A59),isblank($B59)),"", not(iserror(vlookup($A59&amp;$B59,'5) Release_Track'!$F:$F&amp;'5) Release_Track'!$G:$G,1,0))),vlookup($A59&amp;$B59,{'5) Release_Track'!$F:$F&amp;'5) Release_Track'!$G:$G,'5) Release_Track'!$H:$H},2,0), or(and(not(isblank($B59)),$B59=$B58,$A59&lt;&gt;$A58),and(not(isblank($A59)),$A59=$A58,$B59&lt;&gt;$B58)),"ID LISTS UNALIGNED",and($A59&lt;&gt;"",countif('5) Release_Track'!$F:$F,$A59)=0),"NO ISRC MATCH in Release_Track",and($B59&lt;&gt;"",countif('5) Release_Track'!$G:$G,$B59)=0),"NO CATALOG ID MATCH in Release_Track",iserror(vlookup($A59&amp;$B59,'5) Release_Track'!$F:$F&amp;'5) Release_Track'!$G:$G,1,0)),"NO ISRC-CATALOG ID pair MATCH in Release_Track" )</f>
        <v>Akhiyan De Taare</v>
      </c>
      <c r="D59" s="121" t="str">
        <f t="array" ref="D59">ifs(and(isblank($A59),isblank($B59)),"", not(iserror(vlookup($A59&amp;$B59,'5) Release_Track'!$F:$F&amp;'5) Release_Track'!$G:$G,1,0))),vlookup($A59&amp;$B59,{'5) Release_Track'!$F:$F&amp;'5) Release_Track'!$G:$G,'5) Release_Track'!$I:$I},2,0), or(and(not(isblank($B59)),$B59=$B58,$A59&lt;&gt;$A58),and(not(isblank($A59)),$A59=$A58,$B59&lt;&gt;$B58)),"ID LISTS UNALIGNED",and($A59&lt;&gt;"",countif('5) Release_Track'!$F:$F,$A59)=0),"NO ISRC MATCH in Release_Track",and($B59&lt;&gt;"",countif('5) Release_Track'!$G:$G,$B59)=0),"NO CATALOG ID MATCH in Release_Track",iserror(vlookup($A59&amp;$B59,'5) Release_Track'!$F:$F&amp;'5) Release_Track'!$G:$G,1,0)),"NO ISRC-CATALOG ID pair MATCH in Release_Track" )</f>
        <v/>
      </c>
      <c r="E59" s="44" t="s">
        <v>51</v>
      </c>
      <c r="F59" s="8" t="s">
        <v>325</v>
      </c>
      <c r="G59" s="123" t="str">
        <f t="array" ref="G59">ifs(or($F59="",$F59="Main Primary Artist"),$F59,not(iserror(vlookup($F59,'Reference info'!$J$5:$J$8,1,0))),"Key Artist",not(iserror(vlookup($F59,'Reference info'!$J$38:$J$405,1,0))),"Performer",not(iserror(vlookup($F59,'Reference info'!$J$10:$J$36,1,0))),"Producer &amp; Engineer")</f>
        <v>Key Artist</v>
      </c>
    </row>
    <row r="60">
      <c r="A60" s="44" t="s">
        <v>428</v>
      </c>
      <c r="B60" s="103"/>
      <c r="C60" s="121" t="str">
        <f t="array" ref="C60">ifs(and(isblank($A60),isblank($B60)),"", not(iserror(vlookup($A60&amp;$B60,'5) Release_Track'!$F:$F&amp;'5) Release_Track'!$G:$G,1,0))),vlookup($A60&amp;$B60,{'5) Release_Track'!$F:$F&amp;'5) Release_Track'!$G:$G,'5) Release_Track'!$H:$H},2,0), or(and(not(isblank($B60)),$B60=$B59,$A60&lt;&gt;$A59),and(not(isblank($A60)),$A60=$A59,$B60&lt;&gt;$B59)),"ID LISTS UNALIGNED",and($A60&lt;&gt;"",countif('5) Release_Track'!$F:$F,$A60)=0),"NO ISRC MATCH in Release_Track",and($B60&lt;&gt;"",countif('5) Release_Track'!$G:$G,$B60)=0),"NO CATALOG ID MATCH in Release_Track",iserror(vlookup($A60&amp;$B60,'5) Release_Track'!$F:$F&amp;'5) Release_Track'!$G:$G,1,0)),"NO ISRC-CATALOG ID pair MATCH in Release_Track" )</f>
        <v>Dovein Nain</v>
      </c>
      <c r="D60" s="121" t="str">
        <f t="array" ref="D60">ifs(and(isblank($A60),isblank($B60)),"", not(iserror(vlookup($A60&amp;$B60,'5) Release_Track'!$F:$F&amp;'5) Release_Track'!$G:$G,1,0))),vlookup($A60&amp;$B60,{'5) Release_Track'!$F:$F&amp;'5) Release_Track'!$G:$G,'5) Release_Track'!$I:$I},2,0), or(and(not(isblank($B60)),$B60=$B59,$A60&lt;&gt;$A59),and(not(isblank($A60)),$A60=$A59,$B60&lt;&gt;$B59)),"ID LISTS UNALIGNED",and($A60&lt;&gt;"",countif('5) Release_Track'!$F:$F,$A60)=0),"NO ISRC MATCH in Release_Track",and($B60&lt;&gt;"",countif('5) Release_Track'!$G:$G,$B60)=0),"NO CATALOG ID MATCH in Release_Track",iserror(vlookup($A60&amp;$B60,'5) Release_Track'!$F:$F&amp;'5) Release_Track'!$G:$G,1,0)),"NO ISRC-CATALOG ID pair MATCH in Release_Track" )</f>
        <v/>
      </c>
      <c r="E60" s="50" t="s">
        <v>133</v>
      </c>
      <c r="F60" s="8" t="s">
        <v>323</v>
      </c>
      <c r="G60" s="123" t="str">
        <f t="array" ref="G60">ifs(or($F60="",$F60="Main Primary Artist"),$F60,not(iserror(vlookup($F60,'Reference info'!$J$5:$J$8,1,0))),"Key Artist",not(iserror(vlookup($F60,'Reference info'!$J$38:$J$405,1,0))),"Performer",not(iserror(vlookup($F60,'Reference info'!$J$10:$J$36,1,0))),"Producer &amp; Engineer")</f>
        <v>Main Primary Artist</v>
      </c>
    </row>
    <row r="61">
      <c r="A61" s="44" t="s">
        <v>428</v>
      </c>
      <c r="B61" s="103"/>
      <c r="C61" s="121" t="str">
        <f t="array" ref="C61">ifs(and(isblank($A61),isblank($B61)),"", not(iserror(vlookup($A61&amp;$B61,'5) Release_Track'!$F:$F&amp;'5) Release_Track'!$G:$G,1,0))),vlookup($A61&amp;$B61,{'5) Release_Track'!$F:$F&amp;'5) Release_Track'!$G:$G,'5) Release_Track'!$H:$H},2,0), or(and(not(isblank($B61)),$B61=$B60,$A61&lt;&gt;$A60),and(not(isblank($A61)),$A61=$A60,$B61&lt;&gt;$B60)),"ID LISTS UNALIGNED",and($A61&lt;&gt;"",countif('5) Release_Track'!$F:$F,$A61)=0),"NO ISRC MATCH in Release_Track",and($B61&lt;&gt;"",countif('5) Release_Track'!$G:$G,$B61)=0),"NO CATALOG ID MATCH in Release_Track",iserror(vlookup($A61&amp;$B61,'5) Release_Track'!$F:$F&amp;'5) Release_Track'!$G:$G,1,0)),"NO ISRC-CATALOG ID pair MATCH in Release_Track" )</f>
        <v>Dovein Nain</v>
      </c>
      <c r="D61" s="121" t="str">
        <f t="array" ref="D61">ifs(and(isblank($A61),isblank($B61)),"", not(iserror(vlookup($A61&amp;$B61,'5) Release_Track'!$F:$F&amp;'5) Release_Track'!$G:$G,1,0))),vlookup($A61&amp;$B61,{'5) Release_Track'!$F:$F&amp;'5) Release_Track'!$G:$G,'5) Release_Track'!$I:$I},2,0), or(and(not(isblank($B61)),$B61=$B60,$A61&lt;&gt;$A60),and(not(isblank($A61)),$A61=$A60,$B61&lt;&gt;$B60)),"ID LISTS UNALIGNED",and($A61&lt;&gt;"",countif('5) Release_Track'!$F:$F,$A61)=0),"NO ISRC MATCH in Release_Track",and($B61&lt;&gt;"",countif('5) Release_Track'!$G:$G,$B61)=0),"NO CATALOG ID MATCH in Release_Track",iserror(vlookup($A61&amp;$B61,'5) Release_Track'!$F:$F&amp;'5) Release_Track'!$G:$G,1,0)),"NO ISRC-CATALOG ID pair MATCH in Release_Track" )</f>
        <v/>
      </c>
      <c r="E61" s="44" t="s">
        <v>51</v>
      </c>
      <c r="F61" s="8" t="s">
        <v>325</v>
      </c>
      <c r="G61" s="123" t="str">
        <f t="array" ref="G61">ifs(or($F61="",$F61="Main Primary Artist"),$F61,not(iserror(vlookup($F61,'Reference info'!$J$5:$J$8,1,0))),"Key Artist",not(iserror(vlookup($F61,'Reference info'!$J$38:$J$405,1,0))),"Performer",not(iserror(vlookup($F61,'Reference info'!$J$10:$J$36,1,0))),"Producer &amp; Engineer")</f>
        <v>Key Artist</v>
      </c>
    </row>
    <row r="62">
      <c r="A62" s="44" t="s">
        <v>431</v>
      </c>
      <c r="B62" s="103"/>
      <c r="C62" s="121" t="str">
        <f t="array" ref="C62">ifs(and(isblank($A62),isblank($B62)),"", not(iserror(vlookup($A62&amp;$B62,'5) Release_Track'!$F:$F&amp;'5) Release_Track'!$G:$G,1,0))),vlookup($A62&amp;$B62,{'5) Release_Track'!$F:$F&amp;'5) Release_Track'!$G:$G,'5) Release_Track'!$H:$H},2,0), or(and(not(isblank($B62)),$B62=$B61,$A62&lt;&gt;$A61),and(not(isblank($A62)),$A62=$A61,$B62&lt;&gt;$B61)),"ID LISTS UNALIGNED",and($A62&lt;&gt;"",countif('5) Release_Track'!$F:$F,$A62)=0),"NO ISRC MATCH in Release_Track",and($B62&lt;&gt;"",countif('5) Release_Track'!$G:$G,$B62)=0),"NO CATALOG ID MATCH in Release_Track",iserror(vlookup($A62&amp;$B62,'5) Release_Track'!$F:$F&amp;'5) Release_Track'!$G:$G,1,0)),"NO ISRC-CATALOG ID pair MATCH in Release_Track" )</f>
        <v>Des</v>
      </c>
      <c r="D62" s="121" t="str">
        <f t="array" ref="D62">ifs(and(isblank($A62),isblank($B62)),"", not(iserror(vlookup($A62&amp;$B62,'5) Release_Track'!$F:$F&amp;'5) Release_Track'!$G:$G,1,0))),vlookup($A62&amp;$B62,{'5) Release_Track'!$F:$F&amp;'5) Release_Track'!$G:$G,'5) Release_Track'!$I:$I},2,0), or(and(not(isblank($B62)),$B62=$B61,$A62&lt;&gt;$A61),and(not(isblank($A62)),$A62=$A61,$B62&lt;&gt;$B61)),"ID LISTS UNALIGNED",and($A62&lt;&gt;"",countif('5) Release_Track'!$F:$F,$A62)=0),"NO ISRC MATCH in Release_Track",and($B62&lt;&gt;"",countif('5) Release_Track'!$G:$G,$B62)=0),"NO CATALOG ID MATCH in Release_Track",iserror(vlookup($A62&amp;$B62,'5) Release_Track'!$F:$F&amp;'5) Release_Track'!$G:$G,1,0)),"NO ISRC-CATALOG ID pair MATCH in Release_Track" )</f>
        <v/>
      </c>
      <c r="E62" s="44" t="s">
        <v>49</v>
      </c>
      <c r="F62" s="8" t="s">
        <v>323</v>
      </c>
      <c r="G62" s="123" t="str">
        <f t="array" ref="G62">ifs(or($F62="",$F62="Main Primary Artist"),$F62,not(iserror(vlookup($F62,'Reference info'!$J$5:$J$8,1,0))),"Key Artist",not(iserror(vlookup($F62,'Reference info'!$J$38:$J$405,1,0))),"Performer",not(iserror(vlookup($F62,'Reference info'!$J$10:$J$36,1,0))),"Producer &amp; Engineer")</f>
        <v>Main Primary Artist</v>
      </c>
    </row>
    <row r="63">
      <c r="A63" s="44" t="s">
        <v>431</v>
      </c>
      <c r="B63" s="103"/>
      <c r="C63" s="121" t="str">
        <f t="array" ref="C63">ifs(and(isblank($A63),isblank($B63)),"", not(iserror(vlookup($A63&amp;$B63,'5) Release_Track'!$F:$F&amp;'5) Release_Track'!$G:$G,1,0))),vlookup($A63&amp;$B63,{'5) Release_Track'!$F:$F&amp;'5) Release_Track'!$G:$G,'5) Release_Track'!$H:$H},2,0), or(and(not(isblank($B63)),$B63=$B62,$A63&lt;&gt;$A62),and(not(isblank($A63)),$A63=$A62,$B63&lt;&gt;$B62)),"ID LISTS UNALIGNED",and($A63&lt;&gt;"",countif('5) Release_Track'!$F:$F,$A63)=0),"NO ISRC MATCH in Release_Track",and($B63&lt;&gt;"",countif('5) Release_Track'!$G:$G,$B63)=0),"NO CATALOG ID MATCH in Release_Track",iserror(vlookup($A63&amp;$B63,'5) Release_Track'!$F:$F&amp;'5) Release_Track'!$G:$G,1,0)),"NO ISRC-CATALOG ID pair MATCH in Release_Track" )</f>
        <v>Des</v>
      </c>
      <c r="D63" s="121" t="str">
        <f t="array" ref="D63">ifs(and(isblank($A63),isblank($B63)),"", not(iserror(vlookup($A63&amp;$B63,'5) Release_Track'!$F:$F&amp;'5) Release_Track'!$G:$G,1,0))),vlookup($A63&amp;$B63,{'5) Release_Track'!$F:$F&amp;'5) Release_Track'!$G:$G,'5) Release_Track'!$I:$I},2,0), or(and(not(isblank($B63)),$B63=$B62,$A63&lt;&gt;$A62),and(not(isblank($A63)),$A63=$A62,$B63&lt;&gt;$B62)),"ID LISTS UNALIGNED",and($A63&lt;&gt;"",countif('5) Release_Track'!$F:$F,$A63)=0),"NO ISRC MATCH in Release_Track",and($B63&lt;&gt;"",countif('5) Release_Track'!$G:$G,$B63)=0),"NO CATALOG ID MATCH in Release_Track",iserror(vlookup($A63&amp;$B63,'5) Release_Track'!$F:$F&amp;'5) Release_Track'!$G:$G,1,0)),"NO ISRC-CATALOG ID pair MATCH in Release_Track" )</f>
        <v/>
      </c>
      <c r="E63" s="44" t="s">
        <v>51</v>
      </c>
      <c r="F63" s="8" t="s">
        <v>325</v>
      </c>
      <c r="G63" s="123" t="str">
        <f t="array" ref="G63">ifs(or($F63="",$F63="Main Primary Artist"),$F63,not(iserror(vlookup($F63,'Reference info'!$J$5:$J$8,1,0))),"Key Artist",not(iserror(vlookup($F63,'Reference info'!$J$38:$J$405,1,0))),"Performer",not(iserror(vlookup($F63,'Reference info'!$J$10:$J$36,1,0))),"Producer &amp; Engineer")</f>
        <v>Key Artist</v>
      </c>
    </row>
    <row r="64">
      <c r="A64" s="44" t="s">
        <v>434</v>
      </c>
      <c r="B64" s="103"/>
      <c r="C64" s="121" t="str">
        <f t="array" ref="C64">ifs(and(isblank($A64),isblank($B64)),"", not(iserror(vlookup($A64&amp;$B64,'5) Release_Track'!$F:$F&amp;'5) Release_Track'!$G:$G,1,0))),vlookup($A64&amp;$B64,{'5) Release_Track'!$F:$F&amp;'5) Release_Track'!$G:$G,'5) Release_Track'!$H:$H},2,0), or(and(not(isblank($B64)),$B64=$B63,$A64&lt;&gt;$A63),and(not(isblank($A64)),$A64=$A63,$B64&lt;&gt;$B63)),"ID LISTS UNALIGNED",and($A64&lt;&gt;"",countif('5) Release_Track'!$F:$F,$A64)=0),"NO ISRC MATCH in Release_Track",and($B64&lt;&gt;"",countif('5) Release_Track'!$G:$G,$B64)=0),"NO CATALOG ID MATCH in Release_Track",iserror(vlookup($A64&amp;$B64,'5) Release_Track'!$F:$F&amp;'5) Release_Track'!$G:$G,1,0)),"NO ISRC-CATALOG ID pair MATCH in Release_Track" )</f>
        <v>Maavan (From "Daana Paani" Soundtrack)</v>
      </c>
      <c r="D64" s="121" t="str">
        <f t="array" ref="D64">ifs(and(isblank($A64),isblank($B64)),"", not(iserror(vlookup($A64&amp;$B64,'5) Release_Track'!$F:$F&amp;'5) Release_Track'!$G:$G,1,0))),vlookup($A64&amp;$B64,{'5) Release_Track'!$F:$F&amp;'5) Release_Track'!$G:$G,'5) Release_Track'!$I:$I},2,0), or(and(not(isblank($B64)),$B64=$B63,$A64&lt;&gt;$A63),and(not(isblank($A64)),$A64=$A63,$B64&lt;&gt;$B63)),"ID LISTS UNALIGNED",and($A64&lt;&gt;"",countif('5) Release_Track'!$F:$F,$A64)=0),"NO ISRC MATCH in Release_Track",and($B64&lt;&gt;"",countif('5) Release_Track'!$G:$G,$B64)=0),"NO CATALOG ID MATCH in Release_Track",iserror(vlookup($A64&amp;$B64,'5) Release_Track'!$F:$F&amp;'5) Release_Track'!$G:$G,1,0)),"NO ISRC-CATALOG ID pair MATCH in Release_Track" )</f>
        <v/>
      </c>
      <c r="E64" s="44" t="s">
        <v>77</v>
      </c>
      <c r="F64" s="8" t="s">
        <v>323</v>
      </c>
      <c r="G64" s="123" t="str">
        <f t="array" ref="G64">ifs(or($F64="",$F64="Main Primary Artist"),$F64,not(iserror(vlookup($F64,'Reference info'!$J$5:$J$8,1,0))),"Key Artist",not(iserror(vlookup($F64,'Reference info'!$J$38:$J$405,1,0))),"Performer",not(iserror(vlookup($F64,'Reference info'!$J$10:$J$36,1,0))),"Producer &amp; Engineer")</f>
        <v>Main Primary Artist</v>
      </c>
    </row>
    <row r="65">
      <c r="A65" s="44" t="s">
        <v>434</v>
      </c>
      <c r="B65" s="103"/>
      <c r="C65" s="121" t="str">
        <f t="array" ref="C65">ifs(and(isblank($A65),isblank($B65)),"", not(iserror(vlookup($A65&amp;$B65,'5) Release_Track'!$F:$F&amp;'5) Release_Track'!$G:$G,1,0))),vlookup($A65&amp;$B65,{'5) Release_Track'!$F:$F&amp;'5) Release_Track'!$G:$G,'5) Release_Track'!$H:$H},2,0), or(and(not(isblank($B65)),$B65=$B64,$A65&lt;&gt;$A64),and(not(isblank($A65)),$A65=$A64,$B65&lt;&gt;$B64)),"ID LISTS UNALIGNED",and($A65&lt;&gt;"",countif('5) Release_Track'!$F:$F,$A65)=0),"NO ISRC MATCH in Release_Track",and($B65&lt;&gt;"",countif('5) Release_Track'!$G:$G,$B65)=0),"NO CATALOG ID MATCH in Release_Track",iserror(vlookup($A65&amp;$B65,'5) Release_Track'!$F:$F&amp;'5) Release_Track'!$G:$G,1,0)),"NO ISRC-CATALOG ID pair MATCH in Release_Track" )</f>
        <v>Maavan (From "Daana Paani" Soundtrack)</v>
      </c>
      <c r="D65" s="121" t="str">
        <f t="array" ref="D65">ifs(and(isblank($A65),isblank($B65)),"", not(iserror(vlookup($A65&amp;$B65,'5) Release_Track'!$F:$F&amp;'5) Release_Track'!$G:$G,1,0))),vlookup($A65&amp;$B65,{'5) Release_Track'!$F:$F&amp;'5) Release_Track'!$G:$G,'5) Release_Track'!$I:$I},2,0), or(and(not(isblank($B65)),$B65=$B64,$A65&lt;&gt;$A64),and(not(isblank($A65)),$A65=$A64,$B65&lt;&gt;$B64)),"ID LISTS UNALIGNED",and($A65&lt;&gt;"",countif('5) Release_Track'!$F:$F,$A65)=0),"NO ISRC MATCH in Release_Track",and($B65&lt;&gt;"",countif('5) Release_Track'!$G:$G,$B65)=0),"NO CATALOG ID MATCH in Release_Track",iserror(vlookup($A65&amp;$B65,'5) Release_Track'!$F:$F&amp;'5) Release_Track'!$G:$G,1,0)),"NO ISRC-CATALOG ID pair MATCH in Release_Track" )</f>
        <v/>
      </c>
      <c r="E65" s="44" t="s">
        <v>73</v>
      </c>
      <c r="F65" s="8" t="s">
        <v>325</v>
      </c>
      <c r="G65" s="123" t="str">
        <f t="array" ref="G65">ifs(or($F65="",$F65="Main Primary Artist"),$F65,not(iserror(vlookup($F65,'Reference info'!$J$5:$J$8,1,0))),"Key Artist",not(iserror(vlookup($F65,'Reference info'!$J$38:$J$405,1,0))),"Performer",not(iserror(vlookup($F65,'Reference info'!$J$10:$J$36,1,0))),"Producer &amp; Engineer")</f>
        <v>Key Artist</v>
      </c>
    </row>
    <row r="66">
      <c r="A66" s="44" t="s">
        <v>436</v>
      </c>
      <c r="B66" s="103"/>
      <c r="C66" s="121" t="str">
        <f t="array" ref="C66">ifs(and(isblank($A66),isblank($B66)),"", not(iserror(vlookup($A66&amp;$B66,'5) Release_Track'!$F:$F&amp;'5) Release_Track'!$G:$G,1,0))),vlookup($A66&amp;$B66,{'5) Release_Track'!$F:$F&amp;'5) Release_Track'!$G:$G,'5) Release_Track'!$H:$H},2,0), or(and(not(isblank($B66)),$B66=$B65,$A66&lt;&gt;$A65),and(not(isblank($A66)),$A66=$A65,$B66&lt;&gt;$B65)),"ID LISTS UNALIGNED",and($A66&lt;&gt;"",countif('5) Release_Track'!$F:$F,$A66)=0),"NO ISRC MATCH in Release_Track",and($B66&lt;&gt;"",countif('5) Release_Track'!$G:$G,$B66)=0),"NO CATALOG ID MATCH in Release_Track",iserror(vlookup($A66&amp;$B66,'5) Release_Track'!$F:$F&amp;'5) Release_Track'!$G:$G,1,0)),"NO ISRC-CATALOG ID pair MATCH in Release_Track" )</f>
        <v>Manak Di Kali (From "Bhalwan Singh" Soundtrack) [with Jatinder Shah]</v>
      </c>
      <c r="D66" s="121" t="str">
        <f t="array" ref="D66">ifs(and(isblank($A66),isblank($B66)),"", not(iserror(vlookup($A66&amp;$B66,'5) Release_Track'!$F:$F&amp;'5) Release_Track'!$G:$G,1,0))),vlookup($A66&amp;$B66,{'5) Release_Track'!$F:$F&amp;'5) Release_Track'!$G:$G,'5) Release_Track'!$I:$I},2,0), or(and(not(isblank($B66)),$B66=$B65,$A66&lt;&gt;$A65),and(not(isblank($A66)),$A66=$A65,$B66&lt;&gt;$B65)),"ID LISTS UNALIGNED",and($A66&lt;&gt;"",countif('5) Release_Track'!$F:$F,$A66)=0),"NO ISRC MATCH in Release_Track",and($B66&lt;&gt;"",countif('5) Release_Track'!$G:$G,$B66)=0),"NO CATALOG ID MATCH in Release_Track",iserror(vlookup($A66&amp;$B66,'5) Release_Track'!$F:$F&amp;'5) Release_Track'!$G:$G,1,0)),"NO ISRC-CATALOG ID pair MATCH in Release_Track" )</f>
        <v/>
      </c>
      <c r="E66" s="44" t="s">
        <v>42</v>
      </c>
      <c r="F66" s="8" t="s">
        <v>323</v>
      </c>
      <c r="G66" s="123" t="str">
        <f t="array" ref="G66">ifs(or($F66="",$F66="Main Primary Artist"),$F66,not(iserror(vlookup($F66,'Reference info'!$J$5:$J$8,1,0))),"Key Artist",not(iserror(vlookup($F66,'Reference info'!$J$38:$J$405,1,0))),"Performer",not(iserror(vlookup($F66,'Reference info'!$J$10:$J$36,1,0))),"Producer &amp; Engineer")</f>
        <v>Main Primary Artist</v>
      </c>
    </row>
    <row r="67">
      <c r="A67" s="44" t="s">
        <v>436</v>
      </c>
      <c r="B67" s="103"/>
      <c r="C67" s="121" t="str">
        <f t="array" ref="C67">ifs(and(isblank($A67),isblank($B67)),"", not(iserror(vlookup($A67&amp;$B67,'5) Release_Track'!$F:$F&amp;'5) Release_Track'!$G:$G,1,0))),vlookup($A67&amp;$B67,{'5) Release_Track'!$F:$F&amp;'5) Release_Track'!$G:$G,'5) Release_Track'!$H:$H},2,0), or(and(not(isblank($B67)),$B67=$B66,$A67&lt;&gt;$A66),and(not(isblank($A67)),$A67=$A66,$B67&lt;&gt;$B66)),"ID LISTS UNALIGNED",and($A67&lt;&gt;"",countif('5) Release_Track'!$F:$F,$A67)=0),"NO ISRC MATCH in Release_Track",and($B67&lt;&gt;"",countif('5) Release_Track'!$G:$G,$B67)=0),"NO CATALOG ID MATCH in Release_Track",iserror(vlookup($A67&amp;$B67,'5) Release_Track'!$F:$F&amp;'5) Release_Track'!$G:$G,1,0)),"NO ISRC-CATALOG ID pair MATCH in Release_Track" )</f>
        <v>Manak Di Kali (From "Bhalwan Singh" Soundtrack) [with Jatinder Shah]</v>
      </c>
      <c r="D67" s="121" t="str">
        <f t="array" ref="D67">ifs(and(isblank($A67),isblank($B67)),"", not(iserror(vlookup($A67&amp;$B67,'5) Release_Track'!$F:$F&amp;'5) Release_Track'!$G:$G,1,0))),vlookup($A67&amp;$B67,{'5) Release_Track'!$F:$F&amp;'5) Release_Track'!$G:$G,'5) Release_Track'!$I:$I},2,0), or(and(not(isblank($B67)),$B67=$B66,$A67&lt;&gt;$A66),and(not(isblank($A67)),$A67=$A66,$B67&lt;&gt;$B66)),"ID LISTS UNALIGNED",and($A67&lt;&gt;"",countif('5) Release_Track'!$F:$F,$A67)=0),"NO ISRC MATCH in Release_Track",and($B67&lt;&gt;"",countif('5) Release_Track'!$G:$G,$B67)=0),"NO CATALOG ID MATCH in Release_Track",iserror(vlookup($A67&amp;$B67,'5) Release_Track'!$F:$F&amp;'5) Release_Track'!$G:$G,1,0)),"NO ISRC-CATALOG ID pair MATCH in Release_Track" )</f>
        <v/>
      </c>
      <c r="E67" s="44" t="s">
        <v>51</v>
      </c>
      <c r="F67" s="8" t="s">
        <v>325</v>
      </c>
      <c r="G67" s="123" t="str">
        <f t="array" ref="G67">ifs(or($F67="",$F67="Main Primary Artist"),$F67,not(iserror(vlookup($F67,'Reference info'!$J$5:$J$8,1,0))),"Key Artist",not(iserror(vlookup($F67,'Reference info'!$J$38:$J$405,1,0))),"Performer",not(iserror(vlookup($F67,'Reference info'!$J$10:$J$36,1,0))),"Producer &amp; Engineer")</f>
        <v>Key Artist</v>
      </c>
    </row>
    <row r="68">
      <c r="A68" s="44" t="s">
        <v>438</v>
      </c>
      <c r="B68" s="103"/>
      <c r="C68" s="121" t="str">
        <f t="array" ref="C68">ifs(and(isblank($A68),isblank($B68)),"", not(iserror(vlookup($A68&amp;$B68,'5) Release_Track'!$F:$F&amp;'5) Release_Track'!$G:$G,1,0))),vlookup($A68&amp;$B68,{'5) Release_Track'!$F:$F&amp;'5) Release_Track'!$G:$G,'5) Release_Track'!$H:$H},2,0), or(and(not(isblank($B68)),$B68=$B67,$A68&lt;&gt;$A67),and(not(isblank($A68)),$A68=$A67,$B68&lt;&gt;$B67)),"ID LISTS UNALIGNED",and($A68&lt;&gt;"",countif('5) Release_Track'!$F:$F,$A68)=0),"NO ISRC MATCH in Release_Track",and($B68&lt;&gt;"",countif('5) Release_Track'!$G:$G,$B68)=0),"NO CATALOG ID MATCH in Release_Track",iserror(vlookup($A68&amp;$B68,'5) Release_Track'!$F:$F&amp;'5) Release_Track'!$G:$G,1,0)),"NO ISRC-CATALOG ID pair MATCH in Release_Track" )</f>
        <v>Milne Di Rutt</v>
      </c>
      <c r="D68" s="121" t="str">
        <f t="array" ref="D68">ifs(and(isblank($A68),isblank($B68)),"", not(iserror(vlookup($A68&amp;$B68,'5) Release_Track'!$F:$F&amp;'5) Release_Track'!$G:$G,1,0))),vlookup($A68&amp;$B68,{'5) Release_Track'!$F:$F&amp;'5) Release_Track'!$G:$G,'5) Release_Track'!$I:$I},2,0), or(and(not(isblank($B68)),$B68=$B67,$A68&lt;&gt;$A67),and(not(isblank($A68)),$A68=$A67,$B68&lt;&gt;$B67)),"ID LISTS UNALIGNED",and($A68&lt;&gt;"",countif('5) Release_Track'!$F:$F,$A68)=0),"NO ISRC MATCH in Release_Track",and($B68&lt;&gt;"",countif('5) Release_Track'!$G:$G,$B68)=0),"NO CATALOG ID MATCH in Release_Track",iserror(vlookup($A68&amp;$B68,'5) Release_Track'!$F:$F&amp;'5) Release_Track'!$G:$G,1,0)),"NO ISRC-CATALOG ID pair MATCH in Release_Track" )</f>
        <v/>
      </c>
      <c r="E68" s="44" t="s">
        <v>57</v>
      </c>
      <c r="F68" s="8" t="s">
        <v>323</v>
      </c>
      <c r="G68" s="123" t="str">
        <f t="array" ref="G68">ifs(or($F68="",$F68="Main Primary Artist"),$F68,not(iserror(vlookup($F68,'Reference info'!$J$5:$J$8,1,0))),"Key Artist",not(iserror(vlookup($F68,'Reference info'!$J$38:$J$405,1,0))),"Performer",not(iserror(vlookup($F68,'Reference info'!$J$10:$J$36,1,0))),"Producer &amp; Engineer")</f>
        <v>Main Primary Artist</v>
      </c>
    </row>
    <row r="69">
      <c r="A69" s="44" t="s">
        <v>438</v>
      </c>
      <c r="B69" s="103"/>
      <c r="C69" s="121" t="str">
        <f t="array" ref="C69">ifs(and(isblank($A69),isblank($B69)),"", not(iserror(vlookup($A69&amp;$B69,'5) Release_Track'!$F:$F&amp;'5) Release_Track'!$G:$G,1,0))),vlookup($A69&amp;$B69,{'5) Release_Track'!$F:$F&amp;'5) Release_Track'!$G:$G,'5) Release_Track'!$H:$H},2,0), or(and(not(isblank($B69)),$B69=$B68,$A69&lt;&gt;$A68),and(not(isblank($A69)),$A69=$A68,$B69&lt;&gt;$B68)),"ID LISTS UNALIGNED",and($A69&lt;&gt;"",countif('5) Release_Track'!$F:$F,$A69)=0),"NO ISRC MATCH in Release_Track",and($B69&lt;&gt;"",countif('5) Release_Track'!$G:$G,$B69)=0),"NO CATALOG ID MATCH in Release_Track",iserror(vlookup($A69&amp;$B69,'5) Release_Track'!$F:$F&amp;'5) Release_Track'!$G:$G,1,0)),"NO ISRC-CATALOG ID pair MATCH in Release_Track" )</f>
        <v>Milne Di Rutt</v>
      </c>
      <c r="D69" s="121" t="str">
        <f t="array" ref="D69">ifs(and(isblank($A69),isblank($B69)),"", not(iserror(vlookup($A69&amp;$B69,'5) Release_Track'!$F:$F&amp;'5) Release_Track'!$G:$G,1,0))),vlookup($A69&amp;$B69,{'5) Release_Track'!$F:$F&amp;'5) Release_Track'!$G:$G,'5) Release_Track'!$I:$I},2,0), or(and(not(isblank($B69)),$B69=$B68,$A69&lt;&gt;$A68),and(not(isblank($A69)),$A69=$A68,$B69&lt;&gt;$B68)),"ID LISTS UNALIGNED",and($A69&lt;&gt;"",countif('5) Release_Track'!$F:$F,$A69)=0),"NO ISRC MATCH in Release_Track",and($B69&lt;&gt;"",countif('5) Release_Track'!$G:$G,$B69)=0),"NO CATALOG ID MATCH in Release_Track",iserror(vlookup($A69&amp;$B69,'5) Release_Track'!$F:$F&amp;'5) Release_Track'!$G:$G,1,0)),"NO ISRC-CATALOG ID pair MATCH in Release_Track" )</f>
        <v/>
      </c>
      <c r="E69" s="44" t="s">
        <v>79</v>
      </c>
      <c r="F69" s="8" t="s">
        <v>325</v>
      </c>
      <c r="G69" s="123" t="str">
        <f t="array" ref="G69">ifs(or($F69="",$F69="Main Primary Artist"),$F69,not(iserror(vlookup($F69,'Reference info'!$J$5:$J$8,1,0))),"Key Artist",not(iserror(vlookup($F69,'Reference info'!$J$38:$J$405,1,0))),"Performer",not(iserror(vlookup($F69,'Reference info'!$J$10:$J$36,1,0))),"Producer &amp; Engineer")</f>
        <v>Key Artist</v>
      </c>
    </row>
    <row r="70">
      <c r="A70" s="44" t="s">
        <v>440</v>
      </c>
      <c r="B70" s="103"/>
      <c r="C70" s="121" t="str">
        <f t="array" ref="C70">ifs(and(isblank($A70),isblank($B70)),"", not(iserror(vlookup($A70&amp;$B70,'5) Release_Track'!$F:$F&amp;'5) Release_Track'!$G:$G,1,0))),vlookup($A70&amp;$B70,{'5) Release_Track'!$F:$F&amp;'5) Release_Track'!$G:$G,'5) Release_Track'!$H:$H},2,0), or(and(not(isblank($B70)),$B70=$B69,$A70&lt;&gt;$A69),and(not(isblank($A70)),$A70=$A69,$B70&lt;&gt;$B69)),"ID LISTS UNALIGNED",and($A70&lt;&gt;"",countif('5) Release_Track'!$F:$F,$A70)=0),"NO ISRC MATCH in Release_Track",and($B70&lt;&gt;"",countif('5) Release_Track'!$G:$G,$B70)=0),"NO CATALOG ID MATCH in Release_Track",iserror(vlookup($A70&amp;$B70,'5) Release_Track'!$F:$F&amp;'5) Release_Track'!$G:$G,1,0)),"NO ISRC-CATALOG ID pair MATCH in Release_Track" )</f>
        <v>Noonh Labhni (From "Vekh Baraatan Challiyan" Soundtrack)</v>
      </c>
      <c r="D70" s="121" t="str">
        <f t="array" ref="D70">ifs(and(isblank($A70),isblank($B70)),"", not(iserror(vlookup($A70&amp;$B70,'5) Release_Track'!$F:$F&amp;'5) Release_Track'!$G:$G,1,0))),vlookup($A70&amp;$B70,{'5) Release_Track'!$F:$F&amp;'5) Release_Track'!$G:$G,'5) Release_Track'!$I:$I},2,0), or(and(not(isblank($B70)),$B70=$B69,$A70&lt;&gt;$A69),and(not(isblank($A70)),$A70=$A69,$B70&lt;&gt;$B69)),"ID LISTS UNALIGNED",and($A70&lt;&gt;"",countif('5) Release_Track'!$F:$F,$A70)=0),"NO ISRC MATCH in Release_Track",and($B70&lt;&gt;"",countif('5) Release_Track'!$G:$G,$B70)=0),"NO CATALOG ID MATCH in Release_Track",iserror(vlookup($A70&amp;$B70,'5) Release_Track'!$F:$F&amp;'5) Release_Track'!$G:$G,1,0)),"NO ISRC-CATALOG ID pair MATCH in Release_Track" )</f>
        <v/>
      </c>
      <c r="E70" s="44" t="s">
        <v>42</v>
      </c>
      <c r="F70" s="8" t="s">
        <v>323</v>
      </c>
      <c r="G70" s="123" t="str">
        <f t="array" ref="G70">ifs(or($F70="",$F70="Main Primary Artist"),$F70,not(iserror(vlookup($F70,'Reference info'!$J$5:$J$8,1,0))),"Key Artist",not(iserror(vlookup($F70,'Reference info'!$J$38:$J$405,1,0))),"Performer",not(iserror(vlookup($F70,'Reference info'!$J$10:$J$36,1,0))),"Producer &amp; Engineer")</f>
        <v>Main Primary Artist</v>
      </c>
    </row>
    <row r="71">
      <c r="A71" s="44" t="s">
        <v>440</v>
      </c>
      <c r="B71" s="103"/>
      <c r="C71" s="121" t="str">
        <f t="array" ref="C71">ifs(and(isblank($A71),isblank($B71)),"", not(iserror(vlookup($A71&amp;$B71,'5) Release_Track'!$F:$F&amp;'5) Release_Track'!$G:$G,1,0))),vlookup($A71&amp;$B71,{'5) Release_Track'!$F:$F&amp;'5) Release_Track'!$G:$G,'5) Release_Track'!$H:$H},2,0), or(and(not(isblank($B71)),$B71=$B70,$A71&lt;&gt;$A70),and(not(isblank($A71)),$A71=$A70,$B71&lt;&gt;$B70)),"ID LISTS UNALIGNED",and($A71&lt;&gt;"",countif('5) Release_Track'!$F:$F,$A71)=0),"NO ISRC MATCH in Release_Track",and($B71&lt;&gt;"",countif('5) Release_Track'!$G:$G,$B71)=0),"NO CATALOG ID MATCH in Release_Track",iserror(vlookup($A71&amp;$B71,'5) Release_Track'!$F:$F&amp;'5) Release_Track'!$G:$G,1,0)),"NO ISRC-CATALOG ID pair MATCH in Release_Track" )</f>
        <v>Noonh Labhni (From "Vekh Baraatan Challiyan" Soundtrack)</v>
      </c>
      <c r="D71" s="121" t="str">
        <f t="array" ref="D71">ifs(and(isblank($A71),isblank($B71)),"", not(iserror(vlookup($A71&amp;$B71,'5) Release_Track'!$F:$F&amp;'5) Release_Track'!$G:$G,1,0))),vlookup($A71&amp;$B71,{'5) Release_Track'!$F:$F&amp;'5) Release_Track'!$G:$G,'5) Release_Track'!$I:$I},2,0), or(and(not(isblank($B71)),$B71=$B70,$A71&lt;&gt;$A70),and(not(isblank($A71)),$A71=$A70,$B71&lt;&gt;$B70)),"ID LISTS UNALIGNED",and($A71&lt;&gt;"",countif('5) Release_Track'!$F:$F,$A71)=0),"NO ISRC MATCH in Release_Track",and($B71&lt;&gt;"",countif('5) Release_Track'!$G:$G,$B71)=0),"NO CATALOG ID MATCH in Release_Track",iserror(vlookup($A71&amp;$B71,'5) Release_Track'!$F:$F&amp;'5) Release_Track'!$G:$G,1,0)),"NO ISRC-CATALOG ID pair MATCH in Release_Track" )</f>
        <v/>
      </c>
      <c r="E71" s="44" t="s">
        <v>47</v>
      </c>
      <c r="F71" s="8" t="s">
        <v>325</v>
      </c>
      <c r="G71" s="123" t="str">
        <f t="array" ref="G71">ifs(or($F71="",$F71="Main Primary Artist"),$F71,not(iserror(vlookup($F71,'Reference info'!$J$5:$J$8,1,0))),"Key Artist",not(iserror(vlookup($F71,'Reference info'!$J$38:$J$405,1,0))),"Performer",not(iserror(vlookup($F71,'Reference info'!$J$10:$J$36,1,0))),"Producer &amp; Engineer")</f>
        <v>Key Artist</v>
      </c>
    </row>
    <row r="72">
      <c r="A72" s="44" t="s">
        <v>442</v>
      </c>
      <c r="B72" s="103"/>
      <c r="C72" s="121" t="str">
        <f t="array" ref="C72">ifs(and(isblank($A72),isblank($B72)),"", not(iserror(vlookup($A72&amp;$B72,'5) Release_Track'!$F:$F&amp;'5) Release_Track'!$G:$G,1,0))),vlookup($A72&amp;$B72,{'5) Release_Track'!$F:$F&amp;'5) Release_Track'!$G:$G,'5) Release_Track'!$H:$H},2,0), or(and(not(isblank($B72)),$B72=$B71,$A72&lt;&gt;$A71),and(not(isblank($A72)),$A72=$A71,$B72&lt;&gt;$B71)),"ID LISTS UNALIGNED",and($A72&lt;&gt;"",countif('5) Release_Track'!$F:$F,$A72)=0),"NO ISRC MATCH in Release_Track",and($B72&lt;&gt;"",countif('5) Release_Track'!$G:$G,$B72)=0),"NO CATALOG ID MATCH in Release_Track",iserror(vlookup($A72&amp;$B72,'5) Release_Track'!$F:$F&amp;'5) Release_Track'!$G:$G,1,0)),"NO ISRC-CATALOG ID pair MATCH in Release_Track" )</f>
        <v>Paani</v>
      </c>
      <c r="D72" s="121" t="str">
        <f t="array" ref="D72">ifs(and(isblank($A72),isblank($B72)),"", not(iserror(vlookup($A72&amp;$B72,'5) Release_Track'!$F:$F&amp;'5) Release_Track'!$G:$G,1,0))),vlookup($A72&amp;$B72,{'5) Release_Track'!$F:$F&amp;'5) Release_Track'!$G:$G,'5) Release_Track'!$I:$I},2,0), or(and(not(isblank($B72)),$B72=$B71,$A72&lt;&gt;$A71),and(not(isblank($A72)),$A72=$A71,$B72&lt;&gt;$B71)),"ID LISTS UNALIGNED",and($A72&lt;&gt;"",countif('5) Release_Track'!$F:$F,$A72)=0),"NO ISRC MATCH in Release_Track",and($B72&lt;&gt;"",countif('5) Release_Track'!$G:$G,$B72)=0),"NO CATALOG ID MATCH in Release_Track",iserror(vlookup($A72&amp;$B72,'5) Release_Track'!$F:$F&amp;'5) Release_Track'!$G:$G,1,0)),"NO ISRC-CATALOG ID pair MATCH in Release_Track" )</f>
        <v/>
      </c>
      <c r="E72" s="44" t="s">
        <v>81</v>
      </c>
      <c r="F72" s="8" t="s">
        <v>323</v>
      </c>
      <c r="G72" s="123" t="str">
        <f t="array" ref="G72">ifs(or($F72="",$F72="Main Primary Artist"),$F72,not(iserror(vlookup($F72,'Reference info'!$J$5:$J$8,1,0))),"Key Artist",not(iserror(vlookup($F72,'Reference info'!$J$38:$J$405,1,0))),"Performer",not(iserror(vlookup($F72,'Reference info'!$J$10:$J$36,1,0))),"Producer &amp; Engineer")</f>
        <v>Main Primary Artist</v>
      </c>
    </row>
    <row r="73">
      <c r="A73" s="44" t="s">
        <v>442</v>
      </c>
      <c r="B73" s="103"/>
      <c r="C73" s="121" t="str">
        <f t="array" ref="C73">ifs(and(isblank($A73),isblank($B73)),"", not(iserror(vlookup($A73&amp;$B73,'5) Release_Track'!$F:$F&amp;'5) Release_Track'!$G:$G,1,0))),vlookup($A73&amp;$B73,{'5) Release_Track'!$F:$F&amp;'5) Release_Track'!$G:$G,'5) Release_Track'!$H:$H},2,0), or(and(not(isblank($B73)),$B73=$B72,$A73&lt;&gt;$A72),and(not(isblank($A73)),$A73=$A72,$B73&lt;&gt;$B72)),"ID LISTS UNALIGNED",and($A73&lt;&gt;"",countif('5) Release_Track'!$F:$F,$A73)=0),"NO ISRC MATCH in Release_Track",and($B73&lt;&gt;"",countif('5) Release_Track'!$G:$G,$B73)=0),"NO CATALOG ID MATCH in Release_Track",iserror(vlookup($A73&amp;$B73,'5) Release_Track'!$F:$F&amp;'5) Release_Track'!$G:$G,1,0)),"NO ISRC-CATALOG ID pair MATCH in Release_Track" )</f>
        <v>Paani</v>
      </c>
      <c r="D73" s="121" t="str">
        <f t="array" ref="D73">ifs(and(isblank($A73),isblank($B73)),"", not(iserror(vlookup($A73&amp;$B73,'5) Release_Track'!$F:$F&amp;'5) Release_Track'!$G:$G,1,0))),vlookup($A73&amp;$B73,{'5) Release_Track'!$F:$F&amp;'5) Release_Track'!$G:$G,'5) Release_Track'!$I:$I},2,0), or(and(not(isblank($B73)),$B73=$B72,$A73&lt;&gt;$A72),and(not(isblank($A73)),$A73=$A72,$B73&lt;&gt;$B72)),"ID LISTS UNALIGNED",and($A73&lt;&gt;"",countif('5) Release_Track'!$F:$F,$A73)=0),"NO ISRC MATCH in Release_Track",and($B73&lt;&gt;"",countif('5) Release_Track'!$G:$G,$B73)=0),"NO CATALOG ID MATCH in Release_Track",iserror(vlookup($A73&amp;$B73,'5) Release_Track'!$F:$F&amp;'5) Release_Track'!$G:$G,1,0)),"NO ISRC-CATALOG ID pair MATCH in Release_Track" )</f>
        <v/>
      </c>
      <c r="E73" s="44" t="s">
        <v>83</v>
      </c>
      <c r="F73" s="8" t="s">
        <v>331</v>
      </c>
      <c r="G73" s="123" t="str">
        <f t="array" ref="G73">ifs(or($F73="",$F73="Main Primary Artist"),$F73,not(iserror(vlookup($F73,'Reference info'!$J$5:$J$8,1,0))),"Key Artist",not(iserror(vlookup($F73,'Reference info'!$J$38:$J$405,1,0))),"Performer",not(iserror(vlookup($F73,'Reference info'!$J$10:$J$36,1,0))),"Producer &amp; Engineer")</f>
        <v>Key Artist</v>
      </c>
    </row>
    <row r="74">
      <c r="A74" s="44" t="s">
        <v>444</v>
      </c>
      <c r="B74" s="103"/>
      <c r="C74" s="121" t="str">
        <f t="array" ref="C74">ifs(and(isblank($A74),isblank($B74)),"", not(iserror(vlookup($A74&amp;$B74,'5) Release_Track'!$F:$F&amp;'5) Release_Track'!$G:$G,1,0))),vlookup($A74&amp;$B74,{'5) Release_Track'!$F:$F&amp;'5) Release_Track'!$G:$G,'5) Release_Track'!$H:$H},2,0), or(and(not(isblank($B74)),$B74=$B73,$A74&lt;&gt;$A73),and(not(isblank($A74)),$A74=$A73,$B74&lt;&gt;$B73)),"ID LISTS UNALIGNED",and($A74&lt;&gt;"",countif('5) Release_Track'!$F:$F,$A74)=0),"NO ISRC MATCH in Release_Track",and($B74&lt;&gt;"",countif('5) Release_Track'!$G:$G,$B74)=0),"NO CATALOG ID MATCH in Release_Track",iserror(vlookup($A74&amp;$B74,'5) Release_Track'!$F:$F&amp;'5) Release_Track'!$G:$G,1,0)),"NO ISRC-CATALOG ID pair MATCH in Release_Track" )</f>
        <v>Paani Raavi Da (From "Lahoriye" Soundtrack)</v>
      </c>
      <c r="D74" s="121" t="str">
        <f t="array" ref="D74">ifs(and(isblank($A74),isblank($B74)),"", not(iserror(vlookup($A74&amp;$B74,'5) Release_Track'!$F:$F&amp;'5) Release_Track'!$G:$G,1,0))),vlookup($A74&amp;$B74,{'5) Release_Track'!$F:$F&amp;'5) Release_Track'!$G:$G,'5) Release_Track'!$I:$I},2,0), or(and(not(isblank($B74)),$B74=$B73,$A74&lt;&gt;$A73),and(not(isblank($A74)),$A74=$A73,$B74&lt;&gt;$B73)),"ID LISTS UNALIGNED",and($A74&lt;&gt;"",countif('5) Release_Track'!$F:$F,$A74)=0),"NO ISRC MATCH in Release_Track",and($B74&lt;&gt;"",countif('5) Release_Track'!$G:$G,$B74)=0),"NO CATALOG ID MATCH in Release_Track",iserror(vlookup($A74&amp;$B74,'5) Release_Track'!$F:$F&amp;'5) Release_Track'!$G:$G,1,0)),"NO ISRC-CATALOG ID pair MATCH in Release_Track" )</f>
        <v/>
      </c>
      <c r="E74" s="44" t="s">
        <v>85</v>
      </c>
      <c r="F74" s="8" t="s">
        <v>323</v>
      </c>
      <c r="G74" s="123" t="str">
        <f t="array" ref="G74">ifs(or($F74="",$F74="Main Primary Artist"),$F74,not(iserror(vlookup($F74,'Reference info'!$J$5:$J$8,1,0))),"Key Artist",not(iserror(vlookup($F74,'Reference info'!$J$38:$J$405,1,0))),"Performer",not(iserror(vlookup($F74,'Reference info'!$J$10:$J$36,1,0))),"Producer &amp; Engineer")</f>
        <v>Main Primary Artist</v>
      </c>
    </row>
    <row r="75">
      <c r="A75" s="44" t="s">
        <v>444</v>
      </c>
      <c r="B75" s="103"/>
      <c r="C75" s="121" t="str">
        <f t="array" ref="C75">ifs(and(isblank($A75),isblank($B75)),"", not(iserror(vlookup($A75&amp;$B75,'5) Release_Track'!$F:$F&amp;'5) Release_Track'!$G:$G,1,0))),vlookup($A75&amp;$B75,{'5) Release_Track'!$F:$F&amp;'5) Release_Track'!$G:$G,'5) Release_Track'!$H:$H},2,0), or(and(not(isblank($B75)),$B75=$B74,$A75&lt;&gt;$A74),and(not(isblank($A75)),$A75=$A74,$B75&lt;&gt;$B74)),"ID LISTS UNALIGNED",and($A75&lt;&gt;"",countif('5) Release_Track'!$F:$F,$A75)=0),"NO ISRC MATCH in Release_Track",and($B75&lt;&gt;"",countif('5) Release_Track'!$G:$G,$B75)=0),"NO CATALOG ID MATCH in Release_Track",iserror(vlookup($A75&amp;$B75,'5) Release_Track'!$F:$F&amp;'5) Release_Track'!$G:$G,1,0)),"NO ISRC-CATALOG ID pair MATCH in Release_Track" )</f>
        <v>Paani Raavi Da (From "Lahoriye" Soundtrack)</v>
      </c>
      <c r="D75" s="121" t="str">
        <f t="array" ref="D75">ifs(and(isblank($A75),isblank($B75)),"", not(iserror(vlookup($A75&amp;$B75,'5) Release_Track'!$F:$F&amp;'5) Release_Track'!$G:$G,1,0))),vlookup($A75&amp;$B75,{'5) Release_Track'!$F:$F&amp;'5) Release_Track'!$G:$G,'5) Release_Track'!$I:$I},2,0), or(and(not(isblank($B75)),$B75=$B74,$A75&lt;&gt;$A74),and(not(isblank($A75)),$A75=$A74,$B75&lt;&gt;$B74)),"ID LISTS UNALIGNED",and($A75&lt;&gt;"",countif('5) Release_Track'!$F:$F,$A75)=0),"NO ISRC MATCH in Release_Track",and($B75&lt;&gt;"",countif('5) Release_Track'!$G:$G,$B75)=0),"NO CATALOG ID MATCH in Release_Track",iserror(vlookup($A75&amp;$B75,'5) Release_Track'!$F:$F&amp;'5) Release_Track'!$G:$G,1,0)),"NO ISRC-CATALOG ID pair MATCH in Release_Track" )</f>
        <v/>
      </c>
      <c r="E75" s="44" t="s">
        <v>49</v>
      </c>
      <c r="F75" s="8" t="s">
        <v>324</v>
      </c>
      <c r="G75" s="123" t="str">
        <f t="array" ref="G75">ifs(or($F75="",$F75="Main Primary Artist"),$F75,not(iserror(vlookup($F75,'Reference info'!$J$5:$J$8,1,0))),"Key Artist",not(iserror(vlookup($F75,'Reference info'!$J$38:$J$405,1,0))),"Performer",not(iserror(vlookup($F75,'Reference info'!$J$10:$J$36,1,0))),"Producer &amp; Engineer")</f>
        <v>Key Artist</v>
      </c>
    </row>
    <row r="76">
      <c r="A76" s="44" t="s">
        <v>444</v>
      </c>
      <c r="B76" s="103"/>
      <c r="C76" s="121" t="str">
        <f t="array" ref="C76">ifs(and(isblank($A76),isblank($B76)),"", not(iserror(vlookup($A76&amp;$B76,'5) Release_Track'!$F:$F&amp;'5) Release_Track'!$G:$G,1,0))),vlookup($A76&amp;$B76,{'5) Release_Track'!$F:$F&amp;'5) Release_Track'!$G:$G,'5) Release_Track'!$H:$H},2,0), or(and(not(isblank($B76)),$B76=$B75,$A76&lt;&gt;$A75),and(not(isblank($A76)),$A76=$A75,$B76&lt;&gt;$B75)),"ID LISTS UNALIGNED",and($A76&lt;&gt;"",countif('5) Release_Track'!$F:$F,$A76)=0),"NO ISRC MATCH in Release_Track",and($B76&lt;&gt;"",countif('5) Release_Track'!$G:$G,$B76)=0),"NO CATALOG ID MATCH in Release_Track",iserror(vlookup($A76&amp;$B76,'5) Release_Track'!$F:$F&amp;'5) Release_Track'!$G:$G,1,0)),"NO ISRC-CATALOG ID pair MATCH in Release_Track" )</f>
        <v>Paani Raavi Da (From "Lahoriye" Soundtrack)</v>
      </c>
      <c r="D76" s="121" t="str">
        <f t="array" ref="D76">ifs(and(isblank($A76),isblank($B76)),"", not(iserror(vlookup($A76&amp;$B76,'5) Release_Track'!$F:$F&amp;'5) Release_Track'!$G:$G,1,0))),vlookup($A76&amp;$B76,{'5) Release_Track'!$F:$F&amp;'5) Release_Track'!$G:$G,'5) Release_Track'!$I:$I},2,0), or(and(not(isblank($B76)),$B76=$B75,$A76&lt;&gt;$A75),and(not(isblank($A76)),$A76=$A75,$B76&lt;&gt;$B75)),"ID LISTS UNALIGNED",and($A76&lt;&gt;"",countif('5) Release_Track'!$F:$F,$A76)=0),"NO ISRC MATCH in Release_Track",and($B76&lt;&gt;"",countif('5) Release_Track'!$G:$G,$B76)=0),"NO CATALOG ID MATCH in Release_Track",iserror(vlookup($A76&amp;$B76,'5) Release_Track'!$F:$F&amp;'5) Release_Track'!$G:$G,1,0)),"NO ISRC-CATALOG ID pair MATCH in Release_Track" )</f>
        <v/>
      </c>
      <c r="E76" s="44" t="s">
        <v>51</v>
      </c>
      <c r="F76" s="8" t="s">
        <v>325</v>
      </c>
      <c r="G76" s="123" t="str">
        <f t="array" ref="G76">ifs(or($F76="",$F76="Main Primary Artist"),$F76,not(iserror(vlookup($F76,'Reference info'!$J$5:$J$8,1,0))),"Key Artist",not(iserror(vlookup($F76,'Reference info'!$J$38:$J$405,1,0))),"Performer",not(iserror(vlookup($F76,'Reference info'!$J$10:$J$36,1,0))),"Producer &amp; Engineer")</f>
        <v>Key Artist</v>
      </c>
    </row>
    <row r="77">
      <c r="A77" s="44" t="s">
        <v>446</v>
      </c>
      <c r="B77" s="103"/>
      <c r="C77" s="121" t="str">
        <f t="array" ref="C77">ifs(and(isblank($A77),isblank($B77)),"", not(iserror(vlookup($A77&amp;$B77,'5) Release_Track'!$F:$F&amp;'5) Release_Track'!$G:$G,1,0))),vlookup($A77&amp;$B77,{'5) Release_Track'!$F:$F&amp;'5) Release_Track'!$G:$G,'5) Release_Track'!$H:$H},2,0), or(and(not(isblank($B77)),$B77=$B76,$A77&lt;&gt;$A76),and(not(isblank($A77)),$A77=$A76,$B77&lt;&gt;$B76)),"ID LISTS UNALIGNED",and($A77&lt;&gt;"",countif('5) Release_Track'!$F:$F,$A77)=0),"NO ISRC MATCH in Release_Track",and($B77&lt;&gt;"",countif('5) Release_Track'!$G:$G,$B77)=0),"NO CATALOG ID MATCH in Release_Track",iserror(vlookup($A77&amp;$B77,'5) Release_Track'!$F:$F&amp;'5) Release_Track'!$G:$G,1,0)),"NO ISRC-CATALOG ID pair MATCH in Release_Track" )</f>
        <v>Phullan Di Vel (From "Golak Bugni Bank Te Batua" Soundtrack)</v>
      </c>
      <c r="D77" s="121" t="str">
        <f t="array" ref="D77">ifs(and(isblank($A77),isblank($B77)),"", not(iserror(vlookup($A77&amp;$B77,'5) Release_Track'!$F:$F&amp;'5) Release_Track'!$G:$G,1,0))),vlookup($A77&amp;$B77,{'5) Release_Track'!$F:$F&amp;'5) Release_Track'!$G:$G,'5) Release_Track'!$I:$I},2,0), or(and(not(isblank($B77)),$B77=$B76,$A77&lt;&gt;$A76),and(not(isblank($A77)),$A77=$A76,$B77&lt;&gt;$B76)),"ID LISTS UNALIGNED",and($A77&lt;&gt;"",countif('5) Release_Track'!$F:$F,$A77)=0),"NO ISRC MATCH in Release_Track",and($B77&lt;&gt;"",countif('5) Release_Track'!$G:$G,$B77)=0),"NO CATALOG ID MATCH in Release_Track",iserror(vlookup($A77&amp;$B77,'5) Release_Track'!$F:$F&amp;'5) Release_Track'!$G:$G,1,0)),"NO ISRC-CATALOG ID pair MATCH in Release_Track" )</f>
        <v/>
      </c>
      <c r="E77" s="44" t="s">
        <v>45</v>
      </c>
      <c r="F77" s="8" t="s">
        <v>323</v>
      </c>
      <c r="G77" s="123" t="str">
        <f t="array" ref="G77">ifs(or($F77="",$F77="Main Primary Artist"),$F77,not(iserror(vlookup($F77,'Reference info'!$J$5:$J$8,1,0))),"Key Artist",not(iserror(vlookup($F77,'Reference info'!$J$38:$J$405,1,0))),"Performer",not(iserror(vlookup($F77,'Reference info'!$J$10:$J$36,1,0))),"Producer &amp; Engineer")</f>
        <v>Main Primary Artist</v>
      </c>
    </row>
    <row r="78">
      <c r="A78" s="44" t="s">
        <v>446</v>
      </c>
      <c r="B78" s="103"/>
      <c r="C78" s="121" t="str">
        <f t="array" ref="C78">ifs(and(isblank($A78),isblank($B78)),"", not(iserror(vlookup($A78&amp;$B78,'5) Release_Track'!$F:$F&amp;'5) Release_Track'!$G:$G,1,0))),vlookup($A78&amp;$B78,{'5) Release_Track'!$F:$F&amp;'5) Release_Track'!$G:$G,'5) Release_Track'!$H:$H},2,0), or(and(not(isblank($B78)),$B78=$B77,$A78&lt;&gt;$A77),and(not(isblank($A78)),$A78=$A77,$B78&lt;&gt;$B77)),"ID LISTS UNALIGNED",and($A78&lt;&gt;"",countif('5) Release_Track'!$F:$F,$A78)=0),"NO ISRC MATCH in Release_Track",and($B78&lt;&gt;"",countif('5) Release_Track'!$G:$G,$B78)=0),"NO CATALOG ID MATCH in Release_Track",iserror(vlookup($A78&amp;$B78,'5) Release_Track'!$F:$F&amp;'5) Release_Track'!$G:$G,1,0)),"NO ISRC-CATALOG ID pair MATCH in Release_Track" )</f>
        <v>Phullan Di Vel (From "Golak Bugni Bank Te Batua" Soundtrack)</v>
      </c>
      <c r="D78" s="121" t="str">
        <f t="array" ref="D78">ifs(and(isblank($A78),isblank($B78)),"", not(iserror(vlookup($A78&amp;$B78,'5) Release_Track'!$F:$F&amp;'5) Release_Track'!$G:$G,1,0))),vlookup($A78&amp;$B78,{'5) Release_Track'!$F:$F&amp;'5) Release_Track'!$G:$G,'5) Release_Track'!$I:$I},2,0), or(and(not(isblank($B78)),$B78=$B77,$A78&lt;&gt;$A77),and(not(isblank($A78)),$A78=$A77,$B78&lt;&gt;$B77)),"ID LISTS UNALIGNED",and($A78&lt;&gt;"",countif('5) Release_Track'!$F:$F,$A78)=0),"NO ISRC MATCH in Release_Track",and($B78&lt;&gt;"",countif('5) Release_Track'!$G:$G,$B78)=0),"NO CATALOG ID MATCH in Release_Track",iserror(vlookup($A78&amp;$B78,'5) Release_Track'!$F:$F&amp;'5) Release_Track'!$G:$G,1,0)),"NO ISRC-CATALOG ID pair MATCH in Release_Track" )</f>
        <v/>
      </c>
      <c r="E78" s="44" t="s">
        <v>51</v>
      </c>
      <c r="F78" s="8" t="s">
        <v>325</v>
      </c>
      <c r="G78" s="123" t="str">
        <f t="array" ref="G78">ifs(or($F78="",$F78="Main Primary Artist"),$F78,not(iserror(vlookup($F78,'Reference info'!$J$5:$J$8,1,0))),"Key Artist",not(iserror(vlookup($F78,'Reference info'!$J$38:$J$405,1,0))),"Performer",not(iserror(vlookup($F78,'Reference info'!$J$10:$J$36,1,0))),"Producer &amp; Engineer")</f>
        <v>Key Artist</v>
      </c>
    </row>
    <row r="79">
      <c r="A79" s="44" t="s">
        <v>448</v>
      </c>
      <c r="B79" s="103"/>
      <c r="C79" s="121" t="str">
        <f t="array" ref="C79">ifs(and(isblank($A79),isblank($B79)),"", not(iserror(vlookup($A79&amp;$B79,'5) Release_Track'!$F:$F&amp;'5) Release_Track'!$G:$G,1,0))),vlookup($A79&amp;$B79,{'5) Release_Track'!$F:$F&amp;'5) Release_Track'!$G:$G,'5) Release_Track'!$H:$H},2,0), or(and(not(isblank($B79)),$B79=$B78,$A79&lt;&gt;$A78),and(not(isblank($A79)),$A79=$A78,$B79&lt;&gt;$B78)),"ID LISTS UNALIGNED",and($A79&lt;&gt;"",countif('5) Release_Track'!$F:$F,$A79)=0),"NO ISRC MATCH in Release_Track",and($B79&lt;&gt;"",countif('5) Release_Track'!$G:$G,$B79)=0),"NO CATALOG ID MATCH in Release_Track",iserror(vlookup($A79&amp;$B79,'5) Release_Track'!$F:$F&amp;'5) Release_Track'!$G:$G,1,0)),"NO ISRC-CATALOG ID pair MATCH in Release_Track" )</f>
        <v>Rabb Khair Kare (From "Daana Paani" Soundtrack)</v>
      </c>
      <c r="D79" s="121" t="str">
        <f t="array" ref="D79">ifs(and(isblank($A79),isblank($B79)),"", not(iserror(vlookup($A79&amp;$B79,'5) Release_Track'!$F:$F&amp;'5) Release_Track'!$G:$G,1,0))),vlookup($A79&amp;$B79,{'5) Release_Track'!$F:$F&amp;'5) Release_Track'!$G:$G,'5) Release_Track'!$I:$I},2,0), or(and(not(isblank($B79)),$B79=$B78,$A79&lt;&gt;$A78),and(not(isblank($A79)),$A79=$A78,$B79&lt;&gt;$B78)),"ID LISTS UNALIGNED",and($A79&lt;&gt;"",countif('5) Release_Track'!$F:$F,$A79)=0),"NO ISRC MATCH in Release_Track",and($B79&lt;&gt;"",countif('5) Release_Track'!$G:$G,$B79)=0),"NO CATALOG ID MATCH in Release_Track",iserror(vlookup($A79&amp;$B79,'5) Release_Track'!$F:$F&amp;'5) Release_Track'!$G:$G,1,0)),"NO ISRC-CATALOG ID pair MATCH in Release_Track" )</f>
        <v/>
      </c>
      <c r="E79" s="44" t="s">
        <v>75</v>
      </c>
      <c r="F79" s="8" t="s">
        <v>323</v>
      </c>
      <c r="G79" s="123" t="str">
        <f t="array" ref="G79">ifs(or($F79="",$F79="Main Primary Artist"),$F79,not(iserror(vlookup($F79,'Reference info'!$J$5:$J$8,1,0))),"Key Artist",not(iserror(vlookup($F79,'Reference info'!$J$38:$J$405,1,0))),"Performer",not(iserror(vlookup($F79,'Reference info'!$J$10:$J$36,1,0))),"Producer &amp; Engineer")</f>
        <v>Main Primary Artist</v>
      </c>
    </row>
    <row r="80">
      <c r="A80" s="44" t="s">
        <v>448</v>
      </c>
      <c r="B80" s="103"/>
      <c r="C80" s="121" t="str">
        <f t="array" ref="C80">ifs(and(isblank($A80),isblank($B80)),"", not(iserror(vlookup($A80&amp;$B80,'5) Release_Track'!$F:$F&amp;'5) Release_Track'!$G:$G,1,0))),vlookup($A80&amp;$B80,{'5) Release_Track'!$F:$F&amp;'5) Release_Track'!$G:$G,'5) Release_Track'!$H:$H},2,0), or(and(not(isblank($B80)),$B80=$B79,$A80&lt;&gt;$A79),and(not(isblank($A80)),$A80=$A79,$B80&lt;&gt;$B79)),"ID LISTS UNALIGNED",and($A80&lt;&gt;"",countif('5) Release_Track'!$F:$F,$A80)=0),"NO ISRC MATCH in Release_Track",and($B80&lt;&gt;"",countif('5) Release_Track'!$G:$G,$B80)=0),"NO CATALOG ID MATCH in Release_Track",iserror(vlookup($A80&amp;$B80,'5) Release_Track'!$F:$F&amp;'5) Release_Track'!$G:$G,1,0)),"NO ISRC-CATALOG ID pair MATCH in Release_Track" )</f>
        <v>Rabb Khair Kare (From "Daana Paani" Soundtrack)</v>
      </c>
      <c r="D80" s="121" t="str">
        <f t="array" ref="D80">ifs(and(isblank($A80),isblank($B80)),"", not(iserror(vlookup($A80&amp;$B80,'5) Release_Track'!$F:$F&amp;'5) Release_Track'!$G:$G,1,0))),vlookup($A80&amp;$B80,{'5) Release_Track'!$F:$F&amp;'5) Release_Track'!$G:$G,'5) Release_Track'!$I:$I},2,0), or(and(not(isblank($B80)),$B80=$B79,$A80&lt;&gt;$A79),and(not(isblank($A80)),$A80=$A79,$B80&lt;&gt;$B79)),"ID LISTS UNALIGNED",and($A80&lt;&gt;"",countif('5) Release_Track'!$F:$F,$A80)=0),"NO ISRC MATCH in Release_Track",and($B80&lt;&gt;"",countif('5) Release_Track'!$G:$G,$B80)=0),"NO CATALOG ID MATCH in Release_Track",iserror(vlookup($A80&amp;$B80,'5) Release_Track'!$F:$F&amp;'5) Release_Track'!$G:$G,1,0)),"NO ISRC-CATALOG ID pair MATCH in Release_Track" )</f>
        <v/>
      </c>
      <c r="E80" s="44" t="s">
        <v>73</v>
      </c>
      <c r="F80" s="8" t="s">
        <v>325</v>
      </c>
      <c r="G80" s="123" t="str">
        <f t="array" ref="G80">ifs(or($F80="",$F80="Main Primary Artist"),$F80,not(iserror(vlookup($F80,'Reference info'!$J$5:$J$8,1,0))),"Key Artist",not(iserror(vlookup($F80,'Reference info'!$J$38:$J$405,1,0))),"Performer",not(iserror(vlookup($F80,'Reference info'!$J$10:$J$36,1,0))),"Producer &amp; Engineer")</f>
        <v>Key Artist</v>
      </c>
    </row>
    <row r="81">
      <c r="A81" s="44" t="s">
        <v>450</v>
      </c>
      <c r="B81" s="103"/>
      <c r="C81" s="121" t="str">
        <f t="array" ref="C81">ifs(and(isblank($A81),isblank($B81)),"", not(iserror(vlookup($A81&amp;$B81,'5) Release_Track'!$F:$F&amp;'5) Release_Track'!$G:$G,1,0))),vlookup($A81&amp;$B81,{'5) Release_Track'!$F:$F&amp;'5) Release_Track'!$G:$G,'5) Release_Track'!$H:$H},2,0), or(and(not(isblank($B81)),$B81=$B80,$A81&lt;&gt;$A80),and(not(isblank($A81)),$A81=$A80,$B81&lt;&gt;$B80)),"ID LISTS UNALIGNED",and($A81&lt;&gt;"",countif('5) Release_Track'!$F:$F,$A81)=0),"NO ISRC MATCH in Release_Track",and($B81&lt;&gt;"",countif('5) Release_Track'!$G:$G,$B81)=0),"NO CATALOG ID MATCH in Release_Track",iserror(vlookup($A81&amp;$B81,'5) Release_Track'!$F:$F&amp;'5) Release_Track'!$G:$G,1,0)),"NO ISRC-CATALOG ID pair MATCH in Release_Track" )</f>
        <v>Rakhi Soneya Ve (From "Bambukat" Soundtrack)</v>
      </c>
      <c r="D81" s="121" t="str">
        <f t="array" ref="D81">ifs(and(isblank($A81),isblank($B81)),"", not(iserror(vlookup($A81&amp;$B81,'5) Release_Track'!$F:$F&amp;'5) Release_Track'!$G:$G,1,0))),vlookup($A81&amp;$B81,{'5) Release_Track'!$F:$F&amp;'5) Release_Track'!$G:$G,'5) Release_Track'!$I:$I},2,0), or(and(not(isblank($B81)),$B81=$B80,$A81&lt;&gt;$A80),and(not(isblank($A81)),$A81=$A80,$B81&lt;&gt;$B80)),"ID LISTS UNALIGNED",and($A81&lt;&gt;"",countif('5) Release_Track'!$F:$F,$A81)=0),"NO ISRC MATCH in Release_Track",and($B81&lt;&gt;"",countif('5) Release_Track'!$G:$G,$B81)=0),"NO CATALOG ID MATCH in Release_Track",iserror(vlookup($A81&amp;$B81,'5) Release_Track'!$F:$F&amp;'5) Release_Track'!$G:$G,1,0)),"NO ISRC-CATALOG ID pair MATCH in Release_Track" )</f>
        <v/>
      </c>
      <c r="E81" s="44" t="s">
        <v>55</v>
      </c>
      <c r="F81" s="8" t="s">
        <v>323</v>
      </c>
      <c r="G81" s="123" t="str">
        <f t="array" ref="G81">ifs(or($F81="",$F81="Main Primary Artist"),$F81,not(iserror(vlookup($F81,'Reference info'!$J$5:$J$8,1,0))),"Key Artist",not(iserror(vlookup($F81,'Reference info'!$J$38:$J$405,1,0))),"Performer",not(iserror(vlookup($F81,'Reference info'!$J$10:$J$36,1,0))),"Producer &amp; Engineer")</f>
        <v>Main Primary Artist</v>
      </c>
    </row>
    <row r="82">
      <c r="A82" s="44" t="s">
        <v>450</v>
      </c>
      <c r="B82" s="103"/>
      <c r="C82" s="121" t="str">
        <f t="array" ref="C82">ifs(and(isblank($A82),isblank($B82)),"", not(iserror(vlookup($A82&amp;$B82,'5) Release_Track'!$F:$F&amp;'5) Release_Track'!$G:$G,1,0))),vlookup($A82&amp;$B82,{'5) Release_Track'!$F:$F&amp;'5) Release_Track'!$G:$G,'5) Release_Track'!$H:$H},2,0), or(and(not(isblank($B82)),$B82=$B81,$A82&lt;&gt;$A81),and(not(isblank($A82)),$A82=$A81,$B82&lt;&gt;$B81)),"ID LISTS UNALIGNED",and($A82&lt;&gt;"",countif('5) Release_Track'!$F:$F,$A82)=0),"NO ISRC MATCH in Release_Track",and($B82&lt;&gt;"",countif('5) Release_Track'!$G:$G,$B82)=0),"NO CATALOG ID MATCH in Release_Track",iserror(vlookup($A82&amp;$B82,'5) Release_Track'!$F:$F&amp;'5) Release_Track'!$G:$G,1,0)),"NO ISRC-CATALOG ID pair MATCH in Release_Track" )</f>
        <v>Rakhi Soneya Ve (From "Bambukat" Soundtrack)</v>
      </c>
      <c r="D82" s="121" t="str">
        <f t="array" ref="D82">ifs(and(isblank($A82),isblank($B82)),"", not(iserror(vlookup($A82&amp;$B82,'5) Release_Track'!$F:$F&amp;'5) Release_Track'!$G:$G,1,0))),vlookup($A82&amp;$B82,{'5) Release_Track'!$F:$F&amp;'5) Release_Track'!$G:$G,'5) Release_Track'!$I:$I},2,0), or(and(not(isblank($B82)),$B82=$B81,$A82&lt;&gt;$A81),and(not(isblank($A82)),$A82=$A81,$B82&lt;&gt;$B81)),"ID LISTS UNALIGNED",and($A82&lt;&gt;"",countif('5) Release_Track'!$F:$F,$A82)=0),"NO ISRC MATCH in Release_Track",and($B82&lt;&gt;"",countif('5) Release_Track'!$G:$G,$B82)=0),"NO CATALOG ID MATCH in Release_Track",iserror(vlookup($A82&amp;$B82,'5) Release_Track'!$F:$F&amp;'5) Release_Track'!$G:$G,1,0)),"NO ISRC-CATALOG ID pair MATCH in Release_Track" )</f>
        <v/>
      </c>
      <c r="E82" s="44" t="s">
        <v>87</v>
      </c>
      <c r="F82" s="8" t="s">
        <v>324</v>
      </c>
      <c r="G82" s="123" t="str">
        <f t="array" ref="G82">ifs(or($F82="",$F82="Main Primary Artist"),$F82,not(iserror(vlookup($F82,'Reference info'!$J$5:$J$8,1,0))),"Key Artist",not(iserror(vlookup($F82,'Reference info'!$J$38:$J$405,1,0))),"Performer",not(iserror(vlookup($F82,'Reference info'!$J$10:$J$36,1,0))),"Producer &amp; Engineer")</f>
        <v>Key Artist</v>
      </c>
    </row>
    <row r="83">
      <c r="A83" s="44" t="s">
        <v>450</v>
      </c>
      <c r="B83" s="103"/>
      <c r="C83" s="121" t="str">
        <f t="array" ref="C83">ifs(and(isblank($A83),isblank($B83)),"", not(iserror(vlookup($A83&amp;$B83,'5) Release_Track'!$F:$F&amp;'5) Release_Track'!$G:$G,1,0))),vlookup($A83&amp;$B83,{'5) Release_Track'!$F:$F&amp;'5) Release_Track'!$G:$G,'5) Release_Track'!$H:$H},2,0), or(and(not(isblank($B83)),$B83=$B82,$A83&lt;&gt;$A82),and(not(isblank($A83)),$A83=$A82,$B83&lt;&gt;$B82)),"ID LISTS UNALIGNED",and($A83&lt;&gt;"",countif('5) Release_Track'!$F:$F,$A83)=0),"NO ISRC MATCH in Release_Track",and($B83&lt;&gt;"",countif('5) Release_Track'!$G:$G,$B83)=0),"NO CATALOG ID MATCH in Release_Track",iserror(vlookup($A83&amp;$B83,'5) Release_Track'!$F:$F&amp;'5) Release_Track'!$G:$G,1,0)),"NO ISRC-CATALOG ID pair MATCH in Release_Track" )</f>
        <v>Rakhi Soneya Ve (From "Bambukat" Soundtrack)</v>
      </c>
      <c r="D83" s="121" t="str">
        <f t="array" ref="D83">ifs(and(isblank($A83),isblank($B83)),"", not(iserror(vlookup($A83&amp;$B83,'5) Release_Track'!$F:$F&amp;'5) Release_Track'!$G:$G,1,0))),vlookup($A83&amp;$B83,{'5) Release_Track'!$F:$F&amp;'5) Release_Track'!$G:$G,'5) Release_Track'!$I:$I},2,0), or(and(not(isblank($B83)),$B83=$B82,$A83&lt;&gt;$A82),and(not(isblank($A83)),$A83=$A82,$B83&lt;&gt;$B82)),"ID LISTS UNALIGNED",and($A83&lt;&gt;"",countif('5) Release_Track'!$F:$F,$A83)=0),"NO ISRC MATCH in Release_Track",and($B83&lt;&gt;"",countif('5) Release_Track'!$G:$G,$B83)=0),"NO CATALOG ID MATCH in Release_Track",iserror(vlookup($A83&amp;$B83,'5) Release_Track'!$F:$F&amp;'5) Release_Track'!$G:$G,1,0)),"NO ISRC-CATALOG ID pair MATCH in Release_Track" )</f>
        <v/>
      </c>
      <c r="E83" s="44" t="s">
        <v>51</v>
      </c>
      <c r="F83" s="8" t="s">
        <v>325</v>
      </c>
      <c r="G83" s="123" t="str">
        <f t="array" ref="G83">ifs(or($F83="",$F83="Main Primary Artist"),$F83,not(iserror(vlookup($F83,'Reference info'!$J$5:$J$8,1,0))),"Key Artist",not(iserror(vlookup($F83,'Reference info'!$J$38:$J$405,1,0))),"Performer",not(iserror(vlookup($F83,'Reference info'!$J$10:$J$36,1,0))),"Producer &amp; Engineer")</f>
        <v>Key Artist</v>
      </c>
    </row>
    <row r="84">
      <c r="A84" s="44" t="s">
        <v>452</v>
      </c>
      <c r="B84" s="103"/>
      <c r="C84" s="121" t="str">
        <f t="array" ref="C84">ifs(and(isblank($A84),isblank($B84)),"", not(iserror(vlookup($A84&amp;$B84,'5) Release_Track'!$F:$F&amp;'5) Release_Track'!$G:$G,1,0))),vlookup($A84&amp;$B84,{'5) Release_Track'!$F:$F&amp;'5) Release_Track'!$G:$G,'5) Release_Track'!$H:$H},2,0), or(and(not(isblank($B84)),$B84=$B83,$A84&lt;&gt;$A83),and(not(isblank($A84)),$A84=$A83,$B84&lt;&gt;$B83)),"ID LISTS UNALIGNED",and($A84&lt;&gt;"",countif('5) Release_Track'!$F:$F,$A84)=0),"NO ISRC MATCH in Release_Track",and($B84&lt;&gt;"",countif('5) Release_Track'!$G:$G,$B84)=0),"NO CATALOG ID MATCH in Release_Track",iserror(vlookup($A84&amp;$B84,'5) Release_Track'!$F:$F&amp;'5) Release_Track'!$G:$G,1,0)),"NO ISRC-CATALOG ID pair MATCH in Release_Track" )</f>
        <v>Rani (From "Bhalwan Singh" Soundtrack)</v>
      </c>
      <c r="D84" s="121" t="str">
        <f t="array" ref="D84">ifs(and(isblank($A84),isblank($B84)),"", not(iserror(vlookup($A84&amp;$B84,'5) Release_Track'!$F:$F&amp;'5) Release_Track'!$G:$G,1,0))),vlookup($A84&amp;$B84,{'5) Release_Track'!$F:$F&amp;'5) Release_Track'!$G:$G,'5) Release_Track'!$I:$I},2,0), or(and(not(isblank($B84)),$B84=$B83,$A84&lt;&gt;$A83),and(not(isblank($A84)),$A84=$A83,$B84&lt;&gt;$B83)),"ID LISTS UNALIGNED",and($A84&lt;&gt;"",countif('5) Release_Track'!$F:$F,$A84)=0),"NO ISRC MATCH in Release_Track",and($B84&lt;&gt;"",countif('5) Release_Track'!$G:$G,$B84)=0),"NO CATALOG ID MATCH in Release_Track",iserror(vlookup($A84&amp;$B84,'5) Release_Track'!$F:$F&amp;'5) Release_Track'!$G:$G,1,0)),"NO ISRC-CATALOG ID pair MATCH in Release_Track" )</f>
        <v/>
      </c>
      <c r="E84" s="44" t="s">
        <v>42</v>
      </c>
      <c r="F84" s="8" t="s">
        <v>323</v>
      </c>
      <c r="G84" s="123" t="str">
        <f t="array" ref="G84">ifs(or($F84="",$F84="Main Primary Artist"),$F84,not(iserror(vlookup($F84,'Reference info'!$J$5:$J$8,1,0))),"Key Artist",not(iserror(vlookup($F84,'Reference info'!$J$38:$J$405,1,0))),"Performer",not(iserror(vlookup($F84,'Reference info'!$J$10:$J$36,1,0))),"Producer &amp; Engineer")</f>
        <v>Main Primary Artist</v>
      </c>
    </row>
    <row r="85">
      <c r="A85" s="44" t="s">
        <v>452</v>
      </c>
      <c r="B85" s="103"/>
      <c r="C85" s="121" t="str">
        <f t="array" ref="C85">ifs(and(isblank($A85),isblank($B85)),"", not(iserror(vlookup($A85&amp;$B85,'5) Release_Track'!$F:$F&amp;'5) Release_Track'!$G:$G,1,0))),vlookup($A85&amp;$B85,{'5) Release_Track'!$F:$F&amp;'5) Release_Track'!$G:$G,'5) Release_Track'!$H:$H},2,0), or(and(not(isblank($B85)),$B85=$B84,$A85&lt;&gt;$A84),and(not(isblank($A85)),$A85=$A84,$B85&lt;&gt;$B84)),"ID LISTS UNALIGNED",and($A85&lt;&gt;"",countif('5) Release_Track'!$F:$F,$A85)=0),"NO ISRC MATCH in Release_Track",and($B85&lt;&gt;"",countif('5) Release_Track'!$G:$G,$B85)=0),"NO CATALOG ID MATCH in Release_Track",iserror(vlookup($A85&amp;$B85,'5) Release_Track'!$F:$F&amp;'5) Release_Track'!$G:$G,1,0)),"NO ISRC-CATALOG ID pair MATCH in Release_Track" )</f>
        <v>Rani (From "Bhalwan Singh" Soundtrack)</v>
      </c>
      <c r="D85" s="121" t="str">
        <f t="array" ref="D85">ifs(and(isblank($A85),isblank($B85)),"", not(iserror(vlookup($A85&amp;$B85,'5) Release_Track'!$F:$F&amp;'5) Release_Track'!$G:$G,1,0))),vlookup($A85&amp;$B85,{'5) Release_Track'!$F:$F&amp;'5) Release_Track'!$G:$G,'5) Release_Track'!$I:$I},2,0), or(and(not(isblank($B85)),$B85=$B84,$A85&lt;&gt;$A84),and(not(isblank($A85)),$A85=$A84,$B85&lt;&gt;$B84)),"ID LISTS UNALIGNED",and($A85&lt;&gt;"",countif('5) Release_Track'!$F:$F,$A85)=0),"NO ISRC MATCH in Release_Track",and($B85&lt;&gt;"",countif('5) Release_Track'!$G:$G,$B85)=0),"NO CATALOG ID MATCH in Release_Track",iserror(vlookup($A85&amp;$B85,'5) Release_Track'!$F:$F&amp;'5) Release_Track'!$G:$G,1,0)),"NO ISRC-CATALOG ID pair MATCH in Release_Track" )</f>
        <v/>
      </c>
      <c r="E85" s="44" t="s">
        <v>47</v>
      </c>
      <c r="F85" s="8" t="s">
        <v>325</v>
      </c>
      <c r="G85" s="123" t="str">
        <f t="array" ref="G85">ifs(or($F85="",$F85="Main Primary Artist"),$F85,not(iserror(vlookup($F85,'Reference info'!$J$5:$J$8,1,0))),"Key Artist",not(iserror(vlookup($F85,'Reference info'!$J$38:$J$405,1,0))),"Performer",not(iserror(vlookup($F85,'Reference info'!$J$10:$J$36,1,0))),"Producer &amp; Engineer")</f>
        <v>Key Artist</v>
      </c>
    </row>
    <row r="86">
      <c r="A86" s="44" t="s">
        <v>454</v>
      </c>
      <c r="B86" s="103"/>
      <c r="C86" s="121" t="str">
        <f t="array" ref="C86">ifs(and(isblank($A86),isblank($B86)),"", not(iserror(vlookup($A86&amp;$B86,'5) Release_Track'!$F:$F&amp;'5) Release_Track'!$G:$G,1,0))),vlookup($A86&amp;$B86,{'5) Release_Track'!$F:$F&amp;'5) Release_Track'!$G:$G,'5) Release_Track'!$H:$H},2,0), or(and(not(isblank($B86)),$B86=$B85,$A86&lt;&gt;$A85),and(not(isblank($A86)),$A86=$A85,$B86&lt;&gt;$B85)),"ID LISTS UNALIGNED",and($A86&lt;&gt;"",countif('5) Release_Track'!$F:$F,$A86)=0),"NO ISRC MATCH in Release_Track",and($B86&lt;&gt;"",countif('5) Release_Track'!$G:$G,$B86)=0),"NO CATALOG ID MATCH in Release_Track",iserror(vlookup($A86&amp;$B86,'5) Release_Track'!$F:$F&amp;'5) Release_Track'!$G:$G,1,0)),"NO ISRC-CATALOG ID pair MATCH in Release_Track" )</f>
        <v>Refugee (From "Daana Paani" Soundtrack)</v>
      </c>
      <c r="D86" s="121" t="str">
        <f t="array" ref="D86">ifs(and(isblank($A86),isblank($B86)),"", not(iserror(vlookup($A86&amp;$B86,'5) Release_Track'!$F:$F&amp;'5) Release_Track'!$G:$G,1,0))),vlookup($A86&amp;$B86,{'5) Release_Track'!$F:$F&amp;'5) Release_Track'!$G:$G,'5) Release_Track'!$I:$I},2,0), or(and(not(isblank($B86)),$B86=$B85,$A86&lt;&gt;$A85),and(not(isblank($A86)),$A86=$A85,$B86&lt;&gt;$B85)),"ID LISTS UNALIGNED",and($A86&lt;&gt;"",countif('5) Release_Track'!$F:$F,$A86)=0),"NO ISRC MATCH in Release_Track",and($B86&lt;&gt;"",countif('5) Release_Track'!$G:$G,$B86)=0),"NO CATALOG ID MATCH in Release_Track",iserror(vlookup($A86&amp;$B86,'5) Release_Track'!$F:$F&amp;'5) Release_Track'!$G:$G,1,0)),"NO ISRC-CATALOG ID pair MATCH in Release_Track" )</f>
        <v/>
      </c>
      <c r="E86" s="44" t="s">
        <v>89</v>
      </c>
      <c r="F86" s="8" t="s">
        <v>323</v>
      </c>
      <c r="G86" s="123" t="str">
        <f t="array" ref="G86">ifs(or($F86="",$F86="Main Primary Artist"),$F86,not(iserror(vlookup($F86,'Reference info'!$J$5:$J$8,1,0))),"Key Artist",not(iserror(vlookup($F86,'Reference info'!$J$38:$J$405,1,0))),"Performer",not(iserror(vlookup($F86,'Reference info'!$J$10:$J$36,1,0))),"Producer &amp; Engineer")</f>
        <v>Main Primary Artist</v>
      </c>
    </row>
    <row r="87">
      <c r="A87" s="44" t="s">
        <v>454</v>
      </c>
      <c r="B87" s="103"/>
      <c r="C87" s="121" t="str">
        <f t="array" ref="C87">ifs(and(isblank($A87),isblank($B87)),"", not(iserror(vlookup($A87&amp;$B87,'5) Release_Track'!$F:$F&amp;'5) Release_Track'!$G:$G,1,0))),vlookup($A87&amp;$B87,{'5) Release_Track'!$F:$F&amp;'5) Release_Track'!$G:$G,'5) Release_Track'!$H:$H},2,0), or(and(not(isblank($B87)),$B87=$B86,$A87&lt;&gt;$A86),and(not(isblank($A87)),$A87=$A86,$B87&lt;&gt;$B86)),"ID LISTS UNALIGNED",and($A87&lt;&gt;"",countif('5) Release_Track'!$F:$F,$A87)=0),"NO ISRC MATCH in Release_Track",and($B87&lt;&gt;"",countif('5) Release_Track'!$G:$G,$B87)=0),"NO CATALOG ID MATCH in Release_Track",iserror(vlookup($A87&amp;$B87,'5) Release_Track'!$F:$F&amp;'5) Release_Track'!$G:$G,1,0)),"NO ISRC-CATALOG ID pair MATCH in Release_Track" )</f>
        <v>Refugee (From "Daana Paani" Soundtrack)</v>
      </c>
      <c r="D87" s="121" t="str">
        <f t="array" ref="D87">ifs(and(isblank($A87),isblank($B87)),"", not(iserror(vlookup($A87&amp;$B87,'5) Release_Track'!$F:$F&amp;'5) Release_Track'!$G:$G,1,0))),vlookup($A87&amp;$B87,{'5) Release_Track'!$F:$F&amp;'5) Release_Track'!$G:$G,'5) Release_Track'!$I:$I},2,0), or(and(not(isblank($B87)),$B87=$B86,$A87&lt;&gt;$A86),and(not(isblank($A87)),$A87=$A86,$B87&lt;&gt;$B86)),"ID LISTS UNALIGNED",and($A87&lt;&gt;"",countif('5) Release_Track'!$F:$F,$A87)=0),"NO ISRC MATCH in Release_Track",and($B87&lt;&gt;"",countif('5) Release_Track'!$G:$G,$B87)=0),"NO CATALOG ID MATCH in Release_Track",iserror(vlookup($A87&amp;$B87,'5) Release_Track'!$F:$F&amp;'5) Release_Track'!$G:$G,1,0)),"NO ISRC-CATALOG ID pair MATCH in Release_Track" )</f>
        <v/>
      </c>
      <c r="E87" s="44" t="s">
        <v>73</v>
      </c>
      <c r="F87" s="8" t="s">
        <v>325</v>
      </c>
      <c r="G87" s="123" t="str">
        <f t="array" ref="G87">ifs(or($F87="",$F87="Main Primary Artist"),$F87,not(iserror(vlookup($F87,'Reference info'!$J$5:$J$8,1,0))),"Key Artist",not(iserror(vlookup($F87,'Reference info'!$J$38:$J$405,1,0))),"Performer",not(iserror(vlookup($F87,'Reference info'!$J$10:$J$36,1,0))),"Producer &amp; Engineer")</f>
        <v>Key Artist</v>
      </c>
    </row>
    <row r="88">
      <c r="A88" s="44" t="s">
        <v>456</v>
      </c>
      <c r="B88" s="103"/>
      <c r="C88" s="121" t="str">
        <f t="array" ref="C88">ifs(and(isblank($A88),isblank($B88)),"", not(iserror(vlookup($A88&amp;$B88,'5) Release_Track'!$F:$F&amp;'5) Release_Track'!$G:$G,1,0))),vlookup($A88&amp;$B88,{'5) Release_Track'!$F:$F&amp;'5) Release_Track'!$G:$G,'5) Release_Track'!$H:$H},2,0), or(and(not(isblank($B88)),$B88=$B87,$A88&lt;&gt;$A87),and(not(isblank($A88)),$A88=$A87,$B88&lt;&gt;$B87)),"ID LISTS UNALIGNED",and($A88&lt;&gt;"",countif('5) Release_Track'!$F:$F,$A88)=0),"NO ISRC MATCH in Release_Track",and($B88&lt;&gt;"",countif('5) Release_Track'!$G:$G,$B88)=0),"NO CATALOG ID MATCH in Release_Track",iserror(vlookup($A88&amp;$B88,'5) Release_Track'!$F:$F&amp;'5) Release_Track'!$G:$G,1,0)),"NO ISRC-CATALOG ID pair MATCH in Release_Track" )</f>
        <v>Saah (From "Lahoriye" Soundtrack)</v>
      </c>
      <c r="D88" s="121" t="str">
        <f t="array" ref="D88">ifs(and(isblank($A88),isblank($B88)),"", not(iserror(vlookup($A88&amp;$B88,'5) Release_Track'!$F:$F&amp;'5) Release_Track'!$G:$G,1,0))),vlookup($A88&amp;$B88,{'5) Release_Track'!$F:$F&amp;'5) Release_Track'!$G:$G,'5) Release_Track'!$I:$I},2,0), or(and(not(isblank($B88)),$B88=$B87,$A88&lt;&gt;$A87),and(not(isblank($A88)),$A88=$A87,$B88&lt;&gt;$B87)),"ID LISTS UNALIGNED",and($A88&lt;&gt;"",countif('5) Release_Track'!$F:$F,$A88)=0),"NO ISRC MATCH in Release_Track",and($B88&lt;&gt;"",countif('5) Release_Track'!$G:$G,$B88)=0),"NO CATALOG ID MATCH in Release_Track",iserror(vlookup($A88&amp;$B88,'5) Release_Track'!$F:$F&amp;'5) Release_Track'!$G:$G,1,0)),"NO ISRC-CATALOG ID pair MATCH in Release_Track" )</f>
        <v/>
      </c>
      <c r="E88" s="44" t="s">
        <v>63</v>
      </c>
      <c r="F88" s="8" t="s">
        <v>323</v>
      </c>
      <c r="G88" s="123" t="str">
        <f t="array" ref="G88">ifs(or($F88="",$F88="Main Primary Artist"),$F88,not(iserror(vlookup($F88,'Reference info'!$J$5:$J$8,1,0))),"Key Artist",not(iserror(vlookup($F88,'Reference info'!$J$38:$J$405,1,0))),"Performer",not(iserror(vlookup($F88,'Reference info'!$J$10:$J$36,1,0))),"Producer &amp; Engineer")</f>
        <v>Main Primary Artist</v>
      </c>
    </row>
    <row r="89">
      <c r="A89" s="44" t="s">
        <v>456</v>
      </c>
      <c r="B89" s="103"/>
      <c r="C89" s="121" t="str">
        <f t="array" ref="C89">ifs(and(isblank($A89),isblank($B89)),"", not(iserror(vlookup($A89&amp;$B89,'5) Release_Track'!$F:$F&amp;'5) Release_Track'!$G:$G,1,0))),vlookup($A89&amp;$B89,{'5) Release_Track'!$F:$F&amp;'5) Release_Track'!$G:$G,'5) Release_Track'!$H:$H},2,0), or(and(not(isblank($B89)),$B89=$B88,$A89&lt;&gt;$A88),and(not(isblank($A89)),$A89=$A88,$B89&lt;&gt;$B88)),"ID LISTS UNALIGNED",and($A89&lt;&gt;"",countif('5) Release_Track'!$F:$F,$A89)=0),"NO ISRC MATCH in Release_Track",and($B89&lt;&gt;"",countif('5) Release_Track'!$G:$G,$B89)=0),"NO CATALOG ID MATCH in Release_Track",iserror(vlookup($A89&amp;$B89,'5) Release_Track'!$F:$F&amp;'5) Release_Track'!$G:$G,1,0)),"NO ISRC-CATALOG ID pair MATCH in Release_Track" )</f>
        <v>Saah (From "Lahoriye" Soundtrack)</v>
      </c>
      <c r="D89" s="121" t="str">
        <f t="array" ref="D89">ifs(and(isblank($A89),isblank($B89)),"", not(iserror(vlookup($A89&amp;$B89,'5) Release_Track'!$F:$F&amp;'5) Release_Track'!$G:$G,1,0))),vlookup($A89&amp;$B89,{'5) Release_Track'!$F:$F&amp;'5) Release_Track'!$G:$G,'5) Release_Track'!$I:$I},2,0), or(and(not(isblank($B89)),$B89=$B88,$A89&lt;&gt;$A88),and(not(isblank($A89)),$A89=$A88,$B89&lt;&gt;$B88)),"ID LISTS UNALIGNED",and($A89&lt;&gt;"",countif('5) Release_Track'!$F:$F,$A89)=0),"NO ISRC MATCH in Release_Track",and($B89&lt;&gt;"",countif('5) Release_Track'!$G:$G,$B89)=0),"NO CATALOG ID MATCH in Release_Track",iserror(vlookup($A89&amp;$B89,'5) Release_Track'!$F:$F&amp;'5) Release_Track'!$G:$G,1,0)),"NO ISRC-CATALOG ID pair MATCH in Release_Track" )</f>
        <v/>
      </c>
      <c r="E89" s="44" t="s">
        <v>51</v>
      </c>
      <c r="F89" s="8" t="s">
        <v>325</v>
      </c>
      <c r="G89" s="123" t="str">
        <f t="array" ref="G89">ifs(or($F89="",$F89="Main Primary Artist"),$F89,not(iserror(vlookup($F89,'Reference info'!$J$5:$J$8,1,0))),"Key Artist",not(iserror(vlookup($F89,'Reference info'!$J$38:$J$405,1,0))),"Performer",not(iserror(vlookup($F89,'Reference info'!$J$10:$J$36,1,0))),"Producer &amp; Engineer")</f>
        <v>Key Artist</v>
      </c>
    </row>
    <row r="90">
      <c r="A90" s="44" t="s">
        <v>458</v>
      </c>
      <c r="B90" s="103"/>
      <c r="C90" s="121" t="str">
        <f t="array" ref="C90">ifs(and(isblank($A90),isblank($B90)),"", not(iserror(vlookup($A90&amp;$B90,'5) Release_Track'!$F:$F&amp;'5) Release_Track'!$G:$G,1,0))),vlookup($A90&amp;$B90,{'5) Release_Track'!$F:$F&amp;'5) Release_Track'!$G:$G,'5) Release_Track'!$H:$H},2,0), or(and(not(isblank($B90)),$B90=$B89,$A90&lt;&gt;$A89),and(not(isblank($A90)),$A90=$A89,$B90&lt;&gt;$B89)),"ID LISTS UNALIGNED",and($A90&lt;&gt;"",countif('5) Release_Track'!$F:$F,$A90)=0),"NO ISRC MATCH in Release_Track",and($B90&lt;&gt;"",countif('5) Release_Track'!$G:$G,$B90)=0),"NO CATALOG ID MATCH in Release_Track",iserror(vlookup($A90&amp;$B90,'5) Release_Track'!$F:$F&amp;'5) Release_Track'!$G:$G,1,0)),"NO ISRC-CATALOG ID pair MATCH in Release_Track" )</f>
        <v>Sarkaare (From "Golak Bugni Bank Te Batua" Soundtrack)</v>
      </c>
      <c r="D90" s="121" t="str">
        <f t="array" ref="D90">ifs(and(isblank($A90),isblank($B90)),"", not(iserror(vlookup($A90&amp;$B90,'5) Release_Track'!$F:$F&amp;'5) Release_Track'!$G:$G,1,0))),vlookup($A90&amp;$B90,{'5) Release_Track'!$F:$F&amp;'5) Release_Track'!$G:$G,'5) Release_Track'!$I:$I},2,0), or(and(not(isblank($B90)),$B90=$B89,$A90&lt;&gt;$A89),and(not(isblank($A90)),$A90=$A89,$B90&lt;&gt;$B89)),"ID LISTS UNALIGNED",and($A90&lt;&gt;"",countif('5) Release_Track'!$F:$F,$A90)=0),"NO ISRC MATCH in Release_Track",and($B90&lt;&gt;"",countif('5) Release_Track'!$G:$G,$B90)=0),"NO CATALOG ID MATCH in Release_Track",iserror(vlookup($A90&amp;$B90,'5) Release_Track'!$F:$F&amp;'5) Release_Track'!$G:$G,1,0)),"NO ISRC-CATALOG ID pair MATCH in Release_Track" )</f>
        <v/>
      </c>
      <c r="E90" s="44" t="s">
        <v>67</v>
      </c>
      <c r="F90" s="8" t="s">
        <v>323</v>
      </c>
      <c r="G90" s="123" t="str">
        <f t="array" ref="G90">ifs(or($F90="",$F90="Main Primary Artist"),$F90,not(iserror(vlookup($F90,'Reference info'!$J$5:$J$8,1,0))),"Key Artist",not(iserror(vlookup($F90,'Reference info'!$J$38:$J$405,1,0))),"Performer",not(iserror(vlookup($F90,'Reference info'!$J$10:$J$36,1,0))),"Producer &amp; Engineer")</f>
        <v>Main Primary Artist</v>
      </c>
    </row>
    <row r="91">
      <c r="A91" s="44" t="s">
        <v>458</v>
      </c>
      <c r="B91" s="103"/>
      <c r="C91" s="121" t="str">
        <f t="array" ref="C91">ifs(and(isblank($A91),isblank($B91)),"", not(iserror(vlookup($A91&amp;$B91,'5) Release_Track'!$F:$F&amp;'5) Release_Track'!$G:$G,1,0))),vlookup($A91&amp;$B91,{'5) Release_Track'!$F:$F&amp;'5) Release_Track'!$G:$G,'5) Release_Track'!$H:$H},2,0), or(and(not(isblank($B91)),$B91=$B90,$A91&lt;&gt;$A90),and(not(isblank($A91)),$A91=$A90,$B91&lt;&gt;$B90)),"ID LISTS UNALIGNED",and($A91&lt;&gt;"",countif('5) Release_Track'!$F:$F,$A91)=0),"NO ISRC MATCH in Release_Track",and($B91&lt;&gt;"",countif('5) Release_Track'!$G:$G,$B91)=0),"NO CATALOG ID MATCH in Release_Track",iserror(vlookup($A91&amp;$B91,'5) Release_Track'!$F:$F&amp;'5) Release_Track'!$G:$G,1,0)),"NO ISRC-CATALOG ID pair MATCH in Release_Track" )</f>
        <v>Sarkaare (From "Golak Bugni Bank Te Batua" Soundtrack)</v>
      </c>
      <c r="D91" s="121" t="str">
        <f t="array" ref="D91">ifs(and(isblank($A91),isblank($B91)),"", not(iserror(vlookup($A91&amp;$B91,'5) Release_Track'!$F:$F&amp;'5) Release_Track'!$G:$G,1,0))),vlookup($A91&amp;$B91,{'5) Release_Track'!$F:$F&amp;'5) Release_Track'!$G:$G,'5) Release_Track'!$I:$I},2,0), or(and(not(isblank($B91)),$B91=$B90,$A91&lt;&gt;$A90),and(not(isblank($A91)),$A91=$A90,$B91&lt;&gt;$B90)),"ID LISTS UNALIGNED",and($A91&lt;&gt;"",countif('5) Release_Track'!$F:$F,$A91)=0),"NO ISRC MATCH in Release_Track",and($B91&lt;&gt;"",countif('5) Release_Track'!$G:$G,$B91)=0),"NO CATALOG ID MATCH in Release_Track",iserror(vlookup($A91&amp;$B91,'5) Release_Track'!$F:$F&amp;'5) Release_Track'!$G:$G,1,0)),"NO ISRC-CATALOG ID pair MATCH in Release_Track" )</f>
        <v/>
      </c>
      <c r="E91" s="44" t="s">
        <v>51</v>
      </c>
      <c r="F91" s="8" t="s">
        <v>325</v>
      </c>
      <c r="G91" s="123" t="str">
        <f t="array" ref="G91">ifs(or($F91="",$F91="Main Primary Artist"),$F91,not(iserror(vlookup($F91,'Reference info'!$J$5:$J$8,1,0))),"Key Artist",not(iserror(vlookup($F91,'Reference info'!$J$38:$J$405,1,0))),"Performer",not(iserror(vlookup($F91,'Reference info'!$J$10:$J$36,1,0))),"Producer &amp; Engineer")</f>
        <v>Key Artist</v>
      </c>
    </row>
    <row r="92">
      <c r="A92" s="44" t="s">
        <v>458</v>
      </c>
      <c r="B92" s="103"/>
      <c r="C92" s="121" t="str">
        <f t="array" ref="C92">ifs(and(isblank($A92),isblank($B92)),"", not(iserror(vlookup($A92&amp;$B92,'5) Release_Track'!$F:$F&amp;'5) Release_Track'!$G:$G,1,0))),vlookup($A92&amp;$B92,{'5) Release_Track'!$F:$F&amp;'5) Release_Track'!$G:$G,'5) Release_Track'!$H:$H},2,0), or(and(not(isblank($B92)),$B92=$B91,$A92&lt;&gt;$A91),and(not(isblank($A92)),$A92=$A91,$B92&lt;&gt;$B91)),"ID LISTS UNALIGNED",and($A92&lt;&gt;"",countif('5) Release_Track'!$F:$F,$A92)=0),"NO ISRC MATCH in Release_Track",and($B92&lt;&gt;"",countif('5) Release_Track'!$G:$G,$B92)=0),"NO CATALOG ID MATCH in Release_Track",iserror(vlookup($A92&amp;$B92,'5) Release_Track'!$F:$F&amp;'5) Release_Track'!$G:$G,1,0)),"NO ISRC-CATALOG ID pair MATCH in Release_Track" )</f>
        <v>Sarkaare (From "Golak Bugni Bank Te Batua" Soundtrack)</v>
      </c>
      <c r="D92" s="121" t="str">
        <f t="array" ref="D92">ifs(and(isblank($A92),isblank($B92)),"", not(iserror(vlookup($A92&amp;$B92,'5) Release_Track'!$F:$F&amp;'5) Release_Track'!$G:$G,1,0))),vlookup($A92&amp;$B92,{'5) Release_Track'!$F:$F&amp;'5) Release_Track'!$G:$G,'5) Release_Track'!$I:$I},2,0), or(and(not(isblank($B92)),$B92=$B91,$A92&lt;&gt;$A91),and(not(isblank($A92)),$A92=$A91,$B92&lt;&gt;$B91)),"ID LISTS UNALIGNED",and($A92&lt;&gt;"",countif('5) Release_Track'!$F:$F,$A92)=0),"NO ISRC MATCH in Release_Track",and($B92&lt;&gt;"",countif('5) Release_Track'!$G:$G,$B92)=0),"NO CATALOG ID MATCH in Release_Track",iserror(vlookup($A92&amp;$B92,'5) Release_Track'!$F:$F&amp;'5) Release_Track'!$G:$G,1,0)),"NO ISRC-CATALOG ID pair MATCH in Release_Track" )</f>
        <v/>
      </c>
      <c r="E92" s="44" t="s">
        <v>91</v>
      </c>
      <c r="F92" s="8" t="s">
        <v>324</v>
      </c>
      <c r="G92" s="123" t="str">
        <f t="array" ref="G92">ifs(or($F92="",$F92="Main Primary Artist"),$F92,not(iserror(vlookup($F92,'Reference info'!$J$5:$J$8,1,0))),"Key Artist",not(iserror(vlookup($F92,'Reference info'!$J$38:$J$405,1,0))),"Performer",not(iserror(vlookup($F92,'Reference info'!$J$10:$J$36,1,0))),"Producer &amp; Engineer")</f>
        <v>Key Artist</v>
      </c>
    </row>
    <row r="93">
      <c r="A93" s="44" t="s">
        <v>460</v>
      </c>
      <c r="B93" s="103"/>
      <c r="C93" s="121" t="str">
        <f t="array" ref="C93">ifs(and(isblank($A93),isblank($B93)),"", not(iserror(vlookup($A93&amp;$B93,'5) Release_Track'!$F:$F&amp;'5) Release_Track'!$G:$G,1,0))),vlookup($A93&amp;$B93,{'5) Release_Track'!$F:$F&amp;'5) Release_Track'!$G:$G,'5) Release_Track'!$H:$H},2,0), or(and(not(isblank($B93)),$B93=$B92,$A93&lt;&gt;$A92),and(not(isblank($A93)),$A93=$A92,$B93&lt;&gt;$B92)),"ID LISTS UNALIGNED",and($A93&lt;&gt;"",countif('5) Release_Track'!$F:$F,$A93)=0),"NO ISRC MATCH in Release_Track",and($B93&lt;&gt;"",countif('5) Release_Track'!$G:$G,$B93)=0),"NO CATALOG ID MATCH in Release_Track",iserror(vlookup($A93&amp;$B93,'5) Release_Track'!$F:$F&amp;'5) Release_Track'!$G:$G,1,0)),"NO ISRC-CATALOG ID pair MATCH in Release_Track" )</f>
        <v>Selfie Photo (From "Golak Bugni Bank Te Batua" Soundtrack)</v>
      </c>
      <c r="D93" s="121" t="str">
        <f t="array" ref="D93">ifs(and(isblank($A93),isblank($B93)),"", not(iserror(vlookup($A93&amp;$B93,'5) Release_Track'!$F:$F&amp;'5) Release_Track'!$G:$G,1,0))),vlookup($A93&amp;$B93,{'5) Release_Track'!$F:$F&amp;'5) Release_Track'!$G:$G,'5) Release_Track'!$I:$I},2,0), or(and(not(isblank($B93)),$B93=$B92,$A93&lt;&gt;$A92),and(not(isblank($A93)),$A93=$A92,$B93&lt;&gt;$B92)),"ID LISTS UNALIGNED",and($A93&lt;&gt;"",countif('5) Release_Track'!$F:$F,$A93)=0),"NO ISRC MATCH in Release_Track",and($B93&lt;&gt;"",countif('5) Release_Track'!$G:$G,$B93)=0),"NO CATALOG ID MATCH in Release_Track",iserror(vlookup($A93&amp;$B93,'5) Release_Track'!$F:$F&amp;'5) Release_Track'!$G:$G,1,0)),"NO ISRC-CATALOG ID pair MATCH in Release_Track" )</f>
        <v/>
      </c>
      <c r="E93" s="44" t="s">
        <v>57</v>
      </c>
      <c r="F93" s="8" t="s">
        <v>323</v>
      </c>
      <c r="G93" s="123" t="str">
        <f t="array" ref="G93">ifs(or($F93="",$F93="Main Primary Artist"),$F93,not(iserror(vlookup($F93,'Reference info'!$J$5:$J$8,1,0))),"Key Artist",not(iserror(vlookup($F93,'Reference info'!$J$38:$J$405,1,0))),"Performer",not(iserror(vlookup($F93,'Reference info'!$J$10:$J$36,1,0))),"Producer &amp; Engineer")</f>
        <v>Main Primary Artist</v>
      </c>
    </row>
    <row r="94">
      <c r="A94" s="44" t="s">
        <v>460</v>
      </c>
      <c r="B94" s="103"/>
      <c r="C94" s="121" t="str">
        <f t="array" ref="C94">ifs(and(isblank($A94),isblank($B94)),"", not(iserror(vlookup($A94&amp;$B94,'5) Release_Track'!$F:$F&amp;'5) Release_Track'!$G:$G,1,0))),vlookup($A94&amp;$B94,{'5) Release_Track'!$F:$F&amp;'5) Release_Track'!$G:$G,'5) Release_Track'!$H:$H},2,0), or(and(not(isblank($B94)),$B94=$B93,$A94&lt;&gt;$A93),and(not(isblank($A94)),$A94=$A93,$B94&lt;&gt;$B93)),"ID LISTS UNALIGNED",and($A94&lt;&gt;"",countif('5) Release_Track'!$F:$F,$A94)=0),"NO ISRC MATCH in Release_Track",and($B94&lt;&gt;"",countif('5) Release_Track'!$G:$G,$B94)=0),"NO CATALOG ID MATCH in Release_Track",iserror(vlookup($A94&amp;$B94,'5) Release_Track'!$F:$F&amp;'5) Release_Track'!$G:$G,1,0)),"NO ISRC-CATALOG ID pair MATCH in Release_Track" )</f>
        <v>Selfie Photo (From "Golak Bugni Bank Te Batua" Soundtrack)</v>
      </c>
      <c r="D94" s="121" t="str">
        <f t="array" ref="D94">ifs(and(isblank($A94),isblank($B94)),"", not(iserror(vlookup($A94&amp;$B94,'5) Release_Track'!$F:$F&amp;'5) Release_Track'!$G:$G,1,0))),vlookup($A94&amp;$B94,{'5) Release_Track'!$F:$F&amp;'5) Release_Track'!$G:$G,'5) Release_Track'!$I:$I},2,0), or(and(not(isblank($B94)),$B94=$B93,$A94&lt;&gt;$A93),and(not(isblank($A94)),$A94=$A93,$B94&lt;&gt;$B93)),"ID LISTS UNALIGNED",and($A94&lt;&gt;"",countif('5) Release_Track'!$F:$F,$A94)=0),"NO ISRC MATCH in Release_Track",and($B94&lt;&gt;"",countif('5) Release_Track'!$G:$G,$B94)=0),"NO CATALOG ID MATCH in Release_Track",iserror(vlookup($A94&amp;$B94,'5) Release_Track'!$F:$F&amp;'5) Release_Track'!$G:$G,1,0)),"NO ISRC-CATALOG ID pair MATCH in Release_Track" )</f>
        <v/>
      </c>
      <c r="E94" s="44" t="s">
        <v>51</v>
      </c>
      <c r="F94" s="8" t="s">
        <v>325</v>
      </c>
      <c r="G94" s="123" t="str">
        <f t="array" ref="G94">ifs(or($F94="",$F94="Main Primary Artist"),$F94,not(iserror(vlookup($F94,'Reference info'!$J$5:$J$8,1,0))),"Key Artist",not(iserror(vlookup($F94,'Reference info'!$J$38:$J$405,1,0))),"Performer",not(iserror(vlookup($F94,'Reference info'!$J$10:$J$36,1,0))),"Producer &amp; Engineer")</f>
        <v>Key Artist</v>
      </c>
    </row>
    <row r="95">
      <c r="A95" s="44" t="s">
        <v>416</v>
      </c>
      <c r="B95" s="103"/>
      <c r="C95" s="121" t="str">
        <f t="array" ref="C95">ifs(and(isblank($A95),isblank($B95)),"", not(iserror(vlookup($A95&amp;$B95,'5) Release_Track'!$F:$F&amp;'5) Release_Track'!$G:$G,1,0))),vlookup($A95&amp;$B95,{'5) Release_Track'!$F:$F&amp;'5) Release_Track'!$G:$G,'5) Release_Track'!$H:$H},2,0), or(and(not(isblank($B95)),$B95=$B94,$A95&lt;&gt;$A94),and(not(isblank($A95)),$A95=$A94,$B95&lt;&gt;$B94)),"ID LISTS UNALIGNED",and($A95&lt;&gt;"",countif('5) Release_Track'!$F:$F,$A95)=0),"NO ISRC MATCH in Release_Track",and($B95&lt;&gt;"",countif('5) Release_Track'!$G:$G,$B95)=0),"NO CATALOG ID MATCH in Release_Track",iserror(vlookup($A95&amp;$B95,'5) Release_Track'!$F:$F&amp;'5) Release_Track'!$G:$G,1,0)),"NO ISRC-CATALOG ID pair MATCH in Release_Track" )</f>
        <v>Shaan Vakhri</v>
      </c>
      <c r="D95" s="121" t="str">
        <f t="array" ref="D95">ifs(and(isblank($A95),isblank($B95)),"", not(iserror(vlookup($A95&amp;$B95,'5) Release_Track'!$F:$F&amp;'5) Release_Track'!$G:$G,1,0))),vlookup($A95&amp;$B95,{'5) Release_Track'!$F:$F&amp;'5) Release_Track'!$G:$G,'5) Release_Track'!$I:$I},2,0), or(and(not(isblank($B95)),$B95=$B94,$A95&lt;&gt;$A94),and(not(isblank($A95)),$A95=$A94,$B95&lt;&gt;$B94)),"ID LISTS UNALIGNED",and($A95&lt;&gt;"",countif('5) Release_Track'!$F:$F,$A95)=0),"NO ISRC MATCH in Release_Track",and($B95&lt;&gt;"",countif('5) Release_Track'!$G:$G,$B95)=0),"NO CATALOG ID MATCH in Release_Track",iserror(vlookup($A95&amp;$B95,'5) Release_Track'!$F:$F&amp;'5) Release_Track'!$G:$G,1,0)),"NO ISRC-CATALOG ID pair MATCH in Release_Track" )</f>
        <v/>
      </c>
      <c r="E95" s="44" t="s">
        <v>49</v>
      </c>
      <c r="F95" s="8" t="s">
        <v>323</v>
      </c>
      <c r="G95" s="123" t="str">
        <f t="array" ref="G95">ifs(or($F95="",$F95="Main Primary Artist"),$F95,not(iserror(vlookup($F95,'Reference info'!$J$5:$J$8,1,0))),"Key Artist",not(iserror(vlookup($F95,'Reference info'!$J$38:$J$405,1,0))),"Performer",not(iserror(vlookup($F95,'Reference info'!$J$10:$J$36,1,0))),"Producer &amp; Engineer")</f>
        <v>Main Primary Artist</v>
      </c>
    </row>
    <row r="96">
      <c r="A96" s="44" t="s">
        <v>416</v>
      </c>
      <c r="B96" s="103"/>
      <c r="C96" s="121" t="str">
        <f t="array" ref="C96">ifs(and(isblank($A96),isblank($B96)),"", not(iserror(vlookup($A96&amp;$B96,'5) Release_Track'!$F:$F&amp;'5) Release_Track'!$G:$G,1,0))),vlookup($A96&amp;$B96,{'5) Release_Track'!$F:$F&amp;'5) Release_Track'!$G:$G,'5) Release_Track'!$H:$H},2,0), or(and(not(isblank($B96)),$B96=$B95,$A96&lt;&gt;$A95),and(not(isblank($A96)),$A96=$A95,$B96&lt;&gt;$B95)),"ID LISTS UNALIGNED",and($A96&lt;&gt;"",countif('5) Release_Track'!$F:$F,$A96)=0),"NO ISRC MATCH in Release_Track",and($B96&lt;&gt;"",countif('5) Release_Track'!$G:$G,$B96)=0),"NO CATALOG ID MATCH in Release_Track",iserror(vlookup($A96&amp;$B96,'5) Release_Track'!$F:$F&amp;'5) Release_Track'!$G:$G,1,0)),"NO ISRC-CATALOG ID pair MATCH in Release_Track" )</f>
        <v>Shaan Vakhri</v>
      </c>
      <c r="D96" s="121" t="str">
        <f t="array" ref="D96">ifs(and(isblank($A96),isblank($B96)),"", not(iserror(vlookup($A96&amp;$B96,'5) Release_Track'!$F:$F&amp;'5) Release_Track'!$G:$G,1,0))),vlookup($A96&amp;$B96,{'5) Release_Track'!$F:$F&amp;'5) Release_Track'!$G:$G,'5) Release_Track'!$I:$I},2,0), or(and(not(isblank($B96)),$B96=$B95,$A96&lt;&gt;$A95),and(not(isblank($A96)),$A96=$A95,$B96&lt;&gt;$B95)),"ID LISTS UNALIGNED",and($A96&lt;&gt;"",countif('5) Release_Track'!$F:$F,$A96)=0),"NO ISRC MATCH in Release_Track",and($B96&lt;&gt;"",countif('5) Release_Track'!$G:$G,$B96)=0),"NO CATALOG ID MATCH in Release_Track",iserror(vlookup($A96&amp;$B96,'5) Release_Track'!$F:$F&amp;'5) Release_Track'!$G:$G,1,0)),"NO ISRC-CATALOG ID pair MATCH in Release_Track" )</f>
        <v/>
      </c>
      <c r="E96" s="44" t="s">
        <v>51</v>
      </c>
      <c r="F96" s="8" t="s">
        <v>325</v>
      </c>
      <c r="G96" s="123" t="str">
        <f t="array" ref="G96">ifs(or($F96="",$F96="Main Primary Artist"),$F96,not(iserror(vlookup($F96,'Reference info'!$J$5:$J$8,1,0))),"Key Artist",not(iserror(vlookup($F96,'Reference info'!$J$38:$J$405,1,0))),"Performer",not(iserror(vlookup($F96,'Reference info'!$J$10:$J$36,1,0))),"Producer &amp; Engineer")</f>
        <v>Key Artist</v>
      </c>
    </row>
    <row r="97">
      <c r="A97" s="44" t="s">
        <v>462</v>
      </c>
      <c r="B97" s="103"/>
      <c r="C97" s="121" t="str">
        <f t="array" ref="C97">ifs(and(isblank($A97),isblank($B97)),"", not(iserror(vlookup($A97&amp;$B97,'5) Release_Track'!$F:$F&amp;'5) Release_Track'!$G:$G,1,0))),vlookup($A97&amp;$B97,{'5) Release_Track'!$F:$F&amp;'5) Release_Track'!$G:$G,'5) Release_Track'!$H:$H},2,0), or(and(not(isblank($B97)),$B97=$B96,$A97&lt;&gt;$A96),and(not(isblank($A97)),$A97=$A96,$B97&lt;&gt;$B96)),"ID LISTS UNALIGNED",and($A97&lt;&gt;"",countif('5) Release_Track'!$F:$F,$A97)=0),"NO ISRC MATCH in Release_Track",and($B97&lt;&gt;"",countif('5) Release_Track'!$G:$G,$B97)=0),"NO CATALOG ID MATCH in Release_Track",iserror(vlookup($A97&amp;$B97,'5) Release_Track'!$F:$F&amp;'5) Release_Track'!$G:$G,1,0)),"NO ISRC-CATALOG ID pair MATCH in Release_Track" )</f>
        <v>Sukh Da Saah (From "Vekh Baraatan Challiyan" Soundtrack)</v>
      </c>
      <c r="D97" s="121" t="str">
        <f t="array" ref="D97">ifs(and(isblank($A97),isblank($B97)),"", not(iserror(vlookup($A97&amp;$B97,'5) Release_Track'!$F:$F&amp;'5) Release_Track'!$G:$G,1,0))),vlookup($A97&amp;$B97,{'5) Release_Track'!$F:$F&amp;'5) Release_Track'!$G:$G,'5) Release_Track'!$I:$I},2,0), or(and(not(isblank($B97)),$B97=$B96,$A97&lt;&gt;$A96),and(not(isblank($A97)),$A97=$A96,$B97&lt;&gt;$B96)),"ID LISTS UNALIGNED",and($A97&lt;&gt;"",countif('5) Release_Track'!$F:$F,$A97)=0),"NO ISRC MATCH in Release_Track",and($B97&lt;&gt;"",countif('5) Release_Track'!$G:$G,$B97)=0),"NO CATALOG ID MATCH in Release_Track",iserror(vlookup($A97&amp;$B97,'5) Release_Track'!$F:$F&amp;'5) Release_Track'!$G:$G,1,0)),"NO ISRC-CATALOG ID pair MATCH in Release_Track" )</f>
        <v/>
      </c>
      <c r="E97" s="44" t="s">
        <v>49</v>
      </c>
      <c r="F97" s="8" t="s">
        <v>323</v>
      </c>
      <c r="G97" s="123" t="str">
        <f t="array" ref="G97">ifs(or($F97="",$F97="Main Primary Artist"),$F97,not(iserror(vlookup($F97,'Reference info'!$J$5:$J$8,1,0))),"Key Artist",not(iserror(vlookup($F97,'Reference info'!$J$38:$J$405,1,0))),"Performer",not(iserror(vlookup($F97,'Reference info'!$J$10:$J$36,1,0))),"Producer &amp; Engineer")</f>
        <v>Main Primary Artist</v>
      </c>
    </row>
    <row r="98">
      <c r="A98" s="44" t="s">
        <v>462</v>
      </c>
      <c r="B98" s="103"/>
      <c r="C98" s="121" t="str">
        <f t="array" ref="C98">ifs(and(isblank($A98),isblank($B98)),"", not(iserror(vlookup($A98&amp;$B98,'5) Release_Track'!$F:$F&amp;'5) Release_Track'!$G:$G,1,0))),vlookup($A98&amp;$B98,{'5) Release_Track'!$F:$F&amp;'5) Release_Track'!$G:$G,'5) Release_Track'!$H:$H},2,0), or(and(not(isblank($B98)),$B98=$B97,$A98&lt;&gt;$A97),and(not(isblank($A98)),$A98=$A97,$B98&lt;&gt;$B97)),"ID LISTS UNALIGNED",and($A98&lt;&gt;"",countif('5) Release_Track'!$F:$F,$A98)=0),"NO ISRC MATCH in Release_Track",and($B98&lt;&gt;"",countif('5) Release_Track'!$G:$G,$B98)=0),"NO CATALOG ID MATCH in Release_Track",iserror(vlookup($A98&amp;$B98,'5) Release_Track'!$F:$F&amp;'5) Release_Track'!$G:$G,1,0)),"NO ISRC-CATALOG ID pair MATCH in Release_Track" )</f>
        <v>Sukh Da Saah (From "Vekh Baraatan Challiyan" Soundtrack)</v>
      </c>
      <c r="D98" s="121" t="str">
        <f t="array" ref="D98">ifs(and(isblank($A98),isblank($B98)),"", not(iserror(vlookup($A98&amp;$B98,'5) Release_Track'!$F:$F&amp;'5) Release_Track'!$G:$G,1,0))),vlookup($A98&amp;$B98,{'5) Release_Track'!$F:$F&amp;'5) Release_Track'!$G:$G,'5) Release_Track'!$I:$I},2,0), or(and(not(isblank($B98)),$B98=$B97,$A98&lt;&gt;$A97),and(not(isblank($A98)),$A98=$A97,$B98&lt;&gt;$B97)),"ID LISTS UNALIGNED",and($A98&lt;&gt;"",countif('5) Release_Track'!$F:$F,$A98)=0),"NO ISRC MATCH in Release_Track",and($B98&lt;&gt;"",countif('5) Release_Track'!$G:$G,$B98)=0),"NO CATALOG ID MATCH in Release_Track",iserror(vlookup($A98&amp;$B98,'5) Release_Track'!$F:$F&amp;'5) Release_Track'!$G:$G,1,0)),"NO ISRC-CATALOG ID pair MATCH in Release_Track" )</f>
        <v/>
      </c>
      <c r="E98" s="44" t="s">
        <v>51</v>
      </c>
      <c r="F98" s="8" t="s">
        <v>325</v>
      </c>
      <c r="G98" s="123" t="str">
        <f t="array" ref="G98">ifs(or($F98="",$F98="Main Primary Artist"),$F98,not(iserror(vlookup($F98,'Reference info'!$J$5:$J$8,1,0))),"Key Artist",not(iserror(vlookup($F98,'Reference info'!$J$38:$J$405,1,0))),"Performer",not(iserror(vlookup($F98,'Reference info'!$J$10:$J$36,1,0))),"Producer &amp; Engineer")</f>
        <v>Key Artist</v>
      </c>
    </row>
    <row r="99">
      <c r="A99" s="44" t="s">
        <v>464</v>
      </c>
      <c r="B99" s="103"/>
      <c r="C99" s="121" t="str">
        <f t="array" ref="C99">ifs(and(isblank($A99),isblank($B99)),"", not(iserror(vlookup($A99&amp;$B99,'5) Release_Track'!$F:$F&amp;'5) Release_Track'!$G:$G,1,0))),vlookup($A99&amp;$B99,{'5) Release_Track'!$F:$F&amp;'5) Release_Track'!$G:$G,'5) Release_Track'!$H:$H},2,0), or(and(not(isblank($B99)),$B99=$B98,$A99&lt;&gt;$A98),and(not(isblank($A99)),$A99=$A98,$B99&lt;&gt;$B98)),"ID LISTS UNALIGNED",and($A99&lt;&gt;"",countif('5) Release_Track'!$F:$F,$A99)=0),"NO ISRC MATCH in Release_Track",and($B99&lt;&gt;"",countif('5) Release_Track'!$G:$G,$B99)=0),"NO CATALOG ID MATCH in Release_Track",iserror(vlookup($A99&amp;$B99,'5) Release_Track'!$F:$F&amp;'5) Release_Track'!$G:$G,1,0)),"NO ISRC-CATALOG ID pair MATCH in Release_Track" )</f>
        <v>Sun Hawa Dya Bulleya (From "Bhalwan Singh" Soundtrack)</v>
      </c>
      <c r="D99" s="121" t="str">
        <f t="array" ref="D99">ifs(and(isblank($A99),isblank($B99)),"", not(iserror(vlookup($A99&amp;$B99,'5) Release_Track'!$F:$F&amp;'5) Release_Track'!$G:$G,1,0))),vlookup($A99&amp;$B99,{'5) Release_Track'!$F:$F&amp;'5) Release_Track'!$G:$G,'5) Release_Track'!$I:$I},2,0), or(and(not(isblank($B99)),$B99=$B98,$A99&lt;&gt;$A98),and(not(isblank($A99)),$A99=$A98,$B99&lt;&gt;$B98)),"ID LISTS UNALIGNED",and($A99&lt;&gt;"",countif('5) Release_Track'!$F:$F,$A99)=0),"NO ISRC MATCH in Release_Track",and($B99&lt;&gt;"",countif('5) Release_Track'!$G:$G,$B99)=0),"NO CATALOG ID MATCH in Release_Track",iserror(vlookup($A99&amp;$B99,'5) Release_Track'!$F:$F&amp;'5) Release_Track'!$G:$G,1,0)),"NO ISRC-CATALOG ID pair MATCH in Release_Track" )</f>
        <v/>
      </c>
      <c r="E99" s="44" t="s">
        <v>93</v>
      </c>
      <c r="F99" s="8" t="s">
        <v>323</v>
      </c>
      <c r="G99" s="123" t="str">
        <f t="array" ref="G99">ifs(or($F99="",$F99="Main Primary Artist"),$F99,not(iserror(vlookup($F99,'Reference info'!$J$5:$J$8,1,0))),"Key Artist",not(iserror(vlookup($F99,'Reference info'!$J$38:$J$405,1,0))),"Performer",not(iserror(vlookup($F99,'Reference info'!$J$10:$J$36,1,0))),"Producer &amp; Engineer")</f>
        <v>Main Primary Artist</v>
      </c>
    </row>
    <row r="100">
      <c r="A100" s="44" t="s">
        <v>464</v>
      </c>
      <c r="B100" s="103"/>
      <c r="C100" s="121" t="str">
        <f t="array" ref="C100">ifs(and(isblank($A100),isblank($B100)),"", not(iserror(vlookup($A100&amp;$B100,'5) Release_Track'!$F:$F&amp;'5) Release_Track'!$G:$G,1,0))),vlookup($A100&amp;$B100,{'5) Release_Track'!$F:$F&amp;'5) Release_Track'!$G:$G,'5) Release_Track'!$H:$H},2,0), or(and(not(isblank($B100)),$B100=$B99,$A100&lt;&gt;$A99),and(not(isblank($A100)),$A100=$A99,$B100&lt;&gt;$B99)),"ID LISTS UNALIGNED",and($A100&lt;&gt;"",countif('5) Release_Track'!$F:$F,$A100)=0),"NO ISRC MATCH in Release_Track",and($B100&lt;&gt;"",countif('5) Release_Track'!$G:$G,$B100)=0),"NO CATALOG ID MATCH in Release_Track",iserror(vlookup($A100&amp;$B100,'5) Release_Track'!$F:$F&amp;'5) Release_Track'!$G:$G,1,0)),"NO ISRC-CATALOG ID pair MATCH in Release_Track" )</f>
        <v>Sun Hawa Dya Bulleya (From "Bhalwan Singh" Soundtrack)</v>
      </c>
      <c r="D100" s="121" t="str">
        <f t="array" ref="D100">ifs(and(isblank($A100),isblank($B100)),"", not(iserror(vlookup($A100&amp;$B100,'5) Release_Track'!$F:$F&amp;'5) Release_Track'!$G:$G,1,0))),vlookup($A100&amp;$B100,{'5) Release_Track'!$F:$F&amp;'5) Release_Track'!$G:$G,'5) Release_Track'!$I:$I},2,0), or(and(not(isblank($B100)),$B100=$B99,$A100&lt;&gt;$A99),and(not(isblank($A100)),$A100=$A99,$B100&lt;&gt;$B99)),"ID LISTS UNALIGNED",and($A100&lt;&gt;"",countif('5) Release_Track'!$F:$F,$A100)=0),"NO ISRC MATCH in Release_Track",and($B100&lt;&gt;"",countif('5) Release_Track'!$G:$G,$B100)=0),"NO CATALOG ID MATCH in Release_Track",iserror(vlookup($A100&amp;$B100,'5) Release_Track'!$F:$F&amp;'5) Release_Track'!$G:$G,1,0)),"NO ISRC-CATALOG ID pair MATCH in Release_Track" )</f>
        <v/>
      </c>
      <c r="E100" s="44" t="s">
        <v>47</v>
      </c>
      <c r="F100" s="8" t="s">
        <v>325</v>
      </c>
      <c r="G100" s="123" t="str">
        <f t="array" ref="G100">ifs(or($F100="",$F100="Main Primary Artist"),$F100,not(iserror(vlookup($F100,'Reference info'!$J$5:$J$8,1,0))),"Key Artist",not(iserror(vlookup($F100,'Reference info'!$J$38:$J$405,1,0))),"Performer",not(iserror(vlookup($F100,'Reference info'!$J$10:$J$36,1,0))),"Producer &amp; Engineer")</f>
        <v>Key Artist</v>
      </c>
    </row>
    <row r="101">
      <c r="A101" s="44" t="s">
        <v>466</v>
      </c>
      <c r="B101" s="103"/>
      <c r="C101" s="121" t="str">
        <f t="array" ref="C101">ifs(and(isblank($A101),isblank($B101)),"", not(iserror(vlookup($A101&amp;$B101,'5) Release_Track'!$F:$F&amp;'5) Release_Track'!$G:$G,1,0))),vlookup($A101&amp;$B101,{'5) Release_Track'!$F:$F&amp;'5) Release_Track'!$G:$G,'5) Release_Track'!$H:$H},2,0), or(and(not(isblank($B101)),$B101=$B100,$A101&lt;&gt;$A100),and(not(isblank($A101)),$A101=$A100,$B101&lt;&gt;$B100)),"ID LISTS UNALIGNED",and($A101&lt;&gt;"",countif('5) Release_Track'!$F:$F,$A101)=0),"NO ISRC MATCH in Release_Track",and($B101&lt;&gt;"",countif('5) Release_Track'!$G:$G,$B101)=0),"NO CATALOG ID MATCH in Release_Track",iserror(vlookup($A101&amp;$B101,'5) Release_Track'!$F:$F&amp;'5) Release_Track'!$G:$G,1,0)),"NO ISRC-CATALOG ID pair MATCH in Release_Track" )</f>
        <v>Supna</v>
      </c>
      <c r="D101" s="121" t="str">
        <f t="array" ref="D101">ifs(and(isblank($A101),isblank($B101)),"", not(iserror(vlookup($A101&amp;$B101,'5) Release_Track'!$F:$F&amp;'5) Release_Track'!$G:$G,1,0))),vlookup($A101&amp;$B101,{'5) Release_Track'!$F:$F&amp;'5) Release_Track'!$G:$G,'5) Release_Track'!$I:$I},2,0), or(and(not(isblank($B101)),$B101=$B100,$A101&lt;&gt;$A100),and(not(isblank($A101)),$A101=$A100,$B101&lt;&gt;$B100)),"ID LISTS UNALIGNED",and($A101&lt;&gt;"",countif('5) Release_Track'!$F:$F,$A101)=0),"NO ISRC MATCH in Release_Track",and($B101&lt;&gt;"",countif('5) Release_Track'!$G:$G,$B101)=0),"NO CATALOG ID MATCH in Release_Track",iserror(vlookup($A101&amp;$B101,'5) Release_Track'!$F:$F&amp;'5) Release_Track'!$G:$G,1,0)),"NO ISRC-CATALOG ID pair MATCH in Release_Track" )</f>
        <v/>
      </c>
      <c r="E101" s="44" t="s">
        <v>49</v>
      </c>
      <c r="F101" s="8" t="s">
        <v>323</v>
      </c>
      <c r="G101" s="123" t="str">
        <f t="array" ref="G101">ifs(or($F101="",$F101="Main Primary Artist"),$F101,not(iserror(vlookup($F101,'Reference info'!$J$5:$J$8,1,0))),"Key Artist",not(iserror(vlookup($F101,'Reference info'!$J$38:$J$405,1,0))),"Performer",not(iserror(vlookup($F101,'Reference info'!$J$10:$J$36,1,0))),"Producer &amp; Engineer")</f>
        <v>Main Primary Artist</v>
      </c>
    </row>
    <row r="102">
      <c r="A102" s="44" t="s">
        <v>468</v>
      </c>
      <c r="B102" s="103"/>
      <c r="C102" s="121" t="str">
        <f t="array" ref="C102">ifs(and(isblank($A102),isblank($B102)),"", not(iserror(vlookup($A102&amp;$B102,'5) Release_Track'!$F:$F&amp;'5) Release_Track'!$G:$G,1,0))),vlookup($A102&amp;$B102,{'5) Release_Track'!$F:$F&amp;'5) Release_Track'!$G:$G,'5) Release_Track'!$H:$H},2,0), or(and(not(isblank($B102)),$B102=$B101,$A102&lt;&gt;$A101),and(not(isblank($A102)),$A102=$A101,$B102&lt;&gt;$B101)),"ID LISTS UNALIGNED",and($A102&lt;&gt;"",countif('5) Release_Track'!$F:$F,$A102)=0),"NO ISRC MATCH in Release_Track",and($B102&lt;&gt;"",countif('5) Release_Track'!$G:$G,$B102)=0),"NO CATALOG ID MATCH in Release_Track",iserror(vlookup($A102&amp;$B102,'5) Release_Track'!$F:$F&amp;'5) Release_Track'!$G:$G,1,0)),"NO ISRC-CATALOG ID pair MATCH in Release_Track" )</f>
        <v>Tarakiyaan</v>
      </c>
      <c r="D102" s="121" t="str">
        <f t="array" ref="D102">ifs(and(isblank($A102),isblank($B102)),"", not(iserror(vlookup($A102&amp;$B102,'5) Release_Track'!$F:$F&amp;'5) Release_Track'!$G:$G,1,0))),vlookup($A102&amp;$B102,{'5) Release_Track'!$F:$F&amp;'5) Release_Track'!$G:$G,'5) Release_Track'!$I:$I},2,0), or(and(not(isblank($B102)),$B102=$B101,$A102&lt;&gt;$A101),and(not(isblank($A102)),$A102=$A101,$B102&lt;&gt;$B101)),"ID LISTS UNALIGNED",and($A102&lt;&gt;"",countif('5) Release_Track'!$F:$F,$A102)=0),"NO ISRC MATCH in Release_Track",and($B102&lt;&gt;"",countif('5) Release_Track'!$G:$G,$B102)=0),"NO CATALOG ID MATCH in Release_Track",iserror(vlookup($A102&amp;$B102,'5) Release_Track'!$F:$F&amp;'5) Release_Track'!$G:$G,1,0)),"NO ISRC-CATALOG ID pair MATCH in Release_Track" )</f>
        <v/>
      </c>
      <c r="E102" s="44" t="s">
        <v>57</v>
      </c>
      <c r="F102" s="8" t="s">
        <v>323</v>
      </c>
      <c r="G102" s="123" t="str">
        <f t="array" ref="G102">ifs(or($F102="",$F102="Main Primary Artist"),$F102,not(iserror(vlookup($F102,'Reference info'!$J$5:$J$8,1,0))),"Key Artist",not(iserror(vlookup($F102,'Reference info'!$J$38:$J$405,1,0))),"Performer",not(iserror(vlookup($F102,'Reference info'!$J$10:$J$36,1,0))),"Producer &amp; Engineer")</f>
        <v>Main Primary Artist</v>
      </c>
    </row>
    <row r="103">
      <c r="A103" s="44" t="s">
        <v>468</v>
      </c>
      <c r="B103" s="103"/>
      <c r="C103" s="121" t="str">
        <f t="array" ref="C103">ifs(and(isblank($A103),isblank($B103)),"", not(iserror(vlookup($A103&amp;$B103,'5) Release_Track'!$F:$F&amp;'5) Release_Track'!$G:$G,1,0))),vlookup($A103&amp;$B103,{'5) Release_Track'!$F:$F&amp;'5) Release_Track'!$G:$G,'5) Release_Track'!$H:$H},2,0), or(and(not(isblank($B103)),$B103=$B102,$A103&lt;&gt;$A102),and(not(isblank($A103)),$A103=$A102,$B103&lt;&gt;$B102)),"ID LISTS UNALIGNED",and($A103&lt;&gt;"",countif('5) Release_Track'!$F:$F,$A103)=0),"NO ISRC MATCH in Release_Track",and($B103&lt;&gt;"",countif('5) Release_Track'!$G:$G,$B103)=0),"NO CATALOG ID MATCH in Release_Track",iserror(vlookup($A103&amp;$B103,'5) Release_Track'!$F:$F&amp;'5) Release_Track'!$G:$G,1,0)),"NO ISRC-CATALOG ID pair MATCH in Release_Track" )</f>
        <v>Tarakiyaan</v>
      </c>
      <c r="D103" s="121" t="str">
        <f t="array" ref="D103">ifs(and(isblank($A103),isblank($B103)),"", not(iserror(vlookup($A103&amp;$B103,'5) Release_Track'!$F:$F&amp;'5) Release_Track'!$G:$G,1,0))),vlookup($A103&amp;$B103,{'5) Release_Track'!$F:$F&amp;'5) Release_Track'!$G:$G,'5) Release_Track'!$I:$I},2,0), or(and(not(isblank($B103)),$B103=$B102,$A103&lt;&gt;$A102),and(not(isblank($A103)),$A103=$A102,$B103&lt;&gt;$B102)),"ID LISTS UNALIGNED",and($A103&lt;&gt;"",countif('5) Release_Track'!$F:$F,$A103)=0),"NO ISRC MATCH in Release_Track",and($B103&lt;&gt;"",countif('5) Release_Track'!$G:$G,$B103)=0),"NO CATALOG ID MATCH in Release_Track",iserror(vlookup($A103&amp;$B103,'5) Release_Track'!$F:$F&amp;'5) Release_Track'!$G:$G,1,0)),"NO ISRC-CATALOG ID pair MATCH in Release_Track" )</f>
        <v/>
      </c>
      <c r="E103" s="44" t="s">
        <v>95</v>
      </c>
      <c r="F103" s="8" t="s">
        <v>325</v>
      </c>
      <c r="G103" s="123" t="str">
        <f t="array" ref="G103">ifs(or($F103="",$F103="Main Primary Artist"),$F103,not(iserror(vlookup($F103,'Reference info'!$J$5:$J$8,1,0))),"Key Artist",not(iserror(vlookup($F103,'Reference info'!$J$38:$J$405,1,0))),"Performer",not(iserror(vlookup($F103,'Reference info'!$J$10:$J$36,1,0))),"Producer &amp; Engineer")</f>
        <v>Key Artist</v>
      </c>
    </row>
    <row r="104">
      <c r="A104" s="44" t="s">
        <v>470</v>
      </c>
      <c r="B104" s="103"/>
      <c r="C104" s="121" t="str">
        <f t="array" ref="C104">ifs(and(isblank($A104),isblank($B104)),"", not(iserror(vlookup($A104&amp;$B104,'5) Release_Track'!$F:$F&amp;'5) Release_Track'!$G:$G,1,0))),vlookup($A104&amp;$B104,{'5) Release_Track'!$F:$F&amp;'5) Release_Track'!$G:$G,'5) Release_Track'!$H:$H},2,0), or(and(not(isblank($B104)),$B104=$B103,$A104&lt;&gt;$A103),and(not(isblank($A104)),$A104=$A103,$B104&lt;&gt;$B103)),"ID LISTS UNALIGNED",and($A104&lt;&gt;"",countif('5) Release_Track'!$F:$F,$A104)=0),"NO ISRC MATCH in Release_Track",and($B104&lt;&gt;"",countif('5) Release_Track'!$G:$G,$B104)=0),"NO CATALOG ID MATCH in Release_Track",iserror(vlookup($A104&amp;$B104,'5) Release_Track'!$F:$F&amp;'5) Release_Track'!$G:$G,1,0)),"NO ISRC-CATALOG ID pair MATCH in Release_Track" )</f>
        <v>Tu Te Main (From "Golak Bugni Bank Te Batua" Soundtrack)</v>
      </c>
      <c r="D104" s="121" t="str">
        <f t="array" ref="D104">ifs(and(isblank($A104),isblank($B104)),"", not(iserror(vlookup($A104&amp;$B104,'5) Release_Track'!$F:$F&amp;'5) Release_Track'!$G:$G,1,0))),vlookup($A104&amp;$B104,{'5) Release_Track'!$F:$F&amp;'5) Release_Track'!$G:$G,'5) Release_Track'!$I:$I},2,0), or(and(not(isblank($B104)),$B104=$B103,$A104&lt;&gt;$A103),and(not(isblank($A104)),$A104=$A103,$B104&lt;&gt;$B103)),"ID LISTS UNALIGNED",and($A104&lt;&gt;"",countif('5) Release_Track'!$F:$F,$A104)=0),"NO ISRC MATCH in Release_Track",and($B104&lt;&gt;"",countif('5) Release_Track'!$G:$G,$B104)=0),"NO CATALOG ID MATCH in Release_Track",iserror(vlookup($A104&amp;$B104,'5) Release_Track'!$F:$F&amp;'5) Release_Track'!$G:$G,1,0)),"NO ISRC-CATALOG ID pair MATCH in Release_Track" )</f>
        <v/>
      </c>
      <c r="E104" s="44" t="s">
        <v>63</v>
      </c>
      <c r="F104" s="8" t="s">
        <v>323</v>
      </c>
      <c r="G104" s="123" t="str">
        <f t="array" ref="G104">ifs(or($F104="",$F104="Main Primary Artist"),$F104,not(iserror(vlookup($F104,'Reference info'!$J$5:$J$8,1,0))),"Key Artist",not(iserror(vlookup($F104,'Reference info'!$J$38:$J$405,1,0))),"Performer",not(iserror(vlookup($F104,'Reference info'!$J$10:$J$36,1,0))),"Producer &amp; Engineer")</f>
        <v>Main Primary Artist</v>
      </c>
    </row>
    <row r="105">
      <c r="A105" s="44" t="s">
        <v>470</v>
      </c>
      <c r="B105" s="103"/>
      <c r="C105" s="121" t="str">
        <f t="array" ref="C105">ifs(and(isblank($A105),isblank($B105)),"", not(iserror(vlookup($A105&amp;$B105,'5) Release_Track'!$F:$F&amp;'5) Release_Track'!$G:$G,1,0))),vlookup($A105&amp;$B105,{'5) Release_Track'!$F:$F&amp;'5) Release_Track'!$G:$G,'5) Release_Track'!$H:$H},2,0), or(and(not(isblank($B105)),$B105=$B104,$A105&lt;&gt;$A104),and(not(isblank($A105)),$A105=$A104,$B105&lt;&gt;$B104)),"ID LISTS UNALIGNED",and($A105&lt;&gt;"",countif('5) Release_Track'!$F:$F,$A105)=0),"NO ISRC MATCH in Release_Track",and($B105&lt;&gt;"",countif('5) Release_Track'!$G:$G,$B105)=0),"NO CATALOG ID MATCH in Release_Track",iserror(vlookup($A105&amp;$B105,'5) Release_Track'!$F:$F&amp;'5) Release_Track'!$G:$G,1,0)),"NO ISRC-CATALOG ID pair MATCH in Release_Track" )</f>
        <v>Tu Te Main (From "Golak Bugni Bank Te Batua" Soundtrack)</v>
      </c>
      <c r="D105" s="121" t="str">
        <f t="array" ref="D105">ifs(and(isblank($A105),isblank($B105)),"", not(iserror(vlookup($A105&amp;$B105,'5) Release_Track'!$F:$F&amp;'5) Release_Track'!$G:$G,1,0))),vlookup($A105&amp;$B105,{'5) Release_Track'!$F:$F&amp;'5) Release_Track'!$G:$G,'5) Release_Track'!$I:$I},2,0), or(and(not(isblank($B105)),$B105=$B104,$A105&lt;&gt;$A104),and(not(isblank($A105)),$A105=$A104,$B105&lt;&gt;$B104)),"ID LISTS UNALIGNED",and($A105&lt;&gt;"",countif('5) Release_Track'!$F:$F,$A105)=0),"NO ISRC MATCH in Release_Track",and($B105&lt;&gt;"",countif('5) Release_Track'!$G:$G,$B105)=0),"NO CATALOG ID MATCH in Release_Track",iserror(vlookup($A105&amp;$B105,'5) Release_Track'!$F:$F&amp;'5) Release_Track'!$G:$G,1,0)),"NO ISRC-CATALOG ID pair MATCH in Release_Track" )</f>
        <v/>
      </c>
      <c r="E105" s="44" t="s">
        <v>51</v>
      </c>
      <c r="F105" s="8" t="s">
        <v>325</v>
      </c>
      <c r="G105" s="123" t="str">
        <f t="array" ref="G105">ifs(or($F105="",$F105="Main Primary Artist"),$F105,not(iserror(vlookup($F105,'Reference info'!$J$5:$J$8,1,0))),"Key Artist",not(iserror(vlookup($F105,'Reference info'!$J$38:$J$405,1,0))),"Performer",not(iserror(vlookup($F105,'Reference info'!$J$10:$J$36,1,0))),"Producer &amp; Engineer")</f>
        <v>Key Artist</v>
      </c>
    </row>
    <row r="106">
      <c r="A106" s="44" t="s">
        <v>472</v>
      </c>
      <c r="B106" s="103"/>
      <c r="C106" s="121" t="str">
        <f t="array" ref="C106">ifs(and(isblank($A106),isblank($B106)),"", not(iserror(vlookup($A106&amp;$B106,'5) Release_Track'!$F:$F&amp;'5) Release_Track'!$G:$G,1,0))),vlookup($A106&amp;$B106,{'5) Release_Track'!$F:$F&amp;'5) Release_Track'!$G:$G,'5) Release_Track'!$H:$H},2,0), or(and(not(isblank($B106)),$B106=$B105,$A106&lt;&gt;$A105),and(not(isblank($A106)),$A106=$A105,$B106&lt;&gt;$B105)),"ID LISTS UNALIGNED",and($A106&lt;&gt;"",countif('5) Release_Track'!$F:$F,$A106)=0),"NO ISRC MATCH in Release_Track",and($B106&lt;&gt;"",countif('5) Release_Track'!$G:$G,$B106)=0),"NO CATALOG ID MATCH in Release_Track",iserror(vlookup($A106&amp;$B106,'5) Release_Track'!$F:$F&amp;'5) Release_Track'!$G:$G,1,0)),"NO ISRC-CATALOG ID pair MATCH in Release_Track" )</f>
        <v>Vaar (From "Bhalwan Singh" Soundtrack)</v>
      </c>
      <c r="D106" s="121" t="str">
        <f t="array" ref="D106">ifs(and(isblank($A106),isblank($B106)),"", not(iserror(vlookup($A106&amp;$B106,'5) Release_Track'!$F:$F&amp;'5) Release_Track'!$G:$G,1,0))),vlookup($A106&amp;$B106,{'5) Release_Track'!$F:$F&amp;'5) Release_Track'!$G:$G,'5) Release_Track'!$I:$I},2,0), or(and(not(isblank($B106)),$B106=$B105,$A106&lt;&gt;$A105),and(not(isblank($A106)),$A106=$A105,$B106&lt;&gt;$B105)),"ID LISTS UNALIGNED",and($A106&lt;&gt;"",countif('5) Release_Track'!$F:$F,$A106)=0),"NO ISRC MATCH in Release_Track",and($B106&lt;&gt;"",countif('5) Release_Track'!$G:$G,$B106)=0),"NO CATALOG ID MATCH in Release_Track",iserror(vlookup($A106&amp;$B106,'5) Release_Track'!$F:$F&amp;'5) Release_Track'!$G:$G,1,0)),"NO ISRC-CATALOG ID pair MATCH in Release_Track" )</f>
        <v/>
      </c>
      <c r="E106" s="44" t="s">
        <v>97</v>
      </c>
      <c r="F106" s="8" t="s">
        <v>323</v>
      </c>
      <c r="G106" s="123" t="str">
        <f t="array" ref="G106">ifs(or($F106="",$F106="Main Primary Artist"),$F106,not(iserror(vlookup($F106,'Reference info'!$J$5:$J$8,1,0))),"Key Artist",not(iserror(vlookup($F106,'Reference info'!$J$38:$J$405,1,0))),"Performer",not(iserror(vlookup($F106,'Reference info'!$J$10:$J$36,1,0))),"Producer &amp; Engineer")</f>
        <v>Main Primary Artist</v>
      </c>
    </row>
    <row r="107">
      <c r="A107" s="44" t="s">
        <v>472</v>
      </c>
      <c r="B107" s="103"/>
      <c r="C107" s="121" t="str">
        <f t="array" ref="C107">ifs(and(isblank($A107),isblank($B107)),"", not(iserror(vlookup($A107&amp;$B107,'5) Release_Track'!$F:$F&amp;'5) Release_Track'!$G:$G,1,0))),vlookup($A107&amp;$B107,{'5) Release_Track'!$F:$F&amp;'5) Release_Track'!$G:$G,'5) Release_Track'!$H:$H},2,0), or(and(not(isblank($B107)),$B107=$B106,$A107&lt;&gt;$A106),and(not(isblank($A107)),$A107=$A106,$B107&lt;&gt;$B106)),"ID LISTS UNALIGNED",and($A107&lt;&gt;"",countif('5) Release_Track'!$F:$F,$A107)=0),"NO ISRC MATCH in Release_Track",and($B107&lt;&gt;"",countif('5) Release_Track'!$G:$G,$B107)=0),"NO CATALOG ID MATCH in Release_Track",iserror(vlookup($A107&amp;$B107,'5) Release_Track'!$F:$F&amp;'5) Release_Track'!$G:$G,1,0)),"NO ISRC-CATALOG ID pair MATCH in Release_Track" )</f>
        <v>Vaar (From "Bhalwan Singh" Soundtrack)</v>
      </c>
      <c r="D107" s="121" t="str">
        <f t="array" ref="D107">ifs(and(isblank($A107),isblank($B107)),"", not(iserror(vlookup($A107&amp;$B107,'5) Release_Track'!$F:$F&amp;'5) Release_Track'!$G:$G,1,0))),vlookup($A107&amp;$B107,{'5) Release_Track'!$F:$F&amp;'5) Release_Track'!$G:$G,'5) Release_Track'!$I:$I},2,0), or(and(not(isblank($B107)),$B107=$B106,$A107&lt;&gt;$A106),and(not(isblank($A107)),$A107=$A106,$B107&lt;&gt;$B106)),"ID LISTS UNALIGNED",and($A107&lt;&gt;"",countif('5) Release_Track'!$F:$F,$A107)=0),"NO ISRC MATCH in Release_Track",and($B107&lt;&gt;"",countif('5) Release_Track'!$G:$G,$B107)=0),"NO CATALOG ID MATCH in Release_Track",iserror(vlookup($A107&amp;$B107,'5) Release_Track'!$F:$F&amp;'5) Release_Track'!$G:$G,1,0)),"NO ISRC-CATALOG ID pair MATCH in Release_Track" )</f>
        <v/>
      </c>
      <c r="E107" s="44" t="s">
        <v>47</v>
      </c>
      <c r="F107" s="8" t="s">
        <v>325</v>
      </c>
      <c r="G107" s="123" t="str">
        <f t="array" ref="G107">ifs(or($F107="",$F107="Main Primary Artist"),$F107,not(iserror(vlookup($F107,'Reference info'!$J$5:$J$8,1,0))),"Key Artist",not(iserror(vlookup($F107,'Reference info'!$J$38:$J$405,1,0))),"Performer",not(iserror(vlookup($F107,'Reference info'!$J$10:$J$36,1,0))),"Producer &amp; Engineer")</f>
        <v>Key Artist</v>
      </c>
    </row>
    <row r="108">
      <c r="A108" s="44" t="s">
        <v>376</v>
      </c>
      <c r="B108" s="103"/>
      <c r="C108" s="121" t="str">
        <f t="array" ref="C108">ifs(and(isblank($A108),isblank($B108)),"", not(iserror(vlookup($A108&amp;$B108,'5) Release_Track'!$F:$F&amp;'5) Release_Track'!$G:$G,1,0))),vlookup($A108&amp;$B108,{'5) Release_Track'!$F:$F&amp;'5) Release_Track'!$G:$G,'5) Release_Track'!$H:$H},2,0), or(and(not(isblank($B108)),$B108=$B107,$A108&lt;&gt;$A107),and(not(isblank($A108)),$A108=$A107,$B108&lt;&gt;$B107)),"ID LISTS UNALIGNED",and($A108&lt;&gt;"",countif('5) Release_Track'!$F:$F,$A108)=0),"NO ISRC MATCH in Release_Track",and($B108&lt;&gt;"",countif('5) Release_Track'!$G:$G,$B108)=0),"NO CATALOG ID MATCH in Release_Track",iserror(vlookup($A108&amp;$B108,'5) Release_Track'!$F:$F&amp;'5) Release_Track'!$G:$G,1,0)),"NO ISRC-CATALOG ID pair MATCH in Release_Track" )</f>
        <v>Vanjhali Vaja</v>
      </c>
      <c r="D108" s="121" t="str">
        <f t="array" ref="D108">ifs(and(isblank($A108),isblank($B108)),"", not(iserror(vlookup($A108&amp;$B108,'5) Release_Track'!$F:$F&amp;'5) Release_Track'!$G:$G,1,0))),vlookup($A108&amp;$B108,{'5) Release_Track'!$F:$F&amp;'5) Release_Track'!$G:$G,'5) Release_Track'!$I:$I},2,0), or(and(not(isblank($B108)),$B108=$B107,$A108&lt;&gt;$A107),and(not(isblank($A108)),$A108=$A107,$B108&lt;&gt;$B107)),"ID LISTS UNALIGNED",and($A108&lt;&gt;"",countif('5) Release_Track'!$F:$F,$A108)=0),"NO ISRC MATCH in Release_Track",and($B108&lt;&gt;"",countif('5) Release_Track'!$G:$G,$B108)=0),"NO CATALOG ID MATCH in Release_Track",iserror(vlookup($A108&amp;$B108,'5) Release_Track'!$F:$F&amp;'5) Release_Track'!$G:$G,1,0)),"NO ISRC-CATALOG ID pair MATCH in Release_Track" )</f>
        <v/>
      </c>
      <c r="E108" s="44" t="s">
        <v>49</v>
      </c>
      <c r="F108" s="8" t="s">
        <v>323</v>
      </c>
      <c r="G108" s="123" t="str">
        <f t="array" ref="G108">ifs(or($F108="",$F108="Main Primary Artist"),$F108,not(iserror(vlookup($F108,'Reference info'!$J$5:$J$8,1,0))),"Key Artist",not(iserror(vlookup($F108,'Reference info'!$J$38:$J$405,1,0))),"Performer",not(iserror(vlookup($F108,'Reference info'!$J$10:$J$36,1,0))),"Producer &amp; Engineer")</f>
        <v>Main Primary Artist</v>
      </c>
    </row>
    <row r="109">
      <c r="A109" s="44" t="s">
        <v>474</v>
      </c>
      <c r="B109" s="103"/>
      <c r="C109" s="121" t="str">
        <f t="array" ref="C109">ifs(and(isblank($A109),isblank($B109)),"", not(iserror(vlookup($A109&amp;$B109,'5) Release_Track'!$F:$F&amp;'5) Release_Track'!$G:$G,1,0))),vlookup($A109&amp;$B109,{'5) Release_Track'!$F:$F&amp;'5) Release_Track'!$G:$G,'5) Release_Track'!$H:$H},2,0), or(and(not(isblank($B109)),$B109=$B108,$A109&lt;&gt;$A108),and(not(isblank($A109)),$A109=$A108,$B109&lt;&gt;$B108)),"ID LISTS UNALIGNED",and($A109&lt;&gt;"",countif('5) Release_Track'!$F:$F,$A109)=0),"NO ISRC MATCH in Release_Track",and($B109&lt;&gt;"",countif('5) Release_Track'!$G:$G,$B109)=0),"NO CATALOG ID MATCH in Release_Track",iserror(vlookup($A109&amp;$B109,'5) Release_Track'!$F:$F&amp;'5) Release_Track'!$G:$G,1,0)),"NO ISRC-CATALOG ID pair MATCH in Release_Track" )</f>
        <v>Vekh Baraatan Challiyan - Title Song (From "Vekh Baraatan Challiyan" Soundtrack)</v>
      </c>
      <c r="D109" s="121" t="str">
        <f t="array" ref="D109">ifs(and(isblank($A109),isblank($B109)),"", not(iserror(vlookup($A109&amp;$B109,'5) Release_Track'!$F:$F&amp;'5) Release_Track'!$G:$G,1,0))),vlookup($A109&amp;$B109,{'5) Release_Track'!$F:$F&amp;'5) Release_Track'!$G:$G,'5) Release_Track'!$I:$I},2,0), or(and(not(isblank($B109)),$B109=$B108,$A109&lt;&gt;$A108),and(not(isblank($A109)),$A109=$A108,$B109&lt;&gt;$B108)),"ID LISTS UNALIGNED",and($A109&lt;&gt;"",countif('5) Release_Track'!$F:$F,$A109)=0),"NO ISRC MATCH in Release_Track",and($B109&lt;&gt;"",countif('5) Release_Track'!$G:$G,$B109)=0),"NO CATALOG ID MATCH in Release_Track",iserror(vlookup($A109&amp;$B109,'5) Release_Track'!$F:$F&amp;'5) Release_Track'!$G:$G,1,0)),"NO ISRC-CATALOG ID pair MATCH in Release_Track" )</f>
        <v/>
      </c>
      <c r="E109" s="44" t="s">
        <v>42</v>
      </c>
      <c r="F109" s="8" t="s">
        <v>323</v>
      </c>
      <c r="G109" s="123" t="str">
        <f t="array" ref="G109">ifs(or($F109="",$F109="Main Primary Artist"),$F109,not(iserror(vlookup($F109,'Reference info'!$J$5:$J$8,1,0))),"Key Artist",not(iserror(vlookup($F109,'Reference info'!$J$38:$J$405,1,0))),"Performer",not(iserror(vlookup($F109,'Reference info'!$J$10:$J$36,1,0))),"Producer &amp; Engineer")</f>
        <v>Main Primary Artist</v>
      </c>
    </row>
    <row r="110">
      <c r="A110" s="44" t="s">
        <v>474</v>
      </c>
      <c r="B110" s="103"/>
      <c r="C110" s="121" t="str">
        <f t="array" ref="C110">ifs(and(isblank($A110),isblank($B110)),"", not(iserror(vlookup($A110&amp;$B110,'5) Release_Track'!$F:$F&amp;'5) Release_Track'!$G:$G,1,0))),vlookup($A110&amp;$B110,{'5) Release_Track'!$F:$F&amp;'5) Release_Track'!$G:$G,'5) Release_Track'!$H:$H},2,0), or(and(not(isblank($B110)),$B110=$B109,$A110&lt;&gt;$A109),and(not(isblank($A110)),$A110=$A109,$B110&lt;&gt;$B109)),"ID LISTS UNALIGNED",and($A110&lt;&gt;"",countif('5) Release_Track'!$F:$F,$A110)=0),"NO ISRC MATCH in Release_Track",and($B110&lt;&gt;"",countif('5) Release_Track'!$G:$G,$B110)=0),"NO CATALOG ID MATCH in Release_Track",iserror(vlookup($A110&amp;$B110,'5) Release_Track'!$F:$F&amp;'5) Release_Track'!$G:$G,1,0)),"NO ISRC-CATALOG ID pair MATCH in Release_Track" )</f>
        <v>Vekh Baraatan Challiyan - Title Song (From "Vekh Baraatan Challiyan" Soundtrack)</v>
      </c>
      <c r="D110" s="121" t="str">
        <f t="array" ref="D110">ifs(and(isblank($A110),isblank($B110)),"", not(iserror(vlookup($A110&amp;$B110,'5) Release_Track'!$F:$F&amp;'5) Release_Track'!$G:$G,1,0))),vlookup($A110&amp;$B110,{'5) Release_Track'!$F:$F&amp;'5) Release_Track'!$G:$G,'5) Release_Track'!$I:$I},2,0), or(and(not(isblank($B110)),$B110=$B109,$A110&lt;&gt;$A109),and(not(isblank($A110)),$A110=$A109,$B110&lt;&gt;$B109)),"ID LISTS UNALIGNED",and($A110&lt;&gt;"",countif('5) Release_Track'!$F:$F,$A110)=0),"NO ISRC MATCH in Release_Track",and($B110&lt;&gt;"",countif('5) Release_Track'!$G:$G,$B110)=0),"NO CATALOG ID MATCH in Release_Track",iserror(vlookup($A110&amp;$B110,'5) Release_Track'!$F:$F&amp;'5) Release_Track'!$G:$G,1,0)),"NO ISRC-CATALOG ID pair MATCH in Release_Track" )</f>
        <v/>
      </c>
      <c r="E110" s="44" t="s">
        <v>63</v>
      </c>
      <c r="F110" s="8" t="s">
        <v>324</v>
      </c>
      <c r="G110" s="123" t="str">
        <f t="array" ref="G110">ifs(or($F110="",$F110="Main Primary Artist"),$F110,not(iserror(vlookup($F110,'Reference info'!$J$5:$J$8,1,0))),"Key Artist",not(iserror(vlookup($F110,'Reference info'!$J$38:$J$405,1,0))),"Performer",not(iserror(vlookup($F110,'Reference info'!$J$10:$J$36,1,0))),"Producer &amp; Engineer")</f>
        <v>Key Artist</v>
      </c>
    </row>
    <row r="111">
      <c r="A111" s="44" t="s">
        <v>474</v>
      </c>
      <c r="B111" s="103"/>
      <c r="C111" s="121" t="str">
        <f t="array" ref="C111">ifs(and(isblank($A111),isblank($B111)),"", not(iserror(vlookup($A111&amp;$B111,'5) Release_Track'!$F:$F&amp;'5) Release_Track'!$G:$G,1,0))),vlookup($A111&amp;$B111,{'5) Release_Track'!$F:$F&amp;'5) Release_Track'!$G:$G,'5) Release_Track'!$H:$H},2,0), or(and(not(isblank($B111)),$B111=$B110,$A111&lt;&gt;$A110),and(not(isblank($A111)),$A111=$A110,$B111&lt;&gt;$B110)),"ID LISTS UNALIGNED",and($A111&lt;&gt;"",countif('5) Release_Track'!$F:$F,$A111)=0),"NO ISRC MATCH in Release_Track",and($B111&lt;&gt;"",countif('5) Release_Track'!$G:$G,$B111)=0),"NO CATALOG ID MATCH in Release_Track",iserror(vlookup($A111&amp;$B111,'5) Release_Track'!$F:$F&amp;'5) Release_Track'!$G:$G,1,0)),"NO ISRC-CATALOG ID pair MATCH in Release_Track" )</f>
        <v>Vekh Baraatan Challiyan - Title Song (From "Vekh Baraatan Challiyan" Soundtrack)</v>
      </c>
      <c r="D111" s="121" t="str">
        <f t="array" ref="D111">ifs(and(isblank($A111),isblank($B111)),"", not(iserror(vlookup($A111&amp;$B111,'5) Release_Track'!$F:$F&amp;'5) Release_Track'!$G:$G,1,0))),vlookup($A111&amp;$B111,{'5) Release_Track'!$F:$F&amp;'5) Release_Track'!$G:$G,'5) Release_Track'!$I:$I},2,0), or(and(not(isblank($B111)),$B111=$B110,$A111&lt;&gt;$A110),and(not(isblank($A111)),$A111=$A110,$B111&lt;&gt;$B110)),"ID LISTS UNALIGNED",and($A111&lt;&gt;"",countif('5) Release_Track'!$F:$F,$A111)=0),"NO ISRC MATCH in Release_Track",and($B111&lt;&gt;"",countif('5) Release_Track'!$G:$G,$B111)=0),"NO CATALOG ID MATCH in Release_Track",iserror(vlookup($A111&amp;$B111,'5) Release_Track'!$F:$F&amp;'5) Release_Track'!$G:$G,1,0)),"NO ISRC-CATALOG ID pair MATCH in Release_Track" )</f>
        <v/>
      </c>
      <c r="E111" s="44" t="s">
        <v>57</v>
      </c>
      <c r="F111" s="8" t="s">
        <v>324</v>
      </c>
      <c r="G111" s="123" t="str">
        <f t="array" ref="G111">ifs(or($F111="",$F111="Main Primary Artist"),$F111,not(iserror(vlookup($F111,'Reference info'!$J$5:$J$8,1,0))),"Key Artist",not(iserror(vlookup($F111,'Reference info'!$J$38:$J$405,1,0))),"Performer",not(iserror(vlookup($F111,'Reference info'!$J$10:$J$36,1,0))),"Producer &amp; Engineer")</f>
        <v>Key Artist</v>
      </c>
    </row>
    <row r="112">
      <c r="A112" s="44" t="s">
        <v>474</v>
      </c>
      <c r="B112" s="103"/>
      <c r="C112" s="121" t="str">
        <f t="array" ref="C112">ifs(and(isblank($A112),isblank($B112)),"", not(iserror(vlookup($A112&amp;$B112,'5) Release_Track'!$F:$F&amp;'5) Release_Track'!$G:$G,1,0))),vlookup($A112&amp;$B112,{'5) Release_Track'!$F:$F&amp;'5) Release_Track'!$G:$G,'5) Release_Track'!$H:$H},2,0), or(and(not(isblank($B112)),$B112=$B111,$A112&lt;&gt;$A111),and(not(isblank($A112)),$A112=$A111,$B112&lt;&gt;$B111)),"ID LISTS UNALIGNED",and($A112&lt;&gt;"",countif('5) Release_Track'!$F:$F,$A112)=0),"NO ISRC MATCH in Release_Track",and($B112&lt;&gt;"",countif('5) Release_Track'!$G:$G,$B112)=0),"NO CATALOG ID MATCH in Release_Track",iserror(vlookup($A112&amp;$B112,'5) Release_Track'!$F:$F&amp;'5) Release_Track'!$G:$G,1,0)),"NO ISRC-CATALOG ID pair MATCH in Release_Track" )</f>
        <v>Vekh Baraatan Challiyan - Title Song (From "Vekh Baraatan Challiyan" Soundtrack)</v>
      </c>
      <c r="D112" s="121" t="str">
        <f t="array" ref="D112">ifs(and(isblank($A112),isblank($B112)),"", not(iserror(vlookup($A112&amp;$B112,'5) Release_Track'!$F:$F&amp;'5) Release_Track'!$G:$G,1,0))),vlookup($A112&amp;$B112,{'5) Release_Track'!$F:$F&amp;'5) Release_Track'!$G:$G,'5) Release_Track'!$I:$I},2,0), or(and(not(isblank($B112)),$B112=$B111,$A112&lt;&gt;$A111),and(not(isblank($A112)),$A112=$A111,$B112&lt;&gt;$B111)),"ID LISTS UNALIGNED",and($A112&lt;&gt;"",countif('5) Release_Track'!$F:$F,$A112)=0),"NO ISRC MATCH in Release_Track",and($B112&lt;&gt;"",countif('5) Release_Track'!$G:$G,$B112)=0),"NO CATALOG ID MATCH in Release_Track",iserror(vlookup($A112&amp;$B112,'5) Release_Track'!$F:$F&amp;'5) Release_Track'!$G:$G,1,0)),"NO ISRC-CATALOG ID pair MATCH in Release_Track" )</f>
        <v/>
      </c>
      <c r="E112" s="44" t="s">
        <v>47</v>
      </c>
      <c r="F112" s="8" t="s">
        <v>325</v>
      </c>
      <c r="G112" s="123" t="str">
        <f t="array" ref="G112">ifs(or($F112="",$F112="Main Primary Artist"),$F112,not(iserror(vlookup($F112,'Reference info'!$J$5:$J$8,1,0))),"Key Artist",not(iserror(vlookup($F112,'Reference info'!$J$38:$J$405,1,0))),"Performer",not(iserror(vlookup($F112,'Reference info'!$J$10:$J$36,1,0))),"Producer &amp; Engineer")</f>
        <v>Key Artist</v>
      </c>
    </row>
    <row r="113">
      <c r="A113" s="44" t="s">
        <v>476</v>
      </c>
      <c r="B113" s="103"/>
      <c r="C113" s="121" t="str">
        <f t="array" ref="C113">ifs(and(isblank($A113),isblank($B113)),"", not(iserror(vlookup($A113&amp;$B113,'5) Release_Track'!$F:$F&amp;'5) Release_Track'!$G:$G,1,0))),vlookup($A113&amp;$B113,{'5) Release_Track'!$F:$F&amp;'5) Release_Track'!$G:$G,'5) Release_Track'!$H:$H},2,0), or(and(not(isblank($B113)),$B113=$B112,$A113&lt;&gt;$A112),and(not(isblank($A113)),$A113=$A112,$B113&lt;&gt;$B112)),"ID LISTS UNALIGNED",and($A113&lt;&gt;"",countif('5) Release_Track'!$F:$F,$A113)=0),"NO ISRC MATCH in Release_Track",and($B113&lt;&gt;"",countif('5) Release_Track'!$G:$G,$B113)=0),"NO CATALOG ID MATCH in Release_Track",iserror(vlookup($A113&amp;$B113,'5) Release_Track'!$F:$F&amp;'5) Release_Track'!$G:$G,1,0)),"NO ISRC-CATALOG ID pair MATCH in Release_Track" )</f>
        <v>Leekan (From "Ashke" Soundtrack)</v>
      </c>
      <c r="D113" s="121" t="str">
        <f t="array" ref="D113">ifs(and(isblank($A113),isblank($B113)),"", not(iserror(vlookup($A113&amp;$B113,'5) Release_Track'!$F:$F&amp;'5) Release_Track'!$G:$G,1,0))),vlookup($A113&amp;$B113,{'5) Release_Track'!$F:$F&amp;'5) Release_Track'!$G:$G,'5) Release_Track'!$I:$I},2,0), or(and(not(isblank($B113)),$B113=$B112,$A113&lt;&gt;$A112),and(not(isblank($A113)),$A113=$A112,$B113&lt;&gt;$B112)),"ID LISTS UNALIGNED",and($A113&lt;&gt;"",countif('5) Release_Track'!$F:$F,$A113)=0),"NO ISRC MATCH in Release_Track",and($B113&lt;&gt;"",countif('5) Release_Track'!$G:$G,$B113)=0),"NO CATALOG ID MATCH in Release_Track",iserror(vlookup($A113&amp;$B113,'5) Release_Track'!$F:$F&amp;'5) Release_Track'!$G:$G,1,0)),"NO ISRC-CATALOG ID pair MATCH in Release_Track" )</f>
        <v/>
      </c>
      <c r="E113" s="44" t="s">
        <v>49</v>
      </c>
      <c r="F113" s="8" t="s">
        <v>323</v>
      </c>
      <c r="G113" s="123" t="str">
        <f t="array" ref="G113">ifs(or($F113="",$F113="Main Primary Artist"),$F113,not(iserror(vlookup($F113,'Reference info'!$J$5:$J$8,1,0))),"Key Artist",not(iserror(vlookup($F113,'Reference info'!$J$38:$J$405,1,0))),"Performer",not(iserror(vlookup($F113,'Reference info'!$J$10:$J$36,1,0))),"Producer &amp; Engineer")</f>
        <v>Main Primary Artist</v>
      </c>
    </row>
    <row r="114">
      <c r="A114" s="44" t="s">
        <v>476</v>
      </c>
      <c r="B114" s="103"/>
      <c r="C114" s="121" t="str">
        <f t="array" ref="C114">ifs(and(isblank($A114),isblank($B114)),"", not(iserror(vlookup($A114&amp;$B114,'5) Release_Track'!$F:$F&amp;'5) Release_Track'!$G:$G,1,0))),vlookup($A114&amp;$B114,{'5) Release_Track'!$F:$F&amp;'5) Release_Track'!$G:$G,'5) Release_Track'!$H:$H},2,0), or(and(not(isblank($B114)),$B114=$B113,$A114&lt;&gt;$A113),and(not(isblank($A114)),$A114=$A113,$B114&lt;&gt;$B113)),"ID LISTS UNALIGNED",and($A114&lt;&gt;"",countif('5) Release_Track'!$F:$F,$A114)=0),"NO ISRC MATCH in Release_Track",and($B114&lt;&gt;"",countif('5) Release_Track'!$G:$G,$B114)=0),"NO CATALOG ID MATCH in Release_Track",iserror(vlookup($A114&amp;$B114,'5) Release_Track'!$F:$F&amp;'5) Release_Track'!$G:$G,1,0)),"NO ISRC-CATALOG ID pair MATCH in Release_Track" )</f>
        <v>Leekan (From "Ashke" Soundtrack)</v>
      </c>
      <c r="D114" s="121" t="str">
        <f t="array" ref="D114">ifs(and(isblank($A114),isblank($B114)),"", not(iserror(vlookup($A114&amp;$B114,'5) Release_Track'!$F:$F&amp;'5) Release_Track'!$G:$G,1,0))),vlookup($A114&amp;$B114,{'5) Release_Track'!$F:$F&amp;'5) Release_Track'!$G:$G,'5) Release_Track'!$I:$I},2,0), or(and(not(isblank($B114)),$B114=$B113,$A114&lt;&gt;$A113),and(not(isblank($A114)),$A114=$A113,$B114&lt;&gt;$B113)),"ID LISTS UNALIGNED",and($A114&lt;&gt;"",countif('5) Release_Track'!$F:$F,$A114)=0),"NO ISRC MATCH in Release_Track",and($B114&lt;&gt;"",countif('5) Release_Track'!$G:$G,$B114)=0),"NO CATALOG ID MATCH in Release_Track",iserror(vlookup($A114&amp;$B114,'5) Release_Track'!$F:$F&amp;'5) Release_Track'!$G:$G,1,0)),"NO ISRC-CATALOG ID pair MATCH in Release_Track" )</f>
        <v/>
      </c>
      <c r="E114" s="44" t="s">
        <v>51</v>
      </c>
      <c r="F114" s="8" t="s">
        <v>325</v>
      </c>
      <c r="G114" s="123" t="str">
        <f t="array" ref="G114">ifs(or($F114="",$F114="Main Primary Artist"),$F114,not(iserror(vlookup($F114,'Reference info'!$J$5:$J$8,1,0))),"Key Artist",not(iserror(vlookup($F114,'Reference info'!$J$38:$J$405,1,0))),"Performer",not(iserror(vlookup($F114,'Reference info'!$J$10:$J$36,1,0))),"Producer &amp; Engineer")</f>
        <v>Key Artist</v>
      </c>
    </row>
    <row r="115">
      <c r="A115" s="44" t="s">
        <v>478</v>
      </c>
      <c r="B115" s="103"/>
      <c r="C115" s="121" t="str">
        <f t="array" ref="C115">ifs(and(isblank($A115),isblank($B115)),"", not(iserror(vlookup($A115&amp;$B115,'5) Release_Track'!$F:$F&amp;'5) Release_Track'!$G:$G,1,0))),vlookup($A115&amp;$B115,{'5) Release_Track'!$F:$F&amp;'5) Release_Track'!$G:$G,'5) Release_Track'!$H:$H},2,0), or(and(not(isblank($B115)),$B115=$B114,$A115&lt;&gt;$A114),and(not(isblank($A115)),$A115=$A114,$B115&lt;&gt;$B114)),"ID LISTS UNALIGNED",and($A115&lt;&gt;"",countif('5) Release_Track'!$F:$F,$A115)=0),"NO ISRC MATCH in Release_Track",and($B115&lt;&gt;"",countif('5) Release_Track'!$G:$G,$B115)=0),"NO CATALOG ID MATCH in Release_Track",iserror(vlookup($A115&amp;$B115,'5) Release_Track'!$F:$F&amp;'5) Release_Track'!$G:$G,1,0)),"NO ISRC-CATALOG ID pair MATCH in Release_Track" )</f>
        <v>Handsome Jatta (From "Ashke" Soundtrack)</v>
      </c>
      <c r="D115" s="121" t="str">
        <f t="array" ref="D115">ifs(and(isblank($A115),isblank($B115)),"", not(iserror(vlookup($A115&amp;$B115,'5) Release_Track'!$F:$F&amp;'5) Release_Track'!$G:$G,1,0))),vlookup($A115&amp;$B115,{'5) Release_Track'!$F:$F&amp;'5) Release_Track'!$G:$G,'5) Release_Track'!$I:$I},2,0), or(and(not(isblank($B115)),$B115=$B114,$A115&lt;&gt;$A114),and(not(isblank($A115)),$A115=$A114,$B115&lt;&gt;$B114)),"ID LISTS UNALIGNED",and($A115&lt;&gt;"",countif('5) Release_Track'!$F:$F,$A115)=0),"NO ISRC MATCH in Release_Track",and($B115&lt;&gt;"",countif('5) Release_Track'!$G:$G,$B115)=0),"NO CATALOG ID MATCH in Release_Track",iserror(vlookup($A115&amp;$B115,'5) Release_Track'!$F:$F&amp;'5) Release_Track'!$G:$G,1,0)),"NO ISRC-CATALOG ID pair MATCH in Release_Track" )</f>
        <v/>
      </c>
      <c r="E115" s="44" t="s">
        <v>99</v>
      </c>
      <c r="F115" s="8" t="s">
        <v>323</v>
      </c>
      <c r="G115" s="123" t="str">
        <f t="array" ref="G115">ifs(or($F115="",$F115="Main Primary Artist"),$F115,not(iserror(vlookup($F115,'Reference info'!$J$5:$J$8,1,0))),"Key Artist",not(iserror(vlookup($F115,'Reference info'!$J$38:$J$405,1,0))),"Performer",not(iserror(vlookup($F115,'Reference info'!$J$10:$J$36,1,0))),"Producer &amp; Engineer")</f>
        <v>Main Primary Artist</v>
      </c>
    </row>
    <row r="116">
      <c r="A116" s="44" t="s">
        <v>478</v>
      </c>
      <c r="B116" s="103"/>
      <c r="C116" s="121" t="str">
        <f t="array" ref="C116">ifs(and(isblank($A116),isblank($B116)),"", not(iserror(vlookup($A116&amp;$B116,'5) Release_Track'!$F:$F&amp;'5) Release_Track'!$G:$G,1,0))),vlookup($A116&amp;$B116,{'5) Release_Track'!$F:$F&amp;'5) Release_Track'!$G:$G,'5) Release_Track'!$H:$H},2,0), or(and(not(isblank($B116)),$B116=$B115,$A116&lt;&gt;$A115),and(not(isblank($A116)),$A116=$A115,$B116&lt;&gt;$B115)),"ID LISTS UNALIGNED",and($A116&lt;&gt;"",countif('5) Release_Track'!$F:$F,$A116)=0),"NO ISRC MATCH in Release_Track",and($B116&lt;&gt;"",countif('5) Release_Track'!$G:$G,$B116)=0),"NO CATALOG ID MATCH in Release_Track",iserror(vlookup($A116&amp;$B116,'5) Release_Track'!$F:$F&amp;'5) Release_Track'!$G:$G,1,0)),"NO ISRC-CATALOG ID pair MATCH in Release_Track" )</f>
        <v>Handsome Jatta (From "Ashke" Soundtrack)</v>
      </c>
      <c r="D116" s="121" t="str">
        <f t="array" ref="D116">ifs(and(isblank($A116),isblank($B116)),"", not(iserror(vlookup($A116&amp;$B116,'5) Release_Track'!$F:$F&amp;'5) Release_Track'!$G:$G,1,0))),vlookup($A116&amp;$B116,{'5) Release_Track'!$F:$F&amp;'5) Release_Track'!$G:$G,'5) Release_Track'!$I:$I},2,0), or(and(not(isblank($B116)),$B116=$B115,$A116&lt;&gt;$A115),and(not(isblank($A116)),$A116=$A115,$B116&lt;&gt;$B115)),"ID LISTS UNALIGNED",and($A116&lt;&gt;"",countif('5) Release_Track'!$F:$F,$A116)=0),"NO ISRC MATCH in Release_Track",and($B116&lt;&gt;"",countif('5) Release_Track'!$G:$G,$B116)=0),"NO CATALOG ID MATCH in Release_Track",iserror(vlookup($A116&amp;$B116,'5) Release_Track'!$F:$F&amp;'5) Release_Track'!$G:$G,1,0)),"NO ISRC-CATALOG ID pair MATCH in Release_Track" )</f>
        <v/>
      </c>
      <c r="E116" s="44" t="s">
        <v>101</v>
      </c>
      <c r="F116" s="8" t="s">
        <v>325</v>
      </c>
      <c r="G116" s="123" t="str">
        <f t="array" ref="G116">ifs(or($F116="",$F116="Main Primary Artist"),$F116,not(iserror(vlookup($F116,'Reference info'!$J$5:$J$8,1,0))),"Key Artist",not(iserror(vlookup($F116,'Reference info'!$J$38:$J$405,1,0))),"Performer",not(iserror(vlookup($F116,'Reference info'!$J$10:$J$36,1,0))),"Producer &amp; Engineer")</f>
        <v>Key Artist</v>
      </c>
    </row>
    <row r="117">
      <c r="A117" s="44" t="s">
        <v>478</v>
      </c>
      <c r="B117" s="103"/>
      <c r="C117" s="121" t="str">
        <f t="array" ref="C117">ifs(and(isblank($A117),isblank($B117)),"", not(iserror(vlookup($A117&amp;$B117,'5) Release_Track'!$F:$F&amp;'5) Release_Track'!$G:$G,1,0))),vlookup($A117&amp;$B117,{'5) Release_Track'!$F:$F&amp;'5) Release_Track'!$G:$G,'5) Release_Track'!$H:$H},2,0), or(and(not(isblank($B117)),$B117=$B116,$A117&lt;&gt;$A116),and(not(isblank($A117)),$A117=$A116,$B117&lt;&gt;$B116)),"ID LISTS UNALIGNED",and($A117&lt;&gt;"",countif('5) Release_Track'!$F:$F,$A117)=0),"NO ISRC MATCH in Release_Track",and($B117&lt;&gt;"",countif('5) Release_Track'!$G:$G,$B117)=0),"NO CATALOG ID MATCH in Release_Track",iserror(vlookup($A117&amp;$B117,'5) Release_Track'!$F:$F&amp;'5) Release_Track'!$G:$G,1,0)),"NO ISRC-CATALOG ID pair MATCH in Release_Track" )</f>
        <v>Handsome Jatta (From "Ashke" Soundtrack)</v>
      </c>
      <c r="D117" s="121" t="str">
        <f t="array" ref="D117">ifs(and(isblank($A117),isblank($B117)),"", not(iserror(vlookup($A117&amp;$B117,'5) Release_Track'!$F:$F&amp;'5) Release_Track'!$G:$G,1,0))),vlookup($A117&amp;$B117,{'5) Release_Track'!$F:$F&amp;'5) Release_Track'!$G:$G,'5) Release_Track'!$I:$I},2,0), or(and(not(isblank($B117)),$B117=$B116,$A117&lt;&gt;$A116),and(not(isblank($A117)),$A117=$A116,$B117&lt;&gt;$B116)),"ID LISTS UNALIGNED",and($A117&lt;&gt;"",countif('5) Release_Track'!$F:$F,$A117)=0),"NO ISRC MATCH in Release_Track",and($B117&lt;&gt;"",countif('5) Release_Track'!$G:$G,$B117)=0),"NO CATALOG ID MATCH in Release_Track",iserror(vlookup($A117&amp;$B117,'5) Release_Track'!$F:$F&amp;'5) Release_Track'!$G:$G,1,0)),"NO ISRC-CATALOG ID pair MATCH in Release_Track" )</f>
        <v/>
      </c>
      <c r="E117" s="44" t="s">
        <v>103</v>
      </c>
      <c r="F117" s="8" t="s">
        <v>325</v>
      </c>
      <c r="G117" s="123" t="str">
        <f t="array" ref="G117">ifs(or($F117="",$F117="Main Primary Artist"),$F117,not(iserror(vlookup($F117,'Reference info'!$J$5:$J$8,1,0))),"Key Artist",not(iserror(vlookup($F117,'Reference info'!$J$38:$J$405,1,0))),"Performer",not(iserror(vlookup($F117,'Reference info'!$J$10:$J$36,1,0))),"Producer &amp; Engineer")</f>
        <v>Key Artist</v>
      </c>
    </row>
    <row r="118">
      <c r="A118" s="44" t="s">
        <v>480</v>
      </c>
      <c r="B118" s="103"/>
      <c r="C118" s="121" t="str">
        <f t="array" ref="C118">ifs(and(isblank($A118),isblank($B118)),"", not(iserror(vlookup($A118&amp;$B118,'5) Release_Track'!$F:$F&amp;'5) Release_Track'!$G:$G,1,0))),vlookup($A118&amp;$B118,{'5) Release_Track'!$F:$F&amp;'5) Release_Track'!$G:$G,'5) Release_Track'!$H:$H},2,0), or(and(not(isblank($B118)),$B118=$B117,$A118&lt;&gt;$A117),and(not(isblank($A118)),$A118=$A117,$B118&lt;&gt;$B117)),"ID LISTS UNALIGNED",and($A118&lt;&gt;"",countif('5) Release_Track'!$F:$F,$A118)=0),"NO ISRC MATCH in Release_Track",and($B118&lt;&gt;"",countif('5) Release_Track'!$G:$G,$B118)=0),"NO CATALOG ID MATCH in Release_Track",iserror(vlookup($A118&amp;$B118,'5) Release_Track'!$F:$F&amp;'5) Release_Track'!$G:$G,1,0)),"NO ISRC-CATALOG ID pair MATCH in Release_Track" )</f>
        <v>Bholepan (From "Ashke" Soundtrack)</v>
      </c>
      <c r="D118" s="121" t="str">
        <f t="array" ref="D118">ifs(and(isblank($A118),isblank($B118)),"", not(iserror(vlookup($A118&amp;$B118,'5) Release_Track'!$F:$F&amp;'5) Release_Track'!$G:$G,1,0))),vlookup($A118&amp;$B118,{'5) Release_Track'!$F:$F&amp;'5) Release_Track'!$G:$G,'5) Release_Track'!$I:$I},2,0), or(and(not(isblank($B118)),$B118=$B117,$A118&lt;&gt;$A117),and(not(isblank($A118)),$A118=$A117,$B118&lt;&gt;$B117)),"ID LISTS UNALIGNED",and($A118&lt;&gt;"",countif('5) Release_Track'!$F:$F,$A118)=0),"NO ISRC MATCH in Release_Track",and($B118&lt;&gt;"",countif('5) Release_Track'!$G:$G,$B118)=0),"NO CATALOG ID MATCH in Release_Track",iserror(vlookup($A118&amp;$B118,'5) Release_Track'!$F:$F&amp;'5) Release_Track'!$G:$G,1,0)),"NO ISRC-CATALOG ID pair MATCH in Release_Track" )</f>
        <v/>
      </c>
      <c r="E118" s="44" t="s">
        <v>105</v>
      </c>
      <c r="F118" s="8" t="s">
        <v>323</v>
      </c>
      <c r="G118" s="123" t="str">
        <f t="array" ref="G118">ifs(or($F118="",$F118="Main Primary Artist"),$F118,not(iserror(vlookup($F118,'Reference info'!$J$5:$J$8,1,0))),"Key Artist",not(iserror(vlookup($F118,'Reference info'!$J$38:$J$405,1,0))),"Performer",not(iserror(vlookup($F118,'Reference info'!$J$10:$J$36,1,0))),"Producer &amp; Engineer")</f>
        <v>Main Primary Artist</v>
      </c>
    </row>
    <row r="119">
      <c r="A119" s="44" t="s">
        <v>480</v>
      </c>
      <c r="B119" s="103"/>
      <c r="C119" s="121" t="str">
        <f t="array" ref="C119">ifs(and(isblank($A119),isblank($B119)),"", not(iserror(vlookup($A119&amp;$B119,'5) Release_Track'!$F:$F&amp;'5) Release_Track'!$G:$G,1,0))),vlookup($A119&amp;$B119,{'5) Release_Track'!$F:$F&amp;'5) Release_Track'!$G:$G,'5) Release_Track'!$H:$H},2,0), or(and(not(isblank($B119)),$B119=$B118,$A119&lt;&gt;$A118),and(not(isblank($A119)),$A119=$A118,$B119&lt;&gt;$B118)),"ID LISTS UNALIGNED",and($A119&lt;&gt;"",countif('5) Release_Track'!$F:$F,$A119)=0),"NO ISRC MATCH in Release_Track",and($B119&lt;&gt;"",countif('5) Release_Track'!$G:$G,$B119)=0),"NO CATALOG ID MATCH in Release_Track",iserror(vlookup($A119&amp;$B119,'5) Release_Track'!$F:$F&amp;'5) Release_Track'!$G:$G,1,0)),"NO ISRC-CATALOG ID pair MATCH in Release_Track" )</f>
        <v>Bholepan (From "Ashke" Soundtrack)</v>
      </c>
      <c r="D119" s="121" t="str">
        <f t="array" ref="D119">ifs(and(isblank($A119),isblank($B119)),"", not(iserror(vlookup($A119&amp;$B119,'5) Release_Track'!$F:$F&amp;'5) Release_Track'!$G:$G,1,0))),vlookup($A119&amp;$B119,{'5) Release_Track'!$F:$F&amp;'5) Release_Track'!$G:$G,'5) Release_Track'!$I:$I},2,0), or(and(not(isblank($B119)),$B119=$B118,$A119&lt;&gt;$A118),and(not(isblank($A119)),$A119=$A118,$B119&lt;&gt;$B118)),"ID LISTS UNALIGNED",and($A119&lt;&gt;"",countif('5) Release_Track'!$F:$F,$A119)=0),"NO ISRC MATCH in Release_Track",and($B119&lt;&gt;"",countif('5) Release_Track'!$G:$G,$B119)=0),"NO CATALOG ID MATCH in Release_Track",iserror(vlookup($A119&amp;$B119,'5) Release_Track'!$F:$F&amp;'5) Release_Track'!$G:$G,1,0)),"NO ISRC-CATALOG ID pair MATCH in Release_Track" )</f>
        <v/>
      </c>
      <c r="E119" s="44" t="s">
        <v>51</v>
      </c>
      <c r="F119" s="8" t="s">
        <v>325</v>
      </c>
      <c r="G119" s="123" t="str">
        <f t="array" ref="G119">ifs(or($F119="",$F119="Main Primary Artist"),$F119,not(iserror(vlookup($F119,'Reference info'!$J$5:$J$8,1,0))),"Key Artist",not(iserror(vlookup($F119,'Reference info'!$J$38:$J$405,1,0))),"Performer",not(iserror(vlookup($F119,'Reference info'!$J$10:$J$36,1,0))),"Producer &amp; Engineer")</f>
        <v>Key Artist</v>
      </c>
    </row>
    <row r="120">
      <c r="A120" s="44" t="s">
        <v>482</v>
      </c>
      <c r="B120" s="103"/>
      <c r="C120" s="121" t="str">
        <f t="array" ref="C120">ifs(and(isblank($A120),isblank($B120)),"", not(iserror(vlookup($A120&amp;$B120,'5) Release_Track'!$F:$F&amp;'5) Release_Track'!$G:$G,1,0))),vlookup($A120&amp;$B120,{'5) Release_Track'!$F:$F&amp;'5) Release_Track'!$G:$G,'5) Release_Track'!$H:$H},2,0), or(and(not(isblank($B120)),$B120=$B119,$A120&lt;&gt;$A119),and(not(isblank($A120)),$A120=$A119,$B120&lt;&gt;$B119)),"ID LISTS UNALIGNED",and($A120&lt;&gt;"",countif('5) Release_Track'!$F:$F,$A120)=0),"NO ISRC MATCH in Release_Track",and($B120&lt;&gt;"",countif('5) Release_Track'!$G:$G,$B120)=0),"NO CATALOG ID MATCH in Release_Track",iserror(vlookup($A120&amp;$B120,'5) Release_Track'!$F:$F&amp;'5) Release_Track'!$G:$G,1,0)),"NO ISRC-CATALOG ID pair MATCH in Release_Track" )</f>
        <v>Eh Tanhayi</v>
      </c>
      <c r="D120" s="121" t="str">
        <f t="array" ref="D120">ifs(and(isblank($A120),isblank($B120)),"", not(iserror(vlookup($A120&amp;$B120,'5) Release_Track'!$F:$F&amp;'5) Release_Track'!$G:$G,1,0))),vlookup($A120&amp;$B120,{'5) Release_Track'!$F:$F&amp;'5) Release_Track'!$G:$G,'5) Release_Track'!$I:$I},2,0), or(and(not(isblank($B120)),$B120=$B119,$A120&lt;&gt;$A119),and(not(isblank($A120)),$A120=$A119,$B120&lt;&gt;$B119)),"ID LISTS UNALIGNED",and($A120&lt;&gt;"",countif('5) Release_Track'!$F:$F,$A120)=0),"NO ISRC MATCH in Release_Track",and($B120&lt;&gt;"",countif('5) Release_Track'!$G:$G,$B120)=0),"NO CATALOG ID MATCH in Release_Track",iserror(vlookup($A120&amp;$B120,'5) Release_Track'!$F:$F&amp;'5) Release_Track'!$G:$G,1,0)),"NO ISRC-CATALOG ID pair MATCH in Release_Track" )</f>
        <v/>
      </c>
      <c r="E120" s="44" t="s">
        <v>63</v>
      </c>
      <c r="F120" s="8" t="s">
        <v>323</v>
      </c>
      <c r="G120" s="123" t="str">
        <f t="array" ref="G120">ifs(or($F120="",$F120="Main Primary Artist"),$F120,not(iserror(vlookup($F120,'Reference info'!$J$5:$J$8,1,0))),"Key Artist",not(iserror(vlookup($F120,'Reference info'!$J$38:$J$405,1,0))),"Performer",not(iserror(vlookup($F120,'Reference info'!$J$10:$J$36,1,0))),"Producer &amp; Engineer")</f>
        <v>Main Primary Artist</v>
      </c>
    </row>
    <row r="121">
      <c r="A121" s="44" t="s">
        <v>482</v>
      </c>
      <c r="B121" s="103"/>
      <c r="C121" s="121" t="str">
        <f t="array" ref="C121">ifs(and(isblank($A121),isblank($B121)),"", not(iserror(vlookup($A121&amp;$B121,'5) Release_Track'!$F:$F&amp;'5) Release_Track'!$G:$G,1,0))),vlookup($A121&amp;$B121,{'5) Release_Track'!$F:$F&amp;'5) Release_Track'!$G:$G,'5) Release_Track'!$H:$H},2,0), or(and(not(isblank($B121)),$B121=$B120,$A121&lt;&gt;$A120),and(not(isblank($A121)),$A121=$A120,$B121&lt;&gt;$B120)),"ID LISTS UNALIGNED",and($A121&lt;&gt;"",countif('5) Release_Track'!$F:$F,$A121)=0),"NO ISRC MATCH in Release_Track",and($B121&lt;&gt;"",countif('5) Release_Track'!$G:$G,$B121)=0),"NO CATALOG ID MATCH in Release_Track",iserror(vlookup($A121&amp;$B121,'5) Release_Track'!$F:$F&amp;'5) Release_Track'!$G:$G,1,0)),"NO ISRC-CATALOG ID pair MATCH in Release_Track" )</f>
        <v>Eh Tanhayi</v>
      </c>
      <c r="D121" s="121" t="str">
        <f t="array" ref="D121">ifs(and(isblank($A121),isblank($B121)),"", not(iserror(vlookup($A121&amp;$B121,'5) Release_Track'!$F:$F&amp;'5) Release_Track'!$G:$G,1,0))),vlookup($A121&amp;$B121,{'5) Release_Track'!$F:$F&amp;'5) Release_Track'!$G:$G,'5) Release_Track'!$I:$I},2,0), or(and(not(isblank($B121)),$B121=$B120,$A121&lt;&gt;$A120),and(not(isblank($A121)),$A121=$A120,$B121&lt;&gt;$B120)),"ID LISTS UNALIGNED",and($A121&lt;&gt;"",countif('5) Release_Track'!$F:$F,$A121)=0),"NO ISRC MATCH in Release_Track",and($B121&lt;&gt;"",countif('5) Release_Track'!$G:$G,$B121)=0),"NO CATALOG ID MATCH in Release_Track",iserror(vlookup($A121&amp;$B121,'5) Release_Track'!$F:$F&amp;'5) Release_Track'!$G:$G,1,0)),"NO ISRC-CATALOG ID pair MATCH in Release_Track" )</f>
        <v/>
      </c>
      <c r="E121" s="44" t="s">
        <v>47</v>
      </c>
      <c r="F121" s="8" t="s">
        <v>325</v>
      </c>
      <c r="G121" s="123" t="str">
        <f t="array" ref="G121">ifs(or($F121="",$F121="Main Primary Artist"),$F121,not(iserror(vlookup($F121,'Reference info'!$J$5:$J$8,1,0))),"Key Artist",not(iserror(vlookup($F121,'Reference info'!$J$38:$J$405,1,0))),"Performer",not(iserror(vlookup($F121,'Reference info'!$J$10:$J$36,1,0))),"Producer &amp; Engineer")</f>
        <v>Key Artist</v>
      </c>
    </row>
    <row r="122">
      <c r="A122" s="44" t="s">
        <v>484</v>
      </c>
      <c r="B122" s="103"/>
      <c r="C122" s="121" t="str">
        <f t="array" ref="C122">ifs(and(isblank($A122),isblank($B122)),"", not(iserror(vlookup($A122&amp;$B122,'5) Release_Track'!$F:$F&amp;'5) Release_Track'!$G:$G,1,0))),vlookup($A122&amp;$B122,{'5) Release_Track'!$F:$F&amp;'5) Release_Track'!$G:$G,'5) Release_Track'!$H:$H},2,0), or(and(not(isblank($B122)),$B122=$B121,$A122&lt;&gt;$A121),and(not(isblank($A122)),$A122=$A121,$B122&lt;&gt;$B121)),"ID LISTS UNALIGNED",and($A122&lt;&gt;"",countif('5) Release_Track'!$F:$F,$A122)=0),"NO ISRC MATCH in Release_Track",and($B122&lt;&gt;"",countif('5) Release_Track'!$G:$G,$B122)=0),"NO CATALOG ID MATCH in Release_Track",iserror(vlookup($A122&amp;$B122,'5) Release_Track'!$F:$F&amp;'5) Release_Track'!$G:$G,1,0)),"NO ISRC-CATALOG ID pair MATCH in Release_Track" )</f>
        <v>Tere Naal Viahi</v>
      </c>
      <c r="D122" s="121" t="str">
        <f t="array" ref="D122">ifs(and(isblank($A122),isblank($B122)),"", not(iserror(vlookup($A122&amp;$B122,'5) Release_Track'!$F:$F&amp;'5) Release_Track'!$G:$G,1,0))),vlookup($A122&amp;$B122,{'5) Release_Track'!$F:$F&amp;'5) Release_Track'!$G:$G,'5) Release_Track'!$I:$I},2,0), or(and(not(isblank($B122)),$B122=$B121,$A122&lt;&gt;$A121),and(not(isblank($A122)),$A122=$A121,$B122&lt;&gt;$B121)),"ID LISTS UNALIGNED",and($A122&lt;&gt;"",countif('5) Release_Track'!$F:$F,$A122)=0),"NO ISRC MATCH in Release_Track",and($B122&lt;&gt;"",countif('5) Release_Track'!$G:$G,$B122)=0),"NO CATALOG ID MATCH in Release_Track",iserror(vlookup($A122&amp;$B122,'5) Release_Track'!$F:$F&amp;'5) Release_Track'!$G:$G,1,0)),"NO ISRC-CATALOG ID pair MATCH in Release_Track" )</f>
        <v/>
      </c>
      <c r="E122" s="44" t="s">
        <v>67</v>
      </c>
      <c r="F122" s="8" t="s">
        <v>323</v>
      </c>
      <c r="G122" s="123" t="str">
        <f t="array" ref="G122">ifs(or($F122="",$F122="Main Primary Artist"),$F122,not(iserror(vlookup($F122,'Reference info'!$J$5:$J$8,1,0))),"Key Artist",not(iserror(vlookup($F122,'Reference info'!$J$38:$J$405,1,0))),"Performer",not(iserror(vlookup($F122,'Reference info'!$J$10:$J$36,1,0))),"Producer &amp; Engineer")</f>
        <v>Main Primary Artist</v>
      </c>
    </row>
    <row r="123">
      <c r="A123" s="44" t="s">
        <v>484</v>
      </c>
      <c r="B123" s="103"/>
      <c r="C123" s="121" t="str">
        <f t="array" ref="C123">ifs(and(isblank($A123),isblank($B123)),"", not(iserror(vlookup($A123&amp;$B123,'5) Release_Track'!$F:$F&amp;'5) Release_Track'!$G:$G,1,0))),vlookup($A123&amp;$B123,{'5) Release_Track'!$F:$F&amp;'5) Release_Track'!$G:$G,'5) Release_Track'!$H:$H},2,0), or(and(not(isblank($B123)),$B123=$B122,$A123&lt;&gt;$A122),and(not(isblank($A123)),$A123=$A122,$B123&lt;&gt;$B122)),"ID LISTS UNALIGNED",and($A123&lt;&gt;"",countif('5) Release_Track'!$F:$F,$A123)=0),"NO ISRC MATCH in Release_Track",and($B123&lt;&gt;"",countif('5) Release_Track'!$G:$G,$B123)=0),"NO CATALOG ID MATCH in Release_Track",iserror(vlookup($A123&amp;$B123,'5) Release_Track'!$F:$F&amp;'5) Release_Track'!$G:$G,1,0)),"NO ISRC-CATALOG ID pair MATCH in Release_Track" )</f>
        <v>Tere Naal Viahi</v>
      </c>
      <c r="D123" s="121" t="str">
        <f t="array" ref="D123">ifs(and(isblank($A123),isblank($B123)),"", not(iserror(vlookup($A123&amp;$B123,'5) Release_Track'!$F:$F&amp;'5) Release_Track'!$G:$G,1,0))),vlookup($A123&amp;$B123,{'5) Release_Track'!$F:$F&amp;'5) Release_Track'!$G:$G,'5) Release_Track'!$I:$I},2,0), or(and(not(isblank($B123)),$B123=$B122,$A123&lt;&gt;$A122),and(not(isblank($A123)),$A123=$A122,$B123&lt;&gt;$B122)),"ID LISTS UNALIGNED",and($A123&lt;&gt;"",countif('5) Release_Track'!$F:$F,$A123)=0),"NO ISRC MATCH in Release_Track",and($B123&lt;&gt;"",countif('5) Release_Track'!$G:$G,$B123)=0),"NO CATALOG ID MATCH in Release_Track",iserror(vlookup($A123&amp;$B123,'5) Release_Track'!$F:$F&amp;'5) Release_Track'!$G:$G,1,0)),"NO ISRC-CATALOG ID pair MATCH in Release_Track" )</f>
        <v/>
      </c>
      <c r="E123" s="44" t="s">
        <v>51</v>
      </c>
      <c r="F123" s="8" t="s">
        <v>325</v>
      </c>
      <c r="G123" s="123" t="str">
        <f t="array" ref="G123">ifs(or($F123="",$F123="Main Primary Artist"),$F123,not(iserror(vlookup($F123,'Reference info'!$J$5:$J$8,1,0))),"Key Artist",not(iserror(vlookup($F123,'Reference info'!$J$38:$J$405,1,0))),"Performer",not(iserror(vlookup($F123,'Reference info'!$J$10:$J$36,1,0))),"Producer &amp; Engineer")</f>
        <v>Key Artist</v>
      </c>
    </row>
    <row r="124">
      <c r="A124" s="44" t="s">
        <v>486</v>
      </c>
      <c r="B124" s="103"/>
      <c r="C124" s="121" t="str">
        <f t="array" ref="C124">ifs(and(isblank($A124),isblank($B124)),"", not(iserror(vlookup($A124&amp;$B124,'5) Release_Track'!$F:$F&amp;'5) Release_Track'!$G:$G,1,0))),vlookup($A124&amp;$B124,{'5) Release_Track'!$F:$F&amp;'5) Release_Track'!$G:$G,'5) Release_Track'!$H:$H},2,0), or(and(not(isblank($B124)),$B124=$B123,$A124&lt;&gt;$A123),and(not(isblank($A124)),$A124=$A123,$B124&lt;&gt;$B123)),"ID LISTS UNALIGNED",and($A124&lt;&gt;"",countif('5) Release_Track'!$F:$F,$A124)=0),"NO ISRC MATCH in Release_Track",and($B124&lt;&gt;"",countif('5) Release_Track'!$G:$G,$B124)=0),"NO CATALOG ID MATCH in Release_Track",iserror(vlookup($A124&amp;$B124,'5) Release_Track'!$F:$F&amp;'5) Release_Track'!$G:$G,1,0)),"NO ISRC-CATALOG ID pair MATCH in Release_Track" )</f>
        <v>Ashke - Title Song (From "Ashke" Soundtrack)</v>
      </c>
      <c r="D124" s="121" t="str">
        <f t="array" ref="D124">ifs(and(isblank($A124),isblank($B124)),"", not(iserror(vlookup($A124&amp;$B124,'5) Release_Track'!$F:$F&amp;'5) Release_Track'!$G:$G,1,0))),vlookup($A124&amp;$B124,{'5) Release_Track'!$F:$F&amp;'5) Release_Track'!$G:$G,'5) Release_Track'!$I:$I},2,0), or(and(not(isblank($B124)),$B124=$B123,$A124&lt;&gt;$A123),and(not(isblank($A124)),$A124=$A123,$B124&lt;&gt;$B123)),"ID LISTS UNALIGNED",and($A124&lt;&gt;"",countif('5) Release_Track'!$F:$F,$A124)=0),"NO ISRC MATCH in Release_Track",and($B124&lt;&gt;"",countif('5) Release_Track'!$G:$G,$B124)=0),"NO CATALOG ID MATCH in Release_Track",iserror(vlookup($A124&amp;$B124,'5) Release_Track'!$F:$F&amp;'5) Release_Track'!$G:$G,1,0)),"NO ISRC-CATALOG ID pair MATCH in Release_Track" )</f>
        <v/>
      </c>
      <c r="E124" s="44" t="s">
        <v>107</v>
      </c>
      <c r="F124" s="8" t="s">
        <v>323</v>
      </c>
      <c r="G124" s="123" t="str">
        <f t="array" ref="G124">ifs(or($F124="",$F124="Main Primary Artist"),$F124,not(iserror(vlookup($F124,'Reference info'!$J$5:$J$8,1,0))),"Key Artist",not(iserror(vlookup($F124,'Reference info'!$J$38:$J$405,1,0))),"Performer",not(iserror(vlookup($F124,'Reference info'!$J$10:$J$36,1,0))),"Producer &amp; Engineer")</f>
        <v>Main Primary Artist</v>
      </c>
    </row>
    <row r="125">
      <c r="A125" s="44" t="s">
        <v>486</v>
      </c>
      <c r="B125" s="103"/>
      <c r="C125" s="121" t="str">
        <f t="array" ref="C125">ifs(and(isblank($A125),isblank($B125)),"", not(iserror(vlookup($A125&amp;$B125,'5) Release_Track'!$F:$F&amp;'5) Release_Track'!$G:$G,1,0))),vlookup($A125&amp;$B125,{'5) Release_Track'!$F:$F&amp;'5) Release_Track'!$G:$G,'5) Release_Track'!$H:$H},2,0), or(and(not(isblank($B125)),$B125=$B124,$A125&lt;&gt;$A124),and(not(isblank($A125)),$A125=$A124,$B125&lt;&gt;$B124)),"ID LISTS UNALIGNED",and($A125&lt;&gt;"",countif('5) Release_Track'!$F:$F,$A125)=0),"NO ISRC MATCH in Release_Track",and($B125&lt;&gt;"",countif('5) Release_Track'!$G:$G,$B125)=0),"NO CATALOG ID MATCH in Release_Track",iserror(vlookup($A125&amp;$B125,'5) Release_Track'!$F:$F&amp;'5) Release_Track'!$G:$G,1,0)),"NO ISRC-CATALOG ID pair MATCH in Release_Track" )</f>
        <v>Ashke - Title Song (From "Ashke" Soundtrack)</v>
      </c>
      <c r="D125" s="121" t="str">
        <f t="array" ref="D125">ifs(and(isblank($A125),isblank($B125)),"", not(iserror(vlookup($A125&amp;$B125,'5) Release_Track'!$F:$F&amp;'5) Release_Track'!$G:$G,1,0))),vlookup($A125&amp;$B125,{'5) Release_Track'!$F:$F&amp;'5) Release_Track'!$G:$G,'5) Release_Track'!$I:$I},2,0), or(and(not(isblank($B125)),$B125=$B124,$A125&lt;&gt;$A124),and(not(isblank($A125)),$A125=$A124,$B125&lt;&gt;$B124)),"ID LISTS UNALIGNED",and($A125&lt;&gt;"",countif('5) Release_Track'!$F:$F,$A125)=0),"NO ISRC MATCH in Release_Track",and($B125&lt;&gt;"",countif('5) Release_Track'!$G:$G,$B125)=0),"NO CATALOG ID MATCH in Release_Track",iserror(vlookup($A125&amp;$B125,'5) Release_Track'!$F:$F&amp;'5) Release_Track'!$G:$G,1,0)),"NO ISRC-CATALOG ID pair MATCH in Release_Track" )</f>
        <v/>
      </c>
      <c r="E125" s="44" t="s">
        <v>51</v>
      </c>
      <c r="F125" s="8" t="s">
        <v>325</v>
      </c>
      <c r="G125" s="123" t="str">
        <f t="array" ref="G125">ifs(or($F125="",$F125="Main Primary Artist"),$F125,not(iserror(vlookup($F125,'Reference info'!$J$5:$J$8,1,0))),"Key Artist",not(iserror(vlookup($F125,'Reference info'!$J$38:$J$405,1,0))),"Performer",not(iserror(vlookup($F125,'Reference info'!$J$10:$J$36,1,0))),"Producer &amp; Engineer")</f>
        <v>Key Artist</v>
      </c>
    </row>
    <row r="126">
      <c r="A126" s="44" t="s">
        <v>488</v>
      </c>
      <c r="B126" s="103"/>
      <c r="C126" s="121" t="str">
        <f t="array" ref="C126">ifs(and(isblank($A126),isblank($B126)),"", not(iserror(vlookup($A126&amp;$B126,'5) Release_Track'!$F:$F&amp;'5) Release_Track'!$G:$G,1,0))),vlookup($A126&amp;$B126,{'5) Release_Track'!$F:$F&amp;'5) Release_Track'!$G:$G,'5) Release_Track'!$H:$H},2,0), or(and(not(isblank($B126)),$B126=$B125,$A126&lt;&gt;$A125),and(not(isblank($A126)),$A126=$A125,$B126&lt;&gt;$B125)),"ID LISTS UNALIGNED",and($A126&lt;&gt;"",countif('5) Release_Track'!$F:$F,$A126)=0),"NO ISRC MATCH in Release_Track",and($B126&lt;&gt;"",countif('5) Release_Track'!$G:$G,$B126)=0),"NO CATALOG ID MATCH in Release_Track",iserror(vlookup($A126&amp;$B126,'5) Release_Track'!$F:$F&amp;'5) Release_Track'!$G:$G,1,0)),"NO ISRC-CATALOG ID pair MATCH in Release_Track" )</f>
        <v>Ashke Boliyan (From "Ashke" Soundtrack)</v>
      </c>
      <c r="D126" s="121" t="str">
        <f t="array" ref="D126">ifs(and(isblank($A126),isblank($B126)),"", not(iserror(vlookup($A126&amp;$B126,'5) Release_Track'!$F:$F&amp;'5) Release_Track'!$G:$G,1,0))),vlookup($A126&amp;$B126,{'5) Release_Track'!$F:$F&amp;'5) Release_Track'!$G:$G,'5) Release_Track'!$I:$I},2,0), or(and(not(isblank($B126)),$B126=$B125,$A126&lt;&gt;$A125),and(not(isblank($A126)),$A126=$A125,$B126&lt;&gt;$B125)),"ID LISTS UNALIGNED",and($A126&lt;&gt;"",countif('5) Release_Track'!$F:$F,$A126)=0),"NO ISRC MATCH in Release_Track",and($B126&lt;&gt;"",countif('5) Release_Track'!$G:$G,$B126)=0),"NO CATALOG ID MATCH in Release_Track",iserror(vlookup($A126&amp;$B126,'5) Release_Track'!$F:$F&amp;'5) Release_Track'!$G:$G,1,0)),"NO ISRC-CATALOG ID pair MATCH in Release_Track" )</f>
        <v/>
      </c>
      <c r="E126" s="44" t="s">
        <v>57</v>
      </c>
      <c r="F126" s="8" t="s">
        <v>323</v>
      </c>
      <c r="G126" s="123" t="str">
        <f t="array" ref="G126">ifs(or($F126="",$F126="Main Primary Artist"),$F126,not(iserror(vlookup($F126,'Reference info'!$J$5:$J$8,1,0))),"Key Artist",not(iserror(vlookup($F126,'Reference info'!$J$38:$J$405,1,0))),"Performer",not(iserror(vlookup($F126,'Reference info'!$J$10:$J$36,1,0))),"Producer &amp; Engineer")</f>
        <v>Main Primary Artist</v>
      </c>
    </row>
    <row r="127">
      <c r="A127" s="44" t="s">
        <v>488</v>
      </c>
      <c r="B127" s="103"/>
      <c r="C127" s="121" t="str">
        <f t="array" ref="C127">ifs(and(isblank($A127),isblank($B127)),"", not(iserror(vlookup($A127&amp;$B127,'5) Release_Track'!$F:$F&amp;'5) Release_Track'!$G:$G,1,0))),vlookup($A127&amp;$B127,{'5) Release_Track'!$F:$F&amp;'5) Release_Track'!$G:$G,'5) Release_Track'!$H:$H},2,0), or(and(not(isblank($B127)),$B127=$B126,$A127&lt;&gt;$A126),and(not(isblank($A127)),$A127=$A126,$B127&lt;&gt;$B126)),"ID LISTS UNALIGNED",and($A127&lt;&gt;"",countif('5) Release_Track'!$F:$F,$A127)=0),"NO ISRC MATCH in Release_Track",and($B127&lt;&gt;"",countif('5) Release_Track'!$G:$G,$B127)=0),"NO CATALOG ID MATCH in Release_Track",iserror(vlookup($A127&amp;$B127,'5) Release_Track'!$F:$F&amp;'5) Release_Track'!$G:$G,1,0)),"NO ISRC-CATALOG ID pair MATCH in Release_Track" )</f>
        <v>Ashke Boliyan (From "Ashke" Soundtrack)</v>
      </c>
      <c r="D127" s="121" t="str">
        <f t="array" ref="D127">ifs(and(isblank($A127),isblank($B127)),"", not(iserror(vlookup($A127&amp;$B127,'5) Release_Track'!$F:$F&amp;'5) Release_Track'!$G:$G,1,0))),vlookup($A127&amp;$B127,{'5) Release_Track'!$F:$F&amp;'5) Release_Track'!$G:$G,'5) Release_Track'!$I:$I},2,0), or(and(not(isblank($B127)),$B127=$B126,$A127&lt;&gt;$A126),and(not(isblank($A127)),$A127=$A126,$B127&lt;&gt;$B126)),"ID LISTS UNALIGNED",and($A127&lt;&gt;"",countif('5) Release_Track'!$F:$F,$A127)=0),"NO ISRC MATCH in Release_Track",and($B127&lt;&gt;"",countif('5) Release_Track'!$G:$G,$B127)=0),"NO CATALOG ID MATCH in Release_Track",iserror(vlookup($A127&amp;$B127,'5) Release_Track'!$F:$F&amp;'5) Release_Track'!$G:$G,1,0)),"NO ISRC-CATALOG ID pair MATCH in Release_Track" )</f>
        <v/>
      </c>
      <c r="E127" s="44" t="s">
        <v>51</v>
      </c>
      <c r="F127" s="8" t="s">
        <v>325</v>
      </c>
      <c r="G127" s="123" t="str">
        <f t="array" ref="G127">ifs(or($F127="",$F127="Main Primary Artist"),$F127,not(iserror(vlookup($F127,'Reference info'!$J$5:$J$8,1,0))),"Key Artist",not(iserror(vlookup($F127,'Reference info'!$J$38:$J$405,1,0))),"Performer",not(iserror(vlookup($F127,'Reference info'!$J$10:$J$36,1,0))),"Producer &amp; Engineer")</f>
        <v>Key Artist</v>
      </c>
    </row>
    <row r="128">
      <c r="A128" s="44" t="s">
        <v>490</v>
      </c>
      <c r="B128" s="103"/>
      <c r="C128" s="121" t="str">
        <f t="array" ref="C128">ifs(and(isblank($A128),isblank($B128)),"", not(iserror(vlookup($A128&amp;$B128,'5) Release_Track'!$F:$F&amp;'5) Release_Track'!$G:$G,1,0))),vlookup($A128&amp;$B128,{'5) Release_Track'!$F:$F&amp;'5) Release_Track'!$G:$G,'5) Release_Track'!$H:$H},2,0), or(and(not(isblank($B128)),$B128=$B127,$A128&lt;&gt;$A127),and(not(isblank($A128)),$A128=$A127,$B128&lt;&gt;$B127)),"ID LISTS UNALIGNED",and($A128&lt;&gt;"",countif('5) Release_Track'!$F:$F,$A128)=0),"NO ISRC MATCH in Release_Track",and($B128&lt;&gt;"",countif('5) Release_Track'!$G:$G,$B128)=0),"NO CATALOG ID MATCH in Release_Track",iserror(vlookup($A128&amp;$B128,'5) Release_Track'!$F:$F&amp;'5) Release_Track'!$G:$G,1,0)),"NO ISRC-CATALOG ID pair MATCH in Release_Track" )</f>
        <v>Motion Poster Theme (From "Bhajjo Veero Ve" Soundtrack)</v>
      </c>
      <c r="D128" s="121" t="str">
        <f t="array" ref="D128">ifs(and(isblank($A128),isblank($B128)),"", not(iserror(vlookup($A128&amp;$B128,'5) Release_Track'!$F:$F&amp;'5) Release_Track'!$G:$G,1,0))),vlookup($A128&amp;$B128,{'5) Release_Track'!$F:$F&amp;'5) Release_Track'!$G:$G,'5) Release_Track'!$I:$I},2,0), or(and(not(isblank($B128)),$B128=$B127,$A128&lt;&gt;$A127),and(not(isblank($A128)),$A128=$A127,$B128&lt;&gt;$B127)),"ID LISTS UNALIGNED",and($A128&lt;&gt;"",countif('5) Release_Track'!$F:$F,$A128)=0),"NO ISRC MATCH in Release_Track",and($B128&lt;&gt;"",countif('5) Release_Track'!$G:$G,$B128)=0),"NO CATALOG ID MATCH in Release_Track",iserror(vlookup($A128&amp;$B128,'5) Release_Track'!$F:$F&amp;'5) Release_Track'!$G:$G,1,0)),"NO ISRC-CATALOG ID pair MATCH in Release_Track" )</f>
        <v/>
      </c>
      <c r="E128" s="44" t="s">
        <v>51</v>
      </c>
      <c r="F128" s="8" t="s">
        <v>323</v>
      </c>
      <c r="G128" s="123" t="str">
        <f t="array" ref="G128">ifs(or($F128="",$F128="Main Primary Artist"),$F128,not(iserror(vlookup($F128,'Reference info'!$J$5:$J$8,1,0))),"Key Artist",not(iserror(vlookup($F128,'Reference info'!$J$38:$J$405,1,0))),"Performer",not(iserror(vlookup($F128,'Reference info'!$J$10:$J$36,1,0))),"Producer &amp; Engineer")</f>
        <v>Main Primary Artist</v>
      </c>
    </row>
    <row r="129">
      <c r="A129" s="44" t="s">
        <v>492</v>
      </c>
      <c r="B129" s="103"/>
      <c r="C129" s="121" t="str">
        <f t="array" ref="C129">ifs(and(isblank($A129),isblank($B129)),"", not(iserror(vlookup($A129&amp;$B129,'5) Release_Track'!$F:$F&amp;'5) Release_Track'!$G:$G,1,0))),vlookup($A129&amp;$B129,{'5) Release_Track'!$F:$F&amp;'5) Release_Track'!$G:$G,'5) Release_Track'!$H:$H},2,0), or(and(not(isblank($B129)),$B129=$B128,$A129&lt;&gt;$A128),and(not(isblank($A129)),$A129=$A128,$B129&lt;&gt;$B128)),"ID LISTS UNALIGNED",and($A129&lt;&gt;"",countif('5) Release_Track'!$F:$F,$A129)=0),"NO ISRC MATCH in Release_Track",and($B129&lt;&gt;"",countif('5) Release_Track'!$G:$G,$B129)=0),"NO CATALOG ID MATCH in Release_Track",iserror(vlookup($A129&amp;$B129,'5) Release_Track'!$F:$F&amp;'5) Release_Track'!$G:$G,1,0)),"NO ISRC-CATALOG ID pair MATCH in Release_Track" )</f>
        <v>Khyaal (From "Bhajjo Veero Ve" Soundtrack)</v>
      </c>
      <c r="D129" s="121" t="str">
        <f t="array" ref="D129">ifs(and(isblank($A129),isblank($B129)),"", not(iserror(vlookup($A129&amp;$B129,'5) Release_Track'!$F:$F&amp;'5) Release_Track'!$G:$G,1,0))),vlookup($A129&amp;$B129,{'5) Release_Track'!$F:$F&amp;'5) Release_Track'!$G:$G,'5) Release_Track'!$I:$I},2,0), or(and(not(isblank($B129)),$B129=$B128,$A129&lt;&gt;$A128),and(not(isblank($A129)),$A129=$A128,$B129&lt;&gt;$B128)),"ID LISTS UNALIGNED",and($A129&lt;&gt;"",countif('5) Release_Track'!$F:$F,$A129)=0),"NO ISRC MATCH in Release_Track",and($B129&lt;&gt;"",countif('5) Release_Track'!$G:$G,$B129)=0),"NO CATALOG ID MATCH in Release_Track",iserror(vlookup($A129&amp;$B129,'5) Release_Track'!$F:$F&amp;'5) Release_Track'!$G:$G,1,0)),"NO ISRC-CATALOG ID pair MATCH in Release_Track" )</f>
        <v/>
      </c>
      <c r="E129" s="44" t="s">
        <v>57</v>
      </c>
      <c r="F129" s="8" t="s">
        <v>323</v>
      </c>
      <c r="G129" s="123" t="str">
        <f t="array" ref="G129">ifs(or($F129="",$F129="Main Primary Artist"),$F129,not(iserror(vlookup($F129,'Reference info'!$J$5:$J$8,1,0))),"Key Artist",not(iserror(vlookup($F129,'Reference info'!$J$38:$J$405,1,0))),"Performer",not(iserror(vlookup($F129,'Reference info'!$J$10:$J$36,1,0))),"Producer &amp; Engineer")</f>
        <v>Main Primary Artist</v>
      </c>
    </row>
    <row r="130">
      <c r="A130" s="44" t="s">
        <v>492</v>
      </c>
      <c r="B130" s="103"/>
      <c r="C130" s="121" t="str">
        <f t="array" ref="C130">ifs(and(isblank($A130),isblank($B130)),"", not(iserror(vlookup($A130&amp;$B130,'5) Release_Track'!$F:$F&amp;'5) Release_Track'!$G:$G,1,0))),vlookup($A130&amp;$B130,{'5) Release_Track'!$F:$F&amp;'5) Release_Track'!$G:$G,'5) Release_Track'!$H:$H},2,0), or(and(not(isblank($B130)),$B130=$B129,$A130&lt;&gt;$A129),and(not(isblank($A130)),$A130=$A129,$B130&lt;&gt;$B129)),"ID LISTS UNALIGNED",and($A130&lt;&gt;"",countif('5) Release_Track'!$F:$F,$A130)=0),"NO ISRC MATCH in Release_Track",and($B130&lt;&gt;"",countif('5) Release_Track'!$G:$G,$B130)=0),"NO CATALOG ID MATCH in Release_Track",iserror(vlookup($A130&amp;$B130,'5) Release_Track'!$F:$F&amp;'5) Release_Track'!$G:$G,1,0)),"NO ISRC-CATALOG ID pair MATCH in Release_Track" )</f>
        <v>Khyaal (From "Bhajjo Veero Ve" Soundtrack)</v>
      </c>
      <c r="D130" s="121" t="str">
        <f t="array" ref="D130">ifs(and(isblank($A130),isblank($B130)),"", not(iserror(vlookup($A130&amp;$B130,'5) Release_Track'!$F:$F&amp;'5) Release_Track'!$G:$G,1,0))),vlookup($A130&amp;$B130,{'5) Release_Track'!$F:$F&amp;'5) Release_Track'!$G:$G,'5) Release_Track'!$I:$I},2,0), or(and(not(isblank($B130)),$B130=$B129,$A130&lt;&gt;$A129),and(not(isblank($A130)),$A130=$A129,$B130&lt;&gt;$B129)),"ID LISTS UNALIGNED",and($A130&lt;&gt;"",countif('5) Release_Track'!$F:$F,$A130)=0),"NO ISRC MATCH in Release_Track",and($B130&lt;&gt;"",countif('5) Release_Track'!$G:$G,$B130)=0),"NO CATALOG ID MATCH in Release_Track",iserror(vlookup($A130&amp;$B130,'5) Release_Track'!$F:$F&amp;'5) Release_Track'!$G:$G,1,0)),"NO ISRC-CATALOG ID pair MATCH in Release_Track" )</f>
        <v/>
      </c>
      <c r="E130" s="44" t="s">
        <v>51</v>
      </c>
      <c r="F130" s="8" t="s">
        <v>331</v>
      </c>
      <c r="G130" s="123" t="str">
        <f t="array" ref="G130">ifs(or($F130="",$F130="Main Primary Artist"),$F130,not(iserror(vlookup($F130,'Reference info'!$J$5:$J$8,1,0))),"Key Artist",not(iserror(vlookup($F130,'Reference info'!$J$38:$J$405,1,0))),"Performer",not(iserror(vlookup($F130,'Reference info'!$J$10:$J$36,1,0))),"Producer &amp; Engineer")</f>
        <v>Key Artist</v>
      </c>
    </row>
    <row r="131">
      <c r="A131" s="44" t="s">
        <v>494</v>
      </c>
      <c r="B131" s="103"/>
      <c r="C131" s="121" t="str">
        <f t="array" ref="C131">ifs(and(isblank($A131),isblank($B131)),"", not(iserror(vlookup($A131&amp;$B131,'5) Release_Track'!$F:$F&amp;'5) Release_Track'!$G:$G,1,0))),vlookup($A131&amp;$B131,{'5) Release_Track'!$F:$F&amp;'5) Release_Track'!$G:$G,'5) Release_Track'!$H:$H},2,0), or(and(not(isblank($B131)),$B131=$B130,$A131&lt;&gt;$A130),and(not(isblank($A131)),$A131=$A130,$B131&lt;&gt;$B130)),"ID LISTS UNALIGNED",and($A131&lt;&gt;"",countif('5) Release_Track'!$F:$F,$A131)=0),"NO ISRC MATCH in Release_Track",and($B131&lt;&gt;"",countif('5) Release_Track'!$G:$G,$B131)=0),"NO CATALOG ID MATCH in Release_Track",iserror(vlookup($A131&amp;$B131,'5) Release_Track'!$F:$F&amp;'5) Release_Track'!$G:$G,1,0)),"NO ISRC-CATALOG ID pair MATCH in Release_Track" )</f>
        <v>Car Reebna Wali (From "Bhajjo Veero Ve" Soundtrack)</v>
      </c>
      <c r="D131" s="121" t="str">
        <f t="array" ref="D131">ifs(and(isblank($A131),isblank($B131)),"", not(iserror(vlookup($A131&amp;$B131,'5) Release_Track'!$F:$F&amp;'5) Release_Track'!$G:$G,1,0))),vlookup($A131&amp;$B131,{'5) Release_Track'!$F:$F&amp;'5) Release_Track'!$G:$G,'5) Release_Track'!$I:$I},2,0), or(and(not(isblank($B131)),$B131=$B130,$A131&lt;&gt;$A130),and(not(isblank($A131)),$A131=$A130,$B131&lt;&gt;$B130)),"ID LISTS UNALIGNED",and($A131&lt;&gt;"",countif('5) Release_Track'!$F:$F,$A131)=0),"NO ISRC MATCH in Release_Track",and($B131&lt;&gt;"",countif('5) Release_Track'!$G:$G,$B131)=0),"NO CATALOG ID MATCH in Release_Track",iserror(vlookup($A131&amp;$B131,'5) Release_Track'!$F:$F&amp;'5) Release_Track'!$G:$G,1,0)),"NO ISRC-CATALOG ID pair MATCH in Release_Track" )</f>
        <v/>
      </c>
      <c r="E131" s="44" t="s">
        <v>49</v>
      </c>
      <c r="F131" s="8" t="s">
        <v>323</v>
      </c>
      <c r="G131" s="123" t="str">
        <f t="array" ref="G131">ifs(or($F131="",$F131="Main Primary Artist"),$F131,not(iserror(vlookup($F131,'Reference info'!$J$5:$J$8,1,0))),"Key Artist",not(iserror(vlookup($F131,'Reference info'!$J$38:$J$405,1,0))),"Performer",not(iserror(vlookup($F131,'Reference info'!$J$10:$J$36,1,0))),"Producer &amp; Engineer")</f>
        <v>Main Primary Artist</v>
      </c>
    </row>
    <row r="132">
      <c r="A132" s="44" t="s">
        <v>494</v>
      </c>
      <c r="B132" s="103"/>
      <c r="C132" s="121" t="str">
        <f t="array" ref="C132">ifs(and(isblank($A132),isblank($B132)),"", not(iserror(vlookup($A132&amp;$B132,'5) Release_Track'!$F:$F&amp;'5) Release_Track'!$G:$G,1,0))),vlookup($A132&amp;$B132,{'5) Release_Track'!$F:$F&amp;'5) Release_Track'!$G:$G,'5) Release_Track'!$H:$H},2,0), or(and(not(isblank($B132)),$B132=$B131,$A132&lt;&gt;$A131),and(not(isblank($A132)),$A132=$A131,$B132&lt;&gt;$B131)),"ID LISTS UNALIGNED",and($A132&lt;&gt;"",countif('5) Release_Track'!$F:$F,$A132)=0),"NO ISRC MATCH in Release_Track",and($B132&lt;&gt;"",countif('5) Release_Track'!$G:$G,$B132)=0),"NO CATALOG ID MATCH in Release_Track",iserror(vlookup($A132&amp;$B132,'5) Release_Track'!$F:$F&amp;'5) Release_Track'!$G:$G,1,0)),"NO ISRC-CATALOG ID pair MATCH in Release_Track" )</f>
        <v>Car Reebna Wali (From "Bhajjo Veero Ve" Soundtrack)</v>
      </c>
      <c r="D132" s="121" t="str">
        <f t="array" ref="D132">ifs(and(isblank($A132),isblank($B132)),"", not(iserror(vlookup($A132&amp;$B132,'5) Release_Track'!$F:$F&amp;'5) Release_Track'!$G:$G,1,0))),vlookup($A132&amp;$B132,{'5) Release_Track'!$F:$F&amp;'5) Release_Track'!$G:$G,'5) Release_Track'!$I:$I},2,0), or(and(not(isblank($B132)),$B132=$B131,$A132&lt;&gt;$A131),and(not(isblank($A132)),$A132=$A131,$B132&lt;&gt;$B131)),"ID LISTS UNALIGNED",and($A132&lt;&gt;"",countif('5) Release_Track'!$F:$F,$A132)=0),"NO ISRC MATCH in Release_Track",and($B132&lt;&gt;"",countif('5) Release_Track'!$G:$G,$B132)=0),"NO CATALOG ID MATCH in Release_Track",iserror(vlookup($A132&amp;$B132,'5) Release_Track'!$F:$F&amp;'5) Release_Track'!$G:$G,1,0)),"NO ISRC-CATALOG ID pair MATCH in Release_Track" )</f>
        <v/>
      </c>
      <c r="E132" s="44" t="s">
        <v>51</v>
      </c>
      <c r="F132" s="8" t="s">
        <v>331</v>
      </c>
      <c r="G132" s="123" t="str">
        <f t="array" ref="G132">ifs(or($F132="",$F132="Main Primary Artist"),$F132,not(iserror(vlookup($F132,'Reference info'!$J$5:$J$8,1,0))),"Key Artist",not(iserror(vlookup($F132,'Reference info'!$J$38:$J$405,1,0))),"Performer",not(iserror(vlookup($F132,'Reference info'!$J$10:$J$36,1,0))),"Producer &amp; Engineer")</f>
        <v>Key Artist</v>
      </c>
    </row>
    <row r="133">
      <c r="A133" s="44" t="s">
        <v>496</v>
      </c>
      <c r="B133" s="103"/>
      <c r="C133" s="121" t="str">
        <f t="array" ref="C133">ifs(and(isblank($A133),isblank($B133)),"", not(iserror(vlookup($A133&amp;$B133,'5) Release_Track'!$F:$F&amp;'5) Release_Track'!$G:$G,1,0))),vlookup($A133&amp;$B133,{'5) Release_Track'!$F:$F&amp;'5) Release_Track'!$G:$G,'5) Release_Track'!$H:$H},2,0), or(and(not(isblank($B133)),$B133=$B132,$A133&lt;&gt;$A132),and(not(isblank($A133)),$A133=$A132,$B133&lt;&gt;$B132)),"ID LISTS UNALIGNED",and($A133&lt;&gt;"",countif('5) Release_Track'!$F:$F,$A133)=0),"NO ISRC MATCH in Release_Track",and($B133&lt;&gt;"",countif('5) Release_Track'!$G:$G,$B133)=0),"NO CATALOG ID MATCH in Release_Track",iserror(vlookup($A133&amp;$B133,'5) Release_Track'!$F:$F&amp;'5) Release_Track'!$G:$G,1,0)),"NO ISRC-CATALOG ID pair MATCH in Release_Track" )</f>
        <v>Bhaggi Love</v>
      </c>
      <c r="D133" s="121" t="str">
        <f t="array" ref="D133">ifs(and(isblank($A133),isblank($B133)),"", not(iserror(vlookup($A133&amp;$B133,'5) Release_Track'!$F:$F&amp;'5) Release_Track'!$G:$G,1,0))),vlookup($A133&amp;$B133,{'5) Release_Track'!$F:$F&amp;'5) Release_Track'!$G:$G,'5) Release_Track'!$I:$I},2,0), or(and(not(isblank($B133)),$B133=$B132,$A133&lt;&gt;$A132),and(not(isblank($A133)),$A133=$A132,$B133&lt;&gt;$B132)),"ID LISTS UNALIGNED",and($A133&lt;&gt;"",countif('5) Release_Track'!$F:$F,$A133)=0),"NO ISRC MATCH in Release_Track",and($B133&lt;&gt;"",countif('5) Release_Track'!$G:$G,$B133)=0),"NO CATALOG ID MATCH in Release_Track",iserror(vlookup($A133&amp;$B133,'5) Release_Track'!$F:$F&amp;'5) Release_Track'!$G:$G,1,0)),"NO ISRC-CATALOG ID pair MATCH in Release_Track" )</f>
        <v/>
      </c>
      <c r="E133" s="44" t="s">
        <v>109</v>
      </c>
      <c r="F133" s="8" t="s">
        <v>323</v>
      </c>
      <c r="G133" s="123" t="str">
        <f t="array" ref="G133">ifs(or($F133="",$F133="Main Primary Artist"),$F133,not(iserror(vlookup($F133,'Reference info'!$J$5:$J$8,1,0))),"Key Artist",not(iserror(vlookup($F133,'Reference info'!$J$38:$J$405,1,0))),"Performer",not(iserror(vlookup($F133,'Reference info'!$J$10:$J$36,1,0))),"Producer &amp; Engineer")</f>
        <v>Main Primary Artist</v>
      </c>
    </row>
    <row r="134">
      <c r="A134" s="44" t="s">
        <v>496</v>
      </c>
      <c r="B134" s="103"/>
      <c r="C134" s="121" t="str">
        <f t="array" ref="C134">ifs(and(isblank($A134),isblank($B134)),"", not(iserror(vlookup($A134&amp;$B134,'5) Release_Track'!$F:$F&amp;'5) Release_Track'!$G:$G,1,0))),vlookup($A134&amp;$B134,{'5) Release_Track'!$F:$F&amp;'5) Release_Track'!$G:$G,'5) Release_Track'!$H:$H},2,0), or(and(not(isblank($B134)),$B134=$B133,$A134&lt;&gt;$A133),and(not(isblank($A134)),$A134=$A133,$B134&lt;&gt;$B133)),"ID LISTS UNALIGNED",and($A134&lt;&gt;"",countif('5) Release_Track'!$F:$F,$A134)=0),"NO ISRC MATCH in Release_Track",and($B134&lt;&gt;"",countif('5) Release_Track'!$G:$G,$B134)=0),"NO CATALOG ID MATCH in Release_Track",iserror(vlookup($A134&amp;$B134,'5) Release_Track'!$F:$F&amp;'5) Release_Track'!$G:$G,1,0)),"NO ISRC-CATALOG ID pair MATCH in Release_Track" )</f>
        <v>Bhaggi Love</v>
      </c>
      <c r="D134" s="121" t="str">
        <f t="array" ref="D134">ifs(and(isblank($A134),isblank($B134)),"", not(iserror(vlookup($A134&amp;$B134,'5) Release_Track'!$F:$F&amp;'5) Release_Track'!$G:$G,1,0))),vlookup($A134&amp;$B134,{'5) Release_Track'!$F:$F&amp;'5) Release_Track'!$G:$G,'5) Release_Track'!$I:$I},2,0), or(and(not(isblank($B134)),$B134=$B133,$A134&lt;&gt;$A133),and(not(isblank($A134)),$A134=$A133,$B134&lt;&gt;$B133)),"ID LISTS UNALIGNED",and($A134&lt;&gt;"",countif('5) Release_Track'!$F:$F,$A134)=0),"NO ISRC MATCH in Release_Track",and($B134&lt;&gt;"",countif('5) Release_Track'!$G:$G,$B134)=0),"NO CATALOG ID MATCH in Release_Track",iserror(vlookup($A134&amp;$B134,'5) Release_Track'!$F:$F&amp;'5) Release_Track'!$G:$G,1,0)),"NO ISRC-CATALOG ID pair MATCH in Release_Track" )</f>
        <v/>
      </c>
      <c r="E134" s="44" t="s">
        <v>111</v>
      </c>
      <c r="F134" s="8" t="s">
        <v>331</v>
      </c>
      <c r="G134" s="123" t="str">
        <f t="array" ref="G134">ifs(or($F134="",$F134="Main Primary Artist"),$F134,not(iserror(vlookup($F134,'Reference info'!$J$5:$J$8,1,0))),"Key Artist",not(iserror(vlookup($F134,'Reference info'!$J$38:$J$405,1,0))),"Performer",not(iserror(vlookup($F134,'Reference info'!$J$10:$J$36,1,0))),"Producer &amp; Engineer")</f>
        <v>Key Artist</v>
      </c>
    </row>
    <row r="135">
      <c r="A135" s="44" t="s">
        <v>498</v>
      </c>
      <c r="B135" s="103"/>
      <c r="C135" s="121" t="str">
        <f t="array" ref="C135">ifs(and(isblank($A135),isblank($B135)),"", not(iserror(vlookup($A135&amp;$B135,'5) Release_Track'!$F:$F&amp;'5) Release_Track'!$G:$G,1,0))),vlookup($A135&amp;$B135,{'5) Release_Track'!$F:$F&amp;'5) Release_Track'!$G:$G,'5) Release_Track'!$H:$H},2,0), or(and(not(isblank($B135)),$B135=$B134,$A135&lt;&gt;$A134),and(not(isblank($A135)),$A135=$A134,$B135&lt;&gt;$B134)),"ID LISTS UNALIGNED",and($A135&lt;&gt;"",countif('5) Release_Track'!$F:$F,$A135)=0),"NO ISRC MATCH in Release_Track",and($B135&lt;&gt;"",countif('5) Release_Track'!$G:$G,$B135)=0),"NO CATALOG ID MATCH in Release_Track",iserror(vlookup($A135&amp;$B135,'5) Release_Track'!$F:$F&amp;'5) Release_Track'!$G:$G,1,0)),"NO ISRC-CATALOG ID pair MATCH in Release_Track" )</f>
        <v>Chunni Cho Asmaan (From "Bhajjo Veero Ve" Soundtrack)</v>
      </c>
      <c r="D135" s="121" t="str">
        <f t="array" ref="D135">ifs(and(isblank($A135),isblank($B135)),"", not(iserror(vlookup($A135&amp;$B135,'5) Release_Track'!$F:$F&amp;'5) Release_Track'!$G:$G,1,0))),vlookup($A135&amp;$B135,{'5) Release_Track'!$F:$F&amp;'5) Release_Track'!$G:$G,'5) Release_Track'!$I:$I},2,0), or(and(not(isblank($B135)),$B135=$B134,$A135&lt;&gt;$A134),and(not(isblank($A135)),$A135=$A134,$B135&lt;&gt;$B134)),"ID LISTS UNALIGNED",and($A135&lt;&gt;"",countif('5) Release_Track'!$F:$F,$A135)=0),"NO ISRC MATCH in Release_Track",and($B135&lt;&gt;"",countif('5) Release_Track'!$G:$G,$B135)=0),"NO CATALOG ID MATCH in Release_Track",iserror(vlookup($A135&amp;$B135,'5) Release_Track'!$F:$F&amp;'5) Release_Track'!$G:$G,1,0)),"NO ISRC-CATALOG ID pair MATCH in Release_Track" )</f>
        <v/>
      </c>
      <c r="E135" s="44" t="s">
        <v>63</v>
      </c>
      <c r="F135" s="8" t="s">
        <v>323</v>
      </c>
      <c r="G135" s="123" t="str">
        <f t="array" ref="G135">ifs(or($F135="",$F135="Main Primary Artist"),$F135,not(iserror(vlookup($F135,'Reference info'!$J$5:$J$8,1,0))),"Key Artist",not(iserror(vlookup($F135,'Reference info'!$J$38:$J$405,1,0))),"Performer",not(iserror(vlookup($F135,'Reference info'!$J$10:$J$36,1,0))),"Producer &amp; Engineer")</f>
        <v>Main Primary Artist</v>
      </c>
    </row>
    <row r="136">
      <c r="A136" s="44" t="s">
        <v>498</v>
      </c>
      <c r="B136" s="103"/>
      <c r="C136" s="121" t="str">
        <f t="array" ref="C136">ifs(and(isblank($A136),isblank($B136)),"", not(iserror(vlookup($A136&amp;$B136,'5) Release_Track'!$F:$F&amp;'5) Release_Track'!$G:$G,1,0))),vlookup($A136&amp;$B136,{'5) Release_Track'!$F:$F&amp;'5) Release_Track'!$G:$G,'5) Release_Track'!$H:$H},2,0), or(and(not(isblank($B136)),$B136=$B135,$A136&lt;&gt;$A135),and(not(isblank($A136)),$A136=$A135,$B136&lt;&gt;$B135)),"ID LISTS UNALIGNED",and($A136&lt;&gt;"",countif('5) Release_Track'!$F:$F,$A136)=0),"NO ISRC MATCH in Release_Track",and($B136&lt;&gt;"",countif('5) Release_Track'!$G:$G,$B136)=0),"NO CATALOG ID MATCH in Release_Track",iserror(vlookup($A136&amp;$B136,'5) Release_Track'!$F:$F&amp;'5) Release_Track'!$G:$G,1,0)),"NO ISRC-CATALOG ID pair MATCH in Release_Track" )</f>
        <v>Chunni Cho Asmaan (From "Bhajjo Veero Ve" Soundtrack)</v>
      </c>
      <c r="D136" s="121" t="str">
        <f t="array" ref="D136">ifs(and(isblank($A136),isblank($B136)),"", not(iserror(vlookup($A136&amp;$B136,'5) Release_Track'!$F:$F&amp;'5) Release_Track'!$G:$G,1,0))),vlookup($A136&amp;$B136,{'5) Release_Track'!$F:$F&amp;'5) Release_Track'!$G:$G,'5) Release_Track'!$I:$I},2,0), or(and(not(isblank($B136)),$B136=$B135,$A136&lt;&gt;$A135),and(not(isblank($A136)),$A136=$A135,$B136&lt;&gt;$B135)),"ID LISTS UNALIGNED",and($A136&lt;&gt;"",countif('5) Release_Track'!$F:$F,$A136)=0),"NO ISRC MATCH in Release_Track",and($B136&lt;&gt;"",countif('5) Release_Track'!$G:$G,$B136)=0),"NO CATALOG ID MATCH in Release_Track",iserror(vlookup($A136&amp;$B136,'5) Release_Track'!$F:$F&amp;'5) Release_Track'!$G:$G,1,0)),"NO ISRC-CATALOG ID pair MATCH in Release_Track" )</f>
        <v/>
      </c>
      <c r="E136" s="44" t="s">
        <v>51</v>
      </c>
      <c r="F136" s="8" t="s">
        <v>331</v>
      </c>
      <c r="G136" s="123" t="str">
        <f t="array" ref="G136">ifs(or($F136="",$F136="Main Primary Artist"),$F136,not(iserror(vlookup($F136,'Reference info'!$J$5:$J$8,1,0))),"Key Artist",not(iserror(vlookup($F136,'Reference info'!$J$38:$J$405,1,0))),"Performer",not(iserror(vlookup($F136,'Reference info'!$J$10:$J$36,1,0))),"Producer &amp; Engineer")</f>
        <v>Key Artist</v>
      </c>
    </row>
    <row r="137">
      <c r="A137" s="44" t="s">
        <v>500</v>
      </c>
      <c r="B137" s="103"/>
      <c r="C137" s="121" t="str">
        <f t="array" ref="C137">ifs(and(isblank($A137),isblank($B137)),"", not(iserror(vlookup($A137&amp;$B137,'5) Release_Track'!$F:$F&amp;'5) Release_Track'!$G:$G,1,0))),vlookup($A137&amp;$B137,{'5) Release_Track'!$F:$F&amp;'5) Release_Track'!$G:$G,'5) Release_Track'!$H:$H},2,0), or(and(not(isblank($B137)),$B137=$B136,$A137&lt;&gt;$A136),and(not(isblank($A137)),$A137=$A136,$B137&lt;&gt;$B136)),"ID LISTS UNALIGNED",and($A137&lt;&gt;"",countif('5) Release_Track'!$F:$F,$A137)=0),"NO ISRC MATCH in Release_Track",and($B137&lt;&gt;"",countif('5) Release_Track'!$G:$G,$B137)=0),"NO CATALOG ID MATCH in Release_Track",iserror(vlookup($A137&amp;$B137,'5) Release_Track'!$F:$F&amp;'5) Release_Track'!$G:$G,1,0)),"NO ISRC-CATALOG ID pair MATCH in Release_Track" )</f>
        <v>Lehnga (From "Bhajjo Veero Ve" Soundtrack)</v>
      </c>
      <c r="D137" s="121" t="str">
        <f t="array" ref="D137">ifs(and(isblank($A137),isblank($B137)),"", not(iserror(vlookup($A137&amp;$B137,'5) Release_Track'!$F:$F&amp;'5) Release_Track'!$G:$G,1,0))),vlookup($A137&amp;$B137,{'5) Release_Track'!$F:$F&amp;'5) Release_Track'!$G:$G,'5) Release_Track'!$I:$I},2,0), or(and(not(isblank($B137)),$B137=$B136,$A137&lt;&gt;$A136),and(not(isblank($A137)),$A137=$A136,$B137&lt;&gt;$B136)),"ID LISTS UNALIGNED",and($A137&lt;&gt;"",countif('5) Release_Track'!$F:$F,$A137)=0),"NO ISRC MATCH in Release_Track",and($B137&lt;&gt;"",countif('5) Release_Track'!$G:$G,$B137)=0),"NO CATALOG ID MATCH in Release_Track",iserror(vlookup($A137&amp;$B137,'5) Release_Track'!$F:$F&amp;'5) Release_Track'!$G:$G,1,0)),"NO ISRC-CATALOG ID pair MATCH in Release_Track" )</f>
        <v/>
      </c>
      <c r="E137" s="44" t="s">
        <v>57</v>
      </c>
      <c r="F137" s="8" t="s">
        <v>323</v>
      </c>
      <c r="G137" s="123" t="str">
        <f t="array" ref="G137">ifs(or($F137="",$F137="Main Primary Artist"),$F137,not(iserror(vlookup($F137,'Reference info'!$J$5:$J$8,1,0))),"Key Artist",not(iserror(vlookup($F137,'Reference info'!$J$38:$J$405,1,0))),"Performer",not(iserror(vlookup($F137,'Reference info'!$J$10:$J$36,1,0))),"Producer &amp; Engineer")</f>
        <v>Main Primary Artist</v>
      </c>
    </row>
    <row r="138">
      <c r="A138" s="44" t="s">
        <v>500</v>
      </c>
      <c r="B138" s="103"/>
      <c r="C138" s="121" t="str">
        <f t="array" ref="C138">ifs(and(isblank($A138),isblank($B138)),"", not(iserror(vlookup($A138&amp;$B138,'5) Release_Track'!$F:$F&amp;'5) Release_Track'!$G:$G,1,0))),vlookup($A138&amp;$B138,{'5) Release_Track'!$F:$F&amp;'5) Release_Track'!$G:$G,'5) Release_Track'!$H:$H},2,0), or(and(not(isblank($B138)),$B138=$B137,$A138&lt;&gt;$A137),and(not(isblank($A138)),$A138=$A137,$B138&lt;&gt;$B137)),"ID LISTS UNALIGNED",and($A138&lt;&gt;"",countif('5) Release_Track'!$F:$F,$A138)=0),"NO ISRC MATCH in Release_Track",and($B138&lt;&gt;"",countif('5) Release_Track'!$G:$G,$B138)=0),"NO CATALOG ID MATCH in Release_Track",iserror(vlookup($A138&amp;$B138,'5) Release_Track'!$F:$F&amp;'5) Release_Track'!$G:$G,1,0)),"NO ISRC-CATALOG ID pair MATCH in Release_Track" )</f>
        <v>Lehnga (From "Bhajjo Veero Ve" Soundtrack)</v>
      </c>
      <c r="D138" s="121" t="str">
        <f t="array" ref="D138">ifs(and(isblank($A138),isblank($B138)),"", not(iserror(vlookup($A138&amp;$B138,'5) Release_Track'!$F:$F&amp;'5) Release_Track'!$G:$G,1,0))),vlookup($A138&amp;$B138,{'5) Release_Track'!$F:$F&amp;'5) Release_Track'!$G:$G,'5) Release_Track'!$I:$I},2,0), or(and(not(isblank($B138)),$B138=$B137,$A138&lt;&gt;$A137),and(not(isblank($A138)),$A138=$A137,$B138&lt;&gt;$B137)),"ID LISTS UNALIGNED",and($A138&lt;&gt;"",countif('5) Release_Track'!$F:$F,$A138)=0),"NO ISRC MATCH in Release_Track",and($B138&lt;&gt;"",countif('5) Release_Track'!$G:$G,$B138)=0),"NO CATALOG ID MATCH in Release_Track",iserror(vlookup($A138&amp;$B138,'5) Release_Track'!$F:$F&amp;'5) Release_Track'!$G:$G,1,0)),"NO ISRC-CATALOG ID pair MATCH in Release_Track" )</f>
        <v/>
      </c>
      <c r="E138" s="44" t="s">
        <v>51</v>
      </c>
      <c r="F138" s="8" t="s">
        <v>331</v>
      </c>
      <c r="G138" s="123" t="str">
        <f t="array" ref="G138">ifs(or($F138="",$F138="Main Primary Artist"),$F138,not(iserror(vlookup($F138,'Reference info'!$J$5:$J$8,1,0))),"Key Artist",not(iserror(vlookup($F138,'Reference info'!$J$38:$J$405,1,0))),"Performer",not(iserror(vlookup($F138,'Reference info'!$J$10:$J$36,1,0))),"Producer &amp; Engineer")</f>
        <v>Key Artist</v>
      </c>
    </row>
    <row r="139">
      <c r="A139" s="44" t="s">
        <v>502</v>
      </c>
      <c r="B139" s="103"/>
      <c r="C139" s="121" t="str">
        <f t="array" ref="C139">ifs(and(isblank($A139),isblank($B139)),"", not(iserror(vlookup($A139&amp;$B139,'5) Release_Track'!$F:$F&amp;'5) Release_Track'!$G:$G,1,0))),vlookup($A139&amp;$B139,{'5) Release_Track'!$F:$F&amp;'5) Release_Track'!$G:$G,'5) Release_Track'!$H:$H},2,0), or(and(not(isblank($B139)),$B139=$B138,$A139&lt;&gt;$A138),and(not(isblank($A139)),$A139=$A138,$B139&lt;&gt;$B138)),"ID LISTS UNALIGNED",and($A139&lt;&gt;"",countif('5) Release_Track'!$F:$F,$A139)=0),"NO ISRC MATCH in Release_Track",and($B139&lt;&gt;"",countif('5) Release_Track'!$G:$G,$B139)=0),"NO CATALOG ID MATCH in Release_Track",iserror(vlookup($A139&amp;$B139,'5) Release_Track'!$F:$F&amp;'5) Release_Track'!$G:$G,1,0)),"NO ISRC-CATALOG ID pair MATCH in Release_Track" )</f>
        <v>Darshan Mehnge (From "Laiye Je Yaarian" Soundtrack)</v>
      </c>
      <c r="D139" s="121" t="str">
        <f t="array" ref="D139">ifs(and(isblank($A139),isblank($B139)),"", not(iserror(vlookup($A139&amp;$B139,'5) Release_Track'!$F:$F&amp;'5) Release_Track'!$G:$G,1,0))),vlookup($A139&amp;$B139,{'5) Release_Track'!$F:$F&amp;'5) Release_Track'!$G:$G,'5) Release_Track'!$I:$I},2,0), or(and(not(isblank($B139)),$B139=$B138,$A139&lt;&gt;$A138),and(not(isblank($A139)),$A139=$A138,$B139&lt;&gt;$B138)),"ID LISTS UNALIGNED",and($A139&lt;&gt;"",countif('5) Release_Track'!$F:$F,$A139)=0),"NO ISRC MATCH in Release_Track",and($B139&lt;&gt;"",countif('5) Release_Track'!$G:$G,$B139)=0),"NO CATALOG ID MATCH in Release_Track",iserror(vlookup($A139&amp;$B139,'5) Release_Track'!$F:$F&amp;'5) Release_Track'!$G:$G,1,0)),"NO ISRC-CATALOG ID pair MATCH in Release_Track" )</f>
        <v/>
      </c>
      <c r="E139" s="44" t="s">
        <v>49</v>
      </c>
      <c r="F139" s="8" t="s">
        <v>323</v>
      </c>
      <c r="G139" s="123" t="str">
        <f t="array" ref="G139">ifs(or($F139="",$F139="Main Primary Artist"),$F139,not(iserror(vlookup($F139,'Reference info'!$J$5:$J$8,1,0))),"Key Artist",not(iserror(vlookup($F139,'Reference info'!$J$38:$J$405,1,0))),"Performer",not(iserror(vlookup($F139,'Reference info'!$J$10:$J$36,1,0))),"Producer &amp; Engineer")</f>
        <v>Main Primary Artist</v>
      </c>
    </row>
    <row r="140">
      <c r="A140" s="44" t="s">
        <v>502</v>
      </c>
      <c r="B140" s="103"/>
      <c r="C140" s="121" t="str">
        <f t="array" ref="C140">ifs(and(isblank($A140),isblank($B140)),"", not(iserror(vlookup($A140&amp;$B140,'5) Release_Track'!$F:$F&amp;'5) Release_Track'!$G:$G,1,0))),vlookup($A140&amp;$B140,{'5) Release_Track'!$F:$F&amp;'5) Release_Track'!$G:$G,'5) Release_Track'!$H:$H},2,0), or(and(not(isblank($B140)),$B140=$B139,$A140&lt;&gt;$A139),and(not(isblank($A140)),$A140=$A139,$B140&lt;&gt;$B139)),"ID LISTS UNALIGNED",and($A140&lt;&gt;"",countif('5) Release_Track'!$F:$F,$A140)=0),"NO ISRC MATCH in Release_Track",and($B140&lt;&gt;"",countif('5) Release_Track'!$G:$G,$B140)=0),"NO CATALOG ID MATCH in Release_Track",iserror(vlookup($A140&amp;$B140,'5) Release_Track'!$F:$F&amp;'5) Release_Track'!$G:$G,1,0)),"NO ISRC-CATALOG ID pair MATCH in Release_Track" )</f>
        <v>Darshan Mehnge (From "Laiye Je Yaarian" Soundtrack)</v>
      </c>
      <c r="D140" s="121" t="str">
        <f t="array" ref="D140">ifs(and(isblank($A140),isblank($B140)),"", not(iserror(vlookup($A140&amp;$B140,'5) Release_Track'!$F:$F&amp;'5) Release_Track'!$G:$G,1,0))),vlookup($A140&amp;$B140,{'5) Release_Track'!$F:$F&amp;'5) Release_Track'!$G:$G,'5) Release_Track'!$I:$I},2,0), or(and(not(isblank($B140)),$B140=$B139,$A140&lt;&gt;$A139),and(not(isblank($A140)),$A140=$A139,$B140&lt;&gt;$B139)),"ID LISTS UNALIGNED",and($A140&lt;&gt;"",countif('5) Release_Track'!$F:$F,$A140)=0),"NO ISRC MATCH in Release_Track",and($B140&lt;&gt;"",countif('5) Release_Track'!$G:$G,$B140)=0),"NO CATALOG ID MATCH in Release_Track",iserror(vlookup($A140&amp;$B140,'5) Release_Track'!$F:$F&amp;'5) Release_Track'!$G:$G,1,0)),"NO ISRC-CATALOG ID pair MATCH in Release_Track" )</f>
        <v/>
      </c>
      <c r="E140" s="44" t="s">
        <v>93</v>
      </c>
      <c r="F140" s="8" t="s">
        <v>324</v>
      </c>
      <c r="G140" s="123" t="str">
        <f t="array" ref="G140">ifs(or($F140="",$F140="Main Primary Artist"),$F140,not(iserror(vlookup($F140,'Reference info'!$J$5:$J$8,1,0))),"Key Artist",not(iserror(vlookup($F140,'Reference info'!$J$38:$J$405,1,0))),"Performer",not(iserror(vlookup($F140,'Reference info'!$J$10:$J$36,1,0))),"Producer &amp; Engineer")</f>
        <v>Key Artist</v>
      </c>
    </row>
    <row r="141">
      <c r="A141" s="44" t="s">
        <v>502</v>
      </c>
      <c r="B141" s="103"/>
      <c r="C141" s="121" t="str">
        <f t="array" ref="C141">ifs(and(isblank($A141),isblank($B141)),"", not(iserror(vlookup($A141&amp;$B141,'5) Release_Track'!$F:$F&amp;'5) Release_Track'!$G:$G,1,0))),vlookup($A141&amp;$B141,{'5) Release_Track'!$F:$F&amp;'5) Release_Track'!$G:$G,'5) Release_Track'!$H:$H},2,0), or(and(not(isblank($B141)),$B141=$B140,$A141&lt;&gt;$A140),and(not(isblank($A141)),$A141=$A140,$B141&lt;&gt;$B140)),"ID LISTS UNALIGNED",and($A141&lt;&gt;"",countif('5) Release_Track'!$F:$F,$A141)=0),"NO ISRC MATCH in Release_Track",and($B141&lt;&gt;"",countif('5) Release_Track'!$G:$G,$B141)=0),"NO CATALOG ID MATCH in Release_Track",iserror(vlookup($A141&amp;$B141,'5) Release_Track'!$F:$F&amp;'5) Release_Track'!$G:$G,1,0)),"NO ISRC-CATALOG ID pair MATCH in Release_Track" )</f>
        <v>Darshan Mehnge (From "Laiye Je Yaarian" Soundtrack)</v>
      </c>
      <c r="D141" s="121" t="str">
        <f t="array" ref="D141">ifs(and(isblank($A141),isblank($B141)),"", not(iserror(vlookup($A141&amp;$B141,'5) Release_Track'!$F:$F&amp;'5) Release_Track'!$G:$G,1,0))),vlookup($A141&amp;$B141,{'5) Release_Track'!$F:$F&amp;'5) Release_Track'!$G:$G,'5) Release_Track'!$I:$I},2,0), or(and(not(isblank($B141)),$B141=$B140,$A141&lt;&gt;$A140),and(not(isblank($A141)),$A141=$A140,$B141&lt;&gt;$B140)),"ID LISTS UNALIGNED",and($A141&lt;&gt;"",countif('5) Release_Track'!$F:$F,$A141)=0),"NO ISRC MATCH in Release_Track",and($B141&lt;&gt;"",countif('5) Release_Track'!$G:$G,$B141)=0),"NO CATALOG ID MATCH in Release_Track",iserror(vlookup($A141&amp;$B141,'5) Release_Track'!$F:$F&amp;'5) Release_Track'!$G:$G,1,0)),"NO ISRC-CATALOG ID pair MATCH in Release_Track" )</f>
        <v/>
      </c>
      <c r="E141" s="44" t="s">
        <v>113</v>
      </c>
      <c r="F141" s="8" t="s">
        <v>331</v>
      </c>
      <c r="G141" s="123" t="str">
        <f t="array" ref="G141">ifs(or($F141="",$F141="Main Primary Artist"),$F141,not(iserror(vlookup($F141,'Reference info'!$J$5:$J$8,1,0))),"Key Artist",not(iserror(vlookup($F141,'Reference info'!$J$38:$J$405,1,0))),"Performer",not(iserror(vlookup($F141,'Reference info'!$J$10:$J$36,1,0))),"Producer &amp; Engineer")</f>
        <v>Key Artist</v>
      </c>
    </row>
    <row r="142">
      <c r="A142" s="44" t="s">
        <v>504</v>
      </c>
      <c r="B142" s="103"/>
      <c r="C142" s="121" t="str">
        <f t="array" ref="C142">ifs(and(isblank($A142),isblank($B142)),"", not(iserror(vlookup($A142&amp;$B142,'5) Release_Track'!$F:$F&amp;'5) Release_Track'!$G:$G,1,0))),vlookup($A142&amp;$B142,{'5) Release_Track'!$F:$F&amp;'5) Release_Track'!$G:$G,'5) Release_Track'!$H:$H},2,0), or(and(not(isblank($B142)),$B142=$B141,$A142&lt;&gt;$A141),and(not(isblank($A142)),$A142=$A141,$B142&lt;&gt;$B141)),"ID LISTS UNALIGNED",and($A142&lt;&gt;"",countif('5) Release_Track'!$F:$F,$A142)=0),"NO ISRC MATCH in Release_Track",and($B142&lt;&gt;"",countif('5) Release_Track'!$G:$G,$B142)=0),"NO CATALOG ID MATCH in Release_Track",iserror(vlookup($A142&amp;$B142,'5) Release_Track'!$F:$F&amp;'5) Release_Track'!$G:$G,1,0)),"NO ISRC-CATALOG ID pair MATCH in Release_Track" )</f>
        <v>Aah Ki Hoya (From "Laiye Je Yaarian" Soundtrack)</v>
      </c>
      <c r="D142" s="121" t="str">
        <f t="array" ref="D142">ifs(and(isblank($A142),isblank($B142)),"", not(iserror(vlookup($A142&amp;$B142,'5) Release_Track'!$F:$F&amp;'5) Release_Track'!$G:$G,1,0))),vlookup($A142&amp;$B142,{'5) Release_Track'!$F:$F&amp;'5) Release_Track'!$G:$G,'5) Release_Track'!$I:$I},2,0), or(and(not(isblank($B142)),$B142=$B141,$A142&lt;&gt;$A141),and(not(isblank($A142)),$A142=$A141,$B142&lt;&gt;$B141)),"ID LISTS UNALIGNED",and($A142&lt;&gt;"",countif('5) Release_Track'!$F:$F,$A142)=0),"NO ISRC MATCH in Release_Track",and($B142&lt;&gt;"",countif('5) Release_Track'!$G:$G,$B142)=0),"NO CATALOG ID MATCH in Release_Track",iserror(vlookup($A142&amp;$B142,'5) Release_Track'!$F:$F&amp;'5) Release_Track'!$G:$G,1,0)),"NO ISRC-CATALOG ID pair MATCH in Release_Track" )</f>
        <v/>
      </c>
      <c r="E142" s="44" t="s">
        <v>111</v>
      </c>
      <c r="F142" s="8" t="s">
        <v>323</v>
      </c>
      <c r="G142" s="123" t="str">
        <f t="array" ref="G142">ifs(or($F142="",$F142="Main Primary Artist"),$F142,not(iserror(vlookup($F142,'Reference info'!$J$5:$J$8,1,0))),"Key Artist",not(iserror(vlookup($F142,'Reference info'!$J$38:$J$405,1,0))),"Performer",not(iserror(vlookup($F142,'Reference info'!$J$10:$J$36,1,0))),"Producer &amp; Engineer")</f>
        <v>Main Primary Artist</v>
      </c>
    </row>
    <row r="143">
      <c r="A143" s="44" t="s">
        <v>504</v>
      </c>
      <c r="B143" s="103"/>
      <c r="C143" s="121" t="str">
        <f t="array" ref="C143">ifs(and(isblank($A143),isblank($B143)),"", not(iserror(vlookup($A143&amp;$B143,'5) Release_Track'!$F:$F&amp;'5) Release_Track'!$G:$G,1,0))),vlookup($A143&amp;$B143,{'5) Release_Track'!$F:$F&amp;'5) Release_Track'!$G:$G,'5) Release_Track'!$H:$H},2,0), or(and(not(isblank($B143)),$B143=$B142,$A143&lt;&gt;$A142),and(not(isblank($A143)),$A143=$A142,$B143&lt;&gt;$B142)),"ID LISTS UNALIGNED",and($A143&lt;&gt;"",countif('5) Release_Track'!$F:$F,$A143)=0),"NO ISRC MATCH in Release_Track",and($B143&lt;&gt;"",countif('5) Release_Track'!$G:$G,$B143)=0),"NO CATALOG ID MATCH in Release_Track",iserror(vlookup($A143&amp;$B143,'5) Release_Track'!$F:$F&amp;'5) Release_Track'!$G:$G,1,0)),"NO ISRC-CATALOG ID pair MATCH in Release_Track" )</f>
        <v>Aah Ki Hoya (From "Laiye Je Yaarian" Soundtrack)</v>
      </c>
      <c r="D143" s="121" t="str">
        <f t="array" ref="D143">ifs(and(isblank($A143),isblank($B143)),"", not(iserror(vlookup($A143&amp;$B143,'5) Release_Track'!$F:$F&amp;'5) Release_Track'!$G:$G,1,0))),vlookup($A143&amp;$B143,{'5) Release_Track'!$F:$F&amp;'5) Release_Track'!$G:$G,'5) Release_Track'!$I:$I},2,0), or(and(not(isblank($B143)),$B143=$B142,$A143&lt;&gt;$A142),and(not(isblank($A143)),$A143=$A142,$B143&lt;&gt;$B142)),"ID LISTS UNALIGNED",and($A143&lt;&gt;"",countif('5) Release_Track'!$F:$F,$A143)=0),"NO ISRC MATCH in Release_Track",and($B143&lt;&gt;"",countif('5) Release_Track'!$G:$G,$B143)=0),"NO CATALOG ID MATCH in Release_Track",iserror(vlookup($A143&amp;$B143,'5) Release_Track'!$F:$F&amp;'5) Release_Track'!$G:$G,1,0)),"NO ISRC-CATALOG ID pair MATCH in Release_Track" )</f>
        <v/>
      </c>
      <c r="E143" s="44" t="s">
        <v>113</v>
      </c>
      <c r="F143" s="8" t="s">
        <v>331</v>
      </c>
      <c r="G143" s="123" t="str">
        <f t="array" ref="G143">ifs(or($F143="",$F143="Main Primary Artist"),$F143,not(iserror(vlookup($F143,'Reference info'!$J$5:$J$8,1,0))),"Key Artist",not(iserror(vlookup($F143,'Reference info'!$J$38:$J$405,1,0))),"Performer",not(iserror(vlookup($F143,'Reference info'!$J$10:$J$36,1,0))),"Producer &amp; Engineer")</f>
        <v>Key Artist</v>
      </c>
    </row>
    <row r="144">
      <c r="A144" s="44" t="s">
        <v>506</v>
      </c>
      <c r="B144" s="103"/>
      <c r="C144" s="121" t="str">
        <f t="array" ref="C144">ifs(and(isblank($A144),isblank($B144)),"", not(iserror(vlookup($A144&amp;$B144,'5) Release_Track'!$F:$F&amp;'5) Release_Track'!$G:$G,1,0))),vlookup($A144&amp;$B144,{'5) Release_Track'!$F:$F&amp;'5) Release_Track'!$G:$G,'5) Release_Track'!$H:$H},2,0), or(and(not(isblank($B144)),$B144=$B143,$A144&lt;&gt;$A143),and(not(isblank($A144)),$A144=$A143,$B144&lt;&gt;$B143)),"ID LISTS UNALIGNED",and($A144&lt;&gt;"",countif('5) Release_Track'!$F:$F,$A144)=0),"NO ISRC MATCH in Release_Track",and($B144&lt;&gt;"",countif('5) Release_Track'!$G:$G,$B144)=0),"NO CATALOG ID MATCH in Release_Track",iserror(vlookup($A144&amp;$B144,'5) Release_Track'!$F:$F&amp;'5) Release_Track'!$G:$G,1,0)),"NO ISRC-CATALOG ID pair MATCH in Release_Track" )</f>
        <v>Mathi Mathi (From "Laiye Je Yaarian" Soundtrack)</v>
      </c>
      <c r="D144" s="121" t="str">
        <f t="array" ref="D144">ifs(and(isblank($A144),isblank($B144)),"", not(iserror(vlookup($A144&amp;$B144,'5) Release_Track'!$F:$F&amp;'5) Release_Track'!$G:$G,1,0))),vlookup($A144&amp;$B144,{'5) Release_Track'!$F:$F&amp;'5) Release_Track'!$G:$G,'5) Release_Track'!$I:$I},2,0), or(and(not(isblank($B144)),$B144=$B143,$A144&lt;&gt;$A143),and(not(isblank($A144)),$A144=$A143,$B144&lt;&gt;$B143)),"ID LISTS UNALIGNED",and($A144&lt;&gt;"",countif('5) Release_Track'!$F:$F,$A144)=0),"NO ISRC MATCH in Release_Track",and($B144&lt;&gt;"",countif('5) Release_Track'!$G:$G,$B144)=0),"NO CATALOG ID MATCH in Release_Track",iserror(vlookup($A144&amp;$B144,'5) Release_Track'!$F:$F&amp;'5) Release_Track'!$G:$G,1,0)),"NO ISRC-CATALOG ID pair MATCH in Release_Track" )</f>
        <v/>
      </c>
      <c r="E144" s="44" t="s">
        <v>49</v>
      </c>
      <c r="F144" s="8" t="s">
        <v>323</v>
      </c>
      <c r="G144" s="123" t="str">
        <f t="array" ref="G144">ifs(or($F144="",$F144="Main Primary Artist"),$F144,not(iserror(vlookup($F144,'Reference info'!$J$5:$J$8,1,0))),"Key Artist",not(iserror(vlookup($F144,'Reference info'!$J$38:$J$405,1,0))),"Performer",not(iserror(vlookup($F144,'Reference info'!$J$10:$J$36,1,0))),"Producer &amp; Engineer")</f>
        <v>Main Primary Artist</v>
      </c>
    </row>
    <row r="145">
      <c r="A145" s="44" t="s">
        <v>506</v>
      </c>
      <c r="B145" s="103"/>
      <c r="C145" s="121" t="str">
        <f t="array" ref="C145">ifs(and(isblank($A145),isblank($B145)),"", not(iserror(vlookup($A145&amp;$B145,'5) Release_Track'!$F:$F&amp;'5) Release_Track'!$G:$G,1,0))),vlookup($A145&amp;$B145,{'5) Release_Track'!$F:$F&amp;'5) Release_Track'!$G:$G,'5) Release_Track'!$H:$H},2,0), or(and(not(isblank($B145)),$B145=$B144,$A145&lt;&gt;$A144),and(not(isblank($A145)),$A145=$A144,$B145&lt;&gt;$B144)),"ID LISTS UNALIGNED",and($A145&lt;&gt;"",countif('5) Release_Track'!$F:$F,$A145)=0),"NO ISRC MATCH in Release_Track",and($B145&lt;&gt;"",countif('5) Release_Track'!$G:$G,$B145)=0),"NO CATALOG ID MATCH in Release_Track",iserror(vlookup($A145&amp;$B145,'5) Release_Track'!$F:$F&amp;'5) Release_Track'!$G:$G,1,0)),"NO ISRC-CATALOG ID pair MATCH in Release_Track" )</f>
        <v>Mathi Mathi (From "Laiye Je Yaarian" Soundtrack)</v>
      </c>
      <c r="D145" s="121" t="str">
        <f t="array" ref="D145">ifs(and(isblank($A145),isblank($B145)),"", not(iserror(vlookup($A145&amp;$B145,'5) Release_Track'!$F:$F&amp;'5) Release_Track'!$G:$G,1,0))),vlookup($A145&amp;$B145,{'5) Release_Track'!$F:$F&amp;'5) Release_Track'!$G:$G,'5) Release_Track'!$I:$I},2,0), or(and(not(isblank($B145)),$B145=$B144,$A145&lt;&gt;$A144),and(not(isblank($A145)),$A145=$A144,$B145&lt;&gt;$B144)),"ID LISTS UNALIGNED",and($A145&lt;&gt;"",countif('5) Release_Track'!$F:$F,$A145)=0),"NO ISRC MATCH in Release_Track",and($B145&lt;&gt;"",countif('5) Release_Track'!$G:$G,$B145)=0),"NO CATALOG ID MATCH in Release_Track",iserror(vlookup($A145&amp;$B145,'5) Release_Track'!$F:$F&amp;'5) Release_Track'!$G:$G,1,0)),"NO ISRC-CATALOG ID pair MATCH in Release_Track" )</f>
        <v/>
      </c>
      <c r="E145" s="44" t="s">
        <v>115</v>
      </c>
      <c r="F145" s="8" t="s">
        <v>331</v>
      </c>
      <c r="G145" s="123" t="str">
        <f t="array" ref="G145">ifs(or($F145="",$F145="Main Primary Artist"),$F145,not(iserror(vlookup($F145,'Reference info'!$J$5:$J$8,1,0))),"Key Artist",not(iserror(vlookup($F145,'Reference info'!$J$38:$J$405,1,0))),"Performer",not(iserror(vlookup($F145,'Reference info'!$J$10:$J$36,1,0))),"Producer &amp; Engineer")</f>
        <v>Key Artist</v>
      </c>
    </row>
    <row r="146">
      <c r="A146" s="44" t="s">
        <v>508</v>
      </c>
      <c r="B146" s="103"/>
      <c r="C146" s="121" t="str">
        <f t="array" ref="C146">ifs(and(isblank($A146),isblank($B146)),"", not(iserror(vlookup($A146&amp;$B146,'5) Release_Track'!$F:$F&amp;'5) Release_Track'!$G:$G,1,0))),vlookup($A146&amp;$B146,{'5) Release_Track'!$F:$F&amp;'5) Release_Track'!$G:$G,'5) Release_Track'!$H:$H},2,0), or(and(not(isblank($B146)),$B146=$B145,$A146&lt;&gt;$A145),and(not(isblank($A146)),$A146=$A145,$B146&lt;&gt;$B145)),"ID LISTS UNALIGNED",and($A146&lt;&gt;"",countif('5) Release_Track'!$F:$F,$A146)=0),"NO ISRC MATCH in Release_Track",and($B146&lt;&gt;"",countif('5) Release_Track'!$G:$G,$B146)=0),"NO CATALOG ID MATCH in Release_Track",iserror(vlookup($A146&amp;$B146,'5) Release_Track'!$F:$F&amp;'5) Release_Track'!$G:$G,1,0)),"NO ISRC-CATALOG ID pair MATCH in Release_Track" )</f>
        <v>Meri Aakad (From "Laiye Je Yaarian" Soundtrack)</v>
      </c>
      <c r="D146" s="121" t="str">
        <f t="array" ref="D146">ifs(and(isblank($A146),isblank($B146)),"", not(iserror(vlookup($A146&amp;$B146,'5) Release_Track'!$F:$F&amp;'5) Release_Track'!$G:$G,1,0))),vlookup($A146&amp;$B146,{'5) Release_Track'!$F:$F&amp;'5) Release_Track'!$G:$G,'5) Release_Track'!$I:$I},2,0), or(and(not(isblank($B146)),$B146=$B145,$A146&lt;&gt;$A145),and(not(isblank($A146)),$A146=$A145,$B146&lt;&gt;$B145)),"ID LISTS UNALIGNED",and($A146&lt;&gt;"",countif('5) Release_Track'!$F:$F,$A146)=0),"NO ISRC MATCH in Release_Track",and($B146&lt;&gt;"",countif('5) Release_Track'!$G:$G,$B146)=0),"NO CATALOG ID MATCH in Release_Track",iserror(vlookup($A146&amp;$B146,'5) Release_Track'!$F:$F&amp;'5) Release_Track'!$G:$G,1,0)),"NO ISRC-CATALOG ID pair MATCH in Release_Track" )</f>
        <v/>
      </c>
      <c r="E146" s="44" t="s">
        <v>121</v>
      </c>
      <c r="F146" s="8" t="s">
        <v>323</v>
      </c>
      <c r="G146" s="123" t="str">
        <f t="array" ref="G146">ifs(or($F146="",$F146="Main Primary Artist"),$F146,not(iserror(vlookup($F146,'Reference info'!$J$5:$J$8,1,0))),"Key Artist",not(iserror(vlookup($F146,'Reference info'!$J$38:$J$405,1,0))),"Performer",not(iserror(vlookup($F146,'Reference info'!$J$10:$J$36,1,0))),"Producer &amp; Engineer")</f>
        <v>Main Primary Artist</v>
      </c>
    </row>
    <row r="147">
      <c r="A147" s="44" t="s">
        <v>508</v>
      </c>
      <c r="B147" s="103"/>
      <c r="C147" s="121" t="str">
        <f t="array" ref="C147">ifs(and(isblank($A147),isblank($B147)),"", not(iserror(vlookup($A147&amp;$B147,'5) Release_Track'!$F:$F&amp;'5) Release_Track'!$G:$G,1,0))),vlookup($A147&amp;$B147,{'5) Release_Track'!$F:$F&amp;'5) Release_Track'!$G:$G,'5) Release_Track'!$H:$H},2,0), or(and(not(isblank($B147)),$B147=$B146,$A147&lt;&gt;$A146),and(not(isblank($A147)),$A147=$A146,$B147&lt;&gt;$B146)),"ID LISTS UNALIGNED",and($A147&lt;&gt;"",countif('5) Release_Track'!$F:$F,$A147)=0),"NO ISRC MATCH in Release_Track",and($B147&lt;&gt;"",countif('5) Release_Track'!$G:$G,$B147)=0),"NO CATALOG ID MATCH in Release_Track",iserror(vlookup($A147&amp;$B147,'5) Release_Track'!$F:$F&amp;'5) Release_Track'!$G:$G,1,0)),"NO ISRC-CATALOG ID pair MATCH in Release_Track" )</f>
        <v>Meri Aakad (From "Laiye Je Yaarian" Soundtrack)</v>
      </c>
      <c r="D147" s="121" t="str">
        <f t="array" ref="D147">ifs(and(isblank($A147),isblank($B147)),"", not(iserror(vlookup($A147&amp;$B147,'5) Release_Track'!$F:$F&amp;'5) Release_Track'!$G:$G,1,0))),vlookup($A147&amp;$B147,{'5) Release_Track'!$F:$F&amp;'5) Release_Track'!$G:$G,'5) Release_Track'!$I:$I},2,0), or(and(not(isblank($B147)),$B147=$B146,$A147&lt;&gt;$A146),and(not(isblank($A147)),$A147=$A146,$B147&lt;&gt;$B146)),"ID LISTS UNALIGNED",and($A147&lt;&gt;"",countif('5) Release_Track'!$F:$F,$A147)=0),"NO ISRC MATCH in Release_Track",and($B147&lt;&gt;"",countif('5) Release_Track'!$G:$G,$B147)=0),"NO CATALOG ID MATCH in Release_Track",iserror(vlookup($A147&amp;$B147,'5) Release_Track'!$F:$F&amp;'5) Release_Track'!$G:$G,1,0)),"NO ISRC-CATALOG ID pair MATCH in Release_Track" )</f>
        <v/>
      </c>
      <c r="E147" s="44" t="s">
        <v>113</v>
      </c>
      <c r="F147" s="8" t="s">
        <v>331</v>
      </c>
      <c r="G147" s="123" t="str">
        <f t="array" ref="G147">ifs(or($F147="",$F147="Main Primary Artist"),$F147,not(iserror(vlookup($F147,'Reference info'!$J$5:$J$8,1,0))),"Key Artist",not(iserror(vlookup($F147,'Reference info'!$J$38:$J$405,1,0))),"Performer",not(iserror(vlookup($F147,'Reference info'!$J$10:$J$36,1,0))),"Producer &amp; Engineer")</f>
        <v>Key Artist</v>
      </c>
    </row>
    <row r="148">
      <c r="A148" s="44" t="s">
        <v>510</v>
      </c>
      <c r="B148" s="103"/>
      <c r="C148" s="121" t="str">
        <f t="array" ref="C148">ifs(and(isblank($A148),isblank($B148)),"", not(iserror(vlookup($A148&amp;$B148,'5) Release_Track'!$F:$F&amp;'5) Release_Track'!$G:$G,1,0))),vlookup($A148&amp;$B148,{'5) Release_Track'!$F:$F&amp;'5) Release_Track'!$G:$G,'5) Release_Track'!$H:$H},2,0), or(and(not(isblank($B148)),$B148=$B147,$A148&lt;&gt;$A147),and(not(isblank($A148)),$A148=$A147,$B148&lt;&gt;$B147)),"ID LISTS UNALIGNED",and($A148&lt;&gt;"",countif('5) Release_Track'!$F:$F,$A148)=0),"NO ISRC MATCH in Release_Track",and($B148&lt;&gt;"",countif('5) Release_Track'!$G:$G,$B148)=0),"NO CATALOG ID MATCH in Release_Track",iserror(vlookup($A148&amp;$B148,'5) Release_Track'!$F:$F&amp;'5) Release_Track'!$G:$G,1,0)),"NO ISRC-CATALOG ID pair MATCH in Release_Track" )</f>
        <v>Dil Main Nahi Laona (From "Laiye Je Yaarian" Soundtrack)</v>
      </c>
      <c r="D148" s="121" t="str">
        <f t="array" ref="D148">ifs(and(isblank($A148),isblank($B148)),"", not(iserror(vlookup($A148&amp;$B148,'5) Release_Track'!$F:$F&amp;'5) Release_Track'!$G:$G,1,0))),vlookup($A148&amp;$B148,{'5) Release_Track'!$F:$F&amp;'5) Release_Track'!$G:$G,'5) Release_Track'!$I:$I},2,0), or(and(not(isblank($B148)),$B148=$B147,$A148&lt;&gt;$A147),and(not(isblank($A148)),$A148=$A147,$B148&lt;&gt;$B147)),"ID LISTS UNALIGNED",and($A148&lt;&gt;"",countif('5) Release_Track'!$F:$F,$A148)=0),"NO ISRC MATCH in Release_Track",and($B148&lt;&gt;"",countif('5) Release_Track'!$G:$G,$B148)=0),"NO CATALOG ID MATCH in Release_Track",iserror(vlookup($A148&amp;$B148,'5) Release_Track'!$F:$F&amp;'5) Release_Track'!$G:$G,1,0)),"NO ISRC-CATALOG ID pair MATCH in Release_Track" )</f>
        <v/>
      </c>
      <c r="E148" s="44" t="s">
        <v>117</v>
      </c>
      <c r="F148" s="8" t="s">
        <v>323</v>
      </c>
      <c r="G148" s="123" t="str">
        <f t="array" ref="G148">ifs(or($F148="",$F148="Main Primary Artist"),$F148,not(iserror(vlookup($F148,'Reference info'!$J$5:$J$8,1,0))),"Key Artist",not(iserror(vlookup($F148,'Reference info'!$J$38:$J$405,1,0))),"Performer",not(iserror(vlookup($F148,'Reference info'!$J$10:$J$36,1,0))),"Producer &amp; Engineer")</f>
        <v>Main Primary Artist</v>
      </c>
    </row>
    <row r="149">
      <c r="A149" s="44" t="s">
        <v>510</v>
      </c>
      <c r="B149" s="103"/>
      <c r="C149" s="121" t="str">
        <f t="array" ref="C149">ifs(and(isblank($A149),isblank($B149)),"", not(iserror(vlookup($A149&amp;$B149,'5) Release_Track'!$F:$F&amp;'5) Release_Track'!$G:$G,1,0))),vlookup($A149&amp;$B149,{'5) Release_Track'!$F:$F&amp;'5) Release_Track'!$G:$G,'5) Release_Track'!$H:$H},2,0), or(and(not(isblank($B149)),$B149=$B148,$A149&lt;&gt;$A148),and(not(isblank($A149)),$A149=$A148,$B149&lt;&gt;$B148)),"ID LISTS UNALIGNED",and($A149&lt;&gt;"",countif('5) Release_Track'!$F:$F,$A149)=0),"NO ISRC MATCH in Release_Track",and($B149&lt;&gt;"",countif('5) Release_Track'!$G:$G,$B149)=0),"NO CATALOG ID MATCH in Release_Track",iserror(vlookup($A149&amp;$B149,'5) Release_Track'!$F:$F&amp;'5) Release_Track'!$G:$G,1,0)),"NO ISRC-CATALOG ID pair MATCH in Release_Track" )</f>
        <v>Dil Main Nahi Laona (From "Laiye Je Yaarian" Soundtrack)</v>
      </c>
      <c r="D149" s="121" t="str">
        <f t="array" ref="D149">ifs(and(isblank($A149),isblank($B149)),"", not(iserror(vlookup($A149&amp;$B149,'5) Release_Track'!$F:$F&amp;'5) Release_Track'!$G:$G,1,0))),vlookup($A149&amp;$B149,{'5) Release_Track'!$F:$F&amp;'5) Release_Track'!$G:$G,'5) Release_Track'!$I:$I},2,0), or(and(not(isblank($B149)),$B149=$B148,$A149&lt;&gt;$A148),and(not(isblank($A149)),$A149=$A148,$B149&lt;&gt;$B148)),"ID LISTS UNALIGNED",and($A149&lt;&gt;"",countif('5) Release_Track'!$F:$F,$A149)=0),"NO ISRC MATCH in Release_Track",and($B149&lt;&gt;"",countif('5) Release_Track'!$G:$G,$B149)=0),"NO CATALOG ID MATCH in Release_Track",iserror(vlookup($A149&amp;$B149,'5) Release_Track'!$F:$F&amp;'5) Release_Track'!$G:$G,1,0)),"NO ISRC-CATALOG ID pair MATCH in Release_Track" )</f>
        <v/>
      </c>
      <c r="E149" s="44" t="s">
        <v>119</v>
      </c>
      <c r="F149" s="8" t="s">
        <v>331</v>
      </c>
      <c r="G149" s="123" t="str">
        <f t="array" ref="G149">ifs(or($F149="",$F149="Main Primary Artist"),$F149,not(iserror(vlookup($F149,'Reference info'!$J$5:$J$8,1,0))),"Key Artist",not(iserror(vlookup($F149,'Reference info'!$J$38:$J$405,1,0))),"Performer",not(iserror(vlookup($F149,'Reference info'!$J$10:$J$36,1,0))),"Producer &amp; Engineer")</f>
        <v>Key Artist</v>
      </c>
    </row>
    <row r="150">
      <c r="A150" s="44" t="s">
        <v>512</v>
      </c>
      <c r="B150" s="103"/>
      <c r="C150" s="121" t="str">
        <f t="array" ref="C150">ifs(and(isblank($A150),isblank($B150)),"", not(iserror(vlookup($A150&amp;$B150,'5) Release_Track'!$F:$F&amp;'5) Release_Track'!$G:$G,1,0))),vlookup($A150&amp;$B150,{'5) Release_Track'!$F:$F&amp;'5) Release_Track'!$G:$G,'5) Release_Track'!$H:$H},2,0), or(and(not(isblank($B150)),$B150=$B149,$A150&lt;&gt;$A149),and(not(isblank($A150)),$A150=$A149,$B150&lt;&gt;$B149)),"ID LISTS UNALIGNED",and($A150&lt;&gt;"",countif('5) Release_Track'!$F:$F,$A150)=0),"NO ISRC MATCH in Release_Track",and($B150&lt;&gt;"",countif('5) Release_Track'!$G:$G,$B150)=0),"NO CATALOG ID MATCH in Release_Track",iserror(vlookup($A150&amp;$B150,'5) Release_Track'!$F:$F&amp;'5) Release_Track'!$G:$G,1,0)),"NO ISRC-CATALOG ID pair MATCH in Release_Track" )</f>
        <v>Dil Main Nahi Laona (From "Laiye Je Yaarian" Soundtrack)</v>
      </c>
      <c r="D150" s="121" t="str">
        <f t="array" ref="D150">ifs(and(isblank($A150),isblank($B150)),"", not(iserror(vlookup($A150&amp;$B150,'5) Release_Track'!$F:$F&amp;'5) Release_Track'!$G:$G,1,0))),vlookup($A150&amp;$B150,{'5) Release_Track'!$F:$F&amp;'5) Release_Track'!$G:$G,'5) Release_Track'!$I:$I},2,0), or(and(not(isblank($B150)),$B150=$B149,$A150&lt;&gt;$A149),and(not(isblank($A150)),$A150=$A149,$B150&lt;&gt;$B149)),"ID LISTS UNALIGNED",and($A150&lt;&gt;"",countif('5) Release_Track'!$F:$F,$A150)=0),"NO ISRC MATCH in Release_Track",and($B150&lt;&gt;"",countif('5) Release_Track'!$G:$G,$B150)=0),"NO CATALOG ID MATCH in Release_Track",iserror(vlookup($A150&amp;$B150,'5) Release_Track'!$F:$F&amp;'5) Release_Track'!$G:$G,1,0)),"NO ISRC-CATALOG ID pair MATCH in Release_Track" )</f>
        <v>Acoustic</v>
      </c>
      <c r="E150" s="44" t="s">
        <v>117</v>
      </c>
      <c r="F150" s="8" t="s">
        <v>323</v>
      </c>
      <c r="G150" s="123" t="str">
        <f t="array" ref="G150">ifs(or($F150="",$F150="Main Primary Artist"),$F150,not(iserror(vlookup($F150,'Reference info'!$J$5:$J$8,1,0))),"Key Artist",not(iserror(vlookup($F150,'Reference info'!$J$38:$J$405,1,0))),"Performer",not(iserror(vlookup($F150,'Reference info'!$J$10:$J$36,1,0))),"Producer &amp; Engineer")</f>
        <v>Main Primary Artist</v>
      </c>
    </row>
    <row r="151">
      <c r="A151" s="44" t="s">
        <v>512</v>
      </c>
      <c r="B151" s="103"/>
      <c r="C151" s="121" t="str">
        <f t="array" ref="C151">ifs(and(isblank($A151),isblank($B151)),"", not(iserror(vlookup($A151&amp;$B151,'5) Release_Track'!$F:$F&amp;'5) Release_Track'!$G:$G,1,0))),vlookup($A151&amp;$B151,{'5) Release_Track'!$F:$F&amp;'5) Release_Track'!$G:$G,'5) Release_Track'!$H:$H},2,0), or(and(not(isblank($B151)),$B151=$B150,$A151&lt;&gt;$A150),and(not(isblank($A151)),$A151=$A150,$B151&lt;&gt;$B150)),"ID LISTS UNALIGNED",and($A151&lt;&gt;"",countif('5) Release_Track'!$F:$F,$A151)=0),"NO ISRC MATCH in Release_Track",and($B151&lt;&gt;"",countif('5) Release_Track'!$G:$G,$B151)=0),"NO CATALOG ID MATCH in Release_Track",iserror(vlookup($A151&amp;$B151,'5) Release_Track'!$F:$F&amp;'5) Release_Track'!$G:$G,1,0)),"NO ISRC-CATALOG ID pair MATCH in Release_Track" )</f>
        <v>Dil Main Nahi Laona (From "Laiye Je Yaarian" Soundtrack)</v>
      </c>
      <c r="D151" s="121" t="str">
        <f t="array" ref="D151">ifs(and(isblank($A151),isblank($B151)),"", not(iserror(vlookup($A151&amp;$B151,'5) Release_Track'!$F:$F&amp;'5) Release_Track'!$G:$G,1,0))),vlookup($A151&amp;$B151,{'5) Release_Track'!$F:$F&amp;'5) Release_Track'!$G:$G,'5) Release_Track'!$I:$I},2,0), or(and(not(isblank($B151)),$B151=$B150,$A151&lt;&gt;$A150),and(not(isblank($A151)),$A151=$A150,$B151&lt;&gt;$B150)),"ID LISTS UNALIGNED",and($A151&lt;&gt;"",countif('5) Release_Track'!$F:$F,$A151)=0),"NO ISRC MATCH in Release_Track",and($B151&lt;&gt;"",countif('5) Release_Track'!$G:$G,$B151)=0),"NO CATALOG ID MATCH in Release_Track",iserror(vlookup($A151&amp;$B151,'5) Release_Track'!$F:$F&amp;'5) Release_Track'!$G:$G,1,0)),"NO ISRC-CATALOG ID pair MATCH in Release_Track" )</f>
        <v>Acoustic</v>
      </c>
      <c r="E151" s="44" t="s">
        <v>119</v>
      </c>
      <c r="F151" s="8" t="s">
        <v>331</v>
      </c>
      <c r="G151" s="123" t="str">
        <f t="array" ref="G151">ifs(or($F151="",$F151="Main Primary Artist"),$F151,not(iserror(vlookup($F151,'Reference info'!$J$5:$J$8,1,0))),"Key Artist",not(iserror(vlookup($F151,'Reference info'!$J$38:$J$405,1,0))),"Performer",not(iserror(vlookup($F151,'Reference info'!$J$10:$J$36,1,0))),"Producer &amp; Engineer")</f>
        <v>Key Artist</v>
      </c>
    </row>
    <row r="152">
      <c r="A152" s="44" t="s">
        <v>515</v>
      </c>
      <c r="B152" s="103"/>
      <c r="C152" s="121" t="str">
        <f t="array" ref="C152">ifs(and(isblank($A152),isblank($B152)),"", not(iserror(vlookup($A152&amp;$B152,'5) Release_Track'!$F:$F&amp;'5) Release_Track'!$G:$G,1,0))),vlookup($A152&amp;$B152,{'5) Release_Track'!$F:$F&amp;'5) Release_Track'!$G:$G,'5) Release_Track'!$H:$H},2,0), or(and(not(isblank($B152)),$B152=$B151,$A152&lt;&gt;$A151),and(not(isblank($A152)),$A152=$A151,$B152&lt;&gt;$B151)),"ID LISTS UNALIGNED",and($A152&lt;&gt;"",countif('5) Release_Track'!$F:$F,$A152)=0),"NO ISRC MATCH in Release_Track",and($B152&lt;&gt;"",countif('5) Release_Track'!$G:$G,$B152)=0),"NO CATALOG ID MATCH in Release_Track",iserror(vlookup($A152&amp;$B152,'5) Release_Track'!$F:$F&amp;'5) Release_Track'!$G:$G,1,0)),"NO ISRC-CATALOG ID pair MATCH in Release_Track" )</f>
        <v>U &amp; I (From "Laiye Je Yaarian" Soundtrack)</v>
      </c>
      <c r="D152" s="121" t="str">
        <f t="array" ref="D152">ifs(and(isblank($A152),isblank($B152)),"", not(iserror(vlookup($A152&amp;$B152,'5) Release_Track'!$F:$F&amp;'5) Release_Track'!$G:$G,1,0))),vlookup($A152&amp;$B152,{'5) Release_Track'!$F:$F&amp;'5) Release_Track'!$G:$G,'5) Release_Track'!$I:$I},2,0), or(and(not(isblank($B152)),$B152=$B151,$A152&lt;&gt;$A151),and(not(isblank($A152)),$A152=$A151,$B152&lt;&gt;$B151)),"ID LISTS UNALIGNED",and($A152&lt;&gt;"",countif('5) Release_Track'!$F:$F,$A152)=0),"NO ISRC MATCH in Release_Track",and($B152&lt;&gt;"",countif('5) Release_Track'!$G:$G,$B152)=0),"NO CATALOG ID MATCH in Release_Track",iserror(vlookup($A152&amp;$B152,'5) Release_Track'!$F:$F&amp;'5) Release_Track'!$G:$G,1,0)),"NO ISRC-CATALOG ID pair MATCH in Release_Track" )</f>
        <v/>
      </c>
      <c r="E152" s="44" t="s">
        <v>121</v>
      </c>
      <c r="F152" s="8" t="s">
        <v>323</v>
      </c>
      <c r="G152" s="123" t="str">
        <f t="array" ref="G152">ifs(or($F152="",$F152="Main Primary Artist"),$F152,not(iserror(vlookup($F152,'Reference info'!$J$5:$J$8,1,0))),"Key Artist",not(iserror(vlookup($F152,'Reference info'!$J$38:$J$405,1,0))),"Performer",not(iserror(vlookup($F152,'Reference info'!$J$10:$J$36,1,0))),"Producer &amp; Engineer")</f>
        <v>Main Primary Artist</v>
      </c>
    </row>
    <row r="153">
      <c r="A153" s="44" t="s">
        <v>515</v>
      </c>
      <c r="B153" s="103"/>
      <c r="C153" s="121" t="str">
        <f t="array" ref="C153">ifs(and(isblank($A153),isblank($B153)),"", not(iserror(vlookup($A153&amp;$B153,'5) Release_Track'!$F:$F&amp;'5) Release_Track'!$G:$G,1,0))),vlookup($A153&amp;$B153,{'5) Release_Track'!$F:$F&amp;'5) Release_Track'!$G:$G,'5) Release_Track'!$H:$H},2,0), or(and(not(isblank($B153)),$B153=$B152,$A153&lt;&gt;$A152),and(not(isblank($A153)),$A153=$A152,$B153&lt;&gt;$B152)),"ID LISTS UNALIGNED",and($A153&lt;&gt;"",countif('5) Release_Track'!$F:$F,$A153)=0),"NO ISRC MATCH in Release_Track",and($B153&lt;&gt;"",countif('5) Release_Track'!$G:$G,$B153)=0),"NO CATALOG ID MATCH in Release_Track",iserror(vlookup($A153&amp;$B153,'5) Release_Track'!$F:$F&amp;'5) Release_Track'!$G:$G,1,0)),"NO ISRC-CATALOG ID pair MATCH in Release_Track" )</f>
        <v>U &amp; I (From "Laiye Je Yaarian" Soundtrack)</v>
      </c>
      <c r="D153" s="121" t="str">
        <f t="array" ref="D153">ifs(and(isblank($A153),isblank($B153)),"", not(iserror(vlookup($A153&amp;$B153,'5) Release_Track'!$F:$F&amp;'5) Release_Track'!$G:$G,1,0))),vlookup($A153&amp;$B153,{'5) Release_Track'!$F:$F&amp;'5) Release_Track'!$G:$G,'5) Release_Track'!$I:$I},2,0), or(and(not(isblank($B153)),$B153=$B152,$A153&lt;&gt;$A152),and(not(isblank($A153)),$A153=$A152,$B153&lt;&gt;$B152)),"ID LISTS UNALIGNED",and($A153&lt;&gt;"",countif('5) Release_Track'!$F:$F,$A153)=0),"NO ISRC MATCH in Release_Track",and($B153&lt;&gt;"",countif('5) Release_Track'!$G:$G,$B153)=0),"NO CATALOG ID MATCH in Release_Track",iserror(vlookup($A153&amp;$B153,'5) Release_Track'!$F:$F&amp;'5) Release_Track'!$G:$G,1,0)),"NO ISRC-CATALOG ID pair MATCH in Release_Track" )</f>
        <v/>
      </c>
      <c r="E153" s="44" t="s">
        <v>123</v>
      </c>
      <c r="F153" s="8" t="s">
        <v>331</v>
      </c>
      <c r="G153" s="123" t="str">
        <f t="array" ref="G153">ifs(or($F153="",$F153="Main Primary Artist"),$F153,not(iserror(vlookup($F153,'Reference info'!$J$5:$J$8,1,0))),"Key Artist",not(iserror(vlookup($F153,'Reference info'!$J$38:$J$405,1,0))),"Performer",not(iserror(vlookup($F153,'Reference info'!$J$10:$J$36,1,0))),"Producer &amp; Engineer")</f>
        <v>Key Artist</v>
      </c>
    </row>
    <row r="154">
      <c r="A154" s="44" t="s">
        <v>517</v>
      </c>
      <c r="B154" s="103"/>
      <c r="C154" s="121" t="str">
        <f t="array" ref="C154">ifs(and(isblank($A154),isblank($B154)),"", not(iserror(vlookup($A154&amp;$B154,'5) Release_Track'!$F:$F&amp;'5) Release_Track'!$G:$G,1,0))),vlookup($A154&amp;$B154,{'5) Release_Track'!$F:$F&amp;'5) Release_Track'!$G:$G,'5) Release_Track'!$H:$H},2,0), or(and(not(isblank($B154)),$B154=$B153,$A154&lt;&gt;$A153),and(not(isblank($A154)),$A154=$A153,$B154&lt;&gt;$B153)),"ID LISTS UNALIGNED",and($A154&lt;&gt;"",countif('5) Release_Track'!$F:$F,$A154)=0),"NO ISRC MATCH in Release_Track",and($B154&lt;&gt;"",countif('5) Release_Track'!$G:$G,$B154)=0),"NO CATALOG ID MATCH in Release_Track",iserror(vlookup($A154&amp;$B154,'5) Release_Track'!$F:$F&amp;'5) Release_Track'!$G:$G,1,0)),"NO ISRC-CATALOG ID pair MATCH in Release_Track" )</f>
        <v>Kurti De Mor (From "Laiye Je Yaarian" Soundtrack)</v>
      </c>
      <c r="D154" s="121" t="str">
        <f t="array" ref="D154">ifs(and(isblank($A154),isblank($B154)),"", not(iserror(vlookup($A154&amp;$B154,'5) Release_Track'!$F:$F&amp;'5) Release_Track'!$G:$G,1,0))),vlookup($A154&amp;$B154,{'5) Release_Track'!$F:$F&amp;'5) Release_Track'!$G:$G,'5) Release_Track'!$I:$I},2,0), or(and(not(isblank($B154)),$B154=$B153,$A154&lt;&gt;$A153),and(not(isblank($A154)),$A154=$A153,$B154&lt;&gt;$B153)),"ID LISTS UNALIGNED",and($A154&lt;&gt;"",countif('5) Release_Track'!$F:$F,$A154)=0),"NO ISRC MATCH in Release_Track",and($B154&lt;&gt;"",countif('5) Release_Track'!$G:$G,$B154)=0),"NO CATALOG ID MATCH in Release_Track",iserror(vlookup($A154&amp;$B154,'5) Release_Track'!$F:$F&amp;'5) Release_Track'!$G:$G,1,0)),"NO ISRC-CATALOG ID pair MATCH in Release_Track" )</f>
        <v/>
      </c>
      <c r="E154" s="44" t="s">
        <v>49</v>
      </c>
      <c r="F154" s="8" t="s">
        <v>323</v>
      </c>
      <c r="G154" s="123" t="str">
        <f t="array" ref="G154">ifs(or($F154="",$F154="Main Primary Artist"),$F154,not(iserror(vlookup($F154,'Reference info'!$J$5:$J$8,1,0))),"Key Artist",not(iserror(vlookup($F154,'Reference info'!$J$38:$J$405,1,0))),"Performer",not(iserror(vlookup($F154,'Reference info'!$J$10:$J$36,1,0))),"Producer &amp; Engineer")</f>
        <v>Main Primary Artist</v>
      </c>
    </row>
    <row r="155">
      <c r="A155" s="44" t="s">
        <v>517</v>
      </c>
      <c r="B155" s="103"/>
      <c r="C155" s="121" t="str">
        <f t="array" ref="C155">ifs(and(isblank($A155),isblank($B155)),"", not(iserror(vlookup($A155&amp;$B155,'5) Release_Track'!$F:$F&amp;'5) Release_Track'!$G:$G,1,0))),vlookup($A155&amp;$B155,{'5) Release_Track'!$F:$F&amp;'5) Release_Track'!$G:$G,'5) Release_Track'!$H:$H},2,0), or(and(not(isblank($B155)),$B155=$B154,$A155&lt;&gt;$A154),and(not(isblank($A155)),$A155=$A154,$B155&lt;&gt;$B154)),"ID LISTS UNALIGNED",and($A155&lt;&gt;"",countif('5) Release_Track'!$F:$F,$A155)=0),"NO ISRC MATCH in Release_Track",and($B155&lt;&gt;"",countif('5) Release_Track'!$G:$G,$B155)=0),"NO CATALOG ID MATCH in Release_Track",iserror(vlookup($A155&amp;$B155,'5) Release_Track'!$F:$F&amp;'5) Release_Track'!$G:$G,1,0)),"NO ISRC-CATALOG ID pair MATCH in Release_Track" )</f>
        <v>Kurti De Mor (From "Laiye Je Yaarian" Soundtrack)</v>
      </c>
      <c r="D155" s="121" t="str">
        <f t="array" ref="D155">ifs(and(isblank($A155),isblank($B155)),"", not(iserror(vlookup($A155&amp;$B155,'5) Release_Track'!$F:$F&amp;'5) Release_Track'!$G:$G,1,0))),vlookup($A155&amp;$B155,{'5) Release_Track'!$F:$F&amp;'5) Release_Track'!$G:$G,'5) Release_Track'!$I:$I},2,0), or(and(not(isblank($B155)),$B155=$B154,$A155&lt;&gt;$A154),and(not(isblank($A155)),$A155=$A154,$B155&lt;&gt;$B154)),"ID LISTS UNALIGNED",and($A155&lt;&gt;"",countif('5) Release_Track'!$F:$F,$A155)=0),"NO ISRC MATCH in Release_Track",and($B155&lt;&gt;"",countif('5) Release_Track'!$G:$G,$B155)=0),"NO CATALOG ID MATCH in Release_Track",iserror(vlookup($A155&amp;$B155,'5) Release_Track'!$F:$F&amp;'5) Release_Track'!$G:$G,1,0)),"NO ISRC-CATALOG ID pair MATCH in Release_Track" )</f>
        <v/>
      </c>
      <c r="E155" s="44" t="s">
        <v>51</v>
      </c>
      <c r="F155" s="8" t="s">
        <v>331</v>
      </c>
      <c r="G155" s="123" t="str">
        <f t="array" ref="G155">ifs(or($F155="",$F155="Main Primary Artist"),$F155,not(iserror(vlookup($F155,'Reference info'!$J$5:$J$8,1,0))),"Key Artist",not(iserror(vlookup($F155,'Reference info'!$J$38:$J$405,1,0))),"Performer",not(iserror(vlookup($F155,'Reference info'!$J$10:$J$36,1,0))),"Producer &amp; Engineer")</f>
        <v>Key Artist</v>
      </c>
    </row>
    <row r="156">
      <c r="A156" s="44" t="s">
        <v>519</v>
      </c>
      <c r="B156" s="103"/>
      <c r="C156" s="121" t="str">
        <f t="array" ref="C156">ifs(and(isblank($A156),isblank($B156)),"", not(iserror(vlookup($A156&amp;$B156,'5) Release_Track'!$F:$F&amp;'5) Release_Track'!$G:$G,1,0))),vlookup($A156&amp;$B156,{'5) Release_Track'!$F:$F&amp;'5) Release_Track'!$G:$G,'5) Release_Track'!$H:$H},2,0), or(and(not(isblank($B156)),$B156=$B155,$A156&lt;&gt;$A155),and(not(isblank($A156)),$A156=$A155,$B156&lt;&gt;$B155)),"ID LISTS UNALIGNED",and($A156&lt;&gt;"",countif('5) Release_Track'!$F:$F,$A156)=0),"NO ISRC MATCH in Release_Track",and($B156&lt;&gt;"",countif('5) Release_Track'!$G:$G,$B156)=0),"NO CATALOG ID MATCH in Release_Track",iserror(vlookup($A156&amp;$B156,'5) Release_Track'!$F:$F&amp;'5) Release_Track'!$G:$G,1,0)),"NO ISRC-CATALOG ID pair MATCH in Release_Track" )</f>
        <v>Baddlan De Kaalje (From "Chal Mera Putt" Soundtrack)</v>
      </c>
      <c r="D156" s="121" t="str">
        <f t="array" ref="D156">ifs(and(isblank($A156),isblank($B156)),"", not(iserror(vlookup($A156&amp;$B156,'5) Release_Track'!$F:$F&amp;'5) Release_Track'!$G:$G,1,0))),vlookup($A156&amp;$B156,{'5) Release_Track'!$F:$F&amp;'5) Release_Track'!$G:$G,'5) Release_Track'!$I:$I},2,0), or(and(not(isblank($B156)),$B156=$B155,$A156&lt;&gt;$A155),and(not(isblank($A156)),$A156=$A155,$B156&lt;&gt;$B155)),"ID LISTS UNALIGNED",and($A156&lt;&gt;"",countif('5) Release_Track'!$F:$F,$A156)=0),"NO ISRC MATCH in Release_Track",and($B156&lt;&gt;"",countif('5) Release_Track'!$G:$G,$B156)=0),"NO CATALOG ID MATCH in Release_Track",iserror(vlookup($A156&amp;$B156,'5) Release_Track'!$F:$F&amp;'5) Release_Track'!$G:$G,1,0)),"NO ISRC-CATALOG ID pair MATCH in Release_Track" )</f>
        <v/>
      </c>
      <c r="E156" s="44" t="s">
        <v>49</v>
      </c>
      <c r="F156" s="8" t="s">
        <v>323</v>
      </c>
      <c r="G156" s="123" t="str">
        <f t="array" ref="G156">ifs(or($F156="",$F156="Main Primary Artist"),$F156,not(iserror(vlookup($F156,'Reference info'!$J$5:$J$8,1,0))),"Key Artist",not(iserror(vlookup($F156,'Reference info'!$J$38:$J$405,1,0))),"Performer",not(iserror(vlookup($F156,'Reference info'!$J$10:$J$36,1,0))),"Producer &amp; Engineer")</f>
        <v>Main Primary Artist</v>
      </c>
    </row>
    <row r="157">
      <c r="A157" s="44" t="s">
        <v>519</v>
      </c>
      <c r="B157" s="103"/>
      <c r="C157" s="121" t="str">
        <f t="array" ref="C157">ifs(and(isblank($A157),isblank($B157)),"", not(iserror(vlookup($A157&amp;$B157,'5) Release_Track'!$F:$F&amp;'5) Release_Track'!$G:$G,1,0))),vlookup($A157&amp;$B157,{'5) Release_Track'!$F:$F&amp;'5) Release_Track'!$G:$G,'5) Release_Track'!$H:$H},2,0), or(and(not(isblank($B157)),$B157=$B156,$A157&lt;&gt;$A156),and(not(isblank($A157)),$A157=$A156,$B157&lt;&gt;$B156)),"ID LISTS UNALIGNED",and($A157&lt;&gt;"",countif('5) Release_Track'!$F:$F,$A157)=0),"NO ISRC MATCH in Release_Track",and($B157&lt;&gt;"",countif('5) Release_Track'!$G:$G,$B157)=0),"NO CATALOG ID MATCH in Release_Track",iserror(vlookup($A157&amp;$B157,'5) Release_Track'!$F:$F&amp;'5) Release_Track'!$G:$G,1,0)),"NO ISRC-CATALOG ID pair MATCH in Release_Track" )</f>
        <v>Baddlan De Kaalje (From "Chal Mera Putt" Soundtrack)</v>
      </c>
      <c r="D157" s="121" t="str">
        <f t="array" ref="D157">ifs(and(isblank($A157),isblank($B157)),"", not(iserror(vlookup($A157&amp;$B157,'5) Release_Track'!$F:$F&amp;'5) Release_Track'!$G:$G,1,0))),vlookup($A157&amp;$B157,{'5) Release_Track'!$F:$F&amp;'5) Release_Track'!$G:$G,'5) Release_Track'!$I:$I},2,0), or(and(not(isblank($B157)),$B157=$B156,$A157&lt;&gt;$A156),and(not(isblank($A157)),$A157=$A156,$B157&lt;&gt;$B156)),"ID LISTS UNALIGNED",and($A157&lt;&gt;"",countif('5) Release_Track'!$F:$F,$A157)=0),"NO ISRC MATCH in Release_Track",and($B157&lt;&gt;"",countif('5) Release_Track'!$G:$G,$B157)=0),"NO CATALOG ID MATCH in Release_Track",iserror(vlookup($A157&amp;$B157,'5) Release_Track'!$F:$F&amp;'5) Release_Track'!$G:$G,1,0)),"NO ISRC-CATALOG ID pair MATCH in Release_Track" )</f>
        <v/>
      </c>
      <c r="E157" s="44" t="s">
        <v>53</v>
      </c>
      <c r="F157" s="8" t="s">
        <v>324</v>
      </c>
      <c r="G157" s="123" t="str">
        <f t="array" ref="G157">ifs(or($F157="",$F157="Main Primary Artist"),$F157,not(iserror(vlookup($F157,'Reference info'!$J$5:$J$8,1,0))),"Key Artist",not(iserror(vlookup($F157,'Reference info'!$J$38:$J$405,1,0))),"Performer",not(iserror(vlookup($F157,'Reference info'!$J$10:$J$36,1,0))),"Producer &amp; Engineer")</f>
        <v>Key Artist</v>
      </c>
    </row>
    <row r="158">
      <c r="A158" s="44" t="s">
        <v>519</v>
      </c>
      <c r="B158" s="103"/>
      <c r="C158" s="121" t="str">
        <f t="array" ref="C158">ifs(and(isblank($A158),isblank($B158)),"", not(iserror(vlookup($A158&amp;$B158,'5) Release_Track'!$F:$F&amp;'5) Release_Track'!$G:$G,1,0))),vlookup($A158&amp;$B158,{'5) Release_Track'!$F:$F&amp;'5) Release_Track'!$G:$G,'5) Release_Track'!$H:$H},2,0), or(and(not(isblank($B158)),$B158=$B157,$A158&lt;&gt;$A157),and(not(isblank($A158)),$A158=$A157,$B158&lt;&gt;$B157)),"ID LISTS UNALIGNED",and($A158&lt;&gt;"",countif('5) Release_Track'!$F:$F,$A158)=0),"NO ISRC MATCH in Release_Track",and($B158&lt;&gt;"",countif('5) Release_Track'!$G:$G,$B158)=0),"NO CATALOG ID MATCH in Release_Track",iserror(vlookup($A158&amp;$B158,'5) Release_Track'!$F:$F&amp;'5) Release_Track'!$G:$G,1,0)),"NO ISRC-CATALOG ID pair MATCH in Release_Track" )</f>
        <v>Baddlan De Kaalje (From "Chal Mera Putt" Soundtrack)</v>
      </c>
      <c r="D158" s="121" t="str">
        <f t="array" ref="D158">ifs(and(isblank($A158),isblank($B158)),"", not(iserror(vlookup($A158&amp;$B158,'5) Release_Track'!$F:$F&amp;'5) Release_Track'!$G:$G,1,0))),vlookup($A158&amp;$B158,{'5) Release_Track'!$F:$F&amp;'5) Release_Track'!$G:$G,'5) Release_Track'!$I:$I},2,0), or(and(not(isblank($B158)),$B158=$B157,$A158&lt;&gt;$A157),and(not(isblank($A158)),$A158=$A157,$B158&lt;&gt;$B157)),"ID LISTS UNALIGNED",and($A158&lt;&gt;"",countif('5) Release_Track'!$F:$F,$A158)=0),"NO ISRC MATCH in Release_Track",and($B158&lt;&gt;"",countif('5) Release_Track'!$G:$G,$B158)=0),"NO CATALOG ID MATCH in Release_Track",iserror(vlookup($A158&amp;$B158,'5) Release_Track'!$F:$F&amp;'5) Release_Track'!$G:$G,1,0)),"NO ISRC-CATALOG ID pair MATCH in Release_Track" )</f>
        <v/>
      </c>
      <c r="E158" s="44" t="s">
        <v>115</v>
      </c>
      <c r="F158" s="8" t="s">
        <v>331</v>
      </c>
      <c r="G158" s="123" t="str">
        <f t="array" ref="G158">ifs(or($F158="",$F158="Main Primary Artist"),$F158,not(iserror(vlookup($F158,'Reference info'!$J$5:$J$8,1,0))),"Key Artist",not(iserror(vlookup($F158,'Reference info'!$J$38:$J$405,1,0))),"Performer",not(iserror(vlookup($F158,'Reference info'!$J$10:$J$36,1,0))),"Producer &amp; Engineer")</f>
        <v>Key Artist</v>
      </c>
    </row>
    <row r="159">
      <c r="A159" s="44" t="s">
        <v>521</v>
      </c>
      <c r="B159" s="103"/>
      <c r="C159" s="121" t="str">
        <f t="array" ref="C159">ifs(and(isblank($A159),isblank($B159)),"", not(iserror(vlookup($A159&amp;$B159,'5) Release_Track'!$F:$F&amp;'5) Release_Track'!$G:$G,1,0))),vlookup($A159&amp;$B159,{'5) Release_Track'!$F:$F&amp;'5) Release_Track'!$G:$G,'5) Release_Track'!$H:$H},2,0), or(and(not(isblank($B159)),$B159=$B158,$A159&lt;&gt;$A158),and(not(isblank($A159)),$A159=$A158,$B159&lt;&gt;$B158)),"ID LISTS UNALIGNED",and($A159&lt;&gt;"",countif('5) Release_Track'!$F:$F,$A159)=0),"NO ISRC MATCH in Release_Track",and($B159&lt;&gt;"",countif('5) Release_Track'!$G:$G,$B159)=0),"NO CATALOG ID MATCH in Release_Track",iserror(vlookup($A159&amp;$B159,'5) Release_Track'!$F:$F&amp;'5) Release_Track'!$G:$G,1,0)),"NO ISRC-CATALOG ID pair MATCH in Release_Track" )</f>
        <v>Chal Mera Putt - Title Track (From "Chal Mera Putt" Soundtrack)</v>
      </c>
      <c r="D159" s="121" t="str">
        <f t="array" ref="D159">ifs(and(isblank($A159),isblank($B159)),"", not(iserror(vlookup($A159&amp;$B159,'5) Release_Track'!$F:$F&amp;'5) Release_Track'!$G:$G,1,0))),vlookup($A159&amp;$B159,{'5) Release_Track'!$F:$F&amp;'5) Release_Track'!$G:$G,'5) Release_Track'!$I:$I},2,0), or(and(not(isblank($B159)),$B159=$B158,$A159&lt;&gt;$A158),and(not(isblank($A159)),$A159=$A158,$B159&lt;&gt;$B158)),"ID LISTS UNALIGNED",and($A159&lt;&gt;"",countif('5) Release_Track'!$F:$F,$A159)=0),"NO ISRC MATCH in Release_Track",and($B159&lt;&gt;"",countif('5) Release_Track'!$G:$G,$B159)=0),"NO CATALOG ID MATCH in Release_Track",iserror(vlookup($A159&amp;$B159,'5) Release_Track'!$F:$F&amp;'5) Release_Track'!$G:$G,1,0)),"NO ISRC-CATALOG ID pair MATCH in Release_Track" )</f>
        <v/>
      </c>
      <c r="E159" s="44" t="s">
        <v>49</v>
      </c>
      <c r="F159" s="8" t="s">
        <v>323</v>
      </c>
      <c r="G159" s="123" t="str">
        <f t="array" ref="G159">ifs(or($F159="",$F159="Main Primary Artist"),$F159,not(iserror(vlookup($F159,'Reference info'!$J$5:$J$8,1,0))),"Key Artist",not(iserror(vlookup($F159,'Reference info'!$J$38:$J$405,1,0))),"Performer",not(iserror(vlookup($F159,'Reference info'!$J$10:$J$36,1,0))),"Producer &amp; Engineer")</f>
        <v>Main Primary Artist</v>
      </c>
    </row>
    <row r="160">
      <c r="A160" s="44" t="s">
        <v>521</v>
      </c>
      <c r="B160" s="103"/>
      <c r="C160" s="121" t="str">
        <f t="array" ref="C160">ifs(and(isblank($A160),isblank($B160)),"", not(iserror(vlookup($A160&amp;$B160,'5) Release_Track'!$F:$F&amp;'5) Release_Track'!$G:$G,1,0))),vlookup($A160&amp;$B160,{'5) Release_Track'!$F:$F&amp;'5) Release_Track'!$G:$G,'5) Release_Track'!$H:$H},2,0), or(and(not(isblank($B160)),$B160=$B159,$A160&lt;&gt;$A159),and(not(isblank($A160)),$A160=$A159,$B160&lt;&gt;$B159)),"ID LISTS UNALIGNED",and($A160&lt;&gt;"",countif('5) Release_Track'!$F:$F,$A160)=0),"NO ISRC MATCH in Release_Track",and($B160&lt;&gt;"",countif('5) Release_Track'!$G:$G,$B160)=0),"NO CATALOG ID MATCH in Release_Track",iserror(vlookup($A160&amp;$B160,'5) Release_Track'!$F:$F&amp;'5) Release_Track'!$G:$G,1,0)),"NO ISRC-CATALOG ID pair MATCH in Release_Track" )</f>
        <v>Chal Mera Putt - Title Track (From "Chal Mera Putt" Soundtrack)</v>
      </c>
      <c r="D160" s="121" t="str">
        <f t="array" ref="D160">ifs(and(isblank($A160),isblank($B160)),"", not(iserror(vlookup($A160&amp;$B160,'5) Release_Track'!$F:$F&amp;'5) Release_Track'!$G:$G,1,0))),vlookup($A160&amp;$B160,{'5) Release_Track'!$F:$F&amp;'5) Release_Track'!$G:$G,'5) Release_Track'!$I:$I},2,0), or(and(not(isblank($B160)),$B160=$B159,$A160&lt;&gt;$A159),and(not(isblank($A160)),$A160=$A159,$B160&lt;&gt;$B159)),"ID LISTS UNALIGNED",and($A160&lt;&gt;"",countif('5) Release_Track'!$F:$F,$A160)=0),"NO ISRC MATCH in Release_Track",and($B160&lt;&gt;"",countif('5) Release_Track'!$G:$G,$B160)=0),"NO CATALOG ID MATCH in Release_Track",iserror(vlookup($A160&amp;$B160,'5) Release_Track'!$F:$F&amp;'5) Release_Track'!$G:$G,1,0)),"NO ISRC-CATALOG ID pair MATCH in Release_Track" )</f>
        <v/>
      </c>
      <c r="E160" s="44" t="s">
        <v>115</v>
      </c>
      <c r="F160" s="8" t="s">
        <v>331</v>
      </c>
      <c r="G160" s="123" t="str">
        <f t="array" ref="G160">ifs(or($F160="",$F160="Main Primary Artist"),$F160,not(iserror(vlookup($F160,'Reference info'!$J$5:$J$8,1,0))),"Key Artist",not(iserror(vlookup($F160,'Reference info'!$J$38:$J$405,1,0))),"Performer",not(iserror(vlookup($F160,'Reference info'!$J$10:$J$36,1,0))),"Producer &amp; Engineer")</f>
        <v>Key Artist</v>
      </c>
    </row>
    <row r="161">
      <c r="A161" s="44" t="s">
        <v>523</v>
      </c>
      <c r="B161" s="103"/>
      <c r="C161" s="121" t="str">
        <f t="array" ref="C161">ifs(and(isblank($A161),isblank($B161)),"", not(iserror(vlookup($A161&amp;$B161,'5) Release_Track'!$F:$F&amp;'5) Release_Track'!$G:$G,1,0))),vlookup($A161&amp;$B161,{'5) Release_Track'!$F:$F&amp;'5) Release_Track'!$G:$G,'5) Release_Track'!$H:$H},2,0), or(and(not(isblank($B161)),$B161=$B160,$A161&lt;&gt;$A160),and(not(isblank($A161)),$A161=$A160,$B161&lt;&gt;$B160)),"ID LISTS UNALIGNED",and($A161&lt;&gt;"",countif('5) Release_Track'!$F:$F,$A161)=0),"NO ISRC MATCH in Release_Track",and($B161&lt;&gt;"",countif('5) Release_Track'!$G:$G,$B161)=0),"NO CATALOG ID MATCH in Release_Track",iserror(vlookup($A161&amp;$B161,'5) Release_Track'!$F:$F&amp;'5) Release_Track'!$G:$G,1,0)),"NO ISRC-CATALOG ID pair MATCH in Release_Track" )</f>
        <v>Aaban De Deson (From "Chal Mera Putt" Soundtrack)</v>
      </c>
      <c r="D161" s="121" t="str">
        <f t="array" ref="D161">ifs(and(isblank($A161),isblank($B161)),"", not(iserror(vlookup($A161&amp;$B161,'5) Release_Track'!$F:$F&amp;'5) Release_Track'!$G:$G,1,0))),vlookup($A161&amp;$B161,{'5) Release_Track'!$F:$F&amp;'5) Release_Track'!$G:$G,'5) Release_Track'!$I:$I},2,0), or(and(not(isblank($B161)),$B161=$B160,$A161&lt;&gt;$A160),and(not(isblank($A161)),$A161=$A160,$B161&lt;&gt;$B160)),"ID LISTS UNALIGNED",and($A161&lt;&gt;"",countif('5) Release_Track'!$F:$F,$A161)=0),"NO ISRC MATCH in Release_Track",and($B161&lt;&gt;"",countif('5) Release_Track'!$G:$G,$B161)=0),"NO CATALOG ID MATCH in Release_Track",iserror(vlookup($A161&amp;$B161,'5) Release_Track'!$F:$F&amp;'5) Release_Track'!$G:$G,1,0)),"NO ISRC-CATALOG ID pair MATCH in Release_Track" )</f>
        <v/>
      </c>
      <c r="E161" s="44" t="s">
        <v>49</v>
      </c>
      <c r="F161" s="8" t="s">
        <v>323</v>
      </c>
      <c r="G161" s="123" t="str">
        <f t="array" ref="G161">ifs(or($F161="",$F161="Main Primary Artist"),$F161,not(iserror(vlookup($F161,'Reference info'!$J$5:$J$8,1,0))),"Key Artist",not(iserror(vlookup($F161,'Reference info'!$J$38:$J$405,1,0))),"Performer",not(iserror(vlookup($F161,'Reference info'!$J$10:$J$36,1,0))),"Producer &amp; Engineer")</f>
        <v>Main Primary Artist</v>
      </c>
    </row>
    <row r="162">
      <c r="A162" s="44" t="s">
        <v>523</v>
      </c>
      <c r="B162" s="103"/>
      <c r="C162" s="121" t="str">
        <f t="array" ref="C162">ifs(and(isblank($A162),isblank($B162)),"", not(iserror(vlookup($A162&amp;$B162,'5) Release_Track'!$F:$F&amp;'5) Release_Track'!$G:$G,1,0))),vlookup($A162&amp;$B162,{'5) Release_Track'!$F:$F&amp;'5) Release_Track'!$G:$G,'5) Release_Track'!$H:$H},2,0), or(and(not(isblank($B162)),$B162=$B161,$A162&lt;&gt;$A161),and(not(isblank($A162)),$A162=$A161,$B162&lt;&gt;$B161)),"ID LISTS UNALIGNED",and($A162&lt;&gt;"",countif('5) Release_Track'!$F:$F,$A162)=0),"NO ISRC MATCH in Release_Track",and($B162&lt;&gt;"",countif('5) Release_Track'!$G:$G,$B162)=0),"NO CATALOG ID MATCH in Release_Track",iserror(vlookup($A162&amp;$B162,'5) Release_Track'!$F:$F&amp;'5) Release_Track'!$G:$G,1,0)),"NO ISRC-CATALOG ID pair MATCH in Release_Track" )</f>
        <v>Aaban De Deson (From "Chal Mera Putt" Soundtrack)</v>
      </c>
      <c r="D162" s="121" t="str">
        <f t="array" ref="D162">ifs(and(isblank($A162),isblank($B162)),"", not(iserror(vlookup($A162&amp;$B162,'5) Release_Track'!$F:$F&amp;'5) Release_Track'!$G:$G,1,0))),vlookup($A162&amp;$B162,{'5) Release_Track'!$F:$F&amp;'5) Release_Track'!$G:$G,'5) Release_Track'!$I:$I},2,0), or(and(not(isblank($B162)),$B162=$B161,$A162&lt;&gt;$A161),and(not(isblank($A162)),$A162=$A161,$B162&lt;&gt;$B161)),"ID LISTS UNALIGNED",and($A162&lt;&gt;"",countif('5) Release_Track'!$F:$F,$A162)=0),"NO ISRC MATCH in Release_Track",and($B162&lt;&gt;"",countif('5) Release_Track'!$G:$G,$B162)=0),"NO CATALOG ID MATCH in Release_Track",iserror(vlookup($A162&amp;$B162,'5) Release_Track'!$F:$F&amp;'5) Release_Track'!$G:$G,1,0)),"NO ISRC-CATALOG ID pair MATCH in Release_Track" )</f>
        <v/>
      </c>
      <c r="E162" s="44" t="s">
        <v>115</v>
      </c>
      <c r="F162" s="8" t="s">
        <v>331</v>
      </c>
      <c r="G162" s="123" t="str">
        <f t="array" ref="G162">ifs(or($F162="",$F162="Main Primary Artist"),$F162,not(iserror(vlookup($F162,'Reference info'!$J$5:$J$8,1,0))),"Key Artist",not(iserror(vlookup($F162,'Reference info'!$J$38:$J$405,1,0))),"Performer",not(iserror(vlookup($F162,'Reference info'!$J$10:$J$36,1,0))),"Producer &amp; Engineer")</f>
        <v>Key Artist</v>
      </c>
    </row>
    <row r="163">
      <c r="A163" s="44" t="s">
        <v>525</v>
      </c>
      <c r="B163" s="103"/>
      <c r="C163" s="121" t="str">
        <f t="array" ref="C163">ifs(and(isblank($A163),isblank($B163)),"", not(iserror(vlookup($A163&amp;$B163,'5) Release_Track'!$F:$F&amp;'5) Release_Track'!$G:$G,1,0))),vlookup($A163&amp;$B163,{'5) Release_Track'!$F:$F&amp;'5) Release_Track'!$G:$G,'5) Release_Track'!$H:$H},2,0), or(and(not(isblank($B163)),$B163=$B162,$A163&lt;&gt;$A162),and(not(isblank($A163)),$A163=$A162,$B163&lt;&gt;$B162)),"ID LISTS UNALIGNED",and($A163&lt;&gt;"",countif('5) Release_Track'!$F:$F,$A163)=0),"NO ISRC MATCH in Release_Track",and($B163&lt;&gt;"",countif('5) Release_Track'!$G:$G,$B163)=0),"NO CATALOG ID MATCH in Release_Track",iserror(vlookup($A163&amp;$B163,'5) Release_Track'!$F:$F&amp;'5) Release_Track'!$G:$G,1,0)),"NO ISRC-CATALOG ID pair MATCH in Release_Track" )</f>
        <v>Shiftaan (From "Chal Mera Putt" Soundtrack)</v>
      </c>
      <c r="D163" s="121" t="str">
        <f t="array" ref="D163">ifs(and(isblank($A163),isblank($B163)),"", not(iserror(vlookup($A163&amp;$B163,'5) Release_Track'!$F:$F&amp;'5) Release_Track'!$G:$G,1,0))),vlookup($A163&amp;$B163,{'5) Release_Track'!$F:$F&amp;'5) Release_Track'!$G:$G,'5) Release_Track'!$I:$I},2,0), or(and(not(isblank($B163)),$B163=$B162,$A163&lt;&gt;$A162),and(not(isblank($A163)),$A163=$A162,$B163&lt;&gt;$B162)),"ID LISTS UNALIGNED",and($A163&lt;&gt;"",countif('5) Release_Track'!$F:$F,$A163)=0),"NO ISRC MATCH in Release_Track",and($B163&lt;&gt;"",countif('5) Release_Track'!$G:$G,$B163)=0),"NO CATALOG ID MATCH in Release_Track",iserror(vlookup($A163&amp;$B163,'5) Release_Track'!$F:$F&amp;'5) Release_Track'!$G:$G,1,0)),"NO ISRC-CATALOG ID pair MATCH in Release_Track" )</f>
        <v/>
      </c>
      <c r="E163" s="44" t="s">
        <v>57</v>
      </c>
      <c r="F163" s="8" t="s">
        <v>323</v>
      </c>
      <c r="G163" s="123" t="str">
        <f t="array" ref="G163">ifs(or($F163="",$F163="Main Primary Artist"),$F163,not(iserror(vlookup($F163,'Reference info'!$J$5:$J$8,1,0))),"Key Artist",not(iserror(vlookup($F163,'Reference info'!$J$38:$J$405,1,0))),"Performer",not(iserror(vlookup($F163,'Reference info'!$J$10:$J$36,1,0))),"Producer &amp; Engineer")</f>
        <v>Main Primary Artist</v>
      </c>
    </row>
    <row r="164">
      <c r="A164" s="44" t="s">
        <v>525</v>
      </c>
      <c r="B164" s="103"/>
      <c r="C164" s="121" t="str">
        <f t="array" ref="C164">ifs(and(isblank($A164),isblank($B164)),"", not(iserror(vlookup($A164&amp;$B164,'5) Release_Track'!$F:$F&amp;'5) Release_Track'!$G:$G,1,0))),vlookup($A164&amp;$B164,{'5) Release_Track'!$F:$F&amp;'5) Release_Track'!$G:$G,'5) Release_Track'!$H:$H},2,0), or(and(not(isblank($B164)),$B164=$B163,$A164&lt;&gt;$A163),and(not(isblank($A164)),$A164=$A163,$B164&lt;&gt;$B163)),"ID LISTS UNALIGNED",and($A164&lt;&gt;"",countif('5) Release_Track'!$F:$F,$A164)=0),"NO ISRC MATCH in Release_Track",and($B164&lt;&gt;"",countif('5) Release_Track'!$G:$G,$B164)=0),"NO CATALOG ID MATCH in Release_Track",iserror(vlookup($A164&amp;$B164,'5) Release_Track'!$F:$F&amp;'5) Release_Track'!$G:$G,1,0)),"NO ISRC-CATALOG ID pair MATCH in Release_Track" )</f>
        <v>Shiftaan (From "Chal Mera Putt" Soundtrack)</v>
      </c>
      <c r="D164" s="121" t="str">
        <f t="array" ref="D164">ifs(and(isblank($A164),isblank($B164)),"", not(iserror(vlookup($A164&amp;$B164,'5) Release_Track'!$F:$F&amp;'5) Release_Track'!$G:$G,1,0))),vlookup($A164&amp;$B164,{'5) Release_Track'!$F:$F&amp;'5) Release_Track'!$G:$G,'5) Release_Track'!$I:$I},2,0), or(and(not(isblank($B164)),$B164=$B163,$A164&lt;&gt;$A163),and(not(isblank($A164)),$A164=$A163,$B164&lt;&gt;$B163)),"ID LISTS UNALIGNED",and($A164&lt;&gt;"",countif('5) Release_Track'!$F:$F,$A164)=0),"NO ISRC MATCH in Release_Track",and($B164&lt;&gt;"",countif('5) Release_Track'!$G:$G,$B164)=0),"NO CATALOG ID MATCH in Release_Track",iserror(vlookup($A164&amp;$B164,'5) Release_Track'!$F:$F&amp;'5) Release_Track'!$G:$G,1,0)),"NO ISRC-CATALOG ID pair MATCH in Release_Track" )</f>
        <v/>
      </c>
      <c r="E164" s="44" t="s">
        <v>115</v>
      </c>
      <c r="F164" s="8" t="s">
        <v>331</v>
      </c>
      <c r="G164" s="123" t="str">
        <f t="array" ref="G164">ifs(or($F164="",$F164="Main Primary Artist"),$F164,not(iserror(vlookup($F164,'Reference info'!$J$5:$J$8,1,0))),"Key Artist",not(iserror(vlookup($F164,'Reference info'!$J$38:$J$405,1,0))),"Performer",not(iserror(vlookup($F164,'Reference info'!$J$10:$J$36,1,0))),"Producer &amp; Engineer")</f>
        <v>Key Artist</v>
      </c>
    </row>
    <row r="165">
      <c r="A165" s="44" t="s">
        <v>527</v>
      </c>
      <c r="B165" s="103"/>
      <c r="C165" s="121" t="str">
        <f t="array" ref="C165">ifs(and(isblank($A165),isblank($B165)),"", not(iserror(vlookup($A165&amp;$B165,'5) Release_Track'!$F:$F&amp;'5) Release_Track'!$G:$G,1,0))),vlookup($A165&amp;$B165,{'5) Release_Track'!$F:$F&amp;'5) Release_Track'!$G:$G,'5) Release_Track'!$H:$H},2,0), or(and(not(isblank($B165)),$B165=$B164,$A165&lt;&gt;$A164),and(not(isblank($A165)),$A165=$A164,$B165&lt;&gt;$B164)),"ID LISTS UNALIGNED",and($A165&lt;&gt;"",countif('5) Release_Track'!$F:$F,$A165)=0),"NO ISRC MATCH in Release_Track",and($B165&lt;&gt;"",countif('5) Release_Track'!$G:$G,$B165)=0),"NO CATALOG ID MATCH in Release_Track",iserror(vlookup($A165&amp;$B165,'5) Release_Track'!$F:$F&amp;'5) Release_Track'!$G:$G,1,0)),"NO ISRC-CATALOG ID pair MATCH in Release_Track" )</f>
        <v>Gallan Na Changian (From "Chal Mera Putt" Soundtrack)</v>
      </c>
      <c r="D165" s="121" t="str">
        <f t="array" ref="D165">ifs(and(isblank($A165),isblank($B165)),"", not(iserror(vlookup($A165&amp;$B165,'5) Release_Track'!$F:$F&amp;'5) Release_Track'!$G:$G,1,0))),vlookup($A165&amp;$B165,{'5) Release_Track'!$F:$F&amp;'5) Release_Track'!$G:$G,'5) Release_Track'!$I:$I},2,0), or(and(not(isblank($B165)),$B165=$B164,$A165&lt;&gt;$A164),and(not(isblank($A165)),$A165=$A164,$B165&lt;&gt;$B164)),"ID LISTS UNALIGNED",and($A165&lt;&gt;"",countif('5) Release_Track'!$F:$F,$A165)=0),"NO ISRC MATCH in Release_Track",and($B165&lt;&gt;"",countif('5) Release_Track'!$G:$G,$B165)=0),"NO CATALOG ID MATCH in Release_Track",iserror(vlookup($A165&amp;$B165,'5) Release_Track'!$F:$F&amp;'5) Release_Track'!$G:$G,1,0)),"NO ISRC-CATALOG ID pair MATCH in Release_Track" )</f>
        <v/>
      </c>
      <c r="E165" s="44" t="s">
        <v>57</v>
      </c>
      <c r="F165" s="8" t="s">
        <v>323</v>
      </c>
      <c r="G165" s="123" t="str">
        <f t="array" ref="G165">ifs(or($F165="",$F165="Main Primary Artist"),$F165,not(iserror(vlookup($F165,'Reference info'!$J$5:$J$8,1,0))),"Key Artist",not(iserror(vlookup($F165,'Reference info'!$J$38:$J$405,1,0))),"Performer",not(iserror(vlookup($F165,'Reference info'!$J$10:$J$36,1,0))),"Producer &amp; Engineer")</f>
        <v>Main Primary Artist</v>
      </c>
    </row>
    <row r="166">
      <c r="A166" s="44" t="s">
        <v>527</v>
      </c>
      <c r="B166" s="103"/>
      <c r="C166" s="121" t="str">
        <f t="array" ref="C166">ifs(and(isblank($A166),isblank($B166)),"", not(iserror(vlookup($A166&amp;$B166,'5) Release_Track'!$F:$F&amp;'5) Release_Track'!$G:$G,1,0))),vlookup($A166&amp;$B166,{'5) Release_Track'!$F:$F&amp;'5) Release_Track'!$G:$G,'5) Release_Track'!$H:$H},2,0), or(and(not(isblank($B166)),$B166=$B165,$A166&lt;&gt;$A165),and(not(isblank($A166)),$A166=$A165,$B166&lt;&gt;$B165)),"ID LISTS UNALIGNED",and($A166&lt;&gt;"",countif('5) Release_Track'!$F:$F,$A166)=0),"NO ISRC MATCH in Release_Track",and($B166&lt;&gt;"",countif('5) Release_Track'!$G:$G,$B166)=0),"NO CATALOG ID MATCH in Release_Track",iserror(vlookup($A166&amp;$B166,'5) Release_Track'!$F:$F&amp;'5) Release_Track'!$G:$G,1,0)),"NO ISRC-CATALOG ID pair MATCH in Release_Track" )</f>
        <v>Gallan Na Changian (From "Chal Mera Putt" Soundtrack)</v>
      </c>
      <c r="D166" s="121" t="str">
        <f t="array" ref="D166">ifs(and(isblank($A166),isblank($B166)),"", not(iserror(vlookup($A166&amp;$B166,'5) Release_Track'!$F:$F&amp;'5) Release_Track'!$G:$G,1,0))),vlookup($A166&amp;$B166,{'5) Release_Track'!$F:$F&amp;'5) Release_Track'!$G:$G,'5) Release_Track'!$I:$I},2,0), or(and(not(isblank($B166)),$B166=$B165,$A166&lt;&gt;$A165),and(not(isblank($A166)),$A166=$A165,$B166&lt;&gt;$B165)),"ID LISTS UNALIGNED",and($A166&lt;&gt;"",countif('5) Release_Track'!$F:$F,$A166)=0),"NO ISRC MATCH in Release_Track",and($B166&lt;&gt;"",countif('5) Release_Track'!$G:$G,$B166)=0),"NO CATALOG ID MATCH in Release_Track",iserror(vlookup($A166&amp;$B166,'5) Release_Track'!$F:$F&amp;'5) Release_Track'!$G:$G,1,0)),"NO ISRC-CATALOG ID pair MATCH in Release_Track" )</f>
        <v/>
      </c>
      <c r="E166" s="44" t="s">
        <v>115</v>
      </c>
      <c r="F166" s="8" t="s">
        <v>331</v>
      </c>
      <c r="G166" s="123" t="str">
        <f t="array" ref="G166">ifs(or($F166="",$F166="Main Primary Artist"),$F166,not(iserror(vlookup($F166,'Reference info'!$J$5:$J$8,1,0))),"Key Artist",not(iserror(vlookup($F166,'Reference info'!$J$38:$J$405,1,0))),"Performer",not(iserror(vlookup($F166,'Reference info'!$J$10:$J$36,1,0))),"Producer &amp; Engineer")</f>
        <v>Key Artist</v>
      </c>
    </row>
    <row r="167">
      <c r="A167" s="44" t="s">
        <v>529</v>
      </c>
      <c r="B167" s="103"/>
      <c r="C167" s="121" t="str">
        <f t="array" ref="C167">ifs(and(isblank($A167),isblank($B167)),"", not(iserror(vlookup($A167&amp;$B167,'5) Release_Track'!$F:$F&amp;'5) Release_Track'!$G:$G,1,0))),vlookup($A167&amp;$B167,{'5) Release_Track'!$F:$F&amp;'5) Release_Track'!$G:$G,'5) Release_Track'!$H:$H},2,0), or(and(not(isblank($B167)),$B167=$B166,$A167&lt;&gt;$A166),and(not(isblank($A167)),$A167=$A166,$B167&lt;&gt;$B166)),"ID LISTS UNALIGNED",and($A167&lt;&gt;"",countif('5) Release_Track'!$F:$F,$A167)=0),"NO ISRC MATCH in Release_Track",and($B167&lt;&gt;"",countif('5) Release_Track'!$G:$G,$B167)=0),"NO CATALOG ID MATCH in Release_Track",iserror(vlookup($A167&amp;$B167,'5) Release_Track'!$F:$F&amp;'5) Release_Track'!$G:$G,1,0)),"NO ISRC-CATALOG ID pair MATCH in Release_Track" )</f>
        <v>Nanak Aadh Jugaadh Jiyo</v>
      </c>
      <c r="D167" s="121" t="str">
        <f t="array" ref="D167">ifs(and(isblank($A167),isblank($B167)),"", not(iserror(vlookup($A167&amp;$B167,'5) Release_Track'!$F:$F&amp;'5) Release_Track'!$G:$G,1,0))),vlookup($A167&amp;$B167,{'5) Release_Track'!$F:$F&amp;'5) Release_Track'!$G:$G,'5) Release_Track'!$I:$I},2,0), or(and(not(isblank($B167)),$B167=$B166,$A167&lt;&gt;$A166),and(not(isblank($A167)),$A167=$A166,$B167&lt;&gt;$B166)),"ID LISTS UNALIGNED",and($A167&lt;&gt;"",countif('5) Release_Track'!$F:$F,$A167)=0),"NO ISRC MATCH in Release_Track",and($B167&lt;&gt;"",countif('5) Release_Track'!$G:$G,$B167)=0),"NO CATALOG ID MATCH in Release_Track",iserror(vlookup($A167&amp;$B167,'5) Release_Track'!$F:$F&amp;'5) Release_Track'!$G:$G,1,0)),"NO ISRC-CATALOG ID pair MATCH in Release_Track" )</f>
        <v/>
      </c>
      <c r="E167" s="44" t="s">
        <v>125</v>
      </c>
      <c r="F167" s="8" t="s">
        <v>323</v>
      </c>
      <c r="G167" s="123" t="str">
        <f t="array" ref="G167">ifs(or($F167="",$F167="Main Primary Artist"),$F167,not(iserror(vlookup($F167,'Reference info'!$J$5:$J$8,1,0))),"Key Artist",not(iserror(vlookup($F167,'Reference info'!$J$38:$J$405,1,0))),"Performer",not(iserror(vlookup($F167,'Reference info'!$J$10:$J$36,1,0))),"Producer &amp; Engineer")</f>
        <v>Main Primary Artist</v>
      </c>
    </row>
    <row r="168">
      <c r="A168" s="44" t="s">
        <v>531</v>
      </c>
      <c r="B168" s="103"/>
      <c r="C168" s="121" t="str">
        <f t="array" ref="C168">ifs(and(isblank($A168),isblank($B168)),"", not(iserror(vlookup($A168&amp;$B168,'5) Release_Track'!$F:$F&amp;'5) Release_Track'!$G:$G,1,0))),vlookup($A168&amp;$B168,{'5) Release_Track'!$F:$F&amp;'5) Release_Track'!$G:$G,'5) Release_Track'!$H:$H},2,0), or(and(not(isblank($B168)),$B168=#REF!,$A168&lt;&gt;#REF!),and(not(isblank($A168)),$A168=#REF!,$B168&lt;&gt;#REF!)),"ID LISTS UNALIGNED",and($A168&lt;&gt;"",countif('5) Release_Track'!$F:$F,$A168)=0),"NO ISRC MATCH in Release_Track",and($B168&lt;&gt;"",countif('5) Release_Track'!$G:$G,$B168)=0),"NO CATALOG ID MATCH in Release_Track",iserror(vlookup($A168&amp;$B168,'5) Release_Track'!$F:$F&amp;'5) Release_Track'!$G:$G,1,0)),"NO ISRC-CATALOG ID pair MATCH in Release_Track" )</f>
        <v>Boota Gaalan Kad Da Ae (From "Chal Mera Putt 2" Soundtrack)</v>
      </c>
      <c r="D168" s="121" t="str">
        <f t="array" ref="D168">ifs(and(isblank($A168),isblank($B168)),"", not(iserror(vlookup($A168&amp;$B168,'5) Release_Track'!$F:$F&amp;'5) Release_Track'!$G:$G,1,0))),vlookup($A168&amp;$B168,{'5) Release_Track'!$F:$F&amp;'5) Release_Track'!$G:$G,'5) Release_Track'!$I:$I},2,0), or(and(not(isblank($B168)),$B168=#REF!,$A168&lt;&gt;#REF!),and(not(isblank($A168)),$A168=#REF!,$B168&lt;&gt;#REF!)),"ID LISTS UNALIGNED",and($A168&lt;&gt;"",countif('5) Release_Track'!$F:$F,$A168)=0),"NO ISRC MATCH in Release_Track",and($B168&lt;&gt;"",countif('5) Release_Track'!$G:$G,$B168)=0),"NO CATALOG ID MATCH in Release_Track",iserror(vlookup($A168&amp;$B168,'5) Release_Track'!$F:$F&amp;'5) Release_Track'!$G:$G,1,0)),"NO ISRC-CATALOG ID pair MATCH in Release_Track" )</f>
        <v/>
      </c>
      <c r="E168" s="44" t="s">
        <v>49</v>
      </c>
      <c r="F168" s="8" t="s">
        <v>323</v>
      </c>
      <c r="G168" s="123" t="str">
        <f t="array" ref="G168">ifs(or($F168="",$F168="Main Primary Artist"),$F168,not(iserror(vlookup($F168,'Reference info'!$J$5:$J$8,1,0))),"Key Artist",not(iserror(vlookup($F168,'Reference info'!$J$38:$J$405,1,0))),"Performer",not(iserror(vlookup($F168,'Reference info'!$J$10:$J$36,1,0))),"Producer &amp; Engineer")</f>
        <v>Main Primary Artist</v>
      </c>
    </row>
    <row r="169">
      <c r="A169" s="44" t="s">
        <v>531</v>
      </c>
      <c r="B169" s="103"/>
      <c r="C169" s="121" t="str">
        <f t="array" ref="C169">ifs(and(isblank($A169),isblank($B169)),"", not(iserror(vlookup($A169&amp;$B169,'5) Release_Track'!$F:$F&amp;'5) Release_Track'!$G:$G,1,0))),vlookup($A169&amp;$B169,{'5) Release_Track'!$F:$F&amp;'5) Release_Track'!$G:$G,'5) Release_Track'!$H:$H},2,0), or(and(not(isblank($B169)),$B169=$B168,$A169&lt;&gt;$A168),and(not(isblank($A169)),$A169=$A168,$B169&lt;&gt;$B168)),"ID LISTS UNALIGNED",and($A169&lt;&gt;"",countif('5) Release_Track'!$F:$F,$A169)=0),"NO ISRC MATCH in Release_Track",and($B169&lt;&gt;"",countif('5) Release_Track'!$G:$G,$B169)=0),"NO CATALOG ID MATCH in Release_Track",iserror(vlookup($A169&amp;$B169,'5) Release_Track'!$F:$F&amp;'5) Release_Track'!$G:$G,1,0)),"NO ISRC-CATALOG ID pair MATCH in Release_Track" )</f>
        <v>Boota Gaalan Kad Da Ae (From "Chal Mera Putt 2" Soundtrack)</v>
      </c>
      <c r="D169" s="121" t="str">
        <f t="array" ref="D169">ifs(and(isblank($A169),isblank($B169)),"", not(iserror(vlookup($A169&amp;$B169,'5) Release_Track'!$F:$F&amp;'5) Release_Track'!$G:$G,1,0))),vlookup($A169&amp;$B169,{'5) Release_Track'!$F:$F&amp;'5) Release_Track'!$G:$G,'5) Release_Track'!$I:$I},2,0), or(and(not(isblank($B169)),$B169=$B168,$A169&lt;&gt;$A168),and(not(isblank($A169)),$A169=$A168,$B169&lt;&gt;$B168)),"ID LISTS UNALIGNED",and($A169&lt;&gt;"",countif('5) Release_Track'!$F:$F,$A169)=0),"NO ISRC MATCH in Release_Track",and($B169&lt;&gt;"",countif('5) Release_Track'!$G:$G,$B169)=0),"NO CATALOG ID MATCH in Release_Track",iserror(vlookup($A169&amp;$B169,'5) Release_Track'!$F:$F&amp;'5) Release_Track'!$G:$G,1,0)),"NO ISRC-CATALOG ID pair MATCH in Release_Track" )</f>
        <v/>
      </c>
      <c r="E169" s="44" t="s">
        <v>57</v>
      </c>
      <c r="F169" s="8" t="s">
        <v>324</v>
      </c>
      <c r="G169" s="123" t="str">
        <f t="array" ref="G169">ifs(or($F169="",$F169="Main Primary Artist"),$F169,not(iserror(vlookup($F169,'Reference info'!$J$5:$J$8,1,0))),"Key Artist",not(iserror(vlookup($F169,'Reference info'!$J$38:$J$405,1,0))),"Performer",not(iserror(vlookup($F169,'Reference info'!$J$10:$J$36,1,0))),"Producer &amp; Engineer")</f>
        <v>Key Artist</v>
      </c>
    </row>
    <row r="170">
      <c r="A170" s="44" t="s">
        <v>531</v>
      </c>
      <c r="B170" s="103"/>
      <c r="C170" s="121" t="str">
        <f t="array" ref="C170">ifs(and(isblank($A170),isblank($B170)),"", not(iserror(vlookup($A170&amp;$B170,'5) Release_Track'!$F:$F&amp;'5) Release_Track'!$G:$G,1,0))),vlookup($A170&amp;$B170,{'5) Release_Track'!$F:$F&amp;'5) Release_Track'!$G:$G,'5) Release_Track'!$H:$H},2,0), or(and(not(isblank($B170)),$B170=$B169,$A170&lt;&gt;$A169),and(not(isblank($A170)),$A170=$A169,$B170&lt;&gt;$B169)),"ID LISTS UNALIGNED",and($A170&lt;&gt;"",countif('5) Release_Track'!$F:$F,$A170)=0),"NO ISRC MATCH in Release_Track",and($B170&lt;&gt;"",countif('5) Release_Track'!$G:$G,$B170)=0),"NO CATALOG ID MATCH in Release_Track",iserror(vlookup($A170&amp;$B170,'5) Release_Track'!$F:$F&amp;'5) Release_Track'!$G:$G,1,0)),"NO ISRC-CATALOG ID pair MATCH in Release_Track" )</f>
        <v>Boota Gaalan Kad Da Ae (From "Chal Mera Putt 2" Soundtrack)</v>
      </c>
      <c r="D170" s="121" t="str">
        <f t="array" ref="D170">ifs(and(isblank($A170),isblank($B170)),"", not(iserror(vlookup($A170&amp;$B170,'5) Release_Track'!$F:$F&amp;'5) Release_Track'!$G:$G,1,0))),vlookup($A170&amp;$B170,{'5) Release_Track'!$F:$F&amp;'5) Release_Track'!$G:$G,'5) Release_Track'!$I:$I},2,0), or(and(not(isblank($B170)),$B170=$B169,$A170&lt;&gt;$A169),and(not(isblank($A170)),$A170=$A169,$B170&lt;&gt;$B169)),"ID LISTS UNALIGNED",and($A170&lt;&gt;"",countif('5) Release_Track'!$F:$F,$A170)=0),"NO ISRC MATCH in Release_Track",and($B170&lt;&gt;"",countif('5) Release_Track'!$G:$G,$B170)=0),"NO CATALOG ID MATCH in Release_Track",iserror(vlookup($A170&amp;$B170,'5) Release_Track'!$F:$F&amp;'5) Release_Track'!$G:$G,1,0)),"NO ISRC-CATALOG ID pair MATCH in Release_Track" )</f>
        <v/>
      </c>
      <c r="E170" s="44" t="s">
        <v>115</v>
      </c>
      <c r="F170" s="8" t="s">
        <v>331</v>
      </c>
      <c r="G170" s="123" t="str">
        <f t="array" ref="G170">ifs(or($F170="",$F170="Main Primary Artist"),$F170,not(iserror(vlookup($F170,'Reference info'!$J$5:$J$8,1,0))),"Key Artist",not(iserror(vlookup($F170,'Reference info'!$J$38:$J$405,1,0))),"Performer",not(iserror(vlookup($F170,'Reference info'!$J$10:$J$36,1,0))),"Producer &amp; Engineer")</f>
        <v>Key Artist</v>
      </c>
    </row>
    <row r="171">
      <c r="A171" s="44" t="s">
        <v>533</v>
      </c>
      <c r="B171" s="103"/>
      <c r="C171" s="121" t="str">
        <f t="array" ref="C171">ifs(and(isblank($A171),isblank($B171)),"", not(iserror(vlookup($A171&amp;$B171,'5) Release_Track'!$F:$F&amp;'5) Release_Track'!$G:$G,1,0))),vlookup($A171&amp;$B171,{'5) Release_Track'!$F:$F&amp;'5) Release_Track'!$G:$G,'5) Release_Track'!$H:$H},2,0), or(and(not(isblank($B171)),$B171=$B170,$A171&lt;&gt;$A170),and(not(isblank($A171)),$A171=$A170,$B171&lt;&gt;$B170)),"ID LISTS UNALIGNED",and($A171&lt;&gt;"",countif('5) Release_Track'!$F:$F,$A171)=0),"NO ISRC MATCH in Release_Track",and($B171&lt;&gt;"",countif('5) Release_Track'!$G:$G,$B171)=0),"NO CATALOG ID MATCH in Release_Track",iserror(vlookup($A171&amp;$B171,'5) Release_Track'!$F:$F&amp;'5) Release_Track'!$G:$G,1,0)),"NO ISRC-CATALOG ID pair MATCH in Release_Track" )</f>
        <v>Majboori (From "Chal Mera Putt 2" Soundtrack)</v>
      </c>
      <c r="D171" s="121" t="str">
        <f t="array" ref="D171">ifs(and(isblank($A171),isblank($B171)),"", not(iserror(vlookup($A171&amp;$B171,'5) Release_Track'!$F:$F&amp;'5) Release_Track'!$G:$G,1,0))),vlookup($A171&amp;$B171,{'5) Release_Track'!$F:$F&amp;'5) Release_Track'!$G:$G,'5) Release_Track'!$I:$I},2,0), or(and(not(isblank($B171)),$B171=$B170,$A171&lt;&gt;$A170),and(not(isblank($A171)),$A171=$A170,$B171&lt;&gt;$B170)),"ID LISTS UNALIGNED",and($A171&lt;&gt;"",countif('5) Release_Track'!$F:$F,$A171)=0),"NO ISRC MATCH in Release_Track",and($B171&lt;&gt;"",countif('5) Release_Track'!$G:$G,$B171)=0),"NO CATALOG ID MATCH in Release_Track",iserror(vlookup($A171&amp;$B171,'5) Release_Track'!$F:$F&amp;'5) Release_Track'!$G:$G,1,0)),"NO ISRC-CATALOG ID pair MATCH in Release_Track" )</f>
        <v/>
      </c>
      <c r="E171" s="44" t="s">
        <v>57</v>
      </c>
      <c r="F171" s="8" t="s">
        <v>323</v>
      </c>
      <c r="G171" s="123" t="str">
        <f t="array" ref="G171">ifs(or($F171="",$F171="Main Primary Artist"),$F171,not(iserror(vlookup($F171,'Reference info'!$J$5:$J$8,1,0))),"Key Artist",not(iserror(vlookup($F171,'Reference info'!$J$38:$J$405,1,0))),"Performer",not(iserror(vlookup($F171,'Reference info'!$J$10:$J$36,1,0))),"Producer &amp; Engineer")</f>
        <v>Main Primary Artist</v>
      </c>
    </row>
    <row r="172">
      <c r="A172" s="44" t="s">
        <v>533</v>
      </c>
      <c r="B172" s="103"/>
      <c r="C172" s="121" t="str">
        <f t="array" ref="C172">ifs(and(isblank($A172),isblank($B172)),"", not(iserror(vlookup($A172&amp;$B172,'5) Release_Track'!$F:$F&amp;'5) Release_Track'!$G:$G,1,0))),vlookup($A172&amp;$B172,{'5) Release_Track'!$F:$F&amp;'5) Release_Track'!$G:$G,'5) Release_Track'!$H:$H},2,0), or(and(not(isblank($B172)),$B172=$B171,$A172&lt;&gt;$A171),and(not(isblank($A172)),$A172=$A171,$B172&lt;&gt;$B171)),"ID LISTS UNALIGNED",and($A172&lt;&gt;"",countif('5) Release_Track'!$F:$F,$A172)=0),"NO ISRC MATCH in Release_Track",and($B172&lt;&gt;"",countif('5) Release_Track'!$G:$G,$B172)=0),"NO CATALOG ID MATCH in Release_Track",iserror(vlookup($A172&amp;$B172,'5) Release_Track'!$F:$F&amp;'5) Release_Track'!$G:$G,1,0)),"NO ISRC-CATALOG ID pair MATCH in Release_Track" )</f>
        <v>Majboori (From "Chal Mera Putt 2" Soundtrack)</v>
      </c>
      <c r="D172" s="121" t="str">
        <f t="array" ref="D172">ifs(and(isblank($A172),isblank($B172)),"", not(iserror(vlookup($A172&amp;$B172,'5) Release_Track'!$F:$F&amp;'5) Release_Track'!$G:$G,1,0))),vlookup($A172&amp;$B172,{'5) Release_Track'!$F:$F&amp;'5) Release_Track'!$G:$G,'5) Release_Track'!$I:$I},2,0), or(and(not(isblank($B172)),$B172=$B171,$A172&lt;&gt;$A171),and(not(isblank($A172)),$A172=$A171,$B172&lt;&gt;$B171)),"ID LISTS UNALIGNED",and($A172&lt;&gt;"",countif('5) Release_Track'!$F:$F,$A172)=0),"NO ISRC MATCH in Release_Track",and($B172&lt;&gt;"",countif('5) Release_Track'!$G:$G,$B172)=0),"NO CATALOG ID MATCH in Release_Track",iserror(vlookup($A172&amp;$B172,'5) Release_Track'!$F:$F&amp;'5) Release_Track'!$G:$G,1,0)),"NO ISRC-CATALOG ID pair MATCH in Release_Track" )</f>
        <v/>
      </c>
      <c r="E172" s="44" t="s">
        <v>115</v>
      </c>
      <c r="F172" s="8" t="s">
        <v>331</v>
      </c>
      <c r="G172" s="123" t="str">
        <f t="array" ref="G172">ifs(or($F172="",$F172="Main Primary Artist"),$F172,not(iserror(vlookup($F172,'Reference info'!$J$5:$J$8,1,0))),"Key Artist",not(iserror(vlookup($F172,'Reference info'!$J$38:$J$405,1,0))),"Performer",not(iserror(vlookup($F172,'Reference info'!$J$10:$J$36,1,0))),"Producer &amp; Engineer")</f>
        <v>Key Artist</v>
      </c>
    </row>
    <row r="173">
      <c r="A173" s="44" t="s">
        <v>535</v>
      </c>
      <c r="B173" s="103"/>
      <c r="C173" s="121" t="str">
        <f t="array" ref="C173">ifs(and(isblank($A173),isblank($B173)),"", not(iserror(vlookup($A173&amp;$B173,'5) Release_Track'!$F:$F&amp;'5) Release_Track'!$G:$G,1,0))),vlookup($A173&amp;$B173,{'5) Release_Track'!$F:$F&amp;'5) Release_Track'!$G:$G,'5) Release_Track'!$H:$H},2,0), or(and(not(isblank($B173)),$B173=$B172,$A173&lt;&gt;$A172),and(not(isblank($A173)),$A173=$A172,$B173&lt;&gt;$B172)),"ID LISTS UNALIGNED",and($A173&lt;&gt;"",countif('5) Release_Track'!$F:$F,$A173)=0),"NO ISRC MATCH in Release_Track",and($B173&lt;&gt;"",countif('5) Release_Track'!$G:$G,$B173)=0),"NO CATALOG ID MATCH in Release_Track",iserror(vlookup($A173&amp;$B173,'5) Release_Track'!$F:$F&amp;'5) Release_Track'!$G:$G,1,0)),"NO ISRC-CATALOG ID pair MATCH in Release_Track" )</f>
        <v>Majhe Wal Da (From "Chal Mera Putt 2" Soundtrack)</v>
      </c>
      <c r="D173" s="121" t="str">
        <f t="array" ref="D173">ifs(and(isblank($A173),isblank($B173)),"", not(iserror(vlookup($A173&amp;$B173,'5) Release_Track'!$F:$F&amp;'5) Release_Track'!$G:$G,1,0))),vlookup($A173&amp;$B173,{'5) Release_Track'!$F:$F&amp;'5) Release_Track'!$G:$G,'5) Release_Track'!$I:$I},2,0), or(and(not(isblank($B173)),$B173=$B172,$A173&lt;&gt;$A172),and(not(isblank($A173)),$A173=$A172,$B173&lt;&gt;$B172)),"ID LISTS UNALIGNED",and($A173&lt;&gt;"",countif('5) Release_Track'!$F:$F,$A173)=0),"NO ISRC MATCH in Release_Track",and($B173&lt;&gt;"",countif('5) Release_Track'!$G:$G,$B173)=0),"NO CATALOG ID MATCH in Release_Track",iserror(vlookup($A173&amp;$B173,'5) Release_Track'!$F:$F&amp;'5) Release_Track'!$G:$G,1,0)),"NO ISRC-CATALOG ID pair MATCH in Release_Track" )</f>
        <v/>
      </c>
      <c r="E173" s="44" t="s">
        <v>49</v>
      </c>
      <c r="F173" s="8" t="s">
        <v>323</v>
      </c>
      <c r="G173" s="123" t="str">
        <f t="array" ref="G173">ifs(or($F173="",$F173="Main Primary Artist"),$F173,not(iserror(vlookup($F173,'Reference info'!$J$5:$J$8,1,0))),"Key Artist",not(iserror(vlookup($F173,'Reference info'!$J$38:$J$405,1,0))),"Performer",not(iserror(vlookup($F173,'Reference info'!$J$10:$J$36,1,0))),"Producer &amp; Engineer")</f>
        <v>Main Primary Artist</v>
      </c>
    </row>
    <row r="174">
      <c r="A174" s="44" t="s">
        <v>535</v>
      </c>
      <c r="B174" s="103"/>
      <c r="C174" s="121" t="str">
        <f t="array" ref="C174">ifs(and(isblank($A174),isblank($B174)),"", not(iserror(vlookup($A174&amp;$B174,'5) Release_Track'!$F:$F&amp;'5) Release_Track'!$G:$G,1,0))),vlookup($A174&amp;$B174,{'5) Release_Track'!$F:$F&amp;'5) Release_Track'!$G:$G,'5) Release_Track'!$H:$H},2,0), or(and(not(isblank($B174)),$B174=$B173,$A174&lt;&gt;$A173),and(not(isblank($A174)),$A174=$A173,$B174&lt;&gt;$B173)),"ID LISTS UNALIGNED",and($A174&lt;&gt;"",countif('5) Release_Track'!$F:$F,$A174)=0),"NO ISRC MATCH in Release_Track",and($B174&lt;&gt;"",countif('5) Release_Track'!$G:$G,$B174)=0),"NO CATALOG ID MATCH in Release_Track",iserror(vlookup($A174&amp;$B174,'5) Release_Track'!$F:$F&amp;'5) Release_Track'!$G:$G,1,0)),"NO ISRC-CATALOG ID pair MATCH in Release_Track" )</f>
        <v>Majhe Wal Da (From "Chal Mera Putt 2" Soundtrack)</v>
      </c>
      <c r="D174" s="121" t="str">
        <f t="array" ref="D174">ifs(and(isblank($A174),isblank($B174)),"", not(iserror(vlookup($A174&amp;$B174,'5) Release_Track'!$F:$F&amp;'5) Release_Track'!$G:$G,1,0))),vlookup($A174&amp;$B174,{'5) Release_Track'!$F:$F&amp;'5) Release_Track'!$G:$G,'5) Release_Track'!$I:$I},2,0), or(and(not(isblank($B174)),$B174=$B173,$A174&lt;&gt;$A173),and(not(isblank($A174)),$A174=$A173,$B174&lt;&gt;$B173)),"ID LISTS UNALIGNED",and($A174&lt;&gt;"",countif('5) Release_Track'!$F:$F,$A174)=0),"NO ISRC MATCH in Release_Track",and($B174&lt;&gt;"",countif('5) Release_Track'!$G:$G,$B174)=0),"NO CATALOG ID MATCH in Release_Track",iserror(vlookup($A174&amp;$B174,'5) Release_Track'!$F:$F&amp;'5) Release_Track'!$G:$G,1,0)),"NO ISRC-CATALOG ID pair MATCH in Release_Track" )</f>
        <v/>
      </c>
      <c r="E174" s="44" t="s">
        <v>53</v>
      </c>
      <c r="F174" s="8" t="s">
        <v>324</v>
      </c>
      <c r="G174" s="123" t="str">
        <f t="array" ref="G174">ifs(or($F174="",$F174="Main Primary Artist"),$F174,not(iserror(vlookup($F174,'Reference info'!$J$5:$J$8,1,0))),"Key Artist",not(iserror(vlookup($F174,'Reference info'!$J$38:$J$405,1,0))),"Performer",not(iserror(vlookup($F174,'Reference info'!$J$10:$J$36,1,0))),"Producer &amp; Engineer")</f>
        <v>Key Artist</v>
      </c>
    </row>
    <row r="175">
      <c r="A175" s="44" t="s">
        <v>535</v>
      </c>
      <c r="B175" s="103"/>
      <c r="C175" s="121" t="str">
        <f t="array" ref="C175">ifs(and(isblank($A175),isblank($B175)),"", not(iserror(vlookup($A175&amp;$B175,'5) Release_Track'!$F:$F&amp;'5) Release_Track'!$G:$G,1,0))),vlookup($A175&amp;$B175,{'5) Release_Track'!$F:$F&amp;'5) Release_Track'!$G:$G,'5) Release_Track'!$H:$H},2,0), or(and(not(isblank($B175)),$B175=$B174,$A175&lt;&gt;$A174),and(not(isblank($A175)),$A175=$A174,$B175&lt;&gt;$B174)),"ID LISTS UNALIGNED",and($A175&lt;&gt;"",countif('5) Release_Track'!$F:$F,$A175)=0),"NO ISRC MATCH in Release_Track",and($B175&lt;&gt;"",countif('5) Release_Track'!$G:$G,$B175)=0),"NO CATALOG ID MATCH in Release_Track",iserror(vlookup($A175&amp;$B175,'5) Release_Track'!$F:$F&amp;'5) Release_Track'!$G:$G,1,0)),"NO ISRC-CATALOG ID pair MATCH in Release_Track" )</f>
        <v>Majhe Wal Da (From "Chal Mera Putt 2" Soundtrack)</v>
      </c>
      <c r="D175" s="121" t="str">
        <f t="array" ref="D175">ifs(and(isblank($A175),isblank($B175)),"", not(iserror(vlookup($A175&amp;$B175,'5) Release_Track'!$F:$F&amp;'5) Release_Track'!$G:$G,1,0))),vlookup($A175&amp;$B175,{'5) Release_Track'!$F:$F&amp;'5) Release_Track'!$G:$G,'5) Release_Track'!$I:$I},2,0), or(and(not(isblank($B175)),$B175=$B174,$A175&lt;&gt;$A174),and(not(isblank($A175)),$A175=$A174,$B175&lt;&gt;$B174)),"ID LISTS UNALIGNED",and($A175&lt;&gt;"",countif('5) Release_Track'!$F:$F,$A175)=0),"NO ISRC MATCH in Release_Track",and($B175&lt;&gt;"",countif('5) Release_Track'!$G:$G,$B175)=0),"NO CATALOG ID MATCH in Release_Track",iserror(vlookup($A175&amp;$B175,'5) Release_Track'!$F:$F&amp;'5) Release_Track'!$G:$G,1,0)),"NO ISRC-CATALOG ID pair MATCH in Release_Track" )</f>
        <v/>
      </c>
      <c r="E175" s="44" t="s">
        <v>127</v>
      </c>
      <c r="F175" s="8" t="s">
        <v>331</v>
      </c>
      <c r="G175" s="123" t="str">
        <f t="array" ref="G175">ifs(or($F175="",$F175="Main Primary Artist"),$F175,not(iserror(vlookup($F175,'Reference info'!$J$5:$J$8,1,0))),"Key Artist",not(iserror(vlookup($F175,'Reference info'!$J$38:$J$405,1,0))),"Performer",not(iserror(vlookup($F175,'Reference info'!$J$10:$J$36,1,0))),"Producer &amp; Engineer")</f>
        <v>Key Artist</v>
      </c>
    </row>
    <row r="176">
      <c r="A176" s="44" t="s">
        <v>537</v>
      </c>
      <c r="B176" s="103"/>
      <c r="C176" s="121" t="str">
        <f t="array" ref="C176">ifs(and(isblank($A176),isblank($B176)),"", not(iserror(vlookup($A176&amp;$B176,'5) Release_Track'!$F:$F&amp;'5) Release_Track'!$G:$G,1,0))),vlookup($A176&amp;$B176,{'5) Release_Track'!$F:$F&amp;'5) Release_Track'!$G:$G,'5) Release_Track'!$H:$H},2,0), or(and(not(isblank($B176)),$B176=$B175,$A176&lt;&gt;$A175),and(not(isblank($A176)),$A176=$A175,$B176&lt;&gt;$B175)),"ID LISTS UNALIGNED",and($A176&lt;&gt;"",countif('5) Release_Track'!$F:$F,$A176)=0),"NO ISRC MATCH in Release_Track",and($B176&lt;&gt;"",countif('5) Release_Track'!$G:$G,$B176)=0),"NO CATALOG ID MATCH in Release_Track",iserror(vlookup($A176&amp;$B176,'5) Release_Track'!$F:$F&amp;'5) Release_Track'!$G:$G,1,0)),"NO ISRC-CATALOG ID pair MATCH in Release_Track" )</f>
        <v>Doubt</v>
      </c>
      <c r="D176" s="121" t="str">
        <f t="array" ref="D176">ifs(and(isblank($A176),isblank($B176)),"", not(iserror(vlookup($A176&amp;$B176,'5) Release_Track'!$F:$F&amp;'5) Release_Track'!$G:$G,1,0))),vlookup($A176&amp;$B176,{'5) Release_Track'!$F:$F&amp;'5) Release_Track'!$G:$G,'5) Release_Track'!$I:$I},2,0), or(and(not(isblank($B176)),$B176=$B175,$A176&lt;&gt;$A175),and(not(isblank($A176)),$A176=$A175,$B176&lt;&gt;$B175)),"ID LISTS UNALIGNED",and($A176&lt;&gt;"",countif('5) Release_Track'!$F:$F,$A176)=0),"NO ISRC MATCH in Release_Track",and($B176&lt;&gt;"",countif('5) Release_Track'!$G:$G,$B176)=0),"NO CATALOG ID MATCH in Release_Track",iserror(vlookup($A176&amp;$B176,'5) Release_Track'!$F:$F&amp;'5) Release_Track'!$G:$G,1,0)),"NO ISRC-CATALOG ID pair MATCH in Release_Track" )</f>
        <v/>
      </c>
      <c r="E176" s="44" t="s">
        <v>67</v>
      </c>
      <c r="F176" s="8" t="s">
        <v>323</v>
      </c>
      <c r="G176" s="123" t="str">
        <f t="array" ref="G176">ifs(or($F176="",$F176="Main Primary Artist"),$F176,not(iserror(vlookup($F176,'Reference info'!$J$5:$J$8,1,0))),"Key Artist",not(iserror(vlookup($F176,'Reference info'!$J$38:$J$405,1,0))),"Performer",not(iserror(vlookup($F176,'Reference info'!$J$10:$J$36,1,0))),"Producer &amp; Engineer")</f>
        <v>Main Primary Artist</v>
      </c>
    </row>
    <row r="177">
      <c r="A177" s="44" t="s">
        <v>537</v>
      </c>
      <c r="B177" s="103"/>
      <c r="C177" s="121" t="str">
        <f t="array" ref="C177">ifs(and(isblank($A177),isblank($B177)),"", not(iserror(vlookup($A177&amp;$B177,'5) Release_Track'!$F:$F&amp;'5) Release_Track'!$G:$G,1,0))),vlookup($A177&amp;$B177,{'5) Release_Track'!$F:$F&amp;'5) Release_Track'!$G:$G,'5) Release_Track'!$H:$H},2,0), or(and(not(isblank($B177)),$B177=$B176,$A177&lt;&gt;$A176),and(not(isblank($A177)),$A177=$A176,$B177&lt;&gt;$B176)),"ID LISTS UNALIGNED",and($A177&lt;&gt;"",countif('5) Release_Track'!$F:$F,$A177)=0),"NO ISRC MATCH in Release_Track",and($B177&lt;&gt;"",countif('5) Release_Track'!$G:$G,$B177)=0),"NO CATALOG ID MATCH in Release_Track",iserror(vlookup($A177&amp;$B177,'5) Release_Track'!$F:$F&amp;'5) Release_Track'!$G:$G,1,0)),"NO ISRC-CATALOG ID pair MATCH in Release_Track" )</f>
        <v>Doubt</v>
      </c>
      <c r="D177" s="121" t="str">
        <f t="array" ref="D177">ifs(and(isblank($A177),isblank($B177)),"", not(iserror(vlookup($A177&amp;$B177,'5) Release_Track'!$F:$F&amp;'5) Release_Track'!$G:$G,1,0))),vlookup($A177&amp;$B177,{'5) Release_Track'!$F:$F&amp;'5) Release_Track'!$G:$G,'5) Release_Track'!$I:$I},2,0), or(and(not(isblank($B177)),$B177=$B176,$A177&lt;&gt;$A176),and(not(isblank($A177)),$A177=$A176,$B177&lt;&gt;$B176)),"ID LISTS UNALIGNED",and($A177&lt;&gt;"",countif('5) Release_Track'!$F:$F,$A177)=0),"NO ISRC MATCH in Release_Track",and($B177&lt;&gt;"",countif('5) Release_Track'!$G:$G,$B177)=0),"NO CATALOG ID MATCH in Release_Track",iserror(vlookup($A177&amp;$B177,'5) Release_Track'!$F:$F&amp;'5) Release_Track'!$G:$G,1,0)),"NO ISRC-CATALOG ID pair MATCH in Release_Track" )</f>
        <v/>
      </c>
      <c r="E177" s="44" t="s">
        <v>129</v>
      </c>
      <c r="F177" s="8" t="s">
        <v>324</v>
      </c>
      <c r="G177" s="123" t="str">
        <f t="array" ref="G177">ifs(or($F177="",$F177="Main Primary Artist"),$F177,not(iserror(vlookup($F177,'Reference info'!$J$5:$J$8,1,0))),"Key Artist",not(iserror(vlookup($F177,'Reference info'!$J$38:$J$405,1,0))),"Performer",not(iserror(vlookup($F177,'Reference info'!$J$10:$J$36,1,0))),"Producer &amp; Engineer")</f>
        <v>Key Artist</v>
      </c>
    </row>
    <row r="178">
      <c r="A178" s="8" t="s">
        <v>354</v>
      </c>
      <c r="B178" s="120"/>
      <c r="C178" s="8" t="s">
        <v>172</v>
      </c>
      <c r="D178" s="121" t="str">
        <f t="array" ref="D178">ifs(and(isblank($A178),isblank($B178)),"", not(iserror(vlookup($A178&amp;$B178,'5) Release_Track'!$F:$F&amp;'5) Release_Track'!$G:$G,1,0))),vlookup($A178&amp;$B178,{'5) Release_Track'!$F:$F&amp;'5) Release_Track'!$G:$G,'5) Release_Track'!$I:$I},2,0), or(and(not(isblank($B178)),$B178=$B177,$A178&lt;&gt;$A177),and(not(isblank($A178)),$A178=$A177,$B178&lt;&gt;$B177)),"ID LISTS UNALIGNED",and($A178&lt;&gt;"",countif('5) Release_Track'!$F:$F,$A178)=0),"NO ISRC MATCH in Release_Track",and($B178&lt;&gt;"",countif('5) Release_Track'!$G:$G,$B178)=0),"NO CATALOG ID MATCH in Release_Track",iserror(vlookup($A178&amp;$B178,'5) Release_Track'!$F:$F&amp;'5) Release_Track'!$G:$G,1,0)),"NO ISRC-CATALOG ID pair MATCH in Release_Track" )</f>
        <v/>
      </c>
      <c r="E178" s="8" t="s">
        <v>51</v>
      </c>
      <c r="F178" s="8" t="s">
        <v>326</v>
      </c>
      <c r="G178" s="123" t="str">
        <f t="array" ref="G178">ifs(or($F178="",$F178="Main Primary Artist"),$F178,not(iserror(vlookup($F178,'Reference info'!$J$5:$J$8,1,0))),"Key Artist",not(iserror(vlookup($F178,'Reference info'!$J$38:$J$405,1,0))),"Performer",not(iserror(vlookup($F178,'Reference info'!$J$10:$J$36,1,0))),"Producer &amp; Engineer")</f>
        <v>Producer &amp; Engineer</v>
      </c>
    </row>
    <row r="179">
      <c r="A179" s="8" t="s">
        <v>358</v>
      </c>
      <c r="B179" s="103"/>
      <c r="C179" s="8" t="s">
        <v>175</v>
      </c>
      <c r="D179" s="121" t="str">
        <f t="array" ref="D179">ifs(and(isblank($A179),isblank($B179)),"", not(iserror(vlookup($A179&amp;$B179,'5) Release_Track'!$F:$F&amp;'5) Release_Track'!$G:$G,1,0))),vlookup($A179&amp;$B179,{'5) Release_Track'!$F:$F&amp;'5) Release_Track'!$G:$G,'5) Release_Track'!$I:$I},2,0), or(and(not(isblank($B179)),$B179=$B178,$A179&lt;&gt;$A178),and(not(isblank($A179)),$A179=$A178,$B179&lt;&gt;$B178)),"ID LISTS UNALIGNED",and($A179&lt;&gt;"",countif('5) Release_Track'!$F:$F,$A179)=0),"NO ISRC MATCH in Release_Track",and($B179&lt;&gt;"",countif('5) Release_Track'!$G:$G,$B179)=0),"NO CATALOG ID MATCH in Release_Track",iserror(vlookup($A179&amp;$B179,'5) Release_Track'!$F:$F&amp;'5) Release_Track'!$G:$G,1,0)),"NO ISRC-CATALOG ID pair MATCH in Release_Track" )</f>
        <v/>
      </c>
      <c r="E179" s="8" t="s">
        <v>51</v>
      </c>
      <c r="F179" s="8" t="s">
        <v>326</v>
      </c>
      <c r="G179" s="123" t="str">
        <f t="array" ref="G179">ifs(or($F179="",$F179="Main Primary Artist"),$F179,not(iserror(vlookup($F179,'Reference info'!$J$5:$J$8,1,0))),"Key Artist",not(iserror(vlookup($F179,'Reference info'!$J$38:$J$405,1,0))),"Performer",not(iserror(vlookup($F179,'Reference info'!$J$10:$J$36,1,0))),"Producer &amp; Engineer")</f>
        <v>Producer &amp; Engineer</v>
      </c>
    </row>
    <row r="180">
      <c r="A180" s="8" t="s">
        <v>360</v>
      </c>
      <c r="B180" s="120"/>
      <c r="C180" s="8" t="s">
        <v>177</v>
      </c>
      <c r="D180" s="121" t="str">
        <f t="array" ref="D180">ifs(and(isblank($A180),isblank($B180)),"", not(iserror(vlookup($A180&amp;$B180,'5) Release_Track'!$F:$F&amp;'5) Release_Track'!$G:$G,1,0))),vlookup($A180&amp;$B180,{'5) Release_Track'!$F:$F&amp;'5) Release_Track'!$G:$G,'5) Release_Track'!$I:$I},2,0), or(and(not(isblank($B180)),$B180=$B179,$A180&lt;&gt;$A179),and(not(isblank($A180)),$A180=$A179,$B180&lt;&gt;$B179)),"ID LISTS UNALIGNED",and($A180&lt;&gt;"",countif('5) Release_Track'!$F:$F,$A180)=0),"NO ISRC MATCH in Release_Track",and($B180&lt;&gt;"",countif('5) Release_Track'!$G:$G,$B180)=0),"NO CATALOG ID MATCH in Release_Track",iserror(vlookup($A180&amp;$B180,'5) Release_Track'!$F:$F&amp;'5) Release_Track'!$G:$G,1,0)),"NO ISRC-CATALOG ID pair MATCH in Release_Track" )</f>
        <v/>
      </c>
      <c r="E180" s="8" t="s">
        <v>51</v>
      </c>
      <c r="F180" s="8" t="s">
        <v>326</v>
      </c>
      <c r="G180" s="123" t="str">
        <f t="array" ref="G180">ifs(or($F180="",$F180="Main Primary Artist"),$F180,not(iserror(vlookup($F180,'Reference info'!$J$5:$J$8,1,0))),"Key Artist",not(iserror(vlookup($F180,'Reference info'!$J$38:$J$405,1,0))),"Performer",not(iserror(vlookup($F180,'Reference info'!$J$10:$J$36,1,0))),"Producer &amp; Engineer")</f>
        <v>Producer &amp; Engineer</v>
      </c>
    </row>
    <row r="181">
      <c r="A181" s="8" t="s">
        <v>362</v>
      </c>
      <c r="B181" s="120"/>
      <c r="C181" s="8" t="s">
        <v>179</v>
      </c>
      <c r="D181" s="121" t="str">
        <f t="array" ref="D181">ifs(and(isblank($A181),isblank($B181)),"", not(iserror(vlookup($A181&amp;$B181,'5) Release_Track'!$F:$F&amp;'5) Release_Track'!$G:$G,1,0))),vlookup($A181&amp;$B181,{'5) Release_Track'!$F:$F&amp;'5) Release_Track'!$G:$G,'5) Release_Track'!$I:$I},2,0), or(and(not(isblank($B181)),$B181=$B180,$A181&lt;&gt;$A180),and(not(isblank($A181)),$A181=$A180,$B181&lt;&gt;$B180)),"ID LISTS UNALIGNED",and($A181&lt;&gt;"",countif('5) Release_Track'!$F:$F,$A181)=0),"NO ISRC MATCH in Release_Track",and($B181&lt;&gt;"",countif('5) Release_Track'!$G:$G,$B181)=0),"NO CATALOG ID MATCH in Release_Track",iserror(vlookup($A181&amp;$B181,'5) Release_Track'!$F:$F&amp;'5) Release_Track'!$G:$G,1,0)),"NO ISRC-CATALOG ID pair MATCH in Release_Track" )</f>
        <v/>
      </c>
      <c r="E181" s="8" t="s">
        <v>51</v>
      </c>
      <c r="F181" s="8" t="s">
        <v>326</v>
      </c>
      <c r="G181" s="123" t="str">
        <f t="array" ref="G181">ifs(or($F181="",$F181="Main Primary Artist"),$F181,not(iserror(vlookup($F181,'Reference info'!$J$5:$J$8,1,0))),"Key Artist",not(iserror(vlookup($F181,'Reference info'!$J$38:$J$405,1,0))),"Performer",not(iserror(vlookup($F181,'Reference info'!$J$10:$J$36,1,0))),"Producer &amp; Engineer")</f>
        <v>Producer &amp; Engineer</v>
      </c>
    </row>
    <row r="182">
      <c r="A182" s="8" t="s">
        <v>364</v>
      </c>
      <c r="B182" s="120"/>
      <c r="C182" s="8" t="s">
        <v>365</v>
      </c>
      <c r="D182" s="121" t="str">
        <f t="array" ref="D182">ifs(and(isblank($A182),isblank($B182)),"", not(iserror(vlookup($A182&amp;$B182,'5) Release_Track'!$F:$F&amp;'5) Release_Track'!$G:$G,1,0))),vlookup($A182&amp;$B182,{'5) Release_Track'!$F:$F&amp;'5) Release_Track'!$G:$G,'5) Release_Track'!$I:$I},2,0), or(and(not(isblank($B182)),$B182=$B181,$A182&lt;&gt;$A181),and(not(isblank($A182)),$A182=$A181,$B182&lt;&gt;$B181)),"ID LISTS UNALIGNED",and($A182&lt;&gt;"",countif('5) Release_Track'!$F:$F,$A182)=0),"NO ISRC MATCH in Release_Track",and($B182&lt;&gt;"",countif('5) Release_Track'!$G:$G,$B182)=0),"NO CATALOG ID MATCH in Release_Track",iserror(vlookup($A182&amp;$B182,'5) Release_Track'!$F:$F&amp;'5) Release_Track'!$G:$G,1,0)),"NO ISRC-CATALOG ID pair MATCH in Release_Track" )</f>
        <v/>
      </c>
      <c r="E182" s="8" t="s">
        <v>51</v>
      </c>
      <c r="F182" s="8" t="s">
        <v>326</v>
      </c>
      <c r="G182" s="123" t="str">
        <f t="array" ref="G182">ifs(or($F182="",$F182="Main Primary Artist"),$F182,not(iserror(vlookup($F182,'Reference info'!$J$5:$J$8,1,0))),"Key Artist",not(iserror(vlookup($F182,'Reference info'!$J$38:$J$405,1,0))),"Performer",not(iserror(vlookup($F182,'Reference info'!$J$10:$J$36,1,0))),"Producer &amp; Engineer")</f>
        <v>Producer &amp; Engineer</v>
      </c>
    </row>
    <row r="183">
      <c r="A183" s="8" t="s">
        <v>367</v>
      </c>
      <c r="B183" s="120"/>
      <c r="C183" s="8" t="s">
        <v>368</v>
      </c>
      <c r="D183" s="121" t="str">
        <f t="array" ref="D183">ifs(and(isblank($A183),isblank($B183)),"", not(iserror(vlookup($A183&amp;$B183,'5) Release_Track'!$F:$F&amp;'5) Release_Track'!$G:$G,1,0))),vlookup($A183&amp;$B183,{'5) Release_Track'!$F:$F&amp;'5) Release_Track'!$G:$G,'5) Release_Track'!$I:$I},2,0), or(and(not(isblank($B183)),$B183=$B182,$A183&lt;&gt;$A182),and(not(isblank($A183)),$A183=$A182,$B183&lt;&gt;$B182)),"ID LISTS UNALIGNED",and($A183&lt;&gt;"",countif('5) Release_Track'!$F:$F,$A183)=0),"NO ISRC MATCH in Release_Track",and($B183&lt;&gt;"",countif('5) Release_Track'!$G:$G,$B183)=0),"NO CATALOG ID MATCH in Release_Track",iserror(vlookup($A183&amp;$B183,'5) Release_Track'!$F:$F&amp;'5) Release_Track'!$G:$G,1,0)),"NO ISRC-CATALOG ID pair MATCH in Release_Track" )</f>
        <v/>
      </c>
      <c r="E183" s="8" t="s">
        <v>51</v>
      </c>
      <c r="F183" s="8" t="s">
        <v>326</v>
      </c>
      <c r="G183" s="123" t="str">
        <f t="array" ref="G183">ifs(or($F183="",$F183="Main Primary Artist"),$F183,not(iserror(vlookup($F183,'Reference info'!$J$5:$J$8,1,0))),"Key Artist",not(iserror(vlookup($F183,'Reference info'!$J$38:$J$405,1,0))),"Performer",not(iserror(vlookup($F183,'Reference info'!$J$10:$J$36,1,0))),"Producer &amp; Engineer")</f>
        <v>Producer &amp; Engineer</v>
      </c>
    </row>
    <row r="184">
      <c r="A184" s="8" t="s">
        <v>370</v>
      </c>
      <c r="B184" s="120"/>
      <c r="C184" s="8" t="s">
        <v>371</v>
      </c>
      <c r="D184" s="121" t="str">
        <f t="array" ref="D184">ifs(and(isblank($A184),isblank($B184)),"", not(iserror(vlookup($A184&amp;$B184,'5) Release_Track'!$F:$F&amp;'5) Release_Track'!$G:$G,1,0))),vlookup($A184&amp;$B184,{'5) Release_Track'!$F:$F&amp;'5) Release_Track'!$G:$G,'5) Release_Track'!$I:$I},2,0), or(and(not(isblank($B184)),$B184=$B183,$A184&lt;&gt;$A183),and(not(isblank($A184)),$A184=$A183,$B184&lt;&gt;$B183)),"ID LISTS UNALIGNED",and($A184&lt;&gt;"",countif('5) Release_Track'!$F:$F,$A184)=0),"NO ISRC MATCH in Release_Track",and($B184&lt;&gt;"",countif('5) Release_Track'!$G:$G,$B184)=0),"NO CATALOG ID MATCH in Release_Track",iserror(vlookup($A184&amp;$B184,'5) Release_Track'!$F:$F&amp;'5) Release_Track'!$G:$G,1,0)),"NO ISRC-CATALOG ID pair MATCH in Release_Track" )</f>
        <v/>
      </c>
      <c r="E184" s="8" t="s">
        <v>51</v>
      </c>
      <c r="F184" s="8" t="s">
        <v>326</v>
      </c>
      <c r="G184" s="123" t="str">
        <f t="array" ref="G184">ifs(or($F184="",$F184="Main Primary Artist"),$F184,not(iserror(vlookup($F184,'Reference info'!$J$5:$J$8,1,0))),"Key Artist",not(iserror(vlookup($F184,'Reference info'!$J$38:$J$405,1,0))),"Performer",not(iserror(vlookup($F184,'Reference info'!$J$10:$J$36,1,0))),"Producer &amp; Engineer")</f>
        <v>Producer &amp; Engineer</v>
      </c>
    </row>
    <row r="185">
      <c r="A185" s="8" t="s">
        <v>373</v>
      </c>
      <c r="B185" s="103"/>
      <c r="C185" s="8" t="s">
        <v>374</v>
      </c>
      <c r="D185" s="121" t="str">
        <f t="array" ref="D185">ifs(and(isblank($A185),isblank($B185)),"", not(iserror(vlookup($A185&amp;$B185,'5) Release_Track'!$F:$F&amp;'5) Release_Track'!$G:$G,1,0))),vlookup($A185&amp;$B185,{'5) Release_Track'!$F:$F&amp;'5) Release_Track'!$G:$G,'5) Release_Track'!$I:$I},2,0), or(and(not(isblank($B185)),$B185=$B184,$A185&lt;&gt;$A184),and(not(isblank($A185)),$A185=$A184,$B185&lt;&gt;$B184)),"ID LISTS UNALIGNED",and($A185&lt;&gt;"",countif('5) Release_Track'!$F:$F,$A185)=0),"NO ISRC MATCH in Release_Track",and($B185&lt;&gt;"",countif('5) Release_Track'!$G:$G,$B185)=0),"NO CATALOG ID MATCH in Release_Track",iserror(vlookup($A185&amp;$B185,'5) Release_Track'!$F:$F&amp;'5) Release_Track'!$G:$G,1,0)),"NO ISRC-CATALOG ID pair MATCH in Release_Track" )</f>
        <v/>
      </c>
      <c r="E185" s="8" t="s">
        <v>51</v>
      </c>
      <c r="F185" s="8" t="s">
        <v>326</v>
      </c>
      <c r="G185" s="123" t="str">
        <f t="array" ref="G185">ifs(or($F185="",$F185="Main Primary Artist"),$F185,not(iserror(vlookup($F185,'Reference info'!$J$5:$J$8,1,0))),"Key Artist",not(iserror(vlookup($F185,'Reference info'!$J$38:$J$405,1,0))),"Performer",not(iserror(vlookup($F185,'Reference info'!$J$10:$J$36,1,0))),"Producer &amp; Engineer")</f>
        <v>Producer &amp; Engineer</v>
      </c>
    </row>
    <row r="186">
      <c r="A186" s="8" t="s">
        <v>382</v>
      </c>
      <c r="B186" s="103"/>
      <c r="C186" s="8" t="s">
        <v>383</v>
      </c>
      <c r="D186" s="121" t="str">
        <f t="array" ref="D186">ifs(and(isblank($A186),isblank($B186)),"", not(iserror(vlookup($A186&amp;$B186,'5) Release_Track'!$F:$F&amp;'5) Release_Track'!$G:$G,1,0))),vlookup($A186&amp;$B186,{'5) Release_Track'!$F:$F&amp;'5) Release_Track'!$G:$G,'5) Release_Track'!$I:$I},2,0), or(and(not(isblank($B186)),$B186=$B185,$A186&lt;&gt;$A185),and(not(isblank($A186)),$A186=$A185,$B186&lt;&gt;$B185)),"ID LISTS UNALIGNED",and($A186&lt;&gt;"",countif('5) Release_Track'!$F:$F,$A186)=0),"NO ISRC MATCH in Release_Track",and($B186&lt;&gt;"",countif('5) Release_Track'!$G:$G,$B186)=0),"NO CATALOG ID MATCH in Release_Track",iserror(vlookup($A186&amp;$B186,'5) Release_Track'!$F:$F&amp;'5) Release_Track'!$G:$G,1,0)),"NO ISRC-CATALOG ID pair MATCH in Release_Track" )</f>
        <v/>
      </c>
      <c r="E186" s="8" t="s">
        <v>51</v>
      </c>
      <c r="F186" s="8" t="s">
        <v>326</v>
      </c>
      <c r="G186" s="123" t="str">
        <f t="array" ref="G186">ifs(or($F186="",$F186="Main Primary Artist"),$F186,not(iserror(vlookup($F186,'Reference info'!$J$5:$J$8,1,0))),"Key Artist",not(iserror(vlookup($F186,'Reference info'!$J$38:$J$405,1,0))),"Performer",not(iserror(vlookup($F186,'Reference info'!$J$10:$J$36,1,0))),"Producer &amp; Engineer")</f>
        <v>Producer &amp; Engineer</v>
      </c>
    </row>
    <row r="187">
      <c r="A187" s="8" t="s">
        <v>385</v>
      </c>
      <c r="B187" s="103"/>
      <c r="C187" s="8" t="s">
        <v>183</v>
      </c>
      <c r="D187" s="121" t="str">
        <f t="array" ref="D187">ifs(and(isblank($A187),isblank($B187)),"", not(iserror(vlookup($A187&amp;$B187,'5) Release_Track'!$F:$F&amp;'5) Release_Track'!$G:$G,1,0))),vlookup($A187&amp;$B187,{'5) Release_Track'!$F:$F&amp;'5) Release_Track'!$G:$G,'5) Release_Track'!$I:$I},2,0), or(and(not(isblank($B187)),$B187=$B186,$A187&lt;&gt;$A186),and(not(isblank($A187)),$A187=$A186,$B187&lt;&gt;$B186)),"ID LISTS UNALIGNED",and($A187&lt;&gt;"",countif('5) Release_Track'!$F:$F,$A187)=0),"NO ISRC MATCH in Release_Track",and($B187&lt;&gt;"",countif('5) Release_Track'!$G:$G,$B187)=0),"NO CATALOG ID MATCH in Release_Track",iserror(vlookup($A187&amp;$B187,'5) Release_Track'!$F:$F&amp;'5) Release_Track'!$G:$G,1,0)),"NO ISRC-CATALOG ID pair MATCH in Release_Track" )</f>
        <v/>
      </c>
      <c r="E187" s="8" t="s">
        <v>51</v>
      </c>
      <c r="F187" s="8" t="s">
        <v>326</v>
      </c>
      <c r="G187" s="123" t="str">
        <f t="array" ref="G187">ifs(or($F187="",$F187="Main Primary Artist"),$F187,not(iserror(vlookup($F187,'Reference info'!$J$5:$J$8,1,0))),"Key Artist",not(iserror(vlookup($F187,'Reference info'!$J$38:$J$405,1,0))),"Performer",not(iserror(vlookup($F187,'Reference info'!$J$10:$J$36,1,0))),"Producer &amp; Engineer")</f>
        <v>Producer &amp; Engineer</v>
      </c>
    </row>
    <row r="188">
      <c r="A188" s="8" t="s">
        <v>387</v>
      </c>
      <c r="B188" s="103"/>
      <c r="C188" s="8" t="s">
        <v>185</v>
      </c>
      <c r="D188" s="121" t="str">
        <f t="array" ref="D188">ifs(and(isblank($A188),isblank($B188)),"", not(iserror(vlookup($A188&amp;$B188,'5) Release_Track'!$F:$F&amp;'5) Release_Track'!$G:$G,1,0))),vlookup($A188&amp;$B188,{'5) Release_Track'!$F:$F&amp;'5) Release_Track'!$G:$G,'5) Release_Track'!$I:$I},2,0), or(and(not(isblank($B188)),$B188=$B187,$A188&lt;&gt;$A187),and(not(isblank($A188)),$A188=$A187,$B188&lt;&gt;$B187)),"ID LISTS UNALIGNED",and($A188&lt;&gt;"",countif('5) Release_Track'!$F:$F,$A188)=0),"NO ISRC MATCH in Release_Track",and($B188&lt;&gt;"",countif('5) Release_Track'!$G:$G,$B188)=0),"NO CATALOG ID MATCH in Release_Track",iserror(vlookup($A188&amp;$B188,'5) Release_Track'!$F:$F&amp;'5) Release_Track'!$G:$G,1,0)),"NO ISRC-CATALOG ID pair MATCH in Release_Track" )</f>
        <v/>
      </c>
      <c r="E188" s="47" t="s">
        <v>47</v>
      </c>
      <c r="F188" s="8" t="s">
        <v>326</v>
      </c>
      <c r="G188" s="123" t="str">
        <f t="array" ref="G188">ifs(or($F188="",$F188="Main Primary Artist"),$F188,not(iserror(vlookup($F188,'Reference info'!$J$5:$J$8,1,0))),"Key Artist",not(iserror(vlookup($F188,'Reference info'!$J$38:$J$405,1,0))),"Performer",not(iserror(vlookup($F188,'Reference info'!$J$10:$J$36,1,0))),"Producer &amp; Engineer")</f>
        <v>Producer &amp; Engineer</v>
      </c>
    </row>
    <row r="189">
      <c r="A189" s="8" t="s">
        <v>389</v>
      </c>
      <c r="B189" s="103"/>
      <c r="C189" s="8" t="s">
        <v>187</v>
      </c>
      <c r="D189" s="121" t="str">
        <f t="array" ref="D189">ifs(and(isblank($A189),isblank($B189)),"", not(iserror(vlookup($A189&amp;$B189,'5) Release_Track'!$F:$F&amp;'5) Release_Track'!$G:$G,1,0))),vlookup($A189&amp;$B189,{'5) Release_Track'!$F:$F&amp;'5) Release_Track'!$G:$G,'5) Release_Track'!$I:$I},2,0), or(and(not(isblank($B189)),$B189=$B188,$A189&lt;&gt;$A188),and(not(isblank($A189)),$A189=$A188,$B189&lt;&gt;$B188)),"ID LISTS UNALIGNED",and($A189&lt;&gt;"",countif('5) Release_Track'!$F:$F,$A189)=0),"NO ISRC MATCH in Release_Track",and($B189&lt;&gt;"",countif('5) Release_Track'!$G:$G,$B189)=0),"NO CATALOG ID MATCH in Release_Track",iserror(vlookup($A189&amp;$B189,'5) Release_Track'!$F:$F&amp;'5) Release_Track'!$G:$G,1,0)),"NO ISRC-CATALOG ID pair MATCH in Release_Track" )</f>
        <v/>
      </c>
      <c r="E189" s="47" t="s">
        <v>51</v>
      </c>
      <c r="F189" s="8" t="s">
        <v>326</v>
      </c>
      <c r="G189" s="123" t="str">
        <f t="array" ref="G189">ifs(or($F189="",$F189="Main Primary Artist"),$F189,not(iserror(vlookup($F189,'Reference info'!$J$5:$J$8,1,0))),"Key Artist",not(iserror(vlookup($F189,'Reference info'!$J$38:$J$405,1,0))),"Performer",not(iserror(vlookup($F189,'Reference info'!$J$10:$J$36,1,0))),"Producer &amp; Engineer")</f>
        <v>Producer &amp; Engineer</v>
      </c>
    </row>
    <row r="190">
      <c r="A190" s="8" t="s">
        <v>391</v>
      </c>
      <c r="B190" s="103"/>
      <c r="C190" s="8" t="s">
        <v>189</v>
      </c>
      <c r="D190" s="121" t="str">
        <f t="array" ref="D190">ifs(and(isblank($A190),isblank($B190)),"", not(iserror(vlookup($A190&amp;$B190,'5) Release_Track'!$F:$F&amp;'5) Release_Track'!$G:$G,1,0))),vlookup($A190&amp;$B190,{'5) Release_Track'!$F:$F&amp;'5) Release_Track'!$G:$G,'5) Release_Track'!$I:$I},2,0), or(and(not(isblank($B190)),$B190=$B189,$A190&lt;&gt;$A189),and(not(isblank($A190)),$A190=$A189,$B190&lt;&gt;$B189)),"ID LISTS UNALIGNED",and($A190&lt;&gt;"",countif('5) Release_Track'!$F:$F,$A190)=0),"NO ISRC MATCH in Release_Track",and($B190&lt;&gt;"",countif('5) Release_Track'!$G:$G,$B190)=0),"NO CATALOG ID MATCH in Release_Track",iserror(vlookup($A190&amp;$B190,'5) Release_Track'!$F:$F&amp;'5) Release_Track'!$G:$G,1,0)),"NO ISRC-CATALOG ID pair MATCH in Release_Track" )</f>
        <v/>
      </c>
      <c r="E190" s="47" t="s">
        <v>61</v>
      </c>
      <c r="F190" s="8" t="s">
        <v>326</v>
      </c>
      <c r="G190" s="123" t="str">
        <f t="array" ref="G190">ifs(or($F190="",$F190="Main Primary Artist"),$F190,not(iserror(vlookup($F190,'Reference info'!$J$5:$J$8,1,0))),"Key Artist",not(iserror(vlookup($F190,'Reference info'!$J$38:$J$405,1,0))),"Performer",not(iserror(vlookup($F190,'Reference info'!$J$10:$J$36,1,0))),"Producer &amp; Engineer")</f>
        <v>Producer &amp; Engineer</v>
      </c>
    </row>
    <row r="191">
      <c r="A191" s="8" t="s">
        <v>393</v>
      </c>
      <c r="B191" s="103"/>
      <c r="C191" s="8" t="s">
        <v>191</v>
      </c>
      <c r="D191" s="121" t="str">
        <f t="array" ref="D191">ifs(and(isblank($A191),isblank($B191)),"", not(iserror(vlookup($A191&amp;$B191,'5) Release_Track'!$F:$F&amp;'5) Release_Track'!$G:$G,1,0))),vlookup($A191&amp;$B191,{'5) Release_Track'!$F:$F&amp;'5) Release_Track'!$G:$G,'5) Release_Track'!$I:$I},2,0), or(and(not(isblank($B191)),$B191=$B190,$A191&lt;&gt;$A190),and(not(isblank($A191)),$A191=$A190,$B191&lt;&gt;$B190)),"ID LISTS UNALIGNED",and($A191&lt;&gt;"",countif('5) Release_Track'!$F:$F,$A191)=0),"NO ISRC MATCH in Release_Track",and($B191&lt;&gt;"",countif('5) Release_Track'!$G:$G,$B191)=0),"NO CATALOG ID MATCH in Release_Track",iserror(vlookup($A191&amp;$B191,'5) Release_Track'!$F:$F&amp;'5) Release_Track'!$G:$G,1,0)),"NO ISRC-CATALOG ID pair MATCH in Release_Track" )</f>
        <v/>
      </c>
      <c r="E191" s="47" t="s">
        <v>51</v>
      </c>
      <c r="F191" s="8" t="s">
        <v>326</v>
      </c>
      <c r="G191" s="123" t="str">
        <f t="array" ref="G191">ifs(or($F191="",$F191="Main Primary Artist"),$F191,not(iserror(vlookup($F191,'Reference info'!$J$5:$J$8,1,0))),"Key Artist",not(iserror(vlookup($F191,'Reference info'!$J$38:$J$405,1,0))),"Performer",not(iserror(vlookup($F191,'Reference info'!$J$10:$J$36,1,0))),"Producer &amp; Engineer")</f>
        <v>Producer &amp; Engineer</v>
      </c>
    </row>
    <row r="192">
      <c r="A192" s="8" t="s">
        <v>395</v>
      </c>
      <c r="B192" s="103"/>
      <c r="C192" s="8" t="s">
        <v>193</v>
      </c>
      <c r="D192" s="121" t="str">
        <f t="array" ref="D192">ifs(and(isblank($A192),isblank($B192)),"", not(iserror(vlookup($A192&amp;$B192,'5) Release_Track'!$F:$F&amp;'5) Release_Track'!$G:$G,1,0))),vlookup($A192&amp;$B192,{'5) Release_Track'!$F:$F&amp;'5) Release_Track'!$G:$G,'5) Release_Track'!$I:$I},2,0), or(and(not(isblank($B192)),$B192=$B191,$A192&lt;&gt;$A191),and(not(isblank($A192)),$A192=$A191,$B192&lt;&gt;$B191)),"ID LISTS UNALIGNED",and($A192&lt;&gt;"",countif('5) Release_Track'!$F:$F,$A192)=0),"NO ISRC MATCH in Release_Track",and($B192&lt;&gt;"",countif('5) Release_Track'!$G:$G,$B192)=0),"NO CATALOG ID MATCH in Release_Track",iserror(vlookup($A192&amp;$B192,'5) Release_Track'!$F:$F&amp;'5) Release_Track'!$G:$G,1,0)),"NO ISRC-CATALOG ID pair MATCH in Release_Track" )</f>
        <v/>
      </c>
      <c r="E192" s="47" t="s">
        <v>47</v>
      </c>
      <c r="F192" s="8" t="s">
        <v>326</v>
      </c>
      <c r="G192" s="123" t="str">
        <f t="array" ref="G192">ifs(or($F192="",$F192="Main Primary Artist"),$F192,not(iserror(vlookup($F192,'Reference info'!$J$5:$J$8,1,0))),"Key Artist",not(iserror(vlookup($F192,'Reference info'!$J$38:$J$405,1,0))),"Performer",not(iserror(vlookup($F192,'Reference info'!$J$10:$J$36,1,0))),"Producer &amp; Engineer")</f>
        <v>Producer &amp; Engineer</v>
      </c>
    </row>
    <row r="193">
      <c r="A193" s="8" t="s">
        <v>397</v>
      </c>
      <c r="B193" s="120"/>
      <c r="C193" s="8" t="s">
        <v>195</v>
      </c>
      <c r="D193" s="121" t="str">
        <f t="array" ref="D193">ifs(and(isblank($A193),isblank($B193)),"", not(iserror(vlookup($A193&amp;$B193,'5) Release_Track'!$F:$F&amp;'5) Release_Track'!$G:$G,1,0))),vlookup($A193&amp;$B193,{'5) Release_Track'!$F:$F&amp;'5) Release_Track'!$G:$G,'5) Release_Track'!$I:$I},2,0), or(and(not(isblank($B193)),$B193=$B192,$A193&lt;&gt;$A192),and(not(isblank($A193)),$A193=$A192,$B193&lt;&gt;$B192)),"ID LISTS UNALIGNED",and($A193&lt;&gt;"",countif('5) Release_Track'!$F:$F,$A193)=0),"NO ISRC MATCH in Release_Track",and($B193&lt;&gt;"",countif('5) Release_Track'!$G:$G,$B193)=0),"NO CATALOG ID MATCH in Release_Track",iserror(vlookup($A193&amp;$B193,'5) Release_Track'!$F:$F&amp;'5) Release_Track'!$G:$G,1,0)),"NO ISRC-CATALOG ID pair MATCH in Release_Track" )</f>
        <v/>
      </c>
      <c r="E193" s="47" t="s">
        <v>47</v>
      </c>
      <c r="F193" s="8" t="s">
        <v>326</v>
      </c>
      <c r="G193" s="123" t="str">
        <f t="array" ref="G193">ifs(or($F193="",$F193="Main Primary Artist"),$F193,not(iserror(vlookup($F193,'Reference info'!$J$5:$J$8,1,0))),"Key Artist",not(iserror(vlookup($F193,'Reference info'!$J$38:$J$405,1,0))),"Performer",not(iserror(vlookup($F193,'Reference info'!$J$10:$J$36,1,0))),"Producer &amp; Engineer")</f>
        <v>Producer &amp; Engineer</v>
      </c>
    </row>
    <row r="194">
      <c r="A194" s="8" t="s">
        <v>413</v>
      </c>
      <c r="B194" s="103"/>
      <c r="C194" s="8" t="s">
        <v>414</v>
      </c>
      <c r="D194" s="121" t="str">
        <f t="array" ref="D194">ifs(and(isblank($A194),isblank($B194)),"", not(iserror(vlookup($A194&amp;$B194,'5) Release_Track'!$F:$F&amp;'5) Release_Track'!$G:$G,1,0))),vlookup($A194&amp;$B194,{'5) Release_Track'!$F:$F&amp;'5) Release_Track'!$G:$G,'5) Release_Track'!$I:$I},2,0), or(and(not(isblank($B194)),$B194=$B193,$A194&lt;&gt;$A193),and(not(isblank($A194)),$A194=$A193,$B194&lt;&gt;$B193)),"ID LISTS UNALIGNED",and($A194&lt;&gt;"",countif('5) Release_Track'!$F:$F,$A194)=0),"NO ISRC MATCH in Release_Track",and($B194&lt;&gt;"",countif('5) Release_Track'!$G:$G,$B194)=0),"NO CATALOG ID MATCH in Release_Track",iserror(vlookup($A194&amp;$B194,'5) Release_Track'!$F:$F&amp;'5) Release_Track'!$G:$G,1,0)),"NO ISRC-CATALOG ID pair MATCH in Release_Track" )</f>
        <v/>
      </c>
      <c r="E194" s="158" t="s">
        <v>51</v>
      </c>
      <c r="F194" s="8" t="s">
        <v>326</v>
      </c>
      <c r="G194" s="123" t="str">
        <f t="array" ref="G194">ifs(or($F194="",$F194="Main Primary Artist"),$F194,not(iserror(vlookup($F194,'Reference info'!$J$5:$J$8,1,0))),"Key Artist",not(iserror(vlookup($F194,'Reference info'!$J$38:$J$405,1,0))),"Performer",not(iserror(vlookup($F194,'Reference info'!$J$10:$J$36,1,0))),"Producer &amp; Engineer")</f>
        <v>Producer &amp; Engineer</v>
      </c>
    </row>
    <row r="195">
      <c r="A195" s="8" t="s">
        <v>399</v>
      </c>
      <c r="B195" s="103"/>
      <c r="C195" s="8" t="s">
        <v>197</v>
      </c>
      <c r="D195" s="121" t="str">
        <f t="array" ref="D195">ifs(and(isblank($A195),isblank($B195)),"", not(iserror(vlookup($A195&amp;$B195,'5) Release_Track'!$F:$F&amp;'5) Release_Track'!$G:$G,1,0))),vlookup($A195&amp;$B195,{'5) Release_Track'!$F:$F&amp;'5) Release_Track'!$G:$G,'5) Release_Track'!$I:$I},2,0), or(and(not(isblank($B195)),$B195=$B194,$A195&lt;&gt;$A194),and(not(isblank($A195)),$A195=$A194,$B195&lt;&gt;$B194)),"ID LISTS UNALIGNED",and($A195&lt;&gt;"",countif('5) Release_Track'!$F:$F,$A195)=0),"NO ISRC MATCH in Release_Track",and($B195&lt;&gt;"",countif('5) Release_Track'!$G:$G,$B195)=0),"NO CATALOG ID MATCH in Release_Track",iserror(vlookup($A195&amp;$B195,'5) Release_Track'!$F:$F&amp;'5) Release_Track'!$G:$G,1,0)),"NO ISRC-CATALOG ID pair MATCH in Release_Track" )</f>
        <v/>
      </c>
      <c r="E195" s="158" t="s">
        <v>51</v>
      </c>
      <c r="F195" s="8" t="s">
        <v>326</v>
      </c>
      <c r="G195" s="123" t="str">
        <f t="array" ref="G195">ifs(or($F195="",$F195="Main Primary Artist"),$F195,not(iserror(vlookup($F195,'Reference info'!$J$5:$J$8,1,0))),"Key Artist",not(iserror(vlookup($F195,'Reference info'!$J$38:$J$405,1,0))),"Performer",not(iserror(vlookup($F195,'Reference info'!$J$10:$J$36,1,0))),"Producer &amp; Engineer")</f>
        <v>Producer &amp; Engineer</v>
      </c>
    </row>
    <row r="196">
      <c r="A196" s="8" t="s">
        <v>401</v>
      </c>
      <c r="B196" s="103"/>
      <c r="C196" s="8" t="s">
        <v>199</v>
      </c>
      <c r="D196" s="121" t="str">
        <f t="array" ref="D196">ifs(and(isblank($A196),isblank($B196)),"", not(iserror(vlookup($A196&amp;$B196,'5) Release_Track'!$F:$F&amp;'5) Release_Track'!$G:$G,1,0))),vlookup($A196&amp;$B196,{'5) Release_Track'!$F:$F&amp;'5) Release_Track'!$G:$G,'5) Release_Track'!$I:$I},2,0), or(and(not(isblank($B196)),$B196=$B195,$A196&lt;&gt;$A195),and(not(isblank($A196)),$A196=$A195,$B196&lt;&gt;$B195)),"ID LISTS UNALIGNED",and($A196&lt;&gt;"",countif('5) Release_Track'!$F:$F,$A196)=0),"NO ISRC MATCH in Release_Track",and($B196&lt;&gt;"",countif('5) Release_Track'!$G:$G,$B196)=0),"NO CATALOG ID MATCH in Release_Track",iserror(vlookup($A196&amp;$B196,'5) Release_Track'!$F:$F&amp;'5) Release_Track'!$G:$G,1,0)),"NO ISRC-CATALOG ID pair MATCH in Release_Track" )</f>
        <v/>
      </c>
      <c r="E196" s="47" t="s">
        <v>51</v>
      </c>
      <c r="F196" s="8" t="s">
        <v>326</v>
      </c>
      <c r="G196" s="123" t="str">
        <f t="array" ref="G196">ifs(or($F196="",$F196="Main Primary Artist"),$F196,not(iserror(vlookup($F196,'Reference info'!$J$5:$J$8,1,0))),"Key Artist",not(iserror(vlookup($F196,'Reference info'!$J$38:$J$405,1,0))),"Performer",not(iserror(vlookup($F196,'Reference info'!$J$10:$J$36,1,0))),"Producer &amp; Engineer")</f>
        <v>Producer &amp; Engineer</v>
      </c>
    </row>
    <row r="197">
      <c r="A197" s="8" t="s">
        <v>403</v>
      </c>
      <c r="B197" s="103"/>
      <c r="C197" s="8" t="s">
        <v>201</v>
      </c>
      <c r="D197" s="121" t="str">
        <f t="array" ref="D197">ifs(and(isblank($A197),isblank($B197)),"", not(iserror(vlookup($A197&amp;$B197,'5) Release_Track'!$F:$F&amp;'5) Release_Track'!$G:$G,1,0))),vlookup($A197&amp;$B197,{'5) Release_Track'!$F:$F&amp;'5) Release_Track'!$G:$G,'5) Release_Track'!$I:$I},2,0), or(and(not(isblank($B197)),$B197=$B196,$A197&lt;&gt;$A196),and(not(isblank($A197)),$A197=$A196,$B197&lt;&gt;$B196)),"ID LISTS UNALIGNED",and($A197&lt;&gt;"",countif('5) Release_Track'!$F:$F,$A197)=0),"NO ISRC MATCH in Release_Track",and($B197&lt;&gt;"",countif('5) Release_Track'!$G:$G,$B197)=0),"NO CATALOG ID MATCH in Release_Track",iserror(vlookup($A197&amp;$B197,'5) Release_Track'!$F:$F&amp;'5) Release_Track'!$G:$G,1,0)),"NO ISRC-CATALOG ID pair MATCH in Release_Track" )</f>
        <v/>
      </c>
      <c r="E197" s="47" t="s">
        <v>51</v>
      </c>
      <c r="F197" s="8" t="s">
        <v>326</v>
      </c>
      <c r="G197" s="123" t="str">
        <f t="array" ref="G197">ifs(or($F197="",$F197="Main Primary Artist"),$F197,not(iserror(vlookup($F197,'Reference info'!$J$5:$J$8,1,0))),"Key Artist",not(iserror(vlookup($F197,'Reference info'!$J$38:$J$405,1,0))),"Performer",not(iserror(vlookup($F197,'Reference info'!$J$10:$J$36,1,0))),"Producer &amp; Engineer")</f>
        <v>Producer &amp; Engineer</v>
      </c>
    </row>
    <row r="198">
      <c r="A198" s="8" t="s">
        <v>379</v>
      </c>
      <c r="B198" s="103"/>
      <c r="C198" s="8" t="s">
        <v>380</v>
      </c>
      <c r="D198" s="121" t="str">
        <f t="array" ref="D198">ifs(and(isblank($A198),isblank($B198)),"", not(iserror(vlookup($A198&amp;$B198,'5) Release_Track'!$F:$F&amp;'5) Release_Track'!$G:$G,1,0))),vlookup($A198&amp;$B198,{'5) Release_Track'!$F:$F&amp;'5) Release_Track'!$G:$G,'5) Release_Track'!$I:$I},2,0), or(and(not(isblank($B198)),$B198=$B197,$A198&lt;&gt;$A197),and(not(isblank($A198)),$A198=$A197,$B198&lt;&gt;$B197)),"ID LISTS UNALIGNED",and($A198&lt;&gt;"",countif('5) Release_Track'!$F:$F,$A198)=0),"NO ISRC MATCH in Release_Track",and($B198&lt;&gt;"",countif('5) Release_Track'!$G:$G,$B198)=0),"NO CATALOG ID MATCH in Release_Track",iserror(vlookup($A198&amp;$B198,'5) Release_Track'!$F:$F&amp;'5) Release_Track'!$G:$G,1,0)),"NO ISRC-CATALOG ID pair MATCH in Release_Track" )</f>
        <v/>
      </c>
      <c r="E198" s="47" t="s">
        <v>51</v>
      </c>
      <c r="F198" s="8" t="s">
        <v>326</v>
      </c>
      <c r="G198" s="123" t="str">
        <f t="array" ref="G198">ifs(or($F198="",$F198="Main Primary Artist"),$F198,not(iserror(vlookup($F198,'Reference info'!$J$5:$J$8,1,0))),"Key Artist",not(iserror(vlookup($F198,'Reference info'!$J$38:$J$405,1,0))),"Performer",not(iserror(vlookup($F198,'Reference info'!$J$10:$J$36,1,0))),"Producer &amp; Engineer")</f>
        <v>Producer &amp; Engineer</v>
      </c>
    </row>
    <row r="199">
      <c r="A199" s="8" t="s">
        <v>405</v>
      </c>
      <c r="B199" s="103"/>
      <c r="C199" s="8" t="s">
        <v>203</v>
      </c>
      <c r="D199" s="121" t="str">
        <f t="array" ref="D199">ifs(and(isblank($A199),isblank($B199)),"", not(iserror(vlookup($A199&amp;$B199,'5) Release_Track'!$F:$F&amp;'5) Release_Track'!$G:$G,1,0))),vlookup($A199&amp;$B199,{'5) Release_Track'!$F:$F&amp;'5) Release_Track'!$G:$G,'5) Release_Track'!$I:$I},2,0), or(and(not(isblank($B199)),$B199=$B198,$A199&lt;&gt;$A198),and(not(isblank($A199)),$A199=$A198,$B199&lt;&gt;$B198)),"ID LISTS UNALIGNED",and($A199&lt;&gt;"",countif('5) Release_Track'!$F:$F,$A199)=0),"NO ISRC MATCH in Release_Track",and($B199&lt;&gt;"",countif('5) Release_Track'!$G:$G,$B199)=0),"NO CATALOG ID MATCH in Release_Track",iserror(vlookup($A199&amp;$B199,'5) Release_Track'!$F:$F&amp;'5) Release_Track'!$G:$G,1,0)),"NO ISRC-CATALOG ID pair MATCH in Release_Track" )</f>
        <v/>
      </c>
      <c r="E199" s="47" t="s">
        <v>51</v>
      </c>
      <c r="F199" s="8" t="s">
        <v>326</v>
      </c>
      <c r="G199" s="123" t="str">
        <f t="array" ref="G199">ifs(or($F199="",$F199="Main Primary Artist"),$F199,not(iserror(vlookup($F199,'Reference info'!$J$5:$J$8,1,0))),"Key Artist",not(iserror(vlookup($F199,'Reference info'!$J$38:$J$405,1,0))),"Performer",not(iserror(vlookup($F199,'Reference info'!$J$10:$J$36,1,0))),"Producer &amp; Engineer")</f>
        <v>Producer &amp; Engineer</v>
      </c>
    </row>
    <row r="200">
      <c r="A200" s="8" t="s">
        <v>407</v>
      </c>
      <c r="B200" s="103"/>
      <c r="C200" s="8" t="s">
        <v>205</v>
      </c>
      <c r="D200" s="121" t="str">
        <f t="array" ref="D200">ifs(and(isblank($A200),isblank($B200)),"", not(iserror(vlookup($A200&amp;$B200,'5) Release_Track'!$F:$F&amp;'5) Release_Track'!$G:$G,1,0))),vlookup($A200&amp;$B200,{'5) Release_Track'!$F:$F&amp;'5) Release_Track'!$G:$G,'5) Release_Track'!$I:$I},2,0), or(and(not(isblank($B200)),$B200=$B199,$A200&lt;&gt;$A199),and(not(isblank($A200)),$A200=$A199,$B200&lt;&gt;$B199)),"ID LISTS UNALIGNED",and($A200&lt;&gt;"",countif('5) Release_Track'!$F:$F,$A200)=0),"NO ISRC MATCH in Release_Track",and($B200&lt;&gt;"",countif('5) Release_Track'!$G:$G,$B200)=0),"NO CATALOG ID MATCH in Release_Track",iserror(vlookup($A200&amp;$B200,'5) Release_Track'!$F:$F&amp;'5) Release_Track'!$G:$G,1,0)),"NO ISRC-CATALOG ID pair MATCH in Release_Track" )</f>
        <v/>
      </c>
      <c r="E200" s="47" t="s">
        <v>73</v>
      </c>
      <c r="F200" s="8" t="s">
        <v>326</v>
      </c>
      <c r="G200" s="123" t="str">
        <f t="array" ref="G200">ifs(or($F200="",$F200="Main Primary Artist"),$F200,not(iserror(vlookup($F200,'Reference info'!$J$5:$J$8,1,0))),"Key Artist",not(iserror(vlookup($F200,'Reference info'!$J$38:$J$405,1,0))),"Performer",not(iserror(vlookup($F200,'Reference info'!$J$10:$J$36,1,0))),"Producer &amp; Engineer")</f>
        <v>Producer &amp; Engineer</v>
      </c>
    </row>
    <row r="201">
      <c r="A201" s="8" t="s">
        <v>409</v>
      </c>
      <c r="B201" s="103"/>
      <c r="C201" s="8" t="s">
        <v>207</v>
      </c>
      <c r="D201" s="121" t="str">
        <f t="array" ref="D201">ifs(and(isblank($A201),isblank($B201)),"", not(iserror(vlookup($A201&amp;$B201,'5) Release_Track'!$F:$F&amp;'5) Release_Track'!$G:$G,1,0))),vlookup($A201&amp;$B201,{'5) Release_Track'!$F:$F&amp;'5) Release_Track'!$G:$G,'5) Release_Track'!$I:$I},2,0), or(and(not(isblank($B201)),$B201=$B200,$A201&lt;&gt;$A200),and(not(isblank($A201)),$A201=$A200,$B201&lt;&gt;$B200)),"ID LISTS UNALIGNED",and($A201&lt;&gt;"",countif('5) Release_Track'!$F:$F,$A201)=0),"NO ISRC MATCH in Release_Track",and($B201&lt;&gt;"",countif('5) Release_Track'!$G:$G,$B201)=0),"NO CATALOG ID MATCH in Release_Track",iserror(vlookup($A201&amp;$B201,'5) Release_Track'!$F:$F&amp;'5) Release_Track'!$G:$G,1,0)),"NO ISRC-CATALOG ID pair MATCH in Release_Track" )</f>
        <v/>
      </c>
      <c r="E201" s="47" t="s">
        <v>51</v>
      </c>
      <c r="F201" s="8" t="s">
        <v>326</v>
      </c>
      <c r="G201" s="123" t="str">
        <f t="array" ref="G201">ifs(or($F201="",$F201="Main Primary Artist"),$F201,not(iserror(vlookup($F201,'Reference info'!$J$5:$J$8,1,0))),"Key Artist",not(iserror(vlookup($F201,'Reference info'!$J$38:$J$405,1,0))),"Performer",not(iserror(vlookup($F201,'Reference info'!$J$10:$J$36,1,0))),"Producer &amp; Engineer")</f>
        <v>Producer &amp; Engineer</v>
      </c>
    </row>
    <row r="202">
      <c r="A202" s="8" t="s">
        <v>411</v>
      </c>
      <c r="B202" s="103"/>
      <c r="C202" s="8" t="s">
        <v>209</v>
      </c>
      <c r="D202" s="121" t="str">
        <f t="array" ref="D202">ifs(and(isblank($A202),isblank($B202)),"", not(iserror(vlookup($A202&amp;$B202,'5) Release_Track'!$F:$F&amp;'5) Release_Track'!$G:$G,1,0))),vlookup($A202&amp;$B202,{'5) Release_Track'!$F:$F&amp;'5) Release_Track'!$G:$G,'5) Release_Track'!$I:$I},2,0), or(and(not(isblank($B202)),$B202=$B201,$A202&lt;&gt;$A201),and(not(isblank($A202)),$A202=$A201,$B202&lt;&gt;$B201)),"ID LISTS UNALIGNED",and($A202&lt;&gt;"",countif('5) Release_Track'!$F:$F,$A202)=0),"NO ISRC MATCH in Release_Track",and($B202&lt;&gt;"",countif('5) Release_Track'!$G:$G,$B202)=0),"NO CATALOG ID MATCH in Release_Track",iserror(vlookup($A202&amp;$B202,'5) Release_Track'!$F:$F&amp;'5) Release_Track'!$G:$G,1,0)),"NO ISRC-CATALOG ID pair MATCH in Release_Track" )</f>
        <v/>
      </c>
      <c r="E202" s="47" t="s">
        <v>51</v>
      </c>
      <c r="F202" s="8" t="s">
        <v>326</v>
      </c>
      <c r="G202" s="123" t="str">
        <f t="array" ref="G202">ifs(or($F202="",$F202="Main Primary Artist"),$F202,not(iserror(vlookup($F202,'Reference info'!$J$5:$J$8,1,0))),"Key Artist",not(iserror(vlookup($F202,'Reference info'!$J$38:$J$405,1,0))),"Performer",not(iserror(vlookup($F202,'Reference info'!$J$10:$J$36,1,0))),"Producer &amp; Engineer")</f>
        <v>Producer &amp; Engineer</v>
      </c>
    </row>
    <row r="203">
      <c r="A203" s="8" t="s">
        <v>419</v>
      </c>
      <c r="B203" s="103"/>
      <c r="C203" s="8" t="s">
        <v>420</v>
      </c>
      <c r="D203" s="121" t="str">
        <f t="array" ref="D203">ifs(and(isblank($A203),isblank($B203)),"", not(iserror(vlookup($A203&amp;$B203,'5) Release_Track'!$F:$F&amp;'5) Release_Track'!$G:$G,1,0))),vlookup($A203&amp;$B203,{'5) Release_Track'!$F:$F&amp;'5) Release_Track'!$G:$G,'5) Release_Track'!$I:$I},2,0), or(and(not(isblank($B203)),$B203=$B202,$A203&lt;&gt;$A202),and(not(isblank($A203)),$A203=$A202,$B203&lt;&gt;$B202)),"ID LISTS UNALIGNED",and($A203&lt;&gt;"",countif('5) Release_Track'!$F:$F,$A203)=0),"NO ISRC MATCH in Release_Track",and($B203&lt;&gt;"",countif('5) Release_Track'!$G:$G,$B203)=0),"NO CATALOG ID MATCH in Release_Track",iserror(vlookup($A203&amp;$B203,'5) Release_Track'!$F:$F&amp;'5) Release_Track'!$G:$G,1,0)),"NO ISRC-CATALOG ID pair MATCH in Release_Track" )</f>
        <v/>
      </c>
      <c r="E203" s="47" t="s">
        <v>51</v>
      </c>
      <c r="F203" s="8" t="s">
        <v>326</v>
      </c>
      <c r="G203" s="123" t="str">
        <f t="array" ref="G203">ifs(or($F203="",$F203="Main Primary Artist"),$F203,not(iserror(vlookup($F203,'Reference info'!$J$5:$J$8,1,0))),"Key Artist",not(iserror(vlookup($F203,'Reference info'!$J$38:$J$405,1,0))),"Performer",not(iserror(vlookup($F203,'Reference info'!$J$10:$J$36,1,0))),"Producer &amp; Engineer")</f>
        <v>Producer &amp; Engineer</v>
      </c>
    </row>
    <row r="204">
      <c r="A204" s="8" t="s">
        <v>422</v>
      </c>
      <c r="B204" s="103"/>
      <c r="C204" s="8" t="s">
        <v>423</v>
      </c>
      <c r="D204" s="121" t="str">
        <f t="array" ref="D204">ifs(and(isblank($A204),isblank($B204)),"", not(iserror(vlookup($A204&amp;$B204,'5) Release_Track'!$F:$F&amp;'5) Release_Track'!$G:$G,1,0))),vlookup($A204&amp;$B204,{'5) Release_Track'!$F:$F&amp;'5) Release_Track'!$G:$G,'5) Release_Track'!$I:$I},2,0), or(and(not(isblank($B204)),$B204=$B203,$A204&lt;&gt;$A203),and(not(isblank($A204)),$A204=$A203,$B204&lt;&gt;$B203)),"ID LISTS UNALIGNED",and($A204&lt;&gt;"",countif('5) Release_Track'!$F:$F,$A204)=0),"NO ISRC MATCH in Release_Track",and($B204&lt;&gt;"",countif('5) Release_Track'!$G:$G,$B204)=0),"NO CATALOG ID MATCH in Release_Track",iserror(vlookup($A204&amp;$B204,'5) Release_Track'!$F:$F&amp;'5) Release_Track'!$G:$G,1,0)),"NO ISRC-CATALOG ID pair MATCH in Release_Track" )</f>
        <v/>
      </c>
      <c r="E204" s="158" t="s">
        <v>51</v>
      </c>
      <c r="F204" s="8" t="s">
        <v>326</v>
      </c>
      <c r="G204" s="123" t="str">
        <f t="array" ref="G204">ifs(or($F204="",$F204="Main Primary Artist"),$F204,not(iserror(vlookup($F204,'Reference info'!$J$5:$J$8,1,0))),"Key Artist",not(iserror(vlookup($F204,'Reference info'!$J$38:$J$405,1,0))),"Performer",not(iserror(vlookup($F204,'Reference info'!$J$10:$J$36,1,0))),"Producer &amp; Engineer")</f>
        <v>Producer &amp; Engineer</v>
      </c>
    </row>
    <row r="205">
      <c r="A205" s="8" t="s">
        <v>425</v>
      </c>
      <c r="B205" s="103"/>
      <c r="C205" s="8" t="s">
        <v>426</v>
      </c>
      <c r="D205" s="121" t="str">
        <f t="array" ref="D205">ifs(and(isblank($A205),isblank($B205)),"", not(iserror(vlookup($A205&amp;$B205,'5) Release_Track'!$F:$F&amp;'5) Release_Track'!$G:$G,1,0))),vlookup($A205&amp;$B205,{'5) Release_Track'!$F:$F&amp;'5) Release_Track'!$G:$G,'5) Release_Track'!$I:$I},2,0), or(and(not(isblank($B205)),$B205=$B204,$A205&lt;&gt;$A204),and(not(isblank($A205)),$A205=$A204,$B205&lt;&gt;$B204)),"ID LISTS UNALIGNED",and($A205&lt;&gt;"",countif('5) Release_Track'!$F:$F,$A205)=0),"NO ISRC MATCH in Release_Track",and($B205&lt;&gt;"",countif('5) Release_Track'!$G:$G,$B205)=0),"NO CATALOG ID MATCH in Release_Track",iserror(vlookup($A205&amp;$B205,'5) Release_Track'!$F:$F&amp;'5) Release_Track'!$G:$G,1,0)),"NO ISRC-CATALOG ID pair MATCH in Release_Track" )</f>
        <v/>
      </c>
      <c r="E205" s="158" t="s">
        <v>51</v>
      </c>
      <c r="F205" s="8" t="s">
        <v>326</v>
      </c>
      <c r="G205" s="123" t="str">
        <f t="array" ref="G205">ifs(or($F205="",$F205="Main Primary Artist"),$F205,not(iserror(vlookup($F205,'Reference info'!$J$5:$J$8,1,0))),"Key Artist",not(iserror(vlookup($F205,'Reference info'!$J$38:$J$405,1,0))),"Performer",not(iserror(vlookup($F205,'Reference info'!$J$10:$J$36,1,0))),"Producer &amp; Engineer")</f>
        <v>Producer &amp; Engineer</v>
      </c>
    </row>
    <row r="206">
      <c r="A206" s="8" t="s">
        <v>428</v>
      </c>
      <c r="B206" s="103"/>
      <c r="C206" s="8" t="s">
        <v>429</v>
      </c>
      <c r="D206" s="121" t="str">
        <f t="array" ref="D206">ifs(and(isblank($A206),isblank($B206)),"", not(iserror(vlookup($A206&amp;$B206,'5) Release_Track'!$F:$F&amp;'5) Release_Track'!$G:$G,1,0))),vlookup($A206&amp;$B206,{'5) Release_Track'!$F:$F&amp;'5) Release_Track'!$G:$G,'5) Release_Track'!$I:$I},2,0), or(and(not(isblank($B206)),$B206=$B205,$A206&lt;&gt;$A205),and(not(isblank($A206)),$A206=$A205,$B206&lt;&gt;$B205)),"ID LISTS UNALIGNED",and($A206&lt;&gt;"",countif('5) Release_Track'!$F:$F,$A206)=0),"NO ISRC MATCH in Release_Track",and($B206&lt;&gt;"",countif('5) Release_Track'!$G:$G,$B206)=0),"NO CATALOG ID MATCH in Release_Track",iserror(vlookup($A206&amp;$B206,'5) Release_Track'!$F:$F&amp;'5) Release_Track'!$G:$G,1,0)),"NO ISRC-CATALOG ID pair MATCH in Release_Track" )</f>
        <v/>
      </c>
      <c r="E206" s="158" t="s">
        <v>51</v>
      </c>
      <c r="F206" s="8" t="s">
        <v>326</v>
      </c>
      <c r="G206" s="123" t="str">
        <f t="array" ref="G206">ifs(or($F206="",$F206="Main Primary Artist"),$F206,not(iserror(vlookup($F206,'Reference info'!$J$5:$J$8,1,0))),"Key Artist",not(iserror(vlookup($F206,'Reference info'!$J$38:$J$405,1,0))),"Performer",not(iserror(vlookup($F206,'Reference info'!$J$10:$J$36,1,0))),"Producer &amp; Engineer")</f>
        <v>Producer &amp; Engineer</v>
      </c>
    </row>
    <row r="207">
      <c r="A207" s="8" t="s">
        <v>431</v>
      </c>
      <c r="B207" s="103"/>
      <c r="C207" s="8" t="s">
        <v>432</v>
      </c>
      <c r="D207" s="121" t="str">
        <f t="array" ref="D207">ifs(and(isblank($A207),isblank($B207)),"", not(iserror(vlookup($A207&amp;$B207,'5) Release_Track'!$F:$F&amp;'5) Release_Track'!$G:$G,1,0))),vlookup($A207&amp;$B207,{'5) Release_Track'!$F:$F&amp;'5) Release_Track'!$G:$G,'5) Release_Track'!$I:$I},2,0), or(and(not(isblank($B207)),$B207=$B206,$A207&lt;&gt;$A206),and(not(isblank($A207)),$A207=$A206,$B207&lt;&gt;$B206)),"ID LISTS UNALIGNED",and($A207&lt;&gt;"",countif('5) Release_Track'!$F:$F,$A207)=0),"NO ISRC MATCH in Release_Track",and($B207&lt;&gt;"",countif('5) Release_Track'!$G:$G,$B207)=0),"NO CATALOG ID MATCH in Release_Track",iserror(vlookup($A207&amp;$B207,'5) Release_Track'!$F:$F&amp;'5) Release_Track'!$G:$G,1,0)),"NO ISRC-CATALOG ID pair MATCH in Release_Track" )</f>
        <v/>
      </c>
      <c r="E207" s="158" t="s">
        <v>51</v>
      </c>
      <c r="F207" s="8" t="s">
        <v>326</v>
      </c>
      <c r="G207" s="123" t="str">
        <f t="array" ref="G207">ifs(or($F207="",$F207="Main Primary Artist"),$F207,not(iserror(vlookup($F207,'Reference info'!$J$5:$J$8,1,0))),"Key Artist",not(iserror(vlookup($F207,'Reference info'!$J$38:$J$405,1,0))),"Performer",not(iserror(vlookup($F207,'Reference info'!$J$10:$J$36,1,0))),"Producer &amp; Engineer")</f>
        <v>Producer &amp; Engineer</v>
      </c>
    </row>
    <row r="208">
      <c r="A208" s="8" t="s">
        <v>434</v>
      </c>
      <c r="B208" s="103"/>
      <c r="C208" s="8" t="s">
        <v>213</v>
      </c>
      <c r="D208" s="121" t="str">
        <f t="array" ref="D208">ifs(and(isblank($A208),isblank($B208)),"", not(iserror(vlookup($A208&amp;$B208,'5) Release_Track'!$F:$F&amp;'5) Release_Track'!$G:$G,1,0))),vlookup($A208&amp;$B208,{'5) Release_Track'!$F:$F&amp;'5) Release_Track'!$G:$G,'5) Release_Track'!$I:$I},2,0), or(and(not(isblank($B208)),$B208=$B207,$A208&lt;&gt;$A207),and(not(isblank($A208)),$A208=$A207,$B208&lt;&gt;$B207)),"ID LISTS UNALIGNED",and($A208&lt;&gt;"",countif('5) Release_Track'!$F:$F,$A208)=0),"NO ISRC MATCH in Release_Track",and($B208&lt;&gt;"",countif('5) Release_Track'!$G:$G,$B208)=0),"NO CATALOG ID MATCH in Release_Track",iserror(vlookup($A208&amp;$B208,'5) Release_Track'!$F:$F&amp;'5) Release_Track'!$G:$G,1,0)),"NO ISRC-CATALOG ID pair MATCH in Release_Track" )</f>
        <v/>
      </c>
      <c r="E208" s="47" t="s">
        <v>73</v>
      </c>
      <c r="F208" s="8" t="s">
        <v>326</v>
      </c>
      <c r="G208" s="123" t="str">
        <f t="array" ref="G208">ifs(or($F208="",$F208="Main Primary Artist"),$F208,not(iserror(vlookup($F208,'Reference info'!$J$5:$J$8,1,0))),"Key Artist",not(iserror(vlookup($F208,'Reference info'!$J$38:$J$405,1,0))),"Performer",not(iserror(vlookup($F208,'Reference info'!$J$10:$J$36,1,0))),"Producer &amp; Engineer")</f>
        <v>Producer &amp; Engineer</v>
      </c>
    </row>
    <row r="209">
      <c r="A209" s="8" t="s">
        <v>436</v>
      </c>
      <c r="B209" s="103"/>
      <c r="C209" s="8" t="s">
        <v>215</v>
      </c>
      <c r="D209" s="121" t="str">
        <f t="array" ref="D209">ifs(and(isblank($A209),isblank($B209)),"", not(iserror(vlookup($A209&amp;$B209,'5) Release_Track'!$F:$F&amp;'5) Release_Track'!$G:$G,1,0))),vlookup($A209&amp;$B209,{'5) Release_Track'!$F:$F&amp;'5) Release_Track'!$G:$G,'5) Release_Track'!$I:$I},2,0), or(and(not(isblank($B209)),$B209=$B208,$A209&lt;&gt;$A208),and(not(isblank($A209)),$A209=$A208,$B209&lt;&gt;$B208)),"ID LISTS UNALIGNED",and($A209&lt;&gt;"",countif('5) Release_Track'!$F:$F,$A209)=0),"NO ISRC MATCH in Release_Track",and($B209&lt;&gt;"",countif('5) Release_Track'!$G:$G,$B209)=0),"NO CATALOG ID MATCH in Release_Track",iserror(vlookup($A209&amp;$B209,'5) Release_Track'!$F:$F&amp;'5) Release_Track'!$G:$G,1,0)),"NO ISRC-CATALOG ID pair MATCH in Release_Track" )</f>
        <v/>
      </c>
      <c r="E209" s="47" t="s">
        <v>51</v>
      </c>
      <c r="F209" s="8" t="s">
        <v>326</v>
      </c>
      <c r="G209" s="123" t="str">
        <f t="array" ref="G209">ifs(or($F209="",$F209="Main Primary Artist"),$F209,not(iserror(vlookup($F209,'Reference info'!$J$5:$J$8,1,0))),"Key Artist",not(iserror(vlookup($F209,'Reference info'!$J$38:$J$405,1,0))),"Performer",not(iserror(vlookup($F209,'Reference info'!$J$10:$J$36,1,0))),"Producer &amp; Engineer")</f>
        <v>Producer &amp; Engineer</v>
      </c>
    </row>
    <row r="210">
      <c r="A210" s="8" t="s">
        <v>438</v>
      </c>
      <c r="B210" s="103"/>
      <c r="C210" s="8" t="s">
        <v>217</v>
      </c>
      <c r="D210" s="121" t="str">
        <f t="array" ref="D210">ifs(and(isblank($A210),isblank($B210)),"", not(iserror(vlookup($A210&amp;$B210,'5) Release_Track'!$F:$F&amp;'5) Release_Track'!$G:$G,1,0))),vlookup($A210&amp;$B210,{'5) Release_Track'!$F:$F&amp;'5) Release_Track'!$G:$G,'5) Release_Track'!$I:$I},2,0), or(and(not(isblank($B210)),$B210=$B209,$A210&lt;&gt;$A209),and(not(isblank($A210)),$A210=$A209,$B210&lt;&gt;$B209)),"ID LISTS UNALIGNED",and($A210&lt;&gt;"",countif('5) Release_Track'!$F:$F,$A210)=0),"NO ISRC MATCH in Release_Track",and($B210&lt;&gt;"",countif('5) Release_Track'!$G:$G,$B210)=0),"NO CATALOG ID MATCH in Release_Track",iserror(vlookup($A210&amp;$B210,'5) Release_Track'!$F:$F&amp;'5) Release_Track'!$G:$G,1,0)),"NO ISRC-CATALOG ID pair MATCH in Release_Track" )</f>
        <v/>
      </c>
      <c r="E210" s="47" t="s">
        <v>79</v>
      </c>
      <c r="F210" s="8" t="s">
        <v>326</v>
      </c>
      <c r="G210" s="123" t="str">
        <f t="array" ref="G210">ifs(or($F210="",$F210="Main Primary Artist"),$F210,not(iserror(vlookup($F210,'Reference info'!$J$5:$J$8,1,0))),"Key Artist",not(iserror(vlookup($F210,'Reference info'!$J$38:$J$405,1,0))),"Performer",not(iserror(vlookup($F210,'Reference info'!$J$10:$J$36,1,0))),"Producer &amp; Engineer")</f>
        <v>Producer &amp; Engineer</v>
      </c>
    </row>
    <row r="211">
      <c r="A211" s="8" t="s">
        <v>440</v>
      </c>
      <c r="B211" s="103"/>
      <c r="C211" s="8" t="s">
        <v>219</v>
      </c>
      <c r="D211" s="121" t="str">
        <f t="array" ref="D211">ifs(and(isblank($A211),isblank($B211)),"", not(iserror(vlookup($A211&amp;$B211,'5) Release_Track'!$F:$F&amp;'5) Release_Track'!$G:$G,1,0))),vlookup($A211&amp;$B211,{'5) Release_Track'!$F:$F&amp;'5) Release_Track'!$G:$G,'5) Release_Track'!$I:$I},2,0), or(and(not(isblank($B211)),$B211=$B210,$A211&lt;&gt;$A210),and(not(isblank($A211)),$A211=$A210,$B211&lt;&gt;$B210)),"ID LISTS UNALIGNED",and($A211&lt;&gt;"",countif('5) Release_Track'!$F:$F,$A211)=0),"NO ISRC MATCH in Release_Track",and($B211&lt;&gt;"",countif('5) Release_Track'!$G:$G,$B211)=0),"NO CATALOG ID MATCH in Release_Track",iserror(vlookup($A211&amp;$B211,'5) Release_Track'!$F:$F&amp;'5) Release_Track'!$G:$G,1,0)),"NO ISRC-CATALOG ID pair MATCH in Release_Track" )</f>
        <v/>
      </c>
      <c r="E211" s="47" t="s">
        <v>47</v>
      </c>
      <c r="F211" s="8" t="s">
        <v>326</v>
      </c>
      <c r="G211" s="123" t="str">
        <f t="array" ref="G211">ifs(or($F211="",$F211="Main Primary Artist"),$F211,not(iserror(vlookup($F211,'Reference info'!$J$5:$J$8,1,0))),"Key Artist",not(iserror(vlookup($F211,'Reference info'!$J$38:$J$405,1,0))),"Performer",not(iserror(vlookup($F211,'Reference info'!$J$10:$J$36,1,0))),"Producer &amp; Engineer")</f>
        <v>Producer &amp; Engineer</v>
      </c>
    </row>
    <row r="212">
      <c r="A212" s="8" t="s">
        <v>442</v>
      </c>
      <c r="B212" s="103"/>
      <c r="C212" s="8" t="s">
        <v>221</v>
      </c>
      <c r="D212" s="121" t="str">
        <f t="array" ref="D212">ifs(and(isblank($A212),isblank($B212)),"", not(iserror(vlookup($A212&amp;$B212,'5) Release_Track'!$F:$F&amp;'5) Release_Track'!$G:$G,1,0))),vlookup($A212&amp;$B212,{'5) Release_Track'!$F:$F&amp;'5) Release_Track'!$G:$G,'5) Release_Track'!$I:$I},2,0), or(and(not(isblank($B212)),$B212=$B211,$A212&lt;&gt;$A211),and(not(isblank($A212)),$A212=$A211,$B212&lt;&gt;$B211)),"ID LISTS UNALIGNED",and($A212&lt;&gt;"",countif('5) Release_Track'!$F:$F,$A212)=0),"NO ISRC MATCH in Release_Track",and($B212&lt;&gt;"",countif('5) Release_Track'!$G:$G,$B212)=0),"NO CATALOG ID MATCH in Release_Track",iserror(vlookup($A212&amp;$B212,'5) Release_Track'!$F:$F&amp;'5) Release_Track'!$G:$G,1,0)),"NO ISRC-CATALOG ID pair MATCH in Release_Track" )</f>
        <v/>
      </c>
      <c r="E212" s="47" t="s">
        <v>135</v>
      </c>
      <c r="F212" s="8" t="s">
        <v>326</v>
      </c>
      <c r="G212" s="123" t="str">
        <f t="array" ref="G212">ifs(or($F212="",$F212="Main Primary Artist"),$F212,not(iserror(vlookup($F212,'Reference info'!$J$5:$J$8,1,0))),"Key Artist",not(iserror(vlookup($F212,'Reference info'!$J$38:$J$405,1,0))),"Performer",not(iserror(vlookup($F212,'Reference info'!$J$10:$J$36,1,0))),"Producer &amp; Engineer")</f>
        <v>Producer &amp; Engineer</v>
      </c>
    </row>
    <row r="213">
      <c r="A213" s="8" t="s">
        <v>444</v>
      </c>
      <c r="B213" s="103"/>
      <c r="C213" s="8" t="s">
        <v>223</v>
      </c>
      <c r="D213" s="121" t="str">
        <f t="array" ref="D213">ifs(and(isblank($A213),isblank($B213)),"", not(iserror(vlookup($A213&amp;$B213,'5) Release_Track'!$F:$F&amp;'5) Release_Track'!$G:$G,1,0))),vlookup($A213&amp;$B213,{'5) Release_Track'!$F:$F&amp;'5) Release_Track'!$G:$G,'5) Release_Track'!$I:$I},2,0), or(and(not(isblank($B213)),$B213=$B212,$A213&lt;&gt;$A212),and(not(isblank($A213)),$A213=$A212,$B213&lt;&gt;$B212)),"ID LISTS UNALIGNED",and($A213&lt;&gt;"",countif('5) Release_Track'!$F:$F,$A213)=0),"NO ISRC MATCH in Release_Track",and($B213&lt;&gt;"",countif('5) Release_Track'!$G:$G,$B213)=0),"NO CATALOG ID MATCH in Release_Track",iserror(vlookup($A213&amp;$B213,'5) Release_Track'!$F:$F&amp;'5) Release_Track'!$G:$G,1,0)),"NO ISRC-CATALOG ID pair MATCH in Release_Track" )</f>
        <v/>
      </c>
      <c r="E213" s="47" t="s">
        <v>51</v>
      </c>
      <c r="F213" s="8" t="s">
        <v>326</v>
      </c>
      <c r="G213" s="123" t="str">
        <f t="array" ref="G213">ifs(or($F213="",$F213="Main Primary Artist"),$F213,not(iserror(vlookup($F213,'Reference info'!$J$5:$J$8,1,0))),"Key Artist",not(iserror(vlookup($F213,'Reference info'!$J$38:$J$405,1,0))),"Performer",not(iserror(vlookup($F213,'Reference info'!$J$10:$J$36,1,0))),"Producer &amp; Engineer")</f>
        <v>Producer &amp; Engineer</v>
      </c>
    </row>
    <row r="214">
      <c r="A214" s="8" t="s">
        <v>446</v>
      </c>
      <c r="B214" s="103"/>
      <c r="C214" s="8" t="s">
        <v>225</v>
      </c>
      <c r="D214" s="121" t="str">
        <f t="array" ref="D214">ifs(and(isblank($A214),isblank($B214)),"", not(iserror(vlookup($A214&amp;$B214,'5) Release_Track'!$F:$F&amp;'5) Release_Track'!$G:$G,1,0))),vlookup($A214&amp;$B214,{'5) Release_Track'!$F:$F&amp;'5) Release_Track'!$G:$G,'5) Release_Track'!$I:$I},2,0), or(and(not(isblank($B214)),$B214=$B213,$A214&lt;&gt;$A213),and(not(isblank($A214)),$A214=$A213,$B214&lt;&gt;$B213)),"ID LISTS UNALIGNED",and($A214&lt;&gt;"",countif('5) Release_Track'!$F:$F,$A214)=0),"NO ISRC MATCH in Release_Track",and($B214&lt;&gt;"",countif('5) Release_Track'!$G:$G,$B214)=0),"NO CATALOG ID MATCH in Release_Track",iserror(vlookup($A214&amp;$B214,'5) Release_Track'!$F:$F&amp;'5) Release_Track'!$G:$G,1,0)),"NO ISRC-CATALOG ID pair MATCH in Release_Track" )</f>
        <v/>
      </c>
      <c r="E214" s="47" t="s">
        <v>51</v>
      </c>
      <c r="F214" s="8" t="s">
        <v>326</v>
      </c>
      <c r="G214" s="123" t="str">
        <f t="array" ref="G214">ifs(or($F214="",$F214="Main Primary Artist"),$F214,not(iserror(vlookup($F214,'Reference info'!$J$5:$J$8,1,0))),"Key Artist",not(iserror(vlookup($F214,'Reference info'!$J$38:$J$405,1,0))),"Performer",not(iserror(vlookup($F214,'Reference info'!$J$10:$J$36,1,0))),"Producer &amp; Engineer")</f>
        <v>Producer &amp; Engineer</v>
      </c>
    </row>
    <row r="215">
      <c r="A215" s="8" t="s">
        <v>448</v>
      </c>
      <c r="B215" s="103"/>
      <c r="C215" s="8" t="s">
        <v>227</v>
      </c>
      <c r="D215" s="121" t="str">
        <f t="array" ref="D215">ifs(and(isblank($A215),isblank($B215)),"", not(iserror(vlookup($A215&amp;$B215,'5) Release_Track'!$F:$F&amp;'5) Release_Track'!$G:$G,1,0))),vlookup($A215&amp;$B215,{'5) Release_Track'!$F:$F&amp;'5) Release_Track'!$G:$G,'5) Release_Track'!$I:$I},2,0), or(and(not(isblank($B215)),$B215=$B214,$A215&lt;&gt;$A214),and(not(isblank($A215)),$A215=$A214,$B215&lt;&gt;$B214)),"ID LISTS UNALIGNED",and($A215&lt;&gt;"",countif('5) Release_Track'!$F:$F,$A215)=0),"NO ISRC MATCH in Release_Track",and($B215&lt;&gt;"",countif('5) Release_Track'!$G:$G,$B215)=0),"NO CATALOG ID MATCH in Release_Track",iserror(vlookup($A215&amp;$B215,'5) Release_Track'!$F:$F&amp;'5) Release_Track'!$G:$G,1,0)),"NO ISRC-CATALOG ID pair MATCH in Release_Track" )</f>
        <v/>
      </c>
      <c r="E215" s="47" t="s">
        <v>73</v>
      </c>
      <c r="F215" s="8" t="s">
        <v>326</v>
      </c>
      <c r="G215" s="123" t="str">
        <f t="array" ref="G215">ifs(or($F215="",$F215="Main Primary Artist"),$F215,not(iserror(vlookup($F215,'Reference info'!$J$5:$J$8,1,0))),"Key Artist",not(iserror(vlookup($F215,'Reference info'!$J$38:$J$405,1,0))),"Performer",not(iserror(vlookup($F215,'Reference info'!$J$10:$J$36,1,0))),"Producer &amp; Engineer")</f>
        <v>Producer &amp; Engineer</v>
      </c>
    </row>
    <row r="216">
      <c r="A216" s="8" t="s">
        <v>450</v>
      </c>
      <c r="B216" s="103"/>
      <c r="C216" s="8" t="s">
        <v>229</v>
      </c>
      <c r="D216" s="121" t="str">
        <f t="array" ref="D216">ifs(and(isblank($A216),isblank($B216)),"", not(iserror(vlookup($A216&amp;$B216,'5) Release_Track'!$F:$F&amp;'5) Release_Track'!$G:$G,1,0))),vlookup($A216&amp;$B216,{'5) Release_Track'!$F:$F&amp;'5) Release_Track'!$G:$G,'5) Release_Track'!$I:$I},2,0), or(and(not(isblank($B216)),$B216=$B215,$A216&lt;&gt;$A215),and(not(isblank($A216)),$A216=$A215,$B216&lt;&gt;$B215)),"ID LISTS UNALIGNED",and($A216&lt;&gt;"",countif('5) Release_Track'!$F:$F,$A216)=0),"NO ISRC MATCH in Release_Track",and($B216&lt;&gt;"",countif('5) Release_Track'!$G:$G,$B216)=0),"NO CATALOG ID MATCH in Release_Track",iserror(vlookup($A216&amp;$B216,'5) Release_Track'!$F:$F&amp;'5) Release_Track'!$G:$G,1,0)),"NO ISRC-CATALOG ID pair MATCH in Release_Track" )</f>
        <v/>
      </c>
      <c r="E216" s="47" t="s">
        <v>51</v>
      </c>
      <c r="F216" s="8" t="s">
        <v>326</v>
      </c>
      <c r="G216" s="123" t="str">
        <f t="array" ref="G216">ifs(or($F216="",$F216="Main Primary Artist"),$F216,not(iserror(vlookup($F216,'Reference info'!$J$5:$J$8,1,0))),"Key Artist",not(iserror(vlookup($F216,'Reference info'!$J$38:$J$405,1,0))),"Performer",not(iserror(vlookup($F216,'Reference info'!$J$10:$J$36,1,0))),"Producer &amp; Engineer")</f>
        <v>Producer &amp; Engineer</v>
      </c>
    </row>
    <row r="217">
      <c r="A217" s="8" t="s">
        <v>452</v>
      </c>
      <c r="B217" s="103"/>
      <c r="C217" s="8" t="s">
        <v>231</v>
      </c>
      <c r="D217" s="121" t="str">
        <f t="array" ref="D217">ifs(and(isblank($A217),isblank($B217)),"", not(iserror(vlookup($A217&amp;$B217,'5) Release_Track'!$F:$F&amp;'5) Release_Track'!$G:$G,1,0))),vlookup($A217&amp;$B217,{'5) Release_Track'!$F:$F&amp;'5) Release_Track'!$G:$G,'5) Release_Track'!$I:$I},2,0), or(and(not(isblank($B217)),$B217=$B216,$A217&lt;&gt;$A216),and(not(isblank($A217)),$A217=$A216,$B217&lt;&gt;$B216)),"ID LISTS UNALIGNED",and($A217&lt;&gt;"",countif('5) Release_Track'!$F:$F,$A217)=0),"NO ISRC MATCH in Release_Track",and($B217&lt;&gt;"",countif('5) Release_Track'!$G:$G,$B217)=0),"NO CATALOG ID MATCH in Release_Track",iserror(vlookup($A217&amp;$B217,'5) Release_Track'!$F:$F&amp;'5) Release_Track'!$G:$G,1,0)),"NO ISRC-CATALOG ID pair MATCH in Release_Track" )</f>
        <v/>
      </c>
      <c r="E217" s="47" t="s">
        <v>47</v>
      </c>
      <c r="F217" s="8" t="s">
        <v>326</v>
      </c>
      <c r="G217" s="123" t="str">
        <f t="array" ref="G217">ifs(or($F217="",$F217="Main Primary Artist"),$F217,not(iserror(vlookup($F217,'Reference info'!$J$5:$J$8,1,0))),"Key Artist",not(iserror(vlookup($F217,'Reference info'!$J$38:$J$405,1,0))),"Performer",not(iserror(vlookup($F217,'Reference info'!$J$10:$J$36,1,0))),"Producer &amp; Engineer")</f>
        <v>Producer &amp; Engineer</v>
      </c>
    </row>
    <row r="218">
      <c r="A218" s="8" t="s">
        <v>454</v>
      </c>
      <c r="B218" s="103"/>
      <c r="C218" s="8" t="s">
        <v>233</v>
      </c>
      <c r="D218" s="121" t="str">
        <f t="array" ref="D218">ifs(and(isblank($A218),isblank($B218)),"", not(iserror(vlookup($A218&amp;$B218,'5) Release_Track'!$F:$F&amp;'5) Release_Track'!$G:$G,1,0))),vlookup($A218&amp;$B218,{'5) Release_Track'!$F:$F&amp;'5) Release_Track'!$G:$G,'5) Release_Track'!$I:$I},2,0), or(and(not(isblank($B218)),$B218=$B217,$A218&lt;&gt;$A217),and(not(isblank($A218)),$A218=$A217,$B218&lt;&gt;$B217)),"ID LISTS UNALIGNED",and($A218&lt;&gt;"",countif('5) Release_Track'!$F:$F,$A218)=0),"NO ISRC MATCH in Release_Track",and($B218&lt;&gt;"",countif('5) Release_Track'!$G:$G,$B218)=0),"NO CATALOG ID MATCH in Release_Track",iserror(vlookup($A218&amp;$B218,'5) Release_Track'!$F:$F&amp;'5) Release_Track'!$G:$G,1,0)),"NO ISRC-CATALOG ID pair MATCH in Release_Track" )</f>
        <v/>
      </c>
      <c r="E218" s="47" t="s">
        <v>73</v>
      </c>
      <c r="F218" s="8" t="s">
        <v>326</v>
      </c>
      <c r="G218" s="123" t="str">
        <f t="array" ref="G218">ifs(or($F218="",$F218="Main Primary Artist"),$F218,not(iserror(vlookup($F218,'Reference info'!$J$5:$J$8,1,0))),"Key Artist",not(iserror(vlookup($F218,'Reference info'!$J$38:$J$405,1,0))),"Performer",not(iserror(vlookup($F218,'Reference info'!$J$10:$J$36,1,0))),"Producer &amp; Engineer")</f>
        <v>Producer &amp; Engineer</v>
      </c>
    </row>
    <row r="219">
      <c r="A219" s="8" t="s">
        <v>456</v>
      </c>
      <c r="B219" s="103"/>
      <c r="C219" s="8" t="s">
        <v>235</v>
      </c>
      <c r="D219" s="121" t="str">
        <f t="array" ref="D219">ifs(and(isblank($A219),isblank($B219)),"", not(iserror(vlookup($A219&amp;$B219,'5) Release_Track'!$F:$F&amp;'5) Release_Track'!$G:$G,1,0))),vlookup($A219&amp;$B219,{'5) Release_Track'!$F:$F&amp;'5) Release_Track'!$G:$G,'5) Release_Track'!$I:$I},2,0), or(and(not(isblank($B219)),$B219=$B218,$A219&lt;&gt;$A218),and(not(isblank($A219)),$A219=$A218,$B219&lt;&gt;$B218)),"ID LISTS UNALIGNED",and($A219&lt;&gt;"",countif('5) Release_Track'!$F:$F,$A219)=0),"NO ISRC MATCH in Release_Track",and($B219&lt;&gt;"",countif('5) Release_Track'!$G:$G,$B219)=0),"NO CATALOG ID MATCH in Release_Track",iserror(vlookup($A219&amp;$B219,'5) Release_Track'!$F:$F&amp;'5) Release_Track'!$G:$G,1,0)),"NO ISRC-CATALOG ID pair MATCH in Release_Track" )</f>
        <v/>
      </c>
      <c r="E219" s="47" t="s">
        <v>51</v>
      </c>
      <c r="F219" s="8" t="s">
        <v>326</v>
      </c>
      <c r="G219" s="123" t="str">
        <f t="array" ref="G219">ifs(or($F219="",$F219="Main Primary Artist"),$F219,not(iserror(vlookup($F219,'Reference info'!$J$5:$J$8,1,0))),"Key Artist",not(iserror(vlookup($F219,'Reference info'!$J$38:$J$405,1,0))),"Performer",not(iserror(vlookup($F219,'Reference info'!$J$10:$J$36,1,0))),"Producer &amp; Engineer")</f>
        <v>Producer &amp; Engineer</v>
      </c>
    </row>
    <row r="220">
      <c r="A220" s="8" t="s">
        <v>458</v>
      </c>
      <c r="B220" s="103"/>
      <c r="C220" s="8" t="s">
        <v>237</v>
      </c>
      <c r="D220" s="121" t="str">
        <f t="array" ref="D220">ifs(and(isblank($A220),isblank($B220)),"", not(iserror(vlookup($A220&amp;$B220,'5) Release_Track'!$F:$F&amp;'5) Release_Track'!$G:$G,1,0))),vlookup($A220&amp;$B220,{'5) Release_Track'!$F:$F&amp;'5) Release_Track'!$G:$G,'5) Release_Track'!$I:$I},2,0), or(and(not(isblank($B220)),$B220=$B219,$A220&lt;&gt;$A219),and(not(isblank($A220)),$A220=$A219,$B220&lt;&gt;$B219)),"ID LISTS UNALIGNED",and($A220&lt;&gt;"",countif('5) Release_Track'!$F:$F,$A220)=0),"NO ISRC MATCH in Release_Track",and($B220&lt;&gt;"",countif('5) Release_Track'!$G:$G,$B220)=0),"NO CATALOG ID MATCH in Release_Track",iserror(vlookup($A220&amp;$B220,'5) Release_Track'!$F:$F&amp;'5) Release_Track'!$G:$G,1,0)),"NO ISRC-CATALOG ID pair MATCH in Release_Track" )</f>
        <v/>
      </c>
      <c r="E220" s="47" t="s">
        <v>51</v>
      </c>
      <c r="F220" s="8" t="s">
        <v>326</v>
      </c>
      <c r="G220" s="123" t="str">
        <f t="array" ref="G220">ifs(or($F220="",$F220="Main Primary Artist"),$F220,not(iserror(vlookup($F220,'Reference info'!$J$5:$J$8,1,0))),"Key Artist",not(iserror(vlookup($F220,'Reference info'!$J$38:$J$405,1,0))),"Performer",not(iserror(vlookup($F220,'Reference info'!$J$10:$J$36,1,0))),"Producer &amp; Engineer")</f>
        <v>Producer &amp; Engineer</v>
      </c>
    </row>
    <row r="221">
      <c r="A221" s="8" t="s">
        <v>460</v>
      </c>
      <c r="B221" s="103"/>
      <c r="C221" s="8" t="s">
        <v>239</v>
      </c>
      <c r="D221" s="121" t="str">
        <f t="array" ref="D221">ifs(and(isblank($A221),isblank($B221)),"", not(iserror(vlookup($A221&amp;$B221,'5) Release_Track'!$F:$F&amp;'5) Release_Track'!$G:$G,1,0))),vlookup($A221&amp;$B221,{'5) Release_Track'!$F:$F&amp;'5) Release_Track'!$G:$G,'5) Release_Track'!$I:$I},2,0), or(and(not(isblank($B221)),$B221=$B220,$A221&lt;&gt;$A220),and(not(isblank($A221)),$A221=$A220,$B221&lt;&gt;$B220)),"ID LISTS UNALIGNED",and($A221&lt;&gt;"",countif('5) Release_Track'!$F:$F,$A221)=0),"NO ISRC MATCH in Release_Track",and($B221&lt;&gt;"",countif('5) Release_Track'!$G:$G,$B221)=0),"NO CATALOG ID MATCH in Release_Track",iserror(vlookup($A221&amp;$B221,'5) Release_Track'!$F:$F&amp;'5) Release_Track'!$G:$G,1,0)),"NO ISRC-CATALOG ID pair MATCH in Release_Track" )</f>
        <v/>
      </c>
      <c r="E221" s="47" t="s">
        <v>51</v>
      </c>
      <c r="F221" s="8" t="s">
        <v>326</v>
      </c>
      <c r="G221" s="123" t="str">
        <f t="array" ref="G221">ifs(or($F221="",$F221="Main Primary Artist"),$F221,not(iserror(vlookup($F221,'Reference info'!$J$5:$J$8,1,0))),"Key Artist",not(iserror(vlookup($F221,'Reference info'!$J$38:$J$405,1,0))),"Performer",not(iserror(vlookup($F221,'Reference info'!$J$10:$J$36,1,0))),"Producer &amp; Engineer")</f>
        <v>Producer &amp; Engineer</v>
      </c>
    </row>
    <row r="222">
      <c r="A222" s="8" t="s">
        <v>416</v>
      </c>
      <c r="B222" s="103"/>
      <c r="C222" s="8" t="s">
        <v>417</v>
      </c>
      <c r="D222" s="121" t="str">
        <f t="array" ref="D222">ifs(and(isblank($A222),isblank($B222)),"", not(iserror(vlookup($A222&amp;$B222,'5) Release_Track'!$F:$F&amp;'5) Release_Track'!$G:$G,1,0))),vlookup($A222&amp;$B222,{'5) Release_Track'!$F:$F&amp;'5) Release_Track'!$G:$G,'5) Release_Track'!$I:$I},2,0), or(and(not(isblank($B222)),$B222=$B221,$A222&lt;&gt;$A221),and(not(isblank($A222)),$A222=$A221,$B222&lt;&gt;$B221)),"ID LISTS UNALIGNED",and($A222&lt;&gt;"",countif('5) Release_Track'!$F:$F,$A222)=0),"NO ISRC MATCH in Release_Track",and($B222&lt;&gt;"",countif('5) Release_Track'!$G:$G,$B222)=0),"NO CATALOG ID MATCH in Release_Track",iserror(vlookup($A222&amp;$B222,'5) Release_Track'!$F:$F&amp;'5) Release_Track'!$G:$G,1,0)),"NO ISRC-CATALOG ID pair MATCH in Release_Track" )</f>
        <v/>
      </c>
      <c r="E222" s="47" t="s">
        <v>51</v>
      </c>
      <c r="F222" s="8" t="s">
        <v>326</v>
      </c>
      <c r="G222" s="123" t="str">
        <f t="array" ref="G222">ifs(or($F222="",$F222="Main Primary Artist"),$F222,not(iserror(vlookup($F222,'Reference info'!$J$5:$J$8,1,0))),"Key Artist",not(iserror(vlookup($F222,'Reference info'!$J$38:$J$405,1,0))),"Performer",not(iserror(vlookup($F222,'Reference info'!$J$10:$J$36,1,0))),"Producer &amp; Engineer")</f>
        <v>Producer &amp; Engineer</v>
      </c>
    </row>
    <row r="223">
      <c r="A223" s="8" t="s">
        <v>462</v>
      </c>
      <c r="B223" s="103"/>
      <c r="C223" s="8" t="s">
        <v>241</v>
      </c>
      <c r="D223" s="121" t="str">
        <f t="array" ref="D223">ifs(and(isblank($A223),isblank($B223)),"", not(iserror(vlookup($A223&amp;$B223,'5) Release_Track'!$F:$F&amp;'5) Release_Track'!$G:$G,1,0))),vlookup($A223&amp;$B223,{'5) Release_Track'!$F:$F&amp;'5) Release_Track'!$G:$G,'5) Release_Track'!$I:$I},2,0), or(and(not(isblank($B223)),$B223=$B222,$A223&lt;&gt;$A222),and(not(isblank($A223)),$A223=$A222,$B223&lt;&gt;$B222)),"ID LISTS UNALIGNED",and($A223&lt;&gt;"",countif('5) Release_Track'!$F:$F,$A223)=0),"NO ISRC MATCH in Release_Track",and($B223&lt;&gt;"",countif('5) Release_Track'!$G:$G,$B223)=0),"NO CATALOG ID MATCH in Release_Track",iserror(vlookup($A223&amp;$B223,'5) Release_Track'!$F:$F&amp;'5) Release_Track'!$G:$G,1,0)),"NO ISRC-CATALOG ID pair MATCH in Release_Track" )</f>
        <v/>
      </c>
      <c r="E223" s="158" t="s">
        <v>51</v>
      </c>
      <c r="F223" s="8" t="s">
        <v>326</v>
      </c>
      <c r="G223" s="123" t="str">
        <f t="array" ref="G223">ifs(or($F223="",$F223="Main Primary Artist"),$F223,not(iserror(vlookup($F223,'Reference info'!$J$5:$J$8,1,0))),"Key Artist",not(iserror(vlookup($F223,'Reference info'!$J$38:$J$405,1,0))),"Performer",not(iserror(vlookup($F223,'Reference info'!$J$10:$J$36,1,0))),"Producer &amp; Engineer")</f>
        <v>Producer &amp; Engineer</v>
      </c>
    </row>
    <row r="224">
      <c r="A224" s="8" t="s">
        <v>464</v>
      </c>
      <c r="B224" s="103"/>
      <c r="C224" s="8" t="s">
        <v>243</v>
      </c>
      <c r="D224" s="121" t="str">
        <f t="array" ref="D224">ifs(and(isblank($A224),isblank($B224)),"", not(iserror(vlookup($A224&amp;$B224,'5) Release_Track'!$F:$F&amp;'5) Release_Track'!$G:$G,1,0))),vlookup($A224&amp;$B224,{'5) Release_Track'!$F:$F&amp;'5) Release_Track'!$G:$G,'5) Release_Track'!$I:$I},2,0), or(and(not(isblank($B224)),$B224=$B223,$A224&lt;&gt;$A223),and(not(isblank($A224)),$A224=$A223,$B224&lt;&gt;$B223)),"ID LISTS UNALIGNED",and($A224&lt;&gt;"",countif('5) Release_Track'!$F:$F,$A224)=0),"NO ISRC MATCH in Release_Track",and($B224&lt;&gt;"",countif('5) Release_Track'!$G:$G,$B224)=0),"NO CATALOG ID MATCH in Release_Track",iserror(vlookup($A224&amp;$B224,'5) Release_Track'!$F:$F&amp;'5) Release_Track'!$G:$G,1,0)),"NO ISRC-CATALOG ID pair MATCH in Release_Track" )</f>
        <v/>
      </c>
      <c r="E224" s="47" t="s">
        <v>47</v>
      </c>
      <c r="F224" s="8" t="s">
        <v>326</v>
      </c>
      <c r="G224" s="123" t="str">
        <f t="array" ref="G224">ifs(or($F224="",$F224="Main Primary Artist"),$F224,not(iserror(vlookup($F224,'Reference info'!$J$5:$J$8,1,0))),"Key Artist",not(iserror(vlookup($F224,'Reference info'!$J$38:$J$405,1,0))),"Performer",not(iserror(vlookup($F224,'Reference info'!$J$10:$J$36,1,0))),"Producer &amp; Engineer")</f>
        <v>Producer &amp; Engineer</v>
      </c>
    </row>
    <row r="225">
      <c r="A225" s="8" t="s">
        <v>466</v>
      </c>
      <c r="B225" s="103"/>
      <c r="C225" s="8" t="s">
        <v>245</v>
      </c>
      <c r="D225" s="121" t="str">
        <f t="array" ref="D225">ifs(and(isblank($A225),isblank($B225)),"", not(iserror(vlookup($A225&amp;$B225,'5) Release_Track'!$F:$F&amp;'5) Release_Track'!$G:$G,1,0))),vlookup($A225&amp;$B225,{'5) Release_Track'!$F:$F&amp;'5) Release_Track'!$G:$G,'5) Release_Track'!$I:$I},2,0), or(and(not(isblank($B225)),$B225=$B224,$A225&lt;&gt;$A224),and(not(isblank($A225)),$A225=$A224,$B225&lt;&gt;$B224)),"ID LISTS UNALIGNED",and($A225&lt;&gt;"",countif('5) Release_Track'!$F:$F,$A225)=0),"NO ISRC MATCH in Release_Track",and($B225&lt;&gt;"",countif('5) Release_Track'!$G:$G,$B225)=0),"NO CATALOG ID MATCH in Release_Track",iserror(vlookup($A225&amp;$B225,'5) Release_Track'!$F:$F&amp;'5) Release_Track'!$G:$G,1,0)),"NO ISRC-CATALOG ID pair MATCH in Release_Track" )</f>
        <v/>
      </c>
      <c r="E225" s="47" t="s">
        <v>135</v>
      </c>
      <c r="F225" s="8" t="s">
        <v>326</v>
      </c>
      <c r="G225" s="123" t="str">
        <f t="array" ref="G225">ifs(or($F225="",$F225="Main Primary Artist"),$F225,not(iserror(vlookup($F225,'Reference info'!$J$5:$J$8,1,0))),"Key Artist",not(iserror(vlookup($F225,'Reference info'!$J$38:$J$405,1,0))),"Performer",not(iserror(vlookup($F225,'Reference info'!$J$10:$J$36,1,0))),"Producer &amp; Engineer")</f>
        <v>Producer &amp; Engineer</v>
      </c>
    </row>
    <row r="226">
      <c r="A226" s="8" t="s">
        <v>468</v>
      </c>
      <c r="B226" s="103"/>
      <c r="C226" s="8" t="s">
        <v>247</v>
      </c>
      <c r="D226" s="121" t="str">
        <f t="array" ref="D226">ifs(and(isblank($A226),isblank($B226)),"", not(iserror(vlookup($A226&amp;$B226,'5) Release_Track'!$F:$F&amp;'5) Release_Track'!$G:$G,1,0))),vlookup($A226&amp;$B226,{'5) Release_Track'!$F:$F&amp;'5) Release_Track'!$G:$G,'5) Release_Track'!$I:$I},2,0), or(and(not(isblank($B226)),$B226=$B225,$A226&lt;&gt;$A225),and(not(isblank($A226)),$A226=$A225,$B226&lt;&gt;$B225)),"ID LISTS UNALIGNED",and($A226&lt;&gt;"",countif('5) Release_Track'!$F:$F,$A226)=0),"NO ISRC MATCH in Release_Track",and($B226&lt;&gt;"",countif('5) Release_Track'!$G:$G,$B226)=0),"NO CATALOG ID MATCH in Release_Track",iserror(vlookup($A226&amp;$B226,'5) Release_Track'!$F:$F&amp;'5) Release_Track'!$G:$G,1,0)),"NO ISRC-CATALOG ID pair MATCH in Release_Track" )</f>
        <v/>
      </c>
      <c r="E226" s="47" t="s">
        <v>95</v>
      </c>
      <c r="F226" s="8" t="s">
        <v>326</v>
      </c>
      <c r="G226" s="123" t="str">
        <f t="array" ref="G226">ifs(or($F226="",$F226="Main Primary Artist"),$F226,not(iserror(vlookup($F226,'Reference info'!$J$5:$J$8,1,0))),"Key Artist",not(iserror(vlookup($F226,'Reference info'!$J$38:$J$405,1,0))),"Performer",not(iserror(vlookup($F226,'Reference info'!$J$10:$J$36,1,0))),"Producer &amp; Engineer")</f>
        <v>Producer &amp; Engineer</v>
      </c>
    </row>
    <row r="227">
      <c r="A227" s="8" t="s">
        <v>470</v>
      </c>
      <c r="B227" s="103"/>
      <c r="C227" s="8" t="s">
        <v>249</v>
      </c>
      <c r="D227" s="121" t="str">
        <f t="array" ref="D227">ifs(and(isblank($A227),isblank($B227)),"", not(iserror(vlookup($A227&amp;$B227,'5) Release_Track'!$F:$F&amp;'5) Release_Track'!$G:$G,1,0))),vlookup($A227&amp;$B227,{'5) Release_Track'!$F:$F&amp;'5) Release_Track'!$G:$G,'5) Release_Track'!$I:$I},2,0), or(and(not(isblank($B227)),$B227=$B226,$A227&lt;&gt;$A226),and(not(isblank($A227)),$A227=$A226,$B227&lt;&gt;$B226)),"ID LISTS UNALIGNED",and($A227&lt;&gt;"",countif('5) Release_Track'!$F:$F,$A227)=0),"NO ISRC MATCH in Release_Track",and($B227&lt;&gt;"",countif('5) Release_Track'!$G:$G,$B227)=0),"NO CATALOG ID MATCH in Release_Track",iserror(vlookup($A227&amp;$B227,'5) Release_Track'!$F:$F&amp;'5) Release_Track'!$G:$G,1,0)),"NO ISRC-CATALOG ID pair MATCH in Release_Track" )</f>
        <v/>
      </c>
      <c r="E227" s="47" t="s">
        <v>51</v>
      </c>
      <c r="F227" s="8" t="s">
        <v>326</v>
      </c>
      <c r="G227" s="123" t="str">
        <f t="array" ref="G227">ifs(or($F227="",$F227="Main Primary Artist"),$F227,not(iserror(vlookup($F227,'Reference info'!$J$5:$J$8,1,0))),"Key Artist",not(iserror(vlookup($F227,'Reference info'!$J$38:$J$405,1,0))),"Performer",not(iserror(vlookup($F227,'Reference info'!$J$10:$J$36,1,0))),"Producer &amp; Engineer")</f>
        <v>Producer &amp; Engineer</v>
      </c>
    </row>
    <row r="228">
      <c r="A228" s="8" t="s">
        <v>472</v>
      </c>
      <c r="B228" s="103"/>
      <c r="C228" s="8" t="s">
        <v>251</v>
      </c>
      <c r="D228" s="121" t="str">
        <f t="array" ref="D228">ifs(and(isblank($A228),isblank($B228)),"", not(iserror(vlookup($A228&amp;$B228,'5) Release_Track'!$F:$F&amp;'5) Release_Track'!$G:$G,1,0))),vlookup($A228&amp;$B228,{'5) Release_Track'!$F:$F&amp;'5) Release_Track'!$G:$G,'5) Release_Track'!$I:$I},2,0), or(and(not(isblank($B228)),$B228=$B227,$A228&lt;&gt;$A227),and(not(isblank($A228)),$A228=$A227,$B228&lt;&gt;$B227)),"ID LISTS UNALIGNED",and($A228&lt;&gt;"",countif('5) Release_Track'!$F:$F,$A228)=0),"NO ISRC MATCH in Release_Track",and($B228&lt;&gt;"",countif('5) Release_Track'!$G:$G,$B228)=0),"NO CATALOG ID MATCH in Release_Track",iserror(vlookup($A228&amp;$B228,'5) Release_Track'!$F:$F&amp;'5) Release_Track'!$G:$G,1,0)),"NO ISRC-CATALOG ID pair MATCH in Release_Track" )</f>
        <v/>
      </c>
      <c r="E228" s="47" t="s">
        <v>47</v>
      </c>
      <c r="F228" s="8" t="s">
        <v>326</v>
      </c>
      <c r="G228" s="123" t="str">
        <f t="array" ref="G228">ifs(or($F228="",$F228="Main Primary Artist"),$F228,not(iserror(vlookup($F228,'Reference info'!$J$5:$J$8,1,0))),"Key Artist",not(iserror(vlookup($F228,'Reference info'!$J$38:$J$405,1,0))),"Performer",not(iserror(vlookup($F228,'Reference info'!$J$10:$J$36,1,0))),"Producer &amp; Engineer")</f>
        <v>Producer &amp; Engineer</v>
      </c>
    </row>
    <row r="229">
      <c r="A229" s="8" t="s">
        <v>376</v>
      </c>
      <c r="B229" s="103"/>
      <c r="C229" s="8" t="s">
        <v>377</v>
      </c>
      <c r="D229" s="121" t="str">
        <f t="array" ref="D229">ifs(and(isblank($A229),isblank($B229)),"", not(iserror(vlookup($A229&amp;$B229,'5) Release_Track'!$F:$F&amp;'5) Release_Track'!$G:$G,1,0))),vlookup($A229&amp;$B229,{'5) Release_Track'!$F:$F&amp;'5) Release_Track'!$G:$G,'5) Release_Track'!$I:$I},2,0), or(and(not(isblank($B229)),$B229=$B228,$A229&lt;&gt;$A228),and(not(isblank($A229)),$A229=$A228,$B229&lt;&gt;$B228)),"ID LISTS UNALIGNED",and($A229&lt;&gt;"",countif('5) Release_Track'!$F:$F,$A229)=0),"NO ISRC MATCH in Release_Track",and($B229&lt;&gt;"",countif('5) Release_Track'!$G:$G,$B229)=0),"NO CATALOG ID MATCH in Release_Track",iserror(vlookup($A229&amp;$B229,'5) Release_Track'!$F:$F&amp;'5) Release_Track'!$G:$G,1,0)),"NO ISRC-CATALOG ID pair MATCH in Release_Track" )</f>
        <v/>
      </c>
      <c r="E229" s="158" t="s">
        <v>51</v>
      </c>
      <c r="F229" s="8" t="s">
        <v>326</v>
      </c>
      <c r="G229" s="123" t="str">
        <f t="array" ref="G229">ifs(or($F229="",$F229="Main Primary Artist"),$F229,not(iserror(vlookup($F229,'Reference info'!$J$5:$J$8,1,0))),"Key Artist",not(iserror(vlookup($F229,'Reference info'!$J$38:$J$405,1,0))),"Performer",not(iserror(vlookup($F229,'Reference info'!$J$10:$J$36,1,0))),"Producer &amp; Engineer")</f>
        <v>Producer &amp; Engineer</v>
      </c>
    </row>
    <row r="230">
      <c r="A230" s="8" t="s">
        <v>474</v>
      </c>
      <c r="B230" s="103"/>
      <c r="C230" s="8" t="s">
        <v>253</v>
      </c>
      <c r="D230" s="121" t="str">
        <f t="array" ref="D230">ifs(and(isblank($A230),isblank($B230)),"", not(iserror(vlookup($A230&amp;$B230,'5) Release_Track'!$F:$F&amp;'5) Release_Track'!$G:$G,1,0))),vlookup($A230&amp;$B230,{'5) Release_Track'!$F:$F&amp;'5) Release_Track'!$G:$G,'5) Release_Track'!$I:$I},2,0), or(and(not(isblank($B230)),$B230=$B229,$A230&lt;&gt;$A229),and(not(isblank($A230)),$A230=$A229,$B230&lt;&gt;$B229)),"ID LISTS UNALIGNED",and($A230&lt;&gt;"",countif('5) Release_Track'!$F:$F,$A230)=0),"NO ISRC MATCH in Release_Track",and($B230&lt;&gt;"",countif('5) Release_Track'!$G:$G,$B230)=0),"NO CATALOG ID MATCH in Release_Track",iserror(vlookup($A230&amp;$B230,'5) Release_Track'!$F:$F&amp;'5) Release_Track'!$G:$G,1,0)),"NO ISRC-CATALOG ID pair MATCH in Release_Track" )</f>
        <v/>
      </c>
      <c r="E230" s="47" t="s">
        <v>47</v>
      </c>
      <c r="F230" s="8" t="s">
        <v>326</v>
      </c>
      <c r="G230" s="123" t="str">
        <f t="array" ref="G230">ifs(or($F230="",$F230="Main Primary Artist"),$F230,not(iserror(vlookup($F230,'Reference info'!$J$5:$J$8,1,0))),"Key Artist",not(iserror(vlookup($F230,'Reference info'!$J$38:$J$405,1,0))),"Performer",not(iserror(vlookup($F230,'Reference info'!$J$10:$J$36,1,0))),"Producer &amp; Engineer")</f>
        <v>Producer &amp; Engineer</v>
      </c>
    </row>
    <row r="231">
      <c r="A231" s="8" t="s">
        <v>476</v>
      </c>
      <c r="B231" s="103"/>
      <c r="C231" s="8" t="s">
        <v>255</v>
      </c>
      <c r="D231" s="121" t="str">
        <f t="array" ref="D231">ifs(and(isblank($A231),isblank($B231)),"", not(iserror(vlookup($A231&amp;$B231,'5) Release_Track'!$F:$F&amp;'5) Release_Track'!$G:$G,1,0))),vlookup($A231&amp;$B231,{'5) Release_Track'!$F:$F&amp;'5) Release_Track'!$G:$G,'5) Release_Track'!$I:$I},2,0), or(and(not(isblank($B231)),$B231=$B230,$A231&lt;&gt;$A230),and(not(isblank($A231)),$A231=$A230,$B231&lt;&gt;$B230)),"ID LISTS UNALIGNED",and($A231&lt;&gt;"",countif('5) Release_Track'!$F:$F,$A231)=0),"NO ISRC MATCH in Release_Track",and($B231&lt;&gt;"",countif('5) Release_Track'!$G:$G,$B231)=0),"NO CATALOG ID MATCH in Release_Track",iserror(vlookup($A231&amp;$B231,'5) Release_Track'!$F:$F&amp;'5) Release_Track'!$G:$G,1,0)),"NO ISRC-CATALOG ID pair MATCH in Release_Track" )</f>
        <v/>
      </c>
      <c r="E231" s="47" t="s">
        <v>51</v>
      </c>
      <c r="F231" s="8" t="s">
        <v>326</v>
      </c>
      <c r="G231" s="123" t="str">
        <f t="array" ref="G231">ifs(or($F231="",$F231="Main Primary Artist"),$F231,not(iserror(vlookup($F231,'Reference info'!$J$5:$J$8,1,0))),"Key Artist",not(iserror(vlookup($F231,'Reference info'!$J$38:$J$405,1,0))),"Performer",not(iserror(vlookup($F231,'Reference info'!$J$10:$J$36,1,0))),"Producer &amp; Engineer")</f>
        <v>Producer &amp; Engineer</v>
      </c>
    </row>
    <row r="232">
      <c r="A232" s="8" t="s">
        <v>478</v>
      </c>
      <c r="B232" s="103"/>
      <c r="C232" s="8" t="s">
        <v>257</v>
      </c>
      <c r="D232" s="121" t="str">
        <f t="array" ref="D232">ifs(and(isblank($A232),isblank($B232)),"", not(iserror(vlookup($A232&amp;$B232,'5) Release_Track'!$F:$F&amp;'5) Release_Track'!$G:$G,1,0))),vlookup($A232&amp;$B232,{'5) Release_Track'!$F:$F&amp;'5) Release_Track'!$G:$G,'5) Release_Track'!$I:$I},2,0), or(and(not(isblank($B232)),$B232=$B231,$A232&lt;&gt;$A231),and(not(isblank($A232)),$A232=$A231,$B232&lt;&gt;$B231)),"ID LISTS UNALIGNED",and($A232&lt;&gt;"",countif('5) Release_Track'!$F:$F,$A232)=0),"NO ISRC MATCH in Release_Track",and($B232&lt;&gt;"",countif('5) Release_Track'!$G:$G,$B232)=0),"NO CATALOG ID MATCH in Release_Track",iserror(vlookup($A232&amp;$B232,'5) Release_Track'!$F:$F&amp;'5) Release_Track'!$G:$G,1,0)),"NO ISRC-CATALOG ID pair MATCH in Release_Track" )</f>
        <v/>
      </c>
      <c r="E232" s="47" t="s">
        <v>103</v>
      </c>
      <c r="F232" s="8" t="s">
        <v>326</v>
      </c>
      <c r="G232" s="123" t="str">
        <f t="array" ref="G232">ifs(or($F232="",$F232="Main Primary Artist"),$F232,not(iserror(vlookup($F232,'Reference info'!$J$5:$J$8,1,0))),"Key Artist",not(iserror(vlookup($F232,'Reference info'!$J$38:$J$405,1,0))),"Performer",not(iserror(vlookup($F232,'Reference info'!$J$10:$J$36,1,0))),"Producer &amp; Engineer")</f>
        <v>Producer &amp; Engineer</v>
      </c>
    </row>
    <row r="233">
      <c r="A233" s="8" t="s">
        <v>480</v>
      </c>
      <c r="B233" s="103"/>
      <c r="C233" s="8" t="s">
        <v>259</v>
      </c>
      <c r="D233" s="121" t="str">
        <f t="array" ref="D233">ifs(and(isblank($A233),isblank($B233)),"", not(iserror(vlookup($A233&amp;$B233,'5) Release_Track'!$F:$F&amp;'5) Release_Track'!$G:$G,1,0))),vlookup($A233&amp;$B233,{'5) Release_Track'!$F:$F&amp;'5) Release_Track'!$G:$G,'5) Release_Track'!$I:$I},2,0), or(and(not(isblank($B233)),$B233=$B232,$A233&lt;&gt;$A232),and(not(isblank($A233)),$A233=$A232,$B233&lt;&gt;$B232)),"ID LISTS UNALIGNED",and($A233&lt;&gt;"",countif('5) Release_Track'!$F:$F,$A233)=0),"NO ISRC MATCH in Release_Track",and($B233&lt;&gt;"",countif('5) Release_Track'!$G:$G,$B233)=0),"NO CATALOG ID MATCH in Release_Track",iserror(vlookup($A233&amp;$B233,'5) Release_Track'!$F:$F&amp;'5) Release_Track'!$G:$G,1,0)),"NO ISRC-CATALOG ID pair MATCH in Release_Track" )</f>
        <v/>
      </c>
      <c r="E233" s="47" t="s">
        <v>51</v>
      </c>
      <c r="F233" s="8" t="s">
        <v>326</v>
      </c>
      <c r="G233" s="123" t="str">
        <f t="array" ref="G233">ifs(or($F233="",$F233="Main Primary Artist"),$F233,not(iserror(vlookup($F233,'Reference info'!$J$5:$J$8,1,0))),"Key Artist",not(iserror(vlookup($F233,'Reference info'!$J$38:$J$405,1,0))),"Performer",not(iserror(vlookup($F233,'Reference info'!$J$10:$J$36,1,0))),"Producer &amp; Engineer")</f>
        <v>Producer &amp; Engineer</v>
      </c>
    </row>
    <row r="234">
      <c r="A234" s="8" t="s">
        <v>482</v>
      </c>
      <c r="B234" s="103"/>
      <c r="C234" s="8" t="s">
        <v>261</v>
      </c>
      <c r="D234" s="121" t="str">
        <f t="array" ref="D234">ifs(and(isblank($A234),isblank($B234)),"", not(iserror(vlookup($A234&amp;$B234,'5) Release_Track'!$F:$F&amp;'5) Release_Track'!$G:$G,1,0))),vlookup($A234&amp;$B234,{'5) Release_Track'!$F:$F&amp;'5) Release_Track'!$G:$G,'5) Release_Track'!$I:$I},2,0), or(and(not(isblank($B234)),$B234=$B233,$A234&lt;&gt;$A233),and(not(isblank($A234)),$A234=$A233,$B234&lt;&gt;$B233)),"ID LISTS UNALIGNED",and($A234&lt;&gt;"",countif('5) Release_Track'!$F:$F,$A234)=0),"NO ISRC MATCH in Release_Track",and($B234&lt;&gt;"",countif('5) Release_Track'!$G:$G,$B234)=0),"NO CATALOG ID MATCH in Release_Track",iserror(vlookup($A234&amp;$B234,'5) Release_Track'!$F:$F&amp;'5) Release_Track'!$G:$G,1,0)),"NO ISRC-CATALOG ID pair MATCH in Release_Track" )</f>
        <v/>
      </c>
      <c r="E234" s="47" t="s">
        <v>47</v>
      </c>
      <c r="F234" s="8" t="s">
        <v>326</v>
      </c>
      <c r="G234" s="123" t="str">
        <f t="array" ref="G234">ifs(or($F234="",$F234="Main Primary Artist"),$F234,not(iserror(vlookup($F234,'Reference info'!$J$5:$J$8,1,0))),"Key Artist",not(iserror(vlookup($F234,'Reference info'!$J$38:$J$405,1,0))),"Performer",not(iserror(vlookup($F234,'Reference info'!$J$10:$J$36,1,0))),"Producer &amp; Engineer")</f>
        <v>Producer &amp; Engineer</v>
      </c>
    </row>
    <row r="235">
      <c r="A235" s="8" t="s">
        <v>484</v>
      </c>
      <c r="B235" s="103"/>
      <c r="C235" s="8" t="s">
        <v>263</v>
      </c>
      <c r="D235" s="121" t="str">
        <f t="array" ref="D235">ifs(and(isblank($A235),isblank($B235)),"", not(iserror(vlookup($A235&amp;$B235,'5) Release_Track'!$F:$F&amp;'5) Release_Track'!$G:$G,1,0))),vlookup($A235&amp;$B235,{'5) Release_Track'!$F:$F&amp;'5) Release_Track'!$G:$G,'5) Release_Track'!$I:$I},2,0), or(and(not(isblank($B235)),$B235=$B234,$A235&lt;&gt;$A234),and(not(isblank($A235)),$A235=$A234,$B235&lt;&gt;$B234)),"ID LISTS UNALIGNED",and($A235&lt;&gt;"",countif('5) Release_Track'!$F:$F,$A235)=0),"NO ISRC MATCH in Release_Track",and($B235&lt;&gt;"",countif('5) Release_Track'!$G:$G,$B235)=0),"NO CATALOG ID MATCH in Release_Track",iserror(vlookup($A235&amp;$B235,'5) Release_Track'!$F:$F&amp;'5) Release_Track'!$G:$G,1,0)),"NO ISRC-CATALOG ID pair MATCH in Release_Track" )</f>
        <v/>
      </c>
      <c r="E235" s="47" t="s">
        <v>51</v>
      </c>
      <c r="F235" s="8" t="s">
        <v>326</v>
      </c>
      <c r="G235" s="123" t="str">
        <f t="array" ref="G235">ifs(or($F235="",$F235="Main Primary Artist"),$F235,not(iserror(vlookup($F235,'Reference info'!$J$5:$J$8,1,0))),"Key Artist",not(iserror(vlookup($F235,'Reference info'!$J$38:$J$405,1,0))),"Performer",not(iserror(vlookup($F235,'Reference info'!$J$10:$J$36,1,0))),"Producer &amp; Engineer")</f>
        <v>Producer &amp; Engineer</v>
      </c>
    </row>
    <row r="236">
      <c r="A236" s="8" t="s">
        <v>486</v>
      </c>
      <c r="B236" s="103"/>
      <c r="C236" s="8" t="s">
        <v>265</v>
      </c>
      <c r="D236" s="121" t="str">
        <f t="array" ref="D236">ifs(and(isblank($A236),isblank($B236)),"", not(iserror(vlookup($A236&amp;$B236,'5) Release_Track'!$F:$F&amp;'5) Release_Track'!$G:$G,1,0))),vlookup($A236&amp;$B236,{'5) Release_Track'!$F:$F&amp;'5) Release_Track'!$G:$G,'5) Release_Track'!$I:$I},2,0), or(and(not(isblank($B236)),$B236=$B235,$A236&lt;&gt;$A235),and(not(isblank($A236)),$A236=$A235,$B236&lt;&gt;$B235)),"ID LISTS UNALIGNED",and($A236&lt;&gt;"",countif('5) Release_Track'!$F:$F,$A236)=0),"NO ISRC MATCH in Release_Track",and($B236&lt;&gt;"",countif('5) Release_Track'!$G:$G,$B236)=0),"NO CATALOG ID MATCH in Release_Track",iserror(vlookup($A236&amp;$B236,'5) Release_Track'!$F:$F&amp;'5) Release_Track'!$G:$G,1,0)),"NO ISRC-CATALOG ID pair MATCH in Release_Track" )</f>
        <v/>
      </c>
      <c r="E236" s="47" t="s">
        <v>51</v>
      </c>
      <c r="F236" s="8" t="s">
        <v>326</v>
      </c>
      <c r="G236" s="123" t="str">
        <f t="array" ref="G236">ifs(or($F236="",$F236="Main Primary Artist"),$F236,not(iserror(vlookup($F236,'Reference info'!$J$5:$J$8,1,0))),"Key Artist",not(iserror(vlookup($F236,'Reference info'!$J$38:$J$405,1,0))),"Performer",not(iserror(vlookup($F236,'Reference info'!$J$10:$J$36,1,0))),"Producer &amp; Engineer")</f>
        <v>Producer &amp; Engineer</v>
      </c>
    </row>
    <row r="237">
      <c r="A237" s="8" t="s">
        <v>488</v>
      </c>
      <c r="B237" s="103"/>
      <c r="C237" s="8" t="s">
        <v>267</v>
      </c>
      <c r="D237" s="121" t="str">
        <f t="array" ref="D237">ifs(and(isblank($A237),isblank($B237)),"", not(iserror(vlookup($A237&amp;$B237,'5) Release_Track'!$F:$F&amp;'5) Release_Track'!$G:$G,1,0))),vlookup($A237&amp;$B237,{'5) Release_Track'!$F:$F&amp;'5) Release_Track'!$G:$G,'5) Release_Track'!$I:$I},2,0), or(and(not(isblank($B237)),$B237=$B236,$A237&lt;&gt;$A236),and(not(isblank($A237)),$A237=$A236,$B237&lt;&gt;$B236)),"ID LISTS UNALIGNED",and($A237&lt;&gt;"",countif('5) Release_Track'!$F:$F,$A237)=0),"NO ISRC MATCH in Release_Track",and($B237&lt;&gt;"",countif('5) Release_Track'!$G:$G,$B237)=0),"NO CATALOG ID MATCH in Release_Track",iserror(vlookup($A237&amp;$B237,'5) Release_Track'!$F:$F&amp;'5) Release_Track'!$G:$G,1,0)),"NO ISRC-CATALOG ID pair MATCH in Release_Track" )</f>
        <v/>
      </c>
      <c r="E237" s="47" t="s">
        <v>51</v>
      </c>
      <c r="F237" s="8" t="s">
        <v>326</v>
      </c>
      <c r="G237" s="123" t="str">
        <f t="array" ref="G237">ifs(or($F237="",$F237="Main Primary Artist"),$F237,not(iserror(vlookup($F237,'Reference info'!$J$5:$J$8,1,0))),"Key Artist",not(iserror(vlookup($F237,'Reference info'!$J$38:$J$405,1,0))),"Performer",not(iserror(vlookup($F237,'Reference info'!$J$10:$J$36,1,0))),"Producer &amp; Engineer")</f>
        <v>Producer &amp; Engineer</v>
      </c>
    </row>
    <row r="238">
      <c r="A238" s="8" t="s">
        <v>490</v>
      </c>
      <c r="B238" s="103"/>
      <c r="C238" s="8" t="s">
        <v>269</v>
      </c>
      <c r="D238" s="121" t="str">
        <f t="array" ref="D238">ifs(and(isblank($A238),isblank($B238)),"", not(iserror(vlookup($A238&amp;$B238,'5) Release_Track'!$F:$F&amp;'5) Release_Track'!$G:$G,1,0))),vlookup($A238&amp;$B238,{'5) Release_Track'!$F:$F&amp;'5) Release_Track'!$G:$G,'5) Release_Track'!$I:$I},2,0), or(and(not(isblank($B238)),$B238=$B237,$A238&lt;&gt;$A237),and(not(isblank($A238)),$A238=$A237,$B238&lt;&gt;$B237)),"ID LISTS UNALIGNED",and($A238&lt;&gt;"",countif('5) Release_Track'!$F:$F,$A238)=0),"NO ISRC MATCH in Release_Track",and($B238&lt;&gt;"",countif('5) Release_Track'!$G:$G,$B238)=0),"NO CATALOG ID MATCH in Release_Track",iserror(vlookup($A238&amp;$B238,'5) Release_Track'!$F:$F&amp;'5) Release_Track'!$G:$G,1,0)),"NO ISRC-CATALOG ID pair MATCH in Release_Track" )</f>
        <v/>
      </c>
      <c r="E238" s="47" t="s">
        <v>51</v>
      </c>
      <c r="F238" s="8" t="s">
        <v>326</v>
      </c>
      <c r="G238" s="123" t="str">
        <f t="array" ref="G238">ifs(or($F238="",$F238="Main Primary Artist"),$F238,not(iserror(vlookup($F238,'Reference info'!$J$5:$J$8,1,0))),"Key Artist",not(iserror(vlookup($F238,'Reference info'!$J$38:$J$405,1,0))),"Performer",not(iserror(vlookup($F238,'Reference info'!$J$10:$J$36,1,0))),"Producer &amp; Engineer")</f>
        <v>Producer &amp; Engineer</v>
      </c>
    </row>
    <row r="239">
      <c r="A239" s="8" t="s">
        <v>492</v>
      </c>
      <c r="B239" s="103"/>
      <c r="C239" s="8" t="s">
        <v>271</v>
      </c>
      <c r="D239" s="121" t="str">
        <f t="array" ref="D239">ifs(and(isblank($A239),isblank($B239)),"", not(iserror(vlookup($A239&amp;$B239,'5) Release_Track'!$F:$F&amp;'5) Release_Track'!$G:$G,1,0))),vlookup($A239&amp;$B239,{'5) Release_Track'!$F:$F&amp;'5) Release_Track'!$G:$G,'5) Release_Track'!$I:$I},2,0), or(and(not(isblank($B239)),$B239=$B238,$A239&lt;&gt;$A238),and(not(isblank($A239)),$A239=$A238,$B239&lt;&gt;$B238)),"ID LISTS UNALIGNED",and($A239&lt;&gt;"",countif('5) Release_Track'!$F:$F,$A239)=0),"NO ISRC MATCH in Release_Track",and($B239&lt;&gt;"",countif('5) Release_Track'!$G:$G,$B239)=0),"NO CATALOG ID MATCH in Release_Track",iserror(vlookup($A239&amp;$B239,'5) Release_Track'!$F:$F&amp;'5) Release_Track'!$G:$G,1,0)),"NO ISRC-CATALOG ID pair MATCH in Release_Track" )</f>
        <v/>
      </c>
      <c r="E239" s="47" t="s">
        <v>51</v>
      </c>
      <c r="F239" s="8" t="s">
        <v>326</v>
      </c>
      <c r="G239" s="123" t="str">
        <f t="array" ref="G239">ifs(or($F239="",$F239="Main Primary Artist"),$F239,not(iserror(vlookup($F239,'Reference info'!$J$5:$J$8,1,0))),"Key Artist",not(iserror(vlookup($F239,'Reference info'!$J$38:$J$405,1,0))),"Performer",not(iserror(vlookup($F239,'Reference info'!$J$10:$J$36,1,0))),"Producer &amp; Engineer")</f>
        <v>Producer &amp; Engineer</v>
      </c>
    </row>
    <row r="240">
      <c r="A240" s="8" t="s">
        <v>494</v>
      </c>
      <c r="B240" s="103"/>
      <c r="C240" s="8" t="s">
        <v>273</v>
      </c>
      <c r="D240" s="121" t="str">
        <f t="array" ref="D240">ifs(and(isblank($A240),isblank($B240)),"", not(iserror(vlookup($A240&amp;$B240,'5) Release_Track'!$F:$F&amp;'5) Release_Track'!$G:$G,1,0))),vlookup($A240&amp;$B240,{'5) Release_Track'!$F:$F&amp;'5) Release_Track'!$G:$G,'5) Release_Track'!$I:$I},2,0), or(and(not(isblank($B240)),$B240=$B239,$A240&lt;&gt;$A239),and(not(isblank($A240)),$A240=$A239,$B240&lt;&gt;$B239)),"ID LISTS UNALIGNED",and($A240&lt;&gt;"",countif('5) Release_Track'!$F:$F,$A240)=0),"NO ISRC MATCH in Release_Track",and($B240&lt;&gt;"",countif('5) Release_Track'!$G:$G,$B240)=0),"NO CATALOG ID MATCH in Release_Track",iserror(vlookup($A240&amp;$B240,'5) Release_Track'!$F:$F&amp;'5) Release_Track'!$G:$G,1,0)),"NO ISRC-CATALOG ID pair MATCH in Release_Track" )</f>
        <v/>
      </c>
      <c r="E240" s="47" t="s">
        <v>51</v>
      </c>
      <c r="F240" s="8" t="s">
        <v>326</v>
      </c>
      <c r="G240" s="123" t="str">
        <f t="array" ref="G240">ifs(or($F240="",$F240="Main Primary Artist"),$F240,not(iserror(vlookup($F240,'Reference info'!$J$5:$J$8,1,0))),"Key Artist",not(iserror(vlookup($F240,'Reference info'!$J$38:$J$405,1,0))),"Performer",not(iserror(vlookup($F240,'Reference info'!$J$10:$J$36,1,0))),"Producer &amp; Engineer")</f>
        <v>Producer &amp; Engineer</v>
      </c>
    </row>
    <row r="241">
      <c r="A241" s="8" t="s">
        <v>496</v>
      </c>
      <c r="B241" s="103"/>
      <c r="C241" s="8" t="s">
        <v>275</v>
      </c>
      <c r="D241" s="121" t="str">
        <f t="array" ref="D241">ifs(and(isblank($A241),isblank($B241)),"", not(iserror(vlookup($A241&amp;$B241,'5) Release_Track'!$F:$F&amp;'5) Release_Track'!$G:$G,1,0))),vlookup($A241&amp;$B241,{'5) Release_Track'!$F:$F&amp;'5) Release_Track'!$G:$G,'5) Release_Track'!$I:$I},2,0), or(and(not(isblank($B241)),$B241=$B240,$A241&lt;&gt;$A240),and(not(isblank($A241)),$A241=$A240,$B241&lt;&gt;$B240)),"ID LISTS UNALIGNED",and($A241&lt;&gt;"",countif('5) Release_Track'!$F:$F,$A241)=0),"NO ISRC MATCH in Release_Track",and($B241&lt;&gt;"",countif('5) Release_Track'!$G:$G,$B241)=0),"NO CATALOG ID MATCH in Release_Track",iserror(vlookup($A241&amp;$B241,'5) Release_Track'!$F:$F&amp;'5) Release_Track'!$G:$G,1,0)),"NO ISRC-CATALOG ID pair MATCH in Release_Track" )</f>
        <v/>
      </c>
      <c r="E241" s="47" t="s">
        <v>123</v>
      </c>
      <c r="F241" s="8" t="s">
        <v>326</v>
      </c>
      <c r="G241" s="123" t="str">
        <f t="array" ref="G241">ifs(or($F241="",$F241="Main Primary Artist"),$F241,not(iserror(vlookup($F241,'Reference info'!$J$5:$J$8,1,0))),"Key Artist",not(iserror(vlookup($F241,'Reference info'!$J$38:$J$405,1,0))),"Performer",not(iserror(vlookup($F241,'Reference info'!$J$10:$J$36,1,0))),"Producer &amp; Engineer")</f>
        <v>Producer &amp; Engineer</v>
      </c>
    </row>
    <row r="242">
      <c r="A242" s="8" t="s">
        <v>498</v>
      </c>
      <c r="B242" s="103"/>
      <c r="C242" s="8" t="s">
        <v>277</v>
      </c>
      <c r="D242" s="121" t="str">
        <f t="array" ref="D242">ifs(and(isblank($A242),isblank($B242)),"", not(iserror(vlookup($A242&amp;$B242,'5) Release_Track'!$F:$F&amp;'5) Release_Track'!$G:$G,1,0))),vlookup($A242&amp;$B242,{'5) Release_Track'!$F:$F&amp;'5) Release_Track'!$G:$G,'5) Release_Track'!$I:$I},2,0), or(and(not(isblank($B242)),$B242=$B241,$A242&lt;&gt;$A241),and(not(isblank($A242)),$A242=$A241,$B242&lt;&gt;$B241)),"ID LISTS UNALIGNED",and($A242&lt;&gt;"",countif('5) Release_Track'!$F:$F,$A242)=0),"NO ISRC MATCH in Release_Track",and($B242&lt;&gt;"",countif('5) Release_Track'!$G:$G,$B242)=0),"NO CATALOG ID MATCH in Release_Track",iserror(vlookup($A242&amp;$B242,'5) Release_Track'!$F:$F&amp;'5) Release_Track'!$G:$G,1,0)),"NO ISRC-CATALOG ID pair MATCH in Release_Track" )</f>
        <v/>
      </c>
      <c r="E242" s="47" t="s">
        <v>51</v>
      </c>
      <c r="F242" s="8" t="s">
        <v>326</v>
      </c>
      <c r="G242" s="123" t="str">
        <f t="array" ref="G242">ifs(or($F242="",$F242="Main Primary Artist"),$F242,not(iserror(vlookup($F242,'Reference info'!$J$5:$J$8,1,0))),"Key Artist",not(iserror(vlookup($F242,'Reference info'!$J$38:$J$405,1,0))),"Performer",not(iserror(vlookup($F242,'Reference info'!$J$10:$J$36,1,0))),"Producer &amp; Engineer")</f>
        <v>Producer &amp; Engineer</v>
      </c>
    </row>
    <row r="243">
      <c r="A243" s="8" t="s">
        <v>500</v>
      </c>
      <c r="B243" s="103"/>
      <c r="C243" s="8" t="s">
        <v>279</v>
      </c>
      <c r="D243" s="121" t="str">
        <f t="array" ref="D243">ifs(and(isblank($A243),isblank($B243)),"", not(iserror(vlookup($A243&amp;$B243,'5) Release_Track'!$F:$F&amp;'5) Release_Track'!$G:$G,1,0))),vlookup($A243&amp;$B243,{'5) Release_Track'!$F:$F&amp;'5) Release_Track'!$G:$G,'5) Release_Track'!$I:$I},2,0), or(and(not(isblank($B243)),$B243=$B242,$A243&lt;&gt;$A242),and(not(isblank($A243)),$A243=$A242,$B243&lt;&gt;$B242)),"ID LISTS UNALIGNED",and($A243&lt;&gt;"",countif('5) Release_Track'!$F:$F,$A243)=0),"NO ISRC MATCH in Release_Track",and($B243&lt;&gt;"",countif('5) Release_Track'!$G:$G,$B243)=0),"NO CATALOG ID MATCH in Release_Track",iserror(vlookup($A243&amp;$B243,'5) Release_Track'!$F:$F&amp;'5) Release_Track'!$G:$G,1,0)),"NO ISRC-CATALOG ID pair MATCH in Release_Track" )</f>
        <v/>
      </c>
      <c r="E243" s="47" t="s">
        <v>51</v>
      </c>
      <c r="F243" s="8" t="s">
        <v>326</v>
      </c>
      <c r="G243" s="123" t="str">
        <f t="array" ref="G243">ifs(or($F243="",$F243="Main Primary Artist"),$F243,not(iserror(vlookup($F243,'Reference info'!$J$5:$J$8,1,0))),"Key Artist",not(iserror(vlookup($F243,'Reference info'!$J$38:$J$405,1,0))),"Performer",not(iserror(vlookup($F243,'Reference info'!$J$10:$J$36,1,0))),"Producer &amp; Engineer")</f>
        <v>Producer &amp; Engineer</v>
      </c>
    </row>
    <row r="244">
      <c r="A244" s="8" t="s">
        <v>502</v>
      </c>
      <c r="B244" s="103"/>
      <c r="C244" s="8" t="s">
        <v>281</v>
      </c>
      <c r="D244" s="121" t="str">
        <f t="array" ref="D244">ifs(and(isblank($A244),isblank($B244)),"", not(iserror(vlookup($A244&amp;$B244,'5) Release_Track'!$F:$F&amp;'5) Release_Track'!$G:$G,1,0))),vlookup($A244&amp;$B244,{'5) Release_Track'!$F:$F&amp;'5) Release_Track'!$G:$G,'5) Release_Track'!$I:$I},2,0), or(and(not(isblank($B244)),$B244=$B243,$A244&lt;&gt;$A243),and(not(isblank($A244)),$A244=$A243,$B244&lt;&gt;$B243)),"ID LISTS UNALIGNED",and($A244&lt;&gt;"",countif('5) Release_Track'!$F:$F,$A244)=0),"NO ISRC MATCH in Release_Track",and($B244&lt;&gt;"",countif('5) Release_Track'!$G:$G,$B244)=0),"NO CATALOG ID MATCH in Release_Track",iserror(vlookup($A244&amp;$B244,'5) Release_Track'!$F:$F&amp;'5) Release_Track'!$G:$G,1,0)),"NO ISRC-CATALOG ID pair MATCH in Release_Track" )</f>
        <v/>
      </c>
      <c r="E244" s="47" t="s">
        <v>113</v>
      </c>
      <c r="F244" s="8" t="s">
        <v>326</v>
      </c>
      <c r="G244" s="123" t="str">
        <f t="array" ref="G244">ifs(or($F244="",$F244="Main Primary Artist"),$F244,not(iserror(vlookup($F244,'Reference info'!$J$5:$J$8,1,0))),"Key Artist",not(iserror(vlookup($F244,'Reference info'!$J$38:$J$405,1,0))),"Performer",not(iserror(vlookup($F244,'Reference info'!$J$10:$J$36,1,0))),"Producer &amp; Engineer")</f>
        <v>Producer &amp; Engineer</v>
      </c>
    </row>
    <row r="245">
      <c r="A245" s="8" t="s">
        <v>504</v>
      </c>
      <c r="B245" s="103"/>
      <c r="C245" s="8" t="s">
        <v>283</v>
      </c>
      <c r="D245" s="121" t="str">
        <f t="array" ref="D245">ifs(and(isblank($A245),isblank($B245)),"", not(iserror(vlookup($A245&amp;$B245,'5) Release_Track'!$F:$F&amp;'5) Release_Track'!$G:$G,1,0))),vlookup($A245&amp;$B245,{'5) Release_Track'!$F:$F&amp;'5) Release_Track'!$G:$G,'5) Release_Track'!$I:$I},2,0), or(and(not(isblank($B245)),$B245=$B244,$A245&lt;&gt;$A244),and(not(isblank($A245)),$A245=$A244,$B245&lt;&gt;$B244)),"ID LISTS UNALIGNED",and($A245&lt;&gt;"",countif('5) Release_Track'!$F:$F,$A245)=0),"NO ISRC MATCH in Release_Track",and($B245&lt;&gt;"",countif('5) Release_Track'!$G:$G,$B245)=0),"NO CATALOG ID MATCH in Release_Track",iserror(vlookup($A245&amp;$B245,'5) Release_Track'!$F:$F&amp;'5) Release_Track'!$G:$G,1,0)),"NO ISRC-CATALOG ID pair MATCH in Release_Track" )</f>
        <v/>
      </c>
      <c r="E245" s="47" t="s">
        <v>113</v>
      </c>
      <c r="F245" s="8" t="s">
        <v>326</v>
      </c>
      <c r="G245" s="123" t="str">
        <f t="array" ref="G245">ifs(or($F245="",$F245="Main Primary Artist"),$F245,not(iserror(vlookup($F245,'Reference info'!$J$5:$J$8,1,0))),"Key Artist",not(iserror(vlookup($F245,'Reference info'!$J$38:$J$405,1,0))),"Performer",not(iserror(vlookup($F245,'Reference info'!$J$10:$J$36,1,0))),"Producer &amp; Engineer")</f>
        <v>Producer &amp; Engineer</v>
      </c>
    </row>
    <row r="246">
      <c r="A246" s="8" t="s">
        <v>506</v>
      </c>
      <c r="B246" s="103"/>
      <c r="C246" s="8" t="s">
        <v>285</v>
      </c>
      <c r="D246" s="121" t="str">
        <f t="array" ref="D246">ifs(and(isblank($A246),isblank($B246)),"", not(iserror(vlookup($A246&amp;$B246,'5) Release_Track'!$F:$F&amp;'5) Release_Track'!$G:$G,1,0))),vlookup($A246&amp;$B246,{'5) Release_Track'!$F:$F&amp;'5) Release_Track'!$G:$G,'5) Release_Track'!$I:$I},2,0), or(and(not(isblank($B246)),$B246=$B245,$A246&lt;&gt;$A245),and(not(isblank($A246)),$A246=$A245,$B246&lt;&gt;$B245)),"ID LISTS UNALIGNED",and($A246&lt;&gt;"",countif('5) Release_Track'!$F:$F,$A246)=0),"NO ISRC MATCH in Release_Track",and($B246&lt;&gt;"",countif('5) Release_Track'!$G:$G,$B246)=0),"NO CATALOG ID MATCH in Release_Track",iserror(vlookup($A246&amp;$B246,'5) Release_Track'!$F:$F&amp;'5) Release_Track'!$G:$G,1,0)),"NO ISRC-CATALOG ID pair MATCH in Release_Track" )</f>
        <v/>
      </c>
      <c r="E246" s="47" t="s">
        <v>115</v>
      </c>
      <c r="F246" s="8" t="s">
        <v>326</v>
      </c>
      <c r="G246" s="123" t="str">
        <f t="array" ref="G246">ifs(or($F246="",$F246="Main Primary Artist"),$F246,not(iserror(vlookup($F246,'Reference info'!$J$5:$J$8,1,0))),"Key Artist",not(iserror(vlookup($F246,'Reference info'!$J$38:$J$405,1,0))),"Performer",not(iserror(vlookup($F246,'Reference info'!$J$10:$J$36,1,0))),"Producer &amp; Engineer")</f>
        <v>Producer &amp; Engineer</v>
      </c>
    </row>
    <row r="247">
      <c r="A247" s="8" t="s">
        <v>508</v>
      </c>
      <c r="B247" s="103"/>
      <c r="C247" s="8" t="s">
        <v>287</v>
      </c>
      <c r="D247" s="121" t="str">
        <f t="array" ref="D247">ifs(and(isblank($A247),isblank($B247)),"", not(iserror(vlookup($A247&amp;$B247,'5) Release_Track'!$F:$F&amp;'5) Release_Track'!$G:$G,1,0))),vlookup($A247&amp;$B247,{'5) Release_Track'!$F:$F&amp;'5) Release_Track'!$G:$G,'5) Release_Track'!$I:$I},2,0), or(and(not(isblank($B247)),$B247=$B246,$A247&lt;&gt;$A246),and(not(isblank($A247)),$A247=$A246,$B247&lt;&gt;$B246)),"ID LISTS UNALIGNED",and($A247&lt;&gt;"",countif('5) Release_Track'!$F:$F,$A247)=0),"NO ISRC MATCH in Release_Track",and($B247&lt;&gt;"",countif('5) Release_Track'!$G:$G,$B247)=0),"NO CATALOG ID MATCH in Release_Track",iserror(vlookup($A247&amp;$B247,'5) Release_Track'!$F:$F&amp;'5) Release_Track'!$G:$G,1,0)),"NO ISRC-CATALOG ID pair MATCH in Release_Track" )</f>
        <v/>
      </c>
      <c r="E247" s="47" t="s">
        <v>113</v>
      </c>
      <c r="F247" s="8" t="s">
        <v>326</v>
      </c>
      <c r="G247" s="123" t="str">
        <f t="array" ref="G247">ifs(or($F247="",$F247="Main Primary Artist"),$F247,not(iserror(vlookup($F247,'Reference info'!$J$5:$J$8,1,0))),"Key Artist",not(iserror(vlookup($F247,'Reference info'!$J$38:$J$405,1,0))),"Performer",not(iserror(vlookup($F247,'Reference info'!$J$10:$J$36,1,0))),"Producer &amp; Engineer")</f>
        <v>Producer &amp; Engineer</v>
      </c>
    </row>
    <row r="248">
      <c r="A248" s="8" t="s">
        <v>510</v>
      </c>
      <c r="B248" s="103"/>
      <c r="C248" s="8" t="s">
        <v>289</v>
      </c>
      <c r="D248" s="121" t="str">
        <f t="array" ref="D248">ifs(and(isblank($A248),isblank($B248)),"", not(iserror(vlookup($A248&amp;$B248,'5) Release_Track'!$F:$F&amp;'5) Release_Track'!$G:$G,1,0))),vlookup($A248&amp;$B248,{'5) Release_Track'!$F:$F&amp;'5) Release_Track'!$G:$G,'5) Release_Track'!$I:$I},2,0), or(and(not(isblank($B248)),$B248=$B247,$A248&lt;&gt;$A247),and(not(isblank($A248)),$A248=$A247,$B248&lt;&gt;$B247)),"ID LISTS UNALIGNED",and($A248&lt;&gt;"",countif('5) Release_Track'!$F:$F,$A248)=0),"NO ISRC MATCH in Release_Track",and($B248&lt;&gt;"",countif('5) Release_Track'!$G:$G,$B248)=0),"NO CATALOG ID MATCH in Release_Track",iserror(vlookup($A248&amp;$B248,'5) Release_Track'!$F:$F&amp;'5) Release_Track'!$G:$G,1,0)),"NO ISRC-CATALOG ID pair MATCH in Release_Track" )</f>
        <v/>
      </c>
      <c r="E248" s="47" t="s">
        <v>119</v>
      </c>
      <c r="F248" s="8" t="s">
        <v>326</v>
      </c>
      <c r="G248" s="123" t="str">
        <f t="array" ref="G248">ifs(or($F248="",$F248="Main Primary Artist"),$F248,not(iserror(vlookup($F248,'Reference info'!$J$5:$J$8,1,0))),"Key Artist",not(iserror(vlookup($F248,'Reference info'!$J$38:$J$405,1,0))),"Performer",not(iserror(vlookup($F248,'Reference info'!$J$10:$J$36,1,0))),"Producer &amp; Engineer")</f>
        <v>Producer &amp; Engineer</v>
      </c>
    </row>
    <row r="249">
      <c r="A249" s="8" t="s">
        <v>512</v>
      </c>
      <c r="B249" s="103"/>
      <c r="C249" s="8" t="s">
        <v>289</v>
      </c>
      <c r="D249" s="121" t="str">
        <f t="array" ref="D249">ifs(and(isblank($A249),isblank($B249)),"", not(iserror(vlookup($A249&amp;$B249,'5) Release_Track'!$F:$F&amp;'5) Release_Track'!$G:$G,1,0))),vlookup($A249&amp;$B249,{'5) Release_Track'!$F:$F&amp;'5) Release_Track'!$G:$G,'5) Release_Track'!$I:$I},2,0), or(and(not(isblank($B249)),$B249=$B248,$A249&lt;&gt;$A248),and(not(isblank($A249)),$A249=$A248,$B249&lt;&gt;$B248)),"ID LISTS UNALIGNED",and($A249&lt;&gt;"",countif('5) Release_Track'!$F:$F,$A249)=0),"NO ISRC MATCH in Release_Track",and($B249&lt;&gt;"",countif('5) Release_Track'!$G:$G,$B249)=0),"NO CATALOG ID MATCH in Release_Track",iserror(vlookup($A249&amp;$B249,'5) Release_Track'!$F:$F&amp;'5) Release_Track'!$G:$G,1,0)),"NO ISRC-CATALOG ID pair MATCH in Release_Track" )</f>
        <v>Acoustic</v>
      </c>
      <c r="E249" s="158" t="s">
        <v>119</v>
      </c>
      <c r="F249" s="8" t="s">
        <v>326</v>
      </c>
      <c r="G249" s="123" t="str">
        <f t="array" ref="G249">ifs(or($F249="",$F249="Main Primary Artist"),$F249,not(iserror(vlookup($F249,'Reference info'!$J$5:$J$8,1,0))),"Key Artist",not(iserror(vlookup($F249,'Reference info'!$J$38:$J$405,1,0))),"Performer",not(iserror(vlookup($F249,'Reference info'!$J$10:$J$36,1,0))),"Producer &amp; Engineer")</f>
        <v>Producer &amp; Engineer</v>
      </c>
    </row>
    <row r="250">
      <c r="A250" s="8" t="s">
        <v>515</v>
      </c>
      <c r="B250" s="103"/>
      <c r="C250" s="8" t="s">
        <v>291</v>
      </c>
      <c r="D250" s="121" t="str">
        <f t="array" ref="D250">ifs(and(isblank($A250),isblank($B250)),"", not(iserror(vlookup($A250&amp;$B250,'5) Release_Track'!$F:$F&amp;'5) Release_Track'!$G:$G,1,0))),vlookup($A250&amp;$B250,{'5) Release_Track'!$F:$F&amp;'5) Release_Track'!$G:$G,'5) Release_Track'!$I:$I},2,0), or(and(not(isblank($B250)),$B250=$B249,$A250&lt;&gt;$A249),and(not(isblank($A250)),$A250=$A249,$B250&lt;&gt;$B249)),"ID LISTS UNALIGNED",and($A250&lt;&gt;"",countif('5) Release_Track'!$F:$F,$A250)=0),"NO ISRC MATCH in Release_Track",and($B250&lt;&gt;"",countif('5) Release_Track'!$G:$G,$B250)=0),"NO CATALOG ID MATCH in Release_Track",iserror(vlookup($A250&amp;$B250,'5) Release_Track'!$F:$F&amp;'5) Release_Track'!$G:$G,1,0)),"NO ISRC-CATALOG ID pair MATCH in Release_Track" )</f>
        <v/>
      </c>
      <c r="E250" s="47" t="s">
        <v>123</v>
      </c>
      <c r="F250" s="8" t="s">
        <v>326</v>
      </c>
      <c r="G250" s="123" t="str">
        <f t="array" ref="G250">ifs(or($F250="",$F250="Main Primary Artist"),$F250,not(iserror(vlookup($F250,'Reference info'!$J$5:$J$8,1,0))),"Key Artist",not(iserror(vlookup($F250,'Reference info'!$J$38:$J$405,1,0))),"Performer",not(iserror(vlookup($F250,'Reference info'!$J$10:$J$36,1,0))),"Producer &amp; Engineer")</f>
        <v>Producer &amp; Engineer</v>
      </c>
    </row>
    <row r="251">
      <c r="A251" s="8" t="s">
        <v>517</v>
      </c>
      <c r="B251" s="103"/>
      <c r="C251" s="8" t="s">
        <v>293</v>
      </c>
      <c r="D251" s="121" t="str">
        <f t="array" ref="D251">ifs(and(isblank($A251),isblank($B251)),"", not(iserror(vlookup($A251&amp;$B251,'5) Release_Track'!$F:$F&amp;'5) Release_Track'!$G:$G,1,0))),vlookup($A251&amp;$B251,{'5) Release_Track'!$F:$F&amp;'5) Release_Track'!$G:$G,'5) Release_Track'!$I:$I},2,0), or(and(not(isblank($B251)),$B251=$B250,$A251&lt;&gt;$A250),and(not(isblank($A251)),$A251=$A250,$B251&lt;&gt;$B250)),"ID LISTS UNALIGNED",and($A251&lt;&gt;"",countif('5) Release_Track'!$F:$F,$A251)=0),"NO ISRC MATCH in Release_Track",and($B251&lt;&gt;"",countif('5) Release_Track'!$G:$G,$B251)=0),"NO CATALOG ID MATCH in Release_Track",iserror(vlookup($A251&amp;$B251,'5) Release_Track'!$F:$F&amp;'5) Release_Track'!$G:$G,1,0)),"NO ISRC-CATALOG ID pair MATCH in Release_Track" )</f>
        <v/>
      </c>
      <c r="E251" s="47" t="s">
        <v>51</v>
      </c>
      <c r="F251" s="8" t="s">
        <v>326</v>
      </c>
      <c r="G251" s="123" t="str">
        <f t="array" ref="G251">ifs(or($F251="",$F251="Main Primary Artist"),$F251,not(iserror(vlookup($F251,'Reference info'!$J$5:$J$8,1,0))),"Key Artist",not(iserror(vlookup($F251,'Reference info'!$J$38:$J$405,1,0))),"Performer",not(iserror(vlookup($F251,'Reference info'!$J$10:$J$36,1,0))),"Producer &amp; Engineer")</f>
        <v>Producer &amp; Engineer</v>
      </c>
    </row>
    <row r="252">
      <c r="A252" s="8" t="s">
        <v>519</v>
      </c>
      <c r="B252" s="103"/>
      <c r="C252" s="8" t="s">
        <v>295</v>
      </c>
      <c r="D252" s="121" t="str">
        <f t="array" ref="D252">ifs(and(isblank($A252),isblank($B252)),"", not(iserror(vlookup($A252&amp;$B252,'5) Release_Track'!$F:$F&amp;'5) Release_Track'!$G:$G,1,0))),vlookup($A252&amp;$B252,{'5) Release_Track'!$F:$F&amp;'5) Release_Track'!$G:$G,'5) Release_Track'!$I:$I},2,0), or(and(not(isblank($B252)),$B252=$B251,$A252&lt;&gt;$A251),and(not(isblank($A252)),$A252=$A251,$B252&lt;&gt;$B251)),"ID LISTS UNALIGNED",and($A252&lt;&gt;"",countif('5) Release_Track'!$F:$F,$A252)=0),"NO ISRC MATCH in Release_Track",and($B252&lt;&gt;"",countif('5) Release_Track'!$G:$G,$B252)=0),"NO CATALOG ID MATCH in Release_Track",iserror(vlookup($A252&amp;$B252,'5) Release_Track'!$F:$F&amp;'5) Release_Track'!$G:$G,1,0)),"NO ISRC-CATALOG ID pair MATCH in Release_Track" )</f>
        <v/>
      </c>
      <c r="E252" s="47" t="s">
        <v>115</v>
      </c>
      <c r="F252" s="8" t="s">
        <v>326</v>
      </c>
      <c r="G252" s="123" t="str">
        <f t="array" ref="G252">ifs(or($F252="",$F252="Main Primary Artist"),$F252,not(iserror(vlookup($F252,'Reference info'!$J$5:$J$8,1,0))),"Key Artist",not(iserror(vlookup($F252,'Reference info'!$J$38:$J$405,1,0))),"Performer",not(iserror(vlookup($F252,'Reference info'!$J$10:$J$36,1,0))),"Producer &amp; Engineer")</f>
        <v>Producer &amp; Engineer</v>
      </c>
    </row>
    <row r="253">
      <c r="A253" s="8" t="s">
        <v>521</v>
      </c>
      <c r="B253" s="103"/>
      <c r="C253" s="8" t="s">
        <v>297</v>
      </c>
      <c r="D253" s="121" t="str">
        <f t="array" ref="D253">ifs(and(isblank($A253),isblank($B253)),"", not(iserror(vlookup($A253&amp;$B253,'5) Release_Track'!$F:$F&amp;'5) Release_Track'!$G:$G,1,0))),vlookup($A253&amp;$B253,{'5) Release_Track'!$F:$F&amp;'5) Release_Track'!$G:$G,'5) Release_Track'!$I:$I},2,0), or(and(not(isblank($B253)),$B253=$B252,$A253&lt;&gt;$A252),and(not(isblank($A253)),$A253=$A252,$B253&lt;&gt;$B252)),"ID LISTS UNALIGNED",and($A253&lt;&gt;"",countif('5) Release_Track'!$F:$F,$A253)=0),"NO ISRC MATCH in Release_Track",and($B253&lt;&gt;"",countif('5) Release_Track'!$G:$G,$B253)=0),"NO CATALOG ID MATCH in Release_Track",iserror(vlookup($A253&amp;$B253,'5) Release_Track'!$F:$F&amp;'5) Release_Track'!$G:$G,1,0)),"NO ISRC-CATALOG ID pair MATCH in Release_Track" )</f>
        <v/>
      </c>
      <c r="E253" s="47" t="s">
        <v>115</v>
      </c>
      <c r="F253" s="8" t="s">
        <v>326</v>
      </c>
      <c r="G253" s="123" t="str">
        <f t="array" ref="G253">ifs(or($F253="",$F253="Main Primary Artist"),$F253,not(iserror(vlookup($F253,'Reference info'!$J$5:$J$8,1,0))),"Key Artist",not(iserror(vlookup($F253,'Reference info'!$J$38:$J$405,1,0))),"Performer",not(iserror(vlookup($F253,'Reference info'!$J$10:$J$36,1,0))),"Producer &amp; Engineer")</f>
        <v>Producer &amp; Engineer</v>
      </c>
    </row>
    <row r="254">
      <c r="A254" s="8" t="s">
        <v>523</v>
      </c>
      <c r="B254" s="103"/>
      <c r="C254" s="8" t="s">
        <v>299</v>
      </c>
      <c r="D254" s="121" t="str">
        <f t="array" ref="D254">ifs(and(isblank($A254),isblank($B254)),"", not(iserror(vlookup($A254&amp;$B254,'5) Release_Track'!$F:$F&amp;'5) Release_Track'!$G:$G,1,0))),vlookup($A254&amp;$B254,{'5) Release_Track'!$F:$F&amp;'5) Release_Track'!$G:$G,'5) Release_Track'!$I:$I},2,0), or(and(not(isblank($B254)),$B254=$B253,$A254&lt;&gt;$A253),and(not(isblank($A254)),$A254=$A253,$B254&lt;&gt;$B253)),"ID LISTS UNALIGNED",and($A254&lt;&gt;"",countif('5) Release_Track'!$F:$F,$A254)=0),"NO ISRC MATCH in Release_Track",and($B254&lt;&gt;"",countif('5) Release_Track'!$G:$G,$B254)=0),"NO CATALOG ID MATCH in Release_Track",iserror(vlookup($A254&amp;$B254,'5) Release_Track'!$F:$F&amp;'5) Release_Track'!$G:$G,1,0)),"NO ISRC-CATALOG ID pair MATCH in Release_Track" )</f>
        <v/>
      </c>
      <c r="E254" s="47" t="s">
        <v>115</v>
      </c>
      <c r="F254" s="8" t="s">
        <v>326</v>
      </c>
      <c r="G254" s="123" t="str">
        <f t="array" ref="G254">ifs(or($F254="",$F254="Main Primary Artist"),$F254,not(iserror(vlookup($F254,'Reference info'!$J$5:$J$8,1,0))),"Key Artist",not(iserror(vlookup($F254,'Reference info'!$J$38:$J$405,1,0))),"Performer",not(iserror(vlookup($F254,'Reference info'!$J$10:$J$36,1,0))),"Producer &amp; Engineer")</f>
        <v>Producer &amp; Engineer</v>
      </c>
    </row>
    <row r="255">
      <c r="A255" s="8" t="s">
        <v>525</v>
      </c>
      <c r="B255" s="103"/>
      <c r="C255" s="8" t="s">
        <v>301</v>
      </c>
      <c r="D255" s="121" t="str">
        <f t="array" ref="D255">ifs(and(isblank($A255),isblank($B255)),"", not(iserror(vlookup($A255&amp;$B255,'5) Release_Track'!$F:$F&amp;'5) Release_Track'!$G:$G,1,0))),vlookup($A255&amp;$B255,{'5) Release_Track'!$F:$F&amp;'5) Release_Track'!$G:$G,'5) Release_Track'!$I:$I},2,0), or(and(not(isblank($B255)),$B255=$B254,$A255&lt;&gt;$A254),and(not(isblank($A255)),$A255=$A254,$B255&lt;&gt;$B254)),"ID LISTS UNALIGNED",and($A255&lt;&gt;"",countif('5) Release_Track'!$F:$F,$A255)=0),"NO ISRC MATCH in Release_Track",and($B255&lt;&gt;"",countif('5) Release_Track'!$G:$G,$B255)=0),"NO CATALOG ID MATCH in Release_Track",iserror(vlookup($A255&amp;$B255,'5) Release_Track'!$F:$F&amp;'5) Release_Track'!$G:$G,1,0)),"NO ISRC-CATALOG ID pair MATCH in Release_Track" )</f>
        <v/>
      </c>
      <c r="E255" s="47" t="s">
        <v>115</v>
      </c>
      <c r="F255" s="8" t="s">
        <v>326</v>
      </c>
      <c r="G255" s="123" t="str">
        <f t="array" ref="G255">ifs(or($F255="",$F255="Main Primary Artist"),$F255,not(iserror(vlookup($F255,'Reference info'!$J$5:$J$8,1,0))),"Key Artist",not(iserror(vlookup($F255,'Reference info'!$J$38:$J$405,1,0))),"Performer",not(iserror(vlookup($F255,'Reference info'!$J$10:$J$36,1,0))),"Producer &amp; Engineer")</f>
        <v>Producer &amp; Engineer</v>
      </c>
    </row>
    <row r="256">
      <c r="A256" s="8" t="s">
        <v>527</v>
      </c>
      <c r="B256" s="103"/>
      <c r="C256" s="8" t="s">
        <v>303</v>
      </c>
      <c r="D256" s="121" t="str">
        <f t="array" ref="D256">ifs(and(isblank($A256),isblank($B256)),"", not(iserror(vlookup($A256&amp;$B256,'5) Release_Track'!$F:$F&amp;'5) Release_Track'!$G:$G,1,0))),vlookup($A256&amp;$B256,{'5) Release_Track'!$F:$F&amp;'5) Release_Track'!$G:$G,'5) Release_Track'!$I:$I},2,0), or(and(not(isblank($B256)),$B256=$B255,$A256&lt;&gt;$A255),and(not(isblank($A256)),$A256=$A255,$B256&lt;&gt;$B255)),"ID LISTS UNALIGNED",and($A256&lt;&gt;"",countif('5) Release_Track'!$F:$F,$A256)=0),"NO ISRC MATCH in Release_Track",and($B256&lt;&gt;"",countif('5) Release_Track'!$G:$G,$B256)=0),"NO CATALOG ID MATCH in Release_Track",iserror(vlookup($A256&amp;$B256,'5) Release_Track'!$F:$F&amp;'5) Release_Track'!$G:$G,1,0)),"NO ISRC-CATALOG ID pair MATCH in Release_Track" )</f>
        <v/>
      </c>
      <c r="E256" s="47" t="s">
        <v>115</v>
      </c>
      <c r="F256" s="8" t="s">
        <v>326</v>
      </c>
      <c r="G256" s="123" t="str">
        <f t="array" ref="G256">ifs(or($F256="",$F256="Main Primary Artist"),$F256,not(iserror(vlookup($F256,'Reference info'!$J$5:$J$8,1,0))),"Key Artist",not(iserror(vlookup($F256,'Reference info'!$J$38:$J$405,1,0))),"Performer",not(iserror(vlookup($F256,'Reference info'!$J$10:$J$36,1,0))),"Producer &amp; Engineer")</f>
        <v>Producer &amp; Engineer</v>
      </c>
    </row>
    <row r="257">
      <c r="A257" s="8" t="s">
        <v>529</v>
      </c>
      <c r="B257" s="103"/>
      <c r="C257" s="8" t="s">
        <v>305</v>
      </c>
      <c r="D257" s="121" t="str">
        <f t="array" ref="D257">ifs(and(isblank($A257),isblank($B257)),"", not(iserror(vlookup($A257&amp;$B257,'5) Release_Track'!$F:$F&amp;'5) Release_Track'!$G:$G,1,0))),vlookup($A257&amp;$B257,{'5) Release_Track'!$F:$F&amp;'5) Release_Track'!$G:$G,'5) Release_Track'!$I:$I},2,0), or(and(not(isblank($B257)),$B257=$B256,$A257&lt;&gt;$A256),and(not(isblank($A257)),$A257=$A256,$B257&lt;&gt;$B256)),"ID LISTS UNALIGNED",and($A257&lt;&gt;"",countif('5) Release_Track'!$F:$F,$A257)=0),"NO ISRC MATCH in Release_Track",and($B257&lt;&gt;"",countif('5) Release_Track'!$G:$G,$B257)=0),"NO CATALOG ID MATCH in Release_Track",iserror(vlookup($A257&amp;$B257,'5) Release_Track'!$F:$F&amp;'5) Release_Track'!$G:$G,1,0)),"NO ISRC-CATALOG ID pair MATCH in Release_Track" )</f>
        <v/>
      </c>
      <c r="E257" s="47" t="s">
        <v>47</v>
      </c>
      <c r="F257" s="8" t="s">
        <v>326</v>
      </c>
      <c r="G257" s="123" t="str">
        <f t="array" ref="G257">ifs(or($F257="",$F257="Main Primary Artist"),$F257,not(iserror(vlookup($F257,'Reference info'!$J$5:$J$8,1,0))),"Key Artist",not(iserror(vlookup($F257,'Reference info'!$J$38:$J$405,1,0))),"Performer",not(iserror(vlookup($F257,'Reference info'!$J$10:$J$36,1,0))),"Producer &amp; Engineer")</f>
        <v>Producer &amp; Engineer</v>
      </c>
    </row>
    <row r="258">
      <c r="A258" s="8" t="s">
        <v>531</v>
      </c>
      <c r="B258" s="103"/>
      <c r="C258" s="8" t="s">
        <v>307</v>
      </c>
      <c r="D258" s="121" t="str">
        <f t="array" ref="D258">ifs(and(isblank($A258),isblank($B258)),"", not(iserror(vlookup($A258&amp;$B258,'5) Release_Track'!$F:$F&amp;'5) Release_Track'!$G:$G,1,0))),vlookup($A258&amp;$B258,{'5) Release_Track'!$F:$F&amp;'5) Release_Track'!$G:$G,'5) Release_Track'!$I:$I},2,0), or(and(not(isblank($B258)),$B258=#REF!,$A258&lt;&gt;#REF!),and(not(isblank($A258)),$A258=#REF!,$B258&lt;&gt;#REF!)),"ID LISTS UNALIGNED",and($A258&lt;&gt;"",countif('5) Release_Track'!$F:$F,$A258)=0),"NO ISRC MATCH in Release_Track",and($B258&lt;&gt;"",countif('5) Release_Track'!$G:$G,$B258)=0),"NO CATALOG ID MATCH in Release_Track",iserror(vlookup($A258&amp;$B258,'5) Release_Track'!$F:$F&amp;'5) Release_Track'!$G:$G,1,0)),"NO ISRC-CATALOG ID pair MATCH in Release_Track" )</f>
        <v/>
      </c>
      <c r="E258" s="47" t="s">
        <v>115</v>
      </c>
      <c r="F258" s="8" t="s">
        <v>326</v>
      </c>
      <c r="G258" s="123" t="str">
        <f t="array" ref="G258">ifs(or($F258="",$F258="Main Primary Artist"),$F258,not(iserror(vlookup($F258,'Reference info'!$J$5:$J$8,1,0))),"Key Artist",not(iserror(vlookup($F258,'Reference info'!$J$38:$J$405,1,0))),"Performer",not(iserror(vlookup($F258,'Reference info'!$J$10:$J$36,1,0))),"Producer &amp; Engineer")</f>
        <v>Producer &amp; Engineer</v>
      </c>
    </row>
    <row r="259">
      <c r="A259" s="8" t="s">
        <v>533</v>
      </c>
      <c r="B259" s="103"/>
      <c r="C259" s="8" t="s">
        <v>309</v>
      </c>
      <c r="D259" s="121" t="str">
        <f t="array" ref="D259">ifs(and(isblank($A259),isblank($B259)),"", not(iserror(vlookup($A259&amp;$B259,'5) Release_Track'!$F:$F&amp;'5) Release_Track'!$G:$G,1,0))),vlookup($A259&amp;$B259,{'5) Release_Track'!$F:$F&amp;'5) Release_Track'!$G:$G,'5) Release_Track'!$I:$I},2,0), or(and(not(isblank($B259)),$B259=$B258,$A259&lt;&gt;$A258),and(not(isblank($A259)),$A259=$A258,$B259&lt;&gt;$B258)),"ID LISTS UNALIGNED",and($A259&lt;&gt;"",countif('5) Release_Track'!$F:$F,$A259)=0),"NO ISRC MATCH in Release_Track",and($B259&lt;&gt;"",countif('5) Release_Track'!$G:$G,$B259)=0),"NO CATALOG ID MATCH in Release_Track",iserror(vlookup($A259&amp;$B259,'5) Release_Track'!$F:$F&amp;'5) Release_Track'!$G:$G,1,0)),"NO ISRC-CATALOG ID pair MATCH in Release_Track" )</f>
        <v/>
      </c>
      <c r="E259" s="47" t="s">
        <v>115</v>
      </c>
      <c r="F259" s="8" t="s">
        <v>326</v>
      </c>
      <c r="G259" s="123" t="str">
        <f t="array" ref="G259">ifs(or($F259="",$F259="Main Primary Artist"),$F259,not(iserror(vlookup($F259,'Reference info'!$J$5:$J$8,1,0))),"Key Artist",not(iserror(vlookup($F259,'Reference info'!$J$38:$J$405,1,0))),"Performer",not(iserror(vlookup($F259,'Reference info'!$J$10:$J$36,1,0))),"Producer &amp; Engineer")</f>
        <v>Producer &amp; Engineer</v>
      </c>
    </row>
    <row r="260">
      <c r="A260" s="8" t="s">
        <v>535</v>
      </c>
      <c r="B260" s="103"/>
      <c r="C260" s="8" t="s">
        <v>311</v>
      </c>
      <c r="D260" s="121" t="str">
        <f t="array" ref="D260">ifs(and(isblank($A260),isblank($B260)),"", not(iserror(vlookup($A260&amp;$B260,'5) Release_Track'!$F:$F&amp;'5) Release_Track'!$G:$G,1,0))),vlookup($A260&amp;$B260,{'5) Release_Track'!$F:$F&amp;'5) Release_Track'!$G:$G,'5) Release_Track'!$I:$I},2,0), or(and(not(isblank($B260)),$B260=$B259,$A260&lt;&gt;$A259),and(not(isblank($A260)),$A260=$A259,$B260&lt;&gt;$B259)),"ID LISTS UNALIGNED",and($A260&lt;&gt;"",countif('5) Release_Track'!$F:$F,$A260)=0),"NO ISRC MATCH in Release_Track",and($B260&lt;&gt;"",countif('5) Release_Track'!$G:$G,$B260)=0),"NO CATALOG ID MATCH in Release_Track",iserror(vlookup($A260&amp;$B260,'5) Release_Track'!$F:$F&amp;'5) Release_Track'!$G:$G,1,0)),"NO ISRC-CATALOG ID pair MATCH in Release_Track" )</f>
        <v/>
      </c>
      <c r="E260" s="47" t="s">
        <v>127</v>
      </c>
      <c r="F260" s="8" t="s">
        <v>326</v>
      </c>
      <c r="G260" s="123" t="str">
        <f t="array" ref="G260">ifs(or($F260="",$F260="Main Primary Artist"),$F260,not(iserror(vlookup($F260,'Reference info'!$J$5:$J$8,1,0))),"Key Artist",not(iserror(vlookup($F260,'Reference info'!$J$38:$J$405,1,0))),"Performer",not(iserror(vlookup($F260,'Reference info'!$J$10:$J$36,1,0))),"Producer &amp; Engineer")</f>
        <v>Producer &amp; Engineer</v>
      </c>
    </row>
    <row r="261">
      <c r="A261" s="8" t="s">
        <v>537</v>
      </c>
      <c r="B261" s="103"/>
      <c r="C261" s="8" t="s">
        <v>313</v>
      </c>
      <c r="D261" s="121" t="str">
        <f t="array" ref="D261">ifs(and(isblank($A261),isblank($B261)),"", not(iserror(vlookup($A261&amp;$B261,'5) Release_Track'!$F:$F&amp;'5) Release_Track'!$G:$G,1,0))),vlookup($A261&amp;$B261,{'5) Release_Track'!$F:$F&amp;'5) Release_Track'!$G:$G,'5) Release_Track'!$I:$I},2,0), or(and(not(isblank($B261)),$B261=$B260,$A261&lt;&gt;$A260),and(not(isblank($A261)),$A261=$A260,$B261&lt;&gt;$B260)),"ID LISTS UNALIGNED",and($A261&lt;&gt;"",countif('5) Release_Track'!$F:$F,$A261)=0),"NO ISRC MATCH in Release_Track",and($B261&lt;&gt;"",countif('5) Release_Track'!$G:$G,$B261)=0),"NO CATALOG ID MATCH in Release_Track",iserror(vlookup($A261&amp;$B261,'5) Release_Track'!$F:$F&amp;'5) Release_Track'!$G:$G,1,0)),"NO ISRC-CATALOG ID pair MATCH in Release_Track" )</f>
        <v/>
      </c>
      <c r="E261" s="47" t="s">
        <v>129</v>
      </c>
      <c r="F261" s="8" t="s">
        <v>326</v>
      </c>
      <c r="G261" s="123" t="str">
        <f t="array" ref="G261">ifs(or($F261="",$F261="Main Primary Artist"),$F261,not(iserror(vlookup($F261,'Reference info'!$J$5:$J$8,1,0))),"Key Artist",not(iserror(vlookup($F261,'Reference info'!$J$38:$J$405,1,0))),"Performer",not(iserror(vlookup($F261,'Reference info'!$J$10:$J$36,1,0))),"Producer &amp; Engineer")</f>
        <v>Producer &amp; Engineer</v>
      </c>
    </row>
    <row r="262">
      <c r="B262" s="103"/>
      <c r="C262" s="121" t="str">
        <f t="array" ref="C262">ifs(and(isblank($A262),isblank($B262)),"", not(iserror(vlookup($A262&amp;$B262,'5) Release_Track'!$F:$F&amp;'5) Release_Track'!$G:$G,1,0))),vlookup($A262&amp;$B262,{'5) Release_Track'!$F:$F&amp;'5) Release_Track'!$G:$G,'5) Release_Track'!$H:$H},2,0), or(and(not(isblank($B262)),$B262=#REF!,$A262&lt;&gt;#REF!),and(not(isblank($A262)),$A262=#REF!,$B262&lt;&gt;#REF!)),"ID LISTS UNALIGNED",and($A262&lt;&gt;"",countif('5) Release_Track'!$F:$F,$A262)=0),"NO ISRC MATCH in Release_Track",and($B262&lt;&gt;"",countif('5) Release_Track'!$G:$G,$B262)=0),"NO CATALOG ID MATCH in Release_Track",iserror(vlookup($A262&amp;$B262,'5) Release_Track'!$F:$F&amp;'5) Release_Track'!$G:$G,1,0)),"NO ISRC-CATALOG ID pair MATCH in Release_Track" )</f>
        <v/>
      </c>
      <c r="D262" s="121" t="str">
        <f t="array" ref="D262">ifs(and(isblank($A262),isblank($B262)),"", not(iserror(vlookup($A262&amp;$B262,'5) Release_Track'!$F:$F&amp;'5) Release_Track'!$G:$G,1,0))),vlookup($A262&amp;$B262,{'5) Release_Track'!$F:$F&amp;'5) Release_Track'!$G:$G,'5) Release_Track'!$I:$I},2,0), or(and(not(isblank($B262)),$B262=#REF!,$A262&lt;&gt;#REF!),and(not(isblank($A262)),$A262=#REF!,$B262&lt;&gt;#REF!)),"ID LISTS UNALIGNED",and($A262&lt;&gt;"",countif('5) Release_Track'!$F:$F,$A262)=0),"NO ISRC MATCH in Release_Track",and($B262&lt;&gt;"",countif('5) Release_Track'!$G:$G,$B262)=0),"NO CATALOG ID MATCH in Release_Track",iserror(vlookup($A262&amp;$B262,'5) Release_Track'!$F:$F&amp;'5) Release_Track'!$G:$G,1,0)),"NO ISRC-CATALOG ID pair MATCH in Release_Track" )</f>
        <v/>
      </c>
      <c r="E262" s="99"/>
      <c r="F262" s="99"/>
      <c r="G262" s="123" t="str">
        <f t="array" ref="G262">ifs(or($F262="",$F262="Main Primary Artist"),$F262,not(iserror(vlookup($F262,'Reference info'!$J$5:$J$8,1,0))),"Key Artist",not(iserror(vlookup($F262,'Reference info'!$J$38:$J$405,1,0))),"Performer",not(iserror(vlookup($F262,'Reference info'!$J$10:$J$36,1,0))),"Producer &amp; Engineer")</f>
        <v/>
      </c>
    </row>
    <row r="263">
      <c r="B263" s="103"/>
      <c r="C263" s="121" t="str">
        <f t="array" ref="C263">ifs(and(isblank($A263),isblank($B263)),"", not(iserror(vlookup($A263&amp;$B263,'5) Release_Track'!$F:$F&amp;'5) Release_Track'!$G:$G,1,0))),vlookup($A263&amp;$B263,{'5) Release_Track'!$F:$F&amp;'5) Release_Track'!$G:$G,'5) Release_Track'!$H:$H},2,0), or(and(not(isblank($B263)),$B263=$B262,$A263&lt;&gt;$A262),and(not(isblank($A263)),$A263=$A262,$B263&lt;&gt;$B262)),"ID LISTS UNALIGNED",and($A263&lt;&gt;"",countif('5) Release_Track'!$F:$F,$A263)=0),"NO ISRC MATCH in Release_Track",and($B263&lt;&gt;"",countif('5) Release_Track'!$G:$G,$B263)=0),"NO CATALOG ID MATCH in Release_Track",iserror(vlookup($A263&amp;$B263,'5) Release_Track'!$F:$F&amp;'5) Release_Track'!$G:$G,1,0)),"NO ISRC-CATALOG ID pair MATCH in Release_Track" )</f>
        <v/>
      </c>
      <c r="D263" s="121" t="str">
        <f t="array" ref="D263">ifs(and(isblank($A263),isblank($B263)),"", not(iserror(vlookup($A263&amp;$B263,'5) Release_Track'!$F:$F&amp;'5) Release_Track'!$G:$G,1,0))),vlookup($A263&amp;$B263,{'5) Release_Track'!$F:$F&amp;'5) Release_Track'!$G:$G,'5) Release_Track'!$I:$I},2,0), or(and(not(isblank($B263)),$B263=$B262,$A263&lt;&gt;$A262),and(not(isblank($A263)),$A263=$A262,$B263&lt;&gt;$B262)),"ID LISTS UNALIGNED",and($A263&lt;&gt;"",countif('5) Release_Track'!$F:$F,$A263)=0),"NO ISRC MATCH in Release_Track",and($B263&lt;&gt;"",countif('5) Release_Track'!$G:$G,$B263)=0),"NO CATALOG ID MATCH in Release_Track",iserror(vlookup($A263&amp;$B263,'5) Release_Track'!$F:$F&amp;'5) Release_Track'!$G:$G,1,0)),"NO ISRC-CATALOG ID pair MATCH in Release_Track" )</f>
        <v/>
      </c>
      <c r="E263" s="99"/>
      <c r="F263" s="99"/>
      <c r="G263" s="123" t="str">
        <f t="array" ref="G263">ifs(or($F263="",$F263="Main Primary Artist"),$F263,not(iserror(vlookup($F263,'Reference info'!$J$5:$J$8,1,0))),"Key Artist",not(iserror(vlookup($F263,'Reference info'!$J$38:$J$405,1,0))),"Performer",not(iserror(vlookup($F263,'Reference info'!$J$10:$J$36,1,0))),"Producer &amp; Engineer")</f>
        <v/>
      </c>
    </row>
    <row r="264">
      <c r="B264" s="103"/>
      <c r="C264" s="121" t="str">
        <f t="array" ref="C264">ifs(and(isblank($A264),isblank($B264)),"", not(iserror(vlookup($A264&amp;$B264,'5) Release_Track'!$F:$F&amp;'5) Release_Track'!$G:$G,1,0))),vlookup($A264&amp;$B264,{'5) Release_Track'!$F:$F&amp;'5) Release_Track'!$G:$G,'5) Release_Track'!$H:$H},2,0), or(and(not(isblank($B264)),$B264=$B263,$A264&lt;&gt;$A263),and(not(isblank($A264)),$A264=$A263,$B264&lt;&gt;$B263)),"ID LISTS UNALIGNED",and($A264&lt;&gt;"",countif('5) Release_Track'!$F:$F,$A264)=0),"NO ISRC MATCH in Release_Track",and($B264&lt;&gt;"",countif('5) Release_Track'!$G:$G,$B264)=0),"NO CATALOG ID MATCH in Release_Track",iserror(vlookup($A264&amp;$B264,'5) Release_Track'!$F:$F&amp;'5) Release_Track'!$G:$G,1,0)),"NO ISRC-CATALOG ID pair MATCH in Release_Track" )</f>
        <v/>
      </c>
      <c r="D264" s="121" t="str">
        <f t="array" ref="D264">ifs(and(isblank($A264),isblank($B264)),"", not(iserror(vlookup($A264&amp;$B264,'5) Release_Track'!$F:$F&amp;'5) Release_Track'!$G:$G,1,0))),vlookup($A264&amp;$B264,{'5) Release_Track'!$F:$F&amp;'5) Release_Track'!$G:$G,'5) Release_Track'!$I:$I},2,0), or(and(not(isblank($B264)),$B264=$B263,$A264&lt;&gt;$A263),and(not(isblank($A264)),$A264=$A263,$B264&lt;&gt;$B263)),"ID LISTS UNALIGNED",and($A264&lt;&gt;"",countif('5) Release_Track'!$F:$F,$A264)=0),"NO ISRC MATCH in Release_Track",and($B264&lt;&gt;"",countif('5) Release_Track'!$G:$G,$B264)=0),"NO CATALOG ID MATCH in Release_Track",iserror(vlookup($A264&amp;$B264,'5) Release_Track'!$F:$F&amp;'5) Release_Track'!$G:$G,1,0)),"NO ISRC-CATALOG ID pair MATCH in Release_Track" )</f>
        <v/>
      </c>
      <c r="E264" s="99"/>
      <c r="F264" s="99"/>
      <c r="G264" s="123" t="str">
        <f t="array" ref="G264">ifs(or($F264="",$F264="Main Primary Artist"),$F264,not(iserror(vlookup($F264,'Reference info'!$J$5:$J$8,1,0))),"Key Artist",not(iserror(vlookup($F264,'Reference info'!$J$38:$J$405,1,0))),"Performer",not(iserror(vlookup($F264,'Reference info'!$J$10:$J$36,1,0))),"Producer &amp; Engineer")</f>
        <v/>
      </c>
    </row>
    <row r="265">
      <c r="B265" s="103"/>
      <c r="C265" s="121" t="str">
        <f t="array" ref="C265">ifs(and(isblank($A265),isblank($B265)),"", not(iserror(vlookup($A265&amp;$B265,'5) Release_Track'!$F:$F&amp;'5) Release_Track'!$G:$G,1,0))),vlookup($A265&amp;$B265,{'5) Release_Track'!$F:$F&amp;'5) Release_Track'!$G:$G,'5) Release_Track'!$H:$H},2,0), or(and(not(isblank($B265)),$B265=$B264,$A265&lt;&gt;$A264),and(not(isblank($A265)),$A265=$A264,$B265&lt;&gt;$B264)),"ID LISTS UNALIGNED",and($A265&lt;&gt;"",countif('5) Release_Track'!$F:$F,$A265)=0),"NO ISRC MATCH in Release_Track",and($B265&lt;&gt;"",countif('5) Release_Track'!$G:$G,$B265)=0),"NO CATALOG ID MATCH in Release_Track",iserror(vlookup($A265&amp;$B265,'5) Release_Track'!$F:$F&amp;'5) Release_Track'!$G:$G,1,0)),"NO ISRC-CATALOG ID pair MATCH in Release_Track" )</f>
        <v/>
      </c>
      <c r="D265" s="121" t="str">
        <f t="array" ref="D265">ifs(and(isblank($A265),isblank($B265)),"", not(iserror(vlookup($A265&amp;$B265,'5) Release_Track'!$F:$F&amp;'5) Release_Track'!$G:$G,1,0))),vlookup($A265&amp;$B265,{'5) Release_Track'!$F:$F&amp;'5) Release_Track'!$G:$G,'5) Release_Track'!$I:$I},2,0), or(and(not(isblank($B265)),$B265=$B264,$A265&lt;&gt;$A264),and(not(isblank($A265)),$A265=$A264,$B265&lt;&gt;$B264)),"ID LISTS UNALIGNED",and($A265&lt;&gt;"",countif('5) Release_Track'!$F:$F,$A265)=0),"NO ISRC MATCH in Release_Track",and($B265&lt;&gt;"",countif('5) Release_Track'!$G:$G,$B265)=0),"NO CATALOG ID MATCH in Release_Track",iserror(vlookup($A265&amp;$B265,'5) Release_Track'!$F:$F&amp;'5) Release_Track'!$G:$G,1,0)),"NO ISRC-CATALOG ID pair MATCH in Release_Track" )</f>
        <v/>
      </c>
      <c r="E265" s="99"/>
      <c r="F265" s="99"/>
      <c r="G265" s="123" t="str">
        <f t="array" ref="G265">ifs(or($F265="",$F265="Main Primary Artist"),$F265,not(iserror(vlookup($F265,'Reference info'!$J$5:$J$8,1,0))),"Key Artist",not(iserror(vlookup($F265,'Reference info'!$J$38:$J$405,1,0))),"Performer",not(iserror(vlookup($F265,'Reference info'!$J$10:$J$36,1,0))),"Producer &amp; Engineer")</f>
        <v/>
      </c>
    </row>
    <row r="266">
      <c r="B266" s="103"/>
      <c r="C266" s="121" t="str">
        <f t="array" ref="C266">ifs(and(isblank($A266),isblank($B266)),"", not(iserror(vlookup($A266&amp;$B266,'5) Release_Track'!$F:$F&amp;'5) Release_Track'!$G:$G,1,0))),vlookup($A266&amp;$B266,{'5) Release_Track'!$F:$F&amp;'5) Release_Track'!$G:$G,'5) Release_Track'!$H:$H},2,0), or(and(not(isblank($B266)),$B266=$B265,$A266&lt;&gt;$A265),and(not(isblank($A266)),$A266=$A265,$B266&lt;&gt;$B265)),"ID LISTS UNALIGNED",and($A266&lt;&gt;"",countif('5) Release_Track'!$F:$F,$A266)=0),"NO ISRC MATCH in Release_Track",and($B266&lt;&gt;"",countif('5) Release_Track'!$G:$G,$B266)=0),"NO CATALOG ID MATCH in Release_Track",iserror(vlookup($A266&amp;$B266,'5) Release_Track'!$F:$F&amp;'5) Release_Track'!$G:$G,1,0)),"NO ISRC-CATALOG ID pair MATCH in Release_Track" )</f>
        <v/>
      </c>
      <c r="D266" s="121" t="str">
        <f t="array" ref="D266">ifs(and(isblank($A266),isblank($B266)),"", not(iserror(vlookup($A266&amp;$B266,'5) Release_Track'!$F:$F&amp;'5) Release_Track'!$G:$G,1,0))),vlookup($A266&amp;$B266,{'5) Release_Track'!$F:$F&amp;'5) Release_Track'!$G:$G,'5) Release_Track'!$I:$I},2,0), or(and(not(isblank($B266)),$B266=$B265,$A266&lt;&gt;$A265),and(not(isblank($A266)),$A266=$A265,$B266&lt;&gt;$B265)),"ID LISTS UNALIGNED",and($A266&lt;&gt;"",countif('5) Release_Track'!$F:$F,$A266)=0),"NO ISRC MATCH in Release_Track",and($B266&lt;&gt;"",countif('5) Release_Track'!$G:$G,$B266)=0),"NO CATALOG ID MATCH in Release_Track",iserror(vlookup($A266&amp;$B266,'5) Release_Track'!$F:$F&amp;'5) Release_Track'!$G:$G,1,0)),"NO ISRC-CATALOG ID pair MATCH in Release_Track" )</f>
        <v/>
      </c>
      <c r="E266" s="99"/>
      <c r="F266" s="99"/>
      <c r="G266" s="123" t="str">
        <f t="array" ref="G266">ifs(or($F266="",$F266="Main Primary Artist"),$F266,not(iserror(vlookup($F266,'Reference info'!$J$5:$J$8,1,0))),"Key Artist",not(iserror(vlookup($F266,'Reference info'!$J$38:$J$405,1,0))),"Performer",not(iserror(vlookup($F266,'Reference info'!$J$10:$J$36,1,0))),"Producer &amp; Engineer")</f>
        <v/>
      </c>
    </row>
    <row r="267">
      <c r="B267" s="103"/>
      <c r="C267" s="121" t="str">
        <f t="array" ref="C267">ifs(and(isblank($A267),isblank($B267)),"", not(iserror(vlookup($A267&amp;$B267,'5) Release_Track'!$F:$F&amp;'5) Release_Track'!$G:$G,1,0))),vlookup($A267&amp;$B267,{'5) Release_Track'!$F:$F&amp;'5) Release_Track'!$G:$G,'5) Release_Track'!$H:$H},2,0), or(and(not(isblank($B267)),$B267=$B266,$A267&lt;&gt;$A266),and(not(isblank($A267)),$A267=$A266,$B267&lt;&gt;$B266)),"ID LISTS UNALIGNED",and($A267&lt;&gt;"",countif('5) Release_Track'!$F:$F,$A267)=0),"NO ISRC MATCH in Release_Track",and($B267&lt;&gt;"",countif('5) Release_Track'!$G:$G,$B267)=0),"NO CATALOG ID MATCH in Release_Track",iserror(vlookup($A267&amp;$B267,'5) Release_Track'!$F:$F&amp;'5) Release_Track'!$G:$G,1,0)),"NO ISRC-CATALOG ID pair MATCH in Release_Track" )</f>
        <v/>
      </c>
      <c r="D267" s="121" t="str">
        <f t="array" ref="D267">ifs(and(isblank($A267),isblank($B267)),"", not(iserror(vlookup($A267&amp;$B267,'5) Release_Track'!$F:$F&amp;'5) Release_Track'!$G:$G,1,0))),vlookup($A267&amp;$B267,{'5) Release_Track'!$F:$F&amp;'5) Release_Track'!$G:$G,'5) Release_Track'!$I:$I},2,0), or(and(not(isblank($B267)),$B267=$B266,$A267&lt;&gt;$A266),and(not(isblank($A267)),$A267=$A266,$B267&lt;&gt;$B266)),"ID LISTS UNALIGNED",and($A267&lt;&gt;"",countif('5) Release_Track'!$F:$F,$A267)=0),"NO ISRC MATCH in Release_Track",and($B267&lt;&gt;"",countif('5) Release_Track'!$G:$G,$B267)=0),"NO CATALOG ID MATCH in Release_Track",iserror(vlookup($A267&amp;$B267,'5) Release_Track'!$F:$F&amp;'5) Release_Track'!$G:$G,1,0)),"NO ISRC-CATALOG ID pair MATCH in Release_Track" )</f>
        <v/>
      </c>
      <c r="E267" s="99"/>
      <c r="F267" s="99"/>
      <c r="G267" s="123" t="str">
        <f t="array" ref="G267">ifs(or($F267="",$F267="Main Primary Artist"),$F267,not(iserror(vlookup($F267,'Reference info'!$J$5:$J$8,1,0))),"Key Artist",not(iserror(vlookup($F267,'Reference info'!$J$38:$J$405,1,0))),"Performer",not(iserror(vlookup($F267,'Reference info'!$J$10:$J$36,1,0))),"Producer &amp; Engineer")</f>
        <v/>
      </c>
    </row>
    <row r="268">
      <c r="B268" s="103"/>
      <c r="C268" s="121" t="str">
        <f t="array" ref="C268">ifs(and(isblank($A268),isblank($B268)),"", not(iserror(vlookup($A268&amp;$B268,'5) Release_Track'!$F:$F&amp;'5) Release_Track'!$G:$G,1,0))),vlookup($A268&amp;$B268,{'5) Release_Track'!$F:$F&amp;'5) Release_Track'!$G:$G,'5) Release_Track'!$H:$H},2,0), or(and(not(isblank($B268)),$B268=$B267,$A268&lt;&gt;$A267),and(not(isblank($A268)),$A268=$A267,$B268&lt;&gt;$B267)),"ID LISTS UNALIGNED",and($A268&lt;&gt;"",countif('5) Release_Track'!$F:$F,$A268)=0),"NO ISRC MATCH in Release_Track",and($B268&lt;&gt;"",countif('5) Release_Track'!$G:$G,$B268)=0),"NO CATALOG ID MATCH in Release_Track",iserror(vlookup($A268&amp;$B268,'5) Release_Track'!$F:$F&amp;'5) Release_Track'!$G:$G,1,0)),"NO ISRC-CATALOG ID pair MATCH in Release_Track" )</f>
        <v/>
      </c>
      <c r="D268" s="121" t="str">
        <f t="array" ref="D268">ifs(and(isblank($A268),isblank($B268)),"", not(iserror(vlookup($A268&amp;$B268,'5) Release_Track'!$F:$F&amp;'5) Release_Track'!$G:$G,1,0))),vlookup($A268&amp;$B268,{'5) Release_Track'!$F:$F&amp;'5) Release_Track'!$G:$G,'5) Release_Track'!$I:$I},2,0), or(and(not(isblank($B268)),$B268=$B267,$A268&lt;&gt;$A267),and(not(isblank($A268)),$A268=$A267,$B268&lt;&gt;$B267)),"ID LISTS UNALIGNED",and($A268&lt;&gt;"",countif('5) Release_Track'!$F:$F,$A268)=0),"NO ISRC MATCH in Release_Track",and($B268&lt;&gt;"",countif('5) Release_Track'!$G:$G,$B268)=0),"NO CATALOG ID MATCH in Release_Track",iserror(vlookup($A268&amp;$B268,'5) Release_Track'!$F:$F&amp;'5) Release_Track'!$G:$G,1,0)),"NO ISRC-CATALOG ID pair MATCH in Release_Track" )</f>
        <v/>
      </c>
      <c r="E268" s="99"/>
      <c r="F268" s="99"/>
      <c r="G268" s="123" t="str">
        <f t="array" ref="G268">ifs(or($F268="",$F268="Main Primary Artist"),$F268,not(iserror(vlookup($F268,'Reference info'!$J$5:$J$8,1,0))),"Key Artist",not(iserror(vlookup($F268,'Reference info'!$J$38:$J$405,1,0))),"Performer",not(iserror(vlookup($F268,'Reference info'!$J$10:$J$36,1,0))),"Producer &amp; Engineer")</f>
        <v/>
      </c>
    </row>
    <row r="269">
      <c r="B269" s="103"/>
      <c r="C269" s="121" t="str">
        <f t="array" ref="C269">ifs(and(isblank($A269),isblank($B269)),"", not(iserror(vlookup($A269&amp;$B269,'5) Release_Track'!$F:$F&amp;'5) Release_Track'!$G:$G,1,0))),vlookup($A269&amp;$B269,{'5) Release_Track'!$F:$F&amp;'5) Release_Track'!$G:$G,'5) Release_Track'!$H:$H},2,0), or(and(not(isblank($B269)),$B269=$B268,$A269&lt;&gt;$A268),and(not(isblank($A269)),$A269=$A268,$B269&lt;&gt;$B268)),"ID LISTS UNALIGNED",and($A269&lt;&gt;"",countif('5) Release_Track'!$F:$F,$A269)=0),"NO ISRC MATCH in Release_Track",and($B269&lt;&gt;"",countif('5) Release_Track'!$G:$G,$B269)=0),"NO CATALOG ID MATCH in Release_Track",iserror(vlookup($A269&amp;$B269,'5) Release_Track'!$F:$F&amp;'5) Release_Track'!$G:$G,1,0)),"NO ISRC-CATALOG ID pair MATCH in Release_Track" )</f>
        <v/>
      </c>
      <c r="D269" s="121" t="str">
        <f t="array" ref="D269">ifs(and(isblank($A269),isblank($B269)),"", not(iserror(vlookup($A269&amp;$B269,'5) Release_Track'!$F:$F&amp;'5) Release_Track'!$G:$G,1,0))),vlookup($A269&amp;$B269,{'5) Release_Track'!$F:$F&amp;'5) Release_Track'!$G:$G,'5) Release_Track'!$I:$I},2,0), or(and(not(isblank($B269)),$B269=$B268,$A269&lt;&gt;$A268),and(not(isblank($A269)),$A269=$A268,$B269&lt;&gt;$B268)),"ID LISTS UNALIGNED",and($A269&lt;&gt;"",countif('5) Release_Track'!$F:$F,$A269)=0),"NO ISRC MATCH in Release_Track",and($B269&lt;&gt;"",countif('5) Release_Track'!$G:$G,$B269)=0),"NO CATALOG ID MATCH in Release_Track",iserror(vlookup($A269&amp;$B269,'5) Release_Track'!$F:$F&amp;'5) Release_Track'!$G:$G,1,0)),"NO ISRC-CATALOG ID pair MATCH in Release_Track" )</f>
        <v/>
      </c>
      <c r="E269" s="99"/>
      <c r="F269" s="99"/>
      <c r="G269" s="123" t="str">
        <f t="array" ref="G269">ifs(or($F269="",$F269="Main Primary Artist"),$F269,not(iserror(vlookup($F269,'Reference info'!$J$5:$J$8,1,0))),"Key Artist",not(iserror(vlookup($F269,'Reference info'!$J$38:$J$405,1,0))),"Performer",not(iserror(vlookup($F269,'Reference info'!$J$10:$J$36,1,0))),"Producer &amp; Engineer")</f>
        <v/>
      </c>
    </row>
    <row r="270">
      <c r="B270" s="103"/>
      <c r="C270" s="121" t="str">
        <f t="array" ref="C270">ifs(and(isblank($A270),isblank($B270)),"", not(iserror(vlookup($A270&amp;$B270,'5) Release_Track'!$F:$F&amp;'5) Release_Track'!$G:$G,1,0))),vlookup($A270&amp;$B270,{'5) Release_Track'!$F:$F&amp;'5) Release_Track'!$G:$G,'5) Release_Track'!$H:$H},2,0), or(and(not(isblank($B270)),$B270=$B269,$A270&lt;&gt;$A269),and(not(isblank($A270)),$A270=$A269,$B270&lt;&gt;$B269)),"ID LISTS UNALIGNED",and($A270&lt;&gt;"",countif('5) Release_Track'!$F:$F,$A270)=0),"NO ISRC MATCH in Release_Track",and($B270&lt;&gt;"",countif('5) Release_Track'!$G:$G,$B270)=0),"NO CATALOG ID MATCH in Release_Track",iserror(vlookup($A270&amp;$B270,'5) Release_Track'!$F:$F&amp;'5) Release_Track'!$G:$G,1,0)),"NO ISRC-CATALOG ID pair MATCH in Release_Track" )</f>
        <v/>
      </c>
      <c r="D270" s="121" t="str">
        <f t="array" ref="D270">ifs(and(isblank($A270),isblank($B270)),"", not(iserror(vlookup($A270&amp;$B270,'5) Release_Track'!$F:$F&amp;'5) Release_Track'!$G:$G,1,0))),vlookup($A270&amp;$B270,{'5) Release_Track'!$F:$F&amp;'5) Release_Track'!$G:$G,'5) Release_Track'!$I:$I},2,0), or(and(not(isblank($B270)),$B270=$B269,$A270&lt;&gt;$A269),and(not(isblank($A270)),$A270=$A269,$B270&lt;&gt;$B269)),"ID LISTS UNALIGNED",and($A270&lt;&gt;"",countif('5) Release_Track'!$F:$F,$A270)=0),"NO ISRC MATCH in Release_Track",and($B270&lt;&gt;"",countif('5) Release_Track'!$G:$G,$B270)=0),"NO CATALOG ID MATCH in Release_Track",iserror(vlookup($A270&amp;$B270,'5) Release_Track'!$F:$F&amp;'5) Release_Track'!$G:$G,1,0)),"NO ISRC-CATALOG ID pair MATCH in Release_Track" )</f>
        <v/>
      </c>
      <c r="E270" s="99"/>
      <c r="F270" s="99"/>
      <c r="G270" s="123" t="str">
        <f t="array" ref="G270">ifs(or($F270="",$F270="Main Primary Artist"),$F270,not(iserror(vlookup($F270,'Reference info'!$J$5:$J$8,1,0))),"Key Artist",not(iserror(vlookup($F270,'Reference info'!$J$38:$J$405,1,0))),"Performer",not(iserror(vlookup($F270,'Reference info'!$J$10:$J$36,1,0))),"Producer &amp; Engineer")</f>
        <v/>
      </c>
    </row>
    <row r="271">
      <c r="B271" s="103"/>
      <c r="C271" s="121" t="str">
        <f t="array" ref="C271">ifs(and(isblank($A271),isblank($B271)),"", not(iserror(vlookup($A271&amp;$B271,'5) Release_Track'!$F:$F&amp;'5) Release_Track'!$G:$G,1,0))),vlookup($A271&amp;$B271,{'5) Release_Track'!$F:$F&amp;'5) Release_Track'!$G:$G,'5) Release_Track'!$H:$H},2,0), or(and(not(isblank($B271)),$B271=$B270,$A271&lt;&gt;$A270),and(not(isblank($A271)),$A271=$A270,$B271&lt;&gt;$B270)),"ID LISTS UNALIGNED",and($A271&lt;&gt;"",countif('5) Release_Track'!$F:$F,$A271)=0),"NO ISRC MATCH in Release_Track",and($B271&lt;&gt;"",countif('5) Release_Track'!$G:$G,$B271)=0),"NO CATALOG ID MATCH in Release_Track",iserror(vlookup($A271&amp;$B271,'5) Release_Track'!$F:$F&amp;'5) Release_Track'!$G:$G,1,0)),"NO ISRC-CATALOG ID pair MATCH in Release_Track" )</f>
        <v/>
      </c>
      <c r="D271" s="121" t="str">
        <f t="array" ref="D271">ifs(and(isblank($A271),isblank($B271)),"", not(iserror(vlookup($A271&amp;$B271,'5) Release_Track'!$F:$F&amp;'5) Release_Track'!$G:$G,1,0))),vlookup($A271&amp;$B271,{'5) Release_Track'!$F:$F&amp;'5) Release_Track'!$G:$G,'5) Release_Track'!$I:$I},2,0), or(and(not(isblank($B271)),$B271=$B270,$A271&lt;&gt;$A270),and(not(isblank($A271)),$A271=$A270,$B271&lt;&gt;$B270)),"ID LISTS UNALIGNED",and($A271&lt;&gt;"",countif('5) Release_Track'!$F:$F,$A271)=0),"NO ISRC MATCH in Release_Track",and($B271&lt;&gt;"",countif('5) Release_Track'!$G:$G,$B271)=0),"NO CATALOG ID MATCH in Release_Track",iserror(vlookup($A271&amp;$B271,'5) Release_Track'!$F:$F&amp;'5) Release_Track'!$G:$G,1,0)),"NO ISRC-CATALOG ID pair MATCH in Release_Track" )</f>
        <v/>
      </c>
      <c r="E271" s="99"/>
      <c r="F271" s="99"/>
      <c r="G271" s="123" t="str">
        <f t="array" ref="G271">ifs(or($F271="",$F271="Main Primary Artist"),$F271,not(iserror(vlookup($F271,'Reference info'!$J$5:$J$8,1,0))),"Key Artist",not(iserror(vlookup($F271,'Reference info'!$J$38:$J$405,1,0))),"Performer",not(iserror(vlookup($F271,'Reference info'!$J$10:$J$36,1,0))),"Producer &amp; Engineer")</f>
        <v/>
      </c>
    </row>
    <row r="272">
      <c r="B272" s="103"/>
      <c r="C272" s="121" t="str">
        <f t="array" ref="C272">ifs(and(isblank($A272),isblank($B272)),"", not(iserror(vlookup($A272&amp;$B272,'5) Release_Track'!$F:$F&amp;'5) Release_Track'!$G:$G,1,0))),vlookup($A272&amp;$B272,{'5) Release_Track'!$F:$F&amp;'5) Release_Track'!$G:$G,'5) Release_Track'!$H:$H},2,0), or(and(not(isblank($B272)),$B272=$B271,$A272&lt;&gt;$A271),and(not(isblank($A272)),$A272=$A271,$B272&lt;&gt;$B271)),"ID LISTS UNALIGNED",and($A272&lt;&gt;"",countif('5) Release_Track'!$F:$F,$A272)=0),"NO ISRC MATCH in Release_Track",and($B272&lt;&gt;"",countif('5) Release_Track'!$G:$G,$B272)=0),"NO CATALOG ID MATCH in Release_Track",iserror(vlookup($A272&amp;$B272,'5) Release_Track'!$F:$F&amp;'5) Release_Track'!$G:$G,1,0)),"NO ISRC-CATALOG ID pair MATCH in Release_Track" )</f>
        <v/>
      </c>
      <c r="D272" s="121" t="str">
        <f t="array" ref="D272">ifs(and(isblank($A272),isblank($B272)),"", not(iserror(vlookup($A272&amp;$B272,'5) Release_Track'!$F:$F&amp;'5) Release_Track'!$G:$G,1,0))),vlookup($A272&amp;$B272,{'5) Release_Track'!$F:$F&amp;'5) Release_Track'!$G:$G,'5) Release_Track'!$I:$I},2,0), or(and(not(isblank($B272)),$B272=$B271,$A272&lt;&gt;$A271),and(not(isblank($A272)),$A272=$A271,$B272&lt;&gt;$B271)),"ID LISTS UNALIGNED",and($A272&lt;&gt;"",countif('5) Release_Track'!$F:$F,$A272)=0),"NO ISRC MATCH in Release_Track",and($B272&lt;&gt;"",countif('5) Release_Track'!$G:$G,$B272)=0),"NO CATALOG ID MATCH in Release_Track",iserror(vlookup($A272&amp;$B272,'5) Release_Track'!$F:$F&amp;'5) Release_Track'!$G:$G,1,0)),"NO ISRC-CATALOG ID pair MATCH in Release_Track" )</f>
        <v/>
      </c>
      <c r="E272" s="99"/>
      <c r="F272" s="99"/>
      <c r="G272" s="123" t="str">
        <f t="array" ref="G272">ifs(or($F272="",$F272="Main Primary Artist"),$F272,not(iserror(vlookup($F272,'Reference info'!$J$5:$J$8,1,0))),"Key Artist",not(iserror(vlookup($F272,'Reference info'!$J$38:$J$405,1,0))),"Performer",not(iserror(vlookup($F272,'Reference info'!$J$10:$J$36,1,0))),"Producer &amp; Engineer")</f>
        <v/>
      </c>
    </row>
    <row r="273">
      <c r="B273" s="103"/>
      <c r="C273" s="121" t="str">
        <f t="array" ref="C273">ifs(and(isblank($A273),isblank($B273)),"", not(iserror(vlookup($A273&amp;$B273,'5) Release_Track'!$F:$F&amp;'5) Release_Track'!$G:$G,1,0))),vlookup($A273&amp;$B273,{'5) Release_Track'!$F:$F&amp;'5) Release_Track'!$G:$G,'5) Release_Track'!$H:$H},2,0), or(and(not(isblank($B273)),$B273=$B272,$A273&lt;&gt;$A272),and(not(isblank($A273)),$A273=$A272,$B273&lt;&gt;$B272)),"ID LISTS UNALIGNED",and($A273&lt;&gt;"",countif('5) Release_Track'!$F:$F,$A273)=0),"NO ISRC MATCH in Release_Track",and($B273&lt;&gt;"",countif('5) Release_Track'!$G:$G,$B273)=0),"NO CATALOG ID MATCH in Release_Track",iserror(vlookup($A273&amp;$B273,'5) Release_Track'!$F:$F&amp;'5) Release_Track'!$G:$G,1,0)),"NO ISRC-CATALOG ID pair MATCH in Release_Track" )</f>
        <v/>
      </c>
      <c r="D273" s="121" t="str">
        <f t="array" ref="D273">ifs(and(isblank($A273),isblank($B273)),"", not(iserror(vlookup($A273&amp;$B273,'5) Release_Track'!$F:$F&amp;'5) Release_Track'!$G:$G,1,0))),vlookup($A273&amp;$B273,{'5) Release_Track'!$F:$F&amp;'5) Release_Track'!$G:$G,'5) Release_Track'!$I:$I},2,0), or(and(not(isblank($B273)),$B273=$B272,$A273&lt;&gt;$A272),and(not(isblank($A273)),$A273=$A272,$B273&lt;&gt;$B272)),"ID LISTS UNALIGNED",and($A273&lt;&gt;"",countif('5) Release_Track'!$F:$F,$A273)=0),"NO ISRC MATCH in Release_Track",and($B273&lt;&gt;"",countif('5) Release_Track'!$G:$G,$B273)=0),"NO CATALOG ID MATCH in Release_Track",iserror(vlookup($A273&amp;$B273,'5) Release_Track'!$F:$F&amp;'5) Release_Track'!$G:$G,1,0)),"NO ISRC-CATALOG ID pair MATCH in Release_Track" )</f>
        <v/>
      </c>
      <c r="E273" s="99"/>
      <c r="F273" s="99"/>
      <c r="G273" s="123" t="str">
        <f t="array" ref="G273">ifs(or($F273="",$F273="Main Primary Artist"),$F273,not(iserror(vlookup($F273,'Reference info'!$J$5:$J$8,1,0))),"Key Artist",not(iserror(vlookup($F273,'Reference info'!$J$38:$J$405,1,0))),"Performer",not(iserror(vlookup($F273,'Reference info'!$J$10:$J$36,1,0))),"Producer &amp; Engineer")</f>
        <v/>
      </c>
    </row>
    <row r="274">
      <c r="B274" s="103"/>
      <c r="C274" s="121" t="str">
        <f t="array" ref="C274">ifs(and(isblank($A274),isblank($B274)),"", not(iserror(vlookup($A274&amp;$B274,'5) Release_Track'!$F:$F&amp;'5) Release_Track'!$G:$G,1,0))),vlookup($A274&amp;$B274,{'5) Release_Track'!$F:$F&amp;'5) Release_Track'!$G:$G,'5) Release_Track'!$H:$H},2,0), or(and(not(isblank($B274)),$B274=$B273,$A274&lt;&gt;$A273),and(not(isblank($A274)),$A274=$A273,$B274&lt;&gt;$B273)),"ID LISTS UNALIGNED",and($A274&lt;&gt;"",countif('5) Release_Track'!$F:$F,$A274)=0),"NO ISRC MATCH in Release_Track",and($B274&lt;&gt;"",countif('5) Release_Track'!$G:$G,$B274)=0),"NO CATALOG ID MATCH in Release_Track",iserror(vlookup($A274&amp;$B274,'5) Release_Track'!$F:$F&amp;'5) Release_Track'!$G:$G,1,0)),"NO ISRC-CATALOG ID pair MATCH in Release_Track" )</f>
        <v/>
      </c>
      <c r="D274" s="121" t="str">
        <f t="array" ref="D274">ifs(and(isblank($A274),isblank($B274)),"", not(iserror(vlookup($A274&amp;$B274,'5) Release_Track'!$F:$F&amp;'5) Release_Track'!$G:$G,1,0))),vlookup($A274&amp;$B274,{'5) Release_Track'!$F:$F&amp;'5) Release_Track'!$G:$G,'5) Release_Track'!$I:$I},2,0), or(and(not(isblank($B274)),$B274=$B273,$A274&lt;&gt;$A273),and(not(isblank($A274)),$A274=$A273,$B274&lt;&gt;$B273)),"ID LISTS UNALIGNED",and($A274&lt;&gt;"",countif('5) Release_Track'!$F:$F,$A274)=0),"NO ISRC MATCH in Release_Track",and($B274&lt;&gt;"",countif('5) Release_Track'!$G:$G,$B274)=0),"NO CATALOG ID MATCH in Release_Track",iserror(vlookup($A274&amp;$B274,'5) Release_Track'!$F:$F&amp;'5) Release_Track'!$G:$G,1,0)),"NO ISRC-CATALOG ID pair MATCH in Release_Track" )</f>
        <v/>
      </c>
      <c r="E274" s="99"/>
      <c r="F274" s="99"/>
      <c r="G274" s="123" t="str">
        <f t="array" ref="G274">ifs(or($F274="",$F274="Main Primary Artist"),$F274,not(iserror(vlookup($F274,'Reference info'!$J$5:$J$8,1,0))),"Key Artist",not(iserror(vlookup($F274,'Reference info'!$J$38:$J$405,1,0))),"Performer",not(iserror(vlookup($F274,'Reference info'!$J$10:$J$36,1,0))),"Producer &amp; Engineer")</f>
        <v/>
      </c>
    </row>
    <row r="275">
      <c r="B275" s="103"/>
      <c r="C275" s="121" t="str">
        <f t="array" ref="C275">ifs(and(isblank($A275),isblank($B275)),"", not(iserror(vlookup($A275&amp;$B275,'5) Release_Track'!$F:$F&amp;'5) Release_Track'!$G:$G,1,0))),vlookup($A275&amp;$B275,{'5) Release_Track'!$F:$F&amp;'5) Release_Track'!$G:$G,'5) Release_Track'!$H:$H},2,0), or(and(not(isblank($B275)),$B275=$B274,$A275&lt;&gt;$A274),and(not(isblank($A275)),$A275=$A274,$B275&lt;&gt;$B274)),"ID LISTS UNALIGNED",and($A275&lt;&gt;"",countif('5) Release_Track'!$F:$F,$A275)=0),"NO ISRC MATCH in Release_Track",and($B275&lt;&gt;"",countif('5) Release_Track'!$G:$G,$B275)=0),"NO CATALOG ID MATCH in Release_Track",iserror(vlookup($A275&amp;$B275,'5) Release_Track'!$F:$F&amp;'5) Release_Track'!$G:$G,1,0)),"NO ISRC-CATALOG ID pair MATCH in Release_Track" )</f>
        <v/>
      </c>
      <c r="D275" s="121" t="str">
        <f t="array" ref="D275">ifs(and(isblank($A275),isblank($B275)),"", not(iserror(vlookup($A275&amp;$B275,'5) Release_Track'!$F:$F&amp;'5) Release_Track'!$G:$G,1,0))),vlookup($A275&amp;$B275,{'5) Release_Track'!$F:$F&amp;'5) Release_Track'!$G:$G,'5) Release_Track'!$I:$I},2,0), or(and(not(isblank($B275)),$B275=$B274,$A275&lt;&gt;$A274),and(not(isblank($A275)),$A275=$A274,$B275&lt;&gt;$B274)),"ID LISTS UNALIGNED",and($A275&lt;&gt;"",countif('5) Release_Track'!$F:$F,$A275)=0),"NO ISRC MATCH in Release_Track",and($B275&lt;&gt;"",countif('5) Release_Track'!$G:$G,$B275)=0),"NO CATALOG ID MATCH in Release_Track",iserror(vlookup($A275&amp;$B275,'5) Release_Track'!$F:$F&amp;'5) Release_Track'!$G:$G,1,0)),"NO ISRC-CATALOG ID pair MATCH in Release_Track" )</f>
        <v/>
      </c>
      <c r="E275" s="99"/>
      <c r="F275" s="99"/>
      <c r="G275" s="123" t="str">
        <f t="array" ref="G275">ifs(or($F275="",$F275="Main Primary Artist"),$F275,not(iserror(vlookup($F275,'Reference info'!$J$5:$J$8,1,0))),"Key Artist",not(iserror(vlookup($F275,'Reference info'!$J$38:$J$405,1,0))),"Performer",not(iserror(vlookup($F275,'Reference info'!$J$10:$J$36,1,0))),"Producer &amp; Engineer")</f>
        <v/>
      </c>
    </row>
    <row r="276">
      <c r="B276" s="103"/>
      <c r="C276" s="121" t="str">
        <f t="array" ref="C276">ifs(and(isblank($A276),isblank($B276)),"", not(iserror(vlookup($A276&amp;$B276,'5) Release_Track'!$F:$F&amp;'5) Release_Track'!$G:$G,1,0))),vlookup($A276&amp;$B276,{'5) Release_Track'!$F:$F&amp;'5) Release_Track'!$G:$G,'5) Release_Track'!$H:$H},2,0), or(and(not(isblank($B276)),$B276=$B275,$A276&lt;&gt;$A275),and(not(isblank($A276)),$A276=$A275,$B276&lt;&gt;$B275)),"ID LISTS UNALIGNED",and($A276&lt;&gt;"",countif('5) Release_Track'!$F:$F,$A276)=0),"NO ISRC MATCH in Release_Track",and($B276&lt;&gt;"",countif('5) Release_Track'!$G:$G,$B276)=0),"NO CATALOG ID MATCH in Release_Track",iserror(vlookup($A276&amp;$B276,'5) Release_Track'!$F:$F&amp;'5) Release_Track'!$G:$G,1,0)),"NO ISRC-CATALOG ID pair MATCH in Release_Track" )</f>
        <v/>
      </c>
      <c r="D276" s="121" t="str">
        <f t="array" ref="D276">ifs(and(isblank($A276),isblank($B276)),"", not(iserror(vlookup($A276&amp;$B276,'5) Release_Track'!$F:$F&amp;'5) Release_Track'!$G:$G,1,0))),vlookup($A276&amp;$B276,{'5) Release_Track'!$F:$F&amp;'5) Release_Track'!$G:$G,'5) Release_Track'!$I:$I},2,0), or(and(not(isblank($B276)),$B276=$B275,$A276&lt;&gt;$A275),and(not(isblank($A276)),$A276=$A275,$B276&lt;&gt;$B275)),"ID LISTS UNALIGNED",and($A276&lt;&gt;"",countif('5) Release_Track'!$F:$F,$A276)=0),"NO ISRC MATCH in Release_Track",and($B276&lt;&gt;"",countif('5) Release_Track'!$G:$G,$B276)=0),"NO CATALOG ID MATCH in Release_Track",iserror(vlookup($A276&amp;$B276,'5) Release_Track'!$F:$F&amp;'5) Release_Track'!$G:$G,1,0)),"NO ISRC-CATALOG ID pair MATCH in Release_Track" )</f>
        <v/>
      </c>
      <c r="E276" s="99"/>
      <c r="F276" s="99"/>
      <c r="G276" s="123" t="str">
        <f t="array" ref="G276">ifs(or($F276="",$F276="Main Primary Artist"),$F276,not(iserror(vlookup($F276,'Reference info'!$J$5:$J$8,1,0))),"Key Artist",not(iserror(vlookup($F276,'Reference info'!$J$38:$J$405,1,0))),"Performer",not(iserror(vlookup($F276,'Reference info'!$J$10:$J$36,1,0))),"Producer &amp; Engineer")</f>
        <v/>
      </c>
    </row>
    <row r="277">
      <c r="B277" s="103"/>
      <c r="C277" s="121" t="str">
        <f t="array" ref="C277">ifs(and(isblank($A277),isblank($B277)),"", not(iserror(vlookup($A277&amp;$B277,'5) Release_Track'!$F:$F&amp;'5) Release_Track'!$G:$G,1,0))),vlookup($A277&amp;$B277,{'5) Release_Track'!$F:$F&amp;'5) Release_Track'!$G:$G,'5) Release_Track'!$H:$H},2,0), or(and(not(isblank($B277)),$B277=$B276,$A277&lt;&gt;$A276),and(not(isblank($A277)),$A277=$A276,$B277&lt;&gt;$B276)),"ID LISTS UNALIGNED",and($A277&lt;&gt;"",countif('5) Release_Track'!$F:$F,$A277)=0),"NO ISRC MATCH in Release_Track",and($B277&lt;&gt;"",countif('5) Release_Track'!$G:$G,$B277)=0),"NO CATALOG ID MATCH in Release_Track",iserror(vlookup($A277&amp;$B277,'5) Release_Track'!$F:$F&amp;'5) Release_Track'!$G:$G,1,0)),"NO ISRC-CATALOG ID pair MATCH in Release_Track" )</f>
        <v/>
      </c>
      <c r="D277" s="121" t="str">
        <f t="array" ref="D277">ifs(and(isblank($A277),isblank($B277)),"", not(iserror(vlookup($A277&amp;$B277,'5) Release_Track'!$F:$F&amp;'5) Release_Track'!$G:$G,1,0))),vlookup($A277&amp;$B277,{'5) Release_Track'!$F:$F&amp;'5) Release_Track'!$G:$G,'5) Release_Track'!$I:$I},2,0), or(and(not(isblank($B277)),$B277=$B276,$A277&lt;&gt;$A276),and(not(isblank($A277)),$A277=$A276,$B277&lt;&gt;$B276)),"ID LISTS UNALIGNED",and($A277&lt;&gt;"",countif('5) Release_Track'!$F:$F,$A277)=0),"NO ISRC MATCH in Release_Track",and($B277&lt;&gt;"",countif('5) Release_Track'!$G:$G,$B277)=0),"NO CATALOG ID MATCH in Release_Track",iserror(vlookup($A277&amp;$B277,'5) Release_Track'!$F:$F&amp;'5) Release_Track'!$G:$G,1,0)),"NO ISRC-CATALOG ID pair MATCH in Release_Track" )</f>
        <v/>
      </c>
      <c r="E277" s="99"/>
      <c r="F277" s="99"/>
      <c r="G277" s="123" t="str">
        <f t="array" ref="G277">ifs(or($F277="",$F277="Main Primary Artist"),$F277,not(iserror(vlookup($F277,'Reference info'!$J$5:$J$8,1,0))),"Key Artist",not(iserror(vlookup($F277,'Reference info'!$J$38:$J$405,1,0))),"Performer",not(iserror(vlookup($F277,'Reference info'!$J$10:$J$36,1,0))),"Producer &amp; Engineer")</f>
        <v/>
      </c>
    </row>
    <row r="278">
      <c r="B278" s="103"/>
      <c r="C278" s="121" t="str">
        <f t="array" ref="C278">ifs(and(isblank($A278),isblank($B278)),"", not(iserror(vlookup($A278&amp;$B278,'5) Release_Track'!$F:$F&amp;'5) Release_Track'!$G:$G,1,0))),vlookup($A278&amp;$B278,{'5) Release_Track'!$F:$F&amp;'5) Release_Track'!$G:$G,'5) Release_Track'!$H:$H},2,0), or(and(not(isblank($B278)),$B278=$B277,$A278&lt;&gt;$A277),and(not(isblank($A278)),$A278=$A277,$B278&lt;&gt;$B277)),"ID LISTS UNALIGNED",and($A278&lt;&gt;"",countif('5) Release_Track'!$F:$F,$A278)=0),"NO ISRC MATCH in Release_Track",and($B278&lt;&gt;"",countif('5) Release_Track'!$G:$G,$B278)=0),"NO CATALOG ID MATCH in Release_Track",iserror(vlookup($A278&amp;$B278,'5) Release_Track'!$F:$F&amp;'5) Release_Track'!$G:$G,1,0)),"NO ISRC-CATALOG ID pair MATCH in Release_Track" )</f>
        <v/>
      </c>
      <c r="D278" s="121" t="str">
        <f t="array" ref="D278">ifs(and(isblank($A278),isblank($B278)),"", not(iserror(vlookup($A278&amp;$B278,'5) Release_Track'!$F:$F&amp;'5) Release_Track'!$G:$G,1,0))),vlookup($A278&amp;$B278,{'5) Release_Track'!$F:$F&amp;'5) Release_Track'!$G:$G,'5) Release_Track'!$I:$I},2,0), or(and(not(isblank($B278)),$B278=$B277,$A278&lt;&gt;$A277),and(not(isblank($A278)),$A278=$A277,$B278&lt;&gt;$B277)),"ID LISTS UNALIGNED",and($A278&lt;&gt;"",countif('5) Release_Track'!$F:$F,$A278)=0),"NO ISRC MATCH in Release_Track",and($B278&lt;&gt;"",countif('5) Release_Track'!$G:$G,$B278)=0),"NO CATALOG ID MATCH in Release_Track",iserror(vlookup($A278&amp;$B278,'5) Release_Track'!$F:$F&amp;'5) Release_Track'!$G:$G,1,0)),"NO ISRC-CATALOG ID pair MATCH in Release_Track" )</f>
        <v/>
      </c>
      <c r="E278" s="99"/>
      <c r="F278" s="99"/>
      <c r="G278" s="123" t="str">
        <f t="array" ref="G278">ifs(or($F278="",$F278="Main Primary Artist"),$F278,not(iserror(vlookup($F278,'Reference info'!$J$5:$J$8,1,0))),"Key Artist",not(iserror(vlookup($F278,'Reference info'!$J$38:$J$405,1,0))),"Performer",not(iserror(vlookup($F278,'Reference info'!$J$10:$J$36,1,0))),"Producer &amp; Engineer")</f>
        <v/>
      </c>
    </row>
    <row r="279">
      <c r="B279" s="103"/>
      <c r="C279" s="121" t="str">
        <f t="array" ref="C279">ifs(and(isblank($A279),isblank($B279)),"", not(iserror(vlookup($A279&amp;$B279,'5) Release_Track'!$F:$F&amp;'5) Release_Track'!$G:$G,1,0))),vlookup($A279&amp;$B279,{'5) Release_Track'!$F:$F&amp;'5) Release_Track'!$G:$G,'5) Release_Track'!$H:$H},2,0), or(and(not(isblank($B279)),$B279=$B278,$A279&lt;&gt;$A278),and(not(isblank($A279)),$A279=$A278,$B279&lt;&gt;$B278)),"ID LISTS UNALIGNED",and($A279&lt;&gt;"",countif('5) Release_Track'!$F:$F,$A279)=0),"NO ISRC MATCH in Release_Track",and($B279&lt;&gt;"",countif('5) Release_Track'!$G:$G,$B279)=0),"NO CATALOG ID MATCH in Release_Track",iserror(vlookup($A279&amp;$B279,'5) Release_Track'!$F:$F&amp;'5) Release_Track'!$G:$G,1,0)),"NO ISRC-CATALOG ID pair MATCH in Release_Track" )</f>
        <v/>
      </c>
      <c r="D279" s="121" t="str">
        <f t="array" ref="D279">ifs(and(isblank($A279),isblank($B279)),"", not(iserror(vlookup($A279&amp;$B279,'5) Release_Track'!$F:$F&amp;'5) Release_Track'!$G:$G,1,0))),vlookup($A279&amp;$B279,{'5) Release_Track'!$F:$F&amp;'5) Release_Track'!$G:$G,'5) Release_Track'!$I:$I},2,0), or(and(not(isblank($B279)),$B279=$B278,$A279&lt;&gt;$A278),and(not(isblank($A279)),$A279=$A278,$B279&lt;&gt;$B278)),"ID LISTS UNALIGNED",and($A279&lt;&gt;"",countif('5) Release_Track'!$F:$F,$A279)=0),"NO ISRC MATCH in Release_Track",and($B279&lt;&gt;"",countif('5) Release_Track'!$G:$G,$B279)=0),"NO CATALOG ID MATCH in Release_Track",iserror(vlookup($A279&amp;$B279,'5) Release_Track'!$F:$F&amp;'5) Release_Track'!$G:$G,1,0)),"NO ISRC-CATALOG ID pair MATCH in Release_Track" )</f>
        <v/>
      </c>
      <c r="E279" s="99"/>
      <c r="F279" s="99"/>
      <c r="G279" s="123" t="str">
        <f t="array" ref="G279">ifs(or($F279="",$F279="Main Primary Artist"),$F279,not(iserror(vlookup($F279,'Reference info'!$J$5:$J$8,1,0))),"Key Artist",not(iserror(vlookup($F279,'Reference info'!$J$38:$J$405,1,0))),"Performer",not(iserror(vlookup($F279,'Reference info'!$J$10:$J$36,1,0))),"Producer &amp; Engineer")</f>
        <v/>
      </c>
    </row>
    <row r="280">
      <c r="B280" s="103"/>
      <c r="C280" s="121" t="str">
        <f t="array" ref="C280">ifs(and(isblank($A280),isblank($B280)),"", not(iserror(vlookup($A280&amp;$B280,'5) Release_Track'!$F:$F&amp;'5) Release_Track'!$G:$G,1,0))),vlookup($A280&amp;$B280,{'5) Release_Track'!$F:$F&amp;'5) Release_Track'!$G:$G,'5) Release_Track'!$H:$H},2,0), or(and(not(isblank($B280)),$B280=$B279,$A280&lt;&gt;$A279),and(not(isblank($A280)),$A280=$A279,$B280&lt;&gt;$B279)),"ID LISTS UNALIGNED",and($A280&lt;&gt;"",countif('5) Release_Track'!$F:$F,$A280)=0),"NO ISRC MATCH in Release_Track",and($B280&lt;&gt;"",countif('5) Release_Track'!$G:$G,$B280)=0),"NO CATALOG ID MATCH in Release_Track",iserror(vlookup($A280&amp;$B280,'5) Release_Track'!$F:$F&amp;'5) Release_Track'!$G:$G,1,0)),"NO ISRC-CATALOG ID pair MATCH in Release_Track" )</f>
        <v/>
      </c>
      <c r="D280" s="121" t="str">
        <f t="array" ref="D280">ifs(and(isblank($A280),isblank($B280)),"", not(iserror(vlookup($A280&amp;$B280,'5) Release_Track'!$F:$F&amp;'5) Release_Track'!$G:$G,1,0))),vlookup($A280&amp;$B280,{'5) Release_Track'!$F:$F&amp;'5) Release_Track'!$G:$G,'5) Release_Track'!$I:$I},2,0), or(and(not(isblank($B280)),$B280=$B279,$A280&lt;&gt;$A279),and(not(isblank($A280)),$A280=$A279,$B280&lt;&gt;$B279)),"ID LISTS UNALIGNED",and($A280&lt;&gt;"",countif('5) Release_Track'!$F:$F,$A280)=0),"NO ISRC MATCH in Release_Track",and($B280&lt;&gt;"",countif('5) Release_Track'!$G:$G,$B280)=0),"NO CATALOG ID MATCH in Release_Track",iserror(vlookup($A280&amp;$B280,'5) Release_Track'!$F:$F&amp;'5) Release_Track'!$G:$G,1,0)),"NO ISRC-CATALOG ID pair MATCH in Release_Track" )</f>
        <v/>
      </c>
      <c r="E280" s="99"/>
      <c r="F280" s="99"/>
      <c r="G280" s="123" t="str">
        <f t="array" ref="G280">ifs(or($F280="",$F280="Main Primary Artist"),$F280,not(iserror(vlookup($F280,'Reference info'!$J$5:$J$8,1,0))),"Key Artist",not(iserror(vlookup($F280,'Reference info'!$J$38:$J$405,1,0))),"Performer",not(iserror(vlookup($F280,'Reference info'!$J$10:$J$36,1,0))),"Producer &amp; Engineer")</f>
        <v/>
      </c>
    </row>
    <row r="281">
      <c r="B281" s="103"/>
      <c r="C281" s="121" t="str">
        <f t="array" ref="C281">ifs(and(isblank($A281),isblank($B281)),"", not(iserror(vlookup($A281&amp;$B281,'5) Release_Track'!$F:$F&amp;'5) Release_Track'!$G:$G,1,0))),vlookup($A281&amp;$B281,{'5) Release_Track'!$F:$F&amp;'5) Release_Track'!$G:$G,'5) Release_Track'!$H:$H},2,0), or(and(not(isblank($B281)),$B281=$B280,$A281&lt;&gt;$A280),and(not(isblank($A281)),$A281=$A280,$B281&lt;&gt;$B280)),"ID LISTS UNALIGNED",and($A281&lt;&gt;"",countif('5) Release_Track'!$F:$F,$A281)=0),"NO ISRC MATCH in Release_Track",and($B281&lt;&gt;"",countif('5) Release_Track'!$G:$G,$B281)=0),"NO CATALOG ID MATCH in Release_Track",iserror(vlookup($A281&amp;$B281,'5) Release_Track'!$F:$F&amp;'5) Release_Track'!$G:$G,1,0)),"NO ISRC-CATALOG ID pair MATCH in Release_Track" )</f>
        <v/>
      </c>
      <c r="D281" s="121" t="str">
        <f t="array" ref="D281">ifs(and(isblank($A281),isblank($B281)),"", not(iserror(vlookup($A281&amp;$B281,'5) Release_Track'!$F:$F&amp;'5) Release_Track'!$G:$G,1,0))),vlookup($A281&amp;$B281,{'5) Release_Track'!$F:$F&amp;'5) Release_Track'!$G:$G,'5) Release_Track'!$I:$I},2,0), or(and(not(isblank($B281)),$B281=$B280,$A281&lt;&gt;$A280),and(not(isblank($A281)),$A281=$A280,$B281&lt;&gt;$B280)),"ID LISTS UNALIGNED",and($A281&lt;&gt;"",countif('5) Release_Track'!$F:$F,$A281)=0),"NO ISRC MATCH in Release_Track",and($B281&lt;&gt;"",countif('5) Release_Track'!$G:$G,$B281)=0),"NO CATALOG ID MATCH in Release_Track",iserror(vlookup($A281&amp;$B281,'5) Release_Track'!$F:$F&amp;'5) Release_Track'!$G:$G,1,0)),"NO ISRC-CATALOG ID pair MATCH in Release_Track" )</f>
        <v/>
      </c>
      <c r="E281" s="99"/>
      <c r="F281" s="99"/>
      <c r="G281" s="123" t="str">
        <f t="array" ref="G281">ifs(or($F281="",$F281="Main Primary Artist"),$F281,not(iserror(vlookup($F281,'Reference info'!$J$5:$J$8,1,0))),"Key Artist",not(iserror(vlookup($F281,'Reference info'!$J$38:$J$405,1,0))),"Performer",not(iserror(vlookup($F281,'Reference info'!$J$10:$J$36,1,0))),"Producer &amp; Engineer")</f>
        <v/>
      </c>
    </row>
    <row r="282">
      <c r="B282" s="103"/>
      <c r="C282" s="121" t="str">
        <f t="array" ref="C282">ifs(and(isblank($A282),isblank($B282)),"", not(iserror(vlookup($A282&amp;$B282,'5) Release_Track'!$F:$F&amp;'5) Release_Track'!$G:$G,1,0))),vlookup($A282&amp;$B282,{'5) Release_Track'!$F:$F&amp;'5) Release_Track'!$G:$G,'5) Release_Track'!$H:$H},2,0), or(and(not(isblank($B282)),$B282=$B281,$A282&lt;&gt;$A281),and(not(isblank($A282)),$A282=$A281,$B282&lt;&gt;$B281)),"ID LISTS UNALIGNED",and($A282&lt;&gt;"",countif('5) Release_Track'!$F:$F,$A282)=0),"NO ISRC MATCH in Release_Track",and($B282&lt;&gt;"",countif('5) Release_Track'!$G:$G,$B282)=0),"NO CATALOG ID MATCH in Release_Track",iserror(vlookup($A282&amp;$B282,'5) Release_Track'!$F:$F&amp;'5) Release_Track'!$G:$G,1,0)),"NO ISRC-CATALOG ID pair MATCH in Release_Track" )</f>
        <v/>
      </c>
      <c r="D282" s="121" t="str">
        <f t="array" ref="D282">ifs(and(isblank($A282),isblank($B282)),"", not(iserror(vlookup($A282&amp;$B282,'5) Release_Track'!$F:$F&amp;'5) Release_Track'!$G:$G,1,0))),vlookup($A282&amp;$B282,{'5) Release_Track'!$F:$F&amp;'5) Release_Track'!$G:$G,'5) Release_Track'!$I:$I},2,0), or(and(not(isblank($B282)),$B282=$B281,$A282&lt;&gt;$A281),and(not(isblank($A282)),$A282=$A281,$B282&lt;&gt;$B281)),"ID LISTS UNALIGNED",and($A282&lt;&gt;"",countif('5) Release_Track'!$F:$F,$A282)=0),"NO ISRC MATCH in Release_Track",and($B282&lt;&gt;"",countif('5) Release_Track'!$G:$G,$B282)=0),"NO CATALOG ID MATCH in Release_Track",iserror(vlookup($A282&amp;$B282,'5) Release_Track'!$F:$F&amp;'5) Release_Track'!$G:$G,1,0)),"NO ISRC-CATALOG ID pair MATCH in Release_Track" )</f>
        <v/>
      </c>
      <c r="E282" s="99"/>
      <c r="F282" s="99"/>
      <c r="G282" s="123" t="str">
        <f t="array" ref="G282">ifs(or($F282="",$F282="Main Primary Artist"),$F282,not(iserror(vlookup($F282,'Reference info'!$J$5:$J$8,1,0))),"Key Artist",not(iserror(vlookup($F282,'Reference info'!$J$38:$J$405,1,0))),"Performer",not(iserror(vlookup($F282,'Reference info'!$J$10:$J$36,1,0))),"Producer &amp; Engineer")</f>
        <v/>
      </c>
    </row>
    <row r="283">
      <c r="B283" s="103"/>
      <c r="C283" s="121" t="str">
        <f t="array" ref="C283">ifs(and(isblank($A283),isblank($B283)),"", not(iserror(vlookup($A283&amp;$B283,'5) Release_Track'!$F:$F&amp;'5) Release_Track'!$G:$G,1,0))),vlookup($A283&amp;$B283,{'5) Release_Track'!$F:$F&amp;'5) Release_Track'!$G:$G,'5) Release_Track'!$H:$H},2,0), or(and(not(isblank($B283)),$B283=$B282,$A283&lt;&gt;$A282),and(not(isblank($A283)),$A283=$A282,$B283&lt;&gt;$B282)),"ID LISTS UNALIGNED",and($A283&lt;&gt;"",countif('5) Release_Track'!$F:$F,$A283)=0),"NO ISRC MATCH in Release_Track",and($B283&lt;&gt;"",countif('5) Release_Track'!$G:$G,$B283)=0),"NO CATALOG ID MATCH in Release_Track",iserror(vlookup($A283&amp;$B283,'5) Release_Track'!$F:$F&amp;'5) Release_Track'!$G:$G,1,0)),"NO ISRC-CATALOG ID pair MATCH in Release_Track" )</f>
        <v/>
      </c>
      <c r="D283" s="121" t="str">
        <f t="array" ref="D283">ifs(and(isblank($A283),isblank($B283)),"", not(iserror(vlookup($A283&amp;$B283,'5) Release_Track'!$F:$F&amp;'5) Release_Track'!$G:$G,1,0))),vlookup($A283&amp;$B283,{'5) Release_Track'!$F:$F&amp;'5) Release_Track'!$G:$G,'5) Release_Track'!$I:$I},2,0), or(and(not(isblank($B283)),$B283=$B282,$A283&lt;&gt;$A282),and(not(isblank($A283)),$A283=$A282,$B283&lt;&gt;$B282)),"ID LISTS UNALIGNED",and($A283&lt;&gt;"",countif('5) Release_Track'!$F:$F,$A283)=0),"NO ISRC MATCH in Release_Track",and($B283&lt;&gt;"",countif('5) Release_Track'!$G:$G,$B283)=0),"NO CATALOG ID MATCH in Release_Track",iserror(vlookup($A283&amp;$B283,'5) Release_Track'!$F:$F&amp;'5) Release_Track'!$G:$G,1,0)),"NO ISRC-CATALOG ID pair MATCH in Release_Track" )</f>
        <v/>
      </c>
      <c r="E283" s="99"/>
      <c r="F283" s="99"/>
      <c r="G283" s="123" t="str">
        <f t="array" ref="G283">ifs(or($F283="",$F283="Main Primary Artist"),$F283,not(iserror(vlookup($F283,'Reference info'!$J$5:$J$8,1,0))),"Key Artist",not(iserror(vlookup($F283,'Reference info'!$J$38:$J$405,1,0))),"Performer",not(iserror(vlookup($F283,'Reference info'!$J$10:$J$36,1,0))),"Producer &amp; Engineer")</f>
        <v/>
      </c>
    </row>
    <row r="284">
      <c r="B284" s="103"/>
      <c r="C284" s="121" t="str">
        <f t="array" ref="C284">ifs(and(isblank($A284),isblank($B284)),"", not(iserror(vlookup($A284&amp;$B284,'5) Release_Track'!$F:$F&amp;'5) Release_Track'!$G:$G,1,0))),vlookup($A284&amp;$B284,{'5) Release_Track'!$F:$F&amp;'5) Release_Track'!$G:$G,'5) Release_Track'!$H:$H},2,0), or(and(not(isblank($B284)),$B284=$B283,$A284&lt;&gt;$A283),and(not(isblank($A284)),$A284=$A283,$B284&lt;&gt;$B283)),"ID LISTS UNALIGNED",and($A284&lt;&gt;"",countif('5) Release_Track'!$F:$F,$A284)=0),"NO ISRC MATCH in Release_Track",and($B284&lt;&gt;"",countif('5) Release_Track'!$G:$G,$B284)=0),"NO CATALOG ID MATCH in Release_Track",iserror(vlookup($A284&amp;$B284,'5) Release_Track'!$F:$F&amp;'5) Release_Track'!$G:$G,1,0)),"NO ISRC-CATALOG ID pair MATCH in Release_Track" )</f>
        <v/>
      </c>
      <c r="D284" s="121" t="str">
        <f t="array" ref="D284">ifs(and(isblank($A284),isblank($B284)),"", not(iserror(vlookup($A284&amp;$B284,'5) Release_Track'!$F:$F&amp;'5) Release_Track'!$G:$G,1,0))),vlookup($A284&amp;$B284,{'5) Release_Track'!$F:$F&amp;'5) Release_Track'!$G:$G,'5) Release_Track'!$I:$I},2,0), or(and(not(isblank($B284)),$B284=$B283,$A284&lt;&gt;$A283),and(not(isblank($A284)),$A284=$A283,$B284&lt;&gt;$B283)),"ID LISTS UNALIGNED",and($A284&lt;&gt;"",countif('5) Release_Track'!$F:$F,$A284)=0),"NO ISRC MATCH in Release_Track",and($B284&lt;&gt;"",countif('5) Release_Track'!$G:$G,$B284)=0),"NO CATALOG ID MATCH in Release_Track",iserror(vlookup($A284&amp;$B284,'5) Release_Track'!$F:$F&amp;'5) Release_Track'!$G:$G,1,0)),"NO ISRC-CATALOG ID pair MATCH in Release_Track" )</f>
        <v/>
      </c>
      <c r="E284" s="99"/>
      <c r="F284" s="99"/>
      <c r="G284" s="123" t="str">
        <f t="array" ref="G284">ifs(or($F284="",$F284="Main Primary Artist"),$F284,not(iserror(vlookup($F284,'Reference info'!$J$5:$J$8,1,0))),"Key Artist",not(iserror(vlookup($F284,'Reference info'!$J$38:$J$405,1,0))),"Performer",not(iserror(vlookup($F284,'Reference info'!$J$10:$J$36,1,0))),"Producer &amp; Engineer")</f>
        <v/>
      </c>
    </row>
    <row r="285">
      <c r="B285" s="103"/>
      <c r="C285" s="121" t="str">
        <f t="array" ref="C285">ifs(and(isblank($A285),isblank($B285)),"", not(iserror(vlookup($A285&amp;$B285,'5) Release_Track'!$F:$F&amp;'5) Release_Track'!$G:$G,1,0))),vlookup($A285&amp;$B285,{'5) Release_Track'!$F:$F&amp;'5) Release_Track'!$G:$G,'5) Release_Track'!$H:$H},2,0), or(and(not(isblank($B285)),$B285=$B284,$A285&lt;&gt;$A284),and(not(isblank($A285)),$A285=$A284,$B285&lt;&gt;$B284)),"ID LISTS UNALIGNED",and($A285&lt;&gt;"",countif('5) Release_Track'!$F:$F,$A285)=0),"NO ISRC MATCH in Release_Track",and($B285&lt;&gt;"",countif('5) Release_Track'!$G:$G,$B285)=0),"NO CATALOG ID MATCH in Release_Track",iserror(vlookup($A285&amp;$B285,'5) Release_Track'!$F:$F&amp;'5) Release_Track'!$G:$G,1,0)),"NO ISRC-CATALOG ID pair MATCH in Release_Track" )</f>
        <v/>
      </c>
      <c r="D285" s="121" t="str">
        <f t="array" ref="D285">ifs(and(isblank($A285),isblank($B285)),"", not(iserror(vlookup($A285&amp;$B285,'5) Release_Track'!$F:$F&amp;'5) Release_Track'!$G:$G,1,0))),vlookup($A285&amp;$B285,{'5) Release_Track'!$F:$F&amp;'5) Release_Track'!$G:$G,'5) Release_Track'!$I:$I},2,0), or(and(not(isblank($B285)),$B285=$B284,$A285&lt;&gt;$A284),and(not(isblank($A285)),$A285=$A284,$B285&lt;&gt;$B284)),"ID LISTS UNALIGNED",and($A285&lt;&gt;"",countif('5) Release_Track'!$F:$F,$A285)=0),"NO ISRC MATCH in Release_Track",and($B285&lt;&gt;"",countif('5) Release_Track'!$G:$G,$B285)=0),"NO CATALOG ID MATCH in Release_Track",iserror(vlookup($A285&amp;$B285,'5) Release_Track'!$F:$F&amp;'5) Release_Track'!$G:$G,1,0)),"NO ISRC-CATALOG ID pair MATCH in Release_Track" )</f>
        <v/>
      </c>
      <c r="E285" s="99"/>
      <c r="F285" s="99"/>
      <c r="G285" s="123" t="str">
        <f t="array" ref="G285">ifs(or($F285="",$F285="Main Primary Artist"),$F285,not(iserror(vlookup($F285,'Reference info'!$J$5:$J$8,1,0))),"Key Artist",not(iserror(vlookup($F285,'Reference info'!$J$38:$J$405,1,0))),"Performer",not(iserror(vlookup($F285,'Reference info'!$J$10:$J$36,1,0))),"Producer &amp; Engineer")</f>
        <v/>
      </c>
    </row>
    <row r="286">
      <c r="B286" s="103"/>
      <c r="C286" s="121" t="str">
        <f t="array" ref="C286">ifs(and(isblank($A286),isblank($B286)),"", not(iserror(vlookup($A286&amp;$B286,'5) Release_Track'!$F:$F&amp;'5) Release_Track'!$G:$G,1,0))),vlookup($A286&amp;$B286,{'5) Release_Track'!$F:$F&amp;'5) Release_Track'!$G:$G,'5) Release_Track'!$H:$H},2,0), or(and(not(isblank($B286)),$B286=$B285,$A286&lt;&gt;$A285),and(not(isblank($A286)),$A286=$A285,$B286&lt;&gt;$B285)),"ID LISTS UNALIGNED",and($A286&lt;&gt;"",countif('5) Release_Track'!$F:$F,$A286)=0),"NO ISRC MATCH in Release_Track",and($B286&lt;&gt;"",countif('5) Release_Track'!$G:$G,$B286)=0),"NO CATALOG ID MATCH in Release_Track",iserror(vlookup($A286&amp;$B286,'5) Release_Track'!$F:$F&amp;'5) Release_Track'!$G:$G,1,0)),"NO ISRC-CATALOG ID pair MATCH in Release_Track" )</f>
        <v/>
      </c>
      <c r="D286" s="121" t="str">
        <f t="array" ref="D286">ifs(and(isblank($A286),isblank($B286)),"", not(iserror(vlookup($A286&amp;$B286,'5) Release_Track'!$F:$F&amp;'5) Release_Track'!$G:$G,1,0))),vlookup($A286&amp;$B286,{'5) Release_Track'!$F:$F&amp;'5) Release_Track'!$G:$G,'5) Release_Track'!$I:$I},2,0), or(and(not(isblank($B286)),$B286=$B285,$A286&lt;&gt;$A285),and(not(isblank($A286)),$A286=$A285,$B286&lt;&gt;$B285)),"ID LISTS UNALIGNED",and($A286&lt;&gt;"",countif('5) Release_Track'!$F:$F,$A286)=0),"NO ISRC MATCH in Release_Track",and($B286&lt;&gt;"",countif('5) Release_Track'!$G:$G,$B286)=0),"NO CATALOG ID MATCH in Release_Track",iserror(vlookup($A286&amp;$B286,'5) Release_Track'!$F:$F&amp;'5) Release_Track'!$G:$G,1,0)),"NO ISRC-CATALOG ID pair MATCH in Release_Track" )</f>
        <v/>
      </c>
      <c r="E286" s="99"/>
      <c r="F286" s="99"/>
      <c r="G286" s="123" t="str">
        <f t="array" ref="G286">ifs(or($F286="",$F286="Main Primary Artist"),$F286,not(iserror(vlookup($F286,'Reference info'!$J$5:$J$8,1,0))),"Key Artist",not(iserror(vlookup($F286,'Reference info'!$J$38:$J$405,1,0))),"Performer",not(iserror(vlookup($F286,'Reference info'!$J$10:$J$36,1,0))),"Producer &amp; Engineer")</f>
        <v/>
      </c>
    </row>
    <row r="287">
      <c r="B287" s="103"/>
      <c r="C287" s="121" t="str">
        <f t="array" ref="C287">ifs(and(isblank($A287),isblank($B287)),"", not(iserror(vlookup($A287&amp;$B287,'5) Release_Track'!$F:$F&amp;'5) Release_Track'!$G:$G,1,0))),vlookup($A287&amp;$B287,{'5) Release_Track'!$F:$F&amp;'5) Release_Track'!$G:$G,'5) Release_Track'!$H:$H},2,0), or(and(not(isblank($B287)),$B287=$B286,$A287&lt;&gt;$A286),and(not(isblank($A287)),$A287=$A286,$B287&lt;&gt;$B286)),"ID LISTS UNALIGNED",and($A287&lt;&gt;"",countif('5) Release_Track'!$F:$F,$A287)=0),"NO ISRC MATCH in Release_Track",and($B287&lt;&gt;"",countif('5) Release_Track'!$G:$G,$B287)=0),"NO CATALOG ID MATCH in Release_Track",iserror(vlookup($A287&amp;$B287,'5) Release_Track'!$F:$F&amp;'5) Release_Track'!$G:$G,1,0)),"NO ISRC-CATALOG ID pair MATCH in Release_Track" )</f>
        <v/>
      </c>
      <c r="D287" s="121" t="str">
        <f t="array" ref="D287">ifs(and(isblank($A287),isblank($B287)),"", not(iserror(vlookup($A287&amp;$B287,'5) Release_Track'!$F:$F&amp;'5) Release_Track'!$G:$G,1,0))),vlookup($A287&amp;$B287,{'5) Release_Track'!$F:$F&amp;'5) Release_Track'!$G:$G,'5) Release_Track'!$I:$I},2,0), or(and(not(isblank($B287)),$B287=$B286,$A287&lt;&gt;$A286),and(not(isblank($A287)),$A287=$A286,$B287&lt;&gt;$B286)),"ID LISTS UNALIGNED",and($A287&lt;&gt;"",countif('5) Release_Track'!$F:$F,$A287)=0),"NO ISRC MATCH in Release_Track",and($B287&lt;&gt;"",countif('5) Release_Track'!$G:$G,$B287)=0),"NO CATALOG ID MATCH in Release_Track",iserror(vlookup($A287&amp;$B287,'5) Release_Track'!$F:$F&amp;'5) Release_Track'!$G:$G,1,0)),"NO ISRC-CATALOG ID pair MATCH in Release_Track" )</f>
        <v/>
      </c>
      <c r="E287" s="99"/>
      <c r="F287" s="99"/>
      <c r="G287" s="123" t="str">
        <f t="array" ref="G287">ifs(or($F287="",$F287="Main Primary Artist"),$F287,not(iserror(vlookup($F287,'Reference info'!$J$5:$J$8,1,0))),"Key Artist",not(iserror(vlookup($F287,'Reference info'!$J$38:$J$405,1,0))),"Performer",not(iserror(vlookup($F287,'Reference info'!$J$10:$J$36,1,0))),"Producer &amp; Engineer")</f>
        <v/>
      </c>
    </row>
    <row r="288">
      <c r="B288" s="103"/>
      <c r="C288" s="121" t="str">
        <f t="array" ref="C288">ifs(and(isblank($A288),isblank($B288)),"", not(iserror(vlookup($A288&amp;$B288,'5) Release_Track'!$F:$F&amp;'5) Release_Track'!$G:$G,1,0))),vlookup($A288&amp;$B288,{'5) Release_Track'!$F:$F&amp;'5) Release_Track'!$G:$G,'5) Release_Track'!$H:$H},2,0), or(and(not(isblank($B288)),$B288=$B287,$A288&lt;&gt;$A287),and(not(isblank($A288)),$A288=$A287,$B288&lt;&gt;$B287)),"ID LISTS UNALIGNED",and($A288&lt;&gt;"",countif('5) Release_Track'!$F:$F,$A288)=0),"NO ISRC MATCH in Release_Track",and($B288&lt;&gt;"",countif('5) Release_Track'!$G:$G,$B288)=0),"NO CATALOG ID MATCH in Release_Track",iserror(vlookup($A288&amp;$B288,'5) Release_Track'!$F:$F&amp;'5) Release_Track'!$G:$G,1,0)),"NO ISRC-CATALOG ID pair MATCH in Release_Track" )</f>
        <v/>
      </c>
      <c r="D288" s="121" t="str">
        <f t="array" ref="D288">ifs(and(isblank($A288),isblank($B288)),"", not(iserror(vlookup($A288&amp;$B288,'5) Release_Track'!$F:$F&amp;'5) Release_Track'!$G:$G,1,0))),vlookup($A288&amp;$B288,{'5) Release_Track'!$F:$F&amp;'5) Release_Track'!$G:$G,'5) Release_Track'!$I:$I},2,0), or(and(not(isblank($B288)),$B288=$B287,$A288&lt;&gt;$A287),and(not(isblank($A288)),$A288=$A287,$B288&lt;&gt;$B287)),"ID LISTS UNALIGNED",and($A288&lt;&gt;"",countif('5) Release_Track'!$F:$F,$A288)=0),"NO ISRC MATCH in Release_Track",and($B288&lt;&gt;"",countif('5) Release_Track'!$G:$G,$B288)=0),"NO CATALOG ID MATCH in Release_Track",iserror(vlookup($A288&amp;$B288,'5) Release_Track'!$F:$F&amp;'5) Release_Track'!$G:$G,1,0)),"NO ISRC-CATALOG ID pair MATCH in Release_Track" )</f>
        <v/>
      </c>
      <c r="E288" s="99"/>
      <c r="F288" s="99"/>
      <c r="G288" s="123" t="str">
        <f t="array" ref="G288">ifs(or($F288="",$F288="Main Primary Artist"),$F288,not(iserror(vlookup($F288,'Reference info'!$J$5:$J$8,1,0))),"Key Artist",not(iserror(vlookup($F288,'Reference info'!$J$38:$J$405,1,0))),"Performer",not(iserror(vlookup($F288,'Reference info'!$J$10:$J$36,1,0))),"Producer &amp; Engineer")</f>
        <v/>
      </c>
    </row>
    <row r="289">
      <c r="B289" s="103"/>
      <c r="C289" s="121" t="str">
        <f t="array" ref="C289">ifs(and(isblank($A289),isblank($B289)),"", not(iserror(vlookup($A289&amp;$B289,'5) Release_Track'!$F:$F&amp;'5) Release_Track'!$G:$G,1,0))),vlookup($A289&amp;$B289,{'5) Release_Track'!$F:$F&amp;'5) Release_Track'!$G:$G,'5) Release_Track'!$H:$H},2,0), or(and(not(isblank($B289)),$B289=$B288,$A289&lt;&gt;$A288),and(not(isblank($A289)),$A289=$A288,$B289&lt;&gt;$B288)),"ID LISTS UNALIGNED",and($A289&lt;&gt;"",countif('5) Release_Track'!$F:$F,$A289)=0),"NO ISRC MATCH in Release_Track",and($B289&lt;&gt;"",countif('5) Release_Track'!$G:$G,$B289)=0),"NO CATALOG ID MATCH in Release_Track",iserror(vlookup($A289&amp;$B289,'5) Release_Track'!$F:$F&amp;'5) Release_Track'!$G:$G,1,0)),"NO ISRC-CATALOG ID pair MATCH in Release_Track" )</f>
        <v/>
      </c>
      <c r="D289" s="121" t="str">
        <f t="array" ref="D289">ifs(and(isblank($A289),isblank($B289)),"", not(iserror(vlookup($A289&amp;$B289,'5) Release_Track'!$F:$F&amp;'5) Release_Track'!$G:$G,1,0))),vlookup($A289&amp;$B289,{'5) Release_Track'!$F:$F&amp;'5) Release_Track'!$G:$G,'5) Release_Track'!$I:$I},2,0), or(and(not(isblank($B289)),$B289=$B288,$A289&lt;&gt;$A288),and(not(isblank($A289)),$A289=$A288,$B289&lt;&gt;$B288)),"ID LISTS UNALIGNED",and($A289&lt;&gt;"",countif('5) Release_Track'!$F:$F,$A289)=0),"NO ISRC MATCH in Release_Track",and($B289&lt;&gt;"",countif('5) Release_Track'!$G:$G,$B289)=0),"NO CATALOG ID MATCH in Release_Track",iserror(vlookup($A289&amp;$B289,'5) Release_Track'!$F:$F&amp;'5) Release_Track'!$G:$G,1,0)),"NO ISRC-CATALOG ID pair MATCH in Release_Track" )</f>
        <v/>
      </c>
      <c r="E289" s="99"/>
      <c r="F289" s="99"/>
      <c r="G289" s="123" t="str">
        <f t="array" ref="G289">ifs(or($F289="",$F289="Main Primary Artist"),$F289,not(iserror(vlookup($F289,'Reference info'!$J$5:$J$8,1,0))),"Key Artist",not(iserror(vlookup($F289,'Reference info'!$J$38:$J$405,1,0))),"Performer",not(iserror(vlookup($F289,'Reference info'!$J$10:$J$36,1,0))),"Producer &amp; Engineer")</f>
        <v/>
      </c>
    </row>
    <row r="290">
      <c r="B290" s="103"/>
      <c r="C290" s="121" t="str">
        <f t="array" ref="C290">ifs(and(isblank($A290),isblank($B290)),"", not(iserror(vlookup($A290&amp;$B290,'5) Release_Track'!$F:$F&amp;'5) Release_Track'!$G:$G,1,0))),vlookup($A290&amp;$B290,{'5) Release_Track'!$F:$F&amp;'5) Release_Track'!$G:$G,'5) Release_Track'!$H:$H},2,0), or(and(not(isblank($B290)),$B290=$B289,$A290&lt;&gt;$A289),and(not(isblank($A290)),$A290=$A289,$B290&lt;&gt;$B289)),"ID LISTS UNALIGNED",and($A290&lt;&gt;"",countif('5) Release_Track'!$F:$F,$A290)=0),"NO ISRC MATCH in Release_Track",and($B290&lt;&gt;"",countif('5) Release_Track'!$G:$G,$B290)=0),"NO CATALOG ID MATCH in Release_Track",iserror(vlookup($A290&amp;$B290,'5) Release_Track'!$F:$F&amp;'5) Release_Track'!$G:$G,1,0)),"NO ISRC-CATALOG ID pair MATCH in Release_Track" )</f>
        <v/>
      </c>
      <c r="D290" s="121" t="str">
        <f t="array" ref="D290">ifs(and(isblank($A290),isblank($B290)),"", not(iserror(vlookup($A290&amp;$B290,'5) Release_Track'!$F:$F&amp;'5) Release_Track'!$G:$G,1,0))),vlookup($A290&amp;$B290,{'5) Release_Track'!$F:$F&amp;'5) Release_Track'!$G:$G,'5) Release_Track'!$I:$I},2,0), or(and(not(isblank($B290)),$B290=$B289,$A290&lt;&gt;$A289),and(not(isblank($A290)),$A290=$A289,$B290&lt;&gt;$B289)),"ID LISTS UNALIGNED",and($A290&lt;&gt;"",countif('5) Release_Track'!$F:$F,$A290)=0),"NO ISRC MATCH in Release_Track",and($B290&lt;&gt;"",countif('5) Release_Track'!$G:$G,$B290)=0),"NO CATALOG ID MATCH in Release_Track",iserror(vlookup($A290&amp;$B290,'5) Release_Track'!$F:$F&amp;'5) Release_Track'!$G:$G,1,0)),"NO ISRC-CATALOG ID pair MATCH in Release_Track" )</f>
        <v/>
      </c>
      <c r="E290" s="99"/>
      <c r="F290" s="99"/>
      <c r="G290" s="123" t="str">
        <f t="array" ref="G290">ifs(or($F290="",$F290="Main Primary Artist"),$F290,not(iserror(vlookup($F290,'Reference info'!$J$5:$J$8,1,0))),"Key Artist",not(iserror(vlookup($F290,'Reference info'!$J$38:$J$405,1,0))),"Performer",not(iserror(vlookup($F290,'Reference info'!$J$10:$J$36,1,0))),"Producer &amp; Engineer")</f>
        <v/>
      </c>
    </row>
    <row r="291">
      <c r="B291" s="103"/>
      <c r="C291" s="121" t="str">
        <f t="array" ref="C291">ifs(and(isblank($A291),isblank($B291)),"", not(iserror(vlookup($A291&amp;$B291,'5) Release_Track'!$F:$F&amp;'5) Release_Track'!$G:$G,1,0))),vlookup($A291&amp;$B291,{'5) Release_Track'!$F:$F&amp;'5) Release_Track'!$G:$G,'5) Release_Track'!$H:$H},2,0), or(and(not(isblank($B291)),$B291=$B290,$A291&lt;&gt;$A290),and(not(isblank($A291)),$A291=$A290,$B291&lt;&gt;$B290)),"ID LISTS UNALIGNED",and($A291&lt;&gt;"",countif('5) Release_Track'!$F:$F,$A291)=0),"NO ISRC MATCH in Release_Track",and($B291&lt;&gt;"",countif('5) Release_Track'!$G:$G,$B291)=0),"NO CATALOG ID MATCH in Release_Track",iserror(vlookup($A291&amp;$B291,'5) Release_Track'!$F:$F&amp;'5) Release_Track'!$G:$G,1,0)),"NO ISRC-CATALOG ID pair MATCH in Release_Track" )</f>
        <v/>
      </c>
      <c r="D291" s="121" t="str">
        <f t="array" ref="D291">ifs(and(isblank($A291),isblank($B291)),"", not(iserror(vlookup($A291&amp;$B291,'5) Release_Track'!$F:$F&amp;'5) Release_Track'!$G:$G,1,0))),vlookup($A291&amp;$B291,{'5) Release_Track'!$F:$F&amp;'5) Release_Track'!$G:$G,'5) Release_Track'!$I:$I},2,0), or(and(not(isblank($B291)),$B291=$B290,$A291&lt;&gt;$A290),and(not(isblank($A291)),$A291=$A290,$B291&lt;&gt;$B290)),"ID LISTS UNALIGNED",and($A291&lt;&gt;"",countif('5) Release_Track'!$F:$F,$A291)=0),"NO ISRC MATCH in Release_Track",and($B291&lt;&gt;"",countif('5) Release_Track'!$G:$G,$B291)=0),"NO CATALOG ID MATCH in Release_Track",iserror(vlookup($A291&amp;$B291,'5) Release_Track'!$F:$F&amp;'5) Release_Track'!$G:$G,1,0)),"NO ISRC-CATALOG ID pair MATCH in Release_Track" )</f>
        <v/>
      </c>
      <c r="E291" s="99"/>
      <c r="F291" s="99"/>
      <c r="G291" s="123" t="str">
        <f t="array" ref="G291">ifs(or($F291="",$F291="Main Primary Artist"),$F291,not(iserror(vlookup($F291,'Reference info'!$J$5:$J$8,1,0))),"Key Artist",not(iserror(vlookup($F291,'Reference info'!$J$38:$J$405,1,0))),"Performer",not(iserror(vlookup($F291,'Reference info'!$J$10:$J$36,1,0))),"Producer &amp; Engineer")</f>
        <v/>
      </c>
    </row>
    <row r="292">
      <c r="B292" s="103"/>
      <c r="C292" s="121" t="str">
        <f t="array" ref="C292">ifs(and(isblank($A292),isblank($B292)),"", not(iserror(vlookup($A292&amp;$B292,'5) Release_Track'!$F:$F&amp;'5) Release_Track'!$G:$G,1,0))),vlookup($A292&amp;$B292,{'5) Release_Track'!$F:$F&amp;'5) Release_Track'!$G:$G,'5) Release_Track'!$H:$H},2,0), or(and(not(isblank($B292)),$B292=$B291,$A292&lt;&gt;$A291),and(not(isblank($A292)),$A292=$A291,$B292&lt;&gt;$B291)),"ID LISTS UNALIGNED",and($A292&lt;&gt;"",countif('5) Release_Track'!$F:$F,$A292)=0),"NO ISRC MATCH in Release_Track",and($B292&lt;&gt;"",countif('5) Release_Track'!$G:$G,$B292)=0),"NO CATALOG ID MATCH in Release_Track",iserror(vlookup($A292&amp;$B292,'5) Release_Track'!$F:$F&amp;'5) Release_Track'!$G:$G,1,0)),"NO ISRC-CATALOG ID pair MATCH in Release_Track" )</f>
        <v/>
      </c>
      <c r="D292" s="121" t="str">
        <f t="array" ref="D292">ifs(and(isblank($A292),isblank($B292)),"", not(iserror(vlookup($A292&amp;$B292,'5) Release_Track'!$F:$F&amp;'5) Release_Track'!$G:$G,1,0))),vlookup($A292&amp;$B292,{'5) Release_Track'!$F:$F&amp;'5) Release_Track'!$G:$G,'5) Release_Track'!$I:$I},2,0), or(and(not(isblank($B292)),$B292=$B291,$A292&lt;&gt;$A291),and(not(isblank($A292)),$A292=$A291,$B292&lt;&gt;$B291)),"ID LISTS UNALIGNED",and($A292&lt;&gt;"",countif('5) Release_Track'!$F:$F,$A292)=0),"NO ISRC MATCH in Release_Track",and($B292&lt;&gt;"",countif('5) Release_Track'!$G:$G,$B292)=0),"NO CATALOG ID MATCH in Release_Track",iserror(vlookup($A292&amp;$B292,'5) Release_Track'!$F:$F&amp;'5) Release_Track'!$G:$G,1,0)),"NO ISRC-CATALOG ID pair MATCH in Release_Track" )</f>
        <v/>
      </c>
      <c r="E292" s="99"/>
      <c r="F292" s="99"/>
      <c r="G292" s="123" t="str">
        <f t="array" ref="G292">ifs(or($F292="",$F292="Main Primary Artist"),$F292,not(iserror(vlookup($F292,'Reference info'!$J$5:$J$8,1,0))),"Key Artist",not(iserror(vlookup($F292,'Reference info'!$J$38:$J$405,1,0))),"Performer",not(iserror(vlookup($F292,'Reference info'!$J$10:$J$36,1,0))),"Producer &amp; Engineer")</f>
        <v/>
      </c>
    </row>
    <row r="293">
      <c r="B293" s="103"/>
      <c r="C293" s="121" t="str">
        <f t="array" ref="C293">ifs(and(isblank($A293),isblank($B293)),"", not(iserror(vlookup($A293&amp;$B293,'5) Release_Track'!$F:$F&amp;'5) Release_Track'!$G:$G,1,0))),vlookup($A293&amp;$B293,{'5) Release_Track'!$F:$F&amp;'5) Release_Track'!$G:$G,'5) Release_Track'!$H:$H},2,0), or(and(not(isblank($B293)),$B293=$B292,$A293&lt;&gt;$A292),and(not(isblank($A293)),$A293=$A292,$B293&lt;&gt;$B292)),"ID LISTS UNALIGNED",and($A293&lt;&gt;"",countif('5) Release_Track'!$F:$F,$A293)=0),"NO ISRC MATCH in Release_Track",and($B293&lt;&gt;"",countif('5) Release_Track'!$G:$G,$B293)=0),"NO CATALOG ID MATCH in Release_Track",iserror(vlookup($A293&amp;$B293,'5) Release_Track'!$F:$F&amp;'5) Release_Track'!$G:$G,1,0)),"NO ISRC-CATALOG ID pair MATCH in Release_Track" )</f>
        <v/>
      </c>
      <c r="D293" s="121" t="str">
        <f t="array" ref="D293">ifs(and(isblank($A293),isblank($B293)),"", not(iserror(vlookup($A293&amp;$B293,'5) Release_Track'!$F:$F&amp;'5) Release_Track'!$G:$G,1,0))),vlookup($A293&amp;$B293,{'5) Release_Track'!$F:$F&amp;'5) Release_Track'!$G:$G,'5) Release_Track'!$I:$I},2,0), or(and(not(isblank($B293)),$B293=$B292,$A293&lt;&gt;$A292),and(not(isblank($A293)),$A293=$A292,$B293&lt;&gt;$B292)),"ID LISTS UNALIGNED",and($A293&lt;&gt;"",countif('5) Release_Track'!$F:$F,$A293)=0),"NO ISRC MATCH in Release_Track",and($B293&lt;&gt;"",countif('5) Release_Track'!$G:$G,$B293)=0),"NO CATALOG ID MATCH in Release_Track",iserror(vlookup($A293&amp;$B293,'5) Release_Track'!$F:$F&amp;'5) Release_Track'!$G:$G,1,0)),"NO ISRC-CATALOG ID pair MATCH in Release_Track" )</f>
        <v/>
      </c>
      <c r="E293" s="99"/>
      <c r="F293" s="99"/>
      <c r="G293" s="123" t="str">
        <f t="array" ref="G293">ifs(or($F293="",$F293="Main Primary Artist"),$F293,not(iserror(vlookup($F293,'Reference info'!$J$5:$J$8,1,0))),"Key Artist",not(iserror(vlookup($F293,'Reference info'!$J$38:$J$405,1,0))),"Performer",not(iserror(vlookup($F293,'Reference info'!$J$10:$J$36,1,0))),"Producer &amp; Engineer")</f>
        <v/>
      </c>
    </row>
    <row r="294">
      <c r="B294" s="103"/>
      <c r="C294" s="121" t="str">
        <f t="array" ref="C294">ifs(and(isblank($A294),isblank($B294)),"", not(iserror(vlookup($A294&amp;$B294,'5) Release_Track'!$F:$F&amp;'5) Release_Track'!$G:$G,1,0))),vlookup($A294&amp;$B294,{'5) Release_Track'!$F:$F&amp;'5) Release_Track'!$G:$G,'5) Release_Track'!$H:$H},2,0), or(and(not(isblank($B294)),$B294=$B293,$A294&lt;&gt;$A293),and(not(isblank($A294)),$A294=$A293,$B294&lt;&gt;$B293)),"ID LISTS UNALIGNED",and($A294&lt;&gt;"",countif('5) Release_Track'!$F:$F,$A294)=0),"NO ISRC MATCH in Release_Track",and($B294&lt;&gt;"",countif('5) Release_Track'!$G:$G,$B294)=0),"NO CATALOG ID MATCH in Release_Track",iserror(vlookup($A294&amp;$B294,'5) Release_Track'!$F:$F&amp;'5) Release_Track'!$G:$G,1,0)),"NO ISRC-CATALOG ID pair MATCH in Release_Track" )</f>
        <v/>
      </c>
      <c r="D294" s="121" t="str">
        <f t="array" ref="D294">ifs(and(isblank($A294),isblank($B294)),"", not(iserror(vlookup($A294&amp;$B294,'5) Release_Track'!$F:$F&amp;'5) Release_Track'!$G:$G,1,0))),vlookup($A294&amp;$B294,{'5) Release_Track'!$F:$F&amp;'5) Release_Track'!$G:$G,'5) Release_Track'!$I:$I},2,0), or(and(not(isblank($B294)),$B294=$B293,$A294&lt;&gt;$A293),and(not(isblank($A294)),$A294=$A293,$B294&lt;&gt;$B293)),"ID LISTS UNALIGNED",and($A294&lt;&gt;"",countif('5) Release_Track'!$F:$F,$A294)=0),"NO ISRC MATCH in Release_Track",and($B294&lt;&gt;"",countif('5) Release_Track'!$G:$G,$B294)=0),"NO CATALOG ID MATCH in Release_Track",iserror(vlookup($A294&amp;$B294,'5) Release_Track'!$F:$F&amp;'5) Release_Track'!$G:$G,1,0)),"NO ISRC-CATALOG ID pair MATCH in Release_Track" )</f>
        <v/>
      </c>
      <c r="E294" s="99"/>
      <c r="F294" s="99"/>
      <c r="G294" s="123" t="str">
        <f t="array" ref="G294">ifs(or($F294="",$F294="Main Primary Artist"),$F294,not(iserror(vlookup($F294,'Reference info'!$J$5:$J$8,1,0))),"Key Artist",not(iserror(vlookup($F294,'Reference info'!$J$38:$J$405,1,0))),"Performer",not(iserror(vlookup($F294,'Reference info'!$J$10:$J$36,1,0))),"Producer &amp; Engineer")</f>
        <v/>
      </c>
    </row>
    <row r="295">
      <c r="B295" s="103"/>
      <c r="C295" s="121" t="str">
        <f t="array" ref="C295">ifs(and(isblank($A295),isblank($B295)),"", not(iserror(vlookup($A295&amp;$B295,'5) Release_Track'!$F:$F&amp;'5) Release_Track'!$G:$G,1,0))),vlookup($A295&amp;$B295,{'5) Release_Track'!$F:$F&amp;'5) Release_Track'!$G:$G,'5) Release_Track'!$H:$H},2,0), or(and(not(isblank($B295)),$B295=$B294,$A295&lt;&gt;$A294),and(not(isblank($A295)),$A295=$A294,$B295&lt;&gt;$B294)),"ID LISTS UNALIGNED",and($A295&lt;&gt;"",countif('5) Release_Track'!$F:$F,$A295)=0),"NO ISRC MATCH in Release_Track",and($B295&lt;&gt;"",countif('5) Release_Track'!$G:$G,$B295)=0),"NO CATALOG ID MATCH in Release_Track",iserror(vlookup($A295&amp;$B295,'5) Release_Track'!$F:$F&amp;'5) Release_Track'!$G:$G,1,0)),"NO ISRC-CATALOG ID pair MATCH in Release_Track" )</f>
        <v/>
      </c>
      <c r="D295" s="121" t="str">
        <f t="array" ref="D295">ifs(and(isblank($A295),isblank($B295)),"", not(iserror(vlookup($A295&amp;$B295,'5) Release_Track'!$F:$F&amp;'5) Release_Track'!$G:$G,1,0))),vlookup($A295&amp;$B295,{'5) Release_Track'!$F:$F&amp;'5) Release_Track'!$G:$G,'5) Release_Track'!$I:$I},2,0), or(and(not(isblank($B295)),$B295=$B294,$A295&lt;&gt;$A294),and(not(isblank($A295)),$A295=$A294,$B295&lt;&gt;$B294)),"ID LISTS UNALIGNED",and($A295&lt;&gt;"",countif('5) Release_Track'!$F:$F,$A295)=0),"NO ISRC MATCH in Release_Track",and($B295&lt;&gt;"",countif('5) Release_Track'!$G:$G,$B295)=0),"NO CATALOG ID MATCH in Release_Track",iserror(vlookup($A295&amp;$B295,'5) Release_Track'!$F:$F&amp;'5) Release_Track'!$G:$G,1,0)),"NO ISRC-CATALOG ID pair MATCH in Release_Track" )</f>
        <v/>
      </c>
      <c r="E295" s="99"/>
      <c r="F295" s="99"/>
      <c r="G295" s="123" t="str">
        <f t="array" ref="G295">ifs(or($F295="",$F295="Main Primary Artist"),$F295,not(iserror(vlookup($F295,'Reference info'!$J$5:$J$8,1,0))),"Key Artist",not(iserror(vlookup($F295,'Reference info'!$J$38:$J$405,1,0))),"Performer",not(iserror(vlookup($F295,'Reference info'!$J$10:$J$36,1,0))),"Producer &amp; Engineer")</f>
        <v/>
      </c>
    </row>
    <row r="296">
      <c r="B296" s="103"/>
      <c r="C296" s="121" t="str">
        <f t="array" ref="C296">ifs(and(isblank($A296),isblank($B296)),"", not(iserror(vlookup($A296&amp;$B296,'5) Release_Track'!$F:$F&amp;'5) Release_Track'!$G:$G,1,0))),vlookup($A296&amp;$B296,{'5) Release_Track'!$F:$F&amp;'5) Release_Track'!$G:$G,'5) Release_Track'!$H:$H},2,0), or(and(not(isblank($B296)),$B296=$B295,$A296&lt;&gt;$A295),and(not(isblank($A296)),$A296=$A295,$B296&lt;&gt;$B295)),"ID LISTS UNALIGNED",and($A296&lt;&gt;"",countif('5) Release_Track'!$F:$F,$A296)=0),"NO ISRC MATCH in Release_Track",and($B296&lt;&gt;"",countif('5) Release_Track'!$G:$G,$B296)=0),"NO CATALOG ID MATCH in Release_Track",iserror(vlookup($A296&amp;$B296,'5) Release_Track'!$F:$F&amp;'5) Release_Track'!$G:$G,1,0)),"NO ISRC-CATALOG ID pair MATCH in Release_Track" )</f>
        <v/>
      </c>
      <c r="D296" s="121" t="str">
        <f t="array" ref="D296">ifs(and(isblank($A296),isblank($B296)),"", not(iserror(vlookup($A296&amp;$B296,'5) Release_Track'!$F:$F&amp;'5) Release_Track'!$G:$G,1,0))),vlookup($A296&amp;$B296,{'5) Release_Track'!$F:$F&amp;'5) Release_Track'!$G:$G,'5) Release_Track'!$I:$I},2,0), or(and(not(isblank($B296)),$B296=$B295,$A296&lt;&gt;$A295),and(not(isblank($A296)),$A296=$A295,$B296&lt;&gt;$B295)),"ID LISTS UNALIGNED",and($A296&lt;&gt;"",countif('5) Release_Track'!$F:$F,$A296)=0),"NO ISRC MATCH in Release_Track",and($B296&lt;&gt;"",countif('5) Release_Track'!$G:$G,$B296)=0),"NO CATALOG ID MATCH in Release_Track",iserror(vlookup($A296&amp;$B296,'5) Release_Track'!$F:$F&amp;'5) Release_Track'!$G:$G,1,0)),"NO ISRC-CATALOG ID pair MATCH in Release_Track" )</f>
        <v/>
      </c>
      <c r="E296" s="99"/>
      <c r="F296" s="99"/>
      <c r="G296" s="123" t="str">
        <f t="array" ref="G296">ifs(or($F296="",$F296="Main Primary Artist"),$F296,not(iserror(vlookup($F296,'Reference info'!$J$5:$J$8,1,0))),"Key Artist",not(iserror(vlookup($F296,'Reference info'!$J$38:$J$405,1,0))),"Performer",not(iserror(vlookup($F296,'Reference info'!$J$10:$J$36,1,0))),"Producer &amp; Engineer")</f>
        <v/>
      </c>
    </row>
    <row r="297">
      <c r="B297" s="103"/>
      <c r="C297" s="121" t="str">
        <f t="array" ref="C297">ifs(and(isblank($A297),isblank($B297)),"", not(iserror(vlookup($A297&amp;$B297,'5) Release_Track'!$F:$F&amp;'5) Release_Track'!$G:$G,1,0))),vlookup($A297&amp;$B297,{'5) Release_Track'!$F:$F&amp;'5) Release_Track'!$G:$G,'5) Release_Track'!$H:$H},2,0), or(and(not(isblank($B297)),$B297=$B296,$A297&lt;&gt;$A296),and(not(isblank($A297)),$A297=$A296,$B297&lt;&gt;$B296)),"ID LISTS UNALIGNED",and($A297&lt;&gt;"",countif('5) Release_Track'!$F:$F,$A297)=0),"NO ISRC MATCH in Release_Track",and($B297&lt;&gt;"",countif('5) Release_Track'!$G:$G,$B297)=0),"NO CATALOG ID MATCH in Release_Track",iserror(vlookup($A297&amp;$B297,'5) Release_Track'!$F:$F&amp;'5) Release_Track'!$G:$G,1,0)),"NO ISRC-CATALOG ID pair MATCH in Release_Track" )</f>
        <v/>
      </c>
      <c r="D297" s="121" t="str">
        <f t="array" ref="D297">ifs(and(isblank($A297),isblank($B297)),"", not(iserror(vlookup($A297&amp;$B297,'5) Release_Track'!$F:$F&amp;'5) Release_Track'!$G:$G,1,0))),vlookup($A297&amp;$B297,{'5) Release_Track'!$F:$F&amp;'5) Release_Track'!$G:$G,'5) Release_Track'!$I:$I},2,0), or(and(not(isblank($B297)),$B297=$B296,$A297&lt;&gt;$A296),and(not(isblank($A297)),$A297=$A296,$B297&lt;&gt;$B296)),"ID LISTS UNALIGNED",and($A297&lt;&gt;"",countif('5) Release_Track'!$F:$F,$A297)=0),"NO ISRC MATCH in Release_Track",and($B297&lt;&gt;"",countif('5) Release_Track'!$G:$G,$B297)=0),"NO CATALOG ID MATCH in Release_Track",iserror(vlookup($A297&amp;$B297,'5) Release_Track'!$F:$F&amp;'5) Release_Track'!$G:$G,1,0)),"NO ISRC-CATALOG ID pair MATCH in Release_Track" )</f>
        <v/>
      </c>
      <c r="E297" s="99"/>
      <c r="F297" s="99"/>
      <c r="G297" s="123" t="str">
        <f t="array" ref="G297">ifs(or($F297="",$F297="Main Primary Artist"),$F297,not(iserror(vlookup($F297,'Reference info'!$J$5:$J$8,1,0))),"Key Artist",not(iserror(vlookup($F297,'Reference info'!$J$38:$J$405,1,0))),"Performer",not(iserror(vlookup($F297,'Reference info'!$J$10:$J$36,1,0))),"Producer &amp; Engineer")</f>
        <v/>
      </c>
    </row>
    <row r="298">
      <c r="B298" s="103"/>
      <c r="C298" s="121" t="str">
        <f t="array" ref="C298">ifs(and(isblank($A298),isblank($B298)),"", not(iserror(vlookup($A298&amp;$B298,'5) Release_Track'!$F:$F&amp;'5) Release_Track'!$G:$G,1,0))),vlookup($A298&amp;$B298,{'5) Release_Track'!$F:$F&amp;'5) Release_Track'!$G:$G,'5) Release_Track'!$H:$H},2,0), or(and(not(isblank($B298)),$B298=$B297,$A298&lt;&gt;$A297),and(not(isblank($A298)),$A298=$A297,$B298&lt;&gt;$B297)),"ID LISTS UNALIGNED",and($A298&lt;&gt;"",countif('5) Release_Track'!$F:$F,$A298)=0),"NO ISRC MATCH in Release_Track",and($B298&lt;&gt;"",countif('5) Release_Track'!$G:$G,$B298)=0),"NO CATALOG ID MATCH in Release_Track",iserror(vlookup($A298&amp;$B298,'5) Release_Track'!$F:$F&amp;'5) Release_Track'!$G:$G,1,0)),"NO ISRC-CATALOG ID pair MATCH in Release_Track" )</f>
        <v/>
      </c>
      <c r="D298" s="121" t="str">
        <f t="array" ref="D298">ifs(and(isblank($A298),isblank($B298)),"", not(iserror(vlookup($A298&amp;$B298,'5) Release_Track'!$F:$F&amp;'5) Release_Track'!$G:$G,1,0))),vlookup($A298&amp;$B298,{'5) Release_Track'!$F:$F&amp;'5) Release_Track'!$G:$G,'5) Release_Track'!$I:$I},2,0), or(and(not(isblank($B298)),$B298=$B297,$A298&lt;&gt;$A297),and(not(isblank($A298)),$A298=$A297,$B298&lt;&gt;$B297)),"ID LISTS UNALIGNED",and($A298&lt;&gt;"",countif('5) Release_Track'!$F:$F,$A298)=0),"NO ISRC MATCH in Release_Track",and($B298&lt;&gt;"",countif('5) Release_Track'!$G:$G,$B298)=0),"NO CATALOG ID MATCH in Release_Track",iserror(vlookup($A298&amp;$B298,'5) Release_Track'!$F:$F&amp;'5) Release_Track'!$G:$G,1,0)),"NO ISRC-CATALOG ID pair MATCH in Release_Track" )</f>
        <v/>
      </c>
      <c r="E298" s="99"/>
      <c r="F298" s="99"/>
      <c r="G298" s="123" t="str">
        <f t="array" ref="G298">ifs(or($F298="",$F298="Main Primary Artist"),$F298,not(iserror(vlookup($F298,'Reference info'!$J$5:$J$8,1,0))),"Key Artist",not(iserror(vlookup($F298,'Reference info'!$J$38:$J$405,1,0))),"Performer",not(iserror(vlookup($F298,'Reference info'!$J$10:$J$36,1,0))),"Producer &amp; Engineer")</f>
        <v/>
      </c>
    </row>
    <row r="299">
      <c r="B299" s="103"/>
      <c r="C299" s="121" t="str">
        <f t="array" ref="C299">ifs(and(isblank($A299),isblank($B299)),"", not(iserror(vlookup($A299&amp;$B299,'5) Release_Track'!$F:$F&amp;'5) Release_Track'!$G:$G,1,0))),vlookup($A299&amp;$B299,{'5) Release_Track'!$F:$F&amp;'5) Release_Track'!$G:$G,'5) Release_Track'!$H:$H},2,0), or(and(not(isblank($B299)),$B299=$B298,$A299&lt;&gt;$A298),and(not(isblank($A299)),$A299=$A298,$B299&lt;&gt;$B298)),"ID LISTS UNALIGNED",and($A299&lt;&gt;"",countif('5) Release_Track'!$F:$F,$A299)=0),"NO ISRC MATCH in Release_Track",and($B299&lt;&gt;"",countif('5) Release_Track'!$G:$G,$B299)=0),"NO CATALOG ID MATCH in Release_Track",iserror(vlookup($A299&amp;$B299,'5) Release_Track'!$F:$F&amp;'5) Release_Track'!$G:$G,1,0)),"NO ISRC-CATALOG ID pair MATCH in Release_Track" )</f>
        <v/>
      </c>
      <c r="D299" s="121" t="str">
        <f t="array" ref="D299">ifs(and(isblank($A299),isblank($B299)),"", not(iserror(vlookup($A299&amp;$B299,'5) Release_Track'!$F:$F&amp;'5) Release_Track'!$G:$G,1,0))),vlookup($A299&amp;$B299,{'5) Release_Track'!$F:$F&amp;'5) Release_Track'!$G:$G,'5) Release_Track'!$I:$I},2,0), or(and(not(isblank($B299)),$B299=$B298,$A299&lt;&gt;$A298),and(not(isblank($A299)),$A299=$A298,$B299&lt;&gt;$B298)),"ID LISTS UNALIGNED",and($A299&lt;&gt;"",countif('5) Release_Track'!$F:$F,$A299)=0),"NO ISRC MATCH in Release_Track",and($B299&lt;&gt;"",countif('5) Release_Track'!$G:$G,$B299)=0),"NO CATALOG ID MATCH in Release_Track",iserror(vlookup($A299&amp;$B299,'5) Release_Track'!$F:$F&amp;'5) Release_Track'!$G:$G,1,0)),"NO ISRC-CATALOG ID pair MATCH in Release_Track" )</f>
        <v/>
      </c>
      <c r="E299" s="99"/>
      <c r="F299" s="99"/>
      <c r="G299" s="123" t="str">
        <f t="array" ref="G299">ifs(or($F299="",$F299="Main Primary Artist"),$F299,not(iserror(vlookup($F299,'Reference info'!$J$5:$J$8,1,0))),"Key Artist",not(iserror(vlookup($F299,'Reference info'!$J$38:$J$405,1,0))),"Performer",not(iserror(vlookup($F299,'Reference info'!$J$10:$J$36,1,0))),"Producer &amp; Engineer")</f>
        <v/>
      </c>
    </row>
    <row r="300">
      <c r="B300" s="103"/>
      <c r="C300" s="121" t="str">
        <f t="array" ref="C300">ifs(and(isblank($A300),isblank($B300)),"", not(iserror(vlookup($A300&amp;$B300,'5) Release_Track'!$F:$F&amp;'5) Release_Track'!$G:$G,1,0))),vlookup($A300&amp;$B300,{'5) Release_Track'!$F:$F&amp;'5) Release_Track'!$G:$G,'5) Release_Track'!$H:$H},2,0), or(and(not(isblank($B300)),$B300=$B299,$A300&lt;&gt;$A299),and(not(isblank($A300)),$A300=$A299,$B300&lt;&gt;$B299)),"ID LISTS UNALIGNED",and($A300&lt;&gt;"",countif('5) Release_Track'!$F:$F,$A300)=0),"NO ISRC MATCH in Release_Track",and($B300&lt;&gt;"",countif('5) Release_Track'!$G:$G,$B300)=0),"NO CATALOG ID MATCH in Release_Track",iserror(vlookup($A300&amp;$B300,'5) Release_Track'!$F:$F&amp;'5) Release_Track'!$G:$G,1,0)),"NO ISRC-CATALOG ID pair MATCH in Release_Track" )</f>
        <v/>
      </c>
      <c r="D300" s="121" t="str">
        <f t="array" ref="D300">ifs(and(isblank($A300),isblank($B300)),"", not(iserror(vlookup($A300&amp;$B300,'5) Release_Track'!$F:$F&amp;'5) Release_Track'!$G:$G,1,0))),vlookup($A300&amp;$B300,{'5) Release_Track'!$F:$F&amp;'5) Release_Track'!$G:$G,'5) Release_Track'!$I:$I},2,0), or(and(not(isblank($B300)),$B300=$B299,$A300&lt;&gt;$A299),and(not(isblank($A300)),$A300=$A299,$B300&lt;&gt;$B299)),"ID LISTS UNALIGNED",and($A300&lt;&gt;"",countif('5) Release_Track'!$F:$F,$A300)=0),"NO ISRC MATCH in Release_Track",and($B300&lt;&gt;"",countif('5) Release_Track'!$G:$G,$B300)=0),"NO CATALOG ID MATCH in Release_Track",iserror(vlookup($A300&amp;$B300,'5) Release_Track'!$F:$F&amp;'5) Release_Track'!$G:$G,1,0)),"NO ISRC-CATALOG ID pair MATCH in Release_Track" )</f>
        <v/>
      </c>
      <c r="E300" s="99"/>
      <c r="F300" s="99"/>
      <c r="G300" s="123" t="str">
        <f t="array" ref="G300">ifs(or($F300="",$F300="Main Primary Artist"),$F300,not(iserror(vlookup($F300,'Reference info'!$J$5:$J$8,1,0))),"Key Artist",not(iserror(vlookup($F300,'Reference info'!$J$38:$J$405,1,0))),"Performer",not(iserror(vlookup($F300,'Reference info'!$J$10:$J$36,1,0))),"Producer &amp; Engineer")</f>
        <v/>
      </c>
    </row>
    <row r="301">
      <c r="B301" s="103"/>
      <c r="C301" s="121" t="str">
        <f t="array" ref="C301">ifs(and(isblank($A301),isblank($B301)),"", not(iserror(vlookup($A301&amp;$B301,'5) Release_Track'!$F:$F&amp;'5) Release_Track'!$G:$G,1,0))),vlookup($A301&amp;$B301,{'5) Release_Track'!$F:$F&amp;'5) Release_Track'!$G:$G,'5) Release_Track'!$H:$H},2,0), or(and(not(isblank($B301)),$B301=$B300,$A301&lt;&gt;$A300),and(not(isblank($A301)),$A301=$A300,$B301&lt;&gt;$B300)),"ID LISTS UNALIGNED",and($A301&lt;&gt;"",countif('5) Release_Track'!$F:$F,$A301)=0),"NO ISRC MATCH in Release_Track",and($B301&lt;&gt;"",countif('5) Release_Track'!$G:$G,$B301)=0),"NO CATALOG ID MATCH in Release_Track",iserror(vlookup($A301&amp;$B301,'5) Release_Track'!$F:$F&amp;'5) Release_Track'!$G:$G,1,0)),"NO ISRC-CATALOG ID pair MATCH in Release_Track" )</f>
        <v/>
      </c>
      <c r="D301" s="121" t="str">
        <f t="array" ref="D301">ifs(and(isblank($A301),isblank($B301)),"", not(iserror(vlookup($A301&amp;$B301,'5) Release_Track'!$F:$F&amp;'5) Release_Track'!$G:$G,1,0))),vlookup($A301&amp;$B301,{'5) Release_Track'!$F:$F&amp;'5) Release_Track'!$G:$G,'5) Release_Track'!$I:$I},2,0), or(and(not(isblank($B301)),$B301=$B300,$A301&lt;&gt;$A300),and(not(isblank($A301)),$A301=$A300,$B301&lt;&gt;$B300)),"ID LISTS UNALIGNED",and($A301&lt;&gt;"",countif('5) Release_Track'!$F:$F,$A301)=0),"NO ISRC MATCH in Release_Track",and($B301&lt;&gt;"",countif('5) Release_Track'!$G:$G,$B301)=0),"NO CATALOG ID MATCH in Release_Track",iserror(vlookup($A301&amp;$B301,'5) Release_Track'!$F:$F&amp;'5) Release_Track'!$G:$G,1,0)),"NO ISRC-CATALOG ID pair MATCH in Release_Track" )</f>
        <v/>
      </c>
      <c r="E301" s="99"/>
      <c r="F301" s="99"/>
      <c r="G301" s="123" t="str">
        <f t="array" ref="G301">ifs(or($F301="",$F301="Main Primary Artist"),$F301,not(iserror(vlookup($F301,'Reference info'!$J$5:$J$8,1,0))),"Key Artist",not(iserror(vlookup($F301,'Reference info'!$J$38:$J$405,1,0))),"Performer",not(iserror(vlookup($F301,'Reference info'!$J$10:$J$36,1,0))),"Producer &amp; Engineer")</f>
        <v/>
      </c>
    </row>
    <row r="302">
      <c r="B302" s="103"/>
      <c r="C302" s="121" t="str">
        <f t="array" ref="C302">ifs(and(isblank($A302),isblank($B302)),"", not(iserror(vlookup($A302&amp;$B302,'5) Release_Track'!$F:$F&amp;'5) Release_Track'!$G:$G,1,0))),vlookup($A302&amp;$B302,{'5) Release_Track'!$F:$F&amp;'5) Release_Track'!$G:$G,'5) Release_Track'!$H:$H},2,0), or(and(not(isblank($B302)),$B302=$B301,$A302&lt;&gt;$A301),and(not(isblank($A302)),$A302=$A301,$B302&lt;&gt;$B301)),"ID LISTS UNALIGNED",and($A302&lt;&gt;"",countif('5) Release_Track'!$F:$F,$A302)=0),"NO ISRC MATCH in Release_Track",and($B302&lt;&gt;"",countif('5) Release_Track'!$G:$G,$B302)=0),"NO CATALOG ID MATCH in Release_Track",iserror(vlookup($A302&amp;$B302,'5) Release_Track'!$F:$F&amp;'5) Release_Track'!$G:$G,1,0)),"NO ISRC-CATALOG ID pair MATCH in Release_Track" )</f>
        <v/>
      </c>
      <c r="D302" s="121" t="str">
        <f t="array" ref="D302">ifs(and(isblank($A302),isblank($B302)),"", not(iserror(vlookup($A302&amp;$B302,'5) Release_Track'!$F:$F&amp;'5) Release_Track'!$G:$G,1,0))),vlookup($A302&amp;$B302,{'5) Release_Track'!$F:$F&amp;'5) Release_Track'!$G:$G,'5) Release_Track'!$I:$I},2,0), or(and(not(isblank($B302)),$B302=$B301,$A302&lt;&gt;$A301),and(not(isblank($A302)),$A302=$A301,$B302&lt;&gt;$B301)),"ID LISTS UNALIGNED",and($A302&lt;&gt;"",countif('5) Release_Track'!$F:$F,$A302)=0),"NO ISRC MATCH in Release_Track",and($B302&lt;&gt;"",countif('5) Release_Track'!$G:$G,$B302)=0),"NO CATALOG ID MATCH in Release_Track",iserror(vlookup($A302&amp;$B302,'5) Release_Track'!$F:$F&amp;'5) Release_Track'!$G:$G,1,0)),"NO ISRC-CATALOG ID pair MATCH in Release_Track" )</f>
        <v/>
      </c>
      <c r="E302" s="99"/>
      <c r="F302" s="99"/>
      <c r="G302" s="123" t="str">
        <f t="array" ref="G302">ifs(or($F302="",$F302="Main Primary Artist"),$F302,not(iserror(vlookup($F302,'Reference info'!$J$5:$J$8,1,0))),"Key Artist",not(iserror(vlookup($F302,'Reference info'!$J$38:$J$405,1,0))),"Performer",not(iserror(vlookup($F302,'Reference info'!$J$10:$J$36,1,0))),"Producer &amp; Engineer")</f>
        <v/>
      </c>
    </row>
    <row r="303">
      <c r="B303" s="103"/>
      <c r="C303" s="121" t="str">
        <f t="array" ref="C303">ifs(and(isblank($A303),isblank($B303)),"", not(iserror(vlookup($A303&amp;$B303,'5) Release_Track'!$F:$F&amp;'5) Release_Track'!$G:$G,1,0))),vlookup($A303&amp;$B303,{'5) Release_Track'!$F:$F&amp;'5) Release_Track'!$G:$G,'5) Release_Track'!$H:$H},2,0), or(and(not(isblank($B303)),$B303=$B302,$A303&lt;&gt;$A302),and(not(isblank($A303)),$A303=$A302,$B303&lt;&gt;$B302)),"ID LISTS UNALIGNED",and($A303&lt;&gt;"",countif('5) Release_Track'!$F:$F,$A303)=0),"NO ISRC MATCH in Release_Track",and($B303&lt;&gt;"",countif('5) Release_Track'!$G:$G,$B303)=0),"NO CATALOG ID MATCH in Release_Track",iserror(vlookup($A303&amp;$B303,'5) Release_Track'!$F:$F&amp;'5) Release_Track'!$G:$G,1,0)),"NO ISRC-CATALOG ID pair MATCH in Release_Track" )</f>
        <v/>
      </c>
      <c r="D303" s="121" t="str">
        <f t="array" ref="D303">ifs(and(isblank($A303),isblank($B303)),"", not(iserror(vlookup($A303&amp;$B303,'5) Release_Track'!$F:$F&amp;'5) Release_Track'!$G:$G,1,0))),vlookup($A303&amp;$B303,{'5) Release_Track'!$F:$F&amp;'5) Release_Track'!$G:$G,'5) Release_Track'!$I:$I},2,0), or(and(not(isblank($B303)),$B303=$B302,$A303&lt;&gt;$A302),and(not(isblank($A303)),$A303=$A302,$B303&lt;&gt;$B302)),"ID LISTS UNALIGNED",and($A303&lt;&gt;"",countif('5) Release_Track'!$F:$F,$A303)=0),"NO ISRC MATCH in Release_Track",and($B303&lt;&gt;"",countif('5) Release_Track'!$G:$G,$B303)=0),"NO CATALOG ID MATCH in Release_Track",iserror(vlookup($A303&amp;$B303,'5) Release_Track'!$F:$F&amp;'5) Release_Track'!$G:$G,1,0)),"NO ISRC-CATALOG ID pair MATCH in Release_Track" )</f>
        <v/>
      </c>
      <c r="E303" s="99"/>
      <c r="F303" s="99"/>
      <c r="G303" s="123" t="str">
        <f t="array" ref="G303">ifs(or($F303="",$F303="Main Primary Artist"),$F303,not(iserror(vlookup($F303,'Reference info'!$J$5:$J$8,1,0))),"Key Artist",not(iserror(vlookup($F303,'Reference info'!$J$38:$J$405,1,0))),"Performer",not(iserror(vlookup($F303,'Reference info'!$J$10:$J$36,1,0))),"Producer &amp; Engineer")</f>
        <v/>
      </c>
    </row>
    <row r="304">
      <c r="B304" s="103"/>
      <c r="C304" s="121" t="str">
        <f t="array" ref="C304">ifs(and(isblank($A304),isblank($B304)),"", not(iserror(vlookup($A304&amp;$B304,'5) Release_Track'!$F:$F&amp;'5) Release_Track'!$G:$G,1,0))),vlookup($A304&amp;$B304,{'5) Release_Track'!$F:$F&amp;'5) Release_Track'!$G:$G,'5) Release_Track'!$H:$H},2,0), or(and(not(isblank($B304)),$B304=$B303,$A304&lt;&gt;$A303),and(not(isblank($A304)),$A304=$A303,$B304&lt;&gt;$B303)),"ID LISTS UNALIGNED",and($A304&lt;&gt;"",countif('5) Release_Track'!$F:$F,$A304)=0),"NO ISRC MATCH in Release_Track",and($B304&lt;&gt;"",countif('5) Release_Track'!$G:$G,$B304)=0),"NO CATALOG ID MATCH in Release_Track",iserror(vlookup($A304&amp;$B304,'5) Release_Track'!$F:$F&amp;'5) Release_Track'!$G:$G,1,0)),"NO ISRC-CATALOG ID pair MATCH in Release_Track" )</f>
        <v/>
      </c>
      <c r="D304" s="121" t="str">
        <f t="array" ref="D304">ifs(and(isblank($A304),isblank($B304)),"", not(iserror(vlookup($A304&amp;$B304,'5) Release_Track'!$F:$F&amp;'5) Release_Track'!$G:$G,1,0))),vlookup($A304&amp;$B304,{'5) Release_Track'!$F:$F&amp;'5) Release_Track'!$G:$G,'5) Release_Track'!$I:$I},2,0), or(and(not(isblank($B304)),$B304=$B303,$A304&lt;&gt;$A303),and(not(isblank($A304)),$A304=$A303,$B304&lt;&gt;$B303)),"ID LISTS UNALIGNED",and($A304&lt;&gt;"",countif('5) Release_Track'!$F:$F,$A304)=0),"NO ISRC MATCH in Release_Track",and($B304&lt;&gt;"",countif('5) Release_Track'!$G:$G,$B304)=0),"NO CATALOG ID MATCH in Release_Track",iserror(vlookup($A304&amp;$B304,'5) Release_Track'!$F:$F&amp;'5) Release_Track'!$G:$G,1,0)),"NO ISRC-CATALOG ID pair MATCH in Release_Track" )</f>
        <v/>
      </c>
      <c r="E304" s="99"/>
      <c r="F304" s="99"/>
      <c r="G304" s="123" t="str">
        <f t="array" ref="G304">ifs(or($F304="",$F304="Main Primary Artist"),$F304,not(iserror(vlookup($F304,'Reference info'!$J$5:$J$8,1,0))),"Key Artist",not(iserror(vlookup($F304,'Reference info'!$J$38:$J$405,1,0))),"Performer",not(iserror(vlookup($F304,'Reference info'!$J$10:$J$36,1,0))),"Producer &amp; Engineer")</f>
        <v/>
      </c>
    </row>
    <row r="305">
      <c r="B305" s="103"/>
      <c r="C305" s="121" t="str">
        <f t="array" ref="C305">ifs(and(isblank($A305),isblank($B305)),"", not(iserror(vlookup($A305&amp;$B305,'5) Release_Track'!$F:$F&amp;'5) Release_Track'!$G:$G,1,0))),vlookup($A305&amp;$B305,{'5) Release_Track'!$F:$F&amp;'5) Release_Track'!$G:$G,'5) Release_Track'!$H:$H},2,0), or(and(not(isblank($B305)),$B305=$B304,$A305&lt;&gt;$A304),and(not(isblank($A305)),$A305=$A304,$B305&lt;&gt;$B304)),"ID LISTS UNALIGNED",and($A305&lt;&gt;"",countif('5) Release_Track'!$F:$F,$A305)=0),"NO ISRC MATCH in Release_Track",and($B305&lt;&gt;"",countif('5) Release_Track'!$G:$G,$B305)=0),"NO CATALOG ID MATCH in Release_Track",iserror(vlookup($A305&amp;$B305,'5) Release_Track'!$F:$F&amp;'5) Release_Track'!$G:$G,1,0)),"NO ISRC-CATALOG ID pair MATCH in Release_Track" )</f>
        <v/>
      </c>
      <c r="D305" s="121" t="str">
        <f t="array" ref="D305">ifs(and(isblank($A305),isblank($B305)),"", not(iserror(vlookup($A305&amp;$B305,'5) Release_Track'!$F:$F&amp;'5) Release_Track'!$G:$G,1,0))),vlookup($A305&amp;$B305,{'5) Release_Track'!$F:$F&amp;'5) Release_Track'!$G:$G,'5) Release_Track'!$I:$I},2,0), or(and(not(isblank($B305)),$B305=$B304,$A305&lt;&gt;$A304),and(not(isblank($A305)),$A305=$A304,$B305&lt;&gt;$B304)),"ID LISTS UNALIGNED",and($A305&lt;&gt;"",countif('5) Release_Track'!$F:$F,$A305)=0),"NO ISRC MATCH in Release_Track",and($B305&lt;&gt;"",countif('5) Release_Track'!$G:$G,$B305)=0),"NO CATALOG ID MATCH in Release_Track",iserror(vlookup($A305&amp;$B305,'5) Release_Track'!$F:$F&amp;'5) Release_Track'!$G:$G,1,0)),"NO ISRC-CATALOG ID pair MATCH in Release_Track" )</f>
        <v/>
      </c>
      <c r="E305" s="99"/>
      <c r="F305" s="99"/>
      <c r="G305" s="123" t="str">
        <f t="array" ref="G305">ifs(or($F305="",$F305="Main Primary Artist"),$F305,not(iserror(vlookup($F305,'Reference info'!$J$5:$J$8,1,0))),"Key Artist",not(iserror(vlookup($F305,'Reference info'!$J$38:$J$405,1,0))),"Performer",not(iserror(vlookup($F305,'Reference info'!$J$10:$J$36,1,0))),"Producer &amp; Engineer")</f>
        <v/>
      </c>
    </row>
    <row r="306">
      <c r="B306" s="103"/>
      <c r="C306" s="121" t="str">
        <f t="array" ref="C306">ifs(and(isblank($A306),isblank($B306)),"", not(iserror(vlookup($A306&amp;$B306,'5) Release_Track'!$F:$F&amp;'5) Release_Track'!$G:$G,1,0))),vlookup($A306&amp;$B306,{'5) Release_Track'!$F:$F&amp;'5) Release_Track'!$G:$G,'5) Release_Track'!$H:$H},2,0), or(and(not(isblank($B306)),$B306=$B305,$A306&lt;&gt;$A305),and(not(isblank($A306)),$A306=$A305,$B306&lt;&gt;$B305)),"ID LISTS UNALIGNED",and($A306&lt;&gt;"",countif('5) Release_Track'!$F:$F,$A306)=0),"NO ISRC MATCH in Release_Track",and($B306&lt;&gt;"",countif('5) Release_Track'!$G:$G,$B306)=0),"NO CATALOG ID MATCH in Release_Track",iserror(vlookup($A306&amp;$B306,'5) Release_Track'!$F:$F&amp;'5) Release_Track'!$G:$G,1,0)),"NO ISRC-CATALOG ID pair MATCH in Release_Track" )</f>
        <v/>
      </c>
      <c r="D306" s="121" t="str">
        <f t="array" ref="D306">ifs(and(isblank($A306),isblank($B306)),"", not(iserror(vlookup($A306&amp;$B306,'5) Release_Track'!$F:$F&amp;'5) Release_Track'!$G:$G,1,0))),vlookup($A306&amp;$B306,{'5) Release_Track'!$F:$F&amp;'5) Release_Track'!$G:$G,'5) Release_Track'!$I:$I},2,0), or(and(not(isblank($B306)),$B306=$B305,$A306&lt;&gt;$A305),and(not(isblank($A306)),$A306=$A305,$B306&lt;&gt;$B305)),"ID LISTS UNALIGNED",and($A306&lt;&gt;"",countif('5) Release_Track'!$F:$F,$A306)=0),"NO ISRC MATCH in Release_Track",and($B306&lt;&gt;"",countif('5) Release_Track'!$G:$G,$B306)=0),"NO CATALOG ID MATCH in Release_Track",iserror(vlookup($A306&amp;$B306,'5) Release_Track'!$F:$F&amp;'5) Release_Track'!$G:$G,1,0)),"NO ISRC-CATALOG ID pair MATCH in Release_Track" )</f>
        <v/>
      </c>
      <c r="E306" s="99"/>
      <c r="F306" s="99"/>
      <c r="G306" s="123" t="str">
        <f t="array" ref="G306">ifs(or($F306="",$F306="Main Primary Artist"),$F306,not(iserror(vlookup($F306,'Reference info'!$J$5:$J$8,1,0))),"Key Artist",not(iserror(vlookup($F306,'Reference info'!$J$38:$J$405,1,0))),"Performer",not(iserror(vlookup($F306,'Reference info'!$J$10:$J$36,1,0))),"Producer &amp; Engineer")</f>
        <v/>
      </c>
    </row>
    <row r="307">
      <c r="B307" s="103"/>
      <c r="C307" s="121" t="str">
        <f t="array" ref="C307">ifs(and(isblank($A307),isblank($B307)),"", not(iserror(vlookup($A307&amp;$B307,'5) Release_Track'!$F:$F&amp;'5) Release_Track'!$G:$G,1,0))),vlookup($A307&amp;$B307,{'5) Release_Track'!$F:$F&amp;'5) Release_Track'!$G:$G,'5) Release_Track'!$H:$H},2,0), or(and(not(isblank($B307)),$B307=$B306,$A307&lt;&gt;$A306),and(not(isblank($A307)),$A307=$A306,$B307&lt;&gt;$B306)),"ID LISTS UNALIGNED",and($A307&lt;&gt;"",countif('5) Release_Track'!$F:$F,$A307)=0),"NO ISRC MATCH in Release_Track",and($B307&lt;&gt;"",countif('5) Release_Track'!$G:$G,$B307)=0),"NO CATALOG ID MATCH in Release_Track",iserror(vlookup($A307&amp;$B307,'5) Release_Track'!$F:$F&amp;'5) Release_Track'!$G:$G,1,0)),"NO ISRC-CATALOG ID pair MATCH in Release_Track" )</f>
        <v/>
      </c>
      <c r="D307" s="121" t="str">
        <f t="array" ref="D307">ifs(and(isblank($A307),isblank($B307)),"", not(iserror(vlookup($A307&amp;$B307,'5) Release_Track'!$F:$F&amp;'5) Release_Track'!$G:$G,1,0))),vlookup($A307&amp;$B307,{'5) Release_Track'!$F:$F&amp;'5) Release_Track'!$G:$G,'5) Release_Track'!$I:$I},2,0), or(and(not(isblank($B307)),$B307=$B306,$A307&lt;&gt;$A306),and(not(isblank($A307)),$A307=$A306,$B307&lt;&gt;$B306)),"ID LISTS UNALIGNED",and($A307&lt;&gt;"",countif('5) Release_Track'!$F:$F,$A307)=0),"NO ISRC MATCH in Release_Track",and($B307&lt;&gt;"",countif('5) Release_Track'!$G:$G,$B307)=0),"NO CATALOG ID MATCH in Release_Track",iserror(vlookup($A307&amp;$B307,'5) Release_Track'!$F:$F&amp;'5) Release_Track'!$G:$G,1,0)),"NO ISRC-CATALOG ID pair MATCH in Release_Track" )</f>
        <v/>
      </c>
      <c r="E307" s="99"/>
      <c r="F307" s="99"/>
      <c r="G307" s="123" t="str">
        <f t="array" ref="G307">ifs(or($F307="",$F307="Main Primary Artist"),$F307,not(iserror(vlookup($F307,'Reference info'!$J$5:$J$8,1,0))),"Key Artist",not(iserror(vlookup($F307,'Reference info'!$J$38:$J$405,1,0))),"Performer",not(iserror(vlookup($F307,'Reference info'!$J$10:$J$36,1,0))),"Producer &amp; Engineer")</f>
        <v/>
      </c>
    </row>
    <row r="308">
      <c r="B308" s="103"/>
      <c r="C308" s="121" t="str">
        <f t="array" ref="C308">ifs(and(isblank($A308),isblank($B308)),"", not(iserror(vlookup($A308&amp;$B308,'5) Release_Track'!$F:$F&amp;'5) Release_Track'!$G:$G,1,0))),vlookup($A308&amp;$B308,{'5) Release_Track'!$F:$F&amp;'5) Release_Track'!$G:$G,'5) Release_Track'!$H:$H},2,0), or(and(not(isblank($B308)),$B308=$B307,$A308&lt;&gt;$A307),and(not(isblank($A308)),$A308=$A307,$B308&lt;&gt;$B307)),"ID LISTS UNALIGNED",and($A308&lt;&gt;"",countif('5) Release_Track'!$F:$F,$A308)=0),"NO ISRC MATCH in Release_Track",and($B308&lt;&gt;"",countif('5) Release_Track'!$G:$G,$B308)=0),"NO CATALOG ID MATCH in Release_Track",iserror(vlookup($A308&amp;$B308,'5) Release_Track'!$F:$F&amp;'5) Release_Track'!$G:$G,1,0)),"NO ISRC-CATALOG ID pair MATCH in Release_Track" )</f>
        <v/>
      </c>
      <c r="D308" s="121" t="str">
        <f t="array" ref="D308">ifs(and(isblank($A308),isblank($B308)),"", not(iserror(vlookup($A308&amp;$B308,'5) Release_Track'!$F:$F&amp;'5) Release_Track'!$G:$G,1,0))),vlookup($A308&amp;$B308,{'5) Release_Track'!$F:$F&amp;'5) Release_Track'!$G:$G,'5) Release_Track'!$I:$I},2,0), or(and(not(isblank($B308)),$B308=$B307,$A308&lt;&gt;$A307),and(not(isblank($A308)),$A308=$A307,$B308&lt;&gt;$B307)),"ID LISTS UNALIGNED",and($A308&lt;&gt;"",countif('5) Release_Track'!$F:$F,$A308)=0),"NO ISRC MATCH in Release_Track",and($B308&lt;&gt;"",countif('5) Release_Track'!$G:$G,$B308)=0),"NO CATALOG ID MATCH in Release_Track",iserror(vlookup($A308&amp;$B308,'5) Release_Track'!$F:$F&amp;'5) Release_Track'!$G:$G,1,0)),"NO ISRC-CATALOG ID pair MATCH in Release_Track" )</f>
        <v/>
      </c>
      <c r="E308" s="99"/>
      <c r="F308" s="99"/>
      <c r="G308" s="123" t="str">
        <f t="array" ref="G308">ifs(or($F308="",$F308="Main Primary Artist"),$F308,not(iserror(vlookup($F308,'Reference info'!$J$5:$J$8,1,0))),"Key Artist",not(iserror(vlookup($F308,'Reference info'!$J$38:$J$405,1,0))),"Performer",not(iserror(vlookup($F308,'Reference info'!$J$10:$J$36,1,0))),"Producer &amp; Engineer")</f>
        <v/>
      </c>
    </row>
    <row r="309">
      <c r="B309" s="103"/>
      <c r="C309" s="121" t="str">
        <f t="array" ref="C309">ifs(and(isblank($A309),isblank($B309)),"", not(iserror(vlookup($A309&amp;$B309,'5) Release_Track'!$F:$F&amp;'5) Release_Track'!$G:$G,1,0))),vlookup($A309&amp;$B309,{'5) Release_Track'!$F:$F&amp;'5) Release_Track'!$G:$G,'5) Release_Track'!$H:$H},2,0), or(and(not(isblank($B309)),$B309=$B308,$A309&lt;&gt;$A308),and(not(isblank($A309)),$A309=$A308,$B309&lt;&gt;$B308)),"ID LISTS UNALIGNED",and($A309&lt;&gt;"",countif('5) Release_Track'!$F:$F,$A309)=0),"NO ISRC MATCH in Release_Track",and($B309&lt;&gt;"",countif('5) Release_Track'!$G:$G,$B309)=0),"NO CATALOG ID MATCH in Release_Track",iserror(vlookup($A309&amp;$B309,'5) Release_Track'!$F:$F&amp;'5) Release_Track'!$G:$G,1,0)),"NO ISRC-CATALOG ID pair MATCH in Release_Track" )</f>
        <v/>
      </c>
      <c r="D309" s="121" t="str">
        <f t="array" ref="D309">ifs(and(isblank($A309),isblank($B309)),"", not(iserror(vlookup($A309&amp;$B309,'5) Release_Track'!$F:$F&amp;'5) Release_Track'!$G:$G,1,0))),vlookup($A309&amp;$B309,{'5) Release_Track'!$F:$F&amp;'5) Release_Track'!$G:$G,'5) Release_Track'!$I:$I},2,0), or(and(not(isblank($B309)),$B309=$B308,$A309&lt;&gt;$A308),and(not(isblank($A309)),$A309=$A308,$B309&lt;&gt;$B308)),"ID LISTS UNALIGNED",and($A309&lt;&gt;"",countif('5) Release_Track'!$F:$F,$A309)=0),"NO ISRC MATCH in Release_Track",and($B309&lt;&gt;"",countif('5) Release_Track'!$G:$G,$B309)=0),"NO CATALOG ID MATCH in Release_Track",iserror(vlookup($A309&amp;$B309,'5) Release_Track'!$F:$F&amp;'5) Release_Track'!$G:$G,1,0)),"NO ISRC-CATALOG ID pair MATCH in Release_Track" )</f>
        <v/>
      </c>
      <c r="E309" s="99"/>
      <c r="F309" s="99"/>
      <c r="G309" s="123" t="str">
        <f t="array" ref="G309">ifs(or($F309="",$F309="Main Primary Artist"),$F309,not(iserror(vlookup($F309,'Reference info'!$J$5:$J$8,1,0))),"Key Artist",not(iserror(vlookup($F309,'Reference info'!$J$38:$J$405,1,0))),"Performer",not(iserror(vlookup($F309,'Reference info'!$J$10:$J$36,1,0))),"Producer &amp; Engineer")</f>
        <v/>
      </c>
    </row>
    <row r="310">
      <c r="B310" s="103"/>
      <c r="C310" s="121" t="str">
        <f t="array" ref="C310">ifs(and(isblank($A310),isblank($B310)),"", not(iserror(vlookup($A310&amp;$B310,'5) Release_Track'!$F:$F&amp;'5) Release_Track'!$G:$G,1,0))),vlookup($A310&amp;$B310,{'5) Release_Track'!$F:$F&amp;'5) Release_Track'!$G:$G,'5) Release_Track'!$H:$H},2,0), or(and(not(isblank($B310)),$B310=$B309,$A310&lt;&gt;$A309),and(not(isblank($A310)),$A310=$A309,$B310&lt;&gt;$B309)),"ID LISTS UNALIGNED",and($A310&lt;&gt;"",countif('5) Release_Track'!$F:$F,$A310)=0),"NO ISRC MATCH in Release_Track",and($B310&lt;&gt;"",countif('5) Release_Track'!$G:$G,$B310)=0),"NO CATALOG ID MATCH in Release_Track",iserror(vlookup($A310&amp;$B310,'5) Release_Track'!$F:$F&amp;'5) Release_Track'!$G:$G,1,0)),"NO ISRC-CATALOG ID pair MATCH in Release_Track" )</f>
        <v/>
      </c>
      <c r="D310" s="121" t="str">
        <f t="array" ref="D310">ifs(and(isblank($A310),isblank($B310)),"", not(iserror(vlookup($A310&amp;$B310,'5) Release_Track'!$F:$F&amp;'5) Release_Track'!$G:$G,1,0))),vlookup($A310&amp;$B310,{'5) Release_Track'!$F:$F&amp;'5) Release_Track'!$G:$G,'5) Release_Track'!$I:$I},2,0), or(and(not(isblank($B310)),$B310=$B309,$A310&lt;&gt;$A309),and(not(isblank($A310)),$A310=$A309,$B310&lt;&gt;$B309)),"ID LISTS UNALIGNED",and($A310&lt;&gt;"",countif('5) Release_Track'!$F:$F,$A310)=0),"NO ISRC MATCH in Release_Track",and($B310&lt;&gt;"",countif('5) Release_Track'!$G:$G,$B310)=0),"NO CATALOG ID MATCH in Release_Track",iserror(vlookup($A310&amp;$B310,'5) Release_Track'!$F:$F&amp;'5) Release_Track'!$G:$G,1,0)),"NO ISRC-CATALOG ID pair MATCH in Release_Track" )</f>
        <v/>
      </c>
      <c r="E310" s="99"/>
      <c r="F310" s="99"/>
      <c r="G310" s="123" t="str">
        <f t="array" ref="G310">ifs(or($F310="",$F310="Main Primary Artist"),$F310,not(iserror(vlookup($F310,'Reference info'!$J$5:$J$8,1,0))),"Key Artist",not(iserror(vlookup($F310,'Reference info'!$J$38:$J$405,1,0))),"Performer",not(iserror(vlookup($F310,'Reference info'!$J$10:$J$36,1,0))),"Producer &amp; Engineer")</f>
        <v/>
      </c>
    </row>
    <row r="311">
      <c r="B311" s="103"/>
      <c r="C311" s="121" t="str">
        <f t="array" ref="C311">ifs(and(isblank($A311),isblank($B311)),"", not(iserror(vlookup($A311&amp;$B311,'5) Release_Track'!$F:$F&amp;'5) Release_Track'!$G:$G,1,0))),vlookup($A311&amp;$B311,{'5) Release_Track'!$F:$F&amp;'5) Release_Track'!$G:$G,'5) Release_Track'!$H:$H},2,0), or(and(not(isblank($B311)),$B311=$B310,$A311&lt;&gt;$A310),and(not(isblank($A311)),$A311=$A310,$B311&lt;&gt;$B310)),"ID LISTS UNALIGNED",and($A311&lt;&gt;"",countif('5) Release_Track'!$F:$F,$A311)=0),"NO ISRC MATCH in Release_Track",and($B311&lt;&gt;"",countif('5) Release_Track'!$G:$G,$B311)=0),"NO CATALOG ID MATCH in Release_Track",iserror(vlookup($A311&amp;$B311,'5) Release_Track'!$F:$F&amp;'5) Release_Track'!$G:$G,1,0)),"NO ISRC-CATALOG ID pair MATCH in Release_Track" )</f>
        <v/>
      </c>
      <c r="D311" s="121" t="str">
        <f t="array" ref="D311">ifs(and(isblank($A311),isblank($B311)),"", not(iserror(vlookup($A311&amp;$B311,'5) Release_Track'!$F:$F&amp;'5) Release_Track'!$G:$G,1,0))),vlookup($A311&amp;$B311,{'5) Release_Track'!$F:$F&amp;'5) Release_Track'!$G:$G,'5) Release_Track'!$I:$I},2,0), or(and(not(isblank($B311)),$B311=$B310,$A311&lt;&gt;$A310),and(not(isblank($A311)),$A311=$A310,$B311&lt;&gt;$B310)),"ID LISTS UNALIGNED",and($A311&lt;&gt;"",countif('5) Release_Track'!$F:$F,$A311)=0),"NO ISRC MATCH in Release_Track",and($B311&lt;&gt;"",countif('5) Release_Track'!$G:$G,$B311)=0),"NO CATALOG ID MATCH in Release_Track",iserror(vlookup($A311&amp;$B311,'5) Release_Track'!$F:$F&amp;'5) Release_Track'!$G:$G,1,0)),"NO ISRC-CATALOG ID pair MATCH in Release_Track" )</f>
        <v/>
      </c>
      <c r="E311" s="99"/>
      <c r="F311" s="99"/>
      <c r="G311" s="123" t="str">
        <f t="array" ref="G311">ifs(or($F311="",$F311="Main Primary Artist"),$F311,not(iserror(vlookup($F311,'Reference info'!$J$5:$J$8,1,0))),"Key Artist",not(iserror(vlookup($F311,'Reference info'!$J$38:$J$405,1,0))),"Performer",not(iserror(vlookup($F311,'Reference info'!$J$10:$J$36,1,0))),"Producer &amp; Engineer")</f>
        <v/>
      </c>
    </row>
    <row r="312">
      <c r="B312" s="103"/>
      <c r="C312" s="121" t="str">
        <f t="array" ref="C312">ifs(and(isblank($A312),isblank($B312)),"", not(iserror(vlookup($A312&amp;$B312,'5) Release_Track'!$F:$F&amp;'5) Release_Track'!$G:$G,1,0))),vlookup($A312&amp;$B312,{'5) Release_Track'!$F:$F&amp;'5) Release_Track'!$G:$G,'5) Release_Track'!$H:$H},2,0), or(and(not(isblank($B312)),$B312=$B311,$A312&lt;&gt;$A311),and(not(isblank($A312)),$A312=$A311,$B312&lt;&gt;$B311)),"ID LISTS UNALIGNED",and($A312&lt;&gt;"",countif('5) Release_Track'!$F:$F,$A312)=0),"NO ISRC MATCH in Release_Track",and($B312&lt;&gt;"",countif('5) Release_Track'!$G:$G,$B312)=0),"NO CATALOG ID MATCH in Release_Track",iserror(vlookup($A312&amp;$B312,'5) Release_Track'!$F:$F&amp;'5) Release_Track'!$G:$G,1,0)),"NO ISRC-CATALOG ID pair MATCH in Release_Track" )</f>
        <v/>
      </c>
      <c r="D312" s="121" t="str">
        <f t="array" ref="D312">ifs(and(isblank($A312),isblank($B312)),"", not(iserror(vlookup($A312&amp;$B312,'5) Release_Track'!$F:$F&amp;'5) Release_Track'!$G:$G,1,0))),vlookup($A312&amp;$B312,{'5) Release_Track'!$F:$F&amp;'5) Release_Track'!$G:$G,'5) Release_Track'!$I:$I},2,0), or(and(not(isblank($B312)),$B312=$B311,$A312&lt;&gt;$A311),and(not(isblank($A312)),$A312=$A311,$B312&lt;&gt;$B311)),"ID LISTS UNALIGNED",and($A312&lt;&gt;"",countif('5) Release_Track'!$F:$F,$A312)=0),"NO ISRC MATCH in Release_Track",and($B312&lt;&gt;"",countif('5) Release_Track'!$G:$G,$B312)=0),"NO CATALOG ID MATCH in Release_Track",iserror(vlookup($A312&amp;$B312,'5) Release_Track'!$F:$F&amp;'5) Release_Track'!$G:$G,1,0)),"NO ISRC-CATALOG ID pair MATCH in Release_Track" )</f>
        <v/>
      </c>
      <c r="E312" s="99"/>
      <c r="F312" s="99"/>
      <c r="G312" s="123" t="str">
        <f t="array" ref="G312">ifs(or($F312="",$F312="Main Primary Artist"),$F312,not(iserror(vlookup($F312,'Reference info'!$J$5:$J$8,1,0))),"Key Artist",not(iserror(vlookup($F312,'Reference info'!$J$38:$J$405,1,0))),"Performer",not(iserror(vlookup($F312,'Reference info'!$J$10:$J$36,1,0))),"Producer &amp; Engineer")</f>
        <v/>
      </c>
    </row>
    <row r="313">
      <c r="B313" s="103"/>
      <c r="C313" s="121" t="str">
        <f t="array" ref="C313">ifs(and(isblank($A313),isblank($B313)),"", not(iserror(vlookup($A313&amp;$B313,'5) Release_Track'!$F:$F&amp;'5) Release_Track'!$G:$G,1,0))),vlookup($A313&amp;$B313,{'5) Release_Track'!$F:$F&amp;'5) Release_Track'!$G:$G,'5) Release_Track'!$H:$H},2,0), or(and(not(isblank($B313)),$B313=$B312,$A313&lt;&gt;$A312),and(not(isblank($A313)),$A313=$A312,$B313&lt;&gt;$B312)),"ID LISTS UNALIGNED",and($A313&lt;&gt;"",countif('5) Release_Track'!$F:$F,$A313)=0),"NO ISRC MATCH in Release_Track",and($B313&lt;&gt;"",countif('5) Release_Track'!$G:$G,$B313)=0),"NO CATALOG ID MATCH in Release_Track",iserror(vlookup($A313&amp;$B313,'5) Release_Track'!$F:$F&amp;'5) Release_Track'!$G:$G,1,0)),"NO ISRC-CATALOG ID pair MATCH in Release_Track" )</f>
        <v/>
      </c>
      <c r="D313" s="121" t="str">
        <f t="array" ref="D313">ifs(and(isblank($A313),isblank($B313)),"", not(iserror(vlookup($A313&amp;$B313,'5) Release_Track'!$F:$F&amp;'5) Release_Track'!$G:$G,1,0))),vlookup($A313&amp;$B313,{'5) Release_Track'!$F:$F&amp;'5) Release_Track'!$G:$G,'5) Release_Track'!$I:$I},2,0), or(and(not(isblank($B313)),$B313=$B312,$A313&lt;&gt;$A312),and(not(isblank($A313)),$A313=$A312,$B313&lt;&gt;$B312)),"ID LISTS UNALIGNED",and($A313&lt;&gt;"",countif('5) Release_Track'!$F:$F,$A313)=0),"NO ISRC MATCH in Release_Track",and($B313&lt;&gt;"",countif('5) Release_Track'!$G:$G,$B313)=0),"NO CATALOG ID MATCH in Release_Track",iserror(vlookup($A313&amp;$B313,'5) Release_Track'!$F:$F&amp;'5) Release_Track'!$G:$G,1,0)),"NO ISRC-CATALOG ID pair MATCH in Release_Track" )</f>
        <v/>
      </c>
      <c r="E313" s="99"/>
      <c r="F313" s="99"/>
      <c r="G313" s="123" t="str">
        <f t="array" ref="G313">ifs(or($F313="",$F313="Main Primary Artist"),$F313,not(iserror(vlookup($F313,'Reference info'!$J$5:$J$8,1,0))),"Key Artist",not(iserror(vlookup($F313,'Reference info'!$J$38:$J$405,1,0))),"Performer",not(iserror(vlookup($F313,'Reference info'!$J$10:$J$36,1,0))),"Producer &amp; Engineer")</f>
        <v/>
      </c>
    </row>
    <row r="314">
      <c r="B314" s="103"/>
      <c r="C314" s="121" t="str">
        <f t="array" ref="C314">ifs(and(isblank($A314),isblank($B314)),"", not(iserror(vlookup($A314&amp;$B314,'5) Release_Track'!$F:$F&amp;'5) Release_Track'!$G:$G,1,0))),vlookup($A314&amp;$B314,{'5) Release_Track'!$F:$F&amp;'5) Release_Track'!$G:$G,'5) Release_Track'!$H:$H},2,0), or(and(not(isblank($B314)),$B314=$B313,$A314&lt;&gt;$A313),and(not(isblank($A314)),$A314=$A313,$B314&lt;&gt;$B313)),"ID LISTS UNALIGNED",and($A314&lt;&gt;"",countif('5) Release_Track'!$F:$F,$A314)=0),"NO ISRC MATCH in Release_Track",and($B314&lt;&gt;"",countif('5) Release_Track'!$G:$G,$B314)=0),"NO CATALOG ID MATCH in Release_Track",iserror(vlookup($A314&amp;$B314,'5) Release_Track'!$F:$F&amp;'5) Release_Track'!$G:$G,1,0)),"NO ISRC-CATALOG ID pair MATCH in Release_Track" )</f>
        <v/>
      </c>
      <c r="D314" s="121" t="str">
        <f t="array" ref="D314">ifs(and(isblank($A314),isblank($B314)),"", not(iserror(vlookup($A314&amp;$B314,'5) Release_Track'!$F:$F&amp;'5) Release_Track'!$G:$G,1,0))),vlookup($A314&amp;$B314,{'5) Release_Track'!$F:$F&amp;'5) Release_Track'!$G:$G,'5) Release_Track'!$I:$I},2,0), or(and(not(isblank($B314)),$B314=$B313,$A314&lt;&gt;$A313),and(not(isblank($A314)),$A314=$A313,$B314&lt;&gt;$B313)),"ID LISTS UNALIGNED",and($A314&lt;&gt;"",countif('5) Release_Track'!$F:$F,$A314)=0),"NO ISRC MATCH in Release_Track",and($B314&lt;&gt;"",countif('5) Release_Track'!$G:$G,$B314)=0),"NO CATALOG ID MATCH in Release_Track",iserror(vlookup($A314&amp;$B314,'5) Release_Track'!$F:$F&amp;'5) Release_Track'!$G:$G,1,0)),"NO ISRC-CATALOG ID pair MATCH in Release_Track" )</f>
        <v/>
      </c>
      <c r="E314" s="99"/>
      <c r="F314" s="99"/>
      <c r="G314" s="123" t="str">
        <f t="array" ref="G314">ifs(or($F314="",$F314="Main Primary Artist"),$F314,not(iserror(vlookup($F314,'Reference info'!$J$5:$J$8,1,0))),"Key Artist",not(iserror(vlookup($F314,'Reference info'!$J$38:$J$405,1,0))),"Performer",not(iserror(vlookup($F314,'Reference info'!$J$10:$J$36,1,0))),"Producer &amp; Engineer")</f>
        <v/>
      </c>
    </row>
    <row r="315">
      <c r="B315" s="103"/>
      <c r="C315" s="121" t="str">
        <f t="array" ref="C315">ifs(and(isblank($A315),isblank($B315)),"", not(iserror(vlookup($A315&amp;$B315,'5) Release_Track'!$F:$F&amp;'5) Release_Track'!$G:$G,1,0))),vlookup($A315&amp;$B315,{'5) Release_Track'!$F:$F&amp;'5) Release_Track'!$G:$G,'5) Release_Track'!$H:$H},2,0), or(and(not(isblank($B315)),$B315=$B314,$A315&lt;&gt;$A314),and(not(isblank($A315)),$A315=$A314,$B315&lt;&gt;$B314)),"ID LISTS UNALIGNED",and($A315&lt;&gt;"",countif('5) Release_Track'!$F:$F,$A315)=0),"NO ISRC MATCH in Release_Track",and($B315&lt;&gt;"",countif('5) Release_Track'!$G:$G,$B315)=0),"NO CATALOG ID MATCH in Release_Track",iserror(vlookup($A315&amp;$B315,'5) Release_Track'!$F:$F&amp;'5) Release_Track'!$G:$G,1,0)),"NO ISRC-CATALOG ID pair MATCH in Release_Track" )</f>
        <v/>
      </c>
      <c r="D315" s="121" t="str">
        <f t="array" ref="D315">ifs(and(isblank($A315),isblank($B315)),"", not(iserror(vlookup($A315&amp;$B315,'5) Release_Track'!$F:$F&amp;'5) Release_Track'!$G:$G,1,0))),vlookup($A315&amp;$B315,{'5) Release_Track'!$F:$F&amp;'5) Release_Track'!$G:$G,'5) Release_Track'!$I:$I},2,0), or(and(not(isblank($B315)),$B315=$B314,$A315&lt;&gt;$A314),and(not(isblank($A315)),$A315=$A314,$B315&lt;&gt;$B314)),"ID LISTS UNALIGNED",and($A315&lt;&gt;"",countif('5) Release_Track'!$F:$F,$A315)=0),"NO ISRC MATCH in Release_Track",and($B315&lt;&gt;"",countif('5) Release_Track'!$G:$G,$B315)=0),"NO CATALOG ID MATCH in Release_Track",iserror(vlookup($A315&amp;$B315,'5) Release_Track'!$F:$F&amp;'5) Release_Track'!$G:$G,1,0)),"NO ISRC-CATALOG ID pair MATCH in Release_Track" )</f>
        <v/>
      </c>
      <c r="E315" s="99"/>
      <c r="F315" s="99"/>
      <c r="G315" s="123" t="str">
        <f t="array" ref="G315">ifs(or($F315="",$F315="Main Primary Artist"),$F315,not(iserror(vlookup($F315,'Reference info'!$J$5:$J$8,1,0))),"Key Artist",not(iserror(vlookup($F315,'Reference info'!$J$38:$J$405,1,0))),"Performer",not(iserror(vlookup($F315,'Reference info'!$J$10:$J$36,1,0))),"Producer &amp; Engineer")</f>
        <v/>
      </c>
    </row>
    <row r="316">
      <c r="B316" s="103"/>
      <c r="C316" s="121" t="str">
        <f t="array" ref="C316">ifs(and(isblank($A316),isblank($B316)),"", not(iserror(vlookup($A316&amp;$B316,'5) Release_Track'!$F:$F&amp;'5) Release_Track'!$G:$G,1,0))),vlookup($A316&amp;$B316,{'5) Release_Track'!$F:$F&amp;'5) Release_Track'!$G:$G,'5) Release_Track'!$H:$H},2,0), or(and(not(isblank($B316)),$B316=$B315,$A316&lt;&gt;$A315),and(not(isblank($A316)),$A316=$A315,$B316&lt;&gt;$B315)),"ID LISTS UNALIGNED",and($A316&lt;&gt;"",countif('5) Release_Track'!$F:$F,$A316)=0),"NO ISRC MATCH in Release_Track",and($B316&lt;&gt;"",countif('5) Release_Track'!$G:$G,$B316)=0),"NO CATALOG ID MATCH in Release_Track",iserror(vlookup($A316&amp;$B316,'5) Release_Track'!$F:$F&amp;'5) Release_Track'!$G:$G,1,0)),"NO ISRC-CATALOG ID pair MATCH in Release_Track" )</f>
        <v/>
      </c>
      <c r="D316" s="121" t="str">
        <f t="array" ref="D316">ifs(and(isblank($A316),isblank($B316)),"", not(iserror(vlookup($A316&amp;$B316,'5) Release_Track'!$F:$F&amp;'5) Release_Track'!$G:$G,1,0))),vlookup($A316&amp;$B316,{'5) Release_Track'!$F:$F&amp;'5) Release_Track'!$G:$G,'5) Release_Track'!$I:$I},2,0), or(and(not(isblank($B316)),$B316=$B315,$A316&lt;&gt;$A315),and(not(isblank($A316)),$A316=$A315,$B316&lt;&gt;$B315)),"ID LISTS UNALIGNED",and($A316&lt;&gt;"",countif('5) Release_Track'!$F:$F,$A316)=0),"NO ISRC MATCH in Release_Track",and($B316&lt;&gt;"",countif('5) Release_Track'!$G:$G,$B316)=0),"NO CATALOG ID MATCH in Release_Track",iserror(vlookup($A316&amp;$B316,'5) Release_Track'!$F:$F&amp;'5) Release_Track'!$G:$G,1,0)),"NO ISRC-CATALOG ID pair MATCH in Release_Track" )</f>
        <v/>
      </c>
      <c r="E316" s="99"/>
      <c r="F316" s="99"/>
      <c r="G316" s="123" t="str">
        <f t="array" ref="G316">ifs(or($F316="",$F316="Main Primary Artist"),$F316,not(iserror(vlookup($F316,'Reference info'!$J$5:$J$8,1,0))),"Key Artist",not(iserror(vlookup($F316,'Reference info'!$J$38:$J$405,1,0))),"Performer",not(iserror(vlookup($F316,'Reference info'!$J$10:$J$36,1,0))),"Producer &amp; Engineer")</f>
        <v/>
      </c>
    </row>
    <row r="317">
      <c r="B317" s="103"/>
      <c r="C317" s="121" t="str">
        <f t="array" ref="C317">ifs(and(isblank($A317),isblank($B317)),"", not(iserror(vlookup($A317&amp;$B317,'5) Release_Track'!$F:$F&amp;'5) Release_Track'!$G:$G,1,0))),vlookup($A317&amp;$B317,{'5) Release_Track'!$F:$F&amp;'5) Release_Track'!$G:$G,'5) Release_Track'!$H:$H},2,0), or(and(not(isblank($B317)),$B317=$B316,$A317&lt;&gt;$A316),and(not(isblank($A317)),$A317=$A316,$B317&lt;&gt;$B316)),"ID LISTS UNALIGNED",and($A317&lt;&gt;"",countif('5) Release_Track'!$F:$F,$A317)=0),"NO ISRC MATCH in Release_Track",and($B317&lt;&gt;"",countif('5) Release_Track'!$G:$G,$B317)=0),"NO CATALOG ID MATCH in Release_Track",iserror(vlookup($A317&amp;$B317,'5) Release_Track'!$F:$F&amp;'5) Release_Track'!$G:$G,1,0)),"NO ISRC-CATALOG ID pair MATCH in Release_Track" )</f>
        <v/>
      </c>
      <c r="D317" s="121" t="str">
        <f t="array" ref="D317">ifs(and(isblank($A317),isblank($B317)),"", not(iserror(vlookup($A317&amp;$B317,'5) Release_Track'!$F:$F&amp;'5) Release_Track'!$G:$G,1,0))),vlookup($A317&amp;$B317,{'5) Release_Track'!$F:$F&amp;'5) Release_Track'!$G:$G,'5) Release_Track'!$I:$I},2,0), or(and(not(isblank($B317)),$B317=$B316,$A317&lt;&gt;$A316),and(not(isblank($A317)),$A317=$A316,$B317&lt;&gt;$B316)),"ID LISTS UNALIGNED",and($A317&lt;&gt;"",countif('5) Release_Track'!$F:$F,$A317)=0),"NO ISRC MATCH in Release_Track",and($B317&lt;&gt;"",countif('5) Release_Track'!$G:$G,$B317)=0),"NO CATALOG ID MATCH in Release_Track",iserror(vlookup($A317&amp;$B317,'5) Release_Track'!$F:$F&amp;'5) Release_Track'!$G:$G,1,0)),"NO ISRC-CATALOG ID pair MATCH in Release_Track" )</f>
        <v/>
      </c>
      <c r="E317" s="99"/>
      <c r="F317" s="99"/>
      <c r="G317" s="123" t="str">
        <f t="array" ref="G317">ifs(or($F317="",$F317="Main Primary Artist"),$F317,not(iserror(vlookup($F317,'Reference info'!$J$5:$J$8,1,0))),"Key Artist",not(iserror(vlookup($F317,'Reference info'!$J$38:$J$405,1,0))),"Performer",not(iserror(vlookup($F317,'Reference info'!$J$10:$J$36,1,0))),"Producer &amp; Engineer")</f>
        <v/>
      </c>
    </row>
    <row r="318">
      <c r="B318" s="103"/>
      <c r="C318" s="121" t="str">
        <f t="array" ref="C318">ifs(and(isblank($A318),isblank($B318)),"", not(iserror(vlookup($A318&amp;$B318,'5) Release_Track'!$F:$F&amp;'5) Release_Track'!$G:$G,1,0))),vlookup($A318&amp;$B318,{'5) Release_Track'!$F:$F&amp;'5) Release_Track'!$G:$G,'5) Release_Track'!$H:$H},2,0), or(and(not(isblank($B318)),$B318=$B317,$A318&lt;&gt;$A317),and(not(isblank($A318)),$A318=$A317,$B318&lt;&gt;$B317)),"ID LISTS UNALIGNED",and($A318&lt;&gt;"",countif('5) Release_Track'!$F:$F,$A318)=0),"NO ISRC MATCH in Release_Track",and($B318&lt;&gt;"",countif('5) Release_Track'!$G:$G,$B318)=0),"NO CATALOG ID MATCH in Release_Track",iserror(vlookup($A318&amp;$B318,'5) Release_Track'!$F:$F&amp;'5) Release_Track'!$G:$G,1,0)),"NO ISRC-CATALOG ID pair MATCH in Release_Track" )</f>
        <v/>
      </c>
      <c r="D318" s="121" t="str">
        <f t="array" ref="D318">ifs(and(isblank($A318),isblank($B318)),"", not(iserror(vlookup($A318&amp;$B318,'5) Release_Track'!$F:$F&amp;'5) Release_Track'!$G:$G,1,0))),vlookup($A318&amp;$B318,{'5) Release_Track'!$F:$F&amp;'5) Release_Track'!$G:$G,'5) Release_Track'!$I:$I},2,0), or(and(not(isblank($B318)),$B318=$B317,$A318&lt;&gt;$A317),and(not(isblank($A318)),$A318=$A317,$B318&lt;&gt;$B317)),"ID LISTS UNALIGNED",and($A318&lt;&gt;"",countif('5) Release_Track'!$F:$F,$A318)=0),"NO ISRC MATCH in Release_Track",and($B318&lt;&gt;"",countif('5) Release_Track'!$G:$G,$B318)=0),"NO CATALOG ID MATCH in Release_Track",iserror(vlookup($A318&amp;$B318,'5) Release_Track'!$F:$F&amp;'5) Release_Track'!$G:$G,1,0)),"NO ISRC-CATALOG ID pair MATCH in Release_Track" )</f>
        <v/>
      </c>
      <c r="E318" s="99"/>
      <c r="F318" s="99"/>
      <c r="G318" s="123" t="str">
        <f t="array" ref="G318">ifs(or($F318="",$F318="Main Primary Artist"),$F318,not(iserror(vlookup($F318,'Reference info'!$J$5:$J$8,1,0))),"Key Artist",not(iserror(vlookup($F318,'Reference info'!$J$38:$J$405,1,0))),"Performer",not(iserror(vlookup($F318,'Reference info'!$J$10:$J$36,1,0))),"Producer &amp; Engineer")</f>
        <v/>
      </c>
    </row>
    <row r="319">
      <c r="B319" s="103"/>
      <c r="C319" s="121" t="str">
        <f t="array" ref="C319">ifs(and(isblank($A319),isblank($B319)),"", not(iserror(vlookup($A319&amp;$B319,'5) Release_Track'!$F:$F&amp;'5) Release_Track'!$G:$G,1,0))),vlookup($A319&amp;$B319,{'5) Release_Track'!$F:$F&amp;'5) Release_Track'!$G:$G,'5) Release_Track'!$H:$H},2,0), or(and(not(isblank($B319)),$B319=$B318,$A319&lt;&gt;$A318),and(not(isblank($A319)),$A319=$A318,$B319&lt;&gt;$B318)),"ID LISTS UNALIGNED",and($A319&lt;&gt;"",countif('5) Release_Track'!$F:$F,$A319)=0),"NO ISRC MATCH in Release_Track",and($B319&lt;&gt;"",countif('5) Release_Track'!$G:$G,$B319)=0),"NO CATALOG ID MATCH in Release_Track",iserror(vlookup($A319&amp;$B319,'5) Release_Track'!$F:$F&amp;'5) Release_Track'!$G:$G,1,0)),"NO ISRC-CATALOG ID pair MATCH in Release_Track" )</f>
        <v/>
      </c>
      <c r="D319" s="121" t="str">
        <f t="array" ref="D319">ifs(and(isblank($A319),isblank($B319)),"", not(iserror(vlookup($A319&amp;$B319,'5) Release_Track'!$F:$F&amp;'5) Release_Track'!$G:$G,1,0))),vlookup($A319&amp;$B319,{'5) Release_Track'!$F:$F&amp;'5) Release_Track'!$G:$G,'5) Release_Track'!$I:$I},2,0), or(and(not(isblank($B319)),$B319=$B318,$A319&lt;&gt;$A318),and(not(isblank($A319)),$A319=$A318,$B319&lt;&gt;$B318)),"ID LISTS UNALIGNED",and($A319&lt;&gt;"",countif('5) Release_Track'!$F:$F,$A319)=0),"NO ISRC MATCH in Release_Track",and($B319&lt;&gt;"",countif('5) Release_Track'!$G:$G,$B319)=0),"NO CATALOG ID MATCH in Release_Track",iserror(vlookup($A319&amp;$B319,'5) Release_Track'!$F:$F&amp;'5) Release_Track'!$G:$G,1,0)),"NO ISRC-CATALOG ID pair MATCH in Release_Track" )</f>
        <v/>
      </c>
      <c r="E319" s="99"/>
      <c r="F319" s="99"/>
      <c r="G319" s="123" t="str">
        <f t="array" ref="G319">ifs(or($F319="",$F319="Main Primary Artist"),$F319,not(iserror(vlookup($F319,'Reference info'!$J$5:$J$8,1,0))),"Key Artist",not(iserror(vlookup($F319,'Reference info'!$J$38:$J$405,1,0))),"Performer",not(iserror(vlookup($F319,'Reference info'!$J$10:$J$36,1,0))),"Producer &amp; Engineer")</f>
        <v/>
      </c>
    </row>
    <row r="320">
      <c r="B320" s="103"/>
      <c r="C320" s="121" t="str">
        <f t="array" ref="C320">ifs(and(isblank($A320),isblank($B320)),"", not(iserror(vlookup($A320&amp;$B320,'5) Release_Track'!$F:$F&amp;'5) Release_Track'!$G:$G,1,0))),vlookup($A320&amp;$B320,{'5) Release_Track'!$F:$F&amp;'5) Release_Track'!$G:$G,'5) Release_Track'!$H:$H},2,0), or(and(not(isblank($B320)),$B320=$B319,$A320&lt;&gt;$A319),and(not(isblank($A320)),$A320=$A319,$B320&lt;&gt;$B319)),"ID LISTS UNALIGNED",and($A320&lt;&gt;"",countif('5) Release_Track'!$F:$F,$A320)=0),"NO ISRC MATCH in Release_Track",and($B320&lt;&gt;"",countif('5) Release_Track'!$G:$G,$B320)=0),"NO CATALOG ID MATCH in Release_Track",iserror(vlookup($A320&amp;$B320,'5) Release_Track'!$F:$F&amp;'5) Release_Track'!$G:$G,1,0)),"NO ISRC-CATALOG ID pair MATCH in Release_Track" )</f>
        <v/>
      </c>
      <c r="D320" s="121" t="str">
        <f t="array" ref="D320">ifs(and(isblank($A320),isblank($B320)),"", not(iserror(vlookup($A320&amp;$B320,'5) Release_Track'!$F:$F&amp;'5) Release_Track'!$G:$G,1,0))),vlookup($A320&amp;$B320,{'5) Release_Track'!$F:$F&amp;'5) Release_Track'!$G:$G,'5) Release_Track'!$I:$I},2,0), or(and(not(isblank($B320)),$B320=$B319,$A320&lt;&gt;$A319),and(not(isblank($A320)),$A320=$A319,$B320&lt;&gt;$B319)),"ID LISTS UNALIGNED",and($A320&lt;&gt;"",countif('5) Release_Track'!$F:$F,$A320)=0),"NO ISRC MATCH in Release_Track",and($B320&lt;&gt;"",countif('5) Release_Track'!$G:$G,$B320)=0),"NO CATALOG ID MATCH in Release_Track",iserror(vlookup($A320&amp;$B320,'5) Release_Track'!$F:$F&amp;'5) Release_Track'!$G:$G,1,0)),"NO ISRC-CATALOG ID pair MATCH in Release_Track" )</f>
        <v/>
      </c>
      <c r="E320" s="99"/>
      <c r="F320" s="99"/>
      <c r="G320" s="123" t="str">
        <f t="array" ref="G320">ifs(or($F320="",$F320="Main Primary Artist"),$F320,not(iserror(vlookup($F320,'Reference info'!$J$5:$J$8,1,0))),"Key Artist",not(iserror(vlookup($F320,'Reference info'!$J$38:$J$405,1,0))),"Performer",not(iserror(vlookup($F320,'Reference info'!$J$10:$J$36,1,0))),"Producer &amp; Engineer")</f>
        <v/>
      </c>
    </row>
    <row r="321">
      <c r="B321" s="103"/>
      <c r="C321" s="121" t="str">
        <f t="array" ref="C321">ifs(and(isblank($A321),isblank($B321)),"", not(iserror(vlookup($A321&amp;$B321,'5) Release_Track'!$F:$F&amp;'5) Release_Track'!$G:$G,1,0))),vlookup($A321&amp;$B321,{'5) Release_Track'!$F:$F&amp;'5) Release_Track'!$G:$G,'5) Release_Track'!$H:$H},2,0), or(and(not(isblank($B321)),$B321=$B320,$A321&lt;&gt;$A320),and(not(isblank($A321)),$A321=$A320,$B321&lt;&gt;$B320)),"ID LISTS UNALIGNED",and($A321&lt;&gt;"",countif('5) Release_Track'!$F:$F,$A321)=0),"NO ISRC MATCH in Release_Track",and($B321&lt;&gt;"",countif('5) Release_Track'!$G:$G,$B321)=0),"NO CATALOG ID MATCH in Release_Track",iserror(vlookup($A321&amp;$B321,'5) Release_Track'!$F:$F&amp;'5) Release_Track'!$G:$G,1,0)),"NO ISRC-CATALOG ID pair MATCH in Release_Track" )</f>
        <v/>
      </c>
      <c r="D321" s="121" t="str">
        <f t="array" ref="D321">ifs(and(isblank($A321),isblank($B321)),"", not(iserror(vlookup($A321&amp;$B321,'5) Release_Track'!$F:$F&amp;'5) Release_Track'!$G:$G,1,0))),vlookup($A321&amp;$B321,{'5) Release_Track'!$F:$F&amp;'5) Release_Track'!$G:$G,'5) Release_Track'!$I:$I},2,0), or(and(not(isblank($B321)),$B321=$B320,$A321&lt;&gt;$A320),and(not(isblank($A321)),$A321=$A320,$B321&lt;&gt;$B320)),"ID LISTS UNALIGNED",and($A321&lt;&gt;"",countif('5) Release_Track'!$F:$F,$A321)=0),"NO ISRC MATCH in Release_Track",and($B321&lt;&gt;"",countif('5) Release_Track'!$G:$G,$B321)=0),"NO CATALOG ID MATCH in Release_Track",iserror(vlookup($A321&amp;$B321,'5) Release_Track'!$F:$F&amp;'5) Release_Track'!$G:$G,1,0)),"NO ISRC-CATALOG ID pair MATCH in Release_Track" )</f>
        <v/>
      </c>
      <c r="E321" s="99"/>
      <c r="F321" s="99"/>
      <c r="G321" s="123" t="str">
        <f t="array" ref="G321">ifs(or($F321="",$F321="Main Primary Artist"),$F321,not(iserror(vlookup($F321,'Reference info'!$J$5:$J$8,1,0))),"Key Artist",not(iserror(vlookup($F321,'Reference info'!$J$38:$J$405,1,0))),"Performer",not(iserror(vlookup($F321,'Reference info'!$J$10:$J$36,1,0))),"Producer &amp; Engineer")</f>
        <v/>
      </c>
    </row>
    <row r="322">
      <c r="B322" s="103"/>
      <c r="C322" s="121" t="str">
        <f t="array" ref="C322">ifs(and(isblank($A322),isblank($B322)),"", not(iserror(vlookup($A322&amp;$B322,'5) Release_Track'!$F:$F&amp;'5) Release_Track'!$G:$G,1,0))),vlookup($A322&amp;$B322,{'5) Release_Track'!$F:$F&amp;'5) Release_Track'!$G:$G,'5) Release_Track'!$H:$H},2,0), or(and(not(isblank($B322)),$B322=$B321,$A322&lt;&gt;$A321),and(not(isblank($A322)),$A322=$A321,$B322&lt;&gt;$B321)),"ID LISTS UNALIGNED",and($A322&lt;&gt;"",countif('5) Release_Track'!$F:$F,$A322)=0),"NO ISRC MATCH in Release_Track",and($B322&lt;&gt;"",countif('5) Release_Track'!$G:$G,$B322)=0),"NO CATALOG ID MATCH in Release_Track",iserror(vlookup($A322&amp;$B322,'5) Release_Track'!$F:$F&amp;'5) Release_Track'!$G:$G,1,0)),"NO ISRC-CATALOG ID pair MATCH in Release_Track" )</f>
        <v/>
      </c>
      <c r="D322" s="121" t="str">
        <f t="array" ref="D322">ifs(and(isblank($A322),isblank($B322)),"", not(iserror(vlookup($A322&amp;$B322,'5) Release_Track'!$F:$F&amp;'5) Release_Track'!$G:$G,1,0))),vlookup($A322&amp;$B322,{'5) Release_Track'!$F:$F&amp;'5) Release_Track'!$G:$G,'5) Release_Track'!$I:$I},2,0), or(and(not(isblank($B322)),$B322=$B321,$A322&lt;&gt;$A321),and(not(isblank($A322)),$A322=$A321,$B322&lt;&gt;$B321)),"ID LISTS UNALIGNED",and($A322&lt;&gt;"",countif('5) Release_Track'!$F:$F,$A322)=0),"NO ISRC MATCH in Release_Track",and($B322&lt;&gt;"",countif('5) Release_Track'!$G:$G,$B322)=0),"NO CATALOG ID MATCH in Release_Track",iserror(vlookup($A322&amp;$B322,'5) Release_Track'!$F:$F&amp;'5) Release_Track'!$G:$G,1,0)),"NO ISRC-CATALOG ID pair MATCH in Release_Track" )</f>
        <v/>
      </c>
      <c r="E322" s="99"/>
      <c r="F322" s="99"/>
      <c r="G322" s="123" t="str">
        <f t="array" ref="G322">ifs(or($F322="",$F322="Main Primary Artist"),$F322,not(iserror(vlookup($F322,'Reference info'!$J$5:$J$8,1,0))),"Key Artist",not(iserror(vlookup($F322,'Reference info'!$J$38:$J$405,1,0))),"Performer",not(iserror(vlookup($F322,'Reference info'!$J$10:$J$36,1,0))),"Producer &amp; Engineer")</f>
        <v/>
      </c>
    </row>
    <row r="323">
      <c r="B323" s="103"/>
      <c r="C323" s="121" t="str">
        <f t="array" ref="C323">ifs(and(isblank($A323),isblank($B323)),"", not(iserror(vlookup($A323&amp;$B323,'5) Release_Track'!$F:$F&amp;'5) Release_Track'!$G:$G,1,0))),vlookup($A323&amp;$B323,{'5) Release_Track'!$F:$F&amp;'5) Release_Track'!$G:$G,'5) Release_Track'!$H:$H},2,0), or(and(not(isblank($B323)),$B323=$B322,$A323&lt;&gt;$A322),and(not(isblank($A323)),$A323=$A322,$B323&lt;&gt;$B322)),"ID LISTS UNALIGNED",and($A323&lt;&gt;"",countif('5) Release_Track'!$F:$F,$A323)=0),"NO ISRC MATCH in Release_Track",and($B323&lt;&gt;"",countif('5) Release_Track'!$G:$G,$B323)=0),"NO CATALOG ID MATCH in Release_Track",iserror(vlookup($A323&amp;$B323,'5) Release_Track'!$F:$F&amp;'5) Release_Track'!$G:$G,1,0)),"NO ISRC-CATALOG ID pair MATCH in Release_Track" )</f>
        <v/>
      </c>
      <c r="D323" s="121" t="str">
        <f t="array" ref="D323">ifs(and(isblank($A323),isblank($B323)),"", not(iserror(vlookup($A323&amp;$B323,'5) Release_Track'!$F:$F&amp;'5) Release_Track'!$G:$G,1,0))),vlookup($A323&amp;$B323,{'5) Release_Track'!$F:$F&amp;'5) Release_Track'!$G:$G,'5) Release_Track'!$I:$I},2,0), or(and(not(isblank($B323)),$B323=$B322,$A323&lt;&gt;$A322),and(not(isblank($A323)),$A323=$A322,$B323&lt;&gt;$B322)),"ID LISTS UNALIGNED",and($A323&lt;&gt;"",countif('5) Release_Track'!$F:$F,$A323)=0),"NO ISRC MATCH in Release_Track",and($B323&lt;&gt;"",countif('5) Release_Track'!$G:$G,$B323)=0),"NO CATALOG ID MATCH in Release_Track",iserror(vlookup($A323&amp;$B323,'5) Release_Track'!$F:$F&amp;'5) Release_Track'!$G:$G,1,0)),"NO ISRC-CATALOG ID pair MATCH in Release_Track" )</f>
        <v/>
      </c>
      <c r="E323" s="99"/>
      <c r="F323" s="99"/>
      <c r="G323" s="123" t="str">
        <f t="array" ref="G323">ifs(or($F323="",$F323="Main Primary Artist"),$F323,not(iserror(vlookup($F323,'Reference info'!$J$5:$J$8,1,0))),"Key Artist",not(iserror(vlookup($F323,'Reference info'!$J$38:$J$405,1,0))),"Performer",not(iserror(vlookup($F323,'Reference info'!$J$10:$J$36,1,0))),"Producer &amp; Engineer")</f>
        <v/>
      </c>
    </row>
    <row r="324">
      <c r="B324" s="103"/>
      <c r="C324" s="121" t="str">
        <f t="array" ref="C324">ifs(and(isblank($A324),isblank($B324)),"", not(iserror(vlookup($A324&amp;$B324,'5) Release_Track'!$F:$F&amp;'5) Release_Track'!$G:$G,1,0))),vlookup($A324&amp;$B324,{'5) Release_Track'!$F:$F&amp;'5) Release_Track'!$G:$G,'5) Release_Track'!$H:$H},2,0), or(and(not(isblank($B324)),$B324=$B323,$A324&lt;&gt;$A323),and(not(isblank($A324)),$A324=$A323,$B324&lt;&gt;$B323)),"ID LISTS UNALIGNED",and($A324&lt;&gt;"",countif('5) Release_Track'!$F:$F,$A324)=0),"NO ISRC MATCH in Release_Track",and($B324&lt;&gt;"",countif('5) Release_Track'!$G:$G,$B324)=0),"NO CATALOG ID MATCH in Release_Track",iserror(vlookup($A324&amp;$B324,'5) Release_Track'!$F:$F&amp;'5) Release_Track'!$G:$G,1,0)),"NO ISRC-CATALOG ID pair MATCH in Release_Track" )</f>
        <v/>
      </c>
      <c r="D324" s="121" t="str">
        <f t="array" ref="D324">ifs(and(isblank($A324),isblank($B324)),"", not(iserror(vlookup($A324&amp;$B324,'5) Release_Track'!$F:$F&amp;'5) Release_Track'!$G:$G,1,0))),vlookup($A324&amp;$B324,{'5) Release_Track'!$F:$F&amp;'5) Release_Track'!$G:$G,'5) Release_Track'!$I:$I},2,0), or(and(not(isblank($B324)),$B324=$B323,$A324&lt;&gt;$A323),and(not(isblank($A324)),$A324=$A323,$B324&lt;&gt;$B323)),"ID LISTS UNALIGNED",and($A324&lt;&gt;"",countif('5) Release_Track'!$F:$F,$A324)=0),"NO ISRC MATCH in Release_Track",and($B324&lt;&gt;"",countif('5) Release_Track'!$G:$G,$B324)=0),"NO CATALOG ID MATCH in Release_Track",iserror(vlookup($A324&amp;$B324,'5) Release_Track'!$F:$F&amp;'5) Release_Track'!$G:$G,1,0)),"NO ISRC-CATALOG ID pair MATCH in Release_Track" )</f>
        <v/>
      </c>
      <c r="E324" s="99"/>
      <c r="F324" s="99"/>
      <c r="G324" s="123" t="str">
        <f t="array" ref="G324">ifs(or($F324="",$F324="Main Primary Artist"),$F324,not(iserror(vlookup($F324,'Reference info'!$J$5:$J$8,1,0))),"Key Artist",not(iserror(vlookup($F324,'Reference info'!$J$38:$J$405,1,0))),"Performer",not(iserror(vlookup($F324,'Reference info'!$J$10:$J$36,1,0))),"Producer &amp; Engineer")</f>
        <v/>
      </c>
    </row>
    <row r="325">
      <c r="B325" s="103"/>
      <c r="C325" s="121" t="str">
        <f t="array" ref="C325">ifs(and(isblank($A325),isblank($B325)),"", not(iserror(vlookup($A325&amp;$B325,'5) Release_Track'!$F:$F&amp;'5) Release_Track'!$G:$G,1,0))),vlookup($A325&amp;$B325,{'5) Release_Track'!$F:$F&amp;'5) Release_Track'!$G:$G,'5) Release_Track'!$H:$H},2,0), or(and(not(isblank($B325)),$B325=$B324,$A325&lt;&gt;$A324),and(not(isblank($A325)),$A325=$A324,$B325&lt;&gt;$B324)),"ID LISTS UNALIGNED",and($A325&lt;&gt;"",countif('5) Release_Track'!$F:$F,$A325)=0),"NO ISRC MATCH in Release_Track",and($B325&lt;&gt;"",countif('5) Release_Track'!$G:$G,$B325)=0),"NO CATALOG ID MATCH in Release_Track",iserror(vlookup($A325&amp;$B325,'5) Release_Track'!$F:$F&amp;'5) Release_Track'!$G:$G,1,0)),"NO ISRC-CATALOG ID pair MATCH in Release_Track" )</f>
        <v/>
      </c>
      <c r="D325" s="121" t="str">
        <f t="array" ref="D325">ifs(and(isblank($A325),isblank($B325)),"", not(iserror(vlookup($A325&amp;$B325,'5) Release_Track'!$F:$F&amp;'5) Release_Track'!$G:$G,1,0))),vlookup($A325&amp;$B325,{'5) Release_Track'!$F:$F&amp;'5) Release_Track'!$G:$G,'5) Release_Track'!$I:$I},2,0), or(and(not(isblank($B325)),$B325=$B324,$A325&lt;&gt;$A324),and(not(isblank($A325)),$A325=$A324,$B325&lt;&gt;$B324)),"ID LISTS UNALIGNED",and($A325&lt;&gt;"",countif('5) Release_Track'!$F:$F,$A325)=0),"NO ISRC MATCH in Release_Track",and($B325&lt;&gt;"",countif('5) Release_Track'!$G:$G,$B325)=0),"NO CATALOG ID MATCH in Release_Track",iserror(vlookup($A325&amp;$B325,'5) Release_Track'!$F:$F&amp;'5) Release_Track'!$G:$G,1,0)),"NO ISRC-CATALOG ID pair MATCH in Release_Track" )</f>
        <v/>
      </c>
      <c r="E325" s="99"/>
      <c r="F325" s="99"/>
      <c r="G325" s="123" t="str">
        <f t="array" ref="G325">ifs(or($F325="",$F325="Main Primary Artist"),$F325,not(iserror(vlookup($F325,'Reference info'!$J$5:$J$8,1,0))),"Key Artist",not(iserror(vlookup($F325,'Reference info'!$J$38:$J$405,1,0))),"Performer",not(iserror(vlookup($F325,'Reference info'!$J$10:$J$36,1,0))),"Producer &amp; Engineer")</f>
        <v/>
      </c>
    </row>
    <row r="326">
      <c r="B326" s="103"/>
      <c r="C326" s="121" t="str">
        <f t="array" ref="C326">ifs(and(isblank($A326),isblank($B326)),"", not(iserror(vlookup($A326&amp;$B326,'5) Release_Track'!$F:$F&amp;'5) Release_Track'!$G:$G,1,0))),vlookup($A326&amp;$B326,{'5) Release_Track'!$F:$F&amp;'5) Release_Track'!$G:$G,'5) Release_Track'!$H:$H},2,0), or(and(not(isblank($B326)),$B326=$B325,$A326&lt;&gt;$A325),and(not(isblank($A326)),$A326=$A325,$B326&lt;&gt;$B325)),"ID LISTS UNALIGNED",and($A326&lt;&gt;"",countif('5) Release_Track'!$F:$F,$A326)=0),"NO ISRC MATCH in Release_Track",and($B326&lt;&gt;"",countif('5) Release_Track'!$G:$G,$B326)=0),"NO CATALOG ID MATCH in Release_Track",iserror(vlookup($A326&amp;$B326,'5) Release_Track'!$F:$F&amp;'5) Release_Track'!$G:$G,1,0)),"NO ISRC-CATALOG ID pair MATCH in Release_Track" )</f>
        <v/>
      </c>
      <c r="D326" s="121" t="str">
        <f t="array" ref="D326">ifs(and(isblank($A326),isblank($B326)),"", not(iserror(vlookup($A326&amp;$B326,'5) Release_Track'!$F:$F&amp;'5) Release_Track'!$G:$G,1,0))),vlookup($A326&amp;$B326,{'5) Release_Track'!$F:$F&amp;'5) Release_Track'!$G:$G,'5) Release_Track'!$I:$I},2,0), or(and(not(isblank($B326)),$B326=$B325,$A326&lt;&gt;$A325),and(not(isblank($A326)),$A326=$A325,$B326&lt;&gt;$B325)),"ID LISTS UNALIGNED",and($A326&lt;&gt;"",countif('5) Release_Track'!$F:$F,$A326)=0),"NO ISRC MATCH in Release_Track",and($B326&lt;&gt;"",countif('5) Release_Track'!$G:$G,$B326)=0),"NO CATALOG ID MATCH in Release_Track",iserror(vlookup($A326&amp;$B326,'5) Release_Track'!$F:$F&amp;'5) Release_Track'!$G:$G,1,0)),"NO ISRC-CATALOG ID pair MATCH in Release_Track" )</f>
        <v/>
      </c>
      <c r="E326" s="99"/>
      <c r="F326" s="99"/>
      <c r="G326" s="123" t="str">
        <f t="array" ref="G326">ifs(or($F326="",$F326="Main Primary Artist"),$F326,not(iserror(vlookup($F326,'Reference info'!$J$5:$J$8,1,0))),"Key Artist",not(iserror(vlookup($F326,'Reference info'!$J$38:$J$405,1,0))),"Performer",not(iserror(vlookup($F326,'Reference info'!$J$10:$J$36,1,0))),"Producer &amp; Engineer")</f>
        <v/>
      </c>
    </row>
    <row r="327">
      <c r="B327" s="103"/>
      <c r="C327" s="121" t="str">
        <f t="array" ref="C327">ifs(and(isblank($A327),isblank($B327)),"", not(iserror(vlookup($A327&amp;$B327,'5) Release_Track'!$F:$F&amp;'5) Release_Track'!$G:$G,1,0))),vlookup($A327&amp;$B327,{'5) Release_Track'!$F:$F&amp;'5) Release_Track'!$G:$G,'5) Release_Track'!$H:$H},2,0), or(and(not(isblank($B327)),$B327=$B326,$A327&lt;&gt;$A326),and(not(isblank($A327)),$A327=$A326,$B327&lt;&gt;$B326)),"ID LISTS UNALIGNED",and($A327&lt;&gt;"",countif('5) Release_Track'!$F:$F,$A327)=0),"NO ISRC MATCH in Release_Track",and($B327&lt;&gt;"",countif('5) Release_Track'!$G:$G,$B327)=0),"NO CATALOG ID MATCH in Release_Track",iserror(vlookup($A327&amp;$B327,'5) Release_Track'!$F:$F&amp;'5) Release_Track'!$G:$G,1,0)),"NO ISRC-CATALOG ID pair MATCH in Release_Track" )</f>
        <v/>
      </c>
      <c r="D327" s="121" t="str">
        <f t="array" ref="D327">ifs(and(isblank($A327),isblank($B327)),"", not(iserror(vlookup($A327&amp;$B327,'5) Release_Track'!$F:$F&amp;'5) Release_Track'!$G:$G,1,0))),vlookup($A327&amp;$B327,{'5) Release_Track'!$F:$F&amp;'5) Release_Track'!$G:$G,'5) Release_Track'!$I:$I},2,0), or(and(not(isblank($B327)),$B327=$B326,$A327&lt;&gt;$A326),and(not(isblank($A327)),$A327=$A326,$B327&lt;&gt;$B326)),"ID LISTS UNALIGNED",and($A327&lt;&gt;"",countif('5) Release_Track'!$F:$F,$A327)=0),"NO ISRC MATCH in Release_Track",and($B327&lt;&gt;"",countif('5) Release_Track'!$G:$G,$B327)=0),"NO CATALOG ID MATCH in Release_Track",iserror(vlookup($A327&amp;$B327,'5) Release_Track'!$F:$F&amp;'5) Release_Track'!$G:$G,1,0)),"NO ISRC-CATALOG ID pair MATCH in Release_Track" )</f>
        <v/>
      </c>
      <c r="E327" s="99"/>
      <c r="F327" s="99"/>
      <c r="G327" s="123" t="str">
        <f t="array" ref="G327">ifs(or($F327="",$F327="Main Primary Artist"),$F327,not(iserror(vlookup($F327,'Reference info'!$J$5:$J$8,1,0))),"Key Artist",not(iserror(vlookup($F327,'Reference info'!$J$38:$J$405,1,0))),"Performer",not(iserror(vlookup($F327,'Reference info'!$J$10:$J$36,1,0))),"Producer &amp; Engineer")</f>
        <v/>
      </c>
    </row>
    <row r="328">
      <c r="B328" s="103"/>
      <c r="C328" s="121" t="str">
        <f t="array" ref="C328">ifs(and(isblank($A328),isblank($B328)),"", not(iserror(vlookup($A328&amp;$B328,'5) Release_Track'!$F:$F&amp;'5) Release_Track'!$G:$G,1,0))),vlookup($A328&amp;$B328,{'5) Release_Track'!$F:$F&amp;'5) Release_Track'!$G:$G,'5) Release_Track'!$H:$H},2,0), or(and(not(isblank($B328)),$B328=$B327,$A328&lt;&gt;$A327),and(not(isblank($A328)),$A328=$A327,$B328&lt;&gt;$B327)),"ID LISTS UNALIGNED",and($A328&lt;&gt;"",countif('5) Release_Track'!$F:$F,$A328)=0),"NO ISRC MATCH in Release_Track",and($B328&lt;&gt;"",countif('5) Release_Track'!$G:$G,$B328)=0),"NO CATALOG ID MATCH in Release_Track",iserror(vlookup($A328&amp;$B328,'5) Release_Track'!$F:$F&amp;'5) Release_Track'!$G:$G,1,0)),"NO ISRC-CATALOG ID pair MATCH in Release_Track" )</f>
        <v/>
      </c>
      <c r="D328" s="121" t="str">
        <f t="array" ref="D328">ifs(and(isblank($A328),isblank($B328)),"", not(iserror(vlookup($A328&amp;$B328,'5) Release_Track'!$F:$F&amp;'5) Release_Track'!$G:$G,1,0))),vlookup($A328&amp;$B328,{'5) Release_Track'!$F:$F&amp;'5) Release_Track'!$G:$G,'5) Release_Track'!$I:$I},2,0), or(and(not(isblank($B328)),$B328=$B327,$A328&lt;&gt;$A327),and(not(isblank($A328)),$A328=$A327,$B328&lt;&gt;$B327)),"ID LISTS UNALIGNED",and($A328&lt;&gt;"",countif('5) Release_Track'!$F:$F,$A328)=0),"NO ISRC MATCH in Release_Track",and($B328&lt;&gt;"",countif('5) Release_Track'!$G:$G,$B328)=0),"NO CATALOG ID MATCH in Release_Track",iserror(vlookup($A328&amp;$B328,'5) Release_Track'!$F:$F&amp;'5) Release_Track'!$G:$G,1,0)),"NO ISRC-CATALOG ID pair MATCH in Release_Track" )</f>
        <v/>
      </c>
      <c r="E328" s="99"/>
      <c r="F328" s="99"/>
      <c r="G328" s="123" t="str">
        <f t="array" ref="G328">ifs(or($F328="",$F328="Main Primary Artist"),$F328,not(iserror(vlookup($F328,'Reference info'!$J$5:$J$8,1,0))),"Key Artist",not(iserror(vlookup($F328,'Reference info'!$J$38:$J$405,1,0))),"Performer",not(iserror(vlookup($F328,'Reference info'!$J$10:$J$36,1,0))),"Producer &amp; Engineer")</f>
        <v/>
      </c>
    </row>
    <row r="329">
      <c r="B329" s="103"/>
      <c r="C329" s="121" t="str">
        <f t="array" ref="C329">ifs(and(isblank($A329),isblank($B329)),"", not(iserror(vlookup($A329&amp;$B329,'5) Release_Track'!$F:$F&amp;'5) Release_Track'!$G:$G,1,0))),vlookup($A329&amp;$B329,{'5) Release_Track'!$F:$F&amp;'5) Release_Track'!$G:$G,'5) Release_Track'!$H:$H},2,0), or(and(not(isblank($B329)),$B329=$B328,$A329&lt;&gt;$A328),and(not(isblank($A329)),$A329=$A328,$B329&lt;&gt;$B328)),"ID LISTS UNALIGNED",and($A329&lt;&gt;"",countif('5) Release_Track'!$F:$F,$A329)=0),"NO ISRC MATCH in Release_Track",and($B329&lt;&gt;"",countif('5) Release_Track'!$G:$G,$B329)=0),"NO CATALOG ID MATCH in Release_Track",iserror(vlookup($A329&amp;$B329,'5) Release_Track'!$F:$F&amp;'5) Release_Track'!$G:$G,1,0)),"NO ISRC-CATALOG ID pair MATCH in Release_Track" )</f>
        <v/>
      </c>
      <c r="D329" s="121" t="str">
        <f t="array" ref="D329">ifs(and(isblank($A329),isblank($B329)),"", not(iserror(vlookup($A329&amp;$B329,'5) Release_Track'!$F:$F&amp;'5) Release_Track'!$G:$G,1,0))),vlookup($A329&amp;$B329,{'5) Release_Track'!$F:$F&amp;'5) Release_Track'!$G:$G,'5) Release_Track'!$I:$I},2,0), or(and(not(isblank($B329)),$B329=$B328,$A329&lt;&gt;$A328),and(not(isblank($A329)),$A329=$A328,$B329&lt;&gt;$B328)),"ID LISTS UNALIGNED",and($A329&lt;&gt;"",countif('5) Release_Track'!$F:$F,$A329)=0),"NO ISRC MATCH in Release_Track",and($B329&lt;&gt;"",countif('5) Release_Track'!$G:$G,$B329)=0),"NO CATALOG ID MATCH in Release_Track",iserror(vlookup($A329&amp;$B329,'5) Release_Track'!$F:$F&amp;'5) Release_Track'!$G:$G,1,0)),"NO ISRC-CATALOG ID pair MATCH in Release_Track" )</f>
        <v/>
      </c>
      <c r="E329" s="99"/>
      <c r="F329" s="99"/>
      <c r="G329" s="123" t="str">
        <f t="array" ref="G329">ifs(or($F329="",$F329="Main Primary Artist"),$F329,not(iserror(vlookup($F329,'Reference info'!$J$5:$J$8,1,0))),"Key Artist",not(iserror(vlookup($F329,'Reference info'!$J$38:$J$405,1,0))),"Performer",not(iserror(vlookup($F329,'Reference info'!$J$10:$J$36,1,0))),"Producer &amp; Engineer")</f>
        <v/>
      </c>
    </row>
    <row r="330">
      <c r="B330" s="103"/>
      <c r="C330" s="121" t="str">
        <f t="array" ref="C330">ifs(and(isblank($A330),isblank($B330)),"", not(iserror(vlookup($A330&amp;$B330,'5) Release_Track'!$F:$F&amp;'5) Release_Track'!$G:$G,1,0))),vlookup($A330&amp;$B330,{'5) Release_Track'!$F:$F&amp;'5) Release_Track'!$G:$G,'5) Release_Track'!$H:$H},2,0), or(and(not(isblank($B330)),$B330=$B329,$A330&lt;&gt;$A329),and(not(isblank($A330)),$A330=$A329,$B330&lt;&gt;$B329)),"ID LISTS UNALIGNED",and($A330&lt;&gt;"",countif('5) Release_Track'!$F:$F,$A330)=0),"NO ISRC MATCH in Release_Track",and($B330&lt;&gt;"",countif('5) Release_Track'!$G:$G,$B330)=0),"NO CATALOG ID MATCH in Release_Track",iserror(vlookup($A330&amp;$B330,'5) Release_Track'!$F:$F&amp;'5) Release_Track'!$G:$G,1,0)),"NO ISRC-CATALOG ID pair MATCH in Release_Track" )</f>
        <v/>
      </c>
      <c r="D330" s="121" t="str">
        <f t="array" ref="D330">ifs(and(isblank($A330),isblank($B330)),"", not(iserror(vlookup($A330&amp;$B330,'5) Release_Track'!$F:$F&amp;'5) Release_Track'!$G:$G,1,0))),vlookup($A330&amp;$B330,{'5) Release_Track'!$F:$F&amp;'5) Release_Track'!$G:$G,'5) Release_Track'!$I:$I},2,0), or(and(not(isblank($B330)),$B330=$B329,$A330&lt;&gt;$A329),and(not(isblank($A330)),$A330=$A329,$B330&lt;&gt;$B329)),"ID LISTS UNALIGNED",and($A330&lt;&gt;"",countif('5) Release_Track'!$F:$F,$A330)=0),"NO ISRC MATCH in Release_Track",and($B330&lt;&gt;"",countif('5) Release_Track'!$G:$G,$B330)=0),"NO CATALOG ID MATCH in Release_Track",iserror(vlookup($A330&amp;$B330,'5) Release_Track'!$F:$F&amp;'5) Release_Track'!$G:$G,1,0)),"NO ISRC-CATALOG ID pair MATCH in Release_Track" )</f>
        <v/>
      </c>
      <c r="E330" s="99"/>
      <c r="F330" s="99"/>
      <c r="G330" s="123" t="str">
        <f t="array" ref="G330">ifs(or($F330="",$F330="Main Primary Artist"),$F330,not(iserror(vlookup($F330,'Reference info'!$J$5:$J$8,1,0))),"Key Artist",not(iserror(vlookup($F330,'Reference info'!$J$38:$J$405,1,0))),"Performer",not(iserror(vlookup($F330,'Reference info'!$J$10:$J$36,1,0))),"Producer &amp; Engineer")</f>
        <v/>
      </c>
    </row>
    <row r="331">
      <c r="B331" s="103"/>
      <c r="C331" s="121" t="str">
        <f t="array" ref="C331">ifs(and(isblank($A331),isblank($B331)),"", not(iserror(vlookup($A331&amp;$B331,'5) Release_Track'!$F:$F&amp;'5) Release_Track'!$G:$G,1,0))),vlookup($A331&amp;$B331,{'5) Release_Track'!$F:$F&amp;'5) Release_Track'!$G:$G,'5) Release_Track'!$H:$H},2,0), or(and(not(isblank($B331)),$B331=$B330,$A331&lt;&gt;$A330),and(not(isblank($A331)),$A331=$A330,$B331&lt;&gt;$B330)),"ID LISTS UNALIGNED",and($A331&lt;&gt;"",countif('5) Release_Track'!$F:$F,$A331)=0),"NO ISRC MATCH in Release_Track",and($B331&lt;&gt;"",countif('5) Release_Track'!$G:$G,$B331)=0),"NO CATALOG ID MATCH in Release_Track",iserror(vlookup($A331&amp;$B331,'5) Release_Track'!$F:$F&amp;'5) Release_Track'!$G:$G,1,0)),"NO ISRC-CATALOG ID pair MATCH in Release_Track" )</f>
        <v/>
      </c>
      <c r="D331" s="121" t="str">
        <f t="array" ref="D331">ifs(and(isblank($A331),isblank($B331)),"", not(iserror(vlookup($A331&amp;$B331,'5) Release_Track'!$F:$F&amp;'5) Release_Track'!$G:$G,1,0))),vlookup($A331&amp;$B331,{'5) Release_Track'!$F:$F&amp;'5) Release_Track'!$G:$G,'5) Release_Track'!$I:$I},2,0), or(and(not(isblank($B331)),$B331=$B330,$A331&lt;&gt;$A330),and(not(isblank($A331)),$A331=$A330,$B331&lt;&gt;$B330)),"ID LISTS UNALIGNED",and($A331&lt;&gt;"",countif('5) Release_Track'!$F:$F,$A331)=0),"NO ISRC MATCH in Release_Track",and($B331&lt;&gt;"",countif('5) Release_Track'!$G:$G,$B331)=0),"NO CATALOG ID MATCH in Release_Track",iserror(vlookup($A331&amp;$B331,'5) Release_Track'!$F:$F&amp;'5) Release_Track'!$G:$G,1,0)),"NO ISRC-CATALOG ID pair MATCH in Release_Track" )</f>
        <v/>
      </c>
      <c r="E331" s="99"/>
      <c r="F331" s="99"/>
      <c r="G331" s="123" t="str">
        <f t="array" ref="G331">ifs(or($F331="",$F331="Main Primary Artist"),$F331,not(iserror(vlookup($F331,'Reference info'!$J$5:$J$8,1,0))),"Key Artist",not(iserror(vlookup($F331,'Reference info'!$J$38:$J$405,1,0))),"Performer",not(iserror(vlookup($F331,'Reference info'!$J$10:$J$36,1,0))),"Producer &amp; Engineer")</f>
        <v/>
      </c>
    </row>
    <row r="332">
      <c r="B332" s="103"/>
      <c r="C332" s="121" t="str">
        <f t="array" ref="C332">ifs(and(isblank($A332),isblank($B332)),"", not(iserror(vlookup($A332&amp;$B332,'5) Release_Track'!$F:$F&amp;'5) Release_Track'!$G:$G,1,0))),vlookup($A332&amp;$B332,{'5) Release_Track'!$F:$F&amp;'5) Release_Track'!$G:$G,'5) Release_Track'!$H:$H},2,0), or(and(not(isblank($B332)),$B332=$B331,$A332&lt;&gt;$A331),and(not(isblank($A332)),$A332=$A331,$B332&lt;&gt;$B331)),"ID LISTS UNALIGNED",and($A332&lt;&gt;"",countif('5) Release_Track'!$F:$F,$A332)=0),"NO ISRC MATCH in Release_Track",and($B332&lt;&gt;"",countif('5) Release_Track'!$G:$G,$B332)=0),"NO CATALOG ID MATCH in Release_Track",iserror(vlookup($A332&amp;$B332,'5) Release_Track'!$F:$F&amp;'5) Release_Track'!$G:$G,1,0)),"NO ISRC-CATALOG ID pair MATCH in Release_Track" )</f>
        <v/>
      </c>
      <c r="D332" s="121" t="str">
        <f t="array" ref="D332">ifs(and(isblank($A332),isblank($B332)),"", not(iserror(vlookup($A332&amp;$B332,'5) Release_Track'!$F:$F&amp;'5) Release_Track'!$G:$G,1,0))),vlookup($A332&amp;$B332,{'5) Release_Track'!$F:$F&amp;'5) Release_Track'!$G:$G,'5) Release_Track'!$I:$I},2,0), or(and(not(isblank($B332)),$B332=$B331,$A332&lt;&gt;$A331),and(not(isblank($A332)),$A332=$A331,$B332&lt;&gt;$B331)),"ID LISTS UNALIGNED",and($A332&lt;&gt;"",countif('5) Release_Track'!$F:$F,$A332)=0),"NO ISRC MATCH in Release_Track",and($B332&lt;&gt;"",countif('5) Release_Track'!$G:$G,$B332)=0),"NO CATALOG ID MATCH in Release_Track",iserror(vlookup($A332&amp;$B332,'5) Release_Track'!$F:$F&amp;'5) Release_Track'!$G:$G,1,0)),"NO ISRC-CATALOG ID pair MATCH in Release_Track" )</f>
        <v/>
      </c>
      <c r="E332" s="99"/>
      <c r="F332" s="99"/>
      <c r="G332" s="123" t="str">
        <f t="array" ref="G332">ifs(or($F332="",$F332="Main Primary Artist"),$F332,not(iserror(vlookup($F332,'Reference info'!$J$5:$J$8,1,0))),"Key Artist",not(iserror(vlookup($F332,'Reference info'!$J$38:$J$405,1,0))),"Performer",not(iserror(vlookup($F332,'Reference info'!$J$10:$J$36,1,0))),"Producer &amp; Engineer")</f>
        <v/>
      </c>
    </row>
    <row r="333">
      <c r="B333" s="103"/>
      <c r="C333" s="121" t="str">
        <f t="array" ref="C333">ifs(and(isblank($A333),isblank($B333)),"", not(iserror(vlookup($A333&amp;$B333,'5) Release_Track'!$F:$F&amp;'5) Release_Track'!$G:$G,1,0))),vlookup($A333&amp;$B333,{'5) Release_Track'!$F:$F&amp;'5) Release_Track'!$G:$G,'5) Release_Track'!$H:$H},2,0), or(and(not(isblank($B333)),$B333=$B332,$A333&lt;&gt;$A332),and(not(isblank($A333)),$A333=$A332,$B333&lt;&gt;$B332)),"ID LISTS UNALIGNED",and($A333&lt;&gt;"",countif('5) Release_Track'!$F:$F,$A333)=0),"NO ISRC MATCH in Release_Track",and($B333&lt;&gt;"",countif('5) Release_Track'!$G:$G,$B333)=0),"NO CATALOG ID MATCH in Release_Track",iserror(vlookup($A333&amp;$B333,'5) Release_Track'!$F:$F&amp;'5) Release_Track'!$G:$G,1,0)),"NO ISRC-CATALOG ID pair MATCH in Release_Track" )</f>
        <v/>
      </c>
      <c r="D333" s="121" t="str">
        <f t="array" ref="D333">ifs(and(isblank($A333),isblank($B333)),"", not(iserror(vlookup($A333&amp;$B333,'5) Release_Track'!$F:$F&amp;'5) Release_Track'!$G:$G,1,0))),vlookup($A333&amp;$B333,{'5) Release_Track'!$F:$F&amp;'5) Release_Track'!$G:$G,'5) Release_Track'!$I:$I},2,0), or(and(not(isblank($B333)),$B333=$B332,$A333&lt;&gt;$A332),and(not(isblank($A333)),$A333=$A332,$B333&lt;&gt;$B332)),"ID LISTS UNALIGNED",and($A333&lt;&gt;"",countif('5) Release_Track'!$F:$F,$A333)=0),"NO ISRC MATCH in Release_Track",and($B333&lt;&gt;"",countif('5) Release_Track'!$G:$G,$B333)=0),"NO CATALOG ID MATCH in Release_Track",iserror(vlookup($A333&amp;$B333,'5) Release_Track'!$F:$F&amp;'5) Release_Track'!$G:$G,1,0)),"NO ISRC-CATALOG ID pair MATCH in Release_Track" )</f>
        <v/>
      </c>
      <c r="E333" s="99"/>
      <c r="F333" s="99"/>
      <c r="G333" s="123" t="str">
        <f t="array" ref="G333">ifs(or($F333="",$F333="Main Primary Artist"),$F333,not(iserror(vlookup($F333,'Reference info'!$J$5:$J$8,1,0))),"Key Artist",not(iserror(vlookup($F333,'Reference info'!$J$38:$J$405,1,0))),"Performer",not(iserror(vlookup($F333,'Reference info'!$J$10:$J$36,1,0))),"Producer &amp; Engineer")</f>
        <v/>
      </c>
    </row>
    <row r="334">
      <c r="B334" s="103"/>
      <c r="C334" s="121" t="str">
        <f t="array" ref="C334">ifs(and(isblank($A334),isblank($B334)),"", not(iserror(vlookup($A334&amp;$B334,'5) Release_Track'!$F:$F&amp;'5) Release_Track'!$G:$G,1,0))),vlookup($A334&amp;$B334,{'5) Release_Track'!$F:$F&amp;'5) Release_Track'!$G:$G,'5) Release_Track'!$H:$H},2,0), or(and(not(isblank($B334)),$B334=$B333,$A334&lt;&gt;$A333),and(not(isblank($A334)),$A334=$A333,$B334&lt;&gt;$B333)),"ID LISTS UNALIGNED",and($A334&lt;&gt;"",countif('5) Release_Track'!$F:$F,$A334)=0),"NO ISRC MATCH in Release_Track",and($B334&lt;&gt;"",countif('5) Release_Track'!$G:$G,$B334)=0),"NO CATALOG ID MATCH in Release_Track",iserror(vlookup($A334&amp;$B334,'5) Release_Track'!$F:$F&amp;'5) Release_Track'!$G:$G,1,0)),"NO ISRC-CATALOG ID pair MATCH in Release_Track" )</f>
        <v/>
      </c>
      <c r="D334" s="121" t="str">
        <f t="array" ref="D334">ifs(and(isblank($A334),isblank($B334)),"", not(iserror(vlookup($A334&amp;$B334,'5) Release_Track'!$F:$F&amp;'5) Release_Track'!$G:$G,1,0))),vlookup($A334&amp;$B334,{'5) Release_Track'!$F:$F&amp;'5) Release_Track'!$G:$G,'5) Release_Track'!$I:$I},2,0), or(and(not(isblank($B334)),$B334=$B333,$A334&lt;&gt;$A333),and(not(isblank($A334)),$A334=$A333,$B334&lt;&gt;$B333)),"ID LISTS UNALIGNED",and($A334&lt;&gt;"",countif('5) Release_Track'!$F:$F,$A334)=0),"NO ISRC MATCH in Release_Track",and($B334&lt;&gt;"",countif('5) Release_Track'!$G:$G,$B334)=0),"NO CATALOG ID MATCH in Release_Track",iserror(vlookup($A334&amp;$B334,'5) Release_Track'!$F:$F&amp;'5) Release_Track'!$G:$G,1,0)),"NO ISRC-CATALOG ID pair MATCH in Release_Track" )</f>
        <v/>
      </c>
      <c r="E334" s="99"/>
      <c r="F334" s="99"/>
      <c r="G334" s="123" t="str">
        <f t="array" ref="G334">ifs(or($F334="",$F334="Main Primary Artist"),$F334,not(iserror(vlookup($F334,'Reference info'!$J$5:$J$8,1,0))),"Key Artist",not(iserror(vlookup($F334,'Reference info'!$J$38:$J$405,1,0))),"Performer",not(iserror(vlookup($F334,'Reference info'!$J$10:$J$36,1,0))),"Producer &amp; Engineer")</f>
        <v/>
      </c>
    </row>
    <row r="335">
      <c r="B335" s="103"/>
      <c r="C335" s="121" t="str">
        <f t="array" ref="C335">ifs(and(isblank($A335),isblank($B335)),"", not(iserror(vlookup($A335&amp;$B335,'5) Release_Track'!$F:$F&amp;'5) Release_Track'!$G:$G,1,0))),vlookup($A335&amp;$B335,{'5) Release_Track'!$F:$F&amp;'5) Release_Track'!$G:$G,'5) Release_Track'!$H:$H},2,0), or(and(not(isblank($B335)),$B335=$B334,$A335&lt;&gt;$A334),and(not(isblank($A335)),$A335=$A334,$B335&lt;&gt;$B334)),"ID LISTS UNALIGNED",and($A335&lt;&gt;"",countif('5) Release_Track'!$F:$F,$A335)=0),"NO ISRC MATCH in Release_Track",and($B335&lt;&gt;"",countif('5) Release_Track'!$G:$G,$B335)=0),"NO CATALOG ID MATCH in Release_Track",iserror(vlookup($A335&amp;$B335,'5) Release_Track'!$F:$F&amp;'5) Release_Track'!$G:$G,1,0)),"NO ISRC-CATALOG ID pair MATCH in Release_Track" )</f>
        <v/>
      </c>
      <c r="D335" s="121" t="str">
        <f t="array" ref="D335">ifs(and(isblank($A335),isblank($B335)),"", not(iserror(vlookup($A335&amp;$B335,'5) Release_Track'!$F:$F&amp;'5) Release_Track'!$G:$G,1,0))),vlookup($A335&amp;$B335,{'5) Release_Track'!$F:$F&amp;'5) Release_Track'!$G:$G,'5) Release_Track'!$I:$I},2,0), or(and(not(isblank($B335)),$B335=$B334,$A335&lt;&gt;$A334),and(not(isblank($A335)),$A335=$A334,$B335&lt;&gt;$B334)),"ID LISTS UNALIGNED",and($A335&lt;&gt;"",countif('5) Release_Track'!$F:$F,$A335)=0),"NO ISRC MATCH in Release_Track",and($B335&lt;&gt;"",countif('5) Release_Track'!$G:$G,$B335)=0),"NO CATALOG ID MATCH in Release_Track",iserror(vlookup($A335&amp;$B335,'5) Release_Track'!$F:$F&amp;'5) Release_Track'!$G:$G,1,0)),"NO ISRC-CATALOG ID pair MATCH in Release_Track" )</f>
        <v/>
      </c>
      <c r="E335" s="99"/>
      <c r="F335" s="99"/>
      <c r="G335" s="123" t="str">
        <f t="array" ref="G335">ifs(or($F335="",$F335="Main Primary Artist"),$F335,not(iserror(vlookup($F335,'Reference info'!$J$5:$J$8,1,0))),"Key Artist",not(iserror(vlookup($F335,'Reference info'!$J$38:$J$405,1,0))),"Performer",not(iserror(vlookup($F335,'Reference info'!$J$10:$J$36,1,0))),"Producer &amp; Engineer")</f>
        <v/>
      </c>
    </row>
    <row r="336">
      <c r="B336" s="103"/>
      <c r="C336" s="121" t="str">
        <f t="array" ref="C336">ifs(and(isblank($A336),isblank($B336)),"", not(iserror(vlookup($A336&amp;$B336,'5) Release_Track'!$F:$F&amp;'5) Release_Track'!$G:$G,1,0))),vlookup($A336&amp;$B336,{'5) Release_Track'!$F:$F&amp;'5) Release_Track'!$G:$G,'5) Release_Track'!$H:$H},2,0), or(and(not(isblank($B336)),$B336=$B335,$A336&lt;&gt;$A335),and(not(isblank($A336)),$A336=$A335,$B336&lt;&gt;$B335)),"ID LISTS UNALIGNED",and($A336&lt;&gt;"",countif('5) Release_Track'!$F:$F,$A336)=0),"NO ISRC MATCH in Release_Track",and($B336&lt;&gt;"",countif('5) Release_Track'!$G:$G,$B336)=0),"NO CATALOG ID MATCH in Release_Track",iserror(vlookup($A336&amp;$B336,'5) Release_Track'!$F:$F&amp;'5) Release_Track'!$G:$G,1,0)),"NO ISRC-CATALOG ID pair MATCH in Release_Track" )</f>
        <v/>
      </c>
      <c r="D336" s="121" t="str">
        <f t="array" ref="D336">ifs(and(isblank($A336),isblank($B336)),"", not(iserror(vlookup($A336&amp;$B336,'5) Release_Track'!$F:$F&amp;'5) Release_Track'!$G:$G,1,0))),vlookup($A336&amp;$B336,{'5) Release_Track'!$F:$F&amp;'5) Release_Track'!$G:$G,'5) Release_Track'!$I:$I},2,0), or(and(not(isblank($B336)),$B336=$B335,$A336&lt;&gt;$A335),and(not(isblank($A336)),$A336=$A335,$B336&lt;&gt;$B335)),"ID LISTS UNALIGNED",and($A336&lt;&gt;"",countif('5) Release_Track'!$F:$F,$A336)=0),"NO ISRC MATCH in Release_Track",and($B336&lt;&gt;"",countif('5) Release_Track'!$G:$G,$B336)=0),"NO CATALOG ID MATCH in Release_Track",iserror(vlookup($A336&amp;$B336,'5) Release_Track'!$F:$F&amp;'5) Release_Track'!$G:$G,1,0)),"NO ISRC-CATALOG ID pair MATCH in Release_Track" )</f>
        <v/>
      </c>
      <c r="E336" s="99"/>
      <c r="F336" s="99"/>
      <c r="G336" s="123" t="str">
        <f t="array" ref="G336">ifs(or($F336="",$F336="Main Primary Artist"),$F336,not(iserror(vlookup($F336,'Reference info'!$J$5:$J$8,1,0))),"Key Artist",not(iserror(vlookup($F336,'Reference info'!$J$38:$J$405,1,0))),"Performer",not(iserror(vlookup($F336,'Reference info'!$J$10:$J$36,1,0))),"Producer &amp; Engineer")</f>
        <v/>
      </c>
    </row>
    <row r="337">
      <c r="B337" s="103"/>
      <c r="C337" s="121" t="str">
        <f t="array" ref="C337">ifs(and(isblank($A337),isblank($B337)),"", not(iserror(vlookup($A337&amp;$B337,'5) Release_Track'!$F:$F&amp;'5) Release_Track'!$G:$G,1,0))),vlookup($A337&amp;$B337,{'5) Release_Track'!$F:$F&amp;'5) Release_Track'!$G:$G,'5) Release_Track'!$H:$H},2,0), or(and(not(isblank($B337)),$B337=$B336,$A337&lt;&gt;$A336),and(not(isblank($A337)),$A337=$A336,$B337&lt;&gt;$B336)),"ID LISTS UNALIGNED",and($A337&lt;&gt;"",countif('5) Release_Track'!$F:$F,$A337)=0),"NO ISRC MATCH in Release_Track",and($B337&lt;&gt;"",countif('5) Release_Track'!$G:$G,$B337)=0),"NO CATALOG ID MATCH in Release_Track",iserror(vlookup($A337&amp;$B337,'5) Release_Track'!$F:$F&amp;'5) Release_Track'!$G:$G,1,0)),"NO ISRC-CATALOG ID pair MATCH in Release_Track" )</f>
        <v/>
      </c>
      <c r="D337" s="121" t="str">
        <f t="array" ref="D337">ifs(and(isblank($A337),isblank($B337)),"", not(iserror(vlookup($A337&amp;$B337,'5) Release_Track'!$F:$F&amp;'5) Release_Track'!$G:$G,1,0))),vlookup($A337&amp;$B337,{'5) Release_Track'!$F:$F&amp;'5) Release_Track'!$G:$G,'5) Release_Track'!$I:$I},2,0), or(and(not(isblank($B337)),$B337=$B336,$A337&lt;&gt;$A336),and(not(isblank($A337)),$A337=$A336,$B337&lt;&gt;$B336)),"ID LISTS UNALIGNED",and($A337&lt;&gt;"",countif('5) Release_Track'!$F:$F,$A337)=0),"NO ISRC MATCH in Release_Track",and($B337&lt;&gt;"",countif('5) Release_Track'!$G:$G,$B337)=0),"NO CATALOG ID MATCH in Release_Track",iserror(vlookup($A337&amp;$B337,'5) Release_Track'!$F:$F&amp;'5) Release_Track'!$G:$G,1,0)),"NO ISRC-CATALOG ID pair MATCH in Release_Track" )</f>
        <v/>
      </c>
      <c r="E337" s="99"/>
      <c r="F337" s="99"/>
      <c r="G337" s="123" t="str">
        <f t="array" ref="G337">ifs(or($F337="",$F337="Main Primary Artist"),$F337,not(iserror(vlookup($F337,'Reference info'!$J$5:$J$8,1,0))),"Key Artist",not(iserror(vlookup($F337,'Reference info'!$J$38:$J$405,1,0))),"Performer",not(iserror(vlookup($F337,'Reference info'!$J$10:$J$36,1,0))),"Producer &amp; Engineer")</f>
        <v/>
      </c>
    </row>
    <row r="338">
      <c r="B338" s="103"/>
      <c r="C338" s="121" t="str">
        <f t="array" ref="C338">ifs(and(isblank($A338),isblank($B338)),"", not(iserror(vlookup($A338&amp;$B338,'5) Release_Track'!$F:$F&amp;'5) Release_Track'!$G:$G,1,0))),vlookup($A338&amp;$B338,{'5) Release_Track'!$F:$F&amp;'5) Release_Track'!$G:$G,'5) Release_Track'!$H:$H},2,0), or(and(not(isblank($B338)),$B338=$B337,$A338&lt;&gt;$A337),and(not(isblank($A338)),$A338=$A337,$B338&lt;&gt;$B337)),"ID LISTS UNALIGNED",and($A338&lt;&gt;"",countif('5) Release_Track'!$F:$F,$A338)=0),"NO ISRC MATCH in Release_Track",and($B338&lt;&gt;"",countif('5) Release_Track'!$G:$G,$B338)=0),"NO CATALOG ID MATCH in Release_Track",iserror(vlookup($A338&amp;$B338,'5) Release_Track'!$F:$F&amp;'5) Release_Track'!$G:$G,1,0)),"NO ISRC-CATALOG ID pair MATCH in Release_Track" )</f>
        <v/>
      </c>
      <c r="D338" s="121" t="str">
        <f t="array" ref="D338">ifs(and(isblank($A338),isblank($B338)),"", not(iserror(vlookup($A338&amp;$B338,'5) Release_Track'!$F:$F&amp;'5) Release_Track'!$G:$G,1,0))),vlookup($A338&amp;$B338,{'5) Release_Track'!$F:$F&amp;'5) Release_Track'!$G:$G,'5) Release_Track'!$I:$I},2,0), or(and(not(isblank($B338)),$B338=$B337,$A338&lt;&gt;$A337),and(not(isblank($A338)),$A338=$A337,$B338&lt;&gt;$B337)),"ID LISTS UNALIGNED",and($A338&lt;&gt;"",countif('5) Release_Track'!$F:$F,$A338)=0),"NO ISRC MATCH in Release_Track",and($B338&lt;&gt;"",countif('5) Release_Track'!$G:$G,$B338)=0),"NO CATALOG ID MATCH in Release_Track",iserror(vlookup($A338&amp;$B338,'5) Release_Track'!$F:$F&amp;'5) Release_Track'!$G:$G,1,0)),"NO ISRC-CATALOG ID pair MATCH in Release_Track" )</f>
        <v/>
      </c>
      <c r="E338" s="99"/>
      <c r="F338" s="99"/>
      <c r="G338" s="123" t="str">
        <f t="array" ref="G338">ifs(or($F338="",$F338="Main Primary Artist"),$F338,not(iserror(vlookup($F338,'Reference info'!$J$5:$J$8,1,0))),"Key Artist",not(iserror(vlookup($F338,'Reference info'!$J$38:$J$405,1,0))),"Performer",not(iserror(vlookup($F338,'Reference info'!$J$10:$J$36,1,0))),"Producer &amp; Engineer")</f>
        <v/>
      </c>
    </row>
    <row r="339">
      <c r="B339" s="103"/>
      <c r="C339" s="121" t="str">
        <f t="array" ref="C339">ifs(and(isblank($A339),isblank($B339)),"", not(iserror(vlookup($A339&amp;$B339,'5) Release_Track'!$F:$F&amp;'5) Release_Track'!$G:$G,1,0))),vlookup($A339&amp;$B339,{'5) Release_Track'!$F:$F&amp;'5) Release_Track'!$G:$G,'5) Release_Track'!$H:$H},2,0), or(and(not(isblank($B339)),$B339=$B338,$A339&lt;&gt;$A338),and(not(isblank($A339)),$A339=$A338,$B339&lt;&gt;$B338)),"ID LISTS UNALIGNED",and($A339&lt;&gt;"",countif('5) Release_Track'!$F:$F,$A339)=0),"NO ISRC MATCH in Release_Track",and($B339&lt;&gt;"",countif('5) Release_Track'!$G:$G,$B339)=0),"NO CATALOG ID MATCH in Release_Track",iserror(vlookup($A339&amp;$B339,'5) Release_Track'!$F:$F&amp;'5) Release_Track'!$G:$G,1,0)),"NO ISRC-CATALOG ID pair MATCH in Release_Track" )</f>
        <v/>
      </c>
      <c r="D339" s="121" t="str">
        <f t="array" ref="D339">ifs(and(isblank($A339),isblank($B339)),"", not(iserror(vlookup($A339&amp;$B339,'5) Release_Track'!$F:$F&amp;'5) Release_Track'!$G:$G,1,0))),vlookup($A339&amp;$B339,{'5) Release_Track'!$F:$F&amp;'5) Release_Track'!$G:$G,'5) Release_Track'!$I:$I},2,0), or(and(not(isblank($B339)),$B339=$B338,$A339&lt;&gt;$A338),and(not(isblank($A339)),$A339=$A338,$B339&lt;&gt;$B338)),"ID LISTS UNALIGNED",and($A339&lt;&gt;"",countif('5) Release_Track'!$F:$F,$A339)=0),"NO ISRC MATCH in Release_Track",and($B339&lt;&gt;"",countif('5) Release_Track'!$G:$G,$B339)=0),"NO CATALOG ID MATCH in Release_Track",iserror(vlookup($A339&amp;$B339,'5) Release_Track'!$F:$F&amp;'5) Release_Track'!$G:$G,1,0)),"NO ISRC-CATALOG ID pair MATCH in Release_Track" )</f>
        <v/>
      </c>
      <c r="E339" s="99"/>
      <c r="F339" s="99"/>
      <c r="G339" s="123" t="str">
        <f t="array" ref="G339">ifs(or($F339="",$F339="Main Primary Artist"),$F339,not(iserror(vlookup($F339,'Reference info'!$J$5:$J$8,1,0))),"Key Artist",not(iserror(vlookup($F339,'Reference info'!$J$38:$J$405,1,0))),"Performer",not(iserror(vlookup($F339,'Reference info'!$J$10:$J$36,1,0))),"Producer &amp; Engineer")</f>
        <v/>
      </c>
    </row>
    <row r="340">
      <c r="B340" s="103"/>
      <c r="C340" s="121" t="str">
        <f t="array" ref="C340">ifs(and(isblank($A340),isblank($B340)),"", not(iserror(vlookup($A340&amp;$B340,'5) Release_Track'!$F:$F&amp;'5) Release_Track'!$G:$G,1,0))),vlookup($A340&amp;$B340,{'5) Release_Track'!$F:$F&amp;'5) Release_Track'!$G:$G,'5) Release_Track'!$H:$H},2,0), or(and(not(isblank($B340)),$B340=$B339,$A340&lt;&gt;$A339),and(not(isblank($A340)),$A340=$A339,$B340&lt;&gt;$B339)),"ID LISTS UNALIGNED",and($A340&lt;&gt;"",countif('5) Release_Track'!$F:$F,$A340)=0),"NO ISRC MATCH in Release_Track",and($B340&lt;&gt;"",countif('5) Release_Track'!$G:$G,$B340)=0),"NO CATALOG ID MATCH in Release_Track",iserror(vlookup($A340&amp;$B340,'5) Release_Track'!$F:$F&amp;'5) Release_Track'!$G:$G,1,0)),"NO ISRC-CATALOG ID pair MATCH in Release_Track" )</f>
        <v/>
      </c>
      <c r="D340" s="121" t="str">
        <f t="array" ref="D340">ifs(and(isblank($A340),isblank($B340)),"", not(iserror(vlookup($A340&amp;$B340,'5) Release_Track'!$F:$F&amp;'5) Release_Track'!$G:$G,1,0))),vlookup($A340&amp;$B340,{'5) Release_Track'!$F:$F&amp;'5) Release_Track'!$G:$G,'5) Release_Track'!$I:$I},2,0), or(and(not(isblank($B340)),$B340=$B339,$A340&lt;&gt;$A339),and(not(isblank($A340)),$A340=$A339,$B340&lt;&gt;$B339)),"ID LISTS UNALIGNED",and($A340&lt;&gt;"",countif('5) Release_Track'!$F:$F,$A340)=0),"NO ISRC MATCH in Release_Track",and($B340&lt;&gt;"",countif('5) Release_Track'!$G:$G,$B340)=0),"NO CATALOG ID MATCH in Release_Track",iserror(vlookup($A340&amp;$B340,'5) Release_Track'!$F:$F&amp;'5) Release_Track'!$G:$G,1,0)),"NO ISRC-CATALOG ID pair MATCH in Release_Track" )</f>
        <v/>
      </c>
      <c r="E340" s="99"/>
      <c r="F340" s="99"/>
      <c r="G340" s="123" t="str">
        <f t="array" ref="G340">ifs(or($F340="",$F340="Main Primary Artist"),$F340,not(iserror(vlookup($F340,'Reference info'!$J$5:$J$8,1,0))),"Key Artist",not(iserror(vlookup($F340,'Reference info'!$J$38:$J$405,1,0))),"Performer",not(iserror(vlookup($F340,'Reference info'!$J$10:$J$36,1,0))),"Producer &amp; Engineer")</f>
        <v/>
      </c>
    </row>
    <row r="341">
      <c r="B341" s="103"/>
      <c r="C341" s="121" t="str">
        <f t="array" ref="C341">ifs(and(isblank($A341),isblank($B341)),"", not(iserror(vlookup($A341&amp;$B341,'5) Release_Track'!$F:$F&amp;'5) Release_Track'!$G:$G,1,0))),vlookup($A341&amp;$B341,{'5) Release_Track'!$F:$F&amp;'5) Release_Track'!$G:$G,'5) Release_Track'!$H:$H},2,0), or(and(not(isblank($B341)),$B341=$B340,$A341&lt;&gt;$A340),and(not(isblank($A341)),$A341=$A340,$B341&lt;&gt;$B340)),"ID LISTS UNALIGNED",and($A341&lt;&gt;"",countif('5) Release_Track'!$F:$F,$A341)=0),"NO ISRC MATCH in Release_Track",and($B341&lt;&gt;"",countif('5) Release_Track'!$G:$G,$B341)=0),"NO CATALOG ID MATCH in Release_Track",iserror(vlookup($A341&amp;$B341,'5) Release_Track'!$F:$F&amp;'5) Release_Track'!$G:$G,1,0)),"NO ISRC-CATALOG ID pair MATCH in Release_Track" )</f>
        <v/>
      </c>
      <c r="D341" s="121" t="str">
        <f t="array" ref="D341">ifs(and(isblank($A341),isblank($B341)),"", not(iserror(vlookup($A341&amp;$B341,'5) Release_Track'!$F:$F&amp;'5) Release_Track'!$G:$G,1,0))),vlookup($A341&amp;$B341,{'5) Release_Track'!$F:$F&amp;'5) Release_Track'!$G:$G,'5) Release_Track'!$I:$I},2,0), or(and(not(isblank($B341)),$B341=$B340,$A341&lt;&gt;$A340),and(not(isblank($A341)),$A341=$A340,$B341&lt;&gt;$B340)),"ID LISTS UNALIGNED",and($A341&lt;&gt;"",countif('5) Release_Track'!$F:$F,$A341)=0),"NO ISRC MATCH in Release_Track",and($B341&lt;&gt;"",countif('5) Release_Track'!$G:$G,$B341)=0),"NO CATALOG ID MATCH in Release_Track",iserror(vlookup($A341&amp;$B341,'5) Release_Track'!$F:$F&amp;'5) Release_Track'!$G:$G,1,0)),"NO ISRC-CATALOG ID pair MATCH in Release_Track" )</f>
        <v/>
      </c>
      <c r="E341" s="99"/>
      <c r="F341" s="99"/>
      <c r="G341" s="123" t="str">
        <f t="array" ref="G341">ifs(or($F341="",$F341="Main Primary Artist"),$F341,not(iserror(vlookup($F341,'Reference info'!$J$5:$J$8,1,0))),"Key Artist",not(iserror(vlookup($F341,'Reference info'!$J$38:$J$405,1,0))),"Performer",not(iserror(vlookup($F341,'Reference info'!$J$10:$J$36,1,0))),"Producer &amp; Engineer")</f>
        <v/>
      </c>
    </row>
    <row r="342">
      <c r="B342" s="103"/>
      <c r="C342" s="121" t="str">
        <f t="array" ref="C342">ifs(and(isblank($A342),isblank($B342)),"", not(iserror(vlookup($A342&amp;$B342,'5) Release_Track'!$F:$F&amp;'5) Release_Track'!$G:$G,1,0))),vlookup($A342&amp;$B342,{'5) Release_Track'!$F:$F&amp;'5) Release_Track'!$G:$G,'5) Release_Track'!$H:$H},2,0), or(and(not(isblank($B342)),$B342=$B341,$A342&lt;&gt;$A341),and(not(isblank($A342)),$A342=$A341,$B342&lt;&gt;$B341)),"ID LISTS UNALIGNED",and($A342&lt;&gt;"",countif('5) Release_Track'!$F:$F,$A342)=0),"NO ISRC MATCH in Release_Track",and($B342&lt;&gt;"",countif('5) Release_Track'!$G:$G,$B342)=0),"NO CATALOG ID MATCH in Release_Track",iserror(vlookup($A342&amp;$B342,'5) Release_Track'!$F:$F&amp;'5) Release_Track'!$G:$G,1,0)),"NO ISRC-CATALOG ID pair MATCH in Release_Track" )</f>
        <v/>
      </c>
      <c r="D342" s="121" t="str">
        <f t="array" ref="D342">ifs(and(isblank($A342),isblank($B342)),"", not(iserror(vlookup($A342&amp;$B342,'5) Release_Track'!$F:$F&amp;'5) Release_Track'!$G:$G,1,0))),vlookup($A342&amp;$B342,{'5) Release_Track'!$F:$F&amp;'5) Release_Track'!$G:$G,'5) Release_Track'!$I:$I},2,0), or(and(not(isblank($B342)),$B342=$B341,$A342&lt;&gt;$A341),and(not(isblank($A342)),$A342=$A341,$B342&lt;&gt;$B341)),"ID LISTS UNALIGNED",and($A342&lt;&gt;"",countif('5) Release_Track'!$F:$F,$A342)=0),"NO ISRC MATCH in Release_Track",and($B342&lt;&gt;"",countif('5) Release_Track'!$G:$G,$B342)=0),"NO CATALOG ID MATCH in Release_Track",iserror(vlookup($A342&amp;$B342,'5) Release_Track'!$F:$F&amp;'5) Release_Track'!$G:$G,1,0)),"NO ISRC-CATALOG ID pair MATCH in Release_Track" )</f>
        <v/>
      </c>
      <c r="E342" s="99"/>
      <c r="F342" s="99"/>
      <c r="G342" s="123" t="str">
        <f t="array" ref="G342">ifs(or($F342="",$F342="Main Primary Artist"),$F342,not(iserror(vlookup($F342,'Reference info'!$J$5:$J$8,1,0))),"Key Artist",not(iserror(vlookup($F342,'Reference info'!$J$38:$J$405,1,0))),"Performer",not(iserror(vlookup($F342,'Reference info'!$J$10:$J$36,1,0))),"Producer &amp; Engineer")</f>
        <v/>
      </c>
    </row>
    <row r="343">
      <c r="B343" s="103"/>
      <c r="C343" s="121" t="str">
        <f t="array" ref="C343">ifs(and(isblank($A343),isblank($B343)),"", not(iserror(vlookup($A343&amp;$B343,'5) Release_Track'!$F:$F&amp;'5) Release_Track'!$G:$G,1,0))),vlookup($A343&amp;$B343,{'5) Release_Track'!$F:$F&amp;'5) Release_Track'!$G:$G,'5) Release_Track'!$H:$H},2,0), or(and(not(isblank($B343)),$B343=$B342,$A343&lt;&gt;$A342),and(not(isblank($A343)),$A343=$A342,$B343&lt;&gt;$B342)),"ID LISTS UNALIGNED",and($A343&lt;&gt;"",countif('5) Release_Track'!$F:$F,$A343)=0),"NO ISRC MATCH in Release_Track",and($B343&lt;&gt;"",countif('5) Release_Track'!$G:$G,$B343)=0),"NO CATALOG ID MATCH in Release_Track",iserror(vlookup($A343&amp;$B343,'5) Release_Track'!$F:$F&amp;'5) Release_Track'!$G:$G,1,0)),"NO ISRC-CATALOG ID pair MATCH in Release_Track" )</f>
        <v/>
      </c>
      <c r="D343" s="121" t="str">
        <f t="array" ref="D343">ifs(and(isblank($A343),isblank($B343)),"", not(iserror(vlookup($A343&amp;$B343,'5) Release_Track'!$F:$F&amp;'5) Release_Track'!$G:$G,1,0))),vlookup($A343&amp;$B343,{'5) Release_Track'!$F:$F&amp;'5) Release_Track'!$G:$G,'5) Release_Track'!$I:$I},2,0), or(and(not(isblank($B343)),$B343=$B342,$A343&lt;&gt;$A342),and(not(isblank($A343)),$A343=$A342,$B343&lt;&gt;$B342)),"ID LISTS UNALIGNED",and($A343&lt;&gt;"",countif('5) Release_Track'!$F:$F,$A343)=0),"NO ISRC MATCH in Release_Track",and($B343&lt;&gt;"",countif('5) Release_Track'!$G:$G,$B343)=0),"NO CATALOG ID MATCH in Release_Track",iserror(vlookup($A343&amp;$B343,'5) Release_Track'!$F:$F&amp;'5) Release_Track'!$G:$G,1,0)),"NO ISRC-CATALOG ID pair MATCH in Release_Track" )</f>
        <v/>
      </c>
      <c r="E343" s="99"/>
      <c r="F343" s="99"/>
      <c r="G343" s="123" t="str">
        <f t="array" ref="G343">ifs(or($F343="",$F343="Main Primary Artist"),$F343,not(iserror(vlookup($F343,'Reference info'!$J$5:$J$8,1,0))),"Key Artist",not(iserror(vlookup($F343,'Reference info'!$J$38:$J$405,1,0))),"Performer",not(iserror(vlookup($F343,'Reference info'!$J$10:$J$36,1,0))),"Producer &amp; Engineer")</f>
        <v/>
      </c>
    </row>
    <row r="344">
      <c r="B344" s="103"/>
      <c r="C344" s="121" t="str">
        <f t="array" ref="C344">ifs(and(isblank($A344),isblank($B344)),"", not(iserror(vlookup($A344&amp;$B344,'5) Release_Track'!$F:$F&amp;'5) Release_Track'!$G:$G,1,0))),vlookup($A344&amp;$B344,{'5) Release_Track'!$F:$F&amp;'5) Release_Track'!$G:$G,'5) Release_Track'!$H:$H},2,0), or(and(not(isblank($B344)),$B344=$B343,$A344&lt;&gt;$A343),and(not(isblank($A344)),$A344=$A343,$B344&lt;&gt;$B343)),"ID LISTS UNALIGNED",and($A344&lt;&gt;"",countif('5) Release_Track'!$F:$F,$A344)=0),"NO ISRC MATCH in Release_Track",and($B344&lt;&gt;"",countif('5) Release_Track'!$G:$G,$B344)=0),"NO CATALOG ID MATCH in Release_Track",iserror(vlookup($A344&amp;$B344,'5) Release_Track'!$F:$F&amp;'5) Release_Track'!$G:$G,1,0)),"NO ISRC-CATALOG ID pair MATCH in Release_Track" )</f>
        <v/>
      </c>
      <c r="D344" s="121" t="str">
        <f t="array" ref="D344">ifs(and(isblank($A344),isblank($B344)),"", not(iserror(vlookup($A344&amp;$B344,'5) Release_Track'!$F:$F&amp;'5) Release_Track'!$G:$G,1,0))),vlookup($A344&amp;$B344,{'5) Release_Track'!$F:$F&amp;'5) Release_Track'!$G:$G,'5) Release_Track'!$I:$I},2,0), or(and(not(isblank($B344)),$B344=$B343,$A344&lt;&gt;$A343),and(not(isblank($A344)),$A344=$A343,$B344&lt;&gt;$B343)),"ID LISTS UNALIGNED",and($A344&lt;&gt;"",countif('5) Release_Track'!$F:$F,$A344)=0),"NO ISRC MATCH in Release_Track",and($B344&lt;&gt;"",countif('5) Release_Track'!$G:$G,$B344)=0),"NO CATALOG ID MATCH in Release_Track",iserror(vlookup($A344&amp;$B344,'5) Release_Track'!$F:$F&amp;'5) Release_Track'!$G:$G,1,0)),"NO ISRC-CATALOG ID pair MATCH in Release_Track" )</f>
        <v/>
      </c>
      <c r="E344" s="99"/>
      <c r="F344" s="99"/>
      <c r="G344" s="123" t="str">
        <f t="array" ref="G344">ifs(or($F344="",$F344="Main Primary Artist"),$F344,not(iserror(vlookup($F344,'Reference info'!$J$5:$J$8,1,0))),"Key Artist",not(iserror(vlookup($F344,'Reference info'!$J$38:$J$405,1,0))),"Performer",not(iserror(vlookup($F344,'Reference info'!$J$10:$J$36,1,0))),"Producer &amp; Engineer")</f>
        <v/>
      </c>
    </row>
    <row r="345">
      <c r="B345" s="103"/>
      <c r="C345" s="121" t="str">
        <f t="array" ref="C345">ifs(and(isblank($A345),isblank($B345)),"", not(iserror(vlookup($A345&amp;$B345,'5) Release_Track'!$F:$F&amp;'5) Release_Track'!$G:$G,1,0))),vlookup($A345&amp;$B345,{'5) Release_Track'!$F:$F&amp;'5) Release_Track'!$G:$G,'5) Release_Track'!$H:$H},2,0), or(and(not(isblank($B345)),$B345=$B344,$A345&lt;&gt;$A344),and(not(isblank($A345)),$A345=$A344,$B345&lt;&gt;$B344)),"ID LISTS UNALIGNED",and($A345&lt;&gt;"",countif('5) Release_Track'!$F:$F,$A345)=0),"NO ISRC MATCH in Release_Track",and($B345&lt;&gt;"",countif('5) Release_Track'!$G:$G,$B345)=0),"NO CATALOG ID MATCH in Release_Track",iserror(vlookup($A345&amp;$B345,'5) Release_Track'!$F:$F&amp;'5) Release_Track'!$G:$G,1,0)),"NO ISRC-CATALOG ID pair MATCH in Release_Track" )</f>
        <v/>
      </c>
      <c r="D345" s="121" t="str">
        <f t="array" ref="D345">ifs(and(isblank($A345),isblank($B345)),"", not(iserror(vlookup($A345&amp;$B345,'5) Release_Track'!$F:$F&amp;'5) Release_Track'!$G:$G,1,0))),vlookup($A345&amp;$B345,{'5) Release_Track'!$F:$F&amp;'5) Release_Track'!$G:$G,'5) Release_Track'!$I:$I},2,0), or(and(not(isblank($B345)),$B345=$B344,$A345&lt;&gt;$A344),and(not(isblank($A345)),$A345=$A344,$B345&lt;&gt;$B344)),"ID LISTS UNALIGNED",and($A345&lt;&gt;"",countif('5) Release_Track'!$F:$F,$A345)=0),"NO ISRC MATCH in Release_Track",and($B345&lt;&gt;"",countif('5) Release_Track'!$G:$G,$B345)=0),"NO CATALOG ID MATCH in Release_Track",iserror(vlookup($A345&amp;$B345,'5) Release_Track'!$F:$F&amp;'5) Release_Track'!$G:$G,1,0)),"NO ISRC-CATALOG ID pair MATCH in Release_Track" )</f>
        <v/>
      </c>
      <c r="E345" s="99"/>
      <c r="F345" s="99"/>
      <c r="G345" s="123" t="str">
        <f t="array" ref="G345">ifs(or($F345="",$F345="Main Primary Artist"),$F345,not(iserror(vlookup($F345,'Reference info'!$J$5:$J$8,1,0))),"Key Artist",not(iserror(vlookup($F345,'Reference info'!$J$38:$J$405,1,0))),"Performer",not(iserror(vlookup($F345,'Reference info'!$J$10:$J$36,1,0))),"Producer &amp; Engineer")</f>
        <v/>
      </c>
    </row>
    <row r="346">
      <c r="B346" s="103"/>
      <c r="C346" s="121" t="str">
        <f t="array" ref="C346">ifs(and(isblank($A346),isblank($B346)),"", not(iserror(vlookup($A346&amp;$B346,'5) Release_Track'!$F:$F&amp;'5) Release_Track'!$G:$G,1,0))),vlookup($A346&amp;$B346,{'5) Release_Track'!$F:$F&amp;'5) Release_Track'!$G:$G,'5) Release_Track'!$H:$H},2,0), or(and(not(isblank($B346)),$B346=$B345,$A346&lt;&gt;$A345),and(not(isblank($A346)),$A346=$A345,$B346&lt;&gt;$B345)),"ID LISTS UNALIGNED",and($A346&lt;&gt;"",countif('5) Release_Track'!$F:$F,$A346)=0),"NO ISRC MATCH in Release_Track",and($B346&lt;&gt;"",countif('5) Release_Track'!$G:$G,$B346)=0),"NO CATALOG ID MATCH in Release_Track",iserror(vlookup($A346&amp;$B346,'5) Release_Track'!$F:$F&amp;'5) Release_Track'!$G:$G,1,0)),"NO ISRC-CATALOG ID pair MATCH in Release_Track" )</f>
        <v/>
      </c>
      <c r="D346" s="121" t="str">
        <f t="array" ref="D346">ifs(and(isblank($A346),isblank($B346)),"", not(iserror(vlookup($A346&amp;$B346,'5) Release_Track'!$F:$F&amp;'5) Release_Track'!$G:$G,1,0))),vlookup($A346&amp;$B346,{'5) Release_Track'!$F:$F&amp;'5) Release_Track'!$G:$G,'5) Release_Track'!$I:$I},2,0), or(and(not(isblank($B346)),$B346=$B345,$A346&lt;&gt;$A345),and(not(isblank($A346)),$A346=$A345,$B346&lt;&gt;$B345)),"ID LISTS UNALIGNED",and($A346&lt;&gt;"",countif('5) Release_Track'!$F:$F,$A346)=0),"NO ISRC MATCH in Release_Track",and($B346&lt;&gt;"",countif('5) Release_Track'!$G:$G,$B346)=0),"NO CATALOG ID MATCH in Release_Track",iserror(vlookup($A346&amp;$B346,'5) Release_Track'!$F:$F&amp;'5) Release_Track'!$G:$G,1,0)),"NO ISRC-CATALOG ID pair MATCH in Release_Track" )</f>
        <v/>
      </c>
      <c r="E346" s="99"/>
      <c r="F346" s="99"/>
      <c r="G346" s="123" t="str">
        <f t="array" ref="G346">ifs(or($F346="",$F346="Main Primary Artist"),$F346,not(iserror(vlookup($F346,'Reference info'!$J$5:$J$8,1,0))),"Key Artist",not(iserror(vlookup($F346,'Reference info'!$J$38:$J$405,1,0))),"Performer",not(iserror(vlookup($F346,'Reference info'!$J$10:$J$36,1,0))),"Producer &amp; Engineer")</f>
        <v/>
      </c>
    </row>
    <row r="347">
      <c r="B347" s="103"/>
      <c r="C347" s="121" t="str">
        <f t="array" ref="C347">ifs(and(isblank($A347),isblank($B347)),"", not(iserror(vlookup($A347&amp;$B347,'5) Release_Track'!$F:$F&amp;'5) Release_Track'!$G:$G,1,0))),vlookup($A347&amp;$B347,{'5) Release_Track'!$F:$F&amp;'5) Release_Track'!$G:$G,'5) Release_Track'!$H:$H},2,0), or(and(not(isblank($B347)),$B347=$B346,$A347&lt;&gt;$A346),and(not(isblank($A347)),$A347=$A346,$B347&lt;&gt;$B346)),"ID LISTS UNALIGNED",and($A347&lt;&gt;"",countif('5) Release_Track'!$F:$F,$A347)=0),"NO ISRC MATCH in Release_Track",and($B347&lt;&gt;"",countif('5) Release_Track'!$G:$G,$B347)=0),"NO CATALOG ID MATCH in Release_Track",iserror(vlookup($A347&amp;$B347,'5) Release_Track'!$F:$F&amp;'5) Release_Track'!$G:$G,1,0)),"NO ISRC-CATALOG ID pair MATCH in Release_Track" )</f>
        <v/>
      </c>
      <c r="D347" s="121" t="str">
        <f t="array" ref="D347">ifs(and(isblank($A347),isblank($B347)),"", not(iserror(vlookup($A347&amp;$B347,'5) Release_Track'!$F:$F&amp;'5) Release_Track'!$G:$G,1,0))),vlookup($A347&amp;$B347,{'5) Release_Track'!$F:$F&amp;'5) Release_Track'!$G:$G,'5) Release_Track'!$I:$I},2,0), or(and(not(isblank($B347)),$B347=$B346,$A347&lt;&gt;$A346),and(not(isblank($A347)),$A347=$A346,$B347&lt;&gt;$B346)),"ID LISTS UNALIGNED",and($A347&lt;&gt;"",countif('5) Release_Track'!$F:$F,$A347)=0),"NO ISRC MATCH in Release_Track",and($B347&lt;&gt;"",countif('5) Release_Track'!$G:$G,$B347)=0),"NO CATALOG ID MATCH in Release_Track",iserror(vlookup($A347&amp;$B347,'5) Release_Track'!$F:$F&amp;'5) Release_Track'!$G:$G,1,0)),"NO ISRC-CATALOG ID pair MATCH in Release_Track" )</f>
        <v/>
      </c>
      <c r="E347" s="99"/>
      <c r="F347" s="99"/>
      <c r="G347" s="123" t="str">
        <f t="array" ref="G347">ifs(or($F347="",$F347="Main Primary Artist"),$F347,not(iserror(vlookup($F347,'Reference info'!$J$5:$J$8,1,0))),"Key Artist",not(iserror(vlookup($F347,'Reference info'!$J$38:$J$405,1,0))),"Performer",not(iserror(vlookup($F347,'Reference info'!$J$10:$J$36,1,0))),"Producer &amp; Engineer")</f>
        <v/>
      </c>
    </row>
    <row r="348">
      <c r="B348" s="103"/>
      <c r="C348" s="121" t="str">
        <f t="array" ref="C348">ifs(and(isblank($A348),isblank($B348)),"", not(iserror(vlookup($A348&amp;$B348,'5) Release_Track'!$F:$F&amp;'5) Release_Track'!$G:$G,1,0))),vlookup($A348&amp;$B348,{'5) Release_Track'!$F:$F&amp;'5) Release_Track'!$G:$G,'5) Release_Track'!$H:$H},2,0), or(and(not(isblank($B348)),$B348=$B347,$A348&lt;&gt;$A347),and(not(isblank($A348)),$A348=$A347,$B348&lt;&gt;$B347)),"ID LISTS UNALIGNED",and($A348&lt;&gt;"",countif('5) Release_Track'!$F:$F,$A348)=0),"NO ISRC MATCH in Release_Track",and($B348&lt;&gt;"",countif('5) Release_Track'!$G:$G,$B348)=0),"NO CATALOG ID MATCH in Release_Track",iserror(vlookup($A348&amp;$B348,'5) Release_Track'!$F:$F&amp;'5) Release_Track'!$G:$G,1,0)),"NO ISRC-CATALOG ID pair MATCH in Release_Track" )</f>
        <v/>
      </c>
      <c r="D348" s="121" t="str">
        <f t="array" ref="D348">ifs(and(isblank($A348),isblank($B348)),"", not(iserror(vlookup($A348&amp;$B348,'5) Release_Track'!$F:$F&amp;'5) Release_Track'!$G:$G,1,0))),vlookup($A348&amp;$B348,{'5) Release_Track'!$F:$F&amp;'5) Release_Track'!$G:$G,'5) Release_Track'!$I:$I},2,0), or(and(not(isblank($B348)),$B348=$B347,$A348&lt;&gt;$A347),and(not(isblank($A348)),$A348=$A347,$B348&lt;&gt;$B347)),"ID LISTS UNALIGNED",and($A348&lt;&gt;"",countif('5) Release_Track'!$F:$F,$A348)=0),"NO ISRC MATCH in Release_Track",and($B348&lt;&gt;"",countif('5) Release_Track'!$G:$G,$B348)=0),"NO CATALOG ID MATCH in Release_Track",iserror(vlookup($A348&amp;$B348,'5) Release_Track'!$F:$F&amp;'5) Release_Track'!$G:$G,1,0)),"NO ISRC-CATALOG ID pair MATCH in Release_Track" )</f>
        <v/>
      </c>
      <c r="E348" s="99"/>
      <c r="F348" s="99"/>
      <c r="G348" s="123" t="str">
        <f t="array" ref="G348">ifs(or($F348="",$F348="Main Primary Artist"),$F348,not(iserror(vlookup($F348,'Reference info'!$J$5:$J$8,1,0))),"Key Artist",not(iserror(vlookup($F348,'Reference info'!$J$38:$J$405,1,0))),"Performer",not(iserror(vlookup($F348,'Reference info'!$J$10:$J$36,1,0))),"Producer &amp; Engineer")</f>
        <v/>
      </c>
    </row>
    <row r="349">
      <c r="B349" s="103"/>
      <c r="C349" s="121" t="str">
        <f t="array" ref="C349">ifs(and(isblank($A349),isblank($B349)),"", not(iserror(vlookup($A349&amp;$B349,'5) Release_Track'!$F:$F&amp;'5) Release_Track'!$G:$G,1,0))),vlookup($A349&amp;$B349,{'5) Release_Track'!$F:$F&amp;'5) Release_Track'!$G:$G,'5) Release_Track'!$H:$H},2,0), or(and(not(isblank($B349)),$B349=$B348,$A349&lt;&gt;$A348),and(not(isblank($A349)),$A349=$A348,$B349&lt;&gt;$B348)),"ID LISTS UNALIGNED",and($A349&lt;&gt;"",countif('5) Release_Track'!$F:$F,$A349)=0),"NO ISRC MATCH in Release_Track",and($B349&lt;&gt;"",countif('5) Release_Track'!$G:$G,$B349)=0),"NO CATALOG ID MATCH in Release_Track",iserror(vlookup($A349&amp;$B349,'5) Release_Track'!$F:$F&amp;'5) Release_Track'!$G:$G,1,0)),"NO ISRC-CATALOG ID pair MATCH in Release_Track" )</f>
        <v/>
      </c>
      <c r="D349" s="121" t="str">
        <f t="array" ref="D349">ifs(and(isblank($A349),isblank($B349)),"", not(iserror(vlookup($A349&amp;$B349,'5) Release_Track'!$F:$F&amp;'5) Release_Track'!$G:$G,1,0))),vlookup($A349&amp;$B349,{'5) Release_Track'!$F:$F&amp;'5) Release_Track'!$G:$G,'5) Release_Track'!$I:$I},2,0), or(and(not(isblank($B349)),$B349=$B348,$A349&lt;&gt;$A348),and(not(isblank($A349)),$A349=$A348,$B349&lt;&gt;$B348)),"ID LISTS UNALIGNED",and($A349&lt;&gt;"",countif('5) Release_Track'!$F:$F,$A349)=0),"NO ISRC MATCH in Release_Track",and($B349&lt;&gt;"",countif('5) Release_Track'!$G:$G,$B349)=0),"NO CATALOG ID MATCH in Release_Track",iserror(vlookup($A349&amp;$B349,'5) Release_Track'!$F:$F&amp;'5) Release_Track'!$G:$G,1,0)),"NO ISRC-CATALOG ID pair MATCH in Release_Track" )</f>
        <v/>
      </c>
      <c r="E349" s="99"/>
      <c r="F349" s="99"/>
      <c r="G349" s="123" t="str">
        <f t="array" ref="G349">ifs(or($F349="",$F349="Main Primary Artist"),$F349,not(iserror(vlookup($F349,'Reference info'!$J$5:$J$8,1,0))),"Key Artist",not(iserror(vlookup($F349,'Reference info'!$J$38:$J$405,1,0))),"Performer",not(iserror(vlookup($F349,'Reference info'!$J$10:$J$36,1,0))),"Producer &amp; Engineer")</f>
        <v/>
      </c>
    </row>
    <row r="350">
      <c r="B350" s="103"/>
      <c r="C350" s="121" t="str">
        <f t="array" ref="C350">ifs(and(isblank($A350),isblank($B350)),"", not(iserror(vlookup($A350&amp;$B350,'5) Release_Track'!$F:$F&amp;'5) Release_Track'!$G:$G,1,0))),vlookup($A350&amp;$B350,{'5) Release_Track'!$F:$F&amp;'5) Release_Track'!$G:$G,'5) Release_Track'!$H:$H},2,0), or(and(not(isblank($B350)),$B350=$B349,$A350&lt;&gt;$A349),and(not(isblank($A350)),$A350=$A349,$B350&lt;&gt;$B349)),"ID LISTS UNALIGNED",and($A350&lt;&gt;"",countif('5) Release_Track'!$F:$F,$A350)=0),"NO ISRC MATCH in Release_Track",and($B350&lt;&gt;"",countif('5) Release_Track'!$G:$G,$B350)=0),"NO CATALOG ID MATCH in Release_Track",iserror(vlookup($A350&amp;$B350,'5) Release_Track'!$F:$F&amp;'5) Release_Track'!$G:$G,1,0)),"NO ISRC-CATALOG ID pair MATCH in Release_Track" )</f>
        <v/>
      </c>
      <c r="D350" s="121" t="str">
        <f t="array" ref="D350">ifs(and(isblank($A350),isblank($B350)),"", not(iserror(vlookup($A350&amp;$B350,'5) Release_Track'!$F:$F&amp;'5) Release_Track'!$G:$G,1,0))),vlookup($A350&amp;$B350,{'5) Release_Track'!$F:$F&amp;'5) Release_Track'!$G:$G,'5) Release_Track'!$I:$I},2,0), or(and(not(isblank($B350)),$B350=$B349,$A350&lt;&gt;$A349),and(not(isblank($A350)),$A350=$A349,$B350&lt;&gt;$B349)),"ID LISTS UNALIGNED",and($A350&lt;&gt;"",countif('5) Release_Track'!$F:$F,$A350)=0),"NO ISRC MATCH in Release_Track",and($B350&lt;&gt;"",countif('5) Release_Track'!$G:$G,$B350)=0),"NO CATALOG ID MATCH in Release_Track",iserror(vlookup($A350&amp;$B350,'5) Release_Track'!$F:$F&amp;'5) Release_Track'!$G:$G,1,0)),"NO ISRC-CATALOG ID pair MATCH in Release_Track" )</f>
        <v/>
      </c>
      <c r="E350" s="99"/>
      <c r="F350" s="99"/>
      <c r="G350" s="123" t="str">
        <f t="array" ref="G350">ifs(or($F350="",$F350="Main Primary Artist"),$F350,not(iserror(vlookup($F350,'Reference info'!$J$5:$J$8,1,0))),"Key Artist",not(iserror(vlookup($F350,'Reference info'!$J$38:$J$405,1,0))),"Performer",not(iserror(vlookup($F350,'Reference info'!$J$10:$J$36,1,0))),"Producer &amp; Engineer")</f>
        <v/>
      </c>
    </row>
    <row r="351">
      <c r="B351" s="103"/>
      <c r="C351" s="121" t="str">
        <f t="array" ref="C351">ifs(and(isblank($A351),isblank($B351)),"", not(iserror(vlookup($A351&amp;$B351,'5) Release_Track'!$F:$F&amp;'5) Release_Track'!$G:$G,1,0))),vlookup($A351&amp;$B351,{'5) Release_Track'!$F:$F&amp;'5) Release_Track'!$G:$G,'5) Release_Track'!$H:$H},2,0), or(and(not(isblank($B351)),$B351=$B350,$A351&lt;&gt;$A350),and(not(isblank($A351)),$A351=$A350,$B351&lt;&gt;$B350)),"ID LISTS UNALIGNED",and($A351&lt;&gt;"",countif('5) Release_Track'!$F:$F,$A351)=0),"NO ISRC MATCH in Release_Track",and($B351&lt;&gt;"",countif('5) Release_Track'!$G:$G,$B351)=0),"NO CATALOG ID MATCH in Release_Track",iserror(vlookup($A351&amp;$B351,'5) Release_Track'!$F:$F&amp;'5) Release_Track'!$G:$G,1,0)),"NO ISRC-CATALOG ID pair MATCH in Release_Track" )</f>
        <v/>
      </c>
      <c r="D351" s="121" t="str">
        <f t="array" ref="D351">ifs(and(isblank($A351),isblank($B351)),"", not(iserror(vlookup($A351&amp;$B351,'5) Release_Track'!$F:$F&amp;'5) Release_Track'!$G:$G,1,0))),vlookup($A351&amp;$B351,{'5) Release_Track'!$F:$F&amp;'5) Release_Track'!$G:$G,'5) Release_Track'!$I:$I},2,0), or(and(not(isblank($B351)),$B351=$B350,$A351&lt;&gt;$A350),and(not(isblank($A351)),$A351=$A350,$B351&lt;&gt;$B350)),"ID LISTS UNALIGNED",and($A351&lt;&gt;"",countif('5) Release_Track'!$F:$F,$A351)=0),"NO ISRC MATCH in Release_Track",and($B351&lt;&gt;"",countif('5) Release_Track'!$G:$G,$B351)=0),"NO CATALOG ID MATCH in Release_Track",iserror(vlookup($A351&amp;$B351,'5) Release_Track'!$F:$F&amp;'5) Release_Track'!$G:$G,1,0)),"NO ISRC-CATALOG ID pair MATCH in Release_Track" )</f>
        <v/>
      </c>
      <c r="E351" s="99"/>
      <c r="F351" s="99"/>
      <c r="G351" s="123" t="str">
        <f t="array" ref="G351">ifs(or($F351="",$F351="Main Primary Artist"),$F351,not(iserror(vlookup($F351,'Reference info'!$J$5:$J$8,1,0))),"Key Artist",not(iserror(vlookup($F351,'Reference info'!$J$38:$J$405,1,0))),"Performer",not(iserror(vlookup($F351,'Reference info'!$J$10:$J$36,1,0))),"Producer &amp; Engineer")</f>
        <v/>
      </c>
    </row>
    <row r="352">
      <c r="B352" s="103"/>
      <c r="C352" s="121" t="str">
        <f t="array" ref="C352">ifs(and(isblank($A352),isblank($B352)),"", not(iserror(vlookup($A352&amp;$B352,'5) Release_Track'!$F:$F&amp;'5) Release_Track'!$G:$G,1,0))),vlookup($A352&amp;$B352,{'5) Release_Track'!$F:$F&amp;'5) Release_Track'!$G:$G,'5) Release_Track'!$H:$H},2,0), or(and(not(isblank($B352)),$B352=$B351,$A352&lt;&gt;$A351),and(not(isblank($A352)),$A352=$A351,$B352&lt;&gt;$B351)),"ID LISTS UNALIGNED",and($A352&lt;&gt;"",countif('5) Release_Track'!$F:$F,$A352)=0),"NO ISRC MATCH in Release_Track",and($B352&lt;&gt;"",countif('5) Release_Track'!$G:$G,$B352)=0),"NO CATALOG ID MATCH in Release_Track",iserror(vlookup($A352&amp;$B352,'5) Release_Track'!$F:$F&amp;'5) Release_Track'!$G:$G,1,0)),"NO ISRC-CATALOG ID pair MATCH in Release_Track" )</f>
        <v/>
      </c>
      <c r="D352" s="121" t="str">
        <f t="array" ref="D352">ifs(and(isblank($A352),isblank($B352)),"", not(iserror(vlookup($A352&amp;$B352,'5) Release_Track'!$F:$F&amp;'5) Release_Track'!$G:$G,1,0))),vlookup($A352&amp;$B352,{'5) Release_Track'!$F:$F&amp;'5) Release_Track'!$G:$G,'5) Release_Track'!$I:$I},2,0), or(and(not(isblank($B352)),$B352=$B351,$A352&lt;&gt;$A351),and(not(isblank($A352)),$A352=$A351,$B352&lt;&gt;$B351)),"ID LISTS UNALIGNED",and($A352&lt;&gt;"",countif('5) Release_Track'!$F:$F,$A352)=0),"NO ISRC MATCH in Release_Track",and($B352&lt;&gt;"",countif('5) Release_Track'!$G:$G,$B352)=0),"NO CATALOG ID MATCH in Release_Track",iserror(vlookup($A352&amp;$B352,'5) Release_Track'!$F:$F&amp;'5) Release_Track'!$G:$G,1,0)),"NO ISRC-CATALOG ID pair MATCH in Release_Track" )</f>
        <v/>
      </c>
      <c r="E352" s="99"/>
      <c r="F352" s="99"/>
      <c r="G352" s="123" t="str">
        <f t="array" ref="G352">ifs(or($F352="",$F352="Main Primary Artist"),$F352,not(iserror(vlookup($F352,'Reference info'!$J$5:$J$8,1,0))),"Key Artist",not(iserror(vlookup($F352,'Reference info'!$J$38:$J$405,1,0))),"Performer",not(iserror(vlookup($F352,'Reference info'!$J$10:$J$36,1,0))),"Producer &amp; Engineer")</f>
        <v/>
      </c>
    </row>
    <row r="353">
      <c r="B353" s="103"/>
      <c r="C353" s="121" t="str">
        <f t="array" ref="C353">ifs(and(isblank($A353),isblank($B353)),"", not(iserror(vlookup($A353&amp;$B353,'5) Release_Track'!$F:$F&amp;'5) Release_Track'!$G:$G,1,0))),vlookup($A353&amp;$B353,{'5) Release_Track'!$F:$F&amp;'5) Release_Track'!$G:$G,'5) Release_Track'!$H:$H},2,0), or(and(not(isblank($B353)),$B353=$B352,$A353&lt;&gt;$A352),and(not(isblank($A353)),$A353=$A352,$B353&lt;&gt;$B352)),"ID LISTS UNALIGNED",and($A353&lt;&gt;"",countif('5) Release_Track'!$F:$F,$A353)=0),"NO ISRC MATCH in Release_Track",and($B353&lt;&gt;"",countif('5) Release_Track'!$G:$G,$B353)=0),"NO CATALOG ID MATCH in Release_Track",iserror(vlookup($A353&amp;$B353,'5) Release_Track'!$F:$F&amp;'5) Release_Track'!$G:$G,1,0)),"NO ISRC-CATALOG ID pair MATCH in Release_Track" )</f>
        <v/>
      </c>
      <c r="D353" s="121" t="str">
        <f t="array" ref="D353">ifs(and(isblank($A353),isblank($B353)),"", not(iserror(vlookup($A353&amp;$B353,'5) Release_Track'!$F:$F&amp;'5) Release_Track'!$G:$G,1,0))),vlookup($A353&amp;$B353,{'5) Release_Track'!$F:$F&amp;'5) Release_Track'!$G:$G,'5) Release_Track'!$I:$I},2,0), or(and(not(isblank($B353)),$B353=$B352,$A353&lt;&gt;$A352),and(not(isblank($A353)),$A353=$A352,$B353&lt;&gt;$B352)),"ID LISTS UNALIGNED",and($A353&lt;&gt;"",countif('5) Release_Track'!$F:$F,$A353)=0),"NO ISRC MATCH in Release_Track",and($B353&lt;&gt;"",countif('5) Release_Track'!$G:$G,$B353)=0),"NO CATALOG ID MATCH in Release_Track",iserror(vlookup($A353&amp;$B353,'5) Release_Track'!$F:$F&amp;'5) Release_Track'!$G:$G,1,0)),"NO ISRC-CATALOG ID pair MATCH in Release_Track" )</f>
        <v/>
      </c>
      <c r="E353" s="99"/>
      <c r="F353" s="99"/>
      <c r="G353" s="123" t="str">
        <f t="array" ref="G353">ifs(or($F353="",$F353="Main Primary Artist"),$F353,not(iserror(vlookup($F353,'Reference info'!$J$5:$J$8,1,0))),"Key Artist",not(iserror(vlookup($F353,'Reference info'!$J$38:$J$405,1,0))),"Performer",not(iserror(vlookup($F353,'Reference info'!$J$10:$J$36,1,0))),"Producer &amp; Engineer")</f>
        <v/>
      </c>
    </row>
    <row r="354">
      <c r="B354" s="103"/>
      <c r="C354" s="121" t="str">
        <f t="array" ref="C354">ifs(and(isblank($A354),isblank($B354)),"", not(iserror(vlookup($A354&amp;$B354,'5) Release_Track'!$F:$F&amp;'5) Release_Track'!$G:$G,1,0))),vlookup($A354&amp;$B354,{'5) Release_Track'!$F:$F&amp;'5) Release_Track'!$G:$G,'5) Release_Track'!$H:$H},2,0), or(and(not(isblank($B354)),$B354=$B353,$A354&lt;&gt;$A353),and(not(isblank($A354)),$A354=$A353,$B354&lt;&gt;$B353)),"ID LISTS UNALIGNED",and($A354&lt;&gt;"",countif('5) Release_Track'!$F:$F,$A354)=0),"NO ISRC MATCH in Release_Track",and($B354&lt;&gt;"",countif('5) Release_Track'!$G:$G,$B354)=0),"NO CATALOG ID MATCH in Release_Track",iserror(vlookup($A354&amp;$B354,'5) Release_Track'!$F:$F&amp;'5) Release_Track'!$G:$G,1,0)),"NO ISRC-CATALOG ID pair MATCH in Release_Track" )</f>
        <v/>
      </c>
      <c r="D354" s="121" t="str">
        <f t="array" ref="D354">ifs(and(isblank($A354),isblank($B354)),"", not(iserror(vlookup($A354&amp;$B354,'5) Release_Track'!$F:$F&amp;'5) Release_Track'!$G:$G,1,0))),vlookup($A354&amp;$B354,{'5) Release_Track'!$F:$F&amp;'5) Release_Track'!$G:$G,'5) Release_Track'!$I:$I},2,0), or(and(not(isblank($B354)),$B354=$B353,$A354&lt;&gt;$A353),and(not(isblank($A354)),$A354=$A353,$B354&lt;&gt;$B353)),"ID LISTS UNALIGNED",and($A354&lt;&gt;"",countif('5) Release_Track'!$F:$F,$A354)=0),"NO ISRC MATCH in Release_Track",and($B354&lt;&gt;"",countif('5) Release_Track'!$G:$G,$B354)=0),"NO CATALOG ID MATCH in Release_Track",iserror(vlookup($A354&amp;$B354,'5) Release_Track'!$F:$F&amp;'5) Release_Track'!$G:$G,1,0)),"NO ISRC-CATALOG ID pair MATCH in Release_Track" )</f>
        <v/>
      </c>
      <c r="E354" s="99"/>
      <c r="F354" s="99"/>
      <c r="G354" s="123" t="str">
        <f t="array" ref="G354">ifs(or($F354="",$F354="Main Primary Artist"),$F354,not(iserror(vlookup($F354,'Reference info'!$J$5:$J$8,1,0))),"Key Artist",not(iserror(vlookup($F354,'Reference info'!$J$38:$J$405,1,0))),"Performer",not(iserror(vlookup($F354,'Reference info'!$J$10:$J$36,1,0))),"Producer &amp; Engineer")</f>
        <v/>
      </c>
    </row>
    <row r="355">
      <c r="B355" s="103"/>
      <c r="C355" s="121" t="str">
        <f t="array" ref="C355">ifs(and(isblank($A355),isblank($B355)),"", not(iserror(vlookup($A355&amp;$B355,'5) Release_Track'!$F:$F&amp;'5) Release_Track'!$G:$G,1,0))),vlookup($A355&amp;$B355,{'5) Release_Track'!$F:$F&amp;'5) Release_Track'!$G:$G,'5) Release_Track'!$H:$H},2,0), or(and(not(isblank($B355)),$B355=$B354,$A355&lt;&gt;$A354),and(not(isblank($A355)),$A355=$A354,$B355&lt;&gt;$B354)),"ID LISTS UNALIGNED",and($A355&lt;&gt;"",countif('5) Release_Track'!$F:$F,$A355)=0),"NO ISRC MATCH in Release_Track",and($B355&lt;&gt;"",countif('5) Release_Track'!$G:$G,$B355)=0),"NO CATALOG ID MATCH in Release_Track",iserror(vlookup($A355&amp;$B355,'5) Release_Track'!$F:$F&amp;'5) Release_Track'!$G:$G,1,0)),"NO ISRC-CATALOG ID pair MATCH in Release_Track" )</f>
        <v/>
      </c>
      <c r="D355" s="121" t="str">
        <f t="array" ref="D355">ifs(and(isblank($A355),isblank($B355)),"", not(iserror(vlookup($A355&amp;$B355,'5) Release_Track'!$F:$F&amp;'5) Release_Track'!$G:$G,1,0))),vlookup($A355&amp;$B355,{'5) Release_Track'!$F:$F&amp;'5) Release_Track'!$G:$G,'5) Release_Track'!$I:$I},2,0), or(and(not(isblank($B355)),$B355=$B354,$A355&lt;&gt;$A354),and(not(isblank($A355)),$A355=$A354,$B355&lt;&gt;$B354)),"ID LISTS UNALIGNED",and($A355&lt;&gt;"",countif('5) Release_Track'!$F:$F,$A355)=0),"NO ISRC MATCH in Release_Track",and($B355&lt;&gt;"",countif('5) Release_Track'!$G:$G,$B355)=0),"NO CATALOG ID MATCH in Release_Track",iserror(vlookup($A355&amp;$B355,'5) Release_Track'!$F:$F&amp;'5) Release_Track'!$G:$G,1,0)),"NO ISRC-CATALOG ID pair MATCH in Release_Track" )</f>
        <v/>
      </c>
      <c r="E355" s="99"/>
      <c r="F355" s="99"/>
      <c r="G355" s="123" t="str">
        <f t="array" ref="G355">ifs(or($F355="",$F355="Main Primary Artist"),$F355,not(iserror(vlookup($F355,'Reference info'!$J$5:$J$8,1,0))),"Key Artist",not(iserror(vlookup($F355,'Reference info'!$J$38:$J$405,1,0))),"Performer",not(iserror(vlookup($F355,'Reference info'!$J$10:$J$36,1,0))),"Producer &amp; Engineer")</f>
        <v/>
      </c>
    </row>
    <row r="356">
      <c r="B356" s="103"/>
      <c r="C356" s="121" t="str">
        <f t="array" ref="C356">ifs(and(isblank($A356),isblank($B356)),"", not(iserror(vlookup($A356&amp;$B356,'5) Release_Track'!$F:$F&amp;'5) Release_Track'!$G:$G,1,0))),vlookup($A356&amp;$B356,{'5) Release_Track'!$F:$F&amp;'5) Release_Track'!$G:$G,'5) Release_Track'!$H:$H},2,0), or(and(not(isblank($B356)),$B356=$B355,$A356&lt;&gt;$A355),and(not(isblank($A356)),$A356=$A355,$B356&lt;&gt;$B355)),"ID LISTS UNALIGNED",and($A356&lt;&gt;"",countif('5) Release_Track'!$F:$F,$A356)=0),"NO ISRC MATCH in Release_Track",and($B356&lt;&gt;"",countif('5) Release_Track'!$G:$G,$B356)=0),"NO CATALOG ID MATCH in Release_Track",iserror(vlookup($A356&amp;$B356,'5) Release_Track'!$F:$F&amp;'5) Release_Track'!$G:$G,1,0)),"NO ISRC-CATALOG ID pair MATCH in Release_Track" )</f>
        <v/>
      </c>
      <c r="D356" s="121" t="str">
        <f t="array" ref="D356">ifs(and(isblank($A356),isblank($B356)),"", not(iserror(vlookup($A356&amp;$B356,'5) Release_Track'!$F:$F&amp;'5) Release_Track'!$G:$G,1,0))),vlookup($A356&amp;$B356,{'5) Release_Track'!$F:$F&amp;'5) Release_Track'!$G:$G,'5) Release_Track'!$I:$I},2,0), or(and(not(isblank($B356)),$B356=$B355,$A356&lt;&gt;$A355),and(not(isblank($A356)),$A356=$A355,$B356&lt;&gt;$B355)),"ID LISTS UNALIGNED",and($A356&lt;&gt;"",countif('5) Release_Track'!$F:$F,$A356)=0),"NO ISRC MATCH in Release_Track",and($B356&lt;&gt;"",countif('5) Release_Track'!$G:$G,$B356)=0),"NO CATALOG ID MATCH in Release_Track",iserror(vlookup($A356&amp;$B356,'5) Release_Track'!$F:$F&amp;'5) Release_Track'!$G:$G,1,0)),"NO ISRC-CATALOG ID pair MATCH in Release_Track" )</f>
        <v/>
      </c>
      <c r="E356" s="99"/>
      <c r="F356" s="99"/>
      <c r="G356" s="123" t="str">
        <f t="array" ref="G356">ifs(or($F356="",$F356="Main Primary Artist"),$F356,not(iserror(vlookup($F356,'Reference info'!$J$5:$J$8,1,0))),"Key Artist",not(iserror(vlookup($F356,'Reference info'!$J$38:$J$405,1,0))),"Performer",not(iserror(vlookup($F356,'Reference info'!$J$10:$J$36,1,0))),"Producer &amp; Engineer")</f>
        <v/>
      </c>
    </row>
    <row r="357">
      <c r="B357" s="103"/>
      <c r="C357" s="121" t="str">
        <f t="array" ref="C357">ifs(and(isblank($A357),isblank($B357)),"", not(iserror(vlookup($A357&amp;$B357,'5) Release_Track'!$F:$F&amp;'5) Release_Track'!$G:$G,1,0))),vlookup($A357&amp;$B357,{'5) Release_Track'!$F:$F&amp;'5) Release_Track'!$G:$G,'5) Release_Track'!$H:$H},2,0), or(and(not(isblank($B357)),$B357=$B356,$A357&lt;&gt;$A356),and(not(isblank($A357)),$A357=$A356,$B357&lt;&gt;$B356)),"ID LISTS UNALIGNED",and($A357&lt;&gt;"",countif('5) Release_Track'!$F:$F,$A357)=0),"NO ISRC MATCH in Release_Track",and($B357&lt;&gt;"",countif('5) Release_Track'!$G:$G,$B357)=0),"NO CATALOG ID MATCH in Release_Track",iserror(vlookup($A357&amp;$B357,'5) Release_Track'!$F:$F&amp;'5) Release_Track'!$G:$G,1,0)),"NO ISRC-CATALOG ID pair MATCH in Release_Track" )</f>
        <v/>
      </c>
      <c r="D357" s="121" t="str">
        <f t="array" ref="D357">ifs(and(isblank($A357),isblank($B357)),"", not(iserror(vlookup($A357&amp;$B357,'5) Release_Track'!$F:$F&amp;'5) Release_Track'!$G:$G,1,0))),vlookup($A357&amp;$B357,{'5) Release_Track'!$F:$F&amp;'5) Release_Track'!$G:$G,'5) Release_Track'!$I:$I},2,0), or(and(not(isblank($B357)),$B357=$B356,$A357&lt;&gt;$A356),and(not(isblank($A357)),$A357=$A356,$B357&lt;&gt;$B356)),"ID LISTS UNALIGNED",and($A357&lt;&gt;"",countif('5) Release_Track'!$F:$F,$A357)=0),"NO ISRC MATCH in Release_Track",and($B357&lt;&gt;"",countif('5) Release_Track'!$G:$G,$B357)=0),"NO CATALOG ID MATCH in Release_Track",iserror(vlookup($A357&amp;$B357,'5) Release_Track'!$F:$F&amp;'5) Release_Track'!$G:$G,1,0)),"NO ISRC-CATALOG ID pair MATCH in Release_Track" )</f>
        <v/>
      </c>
      <c r="E357" s="99"/>
      <c r="F357" s="99"/>
      <c r="G357" s="123" t="str">
        <f t="array" ref="G357">ifs(or($F357="",$F357="Main Primary Artist"),$F357,not(iserror(vlookup($F357,'Reference info'!$J$5:$J$8,1,0))),"Key Artist",not(iserror(vlookup($F357,'Reference info'!$J$38:$J$405,1,0))),"Performer",not(iserror(vlookup($F357,'Reference info'!$J$10:$J$36,1,0))),"Producer &amp; Engineer")</f>
        <v/>
      </c>
    </row>
    <row r="358">
      <c r="B358" s="103"/>
      <c r="C358" s="121" t="str">
        <f t="array" ref="C358">ifs(and(isblank($A358),isblank($B358)),"", not(iserror(vlookup($A358&amp;$B358,'5) Release_Track'!$F:$F&amp;'5) Release_Track'!$G:$G,1,0))),vlookup($A358&amp;$B358,{'5) Release_Track'!$F:$F&amp;'5) Release_Track'!$G:$G,'5) Release_Track'!$H:$H},2,0), or(and(not(isblank($B358)),$B358=$B357,$A358&lt;&gt;$A357),and(not(isblank($A358)),$A358=$A357,$B358&lt;&gt;$B357)),"ID LISTS UNALIGNED",and($A358&lt;&gt;"",countif('5) Release_Track'!$F:$F,$A358)=0),"NO ISRC MATCH in Release_Track",and($B358&lt;&gt;"",countif('5) Release_Track'!$G:$G,$B358)=0),"NO CATALOG ID MATCH in Release_Track",iserror(vlookup($A358&amp;$B358,'5) Release_Track'!$F:$F&amp;'5) Release_Track'!$G:$G,1,0)),"NO ISRC-CATALOG ID pair MATCH in Release_Track" )</f>
        <v/>
      </c>
      <c r="D358" s="121" t="str">
        <f t="array" ref="D358">ifs(and(isblank($A358),isblank($B358)),"", not(iserror(vlookup($A358&amp;$B358,'5) Release_Track'!$F:$F&amp;'5) Release_Track'!$G:$G,1,0))),vlookup($A358&amp;$B358,{'5) Release_Track'!$F:$F&amp;'5) Release_Track'!$G:$G,'5) Release_Track'!$I:$I},2,0), or(and(not(isblank($B358)),$B358=$B357,$A358&lt;&gt;$A357),and(not(isblank($A358)),$A358=$A357,$B358&lt;&gt;$B357)),"ID LISTS UNALIGNED",and($A358&lt;&gt;"",countif('5) Release_Track'!$F:$F,$A358)=0),"NO ISRC MATCH in Release_Track",and($B358&lt;&gt;"",countif('5) Release_Track'!$G:$G,$B358)=0),"NO CATALOG ID MATCH in Release_Track",iserror(vlookup($A358&amp;$B358,'5) Release_Track'!$F:$F&amp;'5) Release_Track'!$G:$G,1,0)),"NO ISRC-CATALOG ID pair MATCH in Release_Track" )</f>
        <v/>
      </c>
      <c r="E358" s="99"/>
      <c r="F358" s="99"/>
      <c r="G358" s="123" t="str">
        <f t="array" ref="G358">ifs(or($F358="",$F358="Main Primary Artist"),$F358,not(iserror(vlookup($F358,'Reference info'!$J$5:$J$8,1,0))),"Key Artist",not(iserror(vlookup($F358,'Reference info'!$J$38:$J$405,1,0))),"Performer",not(iserror(vlookup($F358,'Reference info'!$J$10:$J$36,1,0))),"Producer &amp; Engineer")</f>
        <v/>
      </c>
    </row>
    <row r="359">
      <c r="B359" s="103"/>
      <c r="C359" s="121" t="str">
        <f t="array" ref="C359">ifs(and(isblank($A359),isblank($B359)),"", not(iserror(vlookup($A359&amp;$B359,'5) Release_Track'!$F:$F&amp;'5) Release_Track'!$G:$G,1,0))),vlookup($A359&amp;$B359,{'5) Release_Track'!$F:$F&amp;'5) Release_Track'!$G:$G,'5) Release_Track'!$H:$H},2,0), or(and(not(isblank($B359)),$B359=$B358,$A359&lt;&gt;$A358),and(not(isblank($A359)),$A359=$A358,$B359&lt;&gt;$B358)),"ID LISTS UNALIGNED",and($A359&lt;&gt;"",countif('5) Release_Track'!$F:$F,$A359)=0),"NO ISRC MATCH in Release_Track",and($B359&lt;&gt;"",countif('5) Release_Track'!$G:$G,$B359)=0),"NO CATALOG ID MATCH in Release_Track",iserror(vlookup($A359&amp;$B359,'5) Release_Track'!$F:$F&amp;'5) Release_Track'!$G:$G,1,0)),"NO ISRC-CATALOG ID pair MATCH in Release_Track" )</f>
        <v/>
      </c>
      <c r="D359" s="121" t="str">
        <f t="array" ref="D359">ifs(and(isblank($A359),isblank($B359)),"", not(iserror(vlookup($A359&amp;$B359,'5) Release_Track'!$F:$F&amp;'5) Release_Track'!$G:$G,1,0))),vlookup($A359&amp;$B359,{'5) Release_Track'!$F:$F&amp;'5) Release_Track'!$G:$G,'5) Release_Track'!$I:$I},2,0), or(and(not(isblank($B359)),$B359=$B358,$A359&lt;&gt;$A358),and(not(isblank($A359)),$A359=$A358,$B359&lt;&gt;$B358)),"ID LISTS UNALIGNED",and($A359&lt;&gt;"",countif('5) Release_Track'!$F:$F,$A359)=0),"NO ISRC MATCH in Release_Track",and($B359&lt;&gt;"",countif('5) Release_Track'!$G:$G,$B359)=0),"NO CATALOG ID MATCH in Release_Track",iserror(vlookup($A359&amp;$B359,'5) Release_Track'!$F:$F&amp;'5) Release_Track'!$G:$G,1,0)),"NO ISRC-CATALOG ID pair MATCH in Release_Track" )</f>
        <v/>
      </c>
      <c r="E359" s="99"/>
      <c r="F359" s="99"/>
      <c r="G359" s="123" t="str">
        <f t="array" ref="G359">ifs(or($F359="",$F359="Main Primary Artist"),$F359,not(iserror(vlookup($F359,'Reference info'!$J$5:$J$8,1,0))),"Key Artist",not(iserror(vlookup($F359,'Reference info'!$J$38:$J$405,1,0))),"Performer",not(iserror(vlookup($F359,'Reference info'!$J$10:$J$36,1,0))),"Producer &amp; Engineer")</f>
        <v/>
      </c>
    </row>
    <row r="360">
      <c r="B360" s="103"/>
      <c r="C360" s="121" t="str">
        <f t="array" ref="C360">ifs(and(isblank($A360),isblank($B360)),"", not(iserror(vlookup($A360&amp;$B360,'5) Release_Track'!$F:$F&amp;'5) Release_Track'!$G:$G,1,0))),vlookup($A360&amp;$B360,{'5) Release_Track'!$F:$F&amp;'5) Release_Track'!$G:$G,'5) Release_Track'!$H:$H},2,0), or(and(not(isblank($B360)),$B360=$B359,$A360&lt;&gt;$A359),and(not(isblank($A360)),$A360=$A359,$B360&lt;&gt;$B359)),"ID LISTS UNALIGNED",and($A360&lt;&gt;"",countif('5) Release_Track'!$F:$F,$A360)=0),"NO ISRC MATCH in Release_Track",and($B360&lt;&gt;"",countif('5) Release_Track'!$G:$G,$B360)=0),"NO CATALOG ID MATCH in Release_Track",iserror(vlookup($A360&amp;$B360,'5) Release_Track'!$F:$F&amp;'5) Release_Track'!$G:$G,1,0)),"NO ISRC-CATALOG ID pair MATCH in Release_Track" )</f>
        <v/>
      </c>
      <c r="D360" s="121" t="str">
        <f t="array" ref="D360">ifs(and(isblank($A360),isblank($B360)),"", not(iserror(vlookup($A360&amp;$B360,'5) Release_Track'!$F:$F&amp;'5) Release_Track'!$G:$G,1,0))),vlookup($A360&amp;$B360,{'5) Release_Track'!$F:$F&amp;'5) Release_Track'!$G:$G,'5) Release_Track'!$I:$I},2,0), or(and(not(isblank($B360)),$B360=$B359,$A360&lt;&gt;$A359),and(not(isblank($A360)),$A360=$A359,$B360&lt;&gt;$B359)),"ID LISTS UNALIGNED",and($A360&lt;&gt;"",countif('5) Release_Track'!$F:$F,$A360)=0),"NO ISRC MATCH in Release_Track",and($B360&lt;&gt;"",countif('5) Release_Track'!$G:$G,$B360)=0),"NO CATALOG ID MATCH in Release_Track",iserror(vlookup($A360&amp;$B360,'5) Release_Track'!$F:$F&amp;'5) Release_Track'!$G:$G,1,0)),"NO ISRC-CATALOG ID pair MATCH in Release_Track" )</f>
        <v/>
      </c>
      <c r="E360" s="99"/>
      <c r="F360" s="99"/>
      <c r="G360" s="123" t="str">
        <f t="array" ref="G360">ifs(or($F360="",$F360="Main Primary Artist"),$F360,not(iserror(vlookup($F360,'Reference info'!$J$5:$J$8,1,0))),"Key Artist",not(iserror(vlookup($F360,'Reference info'!$J$38:$J$405,1,0))),"Performer",not(iserror(vlookup($F360,'Reference info'!$J$10:$J$36,1,0))),"Producer &amp; Engineer")</f>
        <v/>
      </c>
    </row>
    <row r="361">
      <c r="B361" s="103"/>
      <c r="C361" s="121" t="str">
        <f t="array" ref="C361">ifs(and(isblank($A361),isblank($B361)),"", not(iserror(vlookup($A361&amp;$B361,'5) Release_Track'!$F:$F&amp;'5) Release_Track'!$G:$G,1,0))),vlookup($A361&amp;$B361,{'5) Release_Track'!$F:$F&amp;'5) Release_Track'!$G:$G,'5) Release_Track'!$H:$H},2,0), or(and(not(isblank($B361)),$B361=$B360,$A361&lt;&gt;$A360),and(not(isblank($A361)),$A361=$A360,$B361&lt;&gt;$B360)),"ID LISTS UNALIGNED",and($A361&lt;&gt;"",countif('5) Release_Track'!$F:$F,$A361)=0),"NO ISRC MATCH in Release_Track",and($B361&lt;&gt;"",countif('5) Release_Track'!$G:$G,$B361)=0),"NO CATALOG ID MATCH in Release_Track",iserror(vlookup($A361&amp;$B361,'5) Release_Track'!$F:$F&amp;'5) Release_Track'!$G:$G,1,0)),"NO ISRC-CATALOG ID pair MATCH in Release_Track" )</f>
        <v/>
      </c>
      <c r="D361" s="121" t="str">
        <f t="array" ref="D361">ifs(and(isblank($A361),isblank($B361)),"", not(iserror(vlookup($A361&amp;$B361,'5) Release_Track'!$F:$F&amp;'5) Release_Track'!$G:$G,1,0))),vlookup($A361&amp;$B361,{'5) Release_Track'!$F:$F&amp;'5) Release_Track'!$G:$G,'5) Release_Track'!$I:$I},2,0), or(and(not(isblank($B361)),$B361=$B360,$A361&lt;&gt;$A360),and(not(isblank($A361)),$A361=$A360,$B361&lt;&gt;$B360)),"ID LISTS UNALIGNED",and($A361&lt;&gt;"",countif('5) Release_Track'!$F:$F,$A361)=0),"NO ISRC MATCH in Release_Track",and($B361&lt;&gt;"",countif('5) Release_Track'!$G:$G,$B361)=0),"NO CATALOG ID MATCH in Release_Track",iserror(vlookup($A361&amp;$B361,'5) Release_Track'!$F:$F&amp;'5) Release_Track'!$G:$G,1,0)),"NO ISRC-CATALOG ID pair MATCH in Release_Track" )</f>
        <v/>
      </c>
      <c r="E361" s="99"/>
      <c r="F361" s="99"/>
      <c r="G361" s="123" t="str">
        <f t="array" ref="G361">ifs(or($F361="",$F361="Main Primary Artist"),$F361,not(iserror(vlookup($F361,'Reference info'!$J$5:$J$8,1,0))),"Key Artist",not(iserror(vlookup($F361,'Reference info'!$J$38:$J$405,1,0))),"Performer",not(iserror(vlookup($F361,'Reference info'!$J$10:$J$36,1,0))),"Producer &amp; Engineer")</f>
        <v/>
      </c>
    </row>
    <row r="362">
      <c r="B362" s="103"/>
      <c r="C362" s="121" t="str">
        <f t="array" ref="C362">ifs(and(isblank($A362),isblank($B362)),"", not(iserror(vlookup($A362&amp;$B362,'5) Release_Track'!$F:$F&amp;'5) Release_Track'!$G:$G,1,0))),vlookup($A362&amp;$B362,{'5) Release_Track'!$F:$F&amp;'5) Release_Track'!$G:$G,'5) Release_Track'!$H:$H},2,0), or(and(not(isblank($B362)),$B362=$B361,$A362&lt;&gt;$A361),and(not(isblank($A362)),$A362=$A361,$B362&lt;&gt;$B361)),"ID LISTS UNALIGNED",and($A362&lt;&gt;"",countif('5) Release_Track'!$F:$F,$A362)=0),"NO ISRC MATCH in Release_Track",and($B362&lt;&gt;"",countif('5) Release_Track'!$G:$G,$B362)=0),"NO CATALOG ID MATCH in Release_Track",iserror(vlookup($A362&amp;$B362,'5) Release_Track'!$F:$F&amp;'5) Release_Track'!$G:$G,1,0)),"NO ISRC-CATALOG ID pair MATCH in Release_Track" )</f>
        <v/>
      </c>
      <c r="D362" s="121" t="str">
        <f t="array" ref="D362">ifs(and(isblank($A362),isblank($B362)),"", not(iserror(vlookup($A362&amp;$B362,'5) Release_Track'!$F:$F&amp;'5) Release_Track'!$G:$G,1,0))),vlookup($A362&amp;$B362,{'5) Release_Track'!$F:$F&amp;'5) Release_Track'!$G:$G,'5) Release_Track'!$I:$I},2,0), or(and(not(isblank($B362)),$B362=$B361,$A362&lt;&gt;$A361),and(not(isblank($A362)),$A362=$A361,$B362&lt;&gt;$B361)),"ID LISTS UNALIGNED",and($A362&lt;&gt;"",countif('5) Release_Track'!$F:$F,$A362)=0),"NO ISRC MATCH in Release_Track",and($B362&lt;&gt;"",countif('5) Release_Track'!$G:$G,$B362)=0),"NO CATALOG ID MATCH in Release_Track",iserror(vlookup($A362&amp;$B362,'5) Release_Track'!$F:$F&amp;'5) Release_Track'!$G:$G,1,0)),"NO ISRC-CATALOG ID pair MATCH in Release_Track" )</f>
        <v/>
      </c>
      <c r="E362" s="99"/>
      <c r="F362" s="99"/>
      <c r="G362" s="123" t="str">
        <f t="array" ref="G362">ifs(or($F362="",$F362="Main Primary Artist"),$F362,not(iserror(vlookup($F362,'Reference info'!$J$5:$J$8,1,0))),"Key Artist",not(iserror(vlookup($F362,'Reference info'!$J$38:$J$405,1,0))),"Performer",not(iserror(vlookup($F362,'Reference info'!$J$10:$J$36,1,0))),"Producer &amp; Engineer")</f>
        <v/>
      </c>
    </row>
    <row r="363">
      <c r="B363" s="103"/>
      <c r="C363" s="121" t="str">
        <f t="array" ref="C363">ifs(and(isblank($A363),isblank($B363)),"", not(iserror(vlookup($A363&amp;$B363,'5) Release_Track'!$F:$F&amp;'5) Release_Track'!$G:$G,1,0))),vlookup($A363&amp;$B363,{'5) Release_Track'!$F:$F&amp;'5) Release_Track'!$G:$G,'5) Release_Track'!$H:$H},2,0), or(and(not(isblank($B363)),$B363=$B362,$A363&lt;&gt;$A362),and(not(isblank($A363)),$A363=$A362,$B363&lt;&gt;$B362)),"ID LISTS UNALIGNED",and($A363&lt;&gt;"",countif('5) Release_Track'!$F:$F,$A363)=0),"NO ISRC MATCH in Release_Track",and($B363&lt;&gt;"",countif('5) Release_Track'!$G:$G,$B363)=0),"NO CATALOG ID MATCH in Release_Track",iserror(vlookup($A363&amp;$B363,'5) Release_Track'!$F:$F&amp;'5) Release_Track'!$G:$G,1,0)),"NO ISRC-CATALOG ID pair MATCH in Release_Track" )</f>
        <v/>
      </c>
      <c r="D363" s="121" t="str">
        <f t="array" ref="D363">ifs(and(isblank($A363),isblank($B363)),"", not(iserror(vlookup($A363&amp;$B363,'5) Release_Track'!$F:$F&amp;'5) Release_Track'!$G:$G,1,0))),vlookup($A363&amp;$B363,{'5) Release_Track'!$F:$F&amp;'5) Release_Track'!$G:$G,'5) Release_Track'!$I:$I},2,0), or(and(not(isblank($B363)),$B363=$B362,$A363&lt;&gt;$A362),and(not(isblank($A363)),$A363=$A362,$B363&lt;&gt;$B362)),"ID LISTS UNALIGNED",and($A363&lt;&gt;"",countif('5) Release_Track'!$F:$F,$A363)=0),"NO ISRC MATCH in Release_Track",and($B363&lt;&gt;"",countif('5) Release_Track'!$G:$G,$B363)=0),"NO CATALOG ID MATCH in Release_Track",iserror(vlookup($A363&amp;$B363,'5) Release_Track'!$F:$F&amp;'5) Release_Track'!$G:$G,1,0)),"NO ISRC-CATALOG ID pair MATCH in Release_Track" )</f>
        <v/>
      </c>
      <c r="E363" s="99"/>
      <c r="F363" s="99"/>
      <c r="G363" s="123" t="str">
        <f t="array" ref="G363">ifs(or($F363="",$F363="Main Primary Artist"),$F363,not(iserror(vlookup($F363,'Reference info'!$J$5:$J$8,1,0))),"Key Artist",not(iserror(vlookup($F363,'Reference info'!$J$38:$J$405,1,0))),"Performer",not(iserror(vlookup($F363,'Reference info'!$J$10:$J$36,1,0))),"Producer &amp; Engineer")</f>
        <v/>
      </c>
    </row>
    <row r="364">
      <c r="B364" s="103"/>
      <c r="C364" s="121" t="str">
        <f t="array" ref="C364">ifs(and(isblank($A364),isblank($B364)),"", not(iserror(vlookup($A364&amp;$B364,'5) Release_Track'!$F:$F&amp;'5) Release_Track'!$G:$G,1,0))),vlookup($A364&amp;$B364,{'5) Release_Track'!$F:$F&amp;'5) Release_Track'!$G:$G,'5) Release_Track'!$H:$H},2,0), or(and(not(isblank($B364)),$B364=$B363,$A364&lt;&gt;$A363),and(not(isblank($A364)),$A364=$A363,$B364&lt;&gt;$B363)),"ID LISTS UNALIGNED",and($A364&lt;&gt;"",countif('5) Release_Track'!$F:$F,$A364)=0),"NO ISRC MATCH in Release_Track",and($B364&lt;&gt;"",countif('5) Release_Track'!$G:$G,$B364)=0),"NO CATALOG ID MATCH in Release_Track",iserror(vlookup($A364&amp;$B364,'5) Release_Track'!$F:$F&amp;'5) Release_Track'!$G:$G,1,0)),"NO ISRC-CATALOG ID pair MATCH in Release_Track" )</f>
        <v/>
      </c>
      <c r="D364" s="121" t="str">
        <f t="array" ref="D364">ifs(and(isblank($A364),isblank($B364)),"", not(iserror(vlookup($A364&amp;$B364,'5) Release_Track'!$F:$F&amp;'5) Release_Track'!$G:$G,1,0))),vlookup($A364&amp;$B364,{'5) Release_Track'!$F:$F&amp;'5) Release_Track'!$G:$G,'5) Release_Track'!$I:$I},2,0), or(and(not(isblank($B364)),$B364=$B363,$A364&lt;&gt;$A363),and(not(isblank($A364)),$A364=$A363,$B364&lt;&gt;$B363)),"ID LISTS UNALIGNED",and($A364&lt;&gt;"",countif('5) Release_Track'!$F:$F,$A364)=0),"NO ISRC MATCH in Release_Track",and($B364&lt;&gt;"",countif('5) Release_Track'!$G:$G,$B364)=0),"NO CATALOG ID MATCH in Release_Track",iserror(vlookup($A364&amp;$B364,'5) Release_Track'!$F:$F&amp;'5) Release_Track'!$G:$G,1,0)),"NO ISRC-CATALOG ID pair MATCH in Release_Track" )</f>
        <v/>
      </c>
      <c r="E364" s="99"/>
      <c r="F364" s="99"/>
      <c r="G364" s="123" t="str">
        <f t="array" ref="G364">ifs(or($F364="",$F364="Main Primary Artist"),$F364,not(iserror(vlookup($F364,'Reference info'!$J$5:$J$8,1,0))),"Key Artist",not(iserror(vlookup($F364,'Reference info'!$J$38:$J$405,1,0))),"Performer",not(iserror(vlookup($F364,'Reference info'!$J$10:$J$36,1,0))),"Producer &amp; Engineer")</f>
        <v/>
      </c>
    </row>
    <row r="365">
      <c r="B365" s="103"/>
      <c r="C365" s="121" t="str">
        <f t="array" ref="C365">ifs(and(isblank($A365),isblank($B365)),"", not(iserror(vlookup($A365&amp;$B365,'5) Release_Track'!$F:$F&amp;'5) Release_Track'!$G:$G,1,0))),vlookup($A365&amp;$B365,{'5) Release_Track'!$F:$F&amp;'5) Release_Track'!$G:$G,'5) Release_Track'!$H:$H},2,0), or(and(not(isblank($B365)),$B365=$B364,$A365&lt;&gt;$A364),and(not(isblank($A365)),$A365=$A364,$B365&lt;&gt;$B364)),"ID LISTS UNALIGNED",and($A365&lt;&gt;"",countif('5) Release_Track'!$F:$F,$A365)=0),"NO ISRC MATCH in Release_Track",and($B365&lt;&gt;"",countif('5) Release_Track'!$G:$G,$B365)=0),"NO CATALOG ID MATCH in Release_Track",iserror(vlookup($A365&amp;$B365,'5) Release_Track'!$F:$F&amp;'5) Release_Track'!$G:$G,1,0)),"NO ISRC-CATALOG ID pair MATCH in Release_Track" )</f>
        <v/>
      </c>
      <c r="D365" s="121" t="str">
        <f t="array" ref="D365">ifs(and(isblank($A365),isblank($B365)),"", not(iserror(vlookup($A365&amp;$B365,'5) Release_Track'!$F:$F&amp;'5) Release_Track'!$G:$G,1,0))),vlookup($A365&amp;$B365,{'5) Release_Track'!$F:$F&amp;'5) Release_Track'!$G:$G,'5) Release_Track'!$I:$I},2,0), or(and(not(isblank($B365)),$B365=$B364,$A365&lt;&gt;$A364),and(not(isblank($A365)),$A365=$A364,$B365&lt;&gt;$B364)),"ID LISTS UNALIGNED",and($A365&lt;&gt;"",countif('5) Release_Track'!$F:$F,$A365)=0),"NO ISRC MATCH in Release_Track",and($B365&lt;&gt;"",countif('5) Release_Track'!$G:$G,$B365)=0),"NO CATALOG ID MATCH in Release_Track",iserror(vlookup($A365&amp;$B365,'5) Release_Track'!$F:$F&amp;'5) Release_Track'!$G:$G,1,0)),"NO ISRC-CATALOG ID pair MATCH in Release_Track" )</f>
        <v/>
      </c>
      <c r="E365" s="99"/>
      <c r="F365" s="99"/>
      <c r="G365" s="123" t="str">
        <f t="array" ref="G365">ifs(or($F365="",$F365="Main Primary Artist"),$F365,not(iserror(vlookup($F365,'Reference info'!$J$5:$J$8,1,0))),"Key Artist",not(iserror(vlookup($F365,'Reference info'!$J$38:$J$405,1,0))),"Performer",not(iserror(vlookup($F365,'Reference info'!$J$10:$J$36,1,0))),"Producer &amp; Engineer")</f>
        <v/>
      </c>
    </row>
    <row r="366">
      <c r="B366" s="103"/>
      <c r="C366" s="121" t="str">
        <f t="array" ref="C366">ifs(and(isblank($A366),isblank($B366)),"", not(iserror(vlookup($A366&amp;$B366,'5) Release_Track'!$F:$F&amp;'5) Release_Track'!$G:$G,1,0))),vlookup($A366&amp;$B366,{'5) Release_Track'!$F:$F&amp;'5) Release_Track'!$G:$G,'5) Release_Track'!$H:$H},2,0), or(and(not(isblank($B366)),$B366=$B365,$A366&lt;&gt;$A365),and(not(isblank($A366)),$A366=$A365,$B366&lt;&gt;$B365)),"ID LISTS UNALIGNED",and($A366&lt;&gt;"",countif('5) Release_Track'!$F:$F,$A366)=0),"NO ISRC MATCH in Release_Track",and($B366&lt;&gt;"",countif('5) Release_Track'!$G:$G,$B366)=0),"NO CATALOG ID MATCH in Release_Track",iserror(vlookup($A366&amp;$B366,'5) Release_Track'!$F:$F&amp;'5) Release_Track'!$G:$G,1,0)),"NO ISRC-CATALOG ID pair MATCH in Release_Track" )</f>
        <v/>
      </c>
      <c r="D366" s="121" t="str">
        <f t="array" ref="D366">ifs(and(isblank($A366),isblank($B366)),"", not(iserror(vlookup($A366&amp;$B366,'5) Release_Track'!$F:$F&amp;'5) Release_Track'!$G:$G,1,0))),vlookup($A366&amp;$B366,{'5) Release_Track'!$F:$F&amp;'5) Release_Track'!$G:$G,'5) Release_Track'!$I:$I},2,0), or(and(not(isblank($B366)),$B366=$B365,$A366&lt;&gt;$A365),and(not(isblank($A366)),$A366=$A365,$B366&lt;&gt;$B365)),"ID LISTS UNALIGNED",and($A366&lt;&gt;"",countif('5) Release_Track'!$F:$F,$A366)=0),"NO ISRC MATCH in Release_Track",and($B366&lt;&gt;"",countif('5) Release_Track'!$G:$G,$B366)=0),"NO CATALOG ID MATCH in Release_Track",iserror(vlookup($A366&amp;$B366,'5) Release_Track'!$F:$F&amp;'5) Release_Track'!$G:$G,1,0)),"NO ISRC-CATALOG ID pair MATCH in Release_Track" )</f>
        <v/>
      </c>
      <c r="E366" s="99"/>
      <c r="F366" s="99"/>
      <c r="G366" s="123" t="str">
        <f t="array" ref="G366">ifs(or($F366="",$F366="Main Primary Artist"),$F366,not(iserror(vlookup($F366,'Reference info'!$J$5:$J$8,1,0))),"Key Artist",not(iserror(vlookup($F366,'Reference info'!$J$38:$J$405,1,0))),"Performer",not(iserror(vlookup($F366,'Reference info'!$J$10:$J$36,1,0))),"Producer &amp; Engineer")</f>
        <v/>
      </c>
    </row>
    <row r="367">
      <c r="B367" s="103"/>
      <c r="C367" s="121" t="str">
        <f t="array" ref="C367">ifs(and(isblank($A367),isblank($B367)),"", not(iserror(vlookup($A367&amp;$B367,'5) Release_Track'!$F:$F&amp;'5) Release_Track'!$G:$G,1,0))),vlookup($A367&amp;$B367,{'5) Release_Track'!$F:$F&amp;'5) Release_Track'!$G:$G,'5) Release_Track'!$H:$H},2,0), or(and(not(isblank($B367)),$B367=$B366,$A367&lt;&gt;$A366),and(not(isblank($A367)),$A367=$A366,$B367&lt;&gt;$B366)),"ID LISTS UNALIGNED",and($A367&lt;&gt;"",countif('5) Release_Track'!$F:$F,$A367)=0),"NO ISRC MATCH in Release_Track",and($B367&lt;&gt;"",countif('5) Release_Track'!$G:$G,$B367)=0),"NO CATALOG ID MATCH in Release_Track",iserror(vlookup($A367&amp;$B367,'5) Release_Track'!$F:$F&amp;'5) Release_Track'!$G:$G,1,0)),"NO ISRC-CATALOG ID pair MATCH in Release_Track" )</f>
        <v/>
      </c>
      <c r="D367" s="121" t="str">
        <f t="array" ref="D367">ifs(and(isblank($A367),isblank($B367)),"", not(iserror(vlookup($A367&amp;$B367,'5) Release_Track'!$F:$F&amp;'5) Release_Track'!$G:$G,1,0))),vlookup($A367&amp;$B367,{'5) Release_Track'!$F:$F&amp;'5) Release_Track'!$G:$G,'5) Release_Track'!$I:$I},2,0), or(and(not(isblank($B367)),$B367=$B366,$A367&lt;&gt;$A366),and(not(isblank($A367)),$A367=$A366,$B367&lt;&gt;$B366)),"ID LISTS UNALIGNED",and($A367&lt;&gt;"",countif('5) Release_Track'!$F:$F,$A367)=0),"NO ISRC MATCH in Release_Track",and($B367&lt;&gt;"",countif('5) Release_Track'!$G:$G,$B367)=0),"NO CATALOG ID MATCH in Release_Track",iserror(vlookup($A367&amp;$B367,'5) Release_Track'!$F:$F&amp;'5) Release_Track'!$G:$G,1,0)),"NO ISRC-CATALOG ID pair MATCH in Release_Track" )</f>
        <v/>
      </c>
      <c r="E367" s="99"/>
      <c r="F367" s="99"/>
      <c r="G367" s="123" t="str">
        <f t="array" ref="G367">ifs(or($F367="",$F367="Main Primary Artist"),$F367,not(iserror(vlookup($F367,'Reference info'!$J$5:$J$8,1,0))),"Key Artist",not(iserror(vlookup($F367,'Reference info'!$J$38:$J$405,1,0))),"Performer",not(iserror(vlookup($F367,'Reference info'!$J$10:$J$36,1,0))),"Producer &amp; Engineer")</f>
        <v/>
      </c>
    </row>
    <row r="368">
      <c r="B368" s="103"/>
      <c r="C368" s="121" t="str">
        <f t="array" ref="C368">ifs(and(isblank($A368),isblank($B368)),"", not(iserror(vlookup($A368&amp;$B368,'5) Release_Track'!$F:$F&amp;'5) Release_Track'!$G:$G,1,0))),vlookup($A368&amp;$B368,{'5) Release_Track'!$F:$F&amp;'5) Release_Track'!$G:$G,'5) Release_Track'!$H:$H},2,0), or(and(not(isblank($B368)),$B368=$B367,$A368&lt;&gt;$A367),and(not(isblank($A368)),$A368=$A367,$B368&lt;&gt;$B367)),"ID LISTS UNALIGNED",and($A368&lt;&gt;"",countif('5) Release_Track'!$F:$F,$A368)=0),"NO ISRC MATCH in Release_Track",and($B368&lt;&gt;"",countif('5) Release_Track'!$G:$G,$B368)=0),"NO CATALOG ID MATCH in Release_Track",iserror(vlookup($A368&amp;$B368,'5) Release_Track'!$F:$F&amp;'5) Release_Track'!$G:$G,1,0)),"NO ISRC-CATALOG ID pair MATCH in Release_Track" )</f>
        <v/>
      </c>
      <c r="D368" s="121" t="str">
        <f t="array" ref="D368">ifs(and(isblank($A368),isblank($B368)),"", not(iserror(vlookup($A368&amp;$B368,'5) Release_Track'!$F:$F&amp;'5) Release_Track'!$G:$G,1,0))),vlookup($A368&amp;$B368,{'5) Release_Track'!$F:$F&amp;'5) Release_Track'!$G:$G,'5) Release_Track'!$I:$I},2,0), or(and(not(isblank($B368)),$B368=$B367,$A368&lt;&gt;$A367),and(not(isblank($A368)),$A368=$A367,$B368&lt;&gt;$B367)),"ID LISTS UNALIGNED",and($A368&lt;&gt;"",countif('5) Release_Track'!$F:$F,$A368)=0),"NO ISRC MATCH in Release_Track",and($B368&lt;&gt;"",countif('5) Release_Track'!$G:$G,$B368)=0),"NO CATALOG ID MATCH in Release_Track",iserror(vlookup($A368&amp;$B368,'5) Release_Track'!$F:$F&amp;'5) Release_Track'!$G:$G,1,0)),"NO ISRC-CATALOG ID pair MATCH in Release_Track" )</f>
        <v/>
      </c>
      <c r="E368" s="99"/>
      <c r="F368" s="99"/>
      <c r="G368" s="123" t="str">
        <f t="array" ref="G368">ifs(or($F368="",$F368="Main Primary Artist"),$F368,not(iserror(vlookup($F368,'Reference info'!$J$5:$J$8,1,0))),"Key Artist",not(iserror(vlookup($F368,'Reference info'!$J$38:$J$405,1,0))),"Performer",not(iserror(vlookup($F368,'Reference info'!$J$10:$J$36,1,0))),"Producer &amp; Engineer")</f>
        <v/>
      </c>
    </row>
    <row r="369">
      <c r="B369" s="103"/>
      <c r="C369" s="121" t="str">
        <f t="array" ref="C369">ifs(and(isblank($A369),isblank($B369)),"", not(iserror(vlookup($A369&amp;$B369,'5) Release_Track'!$F:$F&amp;'5) Release_Track'!$G:$G,1,0))),vlookup($A369&amp;$B369,{'5) Release_Track'!$F:$F&amp;'5) Release_Track'!$G:$G,'5) Release_Track'!$H:$H},2,0), or(and(not(isblank($B369)),$B369=$B368,$A369&lt;&gt;$A368),and(not(isblank($A369)),$A369=$A368,$B369&lt;&gt;$B368)),"ID LISTS UNALIGNED",and($A369&lt;&gt;"",countif('5) Release_Track'!$F:$F,$A369)=0),"NO ISRC MATCH in Release_Track",and($B369&lt;&gt;"",countif('5) Release_Track'!$G:$G,$B369)=0),"NO CATALOG ID MATCH in Release_Track",iserror(vlookup($A369&amp;$B369,'5) Release_Track'!$F:$F&amp;'5) Release_Track'!$G:$G,1,0)),"NO ISRC-CATALOG ID pair MATCH in Release_Track" )</f>
        <v/>
      </c>
      <c r="D369" s="121" t="str">
        <f t="array" ref="D369">ifs(and(isblank($A369),isblank($B369)),"", not(iserror(vlookup($A369&amp;$B369,'5) Release_Track'!$F:$F&amp;'5) Release_Track'!$G:$G,1,0))),vlookup($A369&amp;$B369,{'5) Release_Track'!$F:$F&amp;'5) Release_Track'!$G:$G,'5) Release_Track'!$I:$I},2,0), or(and(not(isblank($B369)),$B369=$B368,$A369&lt;&gt;$A368),and(not(isblank($A369)),$A369=$A368,$B369&lt;&gt;$B368)),"ID LISTS UNALIGNED",and($A369&lt;&gt;"",countif('5) Release_Track'!$F:$F,$A369)=0),"NO ISRC MATCH in Release_Track",and($B369&lt;&gt;"",countif('5) Release_Track'!$G:$G,$B369)=0),"NO CATALOG ID MATCH in Release_Track",iserror(vlookup($A369&amp;$B369,'5) Release_Track'!$F:$F&amp;'5) Release_Track'!$G:$G,1,0)),"NO ISRC-CATALOG ID pair MATCH in Release_Track" )</f>
        <v/>
      </c>
      <c r="E369" s="99"/>
      <c r="F369" s="99"/>
      <c r="G369" s="123" t="str">
        <f t="array" ref="G369">ifs(or($F369="",$F369="Main Primary Artist"),$F369,not(iserror(vlookup($F369,'Reference info'!$J$5:$J$8,1,0))),"Key Artist",not(iserror(vlookup($F369,'Reference info'!$J$38:$J$405,1,0))),"Performer",not(iserror(vlookup($F369,'Reference info'!$J$10:$J$36,1,0))),"Producer &amp; Engineer")</f>
        <v/>
      </c>
    </row>
    <row r="370">
      <c r="B370" s="103"/>
      <c r="C370" s="121" t="str">
        <f t="array" ref="C370">ifs(and(isblank($A370),isblank($B370)),"", not(iserror(vlookup($A370&amp;$B370,'5) Release_Track'!$F:$F&amp;'5) Release_Track'!$G:$G,1,0))),vlookup($A370&amp;$B370,{'5) Release_Track'!$F:$F&amp;'5) Release_Track'!$G:$G,'5) Release_Track'!$H:$H},2,0), or(and(not(isblank($B370)),$B370=$B369,$A370&lt;&gt;$A369),and(not(isblank($A370)),$A370=$A369,$B370&lt;&gt;$B369)),"ID LISTS UNALIGNED",and($A370&lt;&gt;"",countif('5) Release_Track'!$F:$F,$A370)=0),"NO ISRC MATCH in Release_Track",and($B370&lt;&gt;"",countif('5) Release_Track'!$G:$G,$B370)=0),"NO CATALOG ID MATCH in Release_Track",iserror(vlookup($A370&amp;$B370,'5) Release_Track'!$F:$F&amp;'5) Release_Track'!$G:$G,1,0)),"NO ISRC-CATALOG ID pair MATCH in Release_Track" )</f>
        <v/>
      </c>
      <c r="D370" s="121" t="str">
        <f t="array" ref="D370">ifs(and(isblank($A370),isblank($B370)),"", not(iserror(vlookup($A370&amp;$B370,'5) Release_Track'!$F:$F&amp;'5) Release_Track'!$G:$G,1,0))),vlookup($A370&amp;$B370,{'5) Release_Track'!$F:$F&amp;'5) Release_Track'!$G:$G,'5) Release_Track'!$I:$I},2,0), or(and(not(isblank($B370)),$B370=$B369,$A370&lt;&gt;$A369),and(not(isblank($A370)),$A370=$A369,$B370&lt;&gt;$B369)),"ID LISTS UNALIGNED",and($A370&lt;&gt;"",countif('5) Release_Track'!$F:$F,$A370)=0),"NO ISRC MATCH in Release_Track",and($B370&lt;&gt;"",countif('5) Release_Track'!$G:$G,$B370)=0),"NO CATALOG ID MATCH in Release_Track",iserror(vlookup($A370&amp;$B370,'5) Release_Track'!$F:$F&amp;'5) Release_Track'!$G:$G,1,0)),"NO ISRC-CATALOG ID pair MATCH in Release_Track" )</f>
        <v/>
      </c>
      <c r="E370" s="99"/>
      <c r="F370" s="99"/>
      <c r="G370" s="123" t="str">
        <f t="array" ref="G370">ifs(or($F370="",$F370="Main Primary Artist"),$F370,not(iserror(vlookup($F370,'Reference info'!$J$5:$J$8,1,0))),"Key Artist",not(iserror(vlookup($F370,'Reference info'!$J$38:$J$405,1,0))),"Performer",not(iserror(vlookup($F370,'Reference info'!$J$10:$J$36,1,0))),"Producer &amp; Engineer")</f>
        <v/>
      </c>
    </row>
    <row r="371">
      <c r="B371" s="103"/>
      <c r="C371" s="121" t="str">
        <f t="array" ref="C371">ifs(and(isblank($A371),isblank($B371)),"", not(iserror(vlookup($A371&amp;$B371,'5) Release_Track'!$F:$F&amp;'5) Release_Track'!$G:$G,1,0))),vlookup($A371&amp;$B371,{'5) Release_Track'!$F:$F&amp;'5) Release_Track'!$G:$G,'5) Release_Track'!$H:$H},2,0), or(and(not(isblank($B371)),$B371=$B370,$A371&lt;&gt;$A370),and(not(isblank($A371)),$A371=$A370,$B371&lt;&gt;$B370)),"ID LISTS UNALIGNED",and($A371&lt;&gt;"",countif('5) Release_Track'!$F:$F,$A371)=0),"NO ISRC MATCH in Release_Track",and($B371&lt;&gt;"",countif('5) Release_Track'!$G:$G,$B371)=0),"NO CATALOG ID MATCH in Release_Track",iserror(vlookup($A371&amp;$B371,'5) Release_Track'!$F:$F&amp;'5) Release_Track'!$G:$G,1,0)),"NO ISRC-CATALOG ID pair MATCH in Release_Track" )</f>
        <v/>
      </c>
      <c r="D371" s="121" t="str">
        <f t="array" ref="D371">ifs(and(isblank($A371),isblank($B371)),"", not(iserror(vlookup($A371&amp;$B371,'5) Release_Track'!$F:$F&amp;'5) Release_Track'!$G:$G,1,0))),vlookup($A371&amp;$B371,{'5) Release_Track'!$F:$F&amp;'5) Release_Track'!$G:$G,'5) Release_Track'!$I:$I},2,0), or(and(not(isblank($B371)),$B371=$B370,$A371&lt;&gt;$A370),and(not(isblank($A371)),$A371=$A370,$B371&lt;&gt;$B370)),"ID LISTS UNALIGNED",and($A371&lt;&gt;"",countif('5) Release_Track'!$F:$F,$A371)=0),"NO ISRC MATCH in Release_Track",and($B371&lt;&gt;"",countif('5) Release_Track'!$G:$G,$B371)=0),"NO CATALOG ID MATCH in Release_Track",iserror(vlookup($A371&amp;$B371,'5) Release_Track'!$F:$F&amp;'5) Release_Track'!$G:$G,1,0)),"NO ISRC-CATALOG ID pair MATCH in Release_Track" )</f>
        <v/>
      </c>
      <c r="E371" s="99"/>
      <c r="F371" s="99"/>
      <c r="G371" s="123" t="str">
        <f t="array" ref="G371">ifs(or($F371="",$F371="Main Primary Artist"),$F371,not(iserror(vlookup($F371,'Reference info'!$J$5:$J$8,1,0))),"Key Artist",not(iserror(vlookup($F371,'Reference info'!$J$38:$J$405,1,0))),"Performer",not(iserror(vlookup($F371,'Reference info'!$J$10:$J$36,1,0))),"Producer &amp; Engineer")</f>
        <v/>
      </c>
    </row>
    <row r="372">
      <c r="B372" s="103"/>
      <c r="C372" s="121" t="str">
        <f t="array" ref="C372">ifs(and(isblank($A372),isblank($B372)),"", not(iserror(vlookup($A372&amp;$B372,'5) Release_Track'!$F:$F&amp;'5) Release_Track'!$G:$G,1,0))),vlookup($A372&amp;$B372,{'5) Release_Track'!$F:$F&amp;'5) Release_Track'!$G:$G,'5) Release_Track'!$H:$H},2,0), or(and(not(isblank($B372)),$B372=$B371,$A372&lt;&gt;$A371),and(not(isblank($A372)),$A372=$A371,$B372&lt;&gt;$B371)),"ID LISTS UNALIGNED",and($A372&lt;&gt;"",countif('5) Release_Track'!$F:$F,$A372)=0),"NO ISRC MATCH in Release_Track",and($B372&lt;&gt;"",countif('5) Release_Track'!$G:$G,$B372)=0),"NO CATALOG ID MATCH in Release_Track",iserror(vlookup($A372&amp;$B372,'5) Release_Track'!$F:$F&amp;'5) Release_Track'!$G:$G,1,0)),"NO ISRC-CATALOG ID pair MATCH in Release_Track" )</f>
        <v/>
      </c>
      <c r="D372" s="121" t="str">
        <f t="array" ref="D372">ifs(and(isblank($A372),isblank($B372)),"", not(iserror(vlookup($A372&amp;$B372,'5) Release_Track'!$F:$F&amp;'5) Release_Track'!$G:$G,1,0))),vlookup($A372&amp;$B372,{'5) Release_Track'!$F:$F&amp;'5) Release_Track'!$G:$G,'5) Release_Track'!$I:$I},2,0), or(and(not(isblank($B372)),$B372=$B371,$A372&lt;&gt;$A371),and(not(isblank($A372)),$A372=$A371,$B372&lt;&gt;$B371)),"ID LISTS UNALIGNED",and($A372&lt;&gt;"",countif('5) Release_Track'!$F:$F,$A372)=0),"NO ISRC MATCH in Release_Track",and($B372&lt;&gt;"",countif('5) Release_Track'!$G:$G,$B372)=0),"NO CATALOG ID MATCH in Release_Track",iserror(vlookup($A372&amp;$B372,'5) Release_Track'!$F:$F&amp;'5) Release_Track'!$G:$G,1,0)),"NO ISRC-CATALOG ID pair MATCH in Release_Track" )</f>
        <v/>
      </c>
      <c r="E372" s="99"/>
      <c r="F372" s="99"/>
      <c r="G372" s="123" t="str">
        <f t="array" ref="G372">ifs(or($F372="",$F372="Main Primary Artist"),$F372,not(iserror(vlookup($F372,'Reference info'!$J$5:$J$8,1,0))),"Key Artist",not(iserror(vlookup($F372,'Reference info'!$J$38:$J$405,1,0))),"Performer",not(iserror(vlookup($F372,'Reference info'!$J$10:$J$36,1,0))),"Producer &amp; Engineer")</f>
        <v/>
      </c>
    </row>
    <row r="373">
      <c r="B373" s="103"/>
      <c r="C373" s="121" t="str">
        <f t="array" ref="C373">ifs(and(isblank($A373),isblank($B373)),"", not(iserror(vlookup($A373&amp;$B373,'5) Release_Track'!$F:$F&amp;'5) Release_Track'!$G:$G,1,0))),vlookup($A373&amp;$B373,{'5) Release_Track'!$F:$F&amp;'5) Release_Track'!$G:$G,'5) Release_Track'!$H:$H},2,0), or(and(not(isblank($B373)),$B373=$B372,$A373&lt;&gt;$A372),and(not(isblank($A373)),$A373=$A372,$B373&lt;&gt;$B372)),"ID LISTS UNALIGNED",and($A373&lt;&gt;"",countif('5) Release_Track'!$F:$F,$A373)=0),"NO ISRC MATCH in Release_Track",and($B373&lt;&gt;"",countif('5) Release_Track'!$G:$G,$B373)=0),"NO CATALOG ID MATCH in Release_Track",iserror(vlookup($A373&amp;$B373,'5) Release_Track'!$F:$F&amp;'5) Release_Track'!$G:$G,1,0)),"NO ISRC-CATALOG ID pair MATCH in Release_Track" )</f>
        <v/>
      </c>
      <c r="D373" s="121" t="str">
        <f t="array" ref="D373">ifs(and(isblank($A373),isblank($B373)),"", not(iserror(vlookup($A373&amp;$B373,'5) Release_Track'!$F:$F&amp;'5) Release_Track'!$G:$G,1,0))),vlookup($A373&amp;$B373,{'5) Release_Track'!$F:$F&amp;'5) Release_Track'!$G:$G,'5) Release_Track'!$I:$I},2,0), or(and(not(isblank($B373)),$B373=$B372,$A373&lt;&gt;$A372),and(not(isblank($A373)),$A373=$A372,$B373&lt;&gt;$B372)),"ID LISTS UNALIGNED",and($A373&lt;&gt;"",countif('5) Release_Track'!$F:$F,$A373)=0),"NO ISRC MATCH in Release_Track",and($B373&lt;&gt;"",countif('5) Release_Track'!$G:$G,$B373)=0),"NO CATALOG ID MATCH in Release_Track",iserror(vlookup($A373&amp;$B373,'5) Release_Track'!$F:$F&amp;'5) Release_Track'!$G:$G,1,0)),"NO ISRC-CATALOG ID pair MATCH in Release_Track" )</f>
        <v/>
      </c>
      <c r="E373" s="99"/>
      <c r="F373" s="99"/>
      <c r="G373" s="123" t="str">
        <f t="array" ref="G373">ifs(or($F373="",$F373="Main Primary Artist"),$F373,not(iserror(vlookup($F373,'Reference info'!$J$5:$J$8,1,0))),"Key Artist",not(iserror(vlookup($F373,'Reference info'!$J$38:$J$405,1,0))),"Performer",not(iserror(vlookup($F373,'Reference info'!$J$10:$J$36,1,0))),"Producer &amp; Engineer")</f>
        <v/>
      </c>
    </row>
    <row r="374">
      <c r="B374" s="103"/>
      <c r="C374" s="121" t="str">
        <f t="array" ref="C374">ifs(and(isblank($A374),isblank($B374)),"", not(iserror(vlookup($A374&amp;$B374,'5) Release_Track'!$F:$F&amp;'5) Release_Track'!$G:$G,1,0))),vlookup($A374&amp;$B374,{'5) Release_Track'!$F:$F&amp;'5) Release_Track'!$G:$G,'5) Release_Track'!$H:$H},2,0), or(and(not(isblank($B374)),$B374=$B373,$A374&lt;&gt;$A373),and(not(isblank($A374)),$A374=$A373,$B374&lt;&gt;$B373)),"ID LISTS UNALIGNED",and($A374&lt;&gt;"",countif('5) Release_Track'!$F:$F,$A374)=0),"NO ISRC MATCH in Release_Track",and($B374&lt;&gt;"",countif('5) Release_Track'!$G:$G,$B374)=0),"NO CATALOG ID MATCH in Release_Track",iserror(vlookup($A374&amp;$B374,'5) Release_Track'!$F:$F&amp;'5) Release_Track'!$G:$G,1,0)),"NO ISRC-CATALOG ID pair MATCH in Release_Track" )</f>
        <v/>
      </c>
      <c r="D374" s="121" t="str">
        <f t="array" ref="D374">ifs(and(isblank($A374),isblank($B374)),"", not(iserror(vlookup($A374&amp;$B374,'5) Release_Track'!$F:$F&amp;'5) Release_Track'!$G:$G,1,0))),vlookup($A374&amp;$B374,{'5) Release_Track'!$F:$F&amp;'5) Release_Track'!$G:$G,'5) Release_Track'!$I:$I},2,0), or(and(not(isblank($B374)),$B374=$B373,$A374&lt;&gt;$A373),and(not(isblank($A374)),$A374=$A373,$B374&lt;&gt;$B373)),"ID LISTS UNALIGNED",and($A374&lt;&gt;"",countif('5) Release_Track'!$F:$F,$A374)=0),"NO ISRC MATCH in Release_Track",and($B374&lt;&gt;"",countif('5) Release_Track'!$G:$G,$B374)=0),"NO CATALOG ID MATCH in Release_Track",iserror(vlookup($A374&amp;$B374,'5) Release_Track'!$F:$F&amp;'5) Release_Track'!$G:$G,1,0)),"NO ISRC-CATALOG ID pair MATCH in Release_Track" )</f>
        <v/>
      </c>
      <c r="E374" s="99"/>
      <c r="F374" s="99"/>
      <c r="G374" s="123" t="str">
        <f t="array" ref="G374">ifs(or($F374="",$F374="Main Primary Artist"),$F374,not(iserror(vlookup($F374,'Reference info'!$J$5:$J$8,1,0))),"Key Artist",not(iserror(vlookup($F374,'Reference info'!$J$38:$J$405,1,0))),"Performer",not(iserror(vlookup($F374,'Reference info'!$J$10:$J$36,1,0))),"Producer &amp; Engineer")</f>
        <v/>
      </c>
    </row>
    <row r="375">
      <c r="B375" s="103"/>
      <c r="C375" s="121" t="str">
        <f t="array" ref="C375">ifs(and(isblank($A375),isblank($B375)),"", not(iserror(vlookup($A375&amp;$B375,'5) Release_Track'!$F:$F&amp;'5) Release_Track'!$G:$G,1,0))),vlookup($A375&amp;$B375,{'5) Release_Track'!$F:$F&amp;'5) Release_Track'!$G:$G,'5) Release_Track'!$H:$H},2,0), or(and(not(isblank($B375)),$B375=$B374,$A375&lt;&gt;$A374),and(not(isblank($A375)),$A375=$A374,$B375&lt;&gt;$B374)),"ID LISTS UNALIGNED",and($A375&lt;&gt;"",countif('5) Release_Track'!$F:$F,$A375)=0),"NO ISRC MATCH in Release_Track",and($B375&lt;&gt;"",countif('5) Release_Track'!$G:$G,$B375)=0),"NO CATALOG ID MATCH in Release_Track",iserror(vlookup($A375&amp;$B375,'5) Release_Track'!$F:$F&amp;'5) Release_Track'!$G:$G,1,0)),"NO ISRC-CATALOG ID pair MATCH in Release_Track" )</f>
        <v/>
      </c>
      <c r="D375" s="121" t="str">
        <f t="array" ref="D375">ifs(and(isblank($A375),isblank($B375)),"", not(iserror(vlookup($A375&amp;$B375,'5) Release_Track'!$F:$F&amp;'5) Release_Track'!$G:$G,1,0))),vlookup($A375&amp;$B375,{'5) Release_Track'!$F:$F&amp;'5) Release_Track'!$G:$G,'5) Release_Track'!$I:$I},2,0), or(and(not(isblank($B375)),$B375=$B374,$A375&lt;&gt;$A374),and(not(isblank($A375)),$A375=$A374,$B375&lt;&gt;$B374)),"ID LISTS UNALIGNED",and($A375&lt;&gt;"",countif('5) Release_Track'!$F:$F,$A375)=0),"NO ISRC MATCH in Release_Track",and($B375&lt;&gt;"",countif('5) Release_Track'!$G:$G,$B375)=0),"NO CATALOG ID MATCH in Release_Track",iserror(vlookup($A375&amp;$B375,'5) Release_Track'!$F:$F&amp;'5) Release_Track'!$G:$G,1,0)),"NO ISRC-CATALOG ID pair MATCH in Release_Track" )</f>
        <v/>
      </c>
      <c r="E375" s="99"/>
      <c r="F375" s="99"/>
      <c r="G375" s="123" t="str">
        <f t="array" ref="G375">ifs(or($F375="",$F375="Main Primary Artist"),$F375,not(iserror(vlookup($F375,'Reference info'!$J$5:$J$8,1,0))),"Key Artist",not(iserror(vlookup($F375,'Reference info'!$J$38:$J$405,1,0))),"Performer",not(iserror(vlookup($F375,'Reference info'!$J$10:$J$36,1,0))),"Producer &amp; Engineer")</f>
        <v/>
      </c>
    </row>
    <row r="376">
      <c r="B376" s="103"/>
      <c r="C376" s="121" t="str">
        <f t="array" ref="C376">ifs(and(isblank($A376),isblank($B376)),"", not(iserror(vlookup($A376&amp;$B376,'5) Release_Track'!$F:$F&amp;'5) Release_Track'!$G:$G,1,0))),vlookup($A376&amp;$B376,{'5) Release_Track'!$F:$F&amp;'5) Release_Track'!$G:$G,'5) Release_Track'!$H:$H},2,0), or(and(not(isblank($B376)),$B376=$B375,$A376&lt;&gt;$A375),and(not(isblank($A376)),$A376=$A375,$B376&lt;&gt;$B375)),"ID LISTS UNALIGNED",and($A376&lt;&gt;"",countif('5) Release_Track'!$F:$F,$A376)=0),"NO ISRC MATCH in Release_Track",and($B376&lt;&gt;"",countif('5) Release_Track'!$G:$G,$B376)=0),"NO CATALOG ID MATCH in Release_Track",iserror(vlookup($A376&amp;$B376,'5) Release_Track'!$F:$F&amp;'5) Release_Track'!$G:$G,1,0)),"NO ISRC-CATALOG ID pair MATCH in Release_Track" )</f>
        <v/>
      </c>
      <c r="D376" s="121" t="str">
        <f t="array" ref="D376">ifs(and(isblank($A376),isblank($B376)),"", not(iserror(vlookup($A376&amp;$B376,'5) Release_Track'!$F:$F&amp;'5) Release_Track'!$G:$G,1,0))),vlookup($A376&amp;$B376,{'5) Release_Track'!$F:$F&amp;'5) Release_Track'!$G:$G,'5) Release_Track'!$I:$I},2,0), or(and(not(isblank($B376)),$B376=$B375,$A376&lt;&gt;$A375),and(not(isblank($A376)),$A376=$A375,$B376&lt;&gt;$B375)),"ID LISTS UNALIGNED",and($A376&lt;&gt;"",countif('5) Release_Track'!$F:$F,$A376)=0),"NO ISRC MATCH in Release_Track",and($B376&lt;&gt;"",countif('5) Release_Track'!$G:$G,$B376)=0),"NO CATALOG ID MATCH in Release_Track",iserror(vlookup($A376&amp;$B376,'5) Release_Track'!$F:$F&amp;'5) Release_Track'!$G:$G,1,0)),"NO ISRC-CATALOG ID pair MATCH in Release_Track" )</f>
        <v/>
      </c>
      <c r="E376" s="99"/>
      <c r="F376" s="99"/>
      <c r="G376" s="123" t="str">
        <f t="array" ref="G376">ifs(or($F376="",$F376="Main Primary Artist"),$F376,not(iserror(vlookup($F376,'Reference info'!$J$5:$J$8,1,0))),"Key Artist",not(iserror(vlookup($F376,'Reference info'!$J$38:$J$405,1,0))),"Performer",not(iserror(vlookup($F376,'Reference info'!$J$10:$J$36,1,0))),"Producer &amp; Engineer")</f>
        <v/>
      </c>
    </row>
    <row r="377">
      <c r="B377" s="103"/>
      <c r="C377" s="121" t="str">
        <f t="array" ref="C377">ifs(and(isblank($A377),isblank($B377)),"", not(iserror(vlookup($A377&amp;$B377,'5) Release_Track'!$F:$F&amp;'5) Release_Track'!$G:$G,1,0))),vlookup($A377&amp;$B377,{'5) Release_Track'!$F:$F&amp;'5) Release_Track'!$G:$G,'5) Release_Track'!$H:$H},2,0), or(and(not(isblank($B377)),$B377=$B376,$A377&lt;&gt;$A376),and(not(isblank($A377)),$A377=$A376,$B377&lt;&gt;$B376)),"ID LISTS UNALIGNED",and($A377&lt;&gt;"",countif('5) Release_Track'!$F:$F,$A377)=0),"NO ISRC MATCH in Release_Track",and($B377&lt;&gt;"",countif('5) Release_Track'!$G:$G,$B377)=0),"NO CATALOG ID MATCH in Release_Track",iserror(vlookup($A377&amp;$B377,'5) Release_Track'!$F:$F&amp;'5) Release_Track'!$G:$G,1,0)),"NO ISRC-CATALOG ID pair MATCH in Release_Track" )</f>
        <v/>
      </c>
      <c r="D377" s="121" t="str">
        <f t="array" ref="D377">ifs(and(isblank($A377),isblank($B377)),"", not(iserror(vlookup($A377&amp;$B377,'5) Release_Track'!$F:$F&amp;'5) Release_Track'!$G:$G,1,0))),vlookup($A377&amp;$B377,{'5) Release_Track'!$F:$F&amp;'5) Release_Track'!$G:$G,'5) Release_Track'!$I:$I},2,0), or(and(not(isblank($B377)),$B377=$B376,$A377&lt;&gt;$A376),and(not(isblank($A377)),$A377=$A376,$B377&lt;&gt;$B376)),"ID LISTS UNALIGNED",and($A377&lt;&gt;"",countif('5) Release_Track'!$F:$F,$A377)=0),"NO ISRC MATCH in Release_Track",and($B377&lt;&gt;"",countif('5) Release_Track'!$G:$G,$B377)=0),"NO CATALOG ID MATCH in Release_Track",iserror(vlookup($A377&amp;$B377,'5) Release_Track'!$F:$F&amp;'5) Release_Track'!$G:$G,1,0)),"NO ISRC-CATALOG ID pair MATCH in Release_Track" )</f>
        <v/>
      </c>
      <c r="E377" s="99"/>
      <c r="F377" s="99"/>
      <c r="G377" s="123" t="str">
        <f t="array" ref="G377">ifs(or($F377="",$F377="Main Primary Artist"),$F377,not(iserror(vlookup($F377,'Reference info'!$J$5:$J$8,1,0))),"Key Artist",not(iserror(vlookup($F377,'Reference info'!$J$38:$J$405,1,0))),"Performer",not(iserror(vlookup($F377,'Reference info'!$J$10:$J$36,1,0))),"Producer &amp; Engineer")</f>
        <v/>
      </c>
    </row>
    <row r="378">
      <c r="B378" s="103"/>
      <c r="C378" s="121" t="str">
        <f t="array" ref="C378">ifs(and(isblank($A378),isblank($B378)),"", not(iserror(vlookup($A378&amp;$B378,'5) Release_Track'!$F:$F&amp;'5) Release_Track'!$G:$G,1,0))),vlookup($A378&amp;$B378,{'5) Release_Track'!$F:$F&amp;'5) Release_Track'!$G:$G,'5) Release_Track'!$H:$H},2,0), or(and(not(isblank($B378)),$B378=$B377,$A378&lt;&gt;$A377),and(not(isblank($A378)),$A378=$A377,$B378&lt;&gt;$B377)),"ID LISTS UNALIGNED",and($A378&lt;&gt;"",countif('5) Release_Track'!$F:$F,$A378)=0),"NO ISRC MATCH in Release_Track",and($B378&lt;&gt;"",countif('5) Release_Track'!$G:$G,$B378)=0),"NO CATALOG ID MATCH in Release_Track",iserror(vlookup($A378&amp;$B378,'5) Release_Track'!$F:$F&amp;'5) Release_Track'!$G:$G,1,0)),"NO ISRC-CATALOG ID pair MATCH in Release_Track" )</f>
        <v/>
      </c>
      <c r="D378" s="121" t="str">
        <f t="array" ref="D378">ifs(and(isblank($A378),isblank($B378)),"", not(iserror(vlookup($A378&amp;$B378,'5) Release_Track'!$F:$F&amp;'5) Release_Track'!$G:$G,1,0))),vlookup($A378&amp;$B378,{'5) Release_Track'!$F:$F&amp;'5) Release_Track'!$G:$G,'5) Release_Track'!$I:$I},2,0), or(and(not(isblank($B378)),$B378=$B377,$A378&lt;&gt;$A377),and(not(isblank($A378)),$A378=$A377,$B378&lt;&gt;$B377)),"ID LISTS UNALIGNED",and($A378&lt;&gt;"",countif('5) Release_Track'!$F:$F,$A378)=0),"NO ISRC MATCH in Release_Track",and($B378&lt;&gt;"",countif('5) Release_Track'!$G:$G,$B378)=0),"NO CATALOG ID MATCH in Release_Track",iserror(vlookup($A378&amp;$B378,'5) Release_Track'!$F:$F&amp;'5) Release_Track'!$G:$G,1,0)),"NO ISRC-CATALOG ID pair MATCH in Release_Track" )</f>
        <v/>
      </c>
      <c r="E378" s="99"/>
      <c r="F378" s="99"/>
      <c r="G378" s="123" t="str">
        <f t="array" ref="G378">ifs(or($F378="",$F378="Main Primary Artist"),$F378,not(iserror(vlookup($F378,'Reference info'!$J$5:$J$8,1,0))),"Key Artist",not(iserror(vlookup($F378,'Reference info'!$J$38:$J$405,1,0))),"Performer",not(iserror(vlookup($F378,'Reference info'!$J$10:$J$36,1,0))),"Producer &amp; Engineer")</f>
        <v/>
      </c>
    </row>
    <row r="379">
      <c r="B379" s="103"/>
      <c r="C379" s="121" t="str">
        <f t="array" ref="C379">ifs(and(isblank($A379),isblank($B379)),"", not(iserror(vlookup($A379&amp;$B379,'5) Release_Track'!$F:$F&amp;'5) Release_Track'!$G:$G,1,0))),vlookup($A379&amp;$B379,{'5) Release_Track'!$F:$F&amp;'5) Release_Track'!$G:$G,'5) Release_Track'!$H:$H},2,0), or(and(not(isblank($B379)),$B379=$B378,$A379&lt;&gt;$A378),and(not(isblank($A379)),$A379=$A378,$B379&lt;&gt;$B378)),"ID LISTS UNALIGNED",and($A379&lt;&gt;"",countif('5) Release_Track'!$F:$F,$A379)=0),"NO ISRC MATCH in Release_Track",and($B379&lt;&gt;"",countif('5) Release_Track'!$G:$G,$B379)=0),"NO CATALOG ID MATCH in Release_Track",iserror(vlookup($A379&amp;$B379,'5) Release_Track'!$F:$F&amp;'5) Release_Track'!$G:$G,1,0)),"NO ISRC-CATALOG ID pair MATCH in Release_Track" )</f>
        <v/>
      </c>
      <c r="D379" s="121" t="str">
        <f t="array" ref="D379">ifs(and(isblank($A379),isblank($B379)),"", not(iserror(vlookup($A379&amp;$B379,'5) Release_Track'!$F:$F&amp;'5) Release_Track'!$G:$G,1,0))),vlookup($A379&amp;$B379,{'5) Release_Track'!$F:$F&amp;'5) Release_Track'!$G:$G,'5) Release_Track'!$I:$I},2,0), or(and(not(isblank($B379)),$B379=$B378,$A379&lt;&gt;$A378),and(not(isblank($A379)),$A379=$A378,$B379&lt;&gt;$B378)),"ID LISTS UNALIGNED",and($A379&lt;&gt;"",countif('5) Release_Track'!$F:$F,$A379)=0),"NO ISRC MATCH in Release_Track",and($B379&lt;&gt;"",countif('5) Release_Track'!$G:$G,$B379)=0),"NO CATALOG ID MATCH in Release_Track",iserror(vlookup($A379&amp;$B379,'5) Release_Track'!$F:$F&amp;'5) Release_Track'!$G:$G,1,0)),"NO ISRC-CATALOG ID pair MATCH in Release_Track" )</f>
        <v/>
      </c>
      <c r="E379" s="99"/>
      <c r="F379" s="99"/>
      <c r="G379" s="123" t="str">
        <f t="array" ref="G379">ifs(or($F379="",$F379="Main Primary Artist"),$F379,not(iserror(vlookup($F379,'Reference info'!$J$5:$J$8,1,0))),"Key Artist",not(iserror(vlookup($F379,'Reference info'!$J$38:$J$405,1,0))),"Performer",not(iserror(vlookup($F379,'Reference info'!$J$10:$J$36,1,0))),"Producer &amp; Engineer")</f>
        <v/>
      </c>
    </row>
    <row r="380">
      <c r="B380" s="103"/>
      <c r="C380" s="121" t="str">
        <f t="array" ref="C380">ifs(and(isblank($A380),isblank($B380)),"", not(iserror(vlookup($A380&amp;$B380,'5) Release_Track'!$F:$F&amp;'5) Release_Track'!$G:$G,1,0))),vlookup($A380&amp;$B380,{'5) Release_Track'!$F:$F&amp;'5) Release_Track'!$G:$G,'5) Release_Track'!$H:$H},2,0), or(and(not(isblank($B380)),$B380=$B379,$A380&lt;&gt;$A379),and(not(isblank($A380)),$A380=$A379,$B380&lt;&gt;$B379)),"ID LISTS UNALIGNED",and($A380&lt;&gt;"",countif('5) Release_Track'!$F:$F,$A380)=0),"NO ISRC MATCH in Release_Track",and($B380&lt;&gt;"",countif('5) Release_Track'!$G:$G,$B380)=0),"NO CATALOG ID MATCH in Release_Track",iserror(vlookup($A380&amp;$B380,'5) Release_Track'!$F:$F&amp;'5) Release_Track'!$G:$G,1,0)),"NO ISRC-CATALOG ID pair MATCH in Release_Track" )</f>
        <v/>
      </c>
      <c r="D380" s="121" t="str">
        <f t="array" ref="D380">ifs(and(isblank($A380),isblank($B380)),"", not(iserror(vlookup($A380&amp;$B380,'5) Release_Track'!$F:$F&amp;'5) Release_Track'!$G:$G,1,0))),vlookup($A380&amp;$B380,{'5) Release_Track'!$F:$F&amp;'5) Release_Track'!$G:$G,'5) Release_Track'!$I:$I},2,0), or(and(not(isblank($B380)),$B380=$B379,$A380&lt;&gt;$A379),and(not(isblank($A380)),$A380=$A379,$B380&lt;&gt;$B379)),"ID LISTS UNALIGNED",and($A380&lt;&gt;"",countif('5) Release_Track'!$F:$F,$A380)=0),"NO ISRC MATCH in Release_Track",and($B380&lt;&gt;"",countif('5) Release_Track'!$G:$G,$B380)=0),"NO CATALOG ID MATCH in Release_Track",iserror(vlookup($A380&amp;$B380,'5) Release_Track'!$F:$F&amp;'5) Release_Track'!$G:$G,1,0)),"NO ISRC-CATALOG ID pair MATCH in Release_Track" )</f>
        <v/>
      </c>
      <c r="E380" s="99"/>
      <c r="F380" s="99"/>
      <c r="G380" s="123" t="str">
        <f t="array" ref="G380">ifs(or($F380="",$F380="Main Primary Artist"),$F380,not(iserror(vlookup($F380,'Reference info'!$J$5:$J$8,1,0))),"Key Artist",not(iserror(vlookup($F380,'Reference info'!$J$38:$J$405,1,0))),"Performer",not(iserror(vlookup($F380,'Reference info'!$J$10:$J$36,1,0))),"Producer &amp; Engineer")</f>
        <v/>
      </c>
    </row>
    <row r="381">
      <c r="B381" s="103"/>
      <c r="C381" s="121" t="str">
        <f t="array" ref="C381">ifs(and(isblank($A381),isblank($B381)),"", not(iserror(vlookup($A381&amp;$B381,'5) Release_Track'!$F:$F&amp;'5) Release_Track'!$G:$G,1,0))),vlookup($A381&amp;$B381,{'5) Release_Track'!$F:$F&amp;'5) Release_Track'!$G:$G,'5) Release_Track'!$H:$H},2,0), or(and(not(isblank($B381)),$B381=$B380,$A381&lt;&gt;$A380),and(not(isblank($A381)),$A381=$A380,$B381&lt;&gt;$B380)),"ID LISTS UNALIGNED",and($A381&lt;&gt;"",countif('5) Release_Track'!$F:$F,$A381)=0),"NO ISRC MATCH in Release_Track",and($B381&lt;&gt;"",countif('5) Release_Track'!$G:$G,$B381)=0),"NO CATALOG ID MATCH in Release_Track",iserror(vlookup($A381&amp;$B381,'5) Release_Track'!$F:$F&amp;'5) Release_Track'!$G:$G,1,0)),"NO ISRC-CATALOG ID pair MATCH in Release_Track" )</f>
        <v/>
      </c>
      <c r="D381" s="121" t="str">
        <f t="array" ref="D381">ifs(and(isblank($A381),isblank($B381)),"", not(iserror(vlookup($A381&amp;$B381,'5) Release_Track'!$F:$F&amp;'5) Release_Track'!$G:$G,1,0))),vlookup($A381&amp;$B381,{'5) Release_Track'!$F:$F&amp;'5) Release_Track'!$G:$G,'5) Release_Track'!$I:$I},2,0), or(and(not(isblank($B381)),$B381=$B380,$A381&lt;&gt;$A380),and(not(isblank($A381)),$A381=$A380,$B381&lt;&gt;$B380)),"ID LISTS UNALIGNED",and($A381&lt;&gt;"",countif('5) Release_Track'!$F:$F,$A381)=0),"NO ISRC MATCH in Release_Track",and($B381&lt;&gt;"",countif('5) Release_Track'!$G:$G,$B381)=0),"NO CATALOG ID MATCH in Release_Track",iserror(vlookup($A381&amp;$B381,'5) Release_Track'!$F:$F&amp;'5) Release_Track'!$G:$G,1,0)),"NO ISRC-CATALOG ID pair MATCH in Release_Track" )</f>
        <v/>
      </c>
      <c r="E381" s="99"/>
      <c r="F381" s="99"/>
      <c r="G381" s="123" t="str">
        <f t="array" ref="G381">ifs(or($F381="",$F381="Main Primary Artist"),$F381,not(iserror(vlookup($F381,'Reference info'!$J$5:$J$8,1,0))),"Key Artist",not(iserror(vlookup($F381,'Reference info'!$J$38:$J$405,1,0))),"Performer",not(iserror(vlookup($F381,'Reference info'!$J$10:$J$36,1,0))),"Producer &amp; Engineer")</f>
        <v/>
      </c>
    </row>
    <row r="382">
      <c r="B382" s="103"/>
      <c r="C382" s="121" t="str">
        <f t="array" ref="C382">ifs(and(isblank($A382),isblank($B382)),"", not(iserror(vlookup($A382&amp;$B382,'5) Release_Track'!$F:$F&amp;'5) Release_Track'!$G:$G,1,0))),vlookup($A382&amp;$B382,{'5) Release_Track'!$F:$F&amp;'5) Release_Track'!$G:$G,'5) Release_Track'!$H:$H},2,0), or(and(not(isblank($B382)),$B382=$B381,$A382&lt;&gt;$A381),and(not(isblank($A382)),$A382=$A381,$B382&lt;&gt;$B381)),"ID LISTS UNALIGNED",and($A382&lt;&gt;"",countif('5) Release_Track'!$F:$F,$A382)=0),"NO ISRC MATCH in Release_Track",and($B382&lt;&gt;"",countif('5) Release_Track'!$G:$G,$B382)=0),"NO CATALOG ID MATCH in Release_Track",iserror(vlookup($A382&amp;$B382,'5) Release_Track'!$F:$F&amp;'5) Release_Track'!$G:$G,1,0)),"NO ISRC-CATALOG ID pair MATCH in Release_Track" )</f>
        <v/>
      </c>
      <c r="D382" s="121" t="str">
        <f t="array" ref="D382">ifs(and(isblank($A382),isblank($B382)),"", not(iserror(vlookup($A382&amp;$B382,'5) Release_Track'!$F:$F&amp;'5) Release_Track'!$G:$G,1,0))),vlookup($A382&amp;$B382,{'5) Release_Track'!$F:$F&amp;'5) Release_Track'!$G:$G,'5) Release_Track'!$I:$I},2,0), or(and(not(isblank($B382)),$B382=$B381,$A382&lt;&gt;$A381),and(not(isblank($A382)),$A382=$A381,$B382&lt;&gt;$B381)),"ID LISTS UNALIGNED",and($A382&lt;&gt;"",countif('5) Release_Track'!$F:$F,$A382)=0),"NO ISRC MATCH in Release_Track",and($B382&lt;&gt;"",countif('5) Release_Track'!$G:$G,$B382)=0),"NO CATALOG ID MATCH in Release_Track",iserror(vlookup($A382&amp;$B382,'5) Release_Track'!$F:$F&amp;'5) Release_Track'!$G:$G,1,0)),"NO ISRC-CATALOG ID pair MATCH in Release_Track" )</f>
        <v/>
      </c>
      <c r="E382" s="99"/>
      <c r="F382" s="99"/>
      <c r="G382" s="123" t="str">
        <f t="array" ref="G382">ifs(or($F382="",$F382="Main Primary Artist"),$F382,not(iserror(vlookup($F382,'Reference info'!$J$5:$J$8,1,0))),"Key Artist",not(iserror(vlookup($F382,'Reference info'!$J$38:$J$405,1,0))),"Performer",not(iserror(vlookup($F382,'Reference info'!$J$10:$J$36,1,0))),"Producer &amp; Engineer")</f>
        <v/>
      </c>
    </row>
    <row r="383">
      <c r="B383" s="103"/>
      <c r="C383" s="121" t="str">
        <f t="array" ref="C383">ifs(and(isblank($A383),isblank($B383)),"", not(iserror(vlookup($A383&amp;$B383,'5) Release_Track'!$F:$F&amp;'5) Release_Track'!$G:$G,1,0))),vlookup($A383&amp;$B383,{'5) Release_Track'!$F:$F&amp;'5) Release_Track'!$G:$G,'5) Release_Track'!$H:$H},2,0), or(and(not(isblank($B383)),$B383=$B382,$A383&lt;&gt;$A382),and(not(isblank($A383)),$A383=$A382,$B383&lt;&gt;$B382)),"ID LISTS UNALIGNED",and($A383&lt;&gt;"",countif('5) Release_Track'!$F:$F,$A383)=0),"NO ISRC MATCH in Release_Track",and($B383&lt;&gt;"",countif('5) Release_Track'!$G:$G,$B383)=0),"NO CATALOG ID MATCH in Release_Track",iserror(vlookup($A383&amp;$B383,'5) Release_Track'!$F:$F&amp;'5) Release_Track'!$G:$G,1,0)),"NO ISRC-CATALOG ID pair MATCH in Release_Track" )</f>
        <v/>
      </c>
      <c r="D383" s="121" t="str">
        <f t="array" ref="D383">ifs(and(isblank($A383),isblank($B383)),"", not(iserror(vlookup($A383&amp;$B383,'5) Release_Track'!$F:$F&amp;'5) Release_Track'!$G:$G,1,0))),vlookup($A383&amp;$B383,{'5) Release_Track'!$F:$F&amp;'5) Release_Track'!$G:$G,'5) Release_Track'!$I:$I},2,0), or(and(not(isblank($B383)),$B383=$B382,$A383&lt;&gt;$A382),and(not(isblank($A383)),$A383=$A382,$B383&lt;&gt;$B382)),"ID LISTS UNALIGNED",and($A383&lt;&gt;"",countif('5) Release_Track'!$F:$F,$A383)=0),"NO ISRC MATCH in Release_Track",and($B383&lt;&gt;"",countif('5) Release_Track'!$G:$G,$B383)=0),"NO CATALOG ID MATCH in Release_Track",iserror(vlookup($A383&amp;$B383,'5) Release_Track'!$F:$F&amp;'5) Release_Track'!$G:$G,1,0)),"NO ISRC-CATALOG ID pair MATCH in Release_Track" )</f>
        <v/>
      </c>
      <c r="E383" s="99"/>
      <c r="F383" s="99"/>
      <c r="G383" s="123" t="str">
        <f t="array" ref="G383">ifs(or($F383="",$F383="Main Primary Artist"),$F383,not(iserror(vlookup($F383,'Reference info'!$J$5:$J$8,1,0))),"Key Artist",not(iserror(vlookup($F383,'Reference info'!$J$38:$J$405,1,0))),"Performer",not(iserror(vlookup($F383,'Reference info'!$J$10:$J$36,1,0))),"Producer &amp; Engineer")</f>
        <v/>
      </c>
    </row>
    <row r="384">
      <c r="B384" s="103"/>
      <c r="C384" s="121" t="str">
        <f t="array" ref="C384">ifs(and(isblank($A384),isblank($B384)),"", not(iserror(vlookup($A384&amp;$B384,'5) Release_Track'!$F:$F&amp;'5) Release_Track'!$G:$G,1,0))),vlookup($A384&amp;$B384,{'5) Release_Track'!$F:$F&amp;'5) Release_Track'!$G:$G,'5) Release_Track'!$H:$H},2,0), or(and(not(isblank($B384)),$B384=$B383,$A384&lt;&gt;$A383),and(not(isblank($A384)),$A384=$A383,$B384&lt;&gt;$B383)),"ID LISTS UNALIGNED",and($A384&lt;&gt;"",countif('5) Release_Track'!$F:$F,$A384)=0),"NO ISRC MATCH in Release_Track",and($B384&lt;&gt;"",countif('5) Release_Track'!$G:$G,$B384)=0),"NO CATALOG ID MATCH in Release_Track",iserror(vlookup($A384&amp;$B384,'5) Release_Track'!$F:$F&amp;'5) Release_Track'!$G:$G,1,0)),"NO ISRC-CATALOG ID pair MATCH in Release_Track" )</f>
        <v/>
      </c>
      <c r="D384" s="121" t="str">
        <f t="array" ref="D384">ifs(and(isblank($A384),isblank($B384)),"", not(iserror(vlookup($A384&amp;$B384,'5) Release_Track'!$F:$F&amp;'5) Release_Track'!$G:$G,1,0))),vlookup($A384&amp;$B384,{'5) Release_Track'!$F:$F&amp;'5) Release_Track'!$G:$G,'5) Release_Track'!$I:$I},2,0), or(and(not(isblank($B384)),$B384=$B383,$A384&lt;&gt;$A383),and(not(isblank($A384)),$A384=$A383,$B384&lt;&gt;$B383)),"ID LISTS UNALIGNED",and($A384&lt;&gt;"",countif('5) Release_Track'!$F:$F,$A384)=0),"NO ISRC MATCH in Release_Track",and($B384&lt;&gt;"",countif('5) Release_Track'!$G:$G,$B384)=0),"NO CATALOG ID MATCH in Release_Track",iserror(vlookup($A384&amp;$B384,'5) Release_Track'!$F:$F&amp;'5) Release_Track'!$G:$G,1,0)),"NO ISRC-CATALOG ID pair MATCH in Release_Track" )</f>
        <v/>
      </c>
      <c r="E384" s="99"/>
      <c r="F384" s="99"/>
      <c r="G384" s="123" t="str">
        <f t="array" ref="G384">ifs(or($F384="",$F384="Main Primary Artist"),$F384,not(iserror(vlookup($F384,'Reference info'!$J$5:$J$8,1,0))),"Key Artist",not(iserror(vlookup($F384,'Reference info'!$J$38:$J$405,1,0))),"Performer",not(iserror(vlookup($F384,'Reference info'!$J$10:$J$36,1,0))),"Producer &amp; Engineer")</f>
        <v/>
      </c>
    </row>
    <row r="385">
      <c r="B385" s="103"/>
      <c r="C385" s="121" t="str">
        <f t="array" ref="C385">ifs(and(isblank($A385),isblank($B385)),"", not(iserror(vlookup($A385&amp;$B385,'5) Release_Track'!$F:$F&amp;'5) Release_Track'!$G:$G,1,0))),vlookup($A385&amp;$B385,{'5) Release_Track'!$F:$F&amp;'5) Release_Track'!$G:$G,'5) Release_Track'!$H:$H},2,0), or(and(not(isblank($B385)),$B385=$B384,$A385&lt;&gt;$A384),and(not(isblank($A385)),$A385=$A384,$B385&lt;&gt;$B384)),"ID LISTS UNALIGNED",and($A385&lt;&gt;"",countif('5) Release_Track'!$F:$F,$A385)=0),"NO ISRC MATCH in Release_Track",and($B385&lt;&gt;"",countif('5) Release_Track'!$G:$G,$B385)=0),"NO CATALOG ID MATCH in Release_Track",iserror(vlookup($A385&amp;$B385,'5) Release_Track'!$F:$F&amp;'5) Release_Track'!$G:$G,1,0)),"NO ISRC-CATALOG ID pair MATCH in Release_Track" )</f>
        <v/>
      </c>
      <c r="D385" s="121" t="str">
        <f t="array" ref="D385">ifs(and(isblank($A385),isblank($B385)),"", not(iserror(vlookup($A385&amp;$B385,'5) Release_Track'!$F:$F&amp;'5) Release_Track'!$G:$G,1,0))),vlookup($A385&amp;$B385,{'5) Release_Track'!$F:$F&amp;'5) Release_Track'!$G:$G,'5) Release_Track'!$I:$I},2,0), or(and(not(isblank($B385)),$B385=$B384,$A385&lt;&gt;$A384),and(not(isblank($A385)),$A385=$A384,$B385&lt;&gt;$B384)),"ID LISTS UNALIGNED",and($A385&lt;&gt;"",countif('5) Release_Track'!$F:$F,$A385)=0),"NO ISRC MATCH in Release_Track",and($B385&lt;&gt;"",countif('5) Release_Track'!$G:$G,$B385)=0),"NO CATALOG ID MATCH in Release_Track",iserror(vlookup($A385&amp;$B385,'5) Release_Track'!$F:$F&amp;'5) Release_Track'!$G:$G,1,0)),"NO ISRC-CATALOG ID pair MATCH in Release_Track" )</f>
        <v/>
      </c>
      <c r="E385" s="99"/>
      <c r="F385" s="99"/>
      <c r="G385" s="123" t="str">
        <f t="array" ref="G385">ifs(or($F385="",$F385="Main Primary Artist"),$F385,not(iserror(vlookup($F385,'Reference info'!$J$5:$J$8,1,0))),"Key Artist",not(iserror(vlookup($F385,'Reference info'!$J$38:$J$405,1,0))),"Performer",not(iserror(vlookup($F385,'Reference info'!$J$10:$J$36,1,0))),"Producer &amp; Engineer")</f>
        <v/>
      </c>
    </row>
    <row r="386">
      <c r="B386" s="103"/>
      <c r="C386" s="121" t="str">
        <f t="array" ref="C386">ifs(and(isblank($A386),isblank($B386)),"", not(iserror(vlookup($A386&amp;$B386,'5) Release_Track'!$F:$F&amp;'5) Release_Track'!$G:$G,1,0))),vlookup($A386&amp;$B386,{'5) Release_Track'!$F:$F&amp;'5) Release_Track'!$G:$G,'5) Release_Track'!$H:$H},2,0), or(and(not(isblank($B386)),$B386=$B385,$A386&lt;&gt;$A385),and(not(isblank($A386)),$A386=$A385,$B386&lt;&gt;$B385)),"ID LISTS UNALIGNED",and($A386&lt;&gt;"",countif('5) Release_Track'!$F:$F,$A386)=0),"NO ISRC MATCH in Release_Track",and($B386&lt;&gt;"",countif('5) Release_Track'!$G:$G,$B386)=0),"NO CATALOG ID MATCH in Release_Track",iserror(vlookup($A386&amp;$B386,'5) Release_Track'!$F:$F&amp;'5) Release_Track'!$G:$G,1,0)),"NO ISRC-CATALOG ID pair MATCH in Release_Track" )</f>
        <v/>
      </c>
      <c r="D386" s="121" t="str">
        <f t="array" ref="D386">ifs(and(isblank($A386),isblank($B386)),"", not(iserror(vlookup($A386&amp;$B386,'5) Release_Track'!$F:$F&amp;'5) Release_Track'!$G:$G,1,0))),vlookup($A386&amp;$B386,{'5) Release_Track'!$F:$F&amp;'5) Release_Track'!$G:$G,'5) Release_Track'!$I:$I},2,0), or(and(not(isblank($B386)),$B386=$B385,$A386&lt;&gt;$A385),and(not(isblank($A386)),$A386=$A385,$B386&lt;&gt;$B385)),"ID LISTS UNALIGNED",and($A386&lt;&gt;"",countif('5) Release_Track'!$F:$F,$A386)=0),"NO ISRC MATCH in Release_Track",and($B386&lt;&gt;"",countif('5) Release_Track'!$G:$G,$B386)=0),"NO CATALOG ID MATCH in Release_Track",iserror(vlookup($A386&amp;$B386,'5) Release_Track'!$F:$F&amp;'5) Release_Track'!$G:$G,1,0)),"NO ISRC-CATALOG ID pair MATCH in Release_Track" )</f>
        <v/>
      </c>
      <c r="E386" s="99"/>
      <c r="F386" s="99"/>
      <c r="G386" s="123" t="str">
        <f t="array" ref="G386">ifs(or($F386="",$F386="Main Primary Artist"),$F386,not(iserror(vlookup($F386,'Reference info'!$J$5:$J$8,1,0))),"Key Artist",not(iserror(vlookup($F386,'Reference info'!$J$38:$J$405,1,0))),"Performer",not(iserror(vlookup($F386,'Reference info'!$J$10:$J$36,1,0))),"Producer &amp; Engineer")</f>
        <v/>
      </c>
    </row>
    <row r="387">
      <c r="B387" s="103"/>
      <c r="C387" s="121" t="str">
        <f t="array" ref="C387">ifs(and(isblank($A387),isblank($B387)),"", not(iserror(vlookup($A387&amp;$B387,'5) Release_Track'!$F:$F&amp;'5) Release_Track'!$G:$G,1,0))),vlookup($A387&amp;$B387,{'5) Release_Track'!$F:$F&amp;'5) Release_Track'!$G:$G,'5) Release_Track'!$H:$H},2,0), or(and(not(isblank($B387)),$B387=$B386,$A387&lt;&gt;$A386),and(not(isblank($A387)),$A387=$A386,$B387&lt;&gt;$B386)),"ID LISTS UNALIGNED",and($A387&lt;&gt;"",countif('5) Release_Track'!$F:$F,$A387)=0),"NO ISRC MATCH in Release_Track",and($B387&lt;&gt;"",countif('5) Release_Track'!$G:$G,$B387)=0),"NO CATALOG ID MATCH in Release_Track",iserror(vlookup($A387&amp;$B387,'5) Release_Track'!$F:$F&amp;'5) Release_Track'!$G:$G,1,0)),"NO ISRC-CATALOG ID pair MATCH in Release_Track" )</f>
        <v/>
      </c>
      <c r="D387" s="121" t="str">
        <f t="array" ref="D387">ifs(and(isblank($A387),isblank($B387)),"", not(iserror(vlookup($A387&amp;$B387,'5) Release_Track'!$F:$F&amp;'5) Release_Track'!$G:$G,1,0))),vlookup($A387&amp;$B387,{'5) Release_Track'!$F:$F&amp;'5) Release_Track'!$G:$G,'5) Release_Track'!$I:$I},2,0), or(and(not(isblank($B387)),$B387=$B386,$A387&lt;&gt;$A386),and(not(isblank($A387)),$A387=$A386,$B387&lt;&gt;$B386)),"ID LISTS UNALIGNED",and($A387&lt;&gt;"",countif('5) Release_Track'!$F:$F,$A387)=0),"NO ISRC MATCH in Release_Track",and($B387&lt;&gt;"",countif('5) Release_Track'!$G:$G,$B387)=0),"NO CATALOG ID MATCH in Release_Track",iserror(vlookup($A387&amp;$B387,'5) Release_Track'!$F:$F&amp;'5) Release_Track'!$G:$G,1,0)),"NO ISRC-CATALOG ID pair MATCH in Release_Track" )</f>
        <v/>
      </c>
      <c r="E387" s="99"/>
      <c r="F387" s="99"/>
      <c r="G387" s="123" t="str">
        <f t="array" ref="G387">ifs(or($F387="",$F387="Main Primary Artist"),$F387,not(iserror(vlookup($F387,'Reference info'!$J$5:$J$8,1,0))),"Key Artist",not(iserror(vlookup($F387,'Reference info'!$J$38:$J$405,1,0))),"Performer",not(iserror(vlookup($F387,'Reference info'!$J$10:$J$36,1,0))),"Producer &amp; Engineer")</f>
        <v/>
      </c>
    </row>
    <row r="388">
      <c r="B388" s="103"/>
      <c r="C388" s="121" t="str">
        <f t="array" ref="C388">ifs(and(isblank($A388),isblank($B388)),"", not(iserror(vlookup($A388&amp;$B388,'5) Release_Track'!$F:$F&amp;'5) Release_Track'!$G:$G,1,0))),vlookup($A388&amp;$B388,{'5) Release_Track'!$F:$F&amp;'5) Release_Track'!$G:$G,'5) Release_Track'!$H:$H},2,0), or(and(not(isblank($B388)),$B388=$B387,$A388&lt;&gt;$A387),and(not(isblank($A388)),$A388=$A387,$B388&lt;&gt;$B387)),"ID LISTS UNALIGNED",and($A388&lt;&gt;"",countif('5) Release_Track'!$F:$F,$A388)=0),"NO ISRC MATCH in Release_Track",and($B388&lt;&gt;"",countif('5) Release_Track'!$G:$G,$B388)=0),"NO CATALOG ID MATCH in Release_Track",iserror(vlookup($A388&amp;$B388,'5) Release_Track'!$F:$F&amp;'5) Release_Track'!$G:$G,1,0)),"NO ISRC-CATALOG ID pair MATCH in Release_Track" )</f>
        <v/>
      </c>
      <c r="D388" s="121" t="str">
        <f t="array" ref="D388">ifs(and(isblank($A388),isblank($B388)),"", not(iserror(vlookup($A388&amp;$B388,'5) Release_Track'!$F:$F&amp;'5) Release_Track'!$G:$G,1,0))),vlookup($A388&amp;$B388,{'5) Release_Track'!$F:$F&amp;'5) Release_Track'!$G:$G,'5) Release_Track'!$I:$I},2,0), or(and(not(isblank($B388)),$B388=$B387,$A388&lt;&gt;$A387),and(not(isblank($A388)),$A388=$A387,$B388&lt;&gt;$B387)),"ID LISTS UNALIGNED",and($A388&lt;&gt;"",countif('5) Release_Track'!$F:$F,$A388)=0),"NO ISRC MATCH in Release_Track",and($B388&lt;&gt;"",countif('5) Release_Track'!$G:$G,$B388)=0),"NO CATALOG ID MATCH in Release_Track",iserror(vlookup($A388&amp;$B388,'5) Release_Track'!$F:$F&amp;'5) Release_Track'!$G:$G,1,0)),"NO ISRC-CATALOG ID pair MATCH in Release_Track" )</f>
        <v/>
      </c>
      <c r="E388" s="99"/>
      <c r="F388" s="99"/>
      <c r="G388" s="123" t="str">
        <f t="array" ref="G388">ifs(or($F388="",$F388="Main Primary Artist"),$F388,not(iserror(vlookup($F388,'Reference info'!$J$5:$J$8,1,0))),"Key Artist",not(iserror(vlookup($F388,'Reference info'!$J$38:$J$405,1,0))),"Performer",not(iserror(vlookup($F388,'Reference info'!$J$10:$J$36,1,0))),"Producer &amp; Engineer")</f>
        <v/>
      </c>
    </row>
    <row r="389">
      <c r="B389" s="103"/>
      <c r="C389" s="121" t="str">
        <f t="array" ref="C389">ifs(and(isblank($A389),isblank($B389)),"", not(iserror(vlookup($A389&amp;$B389,'5) Release_Track'!$F:$F&amp;'5) Release_Track'!$G:$G,1,0))),vlookup($A389&amp;$B389,{'5) Release_Track'!$F:$F&amp;'5) Release_Track'!$G:$G,'5) Release_Track'!$H:$H},2,0), or(and(not(isblank($B389)),$B389=$B388,$A389&lt;&gt;$A388),and(not(isblank($A389)),$A389=$A388,$B389&lt;&gt;$B388)),"ID LISTS UNALIGNED",and($A389&lt;&gt;"",countif('5) Release_Track'!$F:$F,$A389)=0),"NO ISRC MATCH in Release_Track",and($B389&lt;&gt;"",countif('5) Release_Track'!$G:$G,$B389)=0),"NO CATALOG ID MATCH in Release_Track",iserror(vlookup($A389&amp;$B389,'5) Release_Track'!$F:$F&amp;'5) Release_Track'!$G:$G,1,0)),"NO ISRC-CATALOG ID pair MATCH in Release_Track" )</f>
        <v/>
      </c>
      <c r="D389" s="121" t="str">
        <f t="array" ref="D389">ifs(and(isblank($A389),isblank($B389)),"", not(iserror(vlookup($A389&amp;$B389,'5) Release_Track'!$F:$F&amp;'5) Release_Track'!$G:$G,1,0))),vlookup($A389&amp;$B389,{'5) Release_Track'!$F:$F&amp;'5) Release_Track'!$G:$G,'5) Release_Track'!$I:$I},2,0), or(and(not(isblank($B389)),$B389=$B388,$A389&lt;&gt;$A388),and(not(isblank($A389)),$A389=$A388,$B389&lt;&gt;$B388)),"ID LISTS UNALIGNED",and($A389&lt;&gt;"",countif('5) Release_Track'!$F:$F,$A389)=0),"NO ISRC MATCH in Release_Track",and($B389&lt;&gt;"",countif('5) Release_Track'!$G:$G,$B389)=0),"NO CATALOG ID MATCH in Release_Track",iserror(vlookup($A389&amp;$B389,'5) Release_Track'!$F:$F&amp;'5) Release_Track'!$G:$G,1,0)),"NO ISRC-CATALOG ID pair MATCH in Release_Track" )</f>
        <v/>
      </c>
      <c r="E389" s="99"/>
      <c r="F389" s="99"/>
      <c r="G389" s="123" t="str">
        <f t="array" ref="G389">ifs(or($F389="",$F389="Main Primary Artist"),$F389,not(iserror(vlookup($F389,'Reference info'!$J$5:$J$8,1,0))),"Key Artist",not(iserror(vlookup($F389,'Reference info'!$J$38:$J$405,1,0))),"Performer",not(iserror(vlookup($F389,'Reference info'!$J$10:$J$36,1,0))),"Producer &amp; Engineer")</f>
        <v/>
      </c>
    </row>
    <row r="390">
      <c r="B390" s="103"/>
      <c r="C390" s="121" t="str">
        <f t="array" ref="C390">ifs(and(isblank($A390),isblank($B390)),"", not(iserror(vlookup($A390&amp;$B390,'5) Release_Track'!$F:$F&amp;'5) Release_Track'!$G:$G,1,0))),vlookup($A390&amp;$B390,{'5) Release_Track'!$F:$F&amp;'5) Release_Track'!$G:$G,'5) Release_Track'!$H:$H},2,0), or(and(not(isblank($B390)),$B390=$B389,$A390&lt;&gt;$A389),and(not(isblank($A390)),$A390=$A389,$B390&lt;&gt;$B389)),"ID LISTS UNALIGNED",and($A390&lt;&gt;"",countif('5) Release_Track'!$F:$F,$A390)=0),"NO ISRC MATCH in Release_Track",and($B390&lt;&gt;"",countif('5) Release_Track'!$G:$G,$B390)=0),"NO CATALOG ID MATCH in Release_Track",iserror(vlookup($A390&amp;$B390,'5) Release_Track'!$F:$F&amp;'5) Release_Track'!$G:$G,1,0)),"NO ISRC-CATALOG ID pair MATCH in Release_Track" )</f>
        <v/>
      </c>
      <c r="D390" s="121" t="str">
        <f t="array" ref="D390">ifs(and(isblank($A390),isblank($B390)),"", not(iserror(vlookup($A390&amp;$B390,'5) Release_Track'!$F:$F&amp;'5) Release_Track'!$G:$G,1,0))),vlookup($A390&amp;$B390,{'5) Release_Track'!$F:$F&amp;'5) Release_Track'!$G:$G,'5) Release_Track'!$I:$I},2,0), or(and(not(isblank($B390)),$B390=$B389,$A390&lt;&gt;$A389),and(not(isblank($A390)),$A390=$A389,$B390&lt;&gt;$B389)),"ID LISTS UNALIGNED",and($A390&lt;&gt;"",countif('5) Release_Track'!$F:$F,$A390)=0),"NO ISRC MATCH in Release_Track",and($B390&lt;&gt;"",countif('5) Release_Track'!$G:$G,$B390)=0),"NO CATALOG ID MATCH in Release_Track",iserror(vlookup($A390&amp;$B390,'5) Release_Track'!$F:$F&amp;'5) Release_Track'!$G:$G,1,0)),"NO ISRC-CATALOG ID pair MATCH in Release_Track" )</f>
        <v/>
      </c>
      <c r="E390" s="99"/>
      <c r="F390" s="99"/>
      <c r="G390" s="123" t="str">
        <f t="array" ref="G390">ifs(or($F390="",$F390="Main Primary Artist"),$F390,not(iserror(vlookup($F390,'Reference info'!$J$5:$J$8,1,0))),"Key Artist",not(iserror(vlookup($F390,'Reference info'!$J$38:$J$405,1,0))),"Performer",not(iserror(vlookup($F390,'Reference info'!$J$10:$J$36,1,0))),"Producer &amp; Engineer")</f>
        <v/>
      </c>
    </row>
    <row r="391">
      <c r="B391" s="103"/>
      <c r="C391" s="121" t="str">
        <f t="array" ref="C391">ifs(and(isblank($A391),isblank($B391)),"", not(iserror(vlookup($A391&amp;$B391,'5) Release_Track'!$F:$F&amp;'5) Release_Track'!$G:$G,1,0))),vlookup($A391&amp;$B391,{'5) Release_Track'!$F:$F&amp;'5) Release_Track'!$G:$G,'5) Release_Track'!$H:$H},2,0), or(and(not(isblank($B391)),$B391=$B390,$A391&lt;&gt;$A390),and(not(isblank($A391)),$A391=$A390,$B391&lt;&gt;$B390)),"ID LISTS UNALIGNED",and($A391&lt;&gt;"",countif('5) Release_Track'!$F:$F,$A391)=0),"NO ISRC MATCH in Release_Track",and($B391&lt;&gt;"",countif('5) Release_Track'!$G:$G,$B391)=0),"NO CATALOG ID MATCH in Release_Track",iserror(vlookup($A391&amp;$B391,'5) Release_Track'!$F:$F&amp;'5) Release_Track'!$G:$G,1,0)),"NO ISRC-CATALOG ID pair MATCH in Release_Track" )</f>
        <v/>
      </c>
      <c r="D391" s="121" t="str">
        <f t="array" ref="D391">ifs(and(isblank($A391),isblank($B391)),"", not(iserror(vlookup($A391&amp;$B391,'5) Release_Track'!$F:$F&amp;'5) Release_Track'!$G:$G,1,0))),vlookup($A391&amp;$B391,{'5) Release_Track'!$F:$F&amp;'5) Release_Track'!$G:$G,'5) Release_Track'!$I:$I},2,0), or(and(not(isblank($B391)),$B391=$B390,$A391&lt;&gt;$A390),and(not(isblank($A391)),$A391=$A390,$B391&lt;&gt;$B390)),"ID LISTS UNALIGNED",and($A391&lt;&gt;"",countif('5) Release_Track'!$F:$F,$A391)=0),"NO ISRC MATCH in Release_Track",and($B391&lt;&gt;"",countif('5) Release_Track'!$G:$G,$B391)=0),"NO CATALOG ID MATCH in Release_Track",iserror(vlookup($A391&amp;$B391,'5) Release_Track'!$F:$F&amp;'5) Release_Track'!$G:$G,1,0)),"NO ISRC-CATALOG ID pair MATCH in Release_Track" )</f>
        <v/>
      </c>
      <c r="E391" s="99"/>
      <c r="F391" s="99"/>
      <c r="G391" s="123" t="str">
        <f t="array" ref="G391">ifs(or($F391="",$F391="Main Primary Artist"),$F391,not(iserror(vlookup($F391,'Reference info'!$J$5:$J$8,1,0))),"Key Artist",not(iserror(vlookup($F391,'Reference info'!$J$38:$J$405,1,0))),"Performer",not(iserror(vlookup($F391,'Reference info'!$J$10:$J$36,1,0))),"Producer &amp; Engineer")</f>
        <v/>
      </c>
    </row>
    <row r="392">
      <c r="B392" s="103"/>
      <c r="C392" s="121" t="str">
        <f t="array" ref="C392">ifs(and(isblank($A392),isblank($B392)),"", not(iserror(vlookup($A392&amp;$B392,'5) Release_Track'!$F:$F&amp;'5) Release_Track'!$G:$G,1,0))),vlookup($A392&amp;$B392,{'5) Release_Track'!$F:$F&amp;'5) Release_Track'!$G:$G,'5) Release_Track'!$H:$H},2,0), or(and(not(isblank($B392)),$B392=$B391,$A392&lt;&gt;$A391),and(not(isblank($A392)),$A392=$A391,$B392&lt;&gt;$B391)),"ID LISTS UNALIGNED",and($A392&lt;&gt;"",countif('5) Release_Track'!$F:$F,$A392)=0),"NO ISRC MATCH in Release_Track",and($B392&lt;&gt;"",countif('5) Release_Track'!$G:$G,$B392)=0),"NO CATALOG ID MATCH in Release_Track",iserror(vlookup($A392&amp;$B392,'5) Release_Track'!$F:$F&amp;'5) Release_Track'!$G:$G,1,0)),"NO ISRC-CATALOG ID pair MATCH in Release_Track" )</f>
        <v/>
      </c>
      <c r="D392" s="121" t="str">
        <f t="array" ref="D392">ifs(and(isblank($A392),isblank($B392)),"", not(iserror(vlookup($A392&amp;$B392,'5) Release_Track'!$F:$F&amp;'5) Release_Track'!$G:$G,1,0))),vlookup($A392&amp;$B392,{'5) Release_Track'!$F:$F&amp;'5) Release_Track'!$G:$G,'5) Release_Track'!$I:$I},2,0), or(and(not(isblank($B392)),$B392=$B391,$A392&lt;&gt;$A391),and(not(isblank($A392)),$A392=$A391,$B392&lt;&gt;$B391)),"ID LISTS UNALIGNED",and($A392&lt;&gt;"",countif('5) Release_Track'!$F:$F,$A392)=0),"NO ISRC MATCH in Release_Track",and($B392&lt;&gt;"",countif('5) Release_Track'!$G:$G,$B392)=0),"NO CATALOG ID MATCH in Release_Track",iserror(vlookup($A392&amp;$B392,'5) Release_Track'!$F:$F&amp;'5) Release_Track'!$G:$G,1,0)),"NO ISRC-CATALOG ID pair MATCH in Release_Track" )</f>
        <v/>
      </c>
      <c r="E392" s="99"/>
      <c r="F392" s="99"/>
      <c r="G392" s="123" t="str">
        <f t="array" ref="G392">ifs(or($F392="",$F392="Main Primary Artist"),$F392,not(iserror(vlookup($F392,'Reference info'!$J$5:$J$8,1,0))),"Key Artist",not(iserror(vlookup($F392,'Reference info'!$J$38:$J$405,1,0))),"Performer",not(iserror(vlookup($F392,'Reference info'!$J$10:$J$36,1,0))),"Producer &amp; Engineer")</f>
        <v/>
      </c>
    </row>
    <row r="393">
      <c r="B393" s="103"/>
      <c r="C393" s="121" t="str">
        <f t="array" ref="C393">ifs(and(isblank($A393),isblank($B393)),"", not(iserror(vlookup($A393&amp;$B393,'5) Release_Track'!$F:$F&amp;'5) Release_Track'!$G:$G,1,0))),vlookup($A393&amp;$B393,{'5) Release_Track'!$F:$F&amp;'5) Release_Track'!$G:$G,'5) Release_Track'!$H:$H},2,0), or(and(not(isblank($B393)),$B393=$B392,$A393&lt;&gt;$A392),and(not(isblank($A393)),$A393=$A392,$B393&lt;&gt;$B392)),"ID LISTS UNALIGNED",and($A393&lt;&gt;"",countif('5) Release_Track'!$F:$F,$A393)=0),"NO ISRC MATCH in Release_Track",and($B393&lt;&gt;"",countif('5) Release_Track'!$G:$G,$B393)=0),"NO CATALOG ID MATCH in Release_Track",iserror(vlookup($A393&amp;$B393,'5) Release_Track'!$F:$F&amp;'5) Release_Track'!$G:$G,1,0)),"NO ISRC-CATALOG ID pair MATCH in Release_Track" )</f>
        <v/>
      </c>
      <c r="D393" s="121" t="str">
        <f t="array" ref="D393">ifs(and(isblank($A393),isblank($B393)),"", not(iserror(vlookup($A393&amp;$B393,'5) Release_Track'!$F:$F&amp;'5) Release_Track'!$G:$G,1,0))),vlookup($A393&amp;$B393,{'5) Release_Track'!$F:$F&amp;'5) Release_Track'!$G:$G,'5) Release_Track'!$I:$I},2,0), or(and(not(isblank($B393)),$B393=$B392,$A393&lt;&gt;$A392),and(not(isblank($A393)),$A393=$A392,$B393&lt;&gt;$B392)),"ID LISTS UNALIGNED",and($A393&lt;&gt;"",countif('5) Release_Track'!$F:$F,$A393)=0),"NO ISRC MATCH in Release_Track",and($B393&lt;&gt;"",countif('5) Release_Track'!$G:$G,$B393)=0),"NO CATALOG ID MATCH in Release_Track",iserror(vlookup($A393&amp;$B393,'5) Release_Track'!$F:$F&amp;'5) Release_Track'!$G:$G,1,0)),"NO ISRC-CATALOG ID pair MATCH in Release_Track" )</f>
        <v/>
      </c>
      <c r="E393" s="99"/>
      <c r="F393" s="99"/>
      <c r="G393" s="123" t="str">
        <f t="array" ref="G393">ifs(or($F393="",$F393="Main Primary Artist"),$F393,not(iserror(vlookup($F393,'Reference info'!$J$5:$J$8,1,0))),"Key Artist",not(iserror(vlookup($F393,'Reference info'!$J$38:$J$405,1,0))),"Performer",not(iserror(vlookup($F393,'Reference info'!$J$10:$J$36,1,0))),"Producer &amp; Engineer")</f>
        <v/>
      </c>
    </row>
    <row r="394">
      <c r="B394" s="103"/>
      <c r="C394" s="121" t="str">
        <f t="array" ref="C394">ifs(and(isblank($A394),isblank($B394)),"", not(iserror(vlookup($A394&amp;$B394,'5) Release_Track'!$F:$F&amp;'5) Release_Track'!$G:$G,1,0))),vlookup($A394&amp;$B394,{'5) Release_Track'!$F:$F&amp;'5) Release_Track'!$G:$G,'5) Release_Track'!$H:$H},2,0), or(and(not(isblank($B394)),$B394=$B393,$A394&lt;&gt;$A393),and(not(isblank($A394)),$A394=$A393,$B394&lt;&gt;$B393)),"ID LISTS UNALIGNED",and($A394&lt;&gt;"",countif('5) Release_Track'!$F:$F,$A394)=0),"NO ISRC MATCH in Release_Track",and($B394&lt;&gt;"",countif('5) Release_Track'!$G:$G,$B394)=0),"NO CATALOG ID MATCH in Release_Track",iserror(vlookup($A394&amp;$B394,'5) Release_Track'!$F:$F&amp;'5) Release_Track'!$G:$G,1,0)),"NO ISRC-CATALOG ID pair MATCH in Release_Track" )</f>
        <v/>
      </c>
      <c r="D394" s="121" t="str">
        <f t="array" ref="D394">ifs(and(isblank($A394),isblank($B394)),"", not(iserror(vlookup($A394&amp;$B394,'5) Release_Track'!$F:$F&amp;'5) Release_Track'!$G:$G,1,0))),vlookup($A394&amp;$B394,{'5) Release_Track'!$F:$F&amp;'5) Release_Track'!$G:$G,'5) Release_Track'!$I:$I},2,0), or(and(not(isblank($B394)),$B394=$B393,$A394&lt;&gt;$A393),and(not(isblank($A394)),$A394=$A393,$B394&lt;&gt;$B393)),"ID LISTS UNALIGNED",and($A394&lt;&gt;"",countif('5) Release_Track'!$F:$F,$A394)=0),"NO ISRC MATCH in Release_Track",and($B394&lt;&gt;"",countif('5) Release_Track'!$G:$G,$B394)=0),"NO CATALOG ID MATCH in Release_Track",iserror(vlookup($A394&amp;$B394,'5) Release_Track'!$F:$F&amp;'5) Release_Track'!$G:$G,1,0)),"NO ISRC-CATALOG ID pair MATCH in Release_Track" )</f>
        <v/>
      </c>
      <c r="E394" s="99"/>
      <c r="F394" s="99"/>
      <c r="G394" s="123" t="str">
        <f t="array" ref="G394">ifs(or($F394="",$F394="Main Primary Artist"),$F394,not(iserror(vlookup($F394,'Reference info'!$J$5:$J$8,1,0))),"Key Artist",not(iserror(vlookup($F394,'Reference info'!$J$38:$J$405,1,0))),"Performer",not(iserror(vlookup($F394,'Reference info'!$J$10:$J$36,1,0))),"Producer &amp; Engineer")</f>
        <v/>
      </c>
    </row>
    <row r="395">
      <c r="B395" s="103"/>
      <c r="C395" s="121" t="str">
        <f t="array" ref="C395">ifs(and(isblank($A395),isblank($B395)),"", not(iserror(vlookup($A395&amp;$B395,'5) Release_Track'!$F:$F&amp;'5) Release_Track'!$G:$G,1,0))),vlookup($A395&amp;$B395,{'5) Release_Track'!$F:$F&amp;'5) Release_Track'!$G:$G,'5) Release_Track'!$H:$H},2,0), or(and(not(isblank($B395)),$B395=$B394,$A395&lt;&gt;$A394),and(not(isblank($A395)),$A395=$A394,$B395&lt;&gt;$B394)),"ID LISTS UNALIGNED",and($A395&lt;&gt;"",countif('5) Release_Track'!$F:$F,$A395)=0),"NO ISRC MATCH in Release_Track",and($B395&lt;&gt;"",countif('5) Release_Track'!$G:$G,$B395)=0),"NO CATALOG ID MATCH in Release_Track",iserror(vlookup($A395&amp;$B395,'5) Release_Track'!$F:$F&amp;'5) Release_Track'!$G:$G,1,0)),"NO ISRC-CATALOG ID pair MATCH in Release_Track" )</f>
        <v/>
      </c>
      <c r="D395" s="121" t="str">
        <f t="array" ref="D395">ifs(and(isblank($A395),isblank($B395)),"", not(iserror(vlookup($A395&amp;$B395,'5) Release_Track'!$F:$F&amp;'5) Release_Track'!$G:$G,1,0))),vlookup($A395&amp;$B395,{'5) Release_Track'!$F:$F&amp;'5) Release_Track'!$G:$G,'5) Release_Track'!$I:$I},2,0), or(and(not(isblank($B395)),$B395=$B394,$A395&lt;&gt;$A394),and(not(isblank($A395)),$A395=$A394,$B395&lt;&gt;$B394)),"ID LISTS UNALIGNED",and($A395&lt;&gt;"",countif('5) Release_Track'!$F:$F,$A395)=0),"NO ISRC MATCH in Release_Track",and($B395&lt;&gt;"",countif('5) Release_Track'!$G:$G,$B395)=0),"NO CATALOG ID MATCH in Release_Track",iserror(vlookup($A395&amp;$B395,'5) Release_Track'!$F:$F&amp;'5) Release_Track'!$G:$G,1,0)),"NO ISRC-CATALOG ID pair MATCH in Release_Track" )</f>
        <v/>
      </c>
      <c r="E395" s="99"/>
      <c r="F395" s="99"/>
      <c r="G395" s="123" t="str">
        <f t="array" ref="G395">ifs(or($F395="",$F395="Main Primary Artist"),$F395,not(iserror(vlookup($F395,'Reference info'!$J$5:$J$8,1,0))),"Key Artist",not(iserror(vlookup($F395,'Reference info'!$J$38:$J$405,1,0))),"Performer",not(iserror(vlookup($F395,'Reference info'!$J$10:$J$36,1,0))),"Producer &amp; Engineer")</f>
        <v/>
      </c>
    </row>
    <row r="396">
      <c r="B396" s="103"/>
      <c r="C396" s="121" t="str">
        <f t="array" ref="C396">ifs(and(isblank($A396),isblank($B396)),"", not(iserror(vlookup($A396&amp;$B396,'5) Release_Track'!$F:$F&amp;'5) Release_Track'!$G:$G,1,0))),vlookup($A396&amp;$B396,{'5) Release_Track'!$F:$F&amp;'5) Release_Track'!$G:$G,'5) Release_Track'!$H:$H},2,0), or(and(not(isblank($B396)),$B396=$B395,$A396&lt;&gt;$A395),and(not(isblank($A396)),$A396=$A395,$B396&lt;&gt;$B395)),"ID LISTS UNALIGNED",and($A396&lt;&gt;"",countif('5) Release_Track'!$F:$F,$A396)=0),"NO ISRC MATCH in Release_Track",and($B396&lt;&gt;"",countif('5) Release_Track'!$G:$G,$B396)=0),"NO CATALOG ID MATCH in Release_Track",iserror(vlookup($A396&amp;$B396,'5) Release_Track'!$F:$F&amp;'5) Release_Track'!$G:$G,1,0)),"NO ISRC-CATALOG ID pair MATCH in Release_Track" )</f>
        <v/>
      </c>
      <c r="D396" s="121" t="str">
        <f t="array" ref="D396">ifs(and(isblank($A396),isblank($B396)),"", not(iserror(vlookup($A396&amp;$B396,'5) Release_Track'!$F:$F&amp;'5) Release_Track'!$G:$G,1,0))),vlookup($A396&amp;$B396,{'5) Release_Track'!$F:$F&amp;'5) Release_Track'!$G:$G,'5) Release_Track'!$I:$I},2,0), or(and(not(isblank($B396)),$B396=$B395,$A396&lt;&gt;$A395),and(not(isblank($A396)),$A396=$A395,$B396&lt;&gt;$B395)),"ID LISTS UNALIGNED",and($A396&lt;&gt;"",countif('5) Release_Track'!$F:$F,$A396)=0),"NO ISRC MATCH in Release_Track",and($B396&lt;&gt;"",countif('5) Release_Track'!$G:$G,$B396)=0),"NO CATALOG ID MATCH in Release_Track",iserror(vlookup($A396&amp;$B396,'5) Release_Track'!$F:$F&amp;'5) Release_Track'!$G:$G,1,0)),"NO ISRC-CATALOG ID pair MATCH in Release_Track" )</f>
        <v/>
      </c>
      <c r="E396" s="99"/>
      <c r="F396" s="99"/>
      <c r="G396" s="123" t="str">
        <f t="array" ref="G396">ifs(or($F396="",$F396="Main Primary Artist"),$F396,not(iserror(vlookup($F396,'Reference info'!$J$5:$J$8,1,0))),"Key Artist",not(iserror(vlookup($F396,'Reference info'!$J$38:$J$405,1,0))),"Performer",not(iserror(vlookup($F396,'Reference info'!$J$10:$J$36,1,0))),"Producer &amp; Engineer")</f>
        <v/>
      </c>
    </row>
    <row r="397">
      <c r="B397" s="103"/>
      <c r="C397" s="121" t="str">
        <f t="array" ref="C397">ifs(and(isblank($A397),isblank($B397)),"", not(iserror(vlookup($A397&amp;$B397,'5) Release_Track'!$F:$F&amp;'5) Release_Track'!$G:$G,1,0))),vlookup($A397&amp;$B397,{'5) Release_Track'!$F:$F&amp;'5) Release_Track'!$G:$G,'5) Release_Track'!$H:$H},2,0), or(and(not(isblank($B397)),$B397=$B396,$A397&lt;&gt;$A396),and(not(isblank($A397)),$A397=$A396,$B397&lt;&gt;$B396)),"ID LISTS UNALIGNED",and($A397&lt;&gt;"",countif('5) Release_Track'!$F:$F,$A397)=0),"NO ISRC MATCH in Release_Track",and($B397&lt;&gt;"",countif('5) Release_Track'!$G:$G,$B397)=0),"NO CATALOG ID MATCH in Release_Track",iserror(vlookup($A397&amp;$B397,'5) Release_Track'!$F:$F&amp;'5) Release_Track'!$G:$G,1,0)),"NO ISRC-CATALOG ID pair MATCH in Release_Track" )</f>
        <v/>
      </c>
      <c r="D397" s="121" t="str">
        <f t="array" ref="D397">ifs(and(isblank($A397),isblank($B397)),"", not(iserror(vlookup($A397&amp;$B397,'5) Release_Track'!$F:$F&amp;'5) Release_Track'!$G:$G,1,0))),vlookup($A397&amp;$B397,{'5) Release_Track'!$F:$F&amp;'5) Release_Track'!$G:$G,'5) Release_Track'!$I:$I},2,0), or(and(not(isblank($B397)),$B397=$B396,$A397&lt;&gt;$A396),and(not(isblank($A397)),$A397=$A396,$B397&lt;&gt;$B396)),"ID LISTS UNALIGNED",and($A397&lt;&gt;"",countif('5) Release_Track'!$F:$F,$A397)=0),"NO ISRC MATCH in Release_Track",and($B397&lt;&gt;"",countif('5) Release_Track'!$G:$G,$B397)=0),"NO CATALOG ID MATCH in Release_Track",iserror(vlookup($A397&amp;$B397,'5) Release_Track'!$F:$F&amp;'5) Release_Track'!$G:$G,1,0)),"NO ISRC-CATALOG ID pair MATCH in Release_Track" )</f>
        <v/>
      </c>
      <c r="E397" s="99"/>
      <c r="F397" s="99"/>
      <c r="G397" s="123" t="str">
        <f t="array" ref="G397">ifs(or($F397="",$F397="Main Primary Artist"),$F397,not(iserror(vlookup($F397,'Reference info'!$J$5:$J$8,1,0))),"Key Artist",not(iserror(vlookup($F397,'Reference info'!$J$38:$J$405,1,0))),"Performer",not(iserror(vlookup($F397,'Reference info'!$J$10:$J$36,1,0))),"Producer &amp; Engineer")</f>
        <v/>
      </c>
    </row>
    <row r="398">
      <c r="B398" s="103"/>
      <c r="C398" s="121" t="str">
        <f t="array" ref="C398">ifs(and(isblank($A398),isblank($B398)),"", not(iserror(vlookup($A398&amp;$B398,'5) Release_Track'!$F:$F&amp;'5) Release_Track'!$G:$G,1,0))),vlookup($A398&amp;$B398,{'5) Release_Track'!$F:$F&amp;'5) Release_Track'!$G:$G,'5) Release_Track'!$H:$H},2,0), or(and(not(isblank($B398)),$B398=$B397,$A398&lt;&gt;$A397),and(not(isblank($A398)),$A398=$A397,$B398&lt;&gt;$B397)),"ID LISTS UNALIGNED",and($A398&lt;&gt;"",countif('5) Release_Track'!$F:$F,$A398)=0),"NO ISRC MATCH in Release_Track",and($B398&lt;&gt;"",countif('5) Release_Track'!$G:$G,$B398)=0),"NO CATALOG ID MATCH in Release_Track",iserror(vlookup($A398&amp;$B398,'5) Release_Track'!$F:$F&amp;'5) Release_Track'!$G:$G,1,0)),"NO ISRC-CATALOG ID pair MATCH in Release_Track" )</f>
        <v/>
      </c>
      <c r="D398" s="121" t="str">
        <f t="array" ref="D398">ifs(and(isblank($A398),isblank($B398)),"", not(iserror(vlookup($A398&amp;$B398,'5) Release_Track'!$F:$F&amp;'5) Release_Track'!$G:$G,1,0))),vlookup($A398&amp;$B398,{'5) Release_Track'!$F:$F&amp;'5) Release_Track'!$G:$G,'5) Release_Track'!$I:$I},2,0), or(and(not(isblank($B398)),$B398=$B397,$A398&lt;&gt;$A397),and(not(isblank($A398)),$A398=$A397,$B398&lt;&gt;$B397)),"ID LISTS UNALIGNED",and($A398&lt;&gt;"",countif('5) Release_Track'!$F:$F,$A398)=0),"NO ISRC MATCH in Release_Track",and($B398&lt;&gt;"",countif('5) Release_Track'!$G:$G,$B398)=0),"NO CATALOG ID MATCH in Release_Track",iserror(vlookup($A398&amp;$B398,'5) Release_Track'!$F:$F&amp;'5) Release_Track'!$G:$G,1,0)),"NO ISRC-CATALOG ID pair MATCH in Release_Track" )</f>
        <v/>
      </c>
      <c r="E398" s="99"/>
      <c r="F398" s="99"/>
      <c r="G398" s="123" t="str">
        <f t="array" ref="G398">ifs(or($F398="",$F398="Main Primary Artist"),$F398,not(iserror(vlookup($F398,'Reference info'!$J$5:$J$8,1,0))),"Key Artist",not(iserror(vlookup($F398,'Reference info'!$J$38:$J$405,1,0))),"Performer",not(iserror(vlookup($F398,'Reference info'!$J$10:$J$36,1,0))),"Producer &amp; Engineer")</f>
        <v/>
      </c>
    </row>
    <row r="399">
      <c r="B399" s="103"/>
      <c r="C399" s="121" t="str">
        <f t="array" ref="C399">ifs(and(isblank($A399),isblank($B399)),"", not(iserror(vlookup($A399&amp;$B399,'5) Release_Track'!$F:$F&amp;'5) Release_Track'!$G:$G,1,0))),vlookup($A399&amp;$B399,{'5) Release_Track'!$F:$F&amp;'5) Release_Track'!$G:$G,'5) Release_Track'!$H:$H},2,0), or(and(not(isblank($B399)),$B399=$B398,$A399&lt;&gt;$A398),and(not(isblank($A399)),$A399=$A398,$B399&lt;&gt;$B398)),"ID LISTS UNALIGNED",and($A399&lt;&gt;"",countif('5) Release_Track'!$F:$F,$A399)=0),"NO ISRC MATCH in Release_Track",and($B399&lt;&gt;"",countif('5) Release_Track'!$G:$G,$B399)=0),"NO CATALOG ID MATCH in Release_Track",iserror(vlookup($A399&amp;$B399,'5) Release_Track'!$F:$F&amp;'5) Release_Track'!$G:$G,1,0)),"NO ISRC-CATALOG ID pair MATCH in Release_Track" )</f>
        <v/>
      </c>
      <c r="D399" s="121" t="str">
        <f t="array" ref="D399">ifs(and(isblank($A399),isblank($B399)),"", not(iserror(vlookup($A399&amp;$B399,'5) Release_Track'!$F:$F&amp;'5) Release_Track'!$G:$G,1,0))),vlookup($A399&amp;$B399,{'5) Release_Track'!$F:$F&amp;'5) Release_Track'!$G:$G,'5) Release_Track'!$I:$I},2,0), or(and(not(isblank($B399)),$B399=$B398,$A399&lt;&gt;$A398),and(not(isblank($A399)),$A399=$A398,$B399&lt;&gt;$B398)),"ID LISTS UNALIGNED",and($A399&lt;&gt;"",countif('5) Release_Track'!$F:$F,$A399)=0),"NO ISRC MATCH in Release_Track",and($B399&lt;&gt;"",countif('5) Release_Track'!$G:$G,$B399)=0),"NO CATALOG ID MATCH in Release_Track",iserror(vlookup($A399&amp;$B399,'5) Release_Track'!$F:$F&amp;'5) Release_Track'!$G:$G,1,0)),"NO ISRC-CATALOG ID pair MATCH in Release_Track" )</f>
        <v/>
      </c>
      <c r="E399" s="99"/>
      <c r="F399" s="99"/>
      <c r="G399" s="123" t="str">
        <f t="array" ref="G399">ifs(or($F399="",$F399="Main Primary Artist"),$F399,not(iserror(vlookup($F399,'Reference info'!$J$5:$J$8,1,0))),"Key Artist",not(iserror(vlookup($F399,'Reference info'!$J$38:$J$405,1,0))),"Performer",not(iserror(vlookup($F399,'Reference info'!$J$10:$J$36,1,0))),"Producer &amp; Engineer")</f>
        <v/>
      </c>
    </row>
    <row r="400">
      <c r="B400" s="103"/>
      <c r="C400" s="121" t="str">
        <f t="array" ref="C400">ifs(and(isblank($A400),isblank($B400)),"", not(iserror(vlookup($A400&amp;$B400,'5) Release_Track'!$F:$F&amp;'5) Release_Track'!$G:$G,1,0))),vlookup($A400&amp;$B400,{'5) Release_Track'!$F:$F&amp;'5) Release_Track'!$G:$G,'5) Release_Track'!$H:$H},2,0), or(and(not(isblank($B400)),$B400=$B399,$A400&lt;&gt;$A399),and(not(isblank($A400)),$A400=$A399,$B400&lt;&gt;$B399)),"ID LISTS UNALIGNED",and($A400&lt;&gt;"",countif('5) Release_Track'!$F:$F,$A400)=0),"NO ISRC MATCH in Release_Track",and($B400&lt;&gt;"",countif('5) Release_Track'!$G:$G,$B400)=0),"NO CATALOG ID MATCH in Release_Track",iserror(vlookup($A400&amp;$B400,'5) Release_Track'!$F:$F&amp;'5) Release_Track'!$G:$G,1,0)),"NO ISRC-CATALOG ID pair MATCH in Release_Track" )</f>
        <v/>
      </c>
      <c r="D400" s="121" t="str">
        <f t="array" ref="D400">ifs(and(isblank($A400),isblank($B400)),"", not(iserror(vlookup($A400&amp;$B400,'5) Release_Track'!$F:$F&amp;'5) Release_Track'!$G:$G,1,0))),vlookup($A400&amp;$B400,{'5) Release_Track'!$F:$F&amp;'5) Release_Track'!$G:$G,'5) Release_Track'!$I:$I},2,0), or(and(not(isblank($B400)),$B400=$B399,$A400&lt;&gt;$A399),and(not(isblank($A400)),$A400=$A399,$B400&lt;&gt;$B399)),"ID LISTS UNALIGNED",and($A400&lt;&gt;"",countif('5) Release_Track'!$F:$F,$A400)=0),"NO ISRC MATCH in Release_Track",and($B400&lt;&gt;"",countif('5) Release_Track'!$G:$G,$B400)=0),"NO CATALOG ID MATCH in Release_Track",iserror(vlookup($A400&amp;$B400,'5) Release_Track'!$F:$F&amp;'5) Release_Track'!$G:$G,1,0)),"NO ISRC-CATALOG ID pair MATCH in Release_Track" )</f>
        <v/>
      </c>
      <c r="E400" s="99"/>
      <c r="F400" s="99"/>
      <c r="G400" s="123" t="str">
        <f t="array" ref="G400">ifs(or($F400="",$F400="Main Primary Artist"),$F400,not(iserror(vlookup($F400,'Reference info'!$J$5:$J$8,1,0))),"Key Artist",not(iserror(vlookup($F400,'Reference info'!$J$38:$J$405,1,0))),"Performer",not(iserror(vlookup($F400,'Reference info'!$J$10:$J$36,1,0))),"Producer &amp; Engineer")</f>
        <v/>
      </c>
    </row>
    <row r="401">
      <c r="B401" s="103"/>
      <c r="C401" s="121" t="str">
        <f t="array" ref="C401">ifs(and(isblank($A401),isblank($B401)),"", not(iserror(vlookup($A401&amp;$B401,'5) Release_Track'!$F:$F&amp;'5) Release_Track'!$G:$G,1,0))),vlookup($A401&amp;$B401,{'5) Release_Track'!$F:$F&amp;'5) Release_Track'!$G:$G,'5) Release_Track'!$H:$H},2,0), or(and(not(isblank($B401)),$B401=$B400,$A401&lt;&gt;$A400),and(not(isblank($A401)),$A401=$A400,$B401&lt;&gt;$B400)),"ID LISTS UNALIGNED",and($A401&lt;&gt;"",countif('5) Release_Track'!$F:$F,$A401)=0),"NO ISRC MATCH in Release_Track",and($B401&lt;&gt;"",countif('5) Release_Track'!$G:$G,$B401)=0),"NO CATALOG ID MATCH in Release_Track",iserror(vlookup($A401&amp;$B401,'5) Release_Track'!$F:$F&amp;'5) Release_Track'!$G:$G,1,0)),"NO ISRC-CATALOG ID pair MATCH in Release_Track" )</f>
        <v/>
      </c>
      <c r="D401" s="121" t="str">
        <f t="array" ref="D401">ifs(and(isblank($A401),isblank($B401)),"", not(iserror(vlookup($A401&amp;$B401,'5) Release_Track'!$F:$F&amp;'5) Release_Track'!$G:$G,1,0))),vlookup($A401&amp;$B401,{'5) Release_Track'!$F:$F&amp;'5) Release_Track'!$G:$G,'5) Release_Track'!$I:$I},2,0), or(and(not(isblank($B401)),$B401=$B400,$A401&lt;&gt;$A400),and(not(isblank($A401)),$A401=$A400,$B401&lt;&gt;$B400)),"ID LISTS UNALIGNED",and($A401&lt;&gt;"",countif('5) Release_Track'!$F:$F,$A401)=0),"NO ISRC MATCH in Release_Track",and($B401&lt;&gt;"",countif('5) Release_Track'!$G:$G,$B401)=0),"NO CATALOG ID MATCH in Release_Track",iserror(vlookup($A401&amp;$B401,'5) Release_Track'!$F:$F&amp;'5) Release_Track'!$G:$G,1,0)),"NO ISRC-CATALOG ID pair MATCH in Release_Track" )</f>
        <v/>
      </c>
      <c r="E401" s="99"/>
      <c r="F401" s="99"/>
      <c r="G401" s="123" t="str">
        <f t="array" ref="G401">ifs(or($F401="",$F401="Main Primary Artist"),$F401,not(iserror(vlookup($F401,'Reference info'!$J$5:$J$8,1,0))),"Key Artist",not(iserror(vlookup($F401,'Reference info'!$J$38:$J$405,1,0))),"Performer",not(iserror(vlookup($F401,'Reference info'!$J$10:$J$36,1,0))),"Producer &amp; Engineer")</f>
        <v/>
      </c>
    </row>
    <row r="402">
      <c r="B402" s="103"/>
      <c r="C402" s="121" t="str">
        <f t="array" ref="C402">ifs(and(isblank($A402),isblank($B402)),"", not(iserror(vlookup($A402&amp;$B402,'5) Release_Track'!$F:$F&amp;'5) Release_Track'!$G:$G,1,0))),vlookup($A402&amp;$B402,{'5) Release_Track'!$F:$F&amp;'5) Release_Track'!$G:$G,'5) Release_Track'!$H:$H},2,0), or(and(not(isblank($B402)),$B402=$B401,$A402&lt;&gt;$A401),and(not(isblank($A402)),$A402=$A401,$B402&lt;&gt;$B401)),"ID LISTS UNALIGNED",and($A402&lt;&gt;"",countif('5) Release_Track'!$F:$F,$A402)=0),"NO ISRC MATCH in Release_Track",and($B402&lt;&gt;"",countif('5) Release_Track'!$G:$G,$B402)=0),"NO CATALOG ID MATCH in Release_Track",iserror(vlookup($A402&amp;$B402,'5) Release_Track'!$F:$F&amp;'5) Release_Track'!$G:$G,1,0)),"NO ISRC-CATALOG ID pair MATCH in Release_Track" )</f>
        <v/>
      </c>
      <c r="D402" s="121" t="str">
        <f t="array" ref="D402">ifs(and(isblank($A402),isblank($B402)),"", not(iserror(vlookup($A402&amp;$B402,'5) Release_Track'!$F:$F&amp;'5) Release_Track'!$G:$G,1,0))),vlookup($A402&amp;$B402,{'5) Release_Track'!$F:$F&amp;'5) Release_Track'!$G:$G,'5) Release_Track'!$I:$I},2,0), or(and(not(isblank($B402)),$B402=$B401,$A402&lt;&gt;$A401),and(not(isblank($A402)),$A402=$A401,$B402&lt;&gt;$B401)),"ID LISTS UNALIGNED",and($A402&lt;&gt;"",countif('5) Release_Track'!$F:$F,$A402)=0),"NO ISRC MATCH in Release_Track",and($B402&lt;&gt;"",countif('5) Release_Track'!$G:$G,$B402)=0),"NO CATALOG ID MATCH in Release_Track",iserror(vlookup($A402&amp;$B402,'5) Release_Track'!$F:$F&amp;'5) Release_Track'!$G:$G,1,0)),"NO ISRC-CATALOG ID pair MATCH in Release_Track" )</f>
        <v/>
      </c>
      <c r="E402" s="99"/>
      <c r="F402" s="99"/>
      <c r="G402" s="123" t="str">
        <f t="array" ref="G402">ifs(or($F402="",$F402="Main Primary Artist"),$F402,not(iserror(vlookup($F402,'Reference info'!$J$5:$J$8,1,0))),"Key Artist",not(iserror(vlookup($F402,'Reference info'!$J$38:$J$405,1,0))),"Performer",not(iserror(vlookup($F402,'Reference info'!$J$10:$J$36,1,0))),"Producer &amp; Engineer")</f>
        <v/>
      </c>
    </row>
    <row r="403">
      <c r="B403" s="103"/>
      <c r="C403" s="121" t="str">
        <f t="array" ref="C403">ifs(and(isblank($A403),isblank($B403)),"", not(iserror(vlookup($A403&amp;$B403,'5) Release_Track'!$F:$F&amp;'5) Release_Track'!$G:$G,1,0))),vlookup($A403&amp;$B403,{'5) Release_Track'!$F:$F&amp;'5) Release_Track'!$G:$G,'5) Release_Track'!$H:$H},2,0), or(and(not(isblank($B403)),$B403=$B402,$A403&lt;&gt;$A402),and(not(isblank($A403)),$A403=$A402,$B403&lt;&gt;$B402)),"ID LISTS UNALIGNED",and($A403&lt;&gt;"",countif('5) Release_Track'!$F:$F,$A403)=0),"NO ISRC MATCH in Release_Track",and($B403&lt;&gt;"",countif('5) Release_Track'!$G:$G,$B403)=0),"NO CATALOG ID MATCH in Release_Track",iserror(vlookup($A403&amp;$B403,'5) Release_Track'!$F:$F&amp;'5) Release_Track'!$G:$G,1,0)),"NO ISRC-CATALOG ID pair MATCH in Release_Track" )</f>
        <v/>
      </c>
      <c r="D403" s="121" t="str">
        <f t="array" ref="D403">ifs(and(isblank($A403),isblank($B403)),"", not(iserror(vlookup($A403&amp;$B403,'5) Release_Track'!$F:$F&amp;'5) Release_Track'!$G:$G,1,0))),vlookup($A403&amp;$B403,{'5) Release_Track'!$F:$F&amp;'5) Release_Track'!$G:$G,'5) Release_Track'!$I:$I},2,0), or(and(not(isblank($B403)),$B403=$B402,$A403&lt;&gt;$A402),and(not(isblank($A403)),$A403=$A402,$B403&lt;&gt;$B402)),"ID LISTS UNALIGNED",and($A403&lt;&gt;"",countif('5) Release_Track'!$F:$F,$A403)=0),"NO ISRC MATCH in Release_Track",and($B403&lt;&gt;"",countif('5) Release_Track'!$G:$G,$B403)=0),"NO CATALOG ID MATCH in Release_Track",iserror(vlookup($A403&amp;$B403,'5) Release_Track'!$F:$F&amp;'5) Release_Track'!$G:$G,1,0)),"NO ISRC-CATALOG ID pair MATCH in Release_Track" )</f>
        <v/>
      </c>
      <c r="E403" s="99"/>
      <c r="F403" s="99"/>
      <c r="G403" s="123" t="str">
        <f t="array" ref="G403">ifs(or($F403="",$F403="Main Primary Artist"),$F403,not(iserror(vlookup($F403,'Reference info'!$J$5:$J$8,1,0))),"Key Artist",not(iserror(vlookup($F403,'Reference info'!$J$38:$J$405,1,0))),"Performer",not(iserror(vlookup($F403,'Reference info'!$J$10:$J$36,1,0))),"Producer &amp; Engineer")</f>
        <v/>
      </c>
    </row>
    <row r="404">
      <c r="B404" s="103"/>
      <c r="C404" s="121" t="str">
        <f t="array" ref="C404">ifs(and(isblank($A404),isblank($B404)),"", not(iserror(vlookup($A404&amp;$B404,'5) Release_Track'!$F:$F&amp;'5) Release_Track'!$G:$G,1,0))),vlookup($A404&amp;$B404,{'5) Release_Track'!$F:$F&amp;'5) Release_Track'!$G:$G,'5) Release_Track'!$H:$H},2,0), or(and(not(isblank($B404)),$B404=$B403,$A404&lt;&gt;$A403),and(not(isblank($A404)),$A404=$A403,$B404&lt;&gt;$B403)),"ID LISTS UNALIGNED",and($A404&lt;&gt;"",countif('5) Release_Track'!$F:$F,$A404)=0),"NO ISRC MATCH in Release_Track",and($B404&lt;&gt;"",countif('5) Release_Track'!$G:$G,$B404)=0),"NO CATALOG ID MATCH in Release_Track",iserror(vlookup($A404&amp;$B404,'5) Release_Track'!$F:$F&amp;'5) Release_Track'!$G:$G,1,0)),"NO ISRC-CATALOG ID pair MATCH in Release_Track" )</f>
        <v/>
      </c>
      <c r="D404" s="121" t="str">
        <f t="array" ref="D404">ifs(and(isblank($A404),isblank($B404)),"", not(iserror(vlookup($A404&amp;$B404,'5) Release_Track'!$F:$F&amp;'5) Release_Track'!$G:$G,1,0))),vlookup($A404&amp;$B404,{'5) Release_Track'!$F:$F&amp;'5) Release_Track'!$G:$G,'5) Release_Track'!$I:$I},2,0), or(and(not(isblank($B404)),$B404=$B403,$A404&lt;&gt;$A403),and(not(isblank($A404)),$A404=$A403,$B404&lt;&gt;$B403)),"ID LISTS UNALIGNED",and($A404&lt;&gt;"",countif('5) Release_Track'!$F:$F,$A404)=0),"NO ISRC MATCH in Release_Track",and($B404&lt;&gt;"",countif('5) Release_Track'!$G:$G,$B404)=0),"NO CATALOG ID MATCH in Release_Track",iserror(vlookup($A404&amp;$B404,'5) Release_Track'!$F:$F&amp;'5) Release_Track'!$G:$G,1,0)),"NO ISRC-CATALOG ID pair MATCH in Release_Track" )</f>
        <v/>
      </c>
      <c r="E404" s="99"/>
      <c r="F404" s="99"/>
      <c r="G404" s="123" t="str">
        <f t="array" ref="G404">ifs(or($F404="",$F404="Main Primary Artist"),$F404,not(iserror(vlookup($F404,'Reference info'!$J$5:$J$8,1,0))),"Key Artist",not(iserror(vlookup($F404,'Reference info'!$J$38:$J$405,1,0))),"Performer",not(iserror(vlookup($F404,'Reference info'!$J$10:$J$36,1,0))),"Producer &amp; Engineer")</f>
        <v/>
      </c>
    </row>
    <row r="405">
      <c r="B405" s="103"/>
      <c r="C405" s="121" t="str">
        <f t="array" ref="C405">ifs(and(isblank($A405),isblank($B405)),"", not(iserror(vlookup($A405&amp;$B405,'5) Release_Track'!$F:$F&amp;'5) Release_Track'!$G:$G,1,0))),vlookup($A405&amp;$B405,{'5) Release_Track'!$F:$F&amp;'5) Release_Track'!$G:$G,'5) Release_Track'!$H:$H},2,0), or(and(not(isblank($B405)),$B405=$B404,$A405&lt;&gt;$A404),and(not(isblank($A405)),$A405=$A404,$B405&lt;&gt;$B404)),"ID LISTS UNALIGNED",and($A405&lt;&gt;"",countif('5) Release_Track'!$F:$F,$A405)=0),"NO ISRC MATCH in Release_Track",and($B405&lt;&gt;"",countif('5) Release_Track'!$G:$G,$B405)=0),"NO CATALOG ID MATCH in Release_Track",iserror(vlookup($A405&amp;$B405,'5) Release_Track'!$F:$F&amp;'5) Release_Track'!$G:$G,1,0)),"NO ISRC-CATALOG ID pair MATCH in Release_Track" )</f>
        <v/>
      </c>
      <c r="D405" s="121" t="str">
        <f t="array" ref="D405">ifs(and(isblank($A405),isblank($B405)),"", not(iserror(vlookup($A405&amp;$B405,'5) Release_Track'!$F:$F&amp;'5) Release_Track'!$G:$G,1,0))),vlookup($A405&amp;$B405,{'5) Release_Track'!$F:$F&amp;'5) Release_Track'!$G:$G,'5) Release_Track'!$I:$I},2,0), or(and(not(isblank($B405)),$B405=$B404,$A405&lt;&gt;$A404),and(not(isblank($A405)),$A405=$A404,$B405&lt;&gt;$B404)),"ID LISTS UNALIGNED",and($A405&lt;&gt;"",countif('5) Release_Track'!$F:$F,$A405)=0),"NO ISRC MATCH in Release_Track",and($B405&lt;&gt;"",countif('5) Release_Track'!$G:$G,$B405)=0),"NO CATALOG ID MATCH in Release_Track",iserror(vlookup($A405&amp;$B405,'5) Release_Track'!$F:$F&amp;'5) Release_Track'!$G:$G,1,0)),"NO ISRC-CATALOG ID pair MATCH in Release_Track" )</f>
        <v/>
      </c>
      <c r="E405" s="99"/>
      <c r="F405" s="99"/>
      <c r="G405" s="123" t="str">
        <f t="array" ref="G405">ifs(or($F405="",$F405="Main Primary Artist"),$F405,not(iserror(vlookup($F405,'Reference info'!$J$5:$J$8,1,0))),"Key Artist",not(iserror(vlookup($F405,'Reference info'!$J$38:$J$405,1,0))),"Performer",not(iserror(vlookup($F405,'Reference info'!$J$10:$J$36,1,0))),"Producer &amp; Engineer")</f>
        <v/>
      </c>
    </row>
    <row r="406">
      <c r="B406" s="103"/>
      <c r="C406" s="121" t="str">
        <f t="array" ref="C406">ifs(and(isblank($A406),isblank($B406)),"", not(iserror(vlookup($A406&amp;$B406,'5) Release_Track'!$F:$F&amp;'5) Release_Track'!$G:$G,1,0))),vlookup($A406&amp;$B406,{'5) Release_Track'!$F:$F&amp;'5) Release_Track'!$G:$G,'5) Release_Track'!$H:$H},2,0), or(and(not(isblank($B406)),$B406=$B405,$A406&lt;&gt;$A405),and(not(isblank($A406)),$A406=$A405,$B406&lt;&gt;$B405)),"ID LISTS UNALIGNED",and($A406&lt;&gt;"",countif('5) Release_Track'!$F:$F,$A406)=0),"NO ISRC MATCH in Release_Track",and($B406&lt;&gt;"",countif('5) Release_Track'!$G:$G,$B406)=0),"NO CATALOG ID MATCH in Release_Track",iserror(vlookup($A406&amp;$B406,'5) Release_Track'!$F:$F&amp;'5) Release_Track'!$G:$G,1,0)),"NO ISRC-CATALOG ID pair MATCH in Release_Track" )</f>
        <v/>
      </c>
      <c r="D406" s="121" t="str">
        <f t="array" ref="D406">ifs(and(isblank($A406),isblank($B406)),"", not(iserror(vlookup($A406&amp;$B406,'5) Release_Track'!$F:$F&amp;'5) Release_Track'!$G:$G,1,0))),vlookup($A406&amp;$B406,{'5) Release_Track'!$F:$F&amp;'5) Release_Track'!$G:$G,'5) Release_Track'!$I:$I},2,0), or(and(not(isblank($B406)),$B406=$B405,$A406&lt;&gt;$A405),and(not(isblank($A406)),$A406=$A405,$B406&lt;&gt;$B405)),"ID LISTS UNALIGNED",and($A406&lt;&gt;"",countif('5) Release_Track'!$F:$F,$A406)=0),"NO ISRC MATCH in Release_Track",and($B406&lt;&gt;"",countif('5) Release_Track'!$G:$G,$B406)=0),"NO CATALOG ID MATCH in Release_Track",iserror(vlookup($A406&amp;$B406,'5) Release_Track'!$F:$F&amp;'5) Release_Track'!$G:$G,1,0)),"NO ISRC-CATALOG ID pair MATCH in Release_Track" )</f>
        <v/>
      </c>
      <c r="E406" s="99"/>
      <c r="F406" s="99"/>
      <c r="G406" s="123" t="str">
        <f t="array" ref="G406">ifs(or($F406="",$F406="Main Primary Artist"),$F406,not(iserror(vlookup($F406,'Reference info'!$J$5:$J$8,1,0))),"Key Artist",not(iserror(vlookup($F406,'Reference info'!$J$38:$J$405,1,0))),"Performer",not(iserror(vlookup($F406,'Reference info'!$J$10:$J$36,1,0))),"Producer &amp; Engineer")</f>
        <v/>
      </c>
    </row>
    <row r="407">
      <c r="B407" s="103"/>
      <c r="C407" s="121" t="str">
        <f t="array" ref="C407">ifs(and(isblank($A407),isblank($B407)),"", not(iserror(vlookup($A407&amp;$B407,'5) Release_Track'!$F:$F&amp;'5) Release_Track'!$G:$G,1,0))),vlookup($A407&amp;$B407,{'5) Release_Track'!$F:$F&amp;'5) Release_Track'!$G:$G,'5) Release_Track'!$H:$H},2,0), or(and(not(isblank($B407)),$B407=$B406,$A407&lt;&gt;$A406),and(not(isblank($A407)),$A407=$A406,$B407&lt;&gt;$B406)),"ID LISTS UNALIGNED",and($A407&lt;&gt;"",countif('5) Release_Track'!$F:$F,$A407)=0),"NO ISRC MATCH in Release_Track",and($B407&lt;&gt;"",countif('5) Release_Track'!$G:$G,$B407)=0),"NO CATALOG ID MATCH in Release_Track",iserror(vlookup($A407&amp;$B407,'5) Release_Track'!$F:$F&amp;'5) Release_Track'!$G:$G,1,0)),"NO ISRC-CATALOG ID pair MATCH in Release_Track" )</f>
        <v/>
      </c>
      <c r="D407" s="121" t="str">
        <f t="array" ref="D407">ifs(and(isblank($A407),isblank($B407)),"", not(iserror(vlookup($A407&amp;$B407,'5) Release_Track'!$F:$F&amp;'5) Release_Track'!$G:$G,1,0))),vlookup($A407&amp;$B407,{'5) Release_Track'!$F:$F&amp;'5) Release_Track'!$G:$G,'5) Release_Track'!$I:$I},2,0), or(and(not(isblank($B407)),$B407=$B406,$A407&lt;&gt;$A406),and(not(isblank($A407)),$A407=$A406,$B407&lt;&gt;$B406)),"ID LISTS UNALIGNED",and($A407&lt;&gt;"",countif('5) Release_Track'!$F:$F,$A407)=0),"NO ISRC MATCH in Release_Track",and($B407&lt;&gt;"",countif('5) Release_Track'!$G:$G,$B407)=0),"NO CATALOG ID MATCH in Release_Track",iserror(vlookup($A407&amp;$B407,'5) Release_Track'!$F:$F&amp;'5) Release_Track'!$G:$G,1,0)),"NO ISRC-CATALOG ID pair MATCH in Release_Track" )</f>
        <v/>
      </c>
      <c r="E407" s="99"/>
      <c r="F407" s="99"/>
      <c r="G407" s="123" t="str">
        <f t="array" ref="G407">ifs(or($F407="",$F407="Main Primary Artist"),$F407,not(iserror(vlookup($F407,'Reference info'!$J$5:$J$8,1,0))),"Key Artist",not(iserror(vlookup($F407,'Reference info'!$J$38:$J$405,1,0))),"Performer",not(iserror(vlookup($F407,'Reference info'!$J$10:$J$36,1,0))),"Producer &amp; Engineer")</f>
        <v/>
      </c>
    </row>
    <row r="408">
      <c r="B408" s="103"/>
      <c r="C408" s="121" t="str">
        <f t="array" ref="C408">ifs(and(isblank($A408),isblank($B408)),"", not(iserror(vlookup($A408&amp;$B408,'5) Release_Track'!$F:$F&amp;'5) Release_Track'!$G:$G,1,0))),vlookup($A408&amp;$B408,{'5) Release_Track'!$F:$F&amp;'5) Release_Track'!$G:$G,'5) Release_Track'!$H:$H},2,0), or(and(not(isblank($B408)),$B408=$B407,$A408&lt;&gt;$A407),and(not(isblank($A408)),$A408=$A407,$B408&lt;&gt;$B407)),"ID LISTS UNALIGNED",and($A408&lt;&gt;"",countif('5) Release_Track'!$F:$F,$A408)=0),"NO ISRC MATCH in Release_Track",and($B408&lt;&gt;"",countif('5) Release_Track'!$G:$G,$B408)=0),"NO CATALOG ID MATCH in Release_Track",iserror(vlookup($A408&amp;$B408,'5) Release_Track'!$F:$F&amp;'5) Release_Track'!$G:$G,1,0)),"NO ISRC-CATALOG ID pair MATCH in Release_Track" )</f>
        <v/>
      </c>
      <c r="D408" s="121" t="str">
        <f t="array" ref="D408">ifs(and(isblank($A408),isblank($B408)),"", not(iserror(vlookup($A408&amp;$B408,'5) Release_Track'!$F:$F&amp;'5) Release_Track'!$G:$G,1,0))),vlookup($A408&amp;$B408,{'5) Release_Track'!$F:$F&amp;'5) Release_Track'!$G:$G,'5) Release_Track'!$I:$I},2,0), or(and(not(isblank($B408)),$B408=$B407,$A408&lt;&gt;$A407),and(not(isblank($A408)),$A408=$A407,$B408&lt;&gt;$B407)),"ID LISTS UNALIGNED",and($A408&lt;&gt;"",countif('5) Release_Track'!$F:$F,$A408)=0),"NO ISRC MATCH in Release_Track",and($B408&lt;&gt;"",countif('5) Release_Track'!$G:$G,$B408)=0),"NO CATALOG ID MATCH in Release_Track",iserror(vlookup($A408&amp;$B408,'5) Release_Track'!$F:$F&amp;'5) Release_Track'!$G:$G,1,0)),"NO ISRC-CATALOG ID pair MATCH in Release_Track" )</f>
        <v/>
      </c>
      <c r="E408" s="99"/>
      <c r="F408" s="99"/>
      <c r="G408" s="123" t="str">
        <f t="array" ref="G408">ifs(or($F408="",$F408="Main Primary Artist"),$F408,not(iserror(vlookup($F408,'Reference info'!$J$5:$J$8,1,0))),"Key Artist",not(iserror(vlookup($F408,'Reference info'!$J$38:$J$405,1,0))),"Performer",not(iserror(vlookup($F408,'Reference info'!$J$10:$J$36,1,0))),"Producer &amp; Engineer")</f>
        <v/>
      </c>
    </row>
    <row r="409">
      <c r="B409" s="103"/>
      <c r="C409" s="121" t="str">
        <f t="array" ref="C409">ifs(and(isblank($A409),isblank($B409)),"", not(iserror(vlookup($A409&amp;$B409,'5) Release_Track'!$F:$F&amp;'5) Release_Track'!$G:$G,1,0))),vlookup($A409&amp;$B409,{'5) Release_Track'!$F:$F&amp;'5) Release_Track'!$G:$G,'5) Release_Track'!$H:$H},2,0), or(and(not(isblank($B409)),$B409=$B408,$A409&lt;&gt;$A408),and(not(isblank($A409)),$A409=$A408,$B409&lt;&gt;$B408)),"ID LISTS UNALIGNED",and($A409&lt;&gt;"",countif('5) Release_Track'!$F:$F,$A409)=0),"NO ISRC MATCH in Release_Track",and($B409&lt;&gt;"",countif('5) Release_Track'!$G:$G,$B409)=0),"NO CATALOG ID MATCH in Release_Track",iserror(vlookup($A409&amp;$B409,'5) Release_Track'!$F:$F&amp;'5) Release_Track'!$G:$G,1,0)),"NO ISRC-CATALOG ID pair MATCH in Release_Track" )</f>
        <v/>
      </c>
      <c r="D409" s="121" t="str">
        <f t="array" ref="D409">ifs(and(isblank($A409),isblank($B409)),"", not(iserror(vlookup($A409&amp;$B409,'5) Release_Track'!$F:$F&amp;'5) Release_Track'!$G:$G,1,0))),vlookup($A409&amp;$B409,{'5) Release_Track'!$F:$F&amp;'5) Release_Track'!$G:$G,'5) Release_Track'!$I:$I},2,0), or(and(not(isblank($B409)),$B409=$B408,$A409&lt;&gt;$A408),and(not(isblank($A409)),$A409=$A408,$B409&lt;&gt;$B408)),"ID LISTS UNALIGNED",and($A409&lt;&gt;"",countif('5) Release_Track'!$F:$F,$A409)=0),"NO ISRC MATCH in Release_Track",and($B409&lt;&gt;"",countif('5) Release_Track'!$G:$G,$B409)=0),"NO CATALOG ID MATCH in Release_Track",iserror(vlookup($A409&amp;$B409,'5) Release_Track'!$F:$F&amp;'5) Release_Track'!$G:$G,1,0)),"NO ISRC-CATALOG ID pair MATCH in Release_Track" )</f>
        <v/>
      </c>
      <c r="E409" s="99"/>
      <c r="F409" s="99"/>
      <c r="G409" s="123" t="str">
        <f t="array" ref="G409">ifs(or($F409="",$F409="Main Primary Artist"),$F409,not(iserror(vlookup($F409,'Reference info'!$J$5:$J$8,1,0))),"Key Artist",not(iserror(vlookup($F409,'Reference info'!$J$38:$J$405,1,0))),"Performer",not(iserror(vlookup($F409,'Reference info'!$J$10:$J$36,1,0))),"Producer &amp; Engineer")</f>
        <v/>
      </c>
    </row>
    <row r="410">
      <c r="B410" s="103"/>
      <c r="C410" s="121" t="str">
        <f t="array" ref="C410">ifs(and(isblank($A410),isblank($B410)),"", not(iserror(vlookup($A410&amp;$B410,'5) Release_Track'!$F:$F&amp;'5) Release_Track'!$G:$G,1,0))),vlookup($A410&amp;$B410,{'5) Release_Track'!$F:$F&amp;'5) Release_Track'!$G:$G,'5) Release_Track'!$H:$H},2,0), or(and(not(isblank($B410)),$B410=$B409,$A410&lt;&gt;$A409),and(not(isblank($A410)),$A410=$A409,$B410&lt;&gt;$B409)),"ID LISTS UNALIGNED",and($A410&lt;&gt;"",countif('5) Release_Track'!$F:$F,$A410)=0),"NO ISRC MATCH in Release_Track",and($B410&lt;&gt;"",countif('5) Release_Track'!$G:$G,$B410)=0),"NO CATALOG ID MATCH in Release_Track",iserror(vlookup($A410&amp;$B410,'5) Release_Track'!$F:$F&amp;'5) Release_Track'!$G:$G,1,0)),"NO ISRC-CATALOG ID pair MATCH in Release_Track" )</f>
        <v/>
      </c>
      <c r="D410" s="121" t="str">
        <f t="array" ref="D410">ifs(and(isblank($A410),isblank($B410)),"", not(iserror(vlookup($A410&amp;$B410,'5) Release_Track'!$F:$F&amp;'5) Release_Track'!$G:$G,1,0))),vlookup($A410&amp;$B410,{'5) Release_Track'!$F:$F&amp;'5) Release_Track'!$G:$G,'5) Release_Track'!$I:$I},2,0), or(and(not(isblank($B410)),$B410=$B409,$A410&lt;&gt;$A409),and(not(isblank($A410)),$A410=$A409,$B410&lt;&gt;$B409)),"ID LISTS UNALIGNED",and($A410&lt;&gt;"",countif('5) Release_Track'!$F:$F,$A410)=0),"NO ISRC MATCH in Release_Track",and($B410&lt;&gt;"",countif('5) Release_Track'!$G:$G,$B410)=0),"NO CATALOG ID MATCH in Release_Track",iserror(vlookup($A410&amp;$B410,'5) Release_Track'!$F:$F&amp;'5) Release_Track'!$G:$G,1,0)),"NO ISRC-CATALOG ID pair MATCH in Release_Track" )</f>
        <v/>
      </c>
      <c r="E410" s="99"/>
      <c r="F410" s="99"/>
      <c r="G410" s="123" t="str">
        <f t="array" ref="G410">ifs(or($F410="",$F410="Main Primary Artist"),$F410,not(iserror(vlookup($F410,'Reference info'!$J$5:$J$8,1,0))),"Key Artist",not(iserror(vlookup($F410,'Reference info'!$J$38:$J$405,1,0))),"Performer",not(iserror(vlookup($F410,'Reference info'!$J$10:$J$36,1,0))),"Producer &amp; Engineer")</f>
        <v/>
      </c>
    </row>
    <row r="411">
      <c r="B411" s="103"/>
      <c r="C411" s="121" t="str">
        <f t="array" ref="C411">ifs(and(isblank($A411),isblank($B411)),"", not(iserror(vlookup($A411&amp;$B411,'5) Release_Track'!$F:$F&amp;'5) Release_Track'!$G:$G,1,0))),vlookup($A411&amp;$B411,{'5) Release_Track'!$F:$F&amp;'5) Release_Track'!$G:$G,'5) Release_Track'!$H:$H},2,0), or(and(not(isblank($B411)),$B411=$B410,$A411&lt;&gt;$A410),and(not(isblank($A411)),$A411=$A410,$B411&lt;&gt;$B410)),"ID LISTS UNALIGNED",and($A411&lt;&gt;"",countif('5) Release_Track'!$F:$F,$A411)=0),"NO ISRC MATCH in Release_Track",and($B411&lt;&gt;"",countif('5) Release_Track'!$G:$G,$B411)=0),"NO CATALOG ID MATCH in Release_Track",iserror(vlookup($A411&amp;$B411,'5) Release_Track'!$F:$F&amp;'5) Release_Track'!$G:$G,1,0)),"NO ISRC-CATALOG ID pair MATCH in Release_Track" )</f>
        <v/>
      </c>
      <c r="D411" s="121" t="str">
        <f t="array" ref="D411">ifs(and(isblank($A411),isblank($B411)),"", not(iserror(vlookup($A411&amp;$B411,'5) Release_Track'!$F:$F&amp;'5) Release_Track'!$G:$G,1,0))),vlookup($A411&amp;$B411,{'5) Release_Track'!$F:$F&amp;'5) Release_Track'!$G:$G,'5) Release_Track'!$I:$I},2,0), or(and(not(isblank($B411)),$B411=$B410,$A411&lt;&gt;$A410),and(not(isblank($A411)),$A411=$A410,$B411&lt;&gt;$B410)),"ID LISTS UNALIGNED",and($A411&lt;&gt;"",countif('5) Release_Track'!$F:$F,$A411)=0),"NO ISRC MATCH in Release_Track",and($B411&lt;&gt;"",countif('5) Release_Track'!$G:$G,$B411)=0),"NO CATALOG ID MATCH in Release_Track",iserror(vlookup($A411&amp;$B411,'5) Release_Track'!$F:$F&amp;'5) Release_Track'!$G:$G,1,0)),"NO ISRC-CATALOG ID pair MATCH in Release_Track" )</f>
        <v/>
      </c>
      <c r="E411" s="99"/>
      <c r="F411" s="99"/>
      <c r="G411" s="123" t="str">
        <f t="array" ref="G411">ifs(or($F411="",$F411="Main Primary Artist"),$F411,not(iserror(vlookup($F411,'Reference info'!$J$5:$J$8,1,0))),"Key Artist",not(iserror(vlookup($F411,'Reference info'!$J$38:$J$405,1,0))),"Performer",not(iserror(vlookup($F411,'Reference info'!$J$10:$J$36,1,0))),"Producer &amp; Engineer")</f>
        <v/>
      </c>
    </row>
    <row r="412">
      <c r="B412" s="103"/>
      <c r="C412" s="121" t="str">
        <f t="array" ref="C412">ifs(and(isblank($A412),isblank($B412)),"", not(iserror(vlookup($A412&amp;$B412,'5) Release_Track'!$F:$F&amp;'5) Release_Track'!$G:$G,1,0))),vlookup($A412&amp;$B412,{'5) Release_Track'!$F:$F&amp;'5) Release_Track'!$G:$G,'5) Release_Track'!$H:$H},2,0), or(and(not(isblank($B412)),$B412=$B411,$A412&lt;&gt;$A411),and(not(isblank($A412)),$A412=$A411,$B412&lt;&gt;$B411)),"ID LISTS UNALIGNED",and($A412&lt;&gt;"",countif('5) Release_Track'!$F:$F,$A412)=0),"NO ISRC MATCH in Release_Track",and($B412&lt;&gt;"",countif('5) Release_Track'!$G:$G,$B412)=0),"NO CATALOG ID MATCH in Release_Track",iserror(vlookup($A412&amp;$B412,'5) Release_Track'!$F:$F&amp;'5) Release_Track'!$G:$G,1,0)),"NO ISRC-CATALOG ID pair MATCH in Release_Track" )</f>
        <v/>
      </c>
      <c r="D412" s="121" t="str">
        <f t="array" ref="D412">ifs(and(isblank($A412),isblank($B412)),"", not(iserror(vlookup($A412&amp;$B412,'5) Release_Track'!$F:$F&amp;'5) Release_Track'!$G:$G,1,0))),vlookup($A412&amp;$B412,{'5) Release_Track'!$F:$F&amp;'5) Release_Track'!$G:$G,'5) Release_Track'!$I:$I},2,0), or(and(not(isblank($B412)),$B412=$B411,$A412&lt;&gt;$A411),and(not(isblank($A412)),$A412=$A411,$B412&lt;&gt;$B411)),"ID LISTS UNALIGNED",and($A412&lt;&gt;"",countif('5) Release_Track'!$F:$F,$A412)=0),"NO ISRC MATCH in Release_Track",and($B412&lt;&gt;"",countif('5) Release_Track'!$G:$G,$B412)=0),"NO CATALOG ID MATCH in Release_Track",iserror(vlookup($A412&amp;$B412,'5) Release_Track'!$F:$F&amp;'5) Release_Track'!$G:$G,1,0)),"NO ISRC-CATALOG ID pair MATCH in Release_Track" )</f>
        <v/>
      </c>
      <c r="E412" s="99"/>
      <c r="F412" s="99"/>
      <c r="G412" s="123" t="str">
        <f t="array" ref="G412">ifs(or($F412="",$F412="Main Primary Artist"),$F412,not(iserror(vlookup($F412,'Reference info'!$J$5:$J$8,1,0))),"Key Artist",not(iserror(vlookup($F412,'Reference info'!$J$38:$J$405,1,0))),"Performer",not(iserror(vlookup($F412,'Reference info'!$J$10:$J$36,1,0))),"Producer &amp; Engineer")</f>
        <v/>
      </c>
    </row>
    <row r="413">
      <c r="B413" s="103"/>
      <c r="C413" s="121" t="str">
        <f t="array" ref="C413">ifs(and(isblank($A413),isblank($B413)),"", not(iserror(vlookup($A413&amp;$B413,'5) Release_Track'!$F:$F&amp;'5) Release_Track'!$G:$G,1,0))),vlookup($A413&amp;$B413,{'5) Release_Track'!$F:$F&amp;'5) Release_Track'!$G:$G,'5) Release_Track'!$H:$H},2,0), or(and(not(isblank($B413)),$B413=$B412,$A413&lt;&gt;$A412),and(not(isblank($A413)),$A413=$A412,$B413&lt;&gt;$B412)),"ID LISTS UNALIGNED",and($A413&lt;&gt;"",countif('5) Release_Track'!$F:$F,$A413)=0),"NO ISRC MATCH in Release_Track",and($B413&lt;&gt;"",countif('5) Release_Track'!$G:$G,$B413)=0),"NO CATALOG ID MATCH in Release_Track",iserror(vlookup($A413&amp;$B413,'5) Release_Track'!$F:$F&amp;'5) Release_Track'!$G:$G,1,0)),"NO ISRC-CATALOG ID pair MATCH in Release_Track" )</f>
        <v/>
      </c>
      <c r="D413" s="121" t="str">
        <f t="array" ref="D413">ifs(and(isblank($A413),isblank($B413)),"", not(iserror(vlookup($A413&amp;$B413,'5) Release_Track'!$F:$F&amp;'5) Release_Track'!$G:$G,1,0))),vlookup($A413&amp;$B413,{'5) Release_Track'!$F:$F&amp;'5) Release_Track'!$G:$G,'5) Release_Track'!$I:$I},2,0), or(and(not(isblank($B413)),$B413=$B412,$A413&lt;&gt;$A412),and(not(isblank($A413)),$A413=$A412,$B413&lt;&gt;$B412)),"ID LISTS UNALIGNED",and($A413&lt;&gt;"",countif('5) Release_Track'!$F:$F,$A413)=0),"NO ISRC MATCH in Release_Track",and($B413&lt;&gt;"",countif('5) Release_Track'!$G:$G,$B413)=0),"NO CATALOG ID MATCH in Release_Track",iserror(vlookup($A413&amp;$B413,'5) Release_Track'!$F:$F&amp;'5) Release_Track'!$G:$G,1,0)),"NO ISRC-CATALOG ID pair MATCH in Release_Track" )</f>
        <v/>
      </c>
      <c r="E413" s="99"/>
      <c r="F413" s="99"/>
      <c r="G413" s="123" t="str">
        <f t="array" ref="G413">ifs(or($F413="",$F413="Main Primary Artist"),$F413,not(iserror(vlookup($F413,'Reference info'!$J$5:$J$8,1,0))),"Key Artist",not(iserror(vlookup($F413,'Reference info'!$J$38:$J$405,1,0))),"Performer",not(iserror(vlookup($F413,'Reference info'!$J$10:$J$36,1,0))),"Producer &amp; Engineer")</f>
        <v/>
      </c>
    </row>
    <row r="414">
      <c r="B414" s="103"/>
      <c r="C414" s="121" t="str">
        <f t="array" ref="C414">ifs(and(isblank($A414),isblank($B414)),"", not(iserror(vlookup($A414&amp;$B414,'5) Release_Track'!$F:$F&amp;'5) Release_Track'!$G:$G,1,0))),vlookup($A414&amp;$B414,{'5) Release_Track'!$F:$F&amp;'5) Release_Track'!$G:$G,'5) Release_Track'!$H:$H},2,0), or(and(not(isblank($B414)),$B414=$B413,$A414&lt;&gt;$A413),and(not(isblank($A414)),$A414=$A413,$B414&lt;&gt;$B413)),"ID LISTS UNALIGNED",and($A414&lt;&gt;"",countif('5) Release_Track'!$F:$F,$A414)=0),"NO ISRC MATCH in Release_Track",and($B414&lt;&gt;"",countif('5) Release_Track'!$G:$G,$B414)=0),"NO CATALOG ID MATCH in Release_Track",iserror(vlookup($A414&amp;$B414,'5) Release_Track'!$F:$F&amp;'5) Release_Track'!$G:$G,1,0)),"NO ISRC-CATALOG ID pair MATCH in Release_Track" )</f>
        <v/>
      </c>
      <c r="D414" s="121" t="str">
        <f t="array" ref="D414">ifs(and(isblank($A414),isblank($B414)),"", not(iserror(vlookup($A414&amp;$B414,'5) Release_Track'!$F:$F&amp;'5) Release_Track'!$G:$G,1,0))),vlookup($A414&amp;$B414,{'5) Release_Track'!$F:$F&amp;'5) Release_Track'!$G:$G,'5) Release_Track'!$I:$I},2,0), or(and(not(isblank($B414)),$B414=$B413,$A414&lt;&gt;$A413),and(not(isblank($A414)),$A414=$A413,$B414&lt;&gt;$B413)),"ID LISTS UNALIGNED",and($A414&lt;&gt;"",countif('5) Release_Track'!$F:$F,$A414)=0),"NO ISRC MATCH in Release_Track",and($B414&lt;&gt;"",countif('5) Release_Track'!$G:$G,$B414)=0),"NO CATALOG ID MATCH in Release_Track",iserror(vlookup($A414&amp;$B414,'5) Release_Track'!$F:$F&amp;'5) Release_Track'!$G:$G,1,0)),"NO ISRC-CATALOG ID pair MATCH in Release_Track" )</f>
        <v/>
      </c>
      <c r="E414" s="99"/>
      <c r="F414" s="99"/>
      <c r="G414" s="123" t="str">
        <f t="array" ref="G414">ifs(or($F414="",$F414="Main Primary Artist"),$F414,not(iserror(vlookup($F414,'Reference info'!$J$5:$J$8,1,0))),"Key Artist",not(iserror(vlookup($F414,'Reference info'!$J$38:$J$405,1,0))),"Performer",not(iserror(vlookup($F414,'Reference info'!$J$10:$J$36,1,0))),"Producer &amp; Engineer")</f>
        <v/>
      </c>
    </row>
    <row r="415">
      <c r="B415" s="103"/>
      <c r="C415" s="121" t="str">
        <f t="array" ref="C415">ifs(and(isblank($A415),isblank($B415)),"", not(iserror(vlookup($A415&amp;$B415,'5) Release_Track'!$F:$F&amp;'5) Release_Track'!$G:$G,1,0))),vlookup($A415&amp;$B415,{'5) Release_Track'!$F:$F&amp;'5) Release_Track'!$G:$G,'5) Release_Track'!$H:$H},2,0), or(and(not(isblank($B415)),$B415=$B414,$A415&lt;&gt;$A414),and(not(isblank($A415)),$A415=$A414,$B415&lt;&gt;$B414)),"ID LISTS UNALIGNED",and($A415&lt;&gt;"",countif('5) Release_Track'!$F:$F,$A415)=0),"NO ISRC MATCH in Release_Track",and($B415&lt;&gt;"",countif('5) Release_Track'!$G:$G,$B415)=0),"NO CATALOG ID MATCH in Release_Track",iserror(vlookup($A415&amp;$B415,'5) Release_Track'!$F:$F&amp;'5) Release_Track'!$G:$G,1,0)),"NO ISRC-CATALOG ID pair MATCH in Release_Track" )</f>
        <v/>
      </c>
      <c r="D415" s="121" t="str">
        <f t="array" ref="D415">ifs(and(isblank($A415),isblank($B415)),"", not(iserror(vlookup($A415&amp;$B415,'5) Release_Track'!$F:$F&amp;'5) Release_Track'!$G:$G,1,0))),vlookup($A415&amp;$B415,{'5) Release_Track'!$F:$F&amp;'5) Release_Track'!$G:$G,'5) Release_Track'!$I:$I},2,0), or(and(not(isblank($B415)),$B415=$B414,$A415&lt;&gt;$A414),and(not(isblank($A415)),$A415=$A414,$B415&lt;&gt;$B414)),"ID LISTS UNALIGNED",and($A415&lt;&gt;"",countif('5) Release_Track'!$F:$F,$A415)=0),"NO ISRC MATCH in Release_Track",and($B415&lt;&gt;"",countif('5) Release_Track'!$G:$G,$B415)=0),"NO CATALOG ID MATCH in Release_Track",iserror(vlookup($A415&amp;$B415,'5) Release_Track'!$F:$F&amp;'5) Release_Track'!$G:$G,1,0)),"NO ISRC-CATALOG ID pair MATCH in Release_Track" )</f>
        <v/>
      </c>
      <c r="E415" s="99"/>
      <c r="F415" s="99"/>
      <c r="G415" s="123" t="str">
        <f t="array" ref="G415">ifs(or($F415="",$F415="Main Primary Artist"),$F415,not(iserror(vlookup($F415,'Reference info'!$J$5:$J$8,1,0))),"Key Artist",not(iserror(vlookup($F415,'Reference info'!$J$38:$J$405,1,0))),"Performer",not(iserror(vlookup($F415,'Reference info'!$J$10:$J$36,1,0))),"Producer &amp; Engineer")</f>
        <v/>
      </c>
    </row>
    <row r="416">
      <c r="B416" s="103"/>
      <c r="C416" s="121" t="str">
        <f t="array" ref="C416">ifs(and(isblank($A416),isblank($B416)),"", not(iserror(vlookup($A416&amp;$B416,'5) Release_Track'!$F:$F&amp;'5) Release_Track'!$G:$G,1,0))),vlookup($A416&amp;$B416,{'5) Release_Track'!$F:$F&amp;'5) Release_Track'!$G:$G,'5) Release_Track'!$H:$H},2,0), or(and(not(isblank($B416)),$B416=$B415,$A416&lt;&gt;$A415),and(not(isblank($A416)),$A416=$A415,$B416&lt;&gt;$B415)),"ID LISTS UNALIGNED",and($A416&lt;&gt;"",countif('5) Release_Track'!$F:$F,$A416)=0),"NO ISRC MATCH in Release_Track",and($B416&lt;&gt;"",countif('5) Release_Track'!$G:$G,$B416)=0),"NO CATALOG ID MATCH in Release_Track",iserror(vlookup($A416&amp;$B416,'5) Release_Track'!$F:$F&amp;'5) Release_Track'!$G:$G,1,0)),"NO ISRC-CATALOG ID pair MATCH in Release_Track" )</f>
        <v/>
      </c>
      <c r="D416" s="121" t="str">
        <f t="array" ref="D416">ifs(and(isblank($A416),isblank($B416)),"", not(iserror(vlookup($A416&amp;$B416,'5) Release_Track'!$F:$F&amp;'5) Release_Track'!$G:$G,1,0))),vlookup($A416&amp;$B416,{'5) Release_Track'!$F:$F&amp;'5) Release_Track'!$G:$G,'5) Release_Track'!$I:$I},2,0), or(and(not(isblank($B416)),$B416=$B415,$A416&lt;&gt;$A415),and(not(isblank($A416)),$A416=$A415,$B416&lt;&gt;$B415)),"ID LISTS UNALIGNED",and($A416&lt;&gt;"",countif('5) Release_Track'!$F:$F,$A416)=0),"NO ISRC MATCH in Release_Track",and($B416&lt;&gt;"",countif('5) Release_Track'!$G:$G,$B416)=0),"NO CATALOG ID MATCH in Release_Track",iserror(vlookup($A416&amp;$B416,'5) Release_Track'!$F:$F&amp;'5) Release_Track'!$G:$G,1,0)),"NO ISRC-CATALOG ID pair MATCH in Release_Track" )</f>
        <v/>
      </c>
      <c r="E416" s="99"/>
      <c r="F416" s="99"/>
      <c r="G416" s="123" t="str">
        <f t="array" ref="G416">ifs(or($F416="",$F416="Main Primary Artist"),$F416,not(iserror(vlookup($F416,'Reference info'!$J$5:$J$8,1,0))),"Key Artist",not(iserror(vlookup($F416,'Reference info'!$J$38:$J$405,1,0))),"Performer",not(iserror(vlookup($F416,'Reference info'!$J$10:$J$36,1,0))),"Producer &amp; Engineer")</f>
        <v/>
      </c>
    </row>
    <row r="417">
      <c r="B417" s="103"/>
      <c r="C417" s="121" t="str">
        <f t="array" ref="C417">ifs(and(isblank($A417),isblank($B417)),"", not(iserror(vlookup($A417&amp;$B417,'5) Release_Track'!$F:$F&amp;'5) Release_Track'!$G:$G,1,0))),vlookup($A417&amp;$B417,{'5) Release_Track'!$F:$F&amp;'5) Release_Track'!$G:$G,'5) Release_Track'!$H:$H},2,0), or(and(not(isblank($B417)),$B417=$B416,$A417&lt;&gt;$A416),and(not(isblank($A417)),$A417=$A416,$B417&lt;&gt;$B416)),"ID LISTS UNALIGNED",and($A417&lt;&gt;"",countif('5) Release_Track'!$F:$F,$A417)=0),"NO ISRC MATCH in Release_Track",and($B417&lt;&gt;"",countif('5) Release_Track'!$G:$G,$B417)=0),"NO CATALOG ID MATCH in Release_Track",iserror(vlookup($A417&amp;$B417,'5) Release_Track'!$F:$F&amp;'5) Release_Track'!$G:$G,1,0)),"NO ISRC-CATALOG ID pair MATCH in Release_Track" )</f>
        <v/>
      </c>
      <c r="D417" s="121" t="str">
        <f t="array" ref="D417">ifs(and(isblank($A417),isblank($B417)),"", not(iserror(vlookup($A417&amp;$B417,'5) Release_Track'!$F:$F&amp;'5) Release_Track'!$G:$G,1,0))),vlookup($A417&amp;$B417,{'5) Release_Track'!$F:$F&amp;'5) Release_Track'!$G:$G,'5) Release_Track'!$I:$I},2,0), or(and(not(isblank($B417)),$B417=$B416,$A417&lt;&gt;$A416),and(not(isblank($A417)),$A417=$A416,$B417&lt;&gt;$B416)),"ID LISTS UNALIGNED",and($A417&lt;&gt;"",countif('5) Release_Track'!$F:$F,$A417)=0),"NO ISRC MATCH in Release_Track",and($B417&lt;&gt;"",countif('5) Release_Track'!$G:$G,$B417)=0),"NO CATALOG ID MATCH in Release_Track",iserror(vlookup($A417&amp;$B417,'5) Release_Track'!$F:$F&amp;'5) Release_Track'!$G:$G,1,0)),"NO ISRC-CATALOG ID pair MATCH in Release_Track" )</f>
        <v/>
      </c>
      <c r="E417" s="99"/>
      <c r="F417" s="99"/>
      <c r="G417" s="123" t="str">
        <f t="array" ref="G417">ifs(or($F417="",$F417="Main Primary Artist"),$F417,not(iserror(vlookup($F417,'Reference info'!$J$5:$J$8,1,0))),"Key Artist",not(iserror(vlookup($F417,'Reference info'!$J$38:$J$405,1,0))),"Performer",not(iserror(vlookup($F417,'Reference info'!$J$10:$J$36,1,0))),"Producer &amp; Engineer")</f>
        <v/>
      </c>
    </row>
    <row r="418">
      <c r="B418" s="103"/>
      <c r="C418" s="121" t="str">
        <f t="array" ref="C418">ifs(and(isblank($A418),isblank($B418)),"", not(iserror(vlookup($A418&amp;$B418,'5) Release_Track'!$F:$F&amp;'5) Release_Track'!$G:$G,1,0))),vlookup($A418&amp;$B418,{'5) Release_Track'!$F:$F&amp;'5) Release_Track'!$G:$G,'5) Release_Track'!$H:$H},2,0), or(and(not(isblank($B418)),$B418=$B417,$A418&lt;&gt;$A417),and(not(isblank($A418)),$A418=$A417,$B418&lt;&gt;$B417)),"ID LISTS UNALIGNED",and($A418&lt;&gt;"",countif('5) Release_Track'!$F:$F,$A418)=0),"NO ISRC MATCH in Release_Track",and($B418&lt;&gt;"",countif('5) Release_Track'!$G:$G,$B418)=0),"NO CATALOG ID MATCH in Release_Track",iserror(vlookup($A418&amp;$B418,'5) Release_Track'!$F:$F&amp;'5) Release_Track'!$G:$G,1,0)),"NO ISRC-CATALOG ID pair MATCH in Release_Track" )</f>
        <v/>
      </c>
      <c r="D418" s="121" t="str">
        <f t="array" ref="D418">ifs(and(isblank($A418),isblank($B418)),"", not(iserror(vlookup($A418&amp;$B418,'5) Release_Track'!$F:$F&amp;'5) Release_Track'!$G:$G,1,0))),vlookup($A418&amp;$B418,{'5) Release_Track'!$F:$F&amp;'5) Release_Track'!$G:$G,'5) Release_Track'!$I:$I},2,0), or(and(not(isblank($B418)),$B418=$B417,$A418&lt;&gt;$A417),and(not(isblank($A418)),$A418=$A417,$B418&lt;&gt;$B417)),"ID LISTS UNALIGNED",and($A418&lt;&gt;"",countif('5) Release_Track'!$F:$F,$A418)=0),"NO ISRC MATCH in Release_Track",and($B418&lt;&gt;"",countif('5) Release_Track'!$G:$G,$B418)=0),"NO CATALOG ID MATCH in Release_Track",iserror(vlookup($A418&amp;$B418,'5) Release_Track'!$F:$F&amp;'5) Release_Track'!$G:$G,1,0)),"NO ISRC-CATALOG ID pair MATCH in Release_Track" )</f>
        <v/>
      </c>
      <c r="E418" s="99"/>
      <c r="F418" s="99"/>
      <c r="G418" s="123" t="str">
        <f t="array" ref="G418">ifs(or($F418="",$F418="Main Primary Artist"),$F418,not(iserror(vlookup($F418,'Reference info'!$J$5:$J$8,1,0))),"Key Artist",not(iserror(vlookup($F418,'Reference info'!$J$38:$J$405,1,0))),"Performer",not(iserror(vlookup($F418,'Reference info'!$J$10:$J$36,1,0))),"Producer &amp; Engineer")</f>
        <v/>
      </c>
    </row>
    <row r="419">
      <c r="B419" s="103"/>
      <c r="C419" s="121" t="str">
        <f t="array" ref="C419">ifs(and(isblank($A419),isblank($B419)),"", not(iserror(vlookup($A419&amp;$B419,'5) Release_Track'!$F:$F&amp;'5) Release_Track'!$G:$G,1,0))),vlookup($A419&amp;$B419,{'5) Release_Track'!$F:$F&amp;'5) Release_Track'!$G:$G,'5) Release_Track'!$H:$H},2,0), or(and(not(isblank($B419)),$B419=$B418,$A419&lt;&gt;$A418),and(not(isblank($A419)),$A419=$A418,$B419&lt;&gt;$B418)),"ID LISTS UNALIGNED",and($A419&lt;&gt;"",countif('5) Release_Track'!$F:$F,$A419)=0),"NO ISRC MATCH in Release_Track",and($B419&lt;&gt;"",countif('5) Release_Track'!$G:$G,$B419)=0),"NO CATALOG ID MATCH in Release_Track",iserror(vlookup($A419&amp;$B419,'5) Release_Track'!$F:$F&amp;'5) Release_Track'!$G:$G,1,0)),"NO ISRC-CATALOG ID pair MATCH in Release_Track" )</f>
        <v/>
      </c>
      <c r="D419" s="121" t="str">
        <f t="array" ref="D419">ifs(and(isblank($A419),isblank($B419)),"", not(iserror(vlookup($A419&amp;$B419,'5) Release_Track'!$F:$F&amp;'5) Release_Track'!$G:$G,1,0))),vlookup($A419&amp;$B419,{'5) Release_Track'!$F:$F&amp;'5) Release_Track'!$G:$G,'5) Release_Track'!$I:$I},2,0), or(and(not(isblank($B419)),$B419=$B418,$A419&lt;&gt;$A418),and(not(isblank($A419)),$A419=$A418,$B419&lt;&gt;$B418)),"ID LISTS UNALIGNED",and($A419&lt;&gt;"",countif('5) Release_Track'!$F:$F,$A419)=0),"NO ISRC MATCH in Release_Track",and($B419&lt;&gt;"",countif('5) Release_Track'!$G:$G,$B419)=0),"NO CATALOG ID MATCH in Release_Track",iserror(vlookup($A419&amp;$B419,'5) Release_Track'!$F:$F&amp;'5) Release_Track'!$G:$G,1,0)),"NO ISRC-CATALOG ID pair MATCH in Release_Track" )</f>
        <v/>
      </c>
      <c r="E419" s="99"/>
      <c r="F419" s="99"/>
      <c r="G419" s="123" t="str">
        <f t="array" ref="G419">ifs(or($F419="",$F419="Main Primary Artist"),$F419,not(iserror(vlookup($F419,'Reference info'!$J$5:$J$8,1,0))),"Key Artist",not(iserror(vlookup($F419,'Reference info'!$J$38:$J$405,1,0))),"Performer",not(iserror(vlookup($F419,'Reference info'!$J$10:$J$36,1,0))),"Producer &amp; Engineer")</f>
        <v/>
      </c>
    </row>
    <row r="420">
      <c r="B420" s="103"/>
      <c r="C420" s="121" t="str">
        <f t="array" ref="C420">ifs(and(isblank($A420),isblank($B420)),"", not(iserror(vlookup($A420&amp;$B420,'5) Release_Track'!$F:$F&amp;'5) Release_Track'!$G:$G,1,0))),vlookup($A420&amp;$B420,{'5) Release_Track'!$F:$F&amp;'5) Release_Track'!$G:$G,'5) Release_Track'!$H:$H},2,0), or(and(not(isblank($B420)),$B420=$B419,$A420&lt;&gt;$A419),and(not(isblank($A420)),$A420=$A419,$B420&lt;&gt;$B419)),"ID LISTS UNALIGNED",and($A420&lt;&gt;"",countif('5) Release_Track'!$F:$F,$A420)=0),"NO ISRC MATCH in Release_Track",and($B420&lt;&gt;"",countif('5) Release_Track'!$G:$G,$B420)=0),"NO CATALOG ID MATCH in Release_Track",iserror(vlookup($A420&amp;$B420,'5) Release_Track'!$F:$F&amp;'5) Release_Track'!$G:$G,1,0)),"NO ISRC-CATALOG ID pair MATCH in Release_Track" )</f>
        <v/>
      </c>
      <c r="D420" s="121" t="str">
        <f t="array" ref="D420">ifs(and(isblank($A420),isblank($B420)),"", not(iserror(vlookup($A420&amp;$B420,'5) Release_Track'!$F:$F&amp;'5) Release_Track'!$G:$G,1,0))),vlookup($A420&amp;$B420,{'5) Release_Track'!$F:$F&amp;'5) Release_Track'!$G:$G,'5) Release_Track'!$I:$I},2,0), or(and(not(isblank($B420)),$B420=$B419,$A420&lt;&gt;$A419),and(not(isblank($A420)),$A420=$A419,$B420&lt;&gt;$B419)),"ID LISTS UNALIGNED",and($A420&lt;&gt;"",countif('5) Release_Track'!$F:$F,$A420)=0),"NO ISRC MATCH in Release_Track",and($B420&lt;&gt;"",countif('5) Release_Track'!$G:$G,$B420)=0),"NO CATALOG ID MATCH in Release_Track",iserror(vlookup($A420&amp;$B420,'5) Release_Track'!$F:$F&amp;'5) Release_Track'!$G:$G,1,0)),"NO ISRC-CATALOG ID pair MATCH in Release_Track" )</f>
        <v/>
      </c>
      <c r="E420" s="99"/>
      <c r="F420" s="99"/>
      <c r="G420" s="123" t="str">
        <f t="array" ref="G420">ifs(or($F420="",$F420="Main Primary Artist"),$F420,not(iserror(vlookup($F420,'Reference info'!$J$5:$J$8,1,0))),"Key Artist",not(iserror(vlookup($F420,'Reference info'!$J$38:$J$405,1,0))),"Performer",not(iserror(vlookup($F420,'Reference info'!$J$10:$J$36,1,0))),"Producer &amp; Engineer")</f>
        <v/>
      </c>
    </row>
    <row r="421">
      <c r="B421" s="103"/>
      <c r="C421" s="121" t="str">
        <f t="array" ref="C421">ifs(and(isblank($A421),isblank($B421)),"", not(iserror(vlookup($A421&amp;$B421,'5) Release_Track'!$F:$F&amp;'5) Release_Track'!$G:$G,1,0))),vlookup($A421&amp;$B421,{'5) Release_Track'!$F:$F&amp;'5) Release_Track'!$G:$G,'5) Release_Track'!$H:$H},2,0), or(and(not(isblank($B421)),$B421=$B420,$A421&lt;&gt;$A420),and(not(isblank($A421)),$A421=$A420,$B421&lt;&gt;$B420)),"ID LISTS UNALIGNED",and($A421&lt;&gt;"",countif('5) Release_Track'!$F:$F,$A421)=0),"NO ISRC MATCH in Release_Track",and($B421&lt;&gt;"",countif('5) Release_Track'!$G:$G,$B421)=0),"NO CATALOG ID MATCH in Release_Track",iserror(vlookup($A421&amp;$B421,'5) Release_Track'!$F:$F&amp;'5) Release_Track'!$G:$G,1,0)),"NO ISRC-CATALOG ID pair MATCH in Release_Track" )</f>
        <v/>
      </c>
      <c r="D421" s="121" t="str">
        <f t="array" ref="D421">ifs(and(isblank($A421),isblank($B421)),"", not(iserror(vlookup($A421&amp;$B421,'5) Release_Track'!$F:$F&amp;'5) Release_Track'!$G:$G,1,0))),vlookup($A421&amp;$B421,{'5) Release_Track'!$F:$F&amp;'5) Release_Track'!$G:$G,'5) Release_Track'!$I:$I},2,0), or(and(not(isblank($B421)),$B421=$B420,$A421&lt;&gt;$A420),and(not(isblank($A421)),$A421=$A420,$B421&lt;&gt;$B420)),"ID LISTS UNALIGNED",and($A421&lt;&gt;"",countif('5) Release_Track'!$F:$F,$A421)=0),"NO ISRC MATCH in Release_Track",and($B421&lt;&gt;"",countif('5) Release_Track'!$G:$G,$B421)=0),"NO CATALOG ID MATCH in Release_Track",iserror(vlookup($A421&amp;$B421,'5) Release_Track'!$F:$F&amp;'5) Release_Track'!$G:$G,1,0)),"NO ISRC-CATALOG ID pair MATCH in Release_Track" )</f>
        <v/>
      </c>
      <c r="E421" s="99"/>
      <c r="F421" s="99"/>
      <c r="G421" s="123" t="str">
        <f t="array" ref="G421">ifs(or($F421="",$F421="Main Primary Artist"),$F421,not(iserror(vlookup($F421,'Reference info'!$J$5:$J$8,1,0))),"Key Artist",not(iserror(vlookup($F421,'Reference info'!$J$38:$J$405,1,0))),"Performer",not(iserror(vlookup($F421,'Reference info'!$J$10:$J$36,1,0))),"Producer &amp; Engineer")</f>
        <v/>
      </c>
    </row>
    <row r="422">
      <c r="B422" s="103"/>
      <c r="C422" s="121" t="str">
        <f t="array" ref="C422">ifs(and(isblank($A422),isblank($B422)),"", not(iserror(vlookup($A422&amp;$B422,'5) Release_Track'!$F:$F&amp;'5) Release_Track'!$G:$G,1,0))),vlookup($A422&amp;$B422,{'5) Release_Track'!$F:$F&amp;'5) Release_Track'!$G:$G,'5) Release_Track'!$H:$H},2,0), or(and(not(isblank($B422)),$B422=$B421,$A422&lt;&gt;$A421),and(not(isblank($A422)),$A422=$A421,$B422&lt;&gt;$B421)),"ID LISTS UNALIGNED",and($A422&lt;&gt;"",countif('5) Release_Track'!$F:$F,$A422)=0),"NO ISRC MATCH in Release_Track",and($B422&lt;&gt;"",countif('5) Release_Track'!$G:$G,$B422)=0),"NO CATALOG ID MATCH in Release_Track",iserror(vlookup($A422&amp;$B422,'5) Release_Track'!$F:$F&amp;'5) Release_Track'!$G:$G,1,0)),"NO ISRC-CATALOG ID pair MATCH in Release_Track" )</f>
        <v/>
      </c>
      <c r="D422" s="121" t="str">
        <f t="array" ref="D422">ifs(and(isblank($A422),isblank($B422)),"", not(iserror(vlookup($A422&amp;$B422,'5) Release_Track'!$F:$F&amp;'5) Release_Track'!$G:$G,1,0))),vlookup($A422&amp;$B422,{'5) Release_Track'!$F:$F&amp;'5) Release_Track'!$G:$G,'5) Release_Track'!$I:$I},2,0), or(and(not(isblank($B422)),$B422=$B421,$A422&lt;&gt;$A421),and(not(isblank($A422)),$A422=$A421,$B422&lt;&gt;$B421)),"ID LISTS UNALIGNED",and($A422&lt;&gt;"",countif('5) Release_Track'!$F:$F,$A422)=0),"NO ISRC MATCH in Release_Track",and($B422&lt;&gt;"",countif('5) Release_Track'!$G:$G,$B422)=0),"NO CATALOG ID MATCH in Release_Track",iserror(vlookup($A422&amp;$B422,'5) Release_Track'!$F:$F&amp;'5) Release_Track'!$G:$G,1,0)),"NO ISRC-CATALOG ID pair MATCH in Release_Track" )</f>
        <v/>
      </c>
      <c r="E422" s="99"/>
      <c r="F422" s="99"/>
      <c r="G422" s="123" t="str">
        <f t="array" ref="G422">ifs(or($F422="",$F422="Main Primary Artist"),$F422,not(iserror(vlookup($F422,'Reference info'!$J$5:$J$8,1,0))),"Key Artist",not(iserror(vlookup($F422,'Reference info'!$J$38:$J$405,1,0))),"Performer",not(iserror(vlookup($F422,'Reference info'!$J$10:$J$36,1,0))),"Producer &amp; Engineer")</f>
        <v/>
      </c>
    </row>
    <row r="423">
      <c r="B423" s="103"/>
      <c r="C423" s="121" t="str">
        <f t="array" ref="C423">ifs(and(isblank($A423),isblank($B423)),"", not(iserror(vlookup($A423&amp;$B423,'5) Release_Track'!$F:$F&amp;'5) Release_Track'!$G:$G,1,0))),vlookup($A423&amp;$B423,{'5) Release_Track'!$F:$F&amp;'5) Release_Track'!$G:$G,'5) Release_Track'!$H:$H},2,0), or(and(not(isblank($B423)),$B423=$B422,$A423&lt;&gt;$A422),and(not(isblank($A423)),$A423=$A422,$B423&lt;&gt;$B422)),"ID LISTS UNALIGNED",and($A423&lt;&gt;"",countif('5) Release_Track'!$F:$F,$A423)=0),"NO ISRC MATCH in Release_Track",and($B423&lt;&gt;"",countif('5) Release_Track'!$G:$G,$B423)=0),"NO CATALOG ID MATCH in Release_Track",iserror(vlookup($A423&amp;$B423,'5) Release_Track'!$F:$F&amp;'5) Release_Track'!$G:$G,1,0)),"NO ISRC-CATALOG ID pair MATCH in Release_Track" )</f>
        <v/>
      </c>
      <c r="D423" s="121" t="str">
        <f t="array" ref="D423">ifs(and(isblank($A423),isblank($B423)),"", not(iserror(vlookup($A423&amp;$B423,'5) Release_Track'!$F:$F&amp;'5) Release_Track'!$G:$G,1,0))),vlookup($A423&amp;$B423,{'5) Release_Track'!$F:$F&amp;'5) Release_Track'!$G:$G,'5) Release_Track'!$I:$I},2,0), or(and(not(isblank($B423)),$B423=$B422,$A423&lt;&gt;$A422),and(not(isblank($A423)),$A423=$A422,$B423&lt;&gt;$B422)),"ID LISTS UNALIGNED",and($A423&lt;&gt;"",countif('5) Release_Track'!$F:$F,$A423)=0),"NO ISRC MATCH in Release_Track",and($B423&lt;&gt;"",countif('5) Release_Track'!$G:$G,$B423)=0),"NO CATALOG ID MATCH in Release_Track",iserror(vlookup($A423&amp;$B423,'5) Release_Track'!$F:$F&amp;'5) Release_Track'!$G:$G,1,0)),"NO ISRC-CATALOG ID pair MATCH in Release_Track" )</f>
        <v/>
      </c>
      <c r="E423" s="99"/>
      <c r="F423" s="99"/>
      <c r="G423" s="123" t="str">
        <f t="array" ref="G423">ifs(or($F423="",$F423="Main Primary Artist"),$F423,not(iserror(vlookup($F423,'Reference info'!$J$5:$J$8,1,0))),"Key Artist",not(iserror(vlookup($F423,'Reference info'!$J$38:$J$405,1,0))),"Performer",not(iserror(vlookup($F423,'Reference info'!$J$10:$J$36,1,0))),"Producer &amp; Engineer")</f>
        <v/>
      </c>
    </row>
    <row r="424">
      <c r="B424" s="103"/>
      <c r="C424" s="121" t="str">
        <f t="array" ref="C424">ifs(and(isblank($A424),isblank($B424)),"", not(iserror(vlookup($A424&amp;$B424,'5) Release_Track'!$F:$F&amp;'5) Release_Track'!$G:$G,1,0))),vlookup($A424&amp;$B424,{'5) Release_Track'!$F:$F&amp;'5) Release_Track'!$G:$G,'5) Release_Track'!$H:$H},2,0), or(and(not(isblank($B424)),$B424=$B423,$A424&lt;&gt;$A423),and(not(isblank($A424)),$A424=$A423,$B424&lt;&gt;$B423)),"ID LISTS UNALIGNED",and($A424&lt;&gt;"",countif('5) Release_Track'!$F:$F,$A424)=0),"NO ISRC MATCH in Release_Track",and($B424&lt;&gt;"",countif('5) Release_Track'!$G:$G,$B424)=0),"NO CATALOG ID MATCH in Release_Track",iserror(vlookup($A424&amp;$B424,'5) Release_Track'!$F:$F&amp;'5) Release_Track'!$G:$G,1,0)),"NO ISRC-CATALOG ID pair MATCH in Release_Track" )</f>
        <v/>
      </c>
      <c r="D424" s="121" t="str">
        <f t="array" ref="D424">ifs(and(isblank($A424),isblank($B424)),"", not(iserror(vlookup($A424&amp;$B424,'5) Release_Track'!$F:$F&amp;'5) Release_Track'!$G:$G,1,0))),vlookup($A424&amp;$B424,{'5) Release_Track'!$F:$F&amp;'5) Release_Track'!$G:$G,'5) Release_Track'!$I:$I},2,0), or(and(not(isblank($B424)),$B424=$B423,$A424&lt;&gt;$A423),and(not(isblank($A424)),$A424=$A423,$B424&lt;&gt;$B423)),"ID LISTS UNALIGNED",and($A424&lt;&gt;"",countif('5) Release_Track'!$F:$F,$A424)=0),"NO ISRC MATCH in Release_Track",and($B424&lt;&gt;"",countif('5) Release_Track'!$G:$G,$B424)=0),"NO CATALOG ID MATCH in Release_Track",iserror(vlookup($A424&amp;$B424,'5) Release_Track'!$F:$F&amp;'5) Release_Track'!$G:$G,1,0)),"NO ISRC-CATALOG ID pair MATCH in Release_Track" )</f>
        <v/>
      </c>
      <c r="E424" s="99"/>
      <c r="F424" s="99"/>
      <c r="G424" s="123" t="str">
        <f t="array" ref="G424">ifs(or($F424="",$F424="Main Primary Artist"),$F424,not(iserror(vlookup($F424,'Reference info'!$J$5:$J$8,1,0))),"Key Artist",not(iserror(vlookup($F424,'Reference info'!$J$38:$J$405,1,0))),"Performer",not(iserror(vlookup($F424,'Reference info'!$J$10:$J$36,1,0))),"Producer &amp; Engineer")</f>
        <v/>
      </c>
    </row>
    <row r="425">
      <c r="B425" s="103"/>
      <c r="C425" s="121" t="str">
        <f t="array" ref="C425">ifs(and(isblank($A425),isblank($B425)),"", not(iserror(vlookup($A425&amp;$B425,'5) Release_Track'!$F:$F&amp;'5) Release_Track'!$G:$G,1,0))),vlookup($A425&amp;$B425,{'5) Release_Track'!$F:$F&amp;'5) Release_Track'!$G:$G,'5) Release_Track'!$H:$H},2,0), or(and(not(isblank($B425)),$B425=$B424,$A425&lt;&gt;$A424),and(not(isblank($A425)),$A425=$A424,$B425&lt;&gt;$B424)),"ID LISTS UNALIGNED",and($A425&lt;&gt;"",countif('5) Release_Track'!$F:$F,$A425)=0),"NO ISRC MATCH in Release_Track",and($B425&lt;&gt;"",countif('5) Release_Track'!$G:$G,$B425)=0),"NO CATALOG ID MATCH in Release_Track",iserror(vlookup($A425&amp;$B425,'5) Release_Track'!$F:$F&amp;'5) Release_Track'!$G:$G,1,0)),"NO ISRC-CATALOG ID pair MATCH in Release_Track" )</f>
        <v/>
      </c>
      <c r="D425" s="121" t="str">
        <f t="array" ref="D425">ifs(and(isblank($A425),isblank($B425)),"", not(iserror(vlookup($A425&amp;$B425,'5) Release_Track'!$F:$F&amp;'5) Release_Track'!$G:$G,1,0))),vlookup($A425&amp;$B425,{'5) Release_Track'!$F:$F&amp;'5) Release_Track'!$G:$G,'5) Release_Track'!$I:$I},2,0), or(and(not(isblank($B425)),$B425=$B424,$A425&lt;&gt;$A424),and(not(isblank($A425)),$A425=$A424,$B425&lt;&gt;$B424)),"ID LISTS UNALIGNED",and($A425&lt;&gt;"",countif('5) Release_Track'!$F:$F,$A425)=0),"NO ISRC MATCH in Release_Track",and($B425&lt;&gt;"",countif('5) Release_Track'!$G:$G,$B425)=0),"NO CATALOG ID MATCH in Release_Track",iserror(vlookup($A425&amp;$B425,'5) Release_Track'!$F:$F&amp;'5) Release_Track'!$G:$G,1,0)),"NO ISRC-CATALOG ID pair MATCH in Release_Track" )</f>
        <v/>
      </c>
      <c r="E425" s="99"/>
      <c r="F425" s="99"/>
      <c r="G425" s="123" t="str">
        <f t="array" ref="G425">ifs(or($F425="",$F425="Main Primary Artist"),$F425,not(iserror(vlookup($F425,'Reference info'!$J$5:$J$8,1,0))),"Key Artist",not(iserror(vlookup($F425,'Reference info'!$J$38:$J$405,1,0))),"Performer",not(iserror(vlookup($F425,'Reference info'!$J$10:$J$36,1,0))),"Producer &amp; Engineer")</f>
        <v/>
      </c>
    </row>
    <row r="426">
      <c r="B426" s="103"/>
      <c r="C426" s="121" t="str">
        <f t="array" ref="C426">ifs(and(isblank($A426),isblank($B426)),"", not(iserror(vlookup($A426&amp;$B426,'5) Release_Track'!$F:$F&amp;'5) Release_Track'!$G:$G,1,0))),vlookup($A426&amp;$B426,{'5) Release_Track'!$F:$F&amp;'5) Release_Track'!$G:$G,'5) Release_Track'!$H:$H},2,0), or(and(not(isblank($B426)),$B426=$B425,$A426&lt;&gt;$A425),and(not(isblank($A426)),$A426=$A425,$B426&lt;&gt;$B425)),"ID LISTS UNALIGNED",and($A426&lt;&gt;"",countif('5) Release_Track'!$F:$F,$A426)=0),"NO ISRC MATCH in Release_Track",and($B426&lt;&gt;"",countif('5) Release_Track'!$G:$G,$B426)=0),"NO CATALOG ID MATCH in Release_Track",iserror(vlookup($A426&amp;$B426,'5) Release_Track'!$F:$F&amp;'5) Release_Track'!$G:$G,1,0)),"NO ISRC-CATALOG ID pair MATCH in Release_Track" )</f>
        <v/>
      </c>
      <c r="D426" s="121" t="str">
        <f t="array" ref="D426">ifs(and(isblank($A426),isblank($B426)),"", not(iserror(vlookup($A426&amp;$B426,'5) Release_Track'!$F:$F&amp;'5) Release_Track'!$G:$G,1,0))),vlookup($A426&amp;$B426,{'5) Release_Track'!$F:$F&amp;'5) Release_Track'!$G:$G,'5) Release_Track'!$I:$I},2,0), or(and(not(isblank($B426)),$B426=$B425,$A426&lt;&gt;$A425),and(not(isblank($A426)),$A426=$A425,$B426&lt;&gt;$B425)),"ID LISTS UNALIGNED",and($A426&lt;&gt;"",countif('5) Release_Track'!$F:$F,$A426)=0),"NO ISRC MATCH in Release_Track",and($B426&lt;&gt;"",countif('5) Release_Track'!$G:$G,$B426)=0),"NO CATALOG ID MATCH in Release_Track",iserror(vlookup($A426&amp;$B426,'5) Release_Track'!$F:$F&amp;'5) Release_Track'!$G:$G,1,0)),"NO ISRC-CATALOG ID pair MATCH in Release_Track" )</f>
        <v/>
      </c>
      <c r="E426" s="99"/>
      <c r="F426" s="99"/>
      <c r="G426" s="123" t="str">
        <f t="array" ref="G426">ifs(or($F426="",$F426="Main Primary Artist"),$F426,not(iserror(vlookup($F426,'Reference info'!$J$5:$J$8,1,0))),"Key Artist",not(iserror(vlookup($F426,'Reference info'!$J$38:$J$405,1,0))),"Performer",not(iserror(vlookup($F426,'Reference info'!$J$10:$J$36,1,0))),"Producer &amp; Engineer")</f>
        <v/>
      </c>
    </row>
    <row r="427">
      <c r="B427" s="103"/>
      <c r="C427" s="121" t="str">
        <f t="array" ref="C427">ifs(and(isblank($A427),isblank($B427)),"", not(iserror(vlookup($A427&amp;$B427,'5) Release_Track'!$F:$F&amp;'5) Release_Track'!$G:$G,1,0))),vlookup($A427&amp;$B427,{'5) Release_Track'!$F:$F&amp;'5) Release_Track'!$G:$G,'5) Release_Track'!$H:$H},2,0), or(and(not(isblank($B427)),$B427=$B426,$A427&lt;&gt;$A426),and(not(isblank($A427)),$A427=$A426,$B427&lt;&gt;$B426)),"ID LISTS UNALIGNED",and($A427&lt;&gt;"",countif('5) Release_Track'!$F:$F,$A427)=0),"NO ISRC MATCH in Release_Track",and($B427&lt;&gt;"",countif('5) Release_Track'!$G:$G,$B427)=0),"NO CATALOG ID MATCH in Release_Track",iserror(vlookup($A427&amp;$B427,'5) Release_Track'!$F:$F&amp;'5) Release_Track'!$G:$G,1,0)),"NO ISRC-CATALOG ID pair MATCH in Release_Track" )</f>
        <v/>
      </c>
      <c r="D427" s="121" t="str">
        <f t="array" ref="D427">ifs(and(isblank($A427),isblank($B427)),"", not(iserror(vlookup($A427&amp;$B427,'5) Release_Track'!$F:$F&amp;'5) Release_Track'!$G:$G,1,0))),vlookup($A427&amp;$B427,{'5) Release_Track'!$F:$F&amp;'5) Release_Track'!$G:$G,'5) Release_Track'!$I:$I},2,0), or(and(not(isblank($B427)),$B427=$B426,$A427&lt;&gt;$A426),and(not(isblank($A427)),$A427=$A426,$B427&lt;&gt;$B426)),"ID LISTS UNALIGNED",and($A427&lt;&gt;"",countif('5) Release_Track'!$F:$F,$A427)=0),"NO ISRC MATCH in Release_Track",and($B427&lt;&gt;"",countif('5) Release_Track'!$G:$G,$B427)=0),"NO CATALOG ID MATCH in Release_Track",iserror(vlookup($A427&amp;$B427,'5) Release_Track'!$F:$F&amp;'5) Release_Track'!$G:$G,1,0)),"NO ISRC-CATALOG ID pair MATCH in Release_Track" )</f>
        <v/>
      </c>
      <c r="E427" s="99"/>
      <c r="F427" s="99"/>
      <c r="G427" s="123" t="str">
        <f t="array" ref="G427">ifs(or($F427="",$F427="Main Primary Artist"),$F427,not(iserror(vlookup($F427,'Reference info'!$J$5:$J$8,1,0))),"Key Artist",not(iserror(vlookup($F427,'Reference info'!$J$38:$J$405,1,0))),"Performer",not(iserror(vlookup($F427,'Reference info'!$J$10:$J$36,1,0))),"Producer &amp; Engineer")</f>
        <v/>
      </c>
    </row>
    <row r="428">
      <c r="B428" s="103"/>
      <c r="C428" s="121" t="str">
        <f t="array" ref="C428">ifs(and(isblank($A428),isblank($B428)),"", not(iserror(vlookup($A428&amp;$B428,'5) Release_Track'!$F:$F&amp;'5) Release_Track'!$G:$G,1,0))),vlookup($A428&amp;$B428,{'5) Release_Track'!$F:$F&amp;'5) Release_Track'!$G:$G,'5) Release_Track'!$H:$H},2,0), or(and(not(isblank($B428)),$B428=$B427,$A428&lt;&gt;$A427),and(not(isblank($A428)),$A428=$A427,$B428&lt;&gt;$B427)),"ID LISTS UNALIGNED",and($A428&lt;&gt;"",countif('5) Release_Track'!$F:$F,$A428)=0),"NO ISRC MATCH in Release_Track",and($B428&lt;&gt;"",countif('5) Release_Track'!$G:$G,$B428)=0),"NO CATALOG ID MATCH in Release_Track",iserror(vlookup($A428&amp;$B428,'5) Release_Track'!$F:$F&amp;'5) Release_Track'!$G:$G,1,0)),"NO ISRC-CATALOG ID pair MATCH in Release_Track" )</f>
        <v/>
      </c>
      <c r="D428" s="121" t="str">
        <f t="array" ref="D428">ifs(and(isblank($A428),isblank($B428)),"", not(iserror(vlookup($A428&amp;$B428,'5) Release_Track'!$F:$F&amp;'5) Release_Track'!$G:$G,1,0))),vlookup($A428&amp;$B428,{'5) Release_Track'!$F:$F&amp;'5) Release_Track'!$G:$G,'5) Release_Track'!$I:$I},2,0), or(and(not(isblank($B428)),$B428=$B427,$A428&lt;&gt;$A427),and(not(isblank($A428)),$A428=$A427,$B428&lt;&gt;$B427)),"ID LISTS UNALIGNED",and($A428&lt;&gt;"",countif('5) Release_Track'!$F:$F,$A428)=0),"NO ISRC MATCH in Release_Track",and($B428&lt;&gt;"",countif('5) Release_Track'!$G:$G,$B428)=0),"NO CATALOG ID MATCH in Release_Track",iserror(vlookup($A428&amp;$B428,'5) Release_Track'!$F:$F&amp;'5) Release_Track'!$G:$G,1,0)),"NO ISRC-CATALOG ID pair MATCH in Release_Track" )</f>
        <v/>
      </c>
      <c r="E428" s="99"/>
      <c r="F428" s="99"/>
      <c r="G428" s="123" t="str">
        <f t="array" ref="G428">ifs(or($F428="",$F428="Main Primary Artist"),$F428,not(iserror(vlookup($F428,'Reference info'!$J$5:$J$8,1,0))),"Key Artist",not(iserror(vlookup($F428,'Reference info'!$J$38:$J$405,1,0))),"Performer",not(iserror(vlookup($F428,'Reference info'!$J$10:$J$36,1,0))),"Producer &amp; Engineer")</f>
        <v/>
      </c>
    </row>
    <row r="429">
      <c r="B429" s="103"/>
      <c r="C429" s="121" t="str">
        <f t="array" ref="C429">ifs(and(isblank($A429),isblank($B429)),"", not(iserror(vlookup($A429&amp;$B429,'5) Release_Track'!$F:$F&amp;'5) Release_Track'!$G:$G,1,0))),vlookup($A429&amp;$B429,{'5) Release_Track'!$F:$F&amp;'5) Release_Track'!$G:$G,'5) Release_Track'!$H:$H},2,0), or(and(not(isblank($B429)),$B429=$B428,$A429&lt;&gt;$A428),and(not(isblank($A429)),$A429=$A428,$B429&lt;&gt;$B428)),"ID LISTS UNALIGNED",and($A429&lt;&gt;"",countif('5) Release_Track'!$F:$F,$A429)=0),"NO ISRC MATCH in Release_Track",and($B429&lt;&gt;"",countif('5) Release_Track'!$G:$G,$B429)=0),"NO CATALOG ID MATCH in Release_Track",iserror(vlookup($A429&amp;$B429,'5) Release_Track'!$F:$F&amp;'5) Release_Track'!$G:$G,1,0)),"NO ISRC-CATALOG ID pair MATCH in Release_Track" )</f>
        <v/>
      </c>
      <c r="D429" s="121" t="str">
        <f t="array" ref="D429">ifs(and(isblank($A429),isblank($B429)),"", not(iserror(vlookup($A429&amp;$B429,'5) Release_Track'!$F:$F&amp;'5) Release_Track'!$G:$G,1,0))),vlookup($A429&amp;$B429,{'5) Release_Track'!$F:$F&amp;'5) Release_Track'!$G:$G,'5) Release_Track'!$I:$I},2,0), or(and(not(isblank($B429)),$B429=$B428,$A429&lt;&gt;$A428),and(not(isblank($A429)),$A429=$A428,$B429&lt;&gt;$B428)),"ID LISTS UNALIGNED",and($A429&lt;&gt;"",countif('5) Release_Track'!$F:$F,$A429)=0),"NO ISRC MATCH in Release_Track",and($B429&lt;&gt;"",countif('5) Release_Track'!$G:$G,$B429)=0),"NO CATALOG ID MATCH in Release_Track",iserror(vlookup($A429&amp;$B429,'5) Release_Track'!$F:$F&amp;'5) Release_Track'!$G:$G,1,0)),"NO ISRC-CATALOG ID pair MATCH in Release_Track" )</f>
        <v/>
      </c>
      <c r="E429" s="99"/>
      <c r="F429" s="99"/>
      <c r="G429" s="123" t="str">
        <f t="array" ref="G429">ifs(or($F429="",$F429="Main Primary Artist"),$F429,not(iserror(vlookup($F429,'Reference info'!$J$5:$J$8,1,0))),"Key Artist",not(iserror(vlookup($F429,'Reference info'!$J$38:$J$405,1,0))),"Performer",not(iserror(vlookup($F429,'Reference info'!$J$10:$J$36,1,0))),"Producer &amp; Engineer")</f>
        <v/>
      </c>
    </row>
    <row r="430">
      <c r="B430" s="103"/>
      <c r="C430" s="121" t="str">
        <f t="array" ref="C430">ifs(and(isblank($A430),isblank($B430)),"", not(iserror(vlookup($A430&amp;$B430,'5) Release_Track'!$F:$F&amp;'5) Release_Track'!$G:$G,1,0))),vlookup($A430&amp;$B430,{'5) Release_Track'!$F:$F&amp;'5) Release_Track'!$G:$G,'5) Release_Track'!$H:$H},2,0), or(and(not(isblank($B430)),$B430=$B429,$A430&lt;&gt;$A429),and(not(isblank($A430)),$A430=$A429,$B430&lt;&gt;$B429)),"ID LISTS UNALIGNED",and($A430&lt;&gt;"",countif('5) Release_Track'!$F:$F,$A430)=0),"NO ISRC MATCH in Release_Track",and($B430&lt;&gt;"",countif('5) Release_Track'!$G:$G,$B430)=0),"NO CATALOG ID MATCH in Release_Track",iserror(vlookup($A430&amp;$B430,'5) Release_Track'!$F:$F&amp;'5) Release_Track'!$G:$G,1,0)),"NO ISRC-CATALOG ID pair MATCH in Release_Track" )</f>
        <v/>
      </c>
      <c r="D430" s="121" t="str">
        <f t="array" ref="D430">ifs(and(isblank($A430),isblank($B430)),"", not(iserror(vlookup($A430&amp;$B430,'5) Release_Track'!$F:$F&amp;'5) Release_Track'!$G:$G,1,0))),vlookup($A430&amp;$B430,{'5) Release_Track'!$F:$F&amp;'5) Release_Track'!$G:$G,'5) Release_Track'!$I:$I},2,0), or(and(not(isblank($B430)),$B430=$B429,$A430&lt;&gt;$A429),and(not(isblank($A430)),$A430=$A429,$B430&lt;&gt;$B429)),"ID LISTS UNALIGNED",and($A430&lt;&gt;"",countif('5) Release_Track'!$F:$F,$A430)=0),"NO ISRC MATCH in Release_Track",and($B430&lt;&gt;"",countif('5) Release_Track'!$G:$G,$B430)=0),"NO CATALOG ID MATCH in Release_Track",iserror(vlookup($A430&amp;$B430,'5) Release_Track'!$F:$F&amp;'5) Release_Track'!$G:$G,1,0)),"NO ISRC-CATALOG ID pair MATCH in Release_Track" )</f>
        <v/>
      </c>
      <c r="E430" s="99"/>
      <c r="F430" s="99"/>
      <c r="G430" s="123" t="str">
        <f t="array" ref="G430">ifs(or($F430="",$F430="Main Primary Artist"),$F430,not(iserror(vlookup($F430,'Reference info'!$J$5:$J$8,1,0))),"Key Artist",not(iserror(vlookup($F430,'Reference info'!$J$38:$J$405,1,0))),"Performer",not(iserror(vlookup($F430,'Reference info'!$J$10:$J$36,1,0))),"Producer &amp; Engineer")</f>
        <v/>
      </c>
    </row>
    <row r="431">
      <c r="B431" s="103"/>
      <c r="C431" s="121" t="str">
        <f t="array" ref="C431">ifs(and(isblank($A431),isblank($B431)),"", not(iserror(vlookup($A431&amp;$B431,'5) Release_Track'!$F:$F&amp;'5) Release_Track'!$G:$G,1,0))),vlookup($A431&amp;$B431,{'5) Release_Track'!$F:$F&amp;'5) Release_Track'!$G:$G,'5) Release_Track'!$H:$H},2,0), or(and(not(isblank($B431)),$B431=$B430,$A431&lt;&gt;$A430),and(not(isblank($A431)),$A431=$A430,$B431&lt;&gt;$B430)),"ID LISTS UNALIGNED",and($A431&lt;&gt;"",countif('5) Release_Track'!$F:$F,$A431)=0),"NO ISRC MATCH in Release_Track",and($B431&lt;&gt;"",countif('5) Release_Track'!$G:$G,$B431)=0),"NO CATALOG ID MATCH in Release_Track",iserror(vlookup($A431&amp;$B431,'5) Release_Track'!$F:$F&amp;'5) Release_Track'!$G:$G,1,0)),"NO ISRC-CATALOG ID pair MATCH in Release_Track" )</f>
        <v/>
      </c>
      <c r="D431" s="121" t="str">
        <f t="array" ref="D431">ifs(and(isblank($A431),isblank($B431)),"", not(iserror(vlookup($A431&amp;$B431,'5) Release_Track'!$F:$F&amp;'5) Release_Track'!$G:$G,1,0))),vlookup($A431&amp;$B431,{'5) Release_Track'!$F:$F&amp;'5) Release_Track'!$G:$G,'5) Release_Track'!$I:$I},2,0), or(and(not(isblank($B431)),$B431=$B430,$A431&lt;&gt;$A430),and(not(isblank($A431)),$A431=$A430,$B431&lt;&gt;$B430)),"ID LISTS UNALIGNED",and($A431&lt;&gt;"",countif('5) Release_Track'!$F:$F,$A431)=0),"NO ISRC MATCH in Release_Track",and($B431&lt;&gt;"",countif('5) Release_Track'!$G:$G,$B431)=0),"NO CATALOG ID MATCH in Release_Track",iserror(vlookup($A431&amp;$B431,'5) Release_Track'!$F:$F&amp;'5) Release_Track'!$G:$G,1,0)),"NO ISRC-CATALOG ID pair MATCH in Release_Track" )</f>
        <v/>
      </c>
      <c r="E431" s="99"/>
      <c r="F431" s="99"/>
      <c r="G431" s="123" t="str">
        <f t="array" ref="G431">ifs(or($F431="",$F431="Main Primary Artist"),$F431,not(iserror(vlookup($F431,'Reference info'!$J$5:$J$8,1,0))),"Key Artist",not(iserror(vlookup($F431,'Reference info'!$J$38:$J$405,1,0))),"Performer",not(iserror(vlookup($F431,'Reference info'!$J$10:$J$36,1,0))),"Producer &amp; Engineer")</f>
        <v/>
      </c>
    </row>
    <row r="432">
      <c r="B432" s="103"/>
      <c r="C432" s="121" t="str">
        <f t="array" ref="C432">ifs(and(isblank($A432),isblank($B432)),"", not(iserror(vlookup($A432&amp;$B432,'5) Release_Track'!$F:$F&amp;'5) Release_Track'!$G:$G,1,0))),vlookup($A432&amp;$B432,{'5) Release_Track'!$F:$F&amp;'5) Release_Track'!$G:$G,'5) Release_Track'!$H:$H},2,0), or(and(not(isblank($B432)),$B432=$B431,$A432&lt;&gt;$A431),and(not(isblank($A432)),$A432=$A431,$B432&lt;&gt;$B431)),"ID LISTS UNALIGNED",and($A432&lt;&gt;"",countif('5) Release_Track'!$F:$F,$A432)=0),"NO ISRC MATCH in Release_Track",and($B432&lt;&gt;"",countif('5) Release_Track'!$G:$G,$B432)=0),"NO CATALOG ID MATCH in Release_Track",iserror(vlookup($A432&amp;$B432,'5) Release_Track'!$F:$F&amp;'5) Release_Track'!$G:$G,1,0)),"NO ISRC-CATALOG ID pair MATCH in Release_Track" )</f>
        <v/>
      </c>
      <c r="D432" s="121" t="str">
        <f t="array" ref="D432">ifs(and(isblank($A432),isblank($B432)),"", not(iserror(vlookup($A432&amp;$B432,'5) Release_Track'!$F:$F&amp;'5) Release_Track'!$G:$G,1,0))),vlookup($A432&amp;$B432,{'5) Release_Track'!$F:$F&amp;'5) Release_Track'!$G:$G,'5) Release_Track'!$I:$I},2,0), or(and(not(isblank($B432)),$B432=$B431,$A432&lt;&gt;$A431),and(not(isblank($A432)),$A432=$A431,$B432&lt;&gt;$B431)),"ID LISTS UNALIGNED",and($A432&lt;&gt;"",countif('5) Release_Track'!$F:$F,$A432)=0),"NO ISRC MATCH in Release_Track",and($B432&lt;&gt;"",countif('5) Release_Track'!$G:$G,$B432)=0),"NO CATALOG ID MATCH in Release_Track",iserror(vlookup($A432&amp;$B432,'5) Release_Track'!$F:$F&amp;'5) Release_Track'!$G:$G,1,0)),"NO ISRC-CATALOG ID pair MATCH in Release_Track" )</f>
        <v/>
      </c>
      <c r="E432" s="99"/>
      <c r="F432" s="99"/>
      <c r="G432" s="123" t="str">
        <f t="array" ref="G432">ifs(or($F432="",$F432="Main Primary Artist"),$F432,not(iserror(vlookup($F432,'Reference info'!$J$5:$J$8,1,0))),"Key Artist",not(iserror(vlookup($F432,'Reference info'!$J$38:$J$405,1,0))),"Performer",not(iserror(vlookup($F432,'Reference info'!$J$10:$J$36,1,0))),"Producer &amp; Engineer")</f>
        <v/>
      </c>
    </row>
    <row r="433">
      <c r="B433" s="103"/>
      <c r="C433" s="121" t="str">
        <f t="array" ref="C433">ifs(and(isblank($A433),isblank($B433)),"", not(iserror(vlookup($A433&amp;$B433,'5) Release_Track'!$F:$F&amp;'5) Release_Track'!$G:$G,1,0))),vlookup($A433&amp;$B433,{'5) Release_Track'!$F:$F&amp;'5) Release_Track'!$G:$G,'5) Release_Track'!$H:$H},2,0), or(and(not(isblank($B433)),$B433=$B432,$A433&lt;&gt;$A432),and(not(isblank($A433)),$A433=$A432,$B433&lt;&gt;$B432)),"ID LISTS UNALIGNED",and($A433&lt;&gt;"",countif('5) Release_Track'!$F:$F,$A433)=0),"NO ISRC MATCH in Release_Track",and($B433&lt;&gt;"",countif('5) Release_Track'!$G:$G,$B433)=0),"NO CATALOG ID MATCH in Release_Track",iserror(vlookup($A433&amp;$B433,'5) Release_Track'!$F:$F&amp;'5) Release_Track'!$G:$G,1,0)),"NO ISRC-CATALOG ID pair MATCH in Release_Track" )</f>
        <v/>
      </c>
      <c r="D433" s="121" t="str">
        <f t="array" ref="D433">ifs(and(isblank($A433),isblank($B433)),"", not(iserror(vlookup($A433&amp;$B433,'5) Release_Track'!$F:$F&amp;'5) Release_Track'!$G:$G,1,0))),vlookup($A433&amp;$B433,{'5) Release_Track'!$F:$F&amp;'5) Release_Track'!$G:$G,'5) Release_Track'!$I:$I},2,0), or(and(not(isblank($B433)),$B433=$B432,$A433&lt;&gt;$A432),and(not(isblank($A433)),$A433=$A432,$B433&lt;&gt;$B432)),"ID LISTS UNALIGNED",and($A433&lt;&gt;"",countif('5) Release_Track'!$F:$F,$A433)=0),"NO ISRC MATCH in Release_Track",and($B433&lt;&gt;"",countif('5) Release_Track'!$G:$G,$B433)=0),"NO CATALOG ID MATCH in Release_Track",iserror(vlookup($A433&amp;$B433,'5) Release_Track'!$F:$F&amp;'5) Release_Track'!$G:$G,1,0)),"NO ISRC-CATALOG ID pair MATCH in Release_Track" )</f>
        <v/>
      </c>
      <c r="E433" s="99"/>
      <c r="F433" s="99"/>
      <c r="G433" s="123" t="str">
        <f t="array" ref="G433">ifs(or($F433="",$F433="Main Primary Artist"),$F433,not(iserror(vlookup($F433,'Reference info'!$J$5:$J$8,1,0))),"Key Artist",not(iserror(vlookup($F433,'Reference info'!$J$38:$J$405,1,0))),"Performer",not(iserror(vlookup($F433,'Reference info'!$J$10:$J$36,1,0))),"Producer &amp; Engineer")</f>
        <v/>
      </c>
    </row>
    <row r="434">
      <c r="B434" s="103"/>
      <c r="C434" s="121" t="str">
        <f t="array" ref="C434">ifs(and(isblank($A434),isblank($B434)),"", not(iserror(vlookup($A434&amp;$B434,'5) Release_Track'!$F:$F&amp;'5) Release_Track'!$G:$G,1,0))),vlookup($A434&amp;$B434,{'5) Release_Track'!$F:$F&amp;'5) Release_Track'!$G:$G,'5) Release_Track'!$H:$H},2,0), or(and(not(isblank($B434)),$B434=$B433,$A434&lt;&gt;$A433),and(not(isblank($A434)),$A434=$A433,$B434&lt;&gt;$B433)),"ID LISTS UNALIGNED",and($A434&lt;&gt;"",countif('5) Release_Track'!$F:$F,$A434)=0),"NO ISRC MATCH in Release_Track",and($B434&lt;&gt;"",countif('5) Release_Track'!$G:$G,$B434)=0),"NO CATALOG ID MATCH in Release_Track",iserror(vlookup($A434&amp;$B434,'5) Release_Track'!$F:$F&amp;'5) Release_Track'!$G:$G,1,0)),"NO ISRC-CATALOG ID pair MATCH in Release_Track" )</f>
        <v/>
      </c>
      <c r="D434" s="121" t="str">
        <f t="array" ref="D434">ifs(and(isblank($A434),isblank($B434)),"", not(iserror(vlookup($A434&amp;$B434,'5) Release_Track'!$F:$F&amp;'5) Release_Track'!$G:$G,1,0))),vlookup($A434&amp;$B434,{'5) Release_Track'!$F:$F&amp;'5) Release_Track'!$G:$G,'5) Release_Track'!$I:$I},2,0), or(and(not(isblank($B434)),$B434=$B433,$A434&lt;&gt;$A433),and(not(isblank($A434)),$A434=$A433,$B434&lt;&gt;$B433)),"ID LISTS UNALIGNED",and($A434&lt;&gt;"",countif('5) Release_Track'!$F:$F,$A434)=0),"NO ISRC MATCH in Release_Track",and($B434&lt;&gt;"",countif('5) Release_Track'!$G:$G,$B434)=0),"NO CATALOG ID MATCH in Release_Track",iserror(vlookup($A434&amp;$B434,'5) Release_Track'!$F:$F&amp;'5) Release_Track'!$G:$G,1,0)),"NO ISRC-CATALOG ID pair MATCH in Release_Track" )</f>
        <v/>
      </c>
      <c r="E434" s="99"/>
      <c r="F434" s="99"/>
      <c r="G434" s="123" t="str">
        <f t="array" ref="G434">ifs(or($F434="",$F434="Main Primary Artist"),$F434,not(iserror(vlookup($F434,'Reference info'!$J$5:$J$8,1,0))),"Key Artist",not(iserror(vlookup($F434,'Reference info'!$J$38:$J$405,1,0))),"Performer",not(iserror(vlookup($F434,'Reference info'!$J$10:$J$36,1,0))),"Producer &amp; Engineer")</f>
        <v/>
      </c>
    </row>
    <row r="435">
      <c r="B435" s="103"/>
      <c r="C435" s="121" t="str">
        <f t="array" ref="C435">ifs(and(isblank($A435),isblank($B435)),"", not(iserror(vlookup($A435&amp;$B435,'5) Release_Track'!$F:$F&amp;'5) Release_Track'!$G:$G,1,0))),vlookup($A435&amp;$B435,{'5) Release_Track'!$F:$F&amp;'5) Release_Track'!$G:$G,'5) Release_Track'!$H:$H},2,0), or(and(not(isblank($B435)),$B435=$B434,$A435&lt;&gt;$A434),and(not(isblank($A435)),$A435=$A434,$B435&lt;&gt;$B434)),"ID LISTS UNALIGNED",and($A435&lt;&gt;"",countif('5) Release_Track'!$F:$F,$A435)=0),"NO ISRC MATCH in Release_Track",and($B435&lt;&gt;"",countif('5) Release_Track'!$G:$G,$B435)=0),"NO CATALOG ID MATCH in Release_Track",iserror(vlookup($A435&amp;$B435,'5) Release_Track'!$F:$F&amp;'5) Release_Track'!$G:$G,1,0)),"NO ISRC-CATALOG ID pair MATCH in Release_Track" )</f>
        <v/>
      </c>
      <c r="D435" s="121" t="str">
        <f t="array" ref="D435">ifs(and(isblank($A435),isblank($B435)),"", not(iserror(vlookup($A435&amp;$B435,'5) Release_Track'!$F:$F&amp;'5) Release_Track'!$G:$G,1,0))),vlookup($A435&amp;$B435,{'5) Release_Track'!$F:$F&amp;'5) Release_Track'!$G:$G,'5) Release_Track'!$I:$I},2,0), or(and(not(isblank($B435)),$B435=$B434,$A435&lt;&gt;$A434),and(not(isblank($A435)),$A435=$A434,$B435&lt;&gt;$B434)),"ID LISTS UNALIGNED",and($A435&lt;&gt;"",countif('5) Release_Track'!$F:$F,$A435)=0),"NO ISRC MATCH in Release_Track",and($B435&lt;&gt;"",countif('5) Release_Track'!$G:$G,$B435)=0),"NO CATALOG ID MATCH in Release_Track",iserror(vlookup($A435&amp;$B435,'5) Release_Track'!$F:$F&amp;'5) Release_Track'!$G:$G,1,0)),"NO ISRC-CATALOG ID pair MATCH in Release_Track" )</f>
        <v/>
      </c>
      <c r="E435" s="99"/>
      <c r="F435" s="99"/>
      <c r="G435" s="123" t="str">
        <f t="array" ref="G435">ifs(or($F435="",$F435="Main Primary Artist"),$F435,not(iserror(vlookup($F435,'Reference info'!$J$5:$J$8,1,0))),"Key Artist",not(iserror(vlookup($F435,'Reference info'!$J$38:$J$405,1,0))),"Performer",not(iserror(vlookup($F435,'Reference info'!$J$10:$J$36,1,0))),"Producer &amp; Engineer")</f>
        <v/>
      </c>
    </row>
    <row r="436">
      <c r="B436" s="103"/>
      <c r="C436" s="121" t="str">
        <f t="array" ref="C436">ifs(and(isblank($A436),isblank($B436)),"", not(iserror(vlookup($A436&amp;$B436,'5) Release_Track'!$F:$F&amp;'5) Release_Track'!$G:$G,1,0))),vlookup($A436&amp;$B436,{'5) Release_Track'!$F:$F&amp;'5) Release_Track'!$G:$G,'5) Release_Track'!$H:$H},2,0), or(and(not(isblank($B436)),$B436=$B435,$A436&lt;&gt;$A435),and(not(isblank($A436)),$A436=$A435,$B436&lt;&gt;$B435)),"ID LISTS UNALIGNED",and($A436&lt;&gt;"",countif('5) Release_Track'!$F:$F,$A436)=0),"NO ISRC MATCH in Release_Track",and($B436&lt;&gt;"",countif('5) Release_Track'!$G:$G,$B436)=0),"NO CATALOG ID MATCH in Release_Track",iserror(vlookup($A436&amp;$B436,'5) Release_Track'!$F:$F&amp;'5) Release_Track'!$G:$G,1,0)),"NO ISRC-CATALOG ID pair MATCH in Release_Track" )</f>
        <v/>
      </c>
      <c r="D436" s="121" t="str">
        <f t="array" ref="D436">ifs(and(isblank($A436),isblank($B436)),"", not(iserror(vlookup($A436&amp;$B436,'5) Release_Track'!$F:$F&amp;'5) Release_Track'!$G:$G,1,0))),vlookup($A436&amp;$B436,{'5) Release_Track'!$F:$F&amp;'5) Release_Track'!$G:$G,'5) Release_Track'!$I:$I},2,0), or(and(not(isblank($B436)),$B436=$B435,$A436&lt;&gt;$A435),and(not(isblank($A436)),$A436=$A435,$B436&lt;&gt;$B435)),"ID LISTS UNALIGNED",and($A436&lt;&gt;"",countif('5) Release_Track'!$F:$F,$A436)=0),"NO ISRC MATCH in Release_Track",and($B436&lt;&gt;"",countif('5) Release_Track'!$G:$G,$B436)=0),"NO CATALOG ID MATCH in Release_Track",iserror(vlookup($A436&amp;$B436,'5) Release_Track'!$F:$F&amp;'5) Release_Track'!$G:$G,1,0)),"NO ISRC-CATALOG ID pair MATCH in Release_Track" )</f>
        <v/>
      </c>
      <c r="E436" s="99"/>
      <c r="F436" s="99"/>
      <c r="G436" s="123" t="str">
        <f t="array" ref="G436">ifs(or($F436="",$F436="Main Primary Artist"),$F436,not(iserror(vlookup($F436,'Reference info'!$J$5:$J$8,1,0))),"Key Artist",not(iserror(vlookup($F436,'Reference info'!$J$38:$J$405,1,0))),"Performer",not(iserror(vlookup($F436,'Reference info'!$J$10:$J$36,1,0))),"Producer &amp; Engineer")</f>
        <v/>
      </c>
    </row>
    <row r="437">
      <c r="B437" s="103"/>
      <c r="C437" s="121" t="str">
        <f t="array" ref="C437">ifs(and(isblank($A437),isblank($B437)),"", not(iserror(vlookup($A437&amp;$B437,'5) Release_Track'!$F:$F&amp;'5) Release_Track'!$G:$G,1,0))),vlookup($A437&amp;$B437,{'5) Release_Track'!$F:$F&amp;'5) Release_Track'!$G:$G,'5) Release_Track'!$H:$H},2,0), or(and(not(isblank($B437)),$B437=$B436,$A437&lt;&gt;$A436),and(not(isblank($A437)),$A437=$A436,$B437&lt;&gt;$B436)),"ID LISTS UNALIGNED",and($A437&lt;&gt;"",countif('5) Release_Track'!$F:$F,$A437)=0),"NO ISRC MATCH in Release_Track",and($B437&lt;&gt;"",countif('5) Release_Track'!$G:$G,$B437)=0),"NO CATALOG ID MATCH in Release_Track",iserror(vlookup($A437&amp;$B437,'5) Release_Track'!$F:$F&amp;'5) Release_Track'!$G:$G,1,0)),"NO ISRC-CATALOG ID pair MATCH in Release_Track" )</f>
        <v/>
      </c>
      <c r="D437" s="121" t="str">
        <f t="array" ref="D437">ifs(and(isblank($A437),isblank($B437)),"", not(iserror(vlookup($A437&amp;$B437,'5) Release_Track'!$F:$F&amp;'5) Release_Track'!$G:$G,1,0))),vlookup($A437&amp;$B437,{'5) Release_Track'!$F:$F&amp;'5) Release_Track'!$G:$G,'5) Release_Track'!$I:$I},2,0), or(and(not(isblank($B437)),$B437=$B436,$A437&lt;&gt;$A436),and(not(isblank($A437)),$A437=$A436,$B437&lt;&gt;$B436)),"ID LISTS UNALIGNED",and($A437&lt;&gt;"",countif('5) Release_Track'!$F:$F,$A437)=0),"NO ISRC MATCH in Release_Track",and($B437&lt;&gt;"",countif('5) Release_Track'!$G:$G,$B437)=0),"NO CATALOG ID MATCH in Release_Track",iserror(vlookup($A437&amp;$B437,'5) Release_Track'!$F:$F&amp;'5) Release_Track'!$G:$G,1,0)),"NO ISRC-CATALOG ID pair MATCH in Release_Track" )</f>
        <v/>
      </c>
      <c r="E437" s="99"/>
      <c r="F437" s="99"/>
      <c r="G437" s="123" t="str">
        <f t="array" ref="G437">ifs(or($F437="",$F437="Main Primary Artist"),$F437,not(iserror(vlookup($F437,'Reference info'!$J$5:$J$8,1,0))),"Key Artist",not(iserror(vlookup($F437,'Reference info'!$J$38:$J$405,1,0))),"Performer",not(iserror(vlookup($F437,'Reference info'!$J$10:$J$36,1,0))),"Producer &amp; Engineer")</f>
        <v/>
      </c>
    </row>
    <row r="438">
      <c r="B438" s="103"/>
      <c r="C438" s="121" t="str">
        <f t="array" ref="C438">ifs(and(isblank($A438),isblank($B438)),"", not(iserror(vlookup($A438&amp;$B438,'5) Release_Track'!$F:$F&amp;'5) Release_Track'!$G:$G,1,0))),vlookup($A438&amp;$B438,{'5) Release_Track'!$F:$F&amp;'5) Release_Track'!$G:$G,'5) Release_Track'!$H:$H},2,0), or(and(not(isblank($B438)),$B438=$B437,$A438&lt;&gt;$A437),and(not(isblank($A438)),$A438=$A437,$B438&lt;&gt;$B437)),"ID LISTS UNALIGNED",and($A438&lt;&gt;"",countif('5) Release_Track'!$F:$F,$A438)=0),"NO ISRC MATCH in Release_Track",and($B438&lt;&gt;"",countif('5) Release_Track'!$G:$G,$B438)=0),"NO CATALOG ID MATCH in Release_Track",iserror(vlookup($A438&amp;$B438,'5) Release_Track'!$F:$F&amp;'5) Release_Track'!$G:$G,1,0)),"NO ISRC-CATALOG ID pair MATCH in Release_Track" )</f>
        <v/>
      </c>
      <c r="D438" s="121" t="str">
        <f t="array" ref="D438">ifs(and(isblank($A438),isblank($B438)),"", not(iserror(vlookup($A438&amp;$B438,'5) Release_Track'!$F:$F&amp;'5) Release_Track'!$G:$G,1,0))),vlookup($A438&amp;$B438,{'5) Release_Track'!$F:$F&amp;'5) Release_Track'!$G:$G,'5) Release_Track'!$I:$I},2,0), or(and(not(isblank($B438)),$B438=$B437,$A438&lt;&gt;$A437),and(not(isblank($A438)),$A438=$A437,$B438&lt;&gt;$B437)),"ID LISTS UNALIGNED",and($A438&lt;&gt;"",countif('5) Release_Track'!$F:$F,$A438)=0),"NO ISRC MATCH in Release_Track",and($B438&lt;&gt;"",countif('5) Release_Track'!$G:$G,$B438)=0),"NO CATALOG ID MATCH in Release_Track",iserror(vlookup($A438&amp;$B438,'5) Release_Track'!$F:$F&amp;'5) Release_Track'!$G:$G,1,0)),"NO ISRC-CATALOG ID pair MATCH in Release_Track" )</f>
        <v/>
      </c>
      <c r="E438" s="99"/>
      <c r="F438" s="99"/>
      <c r="G438" s="123" t="str">
        <f t="array" ref="G438">ifs(or($F438="",$F438="Main Primary Artist"),$F438,not(iserror(vlookup($F438,'Reference info'!$J$5:$J$8,1,0))),"Key Artist",not(iserror(vlookup($F438,'Reference info'!$J$38:$J$405,1,0))),"Performer",not(iserror(vlookup($F438,'Reference info'!$J$10:$J$36,1,0))),"Producer &amp; Engineer")</f>
        <v/>
      </c>
    </row>
    <row r="439">
      <c r="B439" s="103"/>
      <c r="C439" s="121" t="str">
        <f t="array" ref="C439">ifs(and(isblank($A439),isblank($B439)),"", not(iserror(vlookup($A439&amp;$B439,'5) Release_Track'!$F:$F&amp;'5) Release_Track'!$G:$G,1,0))),vlookup($A439&amp;$B439,{'5) Release_Track'!$F:$F&amp;'5) Release_Track'!$G:$G,'5) Release_Track'!$H:$H},2,0), or(and(not(isblank($B439)),$B439=$B438,$A439&lt;&gt;$A438),and(not(isblank($A439)),$A439=$A438,$B439&lt;&gt;$B438)),"ID LISTS UNALIGNED",and($A439&lt;&gt;"",countif('5) Release_Track'!$F:$F,$A439)=0),"NO ISRC MATCH in Release_Track",and($B439&lt;&gt;"",countif('5) Release_Track'!$G:$G,$B439)=0),"NO CATALOG ID MATCH in Release_Track",iserror(vlookup($A439&amp;$B439,'5) Release_Track'!$F:$F&amp;'5) Release_Track'!$G:$G,1,0)),"NO ISRC-CATALOG ID pair MATCH in Release_Track" )</f>
        <v/>
      </c>
      <c r="D439" s="121" t="str">
        <f t="array" ref="D439">ifs(and(isblank($A439),isblank($B439)),"", not(iserror(vlookup($A439&amp;$B439,'5) Release_Track'!$F:$F&amp;'5) Release_Track'!$G:$G,1,0))),vlookup($A439&amp;$B439,{'5) Release_Track'!$F:$F&amp;'5) Release_Track'!$G:$G,'5) Release_Track'!$I:$I},2,0), or(and(not(isblank($B439)),$B439=$B438,$A439&lt;&gt;$A438),and(not(isblank($A439)),$A439=$A438,$B439&lt;&gt;$B438)),"ID LISTS UNALIGNED",and($A439&lt;&gt;"",countif('5) Release_Track'!$F:$F,$A439)=0),"NO ISRC MATCH in Release_Track",and($B439&lt;&gt;"",countif('5) Release_Track'!$G:$G,$B439)=0),"NO CATALOG ID MATCH in Release_Track",iserror(vlookup($A439&amp;$B439,'5) Release_Track'!$F:$F&amp;'5) Release_Track'!$G:$G,1,0)),"NO ISRC-CATALOG ID pair MATCH in Release_Track" )</f>
        <v/>
      </c>
      <c r="E439" s="99"/>
      <c r="F439" s="99"/>
      <c r="G439" s="123" t="str">
        <f t="array" ref="G439">ifs(or($F439="",$F439="Main Primary Artist"),$F439,not(iserror(vlookup($F439,'Reference info'!$J$5:$J$8,1,0))),"Key Artist",not(iserror(vlookup($F439,'Reference info'!$J$38:$J$405,1,0))),"Performer",not(iserror(vlookup($F439,'Reference info'!$J$10:$J$36,1,0))),"Producer &amp; Engineer")</f>
        <v/>
      </c>
    </row>
    <row r="440">
      <c r="B440" s="103"/>
      <c r="C440" s="121" t="str">
        <f t="array" ref="C440">ifs(and(isblank($A440),isblank($B440)),"", not(iserror(vlookup($A440&amp;$B440,'5) Release_Track'!$F:$F&amp;'5) Release_Track'!$G:$G,1,0))),vlookup($A440&amp;$B440,{'5) Release_Track'!$F:$F&amp;'5) Release_Track'!$G:$G,'5) Release_Track'!$H:$H},2,0), or(and(not(isblank($B440)),$B440=$B439,$A440&lt;&gt;$A439),and(not(isblank($A440)),$A440=$A439,$B440&lt;&gt;$B439)),"ID LISTS UNALIGNED",and($A440&lt;&gt;"",countif('5) Release_Track'!$F:$F,$A440)=0),"NO ISRC MATCH in Release_Track",and($B440&lt;&gt;"",countif('5) Release_Track'!$G:$G,$B440)=0),"NO CATALOG ID MATCH in Release_Track",iserror(vlookup($A440&amp;$B440,'5) Release_Track'!$F:$F&amp;'5) Release_Track'!$G:$G,1,0)),"NO ISRC-CATALOG ID pair MATCH in Release_Track" )</f>
        <v/>
      </c>
      <c r="D440" s="121" t="str">
        <f t="array" ref="D440">ifs(and(isblank($A440),isblank($B440)),"", not(iserror(vlookup($A440&amp;$B440,'5) Release_Track'!$F:$F&amp;'5) Release_Track'!$G:$G,1,0))),vlookup($A440&amp;$B440,{'5) Release_Track'!$F:$F&amp;'5) Release_Track'!$G:$G,'5) Release_Track'!$I:$I},2,0), or(and(not(isblank($B440)),$B440=$B439,$A440&lt;&gt;$A439),and(not(isblank($A440)),$A440=$A439,$B440&lt;&gt;$B439)),"ID LISTS UNALIGNED",and($A440&lt;&gt;"",countif('5) Release_Track'!$F:$F,$A440)=0),"NO ISRC MATCH in Release_Track",and($B440&lt;&gt;"",countif('5) Release_Track'!$G:$G,$B440)=0),"NO CATALOG ID MATCH in Release_Track",iserror(vlookup($A440&amp;$B440,'5) Release_Track'!$F:$F&amp;'5) Release_Track'!$G:$G,1,0)),"NO ISRC-CATALOG ID pair MATCH in Release_Track" )</f>
        <v/>
      </c>
      <c r="E440" s="99"/>
      <c r="F440" s="99"/>
      <c r="G440" s="123" t="str">
        <f t="array" ref="G440">ifs(or($F440="",$F440="Main Primary Artist"),$F440,not(iserror(vlookup($F440,'Reference info'!$J$5:$J$8,1,0))),"Key Artist",not(iserror(vlookup($F440,'Reference info'!$J$38:$J$405,1,0))),"Performer",not(iserror(vlookup($F440,'Reference info'!$J$10:$J$36,1,0))),"Producer &amp; Engineer")</f>
        <v/>
      </c>
    </row>
    <row r="441">
      <c r="B441" s="103"/>
      <c r="C441" s="121" t="str">
        <f t="array" ref="C441">ifs(and(isblank($A441),isblank($B441)),"", not(iserror(vlookup($A441&amp;$B441,'5) Release_Track'!$F:$F&amp;'5) Release_Track'!$G:$G,1,0))),vlookup($A441&amp;$B441,{'5) Release_Track'!$F:$F&amp;'5) Release_Track'!$G:$G,'5) Release_Track'!$H:$H},2,0), or(and(not(isblank($B441)),$B441=$B440,$A441&lt;&gt;$A440),and(not(isblank($A441)),$A441=$A440,$B441&lt;&gt;$B440)),"ID LISTS UNALIGNED",and($A441&lt;&gt;"",countif('5) Release_Track'!$F:$F,$A441)=0),"NO ISRC MATCH in Release_Track",and($B441&lt;&gt;"",countif('5) Release_Track'!$G:$G,$B441)=0),"NO CATALOG ID MATCH in Release_Track",iserror(vlookup($A441&amp;$B441,'5) Release_Track'!$F:$F&amp;'5) Release_Track'!$G:$G,1,0)),"NO ISRC-CATALOG ID pair MATCH in Release_Track" )</f>
        <v/>
      </c>
      <c r="D441" s="121" t="str">
        <f t="array" ref="D441">ifs(and(isblank($A441),isblank($B441)),"", not(iserror(vlookup($A441&amp;$B441,'5) Release_Track'!$F:$F&amp;'5) Release_Track'!$G:$G,1,0))),vlookup($A441&amp;$B441,{'5) Release_Track'!$F:$F&amp;'5) Release_Track'!$G:$G,'5) Release_Track'!$I:$I},2,0), or(and(not(isblank($B441)),$B441=$B440,$A441&lt;&gt;$A440),and(not(isblank($A441)),$A441=$A440,$B441&lt;&gt;$B440)),"ID LISTS UNALIGNED",and($A441&lt;&gt;"",countif('5) Release_Track'!$F:$F,$A441)=0),"NO ISRC MATCH in Release_Track",and($B441&lt;&gt;"",countif('5) Release_Track'!$G:$G,$B441)=0),"NO CATALOG ID MATCH in Release_Track",iserror(vlookup($A441&amp;$B441,'5) Release_Track'!$F:$F&amp;'5) Release_Track'!$G:$G,1,0)),"NO ISRC-CATALOG ID pair MATCH in Release_Track" )</f>
        <v/>
      </c>
      <c r="E441" s="99"/>
      <c r="F441" s="99"/>
      <c r="G441" s="123" t="str">
        <f t="array" ref="G441">ifs(or($F441="",$F441="Main Primary Artist"),$F441,not(iserror(vlookup($F441,'Reference info'!$J$5:$J$8,1,0))),"Key Artist",not(iserror(vlookup($F441,'Reference info'!$J$38:$J$405,1,0))),"Performer",not(iserror(vlookup($F441,'Reference info'!$J$10:$J$36,1,0))),"Producer &amp; Engineer")</f>
        <v/>
      </c>
    </row>
    <row r="442">
      <c r="B442" s="103"/>
      <c r="C442" s="121" t="str">
        <f t="array" ref="C442">ifs(and(isblank($A442),isblank($B442)),"", not(iserror(vlookup($A442&amp;$B442,'5) Release_Track'!$F:$F&amp;'5) Release_Track'!$G:$G,1,0))),vlookup($A442&amp;$B442,{'5) Release_Track'!$F:$F&amp;'5) Release_Track'!$G:$G,'5) Release_Track'!$H:$H},2,0), or(and(not(isblank($B442)),$B442=$B441,$A442&lt;&gt;$A441),and(not(isblank($A442)),$A442=$A441,$B442&lt;&gt;$B441)),"ID LISTS UNALIGNED",and($A442&lt;&gt;"",countif('5) Release_Track'!$F:$F,$A442)=0),"NO ISRC MATCH in Release_Track",and($B442&lt;&gt;"",countif('5) Release_Track'!$G:$G,$B442)=0),"NO CATALOG ID MATCH in Release_Track",iserror(vlookup($A442&amp;$B442,'5) Release_Track'!$F:$F&amp;'5) Release_Track'!$G:$G,1,0)),"NO ISRC-CATALOG ID pair MATCH in Release_Track" )</f>
        <v/>
      </c>
      <c r="D442" s="121" t="str">
        <f t="array" ref="D442">ifs(and(isblank($A442),isblank($B442)),"", not(iserror(vlookup($A442&amp;$B442,'5) Release_Track'!$F:$F&amp;'5) Release_Track'!$G:$G,1,0))),vlookup($A442&amp;$B442,{'5) Release_Track'!$F:$F&amp;'5) Release_Track'!$G:$G,'5) Release_Track'!$I:$I},2,0), or(and(not(isblank($B442)),$B442=$B441,$A442&lt;&gt;$A441),and(not(isblank($A442)),$A442=$A441,$B442&lt;&gt;$B441)),"ID LISTS UNALIGNED",and($A442&lt;&gt;"",countif('5) Release_Track'!$F:$F,$A442)=0),"NO ISRC MATCH in Release_Track",and($B442&lt;&gt;"",countif('5) Release_Track'!$G:$G,$B442)=0),"NO CATALOG ID MATCH in Release_Track",iserror(vlookup($A442&amp;$B442,'5) Release_Track'!$F:$F&amp;'5) Release_Track'!$G:$G,1,0)),"NO ISRC-CATALOG ID pair MATCH in Release_Track" )</f>
        <v/>
      </c>
      <c r="E442" s="99"/>
      <c r="F442" s="99"/>
      <c r="G442" s="123" t="str">
        <f t="array" ref="G442">ifs(or($F442="",$F442="Main Primary Artist"),$F442,not(iserror(vlookup($F442,'Reference info'!$J$5:$J$8,1,0))),"Key Artist",not(iserror(vlookup($F442,'Reference info'!$J$38:$J$405,1,0))),"Performer",not(iserror(vlookup($F442,'Reference info'!$J$10:$J$36,1,0))),"Producer &amp; Engineer")</f>
        <v/>
      </c>
    </row>
    <row r="443">
      <c r="B443" s="103"/>
      <c r="C443" s="121" t="str">
        <f t="array" ref="C443">ifs(and(isblank($A443),isblank($B443)),"", not(iserror(vlookup($A443&amp;$B443,'5) Release_Track'!$F:$F&amp;'5) Release_Track'!$G:$G,1,0))),vlookup($A443&amp;$B443,{'5) Release_Track'!$F:$F&amp;'5) Release_Track'!$G:$G,'5) Release_Track'!$H:$H},2,0), or(and(not(isblank($B443)),$B443=$B442,$A443&lt;&gt;$A442),and(not(isblank($A443)),$A443=$A442,$B443&lt;&gt;$B442)),"ID LISTS UNALIGNED",and($A443&lt;&gt;"",countif('5) Release_Track'!$F:$F,$A443)=0),"NO ISRC MATCH in Release_Track",and($B443&lt;&gt;"",countif('5) Release_Track'!$G:$G,$B443)=0),"NO CATALOG ID MATCH in Release_Track",iserror(vlookup($A443&amp;$B443,'5) Release_Track'!$F:$F&amp;'5) Release_Track'!$G:$G,1,0)),"NO ISRC-CATALOG ID pair MATCH in Release_Track" )</f>
        <v/>
      </c>
      <c r="D443" s="121" t="str">
        <f t="array" ref="D443">ifs(and(isblank($A443),isblank($B443)),"", not(iserror(vlookup($A443&amp;$B443,'5) Release_Track'!$F:$F&amp;'5) Release_Track'!$G:$G,1,0))),vlookup($A443&amp;$B443,{'5) Release_Track'!$F:$F&amp;'5) Release_Track'!$G:$G,'5) Release_Track'!$I:$I},2,0), or(and(not(isblank($B443)),$B443=$B442,$A443&lt;&gt;$A442),and(not(isblank($A443)),$A443=$A442,$B443&lt;&gt;$B442)),"ID LISTS UNALIGNED",and($A443&lt;&gt;"",countif('5) Release_Track'!$F:$F,$A443)=0),"NO ISRC MATCH in Release_Track",and($B443&lt;&gt;"",countif('5) Release_Track'!$G:$G,$B443)=0),"NO CATALOG ID MATCH in Release_Track",iserror(vlookup($A443&amp;$B443,'5) Release_Track'!$F:$F&amp;'5) Release_Track'!$G:$G,1,0)),"NO ISRC-CATALOG ID pair MATCH in Release_Track" )</f>
        <v/>
      </c>
      <c r="E443" s="99"/>
      <c r="F443" s="99"/>
      <c r="G443" s="123" t="str">
        <f t="array" ref="G443">ifs(or($F443="",$F443="Main Primary Artist"),$F443,not(iserror(vlookup($F443,'Reference info'!$J$5:$J$8,1,0))),"Key Artist",not(iserror(vlookup($F443,'Reference info'!$J$38:$J$405,1,0))),"Performer",not(iserror(vlookup($F443,'Reference info'!$J$10:$J$36,1,0))),"Producer &amp; Engineer")</f>
        <v/>
      </c>
    </row>
    <row r="444">
      <c r="B444" s="103"/>
      <c r="C444" s="121" t="str">
        <f t="array" ref="C444">ifs(and(isblank($A444),isblank($B444)),"", not(iserror(vlookup($A444&amp;$B444,'5) Release_Track'!$F:$F&amp;'5) Release_Track'!$G:$G,1,0))),vlookup($A444&amp;$B444,{'5) Release_Track'!$F:$F&amp;'5) Release_Track'!$G:$G,'5) Release_Track'!$H:$H},2,0), or(and(not(isblank($B444)),$B444=$B443,$A444&lt;&gt;$A443),and(not(isblank($A444)),$A444=$A443,$B444&lt;&gt;$B443)),"ID LISTS UNALIGNED",and($A444&lt;&gt;"",countif('5) Release_Track'!$F:$F,$A444)=0),"NO ISRC MATCH in Release_Track",and($B444&lt;&gt;"",countif('5) Release_Track'!$G:$G,$B444)=0),"NO CATALOG ID MATCH in Release_Track",iserror(vlookup($A444&amp;$B444,'5) Release_Track'!$F:$F&amp;'5) Release_Track'!$G:$G,1,0)),"NO ISRC-CATALOG ID pair MATCH in Release_Track" )</f>
        <v/>
      </c>
      <c r="D444" s="121" t="str">
        <f t="array" ref="D444">ifs(and(isblank($A444),isblank($B444)),"", not(iserror(vlookup($A444&amp;$B444,'5) Release_Track'!$F:$F&amp;'5) Release_Track'!$G:$G,1,0))),vlookup($A444&amp;$B444,{'5) Release_Track'!$F:$F&amp;'5) Release_Track'!$G:$G,'5) Release_Track'!$I:$I},2,0), or(and(not(isblank($B444)),$B444=$B443,$A444&lt;&gt;$A443),and(not(isblank($A444)),$A444=$A443,$B444&lt;&gt;$B443)),"ID LISTS UNALIGNED",and($A444&lt;&gt;"",countif('5) Release_Track'!$F:$F,$A444)=0),"NO ISRC MATCH in Release_Track",and($B444&lt;&gt;"",countif('5) Release_Track'!$G:$G,$B444)=0),"NO CATALOG ID MATCH in Release_Track",iserror(vlookup($A444&amp;$B444,'5) Release_Track'!$F:$F&amp;'5) Release_Track'!$G:$G,1,0)),"NO ISRC-CATALOG ID pair MATCH in Release_Track" )</f>
        <v/>
      </c>
      <c r="E444" s="99"/>
      <c r="F444" s="99"/>
      <c r="G444" s="123" t="str">
        <f t="array" ref="G444">ifs(or($F444="",$F444="Main Primary Artist"),$F444,not(iserror(vlookup($F444,'Reference info'!$J$5:$J$8,1,0))),"Key Artist",not(iserror(vlookup($F444,'Reference info'!$J$38:$J$405,1,0))),"Performer",not(iserror(vlookup($F444,'Reference info'!$J$10:$J$36,1,0))),"Producer &amp; Engineer")</f>
        <v/>
      </c>
    </row>
    <row r="445">
      <c r="B445" s="103"/>
      <c r="C445" s="121" t="str">
        <f t="array" ref="C445">ifs(and(isblank($A445),isblank($B445)),"", not(iserror(vlookup($A445&amp;$B445,'5) Release_Track'!$F:$F&amp;'5) Release_Track'!$G:$G,1,0))),vlookup($A445&amp;$B445,{'5) Release_Track'!$F:$F&amp;'5) Release_Track'!$G:$G,'5) Release_Track'!$H:$H},2,0), or(and(not(isblank($B445)),$B445=$B444,$A445&lt;&gt;$A444),and(not(isblank($A445)),$A445=$A444,$B445&lt;&gt;$B444)),"ID LISTS UNALIGNED",and($A445&lt;&gt;"",countif('5) Release_Track'!$F:$F,$A445)=0),"NO ISRC MATCH in Release_Track",and($B445&lt;&gt;"",countif('5) Release_Track'!$G:$G,$B445)=0),"NO CATALOG ID MATCH in Release_Track",iserror(vlookup($A445&amp;$B445,'5) Release_Track'!$F:$F&amp;'5) Release_Track'!$G:$G,1,0)),"NO ISRC-CATALOG ID pair MATCH in Release_Track" )</f>
        <v/>
      </c>
      <c r="D445" s="121" t="str">
        <f t="array" ref="D445">ifs(and(isblank($A445),isblank($B445)),"", not(iserror(vlookup($A445&amp;$B445,'5) Release_Track'!$F:$F&amp;'5) Release_Track'!$G:$G,1,0))),vlookup($A445&amp;$B445,{'5) Release_Track'!$F:$F&amp;'5) Release_Track'!$G:$G,'5) Release_Track'!$I:$I},2,0), or(and(not(isblank($B445)),$B445=$B444,$A445&lt;&gt;$A444),and(not(isblank($A445)),$A445=$A444,$B445&lt;&gt;$B444)),"ID LISTS UNALIGNED",and($A445&lt;&gt;"",countif('5) Release_Track'!$F:$F,$A445)=0),"NO ISRC MATCH in Release_Track",and($B445&lt;&gt;"",countif('5) Release_Track'!$G:$G,$B445)=0),"NO CATALOG ID MATCH in Release_Track",iserror(vlookup($A445&amp;$B445,'5) Release_Track'!$F:$F&amp;'5) Release_Track'!$G:$G,1,0)),"NO ISRC-CATALOG ID pair MATCH in Release_Track" )</f>
        <v/>
      </c>
      <c r="E445" s="99"/>
      <c r="F445" s="99"/>
      <c r="G445" s="123" t="str">
        <f t="array" ref="G445">ifs(or($F445="",$F445="Main Primary Artist"),$F445,not(iserror(vlookup($F445,'Reference info'!$J$5:$J$8,1,0))),"Key Artist",not(iserror(vlookup($F445,'Reference info'!$J$38:$J$405,1,0))),"Performer",not(iserror(vlookup($F445,'Reference info'!$J$10:$J$36,1,0))),"Producer &amp; Engineer")</f>
        <v/>
      </c>
    </row>
    <row r="446">
      <c r="B446" s="103"/>
      <c r="C446" s="121" t="str">
        <f t="array" ref="C446">ifs(and(isblank($A446),isblank($B446)),"", not(iserror(vlookup($A446&amp;$B446,'5) Release_Track'!$F:$F&amp;'5) Release_Track'!$G:$G,1,0))),vlookup($A446&amp;$B446,{'5) Release_Track'!$F:$F&amp;'5) Release_Track'!$G:$G,'5) Release_Track'!$H:$H},2,0), or(and(not(isblank($B446)),$B446=$B445,$A446&lt;&gt;$A445),and(not(isblank($A446)),$A446=$A445,$B446&lt;&gt;$B445)),"ID LISTS UNALIGNED",and($A446&lt;&gt;"",countif('5) Release_Track'!$F:$F,$A446)=0),"NO ISRC MATCH in Release_Track",and($B446&lt;&gt;"",countif('5) Release_Track'!$G:$G,$B446)=0),"NO CATALOG ID MATCH in Release_Track",iserror(vlookup($A446&amp;$B446,'5) Release_Track'!$F:$F&amp;'5) Release_Track'!$G:$G,1,0)),"NO ISRC-CATALOG ID pair MATCH in Release_Track" )</f>
        <v/>
      </c>
      <c r="D446" s="121" t="str">
        <f t="array" ref="D446">ifs(and(isblank($A446),isblank($B446)),"", not(iserror(vlookup($A446&amp;$B446,'5) Release_Track'!$F:$F&amp;'5) Release_Track'!$G:$G,1,0))),vlookup($A446&amp;$B446,{'5) Release_Track'!$F:$F&amp;'5) Release_Track'!$G:$G,'5) Release_Track'!$I:$I},2,0), or(and(not(isblank($B446)),$B446=$B445,$A446&lt;&gt;$A445),and(not(isblank($A446)),$A446=$A445,$B446&lt;&gt;$B445)),"ID LISTS UNALIGNED",and($A446&lt;&gt;"",countif('5) Release_Track'!$F:$F,$A446)=0),"NO ISRC MATCH in Release_Track",and($B446&lt;&gt;"",countif('5) Release_Track'!$G:$G,$B446)=0),"NO CATALOG ID MATCH in Release_Track",iserror(vlookup($A446&amp;$B446,'5) Release_Track'!$F:$F&amp;'5) Release_Track'!$G:$G,1,0)),"NO ISRC-CATALOG ID pair MATCH in Release_Track" )</f>
        <v/>
      </c>
      <c r="E446" s="99"/>
      <c r="F446" s="99"/>
      <c r="G446" s="123" t="str">
        <f t="array" ref="G446">ifs(or($F446="",$F446="Main Primary Artist"),$F446,not(iserror(vlookup($F446,'Reference info'!$J$5:$J$8,1,0))),"Key Artist",not(iserror(vlookup($F446,'Reference info'!$J$38:$J$405,1,0))),"Performer",not(iserror(vlookup($F446,'Reference info'!$J$10:$J$36,1,0))),"Producer &amp; Engineer")</f>
        <v/>
      </c>
    </row>
    <row r="447">
      <c r="B447" s="103"/>
      <c r="C447" s="121" t="str">
        <f t="array" ref="C447">ifs(and(isblank($A447),isblank($B447)),"", not(iserror(vlookup($A447&amp;$B447,'5) Release_Track'!$F:$F&amp;'5) Release_Track'!$G:$G,1,0))),vlookup($A447&amp;$B447,{'5) Release_Track'!$F:$F&amp;'5) Release_Track'!$G:$G,'5) Release_Track'!$H:$H},2,0), or(and(not(isblank($B447)),$B447=$B446,$A447&lt;&gt;$A446),and(not(isblank($A447)),$A447=$A446,$B447&lt;&gt;$B446)),"ID LISTS UNALIGNED",and($A447&lt;&gt;"",countif('5) Release_Track'!$F:$F,$A447)=0),"NO ISRC MATCH in Release_Track",and($B447&lt;&gt;"",countif('5) Release_Track'!$G:$G,$B447)=0),"NO CATALOG ID MATCH in Release_Track",iserror(vlookup($A447&amp;$B447,'5) Release_Track'!$F:$F&amp;'5) Release_Track'!$G:$G,1,0)),"NO ISRC-CATALOG ID pair MATCH in Release_Track" )</f>
        <v/>
      </c>
      <c r="D447" s="121" t="str">
        <f t="array" ref="D447">ifs(and(isblank($A447),isblank($B447)),"", not(iserror(vlookup($A447&amp;$B447,'5) Release_Track'!$F:$F&amp;'5) Release_Track'!$G:$G,1,0))),vlookup($A447&amp;$B447,{'5) Release_Track'!$F:$F&amp;'5) Release_Track'!$G:$G,'5) Release_Track'!$I:$I},2,0), or(and(not(isblank($B447)),$B447=$B446,$A447&lt;&gt;$A446),and(not(isblank($A447)),$A447=$A446,$B447&lt;&gt;$B446)),"ID LISTS UNALIGNED",and($A447&lt;&gt;"",countif('5) Release_Track'!$F:$F,$A447)=0),"NO ISRC MATCH in Release_Track",and($B447&lt;&gt;"",countif('5) Release_Track'!$G:$G,$B447)=0),"NO CATALOG ID MATCH in Release_Track",iserror(vlookup($A447&amp;$B447,'5) Release_Track'!$F:$F&amp;'5) Release_Track'!$G:$G,1,0)),"NO ISRC-CATALOG ID pair MATCH in Release_Track" )</f>
        <v/>
      </c>
      <c r="E447" s="99"/>
      <c r="F447" s="99"/>
      <c r="G447" s="123" t="str">
        <f t="array" ref="G447">ifs(or($F447="",$F447="Main Primary Artist"),$F447,not(iserror(vlookup($F447,'Reference info'!$J$5:$J$8,1,0))),"Key Artist",not(iserror(vlookup($F447,'Reference info'!$J$38:$J$405,1,0))),"Performer",not(iserror(vlookup($F447,'Reference info'!$J$10:$J$36,1,0))),"Producer &amp; Engineer")</f>
        <v/>
      </c>
    </row>
    <row r="448">
      <c r="B448" s="103"/>
      <c r="C448" s="121" t="str">
        <f t="array" ref="C448">ifs(and(isblank($A448),isblank($B448)),"", not(iserror(vlookup($A448&amp;$B448,'5) Release_Track'!$F:$F&amp;'5) Release_Track'!$G:$G,1,0))),vlookup($A448&amp;$B448,{'5) Release_Track'!$F:$F&amp;'5) Release_Track'!$G:$G,'5) Release_Track'!$H:$H},2,0), or(and(not(isblank($B448)),$B448=$B447,$A448&lt;&gt;$A447),and(not(isblank($A448)),$A448=$A447,$B448&lt;&gt;$B447)),"ID LISTS UNALIGNED",and($A448&lt;&gt;"",countif('5) Release_Track'!$F:$F,$A448)=0),"NO ISRC MATCH in Release_Track",and($B448&lt;&gt;"",countif('5) Release_Track'!$G:$G,$B448)=0),"NO CATALOG ID MATCH in Release_Track",iserror(vlookup($A448&amp;$B448,'5) Release_Track'!$F:$F&amp;'5) Release_Track'!$G:$G,1,0)),"NO ISRC-CATALOG ID pair MATCH in Release_Track" )</f>
        <v/>
      </c>
      <c r="D448" s="121" t="str">
        <f t="array" ref="D448">ifs(and(isblank($A448),isblank($B448)),"", not(iserror(vlookup($A448&amp;$B448,'5) Release_Track'!$F:$F&amp;'5) Release_Track'!$G:$G,1,0))),vlookup($A448&amp;$B448,{'5) Release_Track'!$F:$F&amp;'5) Release_Track'!$G:$G,'5) Release_Track'!$I:$I},2,0), or(and(not(isblank($B448)),$B448=$B447,$A448&lt;&gt;$A447),and(not(isblank($A448)),$A448=$A447,$B448&lt;&gt;$B447)),"ID LISTS UNALIGNED",and($A448&lt;&gt;"",countif('5) Release_Track'!$F:$F,$A448)=0),"NO ISRC MATCH in Release_Track",and($B448&lt;&gt;"",countif('5) Release_Track'!$G:$G,$B448)=0),"NO CATALOG ID MATCH in Release_Track",iserror(vlookup($A448&amp;$B448,'5) Release_Track'!$F:$F&amp;'5) Release_Track'!$G:$G,1,0)),"NO ISRC-CATALOG ID pair MATCH in Release_Track" )</f>
        <v/>
      </c>
      <c r="E448" s="99"/>
      <c r="F448" s="99"/>
      <c r="G448" s="123" t="str">
        <f t="array" ref="G448">ifs(or($F448="",$F448="Main Primary Artist"),$F448,not(iserror(vlookup($F448,'Reference info'!$J$5:$J$8,1,0))),"Key Artist",not(iserror(vlookup($F448,'Reference info'!$J$38:$J$405,1,0))),"Performer",not(iserror(vlookup($F448,'Reference info'!$J$10:$J$36,1,0))),"Producer &amp; Engineer")</f>
        <v/>
      </c>
    </row>
    <row r="449">
      <c r="B449" s="103"/>
      <c r="C449" s="121" t="str">
        <f t="array" ref="C449">ifs(and(isblank($A449),isblank($B449)),"", not(iserror(vlookup($A449&amp;$B449,'5) Release_Track'!$F:$F&amp;'5) Release_Track'!$G:$G,1,0))),vlookup($A449&amp;$B449,{'5) Release_Track'!$F:$F&amp;'5) Release_Track'!$G:$G,'5) Release_Track'!$H:$H},2,0), or(and(not(isblank($B449)),$B449=$B448,$A449&lt;&gt;$A448),and(not(isblank($A449)),$A449=$A448,$B449&lt;&gt;$B448)),"ID LISTS UNALIGNED",and($A449&lt;&gt;"",countif('5) Release_Track'!$F:$F,$A449)=0),"NO ISRC MATCH in Release_Track",and($B449&lt;&gt;"",countif('5) Release_Track'!$G:$G,$B449)=0),"NO CATALOG ID MATCH in Release_Track",iserror(vlookup($A449&amp;$B449,'5) Release_Track'!$F:$F&amp;'5) Release_Track'!$G:$G,1,0)),"NO ISRC-CATALOG ID pair MATCH in Release_Track" )</f>
        <v/>
      </c>
      <c r="D449" s="121" t="str">
        <f t="array" ref="D449">ifs(and(isblank($A449),isblank($B449)),"", not(iserror(vlookup($A449&amp;$B449,'5) Release_Track'!$F:$F&amp;'5) Release_Track'!$G:$G,1,0))),vlookup($A449&amp;$B449,{'5) Release_Track'!$F:$F&amp;'5) Release_Track'!$G:$G,'5) Release_Track'!$I:$I},2,0), or(and(not(isblank($B449)),$B449=$B448,$A449&lt;&gt;$A448),and(not(isblank($A449)),$A449=$A448,$B449&lt;&gt;$B448)),"ID LISTS UNALIGNED",and($A449&lt;&gt;"",countif('5) Release_Track'!$F:$F,$A449)=0),"NO ISRC MATCH in Release_Track",and($B449&lt;&gt;"",countif('5) Release_Track'!$G:$G,$B449)=0),"NO CATALOG ID MATCH in Release_Track",iserror(vlookup($A449&amp;$B449,'5) Release_Track'!$F:$F&amp;'5) Release_Track'!$G:$G,1,0)),"NO ISRC-CATALOG ID pair MATCH in Release_Track" )</f>
        <v/>
      </c>
      <c r="E449" s="99"/>
      <c r="F449" s="99"/>
      <c r="G449" s="123" t="str">
        <f t="array" ref="G449">ifs(or($F449="",$F449="Main Primary Artist"),$F449,not(iserror(vlookup($F449,'Reference info'!$J$5:$J$8,1,0))),"Key Artist",not(iserror(vlookup($F449,'Reference info'!$J$38:$J$405,1,0))),"Performer",not(iserror(vlookup($F449,'Reference info'!$J$10:$J$36,1,0))),"Producer &amp; Engineer")</f>
        <v/>
      </c>
    </row>
    <row r="450">
      <c r="B450" s="103"/>
      <c r="C450" s="121" t="str">
        <f t="array" ref="C450">ifs(and(isblank($A450),isblank($B450)),"", not(iserror(vlookup($A450&amp;$B450,'5) Release_Track'!$F:$F&amp;'5) Release_Track'!$G:$G,1,0))),vlookup($A450&amp;$B450,{'5) Release_Track'!$F:$F&amp;'5) Release_Track'!$G:$G,'5) Release_Track'!$H:$H},2,0), or(and(not(isblank($B450)),$B450=$B449,$A450&lt;&gt;$A449),and(not(isblank($A450)),$A450=$A449,$B450&lt;&gt;$B449)),"ID LISTS UNALIGNED",and($A450&lt;&gt;"",countif('5) Release_Track'!$F:$F,$A450)=0),"NO ISRC MATCH in Release_Track",and($B450&lt;&gt;"",countif('5) Release_Track'!$G:$G,$B450)=0),"NO CATALOG ID MATCH in Release_Track",iserror(vlookup($A450&amp;$B450,'5) Release_Track'!$F:$F&amp;'5) Release_Track'!$G:$G,1,0)),"NO ISRC-CATALOG ID pair MATCH in Release_Track" )</f>
        <v/>
      </c>
      <c r="D450" s="121" t="str">
        <f t="array" ref="D450">ifs(and(isblank($A450),isblank($B450)),"", not(iserror(vlookup($A450&amp;$B450,'5) Release_Track'!$F:$F&amp;'5) Release_Track'!$G:$G,1,0))),vlookup($A450&amp;$B450,{'5) Release_Track'!$F:$F&amp;'5) Release_Track'!$G:$G,'5) Release_Track'!$I:$I},2,0), or(and(not(isblank($B450)),$B450=$B449,$A450&lt;&gt;$A449),and(not(isblank($A450)),$A450=$A449,$B450&lt;&gt;$B449)),"ID LISTS UNALIGNED",and($A450&lt;&gt;"",countif('5) Release_Track'!$F:$F,$A450)=0),"NO ISRC MATCH in Release_Track",and($B450&lt;&gt;"",countif('5) Release_Track'!$G:$G,$B450)=0),"NO CATALOG ID MATCH in Release_Track",iserror(vlookup($A450&amp;$B450,'5) Release_Track'!$F:$F&amp;'5) Release_Track'!$G:$G,1,0)),"NO ISRC-CATALOG ID pair MATCH in Release_Track" )</f>
        <v/>
      </c>
      <c r="E450" s="99"/>
      <c r="F450" s="99"/>
      <c r="G450" s="123" t="str">
        <f t="array" ref="G450">ifs(or($F450="",$F450="Main Primary Artist"),$F450,not(iserror(vlookup($F450,'Reference info'!$J$5:$J$8,1,0))),"Key Artist",not(iserror(vlookup($F450,'Reference info'!$J$38:$J$405,1,0))),"Performer",not(iserror(vlookup($F450,'Reference info'!$J$10:$J$36,1,0))),"Producer &amp; Engineer")</f>
        <v/>
      </c>
    </row>
    <row r="451">
      <c r="B451" s="103"/>
      <c r="C451" s="121" t="str">
        <f t="array" ref="C451">ifs(and(isblank($A451),isblank($B451)),"", not(iserror(vlookup($A451&amp;$B451,'5) Release_Track'!$F:$F&amp;'5) Release_Track'!$G:$G,1,0))),vlookup($A451&amp;$B451,{'5) Release_Track'!$F:$F&amp;'5) Release_Track'!$G:$G,'5) Release_Track'!$H:$H},2,0), or(and(not(isblank($B451)),$B451=$B450,$A451&lt;&gt;$A450),and(not(isblank($A451)),$A451=$A450,$B451&lt;&gt;$B450)),"ID LISTS UNALIGNED",and($A451&lt;&gt;"",countif('5) Release_Track'!$F:$F,$A451)=0),"NO ISRC MATCH in Release_Track",and($B451&lt;&gt;"",countif('5) Release_Track'!$G:$G,$B451)=0),"NO CATALOG ID MATCH in Release_Track",iserror(vlookup($A451&amp;$B451,'5) Release_Track'!$F:$F&amp;'5) Release_Track'!$G:$G,1,0)),"NO ISRC-CATALOG ID pair MATCH in Release_Track" )</f>
        <v/>
      </c>
      <c r="D451" s="121" t="str">
        <f t="array" ref="D451">ifs(and(isblank($A451),isblank($B451)),"", not(iserror(vlookup($A451&amp;$B451,'5) Release_Track'!$F:$F&amp;'5) Release_Track'!$G:$G,1,0))),vlookup($A451&amp;$B451,{'5) Release_Track'!$F:$F&amp;'5) Release_Track'!$G:$G,'5) Release_Track'!$I:$I},2,0), or(and(not(isblank($B451)),$B451=$B450,$A451&lt;&gt;$A450),and(not(isblank($A451)),$A451=$A450,$B451&lt;&gt;$B450)),"ID LISTS UNALIGNED",and($A451&lt;&gt;"",countif('5) Release_Track'!$F:$F,$A451)=0),"NO ISRC MATCH in Release_Track",and($B451&lt;&gt;"",countif('5) Release_Track'!$G:$G,$B451)=0),"NO CATALOG ID MATCH in Release_Track",iserror(vlookup($A451&amp;$B451,'5) Release_Track'!$F:$F&amp;'5) Release_Track'!$G:$G,1,0)),"NO ISRC-CATALOG ID pair MATCH in Release_Track" )</f>
        <v/>
      </c>
      <c r="E451" s="99"/>
      <c r="F451" s="99"/>
      <c r="G451" s="123" t="str">
        <f t="array" ref="G451">ifs(or($F451="",$F451="Main Primary Artist"),$F451,not(iserror(vlookup($F451,'Reference info'!$J$5:$J$8,1,0))),"Key Artist",not(iserror(vlookup($F451,'Reference info'!$J$38:$J$405,1,0))),"Performer",not(iserror(vlookup($F451,'Reference info'!$J$10:$J$36,1,0))),"Producer &amp; Engineer")</f>
        <v/>
      </c>
    </row>
    <row r="452">
      <c r="B452" s="103"/>
      <c r="C452" s="121" t="str">
        <f t="array" ref="C452">ifs(and(isblank($A452),isblank($B452)),"", not(iserror(vlookup($A452&amp;$B452,'5) Release_Track'!$F:$F&amp;'5) Release_Track'!$G:$G,1,0))),vlookup($A452&amp;$B452,{'5) Release_Track'!$F:$F&amp;'5) Release_Track'!$G:$G,'5) Release_Track'!$H:$H},2,0), or(and(not(isblank($B452)),$B452=$B451,$A452&lt;&gt;$A451),and(not(isblank($A452)),$A452=$A451,$B452&lt;&gt;$B451)),"ID LISTS UNALIGNED",and($A452&lt;&gt;"",countif('5) Release_Track'!$F:$F,$A452)=0),"NO ISRC MATCH in Release_Track",and($B452&lt;&gt;"",countif('5) Release_Track'!$G:$G,$B452)=0),"NO CATALOG ID MATCH in Release_Track",iserror(vlookup($A452&amp;$B452,'5) Release_Track'!$F:$F&amp;'5) Release_Track'!$G:$G,1,0)),"NO ISRC-CATALOG ID pair MATCH in Release_Track" )</f>
        <v/>
      </c>
      <c r="D452" s="121" t="str">
        <f t="array" ref="D452">ifs(and(isblank($A452),isblank($B452)),"", not(iserror(vlookup($A452&amp;$B452,'5) Release_Track'!$F:$F&amp;'5) Release_Track'!$G:$G,1,0))),vlookup($A452&amp;$B452,{'5) Release_Track'!$F:$F&amp;'5) Release_Track'!$G:$G,'5) Release_Track'!$I:$I},2,0), or(and(not(isblank($B452)),$B452=$B451,$A452&lt;&gt;$A451),and(not(isblank($A452)),$A452=$A451,$B452&lt;&gt;$B451)),"ID LISTS UNALIGNED",and($A452&lt;&gt;"",countif('5) Release_Track'!$F:$F,$A452)=0),"NO ISRC MATCH in Release_Track",and($B452&lt;&gt;"",countif('5) Release_Track'!$G:$G,$B452)=0),"NO CATALOG ID MATCH in Release_Track",iserror(vlookup($A452&amp;$B452,'5) Release_Track'!$F:$F&amp;'5) Release_Track'!$G:$G,1,0)),"NO ISRC-CATALOG ID pair MATCH in Release_Track" )</f>
        <v/>
      </c>
      <c r="E452" s="99"/>
      <c r="F452" s="99"/>
      <c r="G452" s="123" t="str">
        <f t="array" ref="G452">ifs(or($F452="",$F452="Main Primary Artist"),$F452,not(iserror(vlookup($F452,'Reference info'!$J$5:$J$8,1,0))),"Key Artist",not(iserror(vlookup($F452,'Reference info'!$J$38:$J$405,1,0))),"Performer",not(iserror(vlookup($F452,'Reference info'!$J$10:$J$36,1,0))),"Producer &amp; Engineer")</f>
        <v/>
      </c>
    </row>
    <row r="453">
      <c r="B453" s="103"/>
      <c r="C453" s="121" t="str">
        <f t="array" ref="C453">ifs(and(isblank($A453),isblank($B453)),"", not(iserror(vlookup($A453&amp;$B453,'5) Release_Track'!$F:$F&amp;'5) Release_Track'!$G:$G,1,0))),vlookup($A453&amp;$B453,{'5) Release_Track'!$F:$F&amp;'5) Release_Track'!$G:$G,'5) Release_Track'!$H:$H},2,0), or(and(not(isblank($B453)),$B453=$B452,$A453&lt;&gt;$A452),and(not(isblank($A453)),$A453=$A452,$B453&lt;&gt;$B452)),"ID LISTS UNALIGNED",and($A453&lt;&gt;"",countif('5) Release_Track'!$F:$F,$A453)=0),"NO ISRC MATCH in Release_Track",and($B453&lt;&gt;"",countif('5) Release_Track'!$G:$G,$B453)=0),"NO CATALOG ID MATCH in Release_Track",iserror(vlookup($A453&amp;$B453,'5) Release_Track'!$F:$F&amp;'5) Release_Track'!$G:$G,1,0)),"NO ISRC-CATALOG ID pair MATCH in Release_Track" )</f>
        <v/>
      </c>
      <c r="D453" s="121" t="str">
        <f t="array" ref="D453">ifs(and(isblank($A453),isblank($B453)),"", not(iserror(vlookup($A453&amp;$B453,'5) Release_Track'!$F:$F&amp;'5) Release_Track'!$G:$G,1,0))),vlookup($A453&amp;$B453,{'5) Release_Track'!$F:$F&amp;'5) Release_Track'!$G:$G,'5) Release_Track'!$I:$I},2,0), or(and(not(isblank($B453)),$B453=$B452,$A453&lt;&gt;$A452),and(not(isblank($A453)),$A453=$A452,$B453&lt;&gt;$B452)),"ID LISTS UNALIGNED",and($A453&lt;&gt;"",countif('5) Release_Track'!$F:$F,$A453)=0),"NO ISRC MATCH in Release_Track",and($B453&lt;&gt;"",countif('5) Release_Track'!$G:$G,$B453)=0),"NO CATALOG ID MATCH in Release_Track",iserror(vlookup($A453&amp;$B453,'5) Release_Track'!$F:$F&amp;'5) Release_Track'!$G:$G,1,0)),"NO ISRC-CATALOG ID pair MATCH in Release_Track" )</f>
        <v/>
      </c>
      <c r="E453" s="99"/>
      <c r="F453" s="99"/>
      <c r="G453" s="123" t="str">
        <f t="array" ref="G453">ifs(or($F453="",$F453="Main Primary Artist"),$F453,not(iserror(vlookup($F453,'Reference info'!$J$5:$J$8,1,0))),"Key Artist",not(iserror(vlookup($F453,'Reference info'!$J$38:$J$405,1,0))),"Performer",not(iserror(vlookup($F453,'Reference info'!$J$10:$J$36,1,0))),"Producer &amp; Engineer")</f>
        <v/>
      </c>
    </row>
    <row r="454">
      <c r="B454" s="103"/>
      <c r="C454" s="121" t="str">
        <f t="array" ref="C454">ifs(and(isblank($A454),isblank($B454)),"", not(iserror(vlookup($A454&amp;$B454,'5) Release_Track'!$F:$F&amp;'5) Release_Track'!$G:$G,1,0))),vlookup($A454&amp;$B454,{'5) Release_Track'!$F:$F&amp;'5) Release_Track'!$G:$G,'5) Release_Track'!$H:$H},2,0), or(and(not(isblank($B454)),$B454=$B453,$A454&lt;&gt;$A453),and(not(isblank($A454)),$A454=$A453,$B454&lt;&gt;$B453)),"ID LISTS UNALIGNED",and($A454&lt;&gt;"",countif('5) Release_Track'!$F:$F,$A454)=0),"NO ISRC MATCH in Release_Track",and($B454&lt;&gt;"",countif('5) Release_Track'!$G:$G,$B454)=0),"NO CATALOG ID MATCH in Release_Track",iserror(vlookup($A454&amp;$B454,'5) Release_Track'!$F:$F&amp;'5) Release_Track'!$G:$G,1,0)),"NO ISRC-CATALOG ID pair MATCH in Release_Track" )</f>
        <v/>
      </c>
      <c r="D454" s="121" t="str">
        <f t="array" ref="D454">ifs(and(isblank($A454),isblank($B454)),"", not(iserror(vlookup($A454&amp;$B454,'5) Release_Track'!$F:$F&amp;'5) Release_Track'!$G:$G,1,0))),vlookup($A454&amp;$B454,{'5) Release_Track'!$F:$F&amp;'5) Release_Track'!$G:$G,'5) Release_Track'!$I:$I},2,0), or(and(not(isblank($B454)),$B454=$B453,$A454&lt;&gt;$A453),and(not(isblank($A454)),$A454=$A453,$B454&lt;&gt;$B453)),"ID LISTS UNALIGNED",and($A454&lt;&gt;"",countif('5) Release_Track'!$F:$F,$A454)=0),"NO ISRC MATCH in Release_Track",and($B454&lt;&gt;"",countif('5) Release_Track'!$G:$G,$B454)=0),"NO CATALOG ID MATCH in Release_Track",iserror(vlookup($A454&amp;$B454,'5) Release_Track'!$F:$F&amp;'5) Release_Track'!$G:$G,1,0)),"NO ISRC-CATALOG ID pair MATCH in Release_Track" )</f>
        <v/>
      </c>
      <c r="E454" s="99"/>
      <c r="F454" s="99"/>
      <c r="G454" s="123" t="str">
        <f t="array" ref="G454">ifs(or($F454="",$F454="Main Primary Artist"),$F454,not(iserror(vlookup($F454,'Reference info'!$J$5:$J$8,1,0))),"Key Artist",not(iserror(vlookup($F454,'Reference info'!$J$38:$J$405,1,0))),"Performer",not(iserror(vlookup($F454,'Reference info'!$J$10:$J$36,1,0))),"Producer &amp; Engineer")</f>
        <v/>
      </c>
    </row>
    <row r="455">
      <c r="B455" s="103"/>
      <c r="C455" s="121" t="str">
        <f t="array" ref="C455">ifs(and(isblank($A455),isblank($B455)),"", not(iserror(vlookup($A455&amp;$B455,'5) Release_Track'!$F:$F&amp;'5) Release_Track'!$G:$G,1,0))),vlookup($A455&amp;$B455,{'5) Release_Track'!$F:$F&amp;'5) Release_Track'!$G:$G,'5) Release_Track'!$H:$H},2,0), or(and(not(isblank($B455)),$B455=$B454,$A455&lt;&gt;$A454),and(not(isblank($A455)),$A455=$A454,$B455&lt;&gt;$B454)),"ID LISTS UNALIGNED",and($A455&lt;&gt;"",countif('5) Release_Track'!$F:$F,$A455)=0),"NO ISRC MATCH in Release_Track",and($B455&lt;&gt;"",countif('5) Release_Track'!$G:$G,$B455)=0),"NO CATALOG ID MATCH in Release_Track",iserror(vlookup($A455&amp;$B455,'5) Release_Track'!$F:$F&amp;'5) Release_Track'!$G:$G,1,0)),"NO ISRC-CATALOG ID pair MATCH in Release_Track" )</f>
        <v/>
      </c>
      <c r="D455" s="121" t="str">
        <f t="array" ref="D455">ifs(and(isblank($A455),isblank($B455)),"", not(iserror(vlookup($A455&amp;$B455,'5) Release_Track'!$F:$F&amp;'5) Release_Track'!$G:$G,1,0))),vlookup($A455&amp;$B455,{'5) Release_Track'!$F:$F&amp;'5) Release_Track'!$G:$G,'5) Release_Track'!$I:$I},2,0), or(and(not(isblank($B455)),$B455=$B454,$A455&lt;&gt;$A454),and(not(isblank($A455)),$A455=$A454,$B455&lt;&gt;$B454)),"ID LISTS UNALIGNED",and($A455&lt;&gt;"",countif('5) Release_Track'!$F:$F,$A455)=0),"NO ISRC MATCH in Release_Track",and($B455&lt;&gt;"",countif('5) Release_Track'!$G:$G,$B455)=0),"NO CATALOG ID MATCH in Release_Track",iserror(vlookup($A455&amp;$B455,'5) Release_Track'!$F:$F&amp;'5) Release_Track'!$G:$G,1,0)),"NO ISRC-CATALOG ID pair MATCH in Release_Track" )</f>
        <v/>
      </c>
      <c r="E455" s="99"/>
      <c r="F455" s="99"/>
      <c r="G455" s="123" t="str">
        <f t="array" ref="G455">ifs(or($F455="",$F455="Main Primary Artist"),$F455,not(iserror(vlookup($F455,'Reference info'!$J$5:$J$8,1,0))),"Key Artist",not(iserror(vlookup($F455,'Reference info'!$J$38:$J$405,1,0))),"Performer",not(iserror(vlookup($F455,'Reference info'!$J$10:$J$36,1,0))),"Producer &amp; Engineer")</f>
        <v/>
      </c>
    </row>
    <row r="456">
      <c r="B456" s="103"/>
      <c r="C456" s="121" t="str">
        <f t="array" ref="C456">ifs(and(isblank($A456),isblank($B456)),"", not(iserror(vlookup($A456&amp;$B456,'5) Release_Track'!$F:$F&amp;'5) Release_Track'!$G:$G,1,0))),vlookup($A456&amp;$B456,{'5) Release_Track'!$F:$F&amp;'5) Release_Track'!$G:$G,'5) Release_Track'!$H:$H},2,0), or(and(not(isblank($B456)),$B456=$B455,$A456&lt;&gt;$A455),and(not(isblank($A456)),$A456=$A455,$B456&lt;&gt;$B455)),"ID LISTS UNALIGNED",and($A456&lt;&gt;"",countif('5) Release_Track'!$F:$F,$A456)=0),"NO ISRC MATCH in Release_Track",and($B456&lt;&gt;"",countif('5) Release_Track'!$G:$G,$B456)=0),"NO CATALOG ID MATCH in Release_Track",iserror(vlookup($A456&amp;$B456,'5) Release_Track'!$F:$F&amp;'5) Release_Track'!$G:$G,1,0)),"NO ISRC-CATALOG ID pair MATCH in Release_Track" )</f>
        <v/>
      </c>
      <c r="D456" s="121" t="str">
        <f t="array" ref="D456">ifs(and(isblank($A456),isblank($B456)),"", not(iserror(vlookup($A456&amp;$B456,'5) Release_Track'!$F:$F&amp;'5) Release_Track'!$G:$G,1,0))),vlookup($A456&amp;$B456,{'5) Release_Track'!$F:$F&amp;'5) Release_Track'!$G:$G,'5) Release_Track'!$I:$I},2,0), or(and(not(isblank($B456)),$B456=$B455,$A456&lt;&gt;$A455),and(not(isblank($A456)),$A456=$A455,$B456&lt;&gt;$B455)),"ID LISTS UNALIGNED",and($A456&lt;&gt;"",countif('5) Release_Track'!$F:$F,$A456)=0),"NO ISRC MATCH in Release_Track",and($B456&lt;&gt;"",countif('5) Release_Track'!$G:$G,$B456)=0),"NO CATALOG ID MATCH in Release_Track",iserror(vlookup($A456&amp;$B456,'5) Release_Track'!$F:$F&amp;'5) Release_Track'!$G:$G,1,0)),"NO ISRC-CATALOG ID pair MATCH in Release_Track" )</f>
        <v/>
      </c>
      <c r="E456" s="99"/>
      <c r="F456" s="99"/>
      <c r="G456" s="123" t="str">
        <f t="array" ref="G456">ifs(or($F456="",$F456="Main Primary Artist"),$F456,not(iserror(vlookup($F456,'Reference info'!$J$5:$J$8,1,0))),"Key Artist",not(iserror(vlookup($F456,'Reference info'!$J$38:$J$405,1,0))),"Performer",not(iserror(vlookup($F456,'Reference info'!$J$10:$J$36,1,0))),"Producer &amp; Engineer")</f>
        <v/>
      </c>
    </row>
    <row r="457">
      <c r="B457" s="103"/>
      <c r="C457" s="121" t="str">
        <f t="array" ref="C457">ifs(and(isblank($A457),isblank($B457)),"", not(iserror(vlookup($A457&amp;$B457,'5) Release_Track'!$F:$F&amp;'5) Release_Track'!$G:$G,1,0))),vlookup($A457&amp;$B457,{'5) Release_Track'!$F:$F&amp;'5) Release_Track'!$G:$G,'5) Release_Track'!$H:$H},2,0), or(and(not(isblank($B457)),$B457=$B456,$A457&lt;&gt;$A456),and(not(isblank($A457)),$A457=$A456,$B457&lt;&gt;$B456)),"ID LISTS UNALIGNED",and($A457&lt;&gt;"",countif('5) Release_Track'!$F:$F,$A457)=0),"NO ISRC MATCH in Release_Track",and($B457&lt;&gt;"",countif('5) Release_Track'!$G:$G,$B457)=0),"NO CATALOG ID MATCH in Release_Track",iserror(vlookup($A457&amp;$B457,'5) Release_Track'!$F:$F&amp;'5) Release_Track'!$G:$G,1,0)),"NO ISRC-CATALOG ID pair MATCH in Release_Track" )</f>
        <v/>
      </c>
      <c r="D457" s="121" t="str">
        <f t="array" ref="D457">ifs(and(isblank($A457),isblank($B457)),"", not(iserror(vlookup($A457&amp;$B457,'5) Release_Track'!$F:$F&amp;'5) Release_Track'!$G:$G,1,0))),vlookup($A457&amp;$B457,{'5) Release_Track'!$F:$F&amp;'5) Release_Track'!$G:$G,'5) Release_Track'!$I:$I},2,0), or(and(not(isblank($B457)),$B457=$B456,$A457&lt;&gt;$A456),and(not(isblank($A457)),$A457=$A456,$B457&lt;&gt;$B456)),"ID LISTS UNALIGNED",and($A457&lt;&gt;"",countif('5) Release_Track'!$F:$F,$A457)=0),"NO ISRC MATCH in Release_Track",and($B457&lt;&gt;"",countif('5) Release_Track'!$G:$G,$B457)=0),"NO CATALOG ID MATCH in Release_Track",iserror(vlookup($A457&amp;$B457,'5) Release_Track'!$F:$F&amp;'5) Release_Track'!$G:$G,1,0)),"NO ISRC-CATALOG ID pair MATCH in Release_Track" )</f>
        <v/>
      </c>
      <c r="E457" s="99"/>
      <c r="F457" s="99"/>
      <c r="G457" s="123" t="str">
        <f t="array" ref="G457">ifs(or($F457="",$F457="Main Primary Artist"),$F457,not(iserror(vlookup($F457,'Reference info'!$J$5:$J$8,1,0))),"Key Artist",not(iserror(vlookup($F457,'Reference info'!$J$38:$J$405,1,0))),"Performer",not(iserror(vlookup($F457,'Reference info'!$J$10:$J$36,1,0))),"Producer &amp; Engineer")</f>
        <v/>
      </c>
    </row>
    <row r="458">
      <c r="B458" s="103"/>
      <c r="C458" s="121" t="str">
        <f t="array" ref="C458">ifs(and(isblank($A458),isblank($B458)),"", not(iserror(vlookup($A458&amp;$B458,'5) Release_Track'!$F:$F&amp;'5) Release_Track'!$G:$G,1,0))),vlookup($A458&amp;$B458,{'5) Release_Track'!$F:$F&amp;'5) Release_Track'!$G:$G,'5) Release_Track'!$H:$H},2,0), or(and(not(isblank($B458)),$B458=$B457,$A458&lt;&gt;$A457),and(not(isblank($A458)),$A458=$A457,$B458&lt;&gt;$B457)),"ID LISTS UNALIGNED",and($A458&lt;&gt;"",countif('5) Release_Track'!$F:$F,$A458)=0),"NO ISRC MATCH in Release_Track",and($B458&lt;&gt;"",countif('5) Release_Track'!$G:$G,$B458)=0),"NO CATALOG ID MATCH in Release_Track",iserror(vlookup($A458&amp;$B458,'5) Release_Track'!$F:$F&amp;'5) Release_Track'!$G:$G,1,0)),"NO ISRC-CATALOG ID pair MATCH in Release_Track" )</f>
        <v/>
      </c>
      <c r="D458" s="121" t="str">
        <f t="array" ref="D458">ifs(and(isblank($A458),isblank($B458)),"", not(iserror(vlookup($A458&amp;$B458,'5) Release_Track'!$F:$F&amp;'5) Release_Track'!$G:$G,1,0))),vlookup($A458&amp;$B458,{'5) Release_Track'!$F:$F&amp;'5) Release_Track'!$G:$G,'5) Release_Track'!$I:$I},2,0), or(and(not(isblank($B458)),$B458=$B457,$A458&lt;&gt;$A457),and(not(isblank($A458)),$A458=$A457,$B458&lt;&gt;$B457)),"ID LISTS UNALIGNED",and($A458&lt;&gt;"",countif('5) Release_Track'!$F:$F,$A458)=0),"NO ISRC MATCH in Release_Track",and($B458&lt;&gt;"",countif('5) Release_Track'!$G:$G,$B458)=0),"NO CATALOG ID MATCH in Release_Track",iserror(vlookup($A458&amp;$B458,'5) Release_Track'!$F:$F&amp;'5) Release_Track'!$G:$G,1,0)),"NO ISRC-CATALOG ID pair MATCH in Release_Track" )</f>
        <v/>
      </c>
      <c r="E458" s="99"/>
      <c r="F458" s="99"/>
      <c r="G458" s="123" t="str">
        <f t="array" ref="G458">ifs(or($F458="",$F458="Main Primary Artist"),$F458,not(iserror(vlookup($F458,'Reference info'!$J$5:$J$8,1,0))),"Key Artist",not(iserror(vlookup($F458,'Reference info'!$J$38:$J$405,1,0))),"Performer",not(iserror(vlookup($F458,'Reference info'!$J$10:$J$36,1,0))),"Producer &amp; Engineer")</f>
        <v/>
      </c>
    </row>
    <row r="459">
      <c r="B459" s="103"/>
      <c r="C459" s="121" t="str">
        <f t="array" ref="C459">ifs(and(isblank($A459),isblank($B459)),"", not(iserror(vlookup($A459&amp;$B459,'5) Release_Track'!$F:$F&amp;'5) Release_Track'!$G:$G,1,0))),vlookup($A459&amp;$B459,{'5) Release_Track'!$F:$F&amp;'5) Release_Track'!$G:$G,'5) Release_Track'!$H:$H},2,0), or(and(not(isblank($B459)),$B459=$B458,$A459&lt;&gt;$A458),and(not(isblank($A459)),$A459=$A458,$B459&lt;&gt;$B458)),"ID LISTS UNALIGNED",and($A459&lt;&gt;"",countif('5) Release_Track'!$F:$F,$A459)=0),"NO ISRC MATCH in Release_Track",and($B459&lt;&gt;"",countif('5) Release_Track'!$G:$G,$B459)=0),"NO CATALOG ID MATCH in Release_Track",iserror(vlookup($A459&amp;$B459,'5) Release_Track'!$F:$F&amp;'5) Release_Track'!$G:$G,1,0)),"NO ISRC-CATALOG ID pair MATCH in Release_Track" )</f>
        <v/>
      </c>
      <c r="D459" s="121" t="str">
        <f t="array" ref="D459">ifs(and(isblank($A459),isblank($B459)),"", not(iserror(vlookup($A459&amp;$B459,'5) Release_Track'!$F:$F&amp;'5) Release_Track'!$G:$G,1,0))),vlookup($A459&amp;$B459,{'5) Release_Track'!$F:$F&amp;'5) Release_Track'!$G:$G,'5) Release_Track'!$I:$I},2,0), or(and(not(isblank($B459)),$B459=$B458,$A459&lt;&gt;$A458),and(not(isblank($A459)),$A459=$A458,$B459&lt;&gt;$B458)),"ID LISTS UNALIGNED",and($A459&lt;&gt;"",countif('5) Release_Track'!$F:$F,$A459)=0),"NO ISRC MATCH in Release_Track",and($B459&lt;&gt;"",countif('5) Release_Track'!$G:$G,$B459)=0),"NO CATALOG ID MATCH in Release_Track",iserror(vlookup($A459&amp;$B459,'5) Release_Track'!$F:$F&amp;'5) Release_Track'!$G:$G,1,0)),"NO ISRC-CATALOG ID pair MATCH in Release_Track" )</f>
        <v/>
      </c>
      <c r="E459" s="99"/>
      <c r="F459" s="99"/>
      <c r="G459" s="123" t="str">
        <f t="array" ref="G459">ifs(or($F459="",$F459="Main Primary Artist"),$F459,not(iserror(vlookup($F459,'Reference info'!$J$5:$J$8,1,0))),"Key Artist",not(iserror(vlookup($F459,'Reference info'!$J$38:$J$405,1,0))),"Performer",not(iserror(vlookup($F459,'Reference info'!$J$10:$J$36,1,0))),"Producer &amp; Engineer")</f>
        <v/>
      </c>
    </row>
    <row r="460">
      <c r="B460" s="103"/>
      <c r="C460" s="121" t="str">
        <f t="array" ref="C460">ifs(and(isblank($A460),isblank($B460)),"", not(iserror(vlookup($A460&amp;$B460,'5) Release_Track'!$F:$F&amp;'5) Release_Track'!$G:$G,1,0))),vlookup($A460&amp;$B460,{'5) Release_Track'!$F:$F&amp;'5) Release_Track'!$G:$G,'5) Release_Track'!$H:$H},2,0), or(and(not(isblank($B460)),$B460=$B459,$A460&lt;&gt;$A459),and(not(isblank($A460)),$A460=$A459,$B460&lt;&gt;$B459)),"ID LISTS UNALIGNED",and($A460&lt;&gt;"",countif('5) Release_Track'!$F:$F,$A460)=0),"NO ISRC MATCH in Release_Track",and($B460&lt;&gt;"",countif('5) Release_Track'!$G:$G,$B460)=0),"NO CATALOG ID MATCH in Release_Track",iserror(vlookup($A460&amp;$B460,'5) Release_Track'!$F:$F&amp;'5) Release_Track'!$G:$G,1,0)),"NO ISRC-CATALOG ID pair MATCH in Release_Track" )</f>
        <v/>
      </c>
      <c r="D460" s="121" t="str">
        <f t="array" ref="D460">ifs(and(isblank($A460),isblank($B460)),"", not(iserror(vlookup($A460&amp;$B460,'5) Release_Track'!$F:$F&amp;'5) Release_Track'!$G:$G,1,0))),vlookup($A460&amp;$B460,{'5) Release_Track'!$F:$F&amp;'5) Release_Track'!$G:$G,'5) Release_Track'!$I:$I},2,0), or(and(not(isblank($B460)),$B460=$B459,$A460&lt;&gt;$A459),and(not(isblank($A460)),$A460=$A459,$B460&lt;&gt;$B459)),"ID LISTS UNALIGNED",and($A460&lt;&gt;"",countif('5) Release_Track'!$F:$F,$A460)=0),"NO ISRC MATCH in Release_Track",and($B460&lt;&gt;"",countif('5) Release_Track'!$G:$G,$B460)=0),"NO CATALOG ID MATCH in Release_Track",iserror(vlookup($A460&amp;$B460,'5) Release_Track'!$F:$F&amp;'5) Release_Track'!$G:$G,1,0)),"NO ISRC-CATALOG ID pair MATCH in Release_Track" )</f>
        <v/>
      </c>
      <c r="E460" s="99"/>
      <c r="F460" s="99"/>
      <c r="G460" s="123" t="str">
        <f t="array" ref="G460">ifs(or($F460="",$F460="Main Primary Artist"),$F460,not(iserror(vlookup($F460,'Reference info'!$J$5:$J$8,1,0))),"Key Artist",not(iserror(vlookup($F460,'Reference info'!$J$38:$J$405,1,0))),"Performer",not(iserror(vlookup($F460,'Reference info'!$J$10:$J$36,1,0))),"Producer &amp; Engineer")</f>
        <v/>
      </c>
    </row>
    <row r="461">
      <c r="B461" s="103"/>
      <c r="C461" s="121" t="str">
        <f t="array" ref="C461">ifs(and(isblank($A461),isblank($B461)),"", not(iserror(vlookup($A461&amp;$B461,'5) Release_Track'!$F:$F&amp;'5) Release_Track'!$G:$G,1,0))),vlookup($A461&amp;$B461,{'5) Release_Track'!$F:$F&amp;'5) Release_Track'!$G:$G,'5) Release_Track'!$H:$H},2,0), or(and(not(isblank($B461)),$B461=$B460,$A461&lt;&gt;$A460),and(not(isblank($A461)),$A461=$A460,$B461&lt;&gt;$B460)),"ID LISTS UNALIGNED",and($A461&lt;&gt;"",countif('5) Release_Track'!$F:$F,$A461)=0),"NO ISRC MATCH in Release_Track",and($B461&lt;&gt;"",countif('5) Release_Track'!$G:$G,$B461)=0),"NO CATALOG ID MATCH in Release_Track",iserror(vlookup($A461&amp;$B461,'5) Release_Track'!$F:$F&amp;'5) Release_Track'!$G:$G,1,0)),"NO ISRC-CATALOG ID pair MATCH in Release_Track" )</f>
        <v/>
      </c>
      <c r="D461" s="121" t="str">
        <f t="array" ref="D461">ifs(and(isblank($A461),isblank($B461)),"", not(iserror(vlookup($A461&amp;$B461,'5) Release_Track'!$F:$F&amp;'5) Release_Track'!$G:$G,1,0))),vlookup($A461&amp;$B461,{'5) Release_Track'!$F:$F&amp;'5) Release_Track'!$G:$G,'5) Release_Track'!$I:$I},2,0), or(and(not(isblank($B461)),$B461=$B460,$A461&lt;&gt;$A460),and(not(isblank($A461)),$A461=$A460,$B461&lt;&gt;$B460)),"ID LISTS UNALIGNED",and($A461&lt;&gt;"",countif('5) Release_Track'!$F:$F,$A461)=0),"NO ISRC MATCH in Release_Track",and($B461&lt;&gt;"",countif('5) Release_Track'!$G:$G,$B461)=0),"NO CATALOG ID MATCH in Release_Track",iserror(vlookup($A461&amp;$B461,'5) Release_Track'!$F:$F&amp;'5) Release_Track'!$G:$G,1,0)),"NO ISRC-CATALOG ID pair MATCH in Release_Track" )</f>
        <v/>
      </c>
      <c r="E461" s="99"/>
      <c r="F461" s="99"/>
      <c r="G461" s="123" t="str">
        <f t="array" ref="G461">ifs(or($F461="",$F461="Main Primary Artist"),$F461,not(iserror(vlookup($F461,'Reference info'!$J$5:$J$8,1,0))),"Key Artist",not(iserror(vlookup($F461,'Reference info'!$J$38:$J$405,1,0))),"Performer",not(iserror(vlookup($F461,'Reference info'!$J$10:$J$36,1,0))),"Producer &amp; Engineer")</f>
        <v/>
      </c>
    </row>
    <row r="462">
      <c r="B462" s="103"/>
      <c r="C462" s="121" t="str">
        <f t="array" ref="C462">ifs(and(isblank($A462),isblank($B462)),"", not(iserror(vlookup($A462&amp;$B462,'5) Release_Track'!$F:$F&amp;'5) Release_Track'!$G:$G,1,0))),vlookup($A462&amp;$B462,{'5) Release_Track'!$F:$F&amp;'5) Release_Track'!$G:$G,'5) Release_Track'!$H:$H},2,0), or(and(not(isblank($B462)),$B462=$B461,$A462&lt;&gt;$A461),and(not(isblank($A462)),$A462=$A461,$B462&lt;&gt;$B461)),"ID LISTS UNALIGNED",and($A462&lt;&gt;"",countif('5) Release_Track'!$F:$F,$A462)=0),"NO ISRC MATCH in Release_Track",and($B462&lt;&gt;"",countif('5) Release_Track'!$G:$G,$B462)=0),"NO CATALOG ID MATCH in Release_Track",iserror(vlookup($A462&amp;$B462,'5) Release_Track'!$F:$F&amp;'5) Release_Track'!$G:$G,1,0)),"NO ISRC-CATALOG ID pair MATCH in Release_Track" )</f>
        <v/>
      </c>
      <c r="D462" s="121" t="str">
        <f t="array" ref="D462">ifs(and(isblank($A462),isblank($B462)),"", not(iserror(vlookup($A462&amp;$B462,'5) Release_Track'!$F:$F&amp;'5) Release_Track'!$G:$G,1,0))),vlookup($A462&amp;$B462,{'5) Release_Track'!$F:$F&amp;'5) Release_Track'!$G:$G,'5) Release_Track'!$I:$I},2,0), or(and(not(isblank($B462)),$B462=$B461,$A462&lt;&gt;$A461),and(not(isblank($A462)),$A462=$A461,$B462&lt;&gt;$B461)),"ID LISTS UNALIGNED",and($A462&lt;&gt;"",countif('5) Release_Track'!$F:$F,$A462)=0),"NO ISRC MATCH in Release_Track",and($B462&lt;&gt;"",countif('5) Release_Track'!$G:$G,$B462)=0),"NO CATALOG ID MATCH in Release_Track",iserror(vlookup($A462&amp;$B462,'5) Release_Track'!$F:$F&amp;'5) Release_Track'!$G:$G,1,0)),"NO ISRC-CATALOG ID pair MATCH in Release_Track" )</f>
        <v/>
      </c>
      <c r="E462" s="99"/>
      <c r="F462" s="99"/>
      <c r="G462" s="123" t="str">
        <f t="array" ref="G462">ifs(or($F462="",$F462="Main Primary Artist"),$F462,not(iserror(vlookup($F462,'Reference info'!$J$5:$J$8,1,0))),"Key Artist",not(iserror(vlookup($F462,'Reference info'!$J$38:$J$405,1,0))),"Performer",not(iserror(vlookup($F462,'Reference info'!$J$10:$J$36,1,0))),"Producer &amp; Engineer")</f>
        <v/>
      </c>
    </row>
    <row r="463">
      <c r="B463" s="103"/>
      <c r="C463" s="121" t="str">
        <f t="array" ref="C463">ifs(and(isblank($A463),isblank($B463)),"", not(iserror(vlookup($A463&amp;$B463,'5) Release_Track'!$F:$F&amp;'5) Release_Track'!$G:$G,1,0))),vlookup($A463&amp;$B463,{'5) Release_Track'!$F:$F&amp;'5) Release_Track'!$G:$G,'5) Release_Track'!$H:$H},2,0), or(and(not(isblank($B463)),$B463=$B462,$A463&lt;&gt;$A462),and(not(isblank($A463)),$A463=$A462,$B463&lt;&gt;$B462)),"ID LISTS UNALIGNED",and($A463&lt;&gt;"",countif('5) Release_Track'!$F:$F,$A463)=0),"NO ISRC MATCH in Release_Track",and($B463&lt;&gt;"",countif('5) Release_Track'!$G:$G,$B463)=0),"NO CATALOG ID MATCH in Release_Track",iserror(vlookup($A463&amp;$B463,'5) Release_Track'!$F:$F&amp;'5) Release_Track'!$G:$G,1,0)),"NO ISRC-CATALOG ID pair MATCH in Release_Track" )</f>
        <v/>
      </c>
      <c r="D463" s="121" t="str">
        <f t="array" ref="D463">ifs(and(isblank($A463),isblank($B463)),"", not(iserror(vlookup($A463&amp;$B463,'5) Release_Track'!$F:$F&amp;'5) Release_Track'!$G:$G,1,0))),vlookup($A463&amp;$B463,{'5) Release_Track'!$F:$F&amp;'5) Release_Track'!$G:$G,'5) Release_Track'!$I:$I},2,0), or(and(not(isblank($B463)),$B463=$B462,$A463&lt;&gt;$A462),and(not(isblank($A463)),$A463=$A462,$B463&lt;&gt;$B462)),"ID LISTS UNALIGNED",and($A463&lt;&gt;"",countif('5) Release_Track'!$F:$F,$A463)=0),"NO ISRC MATCH in Release_Track",and($B463&lt;&gt;"",countif('5) Release_Track'!$G:$G,$B463)=0),"NO CATALOG ID MATCH in Release_Track",iserror(vlookup($A463&amp;$B463,'5) Release_Track'!$F:$F&amp;'5) Release_Track'!$G:$G,1,0)),"NO ISRC-CATALOG ID pair MATCH in Release_Track" )</f>
        <v/>
      </c>
      <c r="E463" s="99"/>
      <c r="F463" s="99"/>
      <c r="G463" s="123" t="str">
        <f t="array" ref="G463">ifs(or($F463="",$F463="Main Primary Artist"),$F463,not(iserror(vlookup($F463,'Reference info'!$J$5:$J$8,1,0))),"Key Artist",not(iserror(vlookup($F463,'Reference info'!$J$38:$J$405,1,0))),"Performer",not(iserror(vlookup($F463,'Reference info'!$J$10:$J$36,1,0))),"Producer &amp; Engineer")</f>
        <v/>
      </c>
    </row>
    <row r="464">
      <c r="B464" s="103"/>
      <c r="C464" s="121" t="str">
        <f t="array" ref="C464">ifs(and(isblank($A464),isblank($B464)),"", not(iserror(vlookup($A464&amp;$B464,'5) Release_Track'!$F:$F&amp;'5) Release_Track'!$G:$G,1,0))),vlookup($A464&amp;$B464,{'5) Release_Track'!$F:$F&amp;'5) Release_Track'!$G:$G,'5) Release_Track'!$H:$H},2,0), or(and(not(isblank($B464)),$B464=$B463,$A464&lt;&gt;$A463),and(not(isblank($A464)),$A464=$A463,$B464&lt;&gt;$B463)),"ID LISTS UNALIGNED",and($A464&lt;&gt;"",countif('5) Release_Track'!$F:$F,$A464)=0),"NO ISRC MATCH in Release_Track",and($B464&lt;&gt;"",countif('5) Release_Track'!$G:$G,$B464)=0),"NO CATALOG ID MATCH in Release_Track",iserror(vlookup($A464&amp;$B464,'5) Release_Track'!$F:$F&amp;'5) Release_Track'!$G:$G,1,0)),"NO ISRC-CATALOG ID pair MATCH in Release_Track" )</f>
        <v/>
      </c>
      <c r="D464" s="121" t="str">
        <f t="array" ref="D464">ifs(and(isblank($A464),isblank($B464)),"", not(iserror(vlookup($A464&amp;$B464,'5) Release_Track'!$F:$F&amp;'5) Release_Track'!$G:$G,1,0))),vlookup($A464&amp;$B464,{'5) Release_Track'!$F:$F&amp;'5) Release_Track'!$G:$G,'5) Release_Track'!$I:$I},2,0), or(and(not(isblank($B464)),$B464=$B463,$A464&lt;&gt;$A463),and(not(isblank($A464)),$A464=$A463,$B464&lt;&gt;$B463)),"ID LISTS UNALIGNED",and($A464&lt;&gt;"",countif('5) Release_Track'!$F:$F,$A464)=0),"NO ISRC MATCH in Release_Track",and($B464&lt;&gt;"",countif('5) Release_Track'!$G:$G,$B464)=0),"NO CATALOG ID MATCH in Release_Track",iserror(vlookup($A464&amp;$B464,'5) Release_Track'!$F:$F&amp;'5) Release_Track'!$G:$G,1,0)),"NO ISRC-CATALOG ID pair MATCH in Release_Track" )</f>
        <v/>
      </c>
      <c r="E464" s="99"/>
      <c r="F464" s="99"/>
      <c r="G464" s="123" t="str">
        <f t="array" ref="G464">ifs(or($F464="",$F464="Main Primary Artist"),$F464,not(iserror(vlookup($F464,'Reference info'!$J$5:$J$8,1,0))),"Key Artist",not(iserror(vlookup($F464,'Reference info'!$J$38:$J$405,1,0))),"Performer",not(iserror(vlookup($F464,'Reference info'!$J$10:$J$36,1,0))),"Producer &amp; Engineer")</f>
        <v/>
      </c>
    </row>
    <row r="465">
      <c r="B465" s="103"/>
      <c r="C465" s="121" t="str">
        <f t="array" ref="C465">ifs(and(isblank($A465),isblank($B465)),"", not(iserror(vlookup($A465&amp;$B465,'5) Release_Track'!$F:$F&amp;'5) Release_Track'!$G:$G,1,0))),vlookup($A465&amp;$B465,{'5) Release_Track'!$F:$F&amp;'5) Release_Track'!$G:$G,'5) Release_Track'!$H:$H},2,0), or(and(not(isblank($B465)),$B465=$B464,$A465&lt;&gt;$A464),and(not(isblank($A465)),$A465=$A464,$B465&lt;&gt;$B464)),"ID LISTS UNALIGNED",and($A465&lt;&gt;"",countif('5) Release_Track'!$F:$F,$A465)=0),"NO ISRC MATCH in Release_Track",and($B465&lt;&gt;"",countif('5) Release_Track'!$G:$G,$B465)=0),"NO CATALOG ID MATCH in Release_Track",iserror(vlookup($A465&amp;$B465,'5) Release_Track'!$F:$F&amp;'5) Release_Track'!$G:$G,1,0)),"NO ISRC-CATALOG ID pair MATCH in Release_Track" )</f>
        <v/>
      </c>
      <c r="D465" s="121" t="str">
        <f t="array" ref="D465">ifs(and(isblank($A465),isblank($B465)),"", not(iserror(vlookup($A465&amp;$B465,'5) Release_Track'!$F:$F&amp;'5) Release_Track'!$G:$G,1,0))),vlookup($A465&amp;$B465,{'5) Release_Track'!$F:$F&amp;'5) Release_Track'!$G:$G,'5) Release_Track'!$I:$I},2,0), or(and(not(isblank($B465)),$B465=$B464,$A465&lt;&gt;$A464),and(not(isblank($A465)),$A465=$A464,$B465&lt;&gt;$B464)),"ID LISTS UNALIGNED",and($A465&lt;&gt;"",countif('5) Release_Track'!$F:$F,$A465)=0),"NO ISRC MATCH in Release_Track",and($B465&lt;&gt;"",countif('5) Release_Track'!$G:$G,$B465)=0),"NO CATALOG ID MATCH in Release_Track",iserror(vlookup($A465&amp;$B465,'5) Release_Track'!$F:$F&amp;'5) Release_Track'!$G:$G,1,0)),"NO ISRC-CATALOG ID pair MATCH in Release_Track" )</f>
        <v/>
      </c>
      <c r="E465" s="99"/>
      <c r="F465" s="99"/>
      <c r="G465" s="123" t="str">
        <f t="array" ref="G465">ifs(or($F465="",$F465="Main Primary Artist"),$F465,not(iserror(vlookup($F465,'Reference info'!$J$5:$J$8,1,0))),"Key Artist",not(iserror(vlookup($F465,'Reference info'!$J$38:$J$405,1,0))),"Performer",not(iserror(vlookup($F465,'Reference info'!$J$10:$J$36,1,0))),"Producer &amp; Engineer")</f>
        <v/>
      </c>
    </row>
    <row r="466">
      <c r="B466" s="103"/>
      <c r="C466" s="121" t="str">
        <f t="array" ref="C466">ifs(and(isblank($A466),isblank($B466)),"", not(iserror(vlookup($A466&amp;$B466,'5) Release_Track'!$F:$F&amp;'5) Release_Track'!$G:$G,1,0))),vlookup($A466&amp;$B466,{'5) Release_Track'!$F:$F&amp;'5) Release_Track'!$G:$G,'5) Release_Track'!$H:$H},2,0), or(and(not(isblank($B466)),$B466=$B465,$A466&lt;&gt;$A465),and(not(isblank($A466)),$A466=$A465,$B466&lt;&gt;$B465)),"ID LISTS UNALIGNED",and($A466&lt;&gt;"",countif('5) Release_Track'!$F:$F,$A466)=0),"NO ISRC MATCH in Release_Track",and($B466&lt;&gt;"",countif('5) Release_Track'!$G:$G,$B466)=0),"NO CATALOG ID MATCH in Release_Track",iserror(vlookup($A466&amp;$B466,'5) Release_Track'!$F:$F&amp;'5) Release_Track'!$G:$G,1,0)),"NO ISRC-CATALOG ID pair MATCH in Release_Track" )</f>
        <v/>
      </c>
      <c r="D466" s="121" t="str">
        <f t="array" ref="D466">ifs(and(isblank($A466),isblank($B466)),"", not(iserror(vlookup($A466&amp;$B466,'5) Release_Track'!$F:$F&amp;'5) Release_Track'!$G:$G,1,0))),vlookup($A466&amp;$B466,{'5) Release_Track'!$F:$F&amp;'5) Release_Track'!$G:$G,'5) Release_Track'!$I:$I},2,0), or(and(not(isblank($B466)),$B466=$B465,$A466&lt;&gt;$A465),and(not(isblank($A466)),$A466=$A465,$B466&lt;&gt;$B465)),"ID LISTS UNALIGNED",and($A466&lt;&gt;"",countif('5) Release_Track'!$F:$F,$A466)=0),"NO ISRC MATCH in Release_Track",and($B466&lt;&gt;"",countif('5) Release_Track'!$G:$G,$B466)=0),"NO CATALOG ID MATCH in Release_Track",iserror(vlookup($A466&amp;$B466,'5) Release_Track'!$F:$F&amp;'5) Release_Track'!$G:$G,1,0)),"NO ISRC-CATALOG ID pair MATCH in Release_Track" )</f>
        <v/>
      </c>
      <c r="E466" s="99"/>
      <c r="F466" s="99"/>
      <c r="G466" s="123" t="str">
        <f t="array" ref="G466">ifs(or($F466="",$F466="Main Primary Artist"),$F466,not(iserror(vlookup($F466,'Reference info'!$J$5:$J$8,1,0))),"Key Artist",not(iserror(vlookup($F466,'Reference info'!$J$38:$J$405,1,0))),"Performer",not(iserror(vlookup($F466,'Reference info'!$J$10:$J$36,1,0))),"Producer &amp; Engineer")</f>
        <v/>
      </c>
    </row>
    <row r="467">
      <c r="B467" s="103"/>
      <c r="C467" s="121" t="str">
        <f t="array" ref="C467">ifs(and(isblank($A467),isblank($B467)),"", not(iserror(vlookup($A467&amp;$B467,'5) Release_Track'!$F:$F&amp;'5) Release_Track'!$G:$G,1,0))),vlookup($A467&amp;$B467,{'5) Release_Track'!$F:$F&amp;'5) Release_Track'!$G:$G,'5) Release_Track'!$H:$H},2,0), or(and(not(isblank($B467)),$B467=$B466,$A467&lt;&gt;$A466),and(not(isblank($A467)),$A467=$A466,$B467&lt;&gt;$B466)),"ID LISTS UNALIGNED",and($A467&lt;&gt;"",countif('5) Release_Track'!$F:$F,$A467)=0),"NO ISRC MATCH in Release_Track",and($B467&lt;&gt;"",countif('5) Release_Track'!$G:$G,$B467)=0),"NO CATALOG ID MATCH in Release_Track",iserror(vlookup($A467&amp;$B467,'5) Release_Track'!$F:$F&amp;'5) Release_Track'!$G:$G,1,0)),"NO ISRC-CATALOG ID pair MATCH in Release_Track" )</f>
        <v/>
      </c>
      <c r="D467" s="121" t="str">
        <f t="array" ref="D467">ifs(and(isblank($A467),isblank($B467)),"", not(iserror(vlookup($A467&amp;$B467,'5) Release_Track'!$F:$F&amp;'5) Release_Track'!$G:$G,1,0))),vlookup($A467&amp;$B467,{'5) Release_Track'!$F:$F&amp;'5) Release_Track'!$G:$G,'5) Release_Track'!$I:$I},2,0), or(and(not(isblank($B467)),$B467=$B466,$A467&lt;&gt;$A466),and(not(isblank($A467)),$A467=$A466,$B467&lt;&gt;$B466)),"ID LISTS UNALIGNED",and($A467&lt;&gt;"",countif('5) Release_Track'!$F:$F,$A467)=0),"NO ISRC MATCH in Release_Track",and($B467&lt;&gt;"",countif('5) Release_Track'!$G:$G,$B467)=0),"NO CATALOG ID MATCH in Release_Track",iserror(vlookup($A467&amp;$B467,'5) Release_Track'!$F:$F&amp;'5) Release_Track'!$G:$G,1,0)),"NO ISRC-CATALOG ID pair MATCH in Release_Track" )</f>
        <v/>
      </c>
      <c r="E467" s="99"/>
      <c r="F467" s="99"/>
      <c r="G467" s="123" t="str">
        <f t="array" ref="G467">ifs(or($F467="",$F467="Main Primary Artist"),$F467,not(iserror(vlookup($F467,'Reference info'!$J$5:$J$8,1,0))),"Key Artist",not(iserror(vlookup($F467,'Reference info'!$J$38:$J$405,1,0))),"Performer",not(iserror(vlookup($F467,'Reference info'!$J$10:$J$36,1,0))),"Producer &amp; Engineer")</f>
        <v/>
      </c>
    </row>
    <row r="468">
      <c r="B468" s="103"/>
      <c r="C468" s="121" t="str">
        <f t="array" ref="C468">ifs(and(isblank($A468),isblank($B468)),"", not(iserror(vlookup($A468&amp;$B468,'5) Release_Track'!$F:$F&amp;'5) Release_Track'!$G:$G,1,0))),vlookup($A468&amp;$B468,{'5) Release_Track'!$F:$F&amp;'5) Release_Track'!$G:$G,'5) Release_Track'!$H:$H},2,0), or(and(not(isblank($B468)),$B468=$B467,$A468&lt;&gt;$A467),and(not(isblank($A468)),$A468=$A467,$B468&lt;&gt;$B467)),"ID LISTS UNALIGNED",and($A468&lt;&gt;"",countif('5) Release_Track'!$F:$F,$A468)=0),"NO ISRC MATCH in Release_Track",and($B468&lt;&gt;"",countif('5) Release_Track'!$G:$G,$B468)=0),"NO CATALOG ID MATCH in Release_Track",iserror(vlookup($A468&amp;$B468,'5) Release_Track'!$F:$F&amp;'5) Release_Track'!$G:$G,1,0)),"NO ISRC-CATALOG ID pair MATCH in Release_Track" )</f>
        <v/>
      </c>
      <c r="D468" s="121" t="str">
        <f t="array" ref="D468">ifs(and(isblank($A468),isblank($B468)),"", not(iserror(vlookup($A468&amp;$B468,'5) Release_Track'!$F:$F&amp;'5) Release_Track'!$G:$G,1,0))),vlookup($A468&amp;$B468,{'5) Release_Track'!$F:$F&amp;'5) Release_Track'!$G:$G,'5) Release_Track'!$I:$I},2,0), or(and(not(isblank($B468)),$B468=$B467,$A468&lt;&gt;$A467),and(not(isblank($A468)),$A468=$A467,$B468&lt;&gt;$B467)),"ID LISTS UNALIGNED",and($A468&lt;&gt;"",countif('5) Release_Track'!$F:$F,$A468)=0),"NO ISRC MATCH in Release_Track",and($B468&lt;&gt;"",countif('5) Release_Track'!$G:$G,$B468)=0),"NO CATALOG ID MATCH in Release_Track",iserror(vlookup($A468&amp;$B468,'5) Release_Track'!$F:$F&amp;'5) Release_Track'!$G:$G,1,0)),"NO ISRC-CATALOG ID pair MATCH in Release_Track" )</f>
        <v/>
      </c>
      <c r="E468" s="99"/>
      <c r="F468" s="99"/>
      <c r="G468" s="123" t="str">
        <f t="array" ref="G468">ifs(or($F468="",$F468="Main Primary Artist"),$F468,not(iserror(vlookup($F468,'Reference info'!$J$5:$J$8,1,0))),"Key Artist",not(iserror(vlookup($F468,'Reference info'!$J$38:$J$405,1,0))),"Performer",not(iserror(vlookup($F468,'Reference info'!$J$10:$J$36,1,0))),"Producer &amp; Engineer")</f>
        <v/>
      </c>
    </row>
    <row r="469">
      <c r="B469" s="103"/>
      <c r="C469" s="121" t="str">
        <f t="array" ref="C469">ifs(and(isblank($A469),isblank($B469)),"", not(iserror(vlookup($A469&amp;$B469,'5) Release_Track'!$F:$F&amp;'5) Release_Track'!$G:$G,1,0))),vlookup($A469&amp;$B469,{'5) Release_Track'!$F:$F&amp;'5) Release_Track'!$G:$G,'5) Release_Track'!$H:$H},2,0), or(and(not(isblank($B469)),$B469=$B468,$A469&lt;&gt;$A468),and(not(isblank($A469)),$A469=$A468,$B469&lt;&gt;$B468)),"ID LISTS UNALIGNED",and($A469&lt;&gt;"",countif('5) Release_Track'!$F:$F,$A469)=0),"NO ISRC MATCH in Release_Track",and($B469&lt;&gt;"",countif('5) Release_Track'!$G:$G,$B469)=0),"NO CATALOG ID MATCH in Release_Track",iserror(vlookup($A469&amp;$B469,'5) Release_Track'!$F:$F&amp;'5) Release_Track'!$G:$G,1,0)),"NO ISRC-CATALOG ID pair MATCH in Release_Track" )</f>
        <v/>
      </c>
      <c r="D469" s="121" t="str">
        <f t="array" ref="D469">ifs(and(isblank($A469),isblank($B469)),"", not(iserror(vlookup($A469&amp;$B469,'5) Release_Track'!$F:$F&amp;'5) Release_Track'!$G:$G,1,0))),vlookup($A469&amp;$B469,{'5) Release_Track'!$F:$F&amp;'5) Release_Track'!$G:$G,'5) Release_Track'!$I:$I},2,0), or(and(not(isblank($B469)),$B469=$B468,$A469&lt;&gt;$A468),and(not(isblank($A469)),$A469=$A468,$B469&lt;&gt;$B468)),"ID LISTS UNALIGNED",and($A469&lt;&gt;"",countif('5) Release_Track'!$F:$F,$A469)=0),"NO ISRC MATCH in Release_Track",and($B469&lt;&gt;"",countif('5) Release_Track'!$G:$G,$B469)=0),"NO CATALOG ID MATCH in Release_Track",iserror(vlookup($A469&amp;$B469,'5) Release_Track'!$F:$F&amp;'5) Release_Track'!$G:$G,1,0)),"NO ISRC-CATALOG ID pair MATCH in Release_Track" )</f>
        <v/>
      </c>
      <c r="E469" s="99"/>
      <c r="F469" s="99"/>
      <c r="G469" s="123" t="str">
        <f t="array" ref="G469">ifs(or($F469="",$F469="Main Primary Artist"),$F469,not(iserror(vlookup($F469,'Reference info'!$J$5:$J$8,1,0))),"Key Artist",not(iserror(vlookup($F469,'Reference info'!$J$38:$J$405,1,0))),"Performer",not(iserror(vlookup($F469,'Reference info'!$J$10:$J$36,1,0))),"Producer &amp; Engineer")</f>
        <v/>
      </c>
    </row>
    <row r="470">
      <c r="B470" s="103"/>
      <c r="C470" s="121" t="str">
        <f t="array" ref="C470">ifs(and(isblank($A470),isblank($B470)),"", not(iserror(vlookup($A470&amp;$B470,'5) Release_Track'!$F:$F&amp;'5) Release_Track'!$G:$G,1,0))),vlookup($A470&amp;$B470,{'5) Release_Track'!$F:$F&amp;'5) Release_Track'!$G:$G,'5) Release_Track'!$H:$H},2,0), or(and(not(isblank($B470)),$B470=$B469,$A470&lt;&gt;$A469),and(not(isblank($A470)),$A470=$A469,$B470&lt;&gt;$B469)),"ID LISTS UNALIGNED",and($A470&lt;&gt;"",countif('5) Release_Track'!$F:$F,$A470)=0),"NO ISRC MATCH in Release_Track",and($B470&lt;&gt;"",countif('5) Release_Track'!$G:$G,$B470)=0),"NO CATALOG ID MATCH in Release_Track",iserror(vlookup($A470&amp;$B470,'5) Release_Track'!$F:$F&amp;'5) Release_Track'!$G:$G,1,0)),"NO ISRC-CATALOG ID pair MATCH in Release_Track" )</f>
        <v/>
      </c>
      <c r="D470" s="121" t="str">
        <f t="array" ref="D470">ifs(and(isblank($A470),isblank($B470)),"", not(iserror(vlookup($A470&amp;$B470,'5) Release_Track'!$F:$F&amp;'5) Release_Track'!$G:$G,1,0))),vlookup($A470&amp;$B470,{'5) Release_Track'!$F:$F&amp;'5) Release_Track'!$G:$G,'5) Release_Track'!$I:$I},2,0), or(and(not(isblank($B470)),$B470=$B469,$A470&lt;&gt;$A469),and(not(isblank($A470)),$A470=$A469,$B470&lt;&gt;$B469)),"ID LISTS UNALIGNED",and($A470&lt;&gt;"",countif('5) Release_Track'!$F:$F,$A470)=0),"NO ISRC MATCH in Release_Track",and($B470&lt;&gt;"",countif('5) Release_Track'!$G:$G,$B470)=0),"NO CATALOG ID MATCH in Release_Track",iserror(vlookup($A470&amp;$B470,'5) Release_Track'!$F:$F&amp;'5) Release_Track'!$G:$G,1,0)),"NO ISRC-CATALOG ID pair MATCH in Release_Track" )</f>
        <v/>
      </c>
      <c r="E470" s="99"/>
      <c r="F470" s="99"/>
      <c r="G470" s="123" t="str">
        <f t="array" ref="G470">ifs(or($F470="",$F470="Main Primary Artist"),$F470,not(iserror(vlookup($F470,'Reference info'!$J$5:$J$8,1,0))),"Key Artist",not(iserror(vlookup($F470,'Reference info'!$J$38:$J$405,1,0))),"Performer",not(iserror(vlookup($F470,'Reference info'!$J$10:$J$36,1,0))),"Producer &amp; Engineer")</f>
        <v/>
      </c>
    </row>
    <row r="471">
      <c r="B471" s="103"/>
      <c r="C471" s="121" t="str">
        <f t="array" ref="C471">ifs(and(isblank($A471),isblank($B471)),"", not(iserror(vlookup($A471&amp;$B471,'5) Release_Track'!$F:$F&amp;'5) Release_Track'!$G:$G,1,0))),vlookup($A471&amp;$B471,{'5) Release_Track'!$F:$F&amp;'5) Release_Track'!$G:$G,'5) Release_Track'!$H:$H},2,0), or(and(not(isblank($B471)),$B471=$B470,$A471&lt;&gt;$A470),and(not(isblank($A471)),$A471=$A470,$B471&lt;&gt;$B470)),"ID LISTS UNALIGNED",and($A471&lt;&gt;"",countif('5) Release_Track'!$F:$F,$A471)=0),"NO ISRC MATCH in Release_Track",and($B471&lt;&gt;"",countif('5) Release_Track'!$G:$G,$B471)=0),"NO CATALOG ID MATCH in Release_Track",iserror(vlookup($A471&amp;$B471,'5) Release_Track'!$F:$F&amp;'5) Release_Track'!$G:$G,1,0)),"NO ISRC-CATALOG ID pair MATCH in Release_Track" )</f>
        <v/>
      </c>
      <c r="D471" s="121" t="str">
        <f t="array" ref="D471">ifs(and(isblank($A471),isblank($B471)),"", not(iserror(vlookup($A471&amp;$B471,'5) Release_Track'!$F:$F&amp;'5) Release_Track'!$G:$G,1,0))),vlookup($A471&amp;$B471,{'5) Release_Track'!$F:$F&amp;'5) Release_Track'!$G:$G,'5) Release_Track'!$I:$I},2,0), or(and(not(isblank($B471)),$B471=$B470,$A471&lt;&gt;$A470),and(not(isblank($A471)),$A471=$A470,$B471&lt;&gt;$B470)),"ID LISTS UNALIGNED",and($A471&lt;&gt;"",countif('5) Release_Track'!$F:$F,$A471)=0),"NO ISRC MATCH in Release_Track",and($B471&lt;&gt;"",countif('5) Release_Track'!$G:$G,$B471)=0),"NO CATALOG ID MATCH in Release_Track",iserror(vlookup($A471&amp;$B471,'5) Release_Track'!$F:$F&amp;'5) Release_Track'!$G:$G,1,0)),"NO ISRC-CATALOG ID pair MATCH in Release_Track" )</f>
        <v/>
      </c>
      <c r="E471" s="99"/>
      <c r="F471" s="99"/>
      <c r="G471" s="123" t="str">
        <f t="array" ref="G471">ifs(or($F471="",$F471="Main Primary Artist"),$F471,not(iserror(vlookup($F471,'Reference info'!$J$5:$J$8,1,0))),"Key Artist",not(iserror(vlookup($F471,'Reference info'!$J$38:$J$405,1,0))),"Performer",not(iserror(vlookup($F471,'Reference info'!$J$10:$J$36,1,0))),"Producer &amp; Engineer")</f>
        <v/>
      </c>
    </row>
    <row r="472">
      <c r="B472" s="103"/>
      <c r="C472" s="121" t="str">
        <f t="array" ref="C472">ifs(and(isblank($A472),isblank($B472)),"", not(iserror(vlookup($A472&amp;$B472,'5) Release_Track'!$F:$F&amp;'5) Release_Track'!$G:$G,1,0))),vlookup($A472&amp;$B472,{'5) Release_Track'!$F:$F&amp;'5) Release_Track'!$G:$G,'5) Release_Track'!$H:$H},2,0), or(and(not(isblank($B472)),$B472=$B471,$A472&lt;&gt;$A471),and(not(isblank($A472)),$A472=$A471,$B472&lt;&gt;$B471)),"ID LISTS UNALIGNED",and($A472&lt;&gt;"",countif('5) Release_Track'!$F:$F,$A472)=0),"NO ISRC MATCH in Release_Track",and($B472&lt;&gt;"",countif('5) Release_Track'!$G:$G,$B472)=0),"NO CATALOG ID MATCH in Release_Track",iserror(vlookup($A472&amp;$B472,'5) Release_Track'!$F:$F&amp;'5) Release_Track'!$G:$G,1,0)),"NO ISRC-CATALOG ID pair MATCH in Release_Track" )</f>
        <v/>
      </c>
      <c r="D472" s="121" t="str">
        <f t="array" ref="D472">ifs(and(isblank($A472),isblank($B472)),"", not(iserror(vlookup($A472&amp;$B472,'5) Release_Track'!$F:$F&amp;'5) Release_Track'!$G:$G,1,0))),vlookup($A472&amp;$B472,{'5) Release_Track'!$F:$F&amp;'5) Release_Track'!$G:$G,'5) Release_Track'!$I:$I},2,0), or(and(not(isblank($B472)),$B472=$B471,$A472&lt;&gt;$A471),and(not(isblank($A472)),$A472=$A471,$B472&lt;&gt;$B471)),"ID LISTS UNALIGNED",and($A472&lt;&gt;"",countif('5) Release_Track'!$F:$F,$A472)=0),"NO ISRC MATCH in Release_Track",and($B472&lt;&gt;"",countif('5) Release_Track'!$G:$G,$B472)=0),"NO CATALOG ID MATCH in Release_Track",iserror(vlookup($A472&amp;$B472,'5) Release_Track'!$F:$F&amp;'5) Release_Track'!$G:$G,1,0)),"NO ISRC-CATALOG ID pair MATCH in Release_Track" )</f>
        <v/>
      </c>
      <c r="E472" s="99"/>
      <c r="F472" s="99"/>
      <c r="G472" s="123" t="str">
        <f t="array" ref="G472">ifs(or($F472="",$F472="Main Primary Artist"),$F472,not(iserror(vlookup($F472,'Reference info'!$J$5:$J$8,1,0))),"Key Artist",not(iserror(vlookup($F472,'Reference info'!$J$38:$J$405,1,0))),"Performer",not(iserror(vlookup($F472,'Reference info'!$J$10:$J$36,1,0))),"Producer &amp; Engineer")</f>
        <v/>
      </c>
    </row>
    <row r="473">
      <c r="B473" s="103"/>
      <c r="C473" s="121" t="str">
        <f t="array" ref="C473">ifs(and(isblank($A473),isblank($B473)),"", not(iserror(vlookup($A473&amp;$B473,'5) Release_Track'!$F:$F&amp;'5) Release_Track'!$G:$G,1,0))),vlookup($A473&amp;$B473,{'5) Release_Track'!$F:$F&amp;'5) Release_Track'!$G:$G,'5) Release_Track'!$H:$H},2,0), or(and(not(isblank($B473)),$B473=$B472,$A473&lt;&gt;$A472),and(not(isblank($A473)),$A473=$A472,$B473&lt;&gt;$B472)),"ID LISTS UNALIGNED",and($A473&lt;&gt;"",countif('5) Release_Track'!$F:$F,$A473)=0),"NO ISRC MATCH in Release_Track",and($B473&lt;&gt;"",countif('5) Release_Track'!$G:$G,$B473)=0),"NO CATALOG ID MATCH in Release_Track",iserror(vlookup($A473&amp;$B473,'5) Release_Track'!$F:$F&amp;'5) Release_Track'!$G:$G,1,0)),"NO ISRC-CATALOG ID pair MATCH in Release_Track" )</f>
        <v/>
      </c>
      <c r="D473" s="121" t="str">
        <f t="array" ref="D473">ifs(and(isblank($A473),isblank($B473)),"", not(iserror(vlookup($A473&amp;$B473,'5) Release_Track'!$F:$F&amp;'5) Release_Track'!$G:$G,1,0))),vlookup($A473&amp;$B473,{'5) Release_Track'!$F:$F&amp;'5) Release_Track'!$G:$G,'5) Release_Track'!$I:$I},2,0), or(and(not(isblank($B473)),$B473=$B472,$A473&lt;&gt;$A472),and(not(isblank($A473)),$A473=$A472,$B473&lt;&gt;$B472)),"ID LISTS UNALIGNED",and($A473&lt;&gt;"",countif('5) Release_Track'!$F:$F,$A473)=0),"NO ISRC MATCH in Release_Track",and($B473&lt;&gt;"",countif('5) Release_Track'!$G:$G,$B473)=0),"NO CATALOG ID MATCH in Release_Track",iserror(vlookup($A473&amp;$B473,'5) Release_Track'!$F:$F&amp;'5) Release_Track'!$G:$G,1,0)),"NO ISRC-CATALOG ID pair MATCH in Release_Track" )</f>
        <v/>
      </c>
      <c r="E473" s="99"/>
      <c r="F473" s="99"/>
      <c r="G473" s="123" t="str">
        <f t="array" ref="G473">ifs(or($F473="",$F473="Main Primary Artist"),$F473,not(iserror(vlookup($F473,'Reference info'!$J$5:$J$8,1,0))),"Key Artist",not(iserror(vlookup($F473,'Reference info'!$J$38:$J$405,1,0))),"Performer",not(iserror(vlookup($F473,'Reference info'!$J$10:$J$36,1,0))),"Producer &amp; Engineer")</f>
        <v/>
      </c>
    </row>
    <row r="474">
      <c r="B474" s="103"/>
      <c r="C474" s="121" t="str">
        <f t="array" ref="C474">ifs(and(isblank($A474),isblank($B474)),"", not(iserror(vlookup($A474&amp;$B474,'5) Release_Track'!$F:$F&amp;'5) Release_Track'!$G:$G,1,0))),vlookup($A474&amp;$B474,{'5) Release_Track'!$F:$F&amp;'5) Release_Track'!$G:$G,'5) Release_Track'!$H:$H},2,0), or(and(not(isblank($B474)),$B474=$B473,$A474&lt;&gt;$A473),and(not(isblank($A474)),$A474=$A473,$B474&lt;&gt;$B473)),"ID LISTS UNALIGNED",and($A474&lt;&gt;"",countif('5) Release_Track'!$F:$F,$A474)=0),"NO ISRC MATCH in Release_Track",and($B474&lt;&gt;"",countif('5) Release_Track'!$G:$G,$B474)=0),"NO CATALOG ID MATCH in Release_Track",iserror(vlookup($A474&amp;$B474,'5) Release_Track'!$F:$F&amp;'5) Release_Track'!$G:$G,1,0)),"NO ISRC-CATALOG ID pair MATCH in Release_Track" )</f>
        <v/>
      </c>
      <c r="D474" s="121" t="str">
        <f t="array" ref="D474">ifs(and(isblank($A474),isblank($B474)),"", not(iserror(vlookup($A474&amp;$B474,'5) Release_Track'!$F:$F&amp;'5) Release_Track'!$G:$G,1,0))),vlookup($A474&amp;$B474,{'5) Release_Track'!$F:$F&amp;'5) Release_Track'!$G:$G,'5) Release_Track'!$I:$I},2,0), or(and(not(isblank($B474)),$B474=$B473,$A474&lt;&gt;$A473),and(not(isblank($A474)),$A474=$A473,$B474&lt;&gt;$B473)),"ID LISTS UNALIGNED",and($A474&lt;&gt;"",countif('5) Release_Track'!$F:$F,$A474)=0),"NO ISRC MATCH in Release_Track",and($B474&lt;&gt;"",countif('5) Release_Track'!$G:$G,$B474)=0),"NO CATALOG ID MATCH in Release_Track",iserror(vlookup($A474&amp;$B474,'5) Release_Track'!$F:$F&amp;'5) Release_Track'!$G:$G,1,0)),"NO ISRC-CATALOG ID pair MATCH in Release_Track" )</f>
        <v/>
      </c>
      <c r="E474" s="99"/>
      <c r="F474" s="99"/>
      <c r="G474" s="123" t="str">
        <f t="array" ref="G474">ifs(or($F474="",$F474="Main Primary Artist"),$F474,not(iserror(vlookup($F474,'Reference info'!$J$5:$J$8,1,0))),"Key Artist",not(iserror(vlookup($F474,'Reference info'!$J$38:$J$405,1,0))),"Performer",not(iserror(vlookup($F474,'Reference info'!$J$10:$J$36,1,0))),"Producer &amp; Engineer")</f>
        <v/>
      </c>
    </row>
    <row r="475">
      <c r="B475" s="103"/>
      <c r="C475" s="121" t="str">
        <f t="array" ref="C475">ifs(and(isblank($A475),isblank($B475)),"", not(iserror(vlookup($A475&amp;$B475,'5) Release_Track'!$F:$F&amp;'5) Release_Track'!$G:$G,1,0))),vlookup($A475&amp;$B475,{'5) Release_Track'!$F:$F&amp;'5) Release_Track'!$G:$G,'5) Release_Track'!$H:$H},2,0), or(and(not(isblank($B475)),$B475=$B474,$A475&lt;&gt;$A474),and(not(isblank($A475)),$A475=$A474,$B475&lt;&gt;$B474)),"ID LISTS UNALIGNED",and($A475&lt;&gt;"",countif('5) Release_Track'!$F:$F,$A475)=0),"NO ISRC MATCH in Release_Track",and($B475&lt;&gt;"",countif('5) Release_Track'!$G:$G,$B475)=0),"NO CATALOG ID MATCH in Release_Track",iserror(vlookup($A475&amp;$B475,'5) Release_Track'!$F:$F&amp;'5) Release_Track'!$G:$G,1,0)),"NO ISRC-CATALOG ID pair MATCH in Release_Track" )</f>
        <v/>
      </c>
      <c r="D475" s="121" t="str">
        <f t="array" ref="D475">ifs(and(isblank($A475),isblank($B475)),"", not(iserror(vlookup($A475&amp;$B475,'5) Release_Track'!$F:$F&amp;'5) Release_Track'!$G:$G,1,0))),vlookup($A475&amp;$B475,{'5) Release_Track'!$F:$F&amp;'5) Release_Track'!$G:$G,'5) Release_Track'!$I:$I},2,0), or(and(not(isblank($B475)),$B475=$B474,$A475&lt;&gt;$A474),and(not(isblank($A475)),$A475=$A474,$B475&lt;&gt;$B474)),"ID LISTS UNALIGNED",and($A475&lt;&gt;"",countif('5) Release_Track'!$F:$F,$A475)=0),"NO ISRC MATCH in Release_Track",and($B475&lt;&gt;"",countif('5) Release_Track'!$G:$G,$B475)=0),"NO CATALOG ID MATCH in Release_Track",iserror(vlookup($A475&amp;$B475,'5) Release_Track'!$F:$F&amp;'5) Release_Track'!$G:$G,1,0)),"NO ISRC-CATALOG ID pair MATCH in Release_Track" )</f>
        <v/>
      </c>
      <c r="E475" s="99"/>
      <c r="F475" s="99"/>
      <c r="G475" s="123" t="str">
        <f t="array" ref="G475">ifs(or($F475="",$F475="Main Primary Artist"),$F475,not(iserror(vlookup($F475,'Reference info'!$J$5:$J$8,1,0))),"Key Artist",not(iserror(vlookup($F475,'Reference info'!$J$38:$J$405,1,0))),"Performer",not(iserror(vlookup($F475,'Reference info'!$J$10:$J$36,1,0))),"Producer &amp; Engineer")</f>
        <v/>
      </c>
    </row>
    <row r="476">
      <c r="B476" s="103"/>
      <c r="C476" s="121" t="str">
        <f t="array" ref="C476">ifs(and(isblank($A476),isblank($B476)),"", not(iserror(vlookup($A476&amp;$B476,'5) Release_Track'!$F:$F&amp;'5) Release_Track'!$G:$G,1,0))),vlookup($A476&amp;$B476,{'5) Release_Track'!$F:$F&amp;'5) Release_Track'!$G:$G,'5) Release_Track'!$H:$H},2,0), or(and(not(isblank($B476)),$B476=$B475,$A476&lt;&gt;$A475),and(not(isblank($A476)),$A476=$A475,$B476&lt;&gt;$B475)),"ID LISTS UNALIGNED",and($A476&lt;&gt;"",countif('5) Release_Track'!$F:$F,$A476)=0),"NO ISRC MATCH in Release_Track",and($B476&lt;&gt;"",countif('5) Release_Track'!$G:$G,$B476)=0),"NO CATALOG ID MATCH in Release_Track",iserror(vlookup($A476&amp;$B476,'5) Release_Track'!$F:$F&amp;'5) Release_Track'!$G:$G,1,0)),"NO ISRC-CATALOG ID pair MATCH in Release_Track" )</f>
        <v/>
      </c>
      <c r="D476" s="121" t="str">
        <f t="array" ref="D476">ifs(and(isblank($A476),isblank($B476)),"", not(iserror(vlookup($A476&amp;$B476,'5) Release_Track'!$F:$F&amp;'5) Release_Track'!$G:$G,1,0))),vlookup($A476&amp;$B476,{'5) Release_Track'!$F:$F&amp;'5) Release_Track'!$G:$G,'5) Release_Track'!$I:$I},2,0), or(and(not(isblank($B476)),$B476=$B475,$A476&lt;&gt;$A475),and(not(isblank($A476)),$A476=$A475,$B476&lt;&gt;$B475)),"ID LISTS UNALIGNED",and($A476&lt;&gt;"",countif('5) Release_Track'!$F:$F,$A476)=0),"NO ISRC MATCH in Release_Track",and($B476&lt;&gt;"",countif('5) Release_Track'!$G:$G,$B476)=0),"NO CATALOG ID MATCH in Release_Track",iserror(vlookup($A476&amp;$B476,'5) Release_Track'!$F:$F&amp;'5) Release_Track'!$G:$G,1,0)),"NO ISRC-CATALOG ID pair MATCH in Release_Track" )</f>
        <v/>
      </c>
      <c r="E476" s="99"/>
      <c r="F476" s="99"/>
      <c r="G476" s="123" t="str">
        <f t="array" ref="G476">ifs(or($F476="",$F476="Main Primary Artist"),$F476,not(iserror(vlookup($F476,'Reference info'!$J$5:$J$8,1,0))),"Key Artist",not(iserror(vlookup($F476,'Reference info'!$J$38:$J$405,1,0))),"Performer",not(iserror(vlookup($F476,'Reference info'!$J$10:$J$36,1,0))),"Producer &amp; Engineer")</f>
        <v/>
      </c>
    </row>
    <row r="477">
      <c r="B477" s="103"/>
      <c r="C477" s="121" t="str">
        <f t="array" ref="C477">ifs(and(isblank($A477),isblank($B477)),"", not(iserror(vlookup($A477&amp;$B477,'5) Release_Track'!$F:$F&amp;'5) Release_Track'!$G:$G,1,0))),vlookup($A477&amp;$B477,{'5) Release_Track'!$F:$F&amp;'5) Release_Track'!$G:$G,'5) Release_Track'!$H:$H},2,0), or(and(not(isblank($B477)),$B477=$B476,$A477&lt;&gt;$A476),and(not(isblank($A477)),$A477=$A476,$B477&lt;&gt;$B476)),"ID LISTS UNALIGNED",and($A477&lt;&gt;"",countif('5) Release_Track'!$F:$F,$A477)=0),"NO ISRC MATCH in Release_Track",and($B477&lt;&gt;"",countif('5) Release_Track'!$G:$G,$B477)=0),"NO CATALOG ID MATCH in Release_Track",iserror(vlookup($A477&amp;$B477,'5) Release_Track'!$F:$F&amp;'5) Release_Track'!$G:$G,1,0)),"NO ISRC-CATALOG ID pair MATCH in Release_Track" )</f>
        <v/>
      </c>
      <c r="D477" s="121" t="str">
        <f t="array" ref="D477">ifs(and(isblank($A477),isblank($B477)),"", not(iserror(vlookup($A477&amp;$B477,'5) Release_Track'!$F:$F&amp;'5) Release_Track'!$G:$G,1,0))),vlookup($A477&amp;$B477,{'5) Release_Track'!$F:$F&amp;'5) Release_Track'!$G:$G,'5) Release_Track'!$I:$I},2,0), or(and(not(isblank($B477)),$B477=$B476,$A477&lt;&gt;$A476),and(not(isblank($A477)),$A477=$A476,$B477&lt;&gt;$B476)),"ID LISTS UNALIGNED",and($A477&lt;&gt;"",countif('5) Release_Track'!$F:$F,$A477)=0),"NO ISRC MATCH in Release_Track",and($B477&lt;&gt;"",countif('5) Release_Track'!$G:$G,$B477)=0),"NO CATALOG ID MATCH in Release_Track",iserror(vlookup($A477&amp;$B477,'5) Release_Track'!$F:$F&amp;'5) Release_Track'!$G:$G,1,0)),"NO ISRC-CATALOG ID pair MATCH in Release_Track" )</f>
        <v/>
      </c>
      <c r="E477" s="99"/>
      <c r="F477" s="99"/>
      <c r="G477" s="123" t="str">
        <f t="array" ref="G477">ifs(or($F477="",$F477="Main Primary Artist"),$F477,not(iserror(vlookup($F477,'Reference info'!$J$5:$J$8,1,0))),"Key Artist",not(iserror(vlookup($F477,'Reference info'!$J$38:$J$405,1,0))),"Performer",not(iserror(vlookup($F477,'Reference info'!$J$10:$J$36,1,0))),"Producer &amp; Engineer")</f>
        <v/>
      </c>
    </row>
    <row r="478">
      <c r="B478" s="103"/>
      <c r="C478" s="121" t="str">
        <f t="array" ref="C478">ifs(and(isblank($A478),isblank($B478)),"", not(iserror(vlookup($A478&amp;$B478,'5) Release_Track'!$F:$F&amp;'5) Release_Track'!$G:$G,1,0))),vlookup($A478&amp;$B478,{'5) Release_Track'!$F:$F&amp;'5) Release_Track'!$G:$G,'5) Release_Track'!$H:$H},2,0), or(and(not(isblank($B478)),$B478=$B477,$A478&lt;&gt;$A477),and(not(isblank($A478)),$A478=$A477,$B478&lt;&gt;$B477)),"ID LISTS UNALIGNED",and($A478&lt;&gt;"",countif('5) Release_Track'!$F:$F,$A478)=0),"NO ISRC MATCH in Release_Track",and($B478&lt;&gt;"",countif('5) Release_Track'!$G:$G,$B478)=0),"NO CATALOG ID MATCH in Release_Track",iserror(vlookup($A478&amp;$B478,'5) Release_Track'!$F:$F&amp;'5) Release_Track'!$G:$G,1,0)),"NO ISRC-CATALOG ID pair MATCH in Release_Track" )</f>
        <v/>
      </c>
      <c r="D478" s="121" t="str">
        <f t="array" ref="D478">ifs(and(isblank($A478),isblank($B478)),"", not(iserror(vlookup($A478&amp;$B478,'5) Release_Track'!$F:$F&amp;'5) Release_Track'!$G:$G,1,0))),vlookup($A478&amp;$B478,{'5) Release_Track'!$F:$F&amp;'5) Release_Track'!$G:$G,'5) Release_Track'!$I:$I},2,0), or(and(not(isblank($B478)),$B478=$B477,$A478&lt;&gt;$A477),and(not(isblank($A478)),$A478=$A477,$B478&lt;&gt;$B477)),"ID LISTS UNALIGNED",and($A478&lt;&gt;"",countif('5) Release_Track'!$F:$F,$A478)=0),"NO ISRC MATCH in Release_Track",and($B478&lt;&gt;"",countif('5) Release_Track'!$G:$G,$B478)=0),"NO CATALOG ID MATCH in Release_Track",iserror(vlookup($A478&amp;$B478,'5) Release_Track'!$F:$F&amp;'5) Release_Track'!$G:$G,1,0)),"NO ISRC-CATALOG ID pair MATCH in Release_Track" )</f>
        <v/>
      </c>
      <c r="E478" s="99"/>
      <c r="F478" s="99"/>
      <c r="G478" s="123" t="str">
        <f t="array" ref="G478">ifs(or($F478="",$F478="Main Primary Artist"),$F478,not(iserror(vlookup($F478,'Reference info'!$J$5:$J$8,1,0))),"Key Artist",not(iserror(vlookup($F478,'Reference info'!$J$38:$J$405,1,0))),"Performer",not(iserror(vlookup($F478,'Reference info'!$J$10:$J$36,1,0))),"Producer &amp; Engineer")</f>
        <v/>
      </c>
    </row>
    <row r="479">
      <c r="B479" s="103"/>
      <c r="C479" s="121" t="str">
        <f t="array" ref="C479">ifs(and(isblank($A479),isblank($B479)),"", not(iserror(vlookup($A479&amp;$B479,'5) Release_Track'!$F:$F&amp;'5) Release_Track'!$G:$G,1,0))),vlookup($A479&amp;$B479,{'5) Release_Track'!$F:$F&amp;'5) Release_Track'!$G:$G,'5) Release_Track'!$H:$H},2,0), or(and(not(isblank($B479)),$B479=$B478,$A479&lt;&gt;$A478),and(not(isblank($A479)),$A479=$A478,$B479&lt;&gt;$B478)),"ID LISTS UNALIGNED",and($A479&lt;&gt;"",countif('5) Release_Track'!$F:$F,$A479)=0),"NO ISRC MATCH in Release_Track",and($B479&lt;&gt;"",countif('5) Release_Track'!$G:$G,$B479)=0),"NO CATALOG ID MATCH in Release_Track",iserror(vlookup($A479&amp;$B479,'5) Release_Track'!$F:$F&amp;'5) Release_Track'!$G:$G,1,0)),"NO ISRC-CATALOG ID pair MATCH in Release_Track" )</f>
        <v/>
      </c>
      <c r="D479" s="121" t="str">
        <f t="array" ref="D479">ifs(and(isblank($A479),isblank($B479)),"", not(iserror(vlookup($A479&amp;$B479,'5) Release_Track'!$F:$F&amp;'5) Release_Track'!$G:$G,1,0))),vlookup($A479&amp;$B479,{'5) Release_Track'!$F:$F&amp;'5) Release_Track'!$G:$G,'5) Release_Track'!$I:$I},2,0), or(and(not(isblank($B479)),$B479=$B478,$A479&lt;&gt;$A478),and(not(isblank($A479)),$A479=$A478,$B479&lt;&gt;$B478)),"ID LISTS UNALIGNED",and($A479&lt;&gt;"",countif('5) Release_Track'!$F:$F,$A479)=0),"NO ISRC MATCH in Release_Track",and($B479&lt;&gt;"",countif('5) Release_Track'!$G:$G,$B479)=0),"NO CATALOG ID MATCH in Release_Track",iserror(vlookup($A479&amp;$B479,'5) Release_Track'!$F:$F&amp;'5) Release_Track'!$G:$G,1,0)),"NO ISRC-CATALOG ID pair MATCH in Release_Track" )</f>
        <v/>
      </c>
      <c r="E479" s="99"/>
      <c r="F479" s="99"/>
      <c r="G479" s="123" t="str">
        <f t="array" ref="G479">ifs(or($F479="",$F479="Main Primary Artist"),$F479,not(iserror(vlookup($F479,'Reference info'!$J$5:$J$8,1,0))),"Key Artist",not(iserror(vlookup($F479,'Reference info'!$J$38:$J$405,1,0))),"Performer",not(iserror(vlookup($F479,'Reference info'!$J$10:$J$36,1,0))),"Producer &amp; Engineer")</f>
        <v/>
      </c>
    </row>
    <row r="480">
      <c r="B480" s="103"/>
      <c r="C480" s="121" t="str">
        <f t="array" ref="C480">ifs(and(isblank($A480),isblank($B480)),"", not(iserror(vlookup($A480&amp;$B480,'5) Release_Track'!$F:$F&amp;'5) Release_Track'!$G:$G,1,0))),vlookup($A480&amp;$B480,{'5) Release_Track'!$F:$F&amp;'5) Release_Track'!$G:$G,'5) Release_Track'!$H:$H},2,0), or(and(not(isblank($B480)),$B480=$B479,$A480&lt;&gt;$A479),and(not(isblank($A480)),$A480=$A479,$B480&lt;&gt;$B479)),"ID LISTS UNALIGNED",and($A480&lt;&gt;"",countif('5) Release_Track'!$F:$F,$A480)=0),"NO ISRC MATCH in Release_Track",and($B480&lt;&gt;"",countif('5) Release_Track'!$G:$G,$B480)=0),"NO CATALOG ID MATCH in Release_Track",iserror(vlookup($A480&amp;$B480,'5) Release_Track'!$F:$F&amp;'5) Release_Track'!$G:$G,1,0)),"NO ISRC-CATALOG ID pair MATCH in Release_Track" )</f>
        <v/>
      </c>
      <c r="D480" s="121" t="str">
        <f t="array" ref="D480">ifs(and(isblank($A480),isblank($B480)),"", not(iserror(vlookup($A480&amp;$B480,'5) Release_Track'!$F:$F&amp;'5) Release_Track'!$G:$G,1,0))),vlookup($A480&amp;$B480,{'5) Release_Track'!$F:$F&amp;'5) Release_Track'!$G:$G,'5) Release_Track'!$I:$I},2,0), or(and(not(isblank($B480)),$B480=$B479,$A480&lt;&gt;$A479),and(not(isblank($A480)),$A480=$A479,$B480&lt;&gt;$B479)),"ID LISTS UNALIGNED",and($A480&lt;&gt;"",countif('5) Release_Track'!$F:$F,$A480)=0),"NO ISRC MATCH in Release_Track",and($B480&lt;&gt;"",countif('5) Release_Track'!$G:$G,$B480)=0),"NO CATALOG ID MATCH in Release_Track",iserror(vlookup($A480&amp;$B480,'5) Release_Track'!$F:$F&amp;'5) Release_Track'!$G:$G,1,0)),"NO ISRC-CATALOG ID pair MATCH in Release_Track" )</f>
        <v/>
      </c>
      <c r="E480" s="99"/>
      <c r="F480" s="99"/>
      <c r="G480" s="123" t="str">
        <f t="array" ref="G480">ifs(or($F480="",$F480="Main Primary Artist"),$F480,not(iserror(vlookup($F480,'Reference info'!$J$5:$J$8,1,0))),"Key Artist",not(iserror(vlookup($F480,'Reference info'!$J$38:$J$405,1,0))),"Performer",not(iserror(vlookup($F480,'Reference info'!$J$10:$J$36,1,0))),"Producer &amp; Engineer")</f>
        <v/>
      </c>
    </row>
    <row r="481">
      <c r="B481" s="103"/>
      <c r="C481" s="121" t="str">
        <f t="array" ref="C481">ifs(and(isblank($A481),isblank($B481)),"", not(iserror(vlookup($A481&amp;$B481,'5) Release_Track'!$F:$F&amp;'5) Release_Track'!$G:$G,1,0))),vlookup($A481&amp;$B481,{'5) Release_Track'!$F:$F&amp;'5) Release_Track'!$G:$G,'5) Release_Track'!$H:$H},2,0), or(and(not(isblank($B481)),$B481=$B480,$A481&lt;&gt;$A480),and(not(isblank($A481)),$A481=$A480,$B481&lt;&gt;$B480)),"ID LISTS UNALIGNED",and($A481&lt;&gt;"",countif('5) Release_Track'!$F:$F,$A481)=0),"NO ISRC MATCH in Release_Track",and($B481&lt;&gt;"",countif('5) Release_Track'!$G:$G,$B481)=0),"NO CATALOG ID MATCH in Release_Track",iserror(vlookup($A481&amp;$B481,'5) Release_Track'!$F:$F&amp;'5) Release_Track'!$G:$G,1,0)),"NO ISRC-CATALOG ID pair MATCH in Release_Track" )</f>
        <v/>
      </c>
      <c r="D481" s="121" t="str">
        <f t="array" ref="D481">ifs(and(isblank($A481),isblank($B481)),"", not(iserror(vlookup($A481&amp;$B481,'5) Release_Track'!$F:$F&amp;'5) Release_Track'!$G:$G,1,0))),vlookup($A481&amp;$B481,{'5) Release_Track'!$F:$F&amp;'5) Release_Track'!$G:$G,'5) Release_Track'!$I:$I},2,0), or(and(not(isblank($B481)),$B481=$B480,$A481&lt;&gt;$A480),and(not(isblank($A481)),$A481=$A480,$B481&lt;&gt;$B480)),"ID LISTS UNALIGNED",and($A481&lt;&gt;"",countif('5) Release_Track'!$F:$F,$A481)=0),"NO ISRC MATCH in Release_Track",and($B481&lt;&gt;"",countif('5) Release_Track'!$G:$G,$B481)=0),"NO CATALOG ID MATCH in Release_Track",iserror(vlookup($A481&amp;$B481,'5) Release_Track'!$F:$F&amp;'5) Release_Track'!$G:$G,1,0)),"NO ISRC-CATALOG ID pair MATCH in Release_Track" )</f>
        <v/>
      </c>
      <c r="E481" s="99"/>
      <c r="F481" s="99"/>
      <c r="G481" s="123" t="str">
        <f t="array" ref="G481">ifs(or($F481="",$F481="Main Primary Artist"),$F481,not(iserror(vlookup($F481,'Reference info'!$J$5:$J$8,1,0))),"Key Artist",not(iserror(vlookup($F481,'Reference info'!$J$38:$J$405,1,0))),"Performer",not(iserror(vlookup($F481,'Reference info'!$J$10:$J$36,1,0))),"Producer &amp; Engineer")</f>
        <v/>
      </c>
    </row>
    <row r="482">
      <c r="B482" s="103"/>
      <c r="C482" s="121" t="str">
        <f t="array" ref="C482">ifs(and(isblank($A482),isblank($B482)),"", not(iserror(vlookup($A482&amp;$B482,'5) Release_Track'!$F:$F&amp;'5) Release_Track'!$G:$G,1,0))),vlookup($A482&amp;$B482,{'5) Release_Track'!$F:$F&amp;'5) Release_Track'!$G:$G,'5) Release_Track'!$H:$H},2,0), or(and(not(isblank($B482)),$B482=$B481,$A482&lt;&gt;$A481),and(not(isblank($A482)),$A482=$A481,$B482&lt;&gt;$B481)),"ID LISTS UNALIGNED",and($A482&lt;&gt;"",countif('5) Release_Track'!$F:$F,$A482)=0),"NO ISRC MATCH in Release_Track",and($B482&lt;&gt;"",countif('5) Release_Track'!$G:$G,$B482)=0),"NO CATALOG ID MATCH in Release_Track",iserror(vlookup($A482&amp;$B482,'5) Release_Track'!$F:$F&amp;'5) Release_Track'!$G:$G,1,0)),"NO ISRC-CATALOG ID pair MATCH in Release_Track" )</f>
        <v/>
      </c>
      <c r="D482" s="121" t="str">
        <f t="array" ref="D482">ifs(and(isblank($A482),isblank($B482)),"", not(iserror(vlookup($A482&amp;$B482,'5) Release_Track'!$F:$F&amp;'5) Release_Track'!$G:$G,1,0))),vlookup($A482&amp;$B482,{'5) Release_Track'!$F:$F&amp;'5) Release_Track'!$G:$G,'5) Release_Track'!$I:$I},2,0), or(and(not(isblank($B482)),$B482=$B481,$A482&lt;&gt;$A481),and(not(isblank($A482)),$A482=$A481,$B482&lt;&gt;$B481)),"ID LISTS UNALIGNED",and($A482&lt;&gt;"",countif('5) Release_Track'!$F:$F,$A482)=0),"NO ISRC MATCH in Release_Track",and($B482&lt;&gt;"",countif('5) Release_Track'!$G:$G,$B482)=0),"NO CATALOG ID MATCH in Release_Track",iserror(vlookup($A482&amp;$B482,'5) Release_Track'!$F:$F&amp;'5) Release_Track'!$G:$G,1,0)),"NO ISRC-CATALOG ID pair MATCH in Release_Track" )</f>
        <v/>
      </c>
      <c r="E482" s="99"/>
      <c r="F482" s="99"/>
      <c r="G482" s="123" t="str">
        <f t="array" ref="G482">ifs(or($F482="",$F482="Main Primary Artist"),$F482,not(iserror(vlookup($F482,'Reference info'!$J$5:$J$8,1,0))),"Key Artist",not(iserror(vlookup($F482,'Reference info'!$J$38:$J$405,1,0))),"Performer",not(iserror(vlookup($F482,'Reference info'!$J$10:$J$36,1,0))),"Producer &amp; Engineer")</f>
        <v/>
      </c>
    </row>
    <row r="483">
      <c r="B483" s="103"/>
      <c r="C483" s="121" t="str">
        <f t="array" ref="C483">ifs(and(isblank($A483),isblank($B483)),"", not(iserror(vlookup($A483&amp;$B483,'5) Release_Track'!$F:$F&amp;'5) Release_Track'!$G:$G,1,0))),vlookup($A483&amp;$B483,{'5) Release_Track'!$F:$F&amp;'5) Release_Track'!$G:$G,'5) Release_Track'!$H:$H},2,0), or(and(not(isblank($B483)),$B483=$B482,$A483&lt;&gt;$A482),and(not(isblank($A483)),$A483=$A482,$B483&lt;&gt;$B482)),"ID LISTS UNALIGNED",and($A483&lt;&gt;"",countif('5) Release_Track'!$F:$F,$A483)=0),"NO ISRC MATCH in Release_Track",and($B483&lt;&gt;"",countif('5) Release_Track'!$G:$G,$B483)=0),"NO CATALOG ID MATCH in Release_Track",iserror(vlookup($A483&amp;$B483,'5) Release_Track'!$F:$F&amp;'5) Release_Track'!$G:$G,1,0)),"NO ISRC-CATALOG ID pair MATCH in Release_Track" )</f>
        <v/>
      </c>
      <c r="D483" s="121" t="str">
        <f t="array" ref="D483">ifs(and(isblank($A483),isblank($B483)),"", not(iserror(vlookup($A483&amp;$B483,'5) Release_Track'!$F:$F&amp;'5) Release_Track'!$G:$G,1,0))),vlookup($A483&amp;$B483,{'5) Release_Track'!$F:$F&amp;'5) Release_Track'!$G:$G,'5) Release_Track'!$I:$I},2,0), or(and(not(isblank($B483)),$B483=$B482,$A483&lt;&gt;$A482),and(not(isblank($A483)),$A483=$A482,$B483&lt;&gt;$B482)),"ID LISTS UNALIGNED",and($A483&lt;&gt;"",countif('5) Release_Track'!$F:$F,$A483)=0),"NO ISRC MATCH in Release_Track",and($B483&lt;&gt;"",countif('5) Release_Track'!$G:$G,$B483)=0),"NO CATALOG ID MATCH in Release_Track",iserror(vlookup($A483&amp;$B483,'5) Release_Track'!$F:$F&amp;'5) Release_Track'!$G:$G,1,0)),"NO ISRC-CATALOG ID pair MATCH in Release_Track" )</f>
        <v/>
      </c>
      <c r="E483" s="99"/>
      <c r="F483" s="99"/>
      <c r="G483" s="123" t="str">
        <f t="array" ref="G483">ifs(or($F483="",$F483="Main Primary Artist"),$F483,not(iserror(vlookup($F483,'Reference info'!$J$5:$J$8,1,0))),"Key Artist",not(iserror(vlookup($F483,'Reference info'!$J$38:$J$405,1,0))),"Performer",not(iserror(vlookup($F483,'Reference info'!$J$10:$J$36,1,0))),"Producer &amp; Engineer")</f>
        <v/>
      </c>
    </row>
    <row r="484">
      <c r="B484" s="103"/>
      <c r="C484" s="121" t="str">
        <f t="array" ref="C484">ifs(and(isblank($A484),isblank($B484)),"", not(iserror(vlookup($A484&amp;$B484,'5) Release_Track'!$F:$F&amp;'5) Release_Track'!$G:$G,1,0))),vlookup($A484&amp;$B484,{'5) Release_Track'!$F:$F&amp;'5) Release_Track'!$G:$G,'5) Release_Track'!$H:$H},2,0), or(and(not(isblank($B484)),$B484=$B483,$A484&lt;&gt;$A483),and(not(isblank($A484)),$A484=$A483,$B484&lt;&gt;$B483)),"ID LISTS UNALIGNED",and($A484&lt;&gt;"",countif('5) Release_Track'!$F:$F,$A484)=0),"NO ISRC MATCH in Release_Track",and($B484&lt;&gt;"",countif('5) Release_Track'!$G:$G,$B484)=0),"NO CATALOG ID MATCH in Release_Track",iserror(vlookup($A484&amp;$B484,'5) Release_Track'!$F:$F&amp;'5) Release_Track'!$G:$G,1,0)),"NO ISRC-CATALOG ID pair MATCH in Release_Track" )</f>
        <v/>
      </c>
      <c r="D484" s="121" t="str">
        <f t="array" ref="D484">ifs(and(isblank($A484),isblank($B484)),"", not(iserror(vlookup($A484&amp;$B484,'5) Release_Track'!$F:$F&amp;'5) Release_Track'!$G:$G,1,0))),vlookup($A484&amp;$B484,{'5) Release_Track'!$F:$F&amp;'5) Release_Track'!$G:$G,'5) Release_Track'!$I:$I},2,0), or(and(not(isblank($B484)),$B484=$B483,$A484&lt;&gt;$A483),and(not(isblank($A484)),$A484=$A483,$B484&lt;&gt;$B483)),"ID LISTS UNALIGNED",and($A484&lt;&gt;"",countif('5) Release_Track'!$F:$F,$A484)=0),"NO ISRC MATCH in Release_Track",and($B484&lt;&gt;"",countif('5) Release_Track'!$G:$G,$B484)=0),"NO CATALOG ID MATCH in Release_Track",iserror(vlookup($A484&amp;$B484,'5) Release_Track'!$F:$F&amp;'5) Release_Track'!$G:$G,1,0)),"NO ISRC-CATALOG ID pair MATCH in Release_Track" )</f>
        <v/>
      </c>
      <c r="E484" s="99"/>
      <c r="F484" s="99"/>
      <c r="G484" s="123" t="str">
        <f t="array" ref="G484">ifs(or($F484="",$F484="Main Primary Artist"),$F484,not(iserror(vlookup($F484,'Reference info'!$J$5:$J$8,1,0))),"Key Artist",not(iserror(vlookup($F484,'Reference info'!$J$38:$J$405,1,0))),"Performer",not(iserror(vlookup($F484,'Reference info'!$J$10:$J$36,1,0))),"Producer &amp; Engineer")</f>
        <v/>
      </c>
    </row>
    <row r="485">
      <c r="B485" s="103"/>
      <c r="C485" s="121" t="str">
        <f t="array" ref="C485">ifs(and(isblank($A485),isblank($B485)),"", not(iserror(vlookup($A485&amp;$B485,'5) Release_Track'!$F:$F&amp;'5) Release_Track'!$G:$G,1,0))),vlookup($A485&amp;$B485,{'5) Release_Track'!$F:$F&amp;'5) Release_Track'!$G:$G,'5) Release_Track'!$H:$H},2,0), or(and(not(isblank($B485)),$B485=$B484,$A485&lt;&gt;$A484),and(not(isblank($A485)),$A485=$A484,$B485&lt;&gt;$B484)),"ID LISTS UNALIGNED",and($A485&lt;&gt;"",countif('5) Release_Track'!$F:$F,$A485)=0),"NO ISRC MATCH in Release_Track",and($B485&lt;&gt;"",countif('5) Release_Track'!$G:$G,$B485)=0),"NO CATALOG ID MATCH in Release_Track",iserror(vlookup($A485&amp;$B485,'5) Release_Track'!$F:$F&amp;'5) Release_Track'!$G:$G,1,0)),"NO ISRC-CATALOG ID pair MATCH in Release_Track" )</f>
        <v/>
      </c>
      <c r="D485" s="121" t="str">
        <f t="array" ref="D485">ifs(and(isblank($A485),isblank($B485)),"", not(iserror(vlookup($A485&amp;$B485,'5) Release_Track'!$F:$F&amp;'5) Release_Track'!$G:$G,1,0))),vlookup($A485&amp;$B485,{'5) Release_Track'!$F:$F&amp;'5) Release_Track'!$G:$G,'5) Release_Track'!$I:$I},2,0), or(and(not(isblank($B485)),$B485=$B484,$A485&lt;&gt;$A484),and(not(isblank($A485)),$A485=$A484,$B485&lt;&gt;$B484)),"ID LISTS UNALIGNED",and($A485&lt;&gt;"",countif('5) Release_Track'!$F:$F,$A485)=0),"NO ISRC MATCH in Release_Track",and($B485&lt;&gt;"",countif('5) Release_Track'!$G:$G,$B485)=0),"NO CATALOG ID MATCH in Release_Track",iserror(vlookup($A485&amp;$B485,'5) Release_Track'!$F:$F&amp;'5) Release_Track'!$G:$G,1,0)),"NO ISRC-CATALOG ID pair MATCH in Release_Track" )</f>
        <v/>
      </c>
      <c r="E485" s="99"/>
      <c r="F485" s="99"/>
      <c r="G485" s="123" t="str">
        <f t="array" ref="G485">ifs(or($F485="",$F485="Main Primary Artist"),$F485,not(iserror(vlookup($F485,'Reference info'!$J$5:$J$8,1,0))),"Key Artist",not(iserror(vlookup($F485,'Reference info'!$J$38:$J$405,1,0))),"Performer",not(iserror(vlookup($F485,'Reference info'!$J$10:$J$36,1,0))),"Producer &amp; Engineer")</f>
        <v/>
      </c>
    </row>
    <row r="486">
      <c r="B486" s="103"/>
      <c r="C486" s="121" t="str">
        <f t="array" ref="C486">ifs(and(isblank($A486),isblank($B486)),"", not(iserror(vlookup($A486&amp;$B486,'5) Release_Track'!$F:$F&amp;'5) Release_Track'!$G:$G,1,0))),vlookup($A486&amp;$B486,{'5) Release_Track'!$F:$F&amp;'5) Release_Track'!$G:$G,'5) Release_Track'!$H:$H},2,0), or(and(not(isblank($B486)),$B486=$B485,$A486&lt;&gt;$A485),and(not(isblank($A486)),$A486=$A485,$B486&lt;&gt;$B485)),"ID LISTS UNALIGNED",and($A486&lt;&gt;"",countif('5) Release_Track'!$F:$F,$A486)=0),"NO ISRC MATCH in Release_Track",and($B486&lt;&gt;"",countif('5) Release_Track'!$G:$G,$B486)=0),"NO CATALOG ID MATCH in Release_Track",iserror(vlookup($A486&amp;$B486,'5) Release_Track'!$F:$F&amp;'5) Release_Track'!$G:$G,1,0)),"NO ISRC-CATALOG ID pair MATCH in Release_Track" )</f>
        <v/>
      </c>
      <c r="D486" s="121" t="str">
        <f t="array" ref="D486">ifs(and(isblank($A486),isblank($B486)),"", not(iserror(vlookup($A486&amp;$B486,'5) Release_Track'!$F:$F&amp;'5) Release_Track'!$G:$G,1,0))),vlookup($A486&amp;$B486,{'5) Release_Track'!$F:$F&amp;'5) Release_Track'!$G:$G,'5) Release_Track'!$I:$I},2,0), or(and(not(isblank($B486)),$B486=$B485,$A486&lt;&gt;$A485),and(not(isblank($A486)),$A486=$A485,$B486&lt;&gt;$B485)),"ID LISTS UNALIGNED",and($A486&lt;&gt;"",countif('5) Release_Track'!$F:$F,$A486)=0),"NO ISRC MATCH in Release_Track",and($B486&lt;&gt;"",countif('5) Release_Track'!$G:$G,$B486)=0),"NO CATALOG ID MATCH in Release_Track",iserror(vlookup($A486&amp;$B486,'5) Release_Track'!$F:$F&amp;'5) Release_Track'!$G:$G,1,0)),"NO ISRC-CATALOG ID pair MATCH in Release_Track" )</f>
        <v/>
      </c>
      <c r="E486" s="99"/>
      <c r="F486" s="99"/>
      <c r="G486" s="123" t="str">
        <f t="array" ref="G486">ifs(or($F486="",$F486="Main Primary Artist"),$F486,not(iserror(vlookup($F486,'Reference info'!$J$5:$J$8,1,0))),"Key Artist",not(iserror(vlookup($F486,'Reference info'!$J$38:$J$405,1,0))),"Performer",not(iserror(vlookup($F486,'Reference info'!$J$10:$J$36,1,0))),"Producer &amp; Engineer")</f>
        <v/>
      </c>
    </row>
    <row r="487">
      <c r="B487" s="103"/>
      <c r="C487" s="121" t="str">
        <f t="array" ref="C487">ifs(and(isblank($A487),isblank($B487)),"", not(iserror(vlookup($A487&amp;$B487,'5) Release_Track'!$F:$F&amp;'5) Release_Track'!$G:$G,1,0))),vlookup($A487&amp;$B487,{'5) Release_Track'!$F:$F&amp;'5) Release_Track'!$G:$G,'5) Release_Track'!$H:$H},2,0), or(and(not(isblank($B487)),$B487=$B486,$A487&lt;&gt;$A486),and(not(isblank($A487)),$A487=$A486,$B487&lt;&gt;$B486)),"ID LISTS UNALIGNED",and($A487&lt;&gt;"",countif('5) Release_Track'!$F:$F,$A487)=0),"NO ISRC MATCH in Release_Track",and($B487&lt;&gt;"",countif('5) Release_Track'!$G:$G,$B487)=0),"NO CATALOG ID MATCH in Release_Track",iserror(vlookup($A487&amp;$B487,'5) Release_Track'!$F:$F&amp;'5) Release_Track'!$G:$G,1,0)),"NO ISRC-CATALOG ID pair MATCH in Release_Track" )</f>
        <v/>
      </c>
      <c r="D487" s="121" t="str">
        <f t="array" ref="D487">ifs(and(isblank($A487),isblank($B487)),"", not(iserror(vlookup($A487&amp;$B487,'5) Release_Track'!$F:$F&amp;'5) Release_Track'!$G:$G,1,0))),vlookup($A487&amp;$B487,{'5) Release_Track'!$F:$F&amp;'5) Release_Track'!$G:$G,'5) Release_Track'!$I:$I},2,0), or(and(not(isblank($B487)),$B487=$B486,$A487&lt;&gt;$A486),and(not(isblank($A487)),$A487=$A486,$B487&lt;&gt;$B486)),"ID LISTS UNALIGNED",and($A487&lt;&gt;"",countif('5) Release_Track'!$F:$F,$A487)=0),"NO ISRC MATCH in Release_Track",and($B487&lt;&gt;"",countif('5) Release_Track'!$G:$G,$B487)=0),"NO CATALOG ID MATCH in Release_Track",iserror(vlookup($A487&amp;$B487,'5) Release_Track'!$F:$F&amp;'5) Release_Track'!$G:$G,1,0)),"NO ISRC-CATALOG ID pair MATCH in Release_Track" )</f>
        <v/>
      </c>
      <c r="E487" s="99"/>
      <c r="F487" s="99"/>
      <c r="G487" s="123" t="str">
        <f t="array" ref="G487">ifs(or($F487="",$F487="Main Primary Artist"),$F487,not(iserror(vlookup($F487,'Reference info'!$J$5:$J$8,1,0))),"Key Artist",not(iserror(vlookup($F487,'Reference info'!$J$38:$J$405,1,0))),"Performer",not(iserror(vlookup($F487,'Reference info'!$J$10:$J$36,1,0))),"Producer &amp; Engineer")</f>
        <v/>
      </c>
    </row>
    <row r="488">
      <c r="B488" s="103"/>
      <c r="C488" s="121" t="str">
        <f t="array" ref="C488">ifs(and(isblank($A488),isblank($B488)),"", not(iserror(vlookup($A488&amp;$B488,'5) Release_Track'!$F:$F&amp;'5) Release_Track'!$G:$G,1,0))),vlookup($A488&amp;$B488,{'5) Release_Track'!$F:$F&amp;'5) Release_Track'!$G:$G,'5) Release_Track'!$H:$H},2,0), or(and(not(isblank($B488)),$B488=$B487,$A488&lt;&gt;$A487),and(not(isblank($A488)),$A488=$A487,$B488&lt;&gt;$B487)),"ID LISTS UNALIGNED",and($A488&lt;&gt;"",countif('5) Release_Track'!$F:$F,$A488)=0),"NO ISRC MATCH in Release_Track",and($B488&lt;&gt;"",countif('5) Release_Track'!$G:$G,$B488)=0),"NO CATALOG ID MATCH in Release_Track",iserror(vlookup($A488&amp;$B488,'5) Release_Track'!$F:$F&amp;'5) Release_Track'!$G:$G,1,0)),"NO ISRC-CATALOG ID pair MATCH in Release_Track" )</f>
        <v/>
      </c>
      <c r="D488" s="121" t="str">
        <f t="array" ref="D488">ifs(and(isblank($A488),isblank($B488)),"", not(iserror(vlookup($A488&amp;$B488,'5) Release_Track'!$F:$F&amp;'5) Release_Track'!$G:$G,1,0))),vlookup($A488&amp;$B488,{'5) Release_Track'!$F:$F&amp;'5) Release_Track'!$G:$G,'5) Release_Track'!$I:$I},2,0), or(and(not(isblank($B488)),$B488=$B487,$A488&lt;&gt;$A487),and(not(isblank($A488)),$A488=$A487,$B488&lt;&gt;$B487)),"ID LISTS UNALIGNED",and($A488&lt;&gt;"",countif('5) Release_Track'!$F:$F,$A488)=0),"NO ISRC MATCH in Release_Track",and($B488&lt;&gt;"",countif('5) Release_Track'!$G:$G,$B488)=0),"NO CATALOG ID MATCH in Release_Track",iserror(vlookup($A488&amp;$B488,'5) Release_Track'!$F:$F&amp;'5) Release_Track'!$G:$G,1,0)),"NO ISRC-CATALOG ID pair MATCH in Release_Track" )</f>
        <v/>
      </c>
      <c r="E488" s="99"/>
      <c r="F488" s="99"/>
      <c r="G488" s="123" t="str">
        <f t="array" ref="G488">ifs(or($F488="",$F488="Main Primary Artist"),$F488,not(iserror(vlookup($F488,'Reference info'!$J$5:$J$8,1,0))),"Key Artist",not(iserror(vlookup($F488,'Reference info'!$J$38:$J$405,1,0))),"Performer",not(iserror(vlookup($F488,'Reference info'!$J$10:$J$36,1,0))),"Producer &amp; Engineer")</f>
        <v/>
      </c>
    </row>
    <row r="489">
      <c r="B489" s="103"/>
      <c r="C489" s="121" t="str">
        <f t="array" ref="C489">ifs(and(isblank($A489),isblank($B489)),"", not(iserror(vlookup($A489&amp;$B489,'5) Release_Track'!$F:$F&amp;'5) Release_Track'!$G:$G,1,0))),vlookup($A489&amp;$B489,{'5) Release_Track'!$F:$F&amp;'5) Release_Track'!$G:$G,'5) Release_Track'!$H:$H},2,0), or(and(not(isblank($B489)),$B489=$B488,$A489&lt;&gt;$A488),and(not(isblank($A489)),$A489=$A488,$B489&lt;&gt;$B488)),"ID LISTS UNALIGNED",and($A489&lt;&gt;"",countif('5) Release_Track'!$F:$F,$A489)=0),"NO ISRC MATCH in Release_Track",and($B489&lt;&gt;"",countif('5) Release_Track'!$G:$G,$B489)=0),"NO CATALOG ID MATCH in Release_Track",iserror(vlookup($A489&amp;$B489,'5) Release_Track'!$F:$F&amp;'5) Release_Track'!$G:$G,1,0)),"NO ISRC-CATALOG ID pair MATCH in Release_Track" )</f>
        <v/>
      </c>
      <c r="D489" s="121" t="str">
        <f t="array" ref="D489">ifs(and(isblank($A489),isblank($B489)),"", not(iserror(vlookup($A489&amp;$B489,'5) Release_Track'!$F:$F&amp;'5) Release_Track'!$G:$G,1,0))),vlookup($A489&amp;$B489,{'5) Release_Track'!$F:$F&amp;'5) Release_Track'!$G:$G,'5) Release_Track'!$I:$I},2,0), or(and(not(isblank($B489)),$B489=$B488,$A489&lt;&gt;$A488),and(not(isblank($A489)),$A489=$A488,$B489&lt;&gt;$B488)),"ID LISTS UNALIGNED",and($A489&lt;&gt;"",countif('5) Release_Track'!$F:$F,$A489)=0),"NO ISRC MATCH in Release_Track",and($B489&lt;&gt;"",countif('5) Release_Track'!$G:$G,$B489)=0),"NO CATALOG ID MATCH in Release_Track",iserror(vlookup($A489&amp;$B489,'5) Release_Track'!$F:$F&amp;'5) Release_Track'!$G:$G,1,0)),"NO ISRC-CATALOG ID pair MATCH in Release_Track" )</f>
        <v/>
      </c>
      <c r="E489" s="99"/>
      <c r="F489" s="99"/>
      <c r="G489" s="123" t="str">
        <f t="array" ref="G489">ifs(or($F489="",$F489="Main Primary Artist"),$F489,not(iserror(vlookup($F489,'Reference info'!$J$5:$J$8,1,0))),"Key Artist",not(iserror(vlookup($F489,'Reference info'!$J$38:$J$405,1,0))),"Performer",not(iserror(vlookup($F489,'Reference info'!$J$10:$J$36,1,0))),"Producer &amp; Engineer")</f>
        <v/>
      </c>
    </row>
    <row r="490">
      <c r="B490" s="103"/>
      <c r="C490" s="121" t="str">
        <f t="array" ref="C490">ifs(and(isblank($A490),isblank($B490)),"", not(iserror(vlookup($A490&amp;$B490,'5) Release_Track'!$F:$F&amp;'5) Release_Track'!$G:$G,1,0))),vlookup($A490&amp;$B490,{'5) Release_Track'!$F:$F&amp;'5) Release_Track'!$G:$G,'5) Release_Track'!$H:$H},2,0), or(and(not(isblank($B490)),$B490=$B489,$A490&lt;&gt;$A489),and(not(isblank($A490)),$A490=$A489,$B490&lt;&gt;$B489)),"ID LISTS UNALIGNED",and($A490&lt;&gt;"",countif('5) Release_Track'!$F:$F,$A490)=0),"NO ISRC MATCH in Release_Track",and($B490&lt;&gt;"",countif('5) Release_Track'!$G:$G,$B490)=0),"NO CATALOG ID MATCH in Release_Track",iserror(vlookup($A490&amp;$B490,'5) Release_Track'!$F:$F&amp;'5) Release_Track'!$G:$G,1,0)),"NO ISRC-CATALOG ID pair MATCH in Release_Track" )</f>
        <v/>
      </c>
      <c r="D490" s="121" t="str">
        <f t="array" ref="D490">ifs(and(isblank($A490),isblank($B490)),"", not(iserror(vlookup($A490&amp;$B490,'5) Release_Track'!$F:$F&amp;'5) Release_Track'!$G:$G,1,0))),vlookup($A490&amp;$B490,{'5) Release_Track'!$F:$F&amp;'5) Release_Track'!$G:$G,'5) Release_Track'!$I:$I},2,0), or(and(not(isblank($B490)),$B490=$B489,$A490&lt;&gt;$A489),and(not(isblank($A490)),$A490=$A489,$B490&lt;&gt;$B489)),"ID LISTS UNALIGNED",and($A490&lt;&gt;"",countif('5) Release_Track'!$F:$F,$A490)=0),"NO ISRC MATCH in Release_Track",and($B490&lt;&gt;"",countif('5) Release_Track'!$G:$G,$B490)=0),"NO CATALOG ID MATCH in Release_Track",iserror(vlookup($A490&amp;$B490,'5) Release_Track'!$F:$F&amp;'5) Release_Track'!$G:$G,1,0)),"NO ISRC-CATALOG ID pair MATCH in Release_Track" )</f>
        <v/>
      </c>
      <c r="E490" s="99"/>
      <c r="F490" s="99"/>
      <c r="G490" s="123" t="str">
        <f t="array" ref="G490">ifs(or($F490="",$F490="Main Primary Artist"),$F490,not(iserror(vlookup($F490,'Reference info'!$J$5:$J$8,1,0))),"Key Artist",not(iserror(vlookup($F490,'Reference info'!$J$38:$J$405,1,0))),"Performer",not(iserror(vlookup($F490,'Reference info'!$J$10:$J$36,1,0))),"Producer &amp; Engineer")</f>
        <v/>
      </c>
    </row>
    <row r="491">
      <c r="B491" s="103"/>
      <c r="C491" s="121" t="str">
        <f t="array" ref="C491">ifs(and(isblank($A491),isblank($B491)),"", not(iserror(vlookup($A491&amp;$B491,'5) Release_Track'!$F:$F&amp;'5) Release_Track'!$G:$G,1,0))),vlookup($A491&amp;$B491,{'5) Release_Track'!$F:$F&amp;'5) Release_Track'!$G:$G,'5) Release_Track'!$H:$H},2,0), or(and(not(isblank($B491)),$B491=$B490,$A491&lt;&gt;$A490),and(not(isblank($A491)),$A491=$A490,$B491&lt;&gt;$B490)),"ID LISTS UNALIGNED",and($A491&lt;&gt;"",countif('5) Release_Track'!$F:$F,$A491)=0),"NO ISRC MATCH in Release_Track",and($B491&lt;&gt;"",countif('5) Release_Track'!$G:$G,$B491)=0),"NO CATALOG ID MATCH in Release_Track",iserror(vlookup($A491&amp;$B491,'5) Release_Track'!$F:$F&amp;'5) Release_Track'!$G:$G,1,0)),"NO ISRC-CATALOG ID pair MATCH in Release_Track" )</f>
        <v/>
      </c>
      <c r="D491" s="121" t="str">
        <f t="array" ref="D491">ifs(and(isblank($A491),isblank($B491)),"", not(iserror(vlookup($A491&amp;$B491,'5) Release_Track'!$F:$F&amp;'5) Release_Track'!$G:$G,1,0))),vlookup($A491&amp;$B491,{'5) Release_Track'!$F:$F&amp;'5) Release_Track'!$G:$G,'5) Release_Track'!$I:$I},2,0), or(and(not(isblank($B491)),$B491=$B490,$A491&lt;&gt;$A490),and(not(isblank($A491)),$A491=$A490,$B491&lt;&gt;$B490)),"ID LISTS UNALIGNED",and($A491&lt;&gt;"",countif('5) Release_Track'!$F:$F,$A491)=0),"NO ISRC MATCH in Release_Track",and($B491&lt;&gt;"",countif('5) Release_Track'!$G:$G,$B491)=0),"NO CATALOG ID MATCH in Release_Track",iserror(vlookup($A491&amp;$B491,'5) Release_Track'!$F:$F&amp;'5) Release_Track'!$G:$G,1,0)),"NO ISRC-CATALOG ID pair MATCH in Release_Track" )</f>
        <v/>
      </c>
      <c r="E491" s="99"/>
      <c r="F491" s="99"/>
      <c r="G491" s="123" t="str">
        <f t="array" ref="G491">ifs(or($F491="",$F491="Main Primary Artist"),$F491,not(iserror(vlookup($F491,'Reference info'!$J$5:$J$8,1,0))),"Key Artist",not(iserror(vlookup($F491,'Reference info'!$J$38:$J$405,1,0))),"Performer",not(iserror(vlookup($F491,'Reference info'!$J$10:$J$36,1,0))),"Producer &amp; Engineer")</f>
        <v/>
      </c>
    </row>
    <row r="492">
      <c r="B492" s="103"/>
      <c r="C492" s="121" t="str">
        <f t="array" ref="C492">ifs(and(isblank($A492),isblank($B492)),"", not(iserror(vlookup($A492&amp;$B492,'5) Release_Track'!$F:$F&amp;'5) Release_Track'!$G:$G,1,0))),vlookup($A492&amp;$B492,{'5) Release_Track'!$F:$F&amp;'5) Release_Track'!$G:$G,'5) Release_Track'!$H:$H},2,0), or(and(not(isblank($B492)),$B492=$B491,$A492&lt;&gt;$A491),and(not(isblank($A492)),$A492=$A491,$B492&lt;&gt;$B491)),"ID LISTS UNALIGNED",and($A492&lt;&gt;"",countif('5) Release_Track'!$F:$F,$A492)=0),"NO ISRC MATCH in Release_Track",and($B492&lt;&gt;"",countif('5) Release_Track'!$G:$G,$B492)=0),"NO CATALOG ID MATCH in Release_Track",iserror(vlookup($A492&amp;$B492,'5) Release_Track'!$F:$F&amp;'5) Release_Track'!$G:$G,1,0)),"NO ISRC-CATALOG ID pair MATCH in Release_Track" )</f>
        <v/>
      </c>
      <c r="D492" s="121" t="str">
        <f t="array" ref="D492">ifs(and(isblank($A492),isblank($B492)),"", not(iserror(vlookup($A492&amp;$B492,'5) Release_Track'!$F:$F&amp;'5) Release_Track'!$G:$G,1,0))),vlookup($A492&amp;$B492,{'5) Release_Track'!$F:$F&amp;'5) Release_Track'!$G:$G,'5) Release_Track'!$I:$I},2,0), or(and(not(isblank($B492)),$B492=$B491,$A492&lt;&gt;$A491),and(not(isblank($A492)),$A492=$A491,$B492&lt;&gt;$B491)),"ID LISTS UNALIGNED",and($A492&lt;&gt;"",countif('5) Release_Track'!$F:$F,$A492)=0),"NO ISRC MATCH in Release_Track",and($B492&lt;&gt;"",countif('5) Release_Track'!$G:$G,$B492)=0),"NO CATALOG ID MATCH in Release_Track",iserror(vlookup($A492&amp;$B492,'5) Release_Track'!$F:$F&amp;'5) Release_Track'!$G:$G,1,0)),"NO ISRC-CATALOG ID pair MATCH in Release_Track" )</f>
        <v/>
      </c>
      <c r="E492" s="99"/>
      <c r="F492" s="99"/>
      <c r="G492" s="123" t="str">
        <f t="array" ref="G492">ifs(or($F492="",$F492="Main Primary Artist"),$F492,not(iserror(vlookup($F492,'Reference info'!$J$5:$J$8,1,0))),"Key Artist",not(iserror(vlookup($F492,'Reference info'!$J$38:$J$405,1,0))),"Performer",not(iserror(vlookup($F492,'Reference info'!$J$10:$J$36,1,0))),"Producer &amp; Engineer")</f>
        <v/>
      </c>
    </row>
    <row r="493">
      <c r="B493" s="103"/>
      <c r="C493" s="121" t="str">
        <f t="array" ref="C493">ifs(and(isblank($A493),isblank($B493)),"", not(iserror(vlookup($A493&amp;$B493,'5) Release_Track'!$F:$F&amp;'5) Release_Track'!$G:$G,1,0))),vlookup($A493&amp;$B493,{'5) Release_Track'!$F:$F&amp;'5) Release_Track'!$G:$G,'5) Release_Track'!$H:$H},2,0), or(and(not(isblank($B493)),$B493=$B492,$A493&lt;&gt;$A492),and(not(isblank($A493)),$A493=$A492,$B493&lt;&gt;$B492)),"ID LISTS UNALIGNED",and($A493&lt;&gt;"",countif('5) Release_Track'!$F:$F,$A493)=0),"NO ISRC MATCH in Release_Track",and($B493&lt;&gt;"",countif('5) Release_Track'!$G:$G,$B493)=0),"NO CATALOG ID MATCH in Release_Track",iserror(vlookup($A493&amp;$B493,'5) Release_Track'!$F:$F&amp;'5) Release_Track'!$G:$G,1,0)),"NO ISRC-CATALOG ID pair MATCH in Release_Track" )</f>
        <v/>
      </c>
      <c r="D493" s="121" t="str">
        <f t="array" ref="D493">ifs(and(isblank($A493),isblank($B493)),"", not(iserror(vlookup($A493&amp;$B493,'5) Release_Track'!$F:$F&amp;'5) Release_Track'!$G:$G,1,0))),vlookup($A493&amp;$B493,{'5) Release_Track'!$F:$F&amp;'5) Release_Track'!$G:$G,'5) Release_Track'!$I:$I},2,0), or(and(not(isblank($B493)),$B493=$B492,$A493&lt;&gt;$A492),and(not(isblank($A493)),$A493=$A492,$B493&lt;&gt;$B492)),"ID LISTS UNALIGNED",and($A493&lt;&gt;"",countif('5) Release_Track'!$F:$F,$A493)=0),"NO ISRC MATCH in Release_Track",and($B493&lt;&gt;"",countif('5) Release_Track'!$G:$G,$B493)=0),"NO CATALOG ID MATCH in Release_Track",iserror(vlookup($A493&amp;$B493,'5) Release_Track'!$F:$F&amp;'5) Release_Track'!$G:$G,1,0)),"NO ISRC-CATALOG ID pair MATCH in Release_Track" )</f>
        <v/>
      </c>
      <c r="E493" s="99"/>
      <c r="F493" s="99"/>
      <c r="G493" s="123" t="str">
        <f t="array" ref="G493">ifs(or($F493="",$F493="Main Primary Artist"),$F493,not(iserror(vlookup($F493,'Reference info'!$J$5:$J$8,1,0))),"Key Artist",not(iserror(vlookup($F493,'Reference info'!$J$38:$J$405,1,0))),"Performer",not(iserror(vlookup($F493,'Reference info'!$J$10:$J$36,1,0))),"Producer &amp; Engineer")</f>
        <v/>
      </c>
    </row>
    <row r="494">
      <c r="B494" s="103"/>
      <c r="C494" s="121" t="str">
        <f t="array" ref="C494">ifs(and(isblank($A494),isblank($B494)),"", not(iserror(vlookup($A494&amp;$B494,'5) Release_Track'!$F:$F&amp;'5) Release_Track'!$G:$G,1,0))),vlookup($A494&amp;$B494,{'5) Release_Track'!$F:$F&amp;'5) Release_Track'!$G:$G,'5) Release_Track'!$H:$H},2,0), or(and(not(isblank($B494)),$B494=$B493,$A494&lt;&gt;$A493),and(not(isblank($A494)),$A494=$A493,$B494&lt;&gt;$B493)),"ID LISTS UNALIGNED",and($A494&lt;&gt;"",countif('5) Release_Track'!$F:$F,$A494)=0),"NO ISRC MATCH in Release_Track",and($B494&lt;&gt;"",countif('5) Release_Track'!$G:$G,$B494)=0),"NO CATALOG ID MATCH in Release_Track",iserror(vlookup($A494&amp;$B494,'5) Release_Track'!$F:$F&amp;'5) Release_Track'!$G:$G,1,0)),"NO ISRC-CATALOG ID pair MATCH in Release_Track" )</f>
        <v/>
      </c>
      <c r="D494" s="121" t="str">
        <f t="array" ref="D494">ifs(and(isblank($A494),isblank($B494)),"", not(iserror(vlookup($A494&amp;$B494,'5) Release_Track'!$F:$F&amp;'5) Release_Track'!$G:$G,1,0))),vlookup($A494&amp;$B494,{'5) Release_Track'!$F:$F&amp;'5) Release_Track'!$G:$G,'5) Release_Track'!$I:$I},2,0), or(and(not(isblank($B494)),$B494=$B493,$A494&lt;&gt;$A493),and(not(isblank($A494)),$A494=$A493,$B494&lt;&gt;$B493)),"ID LISTS UNALIGNED",and($A494&lt;&gt;"",countif('5) Release_Track'!$F:$F,$A494)=0),"NO ISRC MATCH in Release_Track",and($B494&lt;&gt;"",countif('5) Release_Track'!$G:$G,$B494)=0),"NO CATALOG ID MATCH in Release_Track",iserror(vlookup($A494&amp;$B494,'5) Release_Track'!$F:$F&amp;'5) Release_Track'!$G:$G,1,0)),"NO ISRC-CATALOG ID pair MATCH in Release_Track" )</f>
        <v/>
      </c>
      <c r="E494" s="99"/>
      <c r="F494" s="99"/>
      <c r="G494" s="123" t="str">
        <f t="array" ref="G494">ifs(or($F494="",$F494="Main Primary Artist"),$F494,not(iserror(vlookup($F494,'Reference info'!$J$5:$J$8,1,0))),"Key Artist",not(iserror(vlookup($F494,'Reference info'!$J$38:$J$405,1,0))),"Performer",not(iserror(vlookup($F494,'Reference info'!$J$10:$J$36,1,0))),"Producer &amp; Engineer")</f>
        <v/>
      </c>
    </row>
    <row r="495">
      <c r="B495" s="103"/>
      <c r="C495" s="121" t="str">
        <f t="array" ref="C495">ifs(and(isblank($A495),isblank($B495)),"", not(iserror(vlookup($A495&amp;$B495,'5) Release_Track'!$F:$F&amp;'5) Release_Track'!$G:$G,1,0))),vlookup($A495&amp;$B495,{'5) Release_Track'!$F:$F&amp;'5) Release_Track'!$G:$G,'5) Release_Track'!$H:$H},2,0), or(and(not(isblank($B495)),$B495=$B494,$A495&lt;&gt;$A494),and(not(isblank($A495)),$A495=$A494,$B495&lt;&gt;$B494)),"ID LISTS UNALIGNED",and($A495&lt;&gt;"",countif('5) Release_Track'!$F:$F,$A495)=0),"NO ISRC MATCH in Release_Track",and($B495&lt;&gt;"",countif('5) Release_Track'!$G:$G,$B495)=0),"NO CATALOG ID MATCH in Release_Track",iserror(vlookup($A495&amp;$B495,'5) Release_Track'!$F:$F&amp;'5) Release_Track'!$G:$G,1,0)),"NO ISRC-CATALOG ID pair MATCH in Release_Track" )</f>
        <v/>
      </c>
      <c r="D495" s="121" t="str">
        <f t="array" ref="D495">ifs(and(isblank($A495),isblank($B495)),"", not(iserror(vlookup($A495&amp;$B495,'5) Release_Track'!$F:$F&amp;'5) Release_Track'!$G:$G,1,0))),vlookup($A495&amp;$B495,{'5) Release_Track'!$F:$F&amp;'5) Release_Track'!$G:$G,'5) Release_Track'!$I:$I},2,0), or(and(not(isblank($B495)),$B495=$B494,$A495&lt;&gt;$A494),and(not(isblank($A495)),$A495=$A494,$B495&lt;&gt;$B494)),"ID LISTS UNALIGNED",and($A495&lt;&gt;"",countif('5) Release_Track'!$F:$F,$A495)=0),"NO ISRC MATCH in Release_Track",and($B495&lt;&gt;"",countif('5) Release_Track'!$G:$G,$B495)=0),"NO CATALOG ID MATCH in Release_Track",iserror(vlookup($A495&amp;$B495,'5) Release_Track'!$F:$F&amp;'5) Release_Track'!$G:$G,1,0)),"NO ISRC-CATALOG ID pair MATCH in Release_Track" )</f>
        <v/>
      </c>
      <c r="E495" s="99"/>
      <c r="F495" s="99"/>
      <c r="G495" s="123" t="str">
        <f t="array" ref="G495">ifs(or($F495="",$F495="Main Primary Artist"),$F495,not(iserror(vlookup($F495,'Reference info'!$J$5:$J$8,1,0))),"Key Artist",not(iserror(vlookup($F495,'Reference info'!$J$38:$J$405,1,0))),"Performer",not(iserror(vlookup($F495,'Reference info'!$J$10:$J$36,1,0))),"Producer &amp; Engineer")</f>
        <v/>
      </c>
    </row>
    <row r="496">
      <c r="B496" s="103"/>
      <c r="C496" s="121" t="str">
        <f t="array" ref="C496">ifs(and(isblank($A496),isblank($B496)),"", not(iserror(vlookup($A496&amp;$B496,'5) Release_Track'!$F:$F&amp;'5) Release_Track'!$G:$G,1,0))),vlookup($A496&amp;$B496,{'5) Release_Track'!$F:$F&amp;'5) Release_Track'!$G:$G,'5) Release_Track'!$H:$H},2,0), or(and(not(isblank($B496)),$B496=$B495,$A496&lt;&gt;$A495),and(not(isblank($A496)),$A496=$A495,$B496&lt;&gt;$B495)),"ID LISTS UNALIGNED",and($A496&lt;&gt;"",countif('5) Release_Track'!$F:$F,$A496)=0),"NO ISRC MATCH in Release_Track",and($B496&lt;&gt;"",countif('5) Release_Track'!$G:$G,$B496)=0),"NO CATALOG ID MATCH in Release_Track",iserror(vlookup($A496&amp;$B496,'5) Release_Track'!$F:$F&amp;'5) Release_Track'!$G:$G,1,0)),"NO ISRC-CATALOG ID pair MATCH in Release_Track" )</f>
        <v/>
      </c>
      <c r="D496" s="121" t="str">
        <f t="array" ref="D496">ifs(and(isblank($A496),isblank($B496)),"", not(iserror(vlookup($A496&amp;$B496,'5) Release_Track'!$F:$F&amp;'5) Release_Track'!$G:$G,1,0))),vlookup($A496&amp;$B496,{'5) Release_Track'!$F:$F&amp;'5) Release_Track'!$G:$G,'5) Release_Track'!$I:$I},2,0), or(and(not(isblank($B496)),$B496=$B495,$A496&lt;&gt;$A495),and(not(isblank($A496)),$A496=$A495,$B496&lt;&gt;$B495)),"ID LISTS UNALIGNED",and($A496&lt;&gt;"",countif('5) Release_Track'!$F:$F,$A496)=0),"NO ISRC MATCH in Release_Track",and($B496&lt;&gt;"",countif('5) Release_Track'!$G:$G,$B496)=0),"NO CATALOG ID MATCH in Release_Track",iserror(vlookup($A496&amp;$B496,'5) Release_Track'!$F:$F&amp;'5) Release_Track'!$G:$G,1,0)),"NO ISRC-CATALOG ID pair MATCH in Release_Track" )</f>
        <v/>
      </c>
      <c r="E496" s="99"/>
      <c r="F496" s="99"/>
      <c r="G496" s="123" t="str">
        <f t="array" ref="G496">ifs(or($F496="",$F496="Main Primary Artist"),$F496,not(iserror(vlookup($F496,'Reference info'!$J$5:$J$8,1,0))),"Key Artist",not(iserror(vlookup($F496,'Reference info'!$J$38:$J$405,1,0))),"Performer",not(iserror(vlookup($F496,'Reference info'!$J$10:$J$36,1,0))),"Producer &amp; Engineer")</f>
        <v/>
      </c>
    </row>
    <row r="497">
      <c r="B497" s="103"/>
      <c r="C497" s="121" t="str">
        <f t="array" ref="C497">ifs(and(isblank($A497),isblank($B497)),"", not(iserror(vlookup($A497&amp;$B497,'5) Release_Track'!$F:$F&amp;'5) Release_Track'!$G:$G,1,0))),vlookup($A497&amp;$B497,{'5) Release_Track'!$F:$F&amp;'5) Release_Track'!$G:$G,'5) Release_Track'!$H:$H},2,0), or(and(not(isblank($B497)),$B497=$B496,$A497&lt;&gt;$A496),and(not(isblank($A497)),$A497=$A496,$B497&lt;&gt;$B496)),"ID LISTS UNALIGNED",and($A497&lt;&gt;"",countif('5) Release_Track'!$F:$F,$A497)=0),"NO ISRC MATCH in Release_Track",and($B497&lt;&gt;"",countif('5) Release_Track'!$G:$G,$B497)=0),"NO CATALOG ID MATCH in Release_Track",iserror(vlookup($A497&amp;$B497,'5) Release_Track'!$F:$F&amp;'5) Release_Track'!$G:$G,1,0)),"NO ISRC-CATALOG ID pair MATCH in Release_Track" )</f>
        <v/>
      </c>
      <c r="D497" s="121" t="str">
        <f t="array" ref="D497">ifs(and(isblank($A497),isblank($B497)),"", not(iserror(vlookup($A497&amp;$B497,'5) Release_Track'!$F:$F&amp;'5) Release_Track'!$G:$G,1,0))),vlookup($A497&amp;$B497,{'5) Release_Track'!$F:$F&amp;'5) Release_Track'!$G:$G,'5) Release_Track'!$I:$I},2,0), or(and(not(isblank($B497)),$B497=$B496,$A497&lt;&gt;$A496),and(not(isblank($A497)),$A497=$A496,$B497&lt;&gt;$B496)),"ID LISTS UNALIGNED",and($A497&lt;&gt;"",countif('5) Release_Track'!$F:$F,$A497)=0),"NO ISRC MATCH in Release_Track",and($B497&lt;&gt;"",countif('5) Release_Track'!$G:$G,$B497)=0),"NO CATALOG ID MATCH in Release_Track",iserror(vlookup($A497&amp;$B497,'5) Release_Track'!$F:$F&amp;'5) Release_Track'!$G:$G,1,0)),"NO ISRC-CATALOG ID pair MATCH in Release_Track" )</f>
        <v/>
      </c>
      <c r="E497" s="99"/>
      <c r="F497" s="99"/>
      <c r="G497" s="123" t="str">
        <f t="array" ref="G497">ifs(or($F497="",$F497="Main Primary Artist"),$F497,not(iserror(vlookup($F497,'Reference info'!$J$5:$J$8,1,0))),"Key Artist",not(iserror(vlookup($F497,'Reference info'!$J$38:$J$405,1,0))),"Performer",not(iserror(vlookup($F497,'Reference info'!$J$10:$J$36,1,0))),"Producer &amp; Engineer")</f>
        <v/>
      </c>
    </row>
    <row r="498">
      <c r="B498" s="103"/>
      <c r="C498" s="121" t="str">
        <f t="array" ref="C498">ifs(and(isblank($A498),isblank($B498)),"", not(iserror(vlookup($A498&amp;$B498,'5) Release_Track'!$F:$F&amp;'5) Release_Track'!$G:$G,1,0))),vlookup($A498&amp;$B498,{'5) Release_Track'!$F:$F&amp;'5) Release_Track'!$G:$G,'5) Release_Track'!$H:$H},2,0), or(and(not(isblank($B498)),$B498=$B497,$A498&lt;&gt;$A497),and(not(isblank($A498)),$A498=$A497,$B498&lt;&gt;$B497)),"ID LISTS UNALIGNED",and($A498&lt;&gt;"",countif('5) Release_Track'!$F:$F,$A498)=0),"NO ISRC MATCH in Release_Track",and($B498&lt;&gt;"",countif('5) Release_Track'!$G:$G,$B498)=0),"NO CATALOG ID MATCH in Release_Track",iserror(vlookup($A498&amp;$B498,'5) Release_Track'!$F:$F&amp;'5) Release_Track'!$G:$G,1,0)),"NO ISRC-CATALOG ID pair MATCH in Release_Track" )</f>
        <v/>
      </c>
      <c r="D498" s="121" t="str">
        <f t="array" ref="D498">ifs(and(isblank($A498),isblank($B498)),"", not(iserror(vlookup($A498&amp;$B498,'5) Release_Track'!$F:$F&amp;'5) Release_Track'!$G:$G,1,0))),vlookup($A498&amp;$B498,{'5) Release_Track'!$F:$F&amp;'5) Release_Track'!$G:$G,'5) Release_Track'!$I:$I},2,0), or(and(not(isblank($B498)),$B498=$B497,$A498&lt;&gt;$A497),and(not(isblank($A498)),$A498=$A497,$B498&lt;&gt;$B497)),"ID LISTS UNALIGNED",and($A498&lt;&gt;"",countif('5) Release_Track'!$F:$F,$A498)=0),"NO ISRC MATCH in Release_Track",and($B498&lt;&gt;"",countif('5) Release_Track'!$G:$G,$B498)=0),"NO CATALOG ID MATCH in Release_Track",iserror(vlookup($A498&amp;$B498,'5) Release_Track'!$F:$F&amp;'5) Release_Track'!$G:$G,1,0)),"NO ISRC-CATALOG ID pair MATCH in Release_Track" )</f>
        <v/>
      </c>
      <c r="E498" s="99"/>
      <c r="F498" s="99"/>
      <c r="G498" s="123" t="str">
        <f t="array" ref="G498">ifs(or($F498="",$F498="Main Primary Artist"),$F498,not(iserror(vlookup($F498,'Reference info'!$J$5:$J$8,1,0))),"Key Artist",not(iserror(vlookup($F498,'Reference info'!$J$38:$J$405,1,0))),"Performer",not(iserror(vlookup($F498,'Reference info'!$J$10:$J$36,1,0))),"Producer &amp; Engineer")</f>
        <v/>
      </c>
    </row>
    <row r="499">
      <c r="B499" s="103"/>
      <c r="C499" s="121" t="str">
        <f t="array" ref="C499">ifs(and(isblank($A499),isblank($B499)),"", not(iserror(vlookup($A499&amp;$B499,'5) Release_Track'!$F:$F&amp;'5) Release_Track'!$G:$G,1,0))),vlookup($A499&amp;$B499,{'5) Release_Track'!$F:$F&amp;'5) Release_Track'!$G:$G,'5) Release_Track'!$H:$H},2,0), or(and(not(isblank($B499)),$B499=$B498,$A499&lt;&gt;$A498),and(not(isblank($A499)),$A499=$A498,$B499&lt;&gt;$B498)),"ID LISTS UNALIGNED",and($A499&lt;&gt;"",countif('5) Release_Track'!$F:$F,$A499)=0),"NO ISRC MATCH in Release_Track",and($B499&lt;&gt;"",countif('5) Release_Track'!$G:$G,$B499)=0),"NO CATALOG ID MATCH in Release_Track",iserror(vlookup($A499&amp;$B499,'5) Release_Track'!$F:$F&amp;'5) Release_Track'!$G:$G,1,0)),"NO ISRC-CATALOG ID pair MATCH in Release_Track" )</f>
        <v/>
      </c>
      <c r="D499" s="121" t="str">
        <f t="array" ref="D499">ifs(and(isblank($A499),isblank($B499)),"", not(iserror(vlookup($A499&amp;$B499,'5) Release_Track'!$F:$F&amp;'5) Release_Track'!$G:$G,1,0))),vlookup($A499&amp;$B499,{'5) Release_Track'!$F:$F&amp;'5) Release_Track'!$G:$G,'5) Release_Track'!$I:$I},2,0), or(and(not(isblank($B499)),$B499=$B498,$A499&lt;&gt;$A498),and(not(isblank($A499)),$A499=$A498,$B499&lt;&gt;$B498)),"ID LISTS UNALIGNED",and($A499&lt;&gt;"",countif('5) Release_Track'!$F:$F,$A499)=0),"NO ISRC MATCH in Release_Track",and($B499&lt;&gt;"",countif('5) Release_Track'!$G:$G,$B499)=0),"NO CATALOG ID MATCH in Release_Track",iserror(vlookup($A499&amp;$B499,'5) Release_Track'!$F:$F&amp;'5) Release_Track'!$G:$G,1,0)),"NO ISRC-CATALOG ID pair MATCH in Release_Track" )</f>
        <v/>
      </c>
      <c r="E499" s="99"/>
      <c r="F499" s="99"/>
      <c r="G499" s="123" t="str">
        <f t="array" ref="G499">ifs(or($F499="",$F499="Main Primary Artist"),$F499,not(iserror(vlookup($F499,'Reference info'!$J$5:$J$8,1,0))),"Key Artist",not(iserror(vlookup($F499,'Reference info'!$J$38:$J$405,1,0))),"Performer",not(iserror(vlookup($F499,'Reference info'!$J$10:$J$36,1,0))),"Producer &amp; Engineer")</f>
        <v/>
      </c>
    </row>
    <row r="500">
      <c r="B500" s="103"/>
      <c r="C500" s="121" t="str">
        <f t="array" ref="C500">ifs(and(isblank($A500),isblank($B500)),"", not(iserror(vlookup($A500&amp;$B500,'5) Release_Track'!$F:$F&amp;'5) Release_Track'!$G:$G,1,0))),vlookup($A500&amp;$B500,{'5) Release_Track'!$F:$F&amp;'5) Release_Track'!$G:$G,'5) Release_Track'!$H:$H},2,0), or(and(not(isblank($B500)),$B500=$B499,$A500&lt;&gt;$A499),and(not(isblank($A500)),$A500=$A499,$B500&lt;&gt;$B499)),"ID LISTS UNALIGNED",and($A500&lt;&gt;"",countif('5) Release_Track'!$F:$F,$A500)=0),"NO ISRC MATCH in Release_Track",and($B500&lt;&gt;"",countif('5) Release_Track'!$G:$G,$B500)=0),"NO CATALOG ID MATCH in Release_Track",iserror(vlookup($A500&amp;$B500,'5) Release_Track'!$F:$F&amp;'5) Release_Track'!$G:$G,1,0)),"NO ISRC-CATALOG ID pair MATCH in Release_Track" )</f>
        <v/>
      </c>
      <c r="D500" s="121" t="str">
        <f t="array" ref="D500">ifs(and(isblank($A500),isblank($B500)),"", not(iserror(vlookup($A500&amp;$B500,'5) Release_Track'!$F:$F&amp;'5) Release_Track'!$G:$G,1,0))),vlookup($A500&amp;$B500,{'5) Release_Track'!$F:$F&amp;'5) Release_Track'!$G:$G,'5) Release_Track'!$I:$I},2,0), or(and(not(isblank($B500)),$B500=$B499,$A500&lt;&gt;$A499),and(not(isblank($A500)),$A500=$A499,$B500&lt;&gt;$B499)),"ID LISTS UNALIGNED",and($A500&lt;&gt;"",countif('5) Release_Track'!$F:$F,$A500)=0),"NO ISRC MATCH in Release_Track",and($B500&lt;&gt;"",countif('5) Release_Track'!$G:$G,$B500)=0),"NO CATALOG ID MATCH in Release_Track",iserror(vlookup($A500&amp;$B500,'5) Release_Track'!$F:$F&amp;'5) Release_Track'!$G:$G,1,0)),"NO ISRC-CATALOG ID pair MATCH in Release_Track" )</f>
        <v/>
      </c>
      <c r="E500" s="99"/>
      <c r="F500" s="99"/>
      <c r="G500" s="123" t="str">
        <f t="array" ref="G500">ifs(or($F500="",$F500="Main Primary Artist"),$F500,not(iserror(vlookup($F500,'Reference info'!$J$5:$J$8,1,0))),"Key Artist",not(iserror(vlookup($F500,'Reference info'!$J$38:$J$405,1,0))),"Performer",not(iserror(vlookup($F500,'Reference info'!$J$10:$J$36,1,0))),"Producer &amp; Engineer")</f>
        <v/>
      </c>
    </row>
    <row r="501">
      <c r="B501" s="103"/>
      <c r="C501" s="121" t="str">
        <f t="array" ref="C501">ifs(and(isblank($A501),isblank($B501)),"", not(iserror(vlookup($A501&amp;$B501,'5) Release_Track'!$F:$F&amp;'5) Release_Track'!$G:$G,1,0))),vlookup($A501&amp;$B501,{'5) Release_Track'!$F:$F&amp;'5) Release_Track'!$G:$G,'5) Release_Track'!$H:$H},2,0), or(and(not(isblank($B501)),$B501=$B500,$A501&lt;&gt;$A500),and(not(isblank($A501)),$A501=$A500,$B501&lt;&gt;$B500)),"ID LISTS UNALIGNED",and($A501&lt;&gt;"",countif('5) Release_Track'!$F:$F,$A501)=0),"NO ISRC MATCH in Release_Track",and($B501&lt;&gt;"",countif('5) Release_Track'!$G:$G,$B501)=0),"NO CATALOG ID MATCH in Release_Track",iserror(vlookup($A501&amp;$B501,'5) Release_Track'!$F:$F&amp;'5) Release_Track'!$G:$G,1,0)),"NO ISRC-CATALOG ID pair MATCH in Release_Track" )</f>
        <v/>
      </c>
      <c r="D501" s="121" t="str">
        <f t="array" ref="D501">ifs(and(isblank($A501),isblank($B501)),"", not(iserror(vlookup($A501&amp;$B501,'5) Release_Track'!$F:$F&amp;'5) Release_Track'!$G:$G,1,0))),vlookup($A501&amp;$B501,{'5) Release_Track'!$F:$F&amp;'5) Release_Track'!$G:$G,'5) Release_Track'!$I:$I},2,0), or(and(not(isblank($B501)),$B501=$B500,$A501&lt;&gt;$A500),and(not(isblank($A501)),$A501=$A500,$B501&lt;&gt;$B500)),"ID LISTS UNALIGNED",and($A501&lt;&gt;"",countif('5) Release_Track'!$F:$F,$A501)=0),"NO ISRC MATCH in Release_Track",and($B501&lt;&gt;"",countif('5) Release_Track'!$G:$G,$B501)=0),"NO CATALOG ID MATCH in Release_Track",iserror(vlookup($A501&amp;$B501,'5) Release_Track'!$F:$F&amp;'5) Release_Track'!$G:$G,1,0)),"NO ISRC-CATALOG ID pair MATCH in Release_Track" )</f>
        <v/>
      </c>
      <c r="E501" s="99"/>
      <c r="F501" s="99"/>
      <c r="G501" s="123" t="str">
        <f t="array" ref="G501">ifs(or($F501="",$F501="Main Primary Artist"),$F501,not(iserror(vlookup($F501,'Reference info'!$J$5:$J$8,1,0))),"Key Artist",not(iserror(vlookup($F501,'Reference info'!$J$38:$J$405,1,0))),"Performer",not(iserror(vlookup($F501,'Reference info'!$J$10:$J$36,1,0))),"Producer &amp; Engineer")</f>
        <v/>
      </c>
    </row>
    <row r="502">
      <c r="B502" s="103"/>
      <c r="C502" s="121" t="str">
        <f t="array" ref="C502">ifs(and(isblank($A502),isblank($B502)),"", not(iserror(vlookup($A502&amp;$B502,'5) Release_Track'!$F:$F&amp;'5) Release_Track'!$G:$G,1,0))),vlookup($A502&amp;$B502,{'5) Release_Track'!$F:$F&amp;'5) Release_Track'!$G:$G,'5) Release_Track'!$H:$H},2,0), or(and(not(isblank($B502)),$B502=$B501,$A502&lt;&gt;$A501),and(not(isblank($A502)),$A502=$A501,$B502&lt;&gt;$B501)),"ID LISTS UNALIGNED",and($A502&lt;&gt;"",countif('5) Release_Track'!$F:$F,$A502)=0),"NO ISRC MATCH in Release_Track",and($B502&lt;&gt;"",countif('5) Release_Track'!$G:$G,$B502)=0),"NO CATALOG ID MATCH in Release_Track",iserror(vlookup($A502&amp;$B502,'5) Release_Track'!$F:$F&amp;'5) Release_Track'!$G:$G,1,0)),"NO ISRC-CATALOG ID pair MATCH in Release_Track" )</f>
        <v/>
      </c>
      <c r="D502" s="121" t="str">
        <f t="array" ref="D502">ifs(and(isblank($A502),isblank($B502)),"", not(iserror(vlookup($A502&amp;$B502,'5) Release_Track'!$F:$F&amp;'5) Release_Track'!$G:$G,1,0))),vlookup($A502&amp;$B502,{'5) Release_Track'!$F:$F&amp;'5) Release_Track'!$G:$G,'5) Release_Track'!$I:$I},2,0), or(and(not(isblank($B502)),$B502=$B501,$A502&lt;&gt;$A501),and(not(isblank($A502)),$A502=$A501,$B502&lt;&gt;$B501)),"ID LISTS UNALIGNED",and($A502&lt;&gt;"",countif('5) Release_Track'!$F:$F,$A502)=0),"NO ISRC MATCH in Release_Track",and($B502&lt;&gt;"",countif('5) Release_Track'!$G:$G,$B502)=0),"NO CATALOG ID MATCH in Release_Track",iserror(vlookup($A502&amp;$B502,'5) Release_Track'!$F:$F&amp;'5) Release_Track'!$G:$G,1,0)),"NO ISRC-CATALOG ID pair MATCH in Release_Track" )</f>
        <v/>
      </c>
      <c r="E502" s="99"/>
      <c r="F502" s="99"/>
      <c r="G502" s="123" t="str">
        <f t="array" ref="G502">ifs(or($F502="",$F502="Main Primary Artist"),$F502,not(iserror(vlookup($F502,'Reference info'!$J$5:$J$8,1,0))),"Key Artist",not(iserror(vlookup($F502,'Reference info'!$J$38:$J$405,1,0))),"Performer",not(iserror(vlookup($F502,'Reference info'!$J$10:$J$36,1,0))),"Producer &amp; Engineer")</f>
        <v/>
      </c>
    </row>
    <row r="503">
      <c r="B503" s="103"/>
      <c r="C503" s="121" t="str">
        <f t="array" ref="C503">ifs(and(isblank($A503),isblank($B503)),"", not(iserror(vlookup($A503&amp;$B503,'5) Release_Track'!$F:$F&amp;'5) Release_Track'!$G:$G,1,0))),vlookup($A503&amp;$B503,{'5) Release_Track'!$F:$F&amp;'5) Release_Track'!$G:$G,'5) Release_Track'!$H:$H},2,0), or(and(not(isblank($B503)),$B503=$B502,$A503&lt;&gt;$A502),and(not(isblank($A503)),$A503=$A502,$B503&lt;&gt;$B502)),"ID LISTS UNALIGNED",and($A503&lt;&gt;"",countif('5) Release_Track'!$F:$F,$A503)=0),"NO ISRC MATCH in Release_Track",and($B503&lt;&gt;"",countif('5) Release_Track'!$G:$G,$B503)=0),"NO CATALOG ID MATCH in Release_Track",iserror(vlookup($A503&amp;$B503,'5) Release_Track'!$F:$F&amp;'5) Release_Track'!$G:$G,1,0)),"NO ISRC-CATALOG ID pair MATCH in Release_Track" )</f>
        <v/>
      </c>
      <c r="D503" s="121" t="str">
        <f t="array" ref="D503">ifs(and(isblank($A503),isblank($B503)),"", not(iserror(vlookup($A503&amp;$B503,'5) Release_Track'!$F:$F&amp;'5) Release_Track'!$G:$G,1,0))),vlookup($A503&amp;$B503,{'5) Release_Track'!$F:$F&amp;'5) Release_Track'!$G:$G,'5) Release_Track'!$I:$I},2,0), or(and(not(isblank($B503)),$B503=$B502,$A503&lt;&gt;$A502),and(not(isblank($A503)),$A503=$A502,$B503&lt;&gt;$B502)),"ID LISTS UNALIGNED",and($A503&lt;&gt;"",countif('5) Release_Track'!$F:$F,$A503)=0),"NO ISRC MATCH in Release_Track",and($B503&lt;&gt;"",countif('5) Release_Track'!$G:$G,$B503)=0),"NO CATALOG ID MATCH in Release_Track",iserror(vlookup($A503&amp;$B503,'5) Release_Track'!$F:$F&amp;'5) Release_Track'!$G:$G,1,0)),"NO ISRC-CATALOG ID pair MATCH in Release_Track" )</f>
        <v/>
      </c>
      <c r="E503" s="99"/>
      <c r="F503" s="99"/>
      <c r="G503" s="123" t="str">
        <f t="array" ref="G503">ifs(or($F503="",$F503="Main Primary Artist"),$F503,not(iserror(vlookup($F503,'Reference info'!$J$5:$J$8,1,0))),"Key Artist",not(iserror(vlookup($F503,'Reference info'!$J$38:$J$405,1,0))),"Performer",not(iserror(vlookup($F503,'Reference info'!$J$10:$J$36,1,0))),"Producer &amp; Engineer")</f>
        <v/>
      </c>
    </row>
    <row r="504">
      <c r="B504" s="103"/>
      <c r="C504" s="121" t="str">
        <f t="array" ref="C504">ifs(and(isblank($A504),isblank($B504)),"", not(iserror(vlookup($A504&amp;$B504,'5) Release_Track'!$F:$F&amp;'5) Release_Track'!$G:$G,1,0))),vlookup($A504&amp;$B504,{'5) Release_Track'!$F:$F&amp;'5) Release_Track'!$G:$G,'5) Release_Track'!$H:$H},2,0), or(and(not(isblank($B504)),$B504=$B503,$A504&lt;&gt;$A503),and(not(isblank($A504)),$A504=$A503,$B504&lt;&gt;$B503)),"ID LISTS UNALIGNED",and($A504&lt;&gt;"",countif('5) Release_Track'!$F:$F,$A504)=0),"NO ISRC MATCH in Release_Track",and($B504&lt;&gt;"",countif('5) Release_Track'!$G:$G,$B504)=0),"NO CATALOG ID MATCH in Release_Track",iserror(vlookup($A504&amp;$B504,'5) Release_Track'!$F:$F&amp;'5) Release_Track'!$G:$G,1,0)),"NO ISRC-CATALOG ID pair MATCH in Release_Track" )</f>
        <v/>
      </c>
      <c r="D504" s="121" t="str">
        <f t="array" ref="D504">ifs(and(isblank($A504),isblank($B504)),"", not(iserror(vlookup($A504&amp;$B504,'5) Release_Track'!$F:$F&amp;'5) Release_Track'!$G:$G,1,0))),vlookup($A504&amp;$B504,{'5) Release_Track'!$F:$F&amp;'5) Release_Track'!$G:$G,'5) Release_Track'!$I:$I},2,0), or(and(not(isblank($B504)),$B504=$B503,$A504&lt;&gt;$A503),and(not(isblank($A504)),$A504=$A503,$B504&lt;&gt;$B503)),"ID LISTS UNALIGNED",and($A504&lt;&gt;"",countif('5) Release_Track'!$F:$F,$A504)=0),"NO ISRC MATCH in Release_Track",and($B504&lt;&gt;"",countif('5) Release_Track'!$G:$G,$B504)=0),"NO CATALOG ID MATCH in Release_Track",iserror(vlookup($A504&amp;$B504,'5) Release_Track'!$F:$F&amp;'5) Release_Track'!$G:$G,1,0)),"NO ISRC-CATALOG ID pair MATCH in Release_Track" )</f>
        <v/>
      </c>
      <c r="E504" s="99"/>
      <c r="F504" s="99"/>
      <c r="G504" s="123" t="str">
        <f t="array" ref="G504">ifs(or($F504="",$F504="Main Primary Artist"),$F504,not(iserror(vlookup($F504,'Reference info'!$J$5:$J$8,1,0))),"Key Artist",not(iserror(vlookup($F504,'Reference info'!$J$38:$J$405,1,0))),"Performer",not(iserror(vlookup($F504,'Reference info'!$J$10:$J$36,1,0))),"Producer &amp; Engineer")</f>
        <v/>
      </c>
    </row>
    <row r="505">
      <c r="B505" s="103"/>
      <c r="C505" s="121" t="str">
        <f t="array" ref="C505">ifs(and(isblank($A505),isblank($B505)),"", not(iserror(vlookup($A505&amp;$B505,'5) Release_Track'!$F:$F&amp;'5) Release_Track'!$G:$G,1,0))),vlookup($A505&amp;$B505,{'5) Release_Track'!$F:$F&amp;'5) Release_Track'!$G:$G,'5) Release_Track'!$H:$H},2,0), or(and(not(isblank($B505)),$B505=$B504,$A505&lt;&gt;$A504),and(not(isblank($A505)),$A505=$A504,$B505&lt;&gt;$B504)),"ID LISTS UNALIGNED",and($A505&lt;&gt;"",countif('5) Release_Track'!$F:$F,$A505)=0),"NO ISRC MATCH in Release_Track",and($B505&lt;&gt;"",countif('5) Release_Track'!$G:$G,$B505)=0),"NO CATALOG ID MATCH in Release_Track",iserror(vlookup($A505&amp;$B505,'5) Release_Track'!$F:$F&amp;'5) Release_Track'!$G:$G,1,0)),"NO ISRC-CATALOG ID pair MATCH in Release_Track" )</f>
        <v/>
      </c>
      <c r="D505" s="121" t="str">
        <f t="array" ref="D505">ifs(and(isblank($A505),isblank($B505)),"", not(iserror(vlookup($A505&amp;$B505,'5) Release_Track'!$F:$F&amp;'5) Release_Track'!$G:$G,1,0))),vlookup($A505&amp;$B505,{'5) Release_Track'!$F:$F&amp;'5) Release_Track'!$G:$G,'5) Release_Track'!$I:$I},2,0), or(and(not(isblank($B505)),$B505=$B504,$A505&lt;&gt;$A504),and(not(isblank($A505)),$A505=$A504,$B505&lt;&gt;$B504)),"ID LISTS UNALIGNED",and($A505&lt;&gt;"",countif('5) Release_Track'!$F:$F,$A505)=0),"NO ISRC MATCH in Release_Track",and($B505&lt;&gt;"",countif('5) Release_Track'!$G:$G,$B505)=0),"NO CATALOG ID MATCH in Release_Track",iserror(vlookup($A505&amp;$B505,'5) Release_Track'!$F:$F&amp;'5) Release_Track'!$G:$G,1,0)),"NO ISRC-CATALOG ID pair MATCH in Release_Track" )</f>
        <v/>
      </c>
      <c r="E505" s="99"/>
      <c r="F505" s="99"/>
      <c r="G505" s="123" t="str">
        <f t="array" ref="G505">ifs(or($F505="",$F505="Main Primary Artist"),$F505,not(iserror(vlookup($F505,'Reference info'!$J$5:$J$8,1,0))),"Key Artist",not(iserror(vlookup($F505,'Reference info'!$J$38:$J$405,1,0))),"Performer",not(iserror(vlookup($F505,'Reference info'!$J$10:$J$36,1,0))),"Producer &amp; Engineer")</f>
        <v/>
      </c>
    </row>
    <row r="506">
      <c r="B506" s="103"/>
      <c r="C506" s="121" t="str">
        <f t="array" ref="C506">ifs(and(isblank($A506),isblank($B506)),"", not(iserror(vlookup($A506&amp;$B506,'5) Release_Track'!$F:$F&amp;'5) Release_Track'!$G:$G,1,0))),vlookup($A506&amp;$B506,{'5) Release_Track'!$F:$F&amp;'5) Release_Track'!$G:$G,'5) Release_Track'!$H:$H},2,0), or(and(not(isblank($B506)),$B506=$B505,$A506&lt;&gt;$A505),and(not(isblank($A506)),$A506=$A505,$B506&lt;&gt;$B505)),"ID LISTS UNALIGNED",and($A506&lt;&gt;"",countif('5) Release_Track'!$F:$F,$A506)=0),"NO ISRC MATCH in Release_Track",and($B506&lt;&gt;"",countif('5) Release_Track'!$G:$G,$B506)=0),"NO CATALOG ID MATCH in Release_Track",iserror(vlookup($A506&amp;$B506,'5) Release_Track'!$F:$F&amp;'5) Release_Track'!$G:$G,1,0)),"NO ISRC-CATALOG ID pair MATCH in Release_Track" )</f>
        <v/>
      </c>
      <c r="D506" s="121" t="str">
        <f t="array" ref="D506">ifs(and(isblank($A506),isblank($B506)),"", not(iserror(vlookup($A506&amp;$B506,'5) Release_Track'!$F:$F&amp;'5) Release_Track'!$G:$G,1,0))),vlookup($A506&amp;$B506,{'5) Release_Track'!$F:$F&amp;'5) Release_Track'!$G:$G,'5) Release_Track'!$I:$I},2,0), or(and(not(isblank($B506)),$B506=$B505,$A506&lt;&gt;$A505),and(not(isblank($A506)),$A506=$A505,$B506&lt;&gt;$B505)),"ID LISTS UNALIGNED",and($A506&lt;&gt;"",countif('5) Release_Track'!$F:$F,$A506)=0),"NO ISRC MATCH in Release_Track",and($B506&lt;&gt;"",countif('5) Release_Track'!$G:$G,$B506)=0),"NO CATALOG ID MATCH in Release_Track",iserror(vlookup($A506&amp;$B506,'5) Release_Track'!$F:$F&amp;'5) Release_Track'!$G:$G,1,0)),"NO ISRC-CATALOG ID pair MATCH in Release_Track" )</f>
        <v/>
      </c>
      <c r="E506" s="99"/>
      <c r="F506" s="99"/>
      <c r="G506" s="123" t="str">
        <f t="array" ref="G506">ifs(or($F506="",$F506="Main Primary Artist"),$F506,not(iserror(vlookup($F506,'Reference info'!$J$5:$J$8,1,0))),"Key Artist",not(iserror(vlookup($F506,'Reference info'!$J$38:$J$405,1,0))),"Performer",not(iserror(vlookup($F506,'Reference info'!$J$10:$J$36,1,0))),"Producer &amp; Engineer")</f>
        <v/>
      </c>
    </row>
    <row r="507">
      <c r="B507" s="103"/>
      <c r="C507" s="121" t="str">
        <f t="array" ref="C507">ifs(and(isblank($A507),isblank($B507)),"", not(iserror(vlookup($A507&amp;$B507,'5) Release_Track'!$F:$F&amp;'5) Release_Track'!$G:$G,1,0))),vlookup($A507&amp;$B507,{'5) Release_Track'!$F:$F&amp;'5) Release_Track'!$G:$G,'5) Release_Track'!$H:$H},2,0), or(and(not(isblank($B507)),$B507=$B506,$A507&lt;&gt;$A506),and(not(isblank($A507)),$A507=$A506,$B507&lt;&gt;$B506)),"ID LISTS UNALIGNED",and($A507&lt;&gt;"",countif('5) Release_Track'!$F:$F,$A507)=0),"NO ISRC MATCH in Release_Track",and($B507&lt;&gt;"",countif('5) Release_Track'!$G:$G,$B507)=0),"NO CATALOG ID MATCH in Release_Track",iserror(vlookup($A507&amp;$B507,'5) Release_Track'!$F:$F&amp;'5) Release_Track'!$G:$G,1,0)),"NO ISRC-CATALOG ID pair MATCH in Release_Track" )</f>
        <v/>
      </c>
      <c r="D507" s="121" t="str">
        <f t="array" ref="D507">ifs(and(isblank($A507),isblank($B507)),"", not(iserror(vlookup($A507&amp;$B507,'5) Release_Track'!$F:$F&amp;'5) Release_Track'!$G:$G,1,0))),vlookup($A507&amp;$B507,{'5) Release_Track'!$F:$F&amp;'5) Release_Track'!$G:$G,'5) Release_Track'!$I:$I},2,0), or(and(not(isblank($B507)),$B507=$B506,$A507&lt;&gt;$A506),and(not(isblank($A507)),$A507=$A506,$B507&lt;&gt;$B506)),"ID LISTS UNALIGNED",and($A507&lt;&gt;"",countif('5) Release_Track'!$F:$F,$A507)=0),"NO ISRC MATCH in Release_Track",and($B507&lt;&gt;"",countif('5) Release_Track'!$G:$G,$B507)=0),"NO CATALOG ID MATCH in Release_Track",iserror(vlookup($A507&amp;$B507,'5) Release_Track'!$F:$F&amp;'5) Release_Track'!$G:$G,1,0)),"NO ISRC-CATALOG ID pair MATCH in Release_Track" )</f>
        <v/>
      </c>
      <c r="E507" s="99"/>
      <c r="F507" s="99"/>
      <c r="G507" s="123" t="str">
        <f t="array" ref="G507">ifs(or($F507="",$F507="Main Primary Artist"),$F507,not(iserror(vlookup($F507,'Reference info'!$J$5:$J$8,1,0))),"Key Artist",not(iserror(vlookup($F507,'Reference info'!$J$38:$J$405,1,0))),"Performer",not(iserror(vlookup($F507,'Reference info'!$J$10:$J$36,1,0))),"Producer &amp; Engineer")</f>
        <v/>
      </c>
    </row>
    <row r="508">
      <c r="B508" s="103"/>
      <c r="C508" s="121" t="str">
        <f t="array" ref="C508">ifs(and(isblank($A508),isblank($B508)),"", not(iserror(vlookup($A508&amp;$B508,'5) Release_Track'!$F:$F&amp;'5) Release_Track'!$G:$G,1,0))),vlookup($A508&amp;$B508,{'5) Release_Track'!$F:$F&amp;'5) Release_Track'!$G:$G,'5) Release_Track'!$H:$H},2,0), or(and(not(isblank($B508)),$B508=$B507,$A508&lt;&gt;$A507),and(not(isblank($A508)),$A508=$A507,$B508&lt;&gt;$B507)),"ID LISTS UNALIGNED",and($A508&lt;&gt;"",countif('5) Release_Track'!$F:$F,$A508)=0),"NO ISRC MATCH in Release_Track",and($B508&lt;&gt;"",countif('5) Release_Track'!$G:$G,$B508)=0),"NO CATALOG ID MATCH in Release_Track",iserror(vlookup($A508&amp;$B508,'5) Release_Track'!$F:$F&amp;'5) Release_Track'!$G:$G,1,0)),"NO ISRC-CATALOG ID pair MATCH in Release_Track" )</f>
        <v/>
      </c>
      <c r="D508" s="121" t="str">
        <f t="array" ref="D508">ifs(and(isblank($A508),isblank($B508)),"", not(iserror(vlookup($A508&amp;$B508,'5) Release_Track'!$F:$F&amp;'5) Release_Track'!$G:$G,1,0))),vlookup($A508&amp;$B508,{'5) Release_Track'!$F:$F&amp;'5) Release_Track'!$G:$G,'5) Release_Track'!$I:$I},2,0), or(and(not(isblank($B508)),$B508=$B507,$A508&lt;&gt;$A507),and(not(isblank($A508)),$A508=$A507,$B508&lt;&gt;$B507)),"ID LISTS UNALIGNED",and($A508&lt;&gt;"",countif('5) Release_Track'!$F:$F,$A508)=0),"NO ISRC MATCH in Release_Track",and($B508&lt;&gt;"",countif('5) Release_Track'!$G:$G,$B508)=0),"NO CATALOG ID MATCH in Release_Track",iserror(vlookup($A508&amp;$B508,'5) Release_Track'!$F:$F&amp;'5) Release_Track'!$G:$G,1,0)),"NO ISRC-CATALOG ID pair MATCH in Release_Track" )</f>
        <v/>
      </c>
      <c r="E508" s="99"/>
      <c r="F508" s="99"/>
      <c r="G508" s="123" t="str">
        <f t="array" ref="G508">ifs(or($F508="",$F508="Main Primary Artist"),$F508,not(iserror(vlookup($F508,'Reference info'!$J$5:$J$8,1,0))),"Key Artist",not(iserror(vlookup($F508,'Reference info'!$J$38:$J$405,1,0))),"Performer",not(iserror(vlookup($F508,'Reference info'!$J$10:$J$36,1,0))),"Producer &amp; Engineer")</f>
        <v/>
      </c>
    </row>
    <row r="509">
      <c r="B509" s="103"/>
      <c r="C509" s="121" t="str">
        <f t="array" ref="C509">ifs(and(isblank($A509),isblank($B509)),"", not(iserror(vlookup($A509&amp;$B509,'5) Release_Track'!$F:$F&amp;'5) Release_Track'!$G:$G,1,0))),vlookup($A509&amp;$B509,{'5) Release_Track'!$F:$F&amp;'5) Release_Track'!$G:$G,'5) Release_Track'!$H:$H},2,0), or(and(not(isblank($B509)),$B509=$B508,$A509&lt;&gt;$A508),and(not(isblank($A509)),$A509=$A508,$B509&lt;&gt;$B508)),"ID LISTS UNALIGNED",and($A509&lt;&gt;"",countif('5) Release_Track'!$F:$F,$A509)=0),"NO ISRC MATCH in Release_Track",and($B509&lt;&gt;"",countif('5) Release_Track'!$G:$G,$B509)=0),"NO CATALOG ID MATCH in Release_Track",iserror(vlookup($A509&amp;$B509,'5) Release_Track'!$F:$F&amp;'5) Release_Track'!$G:$G,1,0)),"NO ISRC-CATALOG ID pair MATCH in Release_Track" )</f>
        <v/>
      </c>
      <c r="D509" s="121" t="str">
        <f t="array" ref="D509">ifs(and(isblank($A509),isblank($B509)),"", not(iserror(vlookup($A509&amp;$B509,'5) Release_Track'!$F:$F&amp;'5) Release_Track'!$G:$G,1,0))),vlookup($A509&amp;$B509,{'5) Release_Track'!$F:$F&amp;'5) Release_Track'!$G:$G,'5) Release_Track'!$I:$I},2,0), or(and(not(isblank($B509)),$B509=$B508,$A509&lt;&gt;$A508),and(not(isblank($A509)),$A509=$A508,$B509&lt;&gt;$B508)),"ID LISTS UNALIGNED",and($A509&lt;&gt;"",countif('5) Release_Track'!$F:$F,$A509)=0),"NO ISRC MATCH in Release_Track",and($B509&lt;&gt;"",countif('5) Release_Track'!$G:$G,$B509)=0),"NO CATALOG ID MATCH in Release_Track",iserror(vlookup($A509&amp;$B509,'5) Release_Track'!$F:$F&amp;'5) Release_Track'!$G:$G,1,0)),"NO ISRC-CATALOG ID pair MATCH in Release_Track" )</f>
        <v/>
      </c>
      <c r="E509" s="99"/>
      <c r="F509" s="99"/>
      <c r="G509" s="123" t="str">
        <f t="array" ref="G509">ifs(or($F509="",$F509="Main Primary Artist"),$F509,not(iserror(vlookup($F509,'Reference info'!$J$5:$J$8,1,0))),"Key Artist",not(iserror(vlookup($F509,'Reference info'!$J$38:$J$405,1,0))),"Performer",not(iserror(vlookup($F509,'Reference info'!$J$10:$J$36,1,0))),"Producer &amp; Engineer")</f>
        <v/>
      </c>
    </row>
    <row r="510">
      <c r="B510" s="103"/>
      <c r="C510" s="121" t="str">
        <f t="array" ref="C510">ifs(and(isblank($A510),isblank($B510)),"", not(iserror(vlookup($A510&amp;$B510,'5) Release_Track'!$F:$F&amp;'5) Release_Track'!$G:$G,1,0))),vlookup($A510&amp;$B510,{'5) Release_Track'!$F:$F&amp;'5) Release_Track'!$G:$G,'5) Release_Track'!$H:$H},2,0), or(and(not(isblank($B510)),$B510=$B509,$A510&lt;&gt;$A509),and(not(isblank($A510)),$A510=$A509,$B510&lt;&gt;$B509)),"ID LISTS UNALIGNED",and($A510&lt;&gt;"",countif('5) Release_Track'!$F:$F,$A510)=0),"NO ISRC MATCH in Release_Track",and($B510&lt;&gt;"",countif('5) Release_Track'!$G:$G,$B510)=0),"NO CATALOG ID MATCH in Release_Track",iserror(vlookup($A510&amp;$B510,'5) Release_Track'!$F:$F&amp;'5) Release_Track'!$G:$G,1,0)),"NO ISRC-CATALOG ID pair MATCH in Release_Track" )</f>
        <v/>
      </c>
      <c r="D510" s="121" t="str">
        <f t="array" ref="D510">ifs(and(isblank($A510),isblank($B510)),"", not(iserror(vlookup($A510&amp;$B510,'5) Release_Track'!$F:$F&amp;'5) Release_Track'!$G:$G,1,0))),vlookup($A510&amp;$B510,{'5) Release_Track'!$F:$F&amp;'5) Release_Track'!$G:$G,'5) Release_Track'!$I:$I},2,0), or(and(not(isblank($B510)),$B510=$B509,$A510&lt;&gt;$A509),and(not(isblank($A510)),$A510=$A509,$B510&lt;&gt;$B509)),"ID LISTS UNALIGNED",and($A510&lt;&gt;"",countif('5) Release_Track'!$F:$F,$A510)=0),"NO ISRC MATCH in Release_Track",and($B510&lt;&gt;"",countif('5) Release_Track'!$G:$G,$B510)=0),"NO CATALOG ID MATCH in Release_Track",iserror(vlookup($A510&amp;$B510,'5) Release_Track'!$F:$F&amp;'5) Release_Track'!$G:$G,1,0)),"NO ISRC-CATALOG ID pair MATCH in Release_Track" )</f>
        <v/>
      </c>
      <c r="E510" s="99"/>
      <c r="F510" s="99"/>
      <c r="G510" s="123" t="str">
        <f t="array" ref="G510">ifs(or($F510="",$F510="Main Primary Artist"),$F510,not(iserror(vlookup($F510,'Reference info'!$J$5:$J$8,1,0))),"Key Artist",not(iserror(vlookup($F510,'Reference info'!$J$38:$J$405,1,0))),"Performer",not(iserror(vlookup($F510,'Reference info'!$J$10:$J$36,1,0))),"Producer &amp; Engineer")</f>
        <v/>
      </c>
    </row>
    <row r="511">
      <c r="B511" s="103"/>
      <c r="C511" s="121" t="str">
        <f t="array" ref="C511">ifs(and(isblank($A511),isblank($B511)),"", not(iserror(vlookup($A511&amp;$B511,'5) Release_Track'!$F:$F&amp;'5) Release_Track'!$G:$G,1,0))),vlookup($A511&amp;$B511,{'5) Release_Track'!$F:$F&amp;'5) Release_Track'!$G:$G,'5) Release_Track'!$H:$H},2,0), or(and(not(isblank($B511)),$B511=$B510,$A511&lt;&gt;$A510),and(not(isblank($A511)),$A511=$A510,$B511&lt;&gt;$B510)),"ID LISTS UNALIGNED",and($A511&lt;&gt;"",countif('5) Release_Track'!$F:$F,$A511)=0),"NO ISRC MATCH in Release_Track",and($B511&lt;&gt;"",countif('5) Release_Track'!$G:$G,$B511)=0),"NO CATALOG ID MATCH in Release_Track",iserror(vlookup($A511&amp;$B511,'5) Release_Track'!$F:$F&amp;'5) Release_Track'!$G:$G,1,0)),"NO ISRC-CATALOG ID pair MATCH in Release_Track" )</f>
        <v/>
      </c>
      <c r="D511" s="121" t="str">
        <f t="array" ref="D511">ifs(and(isblank($A511),isblank($B511)),"", not(iserror(vlookup($A511&amp;$B511,'5) Release_Track'!$F:$F&amp;'5) Release_Track'!$G:$G,1,0))),vlookup($A511&amp;$B511,{'5) Release_Track'!$F:$F&amp;'5) Release_Track'!$G:$G,'5) Release_Track'!$I:$I},2,0), or(and(not(isblank($B511)),$B511=$B510,$A511&lt;&gt;$A510),and(not(isblank($A511)),$A511=$A510,$B511&lt;&gt;$B510)),"ID LISTS UNALIGNED",and($A511&lt;&gt;"",countif('5) Release_Track'!$F:$F,$A511)=0),"NO ISRC MATCH in Release_Track",and($B511&lt;&gt;"",countif('5) Release_Track'!$G:$G,$B511)=0),"NO CATALOG ID MATCH in Release_Track",iserror(vlookup($A511&amp;$B511,'5) Release_Track'!$F:$F&amp;'5) Release_Track'!$G:$G,1,0)),"NO ISRC-CATALOG ID pair MATCH in Release_Track" )</f>
        <v/>
      </c>
      <c r="E511" s="99"/>
      <c r="F511" s="99"/>
      <c r="G511" s="123" t="str">
        <f t="array" ref="G511">ifs(or($F511="",$F511="Main Primary Artist"),$F511,not(iserror(vlookup($F511,'Reference info'!$J$5:$J$8,1,0))),"Key Artist",not(iserror(vlookup($F511,'Reference info'!$J$38:$J$405,1,0))),"Performer",not(iserror(vlookup($F511,'Reference info'!$J$10:$J$36,1,0))),"Producer &amp; Engineer")</f>
        <v/>
      </c>
    </row>
    <row r="512">
      <c r="B512" s="103"/>
      <c r="C512" s="121" t="str">
        <f t="array" ref="C512">ifs(and(isblank($A512),isblank($B512)),"", not(iserror(vlookup($A512&amp;$B512,'5) Release_Track'!$F:$F&amp;'5) Release_Track'!$G:$G,1,0))),vlookup($A512&amp;$B512,{'5) Release_Track'!$F:$F&amp;'5) Release_Track'!$G:$G,'5) Release_Track'!$H:$H},2,0), or(and(not(isblank($B512)),$B512=$B511,$A512&lt;&gt;$A511),and(not(isblank($A512)),$A512=$A511,$B512&lt;&gt;$B511)),"ID LISTS UNALIGNED",and($A512&lt;&gt;"",countif('5) Release_Track'!$F:$F,$A512)=0),"NO ISRC MATCH in Release_Track",and($B512&lt;&gt;"",countif('5) Release_Track'!$G:$G,$B512)=0),"NO CATALOG ID MATCH in Release_Track",iserror(vlookup($A512&amp;$B512,'5) Release_Track'!$F:$F&amp;'5) Release_Track'!$G:$G,1,0)),"NO ISRC-CATALOG ID pair MATCH in Release_Track" )</f>
        <v/>
      </c>
      <c r="D512" s="121" t="str">
        <f t="array" ref="D512">ifs(and(isblank($A512),isblank($B512)),"", not(iserror(vlookup($A512&amp;$B512,'5) Release_Track'!$F:$F&amp;'5) Release_Track'!$G:$G,1,0))),vlookup($A512&amp;$B512,{'5) Release_Track'!$F:$F&amp;'5) Release_Track'!$G:$G,'5) Release_Track'!$I:$I},2,0), or(and(not(isblank($B512)),$B512=$B511,$A512&lt;&gt;$A511),and(not(isblank($A512)),$A512=$A511,$B512&lt;&gt;$B511)),"ID LISTS UNALIGNED",and($A512&lt;&gt;"",countif('5) Release_Track'!$F:$F,$A512)=0),"NO ISRC MATCH in Release_Track",and($B512&lt;&gt;"",countif('5) Release_Track'!$G:$G,$B512)=0),"NO CATALOG ID MATCH in Release_Track",iserror(vlookup($A512&amp;$B512,'5) Release_Track'!$F:$F&amp;'5) Release_Track'!$G:$G,1,0)),"NO ISRC-CATALOG ID pair MATCH in Release_Track" )</f>
        <v/>
      </c>
      <c r="E512" s="99"/>
      <c r="F512" s="99"/>
      <c r="G512" s="123" t="str">
        <f t="array" ref="G512">ifs(or($F512="",$F512="Main Primary Artist"),$F512,not(iserror(vlookup($F512,'Reference info'!$J$5:$J$8,1,0))),"Key Artist",not(iserror(vlookup($F512,'Reference info'!$J$38:$J$405,1,0))),"Performer",not(iserror(vlookup($F512,'Reference info'!$J$10:$J$36,1,0))),"Producer &amp; Engineer")</f>
        <v/>
      </c>
    </row>
    <row r="513">
      <c r="B513" s="103"/>
      <c r="C513" s="121" t="str">
        <f t="array" ref="C513">ifs(and(isblank($A513),isblank($B513)),"", not(iserror(vlookup($A513&amp;$B513,'5) Release_Track'!$F:$F&amp;'5) Release_Track'!$G:$G,1,0))),vlookup($A513&amp;$B513,{'5) Release_Track'!$F:$F&amp;'5) Release_Track'!$G:$G,'5) Release_Track'!$H:$H},2,0), or(and(not(isblank($B513)),$B513=$B512,$A513&lt;&gt;$A512),and(not(isblank($A513)),$A513=$A512,$B513&lt;&gt;$B512)),"ID LISTS UNALIGNED",and($A513&lt;&gt;"",countif('5) Release_Track'!$F:$F,$A513)=0),"NO ISRC MATCH in Release_Track",and($B513&lt;&gt;"",countif('5) Release_Track'!$G:$G,$B513)=0),"NO CATALOG ID MATCH in Release_Track",iserror(vlookup($A513&amp;$B513,'5) Release_Track'!$F:$F&amp;'5) Release_Track'!$G:$G,1,0)),"NO ISRC-CATALOG ID pair MATCH in Release_Track" )</f>
        <v/>
      </c>
      <c r="D513" s="121" t="str">
        <f t="array" ref="D513">ifs(and(isblank($A513),isblank($B513)),"", not(iserror(vlookup($A513&amp;$B513,'5) Release_Track'!$F:$F&amp;'5) Release_Track'!$G:$G,1,0))),vlookup($A513&amp;$B513,{'5) Release_Track'!$F:$F&amp;'5) Release_Track'!$G:$G,'5) Release_Track'!$I:$I},2,0), or(and(not(isblank($B513)),$B513=$B512,$A513&lt;&gt;$A512),and(not(isblank($A513)),$A513=$A512,$B513&lt;&gt;$B512)),"ID LISTS UNALIGNED",and($A513&lt;&gt;"",countif('5) Release_Track'!$F:$F,$A513)=0),"NO ISRC MATCH in Release_Track",and($B513&lt;&gt;"",countif('5) Release_Track'!$G:$G,$B513)=0),"NO CATALOG ID MATCH in Release_Track",iserror(vlookup($A513&amp;$B513,'5) Release_Track'!$F:$F&amp;'5) Release_Track'!$G:$G,1,0)),"NO ISRC-CATALOG ID pair MATCH in Release_Track" )</f>
        <v/>
      </c>
      <c r="E513" s="99"/>
      <c r="F513" s="99"/>
      <c r="G513" s="123" t="str">
        <f t="array" ref="G513">ifs(or($F513="",$F513="Main Primary Artist"),$F513,not(iserror(vlookup($F513,'Reference info'!$J$5:$J$8,1,0))),"Key Artist",not(iserror(vlookup($F513,'Reference info'!$J$38:$J$405,1,0))),"Performer",not(iserror(vlookup($F513,'Reference info'!$J$10:$J$36,1,0))),"Producer &amp; Engineer")</f>
        <v/>
      </c>
    </row>
    <row r="514">
      <c r="B514" s="103"/>
      <c r="C514" s="121" t="str">
        <f t="array" ref="C514">ifs(and(isblank($A514),isblank($B514)),"", not(iserror(vlookup($A514&amp;$B514,'5) Release_Track'!$F:$F&amp;'5) Release_Track'!$G:$G,1,0))),vlookup($A514&amp;$B514,{'5) Release_Track'!$F:$F&amp;'5) Release_Track'!$G:$G,'5) Release_Track'!$H:$H},2,0), or(and(not(isblank($B514)),$B514=$B513,$A514&lt;&gt;$A513),and(not(isblank($A514)),$A514=$A513,$B514&lt;&gt;$B513)),"ID LISTS UNALIGNED",and($A514&lt;&gt;"",countif('5) Release_Track'!$F:$F,$A514)=0),"NO ISRC MATCH in Release_Track",and($B514&lt;&gt;"",countif('5) Release_Track'!$G:$G,$B514)=0),"NO CATALOG ID MATCH in Release_Track",iserror(vlookup($A514&amp;$B514,'5) Release_Track'!$F:$F&amp;'5) Release_Track'!$G:$G,1,0)),"NO ISRC-CATALOG ID pair MATCH in Release_Track" )</f>
        <v/>
      </c>
      <c r="D514" s="121" t="str">
        <f t="array" ref="D514">ifs(and(isblank($A514),isblank($B514)),"", not(iserror(vlookup($A514&amp;$B514,'5) Release_Track'!$F:$F&amp;'5) Release_Track'!$G:$G,1,0))),vlookup($A514&amp;$B514,{'5) Release_Track'!$F:$F&amp;'5) Release_Track'!$G:$G,'5) Release_Track'!$I:$I},2,0), or(and(not(isblank($B514)),$B514=$B513,$A514&lt;&gt;$A513),and(not(isblank($A514)),$A514=$A513,$B514&lt;&gt;$B513)),"ID LISTS UNALIGNED",and($A514&lt;&gt;"",countif('5) Release_Track'!$F:$F,$A514)=0),"NO ISRC MATCH in Release_Track",and($B514&lt;&gt;"",countif('5) Release_Track'!$G:$G,$B514)=0),"NO CATALOG ID MATCH in Release_Track",iserror(vlookup($A514&amp;$B514,'5) Release_Track'!$F:$F&amp;'5) Release_Track'!$G:$G,1,0)),"NO ISRC-CATALOG ID pair MATCH in Release_Track" )</f>
        <v/>
      </c>
      <c r="E514" s="99"/>
      <c r="F514" s="99"/>
      <c r="G514" s="123" t="str">
        <f t="array" ref="G514">ifs(or($F514="",$F514="Main Primary Artist"),$F514,not(iserror(vlookup($F514,'Reference info'!$J$5:$J$8,1,0))),"Key Artist",not(iserror(vlookup($F514,'Reference info'!$J$38:$J$405,1,0))),"Performer",not(iserror(vlookup($F514,'Reference info'!$J$10:$J$36,1,0))),"Producer &amp; Engineer")</f>
        <v/>
      </c>
    </row>
    <row r="515">
      <c r="B515" s="103"/>
      <c r="C515" s="121" t="str">
        <f t="array" ref="C515">ifs(and(isblank($A515),isblank($B515)),"", not(iserror(vlookup($A515&amp;$B515,'5) Release_Track'!$F:$F&amp;'5) Release_Track'!$G:$G,1,0))),vlookup($A515&amp;$B515,{'5) Release_Track'!$F:$F&amp;'5) Release_Track'!$G:$G,'5) Release_Track'!$H:$H},2,0), or(and(not(isblank($B515)),$B515=$B514,$A515&lt;&gt;$A514),and(not(isblank($A515)),$A515=$A514,$B515&lt;&gt;$B514)),"ID LISTS UNALIGNED",and($A515&lt;&gt;"",countif('5) Release_Track'!$F:$F,$A515)=0),"NO ISRC MATCH in Release_Track",and($B515&lt;&gt;"",countif('5) Release_Track'!$G:$G,$B515)=0),"NO CATALOG ID MATCH in Release_Track",iserror(vlookup($A515&amp;$B515,'5) Release_Track'!$F:$F&amp;'5) Release_Track'!$G:$G,1,0)),"NO ISRC-CATALOG ID pair MATCH in Release_Track" )</f>
        <v/>
      </c>
      <c r="D515" s="121" t="str">
        <f t="array" ref="D515">ifs(and(isblank($A515),isblank($B515)),"", not(iserror(vlookup($A515&amp;$B515,'5) Release_Track'!$F:$F&amp;'5) Release_Track'!$G:$G,1,0))),vlookup($A515&amp;$B515,{'5) Release_Track'!$F:$F&amp;'5) Release_Track'!$G:$G,'5) Release_Track'!$I:$I},2,0), or(and(not(isblank($B515)),$B515=$B514,$A515&lt;&gt;$A514),and(not(isblank($A515)),$A515=$A514,$B515&lt;&gt;$B514)),"ID LISTS UNALIGNED",and($A515&lt;&gt;"",countif('5) Release_Track'!$F:$F,$A515)=0),"NO ISRC MATCH in Release_Track",and($B515&lt;&gt;"",countif('5) Release_Track'!$G:$G,$B515)=0),"NO CATALOG ID MATCH in Release_Track",iserror(vlookup($A515&amp;$B515,'5) Release_Track'!$F:$F&amp;'5) Release_Track'!$G:$G,1,0)),"NO ISRC-CATALOG ID pair MATCH in Release_Track" )</f>
        <v/>
      </c>
      <c r="E515" s="99"/>
      <c r="F515" s="99"/>
      <c r="G515" s="123" t="str">
        <f t="array" ref="G515">ifs(or($F515="",$F515="Main Primary Artist"),$F515,not(iserror(vlookup($F515,'Reference info'!$J$5:$J$8,1,0))),"Key Artist",not(iserror(vlookup($F515,'Reference info'!$J$38:$J$405,1,0))),"Performer",not(iserror(vlookup($F515,'Reference info'!$J$10:$J$36,1,0))),"Producer &amp; Engineer")</f>
        <v/>
      </c>
    </row>
    <row r="516">
      <c r="B516" s="103"/>
      <c r="C516" s="121" t="str">
        <f t="array" ref="C516">ifs(and(isblank($A516),isblank($B516)),"", not(iserror(vlookup($A516&amp;$B516,'5) Release_Track'!$F:$F&amp;'5) Release_Track'!$G:$G,1,0))),vlookup($A516&amp;$B516,{'5) Release_Track'!$F:$F&amp;'5) Release_Track'!$G:$G,'5) Release_Track'!$H:$H},2,0), or(and(not(isblank($B516)),$B516=$B515,$A516&lt;&gt;$A515),and(not(isblank($A516)),$A516=$A515,$B516&lt;&gt;$B515)),"ID LISTS UNALIGNED",and($A516&lt;&gt;"",countif('5) Release_Track'!$F:$F,$A516)=0),"NO ISRC MATCH in Release_Track",and($B516&lt;&gt;"",countif('5) Release_Track'!$G:$G,$B516)=0),"NO CATALOG ID MATCH in Release_Track",iserror(vlookup($A516&amp;$B516,'5) Release_Track'!$F:$F&amp;'5) Release_Track'!$G:$G,1,0)),"NO ISRC-CATALOG ID pair MATCH in Release_Track" )</f>
        <v/>
      </c>
      <c r="D516" s="121" t="str">
        <f t="array" ref="D516">ifs(and(isblank($A516),isblank($B516)),"", not(iserror(vlookup($A516&amp;$B516,'5) Release_Track'!$F:$F&amp;'5) Release_Track'!$G:$G,1,0))),vlookup($A516&amp;$B516,{'5) Release_Track'!$F:$F&amp;'5) Release_Track'!$G:$G,'5) Release_Track'!$I:$I},2,0), or(and(not(isblank($B516)),$B516=$B515,$A516&lt;&gt;$A515),and(not(isblank($A516)),$A516=$A515,$B516&lt;&gt;$B515)),"ID LISTS UNALIGNED",and($A516&lt;&gt;"",countif('5) Release_Track'!$F:$F,$A516)=0),"NO ISRC MATCH in Release_Track",and($B516&lt;&gt;"",countif('5) Release_Track'!$G:$G,$B516)=0),"NO CATALOG ID MATCH in Release_Track",iserror(vlookup($A516&amp;$B516,'5) Release_Track'!$F:$F&amp;'5) Release_Track'!$G:$G,1,0)),"NO ISRC-CATALOG ID pair MATCH in Release_Track" )</f>
        <v/>
      </c>
      <c r="E516" s="99"/>
      <c r="F516" s="99"/>
      <c r="G516" s="123" t="str">
        <f t="array" ref="G516">ifs(or($F516="",$F516="Main Primary Artist"),$F516,not(iserror(vlookup($F516,'Reference info'!$J$5:$J$8,1,0))),"Key Artist",not(iserror(vlookup($F516,'Reference info'!$J$38:$J$405,1,0))),"Performer",not(iserror(vlookup($F516,'Reference info'!$J$10:$J$36,1,0))),"Producer &amp; Engineer")</f>
        <v/>
      </c>
    </row>
    <row r="517">
      <c r="B517" s="103"/>
      <c r="C517" s="121" t="str">
        <f t="array" ref="C517">ifs(and(isblank($A517),isblank($B517)),"", not(iserror(vlookup($A517&amp;$B517,'5) Release_Track'!$F:$F&amp;'5) Release_Track'!$G:$G,1,0))),vlookup($A517&amp;$B517,{'5) Release_Track'!$F:$F&amp;'5) Release_Track'!$G:$G,'5) Release_Track'!$H:$H},2,0), or(and(not(isblank($B517)),$B517=$B516,$A517&lt;&gt;$A516),and(not(isblank($A517)),$A517=$A516,$B517&lt;&gt;$B516)),"ID LISTS UNALIGNED",and($A517&lt;&gt;"",countif('5) Release_Track'!$F:$F,$A517)=0),"NO ISRC MATCH in Release_Track",and($B517&lt;&gt;"",countif('5) Release_Track'!$G:$G,$B517)=0),"NO CATALOG ID MATCH in Release_Track",iserror(vlookup($A517&amp;$B517,'5) Release_Track'!$F:$F&amp;'5) Release_Track'!$G:$G,1,0)),"NO ISRC-CATALOG ID pair MATCH in Release_Track" )</f>
        <v/>
      </c>
      <c r="D517" s="121" t="str">
        <f t="array" ref="D517">ifs(and(isblank($A517),isblank($B517)),"", not(iserror(vlookup($A517&amp;$B517,'5) Release_Track'!$F:$F&amp;'5) Release_Track'!$G:$G,1,0))),vlookup($A517&amp;$B517,{'5) Release_Track'!$F:$F&amp;'5) Release_Track'!$G:$G,'5) Release_Track'!$I:$I},2,0), or(and(not(isblank($B517)),$B517=$B516,$A517&lt;&gt;$A516),and(not(isblank($A517)),$A517=$A516,$B517&lt;&gt;$B516)),"ID LISTS UNALIGNED",and($A517&lt;&gt;"",countif('5) Release_Track'!$F:$F,$A517)=0),"NO ISRC MATCH in Release_Track",and($B517&lt;&gt;"",countif('5) Release_Track'!$G:$G,$B517)=0),"NO CATALOG ID MATCH in Release_Track",iserror(vlookup($A517&amp;$B517,'5) Release_Track'!$F:$F&amp;'5) Release_Track'!$G:$G,1,0)),"NO ISRC-CATALOG ID pair MATCH in Release_Track" )</f>
        <v/>
      </c>
      <c r="E517" s="99"/>
      <c r="F517" s="99"/>
      <c r="G517" s="123" t="str">
        <f t="array" ref="G517">ifs(or($F517="",$F517="Main Primary Artist"),$F517,not(iserror(vlookup($F517,'Reference info'!$J$5:$J$8,1,0))),"Key Artist",not(iserror(vlookup($F517,'Reference info'!$J$38:$J$405,1,0))),"Performer",not(iserror(vlookup($F517,'Reference info'!$J$10:$J$36,1,0))),"Producer &amp; Engineer")</f>
        <v/>
      </c>
    </row>
    <row r="518">
      <c r="B518" s="103"/>
      <c r="C518" s="121" t="str">
        <f t="array" ref="C518">ifs(and(isblank($A518),isblank($B518)),"", not(iserror(vlookup($A518&amp;$B518,'5) Release_Track'!$F:$F&amp;'5) Release_Track'!$G:$G,1,0))),vlookup($A518&amp;$B518,{'5) Release_Track'!$F:$F&amp;'5) Release_Track'!$G:$G,'5) Release_Track'!$H:$H},2,0), or(and(not(isblank($B518)),$B518=$B517,$A518&lt;&gt;$A517),and(not(isblank($A518)),$A518=$A517,$B518&lt;&gt;$B517)),"ID LISTS UNALIGNED",and($A518&lt;&gt;"",countif('5) Release_Track'!$F:$F,$A518)=0),"NO ISRC MATCH in Release_Track",and($B518&lt;&gt;"",countif('5) Release_Track'!$G:$G,$B518)=0),"NO CATALOG ID MATCH in Release_Track",iserror(vlookup($A518&amp;$B518,'5) Release_Track'!$F:$F&amp;'5) Release_Track'!$G:$G,1,0)),"NO ISRC-CATALOG ID pair MATCH in Release_Track" )</f>
        <v/>
      </c>
      <c r="D518" s="121" t="str">
        <f t="array" ref="D518">ifs(and(isblank($A518),isblank($B518)),"", not(iserror(vlookup($A518&amp;$B518,'5) Release_Track'!$F:$F&amp;'5) Release_Track'!$G:$G,1,0))),vlookup($A518&amp;$B518,{'5) Release_Track'!$F:$F&amp;'5) Release_Track'!$G:$G,'5) Release_Track'!$I:$I},2,0), or(and(not(isblank($B518)),$B518=$B517,$A518&lt;&gt;$A517),and(not(isblank($A518)),$A518=$A517,$B518&lt;&gt;$B517)),"ID LISTS UNALIGNED",and($A518&lt;&gt;"",countif('5) Release_Track'!$F:$F,$A518)=0),"NO ISRC MATCH in Release_Track",and($B518&lt;&gt;"",countif('5) Release_Track'!$G:$G,$B518)=0),"NO CATALOG ID MATCH in Release_Track",iserror(vlookup($A518&amp;$B518,'5) Release_Track'!$F:$F&amp;'5) Release_Track'!$G:$G,1,0)),"NO ISRC-CATALOG ID pair MATCH in Release_Track" )</f>
        <v/>
      </c>
      <c r="E518" s="99"/>
      <c r="F518" s="99"/>
      <c r="G518" s="123" t="str">
        <f t="array" ref="G518">ifs(or($F518="",$F518="Main Primary Artist"),$F518,not(iserror(vlookup($F518,'Reference info'!$J$5:$J$8,1,0))),"Key Artist",not(iserror(vlookup($F518,'Reference info'!$J$38:$J$405,1,0))),"Performer",not(iserror(vlookup($F518,'Reference info'!$J$10:$J$36,1,0))),"Producer &amp; Engineer")</f>
        <v/>
      </c>
    </row>
    <row r="519">
      <c r="B519" s="103"/>
      <c r="C519" s="121" t="str">
        <f t="array" ref="C519">ifs(and(isblank($A519),isblank($B519)),"", not(iserror(vlookup($A519&amp;$B519,'5) Release_Track'!$F:$F&amp;'5) Release_Track'!$G:$G,1,0))),vlookup($A519&amp;$B519,{'5) Release_Track'!$F:$F&amp;'5) Release_Track'!$G:$G,'5) Release_Track'!$H:$H},2,0), or(and(not(isblank($B519)),$B519=$B518,$A519&lt;&gt;$A518),and(not(isblank($A519)),$A519=$A518,$B519&lt;&gt;$B518)),"ID LISTS UNALIGNED",and($A519&lt;&gt;"",countif('5) Release_Track'!$F:$F,$A519)=0),"NO ISRC MATCH in Release_Track",and($B519&lt;&gt;"",countif('5) Release_Track'!$G:$G,$B519)=0),"NO CATALOG ID MATCH in Release_Track",iserror(vlookup($A519&amp;$B519,'5) Release_Track'!$F:$F&amp;'5) Release_Track'!$G:$G,1,0)),"NO ISRC-CATALOG ID pair MATCH in Release_Track" )</f>
        <v/>
      </c>
      <c r="D519" s="121" t="str">
        <f t="array" ref="D519">ifs(and(isblank($A519),isblank($B519)),"", not(iserror(vlookup($A519&amp;$B519,'5) Release_Track'!$F:$F&amp;'5) Release_Track'!$G:$G,1,0))),vlookup($A519&amp;$B519,{'5) Release_Track'!$F:$F&amp;'5) Release_Track'!$G:$G,'5) Release_Track'!$I:$I},2,0), or(and(not(isblank($B519)),$B519=$B518,$A519&lt;&gt;$A518),and(not(isblank($A519)),$A519=$A518,$B519&lt;&gt;$B518)),"ID LISTS UNALIGNED",and($A519&lt;&gt;"",countif('5) Release_Track'!$F:$F,$A519)=0),"NO ISRC MATCH in Release_Track",and($B519&lt;&gt;"",countif('5) Release_Track'!$G:$G,$B519)=0),"NO CATALOG ID MATCH in Release_Track",iserror(vlookup($A519&amp;$B519,'5) Release_Track'!$F:$F&amp;'5) Release_Track'!$G:$G,1,0)),"NO ISRC-CATALOG ID pair MATCH in Release_Track" )</f>
        <v/>
      </c>
      <c r="E519" s="99"/>
      <c r="F519" s="99"/>
      <c r="G519" s="123" t="str">
        <f t="array" ref="G519">ifs(or($F519="",$F519="Main Primary Artist"),$F519,not(iserror(vlookup($F519,'Reference info'!$J$5:$J$8,1,0))),"Key Artist",not(iserror(vlookup($F519,'Reference info'!$J$38:$J$405,1,0))),"Performer",not(iserror(vlookup($F519,'Reference info'!$J$10:$J$36,1,0))),"Producer &amp; Engineer")</f>
        <v/>
      </c>
    </row>
    <row r="520">
      <c r="B520" s="103"/>
      <c r="C520" s="121" t="str">
        <f t="array" ref="C520">ifs(and(isblank($A520),isblank($B520)),"", not(iserror(vlookup($A520&amp;$B520,'5) Release_Track'!$F:$F&amp;'5) Release_Track'!$G:$G,1,0))),vlookup($A520&amp;$B520,{'5) Release_Track'!$F:$F&amp;'5) Release_Track'!$G:$G,'5) Release_Track'!$H:$H},2,0), or(and(not(isblank($B520)),$B520=$B519,$A520&lt;&gt;$A519),and(not(isblank($A520)),$A520=$A519,$B520&lt;&gt;$B519)),"ID LISTS UNALIGNED",and($A520&lt;&gt;"",countif('5) Release_Track'!$F:$F,$A520)=0),"NO ISRC MATCH in Release_Track",and($B520&lt;&gt;"",countif('5) Release_Track'!$G:$G,$B520)=0),"NO CATALOG ID MATCH in Release_Track",iserror(vlookup($A520&amp;$B520,'5) Release_Track'!$F:$F&amp;'5) Release_Track'!$G:$G,1,0)),"NO ISRC-CATALOG ID pair MATCH in Release_Track" )</f>
        <v/>
      </c>
      <c r="D520" s="121" t="str">
        <f t="array" ref="D520">ifs(and(isblank($A520),isblank($B520)),"", not(iserror(vlookup($A520&amp;$B520,'5) Release_Track'!$F:$F&amp;'5) Release_Track'!$G:$G,1,0))),vlookup($A520&amp;$B520,{'5) Release_Track'!$F:$F&amp;'5) Release_Track'!$G:$G,'5) Release_Track'!$I:$I},2,0), or(and(not(isblank($B520)),$B520=$B519,$A520&lt;&gt;$A519),and(not(isblank($A520)),$A520=$A519,$B520&lt;&gt;$B519)),"ID LISTS UNALIGNED",and($A520&lt;&gt;"",countif('5) Release_Track'!$F:$F,$A520)=0),"NO ISRC MATCH in Release_Track",and($B520&lt;&gt;"",countif('5) Release_Track'!$G:$G,$B520)=0),"NO CATALOG ID MATCH in Release_Track",iserror(vlookup($A520&amp;$B520,'5) Release_Track'!$F:$F&amp;'5) Release_Track'!$G:$G,1,0)),"NO ISRC-CATALOG ID pair MATCH in Release_Track" )</f>
        <v/>
      </c>
      <c r="E520" s="99"/>
      <c r="F520" s="99"/>
      <c r="G520" s="123" t="str">
        <f t="array" ref="G520">ifs(or($F520="",$F520="Main Primary Artist"),$F520,not(iserror(vlookup($F520,'Reference info'!$J$5:$J$8,1,0))),"Key Artist",not(iserror(vlookup($F520,'Reference info'!$J$38:$J$405,1,0))),"Performer",not(iserror(vlookup($F520,'Reference info'!$J$10:$J$36,1,0))),"Producer &amp; Engineer")</f>
        <v/>
      </c>
    </row>
    <row r="521">
      <c r="B521" s="103"/>
      <c r="C521" s="121" t="str">
        <f t="array" ref="C521">ifs(and(isblank($A521),isblank($B521)),"", not(iserror(vlookup($A521&amp;$B521,'5) Release_Track'!$F:$F&amp;'5) Release_Track'!$G:$G,1,0))),vlookup($A521&amp;$B521,{'5) Release_Track'!$F:$F&amp;'5) Release_Track'!$G:$G,'5) Release_Track'!$H:$H},2,0), or(and(not(isblank($B521)),$B521=$B520,$A521&lt;&gt;$A520),and(not(isblank($A521)),$A521=$A520,$B521&lt;&gt;$B520)),"ID LISTS UNALIGNED",and($A521&lt;&gt;"",countif('5) Release_Track'!$F:$F,$A521)=0),"NO ISRC MATCH in Release_Track",and($B521&lt;&gt;"",countif('5) Release_Track'!$G:$G,$B521)=0),"NO CATALOG ID MATCH in Release_Track",iserror(vlookup($A521&amp;$B521,'5) Release_Track'!$F:$F&amp;'5) Release_Track'!$G:$G,1,0)),"NO ISRC-CATALOG ID pair MATCH in Release_Track" )</f>
        <v/>
      </c>
      <c r="D521" s="121" t="str">
        <f t="array" ref="D521">ifs(and(isblank($A521),isblank($B521)),"", not(iserror(vlookup($A521&amp;$B521,'5) Release_Track'!$F:$F&amp;'5) Release_Track'!$G:$G,1,0))),vlookup($A521&amp;$B521,{'5) Release_Track'!$F:$F&amp;'5) Release_Track'!$G:$G,'5) Release_Track'!$I:$I},2,0), or(and(not(isblank($B521)),$B521=$B520,$A521&lt;&gt;$A520),and(not(isblank($A521)),$A521=$A520,$B521&lt;&gt;$B520)),"ID LISTS UNALIGNED",and($A521&lt;&gt;"",countif('5) Release_Track'!$F:$F,$A521)=0),"NO ISRC MATCH in Release_Track",and($B521&lt;&gt;"",countif('5) Release_Track'!$G:$G,$B521)=0),"NO CATALOG ID MATCH in Release_Track",iserror(vlookup($A521&amp;$B521,'5) Release_Track'!$F:$F&amp;'5) Release_Track'!$G:$G,1,0)),"NO ISRC-CATALOG ID pair MATCH in Release_Track" )</f>
        <v/>
      </c>
      <c r="E521" s="99"/>
      <c r="F521" s="99"/>
      <c r="G521" s="123" t="str">
        <f t="array" ref="G521">ifs(or($F521="",$F521="Main Primary Artist"),$F521,not(iserror(vlookup($F521,'Reference info'!$J$5:$J$8,1,0))),"Key Artist",not(iserror(vlookup($F521,'Reference info'!$J$38:$J$405,1,0))),"Performer",not(iserror(vlookup($F521,'Reference info'!$J$10:$J$36,1,0))),"Producer &amp; Engineer")</f>
        <v/>
      </c>
    </row>
    <row r="522">
      <c r="B522" s="103"/>
      <c r="C522" s="121" t="str">
        <f t="array" ref="C522">ifs(and(isblank($A522),isblank($B522)),"", not(iserror(vlookup($A522&amp;$B522,'5) Release_Track'!$F:$F&amp;'5) Release_Track'!$G:$G,1,0))),vlookup($A522&amp;$B522,{'5) Release_Track'!$F:$F&amp;'5) Release_Track'!$G:$G,'5) Release_Track'!$H:$H},2,0), or(and(not(isblank($B522)),$B522=$B521,$A522&lt;&gt;$A521),and(not(isblank($A522)),$A522=$A521,$B522&lt;&gt;$B521)),"ID LISTS UNALIGNED",and($A522&lt;&gt;"",countif('5) Release_Track'!$F:$F,$A522)=0),"NO ISRC MATCH in Release_Track",and($B522&lt;&gt;"",countif('5) Release_Track'!$G:$G,$B522)=0),"NO CATALOG ID MATCH in Release_Track",iserror(vlookup($A522&amp;$B522,'5) Release_Track'!$F:$F&amp;'5) Release_Track'!$G:$G,1,0)),"NO ISRC-CATALOG ID pair MATCH in Release_Track" )</f>
        <v/>
      </c>
      <c r="D522" s="121" t="str">
        <f t="array" ref="D522">ifs(and(isblank($A522),isblank($B522)),"", not(iserror(vlookup($A522&amp;$B522,'5) Release_Track'!$F:$F&amp;'5) Release_Track'!$G:$G,1,0))),vlookup($A522&amp;$B522,{'5) Release_Track'!$F:$F&amp;'5) Release_Track'!$G:$G,'5) Release_Track'!$I:$I},2,0), or(and(not(isblank($B522)),$B522=$B521,$A522&lt;&gt;$A521),and(not(isblank($A522)),$A522=$A521,$B522&lt;&gt;$B521)),"ID LISTS UNALIGNED",and($A522&lt;&gt;"",countif('5) Release_Track'!$F:$F,$A522)=0),"NO ISRC MATCH in Release_Track",and($B522&lt;&gt;"",countif('5) Release_Track'!$G:$G,$B522)=0),"NO CATALOG ID MATCH in Release_Track",iserror(vlookup($A522&amp;$B522,'5) Release_Track'!$F:$F&amp;'5) Release_Track'!$G:$G,1,0)),"NO ISRC-CATALOG ID pair MATCH in Release_Track" )</f>
        <v/>
      </c>
      <c r="E522" s="99"/>
      <c r="F522" s="99"/>
      <c r="G522" s="123" t="str">
        <f t="array" ref="G522">ifs(or($F522="",$F522="Main Primary Artist"),$F522,not(iserror(vlookup($F522,'Reference info'!$J$5:$J$8,1,0))),"Key Artist",not(iserror(vlookup($F522,'Reference info'!$J$38:$J$405,1,0))),"Performer",not(iserror(vlookup($F522,'Reference info'!$J$10:$J$36,1,0))),"Producer &amp; Engineer")</f>
        <v/>
      </c>
    </row>
    <row r="523">
      <c r="B523" s="103"/>
      <c r="C523" s="121" t="str">
        <f t="array" ref="C523">ifs(and(isblank($A523),isblank($B523)),"", not(iserror(vlookup($A523&amp;$B523,'5) Release_Track'!$F:$F&amp;'5) Release_Track'!$G:$G,1,0))),vlookup($A523&amp;$B523,{'5) Release_Track'!$F:$F&amp;'5) Release_Track'!$G:$G,'5) Release_Track'!$H:$H},2,0), or(and(not(isblank($B523)),$B523=$B522,$A523&lt;&gt;$A522),and(not(isblank($A523)),$A523=$A522,$B523&lt;&gt;$B522)),"ID LISTS UNALIGNED",and($A523&lt;&gt;"",countif('5) Release_Track'!$F:$F,$A523)=0),"NO ISRC MATCH in Release_Track",and($B523&lt;&gt;"",countif('5) Release_Track'!$G:$G,$B523)=0),"NO CATALOG ID MATCH in Release_Track",iserror(vlookup($A523&amp;$B523,'5) Release_Track'!$F:$F&amp;'5) Release_Track'!$G:$G,1,0)),"NO ISRC-CATALOG ID pair MATCH in Release_Track" )</f>
        <v/>
      </c>
      <c r="D523" s="121" t="str">
        <f t="array" ref="D523">ifs(and(isblank($A523),isblank($B523)),"", not(iserror(vlookup($A523&amp;$B523,'5) Release_Track'!$F:$F&amp;'5) Release_Track'!$G:$G,1,0))),vlookup($A523&amp;$B523,{'5) Release_Track'!$F:$F&amp;'5) Release_Track'!$G:$G,'5) Release_Track'!$I:$I},2,0), or(and(not(isblank($B523)),$B523=$B522,$A523&lt;&gt;$A522),and(not(isblank($A523)),$A523=$A522,$B523&lt;&gt;$B522)),"ID LISTS UNALIGNED",and($A523&lt;&gt;"",countif('5) Release_Track'!$F:$F,$A523)=0),"NO ISRC MATCH in Release_Track",and($B523&lt;&gt;"",countif('5) Release_Track'!$G:$G,$B523)=0),"NO CATALOG ID MATCH in Release_Track",iserror(vlookup($A523&amp;$B523,'5) Release_Track'!$F:$F&amp;'5) Release_Track'!$G:$G,1,0)),"NO ISRC-CATALOG ID pair MATCH in Release_Track" )</f>
        <v/>
      </c>
      <c r="E523" s="99"/>
      <c r="F523" s="99"/>
      <c r="G523" s="123" t="str">
        <f t="array" ref="G523">ifs(or($F523="",$F523="Main Primary Artist"),$F523,not(iserror(vlookup($F523,'Reference info'!$J$5:$J$8,1,0))),"Key Artist",not(iserror(vlookup($F523,'Reference info'!$J$38:$J$405,1,0))),"Performer",not(iserror(vlookup($F523,'Reference info'!$J$10:$J$36,1,0))),"Producer &amp; Engineer")</f>
        <v/>
      </c>
    </row>
    <row r="524">
      <c r="B524" s="103"/>
      <c r="C524" s="121" t="str">
        <f t="array" ref="C524">ifs(and(isblank($A524),isblank($B524)),"", not(iserror(vlookup($A524&amp;$B524,'5) Release_Track'!$F:$F&amp;'5) Release_Track'!$G:$G,1,0))),vlookup($A524&amp;$B524,{'5) Release_Track'!$F:$F&amp;'5) Release_Track'!$G:$G,'5) Release_Track'!$H:$H},2,0), or(and(not(isblank($B524)),$B524=$B523,$A524&lt;&gt;$A523),and(not(isblank($A524)),$A524=$A523,$B524&lt;&gt;$B523)),"ID LISTS UNALIGNED",and($A524&lt;&gt;"",countif('5) Release_Track'!$F:$F,$A524)=0),"NO ISRC MATCH in Release_Track",and($B524&lt;&gt;"",countif('5) Release_Track'!$G:$G,$B524)=0),"NO CATALOG ID MATCH in Release_Track",iserror(vlookup($A524&amp;$B524,'5) Release_Track'!$F:$F&amp;'5) Release_Track'!$G:$G,1,0)),"NO ISRC-CATALOG ID pair MATCH in Release_Track" )</f>
        <v/>
      </c>
      <c r="D524" s="121" t="str">
        <f t="array" ref="D524">ifs(and(isblank($A524),isblank($B524)),"", not(iserror(vlookup($A524&amp;$B524,'5) Release_Track'!$F:$F&amp;'5) Release_Track'!$G:$G,1,0))),vlookup($A524&amp;$B524,{'5) Release_Track'!$F:$F&amp;'5) Release_Track'!$G:$G,'5) Release_Track'!$I:$I},2,0), or(and(not(isblank($B524)),$B524=$B523,$A524&lt;&gt;$A523),and(not(isblank($A524)),$A524=$A523,$B524&lt;&gt;$B523)),"ID LISTS UNALIGNED",and($A524&lt;&gt;"",countif('5) Release_Track'!$F:$F,$A524)=0),"NO ISRC MATCH in Release_Track",and($B524&lt;&gt;"",countif('5) Release_Track'!$G:$G,$B524)=0),"NO CATALOG ID MATCH in Release_Track",iserror(vlookup($A524&amp;$B524,'5) Release_Track'!$F:$F&amp;'5) Release_Track'!$G:$G,1,0)),"NO ISRC-CATALOG ID pair MATCH in Release_Track" )</f>
        <v/>
      </c>
      <c r="E524" s="99"/>
      <c r="F524" s="99"/>
      <c r="G524" s="123" t="str">
        <f t="array" ref="G524">ifs(or($F524="",$F524="Main Primary Artist"),$F524,not(iserror(vlookup($F524,'Reference info'!$J$5:$J$8,1,0))),"Key Artist",not(iserror(vlookup($F524,'Reference info'!$J$38:$J$405,1,0))),"Performer",not(iserror(vlookup($F524,'Reference info'!$J$10:$J$36,1,0))),"Producer &amp; Engineer")</f>
        <v/>
      </c>
    </row>
    <row r="525">
      <c r="B525" s="103"/>
      <c r="C525" s="121" t="str">
        <f t="array" ref="C525">ifs(and(isblank($A525),isblank($B525)),"", not(iserror(vlookup($A525&amp;$B525,'5) Release_Track'!$F:$F&amp;'5) Release_Track'!$G:$G,1,0))),vlookup($A525&amp;$B525,{'5) Release_Track'!$F:$F&amp;'5) Release_Track'!$G:$G,'5) Release_Track'!$H:$H},2,0), or(and(not(isblank($B525)),$B525=$B524,$A525&lt;&gt;$A524),and(not(isblank($A525)),$A525=$A524,$B525&lt;&gt;$B524)),"ID LISTS UNALIGNED",and($A525&lt;&gt;"",countif('5) Release_Track'!$F:$F,$A525)=0),"NO ISRC MATCH in Release_Track",and($B525&lt;&gt;"",countif('5) Release_Track'!$G:$G,$B525)=0),"NO CATALOG ID MATCH in Release_Track",iserror(vlookup($A525&amp;$B525,'5) Release_Track'!$F:$F&amp;'5) Release_Track'!$G:$G,1,0)),"NO ISRC-CATALOG ID pair MATCH in Release_Track" )</f>
        <v/>
      </c>
      <c r="D525" s="121" t="str">
        <f t="array" ref="D525">ifs(and(isblank($A525),isblank($B525)),"", not(iserror(vlookup($A525&amp;$B525,'5) Release_Track'!$F:$F&amp;'5) Release_Track'!$G:$G,1,0))),vlookup($A525&amp;$B525,{'5) Release_Track'!$F:$F&amp;'5) Release_Track'!$G:$G,'5) Release_Track'!$I:$I},2,0), or(and(not(isblank($B525)),$B525=$B524,$A525&lt;&gt;$A524),and(not(isblank($A525)),$A525=$A524,$B525&lt;&gt;$B524)),"ID LISTS UNALIGNED",and($A525&lt;&gt;"",countif('5) Release_Track'!$F:$F,$A525)=0),"NO ISRC MATCH in Release_Track",and($B525&lt;&gt;"",countif('5) Release_Track'!$G:$G,$B525)=0),"NO CATALOG ID MATCH in Release_Track",iserror(vlookup($A525&amp;$B525,'5) Release_Track'!$F:$F&amp;'5) Release_Track'!$G:$G,1,0)),"NO ISRC-CATALOG ID pair MATCH in Release_Track" )</f>
        <v/>
      </c>
      <c r="E525" s="99"/>
      <c r="F525" s="99"/>
      <c r="G525" s="123" t="str">
        <f t="array" ref="G525">ifs(or($F525="",$F525="Main Primary Artist"),$F525,not(iserror(vlookup($F525,'Reference info'!$J$5:$J$8,1,0))),"Key Artist",not(iserror(vlookup($F525,'Reference info'!$J$38:$J$405,1,0))),"Performer",not(iserror(vlookup($F525,'Reference info'!$J$10:$J$36,1,0))),"Producer &amp; Engineer")</f>
        <v/>
      </c>
    </row>
    <row r="526">
      <c r="B526" s="103"/>
      <c r="C526" s="121" t="str">
        <f t="array" ref="C526">ifs(and(isblank($A526),isblank($B526)),"", not(iserror(vlookup($A526&amp;$B526,'5) Release_Track'!$F:$F&amp;'5) Release_Track'!$G:$G,1,0))),vlookup($A526&amp;$B526,{'5) Release_Track'!$F:$F&amp;'5) Release_Track'!$G:$G,'5) Release_Track'!$H:$H},2,0), or(and(not(isblank($B526)),$B526=$B525,$A526&lt;&gt;$A525),and(not(isblank($A526)),$A526=$A525,$B526&lt;&gt;$B525)),"ID LISTS UNALIGNED",and($A526&lt;&gt;"",countif('5) Release_Track'!$F:$F,$A526)=0),"NO ISRC MATCH in Release_Track",and($B526&lt;&gt;"",countif('5) Release_Track'!$G:$G,$B526)=0),"NO CATALOG ID MATCH in Release_Track",iserror(vlookup($A526&amp;$B526,'5) Release_Track'!$F:$F&amp;'5) Release_Track'!$G:$G,1,0)),"NO ISRC-CATALOG ID pair MATCH in Release_Track" )</f>
        <v/>
      </c>
      <c r="D526" s="121" t="str">
        <f t="array" ref="D526">ifs(and(isblank($A526),isblank($B526)),"", not(iserror(vlookup($A526&amp;$B526,'5) Release_Track'!$F:$F&amp;'5) Release_Track'!$G:$G,1,0))),vlookup($A526&amp;$B526,{'5) Release_Track'!$F:$F&amp;'5) Release_Track'!$G:$G,'5) Release_Track'!$I:$I},2,0), or(and(not(isblank($B526)),$B526=$B525,$A526&lt;&gt;$A525),and(not(isblank($A526)),$A526=$A525,$B526&lt;&gt;$B525)),"ID LISTS UNALIGNED",and($A526&lt;&gt;"",countif('5) Release_Track'!$F:$F,$A526)=0),"NO ISRC MATCH in Release_Track",and($B526&lt;&gt;"",countif('5) Release_Track'!$G:$G,$B526)=0),"NO CATALOG ID MATCH in Release_Track",iserror(vlookup($A526&amp;$B526,'5) Release_Track'!$F:$F&amp;'5) Release_Track'!$G:$G,1,0)),"NO ISRC-CATALOG ID pair MATCH in Release_Track" )</f>
        <v/>
      </c>
      <c r="E526" s="99"/>
      <c r="F526" s="99"/>
      <c r="G526" s="123" t="str">
        <f t="array" ref="G526">ifs(or($F526="",$F526="Main Primary Artist"),$F526,not(iserror(vlookup($F526,'Reference info'!$J$5:$J$8,1,0))),"Key Artist",not(iserror(vlookup($F526,'Reference info'!$J$38:$J$405,1,0))),"Performer",not(iserror(vlookup($F526,'Reference info'!$J$10:$J$36,1,0))),"Producer &amp; Engineer")</f>
        <v/>
      </c>
    </row>
    <row r="527">
      <c r="B527" s="103"/>
      <c r="C527" s="121" t="str">
        <f t="array" ref="C527">ifs(and(isblank($A527),isblank($B527)),"", not(iserror(vlookup($A527&amp;$B527,'5) Release_Track'!$F:$F&amp;'5) Release_Track'!$G:$G,1,0))),vlookup($A527&amp;$B527,{'5) Release_Track'!$F:$F&amp;'5) Release_Track'!$G:$G,'5) Release_Track'!$H:$H},2,0), or(and(not(isblank($B527)),$B527=$B526,$A527&lt;&gt;$A526),and(not(isblank($A527)),$A527=$A526,$B527&lt;&gt;$B526)),"ID LISTS UNALIGNED",and($A527&lt;&gt;"",countif('5) Release_Track'!$F:$F,$A527)=0),"NO ISRC MATCH in Release_Track",and($B527&lt;&gt;"",countif('5) Release_Track'!$G:$G,$B527)=0),"NO CATALOG ID MATCH in Release_Track",iserror(vlookup($A527&amp;$B527,'5) Release_Track'!$F:$F&amp;'5) Release_Track'!$G:$G,1,0)),"NO ISRC-CATALOG ID pair MATCH in Release_Track" )</f>
        <v/>
      </c>
      <c r="D527" s="121" t="str">
        <f t="array" ref="D527">ifs(and(isblank($A527),isblank($B527)),"", not(iserror(vlookup($A527&amp;$B527,'5) Release_Track'!$F:$F&amp;'5) Release_Track'!$G:$G,1,0))),vlookup($A527&amp;$B527,{'5) Release_Track'!$F:$F&amp;'5) Release_Track'!$G:$G,'5) Release_Track'!$I:$I},2,0), or(and(not(isblank($B527)),$B527=$B526,$A527&lt;&gt;$A526),and(not(isblank($A527)),$A527=$A526,$B527&lt;&gt;$B526)),"ID LISTS UNALIGNED",and($A527&lt;&gt;"",countif('5) Release_Track'!$F:$F,$A527)=0),"NO ISRC MATCH in Release_Track",and($B527&lt;&gt;"",countif('5) Release_Track'!$G:$G,$B527)=0),"NO CATALOG ID MATCH in Release_Track",iserror(vlookup($A527&amp;$B527,'5) Release_Track'!$F:$F&amp;'5) Release_Track'!$G:$G,1,0)),"NO ISRC-CATALOG ID pair MATCH in Release_Track" )</f>
        <v/>
      </c>
      <c r="E527" s="99"/>
      <c r="F527" s="99"/>
      <c r="G527" s="123" t="str">
        <f t="array" ref="G527">ifs(or($F527="",$F527="Main Primary Artist"),$F527,not(iserror(vlookup($F527,'Reference info'!$J$5:$J$8,1,0))),"Key Artist",not(iserror(vlookup($F527,'Reference info'!$J$38:$J$405,1,0))),"Performer",not(iserror(vlookup($F527,'Reference info'!$J$10:$J$36,1,0))),"Producer &amp; Engineer")</f>
        <v/>
      </c>
    </row>
    <row r="528">
      <c r="B528" s="103"/>
      <c r="C528" s="121" t="str">
        <f t="array" ref="C528">ifs(and(isblank($A528),isblank($B528)),"", not(iserror(vlookup($A528&amp;$B528,'5) Release_Track'!$F:$F&amp;'5) Release_Track'!$G:$G,1,0))),vlookup($A528&amp;$B528,{'5) Release_Track'!$F:$F&amp;'5) Release_Track'!$G:$G,'5) Release_Track'!$H:$H},2,0), or(and(not(isblank($B528)),$B528=$B527,$A528&lt;&gt;$A527),and(not(isblank($A528)),$A528=$A527,$B528&lt;&gt;$B527)),"ID LISTS UNALIGNED",and($A528&lt;&gt;"",countif('5) Release_Track'!$F:$F,$A528)=0),"NO ISRC MATCH in Release_Track",and($B528&lt;&gt;"",countif('5) Release_Track'!$G:$G,$B528)=0),"NO CATALOG ID MATCH in Release_Track",iserror(vlookup($A528&amp;$B528,'5) Release_Track'!$F:$F&amp;'5) Release_Track'!$G:$G,1,0)),"NO ISRC-CATALOG ID pair MATCH in Release_Track" )</f>
        <v/>
      </c>
      <c r="D528" s="121" t="str">
        <f t="array" ref="D528">ifs(and(isblank($A528),isblank($B528)),"", not(iserror(vlookup($A528&amp;$B528,'5) Release_Track'!$F:$F&amp;'5) Release_Track'!$G:$G,1,0))),vlookup($A528&amp;$B528,{'5) Release_Track'!$F:$F&amp;'5) Release_Track'!$G:$G,'5) Release_Track'!$I:$I},2,0), or(and(not(isblank($B528)),$B528=$B527,$A528&lt;&gt;$A527),and(not(isblank($A528)),$A528=$A527,$B528&lt;&gt;$B527)),"ID LISTS UNALIGNED",and($A528&lt;&gt;"",countif('5) Release_Track'!$F:$F,$A528)=0),"NO ISRC MATCH in Release_Track",and($B528&lt;&gt;"",countif('5) Release_Track'!$G:$G,$B528)=0),"NO CATALOG ID MATCH in Release_Track",iserror(vlookup($A528&amp;$B528,'5) Release_Track'!$F:$F&amp;'5) Release_Track'!$G:$G,1,0)),"NO ISRC-CATALOG ID pair MATCH in Release_Track" )</f>
        <v/>
      </c>
      <c r="E528" s="99"/>
      <c r="F528" s="99"/>
      <c r="G528" s="123" t="str">
        <f t="array" ref="G528">ifs(or($F528="",$F528="Main Primary Artist"),$F528,not(iserror(vlookup($F528,'Reference info'!$J$5:$J$8,1,0))),"Key Artist",not(iserror(vlookup($F528,'Reference info'!$J$38:$J$405,1,0))),"Performer",not(iserror(vlookup($F528,'Reference info'!$J$10:$J$36,1,0))),"Producer &amp; Engineer")</f>
        <v/>
      </c>
    </row>
    <row r="529">
      <c r="B529" s="103"/>
      <c r="C529" s="121" t="str">
        <f t="array" ref="C529">ifs(and(isblank($A529),isblank($B529)),"", not(iserror(vlookup($A529&amp;$B529,'5) Release_Track'!$F:$F&amp;'5) Release_Track'!$G:$G,1,0))),vlookup($A529&amp;$B529,{'5) Release_Track'!$F:$F&amp;'5) Release_Track'!$G:$G,'5) Release_Track'!$H:$H},2,0), or(and(not(isblank($B529)),$B529=$B528,$A529&lt;&gt;$A528),and(not(isblank($A529)),$A529=$A528,$B529&lt;&gt;$B528)),"ID LISTS UNALIGNED",and($A529&lt;&gt;"",countif('5) Release_Track'!$F:$F,$A529)=0),"NO ISRC MATCH in Release_Track",and($B529&lt;&gt;"",countif('5) Release_Track'!$G:$G,$B529)=0),"NO CATALOG ID MATCH in Release_Track",iserror(vlookup($A529&amp;$B529,'5) Release_Track'!$F:$F&amp;'5) Release_Track'!$G:$G,1,0)),"NO ISRC-CATALOG ID pair MATCH in Release_Track" )</f>
        <v/>
      </c>
      <c r="D529" s="121" t="str">
        <f t="array" ref="D529">ifs(and(isblank($A529),isblank($B529)),"", not(iserror(vlookup($A529&amp;$B529,'5) Release_Track'!$F:$F&amp;'5) Release_Track'!$G:$G,1,0))),vlookup($A529&amp;$B529,{'5) Release_Track'!$F:$F&amp;'5) Release_Track'!$G:$G,'5) Release_Track'!$I:$I},2,0), or(and(not(isblank($B529)),$B529=$B528,$A529&lt;&gt;$A528),and(not(isblank($A529)),$A529=$A528,$B529&lt;&gt;$B528)),"ID LISTS UNALIGNED",and($A529&lt;&gt;"",countif('5) Release_Track'!$F:$F,$A529)=0),"NO ISRC MATCH in Release_Track",and($B529&lt;&gt;"",countif('5) Release_Track'!$G:$G,$B529)=0),"NO CATALOG ID MATCH in Release_Track",iserror(vlookup($A529&amp;$B529,'5) Release_Track'!$F:$F&amp;'5) Release_Track'!$G:$G,1,0)),"NO ISRC-CATALOG ID pair MATCH in Release_Track" )</f>
        <v/>
      </c>
      <c r="E529" s="99"/>
      <c r="F529" s="99"/>
      <c r="G529" s="123" t="str">
        <f t="array" ref="G529">ifs(or($F529="",$F529="Main Primary Artist"),$F529,not(iserror(vlookup($F529,'Reference info'!$J$5:$J$8,1,0))),"Key Artist",not(iserror(vlookup($F529,'Reference info'!$J$38:$J$405,1,0))),"Performer",not(iserror(vlookup($F529,'Reference info'!$J$10:$J$36,1,0))),"Producer &amp; Engineer")</f>
        <v/>
      </c>
    </row>
    <row r="530">
      <c r="B530" s="103"/>
      <c r="C530" s="121" t="str">
        <f t="array" ref="C530">ifs(and(isblank($A530),isblank($B530)),"", not(iserror(vlookup($A530&amp;$B530,'5) Release_Track'!$F:$F&amp;'5) Release_Track'!$G:$G,1,0))),vlookup($A530&amp;$B530,{'5) Release_Track'!$F:$F&amp;'5) Release_Track'!$G:$G,'5) Release_Track'!$H:$H},2,0), or(and(not(isblank($B530)),$B530=$B529,$A530&lt;&gt;$A529),and(not(isblank($A530)),$A530=$A529,$B530&lt;&gt;$B529)),"ID LISTS UNALIGNED",and($A530&lt;&gt;"",countif('5) Release_Track'!$F:$F,$A530)=0),"NO ISRC MATCH in Release_Track",and($B530&lt;&gt;"",countif('5) Release_Track'!$G:$G,$B530)=0),"NO CATALOG ID MATCH in Release_Track",iserror(vlookup($A530&amp;$B530,'5) Release_Track'!$F:$F&amp;'5) Release_Track'!$G:$G,1,0)),"NO ISRC-CATALOG ID pair MATCH in Release_Track" )</f>
        <v/>
      </c>
      <c r="D530" s="121" t="str">
        <f t="array" ref="D530">ifs(and(isblank($A530),isblank($B530)),"", not(iserror(vlookup($A530&amp;$B530,'5) Release_Track'!$F:$F&amp;'5) Release_Track'!$G:$G,1,0))),vlookup($A530&amp;$B530,{'5) Release_Track'!$F:$F&amp;'5) Release_Track'!$G:$G,'5) Release_Track'!$I:$I},2,0), or(and(not(isblank($B530)),$B530=$B529,$A530&lt;&gt;$A529),and(not(isblank($A530)),$A530=$A529,$B530&lt;&gt;$B529)),"ID LISTS UNALIGNED",and($A530&lt;&gt;"",countif('5) Release_Track'!$F:$F,$A530)=0),"NO ISRC MATCH in Release_Track",and($B530&lt;&gt;"",countif('5) Release_Track'!$G:$G,$B530)=0),"NO CATALOG ID MATCH in Release_Track",iserror(vlookup($A530&amp;$B530,'5) Release_Track'!$F:$F&amp;'5) Release_Track'!$G:$G,1,0)),"NO ISRC-CATALOG ID pair MATCH in Release_Track" )</f>
        <v/>
      </c>
      <c r="E530" s="99"/>
      <c r="F530" s="99"/>
      <c r="G530" s="123" t="str">
        <f t="array" ref="G530">ifs(or($F530="",$F530="Main Primary Artist"),$F530,not(iserror(vlookup($F530,'Reference info'!$J$5:$J$8,1,0))),"Key Artist",not(iserror(vlookup($F530,'Reference info'!$J$38:$J$405,1,0))),"Performer",not(iserror(vlookup($F530,'Reference info'!$J$10:$J$36,1,0))),"Producer &amp; Engineer")</f>
        <v/>
      </c>
    </row>
    <row r="531">
      <c r="B531" s="103"/>
      <c r="C531" s="121" t="str">
        <f t="array" ref="C531">ifs(and(isblank($A531),isblank($B531)),"", not(iserror(vlookup($A531&amp;$B531,'5) Release_Track'!$F:$F&amp;'5) Release_Track'!$G:$G,1,0))),vlookup($A531&amp;$B531,{'5) Release_Track'!$F:$F&amp;'5) Release_Track'!$G:$G,'5) Release_Track'!$H:$H},2,0), or(and(not(isblank($B531)),$B531=$B530,$A531&lt;&gt;$A530),and(not(isblank($A531)),$A531=$A530,$B531&lt;&gt;$B530)),"ID LISTS UNALIGNED",and($A531&lt;&gt;"",countif('5) Release_Track'!$F:$F,$A531)=0),"NO ISRC MATCH in Release_Track",and($B531&lt;&gt;"",countif('5) Release_Track'!$G:$G,$B531)=0),"NO CATALOG ID MATCH in Release_Track",iserror(vlookup($A531&amp;$B531,'5) Release_Track'!$F:$F&amp;'5) Release_Track'!$G:$G,1,0)),"NO ISRC-CATALOG ID pair MATCH in Release_Track" )</f>
        <v/>
      </c>
      <c r="D531" s="121" t="str">
        <f t="array" ref="D531">ifs(and(isblank($A531),isblank($B531)),"", not(iserror(vlookup($A531&amp;$B531,'5) Release_Track'!$F:$F&amp;'5) Release_Track'!$G:$G,1,0))),vlookup($A531&amp;$B531,{'5) Release_Track'!$F:$F&amp;'5) Release_Track'!$G:$G,'5) Release_Track'!$I:$I},2,0), or(and(not(isblank($B531)),$B531=$B530,$A531&lt;&gt;$A530),and(not(isblank($A531)),$A531=$A530,$B531&lt;&gt;$B530)),"ID LISTS UNALIGNED",and($A531&lt;&gt;"",countif('5) Release_Track'!$F:$F,$A531)=0),"NO ISRC MATCH in Release_Track",and($B531&lt;&gt;"",countif('5) Release_Track'!$G:$G,$B531)=0),"NO CATALOG ID MATCH in Release_Track",iserror(vlookup($A531&amp;$B531,'5) Release_Track'!$F:$F&amp;'5) Release_Track'!$G:$G,1,0)),"NO ISRC-CATALOG ID pair MATCH in Release_Track" )</f>
        <v/>
      </c>
      <c r="E531" s="99"/>
      <c r="F531" s="99"/>
      <c r="G531" s="123" t="str">
        <f t="array" ref="G531">ifs(or($F531="",$F531="Main Primary Artist"),$F531,not(iserror(vlookup($F531,'Reference info'!$J$5:$J$8,1,0))),"Key Artist",not(iserror(vlookup($F531,'Reference info'!$J$38:$J$405,1,0))),"Performer",not(iserror(vlookup($F531,'Reference info'!$J$10:$J$36,1,0))),"Producer &amp; Engineer")</f>
        <v/>
      </c>
    </row>
    <row r="532">
      <c r="B532" s="103"/>
      <c r="C532" s="121" t="str">
        <f t="array" ref="C532">ifs(and(isblank($A532),isblank($B532)),"", not(iserror(vlookup($A532&amp;$B532,'5) Release_Track'!$F:$F&amp;'5) Release_Track'!$G:$G,1,0))),vlookup($A532&amp;$B532,{'5) Release_Track'!$F:$F&amp;'5) Release_Track'!$G:$G,'5) Release_Track'!$H:$H},2,0), or(and(not(isblank($B532)),$B532=$B531,$A532&lt;&gt;$A531),and(not(isblank($A532)),$A532=$A531,$B532&lt;&gt;$B531)),"ID LISTS UNALIGNED",and($A532&lt;&gt;"",countif('5) Release_Track'!$F:$F,$A532)=0),"NO ISRC MATCH in Release_Track",and($B532&lt;&gt;"",countif('5) Release_Track'!$G:$G,$B532)=0),"NO CATALOG ID MATCH in Release_Track",iserror(vlookup($A532&amp;$B532,'5) Release_Track'!$F:$F&amp;'5) Release_Track'!$G:$G,1,0)),"NO ISRC-CATALOG ID pair MATCH in Release_Track" )</f>
        <v/>
      </c>
      <c r="D532" s="121" t="str">
        <f t="array" ref="D532">ifs(and(isblank($A532),isblank($B532)),"", not(iserror(vlookup($A532&amp;$B532,'5) Release_Track'!$F:$F&amp;'5) Release_Track'!$G:$G,1,0))),vlookup($A532&amp;$B532,{'5) Release_Track'!$F:$F&amp;'5) Release_Track'!$G:$G,'5) Release_Track'!$I:$I},2,0), or(and(not(isblank($B532)),$B532=$B531,$A532&lt;&gt;$A531),and(not(isblank($A532)),$A532=$A531,$B532&lt;&gt;$B531)),"ID LISTS UNALIGNED",and($A532&lt;&gt;"",countif('5) Release_Track'!$F:$F,$A532)=0),"NO ISRC MATCH in Release_Track",and($B532&lt;&gt;"",countif('5) Release_Track'!$G:$G,$B532)=0),"NO CATALOG ID MATCH in Release_Track",iserror(vlookup($A532&amp;$B532,'5) Release_Track'!$F:$F&amp;'5) Release_Track'!$G:$G,1,0)),"NO ISRC-CATALOG ID pair MATCH in Release_Track" )</f>
        <v/>
      </c>
      <c r="E532" s="99"/>
      <c r="F532" s="99"/>
      <c r="G532" s="123" t="str">
        <f t="array" ref="G532">ifs(or($F532="",$F532="Main Primary Artist"),$F532,not(iserror(vlookup($F532,'Reference info'!$J$5:$J$8,1,0))),"Key Artist",not(iserror(vlookup($F532,'Reference info'!$J$38:$J$405,1,0))),"Performer",not(iserror(vlookup($F532,'Reference info'!$J$10:$J$36,1,0))),"Producer &amp; Engineer")</f>
        <v/>
      </c>
    </row>
    <row r="533">
      <c r="B533" s="103"/>
      <c r="C533" s="121" t="str">
        <f t="array" ref="C533">ifs(and(isblank($A533),isblank($B533)),"", not(iserror(vlookup($A533&amp;$B533,'5) Release_Track'!$F:$F&amp;'5) Release_Track'!$G:$G,1,0))),vlookup($A533&amp;$B533,{'5) Release_Track'!$F:$F&amp;'5) Release_Track'!$G:$G,'5) Release_Track'!$H:$H},2,0), or(and(not(isblank($B533)),$B533=$B532,$A533&lt;&gt;$A532),and(not(isblank($A533)),$A533=$A532,$B533&lt;&gt;$B532)),"ID LISTS UNALIGNED",and($A533&lt;&gt;"",countif('5) Release_Track'!$F:$F,$A533)=0),"NO ISRC MATCH in Release_Track",and($B533&lt;&gt;"",countif('5) Release_Track'!$G:$G,$B533)=0),"NO CATALOG ID MATCH in Release_Track",iserror(vlookup($A533&amp;$B533,'5) Release_Track'!$F:$F&amp;'5) Release_Track'!$G:$G,1,0)),"NO ISRC-CATALOG ID pair MATCH in Release_Track" )</f>
        <v/>
      </c>
      <c r="D533" s="121" t="str">
        <f t="array" ref="D533">ifs(and(isblank($A533),isblank($B533)),"", not(iserror(vlookup($A533&amp;$B533,'5) Release_Track'!$F:$F&amp;'5) Release_Track'!$G:$G,1,0))),vlookup($A533&amp;$B533,{'5) Release_Track'!$F:$F&amp;'5) Release_Track'!$G:$G,'5) Release_Track'!$I:$I},2,0), or(and(not(isblank($B533)),$B533=$B532,$A533&lt;&gt;$A532),and(not(isblank($A533)),$A533=$A532,$B533&lt;&gt;$B532)),"ID LISTS UNALIGNED",and($A533&lt;&gt;"",countif('5) Release_Track'!$F:$F,$A533)=0),"NO ISRC MATCH in Release_Track",and($B533&lt;&gt;"",countif('5) Release_Track'!$G:$G,$B533)=0),"NO CATALOG ID MATCH in Release_Track",iserror(vlookup($A533&amp;$B533,'5) Release_Track'!$F:$F&amp;'5) Release_Track'!$G:$G,1,0)),"NO ISRC-CATALOG ID pair MATCH in Release_Track" )</f>
        <v/>
      </c>
      <c r="E533" s="99"/>
      <c r="F533" s="99"/>
      <c r="G533" s="123" t="str">
        <f t="array" ref="G533">ifs(or($F533="",$F533="Main Primary Artist"),$F533,not(iserror(vlookup($F533,'Reference info'!$J$5:$J$8,1,0))),"Key Artist",not(iserror(vlookup($F533,'Reference info'!$J$38:$J$405,1,0))),"Performer",not(iserror(vlookup($F533,'Reference info'!$J$10:$J$36,1,0))),"Producer &amp; Engineer")</f>
        <v/>
      </c>
    </row>
    <row r="534">
      <c r="B534" s="103"/>
      <c r="C534" s="121" t="str">
        <f t="array" ref="C534">ifs(and(isblank($A534),isblank($B534)),"", not(iserror(vlookup($A534&amp;$B534,'5) Release_Track'!$F:$F&amp;'5) Release_Track'!$G:$G,1,0))),vlookup($A534&amp;$B534,{'5) Release_Track'!$F:$F&amp;'5) Release_Track'!$G:$G,'5) Release_Track'!$H:$H},2,0), or(and(not(isblank($B534)),$B534=$B533,$A534&lt;&gt;$A533),and(not(isblank($A534)),$A534=$A533,$B534&lt;&gt;$B533)),"ID LISTS UNALIGNED",and($A534&lt;&gt;"",countif('5) Release_Track'!$F:$F,$A534)=0),"NO ISRC MATCH in Release_Track",and($B534&lt;&gt;"",countif('5) Release_Track'!$G:$G,$B534)=0),"NO CATALOG ID MATCH in Release_Track",iserror(vlookup($A534&amp;$B534,'5) Release_Track'!$F:$F&amp;'5) Release_Track'!$G:$G,1,0)),"NO ISRC-CATALOG ID pair MATCH in Release_Track" )</f>
        <v/>
      </c>
      <c r="D534" s="121" t="str">
        <f t="array" ref="D534">ifs(and(isblank($A534),isblank($B534)),"", not(iserror(vlookup($A534&amp;$B534,'5) Release_Track'!$F:$F&amp;'5) Release_Track'!$G:$G,1,0))),vlookup($A534&amp;$B534,{'5) Release_Track'!$F:$F&amp;'5) Release_Track'!$G:$G,'5) Release_Track'!$I:$I},2,0), or(and(not(isblank($B534)),$B534=$B533,$A534&lt;&gt;$A533),and(not(isblank($A534)),$A534=$A533,$B534&lt;&gt;$B533)),"ID LISTS UNALIGNED",and($A534&lt;&gt;"",countif('5) Release_Track'!$F:$F,$A534)=0),"NO ISRC MATCH in Release_Track",and($B534&lt;&gt;"",countif('5) Release_Track'!$G:$G,$B534)=0),"NO CATALOG ID MATCH in Release_Track",iserror(vlookup($A534&amp;$B534,'5) Release_Track'!$F:$F&amp;'5) Release_Track'!$G:$G,1,0)),"NO ISRC-CATALOG ID pair MATCH in Release_Track" )</f>
        <v/>
      </c>
      <c r="E534" s="99"/>
      <c r="F534" s="99"/>
      <c r="G534" s="123" t="str">
        <f t="array" ref="G534">ifs(or($F534="",$F534="Main Primary Artist"),$F534,not(iserror(vlookup($F534,'Reference info'!$J$5:$J$8,1,0))),"Key Artist",not(iserror(vlookup($F534,'Reference info'!$J$38:$J$405,1,0))),"Performer",not(iserror(vlookup($F534,'Reference info'!$J$10:$J$36,1,0))),"Producer &amp; Engineer")</f>
        <v/>
      </c>
    </row>
    <row r="535">
      <c r="B535" s="103"/>
      <c r="C535" s="121" t="str">
        <f t="array" ref="C535">ifs(and(isblank($A535),isblank($B535)),"", not(iserror(vlookup($A535&amp;$B535,'5) Release_Track'!$F:$F&amp;'5) Release_Track'!$G:$G,1,0))),vlookup($A535&amp;$B535,{'5) Release_Track'!$F:$F&amp;'5) Release_Track'!$G:$G,'5) Release_Track'!$H:$H},2,0), or(and(not(isblank($B535)),$B535=$B534,$A535&lt;&gt;$A534),and(not(isblank($A535)),$A535=$A534,$B535&lt;&gt;$B534)),"ID LISTS UNALIGNED",and($A535&lt;&gt;"",countif('5) Release_Track'!$F:$F,$A535)=0),"NO ISRC MATCH in Release_Track",and($B535&lt;&gt;"",countif('5) Release_Track'!$G:$G,$B535)=0),"NO CATALOG ID MATCH in Release_Track",iserror(vlookup($A535&amp;$B535,'5) Release_Track'!$F:$F&amp;'5) Release_Track'!$G:$G,1,0)),"NO ISRC-CATALOG ID pair MATCH in Release_Track" )</f>
        <v/>
      </c>
      <c r="D535" s="121" t="str">
        <f t="array" ref="D535">ifs(and(isblank($A535),isblank($B535)),"", not(iserror(vlookup($A535&amp;$B535,'5) Release_Track'!$F:$F&amp;'5) Release_Track'!$G:$G,1,0))),vlookup($A535&amp;$B535,{'5) Release_Track'!$F:$F&amp;'5) Release_Track'!$G:$G,'5) Release_Track'!$I:$I},2,0), or(and(not(isblank($B535)),$B535=$B534,$A535&lt;&gt;$A534),and(not(isblank($A535)),$A535=$A534,$B535&lt;&gt;$B534)),"ID LISTS UNALIGNED",and($A535&lt;&gt;"",countif('5) Release_Track'!$F:$F,$A535)=0),"NO ISRC MATCH in Release_Track",and($B535&lt;&gt;"",countif('5) Release_Track'!$G:$G,$B535)=0),"NO CATALOG ID MATCH in Release_Track",iserror(vlookup($A535&amp;$B535,'5) Release_Track'!$F:$F&amp;'5) Release_Track'!$G:$G,1,0)),"NO ISRC-CATALOG ID pair MATCH in Release_Track" )</f>
        <v/>
      </c>
      <c r="E535" s="99"/>
      <c r="F535" s="99"/>
      <c r="G535" s="123" t="str">
        <f t="array" ref="G535">ifs(or($F535="",$F535="Main Primary Artist"),$F535,not(iserror(vlookup($F535,'Reference info'!$J$5:$J$8,1,0))),"Key Artist",not(iserror(vlookup($F535,'Reference info'!$J$38:$J$405,1,0))),"Performer",not(iserror(vlookup($F535,'Reference info'!$J$10:$J$36,1,0))),"Producer &amp; Engineer")</f>
        <v/>
      </c>
    </row>
    <row r="536">
      <c r="B536" s="103"/>
      <c r="C536" s="121" t="str">
        <f t="array" ref="C536">ifs(and(isblank($A536),isblank($B536)),"", not(iserror(vlookup($A536&amp;$B536,'5) Release_Track'!$F:$F&amp;'5) Release_Track'!$G:$G,1,0))),vlookup($A536&amp;$B536,{'5) Release_Track'!$F:$F&amp;'5) Release_Track'!$G:$G,'5) Release_Track'!$H:$H},2,0), or(and(not(isblank($B536)),$B536=$B535,$A536&lt;&gt;$A535),and(not(isblank($A536)),$A536=$A535,$B536&lt;&gt;$B535)),"ID LISTS UNALIGNED",and($A536&lt;&gt;"",countif('5) Release_Track'!$F:$F,$A536)=0),"NO ISRC MATCH in Release_Track",and($B536&lt;&gt;"",countif('5) Release_Track'!$G:$G,$B536)=0),"NO CATALOG ID MATCH in Release_Track",iserror(vlookup($A536&amp;$B536,'5) Release_Track'!$F:$F&amp;'5) Release_Track'!$G:$G,1,0)),"NO ISRC-CATALOG ID pair MATCH in Release_Track" )</f>
        <v/>
      </c>
      <c r="D536" s="121" t="str">
        <f t="array" ref="D536">ifs(and(isblank($A536),isblank($B536)),"", not(iserror(vlookup($A536&amp;$B536,'5) Release_Track'!$F:$F&amp;'5) Release_Track'!$G:$G,1,0))),vlookup($A536&amp;$B536,{'5) Release_Track'!$F:$F&amp;'5) Release_Track'!$G:$G,'5) Release_Track'!$I:$I},2,0), or(and(not(isblank($B536)),$B536=$B535,$A536&lt;&gt;$A535),and(not(isblank($A536)),$A536=$A535,$B536&lt;&gt;$B535)),"ID LISTS UNALIGNED",and($A536&lt;&gt;"",countif('5) Release_Track'!$F:$F,$A536)=0),"NO ISRC MATCH in Release_Track",and($B536&lt;&gt;"",countif('5) Release_Track'!$G:$G,$B536)=0),"NO CATALOG ID MATCH in Release_Track",iserror(vlookup($A536&amp;$B536,'5) Release_Track'!$F:$F&amp;'5) Release_Track'!$G:$G,1,0)),"NO ISRC-CATALOG ID pair MATCH in Release_Track" )</f>
        <v/>
      </c>
      <c r="E536" s="99"/>
      <c r="F536" s="99"/>
      <c r="G536" s="123" t="str">
        <f t="array" ref="G536">ifs(or($F536="",$F536="Main Primary Artist"),$F536,not(iserror(vlookup($F536,'Reference info'!$J$5:$J$8,1,0))),"Key Artist",not(iserror(vlookup($F536,'Reference info'!$J$38:$J$405,1,0))),"Performer",not(iserror(vlookup($F536,'Reference info'!$J$10:$J$36,1,0))),"Producer &amp; Engineer")</f>
        <v/>
      </c>
    </row>
    <row r="537">
      <c r="B537" s="103"/>
      <c r="C537" s="121" t="str">
        <f t="array" ref="C537">ifs(and(isblank($A537),isblank($B537)),"", not(iserror(vlookup($A537&amp;$B537,'5) Release_Track'!$F:$F&amp;'5) Release_Track'!$G:$G,1,0))),vlookup($A537&amp;$B537,{'5) Release_Track'!$F:$F&amp;'5) Release_Track'!$G:$G,'5) Release_Track'!$H:$H},2,0), or(and(not(isblank($B537)),$B537=$B536,$A537&lt;&gt;$A536),and(not(isblank($A537)),$A537=$A536,$B537&lt;&gt;$B536)),"ID LISTS UNALIGNED",and($A537&lt;&gt;"",countif('5) Release_Track'!$F:$F,$A537)=0),"NO ISRC MATCH in Release_Track",and($B537&lt;&gt;"",countif('5) Release_Track'!$G:$G,$B537)=0),"NO CATALOG ID MATCH in Release_Track",iserror(vlookup($A537&amp;$B537,'5) Release_Track'!$F:$F&amp;'5) Release_Track'!$G:$G,1,0)),"NO ISRC-CATALOG ID pair MATCH in Release_Track" )</f>
        <v/>
      </c>
      <c r="D537" s="121" t="str">
        <f t="array" ref="D537">ifs(and(isblank($A537),isblank($B537)),"", not(iserror(vlookup($A537&amp;$B537,'5) Release_Track'!$F:$F&amp;'5) Release_Track'!$G:$G,1,0))),vlookup($A537&amp;$B537,{'5) Release_Track'!$F:$F&amp;'5) Release_Track'!$G:$G,'5) Release_Track'!$I:$I},2,0), or(and(not(isblank($B537)),$B537=$B536,$A537&lt;&gt;$A536),and(not(isblank($A537)),$A537=$A536,$B537&lt;&gt;$B536)),"ID LISTS UNALIGNED",and($A537&lt;&gt;"",countif('5) Release_Track'!$F:$F,$A537)=0),"NO ISRC MATCH in Release_Track",and($B537&lt;&gt;"",countif('5) Release_Track'!$G:$G,$B537)=0),"NO CATALOG ID MATCH in Release_Track",iserror(vlookup($A537&amp;$B537,'5) Release_Track'!$F:$F&amp;'5) Release_Track'!$G:$G,1,0)),"NO ISRC-CATALOG ID pair MATCH in Release_Track" )</f>
        <v/>
      </c>
      <c r="E537" s="99"/>
      <c r="F537" s="99"/>
      <c r="G537" s="123" t="str">
        <f t="array" ref="G537">ifs(or($F537="",$F537="Main Primary Artist"),$F537,not(iserror(vlookup($F537,'Reference info'!$J$5:$J$8,1,0))),"Key Artist",not(iserror(vlookup($F537,'Reference info'!$J$38:$J$405,1,0))),"Performer",not(iserror(vlookup($F537,'Reference info'!$J$10:$J$36,1,0))),"Producer &amp; Engineer")</f>
        <v/>
      </c>
    </row>
    <row r="538">
      <c r="B538" s="103"/>
      <c r="C538" s="121" t="str">
        <f t="array" ref="C538">ifs(and(isblank($A538),isblank($B538)),"", not(iserror(vlookup($A538&amp;$B538,'5) Release_Track'!$F:$F&amp;'5) Release_Track'!$G:$G,1,0))),vlookup($A538&amp;$B538,{'5) Release_Track'!$F:$F&amp;'5) Release_Track'!$G:$G,'5) Release_Track'!$H:$H},2,0), or(and(not(isblank($B538)),$B538=$B537,$A538&lt;&gt;$A537),and(not(isblank($A538)),$A538=$A537,$B538&lt;&gt;$B537)),"ID LISTS UNALIGNED",and($A538&lt;&gt;"",countif('5) Release_Track'!$F:$F,$A538)=0),"NO ISRC MATCH in Release_Track",and($B538&lt;&gt;"",countif('5) Release_Track'!$G:$G,$B538)=0),"NO CATALOG ID MATCH in Release_Track",iserror(vlookup($A538&amp;$B538,'5) Release_Track'!$F:$F&amp;'5) Release_Track'!$G:$G,1,0)),"NO ISRC-CATALOG ID pair MATCH in Release_Track" )</f>
        <v/>
      </c>
      <c r="D538" s="121" t="str">
        <f t="array" ref="D538">ifs(and(isblank($A538),isblank($B538)),"", not(iserror(vlookup($A538&amp;$B538,'5) Release_Track'!$F:$F&amp;'5) Release_Track'!$G:$G,1,0))),vlookup($A538&amp;$B538,{'5) Release_Track'!$F:$F&amp;'5) Release_Track'!$G:$G,'5) Release_Track'!$I:$I},2,0), or(and(not(isblank($B538)),$B538=$B537,$A538&lt;&gt;$A537),and(not(isblank($A538)),$A538=$A537,$B538&lt;&gt;$B537)),"ID LISTS UNALIGNED",and($A538&lt;&gt;"",countif('5) Release_Track'!$F:$F,$A538)=0),"NO ISRC MATCH in Release_Track",and($B538&lt;&gt;"",countif('5) Release_Track'!$G:$G,$B538)=0),"NO CATALOG ID MATCH in Release_Track",iserror(vlookup($A538&amp;$B538,'5) Release_Track'!$F:$F&amp;'5) Release_Track'!$G:$G,1,0)),"NO ISRC-CATALOG ID pair MATCH in Release_Track" )</f>
        <v/>
      </c>
      <c r="E538" s="99"/>
      <c r="F538" s="99"/>
      <c r="G538" s="123" t="str">
        <f t="array" ref="G538">ifs(or($F538="",$F538="Main Primary Artist"),$F538,not(iserror(vlookup($F538,'Reference info'!$J$5:$J$8,1,0))),"Key Artist",not(iserror(vlookup($F538,'Reference info'!$J$38:$J$405,1,0))),"Performer",not(iserror(vlookup($F538,'Reference info'!$J$10:$J$36,1,0))),"Producer &amp; Engineer")</f>
        <v/>
      </c>
    </row>
    <row r="539">
      <c r="B539" s="103"/>
      <c r="C539" s="121" t="str">
        <f t="array" ref="C539">ifs(and(isblank($A539),isblank($B539)),"", not(iserror(vlookup($A539&amp;$B539,'5) Release_Track'!$F:$F&amp;'5) Release_Track'!$G:$G,1,0))),vlookup($A539&amp;$B539,{'5) Release_Track'!$F:$F&amp;'5) Release_Track'!$G:$G,'5) Release_Track'!$H:$H},2,0), or(and(not(isblank($B539)),$B539=$B538,$A539&lt;&gt;$A538),and(not(isblank($A539)),$A539=$A538,$B539&lt;&gt;$B538)),"ID LISTS UNALIGNED",and($A539&lt;&gt;"",countif('5) Release_Track'!$F:$F,$A539)=0),"NO ISRC MATCH in Release_Track",and($B539&lt;&gt;"",countif('5) Release_Track'!$G:$G,$B539)=0),"NO CATALOG ID MATCH in Release_Track",iserror(vlookup($A539&amp;$B539,'5) Release_Track'!$F:$F&amp;'5) Release_Track'!$G:$G,1,0)),"NO ISRC-CATALOG ID pair MATCH in Release_Track" )</f>
        <v/>
      </c>
      <c r="D539" s="121" t="str">
        <f t="array" ref="D539">ifs(and(isblank($A539),isblank($B539)),"", not(iserror(vlookup($A539&amp;$B539,'5) Release_Track'!$F:$F&amp;'5) Release_Track'!$G:$G,1,0))),vlookup($A539&amp;$B539,{'5) Release_Track'!$F:$F&amp;'5) Release_Track'!$G:$G,'5) Release_Track'!$I:$I},2,0), or(and(not(isblank($B539)),$B539=$B538,$A539&lt;&gt;$A538),and(not(isblank($A539)),$A539=$A538,$B539&lt;&gt;$B538)),"ID LISTS UNALIGNED",and($A539&lt;&gt;"",countif('5) Release_Track'!$F:$F,$A539)=0),"NO ISRC MATCH in Release_Track",and($B539&lt;&gt;"",countif('5) Release_Track'!$G:$G,$B539)=0),"NO CATALOG ID MATCH in Release_Track",iserror(vlookup($A539&amp;$B539,'5) Release_Track'!$F:$F&amp;'5) Release_Track'!$G:$G,1,0)),"NO ISRC-CATALOG ID pair MATCH in Release_Track" )</f>
        <v/>
      </c>
      <c r="E539" s="99"/>
      <c r="F539" s="99"/>
      <c r="G539" s="123" t="str">
        <f t="array" ref="G539">ifs(or($F539="",$F539="Main Primary Artist"),$F539,not(iserror(vlookup($F539,'Reference info'!$J$5:$J$8,1,0))),"Key Artist",not(iserror(vlookup($F539,'Reference info'!$J$38:$J$405,1,0))),"Performer",not(iserror(vlookup($F539,'Reference info'!$J$10:$J$36,1,0))),"Producer &amp; Engineer")</f>
        <v/>
      </c>
    </row>
    <row r="540">
      <c r="B540" s="103"/>
      <c r="C540" s="121" t="str">
        <f t="array" ref="C540">ifs(and(isblank($A540),isblank($B540)),"", not(iserror(vlookup($A540&amp;$B540,'5) Release_Track'!$F:$F&amp;'5) Release_Track'!$G:$G,1,0))),vlookup($A540&amp;$B540,{'5) Release_Track'!$F:$F&amp;'5) Release_Track'!$G:$G,'5) Release_Track'!$H:$H},2,0), or(and(not(isblank($B540)),$B540=$B539,$A540&lt;&gt;$A539),and(not(isblank($A540)),$A540=$A539,$B540&lt;&gt;$B539)),"ID LISTS UNALIGNED",and($A540&lt;&gt;"",countif('5) Release_Track'!$F:$F,$A540)=0),"NO ISRC MATCH in Release_Track",and($B540&lt;&gt;"",countif('5) Release_Track'!$G:$G,$B540)=0),"NO CATALOG ID MATCH in Release_Track",iserror(vlookup($A540&amp;$B540,'5) Release_Track'!$F:$F&amp;'5) Release_Track'!$G:$G,1,0)),"NO ISRC-CATALOG ID pair MATCH in Release_Track" )</f>
        <v/>
      </c>
      <c r="D540" s="121" t="str">
        <f t="array" ref="D540">ifs(and(isblank($A540),isblank($B540)),"", not(iserror(vlookup($A540&amp;$B540,'5) Release_Track'!$F:$F&amp;'5) Release_Track'!$G:$G,1,0))),vlookup($A540&amp;$B540,{'5) Release_Track'!$F:$F&amp;'5) Release_Track'!$G:$G,'5) Release_Track'!$I:$I},2,0), or(and(not(isblank($B540)),$B540=$B539,$A540&lt;&gt;$A539),and(not(isblank($A540)),$A540=$A539,$B540&lt;&gt;$B539)),"ID LISTS UNALIGNED",and($A540&lt;&gt;"",countif('5) Release_Track'!$F:$F,$A540)=0),"NO ISRC MATCH in Release_Track",and($B540&lt;&gt;"",countif('5) Release_Track'!$G:$G,$B540)=0),"NO CATALOG ID MATCH in Release_Track",iserror(vlookup($A540&amp;$B540,'5) Release_Track'!$F:$F&amp;'5) Release_Track'!$G:$G,1,0)),"NO ISRC-CATALOG ID pair MATCH in Release_Track" )</f>
        <v/>
      </c>
      <c r="E540" s="99"/>
      <c r="F540" s="99"/>
      <c r="G540" s="123" t="str">
        <f t="array" ref="G540">ifs(or($F540="",$F540="Main Primary Artist"),$F540,not(iserror(vlookup($F540,'Reference info'!$J$5:$J$8,1,0))),"Key Artist",not(iserror(vlookup($F540,'Reference info'!$J$38:$J$405,1,0))),"Performer",not(iserror(vlookup($F540,'Reference info'!$J$10:$J$36,1,0))),"Producer &amp; Engineer")</f>
        <v/>
      </c>
    </row>
    <row r="541">
      <c r="B541" s="103"/>
      <c r="C541" s="121" t="str">
        <f t="array" ref="C541">ifs(and(isblank($A541),isblank($B541)),"", not(iserror(vlookup($A541&amp;$B541,'5) Release_Track'!$F:$F&amp;'5) Release_Track'!$G:$G,1,0))),vlookup($A541&amp;$B541,{'5) Release_Track'!$F:$F&amp;'5) Release_Track'!$G:$G,'5) Release_Track'!$H:$H},2,0), or(and(not(isblank($B541)),$B541=$B540,$A541&lt;&gt;$A540),and(not(isblank($A541)),$A541=$A540,$B541&lt;&gt;$B540)),"ID LISTS UNALIGNED",and($A541&lt;&gt;"",countif('5) Release_Track'!$F:$F,$A541)=0),"NO ISRC MATCH in Release_Track",and($B541&lt;&gt;"",countif('5) Release_Track'!$G:$G,$B541)=0),"NO CATALOG ID MATCH in Release_Track",iserror(vlookup($A541&amp;$B541,'5) Release_Track'!$F:$F&amp;'5) Release_Track'!$G:$G,1,0)),"NO ISRC-CATALOG ID pair MATCH in Release_Track" )</f>
        <v/>
      </c>
      <c r="D541" s="121" t="str">
        <f t="array" ref="D541">ifs(and(isblank($A541),isblank($B541)),"", not(iserror(vlookup($A541&amp;$B541,'5) Release_Track'!$F:$F&amp;'5) Release_Track'!$G:$G,1,0))),vlookup($A541&amp;$B541,{'5) Release_Track'!$F:$F&amp;'5) Release_Track'!$G:$G,'5) Release_Track'!$I:$I},2,0), or(and(not(isblank($B541)),$B541=$B540,$A541&lt;&gt;$A540),and(not(isblank($A541)),$A541=$A540,$B541&lt;&gt;$B540)),"ID LISTS UNALIGNED",and($A541&lt;&gt;"",countif('5) Release_Track'!$F:$F,$A541)=0),"NO ISRC MATCH in Release_Track",and($B541&lt;&gt;"",countif('5) Release_Track'!$G:$G,$B541)=0),"NO CATALOG ID MATCH in Release_Track",iserror(vlookup($A541&amp;$B541,'5) Release_Track'!$F:$F&amp;'5) Release_Track'!$G:$G,1,0)),"NO ISRC-CATALOG ID pair MATCH in Release_Track" )</f>
        <v/>
      </c>
      <c r="E541" s="99"/>
      <c r="F541" s="99"/>
      <c r="G541" s="123" t="str">
        <f t="array" ref="G541">ifs(or($F541="",$F541="Main Primary Artist"),$F541,not(iserror(vlookup($F541,'Reference info'!$J$5:$J$8,1,0))),"Key Artist",not(iserror(vlookup($F541,'Reference info'!$J$38:$J$405,1,0))),"Performer",not(iserror(vlookup($F541,'Reference info'!$J$10:$J$36,1,0))),"Producer &amp; Engineer")</f>
        <v/>
      </c>
    </row>
    <row r="542">
      <c r="B542" s="103"/>
      <c r="C542" s="121" t="str">
        <f t="array" ref="C542">ifs(and(isblank($A542),isblank($B542)),"", not(iserror(vlookup($A542&amp;$B542,'5) Release_Track'!$F:$F&amp;'5) Release_Track'!$G:$G,1,0))),vlookup($A542&amp;$B542,{'5) Release_Track'!$F:$F&amp;'5) Release_Track'!$G:$G,'5) Release_Track'!$H:$H},2,0), or(and(not(isblank($B542)),$B542=$B541,$A542&lt;&gt;$A541),and(not(isblank($A542)),$A542=$A541,$B542&lt;&gt;$B541)),"ID LISTS UNALIGNED",and($A542&lt;&gt;"",countif('5) Release_Track'!$F:$F,$A542)=0),"NO ISRC MATCH in Release_Track",and($B542&lt;&gt;"",countif('5) Release_Track'!$G:$G,$B542)=0),"NO CATALOG ID MATCH in Release_Track",iserror(vlookup($A542&amp;$B542,'5) Release_Track'!$F:$F&amp;'5) Release_Track'!$G:$G,1,0)),"NO ISRC-CATALOG ID pair MATCH in Release_Track" )</f>
        <v/>
      </c>
      <c r="D542" s="121" t="str">
        <f t="array" ref="D542">ifs(and(isblank($A542),isblank($B542)),"", not(iserror(vlookup($A542&amp;$B542,'5) Release_Track'!$F:$F&amp;'5) Release_Track'!$G:$G,1,0))),vlookup($A542&amp;$B542,{'5) Release_Track'!$F:$F&amp;'5) Release_Track'!$G:$G,'5) Release_Track'!$I:$I},2,0), or(and(not(isblank($B542)),$B542=$B541,$A542&lt;&gt;$A541),and(not(isblank($A542)),$A542=$A541,$B542&lt;&gt;$B541)),"ID LISTS UNALIGNED",and($A542&lt;&gt;"",countif('5) Release_Track'!$F:$F,$A542)=0),"NO ISRC MATCH in Release_Track",and($B542&lt;&gt;"",countif('5) Release_Track'!$G:$G,$B542)=0),"NO CATALOG ID MATCH in Release_Track",iserror(vlookup($A542&amp;$B542,'5) Release_Track'!$F:$F&amp;'5) Release_Track'!$G:$G,1,0)),"NO ISRC-CATALOG ID pair MATCH in Release_Track" )</f>
        <v/>
      </c>
      <c r="E542" s="99"/>
      <c r="F542" s="99"/>
      <c r="G542" s="123" t="str">
        <f t="array" ref="G542">ifs(or($F542="",$F542="Main Primary Artist"),$F542,not(iserror(vlookup($F542,'Reference info'!$J$5:$J$8,1,0))),"Key Artist",not(iserror(vlookup($F542,'Reference info'!$J$38:$J$405,1,0))),"Performer",not(iserror(vlookup($F542,'Reference info'!$J$10:$J$36,1,0))),"Producer &amp; Engineer")</f>
        <v/>
      </c>
    </row>
    <row r="543">
      <c r="B543" s="103"/>
      <c r="C543" s="121" t="str">
        <f t="array" ref="C543">ifs(and(isblank($A543),isblank($B543)),"", not(iserror(vlookup($A543&amp;$B543,'5) Release_Track'!$F:$F&amp;'5) Release_Track'!$G:$G,1,0))),vlookup($A543&amp;$B543,{'5) Release_Track'!$F:$F&amp;'5) Release_Track'!$G:$G,'5) Release_Track'!$H:$H},2,0), or(and(not(isblank($B543)),$B543=$B542,$A543&lt;&gt;$A542),and(not(isblank($A543)),$A543=$A542,$B543&lt;&gt;$B542)),"ID LISTS UNALIGNED",and($A543&lt;&gt;"",countif('5) Release_Track'!$F:$F,$A543)=0),"NO ISRC MATCH in Release_Track",and($B543&lt;&gt;"",countif('5) Release_Track'!$G:$G,$B543)=0),"NO CATALOG ID MATCH in Release_Track",iserror(vlookup($A543&amp;$B543,'5) Release_Track'!$F:$F&amp;'5) Release_Track'!$G:$G,1,0)),"NO ISRC-CATALOG ID pair MATCH in Release_Track" )</f>
        <v/>
      </c>
      <c r="D543" s="121" t="str">
        <f t="array" ref="D543">ifs(and(isblank($A543),isblank($B543)),"", not(iserror(vlookup($A543&amp;$B543,'5) Release_Track'!$F:$F&amp;'5) Release_Track'!$G:$G,1,0))),vlookup($A543&amp;$B543,{'5) Release_Track'!$F:$F&amp;'5) Release_Track'!$G:$G,'5) Release_Track'!$I:$I},2,0), or(and(not(isblank($B543)),$B543=$B542,$A543&lt;&gt;$A542),and(not(isblank($A543)),$A543=$A542,$B543&lt;&gt;$B542)),"ID LISTS UNALIGNED",and($A543&lt;&gt;"",countif('5) Release_Track'!$F:$F,$A543)=0),"NO ISRC MATCH in Release_Track",and($B543&lt;&gt;"",countif('5) Release_Track'!$G:$G,$B543)=0),"NO CATALOG ID MATCH in Release_Track",iserror(vlookup($A543&amp;$B543,'5) Release_Track'!$F:$F&amp;'5) Release_Track'!$G:$G,1,0)),"NO ISRC-CATALOG ID pair MATCH in Release_Track" )</f>
        <v/>
      </c>
      <c r="E543" s="99"/>
      <c r="F543" s="99"/>
      <c r="G543" s="123" t="str">
        <f t="array" ref="G543">ifs(or($F543="",$F543="Main Primary Artist"),$F543,not(iserror(vlookup($F543,'Reference info'!$J$5:$J$8,1,0))),"Key Artist",not(iserror(vlookup($F543,'Reference info'!$J$38:$J$405,1,0))),"Performer",not(iserror(vlookup($F543,'Reference info'!$J$10:$J$36,1,0))),"Producer &amp; Engineer")</f>
        <v/>
      </c>
    </row>
    <row r="544">
      <c r="B544" s="103"/>
      <c r="C544" s="121" t="str">
        <f t="array" ref="C544">ifs(and(isblank($A544),isblank($B544)),"", not(iserror(vlookup($A544&amp;$B544,'5) Release_Track'!$F:$F&amp;'5) Release_Track'!$G:$G,1,0))),vlookup($A544&amp;$B544,{'5) Release_Track'!$F:$F&amp;'5) Release_Track'!$G:$G,'5) Release_Track'!$H:$H},2,0), or(and(not(isblank($B544)),$B544=$B543,$A544&lt;&gt;$A543),and(not(isblank($A544)),$A544=$A543,$B544&lt;&gt;$B543)),"ID LISTS UNALIGNED",and($A544&lt;&gt;"",countif('5) Release_Track'!$F:$F,$A544)=0),"NO ISRC MATCH in Release_Track",and($B544&lt;&gt;"",countif('5) Release_Track'!$G:$G,$B544)=0),"NO CATALOG ID MATCH in Release_Track",iserror(vlookup($A544&amp;$B544,'5) Release_Track'!$F:$F&amp;'5) Release_Track'!$G:$G,1,0)),"NO ISRC-CATALOG ID pair MATCH in Release_Track" )</f>
        <v/>
      </c>
      <c r="D544" s="121" t="str">
        <f t="array" ref="D544">ifs(and(isblank($A544),isblank($B544)),"", not(iserror(vlookup($A544&amp;$B544,'5) Release_Track'!$F:$F&amp;'5) Release_Track'!$G:$G,1,0))),vlookup($A544&amp;$B544,{'5) Release_Track'!$F:$F&amp;'5) Release_Track'!$G:$G,'5) Release_Track'!$I:$I},2,0), or(and(not(isblank($B544)),$B544=$B543,$A544&lt;&gt;$A543),and(not(isblank($A544)),$A544=$A543,$B544&lt;&gt;$B543)),"ID LISTS UNALIGNED",and($A544&lt;&gt;"",countif('5) Release_Track'!$F:$F,$A544)=0),"NO ISRC MATCH in Release_Track",and($B544&lt;&gt;"",countif('5) Release_Track'!$G:$G,$B544)=0),"NO CATALOG ID MATCH in Release_Track",iserror(vlookup($A544&amp;$B544,'5) Release_Track'!$F:$F&amp;'5) Release_Track'!$G:$G,1,0)),"NO ISRC-CATALOG ID pair MATCH in Release_Track" )</f>
        <v/>
      </c>
      <c r="E544" s="99"/>
      <c r="F544" s="99"/>
      <c r="G544" s="123" t="str">
        <f t="array" ref="G544">ifs(or($F544="",$F544="Main Primary Artist"),$F544,not(iserror(vlookup($F544,'Reference info'!$J$5:$J$8,1,0))),"Key Artist",not(iserror(vlookup($F544,'Reference info'!$J$38:$J$405,1,0))),"Performer",not(iserror(vlookup($F544,'Reference info'!$J$10:$J$36,1,0))),"Producer &amp; Engineer")</f>
        <v/>
      </c>
    </row>
    <row r="545">
      <c r="B545" s="103"/>
      <c r="C545" s="121" t="str">
        <f t="array" ref="C545">ifs(and(isblank($A545),isblank($B545)),"", not(iserror(vlookup($A545&amp;$B545,'5) Release_Track'!$F:$F&amp;'5) Release_Track'!$G:$G,1,0))),vlookup($A545&amp;$B545,{'5) Release_Track'!$F:$F&amp;'5) Release_Track'!$G:$G,'5) Release_Track'!$H:$H},2,0), or(and(not(isblank($B545)),$B545=$B544,$A545&lt;&gt;$A544),and(not(isblank($A545)),$A545=$A544,$B545&lt;&gt;$B544)),"ID LISTS UNALIGNED",and($A545&lt;&gt;"",countif('5) Release_Track'!$F:$F,$A545)=0),"NO ISRC MATCH in Release_Track",and($B545&lt;&gt;"",countif('5) Release_Track'!$G:$G,$B545)=0),"NO CATALOG ID MATCH in Release_Track",iserror(vlookup($A545&amp;$B545,'5) Release_Track'!$F:$F&amp;'5) Release_Track'!$G:$G,1,0)),"NO ISRC-CATALOG ID pair MATCH in Release_Track" )</f>
        <v/>
      </c>
      <c r="D545" s="121" t="str">
        <f t="array" ref="D545">ifs(and(isblank($A545),isblank($B545)),"", not(iserror(vlookup($A545&amp;$B545,'5) Release_Track'!$F:$F&amp;'5) Release_Track'!$G:$G,1,0))),vlookup($A545&amp;$B545,{'5) Release_Track'!$F:$F&amp;'5) Release_Track'!$G:$G,'5) Release_Track'!$I:$I},2,0), or(and(not(isblank($B545)),$B545=$B544,$A545&lt;&gt;$A544),and(not(isblank($A545)),$A545=$A544,$B545&lt;&gt;$B544)),"ID LISTS UNALIGNED",and($A545&lt;&gt;"",countif('5) Release_Track'!$F:$F,$A545)=0),"NO ISRC MATCH in Release_Track",and($B545&lt;&gt;"",countif('5) Release_Track'!$G:$G,$B545)=0),"NO CATALOG ID MATCH in Release_Track",iserror(vlookup($A545&amp;$B545,'5) Release_Track'!$F:$F&amp;'5) Release_Track'!$G:$G,1,0)),"NO ISRC-CATALOG ID pair MATCH in Release_Track" )</f>
        <v/>
      </c>
      <c r="E545" s="99"/>
      <c r="F545" s="99"/>
      <c r="G545" s="123" t="str">
        <f t="array" ref="G545">ifs(or($F545="",$F545="Main Primary Artist"),$F545,not(iserror(vlookup($F545,'Reference info'!$J$5:$J$8,1,0))),"Key Artist",not(iserror(vlookup($F545,'Reference info'!$J$38:$J$405,1,0))),"Performer",not(iserror(vlookup($F545,'Reference info'!$J$10:$J$36,1,0))),"Producer &amp; Engineer")</f>
        <v/>
      </c>
    </row>
    <row r="546">
      <c r="B546" s="103"/>
      <c r="C546" s="121" t="str">
        <f t="array" ref="C546">ifs(and(isblank($A546),isblank($B546)),"", not(iserror(vlookup($A546&amp;$B546,'5) Release_Track'!$F:$F&amp;'5) Release_Track'!$G:$G,1,0))),vlookup($A546&amp;$B546,{'5) Release_Track'!$F:$F&amp;'5) Release_Track'!$G:$G,'5) Release_Track'!$H:$H},2,0), or(and(not(isblank($B546)),$B546=$B545,$A546&lt;&gt;$A545),and(not(isblank($A546)),$A546=$A545,$B546&lt;&gt;$B545)),"ID LISTS UNALIGNED",and($A546&lt;&gt;"",countif('5) Release_Track'!$F:$F,$A546)=0),"NO ISRC MATCH in Release_Track",and($B546&lt;&gt;"",countif('5) Release_Track'!$G:$G,$B546)=0),"NO CATALOG ID MATCH in Release_Track",iserror(vlookup($A546&amp;$B546,'5) Release_Track'!$F:$F&amp;'5) Release_Track'!$G:$G,1,0)),"NO ISRC-CATALOG ID pair MATCH in Release_Track" )</f>
        <v/>
      </c>
      <c r="D546" s="121" t="str">
        <f t="array" ref="D546">ifs(and(isblank($A546),isblank($B546)),"", not(iserror(vlookup($A546&amp;$B546,'5) Release_Track'!$F:$F&amp;'5) Release_Track'!$G:$G,1,0))),vlookup($A546&amp;$B546,{'5) Release_Track'!$F:$F&amp;'5) Release_Track'!$G:$G,'5) Release_Track'!$I:$I},2,0), or(and(not(isblank($B546)),$B546=$B545,$A546&lt;&gt;$A545),and(not(isblank($A546)),$A546=$A545,$B546&lt;&gt;$B545)),"ID LISTS UNALIGNED",and($A546&lt;&gt;"",countif('5) Release_Track'!$F:$F,$A546)=0),"NO ISRC MATCH in Release_Track",and($B546&lt;&gt;"",countif('5) Release_Track'!$G:$G,$B546)=0),"NO CATALOG ID MATCH in Release_Track",iserror(vlookup($A546&amp;$B546,'5) Release_Track'!$F:$F&amp;'5) Release_Track'!$G:$G,1,0)),"NO ISRC-CATALOG ID pair MATCH in Release_Track" )</f>
        <v/>
      </c>
      <c r="E546" s="99"/>
      <c r="F546" s="99"/>
      <c r="G546" s="123" t="str">
        <f t="array" ref="G546">ifs(or($F546="",$F546="Main Primary Artist"),$F546,not(iserror(vlookup($F546,'Reference info'!$J$5:$J$8,1,0))),"Key Artist",not(iserror(vlookup($F546,'Reference info'!$J$38:$J$405,1,0))),"Performer",not(iserror(vlookup($F546,'Reference info'!$J$10:$J$36,1,0))),"Producer &amp; Engineer")</f>
        <v/>
      </c>
    </row>
    <row r="547">
      <c r="B547" s="103"/>
      <c r="C547" s="121" t="str">
        <f t="array" ref="C547">ifs(and(isblank($A547),isblank($B547)),"", not(iserror(vlookup($A547&amp;$B547,'5) Release_Track'!$F:$F&amp;'5) Release_Track'!$G:$G,1,0))),vlookup($A547&amp;$B547,{'5) Release_Track'!$F:$F&amp;'5) Release_Track'!$G:$G,'5) Release_Track'!$H:$H},2,0), or(and(not(isblank($B547)),$B547=$B546,$A547&lt;&gt;$A546),and(not(isblank($A547)),$A547=$A546,$B547&lt;&gt;$B546)),"ID LISTS UNALIGNED",and($A547&lt;&gt;"",countif('5) Release_Track'!$F:$F,$A547)=0),"NO ISRC MATCH in Release_Track",and($B547&lt;&gt;"",countif('5) Release_Track'!$G:$G,$B547)=0),"NO CATALOG ID MATCH in Release_Track",iserror(vlookup($A547&amp;$B547,'5) Release_Track'!$F:$F&amp;'5) Release_Track'!$G:$G,1,0)),"NO ISRC-CATALOG ID pair MATCH in Release_Track" )</f>
        <v/>
      </c>
      <c r="D547" s="121" t="str">
        <f t="array" ref="D547">ifs(and(isblank($A547),isblank($B547)),"", not(iserror(vlookup($A547&amp;$B547,'5) Release_Track'!$F:$F&amp;'5) Release_Track'!$G:$G,1,0))),vlookup($A547&amp;$B547,{'5) Release_Track'!$F:$F&amp;'5) Release_Track'!$G:$G,'5) Release_Track'!$I:$I},2,0), or(and(not(isblank($B547)),$B547=$B546,$A547&lt;&gt;$A546),and(not(isblank($A547)),$A547=$A546,$B547&lt;&gt;$B546)),"ID LISTS UNALIGNED",and($A547&lt;&gt;"",countif('5) Release_Track'!$F:$F,$A547)=0),"NO ISRC MATCH in Release_Track",and($B547&lt;&gt;"",countif('5) Release_Track'!$G:$G,$B547)=0),"NO CATALOG ID MATCH in Release_Track",iserror(vlookup($A547&amp;$B547,'5) Release_Track'!$F:$F&amp;'5) Release_Track'!$G:$G,1,0)),"NO ISRC-CATALOG ID pair MATCH in Release_Track" )</f>
        <v/>
      </c>
      <c r="E547" s="99"/>
      <c r="F547" s="99"/>
      <c r="G547" s="123" t="str">
        <f t="array" ref="G547">ifs(or($F547="",$F547="Main Primary Artist"),$F547,not(iserror(vlookup($F547,'Reference info'!$J$5:$J$8,1,0))),"Key Artist",not(iserror(vlookup($F547,'Reference info'!$J$38:$J$405,1,0))),"Performer",not(iserror(vlookup($F547,'Reference info'!$J$10:$J$36,1,0))),"Producer &amp; Engineer")</f>
        <v/>
      </c>
    </row>
    <row r="548">
      <c r="B548" s="103"/>
      <c r="C548" s="121" t="str">
        <f t="array" ref="C548">ifs(and(isblank($A548),isblank($B548)),"", not(iserror(vlookup($A548&amp;$B548,'5) Release_Track'!$F:$F&amp;'5) Release_Track'!$G:$G,1,0))),vlookup($A548&amp;$B548,{'5) Release_Track'!$F:$F&amp;'5) Release_Track'!$G:$G,'5) Release_Track'!$H:$H},2,0), or(and(not(isblank($B548)),$B548=$B547,$A548&lt;&gt;$A547),and(not(isblank($A548)),$A548=$A547,$B548&lt;&gt;$B547)),"ID LISTS UNALIGNED",and($A548&lt;&gt;"",countif('5) Release_Track'!$F:$F,$A548)=0),"NO ISRC MATCH in Release_Track",and($B548&lt;&gt;"",countif('5) Release_Track'!$G:$G,$B548)=0),"NO CATALOG ID MATCH in Release_Track",iserror(vlookup($A548&amp;$B548,'5) Release_Track'!$F:$F&amp;'5) Release_Track'!$G:$G,1,0)),"NO ISRC-CATALOG ID pair MATCH in Release_Track" )</f>
        <v/>
      </c>
      <c r="D548" s="121" t="str">
        <f t="array" ref="D548">ifs(and(isblank($A548),isblank($B548)),"", not(iserror(vlookup($A548&amp;$B548,'5) Release_Track'!$F:$F&amp;'5) Release_Track'!$G:$G,1,0))),vlookup($A548&amp;$B548,{'5) Release_Track'!$F:$F&amp;'5) Release_Track'!$G:$G,'5) Release_Track'!$I:$I},2,0), or(and(not(isblank($B548)),$B548=$B547,$A548&lt;&gt;$A547),and(not(isblank($A548)),$A548=$A547,$B548&lt;&gt;$B547)),"ID LISTS UNALIGNED",and($A548&lt;&gt;"",countif('5) Release_Track'!$F:$F,$A548)=0),"NO ISRC MATCH in Release_Track",and($B548&lt;&gt;"",countif('5) Release_Track'!$G:$G,$B548)=0),"NO CATALOG ID MATCH in Release_Track",iserror(vlookup($A548&amp;$B548,'5) Release_Track'!$F:$F&amp;'5) Release_Track'!$G:$G,1,0)),"NO ISRC-CATALOG ID pair MATCH in Release_Track" )</f>
        <v/>
      </c>
      <c r="E548" s="99"/>
      <c r="F548" s="99"/>
      <c r="G548" s="123" t="str">
        <f t="array" ref="G548">ifs(or($F548="",$F548="Main Primary Artist"),$F548,not(iserror(vlookup($F548,'Reference info'!$J$5:$J$8,1,0))),"Key Artist",not(iserror(vlookup($F548,'Reference info'!$J$38:$J$405,1,0))),"Performer",not(iserror(vlookup($F548,'Reference info'!$J$10:$J$36,1,0))),"Producer &amp; Engineer")</f>
        <v/>
      </c>
    </row>
    <row r="549">
      <c r="B549" s="103"/>
      <c r="C549" s="121" t="str">
        <f t="array" ref="C549">ifs(and(isblank($A549),isblank($B549)),"", not(iserror(vlookup($A549&amp;$B549,'5) Release_Track'!$F:$F&amp;'5) Release_Track'!$G:$G,1,0))),vlookup($A549&amp;$B549,{'5) Release_Track'!$F:$F&amp;'5) Release_Track'!$G:$G,'5) Release_Track'!$H:$H},2,0), or(and(not(isblank($B549)),$B549=$B548,$A549&lt;&gt;$A548),and(not(isblank($A549)),$A549=$A548,$B549&lt;&gt;$B548)),"ID LISTS UNALIGNED",and($A549&lt;&gt;"",countif('5) Release_Track'!$F:$F,$A549)=0),"NO ISRC MATCH in Release_Track",and($B549&lt;&gt;"",countif('5) Release_Track'!$G:$G,$B549)=0),"NO CATALOG ID MATCH in Release_Track",iserror(vlookup($A549&amp;$B549,'5) Release_Track'!$F:$F&amp;'5) Release_Track'!$G:$G,1,0)),"NO ISRC-CATALOG ID pair MATCH in Release_Track" )</f>
        <v/>
      </c>
      <c r="D549" s="121" t="str">
        <f t="array" ref="D549">ifs(and(isblank($A549),isblank($B549)),"", not(iserror(vlookup($A549&amp;$B549,'5) Release_Track'!$F:$F&amp;'5) Release_Track'!$G:$G,1,0))),vlookup($A549&amp;$B549,{'5) Release_Track'!$F:$F&amp;'5) Release_Track'!$G:$G,'5) Release_Track'!$I:$I},2,0), or(and(not(isblank($B549)),$B549=$B548,$A549&lt;&gt;$A548),and(not(isblank($A549)),$A549=$A548,$B549&lt;&gt;$B548)),"ID LISTS UNALIGNED",and($A549&lt;&gt;"",countif('5) Release_Track'!$F:$F,$A549)=0),"NO ISRC MATCH in Release_Track",and($B549&lt;&gt;"",countif('5) Release_Track'!$G:$G,$B549)=0),"NO CATALOG ID MATCH in Release_Track",iserror(vlookup($A549&amp;$B549,'5) Release_Track'!$F:$F&amp;'5) Release_Track'!$G:$G,1,0)),"NO ISRC-CATALOG ID pair MATCH in Release_Track" )</f>
        <v/>
      </c>
      <c r="E549" s="99"/>
      <c r="F549" s="99"/>
      <c r="G549" s="123" t="str">
        <f t="array" ref="G549">ifs(or($F549="",$F549="Main Primary Artist"),$F549,not(iserror(vlookup($F549,'Reference info'!$J$5:$J$8,1,0))),"Key Artist",not(iserror(vlookup($F549,'Reference info'!$J$38:$J$405,1,0))),"Performer",not(iserror(vlookup($F549,'Reference info'!$J$10:$J$36,1,0))),"Producer &amp; Engineer")</f>
        <v/>
      </c>
    </row>
    <row r="550">
      <c r="B550" s="103"/>
      <c r="C550" s="121" t="str">
        <f t="array" ref="C550">ifs(and(isblank($A550),isblank($B550)),"", not(iserror(vlookup($A550&amp;$B550,'5) Release_Track'!$F:$F&amp;'5) Release_Track'!$G:$G,1,0))),vlookup($A550&amp;$B550,{'5) Release_Track'!$F:$F&amp;'5) Release_Track'!$G:$G,'5) Release_Track'!$H:$H},2,0), or(and(not(isblank($B550)),$B550=$B549,$A550&lt;&gt;$A549),and(not(isblank($A550)),$A550=$A549,$B550&lt;&gt;$B549)),"ID LISTS UNALIGNED",and($A550&lt;&gt;"",countif('5) Release_Track'!$F:$F,$A550)=0),"NO ISRC MATCH in Release_Track",and($B550&lt;&gt;"",countif('5) Release_Track'!$G:$G,$B550)=0),"NO CATALOG ID MATCH in Release_Track",iserror(vlookup($A550&amp;$B550,'5) Release_Track'!$F:$F&amp;'5) Release_Track'!$G:$G,1,0)),"NO ISRC-CATALOG ID pair MATCH in Release_Track" )</f>
        <v/>
      </c>
      <c r="D550" s="121" t="str">
        <f t="array" ref="D550">ifs(and(isblank($A550),isblank($B550)),"", not(iserror(vlookup($A550&amp;$B550,'5) Release_Track'!$F:$F&amp;'5) Release_Track'!$G:$G,1,0))),vlookup($A550&amp;$B550,{'5) Release_Track'!$F:$F&amp;'5) Release_Track'!$G:$G,'5) Release_Track'!$I:$I},2,0), or(and(not(isblank($B550)),$B550=$B549,$A550&lt;&gt;$A549),and(not(isblank($A550)),$A550=$A549,$B550&lt;&gt;$B549)),"ID LISTS UNALIGNED",and($A550&lt;&gt;"",countif('5) Release_Track'!$F:$F,$A550)=0),"NO ISRC MATCH in Release_Track",and($B550&lt;&gt;"",countif('5) Release_Track'!$G:$G,$B550)=0),"NO CATALOG ID MATCH in Release_Track",iserror(vlookup($A550&amp;$B550,'5) Release_Track'!$F:$F&amp;'5) Release_Track'!$G:$G,1,0)),"NO ISRC-CATALOG ID pair MATCH in Release_Track" )</f>
        <v/>
      </c>
      <c r="E550" s="99"/>
      <c r="F550" s="99"/>
      <c r="G550" s="123" t="str">
        <f t="array" ref="G550">ifs(or($F550="",$F550="Main Primary Artist"),$F550,not(iserror(vlookup($F550,'Reference info'!$J$5:$J$8,1,0))),"Key Artist",not(iserror(vlookup($F550,'Reference info'!$J$38:$J$405,1,0))),"Performer",not(iserror(vlookup($F550,'Reference info'!$J$10:$J$36,1,0))),"Producer &amp; Engineer")</f>
        <v/>
      </c>
    </row>
    <row r="551">
      <c r="B551" s="103"/>
      <c r="C551" s="121" t="str">
        <f t="array" ref="C551">ifs(and(isblank($A551),isblank($B551)),"", not(iserror(vlookup($A551&amp;$B551,'5) Release_Track'!$F:$F&amp;'5) Release_Track'!$G:$G,1,0))),vlookup($A551&amp;$B551,{'5) Release_Track'!$F:$F&amp;'5) Release_Track'!$G:$G,'5) Release_Track'!$H:$H},2,0), or(and(not(isblank($B551)),$B551=$B550,$A551&lt;&gt;$A550),and(not(isblank($A551)),$A551=$A550,$B551&lt;&gt;$B550)),"ID LISTS UNALIGNED",and($A551&lt;&gt;"",countif('5) Release_Track'!$F:$F,$A551)=0),"NO ISRC MATCH in Release_Track",and($B551&lt;&gt;"",countif('5) Release_Track'!$G:$G,$B551)=0),"NO CATALOG ID MATCH in Release_Track",iserror(vlookup($A551&amp;$B551,'5) Release_Track'!$F:$F&amp;'5) Release_Track'!$G:$G,1,0)),"NO ISRC-CATALOG ID pair MATCH in Release_Track" )</f>
        <v/>
      </c>
      <c r="D551" s="121" t="str">
        <f t="array" ref="D551">ifs(and(isblank($A551),isblank($B551)),"", not(iserror(vlookup($A551&amp;$B551,'5) Release_Track'!$F:$F&amp;'5) Release_Track'!$G:$G,1,0))),vlookup($A551&amp;$B551,{'5) Release_Track'!$F:$F&amp;'5) Release_Track'!$G:$G,'5) Release_Track'!$I:$I},2,0), or(and(not(isblank($B551)),$B551=$B550,$A551&lt;&gt;$A550),and(not(isblank($A551)),$A551=$A550,$B551&lt;&gt;$B550)),"ID LISTS UNALIGNED",and($A551&lt;&gt;"",countif('5) Release_Track'!$F:$F,$A551)=0),"NO ISRC MATCH in Release_Track",and($B551&lt;&gt;"",countif('5) Release_Track'!$G:$G,$B551)=0),"NO CATALOG ID MATCH in Release_Track",iserror(vlookup($A551&amp;$B551,'5) Release_Track'!$F:$F&amp;'5) Release_Track'!$G:$G,1,0)),"NO ISRC-CATALOG ID pair MATCH in Release_Track" )</f>
        <v/>
      </c>
      <c r="E551" s="99"/>
      <c r="F551" s="99"/>
      <c r="G551" s="123" t="str">
        <f t="array" ref="G551">ifs(or($F551="",$F551="Main Primary Artist"),$F551,not(iserror(vlookup($F551,'Reference info'!$J$5:$J$8,1,0))),"Key Artist",not(iserror(vlookup($F551,'Reference info'!$J$38:$J$405,1,0))),"Performer",not(iserror(vlookup($F551,'Reference info'!$J$10:$J$36,1,0))),"Producer &amp; Engineer")</f>
        <v/>
      </c>
    </row>
    <row r="552">
      <c r="B552" s="103"/>
      <c r="C552" s="121" t="str">
        <f t="array" ref="C552">ifs(and(isblank($A552),isblank($B552)),"", not(iserror(vlookup($A552&amp;$B552,'5) Release_Track'!$F:$F&amp;'5) Release_Track'!$G:$G,1,0))),vlookup($A552&amp;$B552,{'5) Release_Track'!$F:$F&amp;'5) Release_Track'!$G:$G,'5) Release_Track'!$H:$H},2,0), or(and(not(isblank($B552)),$B552=$B551,$A552&lt;&gt;$A551),and(not(isblank($A552)),$A552=$A551,$B552&lt;&gt;$B551)),"ID LISTS UNALIGNED",and($A552&lt;&gt;"",countif('5) Release_Track'!$F:$F,$A552)=0),"NO ISRC MATCH in Release_Track",and($B552&lt;&gt;"",countif('5) Release_Track'!$G:$G,$B552)=0),"NO CATALOG ID MATCH in Release_Track",iserror(vlookup($A552&amp;$B552,'5) Release_Track'!$F:$F&amp;'5) Release_Track'!$G:$G,1,0)),"NO ISRC-CATALOG ID pair MATCH in Release_Track" )</f>
        <v/>
      </c>
      <c r="D552" s="121" t="str">
        <f t="array" ref="D552">ifs(and(isblank($A552),isblank($B552)),"", not(iserror(vlookup($A552&amp;$B552,'5) Release_Track'!$F:$F&amp;'5) Release_Track'!$G:$G,1,0))),vlookup($A552&amp;$B552,{'5) Release_Track'!$F:$F&amp;'5) Release_Track'!$G:$G,'5) Release_Track'!$I:$I},2,0), or(and(not(isblank($B552)),$B552=$B551,$A552&lt;&gt;$A551),and(not(isblank($A552)),$A552=$A551,$B552&lt;&gt;$B551)),"ID LISTS UNALIGNED",and($A552&lt;&gt;"",countif('5) Release_Track'!$F:$F,$A552)=0),"NO ISRC MATCH in Release_Track",and($B552&lt;&gt;"",countif('5) Release_Track'!$G:$G,$B552)=0),"NO CATALOG ID MATCH in Release_Track",iserror(vlookup($A552&amp;$B552,'5) Release_Track'!$F:$F&amp;'5) Release_Track'!$G:$G,1,0)),"NO ISRC-CATALOG ID pair MATCH in Release_Track" )</f>
        <v/>
      </c>
      <c r="E552" s="99"/>
      <c r="F552" s="99"/>
      <c r="G552" s="123" t="str">
        <f t="array" ref="G552">ifs(or($F552="",$F552="Main Primary Artist"),$F552,not(iserror(vlookup($F552,'Reference info'!$J$5:$J$8,1,0))),"Key Artist",not(iserror(vlookup($F552,'Reference info'!$J$38:$J$405,1,0))),"Performer",not(iserror(vlookup($F552,'Reference info'!$J$10:$J$36,1,0))),"Producer &amp; Engineer")</f>
        <v/>
      </c>
    </row>
    <row r="553">
      <c r="B553" s="103"/>
      <c r="C553" s="121" t="str">
        <f t="array" ref="C553">ifs(and(isblank($A553),isblank($B553)),"", not(iserror(vlookup($A553&amp;$B553,'5) Release_Track'!$F:$F&amp;'5) Release_Track'!$G:$G,1,0))),vlookup($A553&amp;$B553,{'5) Release_Track'!$F:$F&amp;'5) Release_Track'!$G:$G,'5) Release_Track'!$H:$H},2,0), or(and(not(isblank($B553)),$B553=$B552,$A553&lt;&gt;$A552),and(not(isblank($A553)),$A553=$A552,$B553&lt;&gt;$B552)),"ID LISTS UNALIGNED",and($A553&lt;&gt;"",countif('5) Release_Track'!$F:$F,$A553)=0),"NO ISRC MATCH in Release_Track",and($B553&lt;&gt;"",countif('5) Release_Track'!$G:$G,$B553)=0),"NO CATALOG ID MATCH in Release_Track",iserror(vlookup($A553&amp;$B553,'5) Release_Track'!$F:$F&amp;'5) Release_Track'!$G:$G,1,0)),"NO ISRC-CATALOG ID pair MATCH in Release_Track" )</f>
        <v/>
      </c>
      <c r="D553" s="121" t="str">
        <f t="array" ref="D553">ifs(and(isblank($A553),isblank($B553)),"", not(iserror(vlookup($A553&amp;$B553,'5) Release_Track'!$F:$F&amp;'5) Release_Track'!$G:$G,1,0))),vlookup($A553&amp;$B553,{'5) Release_Track'!$F:$F&amp;'5) Release_Track'!$G:$G,'5) Release_Track'!$I:$I},2,0), or(and(not(isblank($B553)),$B553=$B552,$A553&lt;&gt;$A552),and(not(isblank($A553)),$A553=$A552,$B553&lt;&gt;$B552)),"ID LISTS UNALIGNED",and($A553&lt;&gt;"",countif('5) Release_Track'!$F:$F,$A553)=0),"NO ISRC MATCH in Release_Track",and($B553&lt;&gt;"",countif('5) Release_Track'!$G:$G,$B553)=0),"NO CATALOG ID MATCH in Release_Track",iserror(vlookup($A553&amp;$B553,'5) Release_Track'!$F:$F&amp;'5) Release_Track'!$G:$G,1,0)),"NO ISRC-CATALOG ID pair MATCH in Release_Track" )</f>
        <v/>
      </c>
      <c r="E553" s="99"/>
      <c r="F553" s="99"/>
      <c r="G553" s="123" t="str">
        <f t="array" ref="G553">ifs(or($F553="",$F553="Main Primary Artist"),$F553,not(iserror(vlookup($F553,'Reference info'!$J$5:$J$8,1,0))),"Key Artist",not(iserror(vlookup($F553,'Reference info'!$J$38:$J$405,1,0))),"Performer",not(iserror(vlookup($F553,'Reference info'!$J$10:$J$36,1,0))),"Producer &amp; Engineer")</f>
        <v/>
      </c>
    </row>
    <row r="554">
      <c r="B554" s="103"/>
      <c r="C554" s="121" t="str">
        <f t="array" ref="C554">ifs(and(isblank($A554),isblank($B554)),"", not(iserror(vlookup($A554&amp;$B554,'5) Release_Track'!$F:$F&amp;'5) Release_Track'!$G:$G,1,0))),vlookup($A554&amp;$B554,{'5) Release_Track'!$F:$F&amp;'5) Release_Track'!$G:$G,'5) Release_Track'!$H:$H},2,0), or(and(not(isblank($B554)),$B554=$B553,$A554&lt;&gt;$A553),and(not(isblank($A554)),$A554=$A553,$B554&lt;&gt;$B553)),"ID LISTS UNALIGNED",and($A554&lt;&gt;"",countif('5) Release_Track'!$F:$F,$A554)=0),"NO ISRC MATCH in Release_Track",and($B554&lt;&gt;"",countif('5) Release_Track'!$G:$G,$B554)=0),"NO CATALOG ID MATCH in Release_Track",iserror(vlookup($A554&amp;$B554,'5) Release_Track'!$F:$F&amp;'5) Release_Track'!$G:$G,1,0)),"NO ISRC-CATALOG ID pair MATCH in Release_Track" )</f>
        <v/>
      </c>
      <c r="D554" s="121" t="str">
        <f t="array" ref="D554">ifs(and(isblank($A554),isblank($B554)),"", not(iserror(vlookup($A554&amp;$B554,'5) Release_Track'!$F:$F&amp;'5) Release_Track'!$G:$G,1,0))),vlookup($A554&amp;$B554,{'5) Release_Track'!$F:$F&amp;'5) Release_Track'!$G:$G,'5) Release_Track'!$I:$I},2,0), or(and(not(isblank($B554)),$B554=$B553,$A554&lt;&gt;$A553),and(not(isblank($A554)),$A554=$A553,$B554&lt;&gt;$B553)),"ID LISTS UNALIGNED",and($A554&lt;&gt;"",countif('5) Release_Track'!$F:$F,$A554)=0),"NO ISRC MATCH in Release_Track",and($B554&lt;&gt;"",countif('5) Release_Track'!$G:$G,$B554)=0),"NO CATALOG ID MATCH in Release_Track",iserror(vlookup($A554&amp;$B554,'5) Release_Track'!$F:$F&amp;'5) Release_Track'!$G:$G,1,0)),"NO ISRC-CATALOG ID pair MATCH in Release_Track" )</f>
        <v/>
      </c>
      <c r="E554" s="99"/>
      <c r="F554" s="99"/>
      <c r="G554" s="123" t="str">
        <f t="array" ref="G554">ifs(or($F554="",$F554="Main Primary Artist"),$F554,not(iserror(vlookup($F554,'Reference info'!$J$5:$J$8,1,0))),"Key Artist",not(iserror(vlookup($F554,'Reference info'!$J$38:$J$405,1,0))),"Performer",not(iserror(vlookup($F554,'Reference info'!$J$10:$J$36,1,0))),"Producer &amp; Engineer")</f>
        <v/>
      </c>
    </row>
    <row r="555">
      <c r="B555" s="103"/>
      <c r="C555" s="121" t="str">
        <f t="array" ref="C555">ifs(and(isblank($A555),isblank($B555)),"", not(iserror(vlookup($A555&amp;$B555,'5) Release_Track'!$F:$F&amp;'5) Release_Track'!$G:$G,1,0))),vlookup($A555&amp;$B555,{'5) Release_Track'!$F:$F&amp;'5) Release_Track'!$G:$G,'5) Release_Track'!$H:$H},2,0), or(and(not(isblank($B555)),$B555=$B554,$A555&lt;&gt;$A554),and(not(isblank($A555)),$A555=$A554,$B555&lt;&gt;$B554)),"ID LISTS UNALIGNED",and($A555&lt;&gt;"",countif('5) Release_Track'!$F:$F,$A555)=0),"NO ISRC MATCH in Release_Track",and($B555&lt;&gt;"",countif('5) Release_Track'!$G:$G,$B555)=0),"NO CATALOG ID MATCH in Release_Track",iserror(vlookup($A555&amp;$B555,'5) Release_Track'!$F:$F&amp;'5) Release_Track'!$G:$G,1,0)),"NO ISRC-CATALOG ID pair MATCH in Release_Track" )</f>
        <v/>
      </c>
      <c r="D555" s="121" t="str">
        <f t="array" ref="D555">ifs(and(isblank($A555),isblank($B555)),"", not(iserror(vlookup($A555&amp;$B555,'5) Release_Track'!$F:$F&amp;'5) Release_Track'!$G:$G,1,0))),vlookup($A555&amp;$B555,{'5) Release_Track'!$F:$F&amp;'5) Release_Track'!$G:$G,'5) Release_Track'!$I:$I},2,0), or(and(not(isblank($B555)),$B555=$B554,$A555&lt;&gt;$A554),and(not(isblank($A555)),$A555=$A554,$B555&lt;&gt;$B554)),"ID LISTS UNALIGNED",and($A555&lt;&gt;"",countif('5) Release_Track'!$F:$F,$A555)=0),"NO ISRC MATCH in Release_Track",and($B555&lt;&gt;"",countif('5) Release_Track'!$G:$G,$B555)=0),"NO CATALOG ID MATCH in Release_Track",iserror(vlookup($A555&amp;$B555,'5) Release_Track'!$F:$F&amp;'5) Release_Track'!$G:$G,1,0)),"NO ISRC-CATALOG ID pair MATCH in Release_Track" )</f>
        <v/>
      </c>
      <c r="E555" s="99"/>
      <c r="F555" s="99"/>
      <c r="G555" s="123" t="str">
        <f t="array" ref="G555">ifs(or($F555="",$F555="Main Primary Artist"),$F555,not(iserror(vlookup($F555,'Reference info'!$J$5:$J$8,1,0))),"Key Artist",not(iserror(vlookup($F555,'Reference info'!$J$38:$J$405,1,0))),"Performer",not(iserror(vlookup($F555,'Reference info'!$J$10:$J$36,1,0))),"Producer &amp; Engineer")</f>
        <v/>
      </c>
    </row>
    <row r="556">
      <c r="B556" s="103"/>
      <c r="C556" s="121" t="str">
        <f t="array" ref="C556">ifs(and(isblank($A556),isblank($B556)),"", not(iserror(vlookup($A556&amp;$B556,'5) Release_Track'!$F:$F&amp;'5) Release_Track'!$G:$G,1,0))),vlookup($A556&amp;$B556,{'5) Release_Track'!$F:$F&amp;'5) Release_Track'!$G:$G,'5) Release_Track'!$H:$H},2,0), or(and(not(isblank($B556)),$B556=$B555,$A556&lt;&gt;$A555),and(not(isblank($A556)),$A556=$A555,$B556&lt;&gt;$B555)),"ID LISTS UNALIGNED",and($A556&lt;&gt;"",countif('5) Release_Track'!$F:$F,$A556)=0),"NO ISRC MATCH in Release_Track",and($B556&lt;&gt;"",countif('5) Release_Track'!$G:$G,$B556)=0),"NO CATALOG ID MATCH in Release_Track",iserror(vlookup($A556&amp;$B556,'5) Release_Track'!$F:$F&amp;'5) Release_Track'!$G:$G,1,0)),"NO ISRC-CATALOG ID pair MATCH in Release_Track" )</f>
        <v/>
      </c>
      <c r="D556" s="121" t="str">
        <f t="array" ref="D556">ifs(and(isblank($A556),isblank($B556)),"", not(iserror(vlookup($A556&amp;$B556,'5) Release_Track'!$F:$F&amp;'5) Release_Track'!$G:$G,1,0))),vlookup($A556&amp;$B556,{'5) Release_Track'!$F:$F&amp;'5) Release_Track'!$G:$G,'5) Release_Track'!$I:$I},2,0), or(and(not(isblank($B556)),$B556=$B555,$A556&lt;&gt;$A555),and(not(isblank($A556)),$A556=$A555,$B556&lt;&gt;$B555)),"ID LISTS UNALIGNED",and($A556&lt;&gt;"",countif('5) Release_Track'!$F:$F,$A556)=0),"NO ISRC MATCH in Release_Track",and($B556&lt;&gt;"",countif('5) Release_Track'!$G:$G,$B556)=0),"NO CATALOG ID MATCH in Release_Track",iserror(vlookup($A556&amp;$B556,'5) Release_Track'!$F:$F&amp;'5) Release_Track'!$G:$G,1,0)),"NO ISRC-CATALOG ID pair MATCH in Release_Track" )</f>
        <v/>
      </c>
      <c r="E556" s="99"/>
      <c r="F556" s="99"/>
      <c r="G556" s="123" t="str">
        <f t="array" ref="G556">ifs(or($F556="",$F556="Main Primary Artist"),$F556,not(iserror(vlookup($F556,'Reference info'!$J$5:$J$8,1,0))),"Key Artist",not(iserror(vlookup($F556,'Reference info'!$J$38:$J$405,1,0))),"Performer",not(iserror(vlookup($F556,'Reference info'!$J$10:$J$36,1,0))),"Producer &amp; Engineer")</f>
        <v/>
      </c>
    </row>
    <row r="557">
      <c r="B557" s="103"/>
      <c r="C557" s="121" t="str">
        <f t="array" ref="C557">ifs(and(isblank($A557),isblank($B557)),"", not(iserror(vlookup($A557&amp;$B557,'5) Release_Track'!$F:$F&amp;'5) Release_Track'!$G:$G,1,0))),vlookup($A557&amp;$B557,{'5) Release_Track'!$F:$F&amp;'5) Release_Track'!$G:$G,'5) Release_Track'!$H:$H},2,0), or(and(not(isblank($B557)),$B557=$B556,$A557&lt;&gt;$A556),and(not(isblank($A557)),$A557=$A556,$B557&lt;&gt;$B556)),"ID LISTS UNALIGNED",and($A557&lt;&gt;"",countif('5) Release_Track'!$F:$F,$A557)=0),"NO ISRC MATCH in Release_Track",and($B557&lt;&gt;"",countif('5) Release_Track'!$G:$G,$B557)=0),"NO CATALOG ID MATCH in Release_Track",iserror(vlookup($A557&amp;$B557,'5) Release_Track'!$F:$F&amp;'5) Release_Track'!$G:$G,1,0)),"NO ISRC-CATALOG ID pair MATCH in Release_Track" )</f>
        <v/>
      </c>
      <c r="D557" s="121" t="str">
        <f t="array" ref="D557">ifs(and(isblank($A557),isblank($B557)),"", not(iserror(vlookup($A557&amp;$B557,'5) Release_Track'!$F:$F&amp;'5) Release_Track'!$G:$G,1,0))),vlookup($A557&amp;$B557,{'5) Release_Track'!$F:$F&amp;'5) Release_Track'!$G:$G,'5) Release_Track'!$I:$I},2,0), or(and(not(isblank($B557)),$B557=$B556,$A557&lt;&gt;$A556),and(not(isblank($A557)),$A557=$A556,$B557&lt;&gt;$B556)),"ID LISTS UNALIGNED",and($A557&lt;&gt;"",countif('5) Release_Track'!$F:$F,$A557)=0),"NO ISRC MATCH in Release_Track",and($B557&lt;&gt;"",countif('5) Release_Track'!$G:$G,$B557)=0),"NO CATALOG ID MATCH in Release_Track",iserror(vlookup($A557&amp;$B557,'5) Release_Track'!$F:$F&amp;'5) Release_Track'!$G:$G,1,0)),"NO ISRC-CATALOG ID pair MATCH in Release_Track" )</f>
        <v/>
      </c>
      <c r="E557" s="99"/>
      <c r="F557" s="99"/>
      <c r="G557" s="123" t="str">
        <f t="array" ref="G557">ifs(or($F557="",$F557="Main Primary Artist"),$F557,not(iserror(vlookup($F557,'Reference info'!$J$5:$J$8,1,0))),"Key Artist",not(iserror(vlookup($F557,'Reference info'!$J$38:$J$405,1,0))),"Performer",not(iserror(vlookup($F557,'Reference info'!$J$10:$J$36,1,0))),"Producer &amp; Engineer")</f>
        <v/>
      </c>
    </row>
    <row r="558">
      <c r="B558" s="103"/>
      <c r="C558" s="121" t="str">
        <f t="array" ref="C558">ifs(and(isblank($A558),isblank($B558)),"", not(iserror(vlookup($A558&amp;$B558,'5) Release_Track'!$F:$F&amp;'5) Release_Track'!$G:$G,1,0))),vlookup($A558&amp;$B558,{'5) Release_Track'!$F:$F&amp;'5) Release_Track'!$G:$G,'5) Release_Track'!$H:$H},2,0), or(and(not(isblank($B558)),$B558=$B557,$A558&lt;&gt;$A557),and(not(isblank($A558)),$A558=$A557,$B558&lt;&gt;$B557)),"ID LISTS UNALIGNED",and($A558&lt;&gt;"",countif('5) Release_Track'!$F:$F,$A558)=0),"NO ISRC MATCH in Release_Track",and($B558&lt;&gt;"",countif('5) Release_Track'!$G:$G,$B558)=0),"NO CATALOG ID MATCH in Release_Track",iserror(vlookup($A558&amp;$B558,'5) Release_Track'!$F:$F&amp;'5) Release_Track'!$G:$G,1,0)),"NO ISRC-CATALOG ID pair MATCH in Release_Track" )</f>
        <v/>
      </c>
      <c r="D558" s="121" t="str">
        <f t="array" ref="D558">ifs(and(isblank($A558),isblank($B558)),"", not(iserror(vlookup($A558&amp;$B558,'5) Release_Track'!$F:$F&amp;'5) Release_Track'!$G:$G,1,0))),vlookup($A558&amp;$B558,{'5) Release_Track'!$F:$F&amp;'5) Release_Track'!$G:$G,'5) Release_Track'!$I:$I},2,0), or(and(not(isblank($B558)),$B558=$B557,$A558&lt;&gt;$A557),and(not(isblank($A558)),$A558=$A557,$B558&lt;&gt;$B557)),"ID LISTS UNALIGNED",and($A558&lt;&gt;"",countif('5) Release_Track'!$F:$F,$A558)=0),"NO ISRC MATCH in Release_Track",and($B558&lt;&gt;"",countif('5) Release_Track'!$G:$G,$B558)=0),"NO CATALOG ID MATCH in Release_Track",iserror(vlookup($A558&amp;$B558,'5) Release_Track'!$F:$F&amp;'5) Release_Track'!$G:$G,1,0)),"NO ISRC-CATALOG ID pair MATCH in Release_Track" )</f>
        <v/>
      </c>
      <c r="E558" s="99"/>
      <c r="F558" s="99"/>
      <c r="G558" s="123" t="str">
        <f t="array" ref="G558">ifs(or($F558="",$F558="Main Primary Artist"),$F558,not(iserror(vlookup($F558,'Reference info'!$J$5:$J$8,1,0))),"Key Artist",not(iserror(vlookup($F558,'Reference info'!$J$38:$J$405,1,0))),"Performer",not(iserror(vlookup($F558,'Reference info'!$J$10:$J$36,1,0))),"Producer &amp; Engineer")</f>
        <v/>
      </c>
    </row>
    <row r="559">
      <c r="B559" s="103"/>
      <c r="C559" s="121" t="str">
        <f t="array" ref="C559">ifs(and(isblank($A559),isblank($B559)),"", not(iserror(vlookup($A559&amp;$B559,'5) Release_Track'!$F:$F&amp;'5) Release_Track'!$G:$G,1,0))),vlookup($A559&amp;$B559,{'5) Release_Track'!$F:$F&amp;'5) Release_Track'!$G:$G,'5) Release_Track'!$H:$H},2,0), or(and(not(isblank($B559)),$B559=$B558,$A559&lt;&gt;$A558),and(not(isblank($A559)),$A559=$A558,$B559&lt;&gt;$B558)),"ID LISTS UNALIGNED",and($A559&lt;&gt;"",countif('5) Release_Track'!$F:$F,$A559)=0),"NO ISRC MATCH in Release_Track",and($B559&lt;&gt;"",countif('5) Release_Track'!$G:$G,$B559)=0),"NO CATALOG ID MATCH in Release_Track",iserror(vlookup($A559&amp;$B559,'5) Release_Track'!$F:$F&amp;'5) Release_Track'!$G:$G,1,0)),"NO ISRC-CATALOG ID pair MATCH in Release_Track" )</f>
        <v/>
      </c>
      <c r="D559" s="121" t="str">
        <f t="array" ref="D559">ifs(and(isblank($A559),isblank($B559)),"", not(iserror(vlookup($A559&amp;$B559,'5) Release_Track'!$F:$F&amp;'5) Release_Track'!$G:$G,1,0))),vlookup($A559&amp;$B559,{'5) Release_Track'!$F:$F&amp;'5) Release_Track'!$G:$G,'5) Release_Track'!$I:$I},2,0), or(and(not(isblank($B559)),$B559=$B558,$A559&lt;&gt;$A558),and(not(isblank($A559)),$A559=$A558,$B559&lt;&gt;$B558)),"ID LISTS UNALIGNED",and($A559&lt;&gt;"",countif('5) Release_Track'!$F:$F,$A559)=0),"NO ISRC MATCH in Release_Track",and($B559&lt;&gt;"",countif('5) Release_Track'!$G:$G,$B559)=0),"NO CATALOG ID MATCH in Release_Track",iserror(vlookup($A559&amp;$B559,'5) Release_Track'!$F:$F&amp;'5) Release_Track'!$G:$G,1,0)),"NO ISRC-CATALOG ID pair MATCH in Release_Track" )</f>
        <v/>
      </c>
      <c r="E559" s="99"/>
      <c r="F559" s="99"/>
      <c r="G559" s="123" t="str">
        <f t="array" ref="G559">ifs(or($F559="",$F559="Main Primary Artist"),$F559,not(iserror(vlookup($F559,'Reference info'!$J$5:$J$8,1,0))),"Key Artist",not(iserror(vlookup($F559,'Reference info'!$J$38:$J$405,1,0))),"Performer",not(iserror(vlookup($F559,'Reference info'!$J$10:$J$36,1,0))),"Producer &amp; Engineer")</f>
        <v/>
      </c>
    </row>
    <row r="560">
      <c r="B560" s="103"/>
      <c r="C560" s="121" t="str">
        <f t="array" ref="C560">ifs(and(isblank($A560),isblank($B560)),"", not(iserror(vlookup($A560&amp;$B560,'5) Release_Track'!$F:$F&amp;'5) Release_Track'!$G:$G,1,0))),vlookup($A560&amp;$B560,{'5) Release_Track'!$F:$F&amp;'5) Release_Track'!$G:$G,'5) Release_Track'!$H:$H},2,0), or(and(not(isblank($B560)),$B560=$B559,$A560&lt;&gt;$A559),and(not(isblank($A560)),$A560=$A559,$B560&lt;&gt;$B559)),"ID LISTS UNALIGNED",and($A560&lt;&gt;"",countif('5) Release_Track'!$F:$F,$A560)=0),"NO ISRC MATCH in Release_Track",and($B560&lt;&gt;"",countif('5) Release_Track'!$G:$G,$B560)=0),"NO CATALOG ID MATCH in Release_Track",iserror(vlookup($A560&amp;$B560,'5) Release_Track'!$F:$F&amp;'5) Release_Track'!$G:$G,1,0)),"NO ISRC-CATALOG ID pair MATCH in Release_Track" )</f>
        <v/>
      </c>
      <c r="D560" s="121" t="str">
        <f t="array" ref="D560">ifs(and(isblank($A560),isblank($B560)),"", not(iserror(vlookup($A560&amp;$B560,'5) Release_Track'!$F:$F&amp;'5) Release_Track'!$G:$G,1,0))),vlookup($A560&amp;$B560,{'5) Release_Track'!$F:$F&amp;'5) Release_Track'!$G:$G,'5) Release_Track'!$I:$I},2,0), or(and(not(isblank($B560)),$B560=$B559,$A560&lt;&gt;$A559),and(not(isblank($A560)),$A560=$A559,$B560&lt;&gt;$B559)),"ID LISTS UNALIGNED",and($A560&lt;&gt;"",countif('5) Release_Track'!$F:$F,$A560)=0),"NO ISRC MATCH in Release_Track",and($B560&lt;&gt;"",countif('5) Release_Track'!$G:$G,$B560)=0),"NO CATALOG ID MATCH in Release_Track",iserror(vlookup($A560&amp;$B560,'5) Release_Track'!$F:$F&amp;'5) Release_Track'!$G:$G,1,0)),"NO ISRC-CATALOG ID pair MATCH in Release_Track" )</f>
        <v/>
      </c>
      <c r="E560" s="99"/>
      <c r="F560" s="99"/>
      <c r="G560" s="123" t="str">
        <f t="array" ref="G560">ifs(or($F560="",$F560="Main Primary Artist"),$F560,not(iserror(vlookup($F560,'Reference info'!$J$5:$J$8,1,0))),"Key Artist",not(iserror(vlookup($F560,'Reference info'!$J$38:$J$405,1,0))),"Performer",not(iserror(vlookup($F560,'Reference info'!$J$10:$J$36,1,0))),"Producer &amp; Engineer")</f>
        <v/>
      </c>
    </row>
    <row r="561">
      <c r="B561" s="103"/>
      <c r="C561" s="121" t="str">
        <f t="array" ref="C561">ifs(and(isblank($A561),isblank($B561)),"", not(iserror(vlookup($A561&amp;$B561,'5) Release_Track'!$F:$F&amp;'5) Release_Track'!$G:$G,1,0))),vlookup($A561&amp;$B561,{'5) Release_Track'!$F:$F&amp;'5) Release_Track'!$G:$G,'5) Release_Track'!$H:$H},2,0), or(and(not(isblank($B561)),$B561=$B560,$A561&lt;&gt;$A560),and(not(isblank($A561)),$A561=$A560,$B561&lt;&gt;$B560)),"ID LISTS UNALIGNED",and($A561&lt;&gt;"",countif('5) Release_Track'!$F:$F,$A561)=0),"NO ISRC MATCH in Release_Track",and($B561&lt;&gt;"",countif('5) Release_Track'!$G:$G,$B561)=0),"NO CATALOG ID MATCH in Release_Track",iserror(vlookup($A561&amp;$B561,'5) Release_Track'!$F:$F&amp;'5) Release_Track'!$G:$G,1,0)),"NO ISRC-CATALOG ID pair MATCH in Release_Track" )</f>
        <v/>
      </c>
      <c r="D561" s="121" t="str">
        <f t="array" ref="D561">ifs(and(isblank($A561),isblank($B561)),"", not(iserror(vlookup($A561&amp;$B561,'5) Release_Track'!$F:$F&amp;'5) Release_Track'!$G:$G,1,0))),vlookup($A561&amp;$B561,{'5) Release_Track'!$F:$F&amp;'5) Release_Track'!$G:$G,'5) Release_Track'!$I:$I},2,0), or(and(not(isblank($B561)),$B561=$B560,$A561&lt;&gt;$A560),and(not(isblank($A561)),$A561=$A560,$B561&lt;&gt;$B560)),"ID LISTS UNALIGNED",and($A561&lt;&gt;"",countif('5) Release_Track'!$F:$F,$A561)=0),"NO ISRC MATCH in Release_Track",and($B561&lt;&gt;"",countif('5) Release_Track'!$G:$G,$B561)=0),"NO CATALOG ID MATCH in Release_Track",iserror(vlookup($A561&amp;$B561,'5) Release_Track'!$F:$F&amp;'5) Release_Track'!$G:$G,1,0)),"NO ISRC-CATALOG ID pair MATCH in Release_Track" )</f>
        <v/>
      </c>
      <c r="E561" s="99"/>
      <c r="F561" s="99"/>
      <c r="G561" s="123" t="str">
        <f t="array" ref="G561">ifs(or($F561="",$F561="Main Primary Artist"),$F561,not(iserror(vlookup($F561,'Reference info'!$J$5:$J$8,1,0))),"Key Artist",not(iserror(vlookup($F561,'Reference info'!$J$38:$J$405,1,0))),"Performer",not(iserror(vlookup($F561,'Reference info'!$J$10:$J$36,1,0))),"Producer &amp; Engineer")</f>
        <v/>
      </c>
    </row>
    <row r="562">
      <c r="B562" s="103"/>
      <c r="C562" s="121" t="str">
        <f t="array" ref="C562">ifs(and(isblank($A562),isblank($B562)),"", not(iserror(vlookup($A562&amp;$B562,'5) Release_Track'!$F:$F&amp;'5) Release_Track'!$G:$G,1,0))),vlookup($A562&amp;$B562,{'5) Release_Track'!$F:$F&amp;'5) Release_Track'!$G:$G,'5) Release_Track'!$H:$H},2,0), or(and(not(isblank($B562)),$B562=$B561,$A562&lt;&gt;$A561),and(not(isblank($A562)),$A562=$A561,$B562&lt;&gt;$B561)),"ID LISTS UNALIGNED",and($A562&lt;&gt;"",countif('5) Release_Track'!$F:$F,$A562)=0),"NO ISRC MATCH in Release_Track",and($B562&lt;&gt;"",countif('5) Release_Track'!$G:$G,$B562)=0),"NO CATALOG ID MATCH in Release_Track",iserror(vlookup($A562&amp;$B562,'5) Release_Track'!$F:$F&amp;'5) Release_Track'!$G:$G,1,0)),"NO ISRC-CATALOG ID pair MATCH in Release_Track" )</f>
        <v/>
      </c>
      <c r="D562" s="121" t="str">
        <f t="array" ref="D562">ifs(and(isblank($A562),isblank($B562)),"", not(iserror(vlookup($A562&amp;$B562,'5) Release_Track'!$F:$F&amp;'5) Release_Track'!$G:$G,1,0))),vlookup($A562&amp;$B562,{'5) Release_Track'!$F:$F&amp;'5) Release_Track'!$G:$G,'5) Release_Track'!$I:$I},2,0), or(and(not(isblank($B562)),$B562=$B561,$A562&lt;&gt;$A561),and(not(isblank($A562)),$A562=$A561,$B562&lt;&gt;$B561)),"ID LISTS UNALIGNED",and($A562&lt;&gt;"",countif('5) Release_Track'!$F:$F,$A562)=0),"NO ISRC MATCH in Release_Track",and($B562&lt;&gt;"",countif('5) Release_Track'!$G:$G,$B562)=0),"NO CATALOG ID MATCH in Release_Track",iserror(vlookup($A562&amp;$B562,'5) Release_Track'!$F:$F&amp;'5) Release_Track'!$G:$G,1,0)),"NO ISRC-CATALOG ID pair MATCH in Release_Track" )</f>
        <v/>
      </c>
      <c r="E562" s="99"/>
      <c r="F562" s="99"/>
      <c r="G562" s="123" t="str">
        <f t="array" ref="G562">ifs(or($F562="",$F562="Main Primary Artist"),$F562,not(iserror(vlookup($F562,'Reference info'!$J$5:$J$8,1,0))),"Key Artist",not(iserror(vlookup($F562,'Reference info'!$J$38:$J$405,1,0))),"Performer",not(iserror(vlookup($F562,'Reference info'!$J$10:$J$36,1,0))),"Producer &amp; Engineer")</f>
        <v/>
      </c>
    </row>
    <row r="563">
      <c r="B563" s="103"/>
      <c r="C563" s="121" t="str">
        <f t="array" ref="C563">ifs(and(isblank($A563),isblank($B563)),"", not(iserror(vlookup($A563&amp;$B563,'5) Release_Track'!$F:$F&amp;'5) Release_Track'!$G:$G,1,0))),vlookup($A563&amp;$B563,{'5) Release_Track'!$F:$F&amp;'5) Release_Track'!$G:$G,'5) Release_Track'!$H:$H},2,0), or(and(not(isblank($B563)),$B563=$B562,$A563&lt;&gt;$A562),and(not(isblank($A563)),$A563=$A562,$B563&lt;&gt;$B562)),"ID LISTS UNALIGNED",and($A563&lt;&gt;"",countif('5) Release_Track'!$F:$F,$A563)=0),"NO ISRC MATCH in Release_Track",and($B563&lt;&gt;"",countif('5) Release_Track'!$G:$G,$B563)=0),"NO CATALOG ID MATCH in Release_Track",iserror(vlookup($A563&amp;$B563,'5) Release_Track'!$F:$F&amp;'5) Release_Track'!$G:$G,1,0)),"NO ISRC-CATALOG ID pair MATCH in Release_Track" )</f>
        <v/>
      </c>
      <c r="D563" s="121" t="str">
        <f t="array" ref="D563">ifs(and(isblank($A563),isblank($B563)),"", not(iserror(vlookup($A563&amp;$B563,'5) Release_Track'!$F:$F&amp;'5) Release_Track'!$G:$G,1,0))),vlookup($A563&amp;$B563,{'5) Release_Track'!$F:$F&amp;'5) Release_Track'!$G:$G,'5) Release_Track'!$I:$I},2,0), or(and(not(isblank($B563)),$B563=$B562,$A563&lt;&gt;$A562),and(not(isblank($A563)),$A563=$A562,$B563&lt;&gt;$B562)),"ID LISTS UNALIGNED",and($A563&lt;&gt;"",countif('5) Release_Track'!$F:$F,$A563)=0),"NO ISRC MATCH in Release_Track",and($B563&lt;&gt;"",countif('5) Release_Track'!$G:$G,$B563)=0),"NO CATALOG ID MATCH in Release_Track",iserror(vlookup($A563&amp;$B563,'5) Release_Track'!$F:$F&amp;'5) Release_Track'!$G:$G,1,0)),"NO ISRC-CATALOG ID pair MATCH in Release_Track" )</f>
        <v/>
      </c>
      <c r="E563" s="99"/>
      <c r="F563" s="99"/>
      <c r="G563" s="123" t="str">
        <f t="array" ref="G563">ifs(or($F563="",$F563="Main Primary Artist"),$F563,not(iserror(vlookup($F563,'Reference info'!$J$5:$J$8,1,0))),"Key Artist",not(iserror(vlookup($F563,'Reference info'!$J$38:$J$405,1,0))),"Performer",not(iserror(vlookup($F563,'Reference info'!$J$10:$J$36,1,0))),"Producer &amp; Engineer")</f>
        <v/>
      </c>
    </row>
    <row r="564">
      <c r="B564" s="103"/>
      <c r="C564" s="121" t="str">
        <f t="array" ref="C564">ifs(and(isblank($A564),isblank($B564)),"", not(iserror(vlookup($A564&amp;$B564,'5) Release_Track'!$F:$F&amp;'5) Release_Track'!$G:$G,1,0))),vlookup($A564&amp;$B564,{'5) Release_Track'!$F:$F&amp;'5) Release_Track'!$G:$G,'5) Release_Track'!$H:$H},2,0), or(and(not(isblank($B564)),$B564=$B563,$A564&lt;&gt;$A563),and(not(isblank($A564)),$A564=$A563,$B564&lt;&gt;$B563)),"ID LISTS UNALIGNED",and($A564&lt;&gt;"",countif('5) Release_Track'!$F:$F,$A564)=0),"NO ISRC MATCH in Release_Track",and($B564&lt;&gt;"",countif('5) Release_Track'!$G:$G,$B564)=0),"NO CATALOG ID MATCH in Release_Track",iserror(vlookup($A564&amp;$B564,'5) Release_Track'!$F:$F&amp;'5) Release_Track'!$G:$G,1,0)),"NO ISRC-CATALOG ID pair MATCH in Release_Track" )</f>
        <v/>
      </c>
      <c r="D564" s="121" t="str">
        <f t="array" ref="D564">ifs(and(isblank($A564),isblank($B564)),"", not(iserror(vlookup($A564&amp;$B564,'5) Release_Track'!$F:$F&amp;'5) Release_Track'!$G:$G,1,0))),vlookup($A564&amp;$B564,{'5) Release_Track'!$F:$F&amp;'5) Release_Track'!$G:$G,'5) Release_Track'!$I:$I},2,0), or(and(not(isblank($B564)),$B564=$B563,$A564&lt;&gt;$A563),and(not(isblank($A564)),$A564=$A563,$B564&lt;&gt;$B563)),"ID LISTS UNALIGNED",and($A564&lt;&gt;"",countif('5) Release_Track'!$F:$F,$A564)=0),"NO ISRC MATCH in Release_Track",and($B564&lt;&gt;"",countif('5) Release_Track'!$G:$G,$B564)=0),"NO CATALOG ID MATCH in Release_Track",iserror(vlookup($A564&amp;$B564,'5) Release_Track'!$F:$F&amp;'5) Release_Track'!$G:$G,1,0)),"NO ISRC-CATALOG ID pair MATCH in Release_Track" )</f>
        <v/>
      </c>
      <c r="E564" s="99"/>
      <c r="F564" s="99"/>
      <c r="G564" s="123" t="str">
        <f t="array" ref="G564">ifs(or($F564="",$F564="Main Primary Artist"),$F564,not(iserror(vlookup($F564,'Reference info'!$J$5:$J$8,1,0))),"Key Artist",not(iserror(vlookup($F564,'Reference info'!$J$38:$J$405,1,0))),"Performer",not(iserror(vlookup($F564,'Reference info'!$J$10:$J$36,1,0))),"Producer &amp; Engineer")</f>
        <v/>
      </c>
    </row>
    <row r="565">
      <c r="B565" s="103"/>
      <c r="C565" s="121" t="str">
        <f t="array" ref="C565">ifs(and(isblank($A565),isblank($B565)),"", not(iserror(vlookup($A565&amp;$B565,'5) Release_Track'!$F:$F&amp;'5) Release_Track'!$G:$G,1,0))),vlookup($A565&amp;$B565,{'5) Release_Track'!$F:$F&amp;'5) Release_Track'!$G:$G,'5) Release_Track'!$H:$H},2,0), or(and(not(isblank($B565)),$B565=$B564,$A565&lt;&gt;$A564),and(not(isblank($A565)),$A565=$A564,$B565&lt;&gt;$B564)),"ID LISTS UNALIGNED",and($A565&lt;&gt;"",countif('5) Release_Track'!$F:$F,$A565)=0),"NO ISRC MATCH in Release_Track",and($B565&lt;&gt;"",countif('5) Release_Track'!$G:$G,$B565)=0),"NO CATALOG ID MATCH in Release_Track",iserror(vlookup($A565&amp;$B565,'5) Release_Track'!$F:$F&amp;'5) Release_Track'!$G:$G,1,0)),"NO ISRC-CATALOG ID pair MATCH in Release_Track" )</f>
        <v/>
      </c>
      <c r="D565" s="121" t="str">
        <f t="array" ref="D565">ifs(and(isblank($A565),isblank($B565)),"", not(iserror(vlookup($A565&amp;$B565,'5) Release_Track'!$F:$F&amp;'5) Release_Track'!$G:$G,1,0))),vlookup($A565&amp;$B565,{'5) Release_Track'!$F:$F&amp;'5) Release_Track'!$G:$G,'5) Release_Track'!$I:$I},2,0), or(and(not(isblank($B565)),$B565=$B564,$A565&lt;&gt;$A564),and(not(isblank($A565)),$A565=$A564,$B565&lt;&gt;$B564)),"ID LISTS UNALIGNED",and($A565&lt;&gt;"",countif('5) Release_Track'!$F:$F,$A565)=0),"NO ISRC MATCH in Release_Track",and($B565&lt;&gt;"",countif('5) Release_Track'!$G:$G,$B565)=0),"NO CATALOG ID MATCH in Release_Track",iserror(vlookup($A565&amp;$B565,'5) Release_Track'!$F:$F&amp;'5) Release_Track'!$G:$G,1,0)),"NO ISRC-CATALOG ID pair MATCH in Release_Track" )</f>
        <v/>
      </c>
      <c r="E565" s="99"/>
      <c r="F565" s="99"/>
      <c r="G565" s="123" t="str">
        <f t="array" ref="G565">ifs(or($F565="",$F565="Main Primary Artist"),$F565,not(iserror(vlookup($F565,'Reference info'!$J$5:$J$8,1,0))),"Key Artist",not(iserror(vlookup($F565,'Reference info'!$J$38:$J$405,1,0))),"Performer",not(iserror(vlookup($F565,'Reference info'!$J$10:$J$36,1,0))),"Producer &amp; Engineer")</f>
        <v/>
      </c>
    </row>
    <row r="566">
      <c r="B566" s="103"/>
      <c r="C566" s="121" t="str">
        <f t="array" ref="C566">ifs(and(isblank($A566),isblank($B566)),"", not(iserror(vlookup($A566&amp;$B566,'5) Release_Track'!$F:$F&amp;'5) Release_Track'!$G:$G,1,0))),vlookup($A566&amp;$B566,{'5) Release_Track'!$F:$F&amp;'5) Release_Track'!$G:$G,'5) Release_Track'!$H:$H},2,0), or(and(not(isblank($B566)),$B566=$B565,$A566&lt;&gt;$A565),and(not(isblank($A566)),$A566=$A565,$B566&lt;&gt;$B565)),"ID LISTS UNALIGNED",and($A566&lt;&gt;"",countif('5) Release_Track'!$F:$F,$A566)=0),"NO ISRC MATCH in Release_Track",and($B566&lt;&gt;"",countif('5) Release_Track'!$G:$G,$B566)=0),"NO CATALOG ID MATCH in Release_Track",iserror(vlookup($A566&amp;$B566,'5) Release_Track'!$F:$F&amp;'5) Release_Track'!$G:$G,1,0)),"NO ISRC-CATALOG ID pair MATCH in Release_Track" )</f>
        <v/>
      </c>
      <c r="D566" s="121" t="str">
        <f t="array" ref="D566">ifs(and(isblank($A566),isblank($B566)),"", not(iserror(vlookup($A566&amp;$B566,'5) Release_Track'!$F:$F&amp;'5) Release_Track'!$G:$G,1,0))),vlookup($A566&amp;$B566,{'5) Release_Track'!$F:$F&amp;'5) Release_Track'!$G:$G,'5) Release_Track'!$I:$I},2,0), or(and(not(isblank($B566)),$B566=$B565,$A566&lt;&gt;$A565),and(not(isblank($A566)),$A566=$A565,$B566&lt;&gt;$B565)),"ID LISTS UNALIGNED",and($A566&lt;&gt;"",countif('5) Release_Track'!$F:$F,$A566)=0),"NO ISRC MATCH in Release_Track",and($B566&lt;&gt;"",countif('5) Release_Track'!$G:$G,$B566)=0),"NO CATALOG ID MATCH in Release_Track",iserror(vlookup($A566&amp;$B566,'5) Release_Track'!$F:$F&amp;'5) Release_Track'!$G:$G,1,0)),"NO ISRC-CATALOG ID pair MATCH in Release_Track" )</f>
        <v/>
      </c>
      <c r="E566" s="99"/>
      <c r="F566" s="99"/>
      <c r="G566" s="123" t="str">
        <f t="array" ref="G566">ifs(or($F566="",$F566="Main Primary Artist"),$F566,not(iserror(vlookup($F566,'Reference info'!$J$5:$J$8,1,0))),"Key Artist",not(iserror(vlookup($F566,'Reference info'!$J$38:$J$405,1,0))),"Performer",not(iserror(vlookup($F566,'Reference info'!$J$10:$J$36,1,0))),"Producer &amp; Engineer")</f>
        <v/>
      </c>
    </row>
    <row r="567">
      <c r="B567" s="103"/>
      <c r="C567" s="121" t="str">
        <f t="array" ref="C567">ifs(and(isblank($A567),isblank($B567)),"", not(iserror(vlookup($A567&amp;$B567,'5) Release_Track'!$F:$F&amp;'5) Release_Track'!$G:$G,1,0))),vlookup($A567&amp;$B567,{'5) Release_Track'!$F:$F&amp;'5) Release_Track'!$G:$G,'5) Release_Track'!$H:$H},2,0), or(and(not(isblank($B567)),$B567=$B566,$A567&lt;&gt;$A566),and(not(isblank($A567)),$A567=$A566,$B567&lt;&gt;$B566)),"ID LISTS UNALIGNED",and($A567&lt;&gt;"",countif('5) Release_Track'!$F:$F,$A567)=0),"NO ISRC MATCH in Release_Track",and($B567&lt;&gt;"",countif('5) Release_Track'!$G:$G,$B567)=0),"NO CATALOG ID MATCH in Release_Track",iserror(vlookup($A567&amp;$B567,'5) Release_Track'!$F:$F&amp;'5) Release_Track'!$G:$G,1,0)),"NO ISRC-CATALOG ID pair MATCH in Release_Track" )</f>
        <v/>
      </c>
      <c r="D567" s="121" t="str">
        <f t="array" ref="D567">ifs(and(isblank($A567),isblank($B567)),"", not(iserror(vlookup($A567&amp;$B567,'5) Release_Track'!$F:$F&amp;'5) Release_Track'!$G:$G,1,0))),vlookup($A567&amp;$B567,{'5) Release_Track'!$F:$F&amp;'5) Release_Track'!$G:$G,'5) Release_Track'!$I:$I},2,0), or(and(not(isblank($B567)),$B567=$B566,$A567&lt;&gt;$A566),and(not(isblank($A567)),$A567=$A566,$B567&lt;&gt;$B566)),"ID LISTS UNALIGNED",and($A567&lt;&gt;"",countif('5) Release_Track'!$F:$F,$A567)=0),"NO ISRC MATCH in Release_Track",and($B567&lt;&gt;"",countif('5) Release_Track'!$G:$G,$B567)=0),"NO CATALOG ID MATCH in Release_Track",iserror(vlookup($A567&amp;$B567,'5) Release_Track'!$F:$F&amp;'5) Release_Track'!$G:$G,1,0)),"NO ISRC-CATALOG ID pair MATCH in Release_Track" )</f>
        <v/>
      </c>
      <c r="E567" s="99"/>
      <c r="F567" s="99"/>
      <c r="G567" s="123" t="str">
        <f t="array" ref="G567">ifs(or($F567="",$F567="Main Primary Artist"),$F567,not(iserror(vlookup($F567,'Reference info'!$J$5:$J$8,1,0))),"Key Artist",not(iserror(vlookup($F567,'Reference info'!$J$38:$J$405,1,0))),"Performer",not(iserror(vlookup($F567,'Reference info'!$J$10:$J$36,1,0))),"Producer &amp; Engineer")</f>
        <v/>
      </c>
    </row>
    <row r="568">
      <c r="B568" s="103"/>
      <c r="C568" s="121" t="str">
        <f t="array" ref="C568">ifs(and(isblank($A568),isblank($B568)),"", not(iserror(vlookup($A568&amp;$B568,'5) Release_Track'!$F:$F&amp;'5) Release_Track'!$G:$G,1,0))),vlookup($A568&amp;$B568,{'5) Release_Track'!$F:$F&amp;'5) Release_Track'!$G:$G,'5) Release_Track'!$H:$H},2,0), or(and(not(isblank($B568)),$B568=$B567,$A568&lt;&gt;$A567),and(not(isblank($A568)),$A568=$A567,$B568&lt;&gt;$B567)),"ID LISTS UNALIGNED",and($A568&lt;&gt;"",countif('5) Release_Track'!$F:$F,$A568)=0),"NO ISRC MATCH in Release_Track",and($B568&lt;&gt;"",countif('5) Release_Track'!$G:$G,$B568)=0),"NO CATALOG ID MATCH in Release_Track",iserror(vlookup($A568&amp;$B568,'5) Release_Track'!$F:$F&amp;'5) Release_Track'!$G:$G,1,0)),"NO ISRC-CATALOG ID pair MATCH in Release_Track" )</f>
        <v/>
      </c>
      <c r="D568" s="121" t="str">
        <f t="array" ref="D568">ifs(and(isblank($A568),isblank($B568)),"", not(iserror(vlookup($A568&amp;$B568,'5) Release_Track'!$F:$F&amp;'5) Release_Track'!$G:$G,1,0))),vlookup($A568&amp;$B568,{'5) Release_Track'!$F:$F&amp;'5) Release_Track'!$G:$G,'5) Release_Track'!$I:$I},2,0), or(and(not(isblank($B568)),$B568=$B567,$A568&lt;&gt;$A567),and(not(isblank($A568)),$A568=$A567,$B568&lt;&gt;$B567)),"ID LISTS UNALIGNED",and($A568&lt;&gt;"",countif('5) Release_Track'!$F:$F,$A568)=0),"NO ISRC MATCH in Release_Track",and($B568&lt;&gt;"",countif('5) Release_Track'!$G:$G,$B568)=0),"NO CATALOG ID MATCH in Release_Track",iserror(vlookup($A568&amp;$B568,'5) Release_Track'!$F:$F&amp;'5) Release_Track'!$G:$G,1,0)),"NO ISRC-CATALOG ID pair MATCH in Release_Track" )</f>
        <v/>
      </c>
      <c r="E568" s="99"/>
      <c r="F568" s="99"/>
      <c r="G568" s="123" t="str">
        <f t="array" ref="G568">ifs(or($F568="",$F568="Main Primary Artist"),$F568,not(iserror(vlookup($F568,'Reference info'!$J$5:$J$8,1,0))),"Key Artist",not(iserror(vlookup($F568,'Reference info'!$J$38:$J$405,1,0))),"Performer",not(iserror(vlookup($F568,'Reference info'!$J$10:$J$36,1,0))),"Producer &amp; Engineer")</f>
        <v/>
      </c>
    </row>
    <row r="569">
      <c r="B569" s="103"/>
      <c r="C569" s="121" t="str">
        <f t="array" ref="C569">ifs(and(isblank($A569),isblank($B569)),"", not(iserror(vlookup($A569&amp;$B569,'5) Release_Track'!$F:$F&amp;'5) Release_Track'!$G:$G,1,0))),vlookup($A569&amp;$B569,{'5) Release_Track'!$F:$F&amp;'5) Release_Track'!$G:$G,'5) Release_Track'!$H:$H},2,0), or(and(not(isblank($B569)),$B569=$B568,$A569&lt;&gt;$A568),and(not(isblank($A569)),$A569=$A568,$B569&lt;&gt;$B568)),"ID LISTS UNALIGNED",and($A569&lt;&gt;"",countif('5) Release_Track'!$F:$F,$A569)=0),"NO ISRC MATCH in Release_Track",and($B569&lt;&gt;"",countif('5) Release_Track'!$G:$G,$B569)=0),"NO CATALOG ID MATCH in Release_Track",iserror(vlookup($A569&amp;$B569,'5) Release_Track'!$F:$F&amp;'5) Release_Track'!$G:$G,1,0)),"NO ISRC-CATALOG ID pair MATCH in Release_Track" )</f>
        <v/>
      </c>
      <c r="D569" s="121" t="str">
        <f t="array" ref="D569">ifs(and(isblank($A569),isblank($B569)),"", not(iserror(vlookup($A569&amp;$B569,'5) Release_Track'!$F:$F&amp;'5) Release_Track'!$G:$G,1,0))),vlookup($A569&amp;$B569,{'5) Release_Track'!$F:$F&amp;'5) Release_Track'!$G:$G,'5) Release_Track'!$I:$I},2,0), or(and(not(isblank($B569)),$B569=$B568,$A569&lt;&gt;$A568),and(not(isblank($A569)),$A569=$A568,$B569&lt;&gt;$B568)),"ID LISTS UNALIGNED",and($A569&lt;&gt;"",countif('5) Release_Track'!$F:$F,$A569)=0),"NO ISRC MATCH in Release_Track",and($B569&lt;&gt;"",countif('5) Release_Track'!$G:$G,$B569)=0),"NO CATALOG ID MATCH in Release_Track",iserror(vlookup($A569&amp;$B569,'5) Release_Track'!$F:$F&amp;'5) Release_Track'!$G:$G,1,0)),"NO ISRC-CATALOG ID pair MATCH in Release_Track" )</f>
        <v/>
      </c>
      <c r="E569" s="99"/>
      <c r="F569" s="99"/>
      <c r="G569" s="123" t="str">
        <f t="array" ref="G569">ifs(or($F569="",$F569="Main Primary Artist"),$F569,not(iserror(vlookup($F569,'Reference info'!$J$5:$J$8,1,0))),"Key Artist",not(iserror(vlookup($F569,'Reference info'!$J$38:$J$405,1,0))),"Performer",not(iserror(vlookup($F569,'Reference info'!$J$10:$J$36,1,0))),"Producer &amp; Engineer")</f>
        <v/>
      </c>
    </row>
    <row r="570">
      <c r="B570" s="103"/>
      <c r="C570" s="121" t="str">
        <f t="array" ref="C570">ifs(and(isblank($A570),isblank($B570)),"", not(iserror(vlookup($A570&amp;$B570,'5) Release_Track'!$F:$F&amp;'5) Release_Track'!$G:$G,1,0))),vlookup($A570&amp;$B570,{'5) Release_Track'!$F:$F&amp;'5) Release_Track'!$G:$G,'5) Release_Track'!$H:$H},2,0), or(and(not(isblank($B570)),$B570=$B569,$A570&lt;&gt;$A569),and(not(isblank($A570)),$A570=$A569,$B570&lt;&gt;$B569)),"ID LISTS UNALIGNED",and($A570&lt;&gt;"",countif('5) Release_Track'!$F:$F,$A570)=0),"NO ISRC MATCH in Release_Track",and($B570&lt;&gt;"",countif('5) Release_Track'!$G:$G,$B570)=0),"NO CATALOG ID MATCH in Release_Track",iserror(vlookup($A570&amp;$B570,'5) Release_Track'!$F:$F&amp;'5) Release_Track'!$G:$G,1,0)),"NO ISRC-CATALOG ID pair MATCH in Release_Track" )</f>
        <v/>
      </c>
      <c r="D570" s="121" t="str">
        <f t="array" ref="D570">ifs(and(isblank($A570),isblank($B570)),"", not(iserror(vlookup($A570&amp;$B570,'5) Release_Track'!$F:$F&amp;'5) Release_Track'!$G:$G,1,0))),vlookup($A570&amp;$B570,{'5) Release_Track'!$F:$F&amp;'5) Release_Track'!$G:$G,'5) Release_Track'!$I:$I},2,0), or(and(not(isblank($B570)),$B570=$B569,$A570&lt;&gt;$A569),and(not(isblank($A570)),$A570=$A569,$B570&lt;&gt;$B569)),"ID LISTS UNALIGNED",and($A570&lt;&gt;"",countif('5) Release_Track'!$F:$F,$A570)=0),"NO ISRC MATCH in Release_Track",and($B570&lt;&gt;"",countif('5) Release_Track'!$G:$G,$B570)=0),"NO CATALOG ID MATCH in Release_Track",iserror(vlookup($A570&amp;$B570,'5) Release_Track'!$F:$F&amp;'5) Release_Track'!$G:$G,1,0)),"NO ISRC-CATALOG ID pair MATCH in Release_Track" )</f>
        <v/>
      </c>
      <c r="E570" s="99"/>
      <c r="F570" s="99"/>
      <c r="G570" s="123" t="str">
        <f t="array" ref="G570">ifs(or($F570="",$F570="Main Primary Artist"),$F570,not(iserror(vlookup($F570,'Reference info'!$J$5:$J$8,1,0))),"Key Artist",not(iserror(vlookup($F570,'Reference info'!$J$38:$J$405,1,0))),"Performer",not(iserror(vlookup($F570,'Reference info'!$J$10:$J$36,1,0))),"Producer &amp; Engineer")</f>
        <v/>
      </c>
    </row>
    <row r="571">
      <c r="B571" s="103"/>
      <c r="C571" s="121" t="str">
        <f t="array" ref="C571">ifs(and(isblank($A571),isblank($B571)),"", not(iserror(vlookup($A571&amp;$B571,'5) Release_Track'!$F:$F&amp;'5) Release_Track'!$G:$G,1,0))),vlookup($A571&amp;$B571,{'5) Release_Track'!$F:$F&amp;'5) Release_Track'!$G:$G,'5) Release_Track'!$H:$H},2,0), or(and(not(isblank($B571)),$B571=$B570,$A571&lt;&gt;$A570),and(not(isblank($A571)),$A571=$A570,$B571&lt;&gt;$B570)),"ID LISTS UNALIGNED",and($A571&lt;&gt;"",countif('5) Release_Track'!$F:$F,$A571)=0),"NO ISRC MATCH in Release_Track",and($B571&lt;&gt;"",countif('5) Release_Track'!$G:$G,$B571)=0),"NO CATALOG ID MATCH in Release_Track",iserror(vlookup($A571&amp;$B571,'5) Release_Track'!$F:$F&amp;'5) Release_Track'!$G:$G,1,0)),"NO ISRC-CATALOG ID pair MATCH in Release_Track" )</f>
        <v/>
      </c>
      <c r="D571" s="121" t="str">
        <f t="array" ref="D571">ifs(and(isblank($A571),isblank($B571)),"", not(iserror(vlookup($A571&amp;$B571,'5) Release_Track'!$F:$F&amp;'5) Release_Track'!$G:$G,1,0))),vlookup($A571&amp;$B571,{'5) Release_Track'!$F:$F&amp;'5) Release_Track'!$G:$G,'5) Release_Track'!$I:$I},2,0), or(and(not(isblank($B571)),$B571=$B570,$A571&lt;&gt;$A570),and(not(isblank($A571)),$A571=$A570,$B571&lt;&gt;$B570)),"ID LISTS UNALIGNED",and($A571&lt;&gt;"",countif('5) Release_Track'!$F:$F,$A571)=0),"NO ISRC MATCH in Release_Track",and($B571&lt;&gt;"",countif('5) Release_Track'!$G:$G,$B571)=0),"NO CATALOG ID MATCH in Release_Track",iserror(vlookup($A571&amp;$B571,'5) Release_Track'!$F:$F&amp;'5) Release_Track'!$G:$G,1,0)),"NO ISRC-CATALOG ID pair MATCH in Release_Track" )</f>
        <v/>
      </c>
      <c r="E571" s="99"/>
      <c r="F571" s="99"/>
      <c r="G571" s="123" t="str">
        <f t="array" ref="G571">ifs(or($F571="",$F571="Main Primary Artist"),$F571,not(iserror(vlookup($F571,'Reference info'!$J$5:$J$8,1,0))),"Key Artist",not(iserror(vlookup($F571,'Reference info'!$J$38:$J$405,1,0))),"Performer",not(iserror(vlookup($F571,'Reference info'!$J$10:$J$36,1,0))),"Producer &amp; Engineer")</f>
        <v/>
      </c>
    </row>
    <row r="572">
      <c r="B572" s="103"/>
      <c r="C572" s="121" t="str">
        <f t="array" ref="C572">ifs(and(isblank($A572),isblank($B572)),"", not(iserror(vlookup($A572&amp;$B572,'5) Release_Track'!$F:$F&amp;'5) Release_Track'!$G:$G,1,0))),vlookup($A572&amp;$B572,{'5) Release_Track'!$F:$F&amp;'5) Release_Track'!$G:$G,'5) Release_Track'!$H:$H},2,0), or(and(not(isblank($B572)),$B572=$B571,$A572&lt;&gt;$A571),and(not(isblank($A572)),$A572=$A571,$B572&lt;&gt;$B571)),"ID LISTS UNALIGNED",and($A572&lt;&gt;"",countif('5) Release_Track'!$F:$F,$A572)=0),"NO ISRC MATCH in Release_Track",and($B572&lt;&gt;"",countif('5) Release_Track'!$G:$G,$B572)=0),"NO CATALOG ID MATCH in Release_Track",iserror(vlookup($A572&amp;$B572,'5) Release_Track'!$F:$F&amp;'5) Release_Track'!$G:$G,1,0)),"NO ISRC-CATALOG ID pair MATCH in Release_Track" )</f>
        <v/>
      </c>
      <c r="D572" s="121" t="str">
        <f t="array" ref="D572">ifs(and(isblank($A572),isblank($B572)),"", not(iserror(vlookup($A572&amp;$B572,'5) Release_Track'!$F:$F&amp;'5) Release_Track'!$G:$G,1,0))),vlookup($A572&amp;$B572,{'5) Release_Track'!$F:$F&amp;'5) Release_Track'!$G:$G,'5) Release_Track'!$I:$I},2,0), or(and(not(isblank($B572)),$B572=$B571,$A572&lt;&gt;$A571),and(not(isblank($A572)),$A572=$A571,$B572&lt;&gt;$B571)),"ID LISTS UNALIGNED",and($A572&lt;&gt;"",countif('5) Release_Track'!$F:$F,$A572)=0),"NO ISRC MATCH in Release_Track",and($B572&lt;&gt;"",countif('5) Release_Track'!$G:$G,$B572)=0),"NO CATALOG ID MATCH in Release_Track",iserror(vlookup($A572&amp;$B572,'5) Release_Track'!$F:$F&amp;'5) Release_Track'!$G:$G,1,0)),"NO ISRC-CATALOG ID pair MATCH in Release_Track" )</f>
        <v/>
      </c>
      <c r="E572" s="99"/>
      <c r="F572" s="99"/>
      <c r="G572" s="123" t="str">
        <f t="array" ref="G572">ifs(or($F572="",$F572="Main Primary Artist"),$F572,not(iserror(vlookup($F572,'Reference info'!$J$5:$J$8,1,0))),"Key Artist",not(iserror(vlookup($F572,'Reference info'!$J$38:$J$405,1,0))),"Performer",not(iserror(vlookup($F572,'Reference info'!$J$10:$J$36,1,0))),"Producer &amp; Engineer")</f>
        <v/>
      </c>
    </row>
    <row r="573">
      <c r="B573" s="103"/>
      <c r="C573" s="121" t="str">
        <f t="array" ref="C573">ifs(and(isblank($A573),isblank($B573)),"", not(iserror(vlookup($A573&amp;$B573,'5) Release_Track'!$F:$F&amp;'5) Release_Track'!$G:$G,1,0))),vlookup($A573&amp;$B573,{'5) Release_Track'!$F:$F&amp;'5) Release_Track'!$G:$G,'5) Release_Track'!$H:$H},2,0), or(and(not(isblank($B573)),$B573=$B572,$A573&lt;&gt;$A572),and(not(isblank($A573)),$A573=$A572,$B573&lt;&gt;$B572)),"ID LISTS UNALIGNED",and($A573&lt;&gt;"",countif('5) Release_Track'!$F:$F,$A573)=0),"NO ISRC MATCH in Release_Track",and($B573&lt;&gt;"",countif('5) Release_Track'!$G:$G,$B573)=0),"NO CATALOG ID MATCH in Release_Track",iserror(vlookup($A573&amp;$B573,'5) Release_Track'!$F:$F&amp;'5) Release_Track'!$G:$G,1,0)),"NO ISRC-CATALOG ID pair MATCH in Release_Track" )</f>
        <v/>
      </c>
      <c r="D573" s="121" t="str">
        <f t="array" ref="D573">ifs(and(isblank($A573),isblank($B573)),"", not(iserror(vlookup($A573&amp;$B573,'5) Release_Track'!$F:$F&amp;'5) Release_Track'!$G:$G,1,0))),vlookup($A573&amp;$B573,{'5) Release_Track'!$F:$F&amp;'5) Release_Track'!$G:$G,'5) Release_Track'!$I:$I},2,0), or(and(not(isblank($B573)),$B573=$B572,$A573&lt;&gt;$A572),and(not(isblank($A573)),$A573=$A572,$B573&lt;&gt;$B572)),"ID LISTS UNALIGNED",and($A573&lt;&gt;"",countif('5) Release_Track'!$F:$F,$A573)=0),"NO ISRC MATCH in Release_Track",and($B573&lt;&gt;"",countif('5) Release_Track'!$G:$G,$B573)=0),"NO CATALOG ID MATCH in Release_Track",iserror(vlookup($A573&amp;$B573,'5) Release_Track'!$F:$F&amp;'5) Release_Track'!$G:$G,1,0)),"NO ISRC-CATALOG ID pair MATCH in Release_Track" )</f>
        <v/>
      </c>
      <c r="E573" s="99"/>
      <c r="F573" s="99"/>
      <c r="G573" s="123" t="str">
        <f t="array" ref="G573">ifs(or($F573="",$F573="Main Primary Artist"),$F573,not(iserror(vlookup($F573,'Reference info'!$J$5:$J$8,1,0))),"Key Artist",not(iserror(vlookup($F573,'Reference info'!$J$38:$J$405,1,0))),"Performer",not(iserror(vlookup($F573,'Reference info'!$J$10:$J$36,1,0))),"Producer &amp; Engineer")</f>
        <v/>
      </c>
    </row>
    <row r="574">
      <c r="B574" s="103"/>
      <c r="C574" s="121" t="str">
        <f t="array" ref="C574">ifs(and(isblank($A574),isblank($B574)),"", not(iserror(vlookup($A574&amp;$B574,'5) Release_Track'!$F:$F&amp;'5) Release_Track'!$G:$G,1,0))),vlookup($A574&amp;$B574,{'5) Release_Track'!$F:$F&amp;'5) Release_Track'!$G:$G,'5) Release_Track'!$H:$H},2,0), or(and(not(isblank($B574)),$B574=$B573,$A574&lt;&gt;$A573),and(not(isblank($A574)),$A574=$A573,$B574&lt;&gt;$B573)),"ID LISTS UNALIGNED",and($A574&lt;&gt;"",countif('5) Release_Track'!$F:$F,$A574)=0),"NO ISRC MATCH in Release_Track",and($B574&lt;&gt;"",countif('5) Release_Track'!$G:$G,$B574)=0),"NO CATALOG ID MATCH in Release_Track",iserror(vlookup($A574&amp;$B574,'5) Release_Track'!$F:$F&amp;'5) Release_Track'!$G:$G,1,0)),"NO ISRC-CATALOG ID pair MATCH in Release_Track" )</f>
        <v/>
      </c>
      <c r="D574" s="121" t="str">
        <f t="array" ref="D574">ifs(and(isblank($A574),isblank($B574)),"", not(iserror(vlookup($A574&amp;$B574,'5) Release_Track'!$F:$F&amp;'5) Release_Track'!$G:$G,1,0))),vlookup($A574&amp;$B574,{'5) Release_Track'!$F:$F&amp;'5) Release_Track'!$G:$G,'5) Release_Track'!$I:$I},2,0), or(and(not(isblank($B574)),$B574=$B573,$A574&lt;&gt;$A573),and(not(isblank($A574)),$A574=$A573,$B574&lt;&gt;$B573)),"ID LISTS UNALIGNED",and($A574&lt;&gt;"",countif('5) Release_Track'!$F:$F,$A574)=0),"NO ISRC MATCH in Release_Track",and($B574&lt;&gt;"",countif('5) Release_Track'!$G:$G,$B574)=0),"NO CATALOG ID MATCH in Release_Track",iserror(vlookup($A574&amp;$B574,'5) Release_Track'!$F:$F&amp;'5) Release_Track'!$G:$G,1,0)),"NO ISRC-CATALOG ID pair MATCH in Release_Track" )</f>
        <v/>
      </c>
      <c r="E574" s="99"/>
      <c r="F574" s="99"/>
      <c r="G574" s="123" t="str">
        <f t="array" ref="G574">ifs(or($F574="",$F574="Main Primary Artist"),$F574,not(iserror(vlookup($F574,'Reference info'!$J$5:$J$8,1,0))),"Key Artist",not(iserror(vlookup($F574,'Reference info'!$J$38:$J$405,1,0))),"Performer",not(iserror(vlookup($F574,'Reference info'!$J$10:$J$36,1,0))),"Producer &amp; Engineer")</f>
        <v/>
      </c>
    </row>
    <row r="575">
      <c r="B575" s="103"/>
      <c r="C575" s="121" t="str">
        <f t="array" ref="C575">ifs(and(isblank($A575),isblank($B575)),"", not(iserror(vlookup($A575&amp;$B575,'5) Release_Track'!$F:$F&amp;'5) Release_Track'!$G:$G,1,0))),vlookup($A575&amp;$B575,{'5) Release_Track'!$F:$F&amp;'5) Release_Track'!$G:$G,'5) Release_Track'!$H:$H},2,0), or(and(not(isblank($B575)),$B575=$B574,$A575&lt;&gt;$A574),and(not(isblank($A575)),$A575=$A574,$B575&lt;&gt;$B574)),"ID LISTS UNALIGNED",and($A575&lt;&gt;"",countif('5) Release_Track'!$F:$F,$A575)=0),"NO ISRC MATCH in Release_Track",and($B575&lt;&gt;"",countif('5) Release_Track'!$G:$G,$B575)=0),"NO CATALOG ID MATCH in Release_Track",iserror(vlookup($A575&amp;$B575,'5) Release_Track'!$F:$F&amp;'5) Release_Track'!$G:$G,1,0)),"NO ISRC-CATALOG ID pair MATCH in Release_Track" )</f>
        <v/>
      </c>
      <c r="D575" s="121" t="str">
        <f t="array" ref="D575">ifs(and(isblank($A575),isblank($B575)),"", not(iserror(vlookup($A575&amp;$B575,'5) Release_Track'!$F:$F&amp;'5) Release_Track'!$G:$G,1,0))),vlookup($A575&amp;$B575,{'5) Release_Track'!$F:$F&amp;'5) Release_Track'!$G:$G,'5) Release_Track'!$I:$I},2,0), or(and(not(isblank($B575)),$B575=$B574,$A575&lt;&gt;$A574),and(not(isblank($A575)),$A575=$A574,$B575&lt;&gt;$B574)),"ID LISTS UNALIGNED",and($A575&lt;&gt;"",countif('5) Release_Track'!$F:$F,$A575)=0),"NO ISRC MATCH in Release_Track",and($B575&lt;&gt;"",countif('5) Release_Track'!$G:$G,$B575)=0),"NO CATALOG ID MATCH in Release_Track",iserror(vlookup($A575&amp;$B575,'5) Release_Track'!$F:$F&amp;'5) Release_Track'!$G:$G,1,0)),"NO ISRC-CATALOG ID pair MATCH in Release_Track" )</f>
        <v/>
      </c>
      <c r="E575" s="99"/>
      <c r="F575" s="99"/>
      <c r="G575" s="123" t="str">
        <f t="array" ref="G575">ifs(or($F575="",$F575="Main Primary Artist"),$F575,not(iserror(vlookup($F575,'Reference info'!$J$5:$J$8,1,0))),"Key Artist",not(iserror(vlookup($F575,'Reference info'!$J$38:$J$405,1,0))),"Performer",not(iserror(vlookup($F575,'Reference info'!$J$10:$J$36,1,0))),"Producer &amp; Engineer")</f>
        <v/>
      </c>
    </row>
    <row r="576">
      <c r="B576" s="103"/>
      <c r="C576" s="121" t="str">
        <f t="array" ref="C576">ifs(and(isblank($A576),isblank($B576)),"", not(iserror(vlookup($A576&amp;$B576,'5) Release_Track'!$F:$F&amp;'5) Release_Track'!$G:$G,1,0))),vlookup($A576&amp;$B576,{'5) Release_Track'!$F:$F&amp;'5) Release_Track'!$G:$G,'5) Release_Track'!$H:$H},2,0), or(and(not(isblank($B576)),$B576=$B575,$A576&lt;&gt;$A575),and(not(isblank($A576)),$A576=$A575,$B576&lt;&gt;$B575)),"ID LISTS UNALIGNED",and($A576&lt;&gt;"",countif('5) Release_Track'!$F:$F,$A576)=0),"NO ISRC MATCH in Release_Track",and($B576&lt;&gt;"",countif('5) Release_Track'!$G:$G,$B576)=0),"NO CATALOG ID MATCH in Release_Track",iserror(vlookup($A576&amp;$B576,'5) Release_Track'!$F:$F&amp;'5) Release_Track'!$G:$G,1,0)),"NO ISRC-CATALOG ID pair MATCH in Release_Track" )</f>
        <v/>
      </c>
      <c r="D576" s="121" t="str">
        <f t="array" ref="D576">ifs(and(isblank($A576),isblank($B576)),"", not(iserror(vlookup($A576&amp;$B576,'5) Release_Track'!$F:$F&amp;'5) Release_Track'!$G:$G,1,0))),vlookup($A576&amp;$B576,{'5) Release_Track'!$F:$F&amp;'5) Release_Track'!$G:$G,'5) Release_Track'!$I:$I},2,0), or(and(not(isblank($B576)),$B576=$B575,$A576&lt;&gt;$A575),and(not(isblank($A576)),$A576=$A575,$B576&lt;&gt;$B575)),"ID LISTS UNALIGNED",and($A576&lt;&gt;"",countif('5) Release_Track'!$F:$F,$A576)=0),"NO ISRC MATCH in Release_Track",and($B576&lt;&gt;"",countif('5) Release_Track'!$G:$G,$B576)=0),"NO CATALOG ID MATCH in Release_Track",iserror(vlookup($A576&amp;$B576,'5) Release_Track'!$F:$F&amp;'5) Release_Track'!$G:$G,1,0)),"NO ISRC-CATALOG ID pair MATCH in Release_Track" )</f>
        <v/>
      </c>
      <c r="E576" s="99"/>
      <c r="F576" s="99"/>
      <c r="G576" s="123" t="str">
        <f t="array" ref="G576">ifs(or($F576="",$F576="Main Primary Artist"),$F576,not(iserror(vlookup($F576,'Reference info'!$J$5:$J$8,1,0))),"Key Artist",not(iserror(vlookup($F576,'Reference info'!$J$38:$J$405,1,0))),"Performer",not(iserror(vlookup($F576,'Reference info'!$J$10:$J$36,1,0))),"Producer &amp; Engineer")</f>
        <v/>
      </c>
    </row>
    <row r="577">
      <c r="B577" s="103"/>
      <c r="C577" s="121" t="str">
        <f t="array" ref="C577">ifs(and(isblank($A577),isblank($B577)),"", not(iserror(vlookup($A577&amp;$B577,'5) Release_Track'!$F:$F&amp;'5) Release_Track'!$G:$G,1,0))),vlookup($A577&amp;$B577,{'5) Release_Track'!$F:$F&amp;'5) Release_Track'!$G:$G,'5) Release_Track'!$H:$H},2,0), or(and(not(isblank($B577)),$B577=$B576,$A577&lt;&gt;$A576),and(not(isblank($A577)),$A577=$A576,$B577&lt;&gt;$B576)),"ID LISTS UNALIGNED",and($A577&lt;&gt;"",countif('5) Release_Track'!$F:$F,$A577)=0),"NO ISRC MATCH in Release_Track",and($B577&lt;&gt;"",countif('5) Release_Track'!$G:$G,$B577)=0),"NO CATALOG ID MATCH in Release_Track",iserror(vlookup($A577&amp;$B577,'5) Release_Track'!$F:$F&amp;'5) Release_Track'!$G:$G,1,0)),"NO ISRC-CATALOG ID pair MATCH in Release_Track" )</f>
        <v/>
      </c>
      <c r="D577" s="121" t="str">
        <f t="array" ref="D577">ifs(and(isblank($A577),isblank($B577)),"", not(iserror(vlookup($A577&amp;$B577,'5) Release_Track'!$F:$F&amp;'5) Release_Track'!$G:$G,1,0))),vlookup($A577&amp;$B577,{'5) Release_Track'!$F:$F&amp;'5) Release_Track'!$G:$G,'5) Release_Track'!$I:$I},2,0), or(and(not(isblank($B577)),$B577=$B576,$A577&lt;&gt;$A576),and(not(isblank($A577)),$A577=$A576,$B577&lt;&gt;$B576)),"ID LISTS UNALIGNED",and($A577&lt;&gt;"",countif('5) Release_Track'!$F:$F,$A577)=0),"NO ISRC MATCH in Release_Track",and($B577&lt;&gt;"",countif('5) Release_Track'!$G:$G,$B577)=0),"NO CATALOG ID MATCH in Release_Track",iserror(vlookup($A577&amp;$B577,'5) Release_Track'!$F:$F&amp;'5) Release_Track'!$G:$G,1,0)),"NO ISRC-CATALOG ID pair MATCH in Release_Track" )</f>
        <v/>
      </c>
      <c r="E577" s="99"/>
      <c r="F577" s="99"/>
      <c r="G577" s="123" t="str">
        <f t="array" ref="G577">ifs(or($F577="",$F577="Main Primary Artist"),$F577,not(iserror(vlookup($F577,'Reference info'!$J$5:$J$8,1,0))),"Key Artist",not(iserror(vlookup($F577,'Reference info'!$J$38:$J$405,1,0))),"Performer",not(iserror(vlookup($F577,'Reference info'!$J$10:$J$36,1,0))),"Producer &amp; Engineer")</f>
        <v/>
      </c>
    </row>
    <row r="578">
      <c r="B578" s="103"/>
      <c r="C578" s="121" t="str">
        <f t="array" ref="C578">ifs(and(isblank($A578),isblank($B578)),"", not(iserror(vlookup($A578&amp;$B578,'5) Release_Track'!$F:$F&amp;'5) Release_Track'!$G:$G,1,0))),vlookup($A578&amp;$B578,{'5) Release_Track'!$F:$F&amp;'5) Release_Track'!$G:$G,'5) Release_Track'!$H:$H},2,0), or(and(not(isblank($B578)),$B578=$B577,$A578&lt;&gt;$A577),and(not(isblank($A578)),$A578=$A577,$B578&lt;&gt;$B577)),"ID LISTS UNALIGNED",and($A578&lt;&gt;"",countif('5) Release_Track'!$F:$F,$A578)=0),"NO ISRC MATCH in Release_Track",and($B578&lt;&gt;"",countif('5) Release_Track'!$G:$G,$B578)=0),"NO CATALOG ID MATCH in Release_Track",iserror(vlookup($A578&amp;$B578,'5) Release_Track'!$F:$F&amp;'5) Release_Track'!$G:$G,1,0)),"NO ISRC-CATALOG ID pair MATCH in Release_Track" )</f>
        <v/>
      </c>
      <c r="D578" s="121" t="str">
        <f t="array" ref="D578">ifs(and(isblank($A578),isblank($B578)),"", not(iserror(vlookup($A578&amp;$B578,'5) Release_Track'!$F:$F&amp;'5) Release_Track'!$G:$G,1,0))),vlookup($A578&amp;$B578,{'5) Release_Track'!$F:$F&amp;'5) Release_Track'!$G:$G,'5) Release_Track'!$I:$I},2,0), or(and(not(isblank($B578)),$B578=$B577,$A578&lt;&gt;$A577),and(not(isblank($A578)),$A578=$A577,$B578&lt;&gt;$B577)),"ID LISTS UNALIGNED",and($A578&lt;&gt;"",countif('5) Release_Track'!$F:$F,$A578)=0),"NO ISRC MATCH in Release_Track",and($B578&lt;&gt;"",countif('5) Release_Track'!$G:$G,$B578)=0),"NO CATALOG ID MATCH in Release_Track",iserror(vlookup($A578&amp;$B578,'5) Release_Track'!$F:$F&amp;'5) Release_Track'!$G:$G,1,0)),"NO ISRC-CATALOG ID pair MATCH in Release_Track" )</f>
        <v/>
      </c>
      <c r="E578" s="99"/>
      <c r="F578" s="99"/>
      <c r="G578" s="123" t="str">
        <f t="array" ref="G578">ifs(or($F578="",$F578="Main Primary Artist"),$F578,not(iserror(vlookup($F578,'Reference info'!$J$5:$J$8,1,0))),"Key Artist",not(iserror(vlookup($F578,'Reference info'!$J$38:$J$405,1,0))),"Performer",not(iserror(vlookup($F578,'Reference info'!$J$10:$J$36,1,0))),"Producer &amp; Engineer")</f>
        <v/>
      </c>
    </row>
    <row r="579">
      <c r="B579" s="103"/>
      <c r="C579" s="121" t="str">
        <f t="array" ref="C579">ifs(and(isblank($A579),isblank($B579)),"", not(iserror(vlookup($A579&amp;$B579,'5) Release_Track'!$F:$F&amp;'5) Release_Track'!$G:$G,1,0))),vlookup($A579&amp;$B579,{'5) Release_Track'!$F:$F&amp;'5) Release_Track'!$G:$G,'5) Release_Track'!$H:$H},2,0), or(and(not(isblank($B579)),$B579=$B578,$A579&lt;&gt;$A578),and(not(isblank($A579)),$A579=$A578,$B579&lt;&gt;$B578)),"ID LISTS UNALIGNED",and($A579&lt;&gt;"",countif('5) Release_Track'!$F:$F,$A579)=0),"NO ISRC MATCH in Release_Track",and($B579&lt;&gt;"",countif('5) Release_Track'!$G:$G,$B579)=0),"NO CATALOG ID MATCH in Release_Track",iserror(vlookup($A579&amp;$B579,'5) Release_Track'!$F:$F&amp;'5) Release_Track'!$G:$G,1,0)),"NO ISRC-CATALOG ID pair MATCH in Release_Track" )</f>
        <v/>
      </c>
      <c r="D579" s="121" t="str">
        <f t="array" ref="D579">ifs(and(isblank($A579),isblank($B579)),"", not(iserror(vlookup($A579&amp;$B579,'5) Release_Track'!$F:$F&amp;'5) Release_Track'!$G:$G,1,0))),vlookup($A579&amp;$B579,{'5) Release_Track'!$F:$F&amp;'5) Release_Track'!$G:$G,'5) Release_Track'!$I:$I},2,0), or(and(not(isblank($B579)),$B579=$B578,$A579&lt;&gt;$A578),and(not(isblank($A579)),$A579=$A578,$B579&lt;&gt;$B578)),"ID LISTS UNALIGNED",and($A579&lt;&gt;"",countif('5) Release_Track'!$F:$F,$A579)=0),"NO ISRC MATCH in Release_Track",and($B579&lt;&gt;"",countif('5) Release_Track'!$G:$G,$B579)=0),"NO CATALOG ID MATCH in Release_Track",iserror(vlookup($A579&amp;$B579,'5) Release_Track'!$F:$F&amp;'5) Release_Track'!$G:$G,1,0)),"NO ISRC-CATALOG ID pair MATCH in Release_Track" )</f>
        <v/>
      </c>
      <c r="E579" s="99"/>
      <c r="F579" s="99"/>
      <c r="G579" s="123" t="str">
        <f t="array" ref="G579">ifs(or($F579="",$F579="Main Primary Artist"),$F579,not(iserror(vlookup($F579,'Reference info'!$J$5:$J$8,1,0))),"Key Artist",not(iserror(vlookup($F579,'Reference info'!$J$38:$J$405,1,0))),"Performer",not(iserror(vlookup($F579,'Reference info'!$J$10:$J$36,1,0))),"Producer &amp; Engineer")</f>
        <v/>
      </c>
    </row>
    <row r="580">
      <c r="B580" s="103"/>
      <c r="C580" s="121" t="str">
        <f t="array" ref="C580">ifs(and(isblank($A580),isblank($B580)),"", not(iserror(vlookup($A580&amp;$B580,'5) Release_Track'!$F:$F&amp;'5) Release_Track'!$G:$G,1,0))),vlookup($A580&amp;$B580,{'5) Release_Track'!$F:$F&amp;'5) Release_Track'!$G:$G,'5) Release_Track'!$H:$H},2,0), or(and(not(isblank($B580)),$B580=$B579,$A580&lt;&gt;$A579),and(not(isblank($A580)),$A580=$A579,$B580&lt;&gt;$B579)),"ID LISTS UNALIGNED",and($A580&lt;&gt;"",countif('5) Release_Track'!$F:$F,$A580)=0),"NO ISRC MATCH in Release_Track",and($B580&lt;&gt;"",countif('5) Release_Track'!$G:$G,$B580)=0),"NO CATALOG ID MATCH in Release_Track",iserror(vlookup($A580&amp;$B580,'5) Release_Track'!$F:$F&amp;'5) Release_Track'!$G:$G,1,0)),"NO ISRC-CATALOG ID pair MATCH in Release_Track" )</f>
        <v/>
      </c>
      <c r="D580" s="121" t="str">
        <f t="array" ref="D580">ifs(and(isblank($A580),isblank($B580)),"", not(iserror(vlookup($A580&amp;$B580,'5) Release_Track'!$F:$F&amp;'5) Release_Track'!$G:$G,1,0))),vlookup($A580&amp;$B580,{'5) Release_Track'!$F:$F&amp;'5) Release_Track'!$G:$G,'5) Release_Track'!$I:$I},2,0), or(and(not(isblank($B580)),$B580=$B579,$A580&lt;&gt;$A579),and(not(isblank($A580)),$A580=$A579,$B580&lt;&gt;$B579)),"ID LISTS UNALIGNED",and($A580&lt;&gt;"",countif('5) Release_Track'!$F:$F,$A580)=0),"NO ISRC MATCH in Release_Track",and($B580&lt;&gt;"",countif('5) Release_Track'!$G:$G,$B580)=0),"NO CATALOG ID MATCH in Release_Track",iserror(vlookup($A580&amp;$B580,'5) Release_Track'!$F:$F&amp;'5) Release_Track'!$G:$G,1,0)),"NO ISRC-CATALOG ID pair MATCH in Release_Track" )</f>
        <v/>
      </c>
      <c r="E580" s="99"/>
      <c r="F580" s="99"/>
      <c r="G580" s="123" t="str">
        <f t="array" ref="G580">ifs(or($F580="",$F580="Main Primary Artist"),$F580,not(iserror(vlookup($F580,'Reference info'!$J$5:$J$8,1,0))),"Key Artist",not(iserror(vlookup($F580,'Reference info'!$J$38:$J$405,1,0))),"Performer",not(iserror(vlookup($F580,'Reference info'!$J$10:$J$36,1,0))),"Producer &amp; Engineer")</f>
        <v/>
      </c>
    </row>
    <row r="581">
      <c r="B581" s="103"/>
      <c r="C581" s="121" t="str">
        <f t="array" ref="C581">ifs(and(isblank($A581),isblank($B581)),"", not(iserror(vlookup($A581&amp;$B581,'5) Release_Track'!$F:$F&amp;'5) Release_Track'!$G:$G,1,0))),vlookup($A581&amp;$B581,{'5) Release_Track'!$F:$F&amp;'5) Release_Track'!$G:$G,'5) Release_Track'!$H:$H},2,0), or(and(not(isblank($B581)),$B581=$B580,$A581&lt;&gt;$A580),and(not(isblank($A581)),$A581=$A580,$B581&lt;&gt;$B580)),"ID LISTS UNALIGNED",and($A581&lt;&gt;"",countif('5) Release_Track'!$F:$F,$A581)=0),"NO ISRC MATCH in Release_Track",and($B581&lt;&gt;"",countif('5) Release_Track'!$G:$G,$B581)=0),"NO CATALOG ID MATCH in Release_Track",iserror(vlookup($A581&amp;$B581,'5) Release_Track'!$F:$F&amp;'5) Release_Track'!$G:$G,1,0)),"NO ISRC-CATALOG ID pair MATCH in Release_Track" )</f>
        <v/>
      </c>
      <c r="D581" s="121" t="str">
        <f t="array" ref="D581">ifs(and(isblank($A581),isblank($B581)),"", not(iserror(vlookup($A581&amp;$B581,'5) Release_Track'!$F:$F&amp;'5) Release_Track'!$G:$G,1,0))),vlookup($A581&amp;$B581,{'5) Release_Track'!$F:$F&amp;'5) Release_Track'!$G:$G,'5) Release_Track'!$I:$I},2,0), or(and(not(isblank($B581)),$B581=$B580,$A581&lt;&gt;$A580),and(not(isblank($A581)),$A581=$A580,$B581&lt;&gt;$B580)),"ID LISTS UNALIGNED",and($A581&lt;&gt;"",countif('5) Release_Track'!$F:$F,$A581)=0),"NO ISRC MATCH in Release_Track",and($B581&lt;&gt;"",countif('5) Release_Track'!$G:$G,$B581)=0),"NO CATALOG ID MATCH in Release_Track",iserror(vlookup($A581&amp;$B581,'5) Release_Track'!$F:$F&amp;'5) Release_Track'!$G:$G,1,0)),"NO ISRC-CATALOG ID pair MATCH in Release_Track" )</f>
        <v/>
      </c>
      <c r="E581" s="99"/>
      <c r="F581" s="99"/>
      <c r="G581" s="123" t="str">
        <f t="array" ref="G581">ifs(or($F581="",$F581="Main Primary Artist"),$F581,not(iserror(vlookup($F581,'Reference info'!$J$5:$J$8,1,0))),"Key Artist",not(iserror(vlookup($F581,'Reference info'!$J$38:$J$405,1,0))),"Performer",not(iserror(vlookup($F581,'Reference info'!$J$10:$J$36,1,0))),"Producer &amp; Engineer")</f>
        <v/>
      </c>
    </row>
    <row r="582">
      <c r="B582" s="103"/>
      <c r="C582" s="121" t="str">
        <f t="array" ref="C582">ifs(and(isblank($A582),isblank($B582)),"", not(iserror(vlookup($A582&amp;$B582,'5) Release_Track'!$F:$F&amp;'5) Release_Track'!$G:$G,1,0))),vlookup($A582&amp;$B582,{'5) Release_Track'!$F:$F&amp;'5) Release_Track'!$G:$G,'5) Release_Track'!$H:$H},2,0), or(and(not(isblank($B582)),$B582=$B581,$A582&lt;&gt;$A581),and(not(isblank($A582)),$A582=$A581,$B582&lt;&gt;$B581)),"ID LISTS UNALIGNED",and($A582&lt;&gt;"",countif('5) Release_Track'!$F:$F,$A582)=0),"NO ISRC MATCH in Release_Track",and($B582&lt;&gt;"",countif('5) Release_Track'!$G:$G,$B582)=0),"NO CATALOG ID MATCH in Release_Track",iserror(vlookup($A582&amp;$B582,'5) Release_Track'!$F:$F&amp;'5) Release_Track'!$G:$G,1,0)),"NO ISRC-CATALOG ID pair MATCH in Release_Track" )</f>
        <v/>
      </c>
      <c r="D582" s="121" t="str">
        <f t="array" ref="D582">ifs(and(isblank($A582),isblank($B582)),"", not(iserror(vlookup($A582&amp;$B582,'5) Release_Track'!$F:$F&amp;'5) Release_Track'!$G:$G,1,0))),vlookup($A582&amp;$B582,{'5) Release_Track'!$F:$F&amp;'5) Release_Track'!$G:$G,'5) Release_Track'!$I:$I},2,0), or(and(not(isblank($B582)),$B582=$B581,$A582&lt;&gt;$A581),and(not(isblank($A582)),$A582=$A581,$B582&lt;&gt;$B581)),"ID LISTS UNALIGNED",and($A582&lt;&gt;"",countif('5) Release_Track'!$F:$F,$A582)=0),"NO ISRC MATCH in Release_Track",and($B582&lt;&gt;"",countif('5) Release_Track'!$G:$G,$B582)=0),"NO CATALOG ID MATCH in Release_Track",iserror(vlookup($A582&amp;$B582,'5) Release_Track'!$F:$F&amp;'5) Release_Track'!$G:$G,1,0)),"NO ISRC-CATALOG ID pair MATCH in Release_Track" )</f>
        <v/>
      </c>
      <c r="E582" s="99"/>
      <c r="F582" s="99"/>
      <c r="G582" s="123" t="str">
        <f t="array" ref="G582">ifs(or($F582="",$F582="Main Primary Artist"),$F582,not(iserror(vlookup($F582,'Reference info'!$J$5:$J$8,1,0))),"Key Artist",not(iserror(vlookup($F582,'Reference info'!$J$38:$J$405,1,0))),"Performer",not(iserror(vlookup($F582,'Reference info'!$J$10:$J$36,1,0))),"Producer &amp; Engineer")</f>
        <v/>
      </c>
    </row>
    <row r="583">
      <c r="B583" s="103"/>
      <c r="C583" s="121" t="str">
        <f t="array" ref="C583">ifs(and(isblank($A583),isblank($B583)),"", not(iserror(vlookup($A583&amp;$B583,'5) Release_Track'!$F:$F&amp;'5) Release_Track'!$G:$G,1,0))),vlookup($A583&amp;$B583,{'5) Release_Track'!$F:$F&amp;'5) Release_Track'!$G:$G,'5) Release_Track'!$H:$H},2,0), or(and(not(isblank($B583)),$B583=$B582,$A583&lt;&gt;$A582),and(not(isblank($A583)),$A583=$A582,$B583&lt;&gt;$B582)),"ID LISTS UNALIGNED",and($A583&lt;&gt;"",countif('5) Release_Track'!$F:$F,$A583)=0),"NO ISRC MATCH in Release_Track",and($B583&lt;&gt;"",countif('5) Release_Track'!$G:$G,$B583)=0),"NO CATALOG ID MATCH in Release_Track",iserror(vlookup($A583&amp;$B583,'5) Release_Track'!$F:$F&amp;'5) Release_Track'!$G:$G,1,0)),"NO ISRC-CATALOG ID pair MATCH in Release_Track" )</f>
        <v/>
      </c>
      <c r="D583" s="121" t="str">
        <f t="array" ref="D583">ifs(and(isblank($A583),isblank($B583)),"", not(iserror(vlookup($A583&amp;$B583,'5) Release_Track'!$F:$F&amp;'5) Release_Track'!$G:$G,1,0))),vlookup($A583&amp;$B583,{'5) Release_Track'!$F:$F&amp;'5) Release_Track'!$G:$G,'5) Release_Track'!$I:$I},2,0), or(and(not(isblank($B583)),$B583=$B582,$A583&lt;&gt;$A582),and(not(isblank($A583)),$A583=$A582,$B583&lt;&gt;$B582)),"ID LISTS UNALIGNED",and($A583&lt;&gt;"",countif('5) Release_Track'!$F:$F,$A583)=0),"NO ISRC MATCH in Release_Track",and($B583&lt;&gt;"",countif('5) Release_Track'!$G:$G,$B583)=0),"NO CATALOG ID MATCH in Release_Track",iserror(vlookup($A583&amp;$B583,'5) Release_Track'!$F:$F&amp;'5) Release_Track'!$G:$G,1,0)),"NO ISRC-CATALOG ID pair MATCH in Release_Track" )</f>
        <v/>
      </c>
      <c r="E583" s="99"/>
      <c r="F583" s="99"/>
      <c r="G583" s="123" t="str">
        <f t="array" ref="G583">ifs(or($F583="",$F583="Main Primary Artist"),$F583,not(iserror(vlookup($F583,'Reference info'!$J$5:$J$8,1,0))),"Key Artist",not(iserror(vlookup($F583,'Reference info'!$J$38:$J$405,1,0))),"Performer",not(iserror(vlookup($F583,'Reference info'!$J$10:$J$36,1,0))),"Producer &amp; Engineer")</f>
        <v/>
      </c>
    </row>
    <row r="584">
      <c r="B584" s="103"/>
      <c r="C584" s="121" t="str">
        <f t="array" ref="C584">ifs(and(isblank($A584),isblank($B584)),"", not(iserror(vlookup($A584&amp;$B584,'5) Release_Track'!$F:$F&amp;'5) Release_Track'!$G:$G,1,0))),vlookup($A584&amp;$B584,{'5) Release_Track'!$F:$F&amp;'5) Release_Track'!$G:$G,'5) Release_Track'!$H:$H},2,0), or(and(not(isblank($B584)),$B584=$B583,$A584&lt;&gt;$A583),and(not(isblank($A584)),$A584=$A583,$B584&lt;&gt;$B583)),"ID LISTS UNALIGNED",and($A584&lt;&gt;"",countif('5) Release_Track'!$F:$F,$A584)=0),"NO ISRC MATCH in Release_Track",and($B584&lt;&gt;"",countif('5) Release_Track'!$G:$G,$B584)=0),"NO CATALOG ID MATCH in Release_Track",iserror(vlookup($A584&amp;$B584,'5) Release_Track'!$F:$F&amp;'5) Release_Track'!$G:$G,1,0)),"NO ISRC-CATALOG ID pair MATCH in Release_Track" )</f>
        <v/>
      </c>
      <c r="D584" s="121" t="str">
        <f t="array" ref="D584">ifs(and(isblank($A584),isblank($B584)),"", not(iserror(vlookup($A584&amp;$B584,'5) Release_Track'!$F:$F&amp;'5) Release_Track'!$G:$G,1,0))),vlookup($A584&amp;$B584,{'5) Release_Track'!$F:$F&amp;'5) Release_Track'!$G:$G,'5) Release_Track'!$I:$I},2,0), or(and(not(isblank($B584)),$B584=$B583,$A584&lt;&gt;$A583),and(not(isblank($A584)),$A584=$A583,$B584&lt;&gt;$B583)),"ID LISTS UNALIGNED",and($A584&lt;&gt;"",countif('5) Release_Track'!$F:$F,$A584)=0),"NO ISRC MATCH in Release_Track",and($B584&lt;&gt;"",countif('5) Release_Track'!$G:$G,$B584)=0),"NO CATALOG ID MATCH in Release_Track",iserror(vlookup($A584&amp;$B584,'5) Release_Track'!$F:$F&amp;'5) Release_Track'!$G:$G,1,0)),"NO ISRC-CATALOG ID pair MATCH in Release_Track" )</f>
        <v/>
      </c>
      <c r="E584" s="99"/>
      <c r="F584" s="99"/>
      <c r="G584" s="123" t="str">
        <f t="array" ref="G584">ifs(or($F584="",$F584="Main Primary Artist"),$F584,not(iserror(vlookup($F584,'Reference info'!$J$5:$J$8,1,0))),"Key Artist",not(iserror(vlookup($F584,'Reference info'!$J$38:$J$405,1,0))),"Performer",not(iserror(vlookup($F584,'Reference info'!$J$10:$J$36,1,0))),"Producer &amp; Engineer")</f>
        <v/>
      </c>
    </row>
    <row r="585">
      <c r="B585" s="103"/>
      <c r="C585" s="121" t="str">
        <f t="array" ref="C585">ifs(and(isblank($A585),isblank($B585)),"", not(iserror(vlookup($A585&amp;$B585,'5) Release_Track'!$F:$F&amp;'5) Release_Track'!$G:$G,1,0))),vlookup($A585&amp;$B585,{'5) Release_Track'!$F:$F&amp;'5) Release_Track'!$G:$G,'5) Release_Track'!$H:$H},2,0), or(and(not(isblank($B585)),$B585=$B584,$A585&lt;&gt;$A584),and(not(isblank($A585)),$A585=$A584,$B585&lt;&gt;$B584)),"ID LISTS UNALIGNED",and($A585&lt;&gt;"",countif('5) Release_Track'!$F:$F,$A585)=0),"NO ISRC MATCH in Release_Track",and($B585&lt;&gt;"",countif('5) Release_Track'!$G:$G,$B585)=0),"NO CATALOG ID MATCH in Release_Track",iserror(vlookup($A585&amp;$B585,'5) Release_Track'!$F:$F&amp;'5) Release_Track'!$G:$G,1,0)),"NO ISRC-CATALOG ID pair MATCH in Release_Track" )</f>
        <v/>
      </c>
      <c r="D585" s="121" t="str">
        <f t="array" ref="D585">ifs(and(isblank($A585),isblank($B585)),"", not(iserror(vlookup($A585&amp;$B585,'5) Release_Track'!$F:$F&amp;'5) Release_Track'!$G:$G,1,0))),vlookup($A585&amp;$B585,{'5) Release_Track'!$F:$F&amp;'5) Release_Track'!$G:$G,'5) Release_Track'!$I:$I},2,0), or(and(not(isblank($B585)),$B585=$B584,$A585&lt;&gt;$A584),and(not(isblank($A585)),$A585=$A584,$B585&lt;&gt;$B584)),"ID LISTS UNALIGNED",and($A585&lt;&gt;"",countif('5) Release_Track'!$F:$F,$A585)=0),"NO ISRC MATCH in Release_Track",and($B585&lt;&gt;"",countif('5) Release_Track'!$G:$G,$B585)=0),"NO CATALOG ID MATCH in Release_Track",iserror(vlookup($A585&amp;$B585,'5) Release_Track'!$F:$F&amp;'5) Release_Track'!$G:$G,1,0)),"NO ISRC-CATALOG ID pair MATCH in Release_Track" )</f>
        <v/>
      </c>
      <c r="E585" s="99"/>
      <c r="F585" s="99"/>
      <c r="G585" s="123" t="str">
        <f t="array" ref="G585">ifs(or($F585="",$F585="Main Primary Artist"),$F585,not(iserror(vlookup($F585,'Reference info'!$J$5:$J$8,1,0))),"Key Artist",not(iserror(vlookup($F585,'Reference info'!$J$38:$J$405,1,0))),"Performer",not(iserror(vlookup($F585,'Reference info'!$J$10:$J$36,1,0))),"Producer &amp; Engineer")</f>
        <v/>
      </c>
    </row>
    <row r="586">
      <c r="B586" s="103"/>
      <c r="C586" s="121" t="str">
        <f t="array" ref="C586">ifs(and(isblank($A586),isblank($B586)),"", not(iserror(vlookup($A586&amp;$B586,'5) Release_Track'!$F:$F&amp;'5) Release_Track'!$G:$G,1,0))),vlookup($A586&amp;$B586,{'5) Release_Track'!$F:$F&amp;'5) Release_Track'!$G:$G,'5) Release_Track'!$H:$H},2,0), or(and(not(isblank($B586)),$B586=$B585,$A586&lt;&gt;$A585),and(not(isblank($A586)),$A586=$A585,$B586&lt;&gt;$B585)),"ID LISTS UNALIGNED",and($A586&lt;&gt;"",countif('5) Release_Track'!$F:$F,$A586)=0),"NO ISRC MATCH in Release_Track",and($B586&lt;&gt;"",countif('5) Release_Track'!$G:$G,$B586)=0),"NO CATALOG ID MATCH in Release_Track",iserror(vlookup($A586&amp;$B586,'5) Release_Track'!$F:$F&amp;'5) Release_Track'!$G:$G,1,0)),"NO ISRC-CATALOG ID pair MATCH in Release_Track" )</f>
        <v/>
      </c>
      <c r="D586" s="121" t="str">
        <f t="array" ref="D586">ifs(and(isblank($A586),isblank($B586)),"", not(iserror(vlookup($A586&amp;$B586,'5) Release_Track'!$F:$F&amp;'5) Release_Track'!$G:$G,1,0))),vlookup($A586&amp;$B586,{'5) Release_Track'!$F:$F&amp;'5) Release_Track'!$G:$G,'5) Release_Track'!$I:$I},2,0), or(and(not(isblank($B586)),$B586=$B585,$A586&lt;&gt;$A585),and(not(isblank($A586)),$A586=$A585,$B586&lt;&gt;$B585)),"ID LISTS UNALIGNED",and($A586&lt;&gt;"",countif('5) Release_Track'!$F:$F,$A586)=0),"NO ISRC MATCH in Release_Track",and($B586&lt;&gt;"",countif('5) Release_Track'!$G:$G,$B586)=0),"NO CATALOG ID MATCH in Release_Track",iserror(vlookup($A586&amp;$B586,'5) Release_Track'!$F:$F&amp;'5) Release_Track'!$G:$G,1,0)),"NO ISRC-CATALOG ID pair MATCH in Release_Track" )</f>
        <v/>
      </c>
      <c r="E586" s="99"/>
      <c r="F586" s="99"/>
      <c r="G586" s="123" t="str">
        <f t="array" ref="G586">ifs(or($F586="",$F586="Main Primary Artist"),$F586,not(iserror(vlookup($F586,'Reference info'!$J$5:$J$8,1,0))),"Key Artist",not(iserror(vlookup($F586,'Reference info'!$J$38:$J$405,1,0))),"Performer",not(iserror(vlookup($F586,'Reference info'!$J$10:$J$36,1,0))),"Producer &amp; Engineer")</f>
        <v/>
      </c>
    </row>
    <row r="587">
      <c r="B587" s="103"/>
      <c r="C587" s="121" t="str">
        <f t="array" ref="C587">ifs(and(isblank($A587),isblank($B587)),"", not(iserror(vlookup($A587&amp;$B587,'5) Release_Track'!$F:$F&amp;'5) Release_Track'!$G:$G,1,0))),vlookup($A587&amp;$B587,{'5) Release_Track'!$F:$F&amp;'5) Release_Track'!$G:$G,'5) Release_Track'!$H:$H},2,0), or(and(not(isblank($B587)),$B587=$B586,$A587&lt;&gt;$A586),and(not(isblank($A587)),$A587=$A586,$B587&lt;&gt;$B586)),"ID LISTS UNALIGNED",and($A587&lt;&gt;"",countif('5) Release_Track'!$F:$F,$A587)=0),"NO ISRC MATCH in Release_Track",and($B587&lt;&gt;"",countif('5) Release_Track'!$G:$G,$B587)=0),"NO CATALOG ID MATCH in Release_Track",iserror(vlookup($A587&amp;$B587,'5) Release_Track'!$F:$F&amp;'5) Release_Track'!$G:$G,1,0)),"NO ISRC-CATALOG ID pair MATCH in Release_Track" )</f>
        <v/>
      </c>
      <c r="D587" s="121" t="str">
        <f t="array" ref="D587">ifs(and(isblank($A587),isblank($B587)),"", not(iserror(vlookup($A587&amp;$B587,'5) Release_Track'!$F:$F&amp;'5) Release_Track'!$G:$G,1,0))),vlookup($A587&amp;$B587,{'5) Release_Track'!$F:$F&amp;'5) Release_Track'!$G:$G,'5) Release_Track'!$I:$I},2,0), or(and(not(isblank($B587)),$B587=$B586,$A587&lt;&gt;$A586),and(not(isblank($A587)),$A587=$A586,$B587&lt;&gt;$B586)),"ID LISTS UNALIGNED",and($A587&lt;&gt;"",countif('5) Release_Track'!$F:$F,$A587)=0),"NO ISRC MATCH in Release_Track",and($B587&lt;&gt;"",countif('5) Release_Track'!$G:$G,$B587)=0),"NO CATALOG ID MATCH in Release_Track",iserror(vlookup($A587&amp;$B587,'5) Release_Track'!$F:$F&amp;'5) Release_Track'!$G:$G,1,0)),"NO ISRC-CATALOG ID pair MATCH in Release_Track" )</f>
        <v/>
      </c>
      <c r="E587" s="99"/>
      <c r="F587" s="99"/>
      <c r="G587" s="123" t="str">
        <f t="array" ref="G587">ifs(or($F587="",$F587="Main Primary Artist"),$F587,not(iserror(vlookup($F587,'Reference info'!$J$5:$J$8,1,0))),"Key Artist",not(iserror(vlookup($F587,'Reference info'!$J$38:$J$405,1,0))),"Performer",not(iserror(vlookup($F587,'Reference info'!$J$10:$J$36,1,0))),"Producer &amp; Engineer")</f>
        <v/>
      </c>
    </row>
    <row r="588">
      <c r="B588" s="103"/>
      <c r="C588" s="121" t="str">
        <f t="array" ref="C588">ifs(and(isblank($A588),isblank($B588)),"", not(iserror(vlookup($A588&amp;$B588,'5) Release_Track'!$F:$F&amp;'5) Release_Track'!$G:$G,1,0))),vlookup($A588&amp;$B588,{'5) Release_Track'!$F:$F&amp;'5) Release_Track'!$G:$G,'5) Release_Track'!$H:$H},2,0), or(and(not(isblank($B588)),$B588=$B587,$A588&lt;&gt;$A587),and(not(isblank($A588)),$A588=$A587,$B588&lt;&gt;$B587)),"ID LISTS UNALIGNED",and($A588&lt;&gt;"",countif('5) Release_Track'!$F:$F,$A588)=0),"NO ISRC MATCH in Release_Track",and($B588&lt;&gt;"",countif('5) Release_Track'!$G:$G,$B588)=0),"NO CATALOG ID MATCH in Release_Track",iserror(vlookup($A588&amp;$B588,'5) Release_Track'!$F:$F&amp;'5) Release_Track'!$G:$G,1,0)),"NO ISRC-CATALOG ID pair MATCH in Release_Track" )</f>
        <v/>
      </c>
      <c r="D588" s="121" t="str">
        <f t="array" ref="D588">ifs(and(isblank($A588),isblank($B588)),"", not(iserror(vlookup($A588&amp;$B588,'5) Release_Track'!$F:$F&amp;'5) Release_Track'!$G:$G,1,0))),vlookup($A588&amp;$B588,{'5) Release_Track'!$F:$F&amp;'5) Release_Track'!$G:$G,'5) Release_Track'!$I:$I},2,0), or(and(not(isblank($B588)),$B588=$B587,$A588&lt;&gt;$A587),and(not(isblank($A588)),$A588=$A587,$B588&lt;&gt;$B587)),"ID LISTS UNALIGNED",and($A588&lt;&gt;"",countif('5) Release_Track'!$F:$F,$A588)=0),"NO ISRC MATCH in Release_Track",and($B588&lt;&gt;"",countif('5) Release_Track'!$G:$G,$B588)=0),"NO CATALOG ID MATCH in Release_Track",iserror(vlookup($A588&amp;$B588,'5) Release_Track'!$F:$F&amp;'5) Release_Track'!$G:$G,1,0)),"NO ISRC-CATALOG ID pair MATCH in Release_Track" )</f>
        <v/>
      </c>
      <c r="E588" s="99"/>
      <c r="F588" s="99"/>
      <c r="G588" s="123" t="str">
        <f t="array" ref="G588">ifs(or($F588="",$F588="Main Primary Artist"),$F588,not(iserror(vlookup($F588,'Reference info'!$J$5:$J$8,1,0))),"Key Artist",not(iserror(vlookup($F588,'Reference info'!$J$38:$J$405,1,0))),"Performer",not(iserror(vlookup($F588,'Reference info'!$J$10:$J$36,1,0))),"Producer &amp; Engineer")</f>
        <v/>
      </c>
    </row>
    <row r="589">
      <c r="B589" s="103"/>
      <c r="C589" s="121" t="str">
        <f t="array" ref="C589">ifs(and(isblank($A589),isblank($B589)),"", not(iserror(vlookup($A589&amp;$B589,'5) Release_Track'!$F:$F&amp;'5) Release_Track'!$G:$G,1,0))),vlookup($A589&amp;$B589,{'5) Release_Track'!$F:$F&amp;'5) Release_Track'!$G:$G,'5) Release_Track'!$H:$H},2,0), or(and(not(isblank($B589)),$B589=$B588,$A589&lt;&gt;$A588),and(not(isblank($A589)),$A589=$A588,$B589&lt;&gt;$B588)),"ID LISTS UNALIGNED",and($A589&lt;&gt;"",countif('5) Release_Track'!$F:$F,$A589)=0),"NO ISRC MATCH in Release_Track",and($B589&lt;&gt;"",countif('5) Release_Track'!$G:$G,$B589)=0),"NO CATALOG ID MATCH in Release_Track",iserror(vlookup($A589&amp;$B589,'5) Release_Track'!$F:$F&amp;'5) Release_Track'!$G:$G,1,0)),"NO ISRC-CATALOG ID pair MATCH in Release_Track" )</f>
        <v/>
      </c>
      <c r="D589" s="121" t="str">
        <f t="array" ref="D589">ifs(and(isblank($A589),isblank($B589)),"", not(iserror(vlookup($A589&amp;$B589,'5) Release_Track'!$F:$F&amp;'5) Release_Track'!$G:$G,1,0))),vlookup($A589&amp;$B589,{'5) Release_Track'!$F:$F&amp;'5) Release_Track'!$G:$G,'5) Release_Track'!$I:$I},2,0), or(and(not(isblank($B589)),$B589=$B588,$A589&lt;&gt;$A588),and(not(isblank($A589)),$A589=$A588,$B589&lt;&gt;$B588)),"ID LISTS UNALIGNED",and($A589&lt;&gt;"",countif('5) Release_Track'!$F:$F,$A589)=0),"NO ISRC MATCH in Release_Track",and($B589&lt;&gt;"",countif('5) Release_Track'!$G:$G,$B589)=0),"NO CATALOG ID MATCH in Release_Track",iserror(vlookup($A589&amp;$B589,'5) Release_Track'!$F:$F&amp;'5) Release_Track'!$G:$G,1,0)),"NO ISRC-CATALOG ID pair MATCH in Release_Track" )</f>
        <v/>
      </c>
      <c r="E589" s="99"/>
      <c r="F589" s="99"/>
      <c r="G589" s="123" t="str">
        <f t="array" ref="G589">ifs(or($F589="",$F589="Main Primary Artist"),$F589,not(iserror(vlookup($F589,'Reference info'!$J$5:$J$8,1,0))),"Key Artist",not(iserror(vlookup($F589,'Reference info'!$J$38:$J$405,1,0))),"Performer",not(iserror(vlookup($F589,'Reference info'!$J$10:$J$36,1,0))),"Producer &amp; Engineer")</f>
        <v/>
      </c>
    </row>
    <row r="590">
      <c r="B590" s="103"/>
      <c r="C590" s="121" t="str">
        <f t="array" ref="C590">ifs(and(isblank($A590),isblank($B590)),"", not(iserror(vlookup($A590&amp;$B590,'5) Release_Track'!$F:$F&amp;'5) Release_Track'!$G:$G,1,0))),vlookup($A590&amp;$B590,{'5) Release_Track'!$F:$F&amp;'5) Release_Track'!$G:$G,'5) Release_Track'!$H:$H},2,0), or(and(not(isblank($B590)),$B590=$B589,$A590&lt;&gt;$A589),and(not(isblank($A590)),$A590=$A589,$B590&lt;&gt;$B589)),"ID LISTS UNALIGNED",and($A590&lt;&gt;"",countif('5) Release_Track'!$F:$F,$A590)=0),"NO ISRC MATCH in Release_Track",and($B590&lt;&gt;"",countif('5) Release_Track'!$G:$G,$B590)=0),"NO CATALOG ID MATCH in Release_Track",iserror(vlookup($A590&amp;$B590,'5) Release_Track'!$F:$F&amp;'5) Release_Track'!$G:$G,1,0)),"NO ISRC-CATALOG ID pair MATCH in Release_Track" )</f>
        <v/>
      </c>
      <c r="D590" s="121" t="str">
        <f t="array" ref="D590">ifs(and(isblank($A590),isblank($B590)),"", not(iserror(vlookup($A590&amp;$B590,'5) Release_Track'!$F:$F&amp;'5) Release_Track'!$G:$G,1,0))),vlookup($A590&amp;$B590,{'5) Release_Track'!$F:$F&amp;'5) Release_Track'!$G:$G,'5) Release_Track'!$I:$I},2,0), or(and(not(isblank($B590)),$B590=$B589,$A590&lt;&gt;$A589),and(not(isblank($A590)),$A590=$A589,$B590&lt;&gt;$B589)),"ID LISTS UNALIGNED",and($A590&lt;&gt;"",countif('5) Release_Track'!$F:$F,$A590)=0),"NO ISRC MATCH in Release_Track",and($B590&lt;&gt;"",countif('5) Release_Track'!$G:$G,$B590)=0),"NO CATALOG ID MATCH in Release_Track",iserror(vlookup($A590&amp;$B590,'5) Release_Track'!$F:$F&amp;'5) Release_Track'!$G:$G,1,0)),"NO ISRC-CATALOG ID pair MATCH in Release_Track" )</f>
        <v/>
      </c>
      <c r="E590" s="99"/>
      <c r="F590" s="99"/>
      <c r="G590" s="123" t="str">
        <f t="array" ref="G590">ifs(or($F590="",$F590="Main Primary Artist"),$F590,not(iserror(vlookup($F590,'Reference info'!$J$5:$J$8,1,0))),"Key Artist",not(iserror(vlookup($F590,'Reference info'!$J$38:$J$405,1,0))),"Performer",not(iserror(vlookup($F590,'Reference info'!$J$10:$J$36,1,0))),"Producer &amp; Engineer")</f>
        <v/>
      </c>
    </row>
    <row r="591">
      <c r="B591" s="103"/>
      <c r="C591" s="121" t="str">
        <f t="array" ref="C591">ifs(and(isblank($A591),isblank($B591)),"", not(iserror(vlookup($A591&amp;$B591,'5) Release_Track'!$F:$F&amp;'5) Release_Track'!$G:$G,1,0))),vlookup($A591&amp;$B591,{'5) Release_Track'!$F:$F&amp;'5) Release_Track'!$G:$G,'5) Release_Track'!$H:$H},2,0), or(and(not(isblank($B591)),$B591=$B590,$A591&lt;&gt;$A590),and(not(isblank($A591)),$A591=$A590,$B591&lt;&gt;$B590)),"ID LISTS UNALIGNED",and($A591&lt;&gt;"",countif('5) Release_Track'!$F:$F,$A591)=0),"NO ISRC MATCH in Release_Track",and($B591&lt;&gt;"",countif('5) Release_Track'!$G:$G,$B591)=0),"NO CATALOG ID MATCH in Release_Track",iserror(vlookup($A591&amp;$B591,'5) Release_Track'!$F:$F&amp;'5) Release_Track'!$G:$G,1,0)),"NO ISRC-CATALOG ID pair MATCH in Release_Track" )</f>
        <v/>
      </c>
      <c r="D591" s="121" t="str">
        <f t="array" ref="D591">ifs(and(isblank($A591),isblank($B591)),"", not(iserror(vlookup($A591&amp;$B591,'5) Release_Track'!$F:$F&amp;'5) Release_Track'!$G:$G,1,0))),vlookup($A591&amp;$B591,{'5) Release_Track'!$F:$F&amp;'5) Release_Track'!$G:$G,'5) Release_Track'!$I:$I},2,0), or(and(not(isblank($B591)),$B591=$B590,$A591&lt;&gt;$A590),and(not(isblank($A591)),$A591=$A590,$B591&lt;&gt;$B590)),"ID LISTS UNALIGNED",and($A591&lt;&gt;"",countif('5) Release_Track'!$F:$F,$A591)=0),"NO ISRC MATCH in Release_Track",and($B591&lt;&gt;"",countif('5) Release_Track'!$G:$G,$B591)=0),"NO CATALOG ID MATCH in Release_Track",iserror(vlookup($A591&amp;$B591,'5) Release_Track'!$F:$F&amp;'5) Release_Track'!$G:$G,1,0)),"NO ISRC-CATALOG ID pair MATCH in Release_Track" )</f>
        <v/>
      </c>
      <c r="E591" s="99"/>
      <c r="F591" s="99"/>
      <c r="G591" s="123" t="str">
        <f t="array" ref="G591">ifs(or($F591="",$F591="Main Primary Artist"),$F591,not(iserror(vlookup($F591,'Reference info'!$J$5:$J$8,1,0))),"Key Artist",not(iserror(vlookup($F591,'Reference info'!$J$38:$J$405,1,0))),"Performer",not(iserror(vlookup($F591,'Reference info'!$J$10:$J$36,1,0))),"Producer &amp; Engineer")</f>
        <v/>
      </c>
    </row>
    <row r="592">
      <c r="B592" s="103"/>
      <c r="C592" s="121" t="str">
        <f t="array" ref="C592">ifs(and(isblank($A592),isblank($B592)),"", not(iserror(vlookup($A592&amp;$B592,'5) Release_Track'!$F:$F&amp;'5) Release_Track'!$G:$G,1,0))),vlookup($A592&amp;$B592,{'5) Release_Track'!$F:$F&amp;'5) Release_Track'!$G:$G,'5) Release_Track'!$H:$H},2,0), or(and(not(isblank($B592)),$B592=$B591,$A592&lt;&gt;$A591),and(not(isblank($A592)),$A592=$A591,$B592&lt;&gt;$B591)),"ID LISTS UNALIGNED",and($A592&lt;&gt;"",countif('5) Release_Track'!$F:$F,$A592)=0),"NO ISRC MATCH in Release_Track",and($B592&lt;&gt;"",countif('5) Release_Track'!$G:$G,$B592)=0),"NO CATALOG ID MATCH in Release_Track",iserror(vlookup($A592&amp;$B592,'5) Release_Track'!$F:$F&amp;'5) Release_Track'!$G:$G,1,0)),"NO ISRC-CATALOG ID pair MATCH in Release_Track" )</f>
        <v/>
      </c>
      <c r="D592" s="121" t="str">
        <f t="array" ref="D592">ifs(and(isblank($A592),isblank($B592)),"", not(iserror(vlookup($A592&amp;$B592,'5) Release_Track'!$F:$F&amp;'5) Release_Track'!$G:$G,1,0))),vlookup($A592&amp;$B592,{'5) Release_Track'!$F:$F&amp;'5) Release_Track'!$G:$G,'5) Release_Track'!$I:$I},2,0), or(and(not(isblank($B592)),$B592=$B591,$A592&lt;&gt;$A591),and(not(isblank($A592)),$A592=$A591,$B592&lt;&gt;$B591)),"ID LISTS UNALIGNED",and($A592&lt;&gt;"",countif('5) Release_Track'!$F:$F,$A592)=0),"NO ISRC MATCH in Release_Track",and($B592&lt;&gt;"",countif('5) Release_Track'!$G:$G,$B592)=0),"NO CATALOG ID MATCH in Release_Track",iserror(vlookup($A592&amp;$B592,'5) Release_Track'!$F:$F&amp;'5) Release_Track'!$G:$G,1,0)),"NO ISRC-CATALOG ID pair MATCH in Release_Track" )</f>
        <v/>
      </c>
      <c r="E592" s="99"/>
      <c r="F592" s="99"/>
      <c r="G592" s="123" t="str">
        <f t="array" ref="G592">ifs(or($F592="",$F592="Main Primary Artist"),$F592,not(iserror(vlookup($F592,'Reference info'!$J$5:$J$8,1,0))),"Key Artist",not(iserror(vlookup($F592,'Reference info'!$J$38:$J$405,1,0))),"Performer",not(iserror(vlookup($F592,'Reference info'!$J$10:$J$36,1,0))),"Producer &amp; Engineer")</f>
        <v/>
      </c>
    </row>
    <row r="593">
      <c r="B593" s="103"/>
      <c r="C593" s="121" t="str">
        <f t="array" ref="C593">ifs(and(isblank($A593),isblank($B593)),"", not(iserror(vlookup($A593&amp;$B593,'5) Release_Track'!$F:$F&amp;'5) Release_Track'!$G:$G,1,0))),vlookup($A593&amp;$B593,{'5) Release_Track'!$F:$F&amp;'5) Release_Track'!$G:$G,'5) Release_Track'!$H:$H},2,0), or(and(not(isblank($B593)),$B593=$B592,$A593&lt;&gt;$A592),and(not(isblank($A593)),$A593=$A592,$B593&lt;&gt;$B592)),"ID LISTS UNALIGNED",and($A593&lt;&gt;"",countif('5) Release_Track'!$F:$F,$A593)=0),"NO ISRC MATCH in Release_Track",and($B593&lt;&gt;"",countif('5) Release_Track'!$G:$G,$B593)=0),"NO CATALOG ID MATCH in Release_Track",iserror(vlookup($A593&amp;$B593,'5) Release_Track'!$F:$F&amp;'5) Release_Track'!$G:$G,1,0)),"NO ISRC-CATALOG ID pair MATCH in Release_Track" )</f>
        <v/>
      </c>
      <c r="D593" s="121" t="str">
        <f t="array" ref="D593">ifs(and(isblank($A593),isblank($B593)),"", not(iserror(vlookup($A593&amp;$B593,'5) Release_Track'!$F:$F&amp;'5) Release_Track'!$G:$G,1,0))),vlookup($A593&amp;$B593,{'5) Release_Track'!$F:$F&amp;'5) Release_Track'!$G:$G,'5) Release_Track'!$I:$I},2,0), or(and(not(isblank($B593)),$B593=$B592,$A593&lt;&gt;$A592),and(not(isblank($A593)),$A593=$A592,$B593&lt;&gt;$B592)),"ID LISTS UNALIGNED",and($A593&lt;&gt;"",countif('5) Release_Track'!$F:$F,$A593)=0),"NO ISRC MATCH in Release_Track",and($B593&lt;&gt;"",countif('5) Release_Track'!$G:$G,$B593)=0),"NO CATALOG ID MATCH in Release_Track",iserror(vlookup($A593&amp;$B593,'5) Release_Track'!$F:$F&amp;'5) Release_Track'!$G:$G,1,0)),"NO ISRC-CATALOG ID pair MATCH in Release_Track" )</f>
        <v/>
      </c>
      <c r="E593" s="99"/>
      <c r="F593" s="99"/>
      <c r="G593" s="123" t="str">
        <f t="array" ref="G593">ifs(or($F593="",$F593="Main Primary Artist"),$F593,not(iserror(vlookup($F593,'Reference info'!$J$5:$J$8,1,0))),"Key Artist",not(iserror(vlookup($F593,'Reference info'!$J$38:$J$405,1,0))),"Performer",not(iserror(vlookup($F593,'Reference info'!$J$10:$J$36,1,0))),"Producer &amp; Engineer")</f>
        <v/>
      </c>
    </row>
    <row r="594">
      <c r="B594" s="103"/>
      <c r="C594" s="121" t="str">
        <f t="array" ref="C594">ifs(and(isblank($A594),isblank($B594)),"", not(iserror(vlookup($A594&amp;$B594,'5) Release_Track'!$F:$F&amp;'5) Release_Track'!$G:$G,1,0))),vlookup($A594&amp;$B594,{'5) Release_Track'!$F:$F&amp;'5) Release_Track'!$G:$G,'5) Release_Track'!$H:$H},2,0), or(and(not(isblank($B594)),$B594=$B593,$A594&lt;&gt;$A593),and(not(isblank($A594)),$A594=$A593,$B594&lt;&gt;$B593)),"ID LISTS UNALIGNED",and($A594&lt;&gt;"",countif('5) Release_Track'!$F:$F,$A594)=0),"NO ISRC MATCH in Release_Track",and($B594&lt;&gt;"",countif('5) Release_Track'!$G:$G,$B594)=0),"NO CATALOG ID MATCH in Release_Track",iserror(vlookup($A594&amp;$B594,'5) Release_Track'!$F:$F&amp;'5) Release_Track'!$G:$G,1,0)),"NO ISRC-CATALOG ID pair MATCH in Release_Track" )</f>
        <v/>
      </c>
      <c r="D594" s="121" t="str">
        <f t="array" ref="D594">ifs(and(isblank($A594),isblank($B594)),"", not(iserror(vlookup($A594&amp;$B594,'5) Release_Track'!$F:$F&amp;'5) Release_Track'!$G:$G,1,0))),vlookup($A594&amp;$B594,{'5) Release_Track'!$F:$F&amp;'5) Release_Track'!$G:$G,'5) Release_Track'!$I:$I},2,0), or(and(not(isblank($B594)),$B594=$B593,$A594&lt;&gt;$A593),and(not(isblank($A594)),$A594=$A593,$B594&lt;&gt;$B593)),"ID LISTS UNALIGNED",and($A594&lt;&gt;"",countif('5) Release_Track'!$F:$F,$A594)=0),"NO ISRC MATCH in Release_Track",and($B594&lt;&gt;"",countif('5) Release_Track'!$G:$G,$B594)=0),"NO CATALOG ID MATCH in Release_Track",iserror(vlookup($A594&amp;$B594,'5) Release_Track'!$F:$F&amp;'5) Release_Track'!$G:$G,1,0)),"NO ISRC-CATALOG ID pair MATCH in Release_Track" )</f>
        <v/>
      </c>
      <c r="E594" s="99"/>
      <c r="F594" s="99"/>
      <c r="G594" s="123" t="str">
        <f t="array" ref="G594">ifs(or($F594="",$F594="Main Primary Artist"),$F594,not(iserror(vlookup($F594,'Reference info'!$J$5:$J$8,1,0))),"Key Artist",not(iserror(vlookup($F594,'Reference info'!$J$38:$J$405,1,0))),"Performer",not(iserror(vlookup($F594,'Reference info'!$J$10:$J$36,1,0))),"Producer &amp; Engineer")</f>
        <v/>
      </c>
    </row>
    <row r="595">
      <c r="B595" s="103"/>
      <c r="C595" s="121" t="str">
        <f t="array" ref="C595">ifs(and(isblank($A595),isblank($B595)),"", not(iserror(vlookup($A595&amp;$B595,'5) Release_Track'!$F:$F&amp;'5) Release_Track'!$G:$G,1,0))),vlookup($A595&amp;$B595,{'5) Release_Track'!$F:$F&amp;'5) Release_Track'!$G:$G,'5) Release_Track'!$H:$H},2,0), or(and(not(isblank($B595)),$B595=$B594,$A595&lt;&gt;$A594),and(not(isblank($A595)),$A595=$A594,$B595&lt;&gt;$B594)),"ID LISTS UNALIGNED",and($A595&lt;&gt;"",countif('5) Release_Track'!$F:$F,$A595)=0),"NO ISRC MATCH in Release_Track",and($B595&lt;&gt;"",countif('5) Release_Track'!$G:$G,$B595)=0),"NO CATALOG ID MATCH in Release_Track",iserror(vlookup($A595&amp;$B595,'5) Release_Track'!$F:$F&amp;'5) Release_Track'!$G:$G,1,0)),"NO ISRC-CATALOG ID pair MATCH in Release_Track" )</f>
        <v/>
      </c>
      <c r="D595" s="121" t="str">
        <f t="array" ref="D595">ifs(and(isblank($A595),isblank($B595)),"", not(iserror(vlookup($A595&amp;$B595,'5) Release_Track'!$F:$F&amp;'5) Release_Track'!$G:$G,1,0))),vlookup($A595&amp;$B595,{'5) Release_Track'!$F:$F&amp;'5) Release_Track'!$G:$G,'5) Release_Track'!$I:$I},2,0), or(and(not(isblank($B595)),$B595=$B594,$A595&lt;&gt;$A594),and(not(isblank($A595)),$A595=$A594,$B595&lt;&gt;$B594)),"ID LISTS UNALIGNED",and($A595&lt;&gt;"",countif('5) Release_Track'!$F:$F,$A595)=0),"NO ISRC MATCH in Release_Track",and($B595&lt;&gt;"",countif('5) Release_Track'!$G:$G,$B595)=0),"NO CATALOG ID MATCH in Release_Track",iserror(vlookup($A595&amp;$B595,'5) Release_Track'!$F:$F&amp;'5) Release_Track'!$G:$G,1,0)),"NO ISRC-CATALOG ID pair MATCH in Release_Track" )</f>
        <v/>
      </c>
      <c r="E595" s="99"/>
      <c r="F595" s="99"/>
      <c r="G595" s="123" t="str">
        <f t="array" ref="G595">ifs(or($F595="",$F595="Main Primary Artist"),$F595,not(iserror(vlookup($F595,'Reference info'!$J$5:$J$8,1,0))),"Key Artist",not(iserror(vlookup($F595,'Reference info'!$J$38:$J$405,1,0))),"Performer",not(iserror(vlookup($F595,'Reference info'!$J$10:$J$36,1,0))),"Producer &amp; Engineer")</f>
        <v/>
      </c>
    </row>
    <row r="596">
      <c r="B596" s="103"/>
      <c r="C596" s="121" t="str">
        <f t="array" ref="C596">ifs(and(isblank($A596),isblank($B596)),"", not(iserror(vlookup($A596&amp;$B596,'5) Release_Track'!$F:$F&amp;'5) Release_Track'!$G:$G,1,0))),vlookup($A596&amp;$B596,{'5) Release_Track'!$F:$F&amp;'5) Release_Track'!$G:$G,'5) Release_Track'!$H:$H},2,0), or(and(not(isblank($B596)),$B596=$B595,$A596&lt;&gt;$A595),and(not(isblank($A596)),$A596=$A595,$B596&lt;&gt;$B595)),"ID LISTS UNALIGNED",and($A596&lt;&gt;"",countif('5) Release_Track'!$F:$F,$A596)=0),"NO ISRC MATCH in Release_Track",and($B596&lt;&gt;"",countif('5) Release_Track'!$G:$G,$B596)=0),"NO CATALOG ID MATCH in Release_Track",iserror(vlookup($A596&amp;$B596,'5) Release_Track'!$F:$F&amp;'5) Release_Track'!$G:$G,1,0)),"NO ISRC-CATALOG ID pair MATCH in Release_Track" )</f>
        <v/>
      </c>
      <c r="D596" s="121" t="str">
        <f t="array" ref="D596">ifs(and(isblank($A596),isblank($B596)),"", not(iserror(vlookup($A596&amp;$B596,'5) Release_Track'!$F:$F&amp;'5) Release_Track'!$G:$G,1,0))),vlookup($A596&amp;$B596,{'5) Release_Track'!$F:$F&amp;'5) Release_Track'!$G:$G,'5) Release_Track'!$I:$I},2,0), or(and(not(isblank($B596)),$B596=$B595,$A596&lt;&gt;$A595),and(not(isblank($A596)),$A596=$A595,$B596&lt;&gt;$B595)),"ID LISTS UNALIGNED",and($A596&lt;&gt;"",countif('5) Release_Track'!$F:$F,$A596)=0),"NO ISRC MATCH in Release_Track",and($B596&lt;&gt;"",countif('5) Release_Track'!$G:$G,$B596)=0),"NO CATALOG ID MATCH in Release_Track",iserror(vlookup($A596&amp;$B596,'5) Release_Track'!$F:$F&amp;'5) Release_Track'!$G:$G,1,0)),"NO ISRC-CATALOG ID pair MATCH in Release_Track" )</f>
        <v/>
      </c>
      <c r="E596" s="99"/>
      <c r="F596" s="99"/>
      <c r="G596" s="123" t="str">
        <f t="array" ref="G596">ifs(or($F596="",$F596="Main Primary Artist"),$F596,not(iserror(vlookup($F596,'Reference info'!$J$5:$J$8,1,0))),"Key Artist",not(iserror(vlookup($F596,'Reference info'!$J$38:$J$405,1,0))),"Performer",not(iserror(vlookup($F596,'Reference info'!$J$10:$J$36,1,0))),"Producer &amp; Engineer")</f>
        <v/>
      </c>
    </row>
    <row r="597">
      <c r="B597" s="103"/>
      <c r="C597" s="121" t="str">
        <f t="array" ref="C597">ifs(and(isblank($A597),isblank($B597)),"", not(iserror(vlookup($A597&amp;$B597,'5) Release_Track'!$F:$F&amp;'5) Release_Track'!$G:$G,1,0))),vlookup($A597&amp;$B597,{'5) Release_Track'!$F:$F&amp;'5) Release_Track'!$G:$G,'5) Release_Track'!$H:$H},2,0), or(and(not(isblank($B597)),$B597=$B596,$A597&lt;&gt;$A596),and(not(isblank($A597)),$A597=$A596,$B597&lt;&gt;$B596)),"ID LISTS UNALIGNED",and($A597&lt;&gt;"",countif('5) Release_Track'!$F:$F,$A597)=0),"NO ISRC MATCH in Release_Track",and($B597&lt;&gt;"",countif('5) Release_Track'!$G:$G,$B597)=0),"NO CATALOG ID MATCH in Release_Track",iserror(vlookup($A597&amp;$B597,'5) Release_Track'!$F:$F&amp;'5) Release_Track'!$G:$G,1,0)),"NO ISRC-CATALOG ID pair MATCH in Release_Track" )</f>
        <v/>
      </c>
      <c r="D597" s="121" t="str">
        <f t="array" ref="D597">ifs(and(isblank($A597),isblank($B597)),"", not(iserror(vlookup($A597&amp;$B597,'5) Release_Track'!$F:$F&amp;'5) Release_Track'!$G:$G,1,0))),vlookup($A597&amp;$B597,{'5) Release_Track'!$F:$F&amp;'5) Release_Track'!$G:$G,'5) Release_Track'!$I:$I},2,0), or(and(not(isblank($B597)),$B597=$B596,$A597&lt;&gt;$A596),and(not(isblank($A597)),$A597=$A596,$B597&lt;&gt;$B596)),"ID LISTS UNALIGNED",and($A597&lt;&gt;"",countif('5) Release_Track'!$F:$F,$A597)=0),"NO ISRC MATCH in Release_Track",and($B597&lt;&gt;"",countif('5) Release_Track'!$G:$G,$B597)=0),"NO CATALOG ID MATCH in Release_Track",iserror(vlookup($A597&amp;$B597,'5) Release_Track'!$F:$F&amp;'5) Release_Track'!$G:$G,1,0)),"NO ISRC-CATALOG ID pair MATCH in Release_Track" )</f>
        <v/>
      </c>
      <c r="E597" s="99"/>
      <c r="F597" s="99"/>
      <c r="G597" s="123" t="str">
        <f t="array" ref="G597">ifs(or($F597="",$F597="Main Primary Artist"),$F597,not(iserror(vlookup($F597,'Reference info'!$J$5:$J$8,1,0))),"Key Artist",not(iserror(vlookup($F597,'Reference info'!$J$38:$J$405,1,0))),"Performer",not(iserror(vlookup($F597,'Reference info'!$J$10:$J$36,1,0))),"Producer &amp; Engineer")</f>
        <v/>
      </c>
    </row>
    <row r="598">
      <c r="B598" s="103"/>
      <c r="C598" s="121" t="str">
        <f t="array" ref="C598">ifs(and(isblank($A598),isblank($B598)),"", not(iserror(vlookup($A598&amp;$B598,'5) Release_Track'!$F:$F&amp;'5) Release_Track'!$G:$G,1,0))),vlookup($A598&amp;$B598,{'5) Release_Track'!$F:$F&amp;'5) Release_Track'!$G:$G,'5) Release_Track'!$H:$H},2,0), or(and(not(isblank($B598)),$B598=$B597,$A598&lt;&gt;$A597),and(not(isblank($A598)),$A598=$A597,$B598&lt;&gt;$B597)),"ID LISTS UNALIGNED",and($A598&lt;&gt;"",countif('5) Release_Track'!$F:$F,$A598)=0),"NO ISRC MATCH in Release_Track",and($B598&lt;&gt;"",countif('5) Release_Track'!$G:$G,$B598)=0),"NO CATALOG ID MATCH in Release_Track",iserror(vlookup($A598&amp;$B598,'5) Release_Track'!$F:$F&amp;'5) Release_Track'!$G:$G,1,0)),"NO ISRC-CATALOG ID pair MATCH in Release_Track" )</f>
        <v/>
      </c>
      <c r="D598" s="121" t="str">
        <f t="array" ref="D598">ifs(and(isblank($A598),isblank($B598)),"", not(iserror(vlookup($A598&amp;$B598,'5) Release_Track'!$F:$F&amp;'5) Release_Track'!$G:$G,1,0))),vlookup($A598&amp;$B598,{'5) Release_Track'!$F:$F&amp;'5) Release_Track'!$G:$G,'5) Release_Track'!$I:$I},2,0), or(and(not(isblank($B598)),$B598=$B597,$A598&lt;&gt;$A597),and(not(isblank($A598)),$A598=$A597,$B598&lt;&gt;$B597)),"ID LISTS UNALIGNED",and($A598&lt;&gt;"",countif('5) Release_Track'!$F:$F,$A598)=0),"NO ISRC MATCH in Release_Track",and($B598&lt;&gt;"",countif('5) Release_Track'!$G:$G,$B598)=0),"NO CATALOG ID MATCH in Release_Track",iserror(vlookup($A598&amp;$B598,'5) Release_Track'!$F:$F&amp;'5) Release_Track'!$G:$G,1,0)),"NO ISRC-CATALOG ID pair MATCH in Release_Track" )</f>
        <v/>
      </c>
      <c r="E598" s="99"/>
      <c r="F598" s="99"/>
      <c r="G598" s="123" t="str">
        <f t="array" ref="G598">ifs(or($F598="",$F598="Main Primary Artist"),$F598,not(iserror(vlookup($F598,'Reference info'!$J$5:$J$8,1,0))),"Key Artist",not(iserror(vlookup($F598,'Reference info'!$J$38:$J$405,1,0))),"Performer",not(iserror(vlookup($F598,'Reference info'!$J$10:$J$36,1,0))),"Producer &amp; Engineer")</f>
        <v/>
      </c>
    </row>
    <row r="599">
      <c r="B599" s="103"/>
      <c r="C599" s="121" t="str">
        <f t="array" ref="C599">ifs(and(isblank($A599),isblank($B599)),"", not(iserror(vlookup($A599&amp;$B599,'5) Release_Track'!$F:$F&amp;'5) Release_Track'!$G:$G,1,0))),vlookup($A599&amp;$B599,{'5) Release_Track'!$F:$F&amp;'5) Release_Track'!$G:$G,'5) Release_Track'!$H:$H},2,0), or(and(not(isblank($B599)),$B599=$B598,$A599&lt;&gt;$A598),and(not(isblank($A599)),$A599=$A598,$B599&lt;&gt;$B598)),"ID LISTS UNALIGNED",and($A599&lt;&gt;"",countif('5) Release_Track'!$F:$F,$A599)=0),"NO ISRC MATCH in Release_Track",and($B599&lt;&gt;"",countif('5) Release_Track'!$G:$G,$B599)=0),"NO CATALOG ID MATCH in Release_Track",iserror(vlookup($A599&amp;$B599,'5) Release_Track'!$F:$F&amp;'5) Release_Track'!$G:$G,1,0)),"NO ISRC-CATALOG ID pair MATCH in Release_Track" )</f>
        <v/>
      </c>
      <c r="D599" s="121" t="str">
        <f t="array" ref="D599">ifs(and(isblank($A599),isblank($B599)),"", not(iserror(vlookup($A599&amp;$B599,'5) Release_Track'!$F:$F&amp;'5) Release_Track'!$G:$G,1,0))),vlookup($A599&amp;$B599,{'5) Release_Track'!$F:$F&amp;'5) Release_Track'!$G:$G,'5) Release_Track'!$I:$I},2,0), or(and(not(isblank($B599)),$B599=$B598,$A599&lt;&gt;$A598),and(not(isblank($A599)),$A599=$A598,$B599&lt;&gt;$B598)),"ID LISTS UNALIGNED",and($A599&lt;&gt;"",countif('5) Release_Track'!$F:$F,$A599)=0),"NO ISRC MATCH in Release_Track",and($B599&lt;&gt;"",countif('5) Release_Track'!$G:$G,$B599)=0),"NO CATALOG ID MATCH in Release_Track",iserror(vlookup($A599&amp;$B599,'5) Release_Track'!$F:$F&amp;'5) Release_Track'!$G:$G,1,0)),"NO ISRC-CATALOG ID pair MATCH in Release_Track" )</f>
        <v/>
      </c>
      <c r="E599" s="99"/>
      <c r="F599" s="99"/>
      <c r="G599" s="123" t="str">
        <f t="array" ref="G599">ifs(or($F599="",$F599="Main Primary Artist"),$F599,not(iserror(vlookup($F599,'Reference info'!$J$5:$J$8,1,0))),"Key Artist",not(iserror(vlookup($F599,'Reference info'!$J$38:$J$405,1,0))),"Performer",not(iserror(vlookup($F599,'Reference info'!$J$10:$J$36,1,0))),"Producer &amp; Engineer")</f>
        <v/>
      </c>
    </row>
    <row r="600">
      <c r="B600" s="103"/>
      <c r="C600" s="121" t="str">
        <f t="array" ref="C600">ifs(and(isblank($A600),isblank($B600)),"", not(iserror(vlookup($A600&amp;$B600,'5) Release_Track'!$F:$F&amp;'5) Release_Track'!$G:$G,1,0))),vlookup($A600&amp;$B600,{'5) Release_Track'!$F:$F&amp;'5) Release_Track'!$G:$G,'5) Release_Track'!$H:$H},2,0), or(and(not(isblank($B600)),$B600=$B599,$A600&lt;&gt;$A599),and(not(isblank($A600)),$A600=$A599,$B600&lt;&gt;$B599)),"ID LISTS UNALIGNED",and($A600&lt;&gt;"",countif('5) Release_Track'!$F:$F,$A600)=0),"NO ISRC MATCH in Release_Track",and($B600&lt;&gt;"",countif('5) Release_Track'!$G:$G,$B600)=0),"NO CATALOG ID MATCH in Release_Track",iserror(vlookup($A600&amp;$B600,'5) Release_Track'!$F:$F&amp;'5) Release_Track'!$G:$G,1,0)),"NO ISRC-CATALOG ID pair MATCH in Release_Track" )</f>
        <v/>
      </c>
      <c r="D600" s="121" t="str">
        <f t="array" ref="D600">ifs(and(isblank($A600),isblank($B600)),"", not(iserror(vlookup($A600&amp;$B600,'5) Release_Track'!$F:$F&amp;'5) Release_Track'!$G:$G,1,0))),vlookup($A600&amp;$B600,{'5) Release_Track'!$F:$F&amp;'5) Release_Track'!$G:$G,'5) Release_Track'!$I:$I},2,0), or(and(not(isblank($B600)),$B600=$B599,$A600&lt;&gt;$A599),and(not(isblank($A600)),$A600=$A599,$B600&lt;&gt;$B599)),"ID LISTS UNALIGNED",and($A600&lt;&gt;"",countif('5) Release_Track'!$F:$F,$A600)=0),"NO ISRC MATCH in Release_Track",and($B600&lt;&gt;"",countif('5) Release_Track'!$G:$G,$B600)=0),"NO CATALOG ID MATCH in Release_Track",iserror(vlookup($A600&amp;$B600,'5) Release_Track'!$F:$F&amp;'5) Release_Track'!$G:$G,1,0)),"NO ISRC-CATALOG ID pair MATCH in Release_Track" )</f>
        <v/>
      </c>
      <c r="E600" s="99"/>
      <c r="F600" s="99"/>
      <c r="G600" s="123" t="str">
        <f t="array" ref="G600">ifs(or($F600="",$F600="Main Primary Artist"),$F600,not(iserror(vlookup($F600,'Reference info'!$J$5:$J$8,1,0))),"Key Artist",not(iserror(vlookup($F600,'Reference info'!$J$38:$J$405,1,0))),"Performer",not(iserror(vlookup($F600,'Reference info'!$J$10:$J$36,1,0))),"Producer &amp; Engineer")</f>
        <v/>
      </c>
    </row>
    <row r="601">
      <c r="B601" s="103"/>
      <c r="C601" s="121" t="str">
        <f t="array" ref="C601">ifs(and(isblank($A601),isblank($B601)),"", not(iserror(vlookup($A601&amp;$B601,'5) Release_Track'!$F:$F&amp;'5) Release_Track'!$G:$G,1,0))),vlookup($A601&amp;$B601,{'5) Release_Track'!$F:$F&amp;'5) Release_Track'!$G:$G,'5) Release_Track'!$H:$H},2,0), or(and(not(isblank($B601)),$B601=$B600,$A601&lt;&gt;$A600),and(not(isblank($A601)),$A601=$A600,$B601&lt;&gt;$B600)),"ID LISTS UNALIGNED",and($A601&lt;&gt;"",countif('5) Release_Track'!$F:$F,$A601)=0),"NO ISRC MATCH in Release_Track",and($B601&lt;&gt;"",countif('5) Release_Track'!$G:$G,$B601)=0),"NO CATALOG ID MATCH in Release_Track",iserror(vlookup($A601&amp;$B601,'5) Release_Track'!$F:$F&amp;'5) Release_Track'!$G:$G,1,0)),"NO ISRC-CATALOG ID pair MATCH in Release_Track" )</f>
        <v/>
      </c>
      <c r="D601" s="121" t="str">
        <f t="array" ref="D601">ifs(and(isblank($A601),isblank($B601)),"", not(iserror(vlookup($A601&amp;$B601,'5) Release_Track'!$F:$F&amp;'5) Release_Track'!$G:$G,1,0))),vlookup($A601&amp;$B601,{'5) Release_Track'!$F:$F&amp;'5) Release_Track'!$G:$G,'5) Release_Track'!$I:$I},2,0), or(and(not(isblank($B601)),$B601=$B600,$A601&lt;&gt;$A600),and(not(isblank($A601)),$A601=$A600,$B601&lt;&gt;$B600)),"ID LISTS UNALIGNED",and($A601&lt;&gt;"",countif('5) Release_Track'!$F:$F,$A601)=0),"NO ISRC MATCH in Release_Track",and($B601&lt;&gt;"",countif('5) Release_Track'!$G:$G,$B601)=0),"NO CATALOG ID MATCH in Release_Track",iserror(vlookup($A601&amp;$B601,'5) Release_Track'!$F:$F&amp;'5) Release_Track'!$G:$G,1,0)),"NO ISRC-CATALOG ID pair MATCH in Release_Track" )</f>
        <v/>
      </c>
      <c r="E601" s="99"/>
      <c r="F601" s="99"/>
      <c r="G601" s="123" t="str">
        <f t="array" ref="G601">ifs(or($F601="",$F601="Main Primary Artist"),$F601,not(iserror(vlookup($F601,'Reference info'!$J$5:$J$8,1,0))),"Key Artist",not(iserror(vlookup($F601,'Reference info'!$J$38:$J$405,1,0))),"Performer",not(iserror(vlookup($F601,'Reference info'!$J$10:$J$36,1,0))),"Producer &amp; Engineer")</f>
        <v/>
      </c>
    </row>
    <row r="602">
      <c r="B602" s="103"/>
      <c r="C602" s="121" t="str">
        <f t="array" ref="C602">ifs(and(isblank($A602),isblank($B602)),"", not(iserror(vlookup($A602&amp;$B602,'5) Release_Track'!$F:$F&amp;'5) Release_Track'!$G:$G,1,0))),vlookup($A602&amp;$B602,{'5) Release_Track'!$F:$F&amp;'5) Release_Track'!$G:$G,'5) Release_Track'!$H:$H},2,0), or(and(not(isblank($B602)),$B602=$B601,$A602&lt;&gt;$A601),and(not(isblank($A602)),$A602=$A601,$B602&lt;&gt;$B601)),"ID LISTS UNALIGNED",and($A602&lt;&gt;"",countif('5) Release_Track'!$F:$F,$A602)=0),"NO ISRC MATCH in Release_Track",and($B602&lt;&gt;"",countif('5) Release_Track'!$G:$G,$B602)=0),"NO CATALOG ID MATCH in Release_Track",iserror(vlookup($A602&amp;$B602,'5) Release_Track'!$F:$F&amp;'5) Release_Track'!$G:$G,1,0)),"NO ISRC-CATALOG ID pair MATCH in Release_Track" )</f>
        <v/>
      </c>
      <c r="D602" s="121" t="str">
        <f t="array" ref="D602">ifs(and(isblank($A602),isblank($B602)),"", not(iserror(vlookup($A602&amp;$B602,'5) Release_Track'!$F:$F&amp;'5) Release_Track'!$G:$G,1,0))),vlookup($A602&amp;$B602,{'5) Release_Track'!$F:$F&amp;'5) Release_Track'!$G:$G,'5) Release_Track'!$I:$I},2,0), or(and(not(isblank($B602)),$B602=$B601,$A602&lt;&gt;$A601),and(not(isblank($A602)),$A602=$A601,$B602&lt;&gt;$B601)),"ID LISTS UNALIGNED",and($A602&lt;&gt;"",countif('5) Release_Track'!$F:$F,$A602)=0),"NO ISRC MATCH in Release_Track",and($B602&lt;&gt;"",countif('5) Release_Track'!$G:$G,$B602)=0),"NO CATALOG ID MATCH in Release_Track",iserror(vlookup($A602&amp;$B602,'5) Release_Track'!$F:$F&amp;'5) Release_Track'!$G:$G,1,0)),"NO ISRC-CATALOG ID pair MATCH in Release_Track" )</f>
        <v/>
      </c>
      <c r="E602" s="99"/>
      <c r="F602" s="99"/>
      <c r="G602" s="123" t="str">
        <f t="array" ref="G602">ifs(or($F602="",$F602="Main Primary Artist"),$F602,not(iserror(vlookup($F602,'Reference info'!$J$5:$J$8,1,0))),"Key Artist",not(iserror(vlookup($F602,'Reference info'!$J$38:$J$405,1,0))),"Performer",not(iserror(vlookup($F602,'Reference info'!$J$10:$J$36,1,0))),"Producer &amp; Engineer")</f>
        <v/>
      </c>
    </row>
    <row r="603">
      <c r="B603" s="103"/>
      <c r="C603" s="121" t="str">
        <f t="array" ref="C603">ifs(and(isblank($A603),isblank($B603)),"", not(iserror(vlookup($A603&amp;$B603,'5) Release_Track'!$F:$F&amp;'5) Release_Track'!$G:$G,1,0))),vlookup($A603&amp;$B603,{'5) Release_Track'!$F:$F&amp;'5) Release_Track'!$G:$G,'5) Release_Track'!$H:$H},2,0), or(and(not(isblank($B603)),$B603=$B602,$A603&lt;&gt;$A602),and(not(isblank($A603)),$A603=$A602,$B603&lt;&gt;$B602)),"ID LISTS UNALIGNED",and($A603&lt;&gt;"",countif('5) Release_Track'!$F:$F,$A603)=0),"NO ISRC MATCH in Release_Track",and($B603&lt;&gt;"",countif('5) Release_Track'!$G:$G,$B603)=0),"NO CATALOG ID MATCH in Release_Track",iserror(vlookup($A603&amp;$B603,'5) Release_Track'!$F:$F&amp;'5) Release_Track'!$G:$G,1,0)),"NO ISRC-CATALOG ID pair MATCH in Release_Track" )</f>
        <v/>
      </c>
      <c r="D603" s="121" t="str">
        <f t="array" ref="D603">ifs(and(isblank($A603),isblank($B603)),"", not(iserror(vlookup($A603&amp;$B603,'5) Release_Track'!$F:$F&amp;'5) Release_Track'!$G:$G,1,0))),vlookup($A603&amp;$B603,{'5) Release_Track'!$F:$F&amp;'5) Release_Track'!$G:$G,'5) Release_Track'!$I:$I},2,0), or(and(not(isblank($B603)),$B603=$B602,$A603&lt;&gt;$A602),and(not(isblank($A603)),$A603=$A602,$B603&lt;&gt;$B602)),"ID LISTS UNALIGNED",and($A603&lt;&gt;"",countif('5) Release_Track'!$F:$F,$A603)=0),"NO ISRC MATCH in Release_Track",and($B603&lt;&gt;"",countif('5) Release_Track'!$G:$G,$B603)=0),"NO CATALOG ID MATCH in Release_Track",iserror(vlookup($A603&amp;$B603,'5) Release_Track'!$F:$F&amp;'5) Release_Track'!$G:$G,1,0)),"NO ISRC-CATALOG ID pair MATCH in Release_Track" )</f>
        <v/>
      </c>
      <c r="E603" s="99"/>
      <c r="F603" s="99"/>
      <c r="G603" s="123" t="str">
        <f t="array" ref="G603">ifs(or($F603="",$F603="Main Primary Artist"),$F603,not(iserror(vlookup($F603,'Reference info'!$J$5:$J$8,1,0))),"Key Artist",not(iserror(vlookup($F603,'Reference info'!$J$38:$J$405,1,0))),"Performer",not(iserror(vlookup($F603,'Reference info'!$J$10:$J$36,1,0))),"Producer &amp; Engineer")</f>
        <v/>
      </c>
    </row>
    <row r="604">
      <c r="B604" s="103"/>
      <c r="C604" s="121" t="str">
        <f t="array" ref="C604">ifs(and(isblank($A604),isblank($B604)),"", not(iserror(vlookup($A604&amp;$B604,'5) Release_Track'!$F:$F&amp;'5) Release_Track'!$G:$G,1,0))),vlookup($A604&amp;$B604,{'5) Release_Track'!$F:$F&amp;'5) Release_Track'!$G:$G,'5) Release_Track'!$H:$H},2,0), or(and(not(isblank($B604)),$B604=$B603,$A604&lt;&gt;$A603),and(not(isblank($A604)),$A604=$A603,$B604&lt;&gt;$B603)),"ID LISTS UNALIGNED",and($A604&lt;&gt;"",countif('5) Release_Track'!$F:$F,$A604)=0),"NO ISRC MATCH in Release_Track",and($B604&lt;&gt;"",countif('5) Release_Track'!$G:$G,$B604)=0),"NO CATALOG ID MATCH in Release_Track",iserror(vlookup($A604&amp;$B604,'5) Release_Track'!$F:$F&amp;'5) Release_Track'!$G:$G,1,0)),"NO ISRC-CATALOG ID pair MATCH in Release_Track" )</f>
        <v/>
      </c>
      <c r="D604" s="121" t="str">
        <f t="array" ref="D604">ifs(and(isblank($A604),isblank($B604)),"", not(iserror(vlookup($A604&amp;$B604,'5) Release_Track'!$F:$F&amp;'5) Release_Track'!$G:$G,1,0))),vlookup($A604&amp;$B604,{'5) Release_Track'!$F:$F&amp;'5) Release_Track'!$G:$G,'5) Release_Track'!$I:$I},2,0), or(and(not(isblank($B604)),$B604=$B603,$A604&lt;&gt;$A603),and(not(isblank($A604)),$A604=$A603,$B604&lt;&gt;$B603)),"ID LISTS UNALIGNED",and($A604&lt;&gt;"",countif('5) Release_Track'!$F:$F,$A604)=0),"NO ISRC MATCH in Release_Track",and($B604&lt;&gt;"",countif('5) Release_Track'!$G:$G,$B604)=0),"NO CATALOG ID MATCH in Release_Track",iserror(vlookup($A604&amp;$B604,'5) Release_Track'!$F:$F&amp;'5) Release_Track'!$G:$G,1,0)),"NO ISRC-CATALOG ID pair MATCH in Release_Track" )</f>
        <v/>
      </c>
      <c r="E604" s="99"/>
      <c r="F604" s="99"/>
      <c r="G604" s="123" t="str">
        <f t="array" ref="G604">ifs(or($F604="",$F604="Main Primary Artist"),$F604,not(iserror(vlookup($F604,'Reference info'!$J$5:$J$8,1,0))),"Key Artist",not(iserror(vlookup($F604,'Reference info'!$J$38:$J$405,1,0))),"Performer",not(iserror(vlookup($F604,'Reference info'!$J$10:$J$36,1,0))),"Producer &amp; Engineer")</f>
        <v/>
      </c>
    </row>
    <row r="605">
      <c r="B605" s="103"/>
      <c r="C605" s="121" t="str">
        <f t="array" ref="C605">ifs(and(isblank($A605),isblank($B605)),"", not(iserror(vlookup($A605&amp;$B605,'5) Release_Track'!$F:$F&amp;'5) Release_Track'!$G:$G,1,0))),vlookup($A605&amp;$B605,{'5) Release_Track'!$F:$F&amp;'5) Release_Track'!$G:$G,'5) Release_Track'!$H:$H},2,0), or(and(not(isblank($B605)),$B605=$B604,$A605&lt;&gt;$A604),and(not(isblank($A605)),$A605=$A604,$B605&lt;&gt;$B604)),"ID LISTS UNALIGNED",and($A605&lt;&gt;"",countif('5) Release_Track'!$F:$F,$A605)=0),"NO ISRC MATCH in Release_Track",and($B605&lt;&gt;"",countif('5) Release_Track'!$G:$G,$B605)=0),"NO CATALOG ID MATCH in Release_Track",iserror(vlookup($A605&amp;$B605,'5) Release_Track'!$F:$F&amp;'5) Release_Track'!$G:$G,1,0)),"NO ISRC-CATALOG ID pair MATCH in Release_Track" )</f>
        <v/>
      </c>
      <c r="D605" s="121" t="str">
        <f t="array" ref="D605">ifs(and(isblank($A605),isblank($B605)),"", not(iserror(vlookup($A605&amp;$B605,'5) Release_Track'!$F:$F&amp;'5) Release_Track'!$G:$G,1,0))),vlookup($A605&amp;$B605,{'5) Release_Track'!$F:$F&amp;'5) Release_Track'!$G:$G,'5) Release_Track'!$I:$I},2,0), or(and(not(isblank($B605)),$B605=$B604,$A605&lt;&gt;$A604),and(not(isblank($A605)),$A605=$A604,$B605&lt;&gt;$B604)),"ID LISTS UNALIGNED",and($A605&lt;&gt;"",countif('5) Release_Track'!$F:$F,$A605)=0),"NO ISRC MATCH in Release_Track",and($B605&lt;&gt;"",countif('5) Release_Track'!$G:$G,$B605)=0),"NO CATALOG ID MATCH in Release_Track",iserror(vlookup($A605&amp;$B605,'5) Release_Track'!$F:$F&amp;'5) Release_Track'!$G:$G,1,0)),"NO ISRC-CATALOG ID pair MATCH in Release_Track" )</f>
        <v/>
      </c>
      <c r="E605" s="99"/>
      <c r="F605" s="99"/>
      <c r="G605" s="123" t="str">
        <f t="array" ref="G605">ifs(or($F605="",$F605="Main Primary Artist"),$F605,not(iserror(vlookup($F605,'Reference info'!$J$5:$J$8,1,0))),"Key Artist",not(iserror(vlookup($F605,'Reference info'!$J$38:$J$405,1,0))),"Performer",not(iserror(vlookup($F605,'Reference info'!$J$10:$J$36,1,0))),"Producer &amp; Engineer")</f>
        <v/>
      </c>
    </row>
    <row r="606">
      <c r="B606" s="103"/>
      <c r="C606" s="121" t="str">
        <f t="array" ref="C606">ifs(and(isblank($A606),isblank($B606)),"", not(iserror(vlookup($A606&amp;$B606,'5) Release_Track'!$F:$F&amp;'5) Release_Track'!$G:$G,1,0))),vlookup($A606&amp;$B606,{'5) Release_Track'!$F:$F&amp;'5) Release_Track'!$G:$G,'5) Release_Track'!$H:$H},2,0), or(and(not(isblank($B606)),$B606=$B605,$A606&lt;&gt;$A605),and(not(isblank($A606)),$A606=$A605,$B606&lt;&gt;$B605)),"ID LISTS UNALIGNED",and($A606&lt;&gt;"",countif('5) Release_Track'!$F:$F,$A606)=0),"NO ISRC MATCH in Release_Track",and($B606&lt;&gt;"",countif('5) Release_Track'!$G:$G,$B606)=0),"NO CATALOG ID MATCH in Release_Track",iserror(vlookup($A606&amp;$B606,'5) Release_Track'!$F:$F&amp;'5) Release_Track'!$G:$G,1,0)),"NO ISRC-CATALOG ID pair MATCH in Release_Track" )</f>
        <v/>
      </c>
      <c r="D606" s="121" t="str">
        <f t="array" ref="D606">ifs(and(isblank($A606),isblank($B606)),"", not(iserror(vlookup($A606&amp;$B606,'5) Release_Track'!$F:$F&amp;'5) Release_Track'!$G:$G,1,0))),vlookup($A606&amp;$B606,{'5) Release_Track'!$F:$F&amp;'5) Release_Track'!$G:$G,'5) Release_Track'!$I:$I},2,0), or(and(not(isblank($B606)),$B606=$B605,$A606&lt;&gt;$A605),and(not(isblank($A606)),$A606=$A605,$B606&lt;&gt;$B605)),"ID LISTS UNALIGNED",and($A606&lt;&gt;"",countif('5) Release_Track'!$F:$F,$A606)=0),"NO ISRC MATCH in Release_Track",and($B606&lt;&gt;"",countif('5) Release_Track'!$G:$G,$B606)=0),"NO CATALOG ID MATCH in Release_Track",iserror(vlookup($A606&amp;$B606,'5) Release_Track'!$F:$F&amp;'5) Release_Track'!$G:$G,1,0)),"NO ISRC-CATALOG ID pair MATCH in Release_Track" )</f>
        <v/>
      </c>
      <c r="E606" s="99"/>
      <c r="F606" s="99"/>
      <c r="G606" s="123" t="str">
        <f t="array" ref="G606">ifs(or($F606="",$F606="Main Primary Artist"),$F606,not(iserror(vlookup($F606,'Reference info'!$J$5:$J$8,1,0))),"Key Artist",not(iserror(vlookup($F606,'Reference info'!$J$38:$J$405,1,0))),"Performer",not(iserror(vlookup($F606,'Reference info'!$J$10:$J$36,1,0))),"Producer &amp; Engineer")</f>
        <v/>
      </c>
    </row>
    <row r="607">
      <c r="B607" s="103"/>
      <c r="C607" s="121" t="str">
        <f t="array" ref="C607">ifs(and(isblank($A607),isblank($B607)),"", not(iserror(vlookup($A607&amp;$B607,'5) Release_Track'!$F:$F&amp;'5) Release_Track'!$G:$G,1,0))),vlookup($A607&amp;$B607,{'5) Release_Track'!$F:$F&amp;'5) Release_Track'!$G:$G,'5) Release_Track'!$H:$H},2,0), or(and(not(isblank($B607)),$B607=$B606,$A607&lt;&gt;$A606),and(not(isblank($A607)),$A607=$A606,$B607&lt;&gt;$B606)),"ID LISTS UNALIGNED",and($A607&lt;&gt;"",countif('5) Release_Track'!$F:$F,$A607)=0),"NO ISRC MATCH in Release_Track",and($B607&lt;&gt;"",countif('5) Release_Track'!$G:$G,$B607)=0),"NO CATALOG ID MATCH in Release_Track",iserror(vlookup($A607&amp;$B607,'5) Release_Track'!$F:$F&amp;'5) Release_Track'!$G:$G,1,0)),"NO ISRC-CATALOG ID pair MATCH in Release_Track" )</f>
        <v/>
      </c>
      <c r="D607" s="121" t="str">
        <f t="array" ref="D607">ifs(and(isblank($A607),isblank($B607)),"", not(iserror(vlookup($A607&amp;$B607,'5) Release_Track'!$F:$F&amp;'5) Release_Track'!$G:$G,1,0))),vlookup($A607&amp;$B607,{'5) Release_Track'!$F:$F&amp;'5) Release_Track'!$G:$G,'5) Release_Track'!$I:$I},2,0), or(and(not(isblank($B607)),$B607=$B606,$A607&lt;&gt;$A606),and(not(isblank($A607)),$A607=$A606,$B607&lt;&gt;$B606)),"ID LISTS UNALIGNED",and($A607&lt;&gt;"",countif('5) Release_Track'!$F:$F,$A607)=0),"NO ISRC MATCH in Release_Track",and($B607&lt;&gt;"",countif('5) Release_Track'!$G:$G,$B607)=0),"NO CATALOG ID MATCH in Release_Track",iserror(vlookup($A607&amp;$B607,'5) Release_Track'!$F:$F&amp;'5) Release_Track'!$G:$G,1,0)),"NO ISRC-CATALOG ID pair MATCH in Release_Track" )</f>
        <v/>
      </c>
      <c r="E607" s="99"/>
      <c r="F607" s="99"/>
      <c r="G607" s="123" t="str">
        <f t="array" ref="G607">ifs(or($F607="",$F607="Main Primary Artist"),$F607,not(iserror(vlookup($F607,'Reference info'!$J$5:$J$8,1,0))),"Key Artist",not(iserror(vlookup($F607,'Reference info'!$J$38:$J$405,1,0))),"Performer",not(iserror(vlookup($F607,'Reference info'!$J$10:$J$36,1,0))),"Producer &amp; Engineer")</f>
        <v/>
      </c>
    </row>
    <row r="608">
      <c r="B608" s="103"/>
      <c r="C608" s="121" t="str">
        <f t="array" ref="C608">ifs(and(isblank($A608),isblank($B608)),"", not(iserror(vlookup($A608&amp;$B608,'5) Release_Track'!$F:$F&amp;'5) Release_Track'!$G:$G,1,0))),vlookup($A608&amp;$B608,{'5) Release_Track'!$F:$F&amp;'5) Release_Track'!$G:$G,'5) Release_Track'!$H:$H},2,0), or(and(not(isblank($B608)),$B608=$B607,$A608&lt;&gt;$A607),and(not(isblank($A608)),$A608=$A607,$B608&lt;&gt;$B607)),"ID LISTS UNALIGNED",and($A608&lt;&gt;"",countif('5) Release_Track'!$F:$F,$A608)=0),"NO ISRC MATCH in Release_Track",and($B608&lt;&gt;"",countif('5) Release_Track'!$G:$G,$B608)=0),"NO CATALOG ID MATCH in Release_Track",iserror(vlookup($A608&amp;$B608,'5) Release_Track'!$F:$F&amp;'5) Release_Track'!$G:$G,1,0)),"NO ISRC-CATALOG ID pair MATCH in Release_Track" )</f>
        <v/>
      </c>
      <c r="D608" s="121" t="str">
        <f t="array" ref="D608">ifs(and(isblank($A608),isblank($B608)),"", not(iserror(vlookup($A608&amp;$B608,'5) Release_Track'!$F:$F&amp;'5) Release_Track'!$G:$G,1,0))),vlookup($A608&amp;$B608,{'5) Release_Track'!$F:$F&amp;'5) Release_Track'!$G:$G,'5) Release_Track'!$I:$I},2,0), or(and(not(isblank($B608)),$B608=$B607,$A608&lt;&gt;$A607),and(not(isblank($A608)),$A608=$A607,$B608&lt;&gt;$B607)),"ID LISTS UNALIGNED",and($A608&lt;&gt;"",countif('5) Release_Track'!$F:$F,$A608)=0),"NO ISRC MATCH in Release_Track",and($B608&lt;&gt;"",countif('5) Release_Track'!$G:$G,$B608)=0),"NO CATALOG ID MATCH in Release_Track",iserror(vlookup($A608&amp;$B608,'5) Release_Track'!$F:$F&amp;'5) Release_Track'!$G:$G,1,0)),"NO ISRC-CATALOG ID pair MATCH in Release_Track" )</f>
        <v/>
      </c>
      <c r="E608" s="99"/>
      <c r="F608" s="99"/>
      <c r="G608" s="123" t="str">
        <f t="array" ref="G608">ifs(or($F608="",$F608="Main Primary Artist"),$F608,not(iserror(vlookup($F608,'Reference info'!$J$5:$J$8,1,0))),"Key Artist",not(iserror(vlookup($F608,'Reference info'!$J$38:$J$405,1,0))),"Performer",not(iserror(vlookup($F608,'Reference info'!$J$10:$J$36,1,0))),"Producer &amp; Engineer")</f>
        <v/>
      </c>
    </row>
    <row r="609">
      <c r="B609" s="103"/>
      <c r="C609" s="121" t="str">
        <f t="array" ref="C609">ifs(and(isblank($A609),isblank($B609)),"", not(iserror(vlookup($A609&amp;$B609,'5) Release_Track'!$F:$F&amp;'5) Release_Track'!$G:$G,1,0))),vlookup($A609&amp;$B609,{'5) Release_Track'!$F:$F&amp;'5) Release_Track'!$G:$G,'5) Release_Track'!$H:$H},2,0), or(and(not(isblank($B609)),$B609=$B608,$A609&lt;&gt;$A608),and(not(isblank($A609)),$A609=$A608,$B609&lt;&gt;$B608)),"ID LISTS UNALIGNED",and($A609&lt;&gt;"",countif('5) Release_Track'!$F:$F,$A609)=0),"NO ISRC MATCH in Release_Track",and($B609&lt;&gt;"",countif('5) Release_Track'!$G:$G,$B609)=0),"NO CATALOG ID MATCH in Release_Track",iserror(vlookup($A609&amp;$B609,'5) Release_Track'!$F:$F&amp;'5) Release_Track'!$G:$G,1,0)),"NO ISRC-CATALOG ID pair MATCH in Release_Track" )</f>
        <v/>
      </c>
      <c r="D609" s="121" t="str">
        <f t="array" ref="D609">ifs(and(isblank($A609),isblank($B609)),"", not(iserror(vlookup($A609&amp;$B609,'5) Release_Track'!$F:$F&amp;'5) Release_Track'!$G:$G,1,0))),vlookup($A609&amp;$B609,{'5) Release_Track'!$F:$F&amp;'5) Release_Track'!$G:$G,'5) Release_Track'!$I:$I},2,0), or(and(not(isblank($B609)),$B609=$B608,$A609&lt;&gt;$A608),and(not(isblank($A609)),$A609=$A608,$B609&lt;&gt;$B608)),"ID LISTS UNALIGNED",and($A609&lt;&gt;"",countif('5) Release_Track'!$F:$F,$A609)=0),"NO ISRC MATCH in Release_Track",and($B609&lt;&gt;"",countif('5) Release_Track'!$G:$G,$B609)=0),"NO CATALOG ID MATCH in Release_Track",iserror(vlookup($A609&amp;$B609,'5) Release_Track'!$F:$F&amp;'5) Release_Track'!$G:$G,1,0)),"NO ISRC-CATALOG ID pair MATCH in Release_Track" )</f>
        <v/>
      </c>
      <c r="E609" s="99"/>
      <c r="F609" s="99"/>
      <c r="G609" s="123" t="str">
        <f t="array" ref="G609">ifs(or($F609="",$F609="Main Primary Artist"),$F609,not(iserror(vlookup($F609,'Reference info'!$J$5:$J$8,1,0))),"Key Artist",not(iserror(vlookup($F609,'Reference info'!$J$38:$J$405,1,0))),"Performer",not(iserror(vlookup($F609,'Reference info'!$J$10:$J$36,1,0))),"Producer &amp; Engineer")</f>
        <v/>
      </c>
    </row>
    <row r="610">
      <c r="B610" s="103"/>
      <c r="C610" s="121" t="str">
        <f t="array" ref="C610">ifs(and(isblank($A610),isblank($B610)),"", not(iserror(vlookup($A610&amp;$B610,'5) Release_Track'!$F:$F&amp;'5) Release_Track'!$G:$G,1,0))),vlookup($A610&amp;$B610,{'5) Release_Track'!$F:$F&amp;'5) Release_Track'!$G:$G,'5) Release_Track'!$H:$H},2,0), or(and(not(isblank($B610)),$B610=$B609,$A610&lt;&gt;$A609),and(not(isblank($A610)),$A610=$A609,$B610&lt;&gt;$B609)),"ID LISTS UNALIGNED",and($A610&lt;&gt;"",countif('5) Release_Track'!$F:$F,$A610)=0),"NO ISRC MATCH in Release_Track",and($B610&lt;&gt;"",countif('5) Release_Track'!$G:$G,$B610)=0),"NO CATALOG ID MATCH in Release_Track",iserror(vlookup($A610&amp;$B610,'5) Release_Track'!$F:$F&amp;'5) Release_Track'!$G:$G,1,0)),"NO ISRC-CATALOG ID pair MATCH in Release_Track" )</f>
        <v/>
      </c>
      <c r="D610" s="121" t="str">
        <f t="array" ref="D610">ifs(and(isblank($A610),isblank($B610)),"", not(iserror(vlookup($A610&amp;$B610,'5) Release_Track'!$F:$F&amp;'5) Release_Track'!$G:$G,1,0))),vlookup($A610&amp;$B610,{'5) Release_Track'!$F:$F&amp;'5) Release_Track'!$G:$G,'5) Release_Track'!$I:$I},2,0), or(and(not(isblank($B610)),$B610=$B609,$A610&lt;&gt;$A609),and(not(isblank($A610)),$A610=$A609,$B610&lt;&gt;$B609)),"ID LISTS UNALIGNED",and($A610&lt;&gt;"",countif('5) Release_Track'!$F:$F,$A610)=0),"NO ISRC MATCH in Release_Track",and($B610&lt;&gt;"",countif('5) Release_Track'!$G:$G,$B610)=0),"NO CATALOG ID MATCH in Release_Track",iserror(vlookup($A610&amp;$B610,'5) Release_Track'!$F:$F&amp;'5) Release_Track'!$G:$G,1,0)),"NO ISRC-CATALOG ID pair MATCH in Release_Track" )</f>
        <v/>
      </c>
      <c r="E610" s="99"/>
      <c r="F610" s="99"/>
      <c r="G610" s="123" t="str">
        <f t="array" ref="G610">ifs(or($F610="",$F610="Main Primary Artist"),$F610,not(iserror(vlookup($F610,'Reference info'!$J$5:$J$8,1,0))),"Key Artist",not(iserror(vlookup($F610,'Reference info'!$J$38:$J$405,1,0))),"Performer",not(iserror(vlookup($F610,'Reference info'!$J$10:$J$36,1,0))),"Producer &amp; Engineer")</f>
        <v/>
      </c>
    </row>
    <row r="611">
      <c r="B611" s="103"/>
      <c r="C611" s="121" t="str">
        <f t="array" ref="C611">ifs(and(isblank($A611),isblank($B611)),"", not(iserror(vlookup($A611&amp;$B611,'5) Release_Track'!$F:$F&amp;'5) Release_Track'!$G:$G,1,0))),vlookup($A611&amp;$B611,{'5) Release_Track'!$F:$F&amp;'5) Release_Track'!$G:$G,'5) Release_Track'!$H:$H},2,0), or(and(not(isblank($B611)),$B611=$B610,$A611&lt;&gt;$A610),and(not(isblank($A611)),$A611=$A610,$B611&lt;&gt;$B610)),"ID LISTS UNALIGNED",and($A611&lt;&gt;"",countif('5) Release_Track'!$F:$F,$A611)=0),"NO ISRC MATCH in Release_Track",and($B611&lt;&gt;"",countif('5) Release_Track'!$G:$G,$B611)=0),"NO CATALOG ID MATCH in Release_Track",iserror(vlookup($A611&amp;$B611,'5) Release_Track'!$F:$F&amp;'5) Release_Track'!$G:$G,1,0)),"NO ISRC-CATALOG ID pair MATCH in Release_Track" )</f>
        <v/>
      </c>
      <c r="D611" s="121" t="str">
        <f t="array" ref="D611">ifs(and(isblank($A611),isblank($B611)),"", not(iserror(vlookup($A611&amp;$B611,'5) Release_Track'!$F:$F&amp;'5) Release_Track'!$G:$G,1,0))),vlookup($A611&amp;$B611,{'5) Release_Track'!$F:$F&amp;'5) Release_Track'!$G:$G,'5) Release_Track'!$I:$I},2,0), or(and(not(isblank($B611)),$B611=$B610,$A611&lt;&gt;$A610),and(not(isblank($A611)),$A611=$A610,$B611&lt;&gt;$B610)),"ID LISTS UNALIGNED",and($A611&lt;&gt;"",countif('5) Release_Track'!$F:$F,$A611)=0),"NO ISRC MATCH in Release_Track",and($B611&lt;&gt;"",countif('5) Release_Track'!$G:$G,$B611)=0),"NO CATALOG ID MATCH in Release_Track",iserror(vlookup($A611&amp;$B611,'5) Release_Track'!$F:$F&amp;'5) Release_Track'!$G:$G,1,0)),"NO ISRC-CATALOG ID pair MATCH in Release_Track" )</f>
        <v/>
      </c>
      <c r="E611" s="99"/>
      <c r="F611" s="99"/>
      <c r="G611" s="123" t="str">
        <f t="array" ref="G611">ifs(or($F611="",$F611="Main Primary Artist"),$F611,not(iserror(vlookup($F611,'Reference info'!$J$5:$J$8,1,0))),"Key Artist",not(iserror(vlookup($F611,'Reference info'!$J$38:$J$405,1,0))),"Performer",not(iserror(vlookup($F611,'Reference info'!$J$10:$J$36,1,0))),"Producer &amp; Engineer")</f>
        <v/>
      </c>
    </row>
    <row r="612">
      <c r="B612" s="103"/>
      <c r="C612" s="121" t="str">
        <f t="array" ref="C612">ifs(and(isblank($A612),isblank($B612)),"", not(iserror(vlookup($A612&amp;$B612,'5) Release_Track'!$F:$F&amp;'5) Release_Track'!$G:$G,1,0))),vlookup($A612&amp;$B612,{'5) Release_Track'!$F:$F&amp;'5) Release_Track'!$G:$G,'5) Release_Track'!$H:$H},2,0), or(and(not(isblank($B612)),$B612=$B611,$A612&lt;&gt;$A611),and(not(isblank($A612)),$A612=$A611,$B612&lt;&gt;$B611)),"ID LISTS UNALIGNED",and($A612&lt;&gt;"",countif('5) Release_Track'!$F:$F,$A612)=0),"NO ISRC MATCH in Release_Track",and($B612&lt;&gt;"",countif('5) Release_Track'!$G:$G,$B612)=0),"NO CATALOG ID MATCH in Release_Track",iserror(vlookup($A612&amp;$B612,'5) Release_Track'!$F:$F&amp;'5) Release_Track'!$G:$G,1,0)),"NO ISRC-CATALOG ID pair MATCH in Release_Track" )</f>
        <v/>
      </c>
      <c r="D612" s="121" t="str">
        <f t="array" ref="D612">ifs(and(isblank($A612),isblank($B612)),"", not(iserror(vlookup($A612&amp;$B612,'5) Release_Track'!$F:$F&amp;'5) Release_Track'!$G:$G,1,0))),vlookup($A612&amp;$B612,{'5) Release_Track'!$F:$F&amp;'5) Release_Track'!$G:$G,'5) Release_Track'!$I:$I},2,0), or(and(not(isblank($B612)),$B612=$B611,$A612&lt;&gt;$A611),and(not(isblank($A612)),$A612=$A611,$B612&lt;&gt;$B611)),"ID LISTS UNALIGNED",and($A612&lt;&gt;"",countif('5) Release_Track'!$F:$F,$A612)=0),"NO ISRC MATCH in Release_Track",and($B612&lt;&gt;"",countif('5) Release_Track'!$G:$G,$B612)=0),"NO CATALOG ID MATCH in Release_Track",iserror(vlookup($A612&amp;$B612,'5) Release_Track'!$F:$F&amp;'5) Release_Track'!$G:$G,1,0)),"NO ISRC-CATALOG ID pair MATCH in Release_Track" )</f>
        <v/>
      </c>
      <c r="E612" s="99"/>
      <c r="F612" s="99"/>
      <c r="G612" s="123" t="str">
        <f t="array" ref="G612">ifs(or($F612="",$F612="Main Primary Artist"),$F612,not(iserror(vlookup($F612,'Reference info'!$J$5:$J$8,1,0))),"Key Artist",not(iserror(vlookup($F612,'Reference info'!$J$38:$J$405,1,0))),"Performer",not(iserror(vlookup($F612,'Reference info'!$J$10:$J$36,1,0))),"Producer &amp; Engineer")</f>
        <v/>
      </c>
    </row>
    <row r="613">
      <c r="B613" s="103"/>
      <c r="C613" s="121" t="str">
        <f t="array" ref="C613">ifs(and(isblank($A613),isblank($B613)),"", not(iserror(vlookup($A613&amp;$B613,'5) Release_Track'!$F:$F&amp;'5) Release_Track'!$G:$G,1,0))),vlookup($A613&amp;$B613,{'5) Release_Track'!$F:$F&amp;'5) Release_Track'!$G:$G,'5) Release_Track'!$H:$H},2,0), or(and(not(isblank($B613)),$B613=$B612,$A613&lt;&gt;$A612),and(not(isblank($A613)),$A613=$A612,$B613&lt;&gt;$B612)),"ID LISTS UNALIGNED",and($A613&lt;&gt;"",countif('5) Release_Track'!$F:$F,$A613)=0),"NO ISRC MATCH in Release_Track",and($B613&lt;&gt;"",countif('5) Release_Track'!$G:$G,$B613)=0),"NO CATALOG ID MATCH in Release_Track",iserror(vlookup($A613&amp;$B613,'5) Release_Track'!$F:$F&amp;'5) Release_Track'!$G:$G,1,0)),"NO ISRC-CATALOG ID pair MATCH in Release_Track" )</f>
        <v/>
      </c>
      <c r="D613" s="121" t="str">
        <f t="array" ref="D613">ifs(and(isblank($A613),isblank($B613)),"", not(iserror(vlookup($A613&amp;$B613,'5) Release_Track'!$F:$F&amp;'5) Release_Track'!$G:$G,1,0))),vlookup($A613&amp;$B613,{'5) Release_Track'!$F:$F&amp;'5) Release_Track'!$G:$G,'5) Release_Track'!$I:$I},2,0), or(and(not(isblank($B613)),$B613=$B612,$A613&lt;&gt;$A612),and(not(isblank($A613)),$A613=$A612,$B613&lt;&gt;$B612)),"ID LISTS UNALIGNED",and($A613&lt;&gt;"",countif('5) Release_Track'!$F:$F,$A613)=0),"NO ISRC MATCH in Release_Track",and($B613&lt;&gt;"",countif('5) Release_Track'!$G:$G,$B613)=0),"NO CATALOG ID MATCH in Release_Track",iserror(vlookup($A613&amp;$B613,'5) Release_Track'!$F:$F&amp;'5) Release_Track'!$G:$G,1,0)),"NO ISRC-CATALOG ID pair MATCH in Release_Track" )</f>
        <v/>
      </c>
      <c r="E613" s="99"/>
      <c r="F613" s="99"/>
      <c r="G613" s="123" t="str">
        <f t="array" ref="G613">ifs(or($F613="",$F613="Main Primary Artist"),$F613,not(iserror(vlookup($F613,'Reference info'!$J$5:$J$8,1,0))),"Key Artist",not(iserror(vlookup($F613,'Reference info'!$J$38:$J$405,1,0))),"Performer",not(iserror(vlookup($F613,'Reference info'!$J$10:$J$36,1,0))),"Producer &amp; Engineer")</f>
        <v/>
      </c>
    </row>
    <row r="614">
      <c r="B614" s="103"/>
      <c r="C614" s="121" t="str">
        <f t="array" ref="C614">ifs(and(isblank($A614),isblank($B614)),"", not(iserror(vlookup($A614&amp;$B614,'5) Release_Track'!$F:$F&amp;'5) Release_Track'!$G:$G,1,0))),vlookup($A614&amp;$B614,{'5) Release_Track'!$F:$F&amp;'5) Release_Track'!$G:$G,'5) Release_Track'!$H:$H},2,0), or(and(not(isblank($B614)),$B614=$B613,$A614&lt;&gt;$A613),and(not(isblank($A614)),$A614=$A613,$B614&lt;&gt;$B613)),"ID LISTS UNALIGNED",and($A614&lt;&gt;"",countif('5) Release_Track'!$F:$F,$A614)=0),"NO ISRC MATCH in Release_Track",and($B614&lt;&gt;"",countif('5) Release_Track'!$G:$G,$B614)=0),"NO CATALOG ID MATCH in Release_Track",iserror(vlookup($A614&amp;$B614,'5) Release_Track'!$F:$F&amp;'5) Release_Track'!$G:$G,1,0)),"NO ISRC-CATALOG ID pair MATCH in Release_Track" )</f>
        <v/>
      </c>
      <c r="D614" s="121" t="str">
        <f t="array" ref="D614">ifs(and(isblank($A614),isblank($B614)),"", not(iserror(vlookup($A614&amp;$B614,'5) Release_Track'!$F:$F&amp;'5) Release_Track'!$G:$G,1,0))),vlookup($A614&amp;$B614,{'5) Release_Track'!$F:$F&amp;'5) Release_Track'!$G:$G,'5) Release_Track'!$I:$I},2,0), or(and(not(isblank($B614)),$B614=$B613,$A614&lt;&gt;$A613),and(not(isblank($A614)),$A614=$A613,$B614&lt;&gt;$B613)),"ID LISTS UNALIGNED",and($A614&lt;&gt;"",countif('5) Release_Track'!$F:$F,$A614)=0),"NO ISRC MATCH in Release_Track",and($B614&lt;&gt;"",countif('5) Release_Track'!$G:$G,$B614)=0),"NO CATALOG ID MATCH in Release_Track",iserror(vlookup($A614&amp;$B614,'5) Release_Track'!$F:$F&amp;'5) Release_Track'!$G:$G,1,0)),"NO ISRC-CATALOG ID pair MATCH in Release_Track" )</f>
        <v/>
      </c>
      <c r="E614" s="99"/>
      <c r="F614" s="99"/>
      <c r="G614" s="123" t="str">
        <f t="array" ref="G614">ifs(or($F614="",$F614="Main Primary Artist"),$F614,not(iserror(vlookup($F614,'Reference info'!$J$5:$J$8,1,0))),"Key Artist",not(iserror(vlookup($F614,'Reference info'!$J$38:$J$405,1,0))),"Performer",not(iserror(vlookup($F614,'Reference info'!$J$10:$J$36,1,0))),"Producer &amp; Engineer")</f>
        <v/>
      </c>
    </row>
    <row r="615">
      <c r="B615" s="103"/>
      <c r="C615" s="121" t="str">
        <f t="array" ref="C615">ifs(and(isblank($A615),isblank($B615)),"", not(iserror(vlookup($A615&amp;$B615,'5) Release_Track'!$F:$F&amp;'5) Release_Track'!$G:$G,1,0))),vlookup($A615&amp;$B615,{'5) Release_Track'!$F:$F&amp;'5) Release_Track'!$G:$G,'5) Release_Track'!$H:$H},2,0), or(and(not(isblank($B615)),$B615=$B614,$A615&lt;&gt;$A614),and(not(isblank($A615)),$A615=$A614,$B615&lt;&gt;$B614)),"ID LISTS UNALIGNED",and($A615&lt;&gt;"",countif('5) Release_Track'!$F:$F,$A615)=0),"NO ISRC MATCH in Release_Track",and($B615&lt;&gt;"",countif('5) Release_Track'!$G:$G,$B615)=0),"NO CATALOG ID MATCH in Release_Track",iserror(vlookup($A615&amp;$B615,'5) Release_Track'!$F:$F&amp;'5) Release_Track'!$G:$G,1,0)),"NO ISRC-CATALOG ID pair MATCH in Release_Track" )</f>
        <v/>
      </c>
      <c r="D615" s="121" t="str">
        <f t="array" ref="D615">ifs(and(isblank($A615),isblank($B615)),"", not(iserror(vlookup($A615&amp;$B615,'5) Release_Track'!$F:$F&amp;'5) Release_Track'!$G:$G,1,0))),vlookup($A615&amp;$B615,{'5) Release_Track'!$F:$F&amp;'5) Release_Track'!$G:$G,'5) Release_Track'!$I:$I},2,0), or(and(not(isblank($B615)),$B615=$B614,$A615&lt;&gt;$A614),and(not(isblank($A615)),$A615=$A614,$B615&lt;&gt;$B614)),"ID LISTS UNALIGNED",and($A615&lt;&gt;"",countif('5) Release_Track'!$F:$F,$A615)=0),"NO ISRC MATCH in Release_Track",and($B615&lt;&gt;"",countif('5) Release_Track'!$G:$G,$B615)=0),"NO CATALOG ID MATCH in Release_Track",iserror(vlookup($A615&amp;$B615,'5) Release_Track'!$F:$F&amp;'5) Release_Track'!$G:$G,1,0)),"NO ISRC-CATALOG ID pair MATCH in Release_Track" )</f>
        <v/>
      </c>
      <c r="E615" s="99"/>
      <c r="F615" s="99"/>
      <c r="G615" s="123" t="str">
        <f t="array" ref="G615">ifs(or($F615="",$F615="Main Primary Artist"),$F615,not(iserror(vlookup($F615,'Reference info'!$J$5:$J$8,1,0))),"Key Artist",not(iserror(vlookup($F615,'Reference info'!$J$38:$J$405,1,0))),"Performer",not(iserror(vlookup($F615,'Reference info'!$J$10:$J$36,1,0))),"Producer &amp; Engineer")</f>
        <v/>
      </c>
    </row>
    <row r="616">
      <c r="B616" s="103"/>
      <c r="C616" s="121" t="str">
        <f t="array" ref="C616">ifs(and(isblank($A616),isblank($B616)),"", not(iserror(vlookup($A616&amp;$B616,'5) Release_Track'!$F:$F&amp;'5) Release_Track'!$G:$G,1,0))),vlookup($A616&amp;$B616,{'5) Release_Track'!$F:$F&amp;'5) Release_Track'!$G:$G,'5) Release_Track'!$H:$H},2,0), or(and(not(isblank($B616)),$B616=$B615,$A616&lt;&gt;$A615),and(not(isblank($A616)),$A616=$A615,$B616&lt;&gt;$B615)),"ID LISTS UNALIGNED",and($A616&lt;&gt;"",countif('5) Release_Track'!$F:$F,$A616)=0),"NO ISRC MATCH in Release_Track",and($B616&lt;&gt;"",countif('5) Release_Track'!$G:$G,$B616)=0),"NO CATALOG ID MATCH in Release_Track",iserror(vlookup($A616&amp;$B616,'5) Release_Track'!$F:$F&amp;'5) Release_Track'!$G:$G,1,0)),"NO ISRC-CATALOG ID pair MATCH in Release_Track" )</f>
        <v/>
      </c>
      <c r="D616" s="121" t="str">
        <f t="array" ref="D616">ifs(and(isblank($A616),isblank($B616)),"", not(iserror(vlookup($A616&amp;$B616,'5) Release_Track'!$F:$F&amp;'5) Release_Track'!$G:$G,1,0))),vlookup($A616&amp;$B616,{'5) Release_Track'!$F:$F&amp;'5) Release_Track'!$G:$G,'5) Release_Track'!$I:$I},2,0), or(and(not(isblank($B616)),$B616=$B615,$A616&lt;&gt;$A615),and(not(isblank($A616)),$A616=$A615,$B616&lt;&gt;$B615)),"ID LISTS UNALIGNED",and($A616&lt;&gt;"",countif('5) Release_Track'!$F:$F,$A616)=0),"NO ISRC MATCH in Release_Track",and($B616&lt;&gt;"",countif('5) Release_Track'!$G:$G,$B616)=0),"NO CATALOG ID MATCH in Release_Track",iserror(vlookup($A616&amp;$B616,'5) Release_Track'!$F:$F&amp;'5) Release_Track'!$G:$G,1,0)),"NO ISRC-CATALOG ID pair MATCH in Release_Track" )</f>
        <v/>
      </c>
      <c r="E616" s="99"/>
      <c r="F616" s="99"/>
      <c r="G616" s="123" t="str">
        <f t="array" ref="G616">ifs(or($F616="",$F616="Main Primary Artist"),$F616,not(iserror(vlookup($F616,'Reference info'!$J$5:$J$8,1,0))),"Key Artist",not(iserror(vlookup($F616,'Reference info'!$J$38:$J$405,1,0))),"Performer",not(iserror(vlookup($F616,'Reference info'!$J$10:$J$36,1,0))),"Producer &amp; Engineer")</f>
        <v/>
      </c>
    </row>
    <row r="617">
      <c r="B617" s="103"/>
      <c r="C617" s="121" t="str">
        <f t="array" ref="C617">ifs(and(isblank($A617),isblank($B617)),"", not(iserror(vlookup($A617&amp;$B617,'5) Release_Track'!$F:$F&amp;'5) Release_Track'!$G:$G,1,0))),vlookup($A617&amp;$B617,{'5) Release_Track'!$F:$F&amp;'5) Release_Track'!$G:$G,'5) Release_Track'!$H:$H},2,0), or(and(not(isblank($B617)),$B617=$B616,$A617&lt;&gt;$A616),and(not(isblank($A617)),$A617=$A616,$B617&lt;&gt;$B616)),"ID LISTS UNALIGNED",and($A617&lt;&gt;"",countif('5) Release_Track'!$F:$F,$A617)=0),"NO ISRC MATCH in Release_Track",and($B617&lt;&gt;"",countif('5) Release_Track'!$G:$G,$B617)=0),"NO CATALOG ID MATCH in Release_Track",iserror(vlookup($A617&amp;$B617,'5) Release_Track'!$F:$F&amp;'5) Release_Track'!$G:$G,1,0)),"NO ISRC-CATALOG ID pair MATCH in Release_Track" )</f>
        <v/>
      </c>
      <c r="D617" s="121" t="str">
        <f t="array" ref="D617">ifs(and(isblank($A617),isblank($B617)),"", not(iserror(vlookup($A617&amp;$B617,'5) Release_Track'!$F:$F&amp;'5) Release_Track'!$G:$G,1,0))),vlookup($A617&amp;$B617,{'5) Release_Track'!$F:$F&amp;'5) Release_Track'!$G:$G,'5) Release_Track'!$I:$I},2,0), or(and(not(isblank($B617)),$B617=$B616,$A617&lt;&gt;$A616),and(not(isblank($A617)),$A617=$A616,$B617&lt;&gt;$B616)),"ID LISTS UNALIGNED",and($A617&lt;&gt;"",countif('5) Release_Track'!$F:$F,$A617)=0),"NO ISRC MATCH in Release_Track",and($B617&lt;&gt;"",countif('5) Release_Track'!$G:$G,$B617)=0),"NO CATALOG ID MATCH in Release_Track",iserror(vlookup($A617&amp;$B617,'5) Release_Track'!$F:$F&amp;'5) Release_Track'!$G:$G,1,0)),"NO ISRC-CATALOG ID pair MATCH in Release_Track" )</f>
        <v/>
      </c>
      <c r="E617" s="99"/>
      <c r="F617" s="99"/>
      <c r="G617" s="123" t="str">
        <f t="array" ref="G617">ifs(or($F617="",$F617="Main Primary Artist"),$F617,not(iserror(vlookup($F617,'Reference info'!$J$5:$J$8,1,0))),"Key Artist",not(iserror(vlookup($F617,'Reference info'!$J$38:$J$405,1,0))),"Performer",not(iserror(vlookup($F617,'Reference info'!$J$10:$J$36,1,0))),"Producer &amp; Engineer")</f>
        <v/>
      </c>
    </row>
    <row r="618">
      <c r="B618" s="103"/>
      <c r="C618" s="121" t="str">
        <f t="array" ref="C618">ifs(and(isblank($A618),isblank($B618)),"", not(iserror(vlookup($A618&amp;$B618,'5) Release_Track'!$F:$F&amp;'5) Release_Track'!$G:$G,1,0))),vlookup($A618&amp;$B618,{'5) Release_Track'!$F:$F&amp;'5) Release_Track'!$G:$G,'5) Release_Track'!$H:$H},2,0), or(and(not(isblank($B618)),$B618=$B617,$A618&lt;&gt;$A617),and(not(isblank($A618)),$A618=$A617,$B618&lt;&gt;$B617)),"ID LISTS UNALIGNED",and($A618&lt;&gt;"",countif('5) Release_Track'!$F:$F,$A618)=0),"NO ISRC MATCH in Release_Track",and($B618&lt;&gt;"",countif('5) Release_Track'!$G:$G,$B618)=0),"NO CATALOG ID MATCH in Release_Track",iserror(vlookup($A618&amp;$B618,'5) Release_Track'!$F:$F&amp;'5) Release_Track'!$G:$G,1,0)),"NO ISRC-CATALOG ID pair MATCH in Release_Track" )</f>
        <v/>
      </c>
      <c r="D618" s="121" t="str">
        <f t="array" ref="D618">ifs(and(isblank($A618),isblank($B618)),"", not(iserror(vlookup($A618&amp;$B618,'5) Release_Track'!$F:$F&amp;'5) Release_Track'!$G:$G,1,0))),vlookup($A618&amp;$B618,{'5) Release_Track'!$F:$F&amp;'5) Release_Track'!$G:$G,'5) Release_Track'!$I:$I},2,0), or(and(not(isblank($B618)),$B618=$B617,$A618&lt;&gt;$A617),and(not(isblank($A618)),$A618=$A617,$B618&lt;&gt;$B617)),"ID LISTS UNALIGNED",and($A618&lt;&gt;"",countif('5) Release_Track'!$F:$F,$A618)=0),"NO ISRC MATCH in Release_Track",and($B618&lt;&gt;"",countif('5) Release_Track'!$G:$G,$B618)=0),"NO CATALOG ID MATCH in Release_Track",iserror(vlookup($A618&amp;$B618,'5) Release_Track'!$F:$F&amp;'5) Release_Track'!$G:$G,1,0)),"NO ISRC-CATALOG ID pair MATCH in Release_Track" )</f>
        <v/>
      </c>
      <c r="E618" s="99"/>
      <c r="F618" s="99"/>
      <c r="G618" s="123" t="str">
        <f t="array" ref="G618">ifs(or($F618="",$F618="Main Primary Artist"),$F618,not(iserror(vlookup($F618,'Reference info'!$J$5:$J$8,1,0))),"Key Artist",not(iserror(vlookup($F618,'Reference info'!$J$38:$J$405,1,0))),"Performer",not(iserror(vlookup($F618,'Reference info'!$J$10:$J$36,1,0))),"Producer &amp; Engineer")</f>
        <v/>
      </c>
    </row>
    <row r="619">
      <c r="B619" s="103"/>
      <c r="C619" s="121" t="str">
        <f t="array" ref="C619">ifs(and(isblank($A619),isblank($B619)),"", not(iserror(vlookup($A619&amp;$B619,'5) Release_Track'!$F:$F&amp;'5) Release_Track'!$G:$G,1,0))),vlookup($A619&amp;$B619,{'5) Release_Track'!$F:$F&amp;'5) Release_Track'!$G:$G,'5) Release_Track'!$H:$H},2,0), or(and(not(isblank($B619)),$B619=$B618,$A619&lt;&gt;$A618),and(not(isblank($A619)),$A619=$A618,$B619&lt;&gt;$B618)),"ID LISTS UNALIGNED",and($A619&lt;&gt;"",countif('5) Release_Track'!$F:$F,$A619)=0),"NO ISRC MATCH in Release_Track",and($B619&lt;&gt;"",countif('5) Release_Track'!$G:$G,$B619)=0),"NO CATALOG ID MATCH in Release_Track",iserror(vlookup($A619&amp;$B619,'5) Release_Track'!$F:$F&amp;'5) Release_Track'!$G:$G,1,0)),"NO ISRC-CATALOG ID pair MATCH in Release_Track" )</f>
        <v/>
      </c>
      <c r="D619" s="121" t="str">
        <f t="array" ref="D619">ifs(and(isblank($A619),isblank($B619)),"", not(iserror(vlookup($A619&amp;$B619,'5) Release_Track'!$F:$F&amp;'5) Release_Track'!$G:$G,1,0))),vlookup($A619&amp;$B619,{'5) Release_Track'!$F:$F&amp;'5) Release_Track'!$G:$G,'5) Release_Track'!$I:$I},2,0), or(and(not(isblank($B619)),$B619=$B618,$A619&lt;&gt;$A618),and(not(isblank($A619)),$A619=$A618,$B619&lt;&gt;$B618)),"ID LISTS UNALIGNED",and($A619&lt;&gt;"",countif('5) Release_Track'!$F:$F,$A619)=0),"NO ISRC MATCH in Release_Track",and($B619&lt;&gt;"",countif('5) Release_Track'!$G:$G,$B619)=0),"NO CATALOG ID MATCH in Release_Track",iserror(vlookup($A619&amp;$B619,'5) Release_Track'!$F:$F&amp;'5) Release_Track'!$G:$G,1,0)),"NO ISRC-CATALOG ID pair MATCH in Release_Track" )</f>
        <v/>
      </c>
      <c r="E619" s="99"/>
      <c r="F619" s="99"/>
      <c r="G619" s="123" t="str">
        <f t="array" ref="G619">ifs(or($F619="",$F619="Main Primary Artist"),$F619,not(iserror(vlookup($F619,'Reference info'!$J$5:$J$8,1,0))),"Key Artist",not(iserror(vlookup($F619,'Reference info'!$J$38:$J$405,1,0))),"Performer",not(iserror(vlookup($F619,'Reference info'!$J$10:$J$36,1,0))),"Producer &amp; Engineer")</f>
        <v/>
      </c>
    </row>
    <row r="620">
      <c r="B620" s="103"/>
      <c r="C620" s="121" t="str">
        <f t="array" ref="C620">ifs(and(isblank($A620),isblank($B620)),"", not(iserror(vlookup($A620&amp;$B620,'5) Release_Track'!$F:$F&amp;'5) Release_Track'!$G:$G,1,0))),vlookup($A620&amp;$B620,{'5) Release_Track'!$F:$F&amp;'5) Release_Track'!$G:$G,'5) Release_Track'!$H:$H},2,0), or(and(not(isblank($B620)),$B620=$B619,$A620&lt;&gt;$A619),and(not(isblank($A620)),$A620=$A619,$B620&lt;&gt;$B619)),"ID LISTS UNALIGNED",and($A620&lt;&gt;"",countif('5) Release_Track'!$F:$F,$A620)=0),"NO ISRC MATCH in Release_Track",and($B620&lt;&gt;"",countif('5) Release_Track'!$G:$G,$B620)=0),"NO CATALOG ID MATCH in Release_Track",iserror(vlookup($A620&amp;$B620,'5) Release_Track'!$F:$F&amp;'5) Release_Track'!$G:$G,1,0)),"NO ISRC-CATALOG ID pair MATCH in Release_Track" )</f>
        <v/>
      </c>
      <c r="D620" s="121" t="str">
        <f t="array" ref="D620">ifs(and(isblank($A620),isblank($B620)),"", not(iserror(vlookup($A620&amp;$B620,'5) Release_Track'!$F:$F&amp;'5) Release_Track'!$G:$G,1,0))),vlookup($A620&amp;$B620,{'5) Release_Track'!$F:$F&amp;'5) Release_Track'!$G:$G,'5) Release_Track'!$I:$I},2,0), or(and(not(isblank($B620)),$B620=$B619,$A620&lt;&gt;$A619),and(not(isblank($A620)),$A620=$A619,$B620&lt;&gt;$B619)),"ID LISTS UNALIGNED",and($A620&lt;&gt;"",countif('5) Release_Track'!$F:$F,$A620)=0),"NO ISRC MATCH in Release_Track",and($B620&lt;&gt;"",countif('5) Release_Track'!$G:$G,$B620)=0),"NO CATALOG ID MATCH in Release_Track",iserror(vlookup($A620&amp;$B620,'5) Release_Track'!$F:$F&amp;'5) Release_Track'!$G:$G,1,0)),"NO ISRC-CATALOG ID pair MATCH in Release_Track" )</f>
        <v/>
      </c>
      <c r="E620" s="99"/>
      <c r="F620" s="99"/>
      <c r="G620" s="123" t="str">
        <f t="array" ref="G620">ifs(or($F620="",$F620="Main Primary Artist"),$F620,not(iserror(vlookup($F620,'Reference info'!$J$5:$J$8,1,0))),"Key Artist",not(iserror(vlookup($F620,'Reference info'!$J$38:$J$405,1,0))),"Performer",not(iserror(vlookup($F620,'Reference info'!$J$10:$J$36,1,0))),"Producer &amp; Engineer")</f>
        <v/>
      </c>
    </row>
    <row r="621">
      <c r="B621" s="103"/>
      <c r="C621" s="121" t="str">
        <f t="array" ref="C621">ifs(and(isblank($A621),isblank($B621)),"", not(iserror(vlookup($A621&amp;$B621,'5) Release_Track'!$F:$F&amp;'5) Release_Track'!$G:$G,1,0))),vlookup($A621&amp;$B621,{'5) Release_Track'!$F:$F&amp;'5) Release_Track'!$G:$G,'5) Release_Track'!$H:$H},2,0), or(and(not(isblank($B621)),$B621=$B620,$A621&lt;&gt;$A620),and(not(isblank($A621)),$A621=$A620,$B621&lt;&gt;$B620)),"ID LISTS UNALIGNED",and($A621&lt;&gt;"",countif('5) Release_Track'!$F:$F,$A621)=0),"NO ISRC MATCH in Release_Track",and($B621&lt;&gt;"",countif('5) Release_Track'!$G:$G,$B621)=0),"NO CATALOG ID MATCH in Release_Track",iserror(vlookup($A621&amp;$B621,'5) Release_Track'!$F:$F&amp;'5) Release_Track'!$G:$G,1,0)),"NO ISRC-CATALOG ID pair MATCH in Release_Track" )</f>
        <v/>
      </c>
      <c r="D621" s="121" t="str">
        <f t="array" ref="D621">ifs(and(isblank($A621),isblank($B621)),"", not(iserror(vlookup($A621&amp;$B621,'5) Release_Track'!$F:$F&amp;'5) Release_Track'!$G:$G,1,0))),vlookup($A621&amp;$B621,{'5) Release_Track'!$F:$F&amp;'5) Release_Track'!$G:$G,'5) Release_Track'!$I:$I},2,0), or(and(not(isblank($B621)),$B621=$B620,$A621&lt;&gt;$A620),and(not(isblank($A621)),$A621=$A620,$B621&lt;&gt;$B620)),"ID LISTS UNALIGNED",and($A621&lt;&gt;"",countif('5) Release_Track'!$F:$F,$A621)=0),"NO ISRC MATCH in Release_Track",and($B621&lt;&gt;"",countif('5) Release_Track'!$G:$G,$B621)=0),"NO CATALOG ID MATCH in Release_Track",iserror(vlookup($A621&amp;$B621,'5) Release_Track'!$F:$F&amp;'5) Release_Track'!$G:$G,1,0)),"NO ISRC-CATALOG ID pair MATCH in Release_Track" )</f>
        <v/>
      </c>
      <c r="E621" s="99"/>
      <c r="F621" s="99"/>
      <c r="G621" s="123" t="str">
        <f t="array" ref="G621">ifs(or($F621="",$F621="Main Primary Artist"),$F621,not(iserror(vlookup($F621,'Reference info'!$J$5:$J$8,1,0))),"Key Artist",not(iserror(vlookup($F621,'Reference info'!$J$38:$J$405,1,0))),"Performer",not(iserror(vlookup($F621,'Reference info'!$J$10:$J$36,1,0))),"Producer &amp; Engineer")</f>
        <v/>
      </c>
    </row>
    <row r="622">
      <c r="B622" s="103"/>
      <c r="C622" s="121" t="str">
        <f t="array" ref="C622">ifs(and(isblank($A622),isblank($B622)),"", not(iserror(vlookup($A622&amp;$B622,'5) Release_Track'!$F:$F&amp;'5) Release_Track'!$G:$G,1,0))),vlookup($A622&amp;$B622,{'5) Release_Track'!$F:$F&amp;'5) Release_Track'!$G:$G,'5) Release_Track'!$H:$H},2,0), or(and(not(isblank($B622)),$B622=$B621,$A622&lt;&gt;$A621),and(not(isblank($A622)),$A622=$A621,$B622&lt;&gt;$B621)),"ID LISTS UNALIGNED",and($A622&lt;&gt;"",countif('5) Release_Track'!$F:$F,$A622)=0),"NO ISRC MATCH in Release_Track",and($B622&lt;&gt;"",countif('5) Release_Track'!$G:$G,$B622)=0),"NO CATALOG ID MATCH in Release_Track",iserror(vlookup($A622&amp;$B622,'5) Release_Track'!$F:$F&amp;'5) Release_Track'!$G:$G,1,0)),"NO ISRC-CATALOG ID pair MATCH in Release_Track" )</f>
        <v/>
      </c>
      <c r="D622" s="121" t="str">
        <f t="array" ref="D622">ifs(and(isblank($A622),isblank($B622)),"", not(iserror(vlookup($A622&amp;$B622,'5) Release_Track'!$F:$F&amp;'5) Release_Track'!$G:$G,1,0))),vlookup($A622&amp;$B622,{'5) Release_Track'!$F:$F&amp;'5) Release_Track'!$G:$G,'5) Release_Track'!$I:$I},2,0), or(and(not(isblank($B622)),$B622=$B621,$A622&lt;&gt;$A621),and(not(isblank($A622)),$A622=$A621,$B622&lt;&gt;$B621)),"ID LISTS UNALIGNED",and($A622&lt;&gt;"",countif('5) Release_Track'!$F:$F,$A622)=0),"NO ISRC MATCH in Release_Track",and($B622&lt;&gt;"",countif('5) Release_Track'!$G:$G,$B622)=0),"NO CATALOG ID MATCH in Release_Track",iserror(vlookup($A622&amp;$B622,'5) Release_Track'!$F:$F&amp;'5) Release_Track'!$G:$G,1,0)),"NO ISRC-CATALOG ID pair MATCH in Release_Track" )</f>
        <v/>
      </c>
      <c r="E622" s="99"/>
      <c r="F622" s="99"/>
      <c r="G622" s="123" t="str">
        <f t="array" ref="G622">ifs(or($F622="",$F622="Main Primary Artist"),$F622,not(iserror(vlookup($F622,'Reference info'!$J$5:$J$8,1,0))),"Key Artist",not(iserror(vlookup($F622,'Reference info'!$J$38:$J$405,1,0))),"Performer",not(iserror(vlookup($F622,'Reference info'!$J$10:$J$36,1,0))),"Producer &amp; Engineer")</f>
        <v/>
      </c>
    </row>
    <row r="623">
      <c r="B623" s="103"/>
      <c r="C623" s="121" t="str">
        <f t="array" ref="C623">ifs(and(isblank($A623),isblank($B623)),"", not(iserror(vlookup($A623&amp;$B623,'5) Release_Track'!$F:$F&amp;'5) Release_Track'!$G:$G,1,0))),vlookup($A623&amp;$B623,{'5) Release_Track'!$F:$F&amp;'5) Release_Track'!$G:$G,'5) Release_Track'!$H:$H},2,0), or(and(not(isblank($B623)),$B623=$B622,$A623&lt;&gt;$A622),and(not(isblank($A623)),$A623=$A622,$B623&lt;&gt;$B622)),"ID LISTS UNALIGNED",and($A623&lt;&gt;"",countif('5) Release_Track'!$F:$F,$A623)=0),"NO ISRC MATCH in Release_Track",and($B623&lt;&gt;"",countif('5) Release_Track'!$G:$G,$B623)=0),"NO CATALOG ID MATCH in Release_Track",iserror(vlookup($A623&amp;$B623,'5) Release_Track'!$F:$F&amp;'5) Release_Track'!$G:$G,1,0)),"NO ISRC-CATALOG ID pair MATCH in Release_Track" )</f>
        <v/>
      </c>
      <c r="D623" s="121" t="str">
        <f t="array" ref="D623">ifs(and(isblank($A623),isblank($B623)),"", not(iserror(vlookup($A623&amp;$B623,'5) Release_Track'!$F:$F&amp;'5) Release_Track'!$G:$G,1,0))),vlookup($A623&amp;$B623,{'5) Release_Track'!$F:$F&amp;'5) Release_Track'!$G:$G,'5) Release_Track'!$I:$I},2,0), or(and(not(isblank($B623)),$B623=$B622,$A623&lt;&gt;$A622),and(not(isblank($A623)),$A623=$A622,$B623&lt;&gt;$B622)),"ID LISTS UNALIGNED",and($A623&lt;&gt;"",countif('5) Release_Track'!$F:$F,$A623)=0),"NO ISRC MATCH in Release_Track",and($B623&lt;&gt;"",countif('5) Release_Track'!$G:$G,$B623)=0),"NO CATALOG ID MATCH in Release_Track",iserror(vlookup($A623&amp;$B623,'5) Release_Track'!$F:$F&amp;'5) Release_Track'!$G:$G,1,0)),"NO ISRC-CATALOG ID pair MATCH in Release_Track" )</f>
        <v/>
      </c>
      <c r="E623" s="99"/>
      <c r="F623" s="99"/>
      <c r="G623" s="123" t="str">
        <f t="array" ref="G623">ifs(or($F623="",$F623="Main Primary Artist"),$F623,not(iserror(vlookup($F623,'Reference info'!$J$5:$J$8,1,0))),"Key Artist",not(iserror(vlookup($F623,'Reference info'!$J$38:$J$405,1,0))),"Performer",not(iserror(vlookup($F623,'Reference info'!$J$10:$J$36,1,0))),"Producer &amp; Engineer")</f>
        <v/>
      </c>
    </row>
    <row r="624">
      <c r="B624" s="103"/>
      <c r="C624" s="121" t="str">
        <f t="array" ref="C624">ifs(and(isblank($A624),isblank($B624)),"", not(iserror(vlookup($A624&amp;$B624,'5) Release_Track'!$F:$F&amp;'5) Release_Track'!$G:$G,1,0))),vlookup($A624&amp;$B624,{'5) Release_Track'!$F:$F&amp;'5) Release_Track'!$G:$G,'5) Release_Track'!$H:$H},2,0), or(and(not(isblank($B624)),$B624=$B623,$A624&lt;&gt;$A623),and(not(isblank($A624)),$A624=$A623,$B624&lt;&gt;$B623)),"ID LISTS UNALIGNED",and($A624&lt;&gt;"",countif('5) Release_Track'!$F:$F,$A624)=0),"NO ISRC MATCH in Release_Track",and($B624&lt;&gt;"",countif('5) Release_Track'!$G:$G,$B624)=0),"NO CATALOG ID MATCH in Release_Track",iserror(vlookup($A624&amp;$B624,'5) Release_Track'!$F:$F&amp;'5) Release_Track'!$G:$G,1,0)),"NO ISRC-CATALOG ID pair MATCH in Release_Track" )</f>
        <v/>
      </c>
      <c r="D624" s="121" t="str">
        <f t="array" ref="D624">ifs(and(isblank($A624),isblank($B624)),"", not(iserror(vlookup($A624&amp;$B624,'5) Release_Track'!$F:$F&amp;'5) Release_Track'!$G:$G,1,0))),vlookup($A624&amp;$B624,{'5) Release_Track'!$F:$F&amp;'5) Release_Track'!$G:$G,'5) Release_Track'!$I:$I},2,0), or(and(not(isblank($B624)),$B624=$B623,$A624&lt;&gt;$A623),and(not(isblank($A624)),$A624=$A623,$B624&lt;&gt;$B623)),"ID LISTS UNALIGNED",and($A624&lt;&gt;"",countif('5) Release_Track'!$F:$F,$A624)=0),"NO ISRC MATCH in Release_Track",and($B624&lt;&gt;"",countif('5) Release_Track'!$G:$G,$B624)=0),"NO CATALOG ID MATCH in Release_Track",iserror(vlookup($A624&amp;$B624,'5) Release_Track'!$F:$F&amp;'5) Release_Track'!$G:$G,1,0)),"NO ISRC-CATALOG ID pair MATCH in Release_Track" )</f>
        <v/>
      </c>
      <c r="E624" s="99"/>
      <c r="F624" s="99"/>
      <c r="G624" s="123" t="str">
        <f t="array" ref="G624">ifs(or($F624="",$F624="Main Primary Artist"),$F624,not(iserror(vlookup($F624,'Reference info'!$J$5:$J$8,1,0))),"Key Artist",not(iserror(vlookup($F624,'Reference info'!$J$38:$J$405,1,0))),"Performer",not(iserror(vlookup($F624,'Reference info'!$J$10:$J$36,1,0))),"Producer &amp; Engineer")</f>
        <v/>
      </c>
    </row>
    <row r="625">
      <c r="B625" s="103"/>
      <c r="C625" s="121" t="str">
        <f t="array" ref="C625">ifs(and(isblank($A625),isblank($B625)),"", not(iserror(vlookup($A625&amp;$B625,'5) Release_Track'!$F:$F&amp;'5) Release_Track'!$G:$G,1,0))),vlookup($A625&amp;$B625,{'5) Release_Track'!$F:$F&amp;'5) Release_Track'!$G:$G,'5) Release_Track'!$H:$H},2,0), or(and(not(isblank($B625)),$B625=$B624,$A625&lt;&gt;$A624),and(not(isblank($A625)),$A625=$A624,$B625&lt;&gt;$B624)),"ID LISTS UNALIGNED",and($A625&lt;&gt;"",countif('5) Release_Track'!$F:$F,$A625)=0),"NO ISRC MATCH in Release_Track",and($B625&lt;&gt;"",countif('5) Release_Track'!$G:$G,$B625)=0),"NO CATALOG ID MATCH in Release_Track",iserror(vlookup($A625&amp;$B625,'5) Release_Track'!$F:$F&amp;'5) Release_Track'!$G:$G,1,0)),"NO ISRC-CATALOG ID pair MATCH in Release_Track" )</f>
        <v/>
      </c>
      <c r="D625" s="121" t="str">
        <f t="array" ref="D625">ifs(and(isblank($A625),isblank($B625)),"", not(iserror(vlookup($A625&amp;$B625,'5) Release_Track'!$F:$F&amp;'5) Release_Track'!$G:$G,1,0))),vlookup($A625&amp;$B625,{'5) Release_Track'!$F:$F&amp;'5) Release_Track'!$G:$G,'5) Release_Track'!$I:$I},2,0), or(and(not(isblank($B625)),$B625=$B624,$A625&lt;&gt;$A624),and(not(isblank($A625)),$A625=$A624,$B625&lt;&gt;$B624)),"ID LISTS UNALIGNED",and($A625&lt;&gt;"",countif('5) Release_Track'!$F:$F,$A625)=0),"NO ISRC MATCH in Release_Track",and($B625&lt;&gt;"",countif('5) Release_Track'!$G:$G,$B625)=0),"NO CATALOG ID MATCH in Release_Track",iserror(vlookup($A625&amp;$B625,'5) Release_Track'!$F:$F&amp;'5) Release_Track'!$G:$G,1,0)),"NO ISRC-CATALOG ID pair MATCH in Release_Track" )</f>
        <v/>
      </c>
      <c r="E625" s="99"/>
      <c r="F625" s="99"/>
      <c r="G625" s="123" t="str">
        <f t="array" ref="G625">ifs(or($F625="",$F625="Main Primary Artist"),$F625,not(iserror(vlookup($F625,'Reference info'!$J$5:$J$8,1,0))),"Key Artist",not(iserror(vlookup($F625,'Reference info'!$J$38:$J$405,1,0))),"Performer",not(iserror(vlookup($F625,'Reference info'!$J$10:$J$36,1,0))),"Producer &amp; Engineer")</f>
        <v/>
      </c>
    </row>
    <row r="626">
      <c r="B626" s="103"/>
      <c r="C626" s="121" t="str">
        <f t="array" ref="C626">ifs(and(isblank($A626),isblank($B626)),"", not(iserror(vlookup($A626&amp;$B626,'5) Release_Track'!$F:$F&amp;'5) Release_Track'!$G:$G,1,0))),vlookup($A626&amp;$B626,{'5) Release_Track'!$F:$F&amp;'5) Release_Track'!$G:$G,'5) Release_Track'!$H:$H},2,0), or(and(not(isblank($B626)),$B626=$B625,$A626&lt;&gt;$A625),and(not(isblank($A626)),$A626=$A625,$B626&lt;&gt;$B625)),"ID LISTS UNALIGNED",and($A626&lt;&gt;"",countif('5) Release_Track'!$F:$F,$A626)=0),"NO ISRC MATCH in Release_Track",and($B626&lt;&gt;"",countif('5) Release_Track'!$G:$G,$B626)=0),"NO CATALOG ID MATCH in Release_Track",iserror(vlookup($A626&amp;$B626,'5) Release_Track'!$F:$F&amp;'5) Release_Track'!$G:$G,1,0)),"NO ISRC-CATALOG ID pair MATCH in Release_Track" )</f>
        <v/>
      </c>
      <c r="D626" s="121" t="str">
        <f t="array" ref="D626">ifs(and(isblank($A626),isblank($B626)),"", not(iserror(vlookup($A626&amp;$B626,'5) Release_Track'!$F:$F&amp;'5) Release_Track'!$G:$G,1,0))),vlookup($A626&amp;$B626,{'5) Release_Track'!$F:$F&amp;'5) Release_Track'!$G:$G,'5) Release_Track'!$I:$I},2,0), or(and(not(isblank($B626)),$B626=$B625,$A626&lt;&gt;$A625),and(not(isblank($A626)),$A626=$A625,$B626&lt;&gt;$B625)),"ID LISTS UNALIGNED",and($A626&lt;&gt;"",countif('5) Release_Track'!$F:$F,$A626)=0),"NO ISRC MATCH in Release_Track",and($B626&lt;&gt;"",countif('5) Release_Track'!$G:$G,$B626)=0),"NO CATALOG ID MATCH in Release_Track",iserror(vlookup($A626&amp;$B626,'5) Release_Track'!$F:$F&amp;'5) Release_Track'!$G:$G,1,0)),"NO ISRC-CATALOG ID pair MATCH in Release_Track" )</f>
        <v/>
      </c>
      <c r="E626" s="99"/>
      <c r="F626" s="99"/>
      <c r="G626" s="123" t="str">
        <f t="array" ref="G626">ifs(or($F626="",$F626="Main Primary Artist"),$F626,not(iserror(vlookup($F626,'Reference info'!$J$5:$J$8,1,0))),"Key Artist",not(iserror(vlookup($F626,'Reference info'!$J$38:$J$405,1,0))),"Performer",not(iserror(vlookup($F626,'Reference info'!$J$10:$J$36,1,0))),"Producer &amp; Engineer")</f>
        <v/>
      </c>
    </row>
    <row r="627">
      <c r="B627" s="103"/>
      <c r="C627" s="121" t="str">
        <f t="array" ref="C627">ifs(and(isblank($A627),isblank($B627)),"", not(iserror(vlookup($A627&amp;$B627,'5) Release_Track'!$F:$F&amp;'5) Release_Track'!$G:$G,1,0))),vlookup($A627&amp;$B627,{'5) Release_Track'!$F:$F&amp;'5) Release_Track'!$G:$G,'5) Release_Track'!$H:$H},2,0), or(and(not(isblank($B627)),$B627=$B626,$A627&lt;&gt;$A626),and(not(isblank($A627)),$A627=$A626,$B627&lt;&gt;$B626)),"ID LISTS UNALIGNED",and($A627&lt;&gt;"",countif('5) Release_Track'!$F:$F,$A627)=0),"NO ISRC MATCH in Release_Track",and($B627&lt;&gt;"",countif('5) Release_Track'!$G:$G,$B627)=0),"NO CATALOG ID MATCH in Release_Track",iserror(vlookup($A627&amp;$B627,'5) Release_Track'!$F:$F&amp;'5) Release_Track'!$G:$G,1,0)),"NO ISRC-CATALOG ID pair MATCH in Release_Track" )</f>
        <v/>
      </c>
      <c r="D627" s="121" t="str">
        <f t="array" ref="D627">ifs(and(isblank($A627),isblank($B627)),"", not(iserror(vlookup($A627&amp;$B627,'5) Release_Track'!$F:$F&amp;'5) Release_Track'!$G:$G,1,0))),vlookup($A627&amp;$B627,{'5) Release_Track'!$F:$F&amp;'5) Release_Track'!$G:$G,'5) Release_Track'!$I:$I},2,0), or(and(not(isblank($B627)),$B627=$B626,$A627&lt;&gt;$A626),and(not(isblank($A627)),$A627=$A626,$B627&lt;&gt;$B626)),"ID LISTS UNALIGNED",and($A627&lt;&gt;"",countif('5) Release_Track'!$F:$F,$A627)=0),"NO ISRC MATCH in Release_Track",and($B627&lt;&gt;"",countif('5) Release_Track'!$G:$G,$B627)=0),"NO CATALOG ID MATCH in Release_Track",iserror(vlookup($A627&amp;$B627,'5) Release_Track'!$F:$F&amp;'5) Release_Track'!$G:$G,1,0)),"NO ISRC-CATALOG ID pair MATCH in Release_Track" )</f>
        <v/>
      </c>
      <c r="E627" s="99"/>
      <c r="F627" s="99"/>
      <c r="G627" s="123" t="str">
        <f t="array" ref="G627">ifs(or($F627="",$F627="Main Primary Artist"),$F627,not(iserror(vlookup($F627,'Reference info'!$J$5:$J$8,1,0))),"Key Artist",not(iserror(vlookup($F627,'Reference info'!$J$38:$J$405,1,0))),"Performer",not(iserror(vlookup($F627,'Reference info'!$J$10:$J$36,1,0))),"Producer &amp; Engineer")</f>
        <v/>
      </c>
    </row>
    <row r="628">
      <c r="B628" s="103"/>
      <c r="C628" s="121" t="str">
        <f t="array" ref="C628">ifs(and(isblank($A628),isblank($B628)),"", not(iserror(vlookup($A628&amp;$B628,'5) Release_Track'!$F:$F&amp;'5) Release_Track'!$G:$G,1,0))),vlookup($A628&amp;$B628,{'5) Release_Track'!$F:$F&amp;'5) Release_Track'!$G:$G,'5) Release_Track'!$H:$H},2,0), or(and(not(isblank($B628)),$B628=$B627,$A628&lt;&gt;$A627),and(not(isblank($A628)),$A628=$A627,$B628&lt;&gt;$B627)),"ID LISTS UNALIGNED",and($A628&lt;&gt;"",countif('5) Release_Track'!$F:$F,$A628)=0),"NO ISRC MATCH in Release_Track",and($B628&lt;&gt;"",countif('5) Release_Track'!$G:$G,$B628)=0),"NO CATALOG ID MATCH in Release_Track",iserror(vlookup($A628&amp;$B628,'5) Release_Track'!$F:$F&amp;'5) Release_Track'!$G:$G,1,0)),"NO ISRC-CATALOG ID pair MATCH in Release_Track" )</f>
        <v/>
      </c>
      <c r="D628" s="121" t="str">
        <f t="array" ref="D628">ifs(and(isblank($A628),isblank($B628)),"", not(iserror(vlookup($A628&amp;$B628,'5) Release_Track'!$F:$F&amp;'5) Release_Track'!$G:$G,1,0))),vlookup($A628&amp;$B628,{'5) Release_Track'!$F:$F&amp;'5) Release_Track'!$G:$G,'5) Release_Track'!$I:$I},2,0), or(and(not(isblank($B628)),$B628=$B627,$A628&lt;&gt;$A627),and(not(isblank($A628)),$A628=$A627,$B628&lt;&gt;$B627)),"ID LISTS UNALIGNED",and($A628&lt;&gt;"",countif('5) Release_Track'!$F:$F,$A628)=0),"NO ISRC MATCH in Release_Track",and($B628&lt;&gt;"",countif('5) Release_Track'!$G:$G,$B628)=0),"NO CATALOG ID MATCH in Release_Track",iserror(vlookup($A628&amp;$B628,'5) Release_Track'!$F:$F&amp;'5) Release_Track'!$G:$G,1,0)),"NO ISRC-CATALOG ID pair MATCH in Release_Track" )</f>
        <v/>
      </c>
      <c r="E628" s="99"/>
      <c r="F628" s="99"/>
      <c r="G628" s="123" t="str">
        <f t="array" ref="G628">ifs(or($F628="",$F628="Main Primary Artist"),$F628,not(iserror(vlookup($F628,'Reference info'!$J$5:$J$8,1,0))),"Key Artist",not(iserror(vlookup($F628,'Reference info'!$J$38:$J$405,1,0))),"Performer",not(iserror(vlookup($F628,'Reference info'!$J$10:$J$36,1,0))),"Producer &amp; Engineer")</f>
        <v/>
      </c>
    </row>
    <row r="629">
      <c r="B629" s="103"/>
      <c r="C629" s="121" t="str">
        <f t="array" ref="C629">ifs(and(isblank($A629),isblank($B629)),"", not(iserror(vlookup($A629&amp;$B629,'5) Release_Track'!$F:$F&amp;'5) Release_Track'!$G:$G,1,0))),vlookup($A629&amp;$B629,{'5) Release_Track'!$F:$F&amp;'5) Release_Track'!$G:$G,'5) Release_Track'!$H:$H},2,0), or(and(not(isblank($B629)),$B629=$B628,$A629&lt;&gt;$A628),and(not(isblank($A629)),$A629=$A628,$B629&lt;&gt;$B628)),"ID LISTS UNALIGNED",and($A629&lt;&gt;"",countif('5) Release_Track'!$F:$F,$A629)=0),"NO ISRC MATCH in Release_Track",and($B629&lt;&gt;"",countif('5) Release_Track'!$G:$G,$B629)=0),"NO CATALOG ID MATCH in Release_Track",iserror(vlookup($A629&amp;$B629,'5) Release_Track'!$F:$F&amp;'5) Release_Track'!$G:$G,1,0)),"NO ISRC-CATALOG ID pair MATCH in Release_Track" )</f>
        <v/>
      </c>
      <c r="D629" s="121" t="str">
        <f t="array" ref="D629">ifs(and(isblank($A629),isblank($B629)),"", not(iserror(vlookup($A629&amp;$B629,'5) Release_Track'!$F:$F&amp;'5) Release_Track'!$G:$G,1,0))),vlookup($A629&amp;$B629,{'5) Release_Track'!$F:$F&amp;'5) Release_Track'!$G:$G,'5) Release_Track'!$I:$I},2,0), or(and(not(isblank($B629)),$B629=$B628,$A629&lt;&gt;$A628),and(not(isblank($A629)),$A629=$A628,$B629&lt;&gt;$B628)),"ID LISTS UNALIGNED",and($A629&lt;&gt;"",countif('5) Release_Track'!$F:$F,$A629)=0),"NO ISRC MATCH in Release_Track",and($B629&lt;&gt;"",countif('5) Release_Track'!$G:$G,$B629)=0),"NO CATALOG ID MATCH in Release_Track",iserror(vlookup($A629&amp;$B629,'5) Release_Track'!$F:$F&amp;'5) Release_Track'!$G:$G,1,0)),"NO ISRC-CATALOG ID pair MATCH in Release_Track" )</f>
        <v/>
      </c>
      <c r="E629" s="99"/>
      <c r="F629" s="99"/>
      <c r="G629" s="123" t="str">
        <f t="array" ref="G629">ifs(or($F629="",$F629="Main Primary Artist"),$F629,not(iserror(vlookup($F629,'Reference info'!$J$5:$J$8,1,0))),"Key Artist",not(iserror(vlookup($F629,'Reference info'!$J$38:$J$405,1,0))),"Performer",not(iserror(vlookup($F629,'Reference info'!$J$10:$J$36,1,0))),"Producer &amp; Engineer")</f>
        <v/>
      </c>
    </row>
    <row r="630">
      <c r="B630" s="103"/>
      <c r="C630" s="121" t="str">
        <f t="array" ref="C630">ifs(and(isblank($A630),isblank($B630)),"", not(iserror(vlookup($A630&amp;$B630,'5) Release_Track'!$F:$F&amp;'5) Release_Track'!$G:$G,1,0))),vlookup($A630&amp;$B630,{'5) Release_Track'!$F:$F&amp;'5) Release_Track'!$G:$G,'5) Release_Track'!$H:$H},2,0), or(and(not(isblank($B630)),$B630=$B629,$A630&lt;&gt;$A629),and(not(isblank($A630)),$A630=$A629,$B630&lt;&gt;$B629)),"ID LISTS UNALIGNED",and($A630&lt;&gt;"",countif('5) Release_Track'!$F:$F,$A630)=0),"NO ISRC MATCH in Release_Track",and($B630&lt;&gt;"",countif('5) Release_Track'!$G:$G,$B630)=0),"NO CATALOG ID MATCH in Release_Track",iserror(vlookup($A630&amp;$B630,'5) Release_Track'!$F:$F&amp;'5) Release_Track'!$G:$G,1,0)),"NO ISRC-CATALOG ID pair MATCH in Release_Track" )</f>
        <v/>
      </c>
      <c r="D630" s="121" t="str">
        <f t="array" ref="D630">ifs(and(isblank($A630),isblank($B630)),"", not(iserror(vlookup($A630&amp;$B630,'5) Release_Track'!$F:$F&amp;'5) Release_Track'!$G:$G,1,0))),vlookup($A630&amp;$B630,{'5) Release_Track'!$F:$F&amp;'5) Release_Track'!$G:$G,'5) Release_Track'!$I:$I},2,0), or(and(not(isblank($B630)),$B630=$B629,$A630&lt;&gt;$A629),and(not(isblank($A630)),$A630=$A629,$B630&lt;&gt;$B629)),"ID LISTS UNALIGNED",and($A630&lt;&gt;"",countif('5) Release_Track'!$F:$F,$A630)=0),"NO ISRC MATCH in Release_Track",and($B630&lt;&gt;"",countif('5) Release_Track'!$G:$G,$B630)=0),"NO CATALOG ID MATCH in Release_Track",iserror(vlookup($A630&amp;$B630,'5) Release_Track'!$F:$F&amp;'5) Release_Track'!$G:$G,1,0)),"NO ISRC-CATALOG ID pair MATCH in Release_Track" )</f>
        <v/>
      </c>
      <c r="E630" s="99"/>
      <c r="F630" s="99"/>
      <c r="G630" s="123" t="str">
        <f t="array" ref="G630">ifs(or($F630="",$F630="Main Primary Artist"),$F630,not(iserror(vlookup($F630,'Reference info'!$J$5:$J$8,1,0))),"Key Artist",not(iserror(vlookup($F630,'Reference info'!$J$38:$J$405,1,0))),"Performer",not(iserror(vlookup($F630,'Reference info'!$J$10:$J$36,1,0))),"Producer &amp; Engineer")</f>
        <v/>
      </c>
    </row>
    <row r="631">
      <c r="B631" s="103"/>
      <c r="C631" s="121" t="str">
        <f t="array" ref="C631">ifs(and(isblank($A631),isblank($B631)),"", not(iserror(vlookup($A631&amp;$B631,'5) Release_Track'!$F:$F&amp;'5) Release_Track'!$G:$G,1,0))),vlookup($A631&amp;$B631,{'5) Release_Track'!$F:$F&amp;'5) Release_Track'!$G:$G,'5) Release_Track'!$H:$H},2,0), or(and(not(isblank($B631)),$B631=$B630,$A631&lt;&gt;$A630),and(not(isblank($A631)),$A631=$A630,$B631&lt;&gt;$B630)),"ID LISTS UNALIGNED",and($A631&lt;&gt;"",countif('5) Release_Track'!$F:$F,$A631)=0),"NO ISRC MATCH in Release_Track",and($B631&lt;&gt;"",countif('5) Release_Track'!$G:$G,$B631)=0),"NO CATALOG ID MATCH in Release_Track",iserror(vlookup($A631&amp;$B631,'5) Release_Track'!$F:$F&amp;'5) Release_Track'!$G:$G,1,0)),"NO ISRC-CATALOG ID pair MATCH in Release_Track" )</f>
        <v/>
      </c>
      <c r="D631" s="121" t="str">
        <f t="array" ref="D631">ifs(and(isblank($A631),isblank($B631)),"", not(iserror(vlookup($A631&amp;$B631,'5) Release_Track'!$F:$F&amp;'5) Release_Track'!$G:$G,1,0))),vlookup($A631&amp;$B631,{'5) Release_Track'!$F:$F&amp;'5) Release_Track'!$G:$G,'5) Release_Track'!$I:$I},2,0), or(and(not(isblank($B631)),$B631=$B630,$A631&lt;&gt;$A630),and(not(isblank($A631)),$A631=$A630,$B631&lt;&gt;$B630)),"ID LISTS UNALIGNED",and($A631&lt;&gt;"",countif('5) Release_Track'!$F:$F,$A631)=0),"NO ISRC MATCH in Release_Track",and($B631&lt;&gt;"",countif('5) Release_Track'!$G:$G,$B631)=0),"NO CATALOG ID MATCH in Release_Track",iserror(vlookup($A631&amp;$B631,'5) Release_Track'!$F:$F&amp;'5) Release_Track'!$G:$G,1,0)),"NO ISRC-CATALOG ID pair MATCH in Release_Track" )</f>
        <v/>
      </c>
      <c r="E631" s="99"/>
      <c r="F631" s="99"/>
      <c r="G631" s="123" t="str">
        <f t="array" ref="G631">ifs(or($F631="",$F631="Main Primary Artist"),$F631,not(iserror(vlookup($F631,'Reference info'!$J$5:$J$8,1,0))),"Key Artist",not(iserror(vlookup($F631,'Reference info'!$J$38:$J$405,1,0))),"Performer",not(iserror(vlookup($F631,'Reference info'!$J$10:$J$36,1,0))),"Producer &amp; Engineer")</f>
        <v/>
      </c>
    </row>
    <row r="632">
      <c r="B632" s="103"/>
      <c r="C632" s="121" t="str">
        <f t="array" ref="C632">ifs(and(isblank($A632),isblank($B632)),"", not(iserror(vlookup($A632&amp;$B632,'5) Release_Track'!$F:$F&amp;'5) Release_Track'!$G:$G,1,0))),vlookup($A632&amp;$B632,{'5) Release_Track'!$F:$F&amp;'5) Release_Track'!$G:$G,'5) Release_Track'!$H:$H},2,0), or(and(not(isblank($B632)),$B632=$B631,$A632&lt;&gt;$A631),and(not(isblank($A632)),$A632=$A631,$B632&lt;&gt;$B631)),"ID LISTS UNALIGNED",and($A632&lt;&gt;"",countif('5) Release_Track'!$F:$F,$A632)=0),"NO ISRC MATCH in Release_Track",and($B632&lt;&gt;"",countif('5) Release_Track'!$G:$G,$B632)=0),"NO CATALOG ID MATCH in Release_Track",iserror(vlookup($A632&amp;$B632,'5) Release_Track'!$F:$F&amp;'5) Release_Track'!$G:$G,1,0)),"NO ISRC-CATALOG ID pair MATCH in Release_Track" )</f>
        <v/>
      </c>
      <c r="D632" s="121" t="str">
        <f t="array" ref="D632">ifs(and(isblank($A632),isblank($B632)),"", not(iserror(vlookup($A632&amp;$B632,'5) Release_Track'!$F:$F&amp;'5) Release_Track'!$G:$G,1,0))),vlookup($A632&amp;$B632,{'5) Release_Track'!$F:$F&amp;'5) Release_Track'!$G:$G,'5) Release_Track'!$I:$I},2,0), or(and(not(isblank($B632)),$B632=$B631,$A632&lt;&gt;$A631),and(not(isblank($A632)),$A632=$A631,$B632&lt;&gt;$B631)),"ID LISTS UNALIGNED",and($A632&lt;&gt;"",countif('5) Release_Track'!$F:$F,$A632)=0),"NO ISRC MATCH in Release_Track",and($B632&lt;&gt;"",countif('5) Release_Track'!$G:$G,$B632)=0),"NO CATALOG ID MATCH in Release_Track",iserror(vlookup($A632&amp;$B632,'5) Release_Track'!$F:$F&amp;'5) Release_Track'!$G:$G,1,0)),"NO ISRC-CATALOG ID pair MATCH in Release_Track" )</f>
        <v/>
      </c>
      <c r="E632" s="99"/>
      <c r="F632" s="99"/>
      <c r="G632" s="123" t="str">
        <f t="array" ref="G632">ifs(or($F632="",$F632="Main Primary Artist"),$F632,not(iserror(vlookup($F632,'Reference info'!$J$5:$J$8,1,0))),"Key Artist",not(iserror(vlookup($F632,'Reference info'!$J$38:$J$405,1,0))),"Performer",not(iserror(vlookup($F632,'Reference info'!$J$10:$J$36,1,0))),"Producer &amp; Engineer")</f>
        <v/>
      </c>
    </row>
    <row r="633">
      <c r="B633" s="103"/>
      <c r="C633" s="121" t="str">
        <f t="array" ref="C633">ifs(and(isblank($A633),isblank($B633)),"", not(iserror(vlookup($A633&amp;$B633,'5) Release_Track'!$F:$F&amp;'5) Release_Track'!$G:$G,1,0))),vlookup($A633&amp;$B633,{'5) Release_Track'!$F:$F&amp;'5) Release_Track'!$G:$G,'5) Release_Track'!$H:$H},2,0), or(and(not(isblank($B633)),$B633=$B632,$A633&lt;&gt;$A632),and(not(isblank($A633)),$A633=$A632,$B633&lt;&gt;$B632)),"ID LISTS UNALIGNED",and($A633&lt;&gt;"",countif('5) Release_Track'!$F:$F,$A633)=0),"NO ISRC MATCH in Release_Track",and($B633&lt;&gt;"",countif('5) Release_Track'!$G:$G,$B633)=0),"NO CATALOG ID MATCH in Release_Track",iserror(vlookup($A633&amp;$B633,'5) Release_Track'!$F:$F&amp;'5) Release_Track'!$G:$G,1,0)),"NO ISRC-CATALOG ID pair MATCH in Release_Track" )</f>
        <v/>
      </c>
      <c r="D633" s="121" t="str">
        <f t="array" ref="D633">ifs(and(isblank($A633),isblank($B633)),"", not(iserror(vlookup($A633&amp;$B633,'5) Release_Track'!$F:$F&amp;'5) Release_Track'!$G:$G,1,0))),vlookup($A633&amp;$B633,{'5) Release_Track'!$F:$F&amp;'5) Release_Track'!$G:$G,'5) Release_Track'!$I:$I},2,0), or(and(not(isblank($B633)),$B633=$B632,$A633&lt;&gt;$A632),and(not(isblank($A633)),$A633=$A632,$B633&lt;&gt;$B632)),"ID LISTS UNALIGNED",and($A633&lt;&gt;"",countif('5) Release_Track'!$F:$F,$A633)=0),"NO ISRC MATCH in Release_Track",and($B633&lt;&gt;"",countif('5) Release_Track'!$G:$G,$B633)=0),"NO CATALOG ID MATCH in Release_Track",iserror(vlookup($A633&amp;$B633,'5) Release_Track'!$F:$F&amp;'5) Release_Track'!$G:$G,1,0)),"NO ISRC-CATALOG ID pair MATCH in Release_Track" )</f>
        <v/>
      </c>
      <c r="E633" s="99"/>
      <c r="F633" s="99"/>
      <c r="G633" s="123" t="str">
        <f t="array" ref="G633">ifs(or($F633="",$F633="Main Primary Artist"),$F633,not(iserror(vlookup($F633,'Reference info'!$J$5:$J$8,1,0))),"Key Artist",not(iserror(vlookup($F633,'Reference info'!$J$38:$J$405,1,0))),"Performer",not(iserror(vlookup($F633,'Reference info'!$J$10:$J$36,1,0))),"Producer &amp; Engineer")</f>
        <v/>
      </c>
    </row>
    <row r="634">
      <c r="B634" s="103"/>
      <c r="C634" s="121" t="str">
        <f t="array" ref="C634">ifs(and(isblank($A634),isblank($B634)),"", not(iserror(vlookup($A634&amp;$B634,'5) Release_Track'!$F:$F&amp;'5) Release_Track'!$G:$G,1,0))),vlookup($A634&amp;$B634,{'5) Release_Track'!$F:$F&amp;'5) Release_Track'!$G:$G,'5) Release_Track'!$H:$H},2,0), or(and(not(isblank($B634)),$B634=$B633,$A634&lt;&gt;$A633),and(not(isblank($A634)),$A634=$A633,$B634&lt;&gt;$B633)),"ID LISTS UNALIGNED",and($A634&lt;&gt;"",countif('5) Release_Track'!$F:$F,$A634)=0),"NO ISRC MATCH in Release_Track",and($B634&lt;&gt;"",countif('5) Release_Track'!$G:$G,$B634)=0),"NO CATALOG ID MATCH in Release_Track",iserror(vlookup($A634&amp;$B634,'5) Release_Track'!$F:$F&amp;'5) Release_Track'!$G:$G,1,0)),"NO ISRC-CATALOG ID pair MATCH in Release_Track" )</f>
        <v/>
      </c>
      <c r="D634" s="121" t="str">
        <f t="array" ref="D634">ifs(and(isblank($A634),isblank($B634)),"", not(iserror(vlookup($A634&amp;$B634,'5) Release_Track'!$F:$F&amp;'5) Release_Track'!$G:$G,1,0))),vlookup($A634&amp;$B634,{'5) Release_Track'!$F:$F&amp;'5) Release_Track'!$G:$G,'5) Release_Track'!$I:$I},2,0), or(and(not(isblank($B634)),$B634=$B633,$A634&lt;&gt;$A633),and(not(isblank($A634)),$A634=$A633,$B634&lt;&gt;$B633)),"ID LISTS UNALIGNED",and($A634&lt;&gt;"",countif('5) Release_Track'!$F:$F,$A634)=0),"NO ISRC MATCH in Release_Track",and($B634&lt;&gt;"",countif('5) Release_Track'!$G:$G,$B634)=0),"NO CATALOG ID MATCH in Release_Track",iserror(vlookup($A634&amp;$B634,'5) Release_Track'!$F:$F&amp;'5) Release_Track'!$G:$G,1,0)),"NO ISRC-CATALOG ID pair MATCH in Release_Track" )</f>
        <v/>
      </c>
      <c r="E634" s="99"/>
      <c r="F634" s="99"/>
      <c r="G634" s="123" t="str">
        <f t="array" ref="G634">ifs(or($F634="",$F634="Main Primary Artist"),$F634,not(iserror(vlookup($F634,'Reference info'!$J$5:$J$8,1,0))),"Key Artist",not(iserror(vlookup($F634,'Reference info'!$J$38:$J$405,1,0))),"Performer",not(iserror(vlookup($F634,'Reference info'!$J$10:$J$36,1,0))),"Producer &amp; Engineer")</f>
        <v/>
      </c>
    </row>
    <row r="635">
      <c r="B635" s="103"/>
      <c r="C635" s="121" t="str">
        <f t="array" ref="C635">ifs(and(isblank($A635),isblank($B635)),"", not(iserror(vlookup($A635&amp;$B635,'5) Release_Track'!$F:$F&amp;'5) Release_Track'!$G:$G,1,0))),vlookup($A635&amp;$B635,{'5) Release_Track'!$F:$F&amp;'5) Release_Track'!$G:$G,'5) Release_Track'!$H:$H},2,0), or(and(not(isblank($B635)),$B635=$B634,$A635&lt;&gt;$A634),and(not(isblank($A635)),$A635=$A634,$B635&lt;&gt;$B634)),"ID LISTS UNALIGNED",and($A635&lt;&gt;"",countif('5) Release_Track'!$F:$F,$A635)=0),"NO ISRC MATCH in Release_Track",and($B635&lt;&gt;"",countif('5) Release_Track'!$G:$G,$B635)=0),"NO CATALOG ID MATCH in Release_Track",iserror(vlookup($A635&amp;$B635,'5) Release_Track'!$F:$F&amp;'5) Release_Track'!$G:$G,1,0)),"NO ISRC-CATALOG ID pair MATCH in Release_Track" )</f>
        <v/>
      </c>
      <c r="D635" s="121" t="str">
        <f t="array" ref="D635">ifs(and(isblank($A635),isblank($B635)),"", not(iserror(vlookup($A635&amp;$B635,'5) Release_Track'!$F:$F&amp;'5) Release_Track'!$G:$G,1,0))),vlookup($A635&amp;$B635,{'5) Release_Track'!$F:$F&amp;'5) Release_Track'!$G:$G,'5) Release_Track'!$I:$I},2,0), or(and(not(isblank($B635)),$B635=$B634,$A635&lt;&gt;$A634),and(not(isblank($A635)),$A635=$A634,$B635&lt;&gt;$B634)),"ID LISTS UNALIGNED",and($A635&lt;&gt;"",countif('5) Release_Track'!$F:$F,$A635)=0),"NO ISRC MATCH in Release_Track",and($B635&lt;&gt;"",countif('5) Release_Track'!$G:$G,$B635)=0),"NO CATALOG ID MATCH in Release_Track",iserror(vlookup($A635&amp;$B635,'5) Release_Track'!$F:$F&amp;'5) Release_Track'!$G:$G,1,0)),"NO ISRC-CATALOG ID pair MATCH in Release_Track" )</f>
        <v/>
      </c>
      <c r="E635" s="99"/>
      <c r="F635" s="99"/>
      <c r="G635" s="123" t="str">
        <f t="array" ref="G635">ifs(or($F635="",$F635="Main Primary Artist"),$F635,not(iserror(vlookup($F635,'Reference info'!$J$5:$J$8,1,0))),"Key Artist",not(iserror(vlookup($F635,'Reference info'!$J$38:$J$405,1,0))),"Performer",not(iserror(vlookup($F635,'Reference info'!$J$10:$J$36,1,0))),"Producer &amp; Engineer")</f>
        <v/>
      </c>
    </row>
    <row r="636">
      <c r="B636" s="103"/>
      <c r="C636" s="121" t="str">
        <f t="array" ref="C636">ifs(and(isblank($A636),isblank($B636)),"", not(iserror(vlookup($A636&amp;$B636,'5) Release_Track'!$F:$F&amp;'5) Release_Track'!$G:$G,1,0))),vlookup($A636&amp;$B636,{'5) Release_Track'!$F:$F&amp;'5) Release_Track'!$G:$G,'5) Release_Track'!$H:$H},2,0), or(and(not(isblank($B636)),$B636=$B635,$A636&lt;&gt;$A635),and(not(isblank($A636)),$A636=$A635,$B636&lt;&gt;$B635)),"ID LISTS UNALIGNED",and($A636&lt;&gt;"",countif('5) Release_Track'!$F:$F,$A636)=0),"NO ISRC MATCH in Release_Track",and($B636&lt;&gt;"",countif('5) Release_Track'!$G:$G,$B636)=0),"NO CATALOG ID MATCH in Release_Track",iserror(vlookup($A636&amp;$B636,'5) Release_Track'!$F:$F&amp;'5) Release_Track'!$G:$G,1,0)),"NO ISRC-CATALOG ID pair MATCH in Release_Track" )</f>
        <v/>
      </c>
      <c r="D636" s="121" t="str">
        <f t="array" ref="D636">ifs(and(isblank($A636),isblank($B636)),"", not(iserror(vlookup($A636&amp;$B636,'5) Release_Track'!$F:$F&amp;'5) Release_Track'!$G:$G,1,0))),vlookup($A636&amp;$B636,{'5) Release_Track'!$F:$F&amp;'5) Release_Track'!$G:$G,'5) Release_Track'!$I:$I},2,0), or(and(not(isblank($B636)),$B636=$B635,$A636&lt;&gt;$A635),and(not(isblank($A636)),$A636=$A635,$B636&lt;&gt;$B635)),"ID LISTS UNALIGNED",and($A636&lt;&gt;"",countif('5) Release_Track'!$F:$F,$A636)=0),"NO ISRC MATCH in Release_Track",and($B636&lt;&gt;"",countif('5) Release_Track'!$G:$G,$B636)=0),"NO CATALOG ID MATCH in Release_Track",iserror(vlookup($A636&amp;$B636,'5) Release_Track'!$F:$F&amp;'5) Release_Track'!$G:$G,1,0)),"NO ISRC-CATALOG ID pair MATCH in Release_Track" )</f>
        <v/>
      </c>
      <c r="E636" s="99"/>
      <c r="F636" s="99"/>
      <c r="G636" s="123" t="str">
        <f t="array" ref="G636">ifs(or($F636="",$F636="Main Primary Artist"),$F636,not(iserror(vlookup($F636,'Reference info'!$J$5:$J$8,1,0))),"Key Artist",not(iserror(vlookup($F636,'Reference info'!$J$38:$J$405,1,0))),"Performer",not(iserror(vlookup($F636,'Reference info'!$J$10:$J$36,1,0))),"Producer &amp; Engineer")</f>
        <v/>
      </c>
    </row>
    <row r="637">
      <c r="B637" s="103"/>
      <c r="C637" s="121" t="str">
        <f t="array" ref="C637">ifs(and(isblank($A637),isblank($B637)),"", not(iserror(vlookup($A637&amp;$B637,'5) Release_Track'!$F:$F&amp;'5) Release_Track'!$G:$G,1,0))),vlookup($A637&amp;$B637,{'5) Release_Track'!$F:$F&amp;'5) Release_Track'!$G:$G,'5) Release_Track'!$H:$H},2,0), or(and(not(isblank($B637)),$B637=$B636,$A637&lt;&gt;$A636),and(not(isblank($A637)),$A637=$A636,$B637&lt;&gt;$B636)),"ID LISTS UNALIGNED",and($A637&lt;&gt;"",countif('5) Release_Track'!$F:$F,$A637)=0),"NO ISRC MATCH in Release_Track",and($B637&lt;&gt;"",countif('5) Release_Track'!$G:$G,$B637)=0),"NO CATALOG ID MATCH in Release_Track",iserror(vlookup($A637&amp;$B637,'5) Release_Track'!$F:$F&amp;'5) Release_Track'!$G:$G,1,0)),"NO ISRC-CATALOG ID pair MATCH in Release_Track" )</f>
        <v/>
      </c>
      <c r="D637" s="121" t="str">
        <f t="array" ref="D637">ifs(and(isblank($A637),isblank($B637)),"", not(iserror(vlookup($A637&amp;$B637,'5) Release_Track'!$F:$F&amp;'5) Release_Track'!$G:$G,1,0))),vlookup($A637&amp;$B637,{'5) Release_Track'!$F:$F&amp;'5) Release_Track'!$G:$G,'5) Release_Track'!$I:$I},2,0), or(and(not(isblank($B637)),$B637=$B636,$A637&lt;&gt;$A636),and(not(isblank($A637)),$A637=$A636,$B637&lt;&gt;$B636)),"ID LISTS UNALIGNED",and($A637&lt;&gt;"",countif('5) Release_Track'!$F:$F,$A637)=0),"NO ISRC MATCH in Release_Track",and($B637&lt;&gt;"",countif('5) Release_Track'!$G:$G,$B637)=0),"NO CATALOG ID MATCH in Release_Track",iserror(vlookup($A637&amp;$B637,'5) Release_Track'!$F:$F&amp;'5) Release_Track'!$G:$G,1,0)),"NO ISRC-CATALOG ID pair MATCH in Release_Track" )</f>
        <v/>
      </c>
      <c r="E637" s="99"/>
      <c r="F637" s="99"/>
      <c r="G637" s="123" t="str">
        <f t="array" ref="G637">ifs(or($F637="",$F637="Main Primary Artist"),$F637,not(iserror(vlookup($F637,'Reference info'!$J$5:$J$8,1,0))),"Key Artist",not(iserror(vlookup($F637,'Reference info'!$J$38:$J$405,1,0))),"Performer",not(iserror(vlookup($F637,'Reference info'!$J$10:$J$36,1,0))),"Producer &amp; Engineer")</f>
        <v/>
      </c>
    </row>
    <row r="638">
      <c r="B638" s="103"/>
      <c r="C638" s="121" t="str">
        <f t="array" ref="C638">ifs(and(isblank($A638),isblank($B638)),"", not(iserror(vlookup($A638&amp;$B638,'5) Release_Track'!$F:$F&amp;'5) Release_Track'!$G:$G,1,0))),vlookup($A638&amp;$B638,{'5) Release_Track'!$F:$F&amp;'5) Release_Track'!$G:$G,'5) Release_Track'!$H:$H},2,0), or(and(not(isblank($B638)),$B638=$B637,$A638&lt;&gt;$A637),and(not(isblank($A638)),$A638=$A637,$B638&lt;&gt;$B637)),"ID LISTS UNALIGNED",and($A638&lt;&gt;"",countif('5) Release_Track'!$F:$F,$A638)=0),"NO ISRC MATCH in Release_Track",and($B638&lt;&gt;"",countif('5) Release_Track'!$G:$G,$B638)=0),"NO CATALOG ID MATCH in Release_Track",iserror(vlookup($A638&amp;$B638,'5) Release_Track'!$F:$F&amp;'5) Release_Track'!$G:$G,1,0)),"NO ISRC-CATALOG ID pair MATCH in Release_Track" )</f>
        <v/>
      </c>
      <c r="D638" s="121" t="str">
        <f t="array" ref="D638">ifs(and(isblank($A638),isblank($B638)),"", not(iserror(vlookup($A638&amp;$B638,'5) Release_Track'!$F:$F&amp;'5) Release_Track'!$G:$G,1,0))),vlookup($A638&amp;$B638,{'5) Release_Track'!$F:$F&amp;'5) Release_Track'!$G:$G,'5) Release_Track'!$I:$I},2,0), or(and(not(isblank($B638)),$B638=$B637,$A638&lt;&gt;$A637),and(not(isblank($A638)),$A638=$A637,$B638&lt;&gt;$B637)),"ID LISTS UNALIGNED",and($A638&lt;&gt;"",countif('5) Release_Track'!$F:$F,$A638)=0),"NO ISRC MATCH in Release_Track",and($B638&lt;&gt;"",countif('5) Release_Track'!$G:$G,$B638)=0),"NO CATALOG ID MATCH in Release_Track",iserror(vlookup($A638&amp;$B638,'5) Release_Track'!$F:$F&amp;'5) Release_Track'!$G:$G,1,0)),"NO ISRC-CATALOG ID pair MATCH in Release_Track" )</f>
        <v/>
      </c>
      <c r="E638" s="99"/>
      <c r="F638" s="99"/>
      <c r="G638" s="123" t="str">
        <f t="array" ref="G638">ifs(or($F638="",$F638="Main Primary Artist"),$F638,not(iserror(vlookup($F638,'Reference info'!$J$5:$J$8,1,0))),"Key Artist",not(iserror(vlookup($F638,'Reference info'!$J$38:$J$405,1,0))),"Performer",not(iserror(vlookup($F638,'Reference info'!$J$10:$J$36,1,0))),"Producer &amp; Engineer")</f>
        <v/>
      </c>
    </row>
    <row r="639">
      <c r="B639" s="103"/>
      <c r="C639" s="121" t="str">
        <f t="array" ref="C639">ifs(and(isblank($A639),isblank($B639)),"", not(iserror(vlookup($A639&amp;$B639,'5) Release_Track'!$F:$F&amp;'5) Release_Track'!$G:$G,1,0))),vlookup($A639&amp;$B639,{'5) Release_Track'!$F:$F&amp;'5) Release_Track'!$G:$G,'5) Release_Track'!$H:$H},2,0), or(and(not(isblank($B639)),$B639=$B638,$A639&lt;&gt;$A638),and(not(isblank($A639)),$A639=$A638,$B639&lt;&gt;$B638)),"ID LISTS UNALIGNED",and($A639&lt;&gt;"",countif('5) Release_Track'!$F:$F,$A639)=0),"NO ISRC MATCH in Release_Track",and($B639&lt;&gt;"",countif('5) Release_Track'!$G:$G,$B639)=0),"NO CATALOG ID MATCH in Release_Track",iserror(vlookup($A639&amp;$B639,'5) Release_Track'!$F:$F&amp;'5) Release_Track'!$G:$G,1,0)),"NO ISRC-CATALOG ID pair MATCH in Release_Track" )</f>
        <v/>
      </c>
      <c r="D639" s="121" t="str">
        <f t="array" ref="D639">ifs(and(isblank($A639),isblank($B639)),"", not(iserror(vlookup($A639&amp;$B639,'5) Release_Track'!$F:$F&amp;'5) Release_Track'!$G:$G,1,0))),vlookup($A639&amp;$B639,{'5) Release_Track'!$F:$F&amp;'5) Release_Track'!$G:$G,'5) Release_Track'!$I:$I},2,0), or(and(not(isblank($B639)),$B639=$B638,$A639&lt;&gt;$A638),and(not(isblank($A639)),$A639=$A638,$B639&lt;&gt;$B638)),"ID LISTS UNALIGNED",and($A639&lt;&gt;"",countif('5) Release_Track'!$F:$F,$A639)=0),"NO ISRC MATCH in Release_Track",and($B639&lt;&gt;"",countif('5) Release_Track'!$G:$G,$B639)=0),"NO CATALOG ID MATCH in Release_Track",iserror(vlookup($A639&amp;$B639,'5) Release_Track'!$F:$F&amp;'5) Release_Track'!$G:$G,1,0)),"NO ISRC-CATALOG ID pair MATCH in Release_Track" )</f>
        <v/>
      </c>
      <c r="E639" s="99"/>
      <c r="F639" s="99"/>
      <c r="G639" s="123" t="str">
        <f t="array" ref="G639">ifs(or($F639="",$F639="Main Primary Artist"),$F639,not(iserror(vlookup($F639,'Reference info'!$J$5:$J$8,1,0))),"Key Artist",not(iserror(vlookup($F639,'Reference info'!$J$38:$J$405,1,0))),"Performer",not(iserror(vlookup($F639,'Reference info'!$J$10:$J$36,1,0))),"Producer &amp; Engineer")</f>
        <v/>
      </c>
    </row>
    <row r="640">
      <c r="B640" s="103"/>
      <c r="C640" s="121" t="str">
        <f t="array" ref="C640">ifs(and(isblank($A640),isblank($B640)),"", not(iserror(vlookup($A640&amp;$B640,'5) Release_Track'!$F:$F&amp;'5) Release_Track'!$G:$G,1,0))),vlookup($A640&amp;$B640,{'5) Release_Track'!$F:$F&amp;'5) Release_Track'!$G:$G,'5) Release_Track'!$H:$H},2,0), or(and(not(isblank($B640)),$B640=$B639,$A640&lt;&gt;$A639),and(not(isblank($A640)),$A640=$A639,$B640&lt;&gt;$B639)),"ID LISTS UNALIGNED",and($A640&lt;&gt;"",countif('5) Release_Track'!$F:$F,$A640)=0),"NO ISRC MATCH in Release_Track",and($B640&lt;&gt;"",countif('5) Release_Track'!$G:$G,$B640)=0),"NO CATALOG ID MATCH in Release_Track",iserror(vlookup($A640&amp;$B640,'5) Release_Track'!$F:$F&amp;'5) Release_Track'!$G:$G,1,0)),"NO ISRC-CATALOG ID pair MATCH in Release_Track" )</f>
        <v/>
      </c>
      <c r="D640" s="121" t="str">
        <f t="array" ref="D640">ifs(and(isblank($A640),isblank($B640)),"", not(iserror(vlookup($A640&amp;$B640,'5) Release_Track'!$F:$F&amp;'5) Release_Track'!$G:$G,1,0))),vlookup($A640&amp;$B640,{'5) Release_Track'!$F:$F&amp;'5) Release_Track'!$G:$G,'5) Release_Track'!$I:$I},2,0), or(and(not(isblank($B640)),$B640=$B639,$A640&lt;&gt;$A639),and(not(isblank($A640)),$A640=$A639,$B640&lt;&gt;$B639)),"ID LISTS UNALIGNED",and($A640&lt;&gt;"",countif('5) Release_Track'!$F:$F,$A640)=0),"NO ISRC MATCH in Release_Track",and($B640&lt;&gt;"",countif('5) Release_Track'!$G:$G,$B640)=0),"NO CATALOG ID MATCH in Release_Track",iserror(vlookup($A640&amp;$B640,'5) Release_Track'!$F:$F&amp;'5) Release_Track'!$G:$G,1,0)),"NO ISRC-CATALOG ID pair MATCH in Release_Track" )</f>
        <v/>
      </c>
      <c r="E640" s="99"/>
      <c r="F640" s="99"/>
      <c r="G640" s="123" t="str">
        <f t="array" ref="G640">ifs(or($F640="",$F640="Main Primary Artist"),$F640,not(iserror(vlookup($F640,'Reference info'!$J$5:$J$8,1,0))),"Key Artist",not(iserror(vlookup($F640,'Reference info'!$J$38:$J$405,1,0))),"Performer",not(iserror(vlookup($F640,'Reference info'!$J$10:$J$36,1,0))),"Producer &amp; Engineer")</f>
        <v/>
      </c>
    </row>
    <row r="641">
      <c r="B641" s="103"/>
      <c r="C641" s="121" t="str">
        <f t="array" ref="C641">ifs(and(isblank($A641),isblank($B641)),"", not(iserror(vlookup($A641&amp;$B641,'5) Release_Track'!$F:$F&amp;'5) Release_Track'!$G:$G,1,0))),vlookup($A641&amp;$B641,{'5) Release_Track'!$F:$F&amp;'5) Release_Track'!$G:$G,'5) Release_Track'!$H:$H},2,0), or(and(not(isblank($B641)),$B641=$B640,$A641&lt;&gt;$A640),and(not(isblank($A641)),$A641=$A640,$B641&lt;&gt;$B640)),"ID LISTS UNALIGNED",and($A641&lt;&gt;"",countif('5) Release_Track'!$F:$F,$A641)=0),"NO ISRC MATCH in Release_Track",and($B641&lt;&gt;"",countif('5) Release_Track'!$G:$G,$B641)=0),"NO CATALOG ID MATCH in Release_Track",iserror(vlookup($A641&amp;$B641,'5) Release_Track'!$F:$F&amp;'5) Release_Track'!$G:$G,1,0)),"NO ISRC-CATALOG ID pair MATCH in Release_Track" )</f>
        <v/>
      </c>
      <c r="D641" s="121" t="str">
        <f t="array" ref="D641">ifs(and(isblank($A641),isblank($B641)),"", not(iserror(vlookup($A641&amp;$B641,'5) Release_Track'!$F:$F&amp;'5) Release_Track'!$G:$G,1,0))),vlookup($A641&amp;$B641,{'5) Release_Track'!$F:$F&amp;'5) Release_Track'!$G:$G,'5) Release_Track'!$I:$I},2,0), or(and(not(isblank($B641)),$B641=$B640,$A641&lt;&gt;$A640),and(not(isblank($A641)),$A641=$A640,$B641&lt;&gt;$B640)),"ID LISTS UNALIGNED",and($A641&lt;&gt;"",countif('5) Release_Track'!$F:$F,$A641)=0),"NO ISRC MATCH in Release_Track",and($B641&lt;&gt;"",countif('5) Release_Track'!$G:$G,$B641)=0),"NO CATALOG ID MATCH in Release_Track",iserror(vlookup($A641&amp;$B641,'5) Release_Track'!$F:$F&amp;'5) Release_Track'!$G:$G,1,0)),"NO ISRC-CATALOG ID pair MATCH in Release_Track" )</f>
        <v/>
      </c>
      <c r="E641" s="99"/>
      <c r="F641" s="99"/>
      <c r="G641" s="123" t="str">
        <f t="array" ref="G641">ifs(or($F641="",$F641="Main Primary Artist"),$F641,not(iserror(vlookup($F641,'Reference info'!$J$5:$J$8,1,0))),"Key Artist",not(iserror(vlookup($F641,'Reference info'!$J$38:$J$405,1,0))),"Performer",not(iserror(vlookup($F641,'Reference info'!$J$10:$J$36,1,0))),"Producer &amp; Engineer")</f>
        <v/>
      </c>
    </row>
    <row r="642">
      <c r="B642" s="103"/>
      <c r="C642" s="121" t="str">
        <f t="array" ref="C642">ifs(and(isblank($A642),isblank($B642)),"", not(iserror(vlookup($A642&amp;$B642,'5) Release_Track'!$F:$F&amp;'5) Release_Track'!$G:$G,1,0))),vlookup($A642&amp;$B642,{'5) Release_Track'!$F:$F&amp;'5) Release_Track'!$G:$G,'5) Release_Track'!$H:$H},2,0), or(and(not(isblank($B642)),$B642=$B641,$A642&lt;&gt;$A641),and(not(isblank($A642)),$A642=$A641,$B642&lt;&gt;$B641)),"ID LISTS UNALIGNED",and($A642&lt;&gt;"",countif('5) Release_Track'!$F:$F,$A642)=0),"NO ISRC MATCH in Release_Track",and($B642&lt;&gt;"",countif('5) Release_Track'!$G:$G,$B642)=0),"NO CATALOG ID MATCH in Release_Track",iserror(vlookup($A642&amp;$B642,'5) Release_Track'!$F:$F&amp;'5) Release_Track'!$G:$G,1,0)),"NO ISRC-CATALOG ID pair MATCH in Release_Track" )</f>
        <v/>
      </c>
      <c r="D642" s="121" t="str">
        <f t="array" ref="D642">ifs(and(isblank($A642),isblank($B642)),"", not(iserror(vlookup($A642&amp;$B642,'5) Release_Track'!$F:$F&amp;'5) Release_Track'!$G:$G,1,0))),vlookup($A642&amp;$B642,{'5) Release_Track'!$F:$F&amp;'5) Release_Track'!$G:$G,'5) Release_Track'!$I:$I},2,0), or(and(not(isblank($B642)),$B642=$B641,$A642&lt;&gt;$A641),and(not(isblank($A642)),$A642=$A641,$B642&lt;&gt;$B641)),"ID LISTS UNALIGNED",and($A642&lt;&gt;"",countif('5) Release_Track'!$F:$F,$A642)=0),"NO ISRC MATCH in Release_Track",and($B642&lt;&gt;"",countif('5) Release_Track'!$G:$G,$B642)=0),"NO CATALOG ID MATCH in Release_Track",iserror(vlookup($A642&amp;$B642,'5) Release_Track'!$F:$F&amp;'5) Release_Track'!$G:$G,1,0)),"NO ISRC-CATALOG ID pair MATCH in Release_Track" )</f>
        <v/>
      </c>
      <c r="E642" s="99"/>
      <c r="F642" s="99"/>
      <c r="G642" s="123" t="str">
        <f t="array" ref="G642">ifs(or($F642="",$F642="Main Primary Artist"),$F642,not(iserror(vlookup($F642,'Reference info'!$J$5:$J$8,1,0))),"Key Artist",not(iserror(vlookup($F642,'Reference info'!$J$38:$J$405,1,0))),"Performer",not(iserror(vlookup($F642,'Reference info'!$J$10:$J$36,1,0))),"Producer &amp; Engineer")</f>
        <v/>
      </c>
    </row>
    <row r="643">
      <c r="B643" s="103"/>
      <c r="C643" s="121" t="str">
        <f t="array" ref="C643">ifs(and(isblank($A643),isblank($B643)),"", not(iserror(vlookup($A643&amp;$B643,'5) Release_Track'!$F:$F&amp;'5) Release_Track'!$G:$G,1,0))),vlookup($A643&amp;$B643,{'5) Release_Track'!$F:$F&amp;'5) Release_Track'!$G:$G,'5) Release_Track'!$H:$H},2,0), or(and(not(isblank($B643)),$B643=$B642,$A643&lt;&gt;$A642),and(not(isblank($A643)),$A643=$A642,$B643&lt;&gt;$B642)),"ID LISTS UNALIGNED",and($A643&lt;&gt;"",countif('5) Release_Track'!$F:$F,$A643)=0),"NO ISRC MATCH in Release_Track",and($B643&lt;&gt;"",countif('5) Release_Track'!$G:$G,$B643)=0),"NO CATALOG ID MATCH in Release_Track",iserror(vlookup($A643&amp;$B643,'5) Release_Track'!$F:$F&amp;'5) Release_Track'!$G:$G,1,0)),"NO ISRC-CATALOG ID pair MATCH in Release_Track" )</f>
        <v/>
      </c>
      <c r="D643" s="121" t="str">
        <f t="array" ref="D643">ifs(and(isblank($A643),isblank($B643)),"", not(iserror(vlookup($A643&amp;$B643,'5) Release_Track'!$F:$F&amp;'5) Release_Track'!$G:$G,1,0))),vlookup($A643&amp;$B643,{'5) Release_Track'!$F:$F&amp;'5) Release_Track'!$G:$G,'5) Release_Track'!$I:$I},2,0), or(and(not(isblank($B643)),$B643=$B642,$A643&lt;&gt;$A642),and(not(isblank($A643)),$A643=$A642,$B643&lt;&gt;$B642)),"ID LISTS UNALIGNED",and($A643&lt;&gt;"",countif('5) Release_Track'!$F:$F,$A643)=0),"NO ISRC MATCH in Release_Track",and($B643&lt;&gt;"",countif('5) Release_Track'!$G:$G,$B643)=0),"NO CATALOG ID MATCH in Release_Track",iserror(vlookup($A643&amp;$B643,'5) Release_Track'!$F:$F&amp;'5) Release_Track'!$G:$G,1,0)),"NO ISRC-CATALOG ID pair MATCH in Release_Track" )</f>
        <v/>
      </c>
      <c r="E643" s="99"/>
      <c r="F643" s="99"/>
      <c r="G643" s="123" t="str">
        <f t="array" ref="G643">ifs(or($F643="",$F643="Main Primary Artist"),$F643,not(iserror(vlookup($F643,'Reference info'!$J$5:$J$8,1,0))),"Key Artist",not(iserror(vlookup($F643,'Reference info'!$J$38:$J$405,1,0))),"Performer",not(iserror(vlookup($F643,'Reference info'!$J$10:$J$36,1,0))),"Producer &amp; Engineer")</f>
        <v/>
      </c>
    </row>
    <row r="644">
      <c r="B644" s="103"/>
      <c r="C644" s="121" t="str">
        <f t="array" ref="C644">ifs(and(isblank($A644),isblank($B644)),"", not(iserror(vlookup($A644&amp;$B644,'5) Release_Track'!$F:$F&amp;'5) Release_Track'!$G:$G,1,0))),vlookup($A644&amp;$B644,{'5) Release_Track'!$F:$F&amp;'5) Release_Track'!$G:$G,'5) Release_Track'!$H:$H},2,0), or(and(not(isblank($B644)),$B644=$B643,$A644&lt;&gt;$A643),and(not(isblank($A644)),$A644=$A643,$B644&lt;&gt;$B643)),"ID LISTS UNALIGNED",and($A644&lt;&gt;"",countif('5) Release_Track'!$F:$F,$A644)=0),"NO ISRC MATCH in Release_Track",and($B644&lt;&gt;"",countif('5) Release_Track'!$G:$G,$B644)=0),"NO CATALOG ID MATCH in Release_Track",iserror(vlookup($A644&amp;$B644,'5) Release_Track'!$F:$F&amp;'5) Release_Track'!$G:$G,1,0)),"NO ISRC-CATALOG ID pair MATCH in Release_Track" )</f>
        <v/>
      </c>
      <c r="D644" s="121" t="str">
        <f t="array" ref="D644">ifs(and(isblank($A644),isblank($B644)),"", not(iserror(vlookup($A644&amp;$B644,'5) Release_Track'!$F:$F&amp;'5) Release_Track'!$G:$G,1,0))),vlookup($A644&amp;$B644,{'5) Release_Track'!$F:$F&amp;'5) Release_Track'!$G:$G,'5) Release_Track'!$I:$I},2,0), or(and(not(isblank($B644)),$B644=$B643,$A644&lt;&gt;$A643),and(not(isblank($A644)),$A644=$A643,$B644&lt;&gt;$B643)),"ID LISTS UNALIGNED",and($A644&lt;&gt;"",countif('5) Release_Track'!$F:$F,$A644)=0),"NO ISRC MATCH in Release_Track",and($B644&lt;&gt;"",countif('5) Release_Track'!$G:$G,$B644)=0),"NO CATALOG ID MATCH in Release_Track",iserror(vlookup($A644&amp;$B644,'5) Release_Track'!$F:$F&amp;'5) Release_Track'!$G:$G,1,0)),"NO ISRC-CATALOG ID pair MATCH in Release_Track" )</f>
        <v/>
      </c>
      <c r="E644" s="99"/>
      <c r="F644" s="99"/>
      <c r="G644" s="123" t="str">
        <f t="array" ref="G644">ifs(or($F644="",$F644="Main Primary Artist"),$F644,not(iserror(vlookup($F644,'Reference info'!$J$5:$J$8,1,0))),"Key Artist",not(iserror(vlookup($F644,'Reference info'!$J$38:$J$405,1,0))),"Performer",not(iserror(vlookup($F644,'Reference info'!$J$10:$J$36,1,0))),"Producer &amp; Engineer")</f>
        <v/>
      </c>
    </row>
    <row r="645">
      <c r="B645" s="103"/>
      <c r="C645" s="121" t="str">
        <f t="array" ref="C645">ifs(and(isblank($A645),isblank($B645)),"", not(iserror(vlookup($A645&amp;$B645,'5) Release_Track'!$F:$F&amp;'5) Release_Track'!$G:$G,1,0))),vlookup($A645&amp;$B645,{'5) Release_Track'!$F:$F&amp;'5) Release_Track'!$G:$G,'5) Release_Track'!$H:$H},2,0), or(and(not(isblank($B645)),$B645=$B644,$A645&lt;&gt;$A644),and(not(isblank($A645)),$A645=$A644,$B645&lt;&gt;$B644)),"ID LISTS UNALIGNED",and($A645&lt;&gt;"",countif('5) Release_Track'!$F:$F,$A645)=0),"NO ISRC MATCH in Release_Track",and($B645&lt;&gt;"",countif('5) Release_Track'!$G:$G,$B645)=0),"NO CATALOG ID MATCH in Release_Track",iserror(vlookup($A645&amp;$B645,'5) Release_Track'!$F:$F&amp;'5) Release_Track'!$G:$G,1,0)),"NO ISRC-CATALOG ID pair MATCH in Release_Track" )</f>
        <v/>
      </c>
      <c r="D645" s="121" t="str">
        <f t="array" ref="D645">ifs(and(isblank($A645),isblank($B645)),"", not(iserror(vlookup($A645&amp;$B645,'5) Release_Track'!$F:$F&amp;'5) Release_Track'!$G:$G,1,0))),vlookup($A645&amp;$B645,{'5) Release_Track'!$F:$F&amp;'5) Release_Track'!$G:$G,'5) Release_Track'!$I:$I},2,0), or(and(not(isblank($B645)),$B645=$B644,$A645&lt;&gt;$A644),and(not(isblank($A645)),$A645=$A644,$B645&lt;&gt;$B644)),"ID LISTS UNALIGNED",and($A645&lt;&gt;"",countif('5) Release_Track'!$F:$F,$A645)=0),"NO ISRC MATCH in Release_Track",and($B645&lt;&gt;"",countif('5) Release_Track'!$G:$G,$B645)=0),"NO CATALOG ID MATCH in Release_Track",iserror(vlookup($A645&amp;$B645,'5) Release_Track'!$F:$F&amp;'5) Release_Track'!$G:$G,1,0)),"NO ISRC-CATALOG ID pair MATCH in Release_Track" )</f>
        <v/>
      </c>
      <c r="E645" s="99"/>
      <c r="F645" s="99"/>
      <c r="G645" s="123" t="str">
        <f t="array" ref="G645">ifs(or($F645="",$F645="Main Primary Artist"),$F645,not(iserror(vlookup($F645,'Reference info'!$J$5:$J$8,1,0))),"Key Artist",not(iserror(vlookup($F645,'Reference info'!$J$38:$J$405,1,0))),"Performer",not(iserror(vlookup($F645,'Reference info'!$J$10:$J$36,1,0))),"Producer &amp; Engineer")</f>
        <v/>
      </c>
    </row>
    <row r="646">
      <c r="B646" s="103"/>
      <c r="C646" s="121" t="str">
        <f t="array" ref="C646">ifs(and(isblank($A646),isblank($B646)),"", not(iserror(vlookup($A646&amp;$B646,'5) Release_Track'!$F:$F&amp;'5) Release_Track'!$G:$G,1,0))),vlookup($A646&amp;$B646,{'5) Release_Track'!$F:$F&amp;'5) Release_Track'!$G:$G,'5) Release_Track'!$H:$H},2,0), or(and(not(isblank($B646)),$B646=$B645,$A646&lt;&gt;$A645),and(not(isblank($A646)),$A646=$A645,$B646&lt;&gt;$B645)),"ID LISTS UNALIGNED",and($A646&lt;&gt;"",countif('5) Release_Track'!$F:$F,$A646)=0),"NO ISRC MATCH in Release_Track",and($B646&lt;&gt;"",countif('5) Release_Track'!$G:$G,$B646)=0),"NO CATALOG ID MATCH in Release_Track",iserror(vlookup($A646&amp;$B646,'5) Release_Track'!$F:$F&amp;'5) Release_Track'!$G:$G,1,0)),"NO ISRC-CATALOG ID pair MATCH in Release_Track" )</f>
        <v/>
      </c>
      <c r="D646" s="121" t="str">
        <f t="array" ref="D646">ifs(and(isblank($A646),isblank($B646)),"", not(iserror(vlookup($A646&amp;$B646,'5) Release_Track'!$F:$F&amp;'5) Release_Track'!$G:$G,1,0))),vlookup($A646&amp;$B646,{'5) Release_Track'!$F:$F&amp;'5) Release_Track'!$G:$G,'5) Release_Track'!$I:$I},2,0), or(and(not(isblank($B646)),$B646=$B645,$A646&lt;&gt;$A645),and(not(isblank($A646)),$A646=$A645,$B646&lt;&gt;$B645)),"ID LISTS UNALIGNED",and($A646&lt;&gt;"",countif('5) Release_Track'!$F:$F,$A646)=0),"NO ISRC MATCH in Release_Track",and($B646&lt;&gt;"",countif('5) Release_Track'!$G:$G,$B646)=0),"NO CATALOG ID MATCH in Release_Track",iserror(vlookup($A646&amp;$B646,'5) Release_Track'!$F:$F&amp;'5) Release_Track'!$G:$G,1,0)),"NO ISRC-CATALOG ID pair MATCH in Release_Track" )</f>
        <v/>
      </c>
      <c r="E646" s="99"/>
      <c r="F646" s="99"/>
      <c r="G646" s="123" t="str">
        <f t="array" ref="G646">ifs(or($F646="",$F646="Main Primary Artist"),$F646,not(iserror(vlookup($F646,'Reference info'!$J$5:$J$8,1,0))),"Key Artist",not(iserror(vlookup($F646,'Reference info'!$J$38:$J$405,1,0))),"Performer",not(iserror(vlookup($F646,'Reference info'!$J$10:$J$36,1,0))),"Producer &amp; Engineer")</f>
        <v/>
      </c>
    </row>
    <row r="647">
      <c r="B647" s="103"/>
      <c r="C647" s="121" t="str">
        <f t="array" ref="C647">ifs(and(isblank($A647),isblank($B647)),"", not(iserror(vlookup($A647&amp;$B647,'5) Release_Track'!$F:$F&amp;'5) Release_Track'!$G:$G,1,0))),vlookup($A647&amp;$B647,{'5) Release_Track'!$F:$F&amp;'5) Release_Track'!$G:$G,'5) Release_Track'!$H:$H},2,0), or(and(not(isblank($B647)),$B647=$B646,$A647&lt;&gt;$A646),and(not(isblank($A647)),$A647=$A646,$B647&lt;&gt;$B646)),"ID LISTS UNALIGNED",and($A647&lt;&gt;"",countif('5) Release_Track'!$F:$F,$A647)=0),"NO ISRC MATCH in Release_Track",and($B647&lt;&gt;"",countif('5) Release_Track'!$G:$G,$B647)=0),"NO CATALOG ID MATCH in Release_Track",iserror(vlookup($A647&amp;$B647,'5) Release_Track'!$F:$F&amp;'5) Release_Track'!$G:$G,1,0)),"NO ISRC-CATALOG ID pair MATCH in Release_Track" )</f>
        <v/>
      </c>
      <c r="D647" s="121" t="str">
        <f t="array" ref="D647">ifs(and(isblank($A647),isblank($B647)),"", not(iserror(vlookup($A647&amp;$B647,'5) Release_Track'!$F:$F&amp;'5) Release_Track'!$G:$G,1,0))),vlookup($A647&amp;$B647,{'5) Release_Track'!$F:$F&amp;'5) Release_Track'!$G:$G,'5) Release_Track'!$I:$I},2,0), or(and(not(isblank($B647)),$B647=$B646,$A647&lt;&gt;$A646),and(not(isblank($A647)),$A647=$A646,$B647&lt;&gt;$B646)),"ID LISTS UNALIGNED",and($A647&lt;&gt;"",countif('5) Release_Track'!$F:$F,$A647)=0),"NO ISRC MATCH in Release_Track",and($B647&lt;&gt;"",countif('5) Release_Track'!$G:$G,$B647)=0),"NO CATALOG ID MATCH in Release_Track",iserror(vlookup($A647&amp;$B647,'5) Release_Track'!$F:$F&amp;'5) Release_Track'!$G:$G,1,0)),"NO ISRC-CATALOG ID pair MATCH in Release_Track" )</f>
        <v/>
      </c>
      <c r="E647" s="99"/>
      <c r="F647" s="99"/>
      <c r="G647" s="123" t="str">
        <f t="array" ref="G647">ifs(or($F647="",$F647="Main Primary Artist"),$F647,not(iserror(vlookup($F647,'Reference info'!$J$5:$J$8,1,0))),"Key Artist",not(iserror(vlookup($F647,'Reference info'!$J$38:$J$405,1,0))),"Performer",not(iserror(vlookup($F647,'Reference info'!$J$10:$J$36,1,0))),"Producer &amp; Engineer")</f>
        <v/>
      </c>
    </row>
    <row r="648">
      <c r="B648" s="103"/>
      <c r="C648" s="121" t="str">
        <f t="array" ref="C648">ifs(and(isblank($A648),isblank($B648)),"", not(iserror(vlookup($A648&amp;$B648,'5) Release_Track'!$F:$F&amp;'5) Release_Track'!$G:$G,1,0))),vlookup($A648&amp;$B648,{'5) Release_Track'!$F:$F&amp;'5) Release_Track'!$G:$G,'5) Release_Track'!$H:$H},2,0), or(and(not(isblank($B648)),$B648=$B647,$A648&lt;&gt;$A647),and(not(isblank($A648)),$A648=$A647,$B648&lt;&gt;$B647)),"ID LISTS UNALIGNED",and($A648&lt;&gt;"",countif('5) Release_Track'!$F:$F,$A648)=0),"NO ISRC MATCH in Release_Track",and($B648&lt;&gt;"",countif('5) Release_Track'!$G:$G,$B648)=0),"NO CATALOG ID MATCH in Release_Track",iserror(vlookup($A648&amp;$B648,'5) Release_Track'!$F:$F&amp;'5) Release_Track'!$G:$G,1,0)),"NO ISRC-CATALOG ID pair MATCH in Release_Track" )</f>
        <v/>
      </c>
      <c r="D648" s="121" t="str">
        <f t="array" ref="D648">ifs(and(isblank($A648),isblank($B648)),"", not(iserror(vlookup($A648&amp;$B648,'5) Release_Track'!$F:$F&amp;'5) Release_Track'!$G:$G,1,0))),vlookup($A648&amp;$B648,{'5) Release_Track'!$F:$F&amp;'5) Release_Track'!$G:$G,'5) Release_Track'!$I:$I},2,0), or(and(not(isblank($B648)),$B648=$B647,$A648&lt;&gt;$A647),and(not(isblank($A648)),$A648=$A647,$B648&lt;&gt;$B647)),"ID LISTS UNALIGNED",and($A648&lt;&gt;"",countif('5) Release_Track'!$F:$F,$A648)=0),"NO ISRC MATCH in Release_Track",and($B648&lt;&gt;"",countif('5) Release_Track'!$G:$G,$B648)=0),"NO CATALOG ID MATCH in Release_Track",iserror(vlookup($A648&amp;$B648,'5) Release_Track'!$F:$F&amp;'5) Release_Track'!$G:$G,1,0)),"NO ISRC-CATALOG ID pair MATCH in Release_Track" )</f>
        <v/>
      </c>
      <c r="E648" s="99"/>
      <c r="F648" s="99"/>
      <c r="G648" s="123" t="str">
        <f t="array" ref="G648">ifs(or($F648="",$F648="Main Primary Artist"),$F648,not(iserror(vlookup($F648,'Reference info'!$J$5:$J$8,1,0))),"Key Artist",not(iserror(vlookup($F648,'Reference info'!$J$38:$J$405,1,0))),"Performer",not(iserror(vlookup($F648,'Reference info'!$J$10:$J$36,1,0))),"Producer &amp; Engineer")</f>
        <v/>
      </c>
    </row>
    <row r="649">
      <c r="B649" s="103"/>
      <c r="C649" s="121" t="str">
        <f t="array" ref="C649">ifs(and(isblank($A649),isblank($B649)),"", not(iserror(vlookup($A649&amp;$B649,'5) Release_Track'!$F:$F&amp;'5) Release_Track'!$G:$G,1,0))),vlookup($A649&amp;$B649,{'5) Release_Track'!$F:$F&amp;'5) Release_Track'!$G:$G,'5) Release_Track'!$H:$H},2,0), or(and(not(isblank($B649)),$B649=$B648,$A649&lt;&gt;$A648),and(not(isblank($A649)),$A649=$A648,$B649&lt;&gt;$B648)),"ID LISTS UNALIGNED",and($A649&lt;&gt;"",countif('5) Release_Track'!$F:$F,$A649)=0),"NO ISRC MATCH in Release_Track",and($B649&lt;&gt;"",countif('5) Release_Track'!$G:$G,$B649)=0),"NO CATALOG ID MATCH in Release_Track",iserror(vlookup($A649&amp;$B649,'5) Release_Track'!$F:$F&amp;'5) Release_Track'!$G:$G,1,0)),"NO ISRC-CATALOG ID pair MATCH in Release_Track" )</f>
        <v/>
      </c>
      <c r="D649" s="121" t="str">
        <f t="array" ref="D649">ifs(and(isblank($A649),isblank($B649)),"", not(iserror(vlookup($A649&amp;$B649,'5) Release_Track'!$F:$F&amp;'5) Release_Track'!$G:$G,1,0))),vlookup($A649&amp;$B649,{'5) Release_Track'!$F:$F&amp;'5) Release_Track'!$G:$G,'5) Release_Track'!$I:$I},2,0), or(and(not(isblank($B649)),$B649=$B648,$A649&lt;&gt;$A648),and(not(isblank($A649)),$A649=$A648,$B649&lt;&gt;$B648)),"ID LISTS UNALIGNED",and($A649&lt;&gt;"",countif('5) Release_Track'!$F:$F,$A649)=0),"NO ISRC MATCH in Release_Track",and($B649&lt;&gt;"",countif('5) Release_Track'!$G:$G,$B649)=0),"NO CATALOG ID MATCH in Release_Track",iserror(vlookup($A649&amp;$B649,'5) Release_Track'!$F:$F&amp;'5) Release_Track'!$G:$G,1,0)),"NO ISRC-CATALOG ID pair MATCH in Release_Track" )</f>
        <v/>
      </c>
      <c r="E649" s="99"/>
      <c r="F649" s="99"/>
      <c r="G649" s="123" t="str">
        <f t="array" ref="G649">ifs(or($F649="",$F649="Main Primary Artist"),$F649,not(iserror(vlookup($F649,'Reference info'!$J$5:$J$8,1,0))),"Key Artist",not(iserror(vlookup($F649,'Reference info'!$J$38:$J$405,1,0))),"Performer",not(iserror(vlookup($F649,'Reference info'!$J$10:$J$36,1,0))),"Producer &amp; Engineer")</f>
        <v/>
      </c>
    </row>
    <row r="650">
      <c r="B650" s="103"/>
      <c r="C650" s="121" t="str">
        <f t="array" ref="C650">ifs(and(isblank($A650),isblank($B650)),"", not(iserror(vlookup($A650&amp;$B650,'5) Release_Track'!$F:$F&amp;'5) Release_Track'!$G:$G,1,0))),vlookup($A650&amp;$B650,{'5) Release_Track'!$F:$F&amp;'5) Release_Track'!$G:$G,'5) Release_Track'!$H:$H},2,0), or(and(not(isblank($B650)),$B650=$B649,$A650&lt;&gt;$A649),and(not(isblank($A650)),$A650=$A649,$B650&lt;&gt;$B649)),"ID LISTS UNALIGNED",and($A650&lt;&gt;"",countif('5) Release_Track'!$F:$F,$A650)=0),"NO ISRC MATCH in Release_Track",and($B650&lt;&gt;"",countif('5) Release_Track'!$G:$G,$B650)=0),"NO CATALOG ID MATCH in Release_Track",iserror(vlookup($A650&amp;$B650,'5) Release_Track'!$F:$F&amp;'5) Release_Track'!$G:$G,1,0)),"NO ISRC-CATALOG ID pair MATCH in Release_Track" )</f>
        <v/>
      </c>
      <c r="D650" s="121" t="str">
        <f t="array" ref="D650">ifs(and(isblank($A650),isblank($B650)),"", not(iserror(vlookup($A650&amp;$B650,'5) Release_Track'!$F:$F&amp;'5) Release_Track'!$G:$G,1,0))),vlookup($A650&amp;$B650,{'5) Release_Track'!$F:$F&amp;'5) Release_Track'!$G:$G,'5) Release_Track'!$I:$I},2,0), or(and(not(isblank($B650)),$B650=$B649,$A650&lt;&gt;$A649),and(not(isblank($A650)),$A650=$A649,$B650&lt;&gt;$B649)),"ID LISTS UNALIGNED",and($A650&lt;&gt;"",countif('5) Release_Track'!$F:$F,$A650)=0),"NO ISRC MATCH in Release_Track",and($B650&lt;&gt;"",countif('5) Release_Track'!$G:$G,$B650)=0),"NO CATALOG ID MATCH in Release_Track",iserror(vlookup($A650&amp;$B650,'5) Release_Track'!$F:$F&amp;'5) Release_Track'!$G:$G,1,0)),"NO ISRC-CATALOG ID pair MATCH in Release_Track" )</f>
        <v/>
      </c>
      <c r="E650" s="99"/>
      <c r="F650" s="99"/>
      <c r="G650" s="123" t="str">
        <f t="array" ref="G650">ifs(or($F650="",$F650="Main Primary Artist"),$F650,not(iserror(vlookup($F650,'Reference info'!$J$5:$J$8,1,0))),"Key Artist",not(iserror(vlookup($F650,'Reference info'!$J$38:$J$405,1,0))),"Performer",not(iserror(vlookup($F650,'Reference info'!$J$10:$J$36,1,0))),"Producer &amp; Engineer")</f>
        <v/>
      </c>
    </row>
    <row r="651">
      <c r="B651" s="103"/>
      <c r="C651" s="121" t="str">
        <f t="array" ref="C651">ifs(and(isblank($A651),isblank($B651)),"", not(iserror(vlookup($A651&amp;$B651,'5) Release_Track'!$F:$F&amp;'5) Release_Track'!$G:$G,1,0))),vlookup($A651&amp;$B651,{'5) Release_Track'!$F:$F&amp;'5) Release_Track'!$G:$G,'5) Release_Track'!$H:$H},2,0), or(and(not(isblank($B651)),$B651=$B650,$A651&lt;&gt;$A650),and(not(isblank($A651)),$A651=$A650,$B651&lt;&gt;$B650)),"ID LISTS UNALIGNED",and($A651&lt;&gt;"",countif('5) Release_Track'!$F:$F,$A651)=0),"NO ISRC MATCH in Release_Track",and($B651&lt;&gt;"",countif('5) Release_Track'!$G:$G,$B651)=0),"NO CATALOG ID MATCH in Release_Track",iserror(vlookup($A651&amp;$B651,'5) Release_Track'!$F:$F&amp;'5) Release_Track'!$G:$G,1,0)),"NO ISRC-CATALOG ID pair MATCH in Release_Track" )</f>
        <v/>
      </c>
      <c r="D651" s="121" t="str">
        <f t="array" ref="D651">ifs(and(isblank($A651),isblank($B651)),"", not(iserror(vlookup($A651&amp;$B651,'5) Release_Track'!$F:$F&amp;'5) Release_Track'!$G:$G,1,0))),vlookup($A651&amp;$B651,{'5) Release_Track'!$F:$F&amp;'5) Release_Track'!$G:$G,'5) Release_Track'!$I:$I},2,0), or(and(not(isblank($B651)),$B651=$B650,$A651&lt;&gt;$A650),and(not(isblank($A651)),$A651=$A650,$B651&lt;&gt;$B650)),"ID LISTS UNALIGNED",and($A651&lt;&gt;"",countif('5) Release_Track'!$F:$F,$A651)=0),"NO ISRC MATCH in Release_Track",and($B651&lt;&gt;"",countif('5) Release_Track'!$G:$G,$B651)=0),"NO CATALOG ID MATCH in Release_Track",iserror(vlookup($A651&amp;$B651,'5) Release_Track'!$F:$F&amp;'5) Release_Track'!$G:$G,1,0)),"NO ISRC-CATALOG ID pair MATCH in Release_Track" )</f>
        <v/>
      </c>
      <c r="E651" s="99"/>
      <c r="F651" s="99"/>
      <c r="G651" s="123" t="str">
        <f t="array" ref="G651">ifs(or($F651="",$F651="Main Primary Artist"),$F651,not(iserror(vlookup($F651,'Reference info'!$J$5:$J$8,1,0))),"Key Artist",not(iserror(vlookup($F651,'Reference info'!$J$38:$J$405,1,0))),"Performer",not(iserror(vlookup($F651,'Reference info'!$J$10:$J$36,1,0))),"Producer &amp; Engineer")</f>
        <v/>
      </c>
    </row>
    <row r="652">
      <c r="B652" s="103"/>
      <c r="C652" s="121" t="str">
        <f t="array" ref="C652">ifs(and(isblank($A652),isblank($B652)),"", not(iserror(vlookup($A652&amp;$B652,'5) Release_Track'!$F:$F&amp;'5) Release_Track'!$G:$G,1,0))),vlookup($A652&amp;$B652,{'5) Release_Track'!$F:$F&amp;'5) Release_Track'!$G:$G,'5) Release_Track'!$H:$H},2,0), or(and(not(isblank($B652)),$B652=$B651,$A652&lt;&gt;$A651),and(not(isblank($A652)),$A652=$A651,$B652&lt;&gt;$B651)),"ID LISTS UNALIGNED",and($A652&lt;&gt;"",countif('5) Release_Track'!$F:$F,$A652)=0),"NO ISRC MATCH in Release_Track",and($B652&lt;&gt;"",countif('5) Release_Track'!$G:$G,$B652)=0),"NO CATALOG ID MATCH in Release_Track",iserror(vlookup($A652&amp;$B652,'5) Release_Track'!$F:$F&amp;'5) Release_Track'!$G:$G,1,0)),"NO ISRC-CATALOG ID pair MATCH in Release_Track" )</f>
        <v/>
      </c>
      <c r="D652" s="121" t="str">
        <f t="array" ref="D652">ifs(and(isblank($A652),isblank($B652)),"", not(iserror(vlookup($A652&amp;$B652,'5) Release_Track'!$F:$F&amp;'5) Release_Track'!$G:$G,1,0))),vlookup($A652&amp;$B652,{'5) Release_Track'!$F:$F&amp;'5) Release_Track'!$G:$G,'5) Release_Track'!$I:$I},2,0), or(and(not(isblank($B652)),$B652=$B651,$A652&lt;&gt;$A651),and(not(isblank($A652)),$A652=$A651,$B652&lt;&gt;$B651)),"ID LISTS UNALIGNED",and($A652&lt;&gt;"",countif('5) Release_Track'!$F:$F,$A652)=0),"NO ISRC MATCH in Release_Track",and($B652&lt;&gt;"",countif('5) Release_Track'!$G:$G,$B652)=0),"NO CATALOG ID MATCH in Release_Track",iserror(vlookup($A652&amp;$B652,'5) Release_Track'!$F:$F&amp;'5) Release_Track'!$G:$G,1,0)),"NO ISRC-CATALOG ID pair MATCH in Release_Track" )</f>
        <v/>
      </c>
      <c r="E652" s="99"/>
      <c r="F652" s="99"/>
      <c r="G652" s="123" t="str">
        <f t="array" ref="G652">ifs(or($F652="",$F652="Main Primary Artist"),$F652,not(iserror(vlookup($F652,'Reference info'!$J$5:$J$8,1,0))),"Key Artist",not(iserror(vlookup($F652,'Reference info'!$J$38:$J$405,1,0))),"Performer",not(iserror(vlookup($F652,'Reference info'!$J$10:$J$36,1,0))),"Producer &amp; Engineer")</f>
        <v/>
      </c>
    </row>
    <row r="653">
      <c r="B653" s="103"/>
      <c r="C653" s="121" t="str">
        <f t="array" ref="C653">ifs(and(isblank($A653),isblank($B653)),"", not(iserror(vlookup($A653&amp;$B653,'5) Release_Track'!$F:$F&amp;'5) Release_Track'!$G:$G,1,0))),vlookup($A653&amp;$B653,{'5) Release_Track'!$F:$F&amp;'5) Release_Track'!$G:$G,'5) Release_Track'!$H:$H},2,0), or(and(not(isblank($B653)),$B653=$B652,$A653&lt;&gt;$A652),and(not(isblank($A653)),$A653=$A652,$B653&lt;&gt;$B652)),"ID LISTS UNALIGNED",and($A653&lt;&gt;"",countif('5) Release_Track'!$F:$F,$A653)=0),"NO ISRC MATCH in Release_Track",and($B653&lt;&gt;"",countif('5) Release_Track'!$G:$G,$B653)=0),"NO CATALOG ID MATCH in Release_Track",iserror(vlookup($A653&amp;$B653,'5) Release_Track'!$F:$F&amp;'5) Release_Track'!$G:$G,1,0)),"NO ISRC-CATALOG ID pair MATCH in Release_Track" )</f>
        <v/>
      </c>
      <c r="D653" s="121" t="str">
        <f t="array" ref="D653">ifs(and(isblank($A653),isblank($B653)),"", not(iserror(vlookup($A653&amp;$B653,'5) Release_Track'!$F:$F&amp;'5) Release_Track'!$G:$G,1,0))),vlookup($A653&amp;$B653,{'5) Release_Track'!$F:$F&amp;'5) Release_Track'!$G:$G,'5) Release_Track'!$I:$I},2,0), or(and(not(isblank($B653)),$B653=$B652,$A653&lt;&gt;$A652),and(not(isblank($A653)),$A653=$A652,$B653&lt;&gt;$B652)),"ID LISTS UNALIGNED",and($A653&lt;&gt;"",countif('5) Release_Track'!$F:$F,$A653)=0),"NO ISRC MATCH in Release_Track",and($B653&lt;&gt;"",countif('5) Release_Track'!$G:$G,$B653)=0),"NO CATALOG ID MATCH in Release_Track",iserror(vlookup($A653&amp;$B653,'5) Release_Track'!$F:$F&amp;'5) Release_Track'!$G:$G,1,0)),"NO ISRC-CATALOG ID pair MATCH in Release_Track" )</f>
        <v/>
      </c>
      <c r="E653" s="99"/>
      <c r="F653" s="99"/>
      <c r="G653" s="123" t="str">
        <f t="array" ref="G653">ifs(or($F653="",$F653="Main Primary Artist"),$F653,not(iserror(vlookup($F653,'Reference info'!$J$5:$J$8,1,0))),"Key Artist",not(iserror(vlookup($F653,'Reference info'!$J$38:$J$405,1,0))),"Performer",not(iserror(vlookup($F653,'Reference info'!$J$10:$J$36,1,0))),"Producer &amp; Engineer")</f>
        <v/>
      </c>
    </row>
    <row r="654">
      <c r="B654" s="103"/>
      <c r="C654" s="121" t="str">
        <f t="array" ref="C654">ifs(and(isblank($A654),isblank($B654)),"", not(iserror(vlookup($A654&amp;$B654,'5) Release_Track'!$F:$F&amp;'5) Release_Track'!$G:$G,1,0))),vlookup($A654&amp;$B654,{'5) Release_Track'!$F:$F&amp;'5) Release_Track'!$G:$G,'5) Release_Track'!$H:$H},2,0), or(and(not(isblank($B654)),$B654=$B653,$A654&lt;&gt;$A653),and(not(isblank($A654)),$A654=$A653,$B654&lt;&gt;$B653)),"ID LISTS UNALIGNED",and($A654&lt;&gt;"",countif('5) Release_Track'!$F:$F,$A654)=0),"NO ISRC MATCH in Release_Track",and($B654&lt;&gt;"",countif('5) Release_Track'!$G:$G,$B654)=0),"NO CATALOG ID MATCH in Release_Track",iserror(vlookup($A654&amp;$B654,'5) Release_Track'!$F:$F&amp;'5) Release_Track'!$G:$G,1,0)),"NO ISRC-CATALOG ID pair MATCH in Release_Track" )</f>
        <v/>
      </c>
      <c r="D654" s="121" t="str">
        <f t="array" ref="D654">ifs(and(isblank($A654),isblank($B654)),"", not(iserror(vlookup($A654&amp;$B654,'5) Release_Track'!$F:$F&amp;'5) Release_Track'!$G:$G,1,0))),vlookup($A654&amp;$B654,{'5) Release_Track'!$F:$F&amp;'5) Release_Track'!$G:$G,'5) Release_Track'!$I:$I},2,0), or(and(not(isblank($B654)),$B654=$B653,$A654&lt;&gt;$A653),and(not(isblank($A654)),$A654=$A653,$B654&lt;&gt;$B653)),"ID LISTS UNALIGNED",and($A654&lt;&gt;"",countif('5) Release_Track'!$F:$F,$A654)=0),"NO ISRC MATCH in Release_Track",and($B654&lt;&gt;"",countif('5) Release_Track'!$G:$G,$B654)=0),"NO CATALOG ID MATCH in Release_Track",iserror(vlookup($A654&amp;$B654,'5) Release_Track'!$F:$F&amp;'5) Release_Track'!$G:$G,1,0)),"NO ISRC-CATALOG ID pair MATCH in Release_Track" )</f>
        <v/>
      </c>
      <c r="E654" s="99"/>
      <c r="F654" s="99"/>
      <c r="G654" s="123" t="str">
        <f t="array" ref="G654">ifs(or($F654="",$F654="Main Primary Artist"),$F654,not(iserror(vlookup($F654,'Reference info'!$J$5:$J$8,1,0))),"Key Artist",not(iserror(vlookup($F654,'Reference info'!$J$38:$J$405,1,0))),"Performer",not(iserror(vlookup($F654,'Reference info'!$J$10:$J$36,1,0))),"Producer &amp; Engineer")</f>
        <v/>
      </c>
    </row>
    <row r="655">
      <c r="B655" s="103"/>
      <c r="C655" s="121" t="str">
        <f t="array" ref="C655">ifs(and(isblank($A655),isblank($B655)),"", not(iserror(vlookup($A655&amp;$B655,'5) Release_Track'!$F:$F&amp;'5) Release_Track'!$G:$G,1,0))),vlookup($A655&amp;$B655,{'5) Release_Track'!$F:$F&amp;'5) Release_Track'!$G:$G,'5) Release_Track'!$H:$H},2,0), or(and(not(isblank($B655)),$B655=$B654,$A655&lt;&gt;$A654),and(not(isblank($A655)),$A655=$A654,$B655&lt;&gt;$B654)),"ID LISTS UNALIGNED",and($A655&lt;&gt;"",countif('5) Release_Track'!$F:$F,$A655)=0),"NO ISRC MATCH in Release_Track",and($B655&lt;&gt;"",countif('5) Release_Track'!$G:$G,$B655)=0),"NO CATALOG ID MATCH in Release_Track",iserror(vlookup($A655&amp;$B655,'5) Release_Track'!$F:$F&amp;'5) Release_Track'!$G:$G,1,0)),"NO ISRC-CATALOG ID pair MATCH in Release_Track" )</f>
        <v/>
      </c>
      <c r="D655" s="121" t="str">
        <f t="array" ref="D655">ifs(and(isblank($A655),isblank($B655)),"", not(iserror(vlookup($A655&amp;$B655,'5) Release_Track'!$F:$F&amp;'5) Release_Track'!$G:$G,1,0))),vlookup($A655&amp;$B655,{'5) Release_Track'!$F:$F&amp;'5) Release_Track'!$G:$G,'5) Release_Track'!$I:$I},2,0), or(and(not(isblank($B655)),$B655=$B654,$A655&lt;&gt;$A654),and(not(isblank($A655)),$A655=$A654,$B655&lt;&gt;$B654)),"ID LISTS UNALIGNED",and($A655&lt;&gt;"",countif('5) Release_Track'!$F:$F,$A655)=0),"NO ISRC MATCH in Release_Track",and($B655&lt;&gt;"",countif('5) Release_Track'!$G:$G,$B655)=0),"NO CATALOG ID MATCH in Release_Track",iserror(vlookup($A655&amp;$B655,'5) Release_Track'!$F:$F&amp;'5) Release_Track'!$G:$G,1,0)),"NO ISRC-CATALOG ID pair MATCH in Release_Track" )</f>
        <v/>
      </c>
      <c r="E655" s="99"/>
      <c r="F655" s="99"/>
      <c r="G655" s="123" t="str">
        <f t="array" ref="G655">ifs(or($F655="",$F655="Main Primary Artist"),$F655,not(iserror(vlookup($F655,'Reference info'!$J$5:$J$8,1,0))),"Key Artist",not(iserror(vlookup($F655,'Reference info'!$J$38:$J$405,1,0))),"Performer",not(iserror(vlookup($F655,'Reference info'!$J$10:$J$36,1,0))),"Producer &amp; Engineer")</f>
        <v/>
      </c>
    </row>
    <row r="656">
      <c r="B656" s="103"/>
      <c r="C656" s="121" t="str">
        <f t="array" ref="C656">ifs(and(isblank($A656),isblank($B656)),"", not(iserror(vlookup($A656&amp;$B656,'5) Release_Track'!$F:$F&amp;'5) Release_Track'!$G:$G,1,0))),vlookup($A656&amp;$B656,{'5) Release_Track'!$F:$F&amp;'5) Release_Track'!$G:$G,'5) Release_Track'!$H:$H},2,0), or(and(not(isblank($B656)),$B656=$B655,$A656&lt;&gt;$A655),and(not(isblank($A656)),$A656=$A655,$B656&lt;&gt;$B655)),"ID LISTS UNALIGNED",and($A656&lt;&gt;"",countif('5) Release_Track'!$F:$F,$A656)=0),"NO ISRC MATCH in Release_Track",and($B656&lt;&gt;"",countif('5) Release_Track'!$G:$G,$B656)=0),"NO CATALOG ID MATCH in Release_Track",iserror(vlookup($A656&amp;$B656,'5) Release_Track'!$F:$F&amp;'5) Release_Track'!$G:$G,1,0)),"NO ISRC-CATALOG ID pair MATCH in Release_Track" )</f>
        <v/>
      </c>
      <c r="D656" s="121" t="str">
        <f t="array" ref="D656">ifs(and(isblank($A656),isblank($B656)),"", not(iserror(vlookup($A656&amp;$B656,'5) Release_Track'!$F:$F&amp;'5) Release_Track'!$G:$G,1,0))),vlookup($A656&amp;$B656,{'5) Release_Track'!$F:$F&amp;'5) Release_Track'!$G:$G,'5) Release_Track'!$I:$I},2,0), or(and(not(isblank($B656)),$B656=$B655,$A656&lt;&gt;$A655),and(not(isblank($A656)),$A656=$A655,$B656&lt;&gt;$B655)),"ID LISTS UNALIGNED",and($A656&lt;&gt;"",countif('5) Release_Track'!$F:$F,$A656)=0),"NO ISRC MATCH in Release_Track",and($B656&lt;&gt;"",countif('5) Release_Track'!$G:$G,$B656)=0),"NO CATALOG ID MATCH in Release_Track",iserror(vlookup($A656&amp;$B656,'5) Release_Track'!$F:$F&amp;'5) Release_Track'!$G:$G,1,0)),"NO ISRC-CATALOG ID pair MATCH in Release_Track" )</f>
        <v/>
      </c>
      <c r="E656" s="99"/>
      <c r="F656" s="99"/>
      <c r="G656" s="123" t="str">
        <f t="array" ref="G656">ifs(or($F656="",$F656="Main Primary Artist"),$F656,not(iserror(vlookup($F656,'Reference info'!$J$5:$J$8,1,0))),"Key Artist",not(iserror(vlookup($F656,'Reference info'!$J$38:$J$405,1,0))),"Performer",not(iserror(vlookup($F656,'Reference info'!$J$10:$J$36,1,0))),"Producer &amp; Engineer")</f>
        <v/>
      </c>
    </row>
    <row r="657">
      <c r="B657" s="103"/>
      <c r="C657" s="121" t="str">
        <f t="array" ref="C657">ifs(and(isblank($A657),isblank($B657)),"", not(iserror(vlookup($A657&amp;$B657,'5) Release_Track'!$F:$F&amp;'5) Release_Track'!$G:$G,1,0))),vlookup($A657&amp;$B657,{'5) Release_Track'!$F:$F&amp;'5) Release_Track'!$G:$G,'5) Release_Track'!$H:$H},2,0), or(and(not(isblank($B657)),$B657=$B656,$A657&lt;&gt;$A656),and(not(isblank($A657)),$A657=$A656,$B657&lt;&gt;$B656)),"ID LISTS UNALIGNED",and($A657&lt;&gt;"",countif('5) Release_Track'!$F:$F,$A657)=0),"NO ISRC MATCH in Release_Track",and($B657&lt;&gt;"",countif('5) Release_Track'!$G:$G,$B657)=0),"NO CATALOG ID MATCH in Release_Track",iserror(vlookup($A657&amp;$B657,'5) Release_Track'!$F:$F&amp;'5) Release_Track'!$G:$G,1,0)),"NO ISRC-CATALOG ID pair MATCH in Release_Track" )</f>
        <v/>
      </c>
      <c r="D657" s="121" t="str">
        <f t="array" ref="D657">ifs(and(isblank($A657),isblank($B657)),"", not(iserror(vlookup($A657&amp;$B657,'5) Release_Track'!$F:$F&amp;'5) Release_Track'!$G:$G,1,0))),vlookup($A657&amp;$B657,{'5) Release_Track'!$F:$F&amp;'5) Release_Track'!$G:$G,'5) Release_Track'!$I:$I},2,0), or(and(not(isblank($B657)),$B657=$B656,$A657&lt;&gt;$A656),and(not(isblank($A657)),$A657=$A656,$B657&lt;&gt;$B656)),"ID LISTS UNALIGNED",and($A657&lt;&gt;"",countif('5) Release_Track'!$F:$F,$A657)=0),"NO ISRC MATCH in Release_Track",and($B657&lt;&gt;"",countif('5) Release_Track'!$G:$G,$B657)=0),"NO CATALOG ID MATCH in Release_Track",iserror(vlookup($A657&amp;$B657,'5) Release_Track'!$F:$F&amp;'5) Release_Track'!$G:$G,1,0)),"NO ISRC-CATALOG ID pair MATCH in Release_Track" )</f>
        <v/>
      </c>
      <c r="E657" s="99"/>
      <c r="F657" s="99"/>
      <c r="G657" s="123" t="str">
        <f t="array" ref="G657">ifs(or($F657="",$F657="Main Primary Artist"),$F657,not(iserror(vlookup($F657,'Reference info'!$J$5:$J$8,1,0))),"Key Artist",not(iserror(vlookup($F657,'Reference info'!$J$38:$J$405,1,0))),"Performer",not(iserror(vlookup($F657,'Reference info'!$J$10:$J$36,1,0))),"Producer &amp; Engineer")</f>
        <v/>
      </c>
    </row>
    <row r="658">
      <c r="B658" s="103"/>
      <c r="C658" s="121" t="str">
        <f t="array" ref="C658">ifs(and(isblank($A658),isblank($B658)),"", not(iserror(vlookup($A658&amp;$B658,'5) Release_Track'!$F:$F&amp;'5) Release_Track'!$G:$G,1,0))),vlookup($A658&amp;$B658,{'5) Release_Track'!$F:$F&amp;'5) Release_Track'!$G:$G,'5) Release_Track'!$H:$H},2,0), or(and(not(isblank($B658)),$B658=$B657,$A658&lt;&gt;$A657),and(not(isblank($A658)),$A658=$A657,$B658&lt;&gt;$B657)),"ID LISTS UNALIGNED",and($A658&lt;&gt;"",countif('5) Release_Track'!$F:$F,$A658)=0),"NO ISRC MATCH in Release_Track",and($B658&lt;&gt;"",countif('5) Release_Track'!$G:$G,$B658)=0),"NO CATALOG ID MATCH in Release_Track",iserror(vlookup($A658&amp;$B658,'5) Release_Track'!$F:$F&amp;'5) Release_Track'!$G:$G,1,0)),"NO ISRC-CATALOG ID pair MATCH in Release_Track" )</f>
        <v/>
      </c>
      <c r="D658" s="121" t="str">
        <f t="array" ref="D658">ifs(and(isblank($A658),isblank($B658)),"", not(iserror(vlookup($A658&amp;$B658,'5) Release_Track'!$F:$F&amp;'5) Release_Track'!$G:$G,1,0))),vlookup($A658&amp;$B658,{'5) Release_Track'!$F:$F&amp;'5) Release_Track'!$G:$G,'5) Release_Track'!$I:$I},2,0), or(and(not(isblank($B658)),$B658=$B657,$A658&lt;&gt;$A657),and(not(isblank($A658)),$A658=$A657,$B658&lt;&gt;$B657)),"ID LISTS UNALIGNED",and($A658&lt;&gt;"",countif('5) Release_Track'!$F:$F,$A658)=0),"NO ISRC MATCH in Release_Track",and($B658&lt;&gt;"",countif('5) Release_Track'!$G:$G,$B658)=0),"NO CATALOG ID MATCH in Release_Track",iserror(vlookup($A658&amp;$B658,'5) Release_Track'!$F:$F&amp;'5) Release_Track'!$G:$G,1,0)),"NO ISRC-CATALOG ID pair MATCH in Release_Track" )</f>
        <v/>
      </c>
      <c r="E658" s="99"/>
      <c r="F658" s="99"/>
      <c r="G658" s="123" t="str">
        <f t="array" ref="G658">ifs(or($F658="",$F658="Main Primary Artist"),$F658,not(iserror(vlookup($F658,'Reference info'!$J$5:$J$8,1,0))),"Key Artist",not(iserror(vlookup($F658,'Reference info'!$J$38:$J$405,1,0))),"Performer",not(iserror(vlookup($F658,'Reference info'!$J$10:$J$36,1,0))),"Producer &amp; Engineer")</f>
        <v/>
      </c>
    </row>
    <row r="659">
      <c r="B659" s="103"/>
      <c r="C659" s="121" t="str">
        <f t="array" ref="C659">ifs(and(isblank($A659),isblank($B659)),"", not(iserror(vlookup($A659&amp;$B659,'5) Release_Track'!$F:$F&amp;'5) Release_Track'!$G:$G,1,0))),vlookup($A659&amp;$B659,{'5) Release_Track'!$F:$F&amp;'5) Release_Track'!$G:$G,'5) Release_Track'!$H:$H},2,0), or(and(not(isblank($B659)),$B659=$B658,$A659&lt;&gt;$A658),and(not(isblank($A659)),$A659=$A658,$B659&lt;&gt;$B658)),"ID LISTS UNALIGNED",and($A659&lt;&gt;"",countif('5) Release_Track'!$F:$F,$A659)=0),"NO ISRC MATCH in Release_Track",and($B659&lt;&gt;"",countif('5) Release_Track'!$G:$G,$B659)=0),"NO CATALOG ID MATCH in Release_Track",iserror(vlookup($A659&amp;$B659,'5) Release_Track'!$F:$F&amp;'5) Release_Track'!$G:$G,1,0)),"NO ISRC-CATALOG ID pair MATCH in Release_Track" )</f>
        <v/>
      </c>
      <c r="D659" s="121" t="str">
        <f t="array" ref="D659">ifs(and(isblank($A659),isblank($B659)),"", not(iserror(vlookup($A659&amp;$B659,'5) Release_Track'!$F:$F&amp;'5) Release_Track'!$G:$G,1,0))),vlookup($A659&amp;$B659,{'5) Release_Track'!$F:$F&amp;'5) Release_Track'!$G:$G,'5) Release_Track'!$I:$I},2,0), or(and(not(isblank($B659)),$B659=$B658,$A659&lt;&gt;$A658),and(not(isblank($A659)),$A659=$A658,$B659&lt;&gt;$B658)),"ID LISTS UNALIGNED",and($A659&lt;&gt;"",countif('5) Release_Track'!$F:$F,$A659)=0),"NO ISRC MATCH in Release_Track",and($B659&lt;&gt;"",countif('5) Release_Track'!$G:$G,$B659)=0),"NO CATALOG ID MATCH in Release_Track",iserror(vlookup($A659&amp;$B659,'5) Release_Track'!$F:$F&amp;'5) Release_Track'!$G:$G,1,0)),"NO ISRC-CATALOG ID pair MATCH in Release_Track" )</f>
        <v/>
      </c>
      <c r="E659" s="99"/>
      <c r="F659" s="99"/>
      <c r="G659" s="123" t="str">
        <f t="array" ref="G659">ifs(or($F659="",$F659="Main Primary Artist"),$F659,not(iserror(vlookup($F659,'Reference info'!$J$5:$J$8,1,0))),"Key Artist",not(iserror(vlookup($F659,'Reference info'!$J$38:$J$405,1,0))),"Performer",not(iserror(vlookup($F659,'Reference info'!$J$10:$J$36,1,0))),"Producer &amp; Engineer")</f>
        <v/>
      </c>
    </row>
    <row r="660">
      <c r="B660" s="103"/>
      <c r="C660" s="121" t="str">
        <f t="array" ref="C660">ifs(and(isblank($A660),isblank($B660)),"", not(iserror(vlookup($A660&amp;$B660,'5) Release_Track'!$F:$F&amp;'5) Release_Track'!$G:$G,1,0))),vlookup($A660&amp;$B660,{'5) Release_Track'!$F:$F&amp;'5) Release_Track'!$G:$G,'5) Release_Track'!$H:$H},2,0), or(and(not(isblank($B660)),$B660=$B659,$A660&lt;&gt;$A659),and(not(isblank($A660)),$A660=$A659,$B660&lt;&gt;$B659)),"ID LISTS UNALIGNED",and($A660&lt;&gt;"",countif('5) Release_Track'!$F:$F,$A660)=0),"NO ISRC MATCH in Release_Track",and($B660&lt;&gt;"",countif('5) Release_Track'!$G:$G,$B660)=0),"NO CATALOG ID MATCH in Release_Track",iserror(vlookup($A660&amp;$B660,'5) Release_Track'!$F:$F&amp;'5) Release_Track'!$G:$G,1,0)),"NO ISRC-CATALOG ID pair MATCH in Release_Track" )</f>
        <v/>
      </c>
      <c r="D660" s="121" t="str">
        <f t="array" ref="D660">ifs(and(isblank($A660),isblank($B660)),"", not(iserror(vlookup($A660&amp;$B660,'5) Release_Track'!$F:$F&amp;'5) Release_Track'!$G:$G,1,0))),vlookup($A660&amp;$B660,{'5) Release_Track'!$F:$F&amp;'5) Release_Track'!$G:$G,'5) Release_Track'!$I:$I},2,0), or(and(not(isblank($B660)),$B660=$B659,$A660&lt;&gt;$A659),and(not(isblank($A660)),$A660=$A659,$B660&lt;&gt;$B659)),"ID LISTS UNALIGNED",and($A660&lt;&gt;"",countif('5) Release_Track'!$F:$F,$A660)=0),"NO ISRC MATCH in Release_Track",and($B660&lt;&gt;"",countif('5) Release_Track'!$G:$G,$B660)=0),"NO CATALOG ID MATCH in Release_Track",iserror(vlookup($A660&amp;$B660,'5) Release_Track'!$F:$F&amp;'5) Release_Track'!$G:$G,1,0)),"NO ISRC-CATALOG ID pair MATCH in Release_Track" )</f>
        <v/>
      </c>
      <c r="E660" s="99"/>
      <c r="F660" s="99"/>
      <c r="G660" s="123" t="str">
        <f t="array" ref="G660">ifs(or($F660="",$F660="Main Primary Artist"),$F660,not(iserror(vlookup($F660,'Reference info'!$J$5:$J$8,1,0))),"Key Artist",not(iserror(vlookup($F660,'Reference info'!$J$38:$J$405,1,0))),"Performer",not(iserror(vlookup($F660,'Reference info'!$J$10:$J$36,1,0))),"Producer &amp; Engineer")</f>
        <v/>
      </c>
    </row>
    <row r="661">
      <c r="B661" s="103"/>
      <c r="C661" s="121" t="str">
        <f t="array" ref="C661">ifs(and(isblank($A661),isblank($B661)),"", not(iserror(vlookup($A661&amp;$B661,'5) Release_Track'!$F:$F&amp;'5) Release_Track'!$G:$G,1,0))),vlookup($A661&amp;$B661,{'5) Release_Track'!$F:$F&amp;'5) Release_Track'!$G:$G,'5) Release_Track'!$H:$H},2,0), or(and(not(isblank($B661)),$B661=$B660,$A661&lt;&gt;$A660),and(not(isblank($A661)),$A661=$A660,$B661&lt;&gt;$B660)),"ID LISTS UNALIGNED",and($A661&lt;&gt;"",countif('5) Release_Track'!$F:$F,$A661)=0),"NO ISRC MATCH in Release_Track",and($B661&lt;&gt;"",countif('5) Release_Track'!$G:$G,$B661)=0),"NO CATALOG ID MATCH in Release_Track",iserror(vlookup($A661&amp;$B661,'5) Release_Track'!$F:$F&amp;'5) Release_Track'!$G:$G,1,0)),"NO ISRC-CATALOG ID pair MATCH in Release_Track" )</f>
        <v/>
      </c>
      <c r="D661" s="121" t="str">
        <f t="array" ref="D661">ifs(and(isblank($A661),isblank($B661)),"", not(iserror(vlookup($A661&amp;$B661,'5) Release_Track'!$F:$F&amp;'5) Release_Track'!$G:$G,1,0))),vlookup($A661&amp;$B661,{'5) Release_Track'!$F:$F&amp;'5) Release_Track'!$G:$G,'5) Release_Track'!$I:$I},2,0), or(and(not(isblank($B661)),$B661=$B660,$A661&lt;&gt;$A660),and(not(isblank($A661)),$A661=$A660,$B661&lt;&gt;$B660)),"ID LISTS UNALIGNED",and($A661&lt;&gt;"",countif('5) Release_Track'!$F:$F,$A661)=0),"NO ISRC MATCH in Release_Track",and($B661&lt;&gt;"",countif('5) Release_Track'!$G:$G,$B661)=0),"NO CATALOG ID MATCH in Release_Track",iserror(vlookup($A661&amp;$B661,'5) Release_Track'!$F:$F&amp;'5) Release_Track'!$G:$G,1,0)),"NO ISRC-CATALOG ID pair MATCH in Release_Track" )</f>
        <v/>
      </c>
      <c r="E661" s="99"/>
      <c r="F661" s="99"/>
      <c r="G661" s="123" t="str">
        <f t="array" ref="G661">ifs(or($F661="",$F661="Main Primary Artist"),$F661,not(iserror(vlookup($F661,'Reference info'!$J$5:$J$8,1,0))),"Key Artist",not(iserror(vlookup($F661,'Reference info'!$J$38:$J$405,1,0))),"Performer",not(iserror(vlookup($F661,'Reference info'!$J$10:$J$36,1,0))),"Producer &amp; Engineer")</f>
        <v/>
      </c>
    </row>
    <row r="662">
      <c r="B662" s="103"/>
      <c r="C662" s="121" t="str">
        <f t="array" ref="C662">ifs(and(isblank($A662),isblank($B662)),"", not(iserror(vlookup($A662&amp;$B662,'5) Release_Track'!$F:$F&amp;'5) Release_Track'!$G:$G,1,0))),vlookup($A662&amp;$B662,{'5) Release_Track'!$F:$F&amp;'5) Release_Track'!$G:$G,'5) Release_Track'!$H:$H},2,0), or(and(not(isblank($B662)),$B662=$B661,$A662&lt;&gt;$A661),and(not(isblank($A662)),$A662=$A661,$B662&lt;&gt;$B661)),"ID LISTS UNALIGNED",and($A662&lt;&gt;"",countif('5) Release_Track'!$F:$F,$A662)=0),"NO ISRC MATCH in Release_Track",and($B662&lt;&gt;"",countif('5) Release_Track'!$G:$G,$B662)=0),"NO CATALOG ID MATCH in Release_Track",iserror(vlookup($A662&amp;$B662,'5) Release_Track'!$F:$F&amp;'5) Release_Track'!$G:$G,1,0)),"NO ISRC-CATALOG ID pair MATCH in Release_Track" )</f>
        <v/>
      </c>
      <c r="D662" s="121" t="str">
        <f t="array" ref="D662">ifs(and(isblank($A662),isblank($B662)),"", not(iserror(vlookup($A662&amp;$B662,'5) Release_Track'!$F:$F&amp;'5) Release_Track'!$G:$G,1,0))),vlookup($A662&amp;$B662,{'5) Release_Track'!$F:$F&amp;'5) Release_Track'!$G:$G,'5) Release_Track'!$I:$I},2,0), or(and(not(isblank($B662)),$B662=$B661,$A662&lt;&gt;$A661),and(not(isblank($A662)),$A662=$A661,$B662&lt;&gt;$B661)),"ID LISTS UNALIGNED",and($A662&lt;&gt;"",countif('5) Release_Track'!$F:$F,$A662)=0),"NO ISRC MATCH in Release_Track",and($B662&lt;&gt;"",countif('5) Release_Track'!$G:$G,$B662)=0),"NO CATALOG ID MATCH in Release_Track",iserror(vlookup($A662&amp;$B662,'5) Release_Track'!$F:$F&amp;'5) Release_Track'!$G:$G,1,0)),"NO ISRC-CATALOG ID pair MATCH in Release_Track" )</f>
        <v/>
      </c>
      <c r="E662" s="99"/>
      <c r="F662" s="99"/>
      <c r="G662" s="123" t="str">
        <f t="array" ref="G662">ifs(or($F662="",$F662="Main Primary Artist"),$F662,not(iserror(vlookup($F662,'Reference info'!$J$5:$J$8,1,0))),"Key Artist",not(iserror(vlookup($F662,'Reference info'!$J$38:$J$405,1,0))),"Performer",not(iserror(vlookup($F662,'Reference info'!$J$10:$J$36,1,0))),"Producer &amp; Engineer")</f>
        <v/>
      </c>
    </row>
    <row r="663">
      <c r="B663" s="103"/>
      <c r="C663" s="121" t="str">
        <f t="array" ref="C663">ifs(and(isblank($A663),isblank($B663)),"", not(iserror(vlookup($A663&amp;$B663,'5) Release_Track'!$F:$F&amp;'5) Release_Track'!$G:$G,1,0))),vlookup($A663&amp;$B663,{'5) Release_Track'!$F:$F&amp;'5) Release_Track'!$G:$G,'5) Release_Track'!$H:$H},2,0), or(and(not(isblank($B663)),$B663=$B662,$A663&lt;&gt;$A662),and(not(isblank($A663)),$A663=$A662,$B663&lt;&gt;$B662)),"ID LISTS UNALIGNED",and($A663&lt;&gt;"",countif('5) Release_Track'!$F:$F,$A663)=0),"NO ISRC MATCH in Release_Track",and($B663&lt;&gt;"",countif('5) Release_Track'!$G:$G,$B663)=0),"NO CATALOG ID MATCH in Release_Track",iserror(vlookup($A663&amp;$B663,'5) Release_Track'!$F:$F&amp;'5) Release_Track'!$G:$G,1,0)),"NO ISRC-CATALOG ID pair MATCH in Release_Track" )</f>
        <v/>
      </c>
      <c r="D663" s="121" t="str">
        <f t="array" ref="D663">ifs(and(isblank($A663),isblank($B663)),"", not(iserror(vlookup($A663&amp;$B663,'5) Release_Track'!$F:$F&amp;'5) Release_Track'!$G:$G,1,0))),vlookup($A663&amp;$B663,{'5) Release_Track'!$F:$F&amp;'5) Release_Track'!$G:$G,'5) Release_Track'!$I:$I},2,0), or(and(not(isblank($B663)),$B663=$B662,$A663&lt;&gt;$A662),and(not(isblank($A663)),$A663=$A662,$B663&lt;&gt;$B662)),"ID LISTS UNALIGNED",and($A663&lt;&gt;"",countif('5) Release_Track'!$F:$F,$A663)=0),"NO ISRC MATCH in Release_Track",and($B663&lt;&gt;"",countif('5) Release_Track'!$G:$G,$B663)=0),"NO CATALOG ID MATCH in Release_Track",iserror(vlookup($A663&amp;$B663,'5) Release_Track'!$F:$F&amp;'5) Release_Track'!$G:$G,1,0)),"NO ISRC-CATALOG ID pair MATCH in Release_Track" )</f>
        <v/>
      </c>
      <c r="E663" s="99"/>
      <c r="F663" s="99"/>
      <c r="G663" s="123" t="str">
        <f t="array" ref="G663">ifs(or($F663="",$F663="Main Primary Artist"),$F663,not(iserror(vlookup($F663,'Reference info'!$J$5:$J$8,1,0))),"Key Artist",not(iserror(vlookup($F663,'Reference info'!$J$38:$J$405,1,0))),"Performer",not(iserror(vlookup($F663,'Reference info'!$J$10:$J$36,1,0))),"Producer &amp; Engineer")</f>
        <v/>
      </c>
    </row>
    <row r="664">
      <c r="B664" s="103"/>
      <c r="C664" s="121" t="str">
        <f t="array" ref="C664">ifs(and(isblank($A664),isblank($B664)),"", not(iserror(vlookup($A664&amp;$B664,'5) Release_Track'!$F:$F&amp;'5) Release_Track'!$G:$G,1,0))),vlookup($A664&amp;$B664,{'5) Release_Track'!$F:$F&amp;'5) Release_Track'!$G:$G,'5) Release_Track'!$H:$H},2,0), or(and(not(isblank($B664)),$B664=$B663,$A664&lt;&gt;$A663),and(not(isblank($A664)),$A664=$A663,$B664&lt;&gt;$B663)),"ID LISTS UNALIGNED",and($A664&lt;&gt;"",countif('5) Release_Track'!$F:$F,$A664)=0),"NO ISRC MATCH in Release_Track",and($B664&lt;&gt;"",countif('5) Release_Track'!$G:$G,$B664)=0),"NO CATALOG ID MATCH in Release_Track",iserror(vlookup($A664&amp;$B664,'5) Release_Track'!$F:$F&amp;'5) Release_Track'!$G:$G,1,0)),"NO ISRC-CATALOG ID pair MATCH in Release_Track" )</f>
        <v/>
      </c>
      <c r="D664" s="121" t="str">
        <f t="array" ref="D664">ifs(and(isblank($A664),isblank($B664)),"", not(iserror(vlookup($A664&amp;$B664,'5) Release_Track'!$F:$F&amp;'5) Release_Track'!$G:$G,1,0))),vlookup($A664&amp;$B664,{'5) Release_Track'!$F:$F&amp;'5) Release_Track'!$G:$G,'5) Release_Track'!$I:$I},2,0), or(and(not(isblank($B664)),$B664=$B663,$A664&lt;&gt;$A663),and(not(isblank($A664)),$A664=$A663,$B664&lt;&gt;$B663)),"ID LISTS UNALIGNED",and($A664&lt;&gt;"",countif('5) Release_Track'!$F:$F,$A664)=0),"NO ISRC MATCH in Release_Track",and($B664&lt;&gt;"",countif('5) Release_Track'!$G:$G,$B664)=0),"NO CATALOG ID MATCH in Release_Track",iserror(vlookup($A664&amp;$B664,'5) Release_Track'!$F:$F&amp;'5) Release_Track'!$G:$G,1,0)),"NO ISRC-CATALOG ID pair MATCH in Release_Track" )</f>
        <v/>
      </c>
      <c r="E664" s="99"/>
      <c r="F664" s="99"/>
      <c r="G664" s="123" t="str">
        <f t="array" ref="G664">ifs(or($F664="",$F664="Main Primary Artist"),$F664,not(iserror(vlookup($F664,'Reference info'!$J$5:$J$8,1,0))),"Key Artist",not(iserror(vlookup($F664,'Reference info'!$J$38:$J$405,1,0))),"Performer",not(iserror(vlookup($F664,'Reference info'!$J$10:$J$36,1,0))),"Producer &amp; Engineer")</f>
        <v/>
      </c>
    </row>
    <row r="665">
      <c r="B665" s="103"/>
      <c r="C665" s="121" t="str">
        <f t="array" ref="C665">ifs(and(isblank($A665),isblank($B665)),"", not(iserror(vlookup($A665&amp;$B665,'5) Release_Track'!$F:$F&amp;'5) Release_Track'!$G:$G,1,0))),vlookup($A665&amp;$B665,{'5) Release_Track'!$F:$F&amp;'5) Release_Track'!$G:$G,'5) Release_Track'!$H:$H},2,0), or(and(not(isblank($B665)),$B665=$B664,$A665&lt;&gt;$A664),and(not(isblank($A665)),$A665=$A664,$B665&lt;&gt;$B664)),"ID LISTS UNALIGNED",and($A665&lt;&gt;"",countif('5) Release_Track'!$F:$F,$A665)=0),"NO ISRC MATCH in Release_Track",and($B665&lt;&gt;"",countif('5) Release_Track'!$G:$G,$B665)=0),"NO CATALOG ID MATCH in Release_Track",iserror(vlookup($A665&amp;$B665,'5) Release_Track'!$F:$F&amp;'5) Release_Track'!$G:$G,1,0)),"NO ISRC-CATALOG ID pair MATCH in Release_Track" )</f>
        <v/>
      </c>
      <c r="D665" s="121" t="str">
        <f t="array" ref="D665">ifs(and(isblank($A665),isblank($B665)),"", not(iserror(vlookup($A665&amp;$B665,'5) Release_Track'!$F:$F&amp;'5) Release_Track'!$G:$G,1,0))),vlookup($A665&amp;$B665,{'5) Release_Track'!$F:$F&amp;'5) Release_Track'!$G:$G,'5) Release_Track'!$I:$I},2,0), or(and(not(isblank($B665)),$B665=$B664,$A665&lt;&gt;$A664),and(not(isblank($A665)),$A665=$A664,$B665&lt;&gt;$B664)),"ID LISTS UNALIGNED",and($A665&lt;&gt;"",countif('5) Release_Track'!$F:$F,$A665)=0),"NO ISRC MATCH in Release_Track",and($B665&lt;&gt;"",countif('5) Release_Track'!$G:$G,$B665)=0),"NO CATALOG ID MATCH in Release_Track",iserror(vlookup($A665&amp;$B665,'5) Release_Track'!$F:$F&amp;'5) Release_Track'!$G:$G,1,0)),"NO ISRC-CATALOG ID pair MATCH in Release_Track" )</f>
        <v/>
      </c>
      <c r="E665" s="99"/>
      <c r="F665" s="99"/>
      <c r="G665" s="123" t="str">
        <f t="array" ref="G665">ifs(or($F665="",$F665="Main Primary Artist"),$F665,not(iserror(vlookup($F665,'Reference info'!$J$5:$J$8,1,0))),"Key Artist",not(iserror(vlookup($F665,'Reference info'!$J$38:$J$405,1,0))),"Performer",not(iserror(vlookup($F665,'Reference info'!$J$10:$J$36,1,0))),"Producer &amp; Engineer")</f>
        <v/>
      </c>
    </row>
    <row r="666">
      <c r="B666" s="103"/>
      <c r="C666" s="121" t="str">
        <f t="array" ref="C666">ifs(and(isblank($A666),isblank($B666)),"", not(iserror(vlookup($A666&amp;$B666,'5) Release_Track'!$F:$F&amp;'5) Release_Track'!$G:$G,1,0))),vlookup($A666&amp;$B666,{'5) Release_Track'!$F:$F&amp;'5) Release_Track'!$G:$G,'5) Release_Track'!$H:$H},2,0), or(and(not(isblank($B666)),$B666=$B665,$A666&lt;&gt;$A665),and(not(isblank($A666)),$A666=$A665,$B666&lt;&gt;$B665)),"ID LISTS UNALIGNED",and($A666&lt;&gt;"",countif('5) Release_Track'!$F:$F,$A666)=0),"NO ISRC MATCH in Release_Track",and($B666&lt;&gt;"",countif('5) Release_Track'!$G:$G,$B666)=0),"NO CATALOG ID MATCH in Release_Track",iserror(vlookup($A666&amp;$B666,'5) Release_Track'!$F:$F&amp;'5) Release_Track'!$G:$G,1,0)),"NO ISRC-CATALOG ID pair MATCH in Release_Track" )</f>
        <v/>
      </c>
      <c r="D666" s="121" t="str">
        <f t="array" ref="D666">ifs(and(isblank($A666),isblank($B666)),"", not(iserror(vlookup($A666&amp;$B666,'5) Release_Track'!$F:$F&amp;'5) Release_Track'!$G:$G,1,0))),vlookup($A666&amp;$B666,{'5) Release_Track'!$F:$F&amp;'5) Release_Track'!$G:$G,'5) Release_Track'!$I:$I},2,0), or(and(not(isblank($B666)),$B666=$B665,$A666&lt;&gt;$A665),and(not(isblank($A666)),$A666=$A665,$B666&lt;&gt;$B665)),"ID LISTS UNALIGNED",and($A666&lt;&gt;"",countif('5) Release_Track'!$F:$F,$A666)=0),"NO ISRC MATCH in Release_Track",and($B666&lt;&gt;"",countif('5) Release_Track'!$G:$G,$B666)=0),"NO CATALOG ID MATCH in Release_Track",iserror(vlookup($A666&amp;$B666,'5) Release_Track'!$F:$F&amp;'5) Release_Track'!$G:$G,1,0)),"NO ISRC-CATALOG ID pair MATCH in Release_Track" )</f>
        <v/>
      </c>
      <c r="E666" s="99"/>
      <c r="F666" s="99"/>
      <c r="G666" s="123" t="str">
        <f t="array" ref="G666">ifs(or($F666="",$F666="Main Primary Artist"),$F666,not(iserror(vlookup($F666,'Reference info'!$J$5:$J$8,1,0))),"Key Artist",not(iserror(vlookup($F666,'Reference info'!$J$38:$J$405,1,0))),"Performer",not(iserror(vlookup($F666,'Reference info'!$J$10:$J$36,1,0))),"Producer &amp; Engineer")</f>
        <v/>
      </c>
    </row>
    <row r="667">
      <c r="B667" s="103"/>
      <c r="C667" s="121" t="str">
        <f t="array" ref="C667">ifs(and(isblank($A667),isblank($B667)),"", not(iserror(vlookup($A667&amp;$B667,'5) Release_Track'!$F:$F&amp;'5) Release_Track'!$G:$G,1,0))),vlookup($A667&amp;$B667,{'5) Release_Track'!$F:$F&amp;'5) Release_Track'!$G:$G,'5) Release_Track'!$H:$H},2,0), or(and(not(isblank($B667)),$B667=$B666,$A667&lt;&gt;$A666),and(not(isblank($A667)),$A667=$A666,$B667&lt;&gt;$B666)),"ID LISTS UNALIGNED",and($A667&lt;&gt;"",countif('5) Release_Track'!$F:$F,$A667)=0),"NO ISRC MATCH in Release_Track",and($B667&lt;&gt;"",countif('5) Release_Track'!$G:$G,$B667)=0),"NO CATALOG ID MATCH in Release_Track",iserror(vlookup($A667&amp;$B667,'5) Release_Track'!$F:$F&amp;'5) Release_Track'!$G:$G,1,0)),"NO ISRC-CATALOG ID pair MATCH in Release_Track" )</f>
        <v/>
      </c>
      <c r="D667" s="121" t="str">
        <f t="array" ref="D667">ifs(and(isblank($A667),isblank($B667)),"", not(iserror(vlookup($A667&amp;$B667,'5) Release_Track'!$F:$F&amp;'5) Release_Track'!$G:$G,1,0))),vlookup($A667&amp;$B667,{'5) Release_Track'!$F:$F&amp;'5) Release_Track'!$G:$G,'5) Release_Track'!$I:$I},2,0), or(and(not(isblank($B667)),$B667=$B666,$A667&lt;&gt;$A666),and(not(isblank($A667)),$A667=$A666,$B667&lt;&gt;$B666)),"ID LISTS UNALIGNED",and($A667&lt;&gt;"",countif('5) Release_Track'!$F:$F,$A667)=0),"NO ISRC MATCH in Release_Track",and($B667&lt;&gt;"",countif('5) Release_Track'!$G:$G,$B667)=0),"NO CATALOG ID MATCH in Release_Track",iserror(vlookup($A667&amp;$B667,'5) Release_Track'!$F:$F&amp;'5) Release_Track'!$G:$G,1,0)),"NO ISRC-CATALOG ID pair MATCH in Release_Track" )</f>
        <v/>
      </c>
      <c r="E667" s="99"/>
      <c r="F667" s="99"/>
      <c r="G667" s="123" t="str">
        <f t="array" ref="G667">ifs(or($F667="",$F667="Main Primary Artist"),$F667,not(iserror(vlookup($F667,'Reference info'!$J$5:$J$8,1,0))),"Key Artist",not(iserror(vlookup($F667,'Reference info'!$J$38:$J$405,1,0))),"Performer",not(iserror(vlookup($F667,'Reference info'!$J$10:$J$36,1,0))),"Producer &amp; Engineer")</f>
        <v/>
      </c>
    </row>
    <row r="668">
      <c r="B668" s="103"/>
      <c r="C668" s="121" t="str">
        <f t="array" ref="C668">ifs(and(isblank($A668),isblank($B668)),"", not(iserror(vlookup($A668&amp;$B668,'5) Release_Track'!$F:$F&amp;'5) Release_Track'!$G:$G,1,0))),vlookup($A668&amp;$B668,{'5) Release_Track'!$F:$F&amp;'5) Release_Track'!$G:$G,'5) Release_Track'!$H:$H},2,0), or(and(not(isblank($B668)),$B668=$B667,$A668&lt;&gt;$A667),and(not(isblank($A668)),$A668=$A667,$B668&lt;&gt;$B667)),"ID LISTS UNALIGNED",and($A668&lt;&gt;"",countif('5) Release_Track'!$F:$F,$A668)=0),"NO ISRC MATCH in Release_Track",and($B668&lt;&gt;"",countif('5) Release_Track'!$G:$G,$B668)=0),"NO CATALOG ID MATCH in Release_Track",iserror(vlookup($A668&amp;$B668,'5) Release_Track'!$F:$F&amp;'5) Release_Track'!$G:$G,1,0)),"NO ISRC-CATALOG ID pair MATCH in Release_Track" )</f>
        <v/>
      </c>
      <c r="D668" s="121" t="str">
        <f t="array" ref="D668">ifs(and(isblank($A668),isblank($B668)),"", not(iserror(vlookup($A668&amp;$B668,'5) Release_Track'!$F:$F&amp;'5) Release_Track'!$G:$G,1,0))),vlookup($A668&amp;$B668,{'5) Release_Track'!$F:$F&amp;'5) Release_Track'!$G:$G,'5) Release_Track'!$I:$I},2,0), or(and(not(isblank($B668)),$B668=$B667,$A668&lt;&gt;$A667),and(not(isblank($A668)),$A668=$A667,$B668&lt;&gt;$B667)),"ID LISTS UNALIGNED",and($A668&lt;&gt;"",countif('5) Release_Track'!$F:$F,$A668)=0),"NO ISRC MATCH in Release_Track",and($B668&lt;&gt;"",countif('5) Release_Track'!$G:$G,$B668)=0),"NO CATALOG ID MATCH in Release_Track",iserror(vlookup($A668&amp;$B668,'5) Release_Track'!$F:$F&amp;'5) Release_Track'!$G:$G,1,0)),"NO ISRC-CATALOG ID pair MATCH in Release_Track" )</f>
        <v/>
      </c>
      <c r="E668" s="99"/>
      <c r="F668" s="99"/>
      <c r="G668" s="123" t="str">
        <f t="array" ref="G668">ifs(or($F668="",$F668="Main Primary Artist"),$F668,not(iserror(vlookup($F668,'Reference info'!$J$5:$J$8,1,0))),"Key Artist",not(iserror(vlookup($F668,'Reference info'!$J$38:$J$405,1,0))),"Performer",not(iserror(vlookup($F668,'Reference info'!$J$10:$J$36,1,0))),"Producer &amp; Engineer")</f>
        <v/>
      </c>
    </row>
    <row r="669">
      <c r="B669" s="103"/>
      <c r="C669" s="121" t="str">
        <f t="array" ref="C669">ifs(and(isblank($A669),isblank($B669)),"", not(iserror(vlookup($A669&amp;$B669,'5) Release_Track'!$F:$F&amp;'5) Release_Track'!$G:$G,1,0))),vlookup($A669&amp;$B669,{'5) Release_Track'!$F:$F&amp;'5) Release_Track'!$G:$G,'5) Release_Track'!$H:$H},2,0), or(and(not(isblank($B669)),$B669=$B668,$A669&lt;&gt;$A668),and(not(isblank($A669)),$A669=$A668,$B669&lt;&gt;$B668)),"ID LISTS UNALIGNED",and($A669&lt;&gt;"",countif('5) Release_Track'!$F:$F,$A669)=0),"NO ISRC MATCH in Release_Track",and($B669&lt;&gt;"",countif('5) Release_Track'!$G:$G,$B669)=0),"NO CATALOG ID MATCH in Release_Track",iserror(vlookup($A669&amp;$B669,'5) Release_Track'!$F:$F&amp;'5) Release_Track'!$G:$G,1,0)),"NO ISRC-CATALOG ID pair MATCH in Release_Track" )</f>
        <v/>
      </c>
      <c r="D669" s="121" t="str">
        <f t="array" ref="D669">ifs(and(isblank($A669),isblank($B669)),"", not(iserror(vlookup($A669&amp;$B669,'5) Release_Track'!$F:$F&amp;'5) Release_Track'!$G:$G,1,0))),vlookup($A669&amp;$B669,{'5) Release_Track'!$F:$F&amp;'5) Release_Track'!$G:$G,'5) Release_Track'!$I:$I},2,0), or(and(not(isblank($B669)),$B669=$B668,$A669&lt;&gt;$A668),and(not(isblank($A669)),$A669=$A668,$B669&lt;&gt;$B668)),"ID LISTS UNALIGNED",and($A669&lt;&gt;"",countif('5) Release_Track'!$F:$F,$A669)=0),"NO ISRC MATCH in Release_Track",and($B669&lt;&gt;"",countif('5) Release_Track'!$G:$G,$B669)=0),"NO CATALOG ID MATCH in Release_Track",iserror(vlookup($A669&amp;$B669,'5) Release_Track'!$F:$F&amp;'5) Release_Track'!$G:$G,1,0)),"NO ISRC-CATALOG ID pair MATCH in Release_Track" )</f>
        <v/>
      </c>
      <c r="E669" s="99"/>
      <c r="F669" s="99"/>
      <c r="G669" s="123" t="str">
        <f t="array" ref="G669">ifs(or($F669="",$F669="Main Primary Artist"),$F669,not(iserror(vlookup($F669,'Reference info'!$J$5:$J$8,1,0))),"Key Artist",not(iserror(vlookup($F669,'Reference info'!$J$38:$J$405,1,0))),"Performer",not(iserror(vlookup($F669,'Reference info'!$J$10:$J$36,1,0))),"Producer &amp; Engineer")</f>
        <v/>
      </c>
    </row>
    <row r="670">
      <c r="B670" s="103"/>
      <c r="C670" s="121" t="str">
        <f t="array" ref="C670">ifs(and(isblank($A670),isblank($B670)),"", not(iserror(vlookup($A670&amp;$B670,'5) Release_Track'!$F:$F&amp;'5) Release_Track'!$G:$G,1,0))),vlookup($A670&amp;$B670,{'5) Release_Track'!$F:$F&amp;'5) Release_Track'!$G:$G,'5) Release_Track'!$H:$H},2,0), or(and(not(isblank($B670)),$B670=$B669,$A670&lt;&gt;$A669),and(not(isblank($A670)),$A670=$A669,$B670&lt;&gt;$B669)),"ID LISTS UNALIGNED",and($A670&lt;&gt;"",countif('5) Release_Track'!$F:$F,$A670)=0),"NO ISRC MATCH in Release_Track",and($B670&lt;&gt;"",countif('5) Release_Track'!$G:$G,$B670)=0),"NO CATALOG ID MATCH in Release_Track",iserror(vlookup($A670&amp;$B670,'5) Release_Track'!$F:$F&amp;'5) Release_Track'!$G:$G,1,0)),"NO ISRC-CATALOG ID pair MATCH in Release_Track" )</f>
        <v/>
      </c>
      <c r="D670" s="121" t="str">
        <f t="array" ref="D670">ifs(and(isblank($A670),isblank($B670)),"", not(iserror(vlookup($A670&amp;$B670,'5) Release_Track'!$F:$F&amp;'5) Release_Track'!$G:$G,1,0))),vlookup($A670&amp;$B670,{'5) Release_Track'!$F:$F&amp;'5) Release_Track'!$G:$G,'5) Release_Track'!$I:$I},2,0), or(and(not(isblank($B670)),$B670=$B669,$A670&lt;&gt;$A669),and(not(isblank($A670)),$A670=$A669,$B670&lt;&gt;$B669)),"ID LISTS UNALIGNED",and($A670&lt;&gt;"",countif('5) Release_Track'!$F:$F,$A670)=0),"NO ISRC MATCH in Release_Track",and($B670&lt;&gt;"",countif('5) Release_Track'!$G:$G,$B670)=0),"NO CATALOG ID MATCH in Release_Track",iserror(vlookup($A670&amp;$B670,'5) Release_Track'!$F:$F&amp;'5) Release_Track'!$G:$G,1,0)),"NO ISRC-CATALOG ID pair MATCH in Release_Track" )</f>
        <v/>
      </c>
      <c r="E670" s="99"/>
      <c r="F670" s="99"/>
      <c r="G670" s="123" t="str">
        <f t="array" ref="G670">ifs(or($F670="",$F670="Main Primary Artist"),$F670,not(iserror(vlookup($F670,'Reference info'!$J$5:$J$8,1,0))),"Key Artist",not(iserror(vlookup($F670,'Reference info'!$J$38:$J$405,1,0))),"Performer",not(iserror(vlookup($F670,'Reference info'!$J$10:$J$36,1,0))),"Producer &amp; Engineer")</f>
        <v/>
      </c>
    </row>
    <row r="671">
      <c r="B671" s="103"/>
      <c r="C671" s="121" t="str">
        <f t="array" ref="C671">ifs(and(isblank($A671),isblank($B671)),"", not(iserror(vlookup($A671&amp;$B671,'5) Release_Track'!$F:$F&amp;'5) Release_Track'!$G:$G,1,0))),vlookup($A671&amp;$B671,{'5) Release_Track'!$F:$F&amp;'5) Release_Track'!$G:$G,'5) Release_Track'!$H:$H},2,0), or(and(not(isblank($B671)),$B671=$B670,$A671&lt;&gt;$A670),and(not(isblank($A671)),$A671=$A670,$B671&lt;&gt;$B670)),"ID LISTS UNALIGNED",and($A671&lt;&gt;"",countif('5) Release_Track'!$F:$F,$A671)=0),"NO ISRC MATCH in Release_Track",and($B671&lt;&gt;"",countif('5) Release_Track'!$G:$G,$B671)=0),"NO CATALOG ID MATCH in Release_Track",iserror(vlookup($A671&amp;$B671,'5) Release_Track'!$F:$F&amp;'5) Release_Track'!$G:$G,1,0)),"NO ISRC-CATALOG ID pair MATCH in Release_Track" )</f>
        <v/>
      </c>
      <c r="D671" s="121" t="str">
        <f t="array" ref="D671">ifs(and(isblank($A671),isblank($B671)),"", not(iserror(vlookup($A671&amp;$B671,'5) Release_Track'!$F:$F&amp;'5) Release_Track'!$G:$G,1,0))),vlookup($A671&amp;$B671,{'5) Release_Track'!$F:$F&amp;'5) Release_Track'!$G:$G,'5) Release_Track'!$I:$I},2,0), or(and(not(isblank($B671)),$B671=$B670,$A671&lt;&gt;$A670),and(not(isblank($A671)),$A671=$A670,$B671&lt;&gt;$B670)),"ID LISTS UNALIGNED",and($A671&lt;&gt;"",countif('5) Release_Track'!$F:$F,$A671)=0),"NO ISRC MATCH in Release_Track",and($B671&lt;&gt;"",countif('5) Release_Track'!$G:$G,$B671)=0),"NO CATALOG ID MATCH in Release_Track",iserror(vlookup($A671&amp;$B671,'5) Release_Track'!$F:$F&amp;'5) Release_Track'!$G:$G,1,0)),"NO ISRC-CATALOG ID pair MATCH in Release_Track" )</f>
        <v/>
      </c>
      <c r="E671" s="99"/>
      <c r="F671" s="99"/>
      <c r="G671" s="123" t="str">
        <f t="array" ref="G671">ifs(or($F671="",$F671="Main Primary Artist"),$F671,not(iserror(vlookup($F671,'Reference info'!$J$5:$J$8,1,0))),"Key Artist",not(iserror(vlookup($F671,'Reference info'!$J$38:$J$405,1,0))),"Performer",not(iserror(vlookup($F671,'Reference info'!$J$10:$J$36,1,0))),"Producer &amp; Engineer")</f>
        <v/>
      </c>
    </row>
    <row r="672">
      <c r="B672" s="103"/>
      <c r="C672" s="121" t="str">
        <f t="array" ref="C672">ifs(and(isblank($A672),isblank($B672)),"", not(iserror(vlookup($A672&amp;$B672,'5) Release_Track'!$F:$F&amp;'5) Release_Track'!$G:$G,1,0))),vlookup($A672&amp;$B672,{'5) Release_Track'!$F:$F&amp;'5) Release_Track'!$G:$G,'5) Release_Track'!$H:$H},2,0), or(and(not(isblank($B672)),$B672=$B671,$A672&lt;&gt;$A671),and(not(isblank($A672)),$A672=$A671,$B672&lt;&gt;$B671)),"ID LISTS UNALIGNED",and($A672&lt;&gt;"",countif('5) Release_Track'!$F:$F,$A672)=0),"NO ISRC MATCH in Release_Track",and($B672&lt;&gt;"",countif('5) Release_Track'!$G:$G,$B672)=0),"NO CATALOG ID MATCH in Release_Track",iserror(vlookup($A672&amp;$B672,'5) Release_Track'!$F:$F&amp;'5) Release_Track'!$G:$G,1,0)),"NO ISRC-CATALOG ID pair MATCH in Release_Track" )</f>
        <v/>
      </c>
      <c r="D672" s="121" t="str">
        <f t="array" ref="D672">ifs(and(isblank($A672),isblank($B672)),"", not(iserror(vlookup($A672&amp;$B672,'5) Release_Track'!$F:$F&amp;'5) Release_Track'!$G:$G,1,0))),vlookup($A672&amp;$B672,{'5) Release_Track'!$F:$F&amp;'5) Release_Track'!$G:$G,'5) Release_Track'!$I:$I},2,0), or(and(not(isblank($B672)),$B672=$B671,$A672&lt;&gt;$A671),and(not(isblank($A672)),$A672=$A671,$B672&lt;&gt;$B671)),"ID LISTS UNALIGNED",and($A672&lt;&gt;"",countif('5) Release_Track'!$F:$F,$A672)=0),"NO ISRC MATCH in Release_Track",and($B672&lt;&gt;"",countif('5) Release_Track'!$G:$G,$B672)=0),"NO CATALOG ID MATCH in Release_Track",iserror(vlookup($A672&amp;$B672,'5) Release_Track'!$F:$F&amp;'5) Release_Track'!$G:$G,1,0)),"NO ISRC-CATALOG ID pair MATCH in Release_Track" )</f>
        <v/>
      </c>
      <c r="E672" s="99"/>
      <c r="F672" s="99"/>
      <c r="G672" s="123" t="str">
        <f t="array" ref="G672">ifs(or($F672="",$F672="Main Primary Artist"),$F672,not(iserror(vlookup($F672,'Reference info'!$J$5:$J$8,1,0))),"Key Artist",not(iserror(vlookup($F672,'Reference info'!$J$38:$J$405,1,0))),"Performer",not(iserror(vlookup($F672,'Reference info'!$J$10:$J$36,1,0))),"Producer &amp; Engineer")</f>
        <v/>
      </c>
    </row>
    <row r="673">
      <c r="B673" s="103"/>
      <c r="C673" s="121" t="str">
        <f t="array" ref="C673">ifs(and(isblank($A673),isblank($B673)),"", not(iserror(vlookup($A673&amp;$B673,'5) Release_Track'!$F:$F&amp;'5) Release_Track'!$G:$G,1,0))),vlookup($A673&amp;$B673,{'5) Release_Track'!$F:$F&amp;'5) Release_Track'!$G:$G,'5) Release_Track'!$H:$H},2,0), or(and(not(isblank($B673)),$B673=$B672,$A673&lt;&gt;$A672),and(not(isblank($A673)),$A673=$A672,$B673&lt;&gt;$B672)),"ID LISTS UNALIGNED",and($A673&lt;&gt;"",countif('5) Release_Track'!$F:$F,$A673)=0),"NO ISRC MATCH in Release_Track",and($B673&lt;&gt;"",countif('5) Release_Track'!$G:$G,$B673)=0),"NO CATALOG ID MATCH in Release_Track",iserror(vlookup($A673&amp;$B673,'5) Release_Track'!$F:$F&amp;'5) Release_Track'!$G:$G,1,0)),"NO ISRC-CATALOG ID pair MATCH in Release_Track" )</f>
        <v/>
      </c>
      <c r="D673" s="121" t="str">
        <f t="array" ref="D673">ifs(and(isblank($A673),isblank($B673)),"", not(iserror(vlookup($A673&amp;$B673,'5) Release_Track'!$F:$F&amp;'5) Release_Track'!$G:$G,1,0))),vlookup($A673&amp;$B673,{'5) Release_Track'!$F:$F&amp;'5) Release_Track'!$G:$G,'5) Release_Track'!$I:$I},2,0), or(and(not(isblank($B673)),$B673=$B672,$A673&lt;&gt;$A672),and(not(isblank($A673)),$A673=$A672,$B673&lt;&gt;$B672)),"ID LISTS UNALIGNED",and($A673&lt;&gt;"",countif('5) Release_Track'!$F:$F,$A673)=0),"NO ISRC MATCH in Release_Track",and($B673&lt;&gt;"",countif('5) Release_Track'!$G:$G,$B673)=0),"NO CATALOG ID MATCH in Release_Track",iserror(vlookup($A673&amp;$B673,'5) Release_Track'!$F:$F&amp;'5) Release_Track'!$G:$G,1,0)),"NO ISRC-CATALOG ID pair MATCH in Release_Track" )</f>
        <v/>
      </c>
      <c r="E673" s="99"/>
      <c r="F673" s="99"/>
      <c r="G673" s="123" t="str">
        <f t="array" ref="G673">ifs(or($F673="",$F673="Main Primary Artist"),$F673,not(iserror(vlookup($F673,'Reference info'!$J$5:$J$8,1,0))),"Key Artist",not(iserror(vlookup($F673,'Reference info'!$J$38:$J$405,1,0))),"Performer",not(iserror(vlookup($F673,'Reference info'!$J$10:$J$36,1,0))),"Producer &amp; Engineer")</f>
        <v/>
      </c>
    </row>
    <row r="674">
      <c r="B674" s="103"/>
      <c r="C674" s="121" t="str">
        <f t="array" ref="C674">ifs(and(isblank($A674),isblank($B674)),"", not(iserror(vlookup($A674&amp;$B674,'5) Release_Track'!$F:$F&amp;'5) Release_Track'!$G:$G,1,0))),vlookup($A674&amp;$B674,{'5) Release_Track'!$F:$F&amp;'5) Release_Track'!$G:$G,'5) Release_Track'!$H:$H},2,0), or(and(not(isblank($B674)),$B674=$B673,$A674&lt;&gt;$A673),and(not(isblank($A674)),$A674=$A673,$B674&lt;&gt;$B673)),"ID LISTS UNALIGNED",and($A674&lt;&gt;"",countif('5) Release_Track'!$F:$F,$A674)=0),"NO ISRC MATCH in Release_Track",and($B674&lt;&gt;"",countif('5) Release_Track'!$G:$G,$B674)=0),"NO CATALOG ID MATCH in Release_Track",iserror(vlookup($A674&amp;$B674,'5) Release_Track'!$F:$F&amp;'5) Release_Track'!$G:$G,1,0)),"NO ISRC-CATALOG ID pair MATCH in Release_Track" )</f>
        <v/>
      </c>
      <c r="D674" s="121" t="str">
        <f t="array" ref="D674">ifs(and(isblank($A674),isblank($B674)),"", not(iserror(vlookup($A674&amp;$B674,'5) Release_Track'!$F:$F&amp;'5) Release_Track'!$G:$G,1,0))),vlookup($A674&amp;$B674,{'5) Release_Track'!$F:$F&amp;'5) Release_Track'!$G:$G,'5) Release_Track'!$I:$I},2,0), or(and(not(isblank($B674)),$B674=$B673,$A674&lt;&gt;$A673),and(not(isblank($A674)),$A674=$A673,$B674&lt;&gt;$B673)),"ID LISTS UNALIGNED",and($A674&lt;&gt;"",countif('5) Release_Track'!$F:$F,$A674)=0),"NO ISRC MATCH in Release_Track",and($B674&lt;&gt;"",countif('5) Release_Track'!$G:$G,$B674)=0),"NO CATALOG ID MATCH in Release_Track",iserror(vlookup($A674&amp;$B674,'5) Release_Track'!$F:$F&amp;'5) Release_Track'!$G:$G,1,0)),"NO ISRC-CATALOG ID pair MATCH in Release_Track" )</f>
        <v/>
      </c>
      <c r="E674" s="99"/>
      <c r="F674" s="99"/>
      <c r="G674" s="123" t="str">
        <f t="array" ref="G674">ifs(or($F674="",$F674="Main Primary Artist"),$F674,not(iserror(vlookup($F674,'Reference info'!$J$5:$J$8,1,0))),"Key Artist",not(iserror(vlookup($F674,'Reference info'!$J$38:$J$405,1,0))),"Performer",not(iserror(vlookup($F674,'Reference info'!$J$10:$J$36,1,0))),"Producer &amp; Engineer")</f>
        <v/>
      </c>
    </row>
    <row r="675">
      <c r="B675" s="103"/>
      <c r="C675" s="121" t="str">
        <f t="array" ref="C675">ifs(and(isblank($A675),isblank($B675)),"", not(iserror(vlookup($A675&amp;$B675,'5) Release_Track'!$F:$F&amp;'5) Release_Track'!$G:$G,1,0))),vlookup($A675&amp;$B675,{'5) Release_Track'!$F:$F&amp;'5) Release_Track'!$G:$G,'5) Release_Track'!$H:$H},2,0), or(and(not(isblank($B675)),$B675=$B674,$A675&lt;&gt;$A674),and(not(isblank($A675)),$A675=$A674,$B675&lt;&gt;$B674)),"ID LISTS UNALIGNED",and($A675&lt;&gt;"",countif('5) Release_Track'!$F:$F,$A675)=0),"NO ISRC MATCH in Release_Track",and($B675&lt;&gt;"",countif('5) Release_Track'!$G:$G,$B675)=0),"NO CATALOG ID MATCH in Release_Track",iserror(vlookup($A675&amp;$B675,'5) Release_Track'!$F:$F&amp;'5) Release_Track'!$G:$G,1,0)),"NO ISRC-CATALOG ID pair MATCH in Release_Track" )</f>
        <v/>
      </c>
      <c r="D675" s="121" t="str">
        <f t="array" ref="D675">ifs(and(isblank($A675),isblank($B675)),"", not(iserror(vlookup($A675&amp;$B675,'5) Release_Track'!$F:$F&amp;'5) Release_Track'!$G:$G,1,0))),vlookup($A675&amp;$B675,{'5) Release_Track'!$F:$F&amp;'5) Release_Track'!$G:$G,'5) Release_Track'!$I:$I},2,0), or(and(not(isblank($B675)),$B675=$B674,$A675&lt;&gt;$A674),and(not(isblank($A675)),$A675=$A674,$B675&lt;&gt;$B674)),"ID LISTS UNALIGNED",and($A675&lt;&gt;"",countif('5) Release_Track'!$F:$F,$A675)=0),"NO ISRC MATCH in Release_Track",and($B675&lt;&gt;"",countif('5) Release_Track'!$G:$G,$B675)=0),"NO CATALOG ID MATCH in Release_Track",iserror(vlookup($A675&amp;$B675,'5) Release_Track'!$F:$F&amp;'5) Release_Track'!$G:$G,1,0)),"NO ISRC-CATALOG ID pair MATCH in Release_Track" )</f>
        <v/>
      </c>
      <c r="E675" s="99"/>
      <c r="F675" s="99"/>
      <c r="G675" s="123" t="str">
        <f t="array" ref="G675">ifs(or($F675="",$F675="Main Primary Artist"),$F675,not(iserror(vlookup($F675,'Reference info'!$J$5:$J$8,1,0))),"Key Artist",not(iserror(vlookup($F675,'Reference info'!$J$38:$J$405,1,0))),"Performer",not(iserror(vlookup($F675,'Reference info'!$J$10:$J$36,1,0))),"Producer &amp; Engineer")</f>
        <v/>
      </c>
    </row>
    <row r="676">
      <c r="B676" s="103"/>
      <c r="C676" s="121" t="str">
        <f t="array" ref="C676">ifs(and(isblank($A676),isblank($B676)),"", not(iserror(vlookup($A676&amp;$B676,'5) Release_Track'!$F:$F&amp;'5) Release_Track'!$G:$G,1,0))),vlookup($A676&amp;$B676,{'5) Release_Track'!$F:$F&amp;'5) Release_Track'!$G:$G,'5) Release_Track'!$H:$H},2,0), or(and(not(isblank($B676)),$B676=$B675,$A676&lt;&gt;$A675),and(not(isblank($A676)),$A676=$A675,$B676&lt;&gt;$B675)),"ID LISTS UNALIGNED",and($A676&lt;&gt;"",countif('5) Release_Track'!$F:$F,$A676)=0),"NO ISRC MATCH in Release_Track",and($B676&lt;&gt;"",countif('5) Release_Track'!$G:$G,$B676)=0),"NO CATALOG ID MATCH in Release_Track",iserror(vlookup($A676&amp;$B676,'5) Release_Track'!$F:$F&amp;'5) Release_Track'!$G:$G,1,0)),"NO ISRC-CATALOG ID pair MATCH in Release_Track" )</f>
        <v/>
      </c>
      <c r="D676" s="121" t="str">
        <f t="array" ref="D676">ifs(and(isblank($A676),isblank($B676)),"", not(iserror(vlookup($A676&amp;$B676,'5) Release_Track'!$F:$F&amp;'5) Release_Track'!$G:$G,1,0))),vlookup($A676&amp;$B676,{'5) Release_Track'!$F:$F&amp;'5) Release_Track'!$G:$G,'5) Release_Track'!$I:$I},2,0), or(and(not(isblank($B676)),$B676=$B675,$A676&lt;&gt;$A675),and(not(isblank($A676)),$A676=$A675,$B676&lt;&gt;$B675)),"ID LISTS UNALIGNED",and($A676&lt;&gt;"",countif('5) Release_Track'!$F:$F,$A676)=0),"NO ISRC MATCH in Release_Track",and($B676&lt;&gt;"",countif('5) Release_Track'!$G:$G,$B676)=0),"NO CATALOG ID MATCH in Release_Track",iserror(vlookup($A676&amp;$B676,'5) Release_Track'!$F:$F&amp;'5) Release_Track'!$G:$G,1,0)),"NO ISRC-CATALOG ID pair MATCH in Release_Track" )</f>
        <v/>
      </c>
      <c r="E676" s="99"/>
      <c r="F676" s="99"/>
      <c r="G676" s="123" t="str">
        <f t="array" ref="G676">ifs(or($F676="",$F676="Main Primary Artist"),$F676,not(iserror(vlookup($F676,'Reference info'!$J$5:$J$8,1,0))),"Key Artist",not(iserror(vlookup($F676,'Reference info'!$J$38:$J$405,1,0))),"Performer",not(iserror(vlookup($F676,'Reference info'!$J$10:$J$36,1,0))),"Producer &amp; Engineer")</f>
        <v/>
      </c>
    </row>
    <row r="677">
      <c r="B677" s="103"/>
      <c r="C677" s="121" t="str">
        <f t="array" ref="C677">ifs(and(isblank($A677),isblank($B677)),"", not(iserror(vlookup($A677&amp;$B677,'5) Release_Track'!$F:$F&amp;'5) Release_Track'!$G:$G,1,0))),vlookup($A677&amp;$B677,{'5) Release_Track'!$F:$F&amp;'5) Release_Track'!$G:$G,'5) Release_Track'!$H:$H},2,0), or(and(not(isblank($B677)),$B677=$B676,$A677&lt;&gt;$A676),and(not(isblank($A677)),$A677=$A676,$B677&lt;&gt;$B676)),"ID LISTS UNALIGNED",and($A677&lt;&gt;"",countif('5) Release_Track'!$F:$F,$A677)=0),"NO ISRC MATCH in Release_Track",and($B677&lt;&gt;"",countif('5) Release_Track'!$G:$G,$B677)=0),"NO CATALOG ID MATCH in Release_Track",iserror(vlookup($A677&amp;$B677,'5) Release_Track'!$F:$F&amp;'5) Release_Track'!$G:$G,1,0)),"NO ISRC-CATALOG ID pair MATCH in Release_Track" )</f>
        <v/>
      </c>
      <c r="D677" s="121" t="str">
        <f t="array" ref="D677">ifs(and(isblank($A677),isblank($B677)),"", not(iserror(vlookup($A677&amp;$B677,'5) Release_Track'!$F:$F&amp;'5) Release_Track'!$G:$G,1,0))),vlookup($A677&amp;$B677,{'5) Release_Track'!$F:$F&amp;'5) Release_Track'!$G:$G,'5) Release_Track'!$I:$I},2,0), or(and(not(isblank($B677)),$B677=$B676,$A677&lt;&gt;$A676),and(not(isblank($A677)),$A677=$A676,$B677&lt;&gt;$B676)),"ID LISTS UNALIGNED",and($A677&lt;&gt;"",countif('5) Release_Track'!$F:$F,$A677)=0),"NO ISRC MATCH in Release_Track",and($B677&lt;&gt;"",countif('5) Release_Track'!$G:$G,$B677)=0),"NO CATALOG ID MATCH in Release_Track",iserror(vlookup($A677&amp;$B677,'5) Release_Track'!$F:$F&amp;'5) Release_Track'!$G:$G,1,0)),"NO ISRC-CATALOG ID pair MATCH in Release_Track" )</f>
        <v/>
      </c>
      <c r="E677" s="99"/>
      <c r="F677" s="99"/>
      <c r="G677" s="123" t="str">
        <f t="array" ref="G677">ifs(or($F677="",$F677="Main Primary Artist"),$F677,not(iserror(vlookup($F677,'Reference info'!$J$5:$J$8,1,0))),"Key Artist",not(iserror(vlookup($F677,'Reference info'!$J$38:$J$405,1,0))),"Performer",not(iserror(vlookup($F677,'Reference info'!$J$10:$J$36,1,0))),"Producer &amp; Engineer")</f>
        <v/>
      </c>
    </row>
    <row r="678">
      <c r="B678" s="103"/>
      <c r="C678" s="121" t="str">
        <f t="array" ref="C678">ifs(and(isblank($A678),isblank($B678)),"", not(iserror(vlookup($A678&amp;$B678,'5) Release_Track'!$F:$F&amp;'5) Release_Track'!$G:$G,1,0))),vlookup($A678&amp;$B678,{'5) Release_Track'!$F:$F&amp;'5) Release_Track'!$G:$G,'5) Release_Track'!$H:$H},2,0), or(and(not(isblank($B678)),$B678=$B677,$A678&lt;&gt;$A677),and(not(isblank($A678)),$A678=$A677,$B678&lt;&gt;$B677)),"ID LISTS UNALIGNED",and($A678&lt;&gt;"",countif('5) Release_Track'!$F:$F,$A678)=0),"NO ISRC MATCH in Release_Track",and($B678&lt;&gt;"",countif('5) Release_Track'!$G:$G,$B678)=0),"NO CATALOG ID MATCH in Release_Track",iserror(vlookup($A678&amp;$B678,'5) Release_Track'!$F:$F&amp;'5) Release_Track'!$G:$G,1,0)),"NO ISRC-CATALOG ID pair MATCH in Release_Track" )</f>
        <v/>
      </c>
      <c r="D678" s="121" t="str">
        <f t="array" ref="D678">ifs(and(isblank($A678),isblank($B678)),"", not(iserror(vlookup($A678&amp;$B678,'5) Release_Track'!$F:$F&amp;'5) Release_Track'!$G:$G,1,0))),vlookup($A678&amp;$B678,{'5) Release_Track'!$F:$F&amp;'5) Release_Track'!$G:$G,'5) Release_Track'!$I:$I},2,0), or(and(not(isblank($B678)),$B678=$B677,$A678&lt;&gt;$A677),and(not(isblank($A678)),$A678=$A677,$B678&lt;&gt;$B677)),"ID LISTS UNALIGNED",and($A678&lt;&gt;"",countif('5) Release_Track'!$F:$F,$A678)=0),"NO ISRC MATCH in Release_Track",and($B678&lt;&gt;"",countif('5) Release_Track'!$G:$G,$B678)=0),"NO CATALOG ID MATCH in Release_Track",iserror(vlookup($A678&amp;$B678,'5) Release_Track'!$F:$F&amp;'5) Release_Track'!$G:$G,1,0)),"NO ISRC-CATALOG ID pair MATCH in Release_Track" )</f>
        <v/>
      </c>
      <c r="E678" s="99"/>
      <c r="F678" s="99"/>
      <c r="G678" s="123" t="str">
        <f t="array" ref="G678">ifs(or($F678="",$F678="Main Primary Artist"),$F678,not(iserror(vlookup($F678,'Reference info'!$J$5:$J$8,1,0))),"Key Artist",not(iserror(vlookup($F678,'Reference info'!$J$38:$J$405,1,0))),"Performer",not(iserror(vlookup($F678,'Reference info'!$J$10:$J$36,1,0))),"Producer &amp; Engineer")</f>
        <v/>
      </c>
    </row>
    <row r="679">
      <c r="B679" s="103"/>
      <c r="C679" s="121" t="str">
        <f t="array" ref="C679">ifs(and(isblank($A679),isblank($B679)),"", not(iserror(vlookup($A679&amp;$B679,'5) Release_Track'!$F:$F&amp;'5) Release_Track'!$G:$G,1,0))),vlookup($A679&amp;$B679,{'5) Release_Track'!$F:$F&amp;'5) Release_Track'!$G:$G,'5) Release_Track'!$H:$H},2,0), or(and(not(isblank($B679)),$B679=$B678,$A679&lt;&gt;$A678),and(not(isblank($A679)),$A679=$A678,$B679&lt;&gt;$B678)),"ID LISTS UNALIGNED",and($A679&lt;&gt;"",countif('5) Release_Track'!$F:$F,$A679)=0),"NO ISRC MATCH in Release_Track",and($B679&lt;&gt;"",countif('5) Release_Track'!$G:$G,$B679)=0),"NO CATALOG ID MATCH in Release_Track",iserror(vlookup($A679&amp;$B679,'5) Release_Track'!$F:$F&amp;'5) Release_Track'!$G:$G,1,0)),"NO ISRC-CATALOG ID pair MATCH in Release_Track" )</f>
        <v/>
      </c>
      <c r="D679" s="121" t="str">
        <f t="array" ref="D679">ifs(and(isblank($A679),isblank($B679)),"", not(iserror(vlookup($A679&amp;$B679,'5) Release_Track'!$F:$F&amp;'5) Release_Track'!$G:$G,1,0))),vlookup($A679&amp;$B679,{'5) Release_Track'!$F:$F&amp;'5) Release_Track'!$G:$G,'5) Release_Track'!$I:$I},2,0), or(and(not(isblank($B679)),$B679=$B678,$A679&lt;&gt;$A678),and(not(isblank($A679)),$A679=$A678,$B679&lt;&gt;$B678)),"ID LISTS UNALIGNED",and($A679&lt;&gt;"",countif('5) Release_Track'!$F:$F,$A679)=0),"NO ISRC MATCH in Release_Track",and($B679&lt;&gt;"",countif('5) Release_Track'!$G:$G,$B679)=0),"NO CATALOG ID MATCH in Release_Track",iserror(vlookup($A679&amp;$B679,'5) Release_Track'!$F:$F&amp;'5) Release_Track'!$G:$G,1,0)),"NO ISRC-CATALOG ID pair MATCH in Release_Track" )</f>
        <v/>
      </c>
      <c r="E679" s="99"/>
      <c r="F679" s="99"/>
      <c r="G679" s="123" t="str">
        <f t="array" ref="G679">ifs(or($F679="",$F679="Main Primary Artist"),$F679,not(iserror(vlookup($F679,'Reference info'!$J$5:$J$8,1,0))),"Key Artist",not(iserror(vlookup($F679,'Reference info'!$J$38:$J$405,1,0))),"Performer",not(iserror(vlookup($F679,'Reference info'!$J$10:$J$36,1,0))),"Producer &amp; Engineer")</f>
        <v/>
      </c>
    </row>
    <row r="680">
      <c r="B680" s="103"/>
      <c r="C680" s="121" t="str">
        <f t="array" ref="C680">ifs(and(isblank($A680),isblank($B680)),"", not(iserror(vlookup($A680&amp;$B680,'5) Release_Track'!$F:$F&amp;'5) Release_Track'!$G:$G,1,0))),vlookup($A680&amp;$B680,{'5) Release_Track'!$F:$F&amp;'5) Release_Track'!$G:$G,'5) Release_Track'!$H:$H},2,0), or(and(not(isblank($B680)),$B680=$B679,$A680&lt;&gt;$A679),and(not(isblank($A680)),$A680=$A679,$B680&lt;&gt;$B679)),"ID LISTS UNALIGNED",and($A680&lt;&gt;"",countif('5) Release_Track'!$F:$F,$A680)=0),"NO ISRC MATCH in Release_Track",and($B680&lt;&gt;"",countif('5) Release_Track'!$G:$G,$B680)=0),"NO CATALOG ID MATCH in Release_Track",iserror(vlookup($A680&amp;$B680,'5) Release_Track'!$F:$F&amp;'5) Release_Track'!$G:$G,1,0)),"NO ISRC-CATALOG ID pair MATCH in Release_Track" )</f>
        <v/>
      </c>
      <c r="D680" s="121" t="str">
        <f t="array" ref="D680">ifs(and(isblank($A680),isblank($B680)),"", not(iserror(vlookup($A680&amp;$B680,'5) Release_Track'!$F:$F&amp;'5) Release_Track'!$G:$G,1,0))),vlookup($A680&amp;$B680,{'5) Release_Track'!$F:$F&amp;'5) Release_Track'!$G:$G,'5) Release_Track'!$I:$I},2,0), or(and(not(isblank($B680)),$B680=$B679,$A680&lt;&gt;$A679),and(not(isblank($A680)),$A680=$A679,$B680&lt;&gt;$B679)),"ID LISTS UNALIGNED",and($A680&lt;&gt;"",countif('5) Release_Track'!$F:$F,$A680)=0),"NO ISRC MATCH in Release_Track",and($B680&lt;&gt;"",countif('5) Release_Track'!$G:$G,$B680)=0),"NO CATALOG ID MATCH in Release_Track",iserror(vlookup($A680&amp;$B680,'5) Release_Track'!$F:$F&amp;'5) Release_Track'!$G:$G,1,0)),"NO ISRC-CATALOG ID pair MATCH in Release_Track" )</f>
        <v/>
      </c>
      <c r="E680" s="99"/>
      <c r="F680" s="99"/>
      <c r="G680" s="123" t="str">
        <f t="array" ref="G680">ifs(or($F680="",$F680="Main Primary Artist"),$F680,not(iserror(vlookup($F680,'Reference info'!$J$5:$J$8,1,0))),"Key Artist",not(iserror(vlookup($F680,'Reference info'!$J$38:$J$405,1,0))),"Performer",not(iserror(vlookup($F680,'Reference info'!$J$10:$J$36,1,0))),"Producer &amp; Engineer")</f>
        <v/>
      </c>
    </row>
    <row r="681">
      <c r="B681" s="103"/>
      <c r="C681" s="121" t="str">
        <f t="array" ref="C681">ifs(and(isblank($A681),isblank($B681)),"", not(iserror(vlookup($A681&amp;$B681,'5) Release_Track'!$F:$F&amp;'5) Release_Track'!$G:$G,1,0))),vlookup($A681&amp;$B681,{'5) Release_Track'!$F:$F&amp;'5) Release_Track'!$G:$G,'5) Release_Track'!$H:$H},2,0), or(and(not(isblank($B681)),$B681=$B680,$A681&lt;&gt;$A680),and(not(isblank($A681)),$A681=$A680,$B681&lt;&gt;$B680)),"ID LISTS UNALIGNED",and($A681&lt;&gt;"",countif('5) Release_Track'!$F:$F,$A681)=0),"NO ISRC MATCH in Release_Track",and($B681&lt;&gt;"",countif('5) Release_Track'!$G:$G,$B681)=0),"NO CATALOG ID MATCH in Release_Track",iserror(vlookup($A681&amp;$B681,'5) Release_Track'!$F:$F&amp;'5) Release_Track'!$G:$G,1,0)),"NO ISRC-CATALOG ID pair MATCH in Release_Track" )</f>
        <v/>
      </c>
      <c r="D681" s="121" t="str">
        <f t="array" ref="D681">ifs(and(isblank($A681),isblank($B681)),"", not(iserror(vlookup($A681&amp;$B681,'5) Release_Track'!$F:$F&amp;'5) Release_Track'!$G:$G,1,0))),vlookup($A681&amp;$B681,{'5) Release_Track'!$F:$F&amp;'5) Release_Track'!$G:$G,'5) Release_Track'!$I:$I},2,0), or(and(not(isblank($B681)),$B681=$B680,$A681&lt;&gt;$A680),and(not(isblank($A681)),$A681=$A680,$B681&lt;&gt;$B680)),"ID LISTS UNALIGNED",and($A681&lt;&gt;"",countif('5) Release_Track'!$F:$F,$A681)=0),"NO ISRC MATCH in Release_Track",and($B681&lt;&gt;"",countif('5) Release_Track'!$G:$G,$B681)=0),"NO CATALOG ID MATCH in Release_Track",iserror(vlookup($A681&amp;$B681,'5) Release_Track'!$F:$F&amp;'5) Release_Track'!$G:$G,1,0)),"NO ISRC-CATALOG ID pair MATCH in Release_Track" )</f>
        <v/>
      </c>
      <c r="E681" s="99"/>
      <c r="F681" s="99"/>
      <c r="G681" s="123" t="str">
        <f t="array" ref="G681">ifs(or($F681="",$F681="Main Primary Artist"),$F681,not(iserror(vlookup($F681,'Reference info'!$J$5:$J$8,1,0))),"Key Artist",not(iserror(vlookup($F681,'Reference info'!$J$38:$J$405,1,0))),"Performer",not(iserror(vlookup($F681,'Reference info'!$J$10:$J$36,1,0))),"Producer &amp; Engineer")</f>
        <v/>
      </c>
    </row>
    <row r="682">
      <c r="B682" s="103"/>
      <c r="C682" s="121" t="str">
        <f t="array" ref="C682">ifs(and(isblank($A682),isblank($B682)),"", not(iserror(vlookup($A682&amp;$B682,'5) Release_Track'!$F:$F&amp;'5) Release_Track'!$G:$G,1,0))),vlookup($A682&amp;$B682,{'5) Release_Track'!$F:$F&amp;'5) Release_Track'!$G:$G,'5) Release_Track'!$H:$H},2,0), or(and(not(isblank($B682)),$B682=$B681,$A682&lt;&gt;$A681),and(not(isblank($A682)),$A682=$A681,$B682&lt;&gt;$B681)),"ID LISTS UNALIGNED",and($A682&lt;&gt;"",countif('5) Release_Track'!$F:$F,$A682)=0),"NO ISRC MATCH in Release_Track",and($B682&lt;&gt;"",countif('5) Release_Track'!$G:$G,$B682)=0),"NO CATALOG ID MATCH in Release_Track",iserror(vlookup($A682&amp;$B682,'5) Release_Track'!$F:$F&amp;'5) Release_Track'!$G:$G,1,0)),"NO ISRC-CATALOG ID pair MATCH in Release_Track" )</f>
        <v/>
      </c>
      <c r="D682" s="121" t="str">
        <f t="array" ref="D682">ifs(and(isblank($A682),isblank($B682)),"", not(iserror(vlookup($A682&amp;$B682,'5) Release_Track'!$F:$F&amp;'5) Release_Track'!$G:$G,1,0))),vlookup($A682&amp;$B682,{'5) Release_Track'!$F:$F&amp;'5) Release_Track'!$G:$G,'5) Release_Track'!$I:$I},2,0), or(and(not(isblank($B682)),$B682=$B681,$A682&lt;&gt;$A681),and(not(isblank($A682)),$A682=$A681,$B682&lt;&gt;$B681)),"ID LISTS UNALIGNED",and($A682&lt;&gt;"",countif('5) Release_Track'!$F:$F,$A682)=0),"NO ISRC MATCH in Release_Track",and($B682&lt;&gt;"",countif('5) Release_Track'!$G:$G,$B682)=0),"NO CATALOG ID MATCH in Release_Track",iserror(vlookup($A682&amp;$B682,'5) Release_Track'!$F:$F&amp;'5) Release_Track'!$G:$G,1,0)),"NO ISRC-CATALOG ID pair MATCH in Release_Track" )</f>
        <v/>
      </c>
      <c r="E682" s="99"/>
      <c r="F682" s="99"/>
      <c r="G682" s="123" t="str">
        <f t="array" ref="G682">ifs(or($F682="",$F682="Main Primary Artist"),$F682,not(iserror(vlookup($F682,'Reference info'!$J$5:$J$8,1,0))),"Key Artist",not(iserror(vlookup($F682,'Reference info'!$J$38:$J$405,1,0))),"Performer",not(iserror(vlookup($F682,'Reference info'!$J$10:$J$36,1,0))),"Producer &amp; Engineer")</f>
        <v/>
      </c>
    </row>
    <row r="683">
      <c r="B683" s="103"/>
      <c r="C683" s="121" t="str">
        <f t="array" ref="C683">ifs(and(isblank($A683),isblank($B683)),"", not(iserror(vlookup($A683&amp;$B683,'5) Release_Track'!$F:$F&amp;'5) Release_Track'!$G:$G,1,0))),vlookup($A683&amp;$B683,{'5) Release_Track'!$F:$F&amp;'5) Release_Track'!$G:$G,'5) Release_Track'!$H:$H},2,0), or(and(not(isblank($B683)),$B683=$B682,$A683&lt;&gt;$A682),and(not(isblank($A683)),$A683=$A682,$B683&lt;&gt;$B682)),"ID LISTS UNALIGNED",and($A683&lt;&gt;"",countif('5) Release_Track'!$F:$F,$A683)=0),"NO ISRC MATCH in Release_Track",and($B683&lt;&gt;"",countif('5) Release_Track'!$G:$G,$B683)=0),"NO CATALOG ID MATCH in Release_Track",iserror(vlookup($A683&amp;$B683,'5) Release_Track'!$F:$F&amp;'5) Release_Track'!$G:$G,1,0)),"NO ISRC-CATALOG ID pair MATCH in Release_Track" )</f>
        <v/>
      </c>
      <c r="D683" s="121" t="str">
        <f t="array" ref="D683">ifs(and(isblank($A683),isblank($B683)),"", not(iserror(vlookup($A683&amp;$B683,'5) Release_Track'!$F:$F&amp;'5) Release_Track'!$G:$G,1,0))),vlookup($A683&amp;$B683,{'5) Release_Track'!$F:$F&amp;'5) Release_Track'!$G:$G,'5) Release_Track'!$I:$I},2,0), or(and(not(isblank($B683)),$B683=$B682,$A683&lt;&gt;$A682),and(not(isblank($A683)),$A683=$A682,$B683&lt;&gt;$B682)),"ID LISTS UNALIGNED",and($A683&lt;&gt;"",countif('5) Release_Track'!$F:$F,$A683)=0),"NO ISRC MATCH in Release_Track",and($B683&lt;&gt;"",countif('5) Release_Track'!$G:$G,$B683)=0),"NO CATALOG ID MATCH in Release_Track",iserror(vlookup($A683&amp;$B683,'5) Release_Track'!$F:$F&amp;'5) Release_Track'!$G:$G,1,0)),"NO ISRC-CATALOG ID pair MATCH in Release_Track" )</f>
        <v/>
      </c>
      <c r="E683" s="99"/>
      <c r="F683" s="99"/>
      <c r="G683" s="123" t="str">
        <f t="array" ref="G683">ifs(or($F683="",$F683="Main Primary Artist"),$F683,not(iserror(vlookup($F683,'Reference info'!$J$5:$J$8,1,0))),"Key Artist",not(iserror(vlookup($F683,'Reference info'!$J$38:$J$405,1,0))),"Performer",not(iserror(vlookup($F683,'Reference info'!$J$10:$J$36,1,0))),"Producer &amp; Engineer")</f>
        <v/>
      </c>
    </row>
    <row r="684">
      <c r="B684" s="103"/>
      <c r="C684" s="121" t="str">
        <f t="array" ref="C684">ifs(and(isblank($A684),isblank($B684)),"", not(iserror(vlookup($A684&amp;$B684,'5) Release_Track'!$F:$F&amp;'5) Release_Track'!$G:$G,1,0))),vlookup($A684&amp;$B684,{'5) Release_Track'!$F:$F&amp;'5) Release_Track'!$G:$G,'5) Release_Track'!$H:$H},2,0), or(and(not(isblank($B684)),$B684=$B683,$A684&lt;&gt;$A683),and(not(isblank($A684)),$A684=$A683,$B684&lt;&gt;$B683)),"ID LISTS UNALIGNED",and($A684&lt;&gt;"",countif('5) Release_Track'!$F:$F,$A684)=0),"NO ISRC MATCH in Release_Track",and($B684&lt;&gt;"",countif('5) Release_Track'!$G:$G,$B684)=0),"NO CATALOG ID MATCH in Release_Track",iserror(vlookup($A684&amp;$B684,'5) Release_Track'!$F:$F&amp;'5) Release_Track'!$G:$G,1,0)),"NO ISRC-CATALOG ID pair MATCH in Release_Track" )</f>
        <v/>
      </c>
      <c r="D684" s="121" t="str">
        <f t="array" ref="D684">ifs(and(isblank($A684),isblank($B684)),"", not(iserror(vlookup($A684&amp;$B684,'5) Release_Track'!$F:$F&amp;'5) Release_Track'!$G:$G,1,0))),vlookup($A684&amp;$B684,{'5) Release_Track'!$F:$F&amp;'5) Release_Track'!$G:$G,'5) Release_Track'!$I:$I},2,0), or(and(not(isblank($B684)),$B684=$B683,$A684&lt;&gt;$A683),and(not(isblank($A684)),$A684=$A683,$B684&lt;&gt;$B683)),"ID LISTS UNALIGNED",and($A684&lt;&gt;"",countif('5) Release_Track'!$F:$F,$A684)=0),"NO ISRC MATCH in Release_Track",and($B684&lt;&gt;"",countif('5) Release_Track'!$G:$G,$B684)=0),"NO CATALOG ID MATCH in Release_Track",iserror(vlookup($A684&amp;$B684,'5) Release_Track'!$F:$F&amp;'5) Release_Track'!$G:$G,1,0)),"NO ISRC-CATALOG ID pair MATCH in Release_Track" )</f>
        <v/>
      </c>
      <c r="E684" s="99"/>
      <c r="F684" s="99"/>
      <c r="G684" s="123" t="str">
        <f t="array" ref="G684">ifs(or($F684="",$F684="Main Primary Artist"),$F684,not(iserror(vlookup($F684,'Reference info'!$J$5:$J$8,1,0))),"Key Artist",not(iserror(vlookup($F684,'Reference info'!$J$38:$J$405,1,0))),"Performer",not(iserror(vlookup($F684,'Reference info'!$J$10:$J$36,1,0))),"Producer &amp; Engineer")</f>
        <v/>
      </c>
    </row>
    <row r="685">
      <c r="B685" s="103"/>
      <c r="C685" s="121" t="str">
        <f t="array" ref="C685">ifs(and(isblank($A685),isblank($B685)),"", not(iserror(vlookup($A685&amp;$B685,'5) Release_Track'!$F:$F&amp;'5) Release_Track'!$G:$G,1,0))),vlookup($A685&amp;$B685,{'5) Release_Track'!$F:$F&amp;'5) Release_Track'!$G:$G,'5) Release_Track'!$H:$H},2,0), or(and(not(isblank($B685)),$B685=$B684,$A685&lt;&gt;$A684),and(not(isblank($A685)),$A685=$A684,$B685&lt;&gt;$B684)),"ID LISTS UNALIGNED",and($A685&lt;&gt;"",countif('5) Release_Track'!$F:$F,$A685)=0),"NO ISRC MATCH in Release_Track",and($B685&lt;&gt;"",countif('5) Release_Track'!$G:$G,$B685)=0),"NO CATALOG ID MATCH in Release_Track",iserror(vlookup($A685&amp;$B685,'5) Release_Track'!$F:$F&amp;'5) Release_Track'!$G:$G,1,0)),"NO ISRC-CATALOG ID pair MATCH in Release_Track" )</f>
        <v/>
      </c>
      <c r="D685" s="121" t="str">
        <f t="array" ref="D685">ifs(and(isblank($A685),isblank($B685)),"", not(iserror(vlookup($A685&amp;$B685,'5) Release_Track'!$F:$F&amp;'5) Release_Track'!$G:$G,1,0))),vlookup($A685&amp;$B685,{'5) Release_Track'!$F:$F&amp;'5) Release_Track'!$G:$G,'5) Release_Track'!$I:$I},2,0), or(and(not(isblank($B685)),$B685=$B684,$A685&lt;&gt;$A684),and(not(isblank($A685)),$A685=$A684,$B685&lt;&gt;$B684)),"ID LISTS UNALIGNED",and($A685&lt;&gt;"",countif('5) Release_Track'!$F:$F,$A685)=0),"NO ISRC MATCH in Release_Track",and($B685&lt;&gt;"",countif('5) Release_Track'!$G:$G,$B685)=0),"NO CATALOG ID MATCH in Release_Track",iserror(vlookup($A685&amp;$B685,'5) Release_Track'!$F:$F&amp;'5) Release_Track'!$G:$G,1,0)),"NO ISRC-CATALOG ID pair MATCH in Release_Track" )</f>
        <v/>
      </c>
      <c r="E685" s="99"/>
      <c r="F685" s="99"/>
      <c r="G685" s="123" t="str">
        <f t="array" ref="G685">ifs(or($F685="",$F685="Main Primary Artist"),$F685,not(iserror(vlookup($F685,'Reference info'!$J$5:$J$8,1,0))),"Key Artist",not(iserror(vlookup($F685,'Reference info'!$J$38:$J$405,1,0))),"Performer",not(iserror(vlookup($F685,'Reference info'!$J$10:$J$36,1,0))),"Producer &amp; Engineer")</f>
        <v/>
      </c>
    </row>
    <row r="686">
      <c r="B686" s="103"/>
      <c r="C686" s="121" t="str">
        <f t="array" ref="C686">ifs(and(isblank($A686),isblank($B686)),"", not(iserror(vlookup($A686&amp;$B686,'5) Release_Track'!$F:$F&amp;'5) Release_Track'!$G:$G,1,0))),vlookup($A686&amp;$B686,{'5) Release_Track'!$F:$F&amp;'5) Release_Track'!$G:$G,'5) Release_Track'!$H:$H},2,0), or(and(not(isblank($B686)),$B686=$B685,$A686&lt;&gt;$A685),and(not(isblank($A686)),$A686=$A685,$B686&lt;&gt;$B685)),"ID LISTS UNALIGNED",and($A686&lt;&gt;"",countif('5) Release_Track'!$F:$F,$A686)=0),"NO ISRC MATCH in Release_Track",and($B686&lt;&gt;"",countif('5) Release_Track'!$G:$G,$B686)=0),"NO CATALOG ID MATCH in Release_Track",iserror(vlookup($A686&amp;$B686,'5) Release_Track'!$F:$F&amp;'5) Release_Track'!$G:$G,1,0)),"NO ISRC-CATALOG ID pair MATCH in Release_Track" )</f>
        <v/>
      </c>
      <c r="D686" s="121" t="str">
        <f t="array" ref="D686">ifs(and(isblank($A686),isblank($B686)),"", not(iserror(vlookup($A686&amp;$B686,'5) Release_Track'!$F:$F&amp;'5) Release_Track'!$G:$G,1,0))),vlookup($A686&amp;$B686,{'5) Release_Track'!$F:$F&amp;'5) Release_Track'!$G:$G,'5) Release_Track'!$I:$I},2,0), or(and(not(isblank($B686)),$B686=$B685,$A686&lt;&gt;$A685),and(not(isblank($A686)),$A686=$A685,$B686&lt;&gt;$B685)),"ID LISTS UNALIGNED",and($A686&lt;&gt;"",countif('5) Release_Track'!$F:$F,$A686)=0),"NO ISRC MATCH in Release_Track",and($B686&lt;&gt;"",countif('5) Release_Track'!$G:$G,$B686)=0),"NO CATALOG ID MATCH in Release_Track",iserror(vlookup($A686&amp;$B686,'5) Release_Track'!$F:$F&amp;'5) Release_Track'!$G:$G,1,0)),"NO ISRC-CATALOG ID pair MATCH in Release_Track" )</f>
        <v/>
      </c>
      <c r="E686" s="99"/>
      <c r="F686" s="99"/>
      <c r="G686" s="123" t="str">
        <f t="array" ref="G686">ifs(or($F686="",$F686="Main Primary Artist"),$F686,not(iserror(vlookup($F686,'Reference info'!$J$5:$J$8,1,0))),"Key Artist",not(iserror(vlookup($F686,'Reference info'!$J$38:$J$405,1,0))),"Performer",not(iserror(vlookup($F686,'Reference info'!$J$10:$J$36,1,0))),"Producer &amp; Engineer")</f>
        <v/>
      </c>
    </row>
    <row r="687">
      <c r="B687" s="103"/>
      <c r="C687" s="121" t="str">
        <f t="array" ref="C687">ifs(and(isblank($A687),isblank($B687)),"", not(iserror(vlookup($A687&amp;$B687,'5) Release_Track'!$F:$F&amp;'5) Release_Track'!$G:$G,1,0))),vlookup($A687&amp;$B687,{'5) Release_Track'!$F:$F&amp;'5) Release_Track'!$G:$G,'5) Release_Track'!$H:$H},2,0), or(and(not(isblank($B687)),$B687=$B686,$A687&lt;&gt;$A686),and(not(isblank($A687)),$A687=$A686,$B687&lt;&gt;$B686)),"ID LISTS UNALIGNED",and($A687&lt;&gt;"",countif('5) Release_Track'!$F:$F,$A687)=0),"NO ISRC MATCH in Release_Track",and($B687&lt;&gt;"",countif('5) Release_Track'!$G:$G,$B687)=0),"NO CATALOG ID MATCH in Release_Track",iserror(vlookup($A687&amp;$B687,'5) Release_Track'!$F:$F&amp;'5) Release_Track'!$G:$G,1,0)),"NO ISRC-CATALOG ID pair MATCH in Release_Track" )</f>
        <v/>
      </c>
      <c r="D687" s="121" t="str">
        <f t="array" ref="D687">ifs(and(isblank($A687),isblank($B687)),"", not(iserror(vlookup($A687&amp;$B687,'5) Release_Track'!$F:$F&amp;'5) Release_Track'!$G:$G,1,0))),vlookup($A687&amp;$B687,{'5) Release_Track'!$F:$F&amp;'5) Release_Track'!$G:$G,'5) Release_Track'!$I:$I},2,0), or(and(not(isblank($B687)),$B687=$B686,$A687&lt;&gt;$A686),and(not(isblank($A687)),$A687=$A686,$B687&lt;&gt;$B686)),"ID LISTS UNALIGNED",and($A687&lt;&gt;"",countif('5) Release_Track'!$F:$F,$A687)=0),"NO ISRC MATCH in Release_Track",and($B687&lt;&gt;"",countif('5) Release_Track'!$G:$G,$B687)=0),"NO CATALOG ID MATCH in Release_Track",iserror(vlookup($A687&amp;$B687,'5) Release_Track'!$F:$F&amp;'5) Release_Track'!$G:$G,1,0)),"NO ISRC-CATALOG ID pair MATCH in Release_Track" )</f>
        <v/>
      </c>
      <c r="E687" s="99"/>
      <c r="F687" s="99"/>
      <c r="G687" s="123" t="str">
        <f t="array" ref="G687">ifs(or($F687="",$F687="Main Primary Artist"),$F687,not(iserror(vlookup($F687,'Reference info'!$J$5:$J$8,1,0))),"Key Artist",not(iserror(vlookup($F687,'Reference info'!$J$38:$J$405,1,0))),"Performer",not(iserror(vlookup($F687,'Reference info'!$J$10:$J$36,1,0))),"Producer &amp; Engineer")</f>
        <v/>
      </c>
    </row>
    <row r="688">
      <c r="B688" s="103"/>
      <c r="C688" s="121" t="str">
        <f t="array" ref="C688">ifs(and(isblank($A688),isblank($B688)),"", not(iserror(vlookup($A688&amp;$B688,'5) Release_Track'!$F:$F&amp;'5) Release_Track'!$G:$G,1,0))),vlookup($A688&amp;$B688,{'5) Release_Track'!$F:$F&amp;'5) Release_Track'!$G:$G,'5) Release_Track'!$H:$H},2,0), or(and(not(isblank($B688)),$B688=$B687,$A688&lt;&gt;$A687),and(not(isblank($A688)),$A688=$A687,$B688&lt;&gt;$B687)),"ID LISTS UNALIGNED",and($A688&lt;&gt;"",countif('5) Release_Track'!$F:$F,$A688)=0),"NO ISRC MATCH in Release_Track",and($B688&lt;&gt;"",countif('5) Release_Track'!$G:$G,$B688)=0),"NO CATALOG ID MATCH in Release_Track",iserror(vlookup($A688&amp;$B688,'5) Release_Track'!$F:$F&amp;'5) Release_Track'!$G:$G,1,0)),"NO ISRC-CATALOG ID pair MATCH in Release_Track" )</f>
        <v/>
      </c>
      <c r="D688" s="121" t="str">
        <f t="array" ref="D688">ifs(and(isblank($A688),isblank($B688)),"", not(iserror(vlookup($A688&amp;$B688,'5) Release_Track'!$F:$F&amp;'5) Release_Track'!$G:$G,1,0))),vlookup($A688&amp;$B688,{'5) Release_Track'!$F:$F&amp;'5) Release_Track'!$G:$G,'5) Release_Track'!$I:$I},2,0), or(and(not(isblank($B688)),$B688=$B687,$A688&lt;&gt;$A687),and(not(isblank($A688)),$A688=$A687,$B688&lt;&gt;$B687)),"ID LISTS UNALIGNED",and($A688&lt;&gt;"",countif('5) Release_Track'!$F:$F,$A688)=0),"NO ISRC MATCH in Release_Track",and($B688&lt;&gt;"",countif('5) Release_Track'!$G:$G,$B688)=0),"NO CATALOG ID MATCH in Release_Track",iserror(vlookup($A688&amp;$B688,'5) Release_Track'!$F:$F&amp;'5) Release_Track'!$G:$G,1,0)),"NO ISRC-CATALOG ID pair MATCH in Release_Track" )</f>
        <v/>
      </c>
      <c r="E688" s="99"/>
      <c r="F688" s="99"/>
      <c r="G688" s="123" t="str">
        <f t="array" ref="G688">ifs(or($F688="",$F688="Main Primary Artist"),$F688,not(iserror(vlookup($F688,'Reference info'!$J$5:$J$8,1,0))),"Key Artist",not(iserror(vlookup($F688,'Reference info'!$J$38:$J$405,1,0))),"Performer",not(iserror(vlookup($F688,'Reference info'!$J$10:$J$36,1,0))),"Producer &amp; Engineer")</f>
        <v/>
      </c>
    </row>
    <row r="689">
      <c r="B689" s="103"/>
      <c r="C689" s="121" t="str">
        <f t="array" ref="C689">ifs(and(isblank($A689),isblank($B689)),"", not(iserror(vlookup($A689&amp;$B689,'5) Release_Track'!$F:$F&amp;'5) Release_Track'!$G:$G,1,0))),vlookup($A689&amp;$B689,{'5) Release_Track'!$F:$F&amp;'5) Release_Track'!$G:$G,'5) Release_Track'!$H:$H},2,0), or(and(not(isblank($B689)),$B689=$B688,$A689&lt;&gt;$A688),and(not(isblank($A689)),$A689=$A688,$B689&lt;&gt;$B688)),"ID LISTS UNALIGNED",and($A689&lt;&gt;"",countif('5) Release_Track'!$F:$F,$A689)=0),"NO ISRC MATCH in Release_Track",and($B689&lt;&gt;"",countif('5) Release_Track'!$G:$G,$B689)=0),"NO CATALOG ID MATCH in Release_Track",iserror(vlookup($A689&amp;$B689,'5) Release_Track'!$F:$F&amp;'5) Release_Track'!$G:$G,1,0)),"NO ISRC-CATALOG ID pair MATCH in Release_Track" )</f>
        <v/>
      </c>
      <c r="D689" s="121" t="str">
        <f t="array" ref="D689">ifs(and(isblank($A689),isblank($B689)),"", not(iserror(vlookup($A689&amp;$B689,'5) Release_Track'!$F:$F&amp;'5) Release_Track'!$G:$G,1,0))),vlookup($A689&amp;$B689,{'5) Release_Track'!$F:$F&amp;'5) Release_Track'!$G:$G,'5) Release_Track'!$I:$I},2,0), or(and(not(isblank($B689)),$B689=$B688,$A689&lt;&gt;$A688),and(not(isblank($A689)),$A689=$A688,$B689&lt;&gt;$B688)),"ID LISTS UNALIGNED",and($A689&lt;&gt;"",countif('5) Release_Track'!$F:$F,$A689)=0),"NO ISRC MATCH in Release_Track",and($B689&lt;&gt;"",countif('5) Release_Track'!$G:$G,$B689)=0),"NO CATALOG ID MATCH in Release_Track",iserror(vlookup($A689&amp;$B689,'5) Release_Track'!$F:$F&amp;'5) Release_Track'!$G:$G,1,0)),"NO ISRC-CATALOG ID pair MATCH in Release_Track" )</f>
        <v/>
      </c>
      <c r="E689" s="99"/>
      <c r="F689" s="99"/>
      <c r="G689" s="123" t="str">
        <f t="array" ref="G689">ifs(or($F689="",$F689="Main Primary Artist"),$F689,not(iserror(vlookup($F689,'Reference info'!$J$5:$J$8,1,0))),"Key Artist",not(iserror(vlookup($F689,'Reference info'!$J$38:$J$405,1,0))),"Performer",not(iserror(vlookup($F689,'Reference info'!$J$10:$J$36,1,0))),"Producer &amp; Engineer")</f>
        <v/>
      </c>
    </row>
    <row r="690">
      <c r="B690" s="103"/>
      <c r="C690" s="121" t="str">
        <f t="array" ref="C690">ifs(and(isblank($A690),isblank($B690)),"", not(iserror(vlookup($A690&amp;$B690,'5) Release_Track'!$F:$F&amp;'5) Release_Track'!$G:$G,1,0))),vlookup($A690&amp;$B690,{'5) Release_Track'!$F:$F&amp;'5) Release_Track'!$G:$G,'5) Release_Track'!$H:$H},2,0), or(and(not(isblank($B690)),$B690=$B689,$A690&lt;&gt;$A689),and(not(isblank($A690)),$A690=$A689,$B690&lt;&gt;$B689)),"ID LISTS UNALIGNED",and($A690&lt;&gt;"",countif('5) Release_Track'!$F:$F,$A690)=0),"NO ISRC MATCH in Release_Track",and($B690&lt;&gt;"",countif('5) Release_Track'!$G:$G,$B690)=0),"NO CATALOG ID MATCH in Release_Track",iserror(vlookup($A690&amp;$B690,'5) Release_Track'!$F:$F&amp;'5) Release_Track'!$G:$G,1,0)),"NO ISRC-CATALOG ID pair MATCH in Release_Track" )</f>
        <v/>
      </c>
      <c r="D690" s="121" t="str">
        <f t="array" ref="D690">ifs(and(isblank($A690),isblank($B690)),"", not(iserror(vlookup($A690&amp;$B690,'5) Release_Track'!$F:$F&amp;'5) Release_Track'!$G:$G,1,0))),vlookup($A690&amp;$B690,{'5) Release_Track'!$F:$F&amp;'5) Release_Track'!$G:$G,'5) Release_Track'!$I:$I},2,0), or(and(not(isblank($B690)),$B690=$B689,$A690&lt;&gt;$A689),and(not(isblank($A690)),$A690=$A689,$B690&lt;&gt;$B689)),"ID LISTS UNALIGNED",and($A690&lt;&gt;"",countif('5) Release_Track'!$F:$F,$A690)=0),"NO ISRC MATCH in Release_Track",and($B690&lt;&gt;"",countif('5) Release_Track'!$G:$G,$B690)=0),"NO CATALOG ID MATCH in Release_Track",iserror(vlookup($A690&amp;$B690,'5) Release_Track'!$F:$F&amp;'5) Release_Track'!$G:$G,1,0)),"NO ISRC-CATALOG ID pair MATCH in Release_Track" )</f>
        <v/>
      </c>
      <c r="E690" s="99"/>
      <c r="F690" s="99"/>
      <c r="G690" s="123" t="str">
        <f t="array" ref="G690">ifs(or($F690="",$F690="Main Primary Artist"),$F690,not(iserror(vlookup($F690,'Reference info'!$J$5:$J$8,1,0))),"Key Artist",not(iserror(vlookup($F690,'Reference info'!$J$38:$J$405,1,0))),"Performer",not(iserror(vlookup($F690,'Reference info'!$J$10:$J$36,1,0))),"Producer &amp; Engineer")</f>
        <v/>
      </c>
    </row>
    <row r="691">
      <c r="B691" s="103"/>
      <c r="C691" s="121" t="str">
        <f t="array" ref="C691">ifs(and(isblank($A691),isblank($B691)),"", not(iserror(vlookup($A691&amp;$B691,'5) Release_Track'!$F:$F&amp;'5) Release_Track'!$G:$G,1,0))),vlookup($A691&amp;$B691,{'5) Release_Track'!$F:$F&amp;'5) Release_Track'!$G:$G,'5) Release_Track'!$H:$H},2,0), or(and(not(isblank($B691)),$B691=$B690,$A691&lt;&gt;$A690),and(not(isblank($A691)),$A691=$A690,$B691&lt;&gt;$B690)),"ID LISTS UNALIGNED",and($A691&lt;&gt;"",countif('5) Release_Track'!$F:$F,$A691)=0),"NO ISRC MATCH in Release_Track",and($B691&lt;&gt;"",countif('5) Release_Track'!$G:$G,$B691)=0),"NO CATALOG ID MATCH in Release_Track",iserror(vlookup($A691&amp;$B691,'5) Release_Track'!$F:$F&amp;'5) Release_Track'!$G:$G,1,0)),"NO ISRC-CATALOG ID pair MATCH in Release_Track" )</f>
        <v/>
      </c>
      <c r="D691" s="121" t="str">
        <f t="array" ref="D691">ifs(and(isblank($A691),isblank($B691)),"", not(iserror(vlookup($A691&amp;$B691,'5) Release_Track'!$F:$F&amp;'5) Release_Track'!$G:$G,1,0))),vlookup($A691&amp;$B691,{'5) Release_Track'!$F:$F&amp;'5) Release_Track'!$G:$G,'5) Release_Track'!$I:$I},2,0), or(and(not(isblank($B691)),$B691=$B690,$A691&lt;&gt;$A690),and(not(isblank($A691)),$A691=$A690,$B691&lt;&gt;$B690)),"ID LISTS UNALIGNED",and($A691&lt;&gt;"",countif('5) Release_Track'!$F:$F,$A691)=0),"NO ISRC MATCH in Release_Track",and($B691&lt;&gt;"",countif('5) Release_Track'!$G:$G,$B691)=0),"NO CATALOG ID MATCH in Release_Track",iserror(vlookup($A691&amp;$B691,'5) Release_Track'!$F:$F&amp;'5) Release_Track'!$G:$G,1,0)),"NO ISRC-CATALOG ID pair MATCH in Release_Track" )</f>
        <v/>
      </c>
      <c r="E691" s="99"/>
      <c r="F691" s="99"/>
      <c r="G691" s="123" t="str">
        <f t="array" ref="G691">ifs(or($F691="",$F691="Main Primary Artist"),$F691,not(iserror(vlookup($F691,'Reference info'!$J$5:$J$8,1,0))),"Key Artist",not(iserror(vlookup($F691,'Reference info'!$J$38:$J$405,1,0))),"Performer",not(iserror(vlookup($F691,'Reference info'!$J$10:$J$36,1,0))),"Producer &amp; Engineer")</f>
        <v/>
      </c>
    </row>
    <row r="692">
      <c r="B692" s="103"/>
      <c r="C692" s="121" t="str">
        <f t="array" ref="C692">ifs(and(isblank($A692),isblank($B692)),"", not(iserror(vlookup($A692&amp;$B692,'5) Release_Track'!$F:$F&amp;'5) Release_Track'!$G:$G,1,0))),vlookup($A692&amp;$B692,{'5) Release_Track'!$F:$F&amp;'5) Release_Track'!$G:$G,'5) Release_Track'!$H:$H},2,0), or(and(not(isblank($B692)),$B692=$B691,$A692&lt;&gt;$A691),and(not(isblank($A692)),$A692=$A691,$B692&lt;&gt;$B691)),"ID LISTS UNALIGNED",and($A692&lt;&gt;"",countif('5) Release_Track'!$F:$F,$A692)=0),"NO ISRC MATCH in Release_Track",and($B692&lt;&gt;"",countif('5) Release_Track'!$G:$G,$B692)=0),"NO CATALOG ID MATCH in Release_Track",iserror(vlookup($A692&amp;$B692,'5) Release_Track'!$F:$F&amp;'5) Release_Track'!$G:$G,1,0)),"NO ISRC-CATALOG ID pair MATCH in Release_Track" )</f>
        <v/>
      </c>
      <c r="D692" s="121" t="str">
        <f t="array" ref="D692">ifs(and(isblank($A692),isblank($B692)),"", not(iserror(vlookup($A692&amp;$B692,'5) Release_Track'!$F:$F&amp;'5) Release_Track'!$G:$G,1,0))),vlookup($A692&amp;$B692,{'5) Release_Track'!$F:$F&amp;'5) Release_Track'!$G:$G,'5) Release_Track'!$I:$I},2,0), or(and(not(isblank($B692)),$B692=$B691,$A692&lt;&gt;$A691),and(not(isblank($A692)),$A692=$A691,$B692&lt;&gt;$B691)),"ID LISTS UNALIGNED",and($A692&lt;&gt;"",countif('5) Release_Track'!$F:$F,$A692)=0),"NO ISRC MATCH in Release_Track",and($B692&lt;&gt;"",countif('5) Release_Track'!$G:$G,$B692)=0),"NO CATALOG ID MATCH in Release_Track",iserror(vlookup($A692&amp;$B692,'5) Release_Track'!$F:$F&amp;'5) Release_Track'!$G:$G,1,0)),"NO ISRC-CATALOG ID pair MATCH in Release_Track" )</f>
        <v/>
      </c>
      <c r="E692" s="99"/>
      <c r="F692" s="99"/>
      <c r="G692" s="123" t="str">
        <f t="array" ref="G692">ifs(or($F692="",$F692="Main Primary Artist"),$F692,not(iserror(vlookup($F692,'Reference info'!$J$5:$J$8,1,0))),"Key Artist",not(iserror(vlookup($F692,'Reference info'!$J$38:$J$405,1,0))),"Performer",not(iserror(vlookup($F692,'Reference info'!$J$10:$J$36,1,0))),"Producer &amp; Engineer")</f>
        <v/>
      </c>
    </row>
    <row r="693">
      <c r="B693" s="103"/>
      <c r="C693" s="121" t="str">
        <f t="array" ref="C693">ifs(and(isblank($A693),isblank($B693)),"", not(iserror(vlookup($A693&amp;$B693,'5) Release_Track'!$F:$F&amp;'5) Release_Track'!$G:$G,1,0))),vlookup($A693&amp;$B693,{'5) Release_Track'!$F:$F&amp;'5) Release_Track'!$G:$G,'5) Release_Track'!$H:$H},2,0), or(and(not(isblank($B693)),$B693=$B692,$A693&lt;&gt;$A692),and(not(isblank($A693)),$A693=$A692,$B693&lt;&gt;$B692)),"ID LISTS UNALIGNED",and($A693&lt;&gt;"",countif('5) Release_Track'!$F:$F,$A693)=0),"NO ISRC MATCH in Release_Track",and($B693&lt;&gt;"",countif('5) Release_Track'!$G:$G,$B693)=0),"NO CATALOG ID MATCH in Release_Track",iserror(vlookup($A693&amp;$B693,'5) Release_Track'!$F:$F&amp;'5) Release_Track'!$G:$G,1,0)),"NO ISRC-CATALOG ID pair MATCH in Release_Track" )</f>
        <v/>
      </c>
      <c r="D693" s="121" t="str">
        <f t="array" ref="D693">ifs(and(isblank($A693),isblank($B693)),"", not(iserror(vlookup($A693&amp;$B693,'5) Release_Track'!$F:$F&amp;'5) Release_Track'!$G:$G,1,0))),vlookup($A693&amp;$B693,{'5) Release_Track'!$F:$F&amp;'5) Release_Track'!$G:$G,'5) Release_Track'!$I:$I},2,0), or(and(not(isblank($B693)),$B693=$B692,$A693&lt;&gt;$A692),and(not(isblank($A693)),$A693=$A692,$B693&lt;&gt;$B692)),"ID LISTS UNALIGNED",and($A693&lt;&gt;"",countif('5) Release_Track'!$F:$F,$A693)=0),"NO ISRC MATCH in Release_Track",and($B693&lt;&gt;"",countif('5) Release_Track'!$G:$G,$B693)=0),"NO CATALOG ID MATCH in Release_Track",iserror(vlookup($A693&amp;$B693,'5) Release_Track'!$F:$F&amp;'5) Release_Track'!$G:$G,1,0)),"NO ISRC-CATALOG ID pair MATCH in Release_Track" )</f>
        <v/>
      </c>
      <c r="E693" s="99"/>
      <c r="F693" s="99"/>
      <c r="G693" s="123" t="str">
        <f t="array" ref="G693">ifs(or($F693="",$F693="Main Primary Artist"),$F693,not(iserror(vlookup($F693,'Reference info'!$J$5:$J$8,1,0))),"Key Artist",not(iserror(vlookup($F693,'Reference info'!$J$38:$J$405,1,0))),"Performer",not(iserror(vlookup($F693,'Reference info'!$J$10:$J$36,1,0))),"Producer &amp; Engineer")</f>
        <v/>
      </c>
    </row>
    <row r="694">
      <c r="B694" s="103"/>
      <c r="C694" s="121" t="str">
        <f t="array" ref="C694">ifs(and(isblank($A694),isblank($B694)),"", not(iserror(vlookup($A694&amp;$B694,'5) Release_Track'!$F:$F&amp;'5) Release_Track'!$G:$G,1,0))),vlookup($A694&amp;$B694,{'5) Release_Track'!$F:$F&amp;'5) Release_Track'!$G:$G,'5) Release_Track'!$H:$H},2,0), or(and(not(isblank($B694)),$B694=$B693,$A694&lt;&gt;$A693),and(not(isblank($A694)),$A694=$A693,$B694&lt;&gt;$B693)),"ID LISTS UNALIGNED",and($A694&lt;&gt;"",countif('5) Release_Track'!$F:$F,$A694)=0),"NO ISRC MATCH in Release_Track",and($B694&lt;&gt;"",countif('5) Release_Track'!$G:$G,$B694)=0),"NO CATALOG ID MATCH in Release_Track",iserror(vlookup($A694&amp;$B694,'5) Release_Track'!$F:$F&amp;'5) Release_Track'!$G:$G,1,0)),"NO ISRC-CATALOG ID pair MATCH in Release_Track" )</f>
        <v/>
      </c>
      <c r="D694" s="121" t="str">
        <f t="array" ref="D694">ifs(and(isblank($A694),isblank($B694)),"", not(iserror(vlookup($A694&amp;$B694,'5) Release_Track'!$F:$F&amp;'5) Release_Track'!$G:$G,1,0))),vlookup($A694&amp;$B694,{'5) Release_Track'!$F:$F&amp;'5) Release_Track'!$G:$G,'5) Release_Track'!$I:$I},2,0), or(and(not(isblank($B694)),$B694=$B693,$A694&lt;&gt;$A693),and(not(isblank($A694)),$A694=$A693,$B694&lt;&gt;$B693)),"ID LISTS UNALIGNED",and($A694&lt;&gt;"",countif('5) Release_Track'!$F:$F,$A694)=0),"NO ISRC MATCH in Release_Track",and($B694&lt;&gt;"",countif('5) Release_Track'!$G:$G,$B694)=0),"NO CATALOG ID MATCH in Release_Track",iserror(vlookup($A694&amp;$B694,'5) Release_Track'!$F:$F&amp;'5) Release_Track'!$G:$G,1,0)),"NO ISRC-CATALOG ID pair MATCH in Release_Track" )</f>
        <v/>
      </c>
      <c r="E694" s="99"/>
      <c r="F694" s="99"/>
      <c r="G694" s="123" t="str">
        <f t="array" ref="G694">ifs(or($F694="",$F694="Main Primary Artist"),$F694,not(iserror(vlookup($F694,'Reference info'!$J$5:$J$8,1,0))),"Key Artist",not(iserror(vlookup($F694,'Reference info'!$J$38:$J$405,1,0))),"Performer",not(iserror(vlookup($F694,'Reference info'!$J$10:$J$36,1,0))),"Producer &amp; Engineer")</f>
        <v/>
      </c>
    </row>
    <row r="695">
      <c r="B695" s="103"/>
      <c r="C695" s="121" t="str">
        <f t="array" ref="C695">ifs(and(isblank($A695),isblank($B695)),"", not(iserror(vlookup($A695&amp;$B695,'5) Release_Track'!$F:$F&amp;'5) Release_Track'!$G:$G,1,0))),vlookup($A695&amp;$B695,{'5) Release_Track'!$F:$F&amp;'5) Release_Track'!$G:$G,'5) Release_Track'!$H:$H},2,0), or(and(not(isblank($B695)),$B695=$B694,$A695&lt;&gt;$A694),and(not(isblank($A695)),$A695=$A694,$B695&lt;&gt;$B694)),"ID LISTS UNALIGNED",and($A695&lt;&gt;"",countif('5) Release_Track'!$F:$F,$A695)=0),"NO ISRC MATCH in Release_Track",and($B695&lt;&gt;"",countif('5) Release_Track'!$G:$G,$B695)=0),"NO CATALOG ID MATCH in Release_Track",iserror(vlookup($A695&amp;$B695,'5) Release_Track'!$F:$F&amp;'5) Release_Track'!$G:$G,1,0)),"NO ISRC-CATALOG ID pair MATCH in Release_Track" )</f>
        <v/>
      </c>
      <c r="D695" s="121" t="str">
        <f t="array" ref="D695">ifs(and(isblank($A695),isblank($B695)),"", not(iserror(vlookup($A695&amp;$B695,'5) Release_Track'!$F:$F&amp;'5) Release_Track'!$G:$G,1,0))),vlookup($A695&amp;$B695,{'5) Release_Track'!$F:$F&amp;'5) Release_Track'!$G:$G,'5) Release_Track'!$I:$I},2,0), or(and(not(isblank($B695)),$B695=$B694,$A695&lt;&gt;$A694),and(not(isblank($A695)),$A695=$A694,$B695&lt;&gt;$B694)),"ID LISTS UNALIGNED",and($A695&lt;&gt;"",countif('5) Release_Track'!$F:$F,$A695)=0),"NO ISRC MATCH in Release_Track",and($B695&lt;&gt;"",countif('5) Release_Track'!$G:$G,$B695)=0),"NO CATALOG ID MATCH in Release_Track",iserror(vlookup($A695&amp;$B695,'5) Release_Track'!$F:$F&amp;'5) Release_Track'!$G:$G,1,0)),"NO ISRC-CATALOG ID pair MATCH in Release_Track" )</f>
        <v/>
      </c>
      <c r="E695" s="99"/>
      <c r="F695" s="99"/>
      <c r="G695" s="123" t="str">
        <f t="array" ref="G695">ifs(or($F695="",$F695="Main Primary Artist"),$F695,not(iserror(vlookup($F695,'Reference info'!$J$5:$J$8,1,0))),"Key Artist",not(iserror(vlookup($F695,'Reference info'!$J$38:$J$405,1,0))),"Performer",not(iserror(vlookup($F695,'Reference info'!$J$10:$J$36,1,0))),"Producer &amp; Engineer")</f>
        <v/>
      </c>
    </row>
    <row r="696">
      <c r="B696" s="103"/>
      <c r="C696" s="121" t="str">
        <f t="array" ref="C696">ifs(and(isblank($A696),isblank($B696)),"", not(iserror(vlookup($A696&amp;$B696,'5) Release_Track'!$F:$F&amp;'5) Release_Track'!$G:$G,1,0))),vlookup($A696&amp;$B696,{'5) Release_Track'!$F:$F&amp;'5) Release_Track'!$G:$G,'5) Release_Track'!$H:$H},2,0), or(and(not(isblank($B696)),$B696=$B695,$A696&lt;&gt;$A695),and(not(isblank($A696)),$A696=$A695,$B696&lt;&gt;$B695)),"ID LISTS UNALIGNED",and($A696&lt;&gt;"",countif('5) Release_Track'!$F:$F,$A696)=0),"NO ISRC MATCH in Release_Track",and($B696&lt;&gt;"",countif('5) Release_Track'!$G:$G,$B696)=0),"NO CATALOG ID MATCH in Release_Track",iserror(vlookup($A696&amp;$B696,'5) Release_Track'!$F:$F&amp;'5) Release_Track'!$G:$G,1,0)),"NO ISRC-CATALOG ID pair MATCH in Release_Track" )</f>
        <v/>
      </c>
      <c r="D696" s="121" t="str">
        <f t="array" ref="D696">ifs(and(isblank($A696),isblank($B696)),"", not(iserror(vlookup($A696&amp;$B696,'5) Release_Track'!$F:$F&amp;'5) Release_Track'!$G:$G,1,0))),vlookup($A696&amp;$B696,{'5) Release_Track'!$F:$F&amp;'5) Release_Track'!$G:$G,'5) Release_Track'!$I:$I},2,0), or(and(not(isblank($B696)),$B696=$B695,$A696&lt;&gt;$A695),and(not(isblank($A696)),$A696=$A695,$B696&lt;&gt;$B695)),"ID LISTS UNALIGNED",and($A696&lt;&gt;"",countif('5) Release_Track'!$F:$F,$A696)=0),"NO ISRC MATCH in Release_Track",and($B696&lt;&gt;"",countif('5) Release_Track'!$G:$G,$B696)=0),"NO CATALOG ID MATCH in Release_Track",iserror(vlookup($A696&amp;$B696,'5) Release_Track'!$F:$F&amp;'5) Release_Track'!$G:$G,1,0)),"NO ISRC-CATALOG ID pair MATCH in Release_Track" )</f>
        <v/>
      </c>
      <c r="E696" s="99"/>
      <c r="F696" s="99"/>
      <c r="G696" s="123" t="str">
        <f t="array" ref="G696">ifs(or($F696="",$F696="Main Primary Artist"),$F696,not(iserror(vlookup($F696,'Reference info'!$J$5:$J$8,1,0))),"Key Artist",not(iserror(vlookup($F696,'Reference info'!$J$38:$J$405,1,0))),"Performer",not(iserror(vlookup($F696,'Reference info'!$J$10:$J$36,1,0))),"Producer &amp; Engineer")</f>
        <v/>
      </c>
    </row>
    <row r="697">
      <c r="B697" s="103"/>
      <c r="C697" s="121" t="str">
        <f t="array" ref="C697">ifs(and(isblank($A697),isblank($B697)),"", not(iserror(vlookup($A697&amp;$B697,'5) Release_Track'!$F:$F&amp;'5) Release_Track'!$G:$G,1,0))),vlookup($A697&amp;$B697,{'5) Release_Track'!$F:$F&amp;'5) Release_Track'!$G:$G,'5) Release_Track'!$H:$H},2,0), or(and(not(isblank($B697)),$B697=$B696,$A697&lt;&gt;$A696),and(not(isblank($A697)),$A697=$A696,$B697&lt;&gt;$B696)),"ID LISTS UNALIGNED",and($A697&lt;&gt;"",countif('5) Release_Track'!$F:$F,$A697)=0),"NO ISRC MATCH in Release_Track",and($B697&lt;&gt;"",countif('5) Release_Track'!$G:$G,$B697)=0),"NO CATALOG ID MATCH in Release_Track",iserror(vlookup($A697&amp;$B697,'5) Release_Track'!$F:$F&amp;'5) Release_Track'!$G:$G,1,0)),"NO ISRC-CATALOG ID pair MATCH in Release_Track" )</f>
        <v/>
      </c>
      <c r="D697" s="121" t="str">
        <f t="array" ref="D697">ifs(and(isblank($A697),isblank($B697)),"", not(iserror(vlookup($A697&amp;$B697,'5) Release_Track'!$F:$F&amp;'5) Release_Track'!$G:$G,1,0))),vlookup($A697&amp;$B697,{'5) Release_Track'!$F:$F&amp;'5) Release_Track'!$G:$G,'5) Release_Track'!$I:$I},2,0), or(and(not(isblank($B697)),$B697=$B696,$A697&lt;&gt;$A696),and(not(isblank($A697)),$A697=$A696,$B697&lt;&gt;$B696)),"ID LISTS UNALIGNED",and($A697&lt;&gt;"",countif('5) Release_Track'!$F:$F,$A697)=0),"NO ISRC MATCH in Release_Track",and($B697&lt;&gt;"",countif('5) Release_Track'!$G:$G,$B697)=0),"NO CATALOG ID MATCH in Release_Track",iserror(vlookup($A697&amp;$B697,'5) Release_Track'!$F:$F&amp;'5) Release_Track'!$G:$G,1,0)),"NO ISRC-CATALOG ID pair MATCH in Release_Track" )</f>
        <v/>
      </c>
      <c r="E697" s="99"/>
      <c r="F697" s="99"/>
      <c r="G697" s="123" t="str">
        <f t="array" ref="G697">ifs(or($F697="",$F697="Main Primary Artist"),$F697,not(iserror(vlookup($F697,'Reference info'!$J$5:$J$8,1,0))),"Key Artist",not(iserror(vlookup($F697,'Reference info'!$J$38:$J$405,1,0))),"Performer",not(iserror(vlookup($F697,'Reference info'!$J$10:$J$36,1,0))),"Producer &amp; Engineer")</f>
        <v/>
      </c>
    </row>
    <row r="698">
      <c r="B698" s="103"/>
      <c r="C698" s="121" t="str">
        <f t="array" ref="C698">ifs(and(isblank($A698),isblank($B698)),"", not(iserror(vlookup($A698&amp;$B698,'5) Release_Track'!$F:$F&amp;'5) Release_Track'!$G:$G,1,0))),vlookup($A698&amp;$B698,{'5) Release_Track'!$F:$F&amp;'5) Release_Track'!$G:$G,'5) Release_Track'!$H:$H},2,0), or(and(not(isblank($B698)),$B698=$B697,$A698&lt;&gt;$A697),and(not(isblank($A698)),$A698=$A697,$B698&lt;&gt;$B697)),"ID LISTS UNALIGNED",and($A698&lt;&gt;"",countif('5) Release_Track'!$F:$F,$A698)=0),"NO ISRC MATCH in Release_Track",and($B698&lt;&gt;"",countif('5) Release_Track'!$G:$G,$B698)=0),"NO CATALOG ID MATCH in Release_Track",iserror(vlookup($A698&amp;$B698,'5) Release_Track'!$F:$F&amp;'5) Release_Track'!$G:$G,1,0)),"NO ISRC-CATALOG ID pair MATCH in Release_Track" )</f>
        <v/>
      </c>
      <c r="D698" s="121" t="str">
        <f t="array" ref="D698">ifs(and(isblank($A698),isblank($B698)),"", not(iserror(vlookup($A698&amp;$B698,'5) Release_Track'!$F:$F&amp;'5) Release_Track'!$G:$G,1,0))),vlookup($A698&amp;$B698,{'5) Release_Track'!$F:$F&amp;'5) Release_Track'!$G:$G,'5) Release_Track'!$I:$I},2,0), or(and(not(isblank($B698)),$B698=$B697,$A698&lt;&gt;$A697),and(not(isblank($A698)),$A698=$A697,$B698&lt;&gt;$B697)),"ID LISTS UNALIGNED",and($A698&lt;&gt;"",countif('5) Release_Track'!$F:$F,$A698)=0),"NO ISRC MATCH in Release_Track",and($B698&lt;&gt;"",countif('5) Release_Track'!$G:$G,$B698)=0),"NO CATALOG ID MATCH in Release_Track",iserror(vlookup($A698&amp;$B698,'5) Release_Track'!$F:$F&amp;'5) Release_Track'!$G:$G,1,0)),"NO ISRC-CATALOG ID pair MATCH in Release_Track" )</f>
        <v/>
      </c>
      <c r="E698" s="99"/>
      <c r="F698" s="99"/>
      <c r="G698" s="123" t="str">
        <f t="array" ref="G698">ifs(or($F698="",$F698="Main Primary Artist"),$F698,not(iserror(vlookup($F698,'Reference info'!$J$5:$J$8,1,0))),"Key Artist",not(iserror(vlookup($F698,'Reference info'!$J$38:$J$405,1,0))),"Performer",not(iserror(vlookup($F698,'Reference info'!$J$10:$J$36,1,0))),"Producer &amp; Engineer")</f>
        <v/>
      </c>
    </row>
    <row r="699">
      <c r="B699" s="103"/>
      <c r="C699" s="121" t="str">
        <f t="array" ref="C699">ifs(and(isblank($A699),isblank($B699)),"", not(iserror(vlookup($A699&amp;$B699,'5) Release_Track'!$F:$F&amp;'5) Release_Track'!$G:$G,1,0))),vlookup($A699&amp;$B699,{'5) Release_Track'!$F:$F&amp;'5) Release_Track'!$G:$G,'5) Release_Track'!$H:$H},2,0), or(and(not(isblank($B699)),$B699=$B698,$A699&lt;&gt;$A698),and(not(isblank($A699)),$A699=$A698,$B699&lt;&gt;$B698)),"ID LISTS UNALIGNED",and($A699&lt;&gt;"",countif('5) Release_Track'!$F:$F,$A699)=0),"NO ISRC MATCH in Release_Track",and($B699&lt;&gt;"",countif('5) Release_Track'!$G:$G,$B699)=0),"NO CATALOG ID MATCH in Release_Track",iserror(vlookup($A699&amp;$B699,'5) Release_Track'!$F:$F&amp;'5) Release_Track'!$G:$G,1,0)),"NO ISRC-CATALOG ID pair MATCH in Release_Track" )</f>
        <v/>
      </c>
      <c r="D699" s="121" t="str">
        <f t="array" ref="D699">ifs(and(isblank($A699),isblank($B699)),"", not(iserror(vlookup($A699&amp;$B699,'5) Release_Track'!$F:$F&amp;'5) Release_Track'!$G:$G,1,0))),vlookup($A699&amp;$B699,{'5) Release_Track'!$F:$F&amp;'5) Release_Track'!$G:$G,'5) Release_Track'!$I:$I},2,0), or(and(not(isblank($B699)),$B699=$B698,$A699&lt;&gt;$A698),and(not(isblank($A699)),$A699=$A698,$B699&lt;&gt;$B698)),"ID LISTS UNALIGNED",and($A699&lt;&gt;"",countif('5) Release_Track'!$F:$F,$A699)=0),"NO ISRC MATCH in Release_Track",and($B699&lt;&gt;"",countif('5) Release_Track'!$G:$G,$B699)=0),"NO CATALOG ID MATCH in Release_Track",iserror(vlookup($A699&amp;$B699,'5) Release_Track'!$F:$F&amp;'5) Release_Track'!$G:$G,1,0)),"NO ISRC-CATALOG ID pair MATCH in Release_Track" )</f>
        <v/>
      </c>
      <c r="E699" s="99"/>
      <c r="F699" s="99"/>
      <c r="G699" s="123" t="str">
        <f t="array" ref="G699">ifs(or($F699="",$F699="Main Primary Artist"),$F699,not(iserror(vlookup($F699,'Reference info'!$J$5:$J$8,1,0))),"Key Artist",not(iserror(vlookup($F699,'Reference info'!$J$38:$J$405,1,0))),"Performer",not(iserror(vlookup($F699,'Reference info'!$J$10:$J$36,1,0))),"Producer &amp; Engineer")</f>
        <v/>
      </c>
    </row>
    <row r="700">
      <c r="B700" s="103"/>
      <c r="C700" s="121" t="str">
        <f t="array" ref="C700">ifs(and(isblank($A700),isblank($B700)),"", not(iserror(vlookup($A700&amp;$B700,'5) Release_Track'!$F:$F&amp;'5) Release_Track'!$G:$G,1,0))),vlookup($A700&amp;$B700,{'5) Release_Track'!$F:$F&amp;'5) Release_Track'!$G:$G,'5) Release_Track'!$H:$H},2,0), or(and(not(isblank($B700)),$B700=$B699,$A700&lt;&gt;$A699),and(not(isblank($A700)),$A700=$A699,$B700&lt;&gt;$B699)),"ID LISTS UNALIGNED",and($A700&lt;&gt;"",countif('5) Release_Track'!$F:$F,$A700)=0),"NO ISRC MATCH in Release_Track",and($B700&lt;&gt;"",countif('5) Release_Track'!$G:$G,$B700)=0),"NO CATALOG ID MATCH in Release_Track",iserror(vlookup($A700&amp;$B700,'5) Release_Track'!$F:$F&amp;'5) Release_Track'!$G:$G,1,0)),"NO ISRC-CATALOG ID pair MATCH in Release_Track" )</f>
        <v/>
      </c>
      <c r="D700" s="121" t="str">
        <f t="array" ref="D700">ifs(and(isblank($A700),isblank($B700)),"", not(iserror(vlookup($A700&amp;$B700,'5) Release_Track'!$F:$F&amp;'5) Release_Track'!$G:$G,1,0))),vlookup($A700&amp;$B700,{'5) Release_Track'!$F:$F&amp;'5) Release_Track'!$G:$G,'5) Release_Track'!$I:$I},2,0), or(and(not(isblank($B700)),$B700=$B699,$A700&lt;&gt;$A699),and(not(isblank($A700)),$A700=$A699,$B700&lt;&gt;$B699)),"ID LISTS UNALIGNED",and($A700&lt;&gt;"",countif('5) Release_Track'!$F:$F,$A700)=0),"NO ISRC MATCH in Release_Track",and($B700&lt;&gt;"",countif('5) Release_Track'!$G:$G,$B700)=0),"NO CATALOG ID MATCH in Release_Track",iserror(vlookup($A700&amp;$B700,'5) Release_Track'!$F:$F&amp;'5) Release_Track'!$G:$G,1,0)),"NO ISRC-CATALOG ID pair MATCH in Release_Track" )</f>
        <v/>
      </c>
      <c r="E700" s="99"/>
      <c r="F700" s="99"/>
      <c r="G700" s="123" t="str">
        <f t="array" ref="G700">ifs(or($F700="",$F700="Main Primary Artist"),$F700,not(iserror(vlookup($F700,'Reference info'!$J$5:$J$8,1,0))),"Key Artist",not(iserror(vlookup($F700,'Reference info'!$J$38:$J$405,1,0))),"Performer",not(iserror(vlookup($F700,'Reference info'!$J$10:$J$36,1,0))),"Producer &amp; Engineer")</f>
        <v/>
      </c>
    </row>
    <row r="701">
      <c r="B701" s="103"/>
      <c r="C701" s="121" t="str">
        <f t="array" ref="C701">ifs(and(isblank($A701),isblank($B701)),"", not(iserror(vlookup($A701&amp;$B701,'5) Release_Track'!$F:$F&amp;'5) Release_Track'!$G:$G,1,0))),vlookup($A701&amp;$B701,{'5) Release_Track'!$F:$F&amp;'5) Release_Track'!$G:$G,'5) Release_Track'!$H:$H},2,0), or(and(not(isblank($B701)),$B701=$B700,$A701&lt;&gt;$A700),and(not(isblank($A701)),$A701=$A700,$B701&lt;&gt;$B700)),"ID LISTS UNALIGNED",and($A701&lt;&gt;"",countif('5) Release_Track'!$F:$F,$A701)=0),"NO ISRC MATCH in Release_Track",and($B701&lt;&gt;"",countif('5) Release_Track'!$G:$G,$B701)=0),"NO CATALOG ID MATCH in Release_Track",iserror(vlookup($A701&amp;$B701,'5) Release_Track'!$F:$F&amp;'5) Release_Track'!$G:$G,1,0)),"NO ISRC-CATALOG ID pair MATCH in Release_Track" )</f>
        <v/>
      </c>
      <c r="D701" s="121" t="str">
        <f t="array" ref="D701">ifs(and(isblank($A701),isblank($B701)),"", not(iserror(vlookup($A701&amp;$B701,'5) Release_Track'!$F:$F&amp;'5) Release_Track'!$G:$G,1,0))),vlookup($A701&amp;$B701,{'5) Release_Track'!$F:$F&amp;'5) Release_Track'!$G:$G,'5) Release_Track'!$I:$I},2,0), or(and(not(isblank($B701)),$B701=$B700,$A701&lt;&gt;$A700),and(not(isblank($A701)),$A701=$A700,$B701&lt;&gt;$B700)),"ID LISTS UNALIGNED",and($A701&lt;&gt;"",countif('5) Release_Track'!$F:$F,$A701)=0),"NO ISRC MATCH in Release_Track",and($B701&lt;&gt;"",countif('5) Release_Track'!$G:$G,$B701)=0),"NO CATALOG ID MATCH in Release_Track",iserror(vlookup($A701&amp;$B701,'5) Release_Track'!$F:$F&amp;'5) Release_Track'!$G:$G,1,0)),"NO ISRC-CATALOG ID pair MATCH in Release_Track" )</f>
        <v/>
      </c>
      <c r="E701" s="99"/>
      <c r="F701" s="99"/>
      <c r="G701" s="123" t="str">
        <f t="array" ref="G701">ifs(or($F701="",$F701="Main Primary Artist"),$F701,not(iserror(vlookup($F701,'Reference info'!$J$5:$J$8,1,0))),"Key Artist",not(iserror(vlookup($F701,'Reference info'!$J$38:$J$405,1,0))),"Performer",not(iserror(vlookup($F701,'Reference info'!$J$10:$J$36,1,0))),"Producer &amp; Engineer")</f>
        <v/>
      </c>
    </row>
    <row r="702">
      <c r="B702" s="103"/>
      <c r="C702" s="121" t="str">
        <f t="array" ref="C702">ifs(and(isblank($A702),isblank($B702)),"", not(iserror(vlookup($A702&amp;$B702,'5) Release_Track'!$F:$F&amp;'5) Release_Track'!$G:$G,1,0))),vlookup($A702&amp;$B702,{'5) Release_Track'!$F:$F&amp;'5) Release_Track'!$G:$G,'5) Release_Track'!$H:$H},2,0), or(and(not(isblank($B702)),$B702=$B701,$A702&lt;&gt;$A701),and(not(isblank($A702)),$A702=$A701,$B702&lt;&gt;$B701)),"ID LISTS UNALIGNED",and($A702&lt;&gt;"",countif('5) Release_Track'!$F:$F,$A702)=0),"NO ISRC MATCH in Release_Track",and($B702&lt;&gt;"",countif('5) Release_Track'!$G:$G,$B702)=0),"NO CATALOG ID MATCH in Release_Track",iserror(vlookup($A702&amp;$B702,'5) Release_Track'!$F:$F&amp;'5) Release_Track'!$G:$G,1,0)),"NO ISRC-CATALOG ID pair MATCH in Release_Track" )</f>
        <v/>
      </c>
      <c r="D702" s="121" t="str">
        <f t="array" ref="D702">ifs(and(isblank($A702),isblank($B702)),"", not(iserror(vlookup($A702&amp;$B702,'5) Release_Track'!$F:$F&amp;'5) Release_Track'!$G:$G,1,0))),vlookup($A702&amp;$B702,{'5) Release_Track'!$F:$F&amp;'5) Release_Track'!$G:$G,'5) Release_Track'!$I:$I},2,0), or(and(not(isblank($B702)),$B702=$B701,$A702&lt;&gt;$A701),and(not(isblank($A702)),$A702=$A701,$B702&lt;&gt;$B701)),"ID LISTS UNALIGNED",and($A702&lt;&gt;"",countif('5) Release_Track'!$F:$F,$A702)=0),"NO ISRC MATCH in Release_Track",and($B702&lt;&gt;"",countif('5) Release_Track'!$G:$G,$B702)=0),"NO CATALOG ID MATCH in Release_Track",iserror(vlookup($A702&amp;$B702,'5) Release_Track'!$F:$F&amp;'5) Release_Track'!$G:$G,1,0)),"NO ISRC-CATALOG ID pair MATCH in Release_Track" )</f>
        <v/>
      </c>
      <c r="E702" s="99"/>
      <c r="F702" s="99"/>
      <c r="G702" s="123" t="str">
        <f t="array" ref="G702">ifs(or($F702="",$F702="Main Primary Artist"),$F702,not(iserror(vlookup($F702,'Reference info'!$J$5:$J$8,1,0))),"Key Artist",not(iserror(vlookup($F702,'Reference info'!$J$38:$J$405,1,0))),"Performer",not(iserror(vlookup($F702,'Reference info'!$J$10:$J$36,1,0))),"Producer &amp; Engineer")</f>
        <v/>
      </c>
    </row>
    <row r="703">
      <c r="B703" s="103"/>
      <c r="C703" s="121" t="str">
        <f t="array" ref="C703">ifs(and(isblank($A703),isblank($B703)),"", not(iserror(vlookup($A703&amp;$B703,'5) Release_Track'!$F:$F&amp;'5) Release_Track'!$G:$G,1,0))),vlookup($A703&amp;$B703,{'5) Release_Track'!$F:$F&amp;'5) Release_Track'!$G:$G,'5) Release_Track'!$H:$H},2,0), or(and(not(isblank($B703)),$B703=$B702,$A703&lt;&gt;$A702),and(not(isblank($A703)),$A703=$A702,$B703&lt;&gt;$B702)),"ID LISTS UNALIGNED",and($A703&lt;&gt;"",countif('5) Release_Track'!$F:$F,$A703)=0),"NO ISRC MATCH in Release_Track",and($B703&lt;&gt;"",countif('5) Release_Track'!$G:$G,$B703)=0),"NO CATALOG ID MATCH in Release_Track",iserror(vlookup($A703&amp;$B703,'5) Release_Track'!$F:$F&amp;'5) Release_Track'!$G:$G,1,0)),"NO ISRC-CATALOG ID pair MATCH in Release_Track" )</f>
        <v/>
      </c>
      <c r="D703" s="121" t="str">
        <f t="array" ref="D703">ifs(and(isblank($A703),isblank($B703)),"", not(iserror(vlookup($A703&amp;$B703,'5) Release_Track'!$F:$F&amp;'5) Release_Track'!$G:$G,1,0))),vlookup($A703&amp;$B703,{'5) Release_Track'!$F:$F&amp;'5) Release_Track'!$G:$G,'5) Release_Track'!$I:$I},2,0), or(and(not(isblank($B703)),$B703=$B702,$A703&lt;&gt;$A702),and(not(isblank($A703)),$A703=$A702,$B703&lt;&gt;$B702)),"ID LISTS UNALIGNED",and($A703&lt;&gt;"",countif('5) Release_Track'!$F:$F,$A703)=0),"NO ISRC MATCH in Release_Track",and($B703&lt;&gt;"",countif('5) Release_Track'!$G:$G,$B703)=0),"NO CATALOG ID MATCH in Release_Track",iserror(vlookup($A703&amp;$B703,'5) Release_Track'!$F:$F&amp;'5) Release_Track'!$G:$G,1,0)),"NO ISRC-CATALOG ID pair MATCH in Release_Track" )</f>
        <v/>
      </c>
      <c r="E703" s="99"/>
      <c r="F703" s="99"/>
      <c r="G703" s="123" t="str">
        <f t="array" ref="G703">ifs(or($F703="",$F703="Main Primary Artist"),$F703,not(iserror(vlookup($F703,'Reference info'!$J$5:$J$8,1,0))),"Key Artist",not(iserror(vlookup($F703,'Reference info'!$J$38:$J$405,1,0))),"Performer",not(iserror(vlookup($F703,'Reference info'!$J$10:$J$36,1,0))),"Producer &amp; Engineer")</f>
        <v/>
      </c>
    </row>
    <row r="704">
      <c r="B704" s="103"/>
      <c r="C704" s="121" t="str">
        <f t="array" ref="C704">ifs(and(isblank($A704),isblank($B704)),"", not(iserror(vlookup($A704&amp;$B704,'5) Release_Track'!$F:$F&amp;'5) Release_Track'!$G:$G,1,0))),vlookup($A704&amp;$B704,{'5) Release_Track'!$F:$F&amp;'5) Release_Track'!$G:$G,'5) Release_Track'!$H:$H},2,0), or(and(not(isblank($B704)),$B704=$B703,$A704&lt;&gt;$A703),and(not(isblank($A704)),$A704=$A703,$B704&lt;&gt;$B703)),"ID LISTS UNALIGNED",and($A704&lt;&gt;"",countif('5) Release_Track'!$F:$F,$A704)=0),"NO ISRC MATCH in Release_Track",and($B704&lt;&gt;"",countif('5) Release_Track'!$G:$G,$B704)=0),"NO CATALOG ID MATCH in Release_Track",iserror(vlookup($A704&amp;$B704,'5) Release_Track'!$F:$F&amp;'5) Release_Track'!$G:$G,1,0)),"NO ISRC-CATALOG ID pair MATCH in Release_Track" )</f>
        <v/>
      </c>
      <c r="D704" s="121" t="str">
        <f t="array" ref="D704">ifs(and(isblank($A704),isblank($B704)),"", not(iserror(vlookup($A704&amp;$B704,'5) Release_Track'!$F:$F&amp;'5) Release_Track'!$G:$G,1,0))),vlookup($A704&amp;$B704,{'5) Release_Track'!$F:$F&amp;'5) Release_Track'!$G:$G,'5) Release_Track'!$I:$I},2,0), or(and(not(isblank($B704)),$B704=$B703,$A704&lt;&gt;$A703),and(not(isblank($A704)),$A704=$A703,$B704&lt;&gt;$B703)),"ID LISTS UNALIGNED",and($A704&lt;&gt;"",countif('5) Release_Track'!$F:$F,$A704)=0),"NO ISRC MATCH in Release_Track",and($B704&lt;&gt;"",countif('5) Release_Track'!$G:$G,$B704)=0),"NO CATALOG ID MATCH in Release_Track",iserror(vlookup($A704&amp;$B704,'5) Release_Track'!$F:$F&amp;'5) Release_Track'!$G:$G,1,0)),"NO ISRC-CATALOG ID pair MATCH in Release_Track" )</f>
        <v/>
      </c>
      <c r="E704" s="99"/>
      <c r="F704" s="99"/>
      <c r="G704" s="123" t="str">
        <f t="array" ref="G704">ifs(or($F704="",$F704="Main Primary Artist"),$F704,not(iserror(vlookup($F704,'Reference info'!$J$5:$J$8,1,0))),"Key Artist",not(iserror(vlookup($F704,'Reference info'!$J$38:$J$405,1,0))),"Performer",not(iserror(vlookup($F704,'Reference info'!$J$10:$J$36,1,0))),"Producer &amp; Engineer")</f>
        <v/>
      </c>
    </row>
    <row r="705">
      <c r="B705" s="103"/>
      <c r="C705" s="121" t="str">
        <f t="array" ref="C705">ifs(and(isblank($A705),isblank($B705)),"", not(iserror(vlookup($A705&amp;$B705,'5) Release_Track'!$F:$F&amp;'5) Release_Track'!$G:$G,1,0))),vlookup($A705&amp;$B705,{'5) Release_Track'!$F:$F&amp;'5) Release_Track'!$G:$G,'5) Release_Track'!$H:$H},2,0), or(and(not(isblank($B705)),$B705=$B704,$A705&lt;&gt;$A704),and(not(isblank($A705)),$A705=$A704,$B705&lt;&gt;$B704)),"ID LISTS UNALIGNED",and($A705&lt;&gt;"",countif('5) Release_Track'!$F:$F,$A705)=0),"NO ISRC MATCH in Release_Track",and($B705&lt;&gt;"",countif('5) Release_Track'!$G:$G,$B705)=0),"NO CATALOG ID MATCH in Release_Track",iserror(vlookup($A705&amp;$B705,'5) Release_Track'!$F:$F&amp;'5) Release_Track'!$G:$G,1,0)),"NO ISRC-CATALOG ID pair MATCH in Release_Track" )</f>
        <v/>
      </c>
      <c r="D705" s="121" t="str">
        <f t="array" ref="D705">ifs(and(isblank($A705),isblank($B705)),"", not(iserror(vlookup($A705&amp;$B705,'5) Release_Track'!$F:$F&amp;'5) Release_Track'!$G:$G,1,0))),vlookup($A705&amp;$B705,{'5) Release_Track'!$F:$F&amp;'5) Release_Track'!$G:$G,'5) Release_Track'!$I:$I},2,0), or(and(not(isblank($B705)),$B705=$B704,$A705&lt;&gt;$A704),and(not(isblank($A705)),$A705=$A704,$B705&lt;&gt;$B704)),"ID LISTS UNALIGNED",and($A705&lt;&gt;"",countif('5) Release_Track'!$F:$F,$A705)=0),"NO ISRC MATCH in Release_Track",and($B705&lt;&gt;"",countif('5) Release_Track'!$G:$G,$B705)=0),"NO CATALOG ID MATCH in Release_Track",iserror(vlookup($A705&amp;$B705,'5) Release_Track'!$F:$F&amp;'5) Release_Track'!$G:$G,1,0)),"NO ISRC-CATALOG ID pair MATCH in Release_Track" )</f>
        <v/>
      </c>
      <c r="E705" s="99"/>
      <c r="F705" s="99"/>
      <c r="G705" s="123" t="str">
        <f t="array" ref="G705">ifs(or($F705="",$F705="Main Primary Artist"),$F705,not(iserror(vlookup($F705,'Reference info'!$J$5:$J$8,1,0))),"Key Artist",not(iserror(vlookup($F705,'Reference info'!$J$38:$J$405,1,0))),"Performer",not(iserror(vlookup($F705,'Reference info'!$J$10:$J$36,1,0))),"Producer &amp; Engineer")</f>
        <v/>
      </c>
    </row>
    <row r="706">
      <c r="B706" s="103"/>
      <c r="C706" s="121" t="str">
        <f t="array" ref="C706">ifs(and(isblank($A706),isblank($B706)),"", not(iserror(vlookup($A706&amp;$B706,'5) Release_Track'!$F:$F&amp;'5) Release_Track'!$G:$G,1,0))),vlookup($A706&amp;$B706,{'5) Release_Track'!$F:$F&amp;'5) Release_Track'!$G:$G,'5) Release_Track'!$H:$H},2,0), or(and(not(isblank($B706)),$B706=$B705,$A706&lt;&gt;$A705),and(not(isblank($A706)),$A706=$A705,$B706&lt;&gt;$B705)),"ID LISTS UNALIGNED",and($A706&lt;&gt;"",countif('5) Release_Track'!$F:$F,$A706)=0),"NO ISRC MATCH in Release_Track",and($B706&lt;&gt;"",countif('5) Release_Track'!$G:$G,$B706)=0),"NO CATALOG ID MATCH in Release_Track",iserror(vlookup($A706&amp;$B706,'5) Release_Track'!$F:$F&amp;'5) Release_Track'!$G:$G,1,0)),"NO ISRC-CATALOG ID pair MATCH in Release_Track" )</f>
        <v/>
      </c>
      <c r="D706" s="121" t="str">
        <f t="array" ref="D706">ifs(and(isblank($A706),isblank($B706)),"", not(iserror(vlookup($A706&amp;$B706,'5) Release_Track'!$F:$F&amp;'5) Release_Track'!$G:$G,1,0))),vlookup($A706&amp;$B706,{'5) Release_Track'!$F:$F&amp;'5) Release_Track'!$G:$G,'5) Release_Track'!$I:$I},2,0), or(and(not(isblank($B706)),$B706=$B705,$A706&lt;&gt;$A705),and(not(isblank($A706)),$A706=$A705,$B706&lt;&gt;$B705)),"ID LISTS UNALIGNED",and($A706&lt;&gt;"",countif('5) Release_Track'!$F:$F,$A706)=0),"NO ISRC MATCH in Release_Track",and($B706&lt;&gt;"",countif('5) Release_Track'!$G:$G,$B706)=0),"NO CATALOG ID MATCH in Release_Track",iserror(vlookup($A706&amp;$B706,'5) Release_Track'!$F:$F&amp;'5) Release_Track'!$G:$G,1,0)),"NO ISRC-CATALOG ID pair MATCH in Release_Track" )</f>
        <v/>
      </c>
      <c r="E706" s="99"/>
      <c r="F706" s="99"/>
      <c r="G706" s="123" t="str">
        <f t="array" ref="G706">ifs(or($F706="",$F706="Main Primary Artist"),$F706,not(iserror(vlookup($F706,'Reference info'!$J$5:$J$8,1,0))),"Key Artist",not(iserror(vlookup($F706,'Reference info'!$J$38:$J$405,1,0))),"Performer",not(iserror(vlookup($F706,'Reference info'!$J$10:$J$36,1,0))),"Producer &amp; Engineer")</f>
        <v/>
      </c>
    </row>
    <row r="707">
      <c r="B707" s="103"/>
      <c r="C707" s="121" t="str">
        <f t="array" ref="C707">ifs(and(isblank($A707),isblank($B707)),"", not(iserror(vlookup($A707&amp;$B707,'5) Release_Track'!$F:$F&amp;'5) Release_Track'!$G:$G,1,0))),vlookup($A707&amp;$B707,{'5) Release_Track'!$F:$F&amp;'5) Release_Track'!$G:$G,'5) Release_Track'!$H:$H},2,0), or(and(not(isblank($B707)),$B707=$B706,$A707&lt;&gt;$A706),and(not(isblank($A707)),$A707=$A706,$B707&lt;&gt;$B706)),"ID LISTS UNALIGNED",and($A707&lt;&gt;"",countif('5) Release_Track'!$F:$F,$A707)=0),"NO ISRC MATCH in Release_Track",and($B707&lt;&gt;"",countif('5) Release_Track'!$G:$G,$B707)=0),"NO CATALOG ID MATCH in Release_Track",iserror(vlookup($A707&amp;$B707,'5) Release_Track'!$F:$F&amp;'5) Release_Track'!$G:$G,1,0)),"NO ISRC-CATALOG ID pair MATCH in Release_Track" )</f>
        <v/>
      </c>
      <c r="D707" s="121" t="str">
        <f t="array" ref="D707">ifs(and(isblank($A707),isblank($B707)),"", not(iserror(vlookup($A707&amp;$B707,'5) Release_Track'!$F:$F&amp;'5) Release_Track'!$G:$G,1,0))),vlookup($A707&amp;$B707,{'5) Release_Track'!$F:$F&amp;'5) Release_Track'!$G:$G,'5) Release_Track'!$I:$I},2,0), or(and(not(isblank($B707)),$B707=$B706,$A707&lt;&gt;$A706),and(not(isblank($A707)),$A707=$A706,$B707&lt;&gt;$B706)),"ID LISTS UNALIGNED",and($A707&lt;&gt;"",countif('5) Release_Track'!$F:$F,$A707)=0),"NO ISRC MATCH in Release_Track",and($B707&lt;&gt;"",countif('5) Release_Track'!$G:$G,$B707)=0),"NO CATALOG ID MATCH in Release_Track",iserror(vlookup($A707&amp;$B707,'5) Release_Track'!$F:$F&amp;'5) Release_Track'!$G:$G,1,0)),"NO ISRC-CATALOG ID pair MATCH in Release_Track" )</f>
        <v/>
      </c>
      <c r="E707" s="99"/>
      <c r="F707" s="99"/>
      <c r="G707" s="123" t="str">
        <f t="array" ref="G707">ifs(or($F707="",$F707="Main Primary Artist"),$F707,not(iserror(vlookup($F707,'Reference info'!$J$5:$J$8,1,0))),"Key Artist",not(iserror(vlookup($F707,'Reference info'!$J$38:$J$405,1,0))),"Performer",not(iserror(vlookup($F707,'Reference info'!$J$10:$J$36,1,0))),"Producer &amp; Engineer")</f>
        <v/>
      </c>
    </row>
    <row r="708">
      <c r="B708" s="103"/>
      <c r="C708" s="121" t="str">
        <f t="array" ref="C708">ifs(and(isblank($A708),isblank($B708)),"", not(iserror(vlookup($A708&amp;$B708,'5) Release_Track'!$F:$F&amp;'5) Release_Track'!$G:$G,1,0))),vlookup($A708&amp;$B708,{'5) Release_Track'!$F:$F&amp;'5) Release_Track'!$G:$G,'5) Release_Track'!$H:$H},2,0), or(and(not(isblank($B708)),$B708=$B707,$A708&lt;&gt;$A707),and(not(isblank($A708)),$A708=$A707,$B708&lt;&gt;$B707)),"ID LISTS UNALIGNED",and($A708&lt;&gt;"",countif('5) Release_Track'!$F:$F,$A708)=0),"NO ISRC MATCH in Release_Track",and($B708&lt;&gt;"",countif('5) Release_Track'!$G:$G,$B708)=0),"NO CATALOG ID MATCH in Release_Track",iserror(vlookup($A708&amp;$B708,'5) Release_Track'!$F:$F&amp;'5) Release_Track'!$G:$G,1,0)),"NO ISRC-CATALOG ID pair MATCH in Release_Track" )</f>
        <v/>
      </c>
      <c r="D708" s="121" t="str">
        <f t="array" ref="D708">ifs(and(isblank($A708),isblank($B708)),"", not(iserror(vlookup($A708&amp;$B708,'5) Release_Track'!$F:$F&amp;'5) Release_Track'!$G:$G,1,0))),vlookup($A708&amp;$B708,{'5) Release_Track'!$F:$F&amp;'5) Release_Track'!$G:$G,'5) Release_Track'!$I:$I},2,0), or(and(not(isblank($B708)),$B708=$B707,$A708&lt;&gt;$A707),and(not(isblank($A708)),$A708=$A707,$B708&lt;&gt;$B707)),"ID LISTS UNALIGNED",and($A708&lt;&gt;"",countif('5) Release_Track'!$F:$F,$A708)=0),"NO ISRC MATCH in Release_Track",and($B708&lt;&gt;"",countif('5) Release_Track'!$G:$G,$B708)=0),"NO CATALOG ID MATCH in Release_Track",iserror(vlookup($A708&amp;$B708,'5) Release_Track'!$F:$F&amp;'5) Release_Track'!$G:$G,1,0)),"NO ISRC-CATALOG ID pair MATCH in Release_Track" )</f>
        <v/>
      </c>
      <c r="E708" s="99"/>
      <c r="F708" s="99"/>
      <c r="G708" s="123" t="str">
        <f t="array" ref="G708">ifs(or($F708="",$F708="Main Primary Artist"),$F708,not(iserror(vlookup($F708,'Reference info'!$J$5:$J$8,1,0))),"Key Artist",not(iserror(vlookup($F708,'Reference info'!$J$38:$J$405,1,0))),"Performer",not(iserror(vlookup($F708,'Reference info'!$J$10:$J$36,1,0))),"Producer &amp; Engineer")</f>
        <v/>
      </c>
    </row>
    <row r="709">
      <c r="B709" s="103"/>
      <c r="C709" s="121" t="str">
        <f t="array" ref="C709">ifs(and(isblank($A709),isblank($B709)),"", not(iserror(vlookup($A709&amp;$B709,'5) Release_Track'!$F:$F&amp;'5) Release_Track'!$G:$G,1,0))),vlookup($A709&amp;$B709,{'5) Release_Track'!$F:$F&amp;'5) Release_Track'!$G:$G,'5) Release_Track'!$H:$H},2,0), or(and(not(isblank($B709)),$B709=$B708,$A709&lt;&gt;$A708),and(not(isblank($A709)),$A709=$A708,$B709&lt;&gt;$B708)),"ID LISTS UNALIGNED",and($A709&lt;&gt;"",countif('5) Release_Track'!$F:$F,$A709)=0),"NO ISRC MATCH in Release_Track",and($B709&lt;&gt;"",countif('5) Release_Track'!$G:$G,$B709)=0),"NO CATALOG ID MATCH in Release_Track",iserror(vlookup($A709&amp;$B709,'5) Release_Track'!$F:$F&amp;'5) Release_Track'!$G:$G,1,0)),"NO ISRC-CATALOG ID pair MATCH in Release_Track" )</f>
        <v/>
      </c>
      <c r="D709" s="121" t="str">
        <f t="array" ref="D709">ifs(and(isblank($A709),isblank($B709)),"", not(iserror(vlookup($A709&amp;$B709,'5) Release_Track'!$F:$F&amp;'5) Release_Track'!$G:$G,1,0))),vlookup($A709&amp;$B709,{'5) Release_Track'!$F:$F&amp;'5) Release_Track'!$G:$G,'5) Release_Track'!$I:$I},2,0), or(and(not(isblank($B709)),$B709=$B708,$A709&lt;&gt;$A708),and(not(isblank($A709)),$A709=$A708,$B709&lt;&gt;$B708)),"ID LISTS UNALIGNED",and($A709&lt;&gt;"",countif('5) Release_Track'!$F:$F,$A709)=0),"NO ISRC MATCH in Release_Track",and($B709&lt;&gt;"",countif('5) Release_Track'!$G:$G,$B709)=0),"NO CATALOG ID MATCH in Release_Track",iserror(vlookup($A709&amp;$B709,'5) Release_Track'!$F:$F&amp;'5) Release_Track'!$G:$G,1,0)),"NO ISRC-CATALOG ID pair MATCH in Release_Track" )</f>
        <v/>
      </c>
      <c r="E709" s="99"/>
      <c r="F709" s="99"/>
      <c r="G709" s="123" t="str">
        <f t="array" ref="G709">ifs(or($F709="",$F709="Main Primary Artist"),$F709,not(iserror(vlookup($F709,'Reference info'!$J$5:$J$8,1,0))),"Key Artist",not(iserror(vlookup($F709,'Reference info'!$J$38:$J$405,1,0))),"Performer",not(iserror(vlookup($F709,'Reference info'!$J$10:$J$36,1,0))),"Producer &amp; Engineer")</f>
        <v/>
      </c>
    </row>
    <row r="710">
      <c r="B710" s="103"/>
      <c r="C710" s="121" t="str">
        <f t="array" ref="C710">ifs(and(isblank($A710),isblank($B710)),"", not(iserror(vlookup($A710&amp;$B710,'5) Release_Track'!$F:$F&amp;'5) Release_Track'!$G:$G,1,0))),vlookup($A710&amp;$B710,{'5) Release_Track'!$F:$F&amp;'5) Release_Track'!$G:$G,'5) Release_Track'!$H:$H},2,0), or(and(not(isblank($B710)),$B710=$B709,$A710&lt;&gt;$A709),and(not(isblank($A710)),$A710=$A709,$B710&lt;&gt;$B709)),"ID LISTS UNALIGNED",and($A710&lt;&gt;"",countif('5) Release_Track'!$F:$F,$A710)=0),"NO ISRC MATCH in Release_Track",and($B710&lt;&gt;"",countif('5) Release_Track'!$G:$G,$B710)=0),"NO CATALOG ID MATCH in Release_Track",iserror(vlookup($A710&amp;$B710,'5) Release_Track'!$F:$F&amp;'5) Release_Track'!$G:$G,1,0)),"NO ISRC-CATALOG ID pair MATCH in Release_Track" )</f>
        <v/>
      </c>
      <c r="D710" s="121" t="str">
        <f t="array" ref="D710">ifs(and(isblank($A710),isblank($B710)),"", not(iserror(vlookup($A710&amp;$B710,'5) Release_Track'!$F:$F&amp;'5) Release_Track'!$G:$G,1,0))),vlookup($A710&amp;$B710,{'5) Release_Track'!$F:$F&amp;'5) Release_Track'!$G:$G,'5) Release_Track'!$I:$I},2,0), or(and(not(isblank($B710)),$B710=$B709,$A710&lt;&gt;$A709),and(not(isblank($A710)),$A710=$A709,$B710&lt;&gt;$B709)),"ID LISTS UNALIGNED",and($A710&lt;&gt;"",countif('5) Release_Track'!$F:$F,$A710)=0),"NO ISRC MATCH in Release_Track",and($B710&lt;&gt;"",countif('5) Release_Track'!$G:$G,$B710)=0),"NO CATALOG ID MATCH in Release_Track",iserror(vlookup($A710&amp;$B710,'5) Release_Track'!$F:$F&amp;'5) Release_Track'!$G:$G,1,0)),"NO ISRC-CATALOG ID pair MATCH in Release_Track" )</f>
        <v/>
      </c>
      <c r="E710" s="99"/>
      <c r="F710" s="99"/>
      <c r="G710" s="123" t="str">
        <f t="array" ref="G710">ifs(or($F710="",$F710="Main Primary Artist"),$F710,not(iserror(vlookup($F710,'Reference info'!$J$5:$J$8,1,0))),"Key Artist",not(iserror(vlookup($F710,'Reference info'!$J$38:$J$405,1,0))),"Performer",not(iserror(vlookup($F710,'Reference info'!$J$10:$J$36,1,0))),"Producer &amp; Engineer")</f>
        <v/>
      </c>
    </row>
    <row r="711">
      <c r="B711" s="103"/>
      <c r="C711" s="121" t="str">
        <f t="array" ref="C711">ifs(and(isblank($A711),isblank($B711)),"", not(iserror(vlookup($A711&amp;$B711,'5) Release_Track'!$F:$F&amp;'5) Release_Track'!$G:$G,1,0))),vlookup($A711&amp;$B711,{'5) Release_Track'!$F:$F&amp;'5) Release_Track'!$G:$G,'5) Release_Track'!$H:$H},2,0), or(and(not(isblank($B711)),$B711=$B710,$A711&lt;&gt;$A710),and(not(isblank($A711)),$A711=$A710,$B711&lt;&gt;$B710)),"ID LISTS UNALIGNED",and($A711&lt;&gt;"",countif('5) Release_Track'!$F:$F,$A711)=0),"NO ISRC MATCH in Release_Track",and($B711&lt;&gt;"",countif('5) Release_Track'!$G:$G,$B711)=0),"NO CATALOG ID MATCH in Release_Track",iserror(vlookup($A711&amp;$B711,'5) Release_Track'!$F:$F&amp;'5) Release_Track'!$G:$G,1,0)),"NO ISRC-CATALOG ID pair MATCH in Release_Track" )</f>
        <v/>
      </c>
      <c r="D711" s="121" t="str">
        <f t="array" ref="D711">ifs(and(isblank($A711),isblank($B711)),"", not(iserror(vlookup($A711&amp;$B711,'5) Release_Track'!$F:$F&amp;'5) Release_Track'!$G:$G,1,0))),vlookup($A711&amp;$B711,{'5) Release_Track'!$F:$F&amp;'5) Release_Track'!$G:$G,'5) Release_Track'!$I:$I},2,0), or(and(not(isblank($B711)),$B711=$B710,$A711&lt;&gt;$A710),and(not(isblank($A711)),$A711=$A710,$B711&lt;&gt;$B710)),"ID LISTS UNALIGNED",and($A711&lt;&gt;"",countif('5) Release_Track'!$F:$F,$A711)=0),"NO ISRC MATCH in Release_Track",and($B711&lt;&gt;"",countif('5) Release_Track'!$G:$G,$B711)=0),"NO CATALOG ID MATCH in Release_Track",iserror(vlookup($A711&amp;$B711,'5) Release_Track'!$F:$F&amp;'5) Release_Track'!$G:$G,1,0)),"NO ISRC-CATALOG ID pair MATCH in Release_Track" )</f>
        <v/>
      </c>
      <c r="E711" s="99"/>
      <c r="F711" s="99"/>
      <c r="G711" s="123" t="str">
        <f t="array" ref="G711">ifs(or($F711="",$F711="Main Primary Artist"),$F711,not(iserror(vlookup($F711,'Reference info'!$J$5:$J$8,1,0))),"Key Artist",not(iserror(vlookup($F711,'Reference info'!$J$38:$J$405,1,0))),"Performer",not(iserror(vlookup($F711,'Reference info'!$J$10:$J$36,1,0))),"Producer &amp; Engineer")</f>
        <v/>
      </c>
    </row>
    <row r="712">
      <c r="B712" s="103"/>
      <c r="C712" s="121" t="str">
        <f t="array" ref="C712">ifs(and(isblank($A712),isblank($B712)),"", not(iserror(vlookup($A712&amp;$B712,'5) Release_Track'!$F:$F&amp;'5) Release_Track'!$G:$G,1,0))),vlookup($A712&amp;$B712,{'5) Release_Track'!$F:$F&amp;'5) Release_Track'!$G:$G,'5) Release_Track'!$H:$H},2,0), or(and(not(isblank($B712)),$B712=$B711,$A712&lt;&gt;$A711),and(not(isblank($A712)),$A712=$A711,$B712&lt;&gt;$B711)),"ID LISTS UNALIGNED",and($A712&lt;&gt;"",countif('5) Release_Track'!$F:$F,$A712)=0),"NO ISRC MATCH in Release_Track",and($B712&lt;&gt;"",countif('5) Release_Track'!$G:$G,$B712)=0),"NO CATALOG ID MATCH in Release_Track",iserror(vlookup($A712&amp;$B712,'5) Release_Track'!$F:$F&amp;'5) Release_Track'!$G:$G,1,0)),"NO ISRC-CATALOG ID pair MATCH in Release_Track" )</f>
        <v/>
      </c>
      <c r="D712" s="121" t="str">
        <f t="array" ref="D712">ifs(and(isblank($A712),isblank($B712)),"", not(iserror(vlookup($A712&amp;$B712,'5) Release_Track'!$F:$F&amp;'5) Release_Track'!$G:$G,1,0))),vlookup($A712&amp;$B712,{'5) Release_Track'!$F:$F&amp;'5) Release_Track'!$G:$G,'5) Release_Track'!$I:$I},2,0), or(and(not(isblank($B712)),$B712=$B711,$A712&lt;&gt;$A711),and(not(isblank($A712)),$A712=$A711,$B712&lt;&gt;$B711)),"ID LISTS UNALIGNED",and($A712&lt;&gt;"",countif('5) Release_Track'!$F:$F,$A712)=0),"NO ISRC MATCH in Release_Track",and($B712&lt;&gt;"",countif('5) Release_Track'!$G:$G,$B712)=0),"NO CATALOG ID MATCH in Release_Track",iserror(vlookup($A712&amp;$B712,'5) Release_Track'!$F:$F&amp;'5) Release_Track'!$G:$G,1,0)),"NO ISRC-CATALOG ID pair MATCH in Release_Track" )</f>
        <v/>
      </c>
      <c r="E712" s="99"/>
      <c r="F712" s="99"/>
      <c r="G712" s="123" t="str">
        <f t="array" ref="G712">ifs(or($F712="",$F712="Main Primary Artist"),$F712,not(iserror(vlookup($F712,'Reference info'!$J$5:$J$8,1,0))),"Key Artist",not(iserror(vlookup($F712,'Reference info'!$J$38:$J$405,1,0))),"Performer",not(iserror(vlookup($F712,'Reference info'!$J$10:$J$36,1,0))),"Producer &amp; Engineer")</f>
        <v/>
      </c>
    </row>
    <row r="713">
      <c r="B713" s="103"/>
      <c r="C713" s="121" t="str">
        <f t="array" ref="C713">ifs(and(isblank($A713),isblank($B713)),"", not(iserror(vlookup($A713&amp;$B713,'5) Release_Track'!$F:$F&amp;'5) Release_Track'!$G:$G,1,0))),vlookup($A713&amp;$B713,{'5) Release_Track'!$F:$F&amp;'5) Release_Track'!$G:$G,'5) Release_Track'!$H:$H},2,0), or(and(not(isblank($B713)),$B713=$B712,$A713&lt;&gt;$A712),and(not(isblank($A713)),$A713=$A712,$B713&lt;&gt;$B712)),"ID LISTS UNALIGNED",and($A713&lt;&gt;"",countif('5) Release_Track'!$F:$F,$A713)=0),"NO ISRC MATCH in Release_Track",and($B713&lt;&gt;"",countif('5) Release_Track'!$G:$G,$B713)=0),"NO CATALOG ID MATCH in Release_Track",iserror(vlookup($A713&amp;$B713,'5) Release_Track'!$F:$F&amp;'5) Release_Track'!$G:$G,1,0)),"NO ISRC-CATALOG ID pair MATCH in Release_Track" )</f>
        <v/>
      </c>
      <c r="D713" s="121" t="str">
        <f t="array" ref="D713">ifs(and(isblank($A713),isblank($B713)),"", not(iserror(vlookup($A713&amp;$B713,'5) Release_Track'!$F:$F&amp;'5) Release_Track'!$G:$G,1,0))),vlookup($A713&amp;$B713,{'5) Release_Track'!$F:$F&amp;'5) Release_Track'!$G:$G,'5) Release_Track'!$I:$I},2,0), or(and(not(isblank($B713)),$B713=$B712,$A713&lt;&gt;$A712),and(not(isblank($A713)),$A713=$A712,$B713&lt;&gt;$B712)),"ID LISTS UNALIGNED",and($A713&lt;&gt;"",countif('5) Release_Track'!$F:$F,$A713)=0),"NO ISRC MATCH in Release_Track",and($B713&lt;&gt;"",countif('5) Release_Track'!$G:$G,$B713)=0),"NO CATALOG ID MATCH in Release_Track",iserror(vlookup($A713&amp;$B713,'5) Release_Track'!$F:$F&amp;'5) Release_Track'!$G:$G,1,0)),"NO ISRC-CATALOG ID pair MATCH in Release_Track" )</f>
        <v/>
      </c>
      <c r="E713" s="99"/>
      <c r="F713" s="99"/>
      <c r="G713" s="123" t="str">
        <f t="array" ref="G713">ifs(or($F713="",$F713="Main Primary Artist"),$F713,not(iserror(vlookup($F713,'Reference info'!$J$5:$J$8,1,0))),"Key Artist",not(iserror(vlookup($F713,'Reference info'!$J$38:$J$405,1,0))),"Performer",not(iserror(vlookup($F713,'Reference info'!$J$10:$J$36,1,0))),"Producer &amp; Engineer")</f>
        <v/>
      </c>
    </row>
    <row r="714">
      <c r="B714" s="103"/>
      <c r="C714" s="121" t="str">
        <f t="array" ref="C714">ifs(and(isblank($A714),isblank($B714)),"", not(iserror(vlookup($A714&amp;$B714,'5) Release_Track'!$F:$F&amp;'5) Release_Track'!$G:$G,1,0))),vlookup($A714&amp;$B714,{'5) Release_Track'!$F:$F&amp;'5) Release_Track'!$G:$G,'5) Release_Track'!$H:$H},2,0), or(and(not(isblank($B714)),$B714=$B713,$A714&lt;&gt;$A713),and(not(isblank($A714)),$A714=$A713,$B714&lt;&gt;$B713)),"ID LISTS UNALIGNED",and($A714&lt;&gt;"",countif('5) Release_Track'!$F:$F,$A714)=0),"NO ISRC MATCH in Release_Track",and($B714&lt;&gt;"",countif('5) Release_Track'!$G:$G,$B714)=0),"NO CATALOG ID MATCH in Release_Track",iserror(vlookup($A714&amp;$B714,'5) Release_Track'!$F:$F&amp;'5) Release_Track'!$G:$G,1,0)),"NO ISRC-CATALOG ID pair MATCH in Release_Track" )</f>
        <v/>
      </c>
      <c r="D714" s="121" t="str">
        <f t="array" ref="D714">ifs(and(isblank($A714),isblank($B714)),"", not(iserror(vlookup($A714&amp;$B714,'5) Release_Track'!$F:$F&amp;'5) Release_Track'!$G:$G,1,0))),vlookup($A714&amp;$B714,{'5) Release_Track'!$F:$F&amp;'5) Release_Track'!$G:$G,'5) Release_Track'!$I:$I},2,0), or(and(not(isblank($B714)),$B714=$B713,$A714&lt;&gt;$A713),and(not(isblank($A714)),$A714=$A713,$B714&lt;&gt;$B713)),"ID LISTS UNALIGNED",and($A714&lt;&gt;"",countif('5) Release_Track'!$F:$F,$A714)=0),"NO ISRC MATCH in Release_Track",and($B714&lt;&gt;"",countif('5) Release_Track'!$G:$G,$B714)=0),"NO CATALOG ID MATCH in Release_Track",iserror(vlookup($A714&amp;$B714,'5) Release_Track'!$F:$F&amp;'5) Release_Track'!$G:$G,1,0)),"NO ISRC-CATALOG ID pair MATCH in Release_Track" )</f>
        <v/>
      </c>
      <c r="E714" s="99"/>
      <c r="F714" s="99"/>
      <c r="G714" s="123" t="str">
        <f t="array" ref="G714">ifs(or($F714="",$F714="Main Primary Artist"),$F714,not(iserror(vlookup($F714,'Reference info'!$J$5:$J$8,1,0))),"Key Artist",not(iserror(vlookup($F714,'Reference info'!$J$38:$J$405,1,0))),"Performer",not(iserror(vlookup($F714,'Reference info'!$J$10:$J$36,1,0))),"Producer &amp; Engineer")</f>
        <v/>
      </c>
    </row>
    <row r="715">
      <c r="B715" s="103"/>
      <c r="C715" s="121" t="str">
        <f t="array" ref="C715">ifs(and(isblank($A715),isblank($B715)),"", not(iserror(vlookup($A715&amp;$B715,'5) Release_Track'!$F:$F&amp;'5) Release_Track'!$G:$G,1,0))),vlookup($A715&amp;$B715,{'5) Release_Track'!$F:$F&amp;'5) Release_Track'!$G:$G,'5) Release_Track'!$H:$H},2,0), or(and(not(isblank($B715)),$B715=$B714,$A715&lt;&gt;$A714),and(not(isblank($A715)),$A715=$A714,$B715&lt;&gt;$B714)),"ID LISTS UNALIGNED",and($A715&lt;&gt;"",countif('5) Release_Track'!$F:$F,$A715)=0),"NO ISRC MATCH in Release_Track",and($B715&lt;&gt;"",countif('5) Release_Track'!$G:$G,$B715)=0),"NO CATALOG ID MATCH in Release_Track",iserror(vlookup($A715&amp;$B715,'5) Release_Track'!$F:$F&amp;'5) Release_Track'!$G:$G,1,0)),"NO ISRC-CATALOG ID pair MATCH in Release_Track" )</f>
        <v/>
      </c>
      <c r="D715" s="121" t="str">
        <f t="array" ref="D715">ifs(and(isblank($A715),isblank($B715)),"", not(iserror(vlookup($A715&amp;$B715,'5) Release_Track'!$F:$F&amp;'5) Release_Track'!$G:$G,1,0))),vlookup($A715&amp;$B715,{'5) Release_Track'!$F:$F&amp;'5) Release_Track'!$G:$G,'5) Release_Track'!$I:$I},2,0), or(and(not(isblank($B715)),$B715=$B714,$A715&lt;&gt;$A714),and(not(isblank($A715)),$A715=$A714,$B715&lt;&gt;$B714)),"ID LISTS UNALIGNED",and($A715&lt;&gt;"",countif('5) Release_Track'!$F:$F,$A715)=0),"NO ISRC MATCH in Release_Track",and($B715&lt;&gt;"",countif('5) Release_Track'!$G:$G,$B715)=0),"NO CATALOG ID MATCH in Release_Track",iserror(vlookup($A715&amp;$B715,'5) Release_Track'!$F:$F&amp;'5) Release_Track'!$G:$G,1,0)),"NO ISRC-CATALOG ID pair MATCH in Release_Track" )</f>
        <v/>
      </c>
      <c r="E715" s="99"/>
      <c r="F715" s="99"/>
      <c r="G715" s="123" t="str">
        <f t="array" ref="G715">ifs(or($F715="",$F715="Main Primary Artist"),$F715,not(iserror(vlookup($F715,'Reference info'!$J$5:$J$8,1,0))),"Key Artist",not(iserror(vlookup($F715,'Reference info'!$J$38:$J$405,1,0))),"Performer",not(iserror(vlookup($F715,'Reference info'!$J$10:$J$36,1,0))),"Producer &amp; Engineer")</f>
        <v/>
      </c>
    </row>
    <row r="716">
      <c r="B716" s="103"/>
      <c r="C716" s="121" t="str">
        <f t="array" ref="C716">ifs(and(isblank($A716),isblank($B716)),"", not(iserror(vlookup($A716&amp;$B716,'5) Release_Track'!$F:$F&amp;'5) Release_Track'!$G:$G,1,0))),vlookup($A716&amp;$B716,{'5) Release_Track'!$F:$F&amp;'5) Release_Track'!$G:$G,'5) Release_Track'!$H:$H},2,0), or(and(not(isblank($B716)),$B716=$B715,$A716&lt;&gt;$A715),and(not(isblank($A716)),$A716=$A715,$B716&lt;&gt;$B715)),"ID LISTS UNALIGNED",and($A716&lt;&gt;"",countif('5) Release_Track'!$F:$F,$A716)=0),"NO ISRC MATCH in Release_Track",and($B716&lt;&gt;"",countif('5) Release_Track'!$G:$G,$B716)=0),"NO CATALOG ID MATCH in Release_Track",iserror(vlookup($A716&amp;$B716,'5) Release_Track'!$F:$F&amp;'5) Release_Track'!$G:$G,1,0)),"NO ISRC-CATALOG ID pair MATCH in Release_Track" )</f>
        <v/>
      </c>
      <c r="D716" s="121" t="str">
        <f t="array" ref="D716">ifs(and(isblank($A716),isblank($B716)),"", not(iserror(vlookup($A716&amp;$B716,'5) Release_Track'!$F:$F&amp;'5) Release_Track'!$G:$G,1,0))),vlookup($A716&amp;$B716,{'5) Release_Track'!$F:$F&amp;'5) Release_Track'!$G:$G,'5) Release_Track'!$I:$I},2,0), or(and(not(isblank($B716)),$B716=$B715,$A716&lt;&gt;$A715),and(not(isblank($A716)),$A716=$A715,$B716&lt;&gt;$B715)),"ID LISTS UNALIGNED",and($A716&lt;&gt;"",countif('5) Release_Track'!$F:$F,$A716)=0),"NO ISRC MATCH in Release_Track",and($B716&lt;&gt;"",countif('5) Release_Track'!$G:$G,$B716)=0),"NO CATALOG ID MATCH in Release_Track",iserror(vlookup($A716&amp;$B716,'5) Release_Track'!$F:$F&amp;'5) Release_Track'!$G:$G,1,0)),"NO ISRC-CATALOG ID pair MATCH in Release_Track" )</f>
        <v/>
      </c>
      <c r="E716" s="99"/>
      <c r="F716" s="99"/>
      <c r="G716" s="123" t="str">
        <f t="array" ref="G716">ifs(or($F716="",$F716="Main Primary Artist"),$F716,not(iserror(vlookup($F716,'Reference info'!$J$5:$J$8,1,0))),"Key Artist",not(iserror(vlookup($F716,'Reference info'!$J$38:$J$405,1,0))),"Performer",not(iserror(vlookup($F716,'Reference info'!$J$10:$J$36,1,0))),"Producer &amp; Engineer")</f>
        <v/>
      </c>
    </row>
    <row r="717">
      <c r="B717" s="103"/>
      <c r="C717" s="121" t="str">
        <f t="array" ref="C717">ifs(and(isblank($A717),isblank($B717)),"", not(iserror(vlookup($A717&amp;$B717,'5) Release_Track'!$F:$F&amp;'5) Release_Track'!$G:$G,1,0))),vlookup($A717&amp;$B717,{'5) Release_Track'!$F:$F&amp;'5) Release_Track'!$G:$G,'5) Release_Track'!$H:$H},2,0), or(and(not(isblank($B717)),$B717=$B716,$A717&lt;&gt;$A716),and(not(isblank($A717)),$A717=$A716,$B717&lt;&gt;$B716)),"ID LISTS UNALIGNED",and($A717&lt;&gt;"",countif('5) Release_Track'!$F:$F,$A717)=0),"NO ISRC MATCH in Release_Track",and($B717&lt;&gt;"",countif('5) Release_Track'!$G:$G,$B717)=0),"NO CATALOG ID MATCH in Release_Track",iserror(vlookup($A717&amp;$B717,'5) Release_Track'!$F:$F&amp;'5) Release_Track'!$G:$G,1,0)),"NO ISRC-CATALOG ID pair MATCH in Release_Track" )</f>
        <v/>
      </c>
      <c r="D717" s="121" t="str">
        <f t="array" ref="D717">ifs(and(isblank($A717),isblank($B717)),"", not(iserror(vlookup($A717&amp;$B717,'5) Release_Track'!$F:$F&amp;'5) Release_Track'!$G:$G,1,0))),vlookup($A717&amp;$B717,{'5) Release_Track'!$F:$F&amp;'5) Release_Track'!$G:$G,'5) Release_Track'!$I:$I},2,0), or(and(not(isblank($B717)),$B717=$B716,$A717&lt;&gt;$A716),and(not(isblank($A717)),$A717=$A716,$B717&lt;&gt;$B716)),"ID LISTS UNALIGNED",and($A717&lt;&gt;"",countif('5) Release_Track'!$F:$F,$A717)=0),"NO ISRC MATCH in Release_Track",and($B717&lt;&gt;"",countif('5) Release_Track'!$G:$G,$B717)=0),"NO CATALOG ID MATCH in Release_Track",iserror(vlookup($A717&amp;$B717,'5) Release_Track'!$F:$F&amp;'5) Release_Track'!$G:$G,1,0)),"NO ISRC-CATALOG ID pair MATCH in Release_Track" )</f>
        <v/>
      </c>
      <c r="E717" s="99"/>
      <c r="F717" s="99"/>
      <c r="G717" s="123" t="str">
        <f t="array" ref="G717">ifs(or($F717="",$F717="Main Primary Artist"),$F717,not(iserror(vlookup($F717,'Reference info'!$J$5:$J$8,1,0))),"Key Artist",not(iserror(vlookup($F717,'Reference info'!$J$38:$J$405,1,0))),"Performer",not(iserror(vlookup($F717,'Reference info'!$J$10:$J$36,1,0))),"Producer &amp; Engineer")</f>
        <v/>
      </c>
    </row>
    <row r="718">
      <c r="B718" s="103"/>
      <c r="C718" s="121" t="str">
        <f t="array" ref="C718">ifs(and(isblank($A718),isblank($B718)),"", not(iserror(vlookup($A718&amp;$B718,'5) Release_Track'!$F:$F&amp;'5) Release_Track'!$G:$G,1,0))),vlookup($A718&amp;$B718,{'5) Release_Track'!$F:$F&amp;'5) Release_Track'!$G:$G,'5) Release_Track'!$H:$H},2,0), or(and(not(isblank($B718)),$B718=$B717,$A718&lt;&gt;$A717),and(not(isblank($A718)),$A718=$A717,$B718&lt;&gt;$B717)),"ID LISTS UNALIGNED",and($A718&lt;&gt;"",countif('5) Release_Track'!$F:$F,$A718)=0),"NO ISRC MATCH in Release_Track",and($B718&lt;&gt;"",countif('5) Release_Track'!$G:$G,$B718)=0),"NO CATALOG ID MATCH in Release_Track",iserror(vlookup($A718&amp;$B718,'5) Release_Track'!$F:$F&amp;'5) Release_Track'!$G:$G,1,0)),"NO ISRC-CATALOG ID pair MATCH in Release_Track" )</f>
        <v/>
      </c>
      <c r="D718" s="121" t="str">
        <f t="array" ref="D718">ifs(and(isblank($A718),isblank($B718)),"", not(iserror(vlookup($A718&amp;$B718,'5) Release_Track'!$F:$F&amp;'5) Release_Track'!$G:$G,1,0))),vlookup($A718&amp;$B718,{'5) Release_Track'!$F:$F&amp;'5) Release_Track'!$G:$G,'5) Release_Track'!$I:$I},2,0), or(and(not(isblank($B718)),$B718=$B717,$A718&lt;&gt;$A717),and(not(isblank($A718)),$A718=$A717,$B718&lt;&gt;$B717)),"ID LISTS UNALIGNED",and($A718&lt;&gt;"",countif('5) Release_Track'!$F:$F,$A718)=0),"NO ISRC MATCH in Release_Track",and($B718&lt;&gt;"",countif('5) Release_Track'!$G:$G,$B718)=0),"NO CATALOG ID MATCH in Release_Track",iserror(vlookup($A718&amp;$B718,'5) Release_Track'!$F:$F&amp;'5) Release_Track'!$G:$G,1,0)),"NO ISRC-CATALOG ID pair MATCH in Release_Track" )</f>
        <v/>
      </c>
      <c r="E718" s="99"/>
      <c r="F718" s="99"/>
      <c r="G718" s="123" t="str">
        <f t="array" ref="G718">ifs(or($F718="",$F718="Main Primary Artist"),$F718,not(iserror(vlookup($F718,'Reference info'!$J$5:$J$8,1,0))),"Key Artist",not(iserror(vlookup($F718,'Reference info'!$J$38:$J$405,1,0))),"Performer",not(iserror(vlookup($F718,'Reference info'!$J$10:$J$36,1,0))),"Producer &amp; Engineer")</f>
        <v/>
      </c>
    </row>
    <row r="719">
      <c r="B719" s="103"/>
      <c r="C719" s="121" t="str">
        <f t="array" ref="C719">ifs(and(isblank($A719),isblank($B719)),"", not(iserror(vlookup($A719&amp;$B719,'5) Release_Track'!$F:$F&amp;'5) Release_Track'!$G:$G,1,0))),vlookup($A719&amp;$B719,{'5) Release_Track'!$F:$F&amp;'5) Release_Track'!$G:$G,'5) Release_Track'!$H:$H},2,0), or(and(not(isblank($B719)),$B719=$B718,$A719&lt;&gt;$A718),and(not(isblank($A719)),$A719=$A718,$B719&lt;&gt;$B718)),"ID LISTS UNALIGNED",and($A719&lt;&gt;"",countif('5) Release_Track'!$F:$F,$A719)=0),"NO ISRC MATCH in Release_Track",and($B719&lt;&gt;"",countif('5) Release_Track'!$G:$G,$B719)=0),"NO CATALOG ID MATCH in Release_Track",iserror(vlookup($A719&amp;$B719,'5) Release_Track'!$F:$F&amp;'5) Release_Track'!$G:$G,1,0)),"NO ISRC-CATALOG ID pair MATCH in Release_Track" )</f>
        <v/>
      </c>
      <c r="D719" s="121" t="str">
        <f t="array" ref="D719">ifs(and(isblank($A719),isblank($B719)),"", not(iserror(vlookup($A719&amp;$B719,'5) Release_Track'!$F:$F&amp;'5) Release_Track'!$G:$G,1,0))),vlookup($A719&amp;$B719,{'5) Release_Track'!$F:$F&amp;'5) Release_Track'!$G:$G,'5) Release_Track'!$I:$I},2,0), or(and(not(isblank($B719)),$B719=$B718,$A719&lt;&gt;$A718),and(not(isblank($A719)),$A719=$A718,$B719&lt;&gt;$B718)),"ID LISTS UNALIGNED",and($A719&lt;&gt;"",countif('5) Release_Track'!$F:$F,$A719)=0),"NO ISRC MATCH in Release_Track",and($B719&lt;&gt;"",countif('5) Release_Track'!$G:$G,$B719)=0),"NO CATALOG ID MATCH in Release_Track",iserror(vlookup($A719&amp;$B719,'5) Release_Track'!$F:$F&amp;'5) Release_Track'!$G:$G,1,0)),"NO ISRC-CATALOG ID pair MATCH in Release_Track" )</f>
        <v/>
      </c>
      <c r="E719" s="99"/>
      <c r="F719" s="99"/>
      <c r="G719" s="123" t="str">
        <f t="array" ref="G719">ifs(or($F719="",$F719="Main Primary Artist"),$F719,not(iserror(vlookup($F719,'Reference info'!$J$5:$J$8,1,0))),"Key Artist",not(iserror(vlookup($F719,'Reference info'!$J$38:$J$405,1,0))),"Performer",not(iserror(vlookup($F719,'Reference info'!$J$10:$J$36,1,0))),"Producer &amp; Engineer")</f>
        <v/>
      </c>
    </row>
    <row r="720">
      <c r="B720" s="103"/>
      <c r="C720" s="121" t="str">
        <f t="array" ref="C720">ifs(and(isblank($A720),isblank($B720)),"", not(iserror(vlookup($A720&amp;$B720,'5) Release_Track'!$F:$F&amp;'5) Release_Track'!$G:$G,1,0))),vlookup($A720&amp;$B720,{'5) Release_Track'!$F:$F&amp;'5) Release_Track'!$G:$G,'5) Release_Track'!$H:$H},2,0), or(and(not(isblank($B720)),$B720=$B719,$A720&lt;&gt;$A719),and(not(isblank($A720)),$A720=$A719,$B720&lt;&gt;$B719)),"ID LISTS UNALIGNED",and($A720&lt;&gt;"",countif('5) Release_Track'!$F:$F,$A720)=0),"NO ISRC MATCH in Release_Track",and($B720&lt;&gt;"",countif('5) Release_Track'!$G:$G,$B720)=0),"NO CATALOG ID MATCH in Release_Track",iserror(vlookup($A720&amp;$B720,'5) Release_Track'!$F:$F&amp;'5) Release_Track'!$G:$G,1,0)),"NO ISRC-CATALOG ID pair MATCH in Release_Track" )</f>
        <v/>
      </c>
      <c r="D720" s="121" t="str">
        <f t="array" ref="D720">ifs(and(isblank($A720),isblank($B720)),"", not(iserror(vlookup($A720&amp;$B720,'5) Release_Track'!$F:$F&amp;'5) Release_Track'!$G:$G,1,0))),vlookup($A720&amp;$B720,{'5) Release_Track'!$F:$F&amp;'5) Release_Track'!$G:$G,'5) Release_Track'!$I:$I},2,0), or(and(not(isblank($B720)),$B720=$B719,$A720&lt;&gt;$A719),and(not(isblank($A720)),$A720=$A719,$B720&lt;&gt;$B719)),"ID LISTS UNALIGNED",and($A720&lt;&gt;"",countif('5) Release_Track'!$F:$F,$A720)=0),"NO ISRC MATCH in Release_Track",and($B720&lt;&gt;"",countif('5) Release_Track'!$G:$G,$B720)=0),"NO CATALOG ID MATCH in Release_Track",iserror(vlookup($A720&amp;$B720,'5) Release_Track'!$F:$F&amp;'5) Release_Track'!$G:$G,1,0)),"NO ISRC-CATALOG ID pair MATCH in Release_Track" )</f>
        <v/>
      </c>
      <c r="E720" s="99"/>
      <c r="F720" s="99"/>
      <c r="G720" s="123" t="str">
        <f t="array" ref="G720">ifs(or($F720="",$F720="Main Primary Artist"),$F720,not(iserror(vlookup($F720,'Reference info'!$J$5:$J$8,1,0))),"Key Artist",not(iserror(vlookup($F720,'Reference info'!$J$38:$J$405,1,0))),"Performer",not(iserror(vlookup($F720,'Reference info'!$J$10:$J$36,1,0))),"Producer &amp; Engineer")</f>
        <v/>
      </c>
    </row>
    <row r="721">
      <c r="B721" s="103"/>
      <c r="C721" s="121" t="str">
        <f t="array" ref="C721">ifs(and(isblank($A721),isblank($B721)),"", not(iserror(vlookup($A721&amp;$B721,'5) Release_Track'!$F:$F&amp;'5) Release_Track'!$G:$G,1,0))),vlookup($A721&amp;$B721,{'5) Release_Track'!$F:$F&amp;'5) Release_Track'!$G:$G,'5) Release_Track'!$H:$H},2,0), or(and(not(isblank($B721)),$B721=$B720,$A721&lt;&gt;$A720),and(not(isblank($A721)),$A721=$A720,$B721&lt;&gt;$B720)),"ID LISTS UNALIGNED",and($A721&lt;&gt;"",countif('5) Release_Track'!$F:$F,$A721)=0),"NO ISRC MATCH in Release_Track",and($B721&lt;&gt;"",countif('5) Release_Track'!$G:$G,$B721)=0),"NO CATALOG ID MATCH in Release_Track",iserror(vlookup($A721&amp;$B721,'5) Release_Track'!$F:$F&amp;'5) Release_Track'!$G:$G,1,0)),"NO ISRC-CATALOG ID pair MATCH in Release_Track" )</f>
        <v/>
      </c>
      <c r="D721" s="121" t="str">
        <f t="array" ref="D721">ifs(and(isblank($A721),isblank($B721)),"", not(iserror(vlookup($A721&amp;$B721,'5) Release_Track'!$F:$F&amp;'5) Release_Track'!$G:$G,1,0))),vlookup($A721&amp;$B721,{'5) Release_Track'!$F:$F&amp;'5) Release_Track'!$G:$G,'5) Release_Track'!$I:$I},2,0), or(and(not(isblank($B721)),$B721=$B720,$A721&lt;&gt;$A720),and(not(isblank($A721)),$A721=$A720,$B721&lt;&gt;$B720)),"ID LISTS UNALIGNED",and($A721&lt;&gt;"",countif('5) Release_Track'!$F:$F,$A721)=0),"NO ISRC MATCH in Release_Track",and($B721&lt;&gt;"",countif('5) Release_Track'!$G:$G,$B721)=0),"NO CATALOG ID MATCH in Release_Track",iserror(vlookup($A721&amp;$B721,'5) Release_Track'!$F:$F&amp;'5) Release_Track'!$G:$G,1,0)),"NO ISRC-CATALOG ID pair MATCH in Release_Track" )</f>
        <v/>
      </c>
      <c r="E721" s="99"/>
      <c r="F721" s="99"/>
      <c r="G721" s="123" t="str">
        <f t="array" ref="G721">ifs(or($F721="",$F721="Main Primary Artist"),$F721,not(iserror(vlookup($F721,'Reference info'!$J$5:$J$8,1,0))),"Key Artist",not(iserror(vlookup($F721,'Reference info'!$J$38:$J$405,1,0))),"Performer",not(iserror(vlookup($F721,'Reference info'!$J$10:$J$36,1,0))),"Producer &amp; Engineer")</f>
        <v/>
      </c>
    </row>
    <row r="722">
      <c r="B722" s="103"/>
      <c r="C722" s="121" t="str">
        <f t="array" ref="C722">ifs(and(isblank($A722),isblank($B722)),"", not(iserror(vlookup($A722&amp;$B722,'5) Release_Track'!$F:$F&amp;'5) Release_Track'!$G:$G,1,0))),vlookup($A722&amp;$B722,{'5) Release_Track'!$F:$F&amp;'5) Release_Track'!$G:$G,'5) Release_Track'!$H:$H},2,0), or(and(not(isblank($B722)),$B722=$B721,$A722&lt;&gt;$A721),and(not(isblank($A722)),$A722=$A721,$B722&lt;&gt;$B721)),"ID LISTS UNALIGNED",and($A722&lt;&gt;"",countif('5) Release_Track'!$F:$F,$A722)=0),"NO ISRC MATCH in Release_Track",and($B722&lt;&gt;"",countif('5) Release_Track'!$G:$G,$B722)=0),"NO CATALOG ID MATCH in Release_Track",iserror(vlookup($A722&amp;$B722,'5) Release_Track'!$F:$F&amp;'5) Release_Track'!$G:$G,1,0)),"NO ISRC-CATALOG ID pair MATCH in Release_Track" )</f>
        <v/>
      </c>
      <c r="D722" s="121" t="str">
        <f t="array" ref="D722">ifs(and(isblank($A722),isblank($B722)),"", not(iserror(vlookup($A722&amp;$B722,'5) Release_Track'!$F:$F&amp;'5) Release_Track'!$G:$G,1,0))),vlookup($A722&amp;$B722,{'5) Release_Track'!$F:$F&amp;'5) Release_Track'!$G:$G,'5) Release_Track'!$I:$I},2,0), or(and(not(isblank($B722)),$B722=$B721,$A722&lt;&gt;$A721),and(not(isblank($A722)),$A722=$A721,$B722&lt;&gt;$B721)),"ID LISTS UNALIGNED",and($A722&lt;&gt;"",countif('5) Release_Track'!$F:$F,$A722)=0),"NO ISRC MATCH in Release_Track",and($B722&lt;&gt;"",countif('5) Release_Track'!$G:$G,$B722)=0),"NO CATALOG ID MATCH in Release_Track",iserror(vlookup($A722&amp;$B722,'5) Release_Track'!$F:$F&amp;'5) Release_Track'!$G:$G,1,0)),"NO ISRC-CATALOG ID pair MATCH in Release_Track" )</f>
        <v/>
      </c>
      <c r="E722" s="99"/>
      <c r="F722" s="99"/>
      <c r="G722" s="123" t="str">
        <f t="array" ref="G722">ifs(or($F722="",$F722="Main Primary Artist"),$F722,not(iserror(vlookup($F722,'Reference info'!$J$5:$J$8,1,0))),"Key Artist",not(iserror(vlookup($F722,'Reference info'!$J$38:$J$405,1,0))),"Performer",not(iserror(vlookup($F722,'Reference info'!$J$10:$J$36,1,0))),"Producer &amp; Engineer")</f>
        <v/>
      </c>
    </row>
    <row r="723">
      <c r="B723" s="103"/>
      <c r="C723" s="121" t="str">
        <f t="array" ref="C723">ifs(and(isblank($A723),isblank($B723)),"", not(iserror(vlookup($A723&amp;$B723,'5) Release_Track'!$F:$F&amp;'5) Release_Track'!$G:$G,1,0))),vlookup($A723&amp;$B723,{'5) Release_Track'!$F:$F&amp;'5) Release_Track'!$G:$G,'5) Release_Track'!$H:$H},2,0), or(and(not(isblank($B723)),$B723=$B722,$A723&lt;&gt;$A722),and(not(isblank($A723)),$A723=$A722,$B723&lt;&gt;$B722)),"ID LISTS UNALIGNED",and($A723&lt;&gt;"",countif('5) Release_Track'!$F:$F,$A723)=0),"NO ISRC MATCH in Release_Track",and($B723&lt;&gt;"",countif('5) Release_Track'!$G:$G,$B723)=0),"NO CATALOG ID MATCH in Release_Track",iserror(vlookup($A723&amp;$B723,'5) Release_Track'!$F:$F&amp;'5) Release_Track'!$G:$G,1,0)),"NO ISRC-CATALOG ID pair MATCH in Release_Track" )</f>
        <v/>
      </c>
      <c r="D723" s="121" t="str">
        <f t="array" ref="D723">ifs(and(isblank($A723),isblank($B723)),"", not(iserror(vlookup($A723&amp;$B723,'5) Release_Track'!$F:$F&amp;'5) Release_Track'!$G:$G,1,0))),vlookup($A723&amp;$B723,{'5) Release_Track'!$F:$F&amp;'5) Release_Track'!$G:$G,'5) Release_Track'!$I:$I},2,0), or(and(not(isblank($B723)),$B723=$B722,$A723&lt;&gt;$A722),and(not(isblank($A723)),$A723=$A722,$B723&lt;&gt;$B722)),"ID LISTS UNALIGNED",and($A723&lt;&gt;"",countif('5) Release_Track'!$F:$F,$A723)=0),"NO ISRC MATCH in Release_Track",and($B723&lt;&gt;"",countif('5) Release_Track'!$G:$G,$B723)=0),"NO CATALOG ID MATCH in Release_Track",iserror(vlookup($A723&amp;$B723,'5) Release_Track'!$F:$F&amp;'5) Release_Track'!$G:$G,1,0)),"NO ISRC-CATALOG ID pair MATCH in Release_Track" )</f>
        <v/>
      </c>
      <c r="E723" s="99"/>
      <c r="F723" s="99"/>
      <c r="G723" s="123" t="str">
        <f t="array" ref="G723">ifs(or($F723="",$F723="Main Primary Artist"),$F723,not(iserror(vlookup($F723,'Reference info'!$J$5:$J$8,1,0))),"Key Artist",not(iserror(vlookup($F723,'Reference info'!$J$38:$J$405,1,0))),"Performer",not(iserror(vlookup($F723,'Reference info'!$J$10:$J$36,1,0))),"Producer &amp; Engineer")</f>
        <v/>
      </c>
    </row>
    <row r="724">
      <c r="B724" s="103"/>
      <c r="C724" s="121" t="str">
        <f t="array" ref="C724">ifs(and(isblank($A724),isblank($B724)),"", not(iserror(vlookup($A724&amp;$B724,'5) Release_Track'!$F:$F&amp;'5) Release_Track'!$G:$G,1,0))),vlookup($A724&amp;$B724,{'5) Release_Track'!$F:$F&amp;'5) Release_Track'!$G:$G,'5) Release_Track'!$H:$H},2,0), or(and(not(isblank($B724)),$B724=$B723,$A724&lt;&gt;$A723),and(not(isblank($A724)),$A724=$A723,$B724&lt;&gt;$B723)),"ID LISTS UNALIGNED",and($A724&lt;&gt;"",countif('5) Release_Track'!$F:$F,$A724)=0),"NO ISRC MATCH in Release_Track",and($B724&lt;&gt;"",countif('5) Release_Track'!$G:$G,$B724)=0),"NO CATALOG ID MATCH in Release_Track",iserror(vlookup($A724&amp;$B724,'5) Release_Track'!$F:$F&amp;'5) Release_Track'!$G:$G,1,0)),"NO ISRC-CATALOG ID pair MATCH in Release_Track" )</f>
        <v/>
      </c>
      <c r="D724" s="121" t="str">
        <f t="array" ref="D724">ifs(and(isblank($A724),isblank($B724)),"", not(iserror(vlookup($A724&amp;$B724,'5) Release_Track'!$F:$F&amp;'5) Release_Track'!$G:$G,1,0))),vlookup($A724&amp;$B724,{'5) Release_Track'!$F:$F&amp;'5) Release_Track'!$G:$G,'5) Release_Track'!$I:$I},2,0), or(and(not(isblank($B724)),$B724=$B723,$A724&lt;&gt;$A723),and(not(isblank($A724)),$A724=$A723,$B724&lt;&gt;$B723)),"ID LISTS UNALIGNED",and($A724&lt;&gt;"",countif('5) Release_Track'!$F:$F,$A724)=0),"NO ISRC MATCH in Release_Track",and($B724&lt;&gt;"",countif('5) Release_Track'!$G:$G,$B724)=0),"NO CATALOG ID MATCH in Release_Track",iserror(vlookup($A724&amp;$B724,'5) Release_Track'!$F:$F&amp;'5) Release_Track'!$G:$G,1,0)),"NO ISRC-CATALOG ID pair MATCH in Release_Track" )</f>
        <v/>
      </c>
      <c r="E724" s="99"/>
      <c r="F724" s="99"/>
      <c r="G724" s="123" t="str">
        <f t="array" ref="G724">ifs(or($F724="",$F724="Main Primary Artist"),$F724,not(iserror(vlookup($F724,'Reference info'!$J$5:$J$8,1,0))),"Key Artist",not(iserror(vlookup($F724,'Reference info'!$J$38:$J$405,1,0))),"Performer",not(iserror(vlookup($F724,'Reference info'!$J$10:$J$36,1,0))),"Producer &amp; Engineer")</f>
        <v/>
      </c>
    </row>
    <row r="725">
      <c r="B725" s="103"/>
      <c r="C725" s="121" t="str">
        <f t="array" ref="C725">ifs(and(isblank($A725),isblank($B725)),"", not(iserror(vlookup($A725&amp;$B725,'5) Release_Track'!$F:$F&amp;'5) Release_Track'!$G:$G,1,0))),vlookup($A725&amp;$B725,{'5) Release_Track'!$F:$F&amp;'5) Release_Track'!$G:$G,'5) Release_Track'!$H:$H},2,0), or(and(not(isblank($B725)),$B725=$B724,$A725&lt;&gt;$A724),and(not(isblank($A725)),$A725=$A724,$B725&lt;&gt;$B724)),"ID LISTS UNALIGNED",and($A725&lt;&gt;"",countif('5) Release_Track'!$F:$F,$A725)=0),"NO ISRC MATCH in Release_Track",and($B725&lt;&gt;"",countif('5) Release_Track'!$G:$G,$B725)=0),"NO CATALOG ID MATCH in Release_Track",iserror(vlookup($A725&amp;$B725,'5) Release_Track'!$F:$F&amp;'5) Release_Track'!$G:$G,1,0)),"NO ISRC-CATALOG ID pair MATCH in Release_Track" )</f>
        <v/>
      </c>
      <c r="D725" s="121" t="str">
        <f t="array" ref="D725">ifs(and(isblank($A725),isblank($B725)),"", not(iserror(vlookup($A725&amp;$B725,'5) Release_Track'!$F:$F&amp;'5) Release_Track'!$G:$G,1,0))),vlookup($A725&amp;$B725,{'5) Release_Track'!$F:$F&amp;'5) Release_Track'!$G:$G,'5) Release_Track'!$I:$I},2,0), or(and(not(isblank($B725)),$B725=$B724,$A725&lt;&gt;$A724),and(not(isblank($A725)),$A725=$A724,$B725&lt;&gt;$B724)),"ID LISTS UNALIGNED",and($A725&lt;&gt;"",countif('5) Release_Track'!$F:$F,$A725)=0),"NO ISRC MATCH in Release_Track",and($B725&lt;&gt;"",countif('5) Release_Track'!$G:$G,$B725)=0),"NO CATALOG ID MATCH in Release_Track",iserror(vlookup($A725&amp;$B725,'5) Release_Track'!$F:$F&amp;'5) Release_Track'!$G:$G,1,0)),"NO ISRC-CATALOG ID pair MATCH in Release_Track" )</f>
        <v/>
      </c>
      <c r="E725" s="99"/>
      <c r="F725" s="99"/>
      <c r="G725" s="123" t="str">
        <f t="array" ref="G725">ifs(or($F725="",$F725="Main Primary Artist"),$F725,not(iserror(vlookup($F725,'Reference info'!$J$5:$J$8,1,0))),"Key Artist",not(iserror(vlookup($F725,'Reference info'!$J$38:$J$405,1,0))),"Performer",not(iserror(vlookup($F725,'Reference info'!$J$10:$J$36,1,0))),"Producer &amp; Engineer")</f>
        <v/>
      </c>
    </row>
    <row r="726">
      <c r="B726" s="103"/>
      <c r="C726" s="121" t="str">
        <f t="array" ref="C726">ifs(and(isblank($A726),isblank($B726)),"", not(iserror(vlookup($A726&amp;$B726,'5) Release_Track'!$F:$F&amp;'5) Release_Track'!$G:$G,1,0))),vlookup($A726&amp;$B726,{'5) Release_Track'!$F:$F&amp;'5) Release_Track'!$G:$G,'5) Release_Track'!$H:$H},2,0), or(and(not(isblank($B726)),$B726=$B725,$A726&lt;&gt;$A725),and(not(isblank($A726)),$A726=$A725,$B726&lt;&gt;$B725)),"ID LISTS UNALIGNED",and($A726&lt;&gt;"",countif('5) Release_Track'!$F:$F,$A726)=0),"NO ISRC MATCH in Release_Track",and($B726&lt;&gt;"",countif('5) Release_Track'!$G:$G,$B726)=0),"NO CATALOG ID MATCH in Release_Track",iserror(vlookup($A726&amp;$B726,'5) Release_Track'!$F:$F&amp;'5) Release_Track'!$G:$G,1,0)),"NO ISRC-CATALOG ID pair MATCH in Release_Track" )</f>
        <v/>
      </c>
      <c r="D726" s="121" t="str">
        <f t="array" ref="D726">ifs(and(isblank($A726),isblank($B726)),"", not(iserror(vlookup($A726&amp;$B726,'5) Release_Track'!$F:$F&amp;'5) Release_Track'!$G:$G,1,0))),vlookup($A726&amp;$B726,{'5) Release_Track'!$F:$F&amp;'5) Release_Track'!$G:$G,'5) Release_Track'!$I:$I},2,0), or(and(not(isblank($B726)),$B726=$B725,$A726&lt;&gt;$A725),and(not(isblank($A726)),$A726=$A725,$B726&lt;&gt;$B725)),"ID LISTS UNALIGNED",and($A726&lt;&gt;"",countif('5) Release_Track'!$F:$F,$A726)=0),"NO ISRC MATCH in Release_Track",and($B726&lt;&gt;"",countif('5) Release_Track'!$G:$G,$B726)=0),"NO CATALOG ID MATCH in Release_Track",iserror(vlookup($A726&amp;$B726,'5) Release_Track'!$F:$F&amp;'5) Release_Track'!$G:$G,1,0)),"NO ISRC-CATALOG ID pair MATCH in Release_Track" )</f>
        <v/>
      </c>
      <c r="E726" s="99"/>
      <c r="F726" s="99"/>
      <c r="G726" s="123" t="str">
        <f t="array" ref="G726">ifs(or($F726="",$F726="Main Primary Artist"),$F726,not(iserror(vlookup($F726,'Reference info'!$J$5:$J$8,1,0))),"Key Artist",not(iserror(vlookup($F726,'Reference info'!$J$38:$J$405,1,0))),"Performer",not(iserror(vlookup($F726,'Reference info'!$J$10:$J$36,1,0))),"Producer &amp; Engineer")</f>
        <v/>
      </c>
    </row>
    <row r="727">
      <c r="B727" s="103"/>
      <c r="C727" s="121" t="str">
        <f t="array" ref="C727">ifs(and(isblank($A727),isblank($B727)),"", not(iserror(vlookup($A727&amp;$B727,'5) Release_Track'!$F:$F&amp;'5) Release_Track'!$G:$G,1,0))),vlookup($A727&amp;$B727,{'5) Release_Track'!$F:$F&amp;'5) Release_Track'!$G:$G,'5) Release_Track'!$H:$H},2,0), or(and(not(isblank($B727)),$B727=$B726,$A727&lt;&gt;$A726),and(not(isblank($A727)),$A727=$A726,$B727&lt;&gt;$B726)),"ID LISTS UNALIGNED",and($A727&lt;&gt;"",countif('5) Release_Track'!$F:$F,$A727)=0),"NO ISRC MATCH in Release_Track",and($B727&lt;&gt;"",countif('5) Release_Track'!$G:$G,$B727)=0),"NO CATALOG ID MATCH in Release_Track",iserror(vlookup($A727&amp;$B727,'5) Release_Track'!$F:$F&amp;'5) Release_Track'!$G:$G,1,0)),"NO ISRC-CATALOG ID pair MATCH in Release_Track" )</f>
        <v/>
      </c>
      <c r="D727" s="121" t="str">
        <f t="array" ref="D727">ifs(and(isblank($A727),isblank($B727)),"", not(iserror(vlookup($A727&amp;$B727,'5) Release_Track'!$F:$F&amp;'5) Release_Track'!$G:$G,1,0))),vlookup($A727&amp;$B727,{'5) Release_Track'!$F:$F&amp;'5) Release_Track'!$G:$G,'5) Release_Track'!$I:$I},2,0), or(and(not(isblank($B727)),$B727=$B726,$A727&lt;&gt;$A726),and(not(isblank($A727)),$A727=$A726,$B727&lt;&gt;$B726)),"ID LISTS UNALIGNED",and($A727&lt;&gt;"",countif('5) Release_Track'!$F:$F,$A727)=0),"NO ISRC MATCH in Release_Track",and($B727&lt;&gt;"",countif('5) Release_Track'!$G:$G,$B727)=0),"NO CATALOG ID MATCH in Release_Track",iserror(vlookup($A727&amp;$B727,'5) Release_Track'!$F:$F&amp;'5) Release_Track'!$G:$G,1,0)),"NO ISRC-CATALOG ID pair MATCH in Release_Track" )</f>
        <v/>
      </c>
      <c r="E727" s="99"/>
      <c r="F727" s="99"/>
      <c r="G727" s="123" t="str">
        <f t="array" ref="G727">ifs(or($F727="",$F727="Main Primary Artist"),$F727,not(iserror(vlookup($F727,'Reference info'!$J$5:$J$8,1,0))),"Key Artist",not(iserror(vlookup($F727,'Reference info'!$J$38:$J$405,1,0))),"Performer",not(iserror(vlookup($F727,'Reference info'!$J$10:$J$36,1,0))),"Producer &amp; Engineer")</f>
        <v/>
      </c>
    </row>
    <row r="728">
      <c r="B728" s="103"/>
      <c r="C728" s="121" t="str">
        <f t="array" ref="C728">ifs(and(isblank($A728),isblank($B728)),"", not(iserror(vlookup($A728&amp;$B728,'5) Release_Track'!$F:$F&amp;'5) Release_Track'!$G:$G,1,0))),vlookup($A728&amp;$B728,{'5) Release_Track'!$F:$F&amp;'5) Release_Track'!$G:$G,'5) Release_Track'!$H:$H},2,0), or(and(not(isblank($B728)),$B728=$B727,$A728&lt;&gt;$A727),and(not(isblank($A728)),$A728=$A727,$B728&lt;&gt;$B727)),"ID LISTS UNALIGNED",and($A728&lt;&gt;"",countif('5) Release_Track'!$F:$F,$A728)=0),"NO ISRC MATCH in Release_Track",and($B728&lt;&gt;"",countif('5) Release_Track'!$G:$G,$B728)=0),"NO CATALOG ID MATCH in Release_Track",iserror(vlookup($A728&amp;$B728,'5) Release_Track'!$F:$F&amp;'5) Release_Track'!$G:$G,1,0)),"NO ISRC-CATALOG ID pair MATCH in Release_Track" )</f>
        <v/>
      </c>
      <c r="D728" s="121" t="str">
        <f t="array" ref="D728">ifs(and(isblank($A728),isblank($B728)),"", not(iserror(vlookup($A728&amp;$B728,'5) Release_Track'!$F:$F&amp;'5) Release_Track'!$G:$G,1,0))),vlookup($A728&amp;$B728,{'5) Release_Track'!$F:$F&amp;'5) Release_Track'!$G:$G,'5) Release_Track'!$I:$I},2,0), or(and(not(isblank($B728)),$B728=$B727,$A728&lt;&gt;$A727),and(not(isblank($A728)),$A728=$A727,$B728&lt;&gt;$B727)),"ID LISTS UNALIGNED",and($A728&lt;&gt;"",countif('5) Release_Track'!$F:$F,$A728)=0),"NO ISRC MATCH in Release_Track",and($B728&lt;&gt;"",countif('5) Release_Track'!$G:$G,$B728)=0),"NO CATALOG ID MATCH in Release_Track",iserror(vlookup($A728&amp;$B728,'5) Release_Track'!$F:$F&amp;'5) Release_Track'!$G:$G,1,0)),"NO ISRC-CATALOG ID pair MATCH in Release_Track" )</f>
        <v/>
      </c>
      <c r="E728" s="99"/>
      <c r="F728" s="99"/>
      <c r="G728" s="123" t="str">
        <f t="array" ref="G728">ifs(or($F728="",$F728="Main Primary Artist"),$F728,not(iserror(vlookup($F728,'Reference info'!$J$5:$J$8,1,0))),"Key Artist",not(iserror(vlookup($F728,'Reference info'!$J$38:$J$405,1,0))),"Performer",not(iserror(vlookup($F728,'Reference info'!$J$10:$J$36,1,0))),"Producer &amp; Engineer")</f>
        <v/>
      </c>
    </row>
    <row r="729">
      <c r="B729" s="103"/>
      <c r="C729" s="121" t="str">
        <f t="array" ref="C729">ifs(and(isblank($A729),isblank($B729)),"", not(iserror(vlookup($A729&amp;$B729,'5) Release_Track'!$F:$F&amp;'5) Release_Track'!$G:$G,1,0))),vlookup($A729&amp;$B729,{'5) Release_Track'!$F:$F&amp;'5) Release_Track'!$G:$G,'5) Release_Track'!$H:$H},2,0), or(and(not(isblank($B729)),$B729=$B728,$A729&lt;&gt;$A728),and(not(isblank($A729)),$A729=$A728,$B729&lt;&gt;$B728)),"ID LISTS UNALIGNED",and($A729&lt;&gt;"",countif('5) Release_Track'!$F:$F,$A729)=0),"NO ISRC MATCH in Release_Track",and($B729&lt;&gt;"",countif('5) Release_Track'!$G:$G,$B729)=0),"NO CATALOG ID MATCH in Release_Track",iserror(vlookup($A729&amp;$B729,'5) Release_Track'!$F:$F&amp;'5) Release_Track'!$G:$G,1,0)),"NO ISRC-CATALOG ID pair MATCH in Release_Track" )</f>
        <v/>
      </c>
      <c r="D729" s="121" t="str">
        <f t="array" ref="D729">ifs(and(isblank($A729),isblank($B729)),"", not(iserror(vlookup($A729&amp;$B729,'5) Release_Track'!$F:$F&amp;'5) Release_Track'!$G:$G,1,0))),vlookup($A729&amp;$B729,{'5) Release_Track'!$F:$F&amp;'5) Release_Track'!$G:$G,'5) Release_Track'!$I:$I},2,0), or(and(not(isblank($B729)),$B729=$B728,$A729&lt;&gt;$A728),and(not(isblank($A729)),$A729=$A728,$B729&lt;&gt;$B728)),"ID LISTS UNALIGNED",and($A729&lt;&gt;"",countif('5) Release_Track'!$F:$F,$A729)=0),"NO ISRC MATCH in Release_Track",and($B729&lt;&gt;"",countif('5) Release_Track'!$G:$G,$B729)=0),"NO CATALOG ID MATCH in Release_Track",iserror(vlookup($A729&amp;$B729,'5) Release_Track'!$F:$F&amp;'5) Release_Track'!$G:$G,1,0)),"NO ISRC-CATALOG ID pair MATCH in Release_Track" )</f>
        <v/>
      </c>
      <c r="E729" s="99"/>
      <c r="F729" s="99"/>
      <c r="G729" s="123" t="str">
        <f t="array" ref="G729">ifs(or($F729="",$F729="Main Primary Artist"),$F729,not(iserror(vlookup($F729,'Reference info'!$J$5:$J$8,1,0))),"Key Artist",not(iserror(vlookup($F729,'Reference info'!$J$38:$J$405,1,0))),"Performer",not(iserror(vlookup($F729,'Reference info'!$J$10:$J$36,1,0))),"Producer &amp; Engineer")</f>
        <v/>
      </c>
    </row>
    <row r="730">
      <c r="B730" s="103"/>
      <c r="C730" s="121" t="str">
        <f t="array" ref="C730">ifs(and(isblank($A730),isblank($B730)),"", not(iserror(vlookup($A730&amp;$B730,'5) Release_Track'!$F:$F&amp;'5) Release_Track'!$G:$G,1,0))),vlookup($A730&amp;$B730,{'5) Release_Track'!$F:$F&amp;'5) Release_Track'!$G:$G,'5) Release_Track'!$H:$H},2,0), or(and(not(isblank($B730)),$B730=$B729,$A730&lt;&gt;$A729),and(not(isblank($A730)),$A730=$A729,$B730&lt;&gt;$B729)),"ID LISTS UNALIGNED",and($A730&lt;&gt;"",countif('5) Release_Track'!$F:$F,$A730)=0),"NO ISRC MATCH in Release_Track",and($B730&lt;&gt;"",countif('5) Release_Track'!$G:$G,$B730)=0),"NO CATALOG ID MATCH in Release_Track",iserror(vlookup($A730&amp;$B730,'5) Release_Track'!$F:$F&amp;'5) Release_Track'!$G:$G,1,0)),"NO ISRC-CATALOG ID pair MATCH in Release_Track" )</f>
        <v/>
      </c>
      <c r="D730" s="121" t="str">
        <f t="array" ref="D730">ifs(and(isblank($A730),isblank($B730)),"", not(iserror(vlookup($A730&amp;$B730,'5) Release_Track'!$F:$F&amp;'5) Release_Track'!$G:$G,1,0))),vlookup($A730&amp;$B730,{'5) Release_Track'!$F:$F&amp;'5) Release_Track'!$G:$G,'5) Release_Track'!$I:$I},2,0), or(and(not(isblank($B730)),$B730=$B729,$A730&lt;&gt;$A729),and(not(isblank($A730)),$A730=$A729,$B730&lt;&gt;$B729)),"ID LISTS UNALIGNED",and($A730&lt;&gt;"",countif('5) Release_Track'!$F:$F,$A730)=0),"NO ISRC MATCH in Release_Track",and($B730&lt;&gt;"",countif('5) Release_Track'!$G:$G,$B730)=0),"NO CATALOG ID MATCH in Release_Track",iserror(vlookup($A730&amp;$B730,'5) Release_Track'!$F:$F&amp;'5) Release_Track'!$G:$G,1,0)),"NO ISRC-CATALOG ID pair MATCH in Release_Track" )</f>
        <v/>
      </c>
      <c r="E730" s="99"/>
      <c r="F730" s="99"/>
      <c r="G730" s="123" t="str">
        <f t="array" ref="G730">ifs(or($F730="",$F730="Main Primary Artist"),$F730,not(iserror(vlookup($F730,'Reference info'!$J$5:$J$8,1,0))),"Key Artist",not(iserror(vlookup($F730,'Reference info'!$J$38:$J$405,1,0))),"Performer",not(iserror(vlookup($F730,'Reference info'!$J$10:$J$36,1,0))),"Producer &amp; Engineer")</f>
        <v/>
      </c>
    </row>
    <row r="731">
      <c r="B731" s="103"/>
      <c r="C731" s="121" t="str">
        <f t="array" ref="C731">ifs(and(isblank($A731),isblank($B731)),"", not(iserror(vlookup($A731&amp;$B731,'5) Release_Track'!$F:$F&amp;'5) Release_Track'!$G:$G,1,0))),vlookup($A731&amp;$B731,{'5) Release_Track'!$F:$F&amp;'5) Release_Track'!$G:$G,'5) Release_Track'!$H:$H},2,0), or(and(not(isblank($B731)),$B731=$B730,$A731&lt;&gt;$A730),and(not(isblank($A731)),$A731=$A730,$B731&lt;&gt;$B730)),"ID LISTS UNALIGNED",and($A731&lt;&gt;"",countif('5) Release_Track'!$F:$F,$A731)=0),"NO ISRC MATCH in Release_Track",and($B731&lt;&gt;"",countif('5) Release_Track'!$G:$G,$B731)=0),"NO CATALOG ID MATCH in Release_Track",iserror(vlookup($A731&amp;$B731,'5) Release_Track'!$F:$F&amp;'5) Release_Track'!$G:$G,1,0)),"NO ISRC-CATALOG ID pair MATCH in Release_Track" )</f>
        <v/>
      </c>
      <c r="D731" s="121" t="str">
        <f t="array" ref="D731">ifs(and(isblank($A731),isblank($B731)),"", not(iserror(vlookup($A731&amp;$B731,'5) Release_Track'!$F:$F&amp;'5) Release_Track'!$G:$G,1,0))),vlookup($A731&amp;$B731,{'5) Release_Track'!$F:$F&amp;'5) Release_Track'!$G:$G,'5) Release_Track'!$I:$I},2,0), or(and(not(isblank($B731)),$B731=$B730,$A731&lt;&gt;$A730),and(not(isblank($A731)),$A731=$A730,$B731&lt;&gt;$B730)),"ID LISTS UNALIGNED",and($A731&lt;&gt;"",countif('5) Release_Track'!$F:$F,$A731)=0),"NO ISRC MATCH in Release_Track",and($B731&lt;&gt;"",countif('5) Release_Track'!$G:$G,$B731)=0),"NO CATALOG ID MATCH in Release_Track",iserror(vlookup($A731&amp;$B731,'5) Release_Track'!$F:$F&amp;'5) Release_Track'!$G:$G,1,0)),"NO ISRC-CATALOG ID pair MATCH in Release_Track" )</f>
        <v/>
      </c>
      <c r="E731" s="99"/>
      <c r="F731" s="99"/>
      <c r="G731" s="123" t="str">
        <f t="array" ref="G731">ifs(or($F731="",$F731="Main Primary Artist"),$F731,not(iserror(vlookup($F731,'Reference info'!$J$5:$J$8,1,0))),"Key Artist",not(iserror(vlookup($F731,'Reference info'!$J$38:$J$405,1,0))),"Performer",not(iserror(vlookup($F731,'Reference info'!$J$10:$J$36,1,0))),"Producer &amp; Engineer")</f>
        <v/>
      </c>
    </row>
    <row r="732">
      <c r="B732" s="103"/>
      <c r="C732" s="121" t="str">
        <f t="array" ref="C732">ifs(and(isblank($A732),isblank($B732)),"", not(iserror(vlookup($A732&amp;$B732,'5) Release_Track'!$F:$F&amp;'5) Release_Track'!$G:$G,1,0))),vlookup($A732&amp;$B732,{'5) Release_Track'!$F:$F&amp;'5) Release_Track'!$G:$G,'5) Release_Track'!$H:$H},2,0), or(and(not(isblank($B732)),$B732=$B731,$A732&lt;&gt;$A731),and(not(isblank($A732)),$A732=$A731,$B732&lt;&gt;$B731)),"ID LISTS UNALIGNED",and($A732&lt;&gt;"",countif('5) Release_Track'!$F:$F,$A732)=0),"NO ISRC MATCH in Release_Track",and($B732&lt;&gt;"",countif('5) Release_Track'!$G:$G,$B732)=0),"NO CATALOG ID MATCH in Release_Track",iserror(vlookup($A732&amp;$B732,'5) Release_Track'!$F:$F&amp;'5) Release_Track'!$G:$G,1,0)),"NO ISRC-CATALOG ID pair MATCH in Release_Track" )</f>
        <v/>
      </c>
      <c r="D732" s="121" t="str">
        <f t="array" ref="D732">ifs(and(isblank($A732),isblank($B732)),"", not(iserror(vlookup($A732&amp;$B732,'5) Release_Track'!$F:$F&amp;'5) Release_Track'!$G:$G,1,0))),vlookup($A732&amp;$B732,{'5) Release_Track'!$F:$F&amp;'5) Release_Track'!$G:$G,'5) Release_Track'!$I:$I},2,0), or(and(not(isblank($B732)),$B732=$B731,$A732&lt;&gt;$A731),and(not(isblank($A732)),$A732=$A731,$B732&lt;&gt;$B731)),"ID LISTS UNALIGNED",and($A732&lt;&gt;"",countif('5) Release_Track'!$F:$F,$A732)=0),"NO ISRC MATCH in Release_Track",and($B732&lt;&gt;"",countif('5) Release_Track'!$G:$G,$B732)=0),"NO CATALOG ID MATCH in Release_Track",iserror(vlookup($A732&amp;$B732,'5) Release_Track'!$F:$F&amp;'5) Release_Track'!$G:$G,1,0)),"NO ISRC-CATALOG ID pair MATCH in Release_Track" )</f>
        <v/>
      </c>
      <c r="E732" s="99"/>
      <c r="F732" s="99"/>
      <c r="G732" s="123" t="str">
        <f t="array" ref="G732">ifs(or($F732="",$F732="Main Primary Artist"),$F732,not(iserror(vlookup($F732,'Reference info'!$J$5:$J$8,1,0))),"Key Artist",not(iserror(vlookup($F732,'Reference info'!$J$38:$J$405,1,0))),"Performer",not(iserror(vlookup($F732,'Reference info'!$J$10:$J$36,1,0))),"Producer &amp; Engineer")</f>
        <v/>
      </c>
    </row>
    <row r="733">
      <c r="B733" s="103"/>
      <c r="C733" s="121" t="str">
        <f t="array" ref="C733">ifs(and(isblank($A733),isblank($B733)),"", not(iserror(vlookup($A733&amp;$B733,'5) Release_Track'!$F:$F&amp;'5) Release_Track'!$G:$G,1,0))),vlookup($A733&amp;$B733,{'5) Release_Track'!$F:$F&amp;'5) Release_Track'!$G:$G,'5) Release_Track'!$H:$H},2,0), or(and(not(isblank($B733)),$B733=$B732,$A733&lt;&gt;$A732),and(not(isblank($A733)),$A733=$A732,$B733&lt;&gt;$B732)),"ID LISTS UNALIGNED",and($A733&lt;&gt;"",countif('5) Release_Track'!$F:$F,$A733)=0),"NO ISRC MATCH in Release_Track",and($B733&lt;&gt;"",countif('5) Release_Track'!$G:$G,$B733)=0),"NO CATALOG ID MATCH in Release_Track",iserror(vlookup($A733&amp;$B733,'5) Release_Track'!$F:$F&amp;'5) Release_Track'!$G:$G,1,0)),"NO ISRC-CATALOG ID pair MATCH in Release_Track" )</f>
        <v/>
      </c>
      <c r="D733" s="121" t="str">
        <f t="array" ref="D733">ifs(and(isblank($A733),isblank($B733)),"", not(iserror(vlookup($A733&amp;$B733,'5) Release_Track'!$F:$F&amp;'5) Release_Track'!$G:$G,1,0))),vlookup($A733&amp;$B733,{'5) Release_Track'!$F:$F&amp;'5) Release_Track'!$G:$G,'5) Release_Track'!$I:$I},2,0), or(and(not(isblank($B733)),$B733=$B732,$A733&lt;&gt;$A732),and(not(isblank($A733)),$A733=$A732,$B733&lt;&gt;$B732)),"ID LISTS UNALIGNED",and($A733&lt;&gt;"",countif('5) Release_Track'!$F:$F,$A733)=0),"NO ISRC MATCH in Release_Track",and($B733&lt;&gt;"",countif('5) Release_Track'!$G:$G,$B733)=0),"NO CATALOG ID MATCH in Release_Track",iserror(vlookup($A733&amp;$B733,'5) Release_Track'!$F:$F&amp;'5) Release_Track'!$G:$G,1,0)),"NO ISRC-CATALOG ID pair MATCH in Release_Track" )</f>
        <v/>
      </c>
      <c r="E733" s="99"/>
      <c r="F733" s="99"/>
      <c r="G733" s="123" t="str">
        <f t="array" ref="G733">ifs(or($F733="",$F733="Main Primary Artist"),$F733,not(iserror(vlookup($F733,'Reference info'!$J$5:$J$8,1,0))),"Key Artist",not(iserror(vlookup($F733,'Reference info'!$J$38:$J$405,1,0))),"Performer",not(iserror(vlookup($F733,'Reference info'!$J$10:$J$36,1,0))),"Producer &amp; Engineer")</f>
        <v/>
      </c>
    </row>
    <row r="734">
      <c r="B734" s="103"/>
      <c r="C734" s="121" t="str">
        <f t="array" ref="C734">ifs(and(isblank($A734),isblank($B734)),"", not(iserror(vlookup($A734&amp;$B734,'5) Release_Track'!$F:$F&amp;'5) Release_Track'!$G:$G,1,0))),vlookup($A734&amp;$B734,{'5) Release_Track'!$F:$F&amp;'5) Release_Track'!$G:$G,'5) Release_Track'!$H:$H},2,0), or(and(not(isblank($B734)),$B734=$B733,$A734&lt;&gt;$A733),and(not(isblank($A734)),$A734=$A733,$B734&lt;&gt;$B733)),"ID LISTS UNALIGNED",and($A734&lt;&gt;"",countif('5) Release_Track'!$F:$F,$A734)=0),"NO ISRC MATCH in Release_Track",and($B734&lt;&gt;"",countif('5) Release_Track'!$G:$G,$B734)=0),"NO CATALOG ID MATCH in Release_Track",iserror(vlookup($A734&amp;$B734,'5) Release_Track'!$F:$F&amp;'5) Release_Track'!$G:$G,1,0)),"NO ISRC-CATALOG ID pair MATCH in Release_Track" )</f>
        <v/>
      </c>
      <c r="D734" s="121" t="str">
        <f t="array" ref="D734">ifs(and(isblank($A734),isblank($B734)),"", not(iserror(vlookup($A734&amp;$B734,'5) Release_Track'!$F:$F&amp;'5) Release_Track'!$G:$G,1,0))),vlookup($A734&amp;$B734,{'5) Release_Track'!$F:$F&amp;'5) Release_Track'!$G:$G,'5) Release_Track'!$I:$I},2,0), or(and(not(isblank($B734)),$B734=$B733,$A734&lt;&gt;$A733),and(not(isblank($A734)),$A734=$A733,$B734&lt;&gt;$B733)),"ID LISTS UNALIGNED",and($A734&lt;&gt;"",countif('5) Release_Track'!$F:$F,$A734)=0),"NO ISRC MATCH in Release_Track",and($B734&lt;&gt;"",countif('5) Release_Track'!$G:$G,$B734)=0),"NO CATALOG ID MATCH in Release_Track",iserror(vlookup($A734&amp;$B734,'5) Release_Track'!$F:$F&amp;'5) Release_Track'!$G:$G,1,0)),"NO ISRC-CATALOG ID pair MATCH in Release_Track" )</f>
        <v/>
      </c>
      <c r="E734" s="99"/>
      <c r="F734" s="99"/>
      <c r="G734" s="123" t="str">
        <f t="array" ref="G734">ifs(or($F734="",$F734="Main Primary Artist"),$F734,not(iserror(vlookup($F734,'Reference info'!$J$5:$J$8,1,0))),"Key Artist",not(iserror(vlookup($F734,'Reference info'!$J$38:$J$405,1,0))),"Performer",not(iserror(vlookup($F734,'Reference info'!$J$10:$J$36,1,0))),"Producer &amp; Engineer")</f>
        <v/>
      </c>
    </row>
    <row r="735">
      <c r="B735" s="103"/>
      <c r="C735" s="121" t="str">
        <f t="array" ref="C735">ifs(and(isblank($A735),isblank($B735)),"", not(iserror(vlookup($A735&amp;$B735,'5) Release_Track'!$F:$F&amp;'5) Release_Track'!$G:$G,1,0))),vlookup($A735&amp;$B735,{'5) Release_Track'!$F:$F&amp;'5) Release_Track'!$G:$G,'5) Release_Track'!$H:$H},2,0), or(and(not(isblank($B735)),$B735=$B734,$A735&lt;&gt;$A734),and(not(isblank($A735)),$A735=$A734,$B735&lt;&gt;$B734)),"ID LISTS UNALIGNED",and($A735&lt;&gt;"",countif('5) Release_Track'!$F:$F,$A735)=0),"NO ISRC MATCH in Release_Track",and($B735&lt;&gt;"",countif('5) Release_Track'!$G:$G,$B735)=0),"NO CATALOG ID MATCH in Release_Track",iserror(vlookup($A735&amp;$B735,'5) Release_Track'!$F:$F&amp;'5) Release_Track'!$G:$G,1,0)),"NO ISRC-CATALOG ID pair MATCH in Release_Track" )</f>
        <v/>
      </c>
      <c r="D735" s="121" t="str">
        <f t="array" ref="D735">ifs(and(isblank($A735),isblank($B735)),"", not(iserror(vlookup($A735&amp;$B735,'5) Release_Track'!$F:$F&amp;'5) Release_Track'!$G:$G,1,0))),vlookup($A735&amp;$B735,{'5) Release_Track'!$F:$F&amp;'5) Release_Track'!$G:$G,'5) Release_Track'!$I:$I},2,0), or(and(not(isblank($B735)),$B735=$B734,$A735&lt;&gt;$A734),and(not(isblank($A735)),$A735=$A734,$B735&lt;&gt;$B734)),"ID LISTS UNALIGNED",and($A735&lt;&gt;"",countif('5) Release_Track'!$F:$F,$A735)=0),"NO ISRC MATCH in Release_Track",and($B735&lt;&gt;"",countif('5) Release_Track'!$G:$G,$B735)=0),"NO CATALOG ID MATCH in Release_Track",iserror(vlookup($A735&amp;$B735,'5) Release_Track'!$F:$F&amp;'5) Release_Track'!$G:$G,1,0)),"NO ISRC-CATALOG ID pair MATCH in Release_Track" )</f>
        <v/>
      </c>
      <c r="E735" s="99"/>
      <c r="F735" s="99"/>
      <c r="G735" s="123" t="str">
        <f t="array" ref="G735">ifs(or($F735="",$F735="Main Primary Artist"),$F735,not(iserror(vlookup($F735,'Reference info'!$J$5:$J$8,1,0))),"Key Artist",not(iserror(vlookup($F735,'Reference info'!$J$38:$J$405,1,0))),"Performer",not(iserror(vlookup($F735,'Reference info'!$J$10:$J$36,1,0))),"Producer &amp; Engineer")</f>
        <v/>
      </c>
    </row>
    <row r="736">
      <c r="B736" s="103"/>
      <c r="C736" s="121" t="str">
        <f t="array" ref="C736">ifs(and(isblank($A736),isblank($B736)),"", not(iserror(vlookup($A736&amp;$B736,'5) Release_Track'!$F:$F&amp;'5) Release_Track'!$G:$G,1,0))),vlookup($A736&amp;$B736,{'5) Release_Track'!$F:$F&amp;'5) Release_Track'!$G:$G,'5) Release_Track'!$H:$H},2,0), or(and(not(isblank($B736)),$B736=$B735,$A736&lt;&gt;$A735),and(not(isblank($A736)),$A736=$A735,$B736&lt;&gt;$B735)),"ID LISTS UNALIGNED",and($A736&lt;&gt;"",countif('5) Release_Track'!$F:$F,$A736)=0),"NO ISRC MATCH in Release_Track",and($B736&lt;&gt;"",countif('5) Release_Track'!$G:$G,$B736)=0),"NO CATALOG ID MATCH in Release_Track",iserror(vlookup($A736&amp;$B736,'5) Release_Track'!$F:$F&amp;'5) Release_Track'!$G:$G,1,0)),"NO ISRC-CATALOG ID pair MATCH in Release_Track" )</f>
        <v/>
      </c>
      <c r="D736" s="121" t="str">
        <f t="array" ref="D736">ifs(and(isblank($A736),isblank($B736)),"", not(iserror(vlookup($A736&amp;$B736,'5) Release_Track'!$F:$F&amp;'5) Release_Track'!$G:$G,1,0))),vlookup($A736&amp;$B736,{'5) Release_Track'!$F:$F&amp;'5) Release_Track'!$G:$G,'5) Release_Track'!$I:$I},2,0), or(and(not(isblank($B736)),$B736=$B735,$A736&lt;&gt;$A735),and(not(isblank($A736)),$A736=$A735,$B736&lt;&gt;$B735)),"ID LISTS UNALIGNED",and($A736&lt;&gt;"",countif('5) Release_Track'!$F:$F,$A736)=0),"NO ISRC MATCH in Release_Track",and($B736&lt;&gt;"",countif('5) Release_Track'!$G:$G,$B736)=0),"NO CATALOG ID MATCH in Release_Track",iserror(vlookup($A736&amp;$B736,'5) Release_Track'!$F:$F&amp;'5) Release_Track'!$G:$G,1,0)),"NO ISRC-CATALOG ID pair MATCH in Release_Track" )</f>
        <v/>
      </c>
      <c r="E736" s="99"/>
      <c r="F736" s="99"/>
      <c r="G736" s="123" t="str">
        <f t="array" ref="G736">ifs(or($F736="",$F736="Main Primary Artist"),$F736,not(iserror(vlookup($F736,'Reference info'!$J$5:$J$8,1,0))),"Key Artist",not(iserror(vlookup($F736,'Reference info'!$J$38:$J$405,1,0))),"Performer",not(iserror(vlookup($F736,'Reference info'!$J$10:$J$36,1,0))),"Producer &amp; Engineer")</f>
        <v/>
      </c>
    </row>
    <row r="737">
      <c r="B737" s="103"/>
      <c r="C737" s="121" t="str">
        <f t="array" ref="C737">ifs(and(isblank($A737),isblank($B737)),"", not(iserror(vlookup($A737&amp;$B737,'5) Release_Track'!$F:$F&amp;'5) Release_Track'!$G:$G,1,0))),vlookup($A737&amp;$B737,{'5) Release_Track'!$F:$F&amp;'5) Release_Track'!$G:$G,'5) Release_Track'!$H:$H},2,0), or(and(not(isblank($B737)),$B737=$B736,$A737&lt;&gt;$A736),and(not(isblank($A737)),$A737=$A736,$B737&lt;&gt;$B736)),"ID LISTS UNALIGNED",and($A737&lt;&gt;"",countif('5) Release_Track'!$F:$F,$A737)=0),"NO ISRC MATCH in Release_Track",and($B737&lt;&gt;"",countif('5) Release_Track'!$G:$G,$B737)=0),"NO CATALOG ID MATCH in Release_Track",iserror(vlookup($A737&amp;$B737,'5) Release_Track'!$F:$F&amp;'5) Release_Track'!$G:$G,1,0)),"NO ISRC-CATALOG ID pair MATCH in Release_Track" )</f>
        <v/>
      </c>
      <c r="D737" s="121" t="str">
        <f t="array" ref="D737">ifs(and(isblank($A737),isblank($B737)),"", not(iserror(vlookup($A737&amp;$B737,'5) Release_Track'!$F:$F&amp;'5) Release_Track'!$G:$G,1,0))),vlookup($A737&amp;$B737,{'5) Release_Track'!$F:$F&amp;'5) Release_Track'!$G:$G,'5) Release_Track'!$I:$I},2,0), or(and(not(isblank($B737)),$B737=$B736,$A737&lt;&gt;$A736),and(not(isblank($A737)),$A737=$A736,$B737&lt;&gt;$B736)),"ID LISTS UNALIGNED",and($A737&lt;&gt;"",countif('5) Release_Track'!$F:$F,$A737)=0),"NO ISRC MATCH in Release_Track",and($B737&lt;&gt;"",countif('5) Release_Track'!$G:$G,$B737)=0),"NO CATALOG ID MATCH in Release_Track",iserror(vlookup($A737&amp;$B737,'5) Release_Track'!$F:$F&amp;'5) Release_Track'!$G:$G,1,0)),"NO ISRC-CATALOG ID pair MATCH in Release_Track" )</f>
        <v/>
      </c>
      <c r="E737" s="99"/>
      <c r="F737" s="99"/>
      <c r="G737" s="123" t="str">
        <f t="array" ref="G737">ifs(or($F737="",$F737="Main Primary Artist"),$F737,not(iserror(vlookup($F737,'Reference info'!$J$5:$J$8,1,0))),"Key Artist",not(iserror(vlookup($F737,'Reference info'!$J$38:$J$405,1,0))),"Performer",not(iserror(vlookup($F737,'Reference info'!$J$10:$J$36,1,0))),"Producer &amp; Engineer")</f>
        <v/>
      </c>
    </row>
    <row r="738">
      <c r="B738" s="103"/>
      <c r="C738" s="121" t="str">
        <f t="array" ref="C738">ifs(and(isblank($A738),isblank($B738)),"", not(iserror(vlookup($A738&amp;$B738,'5) Release_Track'!$F:$F&amp;'5) Release_Track'!$G:$G,1,0))),vlookup($A738&amp;$B738,{'5) Release_Track'!$F:$F&amp;'5) Release_Track'!$G:$G,'5) Release_Track'!$H:$H},2,0), or(and(not(isblank($B738)),$B738=$B737,$A738&lt;&gt;$A737),and(not(isblank($A738)),$A738=$A737,$B738&lt;&gt;$B737)),"ID LISTS UNALIGNED",and($A738&lt;&gt;"",countif('5) Release_Track'!$F:$F,$A738)=0),"NO ISRC MATCH in Release_Track",and($B738&lt;&gt;"",countif('5) Release_Track'!$G:$G,$B738)=0),"NO CATALOG ID MATCH in Release_Track",iserror(vlookup($A738&amp;$B738,'5) Release_Track'!$F:$F&amp;'5) Release_Track'!$G:$G,1,0)),"NO ISRC-CATALOG ID pair MATCH in Release_Track" )</f>
        <v/>
      </c>
      <c r="D738" s="121" t="str">
        <f t="array" ref="D738">ifs(and(isblank($A738),isblank($B738)),"", not(iserror(vlookup($A738&amp;$B738,'5) Release_Track'!$F:$F&amp;'5) Release_Track'!$G:$G,1,0))),vlookup($A738&amp;$B738,{'5) Release_Track'!$F:$F&amp;'5) Release_Track'!$G:$G,'5) Release_Track'!$I:$I},2,0), or(and(not(isblank($B738)),$B738=$B737,$A738&lt;&gt;$A737),and(not(isblank($A738)),$A738=$A737,$B738&lt;&gt;$B737)),"ID LISTS UNALIGNED",and($A738&lt;&gt;"",countif('5) Release_Track'!$F:$F,$A738)=0),"NO ISRC MATCH in Release_Track",and($B738&lt;&gt;"",countif('5) Release_Track'!$G:$G,$B738)=0),"NO CATALOG ID MATCH in Release_Track",iserror(vlookup($A738&amp;$B738,'5) Release_Track'!$F:$F&amp;'5) Release_Track'!$G:$G,1,0)),"NO ISRC-CATALOG ID pair MATCH in Release_Track" )</f>
        <v/>
      </c>
      <c r="E738" s="99"/>
      <c r="F738" s="99"/>
      <c r="G738" s="123" t="str">
        <f t="array" ref="G738">ifs(or($F738="",$F738="Main Primary Artist"),$F738,not(iserror(vlookup($F738,'Reference info'!$J$5:$J$8,1,0))),"Key Artist",not(iserror(vlookup($F738,'Reference info'!$J$38:$J$405,1,0))),"Performer",not(iserror(vlookup($F738,'Reference info'!$J$10:$J$36,1,0))),"Producer &amp; Engineer")</f>
        <v/>
      </c>
    </row>
    <row r="739">
      <c r="B739" s="103"/>
      <c r="C739" s="121" t="str">
        <f t="array" ref="C739">ifs(and(isblank($A739),isblank($B739)),"", not(iserror(vlookup($A739&amp;$B739,'5) Release_Track'!$F:$F&amp;'5) Release_Track'!$G:$G,1,0))),vlookup($A739&amp;$B739,{'5) Release_Track'!$F:$F&amp;'5) Release_Track'!$G:$G,'5) Release_Track'!$H:$H},2,0), or(and(not(isblank($B739)),$B739=$B738,$A739&lt;&gt;$A738),and(not(isblank($A739)),$A739=$A738,$B739&lt;&gt;$B738)),"ID LISTS UNALIGNED",and($A739&lt;&gt;"",countif('5) Release_Track'!$F:$F,$A739)=0),"NO ISRC MATCH in Release_Track",and($B739&lt;&gt;"",countif('5) Release_Track'!$G:$G,$B739)=0),"NO CATALOG ID MATCH in Release_Track",iserror(vlookup($A739&amp;$B739,'5) Release_Track'!$F:$F&amp;'5) Release_Track'!$G:$G,1,0)),"NO ISRC-CATALOG ID pair MATCH in Release_Track" )</f>
        <v/>
      </c>
      <c r="D739" s="121" t="str">
        <f t="array" ref="D739">ifs(and(isblank($A739),isblank($B739)),"", not(iserror(vlookup($A739&amp;$B739,'5) Release_Track'!$F:$F&amp;'5) Release_Track'!$G:$G,1,0))),vlookup($A739&amp;$B739,{'5) Release_Track'!$F:$F&amp;'5) Release_Track'!$G:$G,'5) Release_Track'!$I:$I},2,0), or(and(not(isblank($B739)),$B739=$B738,$A739&lt;&gt;$A738),and(not(isblank($A739)),$A739=$A738,$B739&lt;&gt;$B738)),"ID LISTS UNALIGNED",and($A739&lt;&gt;"",countif('5) Release_Track'!$F:$F,$A739)=0),"NO ISRC MATCH in Release_Track",and($B739&lt;&gt;"",countif('5) Release_Track'!$G:$G,$B739)=0),"NO CATALOG ID MATCH in Release_Track",iserror(vlookup($A739&amp;$B739,'5) Release_Track'!$F:$F&amp;'5) Release_Track'!$G:$G,1,0)),"NO ISRC-CATALOG ID pair MATCH in Release_Track" )</f>
        <v/>
      </c>
      <c r="E739" s="99"/>
      <c r="F739" s="99"/>
      <c r="G739" s="123" t="str">
        <f t="array" ref="G739">ifs(or($F739="",$F739="Main Primary Artist"),$F739,not(iserror(vlookup($F739,'Reference info'!$J$5:$J$8,1,0))),"Key Artist",not(iserror(vlookup($F739,'Reference info'!$J$38:$J$405,1,0))),"Performer",not(iserror(vlookup($F739,'Reference info'!$J$10:$J$36,1,0))),"Producer &amp; Engineer")</f>
        <v/>
      </c>
    </row>
    <row r="740">
      <c r="B740" s="103"/>
      <c r="C740" s="121" t="str">
        <f t="array" ref="C740">ifs(and(isblank($A740),isblank($B740)),"", not(iserror(vlookup($A740&amp;$B740,'5) Release_Track'!$F:$F&amp;'5) Release_Track'!$G:$G,1,0))),vlookup($A740&amp;$B740,{'5) Release_Track'!$F:$F&amp;'5) Release_Track'!$G:$G,'5) Release_Track'!$H:$H},2,0), or(and(not(isblank($B740)),$B740=$B739,$A740&lt;&gt;$A739),and(not(isblank($A740)),$A740=$A739,$B740&lt;&gt;$B739)),"ID LISTS UNALIGNED",and($A740&lt;&gt;"",countif('5) Release_Track'!$F:$F,$A740)=0),"NO ISRC MATCH in Release_Track",and($B740&lt;&gt;"",countif('5) Release_Track'!$G:$G,$B740)=0),"NO CATALOG ID MATCH in Release_Track",iserror(vlookup($A740&amp;$B740,'5) Release_Track'!$F:$F&amp;'5) Release_Track'!$G:$G,1,0)),"NO ISRC-CATALOG ID pair MATCH in Release_Track" )</f>
        <v/>
      </c>
      <c r="D740" s="121" t="str">
        <f t="array" ref="D740">ifs(and(isblank($A740),isblank($B740)),"", not(iserror(vlookup($A740&amp;$B740,'5) Release_Track'!$F:$F&amp;'5) Release_Track'!$G:$G,1,0))),vlookup($A740&amp;$B740,{'5) Release_Track'!$F:$F&amp;'5) Release_Track'!$G:$G,'5) Release_Track'!$I:$I},2,0), or(and(not(isblank($B740)),$B740=$B739,$A740&lt;&gt;$A739),and(not(isblank($A740)),$A740=$A739,$B740&lt;&gt;$B739)),"ID LISTS UNALIGNED",and($A740&lt;&gt;"",countif('5) Release_Track'!$F:$F,$A740)=0),"NO ISRC MATCH in Release_Track",and($B740&lt;&gt;"",countif('5) Release_Track'!$G:$G,$B740)=0),"NO CATALOG ID MATCH in Release_Track",iserror(vlookup($A740&amp;$B740,'5) Release_Track'!$F:$F&amp;'5) Release_Track'!$G:$G,1,0)),"NO ISRC-CATALOG ID pair MATCH in Release_Track" )</f>
        <v/>
      </c>
      <c r="E740" s="99"/>
      <c r="F740" s="99"/>
      <c r="G740" s="123" t="str">
        <f t="array" ref="G740">ifs(or($F740="",$F740="Main Primary Artist"),$F740,not(iserror(vlookup($F740,'Reference info'!$J$5:$J$8,1,0))),"Key Artist",not(iserror(vlookup($F740,'Reference info'!$J$38:$J$405,1,0))),"Performer",not(iserror(vlookup($F740,'Reference info'!$J$10:$J$36,1,0))),"Producer &amp; Engineer")</f>
        <v/>
      </c>
    </row>
    <row r="741">
      <c r="B741" s="103"/>
      <c r="C741" s="121" t="str">
        <f t="array" ref="C741">ifs(and(isblank($A741),isblank($B741)),"", not(iserror(vlookup($A741&amp;$B741,'5) Release_Track'!$F:$F&amp;'5) Release_Track'!$G:$G,1,0))),vlookup($A741&amp;$B741,{'5) Release_Track'!$F:$F&amp;'5) Release_Track'!$G:$G,'5) Release_Track'!$H:$H},2,0), or(and(not(isblank($B741)),$B741=$B740,$A741&lt;&gt;$A740),and(not(isblank($A741)),$A741=$A740,$B741&lt;&gt;$B740)),"ID LISTS UNALIGNED",and($A741&lt;&gt;"",countif('5) Release_Track'!$F:$F,$A741)=0),"NO ISRC MATCH in Release_Track",and($B741&lt;&gt;"",countif('5) Release_Track'!$G:$G,$B741)=0),"NO CATALOG ID MATCH in Release_Track",iserror(vlookup($A741&amp;$B741,'5) Release_Track'!$F:$F&amp;'5) Release_Track'!$G:$G,1,0)),"NO ISRC-CATALOG ID pair MATCH in Release_Track" )</f>
        <v/>
      </c>
      <c r="D741" s="121" t="str">
        <f t="array" ref="D741">ifs(and(isblank($A741),isblank($B741)),"", not(iserror(vlookup($A741&amp;$B741,'5) Release_Track'!$F:$F&amp;'5) Release_Track'!$G:$G,1,0))),vlookup($A741&amp;$B741,{'5) Release_Track'!$F:$F&amp;'5) Release_Track'!$G:$G,'5) Release_Track'!$I:$I},2,0), or(and(not(isblank($B741)),$B741=$B740,$A741&lt;&gt;$A740),and(not(isblank($A741)),$A741=$A740,$B741&lt;&gt;$B740)),"ID LISTS UNALIGNED",and($A741&lt;&gt;"",countif('5) Release_Track'!$F:$F,$A741)=0),"NO ISRC MATCH in Release_Track",and($B741&lt;&gt;"",countif('5) Release_Track'!$G:$G,$B741)=0),"NO CATALOG ID MATCH in Release_Track",iserror(vlookup($A741&amp;$B741,'5) Release_Track'!$F:$F&amp;'5) Release_Track'!$G:$G,1,0)),"NO ISRC-CATALOG ID pair MATCH in Release_Track" )</f>
        <v/>
      </c>
      <c r="E741" s="99"/>
      <c r="F741" s="99"/>
      <c r="G741" s="123" t="str">
        <f t="array" ref="G741">ifs(or($F741="",$F741="Main Primary Artist"),$F741,not(iserror(vlookup($F741,'Reference info'!$J$5:$J$8,1,0))),"Key Artist",not(iserror(vlookup($F741,'Reference info'!$J$38:$J$405,1,0))),"Performer",not(iserror(vlookup($F741,'Reference info'!$J$10:$J$36,1,0))),"Producer &amp; Engineer")</f>
        <v/>
      </c>
    </row>
    <row r="742">
      <c r="B742" s="103"/>
      <c r="C742" s="121" t="str">
        <f t="array" ref="C742">ifs(and(isblank($A742),isblank($B742)),"", not(iserror(vlookup($A742&amp;$B742,'5) Release_Track'!$F:$F&amp;'5) Release_Track'!$G:$G,1,0))),vlookup($A742&amp;$B742,{'5) Release_Track'!$F:$F&amp;'5) Release_Track'!$G:$G,'5) Release_Track'!$H:$H},2,0), or(and(not(isblank($B742)),$B742=$B741,$A742&lt;&gt;$A741),and(not(isblank($A742)),$A742=$A741,$B742&lt;&gt;$B741)),"ID LISTS UNALIGNED",and($A742&lt;&gt;"",countif('5) Release_Track'!$F:$F,$A742)=0),"NO ISRC MATCH in Release_Track",and($B742&lt;&gt;"",countif('5) Release_Track'!$G:$G,$B742)=0),"NO CATALOG ID MATCH in Release_Track",iserror(vlookup($A742&amp;$B742,'5) Release_Track'!$F:$F&amp;'5) Release_Track'!$G:$G,1,0)),"NO ISRC-CATALOG ID pair MATCH in Release_Track" )</f>
        <v/>
      </c>
      <c r="D742" s="121" t="str">
        <f t="array" ref="D742">ifs(and(isblank($A742),isblank($B742)),"", not(iserror(vlookup($A742&amp;$B742,'5) Release_Track'!$F:$F&amp;'5) Release_Track'!$G:$G,1,0))),vlookup($A742&amp;$B742,{'5) Release_Track'!$F:$F&amp;'5) Release_Track'!$G:$G,'5) Release_Track'!$I:$I},2,0), or(and(not(isblank($B742)),$B742=$B741,$A742&lt;&gt;$A741),and(not(isblank($A742)),$A742=$A741,$B742&lt;&gt;$B741)),"ID LISTS UNALIGNED",and($A742&lt;&gt;"",countif('5) Release_Track'!$F:$F,$A742)=0),"NO ISRC MATCH in Release_Track",and($B742&lt;&gt;"",countif('5) Release_Track'!$G:$G,$B742)=0),"NO CATALOG ID MATCH in Release_Track",iserror(vlookup($A742&amp;$B742,'5) Release_Track'!$F:$F&amp;'5) Release_Track'!$G:$G,1,0)),"NO ISRC-CATALOG ID pair MATCH in Release_Track" )</f>
        <v/>
      </c>
      <c r="E742" s="99"/>
      <c r="F742" s="99"/>
      <c r="G742" s="123" t="str">
        <f t="array" ref="G742">ifs(or($F742="",$F742="Main Primary Artist"),$F742,not(iserror(vlookup($F742,'Reference info'!$J$5:$J$8,1,0))),"Key Artist",not(iserror(vlookup($F742,'Reference info'!$J$38:$J$405,1,0))),"Performer",not(iserror(vlookup($F742,'Reference info'!$J$10:$J$36,1,0))),"Producer &amp; Engineer")</f>
        <v/>
      </c>
    </row>
    <row r="743">
      <c r="B743" s="103"/>
      <c r="C743" s="121" t="str">
        <f t="array" ref="C743">ifs(and(isblank($A743),isblank($B743)),"", not(iserror(vlookup($A743&amp;$B743,'5) Release_Track'!$F:$F&amp;'5) Release_Track'!$G:$G,1,0))),vlookup($A743&amp;$B743,{'5) Release_Track'!$F:$F&amp;'5) Release_Track'!$G:$G,'5) Release_Track'!$H:$H},2,0), or(and(not(isblank($B743)),$B743=$B742,$A743&lt;&gt;$A742),and(not(isblank($A743)),$A743=$A742,$B743&lt;&gt;$B742)),"ID LISTS UNALIGNED",and($A743&lt;&gt;"",countif('5) Release_Track'!$F:$F,$A743)=0),"NO ISRC MATCH in Release_Track",and($B743&lt;&gt;"",countif('5) Release_Track'!$G:$G,$B743)=0),"NO CATALOG ID MATCH in Release_Track",iserror(vlookup($A743&amp;$B743,'5) Release_Track'!$F:$F&amp;'5) Release_Track'!$G:$G,1,0)),"NO ISRC-CATALOG ID pair MATCH in Release_Track" )</f>
        <v/>
      </c>
      <c r="D743" s="121" t="str">
        <f t="array" ref="D743">ifs(and(isblank($A743),isblank($B743)),"", not(iserror(vlookup($A743&amp;$B743,'5) Release_Track'!$F:$F&amp;'5) Release_Track'!$G:$G,1,0))),vlookup($A743&amp;$B743,{'5) Release_Track'!$F:$F&amp;'5) Release_Track'!$G:$G,'5) Release_Track'!$I:$I},2,0), or(and(not(isblank($B743)),$B743=$B742,$A743&lt;&gt;$A742),and(not(isblank($A743)),$A743=$A742,$B743&lt;&gt;$B742)),"ID LISTS UNALIGNED",and($A743&lt;&gt;"",countif('5) Release_Track'!$F:$F,$A743)=0),"NO ISRC MATCH in Release_Track",and($B743&lt;&gt;"",countif('5) Release_Track'!$G:$G,$B743)=0),"NO CATALOG ID MATCH in Release_Track",iserror(vlookup($A743&amp;$B743,'5) Release_Track'!$F:$F&amp;'5) Release_Track'!$G:$G,1,0)),"NO ISRC-CATALOG ID pair MATCH in Release_Track" )</f>
        <v/>
      </c>
      <c r="E743" s="99"/>
      <c r="F743" s="99"/>
      <c r="G743" s="123" t="str">
        <f t="array" ref="G743">ifs(or($F743="",$F743="Main Primary Artist"),$F743,not(iserror(vlookup($F743,'Reference info'!$J$5:$J$8,1,0))),"Key Artist",not(iserror(vlookup($F743,'Reference info'!$J$38:$J$405,1,0))),"Performer",not(iserror(vlookup($F743,'Reference info'!$J$10:$J$36,1,0))),"Producer &amp; Engineer")</f>
        <v/>
      </c>
    </row>
    <row r="744">
      <c r="B744" s="103"/>
      <c r="C744" s="121" t="str">
        <f t="array" ref="C744">ifs(and(isblank($A744),isblank($B744)),"", not(iserror(vlookup($A744&amp;$B744,'5) Release_Track'!$F:$F&amp;'5) Release_Track'!$G:$G,1,0))),vlookup($A744&amp;$B744,{'5) Release_Track'!$F:$F&amp;'5) Release_Track'!$G:$G,'5) Release_Track'!$H:$H},2,0), or(and(not(isblank($B744)),$B744=$B743,$A744&lt;&gt;$A743),and(not(isblank($A744)),$A744=$A743,$B744&lt;&gt;$B743)),"ID LISTS UNALIGNED",and($A744&lt;&gt;"",countif('5) Release_Track'!$F:$F,$A744)=0),"NO ISRC MATCH in Release_Track",and($B744&lt;&gt;"",countif('5) Release_Track'!$G:$G,$B744)=0),"NO CATALOG ID MATCH in Release_Track",iserror(vlookup($A744&amp;$B744,'5) Release_Track'!$F:$F&amp;'5) Release_Track'!$G:$G,1,0)),"NO ISRC-CATALOG ID pair MATCH in Release_Track" )</f>
        <v/>
      </c>
      <c r="D744" s="121" t="str">
        <f t="array" ref="D744">ifs(and(isblank($A744),isblank($B744)),"", not(iserror(vlookup($A744&amp;$B744,'5) Release_Track'!$F:$F&amp;'5) Release_Track'!$G:$G,1,0))),vlookup($A744&amp;$B744,{'5) Release_Track'!$F:$F&amp;'5) Release_Track'!$G:$G,'5) Release_Track'!$I:$I},2,0), or(and(not(isblank($B744)),$B744=$B743,$A744&lt;&gt;$A743),and(not(isblank($A744)),$A744=$A743,$B744&lt;&gt;$B743)),"ID LISTS UNALIGNED",and($A744&lt;&gt;"",countif('5) Release_Track'!$F:$F,$A744)=0),"NO ISRC MATCH in Release_Track",and($B744&lt;&gt;"",countif('5) Release_Track'!$G:$G,$B744)=0),"NO CATALOG ID MATCH in Release_Track",iserror(vlookup($A744&amp;$B744,'5) Release_Track'!$F:$F&amp;'5) Release_Track'!$G:$G,1,0)),"NO ISRC-CATALOG ID pair MATCH in Release_Track" )</f>
        <v/>
      </c>
      <c r="E744" s="99"/>
      <c r="F744" s="99"/>
      <c r="G744" s="123" t="str">
        <f t="array" ref="G744">ifs(or($F744="",$F744="Main Primary Artist"),$F744,not(iserror(vlookup($F744,'Reference info'!$J$5:$J$8,1,0))),"Key Artist",not(iserror(vlookup($F744,'Reference info'!$J$38:$J$405,1,0))),"Performer",not(iserror(vlookup($F744,'Reference info'!$J$10:$J$36,1,0))),"Producer &amp; Engineer")</f>
        <v/>
      </c>
    </row>
    <row r="745">
      <c r="B745" s="103"/>
      <c r="C745" s="121" t="str">
        <f t="array" ref="C745">ifs(and(isblank($A745),isblank($B745)),"", not(iserror(vlookup($A745&amp;$B745,'5) Release_Track'!$F:$F&amp;'5) Release_Track'!$G:$G,1,0))),vlookup($A745&amp;$B745,{'5) Release_Track'!$F:$F&amp;'5) Release_Track'!$G:$G,'5) Release_Track'!$H:$H},2,0), or(and(not(isblank($B745)),$B745=$B744,$A745&lt;&gt;$A744),and(not(isblank($A745)),$A745=$A744,$B745&lt;&gt;$B744)),"ID LISTS UNALIGNED",and($A745&lt;&gt;"",countif('5) Release_Track'!$F:$F,$A745)=0),"NO ISRC MATCH in Release_Track",and($B745&lt;&gt;"",countif('5) Release_Track'!$G:$G,$B745)=0),"NO CATALOG ID MATCH in Release_Track",iserror(vlookup($A745&amp;$B745,'5) Release_Track'!$F:$F&amp;'5) Release_Track'!$G:$G,1,0)),"NO ISRC-CATALOG ID pair MATCH in Release_Track" )</f>
        <v/>
      </c>
      <c r="D745" s="121" t="str">
        <f t="array" ref="D745">ifs(and(isblank($A745),isblank($B745)),"", not(iserror(vlookup($A745&amp;$B745,'5) Release_Track'!$F:$F&amp;'5) Release_Track'!$G:$G,1,0))),vlookup($A745&amp;$B745,{'5) Release_Track'!$F:$F&amp;'5) Release_Track'!$G:$G,'5) Release_Track'!$I:$I},2,0), or(and(not(isblank($B745)),$B745=$B744,$A745&lt;&gt;$A744),and(not(isblank($A745)),$A745=$A744,$B745&lt;&gt;$B744)),"ID LISTS UNALIGNED",and($A745&lt;&gt;"",countif('5) Release_Track'!$F:$F,$A745)=0),"NO ISRC MATCH in Release_Track",and($B745&lt;&gt;"",countif('5) Release_Track'!$G:$G,$B745)=0),"NO CATALOG ID MATCH in Release_Track",iserror(vlookup($A745&amp;$B745,'5) Release_Track'!$F:$F&amp;'5) Release_Track'!$G:$G,1,0)),"NO ISRC-CATALOG ID pair MATCH in Release_Track" )</f>
        <v/>
      </c>
      <c r="E745" s="99"/>
      <c r="F745" s="99"/>
      <c r="G745" s="123" t="str">
        <f t="array" ref="G745">ifs(or($F745="",$F745="Main Primary Artist"),$F745,not(iserror(vlookup($F745,'Reference info'!$J$5:$J$8,1,0))),"Key Artist",not(iserror(vlookup($F745,'Reference info'!$J$38:$J$405,1,0))),"Performer",not(iserror(vlookup($F745,'Reference info'!$J$10:$J$36,1,0))),"Producer &amp; Engineer")</f>
        <v/>
      </c>
    </row>
    <row r="746">
      <c r="B746" s="103"/>
      <c r="C746" s="121" t="str">
        <f t="array" ref="C746">ifs(and(isblank($A746),isblank($B746)),"", not(iserror(vlookup($A746&amp;$B746,'5) Release_Track'!$F:$F&amp;'5) Release_Track'!$G:$G,1,0))),vlookup($A746&amp;$B746,{'5) Release_Track'!$F:$F&amp;'5) Release_Track'!$G:$G,'5) Release_Track'!$H:$H},2,0), or(and(not(isblank($B746)),$B746=$B745,$A746&lt;&gt;$A745),and(not(isblank($A746)),$A746=$A745,$B746&lt;&gt;$B745)),"ID LISTS UNALIGNED",and($A746&lt;&gt;"",countif('5) Release_Track'!$F:$F,$A746)=0),"NO ISRC MATCH in Release_Track",and($B746&lt;&gt;"",countif('5) Release_Track'!$G:$G,$B746)=0),"NO CATALOG ID MATCH in Release_Track",iserror(vlookup($A746&amp;$B746,'5) Release_Track'!$F:$F&amp;'5) Release_Track'!$G:$G,1,0)),"NO ISRC-CATALOG ID pair MATCH in Release_Track" )</f>
        <v/>
      </c>
      <c r="D746" s="121" t="str">
        <f t="array" ref="D746">ifs(and(isblank($A746),isblank($B746)),"", not(iserror(vlookup($A746&amp;$B746,'5) Release_Track'!$F:$F&amp;'5) Release_Track'!$G:$G,1,0))),vlookup($A746&amp;$B746,{'5) Release_Track'!$F:$F&amp;'5) Release_Track'!$G:$G,'5) Release_Track'!$I:$I},2,0), or(and(not(isblank($B746)),$B746=$B745,$A746&lt;&gt;$A745),and(not(isblank($A746)),$A746=$A745,$B746&lt;&gt;$B745)),"ID LISTS UNALIGNED",and($A746&lt;&gt;"",countif('5) Release_Track'!$F:$F,$A746)=0),"NO ISRC MATCH in Release_Track",and($B746&lt;&gt;"",countif('5) Release_Track'!$G:$G,$B746)=0),"NO CATALOG ID MATCH in Release_Track",iserror(vlookup($A746&amp;$B746,'5) Release_Track'!$F:$F&amp;'5) Release_Track'!$G:$G,1,0)),"NO ISRC-CATALOG ID pair MATCH in Release_Track" )</f>
        <v/>
      </c>
      <c r="E746" s="99"/>
      <c r="F746" s="99"/>
      <c r="G746" s="123" t="str">
        <f t="array" ref="G746">ifs(or($F746="",$F746="Main Primary Artist"),$F746,not(iserror(vlookup($F746,'Reference info'!$J$5:$J$8,1,0))),"Key Artist",not(iserror(vlookup($F746,'Reference info'!$J$38:$J$405,1,0))),"Performer",not(iserror(vlookup($F746,'Reference info'!$J$10:$J$36,1,0))),"Producer &amp; Engineer")</f>
        <v/>
      </c>
    </row>
    <row r="747">
      <c r="B747" s="103"/>
      <c r="C747" s="121" t="str">
        <f t="array" ref="C747">ifs(and(isblank($A747),isblank($B747)),"", not(iserror(vlookup($A747&amp;$B747,'5) Release_Track'!$F:$F&amp;'5) Release_Track'!$G:$G,1,0))),vlookup($A747&amp;$B747,{'5) Release_Track'!$F:$F&amp;'5) Release_Track'!$G:$G,'5) Release_Track'!$H:$H},2,0), or(and(not(isblank($B747)),$B747=$B746,$A747&lt;&gt;$A746),and(not(isblank($A747)),$A747=$A746,$B747&lt;&gt;$B746)),"ID LISTS UNALIGNED",and($A747&lt;&gt;"",countif('5) Release_Track'!$F:$F,$A747)=0),"NO ISRC MATCH in Release_Track",and($B747&lt;&gt;"",countif('5) Release_Track'!$G:$G,$B747)=0),"NO CATALOG ID MATCH in Release_Track",iserror(vlookup($A747&amp;$B747,'5) Release_Track'!$F:$F&amp;'5) Release_Track'!$G:$G,1,0)),"NO ISRC-CATALOG ID pair MATCH in Release_Track" )</f>
        <v/>
      </c>
      <c r="D747" s="121" t="str">
        <f t="array" ref="D747">ifs(and(isblank($A747),isblank($B747)),"", not(iserror(vlookup($A747&amp;$B747,'5) Release_Track'!$F:$F&amp;'5) Release_Track'!$G:$G,1,0))),vlookup($A747&amp;$B747,{'5) Release_Track'!$F:$F&amp;'5) Release_Track'!$G:$G,'5) Release_Track'!$I:$I},2,0), or(and(not(isblank($B747)),$B747=$B746,$A747&lt;&gt;$A746),and(not(isblank($A747)),$A747=$A746,$B747&lt;&gt;$B746)),"ID LISTS UNALIGNED",and($A747&lt;&gt;"",countif('5) Release_Track'!$F:$F,$A747)=0),"NO ISRC MATCH in Release_Track",and($B747&lt;&gt;"",countif('5) Release_Track'!$G:$G,$B747)=0),"NO CATALOG ID MATCH in Release_Track",iserror(vlookup($A747&amp;$B747,'5) Release_Track'!$F:$F&amp;'5) Release_Track'!$G:$G,1,0)),"NO ISRC-CATALOG ID pair MATCH in Release_Track" )</f>
        <v/>
      </c>
      <c r="E747" s="99"/>
      <c r="F747" s="99"/>
      <c r="G747" s="123" t="str">
        <f t="array" ref="G747">ifs(or($F747="",$F747="Main Primary Artist"),$F747,not(iserror(vlookup($F747,'Reference info'!$J$5:$J$8,1,0))),"Key Artist",not(iserror(vlookup($F747,'Reference info'!$J$38:$J$405,1,0))),"Performer",not(iserror(vlookup($F747,'Reference info'!$J$10:$J$36,1,0))),"Producer &amp; Engineer")</f>
        <v/>
      </c>
    </row>
    <row r="748">
      <c r="B748" s="103"/>
      <c r="C748" s="121" t="str">
        <f t="array" ref="C748">ifs(and(isblank($A748),isblank($B748)),"", not(iserror(vlookup($A748&amp;$B748,'5) Release_Track'!$F:$F&amp;'5) Release_Track'!$G:$G,1,0))),vlookup($A748&amp;$B748,{'5) Release_Track'!$F:$F&amp;'5) Release_Track'!$G:$G,'5) Release_Track'!$H:$H},2,0), or(and(not(isblank($B748)),$B748=$B747,$A748&lt;&gt;$A747),and(not(isblank($A748)),$A748=$A747,$B748&lt;&gt;$B747)),"ID LISTS UNALIGNED",and($A748&lt;&gt;"",countif('5) Release_Track'!$F:$F,$A748)=0),"NO ISRC MATCH in Release_Track",and($B748&lt;&gt;"",countif('5) Release_Track'!$G:$G,$B748)=0),"NO CATALOG ID MATCH in Release_Track",iserror(vlookup($A748&amp;$B748,'5) Release_Track'!$F:$F&amp;'5) Release_Track'!$G:$G,1,0)),"NO ISRC-CATALOG ID pair MATCH in Release_Track" )</f>
        <v/>
      </c>
      <c r="D748" s="121" t="str">
        <f t="array" ref="D748">ifs(and(isblank($A748),isblank($B748)),"", not(iserror(vlookup($A748&amp;$B748,'5) Release_Track'!$F:$F&amp;'5) Release_Track'!$G:$G,1,0))),vlookup($A748&amp;$B748,{'5) Release_Track'!$F:$F&amp;'5) Release_Track'!$G:$G,'5) Release_Track'!$I:$I},2,0), or(and(not(isblank($B748)),$B748=$B747,$A748&lt;&gt;$A747),and(not(isblank($A748)),$A748=$A747,$B748&lt;&gt;$B747)),"ID LISTS UNALIGNED",and($A748&lt;&gt;"",countif('5) Release_Track'!$F:$F,$A748)=0),"NO ISRC MATCH in Release_Track",and($B748&lt;&gt;"",countif('5) Release_Track'!$G:$G,$B748)=0),"NO CATALOG ID MATCH in Release_Track",iserror(vlookup($A748&amp;$B748,'5) Release_Track'!$F:$F&amp;'5) Release_Track'!$G:$G,1,0)),"NO ISRC-CATALOG ID pair MATCH in Release_Track" )</f>
        <v/>
      </c>
      <c r="E748" s="99"/>
      <c r="F748" s="99"/>
      <c r="G748" s="123" t="str">
        <f t="array" ref="G748">ifs(or($F748="",$F748="Main Primary Artist"),$F748,not(iserror(vlookup($F748,'Reference info'!$J$5:$J$8,1,0))),"Key Artist",not(iserror(vlookup($F748,'Reference info'!$J$38:$J$405,1,0))),"Performer",not(iserror(vlookup($F748,'Reference info'!$J$10:$J$36,1,0))),"Producer &amp; Engineer")</f>
        <v/>
      </c>
    </row>
    <row r="749">
      <c r="B749" s="103"/>
      <c r="C749" s="121" t="str">
        <f t="array" ref="C749">ifs(and(isblank($A749),isblank($B749)),"", not(iserror(vlookup($A749&amp;$B749,'5) Release_Track'!$F:$F&amp;'5) Release_Track'!$G:$G,1,0))),vlookup($A749&amp;$B749,{'5) Release_Track'!$F:$F&amp;'5) Release_Track'!$G:$G,'5) Release_Track'!$H:$H},2,0), or(and(not(isblank($B749)),$B749=$B748,$A749&lt;&gt;$A748),and(not(isblank($A749)),$A749=$A748,$B749&lt;&gt;$B748)),"ID LISTS UNALIGNED",and($A749&lt;&gt;"",countif('5) Release_Track'!$F:$F,$A749)=0),"NO ISRC MATCH in Release_Track",and($B749&lt;&gt;"",countif('5) Release_Track'!$G:$G,$B749)=0),"NO CATALOG ID MATCH in Release_Track",iserror(vlookup($A749&amp;$B749,'5) Release_Track'!$F:$F&amp;'5) Release_Track'!$G:$G,1,0)),"NO ISRC-CATALOG ID pair MATCH in Release_Track" )</f>
        <v/>
      </c>
      <c r="D749" s="121" t="str">
        <f t="array" ref="D749">ifs(and(isblank($A749),isblank($B749)),"", not(iserror(vlookup($A749&amp;$B749,'5) Release_Track'!$F:$F&amp;'5) Release_Track'!$G:$G,1,0))),vlookup($A749&amp;$B749,{'5) Release_Track'!$F:$F&amp;'5) Release_Track'!$G:$G,'5) Release_Track'!$I:$I},2,0), or(and(not(isblank($B749)),$B749=$B748,$A749&lt;&gt;$A748),and(not(isblank($A749)),$A749=$A748,$B749&lt;&gt;$B748)),"ID LISTS UNALIGNED",and($A749&lt;&gt;"",countif('5) Release_Track'!$F:$F,$A749)=0),"NO ISRC MATCH in Release_Track",and($B749&lt;&gt;"",countif('5) Release_Track'!$G:$G,$B749)=0),"NO CATALOG ID MATCH in Release_Track",iserror(vlookup($A749&amp;$B749,'5) Release_Track'!$F:$F&amp;'5) Release_Track'!$G:$G,1,0)),"NO ISRC-CATALOG ID pair MATCH in Release_Track" )</f>
        <v/>
      </c>
      <c r="E749" s="99"/>
      <c r="F749" s="99"/>
      <c r="G749" s="123" t="str">
        <f t="array" ref="G749">ifs(or($F749="",$F749="Main Primary Artist"),$F749,not(iserror(vlookup($F749,'Reference info'!$J$5:$J$8,1,0))),"Key Artist",not(iserror(vlookup($F749,'Reference info'!$J$38:$J$405,1,0))),"Performer",not(iserror(vlookup($F749,'Reference info'!$J$10:$J$36,1,0))),"Producer &amp; Engineer")</f>
        <v/>
      </c>
    </row>
    <row r="750">
      <c r="B750" s="103"/>
      <c r="C750" s="121" t="str">
        <f t="array" ref="C750">ifs(and(isblank($A750),isblank($B750)),"", not(iserror(vlookup($A750&amp;$B750,'5) Release_Track'!$F:$F&amp;'5) Release_Track'!$G:$G,1,0))),vlookup($A750&amp;$B750,{'5) Release_Track'!$F:$F&amp;'5) Release_Track'!$G:$G,'5) Release_Track'!$H:$H},2,0), or(and(not(isblank($B750)),$B750=$B749,$A750&lt;&gt;$A749),and(not(isblank($A750)),$A750=$A749,$B750&lt;&gt;$B749)),"ID LISTS UNALIGNED",and($A750&lt;&gt;"",countif('5) Release_Track'!$F:$F,$A750)=0),"NO ISRC MATCH in Release_Track",and($B750&lt;&gt;"",countif('5) Release_Track'!$G:$G,$B750)=0),"NO CATALOG ID MATCH in Release_Track",iserror(vlookup($A750&amp;$B750,'5) Release_Track'!$F:$F&amp;'5) Release_Track'!$G:$G,1,0)),"NO ISRC-CATALOG ID pair MATCH in Release_Track" )</f>
        <v/>
      </c>
      <c r="D750" s="121" t="str">
        <f t="array" ref="D750">ifs(and(isblank($A750),isblank($B750)),"", not(iserror(vlookup($A750&amp;$B750,'5) Release_Track'!$F:$F&amp;'5) Release_Track'!$G:$G,1,0))),vlookup($A750&amp;$B750,{'5) Release_Track'!$F:$F&amp;'5) Release_Track'!$G:$G,'5) Release_Track'!$I:$I},2,0), or(and(not(isblank($B750)),$B750=$B749,$A750&lt;&gt;$A749),and(not(isblank($A750)),$A750=$A749,$B750&lt;&gt;$B749)),"ID LISTS UNALIGNED",and($A750&lt;&gt;"",countif('5) Release_Track'!$F:$F,$A750)=0),"NO ISRC MATCH in Release_Track",and($B750&lt;&gt;"",countif('5) Release_Track'!$G:$G,$B750)=0),"NO CATALOG ID MATCH in Release_Track",iserror(vlookup($A750&amp;$B750,'5) Release_Track'!$F:$F&amp;'5) Release_Track'!$G:$G,1,0)),"NO ISRC-CATALOG ID pair MATCH in Release_Track" )</f>
        <v/>
      </c>
      <c r="E750" s="99"/>
      <c r="F750" s="99"/>
      <c r="G750" s="123" t="str">
        <f t="array" ref="G750">ifs(or($F750="",$F750="Main Primary Artist"),$F750,not(iserror(vlookup($F750,'Reference info'!$J$5:$J$8,1,0))),"Key Artist",not(iserror(vlookup($F750,'Reference info'!$J$38:$J$405,1,0))),"Performer",not(iserror(vlookup($F750,'Reference info'!$J$10:$J$36,1,0))),"Producer &amp; Engineer")</f>
        <v/>
      </c>
    </row>
    <row r="751">
      <c r="B751" s="103"/>
      <c r="C751" s="121" t="str">
        <f t="array" ref="C751">ifs(and(isblank($A751),isblank($B751)),"", not(iserror(vlookup($A751&amp;$B751,'5) Release_Track'!$F:$F&amp;'5) Release_Track'!$G:$G,1,0))),vlookup($A751&amp;$B751,{'5) Release_Track'!$F:$F&amp;'5) Release_Track'!$G:$G,'5) Release_Track'!$H:$H},2,0), or(and(not(isblank($B751)),$B751=$B750,$A751&lt;&gt;$A750),and(not(isblank($A751)),$A751=$A750,$B751&lt;&gt;$B750)),"ID LISTS UNALIGNED",and($A751&lt;&gt;"",countif('5) Release_Track'!$F:$F,$A751)=0),"NO ISRC MATCH in Release_Track",and($B751&lt;&gt;"",countif('5) Release_Track'!$G:$G,$B751)=0),"NO CATALOG ID MATCH in Release_Track",iserror(vlookup($A751&amp;$B751,'5) Release_Track'!$F:$F&amp;'5) Release_Track'!$G:$G,1,0)),"NO ISRC-CATALOG ID pair MATCH in Release_Track" )</f>
        <v/>
      </c>
      <c r="D751" s="121" t="str">
        <f t="array" ref="D751">ifs(and(isblank($A751),isblank($B751)),"", not(iserror(vlookup($A751&amp;$B751,'5) Release_Track'!$F:$F&amp;'5) Release_Track'!$G:$G,1,0))),vlookup($A751&amp;$B751,{'5) Release_Track'!$F:$F&amp;'5) Release_Track'!$G:$G,'5) Release_Track'!$I:$I},2,0), or(and(not(isblank($B751)),$B751=$B750,$A751&lt;&gt;$A750),and(not(isblank($A751)),$A751=$A750,$B751&lt;&gt;$B750)),"ID LISTS UNALIGNED",and($A751&lt;&gt;"",countif('5) Release_Track'!$F:$F,$A751)=0),"NO ISRC MATCH in Release_Track",and($B751&lt;&gt;"",countif('5) Release_Track'!$G:$G,$B751)=0),"NO CATALOG ID MATCH in Release_Track",iserror(vlookup($A751&amp;$B751,'5) Release_Track'!$F:$F&amp;'5) Release_Track'!$G:$G,1,0)),"NO ISRC-CATALOG ID pair MATCH in Release_Track" )</f>
        <v/>
      </c>
      <c r="E751" s="99"/>
      <c r="F751" s="99"/>
      <c r="G751" s="123" t="str">
        <f t="array" ref="G751">ifs(or($F751="",$F751="Main Primary Artist"),$F751,not(iserror(vlookup($F751,'Reference info'!$J$5:$J$8,1,0))),"Key Artist",not(iserror(vlookup($F751,'Reference info'!$J$38:$J$405,1,0))),"Performer",not(iserror(vlookup($F751,'Reference info'!$J$10:$J$36,1,0))),"Producer &amp; Engineer")</f>
        <v/>
      </c>
    </row>
    <row r="752">
      <c r="B752" s="103"/>
      <c r="C752" s="121" t="str">
        <f t="array" ref="C752">ifs(and(isblank($A752),isblank($B752)),"", not(iserror(vlookup($A752&amp;$B752,'5) Release_Track'!$F:$F&amp;'5) Release_Track'!$G:$G,1,0))),vlookup($A752&amp;$B752,{'5) Release_Track'!$F:$F&amp;'5) Release_Track'!$G:$G,'5) Release_Track'!$H:$H},2,0), or(and(not(isblank($B752)),$B752=$B751,$A752&lt;&gt;$A751),and(not(isblank($A752)),$A752=$A751,$B752&lt;&gt;$B751)),"ID LISTS UNALIGNED",and($A752&lt;&gt;"",countif('5) Release_Track'!$F:$F,$A752)=0),"NO ISRC MATCH in Release_Track",and($B752&lt;&gt;"",countif('5) Release_Track'!$G:$G,$B752)=0),"NO CATALOG ID MATCH in Release_Track",iserror(vlookup($A752&amp;$B752,'5) Release_Track'!$F:$F&amp;'5) Release_Track'!$G:$G,1,0)),"NO ISRC-CATALOG ID pair MATCH in Release_Track" )</f>
        <v/>
      </c>
      <c r="D752" s="121" t="str">
        <f t="array" ref="D752">ifs(and(isblank($A752),isblank($B752)),"", not(iserror(vlookup($A752&amp;$B752,'5) Release_Track'!$F:$F&amp;'5) Release_Track'!$G:$G,1,0))),vlookup($A752&amp;$B752,{'5) Release_Track'!$F:$F&amp;'5) Release_Track'!$G:$G,'5) Release_Track'!$I:$I},2,0), or(and(not(isblank($B752)),$B752=$B751,$A752&lt;&gt;$A751),and(not(isblank($A752)),$A752=$A751,$B752&lt;&gt;$B751)),"ID LISTS UNALIGNED",and($A752&lt;&gt;"",countif('5) Release_Track'!$F:$F,$A752)=0),"NO ISRC MATCH in Release_Track",and($B752&lt;&gt;"",countif('5) Release_Track'!$G:$G,$B752)=0),"NO CATALOG ID MATCH in Release_Track",iserror(vlookup($A752&amp;$B752,'5) Release_Track'!$F:$F&amp;'5) Release_Track'!$G:$G,1,0)),"NO ISRC-CATALOG ID pair MATCH in Release_Track" )</f>
        <v/>
      </c>
      <c r="E752" s="99"/>
      <c r="F752" s="99"/>
      <c r="G752" s="123" t="str">
        <f t="array" ref="G752">ifs(or($F752="",$F752="Main Primary Artist"),$F752,not(iserror(vlookup($F752,'Reference info'!$J$5:$J$8,1,0))),"Key Artist",not(iserror(vlookup($F752,'Reference info'!$J$38:$J$405,1,0))),"Performer",not(iserror(vlookup($F752,'Reference info'!$J$10:$J$36,1,0))),"Producer &amp; Engineer")</f>
        <v/>
      </c>
    </row>
    <row r="753">
      <c r="B753" s="103"/>
      <c r="C753" s="121" t="str">
        <f t="array" ref="C753">ifs(and(isblank($A753),isblank($B753)),"", not(iserror(vlookup($A753&amp;$B753,'5) Release_Track'!$F:$F&amp;'5) Release_Track'!$G:$G,1,0))),vlookup($A753&amp;$B753,{'5) Release_Track'!$F:$F&amp;'5) Release_Track'!$G:$G,'5) Release_Track'!$H:$H},2,0), or(and(not(isblank($B753)),$B753=$B752,$A753&lt;&gt;$A752),and(not(isblank($A753)),$A753=$A752,$B753&lt;&gt;$B752)),"ID LISTS UNALIGNED",and($A753&lt;&gt;"",countif('5) Release_Track'!$F:$F,$A753)=0),"NO ISRC MATCH in Release_Track",and($B753&lt;&gt;"",countif('5) Release_Track'!$G:$G,$B753)=0),"NO CATALOG ID MATCH in Release_Track",iserror(vlookup($A753&amp;$B753,'5) Release_Track'!$F:$F&amp;'5) Release_Track'!$G:$G,1,0)),"NO ISRC-CATALOG ID pair MATCH in Release_Track" )</f>
        <v/>
      </c>
      <c r="D753" s="121" t="str">
        <f t="array" ref="D753">ifs(and(isblank($A753),isblank($B753)),"", not(iserror(vlookup($A753&amp;$B753,'5) Release_Track'!$F:$F&amp;'5) Release_Track'!$G:$G,1,0))),vlookup($A753&amp;$B753,{'5) Release_Track'!$F:$F&amp;'5) Release_Track'!$G:$G,'5) Release_Track'!$I:$I},2,0), or(and(not(isblank($B753)),$B753=$B752,$A753&lt;&gt;$A752),and(not(isblank($A753)),$A753=$A752,$B753&lt;&gt;$B752)),"ID LISTS UNALIGNED",and($A753&lt;&gt;"",countif('5) Release_Track'!$F:$F,$A753)=0),"NO ISRC MATCH in Release_Track",and($B753&lt;&gt;"",countif('5) Release_Track'!$G:$G,$B753)=0),"NO CATALOG ID MATCH in Release_Track",iserror(vlookup($A753&amp;$B753,'5) Release_Track'!$F:$F&amp;'5) Release_Track'!$G:$G,1,0)),"NO ISRC-CATALOG ID pair MATCH in Release_Track" )</f>
        <v/>
      </c>
      <c r="E753" s="99"/>
      <c r="F753" s="99"/>
      <c r="G753" s="123" t="str">
        <f t="array" ref="G753">ifs(or($F753="",$F753="Main Primary Artist"),$F753,not(iserror(vlookup($F753,'Reference info'!$J$5:$J$8,1,0))),"Key Artist",not(iserror(vlookup($F753,'Reference info'!$J$38:$J$405,1,0))),"Performer",not(iserror(vlookup($F753,'Reference info'!$J$10:$J$36,1,0))),"Producer &amp; Engineer")</f>
        <v/>
      </c>
    </row>
    <row r="754">
      <c r="B754" s="103"/>
      <c r="C754" s="121" t="str">
        <f t="array" ref="C754">ifs(and(isblank($A754),isblank($B754)),"", not(iserror(vlookup($A754&amp;$B754,'5) Release_Track'!$F:$F&amp;'5) Release_Track'!$G:$G,1,0))),vlookup($A754&amp;$B754,{'5) Release_Track'!$F:$F&amp;'5) Release_Track'!$G:$G,'5) Release_Track'!$H:$H},2,0), or(and(not(isblank($B754)),$B754=$B753,$A754&lt;&gt;$A753),and(not(isblank($A754)),$A754=$A753,$B754&lt;&gt;$B753)),"ID LISTS UNALIGNED",and($A754&lt;&gt;"",countif('5) Release_Track'!$F:$F,$A754)=0),"NO ISRC MATCH in Release_Track",and($B754&lt;&gt;"",countif('5) Release_Track'!$G:$G,$B754)=0),"NO CATALOG ID MATCH in Release_Track",iserror(vlookup($A754&amp;$B754,'5) Release_Track'!$F:$F&amp;'5) Release_Track'!$G:$G,1,0)),"NO ISRC-CATALOG ID pair MATCH in Release_Track" )</f>
        <v/>
      </c>
      <c r="D754" s="121" t="str">
        <f t="array" ref="D754">ifs(and(isblank($A754),isblank($B754)),"", not(iserror(vlookup($A754&amp;$B754,'5) Release_Track'!$F:$F&amp;'5) Release_Track'!$G:$G,1,0))),vlookup($A754&amp;$B754,{'5) Release_Track'!$F:$F&amp;'5) Release_Track'!$G:$G,'5) Release_Track'!$I:$I},2,0), or(and(not(isblank($B754)),$B754=$B753,$A754&lt;&gt;$A753),and(not(isblank($A754)),$A754=$A753,$B754&lt;&gt;$B753)),"ID LISTS UNALIGNED",and($A754&lt;&gt;"",countif('5) Release_Track'!$F:$F,$A754)=0),"NO ISRC MATCH in Release_Track",and($B754&lt;&gt;"",countif('5) Release_Track'!$G:$G,$B754)=0),"NO CATALOG ID MATCH in Release_Track",iserror(vlookup($A754&amp;$B754,'5) Release_Track'!$F:$F&amp;'5) Release_Track'!$G:$G,1,0)),"NO ISRC-CATALOG ID pair MATCH in Release_Track" )</f>
        <v/>
      </c>
      <c r="E754" s="99"/>
      <c r="F754" s="99"/>
      <c r="G754" s="123" t="str">
        <f t="array" ref="G754">ifs(or($F754="",$F754="Main Primary Artist"),$F754,not(iserror(vlookup($F754,'Reference info'!$J$5:$J$8,1,0))),"Key Artist",not(iserror(vlookup($F754,'Reference info'!$J$38:$J$405,1,0))),"Performer",not(iserror(vlookup($F754,'Reference info'!$J$10:$J$36,1,0))),"Producer &amp; Engineer")</f>
        <v/>
      </c>
    </row>
    <row r="755">
      <c r="B755" s="103"/>
      <c r="C755" s="121" t="str">
        <f t="array" ref="C755">ifs(and(isblank($A755),isblank($B755)),"", not(iserror(vlookup($A755&amp;$B755,'5) Release_Track'!$F:$F&amp;'5) Release_Track'!$G:$G,1,0))),vlookup($A755&amp;$B755,{'5) Release_Track'!$F:$F&amp;'5) Release_Track'!$G:$G,'5) Release_Track'!$H:$H},2,0), or(and(not(isblank($B755)),$B755=$B754,$A755&lt;&gt;$A754),and(not(isblank($A755)),$A755=$A754,$B755&lt;&gt;$B754)),"ID LISTS UNALIGNED",and($A755&lt;&gt;"",countif('5) Release_Track'!$F:$F,$A755)=0),"NO ISRC MATCH in Release_Track",and($B755&lt;&gt;"",countif('5) Release_Track'!$G:$G,$B755)=0),"NO CATALOG ID MATCH in Release_Track",iserror(vlookup($A755&amp;$B755,'5) Release_Track'!$F:$F&amp;'5) Release_Track'!$G:$G,1,0)),"NO ISRC-CATALOG ID pair MATCH in Release_Track" )</f>
        <v/>
      </c>
      <c r="D755" s="121" t="str">
        <f t="array" ref="D755">ifs(and(isblank($A755),isblank($B755)),"", not(iserror(vlookup($A755&amp;$B755,'5) Release_Track'!$F:$F&amp;'5) Release_Track'!$G:$G,1,0))),vlookup($A755&amp;$B755,{'5) Release_Track'!$F:$F&amp;'5) Release_Track'!$G:$G,'5) Release_Track'!$I:$I},2,0), or(and(not(isblank($B755)),$B755=$B754,$A755&lt;&gt;$A754),and(not(isblank($A755)),$A755=$A754,$B755&lt;&gt;$B754)),"ID LISTS UNALIGNED",and($A755&lt;&gt;"",countif('5) Release_Track'!$F:$F,$A755)=0),"NO ISRC MATCH in Release_Track",and($B755&lt;&gt;"",countif('5) Release_Track'!$G:$G,$B755)=0),"NO CATALOG ID MATCH in Release_Track",iserror(vlookup($A755&amp;$B755,'5) Release_Track'!$F:$F&amp;'5) Release_Track'!$G:$G,1,0)),"NO ISRC-CATALOG ID pair MATCH in Release_Track" )</f>
        <v/>
      </c>
      <c r="E755" s="99"/>
      <c r="F755" s="99"/>
      <c r="G755" s="123" t="str">
        <f t="array" ref="G755">ifs(or($F755="",$F755="Main Primary Artist"),$F755,not(iserror(vlookup($F755,'Reference info'!$J$5:$J$8,1,0))),"Key Artist",not(iserror(vlookup($F755,'Reference info'!$J$38:$J$405,1,0))),"Performer",not(iserror(vlookup($F755,'Reference info'!$J$10:$J$36,1,0))),"Producer &amp; Engineer")</f>
        <v/>
      </c>
    </row>
    <row r="756">
      <c r="B756" s="103"/>
      <c r="C756" s="121" t="str">
        <f t="array" ref="C756">ifs(and(isblank($A756),isblank($B756)),"", not(iserror(vlookup($A756&amp;$B756,'5) Release_Track'!$F:$F&amp;'5) Release_Track'!$G:$G,1,0))),vlookup($A756&amp;$B756,{'5) Release_Track'!$F:$F&amp;'5) Release_Track'!$G:$G,'5) Release_Track'!$H:$H},2,0), or(and(not(isblank($B756)),$B756=$B755,$A756&lt;&gt;$A755),and(not(isblank($A756)),$A756=$A755,$B756&lt;&gt;$B755)),"ID LISTS UNALIGNED",and($A756&lt;&gt;"",countif('5) Release_Track'!$F:$F,$A756)=0),"NO ISRC MATCH in Release_Track",and($B756&lt;&gt;"",countif('5) Release_Track'!$G:$G,$B756)=0),"NO CATALOG ID MATCH in Release_Track",iserror(vlookup($A756&amp;$B756,'5) Release_Track'!$F:$F&amp;'5) Release_Track'!$G:$G,1,0)),"NO ISRC-CATALOG ID pair MATCH in Release_Track" )</f>
        <v/>
      </c>
      <c r="D756" s="121" t="str">
        <f t="array" ref="D756">ifs(and(isblank($A756),isblank($B756)),"", not(iserror(vlookup($A756&amp;$B756,'5) Release_Track'!$F:$F&amp;'5) Release_Track'!$G:$G,1,0))),vlookup($A756&amp;$B756,{'5) Release_Track'!$F:$F&amp;'5) Release_Track'!$G:$G,'5) Release_Track'!$I:$I},2,0), or(and(not(isblank($B756)),$B756=$B755,$A756&lt;&gt;$A755),and(not(isblank($A756)),$A756=$A755,$B756&lt;&gt;$B755)),"ID LISTS UNALIGNED",and($A756&lt;&gt;"",countif('5) Release_Track'!$F:$F,$A756)=0),"NO ISRC MATCH in Release_Track",and($B756&lt;&gt;"",countif('5) Release_Track'!$G:$G,$B756)=0),"NO CATALOG ID MATCH in Release_Track",iserror(vlookup($A756&amp;$B756,'5) Release_Track'!$F:$F&amp;'5) Release_Track'!$G:$G,1,0)),"NO ISRC-CATALOG ID pair MATCH in Release_Track" )</f>
        <v/>
      </c>
      <c r="E756" s="99"/>
      <c r="F756" s="99"/>
      <c r="G756" s="123" t="str">
        <f t="array" ref="G756">ifs(or($F756="",$F756="Main Primary Artist"),$F756,not(iserror(vlookup($F756,'Reference info'!$J$5:$J$8,1,0))),"Key Artist",not(iserror(vlookup($F756,'Reference info'!$J$38:$J$405,1,0))),"Performer",not(iserror(vlookup($F756,'Reference info'!$J$10:$J$36,1,0))),"Producer &amp; Engineer")</f>
        <v/>
      </c>
    </row>
    <row r="757">
      <c r="B757" s="103"/>
      <c r="C757" s="121" t="str">
        <f t="array" ref="C757">ifs(and(isblank($A757),isblank($B757)),"", not(iserror(vlookup($A757&amp;$B757,'5) Release_Track'!$F:$F&amp;'5) Release_Track'!$G:$G,1,0))),vlookup($A757&amp;$B757,{'5) Release_Track'!$F:$F&amp;'5) Release_Track'!$G:$G,'5) Release_Track'!$H:$H},2,0), or(and(not(isblank($B757)),$B757=$B756,$A757&lt;&gt;$A756),and(not(isblank($A757)),$A757=$A756,$B757&lt;&gt;$B756)),"ID LISTS UNALIGNED",and($A757&lt;&gt;"",countif('5) Release_Track'!$F:$F,$A757)=0),"NO ISRC MATCH in Release_Track",and($B757&lt;&gt;"",countif('5) Release_Track'!$G:$G,$B757)=0),"NO CATALOG ID MATCH in Release_Track",iserror(vlookup($A757&amp;$B757,'5) Release_Track'!$F:$F&amp;'5) Release_Track'!$G:$G,1,0)),"NO ISRC-CATALOG ID pair MATCH in Release_Track" )</f>
        <v/>
      </c>
      <c r="D757" s="121" t="str">
        <f t="array" ref="D757">ifs(and(isblank($A757),isblank($B757)),"", not(iserror(vlookup($A757&amp;$B757,'5) Release_Track'!$F:$F&amp;'5) Release_Track'!$G:$G,1,0))),vlookup($A757&amp;$B757,{'5) Release_Track'!$F:$F&amp;'5) Release_Track'!$G:$G,'5) Release_Track'!$I:$I},2,0), or(and(not(isblank($B757)),$B757=$B756,$A757&lt;&gt;$A756),and(not(isblank($A757)),$A757=$A756,$B757&lt;&gt;$B756)),"ID LISTS UNALIGNED",and($A757&lt;&gt;"",countif('5) Release_Track'!$F:$F,$A757)=0),"NO ISRC MATCH in Release_Track",and($B757&lt;&gt;"",countif('5) Release_Track'!$G:$G,$B757)=0),"NO CATALOG ID MATCH in Release_Track",iserror(vlookup($A757&amp;$B757,'5) Release_Track'!$F:$F&amp;'5) Release_Track'!$G:$G,1,0)),"NO ISRC-CATALOG ID pair MATCH in Release_Track" )</f>
        <v/>
      </c>
      <c r="E757" s="99"/>
      <c r="F757" s="99"/>
      <c r="G757" s="123" t="str">
        <f t="array" ref="G757">ifs(or($F757="",$F757="Main Primary Artist"),$F757,not(iserror(vlookup($F757,'Reference info'!$J$5:$J$8,1,0))),"Key Artist",not(iserror(vlookup($F757,'Reference info'!$J$38:$J$405,1,0))),"Performer",not(iserror(vlookup($F757,'Reference info'!$J$10:$J$36,1,0))),"Producer &amp; Engineer")</f>
        <v/>
      </c>
    </row>
    <row r="758">
      <c r="B758" s="103"/>
      <c r="C758" s="121" t="str">
        <f t="array" ref="C758">ifs(and(isblank($A758),isblank($B758)),"", not(iserror(vlookup($A758&amp;$B758,'5) Release_Track'!$F:$F&amp;'5) Release_Track'!$G:$G,1,0))),vlookup($A758&amp;$B758,{'5) Release_Track'!$F:$F&amp;'5) Release_Track'!$G:$G,'5) Release_Track'!$H:$H},2,0), or(and(not(isblank($B758)),$B758=$B757,$A758&lt;&gt;$A757),and(not(isblank($A758)),$A758=$A757,$B758&lt;&gt;$B757)),"ID LISTS UNALIGNED",and($A758&lt;&gt;"",countif('5) Release_Track'!$F:$F,$A758)=0),"NO ISRC MATCH in Release_Track",and($B758&lt;&gt;"",countif('5) Release_Track'!$G:$G,$B758)=0),"NO CATALOG ID MATCH in Release_Track",iserror(vlookup($A758&amp;$B758,'5) Release_Track'!$F:$F&amp;'5) Release_Track'!$G:$G,1,0)),"NO ISRC-CATALOG ID pair MATCH in Release_Track" )</f>
        <v/>
      </c>
      <c r="D758" s="121" t="str">
        <f t="array" ref="D758">ifs(and(isblank($A758),isblank($B758)),"", not(iserror(vlookup($A758&amp;$B758,'5) Release_Track'!$F:$F&amp;'5) Release_Track'!$G:$G,1,0))),vlookup($A758&amp;$B758,{'5) Release_Track'!$F:$F&amp;'5) Release_Track'!$G:$G,'5) Release_Track'!$I:$I},2,0), or(and(not(isblank($B758)),$B758=$B757,$A758&lt;&gt;$A757),and(not(isblank($A758)),$A758=$A757,$B758&lt;&gt;$B757)),"ID LISTS UNALIGNED",and($A758&lt;&gt;"",countif('5) Release_Track'!$F:$F,$A758)=0),"NO ISRC MATCH in Release_Track",and($B758&lt;&gt;"",countif('5) Release_Track'!$G:$G,$B758)=0),"NO CATALOG ID MATCH in Release_Track",iserror(vlookup($A758&amp;$B758,'5) Release_Track'!$F:$F&amp;'5) Release_Track'!$G:$G,1,0)),"NO ISRC-CATALOG ID pair MATCH in Release_Track" )</f>
        <v/>
      </c>
      <c r="E758" s="99"/>
      <c r="F758" s="99"/>
      <c r="G758" s="123" t="str">
        <f t="array" ref="G758">ifs(or($F758="",$F758="Main Primary Artist"),$F758,not(iserror(vlookup($F758,'Reference info'!$J$5:$J$8,1,0))),"Key Artist",not(iserror(vlookup($F758,'Reference info'!$J$38:$J$405,1,0))),"Performer",not(iserror(vlookup($F758,'Reference info'!$J$10:$J$36,1,0))),"Producer &amp; Engineer")</f>
        <v/>
      </c>
    </row>
    <row r="759">
      <c r="B759" s="103"/>
      <c r="C759" s="121" t="str">
        <f t="array" ref="C759">ifs(and(isblank($A759),isblank($B759)),"", not(iserror(vlookup($A759&amp;$B759,'5) Release_Track'!$F:$F&amp;'5) Release_Track'!$G:$G,1,0))),vlookup($A759&amp;$B759,{'5) Release_Track'!$F:$F&amp;'5) Release_Track'!$G:$G,'5) Release_Track'!$H:$H},2,0), or(and(not(isblank($B759)),$B759=$B758,$A759&lt;&gt;$A758),and(not(isblank($A759)),$A759=$A758,$B759&lt;&gt;$B758)),"ID LISTS UNALIGNED",and($A759&lt;&gt;"",countif('5) Release_Track'!$F:$F,$A759)=0),"NO ISRC MATCH in Release_Track",and($B759&lt;&gt;"",countif('5) Release_Track'!$G:$G,$B759)=0),"NO CATALOG ID MATCH in Release_Track",iserror(vlookup($A759&amp;$B759,'5) Release_Track'!$F:$F&amp;'5) Release_Track'!$G:$G,1,0)),"NO ISRC-CATALOG ID pair MATCH in Release_Track" )</f>
        <v/>
      </c>
      <c r="D759" s="121" t="str">
        <f t="array" ref="D759">ifs(and(isblank($A759),isblank($B759)),"", not(iserror(vlookup($A759&amp;$B759,'5) Release_Track'!$F:$F&amp;'5) Release_Track'!$G:$G,1,0))),vlookup($A759&amp;$B759,{'5) Release_Track'!$F:$F&amp;'5) Release_Track'!$G:$G,'5) Release_Track'!$I:$I},2,0), or(and(not(isblank($B759)),$B759=$B758,$A759&lt;&gt;$A758),and(not(isblank($A759)),$A759=$A758,$B759&lt;&gt;$B758)),"ID LISTS UNALIGNED",and($A759&lt;&gt;"",countif('5) Release_Track'!$F:$F,$A759)=0),"NO ISRC MATCH in Release_Track",and($B759&lt;&gt;"",countif('5) Release_Track'!$G:$G,$B759)=0),"NO CATALOG ID MATCH in Release_Track",iserror(vlookup($A759&amp;$B759,'5) Release_Track'!$F:$F&amp;'5) Release_Track'!$G:$G,1,0)),"NO ISRC-CATALOG ID pair MATCH in Release_Track" )</f>
        <v/>
      </c>
      <c r="E759" s="99"/>
      <c r="F759" s="99"/>
      <c r="G759" s="123" t="str">
        <f t="array" ref="G759">ifs(or($F759="",$F759="Main Primary Artist"),$F759,not(iserror(vlookup($F759,'Reference info'!$J$5:$J$8,1,0))),"Key Artist",not(iserror(vlookup($F759,'Reference info'!$J$38:$J$405,1,0))),"Performer",not(iserror(vlookup($F759,'Reference info'!$J$10:$J$36,1,0))),"Producer &amp; Engineer")</f>
        <v/>
      </c>
    </row>
    <row r="760">
      <c r="B760" s="103"/>
      <c r="C760" s="121" t="str">
        <f t="array" ref="C760">ifs(and(isblank($A760),isblank($B760)),"", not(iserror(vlookup($A760&amp;$B760,'5) Release_Track'!$F:$F&amp;'5) Release_Track'!$G:$G,1,0))),vlookup($A760&amp;$B760,{'5) Release_Track'!$F:$F&amp;'5) Release_Track'!$G:$G,'5) Release_Track'!$H:$H},2,0), or(and(not(isblank($B760)),$B760=$B759,$A760&lt;&gt;$A759),and(not(isblank($A760)),$A760=$A759,$B760&lt;&gt;$B759)),"ID LISTS UNALIGNED",and($A760&lt;&gt;"",countif('5) Release_Track'!$F:$F,$A760)=0),"NO ISRC MATCH in Release_Track",and($B760&lt;&gt;"",countif('5) Release_Track'!$G:$G,$B760)=0),"NO CATALOG ID MATCH in Release_Track",iserror(vlookup($A760&amp;$B760,'5) Release_Track'!$F:$F&amp;'5) Release_Track'!$G:$G,1,0)),"NO ISRC-CATALOG ID pair MATCH in Release_Track" )</f>
        <v/>
      </c>
      <c r="D760" s="121" t="str">
        <f t="array" ref="D760">ifs(and(isblank($A760),isblank($B760)),"", not(iserror(vlookup($A760&amp;$B760,'5) Release_Track'!$F:$F&amp;'5) Release_Track'!$G:$G,1,0))),vlookup($A760&amp;$B760,{'5) Release_Track'!$F:$F&amp;'5) Release_Track'!$G:$G,'5) Release_Track'!$I:$I},2,0), or(and(not(isblank($B760)),$B760=$B759,$A760&lt;&gt;$A759),and(not(isblank($A760)),$A760=$A759,$B760&lt;&gt;$B759)),"ID LISTS UNALIGNED",and($A760&lt;&gt;"",countif('5) Release_Track'!$F:$F,$A760)=0),"NO ISRC MATCH in Release_Track",and($B760&lt;&gt;"",countif('5) Release_Track'!$G:$G,$B760)=0),"NO CATALOG ID MATCH in Release_Track",iserror(vlookup($A760&amp;$B760,'5) Release_Track'!$F:$F&amp;'5) Release_Track'!$G:$G,1,0)),"NO ISRC-CATALOG ID pair MATCH in Release_Track" )</f>
        <v/>
      </c>
      <c r="E760" s="99"/>
      <c r="F760" s="99"/>
      <c r="G760" s="123" t="str">
        <f t="array" ref="G760">ifs(or($F760="",$F760="Main Primary Artist"),$F760,not(iserror(vlookup($F760,'Reference info'!$J$5:$J$8,1,0))),"Key Artist",not(iserror(vlookup($F760,'Reference info'!$J$38:$J$405,1,0))),"Performer",not(iserror(vlookup($F760,'Reference info'!$J$10:$J$36,1,0))),"Producer &amp; Engineer")</f>
        <v/>
      </c>
    </row>
    <row r="761">
      <c r="B761" s="103"/>
      <c r="C761" s="121" t="str">
        <f t="array" ref="C761">ifs(and(isblank($A761),isblank($B761)),"", not(iserror(vlookup($A761&amp;$B761,'5) Release_Track'!$F:$F&amp;'5) Release_Track'!$G:$G,1,0))),vlookup($A761&amp;$B761,{'5) Release_Track'!$F:$F&amp;'5) Release_Track'!$G:$G,'5) Release_Track'!$H:$H},2,0), or(and(not(isblank($B761)),$B761=$B760,$A761&lt;&gt;$A760),and(not(isblank($A761)),$A761=$A760,$B761&lt;&gt;$B760)),"ID LISTS UNALIGNED",and($A761&lt;&gt;"",countif('5) Release_Track'!$F:$F,$A761)=0),"NO ISRC MATCH in Release_Track",and($B761&lt;&gt;"",countif('5) Release_Track'!$G:$G,$B761)=0),"NO CATALOG ID MATCH in Release_Track",iserror(vlookup($A761&amp;$B761,'5) Release_Track'!$F:$F&amp;'5) Release_Track'!$G:$G,1,0)),"NO ISRC-CATALOG ID pair MATCH in Release_Track" )</f>
        <v/>
      </c>
      <c r="D761" s="121" t="str">
        <f t="array" ref="D761">ifs(and(isblank($A761),isblank($B761)),"", not(iserror(vlookup($A761&amp;$B761,'5) Release_Track'!$F:$F&amp;'5) Release_Track'!$G:$G,1,0))),vlookup($A761&amp;$B761,{'5) Release_Track'!$F:$F&amp;'5) Release_Track'!$G:$G,'5) Release_Track'!$I:$I},2,0), or(and(not(isblank($B761)),$B761=$B760,$A761&lt;&gt;$A760),and(not(isblank($A761)),$A761=$A760,$B761&lt;&gt;$B760)),"ID LISTS UNALIGNED",and($A761&lt;&gt;"",countif('5) Release_Track'!$F:$F,$A761)=0),"NO ISRC MATCH in Release_Track",and($B761&lt;&gt;"",countif('5) Release_Track'!$G:$G,$B761)=0),"NO CATALOG ID MATCH in Release_Track",iserror(vlookup($A761&amp;$B761,'5) Release_Track'!$F:$F&amp;'5) Release_Track'!$G:$G,1,0)),"NO ISRC-CATALOG ID pair MATCH in Release_Track" )</f>
        <v/>
      </c>
      <c r="E761" s="99"/>
      <c r="F761" s="99"/>
      <c r="G761" s="123" t="str">
        <f t="array" ref="G761">ifs(or($F761="",$F761="Main Primary Artist"),$F761,not(iserror(vlookup($F761,'Reference info'!$J$5:$J$8,1,0))),"Key Artist",not(iserror(vlookup($F761,'Reference info'!$J$38:$J$405,1,0))),"Performer",not(iserror(vlookup($F761,'Reference info'!$J$10:$J$36,1,0))),"Producer &amp; Engineer")</f>
        <v/>
      </c>
    </row>
    <row r="762">
      <c r="B762" s="103"/>
      <c r="C762" s="121" t="str">
        <f t="array" ref="C762">ifs(and(isblank($A762),isblank($B762)),"", not(iserror(vlookup($A762&amp;$B762,'5) Release_Track'!$F:$F&amp;'5) Release_Track'!$G:$G,1,0))),vlookup($A762&amp;$B762,{'5) Release_Track'!$F:$F&amp;'5) Release_Track'!$G:$G,'5) Release_Track'!$H:$H},2,0), or(and(not(isblank($B762)),$B762=$B761,$A762&lt;&gt;$A761),and(not(isblank($A762)),$A762=$A761,$B762&lt;&gt;$B761)),"ID LISTS UNALIGNED",and($A762&lt;&gt;"",countif('5) Release_Track'!$F:$F,$A762)=0),"NO ISRC MATCH in Release_Track",and($B762&lt;&gt;"",countif('5) Release_Track'!$G:$G,$B762)=0),"NO CATALOG ID MATCH in Release_Track",iserror(vlookup($A762&amp;$B762,'5) Release_Track'!$F:$F&amp;'5) Release_Track'!$G:$G,1,0)),"NO ISRC-CATALOG ID pair MATCH in Release_Track" )</f>
        <v/>
      </c>
      <c r="D762" s="121" t="str">
        <f t="array" ref="D762">ifs(and(isblank($A762),isblank($B762)),"", not(iserror(vlookup($A762&amp;$B762,'5) Release_Track'!$F:$F&amp;'5) Release_Track'!$G:$G,1,0))),vlookup($A762&amp;$B762,{'5) Release_Track'!$F:$F&amp;'5) Release_Track'!$G:$G,'5) Release_Track'!$I:$I},2,0), or(and(not(isblank($B762)),$B762=$B761,$A762&lt;&gt;$A761),and(not(isblank($A762)),$A762=$A761,$B762&lt;&gt;$B761)),"ID LISTS UNALIGNED",and($A762&lt;&gt;"",countif('5) Release_Track'!$F:$F,$A762)=0),"NO ISRC MATCH in Release_Track",and($B762&lt;&gt;"",countif('5) Release_Track'!$G:$G,$B762)=0),"NO CATALOG ID MATCH in Release_Track",iserror(vlookup($A762&amp;$B762,'5) Release_Track'!$F:$F&amp;'5) Release_Track'!$G:$G,1,0)),"NO ISRC-CATALOG ID pair MATCH in Release_Track" )</f>
        <v/>
      </c>
      <c r="E762" s="99"/>
      <c r="F762" s="99"/>
      <c r="G762" s="123" t="str">
        <f t="array" ref="G762">ifs(or($F762="",$F762="Main Primary Artist"),$F762,not(iserror(vlookup($F762,'Reference info'!$J$5:$J$8,1,0))),"Key Artist",not(iserror(vlookup($F762,'Reference info'!$J$38:$J$405,1,0))),"Performer",not(iserror(vlookup($F762,'Reference info'!$J$10:$J$36,1,0))),"Producer &amp; Engineer")</f>
        <v/>
      </c>
    </row>
    <row r="763">
      <c r="B763" s="103"/>
      <c r="C763" s="121" t="str">
        <f t="array" ref="C763">ifs(and(isblank($A763),isblank($B763)),"", not(iserror(vlookup($A763&amp;$B763,'5) Release_Track'!$F:$F&amp;'5) Release_Track'!$G:$G,1,0))),vlookup($A763&amp;$B763,{'5) Release_Track'!$F:$F&amp;'5) Release_Track'!$G:$G,'5) Release_Track'!$H:$H},2,0), or(and(not(isblank($B763)),$B763=$B762,$A763&lt;&gt;$A762),and(not(isblank($A763)),$A763=$A762,$B763&lt;&gt;$B762)),"ID LISTS UNALIGNED",and($A763&lt;&gt;"",countif('5) Release_Track'!$F:$F,$A763)=0),"NO ISRC MATCH in Release_Track",and($B763&lt;&gt;"",countif('5) Release_Track'!$G:$G,$B763)=0),"NO CATALOG ID MATCH in Release_Track",iserror(vlookup($A763&amp;$B763,'5) Release_Track'!$F:$F&amp;'5) Release_Track'!$G:$G,1,0)),"NO ISRC-CATALOG ID pair MATCH in Release_Track" )</f>
        <v/>
      </c>
      <c r="D763" s="121" t="str">
        <f t="array" ref="D763">ifs(and(isblank($A763),isblank($B763)),"", not(iserror(vlookup($A763&amp;$B763,'5) Release_Track'!$F:$F&amp;'5) Release_Track'!$G:$G,1,0))),vlookup($A763&amp;$B763,{'5) Release_Track'!$F:$F&amp;'5) Release_Track'!$G:$G,'5) Release_Track'!$I:$I},2,0), or(and(not(isblank($B763)),$B763=$B762,$A763&lt;&gt;$A762),and(not(isblank($A763)),$A763=$A762,$B763&lt;&gt;$B762)),"ID LISTS UNALIGNED",and($A763&lt;&gt;"",countif('5) Release_Track'!$F:$F,$A763)=0),"NO ISRC MATCH in Release_Track",and($B763&lt;&gt;"",countif('5) Release_Track'!$G:$G,$B763)=0),"NO CATALOG ID MATCH in Release_Track",iserror(vlookup($A763&amp;$B763,'5) Release_Track'!$F:$F&amp;'5) Release_Track'!$G:$G,1,0)),"NO ISRC-CATALOG ID pair MATCH in Release_Track" )</f>
        <v/>
      </c>
      <c r="E763" s="99"/>
      <c r="F763" s="99"/>
      <c r="G763" s="123" t="str">
        <f t="array" ref="G763">ifs(or($F763="",$F763="Main Primary Artist"),$F763,not(iserror(vlookup($F763,'Reference info'!$J$5:$J$8,1,0))),"Key Artist",not(iserror(vlookup($F763,'Reference info'!$J$38:$J$405,1,0))),"Performer",not(iserror(vlookup($F763,'Reference info'!$J$10:$J$36,1,0))),"Producer &amp; Engineer")</f>
        <v/>
      </c>
    </row>
    <row r="764">
      <c r="B764" s="103"/>
      <c r="C764" s="121" t="str">
        <f t="array" ref="C764">ifs(and(isblank($A764),isblank($B764)),"", not(iserror(vlookup($A764&amp;$B764,'5) Release_Track'!$F:$F&amp;'5) Release_Track'!$G:$G,1,0))),vlookup($A764&amp;$B764,{'5) Release_Track'!$F:$F&amp;'5) Release_Track'!$G:$G,'5) Release_Track'!$H:$H},2,0), or(and(not(isblank($B764)),$B764=$B763,$A764&lt;&gt;$A763),and(not(isblank($A764)),$A764=$A763,$B764&lt;&gt;$B763)),"ID LISTS UNALIGNED",and($A764&lt;&gt;"",countif('5) Release_Track'!$F:$F,$A764)=0),"NO ISRC MATCH in Release_Track",and($B764&lt;&gt;"",countif('5) Release_Track'!$G:$G,$B764)=0),"NO CATALOG ID MATCH in Release_Track",iserror(vlookup($A764&amp;$B764,'5) Release_Track'!$F:$F&amp;'5) Release_Track'!$G:$G,1,0)),"NO ISRC-CATALOG ID pair MATCH in Release_Track" )</f>
        <v/>
      </c>
      <c r="D764" s="121" t="str">
        <f t="array" ref="D764">ifs(and(isblank($A764),isblank($B764)),"", not(iserror(vlookup($A764&amp;$B764,'5) Release_Track'!$F:$F&amp;'5) Release_Track'!$G:$G,1,0))),vlookup($A764&amp;$B764,{'5) Release_Track'!$F:$F&amp;'5) Release_Track'!$G:$G,'5) Release_Track'!$I:$I},2,0), or(and(not(isblank($B764)),$B764=$B763,$A764&lt;&gt;$A763),and(not(isblank($A764)),$A764=$A763,$B764&lt;&gt;$B763)),"ID LISTS UNALIGNED",and($A764&lt;&gt;"",countif('5) Release_Track'!$F:$F,$A764)=0),"NO ISRC MATCH in Release_Track",and($B764&lt;&gt;"",countif('5) Release_Track'!$G:$G,$B764)=0),"NO CATALOG ID MATCH in Release_Track",iserror(vlookup($A764&amp;$B764,'5) Release_Track'!$F:$F&amp;'5) Release_Track'!$G:$G,1,0)),"NO ISRC-CATALOG ID pair MATCH in Release_Track" )</f>
        <v/>
      </c>
      <c r="E764" s="99"/>
      <c r="F764" s="99"/>
      <c r="G764" s="123" t="str">
        <f t="array" ref="G764">ifs(or($F764="",$F764="Main Primary Artist"),$F764,not(iserror(vlookup($F764,'Reference info'!$J$5:$J$8,1,0))),"Key Artist",not(iserror(vlookup($F764,'Reference info'!$J$38:$J$405,1,0))),"Performer",not(iserror(vlookup($F764,'Reference info'!$J$10:$J$36,1,0))),"Producer &amp; Engineer")</f>
        <v/>
      </c>
    </row>
    <row r="765">
      <c r="B765" s="103"/>
      <c r="C765" s="121" t="str">
        <f t="array" ref="C765">ifs(and(isblank($A765),isblank($B765)),"", not(iserror(vlookup($A765&amp;$B765,'5) Release_Track'!$F:$F&amp;'5) Release_Track'!$G:$G,1,0))),vlookup($A765&amp;$B765,{'5) Release_Track'!$F:$F&amp;'5) Release_Track'!$G:$G,'5) Release_Track'!$H:$H},2,0), or(and(not(isblank($B765)),$B765=$B764,$A765&lt;&gt;$A764),and(not(isblank($A765)),$A765=$A764,$B765&lt;&gt;$B764)),"ID LISTS UNALIGNED",and($A765&lt;&gt;"",countif('5) Release_Track'!$F:$F,$A765)=0),"NO ISRC MATCH in Release_Track",and($B765&lt;&gt;"",countif('5) Release_Track'!$G:$G,$B765)=0),"NO CATALOG ID MATCH in Release_Track",iserror(vlookup($A765&amp;$B765,'5) Release_Track'!$F:$F&amp;'5) Release_Track'!$G:$G,1,0)),"NO ISRC-CATALOG ID pair MATCH in Release_Track" )</f>
        <v/>
      </c>
      <c r="D765" s="121" t="str">
        <f t="array" ref="D765">ifs(and(isblank($A765),isblank($B765)),"", not(iserror(vlookup($A765&amp;$B765,'5) Release_Track'!$F:$F&amp;'5) Release_Track'!$G:$G,1,0))),vlookup($A765&amp;$B765,{'5) Release_Track'!$F:$F&amp;'5) Release_Track'!$G:$G,'5) Release_Track'!$I:$I},2,0), or(and(not(isblank($B765)),$B765=$B764,$A765&lt;&gt;$A764),and(not(isblank($A765)),$A765=$A764,$B765&lt;&gt;$B764)),"ID LISTS UNALIGNED",and($A765&lt;&gt;"",countif('5) Release_Track'!$F:$F,$A765)=0),"NO ISRC MATCH in Release_Track",and($B765&lt;&gt;"",countif('5) Release_Track'!$G:$G,$B765)=0),"NO CATALOG ID MATCH in Release_Track",iserror(vlookup($A765&amp;$B765,'5) Release_Track'!$F:$F&amp;'5) Release_Track'!$G:$G,1,0)),"NO ISRC-CATALOG ID pair MATCH in Release_Track" )</f>
        <v/>
      </c>
      <c r="E765" s="99"/>
      <c r="F765" s="99"/>
      <c r="G765" s="123" t="str">
        <f t="array" ref="G765">ifs(or($F765="",$F765="Main Primary Artist"),$F765,not(iserror(vlookup($F765,'Reference info'!$J$5:$J$8,1,0))),"Key Artist",not(iserror(vlookup($F765,'Reference info'!$J$38:$J$405,1,0))),"Performer",not(iserror(vlookup($F765,'Reference info'!$J$10:$J$36,1,0))),"Producer &amp; Engineer")</f>
        <v/>
      </c>
    </row>
    <row r="766">
      <c r="B766" s="103"/>
      <c r="C766" s="121" t="str">
        <f t="array" ref="C766">ifs(and(isblank($A766),isblank($B766)),"", not(iserror(vlookup($A766&amp;$B766,'5) Release_Track'!$F:$F&amp;'5) Release_Track'!$G:$G,1,0))),vlookup($A766&amp;$B766,{'5) Release_Track'!$F:$F&amp;'5) Release_Track'!$G:$G,'5) Release_Track'!$H:$H},2,0), or(and(not(isblank($B766)),$B766=$B765,$A766&lt;&gt;$A765),and(not(isblank($A766)),$A766=$A765,$B766&lt;&gt;$B765)),"ID LISTS UNALIGNED",and($A766&lt;&gt;"",countif('5) Release_Track'!$F:$F,$A766)=0),"NO ISRC MATCH in Release_Track",and($B766&lt;&gt;"",countif('5) Release_Track'!$G:$G,$B766)=0),"NO CATALOG ID MATCH in Release_Track",iserror(vlookup($A766&amp;$B766,'5) Release_Track'!$F:$F&amp;'5) Release_Track'!$G:$G,1,0)),"NO ISRC-CATALOG ID pair MATCH in Release_Track" )</f>
        <v/>
      </c>
      <c r="D766" s="121" t="str">
        <f t="array" ref="D766">ifs(and(isblank($A766),isblank($B766)),"", not(iserror(vlookup($A766&amp;$B766,'5) Release_Track'!$F:$F&amp;'5) Release_Track'!$G:$G,1,0))),vlookup($A766&amp;$B766,{'5) Release_Track'!$F:$F&amp;'5) Release_Track'!$G:$G,'5) Release_Track'!$I:$I},2,0), or(and(not(isblank($B766)),$B766=$B765,$A766&lt;&gt;$A765),and(not(isblank($A766)),$A766=$A765,$B766&lt;&gt;$B765)),"ID LISTS UNALIGNED",and($A766&lt;&gt;"",countif('5) Release_Track'!$F:$F,$A766)=0),"NO ISRC MATCH in Release_Track",and($B766&lt;&gt;"",countif('5) Release_Track'!$G:$G,$B766)=0),"NO CATALOG ID MATCH in Release_Track",iserror(vlookup($A766&amp;$B766,'5) Release_Track'!$F:$F&amp;'5) Release_Track'!$G:$G,1,0)),"NO ISRC-CATALOG ID pair MATCH in Release_Track" )</f>
        <v/>
      </c>
      <c r="E766" s="99"/>
      <c r="F766" s="99"/>
      <c r="G766" s="123" t="str">
        <f t="array" ref="G766">ifs(or($F766="",$F766="Main Primary Artist"),$F766,not(iserror(vlookup($F766,'Reference info'!$J$5:$J$8,1,0))),"Key Artist",not(iserror(vlookup($F766,'Reference info'!$J$38:$J$405,1,0))),"Performer",not(iserror(vlookup($F766,'Reference info'!$J$10:$J$36,1,0))),"Producer &amp; Engineer")</f>
        <v/>
      </c>
    </row>
    <row r="767">
      <c r="B767" s="103"/>
      <c r="C767" s="121" t="str">
        <f t="array" ref="C767">ifs(and(isblank($A767),isblank($B767)),"", not(iserror(vlookup($A767&amp;$B767,'5) Release_Track'!$F:$F&amp;'5) Release_Track'!$G:$G,1,0))),vlookup($A767&amp;$B767,{'5) Release_Track'!$F:$F&amp;'5) Release_Track'!$G:$G,'5) Release_Track'!$H:$H},2,0), or(and(not(isblank($B767)),$B767=$B766,$A767&lt;&gt;$A766),and(not(isblank($A767)),$A767=$A766,$B767&lt;&gt;$B766)),"ID LISTS UNALIGNED",and($A767&lt;&gt;"",countif('5) Release_Track'!$F:$F,$A767)=0),"NO ISRC MATCH in Release_Track",and($B767&lt;&gt;"",countif('5) Release_Track'!$G:$G,$B767)=0),"NO CATALOG ID MATCH in Release_Track",iserror(vlookup($A767&amp;$B767,'5) Release_Track'!$F:$F&amp;'5) Release_Track'!$G:$G,1,0)),"NO ISRC-CATALOG ID pair MATCH in Release_Track" )</f>
        <v/>
      </c>
      <c r="D767" s="121" t="str">
        <f t="array" ref="D767">ifs(and(isblank($A767),isblank($B767)),"", not(iserror(vlookup($A767&amp;$B767,'5) Release_Track'!$F:$F&amp;'5) Release_Track'!$G:$G,1,0))),vlookup($A767&amp;$B767,{'5) Release_Track'!$F:$F&amp;'5) Release_Track'!$G:$G,'5) Release_Track'!$I:$I},2,0), or(and(not(isblank($B767)),$B767=$B766,$A767&lt;&gt;$A766),and(not(isblank($A767)),$A767=$A766,$B767&lt;&gt;$B766)),"ID LISTS UNALIGNED",and($A767&lt;&gt;"",countif('5) Release_Track'!$F:$F,$A767)=0),"NO ISRC MATCH in Release_Track",and($B767&lt;&gt;"",countif('5) Release_Track'!$G:$G,$B767)=0),"NO CATALOG ID MATCH in Release_Track",iserror(vlookup($A767&amp;$B767,'5) Release_Track'!$F:$F&amp;'5) Release_Track'!$G:$G,1,0)),"NO ISRC-CATALOG ID pair MATCH in Release_Track" )</f>
        <v/>
      </c>
      <c r="E767" s="99"/>
      <c r="F767" s="99"/>
      <c r="G767" s="123" t="str">
        <f t="array" ref="G767">ifs(or($F767="",$F767="Main Primary Artist"),$F767,not(iserror(vlookup($F767,'Reference info'!$J$5:$J$8,1,0))),"Key Artist",not(iserror(vlookup($F767,'Reference info'!$J$38:$J$405,1,0))),"Performer",not(iserror(vlookup($F767,'Reference info'!$J$10:$J$36,1,0))),"Producer &amp; Engineer")</f>
        <v/>
      </c>
    </row>
    <row r="768">
      <c r="B768" s="103"/>
      <c r="C768" s="121" t="str">
        <f t="array" ref="C768">ifs(and(isblank($A768),isblank($B768)),"", not(iserror(vlookup($A768&amp;$B768,'5) Release_Track'!$F:$F&amp;'5) Release_Track'!$G:$G,1,0))),vlookup($A768&amp;$B768,{'5) Release_Track'!$F:$F&amp;'5) Release_Track'!$G:$G,'5) Release_Track'!$H:$H},2,0), or(and(not(isblank($B768)),$B768=$B767,$A768&lt;&gt;$A767),and(not(isblank($A768)),$A768=$A767,$B768&lt;&gt;$B767)),"ID LISTS UNALIGNED",and($A768&lt;&gt;"",countif('5) Release_Track'!$F:$F,$A768)=0),"NO ISRC MATCH in Release_Track",and($B768&lt;&gt;"",countif('5) Release_Track'!$G:$G,$B768)=0),"NO CATALOG ID MATCH in Release_Track",iserror(vlookup($A768&amp;$B768,'5) Release_Track'!$F:$F&amp;'5) Release_Track'!$G:$G,1,0)),"NO ISRC-CATALOG ID pair MATCH in Release_Track" )</f>
        <v/>
      </c>
      <c r="D768" s="121" t="str">
        <f t="array" ref="D768">ifs(and(isblank($A768),isblank($B768)),"", not(iserror(vlookup($A768&amp;$B768,'5) Release_Track'!$F:$F&amp;'5) Release_Track'!$G:$G,1,0))),vlookup($A768&amp;$B768,{'5) Release_Track'!$F:$F&amp;'5) Release_Track'!$G:$G,'5) Release_Track'!$I:$I},2,0), or(and(not(isblank($B768)),$B768=$B767,$A768&lt;&gt;$A767),and(not(isblank($A768)),$A768=$A767,$B768&lt;&gt;$B767)),"ID LISTS UNALIGNED",and($A768&lt;&gt;"",countif('5) Release_Track'!$F:$F,$A768)=0),"NO ISRC MATCH in Release_Track",and($B768&lt;&gt;"",countif('5) Release_Track'!$G:$G,$B768)=0),"NO CATALOG ID MATCH in Release_Track",iserror(vlookup($A768&amp;$B768,'5) Release_Track'!$F:$F&amp;'5) Release_Track'!$G:$G,1,0)),"NO ISRC-CATALOG ID pair MATCH in Release_Track" )</f>
        <v/>
      </c>
      <c r="E768" s="99"/>
      <c r="F768" s="99"/>
      <c r="G768" s="123" t="str">
        <f t="array" ref="G768">ifs(or($F768="",$F768="Main Primary Artist"),$F768,not(iserror(vlookup($F768,'Reference info'!$J$5:$J$8,1,0))),"Key Artist",not(iserror(vlookup($F768,'Reference info'!$J$38:$J$405,1,0))),"Performer",not(iserror(vlookup($F768,'Reference info'!$J$10:$J$36,1,0))),"Producer &amp; Engineer")</f>
        <v/>
      </c>
    </row>
    <row r="769">
      <c r="B769" s="103"/>
      <c r="C769" s="121" t="str">
        <f t="array" ref="C769">ifs(and(isblank($A769),isblank($B769)),"", not(iserror(vlookup($A769&amp;$B769,'5) Release_Track'!$F:$F&amp;'5) Release_Track'!$G:$G,1,0))),vlookup($A769&amp;$B769,{'5) Release_Track'!$F:$F&amp;'5) Release_Track'!$G:$G,'5) Release_Track'!$H:$H},2,0), or(and(not(isblank($B769)),$B769=$B768,$A769&lt;&gt;$A768),and(not(isblank($A769)),$A769=$A768,$B769&lt;&gt;$B768)),"ID LISTS UNALIGNED",and($A769&lt;&gt;"",countif('5) Release_Track'!$F:$F,$A769)=0),"NO ISRC MATCH in Release_Track",and($B769&lt;&gt;"",countif('5) Release_Track'!$G:$G,$B769)=0),"NO CATALOG ID MATCH in Release_Track",iserror(vlookup($A769&amp;$B769,'5) Release_Track'!$F:$F&amp;'5) Release_Track'!$G:$G,1,0)),"NO ISRC-CATALOG ID pair MATCH in Release_Track" )</f>
        <v/>
      </c>
      <c r="D769" s="121" t="str">
        <f t="array" ref="D769">ifs(and(isblank($A769),isblank($B769)),"", not(iserror(vlookup($A769&amp;$B769,'5) Release_Track'!$F:$F&amp;'5) Release_Track'!$G:$G,1,0))),vlookup($A769&amp;$B769,{'5) Release_Track'!$F:$F&amp;'5) Release_Track'!$G:$G,'5) Release_Track'!$I:$I},2,0), or(and(not(isblank($B769)),$B769=$B768,$A769&lt;&gt;$A768),and(not(isblank($A769)),$A769=$A768,$B769&lt;&gt;$B768)),"ID LISTS UNALIGNED",and($A769&lt;&gt;"",countif('5) Release_Track'!$F:$F,$A769)=0),"NO ISRC MATCH in Release_Track",and($B769&lt;&gt;"",countif('5) Release_Track'!$G:$G,$B769)=0),"NO CATALOG ID MATCH in Release_Track",iserror(vlookup($A769&amp;$B769,'5) Release_Track'!$F:$F&amp;'5) Release_Track'!$G:$G,1,0)),"NO ISRC-CATALOG ID pair MATCH in Release_Track" )</f>
        <v/>
      </c>
      <c r="E769" s="99"/>
      <c r="F769" s="99"/>
      <c r="G769" s="123" t="str">
        <f t="array" ref="G769">ifs(or($F769="",$F769="Main Primary Artist"),$F769,not(iserror(vlookup($F769,'Reference info'!$J$5:$J$8,1,0))),"Key Artist",not(iserror(vlookup($F769,'Reference info'!$J$38:$J$405,1,0))),"Performer",not(iserror(vlookup($F769,'Reference info'!$J$10:$J$36,1,0))),"Producer &amp; Engineer")</f>
        <v/>
      </c>
    </row>
    <row r="770">
      <c r="B770" s="103"/>
      <c r="C770" s="121" t="str">
        <f t="array" ref="C770">ifs(and(isblank($A770),isblank($B770)),"", not(iserror(vlookup($A770&amp;$B770,'5) Release_Track'!$F:$F&amp;'5) Release_Track'!$G:$G,1,0))),vlookup($A770&amp;$B770,{'5) Release_Track'!$F:$F&amp;'5) Release_Track'!$G:$G,'5) Release_Track'!$H:$H},2,0), or(and(not(isblank($B770)),$B770=$B769,$A770&lt;&gt;$A769),and(not(isblank($A770)),$A770=$A769,$B770&lt;&gt;$B769)),"ID LISTS UNALIGNED",and($A770&lt;&gt;"",countif('5) Release_Track'!$F:$F,$A770)=0),"NO ISRC MATCH in Release_Track",and($B770&lt;&gt;"",countif('5) Release_Track'!$G:$G,$B770)=0),"NO CATALOG ID MATCH in Release_Track",iserror(vlookup($A770&amp;$B770,'5) Release_Track'!$F:$F&amp;'5) Release_Track'!$G:$G,1,0)),"NO ISRC-CATALOG ID pair MATCH in Release_Track" )</f>
        <v/>
      </c>
      <c r="D770" s="121" t="str">
        <f t="array" ref="D770">ifs(and(isblank($A770),isblank($B770)),"", not(iserror(vlookup($A770&amp;$B770,'5) Release_Track'!$F:$F&amp;'5) Release_Track'!$G:$G,1,0))),vlookup($A770&amp;$B770,{'5) Release_Track'!$F:$F&amp;'5) Release_Track'!$G:$G,'5) Release_Track'!$I:$I},2,0), or(and(not(isblank($B770)),$B770=$B769,$A770&lt;&gt;$A769),and(not(isblank($A770)),$A770=$A769,$B770&lt;&gt;$B769)),"ID LISTS UNALIGNED",and($A770&lt;&gt;"",countif('5) Release_Track'!$F:$F,$A770)=0),"NO ISRC MATCH in Release_Track",and($B770&lt;&gt;"",countif('5) Release_Track'!$G:$G,$B770)=0),"NO CATALOG ID MATCH in Release_Track",iserror(vlookup($A770&amp;$B770,'5) Release_Track'!$F:$F&amp;'5) Release_Track'!$G:$G,1,0)),"NO ISRC-CATALOG ID pair MATCH in Release_Track" )</f>
        <v/>
      </c>
      <c r="E770" s="99"/>
      <c r="F770" s="99"/>
      <c r="G770" s="123" t="str">
        <f t="array" ref="G770">ifs(or($F770="",$F770="Main Primary Artist"),$F770,not(iserror(vlookup($F770,'Reference info'!$J$5:$J$8,1,0))),"Key Artist",not(iserror(vlookup($F770,'Reference info'!$J$38:$J$405,1,0))),"Performer",not(iserror(vlookup($F770,'Reference info'!$J$10:$J$36,1,0))),"Producer &amp; Engineer")</f>
        <v/>
      </c>
    </row>
    <row r="771">
      <c r="B771" s="103"/>
      <c r="C771" s="121" t="str">
        <f t="array" ref="C771">ifs(and(isblank($A771),isblank($B771)),"", not(iserror(vlookup($A771&amp;$B771,'5) Release_Track'!$F:$F&amp;'5) Release_Track'!$G:$G,1,0))),vlookup($A771&amp;$B771,{'5) Release_Track'!$F:$F&amp;'5) Release_Track'!$G:$G,'5) Release_Track'!$H:$H},2,0), or(and(not(isblank($B771)),$B771=$B770,$A771&lt;&gt;$A770),and(not(isblank($A771)),$A771=$A770,$B771&lt;&gt;$B770)),"ID LISTS UNALIGNED",and($A771&lt;&gt;"",countif('5) Release_Track'!$F:$F,$A771)=0),"NO ISRC MATCH in Release_Track",and($B771&lt;&gt;"",countif('5) Release_Track'!$G:$G,$B771)=0),"NO CATALOG ID MATCH in Release_Track",iserror(vlookup($A771&amp;$B771,'5) Release_Track'!$F:$F&amp;'5) Release_Track'!$G:$G,1,0)),"NO ISRC-CATALOG ID pair MATCH in Release_Track" )</f>
        <v/>
      </c>
      <c r="D771" s="121" t="str">
        <f t="array" ref="D771">ifs(and(isblank($A771),isblank($B771)),"", not(iserror(vlookup($A771&amp;$B771,'5) Release_Track'!$F:$F&amp;'5) Release_Track'!$G:$G,1,0))),vlookup($A771&amp;$B771,{'5) Release_Track'!$F:$F&amp;'5) Release_Track'!$G:$G,'5) Release_Track'!$I:$I},2,0), or(and(not(isblank($B771)),$B771=$B770,$A771&lt;&gt;$A770),and(not(isblank($A771)),$A771=$A770,$B771&lt;&gt;$B770)),"ID LISTS UNALIGNED",and($A771&lt;&gt;"",countif('5) Release_Track'!$F:$F,$A771)=0),"NO ISRC MATCH in Release_Track",and($B771&lt;&gt;"",countif('5) Release_Track'!$G:$G,$B771)=0),"NO CATALOG ID MATCH in Release_Track",iserror(vlookup($A771&amp;$B771,'5) Release_Track'!$F:$F&amp;'5) Release_Track'!$G:$G,1,0)),"NO ISRC-CATALOG ID pair MATCH in Release_Track" )</f>
        <v/>
      </c>
      <c r="E771" s="99"/>
      <c r="F771" s="99"/>
      <c r="G771" s="123" t="str">
        <f t="array" ref="G771">ifs(or($F771="",$F771="Main Primary Artist"),$F771,not(iserror(vlookup($F771,'Reference info'!$J$5:$J$8,1,0))),"Key Artist",not(iserror(vlookup($F771,'Reference info'!$J$38:$J$405,1,0))),"Performer",not(iserror(vlookup($F771,'Reference info'!$J$10:$J$36,1,0))),"Producer &amp; Engineer")</f>
        <v/>
      </c>
    </row>
    <row r="772">
      <c r="B772" s="103"/>
      <c r="C772" s="121" t="str">
        <f t="array" ref="C772">ifs(and(isblank($A772),isblank($B772)),"", not(iserror(vlookup($A772&amp;$B772,'5) Release_Track'!$F:$F&amp;'5) Release_Track'!$G:$G,1,0))),vlookup($A772&amp;$B772,{'5) Release_Track'!$F:$F&amp;'5) Release_Track'!$G:$G,'5) Release_Track'!$H:$H},2,0), or(and(not(isblank($B772)),$B772=$B771,$A772&lt;&gt;$A771),and(not(isblank($A772)),$A772=$A771,$B772&lt;&gt;$B771)),"ID LISTS UNALIGNED",and($A772&lt;&gt;"",countif('5) Release_Track'!$F:$F,$A772)=0),"NO ISRC MATCH in Release_Track",and($B772&lt;&gt;"",countif('5) Release_Track'!$G:$G,$B772)=0),"NO CATALOG ID MATCH in Release_Track",iserror(vlookup($A772&amp;$B772,'5) Release_Track'!$F:$F&amp;'5) Release_Track'!$G:$G,1,0)),"NO ISRC-CATALOG ID pair MATCH in Release_Track" )</f>
        <v/>
      </c>
      <c r="D772" s="121" t="str">
        <f t="array" ref="D772">ifs(and(isblank($A772),isblank($B772)),"", not(iserror(vlookup($A772&amp;$B772,'5) Release_Track'!$F:$F&amp;'5) Release_Track'!$G:$G,1,0))),vlookup($A772&amp;$B772,{'5) Release_Track'!$F:$F&amp;'5) Release_Track'!$G:$G,'5) Release_Track'!$I:$I},2,0), or(and(not(isblank($B772)),$B772=$B771,$A772&lt;&gt;$A771),and(not(isblank($A772)),$A772=$A771,$B772&lt;&gt;$B771)),"ID LISTS UNALIGNED",and($A772&lt;&gt;"",countif('5) Release_Track'!$F:$F,$A772)=0),"NO ISRC MATCH in Release_Track",and($B772&lt;&gt;"",countif('5) Release_Track'!$G:$G,$B772)=0),"NO CATALOG ID MATCH in Release_Track",iserror(vlookup($A772&amp;$B772,'5) Release_Track'!$F:$F&amp;'5) Release_Track'!$G:$G,1,0)),"NO ISRC-CATALOG ID pair MATCH in Release_Track" )</f>
        <v/>
      </c>
      <c r="E772" s="99"/>
      <c r="F772" s="99"/>
      <c r="G772" s="123" t="str">
        <f t="array" ref="G772">ifs(or($F772="",$F772="Main Primary Artist"),$F772,not(iserror(vlookup($F772,'Reference info'!$J$5:$J$8,1,0))),"Key Artist",not(iserror(vlookup($F772,'Reference info'!$J$38:$J$405,1,0))),"Performer",not(iserror(vlookup($F772,'Reference info'!$J$10:$J$36,1,0))),"Producer &amp; Engineer")</f>
        <v/>
      </c>
    </row>
    <row r="773">
      <c r="B773" s="103"/>
      <c r="C773" s="121" t="str">
        <f t="array" ref="C773">ifs(and(isblank($A773),isblank($B773)),"", not(iserror(vlookup($A773&amp;$B773,'5) Release_Track'!$F:$F&amp;'5) Release_Track'!$G:$G,1,0))),vlookup($A773&amp;$B773,{'5) Release_Track'!$F:$F&amp;'5) Release_Track'!$G:$G,'5) Release_Track'!$H:$H},2,0), or(and(not(isblank($B773)),$B773=$B772,$A773&lt;&gt;$A772),and(not(isblank($A773)),$A773=$A772,$B773&lt;&gt;$B772)),"ID LISTS UNALIGNED",and($A773&lt;&gt;"",countif('5) Release_Track'!$F:$F,$A773)=0),"NO ISRC MATCH in Release_Track",and($B773&lt;&gt;"",countif('5) Release_Track'!$G:$G,$B773)=0),"NO CATALOG ID MATCH in Release_Track",iserror(vlookup($A773&amp;$B773,'5) Release_Track'!$F:$F&amp;'5) Release_Track'!$G:$G,1,0)),"NO ISRC-CATALOG ID pair MATCH in Release_Track" )</f>
        <v/>
      </c>
      <c r="D773" s="121" t="str">
        <f t="array" ref="D773">ifs(and(isblank($A773),isblank($B773)),"", not(iserror(vlookup($A773&amp;$B773,'5) Release_Track'!$F:$F&amp;'5) Release_Track'!$G:$G,1,0))),vlookup($A773&amp;$B773,{'5) Release_Track'!$F:$F&amp;'5) Release_Track'!$G:$G,'5) Release_Track'!$I:$I},2,0), or(and(not(isblank($B773)),$B773=$B772,$A773&lt;&gt;$A772),and(not(isblank($A773)),$A773=$A772,$B773&lt;&gt;$B772)),"ID LISTS UNALIGNED",and($A773&lt;&gt;"",countif('5) Release_Track'!$F:$F,$A773)=0),"NO ISRC MATCH in Release_Track",and($B773&lt;&gt;"",countif('5) Release_Track'!$G:$G,$B773)=0),"NO CATALOG ID MATCH in Release_Track",iserror(vlookup($A773&amp;$B773,'5) Release_Track'!$F:$F&amp;'5) Release_Track'!$G:$G,1,0)),"NO ISRC-CATALOG ID pair MATCH in Release_Track" )</f>
        <v/>
      </c>
      <c r="E773" s="99"/>
      <c r="F773" s="99"/>
      <c r="G773" s="123" t="str">
        <f t="array" ref="G773">ifs(or($F773="",$F773="Main Primary Artist"),$F773,not(iserror(vlookup($F773,'Reference info'!$J$5:$J$8,1,0))),"Key Artist",not(iserror(vlookup($F773,'Reference info'!$J$38:$J$405,1,0))),"Performer",not(iserror(vlookup($F773,'Reference info'!$J$10:$J$36,1,0))),"Producer &amp; Engineer")</f>
        <v/>
      </c>
    </row>
    <row r="774">
      <c r="B774" s="103"/>
      <c r="C774" s="121" t="str">
        <f t="array" ref="C774">ifs(and(isblank($A774),isblank($B774)),"", not(iserror(vlookup($A774&amp;$B774,'5) Release_Track'!$F:$F&amp;'5) Release_Track'!$G:$G,1,0))),vlookup($A774&amp;$B774,{'5) Release_Track'!$F:$F&amp;'5) Release_Track'!$G:$G,'5) Release_Track'!$H:$H},2,0), or(and(not(isblank($B774)),$B774=$B773,$A774&lt;&gt;$A773),and(not(isblank($A774)),$A774=$A773,$B774&lt;&gt;$B773)),"ID LISTS UNALIGNED",and($A774&lt;&gt;"",countif('5) Release_Track'!$F:$F,$A774)=0),"NO ISRC MATCH in Release_Track",and($B774&lt;&gt;"",countif('5) Release_Track'!$G:$G,$B774)=0),"NO CATALOG ID MATCH in Release_Track",iserror(vlookup($A774&amp;$B774,'5) Release_Track'!$F:$F&amp;'5) Release_Track'!$G:$G,1,0)),"NO ISRC-CATALOG ID pair MATCH in Release_Track" )</f>
        <v/>
      </c>
      <c r="D774" s="121" t="str">
        <f t="array" ref="D774">ifs(and(isblank($A774),isblank($B774)),"", not(iserror(vlookup($A774&amp;$B774,'5) Release_Track'!$F:$F&amp;'5) Release_Track'!$G:$G,1,0))),vlookup($A774&amp;$B774,{'5) Release_Track'!$F:$F&amp;'5) Release_Track'!$G:$G,'5) Release_Track'!$I:$I},2,0), or(and(not(isblank($B774)),$B774=$B773,$A774&lt;&gt;$A773),and(not(isblank($A774)),$A774=$A773,$B774&lt;&gt;$B773)),"ID LISTS UNALIGNED",and($A774&lt;&gt;"",countif('5) Release_Track'!$F:$F,$A774)=0),"NO ISRC MATCH in Release_Track",and($B774&lt;&gt;"",countif('5) Release_Track'!$G:$G,$B774)=0),"NO CATALOG ID MATCH in Release_Track",iserror(vlookup($A774&amp;$B774,'5) Release_Track'!$F:$F&amp;'5) Release_Track'!$G:$G,1,0)),"NO ISRC-CATALOG ID pair MATCH in Release_Track" )</f>
        <v/>
      </c>
      <c r="E774" s="99"/>
      <c r="F774" s="99"/>
      <c r="G774" s="123" t="str">
        <f t="array" ref="G774">ifs(or($F774="",$F774="Main Primary Artist"),$F774,not(iserror(vlookup($F774,'Reference info'!$J$5:$J$8,1,0))),"Key Artist",not(iserror(vlookup($F774,'Reference info'!$J$38:$J$405,1,0))),"Performer",not(iserror(vlookup($F774,'Reference info'!$J$10:$J$36,1,0))),"Producer &amp; Engineer")</f>
        <v/>
      </c>
    </row>
    <row r="775">
      <c r="B775" s="103"/>
      <c r="C775" s="121" t="str">
        <f t="array" ref="C775">ifs(and(isblank($A775),isblank($B775)),"", not(iserror(vlookup($A775&amp;$B775,'5) Release_Track'!$F:$F&amp;'5) Release_Track'!$G:$G,1,0))),vlookup($A775&amp;$B775,{'5) Release_Track'!$F:$F&amp;'5) Release_Track'!$G:$G,'5) Release_Track'!$H:$H},2,0), or(and(not(isblank($B775)),$B775=$B774,$A775&lt;&gt;$A774),and(not(isblank($A775)),$A775=$A774,$B775&lt;&gt;$B774)),"ID LISTS UNALIGNED",and($A775&lt;&gt;"",countif('5) Release_Track'!$F:$F,$A775)=0),"NO ISRC MATCH in Release_Track",and($B775&lt;&gt;"",countif('5) Release_Track'!$G:$G,$B775)=0),"NO CATALOG ID MATCH in Release_Track",iserror(vlookup($A775&amp;$B775,'5) Release_Track'!$F:$F&amp;'5) Release_Track'!$G:$G,1,0)),"NO ISRC-CATALOG ID pair MATCH in Release_Track" )</f>
        <v/>
      </c>
      <c r="D775" s="121" t="str">
        <f t="array" ref="D775">ifs(and(isblank($A775),isblank($B775)),"", not(iserror(vlookup($A775&amp;$B775,'5) Release_Track'!$F:$F&amp;'5) Release_Track'!$G:$G,1,0))),vlookup($A775&amp;$B775,{'5) Release_Track'!$F:$F&amp;'5) Release_Track'!$G:$G,'5) Release_Track'!$I:$I},2,0), or(and(not(isblank($B775)),$B775=$B774,$A775&lt;&gt;$A774),and(not(isblank($A775)),$A775=$A774,$B775&lt;&gt;$B774)),"ID LISTS UNALIGNED",and($A775&lt;&gt;"",countif('5) Release_Track'!$F:$F,$A775)=0),"NO ISRC MATCH in Release_Track",and($B775&lt;&gt;"",countif('5) Release_Track'!$G:$G,$B775)=0),"NO CATALOG ID MATCH in Release_Track",iserror(vlookup($A775&amp;$B775,'5) Release_Track'!$F:$F&amp;'5) Release_Track'!$G:$G,1,0)),"NO ISRC-CATALOG ID pair MATCH in Release_Track" )</f>
        <v/>
      </c>
      <c r="E775" s="99"/>
      <c r="F775" s="99"/>
      <c r="G775" s="123" t="str">
        <f t="array" ref="G775">ifs(or($F775="",$F775="Main Primary Artist"),$F775,not(iserror(vlookup($F775,'Reference info'!$J$5:$J$8,1,0))),"Key Artist",not(iserror(vlookup($F775,'Reference info'!$J$38:$J$405,1,0))),"Performer",not(iserror(vlookup($F775,'Reference info'!$J$10:$J$36,1,0))),"Producer &amp; Engineer")</f>
        <v/>
      </c>
    </row>
    <row r="776">
      <c r="B776" s="103"/>
      <c r="C776" s="121" t="str">
        <f t="array" ref="C776">ifs(and(isblank($A776),isblank($B776)),"", not(iserror(vlookup($A776&amp;$B776,'5) Release_Track'!$F:$F&amp;'5) Release_Track'!$G:$G,1,0))),vlookup($A776&amp;$B776,{'5) Release_Track'!$F:$F&amp;'5) Release_Track'!$G:$G,'5) Release_Track'!$H:$H},2,0), or(and(not(isblank($B776)),$B776=$B775,$A776&lt;&gt;$A775),and(not(isblank($A776)),$A776=$A775,$B776&lt;&gt;$B775)),"ID LISTS UNALIGNED",and($A776&lt;&gt;"",countif('5) Release_Track'!$F:$F,$A776)=0),"NO ISRC MATCH in Release_Track",and($B776&lt;&gt;"",countif('5) Release_Track'!$G:$G,$B776)=0),"NO CATALOG ID MATCH in Release_Track",iserror(vlookup($A776&amp;$B776,'5) Release_Track'!$F:$F&amp;'5) Release_Track'!$G:$G,1,0)),"NO ISRC-CATALOG ID pair MATCH in Release_Track" )</f>
        <v/>
      </c>
      <c r="D776" s="121" t="str">
        <f t="array" ref="D776">ifs(and(isblank($A776),isblank($B776)),"", not(iserror(vlookup($A776&amp;$B776,'5) Release_Track'!$F:$F&amp;'5) Release_Track'!$G:$G,1,0))),vlookup($A776&amp;$B776,{'5) Release_Track'!$F:$F&amp;'5) Release_Track'!$G:$G,'5) Release_Track'!$I:$I},2,0), or(and(not(isblank($B776)),$B776=$B775,$A776&lt;&gt;$A775),and(not(isblank($A776)),$A776=$A775,$B776&lt;&gt;$B775)),"ID LISTS UNALIGNED",and($A776&lt;&gt;"",countif('5) Release_Track'!$F:$F,$A776)=0),"NO ISRC MATCH in Release_Track",and($B776&lt;&gt;"",countif('5) Release_Track'!$G:$G,$B776)=0),"NO CATALOG ID MATCH in Release_Track",iserror(vlookup($A776&amp;$B776,'5) Release_Track'!$F:$F&amp;'5) Release_Track'!$G:$G,1,0)),"NO ISRC-CATALOG ID pair MATCH in Release_Track" )</f>
        <v/>
      </c>
      <c r="E776" s="99"/>
      <c r="F776" s="99"/>
      <c r="G776" s="123" t="str">
        <f t="array" ref="G776">ifs(or($F776="",$F776="Main Primary Artist"),$F776,not(iserror(vlookup($F776,'Reference info'!$J$5:$J$8,1,0))),"Key Artist",not(iserror(vlookup($F776,'Reference info'!$J$38:$J$405,1,0))),"Performer",not(iserror(vlookup($F776,'Reference info'!$J$10:$J$36,1,0))),"Producer &amp; Engineer")</f>
        <v/>
      </c>
    </row>
    <row r="777">
      <c r="B777" s="103"/>
      <c r="C777" s="121" t="str">
        <f t="array" ref="C777">ifs(and(isblank($A777),isblank($B777)),"", not(iserror(vlookup($A777&amp;$B777,'5) Release_Track'!$F:$F&amp;'5) Release_Track'!$G:$G,1,0))),vlookup($A777&amp;$B777,{'5) Release_Track'!$F:$F&amp;'5) Release_Track'!$G:$G,'5) Release_Track'!$H:$H},2,0), or(and(not(isblank($B777)),$B777=$B776,$A777&lt;&gt;$A776),and(not(isblank($A777)),$A777=$A776,$B777&lt;&gt;$B776)),"ID LISTS UNALIGNED",and($A777&lt;&gt;"",countif('5) Release_Track'!$F:$F,$A777)=0),"NO ISRC MATCH in Release_Track",and($B777&lt;&gt;"",countif('5) Release_Track'!$G:$G,$B777)=0),"NO CATALOG ID MATCH in Release_Track",iserror(vlookup($A777&amp;$B777,'5) Release_Track'!$F:$F&amp;'5) Release_Track'!$G:$G,1,0)),"NO ISRC-CATALOG ID pair MATCH in Release_Track" )</f>
        <v/>
      </c>
      <c r="D777" s="121" t="str">
        <f t="array" ref="D777">ifs(and(isblank($A777),isblank($B777)),"", not(iserror(vlookup($A777&amp;$B777,'5) Release_Track'!$F:$F&amp;'5) Release_Track'!$G:$G,1,0))),vlookup($A777&amp;$B777,{'5) Release_Track'!$F:$F&amp;'5) Release_Track'!$G:$G,'5) Release_Track'!$I:$I},2,0), or(and(not(isblank($B777)),$B777=$B776,$A777&lt;&gt;$A776),and(not(isblank($A777)),$A777=$A776,$B777&lt;&gt;$B776)),"ID LISTS UNALIGNED",and($A777&lt;&gt;"",countif('5) Release_Track'!$F:$F,$A777)=0),"NO ISRC MATCH in Release_Track",and($B777&lt;&gt;"",countif('5) Release_Track'!$G:$G,$B777)=0),"NO CATALOG ID MATCH in Release_Track",iserror(vlookup($A777&amp;$B777,'5) Release_Track'!$F:$F&amp;'5) Release_Track'!$G:$G,1,0)),"NO ISRC-CATALOG ID pair MATCH in Release_Track" )</f>
        <v/>
      </c>
      <c r="E777" s="99"/>
      <c r="F777" s="99"/>
      <c r="G777" s="123" t="str">
        <f t="array" ref="G777">ifs(or($F777="",$F777="Main Primary Artist"),$F777,not(iserror(vlookup($F777,'Reference info'!$J$5:$J$8,1,0))),"Key Artist",not(iserror(vlookup($F777,'Reference info'!$J$38:$J$405,1,0))),"Performer",not(iserror(vlookup($F777,'Reference info'!$J$10:$J$36,1,0))),"Producer &amp; Engineer")</f>
        <v/>
      </c>
    </row>
    <row r="778">
      <c r="B778" s="103"/>
      <c r="C778" s="121" t="str">
        <f t="array" ref="C778">ifs(and(isblank($A778),isblank($B778)),"", not(iserror(vlookup($A778&amp;$B778,'5) Release_Track'!$F:$F&amp;'5) Release_Track'!$G:$G,1,0))),vlookup($A778&amp;$B778,{'5) Release_Track'!$F:$F&amp;'5) Release_Track'!$G:$G,'5) Release_Track'!$H:$H},2,0), or(and(not(isblank($B778)),$B778=$B777,$A778&lt;&gt;$A777),and(not(isblank($A778)),$A778=$A777,$B778&lt;&gt;$B777)),"ID LISTS UNALIGNED",and($A778&lt;&gt;"",countif('5) Release_Track'!$F:$F,$A778)=0),"NO ISRC MATCH in Release_Track",and($B778&lt;&gt;"",countif('5) Release_Track'!$G:$G,$B778)=0),"NO CATALOG ID MATCH in Release_Track",iserror(vlookup($A778&amp;$B778,'5) Release_Track'!$F:$F&amp;'5) Release_Track'!$G:$G,1,0)),"NO ISRC-CATALOG ID pair MATCH in Release_Track" )</f>
        <v/>
      </c>
      <c r="D778" s="121" t="str">
        <f t="array" ref="D778">ifs(and(isblank($A778),isblank($B778)),"", not(iserror(vlookup($A778&amp;$B778,'5) Release_Track'!$F:$F&amp;'5) Release_Track'!$G:$G,1,0))),vlookup($A778&amp;$B778,{'5) Release_Track'!$F:$F&amp;'5) Release_Track'!$G:$G,'5) Release_Track'!$I:$I},2,0), or(and(not(isblank($B778)),$B778=$B777,$A778&lt;&gt;$A777),and(not(isblank($A778)),$A778=$A777,$B778&lt;&gt;$B777)),"ID LISTS UNALIGNED",and($A778&lt;&gt;"",countif('5) Release_Track'!$F:$F,$A778)=0),"NO ISRC MATCH in Release_Track",and($B778&lt;&gt;"",countif('5) Release_Track'!$G:$G,$B778)=0),"NO CATALOG ID MATCH in Release_Track",iserror(vlookup($A778&amp;$B778,'5) Release_Track'!$F:$F&amp;'5) Release_Track'!$G:$G,1,0)),"NO ISRC-CATALOG ID pair MATCH in Release_Track" )</f>
        <v/>
      </c>
      <c r="E778" s="99"/>
      <c r="F778" s="99"/>
      <c r="G778" s="123" t="str">
        <f t="array" ref="G778">ifs(or($F778="",$F778="Main Primary Artist"),$F778,not(iserror(vlookup($F778,'Reference info'!$J$5:$J$8,1,0))),"Key Artist",not(iserror(vlookup($F778,'Reference info'!$J$38:$J$405,1,0))),"Performer",not(iserror(vlookup($F778,'Reference info'!$J$10:$J$36,1,0))),"Producer &amp; Engineer")</f>
        <v/>
      </c>
    </row>
    <row r="779">
      <c r="B779" s="103"/>
      <c r="C779" s="121" t="str">
        <f t="array" ref="C779">ifs(and(isblank($A779),isblank($B779)),"", not(iserror(vlookup($A779&amp;$B779,'5) Release_Track'!$F:$F&amp;'5) Release_Track'!$G:$G,1,0))),vlookup($A779&amp;$B779,{'5) Release_Track'!$F:$F&amp;'5) Release_Track'!$G:$G,'5) Release_Track'!$H:$H},2,0), or(and(not(isblank($B779)),$B779=$B778,$A779&lt;&gt;$A778),and(not(isblank($A779)),$A779=$A778,$B779&lt;&gt;$B778)),"ID LISTS UNALIGNED",and($A779&lt;&gt;"",countif('5) Release_Track'!$F:$F,$A779)=0),"NO ISRC MATCH in Release_Track",and($B779&lt;&gt;"",countif('5) Release_Track'!$G:$G,$B779)=0),"NO CATALOG ID MATCH in Release_Track",iserror(vlookup($A779&amp;$B779,'5) Release_Track'!$F:$F&amp;'5) Release_Track'!$G:$G,1,0)),"NO ISRC-CATALOG ID pair MATCH in Release_Track" )</f>
        <v/>
      </c>
      <c r="D779" s="121" t="str">
        <f t="array" ref="D779">ifs(and(isblank($A779),isblank($B779)),"", not(iserror(vlookup($A779&amp;$B779,'5) Release_Track'!$F:$F&amp;'5) Release_Track'!$G:$G,1,0))),vlookup($A779&amp;$B779,{'5) Release_Track'!$F:$F&amp;'5) Release_Track'!$G:$G,'5) Release_Track'!$I:$I},2,0), or(and(not(isblank($B779)),$B779=$B778,$A779&lt;&gt;$A778),and(not(isblank($A779)),$A779=$A778,$B779&lt;&gt;$B778)),"ID LISTS UNALIGNED",and($A779&lt;&gt;"",countif('5) Release_Track'!$F:$F,$A779)=0),"NO ISRC MATCH in Release_Track",and($B779&lt;&gt;"",countif('5) Release_Track'!$G:$G,$B779)=0),"NO CATALOG ID MATCH in Release_Track",iserror(vlookup($A779&amp;$B779,'5) Release_Track'!$F:$F&amp;'5) Release_Track'!$G:$G,1,0)),"NO ISRC-CATALOG ID pair MATCH in Release_Track" )</f>
        <v/>
      </c>
      <c r="E779" s="99"/>
      <c r="F779" s="99"/>
      <c r="G779" s="123" t="str">
        <f t="array" ref="G779">ifs(or($F779="",$F779="Main Primary Artist"),$F779,not(iserror(vlookup($F779,'Reference info'!$J$5:$J$8,1,0))),"Key Artist",not(iserror(vlookup($F779,'Reference info'!$J$38:$J$405,1,0))),"Performer",not(iserror(vlookup($F779,'Reference info'!$J$10:$J$36,1,0))),"Producer &amp; Engineer")</f>
        <v/>
      </c>
    </row>
    <row r="780">
      <c r="B780" s="103"/>
      <c r="C780" s="121" t="str">
        <f t="array" ref="C780">ifs(and(isblank($A780),isblank($B780)),"", not(iserror(vlookup($A780&amp;$B780,'5) Release_Track'!$F:$F&amp;'5) Release_Track'!$G:$G,1,0))),vlookup($A780&amp;$B780,{'5) Release_Track'!$F:$F&amp;'5) Release_Track'!$G:$G,'5) Release_Track'!$H:$H},2,0), or(and(not(isblank($B780)),$B780=$B779,$A780&lt;&gt;$A779),and(not(isblank($A780)),$A780=$A779,$B780&lt;&gt;$B779)),"ID LISTS UNALIGNED",and($A780&lt;&gt;"",countif('5) Release_Track'!$F:$F,$A780)=0),"NO ISRC MATCH in Release_Track",and($B780&lt;&gt;"",countif('5) Release_Track'!$G:$G,$B780)=0),"NO CATALOG ID MATCH in Release_Track",iserror(vlookup($A780&amp;$B780,'5) Release_Track'!$F:$F&amp;'5) Release_Track'!$G:$G,1,0)),"NO ISRC-CATALOG ID pair MATCH in Release_Track" )</f>
        <v/>
      </c>
      <c r="D780" s="121" t="str">
        <f t="array" ref="D780">ifs(and(isblank($A780),isblank($B780)),"", not(iserror(vlookup($A780&amp;$B780,'5) Release_Track'!$F:$F&amp;'5) Release_Track'!$G:$G,1,0))),vlookup($A780&amp;$B780,{'5) Release_Track'!$F:$F&amp;'5) Release_Track'!$G:$G,'5) Release_Track'!$I:$I},2,0), or(and(not(isblank($B780)),$B780=$B779,$A780&lt;&gt;$A779),and(not(isblank($A780)),$A780=$A779,$B780&lt;&gt;$B779)),"ID LISTS UNALIGNED",and($A780&lt;&gt;"",countif('5) Release_Track'!$F:$F,$A780)=0),"NO ISRC MATCH in Release_Track",and($B780&lt;&gt;"",countif('5) Release_Track'!$G:$G,$B780)=0),"NO CATALOG ID MATCH in Release_Track",iserror(vlookup($A780&amp;$B780,'5) Release_Track'!$F:$F&amp;'5) Release_Track'!$G:$G,1,0)),"NO ISRC-CATALOG ID pair MATCH in Release_Track" )</f>
        <v/>
      </c>
      <c r="E780" s="99"/>
      <c r="F780" s="99"/>
      <c r="G780" s="123" t="str">
        <f t="array" ref="G780">ifs(or($F780="",$F780="Main Primary Artist"),$F780,not(iserror(vlookup($F780,'Reference info'!$J$5:$J$8,1,0))),"Key Artist",not(iserror(vlookup($F780,'Reference info'!$J$38:$J$405,1,0))),"Performer",not(iserror(vlookup($F780,'Reference info'!$J$10:$J$36,1,0))),"Producer &amp; Engineer")</f>
        <v/>
      </c>
    </row>
    <row r="781">
      <c r="B781" s="103"/>
      <c r="C781" s="121" t="str">
        <f t="array" ref="C781">ifs(and(isblank($A781),isblank($B781)),"", not(iserror(vlookup($A781&amp;$B781,'5) Release_Track'!$F:$F&amp;'5) Release_Track'!$G:$G,1,0))),vlookup($A781&amp;$B781,{'5) Release_Track'!$F:$F&amp;'5) Release_Track'!$G:$G,'5) Release_Track'!$H:$H},2,0), or(and(not(isblank($B781)),$B781=$B780,$A781&lt;&gt;$A780),and(not(isblank($A781)),$A781=$A780,$B781&lt;&gt;$B780)),"ID LISTS UNALIGNED",and($A781&lt;&gt;"",countif('5) Release_Track'!$F:$F,$A781)=0),"NO ISRC MATCH in Release_Track",and($B781&lt;&gt;"",countif('5) Release_Track'!$G:$G,$B781)=0),"NO CATALOG ID MATCH in Release_Track",iserror(vlookup($A781&amp;$B781,'5) Release_Track'!$F:$F&amp;'5) Release_Track'!$G:$G,1,0)),"NO ISRC-CATALOG ID pair MATCH in Release_Track" )</f>
        <v/>
      </c>
      <c r="D781" s="121" t="str">
        <f t="array" ref="D781">ifs(and(isblank($A781),isblank($B781)),"", not(iserror(vlookup($A781&amp;$B781,'5) Release_Track'!$F:$F&amp;'5) Release_Track'!$G:$G,1,0))),vlookup($A781&amp;$B781,{'5) Release_Track'!$F:$F&amp;'5) Release_Track'!$G:$G,'5) Release_Track'!$I:$I},2,0), or(and(not(isblank($B781)),$B781=$B780,$A781&lt;&gt;$A780),and(not(isblank($A781)),$A781=$A780,$B781&lt;&gt;$B780)),"ID LISTS UNALIGNED",and($A781&lt;&gt;"",countif('5) Release_Track'!$F:$F,$A781)=0),"NO ISRC MATCH in Release_Track",and($B781&lt;&gt;"",countif('5) Release_Track'!$G:$G,$B781)=0),"NO CATALOG ID MATCH in Release_Track",iserror(vlookup($A781&amp;$B781,'5) Release_Track'!$F:$F&amp;'5) Release_Track'!$G:$G,1,0)),"NO ISRC-CATALOG ID pair MATCH in Release_Track" )</f>
        <v/>
      </c>
      <c r="E781" s="99"/>
      <c r="F781" s="99"/>
      <c r="G781" s="123" t="str">
        <f t="array" ref="G781">ifs(or($F781="",$F781="Main Primary Artist"),$F781,not(iserror(vlookup($F781,'Reference info'!$J$5:$J$8,1,0))),"Key Artist",not(iserror(vlookup($F781,'Reference info'!$J$38:$J$405,1,0))),"Performer",not(iserror(vlookup($F781,'Reference info'!$J$10:$J$36,1,0))),"Producer &amp; Engineer")</f>
        <v/>
      </c>
    </row>
    <row r="782">
      <c r="B782" s="103"/>
      <c r="C782" s="121" t="str">
        <f t="array" ref="C782">ifs(and(isblank($A782),isblank($B782)),"", not(iserror(vlookup($A782&amp;$B782,'5) Release_Track'!$F:$F&amp;'5) Release_Track'!$G:$G,1,0))),vlookup($A782&amp;$B782,{'5) Release_Track'!$F:$F&amp;'5) Release_Track'!$G:$G,'5) Release_Track'!$H:$H},2,0), or(and(not(isblank($B782)),$B782=$B781,$A782&lt;&gt;$A781),and(not(isblank($A782)),$A782=$A781,$B782&lt;&gt;$B781)),"ID LISTS UNALIGNED",and($A782&lt;&gt;"",countif('5) Release_Track'!$F:$F,$A782)=0),"NO ISRC MATCH in Release_Track",and($B782&lt;&gt;"",countif('5) Release_Track'!$G:$G,$B782)=0),"NO CATALOG ID MATCH in Release_Track",iserror(vlookup($A782&amp;$B782,'5) Release_Track'!$F:$F&amp;'5) Release_Track'!$G:$G,1,0)),"NO ISRC-CATALOG ID pair MATCH in Release_Track" )</f>
        <v/>
      </c>
      <c r="D782" s="121" t="str">
        <f t="array" ref="D782">ifs(and(isblank($A782),isblank($B782)),"", not(iserror(vlookup($A782&amp;$B782,'5) Release_Track'!$F:$F&amp;'5) Release_Track'!$G:$G,1,0))),vlookup($A782&amp;$B782,{'5) Release_Track'!$F:$F&amp;'5) Release_Track'!$G:$G,'5) Release_Track'!$I:$I},2,0), or(and(not(isblank($B782)),$B782=$B781,$A782&lt;&gt;$A781),and(not(isblank($A782)),$A782=$A781,$B782&lt;&gt;$B781)),"ID LISTS UNALIGNED",and($A782&lt;&gt;"",countif('5) Release_Track'!$F:$F,$A782)=0),"NO ISRC MATCH in Release_Track",and($B782&lt;&gt;"",countif('5) Release_Track'!$G:$G,$B782)=0),"NO CATALOG ID MATCH in Release_Track",iserror(vlookup($A782&amp;$B782,'5) Release_Track'!$F:$F&amp;'5) Release_Track'!$G:$G,1,0)),"NO ISRC-CATALOG ID pair MATCH in Release_Track" )</f>
        <v/>
      </c>
      <c r="E782" s="99"/>
      <c r="F782" s="99"/>
      <c r="G782" s="123" t="str">
        <f t="array" ref="G782">ifs(or($F782="",$F782="Main Primary Artist"),$F782,not(iserror(vlookup($F782,'Reference info'!$J$5:$J$8,1,0))),"Key Artist",not(iserror(vlookup($F782,'Reference info'!$J$38:$J$405,1,0))),"Performer",not(iserror(vlookup($F782,'Reference info'!$J$10:$J$36,1,0))),"Producer &amp; Engineer")</f>
        <v/>
      </c>
    </row>
    <row r="783">
      <c r="B783" s="103"/>
      <c r="C783" s="121" t="str">
        <f t="array" ref="C783">ifs(and(isblank($A783),isblank($B783)),"", not(iserror(vlookup($A783&amp;$B783,'5) Release_Track'!$F:$F&amp;'5) Release_Track'!$G:$G,1,0))),vlookup($A783&amp;$B783,{'5) Release_Track'!$F:$F&amp;'5) Release_Track'!$G:$G,'5) Release_Track'!$H:$H},2,0), or(and(not(isblank($B783)),$B783=$B782,$A783&lt;&gt;$A782),and(not(isblank($A783)),$A783=$A782,$B783&lt;&gt;$B782)),"ID LISTS UNALIGNED",and($A783&lt;&gt;"",countif('5) Release_Track'!$F:$F,$A783)=0),"NO ISRC MATCH in Release_Track",and($B783&lt;&gt;"",countif('5) Release_Track'!$G:$G,$B783)=0),"NO CATALOG ID MATCH in Release_Track",iserror(vlookup($A783&amp;$B783,'5) Release_Track'!$F:$F&amp;'5) Release_Track'!$G:$G,1,0)),"NO ISRC-CATALOG ID pair MATCH in Release_Track" )</f>
        <v/>
      </c>
      <c r="D783" s="121" t="str">
        <f t="array" ref="D783">ifs(and(isblank($A783),isblank($B783)),"", not(iserror(vlookup($A783&amp;$B783,'5) Release_Track'!$F:$F&amp;'5) Release_Track'!$G:$G,1,0))),vlookup($A783&amp;$B783,{'5) Release_Track'!$F:$F&amp;'5) Release_Track'!$G:$G,'5) Release_Track'!$I:$I},2,0), or(and(not(isblank($B783)),$B783=$B782,$A783&lt;&gt;$A782),and(not(isblank($A783)),$A783=$A782,$B783&lt;&gt;$B782)),"ID LISTS UNALIGNED",and($A783&lt;&gt;"",countif('5) Release_Track'!$F:$F,$A783)=0),"NO ISRC MATCH in Release_Track",and($B783&lt;&gt;"",countif('5) Release_Track'!$G:$G,$B783)=0),"NO CATALOG ID MATCH in Release_Track",iserror(vlookup($A783&amp;$B783,'5) Release_Track'!$F:$F&amp;'5) Release_Track'!$G:$G,1,0)),"NO ISRC-CATALOG ID pair MATCH in Release_Track" )</f>
        <v/>
      </c>
      <c r="E783" s="99"/>
      <c r="F783" s="99"/>
      <c r="G783" s="123" t="str">
        <f t="array" ref="G783">ifs(or($F783="",$F783="Main Primary Artist"),$F783,not(iserror(vlookup($F783,'Reference info'!$J$5:$J$8,1,0))),"Key Artist",not(iserror(vlookup($F783,'Reference info'!$J$38:$J$405,1,0))),"Performer",not(iserror(vlookup($F783,'Reference info'!$J$10:$J$36,1,0))),"Producer &amp; Engineer")</f>
        <v/>
      </c>
    </row>
    <row r="784">
      <c r="B784" s="103"/>
      <c r="C784" s="121" t="str">
        <f t="array" ref="C784">ifs(and(isblank($A784),isblank($B784)),"", not(iserror(vlookup($A784&amp;$B784,'5) Release_Track'!$F:$F&amp;'5) Release_Track'!$G:$G,1,0))),vlookup($A784&amp;$B784,{'5) Release_Track'!$F:$F&amp;'5) Release_Track'!$G:$G,'5) Release_Track'!$H:$H},2,0), or(and(not(isblank($B784)),$B784=$B783,$A784&lt;&gt;$A783),and(not(isblank($A784)),$A784=$A783,$B784&lt;&gt;$B783)),"ID LISTS UNALIGNED",and($A784&lt;&gt;"",countif('5) Release_Track'!$F:$F,$A784)=0),"NO ISRC MATCH in Release_Track",and($B784&lt;&gt;"",countif('5) Release_Track'!$G:$G,$B784)=0),"NO CATALOG ID MATCH in Release_Track",iserror(vlookup($A784&amp;$B784,'5) Release_Track'!$F:$F&amp;'5) Release_Track'!$G:$G,1,0)),"NO ISRC-CATALOG ID pair MATCH in Release_Track" )</f>
        <v/>
      </c>
      <c r="D784" s="121" t="str">
        <f t="array" ref="D784">ifs(and(isblank($A784),isblank($B784)),"", not(iserror(vlookup($A784&amp;$B784,'5) Release_Track'!$F:$F&amp;'5) Release_Track'!$G:$G,1,0))),vlookup($A784&amp;$B784,{'5) Release_Track'!$F:$F&amp;'5) Release_Track'!$G:$G,'5) Release_Track'!$I:$I},2,0), or(and(not(isblank($B784)),$B784=$B783,$A784&lt;&gt;$A783),and(not(isblank($A784)),$A784=$A783,$B784&lt;&gt;$B783)),"ID LISTS UNALIGNED",and($A784&lt;&gt;"",countif('5) Release_Track'!$F:$F,$A784)=0),"NO ISRC MATCH in Release_Track",and($B784&lt;&gt;"",countif('5) Release_Track'!$G:$G,$B784)=0),"NO CATALOG ID MATCH in Release_Track",iserror(vlookup($A784&amp;$B784,'5) Release_Track'!$F:$F&amp;'5) Release_Track'!$G:$G,1,0)),"NO ISRC-CATALOG ID pair MATCH in Release_Track" )</f>
        <v/>
      </c>
      <c r="E784" s="99"/>
      <c r="F784" s="99"/>
      <c r="G784" s="123" t="str">
        <f t="array" ref="G784">ifs(or($F784="",$F784="Main Primary Artist"),$F784,not(iserror(vlookup($F784,'Reference info'!$J$5:$J$8,1,0))),"Key Artist",not(iserror(vlookup($F784,'Reference info'!$J$38:$J$405,1,0))),"Performer",not(iserror(vlookup($F784,'Reference info'!$J$10:$J$36,1,0))),"Producer &amp; Engineer")</f>
        <v/>
      </c>
    </row>
    <row r="785">
      <c r="B785" s="103"/>
      <c r="C785" s="121" t="str">
        <f t="array" ref="C785">ifs(and(isblank($A785),isblank($B785)),"", not(iserror(vlookup($A785&amp;$B785,'5) Release_Track'!$F:$F&amp;'5) Release_Track'!$G:$G,1,0))),vlookup($A785&amp;$B785,{'5) Release_Track'!$F:$F&amp;'5) Release_Track'!$G:$G,'5) Release_Track'!$H:$H},2,0), or(and(not(isblank($B785)),$B785=$B784,$A785&lt;&gt;$A784),and(not(isblank($A785)),$A785=$A784,$B785&lt;&gt;$B784)),"ID LISTS UNALIGNED",and($A785&lt;&gt;"",countif('5) Release_Track'!$F:$F,$A785)=0),"NO ISRC MATCH in Release_Track",and($B785&lt;&gt;"",countif('5) Release_Track'!$G:$G,$B785)=0),"NO CATALOG ID MATCH in Release_Track",iserror(vlookup($A785&amp;$B785,'5) Release_Track'!$F:$F&amp;'5) Release_Track'!$G:$G,1,0)),"NO ISRC-CATALOG ID pair MATCH in Release_Track" )</f>
        <v/>
      </c>
      <c r="D785" s="121" t="str">
        <f t="array" ref="D785">ifs(and(isblank($A785),isblank($B785)),"", not(iserror(vlookup($A785&amp;$B785,'5) Release_Track'!$F:$F&amp;'5) Release_Track'!$G:$G,1,0))),vlookup($A785&amp;$B785,{'5) Release_Track'!$F:$F&amp;'5) Release_Track'!$G:$G,'5) Release_Track'!$I:$I},2,0), or(and(not(isblank($B785)),$B785=$B784,$A785&lt;&gt;$A784),and(not(isblank($A785)),$A785=$A784,$B785&lt;&gt;$B784)),"ID LISTS UNALIGNED",and($A785&lt;&gt;"",countif('5) Release_Track'!$F:$F,$A785)=0),"NO ISRC MATCH in Release_Track",and($B785&lt;&gt;"",countif('5) Release_Track'!$G:$G,$B785)=0),"NO CATALOG ID MATCH in Release_Track",iserror(vlookup($A785&amp;$B785,'5) Release_Track'!$F:$F&amp;'5) Release_Track'!$G:$G,1,0)),"NO ISRC-CATALOG ID pair MATCH in Release_Track" )</f>
        <v/>
      </c>
      <c r="E785" s="99"/>
      <c r="F785" s="99"/>
      <c r="G785" s="123" t="str">
        <f t="array" ref="G785">ifs(or($F785="",$F785="Main Primary Artist"),$F785,not(iserror(vlookup($F785,'Reference info'!$J$5:$J$8,1,0))),"Key Artist",not(iserror(vlookup($F785,'Reference info'!$J$38:$J$405,1,0))),"Performer",not(iserror(vlookup($F785,'Reference info'!$J$10:$J$36,1,0))),"Producer &amp; Engineer")</f>
        <v/>
      </c>
    </row>
    <row r="786">
      <c r="B786" s="103"/>
      <c r="C786" s="121" t="str">
        <f t="array" ref="C786">ifs(and(isblank($A786),isblank($B786)),"", not(iserror(vlookup($A786&amp;$B786,'5) Release_Track'!$F:$F&amp;'5) Release_Track'!$G:$G,1,0))),vlookup($A786&amp;$B786,{'5) Release_Track'!$F:$F&amp;'5) Release_Track'!$G:$G,'5) Release_Track'!$H:$H},2,0), or(and(not(isblank($B786)),$B786=$B785,$A786&lt;&gt;$A785),and(not(isblank($A786)),$A786=$A785,$B786&lt;&gt;$B785)),"ID LISTS UNALIGNED",and($A786&lt;&gt;"",countif('5) Release_Track'!$F:$F,$A786)=0),"NO ISRC MATCH in Release_Track",and($B786&lt;&gt;"",countif('5) Release_Track'!$G:$G,$B786)=0),"NO CATALOG ID MATCH in Release_Track",iserror(vlookup($A786&amp;$B786,'5) Release_Track'!$F:$F&amp;'5) Release_Track'!$G:$G,1,0)),"NO ISRC-CATALOG ID pair MATCH in Release_Track" )</f>
        <v/>
      </c>
      <c r="D786" s="121" t="str">
        <f t="array" ref="D786">ifs(and(isblank($A786),isblank($B786)),"", not(iserror(vlookup($A786&amp;$B786,'5) Release_Track'!$F:$F&amp;'5) Release_Track'!$G:$G,1,0))),vlookup($A786&amp;$B786,{'5) Release_Track'!$F:$F&amp;'5) Release_Track'!$G:$G,'5) Release_Track'!$I:$I},2,0), or(and(not(isblank($B786)),$B786=$B785,$A786&lt;&gt;$A785),and(not(isblank($A786)),$A786=$A785,$B786&lt;&gt;$B785)),"ID LISTS UNALIGNED",and($A786&lt;&gt;"",countif('5) Release_Track'!$F:$F,$A786)=0),"NO ISRC MATCH in Release_Track",and($B786&lt;&gt;"",countif('5) Release_Track'!$G:$G,$B786)=0),"NO CATALOG ID MATCH in Release_Track",iserror(vlookup($A786&amp;$B786,'5) Release_Track'!$F:$F&amp;'5) Release_Track'!$G:$G,1,0)),"NO ISRC-CATALOG ID pair MATCH in Release_Track" )</f>
        <v/>
      </c>
      <c r="E786" s="99"/>
      <c r="F786" s="99"/>
      <c r="G786" s="123" t="str">
        <f t="array" ref="G786">ifs(or($F786="",$F786="Main Primary Artist"),$F786,not(iserror(vlookup($F786,'Reference info'!$J$5:$J$8,1,0))),"Key Artist",not(iserror(vlookup($F786,'Reference info'!$J$38:$J$405,1,0))),"Performer",not(iserror(vlookup($F786,'Reference info'!$J$10:$J$36,1,0))),"Producer &amp; Engineer")</f>
        <v/>
      </c>
    </row>
    <row r="787">
      <c r="B787" s="103"/>
      <c r="C787" s="121" t="str">
        <f t="array" ref="C787">ifs(and(isblank($A787),isblank($B787)),"", not(iserror(vlookup($A787&amp;$B787,'5) Release_Track'!$F:$F&amp;'5) Release_Track'!$G:$G,1,0))),vlookup($A787&amp;$B787,{'5) Release_Track'!$F:$F&amp;'5) Release_Track'!$G:$G,'5) Release_Track'!$H:$H},2,0), or(and(not(isblank($B787)),$B787=$B786,$A787&lt;&gt;$A786),and(not(isblank($A787)),$A787=$A786,$B787&lt;&gt;$B786)),"ID LISTS UNALIGNED",and($A787&lt;&gt;"",countif('5) Release_Track'!$F:$F,$A787)=0),"NO ISRC MATCH in Release_Track",and($B787&lt;&gt;"",countif('5) Release_Track'!$G:$G,$B787)=0),"NO CATALOG ID MATCH in Release_Track",iserror(vlookup($A787&amp;$B787,'5) Release_Track'!$F:$F&amp;'5) Release_Track'!$G:$G,1,0)),"NO ISRC-CATALOG ID pair MATCH in Release_Track" )</f>
        <v/>
      </c>
      <c r="D787" s="121" t="str">
        <f t="array" ref="D787">ifs(and(isblank($A787),isblank($B787)),"", not(iserror(vlookup($A787&amp;$B787,'5) Release_Track'!$F:$F&amp;'5) Release_Track'!$G:$G,1,0))),vlookup($A787&amp;$B787,{'5) Release_Track'!$F:$F&amp;'5) Release_Track'!$G:$G,'5) Release_Track'!$I:$I},2,0), or(and(not(isblank($B787)),$B787=$B786,$A787&lt;&gt;$A786),and(not(isblank($A787)),$A787=$A786,$B787&lt;&gt;$B786)),"ID LISTS UNALIGNED",and($A787&lt;&gt;"",countif('5) Release_Track'!$F:$F,$A787)=0),"NO ISRC MATCH in Release_Track",and($B787&lt;&gt;"",countif('5) Release_Track'!$G:$G,$B787)=0),"NO CATALOG ID MATCH in Release_Track",iserror(vlookup($A787&amp;$B787,'5) Release_Track'!$F:$F&amp;'5) Release_Track'!$G:$G,1,0)),"NO ISRC-CATALOG ID pair MATCH in Release_Track" )</f>
        <v/>
      </c>
      <c r="E787" s="99"/>
      <c r="F787" s="99"/>
      <c r="G787" s="123" t="str">
        <f t="array" ref="G787">ifs(or($F787="",$F787="Main Primary Artist"),$F787,not(iserror(vlookup($F787,'Reference info'!$J$5:$J$8,1,0))),"Key Artist",not(iserror(vlookup($F787,'Reference info'!$J$38:$J$405,1,0))),"Performer",not(iserror(vlookup($F787,'Reference info'!$J$10:$J$36,1,0))),"Producer &amp; Engineer")</f>
        <v/>
      </c>
    </row>
    <row r="788">
      <c r="B788" s="103"/>
      <c r="C788" s="121" t="str">
        <f t="array" ref="C788">ifs(and(isblank($A788),isblank($B788)),"", not(iserror(vlookup($A788&amp;$B788,'5) Release_Track'!$F:$F&amp;'5) Release_Track'!$G:$G,1,0))),vlookup($A788&amp;$B788,{'5) Release_Track'!$F:$F&amp;'5) Release_Track'!$G:$G,'5) Release_Track'!$H:$H},2,0), or(and(not(isblank($B788)),$B788=$B787,$A788&lt;&gt;$A787),and(not(isblank($A788)),$A788=$A787,$B788&lt;&gt;$B787)),"ID LISTS UNALIGNED",and($A788&lt;&gt;"",countif('5) Release_Track'!$F:$F,$A788)=0),"NO ISRC MATCH in Release_Track",and($B788&lt;&gt;"",countif('5) Release_Track'!$G:$G,$B788)=0),"NO CATALOG ID MATCH in Release_Track",iserror(vlookup($A788&amp;$B788,'5) Release_Track'!$F:$F&amp;'5) Release_Track'!$G:$G,1,0)),"NO ISRC-CATALOG ID pair MATCH in Release_Track" )</f>
        <v/>
      </c>
      <c r="D788" s="121" t="str">
        <f t="array" ref="D788">ifs(and(isblank($A788),isblank($B788)),"", not(iserror(vlookup($A788&amp;$B788,'5) Release_Track'!$F:$F&amp;'5) Release_Track'!$G:$G,1,0))),vlookup($A788&amp;$B788,{'5) Release_Track'!$F:$F&amp;'5) Release_Track'!$G:$G,'5) Release_Track'!$I:$I},2,0), or(and(not(isblank($B788)),$B788=$B787,$A788&lt;&gt;$A787),and(not(isblank($A788)),$A788=$A787,$B788&lt;&gt;$B787)),"ID LISTS UNALIGNED",and($A788&lt;&gt;"",countif('5) Release_Track'!$F:$F,$A788)=0),"NO ISRC MATCH in Release_Track",and($B788&lt;&gt;"",countif('5) Release_Track'!$G:$G,$B788)=0),"NO CATALOG ID MATCH in Release_Track",iserror(vlookup($A788&amp;$B788,'5) Release_Track'!$F:$F&amp;'5) Release_Track'!$G:$G,1,0)),"NO ISRC-CATALOG ID pair MATCH in Release_Track" )</f>
        <v/>
      </c>
      <c r="E788" s="99"/>
      <c r="F788" s="99"/>
      <c r="G788" s="123" t="str">
        <f t="array" ref="G788">ifs(or($F788="",$F788="Main Primary Artist"),$F788,not(iserror(vlookup($F788,'Reference info'!$J$5:$J$8,1,0))),"Key Artist",not(iserror(vlookup($F788,'Reference info'!$J$38:$J$405,1,0))),"Performer",not(iserror(vlookup($F788,'Reference info'!$J$10:$J$36,1,0))),"Producer &amp; Engineer")</f>
        <v/>
      </c>
    </row>
    <row r="789">
      <c r="B789" s="103"/>
      <c r="C789" s="121" t="str">
        <f t="array" ref="C789">ifs(and(isblank($A789),isblank($B789)),"", not(iserror(vlookup($A789&amp;$B789,'5) Release_Track'!$F:$F&amp;'5) Release_Track'!$G:$G,1,0))),vlookup($A789&amp;$B789,{'5) Release_Track'!$F:$F&amp;'5) Release_Track'!$G:$G,'5) Release_Track'!$H:$H},2,0), or(and(not(isblank($B789)),$B789=$B788,$A789&lt;&gt;$A788),and(not(isblank($A789)),$A789=$A788,$B789&lt;&gt;$B788)),"ID LISTS UNALIGNED",and($A789&lt;&gt;"",countif('5) Release_Track'!$F:$F,$A789)=0),"NO ISRC MATCH in Release_Track",and($B789&lt;&gt;"",countif('5) Release_Track'!$G:$G,$B789)=0),"NO CATALOG ID MATCH in Release_Track",iserror(vlookup($A789&amp;$B789,'5) Release_Track'!$F:$F&amp;'5) Release_Track'!$G:$G,1,0)),"NO ISRC-CATALOG ID pair MATCH in Release_Track" )</f>
        <v/>
      </c>
      <c r="D789" s="121" t="str">
        <f t="array" ref="D789">ifs(and(isblank($A789),isblank($B789)),"", not(iserror(vlookup($A789&amp;$B789,'5) Release_Track'!$F:$F&amp;'5) Release_Track'!$G:$G,1,0))),vlookup($A789&amp;$B789,{'5) Release_Track'!$F:$F&amp;'5) Release_Track'!$G:$G,'5) Release_Track'!$I:$I},2,0), or(and(not(isblank($B789)),$B789=$B788,$A789&lt;&gt;$A788),and(not(isblank($A789)),$A789=$A788,$B789&lt;&gt;$B788)),"ID LISTS UNALIGNED",and($A789&lt;&gt;"",countif('5) Release_Track'!$F:$F,$A789)=0),"NO ISRC MATCH in Release_Track",and($B789&lt;&gt;"",countif('5) Release_Track'!$G:$G,$B789)=0),"NO CATALOG ID MATCH in Release_Track",iserror(vlookup($A789&amp;$B789,'5) Release_Track'!$F:$F&amp;'5) Release_Track'!$G:$G,1,0)),"NO ISRC-CATALOG ID pair MATCH in Release_Track" )</f>
        <v/>
      </c>
      <c r="E789" s="99"/>
      <c r="F789" s="99"/>
      <c r="G789" s="123" t="str">
        <f t="array" ref="G789">ifs(or($F789="",$F789="Main Primary Artist"),$F789,not(iserror(vlookup($F789,'Reference info'!$J$5:$J$8,1,0))),"Key Artist",not(iserror(vlookup($F789,'Reference info'!$J$38:$J$405,1,0))),"Performer",not(iserror(vlookup($F789,'Reference info'!$J$10:$J$36,1,0))),"Producer &amp; Engineer")</f>
        <v/>
      </c>
    </row>
    <row r="790">
      <c r="B790" s="103"/>
      <c r="C790" s="121" t="str">
        <f t="array" ref="C790">ifs(and(isblank($A790),isblank($B790)),"", not(iserror(vlookup($A790&amp;$B790,'5) Release_Track'!$F:$F&amp;'5) Release_Track'!$G:$G,1,0))),vlookup($A790&amp;$B790,{'5) Release_Track'!$F:$F&amp;'5) Release_Track'!$G:$G,'5) Release_Track'!$H:$H},2,0), or(and(not(isblank($B790)),$B790=$B789,$A790&lt;&gt;$A789),and(not(isblank($A790)),$A790=$A789,$B790&lt;&gt;$B789)),"ID LISTS UNALIGNED",and($A790&lt;&gt;"",countif('5) Release_Track'!$F:$F,$A790)=0),"NO ISRC MATCH in Release_Track",and($B790&lt;&gt;"",countif('5) Release_Track'!$G:$G,$B790)=0),"NO CATALOG ID MATCH in Release_Track",iserror(vlookup($A790&amp;$B790,'5) Release_Track'!$F:$F&amp;'5) Release_Track'!$G:$G,1,0)),"NO ISRC-CATALOG ID pair MATCH in Release_Track" )</f>
        <v/>
      </c>
      <c r="D790" s="121" t="str">
        <f t="array" ref="D790">ifs(and(isblank($A790),isblank($B790)),"", not(iserror(vlookup($A790&amp;$B790,'5) Release_Track'!$F:$F&amp;'5) Release_Track'!$G:$G,1,0))),vlookup($A790&amp;$B790,{'5) Release_Track'!$F:$F&amp;'5) Release_Track'!$G:$G,'5) Release_Track'!$I:$I},2,0), or(and(not(isblank($B790)),$B790=$B789,$A790&lt;&gt;$A789),and(not(isblank($A790)),$A790=$A789,$B790&lt;&gt;$B789)),"ID LISTS UNALIGNED",and($A790&lt;&gt;"",countif('5) Release_Track'!$F:$F,$A790)=0),"NO ISRC MATCH in Release_Track",and($B790&lt;&gt;"",countif('5) Release_Track'!$G:$G,$B790)=0),"NO CATALOG ID MATCH in Release_Track",iserror(vlookup($A790&amp;$B790,'5) Release_Track'!$F:$F&amp;'5) Release_Track'!$G:$G,1,0)),"NO ISRC-CATALOG ID pair MATCH in Release_Track" )</f>
        <v/>
      </c>
      <c r="E790" s="99"/>
      <c r="F790" s="99"/>
      <c r="G790" s="123" t="str">
        <f t="array" ref="G790">ifs(or($F790="",$F790="Main Primary Artist"),$F790,not(iserror(vlookup($F790,'Reference info'!$J$5:$J$8,1,0))),"Key Artist",not(iserror(vlookup($F790,'Reference info'!$J$38:$J$405,1,0))),"Performer",not(iserror(vlookup($F790,'Reference info'!$J$10:$J$36,1,0))),"Producer &amp; Engineer")</f>
        <v/>
      </c>
    </row>
    <row r="791">
      <c r="B791" s="103"/>
      <c r="C791" s="121" t="str">
        <f t="array" ref="C791">ifs(and(isblank($A791),isblank($B791)),"", not(iserror(vlookup($A791&amp;$B791,'5) Release_Track'!$F:$F&amp;'5) Release_Track'!$G:$G,1,0))),vlookup($A791&amp;$B791,{'5) Release_Track'!$F:$F&amp;'5) Release_Track'!$G:$G,'5) Release_Track'!$H:$H},2,0), or(and(not(isblank($B791)),$B791=$B790,$A791&lt;&gt;$A790),and(not(isblank($A791)),$A791=$A790,$B791&lt;&gt;$B790)),"ID LISTS UNALIGNED",and($A791&lt;&gt;"",countif('5) Release_Track'!$F:$F,$A791)=0),"NO ISRC MATCH in Release_Track",and($B791&lt;&gt;"",countif('5) Release_Track'!$G:$G,$B791)=0),"NO CATALOG ID MATCH in Release_Track",iserror(vlookup($A791&amp;$B791,'5) Release_Track'!$F:$F&amp;'5) Release_Track'!$G:$G,1,0)),"NO ISRC-CATALOG ID pair MATCH in Release_Track" )</f>
        <v/>
      </c>
      <c r="D791" s="121" t="str">
        <f t="array" ref="D791">ifs(and(isblank($A791),isblank($B791)),"", not(iserror(vlookup($A791&amp;$B791,'5) Release_Track'!$F:$F&amp;'5) Release_Track'!$G:$G,1,0))),vlookup($A791&amp;$B791,{'5) Release_Track'!$F:$F&amp;'5) Release_Track'!$G:$G,'5) Release_Track'!$I:$I},2,0), or(and(not(isblank($B791)),$B791=$B790,$A791&lt;&gt;$A790),and(not(isblank($A791)),$A791=$A790,$B791&lt;&gt;$B790)),"ID LISTS UNALIGNED",and($A791&lt;&gt;"",countif('5) Release_Track'!$F:$F,$A791)=0),"NO ISRC MATCH in Release_Track",and($B791&lt;&gt;"",countif('5) Release_Track'!$G:$G,$B791)=0),"NO CATALOG ID MATCH in Release_Track",iserror(vlookup($A791&amp;$B791,'5) Release_Track'!$F:$F&amp;'5) Release_Track'!$G:$G,1,0)),"NO ISRC-CATALOG ID pair MATCH in Release_Track" )</f>
        <v/>
      </c>
      <c r="E791" s="99"/>
      <c r="F791" s="99"/>
      <c r="G791" s="123" t="str">
        <f t="array" ref="G791">ifs(or($F791="",$F791="Main Primary Artist"),$F791,not(iserror(vlookup($F791,'Reference info'!$J$5:$J$8,1,0))),"Key Artist",not(iserror(vlookup($F791,'Reference info'!$J$38:$J$405,1,0))),"Performer",not(iserror(vlookup($F791,'Reference info'!$J$10:$J$36,1,0))),"Producer &amp; Engineer")</f>
        <v/>
      </c>
    </row>
    <row r="792">
      <c r="B792" s="103"/>
      <c r="C792" s="121" t="str">
        <f t="array" ref="C792">ifs(and(isblank($A792),isblank($B792)),"", not(iserror(vlookup($A792&amp;$B792,'5) Release_Track'!$F:$F&amp;'5) Release_Track'!$G:$G,1,0))),vlookup($A792&amp;$B792,{'5) Release_Track'!$F:$F&amp;'5) Release_Track'!$G:$G,'5) Release_Track'!$H:$H},2,0), or(and(not(isblank($B792)),$B792=$B791,$A792&lt;&gt;$A791),and(not(isblank($A792)),$A792=$A791,$B792&lt;&gt;$B791)),"ID LISTS UNALIGNED",and($A792&lt;&gt;"",countif('5) Release_Track'!$F:$F,$A792)=0),"NO ISRC MATCH in Release_Track",and($B792&lt;&gt;"",countif('5) Release_Track'!$G:$G,$B792)=0),"NO CATALOG ID MATCH in Release_Track",iserror(vlookup($A792&amp;$B792,'5) Release_Track'!$F:$F&amp;'5) Release_Track'!$G:$G,1,0)),"NO ISRC-CATALOG ID pair MATCH in Release_Track" )</f>
        <v/>
      </c>
      <c r="D792" s="121" t="str">
        <f t="array" ref="D792">ifs(and(isblank($A792),isblank($B792)),"", not(iserror(vlookup($A792&amp;$B792,'5) Release_Track'!$F:$F&amp;'5) Release_Track'!$G:$G,1,0))),vlookup($A792&amp;$B792,{'5) Release_Track'!$F:$F&amp;'5) Release_Track'!$G:$G,'5) Release_Track'!$I:$I},2,0), or(and(not(isblank($B792)),$B792=$B791,$A792&lt;&gt;$A791),and(not(isblank($A792)),$A792=$A791,$B792&lt;&gt;$B791)),"ID LISTS UNALIGNED",and($A792&lt;&gt;"",countif('5) Release_Track'!$F:$F,$A792)=0),"NO ISRC MATCH in Release_Track",and($B792&lt;&gt;"",countif('5) Release_Track'!$G:$G,$B792)=0),"NO CATALOG ID MATCH in Release_Track",iserror(vlookup($A792&amp;$B792,'5) Release_Track'!$F:$F&amp;'5) Release_Track'!$G:$G,1,0)),"NO ISRC-CATALOG ID pair MATCH in Release_Track" )</f>
        <v/>
      </c>
      <c r="E792" s="99"/>
      <c r="F792" s="99"/>
      <c r="G792" s="123" t="str">
        <f t="array" ref="G792">ifs(or($F792="",$F792="Main Primary Artist"),$F792,not(iserror(vlookup($F792,'Reference info'!$J$5:$J$8,1,0))),"Key Artist",not(iserror(vlookup($F792,'Reference info'!$J$38:$J$405,1,0))),"Performer",not(iserror(vlookup($F792,'Reference info'!$J$10:$J$36,1,0))),"Producer &amp; Engineer")</f>
        <v/>
      </c>
    </row>
    <row r="793">
      <c r="B793" s="103"/>
      <c r="C793" s="121" t="str">
        <f t="array" ref="C793">ifs(and(isblank($A793),isblank($B793)),"", not(iserror(vlookup($A793&amp;$B793,'5) Release_Track'!$F:$F&amp;'5) Release_Track'!$G:$G,1,0))),vlookup($A793&amp;$B793,{'5) Release_Track'!$F:$F&amp;'5) Release_Track'!$G:$G,'5) Release_Track'!$H:$H},2,0), or(and(not(isblank($B793)),$B793=$B792,$A793&lt;&gt;$A792),and(not(isblank($A793)),$A793=$A792,$B793&lt;&gt;$B792)),"ID LISTS UNALIGNED",and($A793&lt;&gt;"",countif('5) Release_Track'!$F:$F,$A793)=0),"NO ISRC MATCH in Release_Track",and($B793&lt;&gt;"",countif('5) Release_Track'!$G:$G,$B793)=0),"NO CATALOG ID MATCH in Release_Track",iserror(vlookup($A793&amp;$B793,'5) Release_Track'!$F:$F&amp;'5) Release_Track'!$G:$G,1,0)),"NO ISRC-CATALOG ID pair MATCH in Release_Track" )</f>
        <v/>
      </c>
      <c r="D793" s="121" t="str">
        <f t="array" ref="D793">ifs(and(isblank($A793),isblank($B793)),"", not(iserror(vlookup($A793&amp;$B793,'5) Release_Track'!$F:$F&amp;'5) Release_Track'!$G:$G,1,0))),vlookup($A793&amp;$B793,{'5) Release_Track'!$F:$F&amp;'5) Release_Track'!$G:$G,'5) Release_Track'!$I:$I},2,0), or(and(not(isblank($B793)),$B793=$B792,$A793&lt;&gt;$A792),and(not(isblank($A793)),$A793=$A792,$B793&lt;&gt;$B792)),"ID LISTS UNALIGNED",and($A793&lt;&gt;"",countif('5) Release_Track'!$F:$F,$A793)=0),"NO ISRC MATCH in Release_Track",and($B793&lt;&gt;"",countif('5) Release_Track'!$G:$G,$B793)=0),"NO CATALOG ID MATCH in Release_Track",iserror(vlookup($A793&amp;$B793,'5) Release_Track'!$F:$F&amp;'5) Release_Track'!$G:$G,1,0)),"NO ISRC-CATALOG ID pair MATCH in Release_Track" )</f>
        <v/>
      </c>
      <c r="E793" s="99"/>
      <c r="F793" s="99"/>
      <c r="G793" s="123" t="str">
        <f t="array" ref="G793">ifs(or($F793="",$F793="Main Primary Artist"),$F793,not(iserror(vlookup($F793,'Reference info'!$J$5:$J$8,1,0))),"Key Artist",not(iserror(vlookup($F793,'Reference info'!$J$38:$J$405,1,0))),"Performer",not(iserror(vlookup($F793,'Reference info'!$J$10:$J$36,1,0))),"Producer &amp; Engineer")</f>
        <v/>
      </c>
    </row>
    <row r="794">
      <c r="B794" s="103"/>
      <c r="C794" s="121" t="str">
        <f t="array" ref="C794">ifs(and(isblank($A794),isblank($B794)),"", not(iserror(vlookup($A794&amp;$B794,'5) Release_Track'!$F:$F&amp;'5) Release_Track'!$G:$G,1,0))),vlookup($A794&amp;$B794,{'5) Release_Track'!$F:$F&amp;'5) Release_Track'!$G:$G,'5) Release_Track'!$H:$H},2,0), or(and(not(isblank($B794)),$B794=$B793,$A794&lt;&gt;$A793),and(not(isblank($A794)),$A794=$A793,$B794&lt;&gt;$B793)),"ID LISTS UNALIGNED",and($A794&lt;&gt;"",countif('5) Release_Track'!$F:$F,$A794)=0),"NO ISRC MATCH in Release_Track",and($B794&lt;&gt;"",countif('5) Release_Track'!$G:$G,$B794)=0),"NO CATALOG ID MATCH in Release_Track",iserror(vlookup($A794&amp;$B794,'5) Release_Track'!$F:$F&amp;'5) Release_Track'!$G:$G,1,0)),"NO ISRC-CATALOG ID pair MATCH in Release_Track" )</f>
        <v/>
      </c>
      <c r="D794" s="121" t="str">
        <f t="array" ref="D794">ifs(and(isblank($A794),isblank($B794)),"", not(iserror(vlookup($A794&amp;$B794,'5) Release_Track'!$F:$F&amp;'5) Release_Track'!$G:$G,1,0))),vlookup($A794&amp;$B794,{'5) Release_Track'!$F:$F&amp;'5) Release_Track'!$G:$G,'5) Release_Track'!$I:$I},2,0), or(and(not(isblank($B794)),$B794=$B793,$A794&lt;&gt;$A793),and(not(isblank($A794)),$A794=$A793,$B794&lt;&gt;$B793)),"ID LISTS UNALIGNED",and($A794&lt;&gt;"",countif('5) Release_Track'!$F:$F,$A794)=0),"NO ISRC MATCH in Release_Track",and($B794&lt;&gt;"",countif('5) Release_Track'!$G:$G,$B794)=0),"NO CATALOG ID MATCH in Release_Track",iserror(vlookup($A794&amp;$B794,'5) Release_Track'!$F:$F&amp;'5) Release_Track'!$G:$G,1,0)),"NO ISRC-CATALOG ID pair MATCH in Release_Track" )</f>
        <v/>
      </c>
      <c r="E794" s="99"/>
      <c r="F794" s="99"/>
      <c r="G794" s="123" t="str">
        <f t="array" ref="G794">ifs(or($F794="",$F794="Main Primary Artist"),$F794,not(iserror(vlookup($F794,'Reference info'!$J$5:$J$8,1,0))),"Key Artist",not(iserror(vlookup($F794,'Reference info'!$J$38:$J$405,1,0))),"Performer",not(iserror(vlookup($F794,'Reference info'!$J$10:$J$36,1,0))),"Producer &amp; Engineer")</f>
        <v/>
      </c>
    </row>
    <row r="795">
      <c r="B795" s="103"/>
      <c r="C795" s="121" t="str">
        <f t="array" ref="C795">ifs(and(isblank($A795),isblank($B795)),"", not(iserror(vlookup($A795&amp;$B795,'5) Release_Track'!$F:$F&amp;'5) Release_Track'!$G:$G,1,0))),vlookup($A795&amp;$B795,{'5) Release_Track'!$F:$F&amp;'5) Release_Track'!$G:$G,'5) Release_Track'!$H:$H},2,0), or(and(not(isblank($B795)),$B795=$B794,$A795&lt;&gt;$A794),and(not(isblank($A795)),$A795=$A794,$B795&lt;&gt;$B794)),"ID LISTS UNALIGNED",and($A795&lt;&gt;"",countif('5) Release_Track'!$F:$F,$A795)=0),"NO ISRC MATCH in Release_Track",and($B795&lt;&gt;"",countif('5) Release_Track'!$G:$G,$B795)=0),"NO CATALOG ID MATCH in Release_Track",iserror(vlookup($A795&amp;$B795,'5) Release_Track'!$F:$F&amp;'5) Release_Track'!$G:$G,1,0)),"NO ISRC-CATALOG ID pair MATCH in Release_Track" )</f>
        <v/>
      </c>
      <c r="D795" s="121" t="str">
        <f t="array" ref="D795">ifs(and(isblank($A795),isblank($B795)),"", not(iserror(vlookup($A795&amp;$B795,'5) Release_Track'!$F:$F&amp;'5) Release_Track'!$G:$G,1,0))),vlookup($A795&amp;$B795,{'5) Release_Track'!$F:$F&amp;'5) Release_Track'!$G:$G,'5) Release_Track'!$I:$I},2,0), or(and(not(isblank($B795)),$B795=$B794,$A795&lt;&gt;$A794),and(not(isblank($A795)),$A795=$A794,$B795&lt;&gt;$B794)),"ID LISTS UNALIGNED",and($A795&lt;&gt;"",countif('5) Release_Track'!$F:$F,$A795)=0),"NO ISRC MATCH in Release_Track",and($B795&lt;&gt;"",countif('5) Release_Track'!$G:$G,$B795)=0),"NO CATALOG ID MATCH in Release_Track",iserror(vlookup($A795&amp;$B795,'5) Release_Track'!$F:$F&amp;'5) Release_Track'!$G:$G,1,0)),"NO ISRC-CATALOG ID pair MATCH in Release_Track" )</f>
        <v/>
      </c>
      <c r="E795" s="99"/>
      <c r="F795" s="99"/>
      <c r="G795" s="123" t="str">
        <f t="array" ref="G795">ifs(or($F795="",$F795="Main Primary Artist"),$F795,not(iserror(vlookup($F795,'Reference info'!$J$5:$J$8,1,0))),"Key Artist",not(iserror(vlookup($F795,'Reference info'!$J$38:$J$405,1,0))),"Performer",not(iserror(vlookup($F795,'Reference info'!$J$10:$J$36,1,0))),"Producer &amp; Engineer")</f>
        <v/>
      </c>
    </row>
    <row r="796">
      <c r="B796" s="103"/>
      <c r="C796" s="121" t="str">
        <f t="array" ref="C796">ifs(and(isblank($A796),isblank($B796)),"", not(iserror(vlookup($A796&amp;$B796,'5) Release_Track'!$F:$F&amp;'5) Release_Track'!$G:$G,1,0))),vlookup($A796&amp;$B796,{'5) Release_Track'!$F:$F&amp;'5) Release_Track'!$G:$G,'5) Release_Track'!$H:$H},2,0), or(and(not(isblank($B796)),$B796=$B795,$A796&lt;&gt;$A795),and(not(isblank($A796)),$A796=$A795,$B796&lt;&gt;$B795)),"ID LISTS UNALIGNED",and($A796&lt;&gt;"",countif('5) Release_Track'!$F:$F,$A796)=0),"NO ISRC MATCH in Release_Track",and($B796&lt;&gt;"",countif('5) Release_Track'!$G:$G,$B796)=0),"NO CATALOG ID MATCH in Release_Track",iserror(vlookup($A796&amp;$B796,'5) Release_Track'!$F:$F&amp;'5) Release_Track'!$G:$G,1,0)),"NO ISRC-CATALOG ID pair MATCH in Release_Track" )</f>
        <v/>
      </c>
      <c r="D796" s="121" t="str">
        <f t="array" ref="D796">ifs(and(isblank($A796),isblank($B796)),"", not(iserror(vlookup($A796&amp;$B796,'5) Release_Track'!$F:$F&amp;'5) Release_Track'!$G:$G,1,0))),vlookup($A796&amp;$B796,{'5) Release_Track'!$F:$F&amp;'5) Release_Track'!$G:$G,'5) Release_Track'!$I:$I},2,0), or(and(not(isblank($B796)),$B796=$B795,$A796&lt;&gt;$A795),and(not(isblank($A796)),$A796=$A795,$B796&lt;&gt;$B795)),"ID LISTS UNALIGNED",and($A796&lt;&gt;"",countif('5) Release_Track'!$F:$F,$A796)=0),"NO ISRC MATCH in Release_Track",and($B796&lt;&gt;"",countif('5) Release_Track'!$G:$G,$B796)=0),"NO CATALOG ID MATCH in Release_Track",iserror(vlookup($A796&amp;$B796,'5) Release_Track'!$F:$F&amp;'5) Release_Track'!$G:$G,1,0)),"NO ISRC-CATALOG ID pair MATCH in Release_Track" )</f>
        <v/>
      </c>
      <c r="E796" s="99"/>
      <c r="F796" s="99"/>
      <c r="G796" s="123" t="str">
        <f t="array" ref="G796">ifs(or($F796="",$F796="Main Primary Artist"),$F796,not(iserror(vlookup($F796,'Reference info'!$J$5:$J$8,1,0))),"Key Artist",not(iserror(vlookup($F796,'Reference info'!$J$38:$J$405,1,0))),"Performer",not(iserror(vlookup($F796,'Reference info'!$J$10:$J$36,1,0))),"Producer &amp; Engineer")</f>
        <v/>
      </c>
    </row>
    <row r="797">
      <c r="B797" s="103"/>
      <c r="C797" s="121" t="str">
        <f t="array" ref="C797">ifs(and(isblank($A797),isblank($B797)),"", not(iserror(vlookup($A797&amp;$B797,'5) Release_Track'!$F:$F&amp;'5) Release_Track'!$G:$G,1,0))),vlookup($A797&amp;$B797,{'5) Release_Track'!$F:$F&amp;'5) Release_Track'!$G:$G,'5) Release_Track'!$H:$H},2,0), or(and(not(isblank($B797)),$B797=$B796,$A797&lt;&gt;$A796),and(not(isblank($A797)),$A797=$A796,$B797&lt;&gt;$B796)),"ID LISTS UNALIGNED",and($A797&lt;&gt;"",countif('5) Release_Track'!$F:$F,$A797)=0),"NO ISRC MATCH in Release_Track",and($B797&lt;&gt;"",countif('5) Release_Track'!$G:$G,$B797)=0),"NO CATALOG ID MATCH in Release_Track",iserror(vlookup($A797&amp;$B797,'5) Release_Track'!$F:$F&amp;'5) Release_Track'!$G:$G,1,0)),"NO ISRC-CATALOG ID pair MATCH in Release_Track" )</f>
        <v/>
      </c>
      <c r="D797" s="121" t="str">
        <f t="array" ref="D797">ifs(and(isblank($A797),isblank($B797)),"", not(iserror(vlookup($A797&amp;$B797,'5) Release_Track'!$F:$F&amp;'5) Release_Track'!$G:$G,1,0))),vlookup($A797&amp;$B797,{'5) Release_Track'!$F:$F&amp;'5) Release_Track'!$G:$G,'5) Release_Track'!$I:$I},2,0), or(and(not(isblank($B797)),$B797=$B796,$A797&lt;&gt;$A796),and(not(isblank($A797)),$A797=$A796,$B797&lt;&gt;$B796)),"ID LISTS UNALIGNED",and($A797&lt;&gt;"",countif('5) Release_Track'!$F:$F,$A797)=0),"NO ISRC MATCH in Release_Track",and($B797&lt;&gt;"",countif('5) Release_Track'!$G:$G,$B797)=0),"NO CATALOG ID MATCH in Release_Track",iserror(vlookup($A797&amp;$B797,'5) Release_Track'!$F:$F&amp;'5) Release_Track'!$G:$G,1,0)),"NO ISRC-CATALOG ID pair MATCH in Release_Track" )</f>
        <v/>
      </c>
      <c r="E797" s="99"/>
      <c r="F797" s="99"/>
      <c r="G797" s="123" t="str">
        <f t="array" ref="G797">ifs(or($F797="",$F797="Main Primary Artist"),$F797,not(iserror(vlookup($F797,'Reference info'!$J$5:$J$8,1,0))),"Key Artist",not(iserror(vlookup($F797,'Reference info'!$J$38:$J$405,1,0))),"Performer",not(iserror(vlookup($F797,'Reference info'!$J$10:$J$36,1,0))),"Producer &amp; Engineer")</f>
        <v/>
      </c>
    </row>
    <row r="798">
      <c r="B798" s="103"/>
      <c r="C798" s="121" t="str">
        <f t="array" ref="C798">ifs(and(isblank($A798),isblank($B798)),"", not(iserror(vlookup($A798&amp;$B798,'5) Release_Track'!$F:$F&amp;'5) Release_Track'!$G:$G,1,0))),vlookup($A798&amp;$B798,{'5) Release_Track'!$F:$F&amp;'5) Release_Track'!$G:$G,'5) Release_Track'!$H:$H},2,0), or(and(not(isblank($B798)),$B798=$B797,$A798&lt;&gt;$A797),and(not(isblank($A798)),$A798=$A797,$B798&lt;&gt;$B797)),"ID LISTS UNALIGNED",and($A798&lt;&gt;"",countif('5) Release_Track'!$F:$F,$A798)=0),"NO ISRC MATCH in Release_Track",and($B798&lt;&gt;"",countif('5) Release_Track'!$G:$G,$B798)=0),"NO CATALOG ID MATCH in Release_Track",iserror(vlookup($A798&amp;$B798,'5) Release_Track'!$F:$F&amp;'5) Release_Track'!$G:$G,1,0)),"NO ISRC-CATALOG ID pair MATCH in Release_Track" )</f>
        <v/>
      </c>
      <c r="D798" s="121" t="str">
        <f t="array" ref="D798">ifs(and(isblank($A798),isblank($B798)),"", not(iserror(vlookup($A798&amp;$B798,'5) Release_Track'!$F:$F&amp;'5) Release_Track'!$G:$G,1,0))),vlookup($A798&amp;$B798,{'5) Release_Track'!$F:$F&amp;'5) Release_Track'!$G:$G,'5) Release_Track'!$I:$I},2,0), or(and(not(isblank($B798)),$B798=$B797,$A798&lt;&gt;$A797),and(not(isblank($A798)),$A798=$A797,$B798&lt;&gt;$B797)),"ID LISTS UNALIGNED",and($A798&lt;&gt;"",countif('5) Release_Track'!$F:$F,$A798)=0),"NO ISRC MATCH in Release_Track",and($B798&lt;&gt;"",countif('5) Release_Track'!$G:$G,$B798)=0),"NO CATALOG ID MATCH in Release_Track",iserror(vlookup($A798&amp;$B798,'5) Release_Track'!$F:$F&amp;'5) Release_Track'!$G:$G,1,0)),"NO ISRC-CATALOG ID pair MATCH in Release_Track" )</f>
        <v/>
      </c>
      <c r="E798" s="99"/>
      <c r="F798" s="99"/>
      <c r="G798" s="123" t="str">
        <f t="array" ref="G798">ifs(or($F798="",$F798="Main Primary Artist"),$F798,not(iserror(vlookup($F798,'Reference info'!$J$5:$J$8,1,0))),"Key Artist",not(iserror(vlookup($F798,'Reference info'!$J$38:$J$405,1,0))),"Performer",not(iserror(vlookup($F798,'Reference info'!$J$10:$J$36,1,0))),"Producer &amp; Engineer")</f>
        <v/>
      </c>
    </row>
    <row r="799">
      <c r="B799" s="103"/>
      <c r="C799" s="121" t="str">
        <f t="array" ref="C799">ifs(and(isblank($A799),isblank($B799)),"", not(iserror(vlookup($A799&amp;$B799,'5) Release_Track'!$F:$F&amp;'5) Release_Track'!$G:$G,1,0))),vlookup($A799&amp;$B799,{'5) Release_Track'!$F:$F&amp;'5) Release_Track'!$G:$G,'5) Release_Track'!$H:$H},2,0), or(and(not(isblank($B799)),$B799=$B798,$A799&lt;&gt;$A798),and(not(isblank($A799)),$A799=$A798,$B799&lt;&gt;$B798)),"ID LISTS UNALIGNED",and($A799&lt;&gt;"",countif('5) Release_Track'!$F:$F,$A799)=0),"NO ISRC MATCH in Release_Track",and($B799&lt;&gt;"",countif('5) Release_Track'!$G:$G,$B799)=0),"NO CATALOG ID MATCH in Release_Track",iserror(vlookup($A799&amp;$B799,'5) Release_Track'!$F:$F&amp;'5) Release_Track'!$G:$G,1,0)),"NO ISRC-CATALOG ID pair MATCH in Release_Track" )</f>
        <v/>
      </c>
      <c r="D799" s="121" t="str">
        <f t="array" ref="D799">ifs(and(isblank($A799),isblank($B799)),"", not(iserror(vlookup($A799&amp;$B799,'5) Release_Track'!$F:$F&amp;'5) Release_Track'!$G:$G,1,0))),vlookup($A799&amp;$B799,{'5) Release_Track'!$F:$F&amp;'5) Release_Track'!$G:$G,'5) Release_Track'!$I:$I},2,0), or(and(not(isblank($B799)),$B799=$B798,$A799&lt;&gt;$A798),and(not(isblank($A799)),$A799=$A798,$B799&lt;&gt;$B798)),"ID LISTS UNALIGNED",and($A799&lt;&gt;"",countif('5) Release_Track'!$F:$F,$A799)=0),"NO ISRC MATCH in Release_Track",and($B799&lt;&gt;"",countif('5) Release_Track'!$G:$G,$B799)=0),"NO CATALOG ID MATCH in Release_Track",iserror(vlookup($A799&amp;$B799,'5) Release_Track'!$F:$F&amp;'5) Release_Track'!$G:$G,1,0)),"NO ISRC-CATALOG ID pair MATCH in Release_Track" )</f>
        <v/>
      </c>
      <c r="E799" s="99"/>
      <c r="F799" s="99"/>
      <c r="G799" s="123" t="str">
        <f t="array" ref="G799">ifs(or($F799="",$F799="Main Primary Artist"),$F799,not(iserror(vlookup($F799,'Reference info'!$J$5:$J$8,1,0))),"Key Artist",not(iserror(vlookup($F799,'Reference info'!$J$38:$J$405,1,0))),"Performer",not(iserror(vlookup($F799,'Reference info'!$J$10:$J$36,1,0))),"Producer &amp; Engineer")</f>
        <v/>
      </c>
    </row>
    <row r="800">
      <c r="B800" s="103"/>
      <c r="C800" s="121" t="str">
        <f t="array" ref="C800">ifs(and(isblank($A800),isblank($B800)),"", not(iserror(vlookup($A800&amp;$B800,'5) Release_Track'!$F:$F&amp;'5) Release_Track'!$G:$G,1,0))),vlookup($A800&amp;$B800,{'5) Release_Track'!$F:$F&amp;'5) Release_Track'!$G:$G,'5) Release_Track'!$H:$H},2,0), or(and(not(isblank($B800)),$B800=$B799,$A800&lt;&gt;$A799),and(not(isblank($A800)),$A800=$A799,$B800&lt;&gt;$B799)),"ID LISTS UNALIGNED",and($A800&lt;&gt;"",countif('5) Release_Track'!$F:$F,$A800)=0),"NO ISRC MATCH in Release_Track",and($B800&lt;&gt;"",countif('5) Release_Track'!$G:$G,$B800)=0),"NO CATALOG ID MATCH in Release_Track",iserror(vlookup($A800&amp;$B800,'5) Release_Track'!$F:$F&amp;'5) Release_Track'!$G:$G,1,0)),"NO ISRC-CATALOG ID pair MATCH in Release_Track" )</f>
        <v/>
      </c>
      <c r="D800" s="121" t="str">
        <f t="array" ref="D800">ifs(and(isblank($A800),isblank($B800)),"", not(iserror(vlookup($A800&amp;$B800,'5) Release_Track'!$F:$F&amp;'5) Release_Track'!$G:$G,1,0))),vlookup($A800&amp;$B800,{'5) Release_Track'!$F:$F&amp;'5) Release_Track'!$G:$G,'5) Release_Track'!$I:$I},2,0), or(and(not(isblank($B800)),$B800=$B799,$A800&lt;&gt;$A799),and(not(isblank($A800)),$A800=$A799,$B800&lt;&gt;$B799)),"ID LISTS UNALIGNED",and($A800&lt;&gt;"",countif('5) Release_Track'!$F:$F,$A800)=0),"NO ISRC MATCH in Release_Track",and($B800&lt;&gt;"",countif('5) Release_Track'!$G:$G,$B800)=0),"NO CATALOG ID MATCH in Release_Track",iserror(vlookup($A800&amp;$B800,'5) Release_Track'!$F:$F&amp;'5) Release_Track'!$G:$G,1,0)),"NO ISRC-CATALOG ID pair MATCH in Release_Track" )</f>
        <v/>
      </c>
      <c r="E800" s="99"/>
      <c r="F800" s="99"/>
      <c r="G800" s="123" t="str">
        <f t="array" ref="G800">ifs(or($F800="",$F800="Main Primary Artist"),$F800,not(iserror(vlookup($F800,'Reference info'!$J$5:$J$8,1,0))),"Key Artist",not(iserror(vlookup($F800,'Reference info'!$J$38:$J$405,1,0))),"Performer",not(iserror(vlookup($F800,'Reference info'!$J$10:$J$36,1,0))),"Producer &amp; Engineer")</f>
        <v/>
      </c>
    </row>
    <row r="801">
      <c r="B801" s="103"/>
      <c r="C801" s="121" t="str">
        <f t="array" ref="C801">ifs(and(isblank($A801),isblank($B801)),"", not(iserror(vlookup($A801&amp;$B801,'5) Release_Track'!$F:$F&amp;'5) Release_Track'!$G:$G,1,0))),vlookup($A801&amp;$B801,{'5) Release_Track'!$F:$F&amp;'5) Release_Track'!$G:$G,'5) Release_Track'!$H:$H},2,0), or(and(not(isblank($B801)),$B801=$B800,$A801&lt;&gt;$A800),and(not(isblank($A801)),$A801=$A800,$B801&lt;&gt;$B800)),"ID LISTS UNALIGNED",and($A801&lt;&gt;"",countif('5) Release_Track'!$F:$F,$A801)=0),"NO ISRC MATCH in Release_Track",and($B801&lt;&gt;"",countif('5) Release_Track'!$G:$G,$B801)=0),"NO CATALOG ID MATCH in Release_Track",iserror(vlookup($A801&amp;$B801,'5) Release_Track'!$F:$F&amp;'5) Release_Track'!$G:$G,1,0)),"NO ISRC-CATALOG ID pair MATCH in Release_Track" )</f>
        <v/>
      </c>
      <c r="D801" s="121" t="str">
        <f t="array" ref="D801">ifs(and(isblank($A801),isblank($B801)),"", not(iserror(vlookup($A801&amp;$B801,'5) Release_Track'!$F:$F&amp;'5) Release_Track'!$G:$G,1,0))),vlookup($A801&amp;$B801,{'5) Release_Track'!$F:$F&amp;'5) Release_Track'!$G:$G,'5) Release_Track'!$I:$I},2,0), or(and(not(isblank($B801)),$B801=$B800,$A801&lt;&gt;$A800),and(not(isblank($A801)),$A801=$A800,$B801&lt;&gt;$B800)),"ID LISTS UNALIGNED",and($A801&lt;&gt;"",countif('5) Release_Track'!$F:$F,$A801)=0),"NO ISRC MATCH in Release_Track",and($B801&lt;&gt;"",countif('5) Release_Track'!$G:$G,$B801)=0),"NO CATALOG ID MATCH in Release_Track",iserror(vlookup($A801&amp;$B801,'5) Release_Track'!$F:$F&amp;'5) Release_Track'!$G:$G,1,0)),"NO ISRC-CATALOG ID pair MATCH in Release_Track" )</f>
        <v/>
      </c>
      <c r="E801" s="99"/>
      <c r="F801" s="99"/>
      <c r="G801" s="123" t="str">
        <f t="array" ref="G801">ifs(or($F801="",$F801="Main Primary Artist"),$F801,not(iserror(vlookup($F801,'Reference info'!$J$5:$J$8,1,0))),"Key Artist",not(iserror(vlookup($F801,'Reference info'!$J$38:$J$405,1,0))),"Performer",not(iserror(vlookup($F801,'Reference info'!$J$10:$J$36,1,0))),"Producer &amp; Engineer")</f>
        <v/>
      </c>
    </row>
    <row r="802">
      <c r="B802" s="103"/>
      <c r="C802" s="121" t="str">
        <f t="array" ref="C802">ifs(and(isblank($A802),isblank($B802)),"", not(iserror(vlookup($A802&amp;$B802,'5) Release_Track'!$F:$F&amp;'5) Release_Track'!$G:$G,1,0))),vlookup($A802&amp;$B802,{'5) Release_Track'!$F:$F&amp;'5) Release_Track'!$G:$G,'5) Release_Track'!$H:$H},2,0), or(and(not(isblank($B802)),$B802=$B801,$A802&lt;&gt;$A801),and(not(isblank($A802)),$A802=$A801,$B802&lt;&gt;$B801)),"ID LISTS UNALIGNED",and($A802&lt;&gt;"",countif('5) Release_Track'!$F:$F,$A802)=0),"NO ISRC MATCH in Release_Track",and($B802&lt;&gt;"",countif('5) Release_Track'!$G:$G,$B802)=0),"NO CATALOG ID MATCH in Release_Track",iserror(vlookup($A802&amp;$B802,'5) Release_Track'!$F:$F&amp;'5) Release_Track'!$G:$G,1,0)),"NO ISRC-CATALOG ID pair MATCH in Release_Track" )</f>
        <v/>
      </c>
      <c r="D802" s="121" t="str">
        <f t="array" ref="D802">ifs(and(isblank($A802),isblank($B802)),"", not(iserror(vlookup($A802&amp;$B802,'5) Release_Track'!$F:$F&amp;'5) Release_Track'!$G:$G,1,0))),vlookup($A802&amp;$B802,{'5) Release_Track'!$F:$F&amp;'5) Release_Track'!$G:$G,'5) Release_Track'!$I:$I},2,0), or(and(not(isblank($B802)),$B802=$B801,$A802&lt;&gt;$A801),and(not(isblank($A802)),$A802=$A801,$B802&lt;&gt;$B801)),"ID LISTS UNALIGNED",and($A802&lt;&gt;"",countif('5) Release_Track'!$F:$F,$A802)=0),"NO ISRC MATCH in Release_Track",and($B802&lt;&gt;"",countif('5) Release_Track'!$G:$G,$B802)=0),"NO CATALOG ID MATCH in Release_Track",iserror(vlookup($A802&amp;$B802,'5) Release_Track'!$F:$F&amp;'5) Release_Track'!$G:$G,1,0)),"NO ISRC-CATALOG ID pair MATCH in Release_Track" )</f>
        <v/>
      </c>
      <c r="E802" s="99"/>
      <c r="F802" s="99"/>
      <c r="G802" s="123" t="str">
        <f t="array" ref="G802">ifs(or($F802="",$F802="Main Primary Artist"),$F802,not(iserror(vlookup($F802,'Reference info'!$J$5:$J$8,1,0))),"Key Artist",not(iserror(vlookup($F802,'Reference info'!$J$38:$J$405,1,0))),"Performer",not(iserror(vlookup($F802,'Reference info'!$J$10:$J$36,1,0))),"Producer &amp; Engineer")</f>
        <v/>
      </c>
    </row>
    <row r="803">
      <c r="B803" s="103"/>
      <c r="C803" s="121" t="str">
        <f t="array" ref="C803">ifs(and(isblank($A803),isblank($B803)),"", not(iserror(vlookup($A803&amp;$B803,'5) Release_Track'!$F:$F&amp;'5) Release_Track'!$G:$G,1,0))),vlookup($A803&amp;$B803,{'5) Release_Track'!$F:$F&amp;'5) Release_Track'!$G:$G,'5) Release_Track'!$H:$H},2,0), or(and(not(isblank($B803)),$B803=$B802,$A803&lt;&gt;$A802),and(not(isblank($A803)),$A803=$A802,$B803&lt;&gt;$B802)),"ID LISTS UNALIGNED",and($A803&lt;&gt;"",countif('5) Release_Track'!$F:$F,$A803)=0),"NO ISRC MATCH in Release_Track",and($B803&lt;&gt;"",countif('5) Release_Track'!$G:$G,$B803)=0),"NO CATALOG ID MATCH in Release_Track",iserror(vlookup($A803&amp;$B803,'5) Release_Track'!$F:$F&amp;'5) Release_Track'!$G:$G,1,0)),"NO ISRC-CATALOG ID pair MATCH in Release_Track" )</f>
        <v/>
      </c>
      <c r="D803" s="121" t="str">
        <f t="array" ref="D803">ifs(and(isblank($A803),isblank($B803)),"", not(iserror(vlookup($A803&amp;$B803,'5) Release_Track'!$F:$F&amp;'5) Release_Track'!$G:$G,1,0))),vlookup($A803&amp;$B803,{'5) Release_Track'!$F:$F&amp;'5) Release_Track'!$G:$G,'5) Release_Track'!$I:$I},2,0), or(and(not(isblank($B803)),$B803=$B802,$A803&lt;&gt;$A802),and(not(isblank($A803)),$A803=$A802,$B803&lt;&gt;$B802)),"ID LISTS UNALIGNED",and($A803&lt;&gt;"",countif('5) Release_Track'!$F:$F,$A803)=0),"NO ISRC MATCH in Release_Track",and($B803&lt;&gt;"",countif('5) Release_Track'!$G:$G,$B803)=0),"NO CATALOG ID MATCH in Release_Track",iserror(vlookup($A803&amp;$B803,'5) Release_Track'!$F:$F&amp;'5) Release_Track'!$G:$G,1,0)),"NO ISRC-CATALOG ID pair MATCH in Release_Track" )</f>
        <v/>
      </c>
      <c r="E803" s="99"/>
      <c r="F803" s="99"/>
      <c r="G803" s="123" t="str">
        <f t="array" ref="G803">ifs(or($F803="",$F803="Main Primary Artist"),$F803,not(iserror(vlookup($F803,'Reference info'!$J$5:$J$8,1,0))),"Key Artist",not(iserror(vlookup($F803,'Reference info'!$J$38:$J$405,1,0))),"Performer",not(iserror(vlookup($F803,'Reference info'!$J$10:$J$36,1,0))),"Producer &amp; Engineer")</f>
        <v/>
      </c>
    </row>
    <row r="804">
      <c r="B804" s="103"/>
      <c r="C804" s="121" t="str">
        <f t="array" ref="C804">ifs(and(isblank($A804),isblank($B804)),"", not(iserror(vlookup($A804&amp;$B804,'5) Release_Track'!$F:$F&amp;'5) Release_Track'!$G:$G,1,0))),vlookup($A804&amp;$B804,{'5) Release_Track'!$F:$F&amp;'5) Release_Track'!$G:$G,'5) Release_Track'!$H:$H},2,0), or(and(not(isblank($B804)),$B804=$B803,$A804&lt;&gt;$A803),and(not(isblank($A804)),$A804=$A803,$B804&lt;&gt;$B803)),"ID LISTS UNALIGNED",and($A804&lt;&gt;"",countif('5) Release_Track'!$F:$F,$A804)=0),"NO ISRC MATCH in Release_Track",and($B804&lt;&gt;"",countif('5) Release_Track'!$G:$G,$B804)=0),"NO CATALOG ID MATCH in Release_Track",iserror(vlookup($A804&amp;$B804,'5) Release_Track'!$F:$F&amp;'5) Release_Track'!$G:$G,1,0)),"NO ISRC-CATALOG ID pair MATCH in Release_Track" )</f>
        <v/>
      </c>
      <c r="D804" s="121" t="str">
        <f t="array" ref="D804">ifs(and(isblank($A804),isblank($B804)),"", not(iserror(vlookup($A804&amp;$B804,'5) Release_Track'!$F:$F&amp;'5) Release_Track'!$G:$G,1,0))),vlookup($A804&amp;$B804,{'5) Release_Track'!$F:$F&amp;'5) Release_Track'!$G:$G,'5) Release_Track'!$I:$I},2,0), or(and(not(isblank($B804)),$B804=$B803,$A804&lt;&gt;$A803),and(not(isblank($A804)),$A804=$A803,$B804&lt;&gt;$B803)),"ID LISTS UNALIGNED",and($A804&lt;&gt;"",countif('5) Release_Track'!$F:$F,$A804)=0),"NO ISRC MATCH in Release_Track",and($B804&lt;&gt;"",countif('5) Release_Track'!$G:$G,$B804)=0),"NO CATALOG ID MATCH in Release_Track",iserror(vlookup($A804&amp;$B804,'5) Release_Track'!$F:$F&amp;'5) Release_Track'!$G:$G,1,0)),"NO ISRC-CATALOG ID pair MATCH in Release_Track" )</f>
        <v/>
      </c>
      <c r="E804" s="99"/>
      <c r="F804" s="99"/>
      <c r="G804" s="123" t="str">
        <f t="array" ref="G804">ifs(or($F804="",$F804="Main Primary Artist"),$F804,not(iserror(vlookup($F804,'Reference info'!$J$5:$J$8,1,0))),"Key Artist",not(iserror(vlookup($F804,'Reference info'!$J$38:$J$405,1,0))),"Performer",not(iserror(vlookup($F804,'Reference info'!$J$10:$J$36,1,0))),"Producer &amp; Engineer")</f>
        <v/>
      </c>
    </row>
    <row r="805">
      <c r="B805" s="103"/>
      <c r="C805" s="121" t="str">
        <f t="array" ref="C805">ifs(and(isblank($A805),isblank($B805)),"", not(iserror(vlookup($A805&amp;$B805,'5) Release_Track'!$F:$F&amp;'5) Release_Track'!$G:$G,1,0))),vlookup($A805&amp;$B805,{'5) Release_Track'!$F:$F&amp;'5) Release_Track'!$G:$G,'5) Release_Track'!$H:$H},2,0), or(and(not(isblank($B805)),$B805=$B804,$A805&lt;&gt;$A804),and(not(isblank($A805)),$A805=$A804,$B805&lt;&gt;$B804)),"ID LISTS UNALIGNED",and($A805&lt;&gt;"",countif('5) Release_Track'!$F:$F,$A805)=0),"NO ISRC MATCH in Release_Track",and($B805&lt;&gt;"",countif('5) Release_Track'!$G:$G,$B805)=0),"NO CATALOG ID MATCH in Release_Track",iserror(vlookup($A805&amp;$B805,'5) Release_Track'!$F:$F&amp;'5) Release_Track'!$G:$G,1,0)),"NO ISRC-CATALOG ID pair MATCH in Release_Track" )</f>
        <v/>
      </c>
      <c r="D805" s="121" t="str">
        <f t="array" ref="D805">ifs(and(isblank($A805),isblank($B805)),"", not(iserror(vlookup($A805&amp;$B805,'5) Release_Track'!$F:$F&amp;'5) Release_Track'!$G:$G,1,0))),vlookup($A805&amp;$B805,{'5) Release_Track'!$F:$F&amp;'5) Release_Track'!$G:$G,'5) Release_Track'!$I:$I},2,0), or(and(not(isblank($B805)),$B805=$B804,$A805&lt;&gt;$A804),and(not(isblank($A805)),$A805=$A804,$B805&lt;&gt;$B804)),"ID LISTS UNALIGNED",and($A805&lt;&gt;"",countif('5) Release_Track'!$F:$F,$A805)=0),"NO ISRC MATCH in Release_Track",and($B805&lt;&gt;"",countif('5) Release_Track'!$G:$G,$B805)=0),"NO CATALOG ID MATCH in Release_Track",iserror(vlookup($A805&amp;$B805,'5) Release_Track'!$F:$F&amp;'5) Release_Track'!$G:$G,1,0)),"NO ISRC-CATALOG ID pair MATCH in Release_Track" )</f>
        <v/>
      </c>
      <c r="E805" s="99"/>
      <c r="F805" s="99"/>
      <c r="G805" s="123" t="str">
        <f t="array" ref="G805">ifs(or($F805="",$F805="Main Primary Artist"),$F805,not(iserror(vlookup($F805,'Reference info'!$J$5:$J$8,1,0))),"Key Artist",not(iserror(vlookup($F805,'Reference info'!$J$38:$J$405,1,0))),"Performer",not(iserror(vlookup($F805,'Reference info'!$J$10:$J$36,1,0))),"Producer &amp; Engineer")</f>
        <v/>
      </c>
    </row>
    <row r="806">
      <c r="B806" s="103"/>
      <c r="C806" s="121" t="str">
        <f t="array" ref="C806">ifs(and(isblank($A806),isblank($B806)),"", not(iserror(vlookup($A806&amp;$B806,'5) Release_Track'!$F:$F&amp;'5) Release_Track'!$G:$G,1,0))),vlookup($A806&amp;$B806,{'5) Release_Track'!$F:$F&amp;'5) Release_Track'!$G:$G,'5) Release_Track'!$H:$H},2,0), or(and(not(isblank($B806)),$B806=$B805,$A806&lt;&gt;$A805),and(not(isblank($A806)),$A806=$A805,$B806&lt;&gt;$B805)),"ID LISTS UNALIGNED",and($A806&lt;&gt;"",countif('5) Release_Track'!$F:$F,$A806)=0),"NO ISRC MATCH in Release_Track",and($B806&lt;&gt;"",countif('5) Release_Track'!$G:$G,$B806)=0),"NO CATALOG ID MATCH in Release_Track",iserror(vlookup($A806&amp;$B806,'5) Release_Track'!$F:$F&amp;'5) Release_Track'!$G:$G,1,0)),"NO ISRC-CATALOG ID pair MATCH in Release_Track" )</f>
        <v/>
      </c>
      <c r="D806" s="121" t="str">
        <f t="array" ref="D806">ifs(and(isblank($A806),isblank($B806)),"", not(iserror(vlookup($A806&amp;$B806,'5) Release_Track'!$F:$F&amp;'5) Release_Track'!$G:$G,1,0))),vlookup($A806&amp;$B806,{'5) Release_Track'!$F:$F&amp;'5) Release_Track'!$G:$G,'5) Release_Track'!$I:$I},2,0), or(and(not(isblank($B806)),$B806=$B805,$A806&lt;&gt;$A805),and(not(isblank($A806)),$A806=$A805,$B806&lt;&gt;$B805)),"ID LISTS UNALIGNED",and($A806&lt;&gt;"",countif('5) Release_Track'!$F:$F,$A806)=0),"NO ISRC MATCH in Release_Track",and($B806&lt;&gt;"",countif('5) Release_Track'!$G:$G,$B806)=0),"NO CATALOG ID MATCH in Release_Track",iserror(vlookup($A806&amp;$B806,'5) Release_Track'!$F:$F&amp;'5) Release_Track'!$G:$G,1,0)),"NO ISRC-CATALOG ID pair MATCH in Release_Track" )</f>
        <v/>
      </c>
      <c r="E806" s="99"/>
      <c r="F806" s="99"/>
      <c r="G806" s="123" t="str">
        <f t="array" ref="G806">ifs(or($F806="",$F806="Main Primary Artist"),$F806,not(iserror(vlookup($F806,'Reference info'!$J$5:$J$8,1,0))),"Key Artist",not(iserror(vlookup($F806,'Reference info'!$J$38:$J$405,1,0))),"Performer",not(iserror(vlookup($F806,'Reference info'!$J$10:$J$36,1,0))),"Producer &amp; Engineer")</f>
        <v/>
      </c>
    </row>
    <row r="807">
      <c r="B807" s="103"/>
      <c r="C807" s="121" t="str">
        <f t="array" ref="C807">ifs(and(isblank($A807),isblank($B807)),"", not(iserror(vlookup($A807&amp;$B807,'5) Release_Track'!$F:$F&amp;'5) Release_Track'!$G:$G,1,0))),vlookup($A807&amp;$B807,{'5) Release_Track'!$F:$F&amp;'5) Release_Track'!$G:$G,'5) Release_Track'!$H:$H},2,0), or(and(not(isblank($B807)),$B807=$B806,$A807&lt;&gt;$A806),and(not(isblank($A807)),$A807=$A806,$B807&lt;&gt;$B806)),"ID LISTS UNALIGNED",and($A807&lt;&gt;"",countif('5) Release_Track'!$F:$F,$A807)=0),"NO ISRC MATCH in Release_Track",and($B807&lt;&gt;"",countif('5) Release_Track'!$G:$G,$B807)=0),"NO CATALOG ID MATCH in Release_Track",iserror(vlookup($A807&amp;$B807,'5) Release_Track'!$F:$F&amp;'5) Release_Track'!$G:$G,1,0)),"NO ISRC-CATALOG ID pair MATCH in Release_Track" )</f>
        <v/>
      </c>
      <c r="D807" s="121" t="str">
        <f t="array" ref="D807">ifs(and(isblank($A807),isblank($B807)),"", not(iserror(vlookup($A807&amp;$B807,'5) Release_Track'!$F:$F&amp;'5) Release_Track'!$G:$G,1,0))),vlookup($A807&amp;$B807,{'5) Release_Track'!$F:$F&amp;'5) Release_Track'!$G:$G,'5) Release_Track'!$I:$I},2,0), or(and(not(isblank($B807)),$B807=$B806,$A807&lt;&gt;$A806),and(not(isblank($A807)),$A807=$A806,$B807&lt;&gt;$B806)),"ID LISTS UNALIGNED",and($A807&lt;&gt;"",countif('5) Release_Track'!$F:$F,$A807)=0),"NO ISRC MATCH in Release_Track",and($B807&lt;&gt;"",countif('5) Release_Track'!$G:$G,$B807)=0),"NO CATALOG ID MATCH in Release_Track",iserror(vlookup($A807&amp;$B807,'5) Release_Track'!$F:$F&amp;'5) Release_Track'!$G:$G,1,0)),"NO ISRC-CATALOG ID pair MATCH in Release_Track" )</f>
        <v/>
      </c>
      <c r="E807" s="99"/>
      <c r="F807" s="99"/>
      <c r="G807" s="123" t="str">
        <f t="array" ref="G807">ifs(or($F807="",$F807="Main Primary Artist"),$F807,not(iserror(vlookup($F807,'Reference info'!$J$5:$J$8,1,0))),"Key Artist",not(iserror(vlookup($F807,'Reference info'!$J$38:$J$405,1,0))),"Performer",not(iserror(vlookup($F807,'Reference info'!$J$10:$J$36,1,0))),"Producer &amp; Engineer")</f>
        <v/>
      </c>
    </row>
    <row r="808">
      <c r="B808" s="103"/>
      <c r="C808" s="121" t="str">
        <f t="array" ref="C808">ifs(and(isblank($A808),isblank($B808)),"", not(iserror(vlookup($A808&amp;$B808,'5) Release_Track'!$F:$F&amp;'5) Release_Track'!$G:$G,1,0))),vlookup($A808&amp;$B808,{'5) Release_Track'!$F:$F&amp;'5) Release_Track'!$G:$G,'5) Release_Track'!$H:$H},2,0), or(and(not(isblank($B808)),$B808=$B807,$A808&lt;&gt;$A807),and(not(isblank($A808)),$A808=$A807,$B808&lt;&gt;$B807)),"ID LISTS UNALIGNED",and($A808&lt;&gt;"",countif('5) Release_Track'!$F:$F,$A808)=0),"NO ISRC MATCH in Release_Track",and($B808&lt;&gt;"",countif('5) Release_Track'!$G:$G,$B808)=0),"NO CATALOG ID MATCH in Release_Track",iserror(vlookup($A808&amp;$B808,'5) Release_Track'!$F:$F&amp;'5) Release_Track'!$G:$G,1,0)),"NO ISRC-CATALOG ID pair MATCH in Release_Track" )</f>
        <v/>
      </c>
      <c r="D808" s="121" t="str">
        <f t="array" ref="D808">ifs(and(isblank($A808),isblank($B808)),"", not(iserror(vlookup($A808&amp;$B808,'5) Release_Track'!$F:$F&amp;'5) Release_Track'!$G:$G,1,0))),vlookup($A808&amp;$B808,{'5) Release_Track'!$F:$F&amp;'5) Release_Track'!$G:$G,'5) Release_Track'!$I:$I},2,0), or(and(not(isblank($B808)),$B808=$B807,$A808&lt;&gt;$A807),and(not(isblank($A808)),$A808=$A807,$B808&lt;&gt;$B807)),"ID LISTS UNALIGNED",and($A808&lt;&gt;"",countif('5) Release_Track'!$F:$F,$A808)=0),"NO ISRC MATCH in Release_Track",and($B808&lt;&gt;"",countif('5) Release_Track'!$G:$G,$B808)=0),"NO CATALOG ID MATCH in Release_Track",iserror(vlookup($A808&amp;$B808,'5) Release_Track'!$F:$F&amp;'5) Release_Track'!$G:$G,1,0)),"NO ISRC-CATALOG ID pair MATCH in Release_Track" )</f>
        <v/>
      </c>
      <c r="E808" s="99"/>
      <c r="F808" s="99"/>
      <c r="G808" s="123" t="str">
        <f t="array" ref="G808">ifs(or($F808="",$F808="Main Primary Artist"),$F808,not(iserror(vlookup($F808,'Reference info'!$J$5:$J$8,1,0))),"Key Artist",not(iserror(vlookup($F808,'Reference info'!$J$38:$J$405,1,0))),"Performer",not(iserror(vlookup($F808,'Reference info'!$J$10:$J$36,1,0))),"Producer &amp; Engineer")</f>
        <v/>
      </c>
    </row>
    <row r="809">
      <c r="B809" s="103"/>
      <c r="C809" s="121" t="str">
        <f t="array" ref="C809">ifs(and(isblank($A809),isblank($B809)),"", not(iserror(vlookup($A809&amp;$B809,'5) Release_Track'!$F:$F&amp;'5) Release_Track'!$G:$G,1,0))),vlookup($A809&amp;$B809,{'5) Release_Track'!$F:$F&amp;'5) Release_Track'!$G:$G,'5) Release_Track'!$H:$H},2,0), or(and(not(isblank($B809)),$B809=$B808,$A809&lt;&gt;$A808),and(not(isblank($A809)),$A809=$A808,$B809&lt;&gt;$B808)),"ID LISTS UNALIGNED",and($A809&lt;&gt;"",countif('5) Release_Track'!$F:$F,$A809)=0),"NO ISRC MATCH in Release_Track",and($B809&lt;&gt;"",countif('5) Release_Track'!$G:$G,$B809)=0),"NO CATALOG ID MATCH in Release_Track",iserror(vlookup($A809&amp;$B809,'5) Release_Track'!$F:$F&amp;'5) Release_Track'!$G:$G,1,0)),"NO ISRC-CATALOG ID pair MATCH in Release_Track" )</f>
        <v/>
      </c>
      <c r="D809" s="121" t="str">
        <f t="array" ref="D809">ifs(and(isblank($A809),isblank($B809)),"", not(iserror(vlookup($A809&amp;$B809,'5) Release_Track'!$F:$F&amp;'5) Release_Track'!$G:$G,1,0))),vlookup($A809&amp;$B809,{'5) Release_Track'!$F:$F&amp;'5) Release_Track'!$G:$G,'5) Release_Track'!$I:$I},2,0), or(and(not(isblank($B809)),$B809=$B808,$A809&lt;&gt;$A808),and(not(isblank($A809)),$A809=$A808,$B809&lt;&gt;$B808)),"ID LISTS UNALIGNED",and($A809&lt;&gt;"",countif('5) Release_Track'!$F:$F,$A809)=0),"NO ISRC MATCH in Release_Track",and($B809&lt;&gt;"",countif('5) Release_Track'!$G:$G,$B809)=0),"NO CATALOG ID MATCH in Release_Track",iserror(vlookup($A809&amp;$B809,'5) Release_Track'!$F:$F&amp;'5) Release_Track'!$G:$G,1,0)),"NO ISRC-CATALOG ID pair MATCH in Release_Track" )</f>
        <v/>
      </c>
      <c r="E809" s="99"/>
      <c r="F809" s="99"/>
      <c r="G809" s="123" t="str">
        <f t="array" ref="G809">ifs(or($F809="",$F809="Main Primary Artist"),$F809,not(iserror(vlookup($F809,'Reference info'!$J$5:$J$8,1,0))),"Key Artist",not(iserror(vlookup($F809,'Reference info'!$J$38:$J$405,1,0))),"Performer",not(iserror(vlookup($F809,'Reference info'!$J$10:$J$36,1,0))),"Producer &amp; Engineer")</f>
        <v/>
      </c>
    </row>
    <row r="810">
      <c r="B810" s="103"/>
      <c r="C810" s="121" t="str">
        <f t="array" ref="C810">ifs(and(isblank($A810),isblank($B810)),"", not(iserror(vlookup($A810&amp;$B810,'5) Release_Track'!$F:$F&amp;'5) Release_Track'!$G:$G,1,0))),vlookup($A810&amp;$B810,{'5) Release_Track'!$F:$F&amp;'5) Release_Track'!$G:$G,'5) Release_Track'!$H:$H},2,0), or(and(not(isblank($B810)),$B810=$B809,$A810&lt;&gt;$A809),and(not(isblank($A810)),$A810=$A809,$B810&lt;&gt;$B809)),"ID LISTS UNALIGNED",and($A810&lt;&gt;"",countif('5) Release_Track'!$F:$F,$A810)=0),"NO ISRC MATCH in Release_Track",and($B810&lt;&gt;"",countif('5) Release_Track'!$G:$G,$B810)=0),"NO CATALOG ID MATCH in Release_Track",iserror(vlookup($A810&amp;$B810,'5) Release_Track'!$F:$F&amp;'5) Release_Track'!$G:$G,1,0)),"NO ISRC-CATALOG ID pair MATCH in Release_Track" )</f>
        <v/>
      </c>
      <c r="D810" s="121" t="str">
        <f t="array" ref="D810">ifs(and(isblank($A810),isblank($B810)),"", not(iserror(vlookup($A810&amp;$B810,'5) Release_Track'!$F:$F&amp;'5) Release_Track'!$G:$G,1,0))),vlookup($A810&amp;$B810,{'5) Release_Track'!$F:$F&amp;'5) Release_Track'!$G:$G,'5) Release_Track'!$I:$I},2,0), or(and(not(isblank($B810)),$B810=$B809,$A810&lt;&gt;$A809),and(not(isblank($A810)),$A810=$A809,$B810&lt;&gt;$B809)),"ID LISTS UNALIGNED",and($A810&lt;&gt;"",countif('5) Release_Track'!$F:$F,$A810)=0),"NO ISRC MATCH in Release_Track",and($B810&lt;&gt;"",countif('5) Release_Track'!$G:$G,$B810)=0),"NO CATALOG ID MATCH in Release_Track",iserror(vlookup($A810&amp;$B810,'5) Release_Track'!$F:$F&amp;'5) Release_Track'!$G:$G,1,0)),"NO ISRC-CATALOG ID pair MATCH in Release_Track" )</f>
        <v/>
      </c>
      <c r="E810" s="99"/>
      <c r="F810" s="99"/>
      <c r="G810" s="123" t="str">
        <f t="array" ref="G810">ifs(or($F810="",$F810="Main Primary Artist"),$F810,not(iserror(vlookup($F810,'Reference info'!$J$5:$J$8,1,0))),"Key Artist",not(iserror(vlookup($F810,'Reference info'!$J$38:$J$405,1,0))),"Performer",not(iserror(vlookup($F810,'Reference info'!$J$10:$J$36,1,0))),"Producer &amp; Engineer")</f>
        <v/>
      </c>
    </row>
    <row r="811">
      <c r="B811" s="103"/>
      <c r="C811" s="121" t="str">
        <f t="array" ref="C811">ifs(and(isblank($A811),isblank($B811)),"", not(iserror(vlookup($A811&amp;$B811,'5) Release_Track'!$F:$F&amp;'5) Release_Track'!$G:$G,1,0))),vlookup($A811&amp;$B811,{'5) Release_Track'!$F:$F&amp;'5) Release_Track'!$G:$G,'5) Release_Track'!$H:$H},2,0), or(and(not(isblank($B811)),$B811=$B810,$A811&lt;&gt;$A810),and(not(isblank($A811)),$A811=$A810,$B811&lt;&gt;$B810)),"ID LISTS UNALIGNED",and($A811&lt;&gt;"",countif('5) Release_Track'!$F:$F,$A811)=0),"NO ISRC MATCH in Release_Track",and($B811&lt;&gt;"",countif('5) Release_Track'!$G:$G,$B811)=0),"NO CATALOG ID MATCH in Release_Track",iserror(vlookup($A811&amp;$B811,'5) Release_Track'!$F:$F&amp;'5) Release_Track'!$G:$G,1,0)),"NO ISRC-CATALOG ID pair MATCH in Release_Track" )</f>
        <v/>
      </c>
      <c r="D811" s="121" t="str">
        <f t="array" ref="D811">ifs(and(isblank($A811),isblank($B811)),"", not(iserror(vlookup($A811&amp;$B811,'5) Release_Track'!$F:$F&amp;'5) Release_Track'!$G:$G,1,0))),vlookup($A811&amp;$B811,{'5) Release_Track'!$F:$F&amp;'5) Release_Track'!$G:$G,'5) Release_Track'!$I:$I},2,0), or(and(not(isblank($B811)),$B811=$B810,$A811&lt;&gt;$A810),and(not(isblank($A811)),$A811=$A810,$B811&lt;&gt;$B810)),"ID LISTS UNALIGNED",and($A811&lt;&gt;"",countif('5) Release_Track'!$F:$F,$A811)=0),"NO ISRC MATCH in Release_Track",and($B811&lt;&gt;"",countif('5) Release_Track'!$G:$G,$B811)=0),"NO CATALOG ID MATCH in Release_Track",iserror(vlookup($A811&amp;$B811,'5) Release_Track'!$F:$F&amp;'5) Release_Track'!$G:$G,1,0)),"NO ISRC-CATALOG ID pair MATCH in Release_Track" )</f>
        <v/>
      </c>
      <c r="E811" s="99"/>
      <c r="F811" s="99"/>
      <c r="G811" s="123" t="str">
        <f t="array" ref="G811">ifs(or($F811="",$F811="Main Primary Artist"),$F811,not(iserror(vlookup($F811,'Reference info'!$J$5:$J$8,1,0))),"Key Artist",not(iserror(vlookup($F811,'Reference info'!$J$38:$J$405,1,0))),"Performer",not(iserror(vlookup($F811,'Reference info'!$J$10:$J$36,1,0))),"Producer &amp; Engineer")</f>
        <v/>
      </c>
    </row>
    <row r="812">
      <c r="B812" s="103"/>
      <c r="C812" s="121" t="str">
        <f t="array" ref="C812">ifs(and(isblank($A812),isblank($B812)),"", not(iserror(vlookup($A812&amp;$B812,'5) Release_Track'!$F:$F&amp;'5) Release_Track'!$G:$G,1,0))),vlookup($A812&amp;$B812,{'5) Release_Track'!$F:$F&amp;'5) Release_Track'!$G:$G,'5) Release_Track'!$H:$H},2,0), or(and(not(isblank($B812)),$B812=$B811,$A812&lt;&gt;$A811),and(not(isblank($A812)),$A812=$A811,$B812&lt;&gt;$B811)),"ID LISTS UNALIGNED",and($A812&lt;&gt;"",countif('5) Release_Track'!$F:$F,$A812)=0),"NO ISRC MATCH in Release_Track",and($B812&lt;&gt;"",countif('5) Release_Track'!$G:$G,$B812)=0),"NO CATALOG ID MATCH in Release_Track",iserror(vlookup($A812&amp;$B812,'5) Release_Track'!$F:$F&amp;'5) Release_Track'!$G:$G,1,0)),"NO ISRC-CATALOG ID pair MATCH in Release_Track" )</f>
        <v/>
      </c>
      <c r="D812" s="121" t="str">
        <f t="array" ref="D812">ifs(and(isblank($A812),isblank($B812)),"", not(iserror(vlookup($A812&amp;$B812,'5) Release_Track'!$F:$F&amp;'5) Release_Track'!$G:$G,1,0))),vlookup($A812&amp;$B812,{'5) Release_Track'!$F:$F&amp;'5) Release_Track'!$G:$G,'5) Release_Track'!$I:$I},2,0), or(and(not(isblank($B812)),$B812=$B811,$A812&lt;&gt;$A811),and(not(isblank($A812)),$A812=$A811,$B812&lt;&gt;$B811)),"ID LISTS UNALIGNED",and($A812&lt;&gt;"",countif('5) Release_Track'!$F:$F,$A812)=0),"NO ISRC MATCH in Release_Track",and($B812&lt;&gt;"",countif('5) Release_Track'!$G:$G,$B812)=0),"NO CATALOG ID MATCH in Release_Track",iserror(vlookup($A812&amp;$B812,'5) Release_Track'!$F:$F&amp;'5) Release_Track'!$G:$G,1,0)),"NO ISRC-CATALOG ID pair MATCH in Release_Track" )</f>
        <v/>
      </c>
      <c r="E812" s="99"/>
      <c r="F812" s="99"/>
      <c r="G812" s="123" t="str">
        <f t="array" ref="G812">ifs(or($F812="",$F812="Main Primary Artist"),$F812,not(iserror(vlookup($F812,'Reference info'!$J$5:$J$8,1,0))),"Key Artist",not(iserror(vlookup($F812,'Reference info'!$J$38:$J$405,1,0))),"Performer",not(iserror(vlookup($F812,'Reference info'!$J$10:$J$36,1,0))),"Producer &amp; Engineer")</f>
        <v/>
      </c>
    </row>
    <row r="813">
      <c r="B813" s="103"/>
      <c r="C813" s="121" t="str">
        <f t="array" ref="C813">ifs(and(isblank($A813),isblank($B813)),"", not(iserror(vlookup($A813&amp;$B813,'5) Release_Track'!$F:$F&amp;'5) Release_Track'!$G:$G,1,0))),vlookup($A813&amp;$B813,{'5) Release_Track'!$F:$F&amp;'5) Release_Track'!$G:$G,'5) Release_Track'!$H:$H},2,0), or(and(not(isblank($B813)),$B813=$B812,$A813&lt;&gt;$A812),and(not(isblank($A813)),$A813=$A812,$B813&lt;&gt;$B812)),"ID LISTS UNALIGNED",and($A813&lt;&gt;"",countif('5) Release_Track'!$F:$F,$A813)=0),"NO ISRC MATCH in Release_Track",and($B813&lt;&gt;"",countif('5) Release_Track'!$G:$G,$B813)=0),"NO CATALOG ID MATCH in Release_Track",iserror(vlookup($A813&amp;$B813,'5) Release_Track'!$F:$F&amp;'5) Release_Track'!$G:$G,1,0)),"NO ISRC-CATALOG ID pair MATCH in Release_Track" )</f>
        <v/>
      </c>
      <c r="D813" s="121" t="str">
        <f t="array" ref="D813">ifs(and(isblank($A813),isblank($B813)),"", not(iserror(vlookup($A813&amp;$B813,'5) Release_Track'!$F:$F&amp;'5) Release_Track'!$G:$G,1,0))),vlookup($A813&amp;$B813,{'5) Release_Track'!$F:$F&amp;'5) Release_Track'!$G:$G,'5) Release_Track'!$I:$I},2,0), or(and(not(isblank($B813)),$B813=$B812,$A813&lt;&gt;$A812),and(not(isblank($A813)),$A813=$A812,$B813&lt;&gt;$B812)),"ID LISTS UNALIGNED",and($A813&lt;&gt;"",countif('5) Release_Track'!$F:$F,$A813)=0),"NO ISRC MATCH in Release_Track",and($B813&lt;&gt;"",countif('5) Release_Track'!$G:$G,$B813)=0),"NO CATALOG ID MATCH in Release_Track",iserror(vlookup($A813&amp;$B813,'5) Release_Track'!$F:$F&amp;'5) Release_Track'!$G:$G,1,0)),"NO ISRC-CATALOG ID pair MATCH in Release_Track" )</f>
        <v/>
      </c>
      <c r="E813" s="99"/>
      <c r="F813" s="99"/>
      <c r="G813" s="123" t="str">
        <f t="array" ref="G813">ifs(or($F813="",$F813="Main Primary Artist"),$F813,not(iserror(vlookup($F813,'Reference info'!$J$5:$J$8,1,0))),"Key Artist",not(iserror(vlookup($F813,'Reference info'!$J$38:$J$405,1,0))),"Performer",not(iserror(vlookup($F813,'Reference info'!$J$10:$J$36,1,0))),"Producer &amp; Engineer")</f>
        <v/>
      </c>
    </row>
    <row r="814">
      <c r="B814" s="103"/>
      <c r="C814" s="121" t="str">
        <f t="array" ref="C814">ifs(and(isblank($A814),isblank($B814)),"", not(iserror(vlookup($A814&amp;$B814,'5) Release_Track'!$F:$F&amp;'5) Release_Track'!$G:$G,1,0))),vlookup($A814&amp;$B814,{'5) Release_Track'!$F:$F&amp;'5) Release_Track'!$G:$G,'5) Release_Track'!$H:$H},2,0), or(and(not(isblank($B814)),$B814=$B813,$A814&lt;&gt;$A813),and(not(isblank($A814)),$A814=$A813,$B814&lt;&gt;$B813)),"ID LISTS UNALIGNED",and($A814&lt;&gt;"",countif('5) Release_Track'!$F:$F,$A814)=0),"NO ISRC MATCH in Release_Track",and($B814&lt;&gt;"",countif('5) Release_Track'!$G:$G,$B814)=0),"NO CATALOG ID MATCH in Release_Track",iserror(vlookup($A814&amp;$B814,'5) Release_Track'!$F:$F&amp;'5) Release_Track'!$G:$G,1,0)),"NO ISRC-CATALOG ID pair MATCH in Release_Track" )</f>
        <v/>
      </c>
      <c r="D814" s="121" t="str">
        <f t="array" ref="D814">ifs(and(isblank($A814),isblank($B814)),"", not(iserror(vlookup($A814&amp;$B814,'5) Release_Track'!$F:$F&amp;'5) Release_Track'!$G:$G,1,0))),vlookup($A814&amp;$B814,{'5) Release_Track'!$F:$F&amp;'5) Release_Track'!$G:$G,'5) Release_Track'!$I:$I},2,0), or(and(not(isblank($B814)),$B814=$B813,$A814&lt;&gt;$A813),and(not(isblank($A814)),$A814=$A813,$B814&lt;&gt;$B813)),"ID LISTS UNALIGNED",and($A814&lt;&gt;"",countif('5) Release_Track'!$F:$F,$A814)=0),"NO ISRC MATCH in Release_Track",and($B814&lt;&gt;"",countif('5) Release_Track'!$G:$G,$B814)=0),"NO CATALOG ID MATCH in Release_Track",iserror(vlookup($A814&amp;$B814,'5) Release_Track'!$F:$F&amp;'5) Release_Track'!$G:$G,1,0)),"NO ISRC-CATALOG ID pair MATCH in Release_Track" )</f>
        <v/>
      </c>
      <c r="E814" s="99"/>
      <c r="F814" s="99"/>
      <c r="G814" s="123" t="str">
        <f t="array" ref="G814">ifs(or($F814="",$F814="Main Primary Artist"),$F814,not(iserror(vlookup($F814,'Reference info'!$J$5:$J$8,1,0))),"Key Artist",not(iserror(vlookup($F814,'Reference info'!$J$38:$J$405,1,0))),"Performer",not(iserror(vlookup($F814,'Reference info'!$J$10:$J$36,1,0))),"Producer &amp; Engineer")</f>
        <v/>
      </c>
    </row>
    <row r="815">
      <c r="B815" s="103"/>
      <c r="C815" s="121" t="str">
        <f t="array" ref="C815">ifs(and(isblank($A815),isblank($B815)),"", not(iserror(vlookup($A815&amp;$B815,'5) Release_Track'!$F:$F&amp;'5) Release_Track'!$G:$G,1,0))),vlookup($A815&amp;$B815,{'5) Release_Track'!$F:$F&amp;'5) Release_Track'!$G:$G,'5) Release_Track'!$H:$H},2,0), or(and(not(isblank($B815)),$B815=$B814,$A815&lt;&gt;$A814),and(not(isblank($A815)),$A815=$A814,$B815&lt;&gt;$B814)),"ID LISTS UNALIGNED",and($A815&lt;&gt;"",countif('5) Release_Track'!$F:$F,$A815)=0),"NO ISRC MATCH in Release_Track",and($B815&lt;&gt;"",countif('5) Release_Track'!$G:$G,$B815)=0),"NO CATALOG ID MATCH in Release_Track",iserror(vlookup($A815&amp;$B815,'5) Release_Track'!$F:$F&amp;'5) Release_Track'!$G:$G,1,0)),"NO ISRC-CATALOG ID pair MATCH in Release_Track" )</f>
        <v/>
      </c>
      <c r="D815" s="121" t="str">
        <f t="array" ref="D815">ifs(and(isblank($A815),isblank($B815)),"", not(iserror(vlookup($A815&amp;$B815,'5) Release_Track'!$F:$F&amp;'5) Release_Track'!$G:$G,1,0))),vlookup($A815&amp;$B815,{'5) Release_Track'!$F:$F&amp;'5) Release_Track'!$G:$G,'5) Release_Track'!$I:$I},2,0), or(and(not(isblank($B815)),$B815=$B814,$A815&lt;&gt;$A814),and(not(isblank($A815)),$A815=$A814,$B815&lt;&gt;$B814)),"ID LISTS UNALIGNED",and($A815&lt;&gt;"",countif('5) Release_Track'!$F:$F,$A815)=0),"NO ISRC MATCH in Release_Track",and($B815&lt;&gt;"",countif('5) Release_Track'!$G:$G,$B815)=0),"NO CATALOG ID MATCH in Release_Track",iserror(vlookup($A815&amp;$B815,'5) Release_Track'!$F:$F&amp;'5) Release_Track'!$G:$G,1,0)),"NO ISRC-CATALOG ID pair MATCH in Release_Track" )</f>
        <v/>
      </c>
      <c r="E815" s="99"/>
      <c r="F815" s="99"/>
      <c r="G815" s="123" t="str">
        <f t="array" ref="G815">ifs(or($F815="",$F815="Main Primary Artist"),$F815,not(iserror(vlookup($F815,'Reference info'!$J$5:$J$8,1,0))),"Key Artist",not(iserror(vlookup($F815,'Reference info'!$J$38:$J$405,1,0))),"Performer",not(iserror(vlookup($F815,'Reference info'!$J$10:$J$36,1,0))),"Producer &amp; Engineer")</f>
        <v/>
      </c>
    </row>
    <row r="816">
      <c r="B816" s="103"/>
      <c r="C816" s="121" t="str">
        <f t="array" ref="C816">ifs(and(isblank($A816),isblank($B816)),"", not(iserror(vlookup($A816&amp;$B816,'5) Release_Track'!$F:$F&amp;'5) Release_Track'!$G:$G,1,0))),vlookup($A816&amp;$B816,{'5) Release_Track'!$F:$F&amp;'5) Release_Track'!$G:$G,'5) Release_Track'!$H:$H},2,0), or(and(not(isblank($B816)),$B816=$B815,$A816&lt;&gt;$A815),and(not(isblank($A816)),$A816=$A815,$B816&lt;&gt;$B815)),"ID LISTS UNALIGNED",and($A816&lt;&gt;"",countif('5) Release_Track'!$F:$F,$A816)=0),"NO ISRC MATCH in Release_Track",and($B816&lt;&gt;"",countif('5) Release_Track'!$G:$G,$B816)=0),"NO CATALOG ID MATCH in Release_Track",iserror(vlookup($A816&amp;$B816,'5) Release_Track'!$F:$F&amp;'5) Release_Track'!$G:$G,1,0)),"NO ISRC-CATALOG ID pair MATCH in Release_Track" )</f>
        <v/>
      </c>
      <c r="D816" s="121" t="str">
        <f t="array" ref="D816">ifs(and(isblank($A816),isblank($B816)),"", not(iserror(vlookup($A816&amp;$B816,'5) Release_Track'!$F:$F&amp;'5) Release_Track'!$G:$G,1,0))),vlookup($A816&amp;$B816,{'5) Release_Track'!$F:$F&amp;'5) Release_Track'!$G:$G,'5) Release_Track'!$I:$I},2,0), or(and(not(isblank($B816)),$B816=$B815,$A816&lt;&gt;$A815),and(not(isblank($A816)),$A816=$A815,$B816&lt;&gt;$B815)),"ID LISTS UNALIGNED",and($A816&lt;&gt;"",countif('5) Release_Track'!$F:$F,$A816)=0),"NO ISRC MATCH in Release_Track",and($B816&lt;&gt;"",countif('5) Release_Track'!$G:$G,$B816)=0),"NO CATALOG ID MATCH in Release_Track",iserror(vlookup($A816&amp;$B816,'5) Release_Track'!$F:$F&amp;'5) Release_Track'!$G:$G,1,0)),"NO ISRC-CATALOG ID pair MATCH in Release_Track" )</f>
        <v/>
      </c>
      <c r="E816" s="99"/>
      <c r="F816" s="99"/>
      <c r="G816" s="123" t="str">
        <f t="array" ref="G816">ifs(or($F816="",$F816="Main Primary Artist"),$F816,not(iserror(vlookup($F816,'Reference info'!$J$5:$J$8,1,0))),"Key Artist",not(iserror(vlookup($F816,'Reference info'!$J$38:$J$405,1,0))),"Performer",not(iserror(vlookup($F816,'Reference info'!$J$10:$J$36,1,0))),"Producer &amp; Engineer")</f>
        <v/>
      </c>
    </row>
    <row r="817">
      <c r="B817" s="103"/>
      <c r="C817" s="121" t="str">
        <f t="array" ref="C817">ifs(and(isblank($A817),isblank($B817)),"", not(iserror(vlookup($A817&amp;$B817,'5) Release_Track'!$F:$F&amp;'5) Release_Track'!$G:$G,1,0))),vlookup($A817&amp;$B817,{'5) Release_Track'!$F:$F&amp;'5) Release_Track'!$G:$G,'5) Release_Track'!$H:$H},2,0), or(and(not(isblank($B817)),$B817=$B816,$A817&lt;&gt;$A816),and(not(isblank($A817)),$A817=$A816,$B817&lt;&gt;$B816)),"ID LISTS UNALIGNED",and($A817&lt;&gt;"",countif('5) Release_Track'!$F:$F,$A817)=0),"NO ISRC MATCH in Release_Track",and($B817&lt;&gt;"",countif('5) Release_Track'!$G:$G,$B817)=0),"NO CATALOG ID MATCH in Release_Track",iserror(vlookup($A817&amp;$B817,'5) Release_Track'!$F:$F&amp;'5) Release_Track'!$G:$G,1,0)),"NO ISRC-CATALOG ID pair MATCH in Release_Track" )</f>
        <v/>
      </c>
      <c r="D817" s="121" t="str">
        <f t="array" ref="D817">ifs(and(isblank($A817),isblank($B817)),"", not(iserror(vlookup($A817&amp;$B817,'5) Release_Track'!$F:$F&amp;'5) Release_Track'!$G:$G,1,0))),vlookup($A817&amp;$B817,{'5) Release_Track'!$F:$F&amp;'5) Release_Track'!$G:$G,'5) Release_Track'!$I:$I},2,0), or(and(not(isblank($B817)),$B817=$B816,$A817&lt;&gt;$A816),and(not(isblank($A817)),$A817=$A816,$B817&lt;&gt;$B816)),"ID LISTS UNALIGNED",and($A817&lt;&gt;"",countif('5) Release_Track'!$F:$F,$A817)=0),"NO ISRC MATCH in Release_Track",and($B817&lt;&gt;"",countif('5) Release_Track'!$G:$G,$B817)=0),"NO CATALOG ID MATCH in Release_Track",iserror(vlookup($A817&amp;$B817,'5) Release_Track'!$F:$F&amp;'5) Release_Track'!$G:$G,1,0)),"NO ISRC-CATALOG ID pair MATCH in Release_Track" )</f>
        <v/>
      </c>
      <c r="E817" s="99"/>
      <c r="F817" s="99"/>
      <c r="G817" s="123" t="str">
        <f t="array" ref="G817">ifs(or($F817="",$F817="Main Primary Artist"),$F817,not(iserror(vlookup($F817,'Reference info'!$J$5:$J$8,1,0))),"Key Artist",not(iserror(vlookup($F817,'Reference info'!$J$38:$J$405,1,0))),"Performer",not(iserror(vlookup($F817,'Reference info'!$J$10:$J$36,1,0))),"Producer &amp; Engineer")</f>
        <v/>
      </c>
    </row>
    <row r="818">
      <c r="B818" s="103"/>
      <c r="C818" s="121" t="str">
        <f t="array" ref="C818">ifs(and(isblank($A818),isblank($B818)),"", not(iserror(vlookup($A818&amp;$B818,'5) Release_Track'!$F:$F&amp;'5) Release_Track'!$G:$G,1,0))),vlookup($A818&amp;$B818,{'5) Release_Track'!$F:$F&amp;'5) Release_Track'!$G:$G,'5) Release_Track'!$H:$H},2,0), or(and(not(isblank($B818)),$B818=$B817,$A818&lt;&gt;$A817),and(not(isblank($A818)),$A818=$A817,$B818&lt;&gt;$B817)),"ID LISTS UNALIGNED",and($A818&lt;&gt;"",countif('5) Release_Track'!$F:$F,$A818)=0),"NO ISRC MATCH in Release_Track",and($B818&lt;&gt;"",countif('5) Release_Track'!$G:$G,$B818)=0),"NO CATALOG ID MATCH in Release_Track",iserror(vlookup($A818&amp;$B818,'5) Release_Track'!$F:$F&amp;'5) Release_Track'!$G:$G,1,0)),"NO ISRC-CATALOG ID pair MATCH in Release_Track" )</f>
        <v/>
      </c>
      <c r="D818" s="121" t="str">
        <f t="array" ref="D818">ifs(and(isblank($A818),isblank($B818)),"", not(iserror(vlookup($A818&amp;$B818,'5) Release_Track'!$F:$F&amp;'5) Release_Track'!$G:$G,1,0))),vlookup($A818&amp;$B818,{'5) Release_Track'!$F:$F&amp;'5) Release_Track'!$G:$G,'5) Release_Track'!$I:$I},2,0), or(and(not(isblank($B818)),$B818=$B817,$A818&lt;&gt;$A817),and(not(isblank($A818)),$A818=$A817,$B818&lt;&gt;$B817)),"ID LISTS UNALIGNED",and($A818&lt;&gt;"",countif('5) Release_Track'!$F:$F,$A818)=0),"NO ISRC MATCH in Release_Track",and($B818&lt;&gt;"",countif('5) Release_Track'!$G:$G,$B818)=0),"NO CATALOG ID MATCH in Release_Track",iserror(vlookup($A818&amp;$B818,'5) Release_Track'!$F:$F&amp;'5) Release_Track'!$G:$G,1,0)),"NO ISRC-CATALOG ID pair MATCH in Release_Track" )</f>
        <v/>
      </c>
      <c r="E818" s="99"/>
      <c r="F818" s="99"/>
      <c r="G818" s="123" t="str">
        <f t="array" ref="G818">ifs(or($F818="",$F818="Main Primary Artist"),$F818,not(iserror(vlookup($F818,'Reference info'!$J$5:$J$8,1,0))),"Key Artist",not(iserror(vlookup($F818,'Reference info'!$J$38:$J$405,1,0))),"Performer",not(iserror(vlookup($F818,'Reference info'!$J$10:$J$36,1,0))),"Producer &amp; Engineer")</f>
        <v/>
      </c>
    </row>
    <row r="819">
      <c r="B819" s="103"/>
      <c r="C819" s="121" t="str">
        <f t="array" ref="C819">ifs(and(isblank($A819),isblank($B819)),"", not(iserror(vlookup($A819&amp;$B819,'5) Release_Track'!$F:$F&amp;'5) Release_Track'!$G:$G,1,0))),vlookup($A819&amp;$B819,{'5) Release_Track'!$F:$F&amp;'5) Release_Track'!$G:$G,'5) Release_Track'!$H:$H},2,0), or(and(not(isblank($B819)),$B819=$B818,$A819&lt;&gt;$A818),and(not(isblank($A819)),$A819=$A818,$B819&lt;&gt;$B818)),"ID LISTS UNALIGNED",and($A819&lt;&gt;"",countif('5) Release_Track'!$F:$F,$A819)=0),"NO ISRC MATCH in Release_Track",and($B819&lt;&gt;"",countif('5) Release_Track'!$G:$G,$B819)=0),"NO CATALOG ID MATCH in Release_Track",iserror(vlookup($A819&amp;$B819,'5) Release_Track'!$F:$F&amp;'5) Release_Track'!$G:$G,1,0)),"NO ISRC-CATALOG ID pair MATCH in Release_Track" )</f>
        <v/>
      </c>
      <c r="D819" s="121" t="str">
        <f t="array" ref="D819">ifs(and(isblank($A819),isblank($B819)),"", not(iserror(vlookup($A819&amp;$B819,'5) Release_Track'!$F:$F&amp;'5) Release_Track'!$G:$G,1,0))),vlookup($A819&amp;$B819,{'5) Release_Track'!$F:$F&amp;'5) Release_Track'!$G:$G,'5) Release_Track'!$I:$I},2,0), or(and(not(isblank($B819)),$B819=$B818,$A819&lt;&gt;$A818),and(not(isblank($A819)),$A819=$A818,$B819&lt;&gt;$B818)),"ID LISTS UNALIGNED",and($A819&lt;&gt;"",countif('5) Release_Track'!$F:$F,$A819)=0),"NO ISRC MATCH in Release_Track",and($B819&lt;&gt;"",countif('5) Release_Track'!$G:$G,$B819)=0),"NO CATALOG ID MATCH in Release_Track",iserror(vlookup($A819&amp;$B819,'5) Release_Track'!$F:$F&amp;'5) Release_Track'!$G:$G,1,0)),"NO ISRC-CATALOG ID pair MATCH in Release_Track" )</f>
        <v/>
      </c>
      <c r="E819" s="99"/>
      <c r="F819" s="99"/>
      <c r="G819" s="123" t="str">
        <f t="array" ref="G819">ifs(or($F819="",$F819="Main Primary Artist"),$F819,not(iserror(vlookup($F819,'Reference info'!$J$5:$J$8,1,0))),"Key Artist",not(iserror(vlookup($F819,'Reference info'!$J$38:$J$405,1,0))),"Performer",not(iserror(vlookup($F819,'Reference info'!$J$10:$J$36,1,0))),"Producer &amp; Engineer")</f>
        <v/>
      </c>
    </row>
    <row r="820">
      <c r="B820" s="103"/>
      <c r="C820" s="121" t="str">
        <f t="array" ref="C820">ifs(and(isblank($A820),isblank($B820)),"", not(iserror(vlookup($A820&amp;$B820,'5) Release_Track'!$F:$F&amp;'5) Release_Track'!$G:$G,1,0))),vlookup($A820&amp;$B820,{'5) Release_Track'!$F:$F&amp;'5) Release_Track'!$G:$G,'5) Release_Track'!$H:$H},2,0), or(and(not(isblank($B820)),$B820=$B819,$A820&lt;&gt;$A819),and(not(isblank($A820)),$A820=$A819,$B820&lt;&gt;$B819)),"ID LISTS UNALIGNED",and($A820&lt;&gt;"",countif('5) Release_Track'!$F:$F,$A820)=0),"NO ISRC MATCH in Release_Track",and($B820&lt;&gt;"",countif('5) Release_Track'!$G:$G,$B820)=0),"NO CATALOG ID MATCH in Release_Track",iserror(vlookup($A820&amp;$B820,'5) Release_Track'!$F:$F&amp;'5) Release_Track'!$G:$G,1,0)),"NO ISRC-CATALOG ID pair MATCH in Release_Track" )</f>
        <v/>
      </c>
      <c r="D820" s="121" t="str">
        <f t="array" ref="D820">ifs(and(isblank($A820),isblank($B820)),"", not(iserror(vlookup($A820&amp;$B820,'5) Release_Track'!$F:$F&amp;'5) Release_Track'!$G:$G,1,0))),vlookup($A820&amp;$B820,{'5) Release_Track'!$F:$F&amp;'5) Release_Track'!$G:$G,'5) Release_Track'!$I:$I},2,0), or(and(not(isblank($B820)),$B820=$B819,$A820&lt;&gt;$A819),and(not(isblank($A820)),$A820=$A819,$B820&lt;&gt;$B819)),"ID LISTS UNALIGNED",and($A820&lt;&gt;"",countif('5) Release_Track'!$F:$F,$A820)=0),"NO ISRC MATCH in Release_Track",and($B820&lt;&gt;"",countif('5) Release_Track'!$G:$G,$B820)=0),"NO CATALOG ID MATCH in Release_Track",iserror(vlookup($A820&amp;$B820,'5) Release_Track'!$F:$F&amp;'5) Release_Track'!$G:$G,1,0)),"NO ISRC-CATALOG ID pair MATCH in Release_Track" )</f>
        <v/>
      </c>
      <c r="E820" s="99"/>
      <c r="F820" s="99"/>
      <c r="G820" s="123" t="str">
        <f t="array" ref="G820">ifs(or($F820="",$F820="Main Primary Artist"),$F820,not(iserror(vlookup($F820,'Reference info'!$J$5:$J$8,1,0))),"Key Artist",not(iserror(vlookup($F820,'Reference info'!$J$38:$J$405,1,0))),"Performer",not(iserror(vlookup($F820,'Reference info'!$J$10:$J$36,1,0))),"Producer &amp; Engineer")</f>
        <v/>
      </c>
    </row>
    <row r="821">
      <c r="B821" s="103"/>
      <c r="C821" s="121" t="str">
        <f t="array" ref="C821">ifs(and(isblank($A821),isblank($B821)),"", not(iserror(vlookup($A821&amp;$B821,'5) Release_Track'!$F:$F&amp;'5) Release_Track'!$G:$G,1,0))),vlookup($A821&amp;$B821,{'5) Release_Track'!$F:$F&amp;'5) Release_Track'!$G:$G,'5) Release_Track'!$H:$H},2,0), or(and(not(isblank($B821)),$B821=$B820,$A821&lt;&gt;$A820),and(not(isblank($A821)),$A821=$A820,$B821&lt;&gt;$B820)),"ID LISTS UNALIGNED",and($A821&lt;&gt;"",countif('5) Release_Track'!$F:$F,$A821)=0),"NO ISRC MATCH in Release_Track",and($B821&lt;&gt;"",countif('5) Release_Track'!$G:$G,$B821)=0),"NO CATALOG ID MATCH in Release_Track",iserror(vlookup($A821&amp;$B821,'5) Release_Track'!$F:$F&amp;'5) Release_Track'!$G:$G,1,0)),"NO ISRC-CATALOG ID pair MATCH in Release_Track" )</f>
        <v/>
      </c>
      <c r="D821" s="121" t="str">
        <f t="array" ref="D821">ifs(and(isblank($A821),isblank($B821)),"", not(iserror(vlookup($A821&amp;$B821,'5) Release_Track'!$F:$F&amp;'5) Release_Track'!$G:$G,1,0))),vlookup($A821&amp;$B821,{'5) Release_Track'!$F:$F&amp;'5) Release_Track'!$G:$G,'5) Release_Track'!$I:$I},2,0), or(and(not(isblank($B821)),$B821=$B820,$A821&lt;&gt;$A820),and(not(isblank($A821)),$A821=$A820,$B821&lt;&gt;$B820)),"ID LISTS UNALIGNED",and($A821&lt;&gt;"",countif('5) Release_Track'!$F:$F,$A821)=0),"NO ISRC MATCH in Release_Track",and($B821&lt;&gt;"",countif('5) Release_Track'!$G:$G,$B821)=0),"NO CATALOG ID MATCH in Release_Track",iserror(vlookup($A821&amp;$B821,'5) Release_Track'!$F:$F&amp;'5) Release_Track'!$G:$G,1,0)),"NO ISRC-CATALOG ID pair MATCH in Release_Track" )</f>
        <v/>
      </c>
      <c r="E821" s="99"/>
      <c r="F821" s="99"/>
      <c r="G821" s="123" t="str">
        <f t="array" ref="G821">ifs(or($F821="",$F821="Main Primary Artist"),$F821,not(iserror(vlookup($F821,'Reference info'!$J$5:$J$8,1,0))),"Key Artist",not(iserror(vlookup($F821,'Reference info'!$J$38:$J$405,1,0))),"Performer",not(iserror(vlookup($F821,'Reference info'!$J$10:$J$36,1,0))),"Producer &amp; Engineer")</f>
        <v/>
      </c>
    </row>
    <row r="822">
      <c r="B822" s="103"/>
      <c r="C822" s="121" t="str">
        <f t="array" ref="C822">ifs(and(isblank($A822),isblank($B822)),"", not(iserror(vlookup($A822&amp;$B822,'5) Release_Track'!$F:$F&amp;'5) Release_Track'!$G:$G,1,0))),vlookup($A822&amp;$B822,{'5) Release_Track'!$F:$F&amp;'5) Release_Track'!$G:$G,'5) Release_Track'!$H:$H},2,0), or(and(not(isblank($B822)),$B822=$B821,$A822&lt;&gt;$A821),and(not(isblank($A822)),$A822=$A821,$B822&lt;&gt;$B821)),"ID LISTS UNALIGNED",and($A822&lt;&gt;"",countif('5) Release_Track'!$F:$F,$A822)=0),"NO ISRC MATCH in Release_Track",and($B822&lt;&gt;"",countif('5) Release_Track'!$G:$G,$B822)=0),"NO CATALOG ID MATCH in Release_Track",iserror(vlookup($A822&amp;$B822,'5) Release_Track'!$F:$F&amp;'5) Release_Track'!$G:$G,1,0)),"NO ISRC-CATALOG ID pair MATCH in Release_Track" )</f>
        <v/>
      </c>
      <c r="D822" s="121" t="str">
        <f t="array" ref="D822">ifs(and(isblank($A822),isblank($B822)),"", not(iserror(vlookup($A822&amp;$B822,'5) Release_Track'!$F:$F&amp;'5) Release_Track'!$G:$G,1,0))),vlookup($A822&amp;$B822,{'5) Release_Track'!$F:$F&amp;'5) Release_Track'!$G:$G,'5) Release_Track'!$I:$I},2,0), or(and(not(isblank($B822)),$B822=$B821,$A822&lt;&gt;$A821),and(not(isblank($A822)),$A822=$A821,$B822&lt;&gt;$B821)),"ID LISTS UNALIGNED",and($A822&lt;&gt;"",countif('5) Release_Track'!$F:$F,$A822)=0),"NO ISRC MATCH in Release_Track",and($B822&lt;&gt;"",countif('5) Release_Track'!$G:$G,$B822)=0),"NO CATALOG ID MATCH in Release_Track",iserror(vlookup($A822&amp;$B822,'5) Release_Track'!$F:$F&amp;'5) Release_Track'!$G:$G,1,0)),"NO ISRC-CATALOG ID pair MATCH in Release_Track" )</f>
        <v/>
      </c>
      <c r="E822" s="99"/>
      <c r="F822" s="99"/>
      <c r="G822" s="123" t="str">
        <f t="array" ref="G822">ifs(or($F822="",$F822="Main Primary Artist"),$F822,not(iserror(vlookup($F822,'Reference info'!$J$5:$J$8,1,0))),"Key Artist",not(iserror(vlookup($F822,'Reference info'!$J$38:$J$405,1,0))),"Performer",not(iserror(vlookup($F822,'Reference info'!$J$10:$J$36,1,0))),"Producer &amp; Engineer")</f>
        <v/>
      </c>
    </row>
    <row r="823">
      <c r="B823" s="103"/>
      <c r="C823" s="121" t="str">
        <f t="array" ref="C823">ifs(and(isblank($A823),isblank($B823)),"", not(iserror(vlookup($A823&amp;$B823,'5) Release_Track'!$F:$F&amp;'5) Release_Track'!$G:$G,1,0))),vlookup($A823&amp;$B823,{'5) Release_Track'!$F:$F&amp;'5) Release_Track'!$G:$G,'5) Release_Track'!$H:$H},2,0), or(and(not(isblank($B823)),$B823=$B822,$A823&lt;&gt;$A822),and(not(isblank($A823)),$A823=$A822,$B823&lt;&gt;$B822)),"ID LISTS UNALIGNED",and($A823&lt;&gt;"",countif('5) Release_Track'!$F:$F,$A823)=0),"NO ISRC MATCH in Release_Track",and($B823&lt;&gt;"",countif('5) Release_Track'!$G:$G,$B823)=0),"NO CATALOG ID MATCH in Release_Track",iserror(vlookup($A823&amp;$B823,'5) Release_Track'!$F:$F&amp;'5) Release_Track'!$G:$G,1,0)),"NO ISRC-CATALOG ID pair MATCH in Release_Track" )</f>
        <v/>
      </c>
      <c r="D823" s="121" t="str">
        <f t="array" ref="D823">ifs(and(isblank($A823),isblank($B823)),"", not(iserror(vlookup($A823&amp;$B823,'5) Release_Track'!$F:$F&amp;'5) Release_Track'!$G:$G,1,0))),vlookup($A823&amp;$B823,{'5) Release_Track'!$F:$F&amp;'5) Release_Track'!$G:$G,'5) Release_Track'!$I:$I},2,0), or(and(not(isblank($B823)),$B823=$B822,$A823&lt;&gt;$A822),and(not(isblank($A823)),$A823=$A822,$B823&lt;&gt;$B822)),"ID LISTS UNALIGNED",and($A823&lt;&gt;"",countif('5) Release_Track'!$F:$F,$A823)=0),"NO ISRC MATCH in Release_Track",and($B823&lt;&gt;"",countif('5) Release_Track'!$G:$G,$B823)=0),"NO CATALOG ID MATCH in Release_Track",iserror(vlookup($A823&amp;$B823,'5) Release_Track'!$F:$F&amp;'5) Release_Track'!$G:$G,1,0)),"NO ISRC-CATALOG ID pair MATCH in Release_Track" )</f>
        <v/>
      </c>
      <c r="E823" s="99"/>
      <c r="F823" s="99"/>
      <c r="G823" s="123" t="str">
        <f t="array" ref="G823">ifs(or($F823="",$F823="Main Primary Artist"),$F823,not(iserror(vlookup($F823,'Reference info'!$J$5:$J$8,1,0))),"Key Artist",not(iserror(vlookup($F823,'Reference info'!$J$38:$J$405,1,0))),"Performer",not(iserror(vlookup($F823,'Reference info'!$J$10:$J$36,1,0))),"Producer &amp; Engineer")</f>
        <v/>
      </c>
    </row>
    <row r="824">
      <c r="B824" s="103"/>
      <c r="C824" s="121" t="str">
        <f t="array" ref="C824">ifs(and(isblank($A824),isblank($B824)),"", not(iserror(vlookup($A824&amp;$B824,'5) Release_Track'!$F:$F&amp;'5) Release_Track'!$G:$G,1,0))),vlookup($A824&amp;$B824,{'5) Release_Track'!$F:$F&amp;'5) Release_Track'!$G:$G,'5) Release_Track'!$H:$H},2,0), or(and(not(isblank($B824)),$B824=$B823,$A824&lt;&gt;$A823),and(not(isblank($A824)),$A824=$A823,$B824&lt;&gt;$B823)),"ID LISTS UNALIGNED",and($A824&lt;&gt;"",countif('5) Release_Track'!$F:$F,$A824)=0),"NO ISRC MATCH in Release_Track",and($B824&lt;&gt;"",countif('5) Release_Track'!$G:$G,$B824)=0),"NO CATALOG ID MATCH in Release_Track",iserror(vlookup($A824&amp;$B824,'5) Release_Track'!$F:$F&amp;'5) Release_Track'!$G:$G,1,0)),"NO ISRC-CATALOG ID pair MATCH in Release_Track" )</f>
        <v/>
      </c>
      <c r="D824" s="121" t="str">
        <f t="array" ref="D824">ifs(and(isblank($A824),isblank($B824)),"", not(iserror(vlookup($A824&amp;$B824,'5) Release_Track'!$F:$F&amp;'5) Release_Track'!$G:$G,1,0))),vlookup($A824&amp;$B824,{'5) Release_Track'!$F:$F&amp;'5) Release_Track'!$G:$G,'5) Release_Track'!$I:$I},2,0), or(and(not(isblank($B824)),$B824=$B823,$A824&lt;&gt;$A823),and(not(isblank($A824)),$A824=$A823,$B824&lt;&gt;$B823)),"ID LISTS UNALIGNED",and($A824&lt;&gt;"",countif('5) Release_Track'!$F:$F,$A824)=0),"NO ISRC MATCH in Release_Track",and($B824&lt;&gt;"",countif('5) Release_Track'!$G:$G,$B824)=0),"NO CATALOG ID MATCH in Release_Track",iserror(vlookup($A824&amp;$B824,'5) Release_Track'!$F:$F&amp;'5) Release_Track'!$G:$G,1,0)),"NO ISRC-CATALOG ID pair MATCH in Release_Track" )</f>
        <v/>
      </c>
      <c r="E824" s="99"/>
      <c r="F824" s="99"/>
      <c r="G824" s="123" t="str">
        <f t="array" ref="G824">ifs(or($F824="",$F824="Main Primary Artist"),$F824,not(iserror(vlookup($F824,'Reference info'!$J$5:$J$8,1,0))),"Key Artist",not(iserror(vlookup($F824,'Reference info'!$J$38:$J$405,1,0))),"Performer",not(iserror(vlookup($F824,'Reference info'!$J$10:$J$36,1,0))),"Producer &amp; Engineer")</f>
        <v/>
      </c>
    </row>
    <row r="825">
      <c r="B825" s="103"/>
      <c r="C825" s="121" t="str">
        <f t="array" ref="C825">ifs(and(isblank($A825),isblank($B825)),"", not(iserror(vlookup($A825&amp;$B825,'5) Release_Track'!$F:$F&amp;'5) Release_Track'!$G:$G,1,0))),vlookup($A825&amp;$B825,{'5) Release_Track'!$F:$F&amp;'5) Release_Track'!$G:$G,'5) Release_Track'!$H:$H},2,0), or(and(not(isblank($B825)),$B825=$B824,$A825&lt;&gt;$A824),and(not(isblank($A825)),$A825=$A824,$B825&lt;&gt;$B824)),"ID LISTS UNALIGNED",and($A825&lt;&gt;"",countif('5) Release_Track'!$F:$F,$A825)=0),"NO ISRC MATCH in Release_Track",and($B825&lt;&gt;"",countif('5) Release_Track'!$G:$G,$B825)=0),"NO CATALOG ID MATCH in Release_Track",iserror(vlookup($A825&amp;$B825,'5) Release_Track'!$F:$F&amp;'5) Release_Track'!$G:$G,1,0)),"NO ISRC-CATALOG ID pair MATCH in Release_Track" )</f>
        <v/>
      </c>
      <c r="D825" s="121" t="str">
        <f t="array" ref="D825">ifs(and(isblank($A825),isblank($B825)),"", not(iserror(vlookup($A825&amp;$B825,'5) Release_Track'!$F:$F&amp;'5) Release_Track'!$G:$G,1,0))),vlookup($A825&amp;$B825,{'5) Release_Track'!$F:$F&amp;'5) Release_Track'!$G:$G,'5) Release_Track'!$I:$I},2,0), or(and(not(isblank($B825)),$B825=$B824,$A825&lt;&gt;$A824),and(not(isblank($A825)),$A825=$A824,$B825&lt;&gt;$B824)),"ID LISTS UNALIGNED",and($A825&lt;&gt;"",countif('5) Release_Track'!$F:$F,$A825)=0),"NO ISRC MATCH in Release_Track",and($B825&lt;&gt;"",countif('5) Release_Track'!$G:$G,$B825)=0),"NO CATALOG ID MATCH in Release_Track",iserror(vlookup($A825&amp;$B825,'5) Release_Track'!$F:$F&amp;'5) Release_Track'!$G:$G,1,0)),"NO ISRC-CATALOG ID pair MATCH in Release_Track" )</f>
        <v/>
      </c>
      <c r="E825" s="99"/>
      <c r="F825" s="99"/>
      <c r="G825" s="123" t="str">
        <f t="array" ref="G825">ifs(or($F825="",$F825="Main Primary Artist"),$F825,not(iserror(vlookup($F825,'Reference info'!$J$5:$J$8,1,0))),"Key Artist",not(iserror(vlookup($F825,'Reference info'!$J$38:$J$405,1,0))),"Performer",not(iserror(vlookup($F825,'Reference info'!$J$10:$J$36,1,0))),"Producer &amp; Engineer")</f>
        <v/>
      </c>
    </row>
    <row r="826">
      <c r="B826" s="103"/>
      <c r="C826" s="121" t="str">
        <f t="array" ref="C826">ifs(and(isblank($A826),isblank($B826)),"", not(iserror(vlookup($A826&amp;$B826,'5) Release_Track'!$F:$F&amp;'5) Release_Track'!$G:$G,1,0))),vlookup($A826&amp;$B826,{'5) Release_Track'!$F:$F&amp;'5) Release_Track'!$G:$G,'5) Release_Track'!$H:$H},2,0), or(and(not(isblank($B826)),$B826=$B825,$A826&lt;&gt;$A825),and(not(isblank($A826)),$A826=$A825,$B826&lt;&gt;$B825)),"ID LISTS UNALIGNED",and($A826&lt;&gt;"",countif('5) Release_Track'!$F:$F,$A826)=0),"NO ISRC MATCH in Release_Track",and($B826&lt;&gt;"",countif('5) Release_Track'!$G:$G,$B826)=0),"NO CATALOG ID MATCH in Release_Track",iserror(vlookup($A826&amp;$B826,'5) Release_Track'!$F:$F&amp;'5) Release_Track'!$G:$G,1,0)),"NO ISRC-CATALOG ID pair MATCH in Release_Track" )</f>
        <v/>
      </c>
      <c r="D826" s="121" t="str">
        <f t="array" ref="D826">ifs(and(isblank($A826),isblank($B826)),"", not(iserror(vlookup($A826&amp;$B826,'5) Release_Track'!$F:$F&amp;'5) Release_Track'!$G:$G,1,0))),vlookup($A826&amp;$B826,{'5) Release_Track'!$F:$F&amp;'5) Release_Track'!$G:$G,'5) Release_Track'!$I:$I},2,0), or(and(not(isblank($B826)),$B826=$B825,$A826&lt;&gt;$A825),and(not(isblank($A826)),$A826=$A825,$B826&lt;&gt;$B825)),"ID LISTS UNALIGNED",and($A826&lt;&gt;"",countif('5) Release_Track'!$F:$F,$A826)=0),"NO ISRC MATCH in Release_Track",and($B826&lt;&gt;"",countif('5) Release_Track'!$G:$G,$B826)=0),"NO CATALOG ID MATCH in Release_Track",iserror(vlookup($A826&amp;$B826,'5) Release_Track'!$F:$F&amp;'5) Release_Track'!$G:$G,1,0)),"NO ISRC-CATALOG ID pair MATCH in Release_Track" )</f>
        <v/>
      </c>
      <c r="E826" s="99"/>
      <c r="F826" s="99"/>
      <c r="G826" s="123" t="str">
        <f t="array" ref="G826">ifs(or($F826="",$F826="Main Primary Artist"),$F826,not(iserror(vlookup($F826,'Reference info'!$J$5:$J$8,1,0))),"Key Artist",not(iserror(vlookup($F826,'Reference info'!$J$38:$J$405,1,0))),"Performer",not(iserror(vlookup($F826,'Reference info'!$J$10:$J$36,1,0))),"Producer &amp; Engineer")</f>
        <v/>
      </c>
    </row>
    <row r="827">
      <c r="B827" s="103"/>
      <c r="C827" s="121" t="str">
        <f t="array" ref="C827">ifs(and(isblank($A827),isblank($B827)),"", not(iserror(vlookup($A827&amp;$B827,'5) Release_Track'!$F:$F&amp;'5) Release_Track'!$G:$G,1,0))),vlookup($A827&amp;$B827,{'5) Release_Track'!$F:$F&amp;'5) Release_Track'!$G:$G,'5) Release_Track'!$H:$H},2,0), or(and(not(isblank($B827)),$B827=$B826,$A827&lt;&gt;$A826),and(not(isblank($A827)),$A827=$A826,$B827&lt;&gt;$B826)),"ID LISTS UNALIGNED",and($A827&lt;&gt;"",countif('5) Release_Track'!$F:$F,$A827)=0),"NO ISRC MATCH in Release_Track",and($B827&lt;&gt;"",countif('5) Release_Track'!$G:$G,$B827)=0),"NO CATALOG ID MATCH in Release_Track",iserror(vlookup($A827&amp;$B827,'5) Release_Track'!$F:$F&amp;'5) Release_Track'!$G:$G,1,0)),"NO ISRC-CATALOG ID pair MATCH in Release_Track" )</f>
        <v/>
      </c>
      <c r="D827" s="121" t="str">
        <f t="array" ref="D827">ifs(and(isblank($A827),isblank($B827)),"", not(iserror(vlookup($A827&amp;$B827,'5) Release_Track'!$F:$F&amp;'5) Release_Track'!$G:$G,1,0))),vlookup($A827&amp;$B827,{'5) Release_Track'!$F:$F&amp;'5) Release_Track'!$G:$G,'5) Release_Track'!$I:$I},2,0), or(and(not(isblank($B827)),$B827=$B826,$A827&lt;&gt;$A826),and(not(isblank($A827)),$A827=$A826,$B827&lt;&gt;$B826)),"ID LISTS UNALIGNED",and($A827&lt;&gt;"",countif('5) Release_Track'!$F:$F,$A827)=0),"NO ISRC MATCH in Release_Track",and($B827&lt;&gt;"",countif('5) Release_Track'!$G:$G,$B827)=0),"NO CATALOG ID MATCH in Release_Track",iserror(vlookup($A827&amp;$B827,'5) Release_Track'!$F:$F&amp;'5) Release_Track'!$G:$G,1,0)),"NO ISRC-CATALOG ID pair MATCH in Release_Track" )</f>
        <v/>
      </c>
      <c r="E827" s="99"/>
      <c r="F827" s="99"/>
      <c r="G827" s="123" t="str">
        <f t="array" ref="G827">ifs(or($F827="",$F827="Main Primary Artist"),$F827,not(iserror(vlookup($F827,'Reference info'!$J$5:$J$8,1,0))),"Key Artist",not(iserror(vlookup($F827,'Reference info'!$J$38:$J$405,1,0))),"Performer",not(iserror(vlookup($F827,'Reference info'!$J$10:$J$36,1,0))),"Producer &amp; Engineer")</f>
        <v/>
      </c>
    </row>
    <row r="828">
      <c r="B828" s="103"/>
      <c r="C828" s="121" t="str">
        <f t="array" ref="C828">ifs(and(isblank($A828),isblank($B828)),"", not(iserror(vlookup($A828&amp;$B828,'5) Release_Track'!$F:$F&amp;'5) Release_Track'!$G:$G,1,0))),vlookup($A828&amp;$B828,{'5) Release_Track'!$F:$F&amp;'5) Release_Track'!$G:$G,'5) Release_Track'!$H:$H},2,0), or(and(not(isblank($B828)),$B828=$B827,$A828&lt;&gt;$A827),and(not(isblank($A828)),$A828=$A827,$B828&lt;&gt;$B827)),"ID LISTS UNALIGNED",and($A828&lt;&gt;"",countif('5) Release_Track'!$F:$F,$A828)=0),"NO ISRC MATCH in Release_Track",and($B828&lt;&gt;"",countif('5) Release_Track'!$G:$G,$B828)=0),"NO CATALOG ID MATCH in Release_Track",iserror(vlookup($A828&amp;$B828,'5) Release_Track'!$F:$F&amp;'5) Release_Track'!$G:$G,1,0)),"NO ISRC-CATALOG ID pair MATCH in Release_Track" )</f>
        <v/>
      </c>
      <c r="D828" s="121" t="str">
        <f t="array" ref="D828">ifs(and(isblank($A828),isblank($B828)),"", not(iserror(vlookup($A828&amp;$B828,'5) Release_Track'!$F:$F&amp;'5) Release_Track'!$G:$G,1,0))),vlookup($A828&amp;$B828,{'5) Release_Track'!$F:$F&amp;'5) Release_Track'!$G:$G,'5) Release_Track'!$I:$I},2,0), or(and(not(isblank($B828)),$B828=$B827,$A828&lt;&gt;$A827),and(not(isblank($A828)),$A828=$A827,$B828&lt;&gt;$B827)),"ID LISTS UNALIGNED",and($A828&lt;&gt;"",countif('5) Release_Track'!$F:$F,$A828)=0),"NO ISRC MATCH in Release_Track",and($B828&lt;&gt;"",countif('5) Release_Track'!$G:$G,$B828)=0),"NO CATALOG ID MATCH in Release_Track",iserror(vlookup($A828&amp;$B828,'5) Release_Track'!$F:$F&amp;'5) Release_Track'!$G:$G,1,0)),"NO ISRC-CATALOG ID pair MATCH in Release_Track" )</f>
        <v/>
      </c>
      <c r="E828" s="99"/>
      <c r="F828" s="99"/>
      <c r="G828" s="123" t="str">
        <f t="array" ref="G828">ifs(or($F828="",$F828="Main Primary Artist"),$F828,not(iserror(vlookup($F828,'Reference info'!$J$5:$J$8,1,0))),"Key Artist",not(iserror(vlookup($F828,'Reference info'!$J$38:$J$405,1,0))),"Performer",not(iserror(vlookup($F828,'Reference info'!$J$10:$J$36,1,0))),"Producer &amp; Engineer")</f>
        <v/>
      </c>
    </row>
    <row r="829">
      <c r="B829" s="103"/>
      <c r="C829" s="121" t="str">
        <f t="array" ref="C829">ifs(and(isblank($A829),isblank($B829)),"", not(iserror(vlookup($A829&amp;$B829,'5) Release_Track'!$F:$F&amp;'5) Release_Track'!$G:$G,1,0))),vlookup($A829&amp;$B829,{'5) Release_Track'!$F:$F&amp;'5) Release_Track'!$G:$G,'5) Release_Track'!$H:$H},2,0), or(and(not(isblank($B829)),$B829=$B828,$A829&lt;&gt;$A828),and(not(isblank($A829)),$A829=$A828,$B829&lt;&gt;$B828)),"ID LISTS UNALIGNED",and($A829&lt;&gt;"",countif('5) Release_Track'!$F:$F,$A829)=0),"NO ISRC MATCH in Release_Track",and($B829&lt;&gt;"",countif('5) Release_Track'!$G:$G,$B829)=0),"NO CATALOG ID MATCH in Release_Track",iserror(vlookup($A829&amp;$B829,'5) Release_Track'!$F:$F&amp;'5) Release_Track'!$G:$G,1,0)),"NO ISRC-CATALOG ID pair MATCH in Release_Track" )</f>
        <v/>
      </c>
      <c r="D829" s="121" t="str">
        <f t="array" ref="D829">ifs(and(isblank($A829),isblank($B829)),"", not(iserror(vlookup($A829&amp;$B829,'5) Release_Track'!$F:$F&amp;'5) Release_Track'!$G:$G,1,0))),vlookup($A829&amp;$B829,{'5) Release_Track'!$F:$F&amp;'5) Release_Track'!$G:$G,'5) Release_Track'!$I:$I},2,0), or(and(not(isblank($B829)),$B829=$B828,$A829&lt;&gt;$A828),and(not(isblank($A829)),$A829=$A828,$B829&lt;&gt;$B828)),"ID LISTS UNALIGNED",and($A829&lt;&gt;"",countif('5) Release_Track'!$F:$F,$A829)=0),"NO ISRC MATCH in Release_Track",and($B829&lt;&gt;"",countif('5) Release_Track'!$G:$G,$B829)=0),"NO CATALOG ID MATCH in Release_Track",iserror(vlookup($A829&amp;$B829,'5) Release_Track'!$F:$F&amp;'5) Release_Track'!$G:$G,1,0)),"NO ISRC-CATALOG ID pair MATCH in Release_Track" )</f>
        <v/>
      </c>
      <c r="E829" s="99"/>
      <c r="F829" s="99"/>
      <c r="G829" s="123" t="str">
        <f t="array" ref="G829">ifs(or($F829="",$F829="Main Primary Artist"),$F829,not(iserror(vlookup($F829,'Reference info'!$J$5:$J$8,1,0))),"Key Artist",not(iserror(vlookup($F829,'Reference info'!$J$38:$J$405,1,0))),"Performer",not(iserror(vlookup($F829,'Reference info'!$J$10:$J$36,1,0))),"Producer &amp; Engineer")</f>
        <v/>
      </c>
    </row>
    <row r="830">
      <c r="B830" s="103"/>
      <c r="C830" s="121" t="str">
        <f t="array" ref="C830">ifs(and(isblank($A830),isblank($B830)),"", not(iserror(vlookup($A830&amp;$B830,'5) Release_Track'!$F:$F&amp;'5) Release_Track'!$G:$G,1,0))),vlookup($A830&amp;$B830,{'5) Release_Track'!$F:$F&amp;'5) Release_Track'!$G:$G,'5) Release_Track'!$H:$H},2,0), or(and(not(isblank($B830)),$B830=$B829,$A830&lt;&gt;$A829),and(not(isblank($A830)),$A830=$A829,$B830&lt;&gt;$B829)),"ID LISTS UNALIGNED",and($A830&lt;&gt;"",countif('5) Release_Track'!$F:$F,$A830)=0),"NO ISRC MATCH in Release_Track",and($B830&lt;&gt;"",countif('5) Release_Track'!$G:$G,$B830)=0),"NO CATALOG ID MATCH in Release_Track",iserror(vlookup($A830&amp;$B830,'5) Release_Track'!$F:$F&amp;'5) Release_Track'!$G:$G,1,0)),"NO ISRC-CATALOG ID pair MATCH in Release_Track" )</f>
        <v/>
      </c>
      <c r="D830" s="121" t="str">
        <f t="array" ref="D830">ifs(and(isblank($A830),isblank($B830)),"", not(iserror(vlookup($A830&amp;$B830,'5) Release_Track'!$F:$F&amp;'5) Release_Track'!$G:$G,1,0))),vlookup($A830&amp;$B830,{'5) Release_Track'!$F:$F&amp;'5) Release_Track'!$G:$G,'5) Release_Track'!$I:$I},2,0), or(and(not(isblank($B830)),$B830=$B829,$A830&lt;&gt;$A829),and(not(isblank($A830)),$A830=$A829,$B830&lt;&gt;$B829)),"ID LISTS UNALIGNED",and($A830&lt;&gt;"",countif('5) Release_Track'!$F:$F,$A830)=0),"NO ISRC MATCH in Release_Track",and($B830&lt;&gt;"",countif('5) Release_Track'!$G:$G,$B830)=0),"NO CATALOG ID MATCH in Release_Track",iserror(vlookup($A830&amp;$B830,'5) Release_Track'!$F:$F&amp;'5) Release_Track'!$G:$G,1,0)),"NO ISRC-CATALOG ID pair MATCH in Release_Track" )</f>
        <v/>
      </c>
      <c r="E830" s="99"/>
      <c r="F830" s="99"/>
      <c r="G830" s="123" t="str">
        <f t="array" ref="G830">ifs(or($F830="",$F830="Main Primary Artist"),$F830,not(iserror(vlookup($F830,'Reference info'!$J$5:$J$8,1,0))),"Key Artist",not(iserror(vlookup($F830,'Reference info'!$J$38:$J$405,1,0))),"Performer",not(iserror(vlookup($F830,'Reference info'!$J$10:$J$36,1,0))),"Producer &amp; Engineer")</f>
        <v/>
      </c>
    </row>
    <row r="831">
      <c r="B831" s="103"/>
      <c r="C831" s="121" t="str">
        <f t="array" ref="C831">ifs(and(isblank($A831),isblank($B831)),"", not(iserror(vlookup($A831&amp;$B831,'5) Release_Track'!$F:$F&amp;'5) Release_Track'!$G:$G,1,0))),vlookup($A831&amp;$B831,{'5) Release_Track'!$F:$F&amp;'5) Release_Track'!$G:$G,'5) Release_Track'!$H:$H},2,0), or(and(not(isblank($B831)),$B831=$B830,$A831&lt;&gt;$A830),and(not(isblank($A831)),$A831=$A830,$B831&lt;&gt;$B830)),"ID LISTS UNALIGNED",and($A831&lt;&gt;"",countif('5) Release_Track'!$F:$F,$A831)=0),"NO ISRC MATCH in Release_Track",and($B831&lt;&gt;"",countif('5) Release_Track'!$G:$G,$B831)=0),"NO CATALOG ID MATCH in Release_Track",iserror(vlookup($A831&amp;$B831,'5) Release_Track'!$F:$F&amp;'5) Release_Track'!$G:$G,1,0)),"NO ISRC-CATALOG ID pair MATCH in Release_Track" )</f>
        <v/>
      </c>
      <c r="D831" s="121" t="str">
        <f t="array" ref="D831">ifs(and(isblank($A831),isblank($B831)),"", not(iserror(vlookup($A831&amp;$B831,'5) Release_Track'!$F:$F&amp;'5) Release_Track'!$G:$G,1,0))),vlookup($A831&amp;$B831,{'5) Release_Track'!$F:$F&amp;'5) Release_Track'!$G:$G,'5) Release_Track'!$I:$I},2,0), or(and(not(isblank($B831)),$B831=$B830,$A831&lt;&gt;$A830),and(not(isblank($A831)),$A831=$A830,$B831&lt;&gt;$B830)),"ID LISTS UNALIGNED",and($A831&lt;&gt;"",countif('5) Release_Track'!$F:$F,$A831)=0),"NO ISRC MATCH in Release_Track",and($B831&lt;&gt;"",countif('5) Release_Track'!$G:$G,$B831)=0),"NO CATALOG ID MATCH in Release_Track",iserror(vlookup($A831&amp;$B831,'5) Release_Track'!$F:$F&amp;'5) Release_Track'!$G:$G,1,0)),"NO ISRC-CATALOG ID pair MATCH in Release_Track" )</f>
        <v/>
      </c>
      <c r="E831" s="99"/>
      <c r="F831" s="99"/>
      <c r="G831" s="123" t="str">
        <f t="array" ref="G831">ifs(or($F831="",$F831="Main Primary Artist"),$F831,not(iserror(vlookup($F831,'Reference info'!$J$5:$J$8,1,0))),"Key Artist",not(iserror(vlookup($F831,'Reference info'!$J$38:$J$405,1,0))),"Performer",not(iserror(vlookup($F831,'Reference info'!$J$10:$J$36,1,0))),"Producer &amp; Engineer")</f>
        <v/>
      </c>
    </row>
    <row r="832">
      <c r="B832" s="103"/>
      <c r="C832" s="121" t="str">
        <f t="array" ref="C832">ifs(and(isblank($A832),isblank($B832)),"", not(iserror(vlookup($A832&amp;$B832,'5) Release_Track'!$F:$F&amp;'5) Release_Track'!$G:$G,1,0))),vlookup($A832&amp;$B832,{'5) Release_Track'!$F:$F&amp;'5) Release_Track'!$G:$G,'5) Release_Track'!$H:$H},2,0), or(and(not(isblank($B832)),$B832=$B831,$A832&lt;&gt;$A831),and(not(isblank($A832)),$A832=$A831,$B832&lt;&gt;$B831)),"ID LISTS UNALIGNED",and($A832&lt;&gt;"",countif('5) Release_Track'!$F:$F,$A832)=0),"NO ISRC MATCH in Release_Track",and($B832&lt;&gt;"",countif('5) Release_Track'!$G:$G,$B832)=0),"NO CATALOG ID MATCH in Release_Track",iserror(vlookup($A832&amp;$B832,'5) Release_Track'!$F:$F&amp;'5) Release_Track'!$G:$G,1,0)),"NO ISRC-CATALOG ID pair MATCH in Release_Track" )</f>
        <v/>
      </c>
      <c r="D832" s="121" t="str">
        <f t="array" ref="D832">ifs(and(isblank($A832),isblank($B832)),"", not(iserror(vlookup($A832&amp;$B832,'5) Release_Track'!$F:$F&amp;'5) Release_Track'!$G:$G,1,0))),vlookup($A832&amp;$B832,{'5) Release_Track'!$F:$F&amp;'5) Release_Track'!$G:$G,'5) Release_Track'!$I:$I},2,0), or(and(not(isblank($B832)),$B832=$B831,$A832&lt;&gt;$A831),and(not(isblank($A832)),$A832=$A831,$B832&lt;&gt;$B831)),"ID LISTS UNALIGNED",and($A832&lt;&gt;"",countif('5) Release_Track'!$F:$F,$A832)=0),"NO ISRC MATCH in Release_Track",and($B832&lt;&gt;"",countif('5) Release_Track'!$G:$G,$B832)=0),"NO CATALOG ID MATCH in Release_Track",iserror(vlookup($A832&amp;$B832,'5) Release_Track'!$F:$F&amp;'5) Release_Track'!$G:$G,1,0)),"NO ISRC-CATALOG ID pair MATCH in Release_Track" )</f>
        <v/>
      </c>
      <c r="E832" s="99"/>
      <c r="F832" s="99"/>
      <c r="G832" s="123" t="str">
        <f t="array" ref="G832">ifs(or($F832="",$F832="Main Primary Artist"),$F832,not(iserror(vlookup($F832,'Reference info'!$J$5:$J$8,1,0))),"Key Artist",not(iserror(vlookup($F832,'Reference info'!$J$38:$J$405,1,0))),"Performer",not(iserror(vlookup($F832,'Reference info'!$J$10:$J$36,1,0))),"Producer &amp; Engineer")</f>
        <v/>
      </c>
    </row>
    <row r="833">
      <c r="B833" s="103"/>
      <c r="C833" s="121" t="str">
        <f t="array" ref="C833">ifs(and(isblank($A833),isblank($B833)),"", not(iserror(vlookup($A833&amp;$B833,'5) Release_Track'!$F:$F&amp;'5) Release_Track'!$G:$G,1,0))),vlookup($A833&amp;$B833,{'5) Release_Track'!$F:$F&amp;'5) Release_Track'!$G:$G,'5) Release_Track'!$H:$H},2,0), or(and(not(isblank($B833)),$B833=$B832,$A833&lt;&gt;$A832),and(not(isblank($A833)),$A833=$A832,$B833&lt;&gt;$B832)),"ID LISTS UNALIGNED",and($A833&lt;&gt;"",countif('5) Release_Track'!$F:$F,$A833)=0),"NO ISRC MATCH in Release_Track",and($B833&lt;&gt;"",countif('5) Release_Track'!$G:$G,$B833)=0),"NO CATALOG ID MATCH in Release_Track",iserror(vlookup($A833&amp;$B833,'5) Release_Track'!$F:$F&amp;'5) Release_Track'!$G:$G,1,0)),"NO ISRC-CATALOG ID pair MATCH in Release_Track" )</f>
        <v/>
      </c>
      <c r="D833" s="121" t="str">
        <f t="array" ref="D833">ifs(and(isblank($A833),isblank($B833)),"", not(iserror(vlookup($A833&amp;$B833,'5) Release_Track'!$F:$F&amp;'5) Release_Track'!$G:$G,1,0))),vlookup($A833&amp;$B833,{'5) Release_Track'!$F:$F&amp;'5) Release_Track'!$G:$G,'5) Release_Track'!$I:$I},2,0), or(and(not(isblank($B833)),$B833=$B832,$A833&lt;&gt;$A832),and(not(isblank($A833)),$A833=$A832,$B833&lt;&gt;$B832)),"ID LISTS UNALIGNED",and($A833&lt;&gt;"",countif('5) Release_Track'!$F:$F,$A833)=0),"NO ISRC MATCH in Release_Track",and($B833&lt;&gt;"",countif('5) Release_Track'!$G:$G,$B833)=0),"NO CATALOG ID MATCH in Release_Track",iserror(vlookup($A833&amp;$B833,'5) Release_Track'!$F:$F&amp;'5) Release_Track'!$G:$G,1,0)),"NO ISRC-CATALOG ID pair MATCH in Release_Track" )</f>
        <v/>
      </c>
      <c r="E833" s="99"/>
      <c r="F833" s="99"/>
      <c r="G833" s="123" t="str">
        <f t="array" ref="G833">ifs(or($F833="",$F833="Main Primary Artist"),$F833,not(iserror(vlookup($F833,'Reference info'!$J$5:$J$8,1,0))),"Key Artist",not(iserror(vlookup($F833,'Reference info'!$J$38:$J$405,1,0))),"Performer",not(iserror(vlookup($F833,'Reference info'!$J$10:$J$36,1,0))),"Producer &amp; Engineer")</f>
        <v/>
      </c>
    </row>
    <row r="834">
      <c r="B834" s="103"/>
      <c r="C834" s="121" t="str">
        <f t="array" ref="C834">ifs(and(isblank($A834),isblank($B834)),"", not(iserror(vlookup($A834&amp;$B834,'5) Release_Track'!$F:$F&amp;'5) Release_Track'!$G:$G,1,0))),vlookup($A834&amp;$B834,{'5) Release_Track'!$F:$F&amp;'5) Release_Track'!$G:$G,'5) Release_Track'!$H:$H},2,0), or(and(not(isblank($B834)),$B834=$B833,$A834&lt;&gt;$A833),and(not(isblank($A834)),$A834=$A833,$B834&lt;&gt;$B833)),"ID LISTS UNALIGNED",and($A834&lt;&gt;"",countif('5) Release_Track'!$F:$F,$A834)=0),"NO ISRC MATCH in Release_Track",and($B834&lt;&gt;"",countif('5) Release_Track'!$G:$G,$B834)=0),"NO CATALOG ID MATCH in Release_Track",iserror(vlookup($A834&amp;$B834,'5) Release_Track'!$F:$F&amp;'5) Release_Track'!$G:$G,1,0)),"NO ISRC-CATALOG ID pair MATCH in Release_Track" )</f>
        <v/>
      </c>
      <c r="D834" s="121" t="str">
        <f t="array" ref="D834">ifs(and(isblank($A834),isblank($B834)),"", not(iserror(vlookup($A834&amp;$B834,'5) Release_Track'!$F:$F&amp;'5) Release_Track'!$G:$G,1,0))),vlookup($A834&amp;$B834,{'5) Release_Track'!$F:$F&amp;'5) Release_Track'!$G:$G,'5) Release_Track'!$I:$I},2,0), or(and(not(isblank($B834)),$B834=$B833,$A834&lt;&gt;$A833),and(not(isblank($A834)),$A834=$A833,$B834&lt;&gt;$B833)),"ID LISTS UNALIGNED",and($A834&lt;&gt;"",countif('5) Release_Track'!$F:$F,$A834)=0),"NO ISRC MATCH in Release_Track",and($B834&lt;&gt;"",countif('5) Release_Track'!$G:$G,$B834)=0),"NO CATALOG ID MATCH in Release_Track",iserror(vlookup($A834&amp;$B834,'5) Release_Track'!$F:$F&amp;'5) Release_Track'!$G:$G,1,0)),"NO ISRC-CATALOG ID pair MATCH in Release_Track" )</f>
        <v/>
      </c>
      <c r="E834" s="99"/>
      <c r="F834" s="99"/>
      <c r="G834" s="123" t="str">
        <f t="array" ref="G834">ifs(or($F834="",$F834="Main Primary Artist"),$F834,not(iserror(vlookup($F834,'Reference info'!$J$5:$J$8,1,0))),"Key Artist",not(iserror(vlookup($F834,'Reference info'!$J$38:$J$405,1,0))),"Performer",not(iserror(vlookup($F834,'Reference info'!$J$10:$J$36,1,0))),"Producer &amp; Engineer")</f>
        <v/>
      </c>
    </row>
    <row r="835">
      <c r="B835" s="103"/>
      <c r="C835" s="121" t="str">
        <f t="array" ref="C835">ifs(and(isblank($A835),isblank($B835)),"", not(iserror(vlookup($A835&amp;$B835,'5) Release_Track'!$F:$F&amp;'5) Release_Track'!$G:$G,1,0))),vlookup($A835&amp;$B835,{'5) Release_Track'!$F:$F&amp;'5) Release_Track'!$G:$G,'5) Release_Track'!$H:$H},2,0), or(and(not(isblank($B835)),$B835=$B834,$A835&lt;&gt;$A834),and(not(isblank($A835)),$A835=$A834,$B835&lt;&gt;$B834)),"ID LISTS UNALIGNED",and($A835&lt;&gt;"",countif('5) Release_Track'!$F:$F,$A835)=0),"NO ISRC MATCH in Release_Track",and($B835&lt;&gt;"",countif('5) Release_Track'!$G:$G,$B835)=0),"NO CATALOG ID MATCH in Release_Track",iserror(vlookup($A835&amp;$B835,'5) Release_Track'!$F:$F&amp;'5) Release_Track'!$G:$G,1,0)),"NO ISRC-CATALOG ID pair MATCH in Release_Track" )</f>
        <v/>
      </c>
      <c r="D835" s="121" t="str">
        <f t="array" ref="D835">ifs(and(isblank($A835),isblank($B835)),"", not(iserror(vlookup($A835&amp;$B835,'5) Release_Track'!$F:$F&amp;'5) Release_Track'!$G:$G,1,0))),vlookup($A835&amp;$B835,{'5) Release_Track'!$F:$F&amp;'5) Release_Track'!$G:$G,'5) Release_Track'!$I:$I},2,0), or(and(not(isblank($B835)),$B835=$B834,$A835&lt;&gt;$A834),and(not(isblank($A835)),$A835=$A834,$B835&lt;&gt;$B834)),"ID LISTS UNALIGNED",and($A835&lt;&gt;"",countif('5) Release_Track'!$F:$F,$A835)=0),"NO ISRC MATCH in Release_Track",and($B835&lt;&gt;"",countif('5) Release_Track'!$G:$G,$B835)=0),"NO CATALOG ID MATCH in Release_Track",iserror(vlookup($A835&amp;$B835,'5) Release_Track'!$F:$F&amp;'5) Release_Track'!$G:$G,1,0)),"NO ISRC-CATALOG ID pair MATCH in Release_Track" )</f>
        <v/>
      </c>
      <c r="E835" s="99"/>
      <c r="F835" s="99"/>
      <c r="G835" s="123" t="str">
        <f t="array" ref="G835">ifs(or($F835="",$F835="Main Primary Artist"),$F835,not(iserror(vlookup($F835,'Reference info'!$J$5:$J$8,1,0))),"Key Artist",not(iserror(vlookup($F835,'Reference info'!$J$38:$J$405,1,0))),"Performer",not(iserror(vlookup($F835,'Reference info'!$J$10:$J$36,1,0))),"Producer &amp; Engineer")</f>
        <v/>
      </c>
    </row>
    <row r="836">
      <c r="B836" s="103"/>
      <c r="C836" s="121" t="str">
        <f t="array" ref="C836">ifs(and(isblank($A836),isblank($B836)),"", not(iserror(vlookup($A836&amp;$B836,'5) Release_Track'!$F:$F&amp;'5) Release_Track'!$G:$G,1,0))),vlookup($A836&amp;$B836,{'5) Release_Track'!$F:$F&amp;'5) Release_Track'!$G:$G,'5) Release_Track'!$H:$H},2,0), or(and(not(isblank($B836)),$B836=$B835,$A836&lt;&gt;$A835),and(not(isblank($A836)),$A836=$A835,$B836&lt;&gt;$B835)),"ID LISTS UNALIGNED",and($A836&lt;&gt;"",countif('5) Release_Track'!$F:$F,$A836)=0),"NO ISRC MATCH in Release_Track",and($B836&lt;&gt;"",countif('5) Release_Track'!$G:$G,$B836)=0),"NO CATALOG ID MATCH in Release_Track",iserror(vlookup($A836&amp;$B836,'5) Release_Track'!$F:$F&amp;'5) Release_Track'!$G:$G,1,0)),"NO ISRC-CATALOG ID pair MATCH in Release_Track" )</f>
        <v/>
      </c>
      <c r="D836" s="121" t="str">
        <f t="array" ref="D836">ifs(and(isblank($A836),isblank($B836)),"", not(iserror(vlookup($A836&amp;$B836,'5) Release_Track'!$F:$F&amp;'5) Release_Track'!$G:$G,1,0))),vlookup($A836&amp;$B836,{'5) Release_Track'!$F:$F&amp;'5) Release_Track'!$G:$G,'5) Release_Track'!$I:$I},2,0), or(and(not(isblank($B836)),$B836=$B835,$A836&lt;&gt;$A835),and(not(isblank($A836)),$A836=$A835,$B836&lt;&gt;$B835)),"ID LISTS UNALIGNED",and($A836&lt;&gt;"",countif('5) Release_Track'!$F:$F,$A836)=0),"NO ISRC MATCH in Release_Track",and($B836&lt;&gt;"",countif('5) Release_Track'!$G:$G,$B836)=0),"NO CATALOG ID MATCH in Release_Track",iserror(vlookup($A836&amp;$B836,'5) Release_Track'!$F:$F&amp;'5) Release_Track'!$G:$G,1,0)),"NO ISRC-CATALOG ID pair MATCH in Release_Track" )</f>
        <v/>
      </c>
      <c r="E836" s="99"/>
      <c r="F836" s="99"/>
      <c r="G836" s="123" t="str">
        <f t="array" ref="G836">ifs(or($F836="",$F836="Main Primary Artist"),$F836,not(iserror(vlookup($F836,'Reference info'!$J$5:$J$8,1,0))),"Key Artist",not(iserror(vlookup($F836,'Reference info'!$J$38:$J$405,1,0))),"Performer",not(iserror(vlookup($F836,'Reference info'!$J$10:$J$36,1,0))),"Producer &amp; Engineer")</f>
        <v/>
      </c>
    </row>
    <row r="837">
      <c r="B837" s="103"/>
      <c r="C837" s="121" t="str">
        <f t="array" ref="C837">ifs(and(isblank($A837),isblank($B837)),"", not(iserror(vlookup($A837&amp;$B837,'5) Release_Track'!$F:$F&amp;'5) Release_Track'!$G:$G,1,0))),vlookup($A837&amp;$B837,{'5) Release_Track'!$F:$F&amp;'5) Release_Track'!$G:$G,'5) Release_Track'!$H:$H},2,0), or(and(not(isblank($B837)),$B837=$B836,$A837&lt;&gt;$A836),and(not(isblank($A837)),$A837=$A836,$B837&lt;&gt;$B836)),"ID LISTS UNALIGNED",and($A837&lt;&gt;"",countif('5) Release_Track'!$F:$F,$A837)=0),"NO ISRC MATCH in Release_Track",and($B837&lt;&gt;"",countif('5) Release_Track'!$G:$G,$B837)=0),"NO CATALOG ID MATCH in Release_Track",iserror(vlookup($A837&amp;$B837,'5) Release_Track'!$F:$F&amp;'5) Release_Track'!$G:$G,1,0)),"NO ISRC-CATALOG ID pair MATCH in Release_Track" )</f>
        <v/>
      </c>
      <c r="D837" s="121" t="str">
        <f t="array" ref="D837">ifs(and(isblank($A837),isblank($B837)),"", not(iserror(vlookup($A837&amp;$B837,'5) Release_Track'!$F:$F&amp;'5) Release_Track'!$G:$G,1,0))),vlookup($A837&amp;$B837,{'5) Release_Track'!$F:$F&amp;'5) Release_Track'!$G:$G,'5) Release_Track'!$I:$I},2,0), or(and(not(isblank($B837)),$B837=$B836,$A837&lt;&gt;$A836),and(not(isblank($A837)),$A837=$A836,$B837&lt;&gt;$B836)),"ID LISTS UNALIGNED",and($A837&lt;&gt;"",countif('5) Release_Track'!$F:$F,$A837)=0),"NO ISRC MATCH in Release_Track",and($B837&lt;&gt;"",countif('5) Release_Track'!$G:$G,$B837)=0),"NO CATALOG ID MATCH in Release_Track",iserror(vlookup($A837&amp;$B837,'5) Release_Track'!$F:$F&amp;'5) Release_Track'!$G:$G,1,0)),"NO ISRC-CATALOG ID pair MATCH in Release_Track" )</f>
        <v/>
      </c>
      <c r="E837" s="99"/>
      <c r="F837" s="99"/>
      <c r="G837" s="123" t="str">
        <f t="array" ref="G837">ifs(or($F837="",$F837="Main Primary Artist"),$F837,not(iserror(vlookup($F837,'Reference info'!$J$5:$J$8,1,0))),"Key Artist",not(iserror(vlookup($F837,'Reference info'!$J$38:$J$405,1,0))),"Performer",not(iserror(vlookup($F837,'Reference info'!$J$10:$J$36,1,0))),"Producer &amp; Engineer")</f>
        <v/>
      </c>
    </row>
    <row r="838">
      <c r="B838" s="103"/>
      <c r="C838" s="121" t="str">
        <f t="array" ref="C838">ifs(and(isblank($A838),isblank($B838)),"", not(iserror(vlookup($A838&amp;$B838,'5) Release_Track'!$F:$F&amp;'5) Release_Track'!$G:$G,1,0))),vlookup($A838&amp;$B838,{'5) Release_Track'!$F:$F&amp;'5) Release_Track'!$G:$G,'5) Release_Track'!$H:$H},2,0), or(and(not(isblank($B838)),$B838=$B837,$A838&lt;&gt;$A837),and(not(isblank($A838)),$A838=$A837,$B838&lt;&gt;$B837)),"ID LISTS UNALIGNED",and($A838&lt;&gt;"",countif('5) Release_Track'!$F:$F,$A838)=0),"NO ISRC MATCH in Release_Track",and($B838&lt;&gt;"",countif('5) Release_Track'!$G:$G,$B838)=0),"NO CATALOG ID MATCH in Release_Track",iserror(vlookup($A838&amp;$B838,'5) Release_Track'!$F:$F&amp;'5) Release_Track'!$G:$G,1,0)),"NO ISRC-CATALOG ID pair MATCH in Release_Track" )</f>
        <v/>
      </c>
      <c r="D838" s="121" t="str">
        <f t="array" ref="D838">ifs(and(isblank($A838),isblank($B838)),"", not(iserror(vlookup($A838&amp;$B838,'5) Release_Track'!$F:$F&amp;'5) Release_Track'!$G:$G,1,0))),vlookup($A838&amp;$B838,{'5) Release_Track'!$F:$F&amp;'5) Release_Track'!$G:$G,'5) Release_Track'!$I:$I},2,0), or(and(not(isblank($B838)),$B838=$B837,$A838&lt;&gt;$A837),and(not(isblank($A838)),$A838=$A837,$B838&lt;&gt;$B837)),"ID LISTS UNALIGNED",and($A838&lt;&gt;"",countif('5) Release_Track'!$F:$F,$A838)=0),"NO ISRC MATCH in Release_Track",and($B838&lt;&gt;"",countif('5) Release_Track'!$G:$G,$B838)=0),"NO CATALOG ID MATCH in Release_Track",iserror(vlookup($A838&amp;$B838,'5) Release_Track'!$F:$F&amp;'5) Release_Track'!$G:$G,1,0)),"NO ISRC-CATALOG ID pair MATCH in Release_Track" )</f>
        <v/>
      </c>
      <c r="E838" s="99"/>
      <c r="F838" s="99"/>
      <c r="G838" s="123" t="str">
        <f t="array" ref="G838">ifs(or($F838="",$F838="Main Primary Artist"),$F838,not(iserror(vlookup($F838,'Reference info'!$J$5:$J$8,1,0))),"Key Artist",not(iserror(vlookup($F838,'Reference info'!$J$38:$J$405,1,0))),"Performer",not(iserror(vlookup($F838,'Reference info'!$J$10:$J$36,1,0))),"Producer &amp; Engineer")</f>
        <v/>
      </c>
    </row>
    <row r="839">
      <c r="B839" s="103"/>
      <c r="C839" s="121" t="str">
        <f t="array" ref="C839">ifs(and(isblank($A839),isblank($B839)),"", not(iserror(vlookup($A839&amp;$B839,'5) Release_Track'!$F:$F&amp;'5) Release_Track'!$G:$G,1,0))),vlookup($A839&amp;$B839,{'5) Release_Track'!$F:$F&amp;'5) Release_Track'!$G:$G,'5) Release_Track'!$H:$H},2,0), or(and(not(isblank($B839)),$B839=$B838,$A839&lt;&gt;$A838),and(not(isblank($A839)),$A839=$A838,$B839&lt;&gt;$B838)),"ID LISTS UNALIGNED",and($A839&lt;&gt;"",countif('5) Release_Track'!$F:$F,$A839)=0),"NO ISRC MATCH in Release_Track",and($B839&lt;&gt;"",countif('5) Release_Track'!$G:$G,$B839)=0),"NO CATALOG ID MATCH in Release_Track",iserror(vlookup($A839&amp;$B839,'5) Release_Track'!$F:$F&amp;'5) Release_Track'!$G:$G,1,0)),"NO ISRC-CATALOG ID pair MATCH in Release_Track" )</f>
        <v/>
      </c>
      <c r="D839" s="121" t="str">
        <f t="array" ref="D839">ifs(and(isblank($A839),isblank($B839)),"", not(iserror(vlookup($A839&amp;$B839,'5) Release_Track'!$F:$F&amp;'5) Release_Track'!$G:$G,1,0))),vlookup($A839&amp;$B839,{'5) Release_Track'!$F:$F&amp;'5) Release_Track'!$G:$G,'5) Release_Track'!$I:$I},2,0), or(and(not(isblank($B839)),$B839=$B838,$A839&lt;&gt;$A838),and(not(isblank($A839)),$A839=$A838,$B839&lt;&gt;$B838)),"ID LISTS UNALIGNED",and($A839&lt;&gt;"",countif('5) Release_Track'!$F:$F,$A839)=0),"NO ISRC MATCH in Release_Track",and($B839&lt;&gt;"",countif('5) Release_Track'!$G:$G,$B839)=0),"NO CATALOG ID MATCH in Release_Track",iserror(vlookup($A839&amp;$B839,'5) Release_Track'!$F:$F&amp;'5) Release_Track'!$G:$G,1,0)),"NO ISRC-CATALOG ID pair MATCH in Release_Track" )</f>
        <v/>
      </c>
      <c r="E839" s="99"/>
      <c r="F839" s="99"/>
      <c r="G839" s="123" t="str">
        <f t="array" ref="G839">ifs(or($F839="",$F839="Main Primary Artist"),$F839,not(iserror(vlookup($F839,'Reference info'!$J$5:$J$8,1,0))),"Key Artist",not(iserror(vlookup($F839,'Reference info'!$J$38:$J$405,1,0))),"Performer",not(iserror(vlookup($F839,'Reference info'!$J$10:$J$36,1,0))),"Producer &amp; Engineer")</f>
        <v/>
      </c>
    </row>
    <row r="840">
      <c r="B840" s="103"/>
      <c r="C840" s="121" t="str">
        <f t="array" ref="C840">ifs(and(isblank($A840),isblank($B840)),"", not(iserror(vlookup($A840&amp;$B840,'5) Release_Track'!$F:$F&amp;'5) Release_Track'!$G:$G,1,0))),vlookup($A840&amp;$B840,{'5) Release_Track'!$F:$F&amp;'5) Release_Track'!$G:$G,'5) Release_Track'!$H:$H},2,0), or(and(not(isblank($B840)),$B840=$B839,$A840&lt;&gt;$A839),and(not(isblank($A840)),$A840=$A839,$B840&lt;&gt;$B839)),"ID LISTS UNALIGNED",and($A840&lt;&gt;"",countif('5) Release_Track'!$F:$F,$A840)=0),"NO ISRC MATCH in Release_Track",and($B840&lt;&gt;"",countif('5) Release_Track'!$G:$G,$B840)=0),"NO CATALOG ID MATCH in Release_Track",iserror(vlookup($A840&amp;$B840,'5) Release_Track'!$F:$F&amp;'5) Release_Track'!$G:$G,1,0)),"NO ISRC-CATALOG ID pair MATCH in Release_Track" )</f>
        <v/>
      </c>
      <c r="D840" s="121" t="str">
        <f t="array" ref="D840">ifs(and(isblank($A840),isblank($B840)),"", not(iserror(vlookup($A840&amp;$B840,'5) Release_Track'!$F:$F&amp;'5) Release_Track'!$G:$G,1,0))),vlookup($A840&amp;$B840,{'5) Release_Track'!$F:$F&amp;'5) Release_Track'!$G:$G,'5) Release_Track'!$I:$I},2,0), or(and(not(isblank($B840)),$B840=$B839,$A840&lt;&gt;$A839),and(not(isblank($A840)),$A840=$A839,$B840&lt;&gt;$B839)),"ID LISTS UNALIGNED",and($A840&lt;&gt;"",countif('5) Release_Track'!$F:$F,$A840)=0),"NO ISRC MATCH in Release_Track",and($B840&lt;&gt;"",countif('5) Release_Track'!$G:$G,$B840)=0),"NO CATALOG ID MATCH in Release_Track",iserror(vlookup($A840&amp;$B840,'5) Release_Track'!$F:$F&amp;'5) Release_Track'!$G:$G,1,0)),"NO ISRC-CATALOG ID pair MATCH in Release_Track" )</f>
        <v/>
      </c>
      <c r="E840" s="99"/>
      <c r="F840" s="99"/>
      <c r="G840" s="123" t="str">
        <f t="array" ref="G840">ifs(or($F840="",$F840="Main Primary Artist"),$F840,not(iserror(vlookup($F840,'Reference info'!$J$5:$J$8,1,0))),"Key Artist",not(iserror(vlookup($F840,'Reference info'!$J$38:$J$405,1,0))),"Performer",not(iserror(vlookup($F840,'Reference info'!$J$10:$J$36,1,0))),"Producer &amp; Engineer")</f>
        <v/>
      </c>
    </row>
    <row r="841">
      <c r="B841" s="103"/>
      <c r="C841" s="121" t="str">
        <f t="array" ref="C841">ifs(and(isblank($A841),isblank($B841)),"", not(iserror(vlookup($A841&amp;$B841,'5) Release_Track'!$F:$F&amp;'5) Release_Track'!$G:$G,1,0))),vlookup($A841&amp;$B841,{'5) Release_Track'!$F:$F&amp;'5) Release_Track'!$G:$G,'5) Release_Track'!$H:$H},2,0), or(and(not(isblank($B841)),$B841=$B840,$A841&lt;&gt;$A840),and(not(isblank($A841)),$A841=$A840,$B841&lt;&gt;$B840)),"ID LISTS UNALIGNED",and($A841&lt;&gt;"",countif('5) Release_Track'!$F:$F,$A841)=0),"NO ISRC MATCH in Release_Track",and($B841&lt;&gt;"",countif('5) Release_Track'!$G:$G,$B841)=0),"NO CATALOG ID MATCH in Release_Track",iserror(vlookup($A841&amp;$B841,'5) Release_Track'!$F:$F&amp;'5) Release_Track'!$G:$G,1,0)),"NO ISRC-CATALOG ID pair MATCH in Release_Track" )</f>
        <v/>
      </c>
      <c r="D841" s="121" t="str">
        <f t="array" ref="D841">ifs(and(isblank($A841),isblank($B841)),"", not(iserror(vlookup($A841&amp;$B841,'5) Release_Track'!$F:$F&amp;'5) Release_Track'!$G:$G,1,0))),vlookup($A841&amp;$B841,{'5) Release_Track'!$F:$F&amp;'5) Release_Track'!$G:$G,'5) Release_Track'!$I:$I},2,0), or(and(not(isblank($B841)),$B841=$B840,$A841&lt;&gt;$A840),and(not(isblank($A841)),$A841=$A840,$B841&lt;&gt;$B840)),"ID LISTS UNALIGNED",and($A841&lt;&gt;"",countif('5) Release_Track'!$F:$F,$A841)=0),"NO ISRC MATCH in Release_Track",and($B841&lt;&gt;"",countif('5) Release_Track'!$G:$G,$B841)=0),"NO CATALOG ID MATCH in Release_Track",iserror(vlookup($A841&amp;$B841,'5) Release_Track'!$F:$F&amp;'5) Release_Track'!$G:$G,1,0)),"NO ISRC-CATALOG ID pair MATCH in Release_Track" )</f>
        <v/>
      </c>
      <c r="E841" s="99"/>
      <c r="F841" s="99"/>
      <c r="G841" s="123" t="str">
        <f t="array" ref="G841">ifs(or($F841="",$F841="Main Primary Artist"),$F841,not(iserror(vlookup($F841,'Reference info'!$J$5:$J$8,1,0))),"Key Artist",not(iserror(vlookup($F841,'Reference info'!$J$38:$J$405,1,0))),"Performer",not(iserror(vlookup($F841,'Reference info'!$J$10:$J$36,1,0))),"Producer &amp; Engineer")</f>
        <v/>
      </c>
    </row>
    <row r="842">
      <c r="B842" s="103"/>
      <c r="C842" s="121" t="str">
        <f t="array" ref="C842">ifs(and(isblank($A842),isblank($B842)),"", not(iserror(vlookup($A842&amp;$B842,'5) Release_Track'!$F:$F&amp;'5) Release_Track'!$G:$G,1,0))),vlookup($A842&amp;$B842,{'5) Release_Track'!$F:$F&amp;'5) Release_Track'!$G:$G,'5) Release_Track'!$H:$H},2,0), or(and(not(isblank($B842)),$B842=$B841,$A842&lt;&gt;$A841),and(not(isblank($A842)),$A842=$A841,$B842&lt;&gt;$B841)),"ID LISTS UNALIGNED",and($A842&lt;&gt;"",countif('5) Release_Track'!$F:$F,$A842)=0),"NO ISRC MATCH in Release_Track",and($B842&lt;&gt;"",countif('5) Release_Track'!$G:$G,$B842)=0),"NO CATALOG ID MATCH in Release_Track",iserror(vlookup($A842&amp;$B842,'5) Release_Track'!$F:$F&amp;'5) Release_Track'!$G:$G,1,0)),"NO ISRC-CATALOG ID pair MATCH in Release_Track" )</f>
        <v/>
      </c>
      <c r="D842" s="121" t="str">
        <f t="array" ref="D842">ifs(and(isblank($A842),isblank($B842)),"", not(iserror(vlookup($A842&amp;$B842,'5) Release_Track'!$F:$F&amp;'5) Release_Track'!$G:$G,1,0))),vlookup($A842&amp;$B842,{'5) Release_Track'!$F:$F&amp;'5) Release_Track'!$G:$G,'5) Release_Track'!$I:$I},2,0), or(and(not(isblank($B842)),$B842=$B841,$A842&lt;&gt;$A841),and(not(isblank($A842)),$A842=$A841,$B842&lt;&gt;$B841)),"ID LISTS UNALIGNED",and($A842&lt;&gt;"",countif('5) Release_Track'!$F:$F,$A842)=0),"NO ISRC MATCH in Release_Track",and($B842&lt;&gt;"",countif('5) Release_Track'!$G:$G,$B842)=0),"NO CATALOG ID MATCH in Release_Track",iserror(vlookup($A842&amp;$B842,'5) Release_Track'!$F:$F&amp;'5) Release_Track'!$G:$G,1,0)),"NO ISRC-CATALOG ID pair MATCH in Release_Track" )</f>
        <v/>
      </c>
      <c r="E842" s="99"/>
      <c r="F842" s="99"/>
      <c r="G842" s="123" t="str">
        <f t="array" ref="G842">ifs(or($F842="",$F842="Main Primary Artist"),$F842,not(iserror(vlookup($F842,'Reference info'!$J$5:$J$8,1,0))),"Key Artist",not(iserror(vlookup($F842,'Reference info'!$J$38:$J$405,1,0))),"Performer",not(iserror(vlookup($F842,'Reference info'!$J$10:$J$36,1,0))),"Producer &amp; Engineer")</f>
        <v/>
      </c>
    </row>
    <row r="843">
      <c r="B843" s="103"/>
      <c r="C843" s="121" t="str">
        <f t="array" ref="C843">ifs(and(isblank($A843),isblank($B843)),"", not(iserror(vlookup($A843&amp;$B843,'5) Release_Track'!$F:$F&amp;'5) Release_Track'!$G:$G,1,0))),vlookup($A843&amp;$B843,{'5) Release_Track'!$F:$F&amp;'5) Release_Track'!$G:$G,'5) Release_Track'!$H:$H},2,0), or(and(not(isblank($B843)),$B843=$B842,$A843&lt;&gt;$A842),and(not(isblank($A843)),$A843=$A842,$B843&lt;&gt;$B842)),"ID LISTS UNALIGNED",and($A843&lt;&gt;"",countif('5) Release_Track'!$F:$F,$A843)=0),"NO ISRC MATCH in Release_Track",and($B843&lt;&gt;"",countif('5) Release_Track'!$G:$G,$B843)=0),"NO CATALOG ID MATCH in Release_Track",iserror(vlookup($A843&amp;$B843,'5) Release_Track'!$F:$F&amp;'5) Release_Track'!$G:$G,1,0)),"NO ISRC-CATALOG ID pair MATCH in Release_Track" )</f>
        <v/>
      </c>
      <c r="D843" s="121" t="str">
        <f t="array" ref="D843">ifs(and(isblank($A843),isblank($B843)),"", not(iserror(vlookup($A843&amp;$B843,'5) Release_Track'!$F:$F&amp;'5) Release_Track'!$G:$G,1,0))),vlookup($A843&amp;$B843,{'5) Release_Track'!$F:$F&amp;'5) Release_Track'!$G:$G,'5) Release_Track'!$I:$I},2,0), or(and(not(isblank($B843)),$B843=$B842,$A843&lt;&gt;$A842),and(not(isblank($A843)),$A843=$A842,$B843&lt;&gt;$B842)),"ID LISTS UNALIGNED",and($A843&lt;&gt;"",countif('5) Release_Track'!$F:$F,$A843)=0),"NO ISRC MATCH in Release_Track",and($B843&lt;&gt;"",countif('5) Release_Track'!$G:$G,$B843)=0),"NO CATALOG ID MATCH in Release_Track",iserror(vlookup($A843&amp;$B843,'5) Release_Track'!$F:$F&amp;'5) Release_Track'!$G:$G,1,0)),"NO ISRC-CATALOG ID pair MATCH in Release_Track" )</f>
        <v/>
      </c>
      <c r="E843" s="99"/>
      <c r="F843" s="99"/>
      <c r="G843" s="123" t="str">
        <f t="array" ref="G843">ifs(or($F843="",$F843="Main Primary Artist"),$F843,not(iserror(vlookup($F843,'Reference info'!$J$5:$J$8,1,0))),"Key Artist",not(iserror(vlookup($F843,'Reference info'!$J$38:$J$405,1,0))),"Performer",not(iserror(vlookup($F843,'Reference info'!$J$10:$J$36,1,0))),"Producer &amp; Engineer")</f>
        <v/>
      </c>
    </row>
    <row r="844">
      <c r="B844" s="103"/>
      <c r="C844" s="121" t="str">
        <f t="array" ref="C844">ifs(and(isblank($A844),isblank($B844)),"", not(iserror(vlookup($A844&amp;$B844,'5) Release_Track'!$F:$F&amp;'5) Release_Track'!$G:$G,1,0))),vlookup($A844&amp;$B844,{'5) Release_Track'!$F:$F&amp;'5) Release_Track'!$G:$G,'5) Release_Track'!$H:$H},2,0), or(and(not(isblank($B844)),$B844=$B843,$A844&lt;&gt;$A843),and(not(isblank($A844)),$A844=$A843,$B844&lt;&gt;$B843)),"ID LISTS UNALIGNED",and($A844&lt;&gt;"",countif('5) Release_Track'!$F:$F,$A844)=0),"NO ISRC MATCH in Release_Track",and($B844&lt;&gt;"",countif('5) Release_Track'!$G:$G,$B844)=0),"NO CATALOG ID MATCH in Release_Track",iserror(vlookup($A844&amp;$B844,'5) Release_Track'!$F:$F&amp;'5) Release_Track'!$G:$G,1,0)),"NO ISRC-CATALOG ID pair MATCH in Release_Track" )</f>
        <v/>
      </c>
      <c r="D844" s="121" t="str">
        <f t="array" ref="D844">ifs(and(isblank($A844),isblank($B844)),"", not(iserror(vlookup($A844&amp;$B844,'5) Release_Track'!$F:$F&amp;'5) Release_Track'!$G:$G,1,0))),vlookup($A844&amp;$B844,{'5) Release_Track'!$F:$F&amp;'5) Release_Track'!$G:$G,'5) Release_Track'!$I:$I},2,0), or(and(not(isblank($B844)),$B844=$B843,$A844&lt;&gt;$A843),and(not(isblank($A844)),$A844=$A843,$B844&lt;&gt;$B843)),"ID LISTS UNALIGNED",and($A844&lt;&gt;"",countif('5) Release_Track'!$F:$F,$A844)=0),"NO ISRC MATCH in Release_Track",and($B844&lt;&gt;"",countif('5) Release_Track'!$G:$G,$B844)=0),"NO CATALOG ID MATCH in Release_Track",iserror(vlookup($A844&amp;$B844,'5) Release_Track'!$F:$F&amp;'5) Release_Track'!$G:$G,1,0)),"NO ISRC-CATALOG ID pair MATCH in Release_Track" )</f>
        <v/>
      </c>
      <c r="E844" s="99"/>
      <c r="F844" s="99"/>
      <c r="G844" s="123" t="str">
        <f t="array" ref="G844">ifs(or($F844="",$F844="Main Primary Artist"),$F844,not(iserror(vlookup($F844,'Reference info'!$J$5:$J$8,1,0))),"Key Artist",not(iserror(vlookup($F844,'Reference info'!$J$38:$J$405,1,0))),"Performer",not(iserror(vlookup($F844,'Reference info'!$J$10:$J$36,1,0))),"Producer &amp; Engineer")</f>
        <v/>
      </c>
    </row>
    <row r="845">
      <c r="B845" s="103"/>
      <c r="C845" s="121" t="str">
        <f t="array" ref="C845">ifs(and(isblank($A845),isblank($B845)),"", not(iserror(vlookup($A845&amp;$B845,'5) Release_Track'!$F:$F&amp;'5) Release_Track'!$G:$G,1,0))),vlookup($A845&amp;$B845,{'5) Release_Track'!$F:$F&amp;'5) Release_Track'!$G:$G,'5) Release_Track'!$H:$H},2,0), or(and(not(isblank($B845)),$B845=$B844,$A845&lt;&gt;$A844),and(not(isblank($A845)),$A845=$A844,$B845&lt;&gt;$B844)),"ID LISTS UNALIGNED",and($A845&lt;&gt;"",countif('5) Release_Track'!$F:$F,$A845)=0),"NO ISRC MATCH in Release_Track",and($B845&lt;&gt;"",countif('5) Release_Track'!$G:$G,$B845)=0),"NO CATALOG ID MATCH in Release_Track",iserror(vlookup($A845&amp;$B845,'5) Release_Track'!$F:$F&amp;'5) Release_Track'!$G:$G,1,0)),"NO ISRC-CATALOG ID pair MATCH in Release_Track" )</f>
        <v/>
      </c>
      <c r="D845" s="121" t="str">
        <f t="array" ref="D845">ifs(and(isblank($A845),isblank($B845)),"", not(iserror(vlookup($A845&amp;$B845,'5) Release_Track'!$F:$F&amp;'5) Release_Track'!$G:$G,1,0))),vlookup($A845&amp;$B845,{'5) Release_Track'!$F:$F&amp;'5) Release_Track'!$G:$G,'5) Release_Track'!$I:$I},2,0), or(and(not(isblank($B845)),$B845=$B844,$A845&lt;&gt;$A844),and(not(isblank($A845)),$A845=$A844,$B845&lt;&gt;$B844)),"ID LISTS UNALIGNED",and($A845&lt;&gt;"",countif('5) Release_Track'!$F:$F,$A845)=0),"NO ISRC MATCH in Release_Track",and($B845&lt;&gt;"",countif('5) Release_Track'!$G:$G,$B845)=0),"NO CATALOG ID MATCH in Release_Track",iserror(vlookup($A845&amp;$B845,'5) Release_Track'!$F:$F&amp;'5) Release_Track'!$G:$G,1,0)),"NO ISRC-CATALOG ID pair MATCH in Release_Track" )</f>
        <v/>
      </c>
      <c r="E845" s="99"/>
      <c r="F845" s="99"/>
      <c r="G845" s="123" t="str">
        <f t="array" ref="G845">ifs(or($F845="",$F845="Main Primary Artist"),$F845,not(iserror(vlookup($F845,'Reference info'!$J$5:$J$8,1,0))),"Key Artist",not(iserror(vlookup($F845,'Reference info'!$J$38:$J$405,1,0))),"Performer",not(iserror(vlookup($F845,'Reference info'!$J$10:$J$36,1,0))),"Producer &amp; Engineer")</f>
        <v/>
      </c>
    </row>
    <row r="846">
      <c r="B846" s="103"/>
      <c r="C846" s="121" t="str">
        <f t="array" ref="C846">ifs(and(isblank($A846),isblank($B846)),"", not(iserror(vlookup($A846&amp;$B846,'5) Release_Track'!$F:$F&amp;'5) Release_Track'!$G:$G,1,0))),vlookup($A846&amp;$B846,{'5) Release_Track'!$F:$F&amp;'5) Release_Track'!$G:$G,'5) Release_Track'!$H:$H},2,0), or(and(not(isblank($B846)),$B846=$B845,$A846&lt;&gt;$A845),and(not(isblank($A846)),$A846=$A845,$B846&lt;&gt;$B845)),"ID LISTS UNALIGNED",and($A846&lt;&gt;"",countif('5) Release_Track'!$F:$F,$A846)=0),"NO ISRC MATCH in Release_Track",and($B846&lt;&gt;"",countif('5) Release_Track'!$G:$G,$B846)=0),"NO CATALOG ID MATCH in Release_Track",iserror(vlookup($A846&amp;$B846,'5) Release_Track'!$F:$F&amp;'5) Release_Track'!$G:$G,1,0)),"NO ISRC-CATALOG ID pair MATCH in Release_Track" )</f>
        <v/>
      </c>
      <c r="D846" s="121" t="str">
        <f t="array" ref="D846">ifs(and(isblank($A846),isblank($B846)),"", not(iserror(vlookup($A846&amp;$B846,'5) Release_Track'!$F:$F&amp;'5) Release_Track'!$G:$G,1,0))),vlookup($A846&amp;$B846,{'5) Release_Track'!$F:$F&amp;'5) Release_Track'!$G:$G,'5) Release_Track'!$I:$I},2,0), or(and(not(isblank($B846)),$B846=$B845,$A846&lt;&gt;$A845),and(not(isblank($A846)),$A846=$A845,$B846&lt;&gt;$B845)),"ID LISTS UNALIGNED",and($A846&lt;&gt;"",countif('5) Release_Track'!$F:$F,$A846)=0),"NO ISRC MATCH in Release_Track",and($B846&lt;&gt;"",countif('5) Release_Track'!$G:$G,$B846)=0),"NO CATALOG ID MATCH in Release_Track",iserror(vlookup($A846&amp;$B846,'5) Release_Track'!$F:$F&amp;'5) Release_Track'!$G:$G,1,0)),"NO ISRC-CATALOG ID pair MATCH in Release_Track" )</f>
        <v/>
      </c>
      <c r="E846" s="99"/>
      <c r="F846" s="99"/>
      <c r="G846" s="123" t="str">
        <f t="array" ref="G846">ifs(or($F846="",$F846="Main Primary Artist"),$F846,not(iserror(vlookup($F846,'Reference info'!$J$5:$J$8,1,0))),"Key Artist",not(iserror(vlookup($F846,'Reference info'!$J$38:$J$405,1,0))),"Performer",not(iserror(vlookup($F846,'Reference info'!$J$10:$J$36,1,0))),"Producer &amp; Engineer")</f>
        <v/>
      </c>
    </row>
    <row r="847">
      <c r="B847" s="103"/>
      <c r="C847" s="121" t="str">
        <f t="array" ref="C847">ifs(and(isblank($A847),isblank($B847)),"", not(iserror(vlookup($A847&amp;$B847,'5) Release_Track'!$F:$F&amp;'5) Release_Track'!$G:$G,1,0))),vlookup($A847&amp;$B847,{'5) Release_Track'!$F:$F&amp;'5) Release_Track'!$G:$G,'5) Release_Track'!$H:$H},2,0), or(and(not(isblank($B847)),$B847=$B846,$A847&lt;&gt;$A846),and(not(isblank($A847)),$A847=$A846,$B847&lt;&gt;$B846)),"ID LISTS UNALIGNED",and($A847&lt;&gt;"",countif('5) Release_Track'!$F:$F,$A847)=0),"NO ISRC MATCH in Release_Track",and($B847&lt;&gt;"",countif('5) Release_Track'!$G:$G,$B847)=0),"NO CATALOG ID MATCH in Release_Track",iserror(vlookup($A847&amp;$B847,'5) Release_Track'!$F:$F&amp;'5) Release_Track'!$G:$G,1,0)),"NO ISRC-CATALOG ID pair MATCH in Release_Track" )</f>
        <v/>
      </c>
      <c r="D847" s="121" t="str">
        <f t="array" ref="D847">ifs(and(isblank($A847),isblank($B847)),"", not(iserror(vlookup($A847&amp;$B847,'5) Release_Track'!$F:$F&amp;'5) Release_Track'!$G:$G,1,0))),vlookup($A847&amp;$B847,{'5) Release_Track'!$F:$F&amp;'5) Release_Track'!$G:$G,'5) Release_Track'!$I:$I},2,0), or(and(not(isblank($B847)),$B847=$B846,$A847&lt;&gt;$A846),and(not(isblank($A847)),$A847=$A846,$B847&lt;&gt;$B846)),"ID LISTS UNALIGNED",and($A847&lt;&gt;"",countif('5) Release_Track'!$F:$F,$A847)=0),"NO ISRC MATCH in Release_Track",and($B847&lt;&gt;"",countif('5) Release_Track'!$G:$G,$B847)=0),"NO CATALOG ID MATCH in Release_Track",iserror(vlookup($A847&amp;$B847,'5) Release_Track'!$F:$F&amp;'5) Release_Track'!$G:$G,1,0)),"NO ISRC-CATALOG ID pair MATCH in Release_Track" )</f>
        <v/>
      </c>
      <c r="E847" s="99"/>
      <c r="F847" s="99"/>
      <c r="G847" s="123" t="str">
        <f t="array" ref="G847">ifs(or($F847="",$F847="Main Primary Artist"),$F847,not(iserror(vlookup($F847,'Reference info'!$J$5:$J$8,1,0))),"Key Artist",not(iserror(vlookup($F847,'Reference info'!$J$38:$J$405,1,0))),"Performer",not(iserror(vlookup($F847,'Reference info'!$J$10:$J$36,1,0))),"Producer &amp; Engineer")</f>
        <v/>
      </c>
    </row>
    <row r="848">
      <c r="B848" s="103"/>
      <c r="C848" s="121" t="str">
        <f t="array" ref="C848">ifs(and(isblank($A848),isblank($B848)),"", not(iserror(vlookup($A848&amp;$B848,'5) Release_Track'!$F:$F&amp;'5) Release_Track'!$G:$G,1,0))),vlookup($A848&amp;$B848,{'5) Release_Track'!$F:$F&amp;'5) Release_Track'!$G:$G,'5) Release_Track'!$H:$H},2,0), or(and(not(isblank($B848)),$B848=$B847,$A848&lt;&gt;$A847),and(not(isblank($A848)),$A848=$A847,$B848&lt;&gt;$B847)),"ID LISTS UNALIGNED",and($A848&lt;&gt;"",countif('5) Release_Track'!$F:$F,$A848)=0),"NO ISRC MATCH in Release_Track",and($B848&lt;&gt;"",countif('5) Release_Track'!$G:$G,$B848)=0),"NO CATALOG ID MATCH in Release_Track",iserror(vlookup($A848&amp;$B848,'5) Release_Track'!$F:$F&amp;'5) Release_Track'!$G:$G,1,0)),"NO ISRC-CATALOG ID pair MATCH in Release_Track" )</f>
        <v/>
      </c>
      <c r="D848" s="121" t="str">
        <f t="array" ref="D848">ifs(and(isblank($A848),isblank($B848)),"", not(iserror(vlookup($A848&amp;$B848,'5) Release_Track'!$F:$F&amp;'5) Release_Track'!$G:$G,1,0))),vlookup($A848&amp;$B848,{'5) Release_Track'!$F:$F&amp;'5) Release_Track'!$G:$G,'5) Release_Track'!$I:$I},2,0), or(and(not(isblank($B848)),$B848=$B847,$A848&lt;&gt;$A847),and(not(isblank($A848)),$A848=$A847,$B848&lt;&gt;$B847)),"ID LISTS UNALIGNED",and($A848&lt;&gt;"",countif('5) Release_Track'!$F:$F,$A848)=0),"NO ISRC MATCH in Release_Track",and($B848&lt;&gt;"",countif('5) Release_Track'!$G:$G,$B848)=0),"NO CATALOG ID MATCH in Release_Track",iserror(vlookup($A848&amp;$B848,'5) Release_Track'!$F:$F&amp;'5) Release_Track'!$G:$G,1,0)),"NO ISRC-CATALOG ID pair MATCH in Release_Track" )</f>
        <v/>
      </c>
      <c r="E848" s="99"/>
      <c r="F848" s="99"/>
      <c r="G848" s="123" t="str">
        <f t="array" ref="G848">ifs(or($F848="",$F848="Main Primary Artist"),$F848,not(iserror(vlookup($F848,'Reference info'!$J$5:$J$8,1,0))),"Key Artist",not(iserror(vlookup($F848,'Reference info'!$J$38:$J$405,1,0))),"Performer",not(iserror(vlookup($F848,'Reference info'!$J$10:$J$36,1,0))),"Producer &amp; Engineer")</f>
        <v/>
      </c>
    </row>
    <row r="849">
      <c r="B849" s="103"/>
      <c r="C849" s="121" t="str">
        <f t="array" ref="C849">ifs(and(isblank($A849),isblank($B849)),"", not(iserror(vlookup($A849&amp;$B849,'5) Release_Track'!$F:$F&amp;'5) Release_Track'!$G:$G,1,0))),vlookup($A849&amp;$B849,{'5) Release_Track'!$F:$F&amp;'5) Release_Track'!$G:$G,'5) Release_Track'!$H:$H},2,0), or(and(not(isblank($B849)),$B849=$B848,$A849&lt;&gt;$A848),and(not(isblank($A849)),$A849=$A848,$B849&lt;&gt;$B848)),"ID LISTS UNALIGNED",and($A849&lt;&gt;"",countif('5) Release_Track'!$F:$F,$A849)=0),"NO ISRC MATCH in Release_Track",and($B849&lt;&gt;"",countif('5) Release_Track'!$G:$G,$B849)=0),"NO CATALOG ID MATCH in Release_Track",iserror(vlookup($A849&amp;$B849,'5) Release_Track'!$F:$F&amp;'5) Release_Track'!$G:$G,1,0)),"NO ISRC-CATALOG ID pair MATCH in Release_Track" )</f>
        <v/>
      </c>
      <c r="D849" s="121" t="str">
        <f t="array" ref="D849">ifs(and(isblank($A849),isblank($B849)),"", not(iserror(vlookup($A849&amp;$B849,'5) Release_Track'!$F:$F&amp;'5) Release_Track'!$G:$G,1,0))),vlookup($A849&amp;$B849,{'5) Release_Track'!$F:$F&amp;'5) Release_Track'!$G:$G,'5) Release_Track'!$I:$I},2,0), or(and(not(isblank($B849)),$B849=$B848,$A849&lt;&gt;$A848),and(not(isblank($A849)),$A849=$A848,$B849&lt;&gt;$B848)),"ID LISTS UNALIGNED",and($A849&lt;&gt;"",countif('5) Release_Track'!$F:$F,$A849)=0),"NO ISRC MATCH in Release_Track",and($B849&lt;&gt;"",countif('5) Release_Track'!$G:$G,$B849)=0),"NO CATALOG ID MATCH in Release_Track",iserror(vlookup($A849&amp;$B849,'5) Release_Track'!$F:$F&amp;'5) Release_Track'!$G:$G,1,0)),"NO ISRC-CATALOG ID pair MATCH in Release_Track" )</f>
        <v/>
      </c>
      <c r="E849" s="99"/>
      <c r="F849" s="99"/>
      <c r="G849" s="123" t="str">
        <f t="array" ref="G849">ifs(or($F849="",$F849="Main Primary Artist"),$F849,not(iserror(vlookup($F849,'Reference info'!$J$5:$J$8,1,0))),"Key Artist",not(iserror(vlookup($F849,'Reference info'!$J$38:$J$405,1,0))),"Performer",not(iserror(vlookup($F849,'Reference info'!$J$10:$J$36,1,0))),"Producer &amp; Engineer")</f>
        <v/>
      </c>
    </row>
    <row r="850">
      <c r="B850" s="103"/>
      <c r="C850" s="121" t="str">
        <f t="array" ref="C850">ifs(and(isblank($A850),isblank($B850)),"", not(iserror(vlookup($A850&amp;$B850,'5) Release_Track'!$F:$F&amp;'5) Release_Track'!$G:$G,1,0))),vlookup($A850&amp;$B850,{'5) Release_Track'!$F:$F&amp;'5) Release_Track'!$G:$G,'5) Release_Track'!$H:$H},2,0), or(and(not(isblank($B850)),$B850=$B849,$A850&lt;&gt;$A849),and(not(isblank($A850)),$A850=$A849,$B850&lt;&gt;$B849)),"ID LISTS UNALIGNED",and($A850&lt;&gt;"",countif('5) Release_Track'!$F:$F,$A850)=0),"NO ISRC MATCH in Release_Track",and($B850&lt;&gt;"",countif('5) Release_Track'!$G:$G,$B850)=0),"NO CATALOG ID MATCH in Release_Track",iserror(vlookup($A850&amp;$B850,'5) Release_Track'!$F:$F&amp;'5) Release_Track'!$G:$G,1,0)),"NO ISRC-CATALOG ID pair MATCH in Release_Track" )</f>
        <v/>
      </c>
      <c r="D850" s="121" t="str">
        <f t="array" ref="D850">ifs(and(isblank($A850),isblank($B850)),"", not(iserror(vlookup($A850&amp;$B850,'5) Release_Track'!$F:$F&amp;'5) Release_Track'!$G:$G,1,0))),vlookup($A850&amp;$B850,{'5) Release_Track'!$F:$F&amp;'5) Release_Track'!$G:$G,'5) Release_Track'!$I:$I},2,0), or(and(not(isblank($B850)),$B850=$B849,$A850&lt;&gt;$A849),and(not(isblank($A850)),$A850=$A849,$B850&lt;&gt;$B849)),"ID LISTS UNALIGNED",and($A850&lt;&gt;"",countif('5) Release_Track'!$F:$F,$A850)=0),"NO ISRC MATCH in Release_Track",and($B850&lt;&gt;"",countif('5) Release_Track'!$G:$G,$B850)=0),"NO CATALOG ID MATCH in Release_Track",iserror(vlookup($A850&amp;$B850,'5) Release_Track'!$F:$F&amp;'5) Release_Track'!$G:$G,1,0)),"NO ISRC-CATALOG ID pair MATCH in Release_Track" )</f>
        <v/>
      </c>
      <c r="E850" s="99"/>
      <c r="F850" s="99"/>
      <c r="G850" s="123" t="str">
        <f t="array" ref="G850">ifs(or($F850="",$F850="Main Primary Artist"),$F850,not(iserror(vlookup($F850,'Reference info'!$J$5:$J$8,1,0))),"Key Artist",not(iserror(vlookup($F850,'Reference info'!$J$38:$J$405,1,0))),"Performer",not(iserror(vlookup($F850,'Reference info'!$J$10:$J$36,1,0))),"Producer &amp; Engineer")</f>
        <v/>
      </c>
    </row>
    <row r="851">
      <c r="B851" s="103"/>
      <c r="C851" s="121" t="str">
        <f t="array" ref="C851">ifs(and(isblank($A851),isblank($B851)),"", not(iserror(vlookup($A851&amp;$B851,'5) Release_Track'!$F:$F&amp;'5) Release_Track'!$G:$G,1,0))),vlookup($A851&amp;$B851,{'5) Release_Track'!$F:$F&amp;'5) Release_Track'!$G:$G,'5) Release_Track'!$H:$H},2,0), or(and(not(isblank($B851)),$B851=$B850,$A851&lt;&gt;$A850),and(not(isblank($A851)),$A851=$A850,$B851&lt;&gt;$B850)),"ID LISTS UNALIGNED",and($A851&lt;&gt;"",countif('5) Release_Track'!$F:$F,$A851)=0),"NO ISRC MATCH in Release_Track",and($B851&lt;&gt;"",countif('5) Release_Track'!$G:$G,$B851)=0),"NO CATALOG ID MATCH in Release_Track",iserror(vlookup($A851&amp;$B851,'5) Release_Track'!$F:$F&amp;'5) Release_Track'!$G:$G,1,0)),"NO ISRC-CATALOG ID pair MATCH in Release_Track" )</f>
        <v/>
      </c>
      <c r="D851" s="121" t="str">
        <f t="array" ref="D851">ifs(and(isblank($A851),isblank($B851)),"", not(iserror(vlookup($A851&amp;$B851,'5) Release_Track'!$F:$F&amp;'5) Release_Track'!$G:$G,1,0))),vlookup($A851&amp;$B851,{'5) Release_Track'!$F:$F&amp;'5) Release_Track'!$G:$G,'5) Release_Track'!$I:$I},2,0), or(and(not(isblank($B851)),$B851=$B850,$A851&lt;&gt;$A850),and(not(isblank($A851)),$A851=$A850,$B851&lt;&gt;$B850)),"ID LISTS UNALIGNED",and($A851&lt;&gt;"",countif('5) Release_Track'!$F:$F,$A851)=0),"NO ISRC MATCH in Release_Track",and($B851&lt;&gt;"",countif('5) Release_Track'!$G:$G,$B851)=0),"NO CATALOG ID MATCH in Release_Track",iserror(vlookup($A851&amp;$B851,'5) Release_Track'!$F:$F&amp;'5) Release_Track'!$G:$G,1,0)),"NO ISRC-CATALOG ID pair MATCH in Release_Track" )</f>
        <v/>
      </c>
      <c r="E851" s="99"/>
      <c r="F851" s="99"/>
      <c r="G851" s="123" t="str">
        <f t="array" ref="G851">ifs(or($F851="",$F851="Main Primary Artist"),$F851,not(iserror(vlookup($F851,'Reference info'!$J$5:$J$8,1,0))),"Key Artist",not(iserror(vlookup($F851,'Reference info'!$J$38:$J$405,1,0))),"Performer",not(iserror(vlookup($F851,'Reference info'!$J$10:$J$36,1,0))),"Producer &amp; Engineer")</f>
        <v/>
      </c>
    </row>
    <row r="852">
      <c r="B852" s="103"/>
      <c r="C852" s="121" t="str">
        <f t="array" ref="C852">ifs(and(isblank($A852),isblank($B852)),"", not(iserror(vlookup($A852&amp;$B852,'5) Release_Track'!$F:$F&amp;'5) Release_Track'!$G:$G,1,0))),vlookup($A852&amp;$B852,{'5) Release_Track'!$F:$F&amp;'5) Release_Track'!$G:$G,'5) Release_Track'!$H:$H},2,0), or(and(not(isblank($B852)),$B852=$B851,$A852&lt;&gt;$A851),and(not(isblank($A852)),$A852=$A851,$B852&lt;&gt;$B851)),"ID LISTS UNALIGNED",and($A852&lt;&gt;"",countif('5) Release_Track'!$F:$F,$A852)=0),"NO ISRC MATCH in Release_Track",and($B852&lt;&gt;"",countif('5) Release_Track'!$G:$G,$B852)=0),"NO CATALOG ID MATCH in Release_Track",iserror(vlookup($A852&amp;$B852,'5) Release_Track'!$F:$F&amp;'5) Release_Track'!$G:$G,1,0)),"NO ISRC-CATALOG ID pair MATCH in Release_Track" )</f>
        <v/>
      </c>
      <c r="D852" s="121" t="str">
        <f t="array" ref="D852">ifs(and(isblank($A852),isblank($B852)),"", not(iserror(vlookup($A852&amp;$B852,'5) Release_Track'!$F:$F&amp;'5) Release_Track'!$G:$G,1,0))),vlookup($A852&amp;$B852,{'5) Release_Track'!$F:$F&amp;'5) Release_Track'!$G:$G,'5) Release_Track'!$I:$I},2,0), or(and(not(isblank($B852)),$B852=$B851,$A852&lt;&gt;$A851),and(not(isblank($A852)),$A852=$A851,$B852&lt;&gt;$B851)),"ID LISTS UNALIGNED",and($A852&lt;&gt;"",countif('5) Release_Track'!$F:$F,$A852)=0),"NO ISRC MATCH in Release_Track",and($B852&lt;&gt;"",countif('5) Release_Track'!$G:$G,$B852)=0),"NO CATALOG ID MATCH in Release_Track",iserror(vlookup($A852&amp;$B852,'5) Release_Track'!$F:$F&amp;'5) Release_Track'!$G:$G,1,0)),"NO ISRC-CATALOG ID pair MATCH in Release_Track" )</f>
        <v/>
      </c>
      <c r="E852" s="99"/>
      <c r="F852" s="99"/>
      <c r="G852" s="123" t="str">
        <f t="array" ref="G852">ifs(or($F852="",$F852="Main Primary Artist"),$F852,not(iserror(vlookup($F852,'Reference info'!$J$5:$J$8,1,0))),"Key Artist",not(iserror(vlookup($F852,'Reference info'!$J$38:$J$405,1,0))),"Performer",not(iserror(vlookup($F852,'Reference info'!$J$10:$J$36,1,0))),"Producer &amp; Engineer")</f>
        <v/>
      </c>
    </row>
    <row r="853">
      <c r="B853" s="103"/>
      <c r="C853" s="121" t="str">
        <f t="array" ref="C853">ifs(and(isblank($A853),isblank($B853)),"", not(iserror(vlookup($A853&amp;$B853,'5) Release_Track'!$F:$F&amp;'5) Release_Track'!$G:$G,1,0))),vlookup($A853&amp;$B853,{'5) Release_Track'!$F:$F&amp;'5) Release_Track'!$G:$G,'5) Release_Track'!$H:$H},2,0), or(and(not(isblank($B853)),$B853=$B852,$A853&lt;&gt;$A852),and(not(isblank($A853)),$A853=$A852,$B853&lt;&gt;$B852)),"ID LISTS UNALIGNED",and($A853&lt;&gt;"",countif('5) Release_Track'!$F:$F,$A853)=0),"NO ISRC MATCH in Release_Track",and($B853&lt;&gt;"",countif('5) Release_Track'!$G:$G,$B853)=0),"NO CATALOG ID MATCH in Release_Track",iserror(vlookup($A853&amp;$B853,'5) Release_Track'!$F:$F&amp;'5) Release_Track'!$G:$G,1,0)),"NO ISRC-CATALOG ID pair MATCH in Release_Track" )</f>
        <v/>
      </c>
      <c r="D853" s="121" t="str">
        <f t="array" ref="D853">ifs(and(isblank($A853),isblank($B853)),"", not(iserror(vlookup($A853&amp;$B853,'5) Release_Track'!$F:$F&amp;'5) Release_Track'!$G:$G,1,0))),vlookup($A853&amp;$B853,{'5) Release_Track'!$F:$F&amp;'5) Release_Track'!$G:$G,'5) Release_Track'!$I:$I},2,0), or(and(not(isblank($B853)),$B853=$B852,$A853&lt;&gt;$A852),and(not(isblank($A853)),$A853=$A852,$B853&lt;&gt;$B852)),"ID LISTS UNALIGNED",and($A853&lt;&gt;"",countif('5) Release_Track'!$F:$F,$A853)=0),"NO ISRC MATCH in Release_Track",and($B853&lt;&gt;"",countif('5) Release_Track'!$G:$G,$B853)=0),"NO CATALOG ID MATCH in Release_Track",iserror(vlookup($A853&amp;$B853,'5) Release_Track'!$F:$F&amp;'5) Release_Track'!$G:$G,1,0)),"NO ISRC-CATALOG ID pair MATCH in Release_Track" )</f>
        <v/>
      </c>
      <c r="E853" s="99"/>
      <c r="F853" s="99"/>
      <c r="G853" s="123" t="str">
        <f t="array" ref="G853">ifs(or($F853="",$F853="Main Primary Artist"),$F853,not(iserror(vlookup($F853,'Reference info'!$J$5:$J$8,1,0))),"Key Artist",not(iserror(vlookup($F853,'Reference info'!$J$38:$J$405,1,0))),"Performer",not(iserror(vlookup($F853,'Reference info'!$J$10:$J$36,1,0))),"Producer &amp; Engineer")</f>
        <v/>
      </c>
    </row>
    <row r="854">
      <c r="B854" s="103"/>
      <c r="C854" s="121" t="str">
        <f t="array" ref="C854">ifs(and(isblank($A854),isblank($B854)),"", not(iserror(vlookup($A854&amp;$B854,'5) Release_Track'!$F:$F&amp;'5) Release_Track'!$G:$G,1,0))),vlookup($A854&amp;$B854,{'5) Release_Track'!$F:$F&amp;'5) Release_Track'!$G:$G,'5) Release_Track'!$H:$H},2,0), or(and(not(isblank($B854)),$B854=$B853,$A854&lt;&gt;$A853),and(not(isblank($A854)),$A854=$A853,$B854&lt;&gt;$B853)),"ID LISTS UNALIGNED",and($A854&lt;&gt;"",countif('5) Release_Track'!$F:$F,$A854)=0),"NO ISRC MATCH in Release_Track",and($B854&lt;&gt;"",countif('5) Release_Track'!$G:$G,$B854)=0),"NO CATALOG ID MATCH in Release_Track",iserror(vlookup($A854&amp;$B854,'5) Release_Track'!$F:$F&amp;'5) Release_Track'!$G:$G,1,0)),"NO ISRC-CATALOG ID pair MATCH in Release_Track" )</f>
        <v/>
      </c>
      <c r="D854" s="121" t="str">
        <f t="array" ref="D854">ifs(and(isblank($A854),isblank($B854)),"", not(iserror(vlookup($A854&amp;$B854,'5) Release_Track'!$F:$F&amp;'5) Release_Track'!$G:$G,1,0))),vlookup($A854&amp;$B854,{'5) Release_Track'!$F:$F&amp;'5) Release_Track'!$G:$G,'5) Release_Track'!$I:$I},2,0), or(and(not(isblank($B854)),$B854=$B853,$A854&lt;&gt;$A853),and(not(isblank($A854)),$A854=$A853,$B854&lt;&gt;$B853)),"ID LISTS UNALIGNED",and($A854&lt;&gt;"",countif('5) Release_Track'!$F:$F,$A854)=0),"NO ISRC MATCH in Release_Track",and($B854&lt;&gt;"",countif('5) Release_Track'!$G:$G,$B854)=0),"NO CATALOG ID MATCH in Release_Track",iserror(vlookup($A854&amp;$B854,'5) Release_Track'!$F:$F&amp;'5) Release_Track'!$G:$G,1,0)),"NO ISRC-CATALOG ID pair MATCH in Release_Track" )</f>
        <v/>
      </c>
      <c r="E854" s="99"/>
      <c r="F854" s="99"/>
      <c r="G854" s="123" t="str">
        <f t="array" ref="G854">ifs(or($F854="",$F854="Main Primary Artist"),$F854,not(iserror(vlookup($F854,'Reference info'!$J$5:$J$8,1,0))),"Key Artist",not(iserror(vlookup($F854,'Reference info'!$J$38:$J$405,1,0))),"Performer",not(iserror(vlookup($F854,'Reference info'!$J$10:$J$36,1,0))),"Producer &amp; Engineer")</f>
        <v/>
      </c>
    </row>
    <row r="855">
      <c r="B855" s="103"/>
      <c r="C855" s="121" t="str">
        <f t="array" ref="C855">ifs(and(isblank($A855),isblank($B855)),"", not(iserror(vlookup($A855&amp;$B855,'5) Release_Track'!$F:$F&amp;'5) Release_Track'!$G:$G,1,0))),vlookup($A855&amp;$B855,{'5) Release_Track'!$F:$F&amp;'5) Release_Track'!$G:$G,'5) Release_Track'!$H:$H},2,0), or(and(not(isblank($B855)),$B855=$B854,$A855&lt;&gt;$A854),and(not(isblank($A855)),$A855=$A854,$B855&lt;&gt;$B854)),"ID LISTS UNALIGNED",and($A855&lt;&gt;"",countif('5) Release_Track'!$F:$F,$A855)=0),"NO ISRC MATCH in Release_Track",and($B855&lt;&gt;"",countif('5) Release_Track'!$G:$G,$B855)=0),"NO CATALOG ID MATCH in Release_Track",iserror(vlookup($A855&amp;$B855,'5) Release_Track'!$F:$F&amp;'5) Release_Track'!$G:$G,1,0)),"NO ISRC-CATALOG ID pair MATCH in Release_Track" )</f>
        <v/>
      </c>
      <c r="D855" s="121" t="str">
        <f t="array" ref="D855">ifs(and(isblank($A855),isblank($B855)),"", not(iserror(vlookup($A855&amp;$B855,'5) Release_Track'!$F:$F&amp;'5) Release_Track'!$G:$G,1,0))),vlookup($A855&amp;$B855,{'5) Release_Track'!$F:$F&amp;'5) Release_Track'!$G:$G,'5) Release_Track'!$I:$I},2,0), or(and(not(isblank($B855)),$B855=$B854,$A855&lt;&gt;$A854),and(not(isblank($A855)),$A855=$A854,$B855&lt;&gt;$B854)),"ID LISTS UNALIGNED",and($A855&lt;&gt;"",countif('5) Release_Track'!$F:$F,$A855)=0),"NO ISRC MATCH in Release_Track",and($B855&lt;&gt;"",countif('5) Release_Track'!$G:$G,$B855)=0),"NO CATALOG ID MATCH in Release_Track",iserror(vlookup($A855&amp;$B855,'5) Release_Track'!$F:$F&amp;'5) Release_Track'!$G:$G,1,0)),"NO ISRC-CATALOG ID pair MATCH in Release_Track" )</f>
        <v/>
      </c>
      <c r="E855" s="99"/>
      <c r="F855" s="99"/>
      <c r="G855" s="123" t="str">
        <f t="array" ref="G855">ifs(or($F855="",$F855="Main Primary Artist"),$F855,not(iserror(vlookup($F855,'Reference info'!$J$5:$J$8,1,0))),"Key Artist",not(iserror(vlookup($F855,'Reference info'!$J$38:$J$405,1,0))),"Performer",not(iserror(vlookup($F855,'Reference info'!$J$10:$J$36,1,0))),"Producer &amp; Engineer")</f>
        <v/>
      </c>
    </row>
    <row r="856">
      <c r="B856" s="103"/>
      <c r="C856" s="121" t="str">
        <f t="array" ref="C856">ifs(and(isblank($A856),isblank($B856)),"", not(iserror(vlookup($A856&amp;$B856,'5) Release_Track'!$F:$F&amp;'5) Release_Track'!$G:$G,1,0))),vlookup($A856&amp;$B856,{'5) Release_Track'!$F:$F&amp;'5) Release_Track'!$G:$G,'5) Release_Track'!$H:$H},2,0), or(and(not(isblank($B856)),$B856=$B855,$A856&lt;&gt;$A855),and(not(isblank($A856)),$A856=$A855,$B856&lt;&gt;$B855)),"ID LISTS UNALIGNED",and($A856&lt;&gt;"",countif('5) Release_Track'!$F:$F,$A856)=0),"NO ISRC MATCH in Release_Track",and($B856&lt;&gt;"",countif('5) Release_Track'!$G:$G,$B856)=0),"NO CATALOG ID MATCH in Release_Track",iserror(vlookup($A856&amp;$B856,'5) Release_Track'!$F:$F&amp;'5) Release_Track'!$G:$G,1,0)),"NO ISRC-CATALOG ID pair MATCH in Release_Track" )</f>
        <v/>
      </c>
      <c r="D856" s="121" t="str">
        <f t="array" ref="D856">ifs(and(isblank($A856),isblank($B856)),"", not(iserror(vlookup($A856&amp;$B856,'5) Release_Track'!$F:$F&amp;'5) Release_Track'!$G:$G,1,0))),vlookup($A856&amp;$B856,{'5) Release_Track'!$F:$F&amp;'5) Release_Track'!$G:$G,'5) Release_Track'!$I:$I},2,0), or(and(not(isblank($B856)),$B856=$B855,$A856&lt;&gt;$A855),and(not(isblank($A856)),$A856=$A855,$B856&lt;&gt;$B855)),"ID LISTS UNALIGNED",and($A856&lt;&gt;"",countif('5) Release_Track'!$F:$F,$A856)=0),"NO ISRC MATCH in Release_Track",and($B856&lt;&gt;"",countif('5) Release_Track'!$G:$G,$B856)=0),"NO CATALOG ID MATCH in Release_Track",iserror(vlookup($A856&amp;$B856,'5) Release_Track'!$F:$F&amp;'5) Release_Track'!$G:$G,1,0)),"NO ISRC-CATALOG ID pair MATCH in Release_Track" )</f>
        <v/>
      </c>
      <c r="E856" s="99"/>
      <c r="F856" s="99"/>
      <c r="G856" s="123" t="str">
        <f t="array" ref="G856">ifs(or($F856="",$F856="Main Primary Artist"),$F856,not(iserror(vlookup($F856,'Reference info'!$J$5:$J$8,1,0))),"Key Artist",not(iserror(vlookup($F856,'Reference info'!$J$38:$J$405,1,0))),"Performer",not(iserror(vlookup($F856,'Reference info'!$J$10:$J$36,1,0))),"Producer &amp; Engineer")</f>
        <v/>
      </c>
    </row>
    <row r="857">
      <c r="B857" s="103"/>
      <c r="C857" s="121" t="str">
        <f t="array" ref="C857">ifs(and(isblank($A857),isblank($B857)),"", not(iserror(vlookup($A857&amp;$B857,'5) Release_Track'!$F:$F&amp;'5) Release_Track'!$G:$G,1,0))),vlookup($A857&amp;$B857,{'5) Release_Track'!$F:$F&amp;'5) Release_Track'!$G:$G,'5) Release_Track'!$H:$H},2,0), or(and(not(isblank($B857)),$B857=$B856,$A857&lt;&gt;$A856),and(not(isblank($A857)),$A857=$A856,$B857&lt;&gt;$B856)),"ID LISTS UNALIGNED",and($A857&lt;&gt;"",countif('5) Release_Track'!$F:$F,$A857)=0),"NO ISRC MATCH in Release_Track",and($B857&lt;&gt;"",countif('5) Release_Track'!$G:$G,$B857)=0),"NO CATALOG ID MATCH in Release_Track",iserror(vlookup($A857&amp;$B857,'5) Release_Track'!$F:$F&amp;'5) Release_Track'!$G:$G,1,0)),"NO ISRC-CATALOG ID pair MATCH in Release_Track" )</f>
        <v/>
      </c>
      <c r="D857" s="121" t="str">
        <f t="array" ref="D857">ifs(and(isblank($A857),isblank($B857)),"", not(iserror(vlookup($A857&amp;$B857,'5) Release_Track'!$F:$F&amp;'5) Release_Track'!$G:$G,1,0))),vlookup($A857&amp;$B857,{'5) Release_Track'!$F:$F&amp;'5) Release_Track'!$G:$G,'5) Release_Track'!$I:$I},2,0), or(and(not(isblank($B857)),$B857=$B856,$A857&lt;&gt;$A856),and(not(isblank($A857)),$A857=$A856,$B857&lt;&gt;$B856)),"ID LISTS UNALIGNED",and($A857&lt;&gt;"",countif('5) Release_Track'!$F:$F,$A857)=0),"NO ISRC MATCH in Release_Track",and($B857&lt;&gt;"",countif('5) Release_Track'!$G:$G,$B857)=0),"NO CATALOG ID MATCH in Release_Track",iserror(vlookup($A857&amp;$B857,'5) Release_Track'!$F:$F&amp;'5) Release_Track'!$G:$G,1,0)),"NO ISRC-CATALOG ID pair MATCH in Release_Track" )</f>
        <v/>
      </c>
      <c r="E857" s="99"/>
      <c r="F857" s="99"/>
      <c r="G857" s="123" t="str">
        <f t="array" ref="G857">ifs(or($F857="",$F857="Main Primary Artist"),$F857,not(iserror(vlookup($F857,'Reference info'!$J$5:$J$8,1,0))),"Key Artist",not(iserror(vlookup($F857,'Reference info'!$J$38:$J$405,1,0))),"Performer",not(iserror(vlookup($F857,'Reference info'!$J$10:$J$36,1,0))),"Producer &amp; Engineer")</f>
        <v/>
      </c>
    </row>
    <row r="858">
      <c r="B858" s="103"/>
      <c r="C858" s="121" t="str">
        <f t="array" ref="C858">ifs(and(isblank($A858),isblank($B858)),"", not(iserror(vlookup($A858&amp;$B858,'5) Release_Track'!$F:$F&amp;'5) Release_Track'!$G:$G,1,0))),vlookup($A858&amp;$B858,{'5) Release_Track'!$F:$F&amp;'5) Release_Track'!$G:$G,'5) Release_Track'!$H:$H},2,0), or(and(not(isblank($B858)),$B858=$B857,$A858&lt;&gt;$A857),and(not(isblank($A858)),$A858=$A857,$B858&lt;&gt;$B857)),"ID LISTS UNALIGNED",and($A858&lt;&gt;"",countif('5) Release_Track'!$F:$F,$A858)=0),"NO ISRC MATCH in Release_Track",and($B858&lt;&gt;"",countif('5) Release_Track'!$G:$G,$B858)=0),"NO CATALOG ID MATCH in Release_Track",iserror(vlookup($A858&amp;$B858,'5) Release_Track'!$F:$F&amp;'5) Release_Track'!$G:$G,1,0)),"NO ISRC-CATALOG ID pair MATCH in Release_Track" )</f>
        <v/>
      </c>
      <c r="D858" s="121" t="str">
        <f t="array" ref="D858">ifs(and(isblank($A858),isblank($B858)),"", not(iserror(vlookup($A858&amp;$B858,'5) Release_Track'!$F:$F&amp;'5) Release_Track'!$G:$G,1,0))),vlookup($A858&amp;$B858,{'5) Release_Track'!$F:$F&amp;'5) Release_Track'!$G:$G,'5) Release_Track'!$I:$I},2,0), or(and(not(isblank($B858)),$B858=$B857,$A858&lt;&gt;$A857),and(not(isblank($A858)),$A858=$A857,$B858&lt;&gt;$B857)),"ID LISTS UNALIGNED",and($A858&lt;&gt;"",countif('5) Release_Track'!$F:$F,$A858)=0),"NO ISRC MATCH in Release_Track",and($B858&lt;&gt;"",countif('5) Release_Track'!$G:$G,$B858)=0),"NO CATALOG ID MATCH in Release_Track",iserror(vlookup($A858&amp;$B858,'5) Release_Track'!$F:$F&amp;'5) Release_Track'!$G:$G,1,0)),"NO ISRC-CATALOG ID pair MATCH in Release_Track" )</f>
        <v/>
      </c>
      <c r="E858" s="99"/>
      <c r="F858" s="99"/>
      <c r="G858" s="123" t="str">
        <f t="array" ref="G858">ifs(or($F858="",$F858="Main Primary Artist"),$F858,not(iserror(vlookup($F858,'Reference info'!$J$5:$J$8,1,0))),"Key Artist",not(iserror(vlookup($F858,'Reference info'!$J$38:$J$405,1,0))),"Performer",not(iserror(vlookup($F858,'Reference info'!$J$10:$J$36,1,0))),"Producer &amp; Engineer")</f>
        <v/>
      </c>
    </row>
    <row r="859">
      <c r="B859" s="103"/>
      <c r="C859" s="121" t="str">
        <f t="array" ref="C859">ifs(and(isblank($A859),isblank($B859)),"", not(iserror(vlookup($A859&amp;$B859,'5) Release_Track'!$F:$F&amp;'5) Release_Track'!$G:$G,1,0))),vlookup($A859&amp;$B859,{'5) Release_Track'!$F:$F&amp;'5) Release_Track'!$G:$G,'5) Release_Track'!$H:$H},2,0), or(and(not(isblank($B859)),$B859=$B858,$A859&lt;&gt;$A858),and(not(isblank($A859)),$A859=$A858,$B859&lt;&gt;$B858)),"ID LISTS UNALIGNED",and($A859&lt;&gt;"",countif('5) Release_Track'!$F:$F,$A859)=0),"NO ISRC MATCH in Release_Track",and($B859&lt;&gt;"",countif('5) Release_Track'!$G:$G,$B859)=0),"NO CATALOG ID MATCH in Release_Track",iserror(vlookup($A859&amp;$B859,'5) Release_Track'!$F:$F&amp;'5) Release_Track'!$G:$G,1,0)),"NO ISRC-CATALOG ID pair MATCH in Release_Track" )</f>
        <v/>
      </c>
      <c r="D859" s="121" t="str">
        <f t="array" ref="D859">ifs(and(isblank($A859),isblank($B859)),"", not(iserror(vlookup($A859&amp;$B859,'5) Release_Track'!$F:$F&amp;'5) Release_Track'!$G:$G,1,0))),vlookup($A859&amp;$B859,{'5) Release_Track'!$F:$F&amp;'5) Release_Track'!$G:$G,'5) Release_Track'!$I:$I},2,0), or(and(not(isblank($B859)),$B859=$B858,$A859&lt;&gt;$A858),and(not(isblank($A859)),$A859=$A858,$B859&lt;&gt;$B858)),"ID LISTS UNALIGNED",and($A859&lt;&gt;"",countif('5) Release_Track'!$F:$F,$A859)=0),"NO ISRC MATCH in Release_Track",and($B859&lt;&gt;"",countif('5) Release_Track'!$G:$G,$B859)=0),"NO CATALOG ID MATCH in Release_Track",iserror(vlookup($A859&amp;$B859,'5) Release_Track'!$F:$F&amp;'5) Release_Track'!$G:$G,1,0)),"NO ISRC-CATALOG ID pair MATCH in Release_Track" )</f>
        <v/>
      </c>
      <c r="E859" s="99"/>
      <c r="F859" s="99"/>
      <c r="G859" s="123" t="str">
        <f t="array" ref="G859">ifs(or($F859="",$F859="Main Primary Artist"),$F859,not(iserror(vlookup($F859,'Reference info'!$J$5:$J$8,1,0))),"Key Artist",not(iserror(vlookup($F859,'Reference info'!$J$38:$J$405,1,0))),"Performer",not(iserror(vlookup($F859,'Reference info'!$J$10:$J$36,1,0))),"Producer &amp; Engineer")</f>
        <v/>
      </c>
    </row>
    <row r="860">
      <c r="B860" s="103"/>
      <c r="C860" s="121" t="str">
        <f t="array" ref="C860">ifs(and(isblank($A860),isblank($B860)),"", not(iserror(vlookup($A860&amp;$B860,'5) Release_Track'!$F:$F&amp;'5) Release_Track'!$G:$G,1,0))),vlookup($A860&amp;$B860,{'5) Release_Track'!$F:$F&amp;'5) Release_Track'!$G:$G,'5) Release_Track'!$H:$H},2,0), or(and(not(isblank($B860)),$B860=$B859,$A860&lt;&gt;$A859),and(not(isblank($A860)),$A860=$A859,$B860&lt;&gt;$B859)),"ID LISTS UNALIGNED",and($A860&lt;&gt;"",countif('5) Release_Track'!$F:$F,$A860)=0),"NO ISRC MATCH in Release_Track",and($B860&lt;&gt;"",countif('5) Release_Track'!$G:$G,$B860)=0),"NO CATALOG ID MATCH in Release_Track",iserror(vlookup($A860&amp;$B860,'5) Release_Track'!$F:$F&amp;'5) Release_Track'!$G:$G,1,0)),"NO ISRC-CATALOG ID pair MATCH in Release_Track" )</f>
        <v/>
      </c>
      <c r="D860" s="121" t="str">
        <f t="array" ref="D860">ifs(and(isblank($A860),isblank($B860)),"", not(iserror(vlookup($A860&amp;$B860,'5) Release_Track'!$F:$F&amp;'5) Release_Track'!$G:$G,1,0))),vlookup($A860&amp;$B860,{'5) Release_Track'!$F:$F&amp;'5) Release_Track'!$G:$G,'5) Release_Track'!$I:$I},2,0), or(and(not(isblank($B860)),$B860=$B859,$A860&lt;&gt;$A859),and(not(isblank($A860)),$A860=$A859,$B860&lt;&gt;$B859)),"ID LISTS UNALIGNED",and($A860&lt;&gt;"",countif('5) Release_Track'!$F:$F,$A860)=0),"NO ISRC MATCH in Release_Track",and($B860&lt;&gt;"",countif('5) Release_Track'!$G:$G,$B860)=0),"NO CATALOG ID MATCH in Release_Track",iserror(vlookup($A860&amp;$B860,'5) Release_Track'!$F:$F&amp;'5) Release_Track'!$G:$G,1,0)),"NO ISRC-CATALOG ID pair MATCH in Release_Track" )</f>
        <v/>
      </c>
      <c r="E860" s="99"/>
      <c r="F860" s="99"/>
      <c r="G860" s="123" t="str">
        <f t="array" ref="G860">ifs(or($F860="",$F860="Main Primary Artist"),$F860,not(iserror(vlookup($F860,'Reference info'!$J$5:$J$8,1,0))),"Key Artist",not(iserror(vlookup($F860,'Reference info'!$J$38:$J$405,1,0))),"Performer",not(iserror(vlookup($F860,'Reference info'!$J$10:$J$36,1,0))),"Producer &amp; Engineer")</f>
        <v/>
      </c>
    </row>
    <row r="861">
      <c r="B861" s="103"/>
      <c r="C861" s="121" t="str">
        <f t="array" ref="C861">ifs(and(isblank($A861),isblank($B861)),"", not(iserror(vlookup($A861&amp;$B861,'5) Release_Track'!$F:$F&amp;'5) Release_Track'!$G:$G,1,0))),vlookup($A861&amp;$B861,{'5) Release_Track'!$F:$F&amp;'5) Release_Track'!$G:$G,'5) Release_Track'!$H:$H},2,0), or(and(not(isblank($B861)),$B861=$B860,$A861&lt;&gt;$A860),and(not(isblank($A861)),$A861=$A860,$B861&lt;&gt;$B860)),"ID LISTS UNALIGNED",and($A861&lt;&gt;"",countif('5) Release_Track'!$F:$F,$A861)=0),"NO ISRC MATCH in Release_Track",and($B861&lt;&gt;"",countif('5) Release_Track'!$G:$G,$B861)=0),"NO CATALOG ID MATCH in Release_Track",iserror(vlookup($A861&amp;$B861,'5) Release_Track'!$F:$F&amp;'5) Release_Track'!$G:$G,1,0)),"NO ISRC-CATALOG ID pair MATCH in Release_Track" )</f>
        <v/>
      </c>
      <c r="D861" s="121" t="str">
        <f t="array" ref="D861">ifs(and(isblank($A861),isblank($B861)),"", not(iserror(vlookup($A861&amp;$B861,'5) Release_Track'!$F:$F&amp;'5) Release_Track'!$G:$G,1,0))),vlookup($A861&amp;$B861,{'5) Release_Track'!$F:$F&amp;'5) Release_Track'!$G:$G,'5) Release_Track'!$I:$I},2,0), or(and(not(isblank($B861)),$B861=$B860,$A861&lt;&gt;$A860),and(not(isblank($A861)),$A861=$A860,$B861&lt;&gt;$B860)),"ID LISTS UNALIGNED",and($A861&lt;&gt;"",countif('5) Release_Track'!$F:$F,$A861)=0),"NO ISRC MATCH in Release_Track",and($B861&lt;&gt;"",countif('5) Release_Track'!$G:$G,$B861)=0),"NO CATALOG ID MATCH in Release_Track",iserror(vlookup($A861&amp;$B861,'5) Release_Track'!$F:$F&amp;'5) Release_Track'!$G:$G,1,0)),"NO ISRC-CATALOG ID pair MATCH in Release_Track" )</f>
        <v/>
      </c>
      <c r="E861" s="99"/>
      <c r="F861" s="99"/>
      <c r="G861" s="123" t="str">
        <f t="array" ref="G861">ifs(or($F861="",$F861="Main Primary Artist"),$F861,not(iserror(vlookup($F861,'Reference info'!$J$5:$J$8,1,0))),"Key Artist",not(iserror(vlookup($F861,'Reference info'!$J$38:$J$405,1,0))),"Performer",not(iserror(vlookup($F861,'Reference info'!$J$10:$J$36,1,0))),"Producer &amp; Engineer")</f>
        <v/>
      </c>
    </row>
    <row r="862">
      <c r="B862" s="103"/>
      <c r="C862" s="121" t="str">
        <f t="array" ref="C862">ifs(and(isblank($A862),isblank($B862)),"", not(iserror(vlookup($A862&amp;$B862,'5) Release_Track'!$F:$F&amp;'5) Release_Track'!$G:$G,1,0))),vlookup($A862&amp;$B862,{'5) Release_Track'!$F:$F&amp;'5) Release_Track'!$G:$G,'5) Release_Track'!$H:$H},2,0), or(and(not(isblank($B862)),$B862=$B861,$A862&lt;&gt;$A861),and(not(isblank($A862)),$A862=$A861,$B862&lt;&gt;$B861)),"ID LISTS UNALIGNED",and($A862&lt;&gt;"",countif('5) Release_Track'!$F:$F,$A862)=0),"NO ISRC MATCH in Release_Track",and($B862&lt;&gt;"",countif('5) Release_Track'!$G:$G,$B862)=0),"NO CATALOG ID MATCH in Release_Track",iserror(vlookup($A862&amp;$B862,'5) Release_Track'!$F:$F&amp;'5) Release_Track'!$G:$G,1,0)),"NO ISRC-CATALOG ID pair MATCH in Release_Track" )</f>
        <v/>
      </c>
      <c r="D862" s="121" t="str">
        <f t="array" ref="D862">ifs(and(isblank($A862),isblank($B862)),"", not(iserror(vlookup($A862&amp;$B862,'5) Release_Track'!$F:$F&amp;'5) Release_Track'!$G:$G,1,0))),vlookup($A862&amp;$B862,{'5) Release_Track'!$F:$F&amp;'5) Release_Track'!$G:$G,'5) Release_Track'!$I:$I},2,0), or(and(not(isblank($B862)),$B862=$B861,$A862&lt;&gt;$A861),and(not(isblank($A862)),$A862=$A861,$B862&lt;&gt;$B861)),"ID LISTS UNALIGNED",and($A862&lt;&gt;"",countif('5) Release_Track'!$F:$F,$A862)=0),"NO ISRC MATCH in Release_Track",and($B862&lt;&gt;"",countif('5) Release_Track'!$G:$G,$B862)=0),"NO CATALOG ID MATCH in Release_Track",iserror(vlookup($A862&amp;$B862,'5) Release_Track'!$F:$F&amp;'5) Release_Track'!$G:$G,1,0)),"NO ISRC-CATALOG ID pair MATCH in Release_Track" )</f>
        <v/>
      </c>
      <c r="E862" s="99"/>
      <c r="F862" s="99"/>
      <c r="G862" s="123" t="str">
        <f t="array" ref="G862">ifs(or($F862="",$F862="Main Primary Artist"),$F862,not(iserror(vlookup($F862,'Reference info'!$J$5:$J$8,1,0))),"Key Artist",not(iserror(vlookup($F862,'Reference info'!$J$38:$J$405,1,0))),"Performer",not(iserror(vlookup($F862,'Reference info'!$J$10:$J$36,1,0))),"Producer &amp; Engineer")</f>
        <v/>
      </c>
    </row>
    <row r="863">
      <c r="B863" s="103"/>
      <c r="C863" s="121" t="str">
        <f t="array" ref="C863">ifs(and(isblank($A863),isblank($B863)),"", not(iserror(vlookup($A863&amp;$B863,'5) Release_Track'!$F:$F&amp;'5) Release_Track'!$G:$G,1,0))),vlookup($A863&amp;$B863,{'5) Release_Track'!$F:$F&amp;'5) Release_Track'!$G:$G,'5) Release_Track'!$H:$H},2,0), or(and(not(isblank($B863)),$B863=$B862,$A863&lt;&gt;$A862),and(not(isblank($A863)),$A863=$A862,$B863&lt;&gt;$B862)),"ID LISTS UNALIGNED",and($A863&lt;&gt;"",countif('5) Release_Track'!$F:$F,$A863)=0),"NO ISRC MATCH in Release_Track",and($B863&lt;&gt;"",countif('5) Release_Track'!$G:$G,$B863)=0),"NO CATALOG ID MATCH in Release_Track",iserror(vlookup($A863&amp;$B863,'5) Release_Track'!$F:$F&amp;'5) Release_Track'!$G:$G,1,0)),"NO ISRC-CATALOG ID pair MATCH in Release_Track" )</f>
        <v/>
      </c>
      <c r="D863" s="121" t="str">
        <f t="array" ref="D863">ifs(and(isblank($A863),isblank($B863)),"", not(iserror(vlookup($A863&amp;$B863,'5) Release_Track'!$F:$F&amp;'5) Release_Track'!$G:$G,1,0))),vlookup($A863&amp;$B863,{'5) Release_Track'!$F:$F&amp;'5) Release_Track'!$G:$G,'5) Release_Track'!$I:$I},2,0), or(and(not(isblank($B863)),$B863=$B862,$A863&lt;&gt;$A862),and(not(isblank($A863)),$A863=$A862,$B863&lt;&gt;$B862)),"ID LISTS UNALIGNED",and($A863&lt;&gt;"",countif('5) Release_Track'!$F:$F,$A863)=0),"NO ISRC MATCH in Release_Track",and($B863&lt;&gt;"",countif('5) Release_Track'!$G:$G,$B863)=0),"NO CATALOG ID MATCH in Release_Track",iserror(vlookup($A863&amp;$B863,'5) Release_Track'!$F:$F&amp;'5) Release_Track'!$G:$G,1,0)),"NO ISRC-CATALOG ID pair MATCH in Release_Track" )</f>
        <v/>
      </c>
      <c r="E863" s="99"/>
      <c r="F863" s="99"/>
      <c r="G863" s="123" t="str">
        <f t="array" ref="G863">ifs(or($F863="",$F863="Main Primary Artist"),$F863,not(iserror(vlookup($F863,'Reference info'!$J$5:$J$8,1,0))),"Key Artist",not(iserror(vlookup($F863,'Reference info'!$J$38:$J$405,1,0))),"Performer",not(iserror(vlookup($F863,'Reference info'!$J$10:$J$36,1,0))),"Producer &amp; Engineer")</f>
        <v/>
      </c>
    </row>
    <row r="864">
      <c r="B864" s="103"/>
      <c r="C864" s="121" t="str">
        <f t="array" ref="C864">ifs(and(isblank($A864),isblank($B864)),"", not(iserror(vlookup($A864&amp;$B864,'5) Release_Track'!$F:$F&amp;'5) Release_Track'!$G:$G,1,0))),vlookup($A864&amp;$B864,{'5) Release_Track'!$F:$F&amp;'5) Release_Track'!$G:$G,'5) Release_Track'!$H:$H},2,0), or(and(not(isblank($B864)),$B864=$B863,$A864&lt;&gt;$A863),and(not(isblank($A864)),$A864=$A863,$B864&lt;&gt;$B863)),"ID LISTS UNALIGNED",and($A864&lt;&gt;"",countif('5) Release_Track'!$F:$F,$A864)=0),"NO ISRC MATCH in Release_Track",and($B864&lt;&gt;"",countif('5) Release_Track'!$G:$G,$B864)=0),"NO CATALOG ID MATCH in Release_Track",iserror(vlookup($A864&amp;$B864,'5) Release_Track'!$F:$F&amp;'5) Release_Track'!$G:$G,1,0)),"NO ISRC-CATALOG ID pair MATCH in Release_Track" )</f>
        <v/>
      </c>
      <c r="D864" s="121" t="str">
        <f t="array" ref="D864">ifs(and(isblank($A864),isblank($B864)),"", not(iserror(vlookup($A864&amp;$B864,'5) Release_Track'!$F:$F&amp;'5) Release_Track'!$G:$G,1,0))),vlookup($A864&amp;$B864,{'5) Release_Track'!$F:$F&amp;'5) Release_Track'!$G:$G,'5) Release_Track'!$I:$I},2,0), or(and(not(isblank($B864)),$B864=$B863,$A864&lt;&gt;$A863),and(not(isblank($A864)),$A864=$A863,$B864&lt;&gt;$B863)),"ID LISTS UNALIGNED",and($A864&lt;&gt;"",countif('5) Release_Track'!$F:$F,$A864)=0),"NO ISRC MATCH in Release_Track",and($B864&lt;&gt;"",countif('5) Release_Track'!$G:$G,$B864)=0),"NO CATALOG ID MATCH in Release_Track",iserror(vlookup($A864&amp;$B864,'5) Release_Track'!$F:$F&amp;'5) Release_Track'!$G:$G,1,0)),"NO ISRC-CATALOG ID pair MATCH in Release_Track" )</f>
        <v/>
      </c>
      <c r="E864" s="99"/>
      <c r="F864" s="99"/>
      <c r="G864" s="123" t="str">
        <f t="array" ref="G864">ifs(or($F864="",$F864="Main Primary Artist"),$F864,not(iserror(vlookup($F864,'Reference info'!$J$5:$J$8,1,0))),"Key Artist",not(iserror(vlookup($F864,'Reference info'!$J$38:$J$405,1,0))),"Performer",not(iserror(vlookup($F864,'Reference info'!$J$10:$J$36,1,0))),"Producer &amp; Engineer")</f>
        <v/>
      </c>
    </row>
    <row r="865">
      <c r="B865" s="103"/>
      <c r="C865" s="121" t="str">
        <f t="array" ref="C865">ifs(and(isblank($A865),isblank($B865)),"", not(iserror(vlookup($A865&amp;$B865,'5) Release_Track'!$F:$F&amp;'5) Release_Track'!$G:$G,1,0))),vlookup($A865&amp;$B865,{'5) Release_Track'!$F:$F&amp;'5) Release_Track'!$G:$G,'5) Release_Track'!$H:$H},2,0), or(and(not(isblank($B865)),$B865=$B864,$A865&lt;&gt;$A864),and(not(isblank($A865)),$A865=$A864,$B865&lt;&gt;$B864)),"ID LISTS UNALIGNED",and($A865&lt;&gt;"",countif('5) Release_Track'!$F:$F,$A865)=0),"NO ISRC MATCH in Release_Track",and($B865&lt;&gt;"",countif('5) Release_Track'!$G:$G,$B865)=0),"NO CATALOG ID MATCH in Release_Track",iserror(vlookup($A865&amp;$B865,'5) Release_Track'!$F:$F&amp;'5) Release_Track'!$G:$G,1,0)),"NO ISRC-CATALOG ID pair MATCH in Release_Track" )</f>
        <v/>
      </c>
      <c r="D865" s="121" t="str">
        <f t="array" ref="D865">ifs(and(isblank($A865),isblank($B865)),"", not(iserror(vlookup($A865&amp;$B865,'5) Release_Track'!$F:$F&amp;'5) Release_Track'!$G:$G,1,0))),vlookup($A865&amp;$B865,{'5) Release_Track'!$F:$F&amp;'5) Release_Track'!$G:$G,'5) Release_Track'!$I:$I},2,0), or(and(not(isblank($B865)),$B865=$B864,$A865&lt;&gt;$A864),and(not(isblank($A865)),$A865=$A864,$B865&lt;&gt;$B864)),"ID LISTS UNALIGNED",and($A865&lt;&gt;"",countif('5) Release_Track'!$F:$F,$A865)=0),"NO ISRC MATCH in Release_Track",and($B865&lt;&gt;"",countif('5) Release_Track'!$G:$G,$B865)=0),"NO CATALOG ID MATCH in Release_Track",iserror(vlookup($A865&amp;$B865,'5) Release_Track'!$F:$F&amp;'5) Release_Track'!$G:$G,1,0)),"NO ISRC-CATALOG ID pair MATCH in Release_Track" )</f>
        <v/>
      </c>
      <c r="E865" s="99"/>
      <c r="F865" s="99"/>
      <c r="G865" s="123" t="str">
        <f t="array" ref="G865">ifs(or($F865="",$F865="Main Primary Artist"),$F865,not(iserror(vlookup($F865,'Reference info'!$J$5:$J$8,1,0))),"Key Artist",not(iserror(vlookup($F865,'Reference info'!$J$38:$J$405,1,0))),"Performer",not(iserror(vlookup($F865,'Reference info'!$J$10:$J$36,1,0))),"Producer &amp; Engineer")</f>
        <v/>
      </c>
    </row>
    <row r="866">
      <c r="B866" s="103"/>
      <c r="C866" s="121" t="str">
        <f t="array" ref="C866">ifs(and(isblank($A866),isblank($B866)),"", not(iserror(vlookup($A866&amp;$B866,'5) Release_Track'!$F:$F&amp;'5) Release_Track'!$G:$G,1,0))),vlookup($A866&amp;$B866,{'5) Release_Track'!$F:$F&amp;'5) Release_Track'!$G:$G,'5) Release_Track'!$H:$H},2,0), or(and(not(isblank($B866)),$B866=$B865,$A866&lt;&gt;$A865),and(not(isblank($A866)),$A866=$A865,$B866&lt;&gt;$B865)),"ID LISTS UNALIGNED",and($A866&lt;&gt;"",countif('5) Release_Track'!$F:$F,$A866)=0),"NO ISRC MATCH in Release_Track",and($B866&lt;&gt;"",countif('5) Release_Track'!$G:$G,$B866)=0),"NO CATALOG ID MATCH in Release_Track",iserror(vlookup($A866&amp;$B866,'5) Release_Track'!$F:$F&amp;'5) Release_Track'!$G:$G,1,0)),"NO ISRC-CATALOG ID pair MATCH in Release_Track" )</f>
        <v/>
      </c>
      <c r="D866" s="121" t="str">
        <f t="array" ref="D866">ifs(and(isblank($A866),isblank($B866)),"", not(iserror(vlookup($A866&amp;$B866,'5) Release_Track'!$F:$F&amp;'5) Release_Track'!$G:$G,1,0))),vlookup($A866&amp;$B866,{'5) Release_Track'!$F:$F&amp;'5) Release_Track'!$G:$G,'5) Release_Track'!$I:$I},2,0), or(and(not(isblank($B866)),$B866=$B865,$A866&lt;&gt;$A865),and(not(isblank($A866)),$A866=$A865,$B866&lt;&gt;$B865)),"ID LISTS UNALIGNED",and($A866&lt;&gt;"",countif('5) Release_Track'!$F:$F,$A866)=0),"NO ISRC MATCH in Release_Track",and($B866&lt;&gt;"",countif('5) Release_Track'!$G:$G,$B866)=0),"NO CATALOG ID MATCH in Release_Track",iserror(vlookup($A866&amp;$B866,'5) Release_Track'!$F:$F&amp;'5) Release_Track'!$G:$G,1,0)),"NO ISRC-CATALOG ID pair MATCH in Release_Track" )</f>
        <v/>
      </c>
      <c r="E866" s="99"/>
      <c r="F866" s="99"/>
      <c r="G866" s="123" t="str">
        <f t="array" ref="G866">ifs(or($F866="",$F866="Main Primary Artist"),$F866,not(iserror(vlookup($F866,'Reference info'!$J$5:$J$8,1,0))),"Key Artist",not(iserror(vlookup($F866,'Reference info'!$J$38:$J$405,1,0))),"Performer",not(iserror(vlookup($F866,'Reference info'!$J$10:$J$36,1,0))),"Producer &amp; Engineer")</f>
        <v/>
      </c>
    </row>
    <row r="867">
      <c r="B867" s="103"/>
      <c r="C867" s="121" t="str">
        <f t="array" ref="C867">ifs(and(isblank($A867),isblank($B867)),"", not(iserror(vlookup($A867&amp;$B867,'5) Release_Track'!$F:$F&amp;'5) Release_Track'!$G:$G,1,0))),vlookup($A867&amp;$B867,{'5) Release_Track'!$F:$F&amp;'5) Release_Track'!$G:$G,'5) Release_Track'!$H:$H},2,0), or(and(not(isblank($B867)),$B867=$B866,$A867&lt;&gt;$A866),and(not(isblank($A867)),$A867=$A866,$B867&lt;&gt;$B866)),"ID LISTS UNALIGNED",and($A867&lt;&gt;"",countif('5) Release_Track'!$F:$F,$A867)=0),"NO ISRC MATCH in Release_Track",and($B867&lt;&gt;"",countif('5) Release_Track'!$G:$G,$B867)=0),"NO CATALOG ID MATCH in Release_Track",iserror(vlookup($A867&amp;$B867,'5) Release_Track'!$F:$F&amp;'5) Release_Track'!$G:$G,1,0)),"NO ISRC-CATALOG ID pair MATCH in Release_Track" )</f>
        <v/>
      </c>
      <c r="D867" s="121" t="str">
        <f t="array" ref="D867">ifs(and(isblank($A867),isblank($B867)),"", not(iserror(vlookup($A867&amp;$B867,'5) Release_Track'!$F:$F&amp;'5) Release_Track'!$G:$G,1,0))),vlookup($A867&amp;$B867,{'5) Release_Track'!$F:$F&amp;'5) Release_Track'!$G:$G,'5) Release_Track'!$I:$I},2,0), or(and(not(isblank($B867)),$B867=$B866,$A867&lt;&gt;$A866),and(not(isblank($A867)),$A867=$A866,$B867&lt;&gt;$B866)),"ID LISTS UNALIGNED",and($A867&lt;&gt;"",countif('5) Release_Track'!$F:$F,$A867)=0),"NO ISRC MATCH in Release_Track",and($B867&lt;&gt;"",countif('5) Release_Track'!$G:$G,$B867)=0),"NO CATALOG ID MATCH in Release_Track",iserror(vlookup($A867&amp;$B867,'5) Release_Track'!$F:$F&amp;'5) Release_Track'!$G:$G,1,0)),"NO ISRC-CATALOG ID pair MATCH in Release_Track" )</f>
        <v/>
      </c>
      <c r="E867" s="99"/>
      <c r="F867" s="99"/>
      <c r="G867" s="123" t="str">
        <f t="array" ref="G867">ifs(or($F867="",$F867="Main Primary Artist"),$F867,not(iserror(vlookup($F867,'Reference info'!$J$5:$J$8,1,0))),"Key Artist",not(iserror(vlookup($F867,'Reference info'!$J$38:$J$405,1,0))),"Performer",not(iserror(vlookup($F867,'Reference info'!$J$10:$J$36,1,0))),"Producer &amp; Engineer")</f>
        <v/>
      </c>
    </row>
    <row r="868">
      <c r="B868" s="103"/>
      <c r="C868" s="121" t="str">
        <f t="array" ref="C868">ifs(and(isblank($A868),isblank($B868)),"", not(iserror(vlookup($A868&amp;$B868,'5) Release_Track'!$F:$F&amp;'5) Release_Track'!$G:$G,1,0))),vlookup($A868&amp;$B868,{'5) Release_Track'!$F:$F&amp;'5) Release_Track'!$G:$G,'5) Release_Track'!$H:$H},2,0), or(and(not(isblank($B868)),$B868=$B867,$A868&lt;&gt;$A867),and(not(isblank($A868)),$A868=$A867,$B868&lt;&gt;$B867)),"ID LISTS UNALIGNED",and($A868&lt;&gt;"",countif('5) Release_Track'!$F:$F,$A868)=0),"NO ISRC MATCH in Release_Track",and($B868&lt;&gt;"",countif('5) Release_Track'!$G:$G,$B868)=0),"NO CATALOG ID MATCH in Release_Track",iserror(vlookup($A868&amp;$B868,'5) Release_Track'!$F:$F&amp;'5) Release_Track'!$G:$G,1,0)),"NO ISRC-CATALOG ID pair MATCH in Release_Track" )</f>
        <v/>
      </c>
      <c r="D868" s="121" t="str">
        <f t="array" ref="D868">ifs(and(isblank($A868),isblank($B868)),"", not(iserror(vlookup($A868&amp;$B868,'5) Release_Track'!$F:$F&amp;'5) Release_Track'!$G:$G,1,0))),vlookup($A868&amp;$B868,{'5) Release_Track'!$F:$F&amp;'5) Release_Track'!$G:$G,'5) Release_Track'!$I:$I},2,0), or(and(not(isblank($B868)),$B868=$B867,$A868&lt;&gt;$A867),and(not(isblank($A868)),$A868=$A867,$B868&lt;&gt;$B867)),"ID LISTS UNALIGNED",and($A868&lt;&gt;"",countif('5) Release_Track'!$F:$F,$A868)=0),"NO ISRC MATCH in Release_Track",and($B868&lt;&gt;"",countif('5) Release_Track'!$G:$G,$B868)=0),"NO CATALOG ID MATCH in Release_Track",iserror(vlookup($A868&amp;$B868,'5) Release_Track'!$F:$F&amp;'5) Release_Track'!$G:$G,1,0)),"NO ISRC-CATALOG ID pair MATCH in Release_Track" )</f>
        <v/>
      </c>
      <c r="E868" s="99"/>
      <c r="F868" s="99"/>
      <c r="G868" s="123" t="str">
        <f t="array" ref="G868">ifs(or($F868="",$F868="Main Primary Artist"),$F868,not(iserror(vlookup($F868,'Reference info'!$J$5:$J$8,1,0))),"Key Artist",not(iserror(vlookup($F868,'Reference info'!$J$38:$J$405,1,0))),"Performer",not(iserror(vlookup($F868,'Reference info'!$J$10:$J$36,1,0))),"Producer &amp; Engineer")</f>
        <v/>
      </c>
    </row>
    <row r="869">
      <c r="B869" s="103"/>
      <c r="C869" s="121" t="str">
        <f t="array" ref="C869">ifs(and(isblank($A869),isblank($B869)),"", not(iserror(vlookup($A869&amp;$B869,'5) Release_Track'!$F:$F&amp;'5) Release_Track'!$G:$G,1,0))),vlookup($A869&amp;$B869,{'5) Release_Track'!$F:$F&amp;'5) Release_Track'!$G:$G,'5) Release_Track'!$H:$H},2,0), or(and(not(isblank($B869)),$B869=$B868,$A869&lt;&gt;$A868),and(not(isblank($A869)),$A869=$A868,$B869&lt;&gt;$B868)),"ID LISTS UNALIGNED",and($A869&lt;&gt;"",countif('5) Release_Track'!$F:$F,$A869)=0),"NO ISRC MATCH in Release_Track",and($B869&lt;&gt;"",countif('5) Release_Track'!$G:$G,$B869)=0),"NO CATALOG ID MATCH in Release_Track",iserror(vlookup($A869&amp;$B869,'5) Release_Track'!$F:$F&amp;'5) Release_Track'!$G:$G,1,0)),"NO ISRC-CATALOG ID pair MATCH in Release_Track" )</f>
        <v/>
      </c>
      <c r="D869" s="121" t="str">
        <f t="array" ref="D869">ifs(and(isblank($A869),isblank($B869)),"", not(iserror(vlookup($A869&amp;$B869,'5) Release_Track'!$F:$F&amp;'5) Release_Track'!$G:$G,1,0))),vlookup($A869&amp;$B869,{'5) Release_Track'!$F:$F&amp;'5) Release_Track'!$G:$G,'5) Release_Track'!$I:$I},2,0), or(and(not(isblank($B869)),$B869=$B868,$A869&lt;&gt;$A868),and(not(isblank($A869)),$A869=$A868,$B869&lt;&gt;$B868)),"ID LISTS UNALIGNED",and($A869&lt;&gt;"",countif('5) Release_Track'!$F:$F,$A869)=0),"NO ISRC MATCH in Release_Track",and($B869&lt;&gt;"",countif('5) Release_Track'!$G:$G,$B869)=0),"NO CATALOG ID MATCH in Release_Track",iserror(vlookup($A869&amp;$B869,'5) Release_Track'!$F:$F&amp;'5) Release_Track'!$G:$G,1,0)),"NO ISRC-CATALOG ID pair MATCH in Release_Track" )</f>
        <v/>
      </c>
      <c r="E869" s="99"/>
      <c r="F869" s="99"/>
      <c r="G869" s="123" t="str">
        <f t="array" ref="G869">ifs(or($F869="",$F869="Main Primary Artist"),$F869,not(iserror(vlookup($F869,'Reference info'!$J$5:$J$8,1,0))),"Key Artist",not(iserror(vlookup($F869,'Reference info'!$J$38:$J$405,1,0))),"Performer",not(iserror(vlookup($F869,'Reference info'!$J$10:$J$36,1,0))),"Producer &amp; Engineer")</f>
        <v/>
      </c>
    </row>
    <row r="870">
      <c r="B870" s="103"/>
      <c r="C870" s="121" t="str">
        <f t="array" ref="C870">ifs(and(isblank($A870),isblank($B870)),"", not(iserror(vlookup($A870&amp;$B870,'5) Release_Track'!$F:$F&amp;'5) Release_Track'!$G:$G,1,0))),vlookup($A870&amp;$B870,{'5) Release_Track'!$F:$F&amp;'5) Release_Track'!$G:$G,'5) Release_Track'!$H:$H},2,0), or(and(not(isblank($B870)),$B870=$B869,$A870&lt;&gt;$A869),and(not(isblank($A870)),$A870=$A869,$B870&lt;&gt;$B869)),"ID LISTS UNALIGNED",and($A870&lt;&gt;"",countif('5) Release_Track'!$F:$F,$A870)=0),"NO ISRC MATCH in Release_Track",and($B870&lt;&gt;"",countif('5) Release_Track'!$G:$G,$B870)=0),"NO CATALOG ID MATCH in Release_Track",iserror(vlookup($A870&amp;$B870,'5) Release_Track'!$F:$F&amp;'5) Release_Track'!$G:$G,1,0)),"NO ISRC-CATALOG ID pair MATCH in Release_Track" )</f>
        <v/>
      </c>
      <c r="D870" s="121" t="str">
        <f t="array" ref="D870">ifs(and(isblank($A870),isblank($B870)),"", not(iserror(vlookup($A870&amp;$B870,'5) Release_Track'!$F:$F&amp;'5) Release_Track'!$G:$G,1,0))),vlookup($A870&amp;$B870,{'5) Release_Track'!$F:$F&amp;'5) Release_Track'!$G:$G,'5) Release_Track'!$I:$I},2,0), or(and(not(isblank($B870)),$B870=$B869,$A870&lt;&gt;$A869),and(not(isblank($A870)),$A870=$A869,$B870&lt;&gt;$B869)),"ID LISTS UNALIGNED",and($A870&lt;&gt;"",countif('5) Release_Track'!$F:$F,$A870)=0),"NO ISRC MATCH in Release_Track",and($B870&lt;&gt;"",countif('5) Release_Track'!$G:$G,$B870)=0),"NO CATALOG ID MATCH in Release_Track",iserror(vlookup($A870&amp;$B870,'5) Release_Track'!$F:$F&amp;'5) Release_Track'!$G:$G,1,0)),"NO ISRC-CATALOG ID pair MATCH in Release_Track" )</f>
        <v/>
      </c>
      <c r="E870" s="99"/>
      <c r="F870" s="99"/>
      <c r="G870" s="123" t="str">
        <f t="array" ref="G870">ifs(or($F870="",$F870="Main Primary Artist"),$F870,not(iserror(vlookup($F870,'Reference info'!$J$5:$J$8,1,0))),"Key Artist",not(iserror(vlookup($F870,'Reference info'!$J$38:$J$405,1,0))),"Performer",not(iserror(vlookup($F870,'Reference info'!$J$10:$J$36,1,0))),"Producer &amp; Engineer")</f>
        <v/>
      </c>
    </row>
    <row r="871">
      <c r="B871" s="103"/>
      <c r="C871" s="121" t="str">
        <f t="array" ref="C871">ifs(and(isblank($A871),isblank($B871)),"", not(iserror(vlookup($A871&amp;$B871,'5) Release_Track'!$F:$F&amp;'5) Release_Track'!$G:$G,1,0))),vlookup($A871&amp;$B871,{'5) Release_Track'!$F:$F&amp;'5) Release_Track'!$G:$G,'5) Release_Track'!$H:$H},2,0), or(and(not(isblank($B871)),$B871=$B870,$A871&lt;&gt;$A870),and(not(isblank($A871)),$A871=$A870,$B871&lt;&gt;$B870)),"ID LISTS UNALIGNED",and($A871&lt;&gt;"",countif('5) Release_Track'!$F:$F,$A871)=0),"NO ISRC MATCH in Release_Track",and($B871&lt;&gt;"",countif('5) Release_Track'!$G:$G,$B871)=0),"NO CATALOG ID MATCH in Release_Track",iserror(vlookup($A871&amp;$B871,'5) Release_Track'!$F:$F&amp;'5) Release_Track'!$G:$G,1,0)),"NO ISRC-CATALOG ID pair MATCH in Release_Track" )</f>
        <v/>
      </c>
      <c r="D871" s="121" t="str">
        <f t="array" ref="D871">ifs(and(isblank($A871),isblank($B871)),"", not(iserror(vlookup($A871&amp;$B871,'5) Release_Track'!$F:$F&amp;'5) Release_Track'!$G:$G,1,0))),vlookup($A871&amp;$B871,{'5) Release_Track'!$F:$F&amp;'5) Release_Track'!$G:$G,'5) Release_Track'!$I:$I},2,0), or(and(not(isblank($B871)),$B871=$B870,$A871&lt;&gt;$A870),and(not(isblank($A871)),$A871=$A870,$B871&lt;&gt;$B870)),"ID LISTS UNALIGNED",and($A871&lt;&gt;"",countif('5) Release_Track'!$F:$F,$A871)=0),"NO ISRC MATCH in Release_Track",and($B871&lt;&gt;"",countif('5) Release_Track'!$G:$G,$B871)=0),"NO CATALOG ID MATCH in Release_Track",iserror(vlookup($A871&amp;$B871,'5) Release_Track'!$F:$F&amp;'5) Release_Track'!$G:$G,1,0)),"NO ISRC-CATALOG ID pair MATCH in Release_Track" )</f>
        <v/>
      </c>
      <c r="E871" s="99"/>
      <c r="F871" s="99"/>
      <c r="G871" s="123" t="str">
        <f t="array" ref="G871">ifs(or($F871="",$F871="Main Primary Artist"),$F871,not(iserror(vlookup($F871,'Reference info'!$J$5:$J$8,1,0))),"Key Artist",not(iserror(vlookup($F871,'Reference info'!$J$38:$J$405,1,0))),"Performer",not(iserror(vlookup($F871,'Reference info'!$J$10:$J$36,1,0))),"Producer &amp; Engineer")</f>
        <v/>
      </c>
    </row>
    <row r="872">
      <c r="B872" s="103"/>
      <c r="C872" s="121" t="str">
        <f t="array" ref="C872">ifs(and(isblank($A872),isblank($B872)),"", not(iserror(vlookup($A872&amp;$B872,'5) Release_Track'!$F:$F&amp;'5) Release_Track'!$G:$G,1,0))),vlookup($A872&amp;$B872,{'5) Release_Track'!$F:$F&amp;'5) Release_Track'!$G:$G,'5) Release_Track'!$H:$H},2,0), or(and(not(isblank($B872)),$B872=$B871,$A872&lt;&gt;$A871),and(not(isblank($A872)),$A872=$A871,$B872&lt;&gt;$B871)),"ID LISTS UNALIGNED",and($A872&lt;&gt;"",countif('5) Release_Track'!$F:$F,$A872)=0),"NO ISRC MATCH in Release_Track",and($B872&lt;&gt;"",countif('5) Release_Track'!$G:$G,$B872)=0),"NO CATALOG ID MATCH in Release_Track",iserror(vlookup($A872&amp;$B872,'5) Release_Track'!$F:$F&amp;'5) Release_Track'!$G:$G,1,0)),"NO ISRC-CATALOG ID pair MATCH in Release_Track" )</f>
        <v/>
      </c>
      <c r="D872" s="121" t="str">
        <f t="array" ref="D872">ifs(and(isblank($A872),isblank($B872)),"", not(iserror(vlookup($A872&amp;$B872,'5) Release_Track'!$F:$F&amp;'5) Release_Track'!$G:$G,1,0))),vlookup($A872&amp;$B872,{'5) Release_Track'!$F:$F&amp;'5) Release_Track'!$G:$G,'5) Release_Track'!$I:$I},2,0), or(and(not(isblank($B872)),$B872=$B871,$A872&lt;&gt;$A871),and(not(isblank($A872)),$A872=$A871,$B872&lt;&gt;$B871)),"ID LISTS UNALIGNED",and($A872&lt;&gt;"",countif('5) Release_Track'!$F:$F,$A872)=0),"NO ISRC MATCH in Release_Track",and($B872&lt;&gt;"",countif('5) Release_Track'!$G:$G,$B872)=0),"NO CATALOG ID MATCH in Release_Track",iserror(vlookup($A872&amp;$B872,'5) Release_Track'!$F:$F&amp;'5) Release_Track'!$G:$G,1,0)),"NO ISRC-CATALOG ID pair MATCH in Release_Track" )</f>
        <v/>
      </c>
      <c r="E872" s="99"/>
      <c r="F872" s="99"/>
      <c r="G872" s="123" t="str">
        <f t="array" ref="G872">ifs(or($F872="",$F872="Main Primary Artist"),$F872,not(iserror(vlookup($F872,'Reference info'!$J$5:$J$8,1,0))),"Key Artist",not(iserror(vlookup($F872,'Reference info'!$J$38:$J$405,1,0))),"Performer",not(iserror(vlookup($F872,'Reference info'!$J$10:$J$36,1,0))),"Producer &amp; Engineer")</f>
        <v/>
      </c>
    </row>
    <row r="873">
      <c r="B873" s="103"/>
      <c r="C873" s="121" t="str">
        <f t="array" ref="C873">ifs(and(isblank($A873),isblank($B873)),"", not(iserror(vlookup($A873&amp;$B873,'5) Release_Track'!$F:$F&amp;'5) Release_Track'!$G:$G,1,0))),vlookup($A873&amp;$B873,{'5) Release_Track'!$F:$F&amp;'5) Release_Track'!$G:$G,'5) Release_Track'!$H:$H},2,0), or(and(not(isblank($B873)),$B873=$B872,$A873&lt;&gt;$A872),and(not(isblank($A873)),$A873=$A872,$B873&lt;&gt;$B872)),"ID LISTS UNALIGNED",and($A873&lt;&gt;"",countif('5) Release_Track'!$F:$F,$A873)=0),"NO ISRC MATCH in Release_Track",and($B873&lt;&gt;"",countif('5) Release_Track'!$G:$G,$B873)=0),"NO CATALOG ID MATCH in Release_Track",iserror(vlookup($A873&amp;$B873,'5) Release_Track'!$F:$F&amp;'5) Release_Track'!$G:$G,1,0)),"NO ISRC-CATALOG ID pair MATCH in Release_Track" )</f>
        <v/>
      </c>
      <c r="D873" s="121" t="str">
        <f t="array" ref="D873">ifs(and(isblank($A873),isblank($B873)),"", not(iserror(vlookup($A873&amp;$B873,'5) Release_Track'!$F:$F&amp;'5) Release_Track'!$G:$G,1,0))),vlookup($A873&amp;$B873,{'5) Release_Track'!$F:$F&amp;'5) Release_Track'!$G:$G,'5) Release_Track'!$I:$I},2,0), or(and(not(isblank($B873)),$B873=$B872,$A873&lt;&gt;$A872),and(not(isblank($A873)),$A873=$A872,$B873&lt;&gt;$B872)),"ID LISTS UNALIGNED",and($A873&lt;&gt;"",countif('5) Release_Track'!$F:$F,$A873)=0),"NO ISRC MATCH in Release_Track",and($B873&lt;&gt;"",countif('5) Release_Track'!$G:$G,$B873)=0),"NO CATALOG ID MATCH in Release_Track",iserror(vlookup($A873&amp;$B873,'5) Release_Track'!$F:$F&amp;'5) Release_Track'!$G:$G,1,0)),"NO ISRC-CATALOG ID pair MATCH in Release_Track" )</f>
        <v/>
      </c>
      <c r="E873" s="99"/>
      <c r="F873" s="99"/>
      <c r="G873" s="123" t="str">
        <f t="array" ref="G873">ifs(or($F873="",$F873="Main Primary Artist"),$F873,not(iserror(vlookup($F873,'Reference info'!$J$5:$J$8,1,0))),"Key Artist",not(iserror(vlookup($F873,'Reference info'!$J$38:$J$405,1,0))),"Performer",not(iserror(vlookup($F873,'Reference info'!$J$10:$J$36,1,0))),"Producer &amp; Engineer")</f>
        <v/>
      </c>
    </row>
    <row r="874">
      <c r="B874" s="103"/>
      <c r="C874" s="121" t="str">
        <f t="array" ref="C874">ifs(and(isblank($A874),isblank($B874)),"", not(iserror(vlookup($A874&amp;$B874,'5) Release_Track'!$F:$F&amp;'5) Release_Track'!$G:$G,1,0))),vlookup($A874&amp;$B874,{'5) Release_Track'!$F:$F&amp;'5) Release_Track'!$G:$G,'5) Release_Track'!$H:$H},2,0), or(and(not(isblank($B874)),$B874=$B873,$A874&lt;&gt;$A873),and(not(isblank($A874)),$A874=$A873,$B874&lt;&gt;$B873)),"ID LISTS UNALIGNED",and($A874&lt;&gt;"",countif('5) Release_Track'!$F:$F,$A874)=0),"NO ISRC MATCH in Release_Track",and($B874&lt;&gt;"",countif('5) Release_Track'!$G:$G,$B874)=0),"NO CATALOG ID MATCH in Release_Track",iserror(vlookup($A874&amp;$B874,'5) Release_Track'!$F:$F&amp;'5) Release_Track'!$G:$G,1,0)),"NO ISRC-CATALOG ID pair MATCH in Release_Track" )</f>
        <v/>
      </c>
      <c r="D874" s="121" t="str">
        <f t="array" ref="D874">ifs(and(isblank($A874),isblank($B874)),"", not(iserror(vlookup($A874&amp;$B874,'5) Release_Track'!$F:$F&amp;'5) Release_Track'!$G:$G,1,0))),vlookup($A874&amp;$B874,{'5) Release_Track'!$F:$F&amp;'5) Release_Track'!$G:$G,'5) Release_Track'!$I:$I},2,0), or(and(not(isblank($B874)),$B874=$B873,$A874&lt;&gt;$A873),and(not(isblank($A874)),$A874=$A873,$B874&lt;&gt;$B873)),"ID LISTS UNALIGNED",and($A874&lt;&gt;"",countif('5) Release_Track'!$F:$F,$A874)=0),"NO ISRC MATCH in Release_Track",and($B874&lt;&gt;"",countif('5) Release_Track'!$G:$G,$B874)=0),"NO CATALOG ID MATCH in Release_Track",iserror(vlookup($A874&amp;$B874,'5) Release_Track'!$F:$F&amp;'5) Release_Track'!$G:$G,1,0)),"NO ISRC-CATALOG ID pair MATCH in Release_Track" )</f>
        <v/>
      </c>
      <c r="E874" s="99"/>
      <c r="F874" s="99"/>
      <c r="G874" s="123" t="str">
        <f t="array" ref="G874">ifs(or($F874="",$F874="Main Primary Artist"),$F874,not(iserror(vlookup($F874,'Reference info'!$J$5:$J$8,1,0))),"Key Artist",not(iserror(vlookup($F874,'Reference info'!$J$38:$J$405,1,0))),"Performer",not(iserror(vlookup($F874,'Reference info'!$J$10:$J$36,1,0))),"Producer &amp; Engineer")</f>
        <v/>
      </c>
    </row>
    <row r="875">
      <c r="B875" s="103"/>
      <c r="C875" s="121" t="str">
        <f t="array" ref="C875">ifs(and(isblank($A875),isblank($B875)),"", not(iserror(vlookup($A875&amp;$B875,'5) Release_Track'!$F:$F&amp;'5) Release_Track'!$G:$G,1,0))),vlookup($A875&amp;$B875,{'5) Release_Track'!$F:$F&amp;'5) Release_Track'!$G:$G,'5) Release_Track'!$H:$H},2,0), or(and(not(isblank($B875)),$B875=$B874,$A875&lt;&gt;$A874),and(not(isblank($A875)),$A875=$A874,$B875&lt;&gt;$B874)),"ID LISTS UNALIGNED",and($A875&lt;&gt;"",countif('5) Release_Track'!$F:$F,$A875)=0),"NO ISRC MATCH in Release_Track",and($B875&lt;&gt;"",countif('5) Release_Track'!$G:$G,$B875)=0),"NO CATALOG ID MATCH in Release_Track",iserror(vlookup($A875&amp;$B875,'5) Release_Track'!$F:$F&amp;'5) Release_Track'!$G:$G,1,0)),"NO ISRC-CATALOG ID pair MATCH in Release_Track" )</f>
        <v/>
      </c>
      <c r="D875" s="121" t="str">
        <f t="array" ref="D875">ifs(and(isblank($A875),isblank($B875)),"", not(iserror(vlookup($A875&amp;$B875,'5) Release_Track'!$F:$F&amp;'5) Release_Track'!$G:$G,1,0))),vlookup($A875&amp;$B875,{'5) Release_Track'!$F:$F&amp;'5) Release_Track'!$G:$G,'5) Release_Track'!$I:$I},2,0), or(and(not(isblank($B875)),$B875=$B874,$A875&lt;&gt;$A874),and(not(isblank($A875)),$A875=$A874,$B875&lt;&gt;$B874)),"ID LISTS UNALIGNED",and($A875&lt;&gt;"",countif('5) Release_Track'!$F:$F,$A875)=0),"NO ISRC MATCH in Release_Track",and($B875&lt;&gt;"",countif('5) Release_Track'!$G:$G,$B875)=0),"NO CATALOG ID MATCH in Release_Track",iserror(vlookup($A875&amp;$B875,'5) Release_Track'!$F:$F&amp;'5) Release_Track'!$G:$G,1,0)),"NO ISRC-CATALOG ID pair MATCH in Release_Track" )</f>
        <v/>
      </c>
      <c r="E875" s="99"/>
      <c r="F875" s="99"/>
      <c r="G875" s="123" t="str">
        <f t="array" ref="G875">ifs(or($F875="",$F875="Main Primary Artist"),$F875,not(iserror(vlookup($F875,'Reference info'!$J$5:$J$8,1,0))),"Key Artist",not(iserror(vlookup($F875,'Reference info'!$J$38:$J$405,1,0))),"Performer",not(iserror(vlookup($F875,'Reference info'!$J$10:$J$36,1,0))),"Producer &amp; Engineer")</f>
        <v/>
      </c>
    </row>
    <row r="876">
      <c r="B876" s="103"/>
      <c r="C876" s="121" t="str">
        <f t="array" ref="C876">ifs(and(isblank($A876),isblank($B876)),"", not(iserror(vlookup($A876&amp;$B876,'5) Release_Track'!$F:$F&amp;'5) Release_Track'!$G:$G,1,0))),vlookup($A876&amp;$B876,{'5) Release_Track'!$F:$F&amp;'5) Release_Track'!$G:$G,'5) Release_Track'!$H:$H},2,0), or(and(not(isblank($B876)),$B876=$B875,$A876&lt;&gt;$A875),and(not(isblank($A876)),$A876=$A875,$B876&lt;&gt;$B875)),"ID LISTS UNALIGNED",and($A876&lt;&gt;"",countif('5) Release_Track'!$F:$F,$A876)=0),"NO ISRC MATCH in Release_Track",and($B876&lt;&gt;"",countif('5) Release_Track'!$G:$G,$B876)=0),"NO CATALOG ID MATCH in Release_Track",iserror(vlookup($A876&amp;$B876,'5) Release_Track'!$F:$F&amp;'5) Release_Track'!$G:$G,1,0)),"NO ISRC-CATALOG ID pair MATCH in Release_Track" )</f>
        <v/>
      </c>
      <c r="D876" s="121" t="str">
        <f t="array" ref="D876">ifs(and(isblank($A876),isblank($B876)),"", not(iserror(vlookup($A876&amp;$B876,'5) Release_Track'!$F:$F&amp;'5) Release_Track'!$G:$G,1,0))),vlookup($A876&amp;$B876,{'5) Release_Track'!$F:$F&amp;'5) Release_Track'!$G:$G,'5) Release_Track'!$I:$I},2,0), or(and(not(isblank($B876)),$B876=$B875,$A876&lt;&gt;$A875),and(not(isblank($A876)),$A876=$A875,$B876&lt;&gt;$B875)),"ID LISTS UNALIGNED",and($A876&lt;&gt;"",countif('5) Release_Track'!$F:$F,$A876)=0),"NO ISRC MATCH in Release_Track",and($B876&lt;&gt;"",countif('5) Release_Track'!$G:$G,$B876)=0),"NO CATALOG ID MATCH in Release_Track",iserror(vlookup($A876&amp;$B876,'5) Release_Track'!$F:$F&amp;'5) Release_Track'!$G:$G,1,0)),"NO ISRC-CATALOG ID pair MATCH in Release_Track" )</f>
        <v/>
      </c>
      <c r="E876" s="99"/>
      <c r="F876" s="99"/>
      <c r="G876" s="123" t="str">
        <f t="array" ref="G876">ifs(or($F876="",$F876="Main Primary Artist"),$F876,not(iserror(vlookup($F876,'Reference info'!$J$5:$J$8,1,0))),"Key Artist",not(iserror(vlookup($F876,'Reference info'!$J$38:$J$405,1,0))),"Performer",not(iserror(vlookup($F876,'Reference info'!$J$10:$J$36,1,0))),"Producer &amp; Engineer")</f>
        <v/>
      </c>
    </row>
    <row r="877">
      <c r="B877" s="103"/>
      <c r="C877" s="121" t="str">
        <f t="array" ref="C877">ifs(and(isblank($A877),isblank($B877)),"", not(iserror(vlookup($A877&amp;$B877,'5) Release_Track'!$F:$F&amp;'5) Release_Track'!$G:$G,1,0))),vlookup($A877&amp;$B877,{'5) Release_Track'!$F:$F&amp;'5) Release_Track'!$G:$G,'5) Release_Track'!$H:$H},2,0), or(and(not(isblank($B877)),$B877=$B876,$A877&lt;&gt;$A876),and(not(isblank($A877)),$A877=$A876,$B877&lt;&gt;$B876)),"ID LISTS UNALIGNED",and($A877&lt;&gt;"",countif('5) Release_Track'!$F:$F,$A877)=0),"NO ISRC MATCH in Release_Track",and($B877&lt;&gt;"",countif('5) Release_Track'!$G:$G,$B877)=0),"NO CATALOG ID MATCH in Release_Track",iserror(vlookup($A877&amp;$B877,'5) Release_Track'!$F:$F&amp;'5) Release_Track'!$G:$G,1,0)),"NO ISRC-CATALOG ID pair MATCH in Release_Track" )</f>
        <v/>
      </c>
      <c r="D877" s="121" t="str">
        <f t="array" ref="D877">ifs(and(isblank($A877),isblank($B877)),"", not(iserror(vlookup($A877&amp;$B877,'5) Release_Track'!$F:$F&amp;'5) Release_Track'!$G:$G,1,0))),vlookup($A877&amp;$B877,{'5) Release_Track'!$F:$F&amp;'5) Release_Track'!$G:$G,'5) Release_Track'!$I:$I},2,0), or(and(not(isblank($B877)),$B877=$B876,$A877&lt;&gt;$A876),and(not(isblank($A877)),$A877=$A876,$B877&lt;&gt;$B876)),"ID LISTS UNALIGNED",and($A877&lt;&gt;"",countif('5) Release_Track'!$F:$F,$A877)=0),"NO ISRC MATCH in Release_Track",and($B877&lt;&gt;"",countif('5) Release_Track'!$G:$G,$B877)=0),"NO CATALOG ID MATCH in Release_Track",iserror(vlookup($A877&amp;$B877,'5) Release_Track'!$F:$F&amp;'5) Release_Track'!$G:$G,1,0)),"NO ISRC-CATALOG ID pair MATCH in Release_Track" )</f>
        <v/>
      </c>
      <c r="E877" s="99"/>
      <c r="F877" s="99"/>
      <c r="G877" s="123" t="str">
        <f t="array" ref="G877">ifs(or($F877="",$F877="Main Primary Artist"),$F877,not(iserror(vlookup($F877,'Reference info'!$J$5:$J$8,1,0))),"Key Artist",not(iserror(vlookup($F877,'Reference info'!$J$38:$J$405,1,0))),"Performer",not(iserror(vlookup($F877,'Reference info'!$J$10:$J$36,1,0))),"Producer &amp; Engineer")</f>
        <v/>
      </c>
    </row>
    <row r="878">
      <c r="B878" s="103"/>
      <c r="C878" s="121" t="str">
        <f t="array" ref="C878">ifs(and(isblank($A878),isblank($B878)),"", not(iserror(vlookup($A878&amp;$B878,'5) Release_Track'!$F:$F&amp;'5) Release_Track'!$G:$G,1,0))),vlookup($A878&amp;$B878,{'5) Release_Track'!$F:$F&amp;'5) Release_Track'!$G:$G,'5) Release_Track'!$H:$H},2,0), or(and(not(isblank($B878)),$B878=$B877,$A878&lt;&gt;$A877),and(not(isblank($A878)),$A878=$A877,$B878&lt;&gt;$B877)),"ID LISTS UNALIGNED",and($A878&lt;&gt;"",countif('5) Release_Track'!$F:$F,$A878)=0),"NO ISRC MATCH in Release_Track",and($B878&lt;&gt;"",countif('5) Release_Track'!$G:$G,$B878)=0),"NO CATALOG ID MATCH in Release_Track",iserror(vlookup($A878&amp;$B878,'5) Release_Track'!$F:$F&amp;'5) Release_Track'!$G:$G,1,0)),"NO ISRC-CATALOG ID pair MATCH in Release_Track" )</f>
        <v/>
      </c>
      <c r="D878" s="121" t="str">
        <f t="array" ref="D878">ifs(and(isblank($A878),isblank($B878)),"", not(iserror(vlookup($A878&amp;$B878,'5) Release_Track'!$F:$F&amp;'5) Release_Track'!$G:$G,1,0))),vlookup($A878&amp;$B878,{'5) Release_Track'!$F:$F&amp;'5) Release_Track'!$G:$G,'5) Release_Track'!$I:$I},2,0), or(and(not(isblank($B878)),$B878=$B877,$A878&lt;&gt;$A877),and(not(isblank($A878)),$A878=$A877,$B878&lt;&gt;$B877)),"ID LISTS UNALIGNED",and($A878&lt;&gt;"",countif('5) Release_Track'!$F:$F,$A878)=0),"NO ISRC MATCH in Release_Track",and($B878&lt;&gt;"",countif('5) Release_Track'!$G:$G,$B878)=0),"NO CATALOG ID MATCH in Release_Track",iserror(vlookup($A878&amp;$B878,'5) Release_Track'!$F:$F&amp;'5) Release_Track'!$G:$G,1,0)),"NO ISRC-CATALOG ID pair MATCH in Release_Track" )</f>
        <v/>
      </c>
      <c r="E878" s="99"/>
      <c r="F878" s="99"/>
      <c r="G878" s="123" t="str">
        <f t="array" ref="G878">ifs(or($F878="",$F878="Main Primary Artist"),$F878,not(iserror(vlookup($F878,'Reference info'!$J$5:$J$8,1,0))),"Key Artist",not(iserror(vlookup($F878,'Reference info'!$J$38:$J$405,1,0))),"Performer",not(iserror(vlookup($F878,'Reference info'!$J$10:$J$36,1,0))),"Producer &amp; Engineer")</f>
        <v/>
      </c>
    </row>
    <row r="879">
      <c r="B879" s="103"/>
      <c r="C879" s="121" t="str">
        <f t="array" ref="C879">ifs(and(isblank($A879),isblank($B879)),"", not(iserror(vlookup($A879&amp;$B879,'5) Release_Track'!$F:$F&amp;'5) Release_Track'!$G:$G,1,0))),vlookup($A879&amp;$B879,{'5) Release_Track'!$F:$F&amp;'5) Release_Track'!$G:$G,'5) Release_Track'!$H:$H},2,0), or(and(not(isblank($B879)),$B879=$B878,$A879&lt;&gt;$A878),and(not(isblank($A879)),$A879=$A878,$B879&lt;&gt;$B878)),"ID LISTS UNALIGNED",and($A879&lt;&gt;"",countif('5) Release_Track'!$F:$F,$A879)=0),"NO ISRC MATCH in Release_Track",and($B879&lt;&gt;"",countif('5) Release_Track'!$G:$G,$B879)=0),"NO CATALOG ID MATCH in Release_Track",iserror(vlookup($A879&amp;$B879,'5) Release_Track'!$F:$F&amp;'5) Release_Track'!$G:$G,1,0)),"NO ISRC-CATALOG ID pair MATCH in Release_Track" )</f>
        <v/>
      </c>
      <c r="D879" s="121" t="str">
        <f t="array" ref="D879">ifs(and(isblank($A879),isblank($B879)),"", not(iserror(vlookup($A879&amp;$B879,'5) Release_Track'!$F:$F&amp;'5) Release_Track'!$G:$G,1,0))),vlookup($A879&amp;$B879,{'5) Release_Track'!$F:$F&amp;'5) Release_Track'!$G:$G,'5) Release_Track'!$I:$I},2,0), or(and(not(isblank($B879)),$B879=$B878,$A879&lt;&gt;$A878),and(not(isblank($A879)),$A879=$A878,$B879&lt;&gt;$B878)),"ID LISTS UNALIGNED",and($A879&lt;&gt;"",countif('5) Release_Track'!$F:$F,$A879)=0),"NO ISRC MATCH in Release_Track",and($B879&lt;&gt;"",countif('5) Release_Track'!$G:$G,$B879)=0),"NO CATALOG ID MATCH in Release_Track",iserror(vlookup($A879&amp;$B879,'5) Release_Track'!$F:$F&amp;'5) Release_Track'!$G:$G,1,0)),"NO ISRC-CATALOG ID pair MATCH in Release_Track" )</f>
        <v/>
      </c>
      <c r="E879" s="99"/>
      <c r="F879" s="99"/>
      <c r="G879" s="123" t="str">
        <f t="array" ref="G879">ifs(or($F879="",$F879="Main Primary Artist"),$F879,not(iserror(vlookup($F879,'Reference info'!$J$5:$J$8,1,0))),"Key Artist",not(iserror(vlookup($F879,'Reference info'!$J$38:$J$405,1,0))),"Performer",not(iserror(vlookup($F879,'Reference info'!$J$10:$J$36,1,0))),"Producer &amp; Engineer")</f>
        <v/>
      </c>
    </row>
    <row r="880">
      <c r="B880" s="103"/>
      <c r="C880" s="121" t="str">
        <f t="array" ref="C880">ifs(and(isblank($A880),isblank($B880)),"", not(iserror(vlookup($A880&amp;$B880,'5) Release_Track'!$F:$F&amp;'5) Release_Track'!$G:$G,1,0))),vlookup($A880&amp;$B880,{'5) Release_Track'!$F:$F&amp;'5) Release_Track'!$G:$G,'5) Release_Track'!$H:$H},2,0), or(and(not(isblank($B880)),$B880=$B879,$A880&lt;&gt;$A879),and(not(isblank($A880)),$A880=$A879,$B880&lt;&gt;$B879)),"ID LISTS UNALIGNED",and($A880&lt;&gt;"",countif('5) Release_Track'!$F:$F,$A880)=0),"NO ISRC MATCH in Release_Track",and($B880&lt;&gt;"",countif('5) Release_Track'!$G:$G,$B880)=0),"NO CATALOG ID MATCH in Release_Track",iserror(vlookup($A880&amp;$B880,'5) Release_Track'!$F:$F&amp;'5) Release_Track'!$G:$G,1,0)),"NO ISRC-CATALOG ID pair MATCH in Release_Track" )</f>
        <v/>
      </c>
      <c r="D880" s="121" t="str">
        <f t="array" ref="D880">ifs(and(isblank($A880),isblank($B880)),"", not(iserror(vlookup($A880&amp;$B880,'5) Release_Track'!$F:$F&amp;'5) Release_Track'!$G:$G,1,0))),vlookup($A880&amp;$B880,{'5) Release_Track'!$F:$F&amp;'5) Release_Track'!$G:$G,'5) Release_Track'!$I:$I},2,0), or(and(not(isblank($B880)),$B880=$B879,$A880&lt;&gt;$A879),and(not(isblank($A880)),$A880=$A879,$B880&lt;&gt;$B879)),"ID LISTS UNALIGNED",and($A880&lt;&gt;"",countif('5) Release_Track'!$F:$F,$A880)=0),"NO ISRC MATCH in Release_Track",and($B880&lt;&gt;"",countif('5) Release_Track'!$G:$G,$B880)=0),"NO CATALOG ID MATCH in Release_Track",iserror(vlookup($A880&amp;$B880,'5) Release_Track'!$F:$F&amp;'5) Release_Track'!$G:$G,1,0)),"NO ISRC-CATALOG ID pair MATCH in Release_Track" )</f>
        <v/>
      </c>
      <c r="E880" s="99"/>
      <c r="F880" s="99"/>
      <c r="G880" s="123" t="str">
        <f t="array" ref="G880">ifs(or($F880="",$F880="Main Primary Artist"),$F880,not(iserror(vlookup($F880,'Reference info'!$J$5:$J$8,1,0))),"Key Artist",not(iserror(vlookup($F880,'Reference info'!$J$38:$J$405,1,0))),"Performer",not(iserror(vlookup($F880,'Reference info'!$J$10:$J$36,1,0))),"Producer &amp; Engineer")</f>
        <v/>
      </c>
    </row>
    <row r="881">
      <c r="B881" s="103"/>
      <c r="C881" s="121" t="str">
        <f t="array" ref="C881">ifs(and(isblank($A881),isblank($B881)),"", not(iserror(vlookup($A881&amp;$B881,'5) Release_Track'!$F:$F&amp;'5) Release_Track'!$G:$G,1,0))),vlookup($A881&amp;$B881,{'5) Release_Track'!$F:$F&amp;'5) Release_Track'!$G:$G,'5) Release_Track'!$H:$H},2,0), or(and(not(isblank($B881)),$B881=$B880,$A881&lt;&gt;$A880),and(not(isblank($A881)),$A881=$A880,$B881&lt;&gt;$B880)),"ID LISTS UNALIGNED",and($A881&lt;&gt;"",countif('5) Release_Track'!$F:$F,$A881)=0),"NO ISRC MATCH in Release_Track",and($B881&lt;&gt;"",countif('5) Release_Track'!$G:$G,$B881)=0),"NO CATALOG ID MATCH in Release_Track",iserror(vlookup($A881&amp;$B881,'5) Release_Track'!$F:$F&amp;'5) Release_Track'!$G:$G,1,0)),"NO ISRC-CATALOG ID pair MATCH in Release_Track" )</f>
        <v/>
      </c>
      <c r="D881" s="121" t="str">
        <f t="array" ref="D881">ifs(and(isblank($A881),isblank($B881)),"", not(iserror(vlookup($A881&amp;$B881,'5) Release_Track'!$F:$F&amp;'5) Release_Track'!$G:$G,1,0))),vlookup($A881&amp;$B881,{'5) Release_Track'!$F:$F&amp;'5) Release_Track'!$G:$G,'5) Release_Track'!$I:$I},2,0), or(and(not(isblank($B881)),$B881=$B880,$A881&lt;&gt;$A880),and(not(isblank($A881)),$A881=$A880,$B881&lt;&gt;$B880)),"ID LISTS UNALIGNED",and($A881&lt;&gt;"",countif('5) Release_Track'!$F:$F,$A881)=0),"NO ISRC MATCH in Release_Track",and($B881&lt;&gt;"",countif('5) Release_Track'!$G:$G,$B881)=0),"NO CATALOG ID MATCH in Release_Track",iserror(vlookup($A881&amp;$B881,'5) Release_Track'!$F:$F&amp;'5) Release_Track'!$G:$G,1,0)),"NO ISRC-CATALOG ID pair MATCH in Release_Track" )</f>
        <v/>
      </c>
      <c r="E881" s="99"/>
      <c r="F881" s="99"/>
      <c r="G881" s="123" t="str">
        <f t="array" ref="G881">ifs(or($F881="",$F881="Main Primary Artist"),$F881,not(iserror(vlookup($F881,'Reference info'!$J$5:$J$8,1,0))),"Key Artist",not(iserror(vlookup($F881,'Reference info'!$J$38:$J$405,1,0))),"Performer",not(iserror(vlookup($F881,'Reference info'!$J$10:$J$36,1,0))),"Producer &amp; Engineer")</f>
        <v/>
      </c>
    </row>
    <row r="882">
      <c r="B882" s="103"/>
      <c r="C882" s="121" t="str">
        <f t="array" ref="C882">ifs(and(isblank($A882),isblank($B882)),"", not(iserror(vlookup($A882&amp;$B882,'5) Release_Track'!$F:$F&amp;'5) Release_Track'!$G:$G,1,0))),vlookup($A882&amp;$B882,{'5) Release_Track'!$F:$F&amp;'5) Release_Track'!$G:$G,'5) Release_Track'!$H:$H},2,0), or(and(not(isblank($B882)),$B882=$B881,$A882&lt;&gt;$A881),and(not(isblank($A882)),$A882=$A881,$B882&lt;&gt;$B881)),"ID LISTS UNALIGNED",and($A882&lt;&gt;"",countif('5) Release_Track'!$F:$F,$A882)=0),"NO ISRC MATCH in Release_Track",and($B882&lt;&gt;"",countif('5) Release_Track'!$G:$G,$B882)=0),"NO CATALOG ID MATCH in Release_Track",iserror(vlookup($A882&amp;$B882,'5) Release_Track'!$F:$F&amp;'5) Release_Track'!$G:$G,1,0)),"NO ISRC-CATALOG ID pair MATCH in Release_Track" )</f>
        <v/>
      </c>
      <c r="D882" s="121" t="str">
        <f t="array" ref="D882">ifs(and(isblank($A882),isblank($B882)),"", not(iserror(vlookup($A882&amp;$B882,'5) Release_Track'!$F:$F&amp;'5) Release_Track'!$G:$G,1,0))),vlookup($A882&amp;$B882,{'5) Release_Track'!$F:$F&amp;'5) Release_Track'!$G:$G,'5) Release_Track'!$I:$I},2,0), or(and(not(isblank($B882)),$B882=$B881,$A882&lt;&gt;$A881),and(not(isblank($A882)),$A882=$A881,$B882&lt;&gt;$B881)),"ID LISTS UNALIGNED",and($A882&lt;&gt;"",countif('5) Release_Track'!$F:$F,$A882)=0),"NO ISRC MATCH in Release_Track",and($B882&lt;&gt;"",countif('5) Release_Track'!$G:$G,$B882)=0),"NO CATALOG ID MATCH in Release_Track",iserror(vlookup($A882&amp;$B882,'5) Release_Track'!$F:$F&amp;'5) Release_Track'!$G:$G,1,0)),"NO ISRC-CATALOG ID pair MATCH in Release_Track" )</f>
        <v/>
      </c>
      <c r="E882" s="99"/>
      <c r="F882" s="99"/>
      <c r="G882" s="123" t="str">
        <f t="array" ref="G882">ifs(or($F882="",$F882="Main Primary Artist"),$F882,not(iserror(vlookup($F882,'Reference info'!$J$5:$J$8,1,0))),"Key Artist",not(iserror(vlookup($F882,'Reference info'!$J$38:$J$405,1,0))),"Performer",not(iserror(vlookup($F882,'Reference info'!$J$10:$J$36,1,0))),"Producer &amp; Engineer")</f>
        <v/>
      </c>
    </row>
    <row r="883">
      <c r="B883" s="103"/>
      <c r="C883" s="121" t="str">
        <f t="array" ref="C883">ifs(and(isblank($A883),isblank($B883)),"", not(iserror(vlookup($A883&amp;$B883,'5) Release_Track'!$F:$F&amp;'5) Release_Track'!$G:$G,1,0))),vlookup($A883&amp;$B883,{'5) Release_Track'!$F:$F&amp;'5) Release_Track'!$G:$G,'5) Release_Track'!$H:$H},2,0), or(and(not(isblank($B883)),$B883=$B882,$A883&lt;&gt;$A882),and(not(isblank($A883)),$A883=$A882,$B883&lt;&gt;$B882)),"ID LISTS UNALIGNED",and($A883&lt;&gt;"",countif('5) Release_Track'!$F:$F,$A883)=0),"NO ISRC MATCH in Release_Track",and($B883&lt;&gt;"",countif('5) Release_Track'!$G:$G,$B883)=0),"NO CATALOG ID MATCH in Release_Track",iserror(vlookup($A883&amp;$B883,'5) Release_Track'!$F:$F&amp;'5) Release_Track'!$G:$G,1,0)),"NO ISRC-CATALOG ID pair MATCH in Release_Track" )</f>
        <v/>
      </c>
      <c r="D883" s="121" t="str">
        <f t="array" ref="D883">ifs(and(isblank($A883),isblank($B883)),"", not(iserror(vlookup($A883&amp;$B883,'5) Release_Track'!$F:$F&amp;'5) Release_Track'!$G:$G,1,0))),vlookup($A883&amp;$B883,{'5) Release_Track'!$F:$F&amp;'5) Release_Track'!$G:$G,'5) Release_Track'!$I:$I},2,0), or(and(not(isblank($B883)),$B883=$B882,$A883&lt;&gt;$A882),and(not(isblank($A883)),$A883=$A882,$B883&lt;&gt;$B882)),"ID LISTS UNALIGNED",and($A883&lt;&gt;"",countif('5) Release_Track'!$F:$F,$A883)=0),"NO ISRC MATCH in Release_Track",and($B883&lt;&gt;"",countif('5) Release_Track'!$G:$G,$B883)=0),"NO CATALOG ID MATCH in Release_Track",iserror(vlookup($A883&amp;$B883,'5) Release_Track'!$F:$F&amp;'5) Release_Track'!$G:$G,1,0)),"NO ISRC-CATALOG ID pair MATCH in Release_Track" )</f>
        <v/>
      </c>
      <c r="E883" s="99"/>
      <c r="F883" s="99"/>
      <c r="G883" s="123" t="str">
        <f t="array" ref="G883">ifs(or($F883="",$F883="Main Primary Artist"),$F883,not(iserror(vlookup($F883,'Reference info'!$J$5:$J$8,1,0))),"Key Artist",not(iserror(vlookup($F883,'Reference info'!$J$38:$J$405,1,0))),"Performer",not(iserror(vlookup($F883,'Reference info'!$J$10:$J$36,1,0))),"Producer &amp; Engineer")</f>
        <v/>
      </c>
    </row>
    <row r="884">
      <c r="B884" s="103"/>
      <c r="C884" s="121" t="str">
        <f t="array" ref="C884">ifs(and(isblank($A884),isblank($B884)),"", not(iserror(vlookup($A884&amp;$B884,'5) Release_Track'!$F:$F&amp;'5) Release_Track'!$G:$G,1,0))),vlookup($A884&amp;$B884,{'5) Release_Track'!$F:$F&amp;'5) Release_Track'!$G:$G,'5) Release_Track'!$H:$H},2,0), or(and(not(isblank($B884)),$B884=$B883,$A884&lt;&gt;$A883),and(not(isblank($A884)),$A884=$A883,$B884&lt;&gt;$B883)),"ID LISTS UNALIGNED",and($A884&lt;&gt;"",countif('5) Release_Track'!$F:$F,$A884)=0),"NO ISRC MATCH in Release_Track",and($B884&lt;&gt;"",countif('5) Release_Track'!$G:$G,$B884)=0),"NO CATALOG ID MATCH in Release_Track",iserror(vlookup($A884&amp;$B884,'5) Release_Track'!$F:$F&amp;'5) Release_Track'!$G:$G,1,0)),"NO ISRC-CATALOG ID pair MATCH in Release_Track" )</f>
        <v/>
      </c>
      <c r="D884" s="121" t="str">
        <f t="array" ref="D884">ifs(and(isblank($A884),isblank($B884)),"", not(iserror(vlookup($A884&amp;$B884,'5) Release_Track'!$F:$F&amp;'5) Release_Track'!$G:$G,1,0))),vlookup($A884&amp;$B884,{'5) Release_Track'!$F:$F&amp;'5) Release_Track'!$G:$G,'5) Release_Track'!$I:$I},2,0), or(and(not(isblank($B884)),$B884=$B883,$A884&lt;&gt;$A883),and(not(isblank($A884)),$A884=$A883,$B884&lt;&gt;$B883)),"ID LISTS UNALIGNED",and($A884&lt;&gt;"",countif('5) Release_Track'!$F:$F,$A884)=0),"NO ISRC MATCH in Release_Track",and($B884&lt;&gt;"",countif('5) Release_Track'!$G:$G,$B884)=0),"NO CATALOG ID MATCH in Release_Track",iserror(vlookup($A884&amp;$B884,'5) Release_Track'!$F:$F&amp;'5) Release_Track'!$G:$G,1,0)),"NO ISRC-CATALOG ID pair MATCH in Release_Track" )</f>
        <v/>
      </c>
      <c r="E884" s="99"/>
      <c r="F884" s="99"/>
      <c r="G884" s="123" t="str">
        <f t="array" ref="G884">ifs(or($F884="",$F884="Main Primary Artist"),$F884,not(iserror(vlookup($F884,'Reference info'!$J$5:$J$8,1,0))),"Key Artist",not(iserror(vlookup($F884,'Reference info'!$J$38:$J$405,1,0))),"Performer",not(iserror(vlookup($F884,'Reference info'!$J$10:$J$36,1,0))),"Producer &amp; Engineer")</f>
        <v/>
      </c>
    </row>
    <row r="885">
      <c r="B885" s="103"/>
      <c r="C885" s="121" t="str">
        <f t="array" ref="C885">ifs(and(isblank($A885),isblank($B885)),"", not(iserror(vlookup($A885&amp;$B885,'5) Release_Track'!$F:$F&amp;'5) Release_Track'!$G:$G,1,0))),vlookup($A885&amp;$B885,{'5) Release_Track'!$F:$F&amp;'5) Release_Track'!$G:$G,'5) Release_Track'!$H:$H},2,0), or(and(not(isblank($B885)),$B885=$B884,$A885&lt;&gt;$A884),and(not(isblank($A885)),$A885=$A884,$B885&lt;&gt;$B884)),"ID LISTS UNALIGNED",and($A885&lt;&gt;"",countif('5) Release_Track'!$F:$F,$A885)=0),"NO ISRC MATCH in Release_Track",and($B885&lt;&gt;"",countif('5) Release_Track'!$G:$G,$B885)=0),"NO CATALOG ID MATCH in Release_Track",iserror(vlookup($A885&amp;$B885,'5) Release_Track'!$F:$F&amp;'5) Release_Track'!$G:$G,1,0)),"NO ISRC-CATALOG ID pair MATCH in Release_Track" )</f>
        <v/>
      </c>
      <c r="D885" s="121" t="str">
        <f t="array" ref="D885">ifs(and(isblank($A885),isblank($B885)),"", not(iserror(vlookup($A885&amp;$B885,'5) Release_Track'!$F:$F&amp;'5) Release_Track'!$G:$G,1,0))),vlookup($A885&amp;$B885,{'5) Release_Track'!$F:$F&amp;'5) Release_Track'!$G:$G,'5) Release_Track'!$I:$I},2,0), or(and(not(isblank($B885)),$B885=$B884,$A885&lt;&gt;$A884),and(not(isblank($A885)),$A885=$A884,$B885&lt;&gt;$B884)),"ID LISTS UNALIGNED",and($A885&lt;&gt;"",countif('5) Release_Track'!$F:$F,$A885)=0),"NO ISRC MATCH in Release_Track",and($B885&lt;&gt;"",countif('5) Release_Track'!$G:$G,$B885)=0),"NO CATALOG ID MATCH in Release_Track",iserror(vlookup($A885&amp;$B885,'5) Release_Track'!$F:$F&amp;'5) Release_Track'!$G:$G,1,0)),"NO ISRC-CATALOG ID pair MATCH in Release_Track" )</f>
        <v/>
      </c>
      <c r="E885" s="99"/>
      <c r="F885" s="99"/>
      <c r="G885" s="123" t="str">
        <f t="array" ref="G885">ifs(or($F885="",$F885="Main Primary Artist"),$F885,not(iserror(vlookup($F885,'Reference info'!$J$5:$J$8,1,0))),"Key Artist",not(iserror(vlookup($F885,'Reference info'!$J$38:$J$405,1,0))),"Performer",not(iserror(vlookup($F885,'Reference info'!$J$10:$J$36,1,0))),"Producer &amp; Engineer")</f>
        <v/>
      </c>
    </row>
    <row r="886">
      <c r="B886" s="103"/>
      <c r="C886" s="121" t="str">
        <f t="array" ref="C886">ifs(and(isblank($A886),isblank($B886)),"", not(iserror(vlookup($A886&amp;$B886,'5) Release_Track'!$F:$F&amp;'5) Release_Track'!$G:$G,1,0))),vlookup($A886&amp;$B886,{'5) Release_Track'!$F:$F&amp;'5) Release_Track'!$G:$G,'5) Release_Track'!$H:$H},2,0), or(and(not(isblank($B886)),$B886=$B885,$A886&lt;&gt;$A885),and(not(isblank($A886)),$A886=$A885,$B886&lt;&gt;$B885)),"ID LISTS UNALIGNED",and($A886&lt;&gt;"",countif('5) Release_Track'!$F:$F,$A886)=0),"NO ISRC MATCH in Release_Track",and($B886&lt;&gt;"",countif('5) Release_Track'!$G:$G,$B886)=0),"NO CATALOG ID MATCH in Release_Track",iserror(vlookup($A886&amp;$B886,'5) Release_Track'!$F:$F&amp;'5) Release_Track'!$G:$G,1,0)),"NO ISRC-CATALOG ID pair MATCH in Release_Track" )</f>
        <v/>
      </c>
      <c r="D886" s="121" t="str">
        <f t="array" ref="D886">ifs(and(isblank($A886),isblank($B886)),"", not(iserror(vlookup($A886&amp;$B886,'5) Release_Track'!$F:$F&amp;'5) Release_Track'!$G:$G,1,0))),vlookup($A886&amp;$B886,{'5) Release_Track'!$F:$F&amp;'5) Release_Track'!$G:$G,'5) Release_Track'!$I:$I},2,0), or(and(not(isblank($B886)),$B886=$B885,$A886&lt;&gt;$A885),and(not(isblank($A886)),$A886=$A885,$B886&lt;&gt;$B885)),"ID LISTS UNALIGNED",and($A886&lt;&gt;"",countif('5) Release_Track'!$F:$F,$A886)=0),"NO ISRC MATCH in Release_Track",and($B886&lt;&gt;"",countif('5) Release_Track'!$G:$G,$B886)=0),"NO CATALOG ID MATCH in Release_Track",iserror(vlookup($A886&amp;$B886,'5) Release_Track'!$F:$F&amp;'5) Release_Track'!$G:$G,1,0)),"NO ISRC-CATALOG ID pair MATCH in Release_Track" )</f>
        <v/>
      </c>
      <c r="E886" s="99"/>
      <c r="F886" s="99"/>
      <c r="G886" s="123" t="str">
        <f t="array" ref="G886">ifs(or($F886="",$F886="Main Primary Artist"),$F886,not(iserror(vlookup($F886,'Reference info'!$J$5:$J$8,1,0))),"Key Artist",not(iserror(vlookup($F886,'Reference info'!$J$38:$J$405,1,0))),"Performer",not(iserror(vlookup($F886,'Reference info'!$J$10:$J$36,1,0))),"Producer &amp; Engineer")</f>
        <v/>
      </c>
    </row>
    <row r="887">
      <c r="B887" s="103"/>
      <c r="C887" s="121" t="str">
        <f t="array" ref="C887">ifs(and(isblank($A887),isblank($B887)),"", not(iserror(vlookup($A887&amp;$B887,'5) Release_Track'!$F:$F&amp;'5) Release_Track'!$G:$G,1,0))),vlookup($A887&amp;$B887,{'5) Release_Track'!$F:$F&amp;'5) Release_Track'!$G:$G,'5) Release_Track'!$H:$H},2,0), or(and(not(isblank($B887)),$B887=$B886,$A887&lt;&gt;$A886),and(not(isblank($A887)),$A887=$A886,$B887&lt;&gt;$B886)),"ID LISTS UNALIGNED",and($A887&lt;&gt;"",countif('5) Release_Track'!$F:$F,$A887)=0),"NO ISRC MATCH in Release_Track",and($B887&lt;&gt;"",countif('5) Release_Track'!$G:$G,$B887)=0),"NO CATALOG ID MATCH in Release_Track",iserror(vlookup($A887&amp;$B887,'5) Release_Track'!$F:$F&amp;'5) Release_Track'!$G:$G,1,0)),"NO ISRC-CATALOG ID pair MATCH in Release_Track" )</f>
        <v/>
      </c>
      <c r="D887" s="121" t="str">
        <f t="array" ref="D887">ifs(and(isblank($A887),isblank($B887)),"", not(iserror(vlookup($A887&amp;$B887,'5) Release_Track'!$F:$F&amp;'5) Release_Track'!$G:$G,1,0))),vlookup($A887&amp;$B887,{'5) Release_Track'!$F:$F&amp;'5) Release_Track'!$G:$G,'5) Release_Track'!$I:$I},2,0), or(and(not(isblank($B887)),$B887=$B886,$A887&lt;&gt;$A886),and(not(isblank($A887)),$A887=$A886,$B887&lt;&gt;$B886)),"ID LISTS UNALIGNED",and($A887&lt;&gt;"",countif('5) Release_Track'!$F:$F,$A887)=0),"NO ISRC MATCH in Release_Track",and($B887&lt;&gt;"",countif('5) Release_Track'!$G:$G,$B887)=0),"NO CATALOG ID MATCH in Release_Track",iserror(vlookup($A887&amp;$B887,'5) Release_Track'!$F:$F&amp;'5) Release_Track'!$G:$G,1,0)),"NO ISRC-CATALOG ID pair MATCH in Release_Track" )</f>
        <v/>
      </c>
      <c r="E887" s="99"/>
      <c r="F887" s="99"/>
      <c r="G887" s="123" t="str">
        <f t="array" ref="G887">ifs(or($F887="",$F887="Main Primary Artist"),$F887,not(iserror(vlookup($F887,'Reference info'!$J$5:$J$8,1,0))),"Key Artist",not(iserror(vlookup($F887,'Reference info'!$J$38:$J$405,1,0))),"Performer",not(iserror(vlookup($F887,'Reference info'!$J$10:$J$36,1,0))),"Producer &amp; Engineer")</f>
        <v/>
      </c>
    </row>
    <row r="888">
      <c r="B888" s="103"/>
      <c r="C888" s="121" t="str">
        <f t="array" ref="C888">ifs(and(isblank($A888),isblank($B888)),"", not(iserror(vlookup($A888&amp;$B888,'5) Release_Track'!$F:$F&amp;'5) Release_Track'!$G:$G,1,0))),vlookup($A888&amp;$B888,{'5) Release_Track'!$F:$F&amp;'5) Release_Track'!$G:$G,'5) Release_Track'!$H:$H},2,0), or(and(not(isblank($B888)),$B888=$B887,$A888&lt;&gt;$A887),and(not(isblank($A888)),$A888=$A887,$B888&lt;&gt;$B887)),"ID LISTS UNALIGNED",and($A888&lt;&gt;"",countif('5) Release_Track'!$F:$F,$A888)=0),"NO ISRC MATCH in Release_Track",and($B888&lt;&gt;"",countif('5) Release_Track'!$G:$G,$B888)=0),"NO CATALOG ID MATCH in Release_Track",iserror(vlookup($A888&amp;$B888,'5) Release_Track'!$F:$F&amp;'5) Release_Track'!$G:$G,1,0)),"NO ISRC-CATALOG ID pair MATCH in Release_Track" )</f>
        <v/>
      </c>
      <c r="D888" s="121" t="str">
        <f t="array" ref="D888">ifs(and(isblank($A888),isblank($B888)),"", not(iserror(vlookup($A888&amp;$B888,'5) Release_Track'!$F:$F&amp;'5) Release_Track'!$G:$G,1,0))),vlookup($A888&amp;$B888,{'5) Release_Track'!$F:$F&amp;'5) Release_Track'!$G:$G,'5) Release_Track'!$I:$I},2,0), or(and(not(isblank($B888)),$B888=$B887,$A888&lt;&gt;$A887),and(not(isblank($A888)),$A888=$A887,$B888&lt;&gt;$B887)),"ID LISTS UNALIGNED",and($A888&lt;&gt;"",countif('5) Release_Track'!$F:$F,$A888)=0),"NO ISRC MATCH in Release_Track",and($B888&lt;&gt;"",countif('5) Release_Track'!$G:$G,$B888)=0),"NO CATALOG ID MATCH in Release_Track",iserror(vlookup($A888&amp;$B888,'5) Release_Track'!$F:$F&amp;'5) Release_Track'!$G:$G,1,0)),"NO ISRC-CATALOG ID pair MATCH in Release_Track" )</f>
        <v/>
      </c>
      <c r="E888" s="99"/>
      <c r="F888" s="99"/>
      <c r="G888" s="123" t="str">
        <f t="array" ref="G888">ifs(or($F888="",$F888="Main Primary Artist"),$F888,not(iserror(vlookup($F888,'Reference info'!$J$5:$J$8,1,0))),"Key Artist",not(iserror(vlookup($F888,'Reference info'!$J$38:$J$405,1,0))),"Performer",not(iserror(vlookup($F888,'Reference info'!$J$10:$J$36,1,0))),"Producer &amp; Engineer")</f>
        <v/>
      </c>
    </row>
    <row r="889">
      <c r="B889" s="103"/>
      <c r="C889" s="121" t="str">
        <f t="array" ref="C889">ifs(and(isblank($A889),isblank($B889)),"", not(iserror(vlookup($A889&amp;$B889,'5) Release_Track'!$F:$F&amp;'5) Release_Track'!$G:$G,1,0))),vlookup($A889&amp;$B889,{'5) Release_Track'!$F:$F&amp;'5) Release_Track'!$G:$G,'5) Release_Track'!$H:$H},2,0), or(and(not(isblank($B889)),$B889=$B888,$A889&lt;&gt;$A888),and(not(isblank($A889)),$A889=$A888,$B889&lt;&gt;$B888)),"ID LISTS UNALIGNED",and($A889&lt;&gt;"",countif('5) Release_Track'!$F:$F,$A889)=0),"NO ISRC MATCH in Release_Track",and($B889&lt;&gt;"",countif('5) Release_Track'!$G:$G,$B889)=0),"NO CATALOG ID MATCH in Release_Track",iserror(vlookup($A889&amp;$B889,'5) Release_Track'!$F:$F&amp;'5) Release_Track'!$G:$G,1,0)),"NO ISRC-CATALOG ID pair MATCH in Release_Track" )</f>
        <v/>
      </c>
      <c r="D889" s="121" t="str">
        <f t="array" ref="D889">ifs(and(isblank($A889),isblank($B889)),"", not(iserror(vlookup($A889&amp;$B889,'5) Release_Track'!$F:$F&amp;'5) Release_Track'!$G:$G,1,0))),vlookup($A889&amp;$B889,{'5) Release_Track'!$F:$F&amp;'5) Release_Track'!$G:$G,'5) Release_Track'!$I:$I},2,0), or(and(not(isblank($B889)),$B889=$B888,$A889&lt;&gt;$A888),and(not(isblank($A889)),$A889=$A888,$B889&lt;&gt;$B888)),"ID LISTS UNALIGNED",and($A889&lt;&gt;"",countif('5) Release_Track'!$F:$F,$A889)=0),"NO ISRC MATCH in Release_Track",and($B889&lt;&gt;"",countif('5) Release_Track'!$G:$G,$B889)=0),"NO CATALOG ID MATCH in Release_Track",iserror(vlookup($A889&amp;$B889,'5) Release_Track'!$F:$F&amp;'5) Release_Track'!$G:$G,1,0)),"NO ISRC-CATALOG ID pair MATCH in Release_Track" )</f>
        <v/>
      </c>
      <c r="E889" s="99"/>
      <c r="F889" s="99"/>
      <c r="G889" s="123" t="str">
        <f t="array" ref="G889">ifs(or($F889="",$F889="Main Primary Artist"),$F889,not(iserror(vlookup($F889,'Reference info'!$J$5:$J$8,1,0))),"Key Artist",not(iserror(vlookup($F889,'Reference info'!$J$38:$J$405,1,0))),"Performer",not(iserror(vlookup($F889,'Reference info'!$J$10:$J$36,1,0))),"Producer &amp; Engineer")</f>
        <v/>
      </c>
    </row>
    <row r="890">
      <c r="B890" s="103"/>
      <c r="C890" s="121" t="str">
        <f t="array" ref="C890">ifs(and(isblank($A890),isblank($B890)),"", not(iserror(vlookup($A890&amp;$B890,'5) Release_Track'!$F:$F&amp;'5) Release_Track'!$G:$G,1,0))),vlookup($A890&amp;$B890,{'5) Release_Track'!$F:$F&amp;'5) Release_Track'!$G:$G,'5) Release_Track'!$H:$H},2,0), or(and(not(isblank($B890)),$B890=$B889,$A890&lt;&gt;$A889),and(not(isblank($A890)),$A890=$A889,$B890&lt;&gt;$B889)),"ID LISTS UNALIGNED",and($A890&lt;&gt;"",countif('5) Release_Track'!$F:$F,$A890)=0),"NO ISRC MATCH in Release_Track",and($B890&lt;&gt;"",countif('5) Release_Track'!$G:$G,$B890)=0),"NO CATALOG ID MATCH in Release_Track",iserror(vlookup($A890&amp;$B890,'5) Release_Track'!$F:$F&amp;'5) Release_Track'!$G:$G,1,0)),"NO ISRC-CATALOG ID pair MATCH in Release_Track" )</f>
        <v/>
      </c>
      <c r="D890" s="121" t="str">
        <f t="array" ref="D890">ifs(and(isblank($A890),isblank($B890)),"", not(iserror(vlookup($A890&amp;$B890,'5) Release_Track'!$F:$F&amp;'5) Release_Track'!$G:$G,1,0))),vlookup($A890&amp;$B890,{'5) Release_Track'!$F:$F&amp;'5) Release_Track'!$G:$G,'5) Release_Track'!$I:$I},2,0), or(and(not(isblank($B890)),$B890=$B889,$A890&lt;&gt;$A889),and(not(isblank($A890)),$A890=$A889,$B890&lt;&gt;$B889)),"ID LISTS UNALIGNED",and($A890&lt;&gt;"",countif('5) Release_Track'!$F:$F,$A890)=0),"NO ISRC MATCH in Release_Track",and($B890&lt;&gt;"",countif('5) Release_Track'!$G:$G,$B890)=0),"NO CATALOG ID MATCH in Release_Track",iserror(vlookup($A890&amp;$B890,'5) Release_Track'!$F:$F&amp;'5) Release_Track'!$G:$G,1,0)),"NO ISRC-CATALOG ID pair MATCH in Release_Track" )</f>
        <v/>
      </c>
      <c r="E890" s="99"/>
      <c r="F890" s="99"/>
      <c r="G890" s="123" t="str">
        <f t="array" ref="G890">ifs(or($F890="",$F890="Main Primary Artist"),$F890,not(iserror(vlookup($F890,'Reference info'!$J$5:$J$8,1,0))),"Key Artist",not(iserror(vlookup($F890,'Reference info'!$J$38:$J$405,1,0))),"Performer",not(iserror(vlookup($F890,'Reference info'!$J$10:$J$36,1,0))),"Producer &amp; Engineer")</f>
        <v/>
      </c>
    </row>
    <row r="891">
      <c r="B891" s="103"/>
      <c r="C891" s="121" t="str">
        <f t="array" ref="C891">ifs(and(isblank($A891),isblank($B891)),"", not(iserror(vlookup($A891&amp;$B891,'5) Release_Track'!$F:$F&amp;'5) Release_Track'!$G:$G,1,0))),vlookup($A891&amp;$B891,{'5) Release_Track'!$F:$F&amp;'5) Release_Track'!$G:$G,'5) Release_Track'!$H:$H},2,0), or(and(not(isblank($B891)),$B891=$B890,$A891&lt;&gt;$A890),and(not(isblank($A891)),$A891=$A890,$B891&lt;&gt;$B890)),"ID LISTS UNALIGNED",and($A891&lt;&gt;"",countif('5) Release_Track'!$F:$F,$A891)=0),"NO ISRC MATCH in Release_Track",and($B891&lt;&gt;"",countif('5) Release_Track'!$G:$G,$B891)=0),"NO CATALOG ID MATCH in Release_Track",iserror(vlookup($A891&amp;$B891,'5) Release_Track'!$F:$F&amp;'5) Release_Track'!$G:$G,1,0)),"NO ISRC-CATALOG ID pair MATCH in Release_Track" )</f>
        <v/>
      </c>
      <c r="D891" s="121" t="str">
        <f t="array" ref="D891">ifs(and(isblank($A891),isblank($B891)),"", not(iserror(vlookup($A891&amp;$B891,'5) Release_Track'!$F:$F&amp;'5) Release_Track'!$G:$G,1,0))),vlookup($A891&amp;$B891,{'5) Release_Track'!$F:$F&amp;'5) Release_Track'!$G:$G,'5) Release_Track'!$I:$I},2,0), or(and(not(isblank($B891)),$B891=$B890,$A891&lt;&gt;$A890),and(not(isblank($A891)),$A891=$A890,$B891&lt;&gt;$B890)),"ID LISTS UNALIGNED",and($A891&lt;&gt;"",countif('5) Release_Track'!$F:$F,$A891)=0),"NO ISRC MATCH in Release_Track",and($B891&lt;&gt;"",countif('5) Release_Track'!$G:$G,$B891)=0),"NO CATALOG ID MATCH in Release_Track",iserror(vlookup($A891&amp;$B891,'5) Release_Track'!$F:$F&amp;'5) Release_Track'!$G:$G,1,0)),"NO ISRC-CATALOG ID pair MATCH in Release_Track" )</f>
        <v/>
      </c>
      <c r="E891" s="99"/>
      <c r="F891" s="99"/>
      <c r="G891" s="123" t="str">
        <f t="array" ref="G891">ifs(or($F891="",$F891="Main Primary Artist"),$F891,not(iserror(vlookup($F891,'Reference info'!$J$5:$J$8,1,0))),"Key Artist",not(iserror(vlookup($F891,'Reference info'!$J$38:$J$405,1,0))),"Performer",not(iserror(vlookup($F891,'Reference info'!$J$10:$J$36,1,0))),"Producer &amp; Engineer")</f>
        <v/>
      </c>
    </row>
    <row r="892">
      <c r="B892" s="103"/>
      <c r="C892" s="121" t="str">
        <f t="array" ref="C892">ifs(and(isblank($A892),isblank($B892)),"", not(iserror(vlookup($A892&amp;$B892,'5) Release_Track'!$F:$F&amp;'5) Release_Track'!$G:$G,1,0))),vlookup($A892&amp;$B892,{'5) Release_Track'!$F:$F&amp;'5) Release_Track'!$G:$G,'5) Release_Track'!$H:$H},2,0), or(and(not(isblank($B892)),$B892=$B891,$A892&lt;&gt;$A891),and(not(isblank($A892)),$A892=$A891,$B892&lt;&gt;$B891)),"ID LISTS UNALIGNED",and($A892&lt;&gt;"",countif('5) Release_Track'!$F:$F,$A892)=0),"NO ISRC MATCH in Release_Track",and($B892&lt;&gt;"",countif('5) Release_Track'!$G:$G,$B892)=0),"NO CATALOG ID MATCH in Release_Track",iserror(vlookup($A892&amp;$B892,'5) Release_Track'!$F:$F&amp;'5) Release_Track'!$G:$G,1,0)),"NO ISRC-CATALOG ID pair MATCH in Release_Track" )</f>
        <v/>
      </c>
      <c r="D892" s="121" t="str">
        <f t="array" ref="D892">ifs(and(isblank($A892),isblank($B892)),"", not(iserror(vlookup($A892&amp;$B892,'5) Release_Track'!$F:$F&amp;'5) Release_Track'!$G:$G,1,0))),vlookup($A892&amp;$B892,{'5) Release_Track'!$F:$F&amp;'5) Release_Track'!$G:$G,'5) Release_Track'!$I:$I},2,0), or(and(not(isblank($B892)),$B892=$B891,$A892&lt;&gt;$A891),and(not(isblank($A892)),$A892=$A891,$B892&lt;&gt;$B891)),"ID LISTS UNALIGNED",and($A892&lt;&gt;"",countif('5) Release_Track'!$F:$F,$A892)=0),"NO ISRC MATCH in Release_Track",and($B892&lt;&gt;"",countif('5) Release_Track'!$G:$G,$B892)=0),"NO CATALOG ID MATCH in Release_Track",iserror(vlookup($A892&amp;$B892,'5) Release_Track'!$F:$F&amp;'5) Release_Track'!$G:$G,1,0)),"NO ISRC-CATALOG ID pair MATCH in Release_Track" )</f>
        <v/>
      </c>
      <c r="E892" s="99"/>
      <c r="F892" s="99"/>
      <c r="G892" s="123" t="str">
        <f t="array" ref="G892">ifs(or($F892="",$F892="Main Primary Artist"),$F892,not(iserror(vlookup($F892,'Reference info'!$J$5:$J$8,1,0))),"Key Artist",not(iserror(vlookup($F892,'Reference info'!$J$38:$J$405,1,0))),"Performer",not(iserror(vlookup($F892,'Reference info'!$J$10:$J$36,1,0))),"Producer &amp; Engineer")</f>
        <v/>
      </c>
    </row>
    <row r="893">
      <c r="B893" s="103"/>
      <c r="C893" s="121" t="str">
        <f t="array" ref="C893">ifs(and(isblank($A893),isblank($B893)),"", not(iserror(vlookup($A893&amp;$B893,'5) Release_Track'!$F:$F&amp;'5) Release_Track'!$G:$G,1,0))),vlookup($A893&amp;$B893,{'5) Release_Track'!$F:$F&amp;'5) Release_Track'!$G:$G,'5) Release_Track'!$H:$H},2,0), or(and(not(isblank($B893)),$B893=$B892,$A893&lt;&gt;$A892),and(not(isblank($A893)),$A893=$A892,$B893&lt;&gt;$B892)),"ID LISTS UNALIGNED",and($A893&lt;&gt;"",countif('5) Release_Track'!$F:$F,$A893)=0),"NO ISRC MATCH in Release_Track",and($B893&lt;&gt;"",countif('5) Release_Track'!$G:$G,$B893)=0),"NO CATALOG ID MATCH in Release_Track",iserror(vlookup($A893&amp;$B893,'5) Release_Track'!$F:$F&amp;'5) Release_Track'!$G:$G,1,0)),"NO ISRC-CATALOG ID pair MATCH in Release_Track" )</f>
        <v/>
      </c>
      <c r="D893" s="121" t="str">
        <f t="array" ref="D893">ifs(and(isblank($A893),isblank($B893)),"", not(iserror(vlookup($A893&amp;$B893,'5) Release_Track'!$F:$F&amp;'5) Release_Track'!$G:$G,1,0))),vlookup($A893&amp;$B893,{'5) Release_Track'!$F:$F&amp;'5) Release_Track'!$G:$G,'5) Release_Track'!$I:$I},2,0), or(and(not(isblank($B893)),$B893=$B892,$A893&lt;&gt;$A892),and(not(isblank($A893)),$A893=$A892,$B893&lt;&gt;$B892)),"ID LISTS UNALIGNED",and($A893&lt;&gt;"",countif('5) Release_Track'!$F:$F,$A893)=0),"NO ISRC MATCH in Release_Track",and($B893&lt;&gt;"",countif('5) Release_Track'!$G:$G,$B893)=0),"NO CATALOG ID MATCH in Release_Track",iserror(vlookup($A893&amp;$B893,'5) Release_Track'!$F:$F&amp;'5) Release_Track'!$G:$G,1,0)),"NO ISRC-CATALOG ID pair MATCH in Release_Track" )</f>
        <v/>
      </c>
      <c r="E893" s="99"/>
      <c r="F893" s="99"/>
      <c r="G893" s="123" t="str">
        <f t="array" ref="G893">ifs(or($F893="",$F893="Main Primary Artist"),$F893,not(iserror(vlookup($F893,'Reference info'!$J$5:$J$8,1,0))),"Key Artist",not(iserror(vlookup($F893,'Reference info'!$J$38:$J$405,1,0))),"Performer",not(iserror(vlookup($F893,'Reference info'!$J$10:$J$36,1,0))),"Producer &amp; Engineer")</f>
        <v/>
      </c>
    </row>
    <row r="894">
      <c r="B894" s="103"/>
      <c r="C894" s="121" t="str">
        <f t="array" ref="C894">ifs(and(isblank($A894),isblank($B894)),"", not(iserror(vlookup($A894&amp;$B894,'5) Release_Track'!$F:$F&amp;'5) Release_Track'!$G:$G,1,0))),vlookup($A894&amp;$B894,{'5) Release_Track'!$F:$F&amp;'5) Release_Track'!$G:$G,'5) Release_Track'!$H:$H},2,0), or(and(not(isblank($B894)),$B894=$B893,$A894&lt;&gt;$A893),and(not(isblank($A894)),$A894=$A893,$B894&lt;&gt;$B893)),"ID LISTS UNALIGNED",and($A894&lt;&gt;"",countif('5) Release_Track'!$F:$F,$A894)=0),"NO ISRC MATCH in Release_Track",and($B894&lt;&gt;"",countif('5) Release_Track'!$G:$G,$B894)=0),"NO CATALOG ID MATCH in Release_Track",iserror(vlookup($A894&amp;$B894,'5) Release_Track'!$F:$F&amp;'5) Release_Track'!$G:$G,1,0)),"NO ISRC-CATALOG ID pair MATCH in Release_Track" )</f>
        <v/>
      </c>
      <c r="D894" s="121" t="str">
        <f t="array" ref="D894">ifs(and(isblank($A894),isblank($B894)),"", not(iserror(vlookup($A894&amp;$B894,'5) Release_Track'!$F:$F&amp;'5) Release_Track'!$G:$G,1,0))),vlookup($A894&amp;$B894,{'5) Release_Track'!$F:$F&amp;'5) Release_Track'!$G:$G,'5) Release_Track'!$I:$I},2,0), or(and(not(isblank($B894)),$B894=$B893,$A894&lt;&gt;$A893),and(not(isblank($A894)),$A894=$A893,$B894&lt;&gt;$B893)),"ID LISTS UNALIGNED",and($A894&lt;&gt;"",countif('5) Release_Track'!$F:$F,$A894)=0),"NO ISRC MATCH in Release_Track",and($B894&lt;&gt;"",countif('5) Release_Track'!$G:$G,$B894)=0),"NO CATALOG ID MATCH in Release_Track",iserror(vlookup($A894&amp;$B894,'5) Release_Track'!$F:$F&amp;'5) Release_Track'!$G:$G,1,0)),"NO ISRC-CATALOG ID pair MATCH in Release_Track" )</f>
        <v/>
      </c>
      <c r="E894" s="99"/>
      <c r="F894" s="99"/>
      <c r="G894" s="123" t="str">
        <f t="array" ref="G894">ifs(or($F894="",$F894="Main Primary Artist"),$F894,not(iserror(vlookup($F894,'Reference info'!$J$5:$J$8,1,0))),"Key Artist",not(iserror(vlookup($F894,'Reference info'!$J$38:$J$405,1,0))),"Performer",not(iserror(vlookup($F894,'Reference info'!$J$10:$J$36,1,0))),"Producer &amp; Engineer")</f>
        <v/>
      </c>
    </row>
    <row r="895">
      <c r="B895" s="103"/>
      <c r="C895" s="121" t="str">
        <f t="array" ref="C895">ifs(and(isblank($A895),isblank($B895)),"", not(iserror(vlookup($A895&amp;$B895,'5) Release_Track'!$F:$F&amp;'5) Release_Track'!$G:$G,1,0))),vlookup($A895&amp;$B895,{'5) Release_Track'!$F:$F&amp;'5) Release_Track'!$G:$G,'5) Release_Track'!$H:$H},2,0), or(and(not(isblank($B895)),$B895=$B894,$A895&lt;&gt;$A894),and(not(isblank($A895)),$A895=$A894,$B895&lt;&gt;$B894)),"ID LISTS UNALIGNED",and($A895&lt;&gt;"",countif('5) Release_Track'!$F:$F,$A895)=0),"NO ISRC MATCH in Release_Track",and($B895&lt;&gt;"",countif('5) Release_Track'!$G:$G,$B895)=0),"NO CATALOG ID MATCH in Release_Track",iserror(vlookup($A895&amp;$B895,'5) Release_Track'!$F:$F&amp;'5) Release_Track'!$G:$G,1,0)),"NO ISRC-CATALOG ID pair MATCH in Release_Track" )</f>
        <v/>
      </c>
      <c r="D895" s="121" t="str">
        <f t="array" ref="D895">ifs(and(isblank($A895),isblank($B895)),"", not(iserror(vlookup($A895&amp;$B895,'5) Release_Track'!$F:$F&amp;'5) Release_Track'!$G:$G,1,0))),vlookup($A895&amp;$B895,{'5) Release_Track'!$F:$F&amp;'5) Release_Track'!$G:$G,'5) Release_Track'!$I:$I},2,0), or(and(not(isblank($B895)),$B895=$B894,$A895&lt;&gt;$A894),and(not(isblank($A895)),$A895=$A894,$B895&lt;&gt;$B894)),"ID LISTS UNALIGNED",and($A895&lt;&gt;"",countif('5) Release_Track'!$F:$F,$A895)=0),"NO ISRC MATCH in Release_Track",and($B895&lt;&gt;"",countif('5) Release_Track'!$G:$G,$B895)=0),"NO CATALOG ID MATCH in Release_Track",iserror(vlookup($A895&amp;$B895,'5) Release_Track'!$F:$F&amp;'5) Release_Track'!$G:$G,1,0)),"NO ISRC-CATALOG ID pair MATCH in Release_Track" )</f>
        <v/>
      </c>
      <c r="E895" s="99"/>
      <c r="F895" s="99"/>
      <c r="G895" s="123" t="str">
        <f t="array" ref="G895">ifs(or($F895="",$F895="Main Primary Artist"),$F895,not(iserror(vlookup($F895,'Reference info'!$J$5:$J$8,1,0))),"Key Artist",not(iserror(vlookup($F895,'Reference info'!$J$38:$J$405,1,0))),"Performer",not(iserror(vlookup($F895,'Reference info'!$J$10:$J$36,1,0))),"Producer &amp; Engineer")</f>
        <v/>
      </c>
    </row>
    <row r="896">
      <c r="B896" s="103"/>
      <c r="C896" s="121" t="str">
        <f t="array" ref="C896">ifs(and(isblank($A896),isblank($B896)),"", not(iserror(vlookup($A896&amp;$B896,'5) Release_Track'!$F:$F&amp;'5) Release_Track'!$G:$G,1,0))),vlookup($A896&amp;$B896,{'5) Release_Track'!$F:$F&amp;'5) Release_Track'!$G:$G,'5) Release_Track'!$H:$H},2,0), or(and(not(isblank($B896)),$B896=$B895,$A896&lt;&gt;$A895),and(not(isblank($A896)),$A896=$A895,$B896&lt;&gt;$B895)),"ID LISTS UNALIGNED",and($A896&lt;&gt;"",countif('5) Release_Track'!$F:$F,$A896)=0),"NO ISRC MATCH in Release_Track",and($B896&lt;&gt;"",countif('5) Release_Track'!$G:$G,$B896)=0),"NO CATALOG ID MATCH in Release_Track",iserror(vlookup($A896&amp;$B896,'5) Release_Track'!$F:$F&amp;'5) Release_Track'!$G:$G,1,0)),"NO ISRC-CATALOG ID pair MATCH in Release_Track" )</f>
        <v/>
      </c>
      <c r="D896" s="121" t="str">
        <f t="array" ref="D896">ifs(and(isblank($A896),isblank($B896)),"", not(iserror(vlookup($A896&amp;$B896,'5) Release_Track'!$F:$F&amp;'5) Release_Track'!$G:$G,1,0))),vlookup($A896&amp;$B896,{'5) Release_Track'!$F:$F&amp;'5) Release_Track'!$G:$G,'5) Release_Track'!$I:$I},2,0), or(and(not(isblank($B896)),$B896=$B895,$A896&lt;&gt;$A895),and(not(isblank($A896)),$A896=$A895,$B896&lt;&gt;$B895)),"ID LISTS UNALIGNED",and($A896&lt;&gt;"",countif('5) Release_Track'!$F:$F,$A896)=0),"NO ISRC MATCH in Release_Track",and($B896&lt;&gt;"",countif('5) Release_Track'!$G:$G,$B896)=0),"NO CATALOG ID MATCH in Release_Track",iserror(vlookup($A896&amp;$B896,'5) Release_Track'!$F:$F&amp;'5) Release_Track'!$G:$G,1,0)),"NO ISRC-CATALOG ID pair MATCH in Release_Track" )</f>
        <v/>
      </c>
      <c r="E896" s="99"/>
      <c r="F896" s="99"/>
      <c r="G896" s="123" t="str">
        <f t="array" ref="G896">ifs(or($F896="",$F896="Main Primary Artist"),$F896,not(iserror(vlookup($F896,'Reference info'!$J$5:$J$8,1,0))),"Key Artist",not(iserror(vlookup($F896,'Reference info'!$J$38:$J$405,1,0))),"Performer",not(iserror(vlookup($F896,'Reference info'!$J$10:$J$36,1,0))),"Producer &amp; Engineer")</f>
        <v/>
      </c>
    </row>
    <row r="897">
      <c r="B897" s="103"/>
      <c r="C897" s="121" t="str">
        <f t="array" ref="C897">ifs(and(isblank($A897),isblank($B897)),"", not(iserror(vlookup($A897&amp;$B897,'5) Release_Track'!$F:$F&amp;'5) Release_Track'!$G:$G,1,0))),vlookup($A897&amp;$B897,{'5) Release_Track'!$F:$F&amp;'5) Release_Track'!$G:$G,'5) Release_Track'!$H:$H},2,0), or(and(not(isblank($B897)),$B897=$B896,$A897&lt;&gt;$A896),and(not(isblank($A897)),$A897=$A896,$B897&lt;&gt;$B896)),"ID LISTS UNALIGNED",and($A897&lt;&gt;"",countif('5) Release_Track'!$F:$F,$A897)=0),"NO ISRC MATCH in Release_Track",and($B897&lt;&gt;"",countif('5) Release_Track'!$G:$G,$B897)=0),"NO CATALOG ID MATCH in Release_Track",iserror(vlookup($A897&amp;$B897,'5) Release_Track'!$F:$F&amp;'5) Release_Track'!$G:$G,1,0)),"NO ISRC-CATALOG ID pair MATCH in Release_Track" )</f>
        <v/>
      </c>
      <c r="D897" s="121" t="str">
        <f t="array" ref="D897">ifs(and(isblank($A897),isblank($B897)),"", not(iserror(vlookup($A897&amp;$B897,'5) Release_Track'!$F:$F&amp;'5) Release_Track'!$G:$G,1,0))),vlookup($A897&amp;$B897,{'5) Release_Track'!$F:$F&amp;'5) Release_Track'!$G:$G,'5) Release_Track'!$I:$I},2,0), or(and(not(isblank($B897)),$B897=$B896,$A897&lt;&gt;$A896),and(not(isblank($A897)),$A897=$A896,$B897&lt;&gt;$B896)),"ID LISTS UNALIGNED",and($A897&lt;&gt;"",countif('5) Release_Track'!$F:$F,$A897)=0),"NO ISRC MATCH in Release_Track",and($B897&lt;&gt;"",countif('5) Release_Track'!$G:$G,$B897)=0),"NO CATALOG ID MATCH in Release_Track",iserror(vlookup($A897&amp;$B897,'5) Release_Track'!$F:$F&amp;'5) Release_Track'!$G:$G,1,0)),"NO ISRC-CATALOG ID pair MATCH in Release_Track" )</f>
        <v/>
      </c>
      <c r="E897" s="99"/>
      <c r="F897" s="99"/>
      <c r="G897" s="123" t="str">
        <f t="array" ref="G897">ifs(or($F897="",$F897="Main Primary Artist"),$F897,not(iserror(vlookup($F897,'Reference info'!$J$5:$J$8,1,0))),"Key Artist",not(iserror(vlookup($F897,'Reference info'!$J$38:$J$405,1,0))),"Performer",not(iserror(vlookup($F897,'Reference info'!$J$10:$J$36,1,0))),"Producer &amp; Engineer")</f>
        <v/>
      </c>
    </row>
    <row r="898">
      <c r="B898" s="103"/>
      <c r="C898" s="121" t="str">
        <f t="array" ref="C898">ifs(and(isblank($A898),isblank($B898)),"", not(iserror(vlookup($A898&amp;$B898,'5) Release_Track'!$F:$F&amp;'5) Release_Track'!$G:$G,1,0))),vlookup($A898&amp;$B898,{'5) Release_Track'!$F:$F&amp;'5) Release_Track'!$G:$G,'5) Release_Track'!$H:$H},2,0), or(and(not(isblank($B898)),$B898=$B897,$A898&lt;&gt;$A897),and(not(isblank($A898)),$A898=$A897,$B898&lt;&gt;$B897)),"ID LISTS UNALIGNED",and($A898&lt;&gt;"",countif('5) Release_Track'!$F:$F,$A898)=0),"NO ISRC MATCH in Release_Track",and($B898&lt;&gt;"",countif('5) Release_Track'!$G:$G,$B898)=0),"NO CATALOG ID MATCH in Release_Track",iserror(vlookup($A898&amp;$B898,'5) Release_Track'!$F:$F&amp;'5) Release_Track'!$G:$G,1,0)),"NO ISRC-CATALOG ID pair MATCH in Release_Track" )</f>
        <v/>
      </c>
      <c r="D898" s="121" t="str">
        <f t="array" ref="D898">ifs(and(isblank($A898),isblank($B898)),"", not(iserror(vlookup($A898&amp;$B898,'5) Release_Track'!$F:$F&amp;'5) Release_Track'!$G:$G,1,0))),vlookup($A898&amp;$B898,{'5) Release_Track'!$F:$F&amp;'5) Release_Track'!$G:$G,'5) Release_Track'!$I:$I},2,0), or(and(not(isblank($B898)),$B898=$B897,$A898&lt;&gt;$A897),and(not(isblank($A898)),$A898=$A897,$B898&lt;&gt;$B897)),"ID LISTS UNALIGNED",and($A898&lt;&gt;"",countif('5) Release_Track'!$F:$F,$A898)=0),"NO ISRC MATCH in Release_Track",and($B898&lt;&gt;"",countif('5) Release_Track'!$G:$G,$B898)=0),"NO CATALOG ID MATCH in Release_Track",iserror(vlookup($A898&amp;$B898,'5) Release_Track'!$F:$F&amp;'5) Release_Track'!$G:$G,1,0)),"NO ISRC-CATALOG ID pair MATCH in Release_Track" )</f>
        <v/>
      </c>
      <c r="E898" s="99"/>
      <c r="F898" s="99"/>
      <c r="G898" s="123" t="str">
        <f t="array" ref="G898">ifs(or($F898="",$F898="Main Primary Artist"),$F898,not(iserror(vlookup($F898,'Reference info'!$J$5:$J$8,1,0))),"Key Artist",not(iserror(vlookup($F898,'Reference info'!$J$38:$J$405,1,0))),"Performer",not(iserror(vlookup($F898,'Reference info'!$J$10:$J$36,1,0))),"Producer &amp; Engineer")</f>
        <v/>
      </c>
    </row>
    <row r="899">
      <c r="B899" s="103"/>
      <c r="C899" s="121" t="str">
        <f t="array" ref="C899">ifs(and(isblank($A899),isblank($B899)),"", not(iserror(vlookup($A899&amp;$B899,'5) Release_Track'!$F:$F&amp;'5) Release_Track'!$G:$G,1,0))),vlookup($A899&amp;$B899,{'5) Release_Track'!$F:$F&amp;'5) Release_Track'!$G:$G,'5) Release_Track'!$H:$H},2,0), or(and(not(isblank($B899)),$B899=$B898,$A899&lt;&gt;$A898),and(not(isblank($A899)),$A899=$A898,$B899&lt;&gt;$B898)),"ID LISTS UNALIGNED",and($A899&lt;&gt;"",countif('5) Release_Track'!$F:$F,$A899)=0),"NO ISRC MATCH in Release_Track",and($B899&lt;&gt;"",countif('5) Release_Track'!$G:$G,$B899)=0),"NO CATALOG ID MATCH in Release_Track",iserror(vlookup($A899&amp;$B899,'5) Release_Track'!$F:$F&amp;'5) Release_Track'!$G:$G,1,0)),"NO ISRC-CATALOG ID pair MATCH in Release_Track" )</f>
        <v/>
      </c>
      <c r="D899" s="121" t="str">
        <f t="array" ref="D899">ifs(and(isblank($A899),isblank($B899)),"", not(iserror(vlookup($A899&amp;$B899,'5) Release_Track'!$F:$F&amp;'5) Release_Track'!$G:$G,1,0))),vlookup($A899&amp;$B899,{'5) Release_Track'!$F:$F&amp;'5) Release_Track'!$G:$G,'5) Release_Track'!$I:$I},2,0), or(and(not(isblank($B899)),$B899=$B898,$A899&lt;&gt;$A898),and(not(isblank($A899)),$A899=$A898,$B899&lt;&gt;$B898)),"ID LISTS UNALIGNED",and($A899&lt;&gt;"",countif('5) Release_Track'!$F:$F,$A899)=0),"NO ISRC MATCH in Release_Track",and($B899&lt;&gt;"",countif('5) Release_Track'!$G:$G,$B899)=0),"NO CATALOG ID MATCH in Release_Track",iserror(vlookup($A899&amp;$B899,'5) Release_Track'!$F:$F&amp;'5) Release_Track'!$G:$G,1,0)),"NO ISRC-CATALOG ID pair MATCH in Release_Track" )</f>
        <v/>
      </c>
      <c r="E899" s="99"/>
      <c r="F899" s="99"/>
      <c r="G899" s="123" t="str">
        <f t="array" ref="G899">ifs(or($F899="",$F899="Main Primary Artist"),$F899,not(iserror(vlookup($F899,'Reference info'!$J$5:$J$8,1,0))),"Key Artist",not(iserror(vlookup($F899,'Reference info'!$J$38:$J$405,1,0))),"Performer",not(iserror(vlookup($F899,'Reference info'!$J$10:$J$36,1,0))),"Producer &amp; Engineer")</f>
        <v/>
      </c>
    </row>
    <row r="900">
      <c r="B900" s="103"/>
      <c r="C900" s="121" t="str">
        <f t="array" ref="C900">ifs(and(isblank($A900),isblank($B900)),"", not(iserror(vlookup($A900&amp;$B900,'5) Release_Track'!$F:$F&amp;'5) Release_Track'!$G:$G,1,0))),vlookup($A900&amp;$B900,{'5) Release_Track'!$F:$F&amp;'5) Release_Track'!$G:$G,'5) Release_Track'!$H:$H},2,0), or(and(not(isblank($B900)),$B900=$B899,$A900&lt;&gt;$A899),and(not(isblank($A900)),$A900=$A899,$B900&lt;&gt;$B899)),"ID LISTS UNALIGNED",and($A900&lt;&gt;"",countif('5) Release_Track'!$F:$F,$A900)=0),"NO ISRC MATCH in Release_Track",and($B900&lt;&gt;"",countif('5) Release_Track'!$G:$G,$B900)=0),"NO CATALOG ID MATCH in Release_Track",iserror(vlookup($A900&amp;$B900,'5) Release_Track'!$F:$F&amp;'5) Release_Track'!$G:$G,1,0)),"NO ISRC-CATALOG ID pair MATCH in Release_Track" )</f>
        <v/>
      </c>
      <c r="D900" s="121" t="str">
        <f t="array" ref="D900">ifs(and(isblank($A900),isblank($B900)),"", not(iserror(vlookup($A900&amp;$B900,'5) Release_Track'!$F:$F&amp;'5) Release_Track'!$G:$G,1,0))),vlookup($A900&amp;$B900,{'5) Release_Track'!$F:$F&amp;'5) Release_Track'!$G:$G,'5) Release_Track'!$I:$I},2,0), or(and(not(isblank($B900)),$B900=$B899,$A900&lt;&gt;$A899),and(not(isblank($A900)),$A900=$A899,$B900&lt;&gt;$B899)),"ID LISTS UNALIGNED",and($A900&lt;&gt;"",countif('5) Release_Track'!$F:$F,$A900)=0),"NO ISRC MATCH in Release_Track",and($B900&lt;&gt;"",countif('5) Release_Track'!$G:$G,$B900)=0),"NO CATALOG ID MATCH in Release_Track",iserror(vlookup($A900&amp;$B900,'5) Release_Track'!$F:$F&amp;'5) Release_Track'!$G:$G,1,0)),"NO ISRC-CATALOG ID pair MATCH in Release_Track" )</f>
        <v/>
      </c>
      <c r="E900" s="99"/>
      <c r="F900" s="99"/>
      <c r="G900" s="123" t="str">
        <f t="array" ref="G900">ifs(or($F900="",$F900="Main Primary Artist"),$F900,not(iserror(vlookup($F900,'Reference info'!$J$5:$J$8,1,0))),"Key Artist",not(iserror(vlookup($F900,'Reference info'!$J$38:$J$405,1,0))),"Performer",not(iserror(vlookup($F900,'Reference info'!$J$10:$J$36,1,0))),"Producer &amp; Engineer")</f>
        <v/>
      </c>
    </row>
    <row r="901">
      <c r="B901" s="103"/>
      <c r="C901" s="121" t="str">
        <f t="array" ref="C901">ifs(and(isblank($A901),isblank($B901)),"", not(iserror(vlookup($A901&amp;$B901,'5) Release_Track'!$F:$F&amp;'5) Release_Track'!$G:$G,1,0))),vlookup($A901&amp;$B901,{'5) Release_Track'!$F:$F&amp;'5) Release_Track'!$G:$G,'5) Release_Track'!$H:$H},2,0), or(and(not(isblank($B901)),$B901=$B900,$A901&lt;&gt;$A900),and(not(isblank($A901)),$A901=$A900,$B901&lt;&gt;$B900)),"ID LISTS UNALIGNED",and($A901&lt;&gt;"",countif('5) Release_Track'!$F:$F,$A901)=0),"NO ISRC MATCH in Release_Track",and($B901&lt;&gt;"",countif('5) Release_Track'!$G:$G,$B901)=0),"NO CATALOG ID MATCH in Release_Track",iserror(vlookup($A901&amp;$B901,'5) Release_Track'!$F:$F&amp;'5) Release_Track'!$G:$G,1,0)),"NO ISRC-CATALOG ID pair MATCH in Release_Track" )</f>
        <v/>
      </c>
      <c r="D901" s="121" t="str">
        <f t="array" ref="D901">ifs(and(isblank($A901),isblank($B901)),"", not(iserror(vlookup($A901&amp;$B901,'5) Release_Track'!$F:$F&amp;'5) Release_Track'!$G:$G,1,0))),vlookup($A901&amp;$B901,{'5) Release_Track'!$F:$F&amp;'5) Release_Track'!$G:$G,'5) Release_Track'!$I:$I},2,0), or(and(not(isblank($B901)),$B901=$B900,$A901&lt;&gt;$A900),and(not(isblank($A901)),$A901=$A900,$B901&lt;&gt;$B900)),"ID LISTS UNALIGNED",and($A901&lt;&gt;"",countif('5) Release_Track'!$F:$F,$A901)=0),"NO ISRC MATCH in Release_Track",and($B901&lt;&gt;"",countif('5) Release_Track'!$G:$G,$B901)=0),"NO CATALOG ID MATCH in Release_Track",iserror(vlookup($A901&amp;$B901,'5) Release_Track'!$F:$F&amp;'5) Release_Track'!$G:$G,1,0)),"NO ISRC-CATALOG ID pair MATCH in Release_Track" )</f>
        <v/>
      </c>
      <c r="E901" s="99"/>
      <c r="F901" s="99"/>
      <c r="G901" s="123" t="str">
        <f t="array" ref="G901">ifs(or($F901="",$F901="Main Primary Artist"),$F901,not(iserror(vlookup($F901,'Reference info'!$J$5:$J$8,1,0))),"Key Artist",not(iserror(vlookup($F901,'Reference info'!$J$38:$J$405,1,0))),"Performer",not(iserror(vlookup($F901,'Reference info'!$J$10:$J$36,1,0))),"Producer &amp; Engineer")</f>
        <v/>
      </c>
    </row>
    <row r="902">
      <c r="B902" s="103"/>
      <c r="C902" s="121" t="str">
        <f t="array" ref="C902">ifs(and(isblank($A902),isblank($B902)),"", not(iserror(vlookup($A902&amp;$B902,'5) Release_Track'!$F:$F&amp;'5) Release_Track'!$G:$G,1,0))),vlookup($A902&amp;$B902,{'5) Release_Track'!$F:$F&amp;'5) Release_Track'!$G:$G,'5) Release_Track'!$H:$H},2,0), or(and(not(isblank($B902)),$B902=$B901,$A902&lt;&gt;$A901),and(not(isblank($A902)),$A902=$A901,$B902&lt;&gt;$B901)),"ID LISTS UNALIGNED",and($A902&lt;&gt;"",countif('5) Release_Track'!$F:$F,$A902)=0),"NO ISRC MATCH in Release_Track",and($B902&lt;&gt;"",countif('5) Release_Track'!$G:$G,$B902)=0),"NO CATALOG ID MATCH in Release_Track",iserror(vlookup($A902&amp;$B902,'5) Release_Track'!$F:$F&amp;'5) Release_Track'!$G:$G,1,0)),"NO ISRC-CATALOG ID pair MATCH in Release_Track" )</f>
        <v/>
      </c>
      <c r="D902" s="121" t="str">
        <f t="array" ref="D902">ifs(and(isblank($A902),isblank($B902)),"", not(iserror(vlookup($A902&amp;$B902,'5) Release_Track'!$F:$F&amp;'5) Release_Track'!$G:$G,1,0))),vlookup($A902&amp;$B902,{'5) Release_Track'!$F:$F&amp;'5) Release_Track'!$G:$G,'5) Release_Track'!$I:$I},2,0), or(and(not(isblank($B902)),$B902=$B901,$A902&lt;&gt;$A901),and(not(isblank($A902)),$A902=$A901,$B902&lt;&gt;$B901)),"ID LISTS UNALIGNED",and($A902&lt;&gt;"",countif('5) Release_Track'!$F:$F,$A902)=0),"NO ISRC MATCH in Release_Track",and($B902&lt;&gt;"",countif('5) Release_Track'!$G:$G,$B902)=0),"NO CATALOG ID MATCH in Release_Track",iserror(vlookup($A902&amp;$B902,'5) Release_Track'!$F:$F&amp;'5) Release_Track'!$G:$G,1,0)),"NO ISRC-CATALOG ID pair MATCH in Release_Track" )</f>
        <v/>
      </c>
      <c r="E902" s="99"/>
      <c r="F902" s="99"/>
      <c r="G902" s="123" t="str">
        <f t="array" ref="G902">ifs(or($F902="",$F902="Main Primary Artist"),$F902,not(iserror(vlookup($F902,'Reference info'!$J$5:$J$8,1,0))),"Key Artist",not(iserror(vlookup($F902,'Reference info'!$J$38:$J$405,1,0))),"Performer",not(iserror(vlookup($F902,'Reference info'!$J$10:$J$36,1,0))),"Producer &amp; Engineer")</f>
        <v/>
      </c>
    </row>
    <row r="903">
      <c r="B903" s="103"/>
      <c r="C903" s="121" t="str">
        <f t="array" ref="C903">ifs(and(isblank($A903),isblank($B903)),"", not(iserror(vlookup($A903&amp;$B903,'5) Release_Track'!$F:$F&amp;'5) Release_Track'!$G:$G,1,0))),vlookup($A903&amp;$B903,{'5) Release_Track'!$F:$F&amp;'5) Release_Track'!$G:$G,'5) Release_Track'!$H:$H},2,0), or(and(not(isblank($B903)),$B903=$B902,$A903&lt;&gt;$A902),and(not(isblank($A903)),$A903=$A902,$B903&lt;&gt;$B902)),"ID LISTS UNALIGNED",and($A903&lt;&gt;"",countif('5) Release_Track'!$F:$F,$A903)=0),"NO ISRC MATCH in Release_Track",and($B903&lt;&gt;"",countif('5) Release_Track'!$G:$G,$B903)=0),"NO CATALOG ID MATCH in Release_Track",iserror(vlookup($A903&amp;$B903,'5) Release_Track'!$F:$F&amp;'5) Release_Track'!$G:$G,1,0)),"NO ISRC-CATALOG ID pair MATCH in Release_Track" )</f>
        <v/>
      </c>
      <c r="D903" s="121" t="str">
        <f t="array" ref="D903">ifs(and(isblank($A903),isblank($B903)),"", not(iserror(vlookup($A903&amp;$B903,'5) Release_Track'!$F:$F&amp;'5) Release_Track'!$G:$G,1,0))),vlookup($A903&amp;$B903,{'5) Release_Track'!$F:$F&amp;'5) Release_Track'!$G:$G,'5) Release_Track'!$I:$I},2,0), or(and(not(isblank($B903)),$B903=$B902,$A903&lt;&gt;$A902),and(not(isblank($A903)),$A903=$A902,$B903&lt;&gt;$B902)),"ID LISTS UNALIGNED",and($A903&lt;&gt;"",countif('5) Release_Track'!$F:$F,$A903)=0),"NO ISRC MATCH in Release_Track",and($B903&lt;&gt;"",countif('5) Release_Track'!$G:$G,$B903)=0),"NO CATALOG ID MATCH in Release_Track",iserror(vlookup($A903&amp;$B903,'5) Release_Track'!$F:$F&amp;'5) Release_Track'!$G:$G,1,0)),"NO ISRC-CATALOG ID pair MATCH in Release_Track" )</f>
        <v/>
      </c>
      <c r="E903" s="99"/>
      <c r="F903" s="99"/>
      <c r="G903" s="123" t="str">
        <f t="array" ref="G903">ifs(or($F903="",$F903="Main Primary Artist"),$F903,not(iserror(vlookup($F903,'Reference info'!$J$5:$J$8,1,0))),"Key Artist",not(iserror(vlookup($F903,'Reference info'!$J$38:$J$405,1,0))),"Performer",not(iserror(vlookup($F903,'Reference info'!$J$10:$J$36,1,0))),"Producer &amp; Engineer")</f>
        <v/>
      </c>
    </row>
    <row r="904">
      <c r="B904" s="103"/>
      <c r="C904" s="121"/>
      <c r="D904" s="121"/>
      <c r="E904" s="99"/>
      <c r="F904" s="99"/>
      <c r="G904" s="123" t="str">
        <f t="array" ref="G904">ifs(or($F904="",$F904="Main Primary Artist"),$F904,not(iserror(vlookup($F904,'Reference info'!$J$5:$J$8,1,0))),"Key Artist",not(iserror(vlookup($F904,'Reference info'!$J$38:$J$405,1,0))),"Performer",not(iserror(vlookup($F904,'Reference info'!$J$10:$J$36,1,0))),"Producer &amp; Engineer")</f>
        <v/>
      </c>
    </row>
    <row r="905">
      <c r="B905" s="103"/>
      <c r="C905" s="121"/>
      <c r="D905" s="121"/>
      <c r="E905" s="99"/>
      <c r="F905" s="99"/>
      <c r="G905" s="123" t="str">
        <f t="array" ref="G905">ifs(or($F905="",$F905="Main Primary Artist"),$F905,not(iserror(vlookup($F905,'Reference info'!$J$5:$J$8,1,0))),"Key Artist",not(iserror(vlookup($F905,'Reference info'!$J$38:$J$405,1,0))),"Performer",not(iserror(vlookup($F905,'Reference info'!$J$10:$J$36,1,0))),"Producer &amp; Engineer")</f>
        <v/>
      </c>
    </row>
    <row r="906">
      <c r="B906" s="103"/>
      <c r="C906" s="121"/>
      <c r="D906" s="121"/>
      <c r="E906" s="99"/>
      <c r="F906" s="99"/>
      <c r="G906" s="123" t="str">
        <f t="array" ref="G906">ifs(or($F906="",$F906="Main Primary Artist"),$F906,not(iserror(vlookup($F906,'Reference info'!$J$5:$J$8,1,0))),"Key Artist",not(iserror(vlookup($F906,'Reference info'!$J$38:$J$405,1,0))),"Performer",not(iserror(vlookup($F906,'Reference info'!$J$10:$J$36,1,0))),"Producer &amp; Engineer")</f>
        <v/>
      </c>
    </row>
    <row r="907">
      <c r="B907" s="103"/>
      <c r="C907" s="121"/>
      <c r="D907" s="121"/>
      <c r="E907" s="99"/>
      <c r="F907" s="99"/>
      <c r="G907" s="123" t="str">
        <f t="array" ref="G907">ifs(or($F907="",$F907="Main Primary Artist"),$F907,not(iserror(vlookup($F907,'Reference info'!$J$5:$J$8,1,0))),"Key Artist",not(iserror(vlookup($F907,'Reference info'!$J$38:$J$405,1,0))),"Performer",not(iserror(vlookup($F907,'Reference info'!$J$10:$J$36,1,0))),"Producer &amp; Engineer")</f>
        <v/>
      </c>
    </row>
    <row r="908">
      <c r="B908" s="103"/>
      <c r="C908" s="121"/>
      <c r="D908" s="121"/>
      <c r="E908" s="99"/>
      <c r="F908" s="99"/>
      <c r="G908" s="123" t="str">
        <f t="array" ref="G908">ifs(or($F908="",$F908="Main Primary Artist"),$F908,not(iserror(vlookup($F908,'Reference info'!$J$5:$J$8,1,0))),"Key Artist",not(iserror(vlookup($F908,'Reference info'!$J$38:$J$405,1,0))),"Performer",not(iserror(vlookup($F908,'Reference info'!$J$10:$J$36,1,0))),"Producer &amp; Engineer")</f>
        <v/>
      </c>
    </row>
    <row r="909">
      <c r="B909" s="103"/>
      <c r="C909" s="121"/>
      <c r="D909" s="121"/>
      <c r="E909" s="99"/>
      <c r="F909" s="99"/>
      <c r="G909" s="123" t="str">
        <f t="array" ref="G909">ifs(or($F909="",$F909="Main Primary Artist"),$F909,not(iserror(vlookup($F909,'Reference info'!$J$5:$J$8,1,0))),"Key Artist",not(iserror(vlookup($F909,'Reference info'!$J$38:$J$405,1,0))),"Performer",not(iserror(vlookup($F909,'Reference info'!$J$10:$J$36,1,0))),"Producer &amp; Engineer")</f>
        <v/>
      </c>
    </row>
    <row r="910">
      <c r="B910" s="103"/>
      <c r="C910" s="121"/>
      <c r="D910" s="121"/>
      <c r="E910" s="99"/>
      <c r="F910" s="99"/>
      <c r="G910" s="123" t="str">
        <f t="array" ref="G910">ifs(or($F910="",$F910="Main Primary Artist"),$F910,not(iserror(vlookup($F910,'Reference info'!$J$5:$J$8,1,0))),"Key Artist",not(iserror(vlookup($F910,'Reference info'!$J$38:$J$405,1,0))),"Performer",not(iserror(vlookup($F910,'Reference info'!$J$10:$J$36,1,0))),"Producer &amp; Engineer")</f>
        <v/>
      </c>
    </row>
    <row r="911">
      <c r="B911" s="103"/>
      <c r="C911" s="121"/>
      <c r="D911" s="121"/>
      <c r="E911" s="99"/>
      <c r="F911" s="99"/>
      <c r="G911" s="123" t="str">
        <f t="array" ref="G911">ifs(or($F911="",$F911="Main Primary Artist"),$F911,not(iserror(vlookup($F911,'Reference info'!$J$5:$J$8,1,0))),"Key Artist",not(iserror(vlookup($F911,'Reference info'!$J$38:$J$405,1,0))),"Performer",not(iserror(vlookup($F911,'Reference info'!$J$10:$J$36,1,0))),"Producer &amp; Engineer")</f>
        <v/>
      </c>
    </row>
    <row r="912">
      <c r="B912" s="103"/>
      <c r="C912" s="121"/>
      <c r="D912" s="121"/>
      <c r="E912" s="99"/>
      <c r="F912" s="99"/>
      <c r="G912" s="123" t="str">
        <f t="array" ref="G912">ifs(or($F912="",$F912="Main Primary Artist"),$F912,not(iserror(vlookup($F912,'Reference info'!$J$5:$J$8,1,0))),"Key Artist",not(iserror(vlookup($F912,'Reference info'!$J$38:$J$405,1,0))),"Performer",not(iserror(vlookup($F912,'Reference info'!$J$10:$J$36,1,0))),"Producer &amp; Engineer")</f>
        <v/>
      </c>
    </row>
  </sheetData>
  <mergeCells count="1">
    <mergeCell ref="C4:D4"/>
  </mergeCells>
  <conditionalFormatting sqref="E178:E247">
    <cfRule type="expression" dxfId="0" priority="1">
      <formula>or(and(or(not(isblank(A178)),not(isblank(B178))),isblank(E178)),and(not(isblank(E178)),iserror(match(E178,indirect("'1) Artists list'!a:a"),0))))</formula>
    </cfRule>
  </conditionalFormatting>
  <conditionalFormatting sqref="A1:B1 G1 H3 H4">
    <cfRule type="cellIs" dxfId="3" priority="2" operator="notEqual">
      <formula>0</formula>
    </cfRule>
  </conditionalFormatting>
  <conditionalFormatting sqref="E5:E912">
    <cfRule type="expression" dxfId="0" priority="3">
      <formula>or(E5="Various Artists",and(or(not(isblank(A5)),not(isblank(B5))),isblank(E5)),and(not(isblank(E5)),iserror(match(E5,indirect("'1) Artists list'!a:a"),0))))</formula>
    </cfRule>
  </conditionalFormatting>
  <conditionalFormatting sqref="F5:F912">
    <cfRule type="expression" dxfId="0" priority="4">
      <formula>or(and(or(A5&lt;&gt;"",B5&lt;&gt;""),isblank(F5)),and(F5&lt;&gt;"", iserror(match(F5,indirect("'Reference info'!j:j"),0))))</formula>
    </cfRule>
  </conditionalFormatting>
  <conditionalFormatting sqref="F5:F912">
    <cfRule type="expression" dxfId="3" priority="5">
      <formula>or(and(A5&lt;&gt;"",A5=A6,F5="Main Primary Artist",F5=F6),and(B5&lt;&gt;"",B5=B6,F5="Main Primary Artist",F5=F6),and(A5&lt;&gt;"",A5=A4,F5="Main Primary Artist",F5=F4),and(B5&lt;&gt;"",B5=B4,F5="Main Primary Artist",F5=F4))</formula>
    </cfRule>
  </conditionalFormatting>
  <conditionalFormatting sqref="A5:A177 A262:A912">
    <cfRule type="expression" dxfId="5" priority="6">
      <formula>and(A5&lt;&gt;"",B5&lt;&gt;"",countif(A:A,A5)&lt;&gt;countif(B:B,B5))</formula>
    </cfRule>
  </conditionalFormatting>
  <conditionalFormatting sqref="B5:B177 B262:B912">
    <cfRule type="expression" dxfId="5" priority="7">
      <formula>and(A5&lt;&gt;"",B5&lt;&gt;"",countif(A:A,A5)&lt;&gt;countif(B:B,B5))</formula>
    </cfRule>
  </conditionalFormatting>
  <conditionalFormatting sqref="A5:A177 A262:A912">
    <cfRule type="expression" dxfId="3" priority="8">
      <formula>COUNTIFS($A$5:A912, A5, $F$5:F912, "Main Primary Artist") &gt; 1</formula>
    </cfRule>
  </conditionalFormatting>
  <conditionalFormatting sqref="B5:B177 B262:B912">
    <cfRule type="expression" dxfId="3" priority="9">
      <formula>COUNTIFS($B$5:B912, B5, $F$5:F912, "Main Primary Artist") &gt; 1</formula>
    </cfRule>
  </conditionalFormatting>
  <conditionalFormatting sqref="A5:A177 A262:A912">
    <cfRule type="expression" dxfId="3" priority="10">
      <formula>OR(AND(A5&lt;&gt;"", COUNTIFS($A$5:A912, A5, $G$5:G912, "Producer &amp; Engineer") = 0), AND(A5&lt;&gt;"", COUNTIFS($A$5:A912, A5, $G$5:G912, "Performer") = 0))</formula>
    </cfRule>
  </conditionalFormatting>
  <conditionalFormatting sqref="B5:B177 B262:B912">
    <cfRule type="expression" dxfId="3" priority="11">
      <formula>OR(AND(B5&lt;&gt;"", COUNTIFS($B$5:B912, B5, $G$5:G912, "Producer &amp; Engineer") = 0), AND(B5&lt;&gt;"", COUNTIFS($B$5:B912, B5, $G$5:G912, "Performer") = 0))</formula>
    </cfRule>
  </conditionalFormatting>
  <dataValidations>
    <dataValidation type="list" allowBlank="1" showInputMessage="1" showErrorMessage="1" prompt="select from list, type or drag. Each track MUST have only ONE Artist assigned the 'Primary - Top' role." sqref="F5:F912">
      <formula1>ArtistRole</formula1>
    </dataValidation>
    <dataValidation type="custom" allowBlank="1" showDropDown="1" showInputMessage="1" showErrorMessage="1" prompt="must contain 2 letters, 3 character minimum, 20 character maximum, alphanumeric ONLY (letter or number; no dashes, spaces, punctuation marks, etc.)" sqref="B5:B177 B262:B912">
      <formula1>and(regexmatch(B5,"^[a-zA-Z0-9]*$"), len(B5)&gt;=3, len(B5)&lt;=20)</formula1>
    </dataValidation>
    <dataValidation type="list" allowBlank="1" showInputMessage="1" showErrorMessage="1" prompt="select from Artists list, start typing or drag" sqref="E5:E912">
      <formula1>Artist</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9.88"/>
    <col customWidth="1" min="3" max="3" width="20.38"/>
    <col customWidth="1" min="4" max="4" width="7.0"/>
    <col customWidth="1" min="7" max="7" width="38.0"/>
    <col customWidth="1" min="8" max="8" width="27.63"/>
    <col customWidth="1" min="9" max="9" width="11.0"/>
  </cols>
  <sheetData>
    <row r="1">
      <c r="A1" s="14" t="s">
        <v>548</v>
      </c>
      <c r="B1" s="18">
        <f>IFERROR(__xludf.DUMMYFUNCTION("COUNTUNIQUE(B5:B1001)"),0.0)</f>
        <v>0</v>
      </c>
      <c r="C1" s="47"/>
      <c r="D1" s="18">
        <f>IFERROR(__xludf.DUMMYFUNCTION("COUNTUNIQUE(D5:D1001)"),0.0)</f>
        <v>0</v>
      </c>
      <c r="E1" s="13">
        <f>IFERROR(__xludf.DUMMYFUNCTION("COUNTUNIQUE(A5:A1001)"),16.0)</f>
        <v>16</v>
      </c>
      <c r="G1" s="14" t="s">
        <v>549</v>
      </c>
      <c r="H1" s="47"/>
      <c r="I1" s="18">
        <f>IFERROR(__xludf.DUMMYFUNCTION("COUNTUNIQUE(I5:I1001)"),0.0)</f>
        <v>0</v>
      </c>
      <c r="J1" s="13">
        <f>IFERROR(__xludf.DUMMYFUNCTION("COUNTUNIQUE(G5:G1001)"),1.0)</f>
        <v>1</v>
      </c>
    </row>
    <row r="2">
      <c r="A2" s="21" t="s">
        <v>24</v>
      </c>
      <c r="B2" s="26"/>
      <c r="C2" s="159" t="s">
        <v>141</v>
      </c>
      <c r="D2" s="26"/>
      <c r="E2" s="16" t="s">
        <v>35</v>
      </c>
      <c r="G2" s="160" t="s">
        <v>26</v>
      </c>
      <c r="H2" s="161"/>
      <c r="I2" s="162" t="s">
        <v>141</v>
      </c>
      <c r="J2" s="16" t="s">
        <v>35</v>
      </c>
    </row>
    <row r="3">
      <c r="A3" s="114" t="s">
        <v>550</v>
      </c>
      <c r="B3" s="33" t="s">
        <v>34</v>
      </c>
      <c r="C3" s="163" t="s">
        <v>551</v>
      </c>
      <c r="D3" s="163" t="s">
        <v>552</v>
      </c>
      <c r="E3" s="54">
        <f>IFERROR(__xludf.DUMMYFUNCTION("counta(A5:A1001)-COUNTUNIQUE(A5:A1001)"),0.0)</f>
        <v>0</v>
      </c>
      <c r="G3" s="132" t="s">
        <v>553</v>
      </c>
      <c r="H3" s="32" t="s">
        <v>554</v>
      </c>
      <c r="I3" s="163" t="s">
        <v>552</v>
      </c>
      <c r="J3" s="54">
        <f>IFERROR(__xludf.DUMMYFUNCTION("counta(G5:G1001)-COUNTUNIQUE(G5:G1001)"),0.0)</f>
        <v>0</v>
      </c>
    </row>
    <row r="4">
      <c r="A4" s="35" t="s">
        <v>36</v>
      </c>
      <c r="B4" s="41"/>
      <c r="C4" s="164" t="s">
        <v>165</v>
      </c>
      <c r="D4" s="26"/>
      <c r="G4" s="80" t="s">
        <v>555</v>
      </c>
      <c r="H4" s="140" t="s">
        <v>165</v>
      </c>
      <c r="I4" s="26"/>
    </row>
    <row r="5">
      <c r="A5" s="51" t="s">
        <v>47</v>
      </c>
      <c r="B5" s="34"/>
      <c r="C5" s="34"/>
      <c r="D5" s="34"/>
      <c r="G5" s="8" t="s">
        <v>140</v>
      </c>
      <c r="H5" s="47"/>
      <c r="I5" s="47"/>
      <c r="K5" s="165"/>
      <c r="L5" s="34"/>
    </row>
    <row r="6">
      <c r="A6" s="51" t="s">
        <v>51</v>
      </c>
      <c r="B6" s="34"/>
      <c r="C6" s="34"/>
      <c r="D6" s="34"/>
      <c r="H6" s="34"/>
      <c r="I6" s="34"/>
    </row>
    <row r="7">
      <c r="A7" s="51" t="s">
        <v>61</v>
      </c>
      <c r="B7" s="34"/>
      <c r="C7" s="34"/>
      <c r="D7" s="34"/>
      <c r="H7" s="34"/>
      <c r="I7" s="34"/>
    </row>
    <row r="8">
      <c r="A8" s="51" t="s">
        <v>63</v>
      </c>
      <c r="B8" s="34"/>
      <c r="C8" s="34"/>
      <c r="D8" s="34"/>
      <c r="H8" s="34"/>
      <c r="I8" s="34"/>
    </row>
    <row r="9">
      <c r="A9" s="51" t="s">
        <v>73</v>
      </c>
      <c r="B9" s="34"/>
      <c r="C9" s="34"/>
      <c r="D9" s="34"/>
      <c r="H9" s="34"/>
      <c r="I9" s="34"/>
    </row>
    <row r="10">
      <c r="A10" s="128" t="s">
        <v>79</v>
      </c>
      <c r="B10" s="34"/>
      <c r="C10" s="34"/>
      <c r="D10" s="34"/>
      <c r="H10" s="34"/>
      <c r="I10" s="34"/>
    </row>
    <row r="11">
      <c r="A11" s="128" t="s">
        <v>135</v>
      </c>
      <c r="B11" s="34"/>
      <c r="C11" s="34"/>
      <c r="D11" s="34"/>
      <c r="H11" s="34"/>
      <c r="I11" s="34"/>
    </row>
    <row r="12">
      <c r="A12" s="128" t="s">
        <v>95</v>
      </c>
      <c r="B12" s="34"/>
      <c r="C12" s="34"/>
      <c r="D12" s="34"/>
      <c r="H12" s="34"/>
      <c r="I12" s="34"/>
    </row>
    <row r="13">
      <c r="A13" s="128" t="s">
        <v>101</v>
      </c>
      <c r="B13" s="34"/>
      <c r="C13" s="34"/>
      <c r="D13" s="34"/>
      <c r="H13" s="34"/>
      <c r="I13" s="34"/>
    </row>
    <row r="14">
      <c r="A14" s="128" t="s">
        <v>123</v>
      </c>
      <c r="B14" s="34"/>
      <c r="C14" s="34"/>
      <c r="D14" s="34"/>
      <c r="H14" s="34"/>
      <c r="I14" s="34"/>
    </row>
    <row r="15">
      <c r="A15" s="128" t="s">
        <v>556</v>
      </c>
      <c r="B15" s="34"/>
      <c r="C15" s="34"/>
      <c r="D15" s="34"/>
      <c r="H15" s="34"/>
      <c r="I15" s="34"/>
    </row>
    <row r="16">
      <c r="A16" s="128" t="s">
        <v>113</v>
      </c>
      <c r="B16" s="34"/>
      <c r="C16" s="34"/>
      <c r="D16" s="34"/>
      <c r="H16" s="34"/>
      <c r="I16" s="34"/>
    </row>
    <row r="17">
      <c r="A17" s="128" t="s">
        <v>115</v>
      </c>
      <c r="B17" s="34"/>
      <c r="C17" s="34"/>
      <c r="D17" s="34"/>
      <c r="H17" s="34"/>
      <c r="I17" s="34"/>
    </row>
    <row r="18">
      <c r="A18" s="128" t="s">
        <v>119</v>
      </c>
      <c r="B18" s="34"/>
      <c r="C18" s="34"/>
      <c r="D18" s="34"/>
      <c r="H18" s="34"/>
      <c r="I18" s="34"/>
    </row>
    <row r="19">
      <c r="A19" s="128" t="s">
        <v>127</v>
      </c>
      <c r="B19" s="34"/>
      <c r="C19" s="34"/>
      <c r="D19" s="34"/>
      <c r="H19" s="34"/>
      <c r="I19" s="34"/>
    </row>
    <row r="20">
      <c r="A20" s="128" t="s">
        <v>557</v>
      </c>
      <c r="B20" s="34"/>
      <c r="C20" s="34"/>
      <c r="D20" s="34"/>
      <c r="H20" s="34"/>
      <c r="I20" s="34"/>
    </row>
    <row r="21">
      <c r="A21" s="51"/>
      <c r="B21" s="34"/>
      <c r="C21" s="34"/>
      <c r="D21" s="34"/>
      <c r="H21" s="34"/>
      <c r="I21" s="34"/>
    </row>
    <row r="22">
      <c r="B22" s="34"/>
      <c r="C22" s="34"/>
      <c r="D22" s="34"/>
      <c r="H22" s="34"/>
      <c r="I22" s="34"/>
    </row>
    <row r="23">
      <c r="B23" s="34"/>
      <c r="C23" s="34"/>
      <c r="D23" s="34"/>
      <c r="H23" s="34"/>
      <c r="I23" s="34"/>
    </row>
    <row r="24">
      <c r="B24" s="34"/>
      <c r="C24" s="34"/>
      <c r="D24" s="34"/>
      <c r="H24" s="34"/>
      <c r="I24" s="34"/>
    </row>
    <row r="25">
      <c r="B25" s="34"/>
      <c r="C25" s="34"/>
      <c r="D25" s="34"/>
      <c r="H25" s="34"/>
      <c r="I25" s="34"/>
    </row>
    <row r="26">
      <c r="B26" s="34"/>
      <c r="C26" s="34"/>
      <c r="D26" s="34"/>
      <c r="H26" s="34"/>
      <c r="I26" s="34"/>
    </row>
    <row r="27">
      <c r="B27" s="34"/>
      <c r="C27" s="34"/>
      <c r="D27" s="34"/>
      <c r="H27" s="34"/>
      <c r="I27" s="34"/>
    </row>
    <row r="28">
      <c r="B28" s="34"/>
      <c r="C28" s="34"/>
      <c r="D28" s="34"/>
      <c r="H28" s="34"/>
      <c r="I28" s="34"/>
    </row>
    <row r="29">
      <c r="B29" s="34"/>
      <c r="C29" s="34"/>
      <c r="D29" s="34"/>
      <c r="H29" s="34"/>
      <c r="I29" s="34"/>
    </row>
    <row r="30">
      <c r="B30" s="34"/>
      <c r="C30" s="34"/>
      <c r="D30" s="34"/>
      <c r="H30" s="34"/>
      <c r="I30" s="34"/>
    </row>
    <row r="31">
      <c r="B31" s="34"/>
      <c r="C31" s="34"/>
      <c r="D31" s="34"/>
      <c r="H31" s="34"/>
      <c r="I31" s="34"/>
    </row>
    <row r="32">
      <c r="B32" s="34"/>
      <c r="C32" s="34"/>
      <c r="D32" s="34"/>
      <c r="H32" s="34"/>
      <c r="I32" s="34"/>
    </row>
    <row r="33">
      <c r="B33" s="34"/>
      <c r="C33" s="34"/>
      <c r="D33" s="34"/>
      <c r="H33" s="34"/>
      <c r="I33" s="34"/>
    </row>
    <row r="34">
      <c r="B34" s="34"/>
      <c r="C34" s="34"/>
      <c r="D34" s="34"/>
      <c r="H34" s="34"/>
      <c r="I34" s="34"/>
    </row>
    <row r="35">
      <c r="B35" s="34"/>
      <c r="C35" s="34"/>
      <c r="D35" s="34"/>
      <c r="H35" s="34"/>
      <c r="I35" s="34"/>
    </row>
    <row r="36">
      <c r="B36" s="34"/>
      <c r="C36" s="34"/>
      <c r="D36" s="34"/>
      <c r="H36" s="34"/>
      <c r="I36" s="34"/>
    </row>
    <row r="37">
      <c r="B37" s="34"/>
      <c r="C37" s="34"/>
      <c r="D37" s="34"/>
      <c r="H37" s="34"/>
      <c r="I37" s="34"/>
    </row>
    <row r="38">
      <c r="B38" s="34"/>
      <c r="C38" s="34"/>
      <c r="D38" s="34"/>
      <c r="H38" s="34"/>
      <c r="I38" s="34"/>
    </row>
    <row r="39">
      <c r="B39" s="34"/>
      <c r="C39" s="34"/>
      <c r="D39" s="34"/>
      <c r="H39" s="34"/>
      <c r="I39" s="34"/>
    </row>
    <row r="40">
      <c r="B40" s="34"/>
      <c r="C40" s="34"/>
      <c r="D40" s="34"/>
      <c r="H40" s="34"/>
      <c r="I40" s="34"/>
    </row>
    <row r="41">
      <c r="B41" s="34"/>
      <c r="C41" s="34"/>
      <c r="D41" s="34"/>
      <c r="H41" s="34"/>
      <c r="I41" s="34"/>
    </row>
    <row r="42">
      <c r="B42" s="34"/>
      <c r="C42" s="34"/>
      <c r="D42" s="34"/>
      <c r="H42" s="34"/>
      <c r="I42" s="34"/>
    </row>
    <row r="43">
      <c r="B43" s="34"/>
      <c r="C43" s="34"/>
      <c r="D43" s="34"/>
      <c r="H43" s="34"/>
      <c r="I43" s="34"/>
    </row>
    <row r="44">
      <c r="B44" s="34"/>
      <c r="C44" s="34"/>
      <c r="D44" s="34"/>
      <c r="H44" s="34"/>
      <c r="I44" s="34"/>
    </row>
    <row r="45">
      <c r="B45" s="34"/>
      <c r="C45" s="34"/>
      <c r="D45" s="34"/>
      <c r="H45" s="34"/>
      <c r="I45" s="34"/>
    </row>
    <row r="46">
      <c r="B46" s="34"/>
      <c r="C46" s="34"/>
      <c r="D46" s="34"/>
      <c r="H46" s="34"/>
      <c r="I46" s="34"/>
    </row>
    <row r="47">
      <c r="B47" s="34"/>
      <c r="C47" s="34"/>
      <c r="D47" s="34"/>
      <c r="H47" s="34"/>
      <c r="I47" s="34"/>
    </row>
    <row r="48">
      <c r="B48" s="34"/>
      <c r="C48" s="34"/>
      <c r="D48" s="34"/>
      <c r="H48" s="34"/>
      <c r="I48" s="34"/>
    </row>
    <row r="49">
      <c r="B49" s="34"/>
      <c r="C49" s="34"/>
      <c r="D49" s="34"/>
      <c r="H49" s="34"/>
      <c r="I49" s="34"/>
    </row>
    <row r="50">
      <c r="B50" s="34"/>
      <c r="C50" s="34"/>
      <c r="D50" s="34"/>
      <c r="H50" s="34"/>
      <c r="I50" s="34"/>
    </row>
    <row r="51">
      <c r="B51" s="34"/>
      <c r="C51" s="34"/>
      <c r="D51" s="34"/>
      <c r="H51" s="34"/>
      <c r="I51" s="34"/>
    </row>
    <row r="52">
      <c r="B52" s="34"/>
      <c r="C52" s="34"/>
      <c r="D52" s="34"/>
      <c r="H52" s="34"/>
      <c r="I52" s="34"/>
    </row>
    <row r="53">
      <c r="B53" s="34"/>
      <c r="C53" s="34"/>
      <c r="D53" s="34"/>
      <c r="H53" s="34"/>
      <c r="I53" s="34"/>
    </row>
    <row r="54">
      <c r="B54" s="34"/>
      <c r="C54" s="34"/>
      <c r="D54" s="34"/>
      <c r="H54" s="34"/>
      <c r="I54" s="34"/>
    </row>
    <row r="55">
      <c r="B55" s="34"/>
      <c r="C55" s="34"/>
      <c r="D55" s="34"/>
      <c r="H55" s="34"/>
      <c r="I55" s="34"/>
    </row>
    <row r="56">
      <c r="B56" s="34"/>
      <c r="C56" s="34"/>
      <c r="D56" s="34"/>
      <c r="H56" s="34"/>
      <c r="I56" s="34"/>
    </row>
    <row r="57">
      <c r="B57" s="34"/>
      <c r="C57" s="34"/>
      <c r="D57" s="34"/>
      <c r="H57" s="34"/>
      <c r="I57" s="34"/>
    </row>
    <row r="58">
      <c r="B58" s="34"/>
      <c r="C58" s="34"/>
      <c r="D58" s="34"/>
      <c r="H58" s="34"/>
      <c r="I58" s="34"/>
    </row>
    <row r="59">
      <c r="B59" s="34"/>
      <c r="C59" s="34"/>
      <c r="D59" s="34"/>
      <c r="H59" s="34"/>
      <c r="I59" s="34"/>
    </row>
    <row r="60">
      <c r="B60" s="34"/>
      <c r="C60" s="34"/>
      <c r="D60" s="34"/>
      <c r="H60" s="34"/>
      <c r="I60" s="34"/>
    </row>
    <row r="61">
      <c r="B61" s="34"/>
      <c r="C61" s="34"/>
      <c r="D61" s="34"/>
      <c r="H61" s="34"/>
      <c r="I61" s="34"/>
    </row>
    <row r="62">
      <c r="B62" s="34"/>
      <c r="C62" s="34"/>
      <c r="D62" s="34"/>
      <c r="H62" s="34"/>
      <c r="I62" s="34"/>
    </row>
    <row r="63">
      <c r="B63" s="34"/>
      <c r="C63" s="34"/>
      <c r="D63" s="34"/>
      <c r="H63" s="34"/>
      <c r="I63" s="34"/>
    </row>
    <row r="64">
      <c r="B64" s="34"/>
      <c r="C64" s="34"/>
      <c r="D64" s="34"/>
      <c r="H64" s="34"/>
      <c r="I64" s="34"/>
    </row>
    <row r="65">
      <c r="B65" s="34"/>
      <c r="C65" s="34"/>
      <c r="D65" s="34"/>
      <c r="H65" s="34"/>
      <c r="I65" s="34"/>
    </row>
    <row r="66">
      <c r="B66" s="34"/>
      <c r="C66" s="34"/>
      <c r="D66" s="34"/>
      <c r="H66" s="34"/>
      <c r="I66" s="34"/>
    </row>
    <row r="67">
      <c r="B67" s="34"/>
      <c r="C67" s="34"/>
      <c r="D67" s="34"/>
      <c r="H67" s="34"/>
      <c r="I67" s="34"/>
    </row>
    <row r="68">
      <c r="B68" s="34"/>
      <c r="C68" s="34"/>
      <c r="D68" s="34"/>
      <c r="H68" s="34"/>
      <c r="I68" s="34"/>
    </row>
    <row r="69">
      <c r="B69" s="34"/>
      <c r="C69" s="34"/>
      <c r="D69" s="34"/>
      <c r="H69" s="34"/>
      <c r="I69" s="34"/>
    </row>
    <row r="70">
      <c r="B70" s="34"/>
      <c r="C70" s="34"/>
      <c r="D70" s="34"/>
      <c r="H70" s="34"/>
      <c r="I70" s="34"/>
    </row>
    <row r="71">
      <c r="B71" s="34"/>
      <c r="C71" s="34"/>
      <c r="D71" s="34"/>
      <c r="H71" s="34"/>
      <c r="I71" s="34"/>
    </row>
    <row r="72">
      <c r="B72" s="34"/>
      <c r="C72" s="34"/>
      <c r="D72" s="34"/>
      <c r="H72" s="34"/>
      <c r="I72" s="34"/>
    </row>
    <row r="73">
      <c r="B73" s="34"/>
      <c r="C73" s="34"/>
      <c r="D73" s="34"/>
      <c r="H73" s="34"/>
      <c r="I73" s="34"/>
    </row>
    <row r="74">
      <c r="B74" s="34"/>
      <c r="C74" s="34"/>
      <c r="D74" s="34"/>
      <c r="H74" s="34"/>
      <c r="I74" s="34"/>
    </row>
    <row r="75">
      <c r="B75" s="34"/>
      <c r="C75" s="34"/>
      <c r="D75" s="34"/>
      <c r="H75" s="34"/>
      <c r="I75" s="34"/>
    </row>
    <row r="76">
      <c r="B76" s="34"/>
      <c r="C76" s="34"/>
      <c r="D76" s="34"/>
      <c r="H76" s="34"/>
      <c r="I76" s="34"/>
    </row>
    <row r="77">
      <c r="B77" s="34"/>
      <c r="C77" s="34"/>
      <c r="D77" s="34"/>
      <c r="H77" s="34"/>
      <c r="I77" s="34"/>
    </row>
    <row r="78">
      <c r="B78" s="34"/>
      <c r="C78" s="34"/>
      <c r="D78" s="34"/>
      <c r="H78" s="34"/>
      <c r="I78" s="34"/>
    </row>
    <row r="79">
      <c r="B79" s="34"/>
      <c r="C79" s="34"/>
      <c r="D79" s="34"/>
      <c r="H79" s="34"/>
      <c r="I79" s="34"/>
    </row>
    <row r="80">
      <c r="B80" s="34"/>
      <c r="C80" s="34"/>
      <c r="D80" s="34"/>
      <c r="H80" s="34"/>
      <c r="I80" s="34"/>
    </row>
    <row r="81">
      <c r="B81" s="34"/>
      <c r="C81" s="34"/>
      <c r="D81" s="34"/>
      <c r="H81" s="34"/>
      <c r="I81" s="34"/>
    </row>
    <row r="82">
      <c r="B82" s="34"/>
      <c r="C82" s="34"/>
      <c r="D82" s="34"/>
      <c r="H82" s="34"/>
      <c r="I82" s="34"/>
    </row>
    <row r="83">
      <c r="B83" s="34"/>
      <c r="C83" s="34"/>
      <c r="D83" s="34"/>
      <c r="H83" s="34"/>
      <c r="I83" s="34"/>
    </row>
    <row r="84">
      <c r="B84" s="34"/>
      <c r="C84" s="34"/>
      <c r="D84" s="34"/>
      <c r="H84" s="34"/>
      <c r="I84" s="34"/>
    </row>
    <row r="85">
      <c r="B85" s="34"/>
      <c r="C85" s="34"/>
      <c r="D85" s="34"/>
      <c r="H85" s="34"/>
      <c r="I85" s="34"/>
    </row>
    <row r="86">
      <c r="B86" s="34"/>
      <c r="C86" s="34"/>
      <c r="D86" s="34"/>
      <c r="H86" s="34"/>
      <c r="I86" s="34"/>
    </row>
    <row r="87">
      <c r="B87" s="34"/>
      <c r="C87" s="34"/>
      <c r="D87" s="34"/>
      <c r="H87" s="34"/>
      <c r="I87" s="34"/>
    </row>
    <row r="88">
      <c r="B88" s="34"/>
      <c r="C88" s="34"/>
      <c r="D88" s="34"/>
      <c r="H88" s="34"/>
      <c r="I88" s="34"/>
    </row>
    <row r="89">
      <c r="B89" s="34"/>
      <c r="C89" s="34"/>
      <c r="D89" s="34"/>
      <c r="H89" s="34"/>
      <c r="I89" s="34"/>
    </row>
    <row r="90">
      <c r="B90" s="34"/>
      <c r="C90" s="34"/>
      <c r="D90" s="34"/>
      <c r="H90" s="34"/>
      <c r="I90" s="34"/>
    </row>
    <row r="91">
      <c r="B91" s="34"/>
      <c r="C91" s="34"/>
      <c r="D91" s="34"/>
      <c r="H91" s="34"/>
      <c r="I91" s="34"/>
    </row>
    <row r="92">
      <c r="B92" s="34"/>
      <c r="C92" s="34"/>
      <c r="D92" s="34"/>
      <c r="H92" s="34"/>
      <c r="I92" s="34"/>
    </row>
    <row r="93">
      <c r="B93" s="34"/>
      <c r="C93" s="34"/>
      <c r="D93" s="34"/>
      <c r="H93" s="34"/>
      <c r="I93" s="34"/>
    </row>
    <row r="94">
      <c r="B94" s="34"/>
      <c r="C94" s="34"/>
      <c r="D94" s="34"/>
      <c r="H94" s="34"/>
      <c r="I94" s="34"/>
    </row>
    <row r="95">
      <c r="B95" s="34"/>
      <c r="C95" s="34"/>
      <c r="D95" s="34"/>
      <c r="H95" s="34"/>
      <c r="I95" s="34"/>
    </row>
    <row r="96">
      <c r="B96" s="34"/>
      <c r="C96" s="34"/>
      <c r="D96" s="34"/>
      <c r="H96" s="34"/>
      <c r="I96" s="34"/>
    </row>
    <row r="97">
      <c r="B97" s="34"/>
      <c r="C97" s="34"/>
      <c r="D97" s="34"/>
      <c r="H97" s="34"/>
      <c r="I97" s="34"/>
    </row>
    <row r="98">
      <c r="B98" s="34"/>
      <c r="C98" s="34"/>
      <c r="D98" s="34"/>
      <c r="H98" s="34"/>
      <c r="I98" s="34"/>
    </row>
    <row r="99">
      <c r="B99" s="34"/>
      <c r="C99" s="34"/>
      <c r="D99" s="34"/>
      <c r="H99" s="34"/>
      <c r="I99" s="34"/>
    </row>
    <row r="100">
      <c r="B100" s="34"/>
      <c r="C100" s="34"/>
      <c r="D100" s="34"/>
      <c r="H100" s="34"/>
      <c r="I100" s="34"/>
    </row>
    <row r="101">
      <c r="B101" s="34"/>
      <c r="C101" s="34"/>
      <c r="D101" s="34"/>
      <c r="H101" s="34"/>
      <c r="I101" s="34"/>
    </row>
    <row r="102">
      <c r="B102" s="34"/>
      <c r="C102" s="34"/>
      <c r="D102" s="34"/>
      <c r="H102" s="34"/>
      <c r="I102" s="34"/>
    </row>
    <row r="103">
      <c r="B103" s="34"/>
      <c r="C103" s="34"/>
      <c r="D103" s="34"/>
      <c r="H103" s="34"/>
      <c r="I103" s="34"/>
    </row>
    <row r="104">
      <c r="B104" s="34"/>
      <c r="C104" s="34"/>
      <c r="D104" s="34"/>
      <c r="H104" s="34"/>
      <c r="I104" s="34"/>
    </row>
    <row r="105">
      <c r="B105" s="34"/>
      <c r="C105" s="34"/>
      <c r="D105" s="34"/>
      <c r="H105" s="34"/>
      <c r="I105" s="34"/>
    </row>
    <row r="106">
      <c r="B106" s="34"/>
      <c r="C106" s="34"/>
      <c r="D106" s="34"/>
      <c r="H106" s="34"/>
      <c r="I106" s="34"/>
    </row>
    <row r="107">
      <c r="B107" s="34"/>
      <c r="C107" s="34"/>
      <c r="D107" s="34"/>
      <c r="H107" s="34"/>
      <c r="I107" s="34"/>
    </row>
    <row r="108">
      <c r="B108" s="34"/>
      <c r="C108" s="34"/>
      <c r="D108" s="34"/>
      <c r="H108" s="34"/>
      <c r="I108" s="34"/>
    </row>
    <row r="109">
      <c r="B109" s="34"/>
      <c r="C109" s="34"/>
      <c r="D109" s="34"/>
      <c r="H109" s="34"/>
      <c r="I109" s="34"/>
    </row>
    <row r="110">
      <c r="B110" s="34"/>
      <c r="C110" s="34"/>
      <c r="D110" s="34"/>
      <c r="H110" s="34"/>
      <c r="I110" s="34"/>
    </row>
    <row r="111">
      <c r="B111" s="34"/>
      <c r="C111" s="34"/>
      <c r="D111" s="34"/>
      <c r="H111" s="34"/>
      <c r="I111" s="34"/>
    </row>
    <row r="112">
      <c r="B112" s="34"/>
      <c r="C112" s="34"/>
      <c r="D112" s="34"/>
      <c r="H112" s="34"/>
      <c r="I112" s="34"/>
    </row>
    <row r="113">
      <c r="B113" s="34"/>
      <c r="C113" s="34"/>
      <c r="D113" s="34"/>
      <c r="H113" s="34"/>
      <c r="I113" s="34"/>
    </row>
    <row r="114">
      <c r="B114" s="34"/>
      <c r="C114" s="34"/>
      <c r="D114" s="34"/>
      <c r="H114" s="34"/>
      <c r="I114" s="34"/>
    </row>
    <row r="115">
      <c r="B115" s="34"/>
      <c r="C115" s="34"/>
      <c r="D115" s="34"/>
      <c r="H115" s="34"/>
      <c r="I115" s="34"/>
    </row>
    <row r="116">
      <c r="B116" s="34"/>
      <c r="C116" s="34"/>
      <c r="D116" s="34"/>
      <c r="H116" s="34"/>
      <c r="I116" s="34"/>
    </row>
    <row r="117">
      <c r="B117" s="34"/>
      <c r="C117" s="34"/>
      <c r="D117" s="34"/>
      <c r="H117" s="34"/>
      <c r="I117" s="34"/>
    </row>
    <row r="118">
      <c r="B118" s="34"/>
      <c r="C118" s="34"/>
      <c r="D118" s="34"/>
      <c r="H118" s="34"/>
      <c r="I118" s="34"/>
    </row>
    <row r="119">
      <c r="B119" s="34"/>
      <c r="C119" s="34"/>
      <c r="D119" s="34"/>
      <c r="H119" s="34"/>
      <c r="I119" s="34"/>
    </row>
    <row r="120">
      <c r="B120" s="34"/>
      <c r="C120" s="34"/>
      <c r="D120" s="34"/>
      <c r="H120" s="34"/>
      <c r="I120" s="34"/>
    </row>
    <row r="121">
      <c r="B121" s="34"/>
      <c r="C121" s="34"/>
      <c r="D121" s="34"/>
      <c r="H121" s="34"/>
      <c r="I121" s="34"/>
    </row>
    <row r="122">
      <c r="B122" s="34"/>
      <c r="C122" s="34"/>
      <c r="D122" s="34"/>
      <c r="H122" s="34"/>
      <c r="I122" s="34"/>
    </row>
    <row r="123">
      <c r="B123" s="34"/>
      <c r="C123" s="34"/>
      <c r="D123" s="34"/>
      <c r="H123" s="34"/>
      <c r="I123" s="34"/>
    </row>
    <row r="124">
      <c r="B124" s="34"/>
      <c r="C124" s="34"/>
      <c r="D124" s="34"/>
      <c r="H124" s="34"/>
      <c r="I124" s="34"/>
    </row>
    <row r="125">
      <c r="B125" s="34"/>
      <c r="C125" s="34"/>
      <c r="D125" s="34"/>
      <c r="H125" s="34"/>
      <c r="I125" s="34"/>
    </row>
    <row r="126">
      <c r="B126" s="34"/>
      <c r="C126" s="34"/>
      <c r="D126" s="34"/>
      <c r="H126" s="34"/>
      <c r="I126" s="34"/>
    </row>
    <row r="127">
      <c r="B127" s="34"/>
      <c r="C127" s="34"/>
      <c r="D127" s="34"/>
      <c r="H127" s="34"/>
      <c r="I127" s="34"/>
    </row>
    <row r="128">
      <c r="B128" s="34"/>
      <c r="C128" s="34"/>
      <c r="D128" s="34"/>
      <c r="H128" s="34"/>
      <c r="I128" s="34"/>
    </row>
    <row r="129">
      <c r="B129" s="34"/>
      <c r="C129" s="34"/>
      <c r="D129" s="34"/>
      <c r="H129" s="34"/>
      <c r="I129" s="34"/>
    </row>
    <row r="130">
      <c r="B130" s="34"/>
      <c r="C130" s="34"/>
      <c r="D130" s="34"/>
      <c r="H130" s="34"/>
      <c r="I130" s="34"/>
    </row>
    <row r="131">
      <c r="B131" s="34"/>
      <c r="C131" s="34"/>
      <c r="D131" s="34"/>
      <c r="H131" s="34"/>
      <c r="I131" s="34"/>
    </row>
    <row r="132">
      <c r="B132" s="34"/>
      <c r="C132" s="34"/>
      <c r="D132" s="34"/>
      <c r="H132" s="34"/>
      <c r="I132" s="34"/>
    </row>
    <row r="133">
      <c r="B133" s="34"/>
      <c r="C133" s="34"/>
      <c r="D133" s="34"/>
      <c r="H133" s="34"/>
      <c r="I133" s="34"/>
    </row>
    <row r="134">
      <c r="B134" s="34"/>
      <c r="C134" s="34"/>
      <c r="D134" s="34"/>
      <c r="H134" s="34"/>
      <c r="I134" s="34"/>
    </row>
    <row r="135">
      <c r="B135" s="34"/>
      <c r="C135" s="34"/>
      <c r="D135" s="34"/>
      <c r="H135" s="34"/>
      <c r="I135" s="34"/>
    </row>
    <row r="136">
      <c r="B136" s="34"/>
      <c r="C136" s="34"/>
      <c r="D136" s="34"/>
      <c r="H136" s="34"/>
      <c r="I136" s="34"/>
    </row>
    <row r="137">
      <c r="B137" s="34"/>
      <c r="C137" s="34"/>
      <c r="D137" s="34"/>
      <c r="H137" s="34"/>
      <c r="I137" s="34"/>
    </row>
    <row r="138">
      <c r="B138" s="34"/>
      <c r="C138" s="34"/>
      <c r="D138" s="34"/>
      <c r="H138" s="34"/>
      <c r="I138" s="34"/>
    </row>
    <row r="139">
      <c r="B139" s="34"/>
      <c r="C139" s="34"/>
      <c r="D139" s="34"/>
      <c r="H139" s="34"/>
      <c r="I139" s="34"/>
    </row>
    <row r="140">
      <c r="B140" s="34"/>
      <c r="C140" s="34"/>
      <c r="D140" s="34"/>
      <c r="H140" s="34"/>
      <c r="I140" s="34"/>
    </row>
    <row r="141">
      <c r="B141" s="34"/>
      <c r="C141" s="34"/>
      <c r="D141" s="34"/>
      <c r="H141" s="34"/>
      <c r="I141" s="34"/>
    </row>
    <row r="142">
      <c r="B142" s="34"/>
      <c r="C142" s="34"/>
      <c r="D142" s="34"/>
      <c r="H142" s="34"/>
      <c r="I142" s="34"/>
    </row>
    <row r="143">
      <c r="B143" s="34"/>
      <c r="C143" s="34"/>
      <c r="D143" s="34"/>
      <c r="H143" s="34"/>
      <c r="I143" s="34"/>
    </row>
    <row r="144">
      <c r="B144" s="34"/>
      <c r="C144" s="34"/>
      <c r="D144" s="34"/>
      <c r="H144" s="34"/>
      <c r="I144" s="34"/>
    </row>
    <row r="145">
      <c r="B145" s="34"/>
      <c r="C145" s="34"/>
      <c r="D145" s="34"/>
      <c r="H145" s="34"/>
      <c r="I145" s="34"/>
    </row>
    <row r="146">
      <c r="B146" s="34"/>
      <c r="C146" s="34"/>
      <c r="D146" s="34"/>
      <c r="H146" s="34"/>
      <c r="I146" s="34"/>
    </row>
    <row r="147">
      <c r="B147" s="34"/>
      <c r="C147" s="34"/>
      <c r="D147" s="34"/>
      <c r="H147" s="34"/>
      <c r="I147" s="34"/>
    </row>
    <row r="148">
      <c r="B148" s="34"/>
      <c r="C148" s="34"/>
      <c r="D148" s="34"/>
      <c r="H148" s="34"/>
      <c r="I148" s="34"/>
    </row>
    <row r="149">
      <c r="B149" s="34"/>
      <c r="C149" s="34"/>
      <c r="D149" s="34"/>
      <c r="H149" s="34"/>
      <c r="I149" s="34"/>
    </row>
    <row r="150">
      <c r="B150" s="34"/>
      <c r="C150" s="34"/>
      <c r="D150" s="34"/>
      <c r="H150" s="34"/>
      <c r="I150" s="34"/>
    </row>
    <row r="151">
      <c r="B151" s="34"/>
      <c r="C151" s="34"/>
      <c r="D151" s="34"/>
      <c r="H151" s="34"/>
      <c r="I151" s="34"/>
    </row>
    <row r="152">
      <c r="B152" s="34"/>
      <c r="C152" s="34"/>
      <c r="D152" s="34"/>
      <c r="H152" s="34"/>
      <c r="I152" s="34"/>
    </row>
    <row r="153">
      <c r="B153" s="34"/>
      <c r="C153" s="34"/>
      <c r="D153" s="34"/>
      <c r="H153" s="34"/>
      <c r="I153" s="34"/>
    </row>
    <row r="154">
      <c r="B154" s="34"/>
      <c r="C154" s="34"/>
      <c r="D154" s="34"/>
      <c r="H154" s="34"/>
      <c r="I154" s="34"/>
    </row>
    <row r="155">
      <c r="B155" s="34"/>
      <c r="C155" s="34"/>
      <c r="D155" s="34"/>
      <c r="H155" s="34"/>
      <c r="I155" s="34"/>
    </row>
    <row r="156">
      <c r="B156" s="34"/>
      <c r="C156" s="34"/>
      <c r="D156" s="34"/>
      <c r="H156" s="34"/>
      <c r="I156" s="34"/>
    </row>
    <row r="157">
      <c r="B157" s="34"/>
      <c r="C157" s="34"/>
      <c r="D157" s="34"/>
      <c r="H157" s="34"/>
      <c r="I157" s="34"/>
    </row>
    <row r="158">
      <c r="B158" s="34"/>
      <c r="C158" s="34"/>
      <c r="D158" s="34"/>
      <c r="H158" s="34"/>
      <c r="I158" s="34"/>
    </row>
    <row r="159">
      <c r="B159" s="34"/>
      <c r="C159" s="34"/>
      <c r="D159" s="34"/>
      <c r="H159" s="34"/>
      <c r="I159" s="34"/>
    </row>
    <row r="160">
      <c r="B160" s="34"/>
      <c r="C160" s="34"/>
      <c r="D160" s="34"/>
      <c r="H160" s="34"/>
      <c r="I160" s="34"/>
    </row>
    <row r="161">
      <c r="B161" s="34"/>
      <c r="C161" s="34"/>
      <c r="D161" s="34"/>
      <c r="H161" s="34"/>
      <c r="I161" s="34"/>
    </row>
    <row r="162">
      <c r="B162" s="34"/>
      <c r="C162" s="34"/>
      <c r="D162" s="34"/>
      <c r="H162" s="34"/>
      <c r="I162" s="34"/>
    </row>
    <row r="163">
      <c r="B163" s="34"/>
      <c r="C163" s="34"/>
      <c r="D163" s="34"/>
      <c r="H163" s="34"/>
      <c r="I163" s="34"/>
    </row>
    <row r="164">
      <c r="B164" s="34"/>
      <c r="C164" s="34"/>
      <c r="D164" s="34"/>
      <c r="H164" s="34"/>
      <c r="I164" s="34"/>
    </row>
    <row r="165">
      <c r="B165" s="34"/>
      <c r="C165" s="34"/>
      <c r="D165" s="34"/>
      <c r="H165" s="34"/>
      <c r="I165" s="34"/>
    </row>
    <row r="166">
      <c r="B166" s="34"/>
      <c r="C166" s="34"/>
      <c r="D166" s="34"/>
      <c r="H166" s="34"/>
      <c r="I166" s="34"/>
    </row>
    <row r="167">
      <c r="B167" s="34"/>
      <c r="C167" s="34"/>
      <c r="D167" s="34"/>
      <c r="H167" s="34"/>
      <c r="I167" s="34"/>
    </row>
    <row r="168">
      <c r="B168" s="34"/>
      <c r="C168" s="34"/>
      <c r="D168" s="34"/>
      <c r="H168" s="34"/>
      <c r="I168" s="34"/>
    </row>
    <row r="169">
      <c r="B169" s="34"/>
      <c r="C169" s="34"/>
      <c r="D169" s="34"/>
      <c r="H169" s="34"/>
      <c r="I169" s="34"/>
    </row>
    <row r="170">
      <c r="B170" s="34"/>
      <c r="C170" s="34"/>
      <c r="D170" s="34"/>
      <c r="H170" s="34"/>
      <c r="I170" s="34"/>
    </row>
    <row r="171">
      <c r="B171" s="34"/>
      <c r="C171" s="34"/>
      <c r="D171" s="34"/>
      <c r="H171" s="34"/>
      <c r="I171" s="34"/>
    </row>
    <row r="172">
      <c r="B172" s="34"/>
      <c r="C172" s="34"/>
      <c r="D172" s="34"/>
      <c r="H172" s="34"/>
      <c r="I172" s="34"/>
    </row>
    <row r="173">
      <c r="B173" s="34"/>
      <c r="C173" s="34"/>
      <c r="D173" s="34"/>
      <c r="H173" s="34"/>
      <c r="I173" s="34"/>
    </row>
    <row r="174">
      <c r="B174" s="34"/>
      <c r="C174" s="34"/>
      <c r="D174" s="34"/>
      <c r="H174" s="34"/>
      <c r="I174" s="34"/>
    </row>
    <row r="175">
      <c r="B175" s="34"/>
      <c r="C175" s="34"/>
      <c r="D175" s="34"/>
      <c r="H175" s="34"/>
      <c r="I175" s="34"/>
    </row>
    <row r="176">
      <c r="B176" s="34"/>
      <c r="C176" s="34"/>
      <c r="D176" s="34"/>
      <c r="H176" s="34"/>
      <c r="I176" s="34"/>
    </row>
    <row r="177">
      <c r="B177" s="34"/>
      <c r="C177" s="34"/>
      <c r="D177" s="34"/>
      <c r="H177" s="34"/>
      <c r="I177" s="34"/>
    </row>
    <row r="178">
      <c r="B178" s="34"/>
      <c r="C178" s="34"/>
      <c r="D178" s="34"/>
      <c r="H178" s="34"/>
      <c r="I178" s="34"/>
    </row>
    <row r="179">
      <c r="B179" s="34"/>
      <c r="C179" s="34"/>
      <c r="D179" s="34"/>
      <c r="H179" s="34"/>
      <c r="I179" s="34"/>
    </row>
    <row r="180">
      <c r="B180" s="34"/>
      <c r="C180" s="34"/>
      <c r="D180" s="34"/>
      <c r="H180" s="34"/>
      <c r="I180" s="34"/>
    </row>
    <row r="181">
      <c r="B181" s="34"/>
      <c r="C181" s="34"/>
      <c r="D181" s="34"/>
      <c r="H181" s="34"/>
      <c r="I181" s="34"/>
    </row>
    <row r="182">
      <c r="B182" s="34"/>
      <c r="C182" s="34"/>
      <c r="D182" s="34"/>
      <c r="H182" s="34"/>
      <c r="I182" s="34"/>
    </row>
    <row r="183">
      <c r="B183" s="34"/>
      <c r="C183" s="34"/>
      <c r="D183" s="34"/>
      <c r="H183" s="34"/>
      <c r="I183" s="34"/>
    </row>
    <row r="184">
      <c r="B184" s="34"/>
      <c r="C184" s="34"/>
      <c r="D184" s="34"/>
      <c r="H184" s="34"/>
      <c r="I184" s="34"/>
    </row>
    <row r="185">
      <c r="B185" s="34"/>
      <c r="C185" s="34"/>
      <c r="D185" s="34"/>
      <c r="H185" s="34"/>
      <c r="I185" s="34"/>
    </row>
    <row r="186">
      <c r="B186" s="34"/>
      <c r="C186" s="34"/>
      <c r="D186" s="34"/>
      <c r="H186" s="34"/>
      <c r="I186" s="34"/>
    </row>
    <row r="187">
      <c r="B187" s="34"/>
      <c r="C187" s="34"/>
      <c r="D187" s="34"/>
      <c r="H187" s="34"/>
      <c r="I187" s="34"/>
    </row>
    <row r="188">
      <c r="B188" s="34"/>
      <c r="C188" s="34"/>
      <c r="D188" s="34"/>
      <c r="H188" s="34"/>
      <c r="I188" s="34"/>
    </row>
    <row r="189">
      <c r="B189" s="34"/>
      <c r="C189" s="34"/>
      <c r="D189" s="34"/>
      <c r="H189" s="34"/>
      <c r="I189" s="34"/>
    </row>
    <row r="190">
      <c r="B190" s="34"/>
      <c r="C190" s="34"/>
      <c r="D190" s="34"/>
      <c r="H190" s="34"/>
      <c r="I190" s="34"/>
    </row>
    <row r="191">
      <c r="B191" s="34"/>
      <c r="C191" s="34"/>
      <c r="D191" s="34"/>
      <c r="H191" s="34"/>
      <c r="I191" s="34"/>
    </row>
    <row r="192">
      <c r="B192" s="34"/>
      <c r="C192" s="34"/>
      <c r="D192" s="34"/>
      <c r="H192" s="34"/>
      <c r="I192" s="34"/>
    </row>
    <row r="193">
      <c r="B193" s="34"/>
      <c r="C193" s="34"/>
      <c r="D193" s="34"/>
      <c r="H193" s="34"/>
      <c r="I193" s="34"/>
    </row>
    <row r="194">
      <c r="B194" s="34"/>
      <c r="C194" s="34"/>
      <c r="D194" s="34"/>
      <c r="H194" s="34"/>
      <c r="I194" s="34"/>
    </row>
    <row r="195">
      <c r="B195" s="34"/>
      <c r="C195" s="34"/>
      <c r="D195" s="34"/>
      <c r="H195" s="34"/>
      <c r="I195" s="34"/>
    </row>
    <row r="196">
      <c r="B196" s="34"/>
      <c r="C196" s="34"/>
      <c r="D196" s="34"/>
      <c r="H196" s="34"/>
      <c r="I196" s="34"/>
    </row>
    <row r="197">
      <c r="B197" s="34"/>
      <c r="C197" s="34"/>
      <c r="D197" s="34"/>
      <c r="H197" s="34"/>
      <c r="I197" s="34"/>
    </row>
    <row r="198">
      <c r="B198" s="34"/>
      <c r="C198" s="34"/>
      <c r="D198" s="34"/>
      <c r="H198" s="34"/>
      <c r="I198" s="34"/>
    </row>
    <row r="199">
      <c r="B199" s="34"/>
      <c r="C199" s="34"/>
      <c r="D199" s="34"/>
      <c r="H199" s="34"/>
      <c r="I199" s="34"/>
    </row>
    <row r="200">
      <c r="B200" s="34"/>
      <c r="C200" s="34"/>
      <c r="D200" s="34"/>
      <c r="H200" s="34"/>
      <c r="I200" s="34"/>
    </row>
    <row r="201">
      <c r="B201" s="34"/>
      <c r="C201" s="34"/>
      <c r="D201" s="34"/>
      <c r="H201" s="34"/>
      <c r="I201" s="34"/>
    </row>
    <row r="202">
      <c r="B202" s="34"/>
      <c r="C202" s="34"/>
      <c r="D202" s="34"/>
      <c r="H202" s="34"/>
      <c r="I202" s="34"/>
    </row>
    <row r="203">
      <c r="B203" s="34"/>
      <c r="C203" s="34"/>
      <c r="D203" s="34"/>
      <c r="H203" s="34"/>
      <c r="I203" s="34"/>
    </row>
    <row r="204">
      <c r="B204" s="34"/>
      <c r="C204" s="34"/>
      <c r="D204" s="34"/>
      <c r="H204" s="34"/>
      <c r="I204" s="34"/>
    </row>
    <row r="205">
      <c r="B205" s="34"/>
      <c r="C205" s="34"/>
      <c r="D205" s="34"/>
      <c r="H205" s="34"/>
      <c r="I205" s="34"/>
    </row>
    <row r="206">
      <c r="B206" s="34"/>
      <c r="C206" s="34"/>
      <c r="D206" s="34"/>
      <c r="H206" s="34"/>
      <c r="I206" s="34"/>
    </row>
    <row r="207">
      <c r="B207" s="34"/>
      <c r="C207" s="34"/>
      <c r="D207" s="34"/>
      <c r="H207" s="34"/>
      <c r="I207" s="34"/>
    </row>
    <row r="208">
      <c r="B208" s="34"/>
      <c r="C208" s="34"/>
      <c r="D208" s="34"/>
      <c r="H208" s="34"/>
      <c r="I208" s="34"/>
    </row>
    <row r="209">
      <c r="B209" s="34"/>
      <c r="C209" s="34"/>
      <c r="D209" s="34"/>
      <c r="H209" s="34"/>
      <c r="I209" s="34"/>
    </row>
    <row r="210">
      <c r="B210" s="34"/>
      <c r="C210" s="34"/>
      <c r="D210" s="34"/>
      <c r="H210" s="34"/>
      <c r="I210" s="34"/>
    </row>
    <row r="211">
      <c r="B211" s="34"/>
      <c r="C211" s="34"/>
      <c r="D211" s="34"/>
      <c r="H211" s="34"/>
      <c r="I211" s="34"/>
    </row>
    <row r="212">
      <c r="B212" s="34"/>
      <c r="C212" s="34"/>
      <c r="D212" s="34"/>
      <c r="H212" s="34"/>
      <c r="I212" s="34"/>
    </row>
    <row r="213">
      <c r="B213" s="34"/>
      <c r="C213" s="34"/>
      <c r="D213" s="34"/>
      <c r="H213" s="34"/>
      <c r="I213" s="34"/>
    </row>
    <row r="214">
      <c r="B214" s="34"/>
      <c r="C214" s="34"/>
      <c r="D214" s="34"/>
      <c r="H214" s="34"/>
      <c r="I214" s="34"/>
    </row>
    <row r="215">
      <c r="B215" s="34"/>
      <c r="C215" s="34"/>
      <c r="D215" s="34"/>
      <c r="H215" s="34"/>
      <c r="I215" s="34"/>
    </row>
    <row r="216">
      <c r="B216" s="34"/>
      <c r="C216" s="34"/>
      <c r="D216" s="34"/>
      <c r="H216" s="34"/>
      <c r="I216" s="34"/>
    </row>
    <row r="217">
      <c r="B217" s="34"/>
      <c r="C217" s="34"/>
      <c r="D217" s="34"/>
      <c r="H217" s="34"/>
      <c r="I217" s="34"/>
    </row>
    <row r="218">
      <c r="B218" s="34"/>
      <c r="C218" s="34"/>
      <c r="D218" s="34"/>
      <c r="H218" s="34"/>
      <c r="I218" s="34"/>
    </row>
    <row r="219">
      <c r="B219" s="34"/>
      <c r="C219" s="34"/>
      <c r="D219" s="34"/>
      <c r="H219" s="34"/>
      <c r="I219" s="34"/>
    </row>
    <row r="220">
      <c r="B220" s="34"/>
      <c r="C220" s="34"/>
      <c r="D220" s="34"/>
      <c r="H220" s="34"/>
      <c r="I220" s="34"/>
    </row>
    <row r="221">
      <c r="B221" s="34"/>
      <c r="C221" s="34"/>
      <c r="D221" s="34"/>
      <c r="H221" s="34"/>
      <c r="I221" s="34"/>
    </row>
    <row r="222">
      <c r="B222" s="34"/>
      <c r="C222" s="34"/>
      <c r="D222" s="34"/>
      <c r="H222" s="34"/>
      <c r="I222" s="34"/>
    </row>
    <row r="223">
      <c r="B223" s="34"/>
      <c r="C223" s="34"/>
      <c r="D223" s="34"/>
      <c r="H223" s="34"/>
      <c r="I223" s="34"/>
    </row>
    <row r="224">
      <c r="B224" s="34"/>
      <c r="C224" s="34"/>
      <c r="D224" s="34"/>
      <c r="H224" s="34"/>
      <c r="I224" s="34"/>
    </row>
    <row r="225">
      <c r="B225" s="34"/>
      <c r="C225" s="34"/>
      <c r="D225" s="34"/>
      <c r="H225" s="34"/>
      <c r="I225" s="34"/>
    </row>
    <row r="226">
      <c r="B226" s="34"/>
      <c r="C226" s="34"/>
      <c r="D226" s="34"/>
      <c r="H226" s="34"/>
      <c r="I226" s="34"/>
    </row>
    <row r="227">
      <c r="B227" s="34"/>
      <c r="C227" s="34"/>
      <c r="D227" s="34"/>
      <c r="H227" s="34"/>
      <c r="I227" s="34"/>
    </row>
    <row r="228">
      <c r="B228" s="34"/>
      <c r="C228" s="34"/>
      <c r="D228" s="34"/>
      <c r="H228" s="34"/>
      <c r="I228" s="34"/>
    </row>
    <row r="229">
      <c r="B229" s="34"/>
      <c r="C229" s="34"/>
      <c r="D229" s="34"/>
      <c r="H229" s="34"/>
      <c r="I229" s="34"/>
    </row>
    <row r="230">
      <c r="B230" s="34"/>
      <c r="C230" s="34"/>
      <c r="D230" s="34"/>
      <c r="H230" s="34"/>
      <c r="I230" s="34"/>
    </row>
    <row r="231">
      <c r="B231" s="34"/>
      <c r="C231" s="34"/>
      <c r="D231" s="34"/>
      <c r="H231" s="34"/>
      <c r="I231" s="34"/>
    </row>
    <row r="232">
      <c r="B232" s="34"/>
      <c r="C232" s="34"/>
      <c r="D232" s="34"/>
      <c r="H232" s="34"/>
      <c r="I232" s="34"/>
    </row>
    <row r="233">
      <c r="B233" s="34"/>
      <c r="C233" s="34"/>
      <c r="D233" s="34"/>
      <c r="H233" s="34"/>
      <c r="I233" s="34"/>
    </row>
    <row r="234">
      <c r="B234" s="34"/>
      <c r="C234" s="34"/>
      <c r="D234" s="34"/>
      <c r="H234" s="34"/>
      <c r="I234" s="34"/>
    </row>
    <row r="235">
      <c r="B235" s="34"/>
      <c r="C235" s="34"/>
      <c r="D235" s="34"/>
      <c r="H235" s="34"/>
      <c r="I235" s="34"/>
    </row>
    <row r="236">
      <c r="B236" s="34"/>
      <c r="C236" s="34"/>
      <c r="D236" s="34"/>
      <c r="H236" s="34"/>
      <c r="I236" s="34"/>
    </row>
    <row r="237">
      <c r="B237" s="34"/>
      <c r="C237" s="34"/>
      <c r="D237" s="34"/>
      <c r="H237" s="34"/>
      <c r="I237" s="34"/>
    </row>
    <row r="238">
      <c r="B238" s="34"/>
      <c r="C238" s="34"/>
      <c r="D238" s="34"/>
      <c r="H238" s="34"/>
      <c r="I238" s="34"/>
    </row>
    <row r="239">
      <c r="B239" s="34"/>
      <c r="C239" s="34"/>
      <c r="D239" s="34"/>
      <c r="H239" s="34"/>
      <c r="I239" s="34"/>
    </row>
    <row r="240">
      <c r="B240" s="34"/>
      <c r="C240" s="34"/>
      <c r="D240" s="34"/>
      <c r="H240" s="34"/>
      <c r="I240" s="34"/>
    </row>
    <row r="241">
      <c r="B241" s="34"/>
      <c r="C241" s="34"/>
      <c r="D241" s="34"/>
      <c r="H241" s="34"/>
      <c r="I241" s="34"/>
    </row>
    <row r="242">
      <c r="B242" s="34"/>
      <c r="C242" s="34"/>
      <c r="D242" s="34"/>
      <c r="H242" s="34"/>
      <c r="I242" s="34"/>
    </row>
    <row r="243">
      <c r="B243" s="34"/>
      <c r="C243" s="34"/>
      <c r="D243" s="34"/>
      <c r="H243" s="34"/>
      <c r="I243" s="34"/>
    </row>
    <row r="244">
      <c r="B244" s="34"/>
      <c r="C244" s="34"/>
      <c r="D244" s="34"/>
      <c r="H244" s="34"/>
      <c r="I244" s="34"/>
    </row>
    <row r="245">
      <c r="B245" s="34"/>
      <c r="C245" s="34"/>
      <c r="D245" s="34"/>
      <c r="H245" s="34"/>
      <c r="I245" s="34"/>
    </row>
    <row r="246">
      <c r="B246" s="34"/>
      <c r="C246" s="34"/>
      <c r="D246" s="34"/>
      <c r="H246" s="34"/>
      <c r="I246" s="34"/>
    </row>
    <row r="247">
      <c r="B247" s="34"/>
      <c r="C247" s="34"/>
      <c r="D247" s="34"/>
      <c r="H247" s="34"/>
      <c r="I247" s="34"/>
    </row>
    <row r="248">
      <c r="B248" s="34"/>
      <c r="C248" s="34"/>
      <c r="D248" s="34"/>
      <c r="H248" s="34"/>
      <c r="I248" s="34"/>
    </row>
    <row r="249">
      <c r="B249" s="34"/>
      <c r="C249" s="34"/>
      <c r="D249" s="34"/>
      <c r="H249" s="34"/>
      <c r="I249" s="34"/>
    </row>
    <row r="250">
      <c r="B250" s="34"/>
      <c r="C250" s="34"/>
      <c r="D250" s="34"/>
      <c r="H250" s="34"/>
      <c r="I250" s="34"/>
    </row>
    <row r="251">
      <c r="B251" s="34"/>
      <c r="C251" s="34"/>
      <c r="D251" s="34"/>
      <c r="H251" s="34"/>
      <c r="I251" s="34"/>
    </row>
    <row r="252">
      <c r="B252" s="34"/>
      <c r="C252" s="34"/>
      <c r="D252" s="34"/>
      <c r="H252" s="34"/>
      <c r="I252" s="34"/>
    </row>
    <row r="253">
      <c r="B253" s="34"/>
      <c r="C253" s="34"/>
      <c r="D253" s="34"/>
      <c r="H253" s="34"/>
      <c r="I253" s="34"/>
    </row>
    <row r="254">
      <c r="B254" s="34"/>
      <c r="C254" s="34"/>
      <c r="D254" s="34"/>
      <c r="H254" s="34"/>
      <c r="I254" s="34"/>
    </row>
    <row r="255">
      <c r="B255" s="34"/>
      <c r="C255" s="34"/>
      <c r="D255" s="34"/>
      <c r="H255" s="34"/>
      <c r="I255" s="34"/>
    </row>
    <row r="256">
      <c r="B256" s="34"/>
      <c r="C256" s="34"/>
      <c r="D256" s="34"/>
      <c r="H256" s="34"/>
      <c r="I256" s="34"/>
    </row>
    <row r="257">
      <c r="B257" s="34"/>
      <c r="C257" s="34"/>
      <c r="D257" s="34"/>
      <c r="H257" s="34"/>
      <c r="I257" s="34"/>
    </row>
    <row r="258">
      <c r="B258" s="34"/>
      <c r="C258" s="34"/>
      <c r="D258" s="34"/>
      <c r="H258" s="34"/>
      <c r="I258" s="34"/>
    </row>
    <row r="259">
      <c r="B259" s="34"/>
      <c r="C259" s="34"/>
      <c r="D259" s="34"/>
      <c r="H259" s="34"/>
      <c r="I259" s="34"/>
    </row>
    <row r="260">
      <c r="B260" s="34"/>
      <c r="C260" s="34"/>
      <c r="D260" s="34"/>
      <c r="H260" s="34"/>
      <c r="I260" s="34"/>
    </row>
    <row r="261">
      <c r="B261" s="34"/>
      <c r="C261" s="34"/>
      <c r="D261" s="34"/>
      <c r="H261" s="34"/>
      <c r="I261" s="34"/>
    </row>
    <row r="262">
      <c r="B262" s="34"/>
      <c r="C262" s="34"/>
      <c r="D262" s="34"/>
      <c r="H262" s="34"/>
      <c r="I262" s="34"/>
    </row>
    <row r="263">
      <c r="B263" s="34"/>
      <c r="C263" s="34"/>
      <c r="D263" s="34"/>
      <c r="H263" s="34"/>
      <c r="I263" s="34"/>
    </row>
    <row r="264">
      <c r="B264" s="34"/>
      <c r="C264" s="34"/>
      <c r="D264" s="34"/>
      <c r="H264" s="34"/>
      <c r="I264" s="34"/>
    </row>
    <row r="265">
      <c r="B265" s="34"/>
      <c r="C265" s="34"/>
      <c r="D265" s="34"/>
      <c r="H265" s="34"/>
      <c r="I265" s="34"/>
    </row>
    <row r="266">
      <c r="B266" s="34"/>
      <c r="C266" s="34"/>
      <c r="D266" s="34"/>
      <c r="H266" s="34"/>
      <c r="I266" s="34"/>
    </row>
    <row r="267">
      <c r="B267" s="34"/>
      <c r="C267" s="34"/>
      <c r="D267" s="34"/>
      <c r="H267" s="34"/>
      <c r="I267" s="34"/>
    </row>
    <row r="268">
      <c r="B268" s="34"/>
      <c r="C268" s="34"/>
      <c r="D268" s="34"/>
      <c r="H268" s="34"/>
      <c r="I268" s="34"/>
    </row>
    <row r="269">
      <c r="B269" s="34"/>
      <c r="C269" s="34"/>
      <c r="D269" s="34"/>
      <c r="H269" s="34"/>
      <c r="I269" s="34"/>
    </row>
    <row r="270">
      <c r="B270" s="34"/>
      <c r="C270" s="34"/>
      <c r="D270" s="34"/>
      <c r="H270" s="34"/>
      <c r="I270" s="34"/>
    </row>
    <row r="271">
      <c r="B271" s="34"/>
      <c r="C271" s="34"/>
      <c r="D271" s="34"/>
      <c r="H271" s="34"/>
      <c r="I271" s="34"/>
    </row>
    <row r="272">
      <c r="B272" s="34"/>
      <c r="C272" s="34"/>
      <c r="D272" s="34"/>
      <c r="H272" s="34"/>
      <c r="I272" s="34"/>
    </row>
    <row r="273">
      <c r="B273" s="34"/>
      <c r="C273" s="34"/>
      <c r="D273" s="34"/>
      <c r="H273" s="34"/>
      <c r="I273" s="34"/>
    </row>
    <row r="274">
      <c r="B274" s="34"/>
      <c r="C274" s="34"/>
      <c r="D274" s="34"/>
      <c r="H274" s="34"/>
      <c r="I274" s="34"/>
    </row>
    <row r="275">
      <c r="B275" s="34"/>
      <c r="C275" s="34"/>
      <c r="D275" s="34"/>
      <c r="H275" s="34"/>
      <c r="I275" s="34"/>
    </row>
    <row r="276">
      <c r="B276" s="34"/>
      <c r="C276" s="34"/>
      <c r="D276" s="34"/>
      <c r="H276" s="34"/>
      <c r="I276" s="34"/>
    </row>
    <row r="277">
      <c r="B277" s="34"/>
      <c r="C277" s="34"/>
      <c r="D277" s="34"/>
      <c r="H277" s="34"/>
      <c r="I277" s="34"/>
    </row>
    <row r="278">
      <c r="B278" s="34"/>
      <c r="C278" s="34"/>
      <c r="D278" s="34"/>
      <c r="H278" s="34"/>
      <c r="I278" s="34"/>
    </row>
    <row r="279">
      <c r="B279" s="34"/>
      <c r="C279" s="34"/>
      <c r="D279" s="34"/>
      <c r="H279" s="34"/>
      <c r="I279" s="34"/>
    </row>
    <row r="280">
      <c r="B280" s="34"/>
      <c r="C280" s="34"/>
      <c r="D280" s="34"/>
      <c r="H280" s="34"/>
      <c r="I280" s="34"/>
    </row>
    <row r="281">
      <c r="B281" s="34"/>
      <c r="C281" s="34"/>
      <c r="D281" s="34"/>
      <c r="H281" s="34"/>
      <c r="I281" s="34"/>
    </row>
    <row r="282">
      <c r="B282" s="34"/>
      <c r="C282" s="34"/>
      <c r="D282" s="34"/>
      <c r="H282" s="34"/>
      <c r="I282" s="34"/>
    </row>
    <row r="283">
      <c r="B283" s="34"/>
      <c r="C283" s="34"/>
      <c r="D283" s="34"/>
      <c r="H283" s="34"/>
      <c r="I283" s="34"/>
    </row>
    <row r="284">
      <c r="B284" s="34"/>
      <c r="C284" s="34"/>
      <c r="D284" s="34"/>
      <c r="H284" s="34"/>
      <c r="I284" s="34"/>
    </row>
    <row r="285">
      <c r="B285" s="34"/>
      <c r="C285" s="34"/>
      <c r="D285" s="34"/>
      <c r="H285" s="34"/>
      <c r="I285" s="34"/>
    </row>
    <row r="286">
      <c r="B286" s="34"/>
      <c r="C286" s="34"/>
      <c r="D286" s="34"/>
      <c r="H286" s="34"/>
      <c r="I286" s="34"/>
    </row>
    <row r="287">
      <c r="B287" s="34"/>
      <c r="C287" s="34"/>
      <c r="D287" s="34"/>
      <c r="H287" s="34"/>
      <c r="I287" s="34"/>
    </row>
    <row r="288">
      <c r="B288" s="34"/>
      <c r="C288" s="34"/>
      <c r="D288" s="34"/>
      <c r="H288" s="34"/>
      <c r="I288" s="34"/>
    </row>
    <row r="289">
      <c r="B289" s="34"/>
      <c r="C289" s="34"/>
      <c r="D289" s="34"/>
      <c r="H289" s="34"/>
      <c r="I289" s="34"/>
    </row>
    <row r="290">
      <c r="B290" s="34"/>
      <c r="C290" s="34"/>
      <c r="D290" s="34"/>
      <c r="H290" s="34"/>
      <c r="I290" s="34"/>
    </row>
    <row r="291">
      <c r="B291" s="34"/>
      <c r="C291" s="34"/>
      <c r="D291" s="34"/>
      <c r="H291" s="34"/>
      <c r="I291" s="34"/>
    </row>
    <row r="292">
      <c r="B292" s="34"/>
      <c r="C292" s="34"/>
      <c r="D292" s="34"/>
      <c r="H292" s="34"/>
      <c r="I292" s="34"/>
    </row>
    <row r="293">
      <c r="B293" s="34"/>
      <c r="C293" s="34"/>
      <c r="D293" s="34"/>
      <c r="H293" s="34"/>
      <c r="I293" s="34"/>
    </row>
    <row r="294">
      <c r="B294" s="34"/>
      <c r="C294" s="34"/>
      <c r="D294" s="34"/>
      <c r="H294" s="34"/>
      <c r="I294" s="34"/>
    </row>
    <row r="295">
      <c r="B295" s="34"/>
      <c r="C295" s="34"/>
      <c r="D295" s="34"/>
      <c r="H295" s="34"/>
      <c r="I295" s="34"/>
    </row>
    <row r="296">
      <c r="B296" s="34"/>
      <c r="C296" s="34"/>
      <c r="D296" s="34"/>
      <c r="H296" s="34"/>
      <c r="I296" s="34"/>
    </row>
    <row r="297">
      <c r="B297" s="34"/>
      <c r="C297" s="34"/>
      <c r="D297" s="34"/>
      <c r="H297" s="34"/>
      <c r="I297" s="34"/>
    </row>
    <row r="298">
      <c r="B298" s="34"/>
      <c r="C298" s="34"/>
      <c r="D298" s="34"/>
      <c r="H298" s="34"/>
      <c r="I298" s="34"/>
    </row>
    <row r="299">
      <c r="B299" s="34"/>
      <c r="C299" s="34"/>
      <c r="D299" s="34"/>
      <c r="H299" s="34"/>
      <c r="I299" s="34"/>
    </row>
    <row r="300">
      <c r="B300" s="34"/>
      <c r="C300" s="34"/>
      <c r="D300" s="34"/>
      <c r="H300" s="34"/>
      <c r="I300" s="34"/>
    </row>
    <row r="301">
      <c r="B301" s="34"/>
      <c r="C301" s="34"/>
      <c r="D301" s="34"/>
      <c r="H301" s="34"/>
      <c r="I301" s="34"/>
    </row>
    <row r="302">
      <c r="B302" s="34"/>
      <c r="C302" s="34"/>
      <c r="D302" s="34"/>
      <c r="H302" s="34"/>
      <c r="I302" s="34"/>
    </row>
    <row r="303">
      <c r="B303" s="34"/>
      <c r="C303" s="34"/>
      <c r="D303" s="34"/>
      <c r="H303" s="34"/>
      <c r="I303" s="34"/>
    </row>
    <row r="304">
      <c r="B304" s="34"/>
      <c r="C304" s="34"/>
      <c r="D304" s="34"/>
      <c r="H304" s="34"/>
      <c r="I304" s="34"/>
    </row>
    <row r="305">
      <c r="B305" s="34"/>
      <c r="C305" s="34"/>
      <c r="D305" s="34"/>
      <c r="H305" s="34"/>
      <c r="I305" s="34"/>
    </row>
    <row r="306">
      <c r="B306" s="34"/>
      <c r="C306" s="34"/>
      <c r="D306" s="34"/>
      <c r="H306" s="34"/>
      <c r="I306" s="34"/>
    </row>
    <row r="307">
      <c r="B307" s="34"/>
      <c r="C307" s="34"/>
      <c r="D307" s="34"/>
      <c r="H307" s="34"/>
      <c r="I307" s="34"/>
    </row>
    <row r="308">
      <c r="B308" s="34"/>
      <c r="C308" s="34"/>
      <c r="D308" s="34"/>
      <c r="H308" s="34"/>
      <c r="I308" s="34"/>
    </row>
    <row r="309">
      <c r="B309" s="34"/>
      <c r="C309" s="34"/>
      <c r="D309" s="34"/>
      <c r="H309" s="34"/>
      <c r="I309" s="34"/>
    </row>
    <row r="310">
      <c r="B310" s="34"/>
      <c r="C310" s="34"/>
      <c r="D310" s="34"/>
      <c r="H310" s="34"/>
      <c r="I310" s="34"/>
    </row>
    <row r="311">
      <c r="B311" s="34"/>
      <c r="C311" s="34"/>
      <c r="D311" s="34"/>
      <c r="H311" s="34"/>
      <c r="I311" s="34"/>
    </row>
    <row r="312">
      <c r="B312" s="34"/>
      <c r="C312" s="34"/>
      <c r="D312" s="34"/>
      <c r="H312" s="34"/>
      <c r="I312" s="34"/>
    </row>
    <row r="313">
      <c r="B313" s="34"/>
      <c r="C313" s="34"/>
      <c r="D313" s="34"/>
      <c r="H313" s="34"/>
      <c r="I313" s="34"/>
    </row>
    <row r="314">
      <c r="B314" s="34"/>
      <c r="C314" s="34"/>
      <c r="D314" s="34"/>
      <c r="H314" s="34"/>
      <c r="I314" s="34"/>
    </row>
    <row r="315">
      <c r="B315" s="34"/>
      <c r="C315" s="34"/>
      <c r="D315" s="34"/>
      <c r="H315" s="34"/>
      <c r="I315" s="34"/>
    </row>
    <row r="316">
      <c r="B316" s="34"/>
      <c r="C316" s="34"/>
      <c r="D316" s="34"/>
      <c r="H316" s="34"/>
      <c r="I316" s="34"/>
    </row>
    <row r="317">
      <c r="B317" s="34"/>
      <c r="C317" s="34"/>
      <c r="D317" s="34"/>
      <c r="H317" s="34"/>
      <c r="I317" s="34"/>
    </row>
    <row r="318">
      <c r="B318" s="34"/>
      <c r="C318" s="34"/>
      <c r="D318" s="34"/>
      <c r="H318" s="34"/>
      <c r="I318" s="34"/>
    </row>
    <row r="319">
      <c r="B319" s="34"/>
      <c r="C319" s="34"/>
      <c r="D319" s="34"/>
      <c r="H319" s="34"/>
      <c r="I319" s="34"/>
    </row>
    <row r="320">
      <c r="B320" s="34"/>
      <c r="C320" s="34"/>
      <c r="D320" s="34"/>
      <c r="H320" s="34"/>
      <c r="I320" s="34"/>
    </row>
    <row r="321">
      <c r="B321" s="34"/>
      <c r="C321" s="34"/>
      <c r="D321" s="34"/>
      <c r="H321" s="34"/>
      <c r="I321" s="34"/>
    </row>
    <row r="322">
      <c r="B322" s="34"/>
      <c r="C322" s="34"/>
      <c r="D322" s="34"/>
      <c r="H322" s="34"/>
      <c r="I322" s="34"/>
    </row>
    <row r="323">
      <c r="B323" s="34"/>
      <c r="C323" s="34"/>
      <c r="D323" s="34"/>
      <c r="H323" s="34"/>
      <c r="I323" s="34"/>
    </row>
    <row r="324">
      <c r="B324" s="34"/>
      <c r="C324" s="34"/>
      <c r="D324" s="34"/>
      <c r="H324" s="34"/>
      <c r="I324" s="34"/>
    </row>
    <row r="325">
      <c r="B325" s="34"/>
      <c r="C325" s="34"/>
      <c r="D325" s="34"/>
      <c r="H325" s="34"/>
      <c r="I325" s="34"/>
    </row>
    <row r="326">
      <c r="B326" s="34"/>
      <c r="C326" s="34"/>
      <c r="D326" s="34"/>
      <c r="H326" s="34"/>
      <c r="I326" s="34"/>
    </row>
    <row r="327">
      <c r="B327" s="34"/>
      <c r="C327" s="34"/>
      <c r="D327" s="34"/>
      <c r="H327" s="34"/>
      <c r="I327" s="34"/>
    </row>
    <row r="328">
      <c r="B328" s="34"/>
      <c r="C328" s="34"/>
      <c r="D328" s="34"/>
      <c r="H328" s="34"/>
      <c r="I328" s="34"/>
    </row>
    <row r="329">
      <c r="B329" s="34"/>
      <c r="C329" s="34"/>
      <c r="D329" s="34"/>
      <c r="H329" s="34"/>
      <c r="I329" s="34"/>
    </row>
    <row r="330">
      <c r="B330" s="34"/>
      <c r="C330" s="34"/>
      <c r="D330" s="34"/>
      <c r="H330" s="34"/>
      <c r="I330" s="34"/>
    </row>
    <row r="331">
      <c r="B331" s="34"/>
      <c r="C331" s="34"/>
      <c r="D331" s="34"/>
      <c r="H331" s="34"/>
      <c r="I331" s="34"/>
    </row>
    <row r="332">
      <c r="B332" s="34"/>
      <c r="C332" s="34"/>
      <c r="D332" s="34"/>
      <c r="H332" s="34"/>
      <c r="I332" s="34"/>
    </row>
    <row r="333">
      <c r="B333" s="34"/>
      <c r="C333" s="34"/>
      <c r="D333" s="34"/>
      <c r="H333" s="34"/>
      <c r="I333" s="34"/>
    </row>
    <row r="334">
      <c r="B334" s="34"/>
      <c r="C334" s="34"/>
      <c r="D334" s="34"/>
      <c r="H334" s="34"/>
      <c r="I334" s="34"/>
    </row>
    <row r="335">
      <c r="B335" s="34"/>
      <c r="C335" s="34"/>
      <c r="D335" s="34"/>
      <c r="H335" s="34"/>
      <c r="I335" s="34"/>
    </row>
    <row r="336">
      <c r="B336" s="34"/>
      <c r="C336" s="34"/>
      <c r="D336" s="34"/>
      <c r="H336" s="34"/>
      <c r="I336" s="34"/>
    </row>
    <row r="337">
      <c r="B337" s="34"/>
      <c r="C337" s="34"/>
      <c r="D337" s="34"/>
      <c r="H337" s="34"/>
      <c r="I337" s="34"/>
    </row>
    <row r="338">
      <c r="B338" s="34"/>
      <c r="C338" s="34"/>
      <c r="D338" s="34"/>
      <c r="H338" s="34"/>
      <c r="I338" s="34"/>
    </row>
    <row r="339">
      <c r="B339" s="34"/>
      <c r="C339" s="34"/>
      <c r="D339" s="34"/>
      <c r="H339" s="34"/>
      <c r="I339" s="34"/>
    </row>
    <row r="340">
      <c r="B340" s="34"/>
      <c r="C340" s="34"/>
      <c r="D340" s="34"/>
      <c r="H340" s="34"/>
      <c r="I340" s="34"/>
    </row>
    <row r="341">
      <c r="B341" s="34"/>
      <c r="C341" s="34"/>
      <c r="D341" s="34"/>
      <c r="H341" s="34"/>
      <c r="I341" s="34"/>
    </row>
    <row r="342">
      <c r="B342" s="34"/>
      <c r="C342" s="34"/>
      <c r="D342" s="34"/>
      <c r="H342" s="34"/>
      <c r="I342" s="34"/>
    </row>
    <row r="343">
      <c r="B343" s="34"/>
      <c r="C343" s="34"/>
      <c r="D343" s="34"/>
      <c r="H343" s="34"/>
      <c r="I343" s="34"/>
    </row>
    <row r="344">
      <c r="B344" s="34"/>
      <c r="C344" s="34"/>
      <c r="D344" s="34"/>
      <c r="H344" s="34"/>
      <c r="I344" s="34"/>
    </row>
    <row r="345">
      <c r="B345" s="34"/>
      <c r="C345" s="34"/>
      <c r="D345" s="34"/>
      <c r="H345" s="34"/>
      <c r="I345" s="34"/>
    </row>
    <row r="346">
      <c r="B346" s="34"/>
      <c r="C346" s="34"/>
      <c r="D346" s="34"/>
      <c r="H346" s="34"/>
      <c r="I346" s="34"/>
    </row>
    <row r="347">
      <c r="B347" s="34"/>
      <c r="C347" s="34"/>
      <c r="D347" s="34"/>
      <c r="H347" s="34"/>
      <c r="I347" s="34"/>
    </row>
    <row r="348">
      <c r="B348" s="34"/>
      <c r="C348" s="34"/>
      <c r="D348" s="34"/>
      <c r="H348" s="34"/>
      <c r="I348" s="34"/>
    </row>
    <row r="349">
      <c r="B349" s="34"/>
      <c r="C349" s="34"/>
      <c r="D349" s="34"/>
      <c r="H349" s="34"/>
      <c r="I349" s="34"/>
    </row>
    <row r="350">
      <c r="B350" s="34"/>
      <c r="C350" s="34"/>
      <c r="D350" s="34"/>
      <c r="H350" s="34"/>
      <c r="I350" s="34"/>
    </row>
    <row r="351">
      <c r="B351" s="34"/>
      <c r="C351" s="34"/>
      <c r="D351" s="34"/>
      <c r="H351" s="34"/>
      <c r="I351" s="34"/>
    </row>
    <row r="352">
      <c r="B352" s="34"/>
      <c r="C352" s="34"/>
      <c r="D352" s="34"/>
      <c r="H352" s="34"/>
      <c r="I352" s="34"/>
    </row>
    <row r="353">
      <c r="B353" s="34"/>
      <c r="C353" s="34"/>
      <c r="D353" s="34"/>
      <c r="H353" s="34"/>
      <c r="I353" s="34"/>
    </row>
    <row r="354">
      <c r="B354" s="34"/>
      <c r="C354" s="34"/>
      <c r="D354" s="34"/>
      <c r="H354" s="34"/>
      <c r="I354" s="34"/>
    </row>
    <row r="355">
      <c r="B355" s="34"/>
      <c r="C355" s="34"/>
      <c r="D355" s="34"/>
      <c r="H355" s="34"/>
      <c r="I355" s="34"/>
    </row>
    <row r="356">
      <c r="B356" s="34"/>
      <c r="C356" s="34"/>
      <c r="D356" s="34"/>
      <c r="H356" s="34"/>
      <c r="I356" s="34"/>
    </row>
    <row r="357">
      <c r="B357" s="34"/>
      <c r="C357" s="34"/>
      <c r="D357" s="34"/>
      <c r="H357" s="34"/>
      <c r="I357" s="34"/>
    </row>
    <row r="358">
      <c r="B358" s="34"/>
      <c r="C358" s="34"/>
      <c r="D358" s="34"/>
      <c r="H358" s="34"/>
      <c r="I358" s="34"/>
    </row>
    <row r="359">
      <c r="B359" s="34"/>
      <c r="C359" s="34"/>
      <c r="D359" s="34"/>
      <c r="H359" s="34"/>
      <c r="I359" s="34"/>
    </row>
    <row r="360">
      <c r="B360" s="34"/>
      <c r="C360" s="34"/>
      <c r="D360" s="34"/>
      <c r="H360" s="34"/>
      <c r="I360" s="34"/>
    </row>
    <row r="361">
      <c r="B361" s="34"/>
      <c r="C361" s="34"/>
      <c r="D361" s="34"/>
      <c r="H361" s="34"/>
      <c r="I361" s="34"/>
    </row>
    <row r="362">
      <c r="B362" s="34"/>
      <c r="C362" s="34"/>
      <c r="D362" s="34"/>
      <c r="H362" s="34"/>
      <c r="I362" s="34"/>
    </row>
    <row r="363">
      <c r="B363" s="34"/>
      <c r="C363" s="34"/>
      <c r="D363" s="34"/>
      <c r="H363" s="34"/>
      <c r="I363" s="34"/>
    </row>
    <row r="364">
      <c r="B364" s="34"/>
      <c r="C364" s="34"/>
      <c r="D364" s="34"/>
      <c r="H364" s="34"/>
      <c r="I364" s="34"/>
    </row>
    <row r="365">
      <c r="B365" s="34"/>
      <c r="C365" s="34"/>
      <c r="D365" s="34"/>
      <c r="H365" s="34"/>
      <c r="I365" s="34"/>
    </row>
    <row r="366">
      <c r="B366" s="34"/>
      <c r="C366" s="34"/>
      <c r="D366" s="34"/>
      <c r="H366" s="34"/>
      <c r="I366" s="34"/>
    </row>
    <row r="367">
      <c r="B367" s="34"/>
      <c r="C367" s="34"/>
      <c r="D367" s="34"/>
      <c r="H367" s="34"/>
      <c r="I367" s="34"/>
    </row>
    <row r="368">
      <c r="B368" s="34"/>
      <c r="C368" s="34"/>
      <c r="D368" s="34"/>
      <c r="H368" s="34"/>
      <c r="I368" s="34"/>
    </row>
    <row r="369">
      <c r="B369" s="34"/>
      <c r="C369" s="34"/>
      <c r="D369" s="34"/>
      <c r="H369" s="34"/>
      <c r="I369" s="34"/>
    </row>
    <row r="370">
      <c r="B370" s="34"/>
      <c r="C370" s="34"/>
      <c r="D370" s="34"/>
      <c r="H370" s="34"/>
      <c r="I370" s="34"/>
    </row>
    <row r="371">
      <c r="B371" s="34"/>
      <c r="C371" s="34"/>
      <c r="D371" s="34"/>
      <c r="H371" s="34"/>
      <c r="I371" s="34"/>
    </row>
    <row r="372">
      <c r="B372" s="34"/>
      <c r="C372" s="34"/>
      <c r="D372" s="34"/>
      <c r="H372" s="34"/>
      <c r="I372" s="34"/>
    </row>
    <row r="373">
      <c r="B373" s="34"/>
      <c r="C373" s="34"/>
      <c r="D373" s="34"/>
      <c r="H373" s="34"/>
      <c r="I373" s="34"/>
    </row>
    <row r="374">
      <c r="B374" s="34"/>
      <c r="C374" s="34"/>
      <c r="D374" s="34"/>
      <c r="H374" s="34"/>
      <c r="I374" s="34"/>
    </row>
    <row r="375">
      <c r="B375" s="34"/>
      <c r="C375" s="34"/>
      <c r="D375" s="34"/>
      <c r="H375" s="34"/>
      <c r="I375" s="34"/>
    </row>
    <row r="376">
      <c r="B376" s="34"/>
      <c r="C376" s="34"/>
      <c r="D376" s="34"/>
      <c r="H376" s="34"/>
      <c r="I376" s="34"/>
    </row>
    <row r="377">
      <c r="B377" s="34"/>
      <c r="C377" s="34"/>
      <c r="D377" s="34"/>
      <c r="H377" s="34"/>
      <c r="I377" s="34"/>
    </row>
    <row r="378">
      <c r="B378" s="34"/>
      <c r="C378" s="34"/>
      <c r="D378" s="34"/>
      <c r="H378" s="34"/>
      <c r="I378" s="34"/>
    </row>
    <row r="379">
      <c r="B379" s="34"/>
      <c r="C379" s="34"/>
      <c r="D379" s="34"/>
      <c r="H379" s="34"/>
      <c r="I379" s="34"/>
    </row>
    <row r="380">
      <c r="B380" s="34"/>
      <c r="C380" s="34"/>
      <c r="D380" s="34"/>
      <c r="H380" s="34"/>
      <c r="I380" s="34"/>
    </row>
    <row r="381">
      <c r="B381" s="34"/>
      <c r="C381" s="34"/>
      <c r="D381" s="34"/>
      <c r="H381" s="34"/>
      <c r="I381" s="34"/>
    </row>
    <row r="382">
      <c r="B382" s="34"/>
      <c r="C382" s="34"/>
      <c r="D382" s="34"/>
      <c r="H382" s="34"/>
      <c r="I382" s="34"/>
    </row>
    <row r="383">
      <c r="B383" s="34"/>
      <c r="C383" s="34"/>
      <c r="D383" s="34"/>
      <c r="H383" s="34"/>
      <c r="I383" s="34"/>
    </row>
    <row r="384">
      <c r="B384" s="34"/>
      <c r="C384" s="34"/>
      <c r="D384" s="34"/>
      <c r="H384" s="34"/>
      <c r="I384" s="34"/>
    </row>
    <row r="385">
      <c r="B385" s="34"/>
      <c r="C385" s="34"/>
      <c r="D385" s="34"/>
      <c r="H385" s="34"/>
      <c r="I385" s="34"/>
    </row>
    <row r="386">
      <c r="B386" s="34"/>
      <c r="C386" s="34"/>
      <c r="D386" s="34"/>
      <c r="H386" s="34"/>
      <c r="I386" s="34"/>
    </row>
    <row r="387">
      <c r="B387" s="34"/>
      <c r="C387" s="34"/>
      <c r="D387" s="34"/>
      <c r="H387" s="34"/>
      <c r="I387" s="34"/>
    </row>
    <row r="388">
      <c r="B388" s="34"/>
      <c r="C388" s="34"/>
      <c r="D388" s="34"/>
      <c r="H388" s="34"/>
      <c r="I388" s="34"/>
    </row>
    <row r="389">
      <c r="B389" s="34"/>
      <c r="C389" s="34"/>
      <c r="D389" s="34"/>
      <c r="H389" s="34"/>
      <c r="I389" s="34"/>
    </row>
    <row r="390">
      <c r="B390" s="34"/>
      <c r="C390" s="34"/>
      <c r="D390" s="34"/>
      <c r="H390" s="34"/>
      <c r="I390" s="34"/>
    </row>
    <row r="391">
      <c r="B391" s="34"/>
      <c r="C391" s="34"/>
      <c r="D391" s="34"/>
      <c r="H391" s="34"/>
      <c r="I391" s="34"/>
    </row>
    <row r="392">
      <c r="B392" s="34"/>
      <c r="C392" s="34"/>
      <c r="D392" s="34"/>
      <c r="H392" s="34"/>
      <c r="I392" s="34"/>
    </row>
    <row r="393">
      <c r="B393" s="34"/>
      <c r="C393" s="34"/>
      <c r="D393" s="34"/>
      <c r="H393" s="34"/>
      <c r="I393" s="34"/>
    </row>
    <row r="394">
      <c r="B394" s="34"/>
      <c r="C394" s="34"/>
      <c r="D394" s="34"/>
      <c r="H394" s="34"/>
      <c r="I394" s="34"/>
    </row>
    <row r="395">
      <c r="B395" s="34"/>
      <c r="C395" s="34"/>
      <c r="D395" s="34"/>
      <c r="H395" s="34"/>
      <c r="I395" s="34"/>
    </row>
    <row r="396">
      <c r="B396" s="34"/>
      <c r="C396" s="34"/>
      <c r="D396" s="34"/>
      <c r="H396" s="34"/>
      <c r="I396" s="34"/>
    </row>
    <row r="397">
      <c r="B397" s="34"/>
      <c r="C397" s="34"/>
      <c r="D397" s="34"/>
      <c r="H397" s="34"/>
      <c r="I397" s="34"/>
    </row>
    <row r="398">
      <c r="B398" s="34"/>
      <c r="C398" s="34"/>
      <c r="D398" s="34"/>
      <c r="H398" s="34"/>
      <c r="I398" s="34"/>
    </row>
    <row r="399">
      <c r="B399" s="34"/>
      <c r="C399" s="34"/>
      <c r="D399" s="34"/>
      <c r="H399" s="34"/>
      <c r="I399" s="34"/>
    </row>
    <row r="400">
      <c r="B400" s="34"/>
      <c r="C400" s="34"/>
      <c r="D400" s="34"/>
      <c r="H400" s="34"/>
      <c r="I400" s="34"/>
    </row>
    <row r="401">
      <c r="B401" s="34"/>
      <c r="C401" s="34"/>
      <c r="D401" s="34"/>
      <c r="H401" s="34"/>
      <c r="I401" s="34"/>
    </row>
    <row r="402">
      <c r="B402" s="34"/>
      <c r="C402" s="34"/>
      <c r="D402" s="34"/>
      <c r="H402" s="34"/>
      <c r="I402" s="34"/>
    </row>
    <row r="403">
      <c r="B403" s="34"/>
      <c r="C403" s="34"/>
      <c r="D403" s="34"/>
      <c r="H403" s="34"/>
      <c r="I403" s="34"/>
    </row>
    <row r="404">
      <c r="B404" s="34"/>
      <c r="C404" s="34"/>
      <c r="D404" s="34"/>
      <c r="H404" s="34"/>
      <c r="I404" s="34"/>
    </row>
    <row r="405">
      <c r="B405" s="34"/>
      <c r="C405" s="34"/>
      <c r="D405" s="34"/>
      <c r="H405" s="34"/>
      <c r="I405" s="34"/>
    </row>
    <row r="406">
      <c r="B406" s="34"/>
      <c r="C406" s="34"/>
      <c r="D406" s="34"/>
      <c r="H406" s="34"/>
      <c r="I406" s="34"/>
    </row>
    <row r="407">
      <c r="B407" s="34"/>
      <c r="C407" s="34"/>
      <c r="D407" s="34"/>
      <c r="H407" s="34"/>
      <c r="I407" s="34"/>
    </row>
    <row r="408">
      <c r="B408" s="34"/>
      <c r="C408" s="34"/>
      <c r="D408" s="34"/>
      <c r="H408" s="34"/>
      <c r="I408" s="34"/>
    </row>
    <row r="409">
      <c r="B409" s="34"/>
      <c r="C409" s="34"/>
      <c r="D409" s="34"/>
      <c r="H409" s="34"/>
      <c r="I409" s="34"/>
    </row>
    <row r="410">
      <c r="B410" s="34"/>
      <c r="C410" s="34"/>
      <c r="D410" s="34"/>
      <c r="H410" s="34"/>
      <c r="I410" s="34"/>
    </row>
    <row r="411">
      <c r="B411" s="34"/>
      <c r="C411" s="34"/>
      <c r="D411" s="34"/>
      <c r="H411" s="34"/>
      <c r="I411" s="34"/>
    </row>
    <row r="412">
      <c r="B412" s="34"/>
      <c r="C412" s="34"/>
      <c r="D412" s="34"/>
      <c r="H412" s="34"/>
      <c r="I412" s="34"/>
    </row>
    <row r="413">
      <c r="B413" s="34"/>
      <c r="C413" s="34"/>
      <c r="D413" s="34"/>
      <c r="H413" s="34"/>
      <c r="I413" s="34"/>
    </row>
    <row r="414">
      <c r="B414" s="34"/>
      <c r="C414" s="34"/>
      <c r="D414" s="34"/>
      <c r="H414" s="34"/>
      <c r="I414" s="34"/>
    </row>
    <row r="415">
      <c r="B415" s="34"/>
      <c r="C415" s="34"/>
      <c r="D415" s="34"/>
      <c r="H415" s="34"/>
      <c r="I415" s="34"/>
    </row>
    <row r="416">
      <c r="B416" s="34"/>
      <c r="C416" s="34"/>
      <c r="D416" s="34"/>
      <c r="H416" s="34"/>
      <c r="I416" s="34"/>
    </row>
    <row r="417">
      <c r="B417" s="34"/>
      <c r="C417" s="34"/>
      <c r="D417" s="34"/>
      <c r="H417" s="34"/>
      <c r="I417" s="34"/>
    </row>
    <row r="418">
      <c r="B418" s="34"/>
      <c r="C418" s="34"/>
      <c r="D418" s="34"/>
      <c r="H418" s="34"/>
      <c r="I418" s="34"/>
    </row>
    <row r="419">
      <c r="B419" s="34"/>
      <c r="C419" s="34"/>
      <c r="D419" s="34"/>
      <c r="H419" s="34"/>
      <c r="I419" s="34"/>
    </row>
    <row r="420">
      <c r="B420" s="34"/>
      <c r="C420" s="34"/>
      <c r="D420" s="34"/>
      <c r="H420" s="34"/>
      <c r="I420" s="34"/>
    </row>
    <row r="421">
      <c r="B421" s="34"/>
      <c r="C421" s="34"/>
      <c r="D421" s="34"/>
      <c r="H421" s="34"/>
      <c r="I421" s="34"/>
    </row>
    <row r="422">
      <c r="B422" s="34"/>
      <c r="C422" s="34"/>
      <c r="D422" s="34"/>
      <c r="H422" s="34"/>
      <c r="I422" s="34"/>
    </row>
    <row r="423">
      <c r="B423" s="34"/>
      <c r="C423" s="34"/>
      <c r="D423" s="34"/>
      <c r="H423" s="34"/>
      <c r="I423" s="34"/>
    </row>
    <row r="424">
      <c r="B424" s="34"/>
      <c r="C424" s="34"/>
      <c r="D424" s="34"/>
      <c r="H424" s="34"/>
      <c r="I424" s="34"/>
    </row>
    <row r="425">
      <c r="B425" s="34"/>
      <c r="C425" s="34"/>
      <c r="D425" s="34"/>
      <c r="H425" s="34"/>
      <c r="I425" s="34"/>
    </row>
    <row r="426">
      <c r="B426" s="34"/>
      <c r="C426" s="34"/>
      <c r="D426" s="34"/>
      <c r="H426" s="34"/>
      <c r="I426" s="34"/>
    </row>
    <row r="427">
      <c r="B427" s="34"/>
      <c r="C427" s="34"/>
      <c r="D427" s="34"/>
      <c r="H427" s="34"/>
      <c r="I427" s="34"/>
    </row>
    <row r="428">
      <c r="B428" s="34"/>
      <c r="C428" s="34"/>
      <c r="D428" s="34"/>
      <c r="H428" s="34"/>
      <c r="I428" s="34"/>
    </row>
    <row r="429">
      <c r="B429" s="34"/>
      <c r="C429" s="34"/>
      <c r="D429" s="34"/>
      <c r="H429" s="34"/>
      <c r="I429" s="34"/>
    </row>
    <row r="430">
      <c r="B430" s="34"/>
      <c r="C430" s="34"/>
      <c r="D430" s="34"/>
      <c r="H430" s="34"/>
      <c r="I430" s="34"/>
    </row>
    <row r="431">
      <c r="B431" s="34"/>
      <c r="C431" s="34"/>
      <c r="D431" s="34"/>
      <c r="H431" s="34"/>
      <c r="I431" s="34"/>
    </row>
    <row r="432">
      <c r="B432" s="34"/>
      <c r="C432" s="34"/>
      <c r="D432" s="34"/>
      <c r="H432" s="34"/>
      <c r="I432" s="34"/>
    </row>
    <row r="433">
      <c r="B433" s="34"/>
      <c r="C433" s="34"/>
      <c r="D433" s="34"/>
      <c r="H433" s="34"/>
      <c r="I433" s="34"/>
    </row>
    <row r="434">
      <c r="B434" s="34"/>
      <c r="C434" s="34"/>
      <c r="D434" s="34"/>
      <c r="H434" s="34"/>
      <c r="I434" s="34"/>
    </row>
    <row r="435">
      <c r="B435" s="34"/>
      <c r="C435" s="34"/>
      <c r="D435" s="34"/>
      <c r="H435" s="34"/>
      <c r="I435" s="34"/>
    </row>
    <row r="436">
      <c r="B436" s="34"/>
      <c r="C436" s="34"/>
      <c r="D436" s="34"/>
      <c r="H436" s="34"/>
      <c r="I436" s="34"/>
    </row>
    <row r="437">
      <c r="B437" s="34"/>
      <c r="C437" s="34"/>
      <c r="D437" s="34"/>
      <c r="H437" s="34"/>
      <c r="I437" s="34"/>
    </row>
    <row r="438">
      <c r="B438" s="34"/>
      <c r="C438" s="34"/>
      <c r="D438" s="34"/>
      <c r="H438" s="34"/>
      <c r="I438" s="34"/>
    </row>
    <row r="439">
      <c r="B439" s="34"/>
      <c r="C439" s="34"/>
      <c r="D439" s="34"/>
      <c r="H439" s="34"/>
      <c r="I439" s="34"/>
    </row>
    <row r="440">
      <c r="B440" s="34"/>
      <c r="C440" s="34"/>
      <c r="D440" s="34"/>
      <c r="H440" s="34"/>
      <c r="I440" s="34"/>
    </row>
    <row r="441">
      <c r="B441" s="34"/>
      <c r="C441" s="34"/>
      <c r="D441" s="34"/>
      <c r="H441" s="34"/>
      <c r="I441" s="34"/>
    </row>
    <row r="442">
      <c r="B442" s="34"/>
      <c r="C442" s="34"/>
      <c r="D442" s="34"/>
      <c r="H442" s="34"/>
      <c r="I442" s="34"/>
    </row>
    <row r="443">
      <c r="B443" s="34"/>
      <c r="C443" s="34"/>
      <c r="D443" s="34"/>
      <c r="H443" s="34"/>
      <c r="I443" s="34"/>
    </row>
    <row r="444">
      <c r="B444" s="34"/>
      <c r="C444" s="34"/>
      <c r="D444" s="34"/>
      <c r="H444" s="34"/>
      <c r="I444" s="34"/>
    </row>
    <row r="445">
      <c r="B445" s="34"/>
      <c r="C445" s="34"/>
      <c r="D445" s="34"/>
      <c r="H445" s="34"/>
      <c r="I445" s="34"/>
    </row>
    <row r="446">
      <c r="B446" s="34"/>
      <c r="C446" s="34"/>
      <c r="D446" s="34"/>
      <c r="H446" s="34"/>
      <c r="I446" s="34"/>
    </row>
    <row r="447">
      <c r="B447" s="34"/>
      <c r="C447" s="34"/>
      <c r="D447" s="34"/>
      <c r="H447" s="34"/>
      <c r="I447" s="34"/>
    </row>
    <row r="448">
      <c r="B448" s="34"/>
      <c r="C448" s="34"/>
      <c r="D448" s="34"/>
      <c r="H448" s="34"/>
      <c r="I448" s="34"/>
    </row>
    <row r="449">
      <c r="B449" s="34"/>
      <c r="C449" s="34"/>
      <c r="D449" s="34"/>
      <c r="H449" s="34"/>
      <c r="I449" s="34"/>
    </row>
    <row r="450">
      <c r="B450" s="34"/>
      <c r="C450" s="34"/>
      <c r="D450" s="34"/>
      <c r="H450" s="34"/>
      <c r="I450" s="34"/>
    </row>
    <row r="451">
      <c r="B451" s="34"/>
      <c r="C451" s="34"/>
      <c r="D451" s="34"/>
      <c r="H451" s="34"/>
      <c r="I451" s="34"/>
    </row>
    <row r="452">
      <c r="B452" s="34"/>
      <c r="C452" s="34"/>
      <c r="D452" s="34"/>
      <c r="H452" s="34"/>
      <c r="I452" s="34"/>
    </row>
    <row r="453">
      <c r="B453" s="34"/>
      <c r="C453" s="34"/>
      <c r="D453" s="34"/>
      <c r="H453" s="34"/>
      <c r="I453" s="34"/>
    </row>
    <row r="454">
      <c r="B454" s="34"/>
      <c r="C454" s="34"/>
      <c r="D454" s="34"/>
      <c r="H454" s="34"/>
      <c r="I454" s="34"/>
    </row>
    <row r="455">
      <c r="B455" s="34"/>
      <c r="C455" s="34"/>
      <c r="D455" s="34"/>
      <c r="H455" s="34"/>
      <c r="I455" s="34"/>
    </row>
    <row r="456">
      <c r="B456" s="34"/>
      <c r="C456" s="34"/>
      <c r="D456" s="34"/>
      <c r="H456" s="34"/>
      <c r="I456" s="34"/>
    </row>
    <row r="457">
      <c r="B457" s="34"/>
      <c r="C457" s="34"/>
      <c r="D457" s="34"/>
      <c r="H457" s="34"/>
      <c r="I457" s="34"/>
    </row>
    <row r="458">
      <c r="B458" s="34"/>
      <c r="C458" s="34"/>
      <c r="D458" s="34"/>
      <c r="H458" s="34"/>
      <c r="I458" s="34"/>
    </row>
    <row r="459">
      <c r="B459" s="34"/>
      <c r="C459" s="34"/>
      <c r="D459" s="34"/>
      <c r="H459" s="34"/>
      <c r="I459" s="34"/>
    </row>
    <row r="460">
      <c r="B460" s="34"/>
      <c r="C460" s="34"/>
      <c r="D460" s="34"/>
      <c r="H460" s="34"/>
      <c r="I460" s="34"/>
    </row>
    <row r="461">
      <c r="B461" s="34"/>
      <c r="C461" s="34"/>
      <c r="D461" s="34"/>
      <c r="H461" s="34"/>
      <c r="I461" s="34"/>
    </row>
    <row r="462">
      <c r="B462" s="34"/>
      <c r="C462" s="34"/>
      <c r="D462" s="34"/>
      <c r="H462" s="34"/>
      <c r="I462" s="34"/>
    </row>
    <row r="463">
      <c r="B463" s="34"/>
      <c r="C463" s="34"/>
      <c r="D463" s="34"/>
      <c r="H463" s="34"/>
      <c r="I463" s="34"/>
    </row>
    <row r="464">
      <c r="B464" s="34"/>
      <c r="C464" s="34"/>
      <c r="D464" s="34"/>
      <c r="H464" s="34"/>
      <c r="I464" s="34"/>
    </row>
    <row r="465">
      <c r="B465" s="34"/>
      <c r="C465" s="34"/>
      <c r="D465" s="34"/>
      <c r="H465" s="34"/>
      <c r="I465" s="34"/>
    </row>
    <row r="466">
      <c r="B466" s="34"/>
      <c r="C466" s="34"/>
      <c r="D466" s="34"/>
      <c r="H466" s="34"/>
      <c r="I466" s="34"/>
    </row>
    <row r="467">
      <c r="B467" s="34"/>
      <c r="C467" s="34"/>
      <c r="D467" s="34"/>
      <c r="H467" s="34"/>
      <c r="I467" s="34"/>
    </row>
    <row r="468">
      <c r="B468" s="34"/>
      <c r="C468" s="34"/>
      <c r="D468" s="34"/>
      <c r="H468" s="34"/>
      <c r="I468" s="34"/>
    </row>
    <row r="469">
      <c r="B469" s="34"/>
      <c r="C469" s="34"/>
      <c r="D469" s="34"/>
      <c r="H469" s="34"/>
      <c r="I469" s="34"/>
    </row>
    <row r="470">
      <c r="B470" s="34"/>
      <c r="C470" s="34"/>
      <c r="D470" s="34"/>
      <c r="H470" s="34"/>
      <c r="I470" s="34"/>
    </row>
    <row r="471">
      <c r="B471" s="34"/>
      <c r="C471" s="34"/>
      <c r="D471" s="34"/>
      <c r="H471" s="34"/>
      <c r="I471" s="34"/>
    </row>
    <row r="472">
      <c r="B472" s="34"/>
      <c r="C472" s="34"/>
      <c r="D472" s="34"/>
      <c r="H472" s="34"/>
      <c r="I472" s="34"/>
    </row>
    <row r="473">
      <c r="B473" s="34"/>
      <c r="C473" s="34"/>
      <c r="D473" s="34"/>
      <c r="H473" s="34"/>
      <c r="I473" s="34"/>
    </row>
    <row r="474">
      <c r="B474" s="34"/>
      <c r="C474" s="34"/>
      <c r="D474" s="34"/>
      <c r="H474" s="34"/>
      <c r="I474" s="34"/>
    </row>
    <row r="475">
      <c r="B475" s="34"/>
      <c r="C475" s="34"/>
      <c r="D475" s="34"/>
      <c r="H475" s="34"/>
      <c r="I475" s="34"/>
    </row>
    <row r="476">
      <c r="B476" s="34"/>
      <c r="C476" s="34"/>
      <c r="D476" s="34"/>
      <c r="H476" s="34"/>
      <c r="I476" s="34"/>
    </row>
    <row r="477">
      <c r="B477" s="34"/>
      <c r="C477" s="34"/>
      <c r="D477" s="34"/>
      <c r="H477" s="34"/>
      <c r="I477" s="34"/>
    </row>
    <row r="478">
      <c r="B478" s="34"/>
      <c r="C478" s="34"/>
      <c r="D478" s="34"/>
      <c r="H478" s="34"/>
      <c r="I478" s="34"/>
    </row>
    <row r="479">
      <c r="B479" s="34"/>
      <c r="C479" s="34"/>
      <c r="D479" s="34"/>
      <c r="H479" s="34"/>
      <c r="I479" s="34"/>
    </row>
    <row r="480">
      <c r="B480" s="34"/>
      <c r="C480" s="34"/>
      <c r="D480" s="34"/>
      <c r="H480" s="34"/>
      <c r="I480" s="34"/>
    </row>
    <row r="481">
      <c r="B481" s="34"/>
      <c r="C481" s="34"/>
      <c r="D481" s="34"/>
      <c r="H481" s="34"/>
      <c r="I481" s="34"/>
    </row>
    <row r="482">
      <c r="B482" s="34"/>
      <c r="C482" s="34"/>
      <c r="D482" s="34"/>
      <c r="H482" s="34"/>
      <c r="I482" s="34"/>
    </row>
    <row r="483">
      <c r="B483" s="34"/>
      <c r="C483" s="34"/>
      <c r="D483" s="34"/>
      <c r="H483" s="34"/>
      <c r="I483" s="34"/>
    </row>
    <row r="484">
      <c r="B484" s="34"/>
      <c r="C484" s="34"/>
      <c r="D484" s="34"/>
      <c r="H484" s="34"/>
      <c r="I484" s="34"/>
    </row>
    <row r="485">
      <c r="B485" s="34"/>
      <c r="C485" s="34"/>
      <c r="D485" s="34"/>
      <c r="H485" s="34"/>
      <c r="I485" s="34"/>
    </row>
    <row r="486">
      <c r="B486" s="34"/>
      <c r="C486" s="34"/>
      <c r="D486" s="34"/>
      <c r="H486" s="34"/>
      <c r="I486" s="34"/>
    </row>
    <row r="487">
      <c r="B487" s="34"/>
      <c r="C487" s="34"/>
      <c r="D487" s="34"/>
      <c r="H487" s="34"/>
      <c r="I487" s="34"/>
    </row>
    <row r="488">
      <c r="B488" s="34"/>
      <c r="C488" s="34"/>
      <c r="D488" s="34"/>
      <c r="H488" s="34"/>
      <c r="I488" s="34"/>
    </row>
    <row r="489">
      <c r="B489" s="34"/>
      <c r="C489" s="34"/>
      <c r="D489" s="34"/>
      <c r="H489" s="34"/>
      <c r="I489" s="34"/>
    </row>
    <row r="490">
      <c r="B490" s="34"/>
      <c r="C490" s="34"/>
      <c r="D490" s="34"/>
      <c r="H490" s="34"/>
      <c r="I490" s="34"/>
    </row>
    <row r="491">
      <c r="B491" s="34"/>
      <c r="C491" s="34"/>
      <c r="D491" s="34"/>
      <c r="H491" s="34"/>
      <c r="I491" s="34"/>
    </row>
    <row r="492">
      <c r="B492" s="34"/>
      <c r="C492" s="34"/>
      <c r="D492" s="34"/>
      <c r="H492" s="34"/>
      <c r="I492" s="34"/>
    </row>
    <row r="493">
      <c r="B493" s="34"/>
      <c r="C493" s="34"/>
      <c r="D493" s="34"/>
      <c r="H493" s="34"/>
      <c r="I493" s="34"/>
    </row>
    <row r="494">
      <c r="B494" s="34"/>
      <c r="C494" s="34"/>
      <c r="D494" s="34"/>
      <c r="H494" s="34"/>
      <c r="I494" s="34"/>
    </row>
    <row r="495">
      <c r="B495" s="34"/>
      <c r="C495" s="34"/>
      <c r="D495" s="34"/>
      <c r="H495" s="34"/>
      <c r="I495" s="34"/>
    </row>
    <row r="496">
      <c r="B496" s="34"/>
      <c r="C496" s="34"/>
      <c r="D496" s="34"/>
      <c r="H496" s="34"/>
      <c r="I496" s="34"/>
    </row>
    <row r="497">
      <c r="B497" s="34"/>
      <c r="C497" s="34"/>
      <c r="D497" s="34"/>
      <c r="H497" s="34"/>
      <c r="I497" s="34"/>
    </row>
    <row r="498">
      <c r="B498" s="34"/>
      <c r="C498" s="34"/>
      <c r="D498" s="34"/>
      <c r="H498" s="34"/>
      <c r="I498" s="34"/>
    </row>
    <row r="499">
      <c r="B499" s="34"/>
      <c r="C499" s="34"/>
      <c r="D499" s="34"/>
      <c r="H499" s="34"/>
      <c r="I499" s="34"/>
    </row>
    <row r="500">
      <c r="B500" s="34"/>
      <c r="C500" s="34"/>
      <c r="D500" s="34"/>
      <c r="H500" s="34"/>
      <c r="I500" s="34"/>
    </row>
    <row r="501">
      <c r="B501" s="34"/>
      <c r="C501" s="34"/>
      <c r="D501" s="34"/>
      <c r="H501" s="34"/>
      <c r="I501" s="34"/>
    </row>
    <row r="502">
      <c r="B502" s="34"/>
      <c r="C502" s="34"/>
      <c r="D502" s="34"/>
      <c r="H502" s="34"/>
      <c r="I502" s="34"/>
    </row>
    <row r="503">
      <c r="B503" s="34"/>
      <c r="C503" s="34"/>
      <c r="D503" s="34"/>
      <c r="H503" s="34"/>
      <c r="I503" s="34"/>
    </row>
    <row r="504">
      <c r="B504" s="34"/>
      <c r="C504" s="34"/>
      <c r="D504" s="34"/>
      <c r="H504" s="34"/>
      <c r="I504" s="34"/>
    </row>
    <row r="505">
      <c r="B505" s="34"/>
      <c r="C505" s="34"/>
      <c r="D505" s="34"/>
      <c r="H505" s="34"/>
      <c r="I505" s="34"/>
    </row>
    <row r="506">
      <c r="B506" s="34"/>
      <c r="C506" s="34"/>
      <c r="D506" s="34"/>
      <c r="H506" s="34"/>
      <c r="I506" s="34"/>
    </row>
    <row r="507">
      <c r="B507" s="34"/>
      <c r="C507" s="34"/>
      <c r="D507" s="34"/>
      <c r="H507" s="34"/>
      <c r="I507" s="34"/>
    </row>
    <row r="508">
      <c r="B508" s="34"/>
      <c r="C508" s="34"/>
      <c r="D508" s="34"/>
      <c r="H508" s="34"/>
      <c r="I508" s="34"/>
    </row>
    <row r="509">
      <c r="B509" s="34"/>
      <c r="C509" s="34"/>
      <c r="D509" s="34"/>
      <c r="H509" s="34"/>
      <c r="I509" s="34"/>
    </row>
    <row r="510">
      <c r="B510" s="34"/>
      <c r="C510" s="34"/>
      <c r="D510" s="34"/>
      <c r="H510" s="34"/>
      <c r="I510" s="34"/>
    </row>
    <row r="511">
      <c r="B511" s="34"/>
      <c r="C511" s="34"/>
      <c r="D511" s="34"/>
      <c r="H511" s="34"/>
      <c r="I511" s="34"/>
    </row>
    <row r="512">
      <c r="B512" s="34"/>
      <c r="C512" s="34"/>
      <c r="D512" s="34"/>
      <c r="H512" s="34"/>
      <c r="I512" s="34"/>
    </row>
    <row r="513">
      <c r="B513" s="34"/>
      <c r="C513" s="34"/>
      <c r="D513" s="34"/>
      <c r="H513" s="34"/>
      <c r="I513" s="34"/>
    </row>
    <row r="514">
      <c r="B514" s="34"/>
      <c r="C514" s="34"/>
      <c r="D514" s="34"/>
      <c r="H514" s="34"/>
      <c r="I514" s="34"/>
    </row>
    <row r="515">
      <c r="B515" s="34"/>
      <c r="C515" s="34"/>
      <c r="D515" s="34"/>
      <c r="H515" s="34"/>
      <c r="I515" s="34"/>
    </row>
    <row r="516">
      <c r="B516" s="34"/>
      <c r="C516" s="34"/>
      <c r="D516" s="34"/>
      <c r="H516" s="34"/>
      <c r="I516" s="34"/>
    </row>
    <row r="517">
      <c r="B517" s="34"/>
      <c r="C517" s="34"/>
      <c r="D517" s="34"/>
      <c r="H517" s="34"/>
      <c r="I517" s="34"/>
    </row>
    <row r="518">
      <c r="B518" s="34"/>
      <c r="C518" s="34"/>
      <c r="D518" s="34"/>
      <c r="H518" s="34"/>
      <c r="I518" s="34"/>
    </row>
    <row r="519">
      <c r="B519" s="34"/>
      <c r="C519" s="34"/>
      <c r="D519" s="34"/>
      <c r="H519" s="34"/>
      <c r="I519" s="34"/>
    </row>
    <row r="520">
      <c r="B520" s="34"/>
      <c r="C520" s="34"/>
      <c r="D520" s="34"/>
      <c r="H520" s="34"/>
      <c r="I520" s="34"/>
    </row>
    <row r="521">
      <c r="B521" s="34"/>
      <c r="C521" s="34"/>
      <c r="D521" s="34"/>
      <c r="H521" s="34"/>
      <c r="I521" s="34"/>
    </row>
    <row r="522">
      <c r="B522" s="34"/>
      <c r="C522" s="34"/>
      <c r="D522" s="34"/>
      <c r="H522" s="34"/>
      <c r="I522" s="34"/>
    </row>
    <row r="523">
      <c r="B523" s="34"/>
      <c r="C523" s="34"/>
      <c r="D523" s="34"/>
      <c r="H523" s="34"/>
      <c r="I523" s="34"/>
    </row>
    <row r="524">
      <c r="B524" s="34"/>
      <c r="C524" s="34"/>
      <c r="D524" s="34"/>
      <c r="H524" s="34"/>
      <c r="I524" s="34"/>
    </row>
    <row r="525">
      <c r="B525" s="34"/>
      <c r="C525" s="34"/>
      <c r="D525" s="34"/>
      <c r="H525" s="34"/>
      <c r="I525" s="34"/>
    </row>
    <row r="526">
      <c r="B526" s="34"/>
      <c r="C526" s="34"/>
      <c r="D526" s="34"/>
      <c r="H526" s="34"/>
      <c r="I526" s="34"/>
    </row>
    <row r="527">
      <c r="B527" s="34"/>
      <c r="C527" s="34"/>
      <c r="D527" s="34"/>
      <c r="H527" s="34"/>
      <c r="I527" s="34"/>
    </row>
    <row r="528">
      <c r="B528" s="34"/>
      <c r="C528" s="34"/>
      <c r="D528" s="34"/>
      <c r="H528" s="34"/>
      <c r="I528" s="34"/>
    </row>
    <row r="529">
      <c r="B529" s="34"/>
      <c r="C529" s="34"/>
      <c r="D529" s="34"/>
      <c r="H529" s="34"/>
      <c r="I529" s="34"/>
    </row>
    <row r="530">
      <c r="B530" s="34"/>
      <c r="C530" s="34"/>
      <c r="D530" s="34"/>
      <c r="H530" s="34"/>
      <c r="I530" s="34"/>
    </row>
    <row r="531">
      <c r="B531" s="34"/>
      <c r="C531" s="34"/>
      <c r="D531" s="34"/>
      <c r="H531" s="34"/>
      <c r="I531" s="34"/>
    </row>
    <row r="532">
      <c r="B532" s="34"/>
      <c r="C532" s="34"/>
      <c r="D532" s="34"/>
      <c r="H532" s="34"/>
      <c r="I532" s="34"/>
    </row>
    <row r="533">
      <c r="B533" s="34"/>
      <c r="C533" s="34"/>
      <c r="D533" s="34"/>
      <c r="H533" s="34"/>
      <c r="I533" s="34"/>
    </row>
    <row r="534">
      <c r="B534" s="34"/>
      <c r="C534" s="34"/>
      <c r="D534" s="34"/>
      <c r="H534" s="34"/>
      <c r="I534" s="34"/>
    </row>
    <row r="535">
      <c r="B535" s="34"/>
      <c r="C535" s="34"/>
      <c r="D535" s="34"/>
      <c r="H535" s="34"/>
      <c r="I535" s="34"/>
    </row>
    <row r="536">
      <c r="B536" s="34"/>
      <c r="C536" s="34"/>
      <c r="D536" s="34"/>
      <c r="H536" s="34"/>
      <c r="I536" s="34"/>
    </row>
    <row r="537">
      <c r="B537" s="34"/>
      <c r="C537" s="34"/>
      <c r="D537" s="34"/>
      <c r="H537" s="34"/>
      <c r="I537" s="34"/>
    </row>
    <row r="538">
      <c r="B538" s="34"/>
      <c r="C538" s="34"/>
      <c r="D538" s="34"/>
      <c r="H538" s="34"/>
      <c r="I538" s="34"/>
    </row>
    <row r="539">
      <c r="B539" s="34"/>
      <c r="C539" s="34"/>
      <c r="D539" s="34"/>
      <c r="H539" s="34"/>
      <c r="I539" s="34"/>
    </row>
    <row r="540">
      <c r="B540" s="34"/>
      <c r="C540" s="34"/>
      <c r="D540" s="34"/>
      <c r="H540" s="34"/>
      <c r="I540" s="34"/>
    </row>
    <row r="541">
      <c r="B541" s="34"/>
      <c r="C541" s="34"/>
      <c r="D541" s="34"/>
      <c r="H541" s="34"/>
      <c r="I541" s="34"/>
    </row>
    <row r="542">
      <c r="B542" s="34"/>
      <c r="C542" s="34"/>
      <c r="D542" s="34"/>
      <c r="H542" s="34"/>
      <c r="I542" s="34"/>
    </row>
    <row r="543">
      <c r="B543" s="34"/>
      <c r="C543" s="34"/>
      <c r="D543" s="34"/>
      <c r="H543" s="34"/>
      <c r="I543" s="34"/>
    </row>
    <row r="544">
      <c r="B544" s="34"/>
      <c r="C544" s="34"/>
      <c r="D544" s="34"/>
      <c r="H544" s="34"/>
      <c r="I544" s="34"/>
    </row>
    <row r="545">
      <c r="B545" s="34"/>
      <c r="C545" s="34"/>
      <c r="D545" s="34"/>
      <c r="H545" s="34"/>
      <c r="I545" s="34"/>
    </row>
    <row r="546">
      <c r="B546" s="34"/>
      <c r="C546" s="34"/>
      <c r="D546" s="34"/>
      <c r="H546" s="34"/>
      <c r="I546" s="34"/>
    </row>
    <row r="547">
      <c r="B547" s="34"/>
      <c r="C547" s="34"/>
      <c r="D547" s="34"/>
      <c r="H547" s="34"/>
      <c r="I547" s="34"/>
    </row>
    <row r="548">
      <c r="B548" s="34"/>
      <c r="C548" s="34"/>
      <c r="D548" s="34"/>
      <c r="H548" s="34"/>
      <c r="I548" s="34"/>
    </row>
    <row r="549">
      <c r="B549" s="34"/>
      <c r="C549" s="34"/>
      <c r="D549" s="34"/>
      <c r="H549" s="34"/>
      <c r="I549" s="34"/>
    </row>
    <row r="550">
      <c r="B550" s="34"/>
      <c r="C550" s="34"/>
      <c r="D550" s="34"/>
      <c r="H550" s="34"/>
      <c r="I550" s="34"/>
    </row>
    <row r="551">
      <c r="B551" s="34"/>
      <c r="C551" s="34"/>
      <c r="D551" s="34"/>
      <c r="H551" s="34"/>
      <c r="I551" s="34"/>
    </row>
    <row r="552">
      <c r="B552" s="34"/>
      <c r="C552" s="34"/>
      <c r="D552" s="34"/>
      <c r="H552" s="34"/>
      <c r="I552" s="34"/>
    </row>
    <row r="553">
      <c r="B553" s="34"/>
      <c r="C553" s="34"/>
      <c r="D553" s="34"/>
      <c r="H553" s="34"/>
      <c r="I553" s="34"/>
    </row>
    <row r="554">
      <c r="B554" s="34"/>
      <c r="C554" s="34"/>
      <c r="D554" s="34"/>
      <c r="H554" s="34"/>
      <c r="I554" s="34"/>
    </row>
    <row r="555">
      <c r="B555" s="34"/>
      <c r="C555" s="34"/>
      <c r="D555" s="34"/>
      <c r="H555" s="34"/>
      <c r="I555" s="34"/>
    </row>
    <row r="556">
      <c r="B556" s="34"/>
      <c r="C556" s="34"/>
      <c r="D556" s="34"/>
      <c r="H556" s="34"/>
      <c r="I556" s="34"/>
    </row>
    <row r="557">
      <c r="B557" s="34"/>
      <c r="C557" s="34"/>
      <c r="D557" s="34"/>
      <c r="H557" s="34"/>
      <c r="I557" s="34"/>
    </row>
    <row r="558">
      <c r="B558" s="34"/>
      <c r="C558" s="34"/>
      <c r="D558" s="34"/>
      <c r="H558" s="34"/>
      <c r="I558" s="34"/>
    </row>
    <row r="559">
      <c r="B559" s="34"/>
      <c r="C559" s="34"/>
      <c r="D559" s="34"/>
      <c r="H559" s="34"/>
      <c r="I559" s="34"/>
    </row>
    <row r="560">
      <c r="B560" s="34"/>
      <c r="C560" s="34"/>
      <c r="D560" s="34"/>
      <c r="H560" s="34"/>
      <c r="I560" s="34"/>
    </row>
    <row r="561">
      <c r="B561" s="34"/>
      <c r="C561" s="34"/>
      <c r="D561" s="34"/>
      <c r="H561" s="34"/>
      <c r="I561" s="34"/>
    </row>
    <row r="562">
      <c r="B562" s="34"/>
      <c r="C562" s="34"/>
      <c r="D562" s="34"/>
      <c r="H562" s="34"/>
      <c r="I562" s="34"/>
    </row>
    <row r="563">
      <c r="B563" s="34"/>
      <c r="C563" s="34"/>
      <c r="D563" s="34"/>
      <c r="H563" s="34"/>
      <c r="I563" s="34"/>
    </row>
    <row r="564">
      <c r="B564" s="34"/>
      <c r="C564" s="34"/>
      <c r="D564" s="34"/>
      <c r="H564" s="34"/>
      <c r="I564" s="34"/>
    </row>
    <row r="565">
      <c r="B565" s="34"/>
      <c r="C565" s="34"/>
      <c r="D565" s="34"/>
      <c r="H565" s="34"/>
      <c r="I565" s="34"/>
    </row>
    <row r="566">
      <c r="B566" s="34"/>
      <c r="C566" s="34"/>
      <c r="D566" s="34"/>
      <c r="H566" s="34"/>
      <c r="I566" s="34"/>
    </row>
    <row r="567">
      <c r="B567" s="34"/>
      <c r="C567" s="34"/>
      <c r="D567" s="34"/>
      <c r="H567" s="34"/>
      <c r="I567" s="34"/>
    </row>
    <row r="568">
      <c r="B568" s="34"/>
      <c r="C568" s="34"/>
      <c r="D568" s="34"/>
      <c r="H568" s="34"/>
      <c r="I568" s="34"/>
    </row>
    <row r="569">
      <c r="B569" s="34"/>
      <c r="C569" s="34"/>
      <c r="D569" s="34"/>
      <c r="H569" s="34"/>
      <c r="I569" s="34"/>
    </row>
    <row r="570">
      <c r="B570" s="34"/>
      <c r="C570" s="34"/>
      <c r="D570" s="34"/>
      <c r="H570" s="34"/>
      <c r="I570" s="34"/>
    </row>
    <row r="571">
      <c r="B571" s="34"/>
      <c r="C571" s="34"/>
      <c r="D571" s="34"/>
      <c r="H571" s="34"/>
      <c r="I571" s="34"/>
    </row>
    <row r="572">
      <c r="B572" s="34"/>
      <c r="C572" s="34"/>
      <c r="D572" s="34"/>
      <c r="H572" s="34"/>
      <c r="I572" s="34"/>
    </row>
    <row r="573">
      <c r="B573" s="34"/>
      <c r="C573" s="34"/>
      <c r="D573" s="34"/>
      <c r="H573" s="34"/>
      <c r="I573" s="34"/>
    </row>
    <row r="574">
      <c r="B574" s="34"/>
      <c r="C574" s="34"/>
      <c r="D574" s="34"/>
      <c r="H574" s="34"/>
      <c r="I574" s="34"/>
    </row>
    <row r="575">
      <c r="B575" s="34"/>
      <c r="C575" s="34"/>
      <c r="D575" s="34"/>
      <c r="H575" s="34"/>
      <c r="I575" s="34"/>
    </row>
    <row r="576">
      <c r="B576" s="34"/>
      <c r="C576" s="34"/>
      <c r="D576" s="34"/>
      <c r="H576" s="34"/>
      <c r="I576" s="34"/>
    </row>
    <row r="577">
      <c r="B577" s="34"/>
      <c r="C577" s="34"/>
      <c r="D577" s="34"/>
      <c r="H577" s="34"/>
      <c r="I577" s="34"/>
    </row>
    <row r="578">
      <c r="B578" s="34"/>
      <c r="C578" s="34"/>
      <c r="D578" s="34"/>
      <c r="H578" s="34"/>
      <c r="I578" s="34"/>
    </row>
    <row r="579">
      <c r="B579" s="34"/>
      <c r="C579" s="34"/>
      <c r="D579" s="34"/>
      <c r="H579" s="34"/>
      <c r="I579" s="34"/>
    </row>
    <row r="580">
      <c r="B580" s="34"/>
      <c r="C580" s="34"/>
      <c r="D580" s="34"/>
      <c r="H580" s="34"/>
      <c r="I580" s="34"/>
    </row>
    <row r="581">
      <c r="B581" s="34"/>
      <c r="C581" s="34"/>
      <c r="D581" s="34"/>
      <c r="H581" s="34"/>
      <c r="I581" s="34"/>
    </row>
    <row r="582">
      <c r="B582" s="34"/>
      <c r="C582" s="34"/>
      <c r="D582" s="34"/>
      <c r="H582" s="34"/>
      <c r="I582" s="34"/>
    </row>
    <row r="583">
      <c r="B583" s="34"/>
      <c r="C583" s="34"/>
      <c r="D583" s="34"/>
      <c r="H583" s="34"/>
      <c r="I583" s="34"/>
    </row>
    <row r="584">
      <c r="B584" s="34"/>
      <c r="C584" s="34"/>
      <c r="D584" s="34"/>
      <c r="H584" s="34"/>
      <c r="I584" s="34"/>
    </row>
    <row r="585">
      <c r="B585" s="34"/>
      <c r="C585" s="34"/>
      <c r="D585" s="34"/>
      <c r="H585" s="34"/>
      <c r="I585" s="34"/>
    </row>
    <row r="586">
      <c r="B586" s="34"/>
      <c r="C586" s="34"/>
      <c r="D586" s="34"/>
      <c r="H586" s="34"/>
      <c r="I586" s="34"/>
    </row>
    <row r="587">
      <c r="B587" s="34"/>
      <c r="C587" s="34"/>
      <c r="D587" s="34"/>
      <c r="H587" s="34"/>
      <c r="I587" s="34"/>
    </row>
    <row r="588">
      <c r="B588" s="34"/>
      <c r="C588" s="34"/>
      <c r="D588" s="34"/>
      <c r="H588" s="34"/>
      <c r="I588" s="34"/>
    </row>
    <row r="589">
      <c r="B589" s="34"/>
      <c r="C589" s="34"/>
      <c r="D589" s="34"/>
      <c r="H589" s="34"/>
      <c r="I589" s="34"/>
    </row>
    <row r="590">
      <c r="B590" s="34"/>
      <c r="C590" s="34"/>
      <c r="D590" s="34"/>
      <c r="H590" s="34"/>
      <c r="I590" s="34"/>
    </row>
    <row r="591">
      <c r="B591" s="34"/>
      <c r="C591" s="34"/>
      <c r="D591" s="34"/>
      <c r="H591" s="34"/>
      <c r="I591" s="34"/>
    </row>
    <row r="592">
      <c r="B592" s="34"/>
      <c r="C592" s="34"/>
      <c r="D592" s="34"/>
      <c r="H592" s="34"/>
      <c r="I592" s="34"/>
    </row>
    <row r="593">
      <c r="B593" s="34"/>
      <c r="C593" s="34"/>
      <c r="D593" s="34"/>
      <c r="H593" s="34"/>
      <c r="I593" s="34"/>
    </row>
    <row r="594">
      <c r="B594" s="34"/>
      <c r="C594" s="34"/>
      <c r="D594" s="34"/>
      <c r="H594" s="34"/>
      <c r="I594" s="34"/>
    </row>
    <row r="595">
      <c r="B595" s="34"/>
      <c r="C595" s="34"/>
      <c r="D595" s="34"/>
      <c r="H595" s="34"/>
      <c r="I595" s="34"/>
    </row>
    <row r="596">
      <c r="B596" s="34"/>
      <c r="C596" s="34"/>
      <c r="D596" s="34"/>
      <c r="H596" s="34"/>
      <c r="I596" s="34"/>
    </row>
    <row r="597">
      <c r="B597" s="34"/>
      <c r="C597" s="34"/>
      <c r="D597" s="34"/>
      <c r="H597" s="34"/>
      <c r="I597" s="34"/>
    </row>
    <row r="598">
      <c r="B598" s="34"/>
      <c r="C598" s="34"/>
      <c r="D598" s="34"/>
      <c r="H598" s="34"/>
      <c r="I598" s="34"/>
    </row>
    <row r="599">
      <c r="B599" s="34"/>
      <c r="C599" s="34"/>
      <c r="D599" s="34"/>
      <c r="H599" s="34"/>
      <c r="I599" s="34"/>
    </row>
    <row r="600">
      <c r="B600" s="34"/>
      <c r="C600" s="34"/>
      <c r="D600" s="34"/>
      <c r="H600" s="34"/>
      <c r="I600" s="34"/>
    </row>
    <row r="601">
      <c r="B601" s="34"/>
      <c r="C601" s="34"/>
      <c r="D601" s="34"/>
      <c r="H601" s="34"/>
      <c r="I601" s="34"/>
    </row>
    <row r="602">
      <c r="B602" s="34"/>
      <c r="C602" s="34"/>
      <c r="D602" s="34"/>
      <c r="H602" s="34"/>
      <c r="I602" s="34"/>
    </row>
    <row r="603">
      <c r="B603" s="34"/>
      <c r="C603" s="34"/>
      <c r="D603" s="34"/>
      <c r="H603" s="34"/>
      <c r="I603" s="34"/>
    </row>
    <row r="604">
      <c r="B604" s="34"/>
      <c r="C604" s="34"/>
      <c r="D604" s="34"/>
      <c r="H604" s="34"/>
      <c r="I604" s="34"/>
    </row>
    <row r="605">
      <c r="B605" s="34"/>
      <c r="C605" s="34"/>
      <c r="D605" s="34"/>
      <c r="H605" s="34"/>
      <c r="I605" s="34"/>
    </row>
    <row r="606">
      <c r="B606" s="34"/>
      <c r="C606" s="34"/>
      <c r="D606" s="34"/>
      <c r="H606" s="34"/>
      <c r="I606" s="34"/>
    </row>
    <row r="607">
      <c r="B607" s="34"/>
      <c r="C607" s="34"/>
      <c r="D607" s="34"/>
      <c r="H607" s="34"/>
      <c r="I607" s="34"/>
    </row>
    <row r="608">
      <c r="B608" s="34"/>
      <c r="C608" s="34"/>
      <c r="D608" s="34"/>
      <c r="H608" s="34"/>
      <c r="I608" s="34"/>
    </row>
    <row r="609">
      <c r="B609" s="34"/>
      <c r="C609" s="34"/>
      <c r="D609" s="34"/>
      <c r="H609" s="34"/>
      <c r="I609" s="34"/>
    </row>
    <row r="610">
      <c r="B610" s="34"/>
      <c r="C610" s="34"/>
      <c r="D610" s="34"/>
      <c r="H610" s="34"/>
      <c r="I610" s="34"/>
    </row>
    <row r="611">
      <c r="B611" s="34"/>
      <c r="C611" s="34"/>
      <c r="D611" s="34"/>
      <c r="H611" s="34"/>
      <c r="I611" s="34"/>
    </row>
    <row r="612">
      <c r="B612" s="34"/>
      <c r="C612" s="34"/>
      <c r="D612" s="34"/>
      <c r="H612" s="34"/>
      <c r="I612" s="34"/>
    </row>
    <row r="613">
      <c r="B613" s="34"/>
      <c r="C613" s="34"/>
      <c r="D613" s="34"/>
      <c r="H613" s="34"/>
      <c r="I613" s="34"/>
    </row>
    <row r="614">
      <c r="B614" s="34"/>
      <c r="C614" s="34"/>
      <c r="D614" s="34"/>
      <c r="H614" s="34"/>
      <c r="I614" s="34"/>
    </row>
    <row r="615">
      <c r="B615" s="34"/>
      <c r="C615" s="34"/>
      <c r="D615" s="34"/>
      <c r="H615" s="34"/>
      <c r="I615" s="34"/>
    </row>
    <row r="616">
      <c r="B616" s="34"/>
      <c r="C616" s="34"/>
      <c r="D616" s="34"/>
      <c r="H616" s="34"/>
      <c r="I616" s="34"/>
    </row>
    <row r="617">
      <c r="B617" s="34"/>
      <c r="C617" s="34"/>
      <c r="D617" s="34"/>
      <c r="H617" s="34"/>
      <c r="I617" s="34"/>
    </row>
    <row r="618">
      <c r="B618" s="34"/>
      <c r="C618" s="34"/>
      <c r="D618" s="34"/>
      <c r="H618" s="34"/>
      <c r="I618" s="34"/>
    </row>
    <row r="619">
      <c r="B619" s="34"/>
      <c r="C619" s="34"/>
      <c r="D619" s="34"/>
      <c r="H619" s="34"/>
      <c r="I619" s="34"/>
    </row>
    <row r="620">
      <c r="B620" s="34"/>
      <c r="C620" s="34"/>
      <c r="D620" s="34"/>
      <c r="H620" s="34"/>
      <c r="I620" s="34"/>
    </row>
    <row r="621">
      <c r="B621" s="34"/>
      <c r="C621" s="34"/>
      <c r="D621" s="34"/>
      <c r="H621" s="34"/>
      <c r="I621" s="34"/>
    </row>
    <row r="622">
      <c r="B622" s="34"/>
      <c r="C622" s="34"/>
      <c r="D622" s="34"/>
      <c r="H622" s="34"/>
      <c r="I622" s="34"/>
    </row>
    <row r="623">
      <c r="B623" s="34"/>
      <c r="C623" s="34"/>
      <c r="D623" s="34"/>
      <c r="H623" s="34"/>
      <c r="I623" s="34"/>
    </row>
    <row r="624">
      <c r="B624" s="34"/>
      <c r="C624" s="34"/>
      <c r="D624" s="34"/>
      <c r="H624" s="34"/>
      <c r="I624" s="34"/>
    </row>
    <row r="625">
      <c r="B625" s="34"/>
      <c r="C625" s="34"/>
      <c r="D625" s="34"/>
      <c r="H625" s="34"/>
      <c r="I625" s="34"/>
    </row>
    <row r="626">
      <c r="B626" s="34"/>
      <c r="C626" s="34"/>
      <c r="D626" s="34"/>
      <c r="H626" s="34"/>
      <c r="I626" s="34"/>
    </row>
    <row r="627">
      <c r="B627" s="34"/>
      <c r="C627" s="34"/>
      <c r="D627" s="34"/>
      <c r="H627" s="34"/>
      <c r="I627" s="34"/>
    </row>
    <row r="628">
      <c r="B628" s="34"/>
      <c r="C628" s="34"/>
      <c r="D628" s="34"/>
      <c r="H628" s="34"/>
      <c r="I628" s="34"/>
    </row>
    <row r="629">
      <c r="B629" s="34"/>
      <c r="C629" s="34"/>
      <c r="D629" s="34"/>
      <c r="H629" s="34"/>
      <c r="I629" s="34"/>
    </row>
    <row r="630">
      <c r="B630" s="34"/>
      <c r="C630" s="34"/>
      <c r="D630" s="34"/>
      <c r="H630" s="34"/>
      <c r="I630" s="34"/>
    </row>
    <row r="631">
      <c r="B631" s="34"/>
      <c r="C631" s="34"/>
      <c r="D631" s="34"/>
      <c r="H631" s="34"/>
      <c r="I631" s="34"/>
    </row>
    <row r="632">
      <c r="B632" s="34"/>
      <c r="C632" s="34"/>
      <c r="D632" s="34"/>
      <c r="H632" s="34"/>
      <c r="I632" s="34"/>
    </row>
    <row r="633">
      <c r="B633" s="34"/>
      <c r="C633" s="34"/>
      <c r="D633" s="34"/>
      <c r="H633" s="34"/>
      <c r="I633" s="34"/>
    </row>
    <row r="634">
      <c r="B634" s="34"/>
      <c r="C634" s="34"/>
      <c r="D634" s="34"/>
      <c r="H634" s="34"/>
      <c r="I634" s="34"/>
    </row>
    <row r="635">
      <c r="B635" s="34"/>
      <c r="C635" s="34"/>
      <c r="D635" s="34"/>
      <c r="H635" s="34"/>
      <c r="I635" s="34"/>
    </row>
    <row r="636">
      <c r="B636" s="34"/>
      <c r="C636" s="34"/>
      <c r="D636" s="34"/>
      <c r="H636" s="34"/>
      <c r="I636" s="34"/>
    </row>
    <row r="637">
      <c r="B637" s="34"/>
      <c r="C637" s="34"/>
      <c r="D637" s="34"/>
      <c r="H637" s="34"/>
      <c r="I637" s="34"/>
    </row>
    <row r="638">
      <c r="B638" s="34"/>
      <c r="C638" s="34"/>
      <c r="D638" s="34"/>
      <c r="H638" s="34"/>
      <c r="I638" s="34"/>
    </row>
    <row r="639">
      <c r="B639" s="34"/>
      <c r="C639" s="34"/>
      <c r="D639" s="34"/>
      <c r="H639" s="34"/>
      <c r="I639" s="34"/>
    </row>
    <row r="640">
      <c r="B640" s="34"/>
      <c r="C640" s="34"/>
      <c r="D640" s="34"/>
      <c r="H640" s="34"/>
      <c r="I640" s="34"/>
    </row>
    <row r="641">
      <c r="B641" s="34"/>
      <c r="C641" s="34"/>
      <c r="D641" s="34"/>
      <c r="H641" s="34"/>
      <c r="I641" s="34"/>
    </row>
    <row r="642">
      <c r="B642" s="34"/>
      <c r="C642" s="34"/>
      <c r="D642" s="34"/>
      <c r="H642" s="34"/>
      <c r="I642" s="34"/>
    </row>
    <row r="643">
      <c r="B643" s="34"/>
      <c r="C643" s="34"/>
      <c r="D643" s="34"/>
      <c r="H643" s="34"/>
      <c r="I643" s="34"/>
    </row>
    <row r="644">
      <c r="B644" s="34"/>
      <c r="C644" s="34"/>
      <c r="D644" s="34"/>
      <c r="H644" s="34"/>
      <c r="I644" s="34"/>
    </row>
    <row r="645">
      <c r="B645" s="34"/>
      <c r="C645" s="34"/>
      <c r="D645" s="34"/>
      <c r="H645" s="34"/>
      <c r="I645" s="34"/>
    </row>
    <row r="646">
      <c r="B646" s="34"/>
      <c r="C646" s="34"/>
      <c r="D646" s="34"/>
      <c r="H646" s="34"/>
      <c r="I646" s="34"/>
    </row>
    <row r="647">
      <c r="B647" s="34"/>
      <c r="C647" s="34"/>
      <c r="D647" s="34"/>
      <c r="H647" s="34"/>
      <c r="I647" s="34"/>
    </row>
    <row r="648">
      <c r="B648" s="34"/>
      <c r="C648" s="34"/>
      <c r="D648" s="34"/>
      <c r="H648" s="34"/>
      <c r="I648" s="34"/>
    </row>
    <row r="649">
      <c r="B649" s="34"/>
      <c r="C649" s="34"/>
      <c r="D649" s="34"/>
      <c r="H649" s="34"/>
      <c r="I649" s="34"/>
    </row>
    <row r="650">
      <c r="B650" s="34"/>
      <c r="C650" s="34"/>
      <c r="D650" s="34"/>
      <c r="H650" s="34"/>
      <c r="I650" s="34"/>
    </row>
    <row r="651">
      <c r="B651" s="34"/>
      <c r="C651" s="34"/>
      <c r="D651" s="34"/>
      <c r="H651" s="34"/>
      <c r="I651" s="34"/>
    </row>
    <row r="652">
      <c r="B652" s="34"/>
      <c r="C652" s="34"/>
      <c r="D652" s="34"/>
      <c r="H652" s="34"/>
      <c r="I652" s="34"/>
    </row>
    <row r="653">
      <c r="B653" s="34"/>
      <c r="C653" s="34"/>
      <c r="D653" s="34"/>
      <c r="H653" s="34"/>
      <c r="I653" s="34"/>
    </row>
    <row r="654">
      <c r="B654" s="34"/>
      <c r="C654" s="34"/>
      <c r="D654" s="34"/>
      <c r="H654" s="34"/>
      <c r="I654" s="34"/>
    </row>
    <row r="655">
      <c r="B655" s="34"/>
      <c r="C655" s="34"/>
      <c r="D655" s="34"/>
      <c r="H655" s="34"/>
      <c r="I655" s="34"/>
    </row>
    <row r="656">
      <c r="B656" s="34"/>
      <c r="C656" s="34"/>
      <c r="D656" s="34"/>
      <c r="H656" s="34"/>
      <c r="I656" s="34"/>
    </row>
    <row r="657">
      <c r="B657" s="34"/>
      <c r="C657" s="34"/>
      <c r="D657" s="34"/>
      <c r="H657" s="34"/>
      <c r="I657" s="34"/>
    </row>
    <row r="658">
      <c r="B658" s="34"/>
      <c r="C658" s="34"/>
      <c r="D658" s="34"/>
      <c r="H658" s="34"/>
      <c r="I658" s="34"/>
    </row>
    <row r="659">
      <c r="B659" s="34"/>
      <c r="C659" s="34"/>
      <c r="D659" s="34"/>
      <c r="H659" s="34"/>
      <c r="I659" s="34"/>
    </row>
    <row r="660">
      <c r="B660" s="34"/>
      <c r="C660" s="34"/>
      <c r="D660" s="34"/>
      <c r="H660" s="34"/>
      <c r="I660" s="34"/>
    </row>
    <row r="661">
      <c r="B661" s="34"/>
      <c r="C661" s="34"/>
      <c r="D661" s="34"/>
      <c r="H661" s="34"/>
      <c r="I661" s="34"/>
    </row>
    <row r="662">
      <c r="B662" s="34"/>
      <c r="C662" s="34"/>
      <c r="D662" s="34"/>
      <c r="H662" s="34"/>
      <c r="I662" s="34"/>
    </row>
    <row r="663">
      <c r="B663" s="34"/>
      <c r="C663" s="34"/>
      <c r="D663" s="34"/>
      <c r="H663" s="34"/>
      <c r="I663" s="34"/>
    </row>
    <row r="664">
      <c r="B664" s="34"/>
      <c r="C664" s="34"/>
      <c r="D664" s="34"/>
      <c r="H664" s="34"/>
      <c r="I664" s="34"/>
    </row>
    <row r="665">
      <c r="B665" s="34"/>
      <c r="C665" s="34"/>
      <c r="D665" s="34"/>
      <c r="H665" s="34"/>
      <c r="I665" s="34"/>
    </row>
    <row r="666">
      <c r="B666" s="34"/>
      <c r="C666" s="34"/>
      <c r="D666" s="34"/>
      <c r="H666" s="34"/>
      <c r="I666" s="34"/>
    </row>
    <row r="667">
      <c r="B667" s="34"/>
      <c r="C667" s="34"/>
      <c r="D667" s="34"/>
      <c r="H667" s="34"/>
      <c r="I667" s="34"/>
    </row>
    <row r="668">
      <c r="B668" s="34"/>
      <c r="C668" s="34"/>
      <c r="D668" s="34"/>
      <c r="H668" s="34"/>
      <c r="I668" s="34"/>
    </row>
    <row r="669">
      <c r="B669" s="34"/>
      <c r="C669" s="34"/>
      <c r="D669" s="34"/>
      <c r="H669" s="34"/>
      <c r="I669" s="34"/>
    </row>
    <row r="670">
      <c r="B670" s="34"/>
      <c r="C670" s="34"/>
      <c r="D670" s="34"/>
      <c r="H670" s="34"/>
      <c r="I670" s="34"/>
    </row>
    <row r="671">
      <c r="B671" s="34"/>
      <c r="C671" s="34"/>
      <c r="D671" s="34"/>
      <c r="H671" s="34"/>
      <c r="I671" s="34"/>
    </row>
    <row r="672">
      <c r="B672" s="34"/>
      <c r="C672" s="34"/>
      <c r="D672" s="34"/>
      <c r="H672" s="34"/>
      <c r="I672" s="34"/>
    </row>
    <row r="673">
      <c r="B673" s="34"/>
      <c r="C673" s="34"/>
      <c r="D673" s="34"/>
      <c r="H673" s="34"/>
      <c r="I673" s="34"/>
    </row>
    <row r="674">
      <c r="B674" s="34"/>
      <c r="C674" s="34"/>
      <c r="D674" s="34"/>
      <c r="H674" s="34"/>
      <c r="I674" s="34"/>
    </row>
    <row r="675">
      <c r="B675" s="34"/>
      <c r="C675" s="34"/>
      <c r="D675" s="34"/>
      <c r="H675" s="34"/>
      <c r="I675" s="34"/>
    </row>
    <row r="676">
      <c r="B676" s="34"/>
      <c r="C676" s="34"/>
      <c r="D676" s="34"/>
      <c r="H676" s="34"/>
      <c r="I676" s="34"/>
    </row>
    <row r="677">
      <c r="B677" s="34"/>
      <c r="C677" s="34"/>
      <c r="D677" s="34"/>
      <c r="H677" s="34"/>
      <c r="I677" s="34"/>
    </row>
    <row r="678">
      <c r="B678" s="34"/>
      <c r="C678" s="34"/>
      <c r="D678" s="34"/>
      <c r="H678" s="34"/>
      <c r="I678" s="34"/>
    </row>
    <row r="679">
      <c r="B679" s="34"/>
      <c r="C679" s="34"/>
      <c r="D679" s="34"/>
      <c r="H679" s="34"/>
      <c r="I679" s="34"/>
    </row>
    <row r="680">
      <c r="B680" s="34"/>
      <c r="C680" s="34"/>
      <c r="D680" s="34"/>
      <c r="H680" s="34"/>
      <c r="I680" s="34"/>
    </row>
    <row r="681">
      <c r="B681" s="34"/>
      <c r="C681" s="34"/>
      <c r="D681" s="34"/>
      <c r="H681" s="34"/>
      <c r="I681" s="34"/>
    </row>
    <row r="682">
      <c r="B682" s="34"/>
      <c r="C682" s="34"/>
      <c r="D682" s="34"/>
      <c r="H682" s="34"/>
      <c r="I682" s="34"/>
    </row>
    <row r="683">
      <c r="B683" s="34"/>
      <c r="C683" s="34"/>
      <c r="D683" s="34"/>
      <c r="H683" s="34"/>
      <c r="I683" s="34"/>
    </row>
    <row r="684">
      <c r="B684" s="34"/>
      <c r="C684" s="34"/>
      <c r="D684" s="34"/>
      <c r="H684" s="34"/>
      <c r="I684" s="34"/>
    </row>
    <row r="685">
      <c r="B685" s="34"/>
      <c r="C685" s="34"/>
      <c r="D685" s="34"/>
      <c r="H685" s="34"/>
      <c r="I685" s="34"/>
    </row>
    <row r="686">
      <c r="B686" s="34"/>
      <c r="C686" s="34"/>
      <c r="D686" s="34"/>
      <c r="H686" s="34"/>
      <c r="I686" s="34"/>
    </row>
    <row r="687">
      <c r="B687" s="34"/>
      <c r="C687" s="34"/>
      <c r="D687" s="34"/>
      <c r="H687" s="34"/>
      <c r="I687" s="34"/>
    </row>
    <row r="688">
      <c r="B688" s="34"/>
      <c r="C688" s="34"/>
      <c r="D688" s="34"/>
      <c r="H688" s="34"/>
      <c r="I688" s="34"/>
    </row>
    <row r="689">
      <c r="B689" s="34"/>
      <c r="C689" s="34"/>
      <c r="D689" s="34"/>
      <c r="H689" s="34"/>
      <c r="I689" s="34"/>
    </row>
    <row r="690">
      <c r="B690" s="34"/>
      <c r="C690" s="34"/>
      <c r="D690" s="34"/>
      <c r="H690" s="34"/>
      <c r="I690" s="34"/>
    </row>
    <row r="691">
      <c r="B691" s="34"/>
      <c r="C691" s="34"/>
      <c r="D691" s="34"/>
      <c r="H691" s="34"/>
      <c r="I691" s="34"/>
    </row>
    <row r="692">
      <c r="B692" s="34"/>
      <c r="C692" s="34"/>
      <c r="D692" s="34"/>
      <c r="H692" s="34"/>
      <c r="I692" s="34"/>
    </row>
    <row r="693">
      <c r="B693" s="34"/>
      <c r="C693" s="34"/>
      <c r="D693" s="34"/>
      <c r="H693" s="34"/>
      <c r="I693" s="34"/>
    </row>
    <row r="694">
      <c r="B694" s="34"/>
      <c r="C694" s="34"/>
      <c r="D694" s="34"/>
      <c r="H694" s="34"/>
      <c r="I694" s="34"/>
    </row>
    <row r="695">
      <c r="B695" s="34"/>
      <c r="C695" s="34"/>
      <c r="D695" s="34"/>
      <c r="H695" s="34"/>
      <c r="I695" s="34"/>
    </row>
    <row r="696">
      <c r="B696" s="34"/>
      <c r="C696" s="34"/>
      <c r="D696" s="34"/>
      <c r="H696" s="34"/>
      <c r="I696" s="34"/>
    </row>
    <row r="697">
      <c r="B697" s="34"/>
      <c r="C697" s="34"/>
      <c r="D697" s="34"/>
      <c r="H697" s="34"/>
      <c r="I697" s="34"/>
    </row>
    <row r="698">
      <c r="B698" s="34"/>
      <c r="C698" s="34"/>
      <c r="D698" s="34"/>
      <c r="H698" s="34"/>
      <c r="I698" s="34"/>
    </row>
    <row r="699">
      <c r="B699" s="34"/>
      <c r="C699" s="34"/>
      <c r="D699" s="34"/>
      <c r="H699" s="34"/>
      <c r="I699" s="34"/>
    </row>
    <row r="700">
      <c r="B700" s="34"/>
      <c r="C700" s="34"/>
      <c r="D700" s="34"/>
      <c r="H700" s="34"/>
      <c r="I700" s="34"/>
    </row>
    <row r="701">
      <c r="B701" s="34"/>
      <c r="C701" s="34"/>
      <c r="D701" s="34"/>
      <c r="H701" s="34"/>
      <c r="I701" s="34"/>
    </row>
    <row r="702">
      <c r="B702" s="34"/>
      <c r="C702" s="34"/>
      <c r="D702" s="34"/>
      <c r="H702" s="34"/>
      <c r="I702" s="34"/>
    </row>
    <row r="703">
      <c r="B703" s="34"/>
      <c r="C703" s="34"/>
      <c r="D703" s="34"/>
      <c r="H703" s="34"/>
      <c r="I703" s="34"/>
    </row>
    <row r="704">
      <c r="B704" s="34"/>
      <c r="C704" s="34"/>
      <c r="D704" s="34"/>
      <c r="H704" s="34"/>
      <c r="I704" s="34"/>
    </row>
    <row r="705">
      <c r="B705" s="34"/>
      <c r="C705" s="34"/>
      <c r="D705" s="34"/>
      <c r="H705" s="34"/>
      <c r="I705" s="34"/>
    </row>
    <row r="706">
      <c r="B706" s="34"/>
      <c r="C706" s="34"/>
      <c r="D706" s="34"/>
      <c r="H706" s="34"/>
      <c r="I706" s="34"/>
    </row>
    <row r="707">
      <c r="B707" s="34"/>
      <c r="C707" s="34"/>
      <c r="D707" s="34"/>
      <c r="H707" s="34"/>
      <c r="I707" s="34"/>
    </row>
    <row r="708">
      <c r="B708" s="34"/>
      <c r="C708" s="34"/>
      <c r="D708" s="34"/>
      <c r="H708" s="34"/>
      <c r="I708" s="34"/>
    </row>
    <row r="709">
      <c r="B709" s="34"/>
      <c r="C709" s="34"/>
      <c r="D709" s="34"/>
      <c r="H709" s="34"/>
      <c r="I709" s="34"/>
    </row>
    <row r="710">
      <c r="B710" s="34"/>
      <c r="C710" s="34"/>
      <c r="D710" s="34"/>
      <c r="H710" s="34"/>
      <c r="I710" s="34"/>
    </row>
    <row r="711">
      <c r="B711" s="34"/>
      <c r="C711" s="34"/>
      <c r="D711" s="34"/>
      <c r="H711" s="34"/>
      <c r="I711" s="34"/>
    </row>
    <row r="712">
      <c r="B712" s="34"/>
      <c r="C712" s="34"/>
      <c r="D712" s="34"/>
      <c r="H712" s="34"/>
      <c r="I712" s="34"/>
    </row>
    <row r="713">
      <c r="B713" s="34"/>
      <c r="C713" s="34"/>
      <c r="D713" s="34"/>
      <c r="H713" s="34"/>
      <c r="I713" s="34"/>
    </row>
    <row r="714">
      <c r="B714" s="34"/>
      <c r="C714" s="34"/>
      <c r="D714" s="34"/>
      <c r="H714" s="34"/>
      <c r="I714" s="34"/>
    </row>
    <row r="715">
      <c r="B715" s="34"/>
      <c r="C715" s="34"/>
      <c r="D715" s="34"/>
      <c r="H715" s="34"/>
      <c r="I715" s="34"/>
    </row>
    <row r="716">
      <c r="B716" s="34"/>
      <c r="C716" s="34"/>
      <c r="D716" s="34"/>
      <c r="H716" s="34"/>
      <c r="I716" s="34"/>
    </row>
    <row r="717">
      <c r="B717" s="34"/>
      <c r="C717" s="34"/>
      <c r="D717" s="34"/>
      <c r="H717" s="34"/>
      <c r="I717" s="34"/>
    </row>
    <row r="718">
      <c r="B718" s="34"/>
      <c r="C718" s="34"/>
      <c r="D718" s="34"/>
      <c r="H718" s="34"/>
      <c r="I718" s="34"/>
    </row>
    <row r="719">
      <c r="B719" s="34"/>
      <c r="C719" s="34"/>
      <c r="D719" s="34"/>
      <c r="H719" s="34"/>
      <c r="I719" s="34"/>
    </row>
    <row r="720">
      <c r="B720" s="34"/>
      <c r="C720" s="34"/>
      <c r="D720" s="34"/>
      <c r="H720" s="34"/>
      <c r="I720" s="34"/>
    </row>
    <row r="721">
      <c r="B721" s="34"/>
      <c r="C721" s="34"/>
      <c r="D721" s="34"/>
      <c r="H721" s="34"/>
      <c r="I721" s="34"/>
    </row>
    <row r="722">
      <c r="B722" s="34"/>
      <c r="C722" s="34"/>
      <c r="D722" s="34"/>
      <c r="H722" s="34"/>
      <c r="I722" s="34"/>
    </row>
    <row r="723">
      <c r="B723" s="34"/>
      <c r="C723" s="34"/>
      <c r="D723" s="34"/>
      <c r="H723" s="34"/>
      <c r="I723" s="34"/>
    </row>
    <row r="724">
      <c r="B724" s="34"/>
      <c r="C724" s="34"/>
      <c r="D724" s="34"/>
      <c r="H724" s="34"/>
      <c r="I724" s="34"/>
    </row>
    <row r="725">
      <c r="B725" s="34"/>
      <c r="C725" s="34"/>
      <c r="D725" s="34"/>
      <c r="H725" s="34"/>
      <c r="I725" s="34"/>
    </row>
    <row r="726">
      <c r="B726" s="34"/>
      <c r="C726" s="34"/>
      <c r="D726" s="34"/>
      <c r="H726" s="34"/>
      <c r="I726" s="34"/>
    </row>
    <row r="727">
      <c r="B727" s="34"/>
      <c r="C727" s="34"/>
      <c r="D727" s="34"/>
      <c r="H727" s="34"/>
      <c r="I727" s="34"/>
    </row>
    <row r="728">
      <c r="B728" s="34"/>
      <c r="C728" s="34"/>
      <c r="D728" s="34"/>
      <c r="H728" s="34"/>
      <c r="I728" s="34"/>
    </row>
    <row r="729">
      <c r="B729" s="34"/>
      <c r="C729" s="34"/>
      <c r="D729" s="34"/>
      <c r="H729" s="34"/>
      <c r="I729" s="34"/>
    </row>
    <row r="730">
      <c r="B730" s="34"/>
      <c r="C730" s="34"/>
      <c r="D730" s="34"/>
      <c r="H730" s="34"/>
      <c r="I730" s="34"/>
    </row>
    <row r="731">
      <c r="B731" s="34"/>
      <c r="C731" s="34"/>
      <c r="D731" s="34"/>
      <c r="H731" s="34"/>
      <c r="I731" s="34"/>
    </row>
    <row r="732">
      <c r="B732" s="34"/>
      <c r="C732" s="34"/>
      <c r="D732" s="34"/>
      <c r="H732" s="34"/>
      <c r="I732" s="34"/>
    </row>
    <row r="733">
      <c r="B733" s="34"/>
      <c r="C733" s="34"/>
      <c r="D733" s="34"/>
      <c r="H733" s="34"/>
      <c r="I733" s="34"/>
    </row>
    <row r="734">
      <c r="B734" s="34"/>
      <c r="C734" s="34"/>
      <c r="D734" s="34"/>
      <c r="H734" s="34"/>
      <c r="I734" s="34"/>
    </row>
    <row r="735">
      <c r="B735" s="34"/>
      <c r="C735" s="34"/>
      <c r="D735" s="34"/>
      <c r="H735" s="34"/>
      <c r="I735" s="34"/>
    </row>
    <row r="736">
      <c r="B736" s="34"/>
      <c r="C736" s="34"/>
      <c r="D736" s="34"/>
      <c r="H736" s="34"/>
      <c r="I736" s="34"/>
    </row>
    <row r="737">
      <c r="B737" s="34"/>
      <c r="C737" s="34"/>
      <c r="D737" s="34"/>
      <c r="H737" s="34"/>
      <c r="I737" s="34"/>
    </row>
    <row r="738">
      <c r="B738" s="34"/>
      <c r="C738" s="34"/>
      <c r="D738" s="34"/>
      <c r="H738" s="34"/>
      <c r="I738" s="34"/>
    </row>
    <row r="739">
      <c r="B739" s="34"/>
      <c r="C739" s="34"/>
      <c r="D739" s="34"/>
      <c r="H739" s="34"/>
      <c r="I739" s="34"/>
    </row>
    <row r="740">
      <c r="B740" s="34"/>
      <c r="C740" s="34"/>
      <c r="D740" s="34"/>
      <c r="H740" s="34"/>
      <c r="I740" s="34"/>
    </row>
    <row r="741">
      <c r="B741" s="34"/>
      <c r="C741" s="34"/>
      <c r="D741" s="34"/>
      <c r="H741" s="34"/>
      <c r="I741" s="34"/>
    </row>
    <row r="742">
      <c r="B742" s="34"/>
      <c r="C742" s="34"/>
      <c r="D742" s="34"/>
      <c r="H742" s="34"/>
      <c r="I742" s="34"/>
    </row>
    <row r="743">
      <c r="B743" s="34"/>
      <c r="C743" s="34"/>
      <c r="D743" s="34"/>
      <c r="H743" s="34"/>
      <c r="I743" s="34"/>
    </row>
    <row r="744">
      <c r="B744" s="34"/>
      <c r="C744" s="34"/>
      <c r="D744" s="34"/>
      <c r="H744" s="34"/>
      <c r="I744" s="34"/>
    </row>
    <row r="745">
      <c r="B745" s="34"/>
      <c r="C745" s="34"/>
      <c r="D745" s="34"/>
      <c r="H745" s="34"/>
      <c r="I745" s="34"/>
    </row>
    <row r="746">
      <c r="B746" s="34"/>
      <c r="C746" s="34"/>
      <c r="D746" s="34"/>
      <c r="H746" s="34"/>
      <c r="I746" s="34"/>
    </row>
    <row r="747">
      <c r="B747" s="34"/>
      <c r="C747" s="34"/>
      <c r="D747" s="34"/>
      <c r="H747" s="34"/>
      <c r="I747" s="34"/>
    </row>
    <row r="748">
      <c r="B748" s="34"/>
      <c r="C748" s="34"/>
      <c r="D748" s="34"/>
      <c r="H748" s="34"/>
      <c r="I748" s="34"/>
    </row>
    <row r="749">
      <c r="B749" s="34"/>
      <c r="C749" s="34"/>
      <c r="D749" s="34"/>
      <c r="H749" s="34"/>
      <c r="I749" s="34"/>
    </row>
    <row r="750">
      <c r="B750" s="34"/>
      <c r="C750" s="34"/>
      <c r="D750" s="34"/>
      <c r="H750" s="34"/>
      <c r="I750" s="34"/>
    </row>
    <row r="751">
      <c r="B751" s="34"/>
      <c r="C751" s="34"/>
      <c r="D751" s="34"/>
      <c r="H751" s="34"/>
      <c r="I751" s="34"/>
    </row>
    <row r="752">
      <c r="B752" s="34"/>
      <c r="C752" s="34"/>
      <c r="D752" s="34"/>
      <c r="H752" s="34"/>
      <c r="I752" s="34"/>
    </row>
    <row r="753">
      <c r="B753" s="34"/>
      <c r="C753" s="34"/>
      <c r="D753" s="34"/>
      <c r="H753" s="34"/>
      <c r="I753" s="34"/>
    </row>
    <row r="754">
      <c r="B754" s="34"/>
      <c r="C754" s="34"/>
      <c r="D754" s="34"/>
      <c r="H754" s="34"/>
      <c r="I754" s="34"/>
    </row>
    <row r="755">
      <c r="B755" s="34"/>
      <c r="C755" s="34"/>
      <c r="D755" s="34"/>
      <c r="H755" s="34"/>
      <c r="I755" s="34"/>
    </row>
    <row r="756">
      <c r="B756" s="34"/>
      <c r="C756" s="34"/>
      <c r="D756" s="34"/>
      <c r="H756" s="34"/>
      <c r="I756" s="34"/>
    </row>
    <row r="757">
      <c r="B757" s="34"/>
      <c r="C757" s="34"/>
      <c r="D757" s="34"/>
      <c r="H757" s="34"/>
      <c r="I757" s="34"/>
    </row>
    <row r="758">
      <c r="B758" s="34"/>
      <c r="C758" s="34"/>
      <c r="D758" s="34"/>
      <c r="H758" s="34"/>
      <c r="I758" s="34"/>
    </row>
    <row r="759">
      <c r="B759" s="34"/>
      <c r="C759" s="34"/>
      <c r="D759" s="34"/>
      <c r="H759" s="34"/>
      <c r="I759" s="34"/>
    </row>
    <row r="760">
      <c r="B760" s="34"/>
      <c r="C760" s="34"/>
      <c r="D760" s="34"/>
      <c r="H760" s="34"/>
      <c r="I760" s="34"/>
    </row>
    <row r="761">
      <c r="B761" s="34"/>
      <c r="C761" s="34"/>
      <c r="D761" s="34"/>
      <c r="H761" s="34"/>
      <c r="I761" s="34"/>
    </row>
    <row r="762">
      <c r="B762" s="34"/>
      <c r="C762" s="34"/>
      <c r="D762" s="34"/>
      <c r="H762" s="34"/>
      <c r="I762" s="34"/>
    </row>
    <row r="763">
      <c r="B763" s="34"/>
      <c r="C763" s="34"/>
      <c r="D763" s="34"/>
      <c r="H763" s="34"/>
      <c r="I763" s="34"/>
    </row>
    <row r="764">
      <c r="B764" s="34"/>
      <c r="C764" s="34"/>
      <c r="D764" s="34"/>
      <c r="H764" s="34"/>
      <c r="I764" s="34"/>
    </row>
    <row r="765">
      <c r="B765" s="34"/>
      <c r="C765" s="34"/>
      <c r="D765" s="34"/>
      <c r="H765" s="34"/>
      <c r="I765" s="34"/>
    </row>
    <row r="766">
      <c r="B766" s="34"/>
      <c r="C766" s="34"/>
      <c r="D766" s="34"/>
      <c r="H766" s="34"/>
      <c r="I766" s="34"/>
    </row>
    <row r="767">
      <c r="B767" s="34"/>
      <c r="C767" s="34"/>
      <c r="D767" s="34"/>
      <c r="H767" s="34"/>
      <c r="I767" s="34"/>
    </row>
    <row r="768">
      <c r="B768" s="34"/>
      <c r="C768" s="34"/>
      <c r="D768" s="34"/>
      <c r="H768" s="34"/>
      <c r="I768" s="34"/>
    </row>
    <row r="769">
      <c r="B769" s="34"/>
      <c r="C769" s="34"/>
      <c r="D769" s="34"/>
      <c r="H769" s="34"/>
      <c r="I769" s="34"/>
    </row>
    <row r="770">
      <c r="B770" s="34"/>
      <c r="C770" s="34"/>
      <c r="D770" s="34"/>
      <c r="H770" s="34"/>
      <c r="I770" s="34"/>
    </row>
    <row r="771">
      <c r="B771" s="34"/>
      <c r="C771" s="34"/>
      <c r="D771" s="34"/>
      <c r="H771" s="34"/>
      <c r="I771" s="34"/>
    </row>
    <row r="772">
      <c r="B772" s="34"/>
      <c r="C772" s="34"/>
      <c r="D772" s="34"/>
      <c r="H772" s="34"/>
      <c r="I772" s="34"/>
    </row>
    <row r="773">
      <c r="B773" s="34"/>
      <c r="C773" s="34"/>
      <c r="D773" s="34"/>
      <c r="H773" s="34"/>
      <c r="I773" s="34"/>
    </row>
    <row r="774">
      <c r="B774" s="34"/>
      <c r="C774" s="34"/>
      <c r="D774" s="34"/>
      <c r="H774" s="34"/>
      <c r="I774" s="34"/>
    </row>
    <row r="775">
      <c r="B775" s="34"/>
      <c r="C775" s="34"/>
      <c r="D775" s="34"/>
      <c r="H775" s="34"/>
      <c r="I775" s="34"/>
    </row>
    <row r="776">
      <c r="B776" s="34"/>
      <c r="C776" s="34"/>
      <c r="D776" s="34"/>
      <c r="H776" s="34"/>
      <c r="I776" s="34"/>
    </row>
    <row r="777">
      <c r="B777" s="34"/>
      <c r="C777" s="34"/>
      <c r="D777" s="34"/>
      <c r="H777" s="34"/>
      <c r="I777" s="34"/>
    </row>
    <row r="778">
      <c r="B778" s="34"/>
      <c r="C778" s="34"/>
      <c r="D778" s="34"/>
      <c r="H778" s="34"/>
      <c r="I778" s="34"/>
    </row>
    <row r="779">
      <c r="B779" s="34"/>
      <c r="C779" s="34"/>
      <c r="D779" s="34"/>
      <c r="H779" s="34"/>
      <c r="I779" s="34"/>
    </row>
    <row r="780">
      <c r="B780" s="34"/>
      <c r="C780" s="34"/>
      <c r="D780" s="34"/>
      <c r="H780" s="34"/>
      <c r="I780" s="34"/>
    </row>
    <row r="781">
      <c r="B781" s="34"/>
      <c r="C781" s="34"/>
      <c r="D781" s="34"/>
      <c r="H781" s="34"/>
      <c r="I781" s="34"/>
    </row>
    <row r="782">
      <c r="B782" s="34"/>
      <c r="C782" s="34"/>
      <c r="D782" s="34"/>
      <c r="H782" s="34"/>
      <c r="I782" s="34"/>
    </row>
    <row r="783">
      <c r="B783" s="34"/>
      <c r="C783" s="34"/>
      <c r="D783" s="34"/>
      <c r="H783" s="34"/>
      <c r="I783" s="34"/>
    </row>
    <row r="784">
      <c r="B784" s="34"/>
      <c r="C784" s="34"/>
      <c r="D784" s="34"/>
      <c r="H784" s="34"/>
      <c r="I784" s="34"/>
    </row>
    <row r="785">
      <c r="B785" s="34"/>
      <c r="C785" s="34"/>
      <c r="D785" s="34"/>
      <c r="H785" s="34"/>
      <c r="I785" s="34"/>
    </row>
    <row r="786">
      <c r="B786" s="34"/>
      <c r="C786" s="34"/>
      <c r="D786" s="34"/>
      <c r="H786" s="34"/>
      <c r="I786" s="34"/>
    </row>
    <row r="787">
      <c r="B787" s="34"/>
      <c r="C787" s="34"/>
      <c r="D787" s="34"/>
      <c r="H787" s="34"/>
      <c r="I787" s="34"/>
    </row>
    <row r="788">
      <c r="B788" s="34"/>
      <c r="C788" s="34"/>
      <c r="D788" s="34"/>
      <c r="H788" s="34"/>
      <c r="I788" s="34"/>
    </row>
    <row r="789">
      <c r="B789" s="34"/>
      <c r="C789" s="34"/>
      <c r="D789" s="34"/>
      <c r="H789" s="34"/>
      <c r="I789" s="34"/>
    </row>
    <row r="790">
      <c r="B790" s="34"/>
      <c r="C790" s="34"/>
      <c r="D790" s="34"/>
      <c r="H790" s="34"/>
      <c r="I790" s="34"/>
    </row>
    <row r="791">
      <c r="B791" s="34"/>
      <c r="C791" s="34"/>
      <c r="D791" s="34"/>
      <c r="H791" s="34"/>
      <c r="I791" s="34"/>
    </row>
    <row r="792">
      <c r="B792" s="34"/>
      <c r="C792" s="34"/>
      <c r="D792" s="34"/>
      <c r="H792" s="34"/>
      <c r="I792" s="34"/>
    </row>
    <row r="793">
      <c r="B793" s="34"/>
      <c r="C793" s="34"/>
      <c r="D793" s="34"/>
      <c r="H793" s="34"/>
      <c r="I793" s="34"/>
    </row>
    <row r="794">
      <c r="B794" s="34"/>
      <c r="C794" s="34"/>
      <c r="D794" s="34"/>
      <c r="H794" s="34"/>
      <c r="I794" s="34"/>
    </row>
    <row r="795">
      <c r="B795" s="34"/>
      <c r="C795" s="34"/>
      <c r="D795" s="34"/>
      <c r="H795" s="34"/>
      <c r="I795" s="34"/>
    </row>
    <row r="796">
      <c r="B796" s="34"/>
      <c r="C796" s="34"/>
      <c r="D796" s="34"/>
      <c r="H796" s="34"/>
      <c r="I796" s="34"/>
    </row>
    <row r="797">
      <c r="B797" s="34"/>
      <c r="C797" s="34"/>
      <c r="D797" s="34"/>
      <c r="H797" s="34"/>
      <c r="I797" s="34"/>
    </row>
    <row r="798">
      <c r="B798" s="34"/>
      <c r="C798" s="34"/>
      <c r="D798" s="34"/>
      <c r="H798" s="34"/>
      <c r="I798" s="34"/>
    </row>
    <row r="799">
      <c r="B799" s="34"/>
      <c r="C799" s="34"/>
      <c r="D799" s="34"/>
      <c r="H799" s="34"/>
      <c r="I799" s="34"/>
    </row>
    <row r="800">
      <c r="B800" s="34"/>
      <c r="C800" s="34"/>
      <c r="D800" s="34"/>
      <c r="H800" s="34"/>
      <c r="I800" s="34"/>
    </row>
    <row r="801">
      <c r="B801" s="34"/>
      <c r="C801" s="34"/>
      <c r="D801" s="34"/>
      <c r="H801" s="34"/>
      <c r="I801" s="34"/>
    </row>
    <row r="802">
      <c r="B802" s="34"/>
      <c r="C802" s="34"/>
      <c r="D802" s="34"/>
      <c r="H802" s="34"/>
      <c r="I802" s="34"/>
    </row>
    <row r="803">
      <c r="B803" s="34"/>
      <c r="C803" s="34"/>
      <c r="D803" s="34"/>
      <c r="H803" s="34"/>
      <c r="I803" s="34"/>
    </row>
    <row r="804">
      <c r="B804" s="34"/>
      <c r="C804" s="34"/>
      <c r="D804" s="34"/>
      <c r="H804" s="34"/>
      <c r="I804" s="34"/>
    </row>
    <row r="805">
      <c r="B805" s="34"/>
      <c r="C805" s="34"/>
      <c r="D805" s="34"/>
      <c r="H805" s="34"/>
      <c r="I805" s="34"/>
    </row>
    <row r="806">
      <c r="B806" s="34"/>
      <c r="C806" s="34"/>
      <c r="D806" s="34"/>
      <c r="H806" s="34"/>
      <c r="I806" s="34"/>
    </row>
    <row r="807">
      <c r="B807" s="34"/>
      <c r="C807" s="34"/>
      <c r="D807" s="34"/>
      <c r="H807" s="34"/>
      <c r="I807" s="34"/>
    </row>
    <row r="808">
      <c r="B808" s="34"/>
      <c r="C808" s="34"/>
      <c r="D808" s="34"/>
      <c r="H808" s="34"/>
      <c r="I808" s="34"/>
    </row>
    <row r="809">
      <c r="B809" s="34"/>
      <c r="C809" s="34"/>
      <c r="D809" s="34"/>
      <c r="H809" s="34"/>
      <c r="I809" s="34"/>
    </row>
    <row r="810">
      <c r="B810" s="34"/>
      <c r="C810" s="34"/>
      <c r="D810" s="34"/>
      <c r="H810" s="34"/>
      <c r="I810" s="34"/>
    </row>
    <row r="811">
      <c r="B811" s="34"/>
      <c r="C811" s="34"/>
      <c r="D811" s="34"/>
      <c r="H811" s="34"/>
      <c r="I811" s="34"/>
    </row>
    <row r="812">
      <c r="B812" s="34"/>
      <c r="C812" s="34"/>
      <c r="D812" s="34"/>
      <c r="H812" s="34"/>
      <c r="I812" s="34"/>
    </row>
    <row r="813">
      <c r="B813" s="34"/>
      <c r="C813" s="34"/>
      <c r="D813" s="34"/>
      <c r="H813" s="34"/>
      <c r="I813" s="34"/>
    </row>
    <row r="814">
      <c r="B814" s="34"/>
      <c r="C814" s="34"/>
      <c r="D814" s="34"/>
      <c r="H814" s="34"/>
      <c r="I814" s="34"/>
    </row>
    <row r="815">
      <c r="B815" s="34"/>
      <c r="C815" s="34"/>
      <c r="D815" s="34"/>
      <c r="H815" s="34"/>
      <c r="I815" s="34"/>
    </row>
    <row r="816">
      <c r="B816" s="34"/>
      <c r="C816" s="34"/>
      <c r="D816" s="34"/>
      <c r="H816" s="34"/>
      <c r="I816" s="34"/>
    </row>
    <row r="817">
      <c r="B817" s="34"/>
      <c r="C817" s="34"/>
      <c r="D817" s="34"/>
      <c r="H817" s="34"/>
      <c r="I817" s="34"/>
    </row>
    <row r="818">
      <c r="B818" s="34"/>
      <c r="C818" s="34"/>
      <c r="D818" s="34"/>
      <c r="H818" s="34"/>
      <c r="I818" s="34"/>
    </row>
    <row r="819">
      <c r="B819" s="34"/>
      <c r="C819" s="34"/>
      <c r="D819" s="34"/>
      <c r="H819" s="34"/>
      <c r="I819" s="34"/>
    </row>
    <row r="820">
      <c r="B820" s="34"/>
      <c r="C820" s="34"/>
      <c r="D820" s="34"/>
      <c r="H820" s="34"/>
      <c r="I820" s="34"/>
    </row>
    <row r="821">
      <c r="B821" s="34"/>
      <c r="C821" s="34"/>
      <c r="D821" s="34"/>
      <c r="H821" s="34"/>
      <c r="I821" s="34"/>
    </row>
    <row r="822">
      <c r="B822" s="34"/>
      <c r="C822" s="34"/>
      <c r="D822" s="34"/>
      <c r="H822" s="34"/>
      <c r="I822" s="34"/>
    </row>
    <row r="823">
      <c r="B823" s="34"/>
      <c r="C823" s="34"/>
      <c r="D823" s="34"/>
      <c r="H823" s="34"/>
      <c r="I823" s="34"/>
    </row>
    <row r="824">
      <c r="B824" s="34"/>
      <c r="C824" s="34"/>
      <c r="D824" s="34"/>
      <c r="H824" s="34"/>
      <c r="I824" s="34"/>
    </row>
    <row r="825">
      <c r="B825" s="34"/>
      <c r="C825" s="34"/>
      <c r="D825" s="34"/>
      <c r="H825" s="34"/>
      <c r="I825" s="34"/>
    </row>
    <row r="826">
      <c r="B826" s="34"/>
      <c r="C826" s="34"/>
      <c r="D826" s="34"/>
      <c r="H826" s="34"/>
      <c r="I826" s="34"/>
    </row>
    <row r="827">
      <c r="B827" s="34"/>
      <c r="C827" s="34"/>
      <c r="D827" s="34"/>
      <c r="H827" s="34"/>
      <c r="I827" s="34"/>
    </row>
    <row r="828">
      <c r="B828" s="34"/>
      <c r="C828" s="34"/>
      <c r="D828" s="34"/>
      <c r="H828" s="34"/>
      <c r="I828" s="34"/>
    </row>
    <row r="829">
      <c r="B829" s="34"/>
      <c r="C829" s="34"/>
      <c r="D829" s="34"/>
      <c r="H829" s="34"/>
      <c r="I829" s="34"/>
    </row>
    <row r="830">
      <c r="B830" s="34"/>
      <c r="C830" s="34"/>
      <c r="D830" s="34"/>
      <c r="H830" s="34"/>
      <c r="I830" s="34"/>
    </row>
    <row r="831">
      <c r="B831" s="34"/>
      <c r="C831" s="34"/>
      <c r="D831" s="34"/>
      <c r="H831" s="34"/>
      <c r="I831" s="34"/>
    </row>
    <row r="832">
      <c r="B832" s="34"/>
      <c r="C832" s="34"/>
      <c r="D832" s="34"/>
      <c r="H832" s="34"/>
      <c r="I832" s="34"/>
    </row>
    <row r="833">
      <c r="B833" s="34"/>
      <c r="C833" s="34"/>
      <c r="D833" s="34"/>
      <c r="H833" s="34"/>
      <c r="I833" s="34"/>
    </row>
    <row r="834">
      <c r="B834" s="34"/>
      <c r="C834" s="34"/>
      <c r="D834" s="34"/>
      <c r="H834" s="34"/>
      <c r="I834" s="34"/>
    </row>
    <row r="835">
      <c r="B835" s="34"/>
      <c r="C835" s="34"/>
      <c r="D835" s="34"/>
      <c r="H835" s="34"/>
      <c r="I835" s="34"/>
    </row>
    <row r="836">
      <c r="B836" s="34"/>
      <c r="C836" s="34"/>
      <c r="D836" s="34"/>
      <c r="H836" s="34"/>
      <c r="I836" s="34"/>
    </row>
    <row r="837">
      <c r="B837" s="34"/>
      <c r="C837" s="34"/>
      <c r="D837" s="34"/>
      <c r="H837" s="34"/>
      <c r="I837" s="34"/>
    </row>
    <row r="838">
      <c r="B838" s="34"/>
      <c r="C838" s="34"/>
      <c r="D838" s="34"/>
      <c r="H838" s="34"/>
      <c r="I838" s="34"/>
    </row>
    <row r="839">
      <c r="B839" s="34"/>
      <c r="C839" s="34"/>
      <c r="D839" s="34"/>
      <c r="H839" s="34"/>
      <c r="I839" s="34"/>
    </row>
    <row r="840">
      <c r="B840" s="34"/>
      <c r="C840" s="34"/>
      <c r="D840" s="34"/>
      <c r="H840" s="34"/>
      <c r="I840" s="34"/>
    </row>
    <row r="841">
      <c r="B841" s="34"/>
      <c r="C841" s="34"/>
      <c r="D841" s="34"/>
      <c r="H841" s="34"/>
      <c r="I841" s="34"/>
    </row>
    <row r="842">
      <c r="B842" s="34"/>
      <c r="C842" s="34"/>
      <c r="D842" s="34"/>
      <c r="H842" s="34"/>
      <c r="I842" s="34"/>
    </row>
    <row r="843">
      <c r="B843" s="34"/>
      <c r="C843" s="34"/>
      <c r="D843" s="34"/>
      <c r="H843" s="34"/>
      <c r="I843" s="34"/>
    </row>
    <row r="844">
      <c r="B844" s="34"/>
      <c r="C844" s="34"/>
      <c r="D844" s="34"/>
      <c r="H844" s="34"/>
      <c r="I844" s="34"/>
    </row>
    <row r="845">
      <c r="B845" s="34"/>
      <c r="C845" s="34"/>
      <c r="D845" s="34"/>
      <c r="H845" s="34"/>
      <c r="I845" s="34"/>
    </row>
    <row r="846">
      <c r="B846" s="34"/>
      <c r="C846" s="34"/>
      <c r="D846" s="34"/>
      <c r="H846" s="34"/>
      <c r="I846" s="34"/>
    </row>
    <row r="847">
      <c r="B847" s="34"/>
      <c r="C847" s="34"/>
      <c r="D847" s="34"/>
      <c r="H847" s="34"/>
      <c r="I847" s="34"/>
    </row>
    <row r="848">
      <c r="B848" s="34"/>
      <c r="C848" s="34"/>
      <c r="D848" s="34"/>
      <c r="H848" s="34"/>
      <c r="I848" s="34"/>
    </row>
    <row r="849">
      <c r="B849" s="34"/>
      <c r="C849" s="34"/>
      <c r="D849" s="34"/>
      <c r="H849" s="34"/>
      <c r="I849" s="34"/>
    </row>
    <row r="850">
      <c r="B850" s="34"/>
      <c r="C850" s="34"/>
      <c r="D850" s="34"/>
      <c r="H850" s="34"/>
      <c r="I850" s="34"/>
    </row>
    <row r="851">
      <c r="B851" s="34"/>
      <c r="C851" s="34"/>
      <c r="D851" s="34"/>
      <c r="H851" s="34"/>
      <c r="I851" s="34"/>
    </row>
    <row r="852">
      <c r="B852" s="34"/>
      <c r="C852" s="34"/>
      <c r="D852" s="34"/>
      <c r="H852" s="34"/>
      <c r="I852" s="34"/>
    </row>
    <row r="853">
      <c r="B853" s="34"/>
      <c r="C853" s="34"/>
      <c r="D853" s="34"/>
      <c r="H853" s="34"/>
      <c r="I853" s="34"/>
    </row>
    <row r="854">
      <c r="B854" s="34"/>
      <c r="C854" s="34"/>
      <c r="D854" s="34"/>
      <c r="H854" s="34"/>
      <c r="I854" s="34"/>
    </row>
    <row r="855">
      <c r="B855" s="34"/>
      <c r="C855" s="34"/>
      <c r="D855" s="34"/>
      <c r="H855" s="34"/>
      <c r="I855" s="34"/>
    </row>
    <row r="856">
      <c r="B856" s="34"/>
      <c r="C856" s="34"/>
      <c r="D856" s="34"/>
      <c r="H856" s="34"/>
      <c r="I856" s="34"/>
    </row>
    <row r="857">
      <c r="B857" s="34"/>
      <c r="C857" s="34"/>
      <c r="D857" s="34"/>
      <c r="H857" s="34"/>
      <c r="I857" s="34"/>
    </row>
    <row r="858">
      <c r="B858" s="34"/>
      <c r="C858" s="34"/>
      <c r="D858" s="34"/>
      <c r="H858" s="34"/>
      <c r="I858" s="34"/>
    </row>
    <row r="859">
      <c r="B859" s="34"/>
      <c r="C859" s="34"/>
      <c r="D859" s="34"/>
      <c r="H859" s="34"/>
      <c r="I859" s="34"/>
    </row>
    <row r="860">
      <c r="B860" s="34"/>
      <c r="C860" s="34"/>
      <c r="D860" s="34"/>
      <c r="H860" s="34"/>
      <c r="I860" s="34"/>
    </row>
    <row r="861">
      <c r="B861" s="34"/>
      <c r="C861" s="34"/>
      <c r="D861" s="34"/>
      <c r="H861" s="34"/>
      <c r="I861" s="34"/>
    </row>
    <row r="862">
      <c r="B862" s="34"/>
      <c r="C862" s="34"/>
      <c r="D862" s="34"/>
      <c r="H862" s="34"/>
      <c r="I862" s="34"/>
    </row>
    <row r="863">
      <c r="B863" s="34"/>
      <c r="C863" s="34"/>
      <c r="D863" s="34"/>
      <c r="H863" s="34"/>
      <c r="I863" s="34"/>
    </row>
    <row r="864">
      <c r="B864" s="34"/>
      <c r="C864" s="34"/>
      <c r="D864" s="34"/>
      <c r="H864" s="34"/>
      <c r="I864" s="34"/>
    </row>
    <row r="865">
      <c r="B865" s="34"/>
      <c r="C865" s="34"/>
      <c r="D865" s="34"/>
      <c r="H865" s="34"/>
      <c r="I865" s="34"/>
    </row>
    <row r="866">
      <c r="B866" s="34"/>
      <c r="C866" s="34"/>
      <c r="D866" s="34"/>
      <c r="H866" s="34"/>
      <c r="I866" s="34"/>
    </row>
    <row r="867">
      <c r="B867" s="34"/>
      <c r="C867" s="34"/>
      <c r="D867" s="34"/>
      <c r="H867" s="34"/>
      <c r="I867" s="34"/>
    </row>
    <row r="868">
      <c r="B868" s="34"/>
      <c r="C868" s="34"/>
      <c r="D868" s="34"/>
      <c r="H868" s="34"/>
      <c r="I868" s="34"/>
    </row>
    <row r="869">
      <c r="B869" s="34"/>
      <c r="C869" s="34"/>
      <c r="D869" s="34"/>
      <c r="H869" s="34"/>
      <c r="I869" s="34"/>
    </row>
    <row r="870">
      <c r="B870" s="34"/>
      <c r="C870" s="34"/>
      <c r="D870" s="34"/>
      <c r="H870" s="34"/>
      <c r="I870" s="34"/>
    </row>
    <row r="871">
      <c r="B871" s="34"/>
      <c r="C871" s="34"/>
      <c r="D871" s="34"/>
      <c r="H871" s="34"/>
      <c r="I871" s="34"/>
    </row>
    <row r="872">
      <c r="B872" s="34"/>
      <c r="C872" s="34"/>
      <c r="D872" s="34"/>
      <c r="H872" s="34"/>
      <c r="I872" s="34"/>
    </row>
    <row r="873">
      <c r="B873" s="34"/>
      <c r="C873" s="34"/>
      <c r="D873" s="34"/>
      <c r="H873" s="34"/>
      <c r="I873" s="34"/>
    </row>
    <row r="874">
      <c r="B874" s="34"/>
      <c r="C874" s="34"/>
      <c r="D874" s="34"/>
      <c r="H874" s="34"/>
      <c r="I874" s="34"/>
    </row>
    <row r="875">
      <c r="B875" s="34"/>
      <c r="C875" s="34"/>
      <c r="D875" s="34"/>
      <c r="H875" s="34"/>
      <c r="I875" s="34"/>
    </row>
    <row r="876">
      <c r="B876" s="34"/>
      <c r="C876" s="34"/>
      <c r="D876" s="34"/>
      <c r="H876" s="34"/>
      <c r="I876" s="34"/>
    </row>
    <row r="877">
      <c r="B877" s="34"/>
      <c r="C877" s="34"/>
      <c r="D877" s="34"/>
      <c r="H877" s="34"/>
      <c r="I877" s="34"/>
    </row>
    <row r="878">
      <c r="B878" s="34"/>
      <c r="C878" s="34"/>
      <c r="D878" s="34"/>
      <c r="H878" s="34"/>
      <c r="I878" s="34"/>
    </row>
    <row r="879">
      <c r="B879" s="34"/>
      <c r="C879" s="34"/>
      <c r="D879" s="34"/>
      <c r="H879" s="34"/>
      <c r="I879" s="34"/>
    </row>
    <row r="880">
      <c r="B880" s="34"/>
      <c r="C880" s="34"/>
      <c r="D880" s="34"/>
      <c r="H880" s="34"/>
      <c r="I880" s="34"/>
    </row>
    <row r="881">
      <c r="B881" s="34"/>
      <c r="C881" s="34"/>
      <c r="D881" s="34"/>
      <c r="H881" s="34"/>
      <c r="I881" s="34"/>
    </row>
    <row r="882">
      <c r="B882" s="34"/>
      <c r="C882" s="34"/>
      <c r="D882" s="34"/>
      <c r="H882" s="34"/>
      <c r="I882" s="34"/>
    </row>
    <row r="883">
      <c r="B883" s="34"/>
      <c r="C883" s="34"/>
      <c r="D883" s="34"/>
      <c r="H883" s="34"/>
      <c r="I883" s="34"/>
    </row>
    <row r="884">
      <c r="B884" s="34"/>
      <c r="C884" s="34"/>
      <c r="D884" s="34"/>
      <c r="H884" s="34"/>
      <c r="I884" s="34"/>
    </row>
    <row r="885">
      <c r="B885" s="34"/>
      <c r="C885" s="34"/>
      <c r="D885" s="34"/>
      <c r="H885" s="34"/>
      <c r="I885" s="34"/>
    </row>
    <row r="886">
      <c r="B886" s="34"/>
      <c r="C886" s="34"/>
      <c r="D886" s="34"/>
      <c r="H886" s="34"/>
      <c r="I886" s="34"/>
    </row>
    <row r="887">
      <c r="B887" s="34"/>
      <c r="C887" s="34"/>
      <c r="D887" s="34"/>
      <c r="H887" s="34"/>
      <c r="I887" s="34"/>
    </row>
    <row r="888">
      <c r="B888" s="34"/>
      <c r="C888" s="34"/>
      <c r="D888" s="34"/>
      <c r="H888" s="34"/>
      <c r="I888" s="34"/>
    </row>
    <row r="889">
      <c r="B889" s="34"/>
      <c r="C889" s="34"/>
      <c r="D889" s="34"/>
      <c r="H889" s="34"/>
      <c r="I889" s="34"/>
    </row>
    <row r="890">
      <c r="B890" s="34"/>
      <c r="C890" s="34"/>
      <c r="D890" s="34"/>
      <c r="H890" s="34"/>
      <c r="I890" s="34"/>
    </row>
    <row r="891">
      <c r="B891" s="34"/>
      <c r="C891" s="34"/>
      <c r="D891" s="34"/>
      <c r="H891" s="34"/>
      <c r="I891" s="34"/>
    </row>
    <row r="892">
      <c r="B892" s="34"/>
      <c r="C892" s="34"/>
      <c r="D892" s="34"/>
      <c r="H892" s="34"/>
      <c r="I892" s="34"/>
    </row>
    <row r="893">
      <c r="B893" s="34"/>
      <c r="C893" s="34"/>
      <c r="D893" s="34"/>
      <c r="H893" s="34"/>
      <c r="I893" s="34"/>
    </row>
    <row r="894">
      <c r="B894" s="34"/>
      <c r="C894" s="34"/>
      <c r="D894" s="34"/>
      <c r="H894" s="34"/>
      <c r="I894" s="34"/>
    </row>
    <row r="895">
      <c r="B895" s="34"/>
      <c r="C895" s="34"/>
      <c r="D895" s="34"/>
      <c r="H895" s="34"/>
      <c r="I895" s="34"/>
    </row>
    <row r="896">
      <c r="B896" s="34"/>
      <c r="C896" s="34"/>
      <c r="D896" s="34"/>
      <c r="H896" s="34"/>
      <c r="I896" s="34"/>
    </row>
    <row r="897">
      <c r="B897" s="34"/>
      <c r="C897" s="34"/>
      <c r="D897" s="34"/>
      <c r="H897" s="34"/>
      <c r="I897" s="34"/>
    </row>
    <row r="898">
      <c r="B898" s="34"/>
      <c r="C898" s="34"/>
      <c r="D898" s="34"/>
      <c r="H898" s="34"/>
      <c r="I898" s="34"/>
    </row>
    <row r="899">
      <c r="B899" s="34"/>
      <c r="C899" s="34"/>
      <c r="D899" s="34"/>
      <c r="H899" s="34"/>
      <c r="I899" s="34"/>
    </row>
    <row r="900">
      <c r="B900" s="34"/>
      <c r="C900" s="34"/>
      <c r="D900" s="34"/>
      <c r="H900" s="34"/>
      <c r="I900" s="34"/>
    </row>
    <row r="901">
      <c r="B901" s="34"/>
      <c r="C901" s="34"/>
      <c r="D901" s="34"/>
      <c r="H901" s="34"/>
      <c r="I901" s="34"/>
    </row>
    <row r="902">
      <c r="B902" s="34"/>
      <c r="C902" s="34"/>
      <c r="D902" s="34"/>
      <c r="H902" s="34"/>
      <c r="I902" s="34"/>
    </row>
    <row r="903">
      <c r="B903" s="34"/>
      <c r="C903" s="34"/>
      <c r="D903" s="34"/>
      <c r="H903" s="34"/>
      <c r="I903" s="34"/>
    </row>
    <row r="904">
      <c r="B904" s="34"/>
      <c r="C904" s="34"/>
      <c r="D904" s="34"/>
      <c r="H904" s="34"/>
      <c r="I904" s="34"/>
    </row>
    <row r="905">
      <c r="B905" s="34"/>
      <c r="C905" s="34"/>
      <c r="D905" s="34"/>
      <c r="H905" s="34"/>
      <c r="I905" s="34"/>
    </row>
    <row r="906">
      <c r="B906" s="34"/>
      <c r="C906" s="34"/>
      <c r="D906" s="34"/>
      <c r="H906" s="34"/>
      <c r="I906" s="34"/>
    </row>
    <row r="907">
      <c r="B907" s="34"/>
      <c r="C907" s="34"/>
      <c r="D907" s="34"/>
      <c r="H907" s="34"/>
      <c r="I907" s="34"/>
    </row>
    <row r="908">
      <c r="B908" s="34"/>
      <c r="C908" s="34"/>
      <c r="D908" s="34"/>
      <c r="H908" s="34"/>
      <c r="I908" s="34"/>
    </row>
    <row r="909">
      <c r="B909" s="34"/>
      <c r="C909" s="34"/>
      <c r="D909" s="34"/>
      <c r="H909" s="34"/>
      <c r="I909" s="34"/>
    </row>
    <row r="910">
      <c r="B910" s="34"/>
      <c r="C910" s="34"/>
      <c r="D910" s="34"/>
      <c r="H910" s="34"/>
      <c r="I910" s="34"/>
    </row>
    <row r="911">
      <c r="B911" s="34"/>
      <c r="C911" s="34"/>
      <c r="D911" s="34"/>
      <c r="H911" s="34"/>
      <c r="I911" s="34"/>
    </row>
    <row r="912">
      <c r="B912" s="34"/>
      <c r="C912" s="34"/>
      <c r="D912" s="34"/>
      <c r="H912" s="34"/>
      <c r="I912" s="34"/>
    </row>
    <row r="913">
      <c r="B913" s="34"/>
      <c r="C913" s="34"/>
      <c r="D913" s="34"/>
      <c r="H913" s="34"/>
      <c r="I913" s="34"/>
    </row>
    <row r="914">
      <c r="B914" s="34"/>
      <c r="C914" s="34"/>
      <c r="D914" s="34"/>
      <c r="H914" s="34"/>
      <c r="I914" s="34"/>
    </row>
    <row r="915">
      <c r="B915" s="34"/>
      <c r="C915" s="34"/>
      <c r="D915" s="34"/>
      <c r="H915" s="34"/>
      <c r="I915" s="34"/>
    </row>
    <row r="916">
      <c r="B916" s="34"/>
      <c r="C916" s="34"/>
      <c r="D916" s="34"/>
      <c r="H916" s="34"/>
      <c r="I916" s="34"/>
    </row>
    <row r="917">
      <c r="B917" s="34"/>
      <c r="C917" s="34"/>
      <c r="D917" s="34"/>
      <c r="H917" s="34"/>
      <c r="I917" s="34"/>
    </row>
    <row r="918">
      <c r="B918" s="34"/>
      <c r="C918" s="34"/>
      <c r="D918" s="34"/>
      <c r="H918" s="34"/>
      <c r="I918" s="34"/>
    </row>
    <row r="919">
      <c r="B919" s="34"/>
      <c r="C919" s="34"/>
      <c r="D919" s="34"/>
      <c r="H919" s="34"/>
      <c r="I919" s="34"/>
    </row>
    <row r="920">
      <c r="B920" s="34"/>
      <c r="C920" s="34"/>
      <c r="D920" s="34"/>
      <c r="H920" s="34"/>
      <c r="I920" s="34"/>
    </row>
    <row r="921">
      <c r="B921" s="34"/>
      <c r="C921" s="34"/>
      <c r="D921" s="34"/>
      <c r="H921" s="34"/>
      <c r="I921" s="34"/>
    </row>
    <row r="922">
      <c r="B922" s="34"/>
      <c r="C922" s="34"/>
      <c r="D922" s="34"/>
      <c r="H922" s="34"/>
      <c r="I922" s="34"/>
    </row>
    <row r="923">
      <c r="B923" s="34"/>
      <c r="C923" s="34"/>
      <c r="D923" s="34"/>
      <c r="H923" s="34"/>
      <c r="I923" s="34"/>
    </row>
    <row r="924">
      <c r="B924" s="34"/>
      <c r="C924" s="34"/>
      <c r="D924" s="34"/>
      <c r="H924" s="34"/>
      <c r="I924" s="34"/>
    </row>
    <row r="925">
      <c r="B925" s="34"/>
      <c r="C925" s="34"/>
      <c r="D925" s="34"/>
      <c r="H925" s="34"/>
      <c r="I925" s="34"/>
    </row>
    <row r="926">
      <c r="B926" s="34"/>
      <c r="C926" s="34"/>
      <c r="D926" s="34"/>
      <c r="H926" s="34"/>
      <c r="I926" s="34"/>
    </row>
    <row r="927">
      <c r="B927" s="34"/>
      <c r="C927" s="34"/>
      <c r="D927" s="34"/>
      <c r="H927" s="34"/>
      <c r="I927" s="34"/>
    </row>
    <row r="928">
      <c r="B928" s="34"/>
      <c r="C928" s="34"/>
      <c r="D928" s="34"/>
      <c r="H928" s="34"/>
      <c r="I928" s="34"/>
    </row>
    <row r="929">
      <c r="B929" s="34"/>
      <c r="C929" s="34"/>
      <c r="D929" s="34"/>
      <c r="H929" s="34"/>
      <c r="I929" s="34"/>
    </row>
    <row r="930">
      <c r="B930" s="34"/>
      <c r="C930" s="34"/>
      <c r="D930" s="34"/>
      <c r="H930" s="34"/>
      <c r="I930" s="34"/>
    </row>
    <row r="931">
      <c r="B931" s="34"/>
      <c r="C931" s="34"/>
      <c r="D931" s="34"/>
      <c r="H931" s="34"/>
      <c r="I931" s="34"/>
    </row>
    <row r="932">
      <c r="B932" s="34"/>
      <c r="C932" s="34"/>
      <c r="D932" s="34"/>
      <c r="H932" s="34"/>
      <c r="I932" s="34"/>
    </row>
    <row r="933">
      <c r="B933" s="34"/>
      <c r="C933" s="34"/>
      <c r="D933" s="34"/>
      <c r="H933" s="34"/>
      <c r="I933" s="34"/>
    </row>
    <row r="934">
      <c r="B934" s="34"/>
      <c r="C934" s="34"/>
      <c r="D934" s="34"/>
      <c r="H934" s="34"/>
      <c r="I934" s="34"/>
    </row>
    <row r="935">
      <c r="B935" s="34"/>
      <c r="C935" s="34"/>
      <c r="D935" s="34"/>
      <c r="H935" s="34"/>
      <c r="I935" s="34"/>
    </row>
    <row r="936">
      <c r="B936" s="34"/>
      <c r="C936" s="34"/>
      <c r="D936" s="34"/>
      <c r="H936" s="34"/>
      <c r="I936" s="34"/>
    </row>
    <row r="937">
      <c r="B937" s="34"/>
      <c r="C937" s="34"/>
      <c r="D937" s="34"/>
      <c r="H937" s="34"/>
      <c r="I937" s="34"/>
    </row>
    <row r="938">
      <c r="B938" s="34"/>
      <c r="C938" s="34"/>
      <c r="D938" s="34"/>
      <c r="H938" s="34"/>
      <c r="I938" s="34"/>
    </row>
    <row r="939">
      <c r="B939" s="34"/>
      <c r="C939" s="34"/>
      <c r="D939" s="34"/>
      <c r="H939" s="34"/>
      <c r="I939" s="34"/>
    </row>
    <row r="940">
      <c r="B940" s="34"/>
      <c r="C940" s="34"/>
      <c r="D940" s="34"/>
      <c r="H940" s="34"/>
      <c r="I940" s="34"/>
    </row>
    <row r="941">
      <c r="B941" s="34"/>
      <c r="C941" s="34"/>
      <c r="D941" s="34"/>
      <c r="H941" s="34"/>
      <c r="I941" s="34"/>
    </row>
    <row r="942">
      <c r="B942" s="34"/>
      <c r="C942" s="34"/>
      <c r="D942" s="34"/>
      <c r="H942" s="34"/>
      <c r="I942" s="34"/>
    </row>
    <row r="943">
      <c r="B943" s="34"/>
      <c r="C943" s="34"/>
      <c r="D943" s="34"/>
      <c r="H943" s="34"/>
      <c r="I943" s="34"/>
    </row>
    <row r="944">
      <c r="B944" s="34"/>
      <c r="C944" s="34"/>
      <c r="D944" s="34"/>
      <c r="H944" s="34"/>
      <c r="I944" s="34"/>
    </row>
    <row r="945">
      <c r="B945" s="34"/>
      <c r="C945" s="34"/>
      <c r="D945" s="34"/>
      <c r="H945" s="34"/>
      <c r="I945" s="34"/>
    </row>
    <row r="946">
      <c r="B946" s="34"/>
      <c r="C946" s="34"/>
      <c r="D946" s="34"/>
      <c r="H946" s="34"/>
      <c r="I946" s="34"/>
    </row>
    <row r="947">
      <c r="B947" s="34"/>
      <c r="C947" s="34"/>
      <c r="D947" s="34"/>
      <c r="H947" s="34"/>
      <c r="I947" s="34"/>
    </row>
    <row r="948">
      <c r="B948" s="34"/>
      <c r="C948" s="34"/>
      <c r="D948" s="34"/>
      <c r="H948" s="34"/>
      <c r="I948" s="34"/>
    </row>
    <row r="949">
      <c r="B949" s="34"/>
      <c r="C949" s="34"/>
      <c r="D949" s="34"/>
      <c r="H949" s="34"/>
      <c r="I949" s="34"/>
    </row>
    <row r="950">
      <c r="B950" s="34"/>
      <c r="C950" s="34"/>
      <c r="D950" s="34"/>
      <c r="H950" s="34"/>
      <c r="I950" s="34"/>
    </row>
    <row r="951">
      <c r="B951" s="34"/>
      <c r="C951" s="34"/>
      <c r="D951" s="34"/>
      <c r="H951" s="34"/>
      <c r="I951" s="34"/>
    </row>
    <row r="952">
      <c r="B952" s="34"/>
      <c r="C952" s="34"/>
      <c r="D952" s="34"/>
      <c r="H952" s="34"/>
      <c r="I952" s="34"/>
    </row>
    <row r="953">
      <c r="B953" s="34"/>
      <c r="C953" s="34"/>
      <c r="D953" s="34"/>
      <c r="H953" s="34"/>
      <c r="I953" s="34"/>
    </row>
    <row r="954">
      <c r="B954" s="34"/>
      <c r="C954" s="34"/>
      <c r="D954" s="34"/>
      <c r="H954" s="34"/>
      <c r="I954" s="34"/>
    </row>
    <row r="955">
      <c r="B955" s="34"/>
      <c r="C955" s="34"/>
      <c r="D955" s="34"/>
      <c r="H955" s="34"/>
      <c r="I955" s="34"/>
    </row>
    <row r="956">
      <c r="B956" s="34"/>
      <c r="C956" s="34"/>
      <c r="D956" s="34"/>
      <c r="H956" s="34"/>
      <c r="I956" s="34"/>
    </row>
    <row r="957">
      <c r="B957" s="34"/>
      <c r="C957" s="34"/>
      <c r="D957" s="34"/>
      <c r="H957" s="34"/>
      <c r="I957" s="34"/>
    </row>
    <row r="958">
      <c r="B958" s="34"/>
      <c r="C958" s="34"/>
      <c r="D958" s="34"/>
      <c r="H958" s="34"/>
      <c r="I958" s="34"/>
    </row>
    <row r="959">
      <c r="B959" s="34"/>
      <c r="C959" s="34"/>
      <c r="D959" s="34"/>
      <c r="H959" s="34"/>
      <c r="I959" s="34"/>
    </row>
    <row r="960">
      <c r="B960" s="34"/>
      <c r="C960" s="34"/>
      <c r="D960" s="34"/>
      <c r="H960" s="34"/>
      <c r="I960" s="34"/>
    </row>
    <row r="961">
      <c r="B961" s="34"/>
      <c r="C961" s="34"/>
      <c r="D961" s="34"/>
      <c r="H961" s="34"/>
      <c r="I961" s="34"/>
    </row>
    <row r="962">
      <c r="B962" s="34"/>
      <c r="C962" s="34"/>
      <c r="D962" s="34"/>
      <c r="H962" s="34"/>
      <c r="I962" s="34"/>
    </row>
    <row r="963">
      <c r="B963" s="34"/>
      <c r="C963" s="34"/>
      <c r="D963" s="34"/>
      <c r="H963" s="34"/>
      <c r="I963" s="34"/>
    </row>
    <row r="964">
      <c r="B964" s="34"/>
      <c r="C964" s="34"/>
      <c r="D964" s="34"/>
      <c r="H964" s="34"/>
      <c r="I964" s="34"/>
    </row>
    <row r="965">
      <c r="B965" s="34"/>
      <c r="C965" s="34"/>
      <c r="D965" s="34"/>
      <c r="H965" s="34"/>
      <c r="I965" s="34"/>
    </row>
    <row r="966">
      <c r="B966" s="34"/>
      <c r="C966" s="34"/>
      <c r="D966" s="34"/>
      <c r="H966" s="34"/>
      <c r="I966" s="34"/>
    </row>
    <row r="967">
      <c r="B967" s="34"/>
      <c r="C967" s="34"/>
      <c r="D967" s="34"/>
      <c r="H967" s="34"/>
      <c r="I967" s="34"/>
    </row>
    <row r="968">
      <c r="B968" s="34"/>
      <c r="C968" s="34"/>
      <c r="D968" s="34"/>
      <c r="H968" s="34"/>
      <c r="I968" s="34"/>
    </row>
    <row r="969">
      <c r="B969" s="34"/>
      <c r="C969" s="34"/>
      <c r="D969" s="34"/>
      <c r="H969" s="34"/>
      <c r="I969" s="34"/>
    </row>
    <row r="970">
      <c r="B970" s="34"/>
      <c r="C970" s="34"/>
      <c r="D970" s="34"/>
      <c r="H970" s="34"/>
      <c r="I970" s="34"/>
    </row>
    <row r="971">
      <c r="B971" s="34"/>
      <c r="C971" s="34"/>
      <c r="D971" s="34"/>
      <c r="H971" s="34"/>
      <c r="I971" s="34"/>
    </row>
    <row r="972">
      <c r="B972" s="34"/>
      <c r="C972" s="34"/>
      <c r="D972" s="34"/>
      <c r="H972" s="34"/>
      <c r="I972" s="34"/>
    </row>
    <row r="973">
      <c r="B973" s="34"/>
      <c r="C973" s="34"/>
      <c r="D973" s="34"/>
      <c r="H973" s="34"/>
      <c r="I973" s="34"/>
    </row>
    <row r="974">
      <c r="B974" s="34"/>
      <c r="C974" s="34"/>
      <c r="D974" s="34"/>
      <c r="H974" s="34"/>
      <c r="I974" s="34"/>
    </row>
    <row r="975">
      <c r="B975" s="34"/>
      <c r="C975" s="34"/>
      <c r="D975" s="34"/>
      <c r="H975" s="34"/>
      <c r="I975" s="34"/>
    </row>
    <row r="976">
      <c r="B976" s="34"/>
      <c r="C976" s="34"/>
      <c r="D976" s="34"/>
      <c r="H976" s="34"/>
      <c r="I976" s="34"/>
    </row>
    <row r="977">
      <c r="B977" s="34"/>
      <c r="C977" s="34"/>
      <c r="D977" s="34"/>
      <c r="H977" s="34"/>
      <c r="I977" s="34"/>
    </row>
    <row r="978">
      <c r="B978" s="34"/>
      <c r="C978" s="34"/>
      <c r="D978" s="34"/>
      <c r="H978" s="34"/>
      <c r="I978" s="34"/>
    </row>
    <row r="979">
      <c r="B979" s="34"/>
      <c r="C979" s="34"/>
      <c r="D979" s="34"/>
      <c r="H979" s="34"/>
      <c r="I979" s="34"/>
    </row>
    <row r="980">
      <c r="B980" s="34"/>
      <c r="C980" s="34"/>
      <c r="D980" s="34"/>
      <c r="H980" s="34"/>
      <c r="I980" s="34"/>
    </row>
    <row r="981">
      <c r="B981" s="34"/>
      <c r="C981" s="34"/>
      <c r="D981" s="34"/>
      <c r="H981" s="34"/>
      <c r="I981" s="34"/>
    </row>
    <row r="982">
      <c r="B982" s="34"/>
      <c r="C982" s="34"/>
      <c r="D982" s="34"/>
      <c r="H982" s="34"/>
      <c r="I982" s="34"/>
    </row>
    <row r="983">
      <c r="B983" s="34"/>
      <c r="C983" s="34"/>
      <c r="D983" s="34"/>
      <c r="H983" s="34"/>
      <c r="I983" s="34"/>
    </row>
    <row r="984">
      <c r="B984" s="34"/>
      <c r="C984" s="34"/>
      <c r="D984" s="34"/>
      <c r="H984" s="34"/>
      <c r="I984" s="34"/>
    </row>
    <row r="985">
      <c r="B985" s="34"/>
      <c r="C985" s="34"/>
      <c r="D985" s="34"/>
      <c r="H985" s="34"/>
      <c r="I985" s="34"/>
    </row>
    <row r="986">
      <c r="B986" s="34"/>
      <c r="C986" s="34"/>
      <c r="D986" s="34"/>
      <c r="H986" s="34"/>
      <c r="I986" s="34"/>
    </row>
    <row r="987">
      <c r="B987" s="34"/>
      <c r="C987" s="34"/>
      <c r="D987" s="34"/>
      <c r="H987" s="34"/>
      <c r="I987" s="34"/>
    </row>
    <row r="988">
      <c r="B988" s="34"/>
      <c r="C988" s="34"/>
      <c r="D988" s="34"/>
      <c r="H988" s="34"/>
      <c r="I988" s="34"/>
    </row>
    <row r="989">
      <c r="B989" s="34"/>
      <c r="C989" s="34"/>
      <c r="D989" s="34"/>
      <c r="H989" s="34"/>
      <c r="I989" s="34"/>
    </row>
    <row r="990">
      <c r="B990" s="34"/>
      <c r="C990" s="34"/>
      <c r="D990" s="34"/>
      <c r="H990" s="34"/>
      <c r="I990" s="34"/>
    </row>
    <row r="991">
      <c r="B991" s="34"/>
      <c r="C991" s="34"/>
      <c r="D991" s="34"/>
      <c r="H991" s="34"/>
      <c r="I991" s="34"/>
    </row>
    <row r="992">
      <c r="B992" s="34"/>
      <c r="C992" s="34"/>
      <c r="D992" s="34"/>
      <c r="H992" s="34"/>
      <c r="I992" s="34"/>
    </row>
    <row r="993">
      <c r="B993" s="34"/>
      <c r="C993" s="34"/>
      <c r="D993" s="34"/>
      <c r="H993" s="34"/>
      <c r="I993" s="34"/>
    </row>
    <row r="994">
      <c r="B994" s="34"/>
      <c r="C994" s="34"/>
      <c r="D994" s="34"/>
      <c r="H994" s="34"/>
      <c r="I994" s="34"/>
    </row>
    <row r="995">
      <c r="B995" s="34"/>
      <c r="C995" s="34"/>
      <c r="D995" s="34"/>
      <c r="H995" s="34"/>
      <c r="I995" s="34"/>
    </row>
    <row r="996">
      <c r="B996" s="34"/>
      <c r="C996" s="34"/>
      <c r="D996" s="34"/>
      <c r="H996" s="34"/>
      <c r="I996" s="34"/>
    </row>
    <row r="997">
      <c r="B997" s="34"/>
      <c r="C997" s="34"/>
      <c r="D997" s="34"/>
      <c r="H997" s="34"/>
      <c r="I997" s="34"/>
    </row>
    <row r="998">
      <c r="B998" s="34"/>
      <c r="C998" s="34"/>
      <c r="D998" s="34"/>
      <c r="H998" s="34"/>
      <c r="I998" s="34"/>
    </row>
    <row r="999">
      <c r="B999" s="34"/>
      <c r="C999" s="34"/>
      <c r="D999" s="34"/>
      <c r="H999" s="34"/>
      <c r="I999" s="34"/>
    </row>
    <row r="1000">
      <c r="B1000" s="34"/>
      <c r="C1000" s="34"/>
      <c r="D1000" s="34"/>
      <c r="H1000" s="34"/>
      <c r="I1000" s="34"/>
    </row>
    <row r="1001">
      <c r="B1001" s="34"/>
      <c r="C1001" s="34"/>
      <c r="D1001" s="34"/>
      <c r="H1001" s="34"/>
      <c r="I1001" s="34"/>
    </row>
  </sheetData>
  <conditionalFormatting sqref="E3 J3">
    <cfRule type="cellIs" dxfId="1" priority="1" operator="equal">
      <formula>0</formula>
    </cfRule>
  </conditionalFormatting>
  <conditionalFormatting sqref="E3 J3">
    <cfRule type="cellIs" dxfId="2" priority="2" operator="notEqual">
      <formula>0</formula>
    </cfRule>
  </conditionalFormatting>
  <conditionalFormatting sqref="A5:A1001">
    <cfRule type="expression" dxfId="3" priority="3">
      <formula>countif(E:E,A5)&gt;0</formula>
    </cfRule>
  </conditionalFormatting>
  <conditionalFormatting sqref="G5:I1001">
    <cfRule type="expression" dxfId="3" priority="4">
      <formula>countif(J:J,G5)&gt;0</formula>
    </cfRule>
  </conditionalFormatting>
  <dataValidations>
    <dataValidation type="list" allowBlank="1" showErrorMessage="1" sqref="C5:C1001 H5:H1001">
      <formula1>#REF!</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0.0"/>
    <col customWidth="1" min="2" max="2" width="16.0"/>
    <col customWidth="1" min="3" max="3" width="28.75"/>
    <col customWidth="1" min="4" max="5" width="14.5"/>
    <col customWidth="1" min="6" max="6" width="26.63"/>
    <col customWidth="1" min="7" max="7" width="17.0"/>
    <col customWidth="1" min="8" max="9" width="8.13"/>
    <col customWidth="1" min="10" max="10" width="29.5"/>
    <col customWidth="1" min="11" max="11" width="16.0"/>
    <col customWidth="1" min="12" max="12" width="9.75"/>
    <col customWidth="1" min="13" max="13" width="17.0"/>
    <col customWidth="1" min="14" max="14" width="9.75"/>
    <col customWidth="1" min="15" max="15" width="8.0"/>
    <col customWidth="1" min="16" max="16" width="9.5"/>
    <col customWidth="1" min="17" max="17" width="9.0"/>
    <col customWidth="1" min="18" max="18" width="12.5"/>
    <col customWidth="1" min="19" max="19" width="4.38"/>
    <col customWidth="1" min="20" max="20" width="8.38"/>
    <col customWidth="1" min="21" max="21" width="6.75"/>
    <col customWidth="1" min="25" max="25" width="11.0"/>
  </cols>
  <sheetData>
    <row r="1">
      <c r="A1" s="13">
        <f>IFERROR(__xludf.DUMMYFUNCTION("COUNTUNIQUE(A5:A1003)-'5) Release_Track'!F1"),0.0)</f>
        <v>0</v>
      </c>
      <c r="B1" s="13">
        <f>IFERROR(__xludf.DUMMYFUNCTION("COUNTUNIQUE(B5:B1003)-'5) Release_Track'!G1"),0.0)</f>
        <v>0</v>
      </c>
      <c r="C1" s="166" t="s">
        <v>314</v>
      </c>
      <c r="D1" s="116"/>
      <c r="E1" s="167"/>
      <c r="F1" s="13">
        <f>IFERROR(__xludf.DUMMYFUNCTION("COUNTUNIQUE(F5:F1003)"),16.0)</f>
        <v>16</v>
      </c>
      <c r="G1" s="21" t="s">
        <v>24</v>
      </c>
      <c r="H1" s="168">
        <f>IFERROR(__xludf.DUMMYFUNCTION("sum(H5:H1003)-arrayformula(COUNTUNIQUE(A5:A1003&amp;B5:B1003))"),0.0)</f>
        <v>0</v>
      </c>
      <c r="I1" s="116"/>
      <c r="J1" s="13">
        <f>countif(J5:J1003,"Published (managed by a publisher)")</f>
        <v>84</v>
      </c>
      <c r="K1" s="13">
        <f>COUNTA(K5:K1003)</f>
        <v>84</v>
      </c>
      <c r="L1" s="13">
        <f>IFERROR(__xludf.DUMMYFUNCTION("COUNTUNIQUE(K5:K1003)"),1.0)</f>
        <v>1</v>
      </c>
      <c r="N1" s="153"/>
    </row>
    <row r="2">
      <c r="A2" s="169" t="s">
        <v>558</v>
      </c>
      <c r="B2" s="112"/>
      <c r="C2" s="154"/>
      <c r="D2" s="154"/>
      <c r="E2" s="65"/>
      <c r="F2" s="154"/>
      <c r="G2" s="154"/>
      <c r="H2" s="112"/>
      <c r="I2" s="154"/>
      <c r="J2" s="154"/>
      <c r="K2" s="154"/>
      <c r="L2" s="107" t="s">
        <v>26</v>
      </c>
      <c r="M2" s="170"/>
    </row>
    <row r="3">
      <c r="A3" s="132" t="s">
        <v>334</v>
      </c>
      <c r="B3" s="71" t="s">
        <v>335</v>
      </c>
      <c r="C3" s="155" t="s">
        <v>336</v>
      </c>
      <c r="D3" s="155" t="s">
        <v>337</v>
      </c>
      <c r="E3" s="115" t="s">
        <v>559</v>
      </c>
      <c r="F3" s="114" t="s">
        <v>560</v>
      </c>
      <c r="G3" s="114" t="s">
        <v>561</v>
      </c>
      <c r="H3" s="171" t="s">
        <v>562</v>
      </c>
      <c r="I3" s="155" t="s">
        <v>563</v>
      </c>
      <c r="J3" s="114" t="s">
        <v>564</v>
      </c>
      <c r="K3" s="68" t="s">
        <v>565</v>
      </c>
    </row>
    <row r="4">
      <c r="A4" s="80" t="s">
        <v>540</v>
      </c>
      <c r="B4" s="156" t="s">
        <v>540</v>
      </c>
      <c r="C4" s="116" t="s">
        <v>541</v>
      </c>
      <c r="F4" s="117" t="s">
        <v>566</v>
      </c>
      <c r="G4" s="35" t="s">
        <v>165</v>
      </c>
      <c r="H4" s="172" t="s">
        <v>567</v>
      </c>
      <c r="I4" s="116" t="s">
        <v>568</v>
      </c>
      <c r="J4" s="35" t="s">
        <v>165</v>
      </c>
      <c r="K4" s="173" t="s">
        <v>569</v>
      </c>
      <c r="N4" s="144"/>
    </row>
    <row r="5">
      <c r="A5" s="51" t="s">
        <v>354</v>
      </c>
      <c r="B5" s="120"/>
      <c r="C5" s="121" t="str">
        <f t="array" ref="C5">ifs(and(isblank($A5),isblank($B5)),"", not(iserror(vlookup($A5&amp;$B5,'5) Release_Track'!$F:$F&amp;'5) Release_Track'!$G:$G,1,0))),vlookup($A5&amp;$B5,{'5) Release_Track'!$F:$F&amp;'5) Release_Track'!$G:$G,'5) Release_Track'!$H:$H},2,0), or(and(not(isblank($B5)),$B5=$B4,$A5&lt;&gt;$A4),and(not(isblank($A5)),$A5=$A4,$B5&lt;&gt;$B4)),"ID LISTS UNALIGNED",and($A5&lt;&gt;"",countif('5) Release_Track'!$F:$F,$A5)=0),"NO ISRC MATCH in Release_Track",and($B5&lt;&gt;"",countif('5) Release_Track'!$G:$G,$B5)=0),"NO CATALOG ID MATCH in Release_Track",iserror(vlookup($A5&amp;$B5,'5) Release_Track'!$F:$F&amp;'5) Release_Track'!$G:$G,1,0)),"NO ISRC-CATALOG ID pair MATCH in Release_Track" )</f>
        <v>Aakad (From "Bhalwan Singh" Soundtrack)</v>
      </c>
      <c r="D5" s="121" t="str">
        <f t="array" ref="D5">ifs(and(isblank($A5),isblank($B5)),"", not(iserror(vlookup($A5&amp;$B5,'5) Release_Track'!$F:$F&amp;'5) Release_Track'!$G:$G,1,0))),vlookup($A5&amp;$B5,{'5) Release_Track'!$F:$F&amp;'5) Release_Track'!$G:$G,'5) Release_Track'!$I:$I},2,0), or(and(not(isblank($B5)),$B5=$B4,$A5&lt;&gt;$A4),and(not(isblank($A5)),$A5=$A4,$B5&lt;&gt;$B4)),"ID LISTS UNALIGNED",and($A5&lt;&gt;"",countif('5) Release_Track'!$F:$F,$A5)=0),"NO ISRC MATCH in Release_Track",and($B5&lt;&gt;"",countif('5) Release_Track'!$G:$G,$B5)=0),"NO CATALOG ID MATCH in Release_Track",iserror(vlookup($A5&amp;$B5,'5) Release_Track'!$F:$F&amp;'5) Release_Track'!$G:$G,1,0)),"NO ISRC-CATALOG ID pair MATCH in Release_Track" )</f>
        <v/>
      </c>
      <c r="E5" s="125" t="str">
        <f t="array" ref="E5">ifs(and(isblank($A5),isblank($B5)),"", not(iserror(vlookup($A5&amp;$B5,'5) Release_Track'!$F:$F&amp;'5) Release_Track'!$G:$G,1,0))),vlookup($A5&amp;$B5,{'5) Release_Track'!$F:$F&amp;'5) Release_Track'!$G:$G,'5) Release_Track'!$J:$J},2,0), or(and(not(isblank($B5)),$B5=$B4,$A5&lt;&gt;$A4),and(not(isblank($A5)),$A5=$A4,$B5&lt;&gt;$B4)),"ID LISTS UNALIGNED",and($A5&lt;&gt;"",countif('5) Release_Track'!$F:$F,$A5)=0),"NO ISRC MATCH in Release_Track",and($B5&lt;&gt;"",countif('5) Release_Track'!$G:$G,$B5)=0),"NO CATALOG ID MATCH in Release_Track",iserror(vlookup($A5&amp;$B5,'5) Release_Track'!$F:$F&amp;'5) Release_Track'!$G:$G,1,0)),"NO ISRC-CATALOG ID pair MATCH in Release_Track" )</f>
        <v>Punjabi</v>
      </c>
      <c r="F5" s="51" t="s">
        <v>47</v>
      </c>
      <c r="G5" s="122" t="s">
        <v>570</v>
      </c>
      <c r="H5" s="174">
        <v>1.0</v>
      </c>
      <c r="I5" s="175">
        <f t="shared" ref="I5:I84" si="1">if(isblank(H5),"",if(not(iserror(find("MATCH in ",D5))),D5,if(and(not(isblank($B5)),$B5=$B4,$A5&lt;&gt;$A4),"ID LISTS UNALIGNED",if(not(isblank($A5)),if($A5=$A4,H5+I4,H5),if($B5=$B4,H5+I4,H5)))))</f>
        <v>1</v>
      </c>
      <c r="J5" s="8" t="s">
        <v>571</v>
      </c>
      <c r="K5" s="176" t="s">
        <v>140</v>
      </c>
      <c r="M5" s="99">
        <f t="shared" ref="M5:M28" si="2">COUNTIF(A5:A88,A5)</f>
        <v>1</v>
      </c>
      <c r="N5" s="144"/>
    </row>
    <row r="6">
      <c r="A6" s="51" t="s">
        <v>358</v>
      </c>
      <c r="B6" s="103"/>
      <c r="C6" s="121" t="str">
        <f t="array" ref="C6">ifs(and(isblank($A6),isblank($B6)),"", not(iserror(vlookup($A6&amp;$B6,'5) Release_Track'!$F:$F&amp;'5) Release_Track'!$G:$G,1,0))),vlookup($A6&amp;$B6,{'5) Release_Track'!$F:$F&amp;'5) Release_Track'!$G:$G,'5) Release_Track'!$H:$H},2,0), or(and(not(isblank($B6)),$B6=$B5,$A6&lt;&gt;$A5),and(not(isblank($A6)),$A6=$A5,$B6&lt;&gt;$B5)),"ID LISTS UNALIGNED",and($A6&lt;&gt;"",countif('5) Release_Track'!$F:$F,$A6)=0),"NO ISRC MATCH in Release_Track",and($B6&lt;&gt;"",countif('5) Release_Track'!$G:$G,$B6)=0),"NO CATALOG ID MATCH in Release_Track",iserror(vlookup($A6&amp;$B6,'5) Release_Track'!$F:$F&amp;'5) Release_Track'!$G:$G,1,0)),"NO ISRC-CATALOG ID pair MATCH in Release_Track" )</f>
        <v>Aisi Taisi (From "Golak Bugni Bank Te Batua" Soundtrack)</v>
      </c>
      <c r="D6" s="121" t="str">
        <f t="array" ref="D6">ifs(and(isblank($A6),isblank($B6)),"", not(iserror(vlookup($A6&amp;$B6,'5) Release_Track'!$F:$F&amp;'5) Release_Track'!$G:$G,1,0))),vlookup($A6&amp;$B6,{'5) Release_Track'!$F:$F&amp;'5) Release_Track'!$G:$G,'5) Release_Track'!$I:$I},2,0), or(and(not(isblank($B6)),$B6=$B5,$A6&lt;&gt;$A5),and(not(isblank($A6)),$A6=$A5,$B6&lt;&gt;$B5)),"ID LISTS UNALIGNED",and($A6&lt;&gt;"",countif('5) Release_Track'!$F:$F,$A6)=0),"NO ISRC MATCH in Release_Track",and($B6&lt;&gt;"",countif('5) Release_Track'!$G:$G,$B6)=0),"NO CATALOG ID MATCH in Release_Track",iserror(vlookup($A6&amp;$B6,'5) Release_Track'!$F:$F&amp;'5) Release_Track'!$G:$G,1,0)),"NO ISRC-CATALOG ID pair MATCH in Release_Track" )</f>
        <v/>
      </c>
      <c r="E6" s="125" t="str">
        <f t="array" ref="E6">ifs(and(isblank($A6),isblank($B6)),"", not(iserror(vlookup($A6&amp;$B6,'5) Release_Track'!$F:$F&amp;'5) Release_Track'!$G:$G,1,0))),vlookup($A6&amp;$B6,{'5) Release_Track'!$F:$F&amp;'5) Release_Track'!$G:$G,'5) Release_Track'!$J:$J},2,0), or(and(not(isblank($B6)),$B6=$B5,$A6&lt;&gt;$A5),and(not(isblank($A6)),$A6=$A5,$B6&lt;&gt;$B5)),"ID LISTS UNALIGNED",and($A6&lt;&gt;"",countif('5) Release_Track'!$F:$F,$A6)=0),"NO ISRC MATCH in Release_Track",and($B6&lt;&gt;"",countif('5) Release_Track'!$G:$G,$B6)=0),"NO CATALOG ID MATCH in Release_Track",iserror(vlookup($A6&amp;$B6,'5) Release_Track'!$F:$F&amp;'5) Release_Track'!$G:$G,1,0)),"NO ISRC-CATALOG ID pair MATCH in Release_Track" )</f>
        <v>Punjabi</v>
      </c>
      <c r="F6" s="51" t="s">
        <v>51</v>
      </c>
      <c r="G6" s="122" t="s">
        <v>570</v>
      </c>
      <c r="H6" s="174">
        <v>1.0</v>
      </c>
      <c r="I6" s="175">
        <f t="shared" si="1"/>
        <v>1</v>
      </c>
      <c r="J6" s="8" t="s">
        <v>571</v>
      </c>
      <c r="K6" s="176" t="s">
        <v>140</v>
      </c>
      <c r="M6" s="99">
        <f t="shared" si="2"/>
        <v>1</v>
      </c>
    </row>
    <row r="7">
      <c r="A7" s="51" t="s">
        <v>360</v>
      </c>
      <c r="B7" s="124"/>
      <c r="C7" s="121" t="str">
        <f t="array" ref="C7">ifs(and(isblank($A7),isblank($B7)),"", not(iserror(vlookup($A7&amp;$B7,'5) Release_Track'!$F:$F&amp;'5) Release_Track'!$G:$G,1,0))),vlookup($A7&amp;$B7,{'5) Release_Track'!$F:$F&amp;'5) Release_Track'!$G:$G,'5) Release_Track'!$H:$H},2,0), or(and(not(isblank($B7)),$B7=$B6,$A7&lt;&gt;$A6),and(not(isblank($A7)),$A7=$A6,$B7&lt;&gt;$B6)),"ID LISTS UNALIGNED",and($A7&lt;&gt;"",countif('5) Release_Track'!$F:$F,$A7)=0),"NO ISRC MATCH in Release_Track",and($B7&lt;&gt;"",countif('5) Release_Track'!$G:$G,$B7)=0),"NO CATALOG ID MATCH in Release_Track",iserror(vlookup($A7&amp;$B7,'5) Release_Track'!$F:$F&amp;'5) Release_Track'!$G:$G,1,0)),"NO ISRC-CATALOG ID pair MATCH in Release_Track" )</f>
        <v>Akhar - Female Version (From "Lahoriye" Soundtrack)</v>
      </c>
      <c r="D7" s="121" t="str">
        <f t="array" ref="D7">ifs(and(isblank($A7),isblank($B7)),"", not(iserror(vlookup($A7&amp;$B7,'5) Release_Track'!$F:$F&amp;'5) Release_Track'!$G:$G,1,0))),vlookup($A7&amp;$B7,{'5) Release_Track'!$F:$F&amp;'5) Release_Track'!$G:$G,'5) Release_Track'!$I:$I},2,0), or(and(not(isblank($B7)),$B7=$B6,$A7&lt;&gt;$A6),and(not(isblank($A7)),$A7=$A6,$B7&lt;&gt;$B6)),"ID LISTS UNALIGNED",and($A7&lt;&gt;"",countif('5) Release_Track'!$F:$F,$A7)=0),"NO ISRC MATCH in Release_Track",and($B7&lt;&gt;"",countif('5) Release_Track'!$G:$G,$B7)=0),"NO CATALOG ID MATCH in Release_Track",iserror(vlookup($A7&amp;$B7,'5) Release_Track'!$F:$F&amp;'5) Release_Track'!$G:$G,1,0)),"NO ISRC-CATALOG ID pair MATCH in Release_Track" )</f>
        <v/>
      </c>
      <c r="E7" s="125" t="str">
        <f t="array" ref="E7">ifs(and(isblank($A7),isblank($B7)),"", not(iserror(vlookup($A7&amp;$B7,'5) Release_Track'!$F:$F&amp;'5) Release_Track'!$G:$G,1,0))),vlookup($A7&amp;$B7,{'5) Release_Track'!$F:$F&amp;'5) Release_Track'!$G:$G,'5) Release_Track'!$J:$J},2,0), or(and(not(isblank($B7)),$B7=$B6,$A7&lt;&gt;$A6),and(not(isblank($A7)),$A7=$A6,$B7&lt;&gt;$B6)),"ID LISTS UNALIGNED",and($A7&lt;&gt;"",countif('5) Release_Track'!$F:$F,$A7)=0),"NO ISRC MATCH in Release_Track",and($B7&lt;&gt;"",countif('5) Release_Track'!$G:$G,$B7)=0),"NO CATALOG ID MATCH in Release_Track",iserror(vlookup($A7&amp;$B7,'5) Release_Track'!$F:$F&amp;'5) Release_Track'!$G:$G,1,0)),"NO ISRC-CATALOG ID pair MATCH in Release_Track" )</f>
        <v>Punjabi</v>
      </c>
      <c r="F7" s="51" t="s">
        <v>51</v>
      </c>
      <c r="G7" s="122" t="s">
        <v>570</v>
      </c>
      <c r="H7" s="177">
        <v>1.0</v>
      </c>
      <c r="I7" s="175">
        <f t="shared" si="1"/>
        <v>1</v>
      </c>
      <c r="J7" s="8" t="s">
        <v>571</v>
      </c>
      <c r="K7" s="47" t="s">
        <v>140</v>
      </c>
      <c r="L7" s="28"/>
      <c r="M7" s="99">
        <f t="shared" si="2"/>
        <v>1</v>
      </c>
      <c r="N7" s="28"/>
      <c r="O7" s="28"/>
      <c r="P7" s="28"/>
      <c r="Q7" s="28"/>
      <c r="R7" s="28"/>
      <c r="S7" s="28"/>
      <c r="T7" s="28"/>
      <c r="U7" s="28"/>
      <c r="V7" s="28"/>
      <c r="W7" s="28"/>
      <c r="X7" s="28"/>
      <c r="Y7" s="28"/>
      <c r="Z7" s="28"/>
      <c r="AA7" s="28"/>
    </row>
    <row r="8">
      <c r="A8" s="51" t="s">
        <v>362</v>
      </c>
      <c r="B8" s="124"/>
      <c r="C8" s="121" t="str">
        <f t="array" ref="C8">ifs(and(isblank($A8),isblank($B8)),"", not(iserror(vlookup($A8&amp;$B8,'5) Release_Track'!$F:$F&amp;'5) Release_Track'!$G:$G,1,0))),vlookup($A8&amp;$B8,{'5) Release_Track'!$F:$F&amp;'5) Release_Track'!$G:$G,'5) Release_Track'!$H:$H},2,0), or(and(not(isblank($B8)),$B8=$B7,$A8&lt;&gt;$A7),and(not(isblank($A8)),$A8=$A7,$B8&lt;&gt;$B7)),"ID LISTS UNALIGNED",and($A8&lt;&gt;"",countif('5) Release_Track'!$F:$F,$A8)=0),"NO ISRC MATCH in Release_Track",and($B8&lt;&gt;"",countif('5) Release_Track'!$G:$G,$B8)=0),"NO CATALOG ID MATCH in Release_Track",iserror(vlookup($A8&amp;$B8,'5) Release_Track'!$F:$F&amp;'5) Release_Track'!$G:$G,1,0)),"NO ISRC-CATALOG ID pair MATCH in Release_Track" )</f>
        <v>Akhar (From "Lahoriye" Soundtrack)</v>
      </c>
      <c r="D8" s="121" t="str">
        <f t="array" ref="D8">ifs(and(isblank($A8),isblank($B8)),"", not(iserror(vlookup($A8&amp;$B8,'5) Release_Track'!$F:$F&amp;'5) Release_Track'!$G:$G,1,0))),vlookup($A8&amp;$B8,{'5) Release_Track'!$F:$F&amp;'5) Release_Track'!$G:$G,'5) Release_Track'!$I:$I},2,0), or(and(not(isblank($B8)),$B8=$B7,$A8&lt;&gt;$A7),and(not(isblank($A8)),$A8=$A7,$B8&lt;&gt;$B7)),"ID LISTS UNALIGNED",and($A8&lt;&gt;"",countif('5) Release_Track'!$F:$F,$A8)=0),"NO ISRC MATCH in Release_Track",and($B8&lt;&gt;"",countif('5) Release_Track'!$G:$G,$B8)=0),"NO CATALOG ID MATCH in Release_Track",iserror(vlookup($A8&amp;$B8,'5) Release_Track'!$F:$F&amp;'5) Release_Track'!$G:$G,1,0)),"NO ISRC-CATALOG ID pair MATCH in Release_Track" )</f>
        <v/>
      </c>
      <c r="E8" s="125" t="str">
        <f t="array" ref="E8">ifs(and(isblank($A8),isblank($B8)),"", not(iserror(vlookup($A8&amp;$B8,'5) Release_Track'!$F:$F&amp;'5) Release_Track'!$G:$G,1,0))),vlookup($A8&amp;$B8,{'5) Release_Track'!$F:$F&amp;'5) Release_Track'!$G:$G,'5) Release_Track'!$J:$J},2,0), or(and(not(isblank($B8)),$B8=$B7,$A8&lt;&gt;$A7),and(not(isblank($A8)),$A8=$A7,$B8&lt;&gt;$B7)),"ID LISTS UNALIGNED",and($A8&lt;&gt;"",countif('5) Release_Track'!$F:$F,$A8)=0),"NO ISRC MATCH in Release_Track",and($B8&lt;&gt;"",countif('5) Release_Track'!$G:$G,$B8)=0),"NO CATALOG ID MATCH in Release_Track",iserror(vlookup($A8&amp;$B8,'5) Release_Track'!$F:$F&amp;'5) Release_Track'!$G:$G,1,0)),"NO ISRC-CATALOG ID pair MATCH in Release_Track" )</f>
        <v>Punjabi</v>
      </c>
      <c r="F8" s="51" t="s">
        <v>51</v>
      </c>
      <c r="G8" s="122" t="s">
        <v>570</v>
      </c>
      <c r="H8" s="177">
        <v>1.0</v>
      </c>
      <c r="I8" s="175">
        <f t="shared" si="1"/>
        <v>1</v>
      </c>
      <c r="J8" s="8" t="s">
        <v>571</v>
      </c>
      <c r="K8" s="47" t="s">
        <v>140</v>
      </c>
      <c r="L8" s="28"/>
      <c r="M8" s="99">
        <f t="shared" si="2"/>
        <v>1</v>
      </c>
      <c r="N8" s="28"/>
      <c r="O8" s="28"/>
      <c r="P8" s="28"/>
      <c r="Q8" s="28"/>
      <c r="R8" s="28"/>
      <c r="S8" s="28"/>
      <c r="T8" s="28"/>
      <c r="U8" s="28"/>
      <c r="V8" s="28"/>
      <c r="W8" s="28"/>
      <c r="X8" s="28"/>
      <c r="Y8" s="28"/>
      <c r="Z8" s="28"/>
      <c r="AA8" s="28"/>
    </row>
    <row r="9">
      <c r="A9" s="51" t="s">
        <v>364</v>
      </c>
      <c r="B9" s="124"/>
      <c r="C9" s="121" t="str">
        <f t="array" ref="C9">ifs(and(isblank($A9),isblank($B9)),"", not(iserror(vlookup($A9&amp;$B9,'5) Release_Track'!$F:$F&amp;'5) Release_Track'!$G:$G,1,0))),vlookup($A9&amp;$B9,{'5) Release_Track'!$F:$F&amp;'5) Release_Track'!$G:$G,'5) Release_Track'!$H:$H},2,0), or(and(not(isblank($B9)),$B9=$B8,$A9&lt;&gt;$A8),and(not(isblank($A9)),$A9=$A8,$B9&lt;&gt;$B8)),"ID LISTS UNALIGNED",and($A9&lt;&gt;"",countif('5) Release_Track'!$F:$F,$A9)=0),"NO ISRC MATCH in Release_Track",and($B9&lt;&gt;"",countif('5) Release_Track'!$G:$G,$B9)=0),"NO CATALOG ID MATCH in Release_Track",iserror(vlookup($A9&amp;$B9,'5) Release_Track'!$F:$F&amp;'5) Release_Track'!$G:$G,1,0)),"NO ISRC-CATALOG ID pair MATCH in Release_Track" )</f>
        <v>Mil Ke Baithange</v>
      </c>
      <c r="D9" s="121" t="str">
        <f t="array" ref="D9">ifs(and(isblank($A9),isblank($B9)),"", not(iserror(vlookup($A9&amp;$B9,'5) Release_Track'!$F:$F&amp;'5) Release_Track'!$G:$G,1,0))),vlookup($A9&amp;$B9,{'5) Release_Track'!$F:$F&amp;'5) Release_Track'!$G:$G,'5) Release_Track'!$I:$I},2,0), or(and(not(isblank($B9)),$B9=$B8,$A9&lt;&gt;$A8),and(not(isblank($A9)),$A9=$A8,$B9&lt;&gt;$B8)),"ID LISTS UNALIGNED",and($A9&lt;&gt;"",countif('5) Release_Track'!$F:$F,$A9)=0),"NO ISRC MATCH in Release_Track",and($B9&lt;&gt;"",countif('5) Release_Track'!$G:$G,$B9)=0),"NO CATALOG ID MATCH in Release_Track",iserror(vlookup($A9&amp;$B9,'5) Release_Track'!$F:$F&amp;'5) Release_Track'!$G:$G,1,0)),"NO ISRC-CATALOG ID pair MATCH in Release_Track" )</f>
        <v/>
      </c>
      <c r="E9" s="125" t="str">
        <f t="array" ref="E9">ifs(and(isblank($A9),isblank($B9)),"", not(iserror(vlookup($A9&amp;$B9,'5) Release_Track'!$F:$F&amp;'5) Release_Track'!$G:$G,1,0))),vlookup($A9&amp;$B9,{'5) Release_Track'!$F:$F&amp;'5) Release_Track'!$G:$G,'5) Release_Track'!$J:$J},2,0), or(and(not(isblank($B9)),$B9=$B8,$A9&lt;&gt;$A8),and(not(isblank($A9)),$A9=$A8,$B9&lt;&gt;$B8)),"ID LISTS UNALIGNED",and($A9&lt;&gt;"",countif('5) Release_Track'!$F:$F,$A9)=0),"NO ISRC MATCH in Release_Track",and($B9&lt;&gt;"",countif('5) Release_Track'!$G:$G,$B9)=0),"NO CATALOG ID MATCH in Release_Track",iserror(vlookup($A9&amp;$B9,'5) Release_Track'!$F:$F&amp;'5) Release_Track'!$G:$G,1,0)),"NO ISRC-CATALOG ID pair MATCH in Release_Track" )</f>
        <v>Punjabi</v>
      </c>
      <c r="F9" s="51" t="s">
        <v>51</v>
      </c>
      <c r="G9" s="122" t="s">
        <v>570</v>
      </c>
      <c r="H9" s="174">
        <v>1.0</v>
      </c>
      <c r="I9" s="175">
        <f t="shared" si="1"/>
        <v>1</v>
      </c>
      <c r="J9" s="8" t="s">
        <v>571</v>
      </c>
      <c r="K9" s="176" t="s">
        <v>140</v>
      </c>
      <c r="L9" s="28"/>
      <c r="M9" s="99">
        <f t="shared" si="2"/>
        <v>1</v>
      </c>
      <c r="N9" s="28"/>
      <c r="O9" s="28"/>
      <c r="P9" s="28"/>
      <c r="Q9" s="28"/>
      <c r="R9" s="28"/>
      <c r="S9" s="28"/>
      <c r="T9" s="28"/>
      <c r="U9" s="28"/>
      <c r="V9" s="28"/>
      <c r="W9" s="28"/>
      <c r="X9" s="28"/>
      <c r="Y9" s="28"/>
      <c r="Z9" s="28"/>
      <c r="AA9" s="28"/>
    </row>
    <row r="10">
      <c r="A10" s="50" t="s">
        <v>367</v>
      </c>
      <c r="B10" s="124"/>
      <c r="C10" s="121" t="str">
        <f t="array" ref="C10">ifs(and(isblank($A10),isblank($B10)),"", not(iserror(vlookup($A10&amp;$B10,'5) Release_Track'!$F:$F&amp;'5) Release_Track'!$G:$G,1,0))),vlookup($A10&amp;$B10,{'5) Release_Track'!$F:$F&amp;'5) Release_Track'!$G:$G,'5) Release_Track'!$H:$H},2,0), or(and(not(isblank($B10)),$B10=$B9,$A10&lt;&gt;$A9),and(not(isblank($A10)),$A10=$A9,$B10&lt;&gt;$B9)),"ID LISTS UNALIGNED",and($A10&lt;&gt;"",countif('5) Release_Track'!$F:$F,$A10)=0),"NO ISRC MATCH in Release_Track",and($B10&lt;&gt;"",countif('5) Release_Track'!$G:$G,$B10)=0),"NO CATALOG ID MATCH in Release_Track",iserror(vlookup($A10&amp;$B10,'5) Release_Track'!$F:$F&amp;'5) Release_Track'!$G:$G,1,0)),"NO ISRC-CATALOG ID pair MATCH in Release_Track" )</f>
        <v>Kurta Suha</v>
      </c>
      <c r="D10" s="121" t="str">
        <f t="array" ref="D10">ifs(and(isblank($A10),isblank($B10)),"", not(iserror(vlookup($A10&amp;$B10,'5) Release_Track'!$F:$F&amp;'5) Release_Track'!$G:$G,1,0))),vlookup($A10&amp;$B10,{'5) Release_Track'!$F:$F&amp;'5) Release_Track'!$G:$G,'5) Release_Track'!$I:$I},2,0), or(and(not(isblank($B10)),$B10=$B9,$A10&lt;&gt;$A9),and(not(isblank($A10)),$A10=$A9,$B10&lt;&gt;$B9)),"ID LISTS UNALIGNED",and($A10&lt;&gt;"",countif('5) Release_Track'!$F:$F,$A10)=0),"NO ISRC MATCH in Release_Track",and($B10&lt;&gt;"",countif('5) Release_Track'!$G:$G,$B10)=0),"NO CATALOG ID MATCH in Release_Track",iserror(vlookup($A10&amp;$B10,'5) Release_Track'!$F:$F&amp;'5) Release_Track'!$G:$G,1,0)),"NO ISRC-CATALOG ID pair MATCH in Release_Track" )</f>
        <v/>
      </c>
      <c r="E10" s="125" t="str">
        <f t="array" ref="E10">ifs(and(isblank($A10),isblank($B10)),"", not(iserror(vlookup($A10&amp;$B10,'5) Release_Track'!$F:$F&amp;'5) Release_Track'!$G:$G,1,0))),vlookup($A10&amp;$B10,{'5) Release_Track'!$F:$F&amp;'5) Release_Track'!$G:$G,'5) Release_Track'!$J:$J},2,0), or(and(not(isblank($B10)),$B10=$B9,$A10&lt;&gt;$A9),and(not(isblank($A10)),$A10=$A9,$B10&lt;&gt;$B9)),"ID LISTS UNALIGNED",and($A10&lt;&gt;"",countif('5) Release_Track'!$F:$F,$A10)=0),"NO ISRC MATCH in Release_Track",and($B10&lt;&gt;"",countif('5) Release_Track'!$G:$G,$B10)=0),"NO CATALOG ID MATCH in Release_Track",iserror(vlookup($A10&amp;$B10,'5) Release_Track'!$F:$F&amp;'5) Release_Track'!$G:$G,1,0)),"NO ISRC-CATALOG ID pair MATCH in Release_Track" )</f>
        <v>Punjabi</v>
      </c>
      <c r="F10" s="51" t="s">
        <v>51</v>
      </c>
      <c r="G10" s="122" t="s">
        <v>570</v>
      </c>
      <c r="H10" s="174">
        <v>1.0</v>
      </c>
      <c r="I10" s="175">
        <f t="shared" si="1"/>
        <v>1</v>
      </c>
      <c r="J10" s="8" t="s">
        <v>571</v>
      </c>
      <c r="K10" s="176" t="s">
        <v>140</v>
      </c>
      <c r="L10" s="28"/>
      <c r="M10" s="99">
        <f t="shared" si="2"/>
        <v>1</v>
      </c>
      <c r="N10" s="28"/>
      <c r="O10" s="28"/>
      <c r="P10" s="28"/>
      <c r="Q10" s="28"/>
      <c r="R10" s="28"/>
      <c r="S10" s="28"/>
      <c r="T10" s="28"/>
      <c r="U10" s="28"/>
      <c r="V10" s="28"/>
      <c r="W10" s="28"/>
      <c r="X10" s="28"/>
      <c r="Y10" s="28"/>
      <c r="Z10" s="28"/>
      <c r="AA10" s="28"/>
    </row>
    <row r="11">
      <c r="A11" s="51" t="s">
        <v>370</v>
      </c>
      <c r="B11" s="124"/>
      <c r="C11" s="121" t="str">
        <f t="array" ref="C11">ifs(and(isblank($A11),isblank($B11)),"", not(iserror(vlookup($A11&amp;$B11,'5) Release_Track'!$F:$F&amp;'5) Release_Track'!$G:$G,1,0))),vlookup($A11&amp;$B11,{'5) Release_Track'!$F:$F&amp;'5) Release_Track'!$G:$G,'5) Release_Track'!$H:$H},2,0), or(and(not(isblank($B11)),$B11=$B10,$A11&lt;&gt;$A10),and(not(isblank($A11)),$A11=$A10,$B11&lt;&gt;$B10)),"ID LISTS UNALIGNED",and($A11&lt;&gt;"",countif('5) Release_Track'!$F:$F,$A11)=0),"NO ISRC MATCH in Release_Track",and($B11&lt;&gt;"",countif('5) Release_Track'!$G:$G,$B11)=0),"NO CATALOG ID MATCH in Release_Track",iserror(vlookup($A11&amp;$B11,'5) Release_Track'!$F:$F&amp;'5) Release_Track'!$G:$G,1,0)),"NO ISRC-CATALOG ID pair MATCH in Release_Track" )</f>
        <v>Family Di Member</v>
      </c>
      <c r="D11" s="121" t="str">
        <f t="array" ref="D11">ifs(and(isblank($A11),isblank($B11)),"", not(iserror(vlookup($A11&amp;$B11,'5) Release_Track'!$F:$F&amp;'5) Release_Track'!$G:$G,1,0))),vlookup($A11&amp;$B11,{'5) Release_Track'!$F:$F&amp;'5) Release_Track'!$G:$G,'5) Release_Track'!$I:$I},2,0), or(and(not(isblank($B11)),$B11=$B10,$A11&lt;&gt;$A10),and(not(isblank($A11)),$A11=$A10,$B11&lt;&gt;$B10)),"ID LISTS UNALIGNED",and($A11&lt;&gt;"",countif('5) Release_Track'!$F:$F,$A11)=0),"NO ISRC MATCH in Release_Track",and($B11&lt;&gt;"",countif('5) Release_Track'!$G:$G,$B11)=0),"NO CATALOG ID MATCH in Release_Track",iserror(vlookup($A11&amp;$B11,'5) Release_Track'!$F:$F&amp;'5) Release_Track'!$G:$G,1,0)),"NO ISRC-CATALOG ID pair MATCH in Release_Track" )</f>
        <v/>
      </c>
      <c r="E11" s="125" t="str">
        <f t="array" ref="E11">ifs(and(isblank($A11),isblank($B11)),"", not(iserror(vlookup($A11&amp;$B11,'5) Release_Track'!$F:$F&amp;'5) Release_Track'!$G:$G,1,0))),vlookup($A11&amp;$B11,{'5) Release_Track'!$F:$F&amp;'5) Release_Track'!$G:$G,'5) Release_Track'!$J:$J},2,0), or(and(not(isblank($B11)),$B11=$B10,$A11&lt;&gt;$A10),and(not(isblank($A11)),$A11=$A10,$B11&lt;&gt;$B10)),"ID LISTS UNALIGNED",and($A11&lt;&gt;"",countif('5) Release_Track'!$F:$F,$A11)=0),"NO ISRC MATCH in Release_Track",and($B11&lt;&gt;"",countif('5) Release_Track'!$G:$G,$B11)=0),"NO CATALOG ID MATCH in Release_Track",iserror(vlookup($A11&amp;$B11,'5) Release_Track'!$F:$F&amp;'5) Release_Track'!$G:$G,1,0)),"NO ISRC-CATALOG ID pair MATCH in Release_Track" )</f>
        <v>Punjabi</v>
      </c>
      <c r="F11" s="51" t="s">
        <v>51</v>
      </c>
      <c r="G11" s="122" t="s">
        <v>570</v>
      </c>
      <c r="H11" s="174">
        <v>1.0</v>
      </c>
      <c r="I11" s="175">
        <f t="shared" si="1"/>
        <v>1</v>
      </c>
      <c r="J11" s="8" t="s">
        <v>571</v>
      </c>
      <c r="K11" s="47" t="s">
        <v>140</v>
      </c>
      <c r="L11" s="28" t="s">
        <v>544</v>
      </c>
      <c r="M11" s="99">
        <f t="shared" si="2"/>
        <v>1</v>
      </c>
      <c r="N11" s="28"/>
      <c r="O11" s="28"/>
      <c r="P11" s="28"/>
      <c r="Q11" s="28"/>
      <c r="R11" s="28"/>
      <c r="S11" s="28"/>
      <c r="T11" s="28"/>
      <c r="U11" s="28"/>
      <c r="V11" s="28"/>
      <c r="W11" s="28"/>
      <c r="X11" s="28"/>
      <c r="Y11" s="28"/>
      <c r="Z11" s="28"/>
      <c r="AA11" s="28"/>
    </row>
    <row r="12">
      <c r="A12" s="51" t="s">
        <v>373</v>
      </c>
      <c r="B12" s="124"/>
      <c r="C12" s="121" t="str">
        <f t="array" ref="C12">ifs(and(isblank($A12),isblank($B12)),"", not(iserror(vlookup($A12&amp;$B12,'5) Release_Track'!$F:$F&amp;'5) Release_Track'!$G:$G,1,0))),vlookup($A12&amp;$B12,{'5) Release_Track'!$F:$F&amp;'5) Release_Track'!$G:$G,'5) Release_Track'!$H:$H},2,0), or(and(not(isblank($B12)),$B12=$B11,$A12&lt;&gt;$A11),and(not(isblank($A12)),$A12=$A11,$B12&lt;&gt;$B11)),"ID LISTS UNALIGNED",and($A12&lt;&gt;"",countif('5) Release_Track'!$F:$F,$A12)=0),"NO ISRC MATCH in Release_Track",and($B12&lt;&gt;"",countif('5) Release_Track'!$G:$G,$B12)=0),"NO CATALOG ID MATCH in Release_Track",iserror(vlookup($A12&amp;$B12,'5) Release_Track'!$F:$F&amp;'5) Release_Track'!$G:$G,1,0)),"NO ISRC-CATALOG ID pair MATCH in Release_Track" )</f>
        <v>Chete Kar Kar Ke</v>
      </c>
      <c r="D12" s="121" t="str">
        <f t="array" ref="D12">ifs(and(isblank($A12),isblank($B12)),"", not(iserror(vlookup($A12&amp;$B12,'5) Release_Track'!$F:$F&amp;'5) Release_Track'!$G:$G,1,0))),vlookup($A12&amp;$B12,{'5) Release_Track'!$F:$F&amp;'5) Release_Track'!$G:$G,'5) Release_Track'!$I:$I},2,0), or(and(not(isblank($B12)),$B12=$B11,$A12&lt;&gt;$A11),and(not(isblank($A12)),$A12=$A11,$B12&lt;&gt;$B11)),"ID LISTS UNALIGNED",and($A12&lt;&gt;"",countif('5) Release_Track'!$F:$F,$A12)=0),"NO ISRC MATCH in Release_Track",and($B12&lt;&gt;"",countif('5) Release_Track'!$G:$G,$B12)=0),"NO CATALOG ID MATCH in Release_Track",iserror(vlookup($A12&amp;$B12,'5) Release_Track'!$F:$F&amp;'5) Release_Track'!$G:$G,1,0)),"NO ISRC-CATALOG ID pair MATCH in Release_Track" )</f>
        <v/>
      </c>
      <c r="E12" s="125" t="str">
        <f t="array" ref="E12">ifs(and(isblank($A12),isblank($B12)),"", not(iserror(vlookup($A12&amp;$B12,'5) Release_Track'!$F:$F&amp;'5) Release_Track'!$G:$G,1,0))),vlookup($A12&amp;$B12,{'5) Release_Track'!$F:$F&amp;'5) Release_Track'!$G:$G,'5) Release_Track'!$J:$J},2,0), or(and(not(isblank($B12)),$B12=$B11,$A12&lt;&gt;$A11),and(not(isblank($A12)),$A12=$A11,$B12&lt;&gt;$B11)),"ID LISTS UNALIGNED",and($A12&lt;&gt;"",countif('5) Release_Track'!$F:$F,$A12)=0),"NO ISRC MATCH in Release_Track",and($B12&lt;&gt;"",countif('5) Release_Track'!$G:$G,$B12)=0),"NO CATALOG ID MATCH in Release_Track",iserror(vlookup($A12&amp;$B12,'5) Release_Track'!$F:$F&amp;'5) Release_Track'!$G:$G,1,0)),"NO ISRC-CATALOG ID pair MATCH in Release_Track" )</f>
        <v>Punjabi</v>
      </c>
      <c r="F12" s="51" t="s">
        <v>51</v>
      </c>
      <c r="G12" s="122" t="s">
        <v>570</v>
      </c>
      <c r="H12" s="174">
        <v>1.0</v>
      </c>
      <c r="I12" s="175">
        <f t="shared" si="1"/>
        <v>1</v>
      </c>
      <c r="J12" s="8" t="s">
        <v>571</v>
      </c>
      <c r="K12" s="47" t="s">
        <v>140</v>
      </c>
      <c r="L12" s="28"/>
      <c r="M12" s="99">
        <f t="shared" si="2"/>
        <v>1</v>
      </c>
      <c r="N12" s="28"/>
      <c r="O12" s="28"/>
      <c r="P12" s="28"/>
      <c r="Q12" s="28"/>
      <c r="R12" s="28"/>
      <c r="S12" s="28"/>
      <c r="T12" s="28"/>
      <c r="U12" s="28"/>
      <c r="V12" s="28"/>
      <c r="W12" s="28"/>
      <c r="X12" s="28"/>
      <c r="Y12" s="28"/>
      <c r="Z12" s="28"/>
      <c r="AA12" s="28"/>
    </row>
    <row r="13">
      <c r="A13" s="51" t="s">
        <v>376</v>
      </c>
      <c r="B13" s="124"/>
      <c r="C13" s="121" t="str">
        <f t="array" ref="C13">ifs(and(isblank($A13),isblank($B13)),"", not(iserror(vlookup($A13&amp;$B13,'5) Release_Track'!$F:$F&amp;'5) Release_Track'!$G:$G,1,0))),vlookup($A13&amp;$B13,{'5) Release_Track'!$F:$F&amp;'5) Release_Track'!$G:$G,'5) Release_Track'!$H:$H},2,0), or(and(not(isblank($B13)),$B13=$B12,$A13&lt;&gt;$A12),and(not(isblank($A13)),$A13=$A12,$B13&lt;&gt;$B12)),"ID LISTS UNALIGNED",and($A13&lt;&gt;"",countif('5) Release_Track'!$F:$F,$A13)=0),"NO ISRC MATCH in Release_Track",and($B13&lt;&gt;"",countif('5) Release_Track'!$G:$G,$B13)=0),"NO CATALOG ID MATCH in Release_Track",iserror(vlookup($A13&amp;$B13,'5) Release_Track'!$F:$F&amp;'5) Release_Track'!$G:$G,1,0)),"NO ISRC-CATALOG ID pair MATCH in Release_Track" )</f>
        <v>Vanjhali Vaja</v>
      </c>
      <c r="D13" s="121" t="str">
        <f t="array" ref="D13">ifs(and(isblank($A13),isblank($B13)),"", not(iserror(vlookup($A13&amp;$B13,'5) Release_Track'!$F:$F&amp;'5) Release_Track'!$G:$G,1,0))),vlookup($A13&amp;$B13,{'5) Release_Track'!$F:$F&amp;'5) Release_Track'!$G:$G,'5) Release_Track'!$I:$I},2,0), or(and(not(isblank($B13)),$B13=$B12,$A13&lt;&gt;$A12),and(not(isblank($A13)),$A13=$A12,$B13&lt;&gt;$B12)),"ID LISTS UNALIGNED",and($A13&lt;&gt;"",countif('5) Release_Track'!$F:$F,$A13)=0),"NO ISRC MATCH in Release_Track",and($B13&lt;&gt;"",countif('5) Release_Track'!$G:$G,$B13)=0),"NO CATALOG ID MATCH in Release_Track",iserror(vlookup($A13&amp;$B13,'5) Release_Track'!$F:$F&amp;'5) Release_Track'!$G:$G,1,0)),"NO ISRC-CATALOG ID pair MATCH in Release_Track" )</f>
        <v/>
      </c>
      <c r="E13" s="125" t="str">
        <f t="array" ref="E13">ifs(and(isblank($A13),isblank($B13)),"", not(iserror(vlookup($A13&amp;$B13,'5) Release_Track'!$F:$F&amp;'5) Release_Track'!$G:$G,1,0))),vlookup($A13&amp;$B13,{'5) Release_Track'!$F:$F&amp;'5) Release_Track'!$G:$G,'5) Release_Track'!$J:$J},2,0), or(and(not(isblank($B13)),$B13=$B12,$A13&lt;&gt;$A12),and(not(isblank($A13)),$A13=$A12,$B13&lt;&gt;$B12)),"ID LISTS UNALIGNED",and($A13&lt;&gt;"",countif('5) Release_Track'!$F:$F,$A13)=0),"NO ISRC MATCH in Release_Track",and($B13&lt;&gt;"",countif('5) Release_Track'!$G:$G,$B13)=0),"NO CATALOG ID MATCH in Release_Track",iserror(vlookup($A13&amp;$B13,'5) Release_Track'!$F:$F&amp;'5) Release_Track'!$G:$G,1,0)),"NO ISRC-CATALOG ID pair MATCH in Release_Track" )</f>
        <v>Punjabi</v>
      </c>
      <c r="F13" s="51" t="s">
        <v>51</v>
      </c>
      <c r="G13" s="122" t="s">
        <v>570</v>
      </c>
      <c r="H13" s="174">
        <v>1.0</v>
      </c>
      <c r="I13" s="175">
        <f t="shared" si="1"/>
        <v>1</v>
      </c>
      <c r="J13" s="8" t="s">
        <v>571</v>
      </c>
      <c r="K13" s="47" t="s">
        <v>140</v>
      </c>
      <c r="L13" s="28"/>
      <c r="M13" s="99">
        <f t="shared" si="2"/>
        <v>1</v>
      </c>
      <c r="N13" s="28"/>
      <c r="O13" s="28"/>
      <c r="P13" s="28"/>
      <c r="Q13" s="28"/>
      <c r="R13" s="28"/>
      <c r="S13" s="28"/>
      <c r="T13" s="28"/>
      <c r="U13" s="28"/>
      <c r="V13" s="28"/>
      <c r="W13" s="28"/>
      <c r="X13" s="28"/>
      <c r="Y13" s="28"/>
      <c r="Z13" s="28"/>
      <c r="AA13" s="28"/>
    </row>
    <row r="14">
      <c r="A14" s="51" t="s">
        <v>379</v>
      </c>
      <c r="B14" s="124"/>
      <c r="C14" s="121" t="str">
        <f t="array" ref="C14">ifs(and(isblank($A14),isblank($B14)),"", not(iserror(vlookup($A14&amp;$B14,'5) Release_Track'!$F:$F&amp;'5) Release_Track'!$G:$G,1,0))),vlookup($A14&amp;$B14,{'5) Release_Track'!$F:$F&amp;'5) Release_Track'!$G:$G,'5) Release_Track'!$H:$H},2,0), or(and(not(isblank($B14)),$B14=$B13,$A14&lt;&gt;$A13),and(not(isblank($A14)),$A14=$A13,$B14&lt;&gt;$B13)),"ID LISTS UNALIGNED",and($A14&lt;&gt;"",countif('5) Release_Track'!$F:$F,$A14)=0),"NO ISRC MATCH in Release_Track",and($B14&lt;&gt;"",countif('5) Release_Track'!$G:$G,$B14)=0),"NO CATALOG ID MATCH in Release_Track",iserror(vlookup($A14&amp;$B14,'5) Release_Track'!$F:$F&amp;'5) Release_Track'!$G:$G,1,0)),"NO ISRC-CATALOG ID pair MATCH in Release_Track" )</f>
        <v>Jind Mahi</v>
      </c>
      <c r="D14" s="121" t="str">
        <f t="array" ref="D14">ifs(and(isblank($A14),isblank($B14)),"", not(iserror(vlookup($A14&amp;$B14,'5) Release_Track'!$F:$F&amp;'5) Release_Track'!$G:$G,1,0))),vlookup($A14&amp;$B14,{'5) Release_Track'!$F:$F&amp;'5) Release_Track'!$G:$G,'5) Release_Track'!$I:$I},2,0), or(and(not(isblank($B14)),$B14=$B13,$A14&lt;&gt;$A13),and(not(isblank($A14)),$A14=$A13,$B14&lt;&gt;$B13)),"ID LISTS UNALIGNED",and($A14&lt;&gt;"",countif('5) Release_Track'!$F:$F,$A14)=0),"NO ISRC MATCH in Release_Track",and($B14&lt;&gt;"",countif('5) Release_Track'!$G:$G,$B14)=0),"NO CATALOG ID MATCH in Release_Track",iserror(vlookup($A14&amp;$B14,'5) Release_Track'!$F:$F&amp;'5) Release_Track'!$G:$G,1,0)),"NO ISRC-CATALOG ID pair MATCH in Release_Track" )</f>
        <v/>
      </c>
      <c r="E14" s="125" t="str">
        <f t="array" ref="E14">ifs(and(isblank($A14),isblank($B14)),"", not(iserror(vlookup($A14&amp;$B14,'5) Release_Track'!$F:$F&amp;'5) Release_Track'!$G:$G,1,0))),vlookup($A14&amp;$B14,{'5) Release_Track'!$F:$F&amp;'5) Release_Track'!$G:$G,'5) Release_Track'!$J:$J},2,0), or(and(not(isblank($B14)),$B14=$B13,$A14&lt;&gt;$A13),and(not(isblank($A14)),$A14=$A13,$B14&lt;&gt;$B13)),"ID LISTS UNALIGNED",and($A14&lt;&gt;"",countif('5) Release_Track'!$F:$F,$A14)=0),"NO ISRC MATCH in Release_Track",and($B14&lt;&gt;"",countif('5) Release_Track'!$G:$G,$B14)=0),"NO CATALOG ID MATCH in Release_Track",iserror(vlookup($A14&amp;$B14,'5) Release_Track'!$F:$F&amp;'5) Release_Track'!$G:$G,1,0)),"NO ISRC-CATALOG ID pair MATCH in Release_Track" )</f>
        <v>Punjabi</v>
      </c>
      <c r="F14" s="51" t="s">
        <v>51</v>
      </c>
      <c r="G14" s="122" t="s">
        <v>570</v>
      </c>
      <c r="H14" s="174">
        <v>1.0</v>
      </c>
      <c r="I14" s="175">
        <f t="shared" si="1"/>
        <v>1</v>
      </c>
      <c r="J14" s="8" t="s">
        <v>571</v>
      </c>
      <c r="K14" s="47" t="s">
        <v>140</v>
      </c>
      <c r="L14" s="28"/>
      <c r="M14" s="99">
        <f t="shared" si="2"/>
        <v>1</v>
      </c>
      <c r="N14" s="28"/>
      <c r="O14" s="28"/>
      <c r="P14" s="28"/>
      <c r="Q14" s="28"/>
      <c r="R14" s="28"/>
      <c r="S14" s="28"/>
      <c r="T14" s="28"/>
      <c r="U14" s="28"/>
      <c r="V14" s="28"/>
      <c r="W14" s="28"/>
      <c r="X14" s="28"/>
      <c r="Y14" s="28"/>
      <c r="Z14" s="28"/>
      <c r="AA14" s="28"/>
    </row>
    <row r="15">
      <c r="A15" s="51" t="s">
        <v>382</v>
      </c>
      <c r="B15" s="124"/>
      <c r="C15" s="121" t="str">
        <f t="array" ref="C15">ifs(and(isblank($A15),isblank($B15)),"", not(iserror(vlookup($A15&amp;$B15,'5) Release_Track'!$F:$F&amp;'5) Release_Track'!$G:$G,1,0))),vlookup($A15&amp;$B15,{'5) Release_Track'!$F:$F&amp;'5) Release_Track'!$G:$G,'5) Release_Track'!$H:$H},2,0), or(and(not(isblank($B15)),$B15=$B14,$A15&lt;&gt;$A14),and(not(isblank($A15)),$A15=$A14,$B15&lt;&gt;$B14)),"ID LISTS UNALIGNED",and($A15&lt;&gt;"",countif('5) Release_Track'!$F:$F,$A15)=0),"NO ISRC MATCH in Release_Track",and($B15&lt;&gt;"",countif('5) Release_Track'!$G:$G,$B15)=0),"NO CATALOG ID MATCH in Release_Track",iserror(vlookup($A15&amp;$B15,'5) Release_Track'!$F:$F&amp;'5) Release_Track'!$G:$G,1,0)),"NO ISRC-CATALOG ID pair MATCH in Release_Track" )</f>
        <v>Angrej Tappe</v>
      </c>
      <c r="D15" s="121" t="str">
        <f t="array" ref="D15">ifs(and(isblank($A15),isblank($B15)),"", not(iserror(vlookup($A15&amp;$B15,'5) Release_Track'!$F:$F&amp;'5) Release_Track'!$G:$G,1,0))),vlookup($A15&amp;$B15,{'5) Release_Track'!$F:$F&amp;'5) Release_Track'!$G:$G,'5) Release_Track'!$I:$I},2,0), or(and(not(isblank($B15)),$B15=$B14,$A15&lt;&gt;$A14),and(not(isblank($A15)),$A15=$A14,$B15&lt;&gt;$B14)),"ID LISTS UNALIGNED",and($A15&lt;&gt;"",countif('5) Release_Track'!$F:$F,$A15)=0),"NO ISRC MATCH in Release_Track",and($B15&lt;&gt;"",countif('5) Release_Track'!$G:$G,$B15)=0),"NO CATALOG ID MATCH in Release_Track",iserror(vlookup($A15&amp;$B15,'5) Release_Track'!$F:$F&amp;'5) Release_Track'!$G:$G,1,0)),"NO ISRC-CATALOG ID pair MATCH in Release_Track" )</f>
        <v/>
      </c>
      <c r="E15" s="125" t="str">
        <f t="array" ref="E15">ifs(and(isblank($A15),isblank($B15)),"", not(iserror(vlookup($A15&amp;$B15,'5) Release_Track'!$F:$F&amp;'5) Release_Track'!$G:$G,1,0))),vlookup($A15&amp;$B15,{'5) Release_Track'!$F:$F&amp;'5) Release_Track'!$G:$G,'5) Release_Track'!$J:$J},2,0), or(and(not(isblank($B15)),$B15=$B14,$A15&lt;&gt;$A14),and(not(isblank($A15)),$A15=$A14,$B15&lt;&gt;$B14)),"ID LISTS UNALIGNED",and($A15&lt;&gt;"",countif('5) Release_Track'!$F:$F,$A15)=0),"NO ISRC MATCH in Release_Track",and($B15&lt;&gt;"",countif('5) Release_Track'!$G:$G,$B15)=0),"NO CATALOG ID MATCH in Release_Track",iserror(vlookup($A15&amp;$B15,'5) Release_Track'!$F:$F&amp;'5) Release_Track'!$G:$G,1,0)),"NO ISRC-CATALOG ID pair MATCH in Release_Track" )</f>
        <v>Punjabi</v>
      </c>
      <c r="F15" s="51" t="s">
        <v>51</v>
      </c>
      <c r="G15" s="122" t="s">
        <v>570</v>
      </c>
      <c r="H15" s="174">
        <v>1.0</v>
      </c>
      <c r="I15" s="175">
        <f t="shared" si="1"/>
        <v>1</v>
      </c>
      <c r="J15" s="8" t="s">
        <v>571</v>
      </c>
      <c r="K15" s="47" t="s">
        <v>140</v>
      </c>
      <c r="L15" s="28"/>
      <c r="M15" s="99">
        <f t="shared" si="2"/>
        <v>1</v>
      </c>
      <c r="N15" s="28"/>
      <c r="O15" s="28"/>
      <c r="P15" s="28"/>
      <c r="Q15" s="28"/>
      <c r="R15" s="28"/>
      <c r="S15" s="28"/>
      <c r="T15" s="28"/>
      <c r="U15" s="28"/>
      <c r="V15" s="28"/>
      <c r="W15" s="28"/>
      <c r="X15" s="28"/>
      <c r="Y15" s="28"/>
      <c r="Z15" s="28"/>
      <c r="AA15" s="28"/>
    </row>
    <row r="16">
      <c r="A16" s="51" t="s">
        <v>385</v>
      </c>
      <c r="B16" s="124"/>
      <c r="C16" s="121" t="str">
        <f t="array" ref="C16">ifs(and(isblank($A16),isblank($B16)),"", not(iserror(vlookup($A16&amp;$B16,'5) Release_Track'!$F:$F&amp;'5) Release_Track'!$G:$G,1,0))),vlookup($A16&amp;$B16,{'5) Release_Track'!$F:$F&amp;'5) Release_Track'!$G:$G,'5) Release_Track'!$H:$H},2,0), or(and(not(isblank($B16)),$B16=$B15,$A16&lt;&gt;$A15),and(not(isblank($A16)),$A16=$A15,$B16&lt;&gt;$B15)),"ID LISTS UNALIGNED",and($A16&lt;&gt;"",countif('5) Release_Track'!$F:$F,$A16)=0),"NO ISRC MATCH in Release_Track",and($B16&lt;&gt;"",countif('5) Release_Track'!$G:$G,$B16)=0),"NO CATALOG ID MATCH in Release_Track",iserror(vlookup($A16&amp;$B16,'5) Release_Track'!$F:$F&amp;'5) Release_Track'!$G:$G,1,0)),"NO ISRC-CATALOG ID pair MATCH in Release_Track" )</f>
        <v>Bambukat (From "Bambukat" Soundtrack)</v>
      </c>
      <c r="D16" s="121" t="str">
        <f t="array" ref="D16">ifs(and(isblank($A16),isblank($B16)),"", not(iserror(vlookup($A16&amp;$B16,'5) Release_Track'!$F:$F&amp;'5) Release_Track'!$G:$G,1,0))),vlookup($A16&amp;$B16,{'5) Release_Track'!$F:$F&amp;'5) Release_Track'!$G:$G,'5) Release_Track'!$I:$I},2,0), or(and(not(isblank($B16)),$B16=$B15,$A16&lt;&gt;$A15),and(not(isblank($A16)),$A16=$A15,$B16&lt;&gt;$B15)),"ID LISTS UNALIGNED",and($A16&lt;&gt;"",countif('5) Release_Track'!$F:$F,$A16)=0),"NO ISRC MATCH in Release_Track",and($B16&lt;&gt;"",countif('5) Release_Track'!$G:$G,$B16)=0),"NO CATALOG ID MATCH in Release_Track",iserror(vlookup($A16&amp;$B16,'5) Release_Track'!$F:$F&amp;'5) Release_Track'!$G:$G,1,0)),"NO ISRC-CATALOG ID pair MATCH in Release_Track" )</f>
        <v/>
      </c>
      <c r="E16" s="125" t="str">
        <f t="array" ref="E16">ifs(and(isblank($A16),isblank($B16)),"", not(iserror(vlookup($A16&amp;$B16,'5) Release_Track'!$F:$F&amp;'5) Release_Track'!$G:$G,1,0))),vlookup($A16&amp;$B16,{'5) Release_Track'!$F:$F&amp;'5) Release_Track'!$G:$G,'5) Release_Track'!$J:$J},2,0), or(and(not(isblank($B16)),$B16=$B15,$A16&lt;&gt;$A15),and(not(isblank($A16)),$A16=$A15,$B16&lt;&gt;$B15)),"ID LISTS UNALIGNED",and($A16&lt;&gt;"",countif('5) Release_Track'!$F:$F,$A16)=0),"NO ISRC MATCH in Release_Track",and($B16&lt;&gt;"",countif('5) Release_Track'!$G:$G,$B16)=0),"NO CATALOG ID MATCH in Release_Track",iserror(vlookup($A16&amp;$B16,'5) Release_Track'!$F:$F&amp;'5) Release_Track'!$G:$G,1,0)),"NO ISRC-CATALOG ID pair MATCH in Release_Track" )</f>
        <v>Punjabi</v>
      </c>
      <c r="F16" s="51" t="s">
        <v>51</v>
      </c>
      <c r="G16" s="122" t="s">
        <v>570</v>
      </c>
      <c r="H16" s="174">
        <v>1.0</v>
      </c>
      <c r="I16" s="175">
        <f t="shared" si="1"/>
        <v>1</v>
      </c>
      <c r="J16" s="8" t="s">
        <v>571</v>
      </c>
      <c r="K16" s="47" t="s">
        <v>140</v>
      </c>
      <c r="L16" s="28"/>
      <c r="M16" s="99">
        <f t="shared" si="2"/>
        <v>1</v>
      </c>
      <c r="N16" s="28"/>
      <c r="O16" s="28"/>
      <c r="P16" s="28"/>
      <c r="Q16" s="28"/>
      <c r="R16" s="28"/>
      <c r="S16" s="28"/>
      <c r="T16" s="28"/>
      <c r="U16" s="43"/>
      <c r="V16" s="28"/>
      <c r="W16" s="28"/>
      <c r="X16" s="28"/>
      <c r="Y16" s="28"/>
      <c r="Z16" s="28"/>
      <c r="AA16" s="28"/>
    </row>
    <row r="17">
      <c r="A17" s="51" t="s">
        <v>387</v>
      </c>
      <c r="B17" s="103"/>
      <c r="C17" s="121" t="str">
        <f t="array" ref="C17">ifs(and(isblank($A17),isblank($B17)),"", not(iserror(vlookup($A17&amp;$B17,'5) Release_Track'!$F:$F&amp;'5) Release_Track'!$G:$G,1,0))),vlookup($A17&amp;$B17,{'5) Release_Track'!$F:$F&amp;'5) Release_Track'!$G:$G,'5) Release_Track'!$H:$H},2,0), or(and(not(isblank($B17)),$B17=$B16,$A17&lt;&gt;$A16),and(not(isblank($A17)),$A17=$A16,$B17&lt;&gt;$B16)),"ID LISTS UNALIGNED",and($A17&lt;&gt;"",countif('5) Release_Track'!$F:$F,$A17)=0),"NO ISRC MATCH in Release_Track",and($B17&lt;&gt;"",countif('5) Release_Track'!$G:$G,$B17)=0),"NO CATALOG ID MATCH in Release_Track",iserror(vlookup($A17&amp;$B17,'5) Release_Track'!$F:$F&amp;'5) Release_Track'!$G:$G,1,0)),"NO ISRC-CATALOG ID pair MATCH in Release_Track" )</f>
        <v>Chann Ve</v>
      </c>
      <c r="D17" s="121" t="str">
        <f t="array" ref="D17">ifs(and(isblank($A17),isblank($B17)),"", not(iserror(vlookup($A17&amp;$B17,'5) Release_Track'!$F:$F&amp;'5) Release_Track'!$G:$G,1,0))),vlookup($A17&amp;$B17,{'5) Release_Track'!$F:$F&amp;'5) Release_Track'!$G:$G,'5) Release_Track'!$I:$I},2,0), or(and(not(isblank($B17)),$B17=$B16,$A17&lt;&gt;$A16),and(not(isblank($A17)),$A17=$A16,$B17&lt;&gt;$B16)),"ID LISTS UNALIGNED",and($A17&lt;&gt;"",countif('5) Release_Track'!$F:$F,$A17)=0),"NO ISRC MATCH in Release_Track",and($B17&lt;&gt;"",countif('5) Release_Track'!$G:$G,$B17)=0),"NO CATALOG ID MATCH in Release_Track",iserror(vlookup($A17&amp;$B17,'5) Release_Track'!$F:$F&amp;'5) Release_Track'!$G:$G,1,0)),"NO ISRC-CATALOG ID pair MATCH in Release_Track" )</f>
        <v/>
      </c>
      <c r="E17" s="125" t="str">
        <f t="array" ref="E17">ifs(and(isblank($A17),isblank($B17)),"", not(iserror(vlookup($A17&amp;$B17,'5) Release_Track'!$F:$F&amp;'5) Release_Track'!$G:$G,1,0))),vlookup($A17&amp;$B17,{'5) Release_Track'!$F:$F&amp;'5) Release_Track'!$G:$G,'5) Release_Track'!$J:$J},2,0), or(and(not(isblank($B17)),$B17=$B16,$A17&lt;&gt;$A16),and(not(isblank($A17)),$A17=$A16,$B17&lt;&gt;$B16)),"ID LISTS UNALIGNED",and($A17&lt;&gt;"",countif('5) Release_Track'!$F:$F,$A17)=0),"NO ISRC MATCH in Release_Track",and($B17&lt;&gt;"",countif('5) Release_Track'!$G:$G,$B17)=0),"NO CATALOG ID MATCH in Release_Track",iserror(vlookup($A17&amp;$B17,'5) Release_Track'!$F:$F&amp;'5) Release_Track'!$G:$G,1,0)),"NO ISRC-CATALOG ID pair MATCH in Release_Track" )</f>
        <v>Punjabi</v>
      </c>
      <c r="F17" s="51" t="s">
        <v>47</v>
      </c>
      <c r="G17" s="122" t="s">
        <v>570</v>
      </c>
      <c r="H17" s="174">
        <v>1.0</v>
      </c>
      <c r="I17" s="175">
        <f t="shared" si="1"/>
        <v>1</v>
      </c>
      <c r="J17" s="8" t="s">
        <v>571</v>
      </c>
      <c r="K17" s="34" t="s">
        <v>140</v>
      </c>
      <c r="M17" s="99">
        <f t="shared" si="2"/>
        <v>1</v>
      </c>
    </row>
    <row r="18">
      <c r="A18" s="51" t="s">
        <v>389</v>
      </c>
      <c r="B18" s="103"/>
      <c r="C18" s="121" t="str">
        <f t="array" ref="C18">ifs(and(isblank($A18),isblank($B18)),"", not(iserror(vlookup($A18&amp;$B18,'5) Release_Track'!$F:$F&amp;'5) Release_Track'!$G:$G,1,0))),vlookup($A18&amp;$B18,{'5) Release_Track'!$F:$F&amp;'5) Release_Track'!$G:$G,'5) Release_Track'!$H:$H},2,0), or(and(not(isblank($B18)),$B18=$B17,$A18&lt;&gt;$A17),and(not(isblank($A18)),$A18=$A17,$B18&lt;&gt;$B17)),"ID LISTS UNALIGNED",and($A18&lt;&gt;"",countif('5) Release_Track'!$F:$F,$A18)=0),"NO ISRC MATCH in Release_Track",and($B18&lt;&gt;"",countif('5) Release_Track'!$G:$G,$B18)=0),"NO CATALOG ID MATCH in Release_Track",iserror(vlookup($A18&amp;$B18,'5) Release_Track'!$F:$F&amp;'5) Release_Track'!$G:$G,1,0)),"NO ISRC-CATALOG ID pair MATCH in Release_Track" )</f>
        <v>Chunni (From "Lahoriye" Soundtrack)</v>
      </c>
      <c r="D18" s="121" t="str">
        <f t="array" ref="D18">ifs(and(isblank($A18),isblank($B18)),"", not(iserror(vlookup($A18&amp;$B18,'5) Release_Track'!$F:$F&amp;'5) Release_Track'!$G:$G,1,0))),vlookup($A18&amp;$B18,{'5) Release_Track'!$F:$F&amp;'5) Release_Track'!$G:$G,'5) Release_Track'!$I:$I},2,0), or(and(not(isblank($B18)),$B18=$B17,$A18&lt;&gt;$A17),and(not(isblank($A18)),$A18=$A17,$B18&lt;&gt;$B17)),"ID LISTS UNALIGNED",and($A18&lt;&gt;"",countif('5) Release_Track'!$F:$F,$A18)=0),"NO ISRC MATCH in Release_Track",and($B18&lt;&gt;"",countif('5) Release_Track'!$G:$G,$B18)=0),"NO CATALOG ID MATCH in Release_Track",iserror(vlookup($A18&amp;$B18,'5) Release_Track'!$F:$F&amp;'5) Release_Track'!$G:$G,1,0)),"NO ISRC-CATALOG ID pair MATCH in Release_Track" )</f>
        <v/>
      </c>
      <c r="E18" s="125" t="str">
        <f t="array" ref="E18">ifs(and(isblank($A18),isblank($B18)),"", not(iserror(vlookup($A18&amp;$B18,'5) Release_Track'!$F:$F&amp;'5) Release_Track'!$G:$G,1,0))),vlookup($A18&amp;$B18,{'5) Release_Track'!$F:$F&amp;'5) Release_Track'!$G:$G,'5) Release_Track'!$J:$J},2,0), or(and(not(isblank($B18)),$B18=$B17,$A18&lt;&gt;$A17),and(not(isblank($A18)),$A18=$A17,$B18&lt;&gt;$B17)),"ID LISTS UNALIGNED",and($A18&lt;&gt;"",countif('5) Release_Track'!$F:$F,$A18)=0),"NO ISRC MATCH in Release_Track",and($B18&lt;&gt;"",countif('5) Release_Track'!$G:$G,$B18)=0),"NO CATALOG ID MATCH in Release_Track",iserror(vlookup($A18&amp;$B18,'5) Release_Track'!$F:$F&amp;'5) Release_Track'!$G:$G,1,0)),"NO ISRC-CATALOG ID pair MATCH in Release_Track" )</f>
        <v>Punjabi</v>
      </c>
      <c r="F18" s="51" t="s">
        <v>51</v>
      </c>
      <c r="G18" s="122" t="s">
        <v>570</v>
      </c>
      <c r="H18" s="174">
        <v>1.0</v>
      </c>
      <c r="I18" s="175">
        <f t="shared" si="1"/>
        <v>1</v>
      </c>
      <c r="J18" s="8" t="s">
        <v>571</v>
      </c>
      <c r="K18" s="34" t="s">
        <v>140</v>
      </c>
      <c r="M18" s="99">
        <f t="shared" si="2"/>
        <v>1</v>
      </c>
    </row>
    <row r="19">
      <c r="A19" s="51" t="s">
        <v>391</v>
      </c>
      <c r="B19" s="103"/>
      <c r="C19" s="121" t="str">
        <f t="array" ref="C19">ifs(and(isblank($A19),isblank($B19)),"", not(iserror(vlookup($A19&amp;$B19,'5) Release_Track'!$F:$F&amp;'5) Release_Track'!$G:$G,1,0))),vlookup($A19&amp;$B19,{'5) Release_Track'!$F:$F&amp;'5) Release_Track'!$G:$G,'5) Release_Track'!$H:$H},2,0), or(and(not(isblank($B19)),$B19=$B18,$A19&lt;&gt;$A18),and(not(isblank($A19)),$A19=$A18,$B19&lt;&gt;$B18)),"ID LISTS UNALIGNED",and($A19&lt;&gt;"",countif('5) Release_Track'!$F:$F,$A19)=0),"NO ISRC MATCH in Release_Track",and($B19&lt;&gt;"",countif('5) Release_Track'!$G:$G,$B19)=0),"NO CATALOG ID MATCH in Release_Track",iserror(vlookup($A19&amp;$B19,'5) Release_Track'!$F:$F&amp;'5) Release_Track'!$G:$G,1,0)),"NO ISRC-CATALOG ID pair MATCH in Release_Track" )</f>
        <v>Daana Paani - Title Song (From "Daana Paani" Soundtrack)</v>
      </c>
      <c r="D19" s="121" t="str">
        <f t="array" ref="D19">ifs(and(isblank($A19),isblank($B19)),"", not(iserror(vlookup($A19&amp;$B19,'5) Release_Track'!$F:$F&amp;'5) Release_Track'!$G:$G,1,0))),vlookup($A19&amp;$B19,{'5) Release_Track'!$F:$F&amp;'5) Release_Track'!$G:$G,'5) Release_Track'!$I:$I},2,0), or(and(not(isblank($B19)),$B19=$B18,$A19&lt;&gt;$A18),and(not(isblank($A19)),$A19=$A18,$B19&lt;&gt;$B18)),"ID LISTS UNALIGNED",and($A19&lt;&gt;"",countif('5) Release_Track'!$F:$F,$A19)=0),"NO ISRC MATCH in Release_Track",and($B19&lt;&gt;"",countif('5) Release_Track'!$G:$G,$B19)=0),"NO CATALOG ID MATCH in Release_Track",iserror(vlookup($A19&amp;$B19,'5) Release_Track'!$F:$F&amp;'5) Release_Track'!$G:$G,1,0)),"NO ISRC-CATALOG ID pair MATCH in Release_Track" )</f>
        <v/>
      </c>
      <c r="E19" s="125" t="str">
        <f t="array" ref="E19">ifs(and(isblank($A19),isblank($B19)),"", not(iserror(vlookup($A19&amp;$B19,'5) Release_Track'!$F:$F&amp;'5) Release_Track'!$G:$G,1,0))),vlookup($A19&amp;$B19,{'5) Release_Track'!$F:$F&amp;'5) Release_Track'!$G:$G,'5) Release_Track'!$J:$J},2,0), or(and(not(isblank($B19)),$B19=$B18,$A19&lt;&gt;$A18),and(not(isblank($A19)),$A19=$A18,$B19&lt;&gt;$B18)),"ID LISTS UNALIGNED",and($A19&lt;&gt;"",countif('5) Release_Track'!$F:$F,$A19)=0),"NO ISRC MATCH in Release_Track",and($B19&lt;&gt;"",countif('5) Release_Track'!$G:$G,$B19)=0),"NO CATALOG ID MATCH in Release_Track",iserror(vlookup($A19&amp;$B19,'5) Release_Track'!$F:$F&amp;'5) Release_Track'!$G:$G,1,0)),"NO ISRC-CATALOG ID pair MATCH in Release_Track" )</f>
        <v>Punjabi</v>
      </c>
      <c r="F19" s="51" t="s">
        <v>61</v>
      </c>
      <c r="G19" s="122" t="s">
        <v>570</v>
      </c>
      <c r="H19" s="174">
        <v>1.0</v>
      </c>
      <c r="I19" s="175">
        <f t="shared" si="1"/>
        <v>1</v>
      </c>
      <c r="J19" s="8" t="s">
        <v>571</v>
      </c>
      <c r="K19" s="34" t="s">
        <v>140</v>
      </c>
      <c r="M19" s="99">
        <f t="shared" si="2"/>
        <v>1</v>
      </c>
    </row>
    <row r="20">
      <c r="A20" s="51" t="s">
        <v>393</v>
      </c>
      <c r="B20" s="103"/>
      <c r="C20" s="121" t="str">
        <f t="array" ref="C20">ifs(and(isblank($A20),isblank($B20)),"", not(iserror(vlookup($A20&amp;$B20,'5) Release_Track'!$F:$F&amp;'5) Release_Track'!$G:$G,1,0))),vlookup($A20&amp;$B20,{'5) Release_Track'!$F:$F&amp;'5) Release_Track'!$G:$G,'5) Release_Track'!$H:$H},2,0), or(and(not(isblank($B20)),$B20=$B19,$A20&lt;&gt;$A19),and(not(isblank($A20)),$A20=$A19,$B20&lt;&gt;$B19)),"ID LISTS UNALIGNED",and($A20&lt;&gt;"",countif('5) Release_Track'!$F:$F,$A20)=0),"NO ISRC MATCH in Release_Track",and($B20&lt;&gt;"",countif('5) Release_Track'!$G:$G,$B20)=0),"NO CATALOG ID MATCH in Release_Track",iserror(vlookup($A20&amp;$B20,'5) Release_Track'!$F:$F&amp;'5) Release_Track'!$G:$G,1,0)),"NO ISRC-CATALOG ID pair MATCH in Release_Track" )</f>
        <v>Daana Paani (From "Daana Paani" Soundtrack)</v>
      </c>
      <c r="D20" s="121" t="str">
        <f t="array" ref="D20">ifs(and(isblank($A20),isblank($B20)),"", not(iserror(vlookup($A20&amp;$B20,'5) Release_Track'!$F:$F&amp;'5) Release_Track'!$G:$G,1,0))),vlookup($A20&amp;$B20,{'5) Release_Track'!$F:$F&amp;'5) Release_Track'!$G:$G,'5) Release_Track'!$I:$I},2,0), or(and(not(isblank($B20)),$B20=$B19,$A20&lt;&gt;$A19),and(not(isblank($A20)),$A20=$A19,$B20&lt;&gt;$B19)),"ID LISTS UNALIGNED",and($A20&lt;&gt;"",countif('5) Release_Track'!$F:$F,$A20)=0),"NO ISRC MATCH in Release_Track",and($B20&lt;&gt;"",countif('5) Release_Track'!$G:$G,$B20)=0),"NO CATALOG ID MATCH in Release_Track",iserror(vlookup($A20&amp;$B20,'5) Release_Track'!$F:$F&amp;'5) Release_Track'!$G:$G,1,0)),"NO ISRC-CATALOG ID pair MATCH in Release_Track" )</f>
        <v/>
      </c>
      <c r="E20" s="125" t="str">
        <f t="array" ref="E20">ifs(and(isblank($A20),isblank($B20)),"", not(iserror(vlookup($A20&amp;$B20,'5) Release_Track'!$F:$F&amp;'5) Release_Track'!$G:$G,1,0))),vlookup($A20&amp;$B20,{'5) Release_Track'!$F:$F&amp;'5) Release_Track'!$G:$G,'5) Release_Track'!$J:$J},2,0), or(and(not(isblank($B20)),$B20=$B19,$A20&lt;&gt;$A19),and(not(isblank($A20)),$A20=$A19,$B20&lt;&gt;$B19)),"ID LISTS UNALIGNED",and($A20&lt;&gt;"",countif('5) Release_Track'!$F:$F,$A20)=0),"NO ISRC MATCH in Release_Track",and($B20&lt;&gt;"",countif('5) Release_Track'!$G:$G,$B20)=0),"NO CATALOG ID MATCH in Release_Track",iserror(vlookup($A20&amp;$B20,'5) Release_Track'!$F:$F&amp;'5) Release_Track'!$G:$G,1,0)),"NO ISRC-CATALOG ID pair MATCH in Release_Track" )</f>
        <v>Punjabi</v>
      </c>
      <c r="F20" s="51" t="s">
        <v>63</v>
      </c>
      <c r="G20" s="122" t="s">
        <v>572</v>
      </c>
      <c r="H20" s="174">
        <v>1.0</v>
      </c>
      <c r="I20" s="175">
        <f t="shared" si="1"/>
        <v>1</v>
      </c>
      <c r="J20" s="8" t="s">
        <v>571</v>
      </c>
      <c r="K20" s="34" t="s">
        <v>140</v>
      </c>
      <c r="M20" s="99">
        <f t="shared" si="2"/>
        <v>1</v>
      </c>
    </row>
    <row r="21">
      <c r="A21" s="51" t="s">
        <v>395</v>
      </c>
      <c r="B21" s="103"/>
      <c r="C21" s="121" t="str">
        <f t="array" ref="C21">ifs(and(isblank($A21),isblank($B21)),"", not(iserror(vlookup($A21&amp;$B21,'5) Release_Track'!$F:$F&amp;'5) Release_Track'!$G:$G,1,0))),vlookup($A21&amp;$B21,{'5) Release_Track'!$F:$F&amp;'5) Release_Track'!$G:$G,'5) Release_Track'!$H:$H},2,0), or(and(not(isblank($B21)),$B21=$B20,$A21&lt;&gt;$A20),and(not(isblank($A21)),$A21=$A20,$B21&lt;&gt;$B20)),"ID LISTS UNALIGNED",and($A21&lt;&gt;"",countif('5) Release_Track'!$F:$F,$A21)=0),"NO ISRC MATCH in Release_Track",and($B21&lt;&gt;"",countif('5) Release_Track'!$G:$G,$B21)=0),"NO CATALOG ID MATCH in Release_Track",iserror(vlookup($A21&amp;$B21,'5) Release_Track'!$F:$F&amp;'5) Release_Track'!$G:$G,1,0)),"NO ISRC-CATALOG ID pair MATCH in Release_Track" )</f>
        <v>Dil Di Dua (From "Bhalwan Singh" Soundtrack)</v>
      </c>
      <c r="D21" s="121" t="str">
        <f t="array" ref="D21">ifs(and(isblank($A21),isblank($B21)),"", not(iserror(vlookup($A21&amp;$B21,'5) Release_Track'!$F:$F&amp;'5) Release_Track'!$G:$G,1,0))),vlookup($A21&amp;$B21,{'5) Release_Track'!$F:$F&amp;'5) Release_Track'!$G:$G,'5) Release_Track'!$I:$I},2,0), or(and(not(isblank($B21)),$B21=$B20,$A21&lt;&gt;$A20),and(not(isblank($A21)),$A21=$A20,$B21&lt;&gt;$B20)),"ID LISTS UNALIGNED",and($A21&lt;&gt;"",countif('5) Release_Track'!$F:$F,$A21)=0),"NO ISRC MATCH in Release_Track",and($B21&lt;&gt;"",countif('5) Release_Track'!$G:$G,$B21)=0),"NO CATALOG ID MATCH in Release_Track",iserror(vlookup($A21&amp;$B21,'5) Release_Track'!$F:$F&amp;'5) Release_Track'!$G:$G,1,0)),"NO ISRC-CATALOG ID pair MATCH in Release_Track" )</f>
        <v/>
      </c>
      <c r="E21" s="125" t="str">
        <f t="array" ref="E21">ifs(and(isblank($A21),isblank($B21)),"", not(iserror(vlookup($A21&amp;$B21,'5) Release_Track'!$F:$F&amp;'5) Release_Track'!$G:$G,1,0))),vlookup($A21&amp;$B21,{'5) Release_Track'!$F:$F&amp;'5) Release_Track'!$G:$G,'5) Release_Track'!$J:$J},2,0), or(and(not(isblank($B21)),$B21=$B20,$A21&lt;&gt;$A20),and(not(isblank($A21)),$A21=$A20,$B21&lt;&gt;$B20)),"ID LISTS UNALIGNED",and($A21&lt;&gt;"",countif('5) Release_Track'!$F:$F,$A21)=0),"NO ISRC MATCH in Release_Track",and($B21&lt;&gt;"",countif('5) Release_Track'!$G:$G,$B21)=0),"NO CATALOG ID MATCH in Release_Track",iserror(vlookup($A21&amp;$B21,'5) Release_Track'!$F:$F&amp;'5) Release_Track'!$G:$G,1,0)),"NO ISRC-CATALOG ID pair MATCH in Release_Track" )</f>
        <v>Punjabi</v>
      </c>
      <c r="F21" s="51" t="s">
        <v>47</v>
      </c>
      <c r="G21" s="122" t="s">
        <v>570</v>
      </c>
      <c r="H21" s="174">
        <v>1.0</v>
      </c>
      <c r="I21" s="175">
        <f t="shared" si="1"/>
        <v>1</v>
      </c>
      <c r="J21" s="8" t="s">
        <v>571</v>
      </c>
      <c r="K21" s="176" t="s">
        <v>140</v>
      </c>
      <c r="M21" s="99">
        <f t="shared" si="2"/>
        <v>1</v>
      </c>
    </row>
    <row r="22">
      <c r="A22" s="51" t="s">
        <v>397</v>
      </c>
      <c r="B22" s="103"/>
      <c r="C22" s="121" t="str">
        <f t="array" ref="C22">ifs(and(isblank($A22),isblank($B22)),"", not(iserror(vlookup($A22&amp;$B22,'5) Release_Track'!$F:$F&amp;'5) Release_Track'!$G:$G,1,0))),vlookup($A22&amp;$B22,{'5) Release_Track'!$F:$F&amp;'5) Release_Track'!$G:$G,'5) Release_Track'!$H:$H},2,0), or(and(not(isblank($B22)),$B22=$B21,$A22&lt;&gt;$A21),and(not(isblank($A22)),$A22=$A21,$B22&lt;&gt;$B21)),"ID LISTS UNALIGNED",and($A22&lt;&gt;"",countif('5) Release_Track'!$F:$F,$A22)=0),"NO ISRC MATCH in Release_Track",and($B22&lt;&gt;"",countif('5) Release_Track'!$G:$G,$B22)=0),"NO CATALOG ID MATCH in Release_Track",iserror(vlookup($A22&amp;$B22,'5) Release_Track'!$F:$F&amp;'5) Release_Track'!$G:$G,1,0)),"NO ISRC-CATALOG ID pair MATCH in Release_Track" )</f>
        <v>Geetkariyan</v>
      </c>
      <c r="D22" s="121" t="str">
        <f t="array" ref="D22">ifs(and(isblank($A22),isblank($B22)),"", not(iserror(vlookup($A22&amp;$B22,'5) Release_Track'!$F:$F&amp;'5) Release_Track'!$G:$G,1,0))),vlookup($A22&amp;$B22,{'5) Release_Track'!$F:$F&amp;'5) Release_Track'!$G:$G,'5) Release_Track'!$I:$I},2,0), or(and(not(isblank($B22)),$B22=$B21,$A22&lt;&gt;$A21),and(not(isblank($A22)),$A22=$A21,$B22&lt;&gt;$B21)),"ID LISTS UNALIGNED",and($A22&lt;&gt;"",countif('5) Release_Track'!$F:$F,$A22)=0),"NO ISRC MATCH in Release_Track",and($B22&lt;&gt;"",countif('5) Release_Track'!$G:$G,$B22)=0),"NO CATALOG ID MATCH in Release_Track",iserror(vlookup($A22&amp;$B22,'5) Release_Track'!$F:$F&amp;'5) Release_Track'!$G:$G,1,0)),"NO ISRC-CATALOG ID pair MATCH in Release_Track" )</f>
        <v/>
      </c>
      <c r="E22" s="125" t="str">
        <f t="array" ref="E22">ifs(and(isblank($A22),isblank($B22)),"", not(iserror(vlookup($A22&amp;$B22,'5) Release_Track'!$F:$F&amp;'5) Release_Track'!$G:$G,1,0))),vlookup($A22&amp;$B22,{'5) Release_Track'!$F:$F&amp;'5) Release_Track'!$G:$G,'5) Release_Track'!$J:$J},2,0), or(and(not(isblank($B22)),$B22=$B21,$A22&lt;&gt;$A21),and(not(isblank($A22)),$A22=$A21,$B22&lt;&gt;$B21)),"ID LISTS UNALIGNED",and($A22&lt;&gt;"",countif('5) Release_Track'!$F:$F,$A22)=0),"NO ISRC MATCH in Release_Track",and($B22&lt;&gt;"",countif('5) Release_Track'!$G:$G,$B22)=0),"NO CATALOG ID MATCH in Release_Track",iserror(vlookup($A22&amp;$B22,'5) Release_Track'!$F:$F&amp;'5) Release_Track'!$G:$G,1,0)),"NO ISRC-CATALOG ID pair MATCH in Release_Track" )</f>
        <v>Punjabi</v>
      </c>
      <c r="F22" s="51" t="s">
        <v>47</v>
      </c>
      <c r="G22" s="122" t="s">
        <v>570</v>
      </c>
      <c r="H22" s="174">
        <v>1.0</v>
      </c>
      <c r="I22" s="175">
        <f t="shared" si="1"/>
        <v>1</v>
      </c>
      <c r="J22" s="8" t="s">
        <v>571</v>
      </c>
      <c r="K22" s="176" t="s">
        <v>140</v>
      </c>
      <c r="M22" s="99">
        <f t="shared" si="2"/>
        <v>1</v>
      </c>
    </row>
    <row r="23">
      <c r="A23" s="51" t="s">
        <v>413</v>
      </c>
      <c r="B23" s="103"/>
      <c r="C23" s="121" t="str">
        <f t="array" ref="C23">ifs(and(isblank($A23),isblank($B23)),"", not(iserror(vlookup($A23&amp;$B23,'5) Release_Track'!$F:$F&amp;'5) Release_Track'!$G:$G,1,0))),vlookup($A23&amp;$B23,{'5) Release_Track'!$F:$F&amp;'5) Release_Track'!$G:$G,'5) Release_Track'!$H:$H},2,0), or(and(not(isblank($B23)),$B23=$B22,$A23&lt;&gt;$A22),and(not(isblank($A23)),$A23=$A22,$B23&lt;&gt;$B22)),"ID LISTS UNALIGNED",and($A23&lt;&gt;"",countif('5) Release_Track'!$F:$F,$A23)=0),"NO ISRC MATCH in Release_Track",and($B23&lt;&gt;"",countif('5) Release_Track'!$G:$G,$B23)=0),"NO CATALOG ID MATCH in Release_Track",iserror(vlookup($A23&amp;$B23,'5) Release_Track'!$F:$F&amp;'5) Release_Track'!$G:$G,1,0)),"NO ISRC-CATALOG ID pair MATCH in Release_Track" )</f>
        <v>Heerey</v>
      </c>
      <c r="D23" s="121" t="str">
        <f t="array" ref="D23">ifs(and(isblank($A23),isblank($B23)),"", not(iserror(vlookup($A23&amp;$B23,'5) Release_Track'!$F:$F&amp;'5) Release_Track'!$G:$G,1,0))),vlookup($A23&amp;$B23,{'5) Release_Track'!$F:$F&amp;'5) Release_Track'!$G:$G,'5) Release_Track'!$I:$I},2,0), or(and(not(isblank($B23)),$B23=$B22,$A23&lt;&gt;$A22),and(not(isblank($A23)),$A23=$A22,$B23&lt;&gt;$B22)),"ID LISTS UNALIGNED",and($A23&lt;&gt;"",countif('5) Release_Track'!$F:$F,$A23)=0),"NO ISRC MATCH in Release_Track",and($B23&lt;&gt;"",countif('5) Release_Track'!$G:$G,$B23)=0),"NO CATALOG ID MATCH in Release_Track",iserror(vlookup($A23&amp;$B23,'5) Release_Track'!$F:$F&amp;'5) Release_Track'!$G:$G,1,0)),"NO ISRC-CATALOG ID pair MATCH in Release_Track" )</f>
        <v/>
      </c>
      <c r="E23" s="125" t="str">
        <f t="array" ref="E23">ifs(and(isblank($A23),isblank($B23)),"", not(iserror(vlookup($A23&amp;$B23,'5) Release_Track'!$F:$F&amp;'5) Release_Track'!$G:$G,1,0))),vlookup($A23&amp;$B23,{'5) Release_Track'!$F:$F&amp;'5) Release_Track'!$G:$G,'5) Release_Track'!$J:$J},2,0), or(and(not(isblank($B23)),$B23=$B22,$A23&lt;&gt;$A22),and(not(isblank($A23)),$A23=$A22,$B23&lt;&gt;$B22)),"ID LISTS UNALIGNED",and($A23&lt;&gt;"",countif('5) Release_Track'!$F:$F,$A23)=0),"NO ISRC MATCH in Release_Track",and($B23&lt;&gt;"",countif('5) Release_Track'!$G:$G,$B23)=0),"NO CATALOG ID MATCH in Release_Track",iserror(vlookup($A23&amp;$B23,'5) Release_Track'!$F:$F&amp;'5) Release_Track'!$G:$G,1,0)),"NO ISRC-CATALOG ID pair MATCH in Release_Track" )</f>
        <v>Punjabi</v>
      </c>
      <c r="F23" s="51" t="s">
        <v>51</v>
      </c>
      <c r="G23" s="122" t="s">
        <v>570</v>
      </c>
      <c r="H23" s="174">
        <v>1.0</v>
      </c>
      <c r="I23" s="175">
        <f t="shared" si="1"/>
        <v>1</v>
      </c>
      <c r="J23" s="8" t="s">
        <v>571</v>
      </c>
      <c r="K23" s="47" t="s">
        <v>140</v>
      </c>
      <c r="M23" s="99">
        <f t="shared" si="2"/>
        <v>1</v>
      </c>
    </row>
    <row r="24">
      <c r="A24" s="51" t="s">
        <v>399</v>
      </c>
      <c r="B24" s="103"/>
      <c r="C24" s="121" t="str">
        <f t="array" ref="C24">ifs(and(isblank($A24),isblank($B24)),"", not(iserror(vlookup($A24&amp;$B24,'5) Release_Track'!$F:$F&amp;'5) Release_Track'!$G:$G,1,0))),vlookup($A24&amp;$B24,{'5) Release_Track'!$F:$F&amp;'5) Release_Track'!$G:$G,'5) Release_Track'!$H:$H},2,0), or(and(not(isblank($B24)),$B24=$B23,$A24&lt;&gt;$A23),and(not(isblank($A24)),$A24=$A23,$B24&lt;&gt;$B23)),"ID LISTS UNALIGNED",and($A24&lt;&gt;"",countif('5) Release_Track'!$F:$F,$A24)=0),"NO ISRC MATCH in Release_Track",and($B24&lt;&gt;"",countif('5) Release_Track'!$G:$G,$B24)=0),"NO CATALOG ID MATCH in Release_Track",iserror(vlookup($A24&amp;$B24,'5) Release_Track'!$F:$F&amp;'5) Release_Track'!$G:$G,1,0)),"NO ISRC-CATALOG ID pair MATCH in Release_Track" )</f>
        <v>Janjhan (From "Lahoriye" Soundtrack)</v>
      </c>
      <c r="D24" s="121" t="str">
        <f t="array" ref="D24">ifs(and(isblank($A24),isblank($B24)),"", not(iserror(vlookup($A24&amp;$B24,'5) Release_Track'!$F:$F&amp;'5) Release_Track'!$G:$G,1,0))),vlookup($A24&amp;$B24,{'5) Release_Track'!$F:$F&amp;'5) Release_Track'!$G:$G,'5) Release_Track'!$I:$I},2,0), or(and(not(isblank($B24)),$B24=$B23,$A24&lt;&gt;$A23),and(not(isblank($A24)),$A24=$A23,$B24&lt;&gt;$B23)),"ID LISTS UNALIGNED",and($A24&lt;&gt;"",countif('5) Release_Track'!$F:$F,$A24)=0),"NO ISRC MATCH in Release_Track",and($B24&lt;&gt;"",countif('5) Release_Track'!$G:$G,$B24)=0),"NO CATALOG ID MATCH in Release_Track",iserror(vlookup($A24&amp;$B24,'5) Release_Track'!$F:$F&amp;'5) Release_Track'!$G:$G,1,0)),"NO ISRC-CATALOG ID pair MATCH in Release_Track" )</f>
        <v/>
      </c>
      <c r="E24" s="125" t="str">
        <f t="array" ref="E24">ifs(and(isblank($A24),isblank($B24)),"", not(iserror(vlookup($A24&amp;$B24,'5) Release_Track'!$F:$F&amp;'5) Release_Track'!$G:$G,1,0))),vlookup($A24&amp;$B24,{'5) Release_Track'!$F:$F&amp;'5) Release_Track'!$G:$G,'5) Release_Track'!$J:$J},2,0), or(and(not(isblank($B24)),$B24=$B23,$A24&lt;&gt;$A23),and(not(isblank($A24)),$A24=$A23,$B24&lt;&gt;$B23)),"ID LISTS UNALIGNED",and($A24&lt;&gt;"",countif('5) Release_Track'!$F:$F,$A24)=0),"NO ISRC MATCH in Release_Track",and($B24&lt;&gt;"",countif('5) Release_Track'!$G:$G,$B24)=0),"NO CATALOG ID MATCH in Release_Track",iserror(vlookup($A24&amp;$B24,'5) Release_Track'!$F:$F&amp;'5) Release_Track'!$G:$G,1,0)),"NO ISRC-CATALOG ID pair MATCH in Release_Track" )</f>
        <v>Punjabi</v>
      </c>
      <c r="F24" s="51" t="s">
        <v>51</v>
      </c>
      <c r="G24" s="122" t="s">
        <v>570</v>
      </c>
      <c r="H24" s="174">
        <v>1.0</v>
      </c>
      <c r="I24" s="175">
        <f t="shared" si="1"/>
        <v>1</v>
      </c>
      <c r="J24" s="8" t="s">
        <v>571</v>
      </c>
      <c r="K24" s="47" t="s">
        <v>140</v>
      </c>
      <c r="M24" s="99">
        <f t="shared" si="2"/>
        <v>1</v>
      </c>
    </row>
    <row r="25">
      <c r="A25" s="51" t="s">
        <v>401</v>
      </c>
      <c r="B25" s="103"/>
      <c r="C25" s="121" t="str">
        <f t="array" ref="C25">ifs(and(isblank($A25),isblank($B25)),"", not(iserror(vlookup($A25&amp;$B25,'5) Release_Track'!$F:$F&amp;'5) Release_Track'!$G:$G,1,0))),vlookup($A25&amp;$B25,{'5) Release_Track'!$F:$F&amp;'5) Release_Track'!$G:$G,'5) Release_Track'!$H:$H},2,0), or(and(not(isblank($B25)),$B25=$B24,$A25&lt;&gt;$A24),and(not(isblank($A25)),$A25=$A24,$B25&lt;&gt;$B24)),"ID LISTS UNALIGNED",and($A25&lt;&gt;"",countif('5) Release_Track'!$F:$F,$A25)=0),"NO ISRC MATCH in Release_Track",and($B25&lt;&gt;"",countif('5) Release_Track'!$G:$G,$B25)=0),"NO CATALOG ID MATCH in Release_Track",iserror(vlookup($A25&amp;$B25,'5) Release_Track'!$F:$F&amp;'5) Release_Track'!$G:$G,1,0)),"NO ISRC-CATALOG ID pair MATCH in Release_Track" )</f>
        <v>Jeeondean Ch (From "Lahoriye" Soundtrack)</v>
      </c>
      <c r="D25" s="121" t="str">
        <f t="array" ref="D25">ifs(and(isblank($A25),isblank($B25)),"", not(iserror(vlookup($A25&amp;$B25,'5) Release_Track'!$F:$F&amp;'5) Release_Track'!$G:$G,1,0))),vlookup($A25&amp;$B25,{'5) Release_Track'!$F:$F&amp;'5) Release_Track'!$G:$G,'5) Release_Track'!$I:$I},2,0), or(and(not(isblank($B25)),$B25=$B24,$A25&lt;&gt;$A24),and(not(isblank($A25)),$A25=$A24,$B25&lt;&gt;$B24)),"ID LISTS UNALIGNED",and($A25&lt;&gt;"",countif('5) Release_Track'!$F:$F,$A25)=0),"NO ISRC MATCH in Release_Track",and($B25&lt;&gt;"",countif('5) Release_Track'!$G:$G,$B25)=0),"NO CATALOG ID MATCH in Release_Track",iserror(vlookup($A25&amp;$B25,'5) Release_Track'!$F:$F&amp;'5) Release_Track'!$G:$G,1,0)),"NO ISRC-CATALOG ID pair MATCH in Release_Track" )</f>
        <v/>
      </c>
      <c r="E25" s="125" t="str">
        <f t="array" ref="E25">ifs(and(isblank($A25),isblank($B25)),"", not(iserror(vlookup($A25&amp;$B25,'5) Release_Track'!$F:$F&amp;'5) Release_Track'!$G:$G,1,0))),vlookup($A25&amp;$B25,{'5) Release_Track'!$F:$F&amp;'5) Release_Track'!$G:$G,'5) Release_Track'!$J:$J},2,0), or(and(not(isblank($B25)),$B25=$B24,$A25&lt;&gt;$A24),and(not(isblank($A25)),$A25=$A24,$B25&lt;&gt;$B24)),"ID LISTS UNALIGNED",and($A25&lt;&gt;"",countif('5) Release_Track'!$F:$F,$A25)=0),"NO ISRC MATCH in Release_Track",and($B25&lt;&gt;"",countif('5) Release_Track'!$G:$G,$B25)=0),"NO CATALOG ID MATCH in Release_Track",iserror(vlookup($A25&amp;$B25,'5) Release_Track'!$F:$F&amp;'5) Release_Track'!$G:$G,1,0)),"NO ISRC-CATALOG ID pair MATCH in Release_Track" )</f>
        <v>Punjabi</v>
      </c>
      <c r="F25" s="51" t="s">
        <v>51</v>
      </c>
      <c r="G25" s="122" t="s">
        <v>570</v>
      </c>
      <c r="H25" s="174">
        <v>1.0</v>
      </c>
      <c r="I25" s="175">
        <f t="shared" si="1"/>
        <v>1</v>
      </c>
      <c r="J25" s="8" t="s">
        <v>571</v>
      </c>
      <c r="K25" s="176" t="s">
        <v>140</v>
      </c>
      <c r="M25" s="99">
        <f t="shared" si="2"/>
        <v>1</v>
      </c>
    </row>
    <row r="26">
      <c r="A26" s="51" t="s">
        <v>403</v>
      </c>
      <c r="B26" s="103"/>
      <c r="C26" s="121" t="str">
        <f t="array" ref="C26">ifs(and(isblank($A26),isblank($B26)),"", not(iserror(vlookup($A26&amp;$B26,'5) Release_Track'!$F:$F&amp;'5) Release_Track'!$G:$G,1,0))),vlookup($A26&amp;$B26,{'5) Release_Track'!$F:$F&amp;'5) Release_Track'!$G:$G,'5) Release_Track'!$H:$H},2,0), or(and(not(isblank($B26)),$B26=$B25,$A26&lt;&gt;$A25),and(not(isblank($A26)),$A26=$A25,$B26&lt;&gt;$B25)),"ID LISTS UNALIGNED",and($A26&lt;&gt;"",countif('5) Release_Track'!$F:$F,$A26)=0),"NO ISRC MATCH in Release_Track",and($B26&lt;&gt;"",countif('5) Release_Track'!$G:$G,$B26)=0),"NO CATALOG ID MATCH in Release_Track",iserror(vlookup($A26&amp;$B26,'5) Release_Track'!$F:$F&amp;'5) Release_Track'!$G:$G,1,0)),"NO ISRC-CATALOG ID pair MATCH in Release_Track" )</f>
        <v>Jind (From "Bambukat" Soundtrack)</v>
      </c>
      <c r="D26" s="121" t="str">
        <f t="array" ref="D26">ifs(and(isblank($A26),isblank($B26)),"", not(iserror(vlookup($A26&amp;$B26,'5) Release_Track'!$F:$F&amp;'5) Release_Track'!$G:$G,1,0))),vlookup($A26&amp;$B26,{'5) Release_Track'!$F:$F&amp;'5) Release_Track'!$G:$G,'5) Release_Track'!$I:$I},2,0), or(and(not(isblank($B26)),$B26=$B25,$A26&lt;&gt;$A25),and(not(isblank($A26)),$A26=$A25,$B26&lt;&gt;$B25)),"ID LISTS UNALIGNED",and($A26&lt;&gt;"",countif('5) Release_Track'!$F:$F,$A26)=0),"NO ISRC MATCH in Release_Track",and($B26&lt;&gt;"",countif('5) Release_Track'!$G:$G,$B26)=0),"NO CATALOG ID MATCH in Release_Track",iserror(vlookup($A26&amp;$B26,'5) Release_Track'!$F:$F&amp;'5) Release_Track'!$G:$G,1,0)),"NO ISRC-CATALOG ID pair MATCH in Release_Track" )</f>
        <v/>
      </c>
      <c r="E26" s="125" t="str">
        <f t="array" ref="E26">ifs(and(isblank($A26),isblank($B26)),"", not(iserror(vlookup($A26&amp;$B26,'5) Release_Track'!$F:$F&amp;'5) Release_Track'!$G:$G,1,0))),vlookup($A26&amp;$B26,{'5) Release_Track'!$F:$F&amp;'5) Release_Track'!$G:$G,'5) Release_Track'!$J:$J},2,0), or(and(not(isblank($B26)),$B26=$B25,$A26&lt;&gt;$A25),and(not(isblank($A26)),$A26=$A25,$B26&lt;&gt;$B25)),"ID LISTS UNALIGNED",and($A26&lt;&gt;"",countif('5) Release_Track'!$F:$F,$A26)=0),"NO ISRC MATCH in Release_Track",and($B26&lt;&gt;"",countif('5) Release_Track'!$G:$G,$B26)=0),"NO CATALOG ID MATCH in Release_Track",iserror(vlookup($A26&amp;$B26,'5) Release_Track'!$F:$F&amp;'5) Release_Track'!$G:$G,1,0)),"NO ISRC-CATALOG ID pair MATCH in Release_Track" )</f>
        <v>Punjabi</v>
      </c>
      <c r="F26" s="51" t="s">
        <v>51</v>
      </c>
      <c r="G26" s="122" t="s">
        <v>570</v>
      </c>
      <c r="H26" s="174">
        <v>1.0</v>
      </c>
      <c r="I26" s="175">
        <f t="shared" si="1"/>
        <v>1</v>
      </c>
      <c r="J26" s="8" t="s">
        <v>571</v>
      </c>
      <c r="K26" s="176" t="s">
        <v>140</v>
      </c>
      <c r="M26" s="99">
        <f t="shared" si="2"/>
        <v>1</v>
      </c>
    </row>
    <row r="27">
      <c r="A27" s="51" t="s">
        <v>405</v>
      </c>
      <c r="B27" s="103"/>
      <c r="C27" s="121" t="str">
        <f t="array" ref="C27">ifs(and(isblank($A27),isblank($B27)),"", not(iserror(vlookup($A27&amp;$B27,'5) Release_Track'!$F:$F&amp;'5) Release_Track'!$G:$G,1,0))),vlookup($A27&amp;$B27,{'5) Release_Track'!$F:$F&amp;'5) Release_Track'!$G:$G,'5) Release_Track'!$H:$H},2,0), or(and(not(isblank($B27)),$B27=$B26,$A27&lt;&gt;$A26),and(not(isblank($A27)),$A27=$A26,$B27&lt;&gt;$B26)),"ID LISTS UNALIGNED",and($A27&lt;&gt;"",countif('5) Release_Track'!$F:$F,$A27)=0),"NO ISRC MATCH in Release_Track",and($B27&lt;&gt;"",countif('5) Release_Track'!$G:$G,$B27)=0),"NO CATALOG ID MATCH in Release_Track",iserror(vlookup($A27&amp;$B27,'5) Release_Track'!$F:$F&amp;'5) Release_Track'!$G:$G,1,0)),"NO ISRC-CATALOG ID pair MATCH in Release_Track" )</f>
        <v>Kainthe Wala (From "Bambukat" Soundtrack)</v>
      </c>
      <c r="D27" s="121" t="str">
        <f t="array" ref="D27">ifs(and(isblank($A27),isblank($B27)),"", not(iserror(vlookup($A27&amp;$B27,'5) Release_Track'!$F:$F&amp;'5) Release_Track'!$G:$G,1,0))),vlookup($A27&amp;$B27,{'5) Release_Track'!$F:$F&amp;'5) Release_Track'!$G:$G,'5) Release_Track'!$I:$I},2,0), or(and(not(isblank($B27)),$B27=$B26,$A27&lt;&gt;$A26),and(not(isblank($A27)),$A27=$A26,$B27&lt;&gt;$B26)),"ID LISTS UNALIGNED",and($A27&lt;&gt;"",countif('5) Release_Track'!$F:$F,$A27)=0),"NO ISRC MATCH in Release_Track",and($B27&lt;&gt;"",countif('5) Release_Track'!$G:$G,$B27)=0),"NO CATALOG ID MATCH in Release_Track",iserror(vlookup($A27&amp;$B27,'5) Release_Track'!$F:$F&amp;'5) Release_Track'!$G:$G,1,0)),"NO ISRC-CATALOG ID pair MATCH in Release_Track" )</f>
        <v/>
      </c>
      <c r="E27" s="125" t="str">
        <f t="array" ref="E27">ifs(and(isblank($A27),isblank($B27)),"", not(iserror(vlookup($A27&amp;$B27,'5) Release_Track'!$F:$F&amp;'5) Release_Track'!$G:$G,1,0))),vlookup($A27&amp;$B27,{'5) Release_Track'!$F:$F&amp;'5) Release_Track'!$G:$G,'5) Release_Track'!$J:$J},2,0), or(and(not(isblank($B27)),$B27=$B26,$A27&lt;&gt;$A26),and(not(isblank($A27)),$A27=$A26,$B27&lt;&gt;$B26)),"ID LISTS UNALIGNED",and($A27&lt;&gt;"",countif('5) Release_Track'!$F:$F,$A27)=0),"NO ISRC MATCH in Release_Track",and($B27&lt;&gt;"",countif('5) Release_Track'!$G:$G,$B27)=0),"NO CATALOG ID MATCH in Release_Track",iserror(vlookup($A27&amp;$B27,'5) Release_Track'!$F:$F&amp;'5) Release_Track'!$G:$G,1,0)),"NO ISRC-CATALOG ID pair MATCH in Release_Track" )</f>
        <v>Punjabi</v>
      </c>
      <c r="F27" s="51" t="s">
        <v>51</v>
      </c>
      <c r="G27" s="122" t="s">
        <v>570</v>
      </c>
      <c r="H27" s="174">
        <v>1.0</v>
      </c>
      <c r="I27" s="175">
        <f t="shared" si="1"/>
        <v>1</v>
      </c>
      <c r="J27" s="8" t="s">
        <v>571</v>
      </c>
      <c r="K27" s="47" t="s">
        <v>140</v>
      </c>
      <c r="M27" s="99">
        <f t="shared" si="2"/>
        <v>1</v>
      </c>
    </row>
    <row r="28">
      <c r="A28" s="51" t="s">
        <v>407</v>
      </c>
      <c r="B28" s="103"/>
      <c r="C28" s="121" t="str">
        <f t="array" ref="C28">ifs(and(isblank($A28),isblank($B28)),"", not(iserror(vlookup($A28&amp;$B28,'5) Release_Track'!$F:$F&amp;'5) Release_Track'!$G:$G,1,0))),vlookup($A28&amp;$B28,{'5) Release_Track'!$F:$F&amp;'5) Release_Track'!$G:$G,'5) Release_Track'!$H:$H},2,0), or(and(not(isblank($B28)),$B28=$B27,$A28&lt;&gt;$A27),and(not(isblank($A28)),$A28=$A27,$B28&lt;&gt;$B27)),"ID LISTS UNALIGNED",and($A28&lt;&gt;"",countif('5) Release_Track'!$F:$F,$A28)=0),"NO ISRC MATCH in Release_Track",and($B28&lt;&gt;"",countif('5) Release_Track'!$G:$G,$B28)=0),"NO CATALOG ID MATCH in Release_Track",iserror(vlookup($A28&amp;$B28,'5) Release_Track'!$F:$F&amp;'5) Release_Track'!$G:$G,1,0)),"NO ISRC-CATALOG ID pair MATCH in Release_Track" )</f>
        <v>Kanda Kacheya Ne (From "Daana Paani" Soundtrack)</v>
      </c>
      <c r="D28" s="121" t="str">
        <f t="array" ref="D28">ifs(and(isblank($A28),isblank($B28)),"", not(iserror(vlookup($A28&amp;$B28,'5) Release_Track'!$F:$F&amp;'5) Release_Track'!$G:$G,1,0))),vlookup($A28&amp;$B28,{'5) Release_Track'!$F:$F&amp;'5) Release_Track'!$G:$G,'5) Release_Track'!$I:$I},2,0), or(and(not(isblank($B28)),$B28=$B27,$A28&lt;&gt;$A27),and(not(isblank($A28)),$A28=$A27,$B28&lt;&gt;$B27)),"ID LISTS UNALIGNED",and($A28&lt;&gt;"",countif('5) Release_Track'!$F:$F,$A28)=0),"NO ISRC MATCH in Release_Track",and($B28&lt;&gt;"",countif('5) Release_Track'!$G:$G,$B28)=0),"NO CATALOG ID MATCH in Release_Track",iserror(vlookup($A28&amp;$B28,'5) Release_Track'!$F:$F&amp;'5) Release_Track'!$G:$G,1,0)),"NO ISRC-CATALOG ID pair MATCH in Release_Track" )</f>
        <v/>
      </c>
      <c r="E28" s="125" t="str">
        <f t="array" ref="E28">ifs(and(isblank($A28),isblank($B28)),"", not(iserror(vlookup($A28&amp;$B28,'5) Release_Track'!$F:$F&amp;'5) Release_Track'!$G:$G,1,0))),vlookup($A28&amp;$B28,{'5) Release_Track'!$F:$F&amp;'5) Release_Track'!$G:$G,'5) Release_Track'!$J:$J},2,0), or(and(not(isblank($B28)),$B28=$B27,$A28&lt;&gt;$A27),and(not(isblank($A28)),$A28=$A27,$B28&lt;&gt;$B27)),"ID LISTS UNALIGNED",and($A28&lt;&gt;"",countif('5) Release_Track'!$F:$F,$A28)=0),"NO ISRC MATCH in Release_Track",and($B28&lt;&gt;"",countif('5) Release_Track'!$G:$G,$B28)=0),"NO CATALOG ID MATCH in Release_Track",iserror(vlookup($A28&amp;$B28,'5) Release_Track'!$F:$F&amp;'5) Release_Track'!$G:$G,1,0)),"NO ISRC-CATALOG ID pair MATCH in Release_Track" )</f>
        <v>Punjabi</v>
      </c>
      <c r="F28" s="51" t="s">
        <v>73</v>
      </c>
      <c r="G28" s="122" t="s">
        <v>570</v>
      </c>
      <c r="H28" s="174">
        <v>1.0</v>
      </c>
      <c r="I28" s="175">
        <f t="shared" si="1"/>
        <v>1</v>
      </c>
      <c r="J28" s="8" t="s">
        <v>571</v>
      </c>
      <c r="K28" s="47" t="s">
        <v>140</v>
      </c>
      <c r="M28" s="99">
        <f t="shared" si="2"/>
        <v>1</v>
      </c>
    </row>
    <row r="29">
      <c r="A29" s="51" t="s">
        <v>409</v>
      </c>
      <c r="B29" s="103"/>
      <c r="C29" s="121" t="str">
        <f t="array" ref="C29">ifs(and(isblank($A29),isblank($B29)),"", not(iserror(vlookup($A29&amp;$B29,'5) Release_Track'!$F:$F&amp;'5) Release_Track'!$G:$G,1,0))),vlookup($A29&amp;$B29,{'5) Release_Track'!$F:$F&amp;'5) Release_Track'!$G:$G,'5) Release_Track'!$H:$H},2,0), or(and(not(isblank($B29)),$B29=#REF!,$A29&lt;&gt;#REF!),and(not(isblank($A29)),$A29=#REF!,$B29&lt;&gt;#REF!)),"ID LISTS UNALIGNED",and($A29&lt;&gt;"",countif('5) Release_Track'!$F:$F,$A29)=0),"NO ISRC MATCH in Release_Track",and($B29&lt;&gt;"",countif('5) Release_Track'!$G:$G,$B29)=0),"NO CATALOG ID MATCH in Release_Track",iserror(vlookup($A29&amp;$B29,'5) Release_Track'!$F:$F&amp;'5) Release_Track'!$G:$G,1,0)),"NO ISRC-CATALOG ID pair MATCH in Release_Track" )</f>
        <v>Lakh Vaari (From "Golak Bugni Bank Te Batua" Soundtrack)</v>
      </c>
      <c r="D29" s="121" t="str">
        <f t="array" ref="D29">ifs(and(isblank($A29),isblank($B29)),"", not(iserror(vlookup($A29&amp;$B29,'5) Release_Track'!$F:$F&amp;'5) Release_Track'!$G:$G,1,0))),vlookup($A29&amp;$B29,{'5) Release_Track'!$F:$F&amp;'5) Release_Track'!$G:$G,'5) Release_Track'!$I:$I},2,0), or(and(not(isblank($B29)),$B29=#REF!,$A29&lt;&gt;#REF!),and(not(isblank($A29)),$A29=#REF!,$B29&lt;&gt;#REF!)),"ID LISTS UNALIGNED",and($A29&lt;&gt;"",countif('5) Release_Track'!$F:$F,$A29)=0),"NO ISRC MATCH in Release_Track",and($B29&lt;&gt;"",countif('5) Release_Track'!$G:$G,$B29)=0),"NO CATALOG ID MATCH in Release_Track",iserror(vlookup($A29&amp;$B29,'5) Release_Track'!$F:$F&amp;'5) Release_Track'!$G:$G,1,0)),"NO ISRC-CATALOG ID pair MATCH in Release_Track" )</f>
        <v/>
      </c>
      <c r="E29" s="125" t="str">
        <f t="array" ref="E29">ifs(and(isblank($A29),isblank($B29)),"", not(iserror(vlookup($A29&amp;$B29,'5) Release_Track'!$F:$F&amp;'5) Release_Track'!$G:$G,1,0))),vlookup($A29&amp;$B29,{'5) Release_Track'!$F:$F&amp;'5) Release_Track'!$G:$G,'5) Release_Track'!$J:$J},2,0), or(and(not(isblank($B29)),$B29=$B28,$A29&lt;&gt;$A28),and(not(isblank($A29)),$A29=$A28,$B29&lt;&gt;$B28)),"ID LISTS UNALIGNED",and($A29&lt;&gt;"",countif('5) Release_Track'!$F:$F,$A29)=0),"NO ISRC MATCH in Release_Track",and($B29&lt;&gt;"",countif('5) Release_Track'!$G:$G,$B29)=0),"NO CATALOG ID MATCH in Release_Track",iserror(vlookup($A29&amp;$B29,'5) Release_Track'!$F:$F&amp;'5) Release_Track'!$G:$G,1,0)),"NO ISRC-CATALOG ID pair MATCH in Release_Track" )</f>
        <v>Punjabi</v>
      </c>
      <c r="F29" s="51" t="s">
        <v>51</v>
      </c>
      <c r="G29" s="122" t="s">
        <v>570</v>
      </c>
      <c r="H29" s="174">
        <v>1.0</v>
      </c>
      <c r="I29" s="175">
        <f t="shared" si="1"/>
        <v>1</v>
      </c>
      <c r="J29" s="8" t="s">
        <v>571</v>
      </c>
      <c r="K29" s="47" t="s">
        <v>140</v>
      </c>
      <c r="M29" s="99">
        <f t="shared" ref="M29:M84" si="3">COUNTIF(A29:A113,A29)</f>
        <v>1</v>
      </c>
    </row>
    <row r="30">
      <c r="A30" s="51" t="s">
        <v>411</v>
      </c>
      <c r="B30" s="120"/>
      <c r="C30" s="121" t="str">
        <f t="array" ref="C30">ifs(and(isblank($A30),isblank($B30)),"", not(iserror(vlookup($A30&amp;$B30,'5) Release_Track'!$F:$F&amp;'5) Release_Track'!$G:$G,1,0))),vlookup($A30&amp;$B30,{'5) Release_Track'!$F:$F&amp;'5) Release_Track'!$G:$G,'5) Release_Track'!$H:$H},2,0), or(and(not(isblank($B30)),$B30=$B29,$A30&lt;&gt;$A29),and(not(isblank($A30)),$A30=$A29,$B30&lt;&gt;$B29)),"ID LISTS UNALIGNED",and($A30&lt;&gt;"",countif('5) Release_Track'!$F:$F,$A30)=0),"NO ISRC MATCH in Release_Track",and($B30&lt;&gt;"",countif('5) Release_Track'!$G:$G,$B30)=0),"NO CATALOG ID MATCH in Release_Track",iserror(vlookup($A30&amp;$B30,'5) Release_Track'!$F:$F&amp;'5) Release_Track'!$G:$G,1,0)),"NO ISRC-CATALOG ID pair MATCH in Release_Track" )</f>
        <v>Langhe Paani (From "Bambukat" Soundtrack)</v>
      </c>
      <c r="D30" s="121" t="str">
        <f t="array" ref="D30">ifs(and(isblank($A30),isblank($B30)),"", not(iserror(vlookup($A30&amp;$B30,'5) Release_Track'!$F:$F&amp;'5) Release_Track'!$G:$G,1,0))),vlookup($A30&amp;$B30,{'5) Release_Track'!$F:$F&amp;'5) Release_Track'!$G:$G,'5) Release_Track'!$I:$I},2,0), or(and(not(isblank($B30)),$B30=$B29,$A30&lt;&gt;$A29),and(not(isblank($A30)),$A30=$A29,$B30&lt;&gt;$B29)),"ID LISTS UNALIGNED",and($A30&lt;&gt;"",countif('5) Release_Track'!$F:$F,$A30)=0),"NO ISRC MATCH in Release_Track",and($B30&lt;&gt;"",countif('5) Release_Track'!$G:$G,$B30)=0),"NO CATALOG ID MATCH in Release_Track",iserror(vlookup($A30&amp;$B30,'5) Release_Track'!$F:$F&amp;'5) Release_Track'!$G:$G,1,0)),"NO ISRC-CATALOG ID pair MATCH in Release_Track" )</f>
        <v/>
      </c>
      <c r="E30" s="125" t="str">
        <f t="array" ref="E30">ifs(and(isblank($A30),isblank($B30)),"", not(iserror(vlookup($A30&amp;$B30,'5) Release_Track'!$F:$F&amp;'5) Release_Track'!$G:$G,1,0))),vlookup($A30&amp;$B30,{'5) Release_Track'!$F:$F&amp;'5) Release_Track'!$G:$G,'5) Release_Track'!$J:$J},2,0), or(and(not(isblank($B30)),$B30=$B29,$A30&lt;&gt;$A29),and(not(isblank($A30)),$A30=$A29,$B30&lt;&gt;$B29)),"ID LISTS UNALIGNED",and($A30&lt;&gt;"",countif('5) Release_Track'!$F:$F,$A30)=0),"NO ISRC MATCH in Release_Track",and($B30&lt;&gt;"",countif('5) Release_Track'!$G:$G,$B30)=0),"NO CATALOG ID MATCH in Release_Track",iserror(vlookup($A30&amp;$B30,'5) Release_Track'!$F:$F&amp;'5) Release_Track'!$G:$G,1,0)),"NO ISRC-CATALOG ID pair MATCH in Release_Track" )</f>
        <v>Punjabi</v>
      </c>
      <c r="F30" s="51" t="s">
        <v>51</v>
      </c>
      <c r="G30" s="122" t="s">
        <v>570</v>
      </c>
      <c r="H30" s="174">
        <v>1.0</v>
      </c>
      <c r="I30" s="175">
        <f t="shared" si="1"/>
        <v>1</v>
      </c>
      <c r="J30" s="8" t="s">
        <v>571</v>
      </c>
      <c r="K30" s="34" t="s">
        <v>140</v>
      </c>
      <c r="M30" s="99">
        <f t="shared" si="3"/>
        <v>1</v>
      </c>
    </row>
    <row r="31">
      <c r="A31" s="51" t="s">
        <v>416</v>
      </c>
      <c r="B31" s="103"/>
      <c r="C31" s="121" t="str">
        <f t="array" ref="C31">ifs(and(isblank($A31),isblank($B31)),"", not(iserror(vlookup($A31&amp;$B31,'5) Release_Track'!$F:$F&amp;'5) Release_Track'!$G:$G,1,0))),vlookup($A31&amp;$B31,{'5) Release_Track'!$F:$F&amp;'5) Release_Track'!$G:$G,'5) Release_Track'!$H:$H},2,0), or(and(not(isblank($B31)),$B31=$B30,$A31&lt;&gt;$A30),and(not(isblank($A31)),$A31=$A30,$B31&lt;&gt;$B30)),"ID LISTS UNALIGNED",and($A31&lt;&gt;"",countif('5) Release_Track'!$F:$F,$A31)=0),"NO ISRC MATCH in Release_Track",and($B31&lt;&gt;"",countif('5) Release_Track'!$G:$G,$B31)=0),"NO CATALOG ID MATCH in Release_Track",iserror(vlookup($A31&amp;$B31,'5) Release_Track'!$F:$F&amp;'5) Release_Track'!$G:$G,1,0)),"NO ISRC-CATALOG ID pair MATCH in Release_Track" )</f>
        <v>Shaan Vakhri</v>
      </c>
      <c r="D31" s="121" t="str">
        <f t="array" ref="D31">ifs(and(isblank($A31),isblank($B31)),"", not(iserror(vlookup($A31&amp;$B31,'5) Release_Track'!$F:$F&amp;'5) Release_Track'!$G:$G,1,0))),vlookup($A31&amp;$B31,{'5) Release_Track'!$F:$F&amp;'5) Release_Track'!$G:$G,'5) Release_Track'!$I:$I},2,0), or(and(not(isblank($B31)),$B31=$B30,$A31&lt;&gt;$A30),and(not(isblank($A31)),$A31=$A30,$B31&lt;&gt;$B30)),"ID LISTS UNALIGNED",and($A31&lt;&gt;"",countif('5) Release_Track'!$F:$F,$A31)=0),"NO ISRC MATCH in Release_Track",and($B31&lt;&gt;"",countif('5) Release_Track'!$G:$G,$B31)=0),"NO CATALOG ID MATCH in Release_Track",iserror(vlookup($A31&amp;$B31,'5) Release_Track'!$F:$F&amp;'5) Release_Track'!$G:$G,1,0)),"NO ISRC-CATALOG ID pair MATCH in Release_Track" )</f>
        <v/>
      </c>
      <c r="E31" s="125" t="str">
        <f t="array" ref="E31">ifs(and(isblank($A31),isblank($B31)),"", not(iserror(vlookup($A31&amp;$B31,'5) Release_Track'!$F:$F&amp;'5) Release_Track'!$G:$G,1,0))),vlookup($A31&amp;$B31,{'5) Release_Track'!$F:$F&amp;'5) Release_Track'!$G:$G,'5) Release_Track'!$J:$J},2,0), or(and(not(isblank($B31)),$B31=$B30,$A31&lt;&gt;$A30),and(not(isblank($A31)),$A31=$A30,$B31&lt;&gt;$B30)),"ID LISTS UNALIGNED",and($A31&lt;&gt;"",countif('5) Release_Track'!$F:$F,$A31)=0),"NO ISRC MATCH in Release_Track",and($B31&lt;&gt;"",countif('5) Release_Track'!$G:$G,$B31)=0),"NO CATALOG ID MATCH in Release_Track",iserror(vlookup($A31&amp;$B31,'5) Release_Track'!$F:$F&amp;'5) Release_Track'!$G:$G,1,0)),"NO ISRC-CATALOG ID pair MATCH in Release_Track" )</f>
        <v>Punjabi</v>
      </c>
      <c r="F31" s="51" t="s">
        <v>51</v>
      </c>
      <c r="G31" s="122" t="s">
        <v>570</v>
      </c>
      <c r="H31" s="174">
        <v>1.0</v>
      </c>
      <c r="I31" s="175">
        <f t="shared" si="1"/>
        <v>1</v>
      </c>
      <c r="J31" s="8" t="s">
        <v>571</v>
      </c>
      <c r="K31" s="34" t="s">
        <v>140</v>
      </c>
      <c r="M31" s="99">
        <f t="shared" si="3"/>
        <v>1</v>
      </c>
    </row>
    <row r="32">
      <c r="A32" s="51" t="s">
        <v>419</v>
      </c>
      <c r="B32" s="103"/>
      <c r="C32" s="121" t="str">
        <f t="array" ref="C32">ifs(and(isblank($A32),isblank($B32)),"", not(iserror(vlookup($A32&amp;$B32,'5) Release_Track'!$F:$F&amp;'5) Release_Track'!$G:$G,1,0))),vlookup($A32&amp;$B32,{'5) Release_Track'!$F:$F&amp;'5) Release_Track'!$G:$G,'5) Release_Track'!$H:$H},2,0), or(and(not(isblank($B32)),$B32=$B31,$A32&lt;&gt;$A31),and(not(isblank($A32)),$A32=$A31,$B32&lt;&gt;$B31)),"ID LISTS UNALIGNED",and($A32&lt;&gt;"",countif('5) Release_Track'!$F:$F,$A32)=0),"NO ISRC MATCH in Release_Track",and($B32&lt;&gt;"",countif('5) Release_Track'!$G:$G,$B32)=0),"NO CATALOG ID MATCH in Release_Track",iserror(vlookup($A32&amp;$B32,'5) Release_Track'!$F:$F&amp;'5) Release_Track'!$G:$G,1,0)),"NO ISRC-CATALOG ID pair MATCH in Release_Track" )</f>
        <v>Zindagi</v>
      </c>
      <c r="D32" s="121" t="str">
        <f t="array" ref="D32">ifs(and(isblank($A32),isblank($B32)),"", not(iserror(vlookup($A32&amp;$B32,'5) Release_Track'!$F:$F&amp;'5) Release_Track'!$G:$G,1,0))),vlookup($A32&amp;$B32,{'5) Release_Track'!$F:$F&amp;'5) Release_Track'!$G:$G,'5) Release_Track'!$I:$I},2,0), or(and(not(isblank($B32)),$B32=$B31,$A32&lt;&gt;$A31),and(not(isblank($A32)),$A32=$A31,$B32&lt;&gt;$B31)),"ID LISTS UNALIGNED",and($A32&lt;&gt;"",countif('5) Release_Track'!$F:$F,$A32)=0),"NO ISRC MATCH in Release_Track",and($B32&lt;&gt;"",countif('5) Release_Track'!$G:$G,$B32)=0),"NO CATALOG ID MATCH in Release_Track",iserror(vlookup($A32&amp;$B32,'5) Release_Track'!$F:$F&amp;'5) Release_Track'!$G:$G,1,0)),"NO ISRC-CATALOG ID pair MATCH in Release_Track" )</f>
        <v/>
      </c>
      <c r="E32" s="125" t="str">
        <f t="array" ref="E32">ifs(and(isblank($A32),isblank($B32)),"", not(iserror(vlookup($A32&amp;$B32,'5) Release_Track'!$F:$F&amp;'5) Release_Track'!$G:$G,1,0))),vlookup($A32&amp;$B32,{'5) Release_Track'!$F:$F&amp;'5) Release_Track'!$G:$G,'5) Release_Track'!$J:$J},2,0), or(and(not(isblank($B32)),$B32=$B31,$A32&lt;&gt;$A31),and(not(isblank($A32)),$A32=$A31,$B32&lt;&gt;$B31)),"ID LISTS UNALIGNED",and($A32&lt;&gt;"",countif('5) Release_Track'!$F:$F,$A32)=0),"NO ISRC MATCH in Release_Track",and($B32&lt;&gt;"",countif('5) Release_Track'!$G:$G,$B32)=0),"NO CATALOG ID MATCH in Release_Track",iserror(vlookup($A32&amp;$B32,'5) Release_Track'!$F:$F&amp;'5) Release_Track'!$G:$G,1,0)),"NO ISRC-CATALOG ID pair MATCH in Release_Track" )</f>
        <v>Punjabi</v>
      </c>
      <c r="F32" s="51" t="s">
        <v>51</v>
      </c>
      <c r="G32" s="122" t="s">
        <v>570</v>
      </c>
      <c r="H32" s="174">
        <v>1.0</v>
      </c>
      <c r="I32" s="175">
        <f t="shared" si="1"/>
        <v>1</v>
      </c>
      <c r="J32" s="8" t="s">
        <v>571</v>
      </c>
      <c r="K32" s="34" t="s">
        <v>140</v>
      </c>
      <c r="M32" s="99">
        <f t="shared" si="3"/>
        <v>1</v>
      </c>
    </row>
    <row r="33">
      <c r="A33" s="51" t="s">
        <v>422</v>
      </c>
      <c r="B33" s="103"/>
      <c r="C33" s="121" t="str">
        <f t="array" ref="C33">ifs(and(isblank($A33),isblank($B33)),"", not(iserror(vlookup($A33&amp;$B33,'5) Release_Track'!$F:$F&amp;'5) Release_Track'!$G:$G,1,0))),vlookup($A33&amp;$B33,{'5) Release_Track'!$F:$F&amp;'5) Release_Track'!$G:$G,'5) Release_Track'!$H:$H},2,0), or(and(not(isblank($B33)),$B33=$B32,$A33&lt;&gt;$A32),and(not(isblank($A33)),$A33=$A32,$B33&lt;&gt;$B32)),"ID LISTS UNALIGNED",and($A33&lt;&gt;"",countif('5) Release_Track'!$F:$F,$A33)=0),"NO ISRC MATCH in Release_Track",and($B33&lt;&gt;"",countif('5) Release_Track'!$G:$G,$B33)=0),"NO CATALOG ID MATCH in Release_Track",iserror(vlookup($A33&amp;$B33,'5) Release_Track'!$F:$F&amp;'5) Release_Track'!$G:$G,1,0)),"NO ISRC-CATALOG ID pair MATCH in Release_Track" )</f>
        <v>Goriyan Bhavaan</v>
      </c>
      <c r="D33" s="121" t="str">
        <f t="array" ref="D33">ifs(and(isblank($A33),isblank($B33)),"", not(iserror(vlookup($A33&amp;$B33,'5) Release_Track'!$F:$F&amp;'5) Release_Track'!$G:$G,1,0))),vlookup($A33&amp;$B33,{'5) Release_Track'!$F:$F&amp;'5) Release_Track'!$G:$G,'5) Release_Track'!$I:$I},2,0), or(and(not(isblank($B33)),$B33=$B32,$A33&lt;&gt;$A32),and(not(isblank($A33)),$A33=$A32,$B33&lt;&gt;$B32)),"ID LISTS UNALIGNED",and($A33&lt;&gt;"",countif('5) Release_Track'!$F:$F,$A33)=0),"NO ISRC MATCH in Release_Track",and($B33&lt;&gt;"",countif('5) Release_Track'!$G:$G,$B33)=0),"NO CATALOG ID MATCH in Release_Track",iserror(vlookup($A33&amp;$B33,'5) Release_Track'!$F:$F&amp;'5) Release_Track'!$G:$G,1,0)),"NO ISRC-CATALOG ID pair MATCH in Release_Track" )</f>
        <v/>
      </c>
      <c r="E33" s="125" t="str">
        <f t="array" ref="E33">ifs(and(isblank($A33),isblank($B33)),"", not(iserror(vlookup($A33&amp;$B33,'5) Release_Track'!$F:$F&amp;'5) Release_Track'!$G:$G,1,0))),vlookup($A33&amp;$B33,{'5) Release_Track'!$F:$F&amp;'5) Release_Track'!$G:$G,'5) Release_Track'!$J:$J},2,0), or(and(not(isblank($B33)),$B33=$B32,$A33&lt;&gt;$A32),and(not(isblank($A33)),$A33=$A32,$B33&lt;&gt;$B32)),"ID LISTS UNALIGNED",and($A33&lt;&gt;"",countif('5) Release_Track'!$F:$F,$A33)=0),"NO ISRC MATCH in Release_Track",and($B33&lt;&gt;"",countif('5) Release_Track'!$G:$G,$B33)=0),"NO CATALOG ID MATCH in Release_Track",iserror(vlookup($A33&amp;$B33,'5) Release_Track'!$F:$F&amp;'5) Release_Track'!$G:$G,1,0)),"NO ISRC-CATALOG ID pair MATCH in Release_Track" )</f>
        <v>Punjabi</v>
      </c>
      <c r="F33" s="51" t="s">
        <v>51</v>
      </c>
      <c r="G33" s="122" t="s">
        <v>570</v>
      </c>
      <c r="H33" s="174">
        <v>1.0</v>
      </c>
      <c r="I33" s="175">
        <f t="shared" si="1"/>
        <v>1</v>
      </c>
      <c r="J33" s="8" t="s">
        <v>571</v>
      </c>
      <c r="K33" s="34" t="s">
        <v>140</v>
      </c>
      <c r="M33" s="99">
        <f t="shared" si="3"/>
        <v>1</v>
      </c>
    </row>
    <row r="34">
      <c r="A34" s="51" t="s">
        <v>425</v>
      </c>
      <c r="B34" s="103"/>
      <c r="C34" s="121" t="str">
        <f t="array" ref="C34">ifs(and(isblank($A34),isblank($B34)),"", not(iserror(vlookup($A34&amp;$B34,'5) Release_Track'!$F:$F&amp;'5) Release_Track'!$G:$G,1,0))),vlookup($A34&amp;$B34,{'5) Release_Track'!$F:$F&amp;'5) Release_Track'!$G:$G,'5) Release_Track'!$H:$H},2,0), or(and(not(isblank($B34)),$B34=$B33,$A34&lt;&gt;$A33),and(not(isblank($A34)),$A34=$A33,$B34&lt;&gt;$B33)),"ID LISTS UNALIGNED",and($A34&lt;&gt;"",countif('5) Release_Track'!$F:$F,$A34)=0),"NO ISRC MATCH in Release_Track",and($B34&lt;&gt;"",countif('5) Release_Track'!$G:$G,$B34)=0),"NO CATALOG ID MATCH in Release_Track",iserror(vlookup($A34&amp;$B34,'5) Release_Track'!$F:$F&amp;'5) Release_Track'!$G:$G,1,0)),"NO ISRC-CATALOG ID pair MATCH in Release_Track" )</f>
        <v>Akhiyan De Taare</v>
      </c>
      <c r="D34" s="121" t="str">
        <f t="array" ref="D34">ifs(and(isblank($A34),isblank($B34)),"", not(iserror(vlookup($A34&amp;$B34,'5) Release_Track'!$F:$F&amp;'5) Release_Track'!$G:$G,1,0))),vlookup($A34&amp;$B34,{'5) Release_Track'!$F:$F&amp;'5) Release_Track'!$G:$G,'5) Release_Track'!$I:$I},2,0), or(and(not(isblank($B34)),$B34=$B33,$A34&lt;&gt;$A33),and(not(isblank($A34)),$A34=$A33,$B34&lt;&gt;$B33)),"ID LISTS UNALIGNED",and($A34&lt;&gt;"",countif('5) Release_Track'!$F:$F,$A34)=0),"NO ISRC MATCH in Release_Track",and($B34&lt;&gt;"",countif('5) Release_Track'!$G:$G,$B34)=0),"NO CATALOG ID MATCH in Release_Track",iserror(vlookup($A34&amp;$B34,'5) Release_Track'!$F:$F&amp;'5) Release_Track'!$G:$G,1,0)),"NO ISRC-CATALOG ID pair MATCH in Release_Track" )</f>
        <v/>
      </c>
      <c r="E34" s="125" t="str">
        <f t="array" ref="E34">ifs(and(isblank($A34),isblank($B34)),"", not(iserror(vlookup($A34&amp;$B34,'5) Release_Track'!$F:$F&amp;'5) Release_Track'!$G:$G,1,0))),vlookup($A34&amp;$B34,{'5) Release_Track'!$F:$F&amp;'5) Release_Track'!$G:$G,'5) Release_Track'!$J:$J},2,0), or(and(not(isblank($B34)),$B34=$B33,$A34&lt;&gt;$A33),and(not(isblank($A34)),$A34=$A33,$B34&lt;&gt;$B33)),"ID LISTS UNALIGNED",and($A34&lt;&gt;"",countif('5) Release_Track'!$F:$F,$A34)=0),"NO ISRC MATCH in Release_Track",and($B34&lt;&gt;"",countif('5) Release_Track'!$G:$G,$B34)=0),"NO CATALOG ID MATCH in Release_Track",iserror(vlookup($A34&amp;$B34,'5) Release_Track'!$F:$F&amp;'5) Release_Track'!$G:$G,1,0)),"NO ISRC-CATALOG ID pair MATCH in Release_Track" )</f>
        <v>Punjabi</v>
      </c>
      <c r="F34" s="51" t="s">
        <v>51</v>
      </c>
      <c r="G34" s="122" t="s">
        <v>570</v>
      </c>
      <c r="H34" s="174">
        <v>1.0</v>
      </c>
      <c r="I34" s="175">
        <f t="shared" si="1"/>
        <v>1</v>
      </c>
      <c r="J34" s="8" t="s">
        <v>571</v>
      </c>
      <c r="K34" s="34" t="s">
        <v>140</v>
      </c>
      <c r="M34" s="99">
        <f t="shared" si="3"/>
        <v>1</v>
      </c>
    </row>
    <row r="35">
      <c r="A35" s="51" t="s">
        <v>428</v>
      </c>
      <c r="B35" s="103"/>
      <c r="C35" s="121" t="str">
        <f t="array" ref="C35">ifs(and(isblank($A35),isblank($B35)),"", not(iserror(vlookup($A35&amp;$B35,'5) Release_Track'!$F:$F&amp;'5) Release_Track'!$G:$G,1,0))),vlookup($A35&amp;$B35,{'5) Release_Track'!$F:$F&amp;'5) Release_Track'!$G:$G,'5) Release_Track'!$H:$H},2,0), or(and(not(isblank($B35)),$B35=$B34,$A35&lt;&gt;$A34),and(not(isblank($A35)),$A35=$A34,$B35&lt;&gt;$B34)),"ID LISTS UNALIGNED",and($A35&lt;&gt;"",countif('5) Release_Track'!$F:$F,$A35)=0),"NO ISRC MATCH in Release_Track",and($B35&lt;&gt;"",countif('5) Release_Track'!$G:$G,$B35)=0),"NO CATALOG ID MATCH in Release_Track",iserror(vlookup($A35&amp;$B35,'5) Release_Track'!$F:$F&amp;'5) Release_Track'!$G:$G,1,0)),"NO ISRC-CATALOG ID pair MATCH in Release_Track" )</f>
        <v>Dovein Nain</v>
      </c>
      <c r="D35" s="121" t="str">
        <f t="array" ref="D35">ifs(and(isblank($A35),isblank($B35)),"", not(iserror(vlookup($A35&amp;$B35,'5) Release_Track'!$F:$F&amp;'5) Release_Track'!$G:$G,1,0))),vlookup($A35&amp;$B35,{'5) Release_Track'!$F:$F&amp;'5) Release_Track'!$G:$G,'5) Release_Track'!$I:$I},2,0), or(and(not(isblank($B35)),$B35=$B34,$A35&lt;&gt;$A34),and(not(isblank($A35)),$A35=$A34,$B35&lt;&gt;$B34)),"ID LISTS UNALIGNED",and($A35&lt;&gt;"",countif('5) Release_Track'!$F:$F,$A35)=0),"NO ISRC MATCH in Release_Track",and($B35&lt;&gt;"",countif('5) Release_Track'!$G:$G,$B35)=0),"NO CATALOG ID MATCH in Release_Track",iserror(vlookup($A35&amp;$B35,'5) Release_Track'!$F:$F&amp;'5) Release_Track'!$G:$G,1,0)),"NO ISRC-CATALOG ID pair MATCH in Release_Track" )</f>
        <v/>
      </c>
      <c r="E35" s="125" t="str">
        <f t="array" ref="E35">ifs(and(isblank($A35),isblank($B35)),"", not(iserror(vlookup($A35&amp;$B35,'5) Release_Track'!$F:$F&amp;'5) Release_Track'!$G:$G,1,0))),vlookup($A35&amp;$B35,{'5) Release_Track'!$F:$F&amp;'5) Release_Track'!$G:$G,'5) Release_Track'!$J:$J},2,0), or(and(not(isblank($B35)),$B35=$B34,$A35&lt;&gt;$A34),and(not(isblank($A35)),$A35=$A34,$B35&lt;&gt;$B34)),"ID LISTS UNALIGNED",and($A35&lt;&gt;"",countif('5) Release_Track'!$F:$F,$A35)=0),"NO ISRC MATCH in Release_Track",and($B35&lt;&gt;"",countif('5) Release_Track'!$G:$G,$B35)=0),"NO CATALOG ID MATCH in Release_Track",iserror(vlookup($A35&amp;$B35,'5) Release_Track'!$F:$F&amp;'5) Release_Track'!$G:$G,1,0)),"NO ISRC-CATALOG ID pair MATCH in Release_Track" )</f>
        <v>Punjabi</v>
      </c>
      <c r="F35" s="51" t="s">
        <v>51</v>
      </c>
      <c r="G35" s="122" t="s">
        <v>570</v>
      </c>
      <c r="H35" s="174">
        <v>1.0</v>
      </c>
      <c r="I35" s="175">
        <f t="shared" si="1"/>
        <v>1</v>
      </c>
      <c r="J35" s="8" t="s">
        <v>571</v>
      </c>
      <c r="K35" s="34" t="s">
        <v>140</v>
      </c>
      <c r="M35" s="99">
        <f t="shared" si="3"/>
        <v>1</v>
      </c>
    </row>
    <row r="36">
      <c r="A36" s="51" t="s">
        <v>431</v>
      </c>
      <c r="B36" s="103"/>
      <c r="C36" s="121" t="str">
        <f t="array" ref="C36">ifs(and(isblank($A36),isblank($B36)),"", not(iserror(vlookup($A36&amp;$B36,'5) Release_Track'!$F:$F&amp;'5) Release_Track'!$G:$G,1,0))),vlookup($A36&amp;$B36,{'5) Release_Track'!$F:$F&amp;'5) Release_Track'!$G:$G,'5) Release_Track'!$H:$H},2,0), or(and(not(isblank($B36)),$B36=$B35,$A36&lt;&gt;$A35),and(not(isblank($A36)),$A36=$A35,$B36&lt;&gt;$B35)),"ID LISTS UNALIGNED",and($A36&lt;&gt;"",countif('5) Release_Track'!$F:$F,$A36)=0),"NO ISRC MATCH in Release_Track",and($B36&lt;&gt;"",countif('5) Release_Track'!$G:$G,$B36)=0),"NO CATALOG ID MATCH in Release_Track",iserror(vlookup($A36&amp;$B36,'5) Release_Track'!$F:$F&amp;'5) Release_Track'!$G:$G,1,0)),"NO ISRC-CATALOG ID pair MATCH in Release_Track" )</f>
        <v>Des</v>
      </c>
      <c r="D36" s="121" t="str">
        <f t="array" ref="D36">ifs(and(isblank($A36),isblank($B36)),"", not(iserror(vlookup($A36&amp;$B36,'5) Release_Track'!$F:$F&amp;'5) Release_Track'!$G:$G,1,0))),vlookup($A36&amp;$B36,{'5) Release_Track'!$F:$F&amp;'5) Release_Track'!$G:$G,'5) Release_Track'!$I:$I},2,0), or(and(not(isblank($B36)),$B36=$B35,$A36&lt;&gt;$A35),and(not(isblank($A36)),$A36=$A35,$B36&lt;&gt;$B35)),"ID LISTS UNALIGNED",and($A36&lt;&gt;"",countif('5) Release_Track'!$F:$F,$A36)=0),"NO ISRC MATCH in Release_Track",and($B36&lt;&gt;"",countif('5) Release_Track'!$G:$G,$B36)=0),"NO CATALOG ID MATCH in Release_Track",iserror(vlookup($A36&amp;$B36,'5) Release_Track'!$F:$F&amp;'5) Release_Track'!$G:$G,1,0)),"NO ISRC-CATALOG ID pair MATCH in Release_Track" )</f>
        <v/>
      </c>
      <c r="E36" s="125" t="str">
        <f t="array" ref="E36">ifs(and(isblank($A36),isblank($B36)),"", not(iserror(vlookup($A36&amp;$B36,'5) Release_Track'!$F:$F&amp;'5) Release_Track'!$G:$G,1,0))),vlookup($A36&amp;$B36,{'5) Release_Track'!$F:$F&amp;'5) Release_Track'!$G:$G,'5) Release_Track'!$J:$J},2,0), or(and(not(isblank($B36)),$B36=$B35,$A36&lt;&gt;$A35),and(not(isblank($A36)),$A36=$A35,$B36&lt;&gt;$B35)),"ID LISTS UNALIGNED",and($A36&lt;&gt;"",countif('5) Release_Track'!$F:$F,$A36)=0),"NO ISRC MATCH in Release_Track",and($B36&lt;&gt;"",countif('5) Release_Track'!$G:$G,$B36)=0),"NO CATALOG ID MATCH in Release_Track",iserror(vlookup($A36&amp;$B36,'5) Release_Track'!$F:$F&amp;'5) Release_Track'!$G:$G,1,0)),"NO ISRC-CATALOG ID pair MATCH in Release_Track" )</f>
        <v>Punjabi</v>
      </c>
      <c r="F36" s="51" t="s">
        <v>51</v>
      </c>
      <c r="G36" s="122" t="s">
        <v>570</v>
      </c>
      <c r="H36" s="174">
        <v>1.0</v>
      </c>
      <c r="I36" s="175">
        <f t="shared" si="1"/>
        <v>1</v>
      </c>
      <c r="J36" s="8" t="s">
        <v>571</v>
      </c>
      <c r="K36" s="34" t="s">
        <v>140</v>
      </c>
      <c r="M36" s="99">
        <f t="shared" si="3"/>
        <v>1</v>
      </c>
    </row>
    <row r="37">
      <c r="A37" s="51" t="s">
        <v>434</v>
      </c>
      <c r="B37" s="103"/>
      <c r="C37" s="121" t="str">
        <f t="array" ref="C37">ifs(and(isblank($A37),isblank($B37)),"", not(iserror(vlookup($A37&amp;$B37,'5) Release_Track'!$F:$F&amp;'5) Release_Track'!$G:$G,1,0))),vlookup($A37&amp;$B37,{'5) Release_Track'!$F:$F&amp;'5) Release_Track'!$G:$G,'5) Release_Track'!$H:$H},2,0), or(and(not(isblank($B37)),$B37=$B36,$A37&lt;&gt;$A36),and(not(isblank($A37)),$A37=$A36,$B37&lt;&gt;$B36)),"ID LISTS UNALIGNED",and($A37&lt;&gt;"",countif('5) Release_Track'!$F:$F,$A37)=0),"NO ISRC MATCH in Release_Track",and($B37&lt;&gt;"",countif('5) Release_Track'!$G:$G,$B37)=0),"NO CATALOG ID MATCH in Release_Track",iserror(vlookup($A37&amp;$B37,'5) Release_Track'!$F:$F&amp;'5) Release_Track'!$G:$G,1,0)),"NO ISRC-CATALOG ID pair MATCH in Release_Track" )</f>
        <v>Maavan (From "Daana Paani" Soundtrack)</v>
      </c>
      <c r="D37" s="121" t="str">
        <f t="array" ref="D37">ifs(and(isblank($A37),isblank($B37)),"", not(iserror(vlookup($A37&amp;$B37,'5) Release_Track'!$F:$F&amp;'5) Release_Track'!$G:$G,1,0))),vlookup($A37&amp;$B37,{'5) Release_Track'!$F:$F&amp;'5) Release_Track'!$G:$G,'5) Release_Track'!$I:$I},2,0), or(and(not(isblank($B37)),$B37=$B36,$A37&lt;&gt;$A36),and(not(isblank($A37)),$A37=$A36,$B37&lt;&gt;$B36)),"ID LISTS UNALIGNED",and($A37&lt;&gt;"",countif('5) Release_Track'!$F:$F,$A37)=0),"NO ISRC MATCH in Release_Track",and($B37&lt;&gt;"",countif('5) Release_Track'!$G:$G,$B37)=0),"NO CATALOG ID MATCH in Release_Track",iserror(vlookup($A37&amp;$B37,'5) Release_Track'!$F:$F&amp;'5) Release_Track'!$G:$G,1,0)),"NO ISRC-CATALOG ID pair MATCH in Release_Track" )</f>
        <v/>
      </c>
      <c r="E37" s="125" t="str">
        <f t="array" ref="E37">ifs(and(isblank($A37),isblank($B37)),"", not(iserror(vlookup($A37&amp;$B37,'5) Release_Track'!$F:$F&amp;'5) Release_Track'!$G:$G,1,0))),vlookup($A37&amp;$B37,{'5) Release_Track'!$F:$F&amp;'5) Release_Track'!$G:$G,'5) Release_Track'!$J:$J},2,0), or(and(not(isblank($B37)),$B37=$B36,$A37&lt;&gt;$A36),and(not(isblank($A37)),$A37=$A36,$B37&lt;&gt;$B36)),"ID LISTS UNALIGNED",and($A37&lt;&gt;"",countif('5) Release_Track'!$F:$F,$A37)=0),"NO ISRC MATCH in Release_Track",and($B37&lt;&gt;"",countif('5) Release_Track'!$G:$G,$B37)=0),"NO CATALOG ID MATCH in Release_Track",iserror(vlookup($A37&amp;$B37,'5) Release_Track'!$F:$F&amp;'5) Release_Track'!$G:$G,1,0)),"NO ISRC-CATALOG ID pair MATCH in Release_Track" )</f>
        <v>Punjabi</v>
      </c>
      <c r="F37" s="51" t="s">
        <v>73</v>
      </c>
      <c r="G37" s="122" t="s">
        <v>570</v>
      </c>
      <c r="H37" s="174">
        <v>1.0</v>
      </c>
      <c r="I37" s="175">
        <f t="shared" si="1"/>
        <v>1</v>
      </c>
      <c r="J37" s="8" t="s">
        <v>571</v>
      </c>
      <c r="K37" s="34" t="s">
        <v>140</v>
      </c>
      <c r="M37" s="99">
        <f t="shared" si="3"/>
        <v>1</v>
      </c>
    </row>
    <row r="38">
      <c r="A38" s="51" t="s">
        <v>436</v>
      </c>
      <c r="B38" s="103"/>
      <c r="C38" s="121" t="str">
        <f t="array" ref="C38">ifs(and(isblank($A38),isblank($B38)),"", not(iserror(vlookup($A38&amp;$B38,'5) Release_Track'!$F:$F&amp;'5) Release_Track'!$G:$G,1,0))),vlookup($A38&amp;$B38,{'5) Release_Track'!$F:$F&amp;'5) Release_Track'!$G:$G,'5) Release_Track'!$H:$H},2,0), or(and(not(isblank($B38)),$B38=$B37,$A38&lt;&gt;$A37),and(not(isblank($A38)),$A38=$A37,$B38&lt;&gt;$B37)),"ID LISTS UNALIGNED",and($A38&lt;&gt;"",countif('5) Release_Track'!$F:$F,$A38)=0),"NO ISRC MATCH in Release_Track",and($B38&lt;&gt;"",countif('5) Release_Track'!$G:$G,$B38)=0),"NO CATALOG ID MATCH in Release_Track",iserror(vlookup($A38&amp;$B38,'5) Release_Track'!$F:$F&amp;'5) Release_Track'!$G:$G,1,0)),"NO ISRC-CATALOG ID pair MATCH in Release_Track" )</f>
        <v>Manak Di Kali (From "Bhalwan Singh" Soundtrack) [with Jatinder Shah]</v>
      </c>
      <c r="D38" s="121" t="str">
        <f t="array" ref="D38">ifs(and(isblank($A38),isblank($B38)),"", not(iserror(vlookup($A38&amp;$B38,'5) Release_Track'!$F:$F&amp;'5) Release_Track'!$G:$G,1,0))),vlookup($A38&amp;$B38,{'5) Release_Track'!$F:$F&amp;'5) Release_Track'!$G:$G,'5) Release_Track'!$I:$I},2,0), or(and(not(isblank($B38)),$B38=$B37,$A38&lt;&gt;$A37),and(not(isblank($A38)),$A38=$A37,$B38&lt;&gt;$B37)),"ID LISTS UNALIGNED",and($A38&lt;&gt;"",countif('5) Release_Track'!$F:$F,$A38)=0),"NO ISRC MATCH in Release_Track",and($B38&lt;&gt;"",countif('5) Release_Track'!$G:$G,$B38)=0),"NO CATALOG ID MATCH in Release_Track",iserror(vlookup($A38&amp;$B38,'5) Release_Track'!$F:$F&amp;'5) Release_Track'!$G:$G,1,0)),"NO ISRC-CATALOG ID pair MATCH in Release_Track" )</f>
        <v/>
      </c>
      <c r="E38" s="125" t="str">
        <f t="array" ref="E38">ifs(and(isblank($A38),isblank($B38)),"", not(iserror(vlookup($A38&amp;$B38,'5) Release_Track'!$F:$F&amp;'5) Release_Track'!$G:$G,1,0))),vlookup($A38&amp;$B38,{'5) Release_Track'!$F:$F&amp;'5) Release_Track'!$G:$G,'5) Release_Track'!$J:$J},2,0), or(and(not(isblank($B38)),$B38=$B37,$A38&lt;&gt;$A37),and(not(isblank($A38)),$A38=$A37,$B38&lt;&gt;$B37)),"ID LISTS UNALIGNED",and($A38&lt;&gt;"",countif('5) Release_Track'!$F:$F,$A38)=0),"NO ISRC MATCH in Release_Track",and($B38&lt;&gt;"",countif('5) Release_Track'!$G:$G,$B38)=0),"NO CATALOG ID MATCH in Release_Track",iserror(vlookup($A38&amp;$B38,'5) Release_Track'!$F:$F&amp;'5) Release_Track'!$G:$G,1,0)),"NO ISRC-CATALOG ID pair MATCH in Release_Track" )</f>
        <v>Punjabi</v>
      </c>
      <c r="F38" s="51" t="s">
        <v>51</v>
      </c>
      <c r="G38" s="122" t="s">
        <v>570</v>
      </c>
      <c r="H38" s="174">
        <v>1.0</v>
      </c>
      <c r="I38" s="175">
        <f t="shared" si="1"/>
        <v>1</v>
      </c>
      <c r="J38" s="8" t="s">
        <v>571</v>
      </c>
      <c r="K38" s="34" t="s">
        <v>140</v>
      </c>
      <c r="M38" s="99">
        <f t="shared" si="3"/>
        <v>1</v>
      </c>
    </row>
    <row r="39">
      <c r="A39" s="51" t="s">
        <v>438</v>
      </c>
      <c r="B39" s="103"/>
      <c r="C39" s="121" t="str">
        <f t="array" ref="C39">ifs(and(isblank($A39),isblank($B39)),"", not(iserror(vlookup($A39&amp;$B39,'5) Release_Track'!$F:$F&amp;'5) Release_Track'!$G:$G,1,0))),vlookup($A39&amp;$B39,{'5) Release_Track'!$F:$F&amp;'5) Release_Track'!$G:$G,'5) Release_Track'!$H:$H},2,0), or(and(not(isblank($B39)),$B39=$B38,$A39&lt;&gt;$A38),and(not(isblank($A39)),$A39=$A38,$B39&lt;&gt;$B38)),"ID LISTS UNALIGNED",and($A39&lt;&gt;"",countif('5) Release_Track'!$F:$F,$A39)=0),"NO ISRC MATCH in Release_Track",and($B39&lt;&gt;"",countif('5) Release_Track'!$G:$G,$B39)=0),"NO CATALOG ID MATCH in Release_Track",iserror(vlookup($A39&amp;$B39,'5) Release_Track'!$F:$F&amp;'5) Release_Track'!$G:$G,1,0)),"NO ISRC-CATALOG ID pair MATCH in Release_Track" )</f>
        <v>Milne Di Rutt</v>
      </c>
      <c r="D39" s="121" t="str">
        <f t="array" ref="D39">ifs(and(isblank($A39),isblank($B39)),"", not(iserror(vlookup($A39&amp;$B39,'5) Release_Track'!$F:$F&amp;'5) Release_Track'!$G:$G,1,0))),vlookup($A39&amp;$B39,{'5) Release_Track'!$F:$F&amp;'5) Release_Track'!$G:$G,'5) Release_Track'!$I:$I},2,0), or(and(not(isblank($B39)),$B39=$B38,$A39&lt;&gt;$A38),and(not(isblank($A39)),$A39=$A38,$B39&lt;&gt;$B38)),"ID LISTS UNALIGNED",and($A39&lt;&gt;"",countif('5) Release_Track'!$F:$F,$A39)=0),"NO ISRC MATCH in Release_Track",and($B39&lt;&gt;"",countif('5) Release_Track'!$G:$G,$B39)=0),"NO CATALOG ID MATCH in Release_Track",iserror(vlookup($A39&amp;$B39,'5) Release_Track'!$F:$F&amp;'5) Release_Track'!$G:$G,1,0)),"NO ISRC-CATALOG ID pair MATCH in Release_Track" )</f>
        <v/>
      </c>
      <c r="E39" s="125" t="str">
        <f t="array" ref="E39">ifs(and(isblank($A39),isblank($B39)),"", not(iserror(vlookup($A39&amp;$B39,'5) Release_Track'!$F:$F&amp;'5) Release_Track'!$G:$G,1,0))),vlookup($A39&amp;$B39,{'5) Release_Track'!$F:$F&amp;'5) Release_Track'!$G:$G,'5) Release_Track'!$J:$J},2,0), or(and(not(isblank($B39)),$B39=$B38,$A39&lt;&gt;$A38),and(not(isblank($A39)),$A39=$A38,$B39&lt;&gt;$B38)),"ID LISTS UNALIGNED",and($A39&lt;&gt;"",countif('5) Release_Track'!$F:$F,$A39)=0),"NO ISRC MATCH in Release_Track",and($B39&lt;&gt;"",countif('5) Release_Track'!$G:$G,$B39)=0),"NO CATALOG ID MATCH in Release_Track",iserror(vlookup($A39&amp;$B39,'5) Release_Track'!$F:$F&amp;'5) Release_Track'!$G:$G,1,0)),"NO ISRC-CATALOG ID pair MATCH in Release_Track" )</f>
        <v>Punjabi</v>
      </c>
      <c r="F39" s="51" t="s">
        <v>79</v>
      </c>
      <c r="G39" s="122" t="s">
        <v>570</v>
      </c>
      <c r="H39" s="174">
        <v>1.0</v>
      </c>
      <c r="I39" s="175">
        <f t="shared" si="1"/>
        <v>1</v>
      </c>
      <c r="J39" s="8" t="s">
        <v>571</v>
      </c>
      <c r="K39" s="34" t="s">
        <v>140</v>
      </c>
      <c r="M39" s="99">
        <f t="shared" si="3"/>
        <v>1</v>
      </c>
    </row>
    <row r="40">
      <c r="A40" s="51" t="s">
        <v>440</v>
      </c>
      <c r="B40" s="103"/>
      <c r="C40" s="121" t="str">
        <f t="array" ref="C40">ifs(and(isblank($A40),isblank($B40)),"", not(iserror(vlookup($A40&amp;$B40,'5) Release_Track'!$F:$F&amp;'5) Release_Track'!$G:$G,1,0))),vlookup($A40&amp;$B40,{'5) Release_Track'!$F:$F&amp;'5) Release_Track'!$G:$G,'5) Release_Track'!$H:$H},2,0), or(and(not(isblank($B40)),$B40=$B39,$A40&lt;&gt;$A39),and(not(isblank($A40)),$A40=$A39,$B40&lt;&gt;$B39)),"ID LISTS UNALIGNED",and($A40&lt;&gt;"",countif('5) Release_Track'!$F:$F,$A40)=0),"NO ISRC MATCH in Release_Track",and($B40&lt;&gt;"",countif('5) Release_Track'!$G:$G,$B40)=0),"NO CATALOG ID MATCH in Release_Track",iserror(vlookup($A40&amp;$B40,'5) Release_Track'!$F:$F&amp;'5) Release_Track'!$G:$G,1,0)),"NO ISRC-CATALOG ID pair MATCH in Release_Track" )</f>
        <v>Noonh Labhni (From "Vekh Baraatan Challiyan" Soundtrack)</v>
      </c>
      <c r="D40" s="121" t="str">
        <f t="array" ref="D40">ifs(and(isblank($A40),isblank($B40)),"", not(iserror(vlookup($A40&amp;$B40,'5) Release_Track'!$F:$F&amp;'5) Release_Track'!$G:$G,1,0))),vlookup($A40&amp;$B40,{'5) Release_Track'!$F:$F&amp;'5) Release_Track'!$G:$G,'5) Release_Track'!$I:$I},2,0), or(and(not(isblank($B40)),$B40=$B39,$A40&lt;&gt;$A39),and(not(isblank($A40)),$A40=$A39,$B40&lt;&gt;$B39)),"ID LISTS UNALIGNED",and($A40&lt;&gt;"",countif('5) Release_Track'!$F:$F,$A40)=0),"NO ISRC MATCH in Release_Track",and($B40&lt;&gt;"",countif('5) Release_Track'!$G:$G,$B40)=0),"NO CATALOG ID MATCH in Release_Track",iserror(vlookup($A40&amp;$B40,'5) Release_Track'!$F:$F&amp;'5) Release_Track'!$G:$G,1,0)),"NO ISRC-CATALOG ID pair MATCH in Release_Track" )</f>
        <v/>
      </c>
      <c r="E40" s="125" t="str">
        <f t="array" ref="E40">ifs(and(isblank($A40),isblank($B40)),"", not(iserror(vlookup($A40&amp;$B40,'5) Release_Track'!$F:$F&amp;'5) Release_Track'!$G:$G,1,0))),vlookup($A40&amp;$B40,{'5) Release_Track'!$F:$F&amp;'5) Release_Track'!$G:$G,'5) Release_Track'!$J:$J},2,0), or(and(not(isblank($B40)),$B40=$B39,$A40&lt;&gt;$A39),and(not(isblank($A40)),$A40=$A39,$B40&lt;&gt;$B39)),"ID LISTS UNALIGNED",and($A40&lt;&gt;"",countif('5) Release_Track'!$F:$F,$A40)=0),"NO ISRC MATCH in Release_Track",and($B40&lt;&gt;"",countif('5) Release_Track'!$G:$G,$B40)=0),"NO CATALOG ID MATCH in Release_Track",iserror(vlookup($A40&amp;$B40,'5) Release_Track'!$F:$F&amp;'5) Release_Track'!$G:$G,1,0)),"NO ISRC-CATALOG ID pair MATCH in Release_Track" )</f>
        <v>Punjabi</v>
      </c>
      <c r="F40" s="51" t="s">
        <v>47</v>
      </c>
      <c r="G40" s="122" t="s">
        <v>570</v>
      </c>
      <c r="H40" s="174">
        <v>1.0</v>
      </c>
      <c r="I40" s="175">
        <f t="shared" si="1"/>
        <v>1</v>
      </c>
      <c r="J40" s="8" t="s">
        <v>571</v>
      </c>
      <c r="K40" s="34" t="s">
        <v>140</v>
      </c>
      <c r="M40" s="99">
        <f t="shared" si="3"/>
        <v>1</v>
      </c>
    </row>
    <row r="41">
      <c r="A41" s="51" t="s">
        <v>442</v>
      </c>
      <c r="B41" s="103"/>
      <c r="C41" s="121" t="str">
        <f t="array" ref="C41">ifs(and(isblank($A41),isblank($B41)),"", not(iserror(vlookup($A41&amp;$B41,'5) Release_Track'!$F:$F&amp;'5) Release_Track'!$G:$G,1,0))),vlookup($A41&amp;$B41,{'5) Release_Track'!$F:$F&amp;'5) Release_Track'!$G:$G,'5) Release_Track'!$H:$H},2,0), or(and(not(isblank($B41)),$B41=$B40,$A41&lt;&gt;$A40),and(not(isblank($A41)),$A41=$A40,$B41&lt;&gt;$B40)),"ID LISTS UNALIGNED",and($A41&lt;&gt;"",countif('5) Release_Track'!$F:$F,$A41)=0),"NO ISRC MATCH in Release_Track",and($B41&lt;&gt;"",countif('5) Release_Track'!$G:$G,$B41)=0),"NO CATALOG ID MATCH in Release_Track",iserror(vlookup($A41&amp;$B41,'5) Release_Track'!$F:$F&amp;'5) Release_Track'!$G:$G,1,0)),"NO ISRC-CATALOG ID pair MATCH in Release_Track" )</f>
        <v>Paani</v>
      </c>
      <c r="D41" s="121" t="str">
        <f t="array" ref="D41">ifs(and(isblank($A41),isblank($B41)),"", not(iserror(vlookup($A41&amp;$B41,'5) Release_Track'!$F:$F&amp;'5) Release_Track'!$G:$G,1,0))),vlookup($A41&amp;$B41,{'5) Release_Track'!$F:$F&amp;'5) Release_Track'!$G:$G,'5) Release_Track'!$I:$I},2,0), or(and(not(isblank($B41)),$B41=$B40,$A41&lt;&gt;$A40),and(not(isblank($A41)),$A41=$A40,$B41&lt;&gt;$B40)),"ID LISTS UNALIGNED",and($A41&lt;&gt;"",countif('5) Release_Track'!$F:$F,$A41)=0),"NO ISRC MATCH in Release_Track",and($B41&lt;&gt;"",countif('5) Release_Track'!$G:$G,$B41)=0),"NO CATALOG ID MATCH in Release_Track",iserror(vlookup($A41&amp;$B41,'5) Release_Track'!$F:$F&amp;'5) Release_Track'!$G:$G,1,0)),"NO ISRC-CATALOG ID pair MATCH in Release_Track" )</f>
        <v/>
      </c>
      <c r="E41" s="125" t="str">
        <f t="array" ref="E41">ifs(and(isblank($A41),isblank($B41)),"", not(iserror(vlookup($A41&amp;$B41,'5) Release_Track'!$F:$F&amp;'5) Release_Track'!$G:$G,1,0))),vlookup($A41&amp;$B41,{'5) Release_Track'!$F:$F&amp;'5) Release_Track'!$G:$G,'5) Release_Track'!$J:$J},2,0), or(and(not(isblank($B41)),$B41=$B40,$A41&lt;&gt;$A40),and(not(isblank($A41)),$A41=$A40,$B41&lt;&gt;$B40)),"ID LISTS UNALIGNED",and($A41&lt;&gt;"",countif('5) Release_Track'!$F:$F,$A41)=0),"NO ISRC MATCH in Release_Track",and($B41&lt;&gt;"",countif('5) Release_Track'!$G:$G,$B41)=0),"NO CATALOG ID MATCH in Release_Track",iserror(vlookup($A41&amp;$B41,'5) Release_Track'!$F:$F&amp;'5) Release_Track'!$G:$G,1,0)),"NO ISRC-CATALOG ID pair MATCH in Release_Track" )</f>
        <v>Punjabi</v>
      </c>
      <c r="F41" s="51" t="s">
        <v>135</v>
      </c>
      <c r="G41" s="122" t="s">
        <v>570</v>
      </c>
      <c r="H41" s="174">
        <v>1.0</v>
      </c>
      <c r="I41" s="175">
        <f t="shared" si="1"/>
        <v>1</v>
      </c>
      <c r="J41" s="8" t="s">
        <v>571</v>
      </c>
      <c r="K41" s="34" t="s">
        <v>140</v>
      </c>
      <c r="M41" s="99">
        <f t="shared" si="3"/>
        <v>1</v>
      </c>
    </row>
    <row r="42">
      <c r="A42" s="51" t="s">
        <v>444</v>
      </c>
      <c r="B42" s="103"/>
      <c r="C42" s="121" t="str">
        <f t="array" ref="C42">ifs(and(isblank($A42),isblank($B42)),"", not(iserror(vlookup($A42&amp;$B42,'5) Release_Track'!$F:$F&amp;'5) Release_Track'!$G:$G,1,0))),vlookup($A42&amp;$B42,{'5) Release_Track'!$F:$F&amp;'5) Release_Track'!$G:$G,'5) Release_Track'!$H:$H},2,0), or(and(not(isblank($B42)),$B42=$B41,$A42&lt;&gt;$A41),and(not(isblank($A42)),$A42=$A41,$B42&lt;&gt;$B41)),"ID LISTS UNALIGNED",and($A42&lt;&gt;"",countif('5) Release_Track'!$F:$F,$A42)=0),"NO ISRC MATCH in Release_Track",and($B42&lt;&gt;"",countif('5) Release_Track'!$G:$G,$B42)=0),"NO CATALOG ID MATCH in Release_Track",iserror(vlookup($A42&amp;$B42,'5) Release_Track'!$F:$F&amp;'5) Release_Track'!$G:$G,1,0)),"NO ISRC-CATALOG ID pair MATCH in Release_Track" )</f>
        <v>Paani Raavi Da (From "Lahoriye" Soundtrack)</v>
      </c>
      <c r="D42" s="121" t="str">
        <f t="array" ref="D42">ifs(and(isblank($A42),isblank($B42)),"", not(iserror(vlookup($A42&amp;$B42,'5) Release_Track'!$F:$F&amp;'5) Release_Track'!$G:$G,1,0))),vlookup($A42&amp;$B42,{'5) Release_Track'!$F:$F&amp;'5) Release_Track'!$G:$G,'5) Release_Track'!$I:$I},2,0), or(and(not(isblank($B42)),$B42=$B41,$A42&lt;&gt;$A41),and(not(isblank($A42)),$A42=$A41,$B42&lt;&gt;$B41)),"ID LISTS UNALIGNED",and($A42&lt;&gt;"",countif('5) Release_Track'!$F:$F,$A42)=0),"NO ISRC MATCH in Release_Track",and($B42&lt;&gt;"",countif('5) Release_Track'!$G:$G,$B42)=0),"NO CATALOG ID MATCH in Release_Track",iserror(vlookup($A42&amp;$B42,'5) Release_Track'!$F:$F&amp;'5) Release_Track'!$G:$G,1,0)),"NO ISRC-CATALOG ID pair MATCH in Release_Track" )</f>
        <v/>
      </c>
      <c r="E42" s="125" t="str">
        <f t="array" ref="E42">ifs(and(isblank($A42),isblank($B42)),"", not(iserror(vlookup($A42&amp;$B42,'5) Release_Track'!$F:$F&amp;'5) Release_Track'!$G:$G,1,0))),vlookup($A42&amp;$B42,{'5) Release_Track'!$F:$F&amp;'5) Release_Track'!$G:$G,'5) Release_Track'!$J:$J},2,0), or(and(not(isblank($B42)),$B42=$B41,$A42&lt;&gt;$A41),and(not(isblank($A42)),$A42=$A41,$B42&lt;&gt;$B41)),"ID LISTS UNALIGNED",and($A42&lt;&gt;"",countif('5) Release_Track'!$F:$F,$A42)=0),"NO ISRC MATCH in Release_Track",and($B42&lt;&gt;"",countif('5) Release_Track'!$G:$G,$B42)=0),"NO CATALOG ID MATCH in Release_Track",iserror(vlookup($A42&amp;$B42,'5) Release_Track'!$F:$F&amp;'5) Release_Track'!$G:$G,1,0)),"NO ISRC-CATALOG ID pair MATCH in Release_Track" )</f>
        <v>Punjabi</v>
      </c>
      <c r="F42" s="51" t="s">
        <v>51</v>
      </c>
      <c r="G42" s="122" t="s">
        <v>570</v>
      </c>
      <c r="H42" s="174">
        <v>1.0</v>
      </c>
      <c r="I42" s="175">
        <f t="shared" si="1"/>
        <v>1</v>
      </c>
      <c r="J42" s="8" t="s">
        <v>571</v>
      </c>
      <c r="K42" s="34" t="s">
        <v>140</v>
      </c>
      <c r="M42" s="99">
        <f t="shared" si="3"/>
        <v>1</v>
      </c>
    </row>
    <row r="43">
      <c r="A43" s="51" t="s">
        <v>446</v>
      </c>
      <c r="B43" s="103"/>
      <c r="C43" s="121" t="str">
        <f t="array" ref="C43">ifs(and(isblank($A43),isblank($B43)),"", not(iserror(vlookup($A43&amp;$B43,'5) Release_Track'!$F:$F&amp;'5) Release_Track'!$G:$G,1,0))),vlookup($A43&amp;$B43,{'5) Release_Track'!$F:$F&amp;'5) Release_Track'!$G:$G,'5) Release_Track'!$H:$H},2,0), or(and(not(isblank($B43)),$B43=$B42,$A43&lt;&gt;$A42),and(not(isblank($A43)),$A43=$A42,$B43&lt;&gt;$B42)),"ID LISTS UNALIGNED",and($A43&lt;&gt;"",countif('5) Release_Track'!$F:$F,$A43)=0),"NO ISRC MATCH in Release_Track",and($B43&lt;&gt;"",countif('5) Release_Track'!$G:$G,$B43)=0),"NO CATALOG ID MATCH in Release_Track",iserror(vlookup($A43&amp;$B43,'5) Release_Track'!$F:$F&amp;'5) Release_Track'!$G:$G,1,0)),"NO ISRC-CATALOG ID pair MATCH in Release_Track" )</f>
        <v>Phullan Di Vel (From "Golak Bugni Bank Te Batua" Soundtrack)</v>
      </c>
      <c r="D43" s="121" t="str">
        <f t="array" ref="D43">ifs(and(isblank($A43),isblank($B43)),"", not(iserror(vlookup($A43&amp;$B43,'5) Release_Track'!$F:$F&amp;'5) Release_Track'!$G:$G,1,0))),vlookup($A43&amp;$B43,{'5) Release_Track'!$F:$F&amp;'5) Release_Track'!$G:$G,'5) Release_Track'!$I:$I},2,0), or(and(not(isblank($B43)),$B43=$B42,$A43&lt;&gt;$A42),and(not(isblank($A43)),$A43=$A42,$B43&lt;&gt;$B42)),"ID LISTS UNALIGNED",and($A43&lt;&gt;"",countif('5) Release_Track'!$F:$F,$A43)=0),"NO ISRC MATCH in Release_Track",and($B43&lt;&gt;"",countif('5) Release_Track'!$G:$G,$B43)=0),"NO CATALOG ID MATCH in Release_Track",iserror(vlookup($A43&amp;$B43,'5) Release_Track'!$F:$F&amp;'5) Release_Track'!$G:$G,1,0)),"NO ISRC-CATALOG ID pair MATCH in Release_Track" )</f>
        <v/>
      </c>
      <c r="E43" s="125" t="str">
        <f t="array" ref="E43">ifs(and(isblank($A43),isblank($B43)),"", not(iserror(vlookup($A43&amp;$B43,'5) Release_Track'!$F:$F&amp;'5) Release_Track'!$G:$G,1,0))),vlookup($A43&amp;$B43,{'5) Release_Track'!$F:$F&amp;'5) Release_Track'!$G:$G,'5) Release_Track'!$J:$J},2,0), or(and(not(isblank($B43)),$B43=$B42,$A43&lt;&gt;$A42),and(not(isblank($A43)),$A43=$A42,$B43&lt;&gt;$B42)),"ID LISTS UNALIGNED",and($A43&lt;&gt;"",countif('5) Release_Track'!$F:$F,$A43)=0),"NO ISRC MATCH in Release_Track",and($B43&lt;&gt;"",countif('5) Release_Track'!$G:$G,$B43)=0),"NO CATALOG ID MATCH in Release_Track",iserror(vlookup($A43&amp;$B43,'5) Release_Track'!$F:$F&amp;'5) Release_Track'!$G:$G,1,0)),"NO ISRC-CATALOG ID pair MATCH in Release_Track" )</f>
        <v>Punjabi</v>
      </c>
      <c r="F43" s="51" t="s">
        <v>51</v>
      </c>
      <c r="G43" s="122" t="s">
        <v>570</v>
      </c>
      <c r="H43" s="174">
        <v>1.0</v>
      </c>
      <c r="I43" s="175">
        <f t="shared" si="1"/>
        <v>1</v>
      </c>
      <c r="J43" s="8" t="s">
        <v>571</v>
      </c>
      <c r="K43" s="34" t="s">
        <v>140</v>
      </c>
      <c r="M43" s="99">
        <f t="shared" si="3"/>
        <v>1</v>
      </c>
    </row>
    <row r="44">
      <c r="A44" s="51" t="s">
        <v>448</v>
      </c>
      <c r="B44" s="103"/>
      <c r="C44" s="121" t="str">
        <f t="array" ref="C44">ifs(and(isblank($A44),isblank($B44)),"", not(iserror(vlookup($A44&amp;$B44,'5) Release_Track'!$F:$F&amp;'5) Release_Track'!$G:$G,1,0))),vlookup($A44&amp;$B44,{'5) Release_Track'!$F:$F&amp;'5) Release_Track'!$G:$G,'5) Release_Track'!$H:$H},2,0), or(and(not(isblank($B44)),$B44=$B43,$A44&lt;&gt;$A43),and(not(isblank($A44)),$A44=$A43,$B44&lt;&gt;$B43)),"ID LISTS UNALIGNED",and($A44&lt;&gt;"",countif('5) Release_Track'!$F:$F,$A44)=0),"NO ISRC MATCH in Release_Track",and($B44&lt;&gt;"",countif('5) Release_Track'!$G:$G,$B44)=0),"NO CATALOG ID MATCH in Release_Track",iserror(vlookup($A44&amp;$B44,'5) Release_Track'!$F:$F&amp;'5) Release_Track'!$G:$G,1,0)),"NO ISRC-CATALOG ID pair MATCH in Release_Track" )</f>
        <v>Rabb Khair Kare (From "Daana Paani" Soundtrack)</v>
      </c>
      <c r="D44" s="121" t="str">
        <f t="array" ref="D44">ifs(and(isblank($A44),isblank($B44)),"", not(iserror(vlookup($A44&amp;$B44,'5) Release_Track'!$F:$F&amp;'5) Release_Track'!$G:$G,1,0))),vlookup($A44&amp;$B44,{'5) Release_Track'!$F:$F&amp;'5) Release_Track'!$G:$G,'5) Release_Track'!$I:$I},2,0), or(and(not(isblank($B44)),$B44=$B43,$A44&lt;&gt;$A43),and(not(isblank($A44)),$A44=$A43,$B44&lt;&gt;$B43)),"ID LISTS UNALIGNED",and($A44&lt;&gt;"",countif('5) Release_Track'!$F:$F,$A44)=0),"NO ISRC MATCH in Release_Track",and($B44&lt;&gt;"",countif('5) Release_Track'!$G:$G,$B44)=0),"NO CATALOG ID MATCH in Release_Track",iserror(vlookup($A44&amp;$B44,'5) Release_Track'!$F:$F&amp;'5) Release_Track'!$G:$G,1,0)),"NO ISRC-CATALOG ID pair MATCH in Release_Track" )</f>
        <v/>
      </c>
      <c r="E44" s="125" t="str">
        <f t="array" ref="E44">ifs(and(isblank($A44),isblank($B44)),"", not(iserror(vlookup($A44&amp;$B44,'5) Release_Track'!$F:$F&amp;'5) Release_Track'!$G:$G,1,0))),vlookup($A44&amp;$B44,{'5) Release_Track'!$F:$F&amp;'5) Release_Track'!$G:$G,'5) Release_Track'!$J:$J},2,0), or(and(not(isblank($B44)),$B44=$B43,$A44&lt;&gt;$A43),and(not(isblank($A44)),$A44=$A43,$B44&lt;&gt;$B43)),"ID LISTS UNALIGNED",and($A44&lt;&gt;"",countif('5) Release_Track'!$F:$F,$A44)=0),"NO ISRC MATCH in Release_Track",and($B44&lt;&gt;"",countif('5) Release_Track'!$G:$G,$B44)=0),"NO CATALOG ID MATCH in Release_Track",iserror(vlookup($A44&amp;$B44,'5) Release_Track'!$F:$F&amp;'5) Release_Track'!$G:$G,1,0)),"NO ISRC-CATALOG ID pair MATCH in Release_Track" )</f>
        <v>Punjabi</v>
      </c>
      <c r="F44" s="51" t="s">
        <v>73</v>
      </c>
      <c r="G44" s="122" t="s">
        <v>570</v>
      </c>
      <c r="H44" s="174">
        <v>1.0</v>
      </c>
      <c r="I44" s="175">
        <f t="shared" si="1"/>
        <v>1</v>
      </c>
      <c r="J44" s="8" t="s">
        <v>571</v>
      </c>
      <c r="K44" s="34" t="s">
        <v>140</v>
      </c>
      <c r="M44" s="99">
        <f t="shared" si="3"/>
        <v>1</v>
      </c>
    </row>
    <row r="45">
      <c r="A45" s="51" t="s">
        <v>450</v>
      </c>
      <c r="B45" s="103"/>
      <c r="C45" s="121" t="str">
        <f t="array" ref="C45">ifs(and(isblank($A45),isblank($B45)),"", not(iserror(vlookup($A45&amp;$B45,'5) Release_Track'!$F:$F&amp;'5) Release_Track'!$G:$G,1,0))),vlookup($A45&amp;$B45,{'5) Release_Track'!$F:$F&amp;'5) Release_Track'!$G:$G,'5) Release_Track'!$H:$H},2,0), or(and(not(isblank($B45)),$B45=$B44,$A45&lt;&gt;$A44),and(not(isblank($A45)),$A45=$A44,$B45&lt;&gt;$B44)),"ID LISTS UNALIGNED",and($A45&lt;&gt;"",countif('5) Release_Track'!$F:$F,$A45)=0),"NO ISRC MATCH in Release_Track",and($B45&lt;&gt;"",countif('5) Release_Track'!$G:$G,$B45)=0),"NO CATALOG ID MATCH in Release_Track",iserror(vlookup($A45&amp;$B45,'5) Release_Track'!$F:$F&amp;'5) Release_Track'!$G:$G,1,0)),"NO ISRC-CATALOG ID pair MATCH in Release_Track" )</f>
        <v>Rakhi Soneya Ve (From "Bambukat" Soundtrack)</v>
      </c>
      <c r="D45" s="121" t="str">
        <f t="array" ref="D45">ifs(and(isblank($A45),isblank($B45)),"", not(iserror(vlookup($A45&amp;$B45,'5) Release_Track'!$F:$F&amp;'5) Release_Track'!$G:$G,1,0))),vlookup($A45&amp;$B45,{'5) Release_Track'!$F:$F&amp;'5) Release_Track'!$G:$G,'5) Release_Track'!$I:$I},2,0), or(and(not(isblank($B45)),$B45=$B44,$A45&lt;&gt;$A44),and(not(isblank($A45)),$A45=$A44,$B45&lt;&gt;$B44)),"ID LISTS UNALIGNED",and($A45&lt;&gt;"",countif('5) Release_Track'!$F:$F,$A45)=0),"NO ISRC MATCH in Release_Track",and($B45&lt;&gt;"",countif('5) Release_Track'!$G:$G,$B45)=0),"NO CATALOG ID MATCH in Release_Track",iserror(vlookup($A45&amp;$B45,'5) Release_Track'!$F:$F&amp;'5) Release_Track'!$G:$G,1,0)),"NO ISRC-CATALOG ID pair MATCH in Release_Track" )</f>
        <v/>
      </c>
      <c r="E45" s="125" t="str">
        <f t="array" ref="E45">ifs(and(isblank($A45),isblank($B45)),"", not(iserror(vlookup($A45&amp;$B45,'5) Release_Track'!$F:$F&amp;'5) Release_Track'!$G:$G,1,0))),vlookup($A45&amp;$B45,{'5) Release_Track'!$F:$F&amp;'5) Release_Track'!$G:$G,'5) Release_Track'!$J:$J},2,0), or(and(not(isblank($B45)),$B45=$B44,$A45&lt;&gt;$A44),and(not(isblank($A45)),$A45=$A44,$B45&lt;&gt;$B44)),"ID LISTS UNALIGNED",and($A45&lt;&gt;"",countif('5) Release_Track'!$F:$F,$A45)=0),"NO ISRC MATCH in Release_Track",and($B45&lt;&gt;"",countif('5) Release_Track'!$G:$G,$B45)=0),"NO CATALOG ID MATCH in Release_Track",iserror(vlookup($A45&amp;$B45,'5) Release_Track'!$F:$F&amp;'5) Release_Track'!$G:$G,1,0)),"NO ISRC-CATALOG ID pair MATCH in Release_Track" )</f>
        <v>Punjabi</v>
      </c>
      <c r="F45" s="51" t="s">
        <v>51</v>
      </c>
      <c r="G45" s="122" t="s">
        <v>570</v>
      </c>
      <c r="H45" s="174">
        <v>1.0</v>
      </c>
      <c r="I45" s="175">
        <f t="shared" si="1"/>
        <v>1</v>
      </c>
      <c r="J45" s="8" t="s">
        <v>571</v>
      </c>
      <c r="K45" s="34" t="s">
        <v>140</v>
      </c>
      <c r="M45" s="99">
        <f t="shared" si="3"/>
        <v>1</v>
      </c>
    </row>
    <row r="46">
      <c r="A46" s="51" t="s">
        <v>452</v>
      </c>
      <c r="B46" s="103"/>
      <c r="C46" s="121" t="str">
        <f t="array" ref="C46">ifs(and(isblank($A46),isblank($B46)),"", not(iserror(vlookup($A46&amp;$B46,'5) Release_Track'!$F:$F&amp;'5) Release_Track'!$G:$G,1,0))),vlookup($A46&amp;$B46,{'5) Release_Track'!$F:$F&amp;'5) Release_Track'!$G:$G,'5) Release_Track'!$H:$H},2,0), or(and(not(isblank($B46)),$B46=$B45,$A46&lt;&gt;$A45),and(not(isblank($A46)),$A46=$A45,$B46&lt;&gt;$B45)),"ID LISTS UNALIGNED",and($A46&lt;&gt;"",countif('5) Release_Track'!$F:$F,$A46)=0),"NO ISRC MATCH in Release_Track",and($B46&lt;&gt;"",countif('5) Release_Track'!$G:$G,$B46)=0),"NO CATALOG ID MATCH in Release_Track",iserror(vlookup($A46&amp;$B46,'5) Release_Track'!$F:$F&amp;'5) Release_Track'!$G:$G,1,0)),"NO ISRC-CATALOG ID pair MATCH in Release_Track" )</f>
        <v>Rani (From "Bhalwan Singh" Soundtrack)</v>
      </c>
      <c r="D46" s="121" t="str">
        <f t="array" ref="D46">ifs(and(isblank($A46),isblank($B46)),"", not(iserror(vlookup($A46&amp;$B46,'5) Release_Track'!$F:$F&amp;'5) Release_Track'!$G:$G,1,0))),vlookup($A46&amp;$B46,{'5) Release_Track'!$F:$F&amp;'5) Release_Track'!$G:$G,'5) Release_Track'!$I:$I},2,0), or(and(not(isblank($B46)),$B46=$B45,$A46&lt;&gt;$A45),and(not(isblank($A46)),$A46=$A45,$B46&lt;&gt;$B45)),"ID LISTS UNALIGNED",and($A46&lt;&gt;"",countif('5) Release_Track'!$F:$F,$A46)=0),"NO ISRC MATCH in Release_Track",and($B46&lt;&gt;"",countif('5) Release_Track'!$G:$G,$B46)=0),"NO CATALOG ID MATCH in Release_Track",iserror(vlookup($A46&amp;$B46,'5) Release_Track'!$F:$F&amp;'5) Release_Track'!$G:$G,1,0)),"NO ISRC-CATALOG ID pair MATCH in Release_Track" )</f>
        <v/>
      </c>
      <c r="E46" s="125" t="str">
        <f t="array" ref="E46">ifs(and(isblank($A46),isblank($B46)),"", not(iserror(vlookup($A46&amp;$B46,'5) Release_Track'!$F:$F&amp;'5) Release_Track'!$G:$G,1,0))),vlookup($A46&amp;$B46,{'5) Release_Track'!$F:$F&amp;'5) Release_Track'!$G:$G,'5) Release_Track'!$J:$J},2,0), or(and(not(isblank($B46)),$B46=$B45,$A46&lt;&gt;$A45),and(not(isblank($A46)),$A46=$A45,$B46&lt;&gt;$B45)),"ID LISTS UNALIGNED",and($A46&lt;&gt;"",countif('5) Release_Track'!$F:$F,$A46)=0),"NO ISRC MATCH in Release_Track",and($B46&lt;&gt;"",countif('5) Release_Track'!$G:$G,$B46)=0),"NO CATALOG ID MATCH in Release_Track",iserror(vlookup($A46&amp;$B46,'5) Release_Track'!$F:$F&amp;'5) Release_Track'!$G:$G,1,0)),"NO ISRC-CATALOG ID pair MATCH in Release_Track" )</f>
        <v>Punjabi</v>
      </c>
      <c r="F46" s="51" t="s">
        <v>47</v>
      </c>
      <c r="G46" s="122" t="s">
        <v>570</v>
      </c>
      <c r="H46" s="174">
        <v>1.0</v>
      </c>
      <c r="I46" s="175">
        <f t="shared" si="1"/>
        <v>1</v>
      </c>
      <c r="J46" s="8" t="s">
        <v>571</v>
      </c>
      <c r="K46" s="34" t="s">
        <v>140</v>
      </c>
      <c r="M46" s="99">
        <f t="shared" si="3"/>
        <v>1</v>
      </c>
    </row>
    <row r="47">
      <c r="A47" s="51" t="s">
        <v>454</v>
      </c>
      <c r="B47" s="103"/>
      <c r="C47" s="121" t="str">
        <f t="array" ref="C47">ifs(and(isblank($A47),isblank($B47)),"", not(iserror(vlookup($A47&amp;$B47,'5) Release_Track'!$F:$F&amp;'5) Release_Track'!$G:$G,1,0))),vlookup($A47&amp;$B47,{'5) Release_Track'!$F:$F&amp;'5) Release_Track'!$G:$G,'5) Release_Track'!$H:$H},2,0), or(and(not(isblank($B47)),$B47=$B46,$A47&lt;&gt;$A46),and(not(isblank($A47)),$A47=$A46,$B47&lt;&gt;$B46)),"ID LISTS UNALIGNED",and($A47&lt;&gt;"",countif('5) Release_Track'!$F:$F,$A47)=0),"NO ISRC MATCH in Release_Track",and($B47&lt;&gt;"",countif('5) Release_Track'!$G:$G,$B47)=0),"NO CATALOG ID MATCH in Release_Track",iserror(vlookup($A47&amp;$B47,'5) Release_Track'!$F:$F&amp;'5) Release_Track'!$G:$G,1,0)),"NO ISRC-CATALOG ID pair MATCH in Release_Track" )</f>
        <v>Refugee (From "Daana Paani" Soundtrack)</v>
      </c>
      <c r="D47" s="121" t="str">
        <f t="array" ref="D47">ifs(and(isblank($A47),isblank($B47)),"", not(iserror(vlookup($A47&amp;$B47,'5) Release_Track'!$F:$F&amp;'5) Release_Track'!$G:$G,1,0))),vlookup($A47&amp;$B47,{'5) Release_Track'!$F:$F&amp;'5) Release_Track'!$G:$G,'5) Release_Track'!$I:$I},2,0), or(and(not(isblank($B47)),$B47=$B46,$A47&lt;&gt;$A46),and(not(isblank($A47)),$A47=$A46,$B47&lt;&gt;$B46)),"ID LISTS UNALIGNED",and($A47&lt;&gt;"",countif('5) Release_Track'!$F:$F,$A47)=0),"NO ISRC MATCH in Release_Track",and($B47&lt;&gt;"",countif('5) Release_Track'!$G:$G,$B47)=0),"NO CATALOG ID MATCH in Release_Track",iserror(vlookup($A47&amp;$B47,'5) Release_Track'!$F:$F&amp;'5) Release_Track'!$G:$G,1,0)),"NO ISRC-CATALOG ID pair MATCH in Release_Track" )</f>
        <v/>
      </c>
      <c r="E47" s="125" t="str">
        <f t="array" ref="E47">ifs(and(isblank($A47),isblank($B47)),"", not(iserror(vlookup($A47&amp;$B47,'5) Release_Track'!$F:$F&amp;'5) Release_Track'!$G:$G,1,0))),vlookup($A47&amp;$B47,{'5) Release_Track'!$F:$F&amp;'5) Release_Track'!$G:$G,'5) Release_Track'!$J:$J},2,0), or(and(not(isblank($B47)),$B47=$B46,$A47&lt;&gt;$A46),and(not(isblank($A47)),$A47=$A46,$B47&lt;&gt;$B46)),"ID LISTS UNALIGNED",and($A47&lt;&gt;"",countif('5) Release_Track'!$F:$F,$A47)=0),"NO ISRC MATCH in Release_Track",and($B47&lt;&gt;"",countif('5) Release_Track'!$G:$G,$B47)=0),"NO CATALOG ID MATCH in Release_Track",iserror(vlookup($A47&amp;$B47,'5) Release_Track'!$F:$F&amp;'5) Release_Track'!$G:$G,1,0)),"NO ISRC-CATALOG ID pair MATCH in Release_Track" )</f>
        <v>Punjabi</v>
      </c>
      <c r="F47" s="51" t="s">
        <v>73</v>
      </c>
      <c r="G47" s="122" t="s">
        <v>570</v>
      </c>
      <c r="H47" s="174">
        <v>1.0</v>
      </c>
      <c r="I47" s="175">
        <f t="shared" si="1"/>
        <v>1</v>
      </c>
      <c r="J47" s="8" t="s">
        <v>571</v>
      </c>
      <c r="K47" s="34" t="s">
        <v>140</v>
      </c>
      <c r="M47" s="99">
        <f t="shared" si="3"/>
        <v>1</v>
      </c>
    </row>
    <row r="48">
      <c r="A48" s="51" t="s">
        <v>456</v>
      </c>
      <c r="B48" s="103"/>
      <c r="C48" s="121" t="str">
        <f t="array" ref="C48">ifs(and(isblank($A48),isblank($B48)),"", not(iserror(vlookup($A48&amp;$B48,'5) Release_Track'!$F:$F&amp;'5) Release_Track'!$G:$G,1,0))),vlookup($A48&amp;$B48,{'5) Release_Track'!$F:$F&amp;'5) Release_Track'!$G:$G,'5) Release_Track'!$H:$H},2,0), or(and(not(isblank($B48)),$B48=$B47,$A48&lt;&gt;$A47),and(not(isblank($A48)),$A48=$A47,$B48&lt;&gt;$B47)),"ID LISTS UNALIGNED",and($A48&lt;&gt;"",countif('5) Release_Track'!$F:$F,$A48)=0),"NO ISRC MATCH in Release_Track",and($B48&lt;&gt;"",countif('5) Release_Track'!$G:$G,$B48)=0),"NO CATALOG ID MATCH in Release_Track",iserror(vlookup($A48&amp;$B48,'5) Release_Track'!$F:$F&amp;'5) Release_Track'!$G:$G,1,0)),"NO ISRC-CATALOG ID pair MATCH in Release_Track" )</f>
        <v>Saah (From "Lahoriye" Soundtrack)</v>
      </c>
      <c r="D48" s="121" t="str">
        <f t="array" ref="D48">ifs(and(isblank($A48),isblank($B48)),"", not(iserror(vlookup($A48&amp;$B48,'5) Release_Track'!$F:$F&amp;'5) Release_Track'!$G:$G,1,0))),vlookup($A48&amp;$B48,{'5) Release_Track'!$F:$F&amp;'5) Release_Track'!$G:$G,'5) Release_Track'!$I:$I},2,0), or(and(not(isblank($B48)),$B48=$B47,$A48&lt;&gt;$A47),and(not(isblank($A48)),$A48=$A47,$B48&lt;&gt;$B47)),"ID LISTS UNALIGNED",and($A48&lt;&gt;"",countif('5) Release_Track'!$F:$F,$A48)=0),"NO ISRC MATCH in Release_Track",and($B48&lt;&gt;"",countif('5) Release_Track'!$G:$G,$B48)=0),"NO CATALOG ID MATCH in Release_Track",iserror(vlookup($A48&amp;$B48,'5) Release_Track'!$F:$F&amp;'5) Release_Track'!$G:$G,1,0)),"NO ISRC-CATALOG ID pair MATCH in Release_Track" )</f>
        <v/>
      </c>
      <c r="E48" s="125" t="str">
        <f t="array" ref="E48">ifs(and(isblank($A48),isblank($B48)),"", not(iserror(vlookup($A48&amp;$B48,'5) Release_Track'!$F:$F&amp;'5) Release_Track'!$G:$G,1,0))),vlookup($A48&amp;$B48,{'5) Release_Track'!$F:$F&amp;'5) Release_Track'!$G:$G,'5) Release_Track'!$J:$J},2,0), or(and(not(isblank($B48)),$B48=$B47,$A48&lt;&gt;$A47),and(not(isblank($A48)),$A48=$A47,$B48&lt;&gt;$B47)),"ID LISTS UNALIGNED",and($A48&lt;&gt;"",countif('5) Release_Track'!$F:$F,$A48)=0),"NO ISRC MATCH in Release_Track",and($B48&lt;&gt;"",countif('5) Release_Track'!$G:$G,$B48)=0),"NO CATALOG ID MATCH in Release_Track",iserror(vlookup($A48&amp;$B48,'5) Release_Track'!$F:$F&amp;'5) Release_Track'!$G:$G,1,0)),"NO ISRC-CATALOG ID pair MATCH in Release_Track" )</f>
        <v>Punjabi</v>
      </c>
      <c r="F48" s="51" t="s">
        <v>51</v>
      </c>
      <c r="G48" s="122" t="s">
        <v>570</v>
      </c>
      <c r="H48" s="174">
        <v>1.0</v>
      </c>
      <c r="I48" s="175">
        <f t="shared" si="1"/>
        <v>1</v>
      </c>
      <c r="J48" s="8" t="s">
        <v>571</v>
      </c>
      <c r="K48" s="34" t="s">
        <v>140</v>
      </c>
      <c r="M48" s="99">
        <f t="shared" si="3"/>
        <v>1</v>
      </c>
    </row>
    <row r="49">
      <c r="A49" s="51" t="s">
        <v>458</v>
      </c>
      <c r="B49" s="103"/>
      <c r="C49" s="121" t="str">
        <f t="array" ref="C49">ifs(and(isblank($A49),isblank($B49)),"", not(iserror(vlookup($A49&amp;$B49,'5) Release_Track'!$F:$F&amp;'5) Release_Track'!$G:$G,1,0))),vlookup($A49&amp;$B49,{'5) Release_Track'!$F:$F&amp;'5) Release_Track'!$G:$G,'5) Release_Track'!$H:$H},2,0), or(and(not(isblank($B49)),$B49=$B48,$A49&lt;&gt;$A48),and(not(isblank($A49)),$A49=$A48,$B49&lt;&gt;$B48)),"ID LISTS UNALIGNED",and($A49&lt;&gt;"",countif('5) Release_Track'!$F:$F,$A49)=0),"NO ISRC MATCH in Release_Track",and($B49&lt;&gt;"",countif('5) Release_Track'!$G:$G,$B49)=0),"NO CATALOG ID MATCH in Release_Track",iserror(vlookup($A49&amp;$B49,'5) Release_Track'!$F:$F&amp;'5) Release_Track'!$G:$G,1,0)),"NO ISRC-CATALOG ID pair MATCH in Release_Track" )</f>
        <v>Sarkaare (From "Golak Bugni Bank Te Batua" Soundtrack)</v>
      </c>
      <c r="D49" s="121" t="str">
        <f t="array" ref="D49">ifs(and(isblank($A49),isblank($B49)),"", not(iserror(vlookup($A49&amp;$B49,'5) Release_Track'!$F:$F&amp;'5) Release_Track'!$G:$G,1,0))),vlookup($A49&amp;$B49,{'5) Release_Track'!$F:$F&amp;'5) Release_Track'!$G:$G,'5) Release_Track'!$I:$I},2,0), or(and(not(isblank($B49)),$B49=$B48,$A49&lt;&gt;$A48),and(not(isblank($A49)),$A49=$A48,$B49&lt;&gt;$B48)),"ID LISTS UNALIGNED",and($A49&lt;&gt;"",countif('5) Release_Track'!$F:$F,$A49)=0),"NO ISRC MATCH in Release_Track",and($B49&lt;&gt;"",countif('5) Release_Track'!$G:$G,$B49)=0),"NO CATALOG ID MATCH in Release_Track",iserror(vlookup($A49&amp;$B49,'5) Release_Track'!$F:$F&amp;'5) Release_Track'!$G:$G,1,0)),"NO ISRC-CATALOG ID pair MATCH in Release_Track" )</f>
        <v/>
      </c>
      <c r="E49" s="125" t="str">
        <f t="array" ref="E49">ifs(and(isblank($A49),isblank($B49)),"", not(iserror(vlookup($A49&amp;$B49,'5) Release_Track'!$F:$F&amp;'5) Release_Track'!$G:$G,1,0))),vlookup($A49&amp;$B49,{'5) Release_Track'!$F:$F&amp;'5) Release_Track'!$G:$G,'5) Release_Track'!$J:$J},2,0), or(and(not(isblank($B49)),$B49=$B48,$A49&lt;&gt;$A48),and(not(isblank($A49)),$A49=$A48,$B49&lt;&gt;$B48)),"ID LISTS UNALIGNED",and($A49&lt;&gt;"",countif('5) Release_Track'!$F:$F,$A49)=0),"NO ISRC MATCH in Release_Track",and($B49&lt;&gt;"",countif('5) Release_Track'!$G:$G,$B49)=0),"NO CATALOG ID MATCH in Release_Track",iserror(vlookup($A49&amp;$B49,'5) Release_Track'!$F:$F&amp;'5) Release_Track'!$G:$G,1,0)),"NO ISRC-CATALOG ID pair MATCH in Release_Track" )</f>
        <v>Punjabi</v>
      </c>
      <c r="F49" s="51" t="s">
        <v>51</v>
      </c>
      <c r="G49" s="122" t="s">
        <v>570</v>
      </c>
      <c r="H49" s="174">
        <v>1.0</v>
      </c>
      <c r="I49" s="175">
        <f t="shared" si="1"/>
        <v>1</v>
      </c>
      <c r="J49" s="8" t="s">
        <v>571</v>
      </c>
      <c r="K49" s="47" t="s">
        <v>140</v>
      </c>
      <c r="M49" s="99">
        <f t="shared" si="3"/>
        <v>1</v>
      </c>
    </row>
    <row r="50">
      <c r="A50" s="51" t="s">
        <v>460</v>
      </c>
      <c r="B50" s="103"/>
      <c r="C50" s="121" t="str">
        <f t="array" ref="C50">ifs(and(isblank($A50),isblank($B50)),"", not(iserror(vlookup($A50&amp;$B50,'5) Release_Track'!$F:$F&amp;'5) Release_Track'!$G:$G,1,0))),vlookup($A50&amp;$B50,{'5) Release_Track'!$F:$F&amp;'5) Release_Track'!$G:$G,'5) Release_Track'!$H:$H},2,0), or(and(not(isblank($B50)),$B50=$B49,$A50&lt;&gt;$A49),and(not(isblank($A50)),$A50=$A49,$B50&lt;&gt;$B49)),"ID LISTS UNALIGNED",and($A50&lt;&gt;"",countif('5) Release_Track'!$F:$F,$A50)=0),"NO ISRC MATCH in Release_Track",and($B50&lt;&gt;"",countif('5) Release_Track'!$G:$G,$B50)=0),"NO CATALOG ID MATCH in Release_Track",iserror(vlookup($A50&amp;$B50,'5) Release_Track'!$F:$F&amp;'5) Release_Track'!$G:$G,1,0)),"NO ISRC-CATALOG ID pair MATCH in Release_Track" )</f>
        <v>Selfie Photo (From "Golak Bugni Bank Te Batua" Soundtrack)</v>
      </c>
      <c r="D50" s="121" t="str">
        <f t="array" ref="D50">ifs(and(isblank($A50),isblank($B50)),"", not(iserror(vlookup($A50&amp;$B50,'5) Release_Track'!$F:$F&amp;'5) Release_Track'!$G:$G,1,0))),vlookup($A50&amp;$B50,{'5) Release_Track'!$F:$F&amp;'5) Release_Track'!$G:$G,'5) Release_Track'!$I:$I},2,0), or(and(not(isblank($B50)),$B50=$B49,$A50&lt;&gt;$A49),and(not(isblank($A50)),$A50=$A49,$B50&lt;&gt;$B49)),"ID LISTS UNALIGNED",and($A50&lt;&gt;"",countif('5) Release_Track'!$F:$F,$A50)=0),"NO ISRC MATCH in Release_Track",and($B50&lt;&gt;"",countif('5) Release_Track'!$G:$G,$B50)=0),"NO CATALOG ID MATCH in Release_Track",iserror(vlookup($A50&amp;$B50,'5) Release_Track'!$F:$F&amp;'5) Release_Track'!$G:$G,1,0)),"NO ISRC-CATALOG ID pair MATCH in Release_Track" )</f>
        <v/>
      </c>
      <c r="E50" s="125" t="str">
        <f t="array" ref="E50">ifs(and(isblank($A50),isblank($B50)),"", not(iserror(vlookup($A50&amp;$B50,'5) Release_Track'!$F:$F&amp;'5) Release_Track'!$G:$G,1,0))),vlookup($A50&amp;$B50,{'5) Release_Track'!$F:$F&amp;'5) Release_Track'!$G:$G,'5) Release_Track'!$J:$J},2,0), or(and(not(isblank($B50)),$B50=$B49,$A50&lt;&gt;$A49),and(not(isblank($A50)),$A50=$A49,$B50&lt;&gt;$B49)),"ID LISTS UNALIGNED",and($A50&lt;&gt;"",countif('5) Release_Track'!$F:$F,$A50)=0),"NO ISRC MATCH in Release_Track",and($B50&lt;&gt;"",countif('5) Release_Track'!$G:$G,$B50)=0),"NO CATALOG ID MATCH in Release_Track",iserror(vlookup($A50&amp;$B50,'5) Release_Track'!$F:$F&amp;'5) Release_Track'!$G:$G,1,0)),"NO ISRC-CATALOG ID pair MATCH in Release_Track" )</f>
        <v>Punjabi</v>
      </c>
      <c r="F50" s="51" t="s">
        <v>51</v>
      </c>
      <c r="G50" s="122" t="s">
        <v>570</v>
      </c>
      <c r="H50" s="174">
        <v>1.0</v>
      </c>
      <c r="I50" s="175">
        <f t="shared" si="1"/>
        <v>1</v>
      </c>
      <c r="J50" s="8" t="s">
        <v>571</v>
      </c>
      <c r="K50" s="47" t="s">
        <v>140</v>
      </c>
      <c r="M50" s="99">
        <f t="shared" si="3"/>
        <v>1</v>
      </c>
    </row>
    <row r="51">
      <c r="A51" s="51" t="s">
        <v>462</v>
      </c>
      <c r="B51" s="103"/>
      <c r="C51" s="121" t="str">
        <f t="array" ref="C51">ifs(and(isblank($A51),isblank($B51)),"", not(iserror(vlookup($A51&amp;$B51,'5) Release_Track'!$F:$F&amp;'5) Release_Track'!$G:$G,1,0))),vlookup($A51&amp;$B51,{'5) Release_Track'!$F:$F&amp;'5) Release_Track'!$G:$G,'5) Release_Track'!$H:$H},2,0), or(and(not(isblank($B51)),$B51=$B50,$A51&lt;&gt;$A50),and(not(isblank($A51)),$A51=$A50,$B51&lt;&gt;$B50)),"ID LISTS UNALIGNED",and($A51&lt;&gt;"",countif('5) Release_Track'!$F:$F,$A51)=0),"NO ISRC MATCH in Release_Track",and($B51&lt;&gt;"",countif('5) Release_Track'!$G:$G,$B51)=0),"NO CATALOG ID MATCH in Release_Track",iserror(vlookup($A51&amp;$B51,'5) Release_Track'!$F:$F&amp;'5) Release_Track'!$G:$G,1,0)),"NO ISRC-CATALOG ID pair MATCH in Release_Track" )</f>
        <v>Sukh Da Saah (From "Vekh Baraatan Challiyan" Soundtrack)</v>
      </c>
      <c r="D51" s="121" t="str">
        <f t="array" ref="D51">ifs(and(isblank($A51),isblank($B51)),"", not(iserror(vlookup($A51&amp;$B51,'5) Release_Track'!$F:$F&amp;'5) Release_Track'!$G:$G,1,0))),vlookup($A51&amp;$B51,{'5) Release_Track'!$F:$F&amp;'5) Release_Track'!$G:$G,'5) Release_Track'!$I:$I},2,0), or(and(not(isblank($B51)),$B51=$B50,$A51&lt;&gt;$A50),and(not(isblank($A51)),$A51=$A50,$B51&lt;&gt;$B50)),"ID LISTS UNALIGNED",and($A51&lt;&gt;"",countif('5) Release_Track'!$F:$F,$A51)=0),"NO ISRC MATCH in Release_Track",and($B51&lt;&gt;"",countif('5) Release_Track'!$G:$G,$B51)=0),"NO CATALOG ID MATCH in Release_Track",iserror(vlookup($A51&amp;$B51,'5) Release_Track'!$F:$F&amp;'5) Release_Track'!$G:$G,1,0)),"NO ISRC-CATALOG ID pair MATCH in Release_Track" )</f>
        <v/>
      </c>
      <c r="E51" s="125" t="str">
        <f t="array" ref="E51">ifs(and(isblank($A51),isblank($B51)),"", not(iserror(vlookup($A51&amp;$B51,'5) Release_Track'!$F:$F&amp;'5) Release_Track'!$G:$G,1,0))),vlookup($A51&amp;$B51,{'5) Release_Track'!$F:$F&amp;'5) Release_Track'!$G:$G,'5) Release_Track'!$J:$J},2,0), or(and(not(isblank($B51)),$B51=$B50,$A51&lt;&gt;$A50),and(not(isblank($A51)),$A51=$A50,$B51&lt;&gt;$B50)),"ID LISTS UNALIGNED",and($A51&lt;&gt;"",countif('5) Release_Track'!$F:$F,$A51)=0),"NO ISRC MATCH in Release_Track",and($B51&lt;&gt;"",countif('5) Release_Track'!$G:$G,$B51)=0),"NO CATALOG ID MATCH in Release_Track",iserror(vlookup($A51&amp;$B51,'5) Release_Track'!$F:$F&amp;'5) Release_Track'!$G:$G,1,0)),"NO ISRC-CATALOG ID pair MATCH in Release_Track" )</f>
        <v>Punjabi</v>
      </c>
      <c r="F51" s="51" t="s">
        <v>51</v>
      </c>
      <c r="G51" s="122" t="s">
        <v>570</v>
      </c>
      <c r="H51" s="174">
        <v>1.0</v>
      </c>
      <c r="I51" s="175">
        <f t="shared" si="1"/>
        <v>1</v>
      </c>
      <c r="J51" s="8" t="s">
        <v>571</v>
      </c>
      <c r="K51" s="34" t="s">
        <v>140</v>
      </c>
      <c r="M51" s="99">
        <f t="shared" si="3"/>
        <v>1</v>
      </c>
    </row>
    <row r="52">
      <c r="A52" s="51" t="s">
        <v>464</v>
      </c>
      <c r="B52" s="103"/>
      <c r="C52" s="121" t="str">
        <f t="array" ref="C52">ifs(and(isblank($A52),isblank($B52)),"", not(iserror(vlookup($A52&amp;$B52,'5) Release_Track'!$F:$F&amp;'5) Release_Track'!$G:$G,1,0))),vlookup($A52&amp;$B52,{'5) Release_Track'!$F:$F&amp;'5) Release_Track'!$G:$G,'5) Release_Track'!$H:$H},2,0), or(and(not(isblank($B52)),$B52=$B51,$A52&lt;&gt;$A51),and(not(isblank($A52)),$A52=$A51,$B52&lt;&gt;$B51)),"ID LISTS UNALIGNED",and($A52&lt;&gt;"",countif('5) Release_Track'!$F:$F,$A52)=0),"NO ISRC MATCH in Release_Track",and($B52&lt;&gt;"",countif('5) Release_Track'!$G:$G,$B52)=0),"NO CATALOG ID MATCH in Release_Track",iserror(vlookup($A52&amp;$B52,'5) Release_Track'!$F:$F&amp;'5) Release_Track'!$G:$G,1,0)),"NO ISRC-CATALOG ID pair MATCH in Release_Track" )</f>
        <v>Sun Hawa Dya Bulleya (From "Bhalwan Singh" Soundtrack)</v>
      </c>
      <c r="D52" s="121" t="str">
        <f t="array" ref="D52">ifs(and(isblank($A52),isblank($B52)),"", not(iserror(vlookup($A52&amp;$B52,'5) Release_Track'!$F:$F&amp;'5) Release_Track'!$G:$G,1,0))),vlookup($A52&amp;$B52,{'5) Release_Track'!$F:$F&amp;'5) Release_Track'!$G:$G,'5) Release_Track'!$I:$I},2,0), or(and(not(isblank($B52)),$B52=$B51,$A52&lt;&gt;$A51),and(not(isblank($A52)),$A52=$A51,$B52&lt;&gt;$B51)),"ID LISTS UNALIGNED",and($A52&lt;&gt;"",countif('5) Release_Track'!$F:$F,$A52)=0),"NO ISRC MATCH in Release_Track",and($B52&lt;&gt;"",countif('5) Release_Track'!$G:$G,$B52)=0),"NO CATALOG ID MATCH in Release_Track",iserror(vlookup($A52&amp;$B52,'5) Release_Track'!$F:$F&amp;'5) Release_Track'!$G:$G,1,0)),"NO ISRC-CATALOG ID pair MATCH in Release_Track" )</f>
        <v/>
      </c>
      <c r="E52" s="125" t="str">
        <f t="array" ref="E52">ifs(and(isblank($A52),isblank($B52)),"", not(iserror(vlookup($A52&amp;$B52,'5) Release_Track'!$F:$F&amp;'5) Release_Track'!$G:$G,1,0))),vlookup($A52&amp;$B52,{'5) Release_Track'!$F:$F&amp;'5) Release_Track'!$G:$G,'5) Release_Track'!$J:$J},2,0), or(and(not(isblank($B52)),$B52=$B51,$A52&lt;&gt;$A51),and(not(isblank($A52)),$A52=$A51,$B52&lt;&gt;$B51)),"ID LISTS UNALIGNED",and($A52&lt;&gt;"",countif('5) Release_Track'!$F:$F,$A52)=0),"NO ISRC MATCH in Release_Track",and($B52&lt;&gt;"",countif('5) Release_Track'!$G:$G,$B52)=0),"NO CATALOG ID MATCH in Release_Track",iserror(vlookup($A52&amp;$B52,'5) Release_Track'!$F:$F&amp;'5) Release_Track'!$G:$G,1,0)),"NO ISRC-CATALOG ID pair MATCH in Release_Track" )</f>
        <v>Punjabi</v>
      </c>
      <c r="F52" s="51" t="s">
        <v>47</v>
      </c>
      <c r="G52" s="122" t="s">
        <v>570</v>
      </c>
      <c r="H52" s="174">
        <v>1.0</v>
      </c>
      <c r="I52" s="175">
        <f t="shared" si="1"/>
        <v>1</v>
      </c>
      <c r="J52" s="8" t="s">
        <v>571</v>
      </c>
      <c r="K52" s="34" t="s">
        <v>140</v>
      </c>
      <c r="M52" s="99">
        <f t="shared" si="3"/>
        <v>1</v>
      </c>
    </row>
    <row r="53">
      <c r="A53" s="51" t="s">
        <v>466</v>
      </c>
      <c r="B53" s="103"/>
      <c r="C53" s="121" t="str">
        <f t="array" ref="C53">ifs(and(isblank($A53),isblank($B53)),"", not(iserror(vlookup($A53&amp;$B53,'5) Release_Track'!$F:$F&amp;'5) Release_Track'!$G:$G,1,0))),vlookup($A53&amp;$B53,{'5) Release_Track'!$F:$F&amp;'5) Release_Track'!$G:$G,'5) Release_Track'!$H:$H},2,0), or(and(not(isblank($B53)),$B53=$B52,$A53&lt;&gt;$A52),and(not(isblank($A53)),$A53=$A52,$B53&lt;&gt;$B52)),"ID LISTS UNALIGNED",and($A53&lt;&gt;"",countif('5) Release_Track'!$F:$F,$A53)=0),"NO ISRC MATCH in Release_Track",and($B53&lt;&gt;"",countif('5) Release_Track'!$G:$G,$B53)=0),"NO CATALOG ID MATCH in Release_Track",iserror(vlookup($A53&amp;$B53,'5) Release_Track'!$F:$F&amp;'5) Release_Track'!$G:$G,1,0)),"NO ISRC-CATALOG ID pair MATCH in Release_Track" )</f>
        <v>Supna</v>
      </c>
      <c r="D53" s="121" t="str">
        <f t="array" ref="D53">ifs(and(isblank($A53),isblank($B53)),"", not(iserror(vlookup($A53&amp;$B53,'5) Release_Track'!$F:$F&amp;'5) Release_Track'!$G:$G,1,0))),vlookup($A53&amp;$B53,{'5) Release_Track'!$F:$F&amp;'5) Release_Track'!$G:$G,'5) Release_Track'!$I:$I},2,0), or(and(not(isblank($B53)),$B53=$B52,$A53&lt;&gt;$A52),and(not(isblank($A53)),$A53=$A52,$B53&lt;&gt;$B52)),"ID LISTS UNALIGNED",and($A53&lt;&gt;"",countif('5) Release_Track'!$F:$F,$A53)=0),"NO ISRC MATCH in Release_Track",and($B53&lt;&gt;"",countif('5) Release_Track'!$G:$G,$B53)=0),"NO CATALOG ID MATCH in Release_Track",iserror(vlookup($A53&amp;$B53,'5) Release_Track'!$F:$F&amp;'5) Release_Track'!$G:$G,1,0)),"NO ISRC-CATALOG ID pair MATCH in Release_Track" )</f>
        <v/>
      </c>
      <c r="E53" s="125" t="str">
        <f t="array" ref="E53">ifs(and(isblank($A53),isblank($B53)),"", not(iserror(vlookup($A53&amp;$B53,'5) Release_Track'!$F:$F&amp;'5) Release_Track'!$G:$G,1,0))),vlookup($A53&amp;$B53,{'5) Release_Track'!$F:$F&amp;'5) Release_Track'!$G:$G,'5) Release_Track'!$J:$J},2,0), or(and(not(isblank($B53)),$B53=$B52,$A53&lt;&gt;$A52),and(not(isblank($A53)),$A53=$A52,$B53&lt;&gt;$B52)),"ID LISTS UNALIGNED",and($A53&lt;&gt;"",countif('5) Release_Track'!$F:$F,$A53)=0),"NO ISRC MATCH in Release_Track",and($B53&lt;&gt;"",countif('5) Release_Track'!$G:$G,$B53)=0),"NO CATALOG ID MATCH in Release_Track",iserror(vlookup($A53&amp;$B53,'5) Release_Track'!$F:$F&amp;'5) Release_Track'!$G:$G,1,0)),"NO ISRC-CATALOG ID pair MATCH in Release_Track" )</f>
        <v>Punjabi</v>
      </c>
      <c r="F53" s="51" t="s">
        <v>135</v>
      </c>
      <c r="G53" s="122" t="s">
        <v>570</v>
      </c>
      <c r="H53" s="174">
        <v>1.0</v>
      </c>
      <c r="I53" s="175">
        <f t="shared" si="1"/>
        <v>1</v>
      </c>
      <c r="J53" s="8" t="s">
        <v>571</v>
      </c>
      <c r="K53" s="34" t="s">
        <v>140</v>
      </c>
      <c r="M53" s="99">
        <f t="shared" si="3"/>
        <v>1</v>
      </c>
    </row>
    <row r="54">
      <c r="A54" s="51" t="s">
        <v>468</v>
      </c>
      <c r="B54" s="103"/>
      <c r="C54" s="121" t="str">
        <f t="array" ref="C54">ifs(and(isblank($A54),isblank($B54)),"", not(iserror(vlookup($A54&amp;$B54,'5) Release_Track'!$F:$F&amp;'5) Release_Track'!$G:$G,1,0))),vlookup($A54&amp;$B54,{'5) Release_Track'!$F:$F&amp;'5) Release_Track'!$G:$G,'5) Release_Track'!$H:$H},2,0), or(and(not(isblank($B54)),$B54=$B53,$A54&lt;&gt;$A53),and(not(isblank($A54)),$A54=$A53,$B54&lt;&gt;$B53)),"ID LISTS UNALIGNED",and($A54&lt;&gt;"",countif('5) Release_Track'!$F:$F,$A54)=0),"NO ISRC MATCH in Release_Track",and($B54&lt;&gt;"",countif('5) Release_Track'!$G:$G,$B54)=0),"NO CATALOG ID MATCH in Release_Track",iserror(vlookup($A54&amp;$B54,'5) Release_Track'!$F:$F&amp;'5) Release_Track'!$G:$G,1,0)),"NO ISRC-CATALOG ID pair MATCH in Release_Track" )</f>
        <v>Tarakiyaan</v>
      </c>
      <c r="D54" s="121" t="str">
        <f t="array" ref="D54">ifs(and(isblank($A54),isblank($B54)),"", not(iserror(vlookup($A54&amp;$B54,'5) Release_Track'!$F:$F&amp;'5) Release_Track'!$G:$G,1,0))),vlookup($A54&amp;$B54,{'5) Release_Track'!$F:$F&amp;'5) Release_Track'!$G:$G,'5) Release_Track'!$I:$I},2,0), or(and(not(isblank($B54)),$B54=$B53,$A54&lt;&gt;$A53),and(not(isblank($A54)),$A54=$A53,$B54&lt;&gt;$B53)),"ID LISTS UNALIGNED",and($A54&lt;&gt;"",countif('5) Release_Track'!$F:$F,$A54)=0),"NO ISRC MATCH in Release_Track",and($B54&lt;&gt;"",countif('5) Release_Track'!$G:$G,$B54)=0),"NO CATALOG ID MATCH in Release_Track",iserror(vlookup($A54&amp;$B54,'5) Release_Track'!$F:$F&amp;'5) Release_Track'!$G:$G,1,0)),"NO ISRC-CATALOG ID pair MATCH in Release_Track" )</f>
        <v/>
      </c>
      <c r="E54" s="125" t="str">
        <f t="array" ref="E54">ifs(and(isblank($A54),isblank($B54)),"", not(iserror(vlookup($A54&amp;$B54,'5) Release_Track'!$F:$F&amp;'5) Release_Track'!$G:$G,1,0))),vlookup($A54&amp;$B54,{'5) Release_Track'!$F:$F&amp;'5) Release_Track'!$G:$G,'5) Release_Track'!$J:$J},2,0), or(and(not(isblank($B54)),$B54=$B53,$A54&lt;&gt;$A53),and(not(isblank($A54)),$A54=$A53,$B54&lt;&gt;$B53)),"ID LISTS UNALIGNED",and($A54&lt;&gt;"",countif('5) Release_Track'!$F:$F,$A54)=0),"NO ISRC MATCH in Release_Track",and($B54&lt;&gt;"",countif('5) Release_Track'!$G:$G,$B54)=0),"NO CATALOG ID MATCH in Release_Track",iserror(vlookup($A54&amp;$B54,'5) Release_Track'!$F:$F&amp;'5) Release_Track'!$G:$G,1,0)),"NO ISRC-CATALOG ID pair MATCH in Release_Track" )</f>
        <v>Punjabi</v>
      </c>
      <c r="F54" s="51" t="s">
        <v>95</v>
      </c>
      <c r="G54" s="122" t="s">
        <v>570</v>
      </c>
      <c r="H54" s="174">
        <v>1.0</v>
      </c>
      <c r="I54" s="175">
        <f t="shared" si="1"/>
        <v>1</v>
      </c>
      <c r="J54" s="8" t="s">
        <v>571</v>
      </c>
      <c r="K54" s="34" t="s">
        <v>140</v>
      </c>
      <c r="M54" s="99">
        <f t="shared" si="3"/>
        <v>1</v>
      </c>
    </row>
    <row r="55">
      <c r="A55" s="51" t="s">
        <v>470</v>
      </c>
      <c r="B55" s="103"/>
      <c r="C55" s="121" t="str">
        <f t="array" ref="C55">ifs(and(isblank($A55),isblank($B55)),"", not(iserror(vlookup($A55&amp;$B55,'5) Release_Track'!$F:$F&amp;'5) Release_Track'!$G:$G,1,0))),vlookup($A55&amp;$B55,{'5) Release_Track'!$F:$F&amp;'5) Release_Track'!$G:$G,'5) Release_Track'!$H:$H},2,0), or(and(not(isblank($B55)),$B55=$B54,$A55&lt;&gt;$A54),and(not(isblank($A55)),$A55=$A54,$B55&lt;&gt;$B54)),"ID LISTS UNALIGNED",and($A55&lt;&gt;"",countif('5) Release_Track'!$F:$F,$A55)=0),"NO ISRC MATCH in Release_Track",and($B55&lt;&gt;"",countif('5) Release_Track'!$G:$G,$B55)=0),"NO CATALOG ID MATCH in Release_Track",iserror(vlookup($A55&amp;$B55,'5) Release_Track'!$F:$F&amp;'5) Release_Track'!$G:$G,1,0)),"NO ISRC-CATALOG ID pair MATCH in Release_Track" )</f>
        <v>Tu Te Main (From "Golak Bugni Bank Te Batua" Soundtrack)</v>
      </c>
      <c r="D55" s="121" t="str">
        <f t="array" ref="D55">ifs(and(isblank($A55),isblank($B55)),"", not(iserror(vlookup($A55&amp;$B55,'5) Release_Track'!$F:$F&amp;'5) Release_Track'!$G:$G,1,0))),vlookup($A55&amp;$B55,{'5) Release_Track'!$F:$F&amp;'5) Release_Track'!$G:$G,'5) Release_Track'!$I:$I},2,0), or(and(not(isblank($B55)),$B55=$B54,$A55&lt;&gt;$A54),and(not(isblank($A55)),$A55=$A54,$B55&lt;&gt;$B54)),"ID LISTS UNALIGNED",and($A55&lt;&gt;"",countif('5) Release_Track'!$F:$F,$A55)=0),"NO ISRC MATCH in Release_Track",and($B55&lt;&gt;"",countif('5) Release_Track'!$G:$G,$B55)=0),"NO CATALOG ID MATCH in Release_Track",iserror(vlookup($A55&amp;$B55,'5) Release_Track'!$F:$F&amp;'5) Release_Track'!$G:$G,1,0)),"NO ISRC-CATALOG ID pair MATCH in Release_Track" )</f>
        <v/>
      </c>
      <c r="E55" s="125" t="str">
        <f t="array" ref="E55">ifs(and(isblank($A55),isblank($B55)),"", not(iserror(vlookup($A55&amp;$B55,'5) Release_Track'!$F:$F&amp;'5) Release_Track'!$G:$G,1,0))),vlookup($A55&amp;$B55,{'5) Release_Track'!$F:$F&amp;'5) Release_Track'!$G:$G,'5) Release_Track'!$J:$J},2,0), or(and(not(isblank($B55)),$B55=$B54,$A55&lt;&gt;$A54),and(not(isblank($A55)),$A55=$A54,$B55&lt;&gt;$B54)),"ID LISTS UNALIGNED",and($A55&lt;&gt;"",countif('5) Release_Track'!$F:$F,$A55)=0),"NO ISRC MATCH in Release_Track",and($B55&lt;&gt;"",countif('5) Release_Track'!$G:$G,$B55)=0),"NO CATALOG ID MATCH in Release_Track",iserror(vlookup($A55&amp;$B55,'5) Release_Track'!$F:$F&amp;'5) Release_Track'!$G:$G,1,0)),"NO ISRC-CATALOG ID pair MATCH in Release_Track" )</f>
        <v>Punjabi</v>
      </c>
      <c r="F55" s="51" t="s">
        <v>51</v>
      </c>
      <c r="G55" s="122" t="s">
        <v>570</v>
      </c>
      <c r="H55" s="174">
        <v>1.0</v>
      </c>
      <c r="I55" s="175">
        <f t="shared" si="1"/>
        <v>1</v>
      </c>
      <c r="J55" s="8" t="s">
        <v>571</v>
      </c>
      <c r="K55" s="176" t="s">
        <v>140</v>
      </c>
      <c r="M55" s="99">
        <f t="shared" si="3"/>
        <v>1</v>
      </c>
    </row>
    <row r="56">
      <c r="A56" s="51" t="s">
        <v>472</v>
      </c>
      <c r="B56" s="103"/>
      <c r="C56" s="121" t="str">
        <f t="array" ref="C56">ifs(and(isblank($A56),isblank($B56)),"", not(iserror(vlookup($A56&amp;$B56,'5) Release_Track'!$F:$F&amp;'5) Release_Track'!$G:$G,1,0))),vlookup($A56&amp;$B56,{'5) Release_Track'!$F:$F&amp;'5) Release_Track'!$G:$G,'5) Release_Track'!$H:$H},2,0), or(and(not(isblank($B56)),$B56=$B55,$A56&lt;&gt;$A55),and(not(isblank($A56)),$A56=$A55,$B56&lt;&gt;$B55)),"ID LISTS UNALIGNED",and($A56&lt;&gt;"",countif('5) Release_Track'!$F:$F,$A56)=0),"NO ISRC MATCH in Release_Track",and($B56&lt;&gt;"",countif('5) Release_Track'!$G:$G,$B56)=0),"NO CATALOG ID MATCH in Release_Track",iserror(vlookup($A56&amp;$B56,'5) Release_Track'!$F:$F&amp;'5) Release_Track'!$G:$G,1,0)),"NO ISRC-CATALOG ID pair MATCH in Release_Track" )</f>
        <v>Vaar (From "Bhalwan Singh" Soundtrack)</v>
      </c>
      <c r="D56" s="121" t="str">
        <f t="array" ref="D56">ifs(and(isblank($A56),isblank($B56)),"", not(iserror(vlookup($A56&amp;$B56,'5) Release_Track'!$F:$F&amp;'5) Release_Track'!$G:$G,1,0))),vlookup($A56&amp;$B56,{'5) Release_Track'!$F:$F&amp;'5) Release_Track'!$G:$G,'5) Release_Track'!$I:$I},2,0), or(and(not(isblank($B56)),$B56=$B55,$A56&lt;&gt;$A55),and(not(isblank($A56)),$A56=$A55,$B56&lt;&gt;$B55)),"ID LISTS UNALIGNED",and($A56&lt;&gt;"",countif('5) Release_Track'!$F:$F,$A56)=0),"NO ISRC MATCH in Release_Track",and($B56&lt;&gt;"",countif('5) Release_Track'!$G:$G,$B56)=0),"NO CATALOG ID MATCH in Release_Track",iserror(vlookup($A56&amp;$B56,'5) Release_Track'!$F:$F&amp;'5) Release_Track'!$G:$G,1,0)),"NO ISRC-CATALOG ID pair MATCH in Release_Track" )</f>
        <v/>
      </c>
      <c r="E56" s="125" t="str">
        <f t="array" ref="E56">ifs(and(isblank($A56),isblank($B56)),"", not(iserror(vlookup($A56&amp;$B56,'5) Release_Track'!$F:$F&amp;'5) Release_Track'!$G:$G,1,0))),vlookup($A56&amp;$B56,{'5) Release_Track'!$F:$F&amp;'5) Release_Track'!$G:$G,'5) Release_Track'!$J:$J},2,0), or(and(not(isblank($B56)),$B56=$B55,$A56&lt;&gt;$A55),and(not(isblank($A56)),$A56=$A55,$B56&lt;&gt;$B55)),"ID LISTS UNALIGNED",and($A56&lt;&gt;"",countif('5) Release_Track'!$F:$F,$A56)=0),"NO ISRC MATCH in Release_Track",and($B56&lt;&gt;"",countif('5) Release_Track'!$G:$G,$B56)=0),"NO CATALOG ID MATCH in Release_Track",iserror(vlookup($A56&amp;$B56,'5) Release_Track'!$F:$F&amp;'5) Release_Track'!$G:$G,1,0)),"NO ISRC-CATALOG ID pair MATCH in Release_Track" )</f>
        <v>Punjabi</v>
      </c>
      <c r="F56" s="51" t="s">
        <v>47</v>
      </c>
      <c r="G56" s="122" t="s">
        <v>570</v>
      </c>
      <c r="H56" s="174">
        <v>1.0</v>
      </c>
      <c r="I56" s="175">
        <f t="shared" si="1"/>
        <v>1</v>
      </c>
      <c r="J56" s="8" t="s">
        <v>571</v>
      </c>
      <c r="K56" s="176" t="s">
        <v>140</v>
      </c>
      <c r="M56" s="99">
        <f t="shared" si="3"/>
        <v>1</v>
      </c>
    </row>
    <row r="57">
      <c r="A57" s="51" t="s">
        <v>474</v>
      </c>
      <c r="B57" s="103"/>
      <c r="C57" s="121" t="str">
        <f t="array" ref="C57">ifs(and(isblank($A57),isblank($B57)),"", not(iserror(vlookup($A57&amp;$B57,'5) Release_Track'!$F:$F&amp;'5) Release_Track'!$G:$G,1,0))),vlookup($A57&amp;$B57,{'5) Release_Track'!$F:$F&amp;'5) Release_Track'!$G:$G,'5) Release_Track'!$H:$H},2,0), or(and(not(isblank($B57)),$B57=$B56,$A57&lt;&gt;$A56),and(not(isblank($A57)),$A57=$A56,$B57&lt;&gt;$B56)),"ID LISTS UNALIGNED",and($A57&lt;&gt;"",countif('5) Release_Track'!$F:$F,$A57)=0),"NO ISRC MATCH in Release_Track",and($B57&lt;&gt;"",countif('5) Release_Track'!$G:$G,$B57)=0),"NO CATALOG ID MATCH in Release_Track",iserror(vlookup($A57&amp;$B57,'5) Release_Track'!$F:$F&amp;'5) Release_Track'!$G:$G,1,0)),"NO ISRC-CATALOG ID pair MATCH in Release_Track" )</f>
        <v>Vekh Baraatan Challiyan - Title Song (From "Vekh Baraatan Challiyan" Soundtrack)</v>
      </c>
      <c r="D57" s="121" t="str">
        <f t="array" ref="D57">ifs(and(isblank($A57),isblank($B57)),"", not(iserror(vlookup($A57&amp;$B57,'5) Release_Track'!$F:$F&amp;'5) Release_Track'!$G:$G,1,0))),vlookup($A57&amp;$B57,{'5) Release_Track'!$F:$F&amp;'5) Release_Track'!$G:$G,'5) Release_Track'!$I:$I},2,0), or(and(not(isblank($B57)),$B57=$B56,$A57&lt;&gt;$A56),and(not(isblank($A57)),$A57=$A56,$B57&lt;&gt;$B56)),"ID LISTS UNALIGNED",and($A57&lt;&gt;"",countif('5) Release_Track'!$F:$F,$A57)=0),"NO ISRC MATCH in Release_Track",and($B57&lt;&gt;"",countif('5) Release_Track'!$G:$G,$B57)=0),"NO CATALOG ID MATCH in Release_Track",iserror(vlookup($A57&amp;$B57,'5) Release_Track'!$F:$F&amp;'5) Release_Track'!$G:$G,1,0)),"NO ISRC-CATALOG ID pair MATCH in Release_Track" )</f>
        <v/>
      </c>
      <c r="E57" s="125" t="str">
        <f t="array" ref="E57">ifs(and(isblank($A57),isblank($B57)),"", not(iserror(vlookup($A57&amp;$B57,'5) Release_Track'!$F:$F&amp;'5) Release_Track'!$G:$G,1,0))),vlookup($A57&amp;$B57,{'5) Release_Track'!$F:$F&amp;'5) Release_Track'!$G:$G,'5) Release_Track'!$J:$J},2,0), or(and(not(isblank($B57)),$B57=$B56,$A57&lt;&gt;$A56),and(not(isblank($A57)),$A57=$A56,$B57&lt;&gt;$B56)),"ID LISTS UNALIGNED",and($A57&lt;&gt;"",countif('5) Release_Track'!$F:$F,$A57)=0),"NO ISRC MATCH in Release_Track",and($B57&lt;&gt;"",countif('5) Release_Track'!$G:$G,$B57)=0),"NO CATALOG ID MATCH in Release_Track",iserror(vlookup($A57&amp;$B57,'5) Release_Track'!$F:$F&amp;'5) Release_Track'!$G:$G,1,0)),"NO ISRC-CATALOG ID pair MATCH in Release_Track" )</f>
        <v>Punjabi</v>
      </c>
      <c r="F57" s="51" t="s">
        <v>47</v>
      </c>
      <c r="G57" s="122" t="s">
        <v>570</v>
      </c>
      <c r="H57" s="174">
        <v>1.0</v>
      </c>
      <c r="I57" s="175">
        <f t="shared" si="1"/>
        <v>1</v>
      </c>
      <c r="J57" s="8" t="s">
        <v>571</v>
      </c>
      <c r="K57" s="47" t="s">
        <v>140</v>
      </c>
      <c r="M57" s="99">
        <f t="shared" si="3"/>
        <v>1</v>
      </c>
    </row>
    <row r="58">
      <c r="A58" s="51" t="s">
        <v>476</v>
      </c>
      <c r="B58" s="103"/>
      <c r="C58" s="121" t="str">
        <f t="array" ref="C58">ifs(and(isblank($A58),isblank($B58)),"", not(iserror(vlookup($A58&amp;$B58,'5) Release_Track'!$F:$F&amp;'5) Release_Track'!$G:$G,1,0))),vlookup($A58&amp;$B58,{'5) Release_Track'!$F:$F&amp;'5) Release_Track'!$G:$G,'5) Release_Track'!$H:$H},2,0), or(and(not(isblank($B58)),$B58=$B57,$A58&lt;&gt;$A57),and(not(isblank($A58)),$A58=$A57,$B58&lt;&gt;$B57)),"ID LISTS UNALIGNED",and($A58&lt;&gt;"",countif('5) Release_Track'!$F:$F,$A58)=0),"NO ISRC MATCH in Release_Track",and($B58&lt;&gt;"",countif('5) Release_Track'!$G:$G,$B58)=0),"NO CATALOG ID MATCH in Release_Track",iserror(vlookup($A58&amp;$B58,'5) Release_Track'!$F:$F&amp;'5) Release_Track'!$G:$G,1,0)),"NO ISRC-CATALOG ID pair MATCH in Release_Track" )</f>
        <v>Leekan (From "Ashke" Soundtrack)</v>
      </c>
      <c r="D58" s="121" t="str">
        <f t="array" ref="D58">ifs(and(isblank($A58),isblank($B58)),"", not(iserror(vlookup($A58&amp;$B58,'5) Release_Track'!$F:$F&amp;'5) Release_Track'!$G:$G,1,0))),vlookup($A58&amp;$B58,{'5) Release_Track'!$F:$F&amp;'5) Release_Track'!$G:$G,'5) Release_Track'!$I:$I},2,0), or(and(not(isblank($B58)),$B58=$B57,$A58&lt;&gt;$A57),and(not(isblank($A58)),$A58=$A57,$B58&lt;&gt;$B57)),"ID LISTS UNALIGNED",and($A58&lt;&gt;"",countif('5) Release_Track'!$F:$F,$A58)=0),"NO ISRC MATCH in Release_Track",and($B58&lt;&gt;"",countif('5) Release_Track'!$G:$G,$B58)=0),"NO CATALOG ID MATCH in Release_Track",iserror(vlookup($A58&amp;$B58,'5) Release_Track'!$F:$F&amp;'5) Release_Track'!$G:$G,1,0)),"NO ISRC-CATALOG ID pair MATCH in Release_Track" )</f>
        <v/>
      </c>
      <c r="E58" s="125" t="str">
        <f t="array" ref="E58">ifs(and(isblank($A58),isblank($B58)),"", not(iserror(vlookup($A58&amp;$B58,'5) Release_Track'!$F:$F&amp;'5) Release_Track'!$G:$G,1,0))),vlookup($A58&amp;$B58,{'5) Release_Track'!$F:$F&amp;'5) Release_Track'!$G:$G,'5) Release_Track'!$J:$J},2,0), or(and(not(isblank($B58)),$B58=$B57,$A58&lt;&gt;$A57),and(not(isblank($A58)),$A58=$A57,$B58&lt;&gt;$B57)),"ID LISTS UNALIGNED",and($A58&lt;&gt;"",countif('5) Release_Track'!$F:$F,$A58)=0),"NO ISRC MATCH in Release_Track",and($B58&lt;&gt;"",countif('5) Release_Track'!$G:$G,$B58)=0),"NO CATALOG ID MATCH in Release_Track",iserror(vlookup($A58&amp;$B58,'5) Release_Track'!$F:$F&amp;'5) Release_Track'!$G:$G,1,0)),"NO ISRC-CATALOG ID pair MATCH in Release_Track" )</f>
        <v>Punjabi</v>
      </c>
      <c r="F58" s="51" t="s">
        <v>51</v>
      </c>
      <c r="G58" s="122" t="s">
        <v>570</v>
      </c>
      <c r="H58" s="174">
        <v>1.0</v>
      </c>
      <c r="I58" s="175">
        <f t="shared" si="1"/>
        <v>1</v>
      </c>
      <c r="J58" s="8" t="s">
        <v>571</v>
      </c>
      <c r="K58" s="176" t="s">
        <v>140</v>
      </c>
      <c r="M58" s="99">
        <f t="shared" si="3"/>
        <v>1</v>
      </c>
    </row>
    <row r="59">
      <c r="A59" s="51" t="s">
        <v>478</v>
      </c>
      <c r="B59" s="103"/>
      <c r="C59" s="121" t="str">
        <f t="array" ref="C59">ifs(and(isblank($A59),isblank($B59)),"", not(iserror(vlookup($A59&amp;$B59,'5) Release_Track'!$F:$F&amp;'5) Release_Track'!$G:$G,1,0))),vlookup($A59&amp;$B59,{'5) Release_Track'!$F:$F&amp;'5) Release_Track'!$G:$G,'5) Release_Track'!$H:$H},2,0), or(and(not(isblank($B59)),$B59=$B58,$A59&lt;&gt;$A58),and(not(isblank($A59)),$A59=$A58,$B59&lt;&gt;$B58)),"ID LISTS UNALIGNED",and($A59&lt;&gt;"",countif('5) Release_Track'!$F:$F,$A59)=0),"NO ISRC MATCH in Release_Track",and($B59&lt;&gt;"",countif('5) Release_Track'!$G:$G,$B59)=0),"NO CATALOG ID MATCH in Release_Track",iserror(vlookup($A59&amp;$B59,'5) Release_Track'!$F:$F&amp;'5) Release_Track'!$G:$G,1,0)),"NO ISRC-CATALOG ID pair MATCH in Release_Track" )</f>
        <v>Handsome Jatta (From "Ashke" Soundtrack)</v>
      </c>
      <c r="D59" s="121" t="str">
        <f t="array" ref="D59">ifs(and(isblank($A59),isblank($B59)),"", not(iserror(vlookup($A59&amp;$B59,'5) Release_Track'!$F:$F&amp;'5) Release_Track'!$G:$G,1,0))),vlookup($A59&amp;$B59,{'5) Release_Track'!$F:$F&amp;'5) Release_Track'!$G:$G,'5) Release_Track'!$I:$I},2,0), or(and(not(isblank($B59)),$B59=$B58,$A59&lt;&gt;$A58),and(not(isblank($A59)),$A59=$A58,$B59&lt;&gt;$B58)),"ID LISTS UNALIGNED",and($A59&lt;&gt;"",countif('5) Release_Track'!$F:$F,$A59)=0),"NO ISRC MATCH in Release_Track",and($B59&lt;&gt;"",countif('5) Release_Track'!$G:$G,$B59)=0),"NO CATALOG ID MATCH in Release_Track",iserror(vlookup($A59&amp;$B59,'5) Release_Track'!$F:$F&amp;'5) Release_Track'!$G:$G,1,0)),"NO ISRC-CATALOG ID pair MATCH in Release_Track" )</f>
        <v/>
      </c>
      <c r="E59" s="125" t="str">
        <f t="array" ref="E59">ifs(and(isblank($A59),isblank($B59)),"", not(iserror(vlookup($A59&amp;$B59,'5) Release_Track'!$F:$F&amp;'5) Release_Track'!$G:$G,1,0))),vlookup($A59&amp;$B59,{'5) Release_Track'!$F:$F&amp;'5) Release_Track'!$G:$G,'5) Release_Track'!$J:$J},2,0), or(and(not(isblank($B59)),$B59=$B58,$A59&lt;&gt;$A58),and(not(isblank($A59)),$A59=$A58,$B59&lt;&gt;$B58)),"ID LISTS UNALIGNED",and($A59&lt;&gt;"",countif('5) Release_Track'!$F:$F,$A59)=0),"NO ISRC MATCH in Release_Track",and($B59&lt;&gt;"",countif('5) Release_Track'!$G:$G,$B59)=0),"NO CATALOG ID MATCH in Release_Track",iserror(vlookup($A59&amp;$B59,'5) Release_Track'!$F:$F&amp;'5) Release_Track'!$G:$G,1,0)),"NO ISRC-CATALOG ID pair MATCH in Release_Track" )</f>
        <v>Punjabi</v>
      </c>
      <c r="F59" s="51" t="s">
        <v>101</v>
      </c>
      <c r="G59" s="122" t="s">
        <v>572</v>
      </c>
      <c r="H59" s="174">
        <v>1.0</v>
      </c>
      <c r="I59" s="175">
        <f t="shared" si="1"/>
        <v>1</v>
      </c>
      <c r="J59" s="8" t="s">
        <v>571</v>
      </c>
      <c r="K59" s="176" t="s">
        <v>140</v>
      </c>
      <c r="M59" s="99">
        <f t="shared" si="3"/>
        <v>1</v>
      </c>
    </row>
    <row r="60">
      <c r="A60" s="51" t="s">
        <v>480</v>
      </c>
      <c r="B60" s="103"/>
      <c r="C60" s="121" t="str">
        <f t="array" ref="C60">ifs(and(isblank($A60),isblank($B60)),"", not(iserror(vlookup($A60&amp;$B60,'5) Release_Track'!$F:$F&amp;'5) Release_Track'!$G:$G,1,0))),vlookup($A60&amp;$B60,{'5) Release_Track'!$F:$F&amp;'5) Release_Track'!$G:$G,'5) Release_Track'!$H:$H},2,0), or(and(not(isblank($B60)),$B60=#REF!,$A60&lt;&gt;#REF!),and(not(isblank($A60)),$A60=#REF!,$B60&lt;&gt;#REF!)),"ID LISTS UNALIGNED",and($A60&lt;&gt;"",countif('5) Release_Track'!$F:$F,$A60)=0),"NO ISRC MATCH in Release_Track",and($B60&lt;&gt;"",countif('5) Release_Track'!$G:$G,$B60)=0),"NO CATALOG ID MATCH in Release_Track",iserror(vlookup($A60&amp;$B60,'5) Release_Track'!$F:$F&amp;'5) Release_Track'!$G:$G,1,0)),"NO ISRC-CATALOG ID pair MATCH in Release_Track" )</f>
        <v>Bholepan (From "Ashke" Soundtrack)</v>
      </c>
      <c r="D60" s="121" t="str">
        <f t="array" ref="D60">ifs(and(isblank($A60),isblank($B60)),"", not(iserror(vlookup($A60&amp;$B60,'5) Release_Track'!$F:$F&amp;'5) Release_Track'!$G:$G,1,0))),vlookup($A60&amp;$B60,{'5) Release_Track'!$F:$F&amp;'5) Release_Track'!$G:$G,'5) Release_Track'!$I:$I},2,0), or(and(not(isblank($B60)),$B60=#REF!,$A60&lt;&gt;#REF!),and(not(isblank($A60)),$A60=#REF!,$B60&lt;&gt;#REF!)),"ID LISTS UNALIGNED",and($A60&lt;&gt;"",countif('5) Release_Track'!$F:$F,$A60)=0),"NO ISRC MATCH in Release_Track",and($B60&lt;&gt;"",countif('5) Release_Track'!$G:$G,$B60)=0),"NO CATALOG ID MATCH in Release_Track",iserror(vlookup($A60&amp;$B60,'5) Release_Track'!$F:$F&amp;'5) Release_Track'!$G:$G,1,0)),"NO ISRC-CATALOG ID pair MATCH in Release_Track" )</f>
        <v/>
      </c>
      <c r="E60" s="125" t="str">
        <f t="array" ref="E60">ifs(and(isblank($A60),isblank($B60)),"", not(iserror(vlookup($A60&amp;$B60,'5) Release_Track'!$F:$F&amp;'5) Release_Track'!$G:$G,1,0))),vlookup($A60&amp;$B60,{'5) Release_Track'!$F:$F&amp;'5) Release_Track'!$G:$G,'5) Release_Track'!$J:$J},2,0), or(and(not(isblank($B60)),$B60=$B59,$A60&lt;&gt;$A59),and(not(isblank($A60)),$A60=$A59,$B60&lt;&gt;$B59)),"ID LISTS UNALIGNED",and($A60&lt;&gt;"",countif('5) Release_Track'!$F:$F,$A60)=0),"NO ISRC MATCH in Release_Track",and($B60&lt;&gt;"",countif('5) Release_Track'!$G:$G,$B60)=0),"NO CATALOG ID MATCH in Release_Track",iserror(vlookup($A60&amp;$B60,'5) Release_Track'!$F:$F&amp;'5) Release_Track'!$G:$G,1,0)),"NO ISRC-CATALOG ID pair MATCH in Release_Track" )</f>
        <v>Punjabi</v>
      </c>
      <c r="F60" s="51" t="s">
        <v>51</v>
      </c>
      <c r="G60" s="122" t="s">
        <v>570</v>
      </c>
      <c r="H60" s="174">
        <v>1.0</v>
      </c>
      <c r="I60" s="175">
        <f t="shared" si="1"/>
        <v>1</v>
      </c>
      <c r="J60" s="8" t="s">
        <v>571</v>
      </c>
      <c r="K60" s="47" t="s">
        <v>140</v>
      </c>
      <c r="M60" s="99">
        <f t="shared" si="3"/>
        <v>1</v>
      </c>
    </row>
    <row r="61">
      <c r="A61" s="51" t="s">
        <v>482</v>
      </c>
      <c r="B61" s="103"/>
      <c r="C61" s="121" t="str">
        <f t="array" ref="C61">ifs(and(isblank($A61),isblank($B61)),"", not(iserror(vlookup($A61&amp;$B61,'5) Release_Track'!$F:$F&amp;'5) Release_Track'!$G:$G,1,0))),vlookup($A61&amp;$B61,{'5) Release_Track'!$F:$F&amp;'5) Release_Track'!$G:$G,'5) Release_Track'!$H:$H},2,0), or(and(not(isblank($B61)),$B61=$B60,$A61&lt;&gt;$A60),and(not(isblank($A61)),$A61=$A60,$B61&lt;&gt;$B60)),"ID LISTS UNALIGNED",and($A61&lt;&gt;"",countif('5) Release_Track'!$F:$F,$A61)=0),"NO ISRC MATCH in Release_Track",and($B61&lt;&gt;"",countif('5) Release_Track'!$G:$G,$B61)=0),"NO CATALOG ID MATCH in Release_Track",iserror(vlookup($A61&amp;$B61,'5) Release_Track'!$F:$F&amp;'5) Release_Track'!$G:$G,1,0)),"NO ISRC-CATALOG ID pair MATCH in Release_Track" )</f>
        <v>Eh Tanhayi</v>
      </c>
      <c r="D61" s="121" t="str">
        <f t="array" ref="D61">ifs(and(isblank($A61),isblank($B61)),"", not(iserror(vlookup($A61&amp;$B61,'5) Release_Track'!$F:$F&amp;'5) Release_Track'!$G:$G,1,0))),vlookup($A61&amp;$B61,{'5) Release_Track'!$F:$F&amp;'5) Release_Track'!$G:$G,'5) Release_Track'!$I:$I},2,0), or(and(not(isblank($B61)),$B61=$B60,$A61&lt;&gt;$A60),and(not(isblank($A61)),$A61=$A60,$B61&lt;&gt;$B60)),"ID LISTS UNALIGNED",and($A61&lt;&gt;"",countif('5) Release_Track'!$F:$F,$A61)=0),"NO ISRC MATCH in Release_Track",and($B61&lt;&gt;"",countif('5) Release_Track'!$G:$G,$B61)=0),"NO CATALOG ID MATCH in Release_Track",iserror(vlookup($A61&amp;$B61,'5) Release_Track'!$F:$F&amp;'5) Release_Track'!$G:$G,1,0)),"NO ISRC-CATALOG ID pair MATCH in Release_Track" )</f>
        <v/>
      </c>
      <c r="E61" s="125" t="str">
        <f t="array" ref="E61">ifs(and(isblank($A61),isblank($B61)),"", not(iserror(vlookup($A61&amp;$B61,'5) Release_Track'!$F:$F&amp;'5) Release_Track'!$G:$G,1,0))),vlookup($A61&amp;$B61,{'5) Release_Track'!$F:$F&amp;'5) Release_Track'!$G:$G,'5) Release_Track'!$J:$J},2,0), or(and(not(isblank($B61)),$B61=$B60,$A61&lt;&gt;$A60),and(not(isblank($A61)),$A61=$A60,$B61&lt;&gt;$B60)),"ID LISTS UNALIGNED",and($A61&lt;&gt;"",countif('5) Release_Track'!$F:$F,$A61)=0),"NO ISRC MATCH in Release_Track",and($B61&lt;&gt;"",countif('5) Release_Track'!$G:$G,$B61)=0),"NO CATALOG ID MATCH in Release_Track",iserror(vlookup($A61&amp;$B61,'5) Release_Track'!$F:$F&amp;'5) Release_Track'!$G:$G,1,0)),"NO ISRC-CATALOG ID pair MATCH in Release_Track" )</f>
        <v>Punjabi</v>
      </c>
      <c r="F61" s="51" t="s">
        <v>47</v>
      </c>
      <c r="G61" s="122" t="s">
        <v>570</v>
      </c>
      <c r="H61" s="174">
        <v>1.0</v>
      </c>
      <c r="I61" s="175">
        <f t="shared" si="1"/>
        <v>1</v>
      </c>
      <c r="J61" s="8" t="s">
        <v>571</v>
      </c>
      <c r="K61" s="47" t="s">
        <v>140</v>
      </c>
      <c r="M61" s="99">
        <f t="shared" si="3"/>
        <v>1</v>
      </c>
    </row>
    <row r="62">
      <c r="A62" s="51" t="s">
        <v>484</v>
      </c>
      <c r="B62" s="103"/>
      <c r="C62" s="121" t="str">
        <f t="array" ref="C62">ifs(and(isblank($A62),isblank($B62)),"", not(iserror(vlookup($A62&amp;$B62,'5) Release_Track'!$F:$F&amp;'5) Release_Track'!$G:$G,1,0))),vlookup($A62&amp;$B62,{'5) Release_Track'!$F:$F&amp;'5) Release_Track'!$G:$G,'5) Release_Track'!$H:$H},2,0), or(and(not(isblank($B62)),$B62=$B61,$A62&lt;&gt;$A61),and(not(isblank($A62)),$A62=$A61,$B62&lt;&gt;$B61)),"ID LISTS UNALIGNED",and($A62&lt;&gt;"",countif('5) Release_Track'!$F:$F,$A62)=0),"NO ISRC MATCH in Release_Track",and($B62&lt;&gt;"",countif('5) Release_Track'!$G:$G,$B62)=0),"NO CATALOG ID MATCH in Release_Track",iserror(vlookup($A62&amp;$B62,'5) Release_Track'!$F:$F&amp;'5) Release_Track'!$G:$G,1,0)),"NO ISRC-CATALOG ID pair MATCH in Release_Track" )</f>
        <v>Tere Naal Viahi</v>
      </c>
      <c r="D62" s="121" t="str">
        <f t="array" ref="D62">ifs(and(isblank($A62),isblank($B62)),"", not(iserror(vlookup($A62&amp;$B62,'5) Release_Track'!$F:$F&amp;'5) Release_Track'!$G:$G,1,0))),vlookup($A62&amp;$B62,{'5) Release_Track'!$F:$F&amp;'5) Release_Track'!$G:$G,'5) Release_Track'!$I:$I},2,0), or(and(not(isblank($B62)),$B62=$B61,$A62&lt;&gt;$A61),and(not(isblank($A62)),$A62=$A61,$B62&lt;&gt;$B61)),"ID LISTS UNALIGNED",and($A62&lt;&gt;"",countif('5) Release_Track'!$F:$F,$A62)=0),"NO ISRC MATCH in Release_Track",and($B62&lt;&gt;"",countif('5) Release_Track'!$G:$G,$B62)=0),"NO CATALOG ID MATCH in Release_Track",iserror(vlookup($A62&amp;$B62,'5) Release_Track'!$F:$F&amp;'5) Release_Track'!$G:$G,1,0)),"NO ISRC-CATALOG ID pair MATCH in Release_Track" )</f>
        <v/>
      </c>
      <c r="E62" s="125" t="str">
        <f t="array" ref="E62">ifs(and(isblank($A62),isblank($B62)),"", not(iserror(vlookup($A62&amp;$B62,'5) Release_Track'!$F:$F&amp;'5) Release_Track'!$G:$G,1,0))),vlookup($A62&amp;$B62,{'5) Release_Track'!$F:$F&amp;'5) Release_Track'!$G:$G,'5) Release_Track'!$J:$J},2,0), or(and(not(isblank($B62)),$B62=$B61,$A62&lt;&gt;$A61),and(not(isblank($A62)),$A62=$A61,$B62&lt;&gt;$B61)),"ID LISTS UNALIGNED",and($A62&lt;&gt;"",countif('5) Release_Track'!$F:$F,$A62)=0),"NO ISRC MATCH in Release_Track",and($B62&lt;&gt;"",countif('5) Release_Track'!$G:$G,$B62)=0),"NO CATALOG ID MATCH in Release_Track",iserror(vlookup($A62&amp;$B62,'5) Release_Track'!$F:$F&amp;'5) Release_Track'!$G:$G,1,0)),"NO ISRC-CATALOG ID pair MATCH in Release_Track" )</f>
        <v>Punjabi</v>
      </c>
      <c r="F62" s="51" t="s">
        <v>51</v>
      </c>
      <c r="G62" s="122" t="s">
        <v>570</v>
      </c>
      <c r="H62" s="174">
        <v>1.0</v>
      </c>
      <c r="I62" s="175">
        <f t="shared" si="1"/>
        <v>1</v>
      </c>
      <c r="J62" s="8" t="s">
        <v>571</v>
      </c>
      <c r="K62" s="47" t="s">
        <v>140</v>
      </c>
      <c r="M62" s="99">
        <f t="shared" si="3"/>
        <v>1</v>
      </c>
    </row>
    <row r="63">
      <c r="A63" s="51" t="s">
        <v>486</v>
      </c>
      <c r="B63" s="103"/>
      <c r="C63" s="121" t="str">
        <f t="array" ref="C63">ifs(and(isblank($A63),isblank($B63)),"", not(iserror(vlookup($A63&amp;$B63,'5) Release_Track'!$F:$F&amp;'5) Release_Track'!$G:$G,1,0))),vlookup($A63&amp;$B63,{'5) Release_Track'!$F:$F&amp;'5) Release_Track'!$G:$G,'5) Release_Track'!$H:$H},2,0), or(and(not(isblank($B63)),$B63=$B62,$A63&lt;&gt;$A62),and(not(isblank($A63)),$A63=$A62,$B63&lt;&gt;$B62)),"ID LISTS UNALIGNED",and($A63&lt;&gt;"",countif('5) Release_Track'!$F:$F,$A63)=0),"NO ISRC MATCH in Release_Track",and($B63&lt;&gt;"",countif('5) Release_Track'!$G:$G,$B63)=0),"NO CATALOG ID MATCH in Release_Track",iserror(vlookup($A63&amp;$B63,'5) Release_Track'!$F:$F&amp;'5) Release_Track'!$G:$G,1,0)),"NO ISRC-CATALOG ID pair MATCH in Release_Track" )</f>
        <v>Ashke - Title Song (From "Ashke" Soundtrack)</v>
      </c>
      <c r="D63" s="121" t="str">
        <f t="array" ref="D63">ifs(and(isblank($A63),isblank($B63)),"", not(iserror(vlookup($A63&amp;$B63,'5) Release_Track'!$F:$F&amp;'5) Release_Track'!$G:$G,1,0))),vlookup($A63&amp;$B63,{'5) Release_Track'!$F:$F&amp;'5) Release_Track'!$G:$G,'5) Release_Track'!$I:$I},2,0), or(and(not(isblank($B63)),$B63=$B62,$A63&lt;&gt;$A62),and(not(isblank($A63)),$A63=$A62,$B63&lt;&gt;$B62)),"ID LISTS UNALIGNED",and($A63&lt;&gt;"",countif('5) Release_Track'!$F:$F,$A63)=0),"NO ISRC MATCH in Release_Track",and($B63&lt;&gt;"",countif('5) Release_Track'!$G:$G,$B63)=0),"NO CATALOG ID MATCH in Release_Track",iserror(vlookup($A63&amp;$B63,'5) Release_Track'!$F:$F&amp;'5) Release_Track'!$G:$G,1,0)),"NO ISRC-CATALOG ID pair MATCH in Release_Track" )</f>
        <v/>
      </c>
      <c r="E63" s="125" t="str">
        <f t="array" ref="E63">ifs(and(isblank($A63),isblank($B63)),"", not(iserror(vlookup($A63&amp;$B63,'5) Release_Track'!$F:$F&amp;'5) Release_Track'!$G:$G,1,0))),vlookup($A63&amp;$B63,{'5) Release_Track'!$F:$F&amp;'5) Release_Track'!$G:$G,'5) Release_Track'!$J:$J},2,0), or(and(not(isblank($B63)),$B63=$B62,$A63&lt;&gt;$A62),and(not(isblank($A63)),$A63=$A62,$B63&lt;&gt;$B62)),"ID LISTS UNALIGNED",and($A63&lt;&gt;"",countif('5) Release_Track'!$F:$F,$A63)=0),"NO ISRC MATCH in Release_Track",and($B63&lt;&gt;"",countif('5) Release_Track'!$G:$G,$B63)=0),"NO CATALOG ID MATCH in Release_Track",iserror(vlookup($A63&amp;$B63,'5) Release_Track'!$F:$F&amp;'5) Release_Track'!$G:$G,1,0)),"NO ISRC-CATALOG ID pair MATCH in Release_Track" )</f>
        <v>Punjabi</v>
      </c>
      <c r="F63" s="51" t="s">
        <v>51</v>
      </c>
      <c r="G63" s="122" t="s">
        <v>570</v>
      </c>
      <c r="H63" s="174">
        <v>1.0</v>
      </c>
      <c r="I63" s="175">
        <f t="shared" si="1"/>
        <v>1</v>
      </c>
      <c r="J63" s="8" t="s">
        <v>571</v>
      </c>
      <c r="K63" s="47" t="s">
        <v>140</v>
      </c>
      <c r="M63" s="99">
        <f t="shared" si="3"/>
        <v>1</v>
      </c>
    </row>
    <row r="64">
      <c r="A64" s="51" t="s">
        <v>488</v>
      </c>
      <c r="B64" s="103"/>
      <c r="C64" s="121" t="str">
        <f t="array" ref="C64">ifs(and(isblank($A64),isblank($B64)),"", not(iserror(vlookup($A64&amp;$B64,'5) Release_Track'!$F:$F&amp;'5) Release_Track'!$G:$G,1,0))),vlookup($A64&amp;$B64,{'5) Release_Track'!$F:$F&amp;'5) Release_Track'!$G:$G,'5) Release_Track'!$H:$H},2,0), or(and(not(isblank($B64)),$B64=$B63,$A64&lt;&gt;$A63),and(not(isblank($A64)),$A64=$A63,$B64&lt;&gt;$B63)),"ID LISTS UNALIGNED",and($A64&lt;&gt;"",countif('5) Release_Track'!$F:$F,$A64)=0),"NO ISRC MATCH in Release_Track",and($B64&lt;&gt;"",countif('5) Release_Track'!$G:$G,$B64)=0),"NO CATALOG ID MATCH in Release_Track",iserror(vlookup($A64&amp;$B64,'5) Release_Track'!$F:$F&amp;'5) Release_Track'!$G:$G,1,0)),"NO ISRC-CATALOG ID pair MATCH in Release_Track" )</f>
        <v>Ashke Boliyan (From "Ashke" Soundtrack)</v>
      </c>
      <c r="D64" s="121" t="str">
        <f t="array" ref="D64">ifs(and(isblank($A64),isblank($B64)),"", not(iserror(vlookup($A64&amp;$B64,'5) Release_Track'!$F:$F&amp;'5) Release_Track'!$G:$G,1,0))),vlookup($A64&amp;$B64,{'5) Release_Track'!$F:$F&amp;'5) Release_Track'!$G:$G,'5) Release_Track'!$I:$I},2,0), or(and(not(isblank($B64)),$B64=$B63,$A64&lt;&gt;$A63),and(not(isblank($A64)),$A64=$A63,$B64&lt;&gt;$B63)),"ID LISTS UNALIGNED",and($A64&lt;&gt;"",countif('5) Release_Track'!$F:$F,$A64)=0),"NO ISRC MATCH in Release_Track",and($B64&lt;&gt;"",countif('5) Release_Track'!$G:$G,$B64)=0),"NO CATALOG ID MATCH in Release_Track",iserror(vlookup($A64&amp;$B64,'5) Release_Track'!$F:$F&amp;'5) Release_Track'!$G:$G,1,0)),"NO ISRC-CATALOG ID pair MATCH in Release_Track" )</f>
        <v/>
      </c>
      <c r="E64" s="125" t="str">
        <f t="array" ref="E64">ifs(and(isblank($A64),isblank($B64)),"", not(iserror(vlookup($A64&amp;$B64,'5) Release_Track'!$F:$F&amp;'5) Release_Track'!$G:$G,1,0))),vlookup($A64&amp;$B64,{'5) Release_Track'!$F:$F&amp;'5) Release_Track'!$G:$G,'5) Release_Track'!$J:$J},2,0), or(and(not(isblank($B64)),$B64=$B63,$A64&lt;&gt;$A63),and(not(isblank($A64)),$A64=$A63,$B64&lt;&gt;$B63)),"ID LISTS UNALIGNED",and($A64&lt;&gt;"",countif('5) Release_Track'!$F:$F,$A64)=0),"NO ISRC MATCH in Release_Track",and($B64&lt;&gt;"",countif('5) Release_Track'!$G:$G,$B64)=0),"NO CATALOG ID MATCH in Release_Track",iserror(vlookup($A64&amp;$B64,'5) Release_Track'!$F:$F&amp;'5) Release_Track'!$G:$G,1,0)),"NO ISRC-CATALOG ID pair MATCH in Release_Track" )</f>
        <v>Punjabi</v>
      </c>
      <c r="F64" s="51" t="s">
        <v>51</v>
      </c>
      <c r="G64" s="122" t="s">
        <v>570</v>
      </c>
      <c r="H64" s="174">
        <v>1.0</v>
      </c>
      <c r="I64" s="175">
        <f t="shared" si="1"/>
        <v>1</v>
      </c>
      <c r="J64" s="8" t="s">
        <v>571</v>
      </c>
      <c r="K64" s="47" t="s">
        <v>140</v>
      </c>
      <c r="M64" s="99">
        <f t="shared" si="3"/>
        <v>1</v>
      </c>
    </row>
    <row r="65">
      <c r="A65" s="51" t="s">
        <v>490</v>
      </c>
      <c r="B65" s="103"/>
      <c r="C65" s="121" t="str">
        <f t="array" ref="C65">ifs(and(isblank($A65),isblank($B65)),"", not(iserror(vlookup($A65&amp;$B65,'5) Release_Track'!$F:$F&amp;'5) Release_Track'!$G:$G,1,0))),vlookup($A65&amp;$B65,{'5) Release_Track'!$F:$F&amp;'5) Release_Track'!$G:$G,'5) Release_Track'!$H:$H},2,0), or(and(not(isblank($B65)),$B65=$B64,$A65&lt;&gt;$A64),and(not(isblank($A65)),$A65=$A64,$B65&lt;&gt;$B64)),"ID LISTS UNALIGNED",and($A65&lt;&gt;"",countif('5) Release_Track'!$F:$F,$A65)=0),"NO ISRC MATCH in Release_Track",and($B65&lt;&gt;"",countif('5) Release_Track'!$G:$G,$B65)=0),"NO CATALOG ID MATCH in Release_Track",iserror(vlookup($A65&amp;$B65,'5) Release_Track'!$F:$F&amp;'5) Release_Track'!$G:$G,1,0)),"NO ISRC-CATALOG ID pair MATCH in Release_Track" )</f>
        <v>Motion Poster Theme (From "Bhajjo Veero Ve" Soundtrack)</v>
      </c>
      <c r="D65" s="121" t="str">
        <f t="array" ref="D65">ifs(and(isblank($A65),isblank($B65)),"", not(iserror(vlookup($A65&amp;$B65,'5) Release_Track'!$F:$F&amp;'5) Release_Track'!$G:$G,1,0))),vlookup($A65&amp;$B65,{'5) Release_Track'!$F:$F&amp;'5) Release_Track'!$G:$G,'5) Release_Track'!$I:$I},2,0), or(and(not(isblank($B65)),$B65=$B64,$A65&lt;&gt;$A64),and(not(isblank($A65)),$A65=$A64,$B65&lt;&gt;$B64)),"ID LISTS UNALIGNED",and($A65&lt;&gt;"",countif('5) Release_Track'!$F:$F,$A65)=0),"NO ISRC MATCH in Release_Track",and($B65&lt;&gt;"",countif('5) Release_Track'!$G:$G,$B65)=0),"NO CATALOG ID MATCH in Release_Track",iserror(vlookup($A65&amp;$B65,'5) Release_Track'!$F:$F&amp;'5) Release_Track'!$G:$G,1,0)),"NO ISRC-CATALOG ID pair MATCH in Release_Track" )</f>
        <v/>
      </c>
      <c r="E65" s="125" t="str">
        <f t="array" ref="E65">ifs(and(isblank($A65),isblank($B65)),"", not(iserror(vlookup($A65&amp;$B65,'5) Release_Track'!$F:$F&amp;'5) Release_Track'!$G:$G,1,0))),vlookup($A65&amp;$B65,{'5) Release_Track'!$F:$F&amp;'5) Release_Track'!$G:$G,'5) Release_Track'!$J:$J},2,0), or(and(not(isblank($B65)),$B65=$B64,$A65&lt;&gt;$A64),and(not(isblank($A65)),$A65=$A64,$B65&lt;&gt;$B64)),"ID LISTS UNALIGNED",and($A65&lt;&gt;"",countif('5) Release_Track'!$F:$F,$A65)=0),"NO ISRC MATCH in Release_Track",and($B65&lt;&gt;"",countif('5) Release_Track'!$G:$G,$B65)=0),"NO CATALOG ID MATCH in Release_Track",iserror(vlookup($A65&amp;$B65,'5) Release_Track'!$F:$F&amp;'5) Release_Track'!$G:$G,1,0)),"NO ISRC-CATALOG ID pair MATCH in Release_Track" )</f>
        <v>Punjabi</v>
      </c>
      <c r="F65" s="51" t="s">
        <v>51</v>
      </c>
      <c r="G65" s="122" t="s">
        <v>570</v>
      </c>
      <c r="H65" s="174">
        <v>1.0</v>
      </c>
      <c r="I65" s="175">
        <f t="shared" si="1"/>
        <v>1</v>
      </c>
      <c r="J65" s="8" t="s">
        <v>571</v>
      </c>
      <c r="K65" s="34" t="s">
        <v>140</v>
      </c>
      <c r="M65" s="99">
        <f t="shared" si="3"/>
        <v>1</v>
      </c>
    </row>
    <row r="66">
      <c r="A66" s="51" t="s">
        <v>492</v>
      </c>
      <c r="B66" s="103"/>
      <c r="C66" s="121" t="str">
        <f t="array" ref="C66">ifs(and(isblank($A66),isblank($B66)),"", not(iserror(vlookup($A66&amp;$B66,'5) Release_Track'!$F:$F&amp;'5) Release_Track'!$G:$G,1,0))),vlookup($A66&amp;$B66,{'5) Release_Track'!$F:$F&amp;'5) Release_Track'!$G:$G,'5) Release_Track'!$H:$H},2,0), or(and(not(isblank($B66)),$B66=$B65,$A66&lt;&gt;$A65),and(not(isblank($A66)),$A66=$A65,$B66&lt;&gt;$B65)),"ID LISTS UNALIGNED",and($A66&lt;&gt;"",countif('5) Release_Track'!$F:$F,$A66)=0),"NO ISRC MATCH in Release_Track",and($B66&lt;&gt;"",countif('5) Release_Track'!$G:$G,$B66)=0),"NO CATALOG ID MATCH in Release_Track",iserror(vlookup($A66&amp;$B66,'5) Release_Track'!$F:$F&amp;'5) Release_Track'!$G:$G,1,0)),"NO ISRC-CATALOG ID pair MATCH in Release_Track" )</f>
        <v>Khyaal (From "Bhajjo Veero Ve" Soundtrack)</v>
      </c>
      <c r="D66" s="121" t="str">
        <f t="array" ref="D66">ifs(and(isblank($A66),isblank($B66)),"", not(iserror(vlookup($A66&amp;$B66,'5) Release_Track'!$F:$F&amp;'5) Release_Track'!$G:$G,1,0))),vlookup($A66&amp;$B66,{'5) Release_Track'!$F:$F&amp;'5) Release_Track'!$G:$G,'5) Release_Track'!$I:$I},2,0), or(and(not(isblank($B66)),$B66=$B65,$A66&lt;&gt;$A65),and(not(isblank($A66)),$A66=$A65,$B66&lt;&gt;$B65)),"ID LISTS UNALIGNED",and($A66&lt;&gt;"",countif('5) Release_Track'!$F:$F,$A66)=0),"NO ISRC MATCH in Release_Track",and($B66&lt;&gt;"",countif('5) Release_Track'!$G:$G,$B66)=0),"NO CATALOG ID MATCH in Release_Track",iserror(vlookup($A66&amp;$B66,'5) Release_Track'!$F:$F&amp;'5) Release_Track'!$G:$G,1,0)),"NO ISRC-CATALOG ID pair MATCH in Release_Track" )</f>
        <v/>
      </c>
      <c r="E66" s="125" t="str">
        <f t="array" ref="E66">ifs(and(isblank($A66),isblank($B66)),"", not(iserror(vlookup($A66&amp;$B66,'5) Release_Track'!$F:$F&amp;'5) Release_Track'!$G:$G,1,0))),vlookup($A66&amp;$B66,{'5) Release_Track'!$F:$F&amp;'5) Release_Track'!$G:$G,'5) Release_Track'!$J:$J},2,0), or(and(not(isblank($B66)),$B66=$B65,$A66&lt;&gt;$A65),and(not(isblank($A66)),$A66=$A65,$B66&lt;&gt;$B65)),"ID LISTS UNALIGNED",and($A66&lt;&gt;"",countif('5) Release_Track'!$F:$F,$A66)=0),"NO ISRC MATCH in Release_Track",and($B66&lt;&gt;"",countif('5) Release_Track'!$G:$G,$B66)=0),"NO CATALOG ID MATCH in Release_Track",iserror(vlookup($A66&amp;$B66,'5) Release_Track'!$F:$F&amp;'5) Release_Track'!$G:$G,1,0)),"NO ISRC-CATALOG ID pair MATCH in Release_Track" )</f>
        <v>Punjabi</v>
      </c>
      <c r="F66" s="51" t="s">
        <v>51</v>
      </c>
      <c r="G66" s="122" t="s">
        <v>570</v>
      </c>
      <c r="H66" s="174">
        <v>1.0</v>
      </c>
      <c r="I66" s="175">
        <f t="shared" si="1"/>
        <v>1</v>
      </c>
      <c r="J66" s="8" t="s">
        <v>571</v>
      </c>
      <c r="K66" s="34" t="s">
        <v>140</v>
      </c>
      <c r="M66" s="99">
        <f t="shared" si="3"/>
        <v>1</v>
      </c>
    </row>
    <row r="67">
      <c r="A67" s="51" t="s">
        <v>494</v>
      </c>
      <c r="B67" s="103"/>
      <c r="C67" s="121" t="str">
        <f t="array" ref="C67">ifs(and(isblank($A67),isblank($B67)),"", not(iserror(vlookup($A67&amp;$B67,'5) Release_Track'!$F:$F&amp;'5) Release_Track'!$G:$G,1,0))),vlookup($A67&amp;$B67,{'5) Release_Track'!$F:$F&amp;'5) Release_Track'!$G:$G,'5) Release_Track'!$H:$H},2,0), or(and(not(isblank($B67)),$B67=$B66,$A67&lt;&gt;$A66),and(not(isblank($A67)),$A67=$A66,$B67&lt;&gt;$B66)),"ID LISTS UNALIGNED",and($A67&lt;&gt;"",countif('5) Release_Track'!$F:$F,$A67)=0),"NO ISRC MATCH in Release_Track",and($B67&lt;&gt;"",countif('5) Release_Track'!$G:$G,$B67)=0),"NO CATALOG ID MATCH in Release_Track",iserror(vlookup($A67&amp;$B67,'5) Release_Track'!$F:$F&amp;'5) Release_Track'!$G:$G,1,0)),"NO ISRC-CATALOG ID pair MATCH in Release_Track" )</f>
        <v>Car Reebna Wali (From "Bhajjo Veero Ve" Soundtrack)</v>
      </c>
      <c r="D67" s="121" t="str">
        <f t="array" ref="D67">ifs(and(isblank($A67),isblank($B67)),"", not(iserror(vlookup($A67&amp;$B67,'5) Release_Track'!$F:$F&amp;'5) Release_Track'!$G:$G,1,0))),vlookup($A67&amp;$B67,{'5) Release_Track'!$F:$F&amp;'5) Release_Track'!$G:$G,'5) Release_Track'!$I:$I},2,0), or(and(not(isblank($B67)),$B67=$B66,$A67&lt;&gt;$A66),and(not(isblank($A67)),$A67=$A66,$B67&lt;&gt;$B66)),"ID LISTS UNALIGNED",and($A67&lt;&gt;"",countif('5) Release_Track'!$F:$F,$A67)=0),"NO ISRC MATCH in Release_Track",and($B67&lt;&gt;"",countif('5) Release_Track'!$G:$G,$B67)=0),"NO CATALOG ID MATCH in Release_Track",iserror(vlookup($A67&amp;$B67,'5) Release_Track'!$F:$F&amp;'5) Release_Track'!$G:$G,1,0)),"NO ISRC-CATALOG ID pair MATCH in Release_Track" )</f>
        <v/>
      </c>
      <c r="E67" s="125" t="str">
        <f t="array" ref="E67">ifs(and(isblank($A67),isblank($B67)),"", not(iserror(vlookup($A67&amp;$B67,'5) Release_Track'!$F:$F&amp;'5) Release_Track'!$G:$G,1,0))),vlookup($A67&amp;$B67,{'5) Release_Track'!$F:$F&amp;'5) Release_Track'!$G:$G,'5) Release_Track'!$J:$J},2,0), or(and(not(isblank($B67)),$B67=$B66,$A67&lt;&gt;$A66),and(not(isblank($A67)),$A67=$A66,$B67&lt;&gt;$B66)),"ID LISTS UNALIGNED",and($A67&lt;&gt;"",countif('5) Release_Track'!$F:$F,$A67)=0),"NO ISRC MATCH in Release_Track",and($B67&lt;&gt;"",countif('5) Release_Track'!$G:$G,$B67)=0),"NO CATALOG ID MATCH in Release_Track",iserror(vlookup($A67&amp;$B67,'5) Release_Track'!$F:$F&amp;'5) Release_Track'!$G:$G,1,0)),"NO ISRC-CATALOG ID pair MATCH in Release_Track" )</f>
        <v>Punjabi</v>
      </c>
      <c r="F67" s="51" t="s">
        <v>51</v>
      </c>
      <c r="G67" s="122" t="s">
        <v>570</v>
      </c>
      <c r="H67" s="174">
        <v>1.0</v>
      </c>
      <c r="I67" s="175">
        <f t="shared" si="1"/>
        <v>1</v>
      </c>
      <c r="J67" s="8" t="s">
        <v>571</v>
      </c>
      <c r="K67" s="34" t="s">
        <v>140</v>
      </c>
      <c r="M67" s="99">
        <f t="shared" si="3"/>
        <v>1</v>
      </c>
    </row>
    <row r="68">
      <c r="A68" s="51" t="s">
        <v>496</v>
      </c>
      <c r="B68" s="103"/>
      <c r="C68" s="121" t="str">
        <f t="array" ref="C68">ifs(and(isblank($A68),isblank($B68)),"", not(iserror(vlookup($A68&amp;$B68,'5) Release_Track'!$F:$F&amp;'5) Release_Track'!$G:$G,1,0))),vlookup($A68&amp;$B68,{'5) Release_Track'!$F:$F&amp;'5) Release_Track'!$G:$G,'5) Release_Track'!$H:$H},2,0), or(and(not(isblank($B68)),$B68=$B67,$A68&lt;&gt;$A67),and(not(isblank($A68)),$A68=$A67,$B68&lt;&gt;$B67)),"ID LISTS UNALIGNED",and($A68&lt;&gt;"",countif('5) Release_Track'!$F:$F,$A68)=0),"NO ISRC MATCH in Release_Track",and($B68&lt;&gt;"",countif('5) Release_Track'!$G:$G,$B68)=0),"NO CATALOG ID MATCH in Release_Track",iserror(vlookup($A68&amp;$B68,'5) Release_Track'!$F:$F&amp;'5) Release_Track'!$G:$G,1,0)),"NO ISRC-CATALOG ID pair MATCH in Release_Track" )</f>
        <v>Bhaggi Love</v>
      </c>
      <c r="D68" s="121" t="str">
        <f t="array" ref="D68">ifs(and(isblank($A68),isblank($B68)),"", not(iserror(vlookup($A68&amp;$B68,'5) Release_Track'!$F:$F&amp;'5) Release_Track'!$G:$G,1,0))),vlookup($A68&amp;$B68,{'5) Release_Track'!$F:$F&amp;'5) Release_Track'!$G:$G,'5) Release_Track'!$I:$I},2,0), or(and(not(isblank($B68)),$B68=$B67,$A68&lt;&gt;$A67),and(not(isblank($A68)),$A68=$A67,$B68&lt;&gt;$B67)),"ID LISTS UNALIGNED",and($A68&lt;&gt;"",countif('5) Release_Track'!$F:$F,$A68)=0),"NO ISRC MATCH in Release_Track",and($B68&lt;&gt;"",countif('5) Release_Track'!$G:$G,$B68)=0),"NO CATALOG ID MATCH in Release_Track",iserror(vlookup($A68&amp;$B68,'5) Release_Track'!$F:$F&amp;'5) Release_Track'!$G:$G,1,0)),"NO ISRC-CATALOG ID pair MATCH in Release_Track" )</f>
        <v/>
      </c>
      <c r="E68" s="125" t="str">
        <f t="array" ref="E68">ifs(and(isblank($A68),isblank($B68)),"", not(iserror(vlookup($A68&amp;$B68,'5) Release_Track'!$F:$F&amp;'5) Release_Track'!$G:$G,1,0))),vlookup($A68&amp;$B68,{'5) Release_Track'!$F:$F&amp;'5) Release_Track'!$G:$G,'5) Release_Track'!$J:$J},2,0), or(and(not(isblank($B68)),$B68=$B67,$A68&lt;&gt;$A67),and(not(isblank($A68)),$A68=$A67,$B68&lt;&gt;$B67)),"ID LISTS UNALIGNED",and($A68&lt;&gt;"",countif('5) Release_Track'!$F:$F,$A68)=0),"NO ISRC MATCH in Release_Track",and($B68&lt;&gt;"",countif('5) Release_Track'!$G:$G,$B68)=0),"NO CATALOG ID MATCH in Release_Track",iserror(vlookup($A68&amp;$B68,'5) Release_Track'!$F:$F&amp;'5) Release_Track'!$G:$G,1,0)),"NO ISRC-CATALOG ID pair MATCH in Release_Track" )</f>
        <v>Punjabi</v>
      </c>
      <c r="F68" s="51" t="s">
        <v>123</v>
      </c>
      <c r="G68" s="122" t="s">
        <v>570</v>
      </c>
      <c r="H68" s="174">
        <v>1.0</v>
      </c>
      <c r="I68" s="175">
        <f t="shared" si="1"/>
        <v>1</v>
      </c>
      <c r="J68" s="8" t="s">
        <v>571</v>
      </c>
      <c r="K68" s="34" t="s">
        <v>140</v>
      </c>
      <c r="M68" s="99">
        <f t="shared" si="3"/>
        <v>1</v>
      </c>
    </row>
    <row r="69">
      <c r="A69" s="51" t="s">
        <v>498</v>
      </c>
      <c r="B69" s="103"/>
      <c r="C69" s="121" t="str">
        <f t="array" ref="C69">ifs(and(isblank($A69),isblank($B69)),"", not(iserror(vlookup($A69&amp;$B69,'5) Release_Track'!$F:$F&amp;'5) Release_Track'!$G:$G,1,0))),vlookup($A69&amp;$B69,{'5) Release_Track'!$F:$F&amp;'5) Release_Track'!$G:$G,'5) Release_Track'!$H:$H},2,0), or(and(not(isblank($B69)),$B69=$B68,$A69&lt;&gt;$A68),and(not(isblank($A69)),$A69=$A68,$B69&lt;&gt;$B68)),"ID LISTS UNALIGNED",and($A69&lt;&gt;"",countif('5) Release_Track'!$F:$F,$A69)=0),"NO ISRC MATCH in Release_Track",and($B69&lt;&gt;"",countif('5) Release_Track'!$G:$G,$B69)=0),"NO CATALOG ID MATCH in Release_Track",iserror(vlookup($A69&amp;$B69,'5) Release_Track'!$F:$F&amp;'5) Release_Track'!$G:$G,1,0)),"NO ISRC-CATALOG ID pair MATCH in Release_Track" )</f>
        <v>Chunni Cho Asmaan (From "Bhajjo Veero Ve" Soundtrack)</v>
      </c>
      <c r="D69" s="121" t="str">
        <f t="array" ref="D69">ifs(and(isblank($A69),isblank($B69)),"", not(iserror(vlookup($A69&amp;$B69,'5) Release_Track'!$F:$F&amp;'5) Release_Track'!$G:$G,1,0))),vlookup($A69&amp;$B69,{'5) Release_Track'!$F:$F&amp;'5) Release_Track'!$G:$G,'5) Release_Track'!$I:$I},2,0), or(and(not(isblank($B69)),$B69=$B68,$A69&lt;&gt;$A68),and(not(isblank($A69)),$A69=$A68,$B69&lt;&gt;$B68)),"ID LISTS UNALIGNED",and($A69&lt;&gt;"",countif('5) Release_Track'!$F:$F,$A69)=0),"NO ISRC MATCH in Release_Track",and($B69&lt;&gt;"",countif('5) Release_Track'!$G:$G,$B69)=0),"NO CATALOG ID MATCH in Release_Track",iserror(vlookup($A69&amp;$B69,'5) Release_Track'!$F:$F&amp;'5) Release_Track'!$G:$G,1,0)),"NO ISRC-CATALOG ID pair MATCH in Release_Track" )</f>
        <v/>
      </c>
      <c r="E69" s="125" t="str">
        <f t="array" ref="E69">ifs(and(isblank($A69),isblank($B69)),"", not(iserror(vlookup($A69&amp;$B69,'5) Release_Track'!$F:$F&amp;'5) Release_Track'!$G:$G,1,0))),vlookup($A69&amp;$B69,{'5) Release_Track'!$F:$F&amp;'5) Release_Track'!$G:$G,'5) Release_Track'!$J:$J},2,0), or(and(not(isblank($B69)),$B69=$B68,$A69&lt;&gt;$A68),and(not(isblank($A69)),$A69=$A68,$B69&lt;&gt;$B68)),"ID LISTS UNALIGNED",and($A69&lt;&gt;"",countif('5) Release_Track'!$F:$F,$A69)=0),"NO ISRC MATCH in Release_Track",and($B69&lt;&gt;"",countif('5) Release_Track'!$G:$G,$B69)=0),"NO CATALOG ID MATCH in Release_Track",iserror(vlookup($A69&amp;$B69,'5) Release_Track'!$F:$F&amp;'5) Release_Track'!$G:$G,1,0)),"NO ISRC-CATALOG ID pair MATCH in Release_Track" )</f>
        <v>Punjabi</v>
      </c>
      <c r="F69" s="51" t="s">
        <v>51</v>
      </c>
      <c r="G69" s="122" t="s">
        <v>570</v>
      </c>
      <c r="H69" s="174">
        <v>1.0</v>
      </c>
      <c r="I69" s="175">
        <f t="shared" si="1"/>
        <v>1</v>
      </c>
      <c r="J69" s="8" t="s">
        <v>571</v>
      </c>
      <c r="K69" s="34" t="s">
        <v>140</v>
      </c>
      <c r="M69" s="99">
        <f t="shared" si="3"/>
        <v>1</v>
      </c>
    </row>
    <row r="70">
      <c r="A70" s="51" t="s">
        <v>500</v>
      </c>
      <c r="B70" s="103"/>
      <c r="C70" s="121" t="str">
        <f t="array" ref="C70">ifs(and(isblank($A70),isblank($B70)),"", not(iserror(vlookup($A70&amp;$B70,'5) Release_Track'!$F:$F&amp;'5) Release_Track'!$G:$G,1,0))),vlookup($A70&amp;$B70,{'5) Release_Track'!$F:$F&amp;'5) Release_Track'!$G:$G,'5) Release_Track'!$H:$H},2,0), or(and(not(isblank($B70)),$B70=$B69,$A70&lt;&gt;$A69),and(not(isblank($A70)),$A70=$A69,$B70&lt;&gt;$B69)),"ID LISTS UNALIGNED",and($A70&lt;&gt;"",countif('5) Release_Track'!$F:$F,$A70)=0),"NO ISRC MATCH in Release_Track",and($B70&lt;&gt;"",countif('5) Release_Track'!$G:$G,$B70)=0),"NO CATALOG ID MATCH in Release_Track",iserror(vlookup($A70&amp;$B70,'5) Release_Track'!$F:$F&amp;'5) Release_Track'!$G:$G,1,0)),"NO ISRC-CATALOG ID pair MATCH in Release_Track" )</f>
        <v>Lehnga (From "Bhajjo Veero Ve" Soundtrack)</v>
      </c>
      <c r="D70" s="121" t="str">
        <f t="array" ref="D70">ifs(and(isblank($A70),isblank($B70)),"", not(iserror(vlookup($A70&amp;$B70,'5) Release_Track'!$F:$F&amp;'5) Release_Track'!$G:$G,1,0))),vlookup($A70&amp;$B70,{'5) Release_Track'!$F:$F&amp;'5) Release_Track'!$G:$G,'5) Release_Track'!$I:$I},2,0), or(and(not(isblank($B70)),$B70=$B69,$A70&lt;&gt;$A69),and(not(isblank($A70)),$A70=$A69,$B70&lt;&gt;$B69)),"ID LISTS UNALIGNED",and($A70&lt;&gt;"",countif('5) Release_Track'!$F:$F,$A70)=0),"NO ISRC MATCH in Release_Track",and($B70&lt;&gt;"",countif('5) Release_Track'!$G:$G,$B70)=0),"NO CATALOG ID MATCH in Release_Track",iserror(vlookup($A70&amp;$B70,'5) Release_Track'!$F:$F&amp;'5) Release_Track'!$G:$G,1,0)),"NO ISRC-CATALOG ID pair MATCH in Release_Track" )</f>
        <v/>
      </c>
      <c r="E70" s="125" t="str">
        <f t="array" ref="E70">ifs(and(isblank($A70),isblank($B70)),"", not(iserror(vlookup($A70&amp;$B70,'5) Release_Track'!$F:$F&amp;'5) Release_Track'!$G:$G,1,0))),vlookup($A70&amp;$B70,{'5) Release_Track'!$F:$F&amp;'5) Release_Track'!$G:$G,'5) Release_Track'!$J:$J},2,0), or(and(not(isblank($B70)),$B70=$B69,$A70&lt;&gt;$A69),and(not(isblank($A70)),$A70=$A69,$B70&lt;&gt;$B69)),"ID LISTS UNALIGNED",and($A70&lt;&gt;"",countif('5) Release_Track'!$F:$F,$A70)=0),"NO ISRC MATCH in Release_Track",and($B70&lt;&gt;"",countif('5) Release_Track'!$G:$G,$B70)=0),"NO CATALOG ID MATCH in Release_Track",iserror(vlookup($A70&amp;$B70,'5) Release_Track'!$F:$F&amp;'5) Release_Track'!$G:$G,1,0)),"NO ISRC-CATALOG ID pair MATCH in Release_Track" )</f>
        <v>Punjabi</v>
      </c>
      <c r="F70" s="51" t="s">
        <v>51</v>
      </c>
      <c r="G70" s="122" t="s">
        <v>570</v>
      </c>
      <c r="H70" s="174">
        <v>1.0</v>
      </c>
      <c r="I70" s="175">
        <f t="shared" si="1"/>
        <v>1</v>
      </c>
      <c r="J70" s="8" t="s">
        <v>571</v>
      </c>
      <c r="K70" s="34" t="s">
        <v>140</v>
      </c>
      <c r="M70" s="99">
        <f t="shared" si="3"/>
        <v>1</v>
      </c>
    </row>
    <row r="71">
      <c r="A71" s="51" t="s">
        <v>502</v>
      </c>
      <c r="B71" s="103"/>
      <c r="C71" s="121" t="str">
        <f t="array" ref="C71">ifs(and(isblank($A71),isblank($B71)),"", not(iserror(vlookup($A71&amp;$B71,'5) Release_Track'!$F:$F&amp;'5) Release_Track'!$G:$G,1,0))),vlookup($A71&amp;$B71,{'5) Release_Track'!$F:$F&amp;'5) Release_Track'!$G:$G,'5) Release_Track'!$H:$H},2,0), or(and(not(isblank($B71)),$B71=$B70,$A71&lt;&gt;$A70),and(not(isblank($A71)),$A71=$A70,$B71&lt;&gt;$B70)),"ID LISTS UNALIGNED",and($A71&lt;&gt;"",countif('5) Release_Track'!$F:$F,$A71)=0),"NO ISRC MATCH in Release_Track",and($B71&lt;&gt;"",countif('5) Release_Track'!$G:$G,$B71)=0),"NO CATALOG ID MATCH in Release_Track",iserror(vlookup($A71&amp;$B71,'5) Release_Track'!$F:$F&amp;'5) Release_Track'!$G:$G,1,0)),"NO ISRC-CATALOG ID pair MATCH in Release_Track" )</f>
        <v>Darshan Mehnge (From "Laiye Je Yaarian" Soundtrack)</v>
      </c>
      <c r="D71" s="121" t="str">
        <f t="array" ref="D71">ifs(and(isblank($A71),isblank($B71)),"", not(iserror(vlookup($A71&amp;$B71,'5) Release_Track'!$F:$F&amp;'5) Release_Track'!$G:$G,1,0))),vlookup($A71&amp;$B71,{'5) Release_Track'!$F:$F&amp;'5) Release_Track'!$G:$G,'5) Release_Track'!$I:$I},2,0), or(and(not(isblank($B71)),$B71=$B70,$A71&lt;&gt;$A70),and(not(isblank($A71)),$A71=$A70,$B71&lt;&gt;$B70)),"ID LISTS UNALIGNED",and($A71&lt;&gt;"",countif('5) Release_Track'!$F:$F,$A71)=0),"NO ISRC MATCH in Release_Track",and($B71&lt;&gt;"",countif('5) Release_Track'!$G:$G,$B71)=0),"NO CATALOG ID MATCH in Release_Track",iserror(vlookup($A71&amp;$B71,'5) Release_Track'!$F:$F&amp;'5) Release_Track'!$G:$G,1,0)),"NO ISRC-CATALOG ID pair MATCH in Release_Track" )</f>
        <v/>
      </c>
      <c r="E71" s="125" t="str">
        <f t="array" ref="E71">ifs(and(isblank($A71),isblank($B71)),"", not(iserror(vlookup($A71&amp;$B71,'5) Release_Track'!$F:$F&amp;'5) Release_Track'!$G:$G,1,0))),vlookup($A71&amp;$B71,{'5) Release_Track'!$F:$F&amp;'5) Release_Track'!$G:$G,'5) Release_Track'!$J:$J},2,0), or(and(not(isblank($B71)),$B71=$B70,$A71&lt;&gt;$A70),and(not(isblank($A71)),$A71=$A70,$B71&lt;&gt;$B70)),"ID LISTS UNALIGNED",and($A71&lt;&gt;"",countif('5) Release_Track'!$F:$F,$A71)=0),"NO ISRC MATCH in Release_Track",and($B71&lt;&gt;"",countif('5) Release_Track'!$G:$G,$B71)=0),"NO CATALOG ID MATCH in Release_Track",iserror(vlookup($A71&amp;$B71,'5) Release_Track'!$F:$F&amp;'5) Release_Track'!$G:$G,1,0)),"NO ISRC-CATALOG ID pair MATCH in Release_Track" )</f>
        <v>Punjabi</v>
      </c>
      <c r="F71" s="51" t="s">
        <v>556</v>
      </c>
      <c r="G71" s="122" t="s">
        <v>570</v>
      </c>
      <c r="H71" s="174">
        <v>1.0</v>
      </c>
      <c r="I71" s="175">
        <f t="shared" si="1"/>
        <v>1</v>
      </c>
      <c r="J71" s="8" t="s">
        <v>571</v>
      </c>
      <c r="K71" s="34" t="s">
        <v>140</v>
      </c>
      <c r="M71" s="99">
        <f t="shared" si="3"/>
        <v>1</v>
      </c>
    </row>
    <row r="72">
      <c r="A72" s="51" t="s">
        <v>504</v>
      </c>
      <c r="B72" s="103"/>
      <c r="C72" s="121" t="str">
        <f t="array" ref="C72">ifs(and(isblank($A72),isblank($B72)),"", not(iserror(vlookup($A72&amp;$B72,'5) Release_Track'!$F:$F&amp;'5) Release_Track'!$G:$G,1,0))),vlookup($A72&amp;$B72,{'5) Release_Track'!$F:$F&amp;'5) Release_Track'!$G:$G,'5) Release_Track'!$H:$H},2,0), or(and(not(isblank($B72)),$B72=$B71,$A72&lt;&gt;$A71),and(not(isblank($A72)),$A72=$A71,$B72&lt;&gt;$B71)),"ID LISTS UNALIGNED",and($A72&lt;&gt;"",countif('5) Release_Track'!$F:$F,$A72)=0),"NO ISRC MATCH in Release_Track",and($B72&lt;&gt;"",countif('5) Release_Track'!$G:$G,$B72)=0),"NO CATALOG ID MATCH in Release_Track",iserror(vlookup($A72&amp;$B72,'5) Release_Track'!$F:$F&amp;'5) Release_Track'!$G:$G,1,0)),"NO ISRC-CATALOG ID pair MATCH in Release_Track" )</f>
        <v>Aah Ki Hoya (From "Laiye Je Yaarian" Soundtrack)</v>
      </c>
      <c r="D72" s="121" t="str">
        <f t="array" ref="D72">ifs(and(isblank($A72),isblank($B72)),"", not(iserror(vlookup($A72&amp;$B72,'5) Release_Track'!$F:$F&amp;'5) Release_Track'!$G:$G,1,0))),vlookup($A72&amp;$B72,{'5) Release_Track'!$F:$F&amp;'5) Release_Track'!$G:$G,'5) Release_Track'!$I:$I},2,0), or(and(not(isblank($B72)),$B72=$B71,$A72&lt;&gt;$A71),and(not(isblank($A72)),$A72=$A71,$B72&lt;&gt;$B71)),"ID LISTS UNALIGNED",and($A72&lt;&gt;"",countif('5) Release_Track'!$F:$F,$A72)=0),"NO ISRC MATCH in Release_Track",and($B72&lt;&gt;"",countif('5) Release_Track'!$G:$G,$B72)=0),"NO CATALOG ID MATCH in Release_Track",iserror(vlookup($A72&amp;$B72,'5) Release_Track'!$F:$F&amp;'5) Release_Track'!$G:$G,1,0)),"NO ISRC-CATALOG ID pair MATCH in Release_Track" )</f>
        <v/>
      </c>
      <c r="E72" s="125" t="str">
        <f t="array" ref="E72">ifs(and(isblank($A72),isblank($B72)),"", not(iserror(vlookup($A72&amp;$B72,'5) Release_Track'!$F:$F&amp;'5) Release_Track'!$G:$G,1,0))),vlookup($A72&amp;$B72,{'5) Release_Track'!$F:$F&amp;'5) Release_Track'!$G:$G,'5) Release_Track'!$J:$J},2,0), or(and(not(isblank($B72)),$B72=$B71,$A72&lt;&gt;$A71),and(not(isblank($A72)),$A72=$A71,$B72&lt;&gt;$B71)),"ID LISTS UNALIGNED",and($A72&lt;&gt;"",countif('5) Release_Track'!$F:$F,$A72)=0),"NO ISRC MATCH in Release_Track",and($B72&lt;&gt;"",countif('5) Release_Track'!$G:$G,$B72)=0),"NO CATALOG ID MATCH in Release_Track",iserror(vlookup($A72&amp;$B72,'5) Release_Track'!$F:$F&amp;'5) Release_Track'!$G:$G,1,0)),"NO ISRC-CATALOG ID pair MATCH in Release_Track" )</f>
        <v>Punjabi</v>
      </c>
      <c r="F72" s="51" t="s">
        <v>113</v>
      </c>
      <c r="G72" s="122" t="s">
        <v>570</v>
      </c>
      <c r="H72" s="174">
        <v>1.0</v>
      </c>
      <c r="I72" s="175">
        <f t="shared" si="1"/>
        <v>1</v>
      </c>
      <c r="J72" s="8" t="s">
        <v>571</v>
      </c>
      <c r="K72" s="34" t="s">
        <v>140</v>
      </c>
      <c r="M72" s="99">
        <f t="shared" si="3"/>
        <v>1</v>
      </c>
    </row>
    <row r="73">
      <c r="A73" s="51" t="s">
        <v>506</v>
      </c>
      <c r="B73" s="103"/>
      <c r="C73" s="121" t="str">
        <f t="array" ref="C73">ifs(and(isblank($A73),isblank($B73)),"", not(iserror(vlookup($A73&amp;$B73,'5) Release_Track'!$F:$F&amp;'5) Release_Track'!$G:$G,1,0))),vlookup($A73&amp;$B73,{'5) Release_Track'!$F:$F&amp;'5) Release_Track'!$G:$G,'5) Release_Track'!$H:$H},2,0), or(and(not(isblank($B73)),$B73=$B72,$A73&lt;&gt;$A72),and(not(isblank($A73)),$A73=$A72,$B73&lt;&gt;$B72)),"ID LISTS UNALIGNED",and($A73&lt;&gt;"",countif('5) Release_Track'!$F:$F,$A73)=0),"NO ISRC MATCH in Release_Track",and($B73&lt;&gt;"",countif('5) Release_Track'!$G:$G,$B73)=0),"NO CATALOG ID MATCH in Release_Track",iserror(vlookup($A73&amp;$B73,'5) Release_Track'!$F:$F&amp;'5) Release_Track'!$G:$G,1,0)),"NO ISRC-CATALOG ID pair MATCH in Release_Track" )</f>
        <v>Mathi Mathi (From "Laiye Je Yaarian" Soundtrack)</v>
      </c>
      <c r="D73" s="121" t="str">
        <f t="array" ref="D73">ifs(and(isblank($A73),isblank($B73)),"", not(iserror(vlookup($A73&amp;$B73,'5) Release_Track'!$F:$F&amp;'5) Release_Track'!$G:$G,1,0))),vlookup($A73&amp;$B73,{'5) Release_Track'!$F:$F&amp;'5) Release_Track'!$G:$G,'5) Release_Track'!$I:$I},2,0), or(and(not(isblank($B73)),$B73=$B72,$A73&lt;&gt;$A72),and(not(isblank($A73)),$A73=$A72,$B73&lt;&gt;$B72)),"ID LISTS UNALIGNED",and($A73&lt;&gt;"",countif('5) Release_Track'!$F:$F,$A73)=0),"NO ISRC MATCH in Release_Track",and($B73&lt;&gt;"",countif('5) Release_Track'!$G:$G,$B73)=0),"NO CATALOG ID MATCH in Release_Track",iserror(vlookup($A73&amp;$B73,'5) Release_Track'!$F:$F&amp;'5) Release_Track'!$G:$G,1,0)),"NO ISRC-CATALOG ID pair MATCH in Release_Track" )</f>
        <v/>
      </c>
      <c r="E73" s="125" t="str">
        <f t="array" ref="E73">ifs(and(isblank($A73),isblank($B73)),"", not(iserror(vlookup($A73&amp;$B73,'5) Release_Track'!$F:$F&amp;'5) Release_Track'!$G:$G,1,0))),vlookup($A73&amp;$B73,{'5) Release_Track'!$F:$F&amp;'5) Release_Track'!$G:$G,'5) Release_Track'!$J:$J},2,0), or(and(not(isblank($B73)),$B73=$B72,$A73&lt;&gt;$A72),and(not(isblank($A73)),$A73=$A72,$B73&lt;&gt;$B72)),"ID LISTS UNALIGNED",and($A73&lt;&gt;"",countif('5) Release_Track'!$F:$F,$A73)=0),"NO ISRC MATCH in Release_Track",and($B73&lt;&gt;"",countif('5) Release_Track'!$G:$G,$B73)=0),"NO CATALOG ID MATCH in Release_Track",iserror(vlookup($A73&amp;$B73,'5) Release_Track'!$F:$F&amp;'5) Release_Track'!$G:$G,1,0)),"NO ISRC-CATALOG ID pair MATCH in Release_Track" )</f>
        <v>Punjabi</v>
      </c>
      <c r="F73" s="51" t="s">
        <v>115</v>
      </c>
      <c r="G73" s="122" t="s">
        <v>570</v>
      </c>
      <c r="H73" s="174">
        <v>1.0</v>
      </c>
      <c r="I73" s="175">
        <f t="shared" si="1"/>
        <v>1</v>
      </c>
      <c r="J73" s="8" t="s">
        <v>571</v>
      </c>
      <c r="K73" s="34" t="s">
        <v>140</v>
      </c>
      <c r="M73" s="99">
        <f t="shared" si="3"/>
        <v>1</v>
      </c>
    </row>
    <row r="74">
      <c r="A74" s="51" t="s">
        <v>508</v>
      </c>
      <c r="B74" s="103"/>
      <c r="C74" s="121" t="str">
        <f t="array" ref="C74">ifs(and(isblank($A74),isblank($B74)),"", not(iserror(vlookup($A74&amp;$B74,'5) Release_Track'!$F:$F&amp;'5) Release_Track'!$G:$G,1,0))),vlookup($A74&amp;$B74,{'5) Release_Track'!$F:$F&amp;'5) Release_Track'!$G:$G,'5) Release_Track'!$H:$H},2,0), or(and(not(isblank($B74)),$B74=$B73,$A74&lt;&gt;$A73),and(not(isblank($A74)),$A74=$A73,$B74&lt;&gt;$B73)),"ID LISTS UNALIGNED",and($A74&lt;&gt;"",countif('5) Release_Track'!$F:$F,$A74)=0),"NO ISRC MATCH in Release_Track",and($B74&lt;&gt;"",countif('5) Release_Track'!$G:$G,$B74)=0),"NO CATALOG ID MATCH in Release_Track",iserror(vlookup($A74&amp;$B74,'5) Release_Track'!$F:$F&amp;'5) Release_Track'!$G:$G,1,0)),"NO ISRC-CATALOG ID pair MATCH in Release_Track" )</f>
        <v>Meri Aakad (From "Laiye Je Yaarian" Soundtrack)</v>
      </c>
      <c r="D74" s="121" t="str">
        <f t="array" ref="D74">ifs(and(isblank($A74),isblank($B74)),"", not(iserror(vlookup($A74&amp;$B74,'5) Release_Track'!$F:$F&amp;'5) Release_Track'!$G:$G,1,0))),vlookup($A74&amp;$B74,{'5) Release_Track'!$F:$F&amp;'5) Release_Track'!$G:$G,'5) Release_Track'!$I:$I},2,0), or(and(not(isblank($B74)),$B74=$B73,$A74&lt;&gt;$A73),and(not(isblank($A74)),$A74=$A73,$B74&lt;&gt;$B73)),"ID LISTS UNALIGNED",and($A74&lt;&gt;"",countif('5) Release_Track'!$F:$F,$A74)=0),"NO ISRC MATCH in Release_Track",and($B74&lt;&gt;"",countif('5) Release_Track'!$G:$G,$B74)=0),"NO CATALOG ID MATCH in Release_Track",iserror(vlookup($A74&amp;$B74,'5) Release_Track'!$F:$F&amp;'5) Release_Track'!$G:$G,1,0)),"NO ISRC-CATALOG ID pair MATCH in Release_Track" )</f>
        <v/>
      </c>
      <c r="E74" s="125" t="str">
        <f t="array" ref="E74">ifs(and(isblank($A74),isblank($B74)),"", not(iserror(vlookup($A74&amp;$B74,'5) Release_Track'!$F:$F&amp;'5) Release_Track'!$G:$G,1,0))),vlookup($A74&amp;$B74,{'5) Release_Track'!$F:$F&amp;'5) Release_Track'!$G:$G,'5) Release_Track'!$J:$J},2,0), or(and(not(isblank($B74)),$B74=$B73,$A74&lt;&gt;$A73),and(not(isblank($A74)),$A74=$A73,$B74&lt;&gt;$B73)),"ID LISTS UNALIGNED",and($A74&lt;&gt;"",countif('5) Release_Track'!$F:$F,$A74)=0),"NO ISRC MATCH in Release_Track",and($B74&lt;&gt;"",countif('5) Release_Track'!$G:$G,$B74)=0),"NO CATALOG ID MATCH in Release_Track",iserror(vlookup($A74&amp;$B74,'5) Release_Track'!$F:$F&amp;'5) Release_Track'!$G:$G,1,0)),"NO ISRC-CATALOG ID pair MATCH in Release_Track" )</f>
        <v>Punjabi</v>
      </c>
      <c r="F74" s="51" t="s">
        <v>113</v>
      </c>
      <c r="G74" s="122" t="s">
        <v>570</v>
      </c>
      <c r="H74" s="174">
        <v>1.0</v>
      </c>
      <c r="I74" s="175">
        <f t="shared" si="1"/>
        <v>1</v>
      </c>
      <c r="J74" s="8" t="s">
        <v>571</v>
      </c>
      <c r="K74" s="34" t="s">
        <v>140</v>
      </c>
      <c r="M74" s="99">
        <f t="shared" si="3"/>
        <v>1</v>
      </c>
    </row>
    <row r="75">
      <c r="A75" s="51" t="s">
        <v>510</v>
      </c>
      <c r="B75" s="103"/>
      <c r="C75" s="121" t="str">
        <f t="array" ref="C75">ifs(and(isblank($A75),isblank($B75)),"", not(iserror(vlookup($A75&amp;$B75,'5) Release_Track'!$F:$F&amp;'5) Release_Track'!$G:$G,1,0))),vlookup($A75&amp;$B75,{'5) Release_Track'!$F:$F&amp;'5) Release_Track'!$G:$G,'5) Release_Track'!$H:$H},2,0), or(and(not(isblank($B75)),$B75=$B74,$A75&lt;&gt;$A74),and(not(isblank($A75)),$A75=$A74,$B75&lt;&gt;$B74)),"ID LISTS UNALIGNED",and($A75&lt;&gt;"",countif('5) Release_Track'!$F:$F,$A75)=0),"NO ISRC MATCH in Release_Track",and($B75&lt;&gt;"",countif('5) Release_Track'!$G:$G,$B75)=0),"NO CATALOG ID MATCH in Release_Track",iserror(vlookup($A75&amp;$B75,'5) Release_Track'!$F:$F&amp;'5) Release_Track'!$G:$G,1,0)),"NO ISRC-CATALOG ID pair MATCH in Release_Track" )</f>
        <v>Dil Main Nahi Laona (From "Laiye Je Yaarian" Soundtrack)</v>
      </c>
      <c r="D75" s="121" t="str">
        <f t="array" ref="D75">ifs(and(isblank($A75),isblank($B75)),"", not(iserror(vlookup($A75&amp;$B75,'5) Release_Track'!$F:$F&amp;'5) Release_Track'!$G:$G,1,0))),vlookup($A75&amp;$B75,{'5) Release_Track'!$F:$F&amp;'5) Release_Track'!$G:$G,'5) Release_Track'!$I:$I},2,0), or(and(not(isblank($B75)),$B75=$B74,$A75&lt;&gt;$A74),and(not(isblank($A75)),$A75=$A74,$B75&lt;&gt;$B74)),"ID LISTS UNALIGNED",and($A75&lt;&gt;"",countif('5) Release_Track'!$F:$F,$A75)=0),"NO ISRC MATCH in Release_Track",and($B75&lt;&gt;"",countif('5) Release_Track'!$G:$G,$B75)=0),"NO CATALOG ID MATCH in Release_Track",iserror(vlookup($A75&amp;$B75,'5) Release_Track'!$F:$F&amp;'5) Release_Track'!$G:$G,1,0)),"NO ISRC-CATALOG ID pair MATCH in Release_Track" )</f>
        <v/>
      </c>
      <c r="E75" s="125" t="str">
        <f t="array" ref="E75">ifs(and(isblank($A75),isblank($B75)),"", not(iserror(vlookup($A75&amp;$B75,'5) Release_Track'!$F:$F&amp;'5) Release_Track'!$G:$G,1,0))),vlookup($A75&amp;$B75,{'5) Release_Track'!$F:$F&amp;'5) Release_Track'!$G:$G,'5) Release_Track'!$J:$J},2,0), or(and(not(isblank($B75)),$B75=$B74,$A75&lt;&gt;$A74),and(not(isblank($A75)),$A75=$A74,$B75&lt;&gt;$B74)),"ID LISTS UNALIGNED",and($A75&lt;&gt;"",countif('5) Release_Track'!$F:$F,$A75)=0),"NO ISRC MATCH in Release_Track",and($B75&lt;&gt;"",countif('5) Release_Track'!$G:$G,$B75)=0),"NO CATALOG ID MATCH in Release_Track",iserror(vlookup($A75&amp;$B75,'5) Release_Track'!$F:$F&amp;'5) Release_Track'!$G:$G,1,0)),"NO ISRC-CATALOG ID pair MATCH in Release_Track" )</f>
        <v>Punjabi</v>
      </c>
      <c r="F75" s="51" t="s">
        <v>119</v>
      </c>
      <c r="G75" s="122" t="s">
        <v>570</v>
      </c>
      <c r="H75" s="174">
        <v>1.0</v>
      </c>
      <c r="I75" s="175">
        <f t="shared" si="1"/>
        <v>1</v>
      </c>
      <c r="J75" s="8" t="s">
        <v>571</v>
      </c>
      <c r="K75" s="34" t="s">
        <v>140</v>
      </c>
      <c r="M75" s="99">
        <f t="shared" si="3"/>
        <v>1</v>
      </c>
    </row>
    <row r="76">
      <c r="A76" s="51" t="s">
        <v>512</v>
      </c>
      <c r="B76" s="103"/>
      <c r="C76" s="121" t="str">
        <f t="array" ref="C76">ifs(and(isblank($A76),isblank($B76)),"", not(iserror(vlookup($A76&amp;$B76,'5) Release_Track'!$F:$F&amp;'5) Release_Track'!$G:$G,1,0))),vlookup($A76&amp;$B76,{'5) Release_Track'!$F:$F&amp;'5) Release_Track'!$G:$G,'5) Release_Track'!$H:$H},2,0), or(and(not(isblank($B76)),$B76=$B75,$A76&lt;&gt;$A75),and(not(isblank($A76)),$A76=$A75,$B76&lt;&gt;$B75)),"ID LISTS UNALIGNED",and($A76&lt;&gt;"",countif('5) Release_Track'!$F:$F,$A76)=0),"NO ISRC MATCH in Release_Track",and($B76&lt;&gt;"",countif('5) Release_Track'!$G:$G,$B76)=0),"NO CATALOG ID MATCH in Release_Track",iserror(vlookup($A76&amp;$B76,'5) Release_Track'!$F:$F&amp;'5) Release_Track'!$G:$G,1,0)),"NO ISRC-CATALOG ID pair MATCH in Release_Track" )</f>
        <v>Dil Main Nahi Laona (From "Laiye Je Yaarian" Soundtrack)</v>
      </c>
      <c r="D76" s="121" t="str">
        <f t="array" ref="D76">ifs(and(isblank($A76),isblank($B76)),"", not(iserror(vlookup($A76&amp;$B76,'5) Release_Track'!$F:$F&amp;'5) Release_Track'!$G:$G,1,0))),vlookup($A76&amp;$B76,{'5) Release_Track'!$F:$F&amp;'5) Release_Track'!$G:$G,'5) Release_Track'!$I:$I},2,0), or(and(not(isblank($B76)),$B76=$B75,$A76&lt;&gt;$A75),and(not(isblank($A76)),$A76=$A75,$B76&lt;&gt;$B75)),"ID LISTS UNALIGNED",and($A76&lt;&gt;"",countif('5) Release_Track'!$F:$F,$A76)=0),"NO ISRC MATCH in Release_Track",and($B76&lt;&gt;"",countif('5) Release_Track'!$G:$G,$B76)=0),"NO CATALOG ID MATCH in Release_Track",iserror(vlookup($A76&amp;$B76,'5) Release_Track'!$F:$F&amp;'5) Release_Track'!$G:$G,1,0)),"NO ISRC-CATALOG ID pair MATCH in Release_Track" )</f>
        <v>Acoustic</v>
      </c>
      <c r="E76" s="125" t="str">
        <f t="array" ref="E76">ifs(and(isblank($A76),isblank($B76)),"", not(iserror(vlookup($A76&amp;$B76,'5) Release_Track'!$F:$F&amp;'5) Release_Track'!$G:$G,1,0))),vlookup($A76&amp;$B76,{'5) Release_Track'!$F:$F&amp;'5) Release_Track'!$G:$G,'5) Release_Track'!$J:$J},2,0), or(and(not(isblank($B76)),$B76=$B75,$A76&lt;&gt;$A75),and(not(isblank($A76)),$A76=$A75,$B76&lt;&gt;$B75)),"ID LISTS UNALIGNED",and($A76&lt;&gt;"",countif('5) Release_Track'!$F:$F,$A76)=0),"NO ISRC MATCH in Release_Track",and($B76&lt;&gt;"",countif('5) Release_Track'!$G:$G,$B76)=0),"NO CATALOG ID MATCH in Release_Track",iserror(vlookup($A76&amp;$B76,'5) Release_Track'!$F:$F&amp;'5) Release_Track'!$G:$G,1,0)),"NO ISRC-CATALOG ID pair MATCH in Release_Track" )</f>
        <v>Punjabi</v>
      </c>
      <c r="F76" s="51" t="s">
        <v>119</v>
      </c>
      <c r="G76" s="122" t="s">
        <v>570</v>
      </c>
      <c r="H76" s="174">
        <v>1.0</v>
      </c>
      <c r="I76" s="175">
        <f t="shared" si="1"/>
        <v>1</v>
      </c>
      <c r="J76" s="8" t="s">
        <v>571</v>
      </c>
      <c r="K76" s="34" t="s">
        <v>140</v>
      </c>
      <c r="M76" s="99">
        <f t="shared" si="3"/>
        <v>1</v>
      </c>
    </row>
    <row r="77">
      <c r="A77" s="51" t="s">
        <v>515</v>
      </c>
      <c r="B77" s="103"/>
      <c r="C77" s="121" t="str">
        <f t="array" ref="C77">ifs(and(isblank($A77),isblank($B77)),"", not(iserror(vlookup($A77&amp;$B77,'5) Release_Track'!$F:$F&amp;'5) Release_Track'!$G:$G,1,0))),vlookup($A77&amp;$B77,{'5) Release_Track'!$F:$F&amp;'5) Release_Track'!$G:$G,'5) Release_Track'!$H:$H},2,0), or(and(not(isblank($B77)),$B77=$B76,$A77&lt;&gt;$A76),and(not(isblank($A77)),$A77=$A76,$B77&lt;&gt;$B76)),"ID LISTS UNALIGNED",and($A77&lt;&gt;"",countif('5) Release_Track'!$F:$F,$A77)=0),"NO ISRC MATCH in Release_Track",and($B77&lt;&gt;"",countif('5) Release_Track'!$G:$G,$B77)=0),"NO CATALOG ID MATCH in Release_Track",iserror(vlookup($A77&amp;$B77,'5) Release_Track'!$F:$F&amp;'5) Release_Track'!$G:$G,1,0)),"NO ISRC-CATALOG ID pair MATCH in Release_Track" )</f>
        <v>U &amp; I (From "Laiye Je Yaarian" Soundtrack)</v>
      </c>
      <c r="D77" s="121" t="str">
        <f t="array" ref="D77">ifs(and(isblank($A77),isblank($B77)),"", not(iserror(vlookup($A77&amp;$B77,'5) Release_Track'!$F:$F&amp;'5) Release_Track'!$G:$G,1,0))),vlookup($A77&amp;$B77,{'5) Release_Track'!$F:$F&amp;'5) Release_Track'!$G:$G,'5) Release_Track'!$I:$I},2,0), or(and(not(isblank($B77)),$B77=$B76,$A77&lt;&gt;$A76),and(not(isblank($A77)),$A77=$A76,$B77&lt;&gt;$B76)),"ID LISTS UNALIGNED",and($A77&lt;&gt;"",countif('5) Release_Track'!$F:$F,$A77)=0),"NO ISRC MATCH in Release_Track",and($B77&lt;&gt;"",countif('5) Release_Track'!$G:$G,$B77)=0),"NO CATALOG ID MATCH in Release_Track",iserror(vlookup($A77&amp;$B77,'5) Release_Track'!$F:$F&amp;'5) Release_Track'!$G:$G,1,0)),"NO ISRC-CATALOG ID pair MATCH in Release_Track" )</f>
        <v/>
      </c>
      <c r="E77" s="125" t="str">
        <f t="array" ref="E77">ifs(and(isblank($A77),isblank($B77)),"", not(iserror(vlookup($A77&amp;$B77,'5) Release_Track'!$F:$F&amp;'5) Release_Track'!$G:$G,1,0))),vlookup($A77&amp;$B77,{'5) Release_Track'!$F:$F&amp;'5) Release_Track'!$G:$G,'5) Release_Track'!$J:$J},2,0), or(and(not(isblank($B77)),$B77=$B76,$A77&lt;&gt;$A76),and(not(isblank($A77)),$A77=$A76,$B77&lt;&gt;$B76)),"ID LISTS UNALIGNED",and($A77&lt;&gt;"",countif('5) Release_Track'!$F:$F,$A77)=0),"NO ISRC MATCH in Release_Track",and($B77&lt;&gt;"",countif('5) Release_Track'!$G:$G,$B77)=0),"NO CATALOG ID MATCH in Release_Track",iserror(vlookup($A77&amp;$B77,'5) Release_Track'!$F:$F&amp;'5) Release_Track'!$G:$G,1,0)),"NO ISRC-CATALOG ID pair MATCH in Release_Track" )</f>
        <v>Punjabi</v>
      </c>
      <c r="F77" s="51" t="s">
        <v>123</v>
      </c>
      <c r="G77" s="122" t="s">
        <v>570</v>
      </c>
      <c r="H77" s="174">
        <v>1.0</v>
      </c>
      <c r="I77" s="175">
        <f t="shared" si="1"/>
        <v>1</v>
      </c>
      <c r="J77" s="8" t="s">
        <v>571</v>
      </c>
      <c r="K77" s="34" t="s">
        <v>140</v>
      </c>
      <c r="M77" s="99">
        <f t="shared" si="3"/>
        <v>1</v>
      </c>
    </row>
    <row r="78">
      <c r="A78" s="51" t="s">
        <v>517</v>
      </c>
      <c r="B78" s="103"/>
      <c r="C78" s="121" t="str">
        <f t="array" ref="C78">ifs(and(isblank($A78),isblank($B78)),"", not(iserror(vlookup($A78&amp;$B78,'5) Release_Track'!$F:$F&amp;'5) Release_Track'!$G:$G,1,0))),vlookup($A78&amp;$B78,{'5) Release_Track'!$F:$F&amp;'5) Release_Track'!$G:$G,'5) Release_Track'!$H:$H},2,0), or(and(not(isblank($B78)),$B78=$B77,$A78&lt;&gt;$A77),and(not(isblank($A78)),$A78=$A77,$B78&lt;&gt;$B77)),"ID LISTS UNALIGNED",and($A78&lt;&gt;"",countif('5) Release_Track'!$F:$F,$A78)=0),"NO ISRC MATCH in Release_Track",and($B78&lt;&gt;"",countif('5) Release_Track'!$G:$G,$B78)=0),"NO CATALOG ID MATCH in Release_Track",iserror(vlookup($A78&amp;$B78,'5) Release_Track'!$F:$F&amp;'5) Release_Track'!$G:$G,1,0)),"NO ISRC-CATALOG ID pair MATCH in Release_Track" )</f>
        <v>Kurti De Mor (From "Laiye Je Yaarian" Soundtrack)</v>
      </c>
      <c r="D78" s="121" t="str">
        <f t="array" ref="D78">ifs(and(isblank($A78),isblank($B78)),"", not(iserror(vlookup($A78&amp;$B78,'5) Release_Track'!$F:$F&amp;'5) Release_Track'!$G:$G,1,0))),vlookup($A78&amp;$B78,{'5) Release_Track'!$F:$F&amp;'5) Release_Track'!$G:$G,'5) Release_Track'!$I:$I},2,0), or(and(not(isblank($B78)),$B78=$B77,$A78&lt;&gt;$A77),and(not(isblank($A78)),$A78=$A77,$B78&lt;&gt;$B77)),"ID LISTS UNALIGNED",and($A78&lt;&gt;"",countif('5) Release_Track'!$F:$F,$A78)=0),"NO ISRC MATCH in Release_Track",and($B78&lt;&gt;"",countif('5) Release_Track'!$G:$G,$B78)=0),"NO CATALOG ID MATCH in Release_Track",iserror(vlookup($A78&amp;$B78,'5) Release_Track'!$F:$F&amp;'5) Release_Track'!$G:$G,1,0)),"NO ISRC-CATALOG ID pair MATCH in Release_Track" )</f>
        <v/>
      </c>
      <c r="E78" s="125" t="str">
        <f t="array" ref="E78">ifs(and(isblank($A78),isblank($B78)),"", not(iserror(vlookup($A78&amp;$B78,'5) Release_Track'!$F:$F&amp;'5) Release_Track'!$G:$G,1,0))),vlookup($A78&amp;$B78,{'5) Release_Track'!$F:$F&amp;'5) Release_Track'!$G:$G,'5) Release_Track'!$J:$J},2,0), or(and(not(isblank($B78)),$B78=$B77,$A78&lt;&gt;$A77),and(not(isblank($A78)),$A78=$A77,$B78&lt;&gt;$B77)),"ID LISTS UNALIGNED",and($A78&lt;&gt;"",countif('5) Release_Track'!$F:$F,$A78)=0),"NO ISRC MATCH in Release_Track",and($B78&lt;&gt;"",countif('5) Release_Track'!$G:$G,$B78)=0),"NO CATALOG ID MATCH in Release_Track",iserror(vlookup($A78&amp;$B78,'5) Release_Track'!$F:$F&amp;'5) Release_Track'!$G:$G,1,0)),"NO ISRC-CATALOG ID pair MATCH in Release_Track" )</f>
        <v>Punjabi</v>
      </c>
      <c r="F78" s="51" t="s">
        <v>51</v>
      </c>
      <c r="G78" s="122" t="s">
        <v>570</v>
      </c>
      <c r="H78" s="174">
        <v>1.0</v>
      </c>
      <c r="I78" s="175">
        <f t="shared" si="1"/>
        <v>1</v>
      </c>
      <c r="J78" s="8" t="s">
        <v>571</v>
      </c>
      <c r="K78" s="34" t="s">
        <v>140</v>
      </c>
      <c r="M78" s="99">
        <f t="shared" si="3"/>
        <v>1</v>
      </c>
    </row>
    <row r="79">
      <c r="A79" s="51" t="s">
        <v>519</v>
      </c>
      <c r="B79" s="103"/>
      <c r="C79" s="121" t="str">
        <f t="array" ref="C79">ifs(and(isblank($A79),isblank($B79)),"", not(iserror(vlookup($A79&amp;$B79,'5) Release_Track'!$F:$F&amp;'5) Release_Track'!$G:$G,1,0))),vlookup($A79&amp;$B79,{'5) Release_Track'!$F:$F&amp;'5) Release_Track'!$G:$G,'5) Release_Track'!$H:$H},2,0), or(and(not(isblank($B79)),$B79=$B78,$A79&lt;&gt;$A78),and(not(isblank($A79)),$A79=$A78,$B79&lt;&gt;$B78)),"ID LISTS UNALIGNED",and($A79&lt;&gt;"",countif('5) Release_Track'!$F:$F,$A79)=0),"NO ISRC MATCH in Release_Track",and($B79&lt;&gt;"",countif('5) Release_Track'!$G:$G,$B79)=0),"NO CATALOG ID MATCH in Release_Track",iserror(vlookup($A79&amp;$B79,'5) Release_Track'!$F:$F&amp;'5) Release_Track'!$G:$G,1,0)),"NO ISRC-CATALOG ID pair MATCH in Release_Track" )</f>
        <v>Baddlan De Kaalje (From "Chal Mera Putt" Soundtrack)</v>
      </c>
      <c r="D79" s="121" t="str">
        <f t="array" ref="D79">ifs(and(isblank($A79),isblank($B79)),"", not(iserror(vlookup($A79&amp;$B79,'5) Release_Track'!$F:$F&amp;'5) Release_Track'!$G:$G,1,0))),vlookup($A79&amp;$B79,{'5) Release_Track'!$F:$F&amp;'5) Release_Track'!$G:$G,'5) Release_Track'!$I:$I},2,0), or(and(not(isblank($B79)),$B79=$B78,$A79&lt;&gt;$A78),and(not(isblank($A79)),$A79=$A78,$B79&lt;&gt;$B78)),"ID LISTS UNALIGNED",and($A79&lt;&gt;"",countif('5) Release_Track'!$F:$F,$A79)=0),"NO ISRC MATCH in Release_Track",and($B79&lt;&gt;"",countif('5) Release_Track'!$G:$G,$B79)=0),"NO CATALOG ID MATCH in Release_Track",iserror(vlookup($A79&amp;$B79,'5) Release_Track'!$F:$F&amp;'5) Release_Track'!$G:$G,1,0)),"NO ISRC-CATALOG ID pair MATCH in Release_Track" )</f>
        <v/>
      </c>
      <c r="E79" s="125" t="str">
        <f t="array" ref="E79">ifs(and(isblank($A79),isblank($B79)),"", not(iserror(vlookup($A79&amp;$B79,'5) Release_Track'!$F:$F&amp;'5) Release_Track'!$G:$G,1,0))),vlookup($A79&amp;$B79,{'5) Release_Track'!$F:$F&amp;'5) Release_Track'!$G:$G,'5) Release_Track'!$J:$J},2,0), or(and(not(isblank($B79)),$B79=$B78,$A79&lt;&gt;$A78),and(not(isblank($A79)),$A79=$A78,$B79&lt;&gt;$B78)),"ID LISTS UNALIGNED",and($A79&lt;&gt;"",countif('5) Release_Track'!$F:$F,$A79)=0),"NO ISRC MATCH in Release_Track",and($B79&lt;&gt;"",countif('5) Release_Track'!$G:$G,$B79)=0),"NO CATALOG ID MATCH in Release_Track",iserror(vlookup($A79&amp;$B79,'5) Release_Track'!$F:$F&amp;'5) Release_Track'!$G:$G,1,0)),"NO ISRC-CATALOG ID pair MATCH in Release_Track" )</f>
        <v>Punjabi</v>
      </c>
      <c r="F79" s="51" t="s">
        <v>115</v>
      </c>
      <c r="G79" s="122" t="s">
        <v>570</v>
      </c>
      <c r="H79" s="174">
        <v>1.0</v>
      </c>
      <c r="I79" s="175">
        <f t="shared" si="1"/>
        <v>1</v>
      </c>
      <c r="J79" s="8" t="s">
        <v>571</v>
      </c>
      <c r="K79" s="34" t="s">
        <v>140</v>
      </c>
      <c r="M79" s="99">
        <f t="shared" si="3"/>
        <v>1</v>
      </c>
    </row>
    <row r="80">
      <c r="A80" s="51" t="s">
        <v>521</v>
      </c>
      <c r="B80" s="103"/>
      <c r="C80" s="121" t="str">
        <f t="array" ref="C80">ifs(and(isblank($A80),isblank($B80)),"", not(iserror(vlookup($A80&amp;$B80,'5) Release_Track'!$F:$F&amp;'5) Release_Track'!$G:$G,1,0))),vlookup($A80&amp;$B80,{'5) Release_Track'!$F:$F&amp;'5) Release_Track'!$G:$G,'5) Release_Track'!$H:$H},2,0), or(and(not(isblank($B80)),$B80=$B79,$A80&lt;&gt;$A79),and(not(isblank($A80)),$A80=$A79,$B80&lt;&gt;$B79)),"ID LISTS UNALIGNED",and($A80&lt;&gt;"",countif('5) Release_Track'!$F:$F,$A80)=0),"NO ISRC MATCH in Release_Track",and($B80&lt;&gt;"",countif('5) Release_Track'!$G:$G,$B80)=0),"NO CATALOG ID MATCH in Release_Track",iserror(vlookup($A80&amp;$B80,'5) Release_Track'!$F:$F&amp;'5) Release_Track'!$G:$G,1,0)),"NO ISRC-CATALOG ID pair MATCH in Release_Track" )</f>
        <v>Chal Mera Putt - Title Track (From "Chal Mera Putt" Soundtrack)</v>
      </c>
      <c r="D80" s="121" t="str">
        <f t="array" ref="D80">ifs(and(isblank($A80),isblank($B80)),"", not(iserror(vlookup($A80&amp;$B80,'5) Release_Track'!$F:$F&amp;'5) Release_Track'!$G:$G,1,0))),vlookup($A80&amp;$B80,{'5) Release_Track'!$F:$F&amp;'5) Release_Track'!$G:$G,'5) Release_Track'!$I:$I},2,0), or(and(not(isblank($B80)),$B80=$B79,$A80&lt;&gt;$A79),and(not(isblank($A80)),$A80=$A79,$B80&lt;&gt;$B79)),"ID LISTS UNALIGNED",and($A80&lt;&gt;"",countif('5) Release_Track'!$F:$F,$A80)=0),"NO ISRC MATCH in Release_Track",and($B80&lt;&gt;"",countif('5) Release_Track'!$G:$G,$B80)=0),"NO CATALOG ID MATCH in Release_Track",iserror(vlookup($A80&amp;$B80,'5) Release_Track'!$F:$F&amp;'5) Release_Track'!$G:$G,1,0)),"NO ISRC-CATALOG ID pair MATCH in Release_Track" )</f>
        <v/>
      </c>
      <c r="E80" s="125" t="str">
        <f t="array" ref="E80">ifs(and(isblank($A80),isblank($B80)),"", not(iserror(vlookup($A80&amp;$B80,'5) Release_Track'!$F:$F&amp;'5) Release_Track'!$G:$G,1,0))),vlookup($A80&amp;$B80,{'5) Release_Track'!$F:$F&amp;'5) Release_Track'!$G:$G,'5) Release_Track'!$J:$J},2,0), or(and(not(isblank($B80)),$B80=$B79,$A80&lt;&gt;$A79),and(not(isblank($A80)),$A80=$A79,$B80&lt;&gt;$B79)),"ID LISTS UNALIGNED",and($A80&lt;&gt;"",countif('5) Release_Track'!$F:$F,$A80)=0),"NO ISRC MATCH in Release_Track",and($B80&lt;&gt;"",countif('5) Release_Track'!$G:$G,$B80)=0),"NO CATALOG ID MATCH in Release_Track",iserror(vlookup($A80&amp;$B80,'5) Release_Track'!$F:$F&amp;'5) Release_Track'!$G:$G,1,0)),"NO ISRC-CATALOG ID pair MATCH in Release_Track" )</f>
        <v>Punjabi</v>
      </c>
      <c r="F80" s="51" t="s">
        <v>115</v>
      </c>
      <c r="G80" s="122" t="s">
        <v>570</v>
      </c>
      <c r="H80" s="174">
        <v>1.0</v>
      </c>
      <c r="I80" s="175">
        <f t="shared" si="1"/>
        <v>1</v>
      </c>
      <c r="J80" s="8" t="s">
        <v>571</v>
      </c>
      <c r="K80" s="34" t="s">
        <v>140</v>
      </c>
      <c r="M80" s="99">
        <f t="shared" si="3"/>
        <v>1</v>
      </c>
    </row>
    <row r="81">
      <c r="A81" s="51" t="s">
        <v>523</v>
      </c>
      <c r="B81" s="103"/>
      <c r="C81" s="121" t="str">
        <f t="array" ref="C81">ifs(and(isblank($A81),isblank($B81)),"", not(iserror(vlookup($A81&amp;$B81,'5) Release_Track'!$F:$F&amp;'5) Release_Track'!$G:$G,1,0))),vlookup($A81&amp;$B81,{'5) Release_Track'!$F:$F&amp;'5) Release_Track'!$G:$G,'5) Release_Track'!$H:$H},2,0), or(and(not(isblank($B81)),$B81=$B80,$A81&lt;&gt;$A80),and(not(isblank($A81)),$A81=$A80,$B81&lt;&gt;$B80)),"ID LISTS UNALIGNED",and($A81&lt;&gt;"",countif('5) Release_Track'!$F:$F,$A81)=0),"NO ISRC MATCH in Release_Track",and($B81&lt;&gt;"",countif('5) Release_Track'!$G:$G,$B81)=0),"NO CATALOG ID MATCH in Release_Track",iserror(vlookup($A81&amp;$B81,'5) Release_Track'!$F:$F&amp;'5) Release_Track'!$G:$G,1,0)),"NO ISRC-CATALOG ID pair MATCH in Release_Track" )</f>
        <v>Aaban De Deson (From "Chal Mera Putt" Soundtrack)</v>
      </c>
      <c r="D81" s="121" t="str">
        <f t="array" ref="D81">ifs(and(isblank($A81),isblank($B81)),"", not(iserror(vlookup($A81&amp;$B81,'5) Release_Track'!$F:$F&amp;'5) Release_Track'!$G:$G,1,0))),vlookup($A81&amp;$B81,{'5) Release_Track'!$F:$F&amp;'5) Release_Track'!$G:$G,'5) Release_Track'!$I:$I},2,0), or(and(not(isblank($B81)),$B81=$B80,$A81&lt;&gt;$A80),and(not(isblank($A81)),$A81=$A80,$B81&lt;&gt;$B80)),"ID LISTS UNALIGNED",and($A81&lt;&gt;"",countif('5) Release_Track'!$F:$F,$A81)=0),"NO ISRC MATCH in Release_Track",and($B81&lt;&gt;"",countif('5) Release_Track'!$G:$G,$B81)=0),"NO CATALOG ID MATCH in Release_Track",iserror(vlookup($A81&amp;$B81,'5) Release_Track'!$F:$F&amp;'5) Release_Track'!$G:$G,1,0)),"NO ISRC-CATALOG ID pair MATCH in Release_Track" )</f>
        <v/>
      </c>
      <c r="E81" s="125" t="str">
        <f t="array" ref="E81">ifs(and(isblank($A81),isblank($B81)),"", not(iserror(vlookup($A81&amp;$B81,'5) Release_Track'!$F:$F&amp;'5) Release_Track'!$G:$G,1,0))),vlookup($A81&amp;$B81,{'5) Release_Track'!$F:$F&amp;'5) Release_Track'!$G:$G,'5) Release_Track'!$J:$J},2,0), or(and(not(isblank($B81)),$B81=$B80,$A81&lt;&gt;$A80),and(not(isblank($A81)),$A81=$A80,$B81&lt;&gt;$B80)),"ID LISTS UNALIGNED",and($A81&lt;&gt;"",countif('5) Release_Track'!$F:$F,$A81)=0),"NO ISRC MATCH in Release_Track",and($B81&lt;&gt;"",countif('5) Release_Track'!$G:$G,$B81)=0),"NO CATALOG ID MATCH in Release_Track",iserror(vlookup($A81&amp;$B81,'5) Release_Track'!$F:$F&amp;'5) Release_Track'!$G:$G,1,0)),"NO ISRC-CATALOG ID pair MATCH in Release_Track" )</f>
        <v>Punjabi</v>
      </c>
      <c r="F81" s="51" t="s">
        <v>115</v>
      </c>
      <c r="G81" s="122" t="s">
        <v>570</v>
      </c>
      <c r="H81" s="174">
        <v>1.0</v>
      </c>
      <c r="I81" s="175">
        <f t="shared" si="1"/>
        <v>1</v>
      </c>
      <c r="J81" s="8" t="s">
        <v>571</v>
      </c>
      <c r="K81" s="34" t="s">
        <v>140</v>
      </c>
      <c r="M81" s="99">
        <f t="shared" si="3"/>
        <v>1</v>
      </c>
    </row>
    <row r="82">
      <c r="A82" s="51" t="s">
        <v>525</v>
      </c>
      <c r="B82" s="103"/>
      <c r="C82" s="121" t="str">
        <f t="array" ref="C82">ifs(and(isblank($A82),isblank($B82)),"", not(iserror(vlookup($A82&amp;$B82,'5) Release_Track'!$F:$F&amp;'5) Release_Track'!$G:$G,1,0))),vlookup($A82&amp;$B82,{'5) Release_Track'!$F:$F&amp;'5) Release_Track'!$G:$G,'5) Release_Track'!$H:$H},2,0), or(and(not(isblank($B82)),$B82=$B81,$A82&lt;&gt;$A81),and(not(isblank($A82)),$A82=$A81,$B82&lt;&gt;$B81)),"ID LISTS UNALIGNED",and($A82&lt;&gt;"",countif('5) Release_Track'!$F:$F,$A82)=0),"NO ISRC MATCH in Release_Track",and($B82&lt;&gt;"",countif('5) Release_Track'!$G:$G,$B82)=0),"NO CATALOG ID MATCH in Release_Track",iserror(vlookup($A82&amp;$B82,'5) Release_Track'!$F:$F&amp;'5) Release_Track'!$G:$G,1,0)),"NO ISRC-CATALOG ID pair MATCH in Release_Track" )</f>
        <v>Shiftaan (From "Chal Mera Putt" Soundtrack)</v>
      </c>
      <c r="D82" s="121" t="str">
        <f t="array" ref="D82">ifs(and(isblank($A82),isblank($B82)),"", not(iserror(vlookup($A82&amp;$B82,'5) Release_Track'!$F:$F&amp;'5) Release_Track'!$G:$G,1,0))),vlookup($A82&amp;$B82,{'5) Release_Track'!$F:$F&amp;'5) Release_Track'!$G:$G,'5) Release_Track'!$I:$I},2,0), or(and(not(isblank($B82)),$B82=$B81,$A82&lt;&gt;$A81),and(not(isblank($A82)),$A82=$A81,$B82&lt;&gt;$B81)),"ID LISTS UNALIGNED",and($A82&lt;&gt;"",countif('5) Release_Track'!$F:$F,$A82)=0),"NO ISRC MATCH in Release_Track",and($B82&lt;&gt;"",countif('5) Release_Track'!$G:$G,$B82)=0),"NO CATALOG ID MATCH in Release_Track",iserror(vlookup($A82&amp;$B82,'5) Release_Track'!$F:$F&amp;'5) Release_Track'!$G:$G,1,0)),"NO ISRC-CATALOG ID pair MATCH in Release_Track" )</f>
        <v/>
      </c>
      <c r="E82" s="125" t="str">
        <f t="array" ref="E82">ifs(and(isblank($A82),isblank($B82)),"", not(iserror(vlookup($A82&amp;$B82,'5) Release_Track'!$F:$F&amp;'5) Release_Track'!$G:$G,1,0))),vlookup($A82&amp;$B82,{'5) Release_Track'!$F:$F&amp;'5) Release_Track'!$G:$G,'5) Release_Track'!$J:$J},2,0), or(and(not(isblank($B82)),$B82=$B81,$A82&lt;&gt;$A81),and(not(isblank($A82)),$A82=$A81,$B82&lt;&gt;$B81)),"ID LISTS UNALIGNED",and($A82&lt;&gt;"",countif('5) Release_Track'!$F:$F,$A82)=0),"NO ISRC MATCH in Release_Track",and($B82&lt;&gt;"",countif('5) Release_Track'!$G:$G,$B82)=0),"NO CATALOG ID MATCH in Release_Track",iserror(vlookup($A82&amp;$B82,'5) Release_Track'!$F:$F&amp;'5) Release_Track'!$G:$G,1,0)),"NO ISRC-CATALOG ID pair MATCH in Release_Track" )</f>
        <v>Punjabi</v>
      </c>
      <c r="F82" s="51" t="s">
        <v>115</v>
      </c>
      <c r="G82" s="122" t="s">
        <v>570</v>
      </c>
      <c r="H82" s="174">
        <v>1.0</v>
      </c>
      <c r="I82" s="175">
        <f t="shared" si="1"/>
        <v>1</v>
      </c>
      <c r="J82" s="8" t="s">
        <v>571</v>
      </c>
      <c r="K82" s="34" t="s">
        <v>140</v>
      </c>
      <c r="M82" s="99">
        <f t="shared" si="3"/>
        <v>1</v>
      </c>
    </row>
    <row r="83">
      <c r="A83" s="51" t="s">
        <v>527</v>
      </c>
      <c r="B83" s="103"/>
      <c r="C83" s="121" t="str">
        <f t="array" ref="C83">ifs(and(isblank($A83),isblank($B83)),"", not(iserror(vlookup($A83&amp;$B83,'5) Release_Track'!$F:$F&amp;'5) Release_Track'!$G:$G,1,0))),vlookup($A83&amp;$B83,{'5) Release_Track'!$F:$F&amp;'5) Release_Track'!$G:$G,'5) Release_Track'!$H:$H},2,0), or(and(not(isblank($B83)),$B83=$B82,$A83&lt;&gt;$A82),and(not(isblank($A83)),$A83=$A82,$B83&lt;&gt;$B82)),"ID LISTS UNALIGNED",and($A83&lt;&gt;"",countif('5) Release_Track'!$F:$F,$A83)=0),"NO ISRC MATCH in Release_Track",and($B83&lt;&gt;"",countif('5) Release_Track'!$G:$G,$B83)=0),"NO CATALOG ID MATCH in Release_Track",iserror(vlookup($A83&amp;$B83,'5) Release_Track'!$F:$F&amp;'5) Release_Track'!$G:$G,1,0)),"NO ISRC-CATALOG ID pair MATCH in Release_Track" )</f>
        <v>Gallan Na Changian (From "Chal Mera Putt" Soundtrack)</v>
      </c>
      <c r="D83" s="121" t="str">
        <f t="array" ref="D83">ifs(and(isblank($A83),isblank($B83)),"", not(iserror(vlookup($A83&amp;$B83,'5) Release_Track'!$F:$F&amp;'5) Release_Track'!$G:$G,1,0))),vlookup($A83&amp;$B83,{'5) Release_Track'!$F:$F&amp;'5) Release_Track'!$G:$G,'5) Release_Track'!$I:$I},2,0), or(and(not(isblank($B83)),$B83=$B82,$A83&lt;&gt;$A82),and(not(isblank($A83)),$A83=$A82,$B83&lt;&gt;$B82)),"ID LISTS UNALIGNED",and($A83&lt;&gt;"",countif('5) Release_Track'!$F:$F,$A83)=0),"NO ISRC MATCH in Release_Track",and($B83&lt;&gt;"",countif('5) Release_Track'!$G:$G,$B83)=0),"NO CATALOG ID MATCH in Release_Track",iserror(vlookup($A83&amp;$B83,'5) Release_Track'!$F:$F&amp;'5) Release_Track'!$G:$G,1,0)),"NO ISRC-CATALOG ID pair MATCH in Release_Track" )</f>
        <v/>
      </c>
      <c r="E83" s="125" t="str">
        <f t="array" ref="E83">ifs(and(isblank($A83),isblank($B83)),"", not(iserror(vlookup($A83&amp;$B83,'5) Release_Track'!$F:$F&amp;'5) Release_Track'!$G:$G,1,0))),vlookup($A83&amp;$B83,{'5) Release_Track'!$F:$F&amp;'5) Release_Track'!$G:$G,'5) Release_Track'!$J:$J},2,0), or(and(not(isblank($B83)),$B83=$B82,$A83&lt;&gt;$A82),and(not(isblank($A83)),$A83=$A82,$B83&lt;&gt;$B82)),"ID LISTS UNALIGNED",and($A83&lt;&gt;"",countif('5) Release_Track'!$F:$F,$A83)=0),"NO ISRC MATCH in Release_Track",and($B83&lt;&gt;"",countif('5) Release_Track'!$G:$G,$B83)=0),"NO CATALOG ID MATCH in Release_Track",iserror(vlookup($A83&amp;$B83,'5) Release_Track'!$F:$F&amp;'5) Release_Track'!$G:$G,1,0)),"NO ISRC-CATALOG ID pair MATCH in Release_Track" )</f>
        <v>Punjabi</v>
      </c>
      <c r="F83" s="51" t="s">
        <v>115</v>
      </c>
      <c r="G83" s="122" t="s">
        <v>570</v>
      </c>
      <c r="H83" s="174">
        <v>1.0</v>
      </c>
      <c r="I83" s="175">
        <f t="shared" si="1"/>
        <v>1</v>
      </c>
      <c r="J83" s="8" t="s">
        <v>571</v>
      </c>
      <c r="K83" s="34" t="s">
        <v>140</v>
      </c>
      <c r="M83" s="99">
        <f t="shared" si="3"/>
        <v>1</v>
      </c>
    </row>
    <row r="84">
      <c r="A84" s="51" t="s">
        <v>529</v>
      </c>
      <c r="B84" s="103"/>
      <c r="C84" s="121" t="str">
        <f t="array" ref="C84">ifs(and(isblank($A84),isblank($B84)),"", not(iserror(vlookup($A84&amp;$B84,'5) Release_Track'!$F:$F&amp;'5) Release_Track'!$G:$G,1,0))),vlookup($A84&amp;$B84,{'5) Release_Track'!$F:$F&amp;'5) Release_Track'!$G:$G,'5) Release_Track'!$H:$H},2,0), or(and(not(isblank($B84)),$B84=$B83,$A84&lt;&gt;$A83),and(not(isblank($A84)),$A84=$A83,$B84&lt;&gt;$B83)),"ID LISTS UNALIGNED",and($A84&lt;&gt;"",countif('5) Release_Track'!$F:$F,$A84)=0),"NO ISRC MATCH in Release_Track",and($B84&lt;&gt;"",countif('5) Release_Track'!$G:$G,$B84)=0),"NO CATALOG ID MATCH in Release_Track",iserror(vlookup($A84&amp;$B84,'5) Release_Track'!$F:$F&amp;'5) Release_Track'!$G:$G,1,0)),"NO ISRC-CATALOG ID pair MATCH in Release_Track" )</f>
        <v>Nanak Aadh Jugaadh Jiyo</v>
      </c>
      <c r="D84" s="121" t="str">
        <f t="array" ref="D84">ifs(and(isblank($A84),isblank($B84)),"", not(iserror(vlookup($A84&amp;$B84,'5) Release_Track'!$F:$F&amp;'5) Release_Track'!$G:$G,1,0))),vlookup($A84&amp;$B84,{'5) Release_Track'!$F:$F&amp;'5) Release_Track'!$G:$G,'5) Release_Track'!$I:$I},2,0), or(and(not(isblank($B84)),$B84=$B83,$A84&lt;&gt;$A83),and(not(isblank($A84)),$A84=$A83,$B84&lt;&gt;$B83)),"ID LISTS UNALIGNED",and($A84&lt;&gt;"",countif('5) Release_Track'!$F:$F,$A84)=0),"NO ISRC MATCH in Release_Track",and($B84&lt;&gt;"",countif('5) Release_Track'!$G:$G,$B84)=0),"NO CATALOG ID MATCH in Release_Track",iserror(vlookup($A84&amp;$B84,'5) Release_Track'!$F:$F&amp;'5) Release_Track'!$G:$G,1,0)),"NO ISRC-CATALOG ID pair MATCH in Release_Track" )</f>
        <v/>
      </c>
      <c r="E84" s="125" t="str">
        <f t="array" ref="E84">ifs(and(isblank($A84),isblank($B84)),"", not(iserror(vlookup($A84&amp;$B84,'5) Release_Track'!$F:$F&amp;'5) Release_Track'!$G:$G,1,0))),vlookup($A84&amp;$B84,{'5) Release_Track'!$F:$F&amp;'5) Release_Track'!$G:$G,'5) Release_Track'!$J:$J},2,0), or(and(not(isblank($B84)),$B84=$B83,$A84&lt;&gt;$A83),and(not(isblank($A84)),$A84=$A83,$B84&lt;&gt;$B83)),"ID LISTS UNALIGNED",and($A84&lt;&gt;"",countif('5) Release_Track'!$F:$F,$A84)=0),"NO ISRC MATCH in Release_Track",and($B84&lt;&gt;"",countif('5) Release_Track'!$G:$G,$B84)=0),"NO CATALOG ID MATCH in Release_Track",iserror(vlookup($A84&amp;$B84,'5) Release_Track'!$F:$F&amp;'5) Release_Track'!$G:$G,1,0)),"NO ISRC-CATALOG ID pair MATCH in Release_Track" )</f>
        <v>Punjabi</v>
      </c>
      <c r="F84" s="51" t="s">
        <v>47</v>
      </c>
      <c r="G84" s="122" t="s">
        <v>570</v>
      </c>
      <c r="H84" s="174">
        <v>1.0</v>
      </c>
      <c r="I84" s="175">
        <f t="shared" si="1"/>
        <v>1</v>
      </c>
      <c r="J84" s="8" t="s">
        <v>571</v>
      </c>
      <c r="K84" s="34" t="s">
        <v>140</v>
      </c>
      <c r="M84" s="99">
        <f t="shared" si="3"/>
        <v>1</v>
      </c>
    </row>
    <row r="85">
      <c r="A85" s="51" t="s">
        <v>531</v>
      </c>
      <c r="B85" s="103"/>
      <c r="C85" s="121" t="str">
        <f t="array" ref="C85">ifs(and(isblank($A85),isblank($B85)),"", not(iserror(vlookup($A85&amp;$B85,'5) Release_Track'!$F:$F&amp;'5) Release_Track'!$G:$G,1,0))),vlookup($A85&amp;$B85,{'5) Release_Track'!$F:$F&amp;'5) Release_Track'!$G:$G,'5) Release_Track'!$H:$H},2,0), or(and(not(isblank($B85)),$B85=#REF!,$A85&lt;&gt;#REF!),and(not(isblank($A85)),$A85=#REF!,$B85&lt;&gt;#REF!)),"ID LISTS UNALIGNED",and($A85&lt;&gt;"",countif('5) Release_Track'!$F:$F,$A85)=0),"NO ISRC MATCH in Release_Track",and($B85&lt;&gt;"",countif('5) Release_Track'!$G:$G,$B85)=0),"NO CATALOG ID MATCH in Release_Track",iserror(vlookup($A85&amp;$B85,'5) Release_Track'!$F:$F&amp;'5) Release_Track'!$G:$G,1,0)),"NO ISRC-CATALOG ID pair MATCH in Release_Track" )</f>
        <v>Boota Gaalan Kad Da Ae (From "Chal Mera Putt 2" Soundtrack)</v>
      </c>
      <c r="D85" s="121" t="str">
        <f t="array" ref="D85">ifs(and(isblank($A85),isblank($B85)),"", not(iserror(vlookup($A85&amp;$B85,'5) Release_Track'!$F:$F&amp;'5) Release_Track'!$G:$G,1,0))),vlookup($A85&amp;$B85,{'5) Release_Track'!$F:$F&amp;'5) Release_Track'!$G:$G,'5) Release_Track'!$I:$I},2,0), or(and(not(isblank($B85)),$B85=#REF!,$A85&lt;&gt;#REF!),and(not(isblank($A85)),$A85=#REF!,$B85&lt;&gt;#REF!)),"ID LISTS UNALIGNED",and($A85&lt;&gt;"",countif('5) Release_Track'!$F:$F,$A85)=0),"NO ISRC MATCH in Release_Track",and($B85&lt;&gt;"",countif('5) Release_Track'!$G:$G,$B85)=0),"NO CATALOG ID MATCH in Release_Track",iserror(vlookup($A85&amp;$B85,'5) Release_Track'!$F:$F&amp;'5) Release_Track'!$G:$G,1,0)),"NO ISRC-CATALOG ID pair MATCH in Release_Track" )</f>
        <v/>
      </c>
      <c r="E85" s="125" t="str">
        <f t="array" ref="E85">ifs(and(isblank($A85),isblank($B85)),"", not(iserror(vlookup($A85&amp;$B85,'5) Release_Track'!$F:$F&amp;'5) Release_Track'!$G:$G,1,0))),vlookup($A85&amp;$B85,{'5) Release_Track'!$F:$F&amp;'5) Release_Track'!$G:$G,'5) Release_Track'!$J:$J},2,0), or(and(not(isblank($B85)),$B85=#REF!,$A85&lt;&gt;#REF!),and(not(isblank($A85)),$A85=#REF!,$B85&lt;&gt;#REF!)),"ID LISTS UNALIGNED",and($A85&lt;&gt;"",countif('5) Release_Track'!$F:$F,$A85)=0),"NO ISRC MATCH in Release_Track",and($B85&lt;&gt;"",countif('5) Release_Track'!$G:$G,$B85)=0),"NO CATALOG ID MATCH in Release_Track",iserror(vlookup($A85&amp;$B85,'5) Release_Track'!$F:$F&amp;'5) Release_Track'!$G:$G,1,0)),"NO ISRC-CATALOG ID pair MATCH in Release_Track" )</f>
        <v>Punjabi</v>
      </c>
      <c r="F85" s="51" t="s">
        <v>115</v>
      </c>
      <c r="G85" s="122" t="s">
        <v>570</v>
      </c>
      <c r="H85" s="174">
        <v>1.0</v>
      </c>
      <c r="I85" s="121" t="str">
        <f>if(isblank(H85),"",if(not(iserror(find("MATCH in ",D85))),D85,if(and(not(isblank($B85)),$B85=#REF!,$A85&lt;&gt;#REF!),"ID LISTS UNALIGNED",if(not(isblank($A85)),if($A85=#REF!,H85+#REF!,H85),if($B85=#REF!,H85+#REF!,H85)))))</f>
        <v>#REF!</v>
      </c>
      <c r="J85" s="8" t="s">
        <v>571</v>
      </c>
      <c r="K85" s="34" t="s">
        <v>140</v>
      </c>
      <c r="M85" s="99">
        <f t="shared" ref="M85:M88" si="4">COUNTIF(A85:A171,A85)</f>
        <v>1</v>
      </c>
    </row>
    <row r="86">
      <c r="A86" s="51" t="s">
        <v>533</v>
      </c>
      <c r="B86" s="103"/>
      <c r="C86" s="121" t="str">
        <f t="array" ref="C86">ifs(and(isblank($A86),isblank($B86)),"", not(iserror(vlookup($A86&amp;$B86,'5) Release_Track'!$F:$F&amp;'5) Release_Track'!$G:$G,1,0))),vlookup($A86&amp;$B86,{'5) Release_Track'!$F:$F&amp;'5) Release_Track'!$G:$G,'5) Release_Track'!$H:$H},2,0), or(and(not(isblank($B86)),$B86=$B85,$A86&lt;&gt;$A85),and(not(isblank($A86)),$A86=$A85,$B86&lt;&gt;$B85)),"ID LISTS UNALIGNED",and($A86&lt;&gt;"",countif('5) Release_Track'!$F:$F,$A86)=0),"NO ISRC MATCH in Release_Track",and($B86&lt;&gt;"",countif('5) Release_Track'!$G:$G,$B86)=0),"NO CATALOG ID MATCH in Release_Track",iserror(vlookup($A86&amp;$B86,'5) Release_Track'!$F:$F&amp;'5) Release_Track'!$G:$G,1,0)),"NO ISRC-CATALOG ID pair MATCH in Release_Track" )</f>
        <v>Majboori (From "Chal Mera Putt 2" Soundtrack)</v>
      </c>
      <c r="D86" s="121" t="str">
        <f t="array" ref="D86">ifs(and(isblank($A86),isblank($B86)),"", not(iserror(vlookup($A86&amp;$B86,'5) Release_Track'!$F:$F&amp;'5) Release_Track'!$G:$G,1,0))),vlookup($A86&amp;$B86,{'5) Release_Track'!$F:$F&amp;'5) Release_Track'!$G:$G,'5) Release_Track'!$I:$I},2,0), or(and(not(isblank($B86)),$B86=$B85,$A86&lt;&gt;$A85),and(not(isblank($A86)),$A86=$A85,$B86&lt;&gt;$B85)),"ID LISTS UNALIGNED",and($A86&lt;&gt;"",countif('5) Release_Track'!$F:$F,$A86)=0),"NO ISRC MATCH in Release_Track",and($B86&lt;&gt;"",countif('5) Release_Track'!$G:$G,$B86)=0),"NO CATALOG ID MATCH in Release_Track",iserror(vlookup($A86&amp;$B86,'5) Release_Track'!$F:$F&amp;'5) Release_Track'!$G:$G,1,0)),"NO ISRC-CATALOG ID pair MATCH in Release_Track" )</f>
        <v/>
      </c>
      <c r="E86" s="125" t="str">
        <f t="array" ref="E86">ifs(and(isblank($A86),isblank($B86)),"", not(iserror(vlookup($A86&amp;$B86,'5) Release_Track'!$F:$F&amp;'5) Release_Track'!$G:$G,1,0))),vlookup($A86&amp;$B86,{'5) Release_Track'!$F:$F&amp;'5) Release_Track'!$G:$G,'5) Release_Track'!$J:$J},2,0), or(and(not(isblank($B86)),$B86=$B85,$A86&lt;&gt;$A85),and(not(isblank($A86)),$A86=$A85,$B86&lt;&gt;$B85)),"ID LISTS UNALIGNED",and($A86&lt;&gt;"",countif('5) Release_Track'!$F:$F,$A86)=0),"NO ISRC MATCH in Release_Track",and($B86&lt;&gt;"",countif('5) Release_Track'!$G:$G,$B86)=0),"NO CATALOG ID MATCH in Release_Track",iserror(vlookup($A86&amp;$B86,'5) Release_Track'!$F:$F&amp;'5) Release_Track'!$G:$G,1,0)),"NO ISRC-CATALOG ID pair MATCH in Release_Track" )</f>
        <v>Punjabi</v>
      </c>
      <c r="F86" s="51" t="s">
        <v>115</v>
      </c>
      <c r="G86" s="122" t="s">
        <v>570</v>
      </c>
      <c r="H86" s="174">
        <v>1.0</v>
      </c>
      <c r="I86" s="175">
        <f t="shared" ref="I86:I88" si="5">if(isblank(H86),"",if(not(iserror(find("MATCH in ",D86))),D86,if(and(not(isblank($B86)),$B86=$B85,$A86&lt;&gt;$A85),"ID LISTS UNALIGNED",if(not(isblank($A86)),if($A86=$A85,H86+I85,H86),if($B86=$B85,H86+I85,H86)))))</f>
        <v>1</v>
      </c>
      <c r="J86" s="8" t="s">
        <v>571</v>
      </c>
      <c r="K86" s="34" t="s">
        <v>140</v>
      </c>
      <c r="M86" s="99">
        <f t="shared" si="4"/>
        <v>1</v>
      </c>
    </row>
    <row r="87">
      <c r="A87" s="51" t="s">
        <v>535</v>
      </c>
      <c r="B87" s="103"/>
      <c r="C87" s="121" t="str">
        <f t="array" ref="C87">ifs(and(isblank($A87),isblank($B87)),"", not(iserror(vlookup($A87&amp;$B87,'5) Release_Track'!$F:$F&amp;'5) Release_Track'!$G:$G,1,0))),vlookup($A87&amp;$B87,{'5) Release_Track'!$F:$F&amp;'5) Release_Track'!$G:$G,'5) Release_Track'!$H:$H},2,0), or(and(not(isblank($B87)),$B87=$B86,$A87&lt;&gt;$A86),and(not(isblank($A87)),$A87=$A86,$B87&lt;&gt;$B86)),"ID LISTS UNALIGNED",and($A87&lt;&gt;"",countif('5) Release_Track'!$F:$F,$A87)=0),"NO ISRC MATCH in Release_Track",and($B87&lt;&gt;"",countif('5) Release_Track'!$G:$G,$B87)=0),"NO CATALOG ID MATCH in Release_Track",iserror(vlookup($A87&amp;$B87,'5) Release_Track'!$F:$F&amp;'5) Release_Track'!$G:$G,1,0)),"NO ISRC-CATALOG ID pair MATCH in Release_Track" )</f>
        <v>Majhe Wal Da (From "Chal Mera Putt 2" Soundtrack)</v>
      </c>
      <c r="D87" s="121" t="str">
        <f t="array" ref="D87">ifs(and(isblank($A87),isblank($B87)),"", not(iserror(vlookup($A87&amp;$B87,'5) Release_Track'!$F:$F&amp;'5) Release_Track'!$G:$G,1,0))),vlookup($A87&amp;$B87,{'5) Release_Track'!$F:$F&amp;'5) Release_Track'!$G:$G,'5) Release_Track'!$I:$I},2,0), or(and(not(isblank($B87)),$B87=$B86,$A87&lt;&gt;$A86),and(not(isblank($A87)),$A87=$A86,$B87&lt;&gt;$B86)),"ID LISTS UNALIGNED",and($A87&lt;&gt;"",countif('5) Release_Track'!$F:$F,$A87)=0),"NO ISRC MATCH in Release_Track",and($B87&lt;&gt;"",countif('5) Release_Track'!$G:$G,$B87)=0),"NO CATALOG ID MATCH in Release_Track",iserror(vlookup($A87&amp;$B87,'5) Release_Track'!$F:$F&amp;'5) Release_Track'!$G:$G,1,0)),"NO ISRC-CATALOG ID pair MATCH in Release_Track" )</f>
        <v/>
      </c>
      <c r="E87" s="125" t="str">
        <f t="array" ref="E87">ifs(and(isblank($A87),isblank($B87)),"", not(iserror(vlookup($A87&amp;$B87,'5) Release_Track'!$F:$F&amp;'5) Release_Track'!$G:$G,1,0))),vlookup($A87&amp;$B87,{'5) Release_Track'!$F:$F&amp;'5) Release_Track'!$G:$G,'5) Release_Track'!$J:$J},2,0), or(and(not(isblank($B87)),$B87=$B86,$A87&lt;&gt;$A86),and(not(isblank($A87)),$A87=$A86,$B87&lt;&gt;$B86)),"ID LISTS UNALIGNED",and($A87&lt;&gt;"",countif('5) Release_Track'!$F:$F,$A87)=0),"NO ISRC MATCH in Release_Track",and($B87&lt;&gt;"",countif('5) Release_Track'!$G:$G,$B87)=0),"NO CATALOG ID MATCH in Release_Track",iserror(vlookup($A87&amp;$B87,'5) Release_Track'!$F:$F&amp;'5) Release_Track'!$G:$G,1,0)),"NO ISRC-CATALOG ID pair MATCH in Release_Track" )</f>
        <v>Punjabi</v>
      </c>
      <c r="F87" s="51" t="s">
        <v>127</v>
      </c>
      <c r="G87" s="122" t="s">
        <v>570</v>
      </c>
      <c r="H87" s="174">
        <v>1.0</v>
      </c>
      <c r="I87" s="175">
        <f t="shared" si="5"/>
        <v>1</v>
      </c>
      <c r="J87" s="8" t="s">
        <v>571</v>
      </c>
      <c r="K87" s="34" t="s">
        <v>140</v>
      </c>
      <c r="M87" s="99">
        <f t="shared" si="4"/>
        <v>1</v>
      </c>
    </row>
    <row r="88">
      <c r="A88" s="51" t="s">
        <v>537</v>
      </c>
      <c r="B88" s="103"/>
      <c r="C88" s="121" t="str">
        <f t="array" ref="C88">ifs(and(isblank($A88),isblank($B88)),"", not(iserror(vlookup($A88&amp;$B88,'5) Release_Track'!$F:$F&amp;'5) Release_Track'!$G:$G,1,0))),vlookup($A88&amp;$B88,{'5) Release_Track'!$F:$F&amp;'5) Release_Track'!$G:$G,'5) Release_Track'!$H:$H},2,0), or(and(not(isblank($B88)),$B88=$B87,$A88&lt;&gt;$A87),and(not(isblank($A88)),$A88=$A87,$B88&lt;&gt;$B87)),"ID LISTS UNALIGNED",and($A88&lt;&gt;"",countif('5) Release_Track'!$F:$F,$A88)=0),"NO ISRC MATCH in Release_Track",and($B88&lt;&gt;"",countif('5) Release_Track'!$G:$G,$B88)=0),"NO CATALOG ID MATCH in Release_Track",iserror(vlookup($A88&amp;$B88,'5) Release_Track'!$F:$F&amp;'5) Release_Track'!$G:$G,1,0)),"NO ISRC-CATALOG ID pair MATCH in Release_Track" )</f>
        <v>Doubt</v>
      </c>
      <c r="D88" s="121" t="str">
        <f t="array" ref="D88">ifs(and(isblank($A88),isblank($B88)),"", not(iserror(vlookup($A88&amp;$B88,'5) Release_Track'!$F:$F&amp;'5) Release_Track'!$G:$G,1,0))),vlookup($A88&amp;$B88,{'5) Release_Track'!$F:$F&amp;'5) Release_Track'!$G:$G,'5) Release_Track'!$I:$I},2,0), or(and(not(isblank($B88)),$B88=$B87,$A88&lt;&gt;$A87),and(not(isblank($A88)),$A88=$A87,$B88&lt;&gt;$B87)),"ID LISTS UNALIGNED",and($A88&lt;&gt;"",countif('5) Release_Track'!$F:$F,$A88)=0),"NO ISRC MATCH in Release_Track",and($B88&lt;&gt;"",countif('5) Release_Track'!$G:$G,$B88)=0),"NO CATALOG ID MATCH in Release_Track",iserror(vlookup($A88&amp;$B88,'5) Release_Track'!$F:$F&amp;'5) Release_Track'!$G:$G,1,0)),"NO ISRC-CATALOG ID pair MATCH in Release_Track" )</f>
        <v/>
      </c>
      <c r="E88" s="125" t="str">
        <f t="array" ref="E88">ifs(and(isblank($A88),isblank($B88)),"", not(iserror(vlookup($A88&amp;$B88,'5) Release_Track'!$F:$F&amp;'5) Release_Track'!$G:$G,1,0))),vlookup($A88&amp;$B88,{'5) Release_Track'!$F:$F&amp;'5) Release_Track'!$G:$G,'5) Release_Track'!$J:$J},2,0), or(and(not(isblank($B88)),$B88=$B87,$A88&lt;&gt;$A87),and(not(isblank($A88)),$A88=$A87,$B88&lt;&gt;$B87)),"ID LISTS UNALIGNED",and($A88&lt;&gt;"",countif('5) Release_Track'!$F:$F,$A88)=0),"NO ISRC MATCH in Release_Track",and($B88&lt;&gt;"",countif('5) Release_Track'!$G:$G,$B88)=0),"NO CATALOG ID MATCH in Release_Track",iserror(vlookup($A88&amp;$B88,'5) Release_Track'!$F:$F&amp;'5) Release_Track'!$G:$G,1,0)),"NO ISRC-CATALOG ID pair MATCH in Release_Track" )</f>
        <v>Punjabi</v>
      </c>
      <c r="F88" s="51" t="s">
        <v>557</v>
      </c>
      <c r="G88" s="122" t="s">
        <v>572</v>
      </c>
      <c r="H88" s="174">
        <v>1.0</v>
      </c>
      <c r="I88" s="175">
        <f t="shared" si="5"/>
        <v>1</v>
      </c>
      <c r="J88" s="8" t="s">
        <v>571</v>
      </c>
      <c r="K88" s="34" t="s">
        <v>140</v>
      </c>
      <c r="M88" s="99">
        <f t="shared" si="4"/>
        <v>1</v>
      </c>
    </row>
    <row r="89">
      <c r="B89" s="103"/>
      <c r="C89" s="121" t="str">
        <f t="array" ref="C89">ifs(and(isblank($A89),isblank($B89)),"", not(iserror(vlookup($A89&amp;$B89,'5) Release_Track'!$F:$F&amp;'5) Release_Track'!$G:$G,1,0))),vlookup($A89&amp;$B89,{'5) Release_Track'!$F:$F&amp;'5) Release_Track'!$G:$G,'5) Release_Track'!$H:$H},2,0), or(and(not(isblank($B89)),$B89=#REF!,$A89&lt;&gt;#REF!),and(not(isblank($A89)),$A89=#REF!,$B89&lt;&gt;#REF!)),"ID LISTS UNALIGNED",and($A89&lt;&gt;"",countif('5) Release_Track'!$F:$F,$A89)=0),"NO ISRC MATCH in Release_Track",and($B89&lt;&gt;"",countif('5) Release_Track'!$G:$G,$B89)=0),"NO CATALOG ID MATCH in Release_Track",iserror(vlookup($A89&amp;$B89,'5) Release_Track'!$F:$F&amp;'5) Release_Track'!$G:$G,1,0)),"NO ISRC-CATALOG ID pair MATCH in Release_Track" )</f>
        <v/>
      </c>
      <c r="D89" s="121" t="str">
        <f t="array" ref="D89">ifs(and(isblank($A89),isblank($B89)),"", not(iserror(vlookup($A89&amp;$B89,'5) Release_Track'!$F:$F&amp;'5) Release_Track'!$G:$G,1,0))),vlookup($A89&amp;$B89,{'5) Release_Track'!$F:$F&amp;'5) Release_Track'!$G:$G,'5) Release_Track'!$I:$I},2,0), or(and(not(isblank($B89)),$B89=#REF!,$A89&lt;&gt;#REF!),and(not(isblank($A89)),$A89=#REF!,$B89&lt;&gt;#REF!)),"ID LISTS UNALIGNED",and($A89&lt;&gt;"",countif('5) Release_Track'!$F:$F,$A89)=0),"NO ISRC MATCH in Release_Track",and($B89&lt;&gt;"",countif('5) Release_Track'!$G:$G,$B89)=0),"NO CATALOG ID MATCH in Release_Track",iserror(vlookup($A89&amp;$B89,'5) Release_Track'!$F:$F&amp;'5) Release_Track'!$G:$G,1,0)),"NO ISRC-CATALOG ID pair MATCH in Release_Track" )</f>
        <v/>
      </c>
      <c r="E89" s="125" t="str">
        <f t="array" ref="E89">ifs(and(isblank($A89),isblank($B89)),"", not(iserror(vlookup($A89&amp;$B89,'5) Release_Track'!$F:$F&amp;'5) Release_Track'!$G:$G,1,0))),vlookup($A89&amp;$B89,{'5) Release_Track'!$F:$F&amp;'5) Release_Track'!$G:$G,'5) Release_Track'!$J:$J},2,0), or(and(not(isblank($B89)),$B89=$B88,$A89&lt;&gt;$A88),and(not(isblank($A89)),$A89=$A88,$B89&lt;&gt;$B88)),"ID LISTS UNALIGNED",and($A89&lt;&gt;"",countif('5) Release_Track'!$F:$F,$A89)=0),"NO ISRC MATCH in Release_Track",and($B89&lt;&gt;"",countif('5) Release_Track'!$G:$G,$B89)=0),"NO CATALOG ID MATCH in Release_Track",iserror(vlookup($A89&amp;$B89,'5) Release_Track'!$F:$F&amp;'5) Release_Track'!$G:$G,1,0)),"NO ISRC-CATALOG ID pair MATCH in Release_Track" )</f>
        <v/>
      </c>
      <c r="F89" s="122"/>
      <c r="G89" s="99"/>
      <c r="H89" s="178"/>
      <c r="I89" s="121" t="str">
        <f>if(isblank(H89),"",if(not(iserror(find("MATCH in ",D89))),D89,if(and(not(isblank($B89)),$B89=#REF!,$A89&lt;&gt;#REF!),"ID LISTS UNALIGNED",if(not(isblank($A89)),if($A89=#REF!,H89+#REF!,H89),if($B89=#REF!,H89+#REF!,H89)))))</f>
        <v/>
      </c>
      <c r="J89" s="99"/>
      <c r="K89" s="99"/>
    </row>
    <row r="90">
      <c r="B90" s="103"/>
      <c r="C90" s="121" t="str">
        <f t="array" ref="C90">ifs(and(isblank($A90),isblank($B90)),"", not(iserror(vlookup($A90&amp;$B90,'5) Release_Track'!$F:$F&amp;'5) Release_Track'!$G:$G,1,0))),vlookup($A90&amp;$B90,{'5) Release_Track'!$F:$F&amp;'5) Release_Track'!$G:$G,'5) Release_Track'!$H:$H},2,0), or(and(not(isblank($B90)),$B90=$B89,$A90&lt;&gt;$A89),and(not(isblank($A90)),$A90=$A89,$B90&lt;&gt;$B89)),"ID LISTS UNALIGNED",and($A90&lt;&gt;"",countif('5) Release_Track'!$F:$F,$A90)=0),"NO ISRC MATCH in Release_Track",and($B90&lt;&gt;"",countif('5) Release_Track'!$G:$G,$B90)=0),"NO CATALOG ID MATCH in Release_Track",iserror(vlookup($A90&amp;$B90,'5) Release_Track'!$F:$F&amp;'5) Release_Track'!$G:$G,1,0)),"NO ISRC-CATALOG ID pair MATCH in Release_Track" )</f>
        <v/>
      </c>
      <c r="D90" s="121" t="str">
        <f t="array" ref="D90">ifs(and(isblank($A90),isblank($B90)),"", not(iserror(vlookup($A90&amp;$B90,'5) Release_Track'!$F:$F&amp;'5) Release_Track'!$G:$G,1,0))),vlookup($A90&amp;$B90,{'5) Release_Track'!$F:$F&amp;'5) Release_Track'!$G:$G,'5) Release_Track'!$I:$I},2,0), or(and(not(isblank($B90)),$B90=$B89,$A90&lt;&gt;$A89),and(not(isblank($A90)),$A90=$A89,$B90&lt;&gt;$B89)),"ID LISTS UNALIGNED",and($A90&lt;&gt;"",countif('5) Release_Track'!$F:$F,$A90)=0),"NO ISRC MATCH in Release_Track",and($B90&lt;&gt;"",countif('5) Release_Track'!$G:$G,$B90)=0),"NO CATALOG ID MATCH in Release_Track",iserror(vlookup($A90&amp;$B90,'5) Release_Track'!$F:$F&amp;'5) Release_Track'!$G:$G,1,0)),"NO ISRC-CATALOG ID pair MATCH in Release_Track" )</f>
        <v/>
      </c>
      <c r="E90" s="125" t="str">
        <f t="array" ref="E90">ifs(and(isblank($A90),isblank($B90)),"", not(iserror(vlookup($A90&amp;$B90,'5) Release_Track'!$F:$F&amp;'5) Release_Track'!$G:$G,1,0))),vlookup($A90&amp;$B90,{'5) Release_Track'!$F:$F&amp;'5) Release_Track'!$G:$G,'5) Release_Track'!$J:$J},2,0), or(and(not(isblank($B90)),$B90=$B89,$A90&lt;&gt;$A89),and(not(isblank($A90)),$A90=$A89,$B90&lt;&gt;$B89)),"ID LISTS UNALIGNED",and($A90&lt;&gt;"",countif('5) Release_Track'!$F:$F,$A90)=0),"NO ISRC MATCH in Release_Track",and($B90&lt;&gt;"",countif('5) Release_Track'!$G:$G,$B90)=0),"NO CATALOG ID MATCH in Release_Track",iserror(vlookup($A90&amp;$B90,'5) Release_Track'!$F:$F&amp;'5) Release_Track'!$G:$G,1,0)),"NO ISRC-CATALOG ID pair MATCH in Release_Track" )</f>
        <v/>
      </c>
      <c r="F90" s="122"/>
      <c r="G90" s="99"/>
      <c r="H90" s="178"/>
      <c r="I90" s="121" t="str">
        <f t="shared" ref="I90:I996" si="6">if(isblank(H90),"",if(not(iserror(find("MATCH in ",D90))),D90,if(and(not(isblank($B90)),$B90=$B89,$A90&lt;&gt;$A89),"ID LISTS UNALIGNED",if(not(isblank($A90)),if($A90=$A89,H90+I89,H90),if($B90=$B89,H90+I89,H90)))))</f>
        <v/>
      </c>
      <c r="J90" s="99"/>
      <c r="K90" s="99"/>
    </row>
    <row r="91">
      <c r="B91" s="103"/>
      <c r="C91" s="121" t="str">
        <f t="array" ref="C91">ifs(and(isblank($A91),isblank($B91)),"", not(iserror(vlookup($A91&amp;$B91,'5) Release_Track'!$F:$F&amp;'5) Release_Track'!$G:$G,1,0))),vlookup($A91&amp;$B91,{'5) Release_Track'!$F:$F&amp;'5) Release_Track'!$G:$G,'5) Release_Track'!$H:$H},2,0), or(and(not(isblank($B91)),$B91=$B90,$A91&lt;&gt;$A90),and(not(isblank($A91)),$A91=$A90,$B91&lt;&gt;$B90)),"ID LISTS UNALIGNED",and($A91&lt;&gt;"",countif('5) Release_Track'!$F:$F,$A91)=0),"NO ISRC MATCH in Release_Track",and($B91&lt;&gt;"",countif('5) Release_Track'!$G:$G,$B91)=0),"NO CATALOG ID MATCH in Release_Track",iserror(vlookup($A91&amp;$B91,'5) Release_Track'!$F:$F&amp;'5) Release_Track'!$G:$G,1,0)),"NO ISRC-CATALOG ID pair MATCH in Release_Track" )</f>
        <v/>
      </c>
      <c r="D91" s="121" t="str">
        <f t="array" ref="D91">ifs(and(isblank($A91),isblank($B91)),"", not(iserror(vlookup($A91&amp;$B91,'5) Release_Track'!$F:$F&amp;'5) Release_Track'!$G:$G,1,0))),vlookup($A91&amp;$B91,{'5) Release_Track'!$F:$F&amp;'5) Release_Track'!$G:$G,'5) Release_Track'!$I:$I},2,0), or(and(not(isblank($B91)),$B91=$B90,$A91&lt;&gt;$A90),and(not(isblank($A91)),$A91=$A90,$B91&lt;&gt;$B90)),"ID LISTS UNALIGNED",and($A91&lt;&gt;"",countif('5) Release_Track'!$F:$F,$A91)=0),"NO ISRC MATCH in Release_Track",and($B91&lt;&gt;"",countif('5) Release_Track'!$G:$G,$B91)=0),"NO CATALOG ID MATCH in Release_Track",iserror(vlookup($A91&amp;$B91,'5) Release_Track'!$F:$F&amp;'5) Release_Track'!$G:$G,1,0)),"NO ISRC-CATALOG ID pair MATCH in Release_Track" )</f>
        <v/>
      </c>
      <c r="E91" s="125" t="str">
        <f t="array" ref="E91">ifs(and(isblank($A91),isblank($B91)),"", not(iserror(vlookup($A91&amp;$B91,'5) Release_Track'!$F:$F&amp;'5) Release_Track'!$G:$G,1,0))),vlookup($A91&amp;$B91,{'5) Release_Track'!$F:$F&amp;'5) Release_Track'!$G:$G,'5) Release_Track'!$J:$J},2,0), or(and(not(isblank($B91)),$B91=$B90,$A91&lt;&gt;$A90),and(not(isblank($A91)),$A91=$A90,$B91&lt;&gt;$B90)),"ID LISTS UNALIGNED",and($A91&lt;&gt;"",countif('5) Release_Track'!$F:$F,$A91)=0),"NO ISRC MATCH in Release_Track",and($B91&lt;&gt;"",countif('5) Release_Track'!$G:$G,$B91)=0),"NO CATALOG ID MATCH in Release_Track",iserror(vlookup($A91&amp;$B91,'5) Release_Track'!$F:$F&amp;'5) Release_Track'!$G:$G,1,0)),"NO ISRC-CATALOG ID pair MATCH in Release_Track" )</f>
        <v/>
      </c>
      <c r="F91" s="122"/>
      <c r="G91" s="99"/>
      <c r="H91" s="178"/>
      <c r="I91" s="121" t="str">
        <f t="shared" si="6"/>
        <v/>
      </c>
      <c r="J91" s="99"/>
      <c r="K91" s="99"/>
    </row>
    <row r="92">
      <c r="B92" s="103"/>
      <c r="C92" s="121" t="str">
        <f t="array" ref="C92">ifs(and(isblank($A92),isblank($B92)),"", not(iserror(vlookup($A92&amp;$B92,'5) Release_Track'!$F:$F&amp;'5) Release_Track'!$G:$G,1,0))),vlookup($A92&amp;$B92,{'5) Release_Track'!$F:$F&amp;'5) Release_Track'!$G:$G,'5) Release_Track'!$H:$H},2,0), or(and(not(isblank($B92)),$B92=$B91,$A92&lt;&gt;$A91),and(not(isblank($A92)),$A92=$A91,$B92&lt;&gt;$B91)),"ID LISTS UNALIGNED",and($A92&lt;&gt;"",countif('5) Release_Track'!$F:$F,$A92)=0),"NO ISRC MATCH in Release_Track",and($B92&lt;&gt;"",countif('5) Release_Track'!$G:$G,$B92)=0),"NO CATALOG ID MATCH in Release_Track",iserror(vlookup($A92&amp;$B92,'5) Release_Track'!$F:$F&amp;'5) Release_Track'!$G:$G,1,0)),"NO ISRC-CATALOG ID pair MATCH in Release_Track" )</f>
        <v/>
      </c>
      <c r="D92" s="121" t="str">
        <f t="array" ref="D92">ifs(and(isblank($A92),isblank($B92)),"", not(iserror(vlookup($A92&amp;$B92,'5) Release_Track'!$F:$F&amp;'5) Release_Track'!$G:$G,1,0))),vlookup($A92&amp;$B92,{'5) Release_Track'!$F:$F&amp;'5) Release_Track'!$G:$G,'5) Release_Track'!$I:$I},2,0), or(and(not(isblank($B92)),$B92=$B91,$A92&lt;&gt;$A91),and(not(isblank($A92)),$A92=$A91,$B92&lt;&gt;$B91)),"ID LISTS UNALIGNED",and($A92&lt;&gt;"",countif('5) Release_Track'!$F:$F,$A92)=0),"NO ISRC MATCH in Release_Track",and($B92&lt;&gt;"",countif('5) Release_Track'!$G:$G,$B92)=0),"NO CATALOG ID MATCH in Release_Track",iserror(vlookup($A92&amp;$B92,'5) Release_Track'!$F:$F&amp;'5) Release_Track'!$G:$G,1,0)),"NO ISRC-CATALOG ID pair MATCH in Release_Track" )</f>
        <v/>
      </c>
      <c r="E92" s="125" t="str">
        <f t="array" ref="E92">ifs(and(isblank($A92),isblank($B92)),"", not(iserror(vlookup($A92&amp;$B92,'5) Release_Track'!$F:$F&amp;'5) Release_Track'!$G:$G,1,0))),vlookup($A92&amp;$B92,{'5) Release_Track'!$F:$F&amp;'5) Release_Track'!$G:$G,'5) Release_Track'!$J:$J},2,0), or(and(not(isblank($B92)),$B92=$B91,$A92&lt;&gt;$A91),and(not(isblank($A92)),$A92=$A91,$B92&lt;&gt;$B91)),"ID LISTS UNALIGNED",and($A92&lt;&gt;"",countif('5) Release_Track'!$F:$F,$A92)=0),"NO ISRC MATCH in Release_Track",and($B92&lt;&gt;"",countif('5) Release_Track'!$G:$G,$B92)=0),"NO CATALOG ID MATCH in Release_Track",iserror(vlookup($A92&amp;$B92,'5) Release_Track'!$F:$F&amp;'5) Release_Track'!$G:$G,1,0)),"NO ISRC-CATALOG ID pair MATCH in Release_Track" )</f>
        <v/>
      </c>
      <c r="F92" s="122"/>
      <c r="G92" s="99"/>
      <c r="H92" s="178"/>
      <c r="I92" s="121" t="str">
        <f t="shared" si="6"/>
        <v/>
      </c>
      <c r="J92" s="99"/>
      <c r="K92" s="99"/>
    </row>
    <row r="93">
      <c r="B93" s="103"/>
      <c r="C93" s="121" t="str">
        <f t="array" ref="C93">ifs(and(isblank($A93),isblank($B93)),"", not(iserror(vlookup($A93&amp;$B93,'5) Release_Track'!$F:$F&amp;'5) Release_Track'!$G:$G,1,0))),vlookup($A93&amp;$B93,{'5) Release_Track'!$F:$F&amp;'5) Release_Track'!$G:$G,'5) Release_Track'!$H:$H},2,0), or(and(not(isblank($B93)),$B93=$B92,$A93&lt;&gt;$A92),and(not(isblank($A93)),$A93=$A92,$B93&lt;&gt;$B92)),"ID LISTS UNALIGNED",and($A93&lt;&gt;"",countif('5) Release_Track'!$F:$F,$A93)=0),"NO ISRC MATCH in Release_Track",and($B93&lt;&gt;"",countif('5) Release_Track'!$G:$G,$B93)=0),"NO CATALOG ID MATCH in Release_Track",iserror(vlookup($A93&amp;$B93,'5) Release_Track'!$F:$F&amp;'5) Release_Track'!$G:$G,1,0)),"NO ISRC-CATALOG ID pair MATCH in Release_Track" )</f>
        <v/>
      </c>
      <c r="D93" s="121" t="str">
        <f t="array" ref="D93">ifs(and(isblank($A93),isblank($B93)),"", not(iserror(vlookup($A93&amp;$B93,'5) Release_Track'!$F:$F&amp;'5) Release_Track'!$G:$G,1,0))),vlookup($A93&amp;$B93,{'5) Release_Track'!$F:$F&amp;'5) Release_Track'!$G:$G,'5) Release_Track'!$I:$I},2,0), or(and(not(isblank($B93)),$B93=$B92,$A93&lt;&gt;$A92),and(not(isblank($A93)),$A93=$A92,$B93&lt;&gt;$B92)),"ID LISTS UNALIGNED",and($A93&lt;&gt;"",countif('5) Release_Track'!$F:$F,$A93)=0),"NO ISRC MATCH in Release_Track",and($B93&lt;&gt;"",countif('5) Release_Track'!$G:$G,$B93)=0),"NO CATALOG ID MATCH in Release_Track",iserror(vlookup($A93&amp;$B93,'5) Release_Track'!$F:$F&amp;'5) Release_Track'!$G:$G,1,0)),"NO ISRC-CATALOG ID pair MATCH in Release_Track" )</f>
        <v/>
      </c>
      <c r="E93" s="125" t="str">
        <f t="array" ref="E93">ifs(and(isblank($A93),isblank($B93)),"", not(iserror(vlookup($A93&amp;$B93,'5) Release_Track'!$F:$F&amp;'5) Release_Track'!$G:$G,1,0))),vlookup($A93&amp;$B93,{'5) Release_Track'!$F:$F&amp;'5) Release_Track'!$G:$G,'5) Release_Track'!$J:$J},2,0), or(and(not(isblank($B93)),$B93=$B92,$A93&lt;&gt;$A92),and(not(isblank($A93)),$A93=$A92,$B93&lt;&gt;$B92)),"ID LISTS UNALIGNED",and($A93&lt;&gt;"",countif('5) Release_Track'!$F:$F,$A93)=0),"NO ISRC MATCH in Release_Track",and($B93&lt;&gt;"",countif('5) Release_Track'!$G:$G,$B93)=0),"NO CATALOG ID MATCH in Release_Track",iserror(vlookup($A93&amp;$B93,'5) Release_Track'!$F:$F&amp;'5) Release_Track'!$G:$G,1,0)),"NO ISRC-CATALOG ID pair MATCH in Release_Track" )</f>
        <v/>
      </c>
      <c r="F93" s="122"/>
      <c r="G93" s="99"/>
      <c r="H93" s="178"/>
      <c r="I93" s="121" t="str">
        <f t="shared" si="6"/>
        <v/>
      </c>
      <c r="J93" s="99"/>
      <c r="K93" s="99"/>
    </row>
    <row r="94">
      <c r="B94" s="103"/>
      <c r="C94" s="121" t="str">
        <f t="array" ref="C94">ifs(and(isblank($A94),isblank($B94)),"", not(iserror(vlookup($A94&amp;$B94,'5) Release_Track'!$F:$F&amp;'5) Release_Track'!$G:$G,1,0))),vlookup($A94&amp;$B94,{'5) Release_Track'!$F:$F&amp;'5) Release_Track'!$G:$G,'5) Release_Track'!$H:$H},2,0), or(and(not(isblank($B94)),$B94=$B93,$A94&lt;&gt;$A93),and(not(isblank($A94)),$A94=$A93,$B94&lt;&gt;$B93)),"ID LISTS UNALIGNED",and($A94&lt;&gt;"",countif('5) Release_Track'!$F:$F,$A94)=0),"NO ISRC MATCH in Release_Track",and($B94&lt;&gt;"",countif('5) Release_Track'!$G:$G,$B94)=0),"NO CATALOG ID MATCH in Release_Track",iserror(vlookup($A94&amp;$B94,'5) Release_Track'!$F:$F&amp;'5) Release_Track'!$G:$G,1,0)),"NO ISRC-CATALOG ID pair MATCH in Release_Track" )</f>
        <v/>
      </c>
      <c r="D94" s="121" t="str">
        <f t="array" ref="D94">ifs(and(isblank($A94),isblank($B94)),"", not(iserror(vlookup($A94&amp;$B94,'5) Release_Track'!$F:$F&amp;'5) Release_Track'!$G:$G,1,0))),vlookup($A94&amp;$B94,{'5) Release_Track'!$F:$F&amp;'5) Release_Track'!$G:$G,'5) Release_Track'!$I:$I},2,0), or(and(not(isblank($B94)),$B94=$B93,$A94&lt;&gt;$A93),and(not(isblank($A94)),$A94=$A93,$B94&lt;&gt;$B93)),"ID LISTS UNALIGNED",and($A94&lt;&gt;"",countif('5) Release_Track'!$F:$F,$A94)=0),"NO ISRC MATCH in Release_Track",and($B94&lt;&gt;"",countif('5) Release_Track'!$G:$G,$B94)=0),"NO CATALOG ID MATCH in Release_Track",iserror(vlookup($A94&amp;$B94,'5) Release_Track'!$F:$F&amp;'5) Release_Track'!$G:$G,1,0)),"NO ISRC-CATALOG ID pair MATCH in Release_Track" )</f>
        <v/>
      </c>
      <c r="E94" s="125" t="str">
        <f t="array" ref="E94">ifs(and(isblank($A94),isblank($B94)),"", not(iserror(vlookup($A94&amp;$B94,'5) Release_Track'!$F:$F&amp;'5) Release_Track'!$G:$G,1,0))),vlookup($A94&amp;$B94,{'5) Release_Track'!$F:$F&amp;'5) Release_Track'!$G:$G,'5) Release_Track'!$J:$J},2,0), or(and(not(isblank($B94)),$B94=$B93,$A94&lt;&gt;$A93),and(not(isblank($A94)),$A94=$A93,$B94&lt;&gt;$B93)),"ID LISTS UNALIGNED",and($A94&lt;&gt;"",countif('5) Release_Track'!$F:$F,$A94)=0),"NO ISRC MATCH in Release_Track",and($B94&lt;&gt;"",countif('5) Release_Track'!$G:$G,$B94)=0),"NO CATALOG ID MATCH in Release_Track",iserror(vlookup($A94&amp;$B94,'5) Release_Track'!$F:$F&amp;'5) Release_Track'!$G:$G,1,0)),"NO ISRC-CATALOG ID pair MATCH in Release_Track" )</f>
        <v/>
      </c>
      <c r="F94" s="122"/>
      <c r="G94" s="99"/>
      <c r="H94" s="178"/>
      <c r="I94" s="121" t="str">
        <f t="shared" si="6"/>
        <v/>
      </c>
      <c r="J94" s="99"/>
      <c r="K94" s="99"/>
    </row>
    <row r="95">
      <c r="B95" s="103"/>
      <c r="C95" s="121" t="str">
        <f t="array" ref="C95">ifs(and(isblank($A95),isblank($B95)),"", not(iserror(vlookup($A95&amp;$B95,'5) Release_Track'!$F:$F&amp;'5) Release_Track'!$G:$G,1,0))),vlookup($A95&amp;$B95,{'5) Release_Track'!$F:$F&amp;'5) Release_Track'!$G:$G,'5) Release_Track'!$H:$H},2,0), or(and(not(isblank($B95)),$B95=$B94,$A95&lt;&gt;$A94),and(not(isblank($A95)),$A95=$A94,$B95&lt;&gt;$B94)),"ID LISTS UNALIGNED",and($A95&lt;&gt;"",countif('5) Release_Track'!$F:$F,$A95)=0),"NO ISRC MATCH in Release_Track",and($B95&lt;&gt;"",countif('5) Release_Track'!$G:$G,$B95)=0),"NO CATALOG ID MATCH in Release_Track",iserror(vlookup($A95&amp;$B95,'5) Release_Track'!$F:$F&amp;'5) Release_Track'!$G:$G,1,0)),"NO ISRC-CATALOG ID pair MATCH in Release_Track" )</f>
        <v/>
      </c>
      <c r="D95" s="121" t="str">
        <f t="array" ref="D95">ifs(and(isblank($A95),isblank($B95)),"", not(iserror(vlookup($A95&amp;$B95,'5) Release_Track'!$F:$F&amp;'5) Release_Track'!$G:$G,1,0))),vlookup($A95&amp;$B95,{'5) Release_Track'!$F:$F&amp;'5) Release_Track'!$G:$G,'5) Release_Track'!$I:$I},2,0), or(and(not(isblank($B95)),$B95=$B94,$A95&lt;&gt;$A94),and(not(isblank($A95)),$A95=$A94,$B95&lt;&gt;$B94)),"ID LISTS UNALIGNED",and($A95&lt;&gt;"",countif('5) Release_Track'!$F:$F,$A95)=0),"NO ISRC MATCH in Release_Track",and($B95&lt;&gt;"",countif('5) Release_Track'!$G:$G,$B95)=0),"NO CATALOG ID MATCH in Release_Track",iserror(vlookup($A95&amp;$B95,'5) Release_Track'!$F:$F&amp;'5) Release_Track'!$G:$G,1,0)),"NO ISRC-CATALOG ID pair MATCH in Release_Track" )</f>
        <v/>
      </c>
      <c r="E95" s="125" t="str">
        <f t="array" ref="E95">ifs(and(isblank($A95),isblank($B95)),"", not(iserror(vlookup($A95&amp;$B95,'5) Release_Track'!$F:$F&amp;'5) Release_Track'!$G:$G,1,0))),vlookup($A95&amp;$B95,{'5) Release_Track'!$F:$F&amp;'5) Release_Track'!$G:$G,'5) Release_Track'!$J:$J},2,0), or(and(not(isblank($B95)),$B95=$B94,$A95&lt;&gt;$A94),and(not(isblank($A95)),$A95=$A94,$B95&lt;&gt;$B94)),"ID LISTS UNALIGNED",and($A95&lt;&gt;"",countif('5) Release_Track'!$F:$F,$A95)=0),"NO ISRC MATCH in Release_Track",and($B95&lt;&gt;"",countif('5) Release_Track'!$G:$G,$B95)=0),"NO CATALOG ID MATCH in Release_Track",iserror(vlookup($A95&amp;$B95,'5) Release_Track'!$F:$F&amp;'5) Release_Track'!$G:$G,1,0)),"NO ISRC-CATALOG ID pair MATCH in Release_Track" )</f>
        <v/>
      </c>
      <c r="F95" s="122"/>
      <c r="G95" s="99"/>
      <c r="H95" s="178"/>
      <c r="I95" s="121" t="str">
        <f t="shared" si="6"/>
        <v/>
      </c>
      <c r="J95" s="99"/>
      <c r="K95" s="99"/>
    </row>
    <row r="96">
      <c r="B96" s="103"/>
      <c r="C96" s="121" t="str">
        <f t="array" ref="C96">ifs(and(isblank($A96),isblank($B96)),"", not(iserror(vlookup($A96&amp;$B96,'5) Release_Track'!$F:$F&amp;'5) Release_Track'!$G:$G,1,0))),vlookup($A96&amp;$B96,{'5) Release_Track'!$F:$F&amp;'5) Release_Track'!$G:$G,'5) Release_Track'!$H:$H},2,0), or(and(not(isblank($B96)),$B96=$B95,$A96&lt;&gt;$A95),and(not(isblank($A96)),$A96=$A95,$B96&lt;&gt;$B95)),"ID LISTS UNALIGNED",and($A96&lt;&gt;"",countif('5) Release_Track'!$F:$F,$A96)=0),"NO ISRC MATCH in Release_Track",and($B96&lt;&gt;"",countif('5) Release_Track'!$G:$G,$B96)=0),"NO CATALOG ID MATCH in Release_Track",iserror(vlookup($A96&amp;$B96,'5) Release_Track'!$F:$F&amp;'5) Release_Track'!$G:$G,1,0)),"NO ISRC-CATALOG ID pair MATCH in Release_Track" )</f>
        <v/>
      </c>
      <c r="D96" s="121" t="str">
        <f t="array" ref="D96">ifs(and(isblank($A96),isblank($B96)),"", not(iserror(vlookup($A96&amp;$B96,'5) Release_Track'!$F:$F&amp;'5) Release_Track'!$G:$G,1,0))),vlookup($A96&amp;$B96,{'5) Release_Track'!$F:$F&amp;'5) Release_Track'!$G:$G,'5) Release_Track'!$I:$I},2,0), or(and(not(isblank($B96)),$B96=$B95,$A96&lt;&gt;$A95),and(not(isblank($A96)),$A96=$A95,$B96&lt;&gt;$B95)),"ID LISTS UNALIGNED",and($A96&lt;&gt;"",countif('5) Release_Track'!$F:$F,$A96)=0),"NO ISRC MATCH in Release_Track",and($B96&lt;&gt;"",countif('5) Release_Track'!$G:$G,$B96)=0),"NO CATALOG ID MATCH in Release_Track",iserror(vlookup($A96&amp;$B96,'5) Release_Track'!$F:$F&amp;'5) Release_Track'!$G:$G,1,0)),"NO ISRC-CATALOG ID pair MATCH in Release_Track" )</f>
        <v/>
      </c>
      <c r="E96" s="125" t="str">
        <f t="array" ref="E96">ifs(and(isblank($A96),isblank($B96)),"", not(iserror(vlookup($A96&amp;$B96,'5) Release_Track'!$F:$F&amp;'5) Release_Track'!$G:$G,1,0))),vlookup($A96&amp;$B96,{'5) Release_Track'!$F:$F&amp;'5) Release_Track'!$G:$G,'5) Release_Track'!$J:$J},2,0), or(and(not(isblank($B96)),$B96=$B95,$A96&lt;&gt;$A95),and(not(isblank($A96)),$A96=$A95,$B96&lt;&gt;$B95)),"ID LISTS UNALIGNED",and($A96&lt;&gt;"",countif('5) Release_Track'!$F:$F,$A96)=0),"NO ISRC MATCH in Release_Track",and($B96&lt;&gt;"",countif('5) Release_Track'!$G:$G,$B96)=0),"NO CATALOG ID MATCH in Release_Track",iserror(vlookup($A96&amp;$B96,'5) Release_Track'!$F:$F&amp;'5) Release_Track'!$G:$G,1,0)),"NO ISRC-CATALOG ID pair MATCH in Release_Track" )</f>
        <v/>
      </c>
      <c r="F96" s="122"/>
      <c r="G96" s="99"/>
      <c r="H96" s="178"/>
      <c r="I96" s="121" t="str">
        <f t="shared" si="6"/>
        <v/>
      </c>
      <c r="J96" s="99"/>
      <c r="K96" s="99"/>
    </row>
    <row r="97">
      <c r="B97" s="103"/>
      <c r="C97" s="121" t="str">
        <f t="array" ref="C97">ifs(and(isblank($A97),isblank($B97)),"", not(iserror(vlookup($A97&amp;$B97,'5) Release_Track'!$F:$F&amp;'5) Release_Track'!$G:$G,1,0))),vlookup($A97&amp;$B97,{'5) Release_Track'!$F:$F&amp;'5) Release_Track'!$G:$G,'5) Release_Track'!$H:$H},2,0), or(and(not(isblank($B97)),$B97=$B96,$A97&lt;&gt;$A96),and(not(isblank($A97)),$A97=$A96,$B97&lt;&gt;$B96)),"ID LISTS UNALIGNED",and($A97&lt;&gt;"",countif('5) Release_Track'!$F:$F,$A97)=0),"NO ISRC MATCH in Release_Track",and($B97&lt;&gt;"",countif('5) Release_Track'!$G:$G,$B97)=0),"NO CATALOG ID MATCH in Release_Track",iserror(vlookup($A97&amp;$B97,'5) Release_Track'!$F:$F&amp;'5) Release_Track'!$G:$G,1,0)),"NO ISRC-CATALOG ID pair MATCH in Release_Track" )</f>
        <v/>
      </c>
      <c r="D97" s="121" t="str">
        <f t="array" ref="D97">ifs(and(isblank($A97),isblank($B97)),"", not(iserror(vlookup($A97&amp;$B97,'5) Release_Track'!$F:$F&amp;'5) Release_Track'!$G:$G,1,0))),vlookup($A97&amp;$B97,{'5) Release_Track'!$F:$F&amp;'5) Release_Track'!$G:$G,'5) Release_Track'!$I:$I},2,0), or(and(not(isblank($B97)),$B97=$B96,$A97&lt;&gt;$A96),and(not(isblank($A97)),$A97=$A96,$B97&lt;&gt;$B96)),"ID LISTS UNALIGNED",and($A97&lt;&gt;"",countif('5) Release_Track'!$F:$F,$A97)=0),"NO ISRC MATCH in Release_Track",and($B97&lt;&gt;"",countif('5) Release_Track'!$G:$G,$B97)=0),"NO CATALOG ID MATCH in Release_Track",iserror(vlookup($A97&amp;$B97,'5) Release_Track'!$F:$F&amp;'5) Release_Track'!$G:$G,1,0)),"NO ISRC-CATALOG ID pair MATCH in Release_Track" )</f>
        <v/>
      </c>
      <c r="E97" s="125" t="str">
        <f t="array" ref="E97">ifs(and(isblank($A97),isblank($B97)),"", not(iserror(vlookup($A97&amp;$B97,'5) Release_Track'!$F:$F&amp;'5) Release_Track'!$G:$G,1,0))),vlookup($A97&amp;$B97,{'5) Release_Track'!$F:$F&amp;'5) Release_Track'!$G:$G,'5) Release_Track'!$J:$J},2,0), or(and(not(isblank($B97)),$B97=$B96,$A97&lt;&gt;$A96),and(not(isblank($A97)),$A97=$A96,$B97&lt;&gt;$B96)),"ID LISTS UNALIGNED",and($A97&lt;&gt;"",countif('5) Release_Track'!$F:$F,$A97)=0),"NO ISRC MATCH in Release_Track",and($B97&lt;&gt;"",countif('5) Release_Track'!$G:$G,$B97)=0),"NO CATALOG ID MATCH in Release_Track",iserror(vlookup($A97&amp;$B97,'5) Release_Track'!$F:$F&amp;'5) Release_Track'!$G:$G,1,0)),"NO ISRC-CATALOG ID pair MATCH in Release_Track" )</f>
        <v/>
      </c>
      <c r="F97" s="122"/>
      <c r="G97" s="99"/>
      <c r="H97" s="178"/>
      <c r="I97" s="121" t="str">
        <f t="shared" si="6"/>
        <v/>
      </c>
      <c r="J97" s="99"/>
      <c r="K97" s="99"/>
    </row>
    <row r="98">
      <c r="B98" s="103"/>
      <c r="C98" s="121" t="str">
        <f t="array" ref="C98">ifs(and(isblank($A98),isblank($B98)),"", not(iserror(vlookup($A98&amp;$B98,'5) Release_Track'!$F:$F&amp;'5) Release_Track'!$G:$G,1,0))),vlookup($A98&amp;$B98,{'5) Release_Track'!$F:$F&amp;'5) Release_Track'!$G:$G,'5) Release_Track'!$H:$H},2,0), or(and(not(isblank($B98)),$B98=$B97,$A98&lt;&gt;$A97),and(not(isblank($A98)),$A98=$A97,$B98&lt;&gt;$B97)),"ID LISTS UNALIGNED",and($A98&lt;&gt;"",countif('5) Release_Track'!$F:$F,$A98)=0),"NO ISRC MATCH in Release_Track",and($B98&lt;&gt;"",countif('5) Release_Track'!$G:$G,$B98)=0),"NO CATALOG ID MATCH in Release_Track",iserror(vlookup($A98&amp;$B98,'5) Release_Track'!$F:$F&amp;'5) Release_Track'!$G:$G,1,0)),"NO ISRC-CATALOG ID pair MATCH in Release_Track" )</f>
        <v/>
      </c>
      <c r="D98" s="121" t="str">
        <f t="array" ref="D98">ifs(and(isblank($A98),isblank($B98)),"", not(iserror(vlookup($A98&amp;$B98,'5) Release_Track'!$F:$F&amp;'5) Release_Track'!$G:$G,1,0))),vlookup($A98&amp;$B98,{'5) Release_Track'!$F:$F&amp;'5) Release_Track'!$G:$G,'5) Release_Track'!$I:$I},2,0), or(and(not(isblank($B98)),$B98=$B97,$A98&lt;&gt;$A97),and(not(isblank($A98)),$A98=$A97,$B98&lt;&gt;$B97)),"ID LISTS UNALIGNED",and($A98&lt;&gt;"",countif('5) Release_Track'!$F:$F,$A98)=0),"NO ISRC MATCH in Release_Track",and($B98&lt;&gt;"",countif('5) Release_Track'!$G:$G,$B98)=0),"NO CATALOG ID MATCH in Release_Track",iserror(vlookup($A98&amp;$B98,'5) Release_Track'!$F:$F&amp;'5) Release_Track'!$G:$G,1,0)),"NO ISRC-CATALOG ID pair MATCH in Release_Track" )</f>
        <v/>
      </c>
      <c r="E98" s="125" t="str">
        <f t="array" ref="E98">ifs(and(isblank($A98),isblank($B98)),"", not(iserror(vlookup($A98&amp;$B98,'5) Release_Track'!$F:$F&amp;'5) Release_Track'!$G:$G,1,0))),vlookup($A98&amp;$B98,{'5) Release_Track'!$F:$F&amp;'5) Release_Track'!$G:$G,'5) Release_Track'!$J:$J},2,0), or(and(not(isblank($B98)),$B98=$B97,$A98&lt;&gt;$A97),and(not(isblank($A98)),$A98=$A97,$B98&lt;&gt;$B97)),"ID LISTS UNALIGNED",and($A98&lt;&gt;"",countif('5) Release_Track'!$F:$F,$A98)=0),"NO ISRC MATCH in Release_Track",and($B98&lt;&gt;"",countif('5) Release_Track'!$G:$G,$B98)=0),"NO CATALOG ID MATCH in Release_Track",iserror(vlookup($A98&amp;$B98,'5) Release_Track'!$F:$F&amp;'5) Release_Track'!$G:$G,1,0)),"NO ISRC-CATALOG ID pair MATCH in Release_Track" )</f>
        <v/>
      </c>
      <c r="F98" s="122"/>
      <c r="G98" s="99"/>
      <c r="H98" s="178"/>
      <c r="I98" s="121" t="str">
        <f t="shared" si="6"/>
        <v/>
      </c>
      <c r="J98" s="99"/>
      <c r="K98" s="99"/>
    </row>
    <row r="99">
      <c r="B99" s="103"/>
      <c r="C99" s="121" t="str">
        <f t="array" ref="C99">ifs(and(isblank($A99),isblank($B99)),"", not(iserror(vlookup($A99&amp;$B99,'5) Release_Track'!$F:$F&amp;'5) Release_Track'!$G:$G,1,0))),vlookup($A99&amp;$B99,{'5) Release_Track'!$F:$F&amp;'5) Release_Track'!$G:$G,'5) Release_Track'!$H:$H},2,0), or(and(not(isblank($B99)),$B99=$B98,$A99&lt;&gt;$A98),and(not(isblank($A99)),$A99=$A98,$B99&lt;&gt;$B98)),"ID LISTS UNALIGNED",and($A99&lt;&gt;"",countif('5) Release_Track'!$F:$F,$A99)=0),"NO ISRC MATCH in Release_Track",and($B99&lt;&gt;"",countif('5) Release_Track'!$G:$G,$B99)=0),"NO CATALOG ID MATCH in Release_Track",iserror(vlookup($A99&amp;$B99,'5) Release_Track'!$F:$F&amp;'5) Release_Track'!$G:$G,1,0)),"NO ISRC-CATALOG ID pair MATCH in Release_Track" )</f>
        <v/>
      </c>
      <c r="D99" s="121" t="str">
        <f t="array" ref="D99">ifs(and(isblank($A99),isblank($B99)),"", not(iserror(vlookup($A99&amp;$B99,'5) Release_Track'!$F:$F&amp;'5) Release_Track'!$G:$G,1,0))),vlookup($A99&amp;$B99,{'5) Release_Track'!$F:$F&amp;'5) Release_Track'!$G:$G,'5) Release_Track'!$I:$I},2,0), or(and(not(isblank($B99)),$B99=$B98,$A99&lt;&gt;$A98),and(not(isblank($A99)),$A99=$A98,$B99&lt;&gt;$B98)),"ID LISTS UNALIGNED",and($A99&lt;&gt;"",countif('5) Release_Track'!$F:$F,$A99)=0),"NO ISRC MATCH in Release_Track",and($B99&lt;&gt;"",countif('5) Release_Track'!$G:$G,$B99)=0),"NO CATALOG ID MATCH in Release_Track",iserror(vlookup($A99&amp;$B99,'5) Release_Track'!$F:$F&amp;'5) Release_Track'!$G:$G,1,0)),"NO ISRC-CATALOG ID pair MATCH in Release_Track" )</f>
        <v/>
      </c>
      <c r="E99" s="125" t="str">
        <f t="array" ref="E99">ifs(and(isblank($A99),isblank($B99)),"", not(iserror(vlookup($A99&amp;$B99,'5) Release_Track'!$F:$F&amp;'5) Release_Track'!$G:$G,1,0))),vlookup($A99&amp;$B99,{'5) Release_Track'!$F:$F&amp;'5) Release_Track'!$G:$G,'5) Release_Track'!$J:$J},2,0), or(and(not(isblank($B99)),$B99=$B98,$A99&lt;&gt;$A98),and(not(isblank($A99)),$A99=$A98,$B99&lt;&gt;$B98)),"ID LISTS UNALIGNED",and($A99&lt;&gt;"",countif('5) Release_Track'!$F:$F,$A99)=0),"NO ISRC MATCH in Release_Track",and($B99&lt;&gt;"",countif('5) Release_Track'!$G:$G,$B99)=0),"NO CATALOG ID MATCH in Release_Track",iserror(vlookup($A99&amp;$B99,'5) Release_Track'!$F:$F&amp;'5) Release_Track'!$G:$G,1,0)),"NO ISRC-CATALOG ID pair MATCH in Release_Track" )</f>
        <v/>
      </c>
      <c r="F99" s="122"/>
      <c r="G99" s="99"/>
      <c r="H99" s="178"/>
      <c r="I99" s="121" t="str">
        <f t="shared" si="6"/>
        <v/>
      </c>
      <c r="J99" s="99"/>
      <c r="K99" s="99"/>
    </row>
    <row r="100">
      <c r="B100" s="103"/>
      <c r="C100" s="121" t="str">
        <f t="array" ref="C100">ifs(and(isblank($A100),isblank($B100)),"", not(iserror(vlookup($A100&amp;$B100,'5) Release_Track'!$F:$F&amp;'5) Release_Track'!$G:$G,1,0))),vlookup($A100&amp;$B100,{'5) Release_Track'!$F:$F&amp;'5) Release_Track'!$G:$G,'5) Release_Track'!$H:$H},2,0), or(and(not(isblank($B100)),$B100=$B99,$A100&lt;&gt;$A99),and(not(isblank($A100)),$A100=$A99,$B100&lt;&gt;$B99)),"ID LISTS UNALIGNED",and($A100&lt;&gt;"",countif('5) Release_Track'!$F:$F,$A100)=0),"NO ISRC MATCH in Release_Track",and($B100&lt;&gt;"",countif('5) Release_Track'!$G:$G,$B100)=0),"NO CATALOG ID MATCH in Release_Track",iserror(vlookup($A100&amp;$B100,'5) Release_Track'!$F:$F&amp;'5) Release_Track'!$G:$G,1,0)),"NO ISRC-CATALOG ID pair MATCH in Release_Track" )</f>
        <v/>
      </c>
      <c r="D100" s="121" t="str">
        <f t="array" ref="D100">ifs(and(isblank($A100),isblank($B100)),"", not(iserror(vlookup($A100&amp;$B100,'5) Release_Track'!$F:$F&amp;'5) Release_Track'!$G:$G,1,0))),vlookup($A100&amp;$B100,{'5) Release_Track'!$F:$F&amp;'5) Release_Track'!$G:$G,'5) Release_Track'!$I:$I},2,0), or(and(not(isblank($B100)),$B100=$B99,$A100&lt;&gt;$A99),and(not(isblank($A100)),$A100=$A99,$B100&lt;&gt;$B99)),"ID LISTS UNALIGNED",and($A100&lt;&gt;"",countif('5) Release_Track'!$F:$F,$A100)=0),"NO ISRC MATCH in Release_Track",and($B100&lt;&gt;"",countif('5) Release_Track'!$G:$G,$B100)=0),"NO CATALOG ID MATCH in Release_Track",iserror(vlookup($A100&amp;$B100,'5) Release_Track'!$F:$F&amp;'5) Release_Track'!$G:$G,1,0)),"NO ISRC-CATALOG ID pair MATCH in Release_Track" )</f>
        <v/>
      </c>
      <c r="E100" s="125" t="str">
        <f t="array" ref="E100">ifs(and(isblank($A100),isblank($B100)),"", not(iserror(vlookup($A100&amp;$B100,'5) Release_Track'!$F:$F&amp;'5) Release_Track'!$G:$G,1,0))),vlookup($A100&amp;$B100,{'5) Release_Track'!$F:$F&amp;'5) Release_Track'!$G:$G,'5) Release_Track'!$J:$J},2,0), or(and(not(isblank($B100)),$B100=$B99,$A100&lt;&gt;$A99),and(not(isblank($A100)),$A100=$A99,$B100&lt;&gt;$B99)),"ID LISTS UNALIGNED",and($A100&lt;&gt;"",countif('5) Release_Track'!$F:$F,$A100)=0),"NO ISRC MATCH in Release_Track",and($B100&lt;&gt;"",countif('5) Release_Track'!$G:$G,$B100)=0),"NO CATALOG ID MATCH in Release_Track",iserror(vlookup($A100&amp;$B100,'5) Release_Track'!$F:$F&amp;'5) Release_Track'!$G:$G,1,0)),"NO ISRC-CATALOG ID pair MATCH in Release_Track" )</f>
        <v/>
      </c>
      <c r="F100" s="122"/>
      <c r="G100" s="99"/>
      <c r="H100" s="178"/>
      <c r="I100" s="121" t="str">
        <f t="shared" si="6"/>
        <v/>
      </c>
      <c r="J100" s="99"/>
      <c r="K100" s="99"/>
    </row>
    <row r="101">
      <c r="B101" s="103"/>
      <c r="C101" s="121" t="str">
        <f t="array" ref="C101">ifs(and(isblank($A101),isblank($B101)),"", not(iserror(vlookup($A101&amp;$B101,'5) Release_Track'!$F:$F&amp;'5) Release_Track'!$G:$G,1,0))),vlookup($A101&amp;$B101,{'5) Release_Track'!$F:$F&amp;'5) Release_Track'!$G:$G,'5) Release_Track'!$H:$H},2,0), or(and(not(isblank($B101)),$B101=$B100,$A101&lt;&gt;$A100),and(not(isblank($A101)),$A101=$A100,$B101&lt;&gt;$B100)),"ID LISTS UNALIGNED",and($A101&lt;&gt;"",countif('5) Release_Track'!$F:$F,$A101)=0),"NO ISRC MATCH in Release_Track",and($B101&lt;&gt;"",countif('5) Release_Track'!$G:$G,$B101)=0),"NO CATALOG ID MATCH in Release_Track",iserror(vlookup($A101&amp;$B101,'5) Release_Track'!$F:$F&amp;'5) Release_Track'!$G:$G,1,0)),"NO ISRC-CATALOG ID pair MATCH in Release_Track" )</f>
        <v/>
      </c>
      <c r="D101" s="121" t="str">
        <f t="array" ref="D101">ifs(and(isblank($A101),isblank($B101)),"", not(iserror(vlookup($A101&amp;$B101,'5) Release_Track'!$F:$F&amp;'5) Release_Track'!$G:$G,1,0))),vlookup($A101&amp;$B101,{'5) Release_Track'!$F:$F&amp;'5) Release_Track'!$G:$G,'5) Release_Track'!$I:$I},2,0), or(and(not(isblank($B101)),$B101=$B100,$A101&lt;&gt;$A100),and(not(isblank($A101)),$A101=$A100,$B101&lt;&gt;$B100)),"ID LISTS UNALIGNED",and($A101&lt;&gt;"",countif('5) Release_Track'!$F:$F,$A101)=0),"NO ISRC MATCH in Release_Track",and($B101&lt;&gt;"",countif('5) Release_Track'!$G:$G,$B101)=0),"NO CATALOG ID MATCH in Release_Track",iserror(vlookup($A101&amp;$B101,'5) Release_Track'!$F:$F&amp;'5) Release_Track'!$G:$G,1,0)),"NO ISRC-CATALOG ID pair MATCH in Release_Track" )</f>
        <v/>
      </c>
      <c r="E101" s="125" t="str">
        <f t="array" ref="E101">ifs(and(isblank($A101),isblank($B101)),"", not(iserror(vlookup($A101&amp;$B101,'5) Release_Track'!$F:$F&amp;'5) Release_Track'!$G:$G,1,0))),vlookup($A101&amp;$B101,{'5) Release_Track'!$F:$F&amp;'5) Release_Track'!$G:$G,'5) Release_Track'!$J:$J},2,0), or(and(not(isblank($B101)),$B101=$B100,$A101&lt;&gt;$A100),and(not(isblank($A101)),$A101=$A100,$B101&lt;&gt;$B100)),"ID LISTS UNALIGNED",and($A101&lt;&gt;"",countif('5) Release_Track'!$F:$F,$A101)=0),"NO ISRC MATCH in Release_Track",and($B101&lt;&gt;"",countif('5) Release_Track'!$G:$G,$B101)=0),"NO CATALOG ID MATCH in Release_Track",iserror(vlookup($A101&amp;$B101,'5) Release_Track'!$F:$F&amp;'5) Release_Track'!$G:$G,1,0)),"NO ISRC-CATALOG ID pair MATCH in Release_Track" )</f>
        <v/>
      </c>
      <c r="F101" s="122"/>
      <c r="G101" s="99"/>
      <c r="H101" s="178"/>
      <c r="I101" s="121" t="str">
        <f t="shared" si="6"/>
        <v/>
      </c>
      <c r="J101" s="99"/>
      <c r="K101" s="99"/>
    </row>
    <row r="102">
      <c r="B102" s="103"/>
      <c r="C102" s="121" t="str">
        <f t="array" ref="C102">ifs(and(isblank($A102),isblank($B102)),"", not(iserror(vlookup($A102&amp;$B102,'5) Release_Track'!$F:$F&amp;'5) Release_Track'!$G:$G,1,0))),vlookup($A102&amp;$B102,{'5) Release_Track'!$F:$F&amp;'5) Release_Track'!$G:$G,'5) Release_Track'!$H:$H},2,0), or(and(not(isblank($B102)),$B102=$B101,$A102&lt;&gt;$A101),and(not(isblank($A102)),$A102=$A101,$B102&lt;&gt;$B101)),"ID LISTS UNALIGNED",and($A102&lt;&gt;"",countif('5) Release_Track'!$F:$F,$A102)=0),"NO ISRC MATCH in Release_Track",and($B102&lt;&gt;"",countif('5) Release_Track'!$G:$G,$B102)=0),"NO CATALOG ID MATCH in Release_Track",iserror(vlookup($A102&amp;$B102,'5) Release_Track'!$F:$F&amp;'5) Release_Track'!$G:$G,1,0)),"NO ISRC-CATALOG ID pair MATCH in Release_Track" )</f>
        <v/>
      </c>
      <c r="D102" s="121" t="str">
        <f t="array" ref="D102">ifs(and(isblank($A102),isblank($B102)),"", not(iserror(vlookup($A102&amp;$B102,'5) Release_Track'!$F:$F&amp;'5) Release_Track'!$G:$G,1,0))),vlookup($A102&amp;$B102,{'5) Release_Track'!$F:$F&amp;'5) Release_Track'!$G:$G,'5) Release_Track'!$I:$I},2,0), or(and(not(isblank($B102)),$B102=$B101,$A102&lt;&gt;$A101),and(not(isblank($A102)),$A102=$A101,$B102&lt;&gt;$B101)),"ID LISTS UNALIGNED",and($A102&lt;&gt;"",countif('5) Release_Track'!$F:$F,$A102)=0),"NO ISRC MATCH in Release_Track",and($B102&lt;&gt;"",countif('5) Release_Track'!$G:$G,$B102)=0),"NO CATALOG ID MATCH in Release_Track",iserror(vlookup($A102&amp;$B102,'5) Release_Track'!$F:$F&amp;'5) Release_Track'!$G:$G,1,0)),"NO ISRC-CATALOG ID pair MATCH in Release_Track" )</f>
        <v/>
      </c>
      <c r="E102" s="125" t="str">
        <f t="array" ref="E102">ifs(and(isblank($A102),isblank($B102)),"", not(iserror(vlookup($A102&amp;$B102,'5) Release_Track'!$F:$F&amp;'5) Release_Track'!$G:$G,1,0))),vlookup($A102&amp;$B102,{'5) Release_Track'!$F:$F&amp;'5) Release_Track'!$G:$G,'5) Release_Track'!$J:$J},2,0), or(and(not(isblank($B102)),$B102=$B101,$A102&lt;&gt;$A101),and(not(isblank($A102)),$A102=$A101,$B102&lt;&gt;$B101)),"ID LISTS UNALIGNED",and($A102&lt;&gt;"",countif('5) Release_Track'!$F:$F,$A102)=0),"NO ISRC MATCH in Release_Track",and($B102&lt;&gt;"",countif('5) Release_Track'!$G:$G,$B102)=0),"NO CATALOG ID MATCH in Release_Track",iserror(vlookup($A102&amp;$B102,'5) Release_Track'!$F:$F&amp;'5) Release_Track'!$G:$G,1,0)),"NO ISRC-CATALOG ID pair MATCH in Release_Track" )</f>
        <v/>
      </c>
      <c r="F102" s="122"/>
      <c r="G102" s="99"/>
      <c r="H102" s="178"/>
      <c r="I102" s="121" t="str">
        <f t="shared" si="6"/>
        <v/>
      </c>
      <c r="J102" s="99"/>
      <c r="K102" s="99"/>
    </row>
    <row r="103">
      <c r="B103" s="103"/>
      <c r="C103" s="121" t="str">
        <f t="array" ref="C103">ifs(and(isblank($A103),isblank($B103)),"", not(iserror(vlookup($A103&amp;$B103,'5) Release_Track'!$F:$F&amp;'5) Release_Track'!$G:$G,1,0))),vlookup($A103&amp;$B103,{'5) Release_Track'!$F:$F&amp;'5) Release_Track'!$G:$G,'5) Release_Track'!$H:$H},2,0), or(and(not(isblank($B103)),$B103=$B102,$A103&lt;&gt;$A102),and(not(isblank($A103)),$A103=$A102,$B103&lt;&gt;$B102)),"ID LISTS UNALIGNED",and($A103&lt;&gt;"",countif('5) Release_Track'!$F:$F,$A103)=0),"NO ISRC MATCH in Release_Track",and($B103&lt;&gt;"",countif('5) Release_Track'!$G:$G,$B103)=0),"NO CATALOG ID MATCH in Release_Track",iserror(vlookup($A103&amp;$B103,'5) Release_Track'!$F:$F&amp;'5) Release_Track'!$G:$G,1,0)),"NO ISRC-CATALOG ID pair MATCH in Release_Track" )</f>
        <v/>
      </c>
      <c r="D103" s="121" t="str">
        <f t="array" ref="D103">ifs(and(isblank($A103),isblank($B103)),"", not(iserror(vlookup($A103&amp;$B103,'5) Release_Track'!$F:$F&amp;'5) Release_Track'!$G:$G,1,0))),vlookup($A103&amp;$B103,{'5) Release_Track'!$F:$F&amp;'5) Release_Track'!$G:$G,'5) Release_Track'!$I:$I},2,0), or(and(not(isblank($B103)),$B103=$B102,$A103&lt;&gt;$A102),and(not(isblank($A103)),$A103=$A102,$B103&lt;&gt;$B102)),"ID LISTS UNALIGNED",and($A103&lt;&gt;"",countif('5) Release_Track'!$F:$F,$A103)=0),"NO ISRC MATCH in Release_Track",and($B103&lt;&gt;"",countif('5) Release_Track'!$G:$G,$B103)=0),"NO CATALOG ID MATCH in Release_Track",iserror(vlookup($A103&amp;$B103,'5) Release_Track'!$F:$F&amp;'5) Release_Track'!$G:$G,1,0)),"NO ISRC-CATALOG ID pair MATCH in Release_Track" )</f>
        <v/>
      </c>
      <c r="E103" s="125" t="str">
        <f t="array" ref="E103">ifs(and(isblank($A103),isblank($B103)),"", not(iserror(vlookup($A103&amp;$B103,'5) Release_Track'!$F:$F&amp;'5) Release_Track'!$G:$G,1,0))),vlookup($A103&amp;$B103,{'5) Release_Track'!$F:$F&amp;'5) Release_Track'!$G:$G,'5) Release_Track'!$J:$J},2,0), or(and(not(isblank($B103)),$B103=$B102,$A103&lt;&gt;$A102),and(not(isblank($A103)),$A103=$A102,$B103&lt;&gt;$B102)),"ID LISTS UNALIGNED",and($A103&lt;&gt;"",countif('5) Release_Track'!$F:$F,$A103)=0),"NO ISRC MATCH in Release_Track",and($B103&lt;&gt;"",countif('5) Release_Track'!$G:$G,$B103)=0),"NO CATALOG ID MATCH in Release_Track",iserror(vlookup($A103&amp;$B103,'5) Release_Track'!$F:$F&amp;'5) Release_Track'!$G:$G,1,0)),"NO ISRC-CATALOG ID pair MATCH in Release_Track" )</f>
        <v/>
      </c>
      <c r="F103" s="122"/>
      <c r="G103" s="99"/>
      <c r="H103" s="178"/>
      <c r="I103" s="121" t="str">
        <f t="shared" si="6"/>
        <v/>
      </c>
      <c r="J103" s="99"/>
      <c r="K103" s="99"/>
    </row>
    <row r="104">
      <c r="B104" s="103"/>
      <c r="C104" s="121" t="str">
        <f t="array" ref="C104">ifs(and(isblank($A104),isblank($B104)),"", not(iserror(vlookup($A104&amp;$B104,'5) Release_Track'!$F:$F&amp;'5) Release_Track'!$G:$G,1,0))),vlookup($A104&amp;$B104,{'5) Release_Track'!$F:$F&amp;'5) Release_Track'!$G:$G,'5) Release_Track'!$H:$H},2,0), or(and(not(isblank($B104)),$B104=$B103,$A104&lt;&gt;$A103),and(not(isblank($A104)),$A104=$A103,$B104&lt;&gt;$B103)),"ID LISTS UNALIGNED",and($A104&lt;&gt;"",countif('5) Release_Track'!$F:$F,$A104)=0),"NO ISRC MATCH in Release_Track",and($B104&lt;&gt;"",countif('5) Release_Track'!$G:$G,$B104)=0),"NO CATALOG ID MATCH in Release_Track",iserror(vlookup($A104&amp;$B104,'5) Release_Track'!$F:$F&amp;'5) Release_Track'!$G:$G,1,0)),"NO ISRC-CATALOG ID pair MATCH in Release_Track" )</f>
        <v/>
      </c>
      <c r="D104" s="121" t="str">
        <f t="array" ref="D104">ifs(and(isblank($A104),isblank($B104)),"", not(iserror(vlookup($A104&amp;$B104,'5) Release_Track'!$F:$F&amp;'5) Release_Track'!$G:$G,1,0))),vlookup($A104&amp;$B104,{'5) Release_Track'!$F:$F&amp;'5) Release_Track'!$G:$G,'5) Release_Track'!$I:$I},2,0), or(and(not(isblank($B104)),$B104=$B103,$A104&lt;&gt;$A103),and(not(isblank($A104)),$A104=$A103,$B104&lt;&gt;$B103)),"ID LISTS UNALIGNED",and($A104&lt;&gt;"",countif('5) Release_Track'!$F:$F,$A104)=0),"NO ISRC MATCH in Release_Track",and($B104&lt;&gt;"",countif('5) Release_Track'!$G:$G,$B104)=0),"NO CATALOG ID MATCH in Release_Track",iserror(vlookup($A104&amp;$B104,'5) Release_Track'!$F:$F&amp;'5) Release_Track'!$G:$G,1,0)),"NO ISRC-CATALOG ID pair MATCH in Release_Track" )</f>
        <v/>
      </c>
      <c r="E104" s="125" t="str">
        <f t="array" ref="E104">ifs(and(isblank($A104),isblank($B104)),"", not(iserror(vlookup($A104&amp;$B104,'5) Release_Track'!$F:$F&amp;'5) Release_Track'!$G:$G,1,0))),vlookup($A104&amp;$B104,{'5) Release_Track'!$F:$F&amp;'5) Release_Track'!$G:$G,'5) Release_Track'!$J:$J},2,0), or(and(not(isblank($B104)),$B104=$B103,$A104&lt;&gt;$A103),and(not(isblank($A104)),$A104=$A103,$B104&lt;&gt;$B103)),"ID LISTS UNALIGNED",and($A104&lt;&gt;"",countif('5) Release_Track'!$F:$F,$A104)=0),"NO ISRC MATCH in Release_Track",and($B104&lt;&gt;"",countif('5) Release_Track'!$G:$G,$B104)=0),"NO CATALOG ID MATCH in Release_Track",iserror(vlookup($A104&amp;$B104,'5) Release_Track'!$F:$F&amp;'5) Release_Track'!$G:$G,1,0)),"NO ISRC-CATALOG ID pair MATCH in Release_Track" )</f>
        <v/>
      </c>
      <c r="F104" s="122"/>
      <c r="G104" s="99"/>
      <c r="H104" s="178"/>
      <c r="I104" s="121" t="str">
        <f t="shared" si="6"/>
        <v/>
      </c>
      <c r="J104" s="99"/>
      <c r="K104" s="99"/>
    </row>
    <row r="105">
      <c r="B105" s="103"/>
      <c r="C105" s="121" t="str">
        <f t="array" ref="C105">ifs(and(isblank($A105),isblank($B105)),"", not(iserror(vlookup($A105&amp;$B105,'5) Release_Track'!$F:$F&amp;'5) Release_Track'!$G:$G,1,0))),vlookup($A105&amp;$B105,{'5) Release_Track'!$F:$F&amp;'5) Release_Track'!$G:$G,'5) Release_Track'!$H:$H},2,0), or(and(not(isblank($B105)),$B105=$B104,$A105&lt;&gt;$A104),and(not(isblank($A105)),$A105=$A104,$B105&lt;&gt;$B104)),"ID LISTS UNALIGNED",and($A105&lt;&gt;"",countif('5) Release_Track'!$F:$F,$A105)=0),"NO ISRC MATCH in Release_Track",and($B105&lt;&gt;"",countif('5) Release_Track'!$G:$G,$B105)=0),"NO CATALOG ID MATCH in Release_Track",iserror(vlookup($A105&amp;$B105,'5) Release_Track'!$F:$F&amp;'5) Release_Track'!$G:$G,1,0)),"NO ISRC-CATALOG ID pair MATCH in Release_Track" )</f>
        <v/>
      </c>
      <c r="D105" s="121" t="str">
        <f t="array" ref="D105">ifs(and(isblank($A105),isblank($B105)),"", not(iserror(vlookup($A105&amp;$B105,'5) Release_Track'!$F:$F&amp;'5) Release_Track'!$G:$G,1,0))),vlookup($A105&amp;$B105,{'5) Release_Track'!$F:$F&amp;'5) Release_Track'!$G:$G,'5) Release_Track'!$I:$I},2,0), or(and(not(isblank($B105)),$B105=$B104,$A105&lt;&gt;$A104),and(not(isblank($A105)),$A105=$A104,$B105&lt;&gt;$B104)),"ID LISTS UNALIGNED",and($A105&lt;&gt;"",countif('5) Release_Track'!$F:$F,$A105)=0),"NO ISRC MATCH in Release_Track",and($B105&lt;&gt;"",countif('5) Release_Track'!$G:$G,$B105)=0),"NO CATALOG ID MATCH in Release_Track",iserror(vlookup($A105&amp;$B105,'5) Release_Track'!$F:$F&amp;'5) Release_Track'!$G:$G,1,0)),"NO ISRC-CATALOG ID pair MATCH in Release_Track" )</f>
        <v/>
      </c>
      <c r="E105" s="125" t="str">
        <f t="array" ref="E105">ifs(and(isblank($A105),isblank($B105)),"", not(iserror(vlookup($A105&amp;$B105,'5) Release_Track'!$F:$F&amp;'5) Release_Track'!$G:$G,1,0))),vlookup($A105&amp;$B105,{'5) Release_Track'!$F:$F&amp;'5) Release_Track'!$G:$G,'5) Release_Track'!$J:$J},2,0), or(and(not(isblank($B105)),$B105=$B104,$A105&lt;&gt;$A104),and(not(isblank($A105)),$A105=$A104,$B105&lt;&gt;$B104)),"ID LISTS UNALIGNED",and($A105&lt;&gt;"",countif('5) Release_Track'!$F:$F,$A105)=0),"NO ISRC MATCH in Release_Track",and($B105&lt;&gt;"",countif('5) Release_Track'!$G:$G,$B105)=0),"NO CATALOG ID MATCH in Release_Track",iserror(vlookup($A105&amp;$B105,'5) Release_Track'!$F:$F&amp;'5) Release_Track'!$G:$G,1,0)),"NO ISRC-CATALOG ID pair MATCH in Release_Track" )</f>
        <v/>
      </c>
      <c r="F105" s="122"/>
      <c r="G105" s="99"/>
      <c r="H105" s="178"/>
      <c r="I105" s="121" t="str">
        <f t="shared" si="6"/>
        <v/>
      </c>
      <c r="J105" s="99"/>
      <c r="K105" s="99"/>
    </row>
    <row r="106">
      <c r="B106" s="103"/>
      <c r="C106" s="121" t="str">
        <f t="array" ref="C106">ifs(and(isblank($A106),isblank($B106)),"", not(iserror(vlookup($A106&amp;$B106,'5) Release_Track'!$F:$F&amp;'5) Release_Track'!$G:$G,1,0))),vlookup($A106&amp;$B106,{'5) Release_Track'!$F:$F&amp;'5) Release_Track'!$G:$G,'5) Release_Track'!$H:$H},2,0), or(and(not(isblank($B106)),$B106=$B105,$A106&lt;&gt;$A105),and(not(isblank($A106)),$A106=$A105,$B106&lt;&gt;$B105)),"ID LISTS UNALIGNED",and($A106&lt;&gt;"",countif('5) Release_Track'!$F:$F,$A106)=0),"NO ISRC MATCH in Release_Track",and($B106&lt;&gt;"",countif('5) Release_Track'!$G:$G,$B106)=0),"NO CATALOG ID MATCH in Release_Track",iserror(vlookup($A106&amp;$B106,'5) Release_Track'!$F:$F&amp;'5) Release_Track'!$G:$G,1,0)),"NO ISRC-CATALOG ID pair MATCH in Release_Track" )</f>
        <v/>
      </c>
      <c r="D106" s="121" t="str">
        <f t="array" ref="D106">ifs(and(isblank($A106),isblank($B106)),"", not(iserror(vlookup($A106&amp;$B106,'5) Release_Track'!$F:$F&amp;'5) Release_Track'!$G:$G,1,0))),vlookup($A106&amp;$B106,{'5) Release_Track'!$F:$F&amp;'5) Release_Track'!$G:$G,'5) Release_Track'!$I:$I},2,0), or(and(not(isblank($B106)),$B106=$B105,$A106&lt;&gt;$A105),and(not(isblank($A106)),$A106=$A105,$B106&lt;&gt;$B105)),"ID LISTS UNALIGNED",and($A106&lt;&gt;"",countif('5) Release_Track'!$F:$F,$A106)=0),"NO ISRC MATCH in Release_Track",and($B106&lt;&gt;"",countif('5) Release_Track'!$G:$G,$B106)=0),"NO CATALOG ID MATCH in Release_Track",iserror(vlookup($A106&amp;$B106,'5) Release_Track'!$F:$F&amp;'5) Release_Track'!$G:$G,1,0)),"NO ISRC-CATALOG ID pair MATCH in Release_Track" )</f>
        <v/>
      </c>
      <c r="E106" s="125" t="str">
        <f t="array" ref="E106">ifs(and(isblank($A106),isblank($B106)),"", not(iserror(vlookup($A106&amp;$B106,'5) Release_Track'!$F:$F&amp;'5) Release_Track'!$G:$G,1,0))),vlookup($A106&amp;$B106,{'5) Release_Track'!$F:$F&amp;'5) Release_Track'!$G:$G,'5) Release_Track'!$J:$J},2,0), or(and(not(isblank($B106)),$B106=$B105,$A106&lt;&gt;$A105),and(not(isblank($A106)),$A106=$A105,$B106&lt;&gt;$B105)),"ID LISTS UNALIGNED",and($A106&lt;&gt;"",countif('5) Release_Track'!$F:$F,$A106)=0),"NO ISRC MATCH in Release_Track",and($B106&lt;&gt;"",countif('5) Release_Track'!$G:$G,$B106)=0),"NO CATALOG ID MATCH in Release_Track",iserror(vlookup($A106&amp;$B106,'5) Release_Track'!$F:$F&amp;'5) Release_Track'!$G:$G,1,0)),"NO ISRC-CATALOG ID pair MATCH in Release_Track" )</f>
        <v/>
      </c>
      <c r="F106" s="122"/>
      <c r="G106" s="99"/>
      <c r="H106" s="178"/>
      <c r="I106" s="121" t="str">
        <f t="shared" si="6"/>
        <v/>
      </c>
      <c r="J106" s="99"/>
      <c r="K106" s="99"/>
    </row>
    <row r="107">
      <c r="B107" s="103"/>
      <c r="C107" s="121" t="str">
        <f t="array" ref="C107">ifs(and(isblank($A107),isblank($B107)),"", not(iserror(vlookup($A107&amp;$B107,'5) Release_Track'!$F:$F&amp;'5) Release_Track'!$G:$G,1,0))),vlookup($A107&amp;$B107,{'5) Release_Track'!$F:$F&amp;'5) Release_Track'!$G:$G,'5) Release_Track'!$H:$H},2,0), or(and(not(isblank($B107)),$B107=$B106,$A107&lt;&gt;$A106),and(not(isblank($A107)),$A107=$A106,$B107&lt;&gt;$B106)),"ID LISTS UNALIGNED",and($A107&lt;&gt;"",countif('5) Release_Track'!$F:$F,$A107)=0),"NO ISRC MATCH in Release_Track",and($B107&lt;&gt;"",countif('5) Release_Track'!$G:$G,$B107)=0),"NO CATALOG ID MATCH in Release_Track",iserror(vlookup($A107&amp;$B107,'5) Release_Track'!$F:$F&amp;'5) Release_Track'!$G:$G,1,0)),"NO ISRC-CATALOG ID pair MATCH in Release_Track" )</f>
        <v/>
      </c>
      <c r="D107" s="121" t="str">
        <f t="array" ref="D107">ifs(and(isblank($A107),isblank($B107)),"", not(iserror(vlookup($A107&amp;$B107,'5) Release_Track'!$F:$F&amp;'5) Release_Track'!$G:$G,1,0))),vlookup($A107&amp;$B107,{'5) Release_Track'!$F:$F&amp;'5) Release_Track'!$G:$G,'5) Release_Track'!$I:$I},2,0), or(and(not(isblank($B107)),$B107=$B106,$A107&lt;&gt;$A106),and(not(isblank($A107)),$A107=$A106,$B107&lt;&gt;$B106)),"ID LISTS UNALIGNED",and($A107&lt;&gt;"",countif('5) Release_Track'!$F:$F,$A107)=0),"NO ISRC MATCH in Release_Track",and($B107&lt;&gt;"",countif('5) Release_Track'!$G:$G,$B107)=0),"NO CATALOG ID MATCH in Release_Track",iserror(vlookup($A107&amp;$B107,'5) Release_Track'!$F:$F&amp;'5) Release_Track'!$G:$G,1,0)),"NO ISRC-CATALOG ID pair MATCH in Release_Track" )</f>
        <v/>
      </c>
      <c r="E107" s="125" t="str">
        <f t="array" ref="E107">ifs(and(isblank($A107),isblank($B107)),"", not(iserror(vlookup($A107&amp;$B107,'5) Release_Track'!$F:$F&amp;'5) Release_Track'!$G:$G,1,0))),vlookup($A107&amp;$B107,{'5) Release_Track'!$F:$F&amp;'5) Release_Track'!$G:$G,'5) Release_Track'!$J:$J},2,0), or(and(not(isblank($B107)),$B107=$B106,$A107&lt;&gt;$A106),and(not(isblank($A107)),$A107=$A106,$B107&lt;&gt;$B106)),"ID LISTS UNALIGNED",and($A107&lt;&gt;"",countif('5) Release_Track'!$F:$F,$A107)=0),"NO ISRC MATCH in Release_Track",and($B107&lt;&gt;"",countif('5) Release_Track'!$G:$G,$B107)=0),"NO CATALOG ID MATCH in Release_Track",iserror(vlookup($A107&amp;$B107,'5) Release_Track'!$F:$F&amp;'5) Release_Track'!$G:$G,1,0)),"NO ISRC-CATALOG ID pair MATCH in Release_Track" )</f>
        <v/>
      </c>
      <c r="F107" s="122"/>
      <c r="G107" s="99"/>
      <c r="H107" s="178"/>
      <c r="I107" s="121" t="str">
        <f t="shared" si="6"/>
        <v/>
      </c>
      <c r="J107" s="99"/>
      <c r="K107" s="99"/>
    </row>
    <row r="108">
      <c r="B108" s="103"/>
      <c r="C108" s="121" t="str">
        <f t="array" ref="C108">ifs(and(isblank($A108),isblank($B108)),"", not(iserror(vlookup($A108&amp;$B108,'5) Release_Track'!$F:$F&amp;'5) Release_Track'!$G:$G,1,0))),vlookup($A108&amp;$B108,{'5) Release_Track'!$F:$F&amp;'5) Release_Track'!$G:$G,'5) Release_Track'!$H:$H},2,0), or(and(not(isblank($B108)),$B108=$B107,$A108&lt;&gt;$A107),and(not(isblank($A108)),$A108=$A107,$B108&lt;&gt;$B107)),"ID LISTS UNALIGNED",and($A108&lt;&gt;"",countif('5) Release_Track'!$F:$F,$A108)=0),"NO ISRC MATCH in Release_Track",and($B108&lt;&gt;"",countif('5) Release_Track'!$G:$G,$B108)=0),"NO CATALOG ID MATCH in Release_Track",iserror(vlookup($A108&amp;$B108,'5) Release_Track'!$F:$F&amp;'5) Release_Track'!$G:$G,1,0)),"NO ISRC-CATALOG ID pair MATCH in Release_Track" )</f>
        <v/>
      </c>
      <c r="D108" s="121" t="str">
        <f t="array" ref="D108">ifs(and(isblank($A108),isblank($B108)),"", not(iserror(vlookup($A108&amp;$B108,'5) Release_Track'!$F:$F&amp;'5) Release_Track'!$G:$G,1,0))),vlookup($A108&amp;$B108,{'5) Release_Track'!$F:$F&amp;'5) Release_Track'!$G:$G,'5) Release_Track'!$I:$I},2,0), or(and(not(isblank($B108)),$B108=$B107,$A108&lt;&gt;$A107),and(not(isblank($A108)),$A108=$A107,$B108&lt;&gt;$B107)),"ID LISTS UNALIGNED",and($A108&lt;&gt;"",countif('5) Release_Track'!$F:$F,$A108)=0),"NO ISRC MATCH in Release_Track",and($B108&lt;&gt;"",countif('5) Release_Track'!$G:$G,$B108)=0),"NO CATALOG ID MATCH in Release_Track",iserror(vlookup($A108&amp;$B108,'5) Release_Track'!$F:$F&amp;'5) Release_Track'!$G:$G,1,0)),"NO ISRC-CATALOG ID pair MATCH in Release_Track" )</f>
        <v/>
      </c>
      <c r="E108" s="125" t="str">
        <f t="array" ref="E108">ifs(and(isblank($A108),isblank($B108)),"", not(iserror(vlookup($A108&amp;$B108,'5) Release_Track'!$F:$F&amp;'5) Release_Track'!$G:$G,1,0))),vlookup($A108&amp;$B108,{'5) Release_Track'!$F:$F&amp;'5) Release_Track'!$G:$G,'5) Release_Track'!$J:$J},2,0), or(and(not(isblank($B108)),$B108=$B107,$A108&lt;&gt;$A107),and(not(isblank($A108)),$A108=$A107,$B108&lt;&gt;$B107)),"ID LISTS UNALIGNED",and($A108&lt;&gt;"",countif('5) Release_Track'!$F:$F,$A108)=0),"NO ISRC MATCH in Release_Track",and($B108&lt;&gt;"",countif('5) Release_Track'!$G:$G,$B108)=0),"NO CATALOG ID MATCH in Release_Track",iserror(vlookup($A108&amp;$B108,'5) Release_Track'!$F:$F&amp;'5) Release_Track'!$G:$G,1,0)),"NO ISRC-CATALOG ID pair MATCH in Release_Track" )</f>
        <v/>
      </c>
      <c r="F108" s="122"/>
      <c r="G108" s="99"/>
      <c r="H108" s="178"/>
      <c r="I108" s="121" t="str">
        <f t="shared" si="6"/>
        <v/>
      </c>
      <c r="J108" s="99"/>
      <c r="K108" s="99"/>
    </row>
    <row r="109">
      <c r="B109" s="103"/>
      <c r="C109" s="121" t="str">
        <f t="array" ref="C109">ifs(and(isblank($A109),isblank($B109)),"", not(iserror(vlookup($A109&amp;$B109,'5) Release_Track'!$F:$F&amp;'5) Release_Track'!$G:$G,1,0))),vlookup($A109&amp;$B109,{'5) Release_Track'!$F:$F&amp;'5) Release_Track'!$G:$G,'5) Release_Track'!$H:$H},2,0), or(and(not(isblank($B109)),$B109=$B108,$A109&lt;&gt;$A108),and(not(isblank($A109)),$A109=$A108,$B109&lt;&gt;$B108)),"ID LISTS UNALIGNED",and($A109&lt;&gt;"",countif('5) Release_Track'!$F:$F,$A109)=0),"NO ISRC MATCH in Release_Track",and($B109&lt;&gt;"",countif('5) Release_Track'!$G:$G,$B109)=0),"NO CATALOG ID MATCH in Release_Track",iserror(vlookup($A109&amp;$B109,'5) Release_Track'!$F:$F&amp;'5) Release_Track'!$G:$G,1,0)),"NO ISRC-CATALOG ID pair MATCH in Release_Track" )</f>
        <v/>
      </c>
      <c r="D109" s="121" t="str">
        <f t="array" ref="D109">ifs(and(isblank($A109),isblank($B109)),"", not(iserror(vlookup($A109&amp;$B109,'5) Release_Track'!$F:$F&amp;'5) Release_Track'!$G:$G,1,0))),vlookup($A109&amp;$B109,{'5) Release_Track'!$F:$F&amp;'5) Release_Track'!$G:$G,'5) Release_Track'!$I:$I},2,0), or(and(not(isblank($B109)),$B109=$B108,$A109&lt;&gt;$A108),and(not(isblank($A109)),$A109=$A108,$B109&lt;&gt;$B108)),"ID LISTS UNALIGNED",and($A109&lt;&gt;"",countif('5) Release_Track'!$F:$F,$A109)=0),"NO ISRC MATCH in Release_Track",and($B109&lt;&gt;"",countif('5) Release_Track'!$G:$G,$B109)=0),"NO CATALOG ID MATCH in Release_Track",iserror(vlookup($A109&amp;$B109,'5) Release_Track'!$F:$F&amp;'5) Release_Track'!$G:$G,1,0)),"NO ISRC-CATALOG ID pair MATCH in Release_Track" )</f>
        <v/>
      </c>
      <c r="E109" s="125" t="str">
        <f t="array" ref="E109">ifs(and(isblank($A109),isblank($B109)),"", not(iserror(vlookup($A109&amp;$B109,'5) Release_Track'!$F:$F&amp;'5) Release_Track'!$G:$G,1,0))),vlookup($A109&amp;$B109,{'5) Release_Track'!$F:$F&amp;'5) Release_Track'!$G:$G,'5) Release_Track'!$J:$J},2,0), or(and(not(isblank($B109)),$B109=$B108,$A109&lt;&gt;$A108),and(not(isblank($A109)),$A109=$A108,$B109&lt;&gt;$B108)),"ID LISTS UNALIGNED",and($A109&lt;&gt;"",countif('5) Release_Track'!$F:$F,$A109)=0),"NO ISRC MATCH in Release_Track",and($B109&lt;&gt;"",countif('5) Release_Track'!$G:$G,$B109)=0),"NO CATALOG ID MATCH in Release_Track",iserror(vlookup($A109&amp;$B109,'5) Release_Track'!$F:$F&amp;'5) Release_Track'!$G:$G,1,0)),"NO ISRC-CATALOG ID pair MATCH in Release_Track" )</f>
        <v/>
      </c>
      <c r="F109" s="122"/>
      <c r="G109" s="99"/>
      <c r="H109" s="178"/>
      <c r="I109" s="121" t="str">
        <f t="shared" si="6"/>
        <v/>
      </c>
      <c r="J109" s="99"/>
      <c r="K109" s="99"/>
    </row>
    <row r="110">
      <c r="B110" s="103"/>
      <c r="C110" s="121" t="str">
        <f t="array" ref="C110">ifs(and(isblank($A110),isblank($B110)),"", not(iserror(vlookup($A110&amp;$B110,'5) Release_Track'!$F:$F&amp;'5) Release_Track'!$G:$G,1,0))),vlookup($A110&amp;$B110,{'5) Release_Track'!$F:$F&amp;'5) Release_Track'!$G:$G,'5) Release_Track'!$H:$H},2,0), or(and(not(isblank($B110)),$B110=$B109,$A110&lt;&gt;$A109),and(not(isblank($A110)),$A110=$A109,$B110&lt;&gt;$B109)),"ID LISTS UNALIGNED",and($A110&lt;&gt;"",countif('5) Release_Track'!$F:$F,$A110)=0),"NO ISRC MATCH in Release_Track",and($B110&lt;&gt;"",countif('5) Release_Track'!$G:$G,$B110)=0),"NO CATALOG ID MATCH in Release_Track",iserror(vlookup($A110&amp;$B110,'5) Release_Track'!$F:$F&amp;'5) Release_Track'!$G:$G,1,0)),"NO ISRC-CATALOG ID pair MATCH in Release_Track" )</f>
        <v/>
      </c>
      <c r="D110" s="121" t="str">
        <f t="array" ref="D110">ifs(and(isblank($A110),isblank($B110)),"", not(iserror(vlookup($A110&amp;$B110,'5) Release_Track'!$F:$F&amp;'5) Release_Track'!$G:$G,1,0))),vlookup($A110&amp;$B110,{'5) Release_Track'!$F:$F&amp;'5) Release_Track'!$G:$G,'5) Release_Track'!$I:$I},2,0), or(and(not(isblank($B110)),$B110=$B109,$A110&lt;&gt;$A109),and(not(isblank($A110)),$A110=$A109,$B110&lt;&gt;$B109)),"ID LISTS UNALIGNED",and($A110&lt;&gt;"",countif('5) Release_Track'!$F:$F,$A110)=0),"NO ISRC MATCH in Release_Track",and($B110&lt;&gt;"",countif('5) Release_Track'!$G:$G,$B110)=0),"NO CATALOG ID MATCH in Release_Track",iserror(vlookup($A110&amp;$B110,'5) Release_Track'!$F:$F&amp;'5) Release_Track'!$G:$G,1,0)),"NO ISRC-CATALOG ID pair MATCH in Release_Track" )</f>
        <v/>
      </c>
      <c r="E110" s="125" t="str">
        <f t="array" ref="E110">ifs(and(isblank($A110),isblank($B110)),"", not(iserror(vlookup($A110&amp;$B110,'5) Release_Track'!$F:$F&amp;'5) Release_Track'!$G:$G,1,0))),vlookup($A110&amp;$B110,{'5) Release_Track'!$F:$F&amp;'5) Release_Track'!$G:$G,'5) Release_Track'!$J:$J},2,0), or(and(not(isblank($B110)),$B110=$B109,$A110&lt;&gt;$A109),and(not(isblank($A110)),$A110=$A109,$B110&lt;&gt;$B109)),"ID LISTS UNALIGNED",and($A110&lt;&gt;"",countif('5) Release_Track'!$F:$F,$A110)=0),"NO ISRC MATCH in Release_Track",and($B110&lt;&gt;"",countif('5) Release_Track'!$G:$G,$B110)=0),"NO CATALOG ID MATCH in Release_Track",iserror(vlookup($A110&amp;$B110,'5) Release_Track'!$F:$F&amp;'5) Release_Track'!$G:$G,1,0)),"NO ISRC-CATALOG ID pair MATCH in Release_Track" )</f>
        <v/>
      </c>
      <c r="F110" s="122"/>
      <c r="G110" s="99"/>
      <c r="H110" s="178"/>
      <c r="I110" s="121" t="str">
        <f t="shared" si="6"/>
        <v/>
      </c>
      <c r="J110" s="99"/>
      <c r="K110" s="99"/>
    </row>
    <row r="111">
      <c r="B111" s="103"/>
      <c r="C111" s="121" t="str">
        <f t="array" ref="C111">ifs(and(isblank($A111),isblank($B111)),"", not(iserror(vlookup($A111&amp;$B111,'5) Release_Track'!$F:$F&amp;'5) Release_Track'!$G:$G,1,0))),vlookup($A111&amp;$B111,{'5) Release_Track'!$F:$F&amp;'5) Release_Track'!$G:$G,'5) Release_Track'!$H:$H},2,0), or(and(not(isblank($B111)),$B111=$B110,$A111&lt;&gt;$A110),and(not(isblank($A111)),$A111=$A110,$B111&lt;&gt;$B110)),"ID LISTS UNALIGNED",and($A111&lt;&gt;"",countif('5) Release_Track'!$F:$F,$A111)=0),"NO ISRC MATCH in Release_Track",and($B111&lt;&gt;"",countif('5) Release_Track'!$G:$G,$B111)=0),"NO CATALOG ID MATCH in Release_Track",iserror(vlookup($A111&amp;$B111,'5) Release_Track'!$F:$F&amp;'5) Release_Track'!$G:$G,1,0)),"NO ISRC-CATALOG ID pair MATCH in Release_Track" )</f>
        <v/>
      </c>
      <c r="D111" s="121" t="str">
        <f t="array" ref="D111">ifs(and(isblank($A111),isblank($B111)),"", not(iserror(vlookup($A111&amp;$B111,'5) Release_Track'!$F:$F&amp;'5) Release_Track'!$G:$G,1,0))),vlookup($A111&amp;$B111,{'5) Release_Track'!$F:$F&amp;'5) Release_Track'!$G:$G,'5) Release_Track'!$I:$I},2,0), or(and(not(isblank($B111)),$B111=$B110,$A111&lt;&gt;$A110),and(not(isblank($A111)),$A111=$A110,$B111&lt;&gt;$B110)),"ID LISTS UNALIGNED",and($A111&lt;&gt;"",countif('5) Release_Track'!$F:$F,$A111)=0),"NO ISRC MATCH in Release_Track",and($B111&lt;&gt;"",countif('5) Release_Track'!$G:$G,$B111)=0),"NO CATALOG ID MATCH in Release_Track",iserror(vlookup($A111&amp;$B111,'5) Release_Track'!$F:$F&amp;'5) Release_Track'!$G:$G,1,0)),"NO ISRC-CATALOG ID pair MATCH in Release_Track" )</f>
        <v/>
      </c>
      <c r="E111" s="125" t="str">
        <f t="array" ref="E111">ifs(and(isblank($A111),isblank($B111)),"", not(iserror(vlookup($A111&amp;$B111,'5) Release_Track'!$F:$F&amp;'5) Release_Track'!$G:$G,1,0))),vlookup($A111&amp;$B111,{'5) Release_Track'!$F:$F&amp;'5) Release_Track'!$G:$G,'5) Release_Track'!$J:$J},2,0), or(and(not(isblank($B111)),$B111=$B110,$A111&lt;&gt;$A110),and(not(isblank($A111)),$A111=$A110,$B111&lt;&gt;$B110)),"ID LISTS UNALIGNED",and($A111&lt;&gt;"",countif('5) Release_Track'!$F:$F,$A111)=0),"NO ISRC MATCH in Release_Track",and($B111&lt;&gt;"",countif('5) Release_Track'!$G:$G,$B111)=0),"NO CATALOG ID MATCH in Release_Track",iserror(vlookup($A111&amp;$B111,'5) Release_Track'!$F:$F&amp;'5) Release_Track'!$G:$G,1,0)),"NO ISRC-CATALOG ID pair MATCH in Release_Track" )</f>
        <v/>
      </c>
      <c r="F111" s="122"/>
      <c r="G111" s="99"/>
      <c r="H111" s="178"/>
      <c r="I111" s="121" t="str">
        <f t="shared" si="6"/>
        <v/>
      </c>
      <c r="J111" s="99"/>
      <c r="K111" s="99"/>
    </row>
    <row r="112">
      <c r="B112" s="103"/>
      <c r="C112" s="121" t="str">
        <f t="array" ref="C112">ifs(and(isblank($A112),isblank($B112)),"", not(iserror(vlookup($A112&amp;$B112,'5) Release_Track'!$F:$F&amp;'5) Release_Track'!$G:$G,1,0))),vlookup($A112&amp;$B112,{'5) Release_Track'!$F:$F&amp;'5) Release_Track'!$G:$G,'5) Release_Track'!$H:$H},2,0), or(and(not(isblank($B112)),$B112=$B111,$A112&lt;&gt;$A111),and(not(isblank($A112)),$A112=$A111,$B112&lt;&gt;$B111)),"ID LISTS UNALIGNED",and($A112&lt;&gt;"",countif('5) Release_Track'!$F:$F,$A112)=0),"NO ISRC MATCH in Release_Track",and($B112&lt;&gt;"",countif('5) Release_Track'!$G:$G,$B112)=0),"NO CATALOG ID MATCH in Release_Track",iserror(vlookup($A112&amp;$B112,'5) Release_Track'!$F:$F&amp;'5) Release_Track'!$G:$G,1,0)),"NO ISRC-CATALOG ID pair MATCH in Release_Track" )</f>
        <v/>
      </c>
      <c r="D112" s="121" t="str">
        <f t="array" ref="D112">ifs(and(isblank($A112),isblank($B112)),"", not(iserror(vlookup($A112&amp;$B112,'5) Release_Track'!$F:$F&amp;'5) Release_Track'!$G:$G,1,0))),vlookup($A112&amp;$B112,{'5) Release_Track'!$F:$F&amp;'5) Release_Track'!$G:$G,'5) Release_Track'!$I:$I},2,0), or(and(not(isblank($B112)),$B112=$B111,$A112&lt;&gt;$A111),and(not(isblank($A112)),$A112=$A111,$B112&lt;&gt;$B111)),"ID LISTS UNALIGNED",and($A112&lt;&gt;"",countif('5) Release_Track'!$F:$F,$A112)=0),"NO ISRC MATCH in Release_Track",and($B112&lt;&gt;"",countif('5) Release_Track'!$G:$G,$B112)=0),"NO CATALOG ID MATCH in Release_Track",iserror(vlookup($A112&amp;$B112,'5) Release_Track'!$F:$F&amp;'5) Release_Track'!$G:$G,1,0)),"NO ISRC-CATALOG ID pair MATCH in Release_Track" )</f>
        <v/>
      </c>
      <c r="E112" s="125" t="str">
        <f t="array" ref="E112">ifs(and(isblank($A112),isblank($B112)),"", not(iserror(vlookup($A112&amp;$B112,'5) Release_Track'!$F:$F&amp;'5) Release_Track'!$G:$G,1,0))),vlookup($A112&amp;$B112,{'5) Release_Track'!$F:$F&amp;'5) Release_Track'!$G:$G,'5) Release_Track'!$J:$J},2,0), or(and(not(isblank($B112)),$B112=$B111,$A112&lt;&gt;$A111),and(not(isblank($A112)),$A112=$A111,$B112&lt;&gt;$B111)),"ID LISTS UNALIGNED",and($A112&lt;&gt;"",countif('5) Release_Track'!$F:$F,$A112)=0),"NO ISRC MATCH in Release_Track",and($B112&lt;&gt;"",countif('5) Release_Track'!$G:$G,$B112)=0),"NO CATALOG ID MATCH in Release_Track",iserror(vlookup($A112&amp;$B112,'5) Release_Track'!$F:$F&amp;'5) Release_Track'!$G:$G,1,0)),"NO ISRC-CATALOG ID pair MATCH in Release_Track" )</f>
        <v/>
      </c>
      <c r="F112" s="122"/>
      <c r="G112" s="99"/>
      <c r="H112" s="178"/>
      <c r="I112" s="121" t="str">
        <f t="shared" si="6"/>
        <v/>
      </c>
      <c r="J112" s="99"/>
      <c r="K112" s="99"/>
    </row>
    <row r="113">
      <c r="B113" s="103"/>
      <c r="C113" s="121" t="str">
        <f t="array" ref="C113">ifs(and(isblank($A113),isblank($B113)),"", not(iserror(vlookup($A113&amp;$B113,'5) Release_Track'!$F:$F&amp;'5) Release_Track'!$G:$G,1,0))),vlookup($A113&amp;$B113,{'5) Release_Track'!$F:$F&amp;'5) Release_Track'!$G:$G,'5) Release_Track'!$H:$H},2,0), or(and(not(isblank($B113)),$B113=$B112,$A113&lt;&gt;$A112),and(not(isblank($A113)),$A113=$A112,$B113&lt;&gt;$B112)),"ID LISTS UNALIGNED",and($A113&lt;&gt;"",countif('5) Release_Track'!$F:$F,$A113)=0),"NO ISRC MATCH in Release_Track",and($B113&lt;&gt;"",countif('5) Release_Track'!$G:$G,$B113)=0),"NO CATALOG ID MATCH in Release_Track",iserror(vlookup($A113&amp;$B113,'5) Release_Track'!$F:$F&amp;'5) Release_Track'!$G:$G,1,0)),"NO ISRC-CATALOG ID pair MATCH in Release_Track" )</f>
        <v/>
      </c>
      <c r="D113" s="121" t="str">
        <f t="array" ref="D113">ifs(and(isblank($A113),isblank($B113)),"", not(iserror(vlookup($A113&amp;$B113,'5) Release_Track'!$F:$F&amp;'5) Release_Track'!$G:$G,1,0))),vlookup($A113&amp;$B113,{'5) Release_Track'!$F:$F&amp;'5) Release_Track'!$G:$G,'5) Release_Track'!$I:$I},2,0), or(and(not(isblank($B113)),$B113=$B112,$A113&lt;&gt;$A112),and(not(isblank($A113)),$A113=$A112,$B113&lt;&gt;$B112)),"ID LISTS UNALIGNED",and($A113&lt;&gt;"",countif('5) Release_Track'!$F:$F,$A113)=0),"NO ISRC MATCH in Release_Track",and($B113&lt;&gt;"",countif('5) Release_Track'!$G:$G,$B113)=0),"NO CATALOG ID MATCH in Release_Track",iserror(vlookup($A113&amp;$B113,'5) Release_Track'!$F:$F&amp;'5) Release_Track'!$G:$G,1,0)),"NO ISRC-CATALOG ID pair MATCH in Release_Track" )</f>
        <v/>
      </c>
      <c r="E113" s="125" t="str">
        <f t="array" ref="E113">ifs(and(isblank($A113),isblank($B113)),"", not(iserror(vlookup($A113&amp;$B113,'5) Release_Track'!$F:$F&amp;'5) Release_Track'!$G:$G,1,0))),vlookup($A113&amp;$B113,{'5) Release_Track'!$F:$F&amp;'5) Release_Track'!$G:$G,'5) Release_Track'!$J:$J},2,0), or(and(not(isblank($B113)),$B113=$B112,$A113&lt;&gt;$A112),and(not(isblank($A113)),$A113=$A112,$B113&lt;&gt;$B112)),"ID LISTS UNALIGNED",and($A113&lt;&gt;"",countif('5) Release_Track'!$F:$F,$A113)=0),"NO ISRC MATCH in Release_Track",and($B113&lt;&gt;"",countif('5) Release_Track'!$G:$G,$B113)=0),"NO CATALOG ID MATCH in Release_Track",iserror(vlookup($A113&amp;$B113,'5) Release_Track'!$F:$F&amp;'5) Release_Track'!$G:$G,1,0)),"NO ISRC-CATALOG ID pair MATCH in Release_Track" )</f>
        <v/>
      </c>
      <c r="F113" s="122"/>
      <c r="G113" s="99"/>
      <c r="H113" s="178"/>
      <c r="I113" s="121" t="str">
        <f t="shared" si="6"/>
        <v/>
      </c>
      <c r="J113" s="99"/>
      <c r="K113" s="99"/>
    </row>
    <row r="114">
      <c r="B114" s="103"/>
      <c r="C114" s="121" t="str">
        <f t="array" ref="C114">ifs(and(isblank($A114),isblank($B114)),"", not(iserror(vlookup($A114&amp;$B114,'5) Release_Track'!$F:$F&amp;'5) Release_Track'!$G:$G,1,0))),vlookup($A114&amp;$B114,{'5) Release_Track'!$F:$F&amp;'5) Release_Track'!$G:$G,'5) Release_Track'!$H:$H},2,0), or(and(not(isblank($B114)),$B114=$B113,$A114&lt;&gt;$A113),and(not(isblank($A114)),$A114=$A113,$B114&lt;&gt;$B113)),"ID LISTS UNALIGNED",and($A114&lt;&gt;"",countif('5) Release_Track'!$F:$F,$A114)=0),"NO ISRC MATCH in Release_Track",and($B114&lt;&gt;"",countif('5) Release_Track'!$G:$G,$B114)=0),"NO CATALOG ID MATCH in Release_Track",iserror(vlookup($A114&amp;$B114,'5) Release_Track'!$F:$F&amp;'5) Release_Track'!$G:$G,1,0)),"NO ISRC-CATALOG ID pair MATCH in Release_Track" )</f>
        <v/>
      </c>
      <c r="D114" s="121" t="str">
        <f t="array" ref="D114">ifs(and(isblank($A114),isblank($B114)),"", not(iserror(vlookup($A114&amp;$B114,'5) Release_Track'!$F:$F&amp;'5) Release_Track'!$G:$G,1,0))),vlookup($A114&amp;$B114,{'5) Release_Track'!$F:$F&amp;'5) Release_Track'!$G:$G,'5) Release_Track'!$I:$I},2,0), or(and(not(isblank($B114)),$B114=$B113,$A114&lt;&gt;$A113),and(not(isblank($A114)),$A114=$A113,$B114&lt;&gt;$B113)),"ID LISTS UNALIGNED",and($A114&lt;&gt;"",countif('5) Release_Track'!$F:$F,$A114)=0),"NO ISRC MATCH in Release_Track",and($B114&lt;&gt;"",countif('5) Release_Track'!$G:$G,$B114)=0),"NO CATALOG ID MATCH in Release_Track",iserror(vlookup($A114&amp;$B114,'5) Release_Track'!$F:$F&amp;'5) Release_Track'!$G:$G,1,0)),"NO ISRC-CATALOG ID pair MATCH in Release_Track" )</f>
        <v/>
      </c>
      <c r="E114" s="125" t="str">
        <f t="array" ref="E114">ifs(and(isblank($A114),isblank($B114)),"", not(iserror(vlookup($A114&amp;$B114,'5) Release_Track'!$F:$F&amp;'5) Release_Track'!$G:$G,1,0))),vlookup($A114&amp;$B114,{'5) Release_Track'!$F:$F&amp;'5) Release_Track'!$G:$G,'5) Release_Track'!$J:$J},2,0), or(and(not(isblank($B114)),$B114=$B113,$A114&lt;&gt;$A113),and(not(isblank($A114)),$A114=$A113,$B114&lt;&gt;$B113)),"ID LISTS UNALIGNED",and($A114&lt;&gt;"",countif('5) Release_Track'!$F:$F,$A114)=0),"NO ISRC MATCH in Release_Track",and($B114&lt;&gt;"",countif('5) Release_Track'!$G:$G,$B114)=0),"NO CATALOG ID MATCH in Release_Track",iserror(vlookup($A114&amp;$B114,'5) Release_Track'!$F:$F&amp;'5) Release_Track'!$G:$G,1,0)),"NO ISRC-CATALOG ID pair MATCH in Release_Track" )</f>
        <v/>
      </c>
      <c r="F114" s="122"/>
      <c r="G114" s="99"/>
      <c r="H114" s="178"/>
      <c r="I114" s="121" t="str">
        <f t="shared" si="6"/>
        <v/>
      </c>
      <c r="J114" s="99"/>
      <c r="K114" s="99"/>
    </row>
    <row r="115">
      <c r="B115" s="103"/>
      <c r="C115" s="121" t="str">
        <f t="array" ref="C115">ifs(and(isblank($A115),isblank($B115)),"", not(iserror(vlookup($A115&amp;$B115,'5) Release_Track'!$F:$F&amp;'5) Release_Track'!$G:$G,1,0))),vlookup($A115&amp;$B115,{'5) Release_Track'!$F:$F&amp;'5) Release_Track'!$G:$G,'5) Release_Track'!$H:$H},2,0), or(and(not(isblank($B115)),$B115=$B114,$A115&lt;&gt;$A114),and(not(isblank($A115)),$A115=$A114,$B115&lt;&gt;$B114)),"ID LISTS UNALIGNED",and($A115&lt;&gt;"",countif('5) Release_Track'!$F:$F,$A115)=0),"NO ISRC MATCH in Release_Track",and($B115&lt;&gt;"",countif('5) Release_Track'!$G:$G,$B115)=0),"NO CATALOG ID MATCH in Release_Track",iserror(vlookup($A115&amp;$B115,'5) Release_Track'!$F:$F&amp;'5) Release_Track'!$G:$G,1,0)),"NO ISRC-CATALOG ID pair MATCH in Release_Track" )</f>
        <v/>
      </c>
      <c r="D115" s="121" t="str">
        <f t="array" ref="D115">ifs(and(isblank($A115),isblank($B115)),"", not(iserror(vlookup($A115&amp;$B115,'5) Release_Track'!$F:$F&amp;'5) Release_Track'!$G:$G,1,0))),vlookup($A115&amp;$B115,{'5) Release_Track'!$F:$F&amp;'5) Release_Track'!$G:$G,'5) Release_Track'!$I:$I},2,0), or(and(not(isblank($B115)),$B115=$B114,$A115&lt;&gt;$A114),and(not(isblank($A115)),$A115=$A114,$B115&lt;&gt;$B114)),"ID LISTS UNALIGNED",and($A115&lt;&gt;"",countif('5) Release_Track'!$F:$F,$A115)=0),"NO ISRC MATCH in Release_Track",and($B115&lt;&gt;"",countif('5) Release_Track'!$G:$G,$B115)=0),"NO CATALOG ID MATCH in Release_Track",iserror(vlookup($A115&amp;$B115,'5) Release_Track'!$F:$F&amp;'5) Release_Track'!$G:$G,1,0)),"NO ISRC-CATALOG ID pair MATCH in Release_Track" )</f>
        <v/>
      </c>
      <c r="E115" s="125" t="str">
        <f t="array" ref="E115">ifs(and(isblank($A115),isblank($B115)),"", not(iserror(vlookup($A115&amp;$B115,'5) Release_Track'!$F:$F&amp;'5) Release_Track'!$G:$G,1,0))),vlookup($A115&amp;$B115,{'5) Release_Track'!$F:$F&amp;'5) Release_Track'!$G:$G,'5) Release_Track'!$J:$J},2,0), or(and(not(isblank($B115)),$B115=$B114,$A115&lt;&gt;$A114),and(not(isblank($A115)),$A115=$A114,$B115&lt;&gt;$B114)),"ID LISTS UNALIGNED",and($A115&lt;&gt;"",countif('5) Release_Track'!$F:$F,$A115)=0),"NO ISRC MATCH in Release_Track",and($B115&lt;&gt;"",countif('5) Release_Track'!$G:$G,$B115)=0),"NO CATALOG ID MATCH in Release_Track",iserror(vlookup($A115&amp;$B115,'5) Release_Track'!$F:$F&amp;'5) Release_Track'!$G:$G,1,0)),"NO ISRC-CATALOG ID pair MATCH in Release_Track" )</f>
        <v/>
      </c>
      <c r="F115" s="122"/>
      <c r="G115" s="99"/>
      <c r="H115" s="178"/>
      <c r="I115" s="121" t="str">
        <f t="shared" si="6"/>
        <v/>
      </c>
      <c r="J115" s="99"/>
      <c r="K115" s="99"/>
    </row>
    <row r="116">
      <c r="B116" s="103"/>
      <c r="C116" s="121" t="str">
        <f t="array" ref="C116">ifs(and(isblank($A116),isblank($B116)),"", not(iserror(vlookup($A116&amp;$B116,'5) Release_Track'!$F:$F&amp;'5) Release_Track'!$G:$G,1,0))),vlookup($A116&amp;$B116,{'5) Release_Track'!$F:$F&amp;'5) Release_Track'!$G:$G,'5) Release_Track'!$H:$H},2,0), or(and(not(isblank($B116)),$B116=$B115,$A116&lt;&gt;$A115),and(not(isblank($A116)),$A116=$A115,$B116&lt;&gt;$B115)),"ID LISTS UNALIGNED",and($A116&lt;&gt;"",countif('5) Release_Track'!$F:$F,$A116)=0),"NO ISRC MATCH in Release_Track",and($B116&lt;&gt;"",countif('5) Release_Track'!$G:$G,$B116)=0),"NO CATALOG ID MATCH in Release_Track",iserror(vlookup($A116&amp;$B116,'5) Release_Track'!$F:$F&amp;'5) Release_Track'!$G:$G,1,0)),"NO ISRC-CATALOG ID pair MATCH in Release_Track" )</f>
        <v/>
      </c>
      <c r="D116" s="121" t="str">
        <f t="array" ref="D116">ifs(and(isblank($A116),isblank($B116)),"", not(iserror(vlookup($A116&amp;$B116,'5) Release_Track'!$F:$F&amp;'5) Release_Track'!$G:$G,1,0))),vlookup($A116&amp;$B116,{'5) Release_Track'!$F:$F&amp;'5) Release_Track'!$G:$G,'5) Release_Track'!$I:$I},2,0), or(and(not(isblank($B116)),$B116=$B115,$A116&lt;&gt;$A115),and(not(isblank($A116)),$A116=$A115,$B116&lt;&gt;$B115)),"ID LISTS UNALIGNED",and($A116&lt;&gt;"",countif('5) Release_Track'!$F:$F,$A116)=0),"NO ISRC MATCH in Release_Track",and($B116&lt;&gt;"",countif('5) Release_Track'!$G:$G,$B116)=0),"NO CATALOG ID MATCH in Release_Track",iserror(vlookup($A116&amp;$B116,'5) Release_Track'!$F:$F&amp;'5) Release_Track'!$G:$G,1,0)),"NO ISRC-CATALOG ID pair MATCH in Release_Track" )</f>
        <v/>
      </c>
      <c r="E116" s="125" t="str">
        <f t="array" ref="E116">ifs(and(isblank($A116),isblank($B116)),"", not(iserror(vlookup($A116&amp;$B116,'5) Release_Track'!$F:$F&amp;'5) Release_Track'!$G:$G,1,0))),vlookup($A116&amp;$B116,{'5) Release_Track'!$F:$F&amp;'5) Release_Track'!$G:$G,'5) Release_Track'!$J:$J},2,0), or(and(not(isblank($B116)),$B116=$B115,$A116&lt;&gt;$A115),and(not(isblank($A116)),$A116=$A115,$B116&lt;&gt;$B115)),"ID LISTS UNALIGNED",and($A116&lt;&gt;"",countif('5) Release_Track'!$F:$F,$A116)=0),"NO ISRC MATCH in Release_Track",and($B116&lt;&gt;"",countif('5) Release_Track'!$G:$G,$B116)=0),"NO CATALOG ID MATCH in Release_Track",iserror(vlookup($A116&amp;$B116,'5) Release_Track'!$F:$F&amp;'5) Release_Track'!$G:$G,1,0)),"NO ISRC-CATALOG ID pair MATCH in Release_Track" )</f>
        <v/>
      </c>
      <c r="F116" s="122"/>
      <c r="G116" s="99"/>
      <c r="H116" s="178"/>
      <c r="I116" s="121" t="str">
        <f t="shared" si="6"/>
        <v/>
      </c>
      <c r="J116" s="99"/>
      <c r="K116" s="99"/>
    </row>
    <row r="117">
      <c r="B117" s="103"/>
      <c r="C117" s="121" t="str">
        <f t="array" ref="C117">ifs(and(isblank($A117),isblank($B117)),"", not(iserror(vlookup($A117&amp;$B117,'5) Release_Track'!$F:$F&amp;'5) Release_Track'!$G:$G,1,0))),vlookup($A117&amp;$B117,{'5) Release_Track'!$F:$F&amp;'5) Release_Track'!$G:$G,'5) Release_Track'!$H:$H},2,0), or(and(not(isblank($B117)),$B117=$B116,$A117&lt;&gt;$A116),and(not(isblank($A117)),$A117=$A116,$B117&lt;&gt;$B116)),"ID LISTS UNALIGNED",and($A117&lt;&gt;"",countif('5) Release_Track'!$F:$F,$A117)=0),"NO ISRC MATCH in Release_Track",and($B117&lt;&gt;"",countif('5) Release_Track'!$G:$G,$B117)=0),"NO CATALOG ID MATCH in Release_Track",iserror(vlookup($A117&amp;$B117,'5) Release_Track'!$F:$F&amp;'5) Release_Track'!$G:$G,1,0)),"NO ISRC-CATALOG ID pair MATCH in Release_Track" )</f>
        <v/>
      </c>
      <c r="D117" s="121" t="str">
        <f t="array" ref="D117">ifs(and(isblank($A117),isblank($B117)),"", not(iserror(vlookup($A117&amp;$B117,'5) Release_Track'!$F:$F&amp;'5) Release_Track'!$G:$G,1,0))),vlookup($A117&amp;$B117,{'5) Release_Track'!$F:$F&amp;'5) Release_Track'!$G:$G,'5) Release_Track'!$I:$I},2,0), or(and(not(isblank($B117)),$B117=$B116,$A117&lt;&gt;$A116),and(not(isblank($A117)),$A117=$A116,$B117&lt;&gt;$B116)),"ID LISTS UNALIGNED",and($A117&lt;&gt;"",countif('5) Release_Track'!$F:$F,$A117)=0),"NO ISRC MATCH in Release_Track",and($B117&lt;&gt;"",countif('5) Release_Track'!$G:$G,$B117)=0),"NO CATALOG ID MATCH in Release_Track",iserror(vlookup($A117&amp;$B117,'5) Release_Track'!$F:$F&amp;'5) Release_Track'!$G:$G,1,0)),"NO ISRC-CATALOG ID pair MATCH in Release_Track" )</f>
        <v/>
      </c>
      <c r="E117" s="125" t="str">
        <f t="array" ref="E117">ifs(and(isblank($A117),isblank($B117)),"", not(iserror(vlookup($A117&amp;$B117,'5) Release_Track'!$F:$F&amp;'5) Release_Track'!$G:$G,1,0))),vlookup($A117&amp;$B117,{'5) Release_Track'!$F:$F&amp;'5) Release_Track'!$G:$G,'5) Release_Track'!$J:$J},2,0), or(and(not(isblank($B117)),$B117=$B116,$A117&lt;&gt;$A116),and(not(isblank($A117)),$A117=$A116,$B117&lt;&gt;$B116)),"ID LISTS UNALIGNED",and($A117&lt;&gt;"",countif('5) Release_Track'!$F:$F,$A117)=0),"NO ISRC MATCH in Release_Track",and($B117&lt;&gt;"",countif('5) Release_Track'!$G:$G,$B117)=0),"NO CATALOG ID MATCH in Release_Track",iserror(vlookup($A117&amp;$B117,'5) Release_Track'!$F:$F&amp;'5) Release_Track'!$G:$G,1,0)),"NO ISRC-CATALOG ID pair MATCH in Release_Track" )</f>
        <v/>
      </c>
      <c r="F117" s="122"/>
      <c r="G117" s="99"/>
      <c r="H117" s="178"/>
      <c r="I117" s="121" t="str">
        <f t="shared" si="6"/>
        <v/>
      </c>
      <c r="J117" s="99"/>
      <c r="K117" s="99"/>
    </row>
    <row r="118">
      <c r="B118" s="103"/>
      <c r="C118" s="121" t="str">
        <f t="array" ref="C118">ifs(and(isblank($A118),isblank($B118)),"", not(iserror(vlookup($A118&amp;$B118,'5) Release_Track'!$F:$F&amp;'5) Release_Track'!$G:$G,1,0))),vlookup($A118&amp;$B118,{'5) Release_Track'!$F:$F&amp;'5) Release_Track'!$G:$G,'5) Release_Track'!$H:$H},2,0), or(and(not(isblank($B118)),$B118=$B117,$A118&lt;&gt;$A117),and(not(isblank($A118)),$A118=$A117,$B118&lt;&gt;$B117)),"ID LISTS UNALIGNED",and($A118&lt;&gt;"",countif('5) Release_Track'!$F:$F,$A118)=0),"NO ISRC MATCH in Release_Track",and($B118&lt;&gt;"",countif('5) Release_Track'!$G:$G,$B118)=0),"NO CATALOG ID MATCH in Release_Track",iserror(vlookup($A118&amp;$B118,'5) Release_Track'!$F:$F&amp;'5) Release_Track'!$G:$G,1,0)),"NO ISRC-CATALOG ID pair MATCH in Release_Track" )</f>
        <v/>
      </c>
      <c r="D118" s="121" t="str">
        <f t="array" ref="D118">ifs(and(isblank($A118),isblank($B118)),"", not(iserror(vlookup($A118&amp;$B118,'5) Release_Track'!$F:$F&amp;'5) Release_Track'!$G:$G,1,0))),vlookup($A118&amp;$B118,{'5) Release_Track'!$F:$F&amp;'5) Release_Track'!$G:$G,'5) Release_Track'!$I:$I},2,0), or(and(not(isblank($B118)),$B118=$B117,$A118&lt;&gt;$A117),and(not(isblank($A118)),$A118=$A117,$B118&lt;&gt;$B117)),"ID LISTS UNALIGNED",and($A118&lt;&gt;"",countif('5) Release_Track'!$F:$F,$A118)=0),"NO ISRC MATCH in Release_Track",and($B118&lt;&gt;"",countif('5) Release_Track'!$G:$G,$B118)=0),"NO CATALOG ID MATCH in Release_Track",iserror(vlookup($A118&amp;$B118,'5) Release_Track'!$F:$F&amp;'5) Release_Track'!$G:$G,1,0)),"NO ISRC-CATALOG ID pair MATCH in Release_Track" )</f>
        <v/>
      </c>
      <c r="E118" s="125" t="str">
        <f t="array" ref="E118">ifs(and(isblank($A118),isblank($B118)),"", not(iserror(vlookup($A118&amp;$B118,'5) Release_Track'!$F:$F&amp;'5) Release_Track'!$G:$G,1,0))),vlookup($A118&amp;$B118,{'5) Release_Track'!$F:$F&amp;'5) Release_Track'!$G:$G,'5) Release_Track'!$J:$J},2,0), or(and(not(isblank($B118)),$B118=$B117,$A118&lt;&gt;$A117),and(not(isblank($A118)),$A118=$A117,$B118&lt;&gt;$B117)),"ID LISTS UNALIGNED",and($A118&lt;&gt;"",countif('5) Release_Track'!$F:$F,$A118)=0),"NO ISRC MATCH in Release_Track",and($B118&lt;&gt;"",countif('5) Release_Track'!$G:$G,$B118)=0),"NO CATALOG ID MATCH in Release_Track",iserror(vlookup($A118&amp;$B118,'5) Release_Track'!$F:$F&amp;'5) Release_Track'!$G:$G,1,0)),"NO ISRC-CATALOG ID pair MATCH in Release_Track" )</f>
        <v/>
      </c>
      <c r="F118" s="122"/>
      <c r="G118" s="99"/>
      <c r="H118" s="178"/>
      <c r="I118" s="121" t="str">
        <f t="shared" si="6"/>
        <v/>
      </c>
      <c r="J118" s="99"/>
      <c r="K118" s="99"/>
    </row>
    <row r="119">
      <c r="B119" s="103"/>
      <c r="C119" s="121" t="str">
        <f t="array" ref="C119">ifs(and(isblank($A119),isblank($B119)),"", not(iserror(vlookup($A119&amp;$B119,'5) Release_Track'!$F:$F&amp;'5) Release_Track'!$G:$G,1,0))),vlookup($A119&amp;$B119,{'5) Release_Track'!$F:$F&amp;'5) Release_Track'!$G:$G,'5) Release_Track'!$H:$H},2,0), or(and(not(isblank($B119)),$B119=$B118,$A119&lt;&gt;$A118),and(not(isblank($A119)),$A119=$A118,$B119&lt;&gt;$B118)),"ID LISTS UNALIGNED",and($A119&lt;&gt;"",countif('5) Release_Track'!$F:$F,$A119)=0),"NO ISRC MATCH in Release_Track",and($B119&lt;&gt;"",countif('5) Release_Track'!$G:$G,$B119)=0),"NO CATALOG ID MATCH in Release_Track",iserror(vlookup($A119&amp;$B119,'5) Release_Track'!$F:$F&amp;'5) Release_Track'!$G:$G,1,0)),"NO ISRC-CATALOG ID pair MATCH in Release_Track" )</f>
        <v/>
      </c>
      <c r="D119" s="121" t="str">
        <f t="array" ref="D119">ifs(and(isblank($A119),isblank($B119)),"", not(iserror(vlookup($A119&amp;$B119,'5) Release_Track'!$F:$F&amp;'5) Release_Track'!$G:$G,1,0))),vlookup($A119&amp;$B119,{'5) Release_Track'!$F:$F&amp;'5) Release_Track'!$G:$G,'5) Release_Track'!$I:$I},2,0), or(and(not(isblank($B119)),$B119=$B118,$A119&lt;&gt;$A118),and(not(isblank($A119)),$A119=$A118,$B119&lt;&gt;$B118)),"ID LISTS UNALIGNED",and($A119&lt;&gt;"",countif('5) Release_Track'!$F:$F,$A119)=0),"NO ISRC MATCH in Release_Track",and($B119&lt;&gt;"",countif('5) Release_Track'!$G:$G,$B119)=0),"NO CATALOG ID MATCH in Release_Track",iserror(vlookup($A119&amp;$B119,'5) Release_Track'!$F:$F&amp;'5) Release_Track'!$G:$G,1,0)),"NO ISRC-CATALOG ID pair MATCH in Release_Track" )</f>
        <v/>
      </c>
      <c r="E119" s="125" t="str">
        <f t="array" ref="E119">ifs(and(isblank($A119),isblank($B119)),"", not(iserror(vlookup($A119&amp;$B119,'5) Release_Track'!$F:$F&amp;'5) Release_Track'!$G:$G,1,0))),vlookup($A119&amp;$B119,{'5) Release_Track'!$F:$F&amp;'5) Release_Track'!$G:$G,'5) Release_Track'!$J:$J},2,0), or(and(not(isblank($B119)),$B119=$B118,$A119&lt;&gt;$A118),and(not(isblank($A119)),$A119=$A118,$B119&lt;&gt;$B118)),"ID LISTS UNALIGNED",and($A119&lt;&gt;"",countif('5) Release_Track'!$F:$F,$A119)=0),"NO ISRC MATCH in Release_Track",and($B119&lt;&gt;"",countif('5) Release_Track'!$G:$G,$B119)=0),"NO CATALOG ID MATCH in Release_Track",iserror(vlookup($A119&amp;$B119,'5) Release_Track'!$F:$F&amp;'5) Release_Track'!$G:$G,1,0)),"NO ISRC-CATALOG ID pair MATCH in Release_Track" )</f>
        <v/>
      </c>
      <c r="F119" s="122"/>
      <c r="G119" s="99"/>
      <c r="H119" s="178"/>
      <c r="I119" s="121" t="str">
        <f t="shared" si="6"/>
        <v/>
      </c>
      <c r="J119" s="99"/>
      <c r="K119" s="99"/>
    </row>
    <row r="120">
      <c r="B120" s="103"/>
      <c r="C120" s="121" t="str">
        <f t="array" ref="C120">ifs(and(isblank($A120),isblank($B120)),"", not(iserror(vlookup($A120&amp;$B120,'5) Release_Track'!$F:$F&amp;'5) Release_Track'!$G:$G,1,0))),vlookup($A120&amp;$B120,{'5) Release_Track'!$F:$F&amp;'5) Release_Track'!$G:$G,'5) Release_Track'!$H:$H},2,0), or(and(not(isblank($B120)),$B120=$B119,$A120&lt;&gt;$A119),and(not(isblank($A120)),$A120=$A119,$B120&lt;&gt;$B119)),"ID LISTS UNALIGNED",and($A120&lt;&gt;"",countif('5) Release_Track'!$F:$F,$A120)=0),"NO ISRC MATCH in Release_Track",and($B120&lt;&gt;"",countif('5) Release_Track'!$G:$G,$B120)=0),"NO CATALOG ID MATCH in Release_Track",iserror(vlookup($A120&amp;$B120,'5) Release_Track'!$F:$F&amp;'5) Release_Track'!$G:$G,1,0)),"NO ISRC-CATALOG ID pair MATCH in Release_Track" )</f>
        <v/>
      </c>
      <c r="D120" s="121" t="str">
        <f t="array" ref="D120">ifs(and(isblank($A120),isblank($B120)),"", not(iserror(vlookup($A120&amp;$B120,'5) Release_Track'!$F:$F&amp;'5) Release_Track'!$G:$G,1,0))),vlookup($A120&amp;$B120,{'5) Release_Track'!$F:$F&amp;'5) Release_Track'!$G:$G,'5) Release_Track'!$I:$I},2,0), or(and(not(isblank($B120)),$B120=$B119,$A120&lt;&gt;$A119),and(not(isblank($A120)),$A120=$A119,$B120&lt;&gt;$B119)),"ID LISTS UNALIGNED",and($A120&lt;&gt;"",countif('5) Release_Track'!$F:$F,$A120)=0),"NO ISRC MATCH in Release_Track",and($B120&lt;&gt;"",countif('5) Release_Track'!$G:$G,$B120)=0),"NO CATALOG ID MATCH in Release_Track",iserror(vlookup($A120&amp;$B120,'5) Release_Track'!$F:$F&amp;'5) Release_Track'!$G:$G,1,0)),"NO ISRC-CATALOG ID pair MATCH in Release_Track" )</f>
        <v/>
      </c>
      <c r="E120" s="125" t="str">
        <f t="array" ref="E120">ifs(and(isblank($A120),isblank($B120)),"", not(iserror(vlookup($A120&amp;$B120,'5) Release_Track'!$F:$F&amp;'5) Release_Track'!$G:$G,1,0))),vlookup($A120&amp;$B120,{'5) Release_Track'!$F:$F&amp;'5) Release_Track'!$G:$G,'5) Release_Track'!$J:$J},2,0), or(and(not(isblank($B120)),$B120=$B119,$A120&lt;&gt;$A119),and(not(isblank($A120)),$A120=$A119,$B120&lt;&gt;$B119)),"ID LISTS UNALIGNED",and($A120&lt;&gt;"",countif('5) Release_Track'!$F:$F,$A120)=0),"NO ISRC MATCH in Release_Track",and($B120&lt;&gt;"",countif('5) Release_Track'!$G:$G,$B120)=0),"NO CATALOG ID MATCH in Release_Track",iserror(vlookup($A120&amp;$B120,'5) Release_Track'!$F:$F&amp;'5) Release_Track'!$G:$G,1,0)),"NO ISRC-CATALOG ID pair MATCH in Release_Track" )</f>
        <v/>
      </c>
      <c r="F120" s="122"/>
      <c r="G120" s="99"/>
      <c r="H120" s="178"/>
      <c r="I120" s="121" t="str">
        <f t="shared" si="6"/>
        <v/>
      </c>
      <c r="J120" s="99"/>
      <c r="K120" s="99"/>
    </row>
    <row r="121">
      <c r="B121" s="103"/>
      <c r="C121" s="121" t="str">
        <f t="array" ref="C121">ifs(and(isblank($A121),isblank($B121)),"", not(iserror(vlookup($A121&amp;$B121,'5) Release_Track'!$F:$F&amp;'5) Release_Track'!$G:$G,1,0))),vlookup($A121&amp;$B121,{'5) Release_Track'!$F:$F&amp;'5) Release_Track'!$G:$G,'5) Release_Track'!$H:$H},2,0), or(and(not(isblank($B121)),$B121=$B120,$A121&lt;&gt;$A120),and(not(isblank($A121)),$A121=$A120,$B121&lt;&gt;$B120)),"ID LISTS UNALIGNED",and($A121&lt;&gt;"",countif('5) Release_Track'!$F:$F,$A121)=0),"NO ISRC MATCH in Release_Track",and($B121&lt;&gt;"",countif('5) Release_Track'!$G:$G,$B121)=0),"NO CATALOG ID MATCH in Release_Track",iserror(vlookup($A121&amp;$B121,'5) Release_Track'!$F:$F&amp;'5) Release_Track'!$G:$G,1,0)),"NO ISRC-CATALOG ID pair MATCH in Release_Track" )</f>
        <v/>
      </c>
      <c r="D121" s="121" t="str">
        <f t="array" ref="D121">ifs(and(isblank($A121),isblank($B121)),"", not(iserror(vlookup($A121&amp;$B121,'5) Release_Track'!$F:$F&amp;'5) Release_Track'!$G:$G,1,0))),vlookup($A121&amp;$B121,{'5) Release_Track'!$F:$F&amp;'5) Release_Track'!$G:$G,'5) Release_Track'!$I:$I},2,0), or(and(not(isblank($B121)),$B121=$B120,$A121&lt;&gt;$A120),and(not(isblank($A121)),$A121=$A120,$B121&lt;&gt;$B120)),"ID LISTS UNALIGNED",and($A121&lt;&gt;"",countif('5) Release_Track'!$F:$F,$A121)=0),"NO ISRC MATCH in Release_Track",and($B121&lt;&gt;"",countif('5) Release_Track'!$G:$G,$B121)=0),"NO CATALOG ID MATCH in Release_Track",iserror(vlookup($A121&amp;$B121,'5) Release_Track'!$F:$F&amp;'5) Release_Track'!$G:$G,1,0)),"NO ISRC-CATALOG ID pair MATCH in Release_Track" )</f>
        <v/>
      </c>
      <c r="E121" s="125" t="str">
        <f t="array" ref="E121">ifs(and(isblank($A121),isblank($B121)),"", not(iserror(vlookup($A121&amp;$B121,'5) Release_Track'!$F:$F&amp;'5) Release_Track'!$G:$G,1,0))),vlookup($A121&amp;$B121,{'5) Release_Track'!$F:$F&amp;'5) Release_Track'!$G:$G,'5) Release_Track'!$J:$J},2,0), or(and(not(isblank($B121)),$B121=$B120,$A121&lt;&gt;$A120),and(not(isblank($A121)),$A121=$A120,$B121&lt;&gt;$B120)),"ID LISTS UNALIGNED",and($A121&lt;&gt;"",countif('5) Release_Track'!$F:$F,$A121)=0),"NO ISRC MATCH in Release_Track",and($B121&lt;&gt;"",countif('5) Release_Track'!$G:$G,$B121)=0),"NO CATALOG ID MATCH in Release_Track",iserror(vlookup($A121&amp;$B121,'5) Release_Track'!$F:$F&amp;'5) Release_Track'!$G:$G,1,0)),"NO ISRC-CATALOG ID pair MATCH in Release_Track" )</f>
        <v/>
      </c>
      <c r="F121" s="122"/>
      <c r="G121" s="99"/>
      <c r="H121" s="178"/>
      <c r="I121" s="121" t="str">
        <f t="shared" si="6"/>
        <v/>
      </c>
      <c r="J121" s="99"/>
      <c r="K121" s="99"/>
    </row>
    <row r="122">
      <c r="B122" s="103"/>
      <c r="C122" s="121" t="str">
        <f t="array" ref="C122">ifs(and(isblank($A122),isblank($B122)),"", not(iserror(vlookup($A122&amp;$B122,'5) Release_Track'!$F:$F&amp;'5) Release_Track'!$G:$G,1,0))),vlookup($A122&amp;$B122,{'5) Release_Track'!$F:$F&amp;'5) Release_Track'!$G:$G,'5) Release_Track'!$H:$H},2,0), or(and(not(isblank($B122)),$B122=$B121,$A122&lt;&gt;$A121),and(not(isblank($A122)),$A122=$A121,$B122&lt;&gt;$B121)),"ID LISTS UNALIGNED",and($A122&lt;&gt;"",countif('5) Release_Track'!$F:$F,$A122)=0),"NO ISRC MATCH in Release_Track",and($B122&lt;&gt;"",countif('5) Release_Track'!$G:$G,$B122)=0),"NO CATALOG ID MATCH in Release_Track",iserror(vlookup($A122&amp;$B122,'5) Release_Track'!$F:$F&amp;'5) Release_Track'!$G:$G,1,0)),"NO ISRC-CATALOG ID pair MATCH in Release_Track" )</f>
        <v/>
      </c>
      <c r="D122" s="121" t="str">
        <f t="array" ref="D122">ifs(and(isblank($A122),isblank($B122)),"", not(iserror(vlookup($A122&amp;$B122,'5) Release_Track'!$F:$F&amp;'5) Release_Track'!$G:$G,1,0))),vlookup($A122&amp;$B122,{'5) Release_Track'!$F:$F&amp;'5) Release_Track'!$G:$G,'5) Release_Track'!$I:$I},2,0), or(and(not(isblank($B122)),$B122=$B121,$A122&lt;&gt;$A121),and(not(isblank($A122)),$A122=$A121,$B122&lt;&gt;$B121)),"ID LISTS UNALIGNED",and($A122&lt;&gt;"",countif('5) Release_Track'!$F:$F,$A122)=0),"NO ISRC MATCH in Release_Track",and($B122&lt;&gt;"",countif('5) Release_Track'!$G:$G,$B122)=0),"NO CATALOG ID MATCH in Release_Track",iserror(vlookup($A122&amp;$B122,'5) Release_Track'!$F:$F&amp;'5) Release_Track'!$G:$G,1,0)),"NO ISRC-CATALOG ID pair MATCH in Release_Track" )</f>
        <v/>
      </c>
      <c r="E122" s="125" t="str">
        <f t="array" ref="E122">ifs(and(isblank($A122),isblank($B122)),"", not(iserror(vlookup($A122&amp;$B122,'5) Release_Track'!$F:$F&amp;'5) Release_Track'!$G:$G,1,0))),vlookup($A122&amp;$B122,{'5) Release_Track'!$F:$F&amp;'5) Release_Track'!$G:$G,'5) Release_Track'!$J:$J},2,0), or(and(not(isblank($B122)),$B122=$B121,$A122&lt;&gt;$A121),and(not(isblank($A122)),$A122=$A121,$B122&lt;&gt;$B121)),"ID LISTS UNALIGNED",and($A122&lt;&gt;"",countif('5) Release_Track'!$F:$F,$A122)=0),"NO ISRC MATCH in Release_Track",and($B122&lt;&gt;"",countif('5) Release_Track'!$G:$G,$B122)=0),"NO CATALOG ID MATCH in Release_Track",iserror(vlookup($A122&amp;$B122,'5) Release_Track'!$F:$F&amp;'5) Release_Track'!$G:$G,1,0)),"NO ISRC-CATALOG ID pair MATCH in Release_Track" )</f>
        <v/>
      </c>
      <c r="F122" s="122"/>
      <c r="G122" s="99"/>
      <c r="H122" s="178"/>
      <c r="I122" s="121" t="str">
        <f t="shared" si="6"/>
        <v/>
      </c>
      <c r="J122" s="99"/>
      <c r="K122" s="99"/>
    </row>
    <row r="123">
      <c r="B123" s="103"/>
      <c r="C123" s="121" t="str">
        <f t="array" ref="C123">ifs(and(isblank($A123),isblank($B123)),"", not(iserror(vlookup($A123&amp;$B123,'5) Release_Track'!$F:$F&amp;'5) Release_Track'!$G:$G,1,0))),vlookup($A123&amp;$B123,{'5) Release_Track'!$F:$F&amp;'5) Release_Track'!$G:$G,'5) Release_Track'!$H:$H},2,0), or(and(not(isblank($B123)),$B123=$B122,$A123&lt;&gt;$A122),and(not(isblank($A123)),$A123=$A122,$B123&lt;&gt;$B122)),"ID LISTS UNALIGNED",and($A123&lt;&gt;"",countif('5) Release_Track'!$F:$F,$A123)=0),"NO ISRC MATCH in Release_Track",and($B123&lt;&gt;"",countif('5) Release_Track'!$G:$G,$B123)=0),"NO CATALOG ID MATCH in Release_Track",iserror(vlookup($A123&amp;$B123,'5) Release_Track'!$F:$F&amp;'5) Release_Track'!$G:$G,1,0)),"NO ISRC-CATALOG ID pair MATCH in Release_Track" )</f>
        <v/>
      </c>
      <c r="D123" s="121" t="str">
        <f t="array" ref="D123">ifs(and(isblank($A123),isblank($B123)),"", not(iserror(vlookup($A123&amp;$B123,'5) Release_Track'!$F:$F&amp;'5) Release_Track'!$G:$G,1,0))),vlookup($A123&amp;$B123,{'5) Release_Track'!$F:$F&amp;'5) Release_Track'!$G:$G,'5) Release_Track'!$I:$I},2,0), or(and(not(isblank($B123)),$B123=$B122,$A123&lt;&gt;$A122),and(not(isblank($A123)),$A123=$A122,$B123&lt;&gt;$B122)),"ID LISTS UNALIGNED",and($A123&lt;&gt;"",countif('5) Release_Track'!$F:$F,$A123)=0),"NO ISRC MATCH in Release_Track",and($B123&lt;&gt;"",countif('5) Release_Track'!$G:$G,$B123)=0),"NO CATALOG ID MATCH in Release_Track",iserror(vlookup($A123&amp;$B123,'5) Release_Track'!$F:$F&amp;'5) Release_Track'!$G:$G,1,0)),"NO ISRC-CATALOG ID pair MATCH in Release_Track" )</f>
        <v/>
      </c>
      <c r="E123" s="125" t="str">
        <f t="array" ref="E123">ifs(and(isblank($A123),isblank($B123)),"", not(iserror(vlookup($A123&amp;$B123,'5) Release_Track'!$F:$F&amp;'5) Release_Track'!$G:$G,1,0))),vlookup($A123&amp;$B123,{'5) Release_Track'!$F:$F&amp;'5) Release_Track'!$G:$G,'5) Release_Track'!$J:$J},2,0), or(and(not(isblank($B123)),$B123=$B122,$A123&lt;&gt;$A122),and(not(isblank($A123)),$A123=$A122,$B123&lt;&gt;$B122)),"ID LISTS UNALIGNED",and($A123&lt;&gt;"",countif('5) Release_Track'!$F:$F,$A123)=0),"NO ISRC MATCH in Release_Track",and($B123&lt;&gt;"",countif('5) Release_Track'!$G:$G,$B123)=0),"NO CATALOG ID MATCH in Release_Track",iserror(vlookup($A123&amp;$B123,'5) Release_Track'!$F:$F&amp;'5) Release_Track'!$G:$G,1,0)),"NO ISRC-CATALOG ID pair MATCH in Release_Track" )</f>
        <v/>
      </c>
      <c r="F123" s="122"/>
      <c r="G123" s="99"/>
      <c r="H123" s="178"/>
      <c r="I123" s="121" t="str">
        <f t="shared" si="6"/>
        <v/>
      </c>
      <c r="J123" s="99"/>
      <c r="K123" s="99"/>
    </row>
    <row r="124">
      <c r="B124" s="103"/>
      <c r="C124" s="121" t="str">
        <f t="array" ref="C124">ifs(and(isblank($A124),isblank($B124)),"", not(iserror(vlookup($A124&amp;$B124,'5) Release_Track'!$F:$F&amp;'5) Release_Track'!$G:$G,1,0))),vlookup($A124&amp;$B124,{'5) Release_Track'!$F:$F&amp;'5) Release_Track'!$G:$G,'5) Release_Track'!$H:$H},2,0), or(and(not(isblank($B124)),$B124=$B123,$A124&lt;&gt;$A123),and(not(isblank($A124)),$A124=$A123,$B124&lt;&gt;$B123)),"ID LISTS UNALIGNED",and($A124&lt;&gt;"",countif('5) Release_Track'!$F:$F,$A124)=0),"NO ISRC MATCH in Release_Track",and($B124&lt;&gt;"",countif('5) Release_Track'!$G:$G,$B124)=0),"NO CATALOG ID MATCH in Release_Track",iserror(vlookup($A124&amp;$B124,'5) Release_Track'!$F:$F&amp;'5) Release_Track'!$G:$G,1,0)),"NO ISRC-CATALOG ID pair MATCH in Release_Track" )</f>
        <v/>
      </c>
      <c r="D124" s="121" t="str">
        <f t="array" ref="D124">ifs(and(isblank($A124),isblank($B124)),"", not(iserror(vlookup($A124&amp;$B124,'5) Release_Track'!$F:$F&amp;'5) Release_Track'!$G:$G,1,0))),vlookup($A124&amp;$B124,{'5) Release_Track'!$F:$F&amp;'5) Release_Track'!$G:$G,'5) Release_Track'!$I:$I},2,0), or(and(not(isblank($B124)),$B124=$B123,$A124&lt;&gt;$A123),and(not(isblank($A124)),$A124=$A123,$B124&lt;&gt;$B123)),"ID LISTS UNALIGNED",and($A124&lt;&gt;"",countif('5) Release_Track'!$F:$F,$A124)=0),"NO ISRC MATCH in Release_Track",and($B124&lt;&gt;"",countif('5) Release_Track'!$G:$G,$B124)=0),"NO CATALOG ID MATCH in Release_Track",iserror(vlookup($A124&amp;$B124,'5) Release_Track'!$F:$F&amp;'5) Release_Track'!$G:$G,1,0)),"NO ISRC-CATALOG ID pair MATCH in Release_Track" )</f>
        <v/>
      </c>
      <c r="E124" s="125" t="str">
        <f t="array" ref="E124">ifs(and(isblank($A124),isblank($B124)),"", not(iserror(vlookup($A124&amp;$B124,'5) Release_Track'!$F:$F&amp;'5) Release_Track'!$G:$G,1,0))),vlookup($A124&amp;$B124,{'5) Release_Track'!$F:$F&amp;'5) Release_Track'!$G:$G,'5) Release_Track'!$J:$J},2,0), or(and(not(isblank($B124)),$B124=$B123,$A124&lt;&gt;$A123),and(not(isblank($A124)),$A124=$A123,$B124&lt;&gt;$B123)),"ID LISTS UNALIGNED",and($A124&lt;&gt;"",countif('5) Release_Track'!$F:$F,$A124)=0),"NO ISRC MATCH in Release_Track",and($B124&lt;&gt;"",countif('5) Release_Track'!$G:$G,$B124)=0),"NO CATALOG ID MATCH in Release_Track",iserror(vlookup($A124&amp;$B124,'5) Release_Track'!$F:$F&amp;'5) Release_Track'!$G:$G,1,0)),"NO ISRC-CATALOG ID pair MATCH in Release_Track" )</f>
        <v/>
      </c>
      <c r="F124" s="122"/>
      <c r="G124" s="99"/>
      <c r="H124" s="178"/>
      <c r="I124" s="121" t="str">
        <f t="shared" si="6"/>
        <v/>
      </c>
      <c r="J124" s="99"/>
      <c r="K124" s="99"/>
    </row>
    <row r="125">
      <c r="B125" s="103"/>
      <c r="C125" s="121" t="str">
        <f t="array" ref="C125">ifs(and(isblank($A125),isblank($B125)),"", not(iserror(vlookup($A125&amp;$B125,'5) Release_Track'!$F:$F&amp;'5) Release_Track'!$G:$G,1,0))),vlookup($A125&amp;$B125,{'5) Release_Track'!$F:$F&amp;'5) Release_Track'!$G:$G,'5) Release_Track'!$H:$H},2,0), or(and(not(isblank($B125)),$B125=$B124,$A125&lt;&gt;$A124),and(not(isblank($A125)),$A125=$A124,$B125&lt;&gt;$B124)),"ID LISTS UNALIGNED",and($A125&lt;&gt;"",countif('5) Release_Track'!$F:$F,$A125)=0),"NO ISRC MATCH in Release_Track",and($B125&lt;&gt;"",countif('5) Release_Track'!$G:$G,$B125)=0),"NO CATALOG ID MATCH in Release_Track",iserror(vlookup($A125&amp;$B125,'5) Release_Track'!$F:$F&amp;'5) Release_Track'!$G:$G,1,0)),"NO ISRC-CATALOG ID pair MATCH in Release_Track" )</f>
        <v/>
      </c>
      <c r="D125" s="121" t="str">
        <f t="array" ref="D125">ifs(and(isblank($A125),isblank($B125)),"", not(iserror(vlookup($A125&amp;$B125,'5) Release_Track'!$F:$F&amp;'5) Release_Track'!$G:$G,1,0))),vlookup($A125&amp;$B125,{'5) Release_Track'!$F:$F&amp;'5) Release_Track'!$G:$G,'5) Release_Track'!$I:$I},2,0), or(and(not(isblank($B125)),$B125=$B124,$A125&lt;&gt;$A124),and(not(isblank($A125)),$A125=$A124,$B125&lt;&gt;$B124)),"ID LISTS UNALIGNED",and($A125&lt;&gt;"",countif('5) Release_Track'!$F:$F,$A125)=0),"NO ISRC MATCH in Release_Track",and($B125&lt;&gt;"",countif('5) Release_Track'!$G:$G,$B125)=0),"NO CATALOG ID MATCH in Release_Track",iserror(vlookup($A125&amp;$B125,'5) Release_Track'!$F:$F&amp;'5) Release_Track'!$G:$G,1,0)),"NO ISRC-CATALOG ID pair MATCH in Release_Track" )</f>
        <v/>
      </c>
      <c r="E125" s="125" t="str">
        <f t="array" ref="E125">ifs(and(isblank($A125),isblank($B125)),"", not(iserror(vlookup($A125&amp;$B125,'5) Release_Track'!$F:$F&amp;'5) Release_Track'!$G:$G,1,0))),vlookup($A125&amp;$B125,{'5) Release_Track'!$F:$F&amp;'5) Release_Track'!$G:$G,'5) Release_Track'!$J:$J},2,0), or(and(not(isblank($B125)),$B125=$B124,$A125&lt;&gt;$A124),and(not(isblank($A125)),$A125=$A124,$B125&lt;&gt;$B124)),"ID LISTS UNALIGNED",and($A125&lt;&gt;"",countif('5) Release_Track'!$F:$F,$A125)=0),"NO ISRC MATCH in Release_Track",and($B125&lt;&gt;"",countif('5) Release_Track'!$G:$G,$B125)=0),"NO CATALOG ID MATCH in Release_Track",iserror(vlookup($A125&amp;$B125,'5) Release_Track'!$F:$F&amp;'5) Release_Track'!$G:$G,1,0)),"NO ISRC-CATALOG ID pair MATCH in Release_Track" )</f>
        <v/>
      </c>
      <c r="F125" s="122"/>
      <c r="G125" s="99"/>
      <c r="H125" s="178"/>
      <c r="I125" s="121" t="str">
        <f t="shared" si="6"/>
        <v/>
      </c>
      <c r="J125" s="99"/>
      <c r="K125" s="99"/>
    </row>
    <row r="126">
      <c r="B126" s="103"/>
      <c r="C126" s="121" t="str">
        <f t="array" ref="C126">ifs(and(isblank($A126),isblank($B126)),"", not(iserror(vlookup($A126&amp;$B126,'5) Release_Track'!$F:$F&amp;'5) Release_Track'!$G:$G,1,0))),vlookup($A126&amp;$B126,{'5) Release_Track'!$F:$F&amp;'5) Release_Track'!$G:$G,'5) Release_Track'!$H:$H},2,0), or(and(not(isblank($B126)),$B126=$B125,$A126&lt;&gt;$A125),and(not(isblank($A126)),$A126=$A125,$B126&lt;&gt;$B125)),"ID LISTS UNALIGNED",and($A126&lt;&gt;"",countif('5) Release_Track'!$F:$F,$A126)=0),"NO ISRC MATCH in Release_Track",and($B126&lt;&gt;"",countif('5) Release_Track'!$G:$G,$B126)=0),"NO CATALOG ID MATCH in Release_Track",iserror(vlookup($A126&amp;$B126,'5) Release_Track'!$F:$F&amp;'5) Release_Track'!$G:$G,1,0)),"NO ISRC-CATALOG ID pair MATCH in Release_Track" )</f>
        <v/>
      </c>
      <c r="D126" s="121" t="str">
        <f t="array" ref="D126">ifs(and(isblank($A126),isblank($B126)),"", not(iserror(vlookup($A126&amp;$B126,'5) Release_Track'!$F:$F&amp;'5) Release_Track'!$G:$G,1,0))),vlookup($A126&amp;$B126,{'5) Release_Track'!$F:$F&amp;'5) Release_Track'!$G:$G,'5) Release_Track'!$I:$I},2,0), or(and(not(isblank($B126)),$B126=$B125,$A126&lt;&gt;$A125),and(not(isblank($A126)),$A126=$A125,$B126&lt;&gt;$B125)),"ID LISTS UNALIGNED",and($A126&lt;&gt;"",countif('5) Release_Track'!$F:$F,$A126)=0),"NO ISRC MATCH in Release_Track",and($B126&lt;&gt;"",countif('5) Release_Track'!$G:$G,$B126)=0),"NO CATALOG ID MATCH in Release_Track",iserror(vlookup($A126&amp;$B126,'5) Release_Track'!$F:$F&amp;'5) Release_Track'!$G:$G,1,0)),"NO ISRC-CATALOG ID pair MATCH in Release_Track" )</f>
        <v/>
      </c>
      <c r="E126" s="125" t="str">
        <f t="array" ref="E126">ifs(and(isblank($A126),isblank($B126)),"", not(iserror(vlookup($A126&amp;$B126,'5) Release_Track'!$F:$F&amp;'5) Release_Track'!$G:$G,1,0))),vlookup($A126&amp;$B126,{'5) Release_Track'!$F:$F&amp;'5) Release_Track'!$G:$G,'5) Release_Track'!$J:$J},2,0), or(and(not(isblank($B126)),$B126=$B125,$A126&lt;&gt;$A125),and(not(isblank($A126)),$A126=$A125,$B126&lt;&gt;$B125)),"ID LISTS UNALIGNED",and($A126&lt;&gt;"",countif('5) Release_Track'!$F:$F,$A126)=0),"NO ISRC MATCH in Release_Track",and($B126&lt;&gt;"",countif('5) Release_Track'!$G:$G,$B126)=0),"NO CATALOG ID MATCH in Release_Track",iserror(vlookup($A126&amp;$B126,'5) Release_Track'!$F:$F&amp;'5) Release_Track'!$G:$G,1,0)),"NO ISRC-CATALOG ID pair MATCH in Release_Track" )</f>
        <v/>
      </c>
      <c r="F126" s="122"/>
      <c r="G126" s="99"/>
      <c r="H126" s="178"/>
      <c r="I126" s="121" t="str">
        <f t="shared" si="6"/>
        <v/>
      </c>
      <c r="J126" s="99"/>
      <c r="K126" s="99"/>
    </row>
    <row r="127">
      <c r="B127" s="103"/>
      <c r="C127" s="121" t="str">
        <f t="array" ref="C127">ifs(and(isblank($A127),isblank($B127)),"", not(iserror(vlookup($A127&amp;$B127,'5) Release_Track'!$F:$F&amp;'5) Release_Track'!$G:$G,1,0))),vlookup($A127&amp;$B127,{'5) Release_Track'!$F:$F&amp;'5) Release_Track'!$G:$G,'5) Release_Track'!$H:$H},2,0), or(and(not(isblank($B127)),$B127=$B126,$A127&lt;&gt;$A126),and(not(isblank($A127)),$A127=$A126,$B127&lt;&gt;$B126)),"ID LISTS UNALIGNED",and($A127&lt;&gt;"",countif('5) Release_Track'!$F:$F,$A127)=0),"NO ISRC MATCH in Release_Track",and($B127&lt;&gt;"",countif('5) Release_Track'!$G:$G,$B127)=0),"NO CATALOG ID MATCH in Release_Track",iserror(vlookup($A127&amp;$B127,'5) Release_Track'!$F:$F&amp;'5) Release_Track'!$G:$G,1,0)),"NO ISRC-CATALOG ID pair MATCH in Release_Track" )</f>
        <v/>
      </c>
      <c r="D127" s="121" t="str">
        <f t="array" ref="D127">ifs(and(isblank($A127),isblank($B127)),"", not(iserror(vlookup($A127&amp;$B127,'5) Release_Track'!$F:$F&amp;'5) Release_Track'!$G:$G,1,0))),vlookup($A127&amp;$B127,{'5) Release_Track'!$F:$F&amp;'5) Release_Track'!$G:$G,'5) Release_Track'!$I:$I},2,0), or(and(not(isblank($B127)),$B127=$B126,$A127&lt;&gt;$A126),and(not(isblank($A127)),$A127=$A126,$B127&lt;&gt;$B126)),"ID LISTS UNALIGNED",and($A127&lt;&gt;"",countif('5) Release_Track'!$F:$F,$A127)=0),"NO ISRC MATCH in Release_Track",and($B127&lt;&gt;"",countif('5) Release_Track'!$G:$G,$B127)=0),"NO CATALOG ID MATCH in Release_Track",iserror(vlookup($A127&amp;$B127,'5) Release_Track'!$F:$F&amp;'5) Release_Track'!$G:$G,1,0)),"NO ISRC-CATALOG ID pair MATCH in Release_Track" )</f>
        <v/>
      </c>
      <c r="E127" s="125" t="str">
        <f t="array" ref="E127">ifs(and(isblank($A127),isblank($B127)),"", not(iserror(vlookup($A127&amp;$B127,'5) Release_Track'!$F:$F&amp;'5) Release_Track'!$G:$G,1,0))),vlookup($A127&amp;$B127,{'5) Release_Track'!$F:$F&amp;'5) Release_Track'!$G:$G,'5) Release_Track'!$J:$J},2,0), or(and(not(isblank($B127)),$B127=$B126,$A127&lt;&gt;$A126),and(not(isblank($A127)),$A127=$A126,$B127&lt;&gt;$B126)),"ID LISTS UNALIGNED",and($A127&lt;&gt;"",countif('5) Release_Track'!$F:$F,$A127)=0),"NO ISRC MATCH in Release_Track",and($B127&lt;&gt;"",countif('5) Release_Track'!$G:$G,$B127)=0),"NO CATALOG ID MATCH in Release_Track",iserror(vlookup($A127&amp;$B127,'5) Release_Track'!$F:$F&amp;'5) Release_Track'!$G:$G,1,0)),"NO ISRC-CATALOG ID pair MATCH in Release_Track" )</f>
        <v/>
      </c>
      <c r="F127" s="122"/>
      <c r="G127" s="99"/>
      <c r="H127" s="178"/>
      <c r="I127" s="121" t="str">
        <f t="shared" si="6"/>
        <v/>
      </c>
      <c r="J127" s="99"/>
      <c r="K127" s="99"/>
    </row>
    <row r="128">
      <c r="B128" s="103"/>
      <c r="C128" s="121" t="str">
        <f t="array" ref="C128">ifs(and(isblank($A128),isblank($B128)),"", not(iserror(vlookup($A128&amp;$B128,'5) Release_Track'!$F:$F&amp;'5) Release_Track'!$G:$G,1,0))),vlookup($A128&amp;$B128,{'5) Release_Track'!$F:$F&amp;'5) Release_Track'!$G:$G,'5) Release_Track'!$H:$H},2,0), or(and(not(isblank($B128)),$B128=$B127,$A128&lt;&gt;$A127),and(not(isblank($A128)),$A128=$A127,$B128&lt;&gt;$B127)),"ID LISTS UNALIGNED",and($A128&lt;&gt;"",countif('5) Release_Track'!$F:$F,$A128)=0),"NO ISRC MATCH in Release_Track",and($B128&lt;&gt;"",countif('5) Release_Track'!$G:$G,$B128)=0),"NO CATALOG ID MATCH in Release_Track",iserror(vlookup($A128&amp;$B128,'5) Release_Track'!$F:$F&amp;'5) Release_Track'!$G:$G,1,0)),"NO ISRC-CATALOG ID pair MATCH in Release_Track" )</f>
        <v/>
      </c>
      <c r="D128" s="121" t="str">
        <f t="array" ref="D128">ifs(and(isblank($A128),isblank($B128)),"", not(iserror(vlookup($A128&amp;$B128,'5) Release_Track'!$F:$F&amp;'5) Release_Track'!$G:$G,1,0))),vlookup($A128&amp;$B128,{'5) Release_Track'!$F:$F&amp;'5) Release_Track'!$G:$G,'5) Release_Track'!$I:$I},2,0), or(and(not(isblank($B128)),$B128=$B127,$A128&lt;&gt;$A127),and(not(isblank($A128)),$A128=$A127,$B128&lt;&gt;$B127)),"ID LISTS UNALIGNED",and($A128&lt;&gt;"",countif('5) Release_Track'!$F:$F,$A128)=0),"NO ISRC MATCH in Release_Track",and($B128&lt;&gt;"",countif('5) Release_Track'!$G:$G,$B128)=0),"NO CATALOG ID MATCH in Release_Track",iserror(vlookup($A128&amp;$B128,'5) Release_Track'!$F:$F&amp;'5) Release_Track'!$G:$G,1,0)),"NO ISRC-CATALOG ID pair MATCH in Release_Track" )</f>
        <v/>
      </c>
      <c r="E128" s="125" t="str">
        <f t="array" ref="E128">ifs(and(isblank($A128),isblank($B128)),"", not(iserror(vlookup($A128&amp;$B128,'5) Release_Track'!$F:$F&amp;'5) Release_Track'!$G:$G,1,0))),vlookup($A128&amp;$B128,{'5) Release_Track'!$F:$F&amp;'5) Release_Track'!$G:$G,'5) Release_Track'!$J:$J},2,0), or(and(not(isblank($B128)),$B128=$B127,$A128&lt;&gt;$A127),and(not(isblank($A128)),$A128=$A127,$B128&lt;&gt;$B127)),"ID LISTS UNALIGNED",and($A128&lt;&gt;"",countif('5) Release_Track'!$F:$F,$A128)=0),"NO ISRC MATCH in Release_Track",and($B128&lt;&gt;"",countif('5) Release_Track'!$G:$G,$B128)=0),"NO CATALOG ID MATCH in Release_Track",iserror(vlookup($A128&amp;$B128,'5) Release_Track'!$F:$F&amp;'5) Release_Track'!$G:$G,1,0)),"NO ISRC-CATALOG ID pair MATCH in Release_Track" )</f>
        <v/>
      </c>
      <c r="F128" s="122"/>
      <c r="G128" s="99"/>
      <c r="H128" s="178"/>
      <c r="I128" s="121" t="str">
        <f t="shared" si="6"/>
        <v/>
      </c>
      <c r="J128" s="99"/>
      <c r="K128" s="99"/>
    </row>
    <row r="129">
      <c r="B129" s="103"/>
      <c r="C129" s="121" t="str">
        <f t="array" ref="C129">ifs(and(isblank($A129),isblank($B129)),"", not(iserror(vlookup($A129&amp;$B129,'5) Release_Track'!$F:$F&amp;'5) Release_Track'!$G:$G,1,0))),vlookup($A129&amp;$B129,{'5) Release_Track'!$F:$F&amp;'5) Release_Track'!$G:$G,'5) Release_Track'!$H:$H},2,0), or(and(not(isblank($B129)),$B129=$B128,$A129&lt;&gt;$A128),and(not(isblank($A129)),$A129=$A128,$B129&lt;&gt;$B128)),"ID LISTS UNALIGNED",and($A129&lt;&gt;"",countif('5) Release_Track'!$F:$F,$A129)=0),"NO ISRC MATCH in Release_Track",and($B129&lt;&gt;"",countif('5) Release_Track'!$G:$G,$B129)=0),"NO CATALOG ID MATCH in Release_Track",iserror(vlookup($A129&amp;$B129,'5) Release_Track'!$F:$F&amp;'5) Release_Track'!$G:$G,1,0)),"NO ISRC-CATALOG ID pair MATCH in Release_Track" )</f>
        <v/>
      </c>
      <c r="D129" s="121" t="str">
        <f t="array" ref="D129">ifs(and(isblank($A129),isblank($B129)),"", not(iserror(vlookup($A129&amp;$B129,'5) Release_Track'!$F:$F&amp;'5) Release_Track'!$G:$G,1,0))),vlookup($A129&amp;$B129,{'5) Release_Track'!$F:$F&amp;'5) Release_Track'!$G:$G,'5) Release_Track'!$I:$I},2,0), or(and(not(isblank($B129)),$B129=$B128,$A129&lt;&gt;$A128),and(not(isblank($A129)),$A129=$A128,$B129&lt;&gt;$B128)),"ID LISTS UNALIGNED",and($A129&lt;&gt;"",countif('5) Release_Track'!$F:$F,$A129)=0),"NO ISRC MATCH in Release_Track",and($B129&lt;&gt;"",countif('5) Release_Track'!$G:$G,$B129)=0),"NO CATALOG ID MATCH in Release_Track",iserror(vlookup($A129&amp;$B129,'5) Release_Track'!$F:$F&amp;'5) Release_Track'!$G:$G,1,0)),"NO ISRC-CATALOG ID pair MATCH in Release_Track" )</f>
        <v/>
      </c>
      <c r="E129" s="125" t="str">
        <f t="array" ref="E129">ifs(and(isblank($A129),isblank($B129)),"", not(iserror(vlookup($A129&amp;$B129,'5) Release_Track'!$F:$F&amp;'5) Release_Track'!$G:$G,1,0))),vlookup($A129&amp;$B129,{'5) Release_Track'!$F:$F&amp;'5) Release_Track'!$G:$G,'5) Release_Track'!$J:$J},2,0), or(and(not(isblank($B129)),$B129=$B128,$A129&lt;&gt;$A128),and(not(isblank($A129)),$A129=$A128,$B129&lt;&gt;$B128)),"ID LISTS UNALIGNED",and($A129&lt;&gt;"",countif('5) Release_Track'!$F:$F,$A129)=0),"NO ISRC MATCH in Release_Track",and($B129&lt;&gt;"",countif('5) Release_Track'!$G:$G,$B129)=0),"NO CATALOG ID MATCH in Release_Track",iserror(vlookup($A129&amp;$B129,'5) Release_Track'!$F:$F&amp;'5) Release_Track'!$G:$G,1,0)),"NO ISRC-CATALOG ID pair MATCH in Release_Track" )</f>
        <v/>
      </c>
      <c r="F129" s="122"/>
      <c r="G129" s="99"/>
      <c r="H129" s="178"/>
      <c r="I129" s="121" t="str">
        <f t="shared" si="6"/>
        <v/>
      </c>
      <c r="J129" s="99"/>
      <c r="K129" s="99"/>
    </row>
    <row r="130">
      <c r="B130" s="103"/>
      <c r="C130" s="121" t="str">
        <f t="array" ref="C130">ifs(and(isblank($A130),isblank($B130)),"", not(iserror(vlookup($A130&amp;$B130,'5) Release_Track'!$F:$F&amp;'5) Release_Track'!$G:$G,1,0))),vlookup($A130&amp;$B130,{'5) Release_Track'!$F:$F&amp;'5) Release_Track'!$G:$G,'5) Release_Track'!$H:$H},2,0), or(and(not(isblank($B130)),$B130=$B129,$A130&lt;&gt;$A129),and(not(isblank($A130)),$A130=$A129,$B130&lt;&gt;$B129)),"ID LISTS UNALIGNED",and($A130&lt;&gt;"",countif('5) Release_Track'!$F:$F,$A130)=0),"NO ISRC MATCH in Release_Track",and($B130&lt;&gt;"",countif('5) Release_Track'!$G:$G,$B130)=0),"NO CATALOG ID MATCH in Release_Track",iserror(vlookup($A130&amp;$B130,'5) Release_Track'!$F:$F&amp;'5) Release_Track'!$G:$G,1,0)),"NO ISRC-CATALOG ID pair MATCH in Release_Track" )</f>
        <v/>
      </c>
      <c r="D130" s="121" t="str">
        <f t="array" ref="D130">ifs(and(isblank($A130),isblank($B130)),"", not(iserror(vlookup($A130&amp;$B130,'5) Release_Track'!$F:$F&amp;'5) Release_Track'!$G:$G,1,0))),vlookup($A130&amp;$B130,{'5) Release_Track'!$F:$F&amp;'5) Release_Track'!$G:$G,'5) Release_Track'!$I:$I},2,0), or(and(not(isblank($B130)),$B130=$B129,$A130&lt;&gt;$A129),and(not(isblank($A130)),$A130=$A129,$B130&lt;&gt;$B129)),"ID LISTS UNALIGNED",and($A130&lt;&gt;"",countif('5) Release_Track'!$F:$F,$A130)=0),"NO ISRC MATCH in Release_Track",and($B130&lt;&gt;"",countif('5) Release_Track'!$G:$G,$B130)=0),"NO CATALOG ID MATCH in Release_Track",iserror(vlookup($A130&amp;$B130,'5) Release_Track'!$F:$F&amp;'5) Release_Track'!$G:$G,1,0)),"NO ISRC-CATALOG ID pair MATCH in Release_Track" )</f>
        <v/>
      </c>
      <c r="E130" s="125" t="str">
        <f t="array" ref="E130">ifs(and(isblank($A130),isblank($B130)),"", not(iserror(vlookup($A130&amp;$B130,'5) Release_Track'!$F:$F&amp;'5) Release_Track'!$G:$G,1,0))),vlookup($A130&amp;$B130,{'5) Release_Track'!$F:$F&amp;'5) Release_Track'!$G:$G,'5) Release_Track'!$J:$J},2,0), or(and(not(isblank($B130)),$B130=$B129,$A130&lt;&gt;$A129),and(not(isblank($A130)),$A130=$A129,$B130&lt;&gt;$B129)),"ID LISTS UNALIGNED",and($A130&lt;&gt;"",countif('5) Release_Track'!$F:$F,$A130)=0),"NO ISRC MATCH in Release_Track",and($B130&lt;&gt;"",countif('5) Release_Track'!$G:$G,$B130)=0),"NO CATALOG ID MATCH in Release_Track",iserror(vlookup($A130&amp;$B130,'5) Release_Track'!$F:$F&amp;'5) Release_Track'!$G:$G,1,0)),"NO ISRC-CATALOG ID pair MATCH in Release_Track" )</f>
        <v/>
      </c>
      <c r="F130" s="122"/>
      <c r="G130" s="99"/>
      <c r="H130" s="178"/>
      <c r="I130" s="121" t="str">
        <f t="shared" si="6"/>
        <v/>
      </c>
      <c r="J130" s="99"/>
      <c r="K130" s="99"/>
    </row>
    <row r="131">
      <c r="B131" s="103"/>
      <c r="C131" s="121" t="str">
        <f t="array" ref="C131">ifs(and(isblank($A131),isblank($B131)),"", not(iserror(vlookup($A131&amp;$B131,'5) Release_Track'!$F:$F&amp;'5) Release_Track'!$G:$G,1,0))),vlookup($A131&amp;$B131,{'5) Release_Track'!$F:$F&amp;'5) Release_Track'!$G:$G,'5) Release_Track'!$H:$H},2,0), or(and(not(isblank($B131)),$B131=$B130,$A131&lt;&gt;$A130),and(not(isblank($A131)),$A131=$A130,$B131&lt;&gt;$B130)),"ID LISTS UNALIGNED",and($A131&lt;&gt;"",countif('5) Release_Track'!$F:$F,$A131)=0),"NO ISRC MATCH in Release_Track",and($B131&lt;&gt;"",countif('5) Release_Track'!$G:$G,$B131)=0),"NO CATALOG ID MATCH in Release_Track",iserror(vlookup($A131&amp;$B131,'5) Release_Track'!$F:$F&amp;'5) Release_Track'!$G:$G,1,0)),"NO ISRC-CATALOG ID pair MATCH in Release_Track" )</f>
        <v/>
      </c>
      <c r="D131" s="121" t="str">
        <f t="array" ref="D131">ifs(and(isblank($A131),isblank($B131)),"", not(iserror(vlookup($A131&amp;$B131,'5) Release_Track'!$F:$F&amp;'5) Release_Track'!$G:$G,1,0))),vlookup($A131&amp;$B131,{'5) Release_Track'!$F:$F&amp;'5) Release_Track'!$G:$G,'5) Release_Track'!$I:$I},2,0), or(and(not(isblank($B131)),$B131=$B130,$A131&lt;&gt;$A130),and(not(isblank($A131)),$A131=$A130,$B131&lt;&gt;$B130)),"ID LISTS UNALIGNED",and($A131&lt;&gt;"",countif('5) Release_Track'!$F:$F,$A131)=0),"NO ISRC MATCH in Release_Track",and($B131&lt;&gt;"",countif('5) Release_Track'!$G:$G,$B131)=0),"NO CATALOG ID MATCH in Release_Track",iserror(vlookup($A131&amp;$B131,'5) Release_Track'!$F:$F&amp;'5) Release_Track'!$G:$G,1,0)),"NO ISRC-CATALOG ID pair MATCH in Release_Track" )</f>
        <v/>
      </c>
      <c r="E131" s="125" t="str">
        <f t="array" ref="E131">ifs(and(isblank($A131),isblank($B131)),"", not(iserror(vlookup($A131&amp;$B131,'5) Release_Track'!$F:$F&amp;'5) Release_Track'!$G:$G,1,0))),vlookup($A131&amp;$B131,{'5) Release_Track'!$F:$F&amp;'5) Release_Track'!$G:$G,'5) Release_Track'!$J:$J},2,0), or(and(not(isblank($B131)),$B131=$B130,$A131&lt;&gt;$A130),and(not(isblank($A131)),$A131=$A130,$B131&lt;&gt;$B130)),"ID LISTS UNALIGNED",and($A131&lt;&gt;"",countif('5) Release_Track'!$F:$F,$A131)=0),"NO ISRC MATCH in Release_Track",and($B131&lt;&gt;"",countif('5) Release_Track'!$G:$G,$B131)=0),"NO CATALOG ID MATCH in Release_Track",iserror(vlookup($A131&amp;$B131,'5) Release_Track'!$F:$F&amp;'5) Release_Track'!$G:$G,1,0)),"NO ISRC-CATALOG ID pair MATCH in Release_Track" )</f>
        <v/>
      </c>
      <c r="F131" s="122"/>
      <c r="G131" s="99"/>
      <c r="H131" s="178"/>
      <c r="I131" s="121" t="str">
        <f t="shared" si="6"/>
        <v/>
      </c>
      <c r="J131" s="99"/>
      <c r="K131" s="99"/>
    </row>
    <row r="132">
      <c r="B132" s="103"/>
      <c r="C132" s="121" t="str">
        <f t="array" ref="C132">ifs(and(isblank($A132),isblank($B132)),"", not(iserror(vlookup($A132&amp;$B132,'5) Release_Track'!$F:$F&amp;'5) Release_Track'!$G:$G,1,0))),vlookup($A132&amp;$B132,{'5) Release_Track'!$F:$F&amp;'5) Release_Track'!$G:$G,'5) Release_Track'!$H:$H},2,0), or(and(not(isblank($B132)),$B132=$B131,$A132&lt;&gt;$A131),and(not(isblank($A132)),$A132=$A131,$B132&lt;&gt;$B131)),"ID LISTS UNALIGNED",and($A132&lt;&gt;"",countif('5) Release_Track'!$F:$F,$A132)=0),"NO ISRC MATCH in Release_Track",and($B132&lt;&gt;"",countif('5) Release_Track'!$G:$G,$B132)=0),"NO CATALOG ID MATCH in Release_Track",iserror(vlookup($A132&amp;$B132,'5) Release_Track'!$F:$F&amp;'5) Release_Track'!$G:$G,1,0)),"NO ISRC-CATALOG ID pair MATCH in Release_Track" )</f>
        <v/>
      </c>
      <c r="D132" s="121" t="str">
        <f t="array" ref="D132">ifs(and(isblank($A132),isblank($B132)),"", not(iserror(vlookup($A132&amp;$B132,'5) Release_Track'!$F:$F&amp;'5) Release_Track'!$G:$G,1,0))),vlookup($A132&amp;$B132,{'5) Release_Track'!$F:$F&amp;'5) Release_Track'!$G:$G,'5) Release_Track'!$I:$I},2,0), or(and(not(isblank($B132)),$B132=$B131,$A132&lt;&gt;$A131),and(not(isblank($A132)),$A132=$A131,$B132&lt;&gt;$B131)),"ID LISTS UNALIGNED",and($A132&lt;&gt;"",countif('5) Release_Track'!$F:$F,$A132)=0),"NO ISRC MATCH in Release_Track",and($B132&lt;&gt;"",countif('5) Release_Track'!$G:$G,$B132)=0),"NO CATALOG ID MATCH in Release_Track",iserror(vlookup($A132&amp;$B132,'5) Release_Track'!$F:$F&amp;'5) Release_Track'!$G:$G,1,0)),"NO ISRC-CATALOG ID pair MATCH in Release_Track" )</f>
        <v/>
      </c>
      <c r="E132" s="125" t="str">
        <f t="array" ref="E132">ifs(and(isblank($A132),isblank($B132)),"", not(iserror(vlookup($A132&amp;$B132,'5) Release_Track'!$F:$F&amp;'5) Release_Track'!$G:$G,1,0))),vlookup($A132&amp;$B132,{'5) Release_Track'!$F:$F&amp;'5) Release_Track'!$G:$G,'5) Release_Track'!$J:$J},2,0), or(and(not(isblank($B132)),$B132=$B131,$A132&lt;&gt;$A131),and(not(isblank($A132)),$A132=$A131,$B132&lt;&gt;$B131)),"ID LISTS UNALIGNED",and($A132&lt;&gt;"",countif('5) Release_Track'!$F:$F,$A132)=0),"NO ISRC MATCH in Release_Track",and($B132&lt;&gt;"",countif('5) Release_Track'!$G:$G,$B132)=0),"NO CATALOG ID MATCH in Release_Track",iserror(vlookup($A132&amp;$B132,'5) Release_Track'!$F:$F&amp;'5) Release_Track'!$G:$G,1,0)),"NO ISRC-CATALOG ID pair MATCH in Release_Track" )</f>
        <v/>
      </c>
      <c r="F132" s="122"/>
      <c r="G132" s="99"/>
      <c r="H132" s="178"/>
      <c r="I132" s="121" t="str">
        <f t="shared" si="6"/>
        <v/>
      </c>
      <c r="J132" s="99"/>
      <c r="K132" s="99"/>
    </row>
    <row r="133">
      <c r="B133" s="103"/>
      <c r="C133" s="121" t="str">
        <f t="array" ref="C133">ifs(and(isblank($A133),isblank($B133)),"", not(iserror(vlookup($A133&amp;$B133,'5) Release_Track'!$F:$F&amp;'5) Release_Track'!$G:$G,1,0))),vlookup($A133&amp;$B133,{'5) Release_Track'!$F:$F&amp;'5) Release_Track'!$G:$G,'5) Release_Track'!$H:$H},2,0), or(and(not(isblank($B133)),$B133=$B132,$A133&lt;&gt;$A132),and(not(isblank($A133)),$A133=$A132,$B133&lt;&gt;$B132)),"ID LISTS UNALIGNED",and($A133&lt;&gt;"",countif('5) Release_Track'!$F:$F,$A133)=0),"NO ISRC MATCH in Release_Track",and($B133&lt;&gt;"",countif('5) Release_Track'!$G:$G,$B133)=0),"NO CATALOG ID MATCH in Release_Track",iserror(vlookup($A133&amp;$B133,'5) Release_Track'!$F:$F&amp;'5) Release_Track'!$G:$G,1,0)),"NO ISRC-CATALOG ID pair MATCH in Release_Track" )</f>
        <v/>
      </c>
      <c r="D133" s="121" t="str">
        <f t="array" ref="D133">ifs(and(isblank($A133),isblank($B133)),"", not(iserror(vlookup($A133&amp;$B133,'5) Release_Track'!$F:$F&amp;'5) Release_Track'!$G:$G,1,0))),vlookup($A133&amp;$B133,{'5) Release_Track'!$F:$F&amp;'5) Release_Track'!$G:$G,'5) Release_Track'!$I:$I},2,0), or(and(not(isblank($B133)),$B133=$B132,$A133&lt;&gt;$A132),and(not(isblank($A133)),$A133=$A132,$B133&lt;&gt;$B132)),"ID LISTS UNALIGNED",and($A133&lt;&gt;"",countif('5) Release_Track'!$F:$F,$A133)=0),"NO ISRC MATCH in Release_Track",and($B133&lt;&gt;"",countif('5) Release_Track'!$G:$G,$B133)=0),"NO CATALOG ID MATCH in Release_Track",iserror(vlookup($A133&amp;$B133,'5) Release_Track'!$F:$F&amp;'5) Release_Track'!$G:$G,1,0)),"NO ISRC-CATALOG ID pair MATCH in Release_Track" )</f>
        <v/>
      </c>
      <c r="E133" s="125" t="str">
        <f t="array" ref="E133">ifs(and(isblank($A133),isblank($B133)),"", not(iserror(vlookup($A133&amp;$B133,'5) Release_Track'!$F:$F&amp;'5) Release_Track'!$G:$G,1,0))),vlookup($A133&amp;$B133,{'5) Release_Track'!$F:$F&amp;'5) Release_Track'!$G:$G,'5) Release_Track'!$J:$J},2,0), or(and(not(isblank($B133)),$B133=$B132,$A133&lt;&gt;$A132),and(not(isblank($A133)),$A133=$A132,$B133&lt;&gt;$B132)),"ID LISTS UNALIGNED",and($A133&lt;&gt;"",countif('5) Release_Track'!$F:$F,$A133)=0),"NO ISRC MATCH in Release_Track",and($B133&lt;&gt;"",countif('5) Release_Track'!$G:$G,$B133)=0),"NO CATALOG ID MATCH in Release_Track",iserror(vlookup($A133&amp;$B133,'5) Release_Track'!$F:$F&amp;'5) Release_Track'!$G:$G,1,0)),"NO ISRC-CATALOG ID pair MATCH in Release_Track" )</f>
        <v/>
      </c>
      <c r="F133" s="122"/>
      <c r="G133" s="99"/>
      <c r="H133" s="178"/>
      <c r="I133" s="121" t="str">
        <f t="shared" si="6"/>
        <v/>
      </c>
      <c r="J133" s="99"/>
      <c r="K133" s="99"/>
    </row>
    <row r="134">
      <c r="B134" s="103"/>
      <c r="C134" s="121" t="str">
        <f t="array" ref="C134">ifs(and(isblank($A134),isblank($B134)),"", not(iserror(vlookup($A134&amp;$B134,'5) Release_Track'!$F:$F&amp;'5) Release_Track'!$G:$G,1,0))),vlookup($A134&amp;$B134,{'5) Release_Track'!$F:$F&amp;'5) Release_Track'!$G:$G,'5) Release_Track'!$H:$H},2,0), or(and(not(isblank($B134)),$B134=$B133,$A134&lt;&gt;$A133),and(not(isblank($A134)),$A134=$A133,$B134&lt;&gt;$B133)),"ID LISTS UNALIGNED",and($A134&lt;&gt;"",countif('5) Release_Track'!$F:$F,$A134)=0),"NO ISRC MATCH in Release_Track",and($B134&lt;&gt;"",countif('5) Release_Track'!$G:$G,$B134)=0),"NO CATALOG ID MATCH in Release_Track",iserror(vlookup($A134&amp;$B134,'5) Release_Track'!$F:$F&amp;'5) Release_Track'!$G:$G,1,0)),"NO ISRC-CATALOG ID pair MATCH in Release_Track" )</f>
        <v/>
      </c>
      <c r="D134" s="121" t="str">
        <f t="array" ref="D134">ifs(and(isblank($A134),isblank($B134)),"", not(iserror(vlookup($A134&amp;$B134,'5) Release_Track'!$F:$F&amp;'5) Release_Track'!$G:$G,1,0))),vlookup($A134&amp;$B134,{'5) Release_Track'!$F:$F&amp;'5) Release_Track'!$G:$G,'5) Release_Track'!$I:$I},2,0), or(and(not(isblank($B134)),$B134=$B133,$A134&lt;&gt;$A133),and(not(isblank($A134)),$A134=$A133,$B134&lt;&gt;$B133)),"ID LISTS UNALIGNED",and($A134&lt;&gt;"",countif('5) Release_Track'!$F:$F,$A134)=0),"NO ISRC MATCH in Release_Track",and($B134&lt;&gt;"",countif('5) Release_Track'!$G:$G,$B134)=0),"NO CATALOG ID MATCH in Release_Track",iserror(vlookup($A134&amp;$B134,'5) Release_Track'!$F:$F&amp;'5) Release_Track'!$G:$G,1,0)),"NO ISRC-CATALOG ID pair MATCH in Release_Track" )</f>
        <v/>
      </c>
      <c r="E134" s="125" t="str">
        <f t="array" ref="E134">ifs(and(isblank($A134),isblank($B134)),"", not(iserror(vlookup($A134&amp;$B134,'5) Release_Track'!$F:$F&amp;'5) Release_Track'!$G:$G,1,0))),vlookup($A134&amp;$B134,{'5) Release_Track'!$F:$F&amp;'5) Release_Track'!$G:$G,'5) Release_Track'!$J:$J},2,0), or(and(not(isblank($B134)),$B134=$B133,$A134&lt;&gt;$A133),and(not(isblank($A134)),$A134=$A133,$B134&lt;&gt;$B133)),"ID LISTS UNALIGNED",and($A134&lt;&gt;"",countif('5) Release_Track'!$F:$F,$A134)=0),"NO ISRC MATCH in Release_Track",and($B134&lt;&gt;"",countif('5) Release_Track'!$G:$G,$B134)=0),"NO CATALOG ID MATCH in Release_Track",iserror(vlookup($A134&amp;$B134,'5) Release_Track'!$F:$F&amp;'5) Release_Track'!$G:$G,1,0)),"NO ISRC-CATALOG ID pair MATCH in Release_Track" )</f>
        <v/>
      </c>
      <c r="F134" s="122"/>
      <c r="G134" s="99"/>
      <c r="H134" s="178"/>
      <c r="I134" s="121" t="str">
        <f t="shared" si="6"/>
        <v/>
      </c>
      <c r="J134" s="99"/>
      <c r="K134" s="99"/>
    </row>
    <row r="135">
      <c r="B135" s="103"/>
      <c r="C135" s="121" t="str">
        <f t="array" ref="C135">ifs(and(isblank($A135),isblank($B135)),"", not(iserror(vlookup($A135&amp;$B135,'5) Release_Track'!$F:$F&amp;'5) Release_Track'!$G:$G,1,0))),vlookup($A135&amp;$B135,{'5) Release_Track'!$F:$F&amp;'5) Release_Track'!$G:$G,'5) Release_Track'!$H:$H},2,0), or(and(not(isblank($B135)),$B135=$B134,$A135&lt;&gt;$A134),and(not(isblank($A135)),$A135=$A134,$B135&lt;&gt;$B134)),"ID LISTS UNALIGNED",and($A135&lt;&gt;"",countif('5) Release_Track'!$F:$F,$A135)=0),"NO ISRC MATCH in Release_Track",and($B135&lt;&gt;"",countif('5) Release_Track'!$G:$G,$B135)=0),"NO CATALOG ID MATCH in Release_Track",iserror(vlookup($A135&amp;$B135,'5) Release_Track'!$F:$F&amp;'5) Release_Track'!$G:$G,1,0)),"NO ISRC-CATALOG ID pair MATCH in Release_Track" )</f>
        <v/>
      </c>
      <c r="D135" s="121" t="str">
        <f t="array" ref="D135">ifs(and(isblank($A135),isblank($B135)),"", not(iserror(vlookup($A135&amp;$B135,'5) Release_Track'!$F:$F&amp;'5) Release_Track'!$G:$G,1,0))),vlookup($A135&amp;$B135,{'5) Release_Track'!$F:$F&amp;'5) Release_Track'!$G:$G,'5) Release_Track'!$I:$I},2,0), or(and(not(isblank($B135)),$B135=$B134,$A135&lt;&gt;$A134),and(not(isblank($A135)),$A135=$A134,$B135&lt;&gt;$B134)),"ID LISTS UNALIGNED",and($A135&lt;&gt;"",countif('5) Release_Track'!$F:$F,$A135)=0),"NO ISRC MATCH in Release_Track",and($B135&lt;&gt;"",countif('5) Release_Track'!$G:$G,$B135)=0),"NO CATALOG ID MATCH in Release_Track",iserror(vlookup($A135&amp;$B135,'5) Release_Track'!$F:$F&amp;'5) Release_Track'!$G:$G,1,0)),"NO ISRC-CATALOG ID pair MATCH in Release_Track" )</f>
        <v/>
      </c>
      <c r="E135" s="125" t="str">
        <f t="array" ref="E135">ifs(and(isblank($A135),isblank($B135)),"", not(iserror(vlookup($A135&amp;$B135,'5) Release_Track'!$F:$F&amp;'5) Release_Track'!$G:$G,1,0))),vlookup($A135&amp;$B135,{'5) Release_Track'!$F:$F&amp;'5) Release_Track'!$G:$G,'5) Release_Track'!$J:$J},2,0), or(and(not(isblank($B135)),$B135=$B134,$A135&lt;&gt;$A134),and(not(isblank($A135)),$A135=$A134,$B135&lt;&gt;$B134)),"ID LISTS UNALIGNED",and($A135&lt;&gt;"",countif('5) Release_Track'!$F:$F,$A135)=0),"NO ISRC MATCH in Release_Track",and($B135&lt;&gt;"",countif('5) Release_Track'!$G:$G,$B135)=0),"NO CATALOG ID MATCH in Release_Track",iserror(vlookup($A135&amp;$B135,'5) Release_Track'!$F:$F&amp;'5) Release_Track'!$G:$G,1,0)),"NO ISRC-CATALOG ID pair MATCH in Release_Track" )</f>
        <v/>
      </c>
      <c r="F135" s="122"/>
      <c r="G135" s="99"/>
      <c r="H135" s="178"/>
      <c r="I135" s="121" t="str">
        <f t="shared" si="6"/>
        <v/>
      </c>
      <c r="J135" s="99"/>
      <c r="K135" s="99"/>
    </row>
    <row r="136">
      <c r="B136" s="103"/>
      <c r="C136" s="121" t="str">
        <f t="array" ref="C136">ifs(and(isblank($A136),isblank($B136)),"", not(iserror(vlookup($A136&amp;$B136,'5) Release_Track'!$F:$F&amp;'5) Release_Track'!$G:$G,1,0))),vlookup($A136&amp;$B136,{'5) Release_Track'!$F:$F&amp;'5) Release_Track'!$G:$G,'5) Release_Track'!$H:$H},2,0), or(and(not(isblank($B136)),$B136=$B135,$A136&lt;&gt;$A135),and(not(isblank($A136)),$A136=$A135,$B136&lt;&gt;$B135)),"ID LISTS UNALIGNED",and($A136&lt;&gt;"",countif('5) Release_Track'!$F:$F,$A136)=0),"NO ISRC MATCH in Release_Track",and($B136&lt;&gt;"",countif('5) Release_Track'!$G:$G,$B136)=0),"NO CATALOG ID MATCH in Release_Track",iserror(vlookup($A136&amp;$B136,'5) Release_Track'!$F:$F&amp;'5) Release_Track'!$G:$G,1,0)),"NO ISRC-CATALOG ID pair MATCH in Release_Track" )</f>
        <v/>
      </c>
      <c r="D136" s="121" t="str">
        <f t="array" ref="D136">ifs(and(isblank($A136),isblank($B136)),"", not(iserror(vlookup($A136&amp;$B136,'5) Release_Track'!$F:$F&amp;'5) Release_Track'!$G:$G,1,0))),vlookup($A136&amp;$B136,{'5) Release_Track'!$F:$F&amp;'5) Release_Track'!$G:$G,'5) Release_Track'!$I:$I},2,0), or(and(not(isblank($B136)),$B136=$B135,$A136&lt;&gt;$A135),and(not(isblank($A136)),$A136=$A135,$B136&lt;&gt;$B135)),"ID LISTS UNALIGNED",and($A136&lt;&gt;"",countif('5) Release_Track'!$F:$F,$A136)=0),"NO ISRC MATCH in Release_Track",and($B136&lt;&gt;"",countif('5) Release_Track'!$G:$G,$B136)=0),"NO CATALOG ID MATCH in Release_Track",iserror(vlookup($A136&amp;$B136,'5) Release_Track'!$F:$F&amp;'5) Release_Track'!$G:$G,1,0)),"NO ISRC-CATALOG ID pair MATCH in Release_Track" )</f>
        <v/>
      </c>
      <c r="E136" s="125" t="str">
        <f t="array" ref="E136">ifs(and(isblank($A136),isblank($B136)),"", not(iserror(vlookup($A136&amp;$B136,'5) Release_Track'!$F:$F&amp;'5) Release_Track'!$G:$G,1,0))),vlookup($A136&amp;$B136,{'5) Release_Track'!$F:$F&amp;'5) Release_Track'!$G:$G,'5) Release_Track'!$J:$J},2,0), or(and(not(isblank($B136)),$B136=$B135,$A136&lt;&gt;$A135),and(not(isblank($A136)),$A136=$A135,$B136&lt;&gt;$B135)),"ID LISTS UNALIGNED",and($A136&lt;&gt;"",countif('5) Release_Track'!$F:$F,$A136)=0),"NO ISRC MATCH in Release_Track",and($B136&lt;&gt;"",countif('5) Release_Track'!$G:$G,$B136)=0),"NO CATALOG ID MATCH in Release_Track",iserror(vlookup($A136&amp;$B136,'5) Release_Track'!$F:$F&amp;'5) Release_Track'!$G:$G,1,0)),"NO ISRC-CATALOG ID pair MATCH in Release_Track" )</f>
        <v/>
      </c>
      <c r="F136" s="122"/>
      <c r="G136" s="99"/>
      <c r="H136" s="178"/>
      <c r="I136" s="121" t="str">
        <f t="shared" si="6"/>
        <v/>
      </c>
      <c r="J136" s="99"/>
      <c r="K136" s="99"/>
    </row>
    <row r="137">
      <c r="B137" s="103"/>
      <c r="C137" s="121" t="str">
        <f t="array" ref="C137">ifs(and(isblank($A137),isblank($B137)),"", not(iserror(vlookup($A137&amp;$B137,'5) Release_Track'!$F:$F&amp;'5) Release_Track'!$G:$G,1,0))),vlookup($A137&amp;$B137,{'5) Release_Track'!$F:$F&amp;'5) Release_Track'!$G:$G,'5) Release_Track'!$H:$H},2,0), or(and(not(isblank($B137)),$B137=$B136,$A137&lt;&gt;$A136),and(not(isblank($A137)),$A137=$A136,$B137&lt;&gt;$B136)),"ID LISTS UNALIGNED",and($A137&lt;&gt;"",countif('5) Release_Track'!$F:$F,$A137)=0),"NO ISRC MATCH in Release_Track",and($B137&lt;&gt;"",countif('5) Release_Track'!$G:$G,$B137)=0),"NO CATALOG ID MATCH in Release_Track",iserror(vlookup($A137&amp;$B137,'5) Release_Track'!$F:$F&amp;'5) Release_Track'!$G:$G,1,0)),"NO ISRC-CATALOG ID pair MATCH in Release_Track" )</f>
        <v/>
      </c>
      <c r="D137" s="121" t="str">
        <f t="array" ref="D137">ifs(and(isblank($A137),isblank($B137)),"", not(iserror(vlookup($A137&amp;$B137,'5) Release_Track'!$F:$F&amp;'5) Release_Track'!$G:$G,1,0))),vlookup($A137&amp;$B137,{'5) Release_Track'!$F:$F&amp;'5) Release_Track'!$G:$G,'5) Release_Track'!$I:$I},2,0), or(and(not(isblank($B137)),$B137=$B136,$A137&lt;&gt;$A136),and(not(isblank($A137)),$A137=$A136,$B137&lt;&gt;$B136)),"ID LISTS UNALIGNED",and($A137&lt;&gt;"",countif('5) Release_Track'!$F:$F,$A137)=0),"NO ISRC MATCH in Release_Track",and($B137&lt;&gt;"",countif('5) Release_Track'!$G:$G,$B137)=0),"NO CATALOG ID MATCH in Release_Track",iserror(vlookup($A137&amp;$B137,'5) Release_Track'!$F:$F&amp;'5) Release_Track'!$G:$G,1,0)),"NO ISRC-CATALOG ID pair MATCH in Release_Track" )</f>
        <v/>
      </c>
      <c r="E137" s="125" t="str">
        <f t="array" ref="E137">ifs(and(isblank($A137),isblank($B137)),"", not(iserror(vlookup($A137&amp;$B137,'5) Release_Track'!$F:$F&amp;'5) Release_Track'!$G:$G,1,0))),vlookup($A137&amp;$B137,{'5) Release_Track'!$F:$F&amp;'5) Release_Track'!$G:$G,'5) Release_Track'!$J:$J},2,0), or(and(not(isblank($B137)),$B137=$B136,$A137&lt;&gt;$A136),and(not(isblank($A137)),$A137=$A136,$B137&lt;&gt;$B136)),"ID LISTS UNALIGNED",and($A137&lt;&gt;"",countif('5) Release_Track'!$F:$F,$A137)=0),"NO ISRC MATCH in Release_Track",and($B137&lt;&gt;"",countif('5) Release_Track'!$G:$G,$B137)=0),"NO CATALOG ID MATCH in Release_Track",iserror(vlookup($A137&amp;$B137,'5) Release_Track'!$F:$F&amp;'5) Release_Track'!$G:$G,1,0)),"NO ISRC-CATALOG ID pair MATCH in Release_Track" )</f>
        <v/>
      </c>
      <c r="F137" s="122"/>
      <c r="G137" s="99"/>
      <c r="H137" s="178"/>
      <c r="I137" s="121" t="str">
        <f t="shared" si="6"/>
        <v/>
      </c>
      <c r="J137" s="99"/>
      <c r="K137" s="99"/>
    </row>
    <row r="138">
      <c r="B138" s="103"/>
      <c r="C138" s="121" t="str">
        <f t="array" ref="C138">ifs(and(isblank($A138),isblank($B138)),"", not(iserror(vlookup($A138&amp;$B138,'5) Release_Track'!$F:$F&amp;'5) Release_Track'!$G:$G,1,0))),vlookup($A138&amp;$B138,{'5) Release_Track'!$F:$F&amp;'5) Release_Track'!$G:$G,'5) Release_Track'!$H:$H},2,0), or(and(not(isblank($B138)),$B138=$B137,$A138&lt;&gt;$A137),and(not(isblank($A138)),$A138=$A137,$B138&lt;&gt;$B137)),"ID LISTS UNALIGNED",and($A138&lt;&gt;"",countif('5) Release_Track'!$F:$F,$A138)=0),"NO ISRC MATCH in Release_Track",and($B138&lt;&gt;"",countif('5) Release_Track'!$G:$G,$B138)=0),"NO CATALOG ID MATCH in Release_Track",iserror(vlookup($A138&amp;$B138,'5) Release_Track'!$F:$F&amp;'5) Release_Track'!$G:$G,1,0)),"NO ISRC-CATALOG ID pair MATCH in Release_Track" )</f>
        <v/>
      </c>
      <c r="D138" s="121" t="str">
        <f t="array" ref="D138">ifs(and(isblank($A138),isblank($B138)),"", not(iserror(vlookup($A138&amp;$B138,'5) Release_Track'!$F:$F&amp;'5) Release_Track'!$G:$G,1,0))),vlookup($A138&amp;$B138,{'5) Release_Track'!$F:$F&amp;'5) Release_Track'!$G:$G,'5) Release_Track'!$I:$I},2,0), or(and(not(isblank($B138)),$B138=$B137,$A138&lt;&gt;$A137),and(not(isblank($A138)),$A138=$A137,$B138&lt;&gt;$B137)),"ID LISTS UNALIGNED",and($A138&lt;&gt;"",countif('5) Release_Track'!$F:$F,$A138)=0),"NO ISRC MATCH in Release_Track",and($B138&lt;&gt;"",countif('5) Release_Track'!$G:$G,$B138)=0),"NO CATALOG ID MATCH in Release_Track",iserror(vlookup($A138&amp;$B138,'5) Release_Track'!$F:$F&amp;'5) Release_Track'!$G:$G,1,0)),"NO ISRC-CATALOG ID pair MATCH in Release_Track" )</f>
        <v/>
      </c>
      <c r="E138" s="125" t="str">
        <f t="array" ref="E138">ifs(and(isblank($A138),isblank($B138)),"", not(iserror(vlookup($A138&amp;$B138,'5) Release_Track'!$F:$F&amp;'5) Release_Track'!$G:$G,1,0))),vlookup($A138&amp;$B138,{'5) Release_Track'!$F:$F&amp;'5) Release_Track'!$G:$G,'5) Release_Track'!$J:$J},2,0), or(and(not(isblank($B138)),$B138=$B137,$A138&lt;&gt;$A137),and(not(isblank($A138)),$A138=$A137,$B138&lt;&gt;$B137)),"ID LISTS UNALIGNED",and($A138&lt;&gt;"",countif('5) Release_Track'!$F:$F,$A138)=0),"NO ISRC MATCH in Release_Track",and($B138&lt;&gt;"",countif('5) Release_Track'!$G:$G,$B138)=0),"NO CATALOG ID MATCH in Release_Track",iserror(vlookup($A138&amp;$B138,'5) Release_Track'!$F:$F&amp;'5) Release_Track'!$G:$G,1,0)),"NO ISRC-CATALOG ID pair MATCH in Release_Track" )</f>
        <v/>
      </c>
      <c r="F138" s="122"/>
      <c r="G138" s="99"/>
      <c r="H138" s="178"/>
      <c r="I138" s="121" t="str">
        <f t="shared" si="6"/>
        <v/>
      </c>
      <c r="J138" s="99"/>
      <c r="K138" s="99"/>
    </row>
    <row r="139">
      <c r="B139" s="103"/>
      <c r="C139" s="121" t="str">
        <f t="array" ref="C139">ifs(and(isblank($A139),isblank($B139)),"", not(iserror(vlookup($A139&amp;$B139,'5) Release_Track'!$F:$F&amp;'5) Release_Track'!$G:$G,1,0))),vlookup($A139&amp;$B139,{'5) Release_Track'!$F:$F&amp;'5) Release_Track'!$G:$G,'5) Release_Track'!$H:$H},2,0), or(and(not(isblank($B139)),$B139=$B138,$A139&lt;&gt;$A138),and(not(isblank($A139)),$A139=$A138,$B139&lt;&gt;$B138)),"ID LISTS UNALIGNED",and($A139&lt;&gt;"",countif('5) Release_Track'!$F:$F,$A139)=0),"NO ISRC MATCH in Release_Track",and($B139&lt;&gt;"",countif('5) Release_Track'!$G:$G,$B139)=0),"NO CATALOG ID MATCH in Release_Track",iserror(vlookup($A139&amp;$B139,'5) Release_Track'!$F:$F&amp;'5) Release_Track'!$G:$G,1,0)),"NO ISRC-CATALOG ID pair MATCH in Release_Track" )</f>
        <v/>
      </c>
      <c r="D139" s="121" t="str">
        <f t="array" ref="D139">ifs(and(isblank($A139),isblank($B139)),"", not(iserror(vlookup($A139&amp;$B139,'5) Release_Track'!$F:$F&amp;'5) Release_Track'!$G:$G,1,0))),vlookup($A139&amp;$B139,{'5) Release_Track'!$F:$F&amp;'5) Release_Track'!$G:$G,'5) Release_Track'!$I:$I},2,0), or(and(not(isblank($B139)),$B139=$B138,$A139&lt;&gt;$A138),and(not(isblank($A139)),$A139=$A138,$B139&lt;&gt;$B138)),"ID LISTS UNALIGNED",and($A139&lt;&gt;"",countif('5) Release_Track'!$F:$F,$A139)=0),"NO ISRC MATCH in Release_Track",and($B139&lt;&gt;"",countif('5) Release_Track'!$G:$G,$B139)=0),"NO CATALOG ID MATCH in Release_Track",iserror(vlookup($A139&amp;$B139,'5) Release_Track'!$F:$F&amp;'5) Release_Track'!$G:$G,1,0)),"NO ISRC-CATALOG ID pair MATCH in Release_Track" )</f>
        <v/>
      </c>
      <c r="E139" s="125" t="str">
        <f t="array" ref="E139">ifs(and(isblank($A139),isblank($B139)),"", not(iserror(vlookup($A139&amp;$B139,'5) Release_Track'!$F:$F&amp;'5) Release_Track'!$G:$G,1,0))),vlookup($A139&amp;$B139,{'5) Release_Track'!$F:$F&amp;'5) Release_Track'!$G:$G,'5) Release_Track'!$J:$J},2,0), or(and(not(isblank($B139)),$B139=$B138,$A139&lt;&gt;$A138),and(not(isblank($A139)),$A139=$A138,$B139&lt;&gt;$B138)),"ID LISTS UNALIGNED",and($A139&lt;&gt;"",countif('5) Release_Track'!$F:$F,$A139)=0),"NO ISRC MATCH in Release_Track",and($B139&lt;&gt;"",countif('5) Release_Track'!$G:$G,$B139)=0),"NO CATALOG ID MATCH in Release_Track",iserror(vlookup($A139&amp;$B139,'5) Release_Track'!$F:$F&amp;'5) Release_Track'!$G:$G,1,0)),"NO ISRC-CATALOG ID pair MATCH in Release_Track" )</f>
        <v/>
      </c>
      <c r="F139" s="122"/>
      <c r="G139" s="99"/>
      <c r="H139" s="178"/>
      <c r="I139" s="121" t="str">
        <f t="shared" si="6"/>
        <v/>
      </c>
      <c r="J139" s="99"/>
      <c r="K139" s="99"/>
    </row>
    <row r="140">
      <c r="B140" s="103"/>
      <c r="C140" s="121" t="str">
        <f t="array" ref="C140">ifs(and(isblank($A140),isblank($B140)),"", not(iserror(vlookup($A140&amp;$B140,'5) Release_Track'!$F:$F&amp;'5) Release_Track'!$G:$G,1,0))),vlookup($A140&amp;$B140,{'5) Release_Track'!$F:$F&amp;'5) Release_Track'!$G:$G,'5) Release_Track'!$H:$H},2,0), or(and(not(isblank($B140)),$B140=$B139,$A140&lt;&gt;$A139),and(not(isblank($A140)),$A140=$A139,$B140&lt;&gt;$B139)),"ID LISTS UNALIGNED",and($A140&lt;&gt;"",countif('5) Release_Track'!$F:$F,$A140)=0),"NO ISRC MATCH in Release_Track",and($B140&lt;&gt;"",countif('5) Release_Track'!$G:$G,$B140)=0),"NO CATALOG ID MATCH in Release_Track",iserror(vlookup($A140&amp;$B140,'5) Release_Track'!$F:$F&amp;'5) Release_Track'!$G:$G,1,0)),"NO ISRC-CATALOG ID pair MATCH in Release_Track" )</f>
        <v/>
      </c>
      <c r="D140" s="121" t="str">
        <f t="array" ref="D140">ifs(and(isblank($A140),isblank($B140)),"", not(iserror(vlookup($A140&amp;$B140,'5) Release_Track'!$F:$F&amp;'5) Release_Track'!$G:$G,1,0))),vlookup($A140&amp;$B140,{'5) Release_Track'!$F:$F&amp;'5) Release_Track'!$G:$G,'5) Release_Track'!$I:$I},2,0), or(and(not(isblank($B140)),$B140=$B139,$A140&lt;&gt;$A139),and(not(isblank($A140)),$A140=$A139,$B140&lt;&gt;$B139)),"ID LISTS UNALIGNED",and($A140&lt;&gt;"",countif('5) Release_Track'!$F:$F,$A140)=0),"NO ISRC MATCH in Release_Track",and($B140&lt;&gt;"",countif('5) Release_Track'!$G:$G,$B140)=0),"NO CATALOG ID MATCH in Release_Track",iserror(vlookup($A140&amp;$B140,'5) Release_Track'!$F:$F&amp;'5) Release_Track'!$G:$G,1,0)),"NO ISRC-CATALOG ID pair MATCH in Release_Track" )</f>
        <v/>
      </c>
      <c r="E140" s="125" t="str">
        <f t="array" ref="E140">ifs(and(isblank($A140),isblank($B140)),"", not(iserror(vlookup($A140&amp;$B140,'5) Release_Track'!$F:$F&amp;'5) Release_Track'!$G:$G,1,0))),vlookup($A140&amp;$B140,{'5) Release_Track'!$F:$F&amp;'5) Release_Track'!$G:$G,'5) Release_Track'!$J:$J},2,0), or(and(not(isblank($B140)),$B140=$B139,$A140&lt;&gt;$A139),and(not(isblank($A140)),$A140=$A139,$B140&lt;&gt;$B139)),"ID LISTS UNALIGNED",and($A140&lt;&gt;"",countif('5) Release_Track'!$F:$F,$A140)=0),"NO ISRC MATCH in Release_Track",and($B140&lt;&gt;"",countif('5) Release_Track'!$G:$G,$B140)=0),"NO CATALOG ID MATCH in Release_Track",iserror(vlookup($A140&amp;$B140,'5) Release_Track'!$F:$F&amp;'5) Release_Track'!$G:$G,1,0)),"NO ISRC-CATALOG ID pair MATCH in Release_Track" )</f>
        <v/>
      </c>
      <c r="F140" s="122"/>
      <c r="G140" s="99"/>
      <c r="H140" s="178"/>
      <c r="I140" s="121" t="str">
        <f t="shared" si="6"/>
        <v/>
      </c>
      <c r="J140" s="99"/>
      <c r="K140" s="99"/>
    </row>
    <row r="141">
      <c r="B141" s="103"/>
      <c r="C141" s="121" t="str">
        <f t="array" ref="C141">ifs(and(isblank($A141),isblank($B141)),"", not(iserror(vlookup($A141&amp;$B141,'5) Release_Track'!$F:$F&amp;'5) Release_Track'!$G:$G,1,0))),vlookup($A141&amp;$B141,{'5) Release_Track'!$F:$F&amp;'5) Release_Track'!$G:$G,'5) Release_Track'!$H:$H},2,0), or(and(not(isblank($B141)),$B141=$B140,$A141&lt;&gt;$A140),and(not(isblank($A141)),$A141=$A140,$B141&lt;&gt;$B140)),"ID LISTS UNALIGNED",and($A141&lt;&gt;"",countif('5) Release_Track'!$F:$F,$A141)=0),"NO ISRC MATCH in Release_Track",and($B141&lt;&gt;"",countif('5) Release_Track'!$G:$G,$B141)=0),"NO CATALOG ID MATCH in Release_Track",iserror(vlookup($A141&amp;$B141,'5) Release_Track'!$F:$F&amp;'5) Release_Track'!$G:$G,1,0)),"NO ISRC-CATALOG ID pair MATCH in Release_Track" )</f>
        <v/>
      </c>
      <c r="D141" s="121" t="str">
        <f t="array" ref="D141">ifs(and(isblank($A141),isblank($B141)),"", not(iserror(vlookup($A141&amp;$B141,'5) Release_Track'!$F:$F&amp;'5) Release_Track'!$G:$G,1,0))),vlookup($A141&amp;$B141,{'5) Release_Track'!$F:$F&amp;'5) Release_Track'!$G:$G,'5) Release_Track'!$I:$I},2,0), or(and(not(isblank($B141)),$B141=$B140,$A141&lt;&gt;$A140),and(not(isblank($A141)),$A141=$A140,$B141&lt;&gt;$B140)),"ID LISTS UNALIGNED",and($A141&lt;&gt;"",countif('5) Release_Track'!$F:$F,$A141)=0),"NO ISRC MATCH in Release_Track",and($B141&lt;&gt;"",countif('5) Release_Track'!$G:$G,$B141)=0),"NO CATALOG ID MATCH in Release_Track",iserror(vlookup($A141&amp;$B141,'5) Release_Track'!$F:$F&amp;'5) Release_Track'!$G:$G,1,0)),"NO ISRC-CATALOG ID pair MATCH in Release_Track" )</f>
        <v/>
      </c>
      <c r="E141" s="125" t="str">
        <f t="array" ref="E141">ifs(and(isblank($A141),isblank($B141)),"", not(iserror(vlookup($A141&amp;$B141,'5) Release_Track'!$F:$F&amp;'5) Release_Track'!$G:$G,1,0))),vlookup($A141&amp;$B141,{'5) Release_Track'!$F:$F&amp;'5) Release_Track'!$G:$G,'5) Release_Track'!$J:$J},2,0), or(and(not(isblank($B141)),$B141=$B140,$A141&lt;&gt;$A140),and(not(isblank($A141)),$A141=$A140,$B141&lt;&gt;$B140)),"ID LISTS UNALIGNED",and($A141&lt;&gt;"",countif('5) Release_Track'!$F:$F,$A141)=0),"NO ISRC MATCH in Release_Track",and($B141&lt;&gt;"",countif('5) Release_Track'!$G:$G,$B141)=0),"NO CATALOG ID MATCH in Release_Track",iserror(vlookup($A141&amp;$B141,'5) Release_Track'!$F:$F&amp;'5) Release_Track'!$G:$G,1,0)),"NO ISRC-CATALOG ID pair MATCH in Release_Track" )</f>
        <v/>
      </c>
      <c r="F141" s="122"/>
      <c r="G141" s="99"/>
      <c r="H141" s="178"/>
      <c r="I141" s="121" t="str">
        <f t="shared" si="6"/>
        <v/>
      </c>
      <c r="J141" s="99"/>
      <c r="K141" s="99"/>
    </row>
    <row r="142">
      <c r="B142" s="103"/>
      <c r="C142" s="121" t="str">
        <f t="array" ref="C142">ifs(and(isblank($A142),isblank($B142)),"", not(iserror(vlookup($A142&amp;$B142,'5) Release_Track'!$F:$F&amp;'5) Release_Track'!$G:$G,1,0))),vlookup($A142&amp;$B142,{'5) Release_Track'!$F:$F&amp;'5) Release_Track'!$G:$G,'5) Release_Track'!$H:$H},2,0), or(and(not(isblank($B142)),$B142=$B141,$A142&lt;&gt;$A141),and(not(isblank($A142)),$A142=$A141,$B142&lt;&gt;$B141)),"ID LISTS UNALIGNED",and($A142&lt;&gt;"",countif('5) Release_Track'!$F:$F,$A142)=0),"NO ISRC MATCH in Release_Track",and($B142&lt;&gt;"",countif('5) Release_Track'!$G:$G,$B142)=0),"NO CATALOG ID MATCH in Release_Track",iserror(vlookup($A142&amp;$B142,'5) Release_Track'!$F:$F&amp;'5) Release_Track'!$G:$G,1,0)),"NO ISRC-CATALOG ID pair MATCH in Release_Track" )</f>
        <v/>
      </c>
      <c r="D142" s="121" t="str">
        <f t="array" ref="D142">ifs(and(isblank($A142),isblank($B142)),"", not(iserror(vlookup($A142&amp;$B142,'5) Release_Track'!$F:$F&amp;'5) Release_Track'!$G:$G,1,0))),vlookup($A142&amp;$B142,{'5) Release_Track'!$F:$F&amp;'5) Release_Track'!$G:$G,'5) Release_Track'!$I:$I},2,0), or(and(not(isblank($B142)),$B142=$B141,$A142&lt;&gt;$A141),and(not(isblank($A142)),$A142=$A141,$B142&lt;&gt;$B141)),"ID LISTS UNALIGNED",and($A142&lt;&gt;"",countif('5) Release_Track'!$F:$F,$A142)=0),"NO ISRC MATCH in Release_Track",and($B142&lt;&gt;"",countif('5) Release_Track'!$G:$G,$B142)=0),"NO CATALOG ID MATCH in Release_Track",iserror(vlookup($A142&amp;$B142,'5) Release_Track'!$F:$F&amp;'5) Release_Track'!$G:$G,1,0)),"NO ISRC-CATALOG ID pair MATCH in Release_Track" )</f>
        <v/>
      </c>
      <c r="E142" s="125" t="str">
        <f t="array" ref="E142">ifs(and(isblank($A142),isblank($B142)),"", not(iserror(vlookup($A142&amp;$B142,'5) Release_Track'!$F:$F&amp;'5) Release_Track'!$G:$G,1,0))),vlookup($A142&amp;$B142,{'5) Release_Track'!$F:$F&amp;'5) Release_Track'!$G:$G,'5) Release_Track'!$J:$J},2,0), or(and(not(isblank($B142)),$B142=$B141,$A142&lt;&gt;$A141),and(not(isblank($A142)),$A142=$A141,$B142&lt;&gt;$B141)),"ID LISTS UNALIGNED",and($A142&lt;&gt;"",countif('5) Release_Track'!$F:$F,$A142)=0),"NO ISRC MATCH in Release_Track",and($B142&lt;&gt;"",countif('5) Release_Track'!$G:$G,$B142)=0),"NO CATALOG ID MATCH in Release_Track",iserror(vlookup($A142&amp;$B142,'5) Release_Track'!$F:$F&amp;'5) Release_Track'!$G:$G,1,0)),"NO ISRC-CATALOG ID pair MATCH in Release_Track" )</f>
        <v/>
      </c>
      <c r="F142" s="122"/>
      <c r="G142" s="99"/>
      <c r="H142" s="178"/>
      <c r="I142" s="121" t="str">
        <f t="shared" si="6"/>
        <v/>
      </c>
      <c r="J142" s="99"/>
      <c r="K142" s="99"/>
    </row>
    <row r="143">
      <c r="B143" s="103"/>
      <c r="C143" s="121" t="str">
        <f t="array" ref="C143">ifs(and(isblank($A143),isblank($B143)),"", not(iserror(vlookup($A143&amp;$B143,'5) Release_Track'!$F:$F&amp;'5) Release_Track'!$G:$G,1,0))),vlookup($A143&amp;$B143,{'5) Release_Track'!$F:$F&amp;'5) Release_Track'!$G:$G,'5) Release_Track'!$H:$H},2,0), or(and(not(isblank($B143)),$B143=$B142,$A143&lt;&gt;$A142),and(not(isblank($A143)),$A143=$A142,$B143&lt;&gt;$B142)),"ID LISTS UNALIGNED",and($A143&lt;&gt;"",countif('5) Release_Track'!$F:$F,$A143)=0),"NO ISRC MATCH in Release_Track",and($B143&lt;&gt;"",countif('5) Release_Track'!$G:$G,$B143)=0),"NO CATALOG ID MATCH in Release_Track",iserror(vlookup($A143&amp;$B143,'5) Release_Track'!$F:$F&amp;'5) Release_Track'!$G:$G,1,0)),"NO ISRC-CATALOG ID pair MATCH in Release_Track" )</f>
        <v/>
      </c>
      <c r="D143" s="121" t="str">
        <f t="array" ref="D143">ifs(and(isblank($A143),isblank($B143)),"", not(iserror(vlookup($A143&amp;$B143,'5) Release_Track'!$F:$F&amp;'5) Release_Track'!$G:$G,1,0))),vlookup($A143&amp;$B143,{'5) Release_Track'!$F:$F&amp;'5) Release_Track'!$G:$G,'5) Release_Track'!$I:$I},2,0), or(and(not(isblank($B143)),$B143=$B142,$A143&lt;&gt;$A142),and(not(isblank($A143)),$A143=$A142,$B143&lt;&gt;$B142)),"ID LISTS UNALIGNED",and($A143&lt;&gt;"",countif('5) Release_Track'!$F:$F,$A143)=0),"NO ISRC MATCH in Release_Track",and($B143&lt;&gt;"",countif('5) Release_Track'!$G:$G,$B143)=0),"NO CATALOG ID MATCH in Release_Track",iserror(vlookup($A143&amp;$B143,'5) Release_Track'!$F:$F&amp;'5) Release_Track'!$G:$G,1,0)),"NO ISRC-CATALOG ID pair MATCH in Release_Track" )</f>
        <v/>
      </c>
      <c r="E143" s="125" t="str">
        <f t="array" ref="E143">ifs(and(isblank($A143),isblank($B143)),"", not(iserror(vlookup($A143&amp;$B143,'5) Release_Track'!$F:$F&amp;'5) Release_Track'!$G:$G,1,0))),vlookup($A143&amp;$B143,{'5) Release_Track'!$F:$F&amp;'5) Release_Track'!$G:$G,'5) Release_Track'!$J:$J},2,0), or(and(not(isblank($B143)),$B143=$B142,$A143&lt;&gt;$A142),and(not(isblank($A143)),$A143=$A142,$B143&lt;&gt;$B142)),"ID LISTS UNALIGNED",and($A143&lt;&gt;"",countif('5) Release_Track'!$F:$F,$A143)=0),"NO ISRC MATCH in Release_Track",and($B143&lt;&gt;"",countif('5) Release_Track'!$G:$G,$B143)=0),"NO CATALOG ID MATCH in Release_Track",iserror(vlookup($A143&amp;$B143,'5) Release_Track'!$F:$F&amp;'5) Release_Track'!$G:$G,1,0)),"NO ISRC-CATALOG ID pair MATCH in Release_Track" )</f>
        <v/>
      </c>
      <c r="F143" s="122"/>
      <c r="G143" s="99"/>
      <c r="H143" s="178"/>
      <c r="I143" s="121" t="str">
        <f t="shared" si="6"/>
        <v/>
      </c>
      <c r="J143" s="99"/>
      <c r="K143" s="99"/>
    </row>
    <row r="144">
      <c r="B144" s="103"/>
      <c r="C144" s="121" t="str">
        <f t="array" ref="C144">ifs(and(isblank($A144),isblank($B144)),"", not(iserror(vlookup($A144&amp;$B144,'5) Release_Track'!$F:$F&amp;'5) Release_Track'!$G:$G,1,0))),vlookup($A144&amp;$B144,{'5) Release_Track'!$F:$F&amp;'5) Release_Track'!$G:$G,'5) Release_Track'!$H:$H},2,0), or(and(not(isblank($B144)),$B144=$B143,$A144&lt;&gt;$A143),and(not(isblank($A144)),$A144=$A143,$B144&lt;&gt;$B143)),"ID LISTS UNALIGNED",and($A144&lt;&gt;"",countif('5) Release_Track'!$F:$F,$A144)=0),"NO ISRC MATCH in Release_Track",and($B144&lt;&gt;"",countif('5) Release_Track'!$G:$G,$B144)=0),"NO CATALOG ID MATCH in Release_Track",iserror(vlookup($A144&amp;$B144,'5) Release_Track'!$F:$F&amp;'5) Release_Track'!$G:$G,1,0)),"NO ISRC-CATALOG ID pair MATCH in Release_Track" )</f>
        <v/>
      </c>
      <c r="D144" s="121" t="str">
        <f t="array" ref="D144">ifs(and(isblank($A144),isblank($B144)),"", not(iserror(vlookup($A144&amp;$B144,'5) Release_Track'!$F:$F&amp;'5) Release_Track'!$G:$G,1,0))),vlookup($A144&amp;$B144,{'5) Release_Track'!$F:$F&amp;'5) Release_Track'!$G:$G,'5) Release_Track'!$I:$I},2,0), or(and(not(isblank($B144)),$B144=$B143,$A144&lt;&gt;$A143),and(not(isblank($A144)),$A144=$A143,$B144&lt;&gt;$B143)),"ID LISTS UNALIGNED",and($A144&lt;&gt;"",countif('5) Release_Track'!$F:$F,$A144)=0),"NO ISRC MATCH in Release_Track",and($B144&lt;&gt;"",countif('5) Release_Track'!$G:$G,$B144)=0),"NO CATALOG ID MATCH in Release_Track",iserror(vlookup($A144&amp;$B144,'5) Release_Track'!$F:$F&amp;'5) Release_Track'!$G:$G,1,0)),"NO ISRC-CATALOG ID pair MATCH in Release_Track" )</f>
        <v/>
      </c>
      <c r="E144" s="125" t="str">
        <f t="array" ref="E144">ifs(and(isblank($A144),isblank($B144)),"", not(iserror(vlookup($A144&amp;$B144,'5) Release_Track'!$F:$F&amp;'5) Release_Track'!$G:$G,1,0))),vlookup($A144&amp;$B144,{'5) Release_Track'!$F:$F&amp;'5) Release_Track'!$G:$G,'5) Release_Track'!$J:$J},2,0), or(and(not(isblank($B144)),$B144=$B143,$A144&lt;&gt;$A143),and(not(isblank($A144)),$A144=$A143,$B144&lt;&gt;$B143)),"ID LISTS UNALIGNED",and($A144&lt;&gt;"",countif('5) Release_Track'!$F:$F,$A144)=0),"NO ISRC MATCH in Release_Track",and($B144&lt;&gt;"",countif('5) Release_Track'!$G:$G,$B144)=0),"NO CATALOG ID MATCH in Release_Track",iserror(vlookup($A144&amp;$B144,'5) Release_Track'!$F:$F&amp;'5) Release_Track'!$G:$G,1,0)),"NO ISRC-CATALOG ID pair MATCH in Release_Track" )</f>
        <v/>
      </c>
      <c r="F144" s="122"/>
      <c r="G144" s="99"/>
      <c r="H144" s="178"/>
      <c r="I144" s="121" t="str">
        <f t="shared" si="6"/>
        <v/>
      </c>
      <c r="J144" s="99"/>
      <c r="K144" s="99"/>
    </row>
    <row r="145">
      <c r="B145" s="103"/>
      <c r="C145" s="121" t="str">
        <f t="array" ref="C145">ifs(and(isblank($A145),isblank($B145)),"", not(iserror(vlookup($A145&amp;$B145,'5) Release_Track'!$F:$F&amp;'5) Release_Track'!$G:$G,1,0))),vlookup($A145&amp;$B145,{'5) Release_Track'!$F:$F&amp;'5) Release_Track'!$G:$G,'5) Release_Track'!$H:$H},2,0), or(and(not(isblank($B145)),$B145=$B144,$A145&lt;&gt;$A144),and(not(isblank($A145)),$A145=$A144,$B145&lt;&gt;$B144)),"ID LISTS UNALIGNED",and($A145&lt;&gt;"",countif('5) Release_Track'!$F:$F,$A145)=0),"NO ISRC MATCH in Release_Track",and($B145&lt;&gt;"",countif('5) Release_Track'!$G:$G,$B145)=0),"NO CATALOG ID MATCH in Release_Track",iserror(vlookup($A145&amp;$B145,'5) Release_Track'!$F:$F&amp;'5) Release_Track'!$G:$G,1,0)),"NO ISRC-CATALOG ID pair MATCH in Release_Track" )</f>
        <v/>
      </c>
      <c r="D145" s="121" t="str">
        <f t="array" ref="D145">ifs(and(isblank($A145),isblank($B145)),"", not(iserror(vlookup($A145&amp;$B145,'5) Release_Track'!$F:$F&amp;'5) Release_Track'!$G:$G,1,0))),vlookup($A145&amp;$B145,{'5) Release_Track'!$F:$F&amp;'5) Release_Track'!$G:$G,'5) Release_Track'!$I:$I},2,0), or(and(not(isblank($B145)),$B145=$B144,$A145&lt;&gt;$A144),and(not(isblank($A145)),$A145=$A144,$B145&lt;&gt;$B144)),"ID LISTS UNALIGNED",and($A145&lt;&gt;"",countif('5) Release_Track'!$F:$F,$A145)=0),"NO ISRC MATCH in Release_Track",and($B145&lt;&gt;"",countif('5) Release_Track'!$G:$G,$B145)=0),"NO CATALOG ID MATCH in Release_Track",iserror(vlookup($A145&amp;$B145,'5) Release_Track'!$F:$F&amp;'5) Release_Track'!$G:$G,1,0)),"NO ISRC-CATALOG ID pair MATCH in Release_Track" )</f>
        <v/>
      </c>
      <c r="E145" s="125" t="str">
        <f t="array" ref="E145">ifs(and(isblank($A145),isblank($B145)),"", not(iserror(vlookup($A145&amp;$B145,'5) Release_Track'!$F:$F&amp;'5) Release_Track'!$G:$G,1,0))),vlookup($A145&amp;$B145,{'5) Release_Track'!$F:$F&amp;'5) Release_Track'!$G:$G,'5) Release_Track'!$J:$J},2,0), or(and(not(isblank($B145)),$B145=$B144,$A145&lt;&gt;$A144),and(not(isblank($A145)),$A145=$A144,$B145&lt;&gt;$B144)),"ID LISTS UNALIGNED",and($A145&lt;&gt;"",countif('5) Release_Track'!$F:$F,$A145)=0),"NO ISRC MATCH in Release_Track",and($B145&lt;&gt;"",countif('5) Release_Track'!$G:$G,$B145)=0),"NO CATALOG ID MATCH in Release_Track",iserror(vlookup($A145&amp;$B145,'5) Release_Track'!$F:$F&amp;'5) Release_Track'!$G:$G,1,0)),"NO ISRC-CATALOG ID pair MATCH in Release_Track" )</f>
        <v/>
      </c>
      <c r="F145" s="122"/>
      <c r="G145" s="99"/>
      <c r="H145" s="178"/>
      <c r="I145" s="121" t="str">
        <f t="shared" si="6"/>
        <v/>
      </c>
      <c r="J145" s="99"/>
      <c r="K145" s="99"/>
    </row>
    <row r="146">
      <c r="B146" s="103"/>
      <c r="C146" s="121" t="str">
        <f t="array" ref="C146">ifs(and(isblank($A146),isblank($B146)),"", not(iserror(vlookup($A146&amp;$B146,'5) Release_Track'!$F:$F&amp;'5) Release_Track'!$G:$G,1,0))),vlookup($A146&amp;$B146,{'5) Release_Track'!$F:$F&amp;'5) Release_Track'!$G:$G,'5) Release_Track'!$H:$H},2,0), or(and(not(isblank($B146)),$B146=$B145,$A146&lt;&gt;$A145),and(not(isblank($A146)),$A146=$A145,$B146&lt;&gt;$B145)),"ID LISTS UNALIGNED",and($A146&lt;&gt;"",countif('5) Release_Track'!$F:$F,$A146)=0),"NO ISRC MATCH in Release_Track",and($B146&lt;&gt;"",countif('5) Release_Track'!$G:$G,$B146)=0),"NO CATALOG ID MATCH in Release_Track",iserror(vlookup($A146&amp;$B146,'5) Release_Track'!$F:$F&amp;'5) Release_Track'!$G:$G,1,0)),"NO ISRC-CATALOG ID pair MATCH in Release_Track" )</f>
        <v/>
      </c>
      <c r="D146" s="121" t="str">
        <f t="array" ref="D146">ifs(and(isblank($A146),isblank($B146)),"", not(iserror(vlookup($A146&amp;$B146,'5) Release_Track'!$F:$F&amp;'5) Release_Track'!$G:$G,1,0))),vlookup($A146&amp;$B146,{'5) Release_Track'!$F:$F&amp;'5) Release_Track'!$G:$G,'5) Release_Track'!$I:$I},2,0), or(and(not(isblank($B146)),$B146=$B145,$A146&lt;&gt;$A145),and(not(isblank($A146)),$A146=$A145,$B146&lt;&gt;$B145)),"ID LISTS UNALIGNED",and($A146&lt;&gt;"",countif('5) Release_Track'!$F:$F,$A146)=0),"NO ISRC MATCH in Release_Track",and($B146&lt;&gt;"",countif('5) Release_Track'!$G:$G,$B146)=0),"NO CATALOG ID MATCH in Release_Track",iserror(vlookup($A146&amp;$B146,'5) Release_Track'!$F:$F&amp;'5) Release_Track'!$G:$G,1,0)),"NO ISRC-CATALOG ID pair MATCH in Release_Track" )</f>
        <v/>
      </c>
      <c r="E146" s="125" t="str">
        <f t="array" ref="E146">ifs(and(isblank($A146),isblank($B146)),"", not(iserror(vlookup($A146&amp;$B146,'5) Release_Track'!$F:$F&amp;'5) Release_Track'!$G:$G,1,0))),vlookup($A146&amp;$B146,{'5) Release_Track'!$F:$F&amp;'5) Release_Track'!$G:$G,'5) Release_Track'!$J:$J},2,0), or(and(not(isblank($B146)),$B146=$B145,$A146&lt;&gt;$A145),and(not(isblank($A146)),$A146=$A145,$B146&lt;&gt;$B145)),"ID LISTS UNALIGNED",and($A146&lt;&gt;"",countif('5) Release_Track'!$F:$F,$A146)=0),"NO ISRC MATCH in Release_Track",and($B146&lt;&gt;"",countif('5) Release_Track'!$G:$G,$B146)=0),"NO CATALOG ID MATCH in Release_Track",iserror(vlookup($A146&amp;$B146,'5) Release_Track'!$F:$F&amp;'5) Release_Track'!$G:$G,1,0)),"NO ISRC-CATALOG ID pair MATCH in Release_Track" )</f>
        <v/>
      </c>
      <c r="F146" s="122"/>
      <c r="G146" s="99"/>
      <c r="H146" s="178"/>
      <c r="I146" s="121" t="str">
        <f t="shared" si="6"/>
        <v/>
      </c>
      <c r="J146" s="99"/>
      <c r="K146" s="99"/>
    </row>
    <row r="147">
      <c r="B147" s="103"/>
      <c r="C147" s="121" t="str">
        <f t="array" ref="C147">ifs(and(isblank($A147),isblank($B147)),"", not(iserror(vlookup($A147&amp;$B147,'5) Release_Track'!$F:$F&amp;'5) Release_Track'!$G:$G,1,0))),vlookup($A147&amp;$B147,{'5) Release_Track'!$F:$F&amp;'5) Release_Track'!$G:$G,'5) Release_Track'!$H:$H},2,0), or(and(not(isblank($B147)),$B147=$B146,$A147&lt;&gt;$A146),and(not(isblank($A147)),$A147=$A146,$B147&lt;&gt;$B146)),"ID LISTS UNALIGNED",and($A147&lt;&gt;"",countif('5) Release_Track'!$F:$F,$A147)=0),"NO ISRC MATCH in Release_Track",and($B147&lt;&gt;"",countif('5) Release_Track'!$G:$G,$B147)=0),"NO CATALOG ID MATCH in Release_Track",iserror(vlookup($A147&amp;$B147,'5) Release_Track'!$F:$F&amp;'5) Release_Track'!$G:$G,1,0)),"NO ISRC-CATALOG ID pair MATCH in Release_Track" )</f>
        <v/>
      </c>
      <c r="D147" s="121" t="str">
        <f t="array" ref="D147">ifs(and(isblank($A147),isblank($B147)),"", not(iserror(vlookup($A147&amp;$B147,'5) Release_Track'!$F:$F&amp;'5) Release_Track'!$G:$G,1,0))),vlookup($A147&amp;$B147,{'5) Release_Track'!$F:$F&amp;'5) Release_Track'!$G:$G,'5) Release_Track'!$I:$I},2,0), or(and(not(isblank($B147)),$B147=$B146,$A147&lt;&gt;$A146),and(not(isblank($A147)),$A147=$A146,$B147&lt;&gt;$B146)),"ID LISTS UNALIGNED",and($A147&lt;&gt;"",countif('5) Release_Track'!$F:$F,$A147)=0),"NO ISRC MATCH in Release_Track",and($B147&lt;&gt;"",countif('5) Release_Track'!$G:$G,$B147)=0),"NO CATALOG ID MATCH in Release_Track",iserror(vlookup($A147&amp;$B147,'5) Release_Track'!$F:$F&amp;'5) Release_Track'!$G:$G,1,0)),"NO ISRC-CATALOG ID pair MATCH in Release_Track" )</f>
        <v/>
      </c>
      <c r="E147" s="125" t="str">
        <f t="array" ref="E147">ifs(and(isblank($A147),isblank($B147)),"", not(iserror(vlookup($A147&amp;$B147,'5) Release_Track'!$F:$F&amp;'5) Release_Track'!$G:$G,1,0))),vlookup($A147&amp;$B147,{'5) Release_Track'!$F:$F&amp;'5) Release_Track'!$G:$G,'5) Release_Track'!$J:$J},2,0), or(and(not(isblank($B147)),$B147=$B146,$A147&lt;&gt;$A146),and(not(isblank($A147)),$A147=$A146,$B147&lt;&gt;$B146)),"ID LISTS UNALIGNED",and($A147&lt;&gt;"",countif('5) Release_Track'!$F:$F,$A147)=0),"NO ISRC MATCH in Release_Track",and($B147&lt;&gt;"",countif('5) Release_Track'!$G:$G,$B147)=0),"NO CATALOG ID MATCH in Release_Track",iserror(vlookup($A147&amp;$B147,'5) Release_Track'!$F:$F&amp;'5) Release_Track'!$G:$G,1,0)),"NO ISRC-CATALOG ID pair MATCH in Release_Track" )</f>
        <v/>
      </c>
      <c r="F147" s="122"/>
      <c r="G147" s="99"/>
      <c r="H147" s="178"/>
      <c r="I147" s="121" t="str">
        <f t="shared" si="6"/>
        <v/>
      </c>
      <c r="J147" s="99"/>
      <c r="K147" s="99"/>
    </row>
    <row r="148">
      <c r="B148" s="103"/>
      <c r="C148" s="121" t="str">
        <f t="array" ref="C148">ifs(and(isblank($A148),isblank($B148)),"", not(iserror(vlookup($A148&amp;$B148,'5) Release_Track'!$F:$F&amp;'5) Release_Track'!$G:$G,1,0))),vlookup($A148&amp;$B148,{'5) Release_Track'!$F:$F&amp;'5) Release_Track'!$G:$G,'5) Release_Track'!$H:$H},2,0), or(and(not(isblank($B148)),$B148=$B147,$A148&lt;&gt;$A147),and(not(isblank($A148)),$A148=$A147,$B148&lt;&gt;$B147)),"ID LISTS UNALIGNED",and($A148&lt;&gt;"",countif('5) Release_Track'!$F:$F,$A148)=0),"NO ISRC MATCH in Release_Track",and($B148&lt;&gt;"",countif('5) Release_Track'!$G:$G,$B148)=0),"NO CATALOG ID MATCH in Release_Track",iserror(vlookup($A148&amp;$B148,'5) Release_Track'!$F:$F&amp;'5) Release_Track'!$G:$G,1,0)),"NO ISRC-CATALOG ID pair MATCH in Release_Track" )</f>
        <v/>
      </c>
      <c r="D148" s="121" t="str">
        <f t="array" ref="D148">ifs(and(isblank($A148),isblank($B148)),"", not(iserror(vlookup($A148&amp;$B148,'5) Release_Track'!$F:$F&amp;'5) Release_Track'!$G:$G,1,0))),vlookup($A148&amp;$B148,{'5) Release_Track'!$F:$F&amp;'5) Release_Track'!$G:$G,'5) Release_Track'!$I:$I},2,0), or(and(not(isblank($B148)),$B148=$B147,$A148&lt;&gt;$A147),and(not(isblank($A148)),$A148=$A147,$B148&lt;&gt;$B147)),"ID LISTS UNALIGNED",and($A148&lt;&gt;"",countif('5) Release_Track'!$F:$F,$A148)=0),"NO ISRC MATCH in Release_Track",and($B148&lt;&gt;"",countif('5) Release_Track'!$G:$G,$B148)=0),"NO CATALOG ID MATCH in Release_Track",iserror(vlookup($A148&amp;$B148,'5) Release_Track'!$F:$F&amp;'5) Release_Track'!$G:$G,1,0)),"NO ISRC-CATALOG ID pair MATCH in Release_Track" )</f>
        <v/>
      </c>
      <c r="E148" s="125" t="str">
        <f t="array" ref="E148">ifs(and(isblank($A148),isblank($B148)),"", not(iserror(vlookup($A148&amp;$B148,'5) Release_Track'!$F:$F&amp;'5) Release_Track'!$G:$G,1,0))),vlookup($A148&amp;$B148,{'5) Release_Track'!$F:$F&amp;'5) Release_Track'!$G:$G,'5) Release_Track'!$J:$J},2,0), or(and(not(isblank($B148)),$B148=$B147,$A148&lt;&gt;$A147),and(not(isblank($A148)),$A148=$A147,$B148&lt;&gt;$B147)),"ID LISTS UNALIGNED",and($A148&lt;&gt;"",countif('5) Release_Track'!$F:$F,$A148)=0),"NO ISRC MATCH in Release_Track",and($B148&lt;&gt;"",countif('5) Release_Track'!$G:$G,$B148)=0),"NO CATALOG ID MATCH in Release_Track",iserror(vlookup($A148&amp;$B148,'5) Release_Track'!$F:$F&amp;'5) Release_Track'!$G:$G,1,0)),"NO ISRC-CATALOG ID pair MATCH in Release_Track" )</f>
        <v/>
      </c>
      <c r="F148" s="122"/>
      <c r="G148" s="99"/>
      <c r="H148" s="178"/>
      <c r="I148" s="121" t="str">
        <f t="shared" si="6"/>
        <v/>
      </c>
      <c r="J148" s="99"/>
      <c r="K148" s="99"/>
    </row>
    <row r="149">
      <c r="B149" s="103"/>
      <c r="C149" s="121" t="str">
        <f t="array" ref="C149">ifs(and(isblank($A149),isblank($B149)),"", not(iserror(vlookup($A149&amp;$B149,'5) Release_Track'!$F:$F&amp;'5) Release_Track'!$G:$G,1,0))),vlookup($A149&amp;$B149,{'5) Release_Track'!$F:$F&amp;'5) Release_Track'!$G:$G,'5) Release_Track'!$H:$H},2,0), or(and(not(isblank($B149)),$B149=$B148,$A149&lt;&gt;$A148),and(not(isblank($A149)),$A149=$A148,$B149&lt;&gt;$B148)),"ID LISTS UNALIGNED",and($A149&lt;&gt;"",countif('5) Release_Track'!$F:$F,$A149)=0),"NO ISRC MATCH in Release_Track",and($B149&lt;&gt;"",countif('5) Release_Track'!$G:$G,$B149)=0),"NO CATALOG ID MATCH in Release_Track",iserror(vlookup($A149&amp;$B149,'5) Release_Track'!$F:$F&amp;'5) Release_Track'!$G:$G,1,0)),"NO ISRC-CATALOG ID pair MATCH in Release_Track" )</f>
        <v/>
      </c>
      <c r="D149" s="121" t="str">
        <f t="array" ref="D149">ifs(and(isblank($A149),isblank($B149)),"", not(iserror(vlookup($A149&amp;$B149,'5) Release_Track'!$F:$F&amp;'5) Release_Track'!$G:$G,1,0))),vlookup($A149&amp;$B149,{'5) Release_Track'!$F:$F&amp;'5) Release_Track'!$G:$G,'5) Release_Track'!$I:$I},2,0), or(and(not(isblank($B149)),$B149=$B148,$A149&lt;&gt;$A148),and(not(isblank($A149)),$A149=$A148,$B149&lt;&gt;$B148)),"ID LISTS UNALIGNED",and($A149&lt;&gt;"",countif('5) Release_Track'!$F:$F,$A149)=0),"NO ISRC MATCH in Release_Track",and($B149&lt;&gt;"",countif('5) Release_Track'!$G:$G,$B149)=0),"NO CATALOG ID MATCH in Release_Track",iserror(vlookup($A149&amp;$B149,'5) Release_Track'!$F:$F&amp;'5) Release_Track'!$G:$G,1,0)),"NO ISRC-CATALOG ID pair MATCH in Release_Track" )</f>
        <v/>
      </c>
      <c r="E149" s="125" t="str">
        <f t="array" ref="E149">ifs(and(isblank($A149),isblank($B149)),"", not(iserror(vlookup($A149&amp;$B149,'5) Release_Track'!$F:$F&amp;'5) Release_Track'!$G:$G,1,0))),vlookup($A149&amp;$B149,{'5) Release_Track'!$F:$F&amp;'5) Release_Track'!$G:$G,'5) Release_Track'!$J:$J},2,0), or(and(not(isblank($B149)),$B149=$B148,$A149&lt;&gt;$A148),and(not(isblank($A149)),$A149=$A148,$B149&lt;&gt;$B148)),"ID LISTS UNALIGNED",and($A149&lt;&gt;"",countif('5) Release_Track'!$F:$F,$A149)=0),"NO ISRC MATCH in Release_Track",and($B149&lt;&gt;"",countif('5) Release_Track'!$G:$G,$B149)=0),"NO CATALOG ID MATCH in Release_Track",iserror(vlookup($A149&amp;$B149,'5) Release_Track'!$F:$F&amp;'5) Release_Track'!$G:$G,1,0)),"NO ISRC-CATALOG ID pair MATCH in Release_Track" )</f>
        <v/>
      </c>
      <c r="F149" s="122"/>
      <c r="G149" s="99"/>
      <c r="H149" s="178"/>
      <c r="I149" s="121" t="str">
        <f t="shared" si="6"/>
        <v/>
      </c>
      <c r="J149" s="99"/>
      <c r="K149" s="99"/>
    </row>
    <row r="150">
      <c r="B150" s="103"/>
      <c r="C150" s="121" t="str">
        <f t="array" ref="C150">ifs(and(isblank($A150),isblank($B150)),"", not(iserror(vlookup($A150&amp;$B150,'5) Release_Track'!$F:$F&amp;'5) Release_Track'!$G:$G,1,0))),vlookup($A150&amp;$B150,{'5) Release_Track'!$F:$F&amp;'5) Release_Track'!$G:$G,'5) Release_Track'!$H:$H},2,0), or(and(not(isblank($B150)),$B150=$B149,$A150&lt;&gt;$A149),and(not(isblank($A150)),$A150=$A149,$B150&lt;&gt;$B149)),"ID LISTS UNALIGNED",and($A150&lt;&gt;"",countif('5) Release_Track'!$F:$F,$A150)=0),"NO ISRC MATCH in Release_Track",and($B150&lt;&gt;"",countif('5) Release_Track'!$G:$G,$B150)=0),"NO CATALOG ID MATCH in Release_Track",iserror(vlookup($A150&amp;$B150,'5) Release_Track'!$F:$F&amp;'5) Release_Track'!$G:$G,1,0)),"NO ISRC-CATALOG ID pair MATCH in Release_Track" )</f>
        <v/>
      </c>
      <c r="D150" s="121" t="str">
        <f t="array" ref="D150">ifs(and(isblank($A150),isblank($B150)),"", not(iserror(vlookup($A150&amp;$B150,'5) Release_Track'!$F:$F&amp;'5) Release_Track'!$G:$G,1,0))),vlookup($A150&amp;$B150,{'5) Release_Track'!$F:$F&amp;'5) Release_Track'!$G:$G,'5) Release_Track'!$I:$I},2,0), or(and(not(isblank($B150)),$B150=$B149,$A150&lt;&gt;$A149),and(not(isblank($A150)),$A150=$A149,$B150&lt;&gt;$B149)),"ID LISTS UNALIGNED",and($A150&lt;&gt;"",countif('5) Release_Track'!$F:$F,$A150)=0),"NO ISRC MATCH in Release_Track",and($B150&lt;&gt;"",countif('5) Release_Track'!$G:$G,$B150)=0),"NO CATALOG ID MATCH in Release_Track",iserror(vlookup($A150&amp;$B150,'5) Release_Track'!$F:$F&amp;'5) Release_Track'!$G:$G,1,0)),"NO ISRC-CATALOG ID pair MATCH in Release_Track" )</f>
        <v/>
      </c>
      <c r="E150" s="125" t="str">
        <f t="array" ref="E150">ifs(and(isblank($A150),isblank($B150)),"", not(iserror(vlookup($A150&amp;$B150,'5) Release_Track'!$F:$F&amp;'5) Release_Track'!$G:$G,1,0))),vlookup($A150&amp;$B150,{'5) Release_Track'!$F:$F&amp;'5) Release_Track'!$G:$G,'5) Release_Track'!$J:$J},2,0), or(and(not(isblank($B150)),$B150=$B149,$A150&lt;&gt;$A149),and(not(isblank($A150)),$A150=$A149,$B150&lt;&gt;$B149)),"ID LISTS UNALIGNED",and($A150&lt;&gt;"",countif('5) Release_Track'!$F:$F,$A150)=0),"NO ISRC MATCH in Release_Track",and($B150&lt;&gt;"",countif('5) Release_Track'!$G:$G,$B150)=0),"NO CATALOG ID MATCH in Release_Track",iserror(vlookup($A150&amp;$B150,'5) Release_Track'!$F:$F&amp;'5) Release_Track'!$G:$G,1,0)),"NO ISRC-CATALOG ID pair MATCH in Release_Track" )</f>
        <v/>
      </c>
      <c r="F150" s="122"/>
      <c r="G150" s="99"/>
      <c r="H150" s="178"/>
      <c r="I150" s="121" t="str">
        <f t="shared" si="6"/>
        <v/>
      </c>
      <c r="J150" s="99"/>
      <c r="K150" s="99"/>
    </row>
    <row r="151">
      <c r="B151" s="103"/>
      <c r="C151" s="121" t="str">
        <f t="array" ref="C151">ifs(and(isblank($A151),isblank($B151)),"", not(iserror(vlookup($A151&amp;$B151,'5) Release_Track'!$F:$F&amp;'5) Release_Track'!$G:$G,1,0))),vlookup($A151&amp;$B151,{'5) Release_Track'!$F:$F&amp;'5) Release_Track'!$G:$G,'5) Release_Track'!$H:$H},2,0), or(and(not(isblank($B151)),$B151=$B150,$A151&lt;&gt;$A150),and(not(isblank($A151)),$A151=$A150,$B151&lt;&gt;$B150)),"ID LISTS UNALIGNED",and($A151&lt;&gt;"",countif('5) Release_Track'!$F:$F,$A151)=0),"NO ISRC MATCH in Release_Track",and($B151&lt;&gt;"",countif('5) Release_Track'!$G:$G,$B151)=0),"NO CATALOG ID MATCH in Release_Track",iserror(vlookup($A151&amp;$B151,'5) Release_Track'!$F:$F&amp;'5) Release_Track'!$G:$G,1,0)),"NO ISRC-CATALOG ID pair MATCH in Release_Track" )</f>
        <v/>
      </c>
      <c r="D151" s="121" t="str">
        <f t="array" ref="D151">ifs(and(isblank($A151),isblank($B151)),"", not(iserror(vlookup($A151&amp;$B151,'5) Release_Track'!$F:$F&amp;'5) Release_Track'!$G:$G,1,0))),vlookup($A151&amp;$B151,{'5) Release_Track'!$F:$F&amp;'5) Release_Track'!$G:$G,'5) Release_Track'!$I:$I},2,0), or(and(not(isblank($B151)),$B151=$B150,$A151&lt;&gt;$A150),and(not(isblank($A151)),$A151=$A150,$B151&lt;&gt;$B150)),"ID LISTS UNALIGNED",and($A151&lt;&gt;"",countif('5) Release_Track'!$F:$F,$A151)=0),"NO ISRC MATCH in Release_Track",and($B151&lt;&gt;"",countif('5) Release_Track'!$G:$G,$B151)=0),"NO CATALOG ID MATCH in Release_Track",iserror(vlookup($A151&amp;$B151,'5) Release_Track'!$F:$F&amp;'5) Release_Track'!$G:$G,1,0)),"NO ISRC-CATALOG ID pair MATCH in Release_Track" )</f>
        <v/>
      </c>
      <c r="E151" s="125" t="str">
        <f t="array" ref="E151">ifs(and(isblank($A151),isblank($B151)),"", not(iserror(vlookup($A151&amp;$B151,'5) Release_Track'!$F:$F&amp;'5) Release_Track'!$G:$G,1,0))),vlookup($A151&amp;$B151,{'5) Release_Track'!$F:$F&amp;'5) Release_Track'!$G:$G,'5) Release_Track'!$J:$J},2,0), or(and(not(isblank($B151)),$B151=$B150,$A151&lt;&gt;$A150),and(not(isblank($A151)),$A151=$A150,$B151&lt;&gt;$B150)),"ID LISTS UNALIGNED",and($A151&lt;&gt;"",countif('5) Release_Track'!$F:$F,$A151)=0),"NO ISRC MATCH in Release_Track",and($B151&lt;&gt;"",countif('5) Release_Track'!$G:$G,$B151)=0),"NO CATALOG ID MATCH in Release_Track",iserror(vlookup($A151&amp;$B151,'5) Release_Track'!$F:$F&amp;'5) Release_Track'!$G:$G,1,0)),"NO ISRC-CATALOG ID pair MATCH in Release_Track" )</f>
        <v/>
      </c>
      <c r="F151" s="122"/>
      <c r="G151" s="99"/>
      <c r="H151" s="178"/>
      <c r="I151" s="121" t="str">
        <f t="shared" si="6"/>
        <v/>
      </c>
      <c r="J151" s="99"/>
      <c r="K151" s="99"/>
    </row>
    <row r="152">
      <c r="B152" s="103"/>
      <c r="C152" s="121" t="str">
        <f t="array" ref="C152">ifs(and(isblank($A152),isblank($B152)),"", not(iserror(vlookup($A152&amp;$B152,'5) Release_Track'!$F:$F&amp;'5) Release_Track'!$G:$G,1,0))),vlookup($A152&amp;$B152,{'5) Release_Track'!$F:$F&amp;'5) Release_Track'!$G:$G,'5) Release_Track'!$H:$H},2,0), or(and(not(isblank($B152)),$B152=$B151,$A152&lt;&gt;$A151),and(not(isblank($A152)),$A152=$A151,$B152&lt;&gt;$B151)),"ID LISTS UNALIGNED",and($A152&lt;&gt;"",countif('5) Release_Track'!$F:$F,$A152)=0),"NO ISRC MATCH in Release_Track",and($B152&lt;&gt;"",countif('5) Release_Track'!$G:$G,$B152)=0),"NO CATALOG ID MATCH in Release_Track",iserror(vlookup($A152&amp;$B152,'5) Release_Track'!$F:$F&amp;'5) Release_Track'!$G:$G,1,0)),"NO ISRC-CATALOG ID pair MATCH in Release_Track" )</f>
        <v/>
      </c>
      <c r="D152" s="121" t="str">
        <f t="array" ref="D152">ifs(and(isblank($A152),isblank($B152)),"", not(iserror(vlookup($A152&amp;$B152,'5) Release_Track'!$F:$F&amp;'5) Release_Track'!$G:$G,1,0))),vlookup($A152&amp;$B152,{'5) Release_Track'!$F:$F&amp;'5) Release_Track'!$G:$G,'5) Release_Track'!$I:$I},2,0), or(and(not(isblank($B152)),$B152=$B151,$A152&lt;&gt;$A151),and(not(isblank($A152)),$A152=$A151,$B152&lt;&gt;$B151)),"ID LISTS UNALIGNED",and($A152&lt;&gt;"",countif('5) Release_Track'!$F:$F,$A152)=0),"NO ISRC MATCH in Release_Track",and($B152&lt;&gt;"",countif('5) Release_Track'!$G:$G,$B152)=0),"NO CATALOG ID MATCH in Release_Track",iserror(vlookup($A152&amp;$B152,'5) Release_Track'!$F:$F&amp;'5) Release_Track'!$G:$G,1,0)),"NO ISRC-CATALOG ID pair MATCH in Release_Track" )</f>
        <v/>
      </c>
      <c r="E152" s="125" t="str">
        <f t="array" ref="E152">ifs(and(isblank($A152),isblank($B152)),"", not(iserror(vlookup($A152&amp;$B152,'5) Release_Track'!$F:$F&amp;'5) Release_Track'!$G:$G,1,0))),vlookup($A152&amp;$B152,{'5) Release_Track'!$F:$F&amp;'5) Release_Track'!$G:$G,'5) Release_Track'!$J:$J},2,0), or(and(not(isblank($B152)),$B152=$B151,$A152&lt;&gt;$A151),and(not(isblank($A152)),$A152=$A151,$B152&lt;&gt;$B151)),"ID LISTS UNALIGNED",and($A152&lt;&gt;"",countif('5) Release_Track'!$F:$F,$A152)=0),"NO ISRC MATCH in Release_Track",and($B152&lt;&gt;"",countif('5) Release_Track'!$G:$G,$B152)=0),"NO CATALOG ID MATCH in Release_Track",iserror(vlookup($A152&amp;$B152,'5) Release_Track'!$F:$F&amp;'5) Release_Track'!$G:$G,1,0)),"NO ISRC-CATALOG ID pair MATCH in Release_Track" )</f>
        <v/>
      </c>
      <c r="F152" s="122"/>
      <c r="G152" s="99"/>
      <c r="H152" s="178"/>
      <c r="I152" s="121" t="str">
        <f t="shared" si="6"/>
        <v/>
      </c>
      <c r="J152" s="99"/>
      <c r="K152" s="99"/>
    </row>
    <row r="153">
      <c r="B153" s="103"/>
      <c r="C153" s="121" t="str">
        <f t="array" ref="C153">ifs(and(isblank($A153),isblank($B153)),"", not(iserror(vlookup($A153&amp;$B153,'5) Release_Track'!$F:$F&amp;'5) Release_Track'!$G:$G,1,0))),vlookup($A153&amp;$B153,{'5) Release_Track'!$F:$F&amp;'5) Release_Track'!$G:$G,'5) Release_Track'!$H:$H},2,0), or(and(not(isblank($B153)),$B153=$B152,$A153&lt;&gt;$A152),and(not(isblank($A153)),$A153=$A152,$B153&lt;&gt;$B152)),"ID LISTS UNALIGNED",and($A153&lt;&gt;"",countif('5) Release_Track'!$F:$F,$A153)=0),"NO ISRC MATCH in Release_Track",and($B153&lt;&gt;"",countif('5) Release_Track'!$G:$G,$B153)=0),"NO CATALOG ID MATCH in Release_Track",iserror(vlookup($A153&amp;$B153,'5) Release_Track'!$F:$F&amp;'5) Release_Track'!$G:$G,1,0)),"NO ISRC-CATALOG ID pair MATCH in Release_Track" )</f>
        <v/>
      </c>
      <c r="D153" s="121" t="str">
        <f t="array" ref="D153">ifs(and(isblank($A153),isblank($B153)),"", not(iserror(vlookup($A153&amp;$B153,'5) Release_Track'!$F:$F&amp;'5) Release_Track'!$G:$G,1,0))),vlookup($A153&amp;$B153,{'5) Release_Track'!$F:$F&amp;'5) Release_Track'!$G:$G,'5) Release_Track'!$I:$I},2,0), or(and(not(isblank($B153)),$B153=$B152,$A153&lt;&gt;$A152),and(not(isblank($A153)),$A153=$A152,$B153&lt;&gt;$B152)),"ID LISTS UNALIGNED",and($A153&lt;&gt;"",countif('5) Release_Track'!$F:$F,$A153)=0),"NO ISRC MATCH in Release_Track",and($B153&lt;&gt;"",countif('5) Release_Track'!$G:$G,$B153)=0),"NO CATALOG ID MATCH in Release_Track",iserror(vlookup($A153&amp;$B153,'5) Release_Track'!$F:$F&amp;'5) Release_Track'!$G:$G,1,0)),"NO ISRC-CATALOG ID pair MATCH in Release_Track" )</f>
        <v/>
      </c>
      <c r="E153" s="125" t="str">
        <f t="array" ref="E153">ifs(and(isblank($A153),isblank($B153)),"", not(iserror(vlookup($A153&amp;$B153,'5) Release_Track'!$F:$F&amp;'5) Release_Track'!$G:$G,1,0))),vlookup($A153&amp;$B153,{'5) Release_Track'!$F:$F&amp;'5) Release_Track'!$G:$G,'5) Release_Track'!$J:$J},2,0), or(and(not(isblank($B153)),$B153=$B152,$A153&lt;&gt;$A152),and(not(isblank($A153)),$A153=$A152,$B153&lt;&gt;$B152)),"ID LISTS UNALIGNED",and($A153&lt;&gt;"",countif('5) Release_Track'!$F:$F,$A153)=0),"NO ISRC MATCH in Release_Track",and($B153&lt;&gt;"",countif('5) Release_Track'!$G:$G,$B153)=0),"NO CATALOG ID MATCH in Release_Track",iserror(vlookup($A153&amp;$B153,'5) Release_Track'!$F:$F&amp;'5) Release_Track'!$G:$G,1,0)),"NO ISRC-CATALOG ID pair MATCH in Release_Track" )</f>
        <v/>
      </c>
      <c r="F153" s="122"/>
      <c r="G153" s="99"/>
      <c r="H153" s="178"/>
      <c r="I153" s="121" t="str">
        <f t="shared" si="6"/>
        <v/>
      </c>
      <c r="J153" s="99"/>
      <c r="K153" s="99"/>
    </row>
    <row r="154">
      <c r="B154" s="103"/>
      <c r="C154" s="121" t="str">
        <f t="array" ref="C154">ifs(and(isblank($A154),isblank($B154)),"", not(iserror(vlookup($A154&amp;$B154,'5) Release_Track'!$F:$F&amp;'5) Release_Track'!$G:$G,1,0))),vlookup($A154&amp;$B154,{'5) Release_Track'!$F:$F&amp;'5) Release_Track'!$G:$G,'5) Release_Track'!$H:$H},2,0), or(and(not(isblank($B154)),$B154=$B153,$A154&lt;&gt;$A153),and(not(isblank($A154)),$A154=$A153,$B154&lt;&gt;$B153)),"ID LISTS UNALIGNED",and($A154&lt;&gt;"",countif('5) Release_Track'!$F:$F,$A154)=0),"NO ISRC MATCH in Release_Track",and($B154&lt;&gt;"",countif('5) Release_Track'!$G:$G,$B154)=0),"NO CATALOG ID MATCH in Release_Track",iserror(vlookup($A154&amp;$B154,'5) Release_Track'!$F:$F&amp;'5) Release_Track'!$G:$G,1,0)),"NO ISRC-CATALOG ID pair MATCH in Release_Track" )</f>
        <v/>
      </c>
      <c r="D154" s="121" t="str">
        <f t="array" ref="D154">ifs(and(isblank($A154),isblank($B154)),"", not(iserror(vlookup($A154&amp;$B154,'5) Release_Track'!$F:$F&amp;'5) Release_Track'!$G:$G,1,0))),vlookup($A154&amp;$B154,{'5) Release_Track'!$F:$F&amp;'5) Release_Track'!$G:$G,'5) Release_Track'!$I:$I},2,0), or(and(not(isblank($B154)),$B154=$B153,$A154&lt;&gt;$A153),and(not(isblank($A154)),$A154=$A153,$B154&lt;&gt;$B153)),"ID LISTS UNALIGNED",and($A154&lt;&gt;"",countif('5) Release_Track'!$F:$F,$A154)=0),"NO ISRC MATCH in Release_Track",and($B154&lt;&gt;"",countif('5) Release_Track'!$G:$G,$B154)=0),"NO CATALOG ID MATCH in Release_Track",iserror(vlookup($A154&amp;$B154,'5) Release_Track'!$F:$F&amp;'5) Release_Track'!$G:$G,1,0)),"NO ISRC-CATALOG ID pair MATCH in Release_Track" )</f>
        <v/>
      </c>
      <c r="E154" s="125" t="str">
        <f t="array" ref="E154">ifs(and(isblank($A154),isblank($B154)),"", not(iserror(vlookup($A154&amp;$B154,'5) Release_Track'!$F:$F&amp;'5) Release_Track'!$G:$G,1,0))),vlookup($A154&amp;$B154,{'5) Release_Track'!$F:$F&amp;'5) Release_Track'!$G:$G,'5) Release_Track'!$J:$J},2,0), or(and(not(isblank($B154)),$B154=$B153,$A154&lt;&gt;$A153),and(not(isblank($A154)),$A154=$A153,$B154&lt;&gt;$B153)),"ID LISTS UNALIGNED",and($A154&lt;&gt;"",countif('5) Release_Track'!$F:$F,$A154)=0),"NO ISRC MATCH in Release_Track",and($B154&lt;&gt;"",countif('5) Release_Track'!$G:$G,$B154)=0),"NO CATALOG ID MATCH in Release_Track",iserror(vlookup($A154&amp;$B154,'5) Release_Track'!$F:$F&amp;'5) Release_Track'!$G:$G,1,0)),"NO ISRC-CATALOG ID pair MATCH in Release_Track" )</f>
        <v/>
      </c>
      <c r="F154" s="122"/>
      <c r="G154" s="99"/>
      <c r="H154" s="178"/>
      <c r="I154" s="121" t="str">
        <f t="shared" si="6"/>
        <v/>
      </c>
      <c r="J154" s="99"/>
      <c r="K154" s="99"/>
    </row>
    <row r="155">
      <c r="B155" s="103"/>
      <c r="C155" s="121" t="str">
        <f t="array" ref="C155">ifs(and(isblank($A155),isblank($B155)),"", not(iserror(vlookup($A155&amp;$B155,'5) Release_Track'!$F:$F&amp;'5) Release_Track'!$G:$G,1,0))),vlookup($A155&amp;$B155,{'5) Release_Track'!$F:$F&amp;'5) Release_Track'!$G:$G,'5) Release_Track'!$H:$H},2,0), or(and(not(isblank($B155)),$B155=$B154,$A155&lt;&gt;$A154),and(not(isblank($A155)),$A155=$A154,$B155&lt;&gt;$B154)),"ID LISTS UNALIGNED",and($A155&lt;&gt;"",countif('5) Release_Track'!$F:$F,$A155)=0),"NO ISRC MATCH in Release_Track",and($B155&lt;&gt;"",countif('5) Release_Track'!$G:$G,$B155)=0),"NO CATALOG ID MATCH in Release_Track",iserror(vlookup($A155&amp;$B155,'5) Release_Track'!$F:$F&amp;'5) Release_Track'!$G:$G,1,0)),"NO ISRC-CATALOG ID pair MATCH in Release_Track" )</f>
        <v/>
      </c>
      <c r="D155" s="121" t="str">
        <f t="array" ref="D155">ifs(and(isblank($A155),isblank($B155)),"", not(iserror(vlookup($A155&amp;$B155,'5) Release_Track'!$F:$F&amp;'5) Release_Track'!$G:$G,1,0))),vlookup($A155&amp;$B155,{'5) Release_Track'!$F:$F&amp;'5) Release_Track'!$G:$G,'5) Release_Track'!$I:$I},2,0), or(and(not(isblank($B155)),$B155=$B154,$A155&lt;&gt;$A154),and(not(isblank($A155)),$A155=$A154,$B155&lt;&gt;$B154)),"ID LISTS UNALIGNED",and($A155&lt;&gt;"",countif('5) Release_Track'!$F:$F,$A155)=0),"NO ISRC MATCH in Release_Track",and($B155&lt;&gt;"",countif('5) Release_Track'!$G:$G,$B155)=0),"NO CATALOG ID MATCH in Release_Track",iserror(vlookup($A155&amp;$B155,'5) Release_Track'!$F:$F&amp;'5) Release_Track'!$G:$G,1,0)),"NO ISRC-CATALOG ID pair MATCH in Release_Track" )</f>
        <v/>
      </c>
      <c r="E155" s="125" t="str">
        <f t="array" ref="E155">ifs(and(isblank($A155),isblank($B155)),"", not(iserror(vlookup($A155&amp;$B155,'5) Release_Track'!$F:$F&amp;'5) Release_Track'!$G:$G,1,0))),vlookup($A155&amp;$B155,{'5) Release_Track'!$F:$F&amp;'5) Release_Track'!$G:$G,'5) Release_Track'!$J:$J},2,0), or(and(not(isblank($B155)),$B155=$B154,$A155&lt;&gt;$A154),and(not(isblank($A155)),$A155=$A154,$B155&lt;&gt;$B154)),"ID LISTS UNALIGNED",and($A155&lt;&gt;"",countif('5) Release_Track'!$F:$F,$A155)=0),"NO ISRC MATCH in Release_Track",and($B155&lt;&gt;"",countif('5) Release_Track'!$G:$G,$B155)=0),"NO CATALOG ID MATCH in Release_Track",iserror(vlookup($A155&amp;$B155,'5) Release_Track'!$F:$F&amp;'5) Release_Track'!$G:$G,1,0)),"NO ISRC-CATALOG ID pair MATCH in Release_Track" )</f>
        <v/>
      </c>
      <c r="F155" s="122"/>
      <c r="G155" s="99"/>
      <c r="H155" s="178"/>
      <c r="I155" s="121" t="str">
        <f t="shared" si="6"/>
        <v/>
      </c>
      <c r="J155" s="99"/>
      <c r="K155" s="99"/>
    </row>
    <row r="156">
      <c r="B156" s="103"/>
      <c r="C156" s="121" t="str">
        <f t="array" ref="C156">ifs(and(isblank($A156),isblank($B156)),"", not(iserror(vlookup($A156&amp;$B156,'5) Release_Track'!$F:$F&amp;'5) Release_Track'!$G:$G,1,0))),vlookup($A156&amp;$B156,{'5) Release_Track'!$F:$F&amp;'5) Release_Track'!$G:$G,'5) Release_Track'!$H:$H},2,0), or(and(not(isblank($B156)),$B156=$B155,$A156&lt;&gt;$A155),and(not(isblank($A156)),$A156=$A155,$B156&lt;&gt;$B155)),"ID LISTS UNALIGNED",and($A156&lt;&gt;"",countif('5) Release_Track'!$F:$F,$A156)=0),"NO ISRC MATCH in Release_Track",and($B156&lt;&gt;"",countif('5) Release_Track'!$G:$G,$B156)=0),"NO CATALOG ID MATCH in Release_Track",iserror(vlookup($A156&amp;$B156,'5) Release_Track'!$F:$F&amp;'5) Release_Track'!$G:$G,1,0)),"NO ISRC-CATALOG ID pair MATCH in Release_Track" )</f>
        <v/>
      </c>
      <c r="D156" s="121" t="str">
        <f t="array" ref="D156">ifs(and(isblank($A156),isblank($B156)),"", not(iserror(vlookup($A156&amp;$B156,'5) Release_Track'!$F:$F&amp;'5) Release_Track'!$G:$G,1,0))),vlookup($A156&amp;$B156,{'5) Release_Track'!$F:$F&amp;'5) Release_Track'!$G:$G,'5) Release_Track'!$I:$I},2,0), or(and(not(isblank($B156)),$B156=$B155,$A156&lt;&gt;$A155),and(not(isblank($A156)),$A156=$A155,$B156&lt;&gt;$B155)),"ID LISTS UNALIGNED",and($A156&lt;&gt;"",countif('5) Release_Track'!$F:$F,$A156)=0),"NO ISRC MATCH in Release_Track",and($B156&lt;&gt;"",countif('5) Release_Track'!$G:$G,$B156)=0),"NO CATALOG ID MATCH in Release_Track",iserror(vlookup($A156&amp;$B156,'5) Release_Track'!$F:$F&amp;'5) Release_Track'!$G:$G,1,0)),"NO ISRC-CATALOG ID pair MATCH in Release_Track" )</f>
        <v/>
      </c>
      <c r="E156" s="125" t="str">
        <f t="array" ref="E156">ifs(and(isblank($A156),isblank($B156)),"", not(iserror(vlookup($A156&amp;$B156,'5) Release_Track'!$F:$F&amp;'5) Release_Track'!$G:$G,1,0))),vlookup($A156&amp;$B156,{'5) Release_Track'!$F:$F&amp;'5) Release_Track'!$G:$G,'5) Release_Track'!$J:$J},2,0), or(and(not(isblank($B156)),$B156=$B155,$A156&lt;&gt;$A155),and(not(isblank($A156)),$A156=$A155,$B156&lt;&gt;$B155)),"ID LISTS UNALIGNED",and($A156&lt;&gt;"",countif('5) Release_Track'!$F:$F,$A156)=0),"NO ISRC MATCH in Release_Track",and($B156&lt;&gt;"",countif('5) Release_Track'!$G:$G,$B156)=0),"NO CATALOG ID MATCH in Release_Track",iserror(vlookup($A156&amp;$B156,'5) Release_Track'!$F:$F&amp;'5) Release_Track'!$G:$G,1,0)),"NO ISRC-CATALOG ID pair MATCH in Release_Track" )</f>
        <v/>
      </c>
      <c r="F156" s="122"/>
      <c r="G156" s="99"/>
      <c r="H156" s="178"/>
      <c r="I156" s="121" t="str">
        <f t="shared" si="6"/>
        <v/>
      </c>
      <c r="J156" s="99"/>
      <c r="K156" s="99"/>
    </row>
    <row r="157">
      <c r="B157" s="103"/>
      <c r="C157" s="121" t="str">
        <f t="array" ref="C157">ifs(and(isblank($A157),isblank($B157)),"", not(iserror(vlookup($A157&amp;$B157,'5) Release_Track'!$F:$F&amp;'5) Release_Track'!$G:$G,1,0))),vlookup($A157&amp;$B157,{'5) Release_Track'!$F:$F&amp;'5) Release_Track'!$G:$G,'5) Release_Track'!$H:$H},2,0), or(and(not(isblank($B157)),$B157=$B156,$A157&lt;&gt;$A156),and(not(isblank($A157)),$A157=$A156,$B157&lt;&gt;$B156)),"ID LISTS UNALIGNED",and($A157&lt;&gt;"",countif('5) Release_Track'!$F:$F,$A157)=0),"NO ISRC MATCH in Release_Track",and($B157&lt;&gt;"",countif('5) Release_Track'!$G:$G,$B157)=0),"NO CATALOG ID MATCH in Release_Track",iserror(vlookup($A157&amp;$B157,'5) Release_Track'!$F:$F&amp;'5) Release_Track'!$G:$G,1,0)),"NO ISRC-CATALOG ID pair MATCH in Release_Track" )</f>
        <v/>
      </c>
      <c r="D157" s="121" t="str">
        <f t="array" ref="D157">ifs(and(isblank($A157),isblank($B157)),"", not(iserror(vlookup($A157&amp;$B157,'5) Release_Track'!$F:$F&amp;'5) Release_Track'!$G:$G,1,0))),vlookup($A157&amp;$B157,{'5) Release_Track'!$F:$F&amp;'5) Release_Track'!$G:$G,'5) Release_Track'!$I:$I},2,0), or(and(not(isblank($B157)),$B157=$B156,$A157&lt;&gt;$A156),and(not(isblank($A157)),$A157=$A156,$B157&lt;&gt;$B156)),"ID LISTS UNALIGNED",and($A157&lt;&gt;"",countif('5) Release_Track'!$F:$F,$A157)=0),"NO ISRC MATCH in Release_Track",and($B157&lt;&gt;"",countif('5) Release_Track'!$G:$G,$B157)=0),"NO CATALOG ID MATCH in Release_Track",iserror(vlookup($A157&amp;$B157,'5) Release_Track'!$F:$F&amp;'5) Release_Track'!$G:$G,1,0)),"NO ISRC-CATALOG ID pair MATCH in Release_Track" )</f>
        <v/>
      </c>
      <c r="E157" s="125" t="str">
        <f t="array" ref="E157">ifs(and(isblank($A157),isblank($B157)),"", not(iserror(vlookup($A157&amp;$B157,'5) Release_Track'!$F:$F&amp;'5) Release_Track'!$G:$G,1,0))),vlookup($A157&amp;$B157,{'5) Release_Track'!$F:$F&amp;'5) Release_Track'!$G:$G,'5) Release_Track'!$J:$J},2,0), or(and(not(isblank($B157)),$B157=$B156,$A157&lt;&gt;$A156),and(not(isblank($A157)),$A157=$A156,$B157&lt;&gt;$B156)),"ID LISTS UNALIGNED",and($A157&lt;&gt;"",countif('5) Release_Track'!$F:$F,$A157)=0),"NO ISRC MATCH in Release_Track",and($B157&lt;&gt;"",countif('5) Release_Track'!$G:$G,$B157)=0),"NO CATALOG ID MATCH in Release_Track",iserror(vlookup($A157&amp;$B157,'5) Release_Track'!$F:$F&amp;'5) Release_Track'!$G:$G,1,0)),"NO ISRC-CATALOG ID pair MATCH in Release_Track" )</f>
        <v/>
      </c>
      <c r="F157" s="122"/>
      <c r="G157" s="99"/>
      <c r="H157" s="178"/>
      <c r="I157" s="121" t="str">
        <f t="shared" si="6"/>
        <v/>
      </c>
      <c r="J157" s="99"/>
      <c r="K157" s="99"/>
    </row>
    <row r="158">
      <c r="B158" s="103"/>
      <c r="C158" s="121" t="str">
        <f t="array" ref="C158">ifs(and(isblank($A158),isblank($B158)),"", not(iserror(vlookup($A158&amp;$B158,'5) Release_Track'!$F:$F&amp;'5) Release_Track'!$G:$G,1,0))),vlookup($A158&amp;$B158,{'5) Release_Track'!$F:$F&amp;'5) Release_Track'!$G:$G,'5) Release_Track'!$H:$H},2,0), or(and(not(isblank($B158)),$B158=$B157,$A158&lt;&gt;$A157),and(not(isblank($A158)),$A158=$A157,$B158&lt;&gt;$B157)),"ID LISTS UNALIGNED",and($A158&lt;&gt;"",countif('5) Release_Track'!$F:$F,$A158)=0),"NO ISRC MATCH in Release_Track",and($B158&lt;&gt;"",countif('5) Release_Track'!$G:$G,$B158)=0),"NO CATALOG ID MATCH in Release_Track",iserror(vlookup($A158&amp;$B158,'5) Release_Track'!$F:$F&amp;'5) Release_Track'!$G:$G,1,0)),"NO ISRC-CATALOG ID pair MATCH in Release_Track" )</f>
        <v/>
      </c>
      <c r="D158" s="121" t="str">
        <f t="array" ref="D158">ifs(and(isblank($A158),isblank($B158)),"", not(iserror(vlookup($A158&amp;$B158,'5) Release_Track'!$F:$F&amp;'5) Release_Track'!$G:$G,1,0))),vlookup($A158&amp;$B158,{'5) Release_Track'!$F:$F&amp;'5) Release_Track'!$G:$G,'5) Release_Track'!$I:$I},2,0), or(and(not(isblank($B158)),$B158=$B157,$A158&lt;&gt;$A157),and(not(isblank($A158)),$A158=$A157,$B158&lt;&gt;$B157)),"ID LISTS UNALIGNED",and($A158&lt;&gt;"",countif('5) Release_Track'!$F:$F,$A158)=0),"NO ISRC MATCH in Release_Track",and($B158&lt;&gt;"",countif('5) Release_Track'!$G:$G,$B158)=0),"NO CATALOG ID MATCH in Release_Track",iserror(vlookup($A158&amp;$B158,'5) Release_Track'!$F:$F&amp;'5) Release_Track'!$G:$G,1,0)),"NO ISRC-CATALOG ID pair MATCH in Release_Track" )</f>
        <v/>
      </c>
      <c r="E158" s="125" t="str">
        <f t="array" ref="E158">ifs(and(isblank($A158),isblank($B158)),"", not(iserror(vlookup($A158&amp;$B158,'5) Release_Track'!$F:$F&amp;'5) Release_Track'!$G:$G,1,0))),vlookup($A158&amp;$B158,{'5) Release_Track'!$F:$F&amp;'5) Release_Track'!$G:$G,'5) Release_Track'!$J:$J},2,0), or(and(not(isblank($B158)),$B158=$B157,$A158&lt;&gt;$A157),and(not(isblank($A158)),$A158=$A157,$B158&lt;&gt;$B157)),"ID LISTS UNALIGNED",and($A158&lt;&gt;"",countif('5) Release_Track'!$F:$F,$A158)=0),"NO ISRC MATCH in Release_Track",and($B158&lt;&gt;"",countif('5) Release_Track'!$G:$G,$B158)=0),"NO CATALOG ID MATCH in Release_Track",iserror(vlookup($A158&amp;$B158,'5) Release_Track'!$F:$F&amp;'5) Release_Track'!$G:$G,1,0)),"NO ISRC-CATALOG ID pair MATCH in Release_Track" )</f>
        <v/>
      </c>
      <c r="F158" s="122"/>
      <c r="G158" s="99"/>
      <c r="H158" s="178"/>
      <c r="I158" s="121" t="str">
        <f t="shared" si="6"/>
        <v/>
      </c>
      <c r="J158" s="99"/>
      <c r="K158" s="99"/>
    </row>
    <row r="159">
      <c r="B159" s="103"/>
      <c r="C159" s="121" t="str">
        <f t="array" ref="C159">ifs(and(isblank($A159),isblank($B159)),"", not(iserror(vlookup($A159&amp;$B159,'5) Release_Track'!$F:$F&amp;'5) Release_Track'!$G:$G,1,0))),vlookup($A159&amp;$B159,{'5) Release_Track'!$F:$F&amp;'5) Release_Track'!$G:$G,'5) Release_Track'!$H:$H},2,0), or(and(not(isblank($B159)),$B159=$B158,$A159&lt;&gt;$A158),and(not(isblank($A159)),$A159=$A158,$B159&lt;&gt;$B158)),"ID LISTS UNALIGNED",and($A159&lt;&gt;"",countif('5) Release_Track'!$F:$F,$A159)=0),"NO ISRC MATCH in Release_Track",and($B159&lt;&gt;"",countif('5) Release_Track'!$G:$G,$B159)=0),"NO CATALOG ID MATCH in Release_Track",iserror(vlookup($A159&amp;$B159,'5) Release_Track'!$F:$F&amp;'5) Release_Track'!$G:$G,1,0)),"NO ISRC-CATALOG ID pair MATCH in Release_Track" )</f>
        <v/>
      </c>
      <c r="D159" s="121" t="str">
        <f t="array" ref="D159">ifs(and(isblank($A159),isblank($B159)),"", not(iserror(vlookup($A159&amp;$B159,'5) Release_Track'!$F:$F&amp;'5) Release_Track'!$G:$G,1,0))),vlookup($A159&amp;$B159,{'5) Release_Track'!$F:$F&amp;'5) Release_Track'!$G:$G,'5) Release_Track'!$I:$I},2,0), or(and(not(isblank($B159)),$B159=$B158,$A159&lt;&gt;$A158),and(not(isblank($A159)),$A159=$A158,$B159&lt;&gt;$B158)),"ID LISTS UNALIGNED",and($A159&lt;&gt;"",countif('5) Release_Track'!$F:$F,$A159)=0),"NO ISRC MATCH in Release_Track",and($B159&lt;&gt;"",countif('5) Release_Track'!$G:$G,$B159)=0),"NO CATALOG ID MATCH in Release_Track",iserror(vlookup($A159&amp;$B159,'5) Release_Track'!$F:$F&amp;'5) Release_Track'!$G:$G,1,0)),"NO ISRC-CATALOG ID pair MATCH in Release_Track" )</f>
        <v/>
      </c>
      <c r="E159" s="125" t="str">
        <f t="array" ref="E159">ifs(and(isblank($A159),isblank($B159)),"", not(iserror(vlookup($A159&amp;$B159,'5) Release_Track'!$F:$F&amp;'5) Release_Track'!$G:$G,1,0))),vlookup($A159&amp;$B159,{'5) Release_Track'!$F:$F&amp;'5) Release_Track'!$G:$G,'5) Release_Track'!$J:$J},2,0), or(and(not(isblank($B159)),$B159=$B158,$A159&lt;&gt;$A158),and(not(isblank($A159)),$A159=$A158,$B159&lt;&gt;$B158)),"ID LISTS UNALIGNED",and($A159&lt;&gt;"",countif('5) Release_Track'!$F:$F,$A159)=0),"NO ISRC MATCH in Release_Track",and($B159&lt;&gt;"",countif('5) Release_Track'!$G:$G,$B159)=0),"NO CATALOG ID MATCH in Release_Track",iserror(vlookup($A159&amp;$B159,'5) Release_Track'!$F:$F&amp;'5) Release_Track'!$G:$G,1,0)),"NO ISRC-CATALOG ID pair MATCH in Release_Track" )</f>
        <v/>
      </c>
      <c r="F159" s="122"/>
      <c r="G159" s="99"/>
      <c r="H159" s="178"/>
      <c r="I159" s="121" t="str">
        <f t="shared" si="6"/>
        <v/>
      </c>
      <c r="J159" s="99"/>
      <c r="K159" s="99"/>
    </row>
    <row r="160">
      <c r="B160" s="103"/>
      <c r="C160" s="121" t="str">
        <f t="array" ref="C160">ifs(and(isblank($A160),isblank($B160)),"", not(iserror(vlookup($A160&amp;$B160,'5) Release_Track'!$F:$F&amp;'5) Release_Track'!$G:$G,1,0))),vlookup($A160&amp;$B160,{'5) Release_Track'!$F:$F&amp;'5) Release_Track'!$G:$G,'5) Release_Track'!$H:$H},2,0), or(and(not(isblank($B160)),$B160=$B159,$A160&lt;&gt;$A159),and(not(isblank($A160)),$A160=$A159,$B160&lt;&gt;$B159)),"ID LISTS UNALIGNED",and($A160&lt;&gt;"",countif('5) Release_Track'!$F:$F,$A160)=0),"NO ISRC MATCH in Release_Track",and($B160&lt;&gt;"",countif('5) Release_Track'!$G:$G,$B160)=0),"NO CATALOG ID MATCH in Release_Track",iserror(vlookup($A160&amp;$B160,'5) Release_Track'!$F:$F&amp;'5) Release_Track'!$G:$G,1,0)),"NO ISRC-CATALOG ID pair MATCH in Release_Track" )</f>
        <v/>
      </c>
      <c r="D160" s="121" t="str">
        <f t="array" ref="D160">ifs(and(isblank($A160),isblank($B160)),"", not(iserror(vlookup($A160&amp;$B160,'5) Release_Track'!$F:$F&amp;'5) Release_Track'!$G:$G,1,0))),vlookup($A160&amp;$B160,{'5) Release_Track'!$F:$F&amp;'5) Release_Track'!$G:$G,'5) Release_Track'!$I:$I},2,0), or(and(not(isblank($B160)),$B160=$B159,$A160&lt;&gt;$A159),and(not(isblank($A160)),$A160=$A159,$B160&lt;&gt;$B159)),"ID LISTS UNALIGNED",and($A160&lt;&gt;"",countif('5) Release_Track'!$F:$F,$A160)=0),"NO ISRC MATCH in Release_Track",and($B160&lt;&gt;"",countif('5) Release_Track'!$G:$G,$B160)=0),"NO CATALOG ID MATCH in Release_Track",iserror(vlookup($A160&amp;$B160,'5) Release_Track'!$F:$F&amp;'5) Release_Track'!$G:$G,1,0)),"NO ISRC-CATALOG ID pair MATCH in Release_Track" )</f>
        <v/>
      </c>
      <c r="E160" s="125" t="str">
        <f t="array" ref="E160">ifs(and(isblank($A160),isblank($B160)),"", not(iserror(vlookup($A160&amp;$B160,'5) Release_Track'!$F:$F&amp;'5) Release_Track'!$G:$G,1,0))),vlookup($A160&amp;$B160,{'5) Release_Track'!$F:$F&amp;'5) Release_Track'!$G:$G,'5) Release_Track'!$J:$J},2,0), or(and(not(isblank($B160)),$B160=$B159,$A160&lt;&gt;$A159),and(not(isblank($A160)),$A160=$A159,$B160&lt;&gt;$B159)),"ID LISTS UNALIGNED",and($A160&lt;&gt;"",countif('5) Release_Track'!$F:$F,$A160)=0),"NO ISRC MATCH in Release_Track",and($B160&lt;&gt;"",countif('5) Release_Track'!$G:$G,$B160)=0),"NO CATALOG ID MATCH in Release_Track",iserror(vlookup($A160&amp;$B160,'5) Release_Track'!$F:$F&amp;'5) Release_Track'!$G:$G,1,0)),"NO ISRC-CATALOG ID pair MATCH in Release_Track" )</f>
        <v/>
      </c>
      <c r="F160" s="122"/>
      <c r="G160" s="99"/>
      <c r="H160" s="178"/>
      <c r="I160" s="121" t="str">
        <f t="shared" si="6"/>
        <v/>
      </c>
      <c r="J160" s="99"/>
      <c r="K160" s="99"/>
    </row>
    <row r="161">
      <c r="B161" s="103"/>
      <c r="C161" s="121" t="str">
        <f t="array" ref="C161">ifs(and(isblank($A161),isblank($B161)),"", not(iserror(vlookup($A161&amp;$B161,'5) Release_Track'!$F:$F&amp;'5) Release_Track'!$G:$G,1,0))),vlookup($A161&amp;$B161,{'5) Release_Track'!$F:$F&amp;'5) Release_Track'!$G:$G,'5) Release_Track'!$H:$H},2,0), or(and(not(isblank($B161)),$B161=$B160,$A161&lt;&gt;$A160),and(not(isblank($A161)),$A161=$A160,$B161&lt;&gt;$B160)),"ID LISTS UNALIGNED",and($A161&lt;&gt;"",countif('5) Release_Track'!$F:$F,$A161)=0),"NO ISRC MATCH in Release_Track",and($B161&lt;&gt;"",countif('5) Release_Track'!$G:$G,$B161)=0),"NO CATALOG ID MATCH in Release_Track",iserror(vlookup($A161&amp;$B161,'5) Release_Track'!$F:$F&amp;'5) Release_Track'!$G:$G,1,0)),"NO ISRC-CATALOG ID pair MATCH in Release_Track" )</f>
        <v/>
      </c>
      <c r="D161" s="121" t="str">
        <f t="array" ref="D161">ifs(and(isblank($A161),isblank($B161)),"", not(iserror(vlookup($A161&amp;$B161,'5) Release_Track'!$F:$F&amp;'5) Release_Track'!$G:$G,1,0))),vlookup($A161&amp;$B161,{'5) Release_Track'!$F:$F&amp;'5) Release_Track'!$G:$G,'5) Release_Track'!$I:$I},2,0), or(and(not(isblank($B161)),$B161=$B160,$A161&lt;&gt;$A160),and(not(isblank($A161)),$A161=$A160,$B161&lt;&gt;$B160)),"ID LISTS UNALIGNED",and($A161&lt;&gt;"",countif('5) Release_Track'!$F:$F,$A161)=0),"NO ISRC MATCH in Release_Track",and($B161&lt;&gt;"",countif('5) Release_Track'!$G:$G,$B161)=0),"NO CATALOG ID MATCH in Release_Track",iserror(vlookup($A161&amp;$B161,'5) Release_Track'!$F:$F&amp;'5) Release_Track'!$G:$G,1,0)),"NO ISRC-CATALOG ID pair MATCH in Release_Track" )</f>
        <v/>
      </c>
      <c r="E161" s="125" t="str">
        <f t="array" ref="E161">ifs(and(isblank($A161),isblank($B161)),"", not(iserror(vlookup($A161&amp;$B161,'5) Release_Track'!$F:$F&amp;'5) Release_Track'!$G:$G,1,0))),vlookup($A161&amp;$B161,{'5) Release_Track'!$F:$F&amp;'5) Release_Track'!$G:$G,'5) Release_Track'!$J:$J},2,0), or(and(not(isblank($B161)),$B161=$B160,$A161&lt;&gt;$A160),and(not(isblank($A161)),$A161=$A160,$B161&lt;&gt;$B160)),"ID LISTS UNALIGNED",and($A161&lt;&gt;"",countif('5) Release_Track'!$F:$F,$A161)=0),"NO ISRC MATCH in Release_Track",and($B161&lt;&gt;"",countif('5) Release_Track'!$G:$G,$B161)=0),"NO CATALOG ID MATCH in Release_Track",iserror(vlookup($A161&amp;$B161,'5) Release_Track'!$F:$F&amp;'5) Release_Track'!$G:$G,1,0)),"NO ISRC-CATALOG ID pair MATCH in Release_Track" )</f>
        <v/>
      </c>
      <c r="F161" s="122"/>
      <c r="G161" s="99"/>
      <c r="H161" s="178"/>
      <c r="I161" s="121" t="str">
        <f t="shared" si="6"/>
        <v/>
      </c>
      <c r="J161" s="99"/>
      <c r="K161" s="99"/>
    </row>
    <row r="162">
      <c r="B162" s="103"/>
      <c r="C162" s="121" t="str">
        <f t="array" ref="C162">ifs(and(isblank($A162),isblank($B162)),"", not(iserror(vlookup($A162&amp;$B162,'5) Release_Track'!$F:$F&amp;'5) Release_Track'!$G:$G,1,0))),vlookup($A162&amp;$B162,{'5) Release_Track'!$F:$F&amp;'5) Release_Track'!$G:$G,'5) Release_Track'!$H:$H},2,0), or(and(not(isblank($B162)),$B162=$B161,$A162&lt;&gt;$A161),and(not(isblank($A162)),$A162=$A161,$B162&lt;&gt;$B161)),"ID LISTS UNALIGNED",and($A162&lt;&gt;"",countif('5) Release_Track'!$F:$F,$A162)=0),"NO ISRC MATCH in Release_Track",and($B162&lt;&gt;"",countif('5) Release_Track'!$G:$G,$B162)=0),"NO CATALOG ID MATCH in Release_Track",iserror(vlookup($A162&amp;$B162,'5) Release_Track'!$F:$F&amp;'5) Release_Track'!$G:$G,1,0)),"NO ISRC-CATALOG ID pair MATCH in Release_Track" )</f>
        <v/>
      </c>
      <c r="D162" s="121" t="str">
        <f t="array" ref="D162">ifs(and(isblank($A162),isblank($B162)),"", not(iserror(vlookup($A162&amp;$B162,'5) Release_Track'!$F:$F&amp;'5) Release_Track'!$G:$G,1,0))),vlookup($A162&amp;$B162,{'5) Release_Track'!$F:$F&amp;'5) Release_Track'!$G:$G,'5) Release_Track'!$I:$I},2,0), or(and(not(isblank($B162)),$B162=$B161,$A162&lt;&gt;$A161),and(not(isblank($A162)),$A162=$A161,$B162&lt;&gt;$B161)),"ID LISTS UNALIGNED",and($A162&lt;&gt;"",countif('5) Release_Track'!$F:$F,$A162)=0),"NO ISRC MATCH in Release_Track",and($B162&lt;&gt;"",countif('5) Release_Track'!$G:$G,$B162)=0),"NO CATALOG ID MATCH in Release_Track",iserror(vlookup($A162&amp;$B162,'5) Release_Track'!$F:$F&amp;'5) Release_Track'!$G:$G,1,0)),"NO ISRC-CATALOG ID pair MATCH in Release_Track" )</f>
        <v/>
      </c>
      <c r="E162" s="125" t="str">
        <f t="array" ref="E162">ifs(and(isblank($A162),isblank($B162)),"", not(iserror(vlookup($A162&amp;$B162,'5) Release_Track'!$F:$F&amp;'5) Release_Track'!$G:$G,1,0))),vlookup($A162&amp;$B162,{'5) Release_Track'!$F:$F&amp;'5) Release_Track'!$G:$G,'5) Release_Track'!$J:$J},2,0), or(and(not(isblank($B162)),$B162=$B161,$A162&lt;&gt;$A161),and(not(isblank($A162)),$A162=$A161,$B162&lt;&gt;$B161)),"ID LISTS UNALIGNED",and($A162&lt;&gt;"",countif('5) Release_Track'!$F:$F,$A162)=0),"NO ISRC MATCH in Release_Track",and($B162&lt;&gt;"",countif('5) Release_Track'!$G:$G,$B162)=0),"NO CATALOG ID MATCH in Release_Track",iserror(vlookup($A162&amp;$B162,'5) Release_Track'!$F:$F&amp;'5) Release_Track'!$G:$G,1,0)),"NO ISRC-CATALOG ID pair MATCH in Release_Track" )</f>
        <v/>
      </c>
      <c r="F162" s="122"/>
      <c r="G162" s="99"/>
      <c r="H162" s="178"/>
      <c r="I162" s="121" t="str">
        <f t="shared" si="6"/>
        <v/>
      </c>
      <c r="J162" s="99"/>
      <c r="K162" s="99"/>
    </row>
    <row r="163">
      <c r="B163" s="103"/>
      <c r="C163" s="121" t="str">
        <f t="array" ref="C163">ifs(and(isblank($A163),isblank($B163)),"", not(iserror(vlookup($A163&amp;$B163,'5) Release_Track'!$F:$F&amp;'5) Release_Track'!$G:$G,1,0))),vlookup($A163&amp;$B163,{'5) Release_Track'!$F:$F&amp;'5) Release_Track'!$G:$G,'5) Release_Track'!$H:$H},2,0), or(and(not(isblank($B163)),$B163=$B162,$A163&lt;&gt;$A162),and(not(isblank($A163)),$A163=$A162,$B163&lt;&gt;$B162)),"ID LISTS UNALIGNED",and($A163&lt;&gt;"",countif('5) Release_Track'!$F:$F,$A163)=0),"NO ISRC MATCH in Release_Track",and($B163&lt;&gt;"",countif('5) Release_Track'!$G:$G,$B163)=0),"NO CATALOG ID MATCH in Release_Track",iserror(vlookup($A163&amp;$B163,'5) Release_Track'!$F:$F&amp;'5) Release_Track'!$G:$G,1,0)),"NO ISRC-CATALOG ID pair MATCH in Release_Track" )</f>
        <v/>
      </c>
      <c r="D163" s="121" t="str">
        <f t="array" ref="D163">ifs(and(isblank($A163),isblank($B163)),"", not(iserror(vlookup($A163&amp;$B163,'5) Release_Track'!$F:$F&amp;'5) Release_Track'!$G:$G,1,0))),vlookup($A163&amp;$B163,{'5) Release_Track'!$F:$F&amp;'5) Release_Track'!$G:$G,'5) Release_Track'!$I:$I},2,0), or(and(not(isblank($B163)),$B163=$B162,$A163&lt;&gt;$A162),and(not(isblank($A163)),$A163=$A162,$B163&lt;&gt;$B162)),"ID LISTS UNALIGNED",and($A163&lt;&gt;"",countif('5) Release_Track'!$F:$F,$A163)=0),"NO ISRC MATCH in Release_Track",and($B163&lt;&gt;"",countif('5) Release_Track'!$G:$G,$B163)=0),"NO CATALOG ID MATCH in Release_Track",iserror(vlookup($A163&amp;$B163,'5) Release_Track'!$F:$F&amp;'5) Release_Track'!$G:$G,1,0)),"NO ISRC-CATALOG ID pair MATCH in Release_Track" )</f>
        <v/>
      </c>
      <c r="E163" s="125" t="str">
        <f t="array" ref="E163">ifs(and(isblank($A163),isblank($B163)),"", not(iserror(vlookup($A163&amp;$B163,'5) Release_Track'!$F:$F&amp;'5) Release_Track'!$G:$G,1,0))),vlookup($A163&amp;$B163,{'5) Release_Track'!$F:$F&amp;'5) Release_Track'!$G:$G,'5) Release_Track'!$J:$J},2,0), or(and(not(isblank($B163)),$B163=$B162,$A163&lt;&gt;$A162),and(not(isblank($A163)),$A163=$A162,$B163&lt;&gt;$B162)),"ID LISTS UNALIGNED",and($A163&lt;&gt;"",countif('5) Release_Track'!$F:$F,$A163)=0),"NO ISRC MATCH in Release_Track",and($B163&lt;&gt;"",countif('5) Release_Track'!$G:$G,$B163)=0),"NO CATALOG ID MATCH in Release_Track",iserror(vlookup($A163&amp;$B163,'5) Release_Track'!$F:$F&amp;'5) Release_Track'!$G:$G,1,0)),"NO ISRC-CATALOG ID pair MATCH in Release_Track" )</f>
        <v/>
      </c>
      <c r="F163" s="122"/>
      <c r="G163" s="99"/>
      <c r="H163" s="178"/>
      <c r="I163" s="121" t="str">
        <f t="shared" si="6"/>
        <v/>
      </c>
      <c r="J163" s="99"/>
      <c r="K163" s="99"/>
    </row>
    <row r="164">
      <c r="B164" s="103"/>
      <c r="C164" s="121" t="str">
        <f t="array" ref="C164">ifs(and(isblank($A164),isblank($B164)),"", not(iserror(vlookup($A164&amp;$B164,'5) Release_Track'!$F:$F&amp;'5) Release_Track'!$G:$G,1,0))),vlookup($A164&amp;$B164,{'5) Release_Track'!$F:$F&amp;'5) Release_Track'!$G:$G,'5) Release_Track'!$H:$H},2,0), or(and(not(isblank($B164)),$B164=$B163,$A164&lt;&gt;$A163),and(not(isblank($A164)),$A164=$A163,$B164&lt;&gt;$B163)),"ID LISTS UNALIGNED",and($A164&lt;&gt;"",countif('5) Release_Track'!$F:$F,$A164)=0),"NO ISRC MATCH in Release_Track",and($B164&lt;&gt;"",countif('5) Release_Track'!$G:$G,$B164)=0),"NO CATALOG ID MATCH in Release_Track",iserror(vlookup($A164&amp;$B164,'5) Release_Track'!$F:$F&amp;'5) Release_Track'!$G:$G,1,0)),"NO ISRC-CATALOG ID pair MATCH in Release_Track" )</f>
        <v/>
      </c>
      <c r="D164" s="121" t="str">
        <f t="array" ref="D164">ifs(and(isblank($A164),isblank($B164)),"", not(iserror(vlookup($A164&amp;$B164,'5) Release_Track'!$F:$F&amp;'5) Release_Track'!$G:$G,1,0))),vlookup($A164&amp;$B164,{'5) Release_Track'!$F:$F&amp;'5) Release_Track'!$G:$G,'5) Release_Track'!$I:$I},2,0), or(and(not(isblank($B164)),$B164=$B163,$A164&lt;&gt;$A163),and(not(isblank($A164)),$A164=$A163,$B164&lt;&gt;$B163)),"ID LISTS UNALIGNED",and($A164&lt;&gt;"",countif('5) Release_Track'!$F:$F,$A164)=0),"NO ISRC MATCH in Release_Track",and($B164&lt;&gt;"",countif('5) Release_Track'!$G:$G,$B164)=0),"NO CATALOG ID MATCH in Release_Track",iserror(vlookup($A164&amp;$B164,'5) Release_Track'!$F:$F&amp;'5) Release_Track'!$G:$G,1,0)),"NO ISRC-CATALOG ID pair MATCH in Release_Track" )</f>
        <v/>
      </c>
      <c r="E164" s="125" t="str">
        <f t="array" ref="E164">ifs(and(isblank($A164),isblank($B164)),"", not(iserror(vlookup($A164&amp;$B164,'5) Release_Track'!$F:$F&amp;'5) Release_Track'!$G:$G,1,0))),vlookup($A164&amp;$B164,{'5) Release_Track'!$F:$F&amp;'5) Release_Track'!$G:$G,'5) Release_Track'!$J:$J},2,0), or(and(not(isblank($B164)),$B164=$B163,$A164&lt;&gt;$A163),and(not(isblank($A164)),$A164=$A163,$B164&lt;&gt;$B163)),"ID LISTS UNALIGNED",and($A164&lt;&gt;"",countif('5) Release_Track'!$F:$F,$A164)=0),"NO ISRC MATCH in Release_Track",and($B164&lt;&gt;"",countif('5) Release_Track'!$G:$G,$B164)=0),"NO CATALOG ID MATCH in Release_Track",iserror(vlookup($A164&amp;$B164,'5) Release_Track'!$F:$F&amp;'5) Release_Track'!$G:$G,1,0)),"NO ISRC-CATALOG ID pair MATCH in Release_Track" )</f>
        <v/>
      </c>
      <c r="F164" s="122"/>
      <c r="G164" s="99"/>
      <c r="H164" s="178"/>
      <c r="I164" s="121" t="str">
        <f t="shared" si="6"/>
        <v/>
      </c>
      <c r="J164" s="99"/>
      <c r="K164" s="99"/>
    </row>
    <row r="165">
      <c r="B165" s="103"/>
      <c r="C165" s="121" t="str">
        <f t="array" ref="C165">ifs(and(isblank($A165),isblank($B165)),"", not(iserror(vlookup($A165&amp;$B165,'5) Release_Track'!$F:$F&amp;'5) Release_Track'!$G:$G,1,0))),vlookup($A165&amp;$B165,{'5) Release_Track'!$F:$F&amp;'5) Release_Track'!$G:$G,'5) Release_Track'!$H:$H},2,0), or(and(not(isblank($B165)),$B165=$B164,$A165&lt;&gt;$A164),and(not(isblank($A165)),$A165=$A164,$B165&lt;&gt;$B164)),"ID LISTS UNALIGNED",and($A165&lt;&gt;"",countif('5) Release_Track'!$F:$F,$A165)=0),"NO ISRC MATCH in Release_Track",and($B165&lt;&gt;"",countif('5) Release_Track'!$G:$G,$B165)=0),"NO CATALOG ID MATCH in Release_Track",iserror(vlookup($A165&amp;$B165,'5) Release_Track'!$F:$F&amp;'5) Release_Track'!$G:$G,1,0)),"NO ISRC-CATALOG ID pair MATCH in Release_Track" )</f>
        <v/>
      </c>
      <c r="D165" s="121" t="str">
        <f t="array" ref="D165">ifs(and(isblank($A165),isblank($B165)),"", not(iserror(vlookup($A165&amp;$B165,'5) Release_Track'!$F:$F&amp;'5) Release_Track'!$G:$G,1,0))),vlookup($A165&amp;$B165,{'5) Release_Track'!$F:$F&amp;'5) Release_Track'!$G:$G,'5) Release_Track'!$I:$I},2,0), or(and(not(isblank($B165)),$B165=$B164,$A165&lt;&gt;$A164),and(not(isblank($A165)),$A165=$A164,$B165&lt;&gt;$B164)),"ID LISTS UNALIGNED",and($A165&lt;&gt;"",countif('5) Release_Track'!$F:$F,$A165)=0),"NO ISRC MATCH in Release_Track",and($B165&lt;&gt;"",countif('5) Release_Track'!$G:$G,$B165)=0),"NO CATALOG ID MATCH in Release_Track",iserror(vlookup($A165&amp;$B165,'5) Release_Track'!$F:$F&amp;'5) Release_Track'!$G:$G,1,0)),"NO ISRC-CATALOG ID pair MATCH in Release_Track" )</f>
        <v/>
      </c>
      <c r="E165" s="125" t="str">
        <f t="array" ref="E165">ifs(and(isblank($A165),isblank($B165)),"", not(iserror(vlookup($A165&amp;$B165,'5) Release_Track'!$F:$F&amp;'5) Release_Track'!$G:$G,1,0))),vlookup($A165&amp;$B165,{'5) Release_Track'!$F:$F&amp;'5) Release_Track'!$G:$G,'5) Release_Track'!$J:$J},2,0), or(and(not(isblank($B165)),$B165=$B164,$A165&lt;&gt;$A164),and(not(isblank($A165)),$A165=$A164,$B165&lt;&gt;$B164)),"ID LISTS UNALIGNED",and($A165&lt;&gt;"",countif('5) Release_Track'!$F:$F,$A165)=0),"NO ISRC MATCH in Release_Track",and($B165&lt;&gt;"",countif('5) Release_Track'!$G:$G,$B165)=0),"NO CATALOG ID MATCH in Release_Track",iserror(vlookup($A165&amp;$B165,'5) Release_Track'!$F:$F&amp;'5) Release_Track'!$G:$G,1,0)),"NO ISRC-CATALOG ID pair MATCH in Release_Track" )</f>
        <v/>
      </c>
      <c r="F165" s="122"/>
      <c r="G165" s="99"/>
      <c r="H165" s="178"/>
      <c r="I165" s="121" t="str">
        <f t="shared" si="6"/>
        <v/>
      </c>
      <c r="J165" s="99"/>
      <c r="K165" s="99"/>
    </row>
    <row r="166">
      <c r="B166" s="103"/>
      <c r="C166" s="121" t="str">
        <f t="array" ref="C166">ifs(and(isblank($A166),isblank($B166)),"", not(iserror(vlookup($A166&amp;$B166,'5) Release_Track'!$F:$F&amp;'5) Release_Track'!$G:$G,1,0))),vlookup($A166&amp;$B166,{'5) Release_Track'!$F:$F&amp;'5) Release_Track'!$G:$G,'5) Release_Track'!$H:$H},2,0), or(and(not(isblank($B166)),$B166=$B165,$A166&lt;&gt;$A165),and(not(isblank($A166)),$A166=$A165,$B166&lt;&gt;$B165)),"ID LISTS UNALIGNED",and($A166&lt;&gt;"",countif('5) Release_Track'!$F:$F,$A166)=0),"NO ISRC MATCH in Release_Track",and($B166&lt;&gt;"",countif('5) Release_Track'!$G:$G,$B166)=0),"NO CATALOG ID MATCH in Release_Track",iserror(vlookup($A166&amp;$B166,'5) Release_Track'!$F:$F&amp;'5) Release_Track'!$G:$G,1,0)),"NO ISRC-CATALOG ID pair MATCH in Release_Track" )</f>
        <v/>
      </c>
      <c r="D166" s="121" t="str">
        <f t="array" ref="D166">ifs(and(isblank($A166),isblank($B166)),"", not(iserror(vlookup($A166&amp;$B166,'5) Release_Track'!$F:$F&amp;'5) Release_Track'!$G:$G,1,0))),vlookup($A166&amp;$B166,{'5) Release_Track'!$F:$F&amp;'5) Release_Track'!$G:$G,'5) Release_Track'!$I:$I},2,0), or(and(not(isblank($B166)),$B166=$B165,$A166&lt;&gt;$A165),and(not(isblank($A166)),$A166=$A165,$B166&lt;&gt;$B165)),"ID LISTS UNALIGNED",and($A166&lt;&gt;"",countif('5) Release_Track'!$F:$F,$A166)=0),"NO ISRC MATCH in Release_Track",and($B166&lt;&gt;"",countif('5) Release_Track'!$G:$G,$B166)=0),"NO CATALOG ID MATCH in Release_Track",iserror(vlookup($A166&amp;$B166,'5) Release_Track'!$F:$F&amp;'5) Release_Track'!$G:$G,1,0)),"NO ISRC-CATALOG ID pair MATCH in Release_Track" )</f>
        <v/>
      </c>
      <c r="E166" s="125" t="str">
        <f t="array" ref="E166">ifs(and(isblank($A166),isblank($B166)),"", not(iserror(vlookup($A166&amp;$B166,'5) Release_Track'!$F:$F&amp;'5) Release_Track'!$G:$G,1,0))),vlookup($A166&amp;$B166,{'5) Release_Track'!$F:$F&amp;'5) Release_Track'!$G:$G,'5) Release_Track'!$J:$J},2,0), or(and(not(isblank($B166)),$B166=$B165,$A166&lt;&gt;$A165),and(not(isblank($A166)),$A166=$A165,$B166&lt;&gt;$B165)),"ID LISTS UNALIGNED",and($A166&lt;&gt;"",countif('5) Release_Track'!$F:$F,$A166)=0),"NO ISRC MATCH in Release_Track",and($B166&lt;&gt;"",countif('5) Release_Track'!$G:$G,$B166)=0),"NO CATALOG ID MATCH in Release_Track",iserror(vlookup($A166&amp;$B166,'5) Release_Track'!$F:$F&amp;'5) Release_Track'!$G:$G,1,0)),"NO ISRC-CATALOG ID pair MATCH in Release_Track" )</f>
        <v/>
      </c>
      <c r="F166" s="122"/>
      <c r="G166" s="99"/>
      <c r="H166" s="178"/>
      <c r="I166" s="121" t="str">
        <f t="shared" si="6"/>
        <v/>
      </c>
      <c r="J166" s="99"/>
      <c r="K166" s="99"/>
    </row>
    <row r="167">
      <c r="B167" s="103"/>
      <c r="C167" s="121" t="str">
        <f t="array" ref="C167">ifs(and(isblank($A167),isblank($B167)),"", not(iserror(vlookup($A167&amp;$B167,'5) Release_Track'!$F:$F&amp;'5) Release_Track'!$G:$G,1,0))),vlookup($A167&amp;$B167,{'5) Release_Track'!$F:$F&amp;'5) Release_Track'!$G:$G,'5) Release_Track'!$H:$H},2,0), or(and(not(isblank($B167)),$B167=$B166,$A167&lt;&gt;$A166),and(not(isblank($A167)),$A167=$A166,$B167&lt;&gt;$B166)),"ID LISTS UNALIGNED",and($A167&lt;&gt;"",countif('5) Release_Track'!$F:$F,$A167)=0),"NO ISRC MATCH in Release_Track",and($B167&lt;&gt;"",countif('5) Release_Track'!$G:$G,$B167)=0),"NO CATALOG ID MATCH in Release_Track",iserror(vlookup($A167&amp;$B167,'5) Release_Track'!$F:$F&amp;'5) Release_Track'!$G:$G,1,0)),"NO ISRC-CATALOG ID pair MATCH in Release_Track" )</f>
        <v/>
      </c>
      <c r="D167" s="121" t="str">
        <f t="array" ref="D167">ifs(and(isblank($A167),isblank($B167)),"", not(iserror(vlookup($A167&amp;$B167,'5) Release_Track'!$F:$F&amp;'5) Release_Track'!$G:$G,1,0))),vlookup($A167&amp;$B167,{'5) Release_Track'!$F:$F&amp;'5) Release_Track'!$G:$G,'5) Release_Track'!$I:$I},2,0), or(and(not(isblank($B167)),$B167=$B166,$A167&lt;&gt;$A166),and(not(isblank($A167)),$A167=$A166,$B167&lt;&gt;$B166)),"ID LISTS UNALIGNED",and($A167&lt;&gt;"",countif('5) Release_Track'!$F:$F,$A167)=0),"NO ISRC MATCH in Release_Track",and($B167&lt;&gt;"",countif('5) Release_Track'!$G:$G,$B167)=0),"NO CATALOG ID MATCH in Release_Track",iserror(vlookup($A167&amp;$B167,'5) Release_Track'!$F:$F&amp;'5) Release_Track'!$G:$G,1,0)),"NO ISRC-CATALOG ID pair MATCH in Release_Track" )</f>
        <v/>
      </c>
      <c r="E167" s="125" t="str">
        <f t="array" ref="E167">ifs(and(isblank($A167),isblank($B167)),"", not(iserror(vlookup($A167&amp;$B167,'5) Release_Track'!$F:$F&amp;'5) Release_Track'!$G:$G,1,0))),vlookup($A167&amp;$B167,{'5) Release_Track'!$F:$F&amp;'5) Release_Track'!$G:$G,'5) Release_Track'!$J:$J},2,0), or(and(not(isblank($B167)),$B167=$B166,$A167&lt;&gt;$A166),and(not(isblank($A167)),$A167=$A166,$B167&lt;&gt;$B166)),"ID LISTS UNALIGNED",and($A167&lt;&gt;"",countif('5) Release_Track'!$F:$F,$A167)=0),"NO ISRC MATCH in Release_Track",and($B167&lt;&gt;"",countif('5) Release_Track'!$G:$G,$B167)=0),"NO CATALOG ID MATCH in Release_Track",iserror(vlookup($A167&amp;$B167,'5) Release_Track'!$F:$F&amp;'5) Release_Track'!$G:$G,1,0)),"NO ISRC-CATALOG ID pair MATCH in Release_Track" )</f>
        <v/>
      </c>
      <c r="F167" s="122"/>
      <c r="G167" s="99"/>
      <c r="H167" s="178"/>
      <c r="I167" s="121" t="str">
        <f t="shared" si="6"/>
        <v/>
      </c>
      <c r="J167" s="99"/>
      <c r="K167" s="99"/>
    </row>
    <row r="168">
      <c r="B168" s="103"/>
      <c r="C168" s="121" t="str">
        <f t="array" ref="C168">ifs(and(isblank($A168),isblank($B168)),"", not(iserror(vlookup($A168&amp;$B168,'5) Release_Track'!$F:$F&amp;'5) Release_Track'!$G:$G,1,0))),vlookup($A168&amp;$B168,{'5) Release_Track'!$F:$F&amp;'5) Release_Track'!$G:$G,'5) Release_Track'!$H:$H},2,0), or(and(not(isblank($B168)),$B168=$B167,$A168&lt;&gt;$A167),and(not(isblank($A168)),$A168=$A167,$B168&lt;&gt;$B167)),"ID LISTS UNALIGNED",and($A168&lt;&gt;"",countif('5) Release_Track'!$F:$F,$A168)=0),"NO ISRC MATCH in Release_Track",and($B168&lt;&gt;"",countif('5) Release_Track'!$G:$G,$B168)=0),"NO CATALOG ID MATCH in Release_Track",iserror(vlookup($A168&amp;$B168,'5) Release_Track'!$F:$F&amp;'5) Release_Track'!$G:$G,1,0)),"NO ISRC-CATALOG ID pair MATCH in Release_Track" )</f>
        <v/>
      </c>
      <c r="D168" s="121" t="str">
        <f t="array" ref="D168">ifs(and(isblank($A168),isblank($B168)),"", not(iserror(vlookup($A168&amp;$B168,'5) Release_Track'!$F:$F&amp;'5) Release_Track'!$G:$G,1,0))),vlookup($A168&amp;$B168,{'5) Release_Track'!$F:$F&amp;'5) Release_Track'!$G:$G,'5) Release_Track'!$I:$I},2,0), or(and(not(isblank($B168)),$B168=$B167,$A168&lt;&gt;$A167),and(not(isblank($A168)),$A168=$A167,$B168&lt;&gt;$B167)),"ID LISTS UNALIGNED",and($A168&lt;&gt;"",countif('5) Release_Track'!$F:$F,$A168)=0),"NO ISRC MATCH in Release_Track",and($B168&lt;&gt;"",countif('5) Release_Track'!$G:$G,$B168)=0),"NO CATALOG ID MATCH in Release_Track",iserror(vlookup($A168&amp;$B168,'5) Release_Track'!$F:$F&amp;'5) Release_Track'!$G:$G,1,0)),"NO ISRC-CATALOG ID pair MATCH in Release_Track" )</f>
        <v/>
      </c>
      <c r="E168" s="125" t="str">
        <f t="array" ref="E168">ifs(and(isblank($A168),isblank($B168)),"", not(iserror(vlookup($A168&amp;$B168,'5) Release_Track'!$F:$F&amp;'5) Release_Track'!$G:$G,1,0))),vlookup($A168&amp;$B168,{'5) Release_Track'!$F:$F&amp;'5) Release_Track'!$G:$G,'5) Release_Track'!$J:$J},2,0), or(and(not(isblank($B168)),$B168=$B167,$A168&lt;&gt;$A167),and(not(isblank($A168)),$A168=$A167,$B168&lt;&gt;$B167)),"ID LISTS UNALIGNED",and($A168&lt;&gt;"",countif('5) Release_Track'!$F:$F,$A168)=0),"NO ISRC MATCH in Release_Track",and($B168&lt;&gt;"",countif('5) Release_Track'!$G:$G,$B168)=0),"NO CATALOG ID MATCH in Release_Track",iserror(vlookup($A168&amp;$B168,'5) Release_Track'!$F:$F&amp;'5) Release_Track'!$G:$G,1,0)),"NO ISRC-CATALOG ID pair MATCH in Release_Track" )</f>
        <v/>
      </c>
      <c r="F168" s="122"/>
      <c r="G168" s="99"/>
      <c r="H168" s="178"/>
      <c r="I168" s="121" t="str">
        <f t="shared" si="6"/>
        <v/>
      </c>
      <c r="J168" s="99"/>
      <c r="K168" s="99"/>
    </row>
    <row r="169">
      <c r="B169" s="103"/>
      <c r="C169" s="121" t="str">
        <f t="array" ref="C169">ifs(and(isblank($A169),isblank($B169)),"", not(iserror(vlookup($A169&amp;$B169,'5) Release_Track'!$F:$F&amp;'5) Release_Track'!$G:$G,1,0))),vlookup($A169&amp;$B169,{'5) Release_Track'!$F:$F&amp;'5) Release_Track'!$G:$G,'5) Release_Track'!$H:$H},2,0), or(and(not(isblank($B169)),$B169=$B168,$A169&lt;&gt;$A168),and(not(isblank($A169)),$A169=$A168,$B169&lt;&gt;$B168)),"ID LISTS UNALIGNED",and($A169&lt;&gt;"",countif('5) Release_Track'!$F:$F,$A169)=0),"NO ISRC MATCH in Release_Track",and($B169&lt;&gt;"",countif('5) Release_Track'!$G:$G,$B169)=0),"NO CATALOG ID MATCH in Release_Track",iserror(vlookup($A169&amp;$B169,'5) Release_Track'!$F:$F&amp;'5) Release_Track'!$G:$G,1,0)),"NO ISRC-CATALOG ID pair MATCH in Release_Track" )</f>
        <v/>
      </c>
      <c r="D169" s="121" t="str">
        <f t="array" ref="D169">ifs(and(isblank($A169),isblank($B169)),"", not(iserror(vlookup($A169&amp;$B169,'5) Release_Track'!$F:$F&amp;'5) Release_Track'!$G:$G,1,0))),vlookup($A169&amp;$B169,{'5) Release_Track'!$F:$F&amp;'5) Release_Track'!$G:$G,'5) Release_Track'!$I:$I},2,0), or(and(not(isblank($B169)),$B169=$B168,$A169&lt;&gt;$A168),and(not(isblank($A169)),$A169=$A168,$B169&lt;&gt;$B168)),"ID LISTS UNALIGNED",and($A169&lt;&gt;"",countif('5) Release_Track'!$F:$F,$A169)=0),"NO ISRC MATCH in Release_Track",and($B169&lt;&gt;"",countif('5) Release_Track'!$G:$G,$B169)=0),"NO CATALOG ID MATCH in Release_Track",iserror(vlookup($A169&amp;$B169,'5) Release_Track'!$F:$F&amp;'5) Release_Track'!$G:$G,1,0)),"NO ISRC-CATALOG ID pair MATCH in Release_Track" )</f>
        <v/>
      </c>
      <c r="E169" s="125" t="str">
        <f t="array" ref="E169">ifs(and(isblank($A169),isblank($B169)),"", not(iserror(vlookup($A169&amp;$B169,'5) Release_Track'!$F:$F&amp;'5) Release_Track'!$G:$G,1,0))),vlookup($A169&amp;$B169,{'5) Release_Track'!$F:$F&amp;'5) Release_Track'!$G:$G,'5) Release_Track'!$J:$J},2,0), or(and(not(isblank($B169)),$B169=$B168,$A169&lt;&gt;$A168),and(not(isblank($A169)),$A169=$A168,$B169&lt;&gt;$B168)),"ID LISTS UNALIGNED",and($A169&lt;&gt;"",countif('5) Release_Track'!$F:$F,$A169)=0),"NO ISRC MATCH in Release_Track",and($B169&lt;&gt;"",countif('5) Release_Track'!$G:$G,$B169)=0),"NO CATALOG ID MATCH in Release_Track",iserror(vlookup($A169&amp;$B169,'5) Release_Track'!$F:$F&amp;'5) Release_Track'!$G:$G,1,0)),"NO ISRC-CATALOG ID pair MATCH in Release_Track" )</f>
        <v/>
      </c>
      <c r="F169" s="122"/>
      <c r="G169" s="99"/>
      <c r="H169" s="178"/>
      <c r="I169" s="121" t="str">
        <f t="shared" si="6"/>
        <v/>
      </c>
      <c r="J169" s="99"/>
      <c r="K169" s="99"/>
    </row>
    <row r="170">
      <c r="B170" s="103"/>
      <c r="C170" s="121" t="str">
        <f t="array" ref="C170">ifs(and(isblank($A170),isblank($B170)),"", not(iserror(vlookup($A170&amp;$B170,'5) Release_Track'!$F:$F&amp;'5) Release_Track'!$G:$G,1,0))),vlookup($A170&amp;$B170,{'5) Release_Track'!$F:$F&amp;'5) Release_Track'!$G:$G,'5) Release_Track'!$H:$H},2,0), or(and(not(isblank($B170)),$B170=$B169,$A170&lt;&gt;$A169),and(not(isblank($A170)),$A170=$A169,$B170&lt;&gt;$B169)),"ID LISTS UNALIGNED",and($A170&lt;&gt;"",countif('5) Release_Track'!$F:$F,$A170)=0),"NO ISRC MATCH in Release_Track",and($B170&lt;&gt;"",countif('5) Release_Track'!$G:$G,$B170)=0),"NO CATALOG ID MATCH in Release_Track",iserror(vlookup($A170&amp;$B170,'5) Release_Track'!$F:$F&amp;'5) Release_Track'!$G:$G,1,0)),"NO ISRC-CATALOG ID pair MATCH in Release_Track" )</f>
        <v/>
      </c>
      <c r="D170" s="121" t="str">
        <f t="array" ref="D170">ifs(and(isblank($A170),isblank($B170)),"", not(iserror(vlookup($A170&amp;$B170,'5) Release_Track'!$F:$F&amp;'5) Release_Track'!$G:$G,1,0))),vlookup($A170&amp;$B170,{'5) Release_Track'!$F:$F&amp;'5) Release_Track'!$G:$G,'5) Release_Track'!$I:$I},2,0), or(and(not(isblank($B170)),$B170=$B169,$A170&lt;&gt;$A169),and(not(isblank($A170)),$A170=$A169,$B170&lt;&gt;$B169)),"ID LISTS UNALIGNED",and($A170&lt;&gt;"",countif('5) Release_Track'!$F:$F,$A170)=0),"NO ISRC MATCH in Release_Track",and($B170&lt;&gt;"",countif('5) Release_Track'!$G:$G,$B170)=0),"NO CATALOG ID MATCH in Release_Track",iserror(vlookup($A170&amp;$B170,'5) Release_Track'!$F:$F&amp;'5) Release_Track'!$G:$G,1,0)),"NO ISRC-CATALOG ID pair MATCH in Release_Track" )</f>
        <v/>
      </c>
      <c r="E170" s="125" t="str">
        <f t="array" ref="E170">ifs(and(isblank($A170),isblank($B170)),"", not(iserror(vlookup($A170&amp;$B170,'5) Release_Track'!$F:$F&amp;'5) Release_Track'!$G:$G,1,0))),vlookup($A170&amp;$B170,{'5) Release_Track'!$F:$F&amp;'5) Release_Track'!$G:$G,'5) Release_Track'!$J:$J},2,0), or(and(not(isblank($B170)),$B170=$B169,$A170&lt;&gt;$A169),and(not(isblank($A170)),$A170=$A169,$B170&lt;&gt;$B169)),"ID LISTS UNALIGNED",and($A170&lt;&gt;"",countif('5) Release_Track'!$F:$F,$A170)=0),"NO ISRC MATCH in Release_Track",and($B170&lt;&gt;"",countif('5) Release_Track'!$G:$G,$B170)=0),"NO CATALOG ID MATCH in Release_Track",iserror(vlookup($A170&amp;$B170,'5) Release_Track'!$F:$F&amp;'5) Release_Track'!$G:$G,1,0)),"NO ISRC-CATALOG ID pair MATCH in Release_Track" )</f>
        <v/>
      </c>
      <c r="F170" s="122"/>
      <c r="G170" s="99"/>
      <c r="H170" s="178"/>
      <c r="I170" s="121" t="str">
        <f t="shared" si="6"/>
        <v/>
      </c>
      <c r="J170" s="99"/>
      <c r="K170" s="99"/>
    </row>
    <row r="171">
      <c r="B171" s="103"/>
      <c r="C171" s="121" t="str">
        <f t="array" ref="C171">ifs(and(isblank($A171),isblank($B171)),"", not(iserror(vlookup($A171&amp;$B171,'5) Release_Track'!$F:$F&amp;'5) Release_Track'!$G:$G,1,0))),vlookup($A171&amp;$B171,{'5) Release_Track'!$F:$F&amp;'5) Release_Track'!$G:$G,'5) Release_Track'!$H:$H},2,0), or(and(not(isblank($B171)),$B171=$B170,$A171&lt;&gt;$A170),and(not(isblank($A171)),$A171=$A170,$B171&lt;&gt;$B170)),"ID LISTS UNALIGNED",and($A171&lt;&gt;"",countif('5) Release_Track'!$F:$F,$A171)=0),"NO ISRC MATCH in Release_Track",and($B171&lt;&gt;"",countif('5) Release_Track'!$G:$G,$B171)=0),"NO CATALOG ID MATCH in Release_Track",iserror(vlookup($A171&amp;$B171,'5) Release_Track'!$F:$F&amp;'5) Release_Track'!$G:$G,1,0)),"NO ISRC-CATALOG ID pair MATCH in Release_Track" )</f>
        <v/>
      </c>
      <c r="D171" s="121" t="str">
        <f t="array" ref="D171">ifs(and(isblank($A171),isblank($B171)),"", not(iserror(vlookup($A171&amp;$B171,'5) Release_Track'!$F:$F&amp;'5) Release_Track'!$G:$G,1,0))),vlookup($A171&amp;$B171,{'5) Release_Track'!$F:$F&amp;'5) Release_Track'!$G:$G,'5) Release_Track'!$I:$I},2,0), or(and(not(isblank($B171)),$B171=$B170,$A171&lt;&gt;$A170),and(not(isblank($A171)),$A171=$A170,$B171&lt;&gt;$B170)),"ID LISTS UNALIGNED",and($A171&lt;&gt;"",countif('5) Release_Track'!$F:$F,$A171)=0),"NO ISRC MATCH in Release_Track",and($B171&lt;&gt;"",countif('5) Release_Track'!$G:$G,$B171)=0),"NO CATALOG ID MATCH in Release_Track",iserror(vlookup($A171&amp;$B171,'5) Release_Track'!$F:$F&amp;'5) Release_Track'!$G:$G,1,0)),"NO ISRC-CATALOG ID pair MATCH in Release_Track" )</f>
        <v/>
      </c>
      <c r="E171" s="125" t="str">
        <f t="array" ref="E171">ifs(and(isblank($A171),isblank($B171)),"", not(iserror(vlookup($A171&amp;$B171,'5) Release_Track'!$F:$F&amp;'5) Release_Track'!$G:$G,1,0))),vlookup($A171&amp;$B171,{'5) Release_Track'!$F:$F&amp;'5) Release_Track'!$G:$G,'5) Release_Track'!$J:$J},2,0), or(and(not(isblank($B171)),$B171=$B170,$A171&lt;&gt;$A170),and(not(isblank($A171)),$A171=$A170,$B171&lt;&gt;$B170)),"ID LISTS UNALIGNED",and($A171&lt;&gt;"",countif('5) Release_Track'!$F:$F,$A171)=0),"NO ISRC MATCH in Release_Track",and($B171&lt;&gt;"",countif('5) Release_Track'!$G:$G,$B171)=0),"NO CATALOG ID MATCH in Release_Track",iserror(vlookup($A171&amp;$B171,'5) Release_Track'!$F:$F&amp;'5) Release_Track'!$G:$G,1,0)),"NO ISRC-CATALOG ID pair MATCH in Release_Track" )</f>
        <v/>
      </c>
      <c r="F171" s="122"/>
      <c r="G171" s="99"/>
      <c r="H171" s="178"/>
      <c r="I171" s="121" t="str">
        <f t="shared" si="6"/>
        <v/>
      </c>
      <c r="J171" s="99"/>
      <c r="K171" s="99"/>
    </row>
    <row r="172">
      <c r="B172" s="103"/>
      <c r="C172" s="121" t="str">
        <f t="array" ref="C172">ifs(and(isblank($A172),isblank($B172)),"", not(iserror(vlookup($A172&amp;$B172,'5) Release_Track'!$F:$F&amp;'5) Release_Track'!$G:$G,1,0))),vlookup($A172&amp;$B172,{'5) Release_Track'!$F:$F&amp;'5) Release_Track'!$G:$G,'5) Release_Track'!$H:$H},2,0), or(and(not(isblank($B172)),$B172=$B171,$A172&lt;&gt;$A171),and(not(isblank($A172)),$A172=$A171,$B172&lt;&gt;$B171)),"ID LISTS UNALIGNED",and($A172&lt;&gt;"",countif('5) Release_Track'!$F:$F,$A172)=0),"NO ISRC MATCH in Release_Track",and($B172&lt;&gt;"",countif('5) Release_Track'!$G:$G,$B172)=0),"NO CATALOG ID MATCH in Release_Track",iserror(vlookup($A172&amp;$B172,'5) Release_Track'!$F:$F&amp;'5) Release_Track'!$G:$G,1,0)),"NO ISRC-CATALOG ID pair MATCH in Release_Track" )</f>
        <v/>
      </c>
      <c r="D172" s="121" t="str">
        <f t="array" ref="D172">ifs(and(isblank($A172),isblank($B172)),"", not(iserror(vlookup($A172&amp;$B172,'5) Release_Track'!$F:$F&amp;'5) Release_Track'!$G:$G,1,0))),vlookup($A172&amp;$B172,{'5) Release_Track'!$F:$F&amp;'5) Release_Track'!$G:$G,'5) Release_Track'!$I:$I},2,0), or(and(not(isblank($B172)),$B172=$B171,$A172&lt;&gt;$A171),and(not(isblank($A172)),$A172=$A171,$B172&lt;&gt;$B171)),"ID LISTS UNALIGNED",and($A172&lt;&gt;"",countif('5) Release_Track'!$F:$F,$A172)=0),"NO ISRC MATCH in Release_Track",and($B172&lt;&gt;"",countif('5) Release_Track'!$G:$G,$B172)=0),"NO CATALOG ID MATCH in Release_Track",iserror(vlookup($A172&amp;$B172,'5) Release_Track'!$F:$F&amp;'5) Release_Track'!$G:$G,1,0)),"NO ISRC-CATALOG ID pair MATCH in Release_Track" )</f>
        <v/>
      </c>
      <c r="E172" s="125" t="str">
        <f t="array" ref="E172">ifs(and(isblank($A172),isblank($B172)),"", not(iserror(vlookup($A172&amp;$B172,'5) Release_Track'!$F:$F&amp;'5) Release_Track'!$G:$G,1,0))),vlookup($A172&amp;$B172,{'5) Release_Track'!$F:$F&amp;'5) Release_Track'!$G:$G,'5) Release_Track'!$J:$J},2,0), or(and(not(isblank($B172)),$B172=$B171,$A172&lt;&gt;$A171),and(not(isblank($A172)),$A172=$A171,$B172&lt;&gt;$B171)),"ID LISTS UNALIGNED",and($A172&lt;&gt;"",countif('5) Release_Track'!$F:$F,$A172)=0),"NO ISRC MATCH in Release_Track",and($B172&lt;&gt;"",countif('5) Release_Track'!$G:$G,$B172)=0),"NO CATALOG ID MATCH in Release_Track",iserror(vlookup($A172&amp;$B172,'5) Release_Track'!$F:$F&amp;'5) Release_Track'!$G:$G,1,0)),"NO ISRC-CATALOG ID pair MATCH in Release_Track" )</f>
        <v/>
      </c>
      <c r="F172" s="122"/>
      <c r="G172" s="99"/>
      <c r="H172" s="178"/>
      <c r="I172" s="121" t="str">
        <f t="shared" si="6"/>
        <v/>
      </c>
      <c r="J172" s="99"/>
      <c r="K172" s="99"/>
    </row>
    <row r="173">
      <c r="B173" s="103"/>
      <c r="C173" s="121" t="str">
        <f t="array" ref="C173">ifs(and(isblank($A173),isblank($B173)),"", not(iserror(vlookup($A173&amp;$B173,'5) Release_Track'!$F:$F&amp;'5) Release_Track'!$G:$G,1,0))),vlookup($A173&amp;$B173,{'5) Release_Track'!$F:$F&amp;'5) Release_Track'!$G:$G,'5) Release_Track'!$H:$H},2,0), or(and(not(isblank($B173)),$B173=$B172,$A173&lt;&gt;$A172),and(not(isblank($A173)),$A173=$A172,$B173&lt;&gt;$B172)),"ID LISTS UNALIGNED",and($A173&lt;&gt;"",countif('5) Release_Track'!$F:$F,$A173)=0),"NO ISRC MATCH in Release_Track",and($B173&lt;&gt;"",countif('5) Release_Track'!$G:$G,$B173)=0),"NO CATALOG ID MATCH in Release_Track",iserror(vlookup($A173&amp;$B173,'5) Release_Track'!$F:$F&amp;'5) Release_Track'!$G:$G,1,0)),"NO ISRC-CATALOG ID pair MATCH in Release_Track" )</f>
        <v/>
      </c>
      <c r="D173" s="121" t="str">
        <f t="array" ref="D173">ifs(and(isblank($A173),isblank($B173)),"", not(iserror(vlookup($A173&amp;$B173,'5) Release_Track'!$F:$F&amp;'5) Release_Track'!$G:$G,1,0))),vlookup($A173&amp;$B173,{'5) Release_Track'!$F:$F&amp;'5) Release_Track'!$G:$G,'5) Release_Track'!$I:$I},2,0), or(and(not(isblank($B173)),$B173=$B172,$A173&lt;&gt;$A172),and(not(isblank($A173)),$A173=$A172,$B173&lt;&gt;$B172)),"ID LISTS UNALIGNED",and($A173&lt;&gt;"",countif('5) Release_Track'!$F:$F,$A173)=0),"NO ISRC MATCH in Release_Track",and($B173&lt;&gt;"",countif('5) Release_Track'!$G:$G,$B173)=0),"NO CATALOG ID MATCH in Release_Track",iserror(vlookup($A173&amp;$B173,'5) Release_Track'!$F:$F&amp;'5) Release_Track'!$G:$G,1,0)),"NO ISRC-CATALOG ID pair MATCH in Release_Track" )</f>
        <v/>
      </c>
      <c r="E173" s="125" t="str">
        <f t="array" ref="E173">ifs(and(isblank($A173),isblank($B173)),"", not(iserror(vlookup($A173&amp;$B173,'5) Release_Track'!$F:$F&amp;'5) Release_Track'!$G:$G,1,0))),vlookup($A173&amp;$B173,{'5) Release_Track'!$F:$F&amp;'5) Release_Track'!$G:$G,'5) Release_Track'!$J:$J},2,0), or(and(not(isblank($B173)),$B173=$B172,$A173&lt;&gt;$A172),and(not(isblank($A173)),$A173=$A172,$B173&lt;&gt;$B172)),"ID LISTS UNALIGNED",and($A173&lt;&gt;"",countif('5) Release_Track'!$F:$F,$A173)=0),"NO ISRC MATCH in Release_Track",and($B173&lt;&gt;"",countif('5) Release_Track'!$G:$G,$B173)=0),"NO CATALOG ID MATCH in Release_Track",iserror(vlookup($A173&amp;$B173,'5) Release_Track'!$F:$F&amp;'5) Release_Track'!$G:$G,1,0)),"NO ISRC-CATALOG ID pair MATCH in Release_Track" )</f>
        <v/>
      </c>
      <c r="F173" s="122"/>
      <c r="G173" s="99"/>
      <c r="H173" s="178"/>
      <c r="I173" s="121" t="str">
        <f t="shared" si="6"/>
        <v/>
      </c>
      <c r="J173" s="99"/>
      <c r="K173" s="99"/>
    </row>
    <row r="174">
      <c r="B174" s="103"/>
      <c r="C174" s="121" t="str">
        <f t="array" ref="C174">ifs(and(isblank($A174),isblank($B174)),"", not(iserror(vlookup($A174&amp;$B174,'5) Release_Track'!$F:$F&amp;'5) Release_Track'!$G:$G,1,0))),vlookup($A174&amp;$B174,{'5) Release_Track'!$F:$F&amp;'5) Release_Track'!$G:$G,'5) Release_Track'!$H:$H},2,0), or(and(not(isblank($B174)),$B174=$B173,$A174&lt;&gt;$A173),and(not(isblank($A174)),$A174=$A173,$B174&lt;&gt;$B173)),"ID LISTS UNALIGNED",and($A174&lt;&gt;"",countif('5) Release_Track'!$F:$F,$A174)=0),"NO ISRC MATCH in Release_Track",and($B174&lt;&gt;"",countif('5) Release_Track'!$G:$G,$B174)=0),"NO CATALOG ID MATCH in Release_Track",iserror(vlookup($A174&amp;$B174,'5) Release_Track'!$F:$F&amp;'5) Release_Track'!$G:$G,1,0)),"NO ISRC-CATALOG ID pair MATCH in Release_Track" )</f>
        <v/>
      </c>
      <c r="D174" s="121" t="str">
        <f t="array" ref="D174">ifs(and(isblank($A174),isblank($B174)),"", not(iserror(vlookup($A174&amp;$B174,'5) Release_Track'!$F:$F&amp;'5) Release_Track'!$G:$G,1,0))),vlookup($A174&amp;$B174,{'5) Release_Track'!$F:$F&amp;'5) Release_Track'!$G:$G,'5) Release_Track'!$I:$I},2,0), or(and(not(isblank($B174)),$B174=$B173,$A174&lt;&gt;$A173),and(not(isblank($A174)),$A174=$A173,$B174&lt;&gt;$B173)),"ID LISTS UNALIGNED",and($A174&lt;&gt;"",countif('5) Release_Track'!$F:$F,$A174)=0),"NO ISRC MATCH in Release_Track",and($B174&lt;&gt;"",countif('5) Release_Track'!$G:$G,$B174)=0),"NO CATALOG ID MATCH in Release_Track",iserror(vlookup($A174&amp;$B174,'5) Release_Track'!$F:$F&amp;'5) Release_Track'!$G:$G,1,0)),"NO ISRC-CATALOG ID pair MATCH in Release_Track" )</f>
        <v/>
      </c>
      <c r="E174" s="125" t="str">
        <f t="array" ref="E174">ifs(and(isblank($A174),isblank($B174)),"", not(iserror(vlookup($A174&amp;$B174,'5) Release_Track'!$F:$F&amp;'5) Release_Track'!$G:$G,1,0))),vlookup($A174&amp;$B174,{'5) Release_Track'!$F:$F&amp;'5) Release_Track'!$G:$G,'5) Release_Track'!$J:$J},2,0), or(and(not(isblank($B174)),$B174=$B173,$A174&lt;&gt;$A173),and(not(isblank($A174)),$A174=$A173,$B174&lt;&gt;$B173)),"ID LISTS UNALIGNED",and($A174&lt;&gt;"",countif('5) Release_Track'!$F:$F,$A174)=0),"NO ISRC MATCH in Release_Track",and($B174&lt;&gt;"",countif('5) Release_Track'!$G:$G,$B174)=0),"NO CATALOG ID MATCH in Release_Track",iserror(vlookup($A174&amp;$B174,'5) Release_Track'!$F:$F&amp;'5) Release_Track'!$G:$G,1,0)),"NO ISRC-CATALOG ID pair MATCH in Release_Track" )</f>
        <v/>
      </c>
      <c r="F174" s="122"/>
      <c r="G174" s="99"/>
      <c r="H174" s="178"/>
      <c r="I174" s="121" t="str">
        <f t="shared" si="6"/>
        <v/>
      </c>
      <c r="J174" s="99"/>
      <c r="K174" s="99"/>
    </row>
    <row r="175">
      <c r="B175" s="103"/>
      <c r="C175" s="121" t="str">
        <f t="array" ref="C175">ifs(and(isblank($A175),isblank($B175)),"", not(iserror(vlookup($A175&amp;$B175,'5) Release_Track'!$F:$F&amp;'5) Release_Track'!$G:$G,1,0))),vlookup($A175&amp;$B175,{'5) Release_Track'!$F:$F&amp;'5) Release_Track'!$G:$G,'5) Release_Track'!$H:$H},2,0), or(and(not(isblank($B175)),$B175=$B174,$A175&lt;&gt;$A174),and(not(isblank($A175)),$A175=$A174,$B175&lt;&gt;$B174)),"ID LISTS UNALIGNED",and($A175&lt;&gt;"",countif('5) Release_Track'!$F:$F,$A175)=0),"NO ISRC MATCH in Release_Track",and($B175&lt;&gt;"",countif('5) Release_Track'!$G:$G,$B175)=0),"NO CATALOG ID MATCH in Release_Track",iserror(vlookup($A175&amp;$B175,'5) Release_Track'!$F:$F&amp;'5) Release_Track'!$G:$G,1,0)),"NO ISRC-CATALOG ID pair MATCH in Release_Track" )</f>
        <v/>
      </c>
      <c r="D175" s="121" t="str">
        <f t="array" ref="D175">ifs(and(isblank($A175),isblank($B175)),"", not(iserror(vlookup($A175&amp;$B175,'5) Release_Track'!$F:$F&amp;'5) Release_Track'!$G:$G,1,0))),vlookup($A175&amp;$B175,{'5) Release_Track'!$F:$F&amp;'5) Release_Track'!$G:$G,'5) Release_Track'!$I:$I},2,0), or(and(not(isblank($B175)),$B175=$B174,$A175&lt;&gt;$A174),and(not(isblank($A175)),$A175=$A174,$B175&lt;&gt;$B174)),"ID LISTS UNALIGNED",and($A175&lt;&gt;"",countif('5) Release_Track'!$F:$F,$A175)=0),"NO ISRC MATCH in Release_Track",and($B175&lt;&gt;"",countif('5) Release_Track'!$G:$G,$B175)=0),"NO CATALOG ID MATCH in Release_Track",iserror(vlookup($A175&amp;$B175,'5) Release_Track'!$F:$F&amp;'5) Release_Track'!$G:$G,1,0)),"NO ISRC-CATALOG ID pair MATCH in Release_Track" )</f>
        <v/>
      </c>
      <c r="E175" s="125" t="str">
        <f t="array" ref="E175">ifs(and(isblank($A175),isblank($B175)),"", not(iserror(vlookup($A175&amp;$B175,'5) Release_Track'!$F:$F&amp;'5) Release_Track'!$G:$G,1,0))),vlookup($A175&amp;$B175,{'5) Release_Track'!$F:$F&amp;'5) Release_Track'!$G:$G,'5) Release_Track'!$J:$J},2,0), or(and(not(isblank($B175)),$B175=$B174,$A175&lt;&gt;$A174),and(not(isblank($A175)),$A175=$A174,$B175&lt;&gt;$B174)),"ID LISTS UNALIGNED",and($A175&lt;&gt;"",countif('5) Release_Track'!$F:$F,$A175)=0),"NO ISRC MATCH in Release_Track",and($B175&lt;&gt;"",countif('5) Release_Track'!$G:$G,$B175)=0),"NO CATALOG ID MATCH in Release_Track",iserror(vlookup($A175&amp;$B175,'5) Release_Track'!$F:$F&amp;'5) Release_Track'!$G:$G,1,0)),"NO ISRC-CATALOG ID pair MATCH in Release_Track" )</f>
        <v/>
      </c>
      <c r="F175" s="122"/>
      <c r="G175" s="99"/>
      <c r="H175" s="178"/>
      <c r="I175" s="121" t="str">
        <f t="shared" si="6"/>
        <v/>
      </c>
      <c r="J175" s="99"/>
      <c r="K175" s="99"/>
    </row>
    <row r="176">
      <c r="B176" s="103"/>
      <c r="C176" s="121" t="str">
        <f t="array" ref="C176">ifs(and(isblank($A176),isblank($B176)),"", not(iserror(vlookup($A176&amp;$B176,'5) Release_Track'!$F:$F&amp;'5) Release_Track'!$G:$G,1,0))),vlookup($A176&amp;$B176,{'5) Release_Track'!$F:$F&amp;'5) Release_Track'!$G:$G,'5) Release_Track'!$H:$H},2,0), or(and(not(isblank($B176)),$B176=$B175,$A176&lt;&gt;$A175),and(not(isblank($A176)),$A176=$A175,$B176&lt;&gt;$B175)),"ID LISTS UNALIGNED",and($A176&lt;&gt;"",countif('5) Release_Track'!$F:$F,$A176)=0),"NO ISRC MATCH in Release_Track",and($B176&lt;&gt;"",countif('5) Release_Track'!$G:$G,$B176)=0),"NO CATALOG ID MATCH in Release_Track",iserror(vlookup($A176&amp;$B176,'5) Release_Track'!$F:$F&amp;'5) Release_Track'!$G:$G,1,0)),"NO ISRC-CATALOG ID pair MATCH in Release_Track" )</f>
        <v/>
      </c>
      <c r="D176" s="121" t="str">
        <f t="array" ref="D176">ifs(and(isblank($A176),isblank($B176)),"", not(iserror(vlookup($A176&amp;$B176,'5) Release_Track'!$F:$F&amp;'5) Release_Track'!$G:$G,1,0))),vlookup($A176&amp;$B176,{'5) Release_Track'!$F:$F&amp;'5) Release_Track'!$G:$G,'5) Release_Track'!$I:$I},2,0), or(and(not(isblank($B176)),$B176=$B175,$A176&lt;&gt;$A175),and(not(isblank($A176)),$A176=$A175,$B176&lt;&gt;$B175)),"ID LISTS UNALIGNED",and($A176&lt;&gt;"",countif('5) Release_Track'!$F:$F,$A176)=0),"NO ISRC MATCH in Release_Track",and($B176&lt;&gt;"",countif('5) Release_Track'!$G:$G,$B176)=0),"NO CATALOG ID MATCH in Release_Track",iserror(vlookup($A176&amp;$B176,'5) Release_Track'!$F:$F&amp;'5) Release_Track'!$G:$G,1,0)),"NO ISRC-CATALOG ID pair MATCH in Release_Track" )</f>
        <v/>
      </c>
      <c r="E176" s="125" t="str">
        <f t="array" ref="E176">ifs(and(isblank($A176),isblank($B176)),"", not(iserror(vlookup($A176&amp;$B176,'5) Release_Track'!$F:$F&amp;'5) Release_Track'!$G:$G,1,0))),vlookup($A176&amp;$B176,{'5) Release_Track'!$F:$F&amp;'5) Release_Track'!$G:$G,'5) Release_Track'!$J:$J},2,0), or(and(not(isblank($B176)),$B176=$B175,$A176&lt;&gt;$A175),and(not(isblank($A176)),$A176=$A175,$B176&lt;&gt;$B175)),"ID LISTS UNALIGNED",and($A176&lt;&gt;"",countif('5) Release_Track'!$F:$F,$A176)=0),"NO ISRC MATCH in Release_Track",and($B176&lt;&gt;"",countif('5) Release_Track'!$G:$G,$B176)=0),"NO CATALOG ID MATCH in Release_Track",iserror(vlookup($A176&amp;$B176,'5) Release_Track'!$F:$F&amp;'5) Release_Track'!$G:$G,1,0)),"NO ISRC-CATALOG ID pair MATCH in Release_Track" )</f>
        <v/>
      </c>
      <c r="F176" s="122"/>
      <c r="G176" s="99"/>
      <c r="H176" s="178"/>
      <c r="I176" s="121" t="str">
        <f t="shared" si="6"/>
        <v/>
      </c>
      <c r="J176" s="99"/>
      <c r="K176" s="99"/>
    </row>
    <row r="177">
      <c r="B177" s="103"/>
      <c r="C177" s="121" t="str">
        <f t="array" ref="C177">ifs(and(isblank($A177),isblank($B177)),"", not(iserror(vlookup($A177&amp;$B177,'5) Release_Track'!$F:$F&amp;'5) Release_Track'!$G:$G,1,0))),vlookup($A177&amp;$B177,{'5) Release_Track'!$F:$F&amp;'5) Release_Track'!$G:$G,'5) Release_Track'!$H:$H},2,0), or(and(not(isblank($B177)),$B177=$B176,$A177&lt;&gt;$A176),and(not(isblank($A177)),$A177=$A176,$B177&lt;&gt;$B176)),"ID LISTS UNALIGNED",and($A177&lt;&gt;"",countif('5) Release_Track'!$F:$F,$A177)=0),"NO ISRC MATCH in Release_Track",and($B177&lt;&gt;"",countif('5) Release_Track'!$G:$G,$B177)=0),"NO CATALOG ID MATCH in Release_Track",iserror(vlookup($A177&amp;$B177,'5) Release_Track'!$F:$F&amp;'5) Release_Track'!$G:$G,1,0)),"NO ISRC-CATALOG ID pair MATCH in Release_Track" )</f>
        <v/>
      </c>
      <c r="D177" s="121" t="str">
        <f t="array" ref="D177">ifs(and(isblank($A177),isblank($B177)),"", not(iserror(vlookup($A177&amp;$B177,'5) Release_Track'!$F:$F&amp;'5) Release_Track'!$G:$G,1,0))),vlookup($A177&amp;$B177,{'5) Release_Track'!$F:$F&amp;'5) Release_Track'!$G:$G,'5) Release_Track'!$I:$I},2,0), or(and(not(isblank($B177)),$B177=$B176,$A177&lt;&gt;$A176),and(not(isblank($A177)),$A177=$A176,$B177&lt;&gt;$B176)),"ID LISTS UNALIGNED",and($A177&lt;&gt;"",countif('5) Release_Track'!$F:$F,$A177)=0),"NO ISRC MATCH in Release_Track",and($B177&lt;&gt;"",countif('5) Release_Track'!$G:$G,$B177)=0),"NO CATALOG ID MATCH in Release_Track",iserror(vlookup($A177&amp;$B177,'5) Release_Track'!$F:$F&amp;'5) Release_Track'!$G:$G,1,0)),"NO ISRC-CATALOG ID pair MATCH in Release_Track" )</f>
        <v/>
      </c>
      <c r="E177" s="125" t="str">
        <f t="array" ref="E177">ifs(and(isblank($A177),isblank($B177)),"", not(iserror(vlookup($A177&amp;$B177,'5) Release_Track'!$F:$F&amp;'5) Release_Track'!$G:$G,1,0))),vlookup($A177&amp;$B177,{'5) Release_Track'!$F:$F&amp;'5) Release_Track'!$G:$G,'5) Release_Track'!$J:$J},2,0), or(and(not(isblank($B177)),$B177=$B176,$A177&lt;&gt;$A176),and(not(isblank($A177)),$A177=$A176,$B177&lt;&gt;$B176)),"ID LISTS UNALIGNED",and($A177&lt;&gt;"",countif('5) Release_Track'!$F:$F,$A177)=0),"NO ISRC MATCH in Release_Track",and($B177&lt;&gt;"",countif('5) Release_Track'!$G:$G,$B177)=0),"NO CATALOG ID MATCH in Release_Track",iserror(vlookup($A177&amp;$B177,'5) Release_Track'!$F:$F&amp;'5) Release_Track'!$G:$G,1,0)),"NO ISRC-CATALOG ID pair MATCH in Release_Track" )</f>
        <v/>
      </c>
      <c r="F177" s="122"/>
      <c r="G177" s="99"/>
      <c r="H177" s="178"/>
      <c r="I177" s="121" t="str">
        <f t="shared" si="6"/>
        <v/>
      </c>
      <c r="J177" s="99"/>
      <c r="K177" s="99"/>
    </row>
    <row r="178">
      <c r="B178" s="103"/>
      <c r="C178" s="121" t="str">
        <f t="array" ref="C178">ifs(and(isblank($A178),isblank($B178)),"", not(iserror(vlookup($A178&amp;$B178,'5) Release_Track'!$F:$F&amp;'5) Release_Track'!$G:$G,1,0))),vlookup($A178&amp;$B178,{'5) Release_Track'!$F:$F&amp;'5) Release_Track'!$G:$G,'5) Release_Track'!$H:$H},2,0), or(and(not(isblank($B178)),$B178=$B177,$A178&lt;&gt;$A177),and(not(isblank($A178)),$A178=$A177,$B178&lt;&gt;$B177)),"ID LISTS UNALIGNED",and($A178&lt;&gt;"",countif('5) Release_Track'!$F:$F,$A178)=0),"NO ISRC MATCH in Release_Track",and($B178&lt;&gt;"",countif('5) Release_Track'!$G:$G,$B178)=0),"NO CATALOG ID MATCH in Release_Track",iserror(vlookup($A178&amp;$B178,'5) Release_Track'!$F:$F&amp;'5) Release_Track'!$G:$G,1,0)),"NO ISRC-CATALOG ID pair MATCH in Release_Track" )</f>
        <v/>
      </c>
      <c r="D178" s="121" t="str">
        <f t="array" ref="D178">ifs(and(isblank($A178),isblank($B178)),"", not(iserror(vlookup($A178&amp;$B178,'5) Release_Track'!$F:$F&amp;'5) Release_Track'!$G:$G,1,0))),vlookup($A178&amp;$B178,{'5) Release_Track'!$F:$F&amp;'5) Release_Track'!$G:$G,'5) Release_Track'!$I:$I},2,0), or(and(not(isblank($B178)),$B178=$B177,$A178&lt;&gt;$A177),and(not(isblank($A178)),$A178=$A177,$B178&lt;&gt;$B177)),"ID LISTS UNALIGNED",and($A178&lt;&gt;"",countif('5) Release_Track'!$F:$F,$A178)=0),"NO ISRC MATCH in Release_Track",and($B178&lt;&gt;"",countif('5) Release_Track'!$G:$G,$B178)=0),"NO CATALOG ID MATCH in Release_Track",iserror(vlookup($A178&amp;$B178,'5) Release_Track'!$F:$F&amp;'5) Release_Track'!$G:$G,1,0)),"NO ISRC-CATALOG ID pair MATCH in Release_Track" )</f>
        <v/>
      </c>
      <c r="E178" s="125" t="str">
        <f t="array" ref="E178">ifs(and(isblank($A178),isblank($B178)),"", not(iserror(vlookup($A178&amp;$B178,'5) Release_Track'!$F:$F&amp;'5) Release_Track'!$G:$G,1,0))),vlookup($A178&amp;$B178,{'5) Release_Track'!$F:$F&amp;'5) Release_Track'!$G:$G,'5) Release_Track'!$J:$J},2,0), or(and(not(isblank($B178)),$B178=$B177,$A178&lt;&gt;$A177),and(not(isblank($A178)),$A178=$A177,$B178&lt;&gt;$B177)),"ID LISTS UNALIGNED",and($A178&lt;&gt;"",countif('5) Release_Track'!$F:$F,$A178)=0),"NO ISRC MATCH in Release_Track",and($B178&lt;&gt;"",countif('5) Release_Track'!$G:$G,$B178)=0),"NO CATALOG ID MATCH in Release_Track",iserror(vlookup($A178&amp;$B178,'5) Release_Track'!$F:$F&amp;'5) Release_Track'!$G:$G,1,0)),"NO ISRC-CATALOG ID pair MATCH in Release_Track" )</f>
        <v/>
      </c>
      <c r="F178" s="122"/>
      <c r="G178" s="99"/>
      <c r="H178" s="178"/>
      <c r="I178" s="121" t="str">
        <f t="shared" si="6"/>
        <v/>
      </c>
      <c r="J178" s="99"/>
      <c r="K178" s="99"/>
    </row>
    <row r="179">
      <c r="B179" s="103"/>
      <c r="C179" s="121" t="str">
        <f t="array" ref="C179">ifs(and(isblank($A179),isblank($B179)),"", not(iserror(vlookup($A179&amp;$B179,'5) Release_Track'!$F:$F&amp;'5) Release_Track'!$G:$G,1,0))),vlookup($A179&amp;$B179,{'5) Release_Track'!$F:$F&amp;'5) Release_Track'!$G:$G,'5) Release_Track'!$H:$H},2,0), or(and(not(isblank($B179)),$B179=$B178,$A179&lt;&gt;$A178),and(not(isblank($A179)),$A179=$A178,$B179&lt;&gt;$B178)),"ID LISTS UNALIGNED",and($A179&lt;&gt;"",countif('5) Release_Track'!$F:$F,$A179)=0),"NO ISRC MATCH in Release_Track",and($B179&lt;&gt;"",countif('5) Release_Track'!$G:$G,$B179)=0),"NO CATALOG ID MATCH in Release_Track",iserror(vlookup($A179&amp;$B179,'5) Release_Track'!$F:$F&amp;'5) Release_Track'!$G:$G,1,0)),"NO ISRC-CATALOG ID pair MATCH in Release_Track" )</f>
        <v/>
      </c>
      <c r="D179" s="121" t="str">
        <f t="array" ref="D179">ifs(and(isblank($A179),isblank($B179)),"", not(iserror(vlookup($A179&amp;$B179,'5) Release_Track'!$F:$F&amp;'5) Release_Track'!$G:$G,1,0))),vlookup($A179&amp;$B179,{'5) Release_Track'!$F:$F&amp;'5) Release_Track'!$G:$G,'5) Release_Track'!$I:$I},2,0), or(and(not(isblank($B179)),$B179=$B178,$A179&lt;&gt;$A178),and(not(isblank($A179)),$A179=$A178,$B179&lt;&gt;$B178)),"ID LISTS UNALIGNED",and($A179&lt;&gt;"",countif('5) Release_Track'!$F:$F,$A179)=0),"NO ISRC MATCH in Release_Track",and($B179&lt;&gt;"",countif('5) Release_Track'!$G:$G,$B179)=0),"NO CATALOG ID MATCH in Release_Track",iserror(vlookup($A179&amp;$B179,'5) Release_Track'!$F:$F&amp;'5) Release_Track'!$G:$G,1,0)),"NO ISRC-CATALOG ID pair MATCH in Release_Track" )</f>
        <v/>
      </c>
      <c r="E179" s="125" t="str">
        <f t="array" ref="E179">ifs(and(isblank($A179),isblank($B179)),"", not(iserror(vlookup($A179&amp;$B179,'5) Release_Track'!$F:$F&amp;'5) Release_Track'!$G:$G,1,0))),vlookup($A179&amp;$B179,{'5) Release_Track'!$F:$F&amp;'5) Release_Track'!$G:$G,'5) Release_Track'!$J:$J},2,0), or(and(not(isblank($B179)),$B179=$B178,$A179&lt;&gt;$A178),and(not(isblank($A179)),$A179=$A178,$B179&lt;&gt;$B178)),"ID LISTS UNALIGNED",and($A179&lt;&gt;"",countif('5) Release_Track'!$F:$F,$A179)=0),"NO ISRC MATCH in Release_Track",and($B179&lt;&gt;"",countif('5) Release_Track'!$G:$G,$B179)=0),"NO CATALOG ID MATCH in Release_Track",iserror(vlookup($A179&amp;$B179,'5) Release_Track'!$F:$F&amp;'5) Release_Track'!$G:$G,1,0)),"NO ISRC-CATALOG ID pair MATCH in Release_Track" )</f>
        <v/>
      </c>
      <c r="F179" s="122"/>
      <c r="G179" s="99"/>
      <c r="H179" s="178"/>
      <c r="I179" s="121" t="str">
        <f t="shared" si="6"/>
        <v/>
      </c>
      <c r="J179" s="99"/>
      <c r="K179" s="99"/>
    </row>
    <row r="180">
      <c r="B180" s="103"/>
      <c r="C180" s="121" t="str">
        <f t="array" ref="C180">ifs(and(isblank($A180),isblank($B180)),"", not(iserror(vlookup($A180&amp;$B180,'5) Release_Track'!$F:$F&amp;'5) Release_Track'!$G:$G,1,0))),vlookup($A180&amp;$B180,{'5) Release_Track'!$F:$F&amp;'5) Release_Track'!$G:$G,'5) Release_Track'!$H:$H},2,0), or(and(not(isblank($B180)),$B180=$B179,$A180&lt;&gt;$A179),and(not(isblank($A180)),$A180=$A179,$B180&lt;&gt;$B179)),"ID LISTS UNALIGNED",and($A180&lt;&gt;"",countif('5) Release_Track'!$F:$F,$A180)=0),"NO ISRC MATCH in Release_Track",and($B180&lt;&gt;"",countif('5) Release_Track'!$G:$G,$B180)=0),"NO CATALOG ID MATCH in Release_Track",iserror(vlookup($A180&amp;$B180,'5) Release_Track'!$F:$F&amp;'5) Release_Track'!$G:$G,1,0)),"NO ISRC-CATALOG ID pair MATCH in Release_Track" )</f>
        <v/>
      </c>
      <c r="D180" s="121" t="str">
        <f t="array" ref="D180">ifs(and(isblank($A180),isblank($B180)),"", not(iserror(vlookup($A180&amp;$B180,'5) Release_Track'!$F:$F&amp;'5) Release_Track'!$G:$G,1,0))),vlookup($A180&amp;$B180,{'5) Release_Track'!$F:$F&amp;'5) Release_Track'!$G:$G,'5) Release_Track'!$I:$I},2,0), or(and(not(isblank($B180)),$B180=$B179,$A180&lt;&gt;$A179),and(not(isblank($A180)),$A180=$A179,$B180&lt;&gt;$B179)),"ID LISTS UNALIGNED",and($A180&lt;&gt;"",countif('5) Release_Track'!$F:$F,$A180)=0),"NO ISRC MATCH in Release_Track",and($B180&lt;&gt;"",countif('5) Release_Track'!$G:$G,$B180)=0),"NO CATALOG ID MATCH in Release_Track",iserror(vlookup($A180&amp;$B180,'5) Release_Track'!$F:$F&amp;'5) Release_Track'!$G:$G,1,0)),"NO ISRC-CATALOG ID pair MATCH in Release_Track" )</f>
        <v/>
      </c>
      <c r="E180" s="125" t="str">
        <f t="array" ref="E180">ifs(and(isblank($A180),isblank($B180)),"", not(iserror(vlookup($A180&amp;$B180,'5) Release_Track'!$F:$F&amp;'5) Release_Track'!$G:$G,1,0))),vlookup($A180&amp;$B180,{'5) Release_Track'!$F:$F&amp;'5) Release_Track'!$G:$G,'5) Release_Track'!$J:$J},2,0), or(and(not(isblank($B180)),$B180=$B179,$A180&lt;&gt;$A179),and(not(isblank($A180)),$A180=$A179,$B180&lt;&gt;$B179)),"ID LISTS UNALIGNED",and($A180&lt;&gt;"",countif('5) Release_Track'!$F:$F,$A180)=0),"NO ISRC MATCH in Release_Track",and($B180&lt;&gt;"",countif('5) Release_Track'!$G:$G,$B180)=0),"NO CATALOG ID MATCH in Release_Track",iserror(vlookup($A180&amp;$B180,'5) Release_Track'!$F:$F&amp;'5) Release_Track'!$G:$G,1,0)),"NO ISRC-CATALOG ID pair MATCH in Release_Track" )</f>
        <v/>
      </c>
      <c r="F180" s="122"/>
      <c r="G180" s="99"/>
      <c r="H180" s="178"/>
      <c r="I180" s="121" t="str">
        <f t="shared" si="6"/>
        <v/>
      </c>
      <c r="J180" s="99"/>
      <c r="K180" s="99"/>
    </row>
    <row r="181">
      <c r="B181" s="103"/>
      <c r="C181" s="121" t="str">
        <f t="array" ref="C181">ifs(and(isblank($A181),isblank($B181)),"", not(iserror(vlookup($A181&amp;$B181,'5) Release_Track'!$F:$F&amp;'5) Release_Track'!$G:$G,1,0))),vlookup($A181&amp;$B181,{'5) Release_Track'!$F:$F&amp;'5) Release_Track'!$G:$G,'5) Release_Track'!$H:$H},2,0), or(and(not(isblank($B181)),$B181=$B180,$A181&lt;&gt;$A180),and(not(isblank($A181)),$A181=$A180,$B181&lt;&gt;$B180)),"ID LISTS UNALIGNED",and($A181&lt;&gt;"",countif('5) Release_Track'!$F:$F,$A181)=0),"NO ISRC MATCH in Release_Track",and($B181&lt;&gt;"",countif('5) Release_Track'!$G:$G,$B181)=0),"NO CATALOG ID MATCH in Release_Track",iserror(vlookup($A181&amp;$B181,'5) Release_Track'!$F:$F&amp;'5) Release_Track'!$G:$G,1,0)),"NO ISRC-CATALOG ID pair MATCH in Release_Track" )</f>
        <v/>
      </c>
      <c r="D181" s="121" t="str">
        <f t="array" ref="D181">ifs(and(isblank($A181),isblank($B181)),"", not(iserror(vlookup($A181&amp;$B181,'5) Release_Track'!$F:$F&amp;'5) Release_Track'!$G:$G,1,0))),vlookup($A181&amp;$B181,{'5) Release_Track'!$F:$F&amp;'5) Release_Track'!$G:$G,'5) Release_Track'!$I:$I},2,0), or(and(not(isblank($B181)),$B181=$B180,$A181&lt;&gt;$A180),and(not(isblank($A181)),$A181=$A180,$B181&lt;&gt;$B180)),"ID LISTS UNALIGNED",and($A181&lt;&gt;"",countif('5) Release_Track'!$F:$F,$A181)=0),"NO ISRC MATCH in Release_Track",and($B181&lt;&gt;"",countif('5) Release_Track'!$G:$G,$B181)=0),"NO CATALOG ID MATCH in Release_Track",iserror(vlookup($A181&amp;$B181,'5) Release_Track'!$F:$F&amp;'5) Release_Track'!$G:$G,1,0)),"NO ISRC-CATALOG ID pair MATCH in Release_Track" )</f>
        <v/>
      </c>
      <c r="E181" s="125" t="str">
        <f t="array" ref="E181">ifs(and(isblank($A181),isblank($B181)),"", not(iserror(vlookup($A181&amp;$B181,'5) Release_Track'!$F:$F&amp;'5) Release_Track'!$G:$G,1,0))),vlookup($A181&amp;$B181,{'5) Release_Track'!$F:$F&amp;'5) Release_Track'!$G:$G,'5) Release_Track'!$J:$J},2,0), or(and(not(isblank($B181)),$B181=$B180,$A181&lt;&gt;$A180),and(not(isblank($A181)),$A181=$A180,$B181&lt;&gt;$B180)),"ID LISTS UNALIGNED",and($A181&lt;&gt;"",countif('5) Release_Track'!$F:$F,$A181)=0),"NO ISRC MATCH in Release_Track",and($B181&lt;&gt;"",countif('5) Release_Track'!$G:$G,$B181)=0),"NO CATALOG ID MATCH in Release_Track",iserror(vlookup($A181&amp;$B181,'5) Release_Track'!$F:$F&amp;'5) Release_Track'!$G:$G,1,0)),"NO ISRC-CATALOG ID pair MATCH in Release_Track" )</f>
        <v/>
      </c>
      <c r="F181" s="122"/>
      <c r="G181" s="99"/>
      <c r="H181" s="178"/>
      <c r="I181" s="121" t="str">
        <f t="shared" si="6"/>
        <v/>
      </c>
      <c r="J181" s="99"/>
      <c r="K181" s="99"/>
    </row>
    <row r="182">
      <c r="B182" s="103"/>
      <c r="C182" s="121" t="str">
        <f t="array" ref="C182">ifs(and(isblank($A182),isblank($B182)),"", not(iserror(vlookup($A182&amp;$B182,'5) Release_Track'!$F:$F&amp;'5) Release_Track'!$G:$G,1,0))),vlookup($A182&amp;$B182,{'5) Release_Track'!$F:$F&amp;'5) Release_Track'!$G:$G,'5) Release_Track'!$H:$H},2,0), or(and(not(isblank($B182)),$B182=$B181,$A182&lt;&gt;$A181),and(not(isblank($A182)),$A182=$A181,$B182&lt;&gt;$B181)),"ID LISTS UNALIGNED",and($A182&lt;&gt;"",countif('5) Release_Track'!$F:$F,$A182)=0),"NO ISRC MATCH in Release_Track",and($B182&lt;&gt;"",countif('5) Release_Track'!$G:$G,$B182)=0),"NO CATALOG ID MATCH in Release_Track",iserror(vlookup($A182&amp;$B182,'5) Release_Track'!$F:$F&amp;'5) Release_Track'!$G:$G,1,0)),"NO ISRC-CATALOG ID pair MATCH in Release_Track" )</f>
        <v/>
      </c>
      <c r="D182" s="121" t="str">
        <f t="array" ref="D182">ifs(and(isblank($A182),isblank($B182)),"", not(iserror(vlookup($A182&amp;$B182,'5) Release_Track'!$F:$F&amp;'5) Release_Track'!$G:$G,1,0))),vlookup($A182&amp;$B182,{'5) Release_Track'!$F:$F&amp;'5) Release_Track'!$G:$G,'5) Release_Track'!$I:$I},2,0), or(and(not(isblank($B182)),$B182=$B181,$A182&lt;&gt;$A181),and(not(isblank($A182)),$A182=$A181,$B182&lt;&gt;$B181)),"ID LISTS UNALIGNED",and($A182&lt;&gt;"",countif('5) Release_Track'!$F:$F,$A182)=0),"NO ISRC MATCH in Release_Track",and($B182&lt;&gt;"",countif('5) Release_Track'!$G:$G,$B182)=0),"NO CATALOG ID MATCH in Release_Track",iserror(vlookup($A182&amp;$B182,'5) Release_Track'!$F:$F&amp;'5) Release_Track'!$G:$G,1,0)),"NO ISRC-CATALOG ID pair MATCH in Release_Track" )</f>
        <v/>
      </c>
      <c r="E182" s="125" t="str">
        <f t="array" ref="E182">ifs(and(isblank($A182),isblank($B182)),"", not(iserror(vlookup($A182&amp;$B182,'5) Release_Track'!$F:$F&amp;'5) Release_Track'!$G:$G,1,0))),vlookup($A182&amp;$B182,{'5) Release_Track'!$F:$F&amp;'5) Release_Track'!$G:$G,'5) Release_Track'!$J:$J},2,0), or(and(not(isblank($B182)),$B182=$B181,$A182&lt;&gt;$A181),and(not(isblank($A182)),$A182=$A181,$B182&lt;&gt;$B181)),"ID LISTS UNALIGNED",and($A182&lt;&gt;"",countif('5) Release_Track'!$F:$F,$A182)=0),"NO ISRC MATCH in Release_Track",and($B182&lt;&gt;"",countif('5) Release_Track'!$G:$G,$B182)=0),"NO CATALOG ID MATCH in Release_Track",iserror(vlookup($A182&amp;$B182,'5) Release_Track'!$F:$F&amp;'5) Release_Track'!$G:$G,1,0)),"NO ISRC-CATALOG ID pair MATCH in Release_Track" )</f>
        <v/>
      </c>
      <c r="F182" s="122"/>
      <c r="G182" s="99"/>
      <c r="H182" s="178"/>
      <c r="I182" s="121" t="str">
        <f t="shared" si="6"/>
        <v/>
      </c>
      <c r="J182" s="99"/>
      <c r="K182" s="99"/>
    </row>
    <row r="183">
      <c r="B183" s="103"/>
      <c r="C183" s="121" t="str">
        <f t="array" ref="C183">ifs(and(isblank($A183),isblank($B183)),"", not(iserror(vlookup($A183&amp;$B183,'5) Release_Track'!$F:$F&amp;'5) Release_Track'!$G:$G,1,0))),vlookup($A183&amp;$B183,{'5) Release_Track'!$F:$F&amp;'5) Release_Track'!$G:$G,'5) Release_Track'!$H:$H},2,0), or(and(not(isblank($B183)),$B183=$B182,$A183&lt;&gt;$A182),and(not(isblank($A183)),$A183=$A182,$B183&lt;&gt;$B182)),"ID LISTS UNALIGNED",and($A183&lt;&gt;"",countif('5) Release_Track'!$F:$F,$A183)=0),"NO ISRC MATCH in Release_Track",and($B183&lt;&gt;"",countif('5) Release_Track'!$G:$G,$B183)=0),"NO CATALOG ID MATCH in Release_Track",iserror(vlookup($A183&amp;$B183,'5) Release_Track'!$F:$F&amp;'5) Release_Track'!$G:$G,1,0)),"NO ISRC-CATALOG ID pair MATCH in Release_Track" )</f>
        <v/>
      </c>
      <c r="D183" s="121" t="str">
        <f t="array" ref="D183">ifs(and(isblank($A183),isblank($B183)),"", not(iserror(vlookup($A183&amp;$B183,'5) Release_Track'!$F:$F&amp;'5) Release_Track'!$G:$G,1,0))),vlookup($A183&amp;$B183,{'5) Release_Track'!$F:$F&amp;'5) Release_Track'!$G:$G,'5) Release_Track'!$I:$I},2,0), or(and(not(isblank($B183)),$B183=$B182,$A183&lt;&gt;$A182),and(not(isblank($A183)),$A183=$A182,$B183&lt;&gt;$B182)),"ID LISTS UNALIGNED",and($A183&lt;&gt;"",countif('5) Release_Track'!$F:$F,$A183)=0),"NO ISRC MATCH in Release_Track",and($B183&lt;&gt;"",countif('5) Release_Track'!$G:$G,$B183)=0),"NO CATALOG ID MATCH in Release_Track",iserror(vlookup($A183&amp;$B183,'5) Release_Track'!$F:$F&amp;'5) Release_Track'!$G:$G,1,0)),"NO ISRC-CATALOG ID pair MATCH in Release_Track" )</f>
        <v/>
      </c>
      <c r="E183" s="125" t="str">
        <f t="array" ref="E183">ifs(and(isblank($A183),isblank($B183)),"", not(iserror(vlookup($A183&amp;$B183,'5) Release_Track'!$F:$F&amp;'5) Release_Track'!$G:$G,1,0))),vlookup($A183&amp;$B183,{'5) Release_Track'!$F:$F&amp;'5) Release_Track'!$G:$G,'5) Release_Track'!$J:$J},2,0), or(and(not(isblank($B183)),$B183=$B182,$A183&lt;&gt;$A182),and(not(isblank($A183)),$A183=$A182,$B183&lt;&gt;$B182)),"ID LISTS UNALIGNED",and($A183&lt;&gt;"",countif('5) Release_Track'!$F:$F,$A183)=0),"NO ISRC MATCH in Release_Track",and($B183&lt;&gt;"",countif('5) Release_Track'!$G:$G,$B183)=0),"NO CATALOG ID MATCH in Release_Track",iserror(vlookup($A183&amp;$B183,'5) Release_Track'!$F:$F&amp;'5) Release_Track'!$G:$G,1,0)),"NO ISRC-CATALOG ID pair MATCH in Release_Track" )</f>
        <v/>
      </c>
      <c r="F183" s="122"/>
      <c r="G183" s="99"/>
      <c r="H183" s="178"/>
      <c r="I183" s="121" t="str">
        <f t="shared" si="6"/>
        <v/>
      </c>
      <c r="J183" s="99"/>
      <c r="K183" s="99"/>
    </row>
    <row r="184">
      <c r="B184" s="103"/>
      <c r="C184" s="121" t="str">
        <f t="array" ref="C184">ifs(and(isblank($A184),isblank($B184)),"", not(iserror(vlookup($A184&amp;$B184,'5) Release_Track'!$F:$F&amp;'5) Release_Track'!$G:$G,1,0))),vlookup($A184&amp;$B184,{'5) Release_Track'!$F:$F&amp;'5) Release_Track'!$G:$G,'5) Release_Track'!$H:$H},2,0), or(and(not(isblank($B184)),$B184=$B183,$A184&lt;&gt;$A183),and(not(isblank($A184)),$A184=$A183,$B184&lt;&gt;$B183)),"ID LISTS UNALIGNED",and($A184&lt;&gt;"",countif('5) Release_Track'!$F:$F,$A184)=0),"NO ISRC MATCH in Release_Track",and($B184&lt;&gt;"",countif('5) Release_Track'!$G:$G,$B184)=0),"NO CATALOG ID MATCH in Release_Track",iserror(vlookup($A184&amp;$B184,'5) Release_Track'!$F:$F&amp;'5) Release_Track'!$G:$G,1,0)),"NO ISRC-CATALOG ID pair MATCH in Release_Track" )</f>
        <v/>
      </c>
      <c r="D184" s="121" t="str">
        <f t="array" ref="D184">ifs(and(isblank($A184),isblank($B184)),"", not(iserror(vlookup($A184&amp;$B184,'5) Release_Track'!$F:$F&amp;'5) Release_Track'!$G:$G,1,0))),vlookup($A184&amp;$B184,{'5) Release_Track'!$F:$F&amp;'5) Release_Track'!$G:$G,'5) Release_Track'!$I:$I},2,0), or(and(not(isblank($B184)),$B184=$B183,$A184&lt;&gt;$A183),and(not(isblank($A184)),$A184=$A183,$B184&lt;&gt;$B183)),"ID LISTS UNALIGNED",and($A184&lt;&gt;"",countif('5) Release_Track'!$F:$F,$A184)=0),"NO ISRC MATCH in Release_Track",and($B184&lt;&gt;"",countif('5) Release_Track'!$G:$G,$B184)=0),"NO CATALOG ID MATCH in Release_Track",iserror(vlookup($A184&amp;$B184,'5) Release_Track'!$F:$F&amp;'5) Release_Track'!$G:$G,1,0)),"NO ISRC-CATALOG ID pair MATCH in Release_Track" )</f>
        <v/>
      </c>
      <c r="E184" s="125" t="str">
        <f t="array" ref="E184">ifs(and(isblank($A184),isblank($B184)),"", not(iserror(vlookup($A184&amp;$B184,'5) Release_Track'!$F:$F&amp;'5) Release_Track'!$G:$G,1,0))),vlookup($A184&amp;$B184,{'5) Release_Track'!$F:$F&amp;'5) Release_Track'!$G:$G,'5) Release_Track'!$J:$J},2,0), or(and(not(isblank($B184)),$B184=$B183,$A184&lt;&gt;$A183),and(not(isblank($A184)),$A184=$A183,$B184&lt;&gt;$B183)),"ID LISTS UNALIGNED",and($A184&lt;&gt;"",countif('5) Release_Track'!$F:$F,$A184)=0),"NO ISRC MATCH in Release_Track",and($B184&lt;&gt;"",countif('5) Release_Track'!$G:$G,$B184)=0),"NO CATALOG ID MATCH in Release_Track",iserror(vlookup($A184&amp;$B184,'5) Release_Track'!$F:$F&amp;'5) Release_Track'!$G:$G,1,0)),"NO ISRC-CATALOG ID pair MATCH in Release_Track" )</f>
        <v/>
      </c>
      <c r="F184" s="122"/>
      <c r="G184" s="99"/>
      <c r="H184" s="178"/>
      <c r="I184" s="121" t="str">
        <f t="shared" si="6"/>
        <v/>
      </c>
      <c r="J184" s="99"/>
      <c r="K184" s="99"/>
    </row>
    <row r="185">
      <c r="B185" s="103"/>
      <c r="C185" s="121" t="str">
        <f t="array" ref="C185">ifs(and(isblank($A185),isblank($B185)),"", not(iserror(vlookup($A185&amp;$B185,'5) Release_Track'!$F:$F&amp;'5) Release_Track'!$G:$G,1,0))),vlookup($A185&amp;$B185,{'5) Release_Track'!$F:$F&amp;'5) Release_Track'!$G:$G,'5) Release_Track'!$H:$H},2,0), or(and(not(isblank($B185)),$B185=$B184,$A185&lt;&gt;$A184),and(not(isblank($A185)),$A185=$A184,$B185&lt;&gt;$B184)),"ID LISTS UNALIGNED",and($A185&lt;&gt;"",countif('5) Release_Track'!$F:$F,$A185)=0),"NO ISRC MATCH in Release_Track",and($B185&lt;&gt;"",countif('5) Release_Track'!$G:$G,$B185)=0),"NO CATALOG ID MATCH in Release_Track",iserror(vlookup($A185&amp;$B185,'5) Release_Track'!$F:$F&amp;'5) Release_Track'!$G:$G,1,0)),"NO ISRC-CATALOG ID pair MATCH in Release_Track" )</f>
        <v/>
      </c>
      <c r="D185" s="121" t="str">
        <f t="array" ref="D185">ifs(and(isblank($A185),isblank($B185)),"", not(iserror(vlookup($A185&amp;$B185,'5) Release_Track'!$F:$F&amp;'5) Release_Track'!$G:$G,1,0))),vlookup($A185&amp;$B185,{'5) Release_Track'!$F:$F&amp;'5) Release_Track'!$G:$G,'5) Release_Track'!$I:$I},2,0), or(and(not(isblank($B185)),$B185=$B184,$A185&lt;&gt;$A184),and(not(isblank($A185)),$A185=$A184,$B185&lt;&gt;$B184)),"ID LISTS UNALIGNED",and($A185&lt;&gt;"",countif('5) Release_Track'!$F:$F,$A185)=0),"NO ISRC MATCH in Release_Track",and($B185&lt;&gt;"",countif('5) Release_Track'!$G:$G,$B185)=0),"NO CATALOG ID MATCH in Release_Track",iserror(vlookup($A185&amp;$B185,'5) Release_Track'!$F:$F&amp;'5) Release_Track'!$G:$G,1,0)),"NO ISRC-CATALOG ID pair MATCH in Release_Track" )</f>
        <v/>
      </c>
      <c r="E185" s="125" t="str">
        <f t="array" ref="E185">ifs(and(isblank($A185),isblank($B185)),"", not(iserror(vlookup($A185&amp;$B185,'5) Release_Track'!$F:$F&amp;'5) Release_Track'!$G:$G,1,0))),vlookup($A185&amp;$B185,{'5) Release_Track'!$F:$F&amp;'5) Release_Track'!$G:$G,'5) Release_Track'!$J:$J},2,0), or(and(not(isblank($B185)),$B185=$B184,$A185&lt;&gt;$A184),and(not(isblank($A185)),$A185=$A184,$B185&lt;&gt;$B184)),"ID LISTS UNALIGNED",and($A185&lt;&gt;"",countif('5) Release_Track'!$F:$F,$A185)=0),"NO ISRC MATCH in Release_Track",and($B185&lt;&gt;"",countif('5) Release_Track'!$G:$G,$B185)=0),"NO CATALOG ID MATCH in Release_Track",iserror(vlookup($A185&amp;$B185,'5) Release_Track'!$F:$F&amp;'5) Release_Track'!$G:$G,1,0)),"NO ISRC-CATALOG ID pair MATCH in Release_Track" )</f>
        <v/>
      </c>
      <c r="F185" s="122"/>
      <c r="G185" s="99"/>
      <c r="H185" s="178"/>
      <c r="I185" s="121" t="str">
        <f t="shared" si="6"/>
        <v/>
      </c>
      <c r="J185" s="99"/>
      <c r="K185" s="99"/>
    </row>
    <row r="186">
      <c r="B186" s="103"/>
      <c r="C186" s="121" t="str">
        <f t="array" ref="C186">ifs(and(isblank($A186),isblank($B186)),"", not(iserror(vlookup($A186&amp;$B186,'5) Release_Track'!$F:$F&amp;'5) Release_Track'!$G:$G,1,0))),vlookup($A186&amp;$B186,{'5) Release_Track'!$F:$F&amp;'5) Release_Track'!$G:$G,'5) Release_Track'!$H:$H},2,0), or(and(not(isblank($B186)),$B186=$B185,$A186&lt;&gt;$A185),and(not(isblank($A186)),$A186=$A185,$B186&lt;&gt;$B185)),"ID LISTS UNALIGNED",and($A186&lt;&gt;"",countif('5) Release_Track'!$F:$F,$A186)=0),"NO ISRC MATCH in Release_Track",and($B186&lt;&gt;"",countif('5) Release_Track'!$G:$G,$B186)=0),"NO CATALOG ID MATCH in Release_Track",iserror(vlookup($A186&amp;$B186,'5) Release_Track'!$F:$F&amp;'5) Release_Track'!$G:$G,1,0)),"NO ISRC-CATALOG ID pair MATCH in Release_Track" )</f>
        <v/>
      </c>
      <c r="D186" s="121" t="str">
        <f t="array" ref="D186">ifs(and(isblank($A186),isblank($B186)),"", not(iserror(vlookup($A186&amp;$B186,'5) Release_Track'!$F:$F&amp;'5) Release_Track'!$G:$G,1,0))),vlookup($A186&amp;$B186,{'5) Release_Track'!$F:$F&amp;'5) Release_Track'!$G:$G,'5) Release_Track'!$I:$I},2,0), or(and(not(isblank($B186)),$B186=$B185,$A186&lt;&gt;$A185),and(not(isblank($A186)),$A186=$A185,$B186&lt;&gt;$B185)),"ID LISTS UNALIGNED",and($A186&lt;&gt;"",countif('5) Release_Track'!$F:$F,$A186)=0),"NO ISRC MATCH in Release_Track",and($B186&lt;&gt;"",countif('5) Release_Track'!$G:$G,$B186)=0),"NO CATALOG ID MATCH in Release_Track",iserror(vlookup($A186&amp;$B186,'5) Release_Track'!$F:$F&amp;'5) Release_Track'!$G:$G,1,0)),"NO ISRC-CATALOG ID pair MATCH in Release_Track" )</f>
        <v/>
      </c>
      <c r="E186" s="125" t="str">
        <f t="array" ref="E186">ifs(and(isblank($A186),isblank($B186)),"", not(iserror(vlookup($A186&amp;$B186,'5) Release_Track'!$F:$F&amp;'5) Release_Track'!$G:$G,1,0))),vlookup($A186&amp;$B186,{'5) Release_Track'!$F:$F&amp;'5) Release_Track'!$G:$G,'5) Release_Track'!$J:$J},2,0), or(and(not(isblank($B186)),$B186=$B185,$A186&lt;&gt;$A185),and(not(isblank($A186)),$A186=$A185,$B186&lt;&gt;$B185)),"ID LISTS UNALIGNED",and($A186&lt;&gt;"",countif('5) Release_Track'!$F:$F,$A186)=0),"NO ISRC MATCH in Release_Track",and($B186&lt;&gt;"",countif('5) Release_Track'!$G:$G,$B186)=0),"NO CATALOG ID MATCH in Release_Track",iserror(vlookup($A186&amp;$B186,'5) Release_Track'!$F:$F&amp;'5) Release_Track'!$G:$G,1,0)),"NO ISRC-CATALOG ID pair MATCH in Release_Track" )</f>
        <v/>
      </c>
      <c r="F186" s="122"/>
      <c r="G186" s="99"/>
      <c r="H186" s="178"/>
      <c r="I186" s="121" t="str">
        <f t="shared" si="6"/>
        <v/>
      </c>
      <c r="J186" s="99"/>
      <c r="K186" s="99"/>
    </row>
    <row r="187">
      <c r="B187" s="103"/>
      <c r="C187" s="121" t="str">
        <f t="array" ref="C187">ifs(and(isblank($A187),isblank($B187)),"", not(iserror(vlookup($A187&amp;$B187,'5) Release_Track'!$F:$F&amp;'5) Release_Track'!$G:$G,1,0))),vlookup($A187&amp;$B187,{'5) Release_Track'!$F:$F&amp;'5) Release_Track'!$G:$G,'5) Release_Track'!$H:$H},2,0), or(and(not(isblank($B187)),$B187=$B186,$A187&lt;&gt;$A186),and(not(isblank($A187)),$A187=$A186,$B187&lt;&gt;$B186)),"ID LISTS UNALIGNED",and($A187&lt;&gt;"",countif('5) Release_Track'!$F:$F,$A187)=0),"NO ISRC MATCH in Release_Track",and($B187&lt;&gt;"",countif('5) Release_Track'!$G:$G,$B187)=0),"NO CATALOG ID MATCH in Release_Track",iserror(vlookup($A187&amp;$B187,'5) Release_Track'!$F:$F&amp;'5) Release_Track'!$G:$G,1,0)),"NO ISRC-CATALOG ID pair MATCH in Release_Track" )</f>
        <v/>
      </c>
      <c r="D187" s="121" t="str">
        <f t="array" ref="D187">ifs(and(isblank($A187),isblank($B187)),"", not(iserror(vlookup($A187&amp;$B187,'5) Release_Track'!$F:$F&amp;'5) Release_Track'!$G:$G,1,0))),vlookup($A187&amp;$B187,{'5) Release_Track'!$F:$F&amp;'5) Release_Track'!$G:$G,'5) Release_Track'!$I:$I},2,0), or(and(not(isblank($B187)),$B187=$B186,$A187&lt;&gt;$A186),and(not(isblank($A187)),$A187=$A186,$B187&lt;&gt;$B186)),"ID LISTS UNALIGNED",and($A187&lt;&gt;"",countif('5) Release_Track'!$F:$F,$A187)=0),"NO ISRC MATCH in Release_Track",and($B187&lt;&gt;"",countif('5) Release_Track'!$G:$G,$B187)=0),"NO CATALOG ID MATCH in Release_Track",iserror(vlookup($A187&amp;$B187,'5) Release_Track'!$F:$F&amp;'5) Release_Track'!$G:$G,1,0)),"NO ISRC-CATALOG ID pair MATCH in Release_Track" )</f>
        <v/>
      </c>
      <c r="E187" s="125" t="str">
        <f t="array" ref="E187">ifs(and(isblank($A187),isblank($B187)),"", not(iserror(vlookup($A187&amp;$B187,'5) Release_Track'!$F:$F&amp;'5) Release_Track'!$G:$G,1,0))),vlookup($A187&amp;$B187,{'5) Release_Track'!$F:$F&amp;'5) Release_Track'!$G:$G,'5) Release_Track'!$J:$J},2,0), or(and(not(isblank($B187)),$B187=$B186,$A187&lt;&gt;$A186),and(not(isblank($A187)),$A187=$A186,$B187&lt;&gt;$B186)),"ID LISTS UNALIGNED",and($A187&lt;&gt;"",countif('5) Release_Track'!$F:$F,$A187)=0),"NO ISRC MATCH in Release_Track",and($B187&lt;&gt;"",countif('5) Release_Track'!$G:$G,$B187)=0),"NO CATALOG ID MATCH in Release_Track",iserror(vlookup($A187&amp;$B187,'5) Release_Track'!$F:$F&amp;'5) Release_Track'!$G:$G,1,0)),"NO ISRC-CATALOG ID pair MATCH in Release_Track" )</f>
        <v/>
      </c>
      <c r="F187" s="122"/>
      <c r="G187" s="99"/>
      <c r="H187" s="178"/>
      <c r="I187" s="121" t="str">
        <f t="shared" si="6"/>
        <v/>
      </c>
      <c r="J187" s="99"/>
      <c r="K187" s="99"/>
    </row>
    <row r="188">
      <c r="B188" s="103"/>
      <c r="C188" s="121" t="str">
        <f t="array" ref="C188">ifs(and(isblank($A188),isblank($B188)),"", not(iserror(vlookup($A188&amp;$B188,'5) Release_Track'!$F:$F&amp;'5) Release_Track'!$G:$G,1,0))),vlookup($A188&amp;$B188,{'5) Release_Track'!$F:$F&amp;'5) Release_Track'!$G:$G,'5) Release_Track'!$H:$H},2,0), or(and(not(isblank($B188)),$B188=$B187,$A188&lt;&gt;$A187),and(not(isblank($A188)),$A188=$A187,$B188&lt;&gt;$B187)),"ID LISTS UNALIGNED",and($A188&lt;&gt;"",countif('5) Release_Track'!$F:$F,$A188)=0),"NO ISRC MATCH in Release_Track",and($B188&lt;&gt;"",countif('5) Release_Track'!$G:$G,$B188)=0),"NO CATALOG ID MATCH in Release_Track",iserror(vlookup($A188&amp;$B188,'5) Release_Track'!$F:$F&amp;'5) Release_Track'!$G:$G,1,0)),"NO ISRC-CATALOG ID pair MATCH in Release_Track" )</f>
        <v/>
      </c>
      <c r="D188" s="121" t="str">
        <f t="array" ref="D188">ifs(and(isblank($A188),isblank($B188)),"", not(iserror(vlookup($A188&amp;$B188,'5) Release_Track'!$F:$F&amp;'5) Release_Track'!$G:$G,1,0))),vlookup($A188&amp;$B188,{'5) Release_Track'!$F:$F&amp;'5) Release_Track'!$G:$G,'5) Release_Track'!$I:$I},2,0), or(and(not(isblank($B188)),$B188=$B187,$A188&lt;&gt;$A187),and(not(isblank($A188)),$A188=$A187,$B188&lt;&gt;$B187)),"ID LISTS UNALIGNED",and($A188&lt;&gt;"",countif('5) Release_Track'!$F:$F,$A188)=0),"NO ISRC MATCH in Release_Track",and($B188&lt;&gt;"",countif('5) Release_Track'!$G:$G,$B188)=0),"NO CATALOG ID MATCH in Release_Track",iserror(vlookup($A188&amp;$B188,'5) Release_Track'!$F:$F&amp;'5) Release_Track'!$G:$G,1,0)),"NO ISRC-CATALOG ID pair MATCH in Release_Track" )</f>
        <v/>
      </c>
      <c r="E188" s="125" t="str">
        <f t="array" ref="E188">ifs(and(isblank($A188),isblank($B188)),"", not(iserror(vlookup($A188&amp;$B188,'5) Release_Track'!$F:$F&amp;'5) Release_Track'!$G:$G,1,0))),vlookup($A188&amp;$B188,{'5) Release_Track'!$F:$F&amp;'5) Release_Track'!$G:$G,'5) Release_Track'!$J:$J},2,0), or(and(not(isblank($B188)),$B188=$B187,$A188&lt;&gt;$A187),and(not(isblank($A188)),$A188=$A187,$B188&lt;&gt;$B187)),"ID LISTS UNALIGNED",and($A188&lt;&gt;"",countif('5) Release_Track'!$F:$F,$A188)=0),"NO ISRC MATCH in Release_Track",and($B188&lt;&gt;"",countif('5) Release_Track'!$G:$G,$B188)=0),"NO CATALOG ID MATCH in Release_Track",iserror(vlookup($A188&amp;$B188,'5) Release_Track'!$F:$F&amp;'5) Release_Track'!$G:$G,1,0)),"NO ISRC-CATALOG ID pair MATCH in Release_Track" )</f>
        <v/>
      </c>
      <c r="F188" s="122"/>
      <c r="G188" s="99"/>
      <c r="H188" s="178"/>
      <c r="I188" s="121" t="str">
        <f t="shared" si="6"/>
        <v/>
      </c>
      <c r="J188" s="99"/>
      <c r="K188" s="99"/>
    </row>
    <row r="189">
      <c r="B189" s="103"/>
      <c r="C189" s="121" t="str">
        <f t="array" ref="C189">ifs(and(isblank($A189),isblank($B189)),"", not(iserror(vlookup($A189&amp;$B189,'5) Release_Track'!$F:$F&amp;'5) Release_Track'!$G:$G,1,0))),vlookup($A189&amp;$B189,{'5) Release_Track'!$F:$F&amp;'5) Release_Track'!$G:$G,'5) Release_Track'!$H:$H},2,0), or(and(not(isblank($B189)),$B189=$B188,$A189&lt;&gt;$A188),and(not(isblank($A189)),$A189=$A188,$B189&lt;&gt;$B188)),"ID LISTS UNALIGNED",and($A189&lt;&gt;"",countif('5) Release_Track'!$F:$F,$A189)=0),"NO ISRC MATCH in Release_Track",and($B189&lt;&gt;"",countif('5) Release_Track'!$G:$G,$B189)=0),"NO CATALOG ID MATCH in Release_Track",iserror(vlookup($A189&amp;$B189,'5) Release_Track'!$F:$F&amp;'5) Release_Track'!$G:$G,1,0)),"NO ISRC-CATALOG ID pair MATCH in Release_Track" )</f>
        <v/>
      </c>
      <c r="D189" s="121" t="str">
        <f t="array" ref="D189">ifs(and(isblank($A189),isblank($B189)),"", not(iserror(vlookup($A189&amp;$B189,'5) Release_Track'!$F:$F&amp;'5) Release_Track'!$G:$G,1,0))),vlookup($A189&amp;$B189,{'5) Release_Track'!$F:$F&amp;'5) Release_Track'!$G:$G,'5) Release_Track'!$I:$I},2,0), or(and(not(isblank($B189)),$B189=$B188,$A189&lt;&gt;$A188),and(not(isblank($A189)),$A189=$A188,$B189&lt;&gt;$B188)),"ID LISTS UNALIGNED",and($A189&lt;&gt;"",countif('5) Release_Track'!$F:$F,$A189)=0),"NO ISRC MATCH in Release_Track",and($B189&lt;&gt;"",countif('5) Release_Track'!$G:$G,$B189)=0),"NO CATALOG ID MATCH in Release_Track",iserror(vlookup($A189&amp;$B189,'5) Release_Track'!$F:$F&amp;'5) Release_Track'!$G:$G,1,0)),"NO ISRC-CATALOG ID pair MATCH in Release_Track" )</f>
        <v/>
      </c>
      <c r="E189" s="125" t="str">
        <f t="array" ref="E189">ifs(and(isblank($A189),isblank($B189)),"", not(iserror(vlookup($A189&amp;$B189,'5) Release_Track'!$F:$F&amp;'5) Release_Track'!$G:$G,1,0))),vlookup($A189&amp;$B189,{'5) Release_Track'!$F:$F&amp;'5) Release_Track'!$G:$G,'5) Release_Track'!$J:$J},2,0), or(and(not(isblank($B189)),$B189=$B188,$A189&lt;&gt;$A188),and(not(isblank($A189)),$A189=$A188,$B189&lt;&gt;$B188)),"ID LISTS UNALIGNED",and($A189&lt;&gt;"",countif('5) Release_Track'!$F:$F,$A189)=0),"NO ISRC MATCH in Release_Track",and($B189&lt;&gt;"",countif('5) Release_Track'!$G:$G,$B189)=0),"NO CATALOG ID MATCH in Release_Track",iserror(vlookup($A189&amp;$B189,'5) Release_Track'!$F:$F&amp;'5) Release_Track'!$G:$G,1,0)),"NO ISRC-CATALOG ID pair MATCH in Release_Track" )</f>
        <v/>
      </c>
      <c r="F189" s="122"/>
      <c r="G189" s="99"/>
      <c r="H189" s="178"/>
      <c r="I189" s="121" t="str">
        <f t="shared" si="6"/>
        <v/>
      </c>
      <c r="J189" s="99"/>
      <c r="K189" s="99"/>
    </row>
    <row r="190">
      <c r="B190" s="103"/>
      <c r="C190" s="121" t="str">
        <f t="array" ref="C190">ifs(and(isblank($A190),isblank($B190)),"", not(iserror(vlookup($A190&amp;$B190,'5) Release_Track'!$F:$F&amp;'5) Release_Track'!$G:$G,1,0))),vlookup($A190&amp;$B190,{'5) Release_Track'!$F:$F&amp;'5) Release_Track'!$G:$G,'5) Release_Track'!$H:$H},2,0), or(and(not(isblank($B190)),$B190=$B189,$A190&lt;&gt;$A189),and(not(isblank($A190)),$A190=$A189,$B190&lt;&gt;$B189)),"ID LISTS UNALIGNED",and($A190&lt;&gt;"",countif('5) Release_Track'!$F:$F,$A190)=0),"NO ISRC MATCH in Release_Track",and($B190&lt;&gt;"",countif('5) Release_Track'!$G:$G,$B190)=0),"NO CATALOG ID MATCH in Release_Track",iserror(vlookup($A190&amp;$B190,'5) Release_Track'!$F:$F&amp;'5) Release_Track'!$G:$G,1,0)),"NO ISRC-CATALOG ID pair MATCH in Release_Track" )</f>
        <v/>
      </c>
      <c r="D190" s="121" t="str">
        <f t="array" ref="D190">ifs(and(isblank($A190),isblank($B190)),"", not(iserror(vlookup($A190&amp;$B190,'5) Release_Track'!$F:$F&amp;'5) Release_Track'!$G:$G,1,0))),vlookup($A190&amp;$B190,{'5) Release_Track'!$F:$F&amp;'5) Release_Track'!$G:$G,'5) Release_Track'!$I:$I},2,0), or(and(not(isblank($B190)),$B190=$B189,$A190&lt;&gt;$A189),and(not(isblank($A190)),$A190=$A189,$B190&lt;&gt;$B189)),"ID LISTS UNALIGNED",and($A190&lt;&gt;"",countif('5) Release_Track'!$F:$F,$A190)=0),"NO ISRC MATCH in Release_Track",and($B190&lt;&gt;"",countif('5) Release_Track'!$G:$G,$B190)=0),"NO CATALOG ID MATCH in Release_Track",iserror(vlookup($A190&amp;$B190,'5) Release_Track'!$F:$F&amp;'5) Release_Track'!$G:$G,1,0)),"NO ISRC-CATALOG ID pair MATCH in Release_Track" )</f>
        <v/>
      </c>
      <c r="E190" s="125" t="str">
        <f t="array" ref="E190">ifs(and(isblank($A190),isblank($B190)),"", not(iserror(vlookup($A190&amp;$B190,'5) Release_Track'!$F:$F&amp;'5) Release_Track'!$G:$G,1,0))),vlookup($A190&amp;$B190,{'5) Release_Track'!$F:$F&amp;'5) Release_Track'!$G:$G,'5) Release_Track'!$J:$J},2,0), or(and(not(isblank($B190)),$B190=$B189,$A190&lt;&gt;$A189),and(not(isblank($A190)),$A190=$A189,$B190&lt;&gt;$B189)),"ID LISTS UNALIGNED",and($A190&lt;&gt;"",countif('5) Release_Track'!$F:$F,$A190)=0),"NO ISRC MATCH in Release_Track",and($B190&lt;&gt;"",countif('5) Release_Track'!$G:$G,$B190)=0),"NO CATALOG ID MATCH in Release_Track",iserror(vlookup($A190&amp;$B190,'5) Release_Track'!$F:$F&amp;'5) Release_Track'!$G:$G,1,0)),"NO ISRC-CATALOG ID pair MATCH in Release_Track" )</f>
        <v/>
      </c>
      <c r="F190" s="122"/>
      <c r="G190" s="99"/>
      <c r="H190" s="178"/>
      <c r="I190" s="121" t="str">
        <f t="shared" si="6"/>
        <v/>
      </c>
      <c r="J190" s="99"/>
      <c r="K190" s="99"/>
    </row>
    <row r="191">
      <c r="B191" s="103"/>
      <c r="C191" s="121" t="str">
        <f t="array" ref="C191">ifs(and(isblank($A191),isblank($B191)),"", not(iserror(vlookup($A191&amp;$B191,'5) Release_Track'!$F:$F&amp;'5) Release_Track'!$G:$G,1,0))),vlookup($A191&amp;$B191,{'5) Release_Track'!$F:$F&amp;'5) Release_Track'!$G:$G,'5) Release_Track'!$H:$H},2,0), or(and(not(isblank($B191)),$B191=$B190,$A191&lt;&gt;$A190),and(not(isblank($A191)),$A191=$A190,$B191&lt;&gt;$B190)),"ID LISTS UNALIGNED",and($A191&lt;&gt;"",countif('5) Release_Track'!$F:$F,$A191)=0),"NO ISRC MATCH in Release_Track",and($B191&lt;&gt;"",countif('5) Release_Track'!$G:$G,$B191)=0),"NO CATALOG ID MATCH in Release_Track",iserror(vlookup($A191&amp;$B191,'5) Release_Track'!$F:$F&amp;'5) Release_Track'!$G:$G,1,0)),"NO ISRC-CATALOG ID pair MATCH in Release_Track" )</f>
        <v/>
      </c>
      <c r="D191" s="121" t="str">
        <f t="array" ref="D191">ifs(and(isblank($A191),isblank($B191)),"", not(iserror(vlookup($A191&amp;$B191,'5) Release_Track'!$F:$F&amp;'5) Release_Track'!$G:$G,1,0))),vlookup($A191&amp;$B191,{'5) Release_Track'!$F:$F&amp;'5) Release_Track'!$G:$G,'5) Release_Track'!$I:$I},2,0), or(and(not(isblank($B191)),$B191=$B190,$A191&lt;&gt;$A190),and(not(isblank($A191)),$A191=$A190,$B191&lt;&gt;$B190)),"ID LISTS UNALIGNED",and($A191&lt;&gt;"",countif('5) Release_Track'!$F:$F,$A191)=0),"NO ISRC MATCH in Release_Track",and($B191&lt;&gt;"",countif('5) Release_Track'!$G:$G,$B191)=0),"NO CATALOG ID MATCH in Release_Track",iserror(vlookup($A191&amp;$B191,'5) Release_Track'!$F:$F&amp;'5) Release_Track'!$G:$G,1,0)),"NO ISRC-CATALOG ID pair MATCH in Release_Track" )</f>
        <v/>
      </c>
      <c r="E191" s="125" t="str">
        <f t="array" ref="E191">ifs(and(isblank($A191),isblank($B191)),"", not(iserror(vlookup($A191&amp;$B191,'5) Release_Track'!$F:$F&amp;'5) Release_Track'!$G:$G,1,0))),vlookup($A191&amp;$B191,{'5) Release_Track'!$F:$F&amp;'5) Release_Track'!$G:$G,'5) Release_Track'!$J:$J},2,0), or(and(not(isblank($B191)),$B191=$B190,$A191&lt;&gt;$A190),and(not(isblank($A191)),$A191=$A190,$B191&lt;&gt;$B190)),"ID LISTS UNALIGNED",and($A191&lt;&gt;"",countif('5) Release_Track'!$F:$F,$A191)=0),"NO ISRC MATCH in Release_Track",and($B191&lt;&gt;"",countif('5) Release_Track'!$G:$G,$B191)=0),"NO CATALOG ID MATCH in Release_Track",iserror(vlookup($A191&amp;$B191,'5) Release_Track'!$F:$F&amp;'5) Release_Track'!$G:$G,1,0)),"NO ISRC-CATALOG ID pair MATCH in Release_Track" )</f>
        <v/>
      </c>
      <c r="F191" s="122"/>
      <c r="G191" s="99"/>
      <c r="H191" s="178"/>
      <c r="I191" s="121" t="str">
        <f t="shared" si="6"/>
        <v/>
      </c>
      <c r="J191" s="99"/>
      <c r="K191" s="99"/>
    </row>
    <row r="192">
      <c r="B192" s="103"/>
      <c r="C192" s="121" t="str">
        <f t="array" ref="C192">ifs(and(isblank($A192),isblank($B192)),"", not(iserror(vlookup($A192&amp;$B192,'5) Release_Track'!$F:$F&amp;'5) Release_Track'!$G:$G,1,0))),vlookup($A192&amp;$B192,{'5) Release_Track'!$F:$F&amp;'5) Release_Track'!$G:$G,'5) Release_Track'!$H:$H},2,0), or(and(not(isblank($B192)),$B192=$B191,$A192&lt;&gt;$A191),and(not(isblank($A192)),$A192=$A191,$B192&lt;&gt;$B191)),"ID LISTS UNALIGNED",and($A192&lt;&gt;"",countif('5) Release_Track'!$F:$F,$A192)=0),"NO ISRC MATCH in Release_Track",and($B192&lt;&gt;"",countif('5) Release_Track'!$G:$G,$B192)=0),"NO CATALOG ID MATCH in Release_Track",iserror(vlookup($A192&amp;$B192,'5) Release_Track'!$F:$F&amp;'5) Release_Track'!$G:$G,1,0)),"NO ISRC-CATALOG ID pair MATCH in Release_Track" )</f>
        <v/>
      </c>
      <c r="D192" s="121" t="str">
        <f t="array" ref="D192">ifs(and(isblank($A192),isblank($B192)),"", not(iserror(vlookup($A192&amp;$B192,'5) Release_Track'!$F:$F&amp;'5) Release_Track'!$G:$G,1,0))),vlookup($A192&amp;$B192,{'5) Release_Track'!$F:$F&amp;'5) Release_Track'!$G:$G,'5) Release_Track'!$I:$I},2,0), or(and(not(isblank($B192)),$B192=$B191,$A192&lt;&gt;$A191),and(not(isblank($A192)),$A192=$A191,$B192&lt;&gt;$B191)),"ID LISTS UNALIGNED",and($A192&lt;&gt;"",countif('5) Release_Track'!$F:$F,$A192)=0),"NO ISRC MATCH in Release_Track",and($B192&lt;&gt;"",countif('5) Release_Track'!$G:$G,$B192)=0),"NO CATALOG ID MATCH in Release_Track",iserror(vlookup($A192&amp;$B192,'5) Release_Track'!$F:$F&amp;'5) Release_Track'!$G:$G,1,0)),"NO ISRC-CATALOG ID pair MATCH in Release_Track" )</f>
        <v/>
      </c>
      <c r="E192" s="125" t="str">
        <f t="array" ref="E192">ifs(and(isblank($A192),isblank($B192)),"", not(iserror(vlookup($A192&amp;$B192,'5) Release_Track'!$F:$F&amp;'5) Release_Track'!$G:$G,1,0))),vlookup($A192&amp;$B192,{'5) Release_Track'!$F:$F&amp;'5) Release_Track'!$G:$G,'5) Release_Track'!$J:$J},2,0), or(and(not(isblank($B192)),$B192=$B191,$A192&lt;&gt;$A191),and(not(isblank($A192)),$A192=$A191,$B192&lt;&gt;$B191)),"ID LISTS UNALIGNED",and($A192&lt;&gt;"",countif('5) Release_Track'!$F:$F,$A192)=0),"NO ISRC MATCH in Release_Track",and($B192&lt;&gt;"",countif('5) Release_Track'!$G:$G,$B192)=0),"NO CATALOG ID MATCH in Release_Track",iserror(vlookup($A192&amp;$B192,'5) Release_Track'!$F:$F&amp;'5) Release_Track'!$G:$G,1,0)),"NO ISRC-CATALOG ID pair MATCH in Release_Track" )</f>
        <v/>
      </c>
      <c r="F192" s="122"/>
      <c r="G192" s="99"/>
      <c r="H192" s="178"/>
      <c r="I192" s="121" t="str">
        <f t="shared" si="6"/>
        <v/>
      </c>
      <c r="J192" s="99"/>
      <c r="K192" s="99"/>
    </row>
    <row r="193">
      <c r="B193" s="103"/>
      <c r="C193" s="121" t="str">
        <f t="array" ref="C193">ifs(and(isblank($A193),isblank($B193)),"", not(iserror(vlookup($A193&amp;$B193,'5) Release_Track'!$F:$F&amp;'5) Release_Track'!$G:$G,1,0))),vlookup($A193&amp;$B193,{'5) Release_Track'!$F:$F&amp;'5) Release_Track'!$G:$G,'5) Release_Track'!$H:$H},2,0), or(and(not(isblank($B193)),$B193=$B192,$A193&lt;&gt;$A192),and(not(isblank($A193)),$A193=$A192,$B193&lt;&gt;$B192)),"ID LISTS UNALIGNED",and($A193&lt;&gt;"",countif('5) Release_Track'!$F:$F,$A193)=0),"NO ISRC MATCH in Release_Track",and($B193&lt;&gt;"",countif('5) Release_Track'!$G:$G,$B193)=0),"NO CATALOG ID MATCH in Release_Track",iserror(vlookup($A193&amp;$B193,'5) Release_Track'!$F:$F&amp;'5) Release_Track'!$G:$G,1,0)),"NO ISRC-CATALOG ID pair MATCH in Release_Track" )</f>
        <v/>
      </c>
      <c r="D193" s="121" t="str">
        <f t="array" ref="D193">ifs(and(isblank($A193),isblank($B193)),"", not(iserror(vlookup($A193&amp;$B193,'5) Release_Track'!$F:$F&amp;'5) Release_Track'!$G:$G,1,0))),vlookup($A193&amp;$B193,{'5) Release_Track'!$F:$F&amp;'5) Release_Track'!$G:$G,'5) Release_Track'!$I:$I},2,0), or(and(not(isblank($B193)),$B193=$B192,$A193&lt;&gt;$A192),and(not(isblank($A193)),$A193=$A192,$B193&lt;&gt;$B192)),"ID LISTS UNALIGNED",and($A193&lt;&gt;"",countif('5) Release_Track'!$F:$F,$A193)=0),"NO ISRC MATCH in Release_Track",and($B193&lt;&gt;"",countif('5) Release_Track'!$G:$G,$B193)=0),"NO CATALOG ID MATCH in Release_Track",iserror(vlookup($A193&amp;$B193,'5) Release_Track'!$F:$F&amp;'5) Release_Track'!$G:$G,1,0)),"NO ISRC-CATALOG ID pair MATCH in Release_Track" )</f>
        <v/>
      </c>
      <c r="E193" s="125" t="str">
        <f t="array" ref="E193">ifs(and(isblank($A193),isblank($B193)),"", not(iserror(vlookup($A193&amp;$B193,'5) Release_Track'!$F:$F&amp;'5) Release_Track'!$G:$G,1,0))),vlookup($A193&amp;$B193,{'5) Release_Track'!$F:$F&amp;'5) Release_Track'!$G:$G,'5) Release_Track'!$J:$J},2,0), or(and(not(isblank($B193)),$B193=$B192,$A193&lt;&gt;$A192),and(not(isblank($A193)),$A193=$A192,$B193&lt;&gt;$B192)),"ID LISTS UNALIGNED",and($A193&lt;&gt;"",countif('5) Release_Track'!$F:$F,$A193)=0),"NO ISRC MATCH in Release_Track",and($B193&lt;&gt;"",countif('5) Release_Track'!$G:$G,$B193)=0),"NO CATALOG ID MATCH in Release_Track",iserror(vlookup($A193&amp;$B193,'5) Release_Track'!$F:$F&amp;'5) Release_Track'!$G:$G,1,0)),"NO ISRC-CATALOG ID pair MATCH in Release_Track" )</f>
        <v/>
      </c>
      <c r="F193" s="122"/>
      <c r="G193" s="99"/>
      <c r="H193" s="178"/>
      <c r="I193" s="121" t="str">
        <f t="shared" si="6"/>
        <v/>
      </c>
      <c r="J193" s="99"/>
      <c r="K193" s="99"/>
    </row>
    <row r="194">
      <c r="B194" s="103"/>
      <c r="C194" s="121" t="str">
        <f t="array" ref="C194">ifs(and(isblank($A194),isblank($B194)),"", not(iserror(vlookup($A194&amp;$B194,'5) Release_Track'!$F:$F&amp;'5) Release_Track'!$G:$G,1,0))),vlookup($A194&amp;$B194,{'5) Release_Track'!$F:$F&amp;'5) Release_Track'!$G:$G,'5) Release_Track'!$H:$H},2,0), or(and(not(isblank($B194)),$B194=$B193,$A194&lt;&gt;$A193),and(not(isblank($A194)),$A194=$A193,$B194&lt;&gt;$B193)),"ID LISTS UNALIGNED",and($A194&lt;&gt;"",countif('5) Release_Track'!$F:$F,$A194)=0),"NO ISRC MATCH in Release_Track",and($B194&lt;&gt;"",countif('5) Release_Track'!$G:$G,$B194)=0),"NO CATALOG ID MATCH in Release_Track",iserror(vlookup($A194&amp;$B194,'5) Release_Track'!$F:$F&amp;'5) Release_Track'!$G:$G,1,0)),"NO ISRC-CATALOG ID pair MATCH in Release_Track" )</f>
        <v/>
      </c>
      <c r="D194" s="121" t="str">
        <f t="array" ref="D194">ifs(and(isblank($A194),isblank($B194)),"", not(iserror(vlookup($A194&amp;$B194,'5) Release_Track'!$F:$F&amp;'5) Release_Track'!$G:$G,1,0))),vlookup($A194&amp;$B194,{'5) Release_Track'!$F:$F&amp;'5) Release_Track'!$G:$G,'5) Release_Track'!$I:$I},2,0), or(and(not(isblank($B194)),$B194=$B193,$A194&lt;&gt;$A193),and(not(isblank($A194)),$A194=$A193,$B194&lt;&gt;$B193)),"ID LISTS UNALIGNED",and($A194&lt;&gt;"",countif('5) Release_Track'!$F:$F,$A194)=0),"NO ISRC MATCH in Release_Track",and($B194&lt;&gt;"",countif('5) Release_Track'!$G:$G,$B194)=0),"NO CATALOG ID MATCH in Release_Track",iserror(vlookup($A194&amp;$B194,'5) Release_Track'!$F:$F&amp;'5) Release_Track'!$G:$G,1,0)),"NO ISRC-CATALOG ID pair MATCH in Release_Track" )</f>
        <v/>
      </c>
      <c r="E194" s="125" t="str">
        <f t="array" ref="E194">ifs(and(isblank($A194),isblank($B194)),"", not(iserror(vlookup($A194&amp;$B194,'5) Release_Track'!$F:$F&amp;'5) Release_Track'!$G:$G,1,0))),vlookup($A194&amp;$B194,{'5) Release_Track'!$F:$F&amp;'5) Release_Track'!$G:$G,'5) Release_Track'!$J:$J},2,0), or(and(not(isblank($B194)),$B194=$B193,$A194&lt;&gt;$A193),and(not(isblank($A194)),$A194=$A193,$B194&lt;&gt;$B193)),"ID LISTS UNALIGNED",and($A194&lt;&gt;"",countif('5) Release_Track'!$F:$F,$A194)=0),"NO ISRC MATCH in Release_Track",and($B194&lt;&gt;"",countif('5) Release_Track'!$G:$G,$B194)=0),"NO CATALOG ID MATCH in Release_Track",iserror(vlookup($A194&amp;$B194,'5) Release_Track'!$F:$F&amp;'5) Release_Track'!$G:$G,1,0)),"NO ISRC-CATALOG ID pair MATCH in Release_Track" )</f>
        <v/>
      </c>
      <c r="F194" s="122"/>
      <c r="G194" s="99"/>
      <c r="H194" s="178"/>
      <c r="I194" s="121" t="str">
        <f t="shared" si="6"/>
        <v/>
      </c>
      <c r="J194" s="99"/>
      <c r="K194" s="99"/>
    </row>
    <row r="195">
      <c r="B195" s="103"/>
      <c r="C195" s="121" t="str">
        <f t="array" ref="C195">ifs(and(isblank($A195),isblank($B195)),"", not(iserror(vlookup($A195&amp;$B195,'5) Release_Track'!$F:$F&amp;'5) Release_Track'!$G:$G,1,0))),vlookup($A195&amp;$B195,{'5) Release_Track'!$F:$F&amp;'5) Release_Track'!$G:$G,'5) Release_Track'!$H:$H},2,0), or(and(not(isblank($B195)),$B195=$B194,$A195&lt;&gt;$A194),and(not(isblank($A195)),$A195=$A194,$B195&lt;&gt;$B194)),"ID LISTS UNALIGNED",and($A195&lt;&gt;"",countif('5) Release_Track'!$F:$F,$A195)=0),"NO ISRC MATCH in Release_Track",and($B195&lt;&gt;"",countif('5) Release_Track'!$G:$G,$B195)=0),"NO CATALOG ID MATCH in Release_Track",iserror(vlookup($A195&amp;$B195,'5) Release_Track'!$F:$F&amp;'5) Release_Track'!$G:$G,1,0)),"NO ISRC-CATALOG ID pair MATCH in Release_Track" )</f>
        <v/>
      </c>
      <c r="D195" s="121" t="str">
        <f t="array" ref="D195">ifs(and(isblank($A195),isblank($B195)),"", not(iserror(vlookup($A195&amp;$B195,'5) Release_Track'!$F:$F&amp;'5) Release_Track'!$G:$G,1,0))),vlookup($A195&amp;$B195,{'5) Release_Track'!$F:$F&amp;'5) Release_Track'!$G:$G,'5) Release_Track'!$I:$I},2,0), or(and(not(isblank($B195)),$B195=$B194,$A195&lt;&gt;$A194),and(not(isblank($A195)),$A195=$A194,$B195&lt;&gt;$B194)),"ID LISTS UNALIGNED",and($A195&lt;&gt;"",countif('5) Release_Track'!$F:$F,$A195)=0),"NO ISRC MATCH in Release_Track",and($B195&lt;&gt;"",countif('5) Release_Track'!$G:$G,$B195)=0),"NO CATALOG ID MATCH in Release_Track",iserror(vlookup($A195&amp;$B195,'5) Release_Track'!$F:$F&amp;'5) Release_Track'!$G:$G,1,0)),"NO ISRC-CATALOG ID pair MATCH in Release_Track" )</f>
        <v/>
      </c>
      <c r="E195" s="125" t="str">
        <f t="array" ref="E195">ifs(and(isblank($A195),isblank($B195)),"", not(iserror(vlookup($A195&amp;$B195,'5) Release_Track'!$F:$F&amp;'5) Release_Track'!$G:$G,1,0))),vlookup($A195&amp;$B195,{'5) Release_Track'!$F:$F&amp;'5) Release_Track'!$G:$G,'5) Release_Track'!$J:$J},2,0), or(and(not(isblank($B195)),$B195=$B194,$A195&lt;&gt;$A194),and(not(isblank($A195)),$A195=$A194,$B195&lt;&gt;$B194)),"ID LISTS UNALIGNED",and($A195&lt;&gt;"",countif('5) Release_Track'!$F:$F,$A195)=0),"NO ISRC MATCH in Release_Track",and($B195&lt;&gt;"",countif('5) Release_Track'!$G:$G,$B195)=0),"NO CATALOG ID MATCH in Release_Track",iserror(vlookup($A195&amp;$B195,'5) Release_Track'!$F:$F&amp;'5) Release_Track'!$G:$G,1,0)),"NO ISRC-CATALOG ID pair MATCH in Release_Track" )</f>
        <v/>
      </c>
      <c r="F195" s="122"/>
      <c r="G195" s="99"/>
      <c r="H195" s="178"/>
      <c r="I195" s="121" t="str">
        <f t="shared" si="6"/>
        <v/>
      </c>
      <c r="J195" s="99"/>
      <c r="K195" s="99"/>
    </row>
    <row r="196">
      <c r="B196" s="103"/>
      <c r="C196" s="121" t="str">
        <f t="array" ref="C196">ifs(and(isblank($A196),isblank($B196)),"", not(iserror(vlookup($A196&amp;$B196,'5) Release_Track'!$F:$F&amp;'5) Release_Track'!$G:$G,1,0))),vlookup($A196&amp;$B196,{'5) Release_Track'!$F:$F&amp;'5) Release_Track'!$G:$G,'5) Release_Track'!$H:$H},2,0), or(and(not(isblank($B196)),$B196=$B195,$A196&lt;&gt;$A195),and(not(isblank($A196)),$A196=$A195,$B196&lt;&gt;$B195)),"ID LISTS UNALIGNED",and($A196&lt;&gt;"",countif('5) Release_Track'!$F:$F,$A196)=0),"NO ISRC MATCH in Release_Track",and($B196&lt;&gt;"",countif('5) Release_Track'!$G:$G,$B196)=0),"NO CATALOG ID MATCH in Release_Track",iserror(vlookup($A196&amp;$B196,'5) Release_Track'!$F:$F&amp;'5) Release_Track'!$G:$G,1,0)),"NO ISRC-CATALOG ID pair MATCH in Release_Track" )</f>
        <v/>
      </c>
      <c r="D196" s="121" t="str">
        <f t="array" ref="D196">ifs(and(isblank($A196),isblank($B196)),"", not(iserror(vlookup($A196&amp;$B196,'5) Release_Track'!$F:$F&amp;'5) Release_Track'!$G:$G,1,0))),vlookup($A196&amp;$B196,{'5) Release_Track'!$F:$F&amp;'5) Release_Track'!$G:$G,'5) Release_Track'!$I:$I},2,0), or(and(not(isblank($B196)),$B196=$B195,$A196&lt;&gt;$A195),and(not(isblank($A196)),$A196=$A195,$B196&lt;&gt;$B195)),"ID LISTS UNALIGNED",and($A196&lt;&gt;"",countif('5) Release_Track'!$F:$F,$A196)=0),"NO ISRC MATCH in Release_Track",and($B196&lt;&gt;"",countif('5) Release_Track'!$G:$G,$B196)=0),"NO CATALOG ID MATCH in Release_Track",iserror(vlookup($A196&amp;$B196,'5) Release_Track'!$F:$F&amp;'5) Release_Track'!$G:$G,1,0)),"NO ISRC-CATALOG ID pair MATCH in Release_Track" )</f>
        <v/>
      </c>
      <c r="E196" s="125" t="str">
        <f t="array" ref="E196">ifs(and(isblank($A196),isblank($B196)),"", not(iserror(vlookup($A196&amp;$B196,'5) Release_Track'!$F:$F&amp;'5) Release_Track'!$G:$G,1,0))),vlookup($A196&amp;$B196,{'5) Release_Track'!$F:$F&amp;'5) Release_Track'!$G:$G,'5) Release_Track'!$J:$J},2,0), or(and(not(isblank($B196)),$B196=$B195,$A196&lt;&gt;$A195),and(not(isblank($A196)),$A196=$A195,$B196&lt;&gt;$B195)),"ID LISTS UNALIGNED",and($A196&lt;&gt;"",countif('5) Release_Track'!$F:$F,$A196)=0),"NO ISRC MATCH in Release_Track",and($B196&lt;&gt;"",countif('5) Release_Track'!$G:$G,$B196)=0),"NO CATALOG ID MATCH in Release_Track",iserror(vlookup($A196&amp;$B196,'5) Release_Track'!$F:$F&amp;'5) Release_Track'!$G:$G,1,0)),"NO ISRC-CATALOG ID pair MATCH in Release_Track" )</f>
        <v/>
      </c>
      <c r="F196" s="122"/>
      <c r="G196" s="99"/>
      <c r="H196" s="178"/>
      <c r="I196" s="121" t="str">
        <f t="shared" si="6"/>
        <v/>
      </c>
      <c r="J196" s="99"/>
      <c r="K196" s="99"/>
    </row>
    <row r="197">
      <c r="B197" s="103"/>
      <c r="C197" s="121" t="str">
        <f t="array" ref="C197">ifs(and(isblank($A197),isblank($B197)),"", not(iserror(vlookup($A197&amp;$B197,'5) Release_Track'!$F:$F&amp;'5) Release_Track'!$G:$G,1,0))),vlookup($A197&amp;$B197,{'5) Release_Track'!$F:$F&amp;'5) Release_Track'!$G:$G,'5) Release_Track'!$H:$H},2,0), or(and(not(isblank($B197)),$B197=$B196,$A197&lt;&gt;$A196),and(not(isblank($A197)),$A197=$A196,$B197&lt;&gt;$B196)),"ID LISTS UNALIGNED",and($A197&lt;&gt;"",countif('5) Release_Track'!$F:$F,$A197)=0),"NO ISRC MATCH in Release_Track",and($B197&lt;&gt;"",countif('5) Release_Track'!$G:$G,$B197)=0),"NO CATALOG ID MATCH in Release_Track",iserror(vlookup($A197&amp;$B197,'5) Release_Track'!$F:$F&amp;'5) Release_Track'!$G:$G,1,0)),"NO ISRC-CATALOG ID pair MATCH in Release_Track" )</f>
        <v/>
      </c>
      <c r="D197" s="121" t="str">
        <f t="array" ref="D197">ifs(and(isblank($A197),isblank($B197)),"", not(iserror(vlookup($A197&amp;$B197,'5) Release_Track'!$F:$F&amp;'5) Release_Track'!$G:$G,1,0))),vlookup($A197&amp;$B197,{'5) Release_Track'!$F:$F&amp;'5) Release_Track'!$G:$G,'5) Release_Track'!$I:$I},2,0), or(and(not(isblank($B197)),$B197=$B196,$A197&lt;&gt;$A196),and(not(isblank($A197)),$A197=$A196,$B197&lt;&gt;$B196)),"ID LISTS UNALIGNED",and($A197&lt;&gt;"",countif('5) Release_Track'!$F:$F,$A197)=0),"NO ISRC MATCH in Release_Track",and($B197&lt;&gt;"",countif('5) Release_Track'!$G:$G,$B197)=0),"NO CATALOG ID MATCH in Release_Track",iserror(vlookup($A197&amp;$B197,'5) Release_Track'!$F:$F&amp;'5) Release_Track'!$G:$G,1,0)),"NO ISRC-CATALOG ID pair MATCH in Release_Track" )</f>
        <v/>
      </c>
      <c r="E197" s="125" t="str">
        <f t="array" ref="E197">ifs(and(isblank($A197),isblank($B197)),"", not(iserror(vlookup($A197&amp;$B197,'5) Release_Track'!$F:$F&amp;'5) Release_Track'!$G:$G,1,0))),vlookup($A197&amp;$B197,{'5) Release_Track'!$F:$F&amp;'5) Release_Track'!$G:$G,'5) Release_Track'!$J:$J},2,0), or(and(not(isblank($B197)),$B197=$B196,$A197&lt;&gt;$A196),and(not(isblank($A197)),$A197=$A196,$B197&lt;&gt;$B196)),"ID LISTS UNALIGNED",and($A197&lt;&gt;"",countif('5) Release_Track'!$F:$F,$A197)=0),"NO ISRC MATCH in Release_Track",and($B197&lt;&gt;"",countif('5) Release_Track'!$G:$G,$B197)=0),"NO CATALOG ID MATCH in Release_Track",iserror(vlookup($A197&amp;$B197,'5) Release_Track'!$F:$F&amp;'5) Release_Track'!$G:$G,1,0)),"NO ISRC-CATALOG ID pair MATCH in Release_Track" )</f>
        <v/>
      </c>
      <c r="F197" s="122"/>
      <c r="G197" s="99"/>
      <c r="H197" s="178"/>
      <c r="I197" s="121" t="str">
        <f t="shared" si="6"/>
        <v/>
      </c>
      <c r="J197" s="99"/>
      <c r="K197" s="99"/>
    </row>
    <row r="198">
      <c r="B198" s="103"/>
      <c r="C198" s="121" t="str">
        <f t="array" ref="C198">ifs(and(isblank($A198),isblank($B198)),"", not(iserror(vlookup($A198&amp;$B198,'5) Release_Track'!$F:$F&amp;'5) Release_Track'!$G:$G,1,0))),vlookup($A198&amp;$B198,{'5) Release_Track'!$F:$F&amp;'5) Release_Track'!$G:$G,'5) Release_Track'!$H:$H},2,0), or(and(not(isblank($B198)),$B198=$B197,$A198&lt;&gt;$A197),and(not(isblank($A198)),$A198=$A197,$B198&lt;&gt;$B197)),"ID LISTS UNALIGNED",and($A198&lt;&gt;"",countif('5) Release_Track'!$F:$F,$A198)=0),"NO ISRC MATCH in Release_Track",and($B198&lt;&gt;"",countif('5) Release_Track'!$G:$G,$B198)=0),"NO CATALOG ID MATCH in Release_Track",iserror(vlookup($A198&amp;$B198,'5) Release_Track'!$F:$F&amp;'5) Release_Track'!$G:$G,1,0)),"NO ISRC-CATALOG ID pair MATCH in Release_Track" )</f>
        <v/>
      </c>
      <c r="D198" s="121" t="str">
        <f t="array" ref="D198">ifs(and(isblank($A198),isblank($B198)),"", not(iserror(vlookup($A198&amp;$B198,'5) Release_Track'!$F:$F&amp;'5) Release_Track'!$G:$G,1,0))),vlookup($A198&amp;$B198,{'5) Release_Track'!$F:$F&amp;'5) Release_Track'!$G:$G,'5) Release_Track'!$I:$I},2,0), or(and(not(isblank($B198)),$B198=$B197,$A198&lt;&gt;$A197),and(not(isblank($A198)),$A198=$A197,$B198&lt;&gt;$B197)),"ID LISTS UNALIGNED",and($A198&lt;&gt;"",countif('5) Release_Track'!$F:$F,$A198)=0),"NO ISRC MATCH in Release_Track",and($B198&lt;&gt;"",countif('5) Release_Track'!$G:$G,$B198)=0),"NO CATALOG ID MATCH in Release_Track",iserror(vlookup($A198&amp;$B198,'5) Release_Track'!$F:$F&amp;'5) Release_Track'!$G:$G,1,0)),"NO ISRC-CATALOG ID pair MATCH in Release_Track" )</f>
        <v/>
      </c>
      <c r="E198" s="125" t="str">
        <f t="array" ref="E198">ifs(and(isblank($A198),isblank($B198)),"", not(iserror(vlookup($A198&amp;$B198,'5) Release_Track'!$F:$F&amp;'5) Release_Track'!$G:$G,1,0))),vlookup($A198&amp;$B198,{'5) Release_Track'!$F:$F&amp;'5) Release_Track'!$G:$G,'5) Release_Track'!$J:$J},2,0), or(and(not(isblank($B198)),$B198=$B197,$A198&lt;&gt;$A197),and(not(isblank($A198)),$A198=$A197,$B198&lt;&gt;$B197)),"ID LISTS UNALIGNED",and($A198&lt;&gt;"",countif('5) Release_Track'!$F:$F,$A198)=0),"NO ISRC MATCH in Release_Track",and($B198&lt;&gt;"",countif('5) Release_Track'!$G:$G,$B198)=0),"NO CATALOG ID MATCH in Release_Track",iserror(vlookup($A198&amp;$B198,'5) Release_Track'!$F:$F&amp;'5) Release_Track'!$G:$G,1,0)),"NO ISRC-CATALOG ID pair MATCH in Release_Track" )</f>
        <v/>
      </c>
      <c r="F198" s="122"/>
      <c r="G198" s="99"/>
      <c r="H198" s="178"/>
      <c r="I198" s="121" t="str">
        <f t="shared" si="6"/>
        <v/>
      </c>
      <c r="J198" s="99"/>
      <c r="K198" s="99"/>
    </row>
    <row r="199">
      <c r="B199" s="103"/>
      <c r="C199" s="121" t="str">
        <f t="array" ref="C199">ifs(and(isblank($A199),isblank($B199)),"", not(iserror(vlookup($A199&amp;$B199,'5) Release_Track'!$F:$F&amp;'5) Release_Track'!$G:$G,1,0))),vlookup($A199&amp;$B199,{'5) Release_Track'!$F:$F&amp;'5) Release_Track'!$G:$G,'5) Release_Track'!$H:$H},2,0), or(and(not(isblank($B199)),$B199=$B198,$A199&lt;&gt;$A198),and(not(isblank($A199)),$A199=$A198,$B199&lt;&gt;$B198)),"ID LISTS UNALIGNED",and($A199&lt;&gt;"",countif('5) Release_Track'!$F:$F,$A199)=0),"NO ISRC MATCH in Release_Track",and($B199&lt;&gt;"",countif('5) Release_Track'!$G:$G,$B199)=0),"NO CATALOG ID MATCH in Release_Track",iserror(vlookup($A199&amp;$B199,'5) Release_Track'!$F:$F&amp;'5) Release_Track'!$G:$G,1,0)),"NO ISRC-CATALOG ID pair MATCH in Release_Track" )</f>
        <v/>
      </c>
      <c r="D199" s="121" t="str">
        <f t="array" ref="D199">ifs(and(isblank($A199),isblank($B199)),"", not(iserror(vlookup($A199&amp;$B199,'5) Release_Track'!$F:$F&amp;'5) Release_Track'!$G:$G,1,0))),vlookup($A199&amp;$B199,{'5) Release_Track'!$F:$F&amp;'5) Release_Track'!$G:$G,'5) Release_Track'!$I:$I},2,0), or(and(not(isblank($B199)),$B199=$B198,$A199&lt;&gt;$A198),and(not(isblank($A199)),$A199=$A198,$B199&lt;&gt;$B198)),"ID LISTS UNALIGNED",and($A199&lt;&gt;"",countif('5) Release_Track'!$F:$F,$A199)=0),"NO ISRC MATCH in Release_Track",and($B199&lt;&gt;"",countif('5) Release_Track'!$G:$G,$B199)=0),"NO CATALOG ID MATCH in Release_Track",iserror(vlookup($A199&amp;$B199,'5) Release_Track'!$F:$F&amp;'5) Release_Track'!$G:$G,1,0)),"NO ISRC-CATALOG ID pair MATCH in Release_Track" )</f>
        <v/>
      </c>
      <c r="E199" s="125" t="str">
        <f t="array" ref="E199">ifs(and(isblank($A199),isblank($B199)),"", not(iserror(vlookup($A199&amp;$B199,'5) Release_Track'!$F:$F&amp;'5) Release_Track'!$G:$G,1,0))),vlookup($A199&amp;$B199,{'5) Release_Track'!$F:$F&amp;'5) Release_Track'!$G:$G,'5) Release_Track'!$J:$J},2,0), or(and(not(isblank($B199)),$B199=$B198,$A199&lt;&gt;$A198),and(not(isblank($A199)),$A199=$A198,$B199&lt;&gt;$B198)),"ID LISTS UNALIGNED",and($A199&lt;&gt;"",countif('5) Release_Track'!$F:$F,$A199)=0),"NO ISRC MATCH in Release_Track",and($B199&lt;&gt;"",countif('5) Release_Track'!$G:$G,$B199)=0),"NO CATALOG ID MATCH in Release_Track",iserror(vlookup($A199&amp;$B199,'5) Release_Track'!$F:$F&amp;'5) Release_Track'!$G:$G,1,0)),"NO ISRC-CATALOG ID pair MATCH in Release_Track" )</f>
        <v/>
      </c>
      <c r="F199" s="122"/>
      <c r="G199" s="99"/>
      <c r="H199" s="178"/>
      <c r="I199" s="121" t="str">
        <f t="shared" si="6"/>
        <v/>
      </c>
      <c r="J199" s="99"/>
      <c r="K199" s="99"/>
    </row>
    <row r="200">
      <c r="B200" s="103"/>
      <c r="C200" s="121" t="str">
        <f t="array" ref="C200">ifs(and(isblank($A200),isblank($B200)),"", not(iserror(vlookup($A200&amp;$B200,'5) Release_Track'!$F:$F&amp;'5) Release_Track'!$G:$G,1,0))),vlookup($A200&amp;$B200,{'5) Release_Track'!$F:$F&amp;'5) Release_Track'!$G:$G,'5) Release_Track'!$H:$H},2,0), or(and(not(isblank($B200)),$B200=$B199,$A200&lt;&gt;$A199),and(not(isblank($A200)),$A200=$A199,$B200&lt;&gt;$B199)),"ID LISTS UNALIGNED",and($A200&lt;&gt;"",countif('5) Release_Track'!$F:$F,$A200)=0),"NO ISRC MATCH in Release_Track",and($B200&lt;&gt;"",countif('5) Release_Track'!$G:$G,$B200)=0),"NO CATALOG ID MATCH in Release_Track",iserror(vlookup($A200&amp;$B200,'5) Release_Track'!$F:$F&amp;'5) Release_Track'!$G:$G,1,0)),"NO ISRC-CATALOG ID pair MATCH in Release_Track" )</f>
        <v/>
      </c>
      <c r="D200" s="121" t="str">
        <f t="array" ref="D200">ifs(and(isblank($A200),isblank($B200)),"", not(iserror(vlookup($A200&amp;$B200,'5) Release_Track'!$F:$F&amp;'5) Release_Track'!$G:$G,1,0))),vlookup($A200&amp;$B200,{'5) Release_Track'!$F:$F&amp;'5) Release_Track'!$G:$G,'5) Release_Track'!$I:$I},2,0), or(and(not(isblank($B200)),$B200=$B199,$A200&lt;&gt;$A199),and(not(isblank($A200)),$A200=$A199,$B200&lt;&gt;$B199)),"ID LISTS UNALIGNED",and($A200&lt;&gt;"",countif('5) Release_Track'!$F:$F,$A200)=0),"NO ISRC MATCH in Release_Track",and($B200&lt;&gt;"",countif('5) Release_Track'!$G:$G,$B200)=0),"NO CATALOG ID MATCH in Release_Track",iserror(vlookup($A200&amp;$B200,'5) Release_Track'!$F:$F&amp;'5) Release_Track'!$G:$G,1,0)),"NO ISRC-CATALOG ID pair MATCH in Release_Track" )</f>
        <v/>
      </c>
      <c r="E200" s="125" t="str">
        <f t="array" ref="E200">ifs(and(isblank($A200),isblank($B200)),"", not(iserror(vlookup($A200&amp;$B200,'5) Release_Track'!$F:$F&amp;'5) Release_Track'!$G:$G,1,0))),vlookup($A200&amp;$B200,{'5) Release_Track'!$F:$F&amp;'5) Release_Track'!$G:$G,'5) Release_Track'!$J:$J},2,0), or(and(not(isblank($B200)),$B200=$B199,$A200&lt;&gt;$A199),and(not(isblank($A200)),$A200=$A199,$B200&lt;&gt;$B199)),"ID LISTS UNALIGNED",and($A200&lt;&gt;"",countif('5) Release_Track'!$F:$F,$A200)=0),"NO ISRC MATCH in Release_Track",and($B200&lt;&gt;"",countif('5) Release_Track'!$G:$G,$B200)=0),"NO CATALOG ID MATCH in Release_Track",iserror(vlookup($A200&amp;$B200,'5) Release_Track'!$F:$F&amp;'5) Release_Track'!$G:$G,1,0)),"NO ISRC-CATALOG ID pair MATCH in Release_Track" )</f>
        <v/>
      </c>
      <c r="F200" s="122"/>
      <c r="G200" s="99"/>
      <c r="H200" s="178"/>
      <c r="I200" s="121" t="str">
        <f t="shared" si="6"/>
        <v/>
      </c>
      <c r="J200" s="99"/>
      <c r="K200" s="99"/>
    </row>
    <row r="201">
      <c r="B201" s="103"/>
      <c r="C201" s="121" t="str">
        <f t="array" ref="C201">ifs(and(isblank($A201),isblank($B201)),"", not(iserror(vlookup($A201&amp;$B201,'5) Release_Track'!$F:$F&amp;'5) Release_Track'!$G:$G,1,0))),vlookup($A201&amp;$B201,{'5) Release_Track'!$F:$F&amp;'5) Release_Track'!$G:$G,'5) Release_Track'!$H:$H},2,0), or(and(not(isblank($B201)),$B201=$B200,$A201&lt;&gt;$A200),and(not(isblank($A201)),$A201=$A200,$B201&lt;&gt;$B200)),"ID LISTS UNALIGNED",and($A201&lt;&gt;"",countif('5) Release_Track'!$F:$F,$A201)=0),"NO ISRC MATCH in Release_Track",and($B201&lt;&gt;"",countif('5) Release_Track'!$G:$G,$B201)=0),"NO CATALOG ID MATCH in Release_Track",iserror(vlookup($A201&amp;$B201,'5) Release_Track'!$F:$F&amp;'5) Release_Track'!$G:$G,1,0)),"NO ISRC-CATALOG ID pair MATCH in Release_Track" )</f>
        <v/>
      </c>
      <c r="D201" s="121" t="str">
        <f t="array" ref="D201">ifs(and(isblank($A201),isblank($B201)),"", not(iserror(vlookup($A201&amp;$B201,'5) Release_Track'!$F:$F&amp;'5) Release_Track'!$G:$G,1,0))),vlookup($A201&amp;$B201,{'5) Release_Track'!$F:$F&amp;'5) Release_Track'!$G:$G,'5) Release_Track'!$I:$I},2,0), or(and(not(isblank($B201)),$B201=$B200,$A201&lt;&gt;$A200),and(not(isblank($A201)),$A201=$A200,$B201&lt;&gt;$B200)),"ID LISTS UNALIGNED",and($A201&lt;&gt;"",countif('5) Release_Track'!$F:$F,$A201)=0),"NO ISRC MATCH in Release_Track",and($B201&lt;&gt;"",countif('5) Release_Track'!$G:$G,$B201)=0),"NO CATALOG ID MATCH in Release_Track",iserror(vlookup($A201&amp;$B201,'5) Release_Track'!$F:$F&amp;'5) Release_Track'!$G:$G,1,0)),"NO ISRC-CATALOG ID pair MATCH in Release_Track" )</f>
        <v/>
      </c>
      <c r="E201" s="125" t="str">
        <f t="array" ref="E201">ifs(and(isblank($A201),isblank($B201)),"", not(iserror(vlookup($A201&amp;$B201,'5) Release_Track'!$F:$F&amp;'5) Release_Track'!$G:$G,1,0))),vlookup($A201&amp;$B201,{'5) Release_Track'!$F:$F&amp;'5) Release_Track'!$G:$G,'5) Release_Track'!$J:$J},2,0), or(and(not(isblank($B201)),$B201=$B200,$A201&lt;&gt;$A200),and(not(isblank($A201)),$A201=$A200,$B201&lt;&gt;$B200)),"ID LISTS UNALIGNED",and($A201&lt;&gt;"",countif('5) Release_Track'!$F:$F,$A201)=0),"NO ISRC MATCH in Release_Track",and($B201&lt;&gt;"",countif('5) Release_Track'!$G:$G,$B201)=0),"NO CATALOG ID MATCH in Release_Track",iserror(vlookup($A201&amp;$B201,'5) Release_Track'!$F:$F&amp;'5) Release_Track'!$G:$G,1,0)),"NO ISRC-CATALOG ID pair MATCH in Release_Track" )</f>
        <v/>
      </c>
      <c r="F201" s="122"/>
      <c r="G201" s="99"/>
      <c r="H201" s="178"/>
      <c r="I201" s="121" t="str">
        <f t="shared" si="6"/>
        <v/>
      </c>
      <c r="J201" s="99"/>
      <c r="K201" s="99"/>
    </row>
    <row r="202">
      <c r="B202" s="103"/>
      <c r="C202" s="121" t="str">
        <f t="array" ref="C202">ifs(and(isblank($A202),isblank($B202)),"", not(iserror(vlookup($A202&amp;$B202,'5) Release_Track'!$F:$F&amp;'5) Release_Track'!$G:$G,1,0))),vlookup($A202&amp;$B202,{'5) Release_Track'!$F:$F&amp;'5) Release_Track'!$G:$G,'5) Release_Track'!$H:$H},2,0), or(and(not(isblank($B202)),$B202=$B201,$A202&lt;&gt;$A201),and(not(isblank($A202)),$A202=$A201,$B202&lt;&gt;$B201)),"ID LISTS UNALIGNED",and($A202&lt;&gt;"",countif('5) Release_Track'!$F:$F,$A202)=0),"NO ISRC MATCH in Release_Track",and($B202&lt;&gt;"",countif('5) Release_Track'!$G:$G,$B202)=0),"NO CATALOG ID MATCH in Release_Track",iserror(vlookup($A202&amp;$B202,'5) Release_Track'!$F:$F&amp;'5) Release_Track'!$G:$G,1,0)),"NO ISRC-CATALOG ID pair MATCH in Release_Track" )</f>
        <v/>
      </c>
      <c r="D202" s="121" t="str">
        <f t="array" ref="D202">ifs(and(isblank($A202),isblank($B202)),"", not(iserror(vlookup($A202&amp;$B202,'5) Release_Track'!$F:$F&amp;'5) Release_Track'!$G:$G,1,0))),vlookup($A202&amp;$B202,{'5) Release_Track'!$F:$F&amp;'5) Release_Track'!$G:$G,'5) Release_Track'!$I:$I},2,0), or(and(not(isblank($B202)),$B202=$B201,$A202&lt;&gt;$A201),and(not(isblank($A202)),$A202=$A201,$B202&lt;&gt;$B201)),"ID LISTS UNALIGNED",and($A202&lt;&gt;"",countif('5) Release_Track'!$F:$F,$A202)=0),"NO ISRC MATCH in Release_Track",and($B202&lt;&gt;"",countif('5) Release_Track'!$G:$G,$B202)=0),"NO CATALOG ID MATCH in Release_Track",iserror(vlookup($A202&amp;$B202,'5) Release_Track'!$F:$F&amp;'5) Release_Track'!$G:$G,1,0)),"NO ISRC-CATALOG ID pair MATCH in Release_Track" )</f>
        <v/>
      </c>
      <c r="E202" s="125" t="str">
        <f t="array" ref="E202">ifs(and(isblank($A202),isblank($B202)),"", not(iserror(vlookup($A202&amp;$B202,'5) Release_Track'!$F:$F&amp;'5) Release_Track'!$G:$G,1,0))),vlookup($A202&amp;$B202,{'5) Release_Track'!$F:$F&amp;'5) Release_Track'!$G:$G,'5) Release_Track'!$J:$J},2,0), or(and(not(isblank($B202)),$B202=$B201,$A202&lt;&gt;$A201),and(not(isblank($A202)),$A202=$A201,$B202&lt;&gt;$B201)),"ID LISTS UNALIGNED",and($A202&lt;&gt;"",countif('5) Release_Track'!$F:$F,$A202)=0),"NO ISRC MATCH in Release_Track",and($B202&lt;&gt;"",countif('5) Release_Track'!$G:$G,$B202)=0),"NO CATALOG ID MATCH in Release_Track",iserror(vlookup($A202&amp;$B202,'5) Release_Track'!$F:$F&amp;'5) Release_Track'!$G:$G,1,0)),"NO ISRC-CATALOG ID pair MATCH in Release_Track" )</f>
        <v/>
      </c>
      <c r="F202" s="122"/>
      <c r="G202" s="99"/>
      <c r="H202" s="178"/>
      <c r="I202" s="121" t="str">
        <f t="shared" si="6"/>
        <v/>
      </c>
      <c r="J202" s="99"/>
      <c r="K202" s="99"/>
    </row>
    <row r="203">
      <c r="B203" s="103"/>
      <c r="C203" s="121" t="str">
        <f t="array" ref="C203">ifs(and(isblank($A203),isblank($B203)),"", not(iserror(vlookup($A203&amp;$B203,'5) Release_Track'!$F:$F&amp;'5) Release_Track'!$G:$G,1,0))),vlookup($A203&amp;$B203,{'5) Release_Track'!$F:$F&amp;'5) Release_Track'!$G:$G,'5) Release_Track'!$H:$H},2,0), or(and(not(isblank($B203)),$B203=$B202,$A203&lt;&gt;$A202),and(not(isblank($A203)),$A203=$A202,$B203&lt;&gt;$B202)),"ID LISTS UNALIGNED",and($A203&lt;&gt;"",countif('5) Release_Track'!$F:$F,$A203)=0),"NO ISRC MATCH in Release_Track",and($B203&lt;&gt;"",countif('5) Release_Track'!$G:$G,$B203)=0),"NO CATALOG ID MATCH in Release_Track",iserror(vlookup($A203&amp;$B203,'5) Release_Track'!$F:$F&amp;'5) Release_Track'!$G:$G,1,0)),"NO ISRC-CATALOG ID pair MATCH in Release_Track" )</f>
        <v/>
      </c>
      <c r="D203" s="121" t="str">
        <f t="array" ref="D203">ifs(and(isblank($A203),isblank($B203)),"", not(iserror(vlookup($A203&amp;$B203,'5) Release_Track'!$F:$F&amp;'5) Release_Track'!$G:$G,1,0))),vlookup($A203&amp;$B203,{'5) Release_Track'!$F:$F&amp;'5) Release_Track'!$G:$G,'5) Release_Track'!$I:$I},2,0), or(and(not(isblank($B203)),$B203=$B202,$A203&lt;&gt;$A202),and(not(isblank($A203)),$A203=$A202,$B203&lt;&gt;$B202)),"ID LISTS UNALIGNED",and($A203&lt;&gt;"",countif('5) Release_Track'!$F:$F,$A203)=0),"NO ISRC MATCH in Release_Track",and($B203&lt;&gt;"",countif('5) Release_Track'!$G:$G,$B203)=0),"NO CATALOG ID MATCH in Release_Track",iserror(vlookup($A203&amp;$B203,'5) Release_Track'!$F:$F&amp;'5) Release_Track'!$G:$G,1,0)),"NO ISRC-CATALOG ID pair MATCH in Release_Track" )</f>
        <v/>
      </c>
      <c r="E203" s="125" t="str">
        <f t="array" ref="E203">ifs(and(isblank($A203),isblank($B203)),"", not(iserror(vlookup($A203&amp;$B203,'5) Release_Track'!$F:$F&amp;'5) Release_Track'!$G:$G,1,0))),vlookup($A203&amp;$B203,{'5) Release_Track'!$F:$F&amp;'5) Release_Track'!$G:$G,'5) Release_Track'!$J:$J},2,0), or(and(not(isblank($B203)),$B203=$B202,$A203&lt;&gt;$A202),and(not(isblank($A203)),$A203=$A202,$B203&lt;&gt;$B202)),"ID LISTS UNALIGNED",and($A203&lt;&gt;"",countif('5) Release_Track'!$F:$F,$A203)=0),"NO ISRC MATCH in Release_Track",and($B203&lt;&gt;"",countif('5) Release_Track'!$G:$G,$B203)=0),"NO CATALOG ID MATCH in Release_Track",iserror(vlookup($A203&amp;$B203,'5) Release_Track'!$F:$F&amp;'5) Release_Track'!$G:$G,1,0)),"NO ISRC-CATALOG ID pair MATCH in Release_Track" )</f>
        <v/>
      </c>
      <c r="F203" s="122"/>
      <c r="G203" s="99"/>
      <c r="H203" s="178"/>
      <c r="I203" s="121" t="str">
        <f t="shared" si="6"/>
        <v/>
      </c>
      <c r="J203" s="99"/>
      <c r="K203" s="99"/>
    </row>
    <row r="204">
      <c r="B204" s="103"/>
      <c r="C204" s="121" t="str">
        <f t="array" ref="C204">ifs(and(isblank($A204),isblank($B204)),"", not(iserror(vlookup($A204&amp;$B204,'5) Release_Track'!$F:$F&amp;'5) Release_Track'!$G:$G,1,0))),vlookup($A204&amp;$B204,{'5) Release_Track'!$F:$F&amp;'5) Release_Track'!$G:$G,'5) Release_Track'!$H:$H},2,0), or(and(not(isblank($B204)),$B204=$B203,$A204&lt;&gt;$A203),and(not(isblank($A204)),$A204=$A203,$B204&lt;&gt;$B203)),"ID LISTS UNALIGNED",and($A204&lt;&gt;"",countif('5) Release_Track'!$F:$F,$A204)=0),"NO ISRC MATCH in Release_Track",and($B204&lt;&gt;"",countif('5) Release_Track'!$G:$G,$B204)=0),"NO CATALOG ID MATCH in Release_Track",iserror(vlookup($A204&amp;$B204,'5) Release_Track'!$F:$F&amp;'5) Release_Track'!$G:$G,1,0)),"NO ISRC-CATALOG ID pair MATCH in Release_Track" )</f>
        <v/>
      </c>
      <c r="D204" s="121" t="str">
        <f t="array" ref="D204">ifs(and(isblank($A204),isblank($B204)),"", not(iserror(vlookup($A204&amp;$B204,'5) Release_Track'!$F:$F&amp;'5) Release_Track'!$G:$G,1,0))),vlookup($A204&amp;$B204,{'5) Release_Track'!$F:$F&amp;'5) Release_Track'!$G:$G,'5) Release_Track'!$I:$I},2,0), or(and(not(isblank($B204)),$B204=$B203,$A204&lt;&gt;$A203),and(not(isblank($A204)),$A204=$A203,$B204&lt;&gt;$B203)),"ID LISTS UNALIGNED",and($A204&lt;&gt;"",countif('5) Release_Track'!$F:$F,$A204)=0),"NO ISRC MATCH in Release_Track",and($B204&lt;&gt;"",countif('5) Release_Track'!$G:$G,$B204)=0),"NO CATALOG ID MATCH in Release_Track",iserror(vlookup($A204&amp;$B204,'5) Release_Track'!$F:$F&amp;'5) Release_Track'!$G:$G,1,0)),"NO ISRC-CATALOG ID pair MATCH in Release_Track" )</f>
        <v/>
      </c>
      <c r="E204" s="125" t="str">
        <f t="array" ref="E204">ifs(and(isblank($A204),isblank($B204)),"", not(iserror(vlookup($A204&amp;$B204,'5) Release_Track'!$F:$F&amp;'5) Release_Track'!$G:$G,1,0))),vlookup($A204&amp;$B204,{'5) Release_Track'!$F:$F&amp;'5) Release_Track'!$G:$G,'5) Release_Track'!$J:$J},2,0), or(and(not(isblank($B204)),$B204=$B203,$A204&lt;&gt;$A203),and(not(isblank($A204)),$A204=$A203,$B204&lt;&gt;$B203)),"ID LISTS UNALIGNED",and($A204&lt;&gt;"",countif('5) Release_Track'!$F:$F,$A204)=0),"NO ISRC MATCH in Release_Track",and($B204&lt;&gt;"",countif('5) Release_Track'!$G:$G,$B204)=0),"NO CATALOG ID MATCH in Release_Track",iserror(vlookup($A204&amp;$B204,'5) Release_Track'!$F:$F&amp;'5) Release_Track'!$G:$G,1,0)),"NO ISRC-CATALOG ID pair MATCH in Release_Track" )</f>
        <v/>
      </c>
      <c r="F204" s="122"/>
      <c r="G204" s="99"/>
      <c r="H204" s="178"/>
      <c r="I204" s="121" t="str">
        <f t="shared" si="6"/>
        <v/>
      </c>
      <c r="J204" s="99"/>
      <c r="K204" s="99"/>
    </row>
    <row r="205">
      <c r="B205" s="103"/>
      <c r="C205" s="121" t="str">
        <f t="array" ref="C205">ifs(and(isblank($A205),isblank($B205)),"", not(iserror(vlookup($A205&amp;$B205,'5) Release_Track'!$F:$F&amp;'5) Release_Track'!$G:$G,1,0))),vlookup($A205&amp;$B205,{'5) Release_Track'!$F:$F&amp;'5) Release_Track'!$G:$G,'5) Release_Track'!$H:$H},2,0), or(and(not(isblank($B205)),$B205=$B204,$A205&lt;&gt;$A204),and(not(isblank($A205)),$A205=$A204,$B205&lt;&gt;$B204)),"ID LISTS UNALIGNED",and($A205&lt;&gt;"",countif('5) Release_Track'!$F:$F,$A205)=0),"NO ISRC MATCH in Release_Track",and($B205&lt;&gt;"",countif('5) Release_Track'!$G:$G,$B205)=0),"NO CATALOG ID MATCH in Release_Track",iserror(vlookup($A205&amp;$B205,'5) Release_Track'!$F:$F&amp;'5) Release_Track'!$G:$G,1,0)),"NO ISRC-CATALOG ID pair MATCH in Release_Track" )</f>
        <v/>
      </c>
      <c r="D205" s="121" t="str">
        <f t="array" ref="D205">ifs(and(isblank($A205),isblank($B205)),"", not(iserror(vlookup($A205&amp;$B205,'5) Release_Track'!$F:$F&amp;'5) Release_Track'!$G:$G,1,0))),vlookup($A205&amp;$B205,{'5) Release_Track'!$F:$F&amp;'5) Release_Track'!$G:$G,'5) Release_Track'!$I:$I},2,0), or(and(not(isblank($B205)),$B205=$B204,$A205&lt;&gt;$A204),and(not(isblank($A205)),$A205=$A204,$B205&lt;&gt;$B204)),"ID LISTS UNALIGNED",and($A205&lt;&gt;"",countif('5) Release_Track'!$F:$F,$A205)=0),"NO ISRC MATCH in Release_Track",and($B205&lt;&gt;"",countif('5) Release_Track'!$G:$G,$B205)=0),"NO CATALOG ID MATCH in Release_Track",iserror(vlookup($A205&amp;$B205,'5) Release_Track'!$F:$F&amp;'5) Release_Track'!$G:$G,1,0)),"NO ISRC-CATALOG ID pair MATCH in Release_Track" )</f>
        <v/>
      </c>
      <c r="E205" s="125" t="str">
        <f t="array" ref="E205">ifs(and(isblank($A205),isblank($B205)),"", not(iserror(vlookup($A205&amp;$B205,'5) Release_Track'!$F:$F&amp;'5) Release_Track'!$G:$G,1,0))),vlookup($A205&amp;$B205,{'5) Release_Track'!$F:$F&amp;'5) Release_Track'!$G:$G,'5) Release_Track'!$J:$J},2,0), or(and(not(isblank($B205)),$B205=$B204,$A205&lt;&gt;$A204),and(not(isblank($A205)),$A205=$A204,$B205&lt;&gt;$B204)),"ID LISTS UNALIGNED",and($A205&lt;&gt;"",countif('5) Release_Track'!$F:$F,$A205)=0),"NO ISRC MATCH in Release_Track",and($B205&lt;&gt;"",countif('5) Release_Track'!$G:$G,$B205)=0),"NO CATALOG ID MATCH in Release_Track",iserror(vlookup($A205&amp;$B205,'5) Release_Track'!$F:$F&amp;'5) Release_Track'!$G:$G,1,0)),"NO ISRC-CATALOG ID pair MATCH in Release_Track" )</f>
        <v/>
      </c>
      <c r="F205" s="122"/>
      <c r="G205" s="99"/>
      <c r="H205" s="178"/>
      <c r="I205" s="121" t="str">
        <f t="shared" si="6"/>
        <v/>
      </c>
      <c r="J205" s="99"/>
      <c r="K205" s="99"/>
    </row>
    <row r="206">
      <c r="B206" s="103"/>
      <c r="C206" s="121" t="str">
        <f t="array" ref="C206">ifs(and(isblank($A206),isblank($B206)),"", not(iserror(vlookup($A206&amp;$B206,'5) Release_Track'!$F:$F&amp;'5) Release_Track'!$G:$G,1,0))),vlookup($A206&amp;$B206,{'5) Release_Track'!$F:$F&amp;'5) Release_Track'!$G:$G,'5) Release_Track'!$H:$H},2,0), or(and(not(isblank($B206)),$B206=$B205,$A206&lt;&gt;$A205),and(not(isblank($A206)),$A206=$A205,$B206&lt;&gt;$B205)),"ID LISTS UNALIGNED",and($A206&lt;&gt;"",countif('5) Release_Track'!$F:$F,$A206)=0),"NO ISRC MATCH in Release_Track",and($B206&lt;&gt;"",countif('5) Release_Track'!$G:$G,$B206)=0),"NO CATALOG ID MATCH in Release_Track",iserror(vlookup($A206&amp;$B206,'5) Release_Track'!$F:$F&amp;'5) Release_Track'!$G:$G,1,0)),"NO ISRC-CATALOG ID pair MATCH in Release_Track" )</f>
        <v/>
      </c>
      <c r="D206" s="121" t="str">
        <f t="array" ref="D206">ifs(and(isblank($A206),isblank($B206)),"", not(iserror(vlookup($A206&amp;$B206,'5) Release_Track'!$F:$F&amp;'5) Release_Track'!$G:$G,1,0))),vlookup($A206&amp;$B206,{'5) Release_Track'!$F:$F&amp;'5) Release_Track'!$G:$G,'5) Release_Track'!$I:$I},2,0), or(and(not(isblank($B206)),$B206=$B205,$A206&lt;&gt;$A205),and(not(isblank($A206)),$A206=$A205,$B206&lt;&gt;$B205)),"ID LISTS UNALIGNED",and($A206&lt;&gt;"",countif('5) Release_Track'!$F:$F,$A206)=0),"NO ISRC MATCH in Release_Track",and($B206&lt;&gt;"",countif('5) Release_Track'!$G:$G,$B206)=0),"NO CATALOG ID MATCH in Release_Track",iserror(vlookup($A206&amp;$B206,'5) Release_Track'!$F:$F&amp;'5) Release_Track'!$G:$G,1,0)),"NO ISRC-CATALOG ID pair MATCH in Release_Track" )</f>
        <v/>
      </c>
      <c r="E206" s="125" t="str">
        <f t="array" ref="E206">ifs(and(isblank($A206),isblank($B206)),"", not(iserror(vlookup($A206&amp;$B206,'5) Release_Track'!$F:$F&amp;'5) Release_Track'!$G:$G,1,0))),vlookup($A206&amp;$B206,{'5) Release_Track'!$F:$F&amp;'5) Release_Track'!$G:$G,'5) Release_Track'!$J:$J},2,0), or(and(not(isblank($B206)),$B206=$B205,$A206&lt;&gt;$A205),and(not(isblank($A206)),$A206=$A205,$B206&lt;&gt;$B205)),"ID LISTS UNALIGNED",and($A206&lt;&gt;"",countif('5) Release_Track'!$F:$F,$A206)=0),"NO ISRC MATCH in Release_Track",and($B206&lt;&gt;"",countif('5) Release_Track'!$G:$G,$B206)=0),"NO CATALOG ID MATCH in Release_Track",iserror(vlookup($A206&amp;$B206,'5) Release_Track'!$F:$F&amp;'5) Release_Track'!$G:$G,1,0)),"NO ISRC-CATALOG ID pair MATCH in Release_Track" )</f>
        <v/>
      </c>
      <c r="F206" s="122"/>
      <c r="G206" s="99"/>
      <c r="H206" s="178"/>
      <c r="I206" s="121" t="str">
        <f t="shared" si="6"/>
        <v/>
      </c>
      <c r="J206" s="99"/>
      <c r="K206" s="99"/>
    </row>
    <row r="207">
      <c r="B207" s="103"/>
      <c r="C207" s="121" t="str">
        <f t="array" ref="C207">ifs(and(isblank($A207),isblank($B207)),"", not(iserror(vlookup($A207&amp;$B207,'5) Release_Track'!$F:$F&amp;'5) Release_Track'!$G:$G,1,0))),vlookup($A207&amp;$B207,{'5) Release_Track'!$F:$F&amp;'5) Release_Track'!$G:$G,'5) Release_Track'!$H:$H},2,0), or(and(not(isblank($B207)),$B207=$B206,$A207&lt;&gt;$A206),and(not(isblank($A207)),$A207=$A206,$B207&lt;&gt;$B206)),"ID LISTS UNALIGNED",and($A207&lt;&gt;"",countif('5) Release_Track'!$F:$F,$A207)=0),"NO ISRC MATCH in Release_Track",and($B207&lt;&gt;"",countif('5) Release_Track'!$G:$G,$B207)=0),"NO CATALOG ID MATCH in Release_Track",iserror(vlookup($A207&amp;$B207,'5) Release_Track'!$F:$F&amp;'5) Release_Track'!$G:$G,1,0)),"NO ISRC-CATALOG ID pair MATCH in Release_Track" )</f>
        <v/>
      </c>
      <c r="D207" s="121" t="str">
        <f t="array" ref="D207">ifs(and(isblank($A207),isblank($B207)),"", not(iserror(vlookup($A207&amp;$B207,'5) Release_Track'!$F:$F&amp;'5) Release_Track'!$G:$G,1,0))),vlookup($A207&amp;$B207,{'5) Release_Track'!$F:$F&amp;'5) Release_Track'!$G:$G,'5) Release_Track'!$I:$I},2,0), or(and(not(isblank($B207)),$B207=$B206,$A207&lt;&gt;$A206),and(not(isblank($A207)),$A207=$A206,$B207&lt;&gt;$B206)),"ID LISTS UNALIGNED",and($A207&lt;&gt;"",countif('5) Release_Track'!$F:$F,$A207)=0),"NO ISRC MATCH in Release_Track",and($B207&lt;&gt;"",countif('5) Release_Track'!$G:$G,$B207)=0),"NO CATALOG ID MATCH in Release_Track",iserror(vlookup($A207&amp;$B207,'5) Release_Track'!$F:$F&amp;'5) Release_Track'!$G:$G,1,0)),"NO ISRC-CATALOG ID pair MATCH in Release_Track" )</f>
        <v/>
      </c>
      <c r="E207" s="125" t="str">
        <f t="array" ref="E207">ifs(and(isblank($A207),isblank($B207)),"", not(iserror(vlookup($A207&amp;$B207,'5) Release_Track'!$F:$F&amp;'5) Release_Track'!$G:$G,1,0))),vlookup($A207&amp;$B207,{'5) Release_Track'!$F:$F&amp;'5) Release_Track'!$G:$G,'5) Release_Track'!$J:$J},2,0), or(and(not(isblank($B207)),$B207=$B206,$A207&lt;&gt;$A206),and(not(isblank($A207)),$A207=$A206,$B207&lt;&gt;$B206)),"ID LISTS UNALIGNED",and($A207&lt;&gt;"",countif('5) Release_Track'!$F:$F,$A207)=0),"NO ISRC MATCH in Release_Track",and($B207&lt;&gt;"",countif('5) Release_Track'!$G:$G,$B207)=0),"NO CATALOG ID MATCH in Release_Track",iserror(vlookup($A207&amp;$B207,'5) Release_Track'!$F:$F&amp;'5) Release_Track'!$G:$G,1,0)),"NO ISRC-CATALOG ID pair MATCH in Release_Track" )</f>
        <v/>
      </c>
      <c r="F207" s="122"/>
      <c r="G207" s="99"/>
      <c r="H207" s="178"/>
      <c r="I207" s="121" t="str">
        <f t="shared" si="6"/>
        <v/>
      </c>
      <c r="J207" s="99"/>
      <c r="K207" s="99"/>
    </row>
    <row r="208">
      <c r="B208" s="103"/>
      <c r="C208" s="121" t="str">
        <f t="array" ref="C208">ifs(and(isblank($A208),isblank($B208)),"", not(iserror(vlookup($A208&amp;$B208,'5) Release_Track'!$F:$F&amp;'5) Release_Track'!$G:$G,1,0))),vlookup($A208&amp;$B208,{'5) Release_Track'!$F:$F&amp;'5) Release_Track'!$G:$G,'5) Release_Track'!$H:$H},2,0), or(and(not(isblank($B208)),$B208=$B207,$A208&lt;&gt;$A207),and(not(isblank($A208)),$A208=$A207,$B208&lt;&gt;$B207)),"ID LISTS UNALIGNED",and($A208&lt;&gt;"",countif('5) Release_Track'!$F:$F,$A208)=0),"NO ISRC MATCH in Release_Track",and($B208&lt;&gt;"",countif('5) Release_Track'!$G:$G,$B208)=0),"NO CATALOG ID MATCH in Release_Track",iserror(vlookup($A208&amp;$B208,'5) Release_Track'!$F:$F&amp;'5) Release_Track'!$G:$G,1,0)),"NO ISRC-CATALOG ID pair MATCH in Release_Track" )</f>
        <v/>
      </c>
      <c r="D208" s="121" t="str">
        <f t="array" ref="D208">ifs(and(isblank($A208),isblank($B208)),"", not(iserror(vlookup($A208&amp;$B208,'5) Release_Track'!$F:$F&amp;'5) Release_Track'!$G:$G,1,0))),vlookup($A208&amp;$B208,{'5) Release_Track'!$F:$F&amp;'5) Release_Track'!$G:$G,'5) Release_Track'!$I:$I},2,0), or(and(not(isblank($B208)),$B208=$B207,$A208&lt;&gt;$A207),and(not(isblank($A208)),$A208=$A207,$B208&lt;&gt;$B207)),"ID LISTS UNALIGNED",and($A208&lt;&gt;"",countif('5) Release_Track'!$F:$F,$A208)=0),"NO ISRC MATCH in Release_Track",and($B208&lt;&gt;"",countif('5) Release_Track'!$G:$G,$B208)=0),"NO CATALOG ID MATCH in Release_Track",iserror(vlookup($A208&amp;$B208,'5) Release_Track'!$F:$F&amp;'5) Release_Track'!$G:$G,1,0)),"NO ISRC-CATALOG ID pair MATCH in Release_Track" )</f>
        <v/>
      </c>
      <c r="E208" s="125" t="str">
        <f t="array" ref="E208">ifs(and(isblank($A208),isblank($B208)),"", not(iserror(vlookup($A208&amp;$B208,'5) Release_Track'!$F:$F&amp;'5) Release_Track'!$G:$G,1,0))),vlookup($A208&amp;$B208,{'5) Release_Track'!$F:$F&amp;'5) Release_Track'!$G:$G,'5) Release_Track'!$J:$J},2,0), or(and(not(isblank($B208)),$B208=$B207,$A208&lt;&gt;$A207),and(not(isblank($A208)),$A208=$A207,$B208&lt;&gt;$B207)),"ID LISTS UNALIGNED",and($A208&lt;&gt;"",countif('5) Release_Track'!$F:$F,$A208)=0),"NO ISRC MATCH in Release_Track",and($B208&lt;&gt;"",countif('5) Release_Track'!$G:$G,$B208)=0),"NO CATALOG ID MATCH in Release_Track",iserror(vlookup($A208&amp;$B208,'5) Release_Track'!$F:$F&amp;'5) Release_Track'!$G:$G,1,0)),"NO ISRC-CATALOG ID pair MATCH in Release_Track" )</f>
        <v/>
      </c>
      <c r="F208" s="122"/>
      <c r="G208" s="99"/>
      <c r="H208" s="178"/>
      <c r="I208" s="121" t="str">
        <f t="shared" si="6"/>
        <v/>
      </c>
      <c r="J208" s="99"/>
      <c r="K208" s="99"/>
    </row>
    <row r="209">
      <c r="B209" s="103"/>
      <c r="C209" s="121" t="str">
        <f t="array" ref="C209">ifs(and(isblank($A209),isblank($B209)),"", not(iserror(vlookup($A209&amp;$B209,'5) Release_Track'!$F:$F&amp;'5) Release_Track'!$G:$G,1,0))),vlookup($A209&amp;$B209,{'5) Release_Track'!$F:$F&amp;'5) Release_Track'!$G:$G,'5) Release_Track'!$H:$H},2,0), or(and(not(isblank($B209)),$B209=$B208,$A209&lt;&gt;$A208),and(not(isblank($A209)),$A209=$A208,$B209&lt;&gt;$B208)),"ID LISTS UNALIGNED",and($A209&lt;&gt;"",countif('5) Release_Track'!$F:$F,$A209)=0),"NO ISRC MATCH in Release_Track",and($B209&lt;&gt;"",countif('5) Release_Track'!$G:$G,$B209)=0),"NO CATALOG ID MATCH in Release_Track",iserror(vlookup($A209&amp;$B209,'5) Release_Track'!$F:$F&amp;'5) Release_Track'!$G:$G,1,0)),"NO ISRC-CATALOG ID pair MATCH in Release_Track" )</f>
        <v/>
      </c>
      <c r="D209" s="121" t="str">
        <f t="array" ref="D209">ifs(and(isblank($A209),isblank($B209)),"", not(iserror(vlookup($A209&amp;$B209,'5) Release_Track'!$F:$F&amp;'5) Release_Track'!$G:$G,1,0))),vlookup($A209&amp;$B209,{'5) Release_Track'!$F:$F&amp;'5) Release_Track'!$G:$G,'5) Release_Track'!$I:$I},2,0), or(and(not(isblank($B209)),$B209=$B208,$A209&lt;&gt;$A208),and(not(isblank($A209)),$A209=$A208,$B209&lt;&gt;$B208)),"ID LISTS UNALIGNED",and($A209&lt;&gt;"",countif('5) Release_Track'!$F:$F,$A209)=0),"NO ISRC MATCH in Release_Track",and($B209&lt;&gt;"",countif('5) Release_Track'!$G:$G,$B209)=0),"NO CATALOG ID MATCH in Release_Track",iserror(vlookup($A209&amp;$B209,'5) Release_Track'!$F:$F&amp;'5) Release_Track'!$G:$G,1,0)),"NO ISRC-CATALOG ID pair MATCH in Release_Track" )</f>
        <v/>
      </c>
      <c r="E209" s="125" t="str">
        <f t="array" ref="E209">ifs(and(isblank($A209),isblank($B209)),"", not(iserror(vlookup($A209&amp;$B209,'5) Release_Track'!$F:$F&amp;'5) Release_Track'!$G:$G,1,0))),vlookup($A209&amp;$B209,{'5) Release_Track'!$F:$F&amp;'5) Release_Track'!$G:$G,'5) Release_Track'!$J:$J},2,0), or(and(not(isblank($B209)),$B209=$B208,$A209&lt;&gt;$A208),and(not(isblank($A209)),$A209=$A208,$B209&lt;&gt;$B208)),"ID LISTS UNALIGNED",and($A209&lt;&gt;"",countif('5) Release_Track'!$F:$F,$A209)=0),"NO ISRC MATCH in Release_Track",and($B209&lt;&gt;"",countif('5) Release_Track'!$G:$G,$B209)=0),"NO CATALOG ID MATCH in Release_Track",iserror(vlookup($A209&amp;$B209,'5) Release_Track'!$F:$F&amp;'5) Release_Track'!$G:$G,1,0)),"NO ISRC-CATALOG ID pair MATCH in Release_Track" )</f>
        <v/>
      </c>
      <c r="F209" s="122"/>
      <c r="G209" s="99"/>
      <c r="H209" s="178"/>
      <c r="I209" s="121" t="str">
        <f t="shared" si="6"/>
        <v/>
      </c>
      <c r="J209" s="99"/>
      <c r="K209" s="99"/>
    </row>
    <row r="210">
      <c r="B210" s="103"/>
      <c r="C210" s="121" t="str">
        <f t="array" ref="C210">ifs(and(isblank($A210),isblank($B210)),"", not(iserror(vlookup($A210&amp;$B210,'5) Release_Track'!$F:$F&amp;'5) Release_Track'!$G:$G,1,0))),vlookup($A210&amp;$B210,{'5) Release_Track'!$F:$F&amp;'5) Release_Track'!$G:$G,'5) Release_Track'!$H:$H},2,0), or(and(not(isblank($B210)),$B210=$B209,$A210&lt;&gt;$A209),and(not(isblank($A210)),$A210=$A209,$B210&lt;&gt;$B209)),"ID LISTS UNALIGNED",and($A210&lt;&gt;"",countif('5) Release_Track'!$F:$F,$A210)=0),"NO ISRC MATCH in Release_Track",and($B210&lt;&gt;"",countif('5) Release_Track'!$G:$G,$B210)=0),"NO CATALOG ID MATCH in Release_Track",iserror(vlookup($A210&amp;$B210,'5) Release_Track'!$F:$F&amp;'5) Release_Track'!$G:$G,1,0)),"NO ISRC-CATALOG ID pair MATCH in Release_Track" )</f>
        <v/>
      </c>
      <c r="D210" s="121" t="str">
        <f t="array" ref="D210">ifs(and(isblank($A210),isblank($B210)),"", not(iserror(vlookup($A210&amp;$B210,'5) Release_Track'!$F:$F&amp;'5) Release_Track'!$G:$G,1,0))),vlookup($A210&amp;$B210,{'5) Release_Track'!$F:$F&amp;'5) Release_Track'!$G:$G,'5) Release_Track'!$I:$I},2,0), or(and(not(isblank($B210)),$B210=$B209,$A210&lt;&gt;$A209),and(not(isblank($A210)),$A210=$A209,$B210&lt;&gt;$B209)),"ID LISTS UNALIGNED",and($A210&lt;&gt;"",countif('5) Release_Track'!$F:$F,$A210)=0),"NO ISRC MATCH in Release_Track",and($B210&lt;&gt;"",countif('5) Release_Track'!$G:$G,$B210)=0),"NO CATALOG ID MATCH in Release_Track",iserror(vlookup($A210&amp;$B210,'5) Release_Track'!$F:$F&amp;'5) Release_Track'!$G:$G,1,0)),"NO ISRC-CATALOG ID pair MATCH in Release_Track" )</f>
        <v/>
      </c>
      <c r="E210" s="125" t="str">
        <f t="array" ref="E210">ifs(and(isblank($A210),isblank($B210)),"", not(iserror(vlookup($A210&amp;$B210,'5) Release_Track'!$F:$F&amp;'5) Release_Track'!$G:$G,1,0))),vlookup($A210&amp;$B210,{'5) Release_Track'!$F:$F&amp;'5) Release_Track'!$G:$G,'5) Release_Track'!$J:$J},2,0), or(and(not(isblank($B210)),$B210=$B209,$A210&lt;&gt;$A209),and(not(isblank($A210)),$A210=$A209,$B210&lt;&gt;$B209)),"ID LISTS UNALIGNED",and($A210&lt;&gt;"",countif('5) Release_Track'!$F:$F,$A210)=0),"NO ISRC MATCH in Release_Track",and($B210&lt;&gt;"",countif('5) Release_Track'!$G:$G,$B210)=0),"NO CATALOG ID MATCH in Release_Track",iserror(vlookup($A210&amp;$B210,'5) Release_Track'!$F:$F&amp;'5) Release_Track'!$G:$G,1,0)),"NO ISRC-CATALOG ID pair MATCH in Release_Track" )</f>
        <v/>
      </c>
      <c r="F210" s="122"/>
      <c r="G210" s="99"/>
      <c r="H210" s="178"/>
      <c r="I210" s="121" t="str">
        <f t="shared" si="6"/>
        <v/>
      </c>
      <c r="J210" s="99"/>
      <c r="K210" s="99"/>
    </row>
    <row r="211">
      <c r="B211" s="103"/>
      <c r="C211" s="121" t="str">
        <f t="array" ref="C211">ifs(and(isblank($A211),isblank($B211)),"", not(iserror(vlookup($A211&amp;$B211,'5) Release_Track'!$F:$F&amp;'5) Release_Track'!$G:$G,1,0))),vlookup($A211&amp;$B211,{'5) Release_Track'!$F:$F&amp;'5) Release_Track'!$G:$G,'5) Release_Track'!$H:$H},2,0), or(and(not(isblank($B211)),$B211=$B210,$A211&lt;&gt;$A210),and(not(isblank($A211)),$A211=$A210,$B211&lt;&gt;$B210)),"ID LISTS UNALIGNED",and($A211&lt;&gt;"",countif('5) Release_Track'!$F:$F,$A211)=0),"NO ISRC MATCH in Release_Track",and($B211&lt;&gt;"",countif('5) Release_Track'!$G:$G,$B211)=0),"NO CATALOG ID MATCH in Release_Track",iserror(vlookup($A211&amp;$B211,'5) Release_Track'!$F:$F&amp;'5) Release_Track'!$G:$G,1,0)),"NO ISRC-CATALOG ID pair MATCH in Release_Track" )</f>
        <v/>
      </c>
      <c r="D211" s="121" t="str">
        <f t="array" ref="D211">ifs(and(isblank($A211),isblank($B211)),"", not(iserror(vlookup($A211&amp;$B211,'5) Release_Track'!$F:$F&amp;'5) Release_Track'!$G:$G,1,0))),vlookup($A211&amp;$B211,{'5) Release_Track'!$F:$F&amp;'5) Release_Track'!$G:$G,'5) Release_Track'!$I:$I},2,0), or(and(not(isblank($B211)),$B211=$B210,$A211&lt;&gt;$A210),and(not(isblank($A211)),$A211=$A210,$B211&lt;&gt;$B210)),"ID LISTS UNALIGNED",and($A211&lt;&gt;"",countif('5) Release_Track'!$F:$F,$A211)=0),"NO ISRC MATCH in Release_Track",and($B211&lt;&gt;"",countif('5) Release_Track'!$G:$G,$B211)=0),"NO CATALOG ID MATCH in Release_Track",iserror(vlookup($A211&amp;$B211,'5) Release_Track'!$F:$F&amp;'5) Release_Track'!$G:$G,1,0)),"NO ISRC-CATALOG ID pair MATCH in Release_Track" )</f>
        <v/>
      </c>
      <c r="E211" s="125" t="str">
        <f t="array" ref="E211">ifs(and(isblank($A211),isblank($B211)),"", not(iserror(vlookup($A211&amp;$B211,'5) Release_Track'!$F:$F&amp;'5) Release_Track'!$G:$G,1,0))),vlookup($A211&amp;$B211,{'5) Release_Track'!$F:$F&amp;'5) Release_Track'!$G:$G,'5) Release_Track'!$J:$J},2,0), or(and(not(isblank($B211)),$B211=$B210,$A211&lt;&gt;$A210),and(not(isblank($A211)),$A211=$A210,$B211&lt;&gt;$B210)),"ID LISTS UNALIGNED",and($A211&lt;&gt;"",countif('5) Release_Track'!$F:$F,$A211)=0),"NO ISRC MATCH in Release_Track",and($B211&lt;&gt;"",countif('5) Release_Track'!$G:$G,$B211)=0),"NO CATALOG ID MATCH in Release_Track",iserror(vlookup($A211&amp;$B211,'5) Release_Track'!$F:$F&amp;'5) Release_Track'!$G:$G,1,0)),"NO ISRC-CATALOG ID pair MATCH in Release_Track" )</f>
        <v/>
      </c>
      <c r="F211" s="122"/>
      <c r="G211" s="99"/>
      <c r="H211" s="178"/>
      <c r="I211" s="121" t="str">
        <f t="shared" si="6"/>
        <v/>
      </c>
      <c r="J211" s="99"/>
      <c r="K211" s="99"/>
    </row>
    <row r="212">
      <c r="B212" s="103"/>
      <c r="C212" s="121" t="str">
        <f t="array" ref="C212">ifs(and(isblank($A212),isblank($B212)),"", not(iserror(vlookup($A212&amp;$B212,'5) Release_Track'!$F:$F&amp;'5) Release_Track'!$G:$G,1,0))),vlookup($A212&amp;$B212,{'5) Release_Track'!$F:$F&amp;'5) Release_Track'!$G:$G,'5) Release_Track'!$H:$H},2,0), or(and(not(isblank($B212)),$B212=$B211,$A212&lt;&gt;$A211),and(not(isblank($A212)),$A212=$A211,$B212&lt;&gt;$B211)),"ID LISTS UNALIGNED",and($A212&lt;&gt;"",countif('5) Release_Track'!$F:$F,$A212)=0),"NO ISRC MATCH in Release_Track",and($B212&lt;&gt;"",countif('5) Release_Track'!$G:$G,$B212)=0),"NO CATALOG ID MATCH in Release_Track",iserror(vlookup($A212&amp;$B212,'5) Release_Track'!$F:$F&amp;'5) Release_Track'!$G:$G,1,0)),"NO ISRC-CATALOG ID pair MATCH in Release_Track" )</f>
        <v/>
      </c>
      <c r="D212" s="121" t="str">
        <f t="array" ref="D212">ifs(and(isblank($A212),isblank($B212)),"", not(iserror(vlookup($A212&amp;$B212,'5) Release_Track'!$F:$F&amp;'5) Release_Track'!$G:$G,1,0))),vlookup($A212&amp;$B212,{'5) Release_Track'!$F:$F&amp;'5) Release_Track'!$G:$G,'5) Release_Track'!$I:$I},2,0), or(and(not(isblank($B212)),$B212=$B211,$A212&lt;&gt;$A211),and(not(isblank($A212)),$A212=$A211,$B212&lt;&gt;$B211)),"ID LISTS UNALIGNED",and($A212&lt;&gt;"",countif('5) Release_Track'!$F:$F,$A212)=0),"NO ISRC MATCH in Release_Track",and($B212&lt;&gt;"",countif('5) Release_Track'!$G:$G,$B212)=0),"NO CATALOG ID MATCH in Release_Track",iserror(vlookup($A212&amp;$B212,'5) Release_Track'!$F:$F&amp;'5) Release_Track'!$G:$G,1,0)),"NO ISRC-CATALOG ID pair MATCH in Release_Track" )</f>
        <v/>
      </c>
      <c r="E212" s="125" t="str">
        <f t="array" ref="E212">ifs(and(isblank($A212),isblank($B212)),"", not(iserror(vlookup($A212&amp;$B212,'5) Release_Track'!$F:$F&amp;'5) Release_Track'!$G:$G,1,0))),vlookup($A212&amp;$B212,{'5) Release_Track'!$F:$F&amp;'5) Release_Track'!$G:$G,'5) Release_Track'!$J:$J},2,0), or(and(not(isblank($B212)),$B212=$B211,$A212&lt;&gt;$A211),and(not(isblank($A212)),$A212=$A211,$B212&lt;&gt;$B211)),"ID LISTS UNALIGNED",and($A212&lt;&gt;"",countif('5) Release_Track'!$F:$F,$A212)=0),"NO ISRC MATCH in Release_Track",and($B212&lt;&gt;"",countif('5) Release_Track'!$G:$G,$B212)=0),"NO CATALOG ID MATCH in Release_Track",iserror(vlookup($A212&amp;$B212,'5) Release_Track'!$F:$F&amp;'5) Release_Track'!$G:$G,1,0)),"NO ISRC-CATALOG ID pair MATCH in Release_Track" )</f>
        <v/>
      </c>
      <c r="F212" s="122"/>
      <c r="G212" s="99"/>
      <c r="H212" s="178"/>
      <c r="I212" s="121" t="str">
        <f t="shared" si="6"/>
        <v/>
      </c>
      <c r="J212" s="99"/>
      <c r="K212" s="99"/>
    </row>
    <row r="213">
      <c r="B213" s="103"/>
      <c r="C213" s="121" t="str">
        <f t="array" ref="C213">ifs(and(isblank($A213),isblank($B213)),"", not(iserror(vlookup($A213&amp;$B213,'5) Release_Track'!$F:$F&amp;'5) Release_Track'!$G:$G,1,0))),vlookup($A213&amp;$B213,{'5) Release_Track'!$F:$F&amp;'5) Release_Track'!$G:$G,'5) Release_Track'!$H:$H},2,0), or(and(not(isblank($B213)),$B213=$B212,$A213&lt;&gt;$A212),and(not(isblank($A213)),$A213=$A212,$B213&lt;&gt;$B212)),"ID LISTS UNALIGNED",and($A213&lt;&gt;"",countif('5) Release_Track'!$F:$F,$A213)=0),"NO ISRC MATCH in Release_Track",and($B213&lt;&gt;"",countif('5) Release_Track'!$G:$G,$B213)=0),"NO CATALOG ID MATCH in Release_Track",iserror(vlookup($A213&amp;$B213,'5) Release_Track'!$F:$F&amp;'5) Release_Track'!$G:$G,1,0)),"NO ISRC-CATALOG ID pair MATCH in Release_Track" )</f>
        <v/>
      </c>
      <c r="D213" s="121" t="str">
        <f t="array" ref="D213">ifs(and(isblank($A213),isblank($B213)),"", not(iserror(vlookup($A213&amp;$B213,'5) Release_Track'!$F:$F&amp;'5) Release_Track'!$G:$G,1,0))),vlookup($A213&amp;$B213,{'5) Release_Track'!$F:$F&amp;'5) Release_Track'!$G:$G,'5) Release_Track'!$I:$I},2,0), or(and(not(isblank($B213)),$B213=$B212,$A213&lt;&gt;$A212),and(not(isblank($A213)),$A213=$A212,$B213&lt;&gt;$B212)),"ID LISTS UNALIGNED",and($A213&lt;&gt;"",countif('5) Release_Track'!$F:$F,$A213)=0),"NO ISRC MATCH in Release_Track",and($B213&lt;&gt;"",countif('5) Release_Track'!$G:$G,$B213)=0),"NO CATALOG ID MATCH in Release_Track",iserror(vlookup($A213&amp;$B213,'5) Release_Track'!$F:$F&amp;'5) Release_Track'!$G:$G,1,0)),"NO ISRC-CATALOG ID pair MATCH in Release_Track" )</f>
        <v/>
      </c>
      <c r="E213" s="125" t="str">
        <f t="array" ref="E213">ifs(and(isblank($A213),isblank($B213)),"", not(iserror(vlookup($A213&amp;$B213,'5) Release_Track'!$F:$F&amp;'5) Release_Track'!$G:$G,1,0))),vlookup($A213&amp;$B213,{'5) Release_Track'!$F:$F&amp;'5) Release_Track'!$G:$G,'5) Release_Track'!$J:$J},2,0), or(and(not(isblank($B213)),$B213=$B212,$A213&lt;&gt;$A212),and(not(isblank($A213)),$A213=$A212,$B213&lt;&gt;$B212)),"ID LISTS UNALIGNED",and($A213&lt;&gt;"",countif('5) Release_Track'!$F:$F,$A213)=0),"NO ISRC MATCH in Release_Track",and($B213&lt;&gt;"",countif('5) Release_Track'!$G:$G,$B213)=0),"NO CATALOG ID MATCH in Release_Track",iserror(vlookup($A213&amp;$B213,'5) Release_Track'!$F:$F&amp;'5) Release_Track'!$G:$G,1,0)),"NO ISRC-CATALOG ID pair MATCH in Release_Track" )</f>
        <v/>
      </c>
      <c r="F213" s="122"/>
      <c r="G213" s="99"/>
      <c r="H213" s="178"/>
      <c r="I213" s="121" t="str">
        <f t="shared" si="6"/>
        <v/>
      </c>
      <c r="J213" s="99"/>
      <c r="K213" s="99"/>
    </row>
    <row r="214">
      <c r="B214" s="103"/>
      <c r="C214" s="121" t="str">
        <f t="array" ref="C214">ifs(and(isblank($A214),isblank($B214)),"", not(iserror(vlookup($A214&amp;$B214,'5) Release_Track'!$F:$F&amp;'5) Release_Track'!$G:$G,1,0))),vlookup($A214&amp;$B214,{'5) Release_Track'!$F:$F&amp;'5) Release_Track'!$G:$G,'5) Release_Track'!$H:$H},2,0), or(and(not(isblank($B214)),$B214=$B213,$A214&lt;&gt;$A213),and(not(isblank($A214)),$A214=$A213,$B214&lt;&gt;$B213)),"ID LISTS UNALIGNED",and($A214&lt;&gt;"",countif('5) Release_Track'!$F:$F,$A214)=0),"NO ISRC MATCH in Release_Track",and($B214&lt;&gt;"",countif('5) Release_Track'!$G:$G,$B214)=0),"NO CATALOG ID MATCH in Release_Track",iserror(vlookup($A214&amp;$B214,'5) Release_Track'!$F:$F&amp;'5) Release_Track'!$G:$G,1,0)),"NO ISRC-CATALOG ID pair MATCH in Release_Track" )</f>
        <v/>
      </c>
      <c r="D214" s="121" t="str">
        <f t="array" ref="D214">ifs(and(isblank($A214),isblank($B214)),"", not(iserror(vlookup($A214&amp;$B214,'5) Release_Track'!$F:$F&amp;'5) Release_Track'!$G:$G,1,0))),vlookup($A214&amp;$B214,{'5) Release_Track'!$F:$F&amp;'5) Release_Track'!$G:$G,'5) Release_Track'!$I:$I},2,0), or(and(not(isblank($B214)),$B214=$B213,$A214&lt;&gt;$A213),and(not(isblank($A214)),$A214=$A213,$B214&lt;&gt;$B213)),"ID LISTS UNALIGNED",and($A214&lt;&gt;"",countif('5) Release_Track'!$F:$F,$A214)=0),"NO ISRC MATCH in Release_Track",and($B214&lt;&gt;"",countif('5) Release_Track'!$G:$G,$B214)=0),"NO CATALOG ID MATCH in Release_Track",iserror(vlookup($A214&amp;$B214,'5) Release_Track'!$F:$F&amp;'5) Release_Track'!$G:$G,1,0)),"NO ISRC-CATALOG ID pair MATCH in Release_Track" )</f>
        <v/>
      </c>
      <c r="E214" s="125" t="str">
        <f t="array" ref="E214">ifs(and(isblank($A214),isblank($B214)),"", not(iserror(vlookup($A214&amp;$B214,'5) Release_Track'!$F:$F&amp;'5) Release_Track'!$G:$G,1,0))),vlookup($A214&amp;$B214,{'5) Release_Track'!$F:$F&amp;'5) Release_Track'!$G:$G,'5) Release_Track'!$J:$J},2,0), or(and(not(isblank($B214)),$B214=$B213,$A214&lt;&gt;$A213),and(not(isblank($A214)),$A214=$A213,$B214&lt;&gt;$B213)),"ID LISTS UNALIGNED",and($A214&lt;&gt;"",countif('5) Release_Track'!$F:$F,$A214)=0),"NO ISRC MATCH in Release_Track",and($B214&lt;&gt;"",countif('5) Release_Track'!$G:$G,$B214)=0),"NO CATALOG ID MATCH in Release_Track",iserror(vlookup($A214&amp;$B214,'5) Release_Track'!$F:$F&amp;'5) Release_Track'!$G:$G,1,0)),"NO ISRC-CATALOG ID pair MATCH in Release_Track" )</f>
        <v/>
      </c>
      <c r="F214" s="122"/>
      <c r="G214" s="99"/>
      <c r="H214" s="178"/>
      <c r="I214" s="121" t="str">
        <f t="shared" si="6"/>
        <v/>
      </c>
      <c r="J214" s="99"/>
      <c r="K214" s="99"/>
    </row>
    <row r="215">
      <c r="B215" s="103"/>
      <c r="C215" s="121" t="str">
        <f t="array" ref="C215">ifs(and(isblank($A215),isblank($B215)),"", not(iserror(vlookup($A215&amp;$B215,'5) Release_Track'!$F:$F&amp;'5) Release_Track'!$G:$G,1,0))),vlookup($A215&amp;$B215,{'5) Release_Track'!$F:$F&amp;'5) Release_Track'!$G:$G,'5) Release_Track'!$H:$H},2,0), or(and(not(isblank($B215)),$B215=$B214,$A215&lt;&gt;$A214),and(not(isblank($A215)),$A215=$A214,$B215&lt;&gt;$B214)),"ID LISTS UNALIGNED",and($A215&lt;&gt;"",countif('5) Release_Track'!$F:$F,$A215)=0),"NO ISRC MATCH in Release_Track",and($B215&lt;&gt;"",countif('5) Release_Track'!$G:$G,$B215)=0),"NO CATALOG ID MATCH in Release_Track",iserror(vlookup($A215&amp;$B215,'5) Release_Track'!$F:$F&amp;'5) Release_Track'!$G:$G,1,0)),"NO ISRC-CATALOG ID pair MATCH in Release_Track" )</f>
        <v/>
      </c>
      <c r="D215" s="121" t="str">
        <f t="array" ref="D215">ifs(and(isblank($A215),isblank($B215)),"", not(iserror(vlookup($A215&amp;$B215,'5) Release_Track'!$F:$F&amp;'5) Release_Track'!$G:$G,1,0))),vlookup($A215&amp;$B215,{'5) Release_Track'!$F:$F&amp;'5) Release_Track'!$G:$G,'5) Release_Track'!$I:$I},2,0), or(and(not(isblank($B215)),$B215=$B214,$A215&lt;&gt;$A214),and(not(isblank($A215)),$A215=$A214,$B215&lt;&gt;$B214)),"ID LISTS UNALIGNED",and($A215&lt;&gt;"",countif('5) Release_Track'!$F:$F,$A215)=0),"NO ISRC MATCH in Release_Track",and($B215&lt;&gt;"",countif('5) Release_Track'!$G:$G,$B215)=0),"NO CATALOG ID MATCH in Release_Track",iserror(vlookup($A215&amp;$B215,'5) Release_Track'!$F:$F&amp;'5) Release_Track'!$G:$G,1,0)),"NO ISRC-CATALOG ID pair MATCH in Release_Track" )</f>
        <v/>
      </c>
      <c r="E215" s="125" t="str">
        <f t="array" ref="E215">ifs(and(isblank($A215),isblank($B215)),"", not(iserror(vlookup($A215&amp;$B215,'5) Release_Track'!$F:$F&amp;'5) Release_Track'!$G:$G,1,0))),vlookup($A215&amp;$B215,{'5) Release_Track'!$F:$F&amp;'5) Release_Track'!$G:$G,'5) Release_Track'!$J:$J},2,0), or(and(not(isblank($B215)),$B215=$B214,$A215&lt;&gt;$A214),and(not(isblank($A215)),$A215=$A214,$B215&lt;&gt;$B214)),"ID LISTS UNALIGNED",and($A215&lt;&gt;"",countif('5) Release_Track'!$F:$F,$A215)=0),"NO ISRC MATCH in Release_Track",and($B215&lt;&gt;"",countif('5) Release_Track'!$G:$G,$B215)=0),"NO CATALOG ID MATCH in Release_Track",iserror(vlookup($A215&amp;$B215,'5) Release_Track'!$F:$F&amp;'5) Release_Track'!$G:$G,1,0)),"NO ISRC-CATALOG ID pair MATCH in Release_Track" )</f>
        <v/>
      </c>
      <c r="F215" s="122"/>
      <c r="G215" s="99"/>
      <c r="H215" s="178"/>
      <c r="I215" s="121" t="str">
        <f t="shared" si="6"/>
        <v/>
      </c>
      <c r="J215" s="99"/>
      <c r="K215" s="99"/>
    </row>
    <row r="216">
      <c r="B216" s="103"/>
      <c r="C216" s="121" t="str">
        <f t="array" ref="C216">ifs(and(isblank($A216),isblank($B216)),"", not(iserror(vlookup($A216&amp;$B216,'5) Release_Track'!$F:$F&amp;'5) Release_Track'!$G:$G,1,0))),vlookup($A216&amp;$B216,{'5) Release_Track'!$F:$F&amp;'5) Release_Track'!$G:$G,'5) Release_Track'!$H:$H},2,0), or(and(not(isblank($B216)),$B216=$B215,$A216&lt;&gt;$A215),and(not(isblank($A216)),$A216=$A215,$B216&lt;&gt;$B215)),"ID LISTS UNALIGNED",and($A216&lt;&gt;"",countif('5) Release_Track'!$F:$F,$A216)=0),"NO ISRC MATCH in Release_Track",and($B216&lt;&gt;"",countif('5) Release_Track'!$G:$G,$B216)=0),"NO CATALOG ID MATCH in Release_Track",iserror(vlookup($A216&amp;$B216,'5) Release_Track'!$F:$F&amp;'5) Release_Track'!$G:$G,1,0)),"NO ISRC-CATALOG ID pair MATCH in Release_Track" )</f>
        <v/>
      </c>
      <c r="D216" s="121" t="str">
        <f t="array" ref="D216">ifs(and(isblank($A216),isblank($B216)),"", not(iserror(vlookup($A216&amp;$B216,'5) Release_Track'!$F:$F&amp;'5) Release_Track'!$G:$G,1,0))),vlookup($A216&amp;$B216,{'5) Release_Track'!$F:$F&amp;'5) Release_Track'!$G:$G,'5) Release_Track'!$I:$I},2,0), or(and(not(isblank($B216)),$B216=$B215,$A216&lt;&gt;$A215),and(not(isblank($A216)),$A216=$A215,$B216&lt;&gt;$B215)),"ID LISTS UNALIGNED",and($A216&lt;&gt;"",countif('5) Release_Track'!$F:$F,$A216)=0),"NO ISRC MATCH in Release_Track",and($B216&lt;&gt;"",countif('5) Release_Track'!$G:$G,$B216)=0),"NO CATALOG ID MATCH in Release_Track",iserror(vlookup($A216&amp;$B216,'5) Release_Track'!$F:$F&amp;'5) Release_Track'!$G:$G,1,0)),"NO ISRC-CATALOG ID pair MATCH in Release_Track" )</f>
        <v/>
      </c>
      <c r="E216" s="125" t="str">
        <f t="array" ref="E216">ifs(and(isblank($A216),isblank($B216)),"", not(iserror(vlookup($A216&amp;$B216,'5) Release_Track'!$F:$F&amp;'5) Release_Track'!$G:$G,1,0))),vlookup($A216&amp;$B216,{'5) Release_Track'!$F:$F&amp;'5) Release_Track'!$G:$G,'5) Release_Track'!$J:$J},2,0), or(and(not(isblank($B216)),$B216=$B215,$A216&lt;&gt;$A215),and(not(isblank($A216)),$A216=$A215,$B216&lt;&gt;$B215)),"ID LISTS UNALIGNED",and($A216&lt;&gt;"",countif('5) Release_Track'!$F:$F,$A216)=0),"NO ISRC MATCH in Release_Track",and($B216&lt;&gt;"",countif('5) Release_Track'!$G:$G,$B216)=0),"NO CATALOG ID MATCH in Release_Track",iserror(vlookup($A216&amp;$B216,'5) Release_Track'!$F:$F&amp;'5) Release_Track'!$G:$G,1,0)),"NO ISRC-CATALOG ID pair MATCH in Release_Track" )</f>
        <v/>
      </c>
      <c r="F216" s="122"/>
      <c r="G216" s="99"/>
      <c r="H216" s="178"/>
      <c r="I216" s="121" t="str">
        <f t="shared" si="6"/>
        <v/>
      </c>
      <c r="J216" s="99"/>
      <c r="K216" s="99"/>
    </row>
    <row r="217">
      <c r="B217" s="103"/>
      <c r="C217" s="121" t="str">
        <f t="array" ref="C217">ifs(and(isblank($A217),isblank($B217)),"", not(iserror(vlookup($A217&amp;$B217,'5) Release_Track'!$F:$F&amp;'5) Release_Track'!$G:$G,1,0))),vlookup($A217&amp;$B217,{'5) Release_Track'!$F:$F&amp;'5) Release_Track'!$G:$G,'5) Release_Track'!$H:$H},2,0), or(and(not(isblank($B217)),$B217=$B216,$A217&lt;&gt;$A216),and(not(isblank($A217)),$A217=$A216,$B217&lt;&gt;$B216)),"ID LISTS UNALIGNED",and($A217&lt;&gt;"",countif('5) Release_Track'!$F:$F,$A217)=0),"NO ISRC MATCH in Release_Track",and($B217&lt;&gt;"",countif('5) Release_Track'!$G:$G,$B217)=0),"NO CATALOG ID MATCH in Release_Track",iserror(vlookup($A217&amp;$B217,'5) Release_Track'!$F:$F&amp;'5) Release_Track'!$G:$G,1,0)),"NO ISRC-CATALOG ID pair MATCH in Release_Track" )</f>
        <v/>
      </c>
      <c r="D217" s="121" t="str">
        <f t="array" ref="D217">ifs(and(isblank($A217),isblank($B217)),"", not(iserror(vlookup($A217&amp;$B217,'5) Release_Track'!$F:$F&amp;'5) Release_Track'!$G:$G,1,0))),vlookup($A217&amp;$B217,{'5) Release_Track'!$F:$F&amp;'5) Release_Track'!$G:$G,'5) Release_Track'!$I:$I},2,0), or(and(not(isblank($B217)),$B217=$B216,$A217&lt;&gt;$A216),and(not(isblank($A217)),$A217=$A216,$B217&lt;&gt;$B216)),"ID LISTS UNALIGNED",and($A217&lt;&gt;"",countif('5) Release_Track'!$F:$F,$A217)=0),"NO ISRC MATCH in Release_Track",and($B217&lt;&gt;"",countif('5) Release_Track'!$G:$G,$B217)=0),"NO CATALOG ID MATCH in Release_Track",iserror(vlookup($A217&amp;$B217,'5) Release_Track'!$F:$F&amp;'5) Release_Track'!$G:$G,1,0)),"NO ISRC-CATALOG ID pair MATCH in Release_Track" )</f>
        <v/>
      </c>
      <c r="E217" s="125" t="str">
        <f t="array" ref="E217">ifs(and(isblank($A217),isblank($B217)),"", not(iserror(vlookup($A217&amp;$B217,'5) Release_Track'!$F:$F&amp;'5) Release_Track'!$G:$G,1,0))),vlookup($A217&amp;$B217,{'5) Release_Track'!$F:$F&amp;'5) Release_Track'!$G:$G,'5) Release_Track'!$J:$J},2,0), or(and(not(isblank($B217)),$B217=$B216,$A217&lt;&gt;$A216),and(not(isblank($A217)),$A217=$A216,$B217&lt;&gt;$B216)),"ID LISTS UNALIGNED",and($A217&lt;&gt;"",countif('5) Release_Track'!$F:$F,$A217)=0),"NO ISRC MATCH in Release_Track",and($B217&lt;&gt;"",countif('5) Release_Track'!$G:$G,$B217)=0),"NO CATALOG ID MATCH in Release_Track",iserror(vlookup($A217&amp;$B217,'5) Release_Track'!$F:$F&amp;'5) Release_Track'!$G:$G,1,0)),"NO ISRC-CATALOG ID pair MATCH in Release_Track" )</f>
        <v/>
      </c>
      <c r="F217" s="122"/>
      <c r="G217" s="99"/>
      <c r="H217" s="178"/>
      <c r="I217" s="121" t="str">
        <f t="shared" si="6"/>
        <v/>
      </c>
      <c r="J217" s="99"/>
      <c r="K217" s="99"/>
    </row>
    <row r="218">
      <c r="B218" s="103"/>
      <c r="C218" s="121" t="str">
        <f t="array" ref="C218">ifs(and(isblank($A218),isblank($B218)),"", not(iserror(vlookup($A218&amp;$B218,'5) Release_Track'!$F:$F&amp;'5) Release_Track'!$G:$G,1,0))),vlookup($A218&amp;$B218,{'5) Release_Track'!$F:$F&amp;'5) Release_Track'!$G:$G,'5) Release_Track'!$H:$H},2,0), or(and(not(isblank($B218)),$B218=$B217,$A218&lt;&gt;$A217),and(not(isblank($A218)),$A218=$A217,$B218&lt;&gt;$B217)),"ID LISTS UNALIGNED",and($A218&lt;&gt;"",countif('5) Release_Track'!$F:$F,$A218)=0),"NO ISRC MATCH in Release_Track",and($B218&lt;&gt;"",countif('5) Release_Track'!$G:$G,$B218)=0),"NO CATALOG ID MATCH in Release_Track",iserror(vlookup($A218&amp;$B218,'5) Release_Track'!$F:$F&amp;'5) Release_Track'!$G:$G,1,0)),"NO ISRC-CATALOG ID pair MATCH in Release_Track" )</f>
        <v/>
      </c>
      <c r="D218" s="121" t="str">
        <f t="array" ref="D218">ifs(and(isblank($A218),isblank($B218)),"", not(iserror(vlookup($A218&amp;$B218,'5) Release_Track'!$F:$F&amp;'5) Release_Track'!$G:$G,1,0))),vlookup($A218&amp;$B218,{'5) Release_Track'!$F:$F&amp;'5) Release_Track'!$G:$G,'5) Release_Track'!$I:$I},2,0), or(and(not(isblank($B218)),$B218=$B217,$A218&lt;&gt;$A217),and(not(isblank($A218)),$A218=$A217,$B218&lt;&gt;$B217)),"ID LISTS UNALIGNED",and($A218&lt;&gt;"",countif('5) Release_Track'!$F:$F,$A218)=0),"NO ISRC MATCH in Release_Track",and($B218&lt;&gt;"",countif('5) Release_Track'!$G:$G,$B218)=0),"NO CATALOG ID MATCH in Release_Track",iserror(vlookup($A218&amp;$B218,'5) Release_Track'!$F:$F&amp;'5) Release_Track'!$G:$G,1,0)),"NO ISRC-CATALOG ID pair MATCH in Release_Track" )</f>
        <v/>
      </c>
      <c r="E218" s="125" t="str">
        <f t="array" ref="E218">ifs(and(isblank($A218),isblank($B218)),"", not(iserror(vlookup($A218&amp;$B218,'5) Release_Track'!$F:$F&amp;'5) Release_Track'!$G:$G,1,0))),vlookup($A218&amp;$B218,{'5) Release_Track'!$F:$F&amp;'5) Release_Track'!$G:$G,'5) Release_Track'!$J:$J},2,0), or(and(not(isblank($B218)),$B218=$B217,$A218&lt;&gt;$A217),and(not(isblank($A218)),$A218=$A217,$B218&lt;&gt;$B217)),"ID LISTS UNALIGNED",and($A218&lt;&gt;"",countif('5) Release_Track'!$F:$F,$A218)=0),"NO ISRC MATCH in Release_Track",and($B218&lt;&gt;"",countif('5) Release_Track'!$G:$G,$B218)=0),"NO CATALOG ID MATCH in Release_Track",iserror(vlookup($A218&amp;$B218,'5) Release_Track'!$F:$F&amp;'5) Release_Track'!$G:$G,1,0)),"NO ISRC-CATALOG ID pair MATCH in Release_Track" )</f>
        <v/>
      </c>
      <c r="F218" s="122"/>
      <c r="G218" s="99"/>
      <c r="H218" s="178"/>
      <c r="I218" s="121" t="str">
        <f t="shared" si="6"/>
        <v/>
      </c>
      <c r="J218" s="99"/>
      <c r="K218" s="99"/>
    </row>
    <row r="219">
      <c r="B219" s="103"/>
      <c r="C219" s="121" t="str">
        <f t="array" ref="C219">ifs(and(isblank($A219),isblank($B219)),"", not(iserror(vlookup($A219&amp;$B219,'5) Release_Track'!$F:$F&amp;'5) Release_Track'!$G:$G,1,0))),vlookup($A219&amp;$B219,{'5) Release_Track'!$F:$F&amp;'5) Release_Track'!$G:$G,'5) Release_Track'!$H:$H},2,0), or(and(not(isblank($B219)),$B219=$B218,$A219&lt;&gt;$A218),and(not(isblank($A219)),$A219=$A218,$B219&lt;&gt;$B218)),"ID LISTS UNALIGNED",and($A219&lt;&gt;"",countif('5) Release_Track'!$F:$F,$A219)=0),"NO ISRC MATCH in Release_Track",and($B219&lt;&gt;"",countif('5) Release_Track'!$G:$G,$B219)=0),"NO CATALOG ID MATCH in Release_Track",iserror(vlookup($A219&amp;$B219,'5) Release_Track'!$F:$F&amp;'5) Release_Track'!$G:$G,1,0)),"NO ISRC-CATALOG ID pair MATCH in Release_Track" )</f>
        <v/>
      </c>
      <c r="D219" s="121" t="str">
        <f t="array" ref="D219">ifs(and(isblank($A219),isblank($B219)),"", not(iserror(vlookup($A219&amp;$B219,'5) Release_Track'!$F:$F&amp;'5) Release_Track'!$G:$G,1,0))),vlookup($A219&amp;$B219,{'5) Release_Track'!$F:$F&amp;'5) Release_Track'!$G:$G,'5) Release_Track'!$I:$I},2,0), or(and(not(isblank($B219)),$B219=$B218,$A219&lt;&gt;$A218),and(not(isblank($A219)),$A219=$A218,$B219&lt;&gt;$B218)),"ID LISTS UNALIGNED",and($A219&lt;&gt;"",countif('5) Release_Track'!$F:$F,$A219)=0),"NO ISRC MATCH in Release_Track",and($B219&lt;&gt;"",countif('5) Release_Track'!$G:$G,$B219)=0),"NO CATALOG ID MATCH in Release_Track",iserror(vlookup($A219&amp;$B219,'5) Release_Track'!$F:$F&amp;'5) Release_Track'!$G:$G,1,0)),"NO ISRC-CATALOG ID pair MATCH in Release_Track" )</f>
        <v/>
      </c>
      <c r="E219" s="125" t="str">
        <f t="array" ref="E219">ifs(and(isblank($A219),isblank($B219)),"", not(iserror(vlookup($A219&amp;$B219,'5) Release_Track'!$F:$F&amp;'5) Release_Track'!$G:$G,1,0))),vlookup($A219&amp;$B219,{'5) Release_Track'!$F:$F&amp;'5) Release_Track'!$G:$G,'5) Release_Track'!$J:$J},2,0), or(and(not(isblank($B219)),$B219=$B218,$A219&lt;&gt;$A218),and(not(isblank($A219)),$A219=$A218,$B219&lt;&gt;$B218)),"ID LISTS UNALIGNED",and($A219&lt;&gt;"",countif('5) Release_Track'!$F:$F,$A219)=0),"NO ISRC MATCH in Release_Track",and($B219&lt;&gt;"",countif('5) Release_Track'!$G:$G,$B219)=0),"NO CATALOG ID MATCH in Release_Track",iserror(vlookup($A219&amp;$B219,'5) Release_Track'!$F:$F&amp;'5) Release_Track'!$G:$G,1,0)),"NO ISRC-CATALOG ID pair MATCH in Release_Track" )</f>
        <v/>
      </c>
      <c r="F219" s="122"/>
      <c r="G219" s="99"/>
      <c r="H219" s="178"/>
      <c r="I219" s="121" t="str">
        <f t="shared" si="6"/>
        <v/>
      </c>
      <c r="J219" s="99"/>
      <c r="K219" s="99"/>
    </row>
    <row r="220">
      <c r="B220" s="103"/>
      <c r="C220" s="121" t="str">
        <f t="array" ref="C220">ifs(and(isblank($A220),isblank($B220)),"", not(iserror(vlookup($A220&amp;$B220,'5) Release_Track'!$F:$F&amp;'5) Release_Track'!$G:$G,1,0))),vlookup($A220&amp;$B220,{'5) Release_Track'!$F:$F&amp;'5) Release_Track'!$G:$G,'5) Release_Track'!$H:$H},2,0), or(and(not(isblank($B220)),$B220=$B219,$A220&lt;&gt;$A219),and(not(isblank($A220)),$A220=$A219,$B220&lt;&gt;$B219)),"ID LISTS UNALIGNED",and($A220&lt;&gt;"",countif('5) Release_Track'!$F:$F,$A220)=0),"NO ISRC MATCH in Release_Track",and($B220&lt;&gt;"",countif('5) Release_Track'!$G:$G,$B220)=0),"NO CATALOG ID MATCH in Release_Track",iserror(vlookup($A220&amp;$B220,'5) Release_Track'!$F:$F&amp;'5) Release_Track'!$G:$G,1,0)),"NO ISRC-CATALOG ID pair MATCH in Release_Track" )</f>
        <v/>
      </c>
      <c r="D220" s="121" t="str">
        <f t="array" ref="D220">ifs(and(isblank($A220),isblank($B220)),"", not(iserror(vlookup($A220&amp;$B220,'5) Release_Track'!$F:$F&amp;'5) Release_Track'!$G:$G,1,0))),vlookup($A220&amp;$B220,{'5) Release_Track'!$F:$F&amp;'5) Release_Track'!$G:$G,'5) Release_Track'!$I:$I},2,0), or(and(not(isblank($B220)),$B220=$B219,$A220&lt;&gt;$A219),and(not(isblank($A220)),$A220=$A219,$B220&lt;&gt;$B219)),"ID LISTS UNALIGNED",and($A220&lt;&gt;"",countif('5) Release_Track'!$F:$F,$A220)=0),"NO ISRC MATCH in Release_Track",and($B220&lt;&gt;"",countif('5) Release_Track'!$G:$G,$B220)=0),"NO CATALOG ID MATCH in Release_Track",iserror(vlookup($A220&amp;$B220,'5) Release_Track'!$F:$F&amp;'5) Release_Track'!$G:$G,1,0)),"NO ISRC-CATALOG ID pair MATCH in Release_Track" )</f>
        <v/>
      </c>
      <c r="E220" s="125" t="str">
        <f t="array" ref="E220">ifs(and(isblank($A220),isblank($B220)),"", not(iserror(vlookup($A220&amp;$B220,'5) Release_Track'!$F:$F&amp;'5) Release_Track'!$G:$G,1,0))),vlookup($A220&amp;$B220,{'5) Release_Track'!$F:$F&amp;'5) Release_Track'!$G:$G,'5) Release_Track'!$J:$J},2,0), or(and(not(isblank($B220)),$B220=$B219,$A220&lt;&gt;$A219),and(not(isblank($A220)),$A220=$A219,$B220&lt;&gt;$B219)),"ID LISTS UNALIGNED",and($A220&lt;&gt;"",countif('5) Release_Track'!$F:$F,$A220)=0),"NO ISRC MATCH in Release_Track",and($B220&lt;&gt;"",countif('5) Release_Track'!$G:$G,$B220)=0),"NO CATALOG ID MATCH in Release_Track",iserror(vlookup($A220&amp;$B220,'5) Release_Track'!$F:$F&amp;'5) Release_Track'!$G:$G,1,0)),"NO ISRC-CATALOG ID pair MATCH in Release_Track" )</f>
        <v/>
      </c>
      <c r="F220" s="122"/>
      <c r="G220" s="99"/>
      <c r="H220" s="178"/>
      <c r="I220" s="121" t="str">
        <f t="shared" si="6"/>
        <v/>
      </c>
      <c r="J220" s="99"/>
      <c r="K220" s="99"/>
    </row>
    <row r="221">
      <c r="B221" s="103"/>
      <c r="C221" s="121" t="str">
        <f t="array" ref="C221">ifs(and(isblank($A221),isblank($B221)),"", not(iserror(vlookup($A221&amp;$B221,'5) Release_Track'!$F:$F&amp;'5) Release_Track'!$G:$G,1,0))),vlookup($A221&amp;$B221,{'5) Release_Track'!$F:$F&amp;'5) Release_Track'!$G:$G,'5) Release_Track'!$H:$H},2,0), or(and(not(isblank($B221)),$B221=$B220,$A221&lt;&gt;$A220),and(not(isblank($A221)),$A221=$A220,$B221&lt;&gt;$B220)),"ID LISTS UNALIGNED",and($A221&lt;&gt;"",countif('5) Release_Track'!$F:$F,$A221)=0),"NO ISRC MATCH in Release_Track",and($B221&lt;&gt;"",countif('5) Release_Track'!$G:$G,$B221)=0),"NO CATALOG ID MATCH in Release_Track",iserror(vlookup($A221&amp;$B221,'5) Release_Track'!$F:$F&amp;'5) Release_Track'!$G:$G,1,0)),"NO ISRC-CATALOG ID pair MATCH in Release_Track" )</f>
        <v/>
      </c>
      <c r="D221" s="121" t="str">
        <f t="array" ref="D221">ifs(and(isblank($A221),isblank($B221)),"", not(iserror(vlookup($A221&amp;$B221,'5) Release_Track'!$F:$F&amp;'5) Release_Track'!$G:$G,1,0))),vlookup($A221&amp;$B221,{'5) Release_Track'!$F:$F&amp;'5) Release_Track'!$G:$G,'5) Release_Track'!$I:$I},2,0), or(and(not(isblank($B221)),$B221=$B220,$A221&lt;&gt;$A220),and(not(isblank($A221)),$A221=$A220,$B221&lt;&gt;$B220)),"ID LISTS UNALIGNED",and($A221&lt;&gt;"",countif('5) Release_Track'!$F:$F,$A221)=0),"NO ISRC MATCH in Release_Track",and($B221&lt;&gt;"",countif('5) Release_Track'!$G:$G,$B221)=0),"NO CATALOG ID MATCH in Release_Track",iserror(vlookup($A221&amp;$B221,'5) Release_Track'!$F:$F&amp;'5) Release_Track'!$G:$G,1,0)),"NO ISRC-CATALOG ID pair MATCH in Release_Track" )</f>
        <v/>
      </c>
      <c r="E221" s="125" t="str">
        <f t="array" ref="E221">ifs(and(isblank($A221),isblank($B221)),"", not(iserror(vlookup($A221&amp;$B221,'5) Release_Track'!$F:$F&amp;'5) Release_Track'!$G:$G,1,0))),vlookup($A221&amp;$B221,{'5) Release_Track'!$F:$F&amp;'5) Release_Track'!$G:$G,'5) Release_Track'!$J:$J},2,0), or(and(not(isblank($B221)),$B221=$B220,$A221&lt;&gt;$A220),and(not(isblank($A221)),$A221=$A220,$B221&lt;&gt;$B220)),"ID LISTS UNALIGNED",and($A221&lt;&gt;"",countif('5) Release_Track'!$F:$F,$A221)=0),"NO ISRC MATCH in Release_Track",and($B221&lt;&gt;"",countif('5) Release_Track'!$G:$G,$B221)=0),"NO CATALOG ID MATCH in Release_Track",iserror(vlookup($A221&amp;$B221,'5) Release_Track'!$F:$F&amp;'5) Release_Track'!$G:$G,1,0)),"NO ISRC-CATALOG ID pair MATCH in Release_Track" )</f>
        <v/>
      </c>
      <c r="F221" s="122"/>
      <c r="G221" s="99"/>
      <c r="H221" s="178"/>
      <c r="I221" s="121" t="str">
        <f t="shared" si="6"/>
        <v/>
      </c>
      <c r="J221" s="99"/>
      <c r="K221" s="99"/>
    </row>
    <row r="222">
      <c r="B222" s="103"/>
      <c r="C222" s="121" t="str">
        <f t="array" ref="C222">ifs(and(isblank($A222),isblank($B222)),"", not(iserror(vlookup($A222&amp;$B222,'5) Release_Track'!$F:$F&amp;'5) Release_Track'!$G:$G,1,0))),vlookup($A222&amp;$B222,{'5) Release_Track'!$F:$F&amp;'5) Release_Track'!$G:$G,'5) Release_Track'!$H:$H},2,0), or(and(not(isblank($B222)),$B222=$B221,$A222&lt;&gt;$A221),and(not(isblank($A222)),$A222=$A221,$B222&lt;&gt;$B221)),"ID LISTS UNALIGNED",and($A222&lt;&gt;"",countif('5) Release_Track'!$F:$F,$A222)=0),"NO ISRC MATCH in Release_Track",and($B222&lt;&gt;"",countif('5) Release_Track'!$G:$G,$B222)=0),"NO CATALOG ID MATCH in Release_Track",iserror(vlookup($A222&amp;$B222,'5) Release_Track'!$F:$F&amp;'5) Release_Track'!$G:$G,1,0)),"NO ISRC-CATALOG ID pair MATCH in Release_Track" )</f>
        <v/>
      </c>
      <c r="D222" s="121" t="str">
        <f t="array" ref="D222">ifs(and(isblank($A222),isblank($B222)),"", not(iserror(vlookup($A222&amp;$B222,'5) Release_Track'!$F:$F&amp;'5) Release_Track'!$G:$G,1,0))),vlookup($A222&amp;$B222,{'5) Release_Track'!$F:$F&amp;'5) Release_Track'!$G:$G,'5) Release_Track'!$I:$I},2,0), or(and(not(isblank($B222)),$B222=$B221,$A222&lt;&gt;$A221),and(not(isblank($A222)),$A222=$A221,$B222&lt;&gt;$B221)),"ID LISTS UNALIGNED",and($A222&lt;&gt;"",countif('5) Release_Track'!$F:$F,$A222)=0),"NO ISRC MATCH in Release_Track",and($B222&lt;&gt;"",countif('5) Release_Track'!$G:$G,$B222)=0),"NO CATALOG ID MATCH in Release_Track",iserror(vlookup($A222&amp;$B222,'5) Release_Track'!$F:$F&amp;'5) Release_Track'!$G:$G,1,0)),"NO ISRC-CATALOG ID pair MATCH in Release_Track" )</f>
        <v/>
      </c>
      <c r="E222" s="125" t="str">
        <f t="array" ref="E222">ifs(and(isblank($A222),isblank($B222)),"", not(iserror(vlookup($A222&amp;$B222,'5) Release_Track'!$F:$F&amp;'5) Release_Track'!$G:$G,1,0))),vlookup($A222&amp;$B222,{'5) Release_Track'!$F:$F&amp;'5) Release_Track'!$G:$G,'5) Release_Track'!$J:$J},2,0), or(and(not(isblank($B222)),$B222=$B221,$A222&lt;&gt;$A221),and(not(isblank($A222)),$A222=$A221,$B222&lt;&gt;$B221)),"ID LISTS UNALIGNED",and($A222&lt;&gt;"",countif('5) Release_Track'!$F:$F,$A222)=0),"NO ISRC MATCH in Release_Track",and($B222&lt;&gt;"",countif('5) Release_Track'!$G:$G,$B222)=0),"NO CATALOG ID MATCH in Release_Track",iserror(vlookup($A222&amp;$B222,'5) Release_Track'!$F:$F&amp;'5) Release_Track'!$G:$G,1,0)),"NO ISRC-CATALOG ID pair MATCH in Release_Track" )</f>
        <v/>
      </c>
      <c r="F222" s="122"/>
      <c r="G222" s="99"/>
      <c r="H222" s="178"/>
      <c r="I222" s="121" t="str">
        <f t="shared" si="6"/>
        <v/>
      </c>
      <c r="J222" s="99"/>
      <c r="K222" s="99"/>
    </row>
    <row r="223">
      <c r="B223" s="103"/>
      <c r="C223" s="121" t="str">
        <f t="array" ref="C223">ifs(and(isblank($A223),isblank($B223)),"", not(iserror(vlookup($A223&amp;$B223,'5) Release_Track'!$F:$F&amp;'5) Release_Track'!$G:$G,1,0))),vlookup($A223&amp;$B223,{'5) Release_Track'!$F:$F&amp;'5) Release_Track'!$G:$G,'5) Release_Track'!$H:$H},2,0), or(and(not(isblank($B223)),$B223=$B222,$A223&lt;&gt;$A222),and(not(isblank($A223)),$A223=$A222,$B223&lt;&gt;$B222)),"ID LISTS UNALIGNED",and($A223&lt;&gt;"",countif('5) Release_Track'!$F:$F,$A223)=0),"NO ISRC MATCH in Release_Track",and($B223&lt;&gt;"",countif('5) Release_Track'!$G:$G,$B223)=0),"NO CATALOG ID MATCH in Release_Track",iserror(vlookup($A223&amp;$B223,'5) Release_Track'!$F:$F&amp;'5) Release_Track'!$G:$G,1,0)),"NO ISRC-CATALOG ID pair MATCH in Release_Track" )</f>
        <v/>
      </c>
      <c r="D223" s="121" t="str">
        <f t="array" ref="D223">ifs(and(isblank($A223),isblank($B223)),"", not(iserror(vlookup($A223&amp;$B223,'5) Release_Track'!$F:$F&amp;'5) Release_Track'!$G:$G,1,0))),vlookup($A223&amp;$B223,{'5) Release_Track'!$F:$F&amp;'5) Release_Track'!$G:$G,'5) Release_Track'!$I:$I},2,0), or(and(not(isblank($B223)),$B223=$B222,$A223&lt;&gt;$A222),and(not(isblank($A223)),$A223=$A222,$B223&lt;&gt;$B222)),"ID LISTS UNALIGNED",and($A223&lt;&gt;"",countif('5) Release_Track'!$F:$F,$A223)=0),"NO ISRC MATCH in Release_Track",and($B223&lt;&gt;"",countif('5) Release_Track'!$G:$G,$B223)=0),"NO CATALOG ID MATCH in Release_Track",iserror(vlookup($A223&amp;$B223,'5) Release_Track'!$F:$F&amp;'5) Release_Track'!$G:$G,1,0)),"NO ISRC-CATALOG ID pair MATCH in Release_Track" )</f>
        <v/>
      </c>
      <c r="E223" s="125" t="str">
        <f t="array" ref="E223">ifs(and(isblank($A223),isblank($B223)),"", not(iserror(vlookup($A223&amp;$B223,'5) Release_Track'!$F:$F&amp;'5) Release_Track'!$G:$G,1,0))),vlookup($A223&amp;$B223,{'5) Release_Track'!$F:$F&amp;'5) Release_Track'!$G:$G,'5) Release_Track'!$J:$J},2,0), or(and(not(isblank($B223)),$B223=$B222,$A223&lt;&gt;$A222),and(not(isblank($A223)),$A223=$A222,$B223&lt;&gt;$B222)),"ID LISTS UNALIGNED",and($A223&lt;&gt;"",countif('5) Release_Track'!$F:$F,$A223)=0),"NO ISRC MATCH in Release_Track",and($B223&lt;&gt;"",countif('5) Release_Track'!$G:$G,$B223)=0),"NO CATALOG ID MATCH in Release_Track",iserror(vlookup($A223&amp;$B223,'5) Release_Track'!$F:$F&amp;'5) Release_Track'!$G:$G,1,0)),"NO ISRC-CATALOG ID pair MATCH in Release_Track" )</f>
        <v/>
      </c>
      <c r="F223" s="122"/>
      <c r="G223" s="99"/>
      <c r="H223" s="178"/>
      <c r="I223" s="121" t="str">
        <f t="shared" si="6"/>
        <v/>
      </c>
      <c r="J223" s="99"/>
      <c r="K223" s="99"/>
    </row>
    <row r="224">
      <c r="B224" s="103"/>
      <c r="C224" s="121" t="str">
        <f t="array" ref="C224">ifs(and(isblank($A224),isblank($B224)),"", not(iserror(vlookup($A224&amp;$B224,'5) Release_Track'!$F:$F&amp;'5) Release_Track'!$G:$G,1,0))),vlookup($A224&amp;$B224,{'5) Release_Track'!$F:$F&amp;'5) Release_Track'!$G:$G,'5) Release_Track'!$H:$H},2,0), or(and(not(isblank($B224)),$B224=$B223,$A224&lt;&gt;$A223),and(not(isblank($A224)),$A224=$A223,$B224&lt;&gt;$B223)),"ID LISTS UNALIGNED",and($A224&lt;&gt;"",countif('5) Release_Track'!$F:$F,$A224)=0),"NO ISRC MATCH in Release_Track",and($B224&lt;&gt;"",countif('5) Release_Track'!$G:$G,$B224)=0),"NO CATALOG ID MATCH in Release_Track",iserror(vlookup($A224&amp;$B224,'5) Release_Track'!$F:$F&amp;'5) Release_Track'!$G:$G,1,0)),"NO ISRC-CATALOG ID pair MATCH in Release_Track" )</f>
        <v/>
      </c>
      <c r="D224" s="121" t="str">
        <f t="array" ref="D224">ifs(and(isblank($A224),isblank($B224)),"", not(iserror(vlookup($A224&amp;$B224,'5) Release_Track'!$F:$F&amp;'5) Release_Track'!$G:$G,1,0))),vlookup($A224&amp;$B224,{'5) Release_Track'!$F:$F&amp;'5) Release_Track'!$G:$G,'5) Release_Track'!$I:$I},2,0), or(and(not(isblank($B224)),$B224=$B223,$A224&lt;&gt;$A223),and(not(isblank($A224)),$A224=$A223,$B224&lt;&gt;$B223)),"ID LISTS UNALIGNED",and($A224&lt;&gt;"",countif('5) Release_Track'!$F:$F,$A224)=0),"NO ISRC MATCH in Release_Track",and($B224&lt;&gt;"",countif('5) Release_Track'!$G:$G,$B224)=0),"NO CATALOG ID MATCH in Release_Track",iserror(vlookup($A224&amp;$B224,'5) Release_Track'!$F:$F&amp;'5) Release_Track'!$G:$G,1,0)),"NO ISRC-CATALOG ID pair MATCH in Release_Track" )</f>
        <v/>
      </c>
      <c r="E224" s="125" t="str">
        <f t="array" ref="E224">ifs(and(isblank($A224),isblank($B224)),"", not(iserror(vlookup($A224&amp;$B224,'5) Release_Track'!$F:$F&amp;'5) Release_Track'!$G:$G,1,0))),vlookup($A224&amp;$B224,{'5) Release_Track'!$F:$F&amp;'5) Release_Track'!$G:$G,'5) Release_Track'!$J:$J},2,0), or(and(not(isblank($B224)),$B224=$B223,$A224&lt;&gt;$A223),and(not(isblank($A224)),$A224=$A223,$B224&lt;&gt;$B223)),"ID LISTS UNALIGNED",and($A224&lt;&gt;"",countif('5) Release_Track'!$F:$F,$A224)=0),"NO ISRC MATCH in Release_Track",and($B224&lt;&gt;"",countif('5) Release_Track'!$G:$G,$B224)=0),"NO CATALOG ID MATCH in Release_Track",iserror(vlookup($A224&amp;$B224,'5) Release_Track'!$F:$F&amp;'5) Release_Track'!$G:$G,1,0)),"NO ISRC-CATALOG ID pair MATCH in Release_Track" )</f>
        <v/>
      </c>
      <c r="F224" s="122"/>
      <c r="G224" s="99"/>
      <c r="H224" s="178"/>
      <c r="I224" s="121" t="str">
        <f t="shared" si="6"/>
        <v/>
      </c>
      <c r="J224" s="99"/>
      <c r="K224" s="99"/>
    </row>
    <row r="225">
      <c r="B225" s="103"/>
      <c r="C225" s="121" t="str">
        <f t="array" ref="C225">ifs(and(isblank($A225),isblank($B225)),"", not(iserror(vlookup($A225&amp;$B225,'5) Release_Track'!$F:$F&amp;'5) Release_Track'!$G:$G,1,0))),vlookup($A225&amp;$B225,{'5) Release_Track'!$F:$F&amp;'5) Release_Track'!$G:$G,'5) Release_Track'!$H:$H},2,0), or(and(not(isblank($B225)),$B225=$B224,$A225&lt;&gt;$A224),and(not(isblank($A225)),$A225=$A224,$B225&lt;&gt;$B224)),"ID LISTS UNALIGNED",and($A225&lt;&gt;"",countif('5) Release_Track'!$F:$F,$A225)=0),"NO ISRC MATCH in Release_Track",and($B225&lt;&gt;"",countif('5) Release_Track'!$G:$G,$B225)=0),"NO CATALOG ID MATCH in Release_Track",iserror(vlookup($A225&amp;$B225,'5) Release_Track'!$F:$F&amp;'5) Release_Track'!$G:$G,1,0)),"NO ISRC-CATALOG ID pair MATCH in Release_Track" )</f>
        <v/>
      </c>
      <c r="D225" s="121" t="str">
        <f t="array" ref="D225">ifs(and(isblank($A225),isblank($B225)),"", not(iserror(vlookup($A225&amp;$B225,'5) Release_Track'!$F:$F&amp;'5) Release_Track'!$G:$G,1,0))),vlookup($A225&amp;$B225,{'5) Release_Track'!$F:$F&amp;'5) Release_Track'!$G:$G,'5) Release_Track'!$I:$I},2,0), or(and(not(isblank($B225)),$B225=$B224,$A225&lt;&gt;$A224),and(not(isblank($A225)),$A225=$A224,$B225&lt;&gt;$B224)),"ID LISTS UNALIGNED",and($A225&lt;&gt;"",countif('5) Release_Track'!$F:$F,$A225)=0),"NO ISRC MATCH in Release_Track",and($B225&lt;&gt;"",countif('5) Release_Track'!$G:$G,$B225)=0),"NO CATALOG ID MATCH in Release_Track",iserror(vlookup($A225&amp;$B225,'5) Release_Track'!$F:$F&amp;'5) Release_Track'!$G:$G,1,0)),"NO ISRC-CATALOG ID pair MATCH in Release_Track" )</f>
        <v/>
      </c>
      <c r="E225" s="125" t="str">
        <f t="array" ref="E225">ifs(and(isblank($A225),isblank($B225)),"", not(iserror(vlookup($A225&amp;$B225,'5) Release_Track'!$F:$F&amp;'5) Release_Track'!$G:$G,1,0))),vlookup($A225&amp;$B225,{'5) Release_Track'!$F:$F&amp;'5) Release_Track'!$G:$G,'5) Release_Track'!$J:$J},2,0), or(and(not(isblank($B225)),$B225=$B224,$A225&lt;&gt;$A224),and(not(isblank($A225)),$A225=$A224,$B225&lt;&gt;$B224)),"ID LISTS UNALIGNED",and($A225&lt;&gt;"",countif('5) Release_Track'!$F:$F,$A225)=0),"NO ISRC MATCH in Release_Track",and($B225&lt;&gt;"",countif('5) Release_Track'!$G:$G,$B225)=0),"NO CATALOG ID MATCH in Release_Track",iserror(vlookup($A225&amp;$B225,'5) Release_Track'!$F:$F&amp;'5) Release_Track'!$G:$G,1,0)),"NO ISRC-CATALOG ID pair MATCH in Release_Track" )</f>
        <v/>
      </c>
      <c r="F225" s="122"/>
      <c r="G225" s="99"/>
      <c r="H225" s="178"/>
      <c r="I225" s="121" t="str">
        <f t="shared" si="6"/>
        <v/>
      </c>
      <c r="J225" s="99"/>
      <c r="K225" s="99"/>
    </row>
    <row r="226">
      <c r="B226" s="103"/>
      <c r="C226" s="121" t="str">
        <f t="array" ref="C226">ifs(and(isblank($A226),isblank($B226)),"", not(iserror(vlookup($A226&amp;$B226,'5) Release_Track'!$F:$F&amp;'5) Release_Track'!$G:$G,1,0))),vlookup($A226&amp;$B226,{'5) Release_Track'!$F:$F&amp;'5) Release_Track'!$G:$G,'5) Release_Track'!$H:$H},2,0), or(and(not(isblank($B226)),$B226=$B225,$A226&lt;&gt;$A225),and(not(isblank($A226)),$A226=$A225,$B226&lt;&gt;$B225)),"ID LISTS UNALIGNED",and($A226&lt;&gt;"",countif('5) Release_Track'!$F:$F,$A226)=0),"NO ISRC MATCH in Release_Track",and($B226&lt;&gt;"",countif('5) Release_Track'!$G:$G,$B226)=0),"NO CATALOG ID MATCH in Release_Track",iserror(vlookup($A226&amp;$B226,'5) Release_Track'!$F:$F&amp;'5) Release_Track'!$G:$G,1,0)),"NO ISRC-CATALOG ID pair MATCH in Release_Track" )</f>
        <v/>
      </c>
      <c r="D226" s="121" t="str">
        <f t="array" ref="D226">ifs(and(isblank($A226),isblank($B226)),"", not(iserror(vlookup($A226&amp;$B226,'5) Release_Track'!$F:$F&amp;'5) Release_Track'!$G:$G,1,0))),vlookup($A226&amp;$B226,{'5) Release_Track'!$F:$F&amp;'5) Release_Track'!$G:$G,'5) Release_Track'!$I:$I},2,0), or(and(not(isblank($B226)),$B226=$B225,$A226&lt;&gt;$A225),and(not(isblank($A226)),$A226=$A225,$B226&lt;&gt;$B225)),"ID LISTS UNALIGNED",and($A226&lt;&gt;"",countif('5) Release_Track'!$F:$F,$A226)=0),"NO ISRC MATCH in Release_Track",and($B226&lt;&gt;"",countif('5) Release_Track'!$G:$G,$B226)=0),"NO CATALOG ID MATCH in Release_Track",iserror(vlookup($A226&amp;$B226,'5) Release_Track'!$F:$F&amp;'5) Release_Track'!$G:$G,1,0)),"NO ISRC-CATALOG ID pair MATCH in Release_Track" )</f>
        <v/>
      </c>
      <c r="E226" s="125" t="str">
        <f t="array" ref="E226">ifs(and(isblank($A226),isblank($B226)),"", not(iserror(vlookup($A226&amp;$B226,'5) Release_Track'!$F:$F&amp;'5) Release_Track'!$G:$G,1,0))),vlookup($A226&amp;$B226,{'5) Release_Track'!$F:$F&amp;'5) Release_Track'!$G:$G,'5) Release_Track'!$J:$J},2,0), or(and(not(isblank($B226)),$B226=$B225,$A226&lt;&gt;$A225),and(not(isblank($A226)),$A226=$A225,$B226&lt;&gt;$B225)),"ID LISTS UNALIGNED",and($A226&lt;&gt;"",countif('5) Release_Track'!$F:$F,$A226)=0),"NO ISRC MATCH in Release_Track",and($B226&lt;&gt;"",countif('5) Release_Track'!$G:$G,$B226)=0),"NO CATALOG ID MATCH in Release_Track",iserror(vlookup($A226&amp;$B226,'5) Release_Track'!$F:$F&amp;'5) Release_Track'!$G:$G,1,0)),"NO ISRC-CATALOG ID pair MATCH in Release_Track" )</f>
        <v/>
      </c>
      <c r="F226" s="122"/>
      <c r="G226" s="99"/>
      <c r="H226" s="178"/>
      <c r="I226" s="121" t="str">
        <f t="shared" si="6"/>
        <v/>
      </c>
      <c r="J226" s="99"/>
      <c r="K226" s="99"/>
    </row>
    <row r="227">
      <c r="B227" s="103"/>
      <c r="C227" s="121" t="str">
        <f t="array" ref="C227">ifs(and(isblank($A227),isblank($B227)),"", not(iserror(vlookup($A227&amp;$B227,'5) Release_Track'!$F:$F&amp;'5) Release_Track'!$G:$G,1,0))),vlookup($A227&amp;$B227,{'5) Release_Track'!$F:$F&amp;'5) Release_Track'!$G:$G,'5) Release_Track'!$H:$H},2,0), or(and(not(isblank($B227)),$B227=$B226,$A227&lt;&gt;$A226),and(not(isblank($A227)),$A227=$A226,$B227&lt;&gt;$B226)),"ID LISTS UNALIGNED",and($A227&lt;&gt;"",countif('5) Release_Track'!$F:$F,$A227)=0),"NO ISRC MATCH in Release_Track",and($B227&lt;&gt;"",countif('5) Release_Track'!$G:$G,$B227)=0),"NO CATALOG ID MATCH in Release_Track",iserror(vlookup($A227&amp;$B227,'5) Release_Track'!$F:$F&amp;'5) Release_Track'!$G:$G,1,0)),"NO ISRC-CATALOG ID pair MATCH in Release_Track" )</f>
        <v/>
      </c>
      <c r="D227" s="121" t="str">
        <f t="array" ref="D227">ifs(and(isblank($A227),isblank($B227)),"", not(iserror(vlookup($A227&amp;$B227,'5) Release_Track'!$F:$F&amp;'5) Release_Track'!$G:$G,1,0))),vlookup($A227&amp;$B227,{'5) Release_Track'!$F:$F&amp;'5) Release_Track'!$G:$G,'5) Release_Track'!$I:$I},2,0), or(and(not(isblank($B227)),$B227=$B226,$A227&lt;&gt;$A226),and(not(isblank($A227)),$A227=$A226,$B227&lt;&gt;$B226)),"ID LISTS UNALIGNED",and($A227&lt;&gt;"",countif('5) Release_Track'!$F:$F,$A227)=0),"NO ISRC MATCH in Release_Track",and($B227&lt;&gt;"",countif('5) Release_Track'!$G:$G,$B227)=0),"NO CATALOG ID MATCH in Release_Track",iserror(vlookup($A227&amp;$B227,'5) Release_Track'!$F:$F&amp;'5) Release_Track'!$G:$G,1,0)),"NO ISRC-CATALOG ID pair MATCH in Release_Track" )</f>
        <v/>
      </c>
      <c r="E227" s="125" t="str">
        <f t="array" ref="E227">ifs(and(isblank($A227),isblank($B227)),"", not(iserror(vlookup($A227&amp;$B227,'5) Release_Track'!$F:$F&amp;'5) Release_Track'!$G:$G,1,0))),vlookup($A227&amp;$B227,{'5) Release_Track'!$F:$F&amp;'5) Release_Track'!$G:$G,'5) Release_Track'!$J:$J},2,0), or(and(not(isblank($B227)),$B227=$B226,$A227&lt;&gt;$A226),and(not(isblank($A227)),$A227=$A226,$B227&lt;&gt;$B226)),"ID LISTS UNALIGNED",and($A227&lt;&gt;"",countif('5) Release_Track'!$F:$F,$A227)=0),"NO ISRC MATCH in Release_Track",and($B227&lt;&gt;"",countif('5) Release_Track'!$G:$G,$B227)=0),"NO CATALOG ID MATCH in Release_Track",iserror(vlookup($A227&amp;$B227,'5) Release_Track'!$F:$F&amp;'5) Release_Track'!$G:$G,1,0)),"NO ISRC-CATALOG ID pair MATCH in Release_Track" )</f>
        <v/>
      </c>
      <c r="F227" s="122"/>
      <c r="G227" s="99"/>
      <c r="H227" s="178"/>
      <c r="I227" s="121" t="str">
        <f t="shared" si="6"/>
        <v/>
      </c>
      <c r="J227" s="99"/>
      <c r="K227" s="99"/>
    </row>
    <row r="228">
      <c r="B228" s="103"/>
      <c r="C228" s="121" t="str">
        <f t="array" ref="C228">ifs(and(isblank($A228),isblank($B228)),"", not(iserror(vlookup($A228&amp;$B228,'5) Release_Track'!$F:$F&amp;'5) Release_Track'!$G:$G,1,0))),vlookup($A228&amp;$B228,{'5) Release_Track'!$F:$F&amp;'5) Release_Track'!$G:$G,'5) Release_Track'!$H:$H},2,0), or(and(not(isblank($B228)),$B228=$B227,$A228&lt;&gt;$A227),and(not(isblank($A228)),$A228=$A227,$B228&lt;&gt;$B227)),"ID LISTS UNALIGNED",and($A228&lt;&gt;"",countif('5) Release_Track'!$F:$F,$A228)=0),"NO ISRC MATCH in Release_Track",and($B228&lt;&gt;"",countif('5) Release_Track'!$G:$G,$B228)=0),"NO CATALOG ID MATCH in Release_Track",iserror(vlookup($A228&amp;$B228,'5) Release_Track'!$F:$F&amp;'5) Release_Track'!$G:$G,1,0)),"NO ISRC-CATALOG ID pair MATCH in Release_Track" )</f>
        <v/>
      </c>
      <c r="D228" s="121" t="str">
        <f t="array" ref="D228">ifs(and(isblank($A228),isblank($B228)),"", not(iserror(vlookup($A228&amp;$B228,'5) Release_Track'!$F:$F&amp;'5) Release_Track'!$G:$G,1,0))),vlookup($A228&amp;$B228,{'5) Release_Track'!$F:$F&amp;'5) Release_Track'!$G:$G,'5) Release_Track'!$I:$I},2,0), or(and(not(isblank($B228)),$B228=$B227,$A228&lt;&gt;$A227),and(not(isblank($A228)),$A228=$A227,$B228&lt;&gt;$B227)),"ID LISTS UNALIGNED",and($A228&lt;&gt;"",countif('5) Release_Track'!$F:$F,$A228)=0),"NO ISRC MATCH in Release_Track",and($B228&lt;&gt;"",countif('5) Release_Track'!$G:$G,$B228)=0),"NO CATALOG ID MATCH in Release_Track",iserror(vlookup($A228&amp;$B228,'5) Release_Track'!$F:$F&amp;'5) Release_Track'!$G:$G,1,0)),"NO ISRC-CATALOG ID pair MATCH in Release_Track" )</f>
        <v/>
      </c>
      <c r="E228" s="125" t="str">
        <f t="array" ref="E228">ifs(and(isblank($A228),isblank($B228)),"", not(iserror(vlookup($A228&amp;$B228,'5) Release_Track'!$F:$F&amp;'5) Release_Track'!$G:$G,1,0))),vlookup($A228&amp;$B228,{'5) Release_Track'!$F:$F&amp;'5) Release_Track'!$G:$G,'5) Release_Track'!$J:$J},2,0), or(and(not(isblank($B228)),$B228=$B227,$A228&lt;&gt;$A227),and(not(isblank($A228)),$A228=$A227,$B228&lt;&gt;$B227)),"ID LISTS UNALIGNED",and($A228&lt;&gt;"",countif('5) Release_Track'!$F:$F,$A228)=0),"NO ISRC MATCH in Release_Track",and($B228&lt;&gt;"",countif('5) Release_Track'!$G:$G,$B228)=0),"NO CATALOG ID MATCH in Release_Track",iserror(vlookup($A228&amp;$B228,'5) Release_Track'!$F:$F&amp;'5) Release_Track'!$G:$G,1,0)),"NO ISRC-CATALOG ID pair MATCH in Release_Track" )</f>
        <v/>
      </c>
      <c r="F228" s="122"/>
      <c r="G228" s="99"/>
      <c r="H228" s="178"/>
      <c r="I228" s="121" t="str">
        <f t="shared" si="6"/>
        <v/>
      </c>
      <c r="J228" s="99"/>
      <c r="K228" s="99"/>
    </row>
    <row r="229">
      <c r="B229" s="103"/>
      <c r="C229" s="121" t="str">
        <f t="array" ref="C229">ifs(and(isblank($A229),isblank($B229)),"", not(iserror(vlookup($A229&amp;$B229,'5) Release_Track'!$F:$F&amp;'5) Release_Track'!$G:$G,1,0))),vlookup($A229&amp;$B229,{'5) Release_Track'!$F:$F&amp;'5) Release_Track'!$G:$G,'5) Release_Track'!$H:$H},2,0), or(and(not(isblank($B229)),$B229=$B228,$A229&lt;&gt;$A228),and(not(isblank($A229)),$A229=$A228,$B229&lt;&gt;$B228)),"ID LISTS UNALIGNED",and($A229&lt;&gt;"",countif('5) Release_Track'!$F:$F,$A229)=0),"NO ISRC MATCH in Release_Track",and($B229&lt;&gt;"",countif('5) Release_Track'!$G:$G,$B229)=0),"NO CATALOG ID MATCH in Release_Track",iserror(vlookup($A229&amp;$B229,'5) Release_Track'!$F:$F&amp;'5) Release_Track'!$G:$G,1,0)),"NO ISRC-CATALOG ID pair MATCH in Release_Track" )</f>
        <v/>
      </c>
      <c r="D229" s="121" t="str">
        <f t="array" ref="D229">ifs(and(isblank($A229),isblank($B229)),"", not(iserror(vlookup($A229&amp;$B229,'5) Release_Track'!$F:$F&amp;'5) Release_Track'!$G:$G,1,0))),vlookup($A229&amp;$B229,{'5) Release_Track'!$F:$F&amp;'5) Release_Track'!$G:$G,'5) Release_Track'!$I:$I},2,0), or(and(not(isblank($B229)),$B229=$B228,$A229&lt;&gt;$A228),and(not(isblank($A229)),$A229=$A228,$B229&lt;&gt;$B228)),"ID LISTS UNALIGNED",and($A229&lt;&gt;"",countif('5) Release_Track'!$F:$F,$A229)=0),"NO ISRC MATCH in Release_Track",and($B229&lt;&gt;"",countif('5) Release_Track'!$G:$G,$B229)=0),"NO CATALOG ID MATCH in Release_Track",iserror(vlookup($A229&amp;$B229,'5) Release_Track'!$F:$F&amp;'5) Release_Track'!$G:$G,1,0)),"NO ISRC-CATALOG ID pair MATCH in Release_Track" )</f>
        <v/>
      </c>
      <c r="E229" s="125" t="str">
        <f t="array" ref="E229">ifs(and(isblank($A229),isblank($B229)),"", not(iserror(vlookup($A229&amp;$B229,'5) Release_Track'!$F:$F&amp;'5) Release_Track'!$G:$G,1,0))),vlookup($A229&amp;$B229,{'5) Release_Track'!$F:$F&amp;'5) Release_Track'!$G:$G,'5) Release_Track'!$J:$J},2,0), or(and(not(isblank($B229)),$B229=$B228,$A229&lt;&gt;$A228),and(not(isblank($A229)),$A229=$A228,$B229&lt;&gt;$B228)),"ID LISTS UNALIGNED",and($A229&lt;&gt;"",countif('5) Release_Track'!$F:$F,$A229)=0),"NO ISRC MATCH in Release_Track",and($B229&lt;&gt;"",countif('5) Release_Track'!$G:$G,$B229)=0),"NO CATALOG ID MATCH in Release_Track",iserror(vlookup($A229&amp;$B229,'5) Release_Track'!$F:$F&amp;'5) Release_Track'!$G:$G,1,0)),"NO ISRC-CATALOG ID pair MATCH in Release_Track" )</f>
        <v/>
      </c>
      <c r="F229" s="122"/>
      <c r="G229" s="99"/>
      <c r="H229" s="178"/>
      <c r="I229" s="121" t="str">
        <f t="shared" si="6"/>
        <v/>
      </c>
      <c r="J229" s="99"/>
      <c r="K229" s="99"/>
    </row>
    <row r="230">
      <c r="B230" s="103"/>
      <c r="C230" s="121" t="str">
        <f t="array" ref="C230">ifs(and(isblank($A230),isblank($B230)),"", not(iserror(vlookup($A230&amp;$B230,'5) Release_Track'!$F:$F&amp;'5) Release_Track'!$G:$G,1,0))),vlookup($A230&amp;$B230,{'5) Release_Track'!$F:$F&amp;'5) Release_Track'!$G:$G,'5) Release_Track'!$H:$H},2,0), or(and(not(isblank($B230)),$B230=$B229,$A230&lt;&gt;$A229),and(not(isblank($A230)),$A230=$A229,$B230&lt;&gt;$B229)),"ID LISTS UNALIGNED",and($A230&lt;&gt;"",countif('5) Release_Track'!$F:$F,$A230)=0),"NO ISRC MATCH in Release_Track",and($B230&lt;&gt;"",countif('5) Release_Track'!$G:$G,$B230)=0),"NO CATALOG ID MATCH in Release_Track",iserror(vlookup($A230&amp;$B230,'5) Release_Track'!$F:$F&amp;'5) Release_Track'!$G:$G,1,0)),"NO ISRC-CATALOG ID pair MATCH in Release_Track" )</f>
        <v/>
      </c>
      <c r="D230" s="121" t="str">
        <f t="array" ref="D230">ifs(and(isblank($A230),isblank($B230)),"", not(iserror(vlookup($A230&amp;$B230,'5) Release_Track'!$F:$F&amp;'5) Release_Track'!$G:$G,1,0))),vlookup($A230&amp;$B230,{'5) Release_Track'!$F:$F&amp;'5) Release_Track'!$G:$G,'5) Release_Track'!$I:$I},2,0), or(and(not(isblank($B230)),$B230=$B229,$A230&lt;&gt;$A229),and(not(isblank($A230)),$A230=$A229,$B230&lt;&gt;$B229)),"ID LISTS UNALIGNED",and($A230&lt;&gt;"",countif('5) Release_Track'!$F:$F,$A230)=0),"NO ISRC MATCH in Release_Track",and($B230&lt;&gt;"",countif('5) Release_Track'!$G:$G,$B230)=0),"NO CATALOG ID MATCH in Release_Track",iserror(vlookup($A230&amp;$B230,'5) Release_Track'!$F:$F&amp;'5) Release_Track'!$G:$G,1,0)),"NO ISRC-CATALOG ID pair MATCH in Release_Track" )</f>
        <v/>
      </c>
      <c r="E230" s="125" t="str">
        <f t="array" ref="E230">ifs(and(isblank($A230),isblank($B230)),"", not(iserror(vlookup($A230&amp;$B230,'5) Release_Track'!$F:$F&amp;'5) Release_Track'!$G:$G,1,0))),vlookup($A230&amp;$B230,{'5) Release_Track'!$F:$F&amp;'5) Release_Track'!$G:$G,'5) Release_Track'!$J:$J},2,0), or(and(not(isblank($B230)),$B230=$B229,$A230&lt;&gt;$A229),and(not(isblank($A230)),$A230=$A229,$B230&lt;&gt;$B229)),"ID LISTS UNALIGNED",and($A230&lt;&gt;"",countif('5) Release_Track'!$F:$F,$A230)=0),"NO ISRC MATCH in Release_Track",and($B230&lt;&gt;"",countif('5) Release_Track'!$G:$G,$B230)=0),"NO CATALOG ID MATCH in Release_Track",iserror(vlookup($A230&amp;$B230,'5) Release_Track'!$F:$F&amp;'5) Release_Track'!$G:$G,1,0)),"NO ISRC-CATALOG ID pair MATCH in Release_Track" )</f>
        <v/>
      </c>
      <c r="F230" s="122"/>
      <c r="G230" s="99"/>
      <c r="H230" s="178"/>
      <c r="I230" s="121" t="str">
        <f t="shared" si="6"/>
        <v/>
      </c>
      <c r="J230" s="99"/>
      <c r="K230" s="99"/>
    </row>
    <row r="231">
      <c r="B231" s="103"/>
      <c r="C231" s="121" t="str">
        <f t="array" ref="C231">ifs(and(isblank($A231),isblank($B231)),"", not(iserror(vlookup($A231&amp;$B231,'5) Release_Track'!$F:$F&amp;'5) Release_Track'!$G:$G,1,0))),vlookup($A231&amp;$B231,{'5) Release_Track'!$F:$F&amp;'5) Release_Track'!$G:$G,'5) Release_Track'!$H:$H},2,0), or(and(not(isblank($B231)),$B231=$B230,$A231&lt;&gt;$A230),and(not(isblank($A231)),$A231=$A230,$B231&lt;&gt;$B230)),"ID LISTS UNALIGNED",and($A231&lt;&gt;"",countif('5) Release_Track'!$F:$F,$A231)=0),"NO ISRC MATCH in Release_Track",and($B231&lt;&gt;"",countif('5) Release_Track'!$G:$G,$B231)=0),"NO CATALOG ID MATCH in Release_Track",iserror(vlookup($A231&amp;$B231,'5) Release_Track'!$F:$F&amp;'5) Release_Track'!$G:$G,1,0)),"NO ISRC-CATALOG ID pair MATCH in Release_Track" )</f>
        <v/>
      </c>
      <c r="D231" s="121" t="str">
        <f t="array" ref="D231">ifs(and(isblank($A231),isblank($B231)),"", not(iserror(vlookup($A231&amp;$B231,'5) Release_Track'!$F:$F&amp;'5) Release_Track'!$G:$G,1,0))),vlookup($A231&amp;$B231,{'5) Release_Track'!$F:$F&amp;'5) Release_Track'!$G:$G,'5) Release_Track'!$I:$I},2,0), or(and(not(isblank($B231)),$B231=$B230,$A231&lt;&gt;$A230),and(not(isblank($A231)),$A231=$A230,$B231&lt;&gt;$B230)),"ID LISTS UNALIGNED",and($A231&lt;&gt;"",countif('5) Release_Track'!$F:$F,$A231)=0),"NO ISRC MATCH in Release_Track",and($B231&lt;&gt;"",countif('5) Release_Track'!$G:$G,$B231)=0),"NO CATALOG ID MATCH in Release_Track",iserror(vlookup($A231&amp;$B231,'5) Release_Track'!$F:$F&amp;'5) Release_Track'!$G:$G,1,0)),"NO ISRC-CATALOG ID pair MATCH in Release_Track" )</f>
        <v/>
      </c>
      <c r="E231" s="125" t="str">
        <f t="array" ref="E231">ifs(and(isblank($A231),isblank($B231)),"", not(iserror(vlookup($A231&amp;$B231,'5) Release_Track'!$F:$F&amp;'5) Release_Track'!$G:$G,1,0))),vlookup($A231&amp;$B231,{'5) Release_Track'!$F:$F&amp;'5) Release_Track'!$G:$G,'5) Release_Track'!$J:$J},2,0), or(and(not(isblank($B231)),$B231=$B230,$A231&lt;&gt;$A230),and(not(isblank($A231)),$A231=$A230,$B231&lt;&gt;$B230)),"ID LISTS UNALIGNED",and($A231&lt;&gt;"",countif('5) Release_Track'!$F:$F,$A231)=0),"NO ISRC MATCH in Release_Track",and($B231&lt;&gt;"",countif('5) Release_Track'!$G:$G,$B231)=0),"NO CATALOG ID MATCH in Release_Track",iserror(vlookup($A231&amp;$B231,'5) Release_Track'!$F:$F&amp;'5) Release_Track'!$G:$G,1,0)),"NO ISRC-CATALOG ID pair MATCH in Release_Track" )</f>
        <v/>
      </c>
      <c r="F231" s="122"/>
      <c r="G231" s="99"/>
      <c r="H231" s="178"/>
      <c r="I231" s="121" t="str">
        <f t="shared" si="6"/>
        <v/>
      </c>
      <c r="J231" s="99"/>
      <c r="K231" s="99"/>
    </row>
    <row r="232">
      <c r="B232" s="103"/>
      <c r="C232" s="121" t="str">
        <f t="array" ref="C232">ifs(and(isblank($A232),isblank($B232)),"", not(iserror(vlookup($A232&amp;$B232,'5) Release_Track'!$F:$F&amp;'5) Release_Track'!$G:$G,1,0))),vlookup($A232&amp;$B232,{'5) Release_Track'!$F:$F&amp;'5) Release_Track'!$G:$G,'5) Release_Track'!$H:$H},2,0), or(and(not(isblank($B232)),$B232=$B231,$A232&lt;&gt;$A231),and(not(isblank($A232)),$A232=$A231,$B232&lt;&gt;$B231)),"ID LISTS UNALIGNED",and($A232&lt;&gt;"",countif('5) Release_Track'!$F:$F,$A232)=0),"NO ISRC MATCH in Release_Track",and($B232&lt;&gt;"",countif('5) Release_Track'!$G:$G,$B232)=0),"NO CATALOG ID MATCH in Release_Track",iserror(vlookup($A232&amp;$B232,'5) Release_Track'!$F:$F&amp;'5) Release_Track'!$G:$G,1,0)),"NO ISRC-CATALOG ID pair MATCH in Release_Track" )</f>
        <v/>
      </c>
      <c r="D232" s="121" t="str">
        <f t="array" ref="D232">ifs(and(isblank($A232),isblank($B232)),"", not(iserror(vlookup($A232&amp;$B232,'5) Release_Track'!$F:$F&amp;'5) Release_Track'!$G:$G,1,0))),vlookup($A232&amp;$B232,{'5) Release_Track'!$F:$F&amp;'5) Release_Track'!$G:$G,'5) Release_Track'!$I:$I},2,0), or(and(not(isblank($B232)),$B232=$B231,$A232&lt;&gt;$A231),and(not(isblank($A232)),$A232=$A231,$B232&lt;&gt;$B231)),"ID LISTS UNALIGNED",and($A232&lt;&gt;"",countif('5) Release_Track'!$F:$F,$A232)=0),"NO ISRC MATCH in Release_Track",and($B232&lt;&gt;"",countif('5) Release_Track'!$G:$G,$B232)=0),"NO CATALOG ID MATCH in Release_Track",iserror(vlookup($A232&amp;$B232,'5) Release_Track'!$F:$F&amp;'5) Release_Track'!$G:$G,1,0)),"NO ISRC-CATALOG ID pair MATCH in Release_Track" )</f>
        <v/>
      </c>
      <c r="E232" s="125" t="str">
        <f t="array" ref="E232">ifs(and(isblank($A232),isblank($B232)),"", not(iserror(vlookup($A232&amp;$B232,'5) Release_Track'!$F:$F&amp;'5) Release_Track'!$G:$G,1,0))),vlookup($A232&amp;$B232,{'5) Release_Track'!$F:$F&amp;'5) Release_Track'!$G:$G,'5) Release_Track'!$J:$J},2,0), or(and(not(isblank($B232)),$B232=$B231,$A232&lt;&gt;$A231),and(not(isblank($A232)),$A232=$A231,$B232&lt;&gt;$B231)),"ID LISTS UNALIGNED",and($A232&lt;&gt;"",countif('5) Release_Track'!$F:$F,$A232)=0),"NO ISRC MATCH in Release_Track",and($B232&lt;&gt;"",countif('5) Release_Track'!$G:$G,$B232)=0),"NO CATALOG ID MATCH in Release_Track",iserror(vlookup($A232&amp;$B232,'5) Release_Track'!$F:$F&amp;'5) Release_Track'!$G:$G,1,0)),"NO ISRC-CATALOG ID pair MATCH in Release_Track" )</f>
        <v/>
      </c>
      <c r="F232" s="122"/>
      <c r="G232" s="99"/>
      <c r="H232" s="178"/>
      <c r="I232" s="121" t="str">
        <f t="shared" si="6"/>
        <v/>
      </c>
      <c r="J232" s="99"/>
      <c r="K232" s="99"/>
    </row>
    <row r="233">
      <c r="B233" s="103"/>
      <c r="C233" s="121" t="str">
        <f t="array" ref="C233">ifs(and(isblank($A233),isblank($B233)),"", not(iserror(vlookup($A233&amp;$B233,'5) Release_Track'!$F:$F&amp;'5) Release_Track'!$G:$G,1,0))),vlookup($A233&amp;$B233,{'5) Release_Track'!$F:$F&amp;'5) Release_Track'!$G:$G,'5) Release_Track'!$H:$H},2,0), or(and(not(isblank($B233)),$B233=$B232,$A233&lt;&gt;$A232),and(not(isblank($A233)),$A233=$A232,$B233&lt;&gt;$B232)),"ID LISTS UNALIGNED",and($A233&lt;&gt;"",countif('5) Release_Track'!$F:$F,$A233)=0),"NO ISRC MATCH in Release_Track",and($B233&lt;&gt;"",countif('5) Release_Track'!$G:$G,$B233)=0),"NO CATALOG ID MATCH in Release_Track",iserror(vlookup($A233&amp;$B233,'5) Release_Track'!$F:$F&amp;'5) Release_Track'!$G:$G,1,0)),"NO ISRC-CATALOG ID pair MATCH in Release_Track" )</f>
        <v/>
      </c>
      <c r="D233" s="121" t="str">
        <f t="array" ref="D233">ifs(and(isblank($A233),isblank($B233)),"", not(iserror(vlookup($A233&amp;$B233,'5) Release_Track'!$F:$F&amp;'5) Release_Track'!$G:$G,1,0))),vlookup($A233&amp;$B233,{'5) Release_Track'!$F:$F&amp;'5) Release_Track'!$G:$G,'5) Release_Track'!$I:$I},2,0), or(and(not(isblank($B233)),$B233=$B232,$A233&lt;&gt;$A232),and(not(isblank($A233)),$A233=$A232,$B233&lt;&gt;$B232)),"ID LISTS UNALIGNED",and($A233&lt;&gt;"",countif('5) Release_Track'!$F:$F,$A233)=0),"NO ISRC MATCH in Release_Track",and($B233&lt;&gt;"",countif('5) Release_Track'!$G:$G,$B233)=0),"NO CATALOG ID MATCH in Release_Track",iserror(vlookup($A233&amp;$B233,'5) Release_Track'!$F:$F&amp;'5) Release_Track'!$G:$G,1,0)),"NO ISRC-CATALOG ID pair MATCH in Release_Track" )</f>
        <v/>
      </c>
      <c r="E233" s="125" t="str">
        <f t="array" ref="E233">ifs(and(isblank($A233),isblank($B233)),"", not(iserror(vlookup($A233&amp;$B233,'5) Release_Track'!$F:$F&amp;'5) Release_Track'!$G:$G,1,0))),vlookup($A233&amp;$B233,{'5) Release_Track'!$F:$F&amp;'5) Release_Track'!$G:$G,'5) Release_Track'!$J:$J},2,0), or(and(not(isblank($B233)),$B233=$B232,$A233&lt;&gt;$A232),and(not(isblank($A233)),$A233=$A232,$B233&lt;&gt;$B232)),"ID LISTS UNALIGNED",and($A233&lt;&gt;"",countif('5) Release_Track'!$F:$F,$A233)=0),"NO ISRC MATCH in Release_Track",and($B233&lt;&gt;"",countif('5) Release_Track'!$G:$G,$B233)=0),"NO CATALOG ID MATCH in Release_Track",iserror(vlookup($A233&amp;$B233,'5) Release_Track'!$F:$F&amp;'5) Release_Track'!$G:$G,1,0)),"NO ISRC-CATALOG ID pair MATCH in Release_Track" )</f>
        <v/>
      </c>
      <c r="F233" s="122"/>
      <c r="G233" s="99"/>
      <c r="H233" s="178"/>
      <c r="I233" s="121" t="str">
        <f t="shared" si="6"/>
        <v/>
      </c>
      <c r="J233" s="99"/>
      <c r="K233" s="99"/>
    </row>
    <row r="234">
      <c r="B234" s="103"/>
      <c r="C234" s="121" t="str">
        <f t="array" ref="C234">ifs(and(isblank($A234),isblank($B234)),"", not(iserror(vlookup($A234&amp;$B234,'5) Release_Track'!$F:$F&amp;'5) Release_Track'!$G:$G,1,0))),vlookup($A234&amp;$B234,{'5) Release_Track'!$F:$F&amp;'5) Release_Track'!$G:$G,'5) Release_Track'!$H:$H},2,0), or(and(not(isblank($B234)),$B234=$B233,$A234&lt;&gt;$A233),and(not(isblank($A234)),$A234=$A233,$B234&lt;&gt;$B233)),"ID LISTS UNALIGNED",and($A234&lt;&gt;"",countif('5) Release_Track'!$F:$F,$A234)=0),"NO ISRC MATCH in Release_Track",and($B234&lt;&gt;"",countif('5) Release_Track'!$G:$G,$B234)=0),"NO CATALOG ID MATCH in Release_Track",iserror(vlookup($A234&amp;$B234,'5) Release_Track'!$F:$F&amp;'5) Release_Track'!$G:$G,1,0)),"NO ISRC-CATALOG ID pair MATCH in Release_Track" )</f>
        <v/>
      </c>
      <c r="D234" s="121" t="str">
        <f t="array" ref="D234">ifs(and(isblank($A234),isblank($B234)),"", not(iserror(vlookup($A234&amp;$B234,'5) Release_Track'!$F:$F&amp;'5) Release_Track'!$G:$G,1,0))),vlookup($A234&amp;$B234,{'5) Release_Track'!$F:$F&amp;'5) Release_Track'!$G:$G,'5) Release_Track'!$I:$I},2,0), or(and(not(isblank($B234)),$B234=$B233,$A234&lt;&gt;$A233),and(not(isblank($A234)),$A234=$A233,$B234&lt;&gt;$B233)),"ID LISTS UNALIGNED",and($A234&lt;&gt;"",countif('5) Release_Track'!$F:$F,$A234)=0),"NO ISRC MATCH in Release_Track",and($B234&lt;&gt;"",countif('5) Release_Track'!$G:$G,$B234)=0),"NO CATALOG ID MATCH in Release_Track",iserror(vlookup($A234&amp;$B234,'5) Release_Track'!$F:$F&amp;'5) Release_Track'!$G:$G,1,0)),"NO ISRC-CATALOG ID pair MATCH in Release_Track" )</f>
        <v/>
      </c>
      <c r="E234" s="125" t="str">
        <f t="array" ref="E234">ifs(and(isblank($A234),isblank($B234)),"", not(iserror(vlookup($A234&amp;$B234,'5) Release_Track'!$F:$F&amp;'5) Release_Track'!$G:$G,1,0))),vlookup($A234&amp;$B234,{'5) Release_Track'!$F:$F&amp;'5) Release_Track'!$G:$G,'5) Release_Track'!$J:$J},2,0), or(and(not(isblank($B234)),$B234=$B233,$A234&lt;&gt;$A233),and(not(isblank($A234)),$A234=$A233,$B234&lt;&gt;$B233)),"ID LISTS UNALIGNED",and($A234&lt;&gt;"",countif('5) Release_Track'!$F:$F,$A234)=0),"NO ISRC MATCH in Release_Track",and($B234&lt;&gt;"",countif('5) Release_Track'!$G:$G,$B234)=0),"NO CATALOG ID MATCH in Release_Track",iserror(vlookup($A234&amp;$B234,'5) Release_Track'!$F:$F&amp;'5) Release_Track'!$G:$G,1,0)),"NO ISRC-CATALOG ID pair MATCH in Release_Track" )</f>
        <v/>
      </c>
      <c r="F234" s="122"/>
      <c r="G234" s="99"/>
      <c r="H234" s="178"/>
      <c r="I234" s="121" t="str">
        <f t="shared" si="6"/>
        <v/>
      </c>
      <c r="J234" s="99"/>
      <c r="K234" s="99"/>
    </row>
    <row r="235">
      <c r="B235" s="103"/>
      <c r="C235" s="121" t="str">
        <f t="array" ref="C235">ifs(and(isblank($A235),isblank($B235)),"", not(iserror(vlookup($A235&amp;$B235,'5) Release_Track'!$F:$F&amp;'5) Release_Track'!$G:$G,1,0))),vlookup($A235&amp;$B235,{'5) Release_Track'!$F:$F&amp;'5) Release_Track'!$G:$G,'5) Release_Track'!$H:$H},2,0), or(and(not(isblank($B235)),$B235=$B234,$A235&lt;&gt;$A234),and(not(isblank($A235)),$A235=$A234,$B235&lt;&gt;$B234)),"ID LISTS UNALIGNED",and($A235&lt;&gt;"",countif('5) Release_Track'!$F:$F,$A235)=0),"NO ISRC MATCH in Release_Track",and($B235&lt;&gt;"",countif('5) Release_Track'!$G:$G,$B235)=0),"NO CATALOG ID MATCH in Release_Track",iserror(vlookup($A235&amp;$B235,'5) Release_Track'!$F:$F&amp;'5) Release_Track'!$G:$G,1,0)),"NO ISRC-CATALOG ID pair MATCH in Release_Track" )</f>
        <v/>
      </c>
      <c r="D235" s="121" t="str">
        <f t="array" ref="D235">ifs(and(isblank($A235),isblank($B235)),"", not(iserror(vlookup($A235&amp;$B235,'5) Release_Track'!$F:$F&amp;'5) Release_Track'!$G:$G,1,0))),vlookup($A235&amp;$B235,{'5) Release_Track'!$F:$F&amp;'5) Release_Track'!$G:$G,'5) Release_Track'!$I:$I},2,0), or(and(not(isblank($B235)),$B235=$B234,$A235&lt;&gt;$A234),and(not(isblank($A235)),$A235=$A234,$B235&lt;&gt;$B234)),"ID LISTS UNALIGNED",and($A235&lt;&gt;"",countif('5) Release_Track'!$F:$F,$A235)=0),"NO ISRC MATCH in Release_Track",and($B235&lt;&gt;"",countif('5) Release_Track'!$G:$G,$B235)=0),"NO CATALOG ID MATCH in Release_Track",iserror(vlookup($A235&amp;$B235,'5) Release_Track'!$F:$F&amp;'5) Release_Track'!$G:$G,1,0)),"NO ISRC-CATALOG ID pair MATCH in Release_Track" )</f>
        <v/>
      </c>
      <c r="E235" s="125" t="str">
        <f t="array" ref="E235">ifs(and(isblank($A235),isblank($B235)),"", not(iserror(vlookup($A235&amp;$B235,'5) Release_Track'!$F:$F&amp;'5) Release_Track'!$G:$G,1,0))),vlookup($A235&amp;$B235,{'5) Release_Track'!$F:$F&amp;'5) Release_Track'!$G:$G,'5) Release_Track'!$J:$J},2,0), or(and(not(isblank($B235)),$B235=$B234,$A235&lt;&gt;$A234),and(not(isblank($A235)),$A235=$A234,$B235&lt;&gt;$B234)),"ID LISTS UNALIGNED",and($A235&lt;&gt;"",countif('5) Release_Track'!$F:$F,$A235)=0),"NO ISRC MATCH in Release_Track",and($B235&lt;&gt;"",countif('5) Release_Track'!$G:$G,$B235)=0),"NO CATALOG ID MATCH in Release_Track",iserror(vlookup($A235&amp;$B235,'5) Release_Track'!$F:$F&amp;'5) Release_Track'!$G:$G,1,0)),"NO ISRC-CATALOG ID pair MATCH in Release_Track" )</f>
        <v/>
      </c>
      <c r="F235" s="122"/>
      <c r="G235" s="99"/>
      <c r="H235" s="178"/>
      <c r="I235" s="121" t="str">
        <f t="shared" si="6"/>
        <v/>
      </c>
      <c r="J235" s="99"/>
      <c r="K235" s="99"/>
    </row>
    <row r="236">
      <c r="B236" s="103"/>
      <c r="C236" s="121" t="str">
        <f t="array" ref="C236">ifs(and(isblank($A236),isblank($B236)),"", not(iserror(vlookup($A236&amp;$B236,'5) Release_Track'!$F:$F&amp;'5) Release_Track'!$G:$G,1,0))),vlookup($A236&amp;$B236,{'5) Release_Track'!$F:$F&amp;'5) Release_Track'!$G:$G,'5) Release_Track'!$H:$H},2,0), or(and(not(isblank($B236)),$B236=$B235,$A236&lt;&gt;$A235),and(not(isblank($A236)),$A236=$A235,$B236&lt;&gt;$B235)),"ID LISTS UNALIGNED",and($A236&lt;&gt;"",countif('5) Release_Track'!$F:$F,$A236)=0),"NO ISRC MATCH in Release_Track",and($B236&lt;&gt;"",countif('5) Release_Track'!$G:$G,$B236)=0),"NO CATALOG ID MATCH in Release_Track",iserror(vlookup($A236&amp;$B236,'5) Release_Track'!$F:$F&amp;'5) Release_Track'!$G:$G,1,0)),"NO ISRC-CATALOG ID pair MATCH in Release_Track" )</f>
        <v/>
      </c>
      <c r="D236" s="121" t="str">
        <f t="array" ref="D236">ifs(and(isblank($A236),isblank($B236)),"", not(iserror(vlookup($A236&amp;$B236,'5) Release_Track'!$F:$F&amp;'5) Release_Track'!$G:$G,1,0))),vlookup($A236&amp;$B236,{'5) Release_Track'!$F:$F&amp;'5) Release_Track'!$G:$G,'5) Release_Track'!$I:$I},2,0), or(and(not(isblank($B236)),$B236=$B235,$A236&lt;&gt;$A235),and(not(isblank($A236)),$A236=$A235,$B236&lt;&gt;$B235)),"ID LISTS UNALIGNED",and($A236&lt;&gt;"",countif('5) Release_Track'!$F:$F,$A236)=0),"NO ISRC MATCH in Release_Track",and($B236&lt;&gt;"",countif('5) Release_Track'!$G:$G,$B236)=0),"NO CATALOG ID MATCH in Release_Track",iserror(vlookup($A236&amp;$B236,'5) Release_Track'!$F:$F&amp;'5) Release_Track'!$G:$G,1,0)),"NO ISRC-CATALOG ID pair MATCH in Release_Track" )</f>
        <v/>
      </c>
      <c r="E236" s="125" t="str">
        <f t="array" ref="E236">ifs(and(isblank($A236),isblank($B236)),"", not(iserror(vlookup($A236&amp;$B236,'5) Release_Track'!$F:$F&amp;'5) Release_Track'!$G:$G,1,0))),vlookup($A236&amp;$B236,{'5) Release_Track'!$F:$F&amp;'5) Release_Track'!$G:$G,'5) Release_Track'!$J:$J},2,0), or(and(not(isblank($B236)),$B236=$B235,$A236&lt;&gt;$A235),and(not(isblank($A236)),$A236=$A235,$B236&lt;&gt;$B235)),"ID LISTS UNALIGNED",and($A236&lt;&gt;"",countif('5) Release_Track'!$F:$F,$A236)=0),"NO ISRC MATCH in Release_Track",and($B236&lt;&gt;"",countif('5) Release_Track'!$G:$G,$B236)=0),"NO CATALOG ID MATCH in Release_Track",iserror(vlookup($A236&amp;$B236,'5) Release_Track'!$F:$F&amp;'5) Release_Track'!$G:$G,1,0)),"NO ISRC-CATALOG ID pair MATCH in Release_Track" )</f>
        <v/>
      </c>
      <c r="F236" s="122"/>
      <c r="G236" s="99"/>
      <c r="H236" s="178"/>
      <c r="I236" s="121" t="str">
        <f t="shared" si="6"/>
        <v/>
      </c>
      <c r="J236" s="99"/>
      <c r="K236" s="99"/>
    </row>
    <row r="237">
      <c r="B237" s="103"/>
      <c r="C237" s="121" t="str">
        <f t="array" ref="C237">ifs(and(isblank($A237),isblank($B237)),"", not(iserror(vlookup($A237&amp;$B237,'5) Release_Track'!$F:$F&amp;'5) Release_Track'!$G:$G,1,0))),vlookup($A237&amp;$B237,{'5) Release_Track'!$F:$F&amp;'5) Release_Track'!$G:$G,'5) Release_Track'!$H:$H},2,0), or(and(not(isblank($B237)),$B237=$B236,$A237&lt;&gt;$A236),and(not(isblank($A237)),$A237=$A236,$B237&lt;&gt;$B236)),"ID LISTS UNALIGNED",and($A237&lt;&gt;"",countif('5) Release_Track'!$F:$F,$A237)=0),"NO ISRC MATCH in Release_Track",and($B237&lt;&gt;"",countif('5) Release_Track'!$G:$G,$B237)=0),"NO CATALOG ID MATCH in Release_Track",iserror(vlookup($A237&amp;$B237,'5) Release_Track'!$F:$F&amp;'5) Release_Track'!$G:$G,1,0)),"NO ISRC-CATALOG ID pair MATCH in Release_Track" )</f>
        <v/>
      </c>
      <c r="D237" s="121" t="str">
        <f t="array" ref="D237">ifs(and(isblank($A237),isblank($B237)),"", not(iserror(vlookup($A237&amp;$B237,'5) Release_Track'!$F:$F&amp;'5) Release_Track'!$G:$G,1,0))),vlookup($A237&amp;$B237,{'5) Release_Track'!$F:$F&amp;'5) Release_Track'!$G:$G,'5) Release_Track'!$I:$I},2,0), or(and(not(isblank($B237)),$B237=$B236,$A237&lt;&gt;$A236),and(not(isblank($A237)),$A237=$A236,$B237&lt;&gt;$B236)),"ID LISTS UNALIGNED",and($A237&lt;&gt;"",countif('5) Release_Track'!$F:$F,$A237)=0),"NO ISRC MATCH in Release_Track",and($B237&lt;&gt;"",countif('5) Release_Track'!$G:$G,$B237)=0),"NO CATALOG ID MATCH in Release_Track",iserror(vlookup($A237&amp;$B237,'5) Release_Track'!$F:$F&amp;'5) Release_Track'!$G:$G,1,0)),"NO ISRC-CATALOG ID pair MATCH in Release_Track" )</f>
        <v/>
      </c>
      <c r="E237" s="125" t="str">
        <f t="array" ref="E237">ifs(and(isblank($A237),isblank($B237)),"", not(iserror(vlookup($A237&amp;$B237,'5) Release_Track'!$F:$F&amp;'5) Release_Track'!$G:$G,1,0))),vlookup($A237&amp;$B237,{'5) Release_Track'!$F:$F&amp;'5) Release_Track'!$G:$G,'5) Release_Track'!$J:$J},2,0), or(and(not(isblank($B237)),$B237=$B236,$A237&lt;&gt;$A236),and(not(isblank($A237)),$A237=$A236,$B237&lt;&gt;$B236)),"ID LISTS UNALIGNED",and($A237&lt;&gt;"",countif('5) Release_Track'!$F:$F,$A237)=0),"NO ISRC MATCH in Release_Track",and($B237&lt;&gt;"",countif('5) Release_Track'!$G:$G,$B237)=0),"NO CATALOG ID MATCH in Release_Track",iserror(vlookup($A237&amp;$B237,'5) Release_Track'!$F:$F&amp;'5) Release_Track'!$G:$G,1,0)),"NO ISRC-CATALOG ID pair MATCH in Release_Track" )</f>
        <v/>
      </c>
      <c r="F237" s="122"/>
      <c r="G237" s="99"/>
      <c r="H237" s="178"/>
      <c r="I237" s="121" t="str">
        <f t="shared" si="6"/>
        <v/>
      </c>
      <c r="J237" s="99"/>
      <c r="K237" s="99"/>
    </row>
    <row r="238">
      <c r="B238" s="103"/>
      <c r="C238" s="121" t="str">
        <f t="array" ref="C238">ifs(and(isblank($A238),isblank($B238)),"", not(iserror(vlookup($A238&amp;$B238,'5) Release_Track'!$F:$F&amp;'5) Release_Track'!$G:$G,1,0))),vlookup($A238&amp;$B238,{'5) Release_Track'!$F:$F&amp;'5) Release_Track'!$G:$G,'5) Release_Track'!$H:$H},2,0), or(and(not(isblank($B238)),$B238=$B237,$A238&lt;&gt;$A237),and(not(isblank($A238)),$A238=$A237,$B238&lt;&gt;$B237)),"ID LISTS UNALIGNED",and($A238&lt;&gt;"",countif('5) Release_Track'!$F:$F,$A238)=0),"NO ISRC MATCH in Release_Track",and($B238&lt;&gt;"",countif('5) Release_Track'!$G:$G,$B238)=0),"NO CATALOG ID MATCH in Release_Track",iserror(vlookup($A238&amp;$B238,'5) Release_Track'!$F:$F&amp;'5) Release_Track'!$G:$G,1,0)),"NO ISRC-CATALOG ID pair MATCH in Release_Track" )</f>
        <v/>
      </c>
      <c r="D238" s="121" t="str">
        <f t="array" ref="D238">ifs(and(isblank($A238),isblank($B238)),"", not(iserror(vlookup($A238&amp;$B238,'5) Release_Track'!$F:$F&amp;'5) Release_Track'!$G:$G,1,0))),vlookup($A238&amp;$B238,{'5) Release_Track'!$F:$F&amp;'5) Release_Track'!$G:$G,'5) Release_Track'!$I:$I},2,0), or(and(not(isblank($B238)),$B238=$B237,$A238&lt;&gt;$A237),and(not(isblank($A238)),$A238=$A237,$B238&lt;&gt;$B237)),"ID LISTS UNALIGNED",and($A238&lt;&gt;"",countif('5) Release_Track'!$F:$F,$A238)=0),"NO ISRC MATCH in Release_Track",and($B238&lt;&gt;"",countif('5) Release_Track'!$G:$G,$B238)=0),"NO CATALOG ID MATCH in Release_Track",iserror(vlookup($A238&amp;$B238,'5) Release_Track'!$F:$F&amp;'5) Release_Track'!$G:$G,1,0)),"NO ISRC-CATALOG ID pair MATCH in Release_Track" )</f>
        <v/>
      </c>
      <c r="E238" s="125" t="str">
        <f t="array" ref="E238">ifs(and(isblank($A238),isblank($B238)),"", not(iserror(vlookup($A238&amp;$B238,'5) Release_Track'!$F:$F&amp;'5) Release_Track'!$G:$G,1,0))),vlookup($A238&amp;$B238,{'5) Release_Track'!$F:$F&amp;'5) Release_Track'!$G:$G,'5) Release_Track'!$J:$J},2,0), or(and(not(isblank($B238)),$B238=$B237,$A238&lt;&gt;$A237),and(not(isblank($A238)),$A238=$A237,$B238&lt;&gt;$B237)),"ID LISTS UNALIGNED",and($A238&lt;&gt;"",countif('5) Release_Track'!$F:$F,$A238)=0),"NO ISRC MATCH in Release_Track",and($B238&lt;&gt;"",countif('5) Release_Track'!$G:$G,$B238)=0),"NO CATALOG ID MATCH in Release_Track",iserror(vlookup($A238&amp;$B238,'5) Release_Track'!$F:$F&amp;'5) Release_Track'!$G:$G,1,0)),"NO ISRC-CATALOG ID pair MATCH in Release_Track" )</f>
        <v/>
      </c>
      <c r="F238" s="122"/>
      <c r="G238" s="99"/>
      <c r="H238" s="178"/>
      <c r="I238" s="121" t="str">
        <f t="shared" si="6"/>
        <v/>
      </c>
      <c r="J238" s="99"/>
      <c r="K238" s="99"/>
    </row>
    <row r="239">
      <c r="B239" s="103"/>
      <c r="C239" s="121" t="str">
        <f t="array" ref="C239">ifs(and(isblank($A239),isblank($B239)),"", not(iserror(vlookup($A239&amp;$B239,'5) Release_Track'!$F:$F&amp;'5) Release_Track'!$G:$G,1,0))),vlookup($A239&amp;$B239,{'5) Release_Track'!$F:$F&amp;'5) Release_Track'!$G:$G,'5) Release_Track'!$H:$H},2,0), or(and(not(isblank($B239)),$B239=$B238,$A239&lt;&gt;$A238),and(not(isblank($A239)),$A239=$A238,$B239&lt;&gt;$B238)),"ID LISTS UNALIGNED",and($A239&lt;&gt;"",countif('5) Release_Track'!$F:$F,$A239)=0),"NO ISRC MATCH in Release_Track",and($B239&lt;&gt;"",countif('5) Release_Track'!$G:$G,$B239)=0),"NO CATALOG ID MATCH in Release_Track",iserror(vlookup($A239&amp;$B239,'5) Release_Track'!$F:$F&amp;'5) Release_Track'!$G:$G,1,0)),"NO ISRC-CATALOG ID pair MATCH in Release_Track" )</f>
        <v/>
      </c>
      <c r="D239" s="121" t="str">
        <f t="array" ref="D239">ifs(and(isblank($A239),isblank($B239)),"", not(iserror(vlookup($A239&amp;$B239,'5) Release_Track'!$F:$F&amp;'5) Release_Track'!$G:$G,1,0))),vlookup($A239&amp;$B239,{'5) Release_Track'!$F:$F&amp;'5) Release_Track'!$G:$G,'5) Release_Track'!$I:$I},2,0), or(and(not(isblank($B239)),$B239=$B238,$A239&lt;&gt;$A238),and(not(isblank($A239)),$A239=$A238,$B239&lt;&gt;$B238)),"ID LISTS UNALIGNED",and($A239&lt;&gt;"",countif('5) Release_Track'!$F:$F,$A239)=0),"NO ISRC MATCH in Release_Track",and($B239&lt;&gt;"",countif('5) Release_Track'!$G:$G,$B239)=0),"NO CATALOG ID MATCH in Release_Track",iserror(vlookup($A239&amp;$B239,'5) Release_Track'!$F:$F&amp;'5) Release_Track'!$G:$G,1,0)),"NO ISRC-CATALOG ID pair MATCH in Release_Track" )</f>
        <v/>
      </c>
      <c r="E239" s="125" t="str">
        <f t="array" ref="E239">ifs(and(isblank($A239),isblank($B239)),"", not(iserror(vlookup($A239&amp;$B239,'5) Release_Track'!$F:$F&amp;'5) Release_Track'!$G:$G,1,0))),vlookup($A239&amp;$B239,{'5) Release_Track'!$F:$F&amp;'5) Release_Track'!$G:$G,'5) Release_Track'!$J:$J},2,0), or(and(not(isblank($B239)),$B239=$B238,$A239&lt;&gt;$A238),and(not(isblank($A239)),$A239=$A238,$B239&lt;&gt;$B238)),"ID LISTS UNALIGNED",and($A239&lt;&gt;"",countif('5) Release_Track'!$F:$F,$A239)=0),"NO ISRC MATCH in Release_Track",and($B239&lt;&gt;"",countif('5) Release_Track'!$G:$G,$B239)=0),"NO CATALOG ID MATCH in Release_Track",iserror(vlookup($A239&amp;$B239,'5) Release_Track'!$F:$F&amp;'5) Release_Track'!$G:$G,1,0)),"NO ISRC-CATALOG ID pair MATCH in Release_Track" )</f>
        <v/>
      </c>
      <c r="F239" s="122"/>
      <c r="G239" s="99"/>
      <c r="H239" s="178"/>
      <c r="I239" s="121" t="str">
        <f t="shared" si="6"/>
        <v/>
      </c>
      <c r="J239" s="99"/>
      <c r="K239" s="99"/>
    </row>
    <row r="240">
      <c r="B240" s="103"/>
      <c r="C240" s="121" t="str">
        <f t="array" ref="C240">ifs(and(isblank($A240),isblank($B240)),"", not(iserror(vlookup($A240&amp;$B240,'5) Release_Track'!$F:$F&amp;'5) Release_Track'!$G:$G,1,0))),vlookup($A240&amp;$B240,{'5) Release_Track'!$F:$F&amp;'5) Release_Track'!$G:$G,'5) Release_Track'!$H:$H},2,0), or(and(not(isblank($B240)),$B240=$B239,$A240&lt;&gt;$A239),and(not(isblank($A240)),$A240=$A239,$B240&lt;&gt;$B239)),"ID LISTS UNALIGNED",and($A240&lt;&gt;"",countif('5) Release_Track'!$F:$F,$A240)=0),"NO ISRC MATCH in Release_Track",and($B240&lt;&gt;"",countif('5) Release_Track'!$G:$G,$B240)=0),"NO CATALOG ID MATCH in Release_Track",iserror(vlookup($A240&amp;$B240,'5) Release_Track'!$F:$F&amp;'5) Release_Track'!$G:$G,1,0)),"NO ISRC-CATALOG ID pair MATCH in Release_Track" )</f>
        <v/>
      </c>
      <c r="D240" s="121" t="str">
        <f t="array" ref="D240">ifs(and(isblank($A240),isblank($B240)),"", not(iserror(vlookup($A240&amp;$B240,'5) Release_Track'!$F:$F&amp;'5) Release_Track'!$G:$G,1,0))),vlookup($A240&amp;$B240,{'5) Release_Track'!$F:$F&amp;'5) Release_Track'!$G:$G,'5) Release_Track'!$I:$I},2,0), or(and(not(isblank($B240)),$B240=$B239,$A240&lt;&gt;$A239),and(not(isblank($A240)),$A240=$A239,$B240&lt;&gt;$B239)),"ID LISTS UNALIGNED",and($A240&lt;&gt;"",countif('5) Release_Track'!$F:$F,$A240)=0),"NO ISRC MATCH in Release_Track",and($B240&lt;&gt;"",countif('5) Release_Track'!$G:$G,$B240)=0),"NO CATALOG ID MATCH in Release_Track",iserror(vlookup($A240&amp;$B240,'5) Release_Track'!$F:$F&amp;'5) Release_Track'!$G:$G,1,0)),"NO ISRC-CATALOG ID pair MATCH in Release_Track" )</f>
        <v/>
      </c>
      <c r="E240" s="125" t="str">
        <f t="array" ref="E240">ifs(and(isblank($A240),isblank($B240)),"", not(iserror(vlookup($A240&amp;$B240,'5) Release_Track'!$F:$F&amp;'5) Release_Track'!$G:$G,1,0))),vlookup($A240&amp;$B240,{'5) Release_Track'!$F:$F&amp;'5) Release_Track'!$G:$G,'5) Release_Track'!$J:$J},2,0), or(and(not(isblank($B240)),$B240=$B239,$A240&lt;&gt;$A239),and(not(isblank($A240)),$A240=$A239,$B240&lt;&gt;$B239)),"ID LISTS UNALIGNED",and($A240&lt;&gt;"",countif('5) Release_Track'!$F:$F,$A240)=0),"NO ISRC MATCH in Release_Track",and($B240&lt;&gt;"",countif('5) Release_Track'!$G:$G,$B240)=0),"NO CATALOG ID MATCH in Release_Track",iserror(vlookup($A240&amp;$B240,'5) Release_Track'!$F:$F&amp;'5) Release_Track'!$G:$G,1,0)),"NO ISRC-CATALOG ID pair MATCH in Release_Track" )</f>
        <v/>
      </c>
      <c r="F240" s="122"/>
      <c r="G240" s="99"/>
      <c r="H240" s="178"/>
      <c r="I240" s="121" t="str">
        <f t="shared" si="6"/>
        <v/>
      </c>
      <c r="J240" s="99"/>
      <c r="K240" s="99"/>
    </row>
    <row r="241">
      <c r="B241" s="103"/>
      <c r="C241" s="121" t="str">
        <f t="array" ref="C241">ifs(and(isblank($A241),isblank($B241)),"", not(iserror(vlookup($A241&amp;$B241,'5) Release_Track'!$F:$F&amp;'5) Release_Track'!$G:$G,1,0))),vlookup($A241&amp;$B241,{'5) Release_Track'!$F:$F&amp;'5) Release_Track'!$G:$G,'5) Release_Track'!$H:$H},2,0), or(and(not(isblank($B241)),$B241=$B240,$A241&lt;&gt;$A240),and(not(isblank($A241)),$A241=$A240,$B241&lt;&gt;$B240)),"ID LISTS UNALIGNED",and($A241&lt;&gt;"",countif('5) Release_Track'!$F:$F,$A241)=0),"NO ISRC MATCH in Release_Track",and($B241&lt;&gt;"",countif('5) Release_Track'!$G:$G,$B241)=0),"NO CATALOG ID MATCH in Release_Track",iserror(vlookup($A241&amp;$B241,'5) Release_Track'!$F:$F&amp;'5) Release_Track'!$G:$G,1,0)),"NO ISRC-CATALOG ID pair MATCH in Release_Track" )</f>
        <v/>
      </c>
      <c r="D241" s="121" t="str">
        <f t="array" ref="D241">ifs(and(isblank($A241),isblank($B241)),"", not(iserror(vlookup($A241&amp;$B241,'5) Release_Track'!$F:$F&amp;'5) Release_Track'!$G:$G,1,0))),vlookup($A241&amp;$B241,{'5) Release_Track'!$F:$F&amp;'5) Release_Track'!$G:$G,'5) Release_Track'!$I:$I},2,0), or(and(not(isblank($B241)),$B241=$B240,$A241&lt;&gt;$A240),and(not(isblank($A241)),$A241=$A240,$B241&lt;&gt;$B240)),"ID LISTS UNALIGNED",and($A241&lt;&gt;"",countif('5) Release_Track'!$F:$F,$A241)=0),"NO ISRC MATCH in Release_Track",and($B241&lt;&gt;"",countif('5) Release_Track'!$G:$G,$B241)=0),"NO CATALOG ID MATCH in Release_Track",iserror(vlookup($A241&amp;$B241,'5) Release_Track'!$F:$F&amp;'5) Release_Track'!$G:$G,1,0)),"NO ISRC-CATALOG ID pair MATCH in Release_Track" )</f>
        <v/>
      </c>
      <c r="E241" s="125" t="str">
        <f t="array" ref="E241">ifs(and(isblank($A241),isblank($B241)),"", not(iserror(vlookup($A241&amp;$B241,'5) Release_Track'!$F:$F&amp;'5) Release_Track'!$G:$G,1,0))),vlookup($A241&amp;$B241,{'5) Release_Track'!$F:$F&amp;'5) Release_Track'!$G:$G,'5) Release_Track'!$J:$J},2,0), or(and(not(isblank($B241)),$B241=$B240,$A241&lt;&gt;$A240),and(not(isblank($A241)),$A241=$A240,$B241&lt;&gt;$B240)),"ID LISTS UNALIGNED",and($A241&lt;&gt;"",countif('5) Release_Track'!$F:$F,$A241)=0),"NO ISRC MATCH in Release_Track",and($B241&lt;&gt;"",countif('5) Release_Track'!$G:$G,$B241)=0),"NO CATALOG ID MATCH in Release_Track",iserror(vlookup($A241&amp;$B241,'5) Release_Track'!$F:$F&amp;'5) Release_Track'!$G:$G,1,0)),"NO ISRC-CATALOG ID pair MATCH in Release_Track" )</f>
        <v/>
      </c>
      <c r="F241" s="122"/>
      <c r="G241" s="99"/>
      <c r="H241" s="178"/>
      <c r="I241" s="121" t="str">
        <f t="shared" si="6"/>
        <v/>
      </c>
      <c r="J241" s="99"/>
      <c r="K241" s="99"/>
    </row>
    <row r="242">
      <c r="B242" s="103"/>
      <c r="C242" s="121" t="str">
        <f t="array" ref="C242">ifs(and(isblank($A242),isblank($B242)),"", not(iserror(vlookup($A242&amp;$B242,'5) Release_Track'!$F:$F&amp;'5) Release_Track'!$G:$G,1,0))),vlookup($A242&amp;$B242,{'5) Release_Track'!$F:$F&amp;'5) Release_Track'!$G:$G,'5) Release_Track'!$H:$H},2,0), or(and(not(isblank($B242)),$B242=$B241,$A242&lt;&gt;$A241),and(not(isblank($A242)),$A242=$A241,$B242&lt;&gt;$B241)),"ID LISTS UNALIGNED",and($A242&lt;&gt;"",countif('5) Release_Track'!$F:$F,$A242)=0),"NO ISRC MATCH in Release_Track",and($B242&lt;&gt;"",countif('5) Release_Track'!$G:$G,$B242)=0),"NO CATALOG ID MATCH in Release_Track",iserror(vlookup($A242&amp;$B242,'5) Release_Track'!$F:$F&amp;'5) Release_Track'!$G:$G,1,0)),"NO ISRC-CATALOG ID pair MATCH in Release_Track" )</f>
        <v/>
      </c>
      <c r="D242" s="121" t="str">
        <f t="array" ref="D242">ifs(and(isblank($A242),isblank($B242)),"", not(iserror(vlookup($A242&amp;$B242,'5) Release_Track'!$F:$F&amp;'5) Release_Track'!$G:$G,1,0))),vlookup($A242&amp;$B242,{'5) Release_Track'!$F:$F&amp;'5) Release_Track'!$G:$G,'5) Release_Track'!$I:$I},2,0), or(and(not(isblank($B242)),$B242=$B241,$A242&lt;&gt;$A241),and(not(isblank($A242)),$A242=$A241,$B242&lt;&gt;$B241)),"ID LISTS UNALIGNED",and($A242&lt;&gt;"",countif('5) Release_Track'!$F:$F,$A242)=0),"NO ISRC MATCH in Release_Track",and($B242&lt;&gt;"",countif('5) Release_Track'!$G:$G,$B242)=0),"NO CATALOG ID MATCH in Release_Track",iserror(vlookup($A242&amp;$B242,'5) Release_Track'!$F:$F&amp;'5) Release_Track'!$G:$G,1,0)),"NO ISRC-CATALOG ID pair MATCH in Release_Track" )</f>
        <v/>
      </c>
      <c r="E242" s="125" t="str">
        <f t="array" ref="E242">ifs(and(isblank($A242),isblank($B242)),"", not(iserror(vlookup($A242&amp;$B242,'5) Release_Track'!$F:$F&amp;'5) Release_Track'!$G:$G,1,0))),vlookup($A242&amp;$B242,{'5) Release_Track'!$F:$F&amp;'5) Release_Track'!$G:$G,'5) Release_Track'!$J:$J},2,0), or(and(not(isblank($B242)),$B242=$B241,$A242&lt;&gt;$A241),and(not(isblank($A242)),$A242=$A241,$B242&lt;&gt;$B241)),"ID LISTS UNALIGNED",and($A242&lt;&gt;"",countif('5) Release_Track'!$F:$F,$A242)=0),"NO ISRC MATCH in Release_Track",and($B242&lt;&gt;"",countif('5) Release_Track'!$G:$G,$B242)=0),"NO CATALOG ID MATCH in Release_Track",iserror(vlookup($A242&amp;$B242,'5) Release_Track'!$F:$F&amp;'5) Release_Track'!$G:$G,1,0)),"NO ISRC-CATALOG ID pair MATCH in Release_Track" )</f>
        <v/>
      </c>
      <c r="F242" s="122"/>
      <c r="G242" s="99"/>
      <c r="H242" s="178"/>
      <c r="I242" s="121" t="str">
        <f t="shared" si="6"/>
        <v/>
      </c>
      <c r="J242" s="99"/>
      <c r="K242" s="99"/>
    </row>
    <row r="243">
      <c r="B243" s="103"/>
      <c r="C243" s="121" t="str">
        <f t="array" ref="C243">ifs(and(isblank($A243),isblank($B243)),"", not(iserror(vlookup($A243&amp;$B243,'5) Release_Track'!$F:$F&amp;'5) Release_Track'!$G:$G,1,0))),vlookup($A243&amp;$B243,{'5) Release_Track'!$F:$F&amp;'5) Release_Track'!$G:$G,'5) Release_Track'!$H:$H},2,0), or(and(not(isblank($B243)),$B243=$B242,$A243&lt;&gt;$A242),and(not(isblank($A243)),$A243=$A242,$B243&lt;&gt;$B242)),"ID LISTS UNALIGNED",and($A243&lt;&gt;"",countif('5) Release_Track'!$F:$F,$A243)=0),"NO ISRC MATCH in Release_Track",and($B243&lt;&gt;"",countif('5) Release_Track'!$G:$G,$B243)=0),"NO CATALOG ID MATCH in Release_Track",iserror(vlookup($A243&amp;$B243,'5) Release_Track'!$F:$F&amp;'5) Release_Track'!$G:$G,1,0)),"NO ISRC-CATALOG ID pair MATCH in Release_Track" )</f>
        <v/>
      </c>
      <c r="D243" s="121" t="str">
        <f t="array" ref="D243">ifs(and(isblank($A243),isblank($B243)),"", not(iserror(vlookup($A243&amp;$B243,'5) Release_Track'!$F:$F&amp;'5) Release_Track'!$G:$G,1,0))),vlookup($A243&amp;$B243,{'5) Release_Track'!$F:$F&amp;'5) Release_Track'!$G:$G,'5) Release_Track'!$I:$I},2,0), or(and(not(isblank($B243)),$B243=$B242,$A243&lt;&gt;$A242),and(not(isblank($A243)),$A243=$A242,$B243&lt;&gt;$B242)),"ID LISTS UNALIGNED",and($A243&lt;&gt;"",countif('5) Release_Track'!$F:$F,$A243)=0),"NO ISRC MATCH in Release_Track",and($B243&lt;&gt;"",countif('5) Release_Track'!$G:$G,$B243)=0),"NO CATALOG ID MATCH in Release_Track",iserror(vlookup($A243&amp;$B243,'5) Release_Track'!$F:$F&amp;'5) Release_Track'!$G:$G,1,0)),"NO ISRC-CATALOG ID pair MATCH in Release_Track" )</f>
        <v/>
      </c>
      <c r="E243" s="125" t="str">
        <f t="array" ref="E243">ifs(and(isblank($A243),isblank($B243)),"", not(iserror(vlookup($A243&amp;$B243,'5) Release_Track'!$F:$F&amp;'5) Release_Track'!$G:$G,1,0))),vlookup($A243&amp;$B243,{'5) Release_Track'!$F:$F&amp;'5) Release_Track'!$G:$G,'5) Release_Track'!$J:$J},2,0), or(and(not(isblank($B243)),$B243=$B242,$A243&lt;&gt;$A242),and(not(isblank($A243)),$A243=$A242,$B243&lt;&gt;$B242)),"ID LISTS UNALIGNED",and($A243&lt;&gt;"",countif('5) Release_Track'!$F:$F,$A243)=0),"NO ISRC MATCH in Release_Track",and($B243&lt;&gt;"",countif('5) Release_Track'!$G:$G,$B243)=0),"NO CATALOG ID MATCH in Release_Track",iserror(vlookup($A243&amp;$B243,'5) Release_Track'!$F:$F&amp;'5) Release_Track'!$G:$G,1,0)),"NO ISRC-CATALOG ID pair MATCH in Release_Track" )</f>
        <v/>
      </c>
      <c r="F243" s="122"/>
      <c r="G243" s="99"/>
      <c r="H243" s="178"/>
      <c r="I243" s="121" t="str">
        <f t="shared" si="6"/>
        <v/>
      </c>
      <c r="J243" s="99"/>
      <c r="K243" s="99"/>
    </row>
    <row r="244">
      <c r="B244" s="103"/>
      <c r="C244" s="121" t="str">
        <f t="array" ref="C244">ifs(and(isblank($A244),isblank($B244)),"", not(iserror(vlookup($A244&amp;$B244,'5) Release_Track'!$F:$F&amp;'5) Release_Track'!$G:$G,1,0))),vlookup($A244&amp;$B244,{'5) Release_Track'!$F:$F&amp;'5) Release_Track'!$G:$G,'5) Release_Track'!$H:$H},2,0), or(and(not(isblank($B244)),$B244=$B243,$A244&lt;&gt;$A243),and(not(isblank($A244)),$A244=$A243,$B244&lt;&gt;$B243)),"ID LISTS UNALIGNED",and($A244&lt;&gt;"",countif('5) Release_Track'!$F:$F,$A244)=0),"NO ISRC MATCH in Release_Track",and($B244&lt;&gt;"",countif('5) Release_Track'!$G:$G,$B244)=0),"NO CATALOG ID MATCH in Release_Track",iserror(vlookup($A244&amp;$B244,'5) Release_Track'!$F:$F&amp;'5) Release_Track'!$G:$G,1,0)),"NO ISRC-CATALOG ID pair MATCH in Release_Track" )</f>
        <v/>
      </c>
      <c r="D244" s="121" t="str">
        <f t="array" ref="D244">ifs(and(isblank($A244),isblank($B244)),"", not(iserror(vlookup($A244&amp;$B244,'5) Release_Track'!$F:$F&amp;'5) Release_Track'!$G:$G,1,0))),vlookup($A244&amp;$B244,{'5) Release_Track'!$F:$F&amp;'5) Release_Track'!$G:$G,'5) Release_Track'!$I:$I},2,0), or(and(not(isblank($B244)),$B244=$B243,$A244&lt;&gt;$A243),and(not(isblank($A244)),$A244=$A243,$B244&lt;&gt;$B243)),"ID LISTS UNALIGNED",and($A244&lt;&gt;"",countif('5) Release_Track'!$F:$F,$A244)=0),"NO ISRC MATCH in Release_Track",and($B244&lt;&gt;"",countif('5) Release_Track'!$G:$G,$B244)=0),"NO CATALOG ID MATCH in Release_Track",iserror(vlookup($A244&amp;$B244,'5) Release_Track'!$F:$F&amp;'5) Release_Track'!$G:$G,1,0)),"NO ISRC-CATALOG ID pair MATCH in Release_Track" )</f>
        <v/>
      </c>
      <c r="E244" s="125" t="str">
        <f t="array" ref="E244">ifs(and(isblank($A244),isblank($B244)),"", not(iserror(vlookup($A244&amp;$B244,'5) Release_Track'!$F:$F&amp;'5) Release_Track'!$G:$G,1,0))),vlookup($A244&amp;$B244,{'5) Release_Track'!$F:$F&amp;'5) Release_Track'!$G:$G,'5) Release_Track'!$J:$J},2,0), or(and(not(isblank($B244)),$B244=$B243,$A244&lt;&gt;$A243),and(not(isblank($A244)),$A244=$A243,$B244&lt;&gt;$B243)),"ID LISTS UNALIGNED",and($A244&lt;&gt;"",countif('5) Release_Track'!$F:$F,$A244)=0),"NO ISRC MATCH in Release_Track",and($B244&lt;&gt;"",countif('5) Release_Track'!$G:$G,$B244)=0),"NO CATALOG ID MATCH in Release_Track",iserror(vlookup($A244&amp;$B244,'5) Release_Track'!$F:$F&amp;'5) Release_Track'!$G:$G,1,0)),"NO ISRC-CATALOG ID pair MATCH in Release_Track" )</f>
        <v/>
      </c>
      <c r="F244" s="122"/>
      <c r="G244" s="99"/>
      <c r="H244" s="178"/>
      <c r="I244" s="121" t="str">
        <f t="shared" si="6"/>
        <v/>
      </c>
      <c r="J244" s="99"/>
      <c r="K244" s="99"/>
    </row>
    <row r="245">
      <c r="B245" s="103"/>
      <c r="C245" s="121" t="str">
        <f t="array" ref="C245">ifs(and(isblank($A245),isblank($B245)),"", not(iserror(vlookup($A245&amp;$B245,'5) Release_Track'!$F:$F&amp;'5) Release_Track'!$G:$G,1,0))),vlookup($A245&amp;$B245,{'5) Release_Track'!$F:$F&amp;'5) Release_Track'!$G:$G,'5) Release_Track'!$H:$H},2,0), or(and(not(isblank($B245)),$B245=$B244,$A245&lt;&gt;$A244),and(not(isblank($A245)),$A245=$A244,$B245&lt;&gt;$B244)),"ID LISTS UNALIGNED",and($A245&lt;&gt;"",countif('5) Release_Track'!$F:$F,$A245)=0),"NO ISRC MATCH in Release_Track",and($B245&lt;&gt;"",countif('5) Release_Track'!$G:$G,$B245)=0),"NO CATALOG ID MATCH in Release_Track",iserror(vlookup($A245&amp;$B245,'5) Release_Track'!$F:$F&amp;'5) Release_Track'!$G:$G,1,0)),"NO ISRC-CATALOG ID pair MATCH in Release_Track" )</f>
        <v/>
      </c>
      <c r="D245" s="121" t="str">
        <f t="array" ref="D245">ifs(and(isblank($A245),isblank($B245)),"", not(iserror(vlookup($A245&amp;$B245,'5) Release_Track'!$F:$F&amp;'5) Release_Track'!$G:$G,1,0))),vlookup($A245&amp;$B245,{'5) Release_Track'!$F:$F&amp;'5) Release_Track'!$G:$G,'5) Release_Track'!$I:$I},2,0), or(and(not(isblank($B245)),$B245=$B244,$A245&lt;&gt;$A244),and(not(isblank($A245)),$A245=$A244,$B245&lt;&gt;$B244)),"ID LISTS UNALIGNED",and($A245&lt;&gt;"",countif('5) Release_Track'!$F:$F,$A245)=0),"NO ISRC MATCH in Release_Track",and($B245&lt;&gt;"",countif('5) Release_Track'!$G:$G,$B245)=0),"NO CATALOG ID MATCH in Release_Track",iserror(vlookup($A245&amp;$B245,'5) Release_Track'!$F:$F&amp;'5) Release_Track'!$G:$G,1,0)),"NO ISRC-CATALOG ID pair MATCH in Release_Track" )</f>
        <v/>
      </c>
      <c r="E245" s="125" t="str">
        <f t="array" ref="E245">ifs(and(isblank($A245),isblank($B245)),"", not(iserror(vlookup($A245&amp;$B245,'5) Release_Track'!$F:$F&amp;'5) Release_Track'!$G:$G,1,0))),vlookup($A245&amp;$B245,{'5) Release_Track'!$F:$F&amp;'5) Release_Track'!$G:$G,'5) Release_Track'!$J:$J},2,0), or(and(not(isblank($B245)),$B245=$B244,$A245&lt;&gt;$A244),and(not(isblank($A245)),$A245=$A244,$B245&lt;&gt;$B244)),"ID LISTS UNALIGNED",and($A245&lt;&gt;"",countif('5) Release_Track'!$F:$F,$A245)=0),"NO ISRC MATCH in Release_Track",and($B245&lt;&gt;"",countif('5) Release_Track'!$G:$G,$B245)=0),"NO CATALOG ID MATCH in Release_Track",iserror(vlookup($A245&amp;$B245,'5) Release_Track'!$F:$F&amp;'5) Release_Track'!$G:$G,1,0)),"NO ISRC-CATALOG ID pair MATCH in Release_Track" )</f>
        <v/>
      </c>
      <c r="F245" s="122"/>
      <c r="G245" s="99"/>
      <c r="H245" s="178"/>
      <c r="I245" s="121" t="str">
        <f t="shared" si="6"/>
        <v/>
      </c>
      <c r="J245" s="99"/>
      <c r="K245" s="99"/>
    </row>
    <row r="246">
      <c r="B246" s="103"/>
      <c r="C246" s="121" t="str">
        <f t="array" ref="C246">ifs(and(isblank($A246),isblank($B246)),"", not(iserror(vlookup($A246&amp;$B246,'5) Release_Track'!$F:$F&amp;'5) Release_Track'!$G:$G,1,0))),vlookup($A246&amp;$B246,{'5) Release_Track'!$F:$F&amp;'5) Release_Track'!$G:$G,'5) Release_Track'!$H:$H},2,0), or(and(not(isblank($B246)),$B246=$B245,$A246&lt;&gt;$A245),and(not(isblank($A246)),$A246=$A245,$B246&lt;&gt;$B245)),"ID LISTS UNALIGNED",and($A246&lt;&gt;"",countif('5) Release_Track'!$F:$F,$A246)=0),"NO ISRC MATCH in Release_Track",and($B246&lt;&gt;"",countif('5) Release_Track'!$G:$G,$B246)=0),"NO CATALOG ID MATCH in Release_Track",iserror(vlookup($A246&amp;$B246,'5) Release_Track'!$F:$F&amp;'5) Release_Track'!$G:$G,1,0)),"NO ISRC-CATALOG ID pair MATCH in Release_Track" )</f>
        <v/>
      </c>
      <c r="D246" s="121" t="str">
        <f t="array" ref="D246">ifs(and(isblank($A246),isblank($B246)),"", not(iserror(vlookup($A246&amp;$B246,'5) Release_Track'!$F:$F&amp;'5) Release_Track'!$G:$G,1,0))),vlookup($A246&amp;$B246,{'5) Release_Track'!$F:$F&amp;'5) Release_Track'!$G:$G,'5) Release_Track'!$I:$I},2,0), or(and(not(isblank($B246)),$B246=$B245,$A246&lt;&gt;$A245),and(not(isblank($A246)),$A246=$A245,$B246&lt;&gt;$B245)),"ID LISTS UNALIGNED",and($A246&lt;&gt;"",countif('5) Release_Track'!$F:$F,$A246)=0),"NO ISRC MATCH in Release_Track",and($B246&lt;&gt;"",countif('5) Release_Track'!$G:$G,$B246)=0),"NO CATALOG ID MATCH in Release_Track",iserror(vlookup($A246&amp;$B246,'5) Release_Track'!$F:$F&amp;'5) Release_Track'!$G:$G,1,0)),"NO ISRC-CATALOG ID pair MATCH in Release_Track" )</f>
        <v/>
      </c>
      <c r="E246" s="125" t="str">
        <f t="array" ref="E246">ifs(and(isblank($A246),isblank($B246)),"", not(iserror(vlookup($A246&amp;$B246,'5) Release_Track'!$F:$F&amp;'5) Release_Track'!$G:$G,1,0))),vlookup($A246&amp;$B246,{'5) Release_Track'!$F:$F&amp;'5) Release_Track'!$G:$G,'5) Release_Track'!$J:$J},2,0), or(and(not(isblank($B246)),$B246=$B245,$A246&lt;&gt;$A245),and(not(isblank($A246)),$A246=$A245,$B246&lt;&gt;$B245)),"ID LISTS UNALIGNED",and($A246&lt;&gt;"",countif('5) Release_Track'!$F:$F,$A246)=0),"NO ISRC MATCH in Release_Track",and($B246&lt;&gt;"",countif('5) Release_Track'!$G:$G,$B246)=0),"NO CATALOG ID MATCH in Release_Track",iserror(vlookup($A246&amp;$B246,'5) Release_Track'!$F:$F&amp;'5) Release_Track'!$G:$G,1,0)),"NO ISRC-CATALOG ID pair MATCH in Release_Track" )</f>
        <v/>
      </c>
      <c r="F246" s="122"/>
      <c r="G246" s="99"/>
      <c r="H246" s="178"/>
      <c r="I246" s="121" t="str">
        <f t="shared" si="6"/>
        <v/>
      </c>
      <c r="J246" s="99"/>
      <c r="K246" s="99"/>
    </row>
    <row r="247">
      <c r="B247" s="103"/>
      <c r="C247" s="121" t="str">
        <f t="array" ref="C247">ifs(and(isblank($A247),isblank($B247)),"", not(iserror(vlookup($A247&amp;$B247,'5) Release_Track'!$F:$F&amp;'5) Release_Track'!$G:$G,1,0))),vlookup($A247&amp;$B247,{'5) Release_Track'!$F:$F&amp;'5) Release_Track'!$G:$G,'5) Release_Track'!$H:$H},2,0), or(and(not(isblank($B247)),$B247=$B246,$A247&lt;&gt;$A246),and(not(isblank($A247)),$A247=$A246,$B247&lt;&gt;$B246)),"ID LISTS UNALIGNED",and($A247&lt;&gt;"",countif('5) Release_Track'!$F:$F,$A247)=0),"NO ISRC MATCH in Release_Track",and($B247&lt;&gt;"",countif('5) Release_Track'!$G:$G,$B247)=0),"NO CATALOG ID MATCH in Release_Track",iserror(vlookup($A247&amp;$B247,'5) Release_Track'!$F:$F&amp;'5) Release_Track'!$G:$G,1,0)),"NO ISRC-CATALOG ID pair MATCH in Release_Track" )</f>
        <v/>
      </c>
      <c r="D247" s="121" t="str">
        <f t="array" ref="D247">ifs(and(isblank($A247),isblank($B247)),"", not(iserror(vlookup($A247&amp;$B247,'5) Release_Track'!$F:$F&amp;'5) Release_Track'!$G:$G,1,0))),vlookup($A247&amp;$B247,{'5) Release_Track'!$F:$F&amp;'5) Release_Track'!$G:$G,'5) Release_Track'!$I:$I},2,0), or(and(not(isblank($B247)),$B247=$B246,$A247&lt;&gt;$A246),and(not(isblank($A247)),$A247=$A246,$B247&lt;&gt;$B246)),"ID LISTS UNALIGNED",and($A247&lt;&gt;"",countif('5) Release_Track'!$F:$F,$A247)=0),"NO ISRC MATCH in Release_Track",and($B247&lt;&gt;"",countif('5) Release_Track'!$G:$G,$B247)=0),"NO CATALOG ID MATCH in Release_Track",iserror(vlookup($A247&amp;$B247,'5) Release_Track'!$F:$F&amp;'5) Release_Track'!$G:$G,1,0)),"NO ISRC-CATALOG ID pair MATCH in Release_Track" )</f>
        <v/>
      </c>
      <c r="E247" s="125" t="str">
        <f t="array" ref="E247">ifs(and(isblank($A247),isblank($B247)),"", not(iserror(vlookup($A247&amp;$B247,'5) Release_Track'!$F:$F&amp;'5) Release_Track'!$G:$G,1,0))),vlookup($A247&amp;$B247,{'5) Release_Track'!$F:$F&amp;'5) Release_Track'!$G:$G,'5) Release_Track'!$J:$J},2,0), or(and(not(isblank($B247)),$B247=$B246,$A247&lt;&gt;$A246),and(not(isblank($A247)),$A247=$A246,$B247&lt;&gt;$B246)),"ID LISTS UNALIGNED",and($A247&lt;&gt;"",countif('5) Release_Track'!$F:$F,$A247)=0),"NO ISRC MATCH in Release_Track",and($B247&lt;&gt;"",countif('5) Release_Track'!$G:$G,$B247)=0),"NO CATALOG ID MATCH in Release_Track",iserror(vlookup($A247&amp;$B247,'5) Release_Track'!$F:$F&amp;'5) Release_Track'!$G:$G,1,0)),"NO ISRC-CATALOG ID pair MATCH in Release_Track" )</f>
        <v/>
      </c>
      <c r="F247" s="122"/>
      <c r="G247" s="99"/>
      <c r="H247" s="178"/>
      <c r="I247" s="121" t="str">
        <f t="shared" si="6"/>
        <v/>
      </c>
      <c r="J247" s="99"/>
      <c r="K247" s="99"/>
    </row>
    <row r="248">
      <c r="B248" s="103"/>
      <c r="C248" s="121" t="str">
        <f t="array" ref="C248">ifs(and(isblank($A248),isblank($B248)),"", not(iserror(vlookup($A248&amp;$B248,'5) Release_Track'!$F:$F&amp;'5) Release_Track'!$G:$G,1,0))),vlookup($A248&amp;$B248,{'5) Release_Track'!$F:$F&amp;'5) Release_Track'!$G:$G,'5) Release_Track'!$H:$H},2,0), or(and(not(isblank($B248)),$B248=$B247,$A248&lt;&gt;$A247),and(not(isblank($A248)),$A248=$A247,$B248&lt;&gt;$B247)),"ID LISTS UNALIGNED",and($A248&lt;&gt;"",countif('5) Release_Track'!$F:$F,$A248)=0),"NO ISRC MATCH in Release_Track",and($B248&lt;&gt;"",countif('5) Release_Track'!$G:$G,$B248)=0),"NO CATALOG ID MATCH in Release_Track",iserror(vlookup($A248&amp;$B248,'5) Release_Track'!$F:$F&amp;'5) Release_Track'!$G:$G,1,0)),"NO ISRC-CATALOG ID pair MATCH in Release_Track" )</f>
        <v/>
      </c>
      <c r="D248" s="121" t="str">
        <f t="array" ref="D248">ifs(and(isblank($A248),isblank($B248)),"", not(iserror(vlookup($A248&amp;$B248,'5) Release_Track'!$F:$F&amp;'5) Release_Track'!$G:$G,1,0))),vlookup($A248&amp;$B248,{'5) Release_Track'!$F:$F&amp;'5) Release_Track'!$G:$G,'5) Release_Track'!$I:$I},2,0), or(and(not(isblank($B248)),$B248=$B247,$A248&lt;&gt;$A247),and(not(isblank($A248)),$A248=$A247,$B248&lt;&gt;$B247)),"ID LISTS UNALIGNED",and($A248&lt;&gt;"",countif('5) Release_Track'!$F:$F,$A248)=0),"NO ISRC MATCH in Release_Track",and($B248&lt;&gt;"",countif('5) Release_Track'!$G:$G,$B248)=0),"NO CATALOG ID MATCH in Release_Track",iserror(vlookup($A248&amp;$B248,'5) Release_Track'!$F:$F&amp;'5) Release_Track'!$G:$G,1,0)),"NO ISRC-CATALOG ID pair MATCH in Release_Track" )</f>
        <v/>
      </c>
      <c r="E248" s="125" t="str">
        <f t="array" ref="E248">ifs(and(isblank($A248),isblank($B248)),"", not(iserror(vlookup($A248&amp;$B248,'5) Release_Track'!$F:$F&amp;'5) Release_Track'!$G:$G,1,0))),vlookup($A248&amp;$B248,{'5) Release_Track'!$F:$F&amp;'5) Release_Track'!$G:$G,'5) Release_Track'!$J:$J},2,0), or(and(not(isblank($B248)),$B248=$B247,$A248&lt;&gt;$A247),and(not(isblank($A248)),$A248=$A247,$B248&lt;&gt;$B247)),"ID LISTS UNALIGNED",and($A248&lt;&gt;"",countif('5) Release_Track'!$F:$F,$A248)=0),"NO ISRC MATCH in Release_Track",and($B248&lt;&gt;"",countif('5) Release_Track'!$G:$G,$B248)=0),"NO CATALOG ID MATCH in Release_Track",iserror(vlookup($A248&amp;$B248,'5) Release_Track'!$F:$F&amp;'5) Release_Track'!$G:$G,1,0)),"NO ISRC-CATALOG ID pair MATCH in Release_Track" )</f>
        <v/>
      </c>
      <c r="F248" s="122"/>
      <c r="G248" s="99"/>
      <c r="H248" s="178"/>
      <c r="I248" s="121" t="str">
        <f t="shared" si="6"/>
        <v/>
      </c>
      <c r="J248" s="99"/>
      <c r="K248" s="99"/>
    </row>
    <row r="249">
      <c r="B249" s="103"/>
      <c r="C249" s="121" t="str">
        <f t="array" ref="C249">ifs(and(isblank($A249),isblank($B249)),"", not(iserror(vlookup($A249&amp;$B249,'5) Release_Track'!$F:$F&amp;'5) Release_Track'!$G:$G,1,0))),vlookup($A249&amp;$B249,{'5) Release_Track'!$F:$F&amp;'5) Release_Track'!$G:$G,'5) Release_Track'!$H:$H},2,0), or(and(not(isblank($B249)),$B249=$B248,$A249&lt;&gt;$A248),and(not(isblank($A249)),$A249=$A248,$B249&lt;&gt;$B248)),"ID LISTS UNALIGNED",and($A249&lt;&gt;"",countif('5) Release_Track'!$F:$F,$A249)=0),"NO ISRC MATCH in Release_Track",and($B249&lt;&gt;"",countif('5) Release_Track'!$G:$G,$B249)=0),"NO CATALOG ID MATCH in Release_Track",iserror(vlookup($A249&amp;$B249,'5) Release_Track'!$F:$F&amp;'5) Release_Track'!$G:$G,1,0)),"NO ISRC-CATALOG ID pair MATCH in Release_Track" )</f>
        <v/>
      </c>
      <c r="D249" s="121" t="str">
        <f t="array" ref="D249">ifs(and(isblank($A249),isblank($B249)),"", not(iserror(vlookup($A249&amp;$B249,'5) Release_Track'!$F:$F&amp;'5) Release_Track'!$G:$G,1,0))),vlookup($A249&amp;$B249,{'5) Release_Track'!$F:$F&amp;'5) Release_Track'!$G:$G,'5) Release_Track'!$I:$I},2,0), or(and(not(isblank($B249)),$B249=$B248,$A249&lt;&gt;$A248),and(not(isblank($A249)),$A249=$A248,$B249&lt;&gt;$B248)),"ID LISTS UNALIGNED",and($A249&lt;&gt;"",countif('5) Release_Track'!$F:$F,$A249)=0),"NO ISRC MATCH in Release_Track",and($B249&lt;&gt;"",countif('5) Release_Track'!$G:$G,$B249)=0),"NO CATALOG ID MATCH in Release_Track",iserror(vlookup($A249&amp;$B249,'5) Release_Track'!$F:$F&amp;'5) Release_Track'!$G:$G,1,0)),"NO ISRC-CATALOG ID pair MATCH in Release_Track" )</f>
        <v/>
      </c>
      <c r="E249" s="125" t="str">
        <f t="array" ref="E249">ifs(and(isblank($A249),isblank($B249)),"", not(iserror(vlookup($A249&amp;$B249,'5) Release_Track'!$F:$F&amp;'5) Release_Track'!$G:$G,1,0))),vlookup($A249&amp;$B249,{'5) Release_Track'!$F:$F&amp;'5) Release_Track'!$G:$G,'5) Release_Track'!$J:$J},2,0), or(and(not(isblank($B249)),$B249=$B248,$A249&lt;&gt;$A248),and(not(isblank($A249)),$A249=$A248,$B249&lt;&gt;$B248)),"ID LISTS UNALIGNED",and($A249&lt;&gt;"",countif('5) Release_Track'!$F:$F,$A249)=0),"NO ISRC MATCH in Release_Track",and($B249&lt;&gt;"",countif('5) Release_Track'!$G:$G,$B249)=0),"NO CATALOG ID MATCH in Release_Track",iserror(vlookup($A249&amp;$B249,'5) Release_Track'!$F:$F&amp;'5) Release_Track'!$G:$G,1,0)),"NO ISRC-CATALOG ID pair MATCH in Release_Track" )</f>
        <v/>
      </c>
      <c r="F249" s="122"/>
      <c r="G249" s="99"/>
      <c r="H249" s="178"/>
      <c r="I249" s="121" t="str">
        <f t="shared" si="6"/>
        <v/>
      </c>
      <c r="J249" s="99"/>
      <c r="K249" s="99"/>
    </row>
    <row r="250">
      <c r="B250" s="103"/>
      <c r="C250" s="121" t="str">
        <f t="array" ref="C250">ifs(and(isblank($A250),isblank($B250)),"", not(iserror(vlookup($A250&amp;$B250,'5) Release_Track'!$F:$F&amp;'5) Release_Track'!$G:$G,1,0))),vlookup($A250&amp;$B250,{'5) Release_Track'!$F:$F&amp;'5) Release_Track'!$G:$G,'5) Release_Track'!$H:$H},2,0), or(and(not(isblank($B250)),$B250=$B249,$A250&lt;&gt;$A249),and(not(isblank($A250)),$A250=$A249,$B250&lt;&gt;$B249)),"ID LISTS UNALIGNED",and($A250&lt;&gt;"",countif('5) Release_Track'!$F:$F,$A250)=0),"NO ISRC MATCH in Release_Track",and($B250&lt;&gt;"",countif('5) Release_Track'!$G:$G,$B250)=0),"NO CATALOG ID MATCH in Release_Track",iserror(vlookup($A250&amp;$B250,'5) Release_Track'!$F:$F&amp;'5) Release_Track'!$G:$G,1,0)),"NO ISRC-CATALOG ID pair MATCH in Release_Track" )</f>
        <v/>
      </c>
      <c r="D250" s="121" t="str">
        <f t="array" ref="D250">ifs(and(isblank($A250),isblank($B250)),"", not(iserror(vlookup($A250&amp;$B250,'5) Release_Track'!$F:$F&amp;'5) Release_Track'!$G:$G,1,0))),vlookup($A250&amp;$B250,{'5) Release_Track'!$F:$F&amp;'5) Release_Track'!$G:$G,'5) Release_Track'!$I:$I},2,0), or(and(not(isblank($B250)),$B250=$B249,$A250&lt;&gt;$A249),and(not(isblank($A250)),$A250=$A249,$B250&lt;&gt;$B249)),"ID LISTS UNALIGNED",and($A250&lt;&gt;"",countif('5) Release_Track'!$F:$F,$A250)=0),"NO ISRC MATCH in Release_Track",and($B250&lt;&gt;"",countif('5) Release_Track'!$G:$G,$B250)=0),"NO CATALOG ID MATCH in Release_Track",iserror(vlookup($A250&amp;$B250,'5) Release_Track'!$F:$F&amp;'5) Release_Track'!$G:$G,1,0)),"NO ISRC-CATALOG ID pair MATCH in Release_Track" )</f>
        <v/>
      </c>
      <c r="E250" s="125" t="str">
        <f t="array" ref="E250">ifs(and(isblank($A250),isblank($B250)),"", not(iserror(vlookup($A250&amp;$B250,'5) Release_Track'!$F:$F&amp;'5) Release_Track'!$G:$G,1,0))),vlookup($A250&amp;$B250,{'5) Release_Track'!$F:$F&amp;'5) Release_Track'!$G:$G,'5) Release_Track'!$J:$J},2,0), or(and(not(isblank($B250)),$B250=$B249,$A250&lt;&gt;$A249),and(not(isblank($A250)),$A250=$A249,$B250&lt;&gt;$B249)),"ID LISTS UNALIGNED",and($A250&lt;&gt;"",countif('5) Release_Track'!$F:$F,$A250)=0),"NO ISRC MATCH in Release_Track",and($B250&lt;&gt;"",countif('5) Release_Track'!$G:$G,$B250)=0),"NO CATALOG ID MATCH in Release_Track",iserror(vlookup($A250&amp;$B250,'5) Release_Track'!$F:$F&amp;'5) Release_Track'!$G:$G,1,0)),"NO ISRC-CATALOG ID pair MATCH in Release_Track" )</f>
        <v/>
      </c>
      <c r="F250" s="122"/>
      <c r="G250" s="99"/>
      <c r="H250" s="178"/>
      <c r="I250" s="121" t="str">
        <f t="shared" si="6"/>
        <v/>
      </c>
      <c r="J250" s="99"/>
      <c r="K250" s="99"/>
    </row>
    <row r="251">
      <c r="B251" s="103"/>
      <c r="C251" s="121" t="str">
        <f t="array" ref="C251">ifs(and(isblank($A251),isblank($B251)),"", not(iserror(vlookup($A251&amp;$B251,'5) Release_Track'!$F:$F&amp;'5) Release_Track'!$G:$G,1,0))),vlookup($A251&amp;$B251,{'5) Release_Track'!$F:$F&amp;'5) Release_Track'!$G:$G,'5) Release_Track'!$H:$H},2,0), or(and(not(isblank($B251)),$B251=$B250,$A251&lt;&gt;$A250),and(not(isblank($A251)),$A251=$A250,$B251&lt;&gt;$B250)),"ID LISTS UNALIGNED",and($A251&lt;&gt;"",countif('5) Release_Track'!$F:$F,$A251)=0),"NO ISRC MATCH in Release_Track",and($B251&lt;&gt;"",countif('5) Release_Track'!$G:$G,$B251)=0),"NO CATALOG ID MATCH in Release_Track",iserror(vlookup($A251&amp;$B251,'5) Release_Track'!$F:$F&amp;'5) Release_Track'!$G:$G,1,0)),"NO ISRC-CATALOG ID pair MATCH in Release_Track" )</f>
        <v/>
      </c>
      <c r="D251" s="121" t="str">
        <f t="array" ref="D251">ifs(and(isblank($A251),isblank($B251)),"", not(iserror(vlookup($A251&amp;$B251,'5) Release_Track'!$F:$F&amp;'5) Release_Track'!$G:$G,1,0))),vlookup($A251&amp;$B251,{'5) Release_Track'!$F:$F&amp;'5) Release_Track'!$G:$G,'5) Release_Track'!$I:$I},2,0), or(and(not(isblank($B251)),$B251=$B250,$A251&lt;&gt;$A250),and(not(isblank($A251)),$A251=$A250,$B251&lt;&gt;$B250)),"ID LISTS UNALIGNED",and($A251&lt;&gt;"",countif('5) Release_Track'!$F:$F,$A251)=0),"NO ISRC MATCH in Release_Track",and($B251&lt;&gt;"",countif('5) Release_Track'!$G:$G,$B251)=0),"NO CATALOG ID MATCH in Release_Track",iserror(vlookup($A251&amp;$B251,'5) Release_Track'!$F:$F&amp;'5) Release_Track'!$G:$G,1,0)),"NO ISRC-CATALOG ID pair MATCH in Release_Track" )</f>
        <v/>
      </c>
      <c r="E251" s="125" t="str">
        <f t="array" ref="E251">ifs(and(isblank($A251),isblank($B251)),"", not(iserror(vlookup($A251&amp;$B251,'5) Release_Track'!$F:$F&amp;'5) Release_Track'!$G:$G,1,0))),vlookup($A251&amp;$B251,{'5) Release_Track'!$F:$F&amp;'5) Release_Track'!$G:$G,'5) Release_Track'!$J:$J},2,0), or(and(not(isblank($B251)),$B251=$B250,$A251&lt;&gt;$A250),and(not(isblank($A251)),$A251=$A250,$B251&lt;&gt;$B250)),"ID LISTS UNALIGNED",and($A251&lt;&gt;"",countif('5) Release_Track'!$F:$F,$A251)=0),"NO ISRC MATCH in Release_Track",and($B251&lt;&gt;"",countif('5) Release_Track'!$G:$G,$B251)=0),"NO CATALOG ID MATCH in Release_Track",iserror(vlookup($A251&amp;$B251,'5) Release_Track'!$F:$F&amp;'5) Release_Track'!$G:$G,1,0)),"NO ISRC-CATALOG ID pair MATCH in Release_Track" )</f>
        <v/>
      </c>
      <c r="F251" s="122"/>
      <c r="G251" s="99"/>
      <c r="H251" s="178"/>
      <c r="I251" s="121" t="str">
        <f t="shared" si="6"/>
        <v/>
      </c>
      <c r="J251" s="99"/>
      <c r="K251" s="99"/>
    </row>
    <row r="252">
      <c r="B252" s="103"/>
      <c r="C252" s="121" t="str">
        <f t="array" ref="C252">ifs(and(isblank($A252),isblank($B252)),"", not(iserror(vlookup($A252&amp;$B252,'5) Release_Track'!$F:$F&amp;'5) Release_Track'!$G:$G,1,0))),vlookup($A252&amp;$B252,{'5) Release_Track'!$F:$F&amp;'5) Release_Track'!$G:$G,'5) Release_Track'!$H:$H},2,0), or(and(not(isblank($B252)),$B252=$B251,$A252&lt;&gt;$A251),and(not(isblank($A252)),$A252=$A251,$B252&lt;&gt;$B251)),"ID LISTS UNALIGNED",and($A252&lt;&gt;"",countif('5) Release_Track'!$F:$F,$A252)=0),"NO ISRC MATCH in Release_Track",and($B252&lt;&gt;"",countif('5) Release_Track'!$G:$G,$B252)=0),"NO CATALOG ID MATCH in Release_Track",iserror(vlookup($A252&amp;$B252,'5) Release_Track'!$F:$F&amp;'5) Release_Track'!$G:$G,1,0)),"NO ISRC-CATALOG ID pair MATCH in Release_Track" )</f>
        <v/>
      </c>
      <c r="D252" s="121" t="str">
        <f t="array" ref="D252">ifs(and(isblank($A252),isblank($B252)),"", not(iserror(vlookup($A252&amp;$B252,'5) Release_Track'!$F:$F&amp;'5) Release_Track'!$G:$G,1,0))),vlookup($A252&amp;$B252,{'5) Release_Track'!$F:$F&amp;'5) Release_Track'!$G:$G,'5) Release_Track'!$I:$I},2,0), or(and(not(isblank($B252)),$B252=$B251,$A252&lt;&gt;$A251),and(not(isblank($A252)),$A252=$A251,$B252&lt;&gt;$B251)),"ID LISTS UNALIGNED",and($A252&lt;&gt;"",countif('5) Release_Track'!$F:$F,$A252)=0),"NO ISRC MATCH in Release_Track",and($B252&lt;&gt;"",countif('5) Release_Track'!$G:$G,$B252)=0),"NO CATALOG ID MATCH in Release_Track",iserror(vlookup($A252&amp;$B252,'5) Release_Track'!$F:$F&amp;'5) Release_Track'!$G:$G,1,0)),"NO ISRC-CATALOG ID pair MATCH in Release_Track" )</f>
        <v/>
      </c>
      <c r="E252" s="125" t="str">
        <f t="array" ref="E252">ifs(and(isblank($A252),isblank($B252)),"", not(iserror(vlookup($A252&amp;$B252,'5) Release_Track'!$F:$F&amp;'5) Release_Track'!$G:$G,1,0))),vlookup($A252&amp;$B252,{'5) Release_Track'!$F:$F&amp;'5) Release_Track'!$G:$G,'5) Release_Track'!$J:$J},2,0), or(and(not(isblank($B252)),$B252=$B251,$A252&lt;&gt;$A251),and(not(isblank($A252)),$A252=$A251,$B252&lt;&gt;$B251)),"ID LISTS UNALIGNED",and($A252&lt;&gt;"",countif('5) Release_Track'!$F:$F,$A252)=0),"NO ISRC MATCH in Release_Track",and($B252&lt;&gt;"",countif('5) Release_Track'!$G:$G,$B252)=0),"NO CATALOG ID MATCH in Release_Track",iserror(vlookup($A252&amp;$B252,'5) Release_Track'!$F:$F&amp;'5) Release_Track'!$G:$G,1,0)),"NO ISRC-CATALOG ID pair MATCH in Release_Track" )</f>
        <v/>
      </c>
      <c r="F252" s="122"/>
      <c r="G252" s="99"/>
      <c r="H252" s="178"/>
      <c r="I252" s="121" t="str">
        <f t="shared" si="6"/>
        <v/>
      </c>
      <c r="J252" s="99"/>
      <c r="K252" s="99"/>
    </row>
    <row r="253">
      <c r="B253" s="103"/>
      <c r="C253" s="121" t="str">
        <f t="array" ref="C253">ifs(and(isblank($A253),isblank($B253)),"", not(iserror(vlookup($A253&amp;$B253,'5) Release_Track'!$F:$F&amp;'5) Release_Track'!$G:$G,1,0))),vlookup($A253&amp;$B253,{'5) Release_Track'!$F:$F&amp;'5) Release_Track'!$G:$G,'5) Release_Track'!$H:$H},2,0), or(and(not(isblank($B253)),$B253=$B252,$A253&lt;&gt;$A252),and(not(isblank($A253)),$A253=$A252,$B253&lt;&gt;$B252)),"ID LISTS UNALIGNED",and($A253&lt;&gt;"",countif('5) Release_Track'!$F:$F,$A253)=0),"NO ISRC MATCH in Release_Track",and($B253&lt;&gt;"",countif('5) Release_Track'!$G:$G,$B253)=0),"NO CATALOG ID MATCH in Release_Track",iserror(vlookup($A253&amp;$B253,'5) Release_Track'!$F:$F&amp;'5) Release_Track'!$G:$G,1,0)),"NO ISRC-CATALOG ID pair MATCH in Release_Track" )</f>
        <v/>
      </c>
      <c r="D253" s="121" t="str">
        <f t="array" ref="D253">ifs(and(isblank($A253),isblank($B253)),"", not(iserror(vlookup($A253&amp;$B253,'5) Release_Track'!$F:$F&amp;'5) Release_Track'!$G:$G,1,0))),vlookup($A253&amp;$B253,{'5) Release_Track'!$F:$F&amp;'5) Release_Track'!$G:$G,'5) Release_Track'!$I:$I},2,0), or(and(not(isblank($B253)),$B253=$B252,$A253&lt;&gt;$A252),and(not(isblank($A253)),$A253=$A252,$B253&lt;&gt;$B252)),"ID LISTS UNALIGNED",and($A253&lt;&gt;"",countif('5) Release_Track'!$F:$F,$A253)=0),"NO ISRC MATCH in Release_Track",and($B253&lt;&gt;"",countif('5) Release_Track'!$G:$G,$B253)=0),"NO CATALOG ID MATCH in Release_Track",iserror(vlookup($A253&amp;$B253,'5) Release_Track'!$F:$F&amp;'5) Release_Track'!$G:$G,1,0)),"NO ISRC-CATALOG ID pair MATCH in Release_Track" )</f>
        <v/>
      </c>
      <c r="E253" s="125" t="str">
        <f t="array" ref="E253">ifs(and(isblank($A253),isblank($B253)),"", not(iserror(vlookup($A253&amp;$B253,'5) Release_Track'!$F:$F&amp;'5) Release_Track'!$G:$G,1,0))),vlookup($A253&amp;$B253,{'5) Release_Track'!$F:$F&amp;'5) Release_Track'!$G:$G,'5) Release_Track'!$J:$J},2,0), or(and(not(isblank($B253)),$B253=$B252,$A253&lt;&gt;$A252),and(not(isblank($A253)),$A253=$A252,$B253&lt;&gt;$B252)),"ID LISTS UNALIGNED",and($A253&lt;&gt;"",countif('5) Release_Track'!$F:$F,$A253)=0),"NO ISRC MATCH in Release_Track",and($B253&lt;&gt;"",countif('5) Release_Track'!$G:$G,$B253)=0),"NO CATALOG ID MATCH in Release_Track",iserror(vlookup($A253&amp;$B253,'5) Release_Track'!$F:$F&amp;'5) Release_Track'!$G:$G,1,0)),"NO ISRC-CATALOG ID pair MATCH in Release_Track" )</f>
        <v/>
      </c>
      <c r="F253" s="122"/>
      <c r="G253" s="99"/>
      <c r="H253" s="178"/>
      <c r="I253" s="121" t="str">
        <f t="shared" si="6"/>
        <v/>
      </c>
      <c r="J253" s="99"/>
      <c r="K253" s="99"/>
    </row>
    <row r="254">
      <c r="B254" s="103"/>
      <c r="C254" s="121" t="str">
        <f t="array" ref="C254">ifs(and(isblank($A254),isblank($B254)),"", not(iserror(vlookup($A254&amp;$B254,'5) Release_Track'!$F:$F&amp;'5) Release_Track'!$G:$G,1,0))),vlookup($A254&amp;$B254,{'5) Release_Track'!$F:$F&amp;'5) Release_Track'!$G:$G,'5) Release_Track'!$H:$H},2,0), or(and(not(isblank($B254)),$B254=$B253,$A254&lt;&gt;$A253),and(not(isblank($A254)),$A254=$A253,$B254&lt;&gt;$B253)),"ID LISTS UNALIGNED",and($A254&lt;&gt;"",countif('5) Release_Track'!$F:$F,$A254)=0),"NO ISRC MATCH in Release_Track",and($B254&lt;&gt;"",countif('5) Release_Track'!$G:$G,$B254)=0),"NO CATALOG ID MATCH in Release_Track",iserror(vlookup($A254&amp;$B254,'5) Release_Track'!$F:$F&amp;'5) Release_Track'!$G:$G,1,0)),"NO ISRC-CATALOG ID pair MATCH in Release_Track" )</f>
        <v/>
      </c>
      <c r="D254" s="121" t="str">
        <f t="array" ref="D254">ifs(and(isblank($A254),isblank($B254)),"", not(iserror(vlookup($A254&amp;$B254,'5) Release_Track'!$F:$F&amp;'5) Release_Track'!$G:$G,1,0))),vlookup($A254&amp;$B254,{'5) Release_Track'!$F:$F&amp;'5) Release_Track'!$G:$G,'5) Release_Track'!$I:$I},2,0), or(and(not(isblank($B254)),$B254=$B253,$A254&lt;&gt;$A253),and(not(isblank($A254)),$A254=$A253,$B254&lt;&gt;$B253)),"ID LISTS UNALIGNED",and($A254&lt;&gt;"",countif('5) Release_Track'!$F:$F,$A254)=0),"NO ISRC MATCH in Release_Track",and($B254&lt;&gt;"",countif('5) Release_Track'!$G:$G,$B254)=0),"NO CATALOG ID MATCH in Release_Track",iserror(vlookup($A254&amp;$B254,'5) Release_Track'!$F:$F&amp;'5) Release_Track'!$G:$G,1,0)),"NO ISRC-CATALOG ID pair MATCH in Release_Track" )</f>
        <v/>
      </c>
      <c r="E254" s="125" t="str">
        <f t="array" ref="E254">ifs(and(isblank($A254),isblank($B254)),"", not(iserror(vlookup($A254&amp;$B254,'5) Release_Track'!$F:$F&amp;'5) Release_Track'!$G:$G,1,0))),vlookup($A254&amp;$B254,{'5) Release_Track'!$F:$F&amp;'5) Release_Track'!$G:$G,'5) Release_Track'!$J:$J},2,0), or(and(not(isblank($B254)),$B254=$B253,$A254&lt;&gt;$A253),and(not(isblank($A254)),$A254=$A253,$B254&lt;&gt;$B253)),"ID LISTS UNALIGNED",and($A254&lt;&gt;"",countif('5) Release_Track'!$F:$F,$A254)=0),"NO ISRC MATCH in Release_Track",and($B254&lt;&gt;"",countif('5) Release_Track'!$G:$G,$B254)=0),"NO CATALOG ID MATCH in Release_Track",iserror(vlookup($A254&amp;$B254,'5) Release_Track'!$F:$F&amp;'5) Release_Track'!$G:$G,1,0)),"NO ISRC-CATALOG ID pair MATCH in Release_Track" )</f>
        <v/>
      </c>
      <c r="F254" s="122"/>
      <c r="G254" s="99"/>
      <c r="H254" s="178"/>
      <c r="I254" s="121" t="str">
        <f t="shared" si="6"/>
        <v/>
      </c>
      <c r="J254" s="99"/>
      <c r="K254" s="99"/>
    </row>
    <row r="255">
      <c r="B255" s="103"/>
      <c r="C255" s="121" t="str">
        <f t="array" ref="C255">ifs(and(isblank($A255),isblank($B255)),"", not(iserror(vlookup($A255&amp;$B255,'5) Release_Track'!$F:$F&amp;'5) Release_Track'!$G:$G,1,0))),vlookup($A255&amp;$B255,{'5) Release_Track'!$F:$F&amp;'5) Release_Track'!$G:$G,'5) Release_Track'!$H:$H},2,0), or(and(not(isblank($B255)),$B255=$B254,$A255&lt;&gt;$A254),and(not(isblank($A255)),$A255=$A254,$B255&lt;&gt;$B254)),"ID LISTS UNALIGNED",and($A255&lt;&gt;"",countif('5) Release_Track'!$F:$F,$A255)=0),"NO ISRC MATCH in Release_Track",and($B255&lt;&gt;"",countif('5) Release_Track'!$G:$G,$B255)=0),"NO CATALOG ID MATCH in Release_Track",iserror(vlookup($A255&amp;$B255,'5) Release_Track'!$F:$F&amp;'5) Release_Track'!$G:$G,1,0)),"NO ISRC-CATALOG ID pair MATCH in Release_Track" )</f>
        <v/>
      </c>
      <c r="D255" s="121" t="str">
        <f t="array" ref="D255">ifs(and(isblank($A255),isblank($B255)),"", not(iserror(vlookup($A255&amp;$B255,'5) Release_Track'!$F:$F&amp;'5) Release_Track'!$G:$G,1,0))),vlookup($A255&amp;$B255,{'5) Release_Track'!$F:$F&amp;'5) Release_Track'!$G:$G,'5) Release_Track'!$I:$I},2,0), or(and(not(isblank($B255)),$B255=$B254,$A255&lt;&gt;$A254),and(not(isblank($A255)),$A255=$A254,$B255&lt;&gt;$B254)),"ID LISTS UNALIGNED",and($A255&lt;&gt;"",countif('5) Release_Track'!$F:$F,$A255)=0),"NO ISRC MATCH in Release_Track",and($B255&lt;&gt;"",countif('5) Release_Track'!$G:$G,$B255)=0),"NO CATALOG ID MATCH in Release_Track",iserror(vlookup($A255&amp;$B255,'5) Release_Track'!$F:$F&amp;'5) Release_Track'!$G:$G,1,0)),"NO ISRC-CATALOG ID pair MATCH in Release_Track" )</f>
        <v/>
      </c>
      <c r="E255" s="125" t="str">
        <f t="array" ref="E255">ifs(and(isblank($A255),isblank($B255)),"", not(iserror(vlookup($A255&amp;$B255,'5) Release_Track'!$F:$F&amp;'5) Release_Track'!$G:$G,1,0))),vlookup($A255&amp;$B255,{'5) Release_Track'!$F:$F&amp;'5) Release_Track'!$G:$G,'5) Release_Track'!$J:$J},2,0), or(and(not(isblank($B255)),$B255=$B254,$A255&lt;&gt;$A254),and(not(isblank($A255)),$A255=$A254,$B255&lt;&gt;$B254)),"ID LISTS UNALIGNED",and($A255&lt;&gt;"",countif('5) Release_Track'!$F:$F,$A255)=0),"NO ISRC MATCH in Release_Track",and($B255&lt;&gt;"",countif('5) Release_Track'!$G:$G,$B255)=0),"NO CATALOG ID MATCH in Release_Track",iserror(vlookup($A255&amp;$B255,'5) Release_Track'!$F:$F&amp;'5) Release_Track'!$G:$G,1,0)),"NO ISRC-CATALOG ID pair MATCH in Release_Track" )</f>
        <v/>
      </c>
      <c r="F255" s="122"/>
      <c r="G255" s="99"/>
      <c r="H255" s="178"/>
      <c r="I255" s="121" t="str">
        <f t="shared" si="6"/>
        <v/>
      </c>
      <c r="J255" s="99"/>
      <c r="K255" s="99"/>
    </row>
    <row r="256">
      <c r="B256" s="103"/>
      <c r="C256" s="121" t="str">
        <f t="array" ref="C256">ifs(and(isblank($A256),isblank($B256)),"", not(iserror(vlookup($A256&amp;$B256,'5) Release_Track'!$F:$F&amp;'5) Release_Track'!$G:$G,1,0))),vlookup($A256&amp;$B256,{'5) Release_Track'!$F:$F&amp;'5) Release_Track'!$G:$G,'5) Release_Track'!$H:$H},2,0), or(and(not(isblank($B256)),$B256=$B255,$A256&lt;&gt;$A255),and(not(isblank($A256)),$A256=$A255,$B256&lt;&gt;$B255)),"ID LISTS UNALIGNED",and($A256&lt;&gt;"",countif('5) Release_Track'!$F:$F,$A256)=0),"NO ISRC MATCH in Release_Track",and($B256&lt;&gt;"",countif('5) Release_Track'!$G:$G,$B256)=0),"NO CATALOG ID MATCH in Release_Track",iserror(vlookup($A256&amp;$B256,'5) Release_Track'!$F:$F&amp;'5) Release_Track'!$G:$G,1,0)),"NO ISRC-CATALOG ID pair MATCH in Release_Track" )</f>
        <v/>
      </c>
      <c r="D256" s="121" t="str">
        <f t="array" ref="D256">ifs(and(isblank($A256),isblank($B256)),"", not(iserror(vlookup($A256&amp;$B256,'5) Release_Track'!$F:$F&amp;'5) Release_Track'!$G:$G,1,0))),vlookup($A256&amp;$B256,{'5) Release_Track'!$F:$F&amp;'5) Release_Track'!$G:$G,'5) Release_Track'!$I:$I},2,0), or(and(not(isblank($B256)),$B256=$B255,$A256&lt;&gt;$A255),and(not(isblank($A256)),$A256=$A255,$B256&lt;&gt;$B255)),"ID LISTS UNALIGNED",and($A256&lt;&gt;"",countif('5) Release_Track'!$F:$F,$A256)=0),"NO ISRC MATCH in Release_Track",and($B256&lt;&gt;"",countif('5) Release_Track'!$G:$G,$B256)=0),"NO CATALOG ID MATCH in Release_Track",iserror(vlookup($A256&amp;$B256,'5) Release_Track'!$F:$F&amp;'5) Release_Track'!$G:$G,1,0)),"NO ISRC-CATALOG ID pair MATCH in Release_Track" )</f>
        <v/>
      </c>
      <c r="E256" s="125" t="str">
        <f t="array" ref="E256">ifs(and(isblank($A256),isblank($B256)),"", not(iserror(vlookup($A256&amp;$B256,'5) Release_Track'!$F:$F&amp;'5) Release_Track'!$G:$G,1,0))),vlookup($A256&amp;$B256,{'5) Release_Track'!$F:$F&amp;'5) Release_Track'!$G:$G,'5) Release_Track'!$J:$J},2,0), or(and(not(isblank($B256)),$B256=$B255,$A256&lt;&gt;$A255),and(not(isblank($A256)),$A256=$A255,$B256&lt;&gt;$B255)),"ID LISTS UNALIGNED",and($A256&lt;&gt;"",countif('5) Release_Track'!$F:$F,$A256)=0),"NO ISRC MATCH in Release_Track",and($B256&lt;&gt;"",countif('5) Release_Track'!$G:$G,$B256)=0),"NO CATALOG ID MATCH in Release_Track",iserror(vlookup($A256&amp;$B256,'5) Release_Track'!$F:$F&amp;'5) Release_Track'!$G:$G,1,0)),"NO ISRC-CATALOG ID pair MATCH in Release_Track" )</f>
        <v/>
      </c>
      <c r="F256" s="122"/>
      <c r="G256" s="99"/>
      <c r="H256" s="178"/>
      <c r="I256" s="121" t="str">
        <f t="shared" si="6"/>
        <v/>
      </c>
      <c r="J256" s="99"/>
      <c r="K256" s="99"/>
    </row>
    <row r="257">
      <c r="B257" s="103"/>
      <c r="C257" s="121" t="str">
        <f t="array" ref="C257">ifs(and(isblank($A257),isblank($B257)),"", not(iserror(vlookup($A257&amp;$B257,'5) Release_Track'!$F:$F&amp;'5) Release_Track'!$G:$G,1,0))),vlookup($A257&amp;$B257,{'5) Release_Track'!$F:$F&amp;'5) Release_Track'!$G:$G,'5) Release_Track'!$H:$H},2,0), or(and(not(isblank($B257)),$B257=$B256,$A257&lt;&gt;$A256),and(not(isblank($A257)),$A257=$A256,$B257&lt;&gt;$B256)),"ID LISTS UNALIGNED",and($A257&lt;&gt;"",countif('5) Release_Track'!$F:$F,$A257)=0),"NO ISRC MATCH in Release_Track",and($B257&lt;&gt;"",countif('5) Release_Track'!$G:$G,$B257)=0),"NO CATALOG ID MATCH in Release_Track",iserror(vlookup($A257&amp;$B257,'5) Release_Track'!$F:$F&amp;'5) Release_Track'!$G:$G,1,0)),"NO ISRC-CATALOG ID pair MATCH in Release_Track" )</f>
        <v/>
      </c>
      <c r="D257" s="121" t="str">
        <f t="array" ref="D257">ifs(and(isblank($A257),isblank($B257)),"", not(iserror(vlookup($A257&amp;$B257,'5) Release_Track'!$F:$F&amp;'5) Release_Track'!$G:$G,1,0))),vlookup($A257&amp;$B257,{'5) Release_Track'!$F:$F&amp;'5) Release_Track'!$G:$G,'5) Release_Track'!$I:$I},2,0), or(and(not(isblank($B257)),$B257=$B256,$A257&lt;&gt;$A256),and(not(isblank($A257)),$A257=$A256,$B257&lt;&gt;$B256)),"ID LISTS UNALIGNED",and($A257&lt;&gt;"",countif('5) Release_Track'!$F:$F,$A257)=0),"NO ISRC MATCH in Release_Track",and($B257&lt;&gt;"",countif('5) Release_Track'!$G:$G,$B257)=0),"NO CATALOG ID MATCH in Release_Track",iserror(vlookup($A257&amp;$B257,'5) Release_Track'!$F:$F&amp;'5) Release_Track'!$G:$G,1,0)),"NO ISRC-CATALOG ID pair MATCH in Release_Track" )</f>
        <v/>
      </c>
      <c r="E257" s="125" t="str">
        <f t="array" ref="E257">ifs(and(isblank($A257),isblank($B257)),"", not(iserror(vlookup($A257&amp;$B257,'5) Release_Track'!$F:$F&amp;'5) Release_Track'!$G:$G,1,0))),vlookup($A257&amp;$B257,{'5) Release_Track'!$F:$F&amp;'5) Release_Track'!$G:$G,'5) Release_Track'!$J:$J},2,0), or(and(not(isblank($B257)),$B257=$B256,$A257&lt;&gt;$A256),and(not(isblank($A257)),$A257=$A256,$B257&lt;&gt;$B256)),"ID LISTS UNALIGNED",and($A257&lt;&gt;"",countif('5) Release_Track'!$F:$F,$A257)=0),"NO ISRC MATCH in Release_Track",and($B257&lt;&gt;"",countif('5) Release_Track'!$G:$G,$B257)=0),"NO CATALOG ID MATCH in Release_Track",iserror(vlookup($A257&amp;$B257,'5) Release_Track'!$F:$F&amp;'5) Release_Track'!$G:$G,1,0)),"NO ISRC-CATALOG ID pair MATCH in Release_Track" )</f>
        <v/>
      </c>
      <c r="F257" s="122"/>
      <c r="G257" s="99"/>
      <c r="H257" s="178"/>
      <c r="I257" s="121" t="str">
        <f t="shared" si="6"/>
        <v/>
      </c>
      <c r="J257" s="99"/>
      <c r="K257" s="99"/>
    </row>
    <row r="258">
      <c r="B258" s="103"/>
      <c r="C258" s="121" t="str">
        <f t="array" ref="C258">ifs(and(isblank($A258),isblank($B258)),"", not(iserror(vlookup($A258&amp;$B258,'5) Release_Track'!$F:$F&amp;'5) Release_Track'!$G:$G,1,0))),vlookup($A258&amp;$B258,{'5) Release_Track'!$F:$F&amp;'5) Release_Track'!$G:$G,'5) Release_Track'!$H:$H},2,0), or(and(not(isblank($B258)),$B258=$B257,$A258&lt;&gt;$A257),and(not(isblank($A258)),$A258=$A257,$B258&lt;&gt;$B257)),"ID LISTS UNALIGNED",and($A258&lt;&gt;"",countif('5) Release_Track'!$F:$F,$A258)=0),"NO ISRC MATCH in Release_Track",and($B258&lt;&gt;"",countif('5) Release_Track'!$G:$G,$B258)=0),"NO CATALOG ID MATCH in Release_Track",iserror(vlookup($A258&amp;$B258,'5) Release_Track'!$F:$F&amp;'5) Release_Track'!$G:$G,1,0)),"NO ISRC-CATALOG ID pair MATCH in Release_Track" )</f>
        <v/>
      </c>
      <c r="D258" s="121" t="str">
        <f t="array" ref="D258">ifs(and(isblank($A258),isblank($B258)),"", not(iserror(vlookup($A258&amp;$B258,'5) Release_Track'!$F:$F&amp;'5) Release_Track'!$G:$G,1,0))),vlookup($A258&amp;$B258,{'5) Release_Track'!$F:$F&amp;'5) Release_Track'!$G:$G,'5) Release_Track'!$I:$I},2,0), or(and(not(isblank($B258)),$B258=$B257,$A258&lt;&gt;$A257),and(not(isblank($A258)),$A258=$A257,$B258&lt;&gt;$B257)),"ID LISTS UNALIGNED",and($A258&lt;&gt;"",countif('5) Release_Track'!$F:$F,$A258)=0),"NO ISRC MATCH in Release_Track",and($B258&lt;&gt;"",countif('5) Release_Track'!$G:$G,$B258)=0),"NO CATALOG ID MATCH in Release_Track",iserror(vlookup($A258&amp;$B258,'5) Release_Track'!$F:$F&amp;'5) Release_Track'!$G:$G,1,0)),"NO ISRC-CATALOG ID pair MATCH in Release_Track" )</f>
        <v/>
      </c>
      <c r="E258" s="125" t="str">
        <f t="array" ref="E258">ifs(and(isblank($A258),isblank($B258)),"", not(iserror(vlookup($A258&amp;$B258,'5) Release_Track'!$F:$F&amp;'5) Release_Track'!$G:$G,1,0))),vlookup($A258&amp;$B258,{'5) Release_Track'!$F:$F&amp;'5) Release_Track'!$G:$G,'5) Release_Track'!$J:$J},2,0), or(and(not(isblank($B258)),$B258=$B257,$A258&lt;&gt;$A257),and(not(isblank($A258)),$A258=$A257,$B258&lt;&gt;$B257)),"ID LISTS UNALIGNED",and($A258&lt;&gt;"",countif('5) Release_Track'!$F:$F,$A258)=0),"NO ISRC MATCH in Release_Track",and($B258&lt;&gt;"",countif('5) Release_Track'!$G:$G,$B258)=0),"NO CATALOG ID MATCH in Release_Track",iserror(vlookup($A258&amp;$B258,'5) Release_Track'!$F:$F&amp;'5) Release_Track'!$G:$G,1,0)),"NO ISRC-CATALOG ID pair MATCH in Release_Track" )</f>
        <v/>
      </c>
      <c r="F258" s="122"/>
      <c r="G258" s="99"/>
      <c r="H258" s="178"/>
      <c r="I258" s="121" t="str">
        <f t="shared" si="6"/>
        <v/>
      </c>
      <c r="J258" s="99"/>
      <c r="K258" s="99"/>
    </row>
    <row r="259">
      <c r="B259" s="103"/>
      <c r="C259" s="121" t="str">
        <f t="array" ref="C259">ifs(and(isblank($A259),isblank($B259)),"", not(iserror(vlookup($A259&amp;$B259,'5) Release_Track'!$F:$F&amp;'5) Release_Track'!$G:$G,1,0))),vlookup($A259&amp;$B259,{'5) Release_Track'!$F:$F&amp;'5) Release_Track'!$G:$G,'5) Release_Track'!$H:$H},2,0), or(and(not(isblank($B259)),$B259=$B258,$A259&lt;&gt;$A258),and(not(isblank($A259)),$A259=$A258,$B259&lt;&gt;$B258)),"ID LISTS UNALIGNED",and($A259&lt;&gt;"",countif('5) Release_Track'!$F:$F,$A259)=0),"NO ISRC MATCH in Release_Track",and($B259&lt;&gt;"",countif('5) Release_Track'!$G:$G,$B259)=0),"NO CATALOG ID MATCH in Release_Track",iserror(vlookup($A259&amp;$B259,'5) Release_Track'!$F:$F&amp;'5) Release_Track'!$G:$G,1,0)),"NO ISRC-CATALOG ID pair MATCH in Release_Track" )</f>
        <v/>
      </c>
      <c r="D259" s="121" t="str">
        <f t="array" ref="D259">ifs(and(isblank($A259),isblank($B259)),"", not(iserror(vlookup($A259&amp;$B259,'5) Release_Track'!$F:$F&amp;'5) Release_Track'!$G:$G,1,0))),vlookup($A259&amp;$B259,{'5) Release_Track'!$F:$F&amp;'5) Release_Track'!$G:$G,'5) Release_Track'!$I:$I},2,0), or(and(not(isblank($B259)),$B259=$B258,$A259&lt;&gt;$A258),and(not(isblank($A259)),$A259=$A258,$B259&lt;&gt;$B258)),"ID LISTS UNALIGNED",and($A259&lt;&gt;"",countif('5) Release_Track'!$F:$F,$A259)=0),"NO ISRC MATCH in Release_Track",and($B259&lt;&gt;"",countif('5) Release_Track'!$G:$G,$B259)=0),"NO CATALOG ID MATCH in Release_Track",iserror(vlookup($A259&amp;$B259,'5) Release_Track'!$F:$F&amp;'5) Release_Track'!$G:$G,1,0)),"NO ISRC-CATALOG ID pair MATCH in Release_Track" )</f>
        <v/>
      </c>
      <c r="E259" s="125" t="str">
        <f t="array" ref="E259">ifs(and(isblank($A259),isblank($B259)),"", not(iserror(vlookup($A259&amp;$B259,'5) Release_Track'!$F:$F&amp;'5) Release_Track'!$G:$G,1,0))),vlookup($A259&amp;$B259,{'5) Release_Track'!$F:$F&amp;'5) Release_Track'!$G:$G,'5) Release_Track'!$J:$J},2,0), or(and(not(isblank($B259)),$B259=$B258,$A259&lt;&gt;$A258),and(not(isblank($A259)),$A259=$A258,$B259&lt;&gt;$B258)),"ID LISTS UNALIGNED",and($A259&lt;&gt;"",countif('5) Release_Track'!$F:$F,$A259)=0),"NO ISRC MATCH in Release_Track",and($B259&lt;&gt;"",countif('5) Release_Track'!$G:$G,$B259)=0),"NO CATALOG ID MATCH in Release_Track",iserror(vlookup($A259&amp;$B259,'5) Release_Track'!$F:$F&amp;'5) Release_Track'!$G:$G,1,0)),"NO ISRC-CATALOG ID pair MATCH in Release_Track" )</f>
        <v/>
      </c>
      <c r="F259" s="122"/>
      <c r="G259" s="99"/>
      <c r="H259" s="178"/>
      <c r="I259" s="121" t="str">
        <f t="shared" si="6"/>
        <v/>
      </c>
      <c r="J259" s="99"/>
      <c r="K259" s="99"/>
    </row>
    <row r="260">
      <c r="B260" s="103"/>
      <c r="C260" s="121" t="str">
        <f t="array" ref="C260">ifs(and(isblank($A260),isblank($B260)),"", not(iserror(vlookup($A260&amp;$B260,'5) Release_Track'!$F:$F&amp;'5) Release_Track'!$G:$G,1,0))),vlookup($A260&amp;$B260,{'5) Release_Track'!$F:$F&amp;'5) Release_Track'!$G:$G,'5) Release_Track'!$H:$H},2,0), or(and(not(isblank($B260)),$B260=$B259,$A260&lt;&gt;$A259),and(not(isblank($A260)),$A260=$A259,$B260&lt;&gt;$B259)),"ID LISTS UNALIGNED",and($A260&lt;&gt;"",countif('5) Release_Track'!$F:$F,$A260)=0),"NO ISRC MATCH in Release_Track",and($B260&lt;&gt;"",countif('5) Release_Track'!$G:$G,$B260)=0),"NO CATALOG ID MATCH in Release_Track",iserror(vlookup($A260&amp;$B260,'5) Release_Track'!$F:$F&amp;'5) Release_Track'!$G:$G,1,0)),"NO ISRC-CATALOG ID pair MATCH in Release_Track" )</f>
        <v/>
      </c>
      <c r="D260" s="121" t="str">
        <f t="array" ref="D260">ifs(and(isblank($A260),isblank($B260)),"", not(iserror(vlookup($A260&amp;$B260,'5) Release_Track'!$F:$F&amp;'5) Release_Track'!$G:$G,1,0))),vlookup($A260&amp;$B260,{'5) Release_Track'!$F:$F&amp;'5) Release_Track'!$G:$G,'5) Release_Track'!$I:$I},2,0), or(and(not(isblank($B260)),$B260=$B259,$A260&lt;&gt;$A259),and(not(isblank($A260)),$A260=$A259,$B260&lt;&gt;$B259)),"ID LISTS UNALIGNED",and($A260&lt;&gt;"",countif('5) Release_Track'!$F:$F,$A260)=0),"NO ISRC MATCH in Release_Track",and($B260&lt;&gt;"",countif('5) Release_Track'!$G:$G,$B260)=0),"NO CATALOG ID MATCH in Release_Track",iserror(vlookup($A260&amp;$B260,'5) Release_Track'!$F:$F&amp;'5) Release_Track'!$G:$G,1,0)),"NO ISRC-CATALOG ID pair MATCH in Release_Track" )</f>
        <v/>
      </c>
      <c r="E260" s="125" t="str">
        <f t="array" ref="E260">ifs(and(isblank($A260),isblank($B260)),"", not(iserror(vlookup($A260&amp;$B260,'5) Release_Track'!$F:$F&amp;'5) Release_Track'!$G:$G,1,0))),vlookup($A260&amp;$B260,{'5) Release_Track'!$F:$F&amp;'5) Release_Track'!$G:$G,'5) Release_Track'!$J:$J},2,0), or(and(not(isblank($B260)),$B260=$B259,$A260&lt;&gt;$A259),and(not(isblank($A260)),$A260=$A259,$B260&lt;&gt;$B259)),"ID LISTS UNALIGNED",and($A260&lt;&gt;"",countif('5) Release_Track'!$F:$F,$A260)=0),"NO ISRC MATCH in Release_Track",and($B260&lt;&gt;"",countif('5) Release_Track'!$G:$G,$B260)=0),"NO CATALOG ID MATCH in Release_Track",iserror(vlookup($A260&amp;$B260,'5) Release_Track'!$F:$F&amp;'5) Release_Track'!$G:$G,1,0)),"NO ISRC-CATALOG ID pair MATCH in Release_Track" )</f>
        <v/>
      </c>
      <c r="F260" s="122"/>
      <c r="G260" s="99"/>
      <c r="H260" s="178"/>
      <c r="I260" s="121" t="str">
        <f t="shared" si="6"/>
        <v/>
      </c>
      <c r="J260" s="99"/>
      <c r="K260" s="99"/>
    </row>
    <row r="261">
      <c r="B261" s="103"/>
      <c r="C261" s="121" t="str">
        <f t="array" ref="C261">ifs(and(isblank($A261),isblank($B261)),"", not(iserror(vlookup($A261&amp;$B261,'5) Release_Track'!$F:$F&amp;'5) Release_Track'!$G:$G,1,0))),vlookup($A261&amp;$B261,{'5) Release_Track'!$F:$F&amp;'5) Release_Track'!$G:$G,'5) Release_Track'!$H:$H},2,0), or(and(not(isblank($B261)),$B261=$B260,$A261&lt;&gt;$A260),and(not(isblank($A261)),$A261=$A260,$B261&lt;&gt;$B260)),"ID LISTS UNALIGNED",and($A261&lt;&gt;"",countif('5) Release_Track'!$F:$F,$A261)=0),"NO ISRC MATCH in Release_Track",and($B261&lt;&gt;"",countif('5) Release_Track'!$G:$G,$B261)=0),"NO CATALOG ID MATCH in Release_Track",iserror(vlookup($A261&amp;$B261,'5) Release_Track'!$F:$F&amp;'5) Release_Track'!$G:$G,1,0)),"NO ISRC-CATALOG ID pair MATCH in Release_Track" )</f>
        <v/>
      </c>
      <c r="D261" s="121" t="str">
        <f t="array" ref="D261">ifs(and(isblank($A261),isblank($B261)),"", not(iserror(vlookup($A261&amp;$B261,'5) Release_Track'!$F:$F&amp;'5) Release_Track'!$G:$G,1,0))),vlookup($A261&amp;$B261,{'5) Release_Track'!$F:$F&amp;'5) Release_Track'!$G:$G,'5) Release_Track'!$I:$I},2,0), or(and(not(isblank($B261)),$B261=$B260,$A261&lt;&gt;$A260),and(not(isblank($A261)),$A261=$A260,$B261&lt;&gt;$B260)),"ID LISTS UNALIGNED",and($A261&lt;&gt;"",countif('5) Release_Track'!$F:$F,$A261)=0),"NO ISRC MATCH in Release_Track",and($B261&lt;&gt;"",countif('5) Release_Track'!$G:$G,$B261)=0),"NO CATALOG ID MATCH in Release_Track",iserror(vlookup($A261&amp;$B261,'5) Release_Track'!$F:$F&amp;'5) Release_Track'!$G:$G,1,0)),"NO ISRC-CATALOG ID pair MATCH in Release_Track" )</f>
        <v/>
      </c>
      <c r="E261" s="125" t="str">
        <f t="array" ref="E261">ifs(and(isblank($A261),isblank($B261)),"", not(iserror(vlookup($A261&amp;$B261,'5) Release_Track'!$F:$F&amp;'5) Release_Track'!$G:$G,1,0))),vlookup($A261&amp;$B261,{'5) Release_Track'!$F:$F&amp;'5) Release_Track'!$G:$G,'5) Release_Track'!$J:$J},2,0), or(and(not(isblank($B261)),$B261=$B260,$A261&lt;&gt;$A260),and(not(isblank($A261)),$A261=$A260,$B261&lt;&gt;$B260)),"ID LISTS UNALIGNED",and($A261&lt;&gt;"",countif('5) Release_Track'!$F:$F,$A261)=0),"NO ISRC MATCH in Release_Track",and($B261&lt;&gt;"",countif('5) Release_Track'!$G:$G,$B261)=0),"NO CATALOG ID MATCH in Release_Track",iserror(vlookup($A261&amp;$B261,'5) Release_Track'!$F:$F&amp;'5) Release_Track'!$G:$G,1,0)),"NO ISRC-CATALOG ID pair MATCH in Release_Track" )</f>
        <v/>
      </c>
      <c r="F261" s="122"/>
      <c r="G261" s="99"/>
      <c r="H261" s="178"/>
      <c r="I261" s="121" t="str">
        <f t="shared" si="6"/>
        <v/>
      </c>
      <c r="J261" s="99"/>
      <c r="K261" s="99"/>
    </row>
    <row r="262">
      <c r="B262" s="103"/>
      <c r="C262" s="121" t="str">
        <f t="array" ref="C262">ifs(and(isblank($A262),isblank($B262)),"", not(iserror(vlookup($A262&amp;$B262,'5) Release_Track'!$F:$F&amp;'5) Release_Track'!$G:$G,1,0))),vlookup($A262&amp;$B262,{'5) Release_Track'!$F:$F&amp;'5) Release_Track'!$G:$G,'5) Release_Track'!$H:$H},2,0), or(and(not(isblank($B262)),$B262=$B261,$A262&lt;&gt;$A261),and(not(isblank($A262)),$A262=$A261,$B262&lt;&gt;$B261)),"ID LISTS UNALIGNED",and($A262&lt;&gt;"",countif('5) Release_Track'!$F:$F,$A262)=0),"NO ISRC MATCH in Release_Track",and($B262&lt;&gt;"",countif('5) Release_Track'!$G:$G,$B262)=0),"NO CATALOG ID MATCH in Release_Track",iserror(vlookup($A262&amp;$B262,'5) Release_Track'!$F:$F&amp;'5) Release_Track'!$G:$G,1,0)),"NO ISRC-CATALOG ID pair MATCH in Release_Track" )</f>
        <v/>
      </c>
      <c r="D262" s="121" t="str">
        <f t="array" ref="D262">ifs(and(isblank($A262),isblank($B262)),"", not(iserror(vlookup($A262&amp;$B262,'5) Release_Track'!$F:$F&amp;'5) Release_Track'!$G:$G,1,0))),vlookup($A262&amp;$B262,{'5) Release_Track'!$F:$F&amp;'5) Release_Track'!$G:$G,'5) Release_Track'!$I:$I},2,0), or(and(not(isblank($B262)),$B262=$B261,$A262&lt;&gt;$A261),and(not(isblank($A262)),$A262=$A261,$B262&lt;&gt;$B261)),"ID LISTS UNALIGNED",and($A262&lt;&gt;"",countif('5) Release_Track'!$F:$F,$A262)=0),"NO ISRC MATCH in Release_Track",and($B262&lt;&gt;"",countif('5) Release_Track'!$G:$G,$B262)=0),"NO CATALOG ID MATCH in Release_Track",iserror(vlookup($A262&amp;$B262,'5) Release_Track'!$F:$F&amp;'5) Release_Track'!$G:$G,1,0)),"NO ISRC-CATALOG ID pair MATCH in Release_Track" )</f>
        <v/>
      </c>
      <c r="E262" s="125" t="str">
        <f t="array" ref="E262">ifs(and(isblank($A262),isblank($B262)),"", not(iserror(vlookup($A262&amp;$B262,'5) Release_Track'!$F:$F&amp;'5) Release_Track'!$G:$G,1,0))),vlookup($A262&amp;$B262,{'5) Release_Track'!$F:$F&amp;'5) Release_Track'!$G:$G,'5) Release_Track'!$J:$J},2,0), or(and(not(isblank($B262)),$B262=$B261,$A262&lt;&gt;$A261),and(not(isblank($A262)),$A262=$A261,$B262&lt;&gt;$B261)),"ID LISTS UNALIGNED",and($A262&lt;&gt;"",countif('5) Release_Track'!$F:$F,$A262)=0),"NO ISRC MATCH in Release_Track",and($B262&lt;&gt;"",countif('5) Release_Track'!$G:$G,$B262)=0),"NO CATALOG ID MATCH in Release_Track",iserror(vlookup($A262&amp;$B262,'5) Release_Track'!$F:$F&amp;'5) Release_Track'!$G:$G,1,0)),"NO ISRC-CATALOG ID pair MATCH in Release_Track" )</f>
        <v/>
      </c>
      <c r="F262" s="122"/>
      <c r="G262" s="99"/>
      <c r="H262" s="178"/>
      <c r="I262" s="121" t="str">
        <f t="shared" si="6"/>
        <v/>
      </c>
      <c r="J262" s="99"/>
      <c r="K262" s="99"/>
    </row>
    <row r="263">
      <c r="B263" s="103"/>
      <c r="C263" s="121" t="str">
        <f t="array" ref="C263">ifs(and(isblank($A263),isblank($B263)),"", not(iserror(vlookup($A263&amp;$B263,'5) Release_Track'!$F:$F&amp;'5) Release_Track'!$G:$G,1,0))),vlookup($A263&amp;$B263,{'5) Release_Track'!$F:$F&amp;'5) Release_Track'!$G:$G,'5) Release_Track'!$H:$H},2,0), or(and(not(isblank($B263)),$B263=$B262,$A263&lt;&gt;$A262),and(not(isblank($A263)),$A263=$A262,$B263&lt;&gt;$B262)),"ID LISTS UNALIGNED",and($A263&lt;&gt;"",countif('5) Release_Track'!$F:$F,$A263)=0),"NO ISRC MATCH in Release_Track",and($B263&lt;&gt;"",countif('5) Release_Track'!$G:$G,$B263)=0),"NO CATALOG ID MATCH in Release_Track",iserror(vlookup($A263&amp;$B263,'5) Release_Track'!$F:$F&amp;'5) Release_Track'!$G:$G,1,0)),"NO ISRC-CATALOG ID pair MATCH in Release_Track" )</f>
        <v/>
      </c>
      <c r="D263" s="121" t="str">
        <f t="array" ref="D263">ifs(and(isblank($A263),isblank($B263)),"", not(iserror(vlookup($A263&amp;$B263,'5) Release_Track'!$F:$F&amp;'5) Release_Track'!$G:$G,1,0))),vlookup($A263&amp;$B263,{'5) Release_Track'!$F:$F&amp;'5) Release_Track'!$G:$G,'5) Release_Track'!$I:$I},2,0), or(and(not(isblank($B263)),$B263=$B262,$A263&lt;&gt;$A262),and(not(isblank($A263)),$A263=$A262,$B263&lt;&gt;$B262)),"ID LISTS UNALIGNED",and($A263&lt;&gt;"",countif('5) Release_Track'!$F:$F,$A263)=0),"NO ISRC MATCH in Release_Track",and($B263&lt;&gt;"",countif('5) Release_Track'!$G:$G,$B263)=0),"NO CATALOG ID MATCH in Release_Track",iserror(vlookup($A263&amp;$B263,'5) Release_Track'!$F:$F&amp;'5) Release_Track'!$G:$G,1,0)),"NO ISRC-CATALOG ID pair MATCH in Release_Track" )</f>
        <v/>
      </c>
      <c r="E263" s="125" t="str">
        <f t="array" ref="E263">ifs(and(isblank($A263),isblank($B263)),"", not(iserror(vlookup($A263&amp;$B263,'5) Release_Track'!$F:$F&amp;'5) Release_Track'!$G:$G,1,0))),vlookup($A263&amp;$B263,{'5) Release_Track'!$F:$F&amp;'5) Release_Track'!$G:$G,'5) Release_Track'!$J:$J},2,0), or(and(not(isblank($B263)),$B263=$B262,$A263&lt;&gt;$A262),and(not(isblank($A263)),$A263=$A262,$B263&lt;&gt;$B262)),"ID LISTS UNALIGNED",and($A263&lt;&gt;"",countif('5) Release_Track'!$F:$F,$A263)=0),"NO ISRC MATCH in Release_Track",and($B263&lt;&gt;"",countif('5) Release_Track'!$G:$G,$B263)=0),"NO CATALOG ID MATCH in Release_Track",iserror(vlookup($A263&amp;$B263,'5) Release_Track'!$F:$F&amp;'5) Release_Track'!$G:$G,1,0)),"NO ISRC-CATALOG ID pair MATCH in Release_Track" )</f>
        <v/>
      </c>
      <c r="F263" s="122"/>
      <c r="G263" s="99"/>
      <c r="H263" s="178"/>
      <c r="I263" s="121" t="str">
        <f t="shared" si="6"/>
        <v/>
      </c>
      <c r="J263" s="99"/>
      <c r="K263" s="99"/>
    </row>
    <row r="264">
      <c r="B264" s="103"/>
      <c r="C264" s="121" t="str">
        <f t="array" ref="C264">ifs(and(isblank($A264),isblank($B264)),"", not(iserror(vlookup($A264&amp;$B264,'5) Release_Track'!$F:$F&amp;'5) Release_Track'!$G:$G,1,0))),vlookup($A264&amp;$B264,{'5) Release_Track'!$F:$F&amp;'5) Release_Track'!$G:$G,'5) Release_Track'!$H:$H},2,0), or(and(not(isblank($B264)),$B264=$B263,$A264&lt;&gt;$A263),and(not(isblank($A264)),$A264=$A263,$B264&lt;&gt;$B263)),"ID LISTS UNALIGNED",and($A264&lt;&gt;"",countif('5) Release_Track'!$F:$F,$A264)=0),"NO ISRC MATCH in Release_Track",and($B264&lt;&gt;"",countif('5) Release_Track'!$G:$G,$B264)=0),"NO CATALOG ID MATCH in Release_Track",iserror(vlookup($A264&amp;$B264,'5) Release_Track'!$F:$F&amp;'5) Release_Track'!$G:$G,1,0)),"NO ISRC-CATALOG ID pair MATCH in Release_Track" )</f>
        <v/>
      </c>
      <c r="D264" s="121" t="str">
        <f t="array" ref="D264">ifs(and(isblank($A264),isblank($B264)),"", not(iserror(vlookup($A264&amp;$B264,'5) Release_Track'!$F:$F&amp;'5) Release_Track'!$G:$G,1,0))),vlookup($A264&amp;$B264,{'5) Release_Track'!$F:$F&amp;'5) Release_Track'!$G:$G,'5) Release_Track'!$I:$I},2,0), or(and(not(isblank($B264)),$B264=$B263,$A264&lt;&gt;$A263),and(not(isblank($A264)),$A264=$A263,$B264&lt;&gt;$B263)),"ID LISTS UNALIGNED",and($A264&lt;&gt;"",countif('5) Release_Track'!$F:$F,$A264)=0),"NO ISRC MATCH in Release_Track",and($B264&lt;&gt;"",countif('5) Release_Track'!$G:$G,$B264)=0),"NO CATALOG ID MATCH in Release_Track",iserror(vlookup($A264&amp;$B264,'5) Release_Track'!$F:$F&amp;'5) Release_Track'!$G:$G,1,0)),"NO ISRC-CATALOG ID pair MATCH in Release_Track" )</f>
        <v/>
      </c>
      <c r="E264" s="125" t="str">
        <f t="array" ref="E264">ifs(and(isblank($A264),isblank($B264)),"", not(iserror(vlookup($A264&amp;$B264,'5) Release_Track'!$F:$F&amp;'5) Release_Track'!$G:$G,1,0))),vlookup($A264&amp;$B264,{'5) Release_Track'!$F:$F&amp;'5) Release_Track'!$G:$G,'5) Release_Track'!$J:$J},2,0), or(and(not(isblank($B264)),$B264=$B263,$A264&lt;&gt;$A263),and(not(isblank($A264)),$A264=$A263,$B264&lt;&gt;$B263)),"ID LISTS UNALIGNED",and($A264&lt;&gt;"",countif('5) Release_Track'!$F:$F,$A264)=0),"NO ISRC MATCH in Release_Track",and($B264&lt;&gt;"",countif('5) Release_Track'!$G:$G,$B264)=0),"NO CATALOG ID MATCH in Release_Track",iserror(vlookup($A264&amp;$B264,'5) Release_Track'!$F:$F&amp;'5) Release_Track'!$G:$G,1,0)),"NO ISRC-CATALOG ID pair MATCH in Release_Track" )</f>
        <v/>
      </c>
      <c r="F264" s="122"/>
      <c r="G264" s="99"/>
      <c r="H264" s="178"/>
      <c r="I264" s="121" t="str">
        <f t="shared" si="6"/>
        <v/>
      </c>
      <c r="J264" s="99"/>
      <c r="K264" s="99"/>
    </row>
    <row r="265">
      <c r="B265" s="103"/>
      <c r="C265" s="121" t="str">
        <f t="array" ref="C265">ifs(and(isblank($A265),isblank($B265)),"", not(iserror(vlookup($A265&amp;$B265,'5) Release_Track'!$F:$F&amp;'5) Release_Track'!$G:$G,1,0))),vlookup($A265&amp;$B265,{'5) Release_Track'!$F:$F&amp;'5) Release_Track'!$G:$G,'5) Release_Track'!$H:$H},2,0), or(and(not(isblank($B265)),$B265=$B264,$A265&lt;&gt;$A264),and(not(isblank($A265)),$A265=$A264,$B265&lt;&gt;$B264)),"ID LISTS UNALIGNED",and($A265&lt;&gt;"",countif('5) Release_Track'!$F:$F,$A265)=0),"NO ISRC MATCH in Release_Track",and($B265&lt;&gt;"",countif('5) Release_Track'!$G:$G,$B265)=0),"NO CATALOG ID MATCH in Release_Track",iserror(vlookup($A265&amp;$B265,'5) Release_Track'!$F:$F&amp;'5) Release_Track'!$G:$G,1,0)),"NO ISRC-CATALOG ID pair MATCH in Release_Track" )</f>
        <v/>
      </c>
      <c r="D265" s="121" t="str">
        <f t="array" ref="D265">ifs(and(isblank($A265),isblank($B265)),"", not(iserror(vlookup($A265&amp;$B265,'5) Release_Track'!$F:$F&amp;'5) Release_Track'!$G:$G,1,0))),vlookup($A265&amp;$B265,{'5) Release_Track'!$F:$F&amp;'5) Release_Track'!$G:$G,'5) Release_Track'!$I:$I},2,0), or(and(not(isblank($B265)),$B265=$B264,$A265&lt;&gt;$A264),and(not(isblank($A265)),$A265=$A264,$B265&lt;&gt;$B264)),"ID LISTS UNALIGNED",and($A265&lt;&gt;"",countif('5) Release_Track'!$F:$F,$A265)=0),"NO ISRC MATCH in Release_Track",and($B265&lt;&gt;"",countif('5) Release_Track'!$G:$G,$B265)=0),"NO CATALOG ID MATCH in Release_Track",iserror(vlookup($A265&amp;$B265,'5) Release_Track'!$F:$F&amp;'5) Release_Track'!$G:$G,1,0)),"NO ISRC-CATALOG ID pair MATCH in Release_Track" )</f>
        <v/>
      </c>
      <c r="E265" s="125" t="str">
        <f t="array" ref="E265">ifs(and(isblank($A265),isblank($B265)),"", not(iserror(vlookup($A265&amp;$B265,'5) Release_Track'!$F:$F&amp;'5) Release_Track'!$G:$G,1,0))),vlookup($A265&amp;$B265,{'5) Release_Track'!$F:$F&amp;'5) Release_Track'!$G:$G,'5) Release_Track'!$J:$J},2,0), or(and(not(isblank($B265)),$B265=$B264,$A265&lt;&gt;$A264),and(not(isblank($A265)),$A265=$A264,$B265&lt;&gt;$B264)),"ID LISTS UNALIGNED",and($A265&lt;&gt;"",countif('5) Release_Track'!$F:$F,$A265)=0),"NO ISRC MATCH in Release_Track",and($B265&lt;&gt;"",countif('5) Release_Track'!$G:$G,$B265)=0),"NO CATALOG ID MATCH in Release_Track",iserror(vlookup($A265&amp;$B265,'5) Release_Track'!$F:$F&amp;'5) Release_Track'!$G:$G,1,0)),"NO ISRC-CATALOG ID pair MATCH in Release_Track" )</f>
        <v/>
      </c>
      <c r="F265" s="122"/>
      <c r="G265" s="99"/>
      <c r="H265" s="178"/>
      <c r="I265" s="121" t="str">
        <f t="shared" si="6"/>
        <v/>
      </c>
      <c r="J265" s="99"/>
      <c r="K265" s="99"/>
    </row>
    <row r="266">
      <c r="B266" s="103"/>
      <c r="C266" s="121" t="str">
        <f t="array" ref="C266">ifs(and(isblank($A266),isblank($B266)),"", not(iserror(vlookup($A266&amp;$B266,'5) Release_Track'!$F:$F&amp;'5) Release_Track'!$G:$G,1,0))),vlookup($A266&amp;$B266,{'5) Release_Track'!$F:$F&amp;'5) Release_Track'!$G:$G,'5) Release_Track'!$H:$H},2,0), or(and(not(isblank($B266)),$B266=$B265,$A266&lt;&gt;$A265),and(not(isblank($A266)),$A266=$A265,$B266&lt;&gt;$B265)),"ID LISTS UNALIGNED",and($A266&lt;&gt;"",countif('5) Release_Track'!$F:$F,$A266)=0),"NO ISRC MATCH in Release_Track",and($B266&lt;&gt;"",countif('5) Release_Track'!$G:$G,$B266)=0),"NO CATALOG ID MATCH in Release_Track",iserror(vlookup($A266&amp;$B266,'5) Release_Track'!$F:$F&amp;'5) Release_Track'!$G:$G,1,0)),"NO ISRC-CATALOG ID pair MATCH in Release_Track" )</f>
        <v/>
      </c>
      <c r="D266" s="121" t="str">
        <f t="array" ref="D266">ifs(and(isblank($A266),isblank($B266)),"", not(iserror(vlookup($A266&amp;$B266,'5) Release_Track'!$F:$F&amp;'5) Release_Track'!$G:$G,1,0))),vlookup($A266&amp;$B266,{'5) Release_Track'!$F:$F&amp;'5) Release_Track'!$G:$G,'5) Release_Track'!$I:$I},2,0), or(and(not(isblank($B266)),$B266=$B265,$A266&lt;&gt;$A265),and(not(isblank($A266)),$A266=$A265,$B266&lt;&gt;$B265)),"ID LISTS UNALIGNED",and($A266&lt;&gt;"",countif('5) Release_Track'!$F:$F,$A266)=0),"NO ISRC MATCH in Release_Track",and($B266&lt;&gt;"",countif('5) Release_Track'!$G:$G,$B266)=0),"NO CATALOG ID MATCH in Release_Track",iserror(vlookup($A266&amp;$B266,'5) Release_Track'!$F:$F&amp;'5) Release_Track'!$G:$G,1,0)),"NO ISRC-CATALOG ID pair MATCH in Release_Track" )</f>
        <v/>
      </c>
      <c r="E266" s="125" t="str">
        <f t="array" ref="E266">ifs(and(isblank($A266),isblank($B266)),"", not(iserror(vlookup($A266&amp;$B266,'5) Release_Track'!$F:$F&amp;'5) Release_Track'!$G:$G,1,0))),vlookup($A266&amp;$B266,{'5) Release_Track'!$F:$F&amp;'5) Release_Track'!$G:$G,'5) Release_Track'!$J:$J},2,0), or(and(not(isblank($B266)),$B266=$B265,$A266&lt;&gt;$A265),and(not(isblank($A266)),$A266=$A265,$B266&lt;&gt;$B265)),"ID LISTS UNALIGNED",and($A266&lt;&gt;"",countif('5) Release_Track'!$F:$F,$A266)=0),"NO ISRC MATCH in Release_Track",and($B266&lt;&gt;"",countif('5) Release_Track'!$G:$G,$B266)=0),"NO CATALOG ID MATCH in Release_Track",iserror(vlookup($A266&amp;$B266,'5) Release_Track'!$F:$F&amp;'5) Release_Track'!$G:$G,1,0)),"NO ISRC-CATALOG ID pair MATCH in Release_Track" )</f>
        <v/>
      </c>
      <c r="F266" s="122"/>
      <c r="G266" s="99"/>
      <c r="H266" s="178"/>
      <c r="I266" s="121" t="str">
        <f t="shared" si="6"/>
        <v/>
      </c>
      <c r="J266" s="99"/>
      <c r="K266" s="99"/>
    </row>
    <row r="267">
      <c r="B267" s="103"/>
      <c r="C267" s="121" t="str">
        <f t="array" ref="C267">ifs(and(isblank($A267),isblank($B267)),"", not(iserror(vlookup($A267&amp;$B267,'5) Release_Track'!$F:$F&amp;'5) Release_Track'!$G:$G,1,0))),vlookup($A267&amp;$B267,{'5) Release_Track'!$F:$F&amp;'5) Release_Track'!$G:$G,'5) Release_Track'!$H:$H},2,0), or(and(not(isblank($B267)),$B267=$B266,$A267&lt;&gt;$A266),and(not(isblank($A267)),$A267=$A266,$B267&lt;&gt;$B266)),"ID LISTS UNALIGNED",and($A267&lt;&gt;"",countif('5) Release_Track'!$F:$F,$A267)=0),"NO ISRC MATCH in Release_Track",and($B267&lt;&gt;"",countif('5) Release_Track'!$G:$G,$B267)=0),"NO CATALOG ID MATCH in Release_Track",iserror(vlookup($A267&amp;$B267,'5) Release_Track'!$F:$F&amp;'5) Release_Track'!$G:$G,1,0)),"NO ISRC-CATALOG ID pair MATCH in Release_Track" )</f>
        <v/>
      </c>
      <c r="D267" s="121" t="str">
        <f t="array" ref="D267">ifs(and(isblank($A267),isblank($B267)),"", not(iserror(vlookup($A267&amp;$B267,'5) Release_Track'!$F:$F&amp;'5) Release_Track'!$G:$G,1,0))),vlookup($A267&amp;$B267,{'5) Release_Track'!$F:$F&amp;'5) Release_Track'!$G:$G,'5) Release_Track'!$I:$I},2,0), or(and(not(isblank($B267)),$B267=$B266,$A267&lt;&gt;$A266),and(not(isblank($A267)),$A267=$A266,$B267&lt;&gt;$B266)),"ID LISTS UNALIGNED",and($A267&lt;&gt;"",countif('5) Release_Track'!$F:$F,$A267)=0),"NO ISRC MATCH in Release_Track",and($B267&lt;&gt;"",countif('5) Release_Track'!$G:$G,$B267)=0),"NO CATALOG ID MATCH in Release_Track",iserror(vlookup($A267&amp;$B267,'5) Release_Track'!$F:$F&amp;'5) Release_Track'!$G:$G,1,0)),"NO ISRC-CATALOG ID pair MATCH in Release_Track" )</f>
        <v/>
      </c>
      <c r="E267" s="125" t="str">
        <f t="array" ref="E267">ifs(and(isblank($A267),isblank($B267)),"", not(iserror(vlookup($A267&amp;$B267,'5) Release_Track'!$F:$F&amp;'5) Release_Track'!$G:$G,1,0))),vlookup($A267&amp;$B267,{'5) Release_Track'!$F:$F&amp;'5) Release_Track'!$G:$G,'5) Release_Track'!$J:$J},2,0), or(and(not(isblank($B267)),$B267=$B266,$A267&lt;&gt;$A266),and(not(isblank($A267)),$A267=$A266,$B267&lt;&gt;$B266)),"ID LISTS UNALIGNED",and($A267&lt;&gt;"",countif('5) Release_Track'!$F:$F,$A267)=0),"NO ISRC MATCH in Release_Track",and($B267&lt;&gt;"",countif('5) Release_Track'!$G:$G,$B267)=0),"NO CATALOG ID MATCH in Release_Track",iserror(vlookup($A267&amp;$B267,'5) Release_Track'!$F:$F&amp;'5) Release_Track'!$G:$G,1,0)),"NO ISRC-CATALOG ID pair MATCH in Release_Track" )</f>
        <v/>
      </c>
      <c r="F267" s="122"/>
      <c r="G267" s="99"/>
      <c r="H267" s="178"/>
      <c r="I267" s="121" t="str">
        <f t="shared" si="6"/>
        <v/>
      </c>
      <c r="J267" s="99"/>
      <c r="K267" s="99"/>
    </row>
    <row r="268">
      <c r="B268" s="103"/>
      <c r="C268" s="121" t="str">
        <f t="array" ref="C268">ifs(and(isblank($A268),isblank($B268)),"", not(iserror(vlookup($A268&amp;$B268,'5) Release_Track'!$F:$F&amp;'5) Release_Track'!$G:$G,1,0))),vlookup($A268&amp;$B268,{'5) Release_Track'!$F:$F&amp;'5) Release_Track'!$G:$G,'5) Release_Track'!$H:$H},2,0), or(and(not(isblank($B268)),$B268=$B267,$A268&lt;&gt;$A267),and(not(isblank($A268)),$A268=$A267,$B268&lt;&gt;$B267)),"ID LISTS UNALIGNED",and($A268&lt;&gt;"",countif('5) Release_Track'!$F:$F,$A268)=0),"NO ISRC MATCH in Release_Track",and($B268&lt;&gt;"",countif('5) Release_Track'!$G:$G,$B268)=0),"NO CATALOG ID MATCH in Release_Track",iserror(vlookup($A268&amp;$B268,'5) Release_Track'!$F:$F&amp;'5) Release_Track'!$G:$G,1,0)),"NO ISRC-CATALOG ID pair MATCH in Release_Track" )</f>
        <v/>
      </c>
      <c r="D268" s="121" t="str">
        <f t="array" ref="D268">ifs(and(isblank($A268),isblank($B268)),"", not(iserror(vlookup($A268&amp;$B268,'5) Release_Track'!$F:$F&amp;'5) Release_Track'!$G:$G,1,0))),vlookup($A268&amp;$B268,{'5) Release_Track'!$F:$F&amp;'5) Release_Track'!$G:$G,'5) Release_Track'!$I:$I},2,0), or(and(not(isblank($B268)),$B268=$B267,$A268&lt;&gt;$A267),and(not(isblank($A268)),$A268=$A267,$B268&lt;&gt;$B267)),"ID LISTS UNALIGNED",and($A268&lt;&gt;"",countif('5) Release_Track'!$F:$F,$A268)=0),"NO ISRC MATCH in Release_Track",and($B268&lt;&gt;"",countif('5) Release_Track'!$G:$G,$B268)=0),"NO CATALOG ID MATCH in Release_Track",iserror(vlookup($A268&amp;$B268,'5) Release_Track'!$F:$F&amp;'5) Release_Track'!$G:$G,1,0)),"NO ISRC-CATALOG ID pair MATCH in Release_Track" )</f>
        <v/>
      </c>
      <c r="E268" s="125" t="str">
        <f t="array" ref="E268">ifs(and(isblank($A268),isblank($B268)),"", not(iserror(vlookup($A268&amp;$B268,'5) Release_Track'!$F:$F&amp;'5) Release_Track'!$G:$G,1,0))),vlookup($A268&amp;$B268,{'5) Release_Track'!$F:$F&amp;'5) Release_Track'!$G:$G,'5) Release_Track'!$J:$J},2,0), or(and(not(isblank($B268)),$B268=$B267,$A268&lt;&gt;$A267),and(not(isblank($A268)),$A268=$A267,$B268&lt;&gt;$B267)),"ID LISTS UNALIGNED",and($A268&lt;&gt;"",countif('5) Release_Track'!$F:$F,$A268)=0),"NO ISRC MATCH in Release_Track",and($B268&lt;&gt;"",countif('5) Release_Track'!$G:$G,$B268)=0),"NO CATALOG ID MATCH in Release_Track",iserror(vlookup($A268&amp;$B268,'5) Release_Track'!$F:$F&amp;'5) Release_Track'!$G:$G,1,0)),"NO ISRC-CATALOG ID pair MATCH in Release_Track" )</f>
        <v/>
      </c>
      <c r="F268" s="122"/>
      <c r="G268" s="99"/>
      <c r="H268" s="178"/>
      <c r="I268" s="121" t="str">
        <f t="shared" si="6"/>
        <v/>
      </c>
      <c r="J268" s="99"/>
      <c r="K268" s="99"/>
    </row>
    <row r="269">
      <c r="B269" s="103"/>
      <c r="C269" s="121" t="str">
        <f t="array" ref="C269">ifs(and(isblank($A269),isblank($B269)),"", not(iserror(vlookup($A269&amp;$B269,'5) Release_Track'!$F:$F&amp;'5) Release_Track'!$G:$G,1,0))),vlookup($A269&amp;$B269,{'5) Release_Track'!$F:$F&amp;'5) Release_Track'!$G:$G,'5) Release_Track'!$H:$H},2,0), or(and(not(isblank($B269)),$B269=$B268,$A269&lt;&gt;$A268),and(not(isblank($A269)),$A269=$A268,$B269&lt;&gt;$B268)),"ID LISTS UNALIGNED",and($A269&lt;&gt;"",countif('5) Release_Track'!$F:$F,$A269)=0),"NO ISRC MATCH in Release_Track",and($B269&lt;&gt;"",countif('5) Release_Track'!$G:$G,$B269)=0),"NO CATALOG ID MATCH in Release_Track",iserror(vlookup($A269&amp;$B269,'5) Release_Track'!$F:$F&amp;'5) Release_Track'!$G:$G,1,0)),"NO ISRC-CATALOG ID pair MATCH in Release_Track" )</f>
        <v/>
      </c>
      <c r="D269" s="121" t="str">
        <f t="array" ref="D269">ifs(and(isblank($A269),isblank($B269)),"", not(iserror(vlookup($A269&amp;$B269,'5) Release_Track'!$F:$F&amp;'5) Release_Track'!$G:$G,1,0))),vlookup($A269&amp;$B269,{'5) Release_Track'!$F:$F&amp;'5) Release_Track'!$G:$G,'5) Release_Track'!$I:$I},2,0), or(and(not(isblank($B269)),$B269=$B268,$A269&lt;&gt;$A268),and(not(isblank($A269)),$A269=$A268,$B269&lt;&gt;$B268)),"ID LISTS UNALIGNED",and($A269&lt;&gt;"",countif('5) Release_Track'!$F:$F,$A269)=0),"NO ISRC MATCH in Release_Track",and($B269&lt;&gt;"",countif('5) Release_Track'!$G:$G,$B269)=0),"NO CATALOG ID MATCH in Release_Track",iserror(vlookup($A269&amp;$B269,'5) Release_Track'!$F:$F&amp;'5) Release_Track'!$G:$G,1,0)),"NO ISRC-CATALOG ID pair MATCH in Release_Track" )</f>
        <v/>
      </c>
      <c r="E269" s="125" t="str">
        <f t="array" ref="E269">ifs(and(isblank($A269),isblank($B269)),"", not(iserror(vlookup($A269&amp;$B269,'5) Release_Track'!$F:$F&amp;'5) Release_Track'!$G:$G,1,0))),vlookup($A269&amp;$B269,{'5) Release_Track'!$F:$F&amp;'5) Release_Track'!$G:$G,'5) Release_Track'!$J:$J},2,0), or(and(not(isblank($B269)),$B269=$B268,$A269&lt;&gt;$A268),and(not(isblank($A269)),$A269=$A268,$B269&lt;&gt;$B268)),"ID LISTS UNALIGNED",and($A269&lt;&gt;"",countif('5) Release_Track'!$F:$F,$A269)=0),"NO ISRC MATCH in Release_Track",and($B269&lt;&gt;"",countif('5) Release_Track'!$G:$G,$B269)=0),"NO CATALOG ID MATCH in Release_Track",iserror(vlookup($A269&amp;$B269,'5) Release_Track'!$F:$F&amp;'5) Release_Track'!$G:$G,1,0)),"NO ISRC-CATALOG ID pair MATCH in Release_Track" )</f>
        <v/>
      </c>
      <c r="F269" s="122"/>
      <c r="G269" s="99"/>
      <c r="H269" s="178"/>
      <c r="I269" s="121" t="str">
        <f t="shared" si="6"/>
        <v/>
      </c>
      <c r="J269" s="99"/>
      <c r="K269" s="99"/>
    </row>
    <row r="270">
      <c r="B270" s="103"/>
      <c r="C270" s="121" t="str">
        <f t="array" ref="C270">ifs(and(isblank($A270),isblank($B270)),"", not(iserror(vlookup($A270&amp;$B270,'5) Release_Track'!$F:$F&amp;'5) Release_Track'!$G:$G,1,0))),vlookup($A270&amp;$B270,{'5) Release_Track'!$F:$F&amp;'5) Release_Track'!$G:$G,'5) Release_Track'!$H:$H},2,0), or(and(not(isblank($B270)),$B270=$B269,$A270&lt;&gt;$A269),and(not(isblank($A270)),$A270=$A269,$B270&lt;&gt;$B269)),"ID LISTS UNALIGNED",and($A270&lt;&gt;"",countif('5) Release_Track'!$F:$F,$A270)=0),"NO ISRC MATCH in Release_Track",and($B270&lt;&gt;"",countif('5) Release_Track'!$G:$G,$B270)=0),"NO CATALOG ID MATCH in Release_Track",iserror(vlookup($A270&amp;$B270,'5) Release_Track'!$F:$F&amp;'5) Release_Track'!$G:$G,1,0)),"NO ISRC-CATALOG ID pair MATCH in Release_Track" )</f>
        <v/>
      </c>
      <c r="D270" s="121" t="str">
        <f t="array" ref="D270">ifs(and(isblank($A270),isblank($B270)),"", not(iserror(vlookup($A270&amp;$B270,'5) Release_Track'!$F:$F&amp;'5) Release_Track'!$G:$G,1,0))),vlookup($A270&amp;$B270,{'5) Release_Track'!$F:$F&amp;'5) Release_Track'!$G:$G,'5) Release_Track'!$I:$I},2,0), or(and(not(isblank($B270)),$B270=$B269,$A270&lt;&gt;$A269),and(not(isblank($A270)),$A270=$A269,$B270&lt;&gt;$B269)),"ID LISTS UNALIGNED",and($A270&lt;&gt;"",countif('5) Release_Track'!$F:$F,$A270)=0),"NO ISRC MATCH in Release_Track",and($B270&lt;&gt;"",countif('5) Release_Track'!$G:$G,$B270)=0),"NO CATALOG ID MATCH in Release_Track",iserror(vlookup($A270&amp;$B270,'5) Release_Track'!$F:$F&amp;'5) Release_Track'!$G:$G,1,0)),"NO ISRC-CATALOG ID pair MATCH in Release_Track" )</f>
        <v/>
      </c>
      <c r="E270" s="125" t="str">
        <f t="array" ref="E270">ifs(and(isblank($A270),isblank($B270)),"", not(iserror(vlookup($A270&amp;$B270,'5) Release_Track'!$F:$F&amp;'5) Release_Track'!$G:$G,1,0))),vlookup($A270&amp;$B270,{'5) Release_Track'!$F:$F&amp;'5) Release_Track'!$G:$G,'5) Release_Track'!$J:$J},2,0), or(and(not(isblank($B270)),$B270=$B269,$A270&lt;&gt;$A269),and(not(isblank($A270)),$A270=$A269,$B270&lt;&gt;$B269)),"ID LISTS UNALIGNED",and($A270&lt;&gt;"",countif('5) Release_Track'!$F:$F,$A270)=0),"NO ISRC MATCH in Release_Track",and($B270&lt;&gt;"",countif('5) Release_Track'!$G:$G,$B270)=0),"NO CATALOG ID MATCH in Release_Track",iserror(vlookup($A270&amp;$B270,'5) Release_Track'!$F:$F&amp;'5) Release_Track'!$G:$G,1,0)),"NO ISRC-CATALOG ID pair MATCH in Release_Track" )</f>
        <v/>
      </c>
      <c r="F270" s="122"/>
      <c r="G270" s="99"/>
      <c r="H270" s="178"/>
      <c r="I270" s="121" t="str">
        <f t="shared" si="6"/>
        <v/>
      </c>
      <c r="J270" s="99"/>
      <c r="K270" s="99"/>
    </row>
    <row r="271">
      <c r="B271" s="103"/>
      <c r="C271" s="121" t="str">
        <f t="array" ref="C271">ifs(and(isblank($A271),isblank($B271)),"", not(iserror(vlookup($A271&amp;$B271,'5) Release_Track'!$F:$F&amp;'5) Release_Track'!$G:$G,1,0))),vlookup($A271&amp;$B271,{'5) Release_Track'!$F:$F&amp;'5) Release_Track'!$G:$G,'5) Release_Track'!$H:$H},2,0), or(and(not(isblank($B271)),$B271=$B270,$A271&lt;&gt;$A270),and(not(isblank($A271)),$A271=$A270,$B271&lt;&gt;$B270)),"ID LISTS UNALIGNED",and($A271&lt;&gt;"",countif('5) Release_Track'!$F:$F,$A271)=0),"NO ISRC MATCH in Release_Track",and($B271&lt;&gt;"",countif('5) Release_Track'!$G:$G,$B271)=0),"NO CATALOG ID MATCH in Release_Track",iserror(vlookup($A271&amp;$B271,'5) Release_Track'!$F:$F&amp;'5) Release_Track'!$G:$G,1,0)),"NO ISRC-CATALOG ID pair MATCH in Release_Track" )</f>
        <v/>
      </c>
      <c r="D271" s="121" t="str">
        <f t="array" ref="D271">ifs(and(isblank($A271),isblank($B271)),"", not(iserror(vlookup($A271&amp;$B271,'5) Release_Track'!$F:$F&amp;'5) Release_Track'!$G:$G,1,0))),vlookup($A271&amp;$B271,{'5) Release_Track'!$F:$F&amp;'5) Release_Track'!$G:$G,'5) Release_Track'!$I:$I},2,0), or(and(not(isblank($B271)),$B271=$B270,$A271&lt;&gt;$A270),and(not(isblank($A271)),$A271=$A270,$B271&lt;&gt;$B270)),"ID LISTS UNALIGNED",and($A271&lt;&gt;"",countif('5) Release_Track'!$F:$F,$A271)=0),"NO ISRC MATCH in Release_Track",and($B271&lt;&gt;"",countif('5) Release_Track'!$G:$G,$B271)=0),"NO CATALOG ID MATCH in Release_Track",iserror(vlookup($A271&amp;$B271,'5) Release_Track'!$F:$F&amp;'5) Release_Track'!$G:$G,1,0)),"NO ISRC-CATALOG ID pair MATCH in Release_Track" )</f>
        <v/>
      </c>
      <c r="E271" s="125" t="str">
        <f t="array" ref="E271">ifs(and(isblank($A271),isblank($B271)),"", not(iserror(vlookup($A271&amp;$B271,'5) Release_Track'!$F:$F&amp;'5) Release_Track'!$G:$G,1,0))),vlookup($A271&amp;$B271,{'5) Release_Track'!$F:$F&amp;'5) Release_Track'!$G:$G,'5) Release_Track'!$J:$J},2,0), or(and(not(isblank($B271)),$B271=$B270,$A271&lt;&gt;$A270),and(not(isblank($A271)),$A271=$A270,$B271&lt;&gt;$B270)),"ID LISTS UNALIGNED",and($A271&lt;&gt;"",countif('5) Release_Track'!$F:$F,$A271)=0),"NO ISRC MATCH in Release_Track",and($B271&lt;&gt;"",countif('5) Release_Track'!$G:$G,$B271)=0),"NO CATALOG ID MATCH in Release_Track",iserror(vlookup($A271&amp;$B271,'5) Release_Track'!$F:$F&amp;'5) Release_Track'!$G:$G,1,0)),"NO ISRC-CATALOG ID pair MATCH in Release_Track" )</f>
        <v/>
      </c>
      <c r="F271" s="122"/>
      <c r="G271" s="99"/>
      <c r="H271" s="178"/>
      <c r="I271" s="121" t="str">
        <f t="shared" si="6"/>
        <v/>
      </c>
      <c r="J271" s="99"/>
      <c r="K271" s="99"/>
    </row>
    <row r="272">
      <c r="B272" s="103"/>
      <c r="C272" s="121" t="str">
        <f t="array" ref="C272">ifs(and(isblank($A272),isblank($B272)),"", not(iserror(vlookup($A272&amp;$B272,'5) Release_Track'!$F:$F&amp;'5) Release_Track'!$G:$G,1,0))),vlookup($A272&amp;$B272,{'5) Release_Track'!$F:$F&amp;'5) Release_Track'!$G:$G,'5) Release_Track'!$H:$H},2,0), or(and(not(isblank($B272)),$B272=$B271,$A272&lt;&gt;$A271),and(not(isblank($A272)),$A272=$A271,$B272&lt;&gt;$B271)),"ID LISTS UNALIGNED",and($A272&lt;&gt;"",countif('5) Release_Track'!$F:$F,$A272)=0),"NO ISRC MATCH in Release_Track",and($B272&lt;&gt;"",countif('5) Release_Track'!$G:$G,$B272)=0),"NO CATALOG ID MATCH in Release_Track",iserror(vlookup($A272&amp;$B272,'5) Release_Track'!$F:$F&amp;'5) Release_Track'!$G:$G,1,0)),"NO ISRC-CATALOG ID pair MATCH in Release_Track" )</f>
        <v/>
      </c>
      <c r="D272" s="121" t="str">
        <f t="array" ref="D272">ifs(and(isblank($A272),isblank($B272)),"", not(iserror(vlookup($A272&amp;$B272,'5) Release_Track'!$F:$F&amp;'5) Release_Track'!$G:$G,1,0))),vlookup($A272&amp;$B272,{'5) Release_Track'!$F:$F&amp;'5) Release_Track'!$G:$G,'5) Release_Track'!$I:$I},2,0), or(and(not(isblank($B272)),$B272=$B271,$A272&lt;&gt;$A271),and(not(isblank($A272)),$A272=$A271,$B272&lt;&gt;$B271)),"ID LISTS UNALIGNED",and($A272&lt;&gt;"",countif('5) Release_Track'!$F:$F,$A272)=0),"NO ISRC MATCH in Release_Track",and($B272&lt;&gt;"",countif('5) Release_Track'!$G:$G,$B272)=0),"NO CATALOG ID MATCH in Release_Track",iserror(vlookup($A272&amp;$B272,'5) Release_Track'!$F:$F&amp;'5) Release_Track'!$G:$G,1,0)),"NO ISRC-CATALOG ID pair MATCH in Release_Track" )</f>
        <v/>
      </c>
      <c r="E272" s="125" t="str">
        <f t="array" ref="E272">ifs(and(isblank($A272),isblank($B272)),"", not(iserror(vlookup($A272&amp;$B272,'5) Release_Track'!$F:$F&amp;'5) Release_Track'!$G:$G,1,0))),vlookup($A272&amp;$B272,{'5) Release_Track'!$F:$F&amp;'5) Release_Track'!$G:$G,'5) Release_Track'!$J:$J},2,0), or(and(not(isblank($B272)),$B272=$B271,$A272&lt;&gt;$A271),and(not(isblank($A272)),$A272=$A271,$B272&lt;&gt;$B271)),"ID LISTS UNALIGNED",and($A272&lt;&gt;"",countif('5) Release_Track'!$F:$F,$A272)=0),"NO ISRC MATCH in Release_Track",and($B272&lt;&gt;"",countif('5) Release_Track'!$G:$G,$B272)=0),"NO CATALOG ID MATCH in Release_Track",iserror(vlookup($A272&amp;$B272,'5) Release_Track'!$F:$F&amp;'5) Release_Track'!$G:$G,1,0)),"NO ISRC-CATALOG ID pair MATCH in Release_Track" )</f>
        <v/>
      </c>
      <c r="F272" s="122"/>
      <c r="G272" s="99"/>
      <c r="H272" s="178"/>
      <c r="I272" s="121" t="str">
        <f t="shared" si="6"/>
        <v/>
      </c>
      <c r="J272" s="99"/>
      <c r="K272" s="99"/>
    </row>
    <row r="273">
      <c r="B273" s="103"/>
      <c r="C273" s="121" t="str">
        <f t="array" ref="C273">ifs(and(isblank($A273),isblank($B273)),"", not(iserror(vlookup($A273&amp;$B273,'5) Release_Track'!$F:$F&amp;'5) Release_Track'!$G:$G,1,0))),vlookup($A273&amp;$B273,{'5) Release_Track'!$F:$F&amp;'5) Release_Track'!$G:$G,'5) Release_Track'!$H:$H},2,0), or(and(not(isblank($B273)),$B273=$B272,$A273&lt;&gt;$A272),and(not(isblank($A273)),$A273=$A272,$B273&lt;&gt;$B272)),"ID LISTS UNALIGNED",and($A273&lt;&gt;"",countif('5) Release_Track'!$F:$F,$A273)=0),"NO ISRC MATCH in Release_Track",and($B273&lt;&gt;"",countif('5) Release_Track'!$G:$G,$B273)=0),"NO CATALOG ID MATCH in Release_Track",iserror(vlookup($A273&amp;$B273,'5) Release_Track'!$F:$F&amp;'5) Release_Track'!$G:$G,1,0)),"NO ISRC-CATALOG ID pair MATCH in Release_Track" )</f>
        <v/>
      </c>
      <c r="D273" s="121" t="str">
        <f t="array" ref="D273">ifs(and(isblank($A273),isblank($B273)),"", not(iserror(vlookup($A273&amp;$B273,'5) Release_Track'!$F:$F&amp;'5) Release_Track'!$G:$G,1,0))),vlookup($A273&amp;$B273,{'5) Release_Track'!$F:$F&amp;'5) Release_Track'!$G:$G,'5) Release_Track'!$I:$I},2,0), or(and(not(isblank($B273)),$B273=$B272,$A273&lt;&gt;$A272),and(not(isblank($A273)),$A273=$A272,$B273&lt;&gt;$B272)),"ID LISTS UNALIGNED",and($A273&lt;&gt;"",countif('5) Release_Track'!$F:$F,$A273)=0),"NO ISRC MATCH in Release_Track",and($B273&lt;&gt;"",countif('5) Release_Track'!$G:$G,$B273)=0),"NO CATALOG ID MATCH in Release_Track",iserror(vlookup($A273&amp;$B273,'5) Release_Track'!$F:$F&amp;'5) Release_Track'!$G:$G,1,0)),"NO ISRC-CATALOG ID pair MATCH in Release_Track" )</f>
        <v/>
      </c>
      <c r="E273" s="125" t="str">
        <f t="array" ref="E273">ifs(and(isblank($A273),isblank($B273)),"", not(iserror(vlookup($A273&amp;$B273,'5) Release_Track'!$F:$F&amp;'5) Release_Track'!$G:$G,1,0))),vlookup($A273&amp;$B273,{'5) Release_Track'!$F:$F&amp;'5) Release_Track'!$G:$G,'5) Release_Track'!$J:$J},2,0), or(and(not(isblank($B273)),$B273=$B272,$A273&lt;&gt;$A272),and(not(isblank($A273)),$A273=$A272,$B273&lt;&gt;$B272)),"ID LISTS UNALIGNED",and($A273&lt;&gt;"",countif('5) Release_Track'!$F:$F,$A273)=0),"NO ISRC MATCH in Release_Track",and($B273&lt;&gt;"",countif('5) Release_Track'!$G:$G,$B273)=0),"NO CATALOG ID MATCH in Release_Track",iserror(vlookup($A273&amp;$B273,'5) Release_Track'!$F:$F&amp;'5) Release_Track'!$G:$G,1,0)),"NO ISRC-CATALOG ID pair MATCH in Release_Track" )</f>
        <v/>
      </c>
      <c r="F273" s="122"/>
      <c r="G273" s="99"/>
      <c r="H273" s="178"/>
      <c r="I273" s="121" t="str">
        <f t="shared" si="6"/>
        <v/>
      </c>
      <c r="J273" s="99"/>
      <c r="K273" s="99"/>
    </row>
    <row r="274">
      <c r="B274" s="103"/>
      <c r="C274" s="121" t="str">
        <f t="array" ref="C274">ifs(and(isblank($A274),isblank($B274)),"", not(iserror(vlookup($A274&amp;$B274,'5) Release_Track'!$F:$F&amp;'5) Release_Track'!$G:$G,1,0))),vlookup($A274&amp;$B274,{'5) Release_Track'!$F:$F&amp;'5) Release_Track'!$G:$G,'5) Release_Track'!$H:$H},2,0), or(and(not(isblank($B274)),$B274=$B273,$A274&lt;&gt;$A273),and(not(isblank($A274)),$A274=$A273,$B274&lt;&gt;$B273)),"ID LISTS UNALIGNED",and($A274&lt;&gt;"",countif('5) Release_Track'!$F:$F,$A274)=0),"NO ISRC MATCH in Release_Track",and($B274&lt;&gt;"",countif('5) Release_Track'!$G:$G,$B274)=0),"NO CATALOG ID MATCH in Release_Track",iserror(vlookup($A274&amp;$B274,'5) Release_Track'!$F:$F&amp;'5) Release_Track'!$G:$G,1,0)),"NO ISRC-CATALOG ID pair MATCH in Release_Track" )</f>
        <v/>
      </c>
      <c r="D274" s="121" t="str">
        <f t="array" ref="D274">ifs(and(isblank($A274),isblank($B274)),"", not(iserror(vlookup($A274&amp;$B274,'5) Release_Track'!$F:$F&amp;'5) Release_Track'!$G:$G,1,0))),vlookup($A274&amp;$B274,{'5) Release_Track'!$F:$F&amp;'5) Release_Track'!$G:$G,'5) Release_Track'!$I:$I},2,0), or(and(not(isblank($B274)),$B274=$B273,$A274&lt;&gt;$A273),and(not(isblank($A274)),$A274=$A273,$B274&lt;&gt;$B273)),"ID LISTS UNALIGNED",and($A274&lt;&gt;"",countif('5) Release_Track'!$F:$F,$A274)=0),"NO ISRC MATCH in Release_Track",and($B274&lt;&gt;"",countif('5) Release_Track'!$G:$G,$B274)=0),"NO CATALOG ID MATCH in Release_Track",iserror(vlookup($A274&amp;$B274,'5) Release_Track'!$F:$F&amp;'5) Release_Track'!$G:$G,1,0)),"NO ISRC-CATALOG ID pair MATCH in Release_Track" )</f>
        <v/>
      </c>
      <c r="E274" s="125" t="str">
        <f t="array" ref="E274">ifs(and(isblank($A274),isblank($B274)),"", not(iserror(vlookup($A274&amp;$B274,'5) Release_Track'!$F:$F&amp;'5) Release_Track'!$G:$G,1,0))),vlookup($A274&amp;$B274,{'5) Release_Track'!$F:$F&amp;'5) Release_Track'!$G:$G,'5) Release_Track'!$J:$J},2,0), or(and(not(isblank($B274)),$B274=$B273,$A274&lt;&gt;$A273),and(not(isblank($A274)),$A274=$A273,$B274&lt;&gt;$B273)),"ID LISTS UNALIGNED",and($A274&lt;&gt;"",countif('5) Release_Track'!$F:$F,$A274)=0),"NO ISRC MATCH in Release_Track",and($B274&lt;&gt;"",countif('5) Release_Track'!$G:$G,$B274)=0),"NO CATALOG ID MATCH in Release_Track",iserror(vlookup($A274&amp;$B274,'5) Release_Track'!$F:$F&amp;'5) Release_Track'!$G:$G,1,0)),"NO ISRC-CATALOG ID pair MATCH in Release_Track" )</f>
        <v/>
      </c>
      <c r="F274" s="122"/>
      <c r="G274" s="99"/>
      <c r="H274" s="178"/>
      <c r="I274" s="121" t="str">
        <f t="shared" si="6"/>
        <v/>
      </c>
      <c r="J274" s="99"/>
      <c r="K274" s="99"/>
    </row>
    <row r="275">
      <c r="B275" s="103"/>
      <c r="C275" s="121" t="str">
        <f t="array" ref="C275">ifs(and(isblank($A275),isblank($B275)),"", not(iserror(vlookup($A275&amp;$B275,'5) Release_Track'!$F:$F&amp;'5) Release_Track'!$G:$G,1,0))),vlookup($A275&amp;$B275,{'5) Release_Track'!$F:$F&amp;'5) Release_Track'!$G:$G,'5) Release_Track'!$H:$H},2,0), or(and(not(isblank($B275)),$B275=$B274,$A275&lt;&gt;$A274),and(not(isblank($A275)),$A275=$A274,$B275&lt;&gt;$B274)),"ID LISTS UNALIGNED",and($A275&lt;&gt;"",countif('5) Release_Track'!$F:$F,$A275)=0),"NO ISRC MATCH in Release_Track",and($B275&lt;&gt;"",countif('5) Release_Track'!$G:$G,$B275)=0),"NO CATALOG ID MATCH in Release_Track",iserror(vlookup($A275&amp;$B275,'5) Release_Track'!$F:$F&amp;'5) Release_Track'!$G:$G,1,0)),"NO ISRC-CATALOG ID pair MATCH in Release_Track" )</f>
        <v/>
      </c>
      <c r="D275" s="121" t="str">
        <f t="array" ref="D275">ifs(and(isblank($A275),isblank($B275)),"", not(iserror(vlookup($A275&amp;$B275,'5) Release_Track'!$F:$F&amp;'5) Release_Track'!$G:$G,1,0))),vlookup($A275&amp;$B275,{'5) Release_Track'!$F:$F&amp;'5) Release_Track'!$G:$G,'5) Release_Track'!$I:$I},2,0), or(and(not(isblank($B275)),$B275=$B274,$A275&lt;&gt;$A274),and(not(isblank($A275)),$A275=$A274,$B275&lt;&gt;$B274)),"ID LISTS UNALIGNED",and($A275&lt;&gt;"",countif('5) Release_Track'!$F:$F,$A275)=0),"NO ISRC MATCH in Release_Track",and($B275&lt;&gt;"",countif('5) Release_Track'!$G:$G,$B275)=0),"NO CATALOG ID MATCH in Release_Track",iserror(vlookup($A275&amp;$B275,'5) Release_Track'!$F:$F&amp;'5) Release_Track'!$G:$G,1,0)),"NO ISRC-CATALOG ID pair MATCH in Release_Track" )</f>
        <v/>
      </c>
      <c r="E275" s="125" t="str">
        <f t="array" ref="E275">ifs(and(isblank($A275),isblank($B275)),"", not(iserror(vlookup($A275&amp;$B275,'5) Release_Track'!$F:$F&amp;'5) Release_Track'!$G:$G,1,0))),vlookup($A275&amp;$B275,{'5) Release_Track'!$F:$F&amp;'5) Release_Track'!$G:$G,'5) Release_Track'!$J:$J},2,0), or(and(not(isblank($B275)),$B275=$B274,$A275&lt;&gt;$A274),and(not(isblank($A275)),$A275=$A274,$B275&lt;&gt;$B274)),"ID LISTS UNALIGNED",and($A275&lt;&gt;"",countif('5) Release_Track'!$F:$F,$A275)=0),"NO ISRC MATCH in Release_Track",and($B275&lt;&gt;"",countif('5) Release_Track'!$G:$G,$B275)=0),"NO CATALOG ID MATCH in Release_Track",iserror(vlookup($A275&amp;$B275,'5) Release_Track'!$F:$F&amp;'5) Release_Track'!$G:$G,1,0)),"NO ISRC-CATALOG ID pair MATCH in Release_Track" )</f>
        <v/>
      </c>
      <c r="F275" s="122"/>
      <c r="G275" s="99"/>
      <c r="H275" s="178"/>
      <c r="I275" s="121" t="str">
        <f t="shared" si="6"/>
        <v/>
      </c>
      <c r="J275" s="99"/>
      <c r="K275" s="99"/>
    </row>
    <row r="276">
      <c r="B276" s="103"/>
      <c r="C276" s="121" t="str">
        <f t="array" ref="C276">ifs(and(isblank($A276),isblank($B276)),"", not(iserror(vlookup($A276&amp;$B276,'5) Release_Track'!$F:$F&amp;'5) Release_Track'!$G:$G,1,0))),vlookup($A276&amp;$B276,{'5) Release_Track'!$F:$F&amp;'5) Release_Track'!$G:$G,'5) Release_Track'!$H:$H},2,0), or(and(not(isblank($B276)),$B276=$B275,$A276&lt;&gt;$A275),and(not(isblank($A276)),$A276=$A275,$B276&lt;&gt;$B275)),"ID LISTS UNALIGNED",and($A276&lt;&gt;"",countif('5) Release_Track'!$F:$F,$A276)=0),"NO ISRC MATCH in Release_Track",and($B276&lt;&gt;"",countif('5) Release_Track'!$G:$G,$B276)=0),"NO CATALOG ID MATCH in Release_Track",iserror(vlookup($A276&amp;$B276,'5) Release_Track'!$F:$F&amp;'5) Release_Track'!$G:$G,1,0)),"NO ISRC-CATALOG ID pair MATCH in Release_Track" )</f>
        <v/>
      </c>
      <c r="D276" s="121" t="str">
        <f t="array" ref="D276">ifs(and(isblank($A276),isblank($B276)),"", not(iserror(vlookup($A276&amp;$B276,'5) Release_Track'!$F:$F&amp;'5) Release_Track'!$G:$G,1,0))),vlookup($A276&amp;$B276,{'5) Release_Track'!$F:$F&amp;'5) Release_Track'!$G:$G,'5) Release_Track'!$I:$I},2,0), or(and(not(isblank($B276)),$B276=$B275,$A276&lt;&gt;$A275),and(not(isblank($A276)),$A276=$A275,$B276&lt;&gt;$B275)),"ID LISTS UNALIGNED",and($A276&lt;&gt;"",countif('5) Release_Track'!$F:$F,$A276)=0),"NO ISRC MATCH in Release_Track",and($B276&lt;&gt;"",countif('5) Release_Track'!$G:$G,$B276)=0),"NO CATALOG ID MATCH in Release_Track",iserror(vlookup($A276&amp;$B276,'5) Release_Track'!$F:$F&amp;'5) Release_Track'!$G:$G,1,0)),"NO ISRC-CATALOG ID pair MATCH in Release_Track" )</f>
        <v/>
      </c>
      <c r="E276" s="125" t="str">
        <f t="array" ref="E276">ifs(and(isblank($A276),isblank($B276)),"", not(iserror(vlookup($A276&amp;$B276,'5) Release_Track'!$F:$F&amp;'5) Release_Track'!$G:$G,1,0))),vlookup($A276&amp;$B276,{'5) Release_Track'!$F:$F&amp;'5) Release_Track'!$G:$G,'5) Release_Track'!$J:$J},2,0), or(and(not(isblank($B276)),$B276=$B275,$A276&lt;&gt;$A275),and(not(isblank($A276)),$A276=$A275,$B276&lt;&gt;$B275)),"ID LISTS UNALIGNED",and($A276&lt;&gt;"",countif('5) Release_Track'!$F:$F,$A276)=0),"NO ISRC MATCH in Release_Track",and($B276&lt;&gt;"",countif('5) Release_Track'!$G:$G,$B276)=0),"NO CATALOG ID MATCH in Release_Track",iserror(vlookup($A276&amp;$B276,'5) Release_Track'!$F:$F&amp;'5) Release_Track'!$G:$G,1,0)),"NO ISRC-CATALOG ID pair MATCH in Release_Track" )</f>
        <v/>
      </c>
      <c r="F276" s="122"/>
      <c r="G276" s="99"/>
      <c r="H276" s="178"/>
      <c r="I276" s="121" t="str">
        <f t="shared" si="6"/>
        <v/>
      </c>
      <c r="J276" s="99"/>
      <c r="K276" s="99"/>
    </row>
    <row r="277">
      <c r="B277" s="103"/>
      <c r="C277" s="121" t="str">
        <f t="array" ref="C277">ifs(and(isblank($A277),isblank($B277)),"", not(iserror(vlookup($A277&amp;$B277,'5) Release_Track'!$F:$F&amp;'5) Release_Track'!$G:$G,1,0))),vlookup($A277&amp;$B277,{'5) Release_Track'!$F:$F&amp;'5) Release_Track'!$G:$G,'5) Release_Track'!$H:$H},2,0), or(and(not(isblank($B277)),$B277=$B276,$A277&lt;&gt;$A276),and(not(isblank($A277)),$A277=$A276,$B277&lt;&gt;$B276)),"ID LISTS UNALIGNED",and($A277&lt;&gt;"",countif('5) Release_Track'!$F:$F,$A277)=0),"NO ISRC MATCH in Release_Track",and($B277&lt;&gt;"",countif('5) Release_Track'!$G:$G,$B277)=0),"NO CATALOG ID MATCH in Release_Track",iserror(vlookup($A277&amp;$B277,'5) Release_Track'!$F:$F&amp;'5) Release_Track'!$G:$G,1,0)),"NO ISRC-CATALOG ID pair MATCH in Release_Track" )</f>
        <v/>
      </c>
      <c r="D277" s="121" t="str">
        <f t="array" ref="D277">ifs(and(isblank($A277),isblank($B277)),"", not(iserror(vlookup($A277&amp;$B277,'5) Release_Track'!$F:$F&amp;'5) Release_Track'!$G:$G,1,0))),vlookup($A277&amp;$B277,{'5) Release_Track'!$F:$F&amp;'5) Release_Track'!$G:$G,'5) Release_Track'!$I:$I},2,0), or(and(not(isblank($B277)),$B277=$B276,$A277&lt;&gt;$A276),and(not(isblank($A277)),$A277=$A276,$B277&lt;&gt;$B276)),"ID LISTS UNALIGNED",and($A277&lt;&gt;"",countif('5) Release_Track'!$F:$F,$A277)=0),"NO ISRC MATCH in Release_Track",and($B277&lt;&gt;"",countif('5) Release_Track'!$G:$G,$B277)=0),"NO CATALOG ID MATCH in Release_Track",iserror(vlookup($A277&amp;$B277,'5) Release_Track'!$F:$F&amp;'5) Release_Track'!$G:$G,1,0)),"NO ISRC-CATALOG ID pair MATCH in Release_Track" )</f>
        <v/>
      </c>
      <c r="E277" s="125" t="str">
        <f t="array" ref="E277">ifs(and(isblank($A277),isblank($B277)),"", not(iserror(vlookup($A277&amp;$B277,'5) Release_Track'!$F:$F&amp;'5) Release_Track'!$G:$G,1,0))),vlookup($A277&amp;$B277,{'5) Release_Track'!$F:$F&amp;'5) Release_Track'!$G:$G,'5) Release_Track'!$J:$J},2,0), or(and(not(isblank($B277)),$B277=$B276,$A277&lt;&gt;$A276),and(not(isblank($A277)),$A277=$A276,$B277&lt;&gt;$B276)),"ID LISTS UNALIGNED",and($A277&lt;&gt;"",countif('5) Release_Track'!$F:$F,$A277)=0),"NO ISRC MATCH in Release_Track",and($B277&lt;&gt;"",countif('5) Release_Track'!$G:$G,$B277)=0),"NO CATALOG ID MATCH in Release_Track",iserror(vlookup($A277&amp;$B277,'5) Release_Track'!$F:$F&amp;'5) Release_Track'!$G:$G,1,0)),"NO ISRC-CATALOG ID pair MATCH in Release_Track" )</f>
        <v/>
      </c>
      <c r="F277" s="122"/>
      <c r="G277" s="99"/>
      <c r="H277" s="178"/>
      <c r="I277" s="121" t="str">
        <f t="shared" si="6"/>
        <v/>
      </c>
      <c r="J277" s="99"/>
      <c r="K277" s="99"/>
    </row>
    <row r="278">
      <c r="B278" s="103"/>
      <c r="C278" s="121" t="str">
        <f t="array" ref="C278">ifs(and(isblank($A278),isblank($B278)),"", not(iserror(vlookup($A278&amp;$B278,'5) Release_Track'!$F:$F&amp;'5) Release_Track'!$G:$G,1,0))),vlookup($A278&amp;$B278,{'5) Release_Track'!$F:$F&amp;'5) Release_Track'!$G:$G,'5) Release_Track'!$H:$H},2,0), or(and(not(isblank($B278)),$B278=$B277,$A278&lt;&gt;$A277),and(not(isblank($A278)),$A278=$A277,$B278&lt;&gt;$B277)),"ID LISTS UNALIGNED",and($A278&lt;&gt;"",countif('5) Release_Track'!$F:$F,$A278)=0),"NO ISRC MATCH in Release_Track",and($B278&lt;&gt;"",countif('5) Release_Track'!$G:$G,$B278)=0),"NO CATALOG ID MATCH in Release_Track",iserror(vlookup($A278&amp;$B278,'5) Release_Track'!$F:$F&amp;'5) Release_Track'!$G:$G,1,0)),"NO ISRC-CATALOG ID pair MATCH in Release_Track" )</f>
        <v/>
      </c>
      <c r="D278" s="121" t="str">
        <f t="array" ref="D278">ifs(and(isblank($A278),isblank($B278)),"", not(iserror(vlookup($A278&amp;$B278,'5) Release_Track'!$F:$F&amp;'5) Release_Track'!$G:$G,1,0))),vlookup($A278&amp;$B278,{'5) Release_Track'!$F:$F&amp;'5) Release_Track'!$G:$G,'5) Release_Track'!$I:$I},2,0), or(and(not(isblank($B278)),$B278=$B277,$A278&lt;&gt;$A277),and(not(isblank($A278)),$A278=$A277,$B278&lt;&gt;$B277)),"ID LISTS UNALIGNED",and($A278&lt;&gt;"",countif('5) Release_Track'!$F:$F,$A278)=0),"NO ISRC MATCH in Release_Track",and($B278&lt;&gt;"",countif('5) Release_Track'!$G:$G,$B278)=0),"NO CATALOG ID MATCH in Release_Track",iserror(vlookup($A278&amp;$B278,'5) Release_Track'!$F:$F&amp;'5) Release_Track'!$G:$G,1,0)),"NO ISRC-CATALOG ID pair MATCH in Release_Track" )</f>
        <v/>
      </c>
      <c r="E278" s="125" t="str">
        <f t="array" ref="E278">ifs(and(isblank($A278),isblank($B278)),"", not(iserror(vlookup($A278&amp;$B278,'5) Release_Track'!$F:$F&amp;'5) Release_Track'!$G:$G,1,0))),vlookup($A278&amp;$B278,{'5) Release_Track'!$F:$F&amp;'5) Release_Track'!$G:$G,'5) Release_Track'!$J:$J},2,0), or(and(not(isblank($B278)),$B278=$B277,$A278&lt;&gt;$A277),and(not(isblank($A278)),$A278=$A277,$B278&lt;&gt;$B277)),"ID LISTS UNALIGNED",and($A278&lt;&gt;"",countif('5) Release_Track'!$F:$F,$A278)=0),"NO ISRC MATCH in Release_Track",and($B278&lt;&gt;"",countif('5) Release_Track'!$G:$G,$B278)=0),"NO CATALOG ID MATCH in Release_Track",iserror(vlookup($A278&amp;$B278,'5) Release_Track'!$F:$F&amp;'5) Release_Track'!$G:$G,1,0)),"NO ISRC-CATALOG ID pair MATCH in Release_Track" )</f>
        <v/>
      </c>
      <c r="F278" s="122"/>
      <c r="G278" s="99"/>
      <c r="H278" s="178"/>
      <c r="I278" s="121" t="str">
        <f t="shared" si="6"/>
        <v/>
      </c>
      <c r="J278" s="99"/>
      <c r="K278" s="99"/>
    </row>
    <row r="279">
      <c r="B279" s="103"/>
      <c r="C279" s="121" t="str">
        <f t="array" ref="C279">ifs(and(isblank($A279),isblank($B279)),"", not(iserror(vlookup($A279&amp;$B279,'5) Release_Track'!$F:$F&amp;'5) Release_Track'!$G:$G,1,0))),vlookup($A279&amp;$B279,{'5) Release_Track'!$F:$F&amp;'5) Release_Track'!$G:$G,'5) Release_Track'!$H:$H},2,0), or(and(not(isblank($B279)),$B279=$B278,$A279&lt;&gt;$A278),and(not(isblank($A279)),$A279=$A278,$B279&lt;&gt;$B278)),"ID LISTS UNALIGNED",and($A279&lt;&gt;"",countif('5) Release_Track'!$F:$F,$A279)=0),"NO ISRC MATCH in Release_Track",and($B279&lt;&gt;"",countif('5) Release_Track'!$G:$G,$B279)=0),"NO CATALOG ID MATCH in Release_Track",iserror(vlookup($A279&amp;$B279,'5) Release_Track'!$F:$F&amp;'5) Release_Track'!$G:$G,1,0)),"NO ISRC-CATALOG ID pair MATCH in Release_Track" )</f>
        <v/>
      </c>
      <c r="D279" s="121" t="str">
        <f t="array" ref="D279">ifs(and(isblank($A279),isblank($B279)),"", not(iserror(vlookup($A279&amp;$B279,'5) Release_Track'!$F:$F&amp;'5) Release_Track'!$G:$G,1,0))),vlookup($A279&amp;$B279,{'5) Release_Track'!$F:$F&amp;'5) Release_Track'!$G:$G,'5) Release_Track'!$I:$I},2,0), or(and(not(isblank($B279)),$B279=$B278,$A279&lt;&gt;$A278),and(not(isblank($A279)),$A279=$A278,$B279&lt;&gt;$B278)),"ID LISTS UNALIGNED",and($A279&lt;&gt;"",countif('5) Release_Track'!$F:$F,$A279)=0),"NO ISRC MATCH in Release_Track",and($B279&lt;&gt;"",countif('5) Release_Track'!$G:$G,$B279)=0),"NO CATALOG ID MATCH in Release_Track",iserror(vlookup($A279&amp;$B279,'5) Release_Track'!$F:$F&amp;'5) Release_Track'!$G:$G,1,0)),"NO ISRC-CATALOG ID pair MATCH in Release_Track" )</f>
        <v/>
      </c>
      <c r="E279" s="125" t="str">
        <f t="array" ref="E279">ifs(and(isblank($A279),isblank($B279)),"", not(iserror(vlookup($A279&amp;$B279,'5) Release_Track'!$F:$F&amp;'5) Release_Track'!$G:$G,1,0))),vlookup($A279&amp;$B279,{'5) Release_Track'!$F:$F&amp;'5) Release_Track'!$G:$G,'5) Release_Track'!$J:$J},2,0), or(and(not(isblank($B279)),$B279=$B278,$A279&lt;&gt;$A278),and(not(isblank($A279)),$A279=$A278,$B279&lt;&gt;$B278)),"ID LISTS UNALIGNED",and($A279&lt;&gt;"",countif('5) Release_Track'!$F:$F,$A279)=0),"NO ISRC MATCH in Release_Track",and($B279&lt;&gt;"",countif('5) Release_Track'!$G:$G,$B279)=0),"NO CATALOG ID MATCH in Release_Track",iserror(vlookup($A279&amp;$B279,'5) Release_Track'!$F:$F&amp;'5) Release_Track'!$G:$G,1,0)),"NO ISRC-CATALOG ID pair MATCH in Release_Track" )</f>
        <v/>
      </c>
      <c r="F279" s="122"/>
      <c r="G279" s="99"/>
      <c r="H279" s="178"/>
      <c r="I279" s="121" t="str">
        <f t="shared" si="6"/>
        <v/>
      </c>
      <c r="J279" s="99"/>
      <c r="K279" s="99"/>
    </row>
    <row r="280">
      <c r="B280" s="103"/>
      <c r="C280" s="121" t="str">
        <f t="array" ref="C280">ifs(and(isblank($A280),isblank($B280)),"", not(iserror(vlookup($A280&amp;$B280,'5) Release_Track'!$F:$F&amp;'5) Release_Track'!$G:$G,1,0))),vlookup($A280&amp;$B280,{'5) Release_Track'!$F:$F&amp;'5) Release_Track'!$G:$G,'5) Release_Track'!$H:$H},2,0), or(and(not(isblank($B280)),$B280=$B279,$A280&lt;&gt;$A279),and(not(isblank($A280)),$A280=$A279,$B280&lt;&gt;$B279)),"ID LISTS UNALIGNED",and($A280&lt;&gt;"",countif('5) Release_Track'!$F:$F,$A280)=0),"NO ISRC MATCH in Release_Track",and($B280&lt;&gt;"",countif('5) Release_Track'!$G:$G,$B280)=0),"NO CATALOG ID MATCH in Release_Track",iserror(vlookup($A280&amp;$B280,'5) Release_Track'!$F:$F&amp;'5) Release_Track'!$G:$G,1,0)),"NO ISRC-CATALOG ID pair MATCH in Release_Track" )</f>
        <v/>
      </c>
      <c r="D280" s="121" t="str">
        <f t="array" ref="D280">ifs(and(isblank($A280),isblank($B280)),"", not(iserror(vlookup($A280&amp;$B280,'5) Release_Track'!$F:$F&amp;'5) Release_Track'!$G:$G,1,0))),vlookup($A280&amp;$B280,{'5) Release_Track'!$F:$F&amp;'5) Release_Track'!$G:$G,'5) Release_Track'!$I:$I},2,0), or(and(not(isblank($B280)),$B280=$B279,$A280&lt;&gt;$A279),and(not(isblank($A280)),$A280=$A279,$B280&lt;&gt;$B279)),"ID LISTS UNALIGNED",and($A280&lt;&gt;"",countif('5) Release_Track'!$F:$F,$A280)=0),"NO ISRC MATCH in Release_Track",and($B280&lt;&gt;"",countif('5) Release_Track'!$G:$G,$B280)=0),"NO CATALOG ID MATCH in Release_Track",iserror(vlookup($A280&amp;$B280,'5) Release_Track'!$F:$F&amp;'5) Release_Track'!$G:$G,1,0)),"NO ISRC-CATALOG ID pair MATCH in Release_Track" )</f>
        <v/>
      </c>
      <c r="E280" s="125" t="str">
        <f t="array" ref="E280">ifs(and(isblank($A280),isblank($B280)),"", not(iserror(vlookup($A280&amp;$B280,'5) Release_Track'!$F:$F&amp;'5) Release_Track'!$G:$G,1,0))),vlookup($A280&amp;$B280,{'5) Release_Track'!$F:$F&amp;'5) Release_Track'!$G:$G,'5) Release_Track'!$J:$J},2,0), or(and(not(isblank($B280)),$B280=$B279,$A280&lt;&gt;$A279),and(not(isblank($A280)),$A280=$A279,$B280&lt;&gt;$B279)),"ID LISTS UNALIGNED",and($A280&lt;&gt;"",countif('5) Release_Track'!$F:$F,$A280)=0),"NO ISRC MATCH in Release_Track",and($B280&lt;&gt;"",countif('5) Release_Track'!$G:$G,$B280)=0),"NO CATALOG ID MATCH in Release_Track",iserror(vlookup($A280&amp;$B280,'5) Release_Track'!$F:$F&amp;'5) Release_Track'!$G:$G,1,0)),"NO ISRC-CATALOG ID pair MATCH in Release_Track" )</f>
        <v/>
      </c>
      <c r="F280" s="122"/>
      <c r="G280" s="99"/>
      <c r="H280" s="178"/>
      <c r="I280" s="121" t="str">
        <f t="shared" si="6"/>
        <v/>
      </c>
      <c r="J280" s="99"/>
      <c r="K280" s="99"/>
    </row>
    <row r="281">
      <c r="B281" s="103"/>
      <c r="C281" s="121" t="str">
        <f t="array" ref="C281">ifs(and(isblank($A281),isblank($B281)),"", not(iserror(vlookup($A281&amp;$B281,'5) Release_Track'!$F:$F&amp;'5) Release_Track'!$G:$G,1,0))),vlookup($A281&amp;$B281,{'5) Release_Track'!$F:$F&amp;'5) Release_Track'!$G:$G,'5) Release_Track'!$H:$H},2,0), or(and(not(isblank($B281)),$B281=$B280,$A281&lt;&gt;$A280),and(not(isblank($A281)),$A281=$A280,$B281&lt;&gt;$B280)),"ID LISTS UNALIGNED",and($A281&lt;&gt;"",countif('5) Release_Track'!$F:$F,$A281)=0),"NO ISRC MATCH in Release_Track",and($B281&lt;&gt;"",countif('5) Release_Track'!$G:$G,$B281)=0),"NO CATALOG ID MATCH in Release_Track",iserror(vlookup($A281&amp;$B281,'5) Release_Track'!$F:$F&amp;'5) Release_Track'!$G:$G,1,0)),"NO ISRC-CATALOG ID pair MATCH in Release_Track" )</f>
        <v/>
      </c>
      <c r="D281" s="121" t="str">
        <f t="array" ref="D281">ifs(and(isblank($A281),isblank($B281)),"", not(iserror(vlookup($A281&amp;$B281,'5) Release_Track'!$F:$F&amp;'5) Release_Track'!$G:$G,1,0))),vlookup($A281&amp;$B281,{'5) Release_Track'!$F:$F&amp;'5) Release_Track'!$G:$G,'5) Release_Track'!$I:$I},2,0), or(and(not(isblank($B281)),$B281=$B280,$A281&lt;&gt;$A280),and(not(isblank($A281)),$A281=$A280,$B281&lt;&gt;$B280)),"ID LISTS UNALIGNED",and($A281&lt;&gt;"",countif('5) Release_Track'!$F:$F,$A281)=0),"NO ISRC MATCH in Release_Track",and($B281&lt;&gt;"",countif('5) Release_Track'!$G:$G,$B281)=0),"NO CATALOG ID MATCH in Release_Track",iserror(vlookup($A281&amp;$B281,'5) Release_Track'!$F:$F&amp;'5) Release_Track'!$G:$G,1,0)),"NO ISRC-CATALOG ID pair MATCH in Release_Track" )</f>
        <v/>
      </c>
      <c r="E281" s="125" t="str">
        <f t="array" ref="E281">ifs(and(isblank($A281),isblank($B281)),"", not(iserror(vlookup($A281&amp;$B281,'5) Release_Track'!$F:$F&amp;'5) Release_Track'!$G:$G,1,0))),vlookup($A281&amp;$B281,{'5) Release_Track'!$F:$F&amp;'5) Release_Track'!$G:$G,'5) Release_Track'!$J:$J},2,0), or(and(not(isblank($B281)),$B281=$B280,$A281&lt;&gt;$A280),and(not(isblank($A281)),$A281=$A280,$B281&lt;&gt;$B280)),"ID LISTS UNALIGNED",and($A281&lt;&gt;"",countif('5) Release_Track'!$F:$F,$A281)=0),"NO ISRC MATCH in Release_Track",and($B281&lt;&gt;"",countif('5) Release_Track'!$G:$G,$B281)=0),"NO CATALOG ID MATCH in Release_Track",iserror(vlookup($A281&amp;$B281,'5) Release_Track'!$F:$F&amp;'5) Release_Track'!$G:$G,1,0)),"NO ISRC-CATALOG ID pair MATCH in Release_Track" )</f>
        <v/>
      </c>
      <c r="F281" s="122"/>
      <c r="G281" s="99"/>
      <c r="H281" s="178"/>
      <c r="I281" s="121" t="str">
        <f t="shared" si="6"/>
        <v/>
      </c>
      <c r="J281" s="99"/>
      <c r="K281" s="99"/>
    </row>
    <row r="282">
      <c r="B282" s="103"/>
      <c r="C282" s="121" t="str">
        <f t="array" ref="C282">ifs(and(isblank($A282),isblank($B282)),"", not(iserror(vlookup($A282&amp;$B282,'5) Release_Track'!$F:$F&amp;'5) Release_Track'!$G:$G,1,0))),vlookup($A282&amp;$B282,{'5) Release_Track'!$F:$F&amp;'5) Release_Track'!$G:$G,'5) Release_Track'!$H:$H},2,0), or(and(not(isblank($B282)),$B282=$B281,$A282&lt;&gt;$A281),and(not(isblank($A282)),$A282=$A281,$B282&lt;&gt;$B281)),"ID LISTS UNALIGNED",and($A282&lt;&gt;"",countif('5) Release_Track'!$F:$F,$A282)=0),"NO ISRC MATCH in Release_Track",and($B282&lt;&gt;"",countif('5) Release_Track'!$G:$G,$B282)=0),"NO CATALOG ID MATCH in Release_Track",iserror(vlookup($A282&amp;$B282,'5) Release_Track'!$F:$F&amp;'5) Release_Track'!$G:$G,1,0)),"NO ISRC-CATALOG ID pair MATCH in Release_Track" )</f>
        <v/>
      </c>
      <c r="D282" s="121" t="str">
        <f t="array" ref="D282">ifs(and(isblank($A282),isblank($B282)),"", not(iserror(vlookup($A282&amp;$B282,'5) Release_Track'!$F:$F&amp;'5) Release_Track'!$G:$G,1,0))),vlookup($A282&amp;$B282,{'5) Release_Track'!$F:$F&amp;'5) Release_Track'!$G:$G,'5) Release_Track'!$I:$I},2,0), or(and(not(isblank($B282)),$B282=$B281,$A282&lt;&gt;$A281),and(not(isblank($A282)),$A282=$A281,$B282&lt;&gt;$B281)),"ID LISTS UNALIGNED",and($A282&lt;&gt;"",countif('5) Release_Track'!$F:$F,$A282)=0),"NO ISRC MATCH in Release_Track",and($B282&lt;&gt;"",countif('5) Release_Track'!$G:$G,$B282)=0),"NO CATALOG ID MATCH in Release_Track",iserror(vlookup($A282&amp;$B282,'5) Release_Track'!$F:$F&amp;'5) Release_Track'!$G:$G,1,0)),"NO ISRC-CATALOG ID pair MATCH in Release_Track" )</f>
        <v/>
      </c>
      <c r="E282" s="125" t="str">
        <f t="array" ref="E282">ifs(and(isblank($A282),isblank($B282)),"", not(iserror(vlookup($A282&amp;$B282,'5) Release_Track'!$F:$F&amp;'5) Release_Track'!$G:$G,1,0))),vlookup($A282&amp;$B282,{'5) Release_Track'!$F:$F&amp;'5) Release_Track'!$G:$G,'5) Release_Track'!$J:$J},2,0), or(and(not(isblank($B282)),$B282=$B281,$A282&lt;&gt;$A281),and(not(isblank($A282)),$A282=$A281,$B282&lt;&gt;$B281)),"ID LISTS UNALIGNED",and($A282&lt;&gt;"",countif('5) Release_Track'!$F:$F,$A282)=0),"NO ISRC MATCH in Release_Track",and($B282&lt;&gt;"",countif('5) Release_Track'!$G:$G,$B282)=0),"NO CATALOG ID MATCH in Release_Track",iserror(vlookup($A282&amp;$B282,'5) Release_Track'!$F:$F&amp;'5) Release_Track'!$G:$G,1,0)),"NO ISRC-CATALOG ID pair MATCH in Release_Track" )</f>
        <v/>
      </c>
      <c r="F282" s="122"/>
      <c r="G282" s="99"/>
      <c r="H282" s="178"/>
      <c r="I282" s="121" t="str">
        <f t="shared" si="6"/>
        <v/>
      </c>
      <c r="J282" s="99"/>
      <c r="K282" s="99"/>
    </row>
    <row r="283">
      <c r="B283" s="103"/>
      <c r="C283" s="121" t="str">
        <f t="array" ref="C283">ifs(and(isblank($A283),isblank($B283)),"", not(iserror(vlookup($A283&amp;$B283,'5) Release_Track'!$F:$F&amp;'5) Release_Track'!$G:$G,1,0))),vlookup($A283&amp;$B283,{'5) Release_Track'!$F:$F&amp;'5) Release_Track'!$G:$G,'5) Release_Track'!$H:$H},2,0), or(and(not(isblank($B283)),$B283=$B282,$A283&lt;&gt;$A282),and(not(isblank($A283)),$A283=$A282,$B283&lt;&gt;$B282)),"ID LISTS UNALIGNED",and($A283&lt;&gt;"",countif('5) Release_Track'!$F:$F,$A283)=0),"NO ISRC MATCH in Release_Track",and($B283&lt;&gt;"",countif('5) Release_Track'!$G:$G,$B283)=0),"NO CATALOG ID MATCH in Release_Track",iserror(vlookup($A283&amp;$B283,'5) Release_Track'!$F:$F&amp;'5) Release_Track'!$G:$G,1,0)),"NO ISRC-CATALOG ID pair MATCH in Release_Track" )</f>
        <v/>
      </c>
      <c r="D283" s="121" t="str">
        <f t="array" ref="D283">ifs(and(isblank($A283),isblank($B283)),"", not(iserror(vlookup($A283&amp;$B283,'5) Release_Track'!$F:$F&amp;'5) Release_Track'!$G:$G,1,0))),vlookup($A283&amp;$B283,{'5) Release_Track'!$F:$F&amp;'5) Release_Track'!$G:$G,'5) Release_Track'!$I:$I},2,0), or(and(not(isblank($B283)),$B283=$B282,$A283&lt;&gt;$A282),and(not(isblank($A283)),$A283=$A282,$B283&lt;&gt;$B282)),"ID LISTS UNALIGNED",and($A283&lt;&gt;"",countif('5) Release_Track'!$F:$F,$A283)=0),"NO ISRC MATCH in Release_Track",and($B283&lt;&gt;"",countif('5) Release_Track'!$G:$G,$B283)=0),"NO CATALOG ID MATCH in Release_Track",iserror(vlookup($A283&amp;$B283,'5) Release_Track'!$F:$F&amp;'5) Release_Track'!$G:$G,1,0)),"NO ISRC-CATALOG ID pair MATCH in Release_Track" )</f>
        <v/>
      </c>
      <c r="E283" s="125" t="str">
        <f t="array" ref="E283">ifs(and(isblank($A283),isblank($B283)),"", not(iserror(vlookup($A283&amp;$B283,'5) Release_Track'!$F:$F&amp;'5) Release_Track'!$G:$G,1,0))),vlookup($A283&amp;$B283,{'5) Release_Track'!$F:$F&amp;'5) Release_Track'!$G:$G,'5) Release_Track'!$J:$J},2,0), or(and(not(isblank($B283)),$B283=$B282,$A283&lt;&gt;$A282),and(not(isblank($A283)),$A283=$A282,$B283&lt;&gt;$B282)),"ID LISTS UNALIGNED",and($A283&lt;&gt;"",countif('5) Release_Track'!$F:$F,$A283)=0),"NO ISRC MATCH in Release_Track",and($B283&lt;&gt;"",countif('5) Release_Track'!$G:$G,$B283)=0),"NO CATALOG ID MATCH in Release_Track",iserror(vlookup($A283&amp;$B283,'5) Release_Track'!$F:$F&amp;'5) Release_Track'!$G:$G,1,0)),"NO ISRC-CATALOG ID pair MATCH in Release_Track" )</f>
        <v/>
      </c>
      <c r="F283" s="122"/>
      <c r="G283" s="99"/>
      <c r="H283" s="178"/>
      <c r="I283" s="121" t="str">
        <f t="shared" si="6"/>
        <v/>
      </c>
      <c r="J283" s="99"/>
      <c r="K283" s="99"/>
    </row>
    <row r="284">
      <c r="B284" s="103"/>
      <c r="C284" s="121" t="str">
        <f t="array" ref="C284">ifs(and(isblank($A284),isblank($B284)),"", not(iserror(vlookup($A284&amp;$B284,'5) Release_Track'!$F:$F&amp;'5) Release_Track'!$G:$G,1,0))),vlookup($A284&amp;$B284,{'5) Release_Track'!$F:$F&amp;'5) Release_Track'!$G:$G,'5) Release_Track'!$H:$H},2,0), or(and(not(isblank($B284)),$B284=$B283,$A284&lt;&gt;$A283),and(not(isblank($A284)),$A284=$A283,$B284&lt;&gt;$B283)),"ID LISTS UNALIGNED",and($A284&lt;&gt;"",countif('5) Release_Track'!$F:$F,$A284)=0),"NO ISRC MATCH in Release_Track",and($B284&lt;&gt;"",countif('5) Release_Track'!$G:$G,$B284)=0),"NO CATALOG ID MATCH in Release_Track",iserror(vlookup($A284&amp;$B284,'5) Release_Track'!$F:$F&amp;'5) Release_Track'!$G:$G,1,0)),"NO ISRC-CATALOG ID pair MATCH in Release_Track" )</f>
        <v/>
      </c>
      <c r="D284" s="121" t="str">
        <f t="array" ref="D284">ifs(and(isblank($A284),isblank($B284)),"", not(iserror(vlookup($A284&amp;$B284,'5) Release_Track'!$F:$F&amp;'5) Release_Track'!$G:$G,1,0))),vlookup($A284&amp;$B284,{'5) Release_Track'!$F:$F&amp;'5) Release_Track'!$G:$G,'5) Release_Track'!$I:$I},2,0), or(and(not(isblank($B284)),$B284=$B283,$A284&lt;&gt;$A283),and(not(isblank($A284)),$A284=$A283,$B284&lt;&gt;$B283)),"ID LISTS UNALIGNED",and($A284&lt;&gt;"",countif('5) Release_Track'!$F:$F,$A284)=0),"NO ISRC MATCH in Release_Track",and($B284&lt;&gt;"",countif('5) Release_Track'!$G:$G,$B284)=0),"NO CATALOG ID MATCH in Release_Track",iserror(vlookup($A284&amp;$B284,'5) Release_Track'!$F:$F&amp;'5) Release_Track'!$G:$G,1,0)),"NO ISRC-CATALOG ID pair MATCH in Release_Track" )</f>
        <v/>
      </c>
      <c r="E284" s="125" t="str">
        <f t="array" ref="E284">ifs(and(isblank($A284),isblank($B284)),"", not(iserror(vlookup($A284&amp;$B284,'5) Release_Track'!$F:$F&amp;'5) Release_Track'!$G:$G,1,0))),vlookup($A284&amp;$B284,{'5) Release_Track'!$F:$F&amp;'5) Release_Track'!$G:$G,'5) Release_Track'!$J:$J},2,0), or(and(not(isblank($B284)),$B284=$B283,$A284&lt;&gt;$A283),and(not(isblank($A284)),$A284=$A283,$B284&lt;&gt;$B283)),"ID LISTS UNALIGNED",and($A284&lt;&gt;"",countif('5) Release_Track'!$F:$F,$A284)=0),"NO ISRC MATCH in Release_Track",and($B284&lt;&gt;"",countif('5) Release_Track'!$G:$G,$B284)=0),"NO CATALOG ID MATCH in Release_Track",iserror(vlookup($A284&amp;$B284,'5) Release_Track'!$F:$F&amp;'5) Release_Track'!$G:$G,1,0)),"NO ISRC-CATALOG ID pair MATCH in Release_Track" )</f>
        <v/>
      </c>
      <c r="F284" s="122"/>
      <c r="G284" s="99"/>
      <c r="H284" s="178"/>
      <c r="I284" s="121" t="str">
        <f t="shared" si="6"/>
        <v/>
      </c>
      <c r="J284" s="99"/>
      <c r="K284" s="99"/>
    </row>
    <row r="285">
      <c r="B285" s="103"/>
      <c r="C285" s="121" t="str">
        <f t="array" ref="C285">ifs(and(isblank($A285),isblank($B285)),"", not(iserror(vlookup($A285&amp;$B285,'5) Release_Track'!$F:$F&amp;'5) Release_Track'!$G:$G,1,0))),vlookup($A285&amp;$B285,{'5) Release_Track'!$F:$F&amp;'5) Release_Track'!$G:$G,'5) Release_Track'!$H:$H},2,0), or(and(not(isblank($B285)),$B285=$B284,$A285&lt;&gt;$A284),and(not(isblank($A285)),$A285=$A284,$B285&lt;&gt;$B284)),"ID LISTS UNALIGNED",and($A285&lt;&gt;"",countif('5) Release_Track'!$F:$F,$A285)=0),"NO ISRC MATCH in Release_Track",and($B285&lt;&gt;"",countif('5) Release_Track'!$G:$G,$B285)=0),"NO CATALOG ID MATCH in Release_Track",iserror(vlookup($A285&amp;$B285,'5) Release_Track'!$F:$F&amp;'5) Release_Track'!$G:$G,1,0)),"NO ISRC-CATALOG ID pair MATCH in Release_Track" )</f>
        <v/>
      </c>
      <c r="D285" s="121" t="str">
        <f t="array" ref="D285">ifs(and(isblank($A285),isblank($B285)),"", not(iserror(vlookup($A285&amp;$B285,'5) Release_Track'!$F:$F&amp;'5) Release_Track'!$G:$G,1,0))),vlookup($A285&amp;$B285,{'5) Release_Track'!$F:$F&amp;'5) Release_Track'!$G:$G,'5) Release_Track'!$I:$I},2,0), or(and(not(isblank($B285)),$B285=$B284,$A285&lt;&gt;$A284),and(not(isblank($A285)),$A285=$A284,$B285&lt;&gt;$B284)),"ID LISTS UNALIGNED",and($A285&lt;&gt;"",countif('5) Release_Track'!$F:$F,$A285)=0),"NO ISRC MATCH in Release_Track",and($B285&lt;&gt;"",countif('5) Release_Track'!$G:$G,$B285)=0),"NO CATALOG ID MATCH in Release_Track",iserror(vlookup($A285&amp;$B285,'5) Release_Track'!$F:$F&amp;'5) Release_Track'!$G:$G,1,0)),"NO ISRC-CATALOG ID pair MATCH in Release_Track" )</f>
        <v/>
      </c>
      <c r="E285" s="125" t="str">
        <f t="array" ref="E285">ifs(and(isblank($A285),isblank($B285)),"", not(iserror(vlookup($A285&amp;$B285,'5) Release_Track'!$F:$F&amp;'5) Release_Track'!$G:$G,1,0))),vlookup($A285&amp;$B285,{'5) Release_Track'!$F:$F&amp;'5) Release_Track'!$G:$G,'5) Release_Track'!$J:$J},2,0), or(and(not(isblank($B285)),$B285=$B284,$A285&lt;&gt;$A284),and(not(isblank($A285)),$A285=$A284,$B285&lt;&gt;$B284)),"ID LISTS UNALIGNED",and($A285&lt;&gt;"",countif('5) Release_Track'!$F:$F,$A285)=0),"NO ISRC MATCH in Release_Track",and($B285&lt;&gt;"",countif('5) Release_Track'!$G:$G,$B285)=0),"NO CATALOG ID MATCH in Release_Track",iserror(vlookup($A285&amp;$B285,'5) Release_Track'!$F:$F&amp;'5) Release_Track'!$G:$G,1,0)),"NO ISRC-CATALOG ID pair MATCH in Release_Track" )</f>
        <v/>
      </c>
      <c r="F285" s="122"/>
      <c r="G285" s="99"/>
      <c r="H285" s="178"/>
      <c r="I285" s="121" t="str">
        <f t="shared" si="6"/>
        <v/>
      </c>
      <c r="J285" s="99"/>
      <c r="K285" s="99"/>
    </row>
    <row r="286">
      <c r="B286" s="103"/>
      <c r="C286" s="121" t="str">
        <f t="array" ref="C286">ifs(and(isblank($A286),isblank($B286)),"", not(iserror(vlookup($A286&amp;$B286,'5) Release_Track'!$F:$F&amp;'5) Release_Track'!$G:$G,1,0))),vlookup($A286&amp;$B286,{'5) Release_Track'!$F:$F&amp;'5) Release_Track'!$G:$G,'5) Release_Track'!$H:$H},2,0), or(and(not(isblank($B286)),$B286=$B285,$A286&lt;&gt;$A285),and(not(isblank($A286)),$A286=$A285,$B286&lt;&gt;$B285)),"ID LISTS UNALIGNED",and($A286&lt;&gt;"",countif('5) Release_Track'!$F:$F,$A286)=0),"NO ISRC MATCH in Release_Track",and($B286&lt;&gt;"",countif('5) Release_Track'!$G:$G,$B286)=0),"NO CATALOG ID MATCH in Release_Track",iserror(vlookup($A286&amp;$B286,'5) Release_Track'!$F:$F&amp;'5) Release_Track'!$G:$G,1,0)),"NO ISRC-CATALOG ID pair MATCH in Release_Track" )</f>
        <v/>
      </c>
      <c r="D286" s="121" t="str">
        <f t="array" ref="D286">ifs(and(isblank($A286),isblank($B286)),"", not(iserror(vlookup($A286&amp;$B286,'5) Release_Track'!$F:$F&amp;'5) Release_Track'!$G:$G,1,0))),vlookup($A286&amp;$B286,{'5) Release_Track'!$F:$F&amp;'5) Release_Track'!$G:$G,'5) Release_Track'!$I:$I},2,0), or(and(not(isblank($B286)),$B286=$B285,$A286&lt;&gt;$A285),and(not(isblank($A286)),$A286=$A285,$B286&lt;&gt;$B285)),"ID LISTS UNALIGNED",and($A286&lt;&gt;"",countif('5) Release_Track'!$F:$F,$A286)=0),"NO ISRC MATCH in Release_Track",and($B286&lt;&gt;"",countif('5) Release_Track'!$G:$G,$B286)=0),"NO CATALOG ID MATCH in Release_Track",iserror(vlookup($A286&amp;$B286,'5) Release_Track'!$F:$F&amp;'5) Release_Track'!$G:$G,1,0)),"NO ISRC-CATALOG ID pair MATCH in Release_Track" )</f>
        <v/>
      </c>
      <c r="E286" s="125" t="str">
        <f t="array" ref="E286">ifs(and(isblank($A286),isblank($B286)),"", not(iserror(vlookup($A286&amp;$B286,'5) Release_Track'!$F:$F&amp;'5) Release_Track'!$G:$G,1,0))),vlookup($A286&amp;$B286,{'5) Release_Track'!$F:$F&amp;'5) Release_Track'!$G:$G,'5) Release_Track'!$J:$J},2,0), or(and(not(isblank($B286)),$B286=$B285,$A286&lt;&gt;$A285),and(not(isblank($A286)),$A286=$A285,$B286&lt;&gt;$B285)),"ID LISTS UNALIGNED",and($A286&lt;&gt;"",countif('5) Release_Track'!$F:$F,$A286)=0),"NO ISRC MATCH in Release_Track",and($B286&lt;&gt;"",countif('5) Release_Track'!$G:$G,$B286)=0),"NO CATALOG ID MATCH in Release_Track",iserror(vlookup($A286&amp;$B286,'5) Release_Track'!$F:$F&amp;'5) Release_Track'!$G:$G,1,0)),"NO ISRC-CATALOG ID pair MATCH in Release_Track" )</f>
        <v/>
      </c>
      <c r="F286" s="122"/>
      <c r="G286" s="99"/>
      <c r="H286" s="178"/>
      <c r="I286" s="121" t="str">
        <f t="shared" si="6"/>
        <v/>
      </c>
      <c r="J286" s="99"/>
      <c r="K286" s="99"/>
    </row>
    <row r="287">
      <c r="B287" s="103"/>
      <c r="C287" s="121" t="str">
        <f t="array" ref="C287">ifs(and(isblank($A287),isblank($B287)),"", not(iserror(vlookup($A287&amp;$B287,'5) Release_Track'!$F:$F&amp;'5) Release_Track'!$G:$G,1,0))),vlookup($A287&amp;$B287,{'5) Release_Track'!$F:$F&amp;'5) Release_Track'!$G:$G,'5) Release_Track'!$H:$H},2,0), or(and(not(isblank($B287)),$B287=$B286,$A287&lt;&gt;$A286),and(not(isblank($A287)),$A287=$A286,$B287&lt;&gt;$B286)),"ID LISTS UNALIGNED",and($A287&lt;&gt;"",countif('5) Release_Track'!$F:$F,$A287)=0),"NO ISRC MATCH in Release_Track",and($B287&lt;&gt;"",countif('5) Release_Track'!$G:$G,$B287)=0),"NO CATALOG ID MATCH in Release_Track",iserror(vlookup($A287&amp;$B287,'5) Release_Track'!$F:$F&amp;'5) Release_Track'!$G:$G,1,0)),"NO ISRC-CATALOG ID pair MATCH in Release_Track" )</f>
        <v/>
      </c>
      <c r="D287" s="121" t="str">
        <f t="array" ref="D287">ifs(and(isblank($A287),isblank($B287)),"", not(iserror(vlookup($A287&amp;$B287,'5) Release_Track'!$F:$F&amp;'5) Release_Track'!$G:$G,1,0))),vlookup($A287&amp;$B287,{'5) Release_Track'!$F:$F&amp;'5) Release_Track'!$G:$G,'5) Release_Track'!$I:$I},2,0), or(and(not(isblank($B287)),$B287=$B286,$A287&lt;&gt;$A286),and(not(isblank($A287)),$A287=$A286,$B287&lt;&gt;$B286)),"ID LISTS UNALIGNED",and($A287&lt;&gt;"",countif('5) Release_Track'!$F:$F,$A287)=0),"NO ISRC MATCH in Release_Track",and($B287&lt;&gt;"",countif('5) Release_Track'!$G:$G,$B287)=0),"NO CATALOG ID MATCH in Release_Track",iserror(vlookup($A287&amp;$B287,'5) Release_Track'!$F:$F&amp;'5) Release_Track'!$G:$G,1,0)),"NO ISRC-CATALOG ID pair MATCH in Release_Track" )</f>
        <v/>
      </c>
      <c r="E287" s="125" t="str">
        <f t="array" ref="E287">ifs(and(isblank($A287),isblank($B287)),"", not(iserror(vlookup($A287&amp;$B287,'5) Release_Track'!$F:$F&amp;'5) Release_Track'!$G:$G,1,0))),vlookup($A287&amp;$B287,{'5) Release_Track'!$F:$F&amp;'5) Release_Track'!$G:$G,'5) Release_Track'!$J:$J},2,0), or(and(not(isblank($B287)),$B287=$B286,$A287&lt;&gt;$A286),and(not(isblank($A287)),$A287=$A286,$B287&lt;&gt;$B286)),"ID LISTS UNALIGNED",and($A287&lt;&gt;"",countif('5) Release_Track'!$F:$F,$A287)=0),"NO ISRC MATCH in Release_Track",and($B287&lt;&gt;"",countif('5) Release_Track'!$G:$G,$B287)=0),"NO CATALOG ID MATCH in Release_Track",iserror(vlookup($A287&amp;$B287,'5) Release_Track'!$F:$F&amp;'5) Release_Track'!$G:$G,1,0)),"NO ISRC-CATALOG ID pair MATCH in Release_Track" )</f>
        <v/>
      </c>
      <c r="F287" s="122"/>
      <c r="G287" s="99"/>
      <c r="H287" s="178"/>
      <c r="I287" s="121" t="str">
        <f t="shared" si="6"/>
        <v/>
      </c>
      <c r="J287" s="99"/>
      <c r="K287" s="99"/>
    </row>
    <row r="288">
      <c r="B288" s="103"/>
      <c r="C288" s="121" t="str">
        <f t="array" ref="C288">ifs(and(isblank($A288),isblank($B288)),"", not(iserror(vlookup($A288&amp;$B288,'5) Release_Track'!$F:$F&amp;'5) Release_Track'!$G:$G,1,0))),vlookup($A288&amp;$B288,{'5) Release_Track'!$F:$F&amp;'5) Release_Track'!$G:$G,'5) Release_Track'!$H:$H},2,0), or(and(not(isblank($B288)),$B288=$B287,$A288&lt;&gt;$A287),and(not(isblank($A288)),$A288=$A287,$B288&lt;&gt;$B287)),"ID LISTS UNALIGNED",and($A288&lt;&gt;"",countif('5) Release_Track'!$F:$F,$A288)=0),"NO ISRC MATCH in Release_Track",and($B288&lt;&gt;"",countif('5) Release_Track'!$G:$G,$B288)=0),"NO CATALOG ID MATCH in Release_Track",iserror(vlookup($A288&amp;$B288,'5) Release_Track'!$F:$F&amp;'5) Release_Track'!$G:$G,1,0)),"NO ISRC-CATALOG ID pair MATCH in Release_Track" )</f>
        <v/>
      </c>
      <c r="D288" s="121" t="str">
        <f t="array" ref="D288">ifs(and(isblank($A288),isblank($B288)),"", not(iserror(vlookup($A288&amp;$B288,'5) Release_Track'!$F:$F&amp;'5) Release_Track'!$G:$G,1,0))),vlookup($A288&amp;$B288,{'5) Release_Track'!$F:$F&amp;'5) Release_Track'!$G:$G,'5) Release_Track'!$I:$I},2,0), or(and(not(isblank($B288)),$B288=$B287,$A288&lt;&gt;$A287),and(not(isblank($A288)),$A288=$A287,$B288&lt;&gt;$B287)),"ID LISTS UNALIGNED",and($A288&lt;&gt;"",countif('5) Release_Track'!$F:$F,$A288)=0),"NO ISRC MATCH in Release_Track",and($B288&lt;&gt;"",countif('5) Release_Track'!$G:$G,$B288)=0),"NO CATALOG ID MATCH in Release_Track",iserror(vlookup($A288&amp;$B288,'5) Release_Track'!$F:$F&amp;'5) Release_Track'!$G:$G,1,0)),"NO ISRC-CATALOG ID pair MATCH in Release_Track" )</f>
        <v/>
      </c>
      <c r="E288" s="125" t="str">
        <f t="array" ref="E288">ifs(and(isblank($A288),isblank($B288)),"", not(iserror(vlookup($A288&amp;$B288,'5) Release_Track'!$F:$F&amp;'5) Release_Track'!$G:$G,1,0))),vlookup($A288&amp;$B288,{'5) Release_Track'!$F:$F&amp;'5) Release_Track'!$G:$G,'5) Release_Track'!$J:$J},2,0), or(and(not(isblank($B288)),$B288=$B287,$A288&lt;&gt;$A287),and(not(isblank($A288)),$A288=$A287,$B288&lt;&gt;$B287)),"ID LISTS UNALIGNED",and($A288&lt;&gt;"",countif('5) Release_Track'!$F:$F,$A288)=0),"NO ISRC MATCH in Release_Track",and($B288&lt;&gt;"",countif('5) Release_Track'!$G:$G,$B288)=0),"NO CATALOG ID MATCH in Release_Track",iserror(vlookup($A288&amp;$B288,'5) Release_Track'!$F:$F&amp;'5) Release_Track'!$G:$G,1,0)),"NO ISRC-CATALOG ID pair MATCH in Release_Track" )</f>
        <v/>
      </c>
      <c r="F288" s="122"/>
      <c r="G288" s="99"/>
      <c r="H288" s="178"/>
      <c r="I288" s="121" t="str">
        <f t="shared" si="6"/>
        <v/>
      </c>
      <c r="J288" s="99"/>
      <c r="K288" s="99"/>
    </row>
    <row r="289">
      <c r="B289" s="103"/>
      <c r="C289" s="121" t="str">
        <f t="array" ref="C289">ifs(and(isblank($A289),isblank($B289)),"", not(iserror(vlookup($A289&amp;$B289,'5) Release_Track'!$F:$F&amp;'5) Release_Track'!$G:$G,1,0))),vlookup($A289&amp;$B289,{'5) Release_Track'!$F:$F&amp;'5) Release_Track'!$G:$G,'5) Release_Track'!$H:$H},2,0), or(and(not(isblank($B289)),$B289=$B288,$A289&lt;&gt;$A288),and(not(isblank($A289)),$A289=$A288,$B289&lt;&gt;$B288)),"ID LISTS UNALIGNED",and($A289&lt;&gt;"",countif('5) Release_Track'!$F:$F,$A289)=0),"NO ISRC MATCH in Release_Track",and($B289&lt;&gt;"",countif('5) Release_Track'!$G:$G,$B289)=0),"NO CATALOG ID MATCH in Release_Track",iserror(vlookup($A289&amp;$B289,'5) Release_Track'!$F:$F&amp;'5) Release_Track'!$G:$G,1,0)),"NO ISRC-CATALOG ID pair MATCH in Release_Track" )</f>
        <v/>
      </c>
      <c r="D289" s="121" t="str">
        <f t="array" ref="D289">ifs(and(isblank($A289),isblank($B289)),"", not(iserror(vlookup($A289&amp;$B289,'5) Release_Track'!$F:$F&amp;'5) Release_Track'!$G:$G,1,0))),vlookup($A289&amp;$B289,{'5) Release_Track'!$F:$F&amp;'5) Release_Track'!$G:$G,'5) Release_Track'!$I:$I},2,0), or(and(not(isblank($B289)),$B289=$B288,$A289&lt;&gt;$A288),and(not(isblank($A289)),$A289=$A288,$B289&lt;&gt;$B288)),"ID LISTS UNALIGNED",and($A289&lt;&gt;"",countif('5) Release_Track'!$F:$F,$A289)=0),"NO ISRC MATCH in Release_Track",and($B289&lt;&gt;"",countif('5) Release_Track'!$G:$G,$B289)=0),"NO CATALOG ID MATCH in Release_Track",iserror(vlookup($A289&amp;$B289,'5) Release_Track'!$F:$F&amp;'5) Release_Track'!$G:$G,1,0)),"NO ISRC-CATALOG ID pair MATCH in Release_Track" )</f>
        <v/>
      </c>
      <c r="E289" s="125" t="str">
        <f t="array" ref="E289">ifs(and(isblank($A289),isblank($B289)),"", not(iserror(vlookup($A289&amp;$B289,'5) Release_Track'!$F:$F&amp;'5) Release_Track'!$G:$G,1,0))),vlookup($A289&amp;$B289,{'5) Release_Track'!$F:$F&amp;'5) Release_Track'!$G:$G,'5) Release_Track'!$J:$J},2,0), or(and(not(isblank($B289)),$B289=$B288,$A289&lt;&gt;$A288),and(not(isblank($A289)),$A289=$A288,$B289&lt;&gt;$B288)),"ID LISTS UNALIGNED",and($A289&lt;&gt;"",countif('5) Release_Track'!$F:$F,$A289)=0),"NO ISRC MATCH in Release_Track",and($B289&lt;&gt;"",countif('5) Release_Track'!$G:$G,$B289)=0),"NO CATALOG ID MATCH in Release_Track",iserror(vlookup($A289&amp;$B289,'5) Release_Track'!$F:$F&amp;'5) Release_Track'!$G:$G,1,0)),"NO ISRC-CATALOG ID pair MATCH in Release_Track" )</f>
        <v/>
      </c>
      <c r="F289" s="122"/>
      <c r="G289" s="99"/>
      <c r="H289" s="178"/>
      <c r="I289" s="121" t="str">
        <f t="shared" si="6"/>
        <v/>
      </c>
      <c r="J289" s="99"/>
      <c r="K289" s="99"/>
    </row>
    <row r="290">
      <c r="B290" s="103"/>
      <c r="C290" s="121" t="str">
        <f t="array" ref="C290">ifs(and(isblank($A290),isblank($B290)),"", not(iserror(vlookup($A290&amp;$B290,'5) Release_Track'!$F:$F&amp;'5) Release_Track'!$G:$G,1,0))),vlookup($A290&amp;$B290,{'5) Release_Track'!$F:$F&amp;'5) Release_Track'!$G:$G,'5) Release_Track'!$H:$H},2,0), or(and(not(isblank($B290)),$B290=$B289,$A290&lt;&gt;$A289),and(not(isblank($A290)),$A290=$A289,$B290&lt;&gt;$B289)),"ID LISTS UNALIGNED",and($A290&lt;&gt;"",countif('5) Release_Track'!$F:$F,$A290)=0),"NO ISRC MATCH in Release_Track",and($B290&lt;&gt;"",countif('5) Release_Track'!$G:$G,$B290)=0),"NO CATALOG ID MATCH in Release_Track",iserror(vlookup($A290&amp;$B290,'5) Release_Track'!$F:$F&amp;'5) Release_Track'!$G:$G,1,0)),"NO ISRC-CATALOG ID pair MATCH in Release_Track" )</f>
        <v/>
      </c>
      <c r="D290" s="121" t="str">
        <f t="array" ref="D290">ifs(and(isblank($A290),isblank($B290)),"", not(iserror(vlookup($A290&amp;$B290,'5) Release_Track'!$F:$F&amp;'5) Release_Track'!$G:$G,1,0))),vlookup($A290&amp;$B290,{'5) Release_Track'!$F:$F&amp;'5) Release_Track'!$G:$G,'5) Release_Track'!$I:$I},2,0), or(and(not(isblank($B290)),$B290=$B289,$A290&lt;&gt;$A289),and(not(isblank($A290)),$A290=$A289,$B290&lt;&gt;$B289)),"ID LISTS UNALIGNED",and($A290&lt;&gt;"",countif('5) Release_Track'!$F:$F,$A290)=0),"NO ISRC MATCH in Release_Track",and($B290&lt;&gt;"",countif('5) Release_Track'!$G:$G,$B290)=0),"NO CATALOG ID MATCH in Release_Track",iserror(vlookup($A290&amp;$B290,'5) Release_Track'!$F:$F&amp;'5) Release_Track'!$G:$G,1,0)),"NO ISRC-CATALOG ID pair MATCH in Release_Track" )</f>
        <v/>
      </c>
      <c r="E290" s="125" t="str">
        <f t="array" ref="E290">ifs(and(isblank($A290),isblank($B290)),"", not(iserror(vlookup($A290&amp;$B290,'5) Release_Track'!$F:$F&amp;'5) Release_Track'!$G:$G,1,0))),vlookup($A290&amp;$B290,{'5) Release_Track'!$F:$F&amp;'5) Release_Track'!$G:$G,'5) Release_Track'!$J:$J},2,0), or(and(not(isblank($B290)),$B290=$B289,$A290&lt;&gt;$A289),and(not(isblank($A290)),$A290=$A289,$B290&lt;&gt;$B289)),"ID LISTS UNALIGNED",and($A290&lt;&gt;"",countif('5) Release_Track'!$F:$F,$A290)=0),"NO ISRC MATCH in Release_Track",and($B290&lt;&gt;"",countif('5) Release_Track'!$G:$G,$B290)=0),"NO CATALOG ID MATCH in Release_Track",iserror(vlookup($A290&amp;$B290,'5) Release_Track'!$F:$F&amp;'5) Release_Track'!$G:$G,1,0)),"NO ISRC-CATALOG ID pair MATCH in Release_Track" )</f>
        <v/>
      </c>
      <c r="F290" s="122"/>
      <c r="G290" s="99"/>
      <c r="H290" s="178"/>
      <c r="I290" s="121" t="str">
        <f t="shared" si="6"/>
        <v/>
      </c>
      <c r="J290" s="99"/>
      <c r="K290" s="99"/>
    </row>
    <row r="291">
      <c r="B291" s="103"/>
      <c r="C291" s="121" t="str">
        <f t="array" ref="C291">ifs(and(isblank($A291),isblank($B291)),"", not(iserror(vlookup($A291&amp;$B291,'5) Release_Track'!$F:$F&amp;'5) Release_Track'!$G:$G,1,0))),vlookup($A291&amp;$B291,{'5) Release_Track'!$F:$F&amp;'5) Release_Track'!$G:$G,'5) Release_Track'!$H:$H},2,0), or(and(not(isblank($B291)),$B291=$B290,$A291&lt;&gt;$A290),and(not(isblank($A291)),$A291=$A290,$B291&lt;&gt;$B290)),"ID LISTS UNALIGNED",and($A291&lt;&gt;"",countif('5) Release_Track'!$F:$F,$A291)=0),"NO ISRC MATCH in Release_Track",and($B291&lt;&gt;"",countif('5) Release_Track'!$G:$G,$B291)=0),"NO CATALOG ID MATCH in Release_Track",iserror(vlookup($A291&amp;$B291,'5) Release_Track'!$F:$F&amp;'5) Release_Track'!$G:$G,1,0)),"NO ISRC-CATALOG ID pair MATCH in Release_Track" )</f>
        <v/>
      </c>
      <c r="D291" s="121" t="str">
        <f t="array" ref="D291">ifs(and(isblank($A291),isblank($B291)),"", not(iserror(vlookup($A291&amp;$B291,'5) Release_Track'!$F:$F&amp;'5) Release_Track'!$G:$G,1,0))),vlookup($A291&amp;$B291,{'5) Release_Track'!$F:$F&amp;'5) Release_Track'!$G:$G,'5) Release_Track'!$I:$I},2,0), or(and(not(isblank($B291)),$B291=$B290,$A291&lt;&gt;$A290),and(not(isblank($A291)),$A291=$A290,$B291&lt;&gt;$B290)),"ID LISTS UNALIGNED",and($A291&lt;&gt;"",countif('5) Release_Track'!$F:$F,$A291)=0),"NO ISRC MATCH in Release_Track",and($B291&lt;&gt;"",countif('5) Release_Track'!$G:$G,$B291)=0),"NO CATALOG ID MATCH in Release_Track",iserror(vlookup($A291&amp;$B291,'5) Release_Track'!$F:$F&amp;'5) Release_Track'!$G:$G,1,0)),"NO ISRC-CATALOG ID pair MATCH in Release_Track" )</f>
        <v/>
      </c>
      <c r="E291" s="125" t="str">
        <f t="array" ref="E291">ifs(and(isblank($A291),isblank($B291)),"", not(iserror(vlookup($A291&amp;$B291,'5) Release_Track'!$F:$F&amp;'5) Release_Track'!$G:$G,1,0))),vlookup($A291&amp;$B291,{'5) Release_Track'!$F:$F&amp;'5) Release_Track'!$G:$G,'5) Release_Track'!$J:$J},2,0), or(and(not(isblank($B291)),$B291=$B290,$A291&lt;&gt;$A290),and(not(isblank($A291)),$A291=$A290,$B291&lt;&gt;$B290)),"ID LISTS UNALIGNED",and($A291&lt;&gt;"",countif('5) Release_Track'!$F:$F,$A291)=0),"NO ISRC MATCH in Release_Track",and($B291&lt;&gt;"",countif('5) Release_Track'!$G:$G,$B291)=0),"NO CATALOG ID MATCH in Release_Track",iserror(vlookup($A291&amp;$B291,'5) Release_Track'!$F:$F&amp;'5) Release_Track'!$G:$G,1,0)),"NO ISRC-CATALOG ID pair MATCH in Release_Track" )</f>
        <v/>
      </c>
      <c r="F291" s="122"/>
      <c r="G291" s="99"/>
      <c r="H291" s="178"/>
      <c r="I291" s="121" t="str">
        <f t="shared" si="6"/>
        <v/>
      </c>
      <c r="J291" s="99"/>
      <c r="K291" s="99"/>
    </row>
    <row r="292">
      <c r="B292" s="103"/>
      <c r="C292" s="121" t="str">
        <f t="array" ref="C292">ifs(and(isblank($A292),isblank($B292)),"", not(iserror(vlookup($A292&amp;$B292,'5) Release_Track'!$F:$F&amp;'5) Release_Track'!$G:$G,1,0))),vlookup($A292&amp;$B292,{'5) Release_Track'!$F:$F&amp;'5) Release_Track'!$G:$G,'5) Release_Track'!$H:$H},2,0), or(and(not(isblank($B292)),$B292=$B291,$A292&lt;&gt;$A291),and(not(isblank($A292)),$A292=$A291,$B292&lt;&gt;$B291)),"ID LISTS UNALIGNED",and($A292&lt;&gt;"",countif('5) Release_Track'!$F:$F,$A292)=0),"NO ISRC MATCH in Release_Track",and($B292&lt;&gt;"",countif('5) Release_Track'!$G:$G,$B292)=0),"NO CATALOG ID MATCH in Release_Track",iserror(vlookup($A292&amp;$B292,'5) Release_Track'!$F:$F&amp;'5) Release_Track'!$G:$G,1,0)),"NO ISRC-CATALOG ID pair MATCH in Release_Track" )</f>
        <v/>
      </c>
      <c r="D292" s="121" t="str">
        <f t="array" ref="D292">ifs(and(isblank($A292),isblank($B292)),"", not(iserror(vlookup($A292&amp;$B292,'5) Release_Track'!$F:$F&amp;'5) Release_Track'!$G:$G,1,0))),vlookup($A292&amp;$B292,{'5) Release_Track'!$F:$F&amp;'5) Release_Track'!$G:$G,'5) Release_Track'!$I:$I},2,0), or(and(not(isblank($B292)),$B292=$B291,$A292&lt;&gt;$A291),and(not(isblank($A292)),$A292=$A291,$B292&lt;&gt;$B291)),"ID LISTS UNALIGNED",and($A292&lt;&gt;"",countif('5) Release_Track'!$F:$F,$A292)=0),"NO ISRC MATCH in Release_Track",and($B292&lt;&gt;"",countif('5) Release_Track'!$G:$G,$B292)=0),"NO CATALOG ID MATCH in Release_Track",iserror(vlookup($A292&amp;$B292,'5) Release_Track'!$F:$F&amp;'5) Release_Track'!$G:$G,1,0)),"NO ISRC-CATALOG ID pair MATCH in Release_Track" )</f>
        <v/>
      </c>
      <c r="E292" s="125" t="str">
        <f t="array" ref="E292">ifs(and(isblank($A292),isblank($B292)),"", not(iserror(vlookup($A292&amp;$B292,'5) Release_Track'!$F:$F&amp;'5) Release_Track'!$G:$G,1,0))),vlookup($A292&amp;$B292,{'5) Release_Track'!$F:$F&amp;'5) Release_Track'!$G:$G,'5) Release_Track'!$J:$J},2,0), or(and(not(isblank($B292)),$B292=$B291,$A292&lt;&gt;$A291),and(not(isblank($A292)),$A292=$A291,$B292&lt;&gt;$B291)),"ID LISTS UNALIGNED",and($A292&lt;&gt;"",countif('5) Release_Track'!$F:$F,$A292)=0),"NO ISRC MATCH in Release_Track",and($B292&lt;&gt;"",countif('5) Release_Track'!$G:$G,$B292)=0),"NO CATALOG ID MATCH in Release_Track",iserror(vlookup($A292&amp;$B292,'5) Release_Track'!$F:$F&amp;'5) Release_Track'!$G:$G,1,0)),"NO ISRC-CATALOG ID pair MATCH in Release_Track" )</f>
        <v/>
      </c>
      <c r="F292" s="122"/>
      <c r="G292" s="99"/>
      <c r="H292" s="178"/>
      <c r="I292" s="121" t="str">
        <f t="shared" si="6"/>
        <v/>
      </c>
      <c r="J292" s="99"/>
      <c r="K292" s="99"/>
    </row>
    <row r="293">
      <c r="B293" s="103"/>
      <c r="C293" s="121" t="str">
        <f t="array" ref="C293">ifs(and(isblank($A293),isblank($B293)),"", not(iserror(vlookup($A293&amp;$B293,'5) Release_Track'!$F:$F&amp;'5) Release_Track'!$G:$G,1,0))),vlookup($A293&amp;$B293,{'5) Release_Track'!$F:$F&amp;'5) Release_Track'!$G:$G,'5) Release_Track'!$H:$H},2,0), or(and(not(isblank($B293)),$B293=$B292,$A293&lt;&gt;$A292),and(not(isblank($A293)),$A293=$A292,$B293&lt;&gt;$B292)),"ID LISTS UNALIGNED",and($A293&lt;&gt;"",countif('5) Release_Track'!$F:$F,$A293)=0),"NO ISRC MATCH in Release_Track",and($B293&lt;&gt;"",countif('5) Release_Track'!$G:$G,$B293)=0),"NO CATALOG ID MATCH in Release_Track",iserror(vlookup($A293&amp;$B293,'5) Release_Track'!$F:$F&amp;'5) Release_Track'!$G:$G,1,0)),"NO ISRC-CATALOG ID pair MATCH in Release_Track" )</f>
        <v/>
      </c>
      <c r="D293" s="121" t="str">
        <f t="array" ref="D293">ifs(and(isblank($A293),isblank($B293)),"", not(iserror(vlookup($A293&amp;$B293,'5) Release_Track'!$F:$F&amp;'5) Release_Track'!$G:$G,1,0))),vlookup($A293&amp;$B293,{'5) Release_Track'!$F:$F&amp;'5) Release_Track'!$G:$G,'5) Release_Track'!$I:$I},2,0), or(and(not(isblank($B293)),$B293=$B292,$A293&lt;&gt;$A292),and(not(isblank($A293)),$A293=$A292,$B293&lt;&gt;$B292)),"ID LISTS UNALIGNED",and($A293&lt;&gt;"",countif('5) Release_Track'!$F:$F,$A293)=0),"NO ISRC MATCH in Release_Track",and($B293&lt;&gt;"",countif('5) Release_Track'!$G:$G,$B293)=0),"NO CATALOG ID MATCH in Release_Track",iserror(vlookup($A293&amp;$B293,'5) Release_Track'!$F:$F&amp;'5) Release_Track'!$G:$G,1,0)),"NO ISRC-CATALOG ID pair MATCH in Release_Track" )</f>
        <v/>
      </c>
      <c r="E293" s="125" t="str">
        <f t="array" ref="E293">ifs(and(isblank($A293),isblank($B293)),"", not(iserror(vlookup($A293&amp;$B293,'5) Release_Track'!$F:$F&amp;'5) Release_Track'!$G:$G,1,0))),vlookup($A293&amp;$B293,{'5) Release_Track'!$F:$F&amp;'5) Release_Track'!$G:$G,'5) Release_Track'!$J:$J},2,0), or(and(not(isblank($B293)),$B293=$B292,$A293&lt;&gt;$A292),and(not(isblank($A293)),$A293=$A292,$B293&lt;&gt;$B292)),"ID LISTS UNALIGNED",and($A293&lt;&gt;"",countif('5) Release_Track'!$F:$F,$A293)=0),"NO ISRC MATCH in Release_Track",and($B293&lt;&gt;"",countif('5) Release_Track'!$G:$G,$B293)=0),"NO CATALOG ID MATCH in Release_Track",iserror(vlookup($A293&amp;$B293,'5) Release_Track'!$F:$F&amp;'5) Release_Track'!$G:$G,1,0)),"NO ISRC-CATALOG ID pair MATCH in Release_Track" )</f>
        <v/>
      </c>
      <c r="F293" s="122"/>
      <c r="G293" s="99"/>
      <c r="H293" s="178"/>
      <c r="I293" s="121" t="str">
        <f t="shared" si="6"/>
        <v/>
      </c>
      <c r="J293" s="99"/>
      <c r="K293" s="99"/>
    </row>
    <row r="294">
      <c r="B294" s="103"/>
      <c r="C294" s="121" t="str">
        <f t="array" ref="C294">ifs(and(isblank($A294),isblank($B294)),"", not(iserror(vlookup($A294&amp;$B294,'5) Release_Track'!$F:$F&amp;'5) Release_Track'!$G:$G,1,0))),vlookup($A294&amp;$B294,{'5) Release_Track'!$F:$F&amp;'5) Release_Track'!$G:$G,'5) Release_Track'!$H:$H},2,0), or(and(not(isblank($B294)),$B294=$B293,$A294&lt;&gt;$A293),and(not(isblank($A294)),$A294=$A293,$B294&lt;&gt;$B293)),"ID LISTS UNALIGNED",and($A294&lt;&gt;"",countif('5) Release_Track'!$F:$F,$A294)=0),"NO ISRC MATCH in Release_Track",and($B294&lt;&gt;"",countif('5) Release_Track'!$G:$G,$B294)=0),"NO CATALOG ID MATCH in Release_Track",iserror(vlookup($A294&amp;$B294,'5) Release_Track'!$F:$F&amp;'5) Release_Track'!$G:$G,1,0)),"NO ISRC-CATALOG ID pair MATCH in Release_Track" )</f>
        <v/>
      </c>
      <c r="D294" s="121" t="str">
        <f t="array" ref="D294">ifs(and(isblank($A294),isblank($B294)),"", not(iserror(vlookup($A294&amp;$B294,'5) Release_Track'!$F:$F&amp;'5) Release_Track'!$G:$G,1,0))),vlookup($A294&amp;$B294,{'5) Release_Track'!$F:$F&amp;'5) Release_Track'!$G:$G,'5) Release_Track'!$I:$I},2,0), or(and(not(isblank($B294)),$B294=$B293,$A294&lt;&gt;$A293),and(not(isblank($A294)),$A294=$A293,$B294&lt;&gt;$B293)),"ID LISTS UNALIGNED",and($A294&lt;&gt;"",countif('5) Release_Track'!$F:$F,$A294)=0),"NO ISRC MATCH in Release_Track",and($B294&lt;&gt;"",countif('5) Release_Track'!$G:$G,$B294)=0),"NO CATALOG ID MATCH in Release_Track",iserror(vlookup($A294&amp;$B294,'5) Release_Track'!$F:$F&amp;'5) Release_Track'!$G:$G,1,0)),"NO ISRC-CATALOG ID pair MATCH in Release_Track" )</f>
        <v/>
      </c>
      <c r="E294" s="125" t="str">
        <f t="array" ref="E294">ifs(and(isblank($A294),isblank($B294)),"", not(iserror(vlookup($A294&amp;$B294,'5) Release_Track'!$F:$F&amp;'5) Release_Track'!$G:$G,1,0))),vlookup($A294&amp;$B294,{'5) Release_Track'!$F:$F&amp;'5) Release_Track'!$G:$G,'5) Release_Track'!$J:$J},2,0), or(and(not(isblank($B294)),$B294=$B293,$A294&lt;&gt;$A293),and(not(isblank($A294)),$A294=$A293,$B294&lt;&gt;$B293)),"ID LISTS UNALIGNED",and($A294&lt;&gt;"",countif('5) Release_Track'!$F:$F,$A294)=0),"NO ISRC MATCH in Release_Track",and($B294&lt;&gt;"",countif('5) Release_Track'!$G:$G,$B294)=0),"NO CATALOG ID MATCH in Release_Track",iserror(vlookup($A294&amp;$B294,'5) Release_Track'!$F:$F&amp;'5) Release_Track'!$G:$G,1,0)),"NO ISRC-CATALOG ID pair MATCH in Release_Track" )</f>
        <v/>
      </c>
      <c r="F294" s="122"/>
      <c r="G294" s="99"/>
      <c r="H294" s="178"/>
      <c r="I294" s="121" t="str">
        <f t="shared" si="6"/>
        <v/>
      </c>
      <c r="J294" s="99"/>
      <c r="K294" s="99"/>
    </row>
    <row r="295">
      <c r="B295" s="103"/>
      <c r="C295" s="121" t="str">
        <f t="array" ref="C295">ifs(and(isblank($A295),isblank($B295)),"", not(iserror(vlookup($A295&amp;$B295,'5) Release_Track'!$F:$F&amp;'5) Release_Track'!$G:$G,1,0))),vlookup($A295&amp;$B295,{'5) Release_Track'!$F:$F&amp;'5) Release_Track'!$G:$G,'5) Release_Track'!$H:$H},2,0), or(and(not(isblank($B295)),$B295=$B294,$A295&lt;&gt;$A294),and(not(isblank($A295)),$A295=$A294,$B295&lt;&gt;$B294)),"ID LISTS UNALIGNED",and($A295&lt;&gt;"",countif('5) Release_Track'!$F:$F,$A295)=0),"NO ISRC MATCH in Release_Track",and($B295&lt;&gt;"",countif('5) Release_Track'!$G:$G,$B295)=0),"NO CATALOG ID MATCH in Release_Track",iserror(vlookup($A295&amp;$B295,'5) Release_Track'!$F:$F&amp;'5) Release_Track'!$G:$G,1,0)),"NO ISRC-CATALOG ID pair MATCH in Release_Track" )</f>
        <v/>
      </c>
      <c r="D295" s="121" t="str">
        <f t="array" ref="D295">ifs(and(isblank($A295),isblank($B295)),"", not(iserror(vlookup($A295&amp;$B295,'5) Release_Track'!$F:$F&amp;'5) Release_Track'!$G:$G,1,0))),vlookup($A295&amp;$B295,{'5) Release_Track'!$F:$F&amp;'5) Release_Track'!$G:$G,'5) Release_Track'!$I:$I},2,0), or(and(not(isblank($B295)),$B295=$B294,$A295&lt;&gt;$A294),and(not(isblank($A295)),$A295=$A294,$B295&lt;&gt;$B294)),"ID LISTS UNALIGNED",and($A295&lt;&gt;"",countif('5) Release_Track'!$F:$F,$A295)=0),"NO ISRC MATCH in Release_Track",and($B295&lt;&gt;"",countif('5) Release_Track'!$G:$G,$B295)=0),"NO CATALOG ID MATCH in Release_Track",iserror(vlookup($A295&amp;$B295,'5) Release_Track'!$F:$F&amp;'5) Release_Track'!$G:$G,1,0)),"NO ISRC-CATALOG ID pair MATCH in Release_Track" )</f>
        <v/>
      </c>
      <c r="E295" s="125" t="str">
        <f t="array" ref="E295">ifs(and(isblank($A295),isblank($B295)),"", not(iserror(vlookup($A295&amp;$B295,'5) Release_Track'!$F:$F&amp;'5) Release_Track'!$G:$G,1,0))),vlookup($A295&amp;$B295,{'5) Release_Track'!$F:$F&amp;'5) Release_Track'!$G:$G,'5) Release_Track'!$J:$J},2,0), or(and(not(isblank($B295)),$B295=$B294,$A295&lt;&gt;$A294),and(not(isblank($A295)),$A295=$A294,$B295&lt;&gt;$B294)),"ID LISTS UNALIGNED",and($A295&lt;&gt;"",countif('5) Release_Track'!$F:$F,$A295)=0),"NO ISRC MATCH in Release_Track",and($B295&lt;&gt;"",countif('5) Release_Track'!$G:$G,$B295)=0),"NO CATALOG ID MATCH in Release_Track",iserror(vlookup($A295&amp;$B295,'5) Release_Track'!$F:$F&amp;'5) Release_Track'!$G:$G,1,0)),"NO ISRC-CATALOG ID pair MATCH in Release_Track" )</f>
        <v/>
      </c>
      <c r="F295" s="122"/>
      <c r="G295" s="99"/>
      <c r="H295" s="178"/>
      <c r="I295" s="121" t="str">
        <f t="shared" si="6"/>
        <v/>
      </c>
      <c r="J295" s="99"/>
      <c r="K295" s="99"/>
    </row>
    <row r="296">
      <c r="B296" s="103"/>
      <c r="C296" s="121" t="str">
        <f t="array" ref="C296">ifs(and(isblank($A296),isblank($B296)),"", not(iserror(vlookup($A296&amp;$B296,'5) Release_Track'!$F:$F&amp;'5) Release_Track'!$G:$G,1,0))),vlookup($A296&amp;$B296,{'5) Release_Track'!$F:$F&amp;'5) Release_Track'!$G:$G,'5) Release_Track'!$H:$H},2,0), or(and(not(isblank($B296)),$B296=$B295,$A296&lt;&gt;$A295),and(not(isblank($A296)),$A296=$A295,$B296&lt;&gt;$B295)),"ID LISTS UNALIGNED",and($A296&lt;&gt;"",countif('5) Release_Track'!$F:$F,$A296)=0),"NO ISRC MATCH in Release_Track",and($B296&lt;&gt;"",countif('5) Release_Track'!$G:$G,$B296)=0),"NO CATALOG ID MATCH in Release_Track",iserror(vlookup($A296&amp;$B296,'5) Release_Track'!$F:$F&amp;'5) Release_Track'!$G:$G,1,0)),"NO ISRC-CATALOG ID pair MATCH in Release_Track" )</f>
        <v/>
      </c>
      <c r="D296" s="121" t="str">
        <f t="array" ref="D296">ifs(and(isblank($A296),isblank($B296)),"", not(iserror(vlookup($A296&amp;$B296,'5) Release_Track'!$F:$F&amp;'5) Release_Track'!$G:$G,1,0))),vlookup($A296&amp;$B296,{'5) Release_Track'!$F:$F&amp;'5) Release_Track'!$G:$G,'5) Release_Track'!$I:$I},2,0), or(and(not(isblank($B296)),$B296=$B295,$A296&lt;&gt;$A295),and(not(isblank($A296)),$A296=$A295,$B296&lt;&gt;$B295)),"ID LISTS UNALIGNED",and($A296&lt;&gt;"",countif('5) Release_Track'!$F:$F,$A296)=0),"NO ISRC MATCH in Release_Track",and($B296&lt;&gt;"",countif('5) Release_Track'!$G:$G,$B296)=0),"NO CATALOG ID MATCH in Release_Track",iserror(vlookup($A296&amp;$B296,'5) Release_Track'!$F:$F&amp;'5) Release_Track'!$G:$G,1,0)),"NO ISRC-CATALOG ID pair MATCH in Release_Track" )</f>
        <v/>
      </c>
      <c r="E296" s="125" t="str">
        <f t="array" ref="E296">ifs(and(isblank($A296),isblank($B296)),"", not(iserror(vlookup($A296&amp;$B296,'5) Release_Track'!$F:$F&amp;'5) Release_Track'!$G:$G,1,0))),vlookup($A296&amp;$B296,{'5) Release_Track'!$F:$F&amp;'5) Release_Track'!$G:$G,'5) Release_Track'!$J:$J},2,0), or(and(not(isblank($B296)),$B296=$B295,$A296&lt;&gt;$A295),and(not(isblank($A296)),$A296=$A295,$B296&lt;&gt;$B295)),"ID LISTS UNALIGNED",and($A296&lt;&gt;"",countif('5) Release_Track'!$F:$F,$A296)=0),"NO ISRC MATCH in Release_Track",and($B296&lt;&gt;"",countif('5) Release_Track'!$G:$G,$B296)=0),"NO CATALOG ID MATCH in Release_Track",iserror(vlookup($A296&amp;$B296,'5) Release_Track'!$F:$F&amp;'5) Release_Track'!$G:$G,1,0)),"NO ISRC-CATALOG ID pair MATCH in Release_Track" )</f>
        <v/>
      </c>
      <c r="F296" s="122"/>
      <c r="G296" s="99"/>
      <c r="H296" s="178"/>
      <c r="I296" s="121" t="str">
        <f t="shared" si="6"/>
        <v/>
      </c>
      <c r="J296" s="99"/>
      <c r="K296" s="99"/>
    </row>
    <row r="297">
      <c r="B297" s="103"/>
      <c r="C297" s="121" t="str">
        <f t="array" ref="C297">ifs(and(isblank($A297),isblank($B297)),"", not(iserror(vlookup($A297&amp;$B297,'5) Release_Track'!$F:$F&amp;'5) Release_Track'!$G:$G,1,0))),vlookup($A297&amp;$B297,{'5) Release_Track'!$F:$F&amp;'5) Release_Track'!$G:$G,'5) Release_Track'!$H:$H},2,0), or(and(not(isblank($B297)),$B297=$B296,$A297&lt;&gt;$A296),and(not(isblank($A297)),$A297=$A296,$B297&lt;&gt;$B296)),"ID LISTS UNALIGNED",and($A297&lt;&gt;"",countif('5) Release_Track'!$F:$F,$A297)=0),"NO ISRC MATCH in Release_Track",and($B297&lt;&gt;"",countif('5) Release_Track'!$G:$G,$B297)=0),"NO CATALOG ID MATCH in Release_Track",iserror(vlookup($A297&amp;$B297,'5) Release_Track'!$F:$F&amp;'5) Release_Track'!$G:$G,1,0)),"NO ISRC-CATALOG ID pair MATCH in Release_Track" )</f>
        <v/>
      </c>
      <c r="D297" s="121" t="str">
        <f t="array" ref="D297">ifs(and(isblank($A297),isblank($B297)),"", not(iserror(vlookup($A297&amp;$B297,'5) Release_Track'!$F:$F&amp;'5) Release_Track'!$G:$G,1,0))),vlookup($A297&amp;$B297,{'5) Release_Track'!$F:$F&amp;'5) Release_Track'!$G:$G,'5) Release_Track'!$I:$I},2,0), or(and(not(isblank($B297)),$B297=$B296,$A297&lt;&gt;$A296),and(not(isblank($A297)),$A297=$A296,$B297&lt;&gt;$B296)),"ID LISTS UNALIGNED",and($A297&lt;&gt;"",countif('5) Release_Track'!$F:$F,$A297)=0),"NO ISRC MATCH in Release_Track",and($B297&lt;&gt;"",countif('5) Release_Track'!$G:$G,$B297)=0),"NO CATALOG ID MATCH in Release_Track",iserror(vlookup($A297&amp;$B297,'5) Release_Track'!$F:$F&amp;'5) Release_Track'!$G:$G,1,0)),"NO ISRC-CATALOG ID pair MATCH in Release_Track" )</f>
        <v/>
      </c>
      <c r="E297" s="125" t="str">
        <f t="array" ref="E297">ifs(and(isblank($A297),isblank($B297)),"", not(iserror(vlookup($A297&amp;$B297,'5) Release_Track'!$F:$F&amp;'5) Release_Track'!$G:$G,1,0))),vlookup($A297&amp;$B297,{'5) Release_Track'!$F:$F&amp;'5) Release_Track'!$G:$G,'5) Release_Track'!$J:$J},2,0), or(and(not(isblank($B297)),$B297=$B296,$A297&lt;&gt;$A296),and(not(isblank($A297)),$A297=$A296,$B297&lt;&gt;$B296)),"ID LISTS UNALIGNED",and($A297&lt;&gt;"",countif('5) Release_Track'!$F:$F,$A297)=0),"NO ISRC MATCH in Release_Track",and($B297&lt;&gt;"",countif('5) Release_Track'!$G:$G,$B297)=0),"NO CATALOG ID MATCH in Release_Track",iserror(vlookup($A297&amp;$B297,'5) Release_Track'!$F:$F&amp;'5) Release_Track'!$G:$G,1,0)),"NO ISRC-CATALOG ID pair MATCH in Release_Track" )</f>
        <v/>
      </c>
      <c r="F297" s="122"/>
      <c r="G297" s="99"/>
      <c r="H297" s="178"/>
      <c r="I297" s="121" t="str">
        <f t="shared" si="6"/>
        <v/>
      </c>
      <c r="J297" s="99"/>
      <c r="K297" s="99"/>
    </row>
    <row r="298">
      <c r="B298" s="103"/>
      <c r="C298" s="121" t="str">
        <f t="array" ref="C298">ifs(and(isblank($A298),isblank($B298)),"", not(iserror(vlookup($A298&amp;$B298,'5) Release_Track'!$F:$F&amp;'5) Release_Track'!$G:$G,1,0))),vlookup($A298&amp;$B298,{'5) Release_Track'!$F:$F&amp;'5) Release_Track'!$G:$G,'5) Release_Track'!$H:$H},2,0), or(and(not(isblank($B298)),$B298=$B297,$A298&lt;&gt;$A297),and(not(isblank($A298)),$A298=$A297,$B298&lt;&gt;$B297)),"ID LISTS UNALIGNED",and($A298&lt;&gt;"",countif('5) Release_Track'!$F:$F,$A298)=0),"NO ISRC MATCH in Release_Track",and($B298&lt;&gt;"",countif('5) Release_Track'!$G:$G,$B298)=0),"NO CATALOG ID MATCH in Release_Track",iserror(vlookup($A298&amp;$B298,'5) Release_Track'!$F:$F&amp;'5) Release_Track'!$G:$G,1,0)),"NO ISRC-CATALOG ID pair MATCH in Release_Track" )</f>
        <v/>
      </c>
      <c r="D298" s="121" t="str">
        <f t="array" ref="D298">ifs(and(isblank($A298),isblank($B298)),"", not(iserror(vlookup($A298&amp;$B298,'5) Release_Track'!$F:$F&amp;'5) Release_Track'!$G:$G,1,0))),vlookup($A298&amp;$B298,{'5) Release_Track'!$F:$F&amp;'5) Release_Track'!$G:$G,'5) Release_Track'!$I:$I},2,0), or(and(not(isblank($B298)),$B298=$B297,$A298&lt;&gt;$A297),and(not(isblank($A298)),$A298=$A297,$B298&lt;&gt;$B297)),"ID LISTS UNALIGNED",and($A298&lt;&gt;"",countif('5) Release_Track'!$F:$F,$A298)=0),"NO ISRC MATCH in Release_Track",and($B298&lt;&gt;"",countif('5) Release_Track'!$G:$G,$B298)=0),"NO CATALOG ID MATCH in Release_Track",iserror(vlookup($A298&amp;$B298,'5) Release_Track'!$F:$F&amp;'5) Release_Track'!$G:$G,1,0)),"NO ISRC-CATALOG ID pair MATCH in Release_Track" )</f>
        <v/>
      </c>
      <c r="E298" s="125" t="str">
        <f t="array" ref="E298">ifs(and(isblank($A298),isblank($B298)),"", not(iserror(vlookup($A298&amp;$B298,'5) Release_Track'!$F:$F&amp;'5) Release_Track'!$G:$G,1,0))),vlookup($A298&amp;$B298,{'5) Release_Track'!$F:$F&amp;'5) Release_Track'!$G:$G,'5) Release_Track'!$J:$J},2,0), or(and(not(isblank($B298)),$B298=$B297,$A298&lt;&gt;$A297),and(not(isblank($A298)),$A298=$A297,$B298&lt;&gt;$B297)),"ID LISTS UNALIGNED",and($A298&lt;&gt;"",countif('5) Release_Track'!$F:$F,$A298)=0),"NO ISRC MATCH in Release_Track",and($B298&lt;&gt;"",countif('5) Release_Track'!$G:$G,$B298)=0),"NO CATALOG ID MATCH in Release_Track",iserror(vlookup($A298&amp;$B298,'5) Release_Track'!$F:$F&amp;'5) Release_Track'!$G:$G,1,0)),"NO ISRC-CATALOG ID pair MATCH in Release_Track" )</f>
        <v/>
      </c>
      <c r="F298" s="122"/>
      <c r="G298" s="99"/>
      <c r="H298" s="178"/>
      <c r="I298" s="121" t="str">
        <f t="shared" si="6"/>
        <v/>
      </c>
      <c r="J298" s="99"/>
      <c r="K298" s="99"/>
    </row>
    <row r="299">
      <c r="B299" s="103"/>
      <c r="C299" s="121" t="str">
        <f t="array" ref="C299">ifs(and(isblank($A299),isblank($B299)),"", not(iserror(vlookup($A299&amp;$B299,'5) Release_Track'!$F:$F&amp;'5) Release_Track'!$G:$G,1,0))),vlookup($A299&amp;$B299,{'5) Release_Track'!$F:$F&amp;'5) Release_Track'!$G:$G,'5) Release_Track'!$H:$H},2,0), or(and(not(isblank($B299)),$B299=$B298,$A299&lt;&gt;$A298),and(not(isblank($A299)),$A299=$A298,$B299&lt;&gt;$B298)),"ID LISTS UNALIGNED",and($A299&lt;&gt;"",countif('5) Release_Track'!$F:$F,$A299)=0),"NO ISRC MATCH in Release_Track",and($B299&lt;&gt;"",countif('5) Release_Track'!$G:$G,$B299)=0),"NO CATALOG ID MATCH in Release_Track",iserror(vlookup($A299&amp;$B299,'5) Release_Track'!$F:$F&amp;'5) Release_Track'!$G:$G,1,0)),"NO ISRC-CATALOG ID pair MATCH in Release_Track" )</f>
        <v/>
      </c>
      <c r="D299" s="121" t="str">
        <f t="array" ref="D299">ifs(and(isblank($A299),isblank($B299)),"", not(iserror(vlookup($A299&amp;$B299,'5) Release_Track'!$F:$F&amp;'5) Release_Track'!$G:$G,1,0))),vlookup($A299&amp;$B299,{'5) Release_Track'!$F:$F&amp;'5) Release_Track'!$G:$G,'5) Release_Track'!$I:$I},2,0), or(and(not(isblank($B299)),$B299=$B298,$A299&lt;&gt;$A298),and(not(isblank($A299)),$A299=$A298,$B299&lt;&gt;$B298)),"ID LISTS UNALIGNED",and($A299&lt;&gt;"",countif('5) Release_Track'!$F:$F,$A299)=0),"NO ISRC MATCH in Release_Track",and($B299&lt;&gt;"",countif('5) Release_Track'!$G:$G,$B299)=0),"NO CATALOG ID MATCH in Release_Track",iserror(vlookup($A299&amp;$B299,'5) Release_Track'!$F:$F&amp;'5) Release_Track'!$G:$G,1,0)),"NO ISRC-CATALOG ID pair MATCH in Release_Track" )</f>
        <v/>
      </c>
      <c r="E299" s="125" t="str">
        <f t="array" ref="E299">ifs(and(isblank($A299),isblank($B299)),"", not(iserror(vlookup($A299&amp;$B299,'5) Release_Track'!$F:$F&amp;'5) Release_Track'!$G:$G,1,0))),vlookup($A299&amp;$B299,{'5) Release_Track'!$F:$F&amp;'5) Release_Track'!$G:$G,'5) Release_Track'!$J:$J},2,0), or(and(not(isblank($B299)),$B299=$B298,$A299&lt;&gt;$A298),and(not(isblank($A299)),$A299=$A298,$B299&lt;&gt;$B298)),"ID LISTS UNALIGNED",and($A299&lt;&gt;"",countif('5) Release_Track'!$F:$F,$A299)=0),"NO ISRC MATCH in Release_Track",and($B299&lt;&gt;"",countif('5) Release_Track'!$G:$G,$B299)=0),"NO CATALOG ID MATCH in Release_Track",iserror(vlookup($A299&amp;$B299,'5) Release_Track'!$F:$F&amp;'5) Release_Track'!$G:$G,1,0)),"NO ISRC-CATALOG ID pair MATCH in Release_Track" )</f>
        <v/>
      </c>
      <c r="F299" s="122"/>
      <c r="G299" s="99"/>
      <c r="H299" s="178"/>
      <c r="I299" s="121" t="str">
        <f t="shared" si="6"/>
        <v/>
      </c>
      <c r="J299" s="99"/>
      <c r="K299" s="99"/>
    </row>
    <row r="300">
      <c r="B300" s="103"/>
      <c r="C300" s="121" t="str">
        <f t="array" ref="C300">ifs(and(isblank($A300),isblank($B300)),"", not(iserror(vlookup($A300&amp;$B300,'5) Release_Track'!$F:$F&amp;'5) Release_Track'!$G:$G,1,0))),vlookup($A300&amp;$B300,{'5) Release_Track'!$F:$F&amp;'5) Release_Track'!$G:$G,'5) Release_Track'!$H:$H},2,0), or(and(not(isblank($B300)),$B300=$B299,$A300&lt;&gt;$A299),and(not(isblank($A300)),$A300=$A299,$B300&lt;&gt;$B299)),"ID LISTS UNALIGNED",and($A300&lt;&gt;"",countif('5) Release_Track'!$F:$F,$A300)=0),"NO ISRC MATCH in Release_Track",and($B300&lt;&gt;"",countif('5) Release_Track'!$G:$G,$B300)=0),"NO CATALOG ID MATCH in Release_Track",iserror(vlookup($A300&amp;$B300,'5) Release_Track'!$F:$F&amp;'5) Release_Track'!$G:$G,1,0)),"NO ISRC-CATALOG ID pair MATCH in Release_Track" )</f>
        <v/>
      </c>
      <c r="D300" s="121" t="str">
        <f t="array" ref="D300">ifs(and(isblank($A300),isblank($B300)),"", not(iserror(vlookup($A300&amp;$B300,'5) Release_Track'!$F:$F&amp;'5) Release_Track'!$G:$G,1,0))),vlookup($A300&amp;$B300,{'5) Release_Track'!$F:$F&amp;'5) Release_Track'!$G:$G,'5) Release_Track'!$I:$I},2,0), or(and(not(isblank($B300)),$B300=$B299,$A300&lt;&gt;$A299),and(not(isblank($A300)),$A300=$A299,$B300&lt;&gt;$B299)),"ID LISTS UNALIGNED",and($A300&lt;&gt;"",countif('5) Release_Track'!$F:$F,$A300)=0),"NO ISRC MATCH in Release_Track",and($B300&lt;&gt;"",countif('5) Release_Track'!$G:$G,$B300)=0),"NO CATALOG ID MATCH in Release_Track",iserror(vlookup($A300&amp;$B300,'5) Release_Track'!$F:$F&amp;'5) Release_Track'!$G:$G,1,0)),"NO ISRC-CATALOG ID pair MATCH in Release_Track" )</f>
        <v/>
      </c>
      <c r="E300" s="125" t="str">
        <f t="array" ref="E300">ifs(and(isblank($A300),isblank($B300)),"", not(iserror(vlookup($A300&amp;$B300,'5) Release_Track'!$F:$F&amp;'5) Release_Track'!$G:$G,1,0))),vlookup($A300&amp;$B300,{'5) Release_Track'!$F:$F&amp;'5) Release_Track'!$G:$G,'5) Release_Track'!$J:$J},2,0), or(and(not(isblank($B300)),$B300=$B299,$A300&lt;&gt;$A299),and(not(isblank($A300)),$A300=$A299,$B300&lt;&gt;$B299)),"ID LISTS UNALIGNED",and($A300&lt;&gt;"",countif('5) Release_Track'!$F:$F,$A300)=0),"NO ISRC MATCH in Release_Track",and($B300&lt;&gt;"",countif('5) Release_Track'!$G:$G,$B300)=0),"NO CATALOG ID MATCH in Release_Track",iserror(vlookup($A300&amp;$B300,'5) Release_Track'!$F:$F&amp;'5) Release_Track'!$G:$G,1,0)),"NO ISRC-CATALOG ID pair MATCH in Release_Track" )</f>
        <v/>
      </c>
      <c r="F300" s="122"/>
      <c r="G300" s="99"/>
      <c r="H300" s="178"/>
      <c r="I300" s="121" t="str">
        <f t="shared" si="6"/>
        <v/>
      </c>
      <c r="J300" s="99"/>
      <c r="K300" s="99"/>
    </row>
    <row r="301">
      <c r="B301" s="103"/>
      <c r="C301" s="121" t="str">
        <f t="array" ref="C301">ifs(and(isblank($A301),isblank($B301)),"", not(iserror(vlookup($A301&amp;$B301,'5) Release_Track'!$F:$F&amp;'5) Release_Track'!$G:$G,1,0))),vlookup($A301&amp;$B301,{'5) Release_Track'!$F:$F&amp;'5) Release_Track'!$G:$G,'5) Release_Track'!$H:$H},2,0), or(and(not(isblank($B301)),$B301=$B300,$A301&lt;&gt;$A300),and(not(isblank($A301)),$A301=$A300,$B301&lt;&gt;$B300)),"ID LISTS UNALIGNED",and($A301&lt;&gt;"",countif('5) Release_Track'!$F:$F,$A301)=0),"NO ISRC MATCH in Release_Track",and($B301&lt;&gt;"",countif('5) Release_Track'!$G:$G,$B301)=0),"NO CATALOG ID MATCH in Release_Track",iserror(vlookup($A301&amp;$B301,'5) Release_Track'!$F:$F&amp;'5) Release_Track'!$G:$G,1,0)),"NO ISRC-CATALOG ID pair MATCH in Release_Track" )</f>
        <v/>
      </c>
      <c r="D301" s="121" t="str">
        <f t="array" ref="D301">ifs(and(isblank($A301),isblank($B301)),"", not(iserror(vlookup($A301&amp;$B301,'5) Release_Track'!$F:$F&amp;'5) Release_Track'!$G:$G,1,0))),vlookup($A301&amp;$B301,{'5) Release_Track'!$F:$F&amp;'5) Release_Track'!$G:$G,'5) Release_Track'!$I:$I},2,0), or(and(not(isblank($B301)),$B301=$B300,$A301&lt;&gt;$A300),and(not(isblank($A301)),$A301=$A300,$B301&lt;&gt;$B300)),"ID LISTS UNALIGNED",and($A301&lt;&gt;"",countif('5) Release_Track'!$F:$F,$A301)=0),"NO ISRC MATCH in Release_Track",and($B301&lt;&gt;"",countif('5) Release_Track'!$G:$G,$B301)=0),"NO CATALOG ID MATCH in Release_Track",iserror(vlookup($A301&amp;$B301,'5) Release_Track'!$F:$F&amp;'5) Release_Track'!$G:$G,1,0)),"NO ISRC-CATALOG ID pair MATCH in Release_Track" )</f>
        <v/>
      </c>
      <c r="E301" s="125" t="str">
        <f t="array" ref="E301">ifs(and(isblank($A301),isblank($B301)),"", not(iserror(vlookup($A301&amp;$B301,'5) Release_Track'!$F:$F&amp;'5) Release_Track'!$G:$G,1,0))),vlookup($A301&amp;$B301,{'5) Release_Track'!$F:$F&amp;'5) Release_Track'!$G:$G,'5) Release_Track'!$J:$J},2,0), or(and(not(isblank($B301)),$B301=$B300,$A301&lt;&gt;$A300),and(not(isblank($A301)),$A301=$A300,$B301&lt;&gt;$B300)),"ID LISTS UNALIGNED",and($A301&lt;&gt;"",countif('5) Release_Track'!$F:$F,$A301)=0),"NO ISRC MATCH in Release_Track",and($B301&lt;&gt;"",countif('5) Release_Track'!$G:$G,$B301)=0),"NO CATALOG ID MATCH in Release_Track",iserror(vlookup($A301&amp;$B301,'5) Release_Track'!$F:$F&amp;'5) Release_Track'!$G:$G,1,0)),"NO ISRC-CATALOG ID pair MATCH in Release_Track" )</f>
        <v/>
      </c>
      <c r="F301" s="122"/>
      <c r="G301" s="99"/>
      <c r="H301" s="178"/>
      <c r="I301" s="121" t="str">
        <f t="shared" si="6"/>
        <v/>
      </c>
      <c r="J301" s="99"/>
      <c r="K301" s="99"/>
    </row>
    <row r="302">
      <c r="B302" s="103"/>
      <c r="C302" s="121" t="str">
        <f t="array" ref="C302">ifs(and(isblank($A302),isblank($B302)),"", not(iserror(vlookup($A302&amp;$B302,'5) Release_Track'!$F:$F&amp;'5) Release_Track'!$G:$G,1,0))),vlookup($A302&amp;$B302,{'5) Release_Track'!$F:$F&amp;'5) Release_Track'!$G:$G,'5) Release_Track'!$H:$H},2,0), or(and(not(isblank($B302)),$B302=$B301,$A302&lt;&gt;$A301),and(not(isblank($A302)),$A302=$A301,$B302&lt;&gt;$B301)),"ID LISTS UNALIGNED",and($A302&lt;&gt;"",countif('5) Release_Track'!$F:$F,$A302)=0),"NO ISRC MATCH in Release_Track",and($B302&lt;&gt;"",countif('5) Release_Track'!$G:$G,$B302)=0),"NO CATALOG ID MATCH in Release_Track",iserror(vlookup($A302&amp;$B302,'5) Release_Track'!$F:$F&amp;'5) Release_Track'!$G:$G,1,0)),"NO ISRC-CATALOG ID pair MATCH in Release_Track" )</f>
        <v/>
      </c>
      <c r="D302" s="121" t="str">
        <f t="array" ref="D302">ifs(and(isblank($A302),isblank($B302)),"", not(iserror(vlookup($A302&amp;$B302,'5) Release_Track'!$F:$F&amp;'5) Release_Track'!$G:$G,1,0))),vlookup($A302&amp;$B302,{'5) Release_Track'!$F:$F&amp;'5) Release_Track'!$G:$G,'5) Release_Track'!$I:$I},2,0), or(and(not(isblank($B302)),$B302=$B301,$A302&lt;&gt;$A301),and(not(isblank($A302)),$A302=$A301,$B302&lt;&gt;$B301)),"ID LISTS UNALIGNED",and($A302&lt;&gt;"",countif('5) Release_Track'!$F:$F,$A302)=0),"NO ISRC MATCH in Release_Track",and($B302&lt;&gt;"",countif('5) Release_Track'!$G:$G,$B302)=0),"NO CATALOG ID MATCH in Release_Track",iserror(vlookup($A302&amp;$B302,'5) Release_Track'!$F:$F&amp;'5) Release_Track'!$G:$G,1,0)),"NO ISRC-CATALOG ID pair MATCH in Release_Track" )</f>
        <v/>
      </c>
      <c r="E302" s="125" t="str">
        <f t="array" ref="E302">ifs(and(isblank($A302),isblank($B302)),"", not(iserror(vlookup($A302&amp;$B302,'5) Release_Track'!$F:$F&amp;'5) Release_Track'!$G:$G,1,0))),vlookup($A302&amp;$B302,{'5) Release_Track'!$F:$F&amp;'5) Release_Track'!$G:$G,'5) Release_Track'!$J:$J},2,0), or(and(not(isblank($B302)),$B302=$B301,$A302&lt;&gt;$A301),and(not(isblank($A302)),$A302=$A301,$B302&lt;&gt;$B301)),"ID LISTS UNALIGNED",and($A302&lt;&gt;"",countif('5) Release_Track'!$F:$F,$A302)=0),"NO ISRC MATCH in Release_Track",and($B302&lt;&gt;"",countif('5) Release_Track'!$G:$G,$B302)=0),"NO CATALOG ID MATCH in Release_Track",iserror(vlookup($A302&amp;$B302,'5) Release_Track'!$F:$F&amp;'5) Release_Track'!$G:$G,1,0)),"NO ISRC-CATALOG ID pair MATCH in Release_Track" )</f>
        <v/>
      </c>
      <c r="F302" s="122"/>
      <c r="G302" s="99"/>
      <c r="H302" s="178"/>
      <c r="I302" s="121" t="str">
        <f t="shared" si="6"/>
        <v/>
      </c>
      <c r="J302" s="99"/>
      <c r="K302" s="99"/>
    </row>
    <row r="303">
      <c r="B303" s="103"/>
      <c r="C303" s="121" t="str">
        <f t="array" ref="C303">ifs(and(isblank($A303),isblank($B303)),"", not(iserror(vlookup($A303&amp;$B303,'5) Release_Track'!$F:$F&amp;'5) Release_Track'!$G:$G,1,0))),vlookup($A303&amp;$B303,{'5) Release_Track'!$F:$F&amp;'5) Release_Track'!$G:$G,'5) Release_Track'!$H:$H},2,0), or(and(not(isblank($B303)),$B303=$B302,$A303&lt;&gt;$A302),and(not(isblank($A303)),$A303=$A302,$B303&lt;&gt;$B302)),"ID LISTS UNALIGNED",and($A303&lt;&gt;"",countif('5) Release_Track'!$F:$F,$A303)=0),"NO ISRC MATCH in Release_Track",and($B303&lt;&gt;"",countif('5) Release_Track'!$G:$G,$B303)=0),"NO CATALOG ID MATCH in Release_Track",iserror(vlookup($A303&amp;$B303,'5) Release_Track'!$F:$F&amp;'5) Release_Track'!$G:$G,1,0)),"NO ISRC-CATALOG ID pair MATCH in Release_Track" )</f>
        <v/>
      </c>
      <c r="D303" s="121" t="str">
        <f t="array" ref="D303">ifs(and(isblank($A303),isblank($B303)),"", not(iserror(vlookup($A303&amp;$B303,'5) Release_Track'!$F:$F&amp;'5) Release_Track'!$G:$G,1,0))),vlookup($A303&amp;$B303,{'5) Release_Track'!$F:$F&amp;'5) Release_Track'!$G:$G,'5) Release_Track'!$I:$I},2,0), or(and(not(isblank($B303)),$B303=$B302,$A303&lt;&gt;$A302),and(not(isblank($A303)),$A303=$A302,$B303&lt;&gt;$B302)),"ID LISTS UNALIGNED",and($A303&lt;&gt;"",countif('5) Release_Track'!$F:$F,$A303)=0),"NO ISRC MATCH in Release_Track",and($B303&lt;&gt;"",countif('5) Release_Track'!$G:$G,$B303)=0),"NO CATALOG ID MATCH in Release_Track",iserror(vlookup($A303&amp;$B303,'5) Release_Track'!$F:$F&amp;'5) Release_Track'!$G:$G,1,0)),"NO ISRC-CATALOG ID pair MATCH in Release_Track" )</f>
        <v/>
      </c>
      <c r="E303" s="125" t="str">
        <f t="array" ref="E303">ifs(and(isblank($A303),isblank($B303)),"", not(iserror(vlookup($A303&amp;$B303,'5) Release_Track'!$F:$F&amp;'5) Release_Track'!$G:$G,1,0))),vlookup($A303&amp;$B303,{'5) Release_Track'!$F:$F&amp;'5) Release_Track'!$G:$G,'5) Release_Track'!$J:$J},2,0), or(and(not(isblank($B303)),$B303=$B302,$A303&lt;&gt;$A302),and(not(isblank($A303)),$A303=$A302,$B303&lt;&gt;$B302)),"ID LISTS UNALIGNED",and($A303&lt;&gt;"",countif('5) Release_Track'!$F:$F,$A303)=0),"NO ISRC MATCH in Release_Track",and($B303&lt;&gt;"",countif('5) Release_Track'!$G:$G,$B303)=0),"NO CATALOG ID MATCH in Release_Track",iserror(vlookup($A303&amp;$B303,'5) Release_Track'!$F:$F&amp;'5) Release_Track'!$G:$G,1,0)),"NO ISRC-CATALOG ID pair MATCH in Release_Track" )</f>
        <v/>
      </c>
      <c r="F303" s="122"/>
      <c r="G303" s="99"/>
      <c r="H303" s="178"/>
      <c r="I303" s="121" t="str">
        <f t="shared" si="6"/>
        <v/>
      </c>
      <c r="J303" s="99"/>
      <c r="K303" s="99"/>
    </row>
    <row r="304">
      <c r="B304" s="103"/>
      <c r="C304" s="121" t="str">
        <f t="array" ref="C304">ifs(and(isblank($A304),isblank($B304)),"", not(iserror(vlookup($A304&amp;$B304,'5) Release_Track'!$F:$F&amp;'5) Release_Track'!$G:$G,1,0))),vlookup($A304&amp;$B304,{'5) Release_Track'!$F:$F&amp;'5) Release_Track'!$G:$G,'5) Release_Track'!$H:$H},2,0), or(and(not(isblank($B304)),$B304=$B303,$A304&lt;&gt;$A303),and(not(isblank($A304)),$A304=$A303,$B304&lt;&gt;$B303)),"ID LISTS UNALIGNED",and($A304&lt;&gt;"",countif('5) Release_Track'!$F:$F,$A304)=0),"NO ISRC MATCH in Release_Track",and($B304&lt;&gt;"",countif('5) Release_Track'!$G:$G,$B304)=0),"NO CATALOG ID MATCH in Release_Track",iserror(vlookup($A304&amp;$B304,'5) Release_Track'!$F:$F&amp;'5) Release_Track'!$G:$G,1,0)),"NO ISRC-CATALOG ID pair MATCH in Release_Track" )</f>
        <v/>
      </c>
      <c r="D304" s="121" t="str">
        <f t="array" ref="D304">ifs(and(isblank($A304),isblank($B304)),"", not(iserror(vlookup($A304&amp;$B304,'5) Release_Track'!$F:$F&amp;'5) Release_Track'!$G:$G,1,0))),vlookup($A304&amp;$B304,{'5) Release_Track'!$F:$F&amp;'5) Release_Track'!$G:$G,'5) Release_Track'!$I:$I},2,0), or(and(not(isblank($B304)),$B304=$B303,$A304&lt;&gt;$A303),and(not(isblank($A304)),$A304=$A303,$B304&lt;&gt;$B303)),"ID LISTS UNALIGNED",and($A304&lt;&gt;"",countif('5) Release_Track'!$F:$F,$A304)=0),"NO ISRC MATCH in Release_Track",and($B304&lt;&gt;"",countif('5) Release_Track'!$G:$G,$B304)=0),"NO CATALOG ID MATCH in Release_Track",iserror(vlookup($A304&amp;$B304,'5) Release_Track'!$F:$F&amp;'5) Release_Track'!$G:$G,1,0)),"NO ISRC-CATALOG ID pair MATCH in Release_Track" )</f>
        <v/>
      </c>
      <c r="E304" s="125" t="str">
        <f t="array" ref="E304">ifs(and(isblank($A304),isblank($B304)),"", not(iserror(vlookup($A304&amp;$B304,'5) Release_Track'!$F:$F&amp;'5) Release_Track'!$G:$G,1,0))),vlookup($A304&amp;$B304,{'5) Release_Track'!$F:$F&amp;'5) Release_Track'!$G:$G,'5) Release_Track'!$J:$J},2,0), or(and(not(isblank($B304)),$B304=$B303,$A304&lt;&gt;$A303),and(not(isblank($A304)),$A304=$A303,$B304&lt;&gt;$B303)),"ID LISTS UNALIGNED",and($A304&lt;&gt;"",countif('5) Release_Track'!$F:$F,$A304)=0),"NO ISRC MATCH in Release_Track",and($B304&lt;&gt;"",countif('5) Release_Track'!$G:$G,$B304)=0),"NO CATALOG ID MATCH in Release_Track",iserror(vlookup($A304&amp;$B304,'5) Release_Track'!$F:$F&amp;'5) Release_Track'!$G:$G,1,0)),"NO ISRC-CATALOG ID pair MATCH in Release_Track" )</f>
        <v/>
      </c>
      <c r="F304" s="122"/>
      <c r="G304" s="99"/>
      <c r="H304" s="178"/>
      <c r="I304" s="121" t="str">
        <f t="shared" si="6"/>
        <v/>
      </c>
      <c r="J304" s="99"/>
      <c r="K304" s="99"/>
    </row>
    <row r="305">
      <c r="B305" s="103"/>
      <c r="C305" s="121" t="str">
        <f t="array" ref="C305">ifs(and(isblank($A305),isblank($B305)),"", not(iserror(vlookup($A305&amp;$B305,'5) Release_Track'!$F:$F&amp;'5) Release_Track'!$G:$G,1,0))),vlookup($A305&amp;$B305,{'5) Release_Track'!$F:$F&amp;'5) Release_Track'!$G:$G,'5) Release_Track'!$H:$H},2,0), or(and(not(isblank($B305)),$B305=$B304,$A305&lt;&gt;$A304),and(not(isblank($A305)),$A305=$A304,$B305&lt;&gt;$B304)),"ID LISTS UNALIGNED",and($A305&lt;&gt;"",countif('5) Release_Track'!$F:$F,$A305)=0),"NO ISRC MATCH in Release_Track",and($B305&lt;&gt;"",countif('5) Release_Track'!$G:$G,$B305)=0),"NO CATALOG ID MATCH in Release_Track",iserror(vlookup($A305&amp;$B305,'5) Release_Track'!$F:$F&amp;'5) Release_Track'!$G:$G,1,0)),"NO ISRC-CATALOG ID pair MATCH in Release_Track" )</f>
        <v/>
      </c>
      <c r="D305" s="121" t="str">
        <f t="array" ref="D305">ifs(and(isblank($A305),isblank($B305)),"", not(iserror(vlookup($A305&amp;$B305,'5) Release_Track'!$F:$F&amp;'5) Release_Track'!$G:$G,1,0))),vlookup($A305&amp;$B305,{'5) Release_Track'!$F:$F&amp;'5) Release_Track'!$G:$G,'5) Release_Track'!$I:$I},2,0), or(and(not(isblank($B305)),$B305=$B304,$A305&lt;&gt;$A304),and(not(isblank($A305)),$A305=$A304,$B305&lt;&gt;$B304)),"ID LISTS UNALIGNED",and($A305&lt;&gt;"",countif('5) Release_Track'!$F:$F,$A305)=0),"NO ISRC MATCH in Release_Track",and($B305&lt;&gt;"",countif('5) Release_Track'!$G:$G,$B305)=0),"NO CATALOG ID MATCH in Release_Track",iserror(vlookup($A305&amp;$B305,'5) Release_Track'!$F:$F&amp;'5) Release_Track'!$G:$G,1,0)),"NO ISRC-CATALOG ID pair MATCH in Release_Track" )</f>
        <v/>
      </c>
      <c r="E305" s="125" t="str">
        <f t="array" ref="E305">ifs(and(isblank($A305),isblank($B305)),"", not(iserror(vlookup($A305&amp;$B305,'5) Release_Track'!$F:$F&amp;'5) Release_Track'!$G:$G,1,0))),vlookup($A305&amp;$B305,{'5) Release_Track'!$F:$F&amp;'5) Release_Track'!$G:$G,'5) Release_Track'!$J:$J},2,0), or(and(not(isblank($B305)),$B305=$B304,$A305&lt;&gt;$A304),and(not(isblank($A305)),$A305=$A304,$B305&lt;&gt;$B304)),"ID LISTS UNALIGNED",and($A305&lt;&gt;"",countif('5) Release_Track'!$F:$F,$A305)=0),"NO ISRC MATCH in Release_Track",and($B305&lt;&gt;"",countif('5) Release_Track'!$G:$G,$B305)=0),"NO CATALOG ID MATCH in Release_Track",iserror(vlookup($A305&amp;$B305,'5) Release_Track'!$F:$F&amp;'5) Release_Track'!$G:$G,1,0)),"NO ISRC-CATALOG ID pair MATCH in Release_Track" )</f>
        <v/>
      </c>
      <c r="F305" s="122"/>
      <c r="G305" s="99"/>
      <c r="H305" s="178"/>
      <c r="I305" s="121" t="str">
        <f t="shared" si="6"/>
        <v/>
      </c>
      <c r="J305" s="99"/>
      <c r="K305" s="99"/>
    </row>
    <row r="306">
      <c r="B306" s="103"/>
      <c r="C306" s="121" t="str">
        <f t="array" ref="C306">ifs(and(isblank($A306),isblank($B306)),"", not(iserror(vlookup($A306&amp;$B306,'5) Release_Track'!$F:$F&amp;'5) Release_Track'!$G:$G,1,0))),vlookup($A306&amp;$B306,{'5) Release_Track'!$F:$F&amp;'5) Release_Track'!$G:$G,'5) Release_Track'!$H:$H},2,0), or(and(not(isblank($B306)),$B306=$B305,$A306&lt;&gt;$A305),and(not(isblank($A306)),$A306=$A305,$B306&lt;&gt;$B305)),"ID LISTS UNALIGNED",and($A306&lt;&gt;"",countif('5) Release_Track'!$F:$F,$A306)=0),"NO ISRC MATCH in Release_Track",and($B306&lt;&gt;"",countif('5) Release_Track'!$G:$G,$B306)=0),"NO CATALOG ID MATCH in Release_Track",iserror(vlookup($A306&amp;$B306,'5) Release_Track'!$F:$F&amp;'5) Release_Track'!$G:$G,1,0)),"NO ISRC-CATALOG ID pair MATCH in Release_Track" )</f>
        <v/>
      </c>
      <c r="D306" s="121" t="str">
        <f t="array" ref="D306">ifs(and(isblank($A306),isblank($B306)),"", not(iserror(vlookup($A306&amp;$B306,'5) Release_Track'!$F:$F&amp;'5) Release_Track'!$G:$G,1,0))),vlookup($A306&amp;$B306,{'5) Release_Track'!$F:$F&amp;'5) Release_Track'!$G:$G,'5) Release_Track'!$I:$I},2,0), or(and(not(isblank($B306)),$B306=$B305,$A306&lt;&gt;$A305),and(not(isblank($A306)),$A306=$A305,$B306&lt;&gt;$B305)),"ID LISTS UNALIGNED",and($A306&lt;&gt;"",countif('5) Release_Track'!$F:$F,$A306)=0),"NO ISRC MATCH in Release_Track",and($B306&lt;&gt;"",countif('5) Release_Track'!$G:$G,$B306)=0),"NO CATALOG ID MATCH in Release_Track",iserror(vlookup($A306&amp;$B306,'5) Release_Track'!$F:$F&amp;'5) Release_Track'!$G:$G,1,0)),"NO ISRC-CATALOG ID pair MATCH in Release_Track" )</f>
        <v/>
      </c>
      <c r="E306" s="125" t="str">
        <f t="array" ref="E306">ifs(and(isblank($A306),isblank($B306)),"", not(iserror(vlookup($A306&amp;$B306,'5) Release_Track'!$F:$F&amp;'5) Release_Track'!$G:$G,1,0))),vlookup($A306&amp;$B306,{'5) Release_Track'!$F:$F&amp;'5) Release_Track'!$G:$G,'5) Release_Track'!$J:$J},2,0), or(and(not(isblank($B306)),$B306=$B305,$A306&lt;&gt;$A305),and(not(isblank($A306)),$A306=$A305,$B306&lt;&gt;$B305)),"ID LISTS UNALIGNED",and($A306&lt;&gt;"",countif('5) Release_Track'!$F:$F,$A306)=0),"NO ISRC MATCH in Release_Track",and($B306&lt;&gt;"",countif('5) Release_Track'!$G:$G,$B306)=0),"NO CATALOG ID MATCH in Release_Track",iserror(vlookup($A306&amp;$B306,'5) Release_Track'!$F:$F&amp;'5) Release_Track'!$G:$G,1,0)),"NO ISRC-CATALOG ID pair MATCH in Release_Track" )</f>
        <v/>
      </c>
      <c r="F306" s="122"/>
      <c r="G306" s="99"/>
      <c r="H306" s="178"/>
      <c r="I306" s="121" t="str">
        <f t="shared" si="6"/>
        <v/>
      </c>
      <c r="J306" s="99"/>
      <c r="K306" s="99"/>
    </row>
    <row r="307">
      <c r="B307" s="103"/>
      <c r="C307" s="121" t="str">
        <f t="array" ref="C307">ifs(and(isblank($A307),isblank($B307)),"", not(iserror(vlookup($A307&amp;$B307,'5) Release_Track'!$F:$F&amp;'5) Release_Track'!$G:$G,1,0))),vlookup($A307&amp;$B307,{'5) Release_Track'!$F:$F&amp;'5) Release_Track'!$G:$G,'5) Release_Track'!$H:$H},2,0), or(and(not(isblank($B307)),$B307=$B306,$A307&lt;&gt;$A306),and(not(isblank($A307)),$A307=$A306,$B307&lt;&gt;$B306)),"ID LISTS UNALIGNED",and($A307&lt;&gt;"",countif('5) Release_Track'!$F:$F,$A307)=0),"NO ISRC MATCH in Release_Track",and($B307&lt;&gt;"",countif('5) Release_Track'!$G:$G,$B307)=0),"NO CATALOG ID MATCH in Release_Track",iserror(vlookup($A307&amp;$B307,'5) Release_Track'!$F:$F&amp;'5) Release_Track'!$G:$G,1,0)),"NO ISRC-CATALOG ID pair MATCH in Release_Track" )</f>
        <v/>
      </c>
      <c r="D307" s="121" t="str">
        <f t="array" ref="D307">ifs(and(isblank($A307),isblank($B307)),"", not(iserror(vlookup($A307&amp;$B307,'5) Release_Track'!$F:$F&amp;'5) Release_Track'!$G:$G,1,0))),vlookup($A307&amp;$B307,{'5) Release_Track'!$F:$F&amp;'5) Release_Track'!$G:$G,'5) Release_Track'!$I:$I},2,0), or(and(not(isblank($B307)),$B307=$B306,$A307&lt;&gt;$A306),and(not(isblank($A307)),$A307=$A306,$B307&lt;&gt;$B306)),"ID LISTS UNALIGNED",and($A307&lt;&gt;"",countif('5) Release_Track'!$F:$F,$A307)=0),"NO ISRC MATCH in Release_Track",and($B307&lt;&gt;"",countif('5) Release_Track'!$G:$G,$B307)=0),"NO CATALOG ID MATCH in Release_Track",iserror(vlookup($A307&amp;$B307,'5) Release_Track'!$F:$F&amp;'5) Release_Track'!$G:$G,1,0)),"NO ISRC-CATALOG ID pair MATCH in Release_Track" )</f>
        <v/>
      </c>
      <c r="E307" s="125" t="str">
        <f t="array" ref="E307">ifs(and(isblank($A307),isblank($B307)),"", not(iserror(vlookup($A307&amp;$B307,'5) Release_Track'!$F:$F&amp;'5) Release_Track'!$G:$G,1,0))),vlookup($A307&amp;$B307,{'5) Release_Track'!$F:$F&amp;'5) Release_Track'!$G:$G,'5) Release_Track'!$J:$J},2,0), or(and(not(isblank($B307)),$B307=$B306,$A307&lt;&gt;$A306),and(not(isblank($A307)),$A307=$A306,$B307&lt;&gt;$B306)),"ID LISTS UNALIGNED",and($A307&lt;&gt;"",countif('5) Release_Track'!$F:$F,$A307)=0),"NO ISRC MATCH in Release_Track",and($B307&lt;&gt;"",countif('5) Release_Track'!$G:$G,$B307)=0),"NO CATALOG ID MATCH in Release_Track",iserror(vlookup($A307&amp;$B307,'5) Release_Track'!$F:$F&amp;'5) Release_Track'!$G:$G,1,0)),"NO ISRC-CATALOG ID pair MATCH in Release_Track" )</f>
        <v/>
      </c>
      <c r="F307" s="122"/>
      <c r="G307" s="99"/>
      <c r="H307" s="178"/>
      <c r="I307" s="121" t="str">
        <f t="shared" si="6"/>
        <v/>
      </c>
      <c r="J307" s="99"/>
      <c r="K307" s="99"/>
    </row>
    <row r="308">
      <c r="B308" s="103"/>
      <c r="C308" s="121" t="str">
        <f t="array" ref="C308">ifs(and(isblank($A308),isblank($B308)),"", not(iserror(vlookup($A308&amp;$B308,'5) Release_Track'!$F:$F&amp;'5) Release_Track'!$G:$G,1,0))),vlookup($A308&amp;$B308,{'5) Release_Track'!$F:$F&amp;'5) Release_Track'!$G:$G,'5) Release_Track'!$H:$H},2,0), or(and(not(isblank($B308)),$B308=$B307,$A308&lt;&gt;$A307),and(not(isblank($A308)),$A308=$A307,$B308&lt;&gt;$B307)),"ID LISTS UNALIGNED",and($A308&lt;&gt;"",countif('5) Release_Track'!$F:$F,$A308)=0),"NO ISRC MATCH in Release_Track",and($B308&lt;&gt;"",countif('5) Release_Track'!$G:$G,$B308)=0),"NO CATALOG ID MATCH in Release_Track",iserror(vlookup($A308&amp;$B308,'5) Release_Track'!$F:$F&amp;'5) Release_Track'!$G:$G,1,0)),"NO ISRC-CATALOG ID pair MATCH in Release_Track" )</f>
        <v/>
      </c>
      <c r="D308" s="121" t="str">
        <f t="array" ref="D308">ifs(and(isblank($A308),isblank($B308)),"", not(iserror(vlookup($A308&amp;$B308,'5) Release_Track'!$F:$F&amp;'5) Release_Track'!$G:$G,1,0))),vlookup($A308&amp;$B308,{'5) Release_Track'!$F:$F&amp;'5) Release_Track'!$G:$G,'5) Release_Track'!$I:$I},2,0), or(and(not(isblank($B308)),$B308=$B307,$A308&lt;&gt;$A307),and(not(isblank($A308)),$A308=$A307,$B308&lt;&gt;$B307)),"ID LISTS UNALIGNED",and($A308&lt;&gt;"",countif('5) Release_Track'!$F:$F,$A308)=0),"NO ISRC MATCH in Release_Track",and($B308&lt;&gt;"",countif('5) Release_Track'!$G:$G,$B308)=0),"NO CATALOG ID MATCH in Release_Track",iserror(vlookup($A308&amp;$B308,'5) Release_Track'!$F:$F&amp;'5) Release_Track'!$G:$G,1,0)),"NO ISRC-CATALOG ID pair MATCH in Release_Track" )</f>
        <v/>
      </c>
      <c r="E308" s="125" t="str">
        <f t="array" ref="E308">ifs(and(isblank($A308),isblank($B308)),"", not(iserror(vlookup($A308&amp;$B308,'5) Release_Track'!$F:$F&amp;'5) Release_Track'!$G:$G,1,0))),vlookup($A308&amp;$B308,{'5) Release_Track'!$F:$F&amp;'5) Release_Track'!$G:$G,'5) Release_Track'!$J:$J},2,0), or(and(not(isblank($B308)),$B308=$B307,$A308&lt;&gt;$A307),and(not(isblank($A308)),$A308=$A307,$B308&lt;&gt;$B307)),"ID LISTS UNALIGNED",and($A308&lt;&gt;"",countif('5) Release_Track'!$F:$F,$A308)=0),"NO ISRC MATCH in Release_Track",and($B308&lt;&gt;"",countif('5) Release_Track'!$G:$G,$B308)=0),"NO CATALOG ID MATCH in Release_Track",iserror(vlookup($A308&amp;$B308,'5) Release_Track'!$F:$F&amp;'5) Release_Track'!$G:$G,1,0)),"NO ISRC-CATALOG ID pair MATCH in Release_Track" )</f>
        <v/>
      </c>
      <c r="F308" s="122"/>
      <c r="G308" s="99"/>
      <c r="H308" s="178"/>
      <c r="I308" s="121" t="str">
        <f t="shared" si="6"/>
        <v/>
      </c>
      <c r="J308" s="99"/>
      <c r="K308" s="99"/>
    </row>
    <row r="309">
      <c r="B309" s="103"/>
      <c r="C309" s="121" t="str">
        <f t="array" ref="C309">ifs(and(isblank($A309),isblank($B309)),"", not(iserror(vlookup($A309&amp;$B309,'5) Release_Track'!$F:$F&amp;'5) Release_Track'!$G:$G,1,0))),vlookup($A309&amp;$B309,{'5) Release_Track'!$F:$F&amp;'5) Release_Track'!$G:$G,'5) Release_Track'!$H:$H},2,0), or(and(not(isblank($B309)),$B309=$B308,$A309&lt;&gt;$A308),and(not(isblank($A309)),$A309=$A308,$B309&lt;&gt;$B308)),"ID LISTS UNALIGNED",and($A309&lt;&gt;"",countif('5) Release_Track'!$F:$F,$A309)=0),"NO ISRC MATCH in Release_Track",and($B309&lt;&gt;"",countif('5) Release_Track'!$G:$G,$B309)=0),"NO CATALOG ID MATCH in Release_Track",iserror(vlookup($A309&amp;$B309,'5) Release_Track'!$F:$F&amp;'5) Release_Track'!$G:$G,1,0)),"NO ISRC-CATALOG ID pair MATCH in Release_Track" )</f>
        <v/>
      </c>
      <c r="D309" s="121" t="str">
        <f t="array" ref="D309">ifs(and(isblank($A309),isblank($B309)),"", not(iserror(vlookup($A309&amp;$B309,'5) Release_Track'!$F:$F&amp;'5) Release_Track'!$G:$G,1,0))),vlookup($A309&amp;$B309,{'5) Release_Track'!$F:$F&amp;'5) Release_Track'!$G:$G,'5) Release_Track'!$I:$I},2,0), or(and(not(isblank($B309)),$B309=$B308,$A309&lt;&gt;$A308),and(not(isblank($A309)),$A309=$A308,$B309&lt;&gt;$B308)),"ID LISTS UNALIGNED",and($A309&lt;&gt;"",countif('5) Release_Track'!$F:$F,$A309)=0),"NO ISRC MATCH in Release_Track",and($B309&lt;&gt;"",countif('5) Release_Track'!$G:$G,$B309)=0),"NO CATALOG ID MATCH in Release_Track",iserror(vlookup($A309&amp;$B309,'5) Release_Track'!$F:$F&amp;'5) Release_Track'!$G:$G,1,0)),"NO ISRC-CATALOG ID pair MATCH in Release_Track" )</f>
        <v/>
      </c>
      <c r="E309" s="125" t="str">
        <f t="array" ref="E309">ifs(and(isblank($A309),isblank($B309)),"", not(iserror(vlookup($A309&amp;$B309,'5) Release_Track'!$F:$F&amp;'5) Release_Track'!$G:$G,1,0))),vlookup($A309&amp;$B309,{'5) Release_Track'!$F:$F&amp;'5) Release_Track'!$G:$G,'5) Release_Track'!$J:$J},2,0), or(and(not(isblank($B309)),$B309=$B308,$A309&lt;&gt;$A308),and(not(isblank($A309)),$A309=$A308,$B309&lt;&gt;$B308)),"ID LISTS UNALIGNED",and($A309&lt;&gt;"",countif('5) Release_Track'!$F:$F,$A309)=0),"NO ISRC MATCH in Release_Track",and($B309&lt;&gt;"",countif('5) Release_Track'!$G:$G,$B309)=0),"NO CATALOG ID MATCH in Release_Track",iserror(vlookup($A309&amp;$B309,'5) Release_Track'!$F:$F&amp;'5) Release_Track'!$G:$G,1,0)),"NO ISRC-CATALOG ID pair MATCH in Release_Track" )</f>
        <v/>
      </c>
      <c r="F309" s="122"/>
      <c r="G309" s="99"/>
      <c r="H309" s="178"/>
      <c r="I309" s="121" t="str">
        <f t="shared" si="6"/>
        <v/>
      </c>
      <c r="J309" s="99"/>
      <c r="K309" s="99"/>
    </row>
    <row r="310">
      <c r="B310" s="103"/>
      <c r="C310" s="121" t="str">
        <f t="array" ref="C310">ifs(and(isblank($A310),isblank($B310)),"", not(iserror(vlookup($A310&amp;$B310,'5) Release_Track'!$F:$F&amp;'5) Release_Track'!$G:$G,1,0))),vlookup($A310&amp;$B310,{'5) Release_Track'!$F:$F&amp;'5) Release_Track'!$G:$G,'5) Release_Track'!$H:$H},2,0), or(and(not(isblank($B310)),$B310=$B309,$A310&lt;&gt;$A309),and(not(isblank($A310)),$A310=$A309,$B310&lt;&gt;$B309)),"ID LISTS UNALIGNED",and($A310&lt;&gt;"",countif('5) Release_Track'!$F:$F,$A310)=0),"NO ISRC MATCH in Release_Track",and($B310&lt;&gt;"",countif('5) Release_Track'!$G:$G,$B310)=0),"NO CATALOG ID MATCH in Release_Track",iserror(vlookup($A310&amp;$B310,'5) Release_Track'!$F:$F&amp;'5) Release_Track'!$G:$G,1,0)),"NO ISRC-CATALOG ID pair MATCH in Release_Track" )</f>
        <v/>
      </c>
      <c r="D310" s="121" t="str">
        <f t="array" ref="D310">ifs(and(isblank($A310),isblank($B310)),"", not(iserror(vlookup($A310&amp;$B310,'5) Release_Track'!$F:$F&amp;'5) Release_Track'!$G:$G,1,0))),vlookup($A310&amp;$B310,{'5) Release_Track'!$F:$F&amp;'5) Release_Track'!$G:$G,'5) Release_Track'!$I:$I},2,0), or(and(not(isblank($B310)),$B310=$B309,$A310&lt;&gt;$A309),and(not(isblank($A310)),$A310=$A309,$B310&lt;&gt;$B309)),"ID LISTS UNALIGNED",and($A310&lt;&gt;"",countif('5) Release_Track'!$F:$F,$A310)=0),"NO ISRC MATCH in Release_Track",and($B310&lt;&gt;"",countif('5) Release_Track'!$G:$G,$B310)=0),"NO CATALOG ID MATCH in Release_Track",iserror(vlookup($A310&amp;$B310,'5) Release_Track'!$F:$F&amp;'5) Release_Track'!$G:$G,1,0)),"NO ISRC-CATALOG ID pair MATCH in Release_Track" )</f>
        <v/>
      </c>
      <c r="E310" s="125" t="str">
        <f t="array" ref="E310">ifs(and(isblank($A310),isblank($B310)),"", not(iserror(vlookup($A310&amp;$B310,'5) Release_Track'!$F:$F&amp;'5) Release_Track'!$G:$G,1,0))),vlookup($A310&amp;$B310,{'5) Release_Track'!$F:$F&amp;'5) Release_Track'!$G:$G,'5) Release_Track'!$J:$J},2,0), or(and(not(isblank($B310)),$B310=$B309,$A310&lt;&gt;$A309),and(not(isblank($A310)),$A310=$A309,$B310&lt;&gt;$B309)),"ID LISTS UNALIGNED",and($A310&lt;&gt;"",countif('5) Release_Track'!$F:$F,$A310)=0),"NO ISRC MATCH in Release_Track",and($B310&lt;&gt;"",countif('5) Release_Track'!$G:$G,$B310)=0),"NO CATALOG ID MATCH in Release_Track",iserror(vlookup($A310&amp;$B310,'5) Release_Track'!$F:$F&amp;'5) Release_Track'!$G:$G,1,0)),"NO ISRC-CATALOG ID pair MATCH in Release_Track" )</f>
        <v/>
      </c>
      <c r="F310" s="122"/>
      <c r="G310" s="99"/>
      <c r="H310" s="178"/>
      <c r="I310" s="121" t="str">
        <f t="shared" si="6"/>
        <v/>
      </c>
      <c r="J310" s="99"/>
      <c r="K310" s="99"/>
    </row>
    <row r="311">
      <c r="B311" s="103"/>
      <c r="C311" s="121" t="str">
        <f t="array" ref="C311">ifs(and(isblank($A311),isblank($B311)),"", not(iserror(vlookup($A311&amp;$B311,'5) Release_Track'!$F:$F&amp;'5) Release_Track'!$G:$G,1,0))),vlookup($A311&amp;$B311,{'5) Release_Track'!$F:$F&amp;'5) Release_Track'!$G:$G,'5) Release_Track'!$H:$H},2,0), or(and(not(isblank($B311)),$B311=$B310,$A311&lt;&gt;$A310),and(not(isblank($A311)),$A311=$A310,$B311&lt;&gt;$B310)),"ID LISTS UNALIGNED",and($A311&lt;&gt;"",countif('5) Release_Track'!$F:$F,$A311)=0),"NO ISRC MATCH in Release_Track",and($B311&lt;&gt;"",countif('5) Release_Track'!$G:$G,$B311)=0),"NO CATALOG ID MATCH in Release_Track",iserror(vlookup($A311&amp;$B311,'5) Release_Track'!$F:$F&amp;'5) Release_Track'!$G:$G,1,0)),"NO ISRC-CATALOG ID pair MATCH in Release_Track" )</f>
        <v/>
      </c>
      <c r="D311" s="121" t="str">
        <f t="array" ref="D311">ifs(and(isblank($A311),isblank($B311)),"", not(iserror(vlookup($A311&amp;$B311,'5) Release_Track'!$F:$F&amp;'5) Release_Track'!$G:$G,1,0))),vlookup($A311&amp;$B311,{'5) Release_Track'!$F:$F&amp;'5) Release_Track'!$G:$G,'5) Release_Track'!$I:$I},2,0), or(and(not(isblank($B311)),$B311=$B310,$A311&lt;&gt;$A310),and(not(isblank($A311)),$A311=$A310,$B311&lt;&gt;$B310)),"ID LISTS UNALIGNED",and($A311&lt;&gt;"",countif('5) Release_Track'!$F:$F,$A311)=0),"NO ISRC MATCH in Release_Track",and($B311&lt;&gt;"",countif('5) Release_Track'!$G:$G,$B311)=0),"NO CATALOG ID MATCH in Release_Track",iserror(vlookup($A311&amp;$B311,'5) Release_Track'!$F:$F&amp;'5) Release_Track'!$G:$G,1,0)),"NO ISRC-CATALOG ID pair MATCH in Release_Track" )</f>
        <v/>
      </c>
      <c r="E311" s="125" t="str">
        <f t="array" ref="E311">ifs(and(isblank($A311),isblank($B311)),"", not(iserror(vlookup($A311&amp;$B311,'5) Release_Track'!$F:$F&amp;'5) Release_Track'!$G:$G,1,0))),vlookup($A311&amp;$B311,{'5) Release_Track'!$F:$F&amp;'5) Release_Track'!$G:$G,'5) Release_Track'!$J:$J},2,0), or(and(not(isblank($B311)),$B311=$B310,$A311&lt;&gt;$A310),and(not(isblank($A311)),$A311=$A310,$B311&lt;&gt;$B310)),"ID LISTS UNALIGNED",and($A311&lt;&gt;"",countif('5) Release_Track'!$F:$F,$A311)=0),"NO ISRC MATCH in Release_Track",and($B311&lt;&gt;"",countif('5) Release_Track'!$G:$G,$B311)=0),"NO CATALOG ID MATCH in Release_Track",iserror(vlookup($A311&amp;$B311,'5) Release_Track'!$F:$F&amp;'5) Release_Track'!$G:$G,1,0)),"NO ISRC-CATALOG ID pair MATCH in Release_Track" )</f>
        <v/>
      </c>
      <c r="F311" s="122"/>
      <c r="G311" s="99"/>
      <c r="H311" s="178"/>
      <c r="I311" s="121" t="str">
        <f t="shared" si="6"/>
        <v/>
      </c>
      <c r="J311" s="99"/>
      <c r="K311" s="99"/>
    </row>
    <row r="312">
      <c r="B312" s="103"/>
      <c r="C312" s="121" t="str">
        <f t="array" ref="C312">ifs(and(isblank($A312),isblank($B312)),"", not(iserror(vlookup($A312&amp;$B312,'5) Release_Track'!$F:$F&amp;'5) Release_Track'!$G:$G,1,0))),vlookup($A312&amp;$B312,{'5) Release_Track'!$F:$F&amp;'5) Release_Track'!$G:$G,'5) Release_Track'!$H:$H},2,0), or(and(not(isblank($B312)),$B312=$B311,$A312&lt;&gt;$A311),and(not(isblank($A312)),$A312=$A311,$B312&lt;&gt;$B311)),"ID LISTS UNALIGNED",and($A312&lt;&gt;"",countif('5) Release_Track'!$F:$F,$A312)=0),"NO ISRC MATCH in Release_Track",and($B312&lt;&gt;"",countif('5) Release_Track'!$G:$G,$B312)=0),"NO CATALOG ID MATCH in Release_Track",iserror(vlookup($A312&amp;$B312,'5) Release_Track'!$F:$F&amp;'5) Release_Track'!$G:$G,1,0)),"NO ISRC-CATALOG ID pair MATCH in Release_Track" )</f>
        <v/>
      </c>
      <c r="D312" s="121" t="str">
        <f t="array" ref="D312">ifs(and(isblank($A312),isblank($B312)),"", not(iserror(vlookup($A312&amp;$B312,'5) Release_Track'!$F:$F&amp;'5) Release_Track'!$G:$G,1,0))),vlookup($A312&amp;$B312,{'5) Release_Track'!$F:$F&amp;'5) Release_Track'!$G:$G,'5) Release_Track'!$I:$I},2,0), or(and(not(isblank($B312)),$B312=$B311,$A312&lt;&gt;$A311),and(not(isblank($A312)),$A312=$A311,$B312&lt;&gt;$B311)),"ID LISTS UNALIGNED",and($A312&lt;&gt;"",countif('5) Release_Track'!$F:$F,$A312)=0),"NO ISRC MATCH in Release_Track",and($B312&lt;&gt;"",countif('5) Release_Track'!$G:$G,$B312)=0),"NO CATALOG ID MATCH in Release_Track",iserror(vlookup($A312&amp;$B312,'5) Release_Track'!$F:$F&amp;'5) Release_Track'!$G:$G,1,0)),"NO ISRC-CATALOG ID pair MATCH in Release_Track" )</f>
        <v/>
      </c>
      <c r="E312" s="125" t="str">
        <f t="array" ref="E312">ifs(and(isblank($A312),isblank($B312)),"", not(iserror(vlookup($A312&amp;$B312,'5) Release_Track'!$F:$F&amp;'5) Release_Track'!$G:$G,1,0))),vlookup($A312&amp;$B312,{'5) Release_Track'!$F:$F&amp;'5) Release_Track'!$G:$G,'5) Release_Track'!$J:$J},2,0), or(and(not(isblank($B312)),$B312=$B311,$A312&lt;&gt;$A311),and(not(isblank($A312)),$A312=$A311,$B312&lt;&gt;$B311)),"ID LISTS UNALIGNED",and($A312&lt;&gt;"",countif('5) Release_Track'!$F:$F,$A312)=0),"NO ISRC MATCH in Release_Track",and($B312&lt;&gt;"",countif('5) Release_Track'!$G:$G,$B312)=0),"NO CATALOG ID MATCH in Release_Track",iserror(vlookup($A312&amp;$B312,'5) Release_Track'!$F:$F&amp;'5) Release_Track'!$G:$G,1,0)),"NO ISRC-CATALOG ID pair MATCH in Release_Track" )</f>
        <v/>
      </c>
      <c r="F312" s="122"/>
      <c r="G312" s="99"/>
      <c r="H312" s="178"/>
      <c r="I312" s="121" t="str">
        <f t="shared" si="6"/>
        <v/>
      </c>
      <c r="J312" s="99"/>
      <c r="K312" s="99"/>
    </row>
    <row r="313">
      <c r="B313" s="103"/>
      <c r="C313" s="121" t="str">
        <f t="array" ref="C313">ifs(and(isblank($A313),isblank($B313)),"", not(iserror(vlookup($A313&amp;$B313,'5) Release_Track'!$F:$F&amp;'5) Release_Track'!$G:$G,1,0))),vlookup($A313&amp;$B313,{'5) Release_Track'!$F:$F&amp;'5) Release_Track'!$G:$G,'5) Release_Track'!$H:$H},2,0), or(and(not(isblank($B313)),$B313=$B312,$A313&lt;&gt;$A312),and(not(isblank($A313)),$A313=$A312,$B313&lt;&gt;$B312)),"ID LISTS UNALIGNED",and($A313&lt;&gt;"",countif('5) Release_Track'!$F:$F,$A313)=0),"NO ISRC MATCH in Release_Track",and($B313&lt;&gt;"",countif('5) Release_Track'!$G:$G,$B313)=0),"NO CATALOG ID MATCH in Release_Track",iserror(vlookup($A313&amp;$B313,'5) Release_Track'!$F:$F&amp;'5) Release_Track'!$G:$G,1,0)),"NO ISRC-CATALOG ID pair MATCH in Release_Track" )</f>
        <v/>
      </c>
      <c r="D313" s="121" t="str">
        <f t="array" ref="D313">ifs(and(isblank($A313),isblank($B313)),"", not(iserror(vlookup($A313&amp;$B313,'5) Release_Track'!$F:$F&amp;'5) Release_Track'!$G:$G,1,0))),vlookup($A313&amp;$B313,{'5) Release_Track'!$F:$F&amp;'5) Release_Track'!$G:$G,'5) Release_Track'!$I:$I},2,0), or(and(not(isblank($B313)),$B313=$B312,$A313&lt;&gt;$A312),and(not(isblank($A313)),$A313=$A312,$B313&lt;&gt;$B312)),"ID LISTS UNALIGNED",and($A313&lt;&gt;"",countif('5) Release_Track'!$F:$F,$A313)=0),"NO ISRC MATCH in Release_Track",and($B313&lt;&gt;"",countif('5) Release_Track'!$G:$G,$B313)=0),"NO CATALOG ID MATCH in Release_Track",iserror(vlookup($A313&amp;$B313,'5) Release_Track'!$F:$F&amp;'5) Release_Track'!$G:$G,1,0)),"NO ISRC-CATALOG ID pair MATCH in Release_Track" )</f>
        <v/>
      </c>
      <c r="E313" s="125" t="str">
        <f t="array" ref="E313">ifs(and(isblank($A313),isblank($B313)),"", not(iserror(vlookup($A313&amp;$B313,'5) Release_Track'!$F:$F&amp;'5) Release_Track'!$G:$G,1,0))),vlookup($A313&amp;$B313,{'5) Release_Track'!$F:$F&amp;'5) Release_Track'!$G:$G,'5) Release_Track'!$J:$J},2,0), or(and(not(isblank($B313)),$B313=$B312,$A313&lt;&gt;$A312),and(not(isblank($A313)),$A313=$A312,$B313&lt;&gt;$B312)),"ID LISTS UNALIGNED",and($A313&lt;&gt;"",countif('5) Release_Track'!$F:$F,$A313)=0),"NO ISRC MATCH in Release_Track",and($B313&lt;&gt;"",countif('5) Release_Track'!$G:$G,$B313)=0),"NO CATALOG ID MATCH in Release_Track",iserror(vlookup($A313&amp;$B313,'5) Release_Track'!$F:$F&amp;'5) Release_Track'!$G:$G,1,0)),"NO ISRC-CATALOG ID pair MATCH in Release_Track" )</f>
        <v/>
      </c>
      <c r="F313" s="122"/>
      <c r="G313" s="99"/>
      <c r="H313" s="178"/>
      <c r="I313" s="121" t="str">
        <f t="shared" si="6"/>
        <v/>
      </c>
      <c r="J313" s="99"/>
      <c r="K313" s="99"/>
    </row>
    <row r="314">
      <c r="B314" s="103"/>
      <c r="C314" s="121" t="str">
        <f t="array" ref="C314">ifs(and(isblank($A314),isblank($B314)),"", not(iserror(vlookup($A314&amp;$B314,'5) Release_Track'!$F:$F&amp;'5) Release_Track'!$G:$G,1,0))),vlookup($A314&amp;$B314,{'5) Release_Track'!$F:$F&amp;'5) Release_Track'!$G:$G,'5) Release_Track'!$H:$H},2,0), or(and(not(isblank($B314)),$B314=$B313,$A314&lt;&gt;$A313),and(not(isblank($A314)),$A314=$A313,$B314&lt;&gt;$B313)),"ID LISTS UNALIGNED",and($A314&lt;&gt;"",countif('5) Release_Track'!$F:$F,$A314)=0),"NO ISRC MATCH in Release_Track",and($B314&lt;&gt;"",countif('5) Release_Track'!$G:$G,$B314)=0),"NO CATALOG ID MATCH in Release_Track",iserror(vlookup($A314&amp;$B314,'5) Release_Track'!$F:$F&amp;'5) Release_Track'!$G:$G,1,0)),"NO ISRC-CATALOG ID pair MATCH in Release_Track" )</f>
        <v/>
      </c>
      <c r="D314" s="121" t="str">
        <f t="array" ref="D314">ifs(and(isblank($A314),isblank($B314)),"", not(iserror(vlookup($A314&amp;$B314,'5) Release_Track'!$F:$F&amp;'5) Release_Track'!$G:$G,1,0))),vlookup($A314&amp;$B314,{'5) Release_Track'!$F:$F&amp;'5) Release_Track'!$G:$G,'5) Release_Track'!$I:$I},2,0), or(and(not(isblank($B314)),$B314=$B313,$A314&lt;&gt;$A313),and(not(isblank($A314)),$A314=$A313,$B314&lt;&gt;$B313)),"ID LISTS UNALIGNED",and($A314&lt;&gt;"",countif('5) Release_Track'!$F:$F,$A314)=0),"NO ISRC MATCH in Release_Track",and($B314&lt;&gt;"",countif('5) Release_Track'!$G:$G,$B314)=0),"NO CATALOG ID MATCH in Release_Track",iserror(vlookup($A314&amp;$B314,'5) Release_Track'!$F:$F&amp;'5) Release_Track'!$G:$G,1,0)),"NO ISRC-CATALOG ID pair MATCH in Release_Track" )</f>
        <v/>
      </c>
      <c r="E314" s="125" t="str">
        <f t="array" ref="E314">ifs(and(isblank($A314),isblank($B314)),"", not(iserror(vlookup($A314&amp;$B314,'5) Release_Track'!$F:$F&amp;'5) Release_Track'!$G:$G,1,0))),vlookup($A314&amp;$B314,{'5) Release_Track'!$F:$F&amp;'5) Release_Track'!$G:$G,'5) Release_Track'!$J:$J},2,0), or(and(not(isblank($B314)),$B314=$B313,$A314&lt;&gt;$A313),and(not(isblank($A314)),$A314=$A313,$B314&lt;&gt;$B313)),"ID LISTS UNALIGNED",and($A314&lt;&gt;"",countif('5) Release_Track'!$F:$F,$A314)=0),"NO ISRC MATCH in Release_Track",and($B314&lt;&gt;"",countif('5) Release_Track'!$G:$G,$B314)=0),"NO CATALOG ID MATCH in Release_Track",iserror(vlookup($A314&amp;$B314,'5) Release_Track'!$F:$F&amp;'5) Release_Track'!$G:$G,1,0)),"NO ISRC-CATALOG ID pair MATCH in Release_Track" )</f>
        <v/>
      </c>
      <c r="F314" s="122"/>
      <c r="G314" s="99"/>
      <c r="H314" s="178"/>
      <c r="I314" s="121" t="str">
        <f t="shared" si="6"/>
        <v/>
      </c>
      <c r="J314" s="99"/>
      <c r="K314" s="99"/>
    </row>
    <row r="315">
      <c r="B315" s="103"/>
      <c r="C315" s="121" t="str">
        <f t="array" ref="C315">ifs(and(isblank($A315),isblank($B315)),"", not(iserror(vlookup($A315&amp;$B315,'5) Release_Track'!$F:$F&amp;'5) Release_Track'!$G:$G,1,0))),vlookup($A315&amp;$B315,{'5) Release_Track'!$F:$F&amp;'5) Release_Track'!$G:$G,'5) Release_Track'!$H:$H},2,0), or(and(not(isblank($B315)),$B315=$B314,$A315&lt;&gt;$A314),and(not(isblank($A315)),$A315=$A314,$B315&lt;&gt;$B314)),"ID LISTS UNALIGNED",and($A315&lt;&gt;"",countif('5) Release_Track'!$F:$F,$A315)=0),"NO ISRC MATCH in Release_Track",and($B315&lt;&gt;"",countif('5) Release_Track'!$G:$G,$B315)=0),"NO CATALOG ID MATCH in Release_Track",iserror(vlookup($A315&amp;$B315,'5) Release_Track'!$F:$F&amp;'5) Release_Track'!$G:$G,1,0)),"NO ISRC-CATALOG ID pair MATCH in Release_Track" )</f>
        <v/>
      </c>
      <c r="D315" s="121" t="str">
        <f t="array" ref="D315">ifs(and(isblank($A315),isblank($B315)),"", not(iserror(vlookup($A315&amp;$B315,'5) Release_Track'!$F:$F&amp;'5) Release_Track'!$G:$G,1,0))),vlookup($A315&amp;$B315,{'5) Release_Track'!$F:$F&amp;'5) Release_Track'!$G:$G,'5) Release_Track'!$I:$I},2,0), or(and(not(isblank($B315)),$B315=$B314,$A315&lt;&gt;$A314),and(not(isblank($A315)),$A315=$A314,$B315&lt;&gt;$B314)),"ID LISTS UNALIGNED",and($A315&lt;&gt;"",countif('5) Release_Track'!$F:$F,$A315)=0),"NO ISRC MATCH in Release_Track",and($B315&lt;&gt;"",countif('5) Release_Track'!$G:$G,$B315)=0),"NO CATALOG ID MATCH in Release_Track",iserror(vlookup($A315&amp;$B315,'5) Release_Track'!$F:$F&amp;'5) Release_Track'!$G:$G,1,0)),"NO ISRC-CATALOG ID pair MATCH in Release_Track" )</f>
        <v/>
      </c>
      <c r="E315" s="125" t="str">
        <f t="array" ref="E315">ifs(and(isblank($A315),isblank($B315)),"", not(iserror(vlookup($A315&amp;$B315,'5) Release_Track'!$F:$F&amp;'5) Release_Track'!$G:$G,1,0))),vlookup($A315&amp;$B315,{'5) Release_Track'!$F:$F&amp;'5) Release_Track'!$G:$G,'5) Release_Track'!$J:$J},2,0), or(and(not(isblank($B315)),$B315=$B314,$A315&lt;&gt;$A314),and(not(isblank($A315)),$A315=$A314,$B315&lt;&gt;$B314)),"ID LISTS UNALIGNED",and($A315&lt;&gt;"",countif('5) Release_Track'!$F:$F,$A315)=0),"NO ISRC MATCH in Release_Track",and($B315&lt;&gt;"",countif('5) Release_Track'!$G:$G,$B315)=0),"NO CATALOG ID MATCH in Release_Track",iserror(vlookup($A315&amp;$B315,'5) Release_Track'!$F:$F&amp;'5) Release_Track'!$G:$G,1,0)),"NO ISRC-CATALOG ID pair MATCH in Release_Track" )</f>
        <v/>
      </c>
      <c r="F315" s="122"/>
      <c r="G315" s="99"/>
      <c r="H315" s="178"/>
      <c r="I315" s="121" t="str">
        <f t="shared" si="6"/>
        <v/>
      </c>
      <c r="J315" s="99"/>
      <c r="K315" s="99"/>
    </row>
    <row r="316">
      <c r="B316" s="103"/>
      <c r="C316" s="121" t="str">
        <f t="array" ref="C316">ifs(and(isblank($A316),isblank($B316)),"", not(iserror(vlookup($A316&amp;$B316,'5) Release_Track'!$F:$F&amp;'5) Release_Track'!$G:$G,1,0))),vlookup($A316&amp;$B316,{'5) Release_Track'!$F:$F&amp;'5) Release_Track'!$G:$G,'5) Release_Track'!$H:$H},2,0), or(and(not(isblank($B316)),$B316=$B315,$A316&lt;&gt;$A315),and(not(isblank($A316)),$A316=$A315,$B316&lt;&gt;$B315)),"ID LISTS UNALIGNED",and($A316&lt;&gt;"",countif('5) Release_Track'!$F:$F,$A316)=0),"NO ISRC MATCH in Release_Track",and($B316&lt;&gt;"",countif('5) Release_Track'!$G:$G,$B316)=0),"NO CATALOG ID MATCH in Release_Track",iserror(vlookup($A316&amp;$B316,'5) Release_Track'!$F:$F&amp;'5) Release_Track'!$G:$G,1,0)),"NO ISRC-CATALOG ID pair MATCH in Release_Track" )</f>
        <v/>
      </c>
      <c r="D316" s="121" t="str">
        <f t="array" ref="D316">ifs(and(isblank($A316),isblank($B316)),"", not(iserror(vlookup($A316&amp;$B316,'5) Release_Track'!$F:$F&amp;'5) Release_Track'!$G:$G,1,0))),vlookup($A316&amp;$B316,{'5) Release_Track'!$F:$F&amp;'5) Release_Track'!$G:$G,'5) Release_Track'!$I:$I},2,0), or(and(not(isblank($B316)),$B316=$B315,$A316&lt;&gt;$A315),and(not(isblank($A316)),$A316=$A315,$B316&lt;&gt;$B315)),"ID LISTS UNALIGNED",and($A316&lt;&gt;"",countif('5) Release_Track'!$F:$F,$A316)=0),"NO ISRC MATCH in Release_Track",and($B316&lt;&gt;"",countif('5) Release_Track'!$G:$G,$B316)=0),"NO CATALOG ID MATCH in Release_Track",iserror(vlookup($A316&amp;$B316,'5) Release_Track'!$F:$F&amp;'5) Release_Track'!$G:$G,1,0)),"NO ISRC-CATALOG ID pair MATCH in Release_Track" )</f>
        <v/>
      </c>
      <c r="E316" s="125" t="str">
        <f t="array" ref="E316">ifs(and(isblank($A316),isblank($B316)),"", not(iserror(vlookup($A316&amp;$B316,'5) Release_Track'!$F:$F&amp;'5) Release_Track'!$G:$G,1,0))),vlookup($A316&amp;$B316,{'5) Release_Track'!$F:$F&amp;'5) Release_Track'!$G:$G,'5) Release_Track'!$J:$J},2,0), or(and(not(isblank($B316)),$B316=$B315,$A316&lt;&gt;$A315),and(not(isblank($A316)),$A316=$A315,$B316&lt;&gt;$B315)),"ID LISTS UNALIGNED",and($A316&lt;&gt;"",countif('5) Release_Track'!$F:$F,$A316)=0),"NO ISRC MATCH in Release_Track",and($B316&lt;&gt;"",countif('5) Release_Track'!$G:$G,$B316)=0),"NO CATALOG ID MATCH in Release_Track",iserror(vlookup($A316&amp;$B316,'5) Release_Track'!$F:$F&amp;'5) Release_Track'!$G:$G,1,0)),"NO ISRC-CATALOG ID pair MATCH in Release_Track" )</f>
        <v/>
      </c>
      <c r="F316" s="122"/>
      <c r="G316" s="99"/>
      <c r="H316" s="178"/>
      <c r="I316" s="121" t="str">
        <f t="shared" si="6"/>
        <v/>
      </c>
      <c r="J316" s="99"/>
      <c r="K316" s="99"/>
    </row>
    <row r="317">
      <c r="B317" s="103"/>
      <c r="C317" s="121" t="str">
        <f t="array" ref="C317">ifs(and(isblank($A317),isblank($B317)),"", not(iserror(vlookup($A317&amp;$B317,'5) Release_Track'!$F:$F&amp;'5) Release_Track'!$G:$G,1,0))),vlookup($A317&amp;$B317,{'5) Release_Track'!$F:$F&amp;'5) Release_Track'!$G:$G,'5) Release_Track'!$H:$H},2,0), or(and(not(isblank($B317)),$B317=$B316,$A317&lt;&gt;$A316),and(not(isblank($A317)),$A317=$A316,$B317&lt;&gt;$B316)),"ID LISTS UNALIGNED",and($A317&lt;&gt;"",countif('5) Release_Track'!$F:$F,$A317)=0),"NO ISRC MATCH in Release_Track",and($B317&lt;&gt;"",countif('5) Release_Track'!$G:$G,$B317)=0),"NO CATALOG ID MATCH in Release_Track",iserror(vlookup($A317&amp;$B317,'5) Release_Track'!$F:$F&amp;'5) Release_Track'!$G:$G,1,0)),"NO ISRC-CATALOG ID pair MATCH in Release_Track" )</f>
        <v/>
      </c>
      <c r="D317" s="121" t="str">
        <f t="array" ref="D317">ifs(and(isblank($A317),isblank($B317)),"", not(iserror(vlookup($A317&amp;$B317,'5) Release_Track'!$F:$F&amp;'5) Release_Track'!$G:$G,1,0))),vlookup($A317&amp;$B317,{'5) Release_Track'!$F:$F&amp;'5) Release_Track'!$G:$G,'5) Release_Track'!$I:$I},2,0), or(and(not(isblank($B317)),$B317=$B316,$A317&lt;&gt;$A316),and(not(isblank($A317)),$A317=$A316,$B317&lt;&gt;$B316)),"ID LISTS UNALIGNED",and($A317&lt;&gt;"",countif('5) Release_Track'!$F:$F,$A317)=0),"NO ISRC MATCH in Release_Track",and($B317&lt;&gt;"",countif('5) Release_Track'!$G:$G,$B317)=0),"NO CATALOG ID MATCH in Release_Track",iserror(vlookup($A317&amp;$B317,'5) Release_Track'!$F:$F&amp;'5) Release_Track'!$G:$G,1,0)),"NO ISRC-CATALOG ID pair MATCH in Release_Track" )</f>
        <v/>
      </c>
      <c r="E317" s="125" t="str">
        <f t="array" ref="E317">ifs(and(isblank($A317),isblank($B317)),"", not(iserror(vlookup($A317&amp;$B317,'5) Release_Track'!$F:$F&amp;'5) Release_Track'!$G:$G,1,0))),vlookup($A317&amp;$B317,{'5) Release_Track'!$F:$F&amp;'5) Release_Track'!$G:$G,'5) Release_Track'!$J:$J},2,0), or(and(not(isblank($B317)),$B317=$B316,$A317&lt;&gt;$A316),and(not(isblank($A317)),$A317=$A316,$B317&lt;&gt;$B316)),"ID LISTS UNALIGNED",and($A317&lt;&gt;"",countif('5) Release_Track'!$F:$F,$A317)=0),"NO ISRC MATCH in Release_Track",and($B317&lt;&gt;"",countif('5) Release_Track'!$G:$G,$B317)=0),"NO CATALOG ID MATCH in Release_Track",iserror(vlookup($A317&amp;$B317,'5) Release_Track'!$F:$F&amp;'5) Release_Track'!$G:$G,1,0)),"NO ISRC-CATALOG ID pair MATCH in Release_Track" )</f>
        <v/>
      </c>
      <c r="F317" s="122"/>
      <c r="G317" s="99"/>
      <c r="H317" s="178"/>
      <c r="I317" s="121" t="str">
        <f t="shared" si="6"/>
        <v/>
      </c>
      <c r="J317" s="99"/>
      <c r="K317" s="99"/>
    </row>
    <row r="318">
      <c r="B318" s="103"/>
      <c r="C318" s="121" t="str">
        <f t="array" ref="C318">ifs(and(isblank($A318),isblank($B318)),"", not(iserror(vlookup($A318&amp;$B318,'5) Release_Track'!$F:$F&amp;'5) Release_Track'!$G:$G,1,0))),vlookup($A318&amp;$B318,{'5) Release_Track'!$F:$F&amp;'5) Release_Track'!$G:$G,'5) Release_Track'!$H:$H},2,0), or(and(not(isblank($B318)),$B318=$B317,$A318&lt;&gt;$A317),and(not(isblank($A318)),$A318=$A317,$B318&lt;&gt;$B317)),"ID LISTS UNALIGNED",and($A318&lt;&gt;"",countif('5) Release_Track'!$F:$F,$A318)=0),"NO ISRC MATCH in Release_Track",and($B318&lt;&gt;"",countif('5) Release_Track'!$G:$G,$B318)=0),"NO CATALOG ID MATCH in Release_Track",iserror(vlookup($A318&amp;$B318,'5) Release_Track'!$F:$F&amp;'5) Release_Track'!$G:$G,1,0)),"NO ISRC-CATALOG ID pair MATCH in Release_Track" )</f>
        <v/>
      </c>
      <c r="D318" s="121" t="str">
        <f t="array" ref="D318">ifs(and(isblank($A318),isblank($B318)),"", not(iserror(vlookup($A318&amp;$B318,'5) Release_Track'!$F:$F&amp;'5) Release_Track'!$G:$G,1,0))),vlookup($A318&amp;$B318,{'5) Release_Track'!$F:$F&amp;'5) Release_Track'!$G:$G,'5) Release_Track'!$I:$I},2,0), or(and(not(isblank($B318)),$B318=$B317,$A318&lt;&gt;$A317),and(not(isblank($A318)),$A318=$A317,$B318&lt;&gt;$B317)),"ID LISTS UNALIGNED",and($A318&lt;&gt;"",countif('5) Release_Track'!$F:$F,$A318)=0),"NO ISRC MATCH in Release_Track",and($B318&lt;&gt;"",countif('5) Release_Track'!$G:$G,$B318)=0),"NO CATALOG ID MATCH in Release_Track",iserror(vlookup($A318&amp;$B318,'5) Release_Track'!$F:$F&amp;'5) Release_Track'!$G:$G,1,0)),"NO ISRC-CATALOG ID pair MATCH in Release_Track" )</f>
        <v/>
      </c>
      <c r="E318" s="125" t="str">
        <f t="array" ref="E318">ifs(and(isblank($A318),isblank($B318)),"", not(iserror(vlookup($A318&amp;$B318,'5) Release_Track'!$F:$F&amp;'5) Release_Track'!$G:$G,1,0))),vlookup($A318&amp;$B318,{'5) Release_Track'!$F:$F&amp;'5) Release_Track'!$G:$G,'5) Release_Track'!$J:$J},2,0), or(and(not(isblank($B318)),$B318=$B317,$A318&lt;&gt;$A317),and(not(isblank($A318)),$A318=$A317,$B318&lt;&gt;$B317)),"ID LISTS UNALIGNED",and($A318&lt;&gt;"",countif('5) Release_Track'!$F:$F,$A318)=0),"NO ISRC MATCH in Release_Track",and($B318&lt;&gt;"",countif('5) Release_Track'!$G:$G,$B318)=0),"NO CATALOG ID MATCH in Release_Track",iserror(vlookup($A318&amp;$B318,'5) Release_Track'!$F:$F&amp;'5) Release_Track'!$G:$G,1,0)),"NO ISRC-CATALOG ID pair MATCH in Release_Track" )</f>
        <v/>
      </c>
      <c r="F318" s="122"/>
      <c r="G318" s="99"/>
      <c r="H318" s="178"/>
      <c r="I318" s="121" t="str">
        <f t="shared" si="6"/>
        <v/>
      </c>
      <c r="J318" s="99"/>
      <c r="K318" s="99"/>
    </row>
    <row r="319">
      <c r="B319" s="103"/>
      <c r="C319" s="121" t="str">
        <f t="array" ref="C319">ifs(and(isblank($A319),isblank($B319)),"", not(iserror(vlookup($A319&amp;$B319,'5) Release_Track'!$F:$F&amp;'5) Release_Track'!$G:$G,1,0))),vlookup($A319&amp;$B319,{'5) Release_Track'!$F:$F&amp;'5) Release_Track'!$G:$G,'5) Release_Track'!$H:$H},2,0), or(and(not(isblank($B319)),$B319=$B318,$A319&lt;&gt;$A318),and(not(isblank($A319)),$A319=$A318,$B319&lt;&gt;$B318)),"ID LISTS UNALIGNED",and($A319&lt;&gt;"",countif('5) Release_Track'!$F:$F,$A319)=0),"NO ISRC MATCH in Release_Track",and($B319&lt;&gt;"",countif('5) Release_Track'!$G:$G,$B319)=0),"NO CATALOG ID MATCH in Release_Track",iserror(vlookup($A319&amp;$B319,'5) Release_Track'!$F:$F&amp;'5) Release_Track'!$G:$G,1,0)),"NO ISRC-CATALOG ID pair MATCH in Release_Track" )</f>
        <v/>
      </c>
      <c r="D319" s="121" t="str">
        <f t="array" ref="D319">ifs(and(isblank($A319),isblank($B319)),"", not(iserror(vlookup($A319&amp;$B319,'5) Release_Track'!$F:$F&amp;'5) Release_Track'!$G:$G,1,0))),vlookup($A319&amp;$B319,{'5) Release_Track'!$F:$F&amp;'5) Release_Track'!$G:$G,'5) Release_Track'!$I:$I},2,0), or(and(not(isblank($B319)),$B319=$B318,$A319&lt;&gt;$A318),and(not(isblank($A319)),$A319=$A318,$B319&lt;&gt;$B318)),"ID LISTS UNALIGNED",and($A319&lt;&gt;"",countif('5) Release_Track'!$F:$F,$A319)=0),"NO ISRC MATCH in Release_Track",and($B319&lt;&gt;"",countif('5) Release_Track'!$G:$G,$B319)=0),"NO CATALOG ID MATCH in Release_Track",iserror(vlookup($A319&amp;$B319,'5) Release_Track'!$F:$F&amp;'5) Release_Track'!$G:$G,1,0)),"NO ISRC-CATALOG ID pair MATCH in Release_Track" )</f>
        <v/>
      </c>
      <c r="E319" s="125" t="str">
        <f t="array" ref="E319">ifs(and(isblank($A319),isblank($B319)),"", not(iserror(vlookup($A319&amp;$B319,'5) Release_Track'!$F:$F&amp;'5) Release_Track'!$G:$G,1,0))),vlookup($A319&amp;$B319,{'5) Release_Track'!$F:$F&amp;'5) Release_Track'!$G:$G,'5) Release_Track'!$J:$J},2,0), or(and(not(isblank($B319)),$B319=$B318,$A319&lt;&gt;$A318),and(not(isblank($A319)),$A319=$A318,$B319&lt;&gt;$B318)),"ID LISTS UNALIGNED",and($A319&lt;&gt;"",countif('5) Release_Track'!$F:$F,$A319)=0),"NO ISRC MATCH in Release_Track",and($B319&lt;&gt;"",countif('5) Release_Track'!$G:$G,$B319)=0),"NO CATALOG ID MATCH in Release_Track",iserror(vlookup($A319&amp;$B319,'5) Release_Track'!$F:$F&amp;'5) Release_Track'!$G:$G,1,0)),"NO ISRC-CATALOG ID pair MATCH in Release_Track" )</f>
        <v/>
      </c>
      <c r="F319" s="122"/>
      <c r="G319" s="99"/>
      <c r="H319" s="178"/>
      <c r="I319" s="121" t="str">
        <f t="shared" si="6"/>
        <v/>
      </c>
      <c r="J319" s="99"/>
      <c r="K319" s="99"/>
    </row>
    <row r="320">
      <c r="B320" s="103"/>
      <c r="C320" s="121" t="str">
        <f t="array" ref="C320">ifs(and(isblank($A320),isblank($B320)),"", not(iserror(vlookup($A320&amp;$B320,'5) Release_Track'!$F:$F&amp;'5) Release_Track'!$G:$G,1,0))),vlookup($A320&amp;$B320,{'5) Release_Track'!$F:$F&amp;'5) Release_Track'!$G:$G,'5) Release_Track'!$H:$H},2,0), or(and(not(isblank($B320)),$B320=$B319,$A320&lt;&gt;$A319),and(not(isblank($A320)),$A320=$A319,$B320&lt;&gt;$B319)),"ID LISTS UNALIGNED",and($A320&lt;&gt;"",countif('5) Release_Track'!$F:$F,$A320)=0),"NO ISRC MATCH in Release_Track",and($B320&lt;&gt;"",countif('5) Release_Track'!$G:$G,$B320)=0),"NO CATALOG ID MATCH in Release_Track",iserror(vlookup($A320&amp;$B320,'5) Release_Track'!$F:$F&amp;'5) Release_Track'!$G:$G,1,0)),"NO ISRC-CATALOG ID pair MATCH in Release_Track" )</f>
        <v/>
      </c>
      <c r="D320" s="121" t="str">
        <f t="array" ref="D320">ifs(and(isblank($A320),isblank($B320)),"", not(iserror(vlookup($A320&amp;$B320,'5) Release_Track'!$F:$F&amp;'5) Release_Track'!$G:$G,1,0))),vlookup($A320&amp;$B320,{'5) Release_Track'!$F:$F&amp;'5) Release_Track'!$G:$G,'5) Release_Track'!$I:$I},2,0), or(and(not(isblank($B320)),$B320=$B319,$A320&lt;&gt;$A319),and(not(isblank($A320)),$A320=$A319,$B320&lt;&gt;$B319)),"ID LISTS UNALIGNED",and($A320&lt;&gt;"",countif('5) Release_Track'!$F:$F,$A320)=0),"NO ISRC MATCH in Release_Track",and($B320&lt;&gt;"",countif('5) Release_Track'!$G:$G,$B320)=0),"NO CATALOG ID MATCH in Release_Track",iserror(vlookup($A320&amp;$B320,'5) Release_Track'!$F:$F&amp;'5) Release_Track'!$G:$G,1,0)),"NO ISRC-CATALOG ID pair MATCH in Release_Track" )</f>
        <v/>
      </c>
      <c r="E320" s="125" t="str">
        <f t="array" ref="E320">ifs(and(isblank($A320),isblank($B320)),"", not(iserror(vlookup($A320&amp;$B320,'5) Release_Track'!$F:$F&amp;'5) Release_Track'!$G:$G,1,0))),vlookup($A320&amp;$B320,{'5) Release_Track'!$F:$F&amp;'5) Release_Track'!$G:$G,'5) Release_Track'!$J:$J},2,0), or(and(not(isblank($B320)),$B320=$B319,$A320&lt;&gt;$A319),and(not(isblank($A320)),$A320=$A319,$B320&lt;&gt;$B319)),"ID LISTS UNALIGNED",and($A320&lt;&gt;"",countif('5) Release_Track'!$F:$F,$A320)=0),"NO ISRC MATCH in Release_Track",and($B320&lt;&gt;"",countif('5) Release_Track'!$G:$G,$B320)=0),"NO CATALOG ID MATCH in Release_Track",iserror(vlookup($A320&amp;$B320,'5) Release_Track'!$F:$F&amp;'5) Release_Track'!$G:$G,1,0)),"NO ISRC-CATALOG ID pair MATCH in Release_Track" )</f>
        <v/>
      </c>
      <c r="F320" s="122"/>
      <c r="G320" s="99"/>
      <c r="H320" s="178"/>
      <c r="I320" s="121" t="str">
        <f t="shared" si="6"/>
        <v/>
      </c>
      <c r="J320" s="99"/>
      <c r="K320" s="99"/>
    </row>
    <row r="321">
      <c r="B321" s="103"/>
      <c r="C321" s="121" t="str">
        <f t="array" ref="C321">ifs(and(isblank($A321),isblank($B321)),"", not(iserror(vlookup($A321&amp;$B321,'5) Release_Track'!$F:$F&amp;'5) Release_Track'!$G:$G,1,0))),vlookup($A321&amp;$B321,{'5) Release_Track'!$F:$F&amp;'5) Release_Track'!$G:$G,'5) Release_Track'!$H:$H},2,0), or(and(not(isblank($B321)),$B321=$B320,$A321&lt;&gt;$A320),and(not(isblank($A321)),$A321=$A320,$B321&lt;&gt;$B320)),"ID LISTS UNALIGNED",and($A321&lt;&gt;"",countif('5) Release_Track'!$F:$F,$A321)=0),"NO ISRC MATCH in Release_Track",and($B321&lt;&gt;"",countif('5) Release_Track'!$G:$G,$B321)=0),"NO CATALOG ID MATCH in Release_Track",iserror(vlookup($A321&amp;$B321,'5) Release_Track'!$F:$F&amp;'5) Release_Track'!$G:$G,1,0)),"NO ISRC-CATALOG ID pair MATCH in Release_Track" )</f>
        <v/>
      </c>
      <c r="D321" s="121" t="str">
        <f t="array" ref="D321">ifs(and(isblank($A321),isblank($B321)),"", not(iserror(vlookup($A321&amp;$B321,'5) Release_Track'!$F:$F&amp;'5) Release_Track'!$G:$G,1,0))),vlookup($A321&amp;$B321,{'5) Release_Track'!$F:$F&amp;'5) Release_Track'!$G:$G,'5) Release_Track'!$I:$I},2,0), or(and(not(isblank($B321)),$B321=$B320,$A321&lt;&gt;$A320),and(not(isblank($A321)),$A321=$A320,$B321&lt;&gt;$B320)),"ID LISTS UNALIGNED",and($A321&lt;&gt;"",countif('5) Release_Track'!$F:$F,$A321)=0),"NO ISRC MATCH in Release_Track",and($B321&lt;&gt;"",countif('5) Release_Track'!$G:$G,$B321)=0),"NO CATALOG ID MATCH in Release_Track",iserror(vlookup($A321&amp;$B321,'5) Release_Track'!$F:$F&amp;'5) Release_Track'!$G:$G,1,0)),"NO ISRC-CATALOG ID pair MATCH in Release_Track" )</f>
        <v/>
      </c>
      <c r="E321" s="125" t="str">
        <f t="array" ref="E321">ifs(and(isblank($A321),isblank($B321)),"", not(iserror(vlookup($A321&amp;$B321,'5) Release_Track'!$F:$F&amp;'5) Release_Track'!$G:$G,1,0))),vlookup($A321&amp;$B321,{'5) Release_Track'!$F:$F&amp;'5) Release_Track'!$G:$G,'5) Release_Track'!$J:$J},2,0), or(and(not(isblank($B321)),$B321=$B320,$A321&lt;&gt;$A320),and(not(isblank($A321)),$A321=$A320,$B321&lt;&gt;$B320)),"ID LISTS UNALIGNED",and($A321&lt;&gt;"",countif('5) Release_Track'!$F:$F,$A321)=0),"NO ISRC MATCH in Release_Track",and($B321&lt;&gt;"",countif('5) Release_Track'!$G:$G,$B321)=0),"NO CATALOG ID MATCH in Release_Track",iserror(vlookup($A321&amp;$B321,'5) Release_Track'!$F:$F&amp;'5) Release_Track'!$G:$G,1,0)),"NO ISRC-CATALOG ID pair MATCH in Release_Track" )</f>
        <v/>
      </c>
      <c r="F321" s="122"/>
      <c r="G321" s="99"/>
      <c r="H321" s="178"/>
      <c r="I321" s="121" t="str">
        <f t="shared" si="6"/>
        <v/>
      </c>
      <c r="J321" s="99"/>
      <c r="K321" s="99"/>
    </row>
    <row r="322">
      <c r="B322" s="103"/>
      <c r="C322" s="121" t="str">
        <f t="array" ref="C322">ifs(and(isblank($A322),isblank($B322)),"", not(iserror(vlookup($A322&amp;$B322,'5) Release_Track'!$F:$F&amp;'5) Release_Track'!$G:$G,1,0))),vlookup($A322&amp;$B322,{'5) Release_Track'!$F:$F&amp;'5) Release_Track'!$G:$G,'5) Release_Track'!$H:$H},2,0), or(and(not(isblank($B322)),$B322=$B321,$A322&lt;&gt;$A321),and(not(isblank($A322)),$A322=$A321,$B322&lt;&gt;$B321)),"ID LISTS UNALIGNED",and($A322&lt;&gt;"",countif('5) Release_Track'!$F:$F,$A322)=0),"NO ISRC MATCH in Release_Track",and($B322&lt;&gt;"",countif('5) Release_Track'!$G:$G,$B322)=0),"NO CATALOG ID MATCH in Release_Track",iserror(vlookup($A322&amp;$B322,'5) Release_Track'!$F:$F&amp;'5) Release_Track'!$G:$G,1,0)),"NO ISRC-CATALOG ID pair MATCH in Release_Track" )</f>
        <v/>
      </c>
      <c r="D322" s="121" t="str">
        <f t="array" ref="D322">ifs(and(isblank($A322),isblank($B322)),"", not(iserror(vlookup($A322&amp;$B322,'5) Release_Track'!$F:$F&amp;'5) Release_Track'!$G:$G,1,0))),vlookup($A322&amp;$B322,{'5) Release_Track'!$F:$F&amp;'5) Release_Track'!$G:$G,'5) Release_Track'!$I:$I},2,0), or(and(not(isblank($B322)),$B322=$B321,$A322&lt;&gt;$A321),and(not(isblank($A322)),$A322=$A321,$B322&lt;&gt;$B321)),"ID LISTS UNALIGNED",and($A322&lt;&gt;"",countif('5) Release_Track'!$F:$F,$A322)=0),"NO ISRC MATCH in Release_Track",and($B322&lt;&gt;"",countif('5) Release_Track'!$G:$G,$B322)=0),"NO CATALOG ID MATCH in Release_Track",iserror(vlookup($A322&amp;$B322,'5) Release_Track'!$F:$F&amp;'5) Release_Track'!$G:$G,1,0)),"NO ISRC-CATALOG ID pair MATCH in Release_Track" )</f>
        <v/>
      </c>
      <c r="E322" s="125" t="str">
        <f t="array" ref="E322">ifs(and(isblank($A322),isblank($B322)),"", not(iserror(vlookup($A322&amp;$B322,'5) Release_Track'!$F:$F&amp;'5) Release_Track'!$G:$G,1,0))),vlookup($A322&amp;$B322,{'5) Release_Track'!$F:$F&amp;'5) Release_Track'!$G:$G,'5) Release_Track'!$J:$J},2,0), or(and(not(isblank($B322)),$B322=$B321,$A322&lt;&gt;$A321),and(not(isblank($A322)),$A322=$A321,$B322&lt;&gt;$B321)),"ID LISTS UNALIGNED",and($A322&lt;&gt;"",countif('5) Release_Track'!$F:$F,$A322)=0),"NO ISRC MATCH in Release_Track",and($B322&lt;&gt;"",countif('5) Release_Track'!$G:$G,$B322)=0),"NO CATALOG ID MATCH in Release_Track",iserror(vlookup($A322&amp;$B322,'5) Release_Track'!$F:$F&amp;'5) Release_Track'!$G:$G,1,0)),"NO ISRC-CATALOG ID pair MATCH in Release_Track" )</f>
        <v/>
      </c>
      <c r="F322" s="122"/>
      <c r="G322" s="99"/>
      <c r="H322" s="178"/>
      <c r="I322" s="121" t="str">
        <f t="shared" si="6"/>
        <v/>
      </c>
      <c r="J322" s="99"/>
      <c r="K322" s="99"/>
    </row>
    <row r="323">
      <c r="B323" s="103"/>
      <c r="C323" s="121" t="str">
        <f t="array" ref="C323">ifs(and(isblank($A323),isblank($B323)),"", not(iserror(vlookup($A323&amp;$B323,'5) Release_Track'!$F:$F&amp;'5) Release_Track'!$G:$G,1,0))),vlookup($A323&amp;$B323,{'5) Release_Track'!$F:$F&amp;'5) Release_Track'!$G:$G,'5) Release_Track'!$H:$H},2,0), or(and(not(isblank($B323)),$B323=$B322,$A323&lt;&gt;$A322),and(not(isblank($A323)),$A323=$A322,$B323&lt;&gt;$B322)),"ID LISTS UNALIGNED",and($A323&lt;&gt;"",countif('5) Release_Track'!$F:$F,$A323)=0),"NO ISRC MATCH in Release_Track",and($B323&lt;&gt;"",countif('5) Release_Track'!$G:$G,$B323)=0),"NO CATALOG ID MATCH in Release_Track",iserror(vlookup($A323&amp;$B323,'5) Release_Track'!$F:$F&amp;'5) Release_Track'!$G:$G,1,0)),"NO ISRC-CATALOG ID pair MATCH in Release_Track" )</f>
        <v/>
      </c>
      <c r="D323" s="121" t="str">
        <f t="array" ref="D323">ifs(and(isblank($A323),isblank($B323)),"", not(iserror(vlookup($A323&amp;$B323,'5) Release_Track'!$F:$F&amp;'5) Release_Track'!$G:$G,1,0))),vlookup($A323&amp;$B323,{'5) Release_Track'!$F:$F&amp;'5) Release_Track'!$G:$G,'5) Release_Track'!$I:$I},2,0), or(and(not(isblank($B323)),$B323=$B322,$A323&lt;&gt;$A322),and(not(isblank($A323)),$A323=$A322,$B323&lt;&gt;$B322)),"ID LISTS UNALIGNED",and($A323&lt;&gt;"",countif('5) Release_Track'!$F:$F,$A323)=0),"NO ISRC MATCH in Release_Track",and($B323&lt;&gt;"",countif('5) Release_Track'!$G:$G,$B323)=0),"NO CATALOG ID MATCH in Release_Track",iserror(vlookup($A323&amp;$B323,'5) Release_Track'!$F:$F&amp;'5) Release_Track'!$G:$G,1,0)),"NO ISRC-CATALOG ID pair MATCH in Release_Track" )</f>
        <v/>
      </c>
      <c r="E323" s="125" t="str">
        <f t="array" ref="E323">ifs(and(isblank($A323),isblank($B323)),"", not(iserror(vlookup($A323&amp;$B323,'5) Release_Track'!$F:$F&amp;'5) Release_Track'!$G:$G,1,0))),vlookup($A323&amp;$B323,{'5) Release_Track'!$F:$F&amp;'5) Release_Track'!$G:$G,'5) Release_Track'!$J:$J},2,0), or(and(not(isblank($B323)),$B323=$B322,$A323&lt;&gt;$A322),and(not(isblank($A323)),$A323=$A322,$B323&lt;&gt;$B322)),"ID LISTS UNALIGNED",and($A323&lt;&gt;"",countif('5) Release_Track'!$F:$F,$A323)=0),"NO ISRC MATCH in Release_Track",and($B323&lt;&gt;"",countif('5) Release_Track'!$G:$G,$B323)=0),"NO CATALOG ID MATCH in Release_Track",iserror(vlookup($A323&amp;$B323,'5) Release_Track'!$F:$F&amp;'5) Release_Track'!$G:$G,1,0)),"NO ISRC-CATALOG ID pair MATCH in Release_Track" )</f>
        <v/>
      </c>
      <c r="F323" s="122"/>
      <c r="G323" s="99"/>
      <c r="H323" s="178"/>
      <c r="I323" s="121" t="str">
        <f t="shared" si="6"/>
        <v/>
      </c>
      <c r="J323" s="99"/>
      <c r="K323" s="99"/>
    </row>
    <row r="324">
      <c r="B324" s="103"/>
      <c r="C324" s="121" t="str">
        <f t="array" ref="C324">ifs(and(isblank($A324),isblank($B324)),"", not(iserror(vlookup($A324&amp;$B324,'5) Release_Track'!$F:$F&amp;'5) Release_Track'!$G:$G,1,0))),vlookup($A324&amp;$B324,{'5) Release_Track'!$F:$F&amp;'5) Release_Track'!$G:$G,'5) Release_Track'!$H:$H},2,0), or(and(not(isblank($B324)),$B324=$B323,$A324&lt;&gt;$A323),and(not(isblank($A324)),$A324=$A323,$B324&lt;&gt;$B323)),"ID LISTS UNALIGNED",and($A324&lt;&gt;"",countif('5) Release_Track'!$F:$F,$A324)=0),"NO ISRC MATCH in Release_Track",and($B324&lt;&gt;"",countif('5) Release_Track'!$G:$G,$B324)=0),"NO CATALOG ID MATCH in Release_Track",iserror(vlookup($A324&amp;$B324,'5) Release_Track'!$F:$F&amp;'5) Release_Track'!$G:$G,1,0)),"NO ISRC-CATALOG ID pair MATCH in Release_Track" )</f>
        <v/>
      </c>
      <c r="D324" s="121" t="str">
        <f t="array" ref="D324">ifs(and(isblank($A324),isblank($B324)),"", not(iserror(vlookup($A324&amp;$B324,'5) Release_Track'!$F:$F&amp;'5) Release_Track'!$G:$G,1,0))),vlookup($A324&amp;$B324,{'5) Release_Track'!$F:$F&amp;'5) Release_Track'!$G:$G,'5) Release_Track'!$I:$I},2,0), or(and(not(isblank($B324)),$B324=$B323,$A324&lt;&gt;$A323),and(not(isblank($A324)),$A324=$A323,$B324&lt;&gt;$B323)),"ID LISTS UNALIGNED",and($A324&lt;&gt;"",countif('5) Release_Track'!$F:$F,$A324)=0),"NO ISRC MATCH in Release_Track",and($B324&lt;&gt;"",countif('5) Release_Track'!$G:$G,$B324)=0),"NO CATALOG ID MATCH in Release_Track",iserror(vlookup($A324&amp;$B324,'5) Release_Track'!$F:$F&amp;'5) Release_Track'!$G:$G,1,0)),"NO ISRC-CATALOG ID pair MATCH in Release_Track" )</f>
        <v/>
      </c>
      <c r="E324" s="125" t="str">
        <f t="array" ref="E324">ifs(and(isblank($A324),isblank($B324)),"", not(iserror(vlookup($A324&amp;$B324,'5) Release_Track'!$F:$F&amp;'5) Release_Track'!$G:$G,1,0))),vlookup($A324&amp;$B324,{'5) Release_Track'!$F:$F&amp;'5) Release_Track'!$G:$G,'5) Release_Track'!$J:$J},2,0), or(and(not(isblank($B324)),$B324=$B323,$A324&lt;&gt;$A323),and(not(isblank($A324)),$A324=$A323,$B324&lt;&gt;$B323)),"ID LISTS UNALIGNED",and($A324&lt;&gt;"",countif('5) Release_Track'!$F:$F,$A324)=0),"NO ISRC MATCH in Release_Track",and($B324&lt;&gt;"",countif('5) Release_Track'!$G:$G,$B324)=0),"NO CATALOG ID MATCH in Release_Track",iserror(vlookup($A324&amp;$B324,'5) Release_Track'!$F:$F&amp;'5) Release_Track'!$G:$G,1,0)),"NO ISRC-CATALOG ID pair MATCH in Release_Track" )</f>
        <v/>
      </c>
      <c r="F324" s="122"/>
      <c r="G324" s="99"/>
      <c r="H324" s="178"/>
      <c r="I324" s="121" t="str">
        <f t="shared" si="6"/>
        <v/>
      </c>
      <c r="J324" s="99"/>
      <c r="K324" s="99"/>
    </row>
    <row r="325">
      <c r="B325" s="103"/>
      <c r="C325" s="121" t="str">
        <f t="array" ref="C325">ifs(and(isblank($A325),isblank($B325)),"", not(iserror(vlookup($A325&amp;$B325,'5) Release_Track'!$F:$F&amp;'5) Release_Track'!$G:$G,1,0))),vlookup($A325&amp;$B325,{'5) Release_Track'!$F:$F&amp;'5) Release_Track'!$G:$G,'5) Release_Track'!$H:$H},2,0), or(and(not(isblank($B325)),$B325=$B324,$A325&lt;&gt;$A324),and(not(isblank($A325)),$A325=$A324,$B325&lt;&gt;$B324)),"ID LISTS UNALIGNED",and($A325&lt;&gt;"",countif('5) Release_Track'!$F:$F,$A325)=0),"NO ISRC MATCH in Release_Track",and($B325&lt;&gt;"",countif('5) Release_Track'!$G:$G,$B325)=0),"NO CATALOG ID MATCH in Release_Track",iserror(vlookup($A325&amp;$B325,'5) Release_Track'!$F:$F&amp;'5) Release_Track'!$G:$G,1,0)),"NO ISRC-CATALOG ID pair MATCH in Release_Track" )</f>
        <v/>
      </c>
      <c r="D325" s="121" t="str">
        <f t="array" ref="D325">ifs(and(isblank($A325),isblank($B325)),"", not(iserror(vlookup($A325&amp;$B325,'5) Release_Track'!$F:$F&amp;'5) Release_Track'!$G:$G,1,0))),vlookup($A325&amp;$B325,{'5) Release_Track'!$F:$F&amp;'5) Release_Track'!$G:$G,'5) Release_Track'!$I:$I},2,0), or(and(not(isblank($B325)),$B325=$B324,$A325&lt;&gt;$A324),and(not(isblank($A325)),$A325=$A324,$B325&lt;&gt;$B324)),"ID LISTS UNALIGNED",and($A325&lt;&gt;"",countif('5) Release_Track'!$F:$F,$A325)=0),"NO ISRC MATCH in Release_Track",and($B325&lt;&gt;"",countif('5) Release_Track'!$G:$G,$B325)=0),"NO CATALOG ID MATCH in Release_Track",iserror(vlookup($A325&amp;$B325,'5) Release_Track'!$F:$F&amp;'5) Release_Track'!$G:$G,1,0)),"NO ISRC-CATALOG ID pair MATCH in Release_Track" )</f>
        <v/>
      </c>
      <c r="E325" s="125" t="str">
        <f t="array" ref="E325">ifs(and(isblank($A325),isblank($B325)),"", not(iserror(vlookup($A325&amp;$B325,'5) Release_Track'!$F:$F&amp;'5) Release_Track'!$G:$G,1,0))),vlookup($A325&amp;$B325,{'5) Release_Track'!$F:$F&amp;'5) Release_Track'!$G:$G,'5) Release_Track'!$J:$J},2,0), or(and(not(isblank($B325)),$B325=$B324,$A325&lt;&gt;$A324),and(not(isblank($A325)),$A325=$A324,$B325&lt;&gt;$B324)),"ID LISTS UNALIGNED",and($A325&lt;&gt;"",countif('5) Release_Track'!$F:$F,$A325)=0),"NO ISRC MATCH in Release_Track",and($B325&lt;&gt;"",countif('5) Release_Track'!$G:$G,$B325)=0),"NO CATALOG ID MATCH in Release_Track",iserror(vlookup($A325&amp;$B325,'5) Release_Track'!$F:$F&amp;'5) Release_Track'!$G:$G,1,0)),"NO ISRC-CATALOG ID pair MATCH in Release_Track" )</f>
        <v/>
      </c>
      <c r="F325" s="122"/>
      <c r="G325" s="99"/>
      <c r="H325" s="178"/>
      <c r="I325" s="121" t="str">
        <f t="shared" si="6"/>
        <v/>
      </c>
      <c r="J325" s="99"/>
      <c r="K325" s="99"/>
    </row>
    <row r="326">
      <c r="B326" s="103"/>
      <c r="C326" s="121" t="str">
        <f t="array" ref="C326">ifs(and(isblank($A326),isblank($B326)),"", not(iserror(vlookup($A326&amp;$B326,'5) Release_Track'!$F:$F&amp;'5) Release_Track'!$G:$G,1,0))),vlookup($A326&amp;$B326,{'5) Release_Track'!$F:$F&amp;'5) Release_Track'!$G:$G,'5) Release_Track'!$H:$H},2,0), or(and(not(isblank($B326)),$B326=$B325,$A326&lt;&gt;$A325),and(not(isblank($A326)),$A326=$A325,$B326&lt;&gt;$B325)),"ID LISTS UNALIGNED",and($A326&lt;&gt;"",countif('5) Release_Track'!$F:$F,$A326)=0),"NO ISRC MATCH in Release_Track",and($B326&lt;&gt;"",countif('5) Release_Track'!$G:$G,$B326)=0),"NO CATALOG ID MATCH in Release_Track",iserror(vlookup($A326&amp;$B326,'5) Release_Track'!$F:$F&amp;'5) Release_Track'!$G:$G,1,0)),"NO ISRC-CATALOG ID pair MATCH in Release_Track" )</f>
        <v/>
      </c>
      <c r="D326" s="121" t="str">
        <f t="array" ref="D326">ifs(and(isblank($A326),isblank($B326)),"", not(iserror(vlookup($A326&amp;$B326,'5) Release_Track'!$F:$F&amp;'5) Release_Track'!$G:$G,1,0))),vlookup($A326&amp;$B326,{'5) Release_Track'!$F:$F&amp;'5) Release_Track'!$G:$G,'5) Release_Track'!$I:$I},2,0), or(and(not(isblank($B326)),$B326=$B325,$A326&lt;&gt;$A325),and(not(isblank($A326)),$A326=$A325,$B326&lt;&gt;$B325)),"ID LISTS UNALIGNED",and($A326&lt;&gt;"",countif('5) Release_Track'!$F:$F,$A326)=0),"NO ISRC MATCH in Release_Track",and($B326&lt;&gt;"",countif('5) Release_Track'!$G:$G,$B326)=0),"NO CATALOG ID MATCH in Release_Track",iserror(vlookup($A326&amp;$B326,'5) Release_Track'!$F:$F&amp;'5) Release_Track'!$G:$G,1,0)),"NO ISRC-CATALOG ID pair MATCH in Release_Track" )</f>
        <v/>
      </c>
      <c r="E326" s="125" t="str">
        <f t="array" ref="E326">ifs(and(isblank($A326),isblank($B326)),"", not(iserror(vlookup($A326&amp;$B326,'5) Release_Track'!$F:$F&amp;'5) Release_Track'!$G:$G,1,0))),vlookup($A326&amp;$B326,{'5) Release_Track'!$F:$F&amp;'5) Release_Track'!$G:$G,'5) Release_Track'!$J:$J},2,0), or(and(not(isblank($B326)),$B326=$B325,$A326&lt;&gt;$A325),and(not(isblank($A326)),$A326=$A325,$B326&lt;&gt;$B325)),"ID LISTS UNALIGNED",and($A326&lt;&gt;"",countif('5) Release_Track'!$F:$F,$A326)=0),"NO ISRC MATCH in Release_Track",and($B326&lt;&gt;"",countif('5) Release_Track'!$G:$G,$B326)=0),"NO CATALOG ID MATCH in Release_Track",iserror(vlookup($A326&amp;$B326,'5) Release_Track'!$F:$F&amp;'5) Release_Track'!$G:$G,1,0)),"NO ISRC-CATALOG ID pair MATCH in Release_Track" )</f>
        <v/>
      </c>
      <c r="F326" s="122"/>
      <c r="G326" s="99"/>
      <c r="H326" s="178"/>
      <c r="I326" s="121" t="str">
        <f t="shared" si="6"/>
        <v/>
      </c>
      <c r="J326" s="99"/>
      <c r="K326" s="99"/>
    </row>
    <row r="327">
      <c r="B327" s="103"/>
      <c r="C327" s="121" t="str">
        <f t="array" ref="C327">ifs(and(isblank($A327),isblank($B327)),"", not(iserror(vlookup($A327&amp;$B327,'5) Release_Track'!$F:$F&amp;'5) Release_Track'!$G:$G,1,0))),vlookup($A327&amp;$B327,{'5) Release_Track'!$F:$F&amp;'5) Release_Track'!$G:$G,'5) Release_Track'!$H:$H},2,0), or(and(not(isblank($B327)),$B327=$B326,$A327&lt;&gt;$A326),and(not(isblank($A327)),$A327=$A326,$B327&lt;&gt;$B326)),"ID LISTS UNALIGNED",and($A327&lt;&gt;"",countif('5) Release_Track'!$F:$F,$A327)=0),"NO ISRC MATCH in Release_Track",and($B327&lt;&gt;"",countif('5) Release_Track'!$G:$G,$B327)=0),"NO CATALOG ID MATCH in Release_Track",iserror(vlookup($A327&amp;$B327,'5) Release_Track'!$F:$F&amp;'5) Release_Track'!$G:$G,1,0)),"NO ISRC-CATALOG ID pair MATCH in Release_Track" )</f>
        <v/>
      </c>
      <c r="D327" s="121" t="str">
        <f t="array" ref="D327">ifs(and(isblank($A327),isblank($B327)),"", not(iserror(vlookup($A327&amp;$B327,'5) Release_Track'!$F:$F&amp;'5) Release_Track'!$G:$G,1,0))),vlookup($A327&amp;$B327,{'5) Release_Track'!$F:$F&amp;'5) Release_Track'!$G:$G,'5) Release_Track'!$I:$I},2,0), or(and(not(isblank($B327)),$B327=$B326,$A327&lt;&gt;$A326),and(not(isblank($A327)),$A327=$A326,$B327&lt;&gt;$B326)),"ID LISTS UNALIGNED",and($A327&lt;&gt;"",countif('5) Release_Track'!$F:$F,$A327)=0),"NO ISRC MATCH in Release_Track",and($B327&lt;&gt;"",countif('5) Release_Track'!$G:$G,$B327)=0),"NO CATALOG ID MATCH in Release_Track",iserror(vlookup($A327&amp;$B327,'5) Release_Track'!$F:$F&amp;'5) Release_Track'!$G:$G,1,0)),"NO ISRC-CATALOG ID pair MATCH in Release_Track" )</f>
        <v/>
      </c>
      <c r="E327" s="125" t="str">
        <f t="array" ref="E327">ifs(and(isblank($A327),isblank($B327)),"", not(iserror(vlookup($A327&amp;$B327,'5) Release_Track'!$F:$F&amp;'5) Release_Track'!$G:$G,1,0))),vlookup($A327&amp;$B327,{'5) Release_Track'!$F:$F&amp;'5) Release_Track'!$G:$G,'5) Release_Track'!$J:$J},2,0), or(and(not(isblank($B327)),$B327=$B326,$A327&lt;&gt;$A326),and(not(isblank($A327)),$A327=$A326,$B327&lt;&gt;$B326)),"ID LISTS UNALIGNED",and($A327&lt;&gt;"",countif('5) Release_Track'!$F:$F,$A327)=0),"NO ISRC MATCH in Release_Track",and($B327&lt;&gt;"",countif('5) Release_Track'!$G:$G,$B327)=0),"NO CATALOG ID MATCH in Release_Track",iserror(vlookup($A327&amp;$B327,'5) Release_Track'!$F:$F&amp;'5) Release_Track'!$G:$G,1,0)),"NO ISRC-CATALOG ID pair MATCH in Release_Track" )</f>
        <v/>
      </c>
      <c r="F327" s="122"/>
      <c r="G327" s="99"/>
      <c r="H327" s="178"/>
      <c r="I327" s="121" t="str">
        <f t="shared" si="6"/>
        <v/>
      </c>
      <c r="J327" s="99"/>
      <c r="K327" s="99"/>
    </row>
    <row r="328">
      <c r="B328" s="103"/>
      <c r="C328" s="121" t="str">
        <f t="array" ref="C328">ifs(and(isblank($A328),isblank($B328)),"", not(iserror(vlookup($A328&amp;$B328,'5) Release_Track'!$F:$F&amp;'5) Release_Track'!$G:$G,1,0))),vlookup($A328&amp;$B328,{'5) Release_Track'!$F:$F&amp;'5) Release_Track'!$G:$G,'5) Release_Track'!$H:$H},2,0), or(and(not(isblank($B328)),$B328=$B327,$A328&lt;&gt;$A327),and(not(isblank($A328)),$A328=$A327,$B328&lt;&gt;$B327)),"ID LISTS UNALIGNED",and($A328&lt;&gt;"",countif('5) Release_Track'!$F:$F,$A328)=0),"NO ISRC MATCH in Release_Track",and($B328&lt;&gt;"",countif('5) Release_Track'!$G:$G,$B328)=0),"NO CATALOG ID MATCH in Release_Track",iserror(vlookup($A328&amp;$B328,'5) Release_Track'!$F:$F&amp;'5) Release_Track'!$G:$G,1,0)),"NO ISRC-CATALOG ID pair MATCH in Release_Track" )</f>
        <v/>
      </c>
      <c r="D328" s="121" t="str">
        <f t="array" ref="D328">ifs(and(isblank($A328),isblank($B328)),"", not(iserror(vlookup($A328&amp;$B328,'5) Release_Track'!$F:$F&amp;'5) Release_Track'!$G:$G,1,0))),vlookup($A328&amp;$B328,{'5) Release_Track'!$F:$F&amp;'5) Release_Track'!$G:$G,'5) Release_Track'!$I:$I},2,0), or(and(not(isblank($B328)),$B328=$B327,$A328&lt;&gt;$A327),and(not(isblank($A328)),$A328=$A327,$B328&lt;&gt;$B327)),"ID LISTS UNALIGNED",and($A328&lt;&gt;"",countif('5) Release_Track'!$F:$F,$A328)=0),"NO ISRC MATCH in Release_Track",and($B328&lt;&gt;"",countif('5) Release_Track'!$G:$G,$B328)=0),"NO CATALOG ID MATCH in Release_Track",iserror(vlookup($A328&amp;$B328,'5) Release_Track'!$F:$F&amp;'5) Release_Track'!$G:$G,1,0)),"NO ISRC-CATALOG ID pair MATCH in Release_Track" )</f>
        <v/>
      </c>
      <c r="E328" s="125" t="str">
        <f t="array" ref="E328">ifs(and(isblank($A328),isblank($B328)),"", not(iserror(vlookup($A328&amp;$B328,'5) Release_Track'!$F:$F&amp;'5) Release_Track'!$G:$G,1,0))),vlookup($A328&amp;$B328,{'5) Release_Track'!$F:$F&amp;'5) Release_Track'!$G:$G,'5) Release_Track'!$J:$J},2,0), or(and(not(isblank($B328)),$B328=$B327,$A328&lt;&gt;$A327),and(not(isblank($A328)),$A328=$A327,$B328&lt;&gt;$B327)),"ID LISTS UNALIGNED",and($A328&lt;&gt;"",countif('5) Release_Track'!$F:$F,$A328)=0),"NO ISRC MATCH in Release_Track",and($B328&lt;&gt;"",countif('5) Release_Track'!$G:$G,$B328)=0),"NO CATALOG ID MATCH in Release_Track",iserror(vlookup($A328&amp;$B328,'5) Release_Track'!$F:$F&amp;'5) Release_Track'!$G:$G,1,0)),"NO ISRC-CATALOG ID pair MATCH in Release_Track" )</f>
        <v/>
      </c>
      <c r="F328" s="122"/>
      <c r="G328" s="99"/>
      <c r="H328" s="178"/>
      <c r="I328" s="121" t="str">
        <f t="shared" si="6"/>
        <v/>
      </c>
      <c r="J328" s="99"/>
      <c r="K328" s="99"/>
    </row>
    <row r="329">
      <c r="B329" s="103"/>
      <c r="C329" s="121" t="str">
        <f t="array" ref="C329">ifs(and(isblank($A329),isblank($B329)),"", not(iserror(vlookup($A329&amp;$B329,'5) Release_Track'!$F:$F&amp;'5) Release_Track'!$G:$G,1,0))),vlookup($A329&amp;$B329,{'5) Release_Track'!$F:$F&amp;'5) Release_Track'!$G:$G,'5) Release_Track'!$H:$H},2,0), or(and(not(isblank($B329)),$B329=$B328,$A329&lt;&gt;$A328),and(not(isblank($A329)),$A329=$A328,$B329&lt;&gt;$B328)),"ID LISTS UNALIGNED",and($A329&lt;&gt;"",countif('5) Release_Track'!$F:$F,$A329)=0),"NO ISRC MATCH in Release_Track",and($B329&lt;&gt;"",countif('5) Release_Track'!$G:$G,$B329)=0),"NO CATALOG ID MATCH in Release_Track",iserror(vlookup($A329&amp;$B329,'5) Release_Track'!$F:$F&amp;'5) Release_Track'!$G:$G,1,0)),"NO ISRC-CATALOG ID pair MATCH in Release_Track" )</f>
        <v/>
      </c>
      <c r="D329" s="121" t="str">
        <f t="array" ref="D329">ifs(and(isblank($A329),isblank($B329)),"", not(iserror(vlookup($A329&amp;$B329,'5) Release_Track'!$F:$F&amp;'5) Release_Track'!$G:$G,1,0))),vlookup($A329&amp;$B329,{'5) Release_Track'!$F:$F&amp;'5) Release_Track'!$G:$G,'5) Release_Track'!$I:$I},2,0), or(and(not(isblank($B329)),$B329=$B328,$A329&lt;&gt;$A328),and(not(isblank($A329)),$A329=$A328,$B329&lt;&gt;$B328)),"ID LISTS UNALIGNED",and($A329&lt;&gt;"",countif('5) Release_Track'!$F:$F,$A329)=0),"NO ISRC MATCH in Release_Track",and($B329&lt;&gt;"",countif('5) Release_Track'!$G:$G,$B329)=0),"NO CATALOG ID MATCH in Release_Track",iserror(vlookup($A329&amp;$B329,'5) Release_Track'!$F:$F&amp;'5) Release_Track'!$G:$G,1,0)),"NO ISRC-CATALOG ID pair MATCH in Release_Track" )</f>
        <v/>
      </c>
      <c r="E329" s="125" t="str">
        <f t="array" ref="E329">ifs(and(isblank($A329),isblank($B329)),"", not(iserror(vlookup($A329&amp;$B329,'5) Release_Track'!$F:$F&amp;'5) Release_Track'!$G:$G,1,0))),vlookup($A329&amp;$B329,{'5) Release_Track'!$F:$F&amp;'5) Release_Track'!$G:$G,'5) Release_Track'!$J:$J},2,0), or(and(not(isblank($B329)),$B329=$B328,$A329&lt;&gt;$A328),and(not(isblank($A329)),$A329=$A328,$B329&lt;&gt;$B328)),"ID LISTS UNALIGNED",and($A329&lt;&gt;"",countif('5) Release_Track'!$F:$F,$A329)=0),"NO ISRC MATCH in Release_Track",and($B329&lt;&gt;"",countif('5) Release_Track'!$G:$G,$B329)=0),"NO CATALOG ID MATCH in Release_Track",iserror(vlookup($A329&amp;$B329,'5) Release_Track'!$F:$F&amp;'5) Release_Track'!$G:$G,1,0)),"NO ISRC-CATALOG ID pair MATCH in Release_Track" )</f>
        <v/>
      </c>
      <c r="F329" s="122"/>
      <c r="G329" s="99"/>
      <c r="H329" s="178"/>
      <c r="I329" s="121" t="str">
        <f t="shared" si="6"/>
        <v/>
      </c>
      <c r="J329" s="99"/>
      <c r="K329" s="99"/>
    </row>
    <row r="330">
      <c r="B330" s="103"/>
      <c r="C330" s="121" t="str">
        <f t="array" ref="C330">ifs(and(isblank($A330),isblank($B330)),"", not(iserror(vlookup($A330&amp;$B330,'5) Release_Track'!$F:$F&amp;'5) Release_Track'!$G:$G,1,0))),vlookup($A330&amp;$B330,{'5) Release_Track'!$F:$F&amp;'5) Release_Track'!$G:$G,'5) Release_Track'!$H:$H},2,0), or(and(not(isblank($B330)),$B330=$B329,$A330&lt;&gt;$A329),and(not(isblank($A330)),$A330=$A329,$B330&lt;&gt;$B329)),"ID LISTS UNALIGNED",and($A330&lt;&gt;"",countif('5) Release_Track'!$F:$F,$A330)=0),"NO ISRC MATCH in Release_Track",and($B330&lt;&gt;"",countif('5) Release_Track'!$G:$G,$B330)=0),"NO CATALOG ID MATCH in Release_Track",iserror(vlookup($A330&amp;$B330,'5) Release_Track'!$F:$F&amp;'5) Release_Track'!$G:$G,1,0)),"NO ISRC-CATALOG ID pair MATCH in Release_Track" )</f>
        <v/>
      </c>
      <c r="D330" s="121" t="str">
        <f t="array" ref="D330">ifs(and(isblank($A330),isblank($B330)),"", not(iserror(vlookup($A330&amp;$B330,'5) Release_Track'!$F:$F&amp;'5) Release_Track'!$G:$G,1,0))),vlookup($A330&amp;$B330,{'5) Release_Track'!$F:$F&amp;'5) Release_Track'!$G:$G,'5) Release_Track'!$I:$I},2,0), or(and(not(isblank($B330)),$B330=$B329,$A330&lt;&gt;$A329),and(not(isblank($A330)),$A330=$A329,$B330&lt;&gt;$B329)),"ID LISTS UNALIGNED",and($A330&lt;&gt;"",countif('5) Release_Track'!$F:$F,$A330)=0),"NO ISRC MATCH in Release_Track",and($B330&lt;&gt;"",countif('5) Release_Track'!$G:$G,$B330)=0),"NO CATALOG ID MATCH in Release_Track",iserror(vlookup($A330&amp;$B330,'5) Release_Track'!$F:$F&amp;'5) Release_Track'!$G:$G,1,0)),"NO ISRC-CATALOG ID pair MATCH in Release_Track" )</f>
        <v/>
      </c>
      <c r="E330" s="125" t="str">
        <f t="array" ref="E330">ifs(and(isblank($A330),isblank($B330)),"", not(iserror(vlookup($A330&amp;$B330,'5) Release_Track'!$F:$F&amp;'5) Release_Track'!$G:$G,1,0))),vlookup($A330&amp;$B330,{'5) Release_Track'!$F:$F&amp;'5) Release_Track'!$G:$G,'5) Release_Track'!$J:$J},2,0), or(and(not(isblank($B330)),$B330=$B329,$A330&lt;&gt;$A329),and(not(isblank($A330)),$A330=$A329,$B330&lt;&gt;$B329)),"ID LISTS UNALIGNED",and($A330&lt;&gt;"",countif('5) Release_Track'!$F:$F,$A330)=0),"NO ISRC MATCH in Release_Track",and($B330&lt;&gt;"",countif('5) Release_Track'!$G:$G,$B330)=0),"NO CATALOG ID MATCH in Release_Track",iserror(vlookup($A330&amp;$B330,'5) Release_Track'!$F:$F&amp;'5) Release_Track'!$G:$G,1,0)),"NO ISRC-CATALOG ID pair MATCH in Release_Track" )</f>
        <v/>
      </c>
      <c r="F330" s="122"/>
      <c r="G330" s="99"/>
      <c r="H330" s="178"/>
      <c r="I330" s="121" t="str">
        <f t="shared" si="6"/>
        <v/>
      </c>
      <c r="J330" s="99"/>
      <c r="K330" s="99"/>
    </row>
    <row r="331">
      <c r="B331" s="103"/>
      <c r="C331" s="121" t="str">
        <f t="array" ref="C331">ifs(and(isblank($A331),isblank($B331)),"", not(iserror(vlookup($A331&amp;$B331,'5) Release_Track'!$F:$F&amp;'5) Release_Track'!$G:$G,1,0))),vlookup($A331&amp;$B331,{'5) Release_Track'!$F:$F&amp;'5) Release_Track'!$G:$G,'5) Release_Track'!$H:$H},2,0), or(and(not(isblank($B331)),$B331=$B330,$A331&lt;&gt;$A330),and(not(isblank($A331)),$A331=$A330,$B331&lt;&gt;$B330)),"ID LISTS UNALIGNED",and($A331&lt;&gt;"",countif('5) Release_Track'!$F:$F,$A331)=0),"NO ISRC MATCH in Release_Track",and($B331&lt;&gt;"",countif('5) Release_Track'!$G:$G,$B331)=0),"NO CATALOG ID MATCH in Release_Track",iserror(vlookup($A331&amp;$B331,'5) Release_Track'!$F:$F&amp;'5) Release_Track'!$G:$G,1,0)),"NO ISRC-CATALOG ID pair MATCH in Release_Track" )</f>
        <v/>
      </c>
      <c r="D331" s="121" t="str">
        <f t="array" ref="D331">ifs(and(isblank($A331),isblank($B331)),"", not(iserror(vlookup($A331&amp;$B331,'5) Release_Track'!$F:$F&amp;'5) Release_Track'!$G:$G,1,0))),vlookup($A331&amp;$B331,{'5) Release_Track'!$F:$F&amp;'5) Release_Track'!$G:$G,'5) Release_Track'!$I:$I},2,0), or(and(not(isblank($B331)),$B331=$B330,$A331&lt;&gt;$A330),and(not(isblank($A331)),$A331=$A330,$B331&lt;&gt;$B330)),"ID LISTS UNALIGNED",and($A331&lt;&gt;"",countif('5) Release_Track'!$F:$F,$A331)=0),"NO ISRC MATCH in Release_Track",and($B331&lt;&gt;"",countif('5) Release_Track'!$G:$G,$B331)=0),"NO CATALOG ID MATCH in Release_Track",iserror(vlookup($A331&amp;$B331,'5) Release_Track'!$F:$F&amp;'5) Release_Track'!$G:$G,1,0)),"NO ISRC-CATALOG ID pair MATCH in Release_Track" )</f>
        <v/>
      </c>
      <c r="E331" s="125" t="str">
        <f t="array" ref="E331">ifs(and(isblank($A331),isblank($B331)),"", not(iserror(vlookup($A331&amp;$B331,'5) Release_Track'!$F:$F&amp;'5) Release_Track'!$G:$G,1,0))),vlookup($A331&amp;$B331,{'5) Release_Track'!$F:$F&amp;'5) Release_Track'!$G:$G,'5) Release_Track'!$J:$J},2,0), or(and(not(isblank($B331)),$B331=$B330,$A331&lt;&gt;$A330),and(not(isblank($A331)),$A331=$A330,$B331&lt;&gt;$B330)),"ID LISTS UNALIGNED",and($A331&lt;&gt;"",countif('5) Release_Track'!$F:$F,$A331)=0),"NO ISRC MATCH in Release_Track",and($B331&lt;&gt;"",countif('5) Release_Track'!$G:$G,$B331)=0),"NO CATALOG ID MATCH in Release_Track",iserror(vlookup($A331&amp;$B331,'5) Release_Track'!$F:$F&amp;'5) Release_Track'!$G:$G,1,0)),"NO ISRC-CATALOG ID pair MATCH in Release_Track" )</f>
        <v/>
      </c>
      <c r="F331" s="122"/>
      <c r="G331" s="99"/>
      <c r="H331" s="178"/>
      <c r="I331" s="121" t="str">
        <f t="shared" si="6"/>
        <v/>
      </c>
      <c r="J331" s="99"/>
      <c r="K331" s="99"/>
    </row>
    <row r="332">
      <c r="B332" s="103"/>
      <c r="C332" s="121" t="str">
        <f t="array" ref="C332">ifs(and(isblank($A332),isblank($B332)),"", not(iserror(vlookup($A332&amp;$B332,'5) Release_Track'!$F:$F&amp;'5) Release_Track'!$G:$G,1,0))),vlookup($A332&amp;$B332,{'5) Release_Track'!$F:$F&amp;'5) Release_Track'!$G:$G,'5) Release_Track'!$H:$H},2,0), or(and(not(isblank($B332)),$B332=$B331,$A332&lt;&gt;$A331),and(not(isblank($A332)),$A332=$A331,$B332&lt;&gt;$B331)),"ID LISTS UNALIGNED",and($A332&lt;&gt;"",countif('5) Release_Track'!$F:$F,$A332)=0),"NO ISRC MATCH in Release_Track",and($B332&lt;&gt;"",countif('5) Release_Track'!$G:$G,$B332)=0),"NO CATALOG ID MATCH in Release_Track",iserror(vlookup($A332&amp;$B332,'5) Release_Track'!$F:$F&amp;'5) Release_Track'!$G:$G,1,0)),"NO ISRC-CATALOG ID pair MATCH in Release_Track" )</f>
        <v/>
      </c>
      <c r="D332" s="121" t="str">
        <f t="array" ref="D332">ifs(and(isblank($A332),isblank($B332)),"", not(iserror(vlookup($A332&amp;$B332,'5) Release_Track'!$F:$F&amp;'5) Release_Track'!$G:$G,1,0))),vlookup($A332&amp;$B332,{'5) Release_Track'!$F:$F&amp;'5) Release_Track'!$G:$G,'5) Release_Track'!$I:$I},2,0), or(and(not(isblank($B332)),$B332=$B331,$A332&lt;&gt;$A331),and(not(isblank($A332)),$A332=$A331,$B332&lt;&gt;$B331)),"ID LISTS UNALIGNED",and($A332&lt;&gt;"",countif('5) Release_Track'!$F:$F,$A332)=0),"NO ISRC MATCH in Release_Track",and($B332&lt;&gt;"",countif('5) Release_Track'!$G:$G,$B332)=0),"NO CATALOG ID MATCH in Release_Track",iserror(vlookup($A332&amp;$B332,'5) Release_Track'!$F:$F&amp;'5) Release_Track'!$G:$G,1,0)),"NO ISRC-CATALOG ID pair MATCH in Release_Track" )</f>
        <v/>
      </c>
      <c r="E332" s="125" t="str">
        <f t="array" ref="E332">ifs(and(isblank($A332),isblank($B332)),"", not(iserror(vlookup($A332&amp;$B332,'5) Release_Track'!$F:$F&amp;'5) Release_Track'!$G:$G,1,0))),vlookup($A332&amp;$B332,{'5) Release_Track'!$F:$F&amp;'5) Release_Track'!$G:$G,'5) Release_Track'!$J:$J},2,0), or(and(not(isblank($B332)),$B332=$B331,$A332&lt;&gt;$A331),and(not(isblank($A332)),$A332=$A331,$B332&lt;&gt;$B331)),"ID LISTS UNALIGNED",and($A332&lt;&gt;"",countif('5) Release_Track'!$F:$F,$A332)=0),"NO ISRC MATCH in Release_Track",and($B332&lt;&gt;"",countif('5) Release_Track'!$G:$G,$B332)=0),"NO CATALOG ID MATCH in Release_Track",iserror(vlookup($A332&amp;$B332,'5) Release_Track'!$F:$F&amp;'5) Release_Track'!$G:$G,1,0)),"NO ISRC-CATALOG ID pair MATCH in Release_Track" )</f>
        <v/>
      </c>
      <c r="F332" s="122"/>
      <c r="G332" s="99"/>
      <c r="H332" s="178"/>
      <c r="I332" s="121" t="str">
        <f t="shared" si="6"/>
        <v/>
      </c>
      <c r="J332" s="99"/>
      <c r="K332" s="99"/>
    </row>
    <row r="333">
      <c r="B333" s="103"/>
      <c r="C333" s="121" t="str">
        <f t="array" ref="C333">ifs(and(isblank($A333),isblank($B333)),"", not(iserror(vlookup($A333&amp;$B333,'5) Release_Track'!$F:$F&amp;'5) Release_Track'!$G:$G,1,0))),vlookup($A333&amp;$B333,{'5) Release_Track'!$F:$F&amp;'5) Release_Track'!$G:$G,'5) Release_Track'!$H:$H},2,0), or(and(not(isblank($B333)),$B333=$B332,$A333&lt;&gt;$A332),and(not(isblank($A333)),$A333=$A332,$B333&lt;&gt;$B332)),"ID LISTS UNALIGNED",and($A333&lt;&gt;"",countif('5) Release_Track'!$F:$F,$A333)=0),"NO ISRC MATCH in Release_Track",and($B333&lt;&gt;"",countif('5) Release_Track'!$G:$G,$B333)=0),"NO CATALOG ID MATCH in Release_Track",iserror(vlookup($A333&amp;$B333,'5) Release_Track'!$F:$F&amp;'5) Release_Track'!$G:$G,1,0)),"NO ISRC-CATALOG ID pair MATCH in Release_Track" )</f>
        <v/>
      </c>
      <c r="D333" s="121" t="str">
        <f t="array" ref="D333">ifs(and(isblank($A333),isblank($B333)),"", not(iserror(vlookup($A333&amp;$B333,'5) Release_Track'!$F:$F&amp;'5) Release_Track'!$G:$G,1,0))),vlookup($A333&amp;$B333,{'5) Release_Track'!$F:$F&amp;'5) Release_Track'!$G:$G,'5) Release_Track'!$I:$I},2,0), or(and(not(isblank($B333)),$B333=$B332,$A333&lt;&gt;$A332),and(not(isblank($A333)),$A333=$A332,$B333&lt;&gt;$B332)),"ID LISTS UNALIGNED",and($A333&lt;&gt;"",countif('5) Release_Track'!$F:$F,$A333)=0),"NO ISRC MATCH in Release_Track",and($B333&lt;&gt;"",countif('5) Release_Track'!$G:$G,$B333)=0),"NO CATALOG ID MATCH in Release_Track",iserror(vlookup($A333&amp;$B333,'5) Release_Track'!$F:$F&amp;'5) Release_Track'!$G:$G,1,0)),"NO ISRC-CATALOG ID pair MATCH in Release_Track" )</f>
        <v/>
      </c>
      <c r="E333" s="125" t="str">
        <f t="array" ref="E333">ifs(and(isblank($A333),isblank($B333)),"", not(iserror(vlookup($A333&amp;$B333,'5) Release_Track'!$F:$F&amp;'5) Release_Track'!$G:$G,1,0))),vlookup($A333&amp;$B333,{'5) Release_Track'!$F:$F&amp;'5) Release_Track'!$G:$G,'5) Release_Track'!$J:$J},2,0), or(and(not(isblank($B333)),$B333=$B332,$A333&lt;&gt;$A332),and(not(isblank($A333)),$A333=$A332,$B333&lt;&gt;$B332)),"ID LISTS UNALIGNED",and($A333&lt;&gt;"",countif('5) Release_Track'!$F:$F,$A333)=0),"NO ISRC MATCH in Release_Track",and($B333&lt;&gt;"",countif('5) Release_Track'!$G:$G,$B333)=0),"NO CATALOG ID MATCH in Release_Track",iserror(vlookup($A333&amp;$B333,'5) Release_Track'!$F:$F&amp;'5) Release_Track'!$G:$G,1,0)),"NO ISRC-CATALOG ID pair MATCH in Release_Track" )</f>
        <v/>
      </c>
      <c r="F333" s="122"/>
      <c r="G333" s="99"/>
      <c r="H333" s="178"/>
      <c r="I333" s="121" t="str">
        <f t="shared" si="6"/>
        <v/>
      </c>
      <c r="J333" s="99"/>
      <c r="K333" s="99"/>
    </row>
    <row r="334">
      <c r="B334" s="103"/>
      <c r="C334" s="121" t="str">
        <f t="array" ref="C334">ifs(and(isblank($A334),isblank($B334)),"", not(iserror(vlookup($A334&amp;$B334,'5) Release_Track'!$F:$F&amp;'5) Release_Track'!$G:$G,1,0))),vlookup($A334&amp;$B334,{'5) Release_Track'!$F:$F&amp;'5) Release_Track'!$G:$G,'5) Release_Track'!$H:$H},2,0), or(and(not(isblank($B334)),$B334=$B333,$A334&lt;&gt;$A333),and(not(isblank($A334)),$A334=$A333,$B334&lt;&gt;$B333)),"ID LISTS UNALIGNED",and($A334&lt;&gt;"",countif('5) Release_Track'!$F:$F,$A334)=0),"NO ISRC MATCH in Release_Track",and($B334&lt;&gt;"",countif('5) Release_Track'!$G:$G,$B334)=0),"NO CATALOG ID MATCH in Release_Track",iserror(vlookup($A334&amp;$B334,'5) Release_Track'!$F:$F&amp;'5) Release_Track'!$G:$G,1,0)),"NO ISRC-CATALOG ID pair MATCH in Release_Track" )</f>
        <v/>
      </c>
      <c r="D334" s="121" t="str">
        <f t="array" ref="D334">ifs(and(isblank($A334),isblank($B334)),"", not(iserror(vlookup($A334&amp;$B334,'5) Release_Track'!$F:$F&amp;'5) Release_Track'!$G:$G,1,0))),vlookup($A334&amp;$B334,{'5) Release_Track'!$F:$F&amp;'5) Release_Track'!$G:$G,'5) Release_Track'!$I:$I},2,0), or(and(not(isblank($B334)),$B334=$B333,$A334&lt;&gt;$A333),and(not(isblank($A334)),$A334=$A333,$B334&lt;&gt;$B333)),"ID LISTS UNALIGNED",and($A334&lt;&gt;"",countif('5) Release_Track'!$F:$F,$A334)=0),"NO ISRC MATCH in Release_Track",and($B334&lt;&gt;"",countif('5) Release_Track'!$G:$G,$B334)=0),"NO CATALOG ID MATCH in Release_Track",iserror(vlookup($A334&amp;$B334,'5) Release_Track'!$F:$F&amp;'5) Release_Track'!$G:$G,1,0)),"NO ISRC-CATALOG ID pair MATCH in Release_Track" )</f>
        <v/>
      </c>
      <c r="E334" s="125" t="str">
        <f t="array" ref="E334">ifs(and(isblank($A334),isblank($B334)),"", not(iserror(vlookup($A334&amp;$B334,'5) Release_Track'!$F:$F&amp;'5) Release_Track'!$G:$G,1,0))),vlookup($A334&amp;$B334,{'5) Release_Track'!$F:$F&amp;'5) Release_Track'!$G:$G,'5) Release_Track'!$J:$J},2,0), or(and(not(isblank($B334)),$B334=$B333,$A334&lt;&gt;$A333),and(not(isblank($A334)),$A334=$A333,$B334&lt;&gt;$B333)),"ID LISTS UNALIGNED",and($A334&lt;&gt;"",countif('5) Release_Track'!$F:$F,$A334)=0),"NO ISRC MATCH in Release_Track",and($B334&lt;&gt;"",countif('5) Release_Track'!$G:$G,$B334)=0),"NO CATALOG ID MATCH in Release_Track",iserror(vlookup($A334&amp;$B334,'5) Release_Track'!$F:$F&amp;'5) Release_Track'!$G:$G,1,0)),"NO ISRC-CATALOG ID pair MATCH in Release_Track" )</f>
        <v/>
      </c>
      <c r="F334" s="122"/>
      <c r="G334" s="99"/>
      <c r="H334" s="178"/>
      <c r="I334" s="121" t="str">
        <f t="shared" si="6"/>
        <v/>
      </c>
      <c r="J334" s="99"/>
      <c r="K334" s="99"/>
    </row>
    <row r="335">
      <c r="B335" s="103"/>
      <c r="C335" s="121" t="str">
        <f t="array" ref="C335">ifs(and(isblank($A335),isblank($B335)),"", not(iserror(vlookup($A335&amp;$B335,'5) Release_Track'!$F:$F&amp;'5) Release_Track'!$G:$G,1,0))),vlookup($A335&amp;$B335,{'5) Release_Track'!$F:$F&amp;'5) Release_Track'!$G:$G,'5) Release_Track'!$H:$H},2,0), or(and(not(isblank($B335)),$B335=$B334,$A335&lt;&gt;$A334),and(not(isblank($A335)),$A335=$A334,$B335&lt;&gt;$B334)),"ID LISTS UNALIGNED",and($A335&lt;&gt;"",countif('5) Release_Track'!$F:$F,$A335)=0),"NO ISRC MATCH in Release_Track",and($B335&lt;&gt;"",countif('5) Release_Track'!$G:$G,$B335)=0),"NO CATALOG ID MATCH in Release_Track",iserror(vlookup($A335&amp;$B335,'5) Release_Track'!$F:$F&amp;'5) Release_Track'!$G:$G,1,0)),"NO ISRC-CATALOG ID pair MATCH in Release_Track" )</f>
        <v/>
      </c>
      <c r="D335" s="121" t="str">
        <f t="array" ref="D335">ifs(and(isblank($A335),isblank($B335)),"", not(iserror(vlookup($A335&amp;$B335,'5) Release_Track'!$F:$F&amp;'5) Release_Track'!$G:$G,1,0))),vlookup($A335&amp;$B335,{'5) Release_Track'!$F:$F&amp;'5) Release_Track'!$G:$G,'5) Release_Track'!$I:$I},2,0), or(and(not(isblank($B335)),$B335=$B334,$A335&lt;&gt;$A334),and(not(isblank($A335)),$A335=$A334,$B335&lt;&gt;$B334)),"ID LISTS UNALIGNED",and($A335&lt;&gt;"",countif('5) Release_Track'!$F:$F,$A335)=0),"NO ISRC MATCH in Release_Track",and($B335&lt;&gt;"",countif('5) Release_Track'!$G:$G,$B335)=0),"NO CATALOG ID MATCH in Release_Track",iserror(vlookup($A335&amp;$B335,'5) Release_Track'!$F:$F&amp;'5) Release_Track'!$G:$G,1,0)),"NO ISRC-CATALOG ID pair MATCH in Release_Track" )</f>
        <v/>
      </c>
      <c r="E335" s="125" t="str">
        <f t="array" ref="E335">ifs(and(isblank($A335),isblank($B335)),"", not(iserror(vlookup($A335&amp;$B335,'5) Release_Track'!$F:$F&amp;'5) Release_Track'!$G:$G,1,0))),vlookup($A335&amp;$B335,{'5) Release_Track'!$F:$F&amp;'5) Release_Track'!$G:$G,'5) Release_Track'!$J:$J},2,0), or(and(not(isblank($B335)),$B335=$B334,$A335&lt;&gt;$A334),and(not(isblank($A335)),$A335=$A334,$B335&lt;&gt;$B334)),"ID LISTS UNALIGNED",and($A335&lt;&gt;"",countif('5) Release_Track'!$F:$F,$A335)=0),"NO ISRC MATCH in Release_Track",and($B335&lt;&gt;"",countif('5) Release_Track'!$G:$G,$B335)=0),"NO CATALOG ID MATCH in Release_Track",iserror(vlookup($A335&amp;$B335,'5) Release_Track'!$F:$F&amp;'5) Release_Track'!$G:$G,1,0)),"NO ISRC-CATALOG ID pair MATCH in Release_Track" )</f>
        <v/>
      </c>
      <c r="F335" s="122"/>
      <c r="G335" s="99"/>
      <c r="H335" s="178"/>
      <c r="I335" s="121" t="str">
        <f t="shared" si="6"/>
        <v/>
      </c>
      <c r="J335" s="99"/>
      <c r="K335" s="99"/>
    </row>
    <row r="336">
      <c r="B336" s="103"/>
      <c r="C336" s="121" t="str">
        <f t="array" ref="C336">ifs(and(isblank($A336),isblank($B336)),"", not(iserror(vlookup($A336&amp;$B336,'5) Release_Track'!$F:$F&amp;'5) Release_Track'!$G:$G,1,0))),vlookup($A336&amp;$B336,{'5) Release_Track'!$F:$F&amp;'5) Release_Track'!$G:$G,'5) Release_Track'!$H:$H},2,0), or(and(not(isblank($B336)),$B336=$B335,$A336&lt;&gt;$A335),and(not(isblank($A336)),$A336=$A335,$B336&lt;&gt;$B335)),"ID LISTS UNALIGNED",and($A336&lt;&gt;"",countif('5) Release_Track'!$F:$F,$A336)=0),"NO ISRC MATCH in Release_Track",and($B336&lt;&gt;"",countif('5) Release_Track'!$G:$G,$B336)=0),"NO CATALOG ID MATCH in Release_Track",iserror(vlookup($A336&amp;$B336,'5) Release_Track'!$F:$F&amp;'5) Release_Track'!$G:$G,1,0)),"NO ISRC-CATALOG ID pair MATCH in Release_Track" )</f>
        <v/>
      </c>
      <c r="D336" s="121" t="str">
        <f t="array" ref="D336">ifs(and(isblank($A336),isblank($B336)),"", not(iserror(vlookup($A336&amp;$B336,'5) Release_Track'!$F:$F&amp;'5) Release_Track'!$G:$G,1,0))),vlookup($A336&amp;$B336,{'5) Release_Track'!$F:$F&amp;'5) Release_Track'!$G:$G,'5) Release_Track'!$I:$I},2,0), or(and(not(isblank($B336)),$B336=$B335,$A336&lt;&gt;$A335),and(not(isblank($A336)),$A336=$A335,$B336&lt;&gt;$B335)),"ID LISTS UNALIGNED",and($A336&lt;&gt;"",countif('5) Release_Track'!$F:$F,$A336)=0),"NO ISRC MATCH in Release_Track",and($B336&lt;&gt;"",countif('5) Release_Track'!$G:$G,$B336)=0),"NO CATALOG ID MATCH in Release_Track",iserror(vlookup($A336&amp;$B336,'5) Release_Track'!$F:$F&amp;'5) Release_Track'!$G:$G,1,0)),"NO ISRC-CATALOG ID pair MATCH in Release_Track" )</f>
        <v/>
      </c>
      <c r="E336" s="125" t="str">
        <f t="array" ref="E336">ifs(and(isblank($A336),isblank($B336)),"", not(iserror(vlookup($A336&amp;$B336,'5) Release_Track'!$F:$F&amp;'5) Release_Track'!$G:$G,1,0))),vlookup($A336&amp;$B336,{'5) Release_Track'!$F:$F&amp;'5) Release_Track'!$G:$G,'5) Release_Track'!$J:$J},2,0), or(and(not(isblank($B336)),$B336=$B335,$A336&lt;&gt;$A335),and(not(isblank($A336)),$A336=$A335,$B336&lt;&gt;$B335)),"ID LISTS UNALIGNED",and($A336&lt;&gt;"",countif('5) Release_Track'!$F:$F,$A336)=0),"NO ISRC MATCH in Release_Track",and($B336&lt;&gt;"",countif('5) Release_Track'!$G:$G,$B336)=0),"NO CATALOG ID MATCH in Release_Track",iserror(vlookup($A336&amp;$B336,'5) Release_Track'!$F:$F&amp;'5) Release_Track'!$G:$G,1,0)),"NO ISRC-CATALOG ID pair MATCH in Release_Track" )</f>
        <v/>
      </c>
      <c r="F336" s="122"/>
      <c r="G336" s="99"/>
      <c r="H336" s="178"/>
      <c r="I336" s="121" t="str">
        <f t="shared" si="6"/>
        <v/>
      </c>
      <c r="J336" s="99"/>
      <c r="K336" s="99"/>
    </row>
    <row r="337">
      <c r="B337" s="103"/>
      <c r="C337" s="121" t="str">
        <f t="array" ref="C337">ifs(and(isblank($A337),isblank($B337)),"", not(iserror(vlookup($A337&amp;$B337,'5) Release_Track'!$F:$F&amp;'5) Release_Track'!$G:$G,1,0))),vlookup($A337&amp;$B337,{'5) Release_Track'!$F:$F&amp;'5) Release_Track'!$G:$G,'5) Release_Track'!$H:$H},2,0), or(and(not(isblank($B337)),$B337=$B336,$A337&lt;&gt;$A336),and(not(isblank($A337)),$A337=$A336,$B337&lt;&gt;$B336)),"ID LISTS UNALIGNED",and($A337&lt;&gt;"",countif('5) Release_Track'!$F:$F,$A337)=0),"NO ISRC MATCH in Release_Track",and($B337&lt;&gt;"",countif('5) Release_Track'!$G:$G,$B337)=0),"NO CATALOG ID MATCH in Release_Track",iserror(vlookup($A337&amp;$B337,'5) Release_Track'!$F:$F&amp;'5) Release_Track'!$G:$G,1,0)),"NO ISRC-CATALOG ID pair MATCH in Release_Track" )</f>
        <v/>
      </c>
      <c r="D337" s="121" t="str">
        <f t="array" ref="D337">ifs(and(isblank($A337),isblank($B337)),"", not(iserror(vlookup($A337&amp;$B337,'5) Release_Track'!$F:$F&amp;'5) Release_Track'!$G:$G,1,0))),vlookup($A337&amp;$B337,{'5) Release_Track'!$F:$F&amp;'5) Release_Track'!$G:$G,'5) Release_Track'!$I:$I},2,0), or(and(not(isblank($B337)),$B337=$B336,$A337&lt;&gt;$A336),and(not(isblank($A337)),$A337=$A336,$B337&lt;&gt;$B336)),"ID LISTS UNALIGNED",and($A337&lt;&gt;"",countif('5) Release_Track'!$F:$F,$A337)=0),"NO ISRC MATCH in Release_Track",and($B337&lt;&gt;"",countif('5) Release_Track'!$G:$G,$B337)=0),"NO CATALOG ID MATCH in Release_Track",iserror(vlookup($A337&amp;$B337,'5) Release_Track'!$F:$F&amp;'5) Release_Track'!$G:$G,1,0)),"NO ISRC-CATALOG ID pair MATCH in Release_Track" )</f>
        <v/>
      </c>
      <c r="E337" s="125" t="str">
        <f t="array" ref="E337">ifs(and(isblank($A337),isblank($B337)),"", not(iserror(vlookup($A337&amp;$B337,'5) Release_Track'!$F:$F&amp;'5) Release_Track'!$G:$G,1,0))),vlookup($A337&amp;$B337,{'5) Release_Track'!$F:$F&amp;'5) Release_Track'!$G:$G,'5) Release_Track'!$J:$J},2,0), or(and(not(isblank($B337)),$B337=$B336,$A337&lt;&gt;$A336),and(not(isblank($A337)),$A337=$A336,$B337&lt;&gt;$B336)),"ID LISTS UNALIGNED",and($A337&lt;&gt;"",countif('5) Release_Track'!$F:$F,$A337)=0),"NO ISRC MATCH in Release_Track",and($B337&lt;&gt;"",countif('5) Release_Track'!$G:$G,$B337)=0),"NO CATALOG ID MATCH in Release_Track",iserror(vlookup($A337&amp;$B337,'5) Release_Track'!$F:$F&amp;'5) Release_Track'!$G:$G,1,0)),"NO ISRC-CATALOG ID pair MATCH in Release_Track" )</f>
        <v/>
      </c>
      <c r="F337" s="122"/>
      <c r="G337" s="99"/>
      <c r="H337" s="178"/>
      <c r="I337" s="121" t="str">
        <f t="shared" si="6"/>
        <v/>
      </c>
      <c r="J337" s="99"/>
      <c r="K337" s="99"/>
    </row>
    <row r="338">
      <c r="B338" s="103"/>
      <c r="C338" s="121" t="str">
        <f t="array" ref="C338">ifs(and(isblank($A338),isblank($B338)),"", not(iserror(vlookup($A338&amp;$B338,'5) Release_Track'!$F:$F&amp;'5) Release_Track'!$G:$G,1,0))),vlookup($A338&amp;$B338,{'5) Release_Track'!$F:$F&amp;'5) Release_Track'!$G:$G,'5) Release_Track'!$H:$H},2,0), or(and(not(isblank($B338)),$B338=$B337,$A338&lt;&gt;$A337),and(not(isblank($A338)),$A338=$A337,$B338&lt;&gt;$B337)),"ID LISTS UNALIGNED",and($A338&lt;&gt;"",countif('5) Release_Track'!$F:$F,$A338)=0),"NO ISRC MATCH in Release_Track",and($B338&lt;&gt;"",countif('5) Release_Track'!$G:$G,$B338)=0),"NO CATALOG ID MATCH in Release_Track",iserror(vlookup($A338&amp;$B338,'5) Release_Track'!$F:$F&amp;'5) Release_Track'!$G:$G,1,0)),"NO ISRC-CATALOG ID pair MATCH in Release_Track" )</f>
        <v/>
      </c>
      <c r="D338" s="121" t="str">
        <f t="array" ref="D338">ifs(and(isblank($A338),isblank($B338)),"", not(iserror(vlookup($A338&amp;$B338,'5) Release_Track'!$F:$F&amp;'5) Release_Track'!$G:$G,1,0))),vlookup($A338&amp;$B338,{'5) Release_Track'!$F:$F&amp;'5) Release_Track'!$G:$G,'5) Release_Track'!$I:$I},2,0), or(and(not(isblank($B338)),$B338=$B337,$A338&lt;&gt;$A337),and(not(isblank($A338)),$A338=$A337,$B338&lt;&gt;$B337)),"ID LISTS UNALIGNED",and($A338&lt;&gt;"",countif('5) Release_Track'!$F:$F,$A338)=0),"NO ISRC MATCH in Release_Track",and($B338&lt;&gt;"",countif('5) Release_Track'!$G:$G,$B338)=0),"NO CATALOG ID MATCH in Release_Track",iserror(vlookup($A338&amp;$B338,'5) Release_Track'!$F:$F&amp;'5) Release_Track'!$G:$G,1,0)),"NO ISRC-CATALOG ID pair MATCH in Release_Track" )</f>
        <v/>
      </c>
      <c r="E338" s="125" t="str">
        <f t="array" ref="E338">ifs(and(isblank($A338),isblank($B338)),"", not(iserror(vlookup($A338&amp;$B338,'5) Release_Track'!$F:$F&amp;'5) Release_Track'!$G:$G,1,0))),vlookup($A338&amp;$B338,{'5) Release_Track'!$F:$F&amp;'5) Release_Track'!$G:$G,'5) Release_Track'!$J:$J},2,0), or(and(not(isblank($B338)),$B338=$B337,$A338&lt;&gt;$A337),and(not(isblank($A338)),$A338=$A337,$B338&lt;&gt;$B337)),"ID LISTS UNALIGNED",and($A338&lt;&gt;"",countif('5) Release_Track'!$F:$F,$A338)=0),"NO ISRC MATCH in Release_Track",and($B338&lt;&gt;"",countif('5) Release_Track'!$G:$G,$B338)=0),"NO CATALOG ID MATCH in Release_Track",iserror(vlookup($A338&amp;$B338,'5) Release_Track'!$F:$F&amp;'5) Release_Track'!$G:$G,1,0)),"NO ISRC-CATALOG ID pair MATCH in Release_Track" )</f>
        <v/>
      </c>
      <c r="F338" s="122"/>
      <c r="G338" s="99"/>
      <c r="H338" s="178"/>
      <c r="I338" s="121" t="str">
        <f t="shared" si="6"/>
        <v/>
      </c>
      <c r="J338" s="99"/>
      <c r="K338" s="99"/>
    </row>
    <row r="339">
      <c r="B339" s="103"/>
      <c r="C339" s="121" t="str">
        <f t="array" ref="C339">ifs(and(isblank($A339),isblank($B339)),"", not(iserror(vlookup($A339&amp;$B339,'5) Release_Track'!$F:$F&amp;'5) Release_Track'!$G:$G,1,0))),vlookup($A339&amp;$B339,{'5) Release_Track'!$F:$F&amp;'5) Release_Track'!$G:$G,'5) Release_Track'!$H:$H},2,0), or(and(not(isblank($B339)),$B339=$B338,$A339&lt;&gt;$A338),and(not(isblank($A339)),$A339=$A338,$B339&lt;&gt;$B338)),"ID LISTS UNALIGNED",and($A339&lt;&gt;"",countif('5) Release_Track'!$F:$F,$A339)=0),"NO ISRC MATCH in Release_Track",and($B339&lt;&gt;"",countif('5) Release_Track'!$G:$G,$B339)=0),"NO CATALOG ID MATCH in Release_Track",iserror(vlookup($A339&amp;$B339,'5) Release_Track'!$F:$F&amp;'5) Release_Track'!$G:$G,1,0)),"NO ISRC-CATALOG ID pair MATCH in Release_Track" )</f>
        <v/>
      </c>
      <c r="D339" s="121" t="str">
        <f t="array" ref="D339">ifs(and(isblank($A339),isblank($B339)),"", not(iserror(vlookup($A339&amp;$B339,'5) Release_Track'!$F:$F&amp;'5) Release_Track'!$G:$G,1,0))),vlookup($A339&amp;$B339,{'5) Release_Track'!$F:$F&amp;'5) Release_Track'!$G:$G,'5) Release_Track'!$I:$I},2,0), or(and(not(isblank($B339)),$B339=$B338,$A339&lt;&gt;$A338),and(not(isblank($A339)),$A339=$A338,$B339&lt;&gt;$B338)),"ID LISTS UNALIGNED",and($A339&lt;&gt;"",countif('5) Release_Track'!$F:$F,$A339)=0),"NO ISRC MATCH in Release_Track",and($B339&lt;&gt;"",countif('5) Release_Track'!$G:$G,$B339)=0),"NO CATALOG ID MATCH in Release_Track",iserror(vlookup($A339&amp;$B339,'5) Release_Track'!$F:$F&amp;'5) Release_Track'!$G:$G,1,0)),"NO ISRC-CATALOG ID pair MATCH in Release_Track" )</f>
        <v/>
      </c>
      <c r="E339" s="125" t="str">
        <f t="array" ref="E339">ifs(and(isblank($A339),isblank($B339)),"", not(iserror(vlookup($A339&amp;$B339,'5) Release_Track'!$F:$F&amp;'5) Release_Track'!$G:$G,1,0))),vlookup($A339&amp;$B339,{'5) Release_Track'!$F:$F&amp;'5) Release_Track'!$G:$G,'5) Release_Track'!$J:$J},2,0), or(and(not(isblank($B339)),$B339=$B338,$A339&lt;&gt;$A338),and(not(isblank($A339)),$A339=$A338,$B339&lt;&gt;$B338)),"ID LISTS UNALIGNED",and($A339&lt;&gt;"",countif('5) Release_Track'!$F:$F,$A339)=0),"NO ISRC MATCH in Release_Track",and($B339&lt;&gt;"",countif('5) Release_Track'!$G:$G,$B339)=0),"NO CATALOG ID MATCH in Release_Track",iserror(vlookup($A339&amp;$B339,'5) Release_Track'!$F:$F&amp;'5) Release_Track'!$G:$G,1,0)),"NO ISRC-CATALOG ID pair MATCH in Release_Track" )</f>
        <v/>
      </c>
      <c r="F339" s="122"/>
      <c r="G339" s="99"/>
      <c r="H339" s="178"/>
      <c r="I339" s="121" t="str">
        <f t="shared" si="6"/>
        <v/>
      </c>
      <c r="J339" s="99"/>
      <c r="K339" s="99"/>
    </row>
    <row r="340">
      <c r="B340" s="103"/>
      <c r="C340" s="121" t="str">
        <f t="array" ref="C340">ifs(and(isblank($A340),isblank($B340)),"", not(iserror(vlookup($A340&amp;$B340,'5) Release_Track'!$F:$F&amp;'5) Release_Track'!$G:$G,1,0))),vlookup($A340&amp;$B340,{'5) Release_Track'!$F:$F&amp;'5) Release_Track'!$G:$G,'5) Release_Track'!$H:$H},2,0), or(and(not(isblank($B340)),$B340=$B339,$A340&lt;&gt;$A339),and(not(isblank($A340)),$A340=$A339,$B340&lt;&gt;$B339)),"ID LISTS UNALIGNED",and($A340&lt;&gt;"",countif('5) Release_Track'!$F:$F,$A340)=0),"NO ISRC MATCH in Release_Track",and($B340&lt;&gt;"",countif('5) Release_Track'!$G:$G,$B340)=0),"NO CATALOG ID MATCH in Release_Track",iserror(vlookup($A340&amp;$B340,'5) Release_Track'!$F:$F&amp;'5) Release_Track'!$G:$G,1,0)),"NO ISRC-CATALOG ID pair MATCH in Release_Track" )</f>
        <v/>
      </c>
      <c r="D340" s="121" t="str">
        <f t="array" ref="D340">ifs(and(isblank($A340),isblank($B340)),"", not(iserror(vlookup($A340&amp;$B340,'5) Release_Track'!$F:$F&amp;'5) Release_Track'!$G:$G,1,0))),vlookup($A340&amp;$B340,{'5) Release_Track'!$F:$F&amp;'5) Release_Track'!$G:$G,'5) Release_Track'!$I:$I},2,0), or(and(not(isblank($B340)),$B340=$B339,$A340&lt;&gt;$A339),and(not(isblank($A340)),$A340=$A339,$B340&lt;&gt;$B339)),"ID LISTS UNALIGNED",and($A340&lt;&gt;"",countif('5) Release_Track'!$F:$F,$A340)=0),"NO ISRC MATCH in Release_Track",and($B340&lt;&gt;"",countif('5) Release_Track'!$G:$G,$B340)=0),"NO CATALOG ID MATCH in Release_Track",iserror(vlookup($A340&amp;$B340,'5) Release_Track'!$F:$F&amp;'5) Release_Track'!$G:$G,1,0)),"NO ISRC-CATALOG ID pair MATCH in Release_Track" )</f>
        <v/>
      </c>
      <c r="E340" s="125" t="str">
        <f t="array" ref="E340">ifs(and(isblank($A340),isblank($B340)),"", not(iserror(vlookup($A340&amp;$B340,'5) Release_Track'!$F:$F&amp;'5) Release_Track'!$G:$G,1,0))),vlookup($A340&amp;$B340,{'5) Release_Track'!$F:$F&amp;'5) Release_Track'!$G:$G,'5) Release_Track'!$J:$J},2,0), or(and(not(isblank($B340)),$B340=$B339,$A340&lt;&gt;$A339),and(not(isblank($A340)),$A340=$A339,$B340&lt;&gt;$B339)),"ID LISTS UNALIGNED",and($A340&lt;&gt;"",countif('5) Release_Track'!$F:$F,$A340)=0),"NO ISRC MATCH in Release_Track",and($B340&lt;&gt;"",countif('5) Release_Track'!$G:$G,$B340)=0),"NO CATALOG ID MATCH in Release_Track",iserror(vlookup($A340&amp;$B340,'5) Release_Track'!$F:$F&amp;'5) Release_Track'!$G:$G,1,0)),"NO ISRC-CATALOG ID pair MATCH in Release_Track" )</f>
        <v/>
      </c>
      <c r="F340" s="122"/>
      <c r="G340" s="99"/>
      <c r="H340" s="178"/>
      <c r="I340" s="121" t="str">
        <f t="shared" si="6"/>
        <v/>
      </c>
      <c r="J340" s="99"/>
      <c r="K340" s="99"/>
    </row>
    <row r="341">
      <c r="B341" s="103"/>
      <c r="C341" s="121" t="str">
        <f t="array" ref="C341">ifs(and(isblank($A341),isblank($B341)),"", not(iserror(vlookup($A341&amp;$B341,'5) Release_Track'!$F:$F&amp;'5) Release_Track'!$G:$G,1,0))),vlookup($A341&amp;$B341,{'5) Release_Track'!$F:$F&amp;'5) Release_Track'!$G:$G,'5) Release_Track'!$H:$H},2,0), or(and(not(isblank($B341)),$B341=$B340,$A341&lt;&gt;$A340),and(not(isblank($A341)),$A341=$A340,$B341&lt;&gt;$B340)),"ID LISTS UNALIGNED",and($A341&lt;&gt;"",countif('5) Release_Track'!$F:$F,$A341)=0),"NO ISRC MATCH in Release_Track",and($B341&lt;&gt;"",countif('5) Release_Track'!$G:$G,$B341)=0),"NO CATALOG ID MATCH in Release_Track",iserror(vlookup($A341&amp;$B341,'5) Release_Track'!$F:$F&amp;'5) Release_Track'!$G:$G,1,0)),"NO ISRC-CATALOG ID pair MATCH in Release_Track" )</f>
        <v/>
      </c>
      <c r="D341" s="121" t="str">
        <f t="array" ref="D341">ifs(and(isblank($A341),isblank($B341)),"", not(iserror(vlookup($A341&amp;$B341,'5) Release_Track'!$F:$F&amp;'5) Release_Track'!$G:$G,1,0))),vlookup($A341&amp;$B341,{'5) Release_Track'!$F:$F&amp;'5) Release_Track'!$G:$G,'5) Release_Track'!$I:$I},2,0), or(and(not(isblank($B341)),$B341=$B340,$A341&lt;&gt;$A340),and(not(isblank($A341)),$A341=$A340,$B341&lt;&gt;$B340)),"ID LISTS UNALIGNED",and($A341&lt;&gt;"",countif('5) Release_Track'!$F:$F,$A341)=0),"NO ISRC MATCH in Release_Track",and($B341&lt;&gt;"",countif('5) Release_Track'!$G:$G,$B341)=0),"NO CATALOG ID MATCH in Release_Track",iserror(vlookup($A341&amp;$B341,'5) Release_Track'!$F:$F&amp;'5) Release_Track'!$G:$G,1,0)),"NO ISRC-CATALOG ID pair MATCH in Release_Track" )</f>
        <v/>
      </c>
      <c r="E341" s="125" t="str">
        <f t="array" ref="E341">ifs(and(isblank($A341),isblank($B341)),"", not(iserror(vlookup($A341&amp;$B341,'5) Release_Track'!$F:$F&amp;'5) Release_Track'!$G:$G,1,0))),vlookup($A341&amp;$B341,{'5) Release_Track'!$F:$F&amp;'5) Release_Track'!$G:$G,'5) Release_Track'!$J:$J},2,0), or(and(not(isblank($B341)),$B341=$B340,$A341&lt;&gt;$A340),and(not(isblank($A341)),$A341=$A340,$B341&lt;&gt;$B340)),"ID LISTS UNALIGNED",and($A341&lt;&gt;"",countif('5) Release_Track'!$F:$F,$A341)=0),"NO ISRC MATCH in Release_Track",and($B341&lt;&gt;"",countif('5) Release_Track'!$G:$G,$B341)=0),"NO CATALOG ID MATCH in Release_Track",iserror(vlookup($A341&amp;$B341,'5) Release_Track'!$F:$F&amp;'5) Release_Track'!$G:$G,1,0)),"NO ISRC-CATALOG ID pair MATCH in Release_Track" )</f>
        <v/>
      </c>
      <c r="F341" s="122"/>
      <c r="G341" s="99"/>
      <c r="H341" s="178"/>
      <c r="I341" s="121" t="str">
        <f t="shared" si="6"/>
        <v/>
      </c>
      <c r="J341" s="99"/>
      <c r="K341" s="99"/>
    </row>
    <row r="342">
      <c r="B342" s="103"/>
      <c r="C342" s="121" t="str">
        <f t="array" ref="C342">ifs(and(isblank($A342),isblank($B342)),"", not(iserror(vlookup($A342&amp;$B342,'5) Release_Track'!$F:$F&amp;'5) Release_Track'!$G:$G,1,0))),vlookup($A342&amp;$B342,{'5) Release_Track'!$F:$F&amp;'5) Release_Track'!$G:$G,'5) Release_Track'!$H:$H},2,0), or(and(not(isblank($B342)),$B342=$B341,$A342&lt;&gt;$A341),and(not(isblank($A342)),$A342=$A341,$B342&lt;&gt;$B341)),"ID LISTS UNALIGNED",and($A342&lt;&gt;"",countif('5) Release_Track'!$F:$F,$A342)=0),"NO ISRC MATCH in Release_Track",and($B342&lt;&gt;"",countif('5) Release_Track'!$G:$G,$B342)=0),"NO CATALOG ID MATCH in Release_Track",iserror(vlookup($A342&amp;$B342,'5) Release_Track'!$F:$F&amp;'5) Release_Track'!$G:$G,1,0)),"NO ISRC-CATALOG ID pair MATCH in Release_Track" )</f>
        <v/>
      </c>
      <c r="D342" s="121" t="str">
        <f t="array" ref="D342">ifs(and(isblank($A342),isblank($B342)),"", not(iserror(vlookup($A342&amp;$B342,'5) Release_Track'!$F:$F&amp;'5) Release_Track'!$G:$G,1,0))),vlookup($A342&amp;$B342,{'5) Release_Track'!$F:$F&amp;'5) Release_Track'!$G:$G,'5) Release_Track'!$I:$I},2,0), or(and(not(isblank($B342)),$B342=$B341,$A342&lt;&gt;$A341),and(not(isblank($A342)),$A342=$A341,$B342&lt;&gt;$B341)),"ID LISTS UNALIGNED",and($A342&lt;&gt;"",countif('5) Release_Track'!$F:$F,$A342)=0),"NO ISRC MATCH in Release_Track",and($B342&lt;&gt;"",countif('5) Release_Track'!$G:$G,$B342)=0),"NO CATALOG ID MATCH in Release_Track",iserror(vlookup($A342&amp;$B342,'5) Release_Track'!$F:$F&amp;'5) Release_Track'!$G:$G,1,0)),"NO ISRC-CATALOG ID pair MATCH in Release_Track" )</f>
        <v/>
      </c>
      <c r="E342" s="125" t="str">
        <f t="array" ref="E342">ifs(and(isblank($A342),isblank($B342)),"", not(iserror(vlookup($A342&amp;$B342,'5) Release_Track'!$F:$F&amp;'5) Release_Track'!$G:$G,1,0))),vlookup($A342&amp;$B342,{'5) Release_Track'!$F:$F&amp;'5) Release_Track'!$G:$G,'5) Release_Track'!$J:$J},2,0), or(and(not(isblank($B342)),$B342=$B341,$A342&lt;&gt;$A341),and(not(isblank($A342)),$A342=$A341,$B342&lt;&gt;$B341)),"ID LISTS UNALIGNED",and($A342&lt;&gt;"",countif('5) Release_Track'!$F:$F,$A342)=0),"NO ISRC MATCH in Release_Track",and($B342&lt;&gt;"",countif('5) Release_Track'!$G:$G,$B342)=0),"NO CATALOG ID MATCH in Release_Track",iserror(vlookup($A342&amp;$B342,'5) Release_Track'!$F:$F&amp;'5) Release_Track'!$G:$G,1,0)),"NO ISRC-CATALOG ID pair MATCH in Release_Track" )</f>
        <v/>
      </c>
      <c r="F342" s="122"/>
      <c r="G342" s="99"/>
      <c r="H342" s="178"/>
      <c r="I342" s="121" t="str">
        <f t="shared" si="6"/>
        <v/>
      </c>
      <c r="J342" s="99"/>
      <c r="K342" s="99"/>
    </row>
    <row r="343">
      <c r="B343" s="103"/>
      <c r="C343" s="121" t="str">
        <f t="array" ref="C343">ifs(and(isblank($A343),isblank($B343)),"", not(iserror(vlookup($A343&amp;$B343,'5) Release_Track'!$F:$F&amp;'5) Release_Track'!$G:$G,1,0))),vlookup($A343&amp;$B343,{'5) Release_Track'!$F:$F&amp;'5) Release_Track'!$G:$G,'5) Release_Track'!$H:$H},2,0), or(and(not(isblank($B343)),$B343=$B342,$A343&lt;&gt;$A342),and(not(isblank($A343)),$A343=$A342,$B343&lt;&gt;$B342)),"ID LISTS UNALIGNED",and($A343&lt;&gt;"",countif('5) Release_Track'!$F:$F,$A343)=0),"NO ISRC MATCH in Release_Track",and($B343&lt;&gt;"",countif('5) Release_Track'!$G:$G,$B343)=0),"NO CATALOG ID MATCH in Release_Track",iserror(vlookup($A343&amp;$B343,'5) Release_Track'!$F:$F&amp;'5) Release_Track'!$G:$G,1,0)),"NO ISRC-CATALOG ID pair MATCH in Release_Track" )</f>
        <v/>
      </c>
      <c r="D343" s="121" t="str">
        <f t="array" ref="D343">ifs(and(isblank($A343),isblank($B343)),"", not(iserror(vlookup($A343&amp;$B343,'5) Release_Track'!$F:$F&amp;'5) Release_Track'!$G:$G,1,0))),vlookup($A343&amp;$B343,{'5) Release_Track'!$F:$F&amp;'5) Release_Track'!$G:$G,'5) Release_Track'!$I:$I},2,0), or(and(not(isblank($B343)),$B343=$B342,$A343&lt;&gt;$A342),and(not(isblank($A343)),$A343=$A342,$B343&lt;&gt;$B342)),"ID LISTS UNALIGNED",and($A343&lt;&gt;"",countif('5) Release_Track'!$F:$F,$A343)=0),"NO ISRC MATCH in Release_Track",and($B343&lt;&gt;"",countif('5) Release_Track'!$G:$G,$B343)=0),"NO CATALOG ID MATCH in Release_Track",iserror(vlookup($A343&amp;$B343,'5) Release_Track'!$F:$F&amp;'5) Release_Track'!$G:$G,1,0)),"NO ISRC-CATALOG ID pair MATCH in Release_Track" )</f>
        <v/>
      </c>
      <c r="E343" s="125" t="str">
        <f t="array" ref="E343">ifs(and(isblank($A343),isblank($B343)),"", not(iserror(vlookup($A343&amp;$B343,'5) Release_Track'!$F:$F&amp;'5) Release_Track'!$G:$G,1,0))),vlookup($A343&amp;$B343,{'5) Release_Track'!$F:$F&amp;'5) Release_Track'!$G:$G,'5) Release_Track'!$J:$J},2,0), or(and(not(isblank($B343)),$B343=$B342,$A343&lt;&gt;$A342),and(not(isblank($A343)),$A343=$A342,$B343&lt;&gt;$B342)),"ID LISTS UNALIGNED",and($A343&lt;&gt;"",countif('5) Release_Track'!$F:$F,$A343)=0),"NO ISRC MATCH in Release_Track",and($B343&lt;&gt;"",countif('5) Release_Track'!$G:$G,$B343)=0),"NO CATALOG ID MATCH in Release_Track",iserror(vlookup($A343&amp;$B343,'5) Release_Track'!$F:$F&amp;'5) Release_Track'!$G:$G,1,0)),"NO ISRC-CATALOG ID pair MATCH in Release_Track" )</f>
        <v/>
      </c>
      <c r="F343" s="122"/>
      <c r="G343" s="99"/>
      <c r="H343" s="178"/>
      <c r="I343" s="121" t="str">
        <f t="shared" si="6"/>
        <v/>
      </c>
      <c r="J343" s="99"/>
      <c r="K343" s="99"/>
    </row>
    <row r="344">
      <c r="B344" s="103"/>
      <c r="C344" s="121" t="str">
        <f t="array" ref="C344">ifs(and(isblank($A344),isblank($B344)),"", not(iserror(vlookup($A344&amp;$B344,'5) Release_Track'!$F:$F&amp;'5) Release_Track'!$G:$G,1,0))),vlookup($A344&amp;$B344,{'5) Release_Track'!$F:$F&amp;'5) Release_Track'!$G:$G,'5) Release_Track'!$H:$H},2,0), or(and(not(isblank($B344)),$B344=$B343,$A344&lt;&gt;$A343),and(not(isblank($A344)),$A344=$A343,$B344&lt;&gt;$B343)),"ID LISTS UNALIGNED",and($A344&lt;&gt;"",countif('5) Release_Track'!$F:$F,$A344)=0),"NO ISRC MATCH in Release_Track",and($B344&lt;&gt;"",countif('5) Release_Track'!$G:$G,$B344)=0),"NO CATALOG ID MATCH in Release_Track",iserror(vlookup($A344&amp;$B344,'5) Release_Track'!$F:$F&amp;'5) Release_Track'!$G:$G,1,0)),"NO ISRC-CATALOG ID pair MATCH in Release_Track" )</f>
        <v/>
      </c>
      <c r="D344" s="121" t="str">
        <f t="array" ref="D344">ifs(and(isblank($A344),isblank($B344)),"", not(iserror(vlookup($A344&amp;$B344,'5) Release_Track'!$F:$F&amp;'5) Release_Track'!$G:$G,1,0))),vlookup($A344&amp;$B344,{'5) Release_Track'!$F:$F&amp;'5) Release_Track'!$G:$G,'5) Release_Track'!$I:$I},2,0), or(and(not(isblank($B344)),$B344=$B343,$A344&lt;&gt;$A343),and(not(isblank($A344)),$A344=$A343,$B344&lt;&gt;$B343)),"ID LISTS UNALIGNED",and($A344&lt;&gt;"",countif('5) Release_Track'!$F:$F,$A344)=0),"NO ISRC MATCH in Release_Track",and($B344&lt;&gt;"",countif('5) Release_Track'!$G:$G,$B344)=0),"NO CATALOG ID MATCH in Release_Track",iserror(vlookup($A344&amp;$B344,'5) Release_Track'!$F:$F&amp;'5) Release_Track'!$G:$G,1,0)),"NO ISRC-CATALOG ID pair MATCH in Release_Track" )</f>
        <v/>
      </c>
      <c r="E344" s="125" t="str">
        <f t="array" ref="E344">ifs(and(isblank($A344),isblank($B344)),"", not(iserror(vlookup($A344&amp;$B344,'5) Release_Track'!$F:$F&amp;'5) Release_Track'!$G:$G,1,0))),vlookup($A344&amp;$B344,{'5) Release_Track'!$F:$F&amp;'5) Release_Track'!$G:$G,'5) Release_Track'!$J:$J},2,0), or(and(not(isblank($B344)),$B344=$B343,$A344&lt;&gt;$A343),and(not(isblank($A344)),$A344=$A343,$B344&lt;&gt;$B343)),"ID LISTS UNALIGNED",and($A344&lt;&gt;"",countif('5) Release_Track'!$F:$F,$A344)=0),"NO ISRC MATCH in Release_Track",and($B344&lt;&gt;"",countif('5) Release_Track'!$G:$G,$B344)=0),"NO CATALOG ID MATCH in Release_Track",iserror(vlookup($A344&amp;$B344,'5) Release_Track'!$F:$F&amp;'5) Release_Track'!$G:$G,1,0)),"NO ISRC-CATALOG ID pair MATCH in Release_Track" )</f>
        <v/>
      </c>
      <c r="F344" s="122"/>
      <c r="G344" s="99"/>
      <c r="H344" s="178"/>
      <c r="I344" s="121" t="str">
        <f t="shared" si="6"/>
        <v/>
      </c>
      <c r="J344" s="99"/>
      <c r="K344" s="99"/>
    </row>
    <row r="345">
      <c r="B345" s="103"/>
      <c r="C345" s="121" t="str">
        <f t="array" ref="C345">ifs(and(isblank($A345),isblank($B345)),"", not(iserror(vlookup($A345&amp;$B345,'5) Release_Track'!$F:$F&amp;'5) Release_Track'!$G:$G,1,0))),vlookup($A345&amp;$B345,{'5) Release_Track'!$F:$F&amp;'5) Release_Track'!$G:$G,'5) Release_Track'!$H:$H},2,0), or(and(not(isblank($B345)),$B345=$B344,$A345&lt;&gt;$A344),and(not(isblank($A345)),$A345=$A344,$B345&lt;&gt;$B344)),"ID LISTS UNALIGNED",and($A345&lt;&gt;"",countif('5) Release_Track'!$F:$F,$A345)=0),"NO ISRC MATCH in Release_Track",and($B345&lt;&gt;"",countif('5) Release_Track'!$G:$G,$B345)=0),"NO CATALOG ID MATCH in Release_Track",iserror(vlookup($A345&amp;$B345,'5) Release_Track'!$F:$F&amp;'5) Release_Track'!$G:$G,1,0)),"NO ISRC-CATALOG ID pair MATCH in Release_Track" )</f>
        <v/>
      </c>
      <c r="D345" s="121" t="str">
        <f t="array" ref="D345">ifs(and(isblank($A345),isblank($B345)),"", not(iserror(vlookup($A345&amp;$B345,'5) Release_Track'!$F:$F&amp;'5) Release_Track'!$G:$G,1,0))),vlookup($A345&amp;$B345,{'5) Release_Track'!$F:$F&amp;'5) Release_Track'!$G:$G,'5) Release_Track'!$I:$I},2,0), or(and(not(isblank($B345)),$B345=$B344,$A345&lt;&gt;$A344),and(not(isblank($A345)),$A345=$A344,$B345&lt;&gt;$B344)),"ID LISTS UNALIGNED",and($A345&lt;&gt;"",countif('5) Release_Track'!$F:$F,$A345)=0),"NO ISRC MATCH in Release_Track",and($B345&lt;&gt;"",countif('5) Release_Track'!$G:$G,$B345)=0),"NO CATALOG ID MATCH in Release_Track",iserror(vlookup($A345&amp;$B345,'5) Release_Track'!$F:$F&amp;'5) Release_Track'!$G:$G,1,0)),"NO ISRC-CATALOG ID pair MATCH in Release_Track" )</f>
        <v/>
      </c>
      <c r="E345" s="125" t="str">
        <f t="array" ref="E345">ifs(and(isblank($A345),isblank($B345)),"", not(iserror(vlookup($A345&amp;$B345,'5) Release_Track'!$F:$F&amp;'5) Release_Track'!$G:$G,1,0))),vlookup($A345&amp;$B345,{'5) Release_Track'!$F:$F&amp;'5) Release_Track'!$G:$G,'5) Release_Track'!$J:$J},2,0), or(and(not(isblank($B345)),$B345=$B344,$A345&lt;&gt;$A344),and(not(isblank($A345)),$A345=$A344,$B345&lt;&gt;$B344)),"ID LISTS UNALIGNED",and($A345&lt;&gt;"",countif('5) Release_Track'!$F:$F,$A345)=0),"NO ISRC MATCH in Release_Track",and($B345&lt;&gt;"",countif('5) Release_Track'!$G:$G,$B345)=0),"NO CATALOG ID MATCH in Release_Track",iserror(vlookup($A345&amp;$B345,'5) Release_Track'!$F:$F&amp;'5) Release_Track'!$G:$G,1,0)),"NO ISRC-CATALOG ID pair MATCH in Release_Track" )</f>
        <v/>
      </c>
      <c r="F345" s="122"/>
      <c r="G345" s="99"/>
      <c r="H345" s="178"/>
      <c r="I345" s="121" t="str">
        <f t="shared" si="6"/>
        <v/>
      </c>
      <c r="J345" s="99"/>
      <c r="K345" s="99"/>
    </row>
    <row r="346">
      <c r="B346" s="103"/>
      <c r="C346" s="121" t="str">
        <f t="array" ref="C346">ifs(and(isblank($A346),isblank($B346)),"", not(iserror(vlookup($A346&amp;$B346,'5) Release_Track'!$F:$F&amp;'5) Release_Track'!$G:$G,1,0))),vlookup($A346&amp;$B346,{'5) Release_Track'!$F:$F&amp;'5) Release_Track'!$G:$G,'5) Release_Track'!$H:$H},2,0), or(and(not(isblank($B346)),$B346=$B345,$A346&lt;&gt;$A345),and(not(isblank($A346)),$A346=$A345,$B346&lt;&gt;$B345)),"ID LISTS UNALIGNED",and($A346&lt;&gt;"",countif('5) Release_Track'!$F:$F,$A346)=0),"NO ISRC MATCH in Release_Track",and($B346&lt;&gt;"",countif('5) Release_Track'!$G:$G,$B346)=0),"NO CATALOG ID MATCH in Release_Track",iserror(vlookup($A346&amp;$B346,'5) Release_Track'!$F:$F&amp;'5) Release_Track'!$G:$G,1,0)),"NO ISRC-CATALOG ID pair MATCH in Release_Track" )</f>
        <v/>
      </c>
      <c r="D346" s="121" t="str">
        <f t="array" ref="D346">ifs(and(isblank($A346),isblank($B346)),"", not(iserror(vlookup($A346&amp;$B346,'5) Release_Track'!$F:$F&amp;'5) Release_Track'!$G:$G,1,0))),vlookup($A346&amp;$B346,{'5) Release_Track'!$F:$F&amp;'5) Release_Track'!$G:$G,'5) Release_Track'!$I:$I},2,0), or(and(not(isblank($B346)),$B346=$B345,$A346&lt;&gt;$A345),and(not(isblank($A346)),$A346=$A345,$B346&lt;&gt;$B345)),"ID LISTS UNALIGNED",and($A346&lt;&gt;"",countif('5) Release_Track'!$F:$F,$A346)=0),"NO ISRC MATCH in Release_Track",and($B346&lt;&gt;"",countif('5) Release_Track'!$G:$G,$B346)=0),"NO CATALOG ID MATCH in Release_Track",iserror(vlookup($A346&amp;$B346,'5) Release_Track'!$F:$F&amp;'5) Release_Track'!$G:$G,1,0)),"NO ISRC-CATALOG ID pair MATCH in Release_Track" )</f>
        <v/>
      </c>
      <c r="E346" s="125" t="str">
        <f t="array" ref="E346">ifs(and(isblank($A346),isblank($B346)),"", not(iserror(vlookup($A346&amp;$B346,'5) Release_Track'!$F:$F&amp;'5) Release_Track'!$G:$G,1,0))),vlookup($A346&amp;$B346,{'5) Release_Track'!$F:$F&amp;'5) Release_Track'!$G:$G,'5) Release_Track'!$J:$J},2,0), or(and(not(isblank($B346)),$B346=$B345,$A346&lt;&gt;$A345),and(not(isblank($A346)),$A346=$A345,$B346&lt;&gt;$B345)),"ID LISTS UNALIGNED",and($A346&lt;&gt;"",countif('5) Release_Track'!$F:$F,$A346)=0),"NO ISRC MATCH in Release_Track",and($B346&lt;&gt;"",countif('5) Release_Track'!$G:$G,$B346)=0),"NO CATALOG ID MATCH in Release_Track",iserror(vlookup($A346&amp;$B346,'5) Release_Track'!$F:$F&amp;'5) Release_Track'!$G:$G,1,0)),"NO ISRC-CATALOG ID pair MATCH in Release_Track" )</f>
        <v/>
      </c>
      <c r="F346" s="122"/>
      <c r="G346" s="99"/>
      <c r="H346" s="178"/>
      <c r="I346" s="121" t="str">
        <f t="shared" si="6"/>
        <v/>
      </c>
      <c r="J346" s="99"/>
      <c r="K346" s="99"/>
    </row>
    <row r="347">
      <c r="B347" s="103"/>
      <c r="C347" s="121" t="str">
        <f t="array" ref="C347">ifs(and(isblank($A347),isblank($B347)),"", not(iserror(vlookup($A347&amp;$B347,'5) Release_Track'!$F:$F&amp;'5) Release_Track'!$G:$G,1,0))),vlookup($A347&amp;$B347,{'5) Release_Track'!$F:$F&amp;'5) Release_Track'!$G:$G,'5) Release_Track'!$H:$H},2,0), or(and(not(isblank($B347)),$B347=$B346,$A347&lt;&gt;$A346),and(not(isblank($A347)),$A347=$A346,$B347&lt;&gt;$B346)),"ID LISTS UNALIGNED",and($A347&lt;&gt;"",countif('5) Release_Track'!$F:$F,$A347)=0),"NO ISRC MATCH in Release_Track",and($B347&lt;&gt;"",countif('5) Release_Track'!$G:$G,$B347)=0),"NO CATALOG ID MATCH in Release_Track",iserror(vlookup($A347&amp;$B347,'5) Release_Track'!$F:$F&amp;'5) Release_Track'!$G:$G,1,0)),"NO ISRC-CATALOG ID pair MATCH in Release_Track" )</f>
        <v/>
      </c>
      <c r="D347" s="121" t="str">
        <f t="array" ref="D347">ifs(and(isblank($A347),isblank($B347)),"", not(iserror(vlookup($A347&amp;$B347,'5) Release_Track'!$F:$F&amp;'5) Release_Track'!$G:$G,1,0))),vlookup($A347&amp;$B347,{'5) Release_Track'!$F:$F&amp;'5) Release_Track'!$G:$G,'5) Release_Track'!$I:$I},2,0), or(and(not(isblank($B347)),$B347=$B346,$A347&lt;&gt;$A346),and(not(isblank($A347)),$A347=$A346,$B347&lt;&gt;$B346)),"ID LISTS UNALIGNED",and($A347&lt;&gt;"",countif('5) Release_Track'!$F:$F,$A347)=0),"NO ISRC MATCH in Release_Track",and($B347&lt;&gt;"",countif('5) Release_Track'!$G:$G,$B347)=0),"NO CATALOG ID MATCH in Release_Track",iserror(vlookup($A347&amp;$B347,'5) Release_Track'!$F:$F&amp;'5) Release_Track'!$G:$G,1,0)),"NO ISRC-CATALOG ID pair MATCH in Release_Track" )</f>
        <v/>
      </c>
      <c r="E347" s="125" t="str">
        <f t="array" ref="E347">ifs(and(isblank($A347),isblank($B347)),"", not(iserror(vlookup($A347&amp;$B347,'5) Release_Track'!$F:$F&amp;'5) Release_Track'!$G:$G,1,0))),vlookup($A347&amp;$B347,{'5) Release_Track'!$F:$F&amp;'5) Release_Track'!$G:$G,'5) Release_Track'!$J:$J},2,0), or(and(not(isblank($B347)),$B347=$B346,$A347&lt;&gt;$A346),and(not(isblank($A347)),$A347=$A346,$B347&lt;&gt;$B346)),"ID LISTS UNALIGNED",and($A347&lt;&gt;"",countif('5) Release_Track'!$F:$F,$A347)=0),"NO ISRC MATCH in Release_Track",and($B347&lt;&gt;"",countif('5) Release_Track'!$G:$G,$B347)=0),"NO CATALOG ID MATCH in Release_Track",iserror(vlookup($A347&amp;$B347,'5) Release_Track'!$F:$F&amp;'5) Release_Track'!$G:$G,1,0)),"NO ISRC-CATALOG ID pair MATCH in Release_Track" )</f>
        <v/>
      </c>
      <c r="F347" s="122"/>
      <c r="G347" s="99"/>
      <c r="H347" s="178"/>
      <c r="I347" s="121" t="str">
        <f t="shared" si="6"/>
        <v/>
      </c>
      <c r="J347" s="99"/>
      <c r="K347" s="99"/>
    </row>
    <row r="348">
      <c r="B348" s="103"/>
      <c r="C348" s="121" t="str">
        <f t="array" ref="C348">ifs(and(isblank($A348),isblank($B348)),"", not(iserror(vlookup($A348&amp;$B348,'5) Release_Track'!$F:$F&amp;'5) Release_Track'!$G:$G,1,0))),vlookup($A348&amp;$B348,{'5) Release_Track'!$F:$F&amp;'5) Release_Track'!$G:$G,'5) Release_Track'!$H:$H},2,0), or(and(not(isblank($B348)),$B348=$B347,$A348&lt;&gt;$A347),and(not(isblank($A348)),$A348=$A347,$B348&lt;&gt;$B347)),"ID LISTS UNALIGNED",and($A348&lt;&gt;"",countif('5) Release_Track'!$F:$F,$A348)=0),"NO ISRC MATCH in Release_Track",and($B348&lt;&gt;"",countif('5) Release_Track'!$G:$G,$B348)=0),"NO CATALOG ID MATCH in Release_Track",iserror(vlookup($A348&amp;$B348,'5) Release_Track'!$F:$F&amp;'5) Release_Track'!$G:$G,1,0)),"NO ISRC-CATALOG ID pair MATCH in Release_Track" )</f>
        <v/>
      </c>
      <c r="D348" s="121" t="str">
        <f t="array" ref="D348">ifs(and(isblank($A348),isblank($B348)),"", not(iserror(vlookup($A348&amp;$B348,'5) Release_Track'!$F:$F&amp;'5) Release_Track'!$G:$G,1,0))),vlookup($A348&amp;$B348,{'5) Release_Track'!$F:$F&amp;'5) Release_Track'!$G:$G,'5) Release_Track'!$I:$I},2,0), or(and(not(isblank($B348)),$B348=$B347,$A348&lt;&gt;$A347),and(not(isblank($A348)),$A348=$A347,$B348&lt;&gt;$B347)),"ID LISTS UNALIGNED",and($A348&lt;&gt;"",countif('5) Release_Track'!$F:$F,$A348)=0),"NO ISRC MATCH in Release_Track",and($B348&lt;&gt;"",countif('5) Release_Track'!$G:$G,$B348)=0),"NO CATALOG ID MATCH in Release_Track",iserror(vlookup($A348&amp;$B348,'5) Release_Track'!$F:$F&amp;'5) Release_Track'!$G:$G,1,0)),"NO ISRC-CATALOG ID pair MATCH in Release_Track" )</f>
        <v/>
      </c>
      <c r="E348" s="125" t="str">
        <f t="array" ref="E348">ifs(and(isblank($A348),isblank($B348)),"", not(iserror(vlookup($A348&amp;$B348,'5) Release_Track'!$F:$F&amp;'5) Release_Track'!$G:$G,1,0))),vlookup($A348&amp;$B348,{'5) Release_Track'!$F:$F&amp;'5) Release_Track'!$G:$G,'5) Release_Track'!$J:$J},2,0), or(and(not(isblank($B348)),$B348=$B347,$A348&lt;&gt;$A347),and(not(isblank($A348)),$A348=$A347,$B348&lt;&gt;$B347)),"ID LISTS UNALIGNED",and($A348&lt;&gt;"",countif('5) Release_Track'!$F:$F,$A348)=0),"NO ISRC MATCH in Release_Track",and($B348&lt;&gt;"",countif('5) Release_Track'!$G:$G,$B348)=0),"NO CATALOG ID MATCH in Release_Track",iserror(vlookup($A348&amp;$B348,'5) Release_Track'!$F:$F&amp;'5) Release_Track'!$G:$G,1,0)),"NO ISRC-CATALOG ID pair MATCH in Release_Track" )</f>
        <v/>
      </c>
      <c r="F348" s="122"/>
      <c r="G348" s="99"/>
      <c r="H348" s="178"/>
      <c r="I348" s="121" t="str">
        <f t="shared" si="6"/>
        <v/>
      </c>
      <c r="J348" s="99"/>
      <c r="K348" s="99"/>
    </row>
    <row r="349">
      <c r="B349" s="103"/>
      <c r="C349" s="121" t="str">
        <f t="array" ref="C349">ifs(and(isblank($A349),isblank($B349)),"", not(iserror(vlookup($A349&amp;$B349,'5) Release_Track'!$F:$F&amp;'5) Release_Track'!$G:$G,1,0))),vlookup($A349&amp;$B349,{'5) Release_Track'!$F:$F&amp;'5) Release_Track'!$G:$G,'5) Release_Track'!$H:$H},2,0), or(and(not(isblank($B349)),$B349=$B348,$A349&lt;&gt;$A348),and(not(isblank($A349)),$A349=$A348,$B349&lt;&gt;$B348)),"ID LISTS UNALIGNED",and($A349&lt;&gt;"",countif('5) Release_Track'!$F:$F,$A349)=0),"NO ISRC MATCH in Release_Track",and($B349&lt;&gt;"",countif('5) Release_Track'!$G:$G,$B349)=0),"NO CATALOG ID MATCH in Release_Track",iserror(vlookup($A349&amp;$B349,'5) Release_Track'!$F:$F&amp;'5) Release_Track'!$G:$G,1,0)),"NO ISRC-CATALOG ID pair MATCH in Release_Track" )</f>
        <v/>
      </c>
      <c r="D349" s="121" t="str">
        <f t="array" ref="D349">ifs(and(isblank($A349),isblank($B349)),"", not(iserror(vlookup($A349&amp;$B349,'5) Release_Track'!$F:$F&amp;'5) Release_Track'!$G:$G,1,0))),vlookup($A349&amp;$B349,{'5) Release_Track'!$F:$F&amp;'5) Release_Track'!$G:$G,'5) Release_Track'!$I:$I},2,0), or(and(not(isblank($B349)),$B349=$B348,$A349&lt;&gt;$A348),and(not(isblank($A349)),$A349=$A348,$B349&lt;&gt;$B348)),"ID LISTS UNALIGNED",and($A349&lt;&gt;"",countif('5) Release_Track'!$F:$F,$A349)=0),"NO ISRC MATCH in Release_Track",and($B349&lt;&gt;"",countif('5) Release_Track'!$G:$G,$B349)=0),"NO CATALOG ID MATCH in Release_Track",iserror(vlookup($A349&amp;$B349,'5) Release_Track'!$F:$F&amp;'5) Release_Track'!$G:$G,1,0)),"NO ISRC-CATALOG ID pair MATCH in Release_Track" )</f>
        <v/>
      </c>
      <c r="E349" s="125" t="str">
        <f t="array" ref="E349">ifs(and(isblank($A349),isblank($B349)),"", not(iserror(vlookup($A349&amp;$B349,'5) Release_Track'!$F:$F&amp;'5) Release_Track'!$G:$G,1,0))),vlookup($A349&amp;$B349,{'5) Release_Track'!$F:$F&amp;'5) Release_Track'!$G:$G,'5) Release_Track'!$J:$J},2,0), or(and(not(isblank($B349)),$B349=$B348,$A349&lt;&gt;$A348),and(not(isblank($A349)),$A349=$A348,$B349&lt;&gt;$B348)),"ID LISTS UNALIGNED",and($A349&lt;&gt;"",countif('5) Release_Track'!$F:$F,$A349)=0),"NO ISRC MATCH in Release_Track",and($B349&lt;&gt;"",countif('5) Release_Track'!$G:$G,$B349)=0),"NO CATALOG ID MATCH in Release_Track",iserror(vlookup($A349&amp;$B349,'5) Release_Track'!$F:$F&amp;'5) Release_Track'!$G:$G,1,0)),"NO ISRC-CATALOG ID pair MATCH in Release_Track" )</f>
        <v/>
      </c>
      <c r="F349" s="122"/>
      <c r="G349" s="99"/>
      <c r="H349" s="178"/>
      <c r="I349" s="121" t="str">
        <f t="shared" si="6"/>
        <v/>
      </c>
      <c r="J349" s="99"/>
      <c r="K349" s="99"/>
    </row>
    <row r="350">
      <c r="B350" s="103"/>
      <c r="C350" s="121" t="str">
        <f t="array" ref="C350">ifs(and(isblank($A350),isblank($B350)),"", not(iserror(vlookup($A350&amp;$B350,'5) Release_Track'!$F:$F&amp;'5) Release_Track'!$G:$G,1,0))),vlookup($A350&amp;$B350,{'5) Release_Track'!$F:$F&amp;'5) Release_Track'!$G:$G,'5) Release_Track'!$H:$H},2,0), or(and(not(isblank($B350)),$B350=$B349,$A350&lt;&gt;$A349),and(not(isblank($A350)),$A350=$A349,$B350&lt;&gt;$B349)),"ID LISTS UNALIGNED",and($A350&lt;&gt;"",countif('5) Release_Track'!$F:$F,$A350)=0),"NO ISRC MATCH in Release_Track",and($B350&lt;&gt;"",countif('5) Release_Track'!$G:$G,$B350)=0),"NO CATALOG ID MATCH in Release_Track",iserror(vlookup($A350&amp;$B350,'5) Release_Track'!$F:$F&amp;'5) Release_Track'!$G:$G,1,0)),"NO ISRC-CATALOG ID pair MATCH in Release_Track" )</f>
        <v/>
      </c>
      <c r="D350" s="121" t="str">
        <f t="array" ref="D350">ifs(and(isblank($A350),isblank($B350)),"", not(iserror(vlookup($A350&amp;$B350,'5) Release_Track'!$F:$F&amp;'5) Release_Track'!$G:$G,1,0))),vlookup($A350&amp;$B350,{'5) Release_Track'!$F:$F&amp;'5) Release_Track'!$G:$G,'5) Release_Track'!$I:$I},2,0), or(and(not(isblank($B350)),$B350=$B349,$A350&lt;&gt;$A349),and(not(isblank($A350)),$A350=$A349,$B350&lt;&gt;$B349)),"ID LISTS UNALIGNED",and($A350&lt;&gt;"",countif('5) Release_Track'!$F:$F,$A350)=0),"NO ISRC MATCH in Release_Track",and($B350&lt;&gt;"",countif('5) Release_Track'!$G:$G,$B350)=0),"NO CATALOG ID MATCH in Release_Track",iserror(vlookup($A350&amp;$B350,'5) Release_Track'!$F:$F&amp;'5) Release_Track'!$G:$G,1,0)),"NO ISRC-CATALOG ID pair MATCH in Release_Track" )</f>
        <v/>
      </c>
      <c r="E350" s="125" t="str">
        <f t="array" ref="E350">ifs(and(isblank($A350),isblank($B350)),"", not(iserror(vlookup($A350&amp;$B350,'5) Release_Track'!$F:$F&amp;'5) Release_Track'!$G:$G,1,0))),vlookup($A350&amp;$B350,{'5) Release_Track'!$F:$F&amp;'5) Release_Track'!$G:$G,'5) Release_Track'!$J:$J},2,0), or(and(not(isblank($B350)),$B350=$B349,$A350&lt;&gt;$A349),and(not(isblank($A350)),$A350=$A349,$B350&lt;&gt;$B349)),"ID LISTS UNALIGNED",and($A350&lt;&gt;"",countif('5) Release_Track'!$F:$F,$A350)=0),"NO ISRC MATCH in Release_Track",and($B350&lt;&gt;"",countif('5) Release_Track'!$G:$G,$B350)=0),"NO CATALOG ID MATCH in Release_Track",iserror(vlookup($A350&amp;$B350,'5) Release_Track'!$F:$F&amp;'5) Release_Track'!$G:$G,1,0)),"NO ISRC-CATALOG ID pair MATCH in Release_Track" )</f>
        <v/>
      </c>
      <c r="F350" s="122"/>
      <c r="G350" s="99"/>
      <c r="H350" s="178"/>
      <c r="I350" s="121" t="str">
        <f t="shared" si="6"/>
        <v/>
      </c>
      <c r="J350" s="99"/>
      <c r="K350" s="99"/>
    </row>
    <row r="351">
      <c r="B351" s="103"/>
      <c r="C351" s="121" t="str">
        <f t="array" ref="C351">ifs(and(isblank($A351),isblank($B351)),"", not(iserror(vlookup($A351&amp;$B351,'5) Release_Track'!$F:$F&amp;'5) Release_Track'!$G:$G,1,0))),vlookup($A351&amp;$B351,{'5) Release_Track'!$F:$F&amp;'5) Release_Track'!$G:$G,'5) Release_Track'!$H:$H},2,0), or(and(not(isblank($B351)),$B351=$B350,$A351&lt;&gt;$A350),and(not(isblank($A351)),$A351=$A350,$B351&lt;&gt;$B350)),"ID LISTS UNALIGNED",and($A351&lt;&gt;"",countif('5) Release_Track'!$F:$F,$A351)=0),"NO ISRC MATCH in Release_Track",and($B351&lt;&gt;"",countif('5) Release_Track'!$G:$G,$B351)=0),"NO CATALOG ID MATCH in Release_Track",iserror(vlookup($A351&amp;$B351,'5) Release_Track'!$F:$F&amp;'5) Release_Track'!$G:$G,1,0)),"NO ISRC-CATALOG ID pair MATCH in Release_Track" )</f>
        <v/>
      </c>
      <c r="D351" s="121" t="str">
        <f t="array" ref="D351">ifs(and(isblank($A351),isblank($B351)),"", not(iserror(vlookup($A351&amp;$B351,'5) Release_Track'!$F:$F&amp;'5) Release_Track'!$G:$G,1,0))),vlookup($A351&amp;$B351,{'5) Release_Track'!$F:$F&amp;'5) Release_Track'!$G:$G,'5) Release_Track'!$I:$I},2,0), or(and(not(isblank($B351)),$B351=$B350,$A351&lt;&gt;$A350),and(not(isblank($A351)),$A351=$A350,$B351&lt;&gt;$B350)),"ID LISTS UNALIGNED",and($A351&lt;&gt;"",countif('5) Release_Track'!$F:$F,$A351)=0),"NO ISRC MATCH in Release_Track",and($B351&lt;&gt;"",countif('5) Release_Track'!$G:$G,$B351)=0),"NO CATALOG ID MATCH in Release_Track",iserror(vlookup($A351&amp;$B351,'5) Release_Track'!$F:$F&amp;'5) Release_Track'!$G:$G,1,0)),"NO ISRC-CATALOG ID pair MATCH in Release_Track" )</f>
        <v/>
      </c>
      <c r="E351" s="125" t="str">
        <f t="array" ref="E351">ifs(and(isblank($A351),isblank($B351)),"", not(iserror(vlookup($A351&amp;$B351,'5) Release_Track'!$F:$F&amp;'5) Release_Track'!$G:$G,1,0))),vlookup($A351&amp;$B351,{'5) Release_Track'!$F:$F&amp;'5) Release_Track'!$G:$G,'5) Release_Track'!$J:$J},2,0), or(and(not(isblank($B351)),$B351=$B350,$A351&lt;&gt;$A350),and(not(isblank($A351)),$A351=$A350,$B351&lt;&gt;$B350)),"ID LISTS UNALIGNED",and($A351&lt;&gt;"",countif('5) Release_Track'!$F:$F,$A351)=0),"NO ISRC MATCH in Release_Track",and($B351&lt;&gt;"",countif('5) Release_Track'!$G:$G,$B351)=0),"NO CATALOG ID MATCH in Release_Track",iserror(vlookup($A351&amp;$B351,'5) Release_Track'!$F:$F&amp;'5) Release_Track'!$G:$G,1,0)),"NO ISRC-CATALOG ID pair MATCH in Release_Track" )</f>
        <v/>
      </c>
      <c r="F351" s="122"/>
      <c r="G351" s="99"/>
      <c r="H351" s="178"/>
      <c r="I351" s="121" t="str">
        <f t="shared" si="6"/>
        <v/>
      </c>
      <c r="J351" s="99"/>
      <c r="K351" s="99"/>
    </row>
    <row r="352">
      <c r="B352" s="103"/>
      <c r="C352" s="121" t="str">
        <f t="array" ref="C352">ifs(and(isblank($A352),isblank($B352)),"", not(iserror(vlookup($A352&amp;$B352,'5) Release_Track'!$F:$F&amp;'5) Release_Track'!$G:$G,1,0))),vlookup($A352&amp;$B352,{'5) Release_Track'!$F:$F&amp;'5) Release_Track'!$G:$G,'5) Release_Track'!$H:$H},2,0), or(and(not(isblank($B352)),$B352=$B351,$A352&lt;&gt;$A351),and(not(isblank($A352)),$A352=$A351,$B352&lt;&gt;$B351)),"ID LISTS UNALIGNED",and($A352&lt;&gt;"",countif('5) Release_Track'!$F:$F,$A352)=0),"NO ISRC MATCH in Release_Track",and($B352&lt;&gt;"",countif('5) Release_Track'!$G:$G,$B352)=0),"NO CATALOG ID MATCH in Release_Track",iserror(vlookup($A352&amp;$B352,'5) Release_Track'!$F:$F&amp;'5) Release_Track'!$G:$G,1,0)),"NO ISRC-CATALOG ID pair MATCH in Release_Track" )</f>
        <v/>
      </c>
      <c r="D352" s="121" t="str">
        <f t="array" ref="D352">ifs(and(isblank($A352),isblank($B352)),"", not(iserror(vlookup($A352&amp;$B352,'5) Release_Track'!$F:$F&amp;'5) Release_Track'!$G:$G,1,0))),vlookup($A352&amp;$B352,{'5) Release_Track'!$F:$F&amp;'5) Release_Track'!$G:$G,'5) Release_Track'!$I:$I},2,0), or(and(not(isblank($B352)),$B352=$B351,$A352&lt;&gt;$A351),and(not(isblank($A352)),$A352=$A351,$B352&lt;&gt;$B351)),"ID LISTS UNALIGNED",and($A352&lt;&gt;"",countif('5) Release_Track'!$F:$F,$A352)=0),"NO ISRC MATCH in Release_Track",and($B352&lt;&gt;"",countif('5) Release_Track'!$G:$G,$B352)=0),"NO CATALOG ID MATCH in Release_Track",iserror(vlookup($A352&amp;$B352,'5) Release_Track'!$F:$F&amp;'5) Release_Track'!$G:$G,1,0)),"NO ISRC-CATALOG ID pair MATCH in Release_Track" )</f>
        <v/>
      </c>
      <c r="E352" s="125" t="str">
        <f t="array" ref="E352">ifs(and(isblank($A352),isblank($B352)),"", not(iserror(vlookup($A352&amp;$B352,'5) Release_Track'!$F:$F&amp;'5) Release_Track'!$G:$G,1,0))),vlookup($A352&amp;$B352,{'5) Release_Track'!$F:$F&amp;'5) Release_Track'!$G:$G,'5) Release_Track'!$J:$J},2,0), or(and(not(isblank($B352)),$B352=$B351,$A352&lt;&gt;$A351),and(not(isblank($A352)),$A352=$A351,$B352&lt;&gt;$B351)),"ID LISTS UNALIGNED",and($A352&lt;&gt;"",countif('5) Release_Track'!$F:$F,$A352)=0),"NO ISRC MATCH in Release_Track",and($B352&lt;&gt;"",countif('5) Release_Track'!$G:$G,$B352)=0),"NO CATALOG ID MATCH in Release_Track",iserror(vlookup($A352&amp;$B352,'5) Release_Track'!$F:$F&amp;'5) Release_Track'!$G:$G,1,0)),"NO ISRC-CATALOG ID pair MATCH in Release_Track" )</f>
        <v/>
      </c>
      <c r="F352" s="122"/>
      <c r="G352" s="99"/>
      <c r="H352" s="178"/>
      <c r="I352" s="121" t="str">
        <f t="shared" si="6"/>
        <v/>
      </c>
      <c r="J352" s="99"/>
      <c r="K352" s="99"/>
    </row>
    <row r="353">
      <c r="B353" s="103"/>
      <c r="C353" s="121" t="str">
        <f t="array" ref="C353">ifs(and(isblank($A353),isblank($B353)),"", not(iserror(vlookup($A353&amp;$B353,'5) Release_Track'!$F:$F&amp;'5) Release_Track'!$G:$G,1,0))),vlookup($A353&amp;$B353,{'5) Release_Track'!$F:$F&amp;'5) Release_Track'!$G:$G,'5) Release_Track'!$H:$H},2,0), or(and(not(isblank($B353)),$B353=$B352,$A353&lt;&gt;$A352),and(not(isblank($A353)),$A353=$A352,$B353&lt;&gt;$B352)),"ID LISTS UNALIGNED",and($A353&lt;&gt;"",countif('5) Release_Track'!$F:$F,$A353)=0),"NO ISRC MATCH in Release_Track",and($B353&lt;&gt;"",countif('5) Release_Track'!$G:$G,$B353)=0),"NO CATALOG ID MATCH in Release_Track",iserror(vlookup($A353&amp;$B353,'5) Release_Track'!$F:$F&amp;'5) Release_Track'!$G:$G,1,0)),"NO ISRC-CATALOG ID pair MATCH in Release_Track" )</f>
        <v/>
      </c>
      <c r="D353" s="121" t="str">
        <f t="array" ref="D353">ifs(and(isblank($A353),isblank($B353)),"", not(iserror(vlookup($A353&amp;$B353,'5) Release_Track'!$F:$F&amp;'5) Release_Track'!$G:$G,1,0))),vlookup($A353&amp;$B353,{'5) Release_Track'!$F:$F&amp;'5) Release_Track'!$G:$G,'5) Release_Track'!$I:$I},2,0), or(and(not(isblank($B353)),$B353=$B352,$A353&lt;&gt;$A352),and(not(isblank($A353)),$A353=$A352,$B353&lt;&gt;$B352)),"ID LISTS UNALIGNED",and($A353&lt;&gt;"",countif('5) Release_Track'!$F:$F,$A353)=0),"NO ISRC MATCH in Release_Track",and($B353&lt;&gt;"",countif('5) Release_Track'!$G:$G,$B353)=0),"NO CATALOG ID MATCH in Release_Track",iserror(vlookup($A353&amp;$B353,'5) Release_Track'!$F:$F&amp;'5) Release_Track'!$G:$G,1,0)),"NO ISRC-CATALOG ID pair MATCH in Release_Track" )</f>
        <v/>
      </c>
      <c r="E353" s="125" t="str">
        <f t="array" ref="E353">ifs(and(isblank($A353),isblank($B353)),"", not(iserror(vlookup($A353&amp;$B353,'5) Release_Track'!$F:$F&amp;'5) Release_Track'!$G:$G,1,0))),vlookup($A353&amp;$B353,{'5) Release_Track'!$F:$F&amp;'5) Release_Track'!$G:$G,'5) Release_Track'!$J:$J},2,0), or(and(not(isblank($B353)),$B353=$B352,$A353&lt;&gt;$A352),and(not(isblank($A353)),$A353=$A352,$B353&lt;&gt;$B352)),"ID LISTS UNALIGNED",and($A353&lt;&gt;"",countif('5) Release_Track'!$F:$F,$A353)=0),"NO ISRC MATCH in Release_Track",and($B353&lt;&gt;"",countif('5) Release_Track'!$G:$G,$B353)=0),"NO CATALOG ID MATCH in Release_Track",iserror(vlookup($A353&amp;$B353,'5) Release_Track'!$F:$F&amp;'5) Release_Track'!$G:$G,1,0)),"NO ISRC-CATALOG ID pair MATCH in Release_Track" )</f>
        <v/>
      </c>
      <c r="F353" s="122"/>
      <c r="G353" s="99"/>
      <c r="H353" s="178"/>
      <c r="I353" s="121" t="str">
        <f t="shared" si="6"/>
        <v/>
      </c>
      <c r="J353" s="99"/>
      <c r="K353" s="99"/>
    </row>
    <row r="354">
      <c r="B354" s="103"/>
      <c r="C354" s="121" t="str">
        <f t="array" ref="C354">ifs(and(isblank($A354),isblank($B354)),"", not(iserror(vlookup($A354&amp;$B354,'5) Release_Track'!$F:$F&amp;'5) Release_Track'!$G:$G,1,0))),vlookup($A354&amp;$B354,{'5) Release_Track'!$F:$F&amp;'5) Release_Track'!$G:$G,'5) Release_Track'!$H:$H},2,0), or(and(not(isblank($B354)),$B354=$B353,$A354&lt;&gt;$A353),and(not(isblank($A354)),$A354=$A353,$B354&lt;&gt;$B353)),"ID LISTS UNALIGNED",and($A354&lt;&gt;"",countif('5) Release_Track'!$F:$F,$A354)=0),"NO ISRC MATCH in Release_Track",and($B354&lt;&gt;"",countif('5) Release_Track'!$G:$G,$B354)=0),"NO CATALOG ID MATCH in Release_Track",iserror(vlookup($A354&amp;$B354,'5) Release_Track'!$F:$F&amp;'5) Release_Track'!$G:$G,1,0)),"NO ISRC-CATALOG ID pair MATCH in Release_Track" )</f>
        <v/>
      </c>
      <c r="D354" s="121" t="str">
        <f t="array" ref="D354">ifs(and(isblank($A354),isblank($B354)),"", not(iserror(vlookup($A354&amp;$B354,'5) Release_Track'!$F:$F&amp;'5) Release_Track'!$G:$G,1,0))),vlookup($A354&amp;$B354,{'5) Release_Track'!$F:$F&amp;'5) Release_Track'!$G:$G,'5) Release_Track'!$I:$I},2,0), or(and(not(isblank($B354)),$B354=$B353,$A354&lt;&gt;$A353),and(not(isblank($A354)),$A354=$A353,$B354&lt;&gt;$B353)),"ID LISTS UNALIGNED",and($A354&lt;&gt;"",countif('5) Release_Track'!$F:$F,$A354)=0),"NO ISRC MATCH in Release_Track",and($B354&lt;&gt;"",countif('5) Release_Track'!$G:$G,$B354)=0),"NO CATALOG ID MATCH in Release_Track",iserror(vlookup($A354&amp;$B354,'5) Release_Track'!$F:$F&amp;'5) Release_Track'!$G:$G,1,0)),"NO ISRC-CATALOG ID pair MATCH in Release_Track" )</f>
        <v/>
      </c>
      <c r="E354" s="125" t="str">
        <f t="array" ref="E354">ifs(and(isblank($A354),isblank($B354)),"", not(iserror(vlookup($A354&amp;$B354,'5) Release_Track'!$F:$F&amp;'5) Release_Track'!$G:$G,1,0))),vlookup($A354&amp;$B354,{'5) Release_Track'!$F:$F&amp;'5) Release_Track'!$G:$G,'5) Release_Track'!$J:$J},2,0), or(and(not(isblank($B354)),$B354=$B353,$A354&lt;&gt;$A353),and(not(isblank($A354)),$A354=$A353,$B354&lt;&gt;$B353)),"ID LISTS UNALIGNED",and($A354&lt;&gt;"",countif('5) Release_Track'!$F:$F,$A354)=0),"NO ISRC MATCH in Release_Track",and($B354&lt;&gt;"",countif('5) Release_Track'!$G:$G,$B354)=0),"NO CATALOG ID MATCH in Release_Track",iserror(vlookup($A354&amp;$B354,'5) Release_Track'!$F:$F&amp;'5) Release_Track'!$G:$G,1,0)),"NO ISRC-CATALOG ID pair MATCH in Release_Track" )</f>
        <v/>
      </c>
      <c r="F354" s="122"/>
      <c r="G354" s="99"/>
      <c r="H354" s="178"/>
      <c r="I354" s="121" t="str">
        <f t="shared" si="6"/>
        <v/>
      </c>
      <c r="J354" s="99"/>
      <c r="K354" s="99"/>
    </row>
    <row r="355">
      <c r="B355" s="103"/>
      <c r="C355" s="121" t="str">
        <f t="array" ref="C355">ifs(and(isblank($A355),isblank($B355)),"", not(iserror(vlookup($A355&amp;$B355,'5) Release_Track'!$F:$F&amp;'5) Release_Track'!$G:$G,1,0))),vlookup($A355&amp;$B355,{'5) Release_Track'!$F:$F&amp;'5) Release_Track'!$G:$G,'5) Release_Track'!$H:$H},2,0), or(and(not(isblank($B355)),$B355=$B354,$A355&lt;&gt;$A354),and(not(isblank($A355)),$A355=$A354,$B355&lt;&gt;$B354)),"ID LISTS UNALIGNED",and($A355&lt;&gt;"",countif('5) Release_Track'!$F:$F,$A355)=0),"NO ISRC MATCH in Release_Track",and($B355&lt;&gt;"",countif('5) Release_Track'!$G:$G,$B355)=0),"NO CATALOG ID MATCH in Release_Track",iserror(vlookup($A355&amp;$B355,'5) Release_Track'!$F:$F&amp;'5) Release_Track'!$G:$G,1,0)),"NO ISRC-CATALOG ID pair MATCH in Release_Track" )</f>
        <v/>
      </c>
      <c r="D355" s="121" t="str">
        <f t="array" ref="D355">ifs(and(isblank($A355),isblank($B355)),"", not(iserror(vlookup($A355&amp;$B355,'5) Release_Track'!$F:$F&amp;'5) Release_Track'!$G:$G,1,0))),vlookup($A355&amp;$B355,{'5) Release_Track'!$F:$F&amp;'5) Release_Track'!$G:$G,'5) Release_Track'!$I:$I},2,0), or(and(not(isblank($B355)),$B355=$B354,$A355&lt;&gt;$A354),and(not(isblank($A355)),$A355=$A354,$B355&lt;&gt;$B354)),"ID LISTS UNALIGNED",and($A355&lt;&gt;"",countif('5) Release_Track'!$F:$F,$A355)=0),"NO ISRC MATCH in Release_Track",and($B355&lt;&gt;"",countif('5) Release_Track'!$G:$G,$B355)=0),"NO CATALOG ID MATCH in Release_Track",iserror(vlookup($A355&amp;$B355,'5) Release_Track'!$F:$F&amp;'5) Release_Track'!$G:$G,1,0)),"NO ISRC-CATALOG ID pair MATCH in Release_Track" )</f>
        <v/>
      </c>
      <c r="E355" s="125" t="str">
        <f t="array" ref="E355">ifs(and(isblank($A355),isblank($B355)),"", not(iserror(vlookup($A355&amp;$B355,'5) Release_Track'!$F:$F&amp;'5) Release_Track'!$G:$G,1,0))),vlookup($A355&amp;$B355,{'5) Release_Track'!$F:$F&amp;'5) Release_Track'!$G:$G,'5) Release_Track'!$J:$J},2,0), or(and(not(isblank($B355)),$B355=$B354,$A355&lt;&gt;$A354),and(not(isblank($A355)),$A355=$A354,$B355&lt;&gt;$B354)),"ID LISTS UNALIGNED",and($A355&lt;&gt;"",countif('5) Release_Track'!$F:$F,$A355)=0),"NO ISRC MATCH in Release_Track",and($B355&lt;&gt;"",countif('5) Release_Track'!$G:$G,$B355)=0),"NO CATALOG ID MATCH in Release_Track",iserror(vlookup($A355&amp;$B355,'5) Release_Track'!$F:$F&amp;'5) Release_Track'!$G:$G,1,0)),"NO ISRC-CATALOG ID pair MATCH in Release_Track" )</f>
        <v/>
      </c>
      <c r="F355" s="122"/>
      <c r="G355" s="99"/>
      <c r="H355" s="178"/>
      <c r="I355" s="121" t="str">
        <f t="shared" si="6"/>
        <v/>
      </c>
      <c r="J355" s="99"/>
      <c r="K355" s="99"/>
    </row>
    <row r="356">
      <c r="B356" s="103"/>
      <c r="C356" s="121" t="str">
        <f t="array" ref="C356">ifs(and(isblank($A356),isblank($B356)),"", not(iserror(vlookup($A356&amp;$B356,'5) Release_Track'!$F:$F&amp;'5) Release_Track'!$G:$G,1,0))),vlookup($A356&amp;$B356,{'5) Release_Track'!$F:$F&amp;'5) Release_Track'!$G:$G,'5) Release_Track'!$H:$H},2,0), or(and(not(isblank($B356)),$B356=$B355,$A356&lt;&gt;$A355),and(not(isblank($A356)),$A356=$A355,$B356&lt;&gt;$B355)),"ID LISTS UNALIGNED",and($A356&lt;&gt;"",countif('5) Release_Track'!$F:$F,$A356)=0),"NO ISRC MATCH in Release_Track",and($B356&lt;&gt;"",countif('5) Release_Track'!$G:$G,$B356)=0),"NO CATALOG ID MATCH in Release_Track",iserror(vlookup($A356&amp;$B356,'5) Release_Track'!$F:$F&amp;'5) Release_Track'!$G:$G,1,0)),"NO ISRC-CATALOG ID pair MATCH in Release_Track" )</f>
        <v/>
      </c>
      <c r="D356" s="121" t="str">
        <f t="array" ref="D356">ifs(and(isblank($A356),isblank($B356)),"", not(iserror(vlookup($A356&amp;$B356,'5) Release_Track'!$F:$F&amp;'5) Release_Track'!$G:$G,1,0))),vlookup($A356&amp;$B356,{'5) Release_Track'!$F:$F&amp;'5) Release_Track'!$G:$G,'5) Release_Track'!$I:$I},2,0), or(and(not(isblank($B356)),$B356=$B355,$A356&lt;&gt;$A355),and(not(isblank($A356)),$A356=$A355,$B356&lt;&gt;$B355)),"ID LISTS UNALIGNED",and($A356&lt;&gt;"",countif('5) Release_Track'!$F:$F,$A356)=0),"NO ISRC MATCH in Release_Track",and($B356&lt;&gt;"",countif('5) Release_Track'!$G:$G,$B356)=0),"NO CATALOG ID MATCH in Release_Track",iserror(vlookup($A356&amp;$B356,'5) Release_Track'!$F:$F&amp;'5) Release_Track'!$G:$G,1,0)),"NO ISRC-CATALOG ID pair MATCH in Release_Track" )</f>
        <v/>
      </c>
      <c r="E356" s="125" t="str">
        <f t="array" ref="E356">ifs(and(isblank($A356),isblank($B356)),"", not(iserror(vlookup($A356&amp;$B356,'5) Release_Track'!$F:$F&amp;'5) Release_Track'!$G:$G,1,0))),vlookup($A356&amp;$B356,{'5) Release_Track'!$F:$F&amp;'5) Release_Track'!$G:$G,'5) Release_Track'!$J:$J},2,0), or(and(not(isblank($B356)),$B356=$B355,$A356&lt;&gt;$A355),and(not(isblank($A356)),$A356=$A355,$B356&lt;&gt;$B355)),"ID LISTS UNALIGNED",and($A356&lt;&gt;"",countif('5) Release_Track'!$F:$F,$A356)=0),"NO ISRC MATCH in Release_Track",and($B356&lt;&gt;"",countif('5) Release_Track'!$G:$G,$B356)=0),"NO CATALOG ID MATCH in Release_Track",iserror(vlookup($A356&amp;$B356,'5) Release_Track'!$F:$F&amp;'5) Release_Track'!$G:$G,1,0)),"NO ISRC-CATALOG ID pair MATCH in Release_Track" )</f>
        <v/>
      </c>
      <c r="F356" s="122"/>
      <c r="G356" s="99"/>
      <c r="H356" s="178"/>
      <c r="I356" s="121" t="str">
        <f t="shared" si="6"/>
        <v/>
      </c>
      <c r="J356" s="99"/>
      <c r="K356" s="99"/>
    </row>
    <row r="357">
      <c r="B357" s="103"/>
      <c r="C357" s="121" t="str">
        <f t="array" ref="C357">ifs(and(isblank($A357),isblank($B357)),"", not(iserror(vlookup($A357&amp;$B357,'5) Release_Track'!$F:$F&amp;'5) Release_Track'!$G:$G,1,0))),vlookup($A357&amp;$B357,{'5) Release_Track'!$F:$F&amp;'5) Release_Track'!$G:$G,'5) Release_Track'!$H:$H},2,0), or(and(not(isblank($B357)),$B357=$B356,$A357&lt;&gt;$A356),and(not(isblank($A357)),$A357=$A356,$B357&lt;&gt;$B356)),"ID LISTS UNALIGNED",and($A357&lt;&gt;"",countif('5) Release_Track'!$F:$F,$A357)=0),"NO ISRC MATCH in Release_Track",and($B357&lt;&gt;"",countif('5) Release_Track'!$G:$G,$B357)=0),"NO CATALOG ID MATCH in Release_Track",iserror(vlookup($A357&amp;$B357,'5) Release_Track'!$F:$F&amp;'5) Release_Track'!$G:$G,1,0)),"NO ISRC-CATALOG ID pair MATCH in Release_Track" )</f>
        <v/>
      </c>
      <c r="D357" s="121" t="str">
        <f t="array" ref="D357">ifs(and(isblank($A357),isblank($B357)),"", not(iserror(vlookup($A357&amp;$B357,'5) Release_Track'!$F:$F&amp;'5) Release_Track'!$G:$G,1,0))),vlookup($A357&amp;$B357,{'5) Release_Track'!$F:$F&amp;'5) Release_Track'!$G:$G,'5) Release_Track'!$I:$I},2,0), or(and(not(isblank($B357)),$B357=$B356,$A357&lt;&gt;$A356),and(not(isblank($A357)),$A357=$A356,$B357&lt;&gt;$B356)),"ID LISTS UNALIGNED",and($A357&lt;&gt;"",countif('5) Release_Track'!$F:$F,$A357)=0),"NO ISRC MATCH in Release_Track",and($B357&lt;&gt;"",countif('5) Release_Track'!$G:$G,$B357)=0),"NO CATALOG ID MATCH in Release_Track",iserror(vlookup($A357&amp;$B357,'5) Release_Track'!$F:$F&amp;'5) Release_Track'!$G:$G,1,0)),"NO ISRC-CATALOG ID pair MATCH in Release_Track" )</f>
        <v/>
      </c>
      <c r="E357" s="125" t="str">
        <f t="array" ref="E357">ifs(and(isblank($A357),isblank($B357)),"", not(iserror(vlookup($A357&amp;$B357,'5) Release_Track'!$F:$F&amp;'5) Release_Track'!$G:$G,1,0))),vlookup($A357&amp;$B357,{'5) Release_Track'!$F:$F&amp;'5) Release_Track'!$G:$G,'5) Release_Track'!$J:$J},2,0), or(and(not(isblank($B357)),$B357=$B356,$A357&lt;&gt;$A356),and(not(isblank($A357)),$A357=$A356,$B357&lt;&gt;$B356)),"ID LISTS UNALIGNED",and($A357&lt;&gt;"",countif('5) Release_Track'!$F:$F,$A357)=0),"NO ISRC MATCH in Release_Track",and($B357&lt;&gt;"",countif('5) Release_Track'!$G:$G,$B357)=0),"NO CATALOG ID MATCH in Release_Track",iserror(vlookup($A357&amp;$B357,'5) Release_Track'!$F:$F&amp;'5) Release_Track'!$G:$G,1,0)),"NO ISRC-CATALOG ID pair MATCH in Release_Track" )</f>
        <v/>
      </c>
      <c r="F357" s="122"/>
      <c r="G357" s="99"/>
      <c r="H357" s="178"/>
      <c r="I357" s="121" t="str">
        <f t="shared" si="6"/>
        <v/>
      </c>
      <c r="J357" s="99"/>
      <c r="K357" s="99"/>
    </row>
    <row r="358">
      <c r="B358" s="103"/>
      <c r="C358" s="121" t="str">
        <f t="array" ref="C358">ifs(and(isblank($A358),isblank($B358)),"", not(iserror(vlookup($A358&amp;$B358,'5) Release_Track'!$F:$F&amp;'5) Release_Track'!$G:$G,1,0))),vlookup($A358&amp;$B358,{'5) Release_Track'!$F:$F&amp;'5) Release_Track'!$G:$G,'5) Release_Track'!$H:$H},2,0), or(and(not(isblank($B358)),$B358=$B357,$A358&lt;&gt;$A357),and(not(isblank($A358)),$A358=$A357,$B358&lt;&gt;$B357)),"ID LISTS UNALIGNED",and($A358&lt;&gt;"",countif('5) Release_Track'!$F:$F,$A358)=0),"NO ISRC MATCH in Release_Track",and($B358&lt;&gt;"",countif('5) Release_Track'!$G:$G,$B358)=0),"NO CATALOG ID MATCH in Release_Track",iserror(vlookup($A358&amp;$B358,'5) Release_Track'!$F:$F&amp;'5) Release_Track'!$G:$G,1,0)),"NO ISRC-CATALOG ID pair MATCH in Release_Track" )</f>
        <v/>
      </c>
      <c r="D358" s="121" t="str">
        <f t="array" ref="D358">ifs(and(isblank($A358),isblank($B358)),"", not(iserror(vlookup($A358&amp;$B358,'5) Release_Track'!$F:$F&amp;'5) Release_Track'!$G:$G,1,0))),vlookup($A358&amp;$B358,{'5) Release_Track'!$F:$F&amp;'5) Release_Track'!$G:$G,'5) Release_Track'!$I:$I},2,0), or(and(not(isblank($B358)),$B358=$B357,$A358&lt;&gt;$A357),and(not(isblank($A358)),$A358=$A357,$B358&lt;&gt;$B357)),"ID LISTS UNALIGNED",and($A358&lt;&gt;"",countif('5) Release_Track'!$F:$F,$A358)=0),"NO ISRC MATCH in Release_Track",and($B358&lt;&gt;"",countif('5) Release_Track'!$G:$G,$B358)=0),"NO CATALOG ID MATCH in Release_Track",iserror(vlookup($A358&amp;$B358,'5) Release_Track'!$F:$F&amp;'5) Release_Track'!$G:$G,1,0)),"NO ISRC-CATALOG ID pair MATCH in Release_Track" )</f>
        <v/>
      </c>
      <c r="E358" s="125" t="str">
        <f t="array" ref="E358">ifs(and(isblank($A358),isblank($B358)),"", not(iserror(vlookup($A358&amp;$B358,'5) Release_Track'!$F:$F&amp;'5) Release_Track'!$G:$G,1,0))),vlookup($A358&amp;$B358,{'5) Release_Track'!$F:$F&amp;'5) Release_Track'!$G:$G,'5) Release_Track'!$J:$J},2,0), or(and(not(isblank($B358)),$B358=$B357,$A358&lt;&gt;$A357),and(not(isblank($A358)),$A358=$A357,$B358&lt;&gt;$B357)),"ID LISTS UNALIGNED",and($A358&lt;&gt;"",countif('5) Release_Track'!$F:$F,$A358)=0),"NO ISRC MATCH in Release_Track",and($B358&lt;&gt;"",countif('5) Release_Track'!$G:$G,$B358)=0),"NO CATALOG ID MATCH in Release_Track",iserror(vlookup($A358&amp;$B358,'5) Release_Track'!$F:$F&amp;'5) Release_Track'!$G:$G,1,0)),"NO ISRC-CATALOG ID pair MATCH in Release_Track" )</f>
        <v/>
      </c>
      <c r="F358" s="122"/>
      <c r="G358" s="99"/>
      <c r="H358" s="178"/>
      <c r="I358" s="121" t="str">
        <f t="shared" si="6"/>
        <v/>
      </c>
      <c r="J358" s="99"/>
      <c r="K358" s="99"/>
    </row>
    <row r="359">
      <c r="B359" s="103"/>
      <c r="C359" s="121" t="str">
        <f t="array" ref="C359">ifs(and(isblank($A359),isblank($B359)),"", not(iserror(vlookup($A359&amp;$B359,'5) Release_Track'!$F:$F&amp;'5) Release_Track'!$G:$G,1,0))),vlookup($A359&amp;$B359,{'5) Release_Track'!$F:$F&amp;'5) Release_Track'!$G:$G,'5) Release_Track'!$H:$H},2,0), or(and(not(isblank($B359)),$B359=$B358,$A359&lt;&gt;$A358),and(not(isblank($A359)),$A359=$A358,$B359&lt;&gt;$B358)),"ID LISTS UNALIGNED",and($A359&lt;&gt;"",countif('5) Release_Track'!$F:$F,$A359)=0),"NO ISRC MATCH in Release_Track",and($B359&lt;&gt;"",countif('5) Release_Track'!$G:$G,$B359)=0),"NO CATALOG ID MATCH in Release_Track",iserror(vlookup($A359&amp;$B359,'5) Release_Track'!$F:$F&amp;'5) Release_Track'!$G:$G,1,0)),"NO ISRC-CATALOG ID pair MATCH in Release_Track" )</f>
        <v/>
      </c>
      <c r="D359" s="121" t="str">
        <f t="array" ref="D359">ifs(and(isblank($A359),isblank($B359)),"", not(iserror(vlookup($A359&amp;$B359,'5) Release_Track'!$F:$F&amp;'5) Release_Track'!$G:$G,1,0))),vlookup($A359&amp;$B359,{'5) Release_Track'!$F:$F&amp;'5) Release_Track'!$G:$G,'5) Release_Track'!$I:$I},2,0), or(and(not(isblank($B359)),$B359=$B358,$A359&lt;&gt;$A358),and(not(isblank($A359)),$A359=$A358,$B359&lt;&gt;$B358)),"ID LISTS UNALIGNED",and($A359&lt;&gt;"",countif('5) Release_Track'!$F:$F,$A359)=0),"NO ISRC MATCH in Release_Track",and($B359&lt;&gt;"",countif('5) Release_Track'!$G:$G,$B359)=0),"NO CATALOG ID MATCH in Release_Track",iserror(vlookup($A359&amp;$B359,'5) Release_Track'!$F:$F&amp;'5) Release_Track'!$G:$G,1,0)),"NO ISRC-CATALOG ID pair MATCH in Release_Track" )</f>
        <v/>
      </c>
      <c r="E359" s="125" t="str">
        <f t="array" ref="E359">ifs(and(isblank($A359),isblank($B359)),"", not(iserror(vlookup($A359&amp;$B359,'5) Release_Track'!$F:$F&amp;'5) Release_Track'!$G:$G,1,0))),vlookup($A359&amp;$B359,{'5) Release_Track'!$F:$F&amp;'5) Release_Track'!$G:$G,'5) Release_Track'!$J:$J},2,0), or(and(not(isblank($B359)),$B359=$B358,$A359&lt;&gt;$A358),and(not(isblank($A359)),$A359=$A358,$B359&lt;&gt;$B358)),"ID LISTS UNALIGNED",and($A359&lt;&gt;"",countif('5) Release_Track'!$F:$F,$A359)=0),"NO ISRC MATCH in Release_Track",and($B359&lt;&gt;"",countif('5) Release_Track'!$G:$G,$B359)=0),"NO CATALOG ID MATCH in Release_Track",iserror(vlookup($A359&amp;$B359,'5) Release_Track'!$F:$F&amp;'5) Release_Track'!$G:$G,1,0)),"NO ISRC-CATALOG ID pair MATCH in Release_Track" )</f>
        <v/>
      </c>
      <c r="F359" s="122"/>
      <c r="G359" s="99"/>
      <c r="H359" s="178"/>
      <c r="I359" s="121" t="str">
        <f t="shared" si="6"/>
        <v/>
      </c>
      <c r="J359" s="99"/>
      <c r="K359" s="99"/>
    </row>
    <row r="360">
      <c r="B360" s="103"/>
      <c r="C360" s="121" t="str">
        <f t="array" ref="C360">ifs(and(isblank($A360),isblank($B360)),"", not(iserror(vlookup($A360&amp;$B360,'5) Release_Track'!$F:$F&amp;'5) Release_Track'!$G:$G,1,0))),vlookup($A360&amp;$B360,{'5) Release_Track'!$F:$F&amp;'5) Release_Track'!$G:$G,'5) Release_Track'!$H:$H},2,0), or(and(not(isblank($B360)),$B360=$B359,$A360&lt;&gt;$A359),and(not(isblank($A360)),$A360=$A359,$B360&lt;&gt;$B359)),"ID LISTS UNALIGNED",and($A360&lt;&gt;"",countif('5) Release_Track'!$F:$F,$A360)=0),"NO ISRC MATCH in Release_Track",and($B360&lt;&gt;"",countif('5) Release_Track'!$G:$G,$B360)=0),"NO CATALOG ID MATCH in Release_Track",iserror(vlookup($A360&amp;$B360,'5) Release_Track'!$F:$F&amp;'5) Release_Track'!$G:$G,1,0)),"NO ISRC-CATALOG ID pair MATCH in Release_Track" )</f>
        <v/>
      </c>
      <c r="D360" s="121" t="str">
        <f t="array" ref="D360">ifs(and(isblank($A360),isblank($B360)),"", not(iserror(vlookup($A360&amp;$B360,'5) Release_Track'!$F:$F&amp;'5) Release_Track'!$G:$G,1,0))),vlookup($A360&amp;$B360,{'5) Release_Track'!$F:$F&amp;'5) Release_Track'!$G:$G,'5) Release_Track'!$I:$I},2,0), or(and(not(isblank($B360)),$B360=$B359,$A360&lt;&gt;$A359),and(not(isblank($A360)),$A360=$A359,$B360&lt;&gt;$B359)),"ID LISTS UNALIGNED",and($A360&lt;&gt;"",countif('5) Release_Track'!$F:$F,$A360)=0),"NO ISRC MATCH in Release_Track",and($B360&lt;&gt;"",countif('5) Release_Track'!$G:$G,$B360)=0),"NO CATALOG ID MATCH in Release_Track",iserror(vlookup($A360&amp;$B360,'5) Release_Track'!$F:$F&amp;'5) Release_Track'!$G:$G,1,0)),"NO ISRC-CATALOG ID pair MATCH in Release_Track" )</f>
        <v/>
      </c>
      <c r="E360" s="125" t="str">
        <f t="array" ref="E360">ifs(and(isblank($A360),isblank($B360)),"", not(iserror(vlookup($A360&amp;$B360,'5) Release_Track'!$F:$F&amp;'5) Release_Track'!$G:$G,1,0))),vlookup($A360&amp;$B360,{'5) Release_Track'!$F:$F&amp;'5) Release_Track'!$G:$G,'5) Release_Track'!$J:$J},2,0), or(and(not(isblank($B360)),$B360=$B359,$A360&lt;&gt;$A359),and(not(isblank($A360)),$A360=$A359,$B360&lt;&gt;$B359)),"ID LISTS UNALIGNED",and($A360&lt;&gt;"",countif('5) Release_Track'!$F:$F,$A360)=0),"NO ISRC MATCH in Release_Track",and($B360&lt;&gt;"",countif('5) Release_Track'!$G:$G,$B360)=0),"NO CATALOG ID MATCH in Release_Track",iserror(vlookup($A360&amp;$B360,'5) Release_Track'!$F:$F&amp;'5) Release_Track'!$G:$G,1,0)),"NO ISRC-CATALOG ID pair MATCH in Release_Track" )</f>
        <v/>
      </c>
      <c r="F360" s="122"/>
      <c r="G360" s="99"/>
      <c r="H360" s="178"/>
      <c r="I360" s="121" t="str">
        <f t="shared" si="6"/>
        <v/>
      </c>
      <c r="J360" s="99"/>
      <c r="K360" s="99"/>
    </row>
    <row r="361">
      <c r="B361" s="103"/>
      <c r="C361" s="121" t="str">
        <f t="array" ref="C361">ifs(and(isblank($A361),isblank($B361)),"", not(iserror(vlookup($A361&amp;$B361,'5) Release_Track'!$F:$F&amp;'5) Release_Track'!$G:$G,1,0))),vlookup($A361&amp;$B361,{'5) Release_Track'!$F:$F&amp;'5) Release_Track'!$G:$G,'5) Release_Track'!$H:$H},2,0), or(and(not(isblank($B361)),$B361=$B360,$A361&lt;&gt;$A360),and(not(isblank($A361)),$A361=$A360,$B361&lt;&gt;$B360)),"ID LISTS UNALIGNED",and($A361&lt;&gt;"",countif('5) Release_Track'!$F:$F,$A361)=0),"NO ISRC MATCH in Release_Track",and($B361&lt;&gt;"",countif('5) Release_Track'!$G:$G,$B361)=0),"NO CATALOG ID MATCH in Release_Track",iserror(vlookup($A361&amp;$B361,'5) Release_Track'!$F:$F&amp;'5) Release_Track'!$G:$G,1,0)),"NO ISRC-CATALOG ID pair MATCH in Release_Track" )</f>
        <v/>
      </c>
      <c r="D361" s="121" t="str">
        <f t="array" ref="D361">ifs(and(isblank($A361),isblank($B361)),"", not(iserror(vlookup($A361&amp;$B361,'5) Release_Track'!$F:$F&amp;'5) Release_Track'!$G:$G,1,0))),vlookup($A361&amp;$B361,{'5) Release_Track'!$F:$F&amp;'5) Release_Track'!$G:$G,'5) Release_Track'!$I:$I},2,0), or(and(not(isblank($B361)),$B361=$B360,$A361&lt;&gt;$A360),and(not(isblank($A361)),$A361=$A360,$B361&lt;&gt;$B360)),"ID LISTS UNALIGNED",and($A361&lt;&gt;"",countif('5) Release_Track'!$F:$F,$A361)=0),"NO ISRC MATCH in Release_Track",and($B361&lt;&gt;"",countif('5) Release_Track'!$G:$G,$B361)=0),"NO CATALOG ID MATCH in Release_Track",iserror(vlookup($A361&amp;$B361,'5) Release_Track'!$F:$F&amp;'5) Release_Track'!$G:$G,1,0)),"NO ISRC-CATALOG ID pair MATCH in Release_Track" )</f>
        <v/>
      </c>
      <c r="E361" s="125" t="str">
        <f t="array" ref="E361">ifs(and(isblank($A361),isblank($B361)),"", not(iserror(vlookup($A361&amp;$B361,'5) Release_Track'!$F:$F&amp;'5) Release_Track'!$G:$G,1,0))),vlookup($A361&amp;$B361,{'5) Release_Track'!$F:$F&amp;'5) Release_Track'!$G:$G,'5) Release_Track'!$J:$J},2,0), or(and(not(isblank($B361)),$B361=$B360,$A361&lt;&gt;$A360),and(not(isblank($A361)),$A361=$A360,$B361&lt;&gt;$B360)),"ID LISTS UNALIGNED",and($A361&lt;&gt;"",countif('5) Release_Track'!$F:$F,$A361)=0),"NO ISRC MATCH in Release_Track",and($B361&lt;&gt;"",countif('5) Release_Track'!$G:$G,$B361)=0),"NO CATALOG ID MATCH in Release_Track",iserror(vlookup($A361&amp;$B361,'5) Release_Track'!$F:$F&amp;'5) Release_Track'!$G:$G,1,0)),"NO ISRC-CATALOG ID pair MATCH in Release_Track" )</f>
        <v/>
      </c>
      <c r="F361" s="122"/>
      <c r="G361" s="99"/>
      <c r="H361" s="178"/>
      <c r="I361" s="121" t="str">
        <f t="shared" si="6"/>
        <v/>
      </c>
      <c r="J361" s="99"/>
      <c r="K361" s="99"/>
    </row>
    <row r="362">
      <c r="B362" s="103"/>
      <c r="C362" s="121" t="str">
        <f t="array" ref="C362">ifs(and(isblank($A362),isblank($B362)),"", not(iserror(vlookup($A362&amp;$B362,'5) Release_Track'!$F:$F&amp;'5) Release_Track'!$G:$G,1,0))),vlookup($A362&amp;$B362,{'5) Release_Track'!$F:$F&amp;'5) Release_Track'!$G:$G,'5) Release_Track'!$H:$H},2,0), or(and(not(isblank($B362)),$B362=$B361,$A362&lt;&gt;$A361),and(not(isblank($A362)),$A362=$A361,$B362&lt;&gt;$B361)),"ID LISTS UNALIGNED",and($A362&lt;&gt;"",countif('5) Release_Track'!$F:$F,$A362)=0),"NO ISRC MATCH in Release_Track",and($B362&lt;&gt;"",countif('5) Release_Track'!$G:$G,$B362)=0),"NO CATALOG ID MATCH in Release_Track",iserror(vlookup($A362&amp;$B362,'5) Release_Track'!$F:$F&amp;'5) Release_Track'!$G:$G,1,0)),"NO ISRC-CATALOG ID pair MATCH in Release_Track" )</f>
        <v/>
      </c>
      <c r="D362" s="121" t="str">
        <f t="array" ref="D362">ifs(and(isblank($A362),isblank($B362)),"", not(iserror(vlookup($A362&amp;$B362,'5) Release_Track'!$F:$F&amp;'5) Release_Track'!$G:$G,1,0))),vlookup($A362&amp;$B362,{'5) Release_Track'!$F:$F&amp;'5) Release_Track'!$G:$G,'5) Release_Track'!$I:$I},2,0), or(and(not(isblank($B362)),$B362=$B361,$A362&lt;&gt;$A361),and(not(isblank($A362)),$A362=$A361,$B362&lt;&gt;$B361)),"ID LISTS UNALIGNED",and($A362&lt;&gt;"",countif('5) Release_Track'!$F:$F,$A362)=0),"NO ISRC MATCH in Release_Track",and($B362&lt;&gt;"",countif('5) Release_Track'!$G:$G,$B362)=0),"NO CATALOG ID MATCH in Release_Track",iserror(vlookup($A362&amp;$B362,'5) Release_Track'!$F:$F&amp;'5) Release_Track'!$G:$G,1,0)),"NO ISRC-CATALOG ID pair MATCH in Release_Track" )</f>
        <v/>
      </c>
      <c r="E362" s="125" t="str">
        <f t="array" ref="E362">ifs(and(isblank($A362),isblank($B362)),"", not(iserror(vlookup($A362&amp;$B362,'5) Release_Track'!$F:$F&amp;'5) Release_Track'!$G:$G,1,0))),vlookup($A362&amp;$B362,{'5) Release_Track'!$F:$F&amp;'5) Release_Track'!$G:$G,'5) Release_Track'!$J:$J},2,0), or(and(not(isblank($B362)),$B362=$B361,$A362&lt;&gt;$A361),and(not(isblank($A362)),$A362=$A361,$B362&lt;&gt;$B361)),"ID LISTS UNALIGNED",and($A362&lt;&gt;"",countif('5) Release_Track'!$F:$F,$A362)=0),"NO ISRC MATCH in Release_Track",and($B362&lt;&gt;"",countif('5) Release_Track'!$G:$G,$B362)=0),"NO CATALOG ID MATCH in Release_Track",iserror(vlookup($A362&amp;$B362,'5) Release_Track'!$F:$F&amp;'5) Release_Track'!$G:$G,1,0)),"NO ISRC-CATALOG ID pair MATCH in Release_Track" )</f>
        <v/>
      </c>
      <c r="F362" s="122"/>
      <c r="G362" s="99"/>
      <c r="H362" s="178"/>
      <c r="I362" s="121" t="str">
        <f t="shared" si="6"/>
        <v/>
      </c>
      <c r="J362" s="99"/>
      <c r="K362" s="99"/>
    </row>
    <row r="363">
      <c r="B363" s="103"/>
      <c r="C363" s="121" t="str">
        <f t="array" ref="C363">ifs(and(isblank($A363),isblank($B363)),"", not(iserror(vlookup($A363&amp;$B363,'5) Release_Track'!$F:$F&amp;'5) Release_Track'!$G:$G,1,0))),vlookup($A363&amp;$B363,{'5) Release_Track'!$F:$F&amp;'5) Release_Track'!$G:$G,'5) Release_Track'!$H:$H},2,0), or(and(not(isblank($B363)),$B363=$B362,$A363&lt;&gt;$A362),and(not(isblank($A363)),$A363=$A362,$B363&lt;&gt;$B362)),"ID LISTS UNALIGNED",and($A363&lt;&gt;"",countif('5) Release_Track'!$F:$F,$A363)=0),"NO ISRC MATCH in Release_Track",and($B363&lt;&gt;"",countif('5) Release_Track'!$G:$G,$B363)=0),"NO CATALOG ID MATCH in Release_Track",iserror(vlookup($A363&amp;$B363,'5) Release_Track'!$F:$F&amp;'5) Release_Track'!$G:$G,1,0)),"NO ISRC-CATALOG ID pair MATCH in Release_Track" )</f>
        <v/>
      </c>
      <c r="D363" s="121" t="str">
        <f t="array" ref="D363">ifs(and(isblank($A363),isblank($B363)),"", not(iserror(vlookup($A363&amp;$B363,'5) Release_Track'!$F:$F&amp;'5) Release_Track'!$G:$G,1,0))),vlookup($A363&amp;$B363,{'5) Release_Track'!$F:$F&amp;'5) Release_Track'!$G:$G,'5) Release_Track'!$I:$I},2,0), or(and(not(isblank($B363)),$B363=$B362,$A363&lt;&gt;$A362),and(not(isblank($A363)),$A363=$A362,$B363&lt;&gt;$B362)),"ID LISTS UNALIGNED",and($A363&lt;&gt;"",countif('5) Release_Track'!$F:$F,$A363)=0),"NO ISRC MATCH in Release_Track",and($B363&lt;&gt;"",countif('5) Release_Track'!$G:$G,$B363)=0),"NO CATALOG ID MATCH in Release_Track",iserror(vlookup($A363&amp;$B363,'5) Release_Track'!$F:$F&amp;'5) Release_Track'!$G:$G,1,0)),"NO ISRC-CATALOG ID pair MATCH in Release_Track" )</f>
        <v/>
      </c>
      <c r="E363" s="125" t="str">
        <f t="array" ref="E363">ifs(and(isblank($A363),isblank($B363)),"", not(iserror(vlookup($A363&amp;$B363,'5) Release_Track'!$F:$F&amp;'5) Release_Track'!$G:$G,1,0))),vlookup($A363&amp;$B363,{'5) Release_Track'!$F:$F&amp;'5) Release_Track'!$G:$G,'5) Release_Track'!$J:$J},2,0), or(and(not(isblank($B363)),$B363=$B362,$A363&lt;&gt;$A362),and(not(isblank($A363)),$A363=$A362,$B363&lt;&gt;$B362)),"ID LISTS UNALIGNED",and($A363&lt;&gt;"",countif('5) Release_Track'!$F:$F,$A363)=0),"NO ISRC MATCH in Release_Track",and($B363&lt;&gt;"",countif('5) Release_Track'!$G:$G,$B363)=0),"NO CATALOG ID MATCH in Release_Track",iserror(vlookup($A363&amp;$B363,'5) Release_Track'!$F:$F&amp;'5) Release_Track'!$G:$G,1,0)),"NO ISRC-CATALOG ID pair MATCH in Release_Track" )</f>
        <v/>
      </c>
      <c r="F363" s="122"/>
      <c r="G363" s="99"/>
      <c r="H363" s="178"/>
      <c r="I363" s="121" t="str">
        <f t="shared" si="6"/>
        <v/>
      </c>
      <c r="J363" s="99"/>
      <c r="K363" s="99"/>
    </row>
    <row r="364">
      <c r="B364" s="103"/>
      <c r="C364" s="121" t="str">
        <f t="array" ref="C364">ifs(and(isblank($A364),isblank($B364)),"", not(iserror(vlookup($A364&amp;$B364,'5) Release_Track'!$F:$F&amp;'5) Release_Track'!$G:$G,1,0))),vlookup($A364&amp;$B364,{'5) Release_Track'!$F:$F&amp;'5) Release_Track'!$G:$G,'5) Release_Track'!$H:$H},2,0), or(and(not(isblank($B364)),$B364=$B363,$A364&lt;&gt;$A363),and(not(isblank($A364)),$A364=$A363,$B364&lt;&gt;$B363)),"ID LISTS UNALIGNED",and($A364&lt;&gt;"",countif('5) Release_Track'!$F:$F,$A364)=0),"NO ISRC MATCH in Release_Track",and($B364&lt;&gt;"",countif('5) Release_Track'!$G:$G,$B364)=0),"NO CATALOG ID MATCH in Release_Track",iserror(vlookup($A364&amp;$B364,'5) Release_Track'!$F:$F&amp;'5) Release_Track'!$G:$G,1,0)),"NO ISRC-CATALOG ID pair MATCH in Release_Track" )</f>
        <v/>
      </c>
      <c r="D364" s="121" t="str">
        <f t="array" ref="D364">ifs(and(isblank($A364),isblank($B364)),"", not(iserror(vlookup($A364&amp;$B364,'5) Release_Track'!$F:$F&amp;'5) Release_Track'!$G:$G,1,0))),vlookup($A364&amp;$B364,{'5) Release_Track'!$F:$F&amp;'5) Release_Track'!$G:$G,'5) Release_Track'!$I:$I},2,0), or(and(not(isblank($B364)),$B364=$B363,$A364&lt;&gt;$A363),and(not(isblank($A364)),$A364=$A363,$B364&lt;&gt;$B363)),"ID LISTS UNALIGNED",and($A364&lt;&gt;"",countif('5) Release_Track'!$F:$F,$A364)=0),"NO ISRC MATCH in Release_Track",and($B364&lt;&gt;"",countif('5) Release_Track'!$G:$G,$B364)=0),"NO CATALOG ID MATCH in Release_Track",iserror(vlookup($A364&amp;$B364,'5) Release_Track'!$F:$F&amp;'5) Release_Track'!$G:$G,1,0)),"NO ISRC-CATALOG ID pair MATCH in Release_Track" )</f>
        <v/>
      </c>
      <c r="E364" s="125" t="str">
        <f t="array" ref="E364">ifs(and(isblank($A364),isblank($B364)),"", not(iserror(vlookup($A364&amp;$B364,'5) Release_Track'!$F:$F&amp;'5) Release_Track'!$G:$G,1,0))),vlookup($A364&amp;$B364,{'5) Release_Track'!$F:$F&amp;'5) Release_Track'!$G:$G,'5) Release_Track'!$J:$J},2,0), or(and(not(isblank($B364)),$B364=$B363,$A364&lt;&gt;$A363),and(not(isblank($A364)),$A364=$A363,$B364&lt;&gt;$B363)),"ID LISTS UNALIGNED",and($A364&lt;&gt;"",countif('5) Release_Track'!$F:$F,$A364)=0),"NO ISRC MATCH in Release_Track",and($B364&lt;&gt;"",countif('5) Release_Track'!$G:$G,$B364)=0),"NO CATALOG ID MATCH in Release_Track",iserror(vlookup($A364&amp;$B364,'5) Release_Track'!$F:$F&amp;'5) Release_Track'!$G:$G,1,0)),"NO ISRC-CATALOG ID pair MATCH in Release_Track" )</f>
        <v/>
      </c>
      <c r="F364" s="122"/>
      <c r="G364" s="99"/>
      <c r="H364" s="178"/>
      <c r="I364" s="121" t="str">
        <f t="shared" si="6"/>
        <v/>
      </c>
      <c r="J364" s="99"/>
      <c r="K364" s="99"/>
    </row>
    <row r="365">
      <c r="B365" s="103"/>
      <c r="C365" s="121" t="str">
        <f t="array" ref="C365">ifs(and(isblank($A365),isblank($B365)),"", not(iserror(vlookup($A365&amp;$B365,'5) Release_Track'!$F:$F&amp;'5) Release_Track'!$G:$G,1,0))),vlookup($A365&amp;$B365,{'5) Release_Track'!$F:$F&amp;'5) Release_Track'!$G:$G,'5) Release_Track'!$H:$H},2,0), or(and(not(isblank($B365)),$B365=$B364,$A365&lt;&gt;$A364),and(not(isblank($A365)),$A365=$A364,$B365&lt;&gt;$B364)),"ID LISTS UNALIGNED",and($A365&lt;&gt;"",countif('5) Release_Track'!$F:$F,$A365)=0),"NO ISRC MATCH in Release_Track",and($B365&lt;&gt;"",countif('5) Release_Track'!$G:$G,$B365)=0),"NO CATALOG ID MATCH in Release_Track",iserror(vlookup($A365&amp;$B365,'5) Release_Track'!$F:$F&amp;'5) Release_Track'!$G:$G,1,0)),"NO ISRC-CATALOG ID pair MATCH in Release_Track" )</f>
        <v/>
      </c>
      <c r="D365" s="121" t="str">
        <f t="array" ref="D365">ifs(and(isblank($A365),isblank($B365)),"", not(iserror(vlookup($A365&amp;$B365,'5) Release_Track'!$F:$F&amp;'5) Release_Track'!$G:$G,1,0))),vlookup($A365&amp;$B365,{'5) Release_Track'!$F:$F&amp;'5) Release_Track'!$G:$G,'5) Release_Track'!$I:$I},2,0), or(and(not(isblank($B365)),$B365=$B364,$A365&lt;&gt;$A364),and(not(isblank($A365)),$A365=$A364,$B365&lt;&gt;$B364)),"ID LISTS UNALIGNED",and($A365&lt;&gt;"",countif('5) Release_Track'!$F:$F,$A365)=0),"NO ISRC MATCH in Release_Track",and($B365&lt;&gt;"",countif('5) Release_Track'!$G:$G,$B365)=0),"NO CATALOG ID MATCH in Release_Track",iserror(vlookup($A365&amp;$B365,'5) Release_Track'!$F:$F&amp;'5) Release_Track'!$G:$G,1,0)),"NO ISRC-CATALOG ID pair MATCH in Release_Track" )</f>
        <v/>
      </c>
      <c r="E365" s="125" t="str">
        <f t="array" ref="E365">ifs(and(isblank($A365),isblank($B365)),"", not(iserror(vlookup($A365&amp;$B365,'5) Release_Track'!$F:$F&amp;'5) Release_Track'!$G:$G,1,0))),vlookup($A365&amp;$B365,{'5) Release_Track'!$F:$F&amp;'5) Release_Track'!$G:$G,'5) Release_Track'!$J:$J},2,0), or(and(not(isblank($B365)),$B365=$B364,$A365&lt;&gt;$A364),and(not(isblank($A365)),$A365=$A364,$B365&lt;&gt;$B364)),"ID LISTS UNALIGNED",and($A365&lt;&gt;"",countif('5) Release_Track'!$F:$F,$A365)=0),"NO ISRC MATCH in Release_Track",and($B365&lt;&gt;"",countif('5) Release_Track'!$G:$G,$B365)=0),"NO CATALOG ID MATCH in Release_Track",iserror(vlookup($A365&amp;$B365,'5) Release_Track'!$F:$F&amp;'5) Release_Track'!$G:$G,1,0)),"NO ISRC-CATALOG ID pair MATCH in Release_Track" )</f>
        <v/>
      </c>
      <c r="F365" s="122"/>
      <c r="G365" s="99"/>
      <c r="H365" s="178"/>
      <c r="I365" s="121" t="str">
        <f t="shared" si="6"/>
        <v/>
      </c>
      <c r="J365" s="99"/>
      <c r="K365" s="99"/>
    </row>
    <row r="366">
      <c r="B366" s="103"/>
      <c r="C366" s="121" t="str">
        <f t="array" ref="C366">ifs(and(isblank($A366),isblank($B366)),"", not(iserror(vlookup($A366&amp;$B366,'5) Release_Track'!$F:$F&amp;'5) Release_Track'!$G:$G,1,0))),vlookup($A366&amp;$B366,{'5) Release_Track'!$F:$F&amp;'5) Release_Track'!$G:$G,'5) Release_Track'!$H:$H},2,0), or(and(not(isblank($B366)),$B366=$B365,$A366&lt;&gt;$A365),and(not(isblank($A366)),$A366=$A365,$B366&lt;&gt;$B365)),"ID LISTS UNALIGNED",and($A366&lt;&gt;"",countif('5) Release_Track'!$F:$F,$A366)=0),"NO ISRC MATCH in Release_Track",and($B366&lt;&gt;"",countif('5) Release_Track'!$G:$G,$B366)=0),"NO CATALOG ID MATCH in Release_Track",iserror(vlookup($A366&amp;$B366,'5) Release_Track'!$F:$F&amp;'5) Release_Track'!$G:$G,1,0)),"NO ISRC-CATALOG ID pair MATCH in Release_Track" )</f>
        <v/>
      </c>
      <c r="D366" s="121" t="str">
        <f t="array" ref="D366">ifs(and(isblank($A366),isblank($B366)),"", not(iserror(vlookup($A366&amp;$B366,'5) Release_Track'!$F:$F&amp;'5) Release_Track'!$G:$G,1,0))),vlookup($A366&amp;$B366,{'5) Release_Track'!$F:$F&amp;'5) Release_Track'!$G:$G,'5) Release_Track'!$I:$I},2,0), or(and(not(isblank($B366)),$B366=$B365,$A366&lt;&gt;$A365),and(not(isblank($A366)),$A366=$A365,$B366&lt;&gt;$B365)),"ID LISTS UNALIGNED",and($A366&lt;&gt;"",countif('5) Release_Track'!$F:$F,$A366)=0),"NO ISRC MATCH in Release_Track",and($B366&lt;&gt;"",countif('5) Release_Track'!$G:$G,$B366)=0),"NO CATALOG ID MATCH in Release_Track",iserror(vlookup($A366&amp;$B366,'5) Release_Track'!$F:$F&amp;'5) Release_Track'!$G:$G,1,0)),"NO ISRC-CATALOG ID pair MATCH in Release_Track" )</f>
        <v/>
      </c>
      <c r="E366" s="125" t="str">
        <f t="array" ref="E366">ifs(and(isblank($A366),isblank($B366)),"", not(iserror(vlookup($A366&amp;$B366,'5) Release_Track'!$F:$F&amp;'5) Release_Track'!$G:$G,1,0))),vlookup($A366&amp;$B366,{'5) Release_Track'!$F:$F&amp;'5) Release_Track'!$G:$G,'5) Release_Track'!$J:$J},2,0), or(and(not(isblank($B366)),$B366=$B365,$A366&lt;&gt;$A365),and(not(isblank($A366)),$A366=$A365,$B366&lt;&gt;$B365)),"ID LISTS UNALIGNED",and($A366&lt;&gt;"",countif('5) Release_Track'!$F:$F,$A366)=0),"NO ISRC MATCH in Release_Track",and($B366&lt;&gt;"",countif('5) Release_Track'!$G:$G,$B366)=0),"NO CATALOG ID MATCH in Release_Track",iserror(vlookup($A366&amp;$B366,'5) Release_Track'!$F:$F&amp;'5) Release_Track'!$G:$G,1,0)),"NO ISRC-CATALOG ID pair MATCH in Release_Track" )</f>
        <v/>
      </c>
      <c r="F366" s="122"/>
      <c r="G366" s="99"/>
      <c r="H366" s="178"/>
      <c r="I366" s="121" t="str">
        <f t="shared" si="6"/>
        <v/>
      </c>
      <c r="J366" s="99"/>
      <c r="K366" s="99"/>
    </row>
    <row r="367">
      <c r="B367" s="103"/>
      <c r="C367" s="121" t="str">
        <f t="array" ref="C367">ifs(and(isblank($A367),isblank($B367)),"", not(iserror(vlookup($A367&amp;$B367,'5) Release_Track'!$F:$F&amp;'5) Release_Track'!$G:$G,1,0))),vlookup($A367&amp;$B367,{'5) Release_Track'!$F:$F&amp;'5) Release_Track'!$G:$G,'5) Release_Track'!$H:$H},2,0), or(and(not(isblank($B367)),$B367=$B366,$A367&lt;&gt;$A366),and(not(isblank($A367)),$A367=$A366,$B367&lt;&gt;$B366)),"ID LISTS UNALIGNED",and($A367&lt;&gt;"",countif('5) Release_Track'!$F:$F,$A367)=0),"NO ISRC MATCH in Release_Track",and($B367&lt;&gt;"",countif('5) Release_Track'!$G:$G,$B367)=0),"NO CATALOG ID MATCH in Release_Track",iserror(vlookup($A367&amp;$B367,'5) Release_Track'!$F:$F&amp;'5) Release_Track'!$G:$G,1,0)),"NO ISRC-CATALOG ID pair MATCH in Release_Track" )</f>
        <v/>
      </c>
      <c r="D367" s="121" t="str">
        <f t="array" ref="D367">ifs(and(isblank($A367),isblank($B367)),"", not(iserror(vlookup($A367&amp;$B367,'5) Release_Track'!$F:$F&amp;'5) Release_Track'!$G:$G,1,0))),vlookup($A367&amp;$B367,{'5) Release_Track'!$F:$F&amp;'5) Release_Track'!$G:$G,'5) Release_Track'!$I:$I},2,0), or(and(not(isblank($B367)),$B367=$B366,$A367&lt;&gt;$A366),and(not(isblank($A367)),$A367=$A366,$B367&lt;&gt;$B366)),"ID LISTS UNALIGNED",and($A367&lt;&gt;"",countif('5) Release_Track'!$F:$F,$A367)=0),"NO ISRC MATCH in Release_Track",and($B367&lt;&gt;"",countif('5) Release_Track'!$G:$G,$B367)=0),"NO CATALOG ID MATCH in Release_Track",iserror(vlookup($A367&amp;$B367,'5) Release_Track'!$F:$F&amp;'5) Release_Track'!$G:$G,1,0)),"NO ISRC-CATALOG ID pair MATCH in Release_Track" )</f>
        <v/>
      </c>
      <c r="E367" s="125" t="str">
        <f t="array" ref="E367">ifs(and(isblank($A367),isblank($B367)),"", not(iserror(vlookup($A367&amp;$B367,'5) Release_Track'!$F:$F&amp;'5) Release_Track'!$G:$G,1,0))),vlookup($A367&amp;$B367,{'5) Release_Track'!$F:$F&amp;'5) Release_Track'!$G:$G,'5) Release_Track'!$J:$J},2,0), or(and(not(isblank($B367)),$B367=$B366,$A367&lt;&gt;$A366),and(not(isblank($A367)),$A367=$A366,$B367&lt;&gt;$B366)),"ID LISTS UNALIGNED",and($A367&lt;&gt;"",countif('5) Release_Track'!$F:$F,$A367)=0),"NO ISRC MATCH in Release_Track",and($B367&lt;&gt;"",countif('5) Release_Track'!$G:$G,$B367)=0),"NO CATALOG ID MATCH in Release_Track",iserror(vlookup($A367&amp;$B367,'5) Release_Track'!$F:$F&amp;'5) Release_Track'!$G:$G,1,0)),"NO ISRC-CATALOG ID pair MATCH in Release_Track" )</f>
        <v/>
      </c>
      <c r="F367" s="122"/>
      <c r="G367" s="99"/>
      <c r="H367" s="178"/>
      <c r="I367" s="121" t="str">
        <f t="shared" si="6"/>
        <v/>
      </c>
      <c r="J367" s="99"/>
      <c r="K367" s="99"/>
    </row>
    <row r="368">
      <c r="B368" s="103"/>
      <c r="C368" s="121" t="str">
        <f t="array" ref="C368">ifs(and(isblank($A368),isblank($B368)),"", not(iserror(vlookup($A368&amp;$B368,'5) Release_Track'!$F:$F&amp;'5) Release_Track'!$G:$G,1,0))),vlookup($A368&amp;$B368,{'5) Release_Track'!$F:$F&amp;'5) Release_Track'!$G:$G,'5) Release_Track'!$H:$H},2,0), or(and(not(isblank($B368)),$B368=$B367,$A368&lt;&gt;$A367),and(not(isblank($A368)),$A368=$A367,$B368&lt;&gt;$B367)),"ID LISTS UNALIGNED",and($A368&lt;&gt;"",countif('5) Release_Track'!$F:$F,$A368)=0),"NO ISRC MATCH in Release_Track",and($B368&lt;&gt;"",countif('5) Release_Track'!$G:$G,$B368)=0),"NO CATALOG ID MATCH in Release_Track",iserror(vlookup($A368&amp;$B368,'5) Release_Track'!$F:$F&amp;'5) Release_Track'!$G:$G,1,0)),"NO ISRC-CATALOG ID pair MATCH in Release_Track" )</f>
        <v/>
      </c>
      <c r="D368" s="121" t="str">
        <f t="array" ref="D368">ifs(and(isblank($A368),isblank($B368)),"", not(iserror(vlookup($A368&amp;$B368,'5) Release_Track'!$F:$F&amp;'5) Release_Track'!$G:$G,1,0))),vlookup($A368&amp;$B368,{'5) Release_Track'!$F:$F&amp;'5) Release_Track'!$G:$G,'5) Release_Track'!$I:$I},2,0), or(and(not(isblank($B368)),$B368=$B367,$A368&lt;&gt;$A367),and(not(isblank($A368)),$A368=$A367,$B368&lt;&gt;$B367)),"ID LISTS UNALIGNED",and($A368&lt;&gt;"",countif('5) Release_Track'!$F:$F,$A368)=0),"NO ISRC MATCH in Release_Track",and($B368&lt;&gt;"",countif('5) Release_Track'!$G:$G,$B368)=0),"NO CATALOG ID MATCH in Release_Track",iserror(vlookup($A368&amp;$B368,'5) Release_Track'!$F:$F&amp;'5) Release_Track'!$G:$G,1,0)),"NO ISRC-CATALOG ID pair MATCH in Release_Track" )</f>
        <v/>
      </c>
      <c r="E368" s="125" t="str">
        <f t="array" ref="E368">ifs(and(isblank($A368),isblank($B368)),"", not(iserror(vlookup($A368&amp;$B368,'5) Release_Track'!$F:$F&amp;'5) Release_Track'!$G:$G,1,0))),vlookup($A368&amp;$B368,{'5) Release_Track'!$F:$F&amp;'5) Release_Track'!$G:$G,'5) Release_Track'!$J:$J},2,0), or(and(not(isblank($B368)),$B368=$B367,$A368&lt;&gt;$A367),and(not(isblank($A368)),$A368=$A367,$B368&lt;&gt;$B367)),"ID LISTS UNALIGNED",and($A368&lt;&gt;"",countif('5) Release_Track'!$F:$F,$A368)=0),"NO ISRC MATCH in Release_Track",and($B368&lt;&gt;"",countif('5) Release_Track'!$G:$G,$B368)=0),"NO CATALOG ID MATCH in Release_Track",iserror(vlookup($A368&amp;$B368,'5) Release_Track'!$F:$F&amp;'5) Release_Track'!$G:$G,1,0)),"NO ISRC-CATALOG ID pair MATCH in Release_Track" )</f>
        <v/>
      </c>
      <c r="F368" s="122"/>
      <c r="G368" s="99"/>
      <c r="H368" s="178"/>
      <c r="I368" s="121" t="str">
        <f t="shared" si="6"/>
        <v/>
      </c>
      <c r="J368" s="99"/>
      <c r="K368" s="99"/>
    </row>
    <row r="369">
      <c r="B369" s="103"/>
      <c r="C369" s="121" t="str">
        <f t="array" ref="C369">ifs(and(isblank($A369),isblank($B369)),"", not(iserror(vlookup($A369&amp;$B369,'5) Release_Track'!$F:$F&amp;'5) Release_Track'!$G:$G,1,0))),vlookup($A369&amp;$B369,{'5) Release_Track'!$F:$F&amp;'5) Release_Track'!$G:$G,'5) Release_Track'!$H:$H},2,0), or(and(not(isblank($B369)),$B369=$B368,$A369&lt;&gt;$A368),and(not(isblank($A369)),$A369=$A368,$B369&lt;&gt;$B368)),"ID LISTS UNALIGNED",and($A369&lt;&gt;"",countif('5) Release_Track'!$F:$F,$A369)=0),"NO ISRC MATCH in Release_Track",and($B369&lt;&gt;"",countif('5) Release_Track'!$G:$G,$B369)=0),"NO CATALOG ID MATCH in Release_Track",iserror(vlookup($A369&amp;$B369,'5) Release_Track'!$F:$F&amp;'5) Release_Track'!$G:$G,1,0)),"NO ISRC-CATALOG ID pair MATCH in Release_Track" )</f>
        <v/>
      </c>
      <c r="D369" s="121" t="str">
        <f t="array" ref="D369">ifs(and(isblank($A369),isblank($B369)),"", not(iserror(vlookup($A369&amp;$B369,'5) Release_Track'!$F:$F&amp;'5) Release_Track'!$G:$G,1,0))),vlookup($A369&amp;$B369,{'5) Release_Track'!$F:$F&amp;'5) Release_Track'!$G:$G,'5) Release_Track'!$I:$I},2,0), or(and(not(isblank($B369)),$B369=$B368,$A369&lt;&gt;$A368),and(not(isblank($A369)),$A369=$A368,$B369&lt;&gt;$B368)),"ID LISTS UNALIGNED",and($A369&lt;&gt;"",countif('5) Release_Track'!$F:$F,$A369)=0),"NO ISRC MATCH in Release_Track",and($B369&lt;&gt;"",countif('5) Release_Track'!$G:$G,$B369)=0),"NO CATALOG ID MATCH in Release_Track",iserror(vlookup($A369&amp;$B369,'5) Release_Track'!$F:$F&amp;'5) Release_Track'!$G:$G,1,0)),"NO ISRC-CATALOG ID pair MATCH in Release_Track" )</f>
        <v/>
      </c>
      <c r="E369" s="125" t="str">
        <f t="array" ref="E369">ifs(and(isblank($A369),isblank($B369)),"", not(iserror(vlookup($A369&amp;$B369,'5) Release_Track'!$F:$F&amp;'5) Release_Track'!$G:$G,1,0))),vlookup($A369&amp;$B369,{'5) Release_Track'!$F:$F&amp;'5) Release_Track'!$G:$G,'5) Release_Track'!$J:$J},2,0), or(and(not(isblank($B369)),$B369=$B368,$A369&lt;&gt;$A368),and(not(isblank($A369)),$A369=$A368,$B369&lt;&gt;$B368)),"ID LISTS UNALIGNED",and($A369&lt;&gt;"",countif('5) Release_Track'!$F:$F,$A369)=0),"NO ISRC MATCH in Release_Track",and($B369&lt;&gt;"",countif('5) Release_Track'!$G:$G,$B369)=0),"NO CATALOG ID MATCH in Release_Track",iserror(vlookup($A369&amp;$B369,'5) Release_Track'!$F:$F&amp;'5) Release_Track'!$G:$G,1,0)),"NO ISRC-CATALOG ID pair MATCH in Release_Track" )</f>
        <v/>
      </c>
      <c r="F369" s="122"/>
      <c r="G369" s="99"/>
      <c r="H369" s="178"/>
      <c r="I369" s="121" t="str">
        <f t="shared" si="6"/>
        <v/>
      </c>
      <c r="J369" s="99"/>
      <c r="K369" s="99"/>
    </row>
    <row r="370">
      <c r="B370" s="103"/>
      <c r="C370" s="121" t="str">
        <f t="array" ref="C370">ifs(and(isblank($A370),isblank($B370)),"", not(iserror(vlookup($A370&amp;$B370,'5) Release_Track'!$F:$F&amp;'5) Release_Track'!$G:$G,1,0))),vlookup($A370&amp;$B370,{'5) Release_Track'!$F:$F&amp;'5) Release_Track'!$G:$G,'5) Release_Track'!$H:$H},2,0), or(and(not(isblank($B370)),$B370=$B369,$A370&lt;&gt;$A369),and(not(isblank($A370)),$A370=$A369,$B370&lt;&gt;$B369)),"ID LISTS UNALIGNED",and($A370&lt;&gt;"",countif('5) Release_Track'!$F:$F,$A370)=0),"NO ISRC MATCH in Release_Track",and($B370&lt;&gt;"",countif('5) Release_Track'!$G:$G,$B370)=0),"NO CATALOG ID MATCH in Release_Track",iserror(vlookup($A370&amp;$B370,'5) Release_Track'!$F:$F&amp;'5) Release_Track'!$G:$G,1,0)),"NO ISRC-CATALOG ID pair MATCH in Release_Track" )</f>
        <v/>
      </c>
      <c r="D370" s="121" t="str">
        <f t="array" ref="D370">ifs(and(isblank($A370),isblank($B370)),"", not(iserror(vlookup($A370&amp;$B370,'5) Release_Track'!$F:$F&amp;'5) Release_Track'!$G:$G,1,0))),vlookup($A370&amp;$B370,{'5) Release_Track'!$F:$F&amp;'5) Release_Track'!$G:$G,'5) Release_Track'!$I:$I},2,0), or(and(not(isblank($B370)),$B370=$B369,$A370&lt;&gt;$A369),and(not(isblank($A370)),$A370=$A369,$B370&lt;&gt;$B369)),"ID LISTS UNALIGNED",and($A370&lt;&gt;"",countif('5) Release_Track'!$F:$F,$A370)=0),"NO ISRC MATCH in Release_Track",and($B370&lt;&gt;"",countif('5) Release_Track'!$G:$G,$B370)=0),"NO CATALOG ID MATCH in Release_Track",iserror(vlookup($A370&amp;$B370,'5) Release_Track'!$F:$F&amp;'5) Release_Track'!$G:$G,1,0)),"NO ISRC-CATALOG ID pair MATCH in Release_Track" )</f>
        <v/>
      </c>
      <c r="E370" s="125" t="str">
        <f t="array" ref="E370">ifs(and(isblank($A370),isblank($B370)),"", not(iserror(vlookup($A370&amp;$B370,'5) Release_Track'!$F:$F&amp;'5) Release_Track'!$G:$G,1,0))),vlookup($A370&amp;$B370,{'5) Release_Track'!$F:$F&amp;'5) Release_Track'!$G:$G,'5) Release_Track'!$J:$J},2,0), or(and(not(isblank($B370)),$B370=$B369,$A370&lt;&gt;$A369),and(not(isblank($A370)),$A370=$A369,$B370&lt;&gt;$B369)),"ID LISTS UNALIGNED",and($A370&lt;&gt;"",countif('5) Release_Track'!$F:$F,$A370)=0),"NO ISRC MATCH in Release_Track",and($B370&lt;&gt;"",countif('5) Release_Track'!$G:$G,$B370)=0),"NO CATALOG ID MATCH in Release_Track",iserror(vlookup($A370&amp;$B370,'5) Release_Track'!$F:$F&amp;'5) Release_Track'!$G:$G,1,0)),"NO ISRC-CATALOG ID pair MATCH in Release_Track" )</f>
        <v/>
      </c>
      <c r="F370" s="122"/>
      <c r="G370" s="99"/>
      <c r="H370" s="178"/>
      <c r="I370" s="121" t="str">
        <f t="shared" si="6"/>
        <v/>
      </c>
      <c r="J370" s="99"/>
      <c r="K370" s="99"/>
    </row>
    <row r="371">
      <c r="B371" s="103"/>
      <c r="C371" s="121" t="str">
        <f t="array" ref="C371">ifs(and(isblank($A371),isblank($B371)),"", not(iserror(vlookup($A371&amp;$B371,'5) Release_Track'!$F:$F&amp;'5) Release_Track'!$G:$G,1,0))),vlookup($A371&amp;$B371,{'5) Release_Track'!$F:$F&amp;'5) Release_Track'!$G:$G,'5) Release_Track'!$H:$H},2,0), or(and(not(isblank($B371)),$B371=$B370,$A371&lt;&gt;$A370),and(not(isblank($A371)),$A371=$A370,$B371&lt;&gt;$B370)),"ID LISTS UNALIGNED",and($A371&lt;&gt;"",countif('5) Release_Track'!$F:$F,$A371)=0),"NO ISRC MATCH in Release_Track",and($B371&lt;&gt;"",countif('5) Release_Track'!$G:$G,$B371)=0),"NO CATALOG ID MATCH in Release_Track",iserror(vlookup($A371&amp;$B371,'5) Release_Track'!$F:$F&amp;'5) Release_Track'!$G:$G,1,0)),"NO ISRC-CATALOG ID pair MATCH in Release_Track" )</f>
        <v/>
      </c>
      <c r="D371" s="121" t="str">
        <f t="array" ref="D371">ifs(and(isblank($A371),isblank($B371)),"", not(iserror(vlookup($A371&amp;$B371,'5) Release_Track'!$F:$F&amp;'5) Release_Track'!$G:$G,1,0))),vlookup($A371&amp;$B371,{'5) Release_Track'!$F:$F&amp;'5) Release_Track'!$G:$G,'5) Release_Track'!$I:$I},2,0), or(and(not(isblank($B371)),$B371=$B370,$A371&lt;&gt;$A370),and(not(isblank($A371)),$A371=$A370,$B371&lt;&gt;$B370)),"ID LISTS UNALIGNED",and($A371&lt;&gt;"",countif('5) Release_Track'!$F:$F,$A371)=0),"NO ISRC MATCH in Release_Track",and($B371&lt;&gt;"",countif('5) Release_Track'!$G:$G,$B371)=0),"NO CATALOG ID MATCH in Release_Track",iserror(vlookup($A371&amp;$B371,'5) Release_Track'!$F:$F&amp;'5) Release_Track'!$G:$G,1,0)),"NO ISRC-CATALOG ID pair MATCH in Release_Track" )</f>
        <v/>
      </c>
      <c r="E371" s="125" t="str">
        <f t="array" ref="E371">ifs(and(isblank($A371),isblank($B371)),"", not(iserror(vlookup($A371&amp;$B371,'5) Release_Track'!$F:$F&amp;'5) Release_Track'!$G:$G,1,0))),vlookup($A371&amp;$B371,{'5) Release_Track'!$F:$F&amp;'5) Release_Track'!$G:$G,'5) Release_Track'!$J:$J},2,0), or(and(not(isblank($B371)),$B371=$B370,$A371&lt;&gt;$A370),and(not(isblank($A371)),$A371=$A370,$B371&lt;&gt;$B370)),"ID LISTS UNALIGNED",and($A371&lt;&gt;"",countif('5) Release_Track'!$F:$F,$A371)=0),"NO ISRC MATCH in Release_Track",and($B371&lt;&gt;"",countif('5) Release_Track'!$G:$G,$B371)=0),"NO CATALOG ID MATCH in Release_Track",iserror(vlookup($A371&amp;$B371,'5) Release_Track'!$F:$F&amp;'5) Release_Track'!$G:$G,1,0)),"NO ISRC-CATALOG ID pair MATCH in Release_Track" )</f>
        <v/>
      </c>
      <c r="F371" s="122"/>
      <c r="G371" s="99"/>
      <c r="H371" s="178"/>
      <c r="I371" s="121" t="str">
        <f t="shared" si="6"/>
        <v/>
      </c>
      <c r="J371" s="99"/>
      <c r="K371" s="99"/>
    </row>
    <row r="372">
      <c r="B372" s="103"/>
      <c r="C372" s="121" t="str">
        <f t="array" ref="C372">ifs(and(isblank($A372),isblank($B372)),"", not(iserror(vlookup($A372&amp;$B372,'5) Release_Track'!$F:$F&amp;'5) Release_Track'!$G:$G,1,0))),vlookup($A372&amp;$B372,{'5) Release_Track'!$F:$F&amp;'5) Release_Track'!$G:$G,'5) Release_Track'!$H:$H},2,0), or(and(not(isblank($B372)),$B372=$B371,$A372&lt;&gt;$A371),and(not(isblank($A372)),$A372=$A371,$B372&lt;&gt;$B371)),"ID LISTS UNALIGNED",and($A372&lt;&gt;"",countif('5) Release_Track'!$F:$F,$A372)=0),"NO ISRC MATCH in Release_Track",and($B372&lt;&gt;"",countif('5) Release_Track'!$G:$G,$B372)=0),"NO CATALOG ID MATCH in Release_Track",iserror(vlookup($A372&amp;$B372,'5) Release_Track'!$F:$F&amp;'5) Release_Track'!$G:$G,1,0)),"NO ISRC-CATALOG ID pair MATCH in Release_Track" )</f>
        <v/>
      </c>
      <c r="D372" s="121" t="str">
        <f t="array" ref="D372">ifs(and(isblank($A372),isblank($B372)),"", not(iserror(vlookup($A372&amp;$B372,'5) Release_Track'!$F:$F&amp;'5) Release_Track'!$G:$G,1,0))),vlookup($A372&amp;$B372,{'5) Release_Track'!$F:$F&amp;'5) Release_Track'!$G:$G,'5) Release_Track'!$I:$I},2,0), or(and(not(isblank($B372)),$B372=$B371,$A372&lt;&gt;$A371),and(not(isblank($A372)),$A372=$A371,$B372&lt;&gt;$B371)),"ID LISTS UNALIGNED",and($A372&lt;&gt;"",countif('5) Release_Track'!$F:$F,$A372)=0),"NO ISRC MATCH in Release_Track",and($B372&lt;&gt;"",countif('5) Release_Track'!$G:$G,$B372)=0),"NO CATALOG ID MATCH in Release_Track",iserror(vlookup($A372&amp;$B372,'5) Release_Track'!$F:$F&amp;'5) Release_Track'!$G:$G,1,0)),"NO ISRC-CATALOG ID pair MATCH in Release_Track" )</f>
        <v/>
      </c>
      <c r="E372" s="125" t="str">
        <f t="array" ref="E372">ifs(and(isblank($A372),isblank($B372)),"", not(iserror(vlookup($A372&amp;$B372,'5) Release_Track'!$F:$F&amp;'5) Release_Track'!$G:$G,1,0))),vlookup($A372&amp;$B372,{'5) Release_Track'!$F:$F&amp;'5) Release_Track'!$G:$G,'5) Release_Track'!$J:$J},2,0), or(and(not(isblank($B372)),$B372=$B371,$A372&lt;&gt;$A371),and(not(isblank($A372)),$A372=$A371,$B372&lt;&gt;$B371)),"ID LISTS UNALIGNED",and($A372&lt;&gt;"",countif('5) Release_Track'!$F:$F,$A372)=0),"NO ISRC MATCH in Release_Track",and($B372&lt;&gt;"",countif('5) Release_Track'!$G:$G,$B372)=0),"NO CATALOG ID MATCH in Release_Track",iserror(vlookup($A372&amp;$B372,'5) Release_Track'!$F:$F&amp;'5) Release_Track'!$G:$G,1,0)),"NO ISRC-CATALOG ID pair MATCH in Release_Track" )</f>
        <v/>
      </c>
      <c r="F372" s="122"/>
      <c r="G372" s="99"/>
      <c r="H372" s="178"/>
      <c r="I372" s="121" t="str">
        <f t="shared" si="6"/>
        <v/>
      </c>
      <c r="J372" s="99"/>
      <c r="K372" s="99"/>
    </row>
    <row r="373">
      <c r="B373" s="103"/>
      <c r="C373" s="121" t="str">
        <f t="array" ref="C373">ifs(and(isblank($A373),isblank($B373)),"", not(iserror(vlookup($A373&amp;$B373,'5) Release_Track'!$F:$F&amp;'5) Release_Track'!$G:$G,1,0))),vlookup($A373&amp;$B373,{'5) Release_Track'!$F:$F&amp;'5) Release_Track'!$G:$G,'5) Release_Track'!$H:$H},2,0), or(and(not(isblank($B373)),$B373=$B372,$A373&lt;&gt;$A372),and(not(isblank($A373)),$A373=$A372,$B373&lt;&gt;$B372)),"ID LISTS UNALIGNED",and($A373&lt;&gt;"",countif('5) Release_Track'!$F:$F,$A373)=0),"NO ISRC MATCH in Release_Track",and($B373&lt;&gt;"",countif('5) Release_Track'!$G:$G,$B373)=0),"NO CATALOG ID MATCH in Release_Track",iserror(vlookup($A373&amp;$B373,'5) Release_Track'!$F:$F&amp;'5) Release_Track'!$G:$G,1,0)),"NO ISRC-CATALOG ID pair MATCH in Release_Track" )</f>
        <v/>
      </c>
      <c r="D373" s="121" t="str">
        <f t="array" ref="D373">ifs(and(isblank($A373),isblank($B373)),"", not(iserror(vlookup($A373&amp;$B373,'5) Release_Track'!$F:$F&amp;'5) Release_Track'!$G:$G,1,0))),vlookup($A373&amp;$B373,{'5) Release_Track'!$F:$F&amp;'5) Release_Track'!$G:$G,'5) Release_Track'!$I:$I},2,0), or(and(not(isblank($B373)),$B373=$B372,$A373&lt;&gt;$A372),and(not(isblank($A373)),$A373=$A372,$B373&lt;&gt;$B372)),"ID LISTS UNALIGNED",and($A373&lt;&gt;"",countif('5) Release_Track'!$F:$F,$A373)=0),"NO ISRC MATCH in Release_Track",and($B373&lt;&gt;"",countif('5) Release_Track'!$G:$G,$B373)=0),"NO CATALOG ID MATCH in Release_Track",iserror(vlookup($A373&amp;$B373,'5) Release_Track'!$F:$F&amp;'5) Release_Track'!$G:$G,1,0)),"NO ISRC-CATALOG ID pair MATCH in Release_Track" )</f>
        <v/>
      </c>
      <c r="E373" s="125" t="str">
        <f t="array" ref="E373">ifs(and(isblank($A373),isblank($B373)),"", not(iserror(vlookup($A373&amp;$B373,'5) Release_Track'!$F:$F&amp;'5) Release_Track'!$G:$G,1,0))),vlookup($A373&amp;$B373,{'5) Release_Track'!$F:$F&amp;'5) Release_Track'!$G:$G,'5) Release_Track'!$J:$J},2,0), or(and(not(isblank($B373)),$B373=$B372,$A373&lt;&gt;$A372),and(not(isblank($A373)),$A373=$A372,$B373&lt;&gt;$B372)),"ID LISTS UNALIGNED",and($A373&lt;&gt;"",countif('5) Release_Track'!$F:$F,$A373)=0),"NO ISRC MATCH in Release_Track",and($B373&lt;&gt;"",countif('5) Release_Track'!$G:$G,$B373)=0),"NO CATALOG ID MATCH in Release_Track",iserror(vlookup($A373&amp;$B373,'5) Release_Track'!$F:$F&amp;'5) Release_Track'!$G:$G,1,0)),"NO ISRC-CATALOG ID pair MATCH in Release_Track" )</f>
        <v/>
      </c>
      <c r="F373" s="122"/>
      <c r="G373" s="99"/>
      <c r="H373" s="178"/>
      <c r="I373" s="121" t="str">
        <f t="shared" si="6"/>
        <v/>
      </c>
      <c r="J373" s="99"/>
      <c r="K373" s="99"/>
    </row>
    <row r="374">
      <c r="B374" s="103"/>
      <c r="C374" s="121" t="str">
        <f t="array" ref="C374">ifs(and(isblank($A374),isblank($B374)),"", not(iserror(vlookup($A374&amp;$B374,'5) Release_Track'!$F:$F&amp;'5) Release_Track'!$G:$G,1,0))),vlookup($A374&amp;$B374,{'5) Release_Track'!$F:$F&amp;'5) Release_Track'!$G:$G,'5) Release_Track'!$H:$H},2,0), or(and(not(isblank($B374)),$B374=$B373,$A374&lt;&gt;$A373),and(not(isblank($A374)),$A374=$A373,$B374&lt;&gt;$B373)),"ID LISTS UNALIGNED",and($A374&lt;&gt;"",countif('5) Release_Track'!$F:$F,$A374)=0),"NO ISRC MATCH in Release_Track",and($B374&lt;&gt;"",countif('5) Release_Track'!$G:$G,$B374)=0),"NO CATALOG ID MATCH in Release_Track",iserror(vlookup($A374&amp;$B374,'5) Release_Track'!$F:$F&amp;'5) Release_Track'!$G:$G,1,0)),"NO ISRC-CATALOG ID pair MATCH in Release_Track" )</f>
        <v/>
      </c>
      <c r="D374" s="121" t="str">
        <f t="array" ref="D374">ifs(and(isblank($A374),isblank($B374)),"", not(iserror(vlookup($A374&amp;$B374,'5) Release_Track'!$F:$F&amp;'5) Release_Track'!$G:$G,1,0))),vlookup($A374&amp;$B374,{'5) Release_Track'!$F:$F&amp;'5) Release_Track'!$G:$G,'5) Release_Track'!$I:$I},2,0), or(and(not(isblank($B374)),$B374=$B373,$A374&lt;&gt;$A373),and(not(isblank($A374)),$A374=$A373,$B374&lt;&gt;$B373)),"ID LISTS UNALIGNED",and($A374&lt;&gt;"",countif('5) Release_Track'!$F:$F,$A374)=0),"NO ISRC MATCH in Release_Track",and($B374&lt;&gt;"",countif('5) Release_Track'!$G:$G,$B374)=0),"NO CATALOG ID MATCH in Release_Track",iserror(vlookup($A374&amp;$B374,'5) Release_Track'!$F:$F&amp;'5) Release_Track'!$G:$G,1,0)),"NO ISRC-CATALOG ID pair MATCH in Release_Track" )</f>
        <v/>
      </c>
      <c r="E374" s="125" t="str">
        <f t="array" ref="E374">ifs(and(isblank($A374),isblank($B374)),"", not(iserror(vlookup($A374&amp;$B374,'5) Release_Track'!$F:$F&amp;'5) Release_Track'!$G:$G,1,0))),vlookup($A374&amp;$B374,{'5) Release_Track'!$F:$F&amp;'5) Release_Track'!$G:$G,'5) Release_Track'!$J:$J},2,0), or(and(not(isblank($B374)),$B374=$B373,$A374&lt;&gt;$A373),and(not(isblank($A374)),$A374=$A373,$B374&lt;&gt;$B373)),"ID LISTS UNALIGNED",and($A374&lt;&gt;"",countif('5) Release_Track'!$F:$F,$A374)=0),"NO ISRC MATCH in Release_Track",and($B374&lt;&gt;"",countif('5) Release_Track'!$G:$G,$B374)=0),"NO CATALOG ID MATCH in Release_Track",iserror(vlookup($A374&amp;$B374,'5) Release_Track'!$F:$F&amp;'5) Release_Track'!$G:$G,1,0)),"NO ISRC-CATALOG ID pair MATCH in Release_Track" )</f>
        <v/>
      </c>
      <c r="F374" s="122"/>
      <c r="G374" s="99"/>
      <c r="H374" s="178"/>
      <c r="I374" s="121" t="str">
        <f t="shared" si="6"/>
        <v/>
      </c>
      <c r="J374" s="99"/>
      <c r="K374" s="99"/>
    </row>
    <row r="375">
      <c r="B375" s="103"/>
      <c r="C375" s="121" t="str">
        <f t="array" ref="C375">ifs(and(isblank($A375),isblank($B375)),"", not(iserror(vlookup($A375&amp;$B375,'5) Release_Track'!$F:$F&amp;'5) Release_Track'!$G:$G,1,0))),vlookup($A375&amp;$B375,{'5) Release_Track'!$F:$F&amp;'5) Release_Track'!$G:$G,'5) Release_Track'!$H:$H},2,0), or(and(not(isblank($B375)),$B375=$B374,$A375&lt;&gt;$A374),and(not(isblank($A375)),$A375=$A374,$B375&lt;&gt;$B374)),"ID LISTS UNALIGNED",and($A375&lt;&gt;"",countif('5) Release_Track'!$F:$F,$A375)=0),"NO ISRC MATCH in Release_Track",and($B375&lt;&gt;"",countif('5) Release_Track'!$G:$G,$B375)=0),"NO CATALOG ID MATCH in Release_Track",iserror(vlookup($A375&amp;$B375,'5) Release_Track'!$F:$F&amp;'5) Release_Track'!$G:$G,1,0)),"NO ISRC-CATALOG ID pair MATCH in Release_Track" )</f>
        <v/>
      </c>
      <c r="D375" s="121" t="str">
        <f t="array" ref="D375">ifs(and(isblank($A375),isblank($B375)),"", not(iserror(vlookup($A375&amp;$B375,'5) Release_Track'!$F:$F&amp;'5) Release_Track'!$G:$G,1,0))),vlookup($A375&amp;$B375,{'5) Release_Track'!$F:$F&amp;'5) Release_Track'!$G:$G,'5) Release_Track'!$I:$I},2,0), or(and(not(isblank($B375)),$B375=$B374,$A375&lt;&gt;$A374),and(not(isblank($A375)),$A375=$A374,$B375&lt;&gt;$B374)),"ID LISTS UNALIGNED",and($A375&lt;&gt;"",countif('5) Release_Track'!$F:$F,$A375)=0),"NO ISRC MATCH in Release_Track",and($B375&lt;&gt;"",countif('5) Release_Track'!$G:$G,$B375)=0),"NO CATALOG ID MATCH in Release_Track",iserror(vlookup($A375&amp;$B375,'5) Release_Track'!$F:$F&amp;'5) Release_Track'!$G:$G,1,0)),"NO ISRC-CATALOG ID pair MATCH in Release_Track" )</f>
        <v/>
      </c>
      <c r="E375" s="125" t="str">
        <f t="array" ref="E375">ifs(and(isblank($A375),isblank($B375)),"", not(iserror(vlookup($A375&amp;$B375,'5) Release_Track'!$F:$F&amp;'5) Release_Track'!$G:$G,1,0))),vlookup($A375&amp;$B375,{'5) Release_Track'!$F:$F&amp;'5) Release_Track'!$G:$G,'5) Release_Track'!$J:$J},2,0), or(and(not(isblank($B375)),$B375=$B374,$A375&lt;&gt;$A374),and(not(isblank($A375)),$A375=$A374,$B375&lt;&gt;$B374)),"ID LISTS UNALIGNED",and($A375&lt;&gt;"",countif('5) Release_Track'!$F:$F,$A375)=0),"NO ISRC MATCH in Release_Track",and($B375&lt;&gt;"",countif('5) Release_Track'!$G:$G,$B375)=0),"NO CATALOG ID MATCH in Release_Track",iserror(vlookup($A375&amp;$B375,'5) Release_Track'!$F:$F&amp;'5) Release_Track'!$G:$G,1,0)),"NO ISRC-CATALOG ID pair MATCH in Release_Track" )</f>
        <v/>
      </c>
      <c r="F375" s="122"/>
      <c r="G375" s="99"/>
      <c r="H375" s="178"/>
      <c r="I375" s="121" t="str">
        <f t="shared" si="6"/>
        <v/>
      </c>
      <c r="J375" s="99"/>
      <c r="K375" s="99"/>
    </row>
    <row r="376">
      <c r="B376" s="103"/>
      <c r="C376" s="121" t="str">
        <f t="array" ref="C376">ifs(and(isblank($A376),isblank($B376)),"", not(iserror(vlookup($A376&amp;$B376,'5) Release_Track'!$F:$F&amp;'5) Release_Track'!$G:$G,1,0))),vlookup($A376&amp;$B376,{'5) Release_Track'!$F:$F&amp;'5) Release_Track'!$G:$G,'5) Release_Track'!$H:$H},2,0), or(and(not(isblank($B376)),$B376=$B375,$A376&lt;&gt;$A375),and(not(isblank($A376)),$A376=$A375,$B376&lt;&gt;$B375)),"ID LISTS UNALIGNED",and($A376&lt;&gt;"",countif('5) Release_Track'!$F:$F,$A376)=0),"NO ISRC MATCH in Release_Track",and($B376&lt;&gt;"",countif('5) Release_Track'!$G:$G,$B376)=0),"NO CATALOG ID MATCH in Release_Track",iserror(vlookup($A376&amp;$B376,'5) Release_Track'!$F:$F&amp;'5) Release_Track'!$G:$G,1,0)),"NO ISRC-CATALOG ID pair MATCH in Release_Track" )</f>
        <v/>
      </c>
      <c r="D376" s="121" t="str">
        <f t="array" ref="D376">ifs(and(isblank($A376),isblank($B376)),"", not(iserror(vlookup($A376&amp;$B376,'5) Release_Track'!$F:$F&amp;'5) Release_Track'!$G:$G,1,0))),vlookup($A376&amp;$B376,{'5) Release_Track'!$F:$F&amp;'5) Release_Track'!$G:$G,'5) Release_Track'!$I:$I},2,0), or(and(not(isblank($B376)),$B376=$B375,$A376&lt;&gt;$A375),and(not(isblank($A376)),$A376=$A375,$B376&lt;&gt;$B375)),"ID LISTS UNALIGNED",and($A376&lt;&gt;"",countif('5) Release_Track'!$F:$F,$A376)=0),"NO ISRC MATCH in Release_Track",and($B376&lt;&gt;"",countif('5) Release_Track'!$G:$G,$B376)=0),"NO CATALOG ID MATCH in Release_Track",iserror(vlookup($A376&amp;$B376,'5) Release_Track'!$F:$F&amp;'5) Release_Track'!$G:$G,1,0)),"NO ISRC-CATALOG ID pair MATCH in Release_Track" )</f>
        <v/>
      </c>
      <c r="E376" s="125" t="str">
        <f t="array" ref="E376">ifs(and(isblank($A376),isblank($B376)),"", not(iserror(vlookup($A376&amp;$B376,'5) Release_Track'!$F:$F&amp;'5) Release_Track'!$G:$G,1,0))),vlookup($A376&amp;$B376,{'5) Release_Track'!$F:$F&amp;'5) Release_Track'!$G:$G,'5) Release_Track'!$J:$J},2,0), or(and(not(isblank($B376)),$B376=$B375,$A376&lt;&gt;$A375),and(not(isblank($A376)),$A376=$A375,$B376&lt;&gt;$B375)),"ID LISTS UNALIGNED",and($A376&lt;&gt;"",countif('5) Release_Track'!$F:$F,$A376)=0),"NO ISRC MATCH in Release_Track",and($B376&lt;&gt;"",countif('5) Release_Track'!$G:$G,$B376)=0),"NO CATALOG ID MATCH in Release_Track",iserror(vlookup($A376&amp;$B376,'5) Release_Track'!$F:$F&amp;'5) Release_Track'!$G:$G,1,0)),"NO ISRC-CATALOG ID pair MATCH in Release_Track" )</f>
        <v/>
      </c>
      <c r="F376" s="122"/>
      <c r="G376" s="99"/>
      <c r="H376" s="178"/>
      <c r="I376" s="121" t="str">
        <f t="shared" si="6"/>
        <v/>
      </c>
      <c r="J376" s="99"/>
      <c r="K376" s="99"/>
    </row>
    <row r="377">
      <c r="B377" s="103"/>
      <c r="C377" s="121" t="str">
        <f t="array" ref="C377">ifs(and(isblank($A377),isblank($B377)),"", not(iserror(vlookup($A377&amp;$B377,'5) Release_Track'!$F:$F&amp;'5) Release_Track'!$G:$G,1,0))),vlookup($A377&amp;$B377,{'5) Release_Track'!$F:$F&amp;'5) Release_Track'!$G:$G,'5) Release_Track'!$H:$H},2,0), or(and(not(isblank($B377)),$B377=$B376,$A377&lt;&gt;$A376),and(not(isblank($A377)),$A377=$A376,$B377&lt;&gt;$B376)),"ID LISTS UNALIGNED",and($A377&lt;&gt;"",countif('5) Release_Track'!$F:$F,$A377)=0),"NO ISRC MATCH in Release_Track",and($B377&lt;&gt;"",countif('5) Release_Track'!$G:$G,$B377)=0),"NO CATALOG ID MATCH in Release_Track",iserror(vlookup($A377&amp;$B377,'5) Release_Track'!$F:$F&amp;'5) Release_Track'!$G:$G,1,0)),"NO ISRC-CATALOG ID pair MATCH in Release_Track" )</f>
        <v/>
      </c>
      <c r="D377" s="121" t="str">
        <f t="array" ref="D377">ifs(and(isblank($A377),isblank($B377)),"", not(iserror(vlookup($A377&amp;$B377,'5) Release_Track'!$F:$F&amp;'5) Release_Track'!$G:$G,1,0))),vlookup($A377&amp;$B377,{'5) Release_Track'!$F:$F&amp;'5) Release_Track'!$G:$G,'5) Release_Track'!$I:$I},2,0), or(and(not(isblank($B377)),$B377=$B376,$A377&lt;&gt;$A376),and(not(isblank($A377)),$A377=$A376,$B377&lt;&gt;$B376)),"ID LISTS UNALIGNED",and($A377&lt;&gt;"",countif('5) Release_Track'!$F:$F,$A377)=0),"NO ISRC MATCH in Release_Track",and($B377&lt;&gt;"",countif('5) Release_Track'!$G:$G,$B377)=0),"NO CATALOG ID MATCH in Release_Track",iserror(vlookup($A377&amp;$B377,'5) Release_Track'!$F:$F&amp;'5) Release_Track'!$G:$G,1,0)),"NO ISRC-CATALOG ID pair MATCH in Release_Track" )</f>
        <v/>
      </c>
      <c r="E377" s="125" t="str">
        <f t="array" ref="E377">ifs(and(isblank($A377),isblank($B377)),"", not(iserror(vlookup($A377&amp;$B377,'5) Release_Track'!$F:$F&amp;'5) Release_Track'!$G:$G,1,0))),vlookup($A377&amp;$B377,{'5) Release_Track'!$F:$F&amp;'5) Release_Track'!$G:$G,'5) Release_Track'!$J:$J},2,0), or(and(not(isblank($B377)),$B377=$B376,$A377&lt;&gt;$A376),and(not(isblank($A377)),$A377=$A376,$B377&lt;&gt;$B376)),"ID LISTS UNALIGNED",and($A377&lt;&gt;"",countif('5) Release_Track'!$F:$F,$A377)=0),"NO ISRC MATCH in Release_Track",and($B377&lt;&gt;"",countif('5) Release_Track'!$G:$G,$B377)=0),"NO CATALOG ID MATCH in Release_Track",iserror(vlookup($A377&amp;$B377,'5) Release_Track'!$F:$F&amp;'5) Release_Track'!$G:$G,1,0)),"NO ISRC-CATALOG ID pair MATCH in Release_Track" )</f>
        <v/>
      </c>
      <c r="F377" s="122"/>
      <c r="G377" s="99"/>
      <c r="H377" s="178"/>
      <c r="I377" s="121" t="str">
        <f t="shared" si="6"/>
        <v/>
      </c>
      <c r="J377" s="99"/>
      <c r="K377" s="99"/>
    </row>
    <row r="378">
      <c r="B378" s="103"/>
      <c r="C378" s="121" t="str">
        <f t="array" ref="C378">ifs(and(isblank($A378),isblank($B378)),"", not(iserror(vlookup($A378&amp;$B378,'5) Release_Track'!$F:$F&amp;'5) Release_Track'!$G:$G,1,0))),vlookup($A378&amp;$B378,{'5) Release_Track'!$F:$F&amp;'5) Release_Track'!$G:$G,'5) Release_Track'!$H:$H},2,0), or(and(not(isblank($B378)),$B378=$B377,$A378&lt;&gt;$A377),and(not(isblank($A378)),$A378=$A377,$B378&lt;&gt;$B377)),"ID LISTS UNALIGNED",and($A378&lt;&gt;"",countif('5) Release_Track'!$F:$F,$A378)=0),"NO ISRC MATCH in Release_Track",and($B378&lt;&gt;"",countif('5) Release_Track'!$G:$G,$B378)=0),"NO CATALOG ID MATCH in Release_Track",iserror(vlookup($A378&amp;$B378,'5) Release_Track'!$F:$F&amp;'5) Release_Track'!$G:$G,1,0)),"NO ISRC-CATALOG ID pair MATCH in Release_Track" )</f>
        <v/>
      </c>
      <c r="D378" s="121" t="str">
        <f t="array" ref="D378">ifs(and(isblank($A378),isblank($B378)),"", not(iserror(vlookup($A378&amp;$B378,'5) Release_Track'!$F:$F&amp;'5) Release_Track'!$G:$G,1,0))),vlookup($A378&amp;$B378,{'5) Release_Track'!$F:$F&amp;'5) Release_Track'!$G:$G,'5) Release_Track'!$I:$I},2,0), or(and(not(isblank($B378)),$B378=$B377,$A378&lt;&gt;$A377),and(not(isblank($A378)),$A378=$A377,$B378&lt;&gt;$B377)),"ID LISTS UNALIGNED",and($A378&lt;&gt;"",countif('5) Release_Track'!$F:$F,$A378)=0),"NO ISRC MATCH in Release_Track",and($B378&lt;&gt;"",countif('5) Release_Track'!$G:$G,$B378)=0),"NO CATALOG ID MATCH in Release_Track",iserror(vlookup($A378&amp;$B378,'5) Release_Track'!$F:$F&amp;'5) Release_Track'!$G:$G,1,0)),"NO ISRC-CATALOG ID pair MATCH in Release_Track" )</f>
        <v/>
      </c>
      <c r="E378" s="125" t="str">
        <f t="array" ref="E378">ifs(and(isblank($A378),isblank($B378)),"", not(iserror(vlookup($A378&amp;$B378,'5) Release_Track'!$F:$F&amp;'5) Release_Track'!$G:$G,1,0))),vlookup($A378&amp;$B378,{'5) Release_Track'!$F:$F&amp;'5) Release_Track'!$G:$G,'5) Release_Track'!$J:$J},2,0), or(and(not(isblank($B378)),$B378=$B377,$A378&lt;&gt;$A377),and(not(isblank($A378)),$A378=$A377,$B378&lt;&gt;$B377)),"ID LISTS UNALIGNED",and($A378&lt;&gt;"",countif('5) Release_Track'!$F:$F,$A378)=0),"NO ISRC MATCH in Release_Track",and($B378&lt;&gt;"",countif('5) Release_Track'!$G:$G,$B378)=0),"NO CATALOG ID MATCH in Release_Track",iserror(vlookup($A378&amp;$B378,'5) Release_Track'!$F:$F&amp;'5) Release_Track'!$G:$G,1,0)),"NO ISRC-CATALOG ID pair MATCH in Release_Track" )</f>
        <v/>
      </c>
      <c r="F378" s="122"/>
      <c r="G378" s="99"/>
      <c r="H378" s="178"/>
      <c r="I378" s="121" t="str">
        <f t="shared" si="6"/>
        <v/>
      </c>
      <c r="J378" s="99"/>
      <c r="K378" s="99"/>
    </row>
    <row r="379">
      <c r="B379" s="103"/>
      <c r="C379" s="121" t="str">
        <f t="array" ref="C379">ifs(and(isblank($A379),isblank($B379)),"", not(iserror(vlookup($A379&amp;$B379,'5) Release_Track'!$F:$F&amp;'5) Release_Track'!$G:$G,1,0))),vlookup($A379&amp;$B379,{'5) Release_Track'!$F:$F&amp;'5) Release_Track'!$G:$G,'5) Release_Track'!$H:$H},2,0), or(and(not(isblank($B379)),$B379=$B378,$A379&lt;&gt;$A378),and(not(isblank($A379)),$A379=$A378,$B379&lt;&gt;$B378)),"ID LISTS UNALIGNED",and($A379&lt;&gt;"",countif('5) Release_Track'!$F:$F,$A379)=0),"NO ISRC MATCH in Release_Track",and($B379&lt;&gt;"",countif('5) Release_Track'!$G:$G,$B379)=0),"NO CATALOG ID MATCH in Release_Track",iserror(vlookup($A379&amp;$B379,'5) Release_Track'!$F:$F&amp;'5) Release_Track'!$G:$G,1,0)),"NO ISRC-CATALOG ID pair MATCH in Release_Track" )</f>
        <v/>
      </c>
      <c r="D379" s="121" t="str">
        <f t="array" ref="D379">ifs(and(isblank($A379),isblank($B379)),"", not(iserror(vlookup($A379&amp;$B379,'5) Release_Track'!$F:$F&amp;'5) Release_Track'!$G:$G,1,0))),vlookup($A379&amp;$B379,{'5) Release_Track'!$F:$F&amp;'5) Release_Track'!$G:$G,'5) Release_Track'!$I:$I},2,0), or(and(not(isblank($B379)),$B379=$B378,$A379&lt;&gt;$A378),and(not(isblank($A379)),$A379=$A378,$B379&lt;&gt;$B378)),"ID LISTS UNALIGNED",and($A379&lt;&gt;"",countif('5) Release_Track'!$F:$F,$A379)=0),"NO ISRC MATCH in Release_Track",and($B379&lt;&gt;"",countif('5) Release_Track'!$G:$G,$B379)=0),"NO CATALOG ID MATCH in Release_Track",iserror(vlookup($A379&amp;$B379,'5) Release_Track'!$F:$F&amp;'5) Release_Track'!$G:$G,1,0)),"NO ISRC-CATALOG ID pair MATCH in Release_Track" )</f>
        <v/>
      </c>
      <c r="E379" s="125" t="str">
        <f t="array" ref="E379">ifs(and(isblank($A379),isblank($B379)),"", not(iserror(vlookup($A379&amp;$B379,'5) Release_Track'!$F:$F&amp;'5) Release_Track'!$G:$G,1,0))),vlookup($A379&amp;$B379,{'5) Release_Track'!$F:$F&amp;'5) Release_Track'!$G:$G,'5) Release_Track'!$J:$J},2,0), or(and(not(isblank($B379)),$B379=$B378,$A379&lt;&gt;$A378),and(not(isblank($A379)),$A379=$A378,$B379&lt;&gt;$B378)),"ID LISTS UNALIGNED",and($A379&lt;&gt;"",countif('5) Release_Track'!$F:$F,$A379)=0),"NO ISRC MATCH in Release_Track",and($B379&lt;&gt;"",countif('5) Release_Track'!$G:$G,$B379)=0),"NO CATALOG ID MATCH in Release_Track",iserror(vlookup($A379&amp;$B379,'5) Release_Track'!$F:$F&amp;'5) Release_Track'!$G:$G,1,0)),"NO ISRC-CATALOG ID pair MATCH in Release_Track" )</f>
        <v/>
      </c>
      <c r="F379" s="122"/>
      <c r="G379" s="99"/>
      <c r="H379" s="178"/>
      <c r="I379" s="121" t="str">
        <f t="shared" si="6"/>
        <v/>
      </c>
      <c r="J379" s="99"/>
      <c r="K379" s="99"/>
    </row>
    <row r="380">
      <c r="B380" s="103"/>
      <c r="C380" s="121" t="str">
        <f t="array" ref="C380">ifs(and(isblank($A380),isblank($B380)),"", not(iserror(vlookup($A380&amp;$B380,'5) Release_Track'!$F:$F&amp;'5) Release_Track'!$G:$G,1,0))),vlookup($A380&amp;$B380,{'5) Release_Track'!$F:$F&amp;'5) Release_Track'!$G:$G,'5) Release_Track'!$H:$H},2,0), or(and(not(isblank($B380)),$B380=$B379,$A380&lt;&gt;$A379),and(not(isblank($A380)),$A380=$A379,$B380&lt;&gt;$B379)),"ID LISTS UNALIGNED",and($A380&lt;&gt;"",countif('5) Release_Track'!$F:$F,$A380)=0),"NO ISRC MATCH in Release_Track",and($B380&lt;&gt;"",countif('5) Release_Track'!$G:$G,$B380)=0),"NO CATALOG ID MATCH in Release_Track",iserror(vlookup($A380&amp;$B380,'5) Release_Track'!$F:$F&amp;'5) Release_Track'!$G:$G,1,0)),"NO ISRC-CATALOG ID pair MATCH in Release_Track" )</f>
        <v/>
      </c>
      <c r="D380" s="121" t="str">
        <f t="array" ref="D380">ifs(and(isblank($A380),isblank($B380)),"", not(iserror(vlookup($A380&amp;$B380,'5) Release_Track'!$F:$F&amp;'5) Release_Track'!$G:$G,1,0))),vlookup($A380&amp;$B380,{'5) Release_Track'!$F:$F&amp;'5) Release_Track'!$G:$G,'5) Release_Track'!$I:$I},2,0), or(and(not(isblank($B380)),$B380=$B379,$A380&lt;&gt;$A379),and(not(isblank($A380)),$A380=$A379,$B380&lt;&gt;$B379)),"ID LISTS UNALIGNED",and($A380&lt;&gt;"",countif('5) Release_Track'!$F:$F,$A380)=0),"NO ISRC MATCH in Release_Track",and($B380&lt;&gt;"",countif('5) Release_Track'!$G:$G,$B380)=0),"NO CATALOG ID MATCH in Release_Track",iserror(vlookup($A380&amp;$B380,'5) Release_Track'!$F:$F&amp;'5) Release_Track'!$G:$G,1,0)),"NO ISRC-CATALOG ID pair MATCH in Release_Track" )</f>
        <v/>
      </c>
      <c r="E380" s="125" t="str">
        <f t="array" ref="E380">ifs(and(isblank($A380),isblank($B380)),"", not(iserror(vlookup($A380&amp;$B380,'5) Release_Track'!$F:$F&amp;'5) Release_Track'!$G:$G,1,0))),vlookup($A380&amp;$B380,{'5) Release_Track'!$F:$F&amp;'5) Release_Track'!$G:$G,'5) Release_Track'!$J:$J},2,0), or(and(not(isblank($B380)),$B380=$B379,$A380&lt;&gt;$A379),and(not(isblank($A380)),$A380=$A379,$B380&lt;&gt;$B379)),"ID LISTS UNALIGNED",and($A380&lt;&gt;"",countif('5) Release_Track'!$F:$F,$A380)=0),"NO ISRC MATCH in Release_Track",and($B380&lt;&gt;"",countif('5) Release_Track'!$G:$G,$B380)=0),"NO CATALOG ID MATCH in Release_Track",iserror(vlookup($A380&amp;$B380,'5) Release_Track'!$F:$F&amp;'5) Release_Track'!$G:$G,1,0)),"NO ISRC-CATALOG ID pair MATCH in Release_Track" )</f>
        <v/>
      </c>
      <c r="F380" s="122"/>
      <c r="G380" s="99"/>
      <c r="H380" s="178"/>
      <c r="I380" s="121" t="str">
        <f t="shared" si="6"/>
        <v/>
      </c>
      <c r="J380" s="99"/>
      <c r="K380" s="99"/>
    </row>
    <row r="381">
      <c r="B381" s="103"/>
      <c r="C381" s="121" t="str">
        <f t="array" ref="C381">ifs(and(isblank($A381),isblank($B381)),"", not(iserror(vlookup($A381&amp;$B381,'5) Release_Track'!$F:$F&amp;'5) Release_Track'!$G:$G,1,0))),vlookup($A381&amp;$B381,{'5) Release_Track'!$F:$F&amp;'5) Release_Track'!$G:$G,'5) Release_Track'!$H:$H},2,0), or(and(not(isblank($B381)),$B381=$B380,$A381&lt;&gt;$A380),and(not(isblank($A381)),$A381=$A380,$B381&lt;&gt;$B380)),"ID LISTS UNALIGNED",and($A381&lt;&gt;"",countif('5) Release_Track'!$F:$F,$A381)=0),"NO ISRC MATCH in Release_Track",and($B381&lt;&gt;"",countif('5) Release_Track'!$G:$G,$B381)=0),"NO CATALOG ID MATCH in Release_Track",iserror(vlookup($A381&amp;$B381,'5) Release_Track'!$F:$F&amp;'5) Release_Track'!$G:$G,1,0)),"NO ISRC-CATALOG ID pair MATCH in Release_Track" )</f>
        <v/>
      </c>
      <c r="D381" s="121" t="str">
        <f t="array" ref="D381">ifs(and(isblank($A381),isblank($B381)),"", not(iserror(vlookup($A381&amp;$B381,'5) Release_Track'!$F:$F&amp;'5) Release_Track'!$G:$G,1,0))),vlookup($A381&amp;$B381,{'5) Release_Track'!$F:$F&amp;'5) Release_Track'!$G:$G,'5) Release_Track'!$I:$I},2,0), or(and(not(isblank($B381)),$B381=$B380,$A381&lt;&gt;$A380),and(not(isblank($A381)),$A381=$A380,$B381&lt;&gt;$B380)),"ID LISTS UNALIGNED",and($A381&lt;&gt;"",countif('5) Release_Track'!$F:$F,$A381)=0),"NO ISRC MATCH in Release_Track",and($B381&lt;&gt;"",countif('5) Release_Track'!$G:$G,$B381)=0),"NO CATALOG ID MATCH in Release_Track",iserror(vlookup($A381&amp;$B381,'5) Release_Track'!$F:$F&amp;'5) Release_Track'!$G:$G,1,0)),"NO ISRC-CATALOG ID pair MATCH in Release_Track" )</f>
        <v/>
      </c>
      <c r="E381" s="125" t="str">
        <f t="array" ref="E381">ifs(and(isblank($A381),isblank($B381)),"", not(iserror(vlookup($A381&amp;$B381,'5) Release_Track'!$F:$F&amp;'5) Release_Track'!$G:$G,1,0))),vlookup($A381&amp;$B381,{'5) Release_Track'!$F:$F&amp;'5) Release_Track'!$G:$G,'5) Release_Track'!$J:$J},2,0), or(and(not(isblank($B381)),$B381=$B380,$A381&lt;&gt;$A380),and(not(isblank($A381)),$A381=$A380,$B381&lt;&gt;$B380)),"ID LISTS UNALIGNED",and($A381&lt;&gt;"",countif('5) Release_Track'!$F:$F,$A381)=0),"NO ISRC MATCH in Release_Track",and($B381&lt;&gt;"",countif('5) Release_Track'!$G:$G,$B381)=0),"NO CATALOG ID MATCH in Release_Track",iserror(vlookup($A381&amp;$B381,'5) Release_Track'!$F:$F&amp;'5) Release_Track'!$G:$G,1,0)),"NO ISRC-CATALOG ID pair MATCH in Release_Track" )</f>
        <v/>
      </c>
      <c r="F381" s="122"/>
      <c r="G381" s="99"/>
      <c r="H381" s="178"/>
      <c r="I381" s="121" t="str">
        <f t="shared" si="6"/>
        <v/>
      </c>
      <c r="J381" s="99"/>
      <c r="K381" s="99"/>
    </row>
    <row r="382">
      <c r="B382" s="103"/>
      <c r="C382" s="121" t="str">
        <f t="array" ref="C382">ifs(and(isblank($A382),isblank($B382)),"", not(iserror(vlookup($A382&amp;$B382,'5) Release_Track'!$F:$F&amp;'5) Release_Track'!$G:$G,1,0))),vlookup($A382&amp;$B382,{'5) Release_Track'!$F:$F&amp;'5) Release_Track'!$G:$G,'5) Release_Track'!$H:$H},2,0), or(and(not(isblank($B382)),$B382=$B381,$A382&lt;&gt;$A381),and(not(isblank($A382)),$A382=$A381,$B382&lt;&gt;$B381)),"ID LISTS UNALIGNED",and($A382&lt;&gt;"",countif('5) Release_Track'!$F:$F,$A382)=0),"NO ISRC MATCH in Release_Track",and($B382&lt;&gt;"",countif('5) Release_Track'!$G:$G,$B382)=0),"NO CATALOG ID MATCH in Release_Track",iserror(vlookup($A382&amp;$B382,'5) Release_Track'!$F:$F&amp;'5) Release_Track'!$G:$G,1,0)),"NO ISRC-CATALOG ID pair MATCH in Release_Track" )</f>
        <v/>
      </c>
      <c r="D382" s="121" t="str">
        <f t="array" ref="D382">ifs(and(isblank($A382),isblank($B382)),"", not(iserror(vlookup($A382&amp;$B382,'5) Release_Track'!$F:$F&amp;'5) Release_Track'!$G:$G,1,0))),vlookup($A382&amp;$B382,{'5) Release_Track'!$F:$F&amp;'5) Release_Track'!$G:$G,'5) Release_Track'!$I:$I},2,0), or(and(not(isblank($B382)),$B382=$B381,$A382&lt;&gt;$A381),and(not(isblank($A382)),$A382=$A381,$B382&lt;&gt;$B381)),"ID LISTS UNALIGNED",and($A382&lt;&gt;"",countif('5) Release_Track'!$F:$F,$A382)=0),"NO ISRC MATCH in Release_Track",and($B382&lt;&gt;"",countif('5) Release_Track'!$G:$G,$B382)=0),"NO CATALOG ID MATCH in Release_Track",iserror(vlookup($A382&amp;$B382,'5) Release_Track'!$F:$F&amp;'5) Release_Track'!$G:$G,1,0)),"NO ISRC-CATALOG ID pair MATCH in Release_Track" )</f>
        <v/>
      </c>
      <c r="E382" s="125" t="str">
        <f t="array" ref="E382">ifs(and(isblank($A382),isblank($B382)),"", not(iserror(vlookup($A382&amp;$B382,'5) Release_Track'!$F:$F&amp;'5) Release_Track'!$G:$G,1,0))),vlookup($A382&amp;$B382,{'5) Release_Track'!$F:$F&amp;'5) Release_Track'!$G:$G,'5) Release_Track'!$J:$J},2,0), or(and(not(isblank($B382)),$B382=$B381,$A382&lt;&gt;$A381),and(not(isblank($A382)),$A382=$A381,$B382&lt;&gt;$B381)),"ID LISTS UNALIGNED",and($A382&lt;&gt;"",countif('5) Release_Track'!$F:$F,$A382)=0),"NO ISRC MATCH in Release_Track",and($B382&lt;&gt;"",countif('5) Release_Track'!$G:$G,$B382)=0),"NO CATALOG ID MATCH in Release_Track",iserror(vlookup($A382&amp;$B382,'5) Release_Track'!$F:$F&amp;'5) Release_Track'!$G:$G,1,0)),"NO ISRC-CATALOG ID pair MATCH in Release_Track" )</f>
        <v/>
      </c>
      <c r="F382" s="122"/>
      <c r="G382" s="99"/>
      <c r="H382" s="178"/>
      <c r="I382" s="121" t="str">
        <f t="shared" si="6"/>
        <v/>
      </c>
      <c r="J382" s="99"/>
      <c r="K382" s="99"/>
    </row>
    <row r="383">
      <c r="B383" s="103"/>
      <c r="C383" s="121" t="str">
        <f t="array" ref="C383">ifs(and(isblank($A383),isblank($B383)),"", not(iserror(vlookup($A383&amp;$B383,'5) Release_Track'!$F:$F&amp;'5) Release_Track'!$G:$G,1,0))),vlookup($A383&amp;$B383,{'5) Release_Track'!$F:$F&amp;'5) Release_Track'!$G:$G,'5) Release_Track'!$H:$H},2,0), or(and(not(isblank($B383)),$B383=$B382,$A383&lt;&gt;$A382),and(not(isblank($A383)),$A383=$A382,$B383&lt;&gt;$B382)),"ID LISTS UNALIGNED",and($A383&lt;&gt;"",countif('5) Release_Track'!$F:$F,$A383)=0),"NO ISRC MATCH in Release_Track",and($B383&lt;&gt;"",countif('5) Release_Track'!$G:$G,$B383)=0),"NO CATALOG ID MATCH in Release_Track",iserror(vlookup($A383&amp;$B383,'5) Release_Track'!$F:$F&amp;'5) Release_Track'!$G:$G,1,0)),"NO ISRC-CATALOG ID pair MATCH in Release_Track" )</f>
        <v/>
      </c>
      <c r="D383" s="121" t="str">
        <f t="array" ref="D383">ifs(and(isblank($A383),isblank($B383)),"", not(iserror(vlookup($A383&amp;$B383,'5) Release_Track'!$F:$F&amp;'5) Release_Track'!$G:$G,1,0))),vlookup($A383&amp;$B383,{'5) Release_Track'!$F:$F&amp;'5) Release_Track'!$G:$G,'5) Release_Track'!$I:$I},2,0), or(and(not(isblank($B383)),$B383=$B382,$A383&lt;&gt;$A382),and(not(isblank($A383)),$A383=$A382,$B383&lt;&gt;$B382)),"ID LISTS UNALIGNED",and($A383&lt;&gt;"",countif('5) Release_Track'!$F:$F,$A383)=0),"NO ISRC MATCH in Release_Track",and($B383&lt;&gt;"",countif('5) Release_Track'!$G:$G,$B383)=0),"NO CATALOG ID MATCH in Release_Track",iserror(vlookup($A383&amp;$B383,'5) Release_Track'!$F:$F&amp;'5) Release_Track'!$G:$G,1,0)),"NO ISRC-CATALOG ID pair MATCH in Release_Track" )</f>
        <v/>
      </c>
      <c r="E383" s="125" t="str">
        <f t="array" ref="E383">ifs(and(isblank($A383),isblank($B383)),"", not(iserror(vlookup($A383&amp;$B383,'5) Release_Track'!$F:$F&amp;'5) Release_Track'!$G:$G,1,0))),vlookup($A383&amp;$B383,{'5) Release_Track'!$F:$F&amp;'5) Release_Track'!$G:$G,'5) Release_Track'!$J:$J},2,0), or(and(not(isblank($B383)),$B383=$B382,$A383&lt;&gt;$A382),and(not(isblank($A383)),$A383=$A382,$B383&lt;&gt;$B382)),"ID LISTS UNALIGNED",and($A383&lt;&gt;"",countif('5) Release_Track'!$F:$F,$A383)=0),"NO ISRC MATCH in Release_Track",and($B383&lt;&gt;"",countif('5) Release_Track'!$G:$G,$B383)=0),"NO CATALOG ID MATCH in Release_Track",iserror(vlookup($A383&amp;$B383,'5) Release_Track'!$F:$F&amp;'5) Release_Track'!$G:$G,1,0)),"NO ISRC-CATALOG ID pair MATCH in Release_Track" )</f>
        <v/>
      </c>
      <c r="F383" s="122"/>
      <c r="G383" s="99"/>
      <c r="H383" s="178"/>
      <c r="I383" s="121" t="str">
        <f t="shared" si="6"/>
        <v/>
      </c>
      <c r="J383" s="99"/>
      <c r="K383" s="99"/>
    </row>
    <row r="384">
      <c r="B384" s="103"/>
      <c r="C384" s="121" t="str">
        <f t="array" ref="C384">ifs(and(isblank($A384),isblank($B384)),"", not(iserror(vlookup($A384&amp;$B384,'5) Release_Track'!$F:$F&amp;'5) Release_Track'!$G:$G,1,0))),vlookup($A384&amp;$B384,{'5) Release_Track'!$F:$F&amp;'5) Release_Track'!$G:$G,'5) Release_Track'!$H:$H},2,0), or(and(not(isblank($B384)),$B384=$B383,$A384&lt;&gt;$A383),and(not(isblank($A384)),$A384=$A383,$B384&lt;&gt;$B383)),"ID LISTS UNALIGNED",and($A384&lt;&gt;"",countif('5) Release_Track'!$F:$F,$A384)=0),"NO ISRC MATCH in Release_Track",and($B384&lt;&gt;"",countif('5) Release_Track'!$G:$G,$B384)=0),"NO CATALOG ID MATCH in Release_Track",iserror(vlookup($A384&amp;$B384,'5) Release_Track'!$F:$F&amp;'5) Release_Track'!$G:$G,1,0)),"NO ISRC-CATALOG ID pair MATCH in Release_Track" )</f>
        <v/>
      </c>
      <c r="D384" s="121" t="str">
        <f t="array" ref="D384">ifs(and(isblank($A384),isblank($B384)),"", not(iserror(vlookup($A384&amp;$B384,'5) Release_Track'!$F:$F&amp;'5) Release_Track'!$G:$G,1,0))),vlookup($A384&amp;$B384,{'5) Release_Track'!$F:$F&amp;'5) Release_Track'!$G:$G,'5) Release_Track'!$I:$I},2,0), or(and(not(isblank($B384)),$B384=$B383,$A384&lt;&gt;$A383),and(not(isblank($A384)),$A384=$A383,$B384&lt;&gt;$B383)),"ID LISTS UNALIGNED",and($A384&lt;&gt;"",countif('5) Release_Track'!$F:$F,$A384)=0),"NO ISRC MATCH in Release_Track",and($B384&lt;&gt;"",countif('5) Release_Track'!$G:$G,$B384)=0),"NO CATALOG ID MATCH in Release_Track",iserror(vlookup($A384&amp;$B384,'5) Release_Track'!$F:$F&amp;'5) Release_Track'!$G:$G,1,0)),"NO ISRC-CATALOG ID pair MATCH in Release_Track" )</f>
        <v/>
      </c>
      <c r="E384" s="125" t="str">
        <f t="array" ref="E384">ifs(and(isblank($A384),isblank($B384)),"", not(iserror(vlookup($A384&amp;$B384,'5) Release_Track'!$F:$F&amp;'5) Release_Track'!$G:$G,1,0))),vlookup($A384&amp;$B384,{'5) Release_Track'!$F:$F&amp;'5) Release_Track'!$G:$G,'5) Release_Track'!$J:$J},2,0), or(and(not(isblank($B384)),$B384=$B383,$A384&lt;&gt;$A383),and(not(isblank($A384)),$A384=$A383,$B384&lt;&gt;$B383)),"ID LISTS UNALIGNED",and($A384&lt;&gt;"",countif('5) Release_Track'!$F:$F,$A384)=0),"NO ISRC MATCH in Release_Track",and($B384&lt;&gt;"",countif('5) Release_Track'!$G:$G,$B384)=0),"NO CATALOG ID MATCH in Release_Track",iserror(vlookup($A384&amp;$B384,'5) Release_Track'!$F:$F&amp;'5) Release_Track'!$G:$G,1,0)),"NO ISRC-CATALOG ID pair MATCH in Release_Track" )</f>
        <v/>
      </c>
      <c r="F384" s="122"/>
      <c r="G384" s="99"/>
      <c r="H384" s="178"/>
      <c r="I384" s="121" t="str">
        <f t="shared" si="6"/>
        <v/>
      </c>
      <c r="J384" s="99"/>
      <c r="K384" s="99"/>
    </row>
    <row r="385">
      <c r="B385" s="103"/>
      <c r="C385" s="121" t="str">
        <f t="array" ref="C385">ifs(and(isblank($A385),isblank($B385)),"", not(iserror(vlookup($A385&amp;$B385,'5) Release_Track'!$F:$F&amp;'5) Release_Track'!$G:$G,1,0))),vlookup($A385&amp;$B385,{'5) Release_Track'!$F:$F&amp;'5) Release_Track'!$G:$G,'5) Release_Track'!$H:$H},2,0), or(and(not(isblank($B385)),$B385=$B384,$A385&lt;&gt;$A384),and(not(isblank($A385)),$A385=$A384,$B385&lt;&gt;$B384)),"ID LISTS UNALIGNED",and($A385&lt;&gt;"",countif('5) Release_Track'!$F:$F,$A385)=0),"NO ISRC MATCH in Release_Track",and($B385&lt;&gt;"",countif('5) Release_Track'!$G:$G,$B385)=0),"NO CATALOG ID MATCH in Release_Track",iserror(vlookup($A385&amp;$B385,'5) Release_Track'!$F:$F&amp;'5) Release_Track'!$G:$G,1,0)),"NO ISRC-CATALOG ID pair MATCH in Release_Track" )</f>
        <v/>
      </c>
      <c r="D385" s="121" t="str">
        <f t="array" ref="D385">ifs(and(isblank($A385),isblank($B385)),"", not(iserror(vlookup($A385&amp;$B385,'5) Release_Track'!$F:$F&amp;'5) Release_Track'!$G:$G,1,0))),vlookup($A385&amp;$B385,{'5) Release_Track'!$F:$F&amp;'5) Release_Track'!$G:$G,'5) Release_Track'!$I:$I},2,0), or(and(not(isblank($B385)),$B385=$B384,$A385&lt;&gt;$A384),and(not(isblank($A385)),$A385=$A384,$B385&lt;&gt;$B384)),"ID LISTS UNALIGNED",and($A385&lt;&gt;"",countif('5) Release_Track'!$F:$F,$A385)=0),"NO ISRC MATCH in Release_Track",and($B385&lt;&gt;"",countif('5) Release_Track'!$G:$G,$B385)=0),"NO CATALOG ID MATCH in Release_Track",iserror(vlookup($A385&amp;$B385,'5) Release_Track'!$F:$F&amp;'5) Release_Track'!$G:$G,1,0)),"NO ISRC-CATALOG ID pair MATCH in Release_Track" )</f>
        <v/>
      </c>
      <c r="E385" s="125" t="str">
        <f t="array" ref="E385">ifs(and(isblank($A385),isblank($B385)),"", not(iserror(vlookup($A385&amp;$B385,'5) Release_Track'!$F:$F&amp;'5) Release_Track'!$G:$G,1,0))),vlookup($A385&amp;$B385,{'5) Release_Track'!$F:$F&amp;'5) Release_Track'!$G:$G,'5) Release_Track'!$J:$J},2,0), or(and(not(isblank($B385)),$B385=$B384,$A385&lt;&gt;$A384),and(not(isblank($A385)),$A385=$A384,$B385&lt;&gt;$B384)),"ID LISTS UNALIGNED",and($A385&lt;&gt;"",countif('5) Release_Track'!$F:$F,$A385)=0),"NO ISRC MATCH in Release_Track",and($B385&lt;&gt;"",countif('5) Release_Track'!$G:$G,$B385)=0),"NO CATALOG ID MATCH in Release_Track",iserror(vlookup($A385&amp;$B385,'5) Release_Track'!$F:$F&amp;'5) Release_Track'!$G:$G,1,0)),"NO ISRC-CATALOG ID pair MATCH in Release_Track" )</f>
        <v/>
      </c>
      <c r="F385" s="122"/>
      <c r="G385" s="99"/>
      <c r="H385" s="178"/>
      <c r="I385" s="121" t="str">
        <f t="shared" si="6"/>
        <v/>
      </c>
      <c r="J385" s="99"/>
      <c r="K385" s="99"/>
    </row>
    <row r="386">
      <c r="B386" s="103"/>
      <c r="C386" s="121" t="str">
        <f t="array" ref="C386">ifs(and(isblank($A386),isblank($B386)),"", not(iserror(vlookup($A386&amp;$B386,'5) Release_Track'!$F:$F&amp;'5) Release_Track'!$G:$G,1,0))),vlookup($A386&amp;$B386,{'5) Release_Track'!$F:$F&amp;'5) Release_Track'!$G:$G,'5) Release_Track'!$H:$H},2,0), or(and(not(isblank($B386)),$B386=$B385,$A386&lt;&gt;$A385),and(not(isblank($A386)),$A386=$A385,$B386&lt;&gt;$B385)),"ID LISTS UNALIGNED",and($A386&lt;&gt;"",countif('5) Release_Track'!$F:$F,$A386)=0),"NO ISRC MATCH in Release_Track",and($B386&lt;&gt;"",countif('5) Release_Track'!$G:$G,$B386)=0),"NO CATALOG ID MATCH in Release_Track",iserror(vlookup($A386&amp;$B386,'5) Release_Track'!$F:$F&amp;'5) Release_Track'!$G:$G,1,0)),"NO ISRC-CATALOG ID pair MATCH in Release_Track" )</f>
        <v/>
      </c>
      <c r="D386" s="121" t="str">
        <f t="array" ref="D386">ifs(and(isblank($A386),isblank($B386)),"", not(iserror(vlookup($A386&amp;$B386,'5) Release_Track'!$F:$F&amp;'5) Release_Track'!$G:$G,1,0))),vlookup($A386&amp;$B386,{'5) Release_Track'!$F:$F&amp;'5) Release_Track'!$G:$G,'5) Release_Track'!$I:$I},2,0), or(and(not(isblank($B386)),$B386=$B385,$A386&lt;&gt;$A385),and(not(isblank($A386)),$A386=$A385,$B386&lt;&gt;$B385)),"ID LISTS UNALIGNED",and($A386&lt;&gt;"",countif('5) Release_Track'!$F:$F,$A386)=0),"NO ISRC MATCH in Release_Track",and($B386&lt;&gt;"",countif('5) Release_Track'!$G:$G,$B386)=0),"NO CATALOG ID MATCH in Release_Track",iserror(vlookup($A386&amp;$B386,'5) Release_Track'!$F:$F&amp;'5) Release_Track'!$G:$G,1,0)),"NO ISRC-CATALOG ID pair MATCH in Release_Track" )</f>
        <v/>
      </c>
      <c r="E386" s="125" t="str">
        <f t="array" ref="E386">ifs(and(isblank($A386),isblank($B386)),"", not(iserror(vlookup($A386&amp;$B386,'5) Release_Track'!$F:$F&amp;'5) Release_Track'!$G:$G,1,0))),vlookup($A386&amp;$B386,{'5) Release_Track'!$F:$F&amp;'5) Release_Track'!$G:$G,'5) Release_Track'!$J:$J},2,0), or(and(not(isblank($B386)),$B386=$B385,$A386&lt;&gt;$A385),and(not(isblank($A386)),$A386=$A385,$B386&lt;&gt;$B385)),"ID LISTS UNALIGNED",and($A386&lt;&gt;"",countif('5) Release_Track'!$F:$F,$A386)=0),"NO ISRC MATCH in Release_Track",and($B386&lt;&gt;"",countif('5) Release_Track'!$G:$G,$B386)=0),"NO CATALOG ID MATCH in Release_Track",iserror(vlookup($A386&amp;$B386,'5) Release_Track'!$F:$F&amp;'5) Release_Track'!$G:$G,1,0)),"NO ISRC-CATALOG ID pair MATCH in Release_Track" )</f>
        <v/>
      </c>
      <c r="F386" s="122"/>
      <c r="G386" s="99"/>
      <c r="H386" s="178"/>
      <c r="I386" s="121" t="str">
        <f t="shared" si="6"/>
        <v/>
      </c>
      <c r="J386" s="99"/>
      <c r="K386" s="99"/>
    </row>
    <row r="387">
      <c r="B387" s="103"/>
      <c r="C387" s="121" t="str">
        <f t="array" ref="C387">ifs(and(isblank($A387),isblank($B387)),"", not(iserror(vlookup($A387&amp;$B387,'5) Release_Track'!$F:$F&amp;'5) Release_Track'!$G:$G,1,0))),vlookup($A387&amp;$B387,{'5) Release_Track'!$F:$F&amp;'5) Release_Track'!$G:$G,'5) Release_Track'!$H:$H},2,0), or(and(not(isblank($B387)),$B387=$B386,$A387&lt;&gt;$A386),and(not(isblank($A387)),$A387=$A386,$B387&lt;&gt;$B386)),"ID LISTS UNALIGNED",and($A387&lt;&gt;"",countif('5) Release_Track'!$F:$F,$A387)=0),"NO ISRC MATCH in Release_Track",and($B387&lt;&gt;"",countif('5) Release_Track'!$G:$G,$B387)=0),"NO CATALOG ID MATCH in Release_Track",iserror(vlookup($A387&amp;$B387,'5) Release_Track'!$F:$F&amp;'5) Release_Track'!$G:$G,1,0)),"NO ISRC-CATALOG ID pair MATCH in Release_Track" )</f>
        <v/>
      </c>
      <c r="D387" s="121" t="str">
        <f t="array" ref="D387">ifs(and(isblank($A387),isblank($B387)),"", not(iserror(vlookup($A387&amp;$B387,'5) Release_Track'!$F:$F&amp;'5) Release_Track'!$G:$G,1,0))),vlookup($A387&amp;$B387,{'5) Release_Track'!$F:$F&amp;'5) Release_Track'!$G:$G,'5) Release_Track'!$I:$I},2,0), or(and(not(isblank($B387)),$B387=$B386,$A387&lt;&gt;$A386),and(not(isblank($A387)),$A387=$A386,$B387&lt;&gt;$B386)),"ID LISTS UNALIGNED",and($A387&lt;&gt;"",countif('5) Release_Track'!$F:$F,$A387)=0),"NO ISRC MATCH in Release_Track",and($B387&lt;&gt;"",countif('5) Release_Track'!$G:$G,$B387)=0),"NO CATALOG ID MATCH in Release_Track",iserror(vlookup($A387&amp;$B387,'5) Release_Track'!$F:$F&amp;'5) Release_Track'!$G:$G,1,0)),"NO ISRC-CATALOG ID pair MATCH in Release_Track" )</f>
        <v/>
      </c>
      <c r="E387" s="125" t="str">
        <f t="array" ref="E387">ifs(and(isblank($A387),isblank($B387)),"", not(iserror(vlookup($A387&amp;$B387,'5) Release_Track'!$F:$F&amp;'5) Release_Track'!$G:$G,1,0))),vlookup($A387&amp;$B387,{'5) Release_Track'!$F:$F&amp;'5) Release_Track'!$G:$G,'5) Release_Track'!$J:$J},2,0), or(and(not(isblank($B387)),$B387=$B386,$A387&lt;&gt;$A386),and(not(isblank($A387)),$A387=$A386,$B387&lt;&gt;$B386)),"ID LISTS UNALIGNED",and($A387&lt;&gt;"",countif('5) Release_Track'!$F:$F,$A387)=0),"NO ISRC MATCH in Release_Track",and($B387&lt;&gt;"",countif('5) Release_Track'!$G:$G,$B387)=0),"NO CATALOG ID MATCH in Release_Track",iserror(vlookup($A387&amp;$B387,'5) Release_Track'!$F:$F&amp;'5) Release_Track'!$G:$G,1,0)),"NO ISRC-CATALOG ID pair MATCH in Release_Track" )</f>
        <v/>
      </c>
      <c r="F387" s="122"/>
      <c r="G387" s="99"/>
      <c r="H387" s="178"/>
      <c r="I387" s="121" t="str">
        <f t="shared" si="6"/>
        <v/>
      </c>
      <c r="J387" s="99"/>
      <c r="K387" s="99"/>
    </row>
    <row r="388">
      <c r="B388" s="103"/>
      <c r="C388" s="121" t="str">
        <f t="array" ref="C388">ifs(and(isblank($A388),isblank($B388)),"", not(iserror(vlookup($A388&amp;$B388,'5) Release_Track'!$F:$F&amp;'5) Release_Track'!$G:$G,1,0))),vlookup($A388&amp;$B388,{'5) Release_Track'!$F:$F&amp;'5) Release_Track'!$G:$G,'5) Release_Track'!$H:$H},2,0), or(and(not(isblank($B388)),$B388=$B387,$A388&lt;&gt;$A387),and(not(isblank($A388)),$A388=$A387,$B388&lt;&gt;$B387)),"ID LISTS UNALIGNED",and($A388&lt;&gt;"",countif('5) Release_Track'!$F:$F,$A388)=0),"NO ISRC MATCH in Release_Track",and($B388&lt;&gt;"",countif('5) Release_Track'!$G:$G,$B388)=0),"NO CATALOG ID MATCH in Release_Track",iserror(vlookup($A388&amp;$B388,'5) Release_Track'!$F:$F&amp;'5) Release_Track'!$G:$G,1,0)),"NO ISRC-CATALOG ID pair MATCH in Release_Track" )</f>
        <v/>
      </c>
      <c r="D388" s="121" t="str">
        <f t="array" ref="D388">ifs(and(isblank($A388),isblank($B388)),"", not(iserror(vlookup($A388&amp;$B388,'5) Release_Track'!$F:$F&amp;'5) Release_Track'!$G:$G,1,0))),vlookup($A388&amp;$B388,{'5) Release_Track'!$F:$F&amp;'5) Release_Track'!$G:$G,'5) Release_Track'!$I:$I},2,0), or(and(not(isblank($B388)),$B388=$B387,$A388&lt;&gt;$A387),and(not(isblank($A388)),$A388=$A387,$B388&lt;&gt;$B387)),"ID LISTS UNALIGNED",and($A388&lt;&gt;"",countif('5) Release_Track'!$F:$F,$A388)=0),"NO ISRC MATCH in Release_Track",and($B388&lt;&gt;"",countif('5) Release_Track'!$G:$G,$B388)=0),"NO CATALOG ID MATCH in Release_Track",iserror(vlookup($A388&amp;$B388,'5) Release_Track'!$F:$F&amp;'5) Release_Track'!$G:$G,1,0)),"NO ISRC-CATALOG ID pair MATCH in Release_Track" )</f>
        <v/>
      </c>
      <c r="E388" s="125" t="str">
        <f t="array" ref="E388">ifs(and(isblank($A388),isblank($B388)),"", not(iserror(vlookup($A388&amp;$B388,'5) Release_Track'!$F:$F&amp;'5) Release_Track'!$G:$G,1,0))),vlookup($A388&amp;$B388,{'5) Release_Track'!$F:$F&amp;'5) Release_Track'!$G:$G,'5) Release_Track'!$J:$J},2,0), or(and(not(isblank($B388)),$B388=$B387,$A388&lt;&gt;$A387),and(not(isblank($A388)),$A388=$A387,$B388&lt;&gt;$B387)),"ID LISTS UNALIGNED",and($A388&lt;&gt;"",countif('5) Release_Track'!$F:$F,$A388)=0),"NO ISRC MATCH in Release_Track",and($B388&lt;&gt;"",countif('5) Release_Track'!$G:$G,$B388)=0),"NO CATALOG ID MATCH in Release_Track",iserror(vlookup($A388&amp;$B388,'5) Release_Track'!$F:$F&amp;'5) Release_Track'!$G:$G,1,0)),"NO ISRC-CATALOG ID pair MATCH in Release_Track" )</f>
        <v/>
      </c>
      <c r="F388" s="122"/>
      <c r="G388" s="99"/>
      <c r="H388" s="178"/>
      <c r="I388" s="121" t="str">
        <f t="shared" si="6"/>
        <v/>
      </c>
      <c r="J388" s="99"/>
      <c r="K388" s="99"/>
    </row>
    <row r="389">
      <c r="B389" s="103"/>
      <c r="C389" s="121" t="str">
        <f t="array" ref="C389">ifs(and(isblank($A389),isblank($B389)),"", not(iserror(vlookup($A389&amp;$B389,'5) Release_Track'!$F:$F&amp;'5) Release_Track'!$G:$G,1,0))),vlookup($A389&amp;$B389,{'5) Release_Track'!$F:$F&amp;'5) Release_Track'!$G:$G,'5) Release_Track'!$H:$H},2,0), or(and(not(isblank($B389)),$B389=$B388,$A389&lt;&gt;$A388),and(not(isblank($A389)),$A389=$A388,$B389&lt;&gt;$B388)),"ID LISTS UNALIGNED",and($A389&lt;&gt;"",countif('5) Release_Track'!$F:$F,$A389)=0),"NO ISRC MATCH in Release_Track",and($B389&lt;&gt;"",countif('5) Release_Track'!$G:$G,$B389)=0),"NO CATALOG ID MATCH in Release_Track",iserror(vlookup($A389&amp;$B389,'5) Release_Track'!$F:$F&amp;'5) Release_Track'!$G:$G,1,0)),"NO ISRC-CATALOG ID pair MATCH in Release_Track" )</f>
        <v/>
      </c>
      <c r="D389" s="121" t="str">
        <f t="array" ref="D389">ifs(and(isblank($A389),isblank($B389)),"", not(iserror(vlookup($A389&amp;$B389,'5) Release_Track'!$F:$F&amp;'5) Release_Track'!$G:$G,1,0))),vlookup($A389&amp;$B389,{'5) Release_Track'!$F:$F&amp;'5) Release_Track'!$G:$G,'5) Release_Track'!$I:$I},2,0), or(and(not(isblank($B389)),$B389=$B388,$A389&lt;&gt;$A388),and(not(isblank($A389)),$A389=$A388,$B389&lt;&gt;$B388)),"ID LISTS UNALIGNED",and($A389&lt;&gt;"",countif('5) Release_Track'!$F:$F,$A389)=0),"NO ISRC MATCH in Release_Track",and($B389&lt;&gt;"",countif('5) Release_Track'!$G:$G,$B389)=0),"NO CATALOG ID MATCH in Release_Track",iserror(vlookup($A389&amp;$B389,'5) Release_Track'!$F:$F&amp;'5) Release_Track'!$G:$G,1,0)),"NO ISRC-CATALOG ID pair MATCH in Release_Track" )</f>
        <v/>
      </c>
      <c r="E389" s="125" t="str">
        <f t="array" ref="E389">ifs(and(isblank($A389),isblank($B389)),"", not(iserror(vlookup($A389&amp;$B389,'5) Release_Track'!$F:$F&amp;'5) Release_Track'!$G:$G,1,0))),vlookup($A389&amp;$B389,{'5) Release_Track'!$F:$F&amp;'5) Release_Track'!$G:$G,'5) Release_Track'!$J:$J},2,0), or(and(not(isblank($B389)),$B389=$B388,$A389&lt;&gt;$A388),and(not(isblank($A389)),$A389=$A388,$B389&lt;&gt;$B388)),"ID LISTS UNALIGNED",and($A389&lt;&gt;"",countif('5) Release_Track'!$F:$F,$A389)=0),"NO ISRC MATCH in Release_Track",and($B389&lt;&gt;"",countif('5) Release_Track'!$G:$G,$B389)=0),"NO CATALOG ID MATCH in Release_Track",iserror(vlookup($A389&amp;$B389,'5) Release_Track'!$F:$F&amp;'5) Release_Track'!$G:$G,1,0)),"NO ISRC-CATALOG ID pair MATCH in Release_Track" )</f>
        <v/>
      </c>
      <c r="F389" s="122"/>
      <c r="G389" s="99"/>
      <c r="H389" s="178"/>
      <c r="I389" s="121" t="str">
        <f t="shared" si="6"/>
        <v/>
      </c>
      <c r="J389" s="99"/>
      <c r="K389" s="99"/>
    </row>
    <row r="390">
      <c r="B390" s="103"/>
      <c r="C390" s="121" t="str">
        <f t="array" ref="C390">ifs(and(isblank($A390),isblank($B390)),"", not(iserror(vlookup($A390&amp;$B390,'5) Release_Track'!$F:$F&amp;'5) Release_Track'!$G:$G,1,0))),vlookup($A390&amp;$B390,{'5) Release_Track'!$F:$F&amp;'5) Release_Track'!$G:$G,'5) Release_Track'!$H:$H},2,0), or(and(not(isblank($B390)),$B390=$B389,$A390&lt;&gt;$A389),and(not(isblank($A390)),$A390=$A389,$B390&lt;&gt;$B389)),"ID LISTS UNALIGNED",and($A390&lt;&gt;"",countif('5) Release_Track'!$F:$F,$A390)=0),"NO ISRC MATCH in Release_Track",and($B390&lt;&gt;"",countif('5) Release_Track'!$G:$G,$B390)=0),"NO CATALOG ID MATCH in Release_Track",iserror(vlookup($A390&amp;$B390,'5) Release_Track'!$F:$F&amp;'5) Release_Track'!$G:$G,1,0)),"NO ISRC-CATALOG ID pair MATCH in Release_Track" )</f>
        <v/>
      </c>
      <c r="D390" s="121" t="str">
        <f t="array" ref="D390">ifs(and(isblank($A390),isblank($B390)),"", not(iserror(vlookup($A390&amp;$B390,'5) Release_Track'!$F:$F&amp;'5) Release_Track'!$G:$G,1,0))),vlookup($A390&amp;$B390,{'5) Release_Track'!$F:$F&amp;'5) Release_Track'!$G:$G,'5) Release_Track'!$I:$I},2,0), or(and(not(isblank($B390)),$B390=$B389,$A390&lt;&gt;$A389),and(not(isblank($A390)),$A390=$A389,$B390&lt;&gt;$B389)),"ID LISTS UNALIGNED",and($A390&lt;&gt;"",countif('5) Release_Track'!$F:$F,$A390)=0),"NO ISRC MATCH in Release_Track",and($B390&lt;&gt;"",countif('5) Release_Track'!$G:$G,$B390)=0),"NO CATALOG ID MATCH in Release_Track",iserror(vlookup($A390&amp;$B390,'5) Release_Track'!$F:$F&amp;'5) Release_Track'!$G:$G,1,0)),"NO ISRC-CATALOG ID pair MATCH in Release_Track" )</f>
        <v/>
      </c>
      <c r="E390" s="125" t="str">
        <f t="array" ref="E390">ifs(and(isblank($A390),isblank($B390)),"", not(iserror(vlookup($A390&amp;$B390,'5) Release_Track'!$F:$F&amp;'5) Release_Track'!$G:$G,1,0))),vlookup($A390&amp;$B390,{'5) Release_Track'!$F:$F&amp;'5) Release_Track'!$G:$G,'5) Release_Track'!$J:$J},2,0), or(and(not(isblank($B390)),$B390=$B389,$A390&lt;&gt;$A389),and(not(isblank($A390)),$A390=$A389,$B390&lt;&gt;$B389)),"ID LISTS UNALIGNED",and($A390&lt;&gt;"",countif('5) Release_Track'!$F:$F,$A390)=0),"NO ISRC MATCH in Release_Track",and($B390&lt;&gt;"",countif('5) Release_Track'!$G:$G,$B390)=0),"NO CATALOG ID MATCH in Release_Track",iserror(vlookup($A390&amp;$B390,'5) Release_Track'!$F:$F&amp;'5) Release_Track'!$G:$G,1,0)),"NO ISRC-CATALOG ID pair MATCH in Release_Track" )</f>
        <v/>
      </c>
      <c r="F390" s="122"/>
      <c r="G390" s="99"/>
      <c r="H390" s="178"/>
      <c r="I390" s="121" t="str">
        <f t="shared" si="6"/>
        <v/>
      </c>
      <c r="J390" s="99"/>
      <c r="K390" s="99"/>
    </row>
    <row r="391">
      <c r="B391" s="103"/>
      <c r="C391" s="121" t="str">
        <f t="array" ref="C391">ifs(and(isblank($A391),isblank($B391)),"", not(iserror(vlookup($A391&amp;$B391,'5) Release_Track'!$F:$F&amp;'5) Release_Track'!$G:$G,1,0))),vlookup($A391&amp;$B391,{'5) Release_Track'!$F:$F&amp;'5) Release_Track'!$G:$G,'5) Release_Track'!$H:$H},2,0), or(and(not(isblank($B391)),$B391=$B390,$A391&lt;&gt;$A390),and(not(isblank($A391)),$A391=$A390,$B391&lt;&gt;$B390)),"ID LISTS UNALIGNED",and($A391&lt;&gt;"",countif('5) Release_Track'!$F:$F,$A391)=0),"NO ISRC MATCH in Release_Track",and($B391&lt;&gt;"",countif('5) Release_Track'!$G:$G,$B391)=0),"NO CATALOG ID MATCH in Release_Track",iserror(vlookup($A391&amp;$B391,'5) Release_Track'!$F:$F&amp;'5) Release_Track'!$G:$G,1,0)),"NO ISRC-CATALOG ID pair MATCH in Release_Track" )</f>
        <v/>
      </c>
      <c r="D391" s="121" t="str">
        <f t="array" ref="D391">ifs(and(isblank($A391),isblank($B391)),"", not(iserror(vlookup($A391&amp;$B391,'5) Release_Track'!$F:$F&amp;'5) Release_Track'!$G:$G,1,0))),vlookup($A391&amp;$B391,{'5) Release_Track'!$F:$F&amp;'5) Release_Track'!$G:$G,'5) Release_Track'!$I:$I},2,0), or(and(not(isblank($B391)),$B391=$B390,$A391&lt;&gt;$A390),and(not(isblank($A391)),$A391=$A390,$B391&lt;&gt;$B390)),"ID LISTS UNALIGNED",and($A391&lt;&gt;"",countif('5) Release_Track'!$F:$F,$A391)=0),"NO ISRC MATCH in Release_Track",and($B391&lt;&gt;"",countif('5) Release_Track'!$G:$G,$B391)=0),"NO CATALOG ID MATCH in Release_Track",iserror(vlookup($A391&amp;$B391,'5) Release_Track'!$F:$F&amp;'5) Release_Track'!$G:$G,1,0)),"NO ISRC-CATALOG ID pair MATCH in Release_Track" )</f>
        <v/>
      </c>
      <c r="E391" s="125" t="str">
        <f t="array" ref="E391">ifs(and(isblank($A391),isblank($B391)),"", not(iserror(vlookup($A391&amp;$B391,'5) Release_Track'!$F:$F&amp;'5) Release_Track'!$G:$G,1,0))),vlookup($A391&amp;$B391,{'5) Release_Track'!$F:$F&amp;'5) Release_Track'!$G:$G,'5) Release_Track'!$J:$J},2,0), or(and(not(isblank($B391)),$B391=$B390,$A391&lt;&gt;$A390),and(not(isblank($A391)),$A391=$A390,$B391&lt;&gt;$B390)),"ID LISTS UNALIGNED",and($A391&lt;&gt;"",countif('5) Release_Track'!$F:$F,$A391)=0),"NO ISRC MATCH in Release_Track",and($B391&lt;&gt;"",countif('5) Release_Track'!$G:$G,$B391)=0),"NO CATALOG ID MATCH in Release_Track",iserror(vlookup($A391&amp;$B391,'5) Release_Track'!$F:$F&amp;'5) Release_Track'!$G:$G,1,0)),"NO ISRC-CATALOG ID pair MATCH in Release_Track" )</f>
        <v/>
      </c>
      <c r="F391" s="122"/>
      <c r="G391" s="99"/>
      <c r="H391" s="178"/>
      <c r="I391" s="121" t="str">
        <f t="shared" si="6"/>
        <v/>
      </c>
      <c r="J391" s="99"/>
      <c r="K391" s="99"/>
    </row>
    <row r="392">
      <c r="B392" s="103"/>
      <c r="C392" s="121" t="str">
        <f t="array" ref="C392">ifs(and(isblank($A392),isblank($B392)),"", not(iserror(vlookup($A392&amp;$B392,'5) Release_Track'!$F:$F&amp;'5) Release_Track'!$G:$G,1,0))),vlookup($A392&amp;$B392,{'5) Release_Track'!$F:$F&amp;'5) Release_Track'!$G:$G,'5) Release_Track'!$H:$H},2,0), or(and(not(isblank($B392)),$B392=$B391,$A392&lt;&gt;$A391),and(not(isblank($A392)),$A392=$A391,$B392&lt;&gt;$B391)),"ID LISTS UNALIGNED",and($A392&lt;&gt;"",countif('5) Release_Track'!$F:$F,$A392)=0),"NO ISRC MATCH in Release_Track",and($B392&lt;&gt;"",countif('5) Release_Track'!$G:$G,$B392)=0),"NO CATALOG ID MATCH in Release_Track",iserror(vlookup($A392&amp;$B392,'5) Release_Track'!$F:$F&amp;'5) Release_Track'!$G:$G,1,0)),"NO ISRC-CATALOG ID pair MATCH in Release_Track" )</f>
        <v/>
      </c>
      <c r="D392" s="121" t="str">
        <f t="array" ref="D392">ifs(and(isblank($A392),isblank($B392)),"", not(iserror(vlookup($A392&amp;$B392,'5) Release_Track'!$F:$F&amp;'5) Release_Track'!$G:$G,1,0))),vlookup($A392&amp;$B392,{'5) Release_Track'!$F:$F&amp;'5) Release_Track'!$G:$G,'5) Release_Track'!$I:$I},2,0), or(and(not(isblank($B392)),$B392=$B391,$A392&lt;&gt;$A391),and(not(isblank($A392)),$A392=$A391,$B392&lt;&gt;$B391)),"ID LISTS UNALIGNED",and($A392&lt;&gt;"",countif('5) Release_Track'!$F:$F,$A392)=0),"NO ISRC MATCH in Release_Track",and($B392&lt;&gt;"",countif('5) Release_Track'!$G:$G,$B392)=0),"NO CATALOG ID MATCH in Release_Track",iserror(vlookup($A392&amp;$B392,'5) Release_Track'!$F:$F&amp;'5) Release_Track'!$G:$G,1,0)),"NO ISRC-CATALOG ID pair MATCH in Release_Track" )</f>
        <v/>
      </c>
      <c r="E392" s="125" t="str">
        <f t="array" ref="E392">ifs(and(isblank($A392),isblank($B392)),"", not(iserror(vlookup($A392&amp;$B392,'5) Release_Track'!$F:$F&amp;'5) Release_Track'!$G:$G,1,0))),vlookup($A392&amp;$B392,{'5) Release_Track'!$F:$F&amp;'5) Release_Track'!$G:$G,'5) Release_Track'!$J:$J},2,0), or(and(not(isblank($B392)),$B392=$B391,$A392&lt;&gt;$A391),and(not(isblank($A392)),$A392=$A391,$B392&lt;&gt;$B391)),"ID LISTS UNALIGNED",and($A392&lt;&gt;"",countif('5) Release_Track'!$F:$F,$A392)=0),"NO ISRC MATCH in Release_Track",and($B392&lt;&gt;"",countif('5) Release_Track'!$G:$G,$B392)=0),"NO CATALOG ID MATCH in Release_Track",iserror(vlookup($A392&amp;$B392,'5) Release_Track'!$F:$F&amp;'5) Release_Track'!$G:$G,1,0)),"NO ISRC-CATALOG ID pair MATCH in Release_Track" )</f>
        <v/>
      </c>
      <c r="F392" s="122"/>
      <c r="G392" s="99"/>
      <c r="H392" s="178"/>
      <c r="I392" s="121" t="str">
        <f t="shared" si="6"/>
        <v/>
      </c>
      <c r="J392" s="99"/>
      <c r="K392" s="99"/>
    </row>
    <row r="393">
      <c r="B393" s="103"/>
      <c r="C393" s="121" t="str">
        <f t="array" ref="C393">ifs(and(isblank($A393),isblank($B393)),"", not(iserror(vlookup($A393&amp;$B393,'5) Release_Track'!$F:$F&amp;'5) Release_Track'!$G:$G,1,0))),vlookup($A393&amp;$B393,{'5) Release_Track'!$F:$F&amp;'5) Release_Track'!$G:$G,'5) Release_Track'!$H:$H},2,0), or(and(not(isblank($B393)),$B393=$B392,$A393&lt;&gt;$A392),and(not(isblank($A393)),$A393=$A392,$B393&lt;&gt;$B392)),"ID LISTS UNALIGNED",and($A393&lt;&gt;"",countif('5) Release_Track'!$F:$F,$A393)=0),"NO ISRC MATCH in Release_Track",and($B393&lt;&gt;"",countif('5) Release_Track'!$G:$G,$B393)=0),"NO CATALOG ID MATCH in Release_Track",iserror(vlookup($A393&amp;$B393,'5) Release_Track'!$F:$F&amp;'5) Release_Track'!$G:$G,1,0)),"NO ISRC-CATALOG ID pair MATCH in Release_Track" )</f>
        <v/>
      </c>
      <c r="D393" s="121" t="str">
        <f t="array" ref="D393">ifs(and(isblank($A393),isblank($B393)),"", not(iserror(vlookup($A393&amp;$B393,'5) Release_Track'!$F:$F&amp;'5) Release_Track'!$G:$G,1,0))),vlookup($A393&amp;$B393,{'5) Release_Track'!$F:$F&amp;'5) Release_Track'!$G:$G,'5) Release_Track'!$I:$I},2,0), or(and(not(isblank($B393)),$B393=$B392,$A393&lt;&gt;$A392),and(not(isblank($A393)),$A393=$A392,$B393&lt;&gt;$B392)),"ID LISTS UNALIGNED",and($A393&lt;&gt;"",countif('5) Release_Track'!$F:$F,$A393)=0),"NO ISRC MATCH in Release_Track",and($B393&lt;&gt;"",countif('5) Release_Track'!$G:$G,$B393)=0),"NO CATALOG ID MATCH in Release_Track",iserror(vlookup($A393&amp;$B393,'5) Release_Track'!$F:$F&amp;'5) Release_Track'!$G:$G,1,0)),"NO ISRC-CATALOG ID pair MATCH in Release_Track" )</f>
        <v/>
      </c>
      <c r="E393" s="125" t="str">
        <f t="array" ref="E393">ifs(and(isblank($A393),isblank($B393)),"", not(iserror(vlookup($A393&amp;$B393,'5) Release_Track'!$F:$F&amp;'5) Release_Track'!$G:$G,1,0))),vlookup($A393&amp;$B393,{'5) Release_Track'!$F:$F&amp;'5) Release_Track'!$G:$G,'5) Release_Track'!$J:$J},2,0), or(and(not(isblank($B393)),$B393=$B392,$A393&lt;&gt;$A392),and(not(isblank($A393)),$A393=$A392,$B393&lt;&gt;$B392)),"ID LISTS UNALIGNED",and($A393&lt;&gt;"",countif('5) Release_Track'!$F:$F,$A393)=0),"NO ISRC MATCH in Release_Track",and($B393&lt;&gt;"",countif('5) Release_Track'!$G:$G,$B393)=0),"NO CATALOG ID MATCH in Release_Track",iserror(vlookup($A393&amp;$B393,'5) Release_Track'!$F:$F&amp;'5) Release_Track'!$G:$G,1,0)),"NO ISRC-CATALOG ID pair MATCH in Release_Track" )</f>
        <v/>
      </c>
      <c r="F393" s="122"/>
      <c r="G393" s="99"/>
      <c r="H393" s="178"/>
      <c r="I393" s="121" t="str">
        <f t="shared" si="6"/>
        <v/>
      </c>
      <c r="J393" s="99"/>
      <c r="K393" s="99"/>
    </row>
    <row r="394">
      <c r="B394" s="103"/>
      <c r="C394" s="121" t="str">
        <f t="array" ref="C394">ifs(and(isblank($A394),isblank($B394)),"", not(iserror(vlookup($A394&amp;$B394,'5) Release_Track'!$F:$F&amp;'5) Release_Track'!$G:$G,1,0))),vlookup($A394&amp;$B394,{'5) Release_Track'!$F:$F&amp;'5) Release_Track'!$G:$G,'5) Release_Track'!$H:$H},2,0), or(and(not(isblank($B394)),$B394=$B393,$A394&lt;&gt;$A393),and(not(isblank($A394)),$A394=$A393,$B394&lt;&gt;$B393)),"ID LISTS UNALIGNED",and($A394&lt;&gt;"",countif('5) Release_Track'!$F:$F,$A394)=0),"NO ISRC MATCH in Release_Track",and($B394&lt;&gt;"",countif('5) Release_Track'!$G:$G,$B394)=0),"NO CATALOG ID MATCH in Release_Track",iserror(vlookup($A394&amp;$B394,'5) Release_Track'!$F:$F&amp;'5) Release_Track'!$G:$G,1,0)),"NO ISRC-CATALOG ID pair MATCH in Release_Track" )</f>
        <v/>
      </c>
      <c r="D394" s="121" t="str">
        <f t="array" ref="D394">ifs(and(isblank($A394),isblank($B394)),"", not(iserror(vlookup($A394&amp;$B394,'5) Release_Track'!$F:$F&amp;'5) Release_Track'!$G:$G,1,0))),vlookup($A394&amp;$B394,{'5) Release_Track'!$F:$F&amp;'5) Release_Track'!$G:$G,'5) Release_Track'!$I:$I},2,0), or(and(not(isblank($B394)),$B394=$B393,$A394&lt;&gt;$A393),and(not(isblank($A394)),$A394=$A393,$B394&lt;&gt;$B393)),"ID LISTS UNALIGNED",and($A394&lt;&gt;"",countif('5) Release_Track'!$F:$F,$A394)=0),"NO ISRC MATCH in Release_Track",and($B394&lt;&gt;"",countif('5) Release_Track'!$G:$G,$B394)=0),"NO CATALOG ID MATCH in Release_Track",iserror(vlookup($A394&amp;$B394,'5) Release_Track'!$F:$F&amp;'5) Release_Track'!$G:$G,1,0)),"NO ISRC-CATALOG ID pair MATCH in Release_Track" )</f>
        <v/>
      </c>
      <c r="E394" s="125" t="str">
        <f t="array" ref="E394">ifs(and(isblank($A394),isblank($B394)),"", not(iserror(vlookup($A394&amp;$B394,'5) Release_Track'!$F:$F&amp;'5) Release_Track'!$G:$G,1,0))),vlookup($A394&amp;$B394,{'5) Release_Track'!$F:$F&amp;'5) Release_Track'!$G:$G,'5) Release_Track'!$J:$J},2,0), or(and(not(isblank($B394)),$B394=$B393,$A394&lt;&gt;$A393),and(not(isblank($A394)),$A394=$A393,$B394&lt;&gt;$B393)),"ID LISTS UNALIGNED",and($A394&lt;&gt;"",countif('5) Release_Track'!$F:$F,$A394)=0),"NO ISRC MATCH in Release_Track",and($B394&lt;&gt;"",countif('5) Release_Track'!$G:$G,$B394)=0),"NO CATALOG ID MATCH in Release_Track",iserror(vlookup($A394&amp;$B394,'5) Release_Track'!$F:$F&amp;'5) Release_Track'!$G:$G,1,0)),"NO ISRC-CATALOG ID pair MATCH in Release_Track" )</f>
        <v/>
      </c>
      <c r="F394" s="122"/>
      <c r="G394" s="99"/>
      <c r="H394" s="178"/>
      <c r="I394" s="121" t="str">
        <f t="shared" si="6"/>
        <v/>
      </c>
      <c r="J394" s="99"/>
      <c r="K394" s="99"/>
    </row>
    <row r="395">
      <c r="B395" s="103"/>
      <c r="C395" s="121" t="str">
        <f t="array" ref="C395">ifs(and(isblank($A395),isblank($B395)),"", not(iserror(vlookup($A395&amp;$B395,'5) Release_Track'!$F:$F&amp;'5) Release_Track'!$G:$G,1,0))),vlookup($A395&amp;$B395,{'5) Release_Track'!$F:$F&amp;'5) Release_Track'!$G:$G,'5) Release_Track'!$H:$H},2,0), or(and(not(isblank($B395)),$B395=$B394,$A395&lt;&gt;$A394),and(not(isblank($A395)),$A395=$A394,$B395&lt;&gt;$B394)),"ID LISTS UNALIGNED",and($A395&lt;&gt;"",countif('5) Release_Track'!$F:$F,$A395)=0),"NO ISRC MATCH in Release_Track",and($B395&lt;&gt;"",countif('5) Release_Track'!$G:$G,$B395)=0),"NO CATALOG ID MATCH in Release_Track",iserror(vlookup($A395&amp;$B395,'5) Release_Track'!$F:$F&amp;'5) Release_Track'!$G:$G,1,0)),"NO ISRC-CATALOG ID pair MATCH in Release_Track" )</f>
        <v/>
      </c>
      <c r="D395" s="121" t="str">
        <f t="array" ref="D395">ifs(and(isblank($A395),isblank($B395)),"", not(iserror(vlookup($A395&amp;$B395,'5) Release_Track'!$F:$F&amp;'5) Release_Track'!$G:$G,1,0))),vlookup($A395&amp;$B395,{'5) Release_Track'!$F:$F&amp;'5) Release_Track'!$G:$G,'5) Release_Track'!$I:$I},2,0), or(and(not(isblank($B395)),$B395=$B394,$A395&lt;&gt;$A394),and(not(isblank($A395)),$A395=$A394,$B395&lt;&gt;$B394)),"ID LISTS UNALIGNED",and($A395&lt;&gt;"",countif('5) Release_Track'!$F:$F,$A395)=0),"NO ISRC MATCH in Release_Track",and($B395&lt;&gt;"",countif('5) Release_Track'!$G:$G,$B395)=0),"NO CATALOG ID MATCH in Release_Track",iserror(vlookup($A395&amp;$B395,'5) Release_Track'!$F:$F&amp;'5) Release_Track'!$G:$G,1,0)),"NO ISRC-CATALOG ID pair MATCH in Release_Track" )</f>
        <v/>
      </c>
      <c r="E395" s="125" t="str">
        <f t="array" ref="E395">ifs(and(isblank($A395),isblank($B395)),"", not(iserror(vlookup($A395&amp;$B395,'5) Release_Track'!$F:$F&amp;'5) Release_Track'!$G:$G,1,0))),vlookup($A395&amp;$B395,{'5) Release_Track'!$F:$F&amp;'5) Release_Track'!$G:$G,'5) Release_Track'!$J:$J},2,0), or(and(not(isblank($B395)),$B395=$B394,$A395&lt;&gt;$A394),and(not(isblank($A395)),$A395=$A394,$B395&lt;&gt;$B394)),"ID LISTS UNALIGNED",and($A395&lt;&gt;"",countif('5) Release_Track'!$F:$F,$A395)=0),"NO ISRC MATCH in Release_Track",and($B395&lt;&gt;"",countif('5) Release_Track'!$G:$G,$B395)=0),"NO CATALOG ID MATCH in Release_Track",iserror(vlookup($A395&amp;$B395,'5) Release_Track'!$F:$F&amp;'5) Release_Track'!$G:$G,1,0)),"NO ISRC-CATALOG ID pair MATCH in Release_Track" )</f>
        <v/>
      </c>
      <c r="F395" s="122"/>
      <c r="G395" s="99"/>
      <c r="H395" s="178"/>
      <c r="I395" s="121" t="str">
        <f t="shared" si="6"/>
        <v/>
      </c>
      <c r="J395" s="99"/>
      <c r="K395" s="99"/>
    </row>
    <row r="396">
      <c r="B396" s="103"/>
      <c r="C396" s="121" t="str">
        <f t="array" ref="C396">ifs(and(isblank($A396),isblank($B396)),"", not(iserror(vlookup($A396&amp;$B396,'5) Release_Track'!$F:$F&amp;'5) Release_Track'!$G:$G,1,0))),vlookup($A396&amp;$B396,{'5) Release_Track'!$F:$F&amp;'5) Release_Track'!$G:$G,'5) Release_Track'!$H:$H},2,0), or(and(not(isblank($B396)),$B396=$B395,$A396&lt;&gt;$A395),and(not(isblank($A396)),$A396=$A395,$B396&lt;&gt;$B395)),"ID LISTS UNALIGNED",and($A396&lt;&gt;"",countif('5) Release_Track'!$F:$F,$A396)=0),"NO ISRC MATCH in Release_Track",and($B396&lt;&gt;"",countif('5) Release_Track'!$G:$G,$B396)=0),"NO CATALOG ID MATCH in Release_Track",iserror(vlookup($A396&amp;$B396,'5) Release_Track'!$F:$F&amp;'5) Release_Track'!$G:$G,1,0)),"NO ISRC-CATALOG ID pair MATCH in Release_Track" )</f>
        <v/>
      </c>
      <c r="D396" s="121" t="str">
        <f t="array" ref="D396">ifs(and(isblank($A396),isblank($B396)),"", not(iserror(vlookup($A396&amp;$B396,'5) Release_Track'!$F:$F&amp;'5) Release_Track'!$G:$G,1,0))),vlookup($A396&amp;$B396,{'5) Release_Track'!$F:$F&amp;'5) Release_Track'!$G:$G,'5) Release_Track'!$I:$I},2,0), or(and(not(isblank($B396)),$B396=$B395,$A396&lt;&gt;$A395),and(not(isblank($A396)),$A396=$A395,$B396&lt;&gt;$B395)),"ID LISTS UNALIGNED",and($A396&lt;&gt;"",countif('5) Release_Track'!$F:$F,$A396)=0),"NO ISRC MATCH in Release_Track",and($B396&lt;&gt;"",countif('5) Release_Track'!$G:$G,$B396)=0),"NO CATALOG ID MATCH in Release_Track",iserror(vlookup($A396&amp;$B396,'5) Release_Track'!$F:$F&amp;'5) Release_Track'!$G:$G,1,0)),"NO ISRC-CATALOG ID pair MATCH in Release_Track" )</f>
        <v/>
      </c>
      <c r="E396" s="125" t="str">
        <f t="array" ref="E396">ifs(and(isblank($A396),isblank($B396)),"", not(iserror(vlookup($A396&amp;$B396,'5) Release_Track'!$F:$F&amp;'5) Release_Track'!$G:$G,1,0))),vlookup($A396&amp;$B396,{'5) Release_Track'!$F:$F&amp;'5) Release_Track'!$G:$G,'5) Release_Track'!$J:$J},2,0), or(and(not(isblank($B396)),$B396=$B395,$A396&lt;&gt;$A395),and(not(isblank($A396)),$A396=$A395,$B396&lt;&gt;$B395)),"ID LISTS UNALIGNED",and($A396&lt;&gt;"",countif('5) Release_Track'!$F:$F,$A396)=0),"NO ISRC MATCH in Release_Track",and($B396&lt;&gt;"",countif('5) Release_Track'!$G:$G,$B396)=0),"NO CATALOG ID MATCH in Release_Track",iserror(vlookup($A396&amp;$B396,'5) Release_Track'!$F:$F&amp;'5) Release_Track'!$G:$G,1,0)),"NO ISRC-CATALOG ID pair MATCH in Release_Track" )</f>
        <v/>
      </c>
      <c r="F396" s="122"/>
      <c r="G396" s="99"/>
      <c r="H396" s="178"/>
      <c r="I396" s="121" t="str">
        <f t="shared" si="6"/>
        <v/>
      </c>
      <c r="J396" s="99"/>
      <c r="K396" s="99"/>
    </row>
    <row r="397">
      <c r="B397" s="103"/>
      <c r="C397" s="121" t="str">
        <f t="array" ref="C397">ifs(and(isblank($A397),isblank($B397)),"", not(iserror(vlookup($A397&amp;$B397,'5) Release_Track'!$F:$F&amp;'5) Release_Track'!$G:$G,1,0))),vlookup($A397&amp;$B397,{'5) Release_Track'!$F:$F&amp;'5) Release_Track'!$G:$G,'5) Release_Track'!$H:$H},2,0), or(and(not(isblank($B397)),$B397=$B396,$A397&lt;&gt;$A396),and(not(isblank($A397)),$A397=$A396,$B397&lt;&gt;$B396)),"ID LISTS UNALIGNED",and($A397&lt;&gt;"",countif('5) Release_Track'!$F:$F,$A397)=0),"NO ISRC MATCH in Release_Track",and($B397&lt;&gt;"",countif('5) Release_Track'!$G:$G,$B397)=0),"NO CATALOG ID MATCH in Release_Track",iserror(vlookup($A397&amp;$B397,'5) Release_Track'!$F:$F&amp;'5) Release_Track'!$G:$G,1,0)),"NO ISRC-CATALOG ID pair MATCH in Release_Track" )</f>
        <v/>
      </c>
      <c r="D397" s="121" t="str">
        <f t="array" ref="D397">ifs(and(isblank($A397),isblank($B397)),"", not(iserror(vlookup($A397&amp;$B397,'5) Release_Track'!$F:$F&amp;'5) Release_Track'!$G:$G,1,0))),vlookup($A397&amp;$B397,{'5) Release_Track'!$F:$F&amp;'5) Release_Track'!$G:$G,'5) Release_Track'!$I:$I},2,0), or(and(not(isblank($B397)),$B397=$B396,$A397&lt;&gt;$A396),and(not(isblank($A397)),$A397=$A396,$B397&lt;&gt;$B396)),"ID LISTS UNALIGNED",and($A397&lt;&gt;"",countif('5) Release_Track'!$F:$F,$A397)=0),"NO ISRC MATCH in Release_Track",and($B397&lt;&gt;"",countif('5) Release_Track'!$G:$G,$B397)=0),"NO CATALOG ID MATCH in Release_Track",iserror(vlookup($A397&amp;$B397,'5) Release_Track'!$F:$F&amp;'5) Release_Track'!$G:$G,1,0)),"NO ISRC-CATALOG ID pair MATCH in Release_Track" )</f>
        <v/>
      </c>
      <c r="E397" s="125" t="str">
        <f t="array" ref="E397">ifs(and(isblank($A397),isblank($B397)),"", not(iserror(vlookup($A397&amp;$B397,'5) Release_Track'!$F:$F&amp;'5) Release_Track'!$G:$G,1,0))),vlookup($A397&amp;$B397,{'5) Release_Track'!$F:$F&amp;'5) Release_Track'!$G:$G,'5) Release_Track'!$J:$J},2,0), or(and(not(isblank($B397)),$B397=$B396,$A397&lt;&gt;$A396),and(not(isblank($A397)),$A397=$A396,$B397&lt;&gt;$B396)),"ID LISTS UNALIGNED",and($A397&lt;&gt;"",countif('5) Release_Track'!$F:$F,$A397)=0),"NO ISRC MATCH in Release_Track",and($B397&lt;&gt;"",countif('5) Release_Track'!$G:$G,$B397)=0),"NO CATALOG ID MATCH in Release_Track",iserror(vlookup($A397&amp;$B397,'5) Release_Track'!$F:$F&amp;'5) Release_Track'!$G:$G,1,0)),"NO ISRC-CATALOG ID pair MATCH in Release_Track" )</f>
        <v/>
      </c>
      <c r="F397" s="122"/>
      <c r="G397" s="99"/>
      <c r="H397" s="178"/>
      <c r="I397" s="121" t="str">
        <f t="shared" si="6"/>
        <v/>
      </c>
      <c r="J397" s="99"/>
      <c r="K397" s="99"/>
    </row>
    <row r="398">
      <c r="B398" s="103"/>
      <c r="C398" s="121" t="str">
        <f t="array" ref="C398">ifs(and(isblank($A398),isblank($B398)),"", not(iserror(vlookup($A398&amp;$B398,'5) Release_Track'!$F:$F&amp;'5) Release_Track'!$G:$G,1,0))),vlookup($A398&amp;$B398,{'5) Release_Track'!$F:$F&amp;'5) Release_Track'!$G:$G,'5) Release_Track'!$H:$H},2,0), or(and(not(isblank($B398)),$B398=$B397,$A398&lt;&gt;$A397),and(not(isblank($A398)),$A398=$A397,$B398&lt;&gt;$B397)),"ID LISTS UNALIGNED",and($A398&lt;&gt;"",countif('5) Release_Track'!$F:$F,$A398)=0),"NO ISRC MATCH in Release_Track",and($B398&lt;&gt;"",countif('5) Release_Track'!$G:$G,$B398)=0),"NO CATALOG ID MATCH in Release_Track",iserror(vlookup($A398&amp;$B398,'5) Release_Track'!$F:$F&amp;'5) Release_Track'!$G:$G,1,0)),"NO ISRC-CATALOG ID pair MATCH in Release_Track" )</f>
        <v/>
      </c>
      <c r="D398" s="121" t="str">
        <f t="array" ref="D398">ifs(and(isblank($A398),isblank($B398)),"", not(iserror(vlookup($A398&amp;$B398,'5) Release_Track'!$F:$F&amp;'5) Release_Track'!$G:$G,1,0))),vlookup($A398&amp;$B398,{'5) Release_Track'!$F:$F&amp;'5) Release_Track'!$G:$G,'5) Release_Track'!$I:$I},2,0), or(and(not(isblank($B398)),$B398=$B397,$A398&lt;&gt;$A397),and(not(isblank($A398)),$A398=$A397,$B398&lt;&gt;$B397)),"ID LISTS UNALIGNED",and($A398&lt;&gt;"",countif('5) Release_Track'!$F:$F,$A398)=0),"NO ISRC MATCH in Release_Track",and($B398&lt;&gt;"",countif('5) Release_Track'!$G:$G,$B398)=0),"NO CATALOG ID MATCH in Release_Track",iserror(vlookup($A398&amp;$B398,'5) Release_Track'!$F:$F&amp;'5) Release_Track'!$G:$G,1,0)),"NO ISRC-CATALOG ID pair MATCH in Release_Track" )</f>
        <v/>
      </c>
      <c r="E398" s="125" t="str">
        <f t="array" ref="E398">ifs(and(isblank($A398),isblank($B398)),"", not(iserror(vlookup($A398&amp;$B398,'5) Release_Track'!$F:$F&amp;'5) Release_Track'!$G:$G,1,0))),vlookup($A398&amp;$B398,{'5) Release_Track'!$F:$F&amp;'5) Release_Track'!$G:$G,'5) Release_Track'!$J:$J},2,0), or(and(not(isblank($B398)),$B398=$B397,$A398&lt;&gt;$A397),and(not(isblank($A398)),$A398=$A397,$B398&lt;&gt;$B397)),"ID LISTS UNALIGNED",and($A398&lt;&gt;"",countif('5) Release_Track'!$F:$F,$A398)=0),"NO ISRC MATCH in Release_Track",and($B398&lt;&gt;"",countif('5) Release_Track'!$G:$G,$B398)=0),"NO CATALOG ID MATCH in Release_Track",iserror(vlookup($A398&amp;$B398,'5) Release_Track'!$F:$F&amp;'5) Release_Track'!$G:$G,1,0)),"NO ISRC-CATALOG ID pair MATCH in Release_Track" )</f>
        <v/>
      </c>
      <c r="F398" s="122"/>
      <c r="G398" s="99"/>
      <c r="H398" s="178"/>
      <c r="I398" s="121" t="str">
        <f t="shared" si="6"/>
        <v/>
      </c>
      <c r="J398" s="99"/>
      <c r="K398" s="99"/>
    </row>
    <row r="399">
      <c r="B399" s="103"/>
      <c r="C399" s="121" t="str">
        <f t="array" ref="C399">ifs(and(isblank($A399),isblank($B399)),"", not(iserror(vlookup($A399&amp;$B399,'5) Release_Track'!$F:$F&amp;'5) Release_Track'!$G:$G,1,0))),vlookup($A399&amp;$B399,{'5) Release_Track'!$F:$F&amp;'5) Release_Track'!$G:$G,'5) Release_Track'!$H:$H},2,0), or(and(not(isblank($B399)),$B399=$B398,$A399&lt;&gt;$A398),and(not(isblank($A399)),$A399=$A398,$B399&lt;&gt;$B398)),"ID LISTS UNALIGNED",and($A399&lt;&gt;"",countif('5) Release_Track'!$F:$F,$A399)=0),"NO ISRC MATCH in Release_Track",and($B399&lt;&gt;"",countif('5) Release_Track'!$G:$G,$B399)=0),"NO CATALOG ID MATCH in Release_Track",iserror(vlookup($A399&amp;$B399,'5) Release_Track'!$F:$F&amp;'5) Release_Track'!$G:$G,1,0)),"NO ISRC-CATALOG ID pair MATCH in Release_Track" )</f>
        <v/>
      </c>
      <c r="D399" s="121" t="str">
        <f t="array" ref="D399">ifs(and(isblank($A399),isblank($B399)),"", not(iserror(vlookup($A399&amp;$B399,'5) Release_Track'!$F:$F&amp;'5) Release_Track'!$G:$G,1,0))),vlookup($A399&amp;$B399,{'5) Release_Track'!$F:$F&amp;'5) Release_Track'!$G:$G,'5) Release_Track'!$I:$I},2,0), or(and(not(isblank($B399)),$B399=$B398,$A399&lt;&gt;$A398),and(not(isblank($A399)),$A399=$A398,$B399&lt;&gt;$B398)),"ID LISTS UNALIGNED",and($A399&lt;&gt;"",countif('5) Release_Track'!$F:$F,$A399)=0),"NO ISRC MATCH in Release_Track",and($B399&lt;&gt;"",countif('5) Release_Track'!$G:$G,$B399)=0),"NO CATALOG ID MATCH in Release_Track",iserror(vlookup($A399&amp;$B399,'5) Release_Track'!$F:$F&amp;'5) Release_Track'!$G:$G,1,0)),"NO ISRC-CATALOG ID pair MATCH in Release_Track" )</f>
        <v/>
      </c>
      <c r="E399" s="125" t="str">
        <f t="array" ref="E399">ifs(and(isblank($A399),isblank($B399)),"", not(iserror(vlookup($A399&amp;$B399,'5) Release_Track'!$F:$F&amp;'5) Release_Track'!$G:$G,1,0))),vlookup($A399&amp;$B399,{'5) Release_Track'!$F:$F&amp;'5) Release_Track'!$G:$G,'5) Release_Track'!$J:$J},2,0), or(and(not(isblank($B399)),$B399=$B398,$A399&lt;&gt;$A398),and(not(isblank($A399)),$A399=$A398,$B399&lt;&gt;$B398)),"ID LISTS UNALIGNED",and($A399&lt;&gt;"",countif('5) Release_Track'!$F:$F,$A399)=0),"NO ISRC MATCH in Release_Track",and($B399&lt;&gt;"",countif('5) Release_Track'!$G:$G,$B399)=0),"NO CATALOG ID MATCH in Release_Track",iserror(vlookup($A399&amp;$B399,'5) Release_Track'!$F:$F&amp;'5) Release_Track'!$G:$G,1,0)),"NO ISRC-CATALOG ID pair MATCH in Release_Track" )</f>
        <v/>
      </c>
      <c r="F399" s="122"/>
      <c r="G399" s="99"/>
      <c r="H399" s="178"/>
      <c r="I399" s="121" t="str">
        <f t="shared" si="6"/>
        <v/>
      </c>
      <c r="J399" s="99"/>
      <c r="K399" s="99"/>
    </row>
    <row r="400">
      <c r="B400" s="103"/>
      <c r="C400" s="121" t="str">
        <f t="array" ref="C400">ifs(and(isblank($A400),isblank($B400)),"", not(iserror(vlookup($A400&amp;$B400,'5) Release_Track'!$F:$F&amp;'5) Release_Track'!$G:$G,1,0))),vlookup($A400&amp;$B400,{'5) Release_Track'!$F:$F&amp;'5) Release_Track'!$G:$G,'5) Release_Track'!$H:$H},2,0), or(and(not(isblank($B400)),$B400=$B399,$A400&lt;&gt;$A399),and(not(isblank($A400)),$A400=$A399,$B400&lt;&gt;$B399)),"ID LISTS UNALIGNED",and($A400&lt;&gt;"",countif('5) Release_Track'!$F:$F,$A400)=0),"NO ISRC MATCH in Release_Track",and($B400&lt;&gt;"",countif('5) Release_Track'!$G:$G,$B400)=0),"NO CATALOG ID MATCH in Release_Track",iserror(vlookup($A400&amp;$B400,'5) Release_Track'!$F:$F&amp;'5) Release_Track'!$G:$G,1,0)),"NO ISRC-CATALOG ID pair MATCH in Release_Track" )</f>
        <v/>
      </c>
      <c r="D400" s="121" t="str">
        <f t="array" ref="D400">ifs(and(isblank($A400),isblank($B400)),"", not(iserror(vlookup($A400&amp;$B400,'5) Release_Track'!$F:$F&amp;'5) Release_Track'!$G:$G,1,0))),vlookup($A400&amp;$B400,{'5) Release_Track'!$F:$F&amp;'5) Release_Track'!$G:$G,'5) Release_Track'!$I:$I},2,0), or(and(not(isblank($B400)),$B400=$B399,$A400&lt;&gt;$A399),and(not(isblank($A400)),$A400=$A399,$B400&lt;&gt;$B399)),"ID LISTS UNALIGNED",and($A400&lt;&gt;"",countif('5) Release_Track'!$F:$F,$A400)=0),"NO ISRC MATCH in Release_Track",and($B400&lt;&gt;"",countif('5) Release_Track'!$G:$G,$B400)=0),"NO CATALOG ID MATCH in Release_Track",iserror(vlookup($A400&amp;$B400,'5) Release_Track'!$F:$F&amp;'5) Release_Track'!$G:$G,1,0)),"NO ISRC-CATALOG ID pair MATCH in Release_Track" )</f>
        <v/>
      </c>
      <c r="E400" s="125" t="str">
        <f t="array" ref="E400">ifs(and(isblank($A400),isblank($B400)),"", not(iserror(vlookup($A400&amp;$B400,'5) Release_Track'!$F:$F&amp;'5) Release_Track'!$G:$G,1,0))),vlookup($A400&amp;$B400,{'5) Release_Track'!$F:$F&amp;'5) Release_Track'!$G:$G,'5) Release_Track'!$J:$J},2,0), or(and(not(isblank($B400)),$B400=$B399,$A400&lt;&gt;$A399),and(not(isblank($A400)),$A400=$A399,$B400&lt;&gt;$B399)),"ID LISTS UNALIGNED",and($A400&lt;&gt;"",countif('5) Release_Track'!$F:$F,$A400)=0),"NO ISRC MATCH in Release_Track",and($B400&lt;&gt;"",countif('5) Release_Track'!$G:$G,$B400)=0),"NO CATALOG ID MATCH in Release_Track",iserror(vlookup($A400&amp;$B400,'5) Release_Track'!$F:$F&amp;'5) Release_Track'!$G:$G,1,0)),"NO ISRC-CATALOG ID pair MATCH in Release_Track" )</f>
        <v/>
      </c>
      <c r="F400" s="122"/>
      <c r="G400" s="99"/>
      <c r="H400" s="178"/>
      <c r="I400" s="121" t="str">
        <f t="shared" si="6"/>
        <v/>
      </c>
      <c r="J400" s="99"/>
      <c r="K400" s="99"/>
    </row>
    <row r="401">
      <c r="B401" s="103"/>
      <c r="C401" s="121" t="str">
        <f t="array" ref="C401">ifs(and(isblank($A401),isblank($B401)),"", not(iserror(vlookup($A401&amp;$B401,'5) Release_Track'!$F:$F&amp;'5) Release_Track'!$G:$G,1,0))),vlookup($A401&amp;$B401,{'5) Release_Track'!$F:$F&amp;'5) Release_Track'!$G:$G,'5) Release_Track'!$H:$H},2,0), or(and(not(isblank($B401)),$B401=$B400,$A401&lt;&gt;$A400),and(not(isblank($A401)),$A401=$A400,$B401&lt;&gt;$B400)),"ID LISTS UNALIGNED",and($A401&lt;&gt;"",countif('5) Release_Track'!$F:$F,$A401)=0),"NO ISRC MATCH in Release_Track",and($B401&lt;&gt;"",countif('5) Release_Track'!$G:$G,$B401)=0),"NO CATALOG ID MATCH in Release_Track",iserror(vlookup($A401&amp;$B401,'5) Release_Track'!$F:$F&amp;'5) Release_Track'!$G:$G,1,0)),"NO ISRC-CATALOG ID pair MATCH in Release_Track" )</f>
        <v/>
      </c>
      <c r="D401" s="121" t="str">
        <f t="array" ref="D401">ifs(and(isblank($A401),isblank($B401)),"", not(iserror(vlookup($A401&amp;$B401,'5) Release_Track'!$F:$F&amp;'5) Release_Track'!$G:$G,1,0))),vlookup($A401&amp;$B401,{'5) Release_Track'!$F:$F&amp;'5) Release_Track'!$G:$G,'5) Release_Track'!$I:$I},2,0), or(and(not(isblank($B401)),$B401=$B400,$A401&lt;&gt;$A400),and(not(isblank($A401)),$A401=$A400,$B401&lt;&gt;$B400)),"ID LISTS UNALIGNED",and($A401&lt;&gt;"",countif('5) Release_Track'!$F:$F,$A401)=0),"NO ISRC MATCH in Release_Track",and($B401&lt;&gt;"",countif('5) Release_Track'!$G:$G,$B401)=0),"NO CATALOG ID MATCH in Release_Track",iserror(vlookup($A401&amp;$B401,'5) Release_Track'!$F:$F&amp;'5) Release_Track'!$G:$G,1,0)),"NO ISRC-CATALOG ID pair MATCH in Release_Track" )</f>
        <v/>
      </c>
      <c r="E401" s="125" t="str">
        <f t="array" ref="E401">ifs(and(isblank($A401),isblank($B401)),"", not(iserror(vlookup($A401&amp;$B401,'5) Release_Track'!$F:$F&amp;'5) Release_Track'!$G:$G,1,0))),vlookup($A401&amp;$B401,{'5) Release_Track'!$F:$F&amp;'5) Release_Track'!$G:$G,'5) Release_Track'!$J:$J},2,0), or(and(not(isblank($B401)),$B401=$B400,$A401&lt;&gt;$A400),and(not(isblank($A401)),$A401=$A400,$B401&lt;&gt;$B400)),"ID LISTS UNALIGNED",and($A401&lt;&gt;"",countif('5) Release_Track'!$F:$F,$A401)=0),"NO ISRC MATCH in Release_Track",and($B401&lt;&gt;"",countif('5) Release_Track'!$G:$G,$B401)=0),"NO CATALOG ID MATCH in Release_Track",iserror(vlookup($A401&amp;$B401,'5) Release_Track'!$F:$F&amp;'5) Release_Track'!$G:$G,1,0)),"NO ISRC-CATALOG ID pair MATCH in Release_Track" )</f>
        <v/>
      </c>
      <c r="F401" s="122"/>
      <c r="G401" s="99"/>
      <c r="H401" s="178"/>
      <c r="I401" s="121" t="str">
        <f t="shared" si="6"/>
        <v/>
      </c>
      <c r="J401" s="99"/>
      <c r="K401" s="99"/>
    </row>
    <row r="402">
      <c r="B402" s="103"/>
      <c r="C402" s="121" t="str">
        <f t="array" ref="C402">ifs(and(isblank($A402),isblank($B402)),"", not(iserror(vlookup($A402&amp;$B402,'5) Release_Track'!$F:$F&amp;'5) Release_Track'!$G:$G,1,0))),vlookup($A402&amp;$B402,{'5) Release_Track'!$F:$F&amp;'5) Release_Track'!$G:$G,'5) Release_Track'!$H:$H},2,0), or(and(not(isblank($B402)),$B402=$B401,$A402&lt;&gt;$A401),and(not(isblank($A402)),$A402=$A401,$B402&lt;&gt;$B401)),"ID LISTS UNALIGNED",and($A402&lt;&gt;"",countif('5) Release_Track'!$F:$F,$A402)=0),"NO ISRC MATCH in Release_Track",and($B402&lt;&gt;"",countif('5) Release_Track'!$G:$G,$B402)=0),"NO CATALOG ID MATCH in Release_Track",iserror(vlookup($A402&amp;$B402,'5) Release_Track'!$F:$F&amp;'5) Release_Track'!$G:$G,1,0)),"NO ISRC-CATALOG ID pair MATCH in Release_Track" )</f>
        <v/>
      </c>
      <c r="D402" s="121" t="str">
        <f t="array" ref="D402">ifs(and(isblank($A402),isblank($B402)),"", not(iserror(vlookup($A402&amp;$B402,'5) Release_Track'!$F:$F&amp;'5) Release_Track'!$G:$G,1,0))),vlookup($A402&amp;$B402,{'5) Release_Track'!$F:$F&amp;'5) Release_Track'!$G:$G,'5) Release_Track'!$I:$I},2,0), or(and(not(isblank($B402)),$B402=$B401,$A402&lt;&gt;$A401),and(not(isblank($A402)),$A402=$A401,$B402&lt;&gt;$B401)),"ID LISTS UNALIGNED",and($A402&lt;&gt;"",countif('5) Release_Track'!$F:$F,$A402)=0),"NO ISRC MATCH in Release_Track",and($B402&lt;&gt;"",countif('5) Release_Track'!$G:$G,$B402)=0),"NO CATALOG ID MATCH in Release_Track",iserror(vlookup($A402&amp;$B402,'5) Release_Track'!$F:$F&amp;'5) Release_Track'!$G:$G,1,0)),"NO ISRC-CATALOG ID pair MATCH in Release_Track" )</f>
        <v/>
      </c>
      <c r="E402" s="125" t="str">
        <f t="array" ref="E402">ifs(and(isblank($A402),isblank($B402)),"", not(iserror(vlookup($A402&amp;$B402,'5) Release_Track'!$F:$F&amp;'5) Release_Track'!$G:$G,1,0))),vlookup($A402&amp;$B402,{'5) Release_Track'!$F:$F&amp;'5) Release_Track'!$G:$G,'5) Release_Track'!$J:$J},2,0), or(and(not(isblank($B402)),$B402=$B401,$A402&lt;&gt;$A401),and(not(isblank($A402)),$A402=$A401,$B402&lt;&gt;$B401)),"ID LISTS UNALIGNED",and($A402&lt;&gt;"",countif('5) Release_Track'!$F:$F,$A402)=0),"NO ISRC MATCH in Release_Track",and($B402&lt;&gt;"",countif('5) Release_Track'!$G:$G,$B402)=0),"NO CATALOG ID MATCH in Release_Track",iserror(vlookup($A402&amp;$B402,'5) Release_Track'!$F:$F&amp;'5) Release_Track'!$G:$G,1,0)),"NO ISRC-CATALOG ID pair MATCH in Release_Track" )</f>
        <v/>
      </c>
      <c r="F402" s="122"/>
      <c r="G402" s="99"/>
      <c r="H402" s="178"/>
      <c r="I402" s="121" t="str">
        <f t="shared" si="6"/>
        <v/>
      </c>
      <c r="J402" s="99"/>
      <c r="K402" s="99"/>
    </row>
    <row r="403">
      <c r="B403" s="103"/>
      <c r="C403" s="121" t="str">
        <f t="array" ref="C403">ifs(and(isblank($A403),isblank($B403)),"", not(iserror(vlookup($A403&amp;$B403,'5) Release_Track'!$F:$F&amp;'5) Release_Track'!$G:$G,1,0))),vlookup($A403&amp;$B403,{'5) Release_Track'!$F:$F&amp;'5) Release_Track'!$G:$G,'5) Release_Track'!$H:$H},2,0), or(and(not(isblank($B403)),$B403=$B402,$A403&lt;&gt;$A402),and(not(isblank($A403)),$A403=$A402,$B403&lt;&gt;$B402)),"ID LISTS UNALIGNED",and($A403&lt;&gt;"",countif('5) Release_Track'!$F:$F,$A403)=0),"NO ISRC MATCH in Release_Track",and($B403&lt;&gt;"",countif('5) Release_Track'!$G:$G,$B403)=0),"NO CATALOG ID MATCH in Release_Track",iserror(vlookup($A403&amp;$B403,'5) Release_Track'!$F:$F&amp;'5) Release_Track'!$G:$G,1,0)),"NO ISRC-CATALOG ID pair MATCH in Release_Track" )</f>
        <v/>
      </c>
      <c r="D403" s="121" t="str">
        <f t="array" ref="D403">ifs(and(isblank($A403),isblank($B403)),"", not(iserror(vlookup($A403&amp;$B403,'5) Release_Track'!$F:$F&amp;'5) Release_Track'!$G:$G,1,0))),vlookup($A403&amp;$B403,{'5) Release_Track'!$F:$F&amp;'5) Release_Track'!$G:$G,'5) Release_Track'!$I:$I},2,0), or(and(not(isblank($B403)),$B403=$B402,$A403&lt;&gt;$A402),and(not(isblank($A403)),$A403=$A402,$B403&lt;&gt;$B402)),"ID LISTS UNALIGNED",and($A403&lt;&gt;"",countif('5) Release_Track'!$F:$F,$A403)=0),"NO ISRC MATCH in Release_Track",and($B403&lt;&gt;"",countif('5) Release_Track'!$G:$G,$B403)=0),"NO CATALOG ID MATCH in Release_Track",iserror(vlookup($A403&amp;$B403,'5) Release_Track'!$F:$F&amp;'5) Release_Track'!$G:$G,1,0)),"NO ISRC-CATALOG ID pair MATCH in Release_Track" )</f>
        <v/>
      </c>
      <c r="E403" s="125" t="str">
        <f t="array" ref="E403">ifs(and(isblank($A403),isblank($B403)),"", not(iserror(vlookup($A403&amp;$B403,'5) Release_Track'!$F:$F&amp;'5) Release_Track'!$G:$G,1,0))),vlookup($A403&amp;$B403,{'5) Release_Track'!$F:$F&amp;'5) Release_Track'!$G:$G,'5) Release_Track'!$J:$J},2,0), or(and(not(isblank($B403)),$B403=$B402,$A403&lt;&gt;$A402),and(not(isblank($A403)),$A403=$A402,$B403&lt;&gt;$B402)),"ID LISTS UNALIGNED",and($A403&lt;&gt;"",countif('5) Release_Track'!$F:$F,$A403)=0),"NO ISRC MATCH in Release_Track",and($B403&lt;&gt;"",countif('5) Release_Track'!$G:$G,$B403)=0),"NO CATALOG ID MATCH in Release_Track",iserror(vlookup($A403&amp;$B403,'5) Release_Track'!$F:$F&amp;'5) Release_Track'!$G:$G,1,0)),"NO ISRC-CATALOG ID pair MATCH in Release_Track" )</f>
        <v/>
      </c>
      <c r="F403" s="122"/>
      <c r="G403" s="99"/>
      <c r="H403" s="178"/>
      <c r="I403" s="121" t="str">
        <f t="shared" si="6"/>
        <v/>
      </c>
      <c r="J403" s="99"/>
      <c r="K403" s="99"/>
    </row>
    <row r="404">
      <c r="B404" s="103"/>
      <c r="C404" s="121" t="str">
        <f t="array" ref="C404">ifs(and(isblank($A404),isblank($B404)),"", not(iserror(vlookup($A404&amp;$B404,'5) Release_Track'!$F:$F&amp;'5) Release_Track'!$G:$G,1,0))),vlookup($A404&amp;$B404,{'5) Release_Track'!$F:$F&amp;'5) Release_Track'!$G:$G,'5) Release_Track'!$H:$H},2,0), or(and(not(isblank($B404)),$B404=$B403,$A404&lt;&gt;$A403),and(not(isblank($A404)),$A404=$A403,$B404&lt;&gt;$B403)),"ID LISTS UNALIGNED",and($A404&lt;&gt;"",countif('5) Release_Track'!$F:$F,$A404)=0),"NO ISRC MATCH in Release_Track",and($B404&lt;&gt;"",countif('5) Release_Track'!$G:$G,$B404)=0),"NO CATALOG ID MATCH in Release_Track",iserror(vlookup($A404&amp;$B404,'5) Release_Track'!$F:$F&amp;'5) Release_Track'!$G:$G,1,0)),"NO ISRC-CATALOG ID pair MATCH in Release_Track" )</f>
        <v/>
      </c>
      <c r="D404" s="121" t="str">
        <f t="array" ref="D404">ifs(and(isblank($A404),isblank($B404)),"", not(iserror(vlookup($A404&amp;$B404,'5) Release_Track'!$F:$F&amp;'5) Release_Track'!$G:$G,1,0))),vlookup($A404&amp;$B404,{'5) Release_Track'!$F:$F&amp;'5) Release_Track'!$G:$G,'5) Release_Track'!$I:$I},2,0), or(and(not(isblank($B404)),$B404=$B403,$A404&lt;&gt;$A403),and(not(isblank($A404)),$A404=$A403,$B404&lt;&gt;$B403)),"ID LISTS UNALIGNED",and($A404&lt;&gt;"",countif('5) Release_Track'!$F:$F,$A404)=0),"NO ISRC MATCH in Release_Track",and($B404&lt;&gt;"",countif('5) Release_Track'!$G:$G,$B404)=0),"NO CATALOG ID MATCH in Release_Track",iserror(vlookup($A404&amp;$B404,'5) Release_Track'!$F:$F&amp;'5) Release_Track'!$G:$G,1,0)),"NO ISRC-CATALOG ID pair MATCH in Release_Track" )</f>
        <v/>
      </c>
      <c r="E404" s="125" t="str">
        <f t="array" ref="E404">ifs(and(isblank($A404),isblank($B404)),"", not(iserror(vlookup($A404&amp;$B404,'5) Release_Track'!$F:$F&amp;'5) Release_Track'!$G:$G,1,0))),vlookup($A404&amp;$B404,{'5) Release_Track'!$F:$F&amp;'5) Release_Track'!$G:$G,'5) Release_Track'!$J:$J},2,0), or(and(not(isblank($B404)),$B404=$B403,$A404&lt;&gt;$A403),and(not(isblank($A404)),$A404=$A403,$B404&lt;&gt;$B403)),"ID LISTS UNALIGNED",and($A404&lt;&gt;"",countif('5) Release_Track'!$F:$F,$A404)=0),"NO ISRC MATCH in Release_Track",and($B404&lt;&gt;"",countif('5) Release_Track'!$G:$G,$B404)=0),"NO CATALOG ID MATCH in Release_Track",iserror(vlookup($A404&amp;$B404,'5) Release_Track'!$F:$F&amp;'5) Release_Track'!$G:$G,1,0)),"NO ISRC-CATALOG ID pair MATCH in Release_Track" )</f>
        <v/>
      </c>
      <c r="F404" s="122"/>
      <c r="G404" s="99"/>
      <c r="H404" s="178"/>
      <c r="I404" s="121" t="str">
        <f t="shared" si="6"/>
        <v/>
      </c>
      <c r="J404" s="99"/>
      <c r="K404" s="99"/>
    </row>
    <row r="405">
      <c r="B405" s="103"/>
      <c r="C405" s="121" t="str">
        <f t="array" ref="C405">ifs(and(isblank($A405),isblank($B405)),"", not(iserror(vlookup($A405&amp;$B405,'5) Release_Track'!$F:$F&amp;'5) Release_Track'!$G:$G,1,0))),vlookup($A405&amp;$B405,{'5) Release_Track'!$F:$F&amp;'5) Release_Track'!$G:$G,'5) Release_Track'!$H:$H},2,0), or(and(not(isblank($B405)),$B405=$B404,$A405&lt;&gt;$A404),and(not(isblank($A405)),$A405=$A404,$B405&lt;&gt;$B404)),"ID LISTS UNALIGNED",and($A405&lt;&gt;"",countif('5) Release_Track'!$F:$F,$A405)=0),"NO ISRC MATCH in Release_Track",and($B405&lt;&gt;"",countif('5) Release_Track'!$G:$G,$B405)=0),"NO CATALOG ID MATCH in Release_Track",iserror(vlookup($A405&amp;$B405,'5) Release_Track'!$F:$F&amp;'5) Release_Track'!$G:$G,1,0)),"NO ISRC-CATALOG ID pair MATCH in Release_Track" )</f>
        <v/>
      </c>
      <c r="D405" s="121" t="str">
        <f t="array" ref="D405">ifs(and(isblank($A405),isblank($B405)),"", not(iserror(vlookup($A405&amp;$B405,'5) Release_Track'!$F:$F&amp;'5) Release_Track'!$G:$G,1,0))),vlookup($A405&amp;$B405,{'5) Release_Track'!$F:$F&amp;'5) Release_Track'!$G:$G,'5) Release_Track'!$I:$I},2,0), or(and(not(isblank($B405)),$B405=$B404,$A405&lt;&gt;$A404),and(not(isblank($A405)),$A405=$A404,$B405&lt;&gt;$B404)),"ID LISTS UNALIGNED",and($A405&lt;&gt;"",countif('5) Release_Track'!$F:$F,$A405)=0),"NO ISRC MATCH in Release_Track",and($B405&lt;&gt;"",countif('5) Release_Track'!$G:$G,$B405)=0),"NO CATALOG ID MATCH in Release_Track",iserror(vlookup($A405&amp;$B405,'5) Release_Track'!$F:$F&amp;'5) Release_Track'!$G:$G,1,0)),"NO ISRC-CATALOG ID pair MATCH in Release_Track" )</f>
        <v/>
      </c>
      <c r="E405" s="125" t="str">
        <f t="array" ref="E405">ifs(and(isblank($A405),isblank($B405)),"", not(iserror(vlookup($A405&amp;$B405,'5) Release_Track'!$F:$F&amp;'5) Release_Track'!$G:$G,1,0))),vlookup($A405&amp;$B405,{'5) Release_Track'!$F:$F&amp;'5) Release_Track'!$G:$G,'5) Release_Track'!$J:$J},2,0), or(and(not(isblank($B405)),$B405=$B404,$A405&lt;&gt;$A404),and(not(isblank($A405)),$A405=$A404,$B405&lt;&gt;$B404)),"ID LISTS UNALIGNED",and($A405&lt;&gt;"",countif('5) Release_Track'!$F:$F,$A405)=0),"NO ISRC MATCH in Release_Track",and($B405&lt;&gt;"",countif('5) Release_Track'!$G:$G,$B405)=0),"NO CATALOG ID MATCH in Release_Track",iserror(vlookup($A405&amp;$B405,'5) Release_Track'!$F:$F&amp;'5) Release_Track'!$G:$G,1,0)),"NO ISRC-CATALOG ID pair MATCH in Release_Track" )</f>
        <v/>
      </c>
      <c r="F405" s="122"/>
      <c r="G405" s="99"/>
      <c r="H405" s="178"/>
      <c r="I405" s="121" t="str">
        <f t="shared" si="6"/>
        <v/>
      </c>
      <c r="J405" s="99"/>
      <c r="K405" s="99"/>
    </row>
    <row r="406">
      <c r="B406" s="103"/>
      <c r="C406" s="121" t="str">
        <f t="array" ref="C406">ifs(and(isblank($A406),isblank($B406)),"", not(iserror(vlookup($A406&amp;$B406,'5) Release_Track'!$F:$F&amp;'5) Release_Track'!$G:$G,1,0))),vlookup($A406&amp;$B406,{'5) Release_Track'!$F:$F&amp;'5) Release_Track'!$G:$G,'5) Release_Track'!$H:$H},2,0), or(and(not(isblank($B406)),$B406=$B405,$A406&lt;&gt;$A405),and(not(isblank($A406)),$A406=$A405,$B406&lt;&gt;$B405)),"ID LISTS UNALIGNED",and($A406&lt;&gt;"",countif('5) Release_Track'!$F:$F,$A406)=0),"NO ISRC MATCH in Release_Track",and($B406&lt;&gt;"",countif('5) Release_Track'!$G:$G,$B406)=0),"NO CATALOG ID MATCH in Release_Track",iserror(vlookup($A406&amp;$B406,'5) Release_Track'!$F:$F&amp;'5) Release_Track'!$G:$G,1,0)),"NO ISRC-CATALOG ID pair MATCH in Release_Track" )</f>
        <v/>
      </c>
      <c r="D406" s="121" t="str">
        <f t="array" ref="D406">ifs(and(isblank($A406),isblank($B406)),"", not(iserror(vlookup($A406&amp;$B406,'5) Release_Track'!$F:$F&amp;'5) Release_Track'!$G:$G,1,0))),vlookup($A406&amp;$B406,{'5) Release_Track'!$F:$F&amp;'5) Release_Track'!$G:$G,'5) Release_Track'!$I:$I},2,0), or(and(not(isblank($B406)),$B406=$B405,$A406&lt;&gt;$A405),and(not(isblank($A406)),$A406=$A405,$B406&lt;&gt;$B405)),"ID LISTS UNALIGNED",and($A406&lt;&gt;"",countif('5) Release_Track'!$F:$F,$A406)=0),"NO ISRC MATCH in Release_Track",and($B406&lt;&gt;"",countif('5) Release_Track'!$G:$G,$B406)=0),"NO CATALOG ID MATCH in Release_Track",iserror(vlookup($A406&amp;$B406,'5) Release_Track'!$F:$F&amp;'5) Release_Track'!$G:$G,1,0)),"NO ISRC-CATALOG ID pair MATCH in Release_Track" )</f>
        <v/>
      </c>
      <c r="E406" s="125" t="str">
        <f t="array" ref="E406">ifs(and(isblank($A406),isblank($B406)),"", not(iserror(vlookup($A406&amp;$B406,'5) Release_Track'!$F:$F&amp;'5) Release_Track'!$G:$G,1,0))),vlookup($A406&amp;$B406,{'5) Release_Track'!$F:$F&amp;'5) Release_Track'!$G:$G,'5) Release_Track'!$J:$J},2,0), or(and(not(isblank($B406)),$B406=$B405,$A406&lt;&gt;$A405),and(not(isblank($A406)),$A406=$A405,$B406&lt;&gt;$B405)),"ID LISTS UNALIGNED",and($A406&lt;&gt;"",countif('5) Release_Track'!$F:$F,$A406)=0),"NO ISRC MATCH in Release_Track",and($B406&lt;&gt;"",countif('5) Release_Track'!$G:$G,$B406)=0),"NO CATALOG ID MATCH in Release_Track",iserror(vlookup($A406&amp;$B406,'5) Release_Track'!$F:$F&amp;'5) Release_Track'!$G:$G,1,0)),"NO ISRC-CATALOG ID pair MATCH in Release_Track" )</f>
        <v/>
      </c>
      <c r="F406" s="122"/>
      <c r="G406" s="99"/>
      <c r="H406" s="178"/>
      <c r="I406" s="121" t="str">
        <f t="shared" si="6"/>
        <v/>
      </c>
      <c r="J406" s="99"/>
      <c r="K406" s="99"/>
    </row>
    <row r="407">
      <c r="B407" s="103"/>
      <c r="C407" s="121" t="str">
        <f t="array" ref="C407">ifs(and(isblank($A407),isblank($B407)),"", not(iserror(vlookup($A407&amp;$B407,'5) Release_Track'!$F:$F&amp;'5) Release_Track'!$G:$G,1,0))),vlookup($A407&amp;$B407,{'5) Release_Track'!$F:$F&amp;'5) Release_Track'!$G:$G,'5) Release_Track'!$H:$H},2,0), or(and(not(isblank($B407)),$B407=$B406,$A407&lt;&gt;$A406),and(not(isblank($A407)),$A407=$A406,$B407&lt;&gt;$B406)),"ID LISTS UNALIGNED",and($A407&lt;&gt;"",countif('5) Release_Track'!$F:$F,$A407)=0),"NO ISRC MATCH in Release_Track",and($B407&lt;&gt;"",countif('5) Release_Track'!$G:$G,$B407)=0),"NO CATALOG ID MATCH in Release_Track",iserror(vlookup($A407&amp;$B407,'5) Release_Track'!$F:$F&amp;'5) Release_Track'!$G:$G,1,0)),"NO ISRC-CATALOG ID pair MATCH in Release_Track" )</f>
        <v/>
      </c>
      <c r="D407" s="121" t="str">
        <f t="array" ref="D407">ifs(and(isblank($A407),isblank($B407)),"", not(iserror(vlookup($A407&amp;$B407,'5) Release_Track'!$F:$F&amp;'5) Release_Track'!$G:$G,1,0))),vlookup($A407&amp;$B407,{'5) Release_Track'!$F:$F&amp;'5) Release_Track'!$G:$G,'5) Release_Track'!$I:$I},2,0), or(and(not(isblank($B407)),$B407=$B406,$A407&lt;&gt;$A406),and(not(isblank($A407)),$A407=$A406,$B407&lt;&gt;$B406)),"ID LISTS UNALIGNED",and($A407&lt;&gt;"",countif('5) Release_Track'!$F:$F,$A407)=0),"NO ISRC MATCH in Release_Track",and($B407&lt;&gt;"",countif('5) Release_Track'!$G:$G,$B407)=0),"NO CATALOG ID MATCH in Release_Track",iserror(vlookup($A407&amp;$B407,'5) Release_Track'!$F:$F&amp;'5) Release_Track'!$G:$G,1,0)),"NO ISRC-CATALOG ID pair MATCH in Release_Track" )</f>
        <v/>
      </c>
      <c r="E407" s="125" t="str">
        <f t="array" ref="E407">ifs(and(isblank($A407),isblank($B407)),"", not(iserror(vlookup($A407&amp;$B407,'5) Release_Track'!$F:$F&amp;'5) Release_Track'!$G:$G,1,0))),vlookup($A407&amp;$B407,{'5) Release_Track'!$F:$F&amp;'5) Release_Track'!$G:$G,'5) Release_Track'!$J:$J},2,0), or(and(not(isblank($B407)),$B407=$B406,$A407&lt;&gt;$A406),and(not(isblank($A407)),$A407=$A406,$B407&lt;&gt;$B406)),"ID LISTS UNALIGNED",and($A407&lt;&gt;"",countif('5) Release_Track'!$F:$F,$A407)=0),"NO ISRC MATCH in Release_Track",and($B407&lt;&gt;"",countif('5) Release_Track'!$G:$G,$B407)=0),"NO CATALOG ID MATCH in Release_Track",iserror(vlookup($A407&amp;$B407,'5) Release_Track'!$F:$F&amp;'5) Release_Track'!$G:$G,1,0)),"NO ISRC-CATALOG ID pair MATCH in Release_Track" )</f>
        <v/>
      </c>
      <c r="F407" s="122"/>
      <c r="G407" s="99"/>
      <c r="H407" s="178"/>
      <c r="I407" s="121" t="str">
        <f t="shared" si="6"/>
        <v/>
      </c>
      <c r="J407" s="99"/>
      <c r="K407" s="99"/>
    </row>
    <row r="408">
      <c r="B408" s="103"/>
      <c r="C408" s="121" t="str">
        <f t="array" ref="C408">ifs(and(isblank($A408),isblank($B408)),"", not(iserror(vlookup($A408&amp;$B408,'5) Release_Track'!$F:$F&amp;'5) Release_Track'!$G:$G,1,0))),vlookup($A408&amp;$B408,{'5) Release_Track'!$F:$F&amp;'5) Release_Track'!$G:$G,'5) Release_Track'!$H:$H},2,0), or(and(not(isblank($B408)),$B408=$B407,$A408&lt;&gt;$A407),and(not(isblank($A408)),$A408=$A407,$B408&lt;&gt;$B407)),"ID LISTS UNALIGNED",and($A408&lt;&gt;"",countif('5) Release_Track'!$F:$F,$A408)=0),"NO ISRC MATCH in Release_Track",and($B408&lt;&gt;"",countif('5) Release_Track'!$G:$G,$B408)=0),"NO CATALOG ID MATCH in Release_Track",iserror(vlookup($A408&amp;$B408,'5) Release_Track'!$F:$F&amp;'5) Release_Track'!$G:$G,1,0)),"NO ISRC-CATALOG ID pair MATCH in Release_Track" )</f>
        <v/>
      </c>
      <c r="D408" s="121" t="str">
        <f t="array" ref="D408">ifs(and(isblank($A408),isblank($B408)),"", not(iserror(vlookup($A408&amp;$B408,'5) Release_Track'!$F:$F&amp;'5) Release_Track'!$G:$G,1,0))),vlookup($A408&amp;$B408,{'5) Release_Track'!$F:$F&amp;'5) Release_Track'!$G:$G,'5) Release_Track'!$I:$I},2,0), or(and(not(isblank($B408)),$B408=$B407,$A408&lt;&gt;$A407),and(not(isblank($A408)),$A408=$A407,$B408&lt;&gt;$B407)),"ID LISTS UNALIGNED",and($A408&lt;&gt;"",countif('5) Release_Track'!$F:$F,$A408)=0),"NO ISRC MATCH in Release_Track",and($B408&lt;&gt;"",countif('5) Release_Track'!$G:$G,$B408)=0),"NO CATALOG ID MATCH in Release_Track",iserror(vlookup($A408&amp;$B408,'5) Release_Track'!$F:$F&amp;'5) Release_Track'!$G:$G,1,0)),"NO ISRC-CATALOG ID pair MATCH in Release_Track" )</f>
        <v/>
      </c>
      <c r="E408" s="125" t="str">
        <f t="array" ref="E408">ifs(and(isblank($A408),isblank($B408)),"", not(iserror(vlookup($A408&amp;$B408,'5) Release_Track'!$F:$F&amp;'5) Release_Track'!$G:$G,1,0))),vlookup($A408&amp;$B408,{'5) Release_Track'!$F:$F&amp;'5) Release_Track'!$G:$G,'5) Release_Track'!$J:$J},2,0), or(and(not(isblank($B408)),$B408=$B407,$A408&lt;&gt;$A407),and(not(isblank($A408)),$A408=$A407,$B408&lt;&gt;$B407)),"ID LISTS UNALIGNED",and($A408&lt;&gt;"",countif('5) Release_Track'!$F:$F,$A408)=0),"NO ISRC MATCH in Release_Track",and($B408&lt;&gt;"",countif('5) Release_Track'!$G:$G,$B408)=0),"NO CATALOG ID MATCH in Release_Track",iserror(vlookup($A408&amp;$B408,'5) Release_Track'!$F:$F&amp;'5) Release_Track'!$G:$G,1,0)),"NO ISRC-CATALOG ID pair MATCH in Release_Track" )</f>
        <v/>
      </c>
      <c r="F408" s="122"/>
      <c r="G408" s="99"/>
      <c r="H408" s="178"/>
      <c r="I408" s="121" t="str">
        <f t="shared" si="6"/>
        <v/>
      </c>
      <c r="J408" s="99"/>
      <c r="K408" s="99"/>
    </row>
    <row r="409">
      <c r="B409" s="103"/>
      <c r="C409" s="121" t="str">
        <f t="array" ref="C409">ifs(and(isblank($A409),isblank($B409)),"", not(iserror(vlookup($A409&amp;$B409,'5) Release_Track'!$F:$F&amp;'5) Release_Track'!$G:$G,1,0))),vlookup($A409&amp;$B409,{'5) Release_Track'!$F:$F&amp;'5) Release_Track'!$G:$G,'5) Release_Track'!$H:$H},2,0), or(and(not(isblank($B409)),$B409=$B408,$A409&lt;&gt;$A408),and(not(isblank($A409)),$A409=$A408,$B409&lt;&gt;$B408)),"ID LISTS UNALIGNED",and($A409&lt;&gt;"",countif('5) Release_Track'!$F:$F,$A409)=0),"NO ISRC MATCH in Release_Track",and($B409&lt;&gt;"",countif('5) Release_Track'!$G:$G,$B409)=0),"NO CATALOG ID MATCH in Release_Track",iserror(vlookup($A409&amp;$B409,'5) Release_Track'!$F:$F&amp;'5) Release_Track'!$G:$G,1,0)),"NO ISRC-CATALOG ID pair MATCH in Release_Track" )</f>
        <v/>
      </c>
      <c r="D409" s="121" t="str">
        <f t="array" ref="D409">ifs(and(isblank($A409),isblank($B409)),"", not(iserror(vlookup($A409&amp;$B409,'5) Release_Track'!$F:$F&amp;'5) Release_Track'!$G:$G,1,0))),vlookup($A409&amp;$B409,{'5) Release_Track'!$F:$F&amp;'5) Release_Track'!$G:$G,'5) Release_Track'!$I:$I},2,0), or(and(not(isblank($B409)),$B409=$B408,$A409&lt;&gt;$A408),and(not(isblank($A409)),$A409=$A408,$B409&lt;&gt;$B408)),"ID LISTS UNALIGNED",and($A409&lt;&gt;"",countif('5) Release_Track'!$F:$F,$A409)=0),"NO ISRC MATCH in Release_Track",and($B409&lt;&gt;"",countif('5) Release_Track'!$G:$G,$B409)=0),"NO CATALOG ID MATCH in Release_Track",iserror(vlookup($A409&amp;$B409,'5) Release_Track'!$F:$F&amp;'5) Release_Track'!$G:$G,1,0)),"NO ISRC-CATALOG ID pair MATCH in Release_Track" )</f>
        <v/>
      </c>
      <c r="E409" s="125" t="str">
        <f t="array" ref="E409">ifs(and(isblank($A409),isblank($B409)),"", not(iserror(vlookup($A409&amp;$B409,'5) Release_Track'!$F:$F&amp;'5) Release_Track'!$G:$G,1,0))),vlookup($A409&amp;$B409,{'5) Release_Track'!$F:$F&amp;'5) Release_Track'!$G:$G,'5) Release_Track'!$J:$J},2,0), or(and(not(isblank($B409)),$B409=$B408,$A409&lt;&gt;$A408),and(not(isblank($A409)),$A409=$A408,$B409&lt;&gt;$B408)),"ID LISTS UNALIGNED",and($A409&lt;&gt;"",countif('5) Release_Track'!$F:$F,$A409)=0),"NO ISRC MATCH in Release_Track",and($B409&lt;&gt;"",countif('5) Release_Track'!$G:$G,$B409)=0),"NO CATALOG ID MATCH in Release_Track",iserror(vlookup($A409&amp;$B409,'5) Release_Track'!$F:$F&amp;'5) Release_Track'!$G:$G,1,0)),"NO ISRC-CATALOG ID pair MATCH in Release_Track" )</f>
        <v/>
      </c>
      <c r="F409" s="122"/>
      <c r="G409" s="99"/>
      <c r="H409" s="178"/>
      <c r="I409" s="121" t="str">
        <f t="shared" si="6"/>
        <v/>
      </c>
      <c r="J409" s="99"/>
      <c r="K409" s="99"/>
    </row>
    <row r="410">
      <c r="B410" s="103"/>
      <c r="C410" s="121" t="str">
        <f t="array" ref="C410">ifs(and(isblank($A410),isblank($B410)),"", not(iserror(vlookup($A410&amp;$B410,'5) Release_Track'!$F:$F&amp;'5) Release_Track'!$G:$G,1,0))),vlookup($A410&amp;$B410,{'5) Release_Track'!$F:$F&amp;'5) Release_Track'!$G:$G,'5) Release_Track'!$H:$H},2,0), or(and(not(isblank($B410)),$B410=$B409,$A410&lt;&gt;$A409),and(not(isblank($A410)),$A410=$A409,$B410&lt;&gt;$B409)),"ID LISTS UNALIGNED",and($A410&lt;&gt;"",countif('5) Release_Track'!$F:$F,$A410)=0),"NO ISRC MATCH in Release_Track",and($B410&lt;&gt;"",countif('5) Release_Track'!$G:$G,$B410)=0),"NO CATALOG ID MATCH in Release_Track",iserror(vlookup($A410&amp;$B410,'5) Release_Track'!$F:$F&amp;'5) Release_Track'!$G:$G,1,0)),"NO ISRC-CATALOG ID pair MATCH in Release_Track" )</f>
        <v/>
      </c>
      <c r="D410" s="121" t="str">
        <f t="array" ref="D410">ifs(and(isblank($A410),isblank($B410)),"", not(iserror(vlookup($A410&amp;$B410,'5) Release_Track'!$F:$F&amp;'5) Release_Track'!$G:$G,1,0))),vlookup($A410&amp;$B410,{'5) Release_Track'!$F:$F&amp;'5) Release_Track'!$G:$G,'5) Release_Track'!$I:$I},2,0), or(and(not(isblank($B410)),$B410=$B409,$A410&lt;&gt;$A409),and(not(isblank($A410)),$A410=$A409,$B410&lt;&gt;$B409)),"ID LISTS UNALIGNED",and($A410&lt;&gt;"",countif('5) Release_Track'!$F:$F,$A410)=0),"NO ISRC MATCH in Release_Track",and($B410&lt;&gt;"",countif('5) Release_Track'!$G:$G,$B410)=0),"NO CATALOG ID MATCH in Release_Track",iserror(vlookup($A410&amp;$B410,'5) Release_Track'!$F:$F&amp;'5) Release_Track'!$G:$G,1,0)),"NO ISRC-CATALOG ID pair MATCH in Release_Track" )</f>
        <v/>
      </c>
      <c r="E410" s="125" t="str">
        <f t="array" ref="E410">ifs(and(isblank($A410),isblank($B410)),"", not(iserror(vlookup($A410&amp;$B410,'5) Release_Track'!$F:$F&amp;'5) Release_Track'!$G:$G,1,0))),vlookup($A410&amp;$B410,{'5) Release_Track'!$F:$F&amp;'5) Release_Track'!$G:$G,'5) Release_Track'!$J:$J},2,0), or(and(not(isblank($B410)),$B410=$B409,$A410&lt;&gt;$A409),and(not(isblank($A410)),$A410=$A409,$B410&lt;&gt;$B409)),"ID LISTS UNALIGNED",and($A410&lt;&gt;"",countif('5) Release_Track'!$F:$F,$A410)=0),"NO ISRC MATCH in Release_Track",and($B410&lt;&gt;"",countif('5) Release_Track'!$G:$G,$B410)=0),"NO CATALOG ID MATCH in Release_Track",iserror(vlookup($A410&amp;$B410,'5) Release_Track'!$F:$F&amp;'5) Release_Track'!$G:$G,1,0)),"NO ISRC-CATALOG ID pair MATCH in Release_Track" )</f>
        <v/>
      </c>
      <c r="F410" s="122"/>
      <c r="G410" s="99"/>
      <c r="H410" s="178"/>
      <c r="I410" s="121" t="str">
        <f t="shared" si="6"/>
        <v/>
      </c>
      <c r="J410" s="99"/>
      <c r="K410" s="99"/>
    </row>
    <row r="411">
      <c r="B411" s="103"/>
      <c r="C411" s="121" t="str">
        <f t="array" ref="C411">ifs(and(isblank($A411),isblank($B411)),"", not(iserror(vlookup($A411&amp;$B411,'5) Release_Track'!$F:$F&amp;'5) Release_Track'!$G:$G,1,0))),vlookup($A411&amp;$B411,{'5) Release_Track'!$F:$F&amp;'5) Release_Track'!$G:$G,'5) Release_Track'!$H:$H},2,0), or(and(not(isblank($B411)),$B411=$B410,$A411&lt;&gt;$A410),and(not(isblank($A411)),$A411=$A410,$B411&lt;&gt;$B410)),"ID LISTS UNALIGNED",and($A411&lt;&gt;"",countif('5) Release_Track'!$F:$F,$A411)=0),"NO ISRC MATCH in Release_Track",and($B411&lt;&gt;"",countif('5) Release_Track'!$G:$G,$B411)=0),"NO CATALOG ID MATCH in Release_Track",iserror(vlookup($A411&amp;$B411,'5) Release_Track'!$F:$F&amp;'5) Release_Track'!$G:$G,1,0)),"NO ISRC-CATALOG ID pair MATCH in Release_Track" )</f>
        <v/>
      </c>
      <c r="D411" s="121" t="str">
        <f t="array" ref="D411">ifs(and(isblank($A411),isblank($B411)),"", not(iserror(vlookup($A411&amp;$B411,'5) Release_Track'!$F:$F&amp;'5) Release_Track'!$G:$G,1,0))),vlookup($A411&amp;$B411,{'5) Release_Track'!$F:$F&amp;'5) Release_Track'!$G:$G,'5) Release_Track'!$I:$I},2,0), or(and(not(isblank($B411)),$B411=$B410,$A411&lt;&gt;$A410),and(not(isblank($A411)),$A411=$A410,$B411&lt;&gt;$B410)),"ID LISTS UNALIGNED",and($A411&lt;&gt;"",countif('5) Release_Track'!$F:$F,$A411)=0),"NO ISRC MATCH in Release_Track",and($B411&lt;&gt;"",countif('5) Release_Track'!$G:$G,$B411)=0),"NO CATALOG ID MATCH in Release_Track",iserror(vlookup($A411&amp;$B411,'5) Release_Track'!$F:$F&amp;'5) Release_Track'!$G:$G,1,0)),"NO ISRC-CATALOG ID pair MATCH in Release_Track" )</f>
        <v/>
      </c>
      <c r="E411" s="125" t="str">
        <f t="array" ref="E411">ifs(and(isblank($A411),isblank($B411)),"", not(iserror(vlookup($A411&amp;$B411,'5) Release_Track'!$F:$F&amp;'5) Release_Track'!$G:$G,1,0))),vlookup($A411&amp;$B411,{'5) Release_Track'!$F:$F&amp;'5) Release_Track'!$G:$G,'5) Release_Track'!$J:$J},2,0), or(and(not(isblank($B411)),$B411=$B410,$A411&lt;&gt;$A410),and(not(isblank($A411)),$A411=$A410,$B411&lt;&gt;$B410)),"ID LISTS UNALIGNED",and($A411&lt;&gt;"",countif('5) Release_Track'!$F:$F,$A411)=0),"NO ISRC MATCH in Release_Track",and($B411&lt;&gt;"",countif('5) Release_Track'!$G:$G,$B411)=0),"NO CATALOG ID MATCH in Release_Track",iserror(vlookup($A411&amp;$B411,'5) Release_Track'!$F:$F&amp;'5) Release_Track'!$G:$G,1,0)),"NO ISRC-CATALOG ID pair MATCH in Release_Track" )</f>
        <v/>
      </c>
      <c r="F411" s="122"/>
      <c r="G411" s="99"/>
      <c r="H411" s="178"/>
      <c r="I411" s="121" t="str">
        <f t="shared" si="6"/>
        <v/>
      </c>
      <c r="J411" s="99"/>
      <c r="K411" s="99"/>
    </row>
    <row r="412">
      <c r="B412" s="103"/>
      <c r="C412" s="121" t="str">
        <f t="array" ref="C412">ifs(and(isblank($A412),isblank($B412)),"", not(iserror(vlookup($A412&amp;$B412,'5) Release_Track'!$F:$F&amp;'5) Release_Track'!$G:$G,1,0))),vlookup($A412&amp;$B412,{'5) Release_Track'!$F:$F&amp;'5) Release_Track'!$G:$G,'5) Release_Track'!$H:$H},2,0), or(and(not(isblank($B412)),$B412=$B411,$A412&lt;&gt;$A411),and(not(isblank($A412)),$A412=$A411,$B412&lt;&gt;$B411)),"ID LISTS UNALIGNED",and($A412&lt;&gt;"",countif('5) Release_Track'!$F:$F,$A412)=0),"NO ISRC MATCH in Release_Track",and($B412&lt;&gt;"",countif('5) Release_Track'!$G:$G,$B412)=0),"NO CATALOG ID MATCH in Release_Track",iserror(vlookup($A412&amp;$B412,'5) Release_Track'!$F:$F&amp;'5) Release_Track'!$G:$G,1,0)),"NO ISRC-CATALOG ID pair MATCH in Release_Track" )</f>
        <v/>
      </c>
      <c r="D412" s="121" t="str">
        <f t="array" ref="D412">ifs(and(isblank($A412),isblank($B412)),"", not(iserror(vlookup($A412&amp;$B412,'5) Release_Track'!$F:$F&amp;'5) Release_Track'!$G:$G,1,0))),vlookup($A412&amp;$B412,{'5) Release_Track'!$F:$F&amp;'5) Release_Track'!$G:$G,'5) Release_Track'!$I:$I},2,0), or(and(not(isblank($B412)),$B412=$B411,$A412&lt;&gt;$A411),and(not(isblank($A412)),$A412=$A411,$B412&lt;&gt;$B411)),"ID LISTS UNALIGNED",and($A412&lt;&gt;"",countif('5) Release_Track'!$F:$F,$A412)=0),"NO ISRC MATCH in Release_Track",and($B412&lt;&gt;"",countif('5) Release_Track'!$G:$G,$B412)=0),"NO CATALOG ID MATCH in Release_Track",iserror(vlookup($A412&amp;$B412,'5) Release_Track'!$F:$F&amp;'5) Release_Track'!$G:$G,1,0)),"NO ISRC-CATALOG ID pair MATCH in Release_Track" )</f>
        <v/>
      </c>
      <c r="E412" s="125" t="str">
        <f t="array" ref="E412">ifs(and(isblank($A412),isblank($B412)),"", not(iserror(vlookup($A412&amp;$B412,'5) Release_Track'!$F:$F&amp;'5) Release_Track'!$G:$G,1,0))),vlookup($A412&amp;$B412,{'5) Release_Track'!$F:$F&amp;'5) Release_Track'!$G:$G,'5) Release_Track'!$J:$J},2,0), or(and(not(isblank($B412)),$B412=$B411,$A412&lt;&gt;$A411),and(not(isblank($A412)),$A412=$A411,$B412&lt;&gt;$B411)),"ID LISTS UNALIGNED",and($A412&lt;&gt;"",countif('5) Release_Track'!$F:$F,$A412)=0),"NO ISRC MATCH in Release_Track",and($B412&lt;&gt;"",countif('5) Release_Track'!$G:$G,$B412)=0),"NO CATALOG ID MATCH in Release_Track",iserror(vlookup($A412&amp;$B412,'5) Release_Track'!$F:$F&amp;'5) Release_Track'!$G:$G,1,0)),"NO ISRC-CATALOG ID pair MATCH in Release_Track" )</f>
        <v/>
      </c>
      <c r="F412" s="122"/>
      <c r="G412" s="99"/>
      <c r="H412" s="178"/>
      <c r="I412" s="121" t="str">
        <f t="shared" si="6"/>
        <v/>
      </c>
      <c r="J412" s="99"/>
      <c r="K412" s="99"/>
    </row>
    <row r="413">
      <c r="B413" s="103"/>
      <c r="C413" s="121" t="str">
        <f t="array" ref="C413">ifs(and(isblank($A413),isblank($B413)),"", not(iserror(vlookup($A413&amp;$B413,'5) Release_Track'!$F:$F&amp;'5) Release_Track'!$G:$G,1,0))),vlookup($A413&amp;$B413,{'5) Release_Track'!$F:$F&amp;'5) Release_Track'!$G:$G,'5) Release_Track'!$H:$H},2,0), or(and(not(isblank($B413)),$B413=$B412,$A413&lt;&gt;$A412),and(not(isblank($A413)),$A413=$A412,$B413&lt;&gt;$B412)),"ID LISTS UNALIGNED",and($A413&lt;&gt;"",countif('5) Release_Track'!$F:$F,$A413)=0),"NO ISRC MATCH in Release_Track",and($B413&lt;&gt;"",countif('5) Release_Track'!$G:$G,$B413)=0),"NO CATALOG ID MATCH in Release_Track",iserror(vlookup($A413&amp;$B413,'5) Release_Track'!$F:$F&amp;'5) Release_Track'!$G:$G,1,0)),"NO ISRC-CATALOG ID pair MATCH in Release_Track" )</f>
        <v/>
      </c>
      <c r="D413" s="121" t="str">
        <f t="array" ref="D413">ifs(and(isblank($A413),isblank($B413)),"", not(iserror(vlookup($A413&amp;$B413,'5) Release_Track'!$F:$F&amp;'5) Release_Track'!$G:$G,1,0))),vlookup($A413&amp;$B413,{'5) Release_Track'!$F:$F&amp;'5) Release_Track'!$G:$G,'5) Release_Track'!$I:$I},2,0), or(and(not(isblank($B413)),$B413=$B412,$A413&lt;&gt;$A412),and(not(isblank($A413)),$A413=$A412,$B413&lt;&gt;$B412)),"ID LISTS UNALIGNED",and($A413&lt;&gt;"",countif('5) Release_Track'!$F:$F,$A413)=0),"NO ISRC MATCH in Release_Track",and($B413&lt;&gt;"",countif('5) Release_Track'!$G:$G,$B413)=0),"NO CATALOG ID MATCH in Release_Track",iserror(vlookup($A413&amp;$B413,'5) Release_Track'!$F:$F&amp;'5) Release_Track'!$G:$G,1,0)),"NO ISRC-CATALOG ID pair MATCH in Release_Track" )</f>
        <v/>
      </c>
      <c r="E413" s="125" t="str">
        <f t="array" ref="E413">ifs(and(isblank($A413),isblank($B413)),"", not(iserror(vlookup($A413&amp;$B413,'5) Release_Track'!$F:$F&amp;'5) Release_Track'!$G:$G,1,0))),vlookup($A413&amp;$B413,{'5) Release_Track'!$F:$F&amp;'5) Release_Track'!$G:$G,'5) Release_Track'!$J:$J},2,0), or(and(not(isblank($B413)),$B413=$B412,$A413&lt;&gt;$A412),and(not(isblank($A413)),$A413=$A412,$B413&lt;&gt;$B412)),"ID LISTS UNALIGNED",and($A413&lt;&gt;"",countif('5) Release_Track'!$F:$F,$A413)=0),"NO ISRC MATCH in Release_Track",and($B413&lt;&gt;"",countif('5) Release_Track'!$G:$G,$B413)=0),"NO CATALOG ID MATCH in Release_Track",iserror(vlookup($A413&amp;$B413,'5) Release_Track'!$F:$F&amp;'5) Release_Track'!$G:$G,1,0)),"NO ISRC-CATALOG ID pair MATCH in Release_Track" )</f>
        <v/>
      </c>
      <c r="F413" s="122"/>
      <c r="G413" s="99"/>
      <c r="H413" s="178"/>
      <c r="I413" s="121" t="str">
        <f t="shared" si="6"/>
        <v/>
      </c>
      <c r="J413" s="99"/>
      <c r="K413" s="99"/>
    </row>
    <row r="414">
      <c r="B414" s="103"/>
      <c r="C414" s="121" t="str">
        <f t="array" ref="C414">ifs(and(isblank($A414),isblank($B414)),"", not(iserror(vlookup($A414&amp;$B414,'5) Release_Track'!$F:$F&amp;'5) Release_Track'!$G:$G,1,0))),vlookup($A414&amp;$B414,{'5) Release_Track'!$F:$F&amp;'5) Release_Track'!$G:$G,'5) Release_Track'!$H:$H},2,0), or(and(not(isblank($B414)),$B414=$B413,$A414&lt;&gt;$A413),and(not(isblank($A414)),$A414=$A413,$B414&lt;&gt;$B413)),"ID LISTS UNALIGNED",and($A414&lt;&gt;"",countif('5) Release_Track'!$F:$F,$A414)=0),"NO ISRC MATCH in Release_Track",and($B414&lt;&gt;"",countif('5) Release_Track'!$G:$G,$B414)=0),"NO CATALOG ID MATCH in Release_Track",iserror(vlookup($A414&amp;$B414,'5) Release_Track'!$F:$F&amp;'5) Release_Track'!$G:$G,1,0)),"NO ISRC-CATALOG ID pair MATCH in Release_Track" )</f>
        <v/>
      </c>
      <c r="D414" s="121" t="str">
        <f t="array" ref="D414">ifs(and(isblank($A414),isblank($B414)),"", not(iserror(vlookup($A414&amp;$B414,'5) Release_Track'!$F:$F&amp;'5) Release_Track'!$G:$G,1,0))),vlookup($A414&amp;$B414,{'5) Release_Track'!$F:$F&amp;'5) Release_Track'!$G:$G,'5) Release_Track'!$I:$I},2,0), or(and(not(isblank($B414)),$B414=$B413,$A414&lt;&gt;$A413),and(not(isblank($A414)),$A414=$A413,$B414&lt;&gt;$B413)),"ID LISTS UNALIGNED",and($A414&lt;&gt;"",countif('5) Release_Track'!$F:$F,$A414)=0),"NO ISRC MATCH in Release_Track",and($B414&lt;&gt;"",countif('5) Release_Track'!$G:$G,$B414)=0),"NO CATALOG ID MATCH in Release_Track",iserror(vlookup($A414&amp;$B414,'5) Release_Track'!$F:$F&amp;'5) Release_Track'!$G:$G,1,0)),"NO ISRC-CATALOG ID pair MATCH in Release_Track" )</f>
        <v/>
      </c>
      <c r="E414" s="125" t="str">
        <f t="array" ref="E414">ifs(and(isblank($A414),isblank($B414)),"", not(iserror(vlookup($A414&amp;$B414,'5) Release_Track'!$F:$F&amp;'5) Release_Track'!$G:$G,1,0))),vlookup($A414&amp;$B414,{'5) Release_Track'!$F:$F&amp;'5) Release_Track'!$G:$G,'5) Release_Track'!$J:$J},2,0), or(and(not(isblank($B414)),$B414=$B413,$A414&lt;&gt;$A413),and(not(isblank($A414)),$A414=$A413,$B414&lt;&gt;$B413)),"ID LISTS UNALIGNED",and($A414&lt;&gt;"",countif('5) Release_Track'!$F:$F,$A414)=0),"NO ISRC MATCH in Release_Track",and($B414&lt;&gt;"",countif('5) Release_Track'!$G:$G,$B414)=0),"NO CATALOG ID MATCH in Release_Track",iserror(vlookup($A414&amp;$B414,'5) Release_Track'!$F:$F&amp;'5) Release_Track'!$G:$G,1,0)),"NO ISRC-CATALOG ID pair MATCH in Release_Track" )</f>
        <v/>
      </c>
      <c r="F414" s="122"/>
      <c r="G414" s="99"/>
      <c r="H414" s="178"/>
      <c r="I414" s="121" t="str">
        <f t="shared" si="6"/>
        <v/>
      </c>
      <c r="J414" s="99"/>
      <c r="K414" s="99"/>
    </row>
    <row r="415">
      <c r="B415" s="103"/>
      <c r="C415" s="121" t="str">
        <f t="array" ref="C415">ifs(and(isblank($A415),isblank($B415)),"", not(iserror(vlookup($A415&amp;$B415,'5) Release_Track'!$F:$F&amp;'5) Release_Track'!$G:$G,1,0))),vlookup($A415&amp;$B415,{'5) Release_Track'!$F:$F&amp;'5) Release_Track'!$G:$G,'5) Release_Track'!$H:$H},2,0), or(and(not(isblank($B415)),$B415=$B414,$A415&lt;&gt;$A414),and(not(isblank($A415)),$A415=$A414,$B415&lt;&gt;$B414)),"ID LISTS UNALIGNED",and($A415&lt;&gt;"",countif('5) Release_Track'!$F:$F,$A415)=0),"NO ISRC MATCH in Release_Track",and($B415&lt;&gt;"",countif('5) Release_Track'!$G:$G,$B415)=0),"NO CATALOG ID MATCH in Release_Track",iserror(vlookup($A415&amp;$B415,'5) Release_Track'!$F:$F&amp;'5) Release_Track'!$G:$G,1,0)),"NO ISRC-CATALOG ID pair MATCH in Release_Track" )</f>
        <v/>
      </c>
      <c r="D415" s="121" t="str">
        <f t="array" ref="D415">ifs(and(isblank($A415),isblank($B415)),"", not(iserror(vlookup($A415&amp;$B415,'5) Release_Track'!$F:$F&amp;'5) Release_Track'!$G:$G,1,0))),vlookup($A415&amp;$B415,{'5) Release_Track'!$F:$F&amp;'5) Release_Track'!$G:$G,'5) Release_Track'!$I:$I},2,0), or(and(not(isblank($B415)),$B415=$B414,$A415&lt;&gt;$A414),and(not(isblank($A415)),$A415=$A414,$B415&lt;&gt;$B414)),"ID LISTS UNALIGNED",and($A415&lt;&gt;"",countif('5) Release_Track'!$F:$F,$A415)=0),"NO ISRC MATCH in Release_Track",and($B415&lt;&gt;"",countif('5) Release_Track'!$G:$G,$B415)=0),"NO CATALOG ID MATCH in Release_Track",iserror(vlookup($A415&amp;$B415,'5) Release_Track'!$F:$F&amp;'5) Release_Track'!$G:$G,1,0)),"NO ISRC-CATALOG ID pair MATCH in Release_Track" )</f>
        <v/>
      </c>
      <c r="E415" s="125" t="str">
        <f t="array" ref="E415">ifs(and(isblank($A415),isblank($B415)),"", not(iserror(vlookup($A415&amp;$B415,'5) Release_Track'!$F:$F&amp;'5) Release_Track'!$G:$G,1,0))),vlookup($A415&amp;$B415,{'5) Release_Track'!$F:$F&amp;'5) Release_Track'!$G:$G,'5) Release_Track'!$J:$J},2,0), or(and(not(isblank($B415)),$B415=$B414,$A415&lt;&gt;$A414),and(not(isblank($A415)),$A415=$A414,$B415&lt;&gt;$B414)),"ID LISTS UNALIGNED",and($A415&lt;&gt;"",countif('5) Release_Track'!$F:$F,$A415)=0),"NO ISRC MATCH in Release_Track",and($B415&lt;&gt;"",countif('5) Release_Track'!$G:$G,$B415)=0),"NO CATALOG ID MATCH in Release_Track",iserror(vlookup($A415&amp;$B415,'5) Release_Track'!$F:$F&amp;'5) Release_Track'!$G:$G,1,0)),"NO ISRC-CATALOG ID pair MATCH in Release_Track" )</f>
        <v/>
      </c>
      <c r="F415" s="122"/>
      <c r="G415" s="99"/>
      <c r="H415" s="178"/>
      <c r="I415" s="121" t="str">
        <f t="shared" si="6"/>
        <v/>
      </c>
      <c r="J415" s="99"/>
      <c r="K415" s="99"/>
    </row>
    <row r="416">
      <c r="B416" s="103"/>
      <c r="C416" s="121" t="str">
        <f t="array" ref="C416">ifs(and(isblank($A416),isblank($B416)),"", not(iserror(vlookup($A416&amp;$B416,'5) Release_Track'!$F:$F&amp;'5) Release_Track'!$G:$G,1,0))),vlookup($A416&amp;$B416,{'5) Release_Track'!$F:$F&amp;'5) Release_Track'!$G:$G,'5) Release_Track'!$H:$H},2,0), or(and(not(isblank($B416)),$B416=$B415,$A416&lt;&gt;$A415),and(not(isblank($A416)),$A416=$A415,$B416&lt;&gt;$B415)),"ID LISTS UNALIGNED",and($A416&lt;&gt;"",countif('5) Release_Track'!$F:$F,$A416)=0),"NO ISRC MATCH in Release_Track",and($B416&lt;&gt;"",countif('5) Release_Track'!$G:$G,$B416)=0),"NO CATALOG ID MATCH in Release_Track",iserror(vlookup($A416&amp;$B416,'5) Release_Track'!$F:$F&amp;'5) Release_Track'!$G:$G,1,0)),"NO ISRC-CATALOG ID pair MATCH in Release_Track" )</f>
        <v/>
      </c>
      <c r="D416" s="121" t="str">
        <f t="array" ref="D416">ifs(and(isblank($A416),isblank($B416)),"", not(iserror(vlookup($A416&amp;$B416,'5) Release_Track'!$F:$F&amp;'5) Release_Track'!$G:$G,1,0))),vlookup($A416&amp;$B416,{'5) Release_Track'!$F:$F&amp;'5) Release_Track'!$G:$G,'5) Release_Track'!$I:$I},2,0), or(and(not(isblank($B416)),$B416=$B415,$A416&lt;&gt;$A415),and(not(isblank($A416)),$A416=$A415,$B416&lt;&gt;$B415)),"ID LISTS UNALIGNED",and($A416&lt;&gt;"",countif('5) Release_Track'!$F:$F,$A416)=0),"NO ISRC MATCH in Release_Track",and($B416&lt;&gt;"",countif('5) Release_Track'!$G:$G,$B416)=0),"NO CATALOG ID MATCH in Release_Track",iserror(vlookup($A416&amp;$B416,'5) Release_Track'!$F:$F&amp;'5) Release_Track'!$G:$G,1,0)),"NO ISRC-CATALOG ID pair MATCH in Release_Track" )</f>
        <v/>
      </c>
      <c r="E416" s="125" t="str">
        <f t="array" ref="E416">ifs(and(isblank($A416),isblank($B416)),"", not(iserror(vlookup($A416&amp;$B416,'5) Release_Track'!$F:$F&amp;'5) Release_Track'!$G:$G,1,0))),vlookup($A416&amp;$B416,{'5) Release_Track'!$F:$F&amp;'5) Release_Track'!$G:$G,'5) Release_Track'!$J:$J},2,0), or(and(not(isblank($B416)),$B416=$B415,$A416&lt;&gt;$A415),and(not(isblank($A416)),$A416=$A415,$B416&lt;&gt;$B415)),"ID LISTS UNALIGNED",and($A416&lt;&gt;"",countif('5) Release_Track'!$F:$F,$A416)=0),"NO ISRC MATCH in Release_Track",and($B416&lt;&gt;"",countif('5) Release_Track'!$G:$G,$B416)=0),"NO CATALOG ID MATCH in Release_Track",iserror(vlookup($A416&amp;$B416,'5) Release_Track'!$F:$F&amp;'5) Release_Track'!$G:$G,1,0)),"NO ISRC-CATALOG ID pair MATCH in Release_Track" )</f>
        <v/>
      </c>
      <c r="F416" s="122"/>
      <c r="G416" s="99"/>
      <c r="H416" s="178"/>
      <c r="I416" s="121" t="str">
        <f t="shared" si="6"/>
        <v/>
      </c>
      <c r="J416" s="99"/>
      <c r="K416" s="99"/>
    </row>
    <row r="417">
      <c r="B417" s="103"/>
      <c r="C417" s="121" t="str">
        <f t="array" ref="C417">ifs(and(isblank($A417),isblank($B417)),"", not(iserror(vlookup($A417&amp;$B417,'5) Release_Track'!$F:$F&amp;'5) Release_Track'!$G:$G,1,0))),vlookup($A417&amp;$B417,{'5) Release_Track'!$F:$F&amp;'5) Release_Track'!$G:$G,'5) Release_Track'!$H:$H},2,0), or(and(not(isblank($B417)),$B417=$B416,$A417&lt;&gt;$A416),and(not(isblank($A417)),$A417=$A416,$B417&lt;&gt;$B416)),"ID LISTS UNALIGNED",and($A417&lt;&gt;"",countif('5) Release_Track'!$F:$F,$A417)=0),"NO ISRC MATCH in Release_Track",and($B417&lt;&gt;"",countif('5) Release_Track'!$G:$G,$B417)=0),"NO CATALOG ID MATCH in Release_Track",iserror(vlookup($A417&amp;$B417,'5) Release_Track'!$F:$F&amp;'5) Release_Track'!$G:$G,1,0)),"NO ISRC-CATALOG ID pair MATCH in Release_Track" )</f>
        <v/>
      </c>
      <c r="D417" s="121" t="str">
        <f t="array" ref="D417">ifs(and(isblank($A417),isblank($B417)),"", not(iserror(vlookup($A417&amp;$B417,'5) Release_Track'!$F:$F&amp;'5) Release_Track'!$G:$G,1,0))),vlookup($A417&amp;$B417,{'5) Release_Track'!$F:$F&amp;'5) Release_Track'!$G:$G,'5) Release_Track'!$I:$I},2,0), or(and(not(isblank($B417)),$B417=$B416,$A417&lt;&gt;$A416),and(not(isblank($A417)),$A417=$A416,$B417&lt;&gt;$B416)),"ID LISTS UNALIGNED",and($A417&lt;&gt;"",countif('5) Release_Track'!$F:$F,$A417)=0),"NO ISRC MATCH in Release_Track",and($B417&lt;&gt;"",countif('5) Release_Track'!$G:$G,$B417)=0),"NO CATALOG ID MATCH in Release_Track",iserror(vlookup($A417&amp;$B417,'5) Release_Track'!$F:$F&amp;'5) Release_Track'!$G:$G,1,0)),"NO ISRC-CATALOG ID pair MATCH in Release_Track" )</f>
        <v/>
      </c>
      <c r="E417" s="125" t="str">
        <f t="array" ref="E417">ifs(and(isblank($A417),isblank($B417)),"", not(iserror(vlookup($A417&amp;$B417,'5) Release_Track'!$F:$F&amp;'5) Release_Track'!$G:$G,1,0))),vlookup($A417&amp;$B417,{'5) Release_Track'!$F:$F&amp;'5) Release_Track'!$G:$G,'5) Release_Track'!$J:$J},2,0), or(and(not(isblank($B417)),$B417=$B416,$A417&lt;&gt;$A416),and(not(isblank($A417)),$A417=$A416,$B417&lt;&gt;$B416)),"ID LISTS UNALIGNED",and($A417&lt;&gt;"",countif('5) Release_Track'!$F:$F,$A417)=0),"NO ISRC MATCH in Release_Track",and($B417&lt;&gt;"",countif('5) Release_Track'!$G:$G,$B417)=0),"NO CATALOG ID MATCH in Release_Track",iserror(vlookup($A417&amp;$B417,'5) Release_Track'!$F:$F&amp;'5) Release_Track'!$G:$G,1,0)),"NO ISRC-CATALOG ID pair MATCH in Release_Track" )</f>
        <v/>
      </c>
      <c r="F417" s="122"/>
      <c r="G417" s="99"/>
      <c r="H417" s="178"/>
      <c r="I417" s="121" t="str">
        <f t="shared" si="6"/>
        <v/>
      </c>
      <c r="J417" s="99"/>
      <c r="K417" s="99"/>
    </row>
    <row r="418">
      <c r="B418" s="103"/>
      <c r="C418" s="121" t="str">
        <f t="array" ref="C418">ifs(and(isblank($A418),isblank($B418)),"", not(iserror(vlookup($A418&amp;$B418,'5) Release_Track'!$F:$F&amp;'5) Release_Track'!$G:$G,1,0))),vlookup($A418&amp;$B418,{'5) Release_Track'!$F:$F&amp;'5) Release_Track'!$G:$G,'5) Release_Track'!$H:$H},2,0), or(and(not(isblank($B418)),$B418=$B417,$A418&lt;&gt;$A417),and(not(isblank($A418)),$A418=$A417,$B418&lt;&gt;$B417)),"ID LISTS UNALIGNED",and($A418&lt;&gt;"",countif('5) Release_Track'!$F:$F,$A418)=0),"NO ISRC MATCH in Release_Track",and($B418&lt;&gt;"",countif('5) Release_Track'!$G:$G,$B418)=0),"NO CATALOG ID MATCH in Release_Track",iserror(vlookup($A418&amp;$B418,'5) Release_Track'!$F:$F&amp;'5) Release_Track'!$G:$G,1,0)),"NO ISRC-CATALOG ID pair MATCH in Release_Track" )</f>
        <v/>
      </c>
      <c r="D418" s="121" t="str">
        <f t="array" ref="D418">ifs(and(isblank($A418),isblank($B418)),"", not(iserror(vlookup($A418&amp;$B418,'5) Release_Track'!$F:$F&amp;'5) Release_Track'!$G:$G,1,0))),vlookup($A418&amp;$B418,{'5) Release_Track'!$F:$F&amp;'5) Release_Track'!$G:$G,'5) Release_Track'!$I:$I},2,0), or(and(not(isblank($B418)),$B418=$B417,$A418&lt;&gt;$A417),and(not(isblank($A418)),$A418=$A417,$B418&lt;&gt;$B417)),"ID LISTS UNALIGNED",and($A418&lt;&gt;"",countif('5) Release_Track'!$F:$F,$A418)=0),"NO ISRC MATCH in Release_Track",and($B418&lt;&gt;"",countif('5) Release_Track'!$G:$G,$B418)=0),"NO CATALOG ID MATCH in Release_Track",iserror(vlookup($A418&amp;$B418,'5) Release_Track'!$F:$F&amp;'5) Release_Track'!$G:$G,1,0)),"NO ISRC-CATALOG ID pair MATCH in Release_Track" )</f>
        <v/>
      </c>
      <c r="E418" s="125" t="str">
        <f t="array" ref="E418">ifs(and(isblank($A418),isblank($B418)),"", not(iserror(vlookup($A418&amp;$B418,'5) Release_Track'!$F:$F&amp;'5) Release_Track'!$G:$G,1,0))),vlookup($A418&amp;$B418,{'5) Release_Track'!$F:$F&amp;'5) Release_Track'!$G:$G,'5) Release_Track'!$J:$J},2,0), or(and(not(isblank($B418)),$B418=$B417,$A418&lt;&gt;$A417),and(not(isblank($A418)),$A418=$A417,$B418&lt;&gt;$B417)),"ID LISTS UNALIGNED",and($A418&lt;&gt;"",countif('5) Release_Track'!$F:$F,$A418)=0),"NO ISRC MATCH in Release_Track",and($B418&lt;&gt;"",countif('5) Release_Track'!$G:$G,$B418)=0),"NO CATALOG ID MATCH in Release_Track",iserror(vlookup($A418&amp;$B418,'5) Release_Track'!$F:$F&amp;'5) Release_Track'!$G:$G,1,0)),"NO ISRC-CATALOG ID pair MATCH in Release_Track" )</f>
        <v/>
      </c>
      <c r="F418" s="122"/>
      <c r="G418" s="99"/>
      <c r="H418" s="178"/>
      <c r="I418" s="121" t="str">
        <f t="shared" si="6"/>
        <v/>
      </c>
      <c r="J418" s="99"/>
      <c r="K418" s="99"/>
    </row>
    <row r="419">
      <c r="B419" s="103"/>
      <c r="C419" s="121" t="str">
        <f t="array" ref="C419">ifs(and(isblank($A419),isblank($B419)),"", not(iserror(vlookup($A419&amp;$B419,'5) Release_Track'!$F:$F&amp;'5) Release_Track'!$G:$G,1,0))),vlookup($A419&amp;$B419,{'5) Release_Track'!$F:$F&amp;'5) Release_Track'!$G:$G,'5) Release_Track'!$H:$H},2,0), or(and(not(isblank($B419)),$B419=$B418,$A419&lt;&gt;$A418),and(not(isblank($A419)),$A419=$A418,$B419&lt;&gt;$B418)),"ID LISTS UNALIGNED",and($A419&lt;&gt;"",countif('5) Release_Track'!$F:$F,$A419)=0),"NO ISRC MATCH in Release_Track",and($B419&lt;&gt;"",countif('5) Release_Track'!$G:$G,$B419)=0),"NO CATALOG ID MATCH in Release_Track",iserror(vlookup($A419&amp;$B419,'5) Release_Track'!$F:$F&amp;'5) Release_Track'!$G:$G,1,0)),"NO ISRC-CATALOG ID pair MATCH in Release_Track" )</f>
        <v/>
      </c>
      <c r="D419" s="121" t="str">
        <f t="array" ref="D419">ifs(and(isblank($A419),isblank($B419)),"", not(iserror(vlookup($A419&amp;$B419,'5) Release_Track'!$F:$F&amp;'5) Release_Track'!$G:$G,1,0))),vlookup($A419&amp;$B419,{'5) Release_Track'!$F:$F&amp;'5) Release_Track'!$G:$G,'5) Release_Track'!$I:$I},2,0), or(and(not(isblank($B419)),$B419=$B418,$A419&lt;&gt;$A418),and(not(isblank($A419)),$A419=$A418,$B419&lt;&gt;$B418)),"ID LISTS UNALIGNED",and($A419&lt;&gt;"",countif('5) Release_Track'!$F:$F,$A419)=0),"NO ISRC MATCH in Release_Track",and($B419&lt;&gt;"",countif('5) Release_Track'!$G:$G,$B419)=0),"NO CATALOG ID MATCH in Release_Track",iserror(vlookup($A419&amp;$B419,'5) Release_Track'!$F:$F&amp;'5) Release_Track'!$G:$G,1,0)),"NO ISRC-CATALOG ID pair MATCH in Release_Track" )</f>
        <v/>
      </c>
      <c r="E419" s="125" t="str">
        <f t="array" ref="E419">ifs(and(isblank($A419),isblank($B419)),"", not(iserror(vlookup($A419&amp;$B419,'5) Release_Track'!$F:$F&amp;'5) Release_Track'!$G:$G,1,0))),vlookup($A419&amp;$B419,{'5) Release_Track'!$F:$F&amp;'5) Release_Track'!$G:$G,'5) Release_Track'!$J:$J},2,0), or(and(not(isblank($B419)),$B419=$B418,$A419&lt;&gt;$A418),and(not(isblank($A419)),$A419=$A418,$B419&lt;&gt;$B418)),"ID LISTS UNALIGNED",and($A419&lt;&gt;"",countif('5) Release_Track'!$F:$F,$A419)=0),"NO ISRC MATCH in Release_Track",and($B419&lt;&gt;"",countif('5) Release_Track'!$G:$G,$B419)=0),"NO CATALOG ID MATCH in Release_Track",iserror(vlookup($A419&amp;$B419,'5) Release_Track'!$F:$F&amp;'5) Release_Track'!$G:$G,1,0)),"NO ISRC-CATALOG ID pair MATCH in Release_Track" )</f>
        <v/>
      </c>
      <c r="F419" s="122"/>
      <c r="G419" s="99"/>
      <c r="H419" s="178"/>
      <c r="I419" s="121" t="str">
        <f t="shared" si="6"/>
        <v/>
      </c>
      <c r="J419" s="99"/>
      <c r="K419" s="99"/>
    </row>
    <row r="420">
      <c r="B420" s="103"/>
      <c r="C420" s="121" t="str">
        <f t="array" ref="C420">ifs(and(isblank($A420),isblank($B420)),"", not(iserror(vlookup($A420&amp;$B420,'5) Release_Track'!$F:$F&amp;'5) Release_Track'!$G:$G,1,0))),vlookup($A420&amp;$B420,{'5) Release_Track'!$F:$F&amp;'5) Release_Track'!$G:$G,'5) Release_Track'!$H:$H},2,0), or(and(not(isblank($B420)),$B420=$B419,$A420&lt;&gt;$A419),and(not(isblank($A420)),$A420=$A419,$B420&lt;&gt;$B419)),"ID LISTS UNALIGNED",and($A420&lt;&gt;"",countif('5) Release_Track'!$F:$F,$A420)=0),"NO ISRC MATCH in Release_Track",and($B420&lt;&gt;"",countif('5) Release_Track'!$G:$G,$B420)=0),"NO CATALOG ID MATCH in Release_Track",iserror(vlookup($A420&amp;$B420,'5) Release_Track'!$F:$F&amp;'5) Release_Track'!$G:$G,1,0)),"NO ISRC-CATALOG ID pair MATCH in Release_Track" )</f>
        <v/>
      </c>
      <c r="D420" s="121" t="str">
        <f t="array" ref="D420">ifs(and(isblank($A420),isblank($B420)),"", not(iserror(vlookup($A420&amp;$B420,'5) Release_Track'!$F:$F&amp;'5) Release_Track'!$G:$G,1,0))),vlookup($A420&amp;$B420,{'5) Release_Track'!$F:$F&amp;'5) Release_Track'!$G:$G,'5) Release_Track'!$I:$I},2,0), or(and(not(isblank($B420)),$B420=$B419,$A420&lt;&gt;$A419),and(not(isblank($A420)),$A420=$A419,$B420&lt;&gt;$B419)),"ID LISTS UNALIGNED",and($A420&lt;&gt;"",countif('5) Release_Track'!$F:$F,$A420)=0),"NO ISRC MATCH in Release_Track",and($B420&lt;&gt;"",countif('5) Release_Track'!$G:$G,$B420)=0),"NO CATALOG ID MATCH in Release_Track",iserror(vlookup($A420&amp;$B420,'5) Release_Track'!$F:$F&amp;'5) Release_Track'!$G:$G,1,0)),"NO ISRC-CATALOG ID pair MATCH in Release_Track" )</f>
        <v/>
      </c>
      <c r="E420" s="125" t="str">
        <f t="array" ref="E420">ifs(and(isblank($A420),isblank($B420)),"", not(iserror(vlookup($A420&amp;$B420,'5) Release_Track'!$F:$F&amp;'5) Release_Track'!$G:$G,1,0))),vlookup($A420&amp;$B420,{'5) Release_Track'!$F:$F&amp;'5) Release_Track'!$G:$G,'5) Release_Track'!$J:$J},2,0), or(and(not(isblank($B420)),$B420=$B419,$A420&lt;&gt;$A419),and(not(isblank($A420)),$A420=$A419,$B420&lt;&gt;$B419)),"ID LISTS UNALIGNED",and($A420&lt;&gt;"",countif('5) Release_Track'!$F:$F,$A420)=0),"NO ISRC MATCH in Release_Track",and($B420&lt;&gt;"",countif('5) Release_Track'!$G:$G,$B420)=0),"NO CATALOG ID MATCH in Release_Track",iserror(vlookup($A420&amp;$B420,'5) Release_Track'!$F:$F&amp;'5) Release_Track'!$G:$G,1,0)),"NO ISRC-CATALOG ID pair MATCH in Release_Track" )</f>
        <v/>
      </c>
      <c r="F420" s="122"/>
      <c r="G420" s="99"/>
      <c r="H420" s="178"/>
      <c r="I420" s="121" t="str">
        <f t="shared" si="6"/>
        <v/>
      </c>
      <c r="J420" s="99"/>
      <c r="K420" s="99"/>
    </row>
    <row r="421">
      <c r="B421" s="103"/>
      <c r="C421" s="121" t="str">
        <f t="array" ref="C421">ifs(and(isblank($A421),isblank($B421)),"", not(iserror(vlookup($A421&amp;$B421,'5) Release_Track'!$F:$F&amp;'5) Release_Track'!$G:$G,1,0))),vlookup($A421&amp;$B421,{'5) Release_Track'!$F:$F&amp;'5) Release_Track'!$G:$G,'5) Release_Track'!$H:$H},2,0), or(and(not(isblank($B421)),$B421=$B420,$A421&lt;&gt;$A420),and(not(isblank($A421)),$A421=$A420,$B421&lt;&gt;$B420)),"ID LISTS UNALIGNED",and($A421&lt;&gt;"",countif('5) Release_Track'!$F:$F,$A421)=0),"NO ISRC MATCH in Release_Track",and($B421&lt;&gt;"",countif('5) Release_Track'!$G:$G,$B421)=0),"NO CATALOG ID MATCH in Release_Track",iserror(vlookup($A421&amp;$B421,'5) Release_Track'!$F:$F&amp;'5) Release_Track'!$G:$G,1,0)),"NO ISRC-CATALOG ID pair MATCH in Release_Track" )</f>
        <v/>
      </c>
      <c r="D421" s="121" t="str">
        <f t="array" ref="D421">ifs(and(isblank($A421),isblank($B421)),"", not(iserror(vlookup($A421&amp;$B421,'5) Release_Track'!$F:$F&amp;'5) Release_Track'!$G:$G,1,0))),vlookup($A421&amp;$B421,{'5) Release_Track'!$F:$F&amp;'5) Release_Track'!$G:$G,'5) Release_Track'!$I:$I},2,0), or(and(not(isblank($B421)),$B421=$B420,$A421&lt;&gt;$A420),and(not(isblank($A421)),$A421=$A420,$B421&lt;&gt;$B420)),"ID LISTS UNALIGNED",and($A421&lt;&gt;"",countif('5) Release_Track'!$F:$F,$A421)=0),"NO ISRC MATCH in Release_Track",and($B421&lt;&gt;"",countif('5) Release_Track'!$G:$G,$B421)=0),"NO CATALOG ID MATCH in Release_Track",iserror(vlookup($A421&amp;$B421,'5) Release_Track'!$F:$F&amp;'5) Release_Track'!$G:$G,1,0)),"NO ISRC-CATALOG ID pair MATCH in Release_Track" )</f>
        <v/>
      </c>
      <c r="E421" s="125" t="str">
        <f t="array" ref="E421">ifs(and(isblank($A421),isblank($B421)),"", not(iserror(vlookup($A421&amp;$B421,'5) Release_Track'!$F:$F&amp;'5) Release_Track'!$G:$G,1,0))),vlookup($A421&amp;$B421,{'5) Release_Track'!$F:$F&amp;'5) Release_Track'!$G:$G,'5) Release_Track'!$J:$J},2,0), or(and(not(isblank($B421)),$B421=$B420,$A421&lt;&gt;$A420),and(not(isblank($A421)),$A421=$A420,$B421&lt;&gt;$B420)),"ID LISTS UNALIGNED",and($A421&lt;&gt;"",countif('5) Release_Track'!$F:$F,$A421)=0),"NO ISRC MATCH in Release_Track",and($B421&lt;&gt;"",countif('5) Release_Track'!$G:$G,$B421)=0),"NO CATALOG ID MATCH in Release_Track",iserror(vlookup($A421&amp;$B421,'5) Release_Track'!$F:$F&amp;'5) Release_Track'!$G:$G,1,0)),"NO ISRC-CATALOG ID pair MATCH in Release_Track" )</f>
        <v/>
      </c>
      <c r="F421" s="122"/>
      <c r="G421" s="99"/>
      <c r="H421" s="178"/>
      <c r="I421" s="121" t="str">
        <f t="shared" si="6"/>
        <v/>
      </c>
      <c r="J421" s="99"/>
      <c r="K421" s="99"/>
    </row>
    <row r="422">
      <c r="B422" s="103"/>
      <c r="C422" s="121" t="str">
        <f t="array" ref="C422">ifs(and(isblank($A422),isblank($B422)),"", not(iserror(vlookup($A422&amp;$B422,'5) Release_Track'!$F:$F&amp;'5) Release_Track'!$G:$G,1,0))),vlookup($A422&amp;$B422,{'5) Release_Track'!$F:$F&amp;'5) Release_Track'!$G:$G,'5) Release_Track'!$H:$H},2,0), or(and(not(isblank($B422)),$B422=$B421,$A422&lt;&gt;$A421),and(not(isblank($A422)),$A422=$A421,$B422&lt;&gt;$B421)),"ID LISTS UNALIGNED",and($A422&lt;&gt;"",countif('5) Release_Track'!$F:$F,$A422)=0),"NO ISRC MATCH in Release_Track",and($B422&lt;&gt;"",countif('5) Release_Track'!$G:$G,$B422)=0),"NO CATALOG ID MATCH in Release_Track",iserror(vlookup($A422&amp;$B422,'5) Release_Track'!$F:$F&amp;'5) Release_Track'!$G:$G,1,0)),"NO ISRC-CATALOG ID pair MATCH in Release_Track" )</f>
        <v/>
      </c>
      <c r="D422" s="121" t="str">
        <f t="array" ref="D422">ifs(and(isblank($A422),isblank($B422)),"", not(iserror(vlookup($A422&amp;$B422,'5) Release_Track'!$F:$F&amp;'5) Release_Track'!$G:$G,1,0))),vlookup($A422&amp;$B422,{'5) Release_Track'!$F:$F&amp;'5) Release_Track'!$G:$G,'5) Release_Track'!$I:$I},2,0), or(and(not(isblank($B422)),$B422=$B421,$A422&lt;&gt;$A421),and(not(isblank($A422)),$A422=$A421,$B422&lt;&gt;$B421)),"ID LISTS UNALIGNED",and($A422&lt;&gt;"",countif('5) Release_Track'!$F:$F,$A422)=0),"NO ISRC MATCH in Release_Track",and($B422&lt;&gt;"",countif('5) Release_Track'!$G:$G,$B422)=0),"NO CATALOG ID MATCH in Release_Track",iserror(vlookup($A422&amp;$B422,'5) Release_Track'!$F:$F&amp;'5) Release_Track'!$G:$G,1,0)),"NO ISRC-CATALOG ID pair MATCH in Release_Track" )</f>
        <v/>
      </c>
      <c r="E422" s="125" t="str">
        <f t="array" ref="E422">ifs(and(isblank($A422),isblank($B422)),"", not(iserror(vlookup($A422&amp;$B422,'5) Release_Track'!$F:$F&amp;'5) Release_Track'!$G:$G,1,0))),vlookup($A422&amp;$B422,{'5) Release_Track'!$F:$F&amp;'5) Release_Track'!$G:$G,'5) Release_Track'!$J:$J},2,0), or(and(not(isblank($B422)),$B422=$B421,$A422&lt;&gt;$A421),and(not(isblank($A422)),$A422=$A421,$B422&lt;&gt;$B421)),"ID LISTS UNALIGNED",and($A422&lt;&gt;"",countif('5) Release_Track'!$F:$F,$A422)=0),"NO ISRC MATCH in Release_Track",and($B422&lt;&gt;"",countif('5) Release_Track'!$G:$G,$B422)=0),"NO CATALOG ID MATCH in Release_Track",iserror(vlookup($A422&amp;$B422,'5) Release_Track'!$F:$F&amp;'5) Release_Track'!$G:$G,1,0)),"NO ISRC-CATALOG ID pair MATCH in Release_Track" )</f>
        <v/>
      </c>
      <c r="F422" s="122"/>
      <c r="G422" s="99"/>
      <c r="H422" s="178"/>
      <c r="I422" s="121" t="str">
        <f t="shared" si="6"/>
        <v/>
      </c>
      <c r="J422" s="99"/>
      <c r="K422" s="99"/>
    </row>
    <row r="423">
      <c r="B423" s="103"/>
      <c r="C423" s="121" t="str">
        <f t="array" ref="C423">ifs(and(isblank($A423),isblank($B423)),"", not(iserror(vlookup($A423&amp;$B423,'5) Release_Track'!$F:$F&amp;'5) Release_Track'!$G:$G,1,0))),vlookup($A423&amp;$B423,{'5) Release_Track'!$F:$F&amp;'5) Release_Track'!$G:$G,'5) Release_Track'!$H:$H},2,0), or(and(not(isblank($B423)),$B423=$B422,$A423&lt;&gt;$A422),and(not(isblank($A423)),$A423=$A422,$B423&lt;&gt;$B422)),"ID LISTS UNALIGNED",and($A423&lt;&gt;"",countif('5) Release_Track'!$F:$F,$A423)=0),"NO ISRC MATCH in Release_Track",and($B423&lt;&gt;"",countif('5) Release_Track'!$G:$G,$B423)=0),"NO CATALOG ID MATCH in Release_Track",iserror(vlookup($A423&amp;$B423,'5) Release_Track'!$F:$F&amp;'5) Release_Track'!$G:$G,1,0)),"NO ISRC-CATALOG ID pair MATCH in Release_Track" )</f>
        <v/>
      </c>
      <c r="D423" s="121" t="str">
        <f t="array" ref="D423">ifs(and(isblank($A423),isblank($B423)),"", not(iserror(vlookup($A423&amp;$B423,'5) Release_Track'!$F:$F&amp;'5) Release_Track'!$G:$G,1,0))),vlookup($A423&amp;$B423,{'5) Release_Track'!$F:$F&amp;'5) Release_Track'!$G:$G,'5) Release_Track'!$I:$I},2,0), or(and(not(isblank($B423)),$B423=$B422,$A423&lt;&gt;$A422),and(not(isblank($A423)),$A423=$A422,$B423&lt;&gt;$B422)),"ID LISTS UNALIGNED",and($A423&lt;&gt;"",countif('5) Release_Track'!$F:$F,$A423)=0),"NO ISRC MATCH in Release_Track",and($B423&lt;&gt;"",countif('5) Release_Track'!$G:$G,$B423)=0),"NO CATALOG ID MATCH in Release_Track",iserror(vlookup($A423&amp;$B423,'5) Release_Track'!$F:$F&amp;'5) Release_Track'!$G:$G,1,0)),"NO ISRC-CATALOG ID pair MATCH in Release_Track" )</f>
        <v/>
      </c>
      <c r="E423" s="125" t="str">
        <f t="array" ref="E423">ifs(and(isblank($A423),isblank($B423)),"", not(iserror(vlookup($A423&amp;$B423,'5) Release_Track'!$F:$F&amp;'5) Release_Track'!$G:$G,1,0))),vlookup($A423&amp;$B423,{'5) Release_Track'!$F:$F&amp;'5) Release_Track'!$G:$G,'5) Release_Track'!$J:$J},2,0), or(and(not(isblank($B423)),$B423=$B422,$A423&lt;&gt;$A422),and(not(isblank($A423)),$A423=$A422,$B423&lt;&gt;$B422)),"ID LISTS UNALIGNED",and($A423&lt;&gt;"",countif('5) Release_Track'!$F:$F,$A423)=0),"NO ISRC MATCH in Release_Track",and($B423&lt;&gt;"",countif('5) Release_Track'!$G:$G,$B423)=0),"NO CATALOG ID MATCH in Release_Track",iserror(vlookup($A423&amp;$B423,'5) Release_Track'!$F:$F&amp;'5) Release_Track'!$G:$G,1,0)),"NO ISRC-CATALOG ID pair MATCH in Release_Track" )</f>
        <v/>
      </c>
      <c r="F423" s="122"/>
      <c r="G423" s="99"/>
      <c r="H423" s="178"/>
      <c r="I423" s="121" t="str">
        <f t="shared" si="6"/>
        <v/>
      </c>
      <c r="J423" s="99"/>
      <c r="K423" s="99"/>
    </row>
    <row r="424">
      <c r="B424" s="103"/>
      <c r="C424" s="121" t="str">
        <f t="array" ref="C424">ifs(and(isblank($A424),isblank($B424)),"", not(iserror(vlookup($A424&amp;$B424,'5) Release_Track'!$F:$F&amp;'5) Release_Track'!$G:$G,1,0))),vlookup($A424&amp;$B424,{'5) Release_Track'!$F:$F&amp;'5) Release_Track'!$G:$G,'5) Release_Track'!$H:$H},2,0), or(and(not(isblank($B424)),$B424=$B423,$A424&lt;&gt;$A423),and(not(isblank($A424)),$A424=$A423,$B424&lt;&gt;$B423)),"ID LISTS UNALIGNED",and($A424&lt;&gt;"",countif('5) Release_Track'!$F:$F,$A424)=0),"NO ISRC MATCH in Release_Track",and($B424&lt;&gt;"",countif('5) Release_Track'!$G:$G,$B424)=0),"NO CATALOG ID MATCH in Release_Track",iserror(vlookup($A424&amp;$B424,'5) Release_Track'!$F:$F&amp;'5) Release_Track'!$G:$G,1,0)),"NO ISRC-CATALOG ID pair MATCH in Release_Track" )</f>
        <v/>
      </c>
      <c r="D424" s="121" t="str">
        <f t="array" ref="D424">ifs(and(isblank($A424),isblank($B424)),"", not(iserror(vlookup($A424&amp;$B424,'5) Release_Track'!$F:$F&amp;'5) Release_Track'!$G:$G,1,0))),vlookup($A424&amp;$B424,{'5) Release_Track'!$F:$F&amp;'5) Release_Track'!$G:$G,'5) Release_Track'!$I:$I},2,0), or(and(not(isblank($B424)),$B424=$B423,$A424&lt;&gt;$A423),and(not(isblank($A424)),$A424=$A423,$B424&lt;&gt;$B423)),"ID LISTS UNALIGNED",and($A424&lt;&gt;"",countif('5) Release_Track'!$F:$F,$A424)=0),"NO ISRC MATCH in Release_Track",and($B424&lt;&gt;"",countif('5) Release_Track'!$G:$G,$B424)=0),"NO CATALOG ID MATCH in Release_Track",iserror(vlookup($A424&amp;$B424,'5) Release_Track'!$F:$F&amp;'5) Release_Track'!$G:$G,1,0)),"NO ISRC-CATALOG ID pair MATCH in Release_Track" )</f>
        <v/>
      </c>
      <c r="E424" s="125" t="str">
        <f t="array" ref="E424">ifs(and(isblank($A424),isblank($B424)),"", not(iserror(vlookup($A424&amp;$B424,'5) Release_Track'!$F:$F&amp;'5) Release_Track'!$G:$G,1,0))),vlookup($A424&amp;$B424,{'5) Release_Track'!$F:$F&amp;'5) Release_Track'!$G:$G,'5) Release_Track'!$J:$J},2,0), or(and(not(isblank($B424)),$B424=$B423,$A424&lt;&gt;$A423),and(not(isblank($A424)),$A424=$A423,$B424&lt;&gt;$B423)),"ID LISTS UNALIGNED",and($A424&lt;&gt;"",countif('5) Release_Track'!$F:$F,$A424)=0),"NO ISRC MATCH in Release_Track",and($B424&lt;&gt;"",countif('5) Release_Track'!$G:$G,$B424)=0),"NO CATALOG ID MATCH in Release_Track",iserror(vlookup($A424&amp;$B424,'5) Release_Track'!$F:$F&amp;'5) Release_Track'!$G:$G,1,0)),"NO ISRC-CATALOG ID pair MATCH in Release_Track" )</f>
        <v/>
      </c>
      <c r="F424" s="122"/>
      <c r="G424" s="99"/>
      <c r="H424" s="178"/>
      <c r="I424" s="121" t="str">
        <f t="shared" si="6"/>
        <v/>
      </c>
      <c r="J424" s="99"/>
      <c r="K424" s="99"/>
    </row>
    <row r="425">
      <c r="B425" s="103"/>
      <c r="C425" s="121" t="str">
        <f t="array" ref="C425">ifs(and(isblank($A425),isblank($B425)),"", not(iserror(vlookup($A425&amp;$B425,'5) Release_Track'!$F:$F&amp;'5) Release_Track'!$G:$G,1,0))),vlookup($A425&amp;$B425,{'5) Release_Track'!$F:$F&amp;'5) Release_Track'!$G:$G,'5) Release_Track'!$H:$H},2,0), or(and(not(isblank($B425)),$B425=$B424,$A425&lt;&gt;$A424),and(not(isblank($A425)),$A425=$A424,$B425&lt;&gt;$B424)),"ID LISTS UNALIGNED",and($A425&lt;&gt;"",countif('5) Release_Track'!$F:$F,$A425)=0),"NO ISRC MATCH in Release_Track",and($B425&lt;&gt;"",countif('5) Release_Track'!$G:$G,$B425)=0),"NO CATALOG ID MATCH in Release_Track",iserror(vlookup($A425&amp;$B425,'5) Release_Track'!$F:$F&amp;'5) Release_Track'!$G:$G,1,0)),"NO ISRC-CATALOG ID pair MATCH in Release_Track" )</f>
        <v/>
      </c>
      <c r="D425" s="121" t="str">
        <f t="array" ref="D425">ifs(and(isblank($A425),isblank($B425)),"", not(iserror(vlookup($A425&amp;$B425,'5) Release_Track'!$F:$F&amp;'5) Release_Track'!$G:$G,1,0))),vlookup($A425&amp;$B425,{'5) Release_Track'!$F:$F&amp;'5) Release_Track'!$G:$G,'5) Release_Track'!$I:$I},2,0), or(and(not(isblank($B425)),$B425=$B424,$A425&lt;&gt;$A424),and(not(isblank($A425)),$A425=$A424,$B425&lt;&gt;$B424)),"ID LISTS UNALIGNED",and($A425&lt;&gt;"",countif('5) Release_Track'!$F:$F,$A425)=0),"NO ISRC MATCH in Release_Track",and($B425&lt;&gt;"",countif('5) Release_Track'!$G:$G,$B425)=0),"NO CATALOG ID MATCH in Release_Track",iserror(vlookup($A425&amp;$B425,'5) Release_Track'!$F:$F&amp;'5) Release_Track'!$G:$G,1,0)),"NO ISRC-CATALOG ID pair MATCH in Release_Track" )</f>
        <v/>
      </c>
      <c r="E425" s="125" t="str">
        <f t="array" ref="E425">ifs(and(isblank($A425),isblank($B425)),"", not(iserror(vlookup($A425&amp;$B425,'5) Release_Track'!$F:$F&amp;'5) Release_Track'!$G:$G,1,0))),vlookup($A425&amp;$B425,{'5) Release_Track'!$F:$F&amp;'5) Release_Track'!$G:$G,'5) Release_Track'!$J:$J},2,0), or(and(not(isblank($B425)),$B425=$B424,$A425&lt;&gt;$A424),and(not(isblank($A425)),$A425=$A424,$B425&lt;&gt;$B424)),"ID LISTS UNALIGNED",and($A425&lt;&gt;"",countif('5) Release_Track'!$F:$F,$A425)=0),"NO ISRC MATCH in Release_Track",and($B425&lt;&gt;"",countif('5) Release_Track'!$G:$G,$B425)=0),"NO CATALOG ID MATCH in Release_Track",iserror(vlookup($A425&amp;$B425,'5) Release_Track'!$F:$F&amp;'5) Release_Track'!$G:$G,1,0)),"NO ISRC-CATALOG ID pair MATCH in Release_Track" )</f>
        <v/>
      </c>
      <c r="F425" s="122"/>
      <c r="G425" s="99"/>
      <c r="H425" s="178"/>
      <c r="I425" s="121" t="str">
        <f t="shared" si="6"/>
        <v/>
      </c>
      <c r="J425" s="99"/>
      <c r="K425" s="99"/>
    </row>
    <row r="426">
      <c r="B426" s="103"/>
      <c r="C426" s="121" t="str">
        <f t="array" ref="C426">ifs(and(isblank($A426),isblank($B426)),"", not(iserror(vlookup($A426&amp;$B426,'5) Release_Track'!$F:$F&amp;'5) Release_Track'!$G:$G,1,0))),vlookup($A426&amp;$B426,{'5) Release_Track'!$F:$F&amp;'5) Release_Track'!$G:$G,'5) Release_Track'!$H:$H},2,0), or(and(not(isblank($B426)),$B426=$B425,$A426&lt;&gt;$A425),and(not(isblank($A426)),$A426=$A425,$B426&lt;&gt;$B425)),"ID LISTS UNALIGNED",and($A426&lt;&gt;"",countif('5) Release_Track'!$F:$F,$A426)=0),"NO ISRC MATCH in Release_Track",and($B426&lt;&gt;"",countif('5) Release_Track'!$G:$G,$B426)=0),"NO CATALOG ID MATCH in Release_Track",iserror(vlookup($A426&amp;$B426,'5) Release_Track'!$F:$F&amp;'5) Release_Track'!$G:$G,1,0)),"NO ISRC-CATALOG ID pair MATCH in Release_Track" )</f>
        <v/>
      </c>
      <c r="D426" s="121" t="str">
        <f t="array" ref="D426">ifs(and(isblank($A426),isblank($B426)),"", not(iserror(vlookup($A426&amp;$B426,'5) Release_Track'!$F:$F&amp;'5) Release_Track'!$G:$G,1,0))),vlookup($A426&amp;$B426,{'5) Release_Track'!$F:$F&amp;'5) Release_Track'!$G:$G,'5) Release_Track'!$I:$I},2,0), or(and(not(isblank($B426)),$B426=$B425,$A426&lt;&gt;$A425),and(not(isblank($A426)),$A426=$A425,$B426&lt;&gt;$B425)),"ID LISTS UNALIGNED",and($A426&lt;&gt;"",countif('5) Release_Track'!$F:$F,$A426)=0),"NO ISRC MATCH in Release_Track",and($B426&lt;&gt;"",countif('5) Release_Track'!$G:$G,$B426)=0),"NO CATALOG ID MATCH in Release_Track",iserror(vlookup($A426&amp;$B426,'5) Release_Track'!$F:$F&amp;'5) Release_Track'!$G:$G,1,0)),"NO ISRC-CATALOG ID pair MATCH in Release_Track" )</f>
        <v/>
      </c>
      <c r="E426" s="125" t="str">
        <f t="array" ref="E426">ifs(and(isblank($A426),isblank($B426)),"", not(iserror(vlookup($A426&amp;$B426,'5) Release_Track'!$F:$F&amp;'5) Release_Track'!$G:$G,1,0))),vlookup($A426&amp;$B426,{'5) Release_Track'!$F:$F&amp;'5) Release_Track'!$G:$G,'5) Release_Track'!$J:$J},2,0), or(and(not(isblank($B426)),$B426=$B425,$A426&lt;&gt;$A425),and(not(isblank($A426)),$A426=$A425,$B426&lt;&gt;$B425)),"ID LISTS UNALIGNED",and($A426&lt;&gt;"",countif('5) Release_Track'!$F:$F,$A426)=0),"NO ISRC MATCH in Release_Track",and($B426&lt;&gt;"",countif('5) Release_Track'!$G:$G,$B426)=0),"NO CATALOG ID MATCH in Release_Track",iserror(vlookup($A426&amp;$B426,'5) Release_Track'!$F:$F&amp;'5) Release_Track'!$G:$G,1,0)),"NO ISRC-CATALOG ID pair MATCH in Release_Track" )</f>
        <v/>
      </c>
      <c r="F426" s="122"/>
      <c r="G426" s="99"/>
      <c r="H426" s="178"/>
      <c r="I426" s="121" t="str">
        <f t="shared" si="6"/>
        <v/>
      </c>
      <c r="J426" s="99"/>
      <c r="K426" s="99"/>
    </row>
    <row r="427">
      <c r="B427" s="103"/>
      <c r="C427" s="121" t="str">
        <f t="array" ref="C427">ifs(and(isblank($A427),isblank($B427)),"", not(iserror(vlookup($A427&amp;$B427,'5) Release_Track'!$F:$F&amp;'5) Release_Track'!$G:$G,1,0))),vlookup($A427&amp;$B427,{'5) Release_Track'!$F:$F&amp;'5) Release_Track'!$G:$G,'5) Release_Track'!$H:$H},2,0), or(and(not(isblank($B427)),$B427=$B426,$A427&lt;&gt;$A426),and(not(isblank($A427)),$A427=$A426,$B427&lt;&gt;$B426)),"ID LISTS UNALIGNED",and($A427&lt;&gt;"",countif('5) Release_Track'!$F:$F,$A427)=0),"NO ISRC MATCH in Release_Track",and($B427&lt;&gt;"",countif('5) Release_Track'!$G:$G,$B427)=0),"NO CATALOG ID MATCH in Release_Track",iserror(vlookup($A427&amp;$B427,'5) Release_Track'!$F:$F&amp;'5) Release_Track'!$G:$G,1,0)),"NO ISRC-CATALOG ID pair MATCH in Release_Track" )</f>
        <v/>
      </c>
      <c r="D427" s="121" t="str">
        <f t="array" ref="D427">ifs(and(isblank($A427),isblank($B427)),"", not(iserror(vlookup($A427&amp;$B427,'5) Release_Track'!$F:$F&amp;'5) Release_Track'!$G:$G,1,0))),vlookup($A427&amp;$B427,{'5) Release_Track'!$F:$F&amp;'5) Release_Track'!$G:$G,'5) Release_Track'!$I:$I},2,0), or(and(not(isblank($B427)),$B427=$B426,$A427&lt;&gt;$A426),and(not(isblank($A427)),$A427=$A426,$B427&lt;&gt;$B426)),"ID LISTS UNALIGNED",and($A427&lt;&gt;"",countif('5) Release_Track'!$F:$F,$A427)=0),"NO ISRC MATCH in Release_Track",and($B427&lt;&gt;"",countif('5) Release_Track'!$G:$G,$B427)=0),"NO CATALOG ID MATCH in Release_Track",iserror(vlookup($A427&amp;$B427,'5) Release_Track'!$F:$F&amp;'5) Release_Track'!$G:$G,1,0)),"NO ISRC-CATALOG ID pair MATCH in Release_Track" )</f>
        <v/>
      </c>
      <c r="E427" s="125" t="str">
        <f t="array" ref="E427">ifs(and(isblank($A427),isblank($B427)),"", not(iserror(vlookup($A427&amp;$B427,'5) Release_Track'!$F:$F&amp;'5) Release_Track'!$G:$G,1,0))),vlookup($A427&amp;$B427,{'5) Release_Track'!$F:$F&amp;'5) Release_Track'!$G:$G,'5) Release_Track'!$J:$J},2,0), or(and(not(isblank($B427)),$B427=$B426,$A427&lt;&gt;$A426),and(not(isblank($A427)),$A427=$A426,$B427&lt;&gt;$B426)),"ID LISTS UNALIGNED",and($A427&lt;&gt;"",countif('5) Release_Track'!$F:$F,$A427)=0),"NO ISRC MATCH in Release_Track",and($B427&lt;&gt;"",countif('5) Release_Track'!$G:$G,$B427)=0),"NO CATALOG ID MATCH in Release_Track",iserror(vlookup($A427&amp;$B427,'5) Release_Track'!$F:$F&amp;'5) Release_Track'!$G:$G,1,0)),"NO ISRC-CATALOG ID pair MATCH in Release_Track" )</f>
        <v/>
      </c>
      <c r="F427" s="122"/>
      <c r="G427" s="99"/>
      <c r="H427" s="178"/>
      <c r="I427" s="121" t="str">
        <f t="shared" si="6"/>
        <v/>
      </c>
      <c r="J427" s="99"/>
      <c r="K427" s="99"/>
    </row>
    <row r="428">
      <c r="B428" s="103"/>
      <c r="C428" s="121" t="str">
        <f t="array" ref="C428">ifs(and(isblank($A428),isblank($B428)),"", not(iserror(vlookup($A428&amp;$B428,'5) Release_Track'!$F:$F&amp;'5) Release_Track'!$G:$G,1,0))),vlookup($A428&amp;$B428,{'5) Release_Track'!$F:$F&amp;'5) Release_Track'!$G:$G,'5) Release_Track'!$H:$H},2,0), or(and(not(isblank($B428)),$B428=$B427,$A428&lt;&gt;$A427),and(not(isblank($A428)),$A428=$A427,$B428&lt;&gt;$B427)),"ID LISTS UNALIGNED",and($A428&lt;&gt;"",countif('5) Release_Track'!$F:$F,$A428)=0),"NO ISRC MATCH in Release_Track",and($B428&lt;&gt;"",countif('5) Release_Track'!$G:$G,$B428)=0),"NO CATALOG ID MATCH in Release_Track",iserror(vlookup($A428&amp;$B428,'5) Release_Track'!$F:$F&amp;'5) Release_Track'!$G:$G,1,0)),"NO ISRC-CATALOG ID pair MATCH in Release_Track" )</f>
        <v/>
      </c>
      <c r="D428" s="121" t="str">
        <f t="array" ref="D428">ifs(and(isblank($A428),isblank($B428)),"", not(iserror(vlookup($A428&amp;$B428,'5) Release_Track'!$F:$F&amp;'5) Release_Track'!$G:$G,1,0))),vlookup($A428&amp;$B428,{'5) Release_Track'!$F:$F&amp;'5) Release_Track'!$G:$G,'5) Release_Track'!$I:$I},2,0), or(and(not(isblank($B428)),$B428=$B427,$A428&lt;&gt;$A427),and(not(isblank($A428)),$A428=$A427,$B428&lt;&gt;$B427)),"ID LISTS UNALIGNED",and($A428&lt;&gt;"",countif('5) Release_Track'!$F:$F,$A428)=0),"NO ISRC MATCH in Release_Track",and($B428&lt;&gt;"",countif('5) Release_Track'!$G:$G,$B428)=0),"NO CATALOG ID MATCH in Release_Track",iserror(vlookup($A428&amp;$B428,'5) Release_Track'!$F:$F&amp;'5) Release_Track'!$G:$G,1,0)),"NO ISRC-CATALOG ID pair MATCH in Release_Track" )</f>
        <v/>
      </c>
      <c r="E428" s="125" t="str">
        <f t="array" ref="E428">ifs(and(isblank($A428),isblank($B428)),"", not(iserror(vlookup($A428&amp;$B428,'5) Release_Track'!$F:$F&amp;'5) Release_Track'!$G:$G,1,0))),vlookup($A428&amp;$B428,{'5) Release_Track'!$F:$F&amp;'5) Release_Track'!$G:$G,'5) Release_Track'!$J:$J},2,0), or(and(not(isblank($B428)),$B428=$B427,$A428&lt;&gt;$A427),and(not(isblank($A428)),$A428=$A427,$B428&lt;&gt;$B427)),"ID LISTS UNALIGNED",and($A428&lt;&gt;"",countif('5) Release_Track'!$F:$F,$A428)=0),"NO ISRC MATCH in Release_Track",and($B428&lt;&gt;"",countif('5) Release_Track'!$G:$G,$B428)=0),"NO CATALOG ID MATCH in Release_Track",iserror(vlookup($A428&amp;$B428,'5) Release_Track'!$F:$F&amp;'5) Release_Track'!$G:$G,1,0)),"NO ISRC-CATALOG ID pair MATCH in Release_Track" )</f>
        <v/>
      </c>
      <c r="F428" s="122"/>
      <c r="G428" s="99"/>
      <c r="H428" s="178"/>
      <c r="I428" s="121" t="str">
        <f t="shared" si="6"/>
        <v/>
      </c>
      <c r="J428" s="99"/>
      <c r="K428" s="99"/>
    </row>
    <row r="429">
      <c r="B429" s="103"/>
      <c r="C429" s="121" t="str">
        <f t="array" ref="C429">ifs(and(isblank($A429),isblank($B429)),"", not(iserror(vlookup($A429&amp;$B429,'5) Release_Track'!$F:$F&amp;'5) Release_Track'!$G:$G,1,0))),vlookup($A429&amp;$B429,{'5) Release_Track'!$F:$F&amp;'5) Release_Track'!$G:$G,'5) Release_Track'!$H:$H},2,0), or(and(not(isblank($B429)),$B429=$B428,$A429&lt;&gt;$A428),and(not(isblank($A429)),$A429=$A428,$B429&lt;&gt;$B428)),"ID LISTS UNALIGNED",and($A429&lt;&gt;"",countif('5) Release_Track'!$F:$F,$A429)=0),"NO ISRC MATCH in Release_Track",and($B429&lt;&gt;"",countif('5) Release_Track'!$G:$G,$B429)=0),"NO CATALOG ID MATCH in Release_Track",iserror(vlookup($A429&amp;$B429,'5) Release_Track'!$F:$F&amp;'5) Release_Track'!$G:$G,1,0)),"NO ISRC-CATALOG ID pair MATCH in Release_Track" )</f>
        <v/>
      </c>
      <c r="D429" s="121" t="str">
        <f t="array" ref="D429">ifs(and(isblank($A429),isblank($B429)),"", not(iserror(vlookup($A429&amp;$B429,'5) Release_Track'!$F:$F&amp;'5) Release_Track'!$G:$G,1,0))),vlookup($A429&amp;$B429,{'5) Release_Track'!$F:$F&amp;'5) Release_Track'!$G:$G,'5) Release_Track'!$I:$I},2,0), or(and(not(isblank($B429)),$B429=$B428,$A429&lt;&gt;$A428),and(not(isblank($A429)),$A429=$A428,$B429&lt;&gt;$B428)),"ID LISTS UNALIGNED",and($A429&lt;&gt;"",countif('5) Release_Track'!$F:$F,$A429)=0),"NO ISRC MATCH in Release_Track",and($B429&lt;&gt;"",countif('5) Release_Track'!$G:$G,$B429)=0),"NO CATALOG ID MATCH in Release_Track",iserror(vlookup($A429&amp;$B429,'5) Release_Track'!$F:$F&amp;'5) Release_Track'!$G:$G,1,0)),"NO ISRC-CATALOG ID pair MATCH in Release_Track" )</f>
        <v/>
      </c>
      <c r="E429" s="125" t="str">
        <f t="array" ref="E429">ifs(and(isblank($A429),isblank($B429)),"", not(iserror(vlookup($A429&amp;$B429,'5) Release_Track'!$F:$F&amp;'5) Release_Track'!$G:$G,1,0))),vlookup($A429&amp;$B429,{'5) Release_Track'!$F:$F&amp;'5) Release_Track'!$G:$G,'5) Release_Track'!$J:$J},2,0), or(and(not(isblank($B429)),$B429=$B428,$A429&lt;&gt;$A428),and(not(isblank($A429)),$A429=$A428,$B429&lt;&gt;$B428)),"ID LISTS UNALIGNED",and($A429&lt;&gt;"",countif('5) Release_Track'!$F:$F,$A429)=0),"NO ISRC MATCH in Release_Track",and($B429&lt;&gt;"",countif('5) Release_Track'!$G:$G,$B429)=0),"NO CATALOG ID MATCH in Release_Track",iserror(vlookup($A429&amp;$B429,'5) Release_Track'!$F:$F&amp;'5) Release_Track'!$G:$G,1,0)),"NO ISRC-CATALOG ID pair MATCH in Release_Track" )</f>
        <v/>
      </c>
      <c r="F429" s="122"/>
      <c r="G429" s="99"/>
      <c r="H429" s="178"/>
      <c r="I429" s="121" t="str">
        <f t="shared" si="6"/>
        <v/>
      </c>
      <c r="J429" s="99"/>
      <c r="K429" s="99"/>
    </row>
    <row r="430">
      <c r="B430" s="103"/>
      <c r="C430" s="121" t="str">
        <f t="array" ref="C430">ifs(and(isblank($A430),isblank($B430)),"", not(iserror(vlookup($A430&amp;$B430,'5) Release_Track'!$F:$F&amp;'5) Release_Track'!$G:$G,1,0))),vlookup($A430&amp;$B430,{'5) Release_Track'!$F:$F&amp;'5) Release_Track'!$G:$G,'5) Release_Track'!$H:$H},2,0), or(and(not(isblank($B430)),$B430=$B429,$A430&lt;&gt;$A429),and(not(isblank($A430)),$A430=$A429,$B430&lt;&gt;$B429)),"ID LISTS UNALIGNED",and($A430&lt;&gt;"",countif('5) Release_Track'!$F:$F,$A430)=0),"NO ISRC MATCH in Release_Track",and($B430&lt;&gt;"",countif('5) Release_Track'!$G:$G,$B430)=0),"NO CATALOG ID MATCH in Release_Track",iserror(vlookup($A430&amp;$B430,'5) Release_Track'!$F:$F&amp;'5) Release_Track'!$G:$G,1,0)),"NO ISRC-CATALOG ID pair MATCH in Release_Track" )</f>
        <v/>
      </c>
      <c r="D430" s="121" t="str">
        <f t="array" ref="D430">ifs(and(isblank($A430),isblank($B430)),"", not(iserror(vlookup($A430&amp;$B430,'5) Release_Track'!$F:$F&amp;'5) Release_Track'!$G:$G,1,0))),vlookup($A430&amp;$B430,{'5) Release_Track'!$F:$F&amp;'5) Release_Track'!$G:$G,'5) Release_Track'!$I:$I},2,0), or(and(not(isblank($B430)),$B430=$B429,$A430&lt;&gt;$A429),and(not(isblank($A430)),$A430=$A429,$B430&lt;&gt;$B429)),"ID LISTS UNALIGNED",and($A430&lt;&gt;"",countif('5) Release_Track'!$F:$F,$A430)=0),"NO ISRC MATCH in Release_Track",and($B430&lt;&gt;"",countif('5) Release_Track'!$G:$G,$B430)=0),"NO CATALOG ID MATCH in Release_Track",iserror(vlookup($A430&amp;$B430,'5) Release_Track'!$F:$F&amp;'5) Release_Track'!$G:$G,1,0)),"NO ISRC-CATALOG ID pair MATCH in Release_Track" )</f>
        <v/>
      </c>
      <c r="E430" s="125" t="str">
        <f t="array" ref="E430">ifs(and(isblank($A430),isblank($B430)),"", not(iserror(vlookup($A430&amp;$B430,'5) Release_Track'!$F:$F&amp;'5) Release_Track'!$G:$G,1,0))),vlookup($A430&amp;$B430,{'5) Release_Track'!$F:$F&amp;'5) Release_Track'!$G:$G,'5) Release_Track'!$J:$J},2,0), or(and(not(isblank($B430)),$B430=$B429,$A430&lt;&gt;$A429),and(not(isblank($A430)),$A430=$A429,$B430&lt;&gt;$B429)),"ID LISTS UNALIGNED",and($A430&lt;&gt;"",countif('5) Release_Track'!$F:$F,$A430)=0),"NO ISRC MATCH in Release_Track",and($B430&lt;&gt;"",countif('5) Release_Track'!$G:$G,$B430)=0),"NO CATALOG ID MATCH in Release_Track",iserror(vlookup($A430&amp;$B430,'5) Release_Track'!$F:$F&amp;'5) Release_Track'!$G:$G,1,0)),"NO ISRC-CATALOG ID pair MATCH in Release_Track" )</f>
        <v/>
      </c>
      <c r="F430" s="122"/>
      <c r="G430" s="99"/>
      <c r="H430" s="178"/>
      <c r="I430" s="121" t="str">
        <f t="shared" si="6"/>
        <v/>
      </c>
      <c r="J430" s="99"/>
      <c r="K430" s="99"/>
    </row>
    <row r="431">
      <c r="B431" s="103"/>
      <c r="C431" s="121" t="str">
        <f t="array" ref="C431">ifs(and(isblank($A431),isblank($B431)),"", not(iserror(vlookup($A431&amp;$B431,'5) Release_Track'!$F:$F&amp;'5) Release_Track'!$G:$G,1,0))),vlookup($A431&amp;$B431,{'5) Release_Track'!$F:$F&amp;'5) Release_Track'!$G:$G,'5) Release_Track'!$H:$H},2,0), or(and(not(isblank($B431)),$B431=$B430,$A431&lt;&gt;$A430),and(not(isblank($A431)),$A431=$A430,$B431&lt;&gt;$B430)),"ID LISTS UNALIGNED",and($A431&lt;&gt;"",countif('5) Release_Track'!$F:$F,$A431)=0),"NO ISRC MATCH in Release_Track",and($B431&lt;&gt;"",countif('5) Release_Track'!$G:$G,$B431)=0),"NO CATALOG ID MATCH in Release_Track",iserror(vlookup($A431&amp;$B431,'5) Release_Track'!$F:$F&amp;'5) Release_Track'!$G:$G,1,0)),"NO ISRC-CATALOG ID pair MATCH in Release_Track" )</f>
        <v/>
      </c>
      <c r="D431" s="121" t="str">
        <f t="array" ref="D431">ifs(and(isblank($A431),isblank($B431)),"", not(iserror(vlookup($A431&amp;$B431,'5) Release_Track'!$F:$F&amp;'5) Release_Track'!$G:$G,1,0))),vlookup($A431&amp;$B431,{'5) Release_Track'!$F:$F&amp;'5) Release_Track'!$G:$G,'5) Release_Track'!$I:$I},2,0), or(and(not(isblank($B431)),$B431=$B430,$A431&lt;&gt;$A430),and(not(isblank($A431)),$A431=$A430,$B431&lt;&gt;$B430)),"ID LISTS UNALIGNED",and($A431&lt;&gt;"",countif('5) Release_Track'!$F:$F,$A431)=0),"NO ISRC MATCH in Release_Track",and($B431&lt;&gt;"",countif('5) Release_Track'!$G:$G,$B431)=0),"NO CATALOG ID MATCH in Release_Track",iserror(vlookup($A431&amp;$B431,'5) Release_Track'!$F:$F&amp;'5) Release_Track'!$G:$G,1,0)),"NO ISRC-CATALOG ID pair MATCH in Release_Track" )</f>
        <v/>
      </c>
      <c r="E431" s="125" t="str">
        <f t="array" ref="E431">ifs(and(isblank($A431),isblank($B431)),"", not(iserror(vlookup($A431&amp;$B431,'5) Release_Track'!$F:$F&amp;'5) Release_Track'!$G:$G,1,0))),vlookup($A431&amp;$B431,{'5) Release_Track'!$F:$F&amp;'5) Release_Track'!$G:$G,'5) Release_Track'!$J:$J},2,0), or(and(not(isblank($B431)),$B431=$B430,$A431&lt;&gt;$A430),and(not(isblank($A431)),$A431=$A430,$B431&lt;&gt;$B430)),"ID LISTS UNALIGNED",and($A431&lt;&gt;"",countif('5) Release_Track'!$F:$F,$A431)=0),"NO ISRC MATCH in Release_Track",and($B431&lt;&gt;"",countif('5) Release_Track'!$G:$G,$B431)=0),"NO CATALOG ID MATCH in Release_Track",iserror(vlookup($A431&amp;$B431,'5) Release_Track'!$F:$F&amp;'5) Release_Track'!$G:$G,1,0)),"NO ISRC-CATALOG ID pair MATCH in Release_Track" )</f>
        <v/>
      </c>
      <c r="F431" s="122"/>
      <c r="G431" s="99"/>
      <c r="H431" s="178"/>
      <c r="I431" s="121" t="str">
        <f t="shared" si="6"/>
        <v/>
      </c>
      <c r="J431" s="99"/>
      <c r="K431" s="99"/>
    </row>
    <row r="432">
      <c r="B432" s="103"/>
      <c r="C432" s="121" t="str">
        <f t="array" ref="C432">ifs(and(isblank($A432),isblank($B432)),"", not(iserror(vlookup($A432&amp;$B432,'5) Release_Track'!$F:$F&amp;'5) Release_Track'!$G:$G,1,0))),vlookup($A432&amp;$B432,{'5) Release_Track'!$F:$F&amp;'5) Release_Track'!$G:$G,'5) Release_Track'!$H:$H},2,0), or(and(not(isblank($B432)),$B432=$B431,$A432&lt;&gt;$A431),and(not(isblank($A432)),$A432=$A431,$B432&lt;&gt;$B431)),"ID LISTS UNALIGNED",and($A432&lt;&gt;"",countif('5) Release_Track'!$F:$F,$A432)=0),"NO ISRC MATCH in Release_Track",and($B432&lt;&gt;"",countif('5) Release_Track'!$G:$G,$B432)=0),"NO CATALOG ID MATCH in Release_Track",iserror(vlookup($A432&amp;$B432,'5) Release_Track'!$F:$F&amp;'5) Release_Track'!$G:$G,1,0)),"NO ISRC-CATALOG ID pair MATCH in Release_Track" )</f>
        <v/>
      </c>
      <c r="D432" s="121" t="str">
        <f t="array" ref="D432">ifs(and(isblank($A432),isblank($B432)),"", not(iserror(vlookup($A432&amp;$B432,'5) Release_Track'!$F:$F&amp;'5) Release_Track'!$G:$G,1,0))),vlookup($A432&amp;$B432,{'5) Release_Track'!$F:$F&amp;'5) Release_Track'!$G:$G,'5) Release_Track'!$I:$I},2,0), or(and(not(isblank($B432)),$B432=$B431,$A432&lt;&gt;$A431),and(not(isblank($A432)),$A432=$A431,$B432&lt;&gt;$B431)),"ID LISTS UNALIGNED",and($A432&lt;&gt;"",countif('5) Release_Track'!$F:$F,$A432)=0),"NO ISRC MATCH in Release_Track",and($B432&lt;&gt;"",countif('5) Release_Track'!$G:$G,$B432)=0),"NO CATALOG ID MATCH in Release_Track",iserror(vlookup($A432&amp;$B432,'5) Release_Track'!$F:$F&amp;'5) Release_Track'!$G:$G,1,0)),"NO ISRC-CATALOG ID pair MATCH in Release_Track" )</f>
        <v/>
      </c>
      <c r="E432" s="125" t="str">
        <f t="array" ref="E432">ifs(and(isblank($A432),isblank($B432)),"", not(iserror(vlookup($A432&amp;$B432,'5) Release_Track'!$F:$F&amp;'5) Release_Track'!$G:$G,1,0))),vlookup($A432&amp;$B432,{'5) Release_Track'!$F:$F&amp;'5) Release_Track'!$G:$G,'5) Release_Track'!$J:$J},2,0), or(and(not(isblank($B432)),$B432=$B431,$A432&lt;&gt;$A431),and(not(isblank($A432)),$A432=$A431,$B432&lt;&gt;$B431)),"ID LISTS UNALIGNED",and($A432&lt;&gt;"",countif('5) Release_Track'!$F:$F,$A432)=0),"NO ISRC MATCH in Release_Track",and($B432&lt;&gt;"",countif('5) Release_Track'!$G:$G,$B432)=0),"NO CATALOG ID MATCH in Release_Track",iserror(vlookup($A432&amp;$B432,'5) Release_Track'!$F:$F&amp;'5) Release_Track'!$G:$G,1,0)),"NO ISRC-CATALOG ID pair MATCH in Release_Track" )</f>
        <v/>
      </c>
      <c r="F432" s="122"/>
      <c r="G432" s="99"/>
      <c r="H432" s="178"/>
      <c r="I432" s="121" t="str">
        <f t="shared" si="6"/>
        <v/>
      </c>
      <c r="J432" s="99"/>
      <c r="K432" s="99"/>
    </row>
    <row r="433">
      <c r="B433" s="103"/>
      <c r="C433" s="121" t="str">
        <f t="array" ref="C433">ifs(and(isblank($A433),isblank($B433)),"", not(iserror(vlookup($A433&amp;$B433,'5) Release_Track'!$F:$F&amp;'5) Release_Track'!$G:$G,1,0))),vlookup($A433&amp;$B433,{'5) Release_Track'!$F:$F&amp;'5) Release_Track'!$G:$G,'5) Release_Track'!$H:$H},2,0), or(and(not(isblank($B433)),$B433=$B432,$A433&lt;&gt;$A432),and(not(isblank($A433)),$A433=$A432,$B433&lt;&gt;$B432)),"ID LISTS UNALIGNED",and($A433&lt;&gt;"",countif('5) Release_Track'!$F:$F,$A433)=0),"NO ISRC MATCH in Release_Track",and($B433&lt;&gt;"",countif('5) Release_Track'!$G:$G,$B433)=0),"NO CATALOG ID MATCH in Release_Track",iserror(vlookup($A433&amp;$B433,'5) Release_Track'!$F:$F&amp;'5) Release_Track'!$G:$G,1,0)),"NO ISRC-CATALOG ID pair MATCH in Release_Track" )</f>
        <v/>
      </c>
      <c r="D433" s="121" t="str">
        <f t="array" ref="D433">ifs(and(isblank($A433),isblank($B433)),"", not(iserror(vlookup($A433&amp;$B433,'5) Release_Track'!$F:$F&amp;'5) Release_Track'!$G:$G,1,0))),vlookup($A433&amp;$B433,{'5) Release_Track'!$F:$F&amp;'5) Release_Track'!$G:$G,'5) Release_Track'!$I:$I},2,0), or(and(not(isblank($B433)),$B433=$B432,$A433&lt;&gt;$A432),and(not(isblank($A433)),$A433=$A432,$B433&lt;&gt;$B432)),"ID LISTS UNALIGNED",and($A433&lt;&gt;"",countif('5) Release_Track'!$F:$F,$A433)=0),"NO ISRC MATCH in Release_Track",and($B433&lt;&gt;"",countif('5) Release_Track'!$G:$G,$B433)=0),"NO CATALOG ID MATCH in Release_Track",iserror(vlookup($A433&amp;$B433,'5) Release_Track'!$F:$F&amp;'5) Release_Track'!$G:$G,1,0)),"NO ISRC-CATALOG ID pair MATCH in Release_Track" )</f>
        <v/>
      </c>
      <c r="E433" s="125" t="str">
        <f t="array" ref="E433">ifs(and(isblank($A433),isblank($B433)),"", not(iserror(vlookup($A433&amp;$B433,'5) Release_Track'!$F:$F&amp;'5) Release_Track'!$G:$G,1,0))),vlookup($A433&amp;$B433,{'5) Release_Track'!$F:$F&amp;'5) Release_Track'!$G:$G,'5) Release_Track'!$J:$J},2,0), or(and(not(isblank($B433)),$B433=$B432,$A433&lt;&gt;$A432),and(not(isblank($A433)),$A433=$A432,$B433&lt;&gt;$B432)),"ID LISTS UNALIGNED",and($A433&lt;&gt;"",countif('5) Release_Track'!$F:$F,$A433)=0),"NO ISRC MATCH in Release_Track",and($B433&lt;&gt;"",countif('5) Release_Track'!$G:$G,$B433)=0),"NO CATALOG ID MATCH in Release_Track",iserror(vlookup($A433&amp;$B433,'5) Release_Track'!$F:$F&amp;'5) Release_Track'!$G:$G,1,0)),"NO ISRC-CATALOG ID pair MATCH in Release_Track" )</f>
        <v/>
      </c>
      <c r="F433" s="122"/>
      <c r="G433" s="99"/>
      <c r="H433" s="178"/>
      <c r="I433" s="121" t="str">
        <f t="shared" si="6"/>
        <v/>
      </c>
      <c r="J433" s="99"/>
      <c r="K433" s="99"/>
    </row>
    <row r="434">
      <c r="B434" s="103"/>
      <c r="C434" s="121" t="str">
        <f t="array" ref="C434">ifs(and(isblank($A434),isblank($B434)),"", not(iserror(vlookup($A434&amp;$B434,'5) Release_Track'!$F:$F&amp;'5) Release_Track'!$G:$G,1,0))),vlookup($A434&amp;$B434,{'5) Release_Track'!$F:$F&amp;'5) Release_Track'!$G:$G,'5) Release_Track'!$H:$H},2,0), or(and(not(isblank($B434)),$B434=$B433,$A434&lt;&gt;$A433),and(not(isblank($A434)),$A434=$A433,$B434&lt;&gt;$B433)),"ID LISTS UNALIGNED",and($A434&lt;&gt;"",countif('5) Release_Track'!$F:$F,$A434)=0),"NO ISRC MATCH in Release_Track",and($B434&lt;&gt;"",countif('5) Release_Track'!$G:$G,$B434)=0),"NO CATALOG ID MATCH in Release_Track",iserror(vlookup($A434&amp;$B434,'5) Release_Track'!$F:$F&amp;'5) Release_Track'!$G:$G,1,0)),"NO ISRC-CATALOG ID pair MATCH in Release_Track" )</f>
        <v/>
      </c>
      <c r="D434" s="121" t="str">
        <f t="array" ref="D434">ifs(and(isblank($A434),isblank($B434)),"", not(iserror(vlookup($A434&amp;$B434,'5) Release_Track'!$F:$F&amp;'5) Release_Track'!$G:$G,1,0))),vlookup($A434&amp;$B434,{'5) Release_Track'!$F:$F&amp;'5) Release_Track'!$G:$G,'5) Release_Track'!$I:$I},2,0), or(and(not(isblank($B434)),$B434=$B433,$A434&lt;&gt;$A433),and(not(isblank($A434)),$A434=$A433,$B434&lt;&gt;$B433)),"ID LISTS UNALIGNED",and($A434&lt;&gt;"",countif('5) Release_Track'!$F:$F,$A434)=0),"NO ISRC MATCH in Release_Track",and($B434&lt;&gt;"",countif('5) Release_Track'!$G:$G,$B434)=0),"NO CATALOG ID MATCH in Release_Track",iserror(vlookup($A434&amp;$B434,'5) Release_Track'!$F:$F&amp;'5) Release_Track'!$G:$G,1,0)),"NO ISRC-CATALOG ID pair MATCH in Release_Track" )</f>
        <v/>
      </c>
      <c r="E434" s="125" t="str">
        <f t="array" ref="E434">ifs(and(isblank($A434),isblank($B434)),"", not(iserror(vlookup($A434&amp;$B434,'5) Release_Track'!$F:$F&amp;'5) Release_Track'!$G:$G,1,0))),vlookup($A434&amp;$B434,{'5) Release_Track'!$F:$F&amp;'5) Release_Track'!$G:$G,'5) Release_Track'!$J:$J},2,0), or(and(not(isblank($B434)),$B434=$B433,$A434&lt;&gt;$A433),and(not(isblank($A434)),$A434=$A433,$B434&lt;&gt;$B433)),"ID LISTS UNALIGNED",and($A434&lt;&gt;"",countif('5) Release_Track'!$F:$F,$A434)=0),"NO ISRC MATCH in Release_Track",and($B434&lt;&gt;"",countif('5) Release_Track'!$G:$G,$B434)=0),"NO CATALOG ID MATCH in Release_Track",iserror(vlookup($A434&amp;$B434,'5) Release_Track'!$F:$F&amp;'5) Release_Track'!$G:$G,1,0)),"NO ISRC-CATALOG ID pair MATCH in Release_Track" )</f>
        <v/>
      </c>
      <c r="F434" s="122"/>
      <c r="G434" s="99"/>
      <c r="H434" s="178"/>
      <c r="I434" s="121" t="str">
        <f t="shared" si="6"/>
        <v/>
      </c>
      <c r="J434" s="99"/>
      <c r="K434" s="99"/>
    </row>
    <row r="435">
      <c r="B435" s="103"/>
      <c r="C435" s="121" t="str">
        <f t="array" ref="C435">ifs(and(isblank($A435),isblank($B435)),"", not(iserror(vlookup($A435&amp;$B435,'5) Release_Track'!$F:$F&amp;'5) Release_Track'!$G:$G,1,0))),vlookup($A435&amp;$B435,{'5) Release_Track'!$F:$F&amp;'5) Release_Track'!$G:$G,'5) Release_Track'!$H:$H},2,0), or(and(not(isblank($B435)),$B435=$B434,$A435&lt;&gt;$A434),and(not(isblank($A435)),$A435=$A434,$B435&lt;&gt;$B434)),"ID LISTS UNALIGNED",and($A435&lt;&gt;"",countif('5) Release_Track'!$F:$F,$A435)=0),"NO ISRC MATCH in Release_Track",and($B435&lt;&gt;"",countif('5) Release_Track'!$G:$G,$B435)=0),"NO CATALOG ID MATCH in Release_Track",iserror(vlookup($A435&amp;$B435,'5) Release_Track'!$F:$F&amp;'5) Release_Track'!$G:$G,1,0)),"NO ISRC-CATALOG ID pair MATCH in Release_Track" )</f>
        <v/>
      </c>
      <c r="D435" s="121" t="str">
        <f t="array" ref="D435">ifs(and(isblank($A435),isblank($B435)),"", not(iserror(vlookup($A435&amp;$B435,'5) Release_Track'!$F:$F&amp;'5) Release_Track'!$G:$G,1,0))),vlookup($A435&amp;$B435,{'5) Release_Track'!$F:$F&amp;'5) Release_Track'!$G:$G,'5) Release_Track'!$I:$I},2,0), or(and(not(isblank($B435)),$B435=$B434,$A435&lt;&gt;$A434),and(not(isblank($A435)),$A435=$A434,$B435&lt;&gt;$B434)),"ID LISTS UNALIGNED",and($A435&lt;&gt;"",countif('5) Release_Track'!$F:$F,$A435)=0),"NO ISRC MATCH in Release_Track",and($B435&lt;&gt;"",countif('5) Release_Track'!$G:$G,$B435)=0),"NO CATALOG ID MATCH in Release_Track",iserror(vlookup($A435&amp;$B435,'5) Release_Track'!$F:$F&amp;'5) Release_Track'!$G:$G,1,0)),"NO ISRC-CATALOG ID pair MATCH in Release_Track" )</f>
        <v/>
      </c>
      <c r="E435" s="125" t="str">
        <f t="array" ref="E435">ifs(and(isblank($A435),isblank($B435)),"", not(iserror(vlookup($A435&amp;$B435,'5) Release_Track'!$F:$F&amp;'5) Release_Track'!$G:$G,1,0))),vlookup($A435&amp;$B435,{'5) Release_Track'!$F:$F&amp;'5) Release_Track'!$G:$G,'5) Release_Track'!$J:$J},2,0), or(and(not(isblank($B435)),$B435=$B434,$A435&lt;&gt;$A434),and(not(isblank($A435)),$A435=$A434,$B435&lt;&gt;$B434)),"ID LISTS UNALIGNED",and($A435&lt;&gt;"",countif('5) Release_Track'!$F:$F,$A435)=0),"NO ISRC MATCH in Release_Track",and($B435&lt;&gt;"",countif('5) Release_Track'!$G:$G,$B435)=0),"NO CATALOG ID MATCH in Release_Track",iserror(vlookup($A435&amp;$B435,'5) Release_Track'!$F:$F&amp;'5) Release_Track'!$G:$G,1,0)),"NO ISRC-CATALOG ID pair MATCH in Release_Track" )</f>
        <v/>
      </c>
      <c r="F435" s="122"/>
      <c r="G435" s="99"/>
      <c r="H435" s="178"/>
      <c r="I435" s="121" t="str">
        <f t="shared" si="6"/>
        <v/>
      </c>
      <c r="J435" s="99"/>
      <c r="K435" s="99"/>
    </row>
    <row r="436">
      <c r="B436" s="103"/>
      <c r="C436" s="121" t="str">
        <f t="array" ref="C436">ifs(and(isblank($A436),isblank($B436)),"", not(iserror(vlookup($A436&amp;$B436,'5) Release_Track'!$F:$F&amp;'5) Release_Track'!$G:$G,1,0))),vlookup($A436&amp;$B436,{'5) Release_Track'!$F:$F&amp;'5) Release_Track'!$G:$G,'5) Release_Track'!$H:$H},2,0), or(and(not(isblank($B436)),$B436=$B435,$A436&lt;&gt;$A435),and(not(isblank($A436)),$A436=$A435,$B436&lt;&gt;$B435)),"ID LISTS UNALIGNED",and($A436&lt;&gt;"",countif('5) Release_Track'!$F:$F,$A436)=0),"NO ISRC MATCH in Release_Track",and($B436&lt;&gt;"",countif('5) Release_Track'!$G:$G,$B436)=0),"NO CATALOG ID MATCH in Release_Track",iserror(vlookup($A436&amp;$B436,'5) Release_Track'!$F:$F&amp;'5) Release_Track'!$G:$G,1,0)),"NO ISRC-CATALOG ID pair MATCH in Release_Track" )</f>
        <v/>
      </c>
      <c r="D436" s="121" t="str">
        <f t="array" ref="D436">ifs(and(isblank($A436),isblank($B436)),"", not(iserror(vlookup($A436&amp;$B436,'5) Release_Track'!$F:$F&amp;'5) Release_Track'!$G:$G,1,0))),vlookup($A436&amp;$B436,{'5) Release_Track'!$F:$F&amp;'5) Release_Track'!$G:$G,'5) Release_Track'!$I:$I},2,0), or(and(not(isblank($B436)),$B436=$B435,$A436&lt;&gt;$A435),and(not(isblank($A436)),$A436=$A435,$B436&lt;&gt;$B435)),"ID LISTS UNALIGNED",and($A436&lt;&gt;"",countif('5) Release_Track'!$F:$F,$A436)=0),"NO ISRC MATCH in Release_Track",and($B436&lt;&gt;"",countif('5) Release_Track'!$G:$G,$B436)=0),"NO CATALOG ID MATCH in Release_Track",iserror(vlookup($A436&amp;$B436,'5) Release_Track'!$F:$F&amp;'5) Release_Track'!$G:$G,1,0)),"NO ISRC-CATALOG ID pair MATCH in Release_Track" )</f>
        <v/>
      </c>
      <c r="E436" s="125" t="str">
        <f t="array" ref="E436">ifs(and(isblank($A436),isblank($B436)),"", not(iserror(vlookup($A436&amp;$B436,'5) Release_Track'!$F:$F&amp;'5) Release_Track'!$G:$G,1,0))),vlookup($A436&amp;$B436,{'5) Release_Track'!$F:$F&amp;'5) Release_Track'!$G:$G,'5) Release_Track'!$J:$J},2,0), or(and(not(isblank($B436)),$B436=$B435,$A436&lt;&gt;$A435),and(not(isblank($A436)),$A436=$A435,$B436&lt;&gt;$B435)),"ID LISTS UNALIGNED",and($A436&lt;&gt;"",countif('5) Release_Track'!$F:$F,$A436)=0),"NO ISRC MATCH in Release_Track",and($B436&lt;&gt;"",countif('5) Release_Track'!$G:$G,$B436)=0),"NO CATALOG ID MATCH in Release_Track",iserror(vlookup($A436&amp;$B436,'5) Release_Track'!$F:$F&amp;'5) Release_Track'!$G:$G,1,0)),"NO ISRC-CATALOG ID pair MATCH in Release_Track" )</f>
        <v/>
      </c>
      <c r="F436" s="122"/>
      <c r="G436" s="99"/>
      <c r="H436" s="178"/>
      <c r="I436" s="121" t="str">
        <f t="shared" si="6"/>
        <v/>
      </c>
      <c r="J436" s="99"/>
      <c r="K436" s="99"/>
    </row>
    <row r="437">
      <c r="B437" s="103"/>
      <c r="C437" s="121" t="str">
        <f t="array" ref="C437">ifs(and(isblank($A437),isblank($B437)),"", not(iserror(vlookup($A437&amp;$B437,'5) Release_Track'!$F:$F&amp;'5) Release_Track'!$G:$G,1,0))),vlookup($A437&amp;$B437,{'5) Release_Track'!$F:$F&amp;'5) Release_Track'!$G:$G,'5) Release_Track'!$H:$H},2,0), or(and(not(isblank($B437)),$B437=$B436,$A437&lt;&gt;$A436),and(not(isblank($A437)),$A437=$A436,$B437&lt;&gt;$B436)),"ID LISTS UNALIGNED",and($A437&lt;&gt;"",countif('5) Release_Track'!$F:$F,$A437)=0),"NO ISRC MATCH in Release_Track",and($B437&lt;&gt;"",countif('5) Release_Track'!$G:$G,$B437)=0),"NO CATALOG ID MATCH in Release_Track",iserror(vlookup($A437&amp;$B437,'5) Release_Track'!$F:$F&amp;'5) Release_Track'!$G:$G,1,0)),"NO ISRC-CATALOG ID pair MATCH in Release_Track" )</f>
        <v/>
      </c>
      <c r="D437" s="121" t="str">
        <f t="array" ref="D437">ifs(and(isblank($A437),isblank($B437)),"", not(iserror(vlookup($A437&amp;$B437,'5) Release_Track'!$F:$F&amp;'5) Release_Track'!$G:$G,1,0))),vlookup($A437&amp;$B437,{'5) Release_Track'!$F:$F&amp;'5) Release_Track'!$G:$G,'5) Release_Track'!$I:$I},2,0), or(and(not(isblank($B437)),$B437=$B436,$A437&lt;&gt;$A436),and(not(isblank($A437)),$A437=$A436,$B437&lt;&gt;$B436)),"ID LISTS UNALIGNED",and($A437&lt;&gt;"",countif('5) Release_Track'!$F:$F,$A437)=0),"NO ISRC MATCH in Release_Track",and($B437&lt;&gt;"",countif('5) Release_Track'!$G:$G,$B437)=0),"NO CATALOG ID MATCH in Release_Track",iserror(vlookup($A437&amp;$B437,'5) Release_Track'!$F:$F&amp;'5) Release_Track'!$G:$G,1,0)),"NO ISRC-CATALOG ID pair MATCH in Release_Track" )</f>
        <v/>
      </c>
      <c r="E437" s="125" t="str">
        <f t="array" ref="E437">ifs(and(isblank($A437),isblank($B437)),"", not(iserror(vlookup($A437&amp;$B437,'5) Release_Track'!$F:$F&amp;'5) Release_Track'!$G:$G,1,0))),vlookup($A437&amp;$B437,{'5) Release_Track'!$F:$F&amp;'5) Release_Track'!$G:$G,'5) Release_Track'!$J:$J},2,0), or(and(not(isblank($B437)),$B437=$B436,$A437&lt;&gt;$A436),and(not(isblank($A437)),$A437=$A436,$B437&lt;&gt;$B436)),"ID LISTS UNALIGNED",and($A437&lt;&gt;"",countif('5) Release_Track'!$F:$F,$A437)=0),"NO ISRC MATCH in Release_Track",and($B437&lt;&gt;"",countif('5) Release_Track'!$G:$G,$B437)=0),"NO CATALOG ID MATCH in Release_Track",iserror(vlookup($A437&amp;$B437,'5) Release_Track'!$F:$F&amp;'5) Release_Track'!$G:$G,1,0)),"NO ISRC-CATALOG ID pair MATCH in Release_Track" )</f>
        <v/>
      </c>
      <c r="F437" s="122"/>
      <c r="G437" s="99"/>
      <c r="H437" s="178"/>
      <c r="I437" s="121" t="str">
        <f t="shared" si="6"/>
        <v/>
      </c>
      <c r="J437" s="99"/>
      <c r="K437" s="99"/>
    </row>
    <row r="438">
      <c r="B438" s="103"/>
      <c r="C438" s="121" t="str">
        <f t="array" ref="C438">ifs(and(isblank($A438),isblank($B438)),"", not(iserror(vlookup($A438&amp;$B438,'5) Release_Track'!$F:$F&amp;'5) Release_Track'!$G:$G,1,0))),vlookup($A438&amp;$B438,{'5) Release_Track'!$F:$F&amp;'5) Release_Track'!$G:$G,'5) Release_Track'!$H:$H},2,0), or(and(not(isblank($B438)),$B438=$B437,$A438&lt;&gt;$A437),and(not(isblank($A438)),$A438=$A437,$B438&lt;&gt;$B437)),"ID LISTS UNALIGNED",and($A438&lt;&gt;"",countif('5) Release_Track'!$F:$F,$A438)=0),"NO ISRC MATCH in Release_Track",and($B438&lt;&gt;"",countif('5) Release_Track'!$G:$G,$B438)=0),"NO CATALOG ID MATCH in Release_Track",iserror(vlookup($A438&amp;$B438,'5) Release_Track'!$F:$F&amp;'5) Release_Track'!$G:$G,1,0)),"NO ISRC-CATALOG ID pair MATCH in Release_Track" )</f>
        <v/>
      </c>
      <c r="D438" s="121" t="str">
        <f t="array" ref="D438">ifs(and(isblank($A438),isblank($B438)),"", not(iserror(vlookup($A438&amp;$B438,'5) Release_Track'!$F:$F&amp;'5) Release_Track'!$G:$G,1,0))),vlookup($A438&amp;$B438,{'5) Release_Track'!$F:$F&amp;'5) Release_Track'!$G:$G,'5) Release_Track'!$I:$I},2,0), or(and(not(isblank($B438)),$B438=$B437,$A438&lt;&gt;$A437),and(not(isblank($A438)),$A438=$A437,$B438&lt;&gt;$B437)),"ID LISTS UNALIGNED",and($A438&lt;&gt;"",countif('5) Release_Track'!$F:$F,$A438)=0),"NO ISRC MATCH in Release_Track",and($B438&lt;&gt;"",countif('5) Release_Track'!$G:$G,$B438)=0),"NO CATALOG ID MATCH in Release_Track",iserror(vlookup($A438&amp;$B438,'5) Release_Track'!$F:$F&amp;'5) Release_Track'!$G:$G,1,0)),"NO ISRC-CATALOG ID pair MATCH in Release_Track" )</f>
        <v/>
      </c>
      <c r="E438" s="125" t="str">
        <f t="array" ref="E438">ifs(and(isblank($A438),isblank($B438)),"", not(iserror(vlookup($A438&amp;$B438,'5) Release_Track'!$F:$F&amp;'5) Release_Track'!$G:$G,1,0))),vlookup($A438&amp;$B438,{'5) Release_Track'!$F:$F&amp;'5) Release_Track'!$G:$G,'5) Release_Track'!$J:$J},2,0), or(and(not(isblank($B438)),$B438=$B437,$A438&lt;&gt;$A437),and(not(isblank($A438)),$A438=$A437,$B438&lt;&gt;$B437)),"ID LISTS UNALIGNED",and($A438&lt;&gt;"",countif('5) Release_Track'!$F:$F,$A438)=0),"NO ISRC MATCH in Release_Track",and($B438&lt;&gt;"",countif('5) Release_Track'!$G:$G,$B438)=0),"NO CATALOG ID MATCH in Release_Track",iserror(vlookup($A438&amp;$B438,'5) Release_Track'!$F:$F&amp;'5) Release_Track'!$G:$G,1,0)),"NO ISRC-CATALOG ID pair MATCH in Release_Track" )</f>
        <v/>
      </c>
      <c r="F438" s="122"/>
      <c r="G438" s="99"/>
      <c r="H438" s="178"/>
      <c r="I438" s="121" t="str">
        <f t="shared" si="6"/>
        <v/>
      </c>
      <c r="J438" s="99"/>
      <c r="K438" s="99"/>
    </row>
    <row r="439">
      <c r="B439" s="103"/>
      <c r="C439" s="121" t="str">
        <f t="array" ref="C439">ifs(and(isblank($A439),isblank($B439)),"", not(iserror(vlookup($A439&amp;$B439,'5) Release_Track'!$F:$F&amp;'5) Release_Track'!$G:$G,1,0))),vlookup($A439&amp;$B439,{'5) Release_Track'!$F:$F&amp;'5) Release_Track'!$G:$G,'5) Release_Track'!$H:$H},2,0), or(and(not(isblank($B439)),$B439=$B438,$A439&lt;&gt;$A438),and(not(isblank($A439)),$A439=$A438,$B439&lt;&gt;$B438)),"ID LISTS UNALIGNED",and($A439&lt;&gt;"",countif('5) Release_Track'!$F:$F,$A439)=0),"NO ISRC MATCH in Release_Track",and($B439&lt;&gt;"",countif('5) Release_Track'!$G:$G,$B439)=0),"NO CATALOG ID MATCH in Release_Track",iserror(vlookup($A439&amp;$B439,'5) Release_Track'!$F:$F&amp;'5) Release_Track'!$G:$G,1,0)),"NO ISRC-CATALOG ID pair MATCH in Release_Track" )</f>
        <v/>
      </c>
      <c r="D439" s="121" t="str">
        <f t="array" ref="D439">ifs(and(isblank($A439),isblank($B439)),"", not(iserror(vlookup($A439&amp;$B439,'5) Release_Track'!$F:$F&amp;'5) Release_Track'!$G:$G,1,0))),vlookup($A439&amp;$B439,{'5) Release_Track'!$F:$F&amp;'5) Release_Track'!$G:$G,'5) Release_Track'!$I:$I},2,0), or(and(not(isblank($B439)),$B439=$B438,$A439&lt;&gt;$A438),and(not(isblank($A439)),$A439=$A438,$B439&lt;&gt;$B438)),"ID LISTS UNALIGNED",and($A439&lt;&gt;"",countif('5) Release_Track'!$F:$F,$A439)=0),"NO ISRC MATCH in Release_Track",and($B439&lt;&gt;"",countif('5) Release_Track'!$G:$G,$B439)=0),"NO CATALOG ID MATCH in Release_Track",iserror(vlookup($A439&amp;$B439,'5) Release_Track'!$F:$F&amp;'5) Release_Track'!$G:$G,1,0)),"NO ISRC-CATALOG ID pair MATCH in Release_Track" )</f>
        <v/>
      </c>
      <c r="E439" s="125" t="str">
        <f t="array" ref="E439">ifs(and(isblank($A439),isblank($B439)),"", not(iserror(vlookup($A439&amp;$B439,'5) Release_Track'!$F:$F&amp;'5) Release_Track'!$G:$G,1,0))),vlookup($A439&amp;$B439,{'5) Release_Track'!$F:$F&amp;'5) Release_Track'!$G:$G,'5) Release_Track'!$J:$J},2,0), or(and(not(isblank($B439)),$B439=$B438,$A439&lt;&gt;$A438),and(not(isblank($A439)),$A439=$A438,$B439&lt;&gt;$B438)),"ID LISTS UNALIGNED",and($A439&lt;&gt;"",countif('5) Release_Track'!$F:$F,$A439)=0),"NO ISRC MATCH in Release_Track",and($B439&lt;&gt;"",countif('5) Release_Track'!$G:$G,$B439)=0),"NO CATALOG ID MATCH in Release_Track",iserror(vlookup($A439&amp;$B439,'5) Release_Track'!$F:$F&amp;'5) Release_Track'!$G:$G,1,0)),"NO ISRC-CATALOG ID pair MATCH in Release_Track" )</f>
        <v/>
      </c>
      <c r="F439" s="122"/>
      <c r="G439" s="99"/>
      <c r="H439" s="178"/>
      <c r="I439" s="121" t="str">
        <f t="shared" si="6"/>
        <v/>
      </c>
      <c r="J439" s="99"/>
      <c r="K439" s="99"/>
    </row>
    <row r="440">
      <c r="B440" s="103"/>
      <c r="C440" s="121" t="str">
        <f t="array" ref="C440">ifs(and(isblank($A440),isblank($B440)),"", not(iserror(vlookup($A440&amp;$B440,'5) Release_Track'!$F:$F&amp;'5) Release_Track'!$G:$G,1,0))),vlookup($A440&amp;$B440,{'5) Release_Track'!$F:$F&amp;'5) Release_Track'!$G:$G,'5) Release_Track'!$H:$H},2,0), or(and(not(isblank($B440)),$B440=$B439,$A440&lt;&gt;$A439),and(not(isblank($A440)),$A440=$A439,$B440&lt;&gt;$B439)),"ID LISTS UNALIGNED",and($A440&lt;&gt;"",countif('5) Release_Track'!$F:$F,$A440)=0),"NO ISRC MATCH in Release_Track",and($B440&lt;&gt;"",countif('5) Release_Track'!$G:$G,$B440)=0),"NO CATALOG ID MATCH in Release_Track",iserror(vlookup($A440&amp;$B440,'5) Release_Track'!$F:$F&amp;'5) Release_Track'!$G:$G,1,0)),"NO ISRC-CATALOG ID pair MATCH in Release_Track" )</f>
        <v/>
      </c>
      <c r="D440" s="121" t="str">
        <f t="array" ref="D440">ifs(and(isblank($A440),isblank($B440)),"", not(iserror(vlookup($A440&amp;$B440,'5) Release_Track'!$F:$F&amp;'5) Release_Track'!$G:$G,1,0))),vlookup($A440&amp;$B440,{'5) Release_Track'!$F:$F&amp;'5) Release_Track'!$G:$G,'5) Release_Track'!$I:$I},2,0), or(and(not(isblank($B440)),$B440=$B439,$A440&lt;&gt;$A439),and(not(isblank($A440)),$A440=$A439,$B440&lt;&gt;$B439)),"ID LISTS UNALIGNED",and($A440&lt;&gt;"",countif('5) Release_Track'!$F:$F,$A440)=0),"NO ISRC MATCH in Release_Track",and($B440&lt;&gt;"",countif('5) Release_Track'!$G:$G,$B440)=0),"NO CATALOG ID MATCH in Release_Track",iserror(vlookup($A440&amp;$B440,'5) Release_Track'!$F:$F&amp;'5) Release_Track'!$G:$G,1,0)),"NO ISRC-CATALOG ID pair MATCH in Release_Track" )</f>
        <v/>
      </c>
      <c r="E440" s="125" t="str">
        <f t="array" ref="E440">ifs(and(isblank($A440),isblank($B440)),"", not(iserror(vlookup($A440&amp;$B440,'5) Release_Track'!$F:$F&amp;'5) Release_Track'!$G:$G,1,0))),vlookup($A440&amp;$B440,{'5) Release_Track'!$F:$F&amp;'5) Release_Track'!$G:$G,'5) Release_Track'!$J:$J},2,0), or(and(not(isblank($B440)),$B440=$B439,$A440&lt;&gt;$A439),and(not(isblank($A440)),$A440=$A439,$B440&lt;&gt;$B439)),"ID LISTS UNALIGNED",and($A440&lt;&gt;"",countif('5) Release_Track'!$F:$F,$A440)=0),"NO ISRC MATCH in Release_Track",and($B440&lt;&gt;"",countif('5) Release_Track'!$G:$G,$B440)=0),"NO CATALOG ID MATCH in Release_Track",iserror(vlookup($A440&amp;$B440,'5) Release_Track'!$F:$F&amp;'5) Release_Track'!$G:$G,1,0)),"NO ISRC-CATALOG ID pair MATCH in Release_Track" )</f>
        <v/>
      </c>
      <c r="F440" s="122"/>
      <c r="G440" s="99"/>
      <c r="H440" s="178"/>
      <c r="I440" s="121" t="str">
        <f t="shared" si="6"/>
        <v/>
      </c>
      <c r="J440" s="99"/>
      <c r="K440" s="99"/>
    </row>
    <row r="441">
      <c r="B441" s="103"/>
      <c r="C441" s="121" t="str">
        <f t="array" ref="C441">ifs(and(isblank($A441),isblank($B441)),"", not(iserror(vlookup($A441&amp;$B441,'5) Release_Track'!$F:$F&amp;'5) Release_Track'!$G:$G,1,0))),vlookup($A441&amp;$B441,{'5) Release_Track'!$F:$F&amp;'5) Release_Track'!$G:$G,'5) Release_Track'!$H:$H},2,0), or(and(not(isblank($B441)),$B441=$B440,$A441&lt;&gt;$A440),and(not(isblank($A441)),$A441=$A440,$B441&lt;&gt;$B440)),"ID LISTS UNALIGNED",and($A441&lt;&gt;"",countif('5) Release_Track'!$F:$F,$A441)=0),"NO ISRC MATCH in Release_Track",and($B441&lt;&gt;"",countif('5) Release_Track'!$G:$G,$B441)=0),"NO CATALOG ID MATCH in Release_Track",iserror(vlookup($A441&amp;$B441,'5) Release_Track'!$F:$F&amp;'5) Release_Track'!$G:$G,1,0)),"NO ISRC-CATALOG ID pair MATCH in Release_Track" )</f>
        <v/>
      </c>
      <c r="D441" s="121" t="str">
        <f t="array" ref="D441">ifs(and(isblank($A441),isblank($B441)),"", not(iserror(vlookup($A441&amp;$B441,'5) Release_Track'!$F:$F&amp;'5) Release_Track'!$G:$G,1,0))),vlookup($A441&amp;$B441,{'5) Release_Track'!$F:$F&amp;'5) Release_Track'!$G:$G,'5) Release_Track'!$I:$I},2,0), or(and(not(isblank($B441)),$B441=$B440,$A441&lt;&gt;$A440),and(not(isblank($A441)),$A441=$A440,$B441&lt;&gt;$B440)),"ID LISTS UNALIGNED",and($A441&lt;&gt;"",countif('5) Release_Track'!$F:$F,$A441)=0),"NO ISRC MATCH in Release_Track",and($B441&lt;&gt;"",countif('5) Release_Track'!$G:$G,$B441)=0),"NO CATALOG ID MATCH in Release_Track",iserror(vlookup($A441&amp;$B441,'5) Release_Track'!$F:$F&amp;'5) Release_Track'!$G:$G,1,0)),"NO ISRC-CATALOG ID pair MATCH in Release_Track" )</f>
        <v/>
      </c>
      <c r="E441" s="125" t="str">
        <f t="array" ref="E441">ifs(and(isblank($A441),isblank($B441)),"", not(iserror(vlookup($A441&amp;$B441,'5) Release_Track'!$F:$F&amp;'5) Release_Track'!$G:$G,1,0))),vlookup($A441&amp;$B441,{'5) Release_Track'!$F:$F&amp;'5) Release_Track'!$G:$G,'5) Release_Track'!$J:$J},2,0), or(and(not(isblank($B441)),$B441=$B440,$A441&lt;&gt;$A440),and(not(isblank($A441)),$A441=$A440,$B441&lt;&gt;$B440)),"ID LISTS UNALIGNED",and($A441&lt;&gt;"",countif('5) Release_Track'!$F:$F,$A441)=0),"NO ISRC MATCH in Release_Track",and($B441&lt;&gt;"",countif('5) Release_Track'!$G:$G,$B441)=0),"NO CATALOG ID MATCH in Release_Track",iserror(vlookup($A441&amp;$B441,'5) Release_Track'!$F:$F&amp;'5) Release_Track'!$G:$G,1,0)),"NO ISRC-CATALOG ID pair MATCH in Release_Track" )</f>
        <v/>
      </c>
      <c r="F441" s="122"/>
      <c r="G441" s="99"/>
      <c r="H441" s="178"/>
      <c r="I441" s="121" t="str">
        <f t="shared" si="6"/>
        <v/>
      </c>
      <c r="J441" s="99"/>
      <c r="K441" s="99"/>
    </row>
    <row r="442">
      <c r="B442" s="103"/>
      <c r="C442" s="121" t="str">
        <f t="array" ref="C442">ifs(and(isblank($A442),isblank($B442)),"", not(iserror(vlookup($A442&amp;$B442,'5) Release_Track'!$F:$F&amp;'5) Release_Track'!$G:$G,1,0))),vlookup($A442&amp;$B442,{'5) Release_Track'!$F:$F&amp;'5) Release_Track'!$G:$G,'5) Release_Track'!$H:$H},2,0), or(and(not(isblank($B442)),$B442=$B441,$A442&lt;&gt;$A441),and(not(isblank($A442)),$A442=$A441,$B442&lt;&gt;$B441)),"ID LISTS UNALIGNED",and($A442&lt;&gt;"",countif('5) Release_Track'!$F:$F,$A442)=0),"NO ISRC MATCH in Release_Track",and($B442&lt;&gt;"",countif('5) Release_Track'!$G:$G,$B442)=0),"NO CATALOG ID MATCH in Release_Track",iserror(vlookup($A442&amp;$B442,'5) Release_Track'!$F:$F&amp;'5) Release_Track'!$G:$G,1,0)),"NO ISRC-CATALOG ID pair MATCH in Release_Track" )</f>
        <v/>
      </c>
      <c r="D442" s="121" t="str">
        <f t="array" ref="D442">ifs(and(isblank($A442),isblank($B442)),"", not(iserror(vlookup($A442&amp;$B442,'5) Release_Track'!$F:$F&amp;'5) Release_Track'!$G:$G,1,0))),vlookup($A442&amp;$B442,{'5) Release_Track'!$F:$F&amp;'5) Release_Track'!$G:$G,'5) Release_Track'!$I:$I},2,0), or(and(not(isblank($B442)),$B442=$B441,$A442&lt;&gt;$A441),and(not(isblank($A442)),$A442=$A441,$B442&lt;&gt;$B441)),"ID LISTS UNALIGNED",and($A442&lt;&gt;"",countif('5) Release_Track'!$F:$F,$A442)=0),"NO ISRC MATCH in Release_Track",and($B442&lt;&gt;"",countif('5) Release_Track'!$G:$G,$B442)=0),"NO CATALOG ID MATCH in Release_Track",iserror(vlookup($A442&amp;$B442,'5) Release_Track'!$F:$F&amp;'5) Release_Track'!$G:$G,1,0)),"NO ISRC-CATALOG ID pair MATCH in Release_Track" )</f>
        <v/>
      </c>
      <c r="E442" s="125" t="str">
        <f t="array" ref="E442">ifs(and(isblank($A442),isblank($B442)),"", not(iserror(vlookup($A442&amp;$B442,'5) Release_Track'!$F:$F&amp;'5) Release_Track'!$G:$G,1,0))),vlookup($A442&amp;$B442,{'5) Release_Track'!$F:$F&amp;'5) Release_Track'!$G:$G,'5) Release_Track'!$J:$J},2,0), or(and(not(isblank($B442)),$B442=$B441,$A442&lt;&gt;$A441),and(not(isblank($A442)),$A442=$A441,$B442&lt;&gt;$B441)),"ID LISTS UNALIGNED",and($A442&lt;&gt;"",countif('5) Release_Track'!$F:$F,$A442)=0),"NO ISRC MATCH in Release_Track",and($B442&lt;&gt;"",countif('5) Release_Track'!$G:$G,$B442)=0),"NO CATALOG ID MATCH in Release_Track",iserror(vlookup($A442&amp;$B442,'5) Release_Track'!$F:$F&amp;'5) Release_Track'!$G:$G,1,0)),"NO ISRC-CATALOG ID pair MATCH in Release_Track" )</f>
        <v/>
      </c>
      <c r="F442" s="122"/>
      <c r="G442" s="99"/>
      <c r="H442" s="178"/>
      <c r="I442" s="121" t="str">
        <f t="shared" si="6"/>
        <v/>
      </c>
      <c r="J442" s="99"/>
      <c r="K442" s="99"/>
    </row>
    <row r="443">
      <c r="B443" s="103"/>
      <c r="C443" s="121" t="str">
        <f t="array" ref="C443">ifs(and(isblank($A443),isblank($B443)),"", not(iserror(vlookup($A443&amp;$B443,'5) Release_Track'!$F:$F&amp;'5) Release_Track'!$G:$G,1,0))),vlookup($A443&amp;$B443,{'5) Release_Track'!$F:$F&amp;'5) Release_Track'!$G:$G,'5) Release_Track'!$H:$H},2,0), or(and(not(isblank($B443)),$B443=$B442,$A443&lt;&gt;$A442),and(not(isblank($A443)),$A443=$A442,$B443&lt;&gt;$B442)),"ID LISTS UNALIGNED",and($A443&lt;&gt;"",countif('5) Release_Track'!$F:$F,$A443)=0),"NO ISRC MATCH in Release_Track",and($B443&lt;&gt;"",countif('5) Release_Track'!$G:$G,$B443)=0),"NO CATALOG ID MATCH in Release_Track",iserror(vlookup($A443&amp;$B443,'5) Release_Track'!$F:$F&amp;'5) Release_Track'!$G:$G,1,0)),"NO ISRC-CATALOG ID pair MATCH in Release_Track" )</f>
        <v/>
      </c>
      <c r="D443" s="121" t="str">
        <f t="array" ref="D443">ifs(and(isblank($A443),isblank($B443)),"", not(iserror(vlookup($A443&amp;$B443,'5) Release_Track'!$F:$F&amp;'5) Release_Track'!$G:$G,1,0))),vlookup($A443&amp;$B443,{'5) Release_Track'!$F:$F&amp;'5) Release_Track'!$G:$G,'5) Release_Track'!$I:$I},2,0), or(and(not(isblank($B443)),$B443=$B442,$A443&lt;&gt;$A442),and(not(isblank($A443)),$A443=$A442,$B443&lt;&gt;$B442)),"ID LISTS UNALIGNED",and($A443&lt;&gt;"",countif('5) Release_Track'!$F:$F,$A443)=0),"NO ISRC MATCH in Release_Track",and($B443&lt;&gt;"",countif('5) Release_Track'!$G:$G,$B443)=0),"NO CATALOG ID MATCH in Release_Track",iserror(vlookup($A443&amp;$B443,'5) Release_Track'!$F:$F&amp;'5) Release_Track'!$G:$G,1,0)),"NO ISRC-CATALOG ID pair MATCH in Release_Track" )</f>
        <v/>
      </c>
      <c r="E443" s="125" t="str">
        <f t="array" ref="E443">ifs(and(isblank($A443),isblank($B443)),"", not(iserror(vlookup($A443&amp;$B443,'5) Release_Track'!$F:$F&amp;'5) Release_Track'!$G:$G,1,0))),vlookup($A443&amp;$B443,{'5) Release_Track'!$F:$F&amp;'5) Release_Track'!$G:$G,'5) Release_Track'!$J:$J},2,0), or(and(not(isblank($B443)),$B443=$B442,$A443&lt;&gt;$A442),and(not(isblank($A443)),$A443=$A442,$B443&lt;&gt;$B442)),"ID LISTS UNALIGNED",and($A443&lt;&gt;"",countif('5) Release_Track'!$F:$F,$A443)=0),"NO ISRC MATCH in Release_Track",and($B443&lt;&gt;"",countif('5) Release_Track'!$G:$G,$B443)=0),"NO CATALOG ID MATCH in Release_Track",iserror(vlookup($A443&amp;$B443,'5) Release_Track'!$F:$F&amp;'5) Release_Track'!$G:$G,1,0)),"NO ISRC-CATALOG ID pair MATCH in Release_Track" )</f>
        <v/>
      </c>
      <c r="F443" s="122"/>
      <c r="G443" s="99"/>
      <c r="H443" s="178"/>
      <c r="I443" s="121" t="str">
        <f t="shared" si="6"/>
        <v/>
      </c>
      <c r="J443" s="99"/>
      <c r="K443" s="99"/>
    </row>
    <row r="444">
      <c r="B444" s="103"/>
      <c r="C444" s="121" t="str">
        <f t="array" ref="C444">ifs(and(isblank($A444),isblank($B444)),"", not(iserror(vlookup($A444&amp;$B444,'5) Release_Track'!$F:$F&amp;'5) Release_Track'!$G:$G,1,0))),vlookup($A444&amp;$B444,{'5) Release_Track'!$F:$F&amp;'5) Release_Track'!$G:$G,'5) Release_Track'!$H:$H},2,0), or(and(not(isblank($B444)),$B444=$B443,$A444&lt;&gt;$A443),and(not(isblank($A444)),$A444=$A443,$B444&lt;&gt;$B443)),"ID LISTS UNALIGNED",and($A444&lt;&gt;"",countif('5) Release_Track'!$F:$F,$A444)=0),"NO ISRC MATCH in Release_Track",and($B444&lt;&gt;"",countif('5) Release_Track'!$G:$G,$B444)=0),"NO CATALOG ID MATCH in Release_Track",iserror(vlookup($A444&amp;$B444,'5) Release_Track'!$F:$F&amp;'5) Release_Track'!$G:$G,1,0)),"NO ISRC-CATALOG ID pair MATCH in Release_Track" )</f>
        <v/>
      </c>
      <c r="D444" s="121" t="str">
        <f t="array" ref="D444">ifs(and(isblank($A444),isblank($B444)),"", not(iserror(vlookup($A444&amp;$B444,'5) Release_Track'!$F:$F&amp;'5) Release_Track'!$G:$G,1,0))),vlookup($A444&amp;$B444,{'5) Release_Track'!$F:$F&amp;'5) Release_Track'!$G:$G,'5) Release_Track'!$I:$I},2,0), or(and(not(isblank($B444)),$B444=$B443,$A444&lt;&gt;$A443),and(not(isblank($A444)),$A444=$A443,$B444&lt;&gt;$B443)),"ID LISTS UNALIGNED",and($A444&lt;&gt;"",countif('5) Release_Track'!$F:$F,$A444)=0),"NO ISRC MATCH in Release_Track",and($B444&lt;&gt;"",countif('5) Release_Track'!$G:$G,$B444)=0),"NO CATALOG ID MATCH in Release_Track",iserror(vlookup($A444&amp;$B444,'5) Release_Track'!$F:$F&amp;'5) Release_Track'!$G:$G,1,0)),"NO ISRC-CATALOG ID pair MATCH in Release_Track" )</f>
        <v/>
      </c>
      <c r="E444" s="125" t="str">
        <f t="array" ref="E444">ifs(and(isblank($A444),isblank($B444)),"", not(iserror(vlookup($A444&amp;$B444,'5) Release_Track'!$F:$F&amp;'5) Release_Track'!$G:$G,1,0))),vlookup($A444&amp;$B444,{'5) Release_Track'!$F:$F&amp;'5) Release_Track'!$G:$G,'5) Release_Track'!$J:$J},2,0), or(and(not(isblank($B444)),$B444=$B443,$A444&lt;&gt;$A443),and(not(isblank($A444)),$A444=$A443,$B444&lt;&gt;$B443)),"ID LISTS UNALIGNED",and($A444&lt;&gt;"",countif('5) Release_Track'!$F:$F,$A444)=0),"NO ISRC MATCH in Release_Track",and($B444&lt;&gt;"",countif('5) Release_Track'!$G:$G,$B444)=0),"NO CATALOG ID MATCH in Release_Track",iserror(vlookup($A444&amp;$B444,'5) Release_Track'!$F:$F&amp;'5) Release_Track'!$G:$G,1,0)),"NO ISRC-CATALOG ID pair MATCH in Release_Track" )</f>
        <v/>
      </c>
      <c r="F444" s="122"/>
      <c r="G444" s="99"/>
      <c r="H444" s="178"/>
      <c r="I444" s="121" t="str">
        <f t="shared" si="6"/>
        <v/>
      </c>
      <c r="J444" s="99"/>
      <c r="K444" s="99"/>
    </row>
    <row r="445">
      <c r="B445" s="103"/>
      <c r="C445" s="121" t="str">
        <f t="array" ref="C445">ifs(and(isblank($A445),isblank($B445)),"", not(iserror(vlookup($A445&amp;$B445,'5) Release_Track'!$F:$F&amp;'5) Release_Track'!$G:$G,1,0))),vlookup($A445&amp;$B445,{'5) Release_Track'!$F:$F&amp;'5) Release_Track'!$G:$G,'5) Release_Track'!$H:$H},2,0), or(and(not(isblank($B445)),$B445=$B444,$A445&lt;&gt;$A444),and(not(isblank($A445)),$A445=$A444,$B445&lt;&gt;$B444)),"ID LISTS UNALIGNED",and($A445&lt;&gt;"",countif('5) Release_Track'!$F:$F,$A445)=0),"NO ISRC MATCH in Release_Track",and($B445&lt;&gt;"",countif('5) Release_Track'!$G:$G,$B445)=0),"NO CATALOG ID MATCH in Release_Track",iserror(vlookup($A445&amp;$B445,'5) Release_Track'!$F:$F&amp;'5) Release_Track'!$G:$G,1,0)),"NO ISRC-CATALOG ID pair MATCH in Release_Track" )</f>
        <v/>
      </c>
      <c r="D445" s="121" t="str">
        <f t="array" ref="D445">ifs(and(isblank($A445),isblank($B445)),"", not(iserror(vlookup($A445&amp;$B445,'5) Release_Track'!$F:$F&amp;'5) Release_Track'!$G:$G,1,0))),vlookup($A445&amp;$B445,{'5) Release_Track'!$F:$F&amp;'5) Release_Track'!$G:$G,'5) Release_Track'!$I:$I},2,0), or(and(not(isblank($B445)),$B445=$B444,$A445&lt;&gt;$A444),and(not(isblank($A445)),$A445=$A444,$B445&lt;&gt;$B444)),"ID LISTS UNALIGNED",and($A445&lt;&gt;"",countif('5) Release_Track'!$F:$F,$A445)=0),"NO ISRC MATCH in Release_Track",and($B445&lt;&gt;"",countif('5) Release_Track'!$G:$G,$B445)=0),"NO CATALOG ID MATCH in Release_Track",iserror(vlookup($A445&amp;$B445,'5) Release_Track'!$F:$F&amp;'5) Release_Track'!$G:$G,1,0)),"NO ISRC-CATALOG ID pair MATCH in Release_Track" )</f>
        <v/>
      </c>
      <c r="E445" s="125" t="str">
        <f t="array" ref="E445">ifs(and(isblank($A445),isblank($B445)),"", not(iserror(vlookup($A445&amp;$B445,'5) Release_Track'!$F:$F&amp;'5) Release_Track'!$G:$G,1,0))),vlookup($A445&amp;$B445,{'5) Release_Track'!$F:$F&amp;'5) Release_Track'!$G:$G,'5) Release_Track'!$J:$J},2,0), or(and(not(isblank($B445)),$B445=$B444,$A445&lt;&gt;$A444),and(not(isblank($A445)),$A445=$A444,$B445&lt;&gt;$B444)),"ID LISTS UNALIGNED",and($A445&lt;&gt;"",countif('5) Release_Track'!$F:$F,$A445)=0),"NO ISRC MATCH in Release_Track",and($B445&lt;&gt;"",countif('5) Release_Track'!$G:$G,$B445)=0),"NO CATALOG ID MATCH in Release_Track",iserror(vlookup($A445&amp;$B445,'5) Release_Track'!$F:$F&amp;'5) Release_Track'!$G:$G,1,0)),"NO ISRC-CATALOG ID pair MATCH in Release_Track" )</f>
        <v/>
      </c>
      <c r="F445" s="122"/>
      <c r="G445" s="99"/>
      <c r="H445" s="178"/>
      <c r="I445" s="121" t="str">
        <f t="shared" si="6"/>
        <v/>
      </c>
      <c r="J445" s="99"/>
      <c r="K445" s="99"/>
    </row>
    <row r="446">
      <c r="B446" s="103"/>
      <c r="C446" s="121" t="str">
        <f t="array" ref="C446">ifs(and(isblank($A446),isblank($B446)),"", not(iserror(vlookup($A446&amp;$B446,'5) Release_Track'!$F:$F&amp;'5) Release_Track'!$G:$G,1,0))),vlookup($A446&amp;$B446,{'5) Release_Track'!$F:$F&amp;'5) Release_Track'!$G:$G,'5) Release_Track'!$H:$H},2,0), or(and(not(isblank($B446)),$B446=$B445,$A446&lt;&gt;$A445),and(not(isblank($A446)),$A446=$A445,$B446&lt;&gt;$B445)),"ID LISTS UNALIGNED",and($A446&lt;&gt;"",countif('5) Release_Track'!$F:$F,$A446)=0),"NO ISRC MATCH in Release_Track",and($B446&lt;&gt;"",countif('5) Release_Track'!$G:$G,$B446)=0),"NO CATALOG ID MATCH in Release_Track",iserror(vlookup($A446&amp;$B446,'5) Release_Track'!$F:$F&amp;'5) Release_Track'!$G:$G,1,0)),"NO ISRC-CATALOG ID pair MATCH in Release_Track" )</f>
        <v/>
      </c>
      <c r="D446" s="121" t="str">
        <f t="array" ref="D446">ifs(and(isblank($A446),isblank($B446)),"", not(iserror(vlookup($A446&amp;$B446,'5) Release_Track'!$F:$F&amp;'5) Release_Track'!$G:$G,1,0))),vlookup($A446&amp;$B446,{'5) Release_Track'!$F:$F&amp;'5) Release_Track'!$G:$G,'5) Release_Track'!$I:$I},2,0), or(and(not(isblank($B446)),$B446=$B445,$A446&lt;&gt;$A445),and(not(isblank($A446)),$A446=$A445,$B446&lt;&gt;$B445)),"ID LISTS UNALIGNED",and($A446&lt;&gt;"",countif('5) Release_Track'!$F:$F,$A446)=0),"NO ISRC MATCH in Release_Track",and($B446&lt;&gt;"",countif('5) Release_Track'!$G:$G,$B446)=0),"NO CATALOG ID MATCH in Release_Track",iserror(vlookup($A446&amp;$B446,'5) Release_Track'!$F:$F&amp;'5) Release_Track'!$G:$G,1,0)),"NO ISRC-CATALOG ID pair MATCH in Release_Track" )</f>
        <v/>
      </c>
      <c r="E446" s="125" t="str">
        <f t="array" ref="E446">ifs(and(isblank($A446),isblank($B446)),"", not(iserror(vlookup($A446&amp;$B446,'5) Release_Track'!$F:$F&amp;'5) Release_Track'!$G:$G,1,0))),vlookup($A446&amp;$B446,{'5) Release_Track'!$F:$F&amp;'5) Release_Track'!$G:$G,'5) Release_Track'!$J:$J},2,0), or(and(not(isblank($B446)),$B446=$B445,$A446&lt;&gt;$A445),and(not(isblank($A446)),$A446=$A445,$B446&lt;&gt;$B445)),"ID LISTS UNALIGNED",and($A446&lt;&gt;"",countif('5) Release_Track'!$F:$F,$A446)=0),"NO ISRC MATCH in Release_Track",and($B446&lt;&gt;"",countif('5) Release_Track'!$G:$G,$B446)=0),"NO CATALOG ID MATCH in Release_Track",iserror(vlookup($A446&amp;$B446,'5) Release_Track'!$F:$F&amp;'5) Release_Track'!$G:$G,1,0)),"NO ISRC-CATALOG ID pair MATCH in Release_Track" )</f>
        <v/>
      </c>
      <c r="F446" s="122"/>
      <c r="G446" s="99"/>
      <c r="H446" s="178"/>
      <c r="I446" s="121" t="str">
        <f t="shared" si="6"/>
        <v/>
      </c>
      <c r="J446" s="99"/>
      <c r="K446" s="99"/>
    </row>
    <row r="447">
      <c r="B447" s="103"/>
      <c r="C447" s="121" t="str">
        <f t="array" ref="C447">ifs(and(isblank($A447),isblank($B447)),"", not(iserror(vlookup($A447&amp;$B447,'5) Release_Track'!$F:$F&amp;'5) Release_Track'!$G:$G,1,0))),vlookup($A447&amp;$B447,{'5) Release_Track'!$F:$F&amp;'5) Release_Track'!$G:$G,'5) Release_Track'!$H:$H},2,0), or(and(not(isblank($B447)),$B447=$B446,$A447&lt;&gt;$A446),and(not(isblank($A447)),$A447=$A446,$B447&lt;&gt;$B446)),"ID LISTS UNALIGNED",and($A447&lt;&gt;"",countif('5) Release_Track'!$F:$F,$A447)=0),"NO ISRC MATCH in Release_Track",and($B447&lt;&gt;"",countif('5) Release_Track'!$G:$G,$B447)=0),"NO CATALOG ID MATCH in Release_Track",iserror(vlookup($A447&amp;$B447,'5) Release_Track'!$F:$F&amp;'5) Release_Track'!$G:$G,1,0)),"NO ISRC-CATALOG ID pair MATCH in Release_Track" )</f>
        <v/>
      </c>
      <c r="D447" s="121" t="str">
        <f t="array" ref="D447">ifs(and(isblank($A447),isblank($B447)),"", not(iserror(vlookup($A447&amp;$B447,'5) Release_Track'!$F:$F&amp;'5) Release_Track'!$G:$G,1,0))),vlookup($A447&amp;$B447,{'5) Release_Track'!$F:$F&amp;'5) Release_Track'!$G:$G,'5) Release_Track'!$I:$I},2,0), or(and(not(isblank($B447)),$B447=$B446,$A447&lt;&gt;$A446),and(not(isblank($A447)),$A447=$A446,$B447&lt;&gt;$B446)),"ID LISTS UNALIGNED",and($A447&lt;&gt;"",countif('5) Release_Track'!$F:$F,$A447)=0),"NO ISRC MATCH in Release_Track",and($B447&lt;&gt;"",countif('5) Release_Track'!$G:$G,$B447)=0),"NO CATALOG ID MATCH in Release_Track",iserror(vlookup($A447&amp;$B447,'5) Release_Track'!$F:$F&amp;'5) Release_Track'!$G:$G,1,0)),"NO ISRC-CATALOG ID pair MATCH in Release_Track" )</f>
        <v/>
      </c>
      <c r="E447" s="125" t="str">
        <f t="array" ref="E447">ifs(and(isblank($A447),isblank($B447)),"", not(iserror(vlookup($A447&amp;$B447,'5) Release_Track'!$F:$F&amp;'5) Release_Track'!$G:$G,1,0))),vlookup($A447&amp;$B447,{'5) Release_Track'!$F:$F&amp;'5) Release_Track'!$G:$G,'5) Release_Track'!$J:$J},2,0), or(and(not(isblank($B447)),$B447=$B446,$A447&lt;&gt;$A446),and(not(isblank($A447)),$A447=$A446,$B447&lt;&gt;$B446)),"ID LISTS UNALIGNED",and($A447&lt;&gt;"",countif('5) Release_Track'!$F:$F,$A447)=0),"NO ISRC MATCH in Release_Track",and($B447&lt;&gt;"",countif('5) Release_Track'!$G:$G,$B447)=0),"NO CATALOG ID MATCH in Release_Track",iserror(vlookup($A447&amp;$B447,'5) Release_Track'!$F:$F&amp;'5) Release_Track'!$G:$G,1,0)),"NO ISRC-CATALOG ID pair MATCH in Release_Track" )</f>
        <v/>
      </c>
      <c r="F447" s="122"/>
      <c r="G447" s="99"/>
      <c r="H447" s="178"/>
      <c r="I447" s="121" t="str">
        <f t="shared" si="6"/>
        <v/>
      </c>
      <c r="J447" s="99"/>
      <c r="K447" s="99"/>
    </row>
    <row r="448">
      <c r="B448" s="103"/>
      <c r="C448" s="121" t="str">
        <f t="array" ref="C448">ifs(and(isblank($A448),isblank($B448)),"", not(iserror(vlookup($A448&amp;$B448,'5) Release_Track'!$F:$F&amp;'5) Release_Track'!$G:$G,1,0))),vlookup($A448&amp;$B448,{'5) Release_Track'!$F:$F&amp;'5) Release_Track'!$G:$G,'5) Release_Track'!$H:$H},2,0), or(and(not(isblank($B448)),$B448=$B447,$A448&lt;&gt;$A447),and(not(isblank($A448)),$A448=$A447,$B448&lt;&gt;$B447)),"ID LISTS UNALIGNED",and($A448&lt;&gt;"",countif('5) Release_Track'!$F:$F,$A448)=0),"NO ISRC MATCH in Release_Track",and($B448&lt;&gt;"",countif('5) Release_Track'!$G:$G,$B448)=0),"NO CATALOG ID MATCH in Release_Track",iserror(vlookup($A448&amp;$B448,'5) Release_Track'!$F:$F&amp;'5) Release_Track'!$G:$G,1,0)),"NO ISRC-CATALOG ID pair MATCH in Release_Track" )</f>
        <v/>
      </c>
      <c r="D448" s="121" t="str">
        <f t="array" ref="D448">ifs(and(isblank($A448),isblank($B448)),"", not(iserror(vlookup($A448&amp;$B448,'5) Release_Track'!$F:$F&amp;'5) Release_Track'!$G:$G,1,0))),vlookup($A448&amp;$B448,{'5) Release_Track'!$F:$F&amp;'5) Release_Track'!$G:$G,'5) Release_Track'!$I:$I},2,0), or(and(not(isblank($B448)),$B448=$B447,$A448&lt;&gt;$A447),and(not(isblank($A448)),$A448=$A447,$B448&lt;&gt;$B447)),"ID LISTS UNALIGNED",and($A448&lt;&gt;"",countif('5) Release_Track'!$F:$F,$A448)=0),"NO ISRC MATCH in Release_Track",and($B448&lt;&gt;"",countif('5) Release_Track'!$G:$G,$B448)=0),"NO CATALOG ID MATCH in Release_Track",iserror(vlookup($A448&amp;$B448,'5) Release_Track'!$F:$F&amp;'5) Release_Track'!$G:$G,1,0)),"NO ISRC-CATALOG ID pair MATCH in Release_Track" )</f>
        <v/>
      </c>
      <c r="E448" s="125" t="str">
        <f t="array" ref="E448">ifs(and(isblank($A448),isblank($B448)),"", not(iserror(vlookup($A448&amp;$B448,'5) Release_Track'!$F:$F&amp;'5) Release_Track'!$G:$G,1,0))),vlookup($A448&amp;$B448,{'5) Release_Track'!$F:$F&amp;'5) Release_Track'!$G:$G,'5) Release_Track'!$J:$J},2,0), or(and(not(isblank($B448)),$B448=$B447,$A448&lt;&gt;$A447),and(not(isblank($A448)),$A448=$A447,$B448&lt;&gt;$B447)),"ID LISTS UNALIGNED",and($A448&lt;&gt;"",countif('5) Release_Track'!$F:$F,$A448)=0),"NO ISRC MATCH in Release_Track",and($B448&lt;&gt;"",countif('5) Release_Track'!$G:$G,$B448)=0),"NO CATALOG ID MATCH in Release_Track",iserror(vlookup($A448&amp;$B448,'5) Release_Track'!$F:$F&amp;'5) Release_Track'!$G:$G,1,0)),"NO ISRC-CATALOG ID pair MATCH in Release_Track" )</f>
        <v/>
      </c>
      <c r="F448" s="122"/>
      <c r="G448" s="99"/>
      <c r="H448" s="178"/>
      <c r="I448" s="121" t="str">
        <f t="shared" si="6"/>
        <v/>
      </c>
      <c r="J448" s="99"/>
      <c r="K448" s="99"/>
    </row>
    <row r="449">
      <c r="B449" s="103"/>
      <c r="C449" s="121" t="str">
        <f t="array" ref="C449">ifs(and(isblank($A449),isblank($B449)),"", not(iserror(vlookup($A449&amp;$B449,'5) Release_Track'!$F:$F&amp;'5) Release_Track'!$G:$G,1,0))),vlookup($A449&amp;$B449,{'5) Release_Track'!$F:$F&amp;'5) Release_Track'!$G:$G,'5) Release_Track'!$H:$H},2,0), or(and(not(isblank($B449)),$B449=$B448,$A449&lt;&gt;$A448),and(not(isblank($A449)),$A449=$A448,$B449&lt;&gt;$B448)),"ID LISTS UNALIGNED",and($A449&lt;&gt;"",countif('5) Release_Track'!$F:$F,$A449)=0),"NO ISRC MATCH in Release_Track",and($B449&lt;&gt;"",countif('5) Release_Track'!$G:$G,$B449)=0),"NO CATALOG ID MATCH in Release_Track",iserror(vlookup($A449&amp;$B449,'5) Release_Track'!$F:$F&amp;'5) Release_Track'!$G:$G,1,0)),"NO ISRC-CATALOG ID pair MATCH in Release_Track" )</f>
        <v/>
      </c>
      <c r="D449" s="121" t="str">
        <f t="array" ref="D449">ifs(and(isblank($A449),isblank($B449)),"", not(iserror(vlookup($A449&amp;$B449,'5) Release_Track'!$F:$F&amp;'5) Release_Track'!$G:$G,1,0))),vlookup($A449&amp;$B449,{'5) Release_Track'!$F:$F&amp;'5) Release_Track'!$G:$G,'5) Release_Track'!$I:$I},2,0), or(and(not(isblank($B449)),$B449=$B448,$A449&lt;&gt;$A448),and(not(isblank($A449)),$A449=$A448,$B449&lt;&gt;$B448)),"ID LISTS UNALIGNED",and($A449&lt;&gt;"",countif('5) Release_Track'!$F:$F,$A449)=0),"NO ISRC MATCH in Release_Track",and($B449&lt;&gt;"",countif('5) Release_Track'!$G:$G,$B449)=0),"NO CATALOG ID MATCH in Release_Track",iserror(vlookup($A449&amp;$B449,'5) Release_Track'!$F:$F&amp;'5) Release_Track'!$G:$G,1,0)),"NO ISRC-CATALOG ID pair MATCH in Release_Track" )</f>
        <v/>
      </c>
      <c r="E449" s="125" t="str">
        <f t="array" ref="E449">ifs(and(isblank($A449),isblank($B449)),"", not(iserror(vlookup($A449&amp;$B449,'5) Release_Track'!$F:$F&amp;'5) Release_Track'!$G:$G,1,0))),vlookup($A449&amp;$B449,{'5) Release_Track'!$F:$F&amp;'5) Release_Track'!$G:$G,'5) Release_Track'!$J:$J},2,0), or(and(not(isblank($B449)),$B449=$B448,$A449&lt;&gt;$A448),and(not(isblank($A449)),$A449=$A448,$B449&lt;&gt;$B448)),"ID LISTS UNALIGNED",and($A449&lt;&gt;"",countif('5) Release_Track'!$F:$F,$A449)=0),"NO ISRC MATCH in Release_Track",and($B449&lt;&gt;"",countif('5) Release_Track'!$G:$G,$B449)=0),"NO CATALOG ID MATCH in Release_Track",iserror(vlookup($A449&amp;$B449,'5) Release_Track'!$F:$F&amp;'5) Release_Track'!$G:$G,1,0)),"NO ISRC-CATALOG ID pair MATCH in Release_Track" )</f>
        <v/>
      </c>
      <c r="F449" s="122"/>
      <c r="G449" s="99"/>
      <c r="H449" s="178"/>
      <c r="I449" s="121" t="str">
        <f t="shared" si="6"/>
        <v/>
      </c>
      <c r="J449" s="99"/>
      <c r="K449" s="99"/>
    </row>
    <row r="450">
      <c r="B450" s="103"/>
      <c r="C450" s="121" t="str">
        <f t="array" ref="C450">ifs(and(isblank($A450),isblank($B450)),"", not(iserror(vlookup($A450&amp;$B450,'5) Release_Track'!$F:$F&amp;'5) Release_Track'!$G:$G,1,0))),vlookup($A450&amp;$B450,{'5) Release_Track'!$F:$F&amp;'5) Release_Track'!$G:$G,'5) Release_Track'!$H:$H},2,0), or(and(not(isblank($B450)),$B450=$B449,$A450&lt;&gt;$A449),and(not(isblank($A450)),$A450=$A449,$B450&lt;&gt;$B449)),"ID LISTS UNALIGNED",and($A450&lt;&gt;"",countif('5) Release_Track'!$F:$F,$A450)=0),"NO ISRC MATCH in Release_Track",and($B450&lt;&gt;"",countif('5) Release_Track'!$G:$G,$B450)=0),"NO CATALOG ID MATCH in Release_Track",iserror(vlookup($A450&amp;$B450,'5) Release_Track'!$F:$F&amp;'5) Release_Track'!$G:$G,1,0)),"NO ISRC-CATALOG ID pair MATCH in Release_Track" )</f>
        <v/>
      </c>
      <c r="D450" s="121" t="str">
        <f t="array" ref="D450">ifs(and(isblank($A450),isblank($B450)),"", not(iserror(vlookup($A450&amp;$B450,'5) Release_Track'!$F:$F&amp;'5) Release_Track'!$G:$G,1,0))),vlookup($A450&amp;$B450,{'5) Release_Track'!$F:$F&amp;'5) Release_Track'!$G:$G,'5) Release_Track'!$I:$I},2,0), or(and(not(isblank($B450)),$B450=$B449,$A450&lt;&gt;$A449),and(not(isblank($A450)),$A450=$A449,$B450&lt;&gt;$B449)),"ID LISTS UNALIGNED",and($A450&lt;&gt;"",countif('5) Release_Track'!$F:$F,$A450)=0),"NO ISRC MATCH in Release_Track",and($B450&lt;&gt;"",countif('5) Release_Track'!$G:$G,$B450)=0),"NO CATALOG ID MATCH in Release_Track",iserror(vlookup($A450&amp;$B450,'5) Release_Track'!$F:$F&amp;'5) Release_Track'!$G:$G,1,0)),"NO ISRC-CATALOG ID pair MATCH in Release_Track" )</f>
        <v/>
      </c>
      <c r="E450" s="125" t="str">
        <f t="array" ref="E450">ifs(and(isblank($A450),isblank($B450)),"", not(iserror(vlookup($A450&amp;$B450,'5) Release_Track'!$F:$F&amp;'5) Release_Track'!$G:$G,1,0))),vlookup($A450&amp;$B450,{'5) Release_Track'!$F:$F&amp;'5) Release_Track'!$G:$G,'5) Release_Track'!$J:$J},2,0), or(and(not(isblank($B450)),$B450=$B449,$A450&lt;&gt;$A449),and(not(isblank($A450)),$A450=$A449,$B450&lt;&gt;$B449)),"ID LISTS UNALIGNED",and($A450&lt;&gt;"",countif('5) Release_Track'!$F:$F,$A450)=0),"NO ISRC MATCH in Release_Track",and($B450&lt;&gt;"",countif('5) Release_Track'!$G:$G,$B450)=0),"NO CATALOG ID MATCH in Release_Track",iserror(vlookup($A450&amp;$B450,'5) Release_Track'!$F:$F&amp;'5) Release_Track'!$G:$G,1,0)),"NO ISRC-CATALOG ID pair MATCH in Release_Track" )</f>
        <v/>
      </c>
      <c r="F450" s="122"/>
      <c r="G450" s="99"/>
      <c r="H450" s="178"/>
      <c r="I450" s="121" t="str">
        <f t="shared" si="6"/>
        <v/>
      </c>
      <c r="J450" s="99"/>
      <c r="K450" s="99"/>
    </row>
    <row r="451">
      <c r="B451" s="103"/>
      <c r="C451" s="121" t="str">
        <f t="array" ref="C451">ifs(and(isblank($A451),isblank($B451)),"", not(iserror(vlookup($A451&amp;$B451,'5) Release_Track'!$F:$F&amp;'5) Release_Track'!$G:$G,1,0))),vlookup($A451&amp;$B451,{'5) Release_Track'!$F:$F&amp;'5) Release_Track'!$G:$G,'5) Release_Track'!$H:$H},2,0), or(and(not(isblank($B451)),$B451=$B450,$A451&lt;&gt;$A450),and(not(isblank($A451)),$A451=$A450,$B451&lt;&gt;$B450)),"ID LISTS UNALIGNED",and($A451&lt;&gt;"",countif('5) Release_Track'!$F:$F,$A451)=0),"NO ISRC MATCH in Release_Track",and($B451&lt;&gt;"",countif('5) Release_Track'!$G:$G,$B451)=0),"NO CATALOG ID MATCH in Release_Track",iserror(vlookup($A451&amp;$B451,'5) Release_Track'!$F:$F&amp;'5) Release_Track'!$G:$G,1,0)),"NO ISRC-CATALOG ID pair MATCH in Release_Track" )</f>
        <v/>
      </c>
      <c r="D451" s="121" t="str">
        <f t="array" ref="D451">ifs(and(isblank($A451),isblank($B451)),"", not(iserror(vlookup($A451&amp;$B451,'5) Release_Track'!$F:$F&amp;'5) Release_Track'!$G:$G,1,0))),vlookup($A451&amp;$B451,{'5) Release_Track'!$F:$F&amp;'5) Release_Track'!$G:$G,'5) Release_Track'!$I:$I},2,0), or(and(not(isblank($B451)),$B451=$B450,$A451&lt;&gt;$A450),and(not(isblank($A451)),$A451=$A450,$B451&lt;&gt;$B450)),"ID LISTS UNALIGNED",and($A451&lt;&gt;"",countif('5) Release_Track'!$F:$F,$A451)=0),"NO ISRC MATCH in Release_Track",and($B451&lt;&gt;"",countif('5) Release_Track'!$G:$G,$B451)=0),"NO CATALOG ID MATCH in Release_Track",iserror(vlookup($A451&amp;$B451,'5) Release_Track'!$F:$F&amp;'5) Release_Track'!$G:$G,1,0)),"NO ISRC-CATALOG ID pair MATCH in Release_Track" )</f>
        <v/>
      </c>
      <c r="E451" s="125" t="str">
        <f t="array" ref="E451">ifs(and(isblank($A451),isblank($B451)),"", not(iserror(vlookup($A451&amp;$B451,'5) Release_Track'!$F:$F&amp;'5) Release_Track'!$G:$G,1,0))),vlookup($A451&amp;$B451,{'5) Release_Track'!$F:$F&amp;'5) Release_Track'!$G:$G,'5) Release_Track'!$J:$J},2,0), or(and(not(isblank($B451)),$B451=$B450,$A451&lt;&gt;$A450),and(not(isblank($A451)),$A451=$A450,$B451&lt;&gt;$B450)),"ID LISTS UNALIGNED",and($A451&lt;&gt;"",countif('5) Release_Track'!$F:$F,$A451)=0),"NO ISRC MATCH in Release_Track",and($B451&lt;&gt;"",countif('5) Release_Track'!$G:$G,$B451)=0),"NO CATALOG ID MATCH in Release_Track",iserror(vlookup($A451&amp;$B451,'5) Release_Track'!$F:$F&amp;'5) Release_Track'!$G:$G,1,0)),"NO ISRC-CATALOG ID pair MATCH in Release_Track" )</f>
        <v/>
      </c>
      <c r="F451" s="122"/>
      <c r="G451" s="99"/>
      <c r="H451" s="178"/>
      <c r="I451" s="121" t="str">
        <f t="shared" si="6"/>
        <v/>
      </c>
      <c r="J451" s="99"/>
      <c r="K451" s="99"/>
    </row>
    <row r="452">
      <c r="B452" s="103"/>
      <c r="C452" s="121" t="str">
        <f t="array" ref="C452">ifs(and(isblank($A452),isblank($B452)),"", not(iserror(vlookup($A452&amp;$B452,'5) Release_Track'!$F:$F&amp;'5) Release_Track'!$G:$G,1,0))),vlookup($A452&amp;$B452,{'5) Release_Track'!$F:$F&amp;'5) Release_Track'!$G:$G,'5) Release_Track'!$H:$H},2,0), or(and(not(isblank($B452)),$B452=$B451,$A452&lt;&gt;$A451),and(not(isblank($A452)),$A452=$A451,$B452&lt;&gt;$B451)),"ID LISTS UNALIGNED",and($A452&lt;&gt;"",countif('5) Release_Track'!$F:$F,$A452)=0),"NO ISRC MATCH in Release_Track",and($B452&lt;&gt;"",countif('5) Release_Track'!$G:$G,$B452)=0),"NO CATALOG ID MATCH in Release_Track",iserror(vlookup($A452&amp;$B452,'5) Release_Track'!$F:$F&amp;'5) Release_Track'!$G:$G,1,0)),"NO ISRC-CATALOG ID pair MATCH in Release_Track" )</f>
        <v/>
      </c>
      <c r="D452" s="121" t="str">
        <f t="array" ref="D452">ifs(and(isblank($A452),isblank($B452)),"", not(iserror(vlookup($A452&amp;$B452,'5) Release_Track'!$F:$F&amp;'5) Release_Track'!$G:$G,1,0))),vlookup($A452&amp;$B452,{'5) Release_Track'!$F:$F&amp;'5) Release_Track'!$G:$G,'5) Release_Track'!$I:$I},2,0), or(and(not(isblank($B452)),$B452=$B451,$A452&lt;&gt;$A451),and(not(isblank($A452)),$A452=$A451,$B452&lt;&gt;$B451)),"ID LISTS UNALIGNED",and($A452&lt;&gt;"",countif('5) Release_Track'!$F:$F,$A452)=0),"NO ISRC MATCH in Release_Track",and($B452&lt;&gt;"",countif('5) Release_Track'!$G:$G,$B452)=0),"NO CATALOG ID MATCH in Release_Track",iserror(vlookup($A452&amp;$B452,'5) Release_Track'!$F:$F&amp;'5) Release_Track'!$G:$G,1,0)),"NO ISRC-CATALOG ID pair MATCH in Release_Track" )</f>
        <v/>
      </c>
      <c r="E452" s="125" t="str">
        <f t="array" ref="E452">ifs(and(isblank($A452),isblank($B452)),"", not(iserror(vlookup($A452&amp;$B452,'5) Release_Track'!$F:$F&amp;'5) Release_Track'!$G:$G,1,0))),vlookup($A452&amp;$B452,{'5) Release_Track'!$F:$F&amp;'5) Release_Track'!$G:$G,'5) Release_Track'!$J:$J},2,0), or(and(not(isblank($B452)),$B452=$B451,$A452&lt;&gt;$A451),and(not(isblank($A452)),$A452=$A451,$B452&lt;&gt;$B451)),"ID LISTS UNALIGNED",and($A452&lt;&gt;"",countif('5) Release_Track'!$F:$F,$A452)=0),"NO ISRC MATCH in Release_Track",and($B452&lt;&gt;"",countif('5) Release_Track'!$G:$G,$B452)=0),"NO CATALOG ID MATCH in Release_Track",iserror(vlookup($A452&amp;$B452,'5) Release_Track'!$F:$F&amp;'5) Release_Track'!$G:$G,1,0)),"NO ISRC-CATALOG ID pair MATCH in Release_Track" )</f>
        <v/>
      </c>
      <c r="F452" s="122"/>
      <c r="G452" s="99"/>
      <c r="H452" s="178"/>
      <c r="I452" s="121" t="str">
        <f t="shared" si="6"/>
        <v/>
      </c>
      <c r="J452" s="99"/>
      <c r="K452" s="99"/>
    </row>
    <row r="453">
      <c r="B453" s="103"/>
      <c r="C453" s="121" t="str">
        <f t="array" ref="C453">ifs(and(isblank($A453),isblank($B453)),"", not(iserror(vlookup($A453&amp;$B453,'5) Release_Track'!$F:$F&amp;'5) Release_Track'!$G:$G,1,0))),vlookup($A453&amp;$B453,{'5) Release_Track'!$F:$F&amp;'5) Release_Track'!$G:$G,'5) Release_Track'!$H:$H},2,0), or(and(not(isblank($B453)),$B453=$B452,$A453&lt;&gt;$A452),and(not(isblank($A453)),$A453=$A452,$B453&lt;&gt;$B452)),"ID LISTS UNALIGNED",and($A453&lt;&gt;"",countif('5) Release_Track'!$F:$F,$A453)=0),"NO ISRC MATCH in Release_Track",and($B453&lt;&gt;"",countif('5) Release_Track'!$G:$G,$B453)=0),"NO CATALOG ID MATCH in Release_Track",iserror(vlookup($A453&amp;$B453,'5) Release_Track'!$F:$F&amp;'5) Release_Track'!$G:$G,1,0)),"NO ISRC-CATALOG ID pair MATCH in Release_Track" )</f>
        <v/>
      </c>
      <c r="D453" s="121" t="str">
        <f t="array" ref="D453">ifs(and(isblank($A453),isblank($B453)),"", not(iserror(vlookup($A453&amp;$B453,'5) Release_Track'!$F:$F&amp;'5) Release_Track'!$G:$G,1,0))),vlookup($A453&amp;$B453,{'5) Release_Track'!$F:$F&amp;'5) Release_Track'!$G:$G,'5) Release_Track'!$I:$I},2,0), or(and(not(isblank($B453)),$B453=$B452,$A453&lt;&gt;$A452),and(not(isblank($A453)),$A453=$A452,$B453&lt;&gt;$B452)),"ID LISTS UNALIGNED",and($A453&lt;&gt;"",countif('5) Release_Track'!$F:$F,$A453)=0),"NO ISRC MATCH in Release_Track",and($B453&lt;&gt;"",countif('5) Release_Track'!$G:$G,$B453)=0),"NO CATALOG ID MATCH in Release_Track",iserror(vlookup($A453&amp;$B453,'5) Release_Track'!$F:$F&amp;'5) Release_Track'!$G:$G,1,0)),"NO ISRC-CATALOG ID pair MATCH in Release_Track" )</f>
        <v/>
      </c>
      <c r="E453" s="125" t="str">
        <f t="array" ref="E453">ifs(and(isblank($A453),isblank($B453)),"", not(iserror(vlookup($A453&amp;$B453,'5) Release_Track'!$F:$F&amp;'5) Release_Track'!$G:$G,1,0))),vlookup($A453&amp;$B453,{'5) Release_Track'!$F:$F&amp;'5) Release_Track'!$G:$G,'5) Release_Track'!$J:$J},2,0), or(and(not(isblank($B453)),$B453=$B452,$A453&lt;&gt;$A452),and(not(isblank($A453)),$A453=$A452,$B453&lt;&gt;$B452)),"ID LISTS UNALIGNED",and($A453&lt;&gt;"",countif('5) Release_Track'!$F:$F,$A453)=0),"NO ISRC MATCH in Release_Track",and($B453&lt;&gt;"",countif('5) Release_Track'!$G:$G,$B453)=0),"NO CATALOG ID MATCH in Release_Track",iserror(vlookup($A453&amp;$B453,'5) Release_Track'!$F:$F&amp;'5) Release_Track'!$G:$G,1,0)),"NO ISRC-CATALOG ID pair MATCH in Release_Track" )</f>
        <v/>
      </c>
      <c r="F453" s="122"/>
      <c r="G453" s="99"/>
      <c r="H453" s="178"/>
      <c r="I453" s="121" t="str">
        <f t="shared" si="6"/>
        <v/>
      </c>
      <c r="J453" s="99"/>
      <c r="K453" s="99"/>
    </row>
    <row r="454">
      <c r="B454" s="103"/>
      <c r="C454" s="121" t="str">
        <f t="array" ref="C454">ifs(and(isblank($A454),isblank($B454)),"", not(iserror(vlookup($A454&amp;$B454,'5) Release_Track'!$F:$F&amp;'5) Release_Track'!$G:$G,1,0))),vlookup($A454&amp;$B454,{'5) Release_Track'!$F:$F&amp;'5) Release_Track'!$G:$G,'5) Release_Track'!$H:$H},2,0), or(and(not(isblank($B454)),$B454=$B453,$A454&lt;&gt;$A453),and(not(isblank($A454)),$A454=$A453,$B454&lt;&gt;$B453)),"ID LISTS UNALIGNED",and($A454&lt;&gt;"",countif('5) Release_Track'!$F:$F,$A454)=0),"NO ISRC MATCH in Release_Track",and($B454&lt;&gt;"",countif('5) Release_Track'!$G:$G,$B454)=0),"NO CATALOG ID MATCH in Release_Track",iserror(vlookup($A454&amp;$B454,'5) Release_Track'!$F:$F&amp;'5) Release_Track'!$G:$G,1,0)),"NO ISRC-CATALOG ID pair MATCH in Release_Track" )</f>
        <v/>
      </c>
      <c r="D454" s="121" t="str">
        <f t="array" ref="D454">ifs(and(isblank($A454),isblank($B454)),"", not(iserror(vlookup($A454&amp;$B454,'5) Release_Track'!$F:$F&amp;'5) Release_Track'!$G:$G,1,0))),vlookup($A454&amp;$B454,{'5) Release_Track'!$F:$F&amp;'5) Release_Track'!$G:$G,'5) Release_Track'!$I:$I},2,0), or(and(not(isblank($B454)),$B454=$B453,$A454&lt;&gt;$A453),and(not(isblank($A454)),$A454=$A453,$B454&lt;&gt;$B453)),"ID LISTS UNALIGNED",and($A454&lt;&gt;"",countif('5) Release_Track'!$F:$F,$A454)=0),"NO ISRC MATCH in Release_Track",and($B454&lt;&gt;"",countif('5) Release_Track'!$G:$G,$B454)=0),"NO CATALOG ID MATCH in Release_Track",iserror(vlookup($A454&amp;$B454,'5) Release_Track'!$F:$F&amp;'5) Release_Track'!$G:$G,1,0)),"NO ISRC-CATALOG ID pair MATCH in Release_Track" )</f>
        <v/>
      </c>
      <c r="E454" s="125" t="str">
        <f t="array" ref="E454">ifs(and(isblank($A454),isblank($B454)),"", not(iserror(vlookup($A454&amp;$B454,'5) Release_Track'!$F:$F&amp;'5) Release_Track'!$G:$G,1,0))),vlookup($A454&amp;$B454,{'5) Release_Track'!$F:$F&amp;'5) Release_Track'!$G:$G,'5) Release_Track'!$J:$J},2,0), or(and(not(isblank($B454)),$B454=$B453,$A454&lt;&gt;$A453),and(not(isblank($A454)),$A454=$A453,$B454&lt;&gt;$B453)),"ID LISTS UNALIGNED",and($A454&lt;&gt;"",countif('5) Release_Track'!$F:$F,$A454)=0),"NO ISRC MATCH in Release_Track",and($B454&lt;&gt;"",countif('5) Release_Track'!$G:$G,$B454)=0),"NO CATALOG ID MATCH in Release_Track",iserror(vlookup($A454&amp;$B454,'5) Release_Track'!$F:$F&amp;'5) Release_Track'!$G:$G,1,0)),"NO ISRC-CATALOG ID pair MATCH in Release_Track" )</f>
        <v/>
      </c>
      <c r="F454" s="122"/>
      <c r="G454" s="99"/>
      <c r="H454" s="178"/>
      <c r="I454" s="121" t="str">
        <f t="shared" si="6"/>
        <v/>
      </c>
      <c r="J454" s="99"/>
      <c r="K454" s="99"/>
    </row>
    <row r="455">
      <c r="B455" s="103"/>
      <c r="C455" s="121" t="str">
        <f t="array" ref="C455">ifs(and(isblank($A455),isblank($B455)),"", not(iserror(vlookup($A455&amp;$B455,'5) Release_Track'!$F:$F&amp;'5) Release_Track'!$G:$G,1,0))),vlookup($A455&amp;$B455,{'5) Release_Track'!$F:$F&amp;'5) Release_Track'!$G:$G,'5) Release_Track'!$H:$H},2,0), or(and(not(isblank($B455)),$B455=$B454,$A455&lt;&gt;$A454),and(not(isblank($A455)),$A455=$A454,$B455&lt;&gt;$B454)),"ID LISTS UNALIGNED",and($A455&lt;&gt;"",countif('5) Release_Track'!$F:$F,$A455)=0),"NO ISRC MATCH in Release_Track",and($B455&lt;&gt;"",countif('5) Release_Track'!$G:$G,$B455)=0),"NO CATALOG ID MATCH in Release_Track",iserror(vlookup($A455&amp;$B455,'5) Release_Track'!$F:$F&amp;'5) Release_Track'!$G:$G,1,0)),"NO ISRC-CATALOG ID pair MATCH in Release_Track" )</f>
        <v/>
      </c>
      <c r="D455" s="121" t="str">
        <f t="array" ref="D455">ifs(and(isblank($A455),isblank($B455)),"", not(iserror(vlookup($A455&amp;$B455,'5) Release_Track'!$F:$F&amp;'5) Release_Track'!$G:$G,1,0))),vlookup($A455&amp;$B455,{'5) Release_Track'!$F:$F&amp;'5) Release_Track'!$G:$G,'5) Release_Track'!$I:$I},2,0), or(and(not(isblank($B455)),$B455=$B454,$A455&lt;&gt;$A454),and(not(isblank($A455)),$A455=$A454,$B455&lt;&gt;$B454)),"ID LISTS UNALIGNED",and($A455&lt;&gt;"",countif('5) Release_Track'!$F:$F,$A455)=0),"NO ISRC MATCH in Release_Track",and($B455&lt;&gt;"",countif('5) Release_Track'!$G:$G,$B455)=0),"NO CATALOG ID MATCH in Release_Track",iserror(vlookup($A455&amp;$B455,'5) Release_Track'!$F:$F&amp;'5) Release_Track'!$G:$G,1,0)),"NO ISRC-CATALOG ID pair MATCH in Release_Track" )</f>
        <v/>
      </c>
      <c r="E455" s="125" t="str">
        <f t="array" ref="E455">ifs(and(isblank($A455),isblank($B455)),"", not(iserror(vlookup($A455&amp;$B455,'5) Release_Track'!$F:$F&amp;'5) Release_Track'!$G:$G,1,0))),vlookup($A455&amp;$B455,{'5) Release_Track'!$F:$F&amp;'5) Release_Track'!$G:$G,'5) Release_Track'!$J:$J},2,0), or(and(not(isblank($B455)),$B455=$B454,$A455&lt;&gt;$A454),and(not(isblank($A455)),$A455=$A454,$B455&lt;&gt;$B454)),"ID LISTS UNALIGNED",and($A455&lt;&gt;"",countif('5) Release_Track'!$F:$F,$A455)=0),"NO ISRC MATCH in Release_Track",and($B455&lt;&gt;"",countif('5) Release_Track'!$G:$G,$B455)=0),"NO CATALOG ID MATCH in Release_Track",iserror(vlookup($A455&amp;$B455,'5) Release_Track'!$F:$F&amp;'5) Release_Track'!$G:$G,1,0)),"NO ISRC-CATALOG ID pair MATCH in Release_Track" )</f>
        <v/>
      </c>
      <c r="F455" s="122"/>
      <c r="G455" s="99"/>
      <c r="H455" s="178"/>
      <c r="I455" s="121" t="str">
        <f t="shared" si="6"/>
        <v/>
      </c>
      <c r="J455" s="99"/>
      <c r="K455" s="99"/>
    </row>
    <row r="456">
      <c r="B456" s="103"/>
      <c r="C456" s="121" t="str">
        <f t="array" ref="C456">ifs(and(isblank($A456),isblank($B456)),"", not(iserror(vlookup($A456&amp;$B456,'5) Release_Track'!$F:$F&amp;'5) Release_Track'!$G:$G,1,0))),vlookup($A456&amp;$B456,{'5) Release_Track'!$F:$F&amp;'5) Release_Track'!$G:$G,'5) Release_Track'!$H:$H},2,0), or(and(not(isblank($B456)),$B456=$B455,$A456&lt;&gt;$A455),and(not(isblank($A456)),$A456=$A455,$B456&lt;&gt;$B455)),"ID LISTS UNALIGNED",and($A456&lt;&gt;"",countif('5) Release_Track'!$F:$F,$A456)=0),"NO ISRC MATCH in Release_Track",and($B456&lt;&gt;"",countif('5) Release_Track'!$G:$G,$B456)=0),"NO CATALOG ID MATCH in Release_Track",iserror(vlookup($A456&amp;$B456,'5) Release_Track'!$F:$F&amp;'5) Release_Track'!$G:$G,1,0)),"NO ISRC-CATALOG ID pair MATCH in Release_Track" )</f>
        <v/>
      </c>
      <c r="D456" s="121" t="str">
        <f t="array" ref="D456">ifs(and(isblank($A456),isblank($B456)),"", not(iserror(vlookup($A456&amp;$B456,'5) Release_Track'!$F:$F&amp;'5) Release_Track'!$G:$G,1,0))),vlookup($A456&amp;$B456,{'5) Release_Track'!$F:$F&amp;'5) Release_Track'!$G:$G,'5) Release_Track'!$I:$I},2,0), or(and(not(isblank($B456)),$B456=$B455,$A456&lt;&gt;$A455),and(not(isblank($A456)),$A456=$A455,$B456&lt;&gt;$B455)),"ID LISTS UNALIGNED",and($A456&lt;&gt;"",countif('5) Release_Track'!$F:$F,$A456)=0),"NO ISRC MATCH in Release_Track",and($B456&lt;&gt;"",countif('5) Release_Track'!$G:$G,$B456)=0),"NO CATALOG ID MATCH in Release_Track",iserror(vlookup($A456&amp;$B456,'5) Release_Track'!$F:$F&amp;'5) Release_Track'!$G:$G,1,0)),"NO ISRC-CATALOG ID pair MATCH in Release_Track" )</f>
        <v/>
      </c>
      <c r="E456" s="125" t="str">
        <f t="array" ref="E456">ifs(and(isblank($A456),isblank($B456)),"", not(iserror(vlookup($A456&amp;$B456,'5) Release_Track'!$F:$F&amp;'5) Release_Track'!$G:$G,1,0))),vlookup($A456&amp;$B456,{'5) Release_Track'!$F:$F&amp;'5) Release_Track'!$G:$G,'5) Release_Track'!$J:$J},2,0), or(and(not(isblank($B456)),$B456=$B455,$A456&lt;&gt;$A455),and(not(isblank($A456)),$A456=$A455,$B456&lt;&gt;$B455)),"ID LISTS UNALIGNED",and($A456&lt;&gt;"",countif('5) Release_Track'!$F:$F,$A456)=0),"NO ISRC MATCH in Release_Track",and($B456&lt;&gt;"",countif('5) Release_Track'!$G:$G,$B456)=0),"NO CATALOG ID MATCH in Release_Track",iserror(vlookup($A456&amp;$B456,'5) Release_Track'!$F:$F&amp;'5) Release_Track'!$G:$G,1,0)),"NO ISRC-CATALOG ID pair MATCH in Release_Track" )</f>
        <v/>
      </c>
      <c r="F456" s="122"/>
      <c r="G456" s="99"/>
      <c r="H456" s="178"/>
      <c r="I456" s="121" t="str">
        <f t="shared" si="6"/>
        <v/>
      </c>
      <c r="J456" s="99"/>
      <c r="K456" s="99"/>
    </row>
    <row r="457">
      <c r="B457" s="103"/>
      <c r="C457" s="121" t="str">
        <f t="array" ref="C457">ifs(and(isblank($A457),isblank($B457)),"", not(iserror(vlookup($A457&amp;$B457,'5) Release_Track'!$F:$F&amp;'5) Release_Track'!$G:$G,1,0))),vlookup($A457&amp;$B457,{'5) Release_Track'!$F:$F&amp;'5) Release_Track'!$G:$G,'5) Release_Track'!$H:$H},2,0), or(and(not(isblank($B457)),$B457=$B456,$A457&lt;&gt;$A456),and(not(isblank($A457)),$A457=$A456,$B457&lt;&gt;$B456)),"ID LISTS UNALIGNED",and($A457&lt;&gt;"",countif('5) Release_Track'!$F:$F,$A457)=0),"NO ISRC MATCH in Release_Track",and($B457&lt;&gt;"",countif('5) Release_Track'!$G:$G,$B457)=0),"NO CATALOG ID MATCH in Release_Track",iserror(vlookup($A457&amp;$B457,'5) Release_Track'!$F:$F&amp;'5) Release_Track'!$G:$G,1,0)),"NO ISRC-CATALOG ID pair MATCH in Release_Track" )</f>
        <v/>
      </c>
      <c r="D457" s="121" t="str">
        <f t="array" ref="D457">ifs(and(isblank($A457),isblank($B457)),"", not(iserror(vlookup($A457&amp;$B457,'5) Release_Track'!$F:$F&amp;'5) Release_Track'!$G:$G,1,0))),vlookup($A457&amp;$B457,{'5) Release_Track'!$F:$F&amp;'5) Release_Track'!$G:$G,'5) Release_Track'!$I:$I},2,0), or(and(not(isblank($B457)),$B457=$B456,$A457&lt;&gt;$A456),and(not(isblank($A457)),$A457=$A456,$B457&lt;&gt;$B456)),"ID LISTS UNALIGNED",and($A457&lt;&gt;"",countif('5) Release_Track'!$F:$F,$A457)=0),"NO ISRC MATCH in Release_Track",and($B457&lt;&gt;"",countif('5) Release_Track'!$G:$G,$B457)=0),"NO CATALOG ID MATCH in Release_Track",iserror(vlookup($A457&amp;$B457,'5) Release_Track'!$F:$F&amp;'5) Release_Track'!$G:$G,1,0)),"NO ISRC-CATALOG ID pair MATCH in Release_Track" )</f>
        <v/>
      </c>
      <c r="E457" s="125" t="str">
        <f t="array" ref="E457">ifs(and(isblank($A457),isblank($B457)),"", not(iserror(vlookup($A457&amp;$B457,'5) Release_Track'!$F:$F&amp;'5) Release_Track'!$G:$G,1,0))),vlookup($A457&amp;$B457,{'5) Release_Track'!$F:$F&amp;'5) Release_Track'!$G:$G,'5) Release_Track'!$J:$J},2,0), or(and(not(isblank($B457)),$B457=$B456,$A457&lt;&gt;$A456),and(not(isblank($A457)),$A457=$A456,$B457&lt;&gt;$B456)),"ID LISTS UNALIGNED",and($A457&lt;&gt;"",countif('5) Release_Track'!$F:$F,$A457)=0),"NO ISRC MATCH in Release_Track",and($B457&lt;&gt;"",countif('5) Release_Track'!$G:$G,$B457)=0),"NO CATALOG ID MATCH in Release_Track",iserror(vlookup($A457&amp;$B457,'5) Release_Track'!$F:$F&amp;'5) Release_Track'!$G:$G,1,0)),"NO ISRC-CATALOG ID pair MATCH in Release_Track" )</f>
        <v/>
      </c>
      <c r="F457" s="122"/>
      <c r="G457" s="99"/>
      <c r="H457" s="178"/>
      <c r="I457" s="121" t="str">
        <f t="shared" si="6"/>
        <v/>
      </c>
      <c r="J457" s="99"/>
      <c r="K457" s="99"/>
    </row>
    <row r="458">
      <c r="B458" s="103"/>
      <c r="C458" s="121" t="str">
        <f t="array" ref="C458">ifs(and(isblank($A458),isblank($B458)),"", not(iserror(vlookup($A458&amp;$B458,'5) Release_Track'!$F:$F&amp;'5) Release_Track'!$G:$G,1,0))),vlookup($A458&amp;$B458,{'5) Release_Track'!$F:$F&amp;'5) Release_Track'!$G:$G,'5) Release_Track'!$H:$H},2,0), or(and(not(isblank($B458)),$B458=$B457,$A458&lt;&gt;$A457),and(not(isblank($A458)),$A458=$A457,$B458&lt;&gt;$B457)),"ID LISTS UNALIGNED",and($A458&lt;&gt;"",countif('5) Release_Track'!$F:$F,$A458)=0),"NO ISRC MATCH in Release_Track",and($B458&lt;&gt;"",countif('5) Release_Track'!$G:$G,$B458)=0),"NO CATALOG ID MATCH in Release_Track",iserror(vlookup($A458&amp;$B458,'5) Release_Track'!$F:$F&amp;'5) Release_Track'!$G:$G,1,0)),"NO ISRC-CATALOG ID pair MATCH in Release_Track" )</f>
        <v/>
      </c>
      <c r="D458" s="121" t="str">
        <f t="array" ref="D458">ifs(and(isblank($A458),isblank($B458)),"", not(iserror(vlookup($A458&amp;$B458,'5) Release_Track'!$F:$F&amp;'5) Release_Track'!$G:$G,1,0))),vlookup($A458&amp;$B458,{'5) Release_Track'!$F:$F&amp;'5) Release_Track'!$G:$G,'5) Release_Track'!$I:$I},2,0), or(and(not(isblank($B458)),$B458=$B457,$A458&lt;&gt;$A457),and(not(isblank($A458)),$A458=$A457,$B458&lt;&gt;$B457)),"ID LISTS UNALIGNED",and($A458&lt;&gt;"",countif('5) Release_Track'!$F:$F,$A458)=0),"NO ISRC MATCH in Release_Track",and($B458&lt;&gt;"",countif('5) Release_Track'!$G:$G,$B458)=0),"NO CATALOG ID MATCH in Release_Track",iserror(vlookup($A458&amp;$B458,'5) Release_Track'!$F:$F&amp;'5) Release_Track'!$G:$G,1,0)),"NO ISRC-CATALOG ID pair MATCH in Release_Track" )</f>
        <v/>
      </c>
      <c r="E458" s="125" t="str">
        <f t="array" ref="E458">ifs(and(isblank($A458),isblank($B458)),"", not(iserror(vlookup($A458&amp;$B458,'5) Release_Track'!$F:$F&amp;'5) Release_Track'!$G:$G,1,0))),vlookup($A458&amp;$B458,{'5) Release_Track'!$F:$F&amp;'5) Release_Track'!$G:$G,'5) Release_Track'!$J:$J},2,0), or(and(not(isblank($B458)),$B458=$B457,$A458&lt;&gt;$A457),and(not(isblank($A458)),$A458=$A457,$B458&lt;&gt;$B457)),"ID LISTS UNALIGNED",and($A458&lt;&gt;"",countif('5) Release_Track'!$F:$F,$A458)=0),"NO ISRC MATCH in Release_Track",and($B458&lt;&gt;"",countif('5) Release_Track'!$G:$G,$B458)=0),"NO CATALOG ID MATCH in Release_Track",iserror(vlookup($A458&amp;$B458,'5) Release_Track'!$F:$F&amp;'5) Release_Track'!$G:$G,1,0)),"NO ISRC-CATALOG ID pair MATCH in Release_Track" )</f>
        <v/>
      </c>
      <c r="F458" s="122"/>
      <c r="G458" s="99"/>
      <c r="H458" s="178"/>
      <c r="I458" s="121" t="str">
        <f t="shared" si="6"/>
        <v/>
      </c>
      <c r="J458" s="99"/>
      <c r="K458" s="99"/>
    </row>
    <row r="459">
      <c r="B459" s="103"/>
      <c r="C459" s="121" t="str">
        <f t="array" ref="C459">ifs(and(isblank($A459),isblank($B459)),"", not(iserror(vlookup($A459&amp;$B459,'5) Release_Track'!$F:$F&amp;'5) Release_Track'!$G:$G,1,0))),vlookup($A459&amp;$B459,{'5) Release_Track'!$F:$F&amp;'5) Release_Track'!$G:$G,'5) Release_Track'!$H:$H},2,0), or(and(not(isblank($B459)),$B459=$B458,$A459&lt;&gt;$A458),and(not(isblank($A459)),$A459=$A458,$B459&lt;&gt;$B458)),"ID LISTS UNALIGNED",and($A459&lt;&gt;"",countif('5) Release_Track'!$F:$F,$A459)=0),"NO ISRC MATCH in Release_Track",and($B459&lt;&gt;"",countif('5) Release_Track'!$G:$G,$B459)=0),"NO CATALOG ID MATCH in Release_Track",iserror(vlookup($A459&amp;$B459,'5) Release_Track'!$F:$F&amp;'5) Release_Track'!$G:$G,1,0)),"NO ISRC-CATALOG ID pair MATCH in Release_Track" )</f>
        <v/>
      </c>
      <c r="D459" s="121" t="str">
        <f t="array" ref="D459">ifs(and(isblank($A459),isblank($B459)),"", not(iserror(vlookup($A459&amp;$B459,'5) Release_Track'!$F:$F&amp;'5) Release_Track'!$G:$G,1,0))),vlookup($A459&amp;$B459,{'5) Release_Track'!$F:$F&amp;'5) Release_Track'!$G:$G,'5) Release_Track'!$I:$I},2,0), or(and(not(isblank($B459)),$B459=$B458,$A459&lt;&gt;$A458),and(not(isblank($A459)),$A459=$A458,$B459&lt;&gt;$B458)),"ID LISTS UNALIGNED",and($A459&lt;&gt;"",countif('5) Release_Track'!$F:$F,$A459)=0),"NO ISRC MATCH in Release_Track",and($B459&lt;&gt;"",countif('5) Release_Track'!$G:$G,$B459)=0),"NO CATALOG ID MATCH in Release_Track",iserror(vlookup($A459&amp;$B459,'5) Release_Track'!$F:$F&amp;'5) Release_Track'!$G:$G,1,0)),"NO ISRC-CATALOG ID pair MATCH in Release_Track" )</f>
        <v/>
      </c>
      <c r="E459" s="125" t="str">
        <f t="array" ref="E459">ifs(and(isblank($A459),isblank($B459)),"", not(iserror(vlookup($A459&amp;$B459,'5) Release_Track'!$F:$F&amp;'5) Release_Track'!$G:$G,1,0))),vlookup($A459&amp;$B459,{'5) Release_Track'!$F:$F&amp;'5) Release_Track'!$G:$G,'5) Release_Track'!$J:$J},2,0), or(and(not(isblank($B459)),$B459=$B458,$A459&lt;&gt;$A458),and(not(isblank($A459)),$A459=$A458,$B459&lt;&gt;$B458)),"ID LISTS UNALIGNED",and($A459&lt;&gt;"",countif('5) Release_Track'!$F:$F,$A459)=0),"NO ISRC MATCH in Release_Track",and($B459&lt;&gt;"",countif('5) Release_Track'!$G:$G,$B459)=0),"NO CATALOG ID MATCH in Release_Track",iserror(vlookup($A459&amp;$B459,'5) Release_Track'!$F:$F&amp;'5) Release_Track'!$G:$G,1,0)),"NO ISRC-CATALOG ID pair MATCH in Release_Track" )</f>
        <v/>
      </c>
      <c r="F459" s="122"/>
      <c r="G459" s="99"/>
      <c r="H459" s="178"/>
      <c r="I459" s="121" t="str">
        <f t="shared" si="6"/>
        <v/>
      </c>
      <c r="J459" s="99"/>
      <c r="K459" s="99"/>
    </row>
    <row r="460">
      <c r="B460" s="103"/>
      <c r="C460" s="121" t="str">
        <f t="array" ref="C460">ifs(and(isblank($A460),isblank($B460)),"", not(iserror(vlookup($A460&amp;$B460,'5) Release_Track'!$F:$F&amp;'5) Release_Track'!$G:$G,1,0))),vlookup($A460&amp;$B460,{'5) Release_Track'!$F:$F&amp;'5) Release_Track'!$G:$G,'5) Release_Track'!$H:$H},2,0), or(and(not(isblank($B460)),$B460=$B459,$A460&lt;&gt;$A459),and(not(isblank($A460)),$A460=$A459,$B460&lt;&gt;$B459)),"ID LISTS UNALIGNED",and($A460&lt;&gt;"",countif('5) Release_Track'!$F:$F,$A460)=0),"NO ISRC MATCH in Release_Track",and($B460&lt;&gt;"",countif('5) Release_Track'!$G:$G,$B460)=0),"NO CATALOG ID MATCH in Release_Track",iserror(vlookup($A460&amp;$B460,'5) Release_Track'!$F:$F&amp;'5) Release_Track'!$G:$G,1,0)),"NO ISRC-CATALOG ID pair MATCH in Release_Track" )</f>
        <v/>
      </c>
      <c r="D460" s="121" t="str">
        <f t="array" ref="D460">ifs(and(isblank($A460),isblank($B460)),"", not(iserror(vlookup($A460&amp;$B460,'5) Release_Track'!$F:$F&amp;'5) Release_Track'!$G:$G,1,0))),vlookup($A460&amp;$B460,{'5) Release_Track'!$F:$F&amp;'5) Release_Track'!$G:$G,'5) Release_Track'!$I:$I},2,0), or(and(not(isblank($B460)),$B460=$B459,$A460&lt;&gt;$A459),and(not(isblank($A460)),$A460=$A459,$B460&lt;&gt;$B459)),"ID LISTS UNALIGNED",and($A460&lt;&gt;"",countif('5) Release_Track'!$F:$F,$A460)=0),"NO ISRC MATCH in Release_Track",and($B460&lt;&gt;"",countif('5) Release_Track'!$G:$G,$B460)=0),"NO CATALOG ID MATCH in Release_Track",iserror(vlookup($A460&amp;$B460,'5) Release_Track'!$F:$F&amp;'5) Release_Track'!$G:$G,1,0)),"NO ISRC-CATALOG ID pair MATCH in Release_Track" )</f>
        <v/>
      </c>
      <c r="E460" s="125" t="str">
        <f t="array" ref="E460">ifs(and(isblank($A460),isblank($B460)),"", not(iserror(vlookup($A460&amp;$B460,'5) Release_Track'!$F:$F&amp;'5) Release_Track'!$G:$G,1,0))),vlookup($A460&amp;$B460,{'5) Release_Track'!$F:$F&amp;'5) Release_Track'!$G:$G,'5) Release_Track'!$J:$J},2,0), or(and(not(isblank($B460)),$B460=$B459,$A460&lt;&gt;$A459),and(not(isblank($A460)),$A460=$A459,$B460&lt;&gt;$B459)),"ID LISTS UNALIGNED",and($A460&lt;&gt;"",countif('5) Release_Track'!$F:$F,$A460)=0),"NO ISRC MATCH in Release_Track",and($B460&lt;&gt;"",countif('5) Release_Track'!$G:$G,$B460)=0),"NO CATALOG ID MATCH in Release_Track",iserror(vlookup($A460&amp;$B460,'5) Release_Track'!$F:$F&amp;'5) Release_Track'!$G:$G,1,0)),"NO ISRC-CATALOG ID pair MATCH in Release_Track" )</f>
        <v/>
      </c>
      <c r="F460" s="122"/>
      <c r="G460" s="99"/>
      <c r="H460" s="178"/>
      <c r="I460" s="121" t="str">
        <f t="shared" si="6"/>
        <v/>
      </c>
      <c r="J460" s="99"/>
      <c r="K460" s="99"/>
    </row>
    <row r="461">
      <c r="B461" s="103"/>
      <c r="C461" s="121" t="str">
        <f t="array" ref="C461">ifs(and(isblank($A461),isblank($B461)),"", not(iserror(vlookup($A461&amp;$B461,'5) Release_Track'!$F:$F&amp;'5) Release_Track'!$G:$G,1,0))),vlookup($A461&amp;$B461,{'5) Release_Track'!$F:$F&amp;'5) Release_Track'!$G:$G,'5) Release_Track'!$H:$H},2,0), or(and(not(isblank($B461)),$B461=$B460,$A461&lt;&gt;$A460),and(not(isblank($A461)),$A461=$A460,$B461&lt;&gt;$B460)),"ID LISTS UNALIGNED",and($A461&lt;&gt;"",countif('5) Release_Track'!$F:$F,$A461)=0),"NO ISRC MATCH in Release_Track",and($B461&lt;&gt;"",countif('5) Release_Track'!$G:$G,$B461)=0),"NO CATALOG ID MATCH in Release_Track",iserror(vlookup($A461&amp;$B461,'5) Release_Track'!$F:$F&amp;'5) Release_Track'!$G:$G,1,0)),"NO ISRC-CATALOG ID pair MATCH in Release_Track" )</f>
        <v/>
      </c>
      <c r="D461" s="121" t="str">
        <f t="array" ref="D461">ifs(and(isblank($A461),isblank($B461)),"", not(iserror(vlookup($A461&amp;$B461,'5) Release_Track'!$F:$F&amp;'5) Release_Track'!$G:$G,1,0))),vlookup($A461&amp;$B461,{'5) Release_Track'!$F:$F&amp;'5) Release_Track'!$G:$G,'5) Release_Track'!$I:$I},2,0), or(and(not(isblank($B461)),$B461=$B460,$A461&lt;&gt;$A460),and(not(isblank($A461)),$A461=$A460,$B461&lt;&gt;$B460)),"ID LISTS UNALIGNED",and($A461&lt;&gt;"",countif('5) Release_Track'!$F:$F,$A461)=0),"NO ISRC MATCH in Release_Track",and($B461&lt;&gt;"",countif('5) Release_Track'!$G:$G,$B461)=0),"NO CATALOG ID MATCH in Release_Track",iserror(vlookup($A461&amp;$B461,'5) Release_Track'!$F:$F&amp;'5) Release_Track'!$G:$G,1,0)),"NO ISRC-CATALOG ID pair MATCH in Release_Track" )</f>
        <v/>
      </c>
      <c r="E461" s="125" t="str">
        <f t="array" ref="E461">ifs(and(isblank($A461),isblank($B461)),"", not(iserror(vlookup($A461&amp;$B461,'5) Release_Track'!$F:$F&amp;'5) Release_Track'!$G:$G,1,0))),vlookup($A461&amp;$B461,{'5) Release_Track'!$F:$F&amp;'5) Release_Track'!$G:$G,'5) Release_Track'!$J:$J},2,0), or(and(not(isblank($B461)),$B461=$B460,$A461&lt;&gt;$A460),and(not(isblank($A461)),$A461=$A460,$B461&lt;&gt;$B460)),"ID LISTS UNALIGNED",and($A461&lt;&gt;"",countif('5) Release_Track'!$F:$F,$A461)=0),"NO ISRC MATCH in Release_Track",and($B461&lt;&gt;"",countif('5) Release_Track'!$G:$G,$B461)=0),"NO CATALOG ID MATCH in Release_Track",iserror(vlookup($A461&amp;$B461,'5) Release_Track'!$F:$F&amp;'5) Release_Track'!$G:$G,1,0)),"NO ISRC-CATALOG ID pair MATCH in Release_Track" )</f>
        <v/>
      </c>
      <c r="F461" s="122"/>
      <c r="G461" s="99"/>
      <c r="H461" s="178"/>
      <c r="I461" s="121" t="str">
        <f t="shared" si="6"/>
        <v/>
      </c>
      <c r="J461" s="99"/>
      <c r="K461" s="99"/>
    </row>
    <row r="462">
      <c r="B462" s="103"/>
      <c r="C462" s="121" t="str">
        <f t="array" ref="C462">ifs(and(isblank($A462),isblank($B462)),"", not(iserror(vlookup($A462&amp;$B462,'5) Release_Track'!$F:$F&amp;'5) Release_Track'!$G:$G,1,0))),vlookup($A462&amp;$B462,{'5) Release_Track'!$F:$F&amp;'5) Release_Track'!$G:$G,'5) Release_Track'!$H:$H},2,0), or(and(not(isblank($B462)),$B462=$B461,$A462&lt;&gt;$A461),and(not(isblank($A462)),$A462=$A461,$B462&lt;&gt;$B461)),"ID LISTS UNALIGNED",and($A462&lt;&gt;"",countif('5) Release_Track'!$F:$F,$A462)=0),"NO ISRC MATCH in Release_Track",and($B462&lt;&gt;"",countif('5) Release_Track'!$G:$G,$B462)=0),"NO CATALOG ID MATCH in Release_Track",iserror(vlookup($A462&amp;$B462,'5) Release_Track'!$F:$F&amp;'5) Release_Track'!$G:$G,1,0)),"NO ISRC-CATALOG ID pair MATCH in Release_Track" )</f>
        <v/>
      </c>
      <c r="D462" s="121" t="str">
        <f t="array" ref="D462">ifs(and(isblank($A462),isblank($B462)),"", not(iserror(vlookup($A462&amp;$B462,'5) Release_Track'!$F:$F&amp;'5) Release_Track'!$G:$G,1,0))),vlookup($A462&amp;$B462,{'5) Release_Track'!$F:$F&amp;'5) Release_Track'!$G:$G,'5) Release_Track'!$I:$I},2,0), or(and(not(isblank($B462)),$B462=$B461,$A462&lt;&gt;$A461),and(not(isblank($A462)),$A462=$A461,$B462&lt;&gt;$B461)),"ID LISTS UNALIGNED",and($A462&lt;&gt;"",countif('5) Release_Track'!$F:$F,$A462)=0),"NO ISRC MATCH in Release_Track",and($B462&lt;&gt;"",countif('5) Release_Track'!$G:$G,$B462)=0),"NO CATALOG ID MATCH in Release_Track",iserror(vlookup($A462&amp;$B462,'5) Release_Track'!$F:$F&amp;'5) Release_Track'!$G:$G,1,0)),"NO ISRC-CATALOG ID pair MATCH in Release_Track" )</f>
        <v/>
      </c>
      <c r="E462" s="125" t="str">
        <f t="array" ref="E462">ifs(and(isblank($A462),isblank($B462)),"", not(iserror(vlookup($A462&amp;$B462,'5) Release_Track'!$F:$F&amp;'5) Release_Track'!$G:$G,1,0))),vlookup($A462&amp;$B462,{'5) Release_Track'!$F:$F&amp;'5) Release_Track'!$G:$G,'5) Release_Track'!$J:$J},2,0), or(and(not(isblank($B462)),$B462=$B461,$A462&lt;&gt;$A461),and(not(isblank($A462)),$A462=$A461,$B462&lt;&gt;$B461)),"ID LISTS UNALIGNED",and($A462&lt;&gt;"",countif('5) Release_Track'!$F:$F,$A462)=0),"NO ISRC MATCH in Release_Track",and($B462&lt;&gt;"",countif('5) Release_Track'!$G:$G,$B462)=0),"NO CATALOG ID MATCH in Release_Track",iserror(vlookup($A462&amp;$B462,'5) Release_Track'!$F:$F&amp;'5) Release_Track'!$G:$G,1,0)),"NO ISRC-CATALOG ID pair MATCH in Release_Track" )</f>
        <v/>
      </c>
      <c r="F462" s="122"/>
      <c r="G462" s="99"/>
      <c r="H462" s="178"/>
      <c r="I462" s="121" t="str">
        <f t="shared" si="6"/>
        <v/>
      </c>
      <c r="J462" s="99"/>
      <c r="K462" s="99"/>
    </row>
    <row r="463">
      <c r="B463" s="103"/>
      <c r="C463" s="121" t="str">
        <f t="array" ref="C463">ifs(and(isblank($A463),isblank($B463)),"", not(iserror(vlookup($A463&amp;$B463,'5) Release_Track'!$F:$F&amp;'5) Release_Track'!$G:$G,1,0))),vlookup($A463&amp;$B463,{'5) Release_Track'!$F:$F&amp;'5) Release_Track'!$G:$G,'5) Release_Track'!$H:$H},2,0), or(and(not(isblank($B463)),$B463=$B462,$A463&lt;&gt;$A462),and(not(isblank($A463)),$A463=$A462,$B463&lt;&gt;$B462)),"ID LISTS UNALIGNED",and($A463&lt;&gt;"",countif('5) Release_Track'!$F:$F,$A463)=0),"NO ISRC MATCH in Release_Track",and($B463&lt;&gt;"",countif('5) Release_Track'!$G:$G,$B463)=0),"NO CATALOG ID MATCH in Release_Track",iserror(vlookup($A463&amp;$B463,'5) Release_Track'!$F:$F&amp;'5) Release_Track'!$G:$G,1,0)),"NO ISRC-CATALOG ID pair MATCH in Release_Track" )</f>
        <v/>
      </c>
      <c r="D463" s="121" t="str">
        <f t="array" ref="D463">ifs(and(isblank($A463),isblank($B463)),"", not(iserror(vlookup($A463&amp;$B463,'5) Release_Track'!$F:$F&amp;'5) Release_Track'!$G:$G,1,0))),vlookup($A463&amp;$B463,{'5) Release_Track'!$F:$F&amp;'5) Release_Track'!$G:$G,'5) Release_Track'!$I:$I},2,0), or(and(not(isblank($B463)),$B463=$B462,$A463&lt;&gt;$A462),and(not(isblank($A463)),$A463=$A462,$B463&lt;&gt;$B462)),"ID LISTS UNALIGNED",and($A463&lt;&gt;"",countif('5) Release_Track'!$F:$F,$A463)=0),"NO ISRC MATCH in Release_Track",and($B463&lt;&gt;"",countif('5) Release_Track'!$G:$G,$B463)=0),"NO CATALOG ID MATCH in Release_Track",iserror(vlookup($A463&amp;$B463,'5) Release_Track'!$F:$F&amp;'5) Release_Track'!$G:$G,1,0)),"NO ISRC-CATALOG ID pair MATCH in Release_Track" )</f>
        <v/>
      </c>
      <c r="E463" s="125" t="str">
        <f t="array" ref="E463">ifs(and(isblank($A463),isblank($B463)),"", not(iserror(vlookup($A463&amp;$B463,'5) Release_Track'!$F:$F&amp;'5) Release_Track'!$G:$G,1,0))),vlookup($A463&amp;$B463,{'5) Release_Track'!$F:$F&amp;'5) Release_Track'!$G:$G,'5) Release_Track'!$J:$J},2,0), or(and(not(isblank($B463)),$B463=$B462,$A463&lt;&gt;$A462),and(not(isblank($A463)),$A463=$A462,$B463&lt;&gt;$B462)),"ID LISTS UNALIGNED",and($A463&lt;&gt;"",countif('5) Release_Track'!$F:$F,$A463)=0),"NO ISRC MATCH in Release_Track",and($B463&lt;&gt;"",countif('5) Release_Track'!$G:$G,$B463)=0),"NO CATALOG ID MATCH in Release_Track",iserror(vlookup($A463&amp;$B463,'5) Release_Track'!$F:$F&amp;'5) Release_Track'!$G:$G,1,0)),"NO ISRC-CATALOG ID pair MATCH in Release_Track" )</f>
        <v/>
      </c>
      <c r="F463" s="122"/>
      <c r="G463" s="99"/>
      <c r="H463" s="178"/>
      <c r="I463" s="121" t="str">
        <f t="shared" si="6"/>
        <v/>
      </c>
      <c r="J463" s="99"/>
      <c r="K463" s="99"/>
    </row>
    <row r="464">
      <c r="B464" s="103"/>
      <c r="C464" s="121" t="str">
        <f t="array" ref="C464">ifs(and(isblank($A464),isblank($B464)),"", not(iserror(vlookup($A464&amp;$B464,'5) Release_Track'!$F:$F&amp;'5) Release_Track'!$G:$G,1,0))),vlookup($A464&amp;$B464,{'5) Release_Track'!$F:$F&amp;'5) Release_Track'!$G:$G,'5) Release_Track'!$H:$H},2,0), or(and(not(isblank($B464)),$B464=$B463,$A464&lt;&gt;$A463),and(not(isblank($A464)),$A464=$A463,$B464&lt;&gt;$B463)),"ID LISTS UNALIGNED",and($A464&lt;&gt;"",countif('5) Release_Track'!$F:$F,$A464)=0),"NO ISRC MATCH in Release_Track",and($B464&lt;&gt;"",countif('5) Release_Track'!$G:$G,$B464)=0),"NO CATALOG ID MATCH in Release_Track",iserror(vlookup($A464&amp;$B464,'5) Release_Track'!$F:$F&amp;'5) Release_Track'!$G:$G,1,0)),"NO ISRC-CATALOG ID pair MATCH in Release_Track" )</f>
        <v/>
      </c>
      <c r="D464" s="121" t="str">
        <f t="array" ref="D464">ifs(and(isblank($A464),isblank($B464)),"", not(iserror(vlookup($A464&amp;$B464,'5) Release_Track'!$F:$F&amp;'5) Release_Track'!$G:$G,1,0))),vlookup($A464&amp;$B464,{'5) Release_Track'!$F:$F&amp;'5) Release_Track'!$G:$G,'5) Release_Track'!$I:$I},2,0), or(and(not(isblank($B464)),$B464=$B463,$A464&lt;&gt;$A463),and(not(isblank($A464)),$A464=$A463,$B464&lt;&gt;$B463)),"ID LISTS UNALIGNED",and($A464&lt;&gt;"",countif('5) Release_Track'!$F:$F,$A464)=0),"NO ISRC MATCH in Release_Track",and($B464&lt;&gt;"",countif('5) Release_Track'!$G:$G,$B464)=0),"NO CATALOG ID MATCH in Release_Track",iserror(vlookup($A464&amp;$B464,'5) Release_Track'!$F:$F&amp;'5) Release_Track'!$G:$G,1,0)),"NO ISRC-CATALOG ID pair MATCH in Release_Track" )</f>
        <v/>
      </c>
      <c r="E464" s="125" t="str">
        <f t="array" ref="E464">ifs(and(isblank($A464),isblank($B464)),"", not(iserror(vlookup($A464&amp;$B464,'5) Release_Track'!$F:$F&amp;'5) Release_Track'!$G:$G,1,0))),vlookup($A464&amp;$B464,{'5) Release_Track'!$F:$F&amp;'5) Release_Track'!$G:$G,'5) Release_Track'!$J:$J},2,0), or(and(not(isblank($B464)),$B464=$B463,$A464&lt;&gt;$A463),and(not(isblank($A464)),$A464=$A463,$B464&lt;&gt;$B463)),"ID LISTS UNALIGNED",and($A464&lt;&gt;"",countif('5) Release_Track'!$F:$F,$A464)=0),"NO ISRC MATCH in Release_Track",and($B464&lt;&gt;"",countif('5) Release_Track'!$G:$G,$B464)=0),"NO CATALOG ID MATCH in Release_Track",iserror(vlookup($A464&amp;$B464,'5) Release_Track'!$F:$F&amp;'5) Release_Track'!$G:$G,1,0)),"NO ISRC-CATALOG ID pair MATCH in Release_Track" )</f>
        <v/>
      </c>
      <c r="F464" s="122"/>
      <c r="G464" s="99"/>
      <c r="H464" s="178"/>
      <c r="I464" s="121" t="str">
        <f t="shared" si="6"/>
        <v/>
      </c>
      <c r="J464" s="99"/>
      <c r="K464" s="99"/>
    </row>
    <row r="465">
      <c r="B465" s="103"/>
      <c r="C465" s="121" t="str">
        <f t="array" ref="C465">ifs(and(isblank($A465),isblank($B465)),"", not(iserror(vlookup($A465&amp;$B465,'5) Release_Track'!$F:$F&amp;'5) Release_Track'!$G:$G,1,0))),vlookup($A465&amp;$B465,{'5) Release_Track'!$F:$F&amp;'5) Release_Track'!$G:$G,'5) Release_Track'!$H:$H},2,0), or(and(not(isblank($B465)),$B465=$B464,$A465&lt;&gt;$A464),and(not(isblank($A465)),$A465=$A464,$B465&lt;&gt;$B464)),"ID LISTS UNALIGNED",and($A465&lt;&gt;"",countif('5) Release_Track'!$F:$F,$A465)=0),"NO ISRC MATCH in Release_Track",and($B465&lt;&gt;"",countif('5) Release_Track'!$G:$G,$B465)=0),"NO CATALOG ID MATCH in Release_Track",iserror(vlookup($A465&amp;$B465,'5) Release_Track'!$F:$F&amp;'5) Release_Track'!$G:$G,1,0)),"NO ISRC-CATALOG ID pair MATCH in Release_Track" )</f>
        <v/>
      </c>
      <c r="D465" s="121" t="str">
        <f t="array" ref="D465">ifs(and(isblank($A465),isblank($B465)),"", not(iserror(vlookup($A465&amp;$B465,'5) Release_Track'!$F:$F&amp;'5) Release_Track'!$G:$G,1,0))),vlookup($A465&amp;$B465,{'5) Release_Track'!$F:$F&amp;'5) Release_Track'!$G:$G,'5) Release_Track'!$I:$I},2,0), or(and(not(isblank($B465)),$B465=$B464,$A465&lt;&gt;$A464),and(not(isblank($A465)),$A465=$A464,$B465&lt;&gt;$B464)),"ID LISTS UNALIGNED",and($A465&lt;&gt;"",countif('5) Release_Track'!$F:$F,$A465)=0),"NO ISRC MATCH in Release_Track",and($B465&lt;&gt;"",countif('5) Release_Track'!$G:$G,$B465)=0),"NO CATALOG ID MATCH in Release_Track",iserror(vlookup($A465&amp;$B465,'5) Release_Track'!$F:$F&amp;'5) Release_Track'!$G:$G,1,0)),"NO ISRC-CATALOG ID pair MATCH in Release_Track" )</f>
        <v/>
      </c>
      <c r="E465" s="125" t="str">
        <f t="array" ref="E465">ifs(and(isblank($A465),isblank($B465)),"", not(iserror(vlookup($A465&amp;$B465,'5) Release_Track'!$F:$F&amp;'5) Release_Track'!$G:$G,1,0))),vlookup($A465&amp;$B465,{'5) Release_Track'!$F:$F&amp;'5) Release_Track'!$G:$G,'5) Release_Track'!$J:$J},2,0), or(and(not(isblank($B465)),$B465=$B464,$A465&lt;&gt;$A464),and(not(isblank($A465)),$A465=$A464,$B465&lt;&gt;$B464)),"ID LISTS UNALIGNED",and($A465&lt;&gt;"",countif('5) Release_Track'!$F:$F,$A465)=0),"NO ISRC MATCH in Release_Track",and($B465&lt;&gt;"",countif('5) Release_Track'!$G:$G,$B465)=0),"NO CATALOG ID MATCH in Release_Track",iserror(vlookup($A465&amp;$B465,'5) Release_Track'!$F:$F&amp;'5) Release_Track'!$G:$G,1,0)),"NO ISRC-CATALOG ID pair MATCH in Release_Track" )</f>
        <v/>
      </c>
      <c r="F465" s="122"/>
      <c r="G465" s="99"/>
      <c r="H465" s="178"/>
      <c r="I465" s="121" t="str">
        <f t="shared" si="6"/>
        <v/>
      </c>
      <c r="J465" s="99"/>
      <c r="K465" s="99"/>
    </row>
    <row r="466">
      <c r="B466" s="103"/>
      <c r="C466" s="121" t="str">
        <f t="array" ref="C466">ifs(and(isblank($A466),isblank($B466)),"", not(iserror(vlookup($A466&amp;$B466,'5) Release_Track'!$F:$F&amp;'5) Release_Track'!$G:$G,1,0))),vlookup($A466&amp;$B466,{'5) Release_Track'!$F:$F&amp;'5) Release_Track'!$G:$G,'5) Release_Track'!$H:$H},2,0), or(and(not(isblank($B466)),$B466=$B465,$A466&lt;&gt;$A465),and(not(isblank($A466)),$A466=$A465,$B466&lt;&gt;$B465)),"ID LISTS UNALIGNED",and($A466&lt;&gt;"",countif('5) Release_Track'!$F:$F,$A466)=0),"NO ISRC MATCH in Release_Track",and($B466&lt;&gt;"",countif('5) Release_Track'!$G:$G,$B466)=0),"NO CATALOG ID MATCH in Release_Track",iserror(vlookup($A466&amp;$B466,'5) Release_Track'!$F:$F&amp;'5) Release_Track'!$G:$G,1,0)),"NO ISRC-CATALOG ID pair MATCH in Release_Track" )</f>
        <v/>
      </c>
      <c r="D466" s="121" t="str">
        <f t="array" ref="D466">ifs(and(isblank($A466),isblank($B466)),"", not(iserror(vlookup($A466&amp;$B466,'5) Release_Track'!$F:$F&amp;'5) Release_Track'!$G:$G,1,0))),vlookup($A466&amp;$B466,{'5) Release_Track'!$F:$F&amp;'5) Release_Track'!$G:$G,'5) Release_Track'!$I:$I},2,0), or(and(not(isblank($B466)),$B466=$B465,$A466&lt;&gt;$A465),and(not(isblank($A466)),$A466=$A465,$B466&lt;&gt;$B465)),"ID LISTS UNALIGNED",and($A466&lt;&gt;"",countif('5) Release_Track'!$F:$F,$A466)=0),"NO ISRC MATCH in Release_Track",and($B466&lt;&gt;"",countif('5) Release_Track'!$G:$G,$B466)=0),"NO CATALOG ID MATCH in Release_Track",iserror(vlookup($A466&amp;$B466,'5) Release_Track'!$F:$F&amp;'5) Release_Track'!$G:$G,1,0)),"NO ISRC-CATALOG ID pair MATCH in Release_Track" )</f>
        <v/>
      </c>
      <c r="E466" s="125" t="str">
        <f t="array" ref="E466">ifs(and(isblank($A466),isblank($B466)),"", not(iserror(vlookup($A466&amp;$B466,'5) Release_Track'!$F:$F&amp;'5) Release_Track'!$G:$G,1,0))),vlookup($A466&amp;$B466,{'5) Release_Track'!$F:$F&amp;'5) Release_Track'!$G:$G,'5) Release_Track'!$J:$J},2,0), or(and(not(isblank($B466)),$B466=$B465,$A466&lt;&gt;$A465),and(not(isblank($A466)),$A466=$A465,$B466&lt;&gt;$B465)),"ID LISTS UNALIGNED",and($A466&lt;&gt;"",countif('5) Release_Track'!$F:$F,$A466)=0),"NO ISRC MATCH in Release_Track",and($B466&lt;&gt;"",countif('5) Release_Track'!$G:$G,$B466)=0),"NO CATALOG ID MATCH in Release_Track",iserror(vlookup($A466&amp;$B466,'5) Release_Track'!$F:$F&amp;'5) Release_Track'!$G:$G,1,0)),"NO ISRC-CATALOG ID pair MATCH in Release_Track" )</f>
        <v/>
      </c>
      <c r="F466" s="122"/>
      <c r="G466" s="99"/>
      <c r="H466" s="178"/>
      <c r="I466" s="121" t="str">
        <f t="shared" si="6"/>
        <v/>
      </c>
      <c r="J466" s="99"/>
      <c r="K466" s="99"/>
    </row>
    <row r="467">
      <c r="B467" s="103"/>
      <c r="C467" s="121" t="str">
        <f t="array" ref="C467">ifs(and(isblank($A467),isblank($B467)),"", not(iserror(vlookup($A467&amp;$B467,'5) Release_Track'!$F:$F&amp;'5) Release_Track'!$G:$G,1,0))),vlookup($A467&amp;$B467,{'5) Release_Track'!$F:$F&amp;'5) Release_Track'!$G:$G,'5) Release_Track'!$H:$H},2,0), or(and(not(isblank($B467)),$B467=$B466,$A467&lt;&gt;$A466),and(not(isblank($A467)),$A467=$A466,$B467&lt;&gt;$B466)),"ID LISTS UNALIGNED",and($A467&lt;&gt;"",countif('5) Release_Track'!$F:$F,$A467)=0),"NO ISRC MATCH in Release_Track",and($B467&lt;&gt;"",countif('5) Release_Track'!$G:$G,$B467)=0),"NO CATALOG ID MATCH in Release_Track",iserror(vlookup($A467&amp;$B467,'5) Release_Track'!$F:$F&amp;'5) Release_Track'!$G:$G,1,0)),"NO ISRC-CATALOG ID pair MATCH in Release_Track" )</f>
        <v/>
      </c>
      <c r="D467" s="121" t="str">
        <f t="array" ref="D467">ifs(and(isblank($A467),isblank($B467)),"", not(iserror(vlookup($A467&amp;$B467,'5) Release_Track'!$F:$F&amp;'5) Release_Track'!$G:$G,1,0))),vlookup($A467&amp;$B467,{'5) Release_Track'!$F:$F&amp;'5) Release_Track'!$G:$G,'5) Release_Track'!$I:$I},2,0), or(and(not(isblank($B467)),$B467=$B466,$A467&lt;&gt;$A466),and(not(isblank($A467)),$A467=$A466,$B467&lt;&gt;$B466)),"ID LISTS UNALIGNED",and($A467&lt;&gt;"",countif('5) Release_Track'!$F:$F,$A467)=0),"NO ISRC MATCH in Release_Track",and($B467&lt;&gt;"",countif('5) Release_Track'!$G:$G,$B467)=0),"NO CATALOG ID MATCH in Release_Track",iserror(vlookup($A467&amp;$B467,'5) Release_Track'!$F:$F&amp;'5) Release_Track'!$G:$G,1,0)),"NO ISRC-CATALOG ID pair MATCH in Release_Track" )</f>
        <v/>
      </c>
      <c r="E467" s="125" t="str">
        <f t="array" ref="E467">ifs(and(isblank($A467),isblank($B467)),"", not(iserror(vlookup($A467&amp;$B467,'5) Release_Track'!$F:$F&amp;'5) Release_Track'!$G:$G,1,0))),vlookup($A467&amp;$B467,{'5) Release_Track'!$F:$F&amp;'5) Release_Track'!$G:$G,'5) Release_Track'!$J:$J},2,0), or(and(not(isblank($B467)),$B467=$B466,$A467&lt;&gt;$A466),and(not(isblank($A467)),$A467=$A466,$B467&lt;&gt;$B466)),"ID LISTS UNALIGNED",and($A467&lt;&gt;"",countif('5) Release_Track'!$F:$F,$A467)=0),"NO ISRC MATCH in Release_Track",and($B467&lt;&gt;"",countif('5) Release_Track'!$G:$G,$B467)=0),"NO CATALOG ID MATCH in Release_Track",iserror(vlookup($A467&amp;$B467,'5) Release_Track'!$F:$F&amp;'5) Release_Track'!$G:$G,1,0)),"NO ISRC-CATALOG ID pair MATCH in Release_Track" )</f>
        <v/>
      </c>
      <c r="F467" s="122"/>
      <c r="G467" s="99"/>
      <c r="H467" s="178"/>
      <c r="I467" s="121" t="str">
        <f t="shared" si="6"/>
        <v/>
      </c>
      <c r="J467" s="99"/>
      <c r="K467" s="99"/>
    </row>
    <row r="468">
      <c r="B468" s="103"/>
      <c r="C468" s="121" t="str">
        <f t="array" ref="C468">ifs(and(isblank($A468),isblank($B468)),"", not(iserror(vlookup($A468&amp;$B468,'5) Release_Track'!$F:$F&amp;'5) Release_Track'!$G:$G,1,0))),vlookup($A468&amp;$B468,{'5) Release_Track'!$F:$F&amp;'5) Release_Track'!$G:$G,'5) Release_Track'!$H:$H},2,0), or(and(not(isblank($B468)),$B468=$B467,$A468&lt;&gt;$A467),and(not(isblank($A468)),$A468=$A467,$B468&lt;&gt;$B467)),"ID LISTS UNALIGNED",and($A468&lt;&gt;"",countif('5) Release_Track'!$F:$F,$A468)=0),"NO ISRC MATCH in Release_Track",and($B468&lt;&gt;"",countif('5) Release_Track'!$G:$G,$B468)=0),"NO CATALOG ID MATCH in Release_Track",iserror(vlookup($A468&amp;$B468,'5) Release_Track'!$F:$F&amp;'5) Release_Track'!$G:$G,1,0)),"NO ISRC-CATALOG ID pair MATCH in Release_Track" )</f>
        <v/>
      </c>
      <c r="D468" s="121" t="str">
        <f t="array" ref="D468">ifs(and(isblank($A468),isblank($B468)),"", not(iserror(vlookup($A468&amp;$B468,'5) Release_Track'!$F:$F&amp;'5) Release_Track'!$G:$G,1,0))),vlookup($A468&amp;$B468,{'5) Release_Track'!$F:$F&amp;'5) Release_Track'!$G:$G,'5) Release_Track'!$I:$I},2,0), or(and(not(isblank($B468)),$B468=$B467,$A468&lt;&gt;$A467),and(not(isblank($A468)),$A468=$A467,$B468&lt;&gt;$B467)),"ID LISTS UNALIGNED",and($A468&lt;&gt;"",countif('5) Release_Track'!$F:$F,$A468)=0),"NO ISRC MATCH in Release_Track",and($B468&lt;&gt;"",countif('5) Release_Track'!$G:$G,$B468)=0),"NO CATALOG ID MATCH in Release_Track",iserror(vlookup($A468&amp;$B468,'5) Release_Track'!$F:$F&amp;'5) Release_Track'!$G:$G,1,0)),"NO ISRC-CATALOG ID pair MATCH in Release_Track" )</f>
        <v/>
      </c>
      <c r="E468" s="125" t="str">
        <f t="array" ref="E468">ifs(and(isblank($A468),isblank($B468)),"", not(iserror(vlookup($A468&amp;$B468,'5) Release_Track'!$F:$F&amp;'5) Release_Track'!$G:$G,1,0))),vlookup($A468&amp;$B468,{'5) Release_Track'!$F:$F&amp;'5) Release_Track'!$G:$G,'5) Release_Track'!$J:$J},2,0), or(and(not(isblank($B468)),$B468=$B467,$A468&lt;&gt;$A467),and(not(isblank($A468)),$A468=$A467,$B468&lt;&gt;$B467)),"ID LISTS UNALIGNED",and($A468&lt;&gt;"",countif('5) Release_Track'!$F:$F,$A468)=0),"NO ISRC MATCH in Release_Track",and($B468&lt;&gt;"",countif('5) Release_Track'!$G:$G,$B468)=0),"NO CATALOG ID MATCH in Release_Track",iserror(vlookup($A468&amp;$B468,'5) Release_Track'!$F:$F&amp;'5) Release_Track'!$G:$G,1,0)),"NO ISRC-CATALOG ID pair MATCH in Release_Track" )</f>
        <v/>
      </c>
      <c r="F468" s="122"/>
      <c r="G468" s="99"/>
      <c r="H468" s="178"/>
      <c r="I468" s="121" t="str">
        <f t="shared" si="6"/>
        <v/>
      </c>
      <c r="J468" s="99"/>
      <c r="K468" s="99"/>
    </row>
    <row r="469">
      <c r="B469" s="103"/>
      <c r="C469" s="121" t="str">
        <f t="array" ref="C469">ifs(and(isblank($A469),isblank($B469)),"", not(iserror(vlookup($A469&amp;$B469,'5) Release_Track'!$F:$F&amp;'5) Release_Track'!$G:$G,1,0))),vlookup($A469&amp;$B469,{'5) Release_Track'!$F:$F&amp;'5) Release_Track'!$G:$G,'5) Release_Track'!$H:$H},2,0), or(and(not(isblank($B469)),$B469=$B468,$A469&lt;&gt;$A468),and(not(isblank($A469)),$A469=$A468,$B469&lt;&gt;$B468)),"ID LISTS UNALIGNED",and($A469&lt;&gt;"",countif('5) Release_Track'!$F:$F,$A469)=0),"NO ISRC MATCH in Release_Track",and($B469&lt;&gt;"",countif('5) Release_Track'!$G:$G,$B469)=0),"NO CATALOG ID MATCH in Release_Track",iserror(vlookup($A469&amp;$B469,'5) Release_Track'!$F:$F&amp;'5) Release_Track'!$G:$G,1,0)),"NO ISRC-CATALOG ID pair MATCH in Release_Track" )</f>
        <v/>
      </c>
      <c r="D469" s="121" t="str">
        <f t="array" ref="D469">ifs(and(isblank($A469),isblank($B469)),"", not(iserror(vlookup($A469&amp;$B469,'5) Release_Track'!$F:$F&amp;'5) Release_Track'!$G:$G,1,0))),vlookup($A469&amp;$B469,{'5) Release_Track'!$F:$F&amp;'5) Release_Track'!$G:$G,'5) Release_Track'!$I:$I},2,0), or(and(not(isblank($B469)),$B469=$B468,$A469&lt;&gt;$A468),and(not(isblank($A469)),$A469=$A468,$B469&lt;&gt;$B468)),"ID LISTS UNALIGNED",and($A469&lt;&gt;"",countif('5) Release_Track'!$F:$F,$A469)=0),"NO ISRC MATCH in Release_Track",and($B469&lt;&gt;"",countif('5) Release_Track'!$G:$G,$B469)=0),"NO CATALOG ID MATCH in Release_Track",iserror(vlookup($A469&amp;$B469,'5) Release_Track'!$F:$F&amp;'5) Release_Track'!$G:$G,1,0)),"NO ISRC-CATALOG ID pair MATCH in Release_Track" )</f>
        <v/>
      </c>
      <c r="E469" s="125" t="str">
        <f t="array" ref="E469">ifs(and(isblank($A469),isblank($B469)),"", not(iserror(vlookup($A469&amp;$B469,'5) Release_Track'!$F:$F&amp;'5) Release_Track'!$G:$G,1,0))),vlookup($A469&amp;$B469,{'5) Release_Track'!$F:$F&amp;'5) Release_Track'!$G:$G,'5) Release_Track'!$J:$J},2,0), or(and(not(isblank($B469)),$B469=$B468,$A469&lt;&gt;$A468),and(not(isblank($A469)),$A469=$A468,$B469&lt;&gt;$B468)),"ID LISTS UNALIGNED",and($A469&lt;&gt;"",countif('5) Release_Track'!$F:$F,$A469)=0),"NO ISRC MATCH in Release_Track",and($B469&lt;&gt;"",countif('5) Release_Track'!$G:$G,$B469)=0),"NO CATALOG ID MATCH in Release_Track",iserror(vlookup($A469&amp;$B469,'5) Release_Track'!$F:$F&amp;'5) Release_Track'!$G:$G,1,0)),"NO ISRC-CATALOG ID pair MATCH in Release_Track" )</f>
        <v/>
      </c>
      <c r="F469" s="122"/>
      <c r="G469" s="99"/>
      <c r="H469" s="178"/>
      <c r="I469" s="121" t="str">
        <f t="shared" si="6"/>
        <v/>
      </c>
      <c r="J469" s="99"/>
      <c r="K469" s="99"/>
    </row>
    <row r="470">
      <c r="B470" s="103"/>
      <c r="C470" s="121" t="str">
        <f t="array" ref="C470">ifs(and(isblank($A470),isblank($B470)),"", not(iserror(vlookup($A470&amp;$B470,'5) Release_Track'!$F:$F&amp;'5) Release_Track'!$G:$G,1,0))),vlookup($A470&amp;$B470,{'5) Release_Track'!$F:$F&amp;'5) Release_Track'!$G:$G,'5) Release_Track'!$H:$H},2,0), or(and(not(isblank($B470)),$B470=$B469,$A470&lt;&gt;$A469),and(not(isblank($A470)),$A470=$A469,$B470&lt;&gt;$B469)),"ID LISTS UNALIGNED",and($A470&lt;&gt;"",countif('5) Release_Track'!$F:$F,$A470)=0),"NO ISRC MATCH in Release_Track",and($B470&lt;&gt;"",countif('5) Release_Track'!$G:$G,$B470)=0),"NO CATALOG ID MATCH in Release_Track",iserror(vlookup($A470&amp;$B470,'5) Release_Track'!$F:$F&amp;'5) Release_Track'!$G:$G,1,0)),"NO ISRC-CATALOG ID pair MATCH in Release_Track" )</f>
        <v/>
      </c>
      <c r="D470" s="121" t="str">
        <f t="array" ref="D470">ifs(and(isblank($A470),isblank($B470)),"", not(iserror(vlookup($A470&amp;$B470,'5) Release_Track'!$F:$F&amp;'5) Release_Track'!$G:$G,1,0))),vlookup($A470&amp;$B470,{'5) Release_Track'!$F:$F&amp;'5) Release_Track'!$G:$G,'5) Release_Track'!$I:$I},2,0), or(and(not(isblank($B470)),$B470=$B469,$A470&lt;&gt;$A469),and(not(isblank($A470)),$A470=$A469,$B470&lt;&gt;$B469)),"ID LISTS UNALIGNED",and($A470&lt;&gt;"",countif('5) Release_Track'!$F:$F,$A470)=0),"NO ISRC MATCH in Release_Track",and($B470&lt;&gt;"",countif('5) Release_Track'!$G:$G,$B470)=0),"NO CATALOG ID MATCH in Release_Track",iserror(vlookup($A470&amp;$B470,'5) Release_Track'!$F:$F&amp;'5) Release_Track'!$G:$G,1,0)),"NO ISRC-CATALOG ID pair MATCH in Release_Track" )</f>
        <v/>
      </c>
      <c r="E470" s="125" t="str">
        <f t="array" ref="E470">ifs(and(isblank($A470),isblank($B470)),"", not(iserror(vlookup($A470&amp;$B470,'5) Release_Track'!$F:$F&amp;'5) Release_Track'!$G:$G,1,0))),vlookup($A470&amp;$B470,{'5) Release_Track'!$F:$F&amp;'5) Release_Track'!$G:$G,'5) Release_Track'!$J:$J},2,0), or(and(not(isblank($B470)),$B470=$B469,$A470&lt;&gt;$A469),and(not(isblank($A470)),$A470=$A469,$B470&lt;&gt;$B469)),"ID LISTS UNALIGNED",and($A470&lt;&gt;"",countif('5) Release_Track'!$F:$F,$A470)=0),"NO ISRC MATCH in Release_Track",and($B470&lt;&gt;"",countif('5) Release_Track'!$G:$G,$B470)=0),"NO CATALOG ID MATCH in Release_Track",iserror(vlookup($A470&amp;$B470,'5) Release_Track'!$F:$F&amp;'5) Release_Track'!$G:$G,1,0)),"NO ISRC-CATALOG ID pair MATCH in Release_Track" )</f>
        <v/>
      </c>
      <c r="F470" s="122"/>
      <c r="G470" s="99"/>
      <c r="H470" s="178"/>
      <c r="I470" s="121" t="str">
        <f t="shared" si="6"/>
        <v/>
      </c>
      <c r="J470" s="99"/>
      <c r="K470" s="99"/>
    </row>
    <row r="471">
      <c r="B471" s="103"/>
      <c r="C471" s="121" t="str">
        <f t="array" ref="C471">ifs(and(isblank($A471),isblank($B471)),"", not(iserror(vlookup($A471&amp;$B471,'5) Release_Track'!$F:$F&amp;'5) Release_Track'!$G:$G,1,0))),vlookup($A471&amp;$B471,{'5) Release_Track'!$F:$F&amp;'5) Release_Track'!$G:$G,'5) Release_Track'!$H:$H},2,0), or(and(not(isblank($B471)),$B471=$B470,$A471&lt;&gt;$A470),and(not(isblank($A471)),$A471=$A470,$B471&lt;&gt;$B470)),"ID LISTS UNALIGNED",and($A471&lt;&gt;"",countif('5) Release_Track'!$F:$F,$A471)=0),"NO ISRC MATCH in Release_Track",and($B471&lt;&gt;"",countif('5) Release_Track'!$G:$G,$B471)=0),"NO CATALOG ID MATCH in Release_Track",iserror(vlookup($A471&amp;$B471,'5) Release_Track'!$F:$F&amp;'5) Release_Track'!$G:$G,1,0)),"NO ISRC-CATALOG ID pair MATCH in Release_Track" )</f>
        <v/>
      </c>
      <c r="D471" s="121" t="str">
        <f t="array" ref="D471">ifs(and(isblank($A471),isblank($B471)),"", not(iserror(vlookup($A471&amp;$B471,'5) Release_Track'!$F:$F&amp;'5) Release_Track'!$G:$G,1,0))),vlookup($A471&amp;$B471,{'5) Release_Track'!$F:$F&amp;'5) Release_Track'!$G:$G,'5) Release_Track'!$I:$I},2,0), or(and(not(isblank($B471)),$B471=$B470,$A471&lt;&gt;$A470),and(not(isblank($A471)),$A471=$A470,$B471&lt;&gt;$B470)),"ID LISTS UNALIGNED",and($A471&lt;&gt;"",countif('5) Release_Track'!$F:$F,$A471)=0),"NO ISRC MATCH in Release_Track",and($B471&lt;&gt;"",countif('5) Release_Track'!$G:$G,$B471)=0),"NO CATALOG ID MATCH in Release_Track",iserror(vlookup($A471&amp;$B471,'5) Release_Track'!$F:$F&amp;'5) Release_Track'!$G:$G,1,0)),"NO ISRC-CATALOG ID pair MATCH in Release_Track" )</f>
        <v/>
      </c>
      <c r="E471" s="125" t="str">
        <f t="array" ref="E471">ifs(and(isblank($A471),isblank($B471)),"", not(iserror(vlookup($A471&amp;$B471,'5) Release_Track'!$F:$F&amp;'5) Release_Track'!$G:$G,1,0))),vlookup($A471&amp;$B471,{'5) Release_Track'!$F:$F&amp;'5) Release_Track'!$G:$G,'5) Release_Track'!$J:$J},2,0), or(and(not(isblank($B471)),$B471=$B470,$A471&lt;&gt;$A470),and(not(isblank($A471)),$A471=$A470,$B471&lt;&gt;$B470)),"ID LISTS UNALIGNED",and($A471&lt;&gt;"",countif('5) Release_Track'!$F:$F,$A471)=0),"NO ISRC MATCH in Release_Track",and($B471&lt;&gt;"",countif('5) Release_Track'!$G:$G,$B471)=0),"NO CATALOG ID MATCH in Release_Track",iserror(vlookup($A471&amp;$B471,'5) Release_Track'!$F:$F&amp;'5) Release_Track'!$G:$G,1,0)),"NO ISRC-CATALOG ID pair MATCH in Release_Track" )</f>
        <v/>
      </c>
      <c r="F471" s="122"/>
      <c r="G471" s="99"/>
      <c r="H471" s="178"/>
      <c r="I471" s="121" t="str">
        <f t="shared" si="6"/>
        <v/>
      </c>
      <c r="J471" s="99"/>
      <c r="K471" s="99"/>
    </row>
    <row r="472">
      <c r="B472" s="103"/>
      <c r="C472" s="121" t="str">
        <f t="array" ref="C472">ifs(and(isblank($A472),isblank($B472)),"", not(iserror(vlookup($A472&amp;$B472,'5) Release_Track'!$F:$F&amp;'5) Release_Track'!$G:$G,1,0))),vlookup($A472&amp;$B472,{'5) Release_Track'!$F:$F&amp;'5) Release_Track'!$G:$G,'5) Release_Track'!$H:$H},2,0), or(and(not(isblank($B472)),$B472=$B471,$A472&lt;&gt;$A471),and(not(isblank($A472)),$A472=$A471,$B472&lt;&gt;$B471)),"ID LISTS UNALIGNED",and($A472&lt;&gt;"",countif('5) Release_Track'!$F:$F,$A472)=0),"NO ISRC MATCH in Release_Track",and($B472&lt;&gt;"",countif('5) Release_Track'!$G:$G,$B472)=0),"NO CATALOG ID MATCH in Release_Track",iserror(vlookup($A472&amp;$B472,'5) Release_Track'!$F:$F&amp;'5) Release_Track'!$G:$G,1,0)),"NO ISRC-CATALOG ID pair MATCH in Release_Track" )</f>
        <v/>
      </c>
      <c r="D472" s="121" t="str">
        <f t="array" ref="D472">ifs(and(isblank($A472),isblank($B472)),"", not(iserror(vlookup($A472&amp;$B472,'5) Release_Track'!$F:$F&amp;'5) Release_Track'!$G:$G,1,0))),vlookup($A472&amp;$B472,{'5) Release_Track'!$F:$F&amp;'5) Release_Track'!$G:$G,'5) Release_Track'!$I:$I},2,0), or(and(not(isblank($B472)),$B472=$B471,$A472&lt;&gt;$A471),and(not(isblank($A472)),$A472=$A471,$B472&lt;&gt;$B471)),"ID LISTS UNALIGNED",and($A472&lt;&gt;"",countif('5) Release_Track'!$F:$F,$A472)=0),"NO ISRC MATCH in Release_Track",and($B472&lt;&gt;"",countif('5) Release_Track'!$G:$G,$B472)=0),"NO CATALOG ID MATCH in Release_Track",iserror(vlookup($A472&amp;$B472,'5) Release_Track'!$F:$F&amp;'5) Release_Track'!$G:$G,1,0)),"NO ISRC-CATALOG ID pair MATCH in Release_Track" )</f>
        <v/>
      </c>
      <c r="E472" s="125" t="str">
        <f t="array" ref="E472">ifs(and(isblank($A472),isblank($B472)),"", not(iserror(vlookup($A472&amp;$B472,'5) Release_Track'!$F:$F&amp;'5) Release_Track'!$G:$G,1,0))),vlookup($A472&amp;$B472,{'5) Release_Track'!$F:$F&amp;'5) Release_Track'!$G:$G,'5) Release_Track'!$J:$J},2,0), or(and(not(isblank($B472)),$B472=$B471,$A472&lt;&gt;$A471),and(not(isblank($A472)),$A472=$A471,$B472&lt;&gt;$B471)),"ID LISTS UNALIGNED",and($A472&lt;&gt;"",countif('5) Release_Track'!$F:$F,$A472)=0),"NO ISRC MATCH in Release_Track",and($B472&lt;&gt;"",countif('5) Release_Track'!$G:$G,$B472)=0),"NO CATALOG ID MATCH in Release_Track",iserror(vlookup($A472&amp;$B472,'5) Release_Track'!$F:$F&amp;'5) Release_Track'!$G:$G,1,0)),"NO ISRC-CATALOG ID pair MATCH in Release_Track" )</f>
        <v/>
      </c>
      <c r="F472" s="122"/>
      <c r="G472" s="99"/>
      <c r="H472" s="178"/>
      <c r="I472" s="121" t="str">
        <f t="shared" si="6"/>
        <v/>
      </c>
      <c r="J472" s="99"/>
      <c r="K472" s="99"/>
    </row>
    <row r="473">
      <c r="B473" s="103"/>
      <c r="C473" s="121" t="str">
        <f t="array" ref="C473">ifs(and(isblank($A473),isblank($B473)),"", not(iserror(vlookup($A473&amp;$B473,'5) Release_Track'!$F:$F&amp;'5) Release_Track'!$G:$G,1,0))),vlookup($A473&amp;$B473,{'5) Release_Track'!$F:$F&amp;'5) Release_Track'!$G:$G,'5) Release_Track'!$H:$H},2,0), or(and(not(isblank($B473)),$B473=$B472,$A473&lt;&gt;$A472),and(not(isblank($A473)),$A473=$A472,$B473&lt;&gt;$B472)),"ID LISTS UNALIGNED",and($A473&lt;&gt;"",countif('5) Release_Track'!$F:$F,$A473)=0),"NO ISRC MATCH in Release_Track",and($B473&lt;&gt;"",countif('5) Release_Track'!$G:$G,$B473)=0),"NO CATALOG ID MATCH in Release_Track",iserror(vlookup($A473&amp;$B473,'5) Release_Track'!$F:$F&amp;'5) Release_Track'!$G:$G,1,0)),"NO ISRC-CATALOG ID pair MATCH in Release_Track" )</f>
        <v/>
      </c>
      <c r="D473" s="121" t="str">
        <f t="array" ref="D473">ifs(and(isblank($A473),isblank($B473)),"", not(iserror(vlookup($A473&amp;$B473,'5) Release_Track'!$F:$F&amp;'5) Release_Track'!$G:$G,1,0))),vlookup($A473&amp;$B473,{'5) Release_Track'!$F:$F&amp;'5) Release_Track'!$G:$G,'5) Release_Track'!$I:$I},2,0), or(and(not(isblank($B473)),$B473=$B472,$A473&lt;&gt;$A472),and(not(isblank($A473)),$A473=$A472,$B473&lt;&gt;$B472)),"ID LISTS UNALIGNED",and($A473&lt;&gt;"",countif('5) Release_Track'!$F:$F,$A473)=0),"NO ISRC MATCH in Release_Track",and($B473&lt;&gt;"",countif('5) Release_Track'!$G:$G,$B473)=0),"NO CATALOG ID MATCH in Release_Track",iserror(vlookup($A473&amp;$B473,'5) Release_Track'!$F:$F&amp;'5) Release_Track'!$G:$G,1,0)),"NO ISRC-CATALOG ID pair MATCH in Release_Track" )</f>
        <v/>
      </c>
      <c r="E473" s="125" t="str">
        <f t="array" ref="E473">ifs(and(isblank($A473),isblank($B473)),"", not(iserror(vlookup($A473&amp;$B473,'5) Release_Track'!$F:$F&amp;'5) Release_Track'!$G:$G,1,0))),vlookup($A473&amp;$B473,{'5) Release_Track'!$F:$F&amp;'5) Release_Track'!$G:$G,'5) Release_Track'!$J:$J},2,0), or(and(not(isblank($B473)),$B473=$B472,$A473&lt;&gt;$A472),and(not(isblank($A473)),$A473=$A472,$B473&lt;&gt;$B472)),"ID LISTS UNALIGNED",and($A473&lt;&gt;"",countif('5) Release_Track'!$F:$F,$A473)=0),"NO ISRC MATCH in Release_Track",and($B473&lt;&gt;"",countif('5) Release_Track'!$G:$G,$B473)=0),"NO CATALOG ID MATCH in Release_Track",iserror(vlookup($A473&amp;$B473,'5) Release_Track'!$F:$F&amp;'5) Release_Track'!$G:$G,1,0)),"NO ISRC-CATALOG ID pair MATCH in Release_Track" )</f>
        <v/>
      </c>
      <c r="F473" s="122"/>
      <c r="G473" s="99"/>
      <c r="H473" s="178"/>
      <c r="I473" s="121" t="str">
        <f t="shared" si="6"/>
        <v/>
      </c>
      <c r="J473" s="99"/>
      <c r="K473" s="99"/>
    </row>
    <row r="474">
      <c r="B474" s="103"/>
      <c r="C474" s="121" t="str">
        <f t="array" ref="C474">ifs(and(isblank($A474),isblank($B474)),"", not(iserror(vlookup($A474&amp;$B474,'5) Release_Track'!$F:$F&amp;'5) Release_Track'!$G:$G,1,0))),vlookup($A474&amp;$B474,{'5) Release_Track'!$F:$F&amp;'5) Release_Track'!$G:$G,'5) Release_Track'!$H:$H},2,0), or(and(not(isblank($B474)),$B474=$B473,$A474&lt;&gt;$A473),and(not(isblank($A474)),$A474=$A473,$B474&lt;&gt;$B473)),"ID LISTS UNALIGNED",and($A474&lt;&gt;"",countif('5) Release_Track'!$F:$F,$A474)=0),"NO ISRC MATCH in Release_Track",and($B474&lt;&gt;"",countif('5) Release_Track'!$G:$G,$B474)=0),"NO CATALOG ID MATCH in Release_Track",iserror(vlookup($A474&amp;$B474,'5) Release_Track'!$F:$F&amp;'5) Release_Track'!$G:$G,1,0)),"NO ISRC-CATALOG ID pair MATCH in Release_Track" )</f>
        <v/>
      </c>
      <c r="D474" s="121" t="str">
        <f t="array" ref="D474">ifs(and(isblank($A474),isblank($B474)),"", not(iserror(vlookup($A474&amp;$B474,'5) Release_Track'!$F:$F&amp;'5) Release_Track'!$G:$G,1,0))),vlookup($A474&amp;$B474,{'5) Release_Track'!$F:$F&amp;'5) Release_Track'!$G:$G,'5) Release_Track'!$I:$I},2,0), or(and(not(isblank($B474)),$B474=$B473,$A474&lt;&gt;$A473),and(not(isblank($A474)),$A474=$A473,$B474&lt;&gt;$B473)),"ID LISTS UNALIGNED",and($A474&lt;&gt;"",countif('5) Release_Track'!$F:$F,$A474)=0),"NO ISRC MATCH in Release_Track",and($B474&lt;&gt;"",countif('5) Release_Track'!$G:$G,$B474)=0),"NO CATALOG ID MATCH in Release_Track",iserror(vlookup($A474&amp;$B474,'5) Release_Track'!$F:$F&amp;'5) Release_Track'!$G:$G,1,0)),"NO ISRC-CATALOG ID pair MATCH in Release_Track" )</f>
        <v/>
      </c>
      <c r="E474" s="125" t="str">
        <f t="array" ref="E474">ifs(and(isblank($A474),isblank($B474)),"", not(iserror(vlookup($A474&amp;$B474,'5) Release_Track'!$F:$F&amp;'5) Release_Track'!$G:$G,1,0))),vlookup($A474&amp;$B474,{'5) Release_Track'!$F:$F&amp;'5) Release_Track'!$G:$G,'5) Release_Track'!$J:$J},2,0), or(and(not(isblank($B474)),$B474=$B473,$A474&lt;&gt;$A473),and(not(isblank($A474)),$A474=$A473,$B474&lt;&gt;$B473)),"ID LISTS UNALIGNED",and($A474&lt;&gt;"",countif('5) Release_Track'!$F:$F,$A474)=0),"NO ISRC MATCH in Release_Track",and($B474&lt;&gt;"",countif('5) Release_Track'!$G:$G,$B474)=0),"NO CATALOG ID MATCH in Release_Track",iserror(vlookup($A474&amp;$B474,'5) Release_Track'!$F:$F&amp;'5) Release_Track'!$G:$G,1,0)),"NO ISRC-CATALOG ID pair MATCH in Release_Track" )</f>
        <v/>
      </c>
      <c r="F474" s="122"/>
      <c r="G474" s="99"/>
      <c r="H474" s="178"/>
      <c r="I474" s="121" t="str">
        <f t="shared" si="6"/>
        <v/>
      </c>
      <c r="J474" s="99"/>
      <c r="K474" s="99"/>
    </row>
    <row r="475">
      <c r="B475" s="103"/>
      <c r="C475" s="121" t="str">
        <f t="array" ref="C475">ifs(and(isblank($A475),isblank($B475)),"", not(iserror(vlookup($A475&amp;$B475,'5) Release_Track'!$F:$F&amp;'5) Release_Track'!$G:$G,1,0))),vlookup($A475&amp;$B475,{'5) Release_Track'!$F:$F&amp;'5) Release_Track'!$G:$G,'5) Release_Track'!$H:$H},2,0), or(and(not(isblank($B475)),$B475=$B474,$A475&lt;&gt;$A474),and(not(isblank($A475)),$A475=$A474,$B475&lt;&gt;$B474)),"ID LISTS UNALIGNED",and($A475&lt;&gt;"",countif('5) Release_Track'!$F:$F,$A475)=0),"NO ISRC MATCH in Release_Track",and($B475&lt;&gt;"",countif('5) Release_Track'!$G:$G,$B475)=0),"NO CATALOG ID MATCH in Release_Track",iserror(vlookup($A475&amp;$B475,'5) Release_Track'!$F:$F&amp;'5) Release_Track'!$G:$G,1,0)),"NO ISRC-CATALOG ID pair MATCH in Release_Track" )</f>
        <v/>
      </c>
      <c r="D475" s="121" t="str">
        <f t="array" ref="D475">ifs(and(isblank($A475),isblank($B475)),"", not(iserror(vlookup($A475&amp;$B475,'5) Release_Track'!$F:$F&amp;'5) Release_Track'!$G:$G,1,0))),vlookup($A475&amp;$B475,{'5) Release_Track'!$F:$F&amp;'5) Release_Track'!$G:$G,'5) Release_Track'!$I:$I},2,0), or(and(not(isblank($B475)),$B475=$B474,$A475&lt;&gt;$A474),and(not(isblank($A475)),$A475=$A474,$B475&lt;&gt;$B474)),"ID LISTS UNALIGNED",and($A475&lt;&gt;"",countif('5) Release_Track'!$F:$F,$A475)=0),"NO ISRC MATCH in Release_Track",and($B475&lt;&gt;"",countif('5) Release_Track'!$G:$G,$B475)=0),"NO CATALOG ID MATCH in Release_Track",iserror(vlookup($A475&amp;$B475,'5) Release_Track'!$F:$F&amp;'5) Release_Track'!$G:$G,1,0)),"NO ISRC-CATALOG ID pair MATCH in Release_Track" )</f>
        <v/>
      </c>
      <c r="E475" s="125" t="str">
        <f t="array" ref="E475">ifs(and(isblank($A475),isblank($B475)),"", not(iserror(vlookup($A475&amp;$B475,'5) Release_Track'!$F:$F&amp;'5) Release_Track'!$G:$G,1,0))),vlookup($A475&amp;$B475,{'5) Release_Track'!$F:$F&amp;'5) Release_Track'!$G:$G,'5) Release_Track'!$J:$J},2,0), or(and(not(isblank($B475)),$B475=$B474,$A475&lt;&gt;$A474),and(not(isblank($A475)),$A475=$A474,$B475&lt;&gt;$B474)),"ID LISTS UNALIGNED",and($A475&lt;&gt;"",countif('5) Release_Track'!$F:$F,$A475)=0),"NO ISRC MATCH in Release_Track",and($B475&lt;&gt;"",countif('5) Release_Track'!$G:$G,$B475)=0),"NO CATALOG ID MATCH in Release_Track",iserror(vlookup($A475&amp;$B475,'5) Release_Track'!$F:$F&amp;'5) Release_Track'!$G:$G,1,0)),"NO ISRC-CATALOG ID pair MATCH in Release_Track" )</f>
        <v/>
      </c>
      <c r="F475" s="122"/>
      <c r="G475" s="99"/>
      <c r="H475" s="178"/>
      <c r="I475" s="121" t="str">
        <f t="shared" si="6"/>
        <v/>
      </c>
      <c r="J475" s="99"/>
      <c r="K475" s="99"/>
    </row>
    <row r="476">
      <c r="B476" s="103"/>
      <c r="C476" s="121" t="str">
        <f t="array" ref="C476">ifs(and(isblank($A476),isblank($B476)),"", not(iserror(vlookup($A476&amp;$B476,'5) Release_Track'!$F:$F&amp;'5) Release_Track'!$G:$G,1,0))),vlookup($A476&amp;$B476,{'5) Release_Track'!$F:$F&amp;'5) Release_Track'!$G:$G,'5) Release_Track'!$H:$H},2,0), or(and(not(isblank($B476)),$B476=$B475,$A476&lt;&gt;$A475),and(not(isblank($A476)),$A476=$A475,$B476&lt;&gt;$B475)),"ID LISTS UNALIGNED",and($A476&lt;&gt;"",countif('5) Release_Track'!$F:$F,$A476)=0),"NO ISRC MATCH in Release_Track",and($B476&lt;&gt;"",countif('5) Release_Track'!$G:$G,$B476)=0),"NO CATALOG ID MATCH in Release_Track",iserror(vlookup($A476&amp;$B476,'5) Release_Track'!$F:$F&amp;'5) Release_Track'!$G:$G,1,0)),"NO ISRC-CATALOG ID pair MATCH in Release_Track" )</f>
        <v/>
      </c>
      <c r="D476" s="121" t="str">
        <f t="array" ref="D476">ifs(and(isblank($A476),isblank($B476)),"", not(iserror(vlookup($A476&amp;$B476,'5) Release_Track'!$F:$F&amp;'5) Release_Track'!$G:$G,1,0))),vlookup($A476&amp;$B476,{'5) Release_Track'!$F:$F&amp;'5) Release_Track'!$G:$G,'5) Release_Track'!$I:$I},2,0), or(and(not(isblank($B476)),$B476=$B475,$A476&lt;&gt;$A475),and(not(isblank($A476)),$A476=$A475,$B476&lt;&gt;$B475)),"ID LISTS UNALIGNED",and($A476&lt;&gt;"",countif('5) Release_Track'!$F:$F,$A476)=0),"NO ISRC MATCH in Release_Track",and($B476&lt;&gt;"",countif('5) Release_Track'!$G:$G,$B476)=0),"NO CATALOG ID MATCH in Release_Track",iserror(vlookup($A476&amp;$B476,'5) Release_Track'!$F:$F&amp;'5) Release_Track'!$G:$G,1,0)),"NO ISRC-CATALOG ID pair MATCH in Release_Track" )</f>
        <v/>
      </c>
      <c r="E476" s="125" t="str">
        <f t="array" ref="E476">ifs(and(isblank($A476),isblank($B476)),"", not(iserror(vlookup($A476&amp;$B476,'5) Release_Track'!$F:$F&amp;'5) Release_Track'!$G:$G,1,0))),vlookup($A476&amp;$B476,{'5) Release_Track'!$F:$F&amp;'5) Release_Track'!$G:$G,'5) Release_Track'!$J:$J},2,0), or(and(not(isblank($B476)),$B476=$B475,$A476&lt;&gt;$A475),and(not(isblank($A476)),$A476=$A475,$B476&lt;&gt;$B475)),"ID LISTS UNALIGNED",and($A476&lt;&gt;"",countif('5) Release_Track'!$F:$F,$A476)=0),"NO ISRC MATCH in Release_Track",and($B476&lt;&gt;"",countif('5) Release_Track'!$G:$G,$B476)=0),"NO CATALOG ID MATCH in Release_Track",iserror(vlookup($A476&amp;$B476,'5) Release_Track'!$F:$F&amp;'5) Release_Track'!$G:$G,1,0)),"NO ISRC-CATALOG ID pair MATCH in Release_Track" )</f>
        <v/>
      </c>
      <c r="F476" s="122"/>
      <c r="G476" s="99"/>
      <c r="H476" s="178"/>
      <c r="I476" s="121" t="str">
        <f t="shared" si="6"/>
        <v/>
      </c>
      <c r="J476" s="99"/>
      <c r="K476" s="99"/>
    </row>
    <row r="477">
      <c r="B477" s="103"/>
      <c r="C477" s="121" t="str">
        <f t="array" ref="C477">ifs(and(isblank($A477),isblank($B477)),"", not(iserror(vlookup($A477&amp;$B477,'5) Release_Track'!$F:$F&amp;'5) Release_Track'!$G:$G,1,0))),vlookup($A477&amp;$B477,{'5) Release_Track'!$F:$F&amp;'5) Release_Track'!$G:$G,'5) Release_Track'!$H:$H},2,0), or(and(not(isblank($B477)),$B477=$B476,$A477&lt;&gt;$A476),and(not(isblank($A477)),$A477=$A476,$B477&lt;&gt;$B476)),"ID LISTS UNALIGNED",and($A477&lt;&gt;"",countif('5) Release_Track'!$F:$F,$A477)=0),"NO ISRC MATCH in Release_Track",and($B477&lt;&gt;"",countif('5) Release_Track'!$G:$G,$B477)=0),"NO CATALOG ID MATCH in Release_Track",iserror(vlookup($A477&amp;$B477,'5) Release_Track'!$F:$F&amp;'5) Release_Track'!$G:$G,1,0)),"NO ISRC-CATALOG ID pair MATCH in Release_Track" )</f>
        <v/>
      </c>
      <c r="D477" s="121" t="str">
        <f t="array" ref="D477">ifs(and(isblank($A477),isblank($B477)),"", not(iserror(vlookup($A477&amp;$B477,'5) Release_Track'!$F:$F&amp;'5) Release_Track'!$G:$G,1,0))),vlookup($A477&amp;$B477,{'5) Release_Track'!$F:$F&amp;'5) Release_Track'!$G:$G,'5) Release_Track'!$I:$I},2,0), or(and(not(isblank($B477)),$B477=$B476,$A477&lt;&gt;$A476),and(not(isblank($A477)),$A477=$A476,$B477&lt;&gt;$B476)),"ID LISTS UNALIGNED",and($A477&lt;&gt;"",countif('5) Release_Track'!$F:$F,$A477)=0),"NO ISRC MATCH in Release_Track",and($B477&lt;&gt;"",countif('5) Release_Track'!$G:$G,$B477)=0),"NO CATALOG ID MATCH in Release_Track",iserror(vlookup($A477&amp;$B477,'5) Release_Track'!$F:$F&amp;'5) Release_Track'!$G:$G,1,0)),"NO ISRC-CATALOG ID pair MATCH in Release_Track" )</f>
        <v/>
      </c>
      <c r="E477" s="125" t="str">
        <f t="array" ref="E477">ifs(and(isblank($A477),isblank($B477)),"", not(iserror(vlookup($A477&amp;$B477,'5) Release_Track'!$F:$F&amp;'5) Release_Track'!$G:$G,1,0))),vlookup($A477&amp;$B477,{'5) Release_Track'!$F:$F&amp;'5) Release_Track'!$G:$G,'5) Release_Track'!$J:$J},2,0), or(and(not(isblank($B477)),$B477=$B476,$A477&lt;&gt;$A476),and(not(isblank($A477)),$A477=$A476,$B477&lt;&gt;$B476)),"ID LISTS UNALIGNED",and($A477&lt;&gt;"",countif('5) Release_Track'!$F:$F,$A477)=0),"NO ISRC MATCH in Release_Track",and($B477&lt;&gt;"",countif('5) Release_Track'!$G:$G,$B477)=0),"NO CATALOG ID MATCH in Release_Track",iserror(vlookup($A477&amp;$B477,'5) Release_Track'!$F:$F&amp;'5) Release_Track'!$G:$G,1,0)),"NO ISRC-CATALOG ID pair MATCH in Release_Track" )</f>
        <v/>
      </c>
      <c r="F477" s="122"/>
      <c r="G477" s="99"/>
      <c r="H477" s="178"/>
      <c r="I477" s="121" t="str">
        <f t="shared" si="6"/>
        <v/>
      </c>
      <c r="J477" s="99"/>
      <c r="K477" s="99"/>
    </row>
    <row r="478">
      <c r="B478" s="103"/>
      <c r="C478" s="121" t="str">
        <f t="array" ref="C478">ifs(and(isblank($A478),isblank($B478)),"", not(iserror(vlookup($A478&amp;$B478,'5) Release_Track'!$F:$F&amp;'5) Release_Track'!$G:$G,1,0))),vlookup($A478&amp;$B478,{'5) Release_Track'!$F:$F&amp;'5) Release_Track'!$G:$G,'5) Release_Track'!$H:$H},2,0), or(and(not(isblank($B478)),$B478=$B477,$A478&lt;&gt;$A477),and(not(isblank($A478)),$A478=$A477,$B478&lt;&gt;$B477)),"ID LISTS UNALIGNED",and($A478&lt;&gt;"",countif('5) Release_Track'!$F:$F,$A478)=0),"NO ISRC MATCH in Release_Track",and($B478&lt;&gt;"",countif('5) Release_Track'!$G:$G,$B478)=0),"NO CATALOG ID MATCH in Release_Track",iserror(vlookup($A478&amp;$B478,'5) Release_Track'!$F:$F&amp;'5) Release_Track'!$G:$G,1,0)),"NO ISRC-CATALOG ID pair MATCH in Release_Track" )</f>
        <v/>
      </c>
      <c r="D478" s="121" t="str">
        <f t="array" ref="D478">ifs(and(isblank($A478),isblank($B478)),"", not(iserror(vlookup($A478&amp;$B478,'5) Release_Track'!$F:$F&amp;'5) Release_Track'!$G:$G,1,0))),vlookup($A478&amp;$B478,{'5) Release_Track'!$F:$F&amp;'5) Release_Track'!$G:$G,'5) Release_Track'!$I:$I},2,0), or(and(not(isblank($B478)),$B478=$B477,$A478&lt;&gt;$A477),and(not(isblank($A478)),$A478=$A477,$B478&lt;&gt;$B477)),"ID LISTS UNALIGNED",and($A478&lt;&gt;"",countif('5) Release_Track'!$F:$F,$A478)=0),"NO ISRC MATCH in Release_Track",and($B478&lt;&gt;"",countif('5) Release_Track'!$G:$G,$B478)=0),"NO CATALOG ID MATCH in Release_Track",iserror(vlookup($A478&amp;$B478,'5) Release_Track'!$F:$F&amp;'5) Release_Track'!$G:$G,1,0)),"NO ISRC-CATALOG ID pair MATCH in Release_Track" )</f>
        <v/>
      </c>
      <c r="E478" s="125" t="str">
        <f t="array" ref="E478">ifs(and(isblank($A478),isblank($B478)),"", not(iserror(vlookup($A478&amp;$B478,'5) Release_Track'!$F:$F&amp;'5) Release_Track'!$G:$G,1,0))),vlookup($A478&amp;$B478,{'5) Release_Track'!$F:$F&amp;'5) Release_Track'!$G:$G,'5) Release_Track'!$J:$J},2,0), or(and(not(isblank($B478)),$B478=$B477,$A478&lt;&gt;$A477),and(not(isblank($A478)),$A478=$A477,$B478&lt;&gt;$B477)),"ID LISTS UNALIGNED",and($A478&lt;&gt;"",countif('5) Release_Track'!$F:$F,$A478)=0),"NO ISRC MATCH in Release_Track",and($B478&lt;&gt;"",countif('5) Release_Track'!$G:$G,$B478)=0),"NO CATALOG ID MATCH in Release_Track",iserror(vlookup($A478&amp;$B478,'5) Release_Track'!$F:$F&amp;'5) Release_Track'!$G:$G,1,0)),"NO ISRC-CATALOG ID pair MATCH in Release_Track" )</f>
        <v/>
      </c>
      <c r="F478" s="122"/>
      <c r="G478" s="99"/>
      <c r="H478" s="178"/>
      <c r="I478" s="121" t="str">
        <f t="shared" si="6"/>
        <v/>
      </c>
      <c r="J478" s="99"/>
      <c r="K478" s="99"/>
    </row>
    <row r="479">
      <c r="B479" s="103"/>
      <c r="C479" s="121" t="str">
        <f t="array" ref="C479">ifs(and(isblank($A479),isblank($B479)),"", not(iserror(vlookup($A479&amp;$B479,'5) Release_Track'!$F:$F&amp;'5) Release_Track'!$G:$G,1,0))),vlookup($A479&amp;$B479,{'5) Release_Track'!$F:$F&amp;'5) Release_Track'!$G:$G,'5) Release_Track'!$H:$H},2,0), or(and(not(isblank($B479)),$B479=$B478,$A479&lt;&gt;$A478),and(not(isblank($A479)),$A479=$A478,$B479&lt;&gt;$B478)),"ID LISTS UNALIGNED",and($A479&lt;&gt;"",countif('5) Release_Track'!$F:$F,$A479)=0),"NO ISRC MATCH in Release_Track",and($B479&lt;&gt;"",countif('5) Release_Track'!$G:$G,$B479)=0),"NO CATALOG ID MATCH in Release_Track",iserror(vlookup($A479&amp;$B479,'5) Release_Track'!$F:$F&amp;'5) Release_Track'!$G:$G,1,0)),"NO ISRC-CATALOG ID pair MATCH in Release_Track" )</f>
        <v/>
      </c>
      <c r="D479" s="121" t="str">
        <f t="array" ref="D479">ifs(and(isblank($A479),isblank($B479)),"", not(iserror(vlookup($A479&amp;$B479,'5) Release_Track'!$F:$F&amp;'5) Release_Track'!$G:$G,1,0))),vlookup($A479&amp;$B479,{'5) Release_Track'!$F:$F&amp;'5) Release_Track'!$G:$G,'5) Release_Track'!$I:$I},2,0), or(and(not(isblank($B479)),$B479=$B478,$A479&lt;&gt;$A478),and(not(isblank($A479)),$A479=$A478,$B479&lt;&gt;$B478)),"ID LISTS UNALIGNED",and($A479&lt;&gt;"",countif('5) Release_Track'!$F:$F,$A479)=0),"NO ISRC MATCH in Release_Track",and($B479&lt;&gt;"",countif('5) Release_Track'!$G:$G,$B479)=0),"NO CATALOG ID MATCH in Release_Track",iserror(vlookup($A479&amp;$B479,'5) Release_Track'!$F:$F&amp;'5) Release_Track'!$G:$G,1,0)),"NO ISRC-CATALOG ID pair MATCH in Release_Track" )</f>
        <v/>
      </c>
      <c r="E479" s="125" t="str">
        <f t="array" ref="E479">ifs(and(isblank($A479),isblank($B479)),"", not(iserror(vlookup($A479&amp;$B479,'5) Release_Track'!$F:$F&amp;'5) Release_Track'!$G:$G,1,0))),vlookup($A479&amp;$B479,{'5) Release_Track'!$F:$F&amp;'5) Release_Track'!$G:$G,'5) Release_Track'!$J:$J},2,0), or(and(not(isblank($B479)),$B479=$B478,$A479&lt;&gt;$A478),and(not(isblank($A479)),$A479=$A478,$B479&lt;&gt;$B478)),"ID LISTS UNALIGNED",and($A479&lt;&gt;"",countif('5) Release_Track'!$F:$F,$A479)=0),"NO ISRC MATCH in Release_Track",and($B479&lt;&gt;"",countif('5) Release_Track'!$G:$G,$B479)=0),"NO CATALOG ID MATCH in Release_Track",iserror(vlookup($A479&amp;$B479,'5) Release_Track'!$F:$F&amp;'5) Release_Track'!$G:$G,1,0)),"NO ISRC-CATALOG ID pair MATCH in Release_Track" )</f>
        <v/>
      </c>
      <c r="F479" s="122"/>
      <c r="G479" s="99"/>
      <c r="H479" s="178"/>
      <c r="I479" s="121" t="str">
        <f t="shared" si="6"/>
        <v/>
      </c>
      <c r="J479" s="99"/>
      <c r="K479" s="99"/>
    </row>
    <row r="480">
      <c r="B480" s="103"/>
      <c r="C480" s="121" t="str">
        <f t="array" ref="C480">ifs(and(isblank($A480),isblank($B480)),"", not(iserror(vlookup($A480&amp;$B480,'5) Release_Track'!$F:$F&amp;'5) Release_Track'!$G:$G,1,0))),vlookup($A480&amp;$B480,{'5) Release_Track'!$F:$F&amp;'5) Release_Track'!$G:$G,'5) Release_Track'!$H:$H},2,0), or(and(not(isblank($B480)),$B480=$B479,$A480&lt;&gt;$A479),and(not(isblank($A480)),$A480=$A479,$B480&lt;&gt;$B479)),"ID LISTS UNALIGNED",and($A480&lt;&gt;"",countif('5) Release_Track'!$F:$F,$A480)=0),"NO ISRC MATCH in Release_Track",and($B480&lt;&gt;"",countif('5) Release_Track'!$G:$G,$B480)=0),"NO CATALOG ID MATCH in Release_Track",iserror(vlookup($A480&amp;$B480,'5) Release_Track'!$F:$F&amp;'5) Release_Track'!$G:$G,1,0)),"NO ISRC-CATALOG ID pair MATCH in Release_Track" )</f>
        <v/>
      </c>
      <c r="D480" s="121" t="str">
        <f t="array" ref="D480">ifs(and(isblank($A480),isblank($B480)),"", not(iserror(vlookup($A480&amp;$B480,'5) Release_Track'!$F:$F&amp;'5) Release_Track'!$G:$G,1,0))),vlookup($A480&amp;$B480,{'5) Release_Track'!$F:$F&amp;'5) Release_Track'!$G:$G,'5) Release_Track'!$I:$I},2,0), or(and(not(isblank($B480)),$B480=$B479,$A480&lt;&gt;$A479),and(not(isblank($A480)),$A480=$A479,$B480&lt;&gt;$B479)),"ID LISTS UNALIGNED",and($A480&lt;&gt;"",countif('5) Release_Track'!$F:$F,$A480)=0),"NO ISRC MATCH in Release_Track",and($B480&lt;&gt;"",countif('5) Release_Track'!$G:$G,$B480)=0),"NO CATALOG ID MATCH in Release_Track",iserror(vlookup($A480&amp;$B480,'5) Release_Track'!$F:$F&amp;'5) Release_Track'!$G:$G,1,0)),"NO ISRC-CATALOG ID pair MATCH in Release_Track" )</f>
        <v/>
      </c>
      <c r="E480" s="125" t="str">
        <f t="array" ref="E480">ifs(and(isblank($A480),isblank($B480)),"", not(iserror(vlookup($A480&amp;$B480,'5) Release_Track'!$F:$F&amp;'5) Release_Track'!$G:$G,1,0))),vlookup($A480&amp;$B480,{'5) Release_Track'!$F:$F&amp;'5) Release_Track'!$G:$G,'5) Release_Track'!$J:$J},2,0), or(and(not(isblank($B480)),$B480=$B479,$A480&lt;&gt;$A479),and(not(isblank($A480)),$A480=$A479,$B480&lt;&gt;$B479)),"ID LISTS UNALIGNED",and($A480&lt;&gt;"",countif('5) Release_Track'!$F:$F,$A480)=0),"NO ISRC MATCH in Release_Track",and($B480&lt;&gt;"",countif('5) Release_Track'!$G:$G,$B480)=0),"NO CATALOG ID MATCH in Release_Track",iserror(vlookup($A480&amp;$B480,'5) Release_Track'!$F:$F&amp;'5) Release_Track'!$G:$G,1,0)),"NO ISRC-CATALOG ID pair MATCH in Release_Track" )</f>
        <v/>
      </c>
      <c r="F480" s="122"/>
      <c r="G480" s="99"/>
      <c r="H480" s="178"/>
      <c r="I480" s="121" t="str">
        <f t="shared" si="6"/>
        <v/>
      </c>
      <c r="J480" s="99"/>
      <c r="K480" s="99"/>
    </row>
    <row r="481">
      <c r="B481" s="103"/>
      <c r="C481" s="121" t="str">
        <f t="array" ref="C481">ifs(and(isblank($A481),isblank($B481)),"", not(iserror(vlookup($A481&amp;$B481,'5) Release_Track'!$F:$F&amp;'5) Release_Track'!$G:$G,1,0))),vlookup($A481&amp;$B481,{'5) Release_Track'!$F:$F&amp;'5) Release_Track'!$G:$G,'5) Release_Track'!$H:$H},2,0), or(and(not(isblank($B481)),$B481=$B480,$A481&lt;&gt;$A480),and(not(isblank($A481)),$A481=$A480,$B481&lt;&gt;$B480)),"ID LISTS UNALIGNED",and($A481&lt;&gt;"",countif('5) Release_Track'!$F:$F,$A481)=0),"NO ISRC MATCH in Release_Track",and($B481&lt;&gt;"",countif('5) Release_Track'!$G:$G,$B481)=0),"NO CATALOG ID MATCH in Release_Track",iserror(vlookup($A481&amp;$B481,'5) Release_Track'!$F:$F&amp;'5) Release_Track'!$G:$G,1,0)),"NO ISRC-CATALOG ID pair MATCH in Release_Track" )</f>
        <v/>
      </c>
      <c r="D481" s="121" t="str">
        <f t="array" ref="D481">ifs(and(isblank($A481),isblank($B481)),"", not(iserror(vlookup($A481&amp;$B481,'5) Release_Track'!$F:$F&amp;'5) Release_Track'!$G:$G,1,0))),vlookup($A481&amp;$B481,{'5) Release_Track'!$F:$F&amp;'5) Release_Track'!$G:$G,'5) Release_Track'!$I:$I},2,0), or(and(not(isblank($B481)),$B481=$B480,$A481&lt;&gt;$A480),and(not(isblank($A481)),$A481=$A480,$B481&lt;&gt;$B480)),"ID LISTS UNALIGNED",and($A481&lt;&gt;"",countif('5) Release_Track'!$F:$F,$A481)=0),"NO ISRC MATCH in Release_Track",and($B481&lt;&gt;"",countif('5) Release_Track'!$G:$G,$B481)=0),"NO CATALOG ID MATCH in Release_Track",iserror(vlookup($A481&amp;$B481,'5) Release_Track'!$F:$F&amp;'5) Release_Track'!$G:$G,1,0)),"NO ISRC-CATALOG ID pair MATCH in Release_Track" )</f>
        <v/>
      </c>
      <c r="E481" s="125" t="str">
        <f t="array" ref="E481">ifs(and(isblank($A481),isblank($B481)),"", not(iserror(vlookup($A481&amp;$B481,'5) Release_Track'!$F:$F&amp;'5) Release_Track'!$G:$G,1,0))),vlookup($A481&amp;$B481,{'5) Release_Track'!$F:$F&amp;'5) Release_Track'!$G:$G,'5) Release_Track'!$J:$J},2,0), or(and(not(isblank($B481)),$B481=$B480,$A481&lt;&gt;$A480),and(not(isblank($A481)),$A481=$A480,$B481&lt;&gt;$B480)),"ID LISTS UNALIGNED",and($A481&lt;&gt;"",countif('5) Release_Track'!$F:$F,$A481)=0),"NO ISRC MATCH in Release_Track",and($B481&lt;&gt;"",countif('5) Release_Track'!$G:$G,$B481)=0),"NO CATALOG ID MATCH in Release_Track",iserror(vlookup($A481&amp;$B481,'5) Release_Track'!$F:$F&amp;'5) Release_Track'!$G:$G,1,0)),"NO ISRC-CATALOG ID pair MATCH in Release_Track" )</f>
        <v/>
      </c>
      <c r="F481" s="122"/>
      <c r="G481" s="99"/>
      <c r="H481" s="178"/>
      <c r="I481" s="121" t="str">
        <f t="shared" si="6"/>
        <v/>
      </c>
      <c r="J481" s="99"/>
      <c r="K481" s="99"/>
    </row>
    <row r="482">
      <c r="B482" s="103"/>
      <c r="C482" s="121" t="str">
        <f t="array" ref="C482">ifs(and(isblank($A482),isblank($B482)),"", not(iserror(vlookup($A482&amp;$B482,'5) Release_Track'!$F:$F&amp;'5) Release_Track'!$G:$G,1,0))),vlookup($A482&amp;$B482,{'5) Release_Track'!$F:$F&amp;'5) Release_Track'!$G:$G,'5) Release_Track'!$H:$H},2,0), or(and(not(isblank($B482)),$B482=$B481,$A482&lt;&gt;$A481),and(not(isblank($A482)),$A482=$A481,$B482&lt;&gt;$B481)),"ID LISTS UNALIGNED",and($A482&lt;&gt;"",countif('5) Release_Track'!$F:$F,$A482)=0),"NO ISRC MATCH in Release_Track",and($B482&lt;&gt;"",countif('5) Release_Track'!$G:$G,$B482)=0),"NO CATALOG ID MATCH in Release_Track",iserror(vlookup($A482&amp;$B482,'5) Release_Track'!$F:$F&amp;'5) Release_Track'!$G:$G,1,0)),"NO ISRC-CATALOG ID pair MATCH in Release_Track" )</f>
        <v/>
      </c>
      <c r="D482" s="121" t="str">
        <f t="array" ref="D482">ifs(and(isblank($A482),isblank($B482)),"", not(iserror(vlookup($A482&amp;$B482,'5) Release_Track'!$F:$F&amp;'5) Release_Track'!$G:$G,1,0))),vlookup($A482&amp;$B482,{'5) Release_Track'!$F:$F&amp;'5) Release_Track'!$G:$G,'5) Release_Track'!$I:$I},2,0), or(and(not(isblank($B482)),$B482=$B481,$A482&lt;&gt;$A481),and(not(isblank($A482)),$A482=$A481,$B482&lt;&gt;$B481)),"ID LISTS UNALIGNED",and($A482&lt;&gt;"",countif('5) Release_Track'!$F:$F,$A482)=0),"NO ISRC MATCH in Release_Track",and($B482&lt;&gt;"",countif('5) Release_Track'!$G:$G,$B482)=0),"NO CATALOG ID MATCH in Release_Track",iserror(vlookup($A482&amp;$B482,'5) Release_Track'!$F:$F&amp;'5) Release_Track'!$G:$G,1,0)),"NO ISRC-CATALOG ID pair MATCH in Release_Track" )</f>
        <v/>
      </c>
      <c r="E482" s="125" t="str">
        <f t="array" ref="E482">ifs(and(isblank($A482),isblank($B482)),"", not(iserror(vlookup($A482&amp;$B482,'5) Release_Track'!$F:$F&amp;'5) Release_Track'!$G:$G,1,0))),vlookup($A482&amp;$B482,{'5) Release_Track'!$F:$F&amp;'5) Release_Track'!$G:$G,'5) Release_Track'!$J:$J},2,0), or(and(not(isblank($B482)),$B482=$B481,$A482&lt;&gt;$A481),and(not(isblank($A482)),$A482=$A481,$B482&lt;&gt;$B481)),"ID LISTS UNALIGNED",and($A482&lt;&gt;"",countif('5) Release_Track'!$F:$F,$A482)=0),"NO ISRC MATCH in Release_Track",and($B482&lt;&gt;"",countif('5) Release_Track'!$G:$G,$B482)=0),"NO CATALOG ID MATCH in Release_Track",iserror(vlookup($A482&amp;$B482,'5) Release_Track'!$F:$F&amp;'5) Release_Track'!$G:$G,1,0)),"NO ISRC-CATALOG ID pair MATCH in Release_Track" )</f>
        <v/>
      </c>
      <c r="F482" s="122"/>
      <c r="G482" s="99"/>
      <c r="H482" s="178"/>
      <c r="I482" s="121" t="str">
        <f t="shared" si="6"/>
        <v/>
      </c>
      <c r="J482" s="99"/>
      <c r="K482" s="99"/>
    </row>
    <row r="483">
      <c r="B483" s="103"/>
      <c r="C483" s="121" t="str">
        <f t="array" ref="C483">ifs(and(isblank($A483),isblank($B483)),"", not(iserror(vlookup($A483&amp;$B483,'5) Release_Track'!$F:$F&amp;'5) Release_Track'!$G:$G,1,0))),vlookup($A483&amp;$B483,{'5) Release_Track'!$F:$F&amp;'5) Release_Track'!$G:$G,'5) Release_Track'!$H:$H},2,0), or(and(not(isblank($B483)),$B483=$B482,$A483&lt;&gt;$A482),and(not(isblank($A483)),$A483=$A482,$B483&lt;&gt;$B482)),"ID LISTS UNALIGNED",and($A483&lt;&gt;"",countif('5) Release_Track'!$F:$F,$A483)=0),"NO ISRC MATCH in Release_Track",and($B483&lt;&gt;"",countif('5) Release_Track'!$G:$G,$B483)=0),"NO CATALOG ID MATCH in Release_Track",iserror(vlookup($A483&amp;$B483,'5) Release_Track'!$F:$F&amp;'5) Release_Track'!$G:$G,1,0)),"NO ISRC-CATALOG ID pair MATCH in Release_Track" )</f>
        <v/>
      </c>
      <c r="D483" s="121" t="str">
        <f t="array" ref="D483">ifs(and(isblank($A483),isblank($B483)),"", not(iserror(vlookup($A483&amp;$B483,'5) Release_Track'!$F:$F&amp;'5) Release_Track'!$G:$G,1,0))),vlookup($A483&amp;$B483,{'5) Release_Track'!$F:$F&amp;'5) Release_Track'!$G:$G,'5) Release_Track'!$I:$I},2,0), or(and(not(isblank($B483)),$B483=$B482,$A483&lt;&gt;$A482),and(not(isblank($A483)),$A483=$A482,$B483&lt;&gt;$B482)),"ID LISTS UNALIGNED",and($A483&lt;&gt;"",countif('5) Release_Track'!$F:$F,$A483)=0),"NO ISRC MATCH in Release_Track",and($B483&lt;&gt;"",countif('5) Release_Track'!$G:$G,$B483)=0),"NO CATALOG ID MATCH in Release_Track",iserror(vlookup($A483&amp;$B483,'5) Release_Track'!$F:$F&amp;'5) Release_Track'!$G:$G,1,0)),"NO ISRC-CATALOG ID pair MATCH in Release_Track" )</f>
        <v/>
      </c>
      <c r="E483" s="125" t="str">
        <f t="array" ref="E483">ifs(and(isblank($A483),isblank($B483)),"", not(iserror(vlookup($A483&amp;$B483,'5) Release_Track'!$F:$F&amp;'5) Release_Track'!$G:$G,1,0))),vlookup($A483&amp;$B483,{'5) Release_Track'!$F:$F&amp;'5) Release_Track'!$G:$G,'5) Release_Track'!$J:$J},2,0), or(and(not(isblank($B483)),$B483=$B482,$A483&lt;&gt;$A482),and(not(isblank($A483)),$A483=$A482,$B483&lt;&gt;$B482)),"ID LISTS UNALIGNED",and($A483&lt;&gt;"",countif('5) Release_Track'!$F:$F,$A483)=0),"NO ISRC MATCH in Release_Track",and($B483&lt;&gt;"",countif('5) Release_Track'!$G:$G,$B483)=0),"NO CATALOG ID MATCH in Release_Track",iserror(vlookup($A483&amp;$B483,'5) Release_Track'!$F:$F&amp;'5) Release_Track'!$G:$G,1,0)),"NO ISRC-CATALOG ID pair MATCH in Release_Track" )</f>
        <v/>
      </c>
      <c r="F483" s="122"/>
      <c r="G483" s="99"/>
      <c r="H483" s="178"/>
      <c r="I483" s="121" t="str">
        <f t="shared" si="6"/>
        <v/>
      </c>
      <c r="J483" s="99"/>
      <c r="K483" s="99"/>
    </row>
    <row r="484">
      <c r="B484" s="103"/>
      <c r="C484" s="121" t="str">
        <f t="array" ref="C484">ifs(and(isblank($A484),isblank($B484)),"", not(iserror(vlookup($A484&amp;$B484,'5) Release_Track'!$F:$F&amp;'5) Release_Track'!$G:$G,1,0))),vlookup($A484&amp;$B484,{'5) Release_Track'!$F:$F&amp;'5) Release_Track'!$G:$G,'5) Release_Track'!$H:$H},2,0), or(and(not(isblank($B484)),$B484=$B483,$A484&lt;&gt;$A483),and(not(isblank($A484)),$A484=$A483,$B484&lt;&gt;$B483)),"ID LISTS UNALIGNED",and($A484&lt;&gt;"",countif('5) Release_Track'!$F:$F,$A484)=0),"NO ISRC MATCH in Release_Track",and($B484&lt;&gt;"",countif('5) Release_Track'!$G:$G,$B484)=0),"NO CATALOG ID MATCH in Release_Track",iserror(vlookup($A484&amp;$B484,'5) Release_Track'!$F:$F&amp;'5) Release_Track'!$G:$G,1,0)),"NO ISRC-CATALOG ID pair MATCH in Release_Track" )</f>
        <v/>
      </c>
      <c r="D484" s="121" t="str">
        <f t="array" ref="D484">ifs(and(isblank($A484),isblank($B484)),"", not(iserror(vlookup($A484&amp;$B484,'5) Release_Track'!$F:$F&amp;'5) Release_Track'!$G:$G,1,0))),vlookup($A484&amp;$B484,{'5) Release_Track'!$F:$F&amp;'5) Release_Track'!$G:$G,'5) Release_Track'!$I:$I},2,0), or(and(not(isblank($B484)),$B484=$B483,$A484&lt;&gt;$A483),and(not(isblank($A484)),$A484=$A483,$B484&lt;&gt;$B483)),"ID LISTS UNALIGNED",and($A484&lt;&gt;"",countif('5) Release_Track'!$F:$F,$A484)=0),"NO ISRC MATCH in Release_Track",and($B484&lt;&gt;"",countif('5) Release_Track'!$G:$G,$B484)=0),"NO CATALOG ID MATCH in Release_Track",iserror(vlookup($A484&amp;$B484,'5) Release_Track'!$F:$F&amp;'5) Release_Track'!$G:$G,1,0)),"NO ISRC-CATALOG ID pair MATCH in Release_Track" )</f>
        <v/>
      </c>
      <c r="E484" s="125" t="str">
        <f t="array" ref="E484">ifs(and(isblank($A484),isblank($B484)),"", not(iserror(vlookup($A484&amp;$B484,'5) Release_Track'!$F:$F&amp;'5) Release_Track'!$G:$G,1,0))),vlookup($A484&amp;$B484,{'5) Release_Track'!$F:$F&amp;'5) Release_Track'!$G:$G,'5) Release_Track'!$J:$J},2,0), or(and(not(isblank($B484)),$B484=$B483,$A484&lt;&gt;$A483),and(not(isblank($A484)),$A484=$A483,$B484&lt;&gt;$B483)),"ID LISTS UNALIGNED",and($A484&lt;&gt;"",countif('5) Release_Track'!$F:$F,$A484)=0),"NO ISRC MATCH in Release_Track",and($B484&lt;&gt;"",countif('5) Release_Track'!$G:$G,$B484)=0),"NO CATALOG ID MATCH in Release_Track",iserror(vlookup($A484&amp;$B484,'5) Release_Track'!$F:$F&amp;'5) Release_Track'!$G:$G,1,0)),"NO ISRC-CATALOG ID pair MATCH in Release_Track" )</f>
        <v/>
      </c>
      <c r="F484" s="122"/>
      <c r="G484" s="99"/>
      <c r="H484" s="178"/>
      <c r="I484" s="121" t="str">
        <f t="shared" si="6"/>
        <v/>
      </c>
      <c r="J484" s="99"/>
      <c r="K484" s="99"/>
    </row>
    <row r="485">
      <c r="B485" s="103"/>
      <c r="C485" s="121" t="str">
        <f t="array" ref="C485">ifs(and(isblank($A485),isblank($B485)),"", not(iserror(vlookup($A485&amp;$B485,'5) Release_Track'!$F:$F&amp;'5) Release_Track'!$G:$G,1,0))),vlookup($A485&amp;$B485,{'5) Release_Track'!$F:$F&amp;'5) Release_Track'!$G:$G,'5) Release_Track'!$H:$H},2,0), or(and(not(isblank($B485)),$B485=$B484,$A485&lt;&gt;$A484),and(not(isblank($A485)),$A485=$A484,$B485&lt;&gt;$B484)),"ID LISTS UNALIGNED",and($A485&lt;&gt;"",countif('5) Release_Track'!$F:$F,$A485)=0),"NO ISRC MATCH in Release_Track",and($B485&lt;&gt;"",countif('5) Release_Track'!$G:$G,$B485)=0),"NO CATALOG ID MATCH in Release_Track",iserror(vlookup($A485&amp;$B485,'5) Release_Track'!$F:$F&amp;'5) Release_Track'!$G:$G,1,0)),"NO ISRC-CATALOG ID pair MATCH in Release_Track" )</f>
        <v/>
      </c>
      <c r="D485" s="121" t="str">
        <f t="array" ref="D485">ifs(and(isblank($A485),isblank($B485)),"", not(iserror(vlookup($A485&amp;$B485,'5) Release_Track'!$F:$F&amp;'5) Release_Track'!$G:$G,1,0))),vlookup($A485&amp;$B485,{'5) Release_Track'!$F:$F&amp;'5) Release_Track'!$G:$G,'5) Release_Track'!$I:$I},2,0), or(and(not(isblank($B485)),$B485=$B484,$A485&lt;&gt;$A484),and(not(isblank($A485)),$A485=$A484,$B485&lt;&gt;$B484)),"ID LISTS UNALIGNED",and($A485&lt;&gt;"",countif('5) Release_Track'!$F:$F,$A485)=0),"NO ISRC MATCH in Release_Track",and($B485&lt;&gt;"",countif('5) Release_Track'!$G:$G,$B485)=0),"NO CATALOG ID MATCH in Release_Track",iserror(vlookup($A485&amp;$B485,'5) Release_Track'!$F:$F&amp;'5) Release_Track'!$G:$G,1,0)),"NO ISRC-CATALOG ID pair MATCH in Release_Track" )</f>
        <v/>
      </c>
      <c r="E485" s="125" t="str">
        <f t="array" ref="E485">ifs(and(isblank($A485),isblank($B485)),"", not(iserror(vlookup($A485&amp;$B485,'5) Release_Track'!$F:$F&amp;'5) Release_Track'!$G:$G,1,0))),vlookup($A485&amp;$B485,{'5) Release_Track'!$F:$F&amp;'5) Release_Track'!$G:$G,'5) Release_Track'!$J:$J},2,0), or(and(not(isblank($B485)),$B485=$B484,$A485&lt;&gt;$A484),and(not(isblank($A485)),$A485=$A484,$B485&lt;&gt;$B484)),"ID LISTS UNALIGNED",and($A485&lt;&gt;"",countif('5) Release_Track'!$F:$F,$A485)=0),"NO ISRC MATCH in Release_Track",and($B485&lt;&gt;"",countif('5) Release_Track'!$G:$G,$B485)=0),"NO CATALOG ID MATCH in Release_Track",iserror(vlookup($A485&amp;$B485,'5) Release_Track'!$F:$F&amp;'5) Release_Track'!$G:$G,1,0)),"NO ISRC-CATALOG ID pair MATCH in Release_Track" )</f>
        <v/>
      </c>
      <c r="F485" s="122"/>
      <c r="G485" s="99"/>
      <c r="H485" s="178"/>
      <c r="I485" s="121" t="str">
        <f t="shared" si="6"/>
        <v/>
      </c>
      <c r="J485" s="99"/>
      <c r="K485" s="99"/>
    </row>
    <row r="486">
      <c r="B486" s="103"/>
      <c r="C486" s="121" t="str">
        <f t="array" ref="C486">ifs(and(isblank($A486),isblank($B486)),"", not(iserror(vlookup($A486&amp;$B486,'5) Release_Track'!$F:$F&amp;'5) Release_Track'!$G:$G,1,0))),vlookup($A486&amp;$B486,{'5) Release_Track'!$F:$F&amp;'5) Release_Track'!$G:$G,'5) Release_Track'!$H:$H},2,0), or(and(not(isblank($B486)),$B486=$B485,$A486&lt;&gt;$A485),and(not(isblank($A486)),$A486=$A485,$B486&lt;&gt;$B485)),"ID LISTS UNALIGNED",and($A486&lt;&gt;"",countif('5) Release_Track'!$F:$F,$A486)=0),"NO ISRC MATCH in Release_Track",and($B486&lt;&gt;"",countif('5) Release_Track'!$G:$G,$B486)=0),"NO CATALOG ID MATCH in Release_Track",iserror(vlookup($A486&amp;$B486,'5) Release_Track'!$F:$F&amp;'5) Release_Track'!$G:$G,1,0)),"NO ISRC-CATALOG ID pair MATCH in Release_Track" )</f>
        <v/>
      </c>
      <c r="D486" s="121" t="str">
        <f t="array" ref="D486">ifs(and(isblank($A486),isblank($B486)),"", not(iserror(vlookup($A486&amp;$B486,'5) Release_Track'!$F:$F&amp;'5) Release_Track'!$G:$G,1,0))),vlookup($A486&amp;$B486,{'5) Release_Track'!$F:$F&amp;'5) Release_Track'!$G:$G,'5) Release_Track'!$I:$I},2,0), or(and(not(isblank($B486)),$B486=$B485,$A486&lt;&gt;$A485),and(not(isblank($A486)),$A486=$A485,$B486&lt;&gt;$B485)),"ID LISTS UNALIGNED",and($A486&lt;&gt;"",countif('5) Release_Track'!$F:$F,$A486)=0),"NO ISRC MATCH in Release_Track",and($B486&lt;&gt;"",countif('5) Release_Track'!$G:$G,$B486)=0),"NO CATALOG ID MATCH in Release_Track",iserror(vlookup($A486&amp;$B486,'5) Release_Track'!$F:$F&amp;'5) Release_Track'!$G:$G,1,0)),"NO ISRC-CATALOG ID pair MATCH in Release_Track" )</f>
        <v/>
      </c>
      <c r="E486" s="125" t="str">
        <f t="array" ref="E486">ifs(and(isblank($A486),isblank($B486)),"", not(iserror(vlookup($A486&amp;$B486,'5) Release_Track'!$F:$F&amp;'5) Release_Track'!$G:$G,1,0))),vlookup($A486&amp;$B486,{'5) Release_Track'!$F:$F&amp;'5) Release_Track'!$G:$G,'5) Release_Track'!$J:$J},2,0), or(and(not(isblank($B486)),$B486=$B485,$A486&lt;&gt;$A485),and(not(isblank($A486)),$A486=$A485,$B486&lt;&gt;$B485)),"ID LISTS UNALIGNED",and($A486&lt;&gt;"",countif('5) Release_Track'!$F:$F,$A486)=0),"NO ISRC MATCH in Release_Track",and($B486&lt;&gt;"",countif('5) Release_Track'!$G:$G,$B486)=0),"NO CATALOG ID MATCH in Release_Track",iserror(vlookup($A486&amp;$B486,'5) Release_Track'!$F:$F&amp;'5) Release_Track'!$G:$G,1,0)),"NO ISRC-CATALOG ID pair MATCH in Release_Track" )</f>
        <v/>
      </c>
      <c r="F486" s="122"/>
      <c r="G486" s="99"/>
      <c r="H486" s="178"/>
      <c r="I486" s="121" t="str">
        <f t="shared" si="6"/>
        <v/>
      </c>
      <c r="J486" s="99"/>
      <c r="K486" s="99"/>
    </row>
    <row r="487">
      <c r="B487" s="103"/>
      <c r="C487" s="121" t="str">
        <f t="array" ref="C487">ifs(and(isblank($A487),isblank($B487)),"", not(iserror(vlookup($A487&amp;$B487,'5) Release_Track'!$F:$F&amp;'5) Release_Track'!$G:$G,1,0))),vlookup($A487&amp;$B487,{'5) Release_Track'!$F:$F&amp;'5) Release_Track'!$G:$G,'5) Release_Track'!$H:$H},2,0), or(and(not(isblank($B487)),$B487=$B486,$A487&lt;&gt;$A486),and(not(isblank($A487)),$A487=$A486,$B487&lt;&gt;$B486)),"ID LISTS UNALIGNED",and($A487&lt;&gt;"",countif('5) Release_Track'!$F:$F,$A487)=0),"NO ISRC MATCH in Release_Track",and($B487&lt;&gt;"",countif('5) Release_Track'!$G:$G,$B487)=0),"NO CATALOG ID MATCH in Release_Track",iserror(vlookup($A487&amp;$B487,'5) Release_Track'!$F:$F&amp;'5) Release_Track'!$G:$G,1,0)),"NO ISRC-CATALOG ID pair MATCH in Release_Track" )</f>
        <v/>
      </c>
      <c r="D487" s="121" t="str">
        <f t="array" ref="D487">ifs(and(isblank($A487),isblank($B487)),"", not(iserror(vlookup($A487&amp;$B487,'5) Release_Track'!$F:$F&amp;'5) Release_Track'!$G:$G,1,0))),vlookup($A487&amp;$B487,{'5) Release_Track'!$F:$F&amp;'5) Release_Track'!$G:$G,'5) Release_Track'!$I:$I},2,0), or(and(not(isblank($B487)),$B487=$B486,$A487&lt;&gt;$A486),and(not(isblank($A487)),$A487=$A486,$B487&lt;&gt;$B486)),"ID LISTS UNALIGNED",and($A487&lt;&gt;"",countif('5) Release_Track'!$F:$F,$A487)=0),"NO ISRC MATCH in Release_Track",and($B487&lt;&gt;"",countif('5) Release_Track'!$G:$G,$B487)=0),"NO CATALOG ID MATCH in Release_Track",iserror(vlookup($A487&amp;$B487,'5) Release_Track'!$F:$F&amp;'5) Release_Track'!$G:$G,1,0)),"NO ISRC-CATALOG ID pair MATCH in Release_Track" )</f>
        <v/>
      </c>
      <c r="E487" s="125" t="str">
        <f t="array" ref="E487">ifs(and(isblank($A487),isblank($B487)),"", not(iserror(vlookup($A487&amp;$B487,'5) Release_Track'!$F:$F&amp;'5) Release_Track'!$G:$G,1,0))),vlookup($A487&amp;$B487,{'5) Release_Track'!$F:$F&amp;'5) Release_Track'!$G:$G,'5) Release_Track'!$J:$J},2,0), or(and(not(isblank($B487)),$B487=$B486,$A487&lt;&gt;$A486),and(not(isblank($A487)),$A487=$A486,$B487&lt;&gt;$B486)),"ID LISTS UNALIGNED",and($A487&lt;&gt;"",countif('5) Release_Track'!$F:$F,$A487)=0),"NO ISRC MATCH in Release_Track",and($B487&lt;&gt;"",countif('5) Release_Track'!$G:$G,$B487)=0),"NO CATALOG ID MATCH in Release_Track",iserror(vlookup($A487&amp;$B487,'5) Release_Track'!$F:$F&amp;'5) Release_Track'!$G:$G,1,0)),"NO ISRC-CATALOG ID pair MATCH in Release_Track" )</f>
        <v/>
      </c>
      <c r="F487" s="122"/>
      <c r="G487" s="99"/>
      <c r="H487" s="178"/>
      <c r="I487" s="121" t="str">
        <f t="shared" si="6"/>
        <v/>
      </c>
      <c r="J487" s="99"/>
      <c r="K487" s="99"/>
    </row>
    <row r="488">
      <c r="B488" s="103"/>
      <c r="C488" s="121" t="str">
        <f t="array" ref="C488">ifs(and(isblank($A488),isblank($B488)),"", not(iserror(vlookup($A488&amp;$B488,'5) Release_Track'!$F:$F&amp;'5) Release_Track'!$G:$G,1,0))),vlookup($A488&amp;$B488,{'5) Release_Track'!$F:$F&amp;'5) Release_Track'!$G:$G,'5) Release_Track'!$H:$H},2,0), or(and(not(isblank($B488)),$B488=$B487,$A488&lt;&gt;$A487),and(not(isblank($A488)),$A488=$A487,$B488&lt;&gt;$B487)),"ID LISTS UNALIGNED",and($A488&lt;&gt;"",countif('5) Release_Track'!$F:$F,$A488)=0),"NO ISRC MATCH in Release_Track",and($B488&lt;&gt;"",countif('5) Release_Track'!$G:$G,$B488)=0),"NO CATALOG ID MATCH in Release_Track",iserror(vlookup($A488&amp;$B488,'5) Release_Track'!$F:$F&amp;'5) Release_Track'!$G:$G,1,0)),"NO ISRC-CATALOG ID pair MATCH in Release_Track" )</f>
        <v/>
      </c>
      <c r="D488" s="121" t="str">
        <f t="array" ref="D488">ifs(and(isblank($A488),isblank($B488)),"", not(iserror(vlookup($A488&amp;$B488,'5) Release_Track'!$F:$F&amp;'5) Release_Track'!$G:$G,1,0))),vlookup($A488&amp;$B488,{'5) Release_Track'!$F:$F&amp;'5) Release_Track'!$G:$G,'5) Release_Track'!$I:$I},2,0), or(and(not(isblank($B488)),$B488=$B487,$A488&lt;&gt;$A487),and(not(isblank($A488)),$A488=$A487,$B488&lt;&gt;$B487)),"ID LISTS UNALIGNED",and($A488&lt;&gt;"",countif('5) Release_Track'!$F:$F,$A488)=0),"NO ISRC MATCH in Release_Track",and($B488&lt;&gt;"",countif('5) Release_Track'!$G:$G,$B488)=0),"NO CATALOG ID MATCH in Release_Track",iserror(vlookup($A488&amp;$B488,'5) Release_Track'!$F:$F&amp;'5) Release_Track'!$G:$G,1,0)),"NO ISRC-CATALOG ID pair MATCH in Release_Track" )</f>
        <v/>
      </c>
      <c r="E488" s="125" t="str">
        <f t="array" ref="E488">ifs(and(isblank($A488),isblank($B488)),"", not(iserror(vlookup($A488&amp;$B488,'5) Release_Track'!$F:$F&amp;'5) Release_Track'!$G:$G,1,0))),vlookup($A488&amp;$B488,{'5) Release_Track'!$F:$F&amp;'5) Release_Track'!$G:$G,'5) Release_Track'!$J:$J},2,0), or(and(not(isblank($B488)),$B488=$B487,$A488&lt;&gt;$A487),and(not(isblank($A488)),$A488=$A487,$B488&lt;&gt;$B487)),"ID LISTS UNALIGNED",and($A488&lt;&gt;"",countif('5) Release_Track'!$F:$F,$A488)=0),"NO ISRC MATCH in Release_Track",and($B488&lt;&gt;"",countif('5) Release_Track'!$G:$G,$B488)=0),"NO CATALOG ID MATCH in Release_Track",iserror(vlookup($A488&amp;$B488,'5) Release_Track'!$F:$F&amp;'5) Release_Track'!$G:$G,1,0)),"NO ISRC-CATALOG ID pair MATCH in Release_Track" )</f>
        <v/>
      </c>
      <c r="F488" s="122"/>
      <c r="G488" s="99"/>
      <c r="H488" s="178"/>
      <c r="I488" s="121" t="str">
        <f t="shared" si="6"/>
        <v/>
      </c>
      <c r="J488" s="99"/>
      <c r="K488" s="99"/>
    </row>
    <row r="489">
      <c r="B489" s="103"/>
      <c r="C489" s="121" t="str">
        <f t="array" ref="C489">ifs(and(isblank($A489),isblank($B489)),"", not(iserror(vlookup($A489&amp;$B489,'5) Release_Track'!$F:$F&amp;'5) Release_Track'!$G:$G,1,0))),vlookup($A489&amp;$B489,{'5) Release_Track'!$F:$F&amp;'5) Release_Track'!$G:$G,'5) Release_Track'!$H:$H},2,0), or(and(not(isblank($B489)),$B489=$B488,$A489&lt;&gt;$A488),and(not(isblank($A489)),$A489=$A488,$B489&lt;&gt;$B488)),"ID LISTS UNALIGNED",and($A489&lt;&gt;"",countif('5) Release_Track'!$F:$F,$A489)=0),"NO ISRC MATCH in Release_Track",and($B489&lt;&gt;"",countif('5) Release_Track'!$G:$G,$B489)=0),"NO CATALOG ID MATCH in Release_Track",iserror(vlookup($A489&amp;$B489,'5) Release_Track'!$F:$F&amp;'5) Release_Track'!$G:$G,1,0)),"NO ISRC-CATALOG ID pair MATCH in Release_Track" )</f>
        <v/>
      </c>
      <c r="D489" s="121" t="str">
        <f t="array" ref="D489">ifs(and(isblank($A489),isblank($B489)),"", not(iserror(vlookup($A489&amp;$B489,'5) Release_Track'!$F:$F&amp;'5) Release_Track'!$G:$G,1,0))),vlookup($A489&amp;$B489,{'5) Release_Track'!$F:$F&amp;'5) Release_Track'!$G:$G,'5) Release_Track'!$I:$I},2,0), or(and(not(isblank($B489)),$B489=$B488,$A489&lt;&gt;$A488),and(not(isblank($A489)),$A489=$A488,$B489&lt;&gt;$B488)),"ID LISTS UNALIGNED",and($A489&lt;&gt;"",countif('5) Release_Track'!$F:$F,$A489)=0),"NO ISRC MATCH in Release_Track",and($B489&lt;&gt;"",countif('5) Release_Track'!$G:$G,$B489)=0),"NO CATALOG ID MATCH in Release_Track",iserror(vlookup($A489&amp;$B489,'5) Release_Track'!$F:$F&amp;'5) Release_Track'!$G:$G,1,0)),"NO ISRC-CATALOG ID pair MATCH in Release_Track" )</f>
        <v/>
      </c>
      <c r="E489" s="125" t="str">
        <f t="array" ref="E489">ifs(and(isblank($A489),isblank($B489)),"", not(iserror(vlookup($A489&amp;$B489,'5) Release_Track'!$F:$F&amp;'5) Release_Track'!$G:$G,1,0))),vlookup($A489&amp;$B489,{'5) Release_Track'!$F:$F&amp;'5) Release_Track'!$G:$G,'5) Release_Track'!$J:$J},2,0), or(and(not(isblank($B489)),$B489=$B488,$A489&lt;&gt;$A488),and(not(isblank($A489)),$A489=$A488,$B489&lt;&gt;$B488)),"ID LISTS UNALIGNED",and($A489&lt;&gt;"",countif('5) Release_Track'!$F:$F,$A489)=0),"NO ISRC MATCH in Release_Track",and($B489&lt;&gt;"",countif('5) Release_Track'!$G:$G,$B489)=0),"NO CATALOG ID MATCH in Release_Track",iserror(vlookup($A489&amp;$B489,'5) Release_Track'!$F:$F&amp;'5) Release_Track'!$G:$G,1,0)),"NO ISRC-CATALOG ID pair MATCH in Release_Track" )</f>
        <v/>
      </c>
      <c r="F489" s="122"/>
      <c r="G489" s="99"/>
      <c r="H489" s="178"/>
      <c r="I489" s="121" t="str">
        <f t="shared" si="6"/>
        <v/>
      </c>
      <c r="J489" s="99"/>
      <c r="K489" s="99"/>
    </row>
    <row r="490">
      <c r="B490" s="103"/>
      <c r="C490" s="121" t="str">
        <f t="array" ref="C490">ifs(and(isblank($A490),isblank($B490)),"", not(iserror(vlookup($A490&amp;$B490,'5) Release_Track'!$F:$F&amp;'5) Release_Track'!$G:$G,1,0))),vlookup($A490&amp;$B490,{'5) Release_Track'!$F:$F&amp;'5) Release_Track'!$G:$G,'5) Release_Track'!$H:$H},2,0), or(and(not(isblank($B490)),$B490=$B489,$A490&lt;&gt;$A489),and(not(isblank($A490)),$A490=$A489,$B490&lt;&gt;$B489)),"ID LISTS UNALIGNED",and($A490&lt;&gt;"",countif('5) Release_Track'!$F:$F,$A490)=0),"NO ISRC MATCH in Release_Track",and($B490&lt;&gt;"",countif('5) Release_Track'!$G:$G,$B490)=0),"NO CATALOG ID MATCH in Release_Track",iserror(vlookup($A490&amp;$B490,'5) Release_Track'!$F:$F&amp;'5) Release_Track'!$G:$G,1,0)),"NO ISRC-CATALOG ID pair MATCH in Release_Track" )</f>
        <v/>
      </c>
      <c r="D490" s="121" t="str">
        <f t="array" ref="D490">ifs(and(isblank($A490),isblank($B490)),"", not(iserror(vlookup($A490&amp;$B490,'5) Release_Track'!$F:$F&amp;'5) Release_Track'!$G:$G,1,0))),vlookup($A490&amp;$B490,{'5) Release_Track'!$F:$F&amp;'5) Release_Track'!$G:$G,'5) Release_Track'!$I:$I},2,0), or(and(not(isblank($B490)),$B490=$B489,$A490&lt;&gt;$A489),and(not(isblank($A490)),$A490=$A489,$B490&lt;&gt;$B489)),"ID LISTS UNALIGNED",and($A490&lt;&gt;"",countif('5) Release_Track'!$F:$F,$A490)=0),"NO ISRC MATCH in Release_Track",and($B490&lt;&gt;"",countif('5) Release_Track'!$G:$G,$B490)=0),"NO CATALOG ID MATCH in Release_Track",iserror(vlookup($A490&amp;$B490,'5) Release_Track'!$F:$F&amp;'5) Release_Track'!$G:$G,1,0)),"NO ISRC-CATALOG ID pair MATCH in Release_Track" )</f>
        <v/>
      </c>
      <c r="E490" s="125" t="str">
        <f t="array" ref="E490">ifs(and(isblank($A490),isblank($B490)),"", not(iserror(vlookup($A490&amp;$B490,'5) Release_Track'!$F:$F&amp;'5) Release_Track'!$G:$G,1,0))),vlookup($A490&amp;$B490,{'5) Release_Track'!$F:$F&amp;'5) Release_Track'!$G:$G,'5) Release_Track'!$J:$J},2,0), or(and(not(isblank($B490)),$B490=$B489,$A490&lt;&gt;$A489),and(not(isblank($A490)),$A490=$A489,$B490&lt;&gt;$B489)),"ID LISTS UNALIGNED",and($A490&lt;&gt;"",countif('5) Release_Track'!$F:$F,$A490)=0),"NO ISRC MATCH in Release_Track",and($B490&lt;&gt;"",countif('5) Release_Track'!$G:$G,$B490)=0),"NO CATALOG ID MATCH in Release_Track",iserror(vlookup($A490&amp;$B490,'5) Release_Track'!$F:$F&amp;'5) Release_Track'!$G:$G,1,0)),"NO ISRC-CATALOG ID pair MATCH in Release_Track" )</f>
        <v/>
      </c>
      <c r="F490" s="122"/>
      <c r="G490" s="99"/>
      <c r="H490" s="178"/>
      <c r="I490" s="121" t="str">
        <f t="shared" si="6"/>
        <v/>
      </c>
      <c r="J490" s="99"/>
      <c r="K490" s="99"/>
    </row>
    <row r="491">
      <c r="B491" s="103"/>
      <c r="C491" s="121" t="str">
        <f t="array" ref="C491">ifs(and(isblank($A491),isblank($B491)),"", not(iserror(vlookup($A491&amp;$B491,'5) Release_Track'!$F:$F&amp;'5) Release_Track'!$G:$G,1,0))),vlookup($A491&amp;$B491,{'5) Release_Track'!$F:$F&amp;'5) Release_Track'!$G:$G,'5) Release_Track'!$H:$H},2,0), or(and(not(isblank($B491)),$B491=$B490,$A491&lt;&gt;$A490),and(not(isblank($A491)),$A491=$A490,$B491&lt;&gt;$B490)),"ID LISTS UNALIGNED",and($A491&lt;&gt;"",countif('5) Release_Track'!$F:$F,$A491)=0),"NO ISRC MATCH in Release_Track",and($B491&lt;&gt;"",countif('5) Release_Track'!$G:$G,$B491)=0),"NO CATALOG ID MATCH in Release_Track",iserror(vlookup($A491&amp;$B491,'5) Release_Track'!$F:$F&amp;'5) Release_Track'!$G:$G,1,0)),"NO ISRC-CATALOG ID pair MATCH in Release_Track" )</f>
        <v/>
      </c>
      <c r="D491" s="121" t="str">
        <f t="array" ref="D491">ifs(and(isblank($A491),isblank($B491)),"", not(iserror(vlookup($A491&amp;$B491,'5) Release_Track'!$F:$F&amp;'5) Release_Track'!$G:$G,1,0))),vlookup($A491&amp;$B491,{'5) Release_Track'!$F:$F&amp;'5) Release_Track'!$G:$G,'5) Release_Track'!$I:$I},2,0), or(and(not(isblank($B491)),$B491=$B490,$A491&lt;&gt;$A490),and(not(isblank($A491)),$A491=$A490,$B491&lt;&gt;$B490)),"ID LISTS UNALIGNED",and($A491&lt;&gt;"",countif('5) Release_Track'!$F:$F,$A491)=0),"NO ISRC MATCH in Release_Track",and($B491&lt;&gt;"",countif('5) Release_Track'!$G:$G,$B491)=0),"NO CATALOG ID MATCH in Release_Track",iserror(vlookup($A491&amp;$B491,'5) Release_Track'!$F:$F&amp;'5) Release_Track'!$G:$G,1,0)),"NO ISRC-CATALOG ID pair MATCH in Release_Track" )</f>
        <v/>
      </c>
      <c r="E491" s="125" t="str">
        <f t="array" ref="E491">ifs(and(isblank($A491),isblank($B491)),"", not(iserror(vlookup($A491&amp;$B491,'5) Release_Track'!$F:$F&amp;'5) Release_Track'!$G:$G,1,0))),vlookup($A491&amp;$B491,{'5) Release_Track'!$F:$F&amp;'5) Release_Track'!$G:$G,'5) Release_Track'!$J:$J},2,0), or(and(not(isblank($B491)),$B491=$B490,$A491&lt;&gt;$A490),and(not(isblank($A491)),$A491=$A490,$B491&lt;&gt;$B490)),"ID LISTS UNALIGNED",and($A491&lt;&gt;"",countif('5) Release_Track'!$F:$F,$A491)=0),"NO ISRC MATCH in Release_Track",and($B491&lt;&gt;"",countif('5) Release_Track'!$G:$G,$B491)=0),"NO CATALOG ID MATCH in Release_Track",iserror(vlookup($A491&amp;$B491,'5) Release_Track'!$F:$F&amp;'5) Release_Track'!$G:$G,1,0)),"NO ISRC-CATALOG ID pair MATCH in Release_Track" )</f>
        <v/>
      </c>
      <c r="F491" s="122"/>
      <c r="G491" s="99"/>
      <c r="H491" s="178"/>
      <c r="I491" s="121" t="str">
        <f t="shared" si="6"/>
        <v/>
      </c>
      <c r="J491" s="99"/>
      <c r="K491" s="99"/>
    </row>
    <row r="492">
      <c r="B492" s="103"/>
      <c r="C492" s="121" t="str">
        <f t="array" ref="C492">ifs(and(isblank($A492),isblank($B492)),"", not(iserror(vlookup($A492&amp;$B492,'5) Release_Track'!$F:$F&amp;'5) Release_Track'!$G:$G,1,0))),vlookup($A492&amp;$B492,{'5) Release_Track'!$F:$F&amp;'5) Release_Track'!$G:$G,'5) Release_Track'!$H:$H},2,0), or(and(not(isblank($B492)),$B492=$B491,$A492&lt;&gt;$A491),and(not(isblank($A492)),$A492=$A491,$B492&lt;&gt;$B491)),"ID LISTS UNALIGNED",and($A492&lt;&gt;"",countif('5) Release_Track'!$F:$F,$A492)=0),"NO ISRC MATCH in Release_Track",and($B492&lt;&gt;"",countif('5) Release_Track'!$G:$G,$B492)=0),"NO CATALOG ID MATCH in Release_Track",iserror(vlookup($A492&amp;$B492,'5) Release_Track'!$F:$F&amp;'5) Release_Track'!$G:$G,1,0)),"NO ISRC-CATALOG ID pair MATCH in Release_Track" )</f>
        <v/>
      </c>
      <c r="D492" s="121" t="str">
        <f t="array" ref="D492">ifs(and(isblank($A492),isblank($B492)),"", not(iserror(vlookup($A492&amp;$B492,'5) Release_Track'!$F:$F&amp;'5) Release_Track'!$G:$G,1,0))),vlookup($A492&amp;$B492,{'5) Release_Track'!$F:$F&amp;'5) Release_Track'!$G:$G,'5) Release_Track'!$I:$I},2,0), or(and(not(isblank($B492)),$B492=$B491,$A492&lt;&gt;$A491),and(not(isblank($A492)),$A492=$A491,$B492&lt;&gt;$B491)),"ID LISTS UNALIGNED",and($A492&lt;&gt;"",countif('5) Release_Track'!$F:$F,$A492)=0),"NO ISRC MATCH in Release_Track",and($B492&lt;&gt;"",countif('5) Release_Track'!$G:$G,$B492)=0),"NO CATALOG ID MATCH in Release_Track",iserror(vlookup($A492&amp;$B492,'5) Release_Track'!$F:$F&amp;'5) Release_Track'!$G:$G,1,0)),"NO ISRC-CATALOG ID pair MATCH in Release_Track" )</f>
        <v/>
      </c>
      <c r="E492" s="125" t="str">
        <f t="array" ref="E492">ifs(and(isblank($A492),isblank($B492)),"", not(iserror(vlookup($A492&amp;$B492,'5) Release_Track'!$F:$F&amp;'5) Release_Track'!$G:$G,1,0))),vlookup($A492&amp;$B492,{'5) Release_Track'!$F:$F&amp;'5) Release_Track'!$G:$G,'5) Release_Track'!$J:$J},2,0), or(and(not(isblank($B492)),$B492=$B491,$A492&lt;&gt;$A491),and(not(isblank($A492)),$A492=$A491,$B492&lt;&gt;$B491)),"ID LISTS UNALIGNED",and($A492&lt;&gt;"",countif('5) Release_Track'!$F:$F,$A492)=0),"NO ISRC MATCH in Release_Track",and($B492&lt;&gt;"",countif('5) Release_Track'!$G:$G,$B492)=0),"NO CATALOG ID MATCH in Release_Track",iserror(vlookup($A492&amp;$B492,'5) Release_Track'!$F:$F&amp;'5) Release_Track'!$G:$G,1,0)),"NO ISRC-CATALOG ID pair MATCH in Release_Track" )</f>
        <v/>
      </c>
      <c r="F492" s="122"/>
      <c r="G492" s="99"/>
      <c r="H492" s="178"/>
      <c r="I492" s="121" t="str">
        <f t="shared" si="6"/>
        <v/>
      </c>
      <c r="J492" s="99"/>
      <c r="K492" s="99"/>
    </row>
    <row r="493">
      <c r="B493" s="103"/>
      <c r="C493" s="121" t="str">
        <f t="array" ref="C493">ifs(and(isblank($A493),isblank($B493)),"", not(iserror(vlookup($A493&amp;$B493,'5) Release_Track'!$F:$F&amp;'5) Release_Track'!$G:$G,1,0))),vlookup($A493&amp;$B493,{'5) Release_Track'!$F:$F&amp;'5) Release_Track'!$G:$G,'5) Release_Track'!$H:$H},2,0), or(and(not(isblank($B493)),$B493=$B492,$A493&lt;&gt;$A492),and(not(isblank($A493)),$A493=$A492,$B493&lt;&gt;$B492)),"ID LISTS UNALIGNED",and($A493&lt;&gt;"",countif('5) Release_Track'!$F:$F,$A493)=0),"NO ISRC MATCH in Release_Track",and($B493&lt;&gt;"",countif('5) Release_Track'!$G:$G,$B493)=0),"NO CATALOG ID MATCH in Release_Track",iserror(vlookup($A493&amp;$B493,'5) Release_Track'!$F:$F&amp;'5) Release_Track'!$G:$G,1,0)),"NO ISRC-CATALOG ID pair MATCH in Release_Track" )</f>
        <v/>
      </c>
      <c r="D493" s="121" t="str">
        <f t="array" ref="D493">ifs(and(isblank($A493),isblank($B493)),"", not(iserror(vlookup($A493&amp;$B493,'5) Release_Track'!$F:$F&amp;'5) Release_Track'!$G:$G,1,0))),vlookup($A493&amp;$B493,{'5) Release_Track'!$F:$F&amp;'5) Release_Track'!$G:$G,'5) Release_Track'!$I:$I},2,0), or(and(not(isblank($B493)),$B493=$B492,$A493&lt;&gt;$A492),and(not(isblank($A493)),$A493=$A492,$B493&lt;&gt;$B492)),"ID LISTS UNALIGNED",and($A493&lt;&gt;"",countif('5) Release_Track'!$F:$F,$A493)=0),"NO ISRC MATCH in Release_Track",and($B493&lt;&gt;"",countif('5) Release_Track'!$G:$G,$B493)=0),"NO CATALOG ID MATCH in Release_Track",iserror(vlookup($A493&amp;$B493,'5) Release_Track'!$F:$F&amp;'5) Release_Track'!$G:$G,1,0)),"NO ISRC-CATALOG ID pair MATCH in Release_Track" )</f>
        <v/>
      </c>
      <c r="E493" s="125" t="str">
        <f t="array" ref="E493">ifs(and(isblank($A493),isblank($B493)),"", not(iserror(vlookup($A493&amp;$B493,'5) Release_Track'!$F:$F&amp;'5) Release_Track'!$G:$G,1,0))),vlookup($A493&amp;$B493,{'5) Release_Track'!$F:$F&amp;'5) Release_Track'!$G:$G,'5) Release_Track'!$J:$J},2,0), or(and(not(isblank($B493)),$B493=$B492,$A493&lt;&gt;$A492),and(not(isblank($A493)),$A493=$A492,$B493&lt;&gt;$B492)),"ID LISTS UNALIGNED",and($A493&lt;&gt;"",countif('5) Release_Track'!$F:$F,$A493)=0),"NO ISRC MATCH in Release_Track",and($B493&lt;&gt;"",countif('5) Release_Track'!$G:$G,$B493)=0),"NO CATALOG ID MATCH in Release_Track",iserror(vlookup($A493&amp;$B493,'5) Release_Track'!$F:$F&amp;'5) Release_Track'!$G:$G,1,0)),"NO ISRC-CATALOG ID pair MATCH in Release_Track" )</f>
        <v/>
      </c>
      <c r="F493" s="122"/>
      <c r="G493" s="99"/>
      <c r="H493" s="178"/>
      <c r="I493" s="121" t="str">
        <f t="shared" si="6"/>
        <v/>
      </c>
      <c r="J493" s="99"/>
      <c r="K493" s="99"/>
    </row>
    <row r="494">
      <c r="B494" s="103"/>
      <c r="C494" s="121" t="str">
        <f t="array" ref="C494">ifs(and(isblank($A494),isblank($B494)),"", not(iserror(vlookup($A494&amp;$B494,'5) Release_Track'!$F:$F&amp;'5) Release_Track'!$G:$G,1,0))),vlookup($A494&amp;$B494,{'5) Release_Track'!$F:$F&amp;'5) Release_Track'!$G:$G,'5) Release_Track'!$H:$H},2,0), or(and(not(isblank($B494)),$B494=$B493,$A494&lt;&gt;$A493),and(not(isblank($A494)),$A494=$A493,$B494&lt;&gt;$B493)),"ID LISTS UNALIGNED",and($A494&lt;&gt;"",countif('5) Release_Track'!$F:$F,$A494)=0),"NO ISRC MATCH in Release_Track",and($B494&lt;&gt;"",countif('5) Release_Track'!$G:$G,$B494)=0),"NO CATALOG ID MATCH in Release_Track",iserror(vlookup($A494&amp;$B494,'5) Release_Track'!$F:$F&amp;'5) Release_Track'!$G:$G,1,0)),"NO ISRC-CATALOG ID pair MATCH in Release_Track" )</f>
        <v/>
      </c>
      <c r="D494" s="121" t="str">
        <f t="array" ref="D494">ifs(and(isblank($A494),isblank($B494)),"", not(iserror(vlookup($A494&amp;$B494,'5) Release_Track'!$F:$F&amp;'5) Release_Track'!$G:$G,1,0))),vlookup($A494&amp;$B494,{'5) Release_Track'!$F:$F&amp;'5) Release_Track'!$G:$G,'5) Release_Track'!$I:$I},2,0), or(and(not(isblank($B494)),$B494=$B493,$A494&lt;&gt;$A493),and(not(isblank($A494)),$A494=$A493,$B494&lt;&gt;$B493)),"ID LISTS UNALIGNED",and($A494&lt;&gt;"",countif('5) Release_Track'!$F:$F,$A494)=0),"NO ISRC MATCH in Release_Track",and($B494&lt;&gt;"",countif('5) Release_Track'!$G:$G,$B494)=0),"NO CATALOG ID MATCH in Release_Track",iserror(vlookup($A494&amp;$B494,'5) Release_Track'!$F:$F&amp;'5) Release_Track'!$G:$G,1,0)),"NO ISRC-CATALOG ID pair MATCH in Release_Track" )</f>
        <v/>
      </c>
      <c r="E494" s="125" t="str">
        <f t="array" ref="E494">ifs(and(isblank($A494),isblank($B494)),"", not(iserror(vlookup($A494&amp;$B494,'5) Release_Track'!$F:$F&amp;'5) Release_Track'!$G:$G,1,0))),vlookup($A494&amp;$B494,{'5) Release_Track'!$F:$F&amp;'5) Release_Track'!$G:$G,'5) Release_Track'!$J:$J},2,0), or(and(not(isblank($B494)),$B494=$B493,$A494&lt;&gt;$A493),and(not(isblank($A494)),$A494=$A493,$B494&lt;&gt;$B493)),"ID LISTS UNALIGNED",and($A494&lt;&gt;"",countif('5) Release_Track'!$F:$F,$A494)=0),"NO ISRC MATCH in Release_Track",and($B494&lt;&gt;"",countif('5) Release_Track'!$G:$G,$B494)=0),"NO CATALOG ID MATCH in Release_Track",iserror(vlookup($A494&amp;$B494,'5) Release_Track'!$F:$F&amp;'5) Release_Track'!$G:$G,1,0)),"NO ISRC-CATALOG ID pair MATCH in Release_Track" )</f>
        <v/>
      </c>
      <c r="F494" s="122"/>
      <c r="G494" s="99"/>
      <c r="H494" s="178"/>
      <c r="I494" s="121" t="str">
        <f t="shared" si="6"/>
        <v/>
      </c>
      <c r="J494" s="99"/>
      <c r="K494" s="99"/>
    </row>
    <row r="495">
      <c r="B495" s="103"/>
      <c r="C495" s="121" t="str">
        <f t="array" ref="C495">ifs(and(isblank($A495),isblank($B495)),"", not(iserror(vlookup($A495&amp;$B495,'5) Release_Track'!$F:$F&amp;'5) Release_Track'!$G:$G,1,0))),vlookup($A495&amp;$B495,{'5) Release_Track'!$F:$F&amp;'5) Release_Track'!$G:$G,'5) Release_Track'!$H:$H},2,0), or(and(not(isblank($B495)),$B495=$B494,$A495&lt;&gt;$A494),and(not(isblank($A495)),$A495=$A494,$B495&lt;&gt;$B494)),"ID LISTS UNALIGNED",and($A495&lt;&gt;"",countif('5) Release_Track'!$F:$F,$A495)=0),"NO ISRC MATCH in Release_Track",and($B495&lt;&gt;"",countif('5) Release_Track'!$G:$G,$B495)=0),"NO CATALOG ID MATCH in Release_Track",iserror(vlookup($A495&amp;$B495,'5) Release_Track'!$F:$F&amp;'5) Release_Track'!$G:$G,1,0)),"NO ISRC-CATALOG ID pair MATCH in Release_Track" )</f>
        <v/>
      </c>
      <c r="D495" s="121" t="str">
        <f t="array" ref="D495">ifs(and(isblank($A495),isblank($B495)),"", not(iserror(vlookup($A495&amp;$B495,'5) Release_Track'!$F:$F&amp;'5) Release_Track'!$G:$G,1,0))),vlookup($A495&amp;$B495,{'5) Release_Track'!$F:$F&amp;'5) Release_Track'!$G:$G,'5) Release_Track'!$I:$I},2,0), or(and(not(isblank($B495)),$B495=$B494,$A495&lt;&gt;$A494),and(not(isblank($A495)),$A495=$A494,$B495&lt;&gt;$B494)),"ID LISTS UNALIGNED",and($A495&lt;&gt;"",countif('5) Release_Track'!$F:$F,$A495)=0),"NO ISRC MATCH in Release_Track",and($B495&lt;&gt;"",countif('5) Release_Track'!$G:$G,$B495)=0),"NO CATALOG ID MATCH in Release_Track",iserror(vlookup($A495&amp;$B495,'5) Release_Track'!$F:$F&amp;'5) Release_Track'!$G:$G,1,0)),"NO ISRC-CATALOG ID pair MATCH in Release_Track" )</f>
        <v/>
      </c>
      <c r="E495" s="125" t="str">
        <f t="array" ref="E495">ifs(and(isblank($A495),isblank($B495)),"", not(iserror(vlookup($A495&amp;$B495,'5) Release_Track'!$F:$F&amp;'5) Release_Track'!$G:$G,1,0))),vlookup($A495&amp;$B495,{'5) Release_Track'!$F:$F&amp;'5) Release_Track'!$G:$G,'5) Release_Track'!$J:$J},2,0), or(and(not(isblank($B495)),$B495=$B494,$A495&lt;&gt;$A494),and(not(isblank($A495)),$A495=$A494,$B495&lt;&gt;$B494)),"ID LISTS UNALIGNED",and($A495&lt;&gt;"",countif('5) Release_Track'!$F:$F,$A495)=0),"NO ISRC MATCH in Release_Track",and($B495&lt;&gt;"",countif('5) Release_Track'!$G:$G,$B495)=0),"NO CATALOG ID MATCH in Release_Track",iserror(vlookup($A495&amp;$B495,'5) Release_Track'!$F:$F&amp;'5) Release_Track'!$G:$G,1,0)),"NO ISRC-CATALOG ID pair MATCH in Release_Track" )</f>
        <v/>
      </c>
      <c r="F495" s="122"/>
      <c r="G495" s="99"/>
      <c r="H495" s="178"/>
      <c r="I495" s="121" t="str">
        <f t="shared" si="6"/>
        <v/>
      </c>
      <c r="J495" s="99"/>
      <c r="K495" s="99"/>
    </row>
    <row r="496">
      <c r="B496" s="103"/>
      <c r="C496" s="121" t="str">
        <f t="array" ref="C496">ifs(and(isblank($A496),isblank($B496)),"", not(iserror(vlookup($A496&amp;$B496,'5) Release_Track'!$F:$F&amp;'5) Release_Track'!$G:$G,1,0))),vlookup($A496&amp;$B496,{'5) Release_Track'!$F:$F&amp;'5) Release_Track'!$G:$G,'5) Release_Track'!$H:$H},2,0), or(and(not(isblank($B496)),$B496=$B495,$A496&lt;&gt;$A495),and(not(isblank($A496)),$A496=$A495,$B496&lt;&gt;$B495)),"ID LISTS UNALIGNED",and($A496&lt;&gt;"",countif('5) Release_Track'!$F:$F,$A496)=0),"NO ISRC MATCH in Release_Track",and($B496&lt;&gt;"",countif('5) Release_Track'!$G:$G,$B496)=0),"NO CATALOG ID MATCH in Release_Track",iserror(vlookup($A496&amp;$B496,'5) Release_Track'!$F:$F&amp;'5) Release_Track'!$G:$G,1,0)),"NO ISRC-CATALOG ID pair MATCH in Release_Track" )</f>
        <v/>
      </c>
      <c r="D496" s="121" t="str">
        <f t="array" ref="D496">ifs(and(isblank($A496),isblank($B496)),"", not(iserror(vlookup($A496&amp;$B496,'5) Release_Track'!$F:$F&amp;'5) Release_Track'!$G:$G,1,0))),vlookup($A496&amp;$B496,{'5) Release_Track'!$F:$F&amp;'5) Release_Track'!$G:$G,'5) Release_Track'!$I:$I},2,0), or(and(not(isblank($B496)),$B496=$B495,$A496&lt;&gt;$A495),and(not(isblank($A496)),$A496=$A495,$B496&lt;&gt;$B495)),"ID LISTS UNALIGNED",and($A496&lt;&gt;"",countif('5) Release_Track'!$F:$F,$A496)=0),"NO ISRC MATCH in Release_Track",and($B496&lt;&gt;"",countif('5) Release_Track'!$G:$G,$B496)=0),"NO CATALOG ID MATCH in Release_Track",iserror(vlookup($A496&amp;$B496,'5) Release_Track'!$F:$F&amp;'5) Release_Track'!$G:$G,1,0)),"NO ISRC-CATALOG ID pair MATCH in Release_Track" )</f>
        <v/>
      </c>
      <c r="E496" s="125" t="str">
        <f t="array" ref="E496">ifs(and(isblank($A496),isblank($B496)),"", not(iserror(vlookup($A496&amp;$B496,'5) Release_Track'!$F:$F&amp;'5) Release_Track'!$G:$G,1,0))),vlookup($A496&amp;$B496,{'5) Release_Track'!$F:$F&amp;'5) Release_Track'!$G:$G,'5) Release_Track'!$J:$J},2,0), or(and(not(isblank($B496)),$B496=$B495,$A496&lt;&gt;$A495),and(not(isblank($A496)),$A496=$A495,$B496&lt;&gt;$B495)),"ID LISTS UNALIGNED",and($A496&lt;&gt;"",countif('5) Release_Track'!$F:$F,$A496)=0),"NO ISRC MATCH in Release_Track",and($B496&lt;&gt;"",countif('5) Release_Track'!$G:$G,$B496)=0),"NO CATALOG ID MATCH in Release_Track",iserror(vlookup($A496&amp;$B496,'5) Release_Track'!$F:$F&amp;'5) Release_Track'!$G:$G,1,0)),"NO ISRC-CATALOG ID pair MATCH in Release_Track" )</f>
        <v/>
      </c>
      <c r="F496" s="122"/>
      <c r="G496" s="99"/>
      <c r="H496" s="178"/>
      <c r="I496" s="121" t="str">
        <f t="shared" si="6"/>
        <v/>
      </c>
      <c r="J496" s="99"/>
      <c r="K496" s="99"/>
    </row>
    <row r="497">
      <c r="B497" s="103"/>
      <c r="C497" s="121" t="str">
        <f t="array" ref="C497">ifs(and(isblank($A497),isblank($B497)),"", not(iserror(vlookup($A497&amp;$B497,'5) Release_Track'!$F:$F&amp;'5) Release_Track'!$G:$G,1,0))),vlookup($A497&amp;$B497,{'5) Release_Track'!$F:$F&amp;'5) Release_Track'!$G:$G,'5) Release_Track'!$H:$H},2,0), or(and(not(isblank($B497)),$B497=$B496,$A497&lt;&gt;$A496),and(not(isblank($A497)),$A497=$A496,$B497&lt;&gt;$B496)),"ID LISTS UNALIGNED",and($A497&lt;&gt;"",countif('5) Release_Track'!$F:$F,$A497)=0),"NO ISRC MATCH in Release_Track",and($B497&lt;&gt;"",countif('5) Release_Track'!$G:$G,$B497)=0),"NO CATALOG ID MATCH in Release_Track",iserror(vlookup($A497&amp;$B497,'5) Release_Track'!$F:$F&amp;'5) Release_Track'!$G:$G,1,0)),"NO ISRC-CATALOG ID pair MATCH in Release_Track" )</f>
        <v/>
      </c>
      <c r="D497" s="121" t="str">
        <f t="array" ref="D497">ifs(and(isblank($A497),isblank($B497)),"", not(iserror(vlookup($A497&amp;$B497,'5) Release_Track'!$F:$F&amp;'5) Release_Track'!$G:$G,1,0))),vlookup($A497&amp;$B497,{'5) Release_Track'!$F:$F&amp;'5) Release_Track'!$G:$G,'5) Release_Track'!$I:$I},2,0), or(and(not(isblank($B497)),$B497=$B496,$A497&lt;&gt;$A496),and(not(isblank($A497)),$A497=$A496,$B497&lt;&gt;$B496)),"ID LISTS UNALIGNED",and($A497&lt;&gt;"",countif('5) Release_Track'!$F:$F,$A497)=0),"NO ISRC MATCH in Release_Track",and($B497&lt;&gt;"",countif('5) Release_Track'!$G:$G,$B497)=0),"NO CATALOG ID MATCH in Release_Track",iserror(vlookup($A497&amp;$B497,'5) Release_Track'!$F:$F&amp;'5) Release_Track'!$G:$G,1,0)),"NO ISRC-CATALOG ID pair MATCH in Release_Track" )</f>
        <v/>
      </c>
      <c r="E497" s="125" t="str">
        <f t="array" ref="E497">ifs(and(isblank($A497),isblank($B497)),"", not(iserror(vlookup($A497&amp;$B497,'5) Release_Track'!$F:$F&amp;'5) Release_Track'!$G:$G,1,0))),vlookup($A497&amp;$B497,{'5) Release_Track'!$F:$F&amp;'5) Release_Track'!$G:$G,'5) Release_Track'!$J:$J},2,0), or(and(not(isblank($B497)),$B497=$B496,$A497&lt;&gt;$A496),and(not(isblank($A497)),$A497=$A496,$B497&lt;&gt;$B496)),"ID LISTS UNALIGNED",and($A497&lt;&gt;"",countif('5) Release_Track'!$F:$F,$A497)=0),"NO ISRC MATCH in Release_Track",and($B497&lt;&gt;"",countif('5) Release_Track'!$G:$G,$B497)=0),"NO CATALOG ID MATCH in Release_Track",iserror(vlookup($A497&amp;$B497,'5) Release_Track'!$F:$F&amp;'5) Release_Track'!$G:$G,1,0)),"NO ISRC-CATALOG ID pair MATCH in Release_Track" )</f>
        <v/>
      </c>
      <c r="F497" s="122"/>
      <c r="G497" s="99"/>
      <c r="H497" s="178"/>
      <c r="I497" s="121" t="str">
        <f t="shared" si="6"/>
        <v/>
      </c>
      <c r="J497" s="99"/>
      <c r="K497" s="99"/>
    </row>
    <row r="498">
      <c r="B498" s="103"/>
      <c r="C498" s="121" t="str">
        <f t="array" ref="C498">ifs(and(isblank($A498),isblank($B498)),"", not(iserror(vlookup($A498&amp;$B498,'5) Release_Track'!$F:$F&amp;'5) Release_Track'!$G:$G,1,0))),vlookup($A498&amp;$B498,{'5) Release_Track'!$F:$F&amp;'5) Release_Track'!$G:$G,'5) Release_Track'!$H:$H},2,0), or(and(not(isblank($B498)),$B498=$B497,$A498&lt;&gt;$A497),and(not(isblank($A498)),$A498=$A497,$B498&lt;&gt;$B497)),"ID LISTS UNALIGNED",and($A498&lt;&gt;"",countif('5) Release_Track'!$F:$F,$A498)=0),"NO ISRC MATCH in Release_Track",and($B498&lt;&gt;"",countif('5) Release_Track'!$G:$G,$B498)=0),"NO CATALOG ID MATCH in Release_Track",iserror(vlookup($A498&amp;$B498,'5) Release_Track'!$F:$F&amp;'5) Release_Track'!$G:$G,1,0)),"NO ISRC-CATALOG ID pair MATCH in Release_Track" )</f>
        <v/>
      </c>
      <c r="D498" s="121" t="str">
        <f t="array" ref="D498">ifs(and(isblank($A498),isblank($B498)),"", not(iserror(vlookup($A498&amp;$B498,'5) Release_Track'!$F:$F&amp;'5) Release_Track'!$G:$G,1,0))),vlookup($A498&amp;$B498,{'5) Release_Track'!$F:$F&amp;'5) Release_Track'!$G:$G,'5) Release_Track'!$I:$I},2,0), or(and(not(isblank($B498)),$B498=$B497,$A498&lt;&gt;$A497),and(not(isblank($A498)),$A498=$A497,$B498&lt;&gt;$B497)),"ID LISTS UNALIGNED",and($A498&lt;&gt;"",countif('5) Release_Track'!$F:$F,$A498)=0),"NO ISRC MATCH in Release_Track",and($B498&lt;&gt;"",countif('5) Release_Track'!$G:$G,$B498)=0),"NO CATALOG ID MATCH in Release_Track",iserror(vlookup($A498&amp;$B498,'5) Release_Track'!$F:$F&amp;'5) Release_Track'!$G:$G,1,0)),"NO ISRC-CATALOG ID pair MATCH in Release_Track" )</f>
        <v/>
      </c>
      <c r="E498" s="125" t="str">
        <f t="array" ref="E498">ifs(and(isblank($A498),isblank($B498)),"", not(iserror(vlookup($A498&amp;$B498,'5) Release_Track'!$F:$F&amp;'5) Release_Track'!$G:$G,1,0))),vlookup($A498&amp;$B498,{'5) Release_Track'!$F:$F&amp;'5) Release_Track'!$G:$G,'5) Release_Track'!$J:$J},2,0), or(and(not(isblank($B498)),$B498=$B497,$A498&lt;&gt;$A497),and(not(isblank($A498)),$A498=$A497,$B498&lt;&gt;$B497)),"ID LISTS UNALIGNED",and($A498&lt;&gt;"",countif('5) Release_Track'!$F:$F,$A498)=0),"NO ISRC MATCH in Release_Track",and($B498&lt;&gt;"",countif('5) Release_Track'!$G:$G,$B498)=0),"NO CATALOG ID MATCH in Release_Track",iserror(vlookup($A498&amp;$B498,'5) Release_Track'!$F:$F&amp;'5) Release_Track'!$G:$G,1,0)),"NO ISRC-CATALOG ID pair MATCH in Release_Track" )</f>
        <v/>
      </c>
      <c r="F498" s="122"/>
      <c r="G498" s="99"/>
      <c r="H498" s="178"/>
      <c r="I498" s="121" t="str">
        <f t="shared" si="6"/>
        <v/>
      </c>
      <c r="J498" s="99"/>
      <c r="K498" s="99"/>
    </row>
    <row r="499">
      <c r="B499" s="103"/>
      <c r="C499" s="121" t="str">
        <f t="array" ref="C499">ifs(and(isblank($A499),isblank($B499)),"", not(iserror(vlookup($A499&amp;$B499,'5) Release_Track'!$F:$F&amp;'5) Release_Track'!$G:$G,1,0))),vlookup($A499&amp;$B499,{'5) Release_Track'!$F:$F&amp;'5) Release_Track'!$G:$G,'5) Release_Track'!$H:$H},2,0), or(and(not(isblank($B499)),$B499=$B498,$A499&lt;&gt;$A498),and(not(isblank($A499)),$A499=$A498,$B499&lt;&gt;$B498)),"ID LISTS UNALIGNED",and($A499&lt;&gt;"",countif('5) Release_Track'!$F:$F,$A499)=0),"NO ISRC MATCH in Release_Track",and($B499&lt;&gt;"",countif('5) Release_Track'!$G:$G,$B499)=0),"NO CATALOG ID MATCH in Release_Track",iserror(vlookup($A499&amp;$B499,'5) Release_Track'!$F:$F&amp;'5) Release_Track'!$G:$G,1,0)),"NO ISRC-CATALOG ID pair MATCH in Release_Track" )</f>
        <v/>
      </c>
      <c r="D499" s="121" t="str">
        <f t="array" ref="D499">ifs(and(isblank($A499),isblank($B499)),"", not(iserror(vlookup($A499&amp;$B499,'5) Release_Track'!$F:$F&amp;'5) Release_Track'!$G:$G,1,0))),vlookup($A499&amp;$B499,{'5) Release_Track'!$F:$F&amp;'5) Release_Track'!$G:$G,'5) Release_Track'!$I:$I},2,0), or(and(not(isblank($B499)),$B499=$B498,$A499&lt;&gt;$A498),and(not(isblank($A499)),$A499=$A498,$B499&lt;&gt;$B498)),"ID LISTS UNALIGNED",and($A499&lt;&gt;"",countif('5) Release_Track'!$F:$F,$A499)=0),"NO ISRC MATCH in Release_Track",and($B499&lt;&gt;"",countif('5) Release_Track'!$G:$G,$B499)=0),"NO CATALOG ID MATCH in Release_Track",iserror(vlookup($A499&amp;$B499,'5) Release_Track'!$F:$F&amp;'5) Release_Track'!$G:$G,1,0)),"NO ISRC-CATALOG ID pair MATCH in Release_Track" )</f>
        <v/>
      </c>
      <c r="E499" s="125" t="str">
        <f t="array" ref="E499">ifs(and(isblank($A499),isblank($B499)),"", not(iserror(vlookup($A499&amp;$B499,'5) Release_Track'!$F:$F&amp;'5) Release_Track'!$G:$G,1,0))),vlookup($A499&amp;$B499,{'5) Release_Track'!$F:$F&amp;'5) Release_Track'!$G:$G,'5) Release_Track'!$J:$J},2,0), or(and(not(isblank($B499)),$B499=$B498,$A499&lt;&gt;$A498),and(not(isblank($A499)),$A499=$A498,$B499&lt;&gt;$B498)),"ID LISTS UNALIGNED",and($A499&lt;&gt;"",countif('5) Release_Track'!$F:$F,$A499)=0),"NO ISRC MATCH in Release_Track",and($B499&lt;&gt;"",countif('5) Release_Track'!$G:$G,$B499)=0),"NO CATALOG ID MATCH in Release_Track",iserror(vlookup($A499&amp;$B499,'5) Release_Track'!$F:$F&amp;'5) Release_Track'!$G:$G,1,0)),"NO ISRC-CATALOG ID pair MATCH in Release_Track" )</f>
        <v/>
      </c>
      <c r="F499" s="122"/>
      <c r="G499" s="99"/>
      <c r="H499" s="178"/>
      <c r="I499" s="121" t="str">
        <f t="shared" si="6"/>
        <v/>
      </c>
      <c r="J499" s="99"/>
      <c r="K499" s="99"/>
    </row>
    <row r="500">
      <c r="B500" s="103"/>
      <c r="C500" s="121" t="str">
        <f t="array" ref="C500">ifs(and(isblank($A500),isblank($B500)),"", not(iserror(vlookup($A500&amp;$B500,'5) Release_Track'!$F:$F&amp;'5) Release_Track'!$G:$G,1,0))),vlookup($A500&amp;$B500,{'5) Release_Track'!$F:$F&amp;'5) Release_Track'!$G:$G,'5) Release_Track'!$H:$H},2,0), or(and(not(isblank($B500)),$B500=$B499,$A500&lt;&gt;$A499),and(not(isblank($A500)),$A500=$A499,$B500&lt;&gt;$B499)),"ID LISTS UNALIGNED",and($A500&lt;&gt;"",countif('5) Release_Track'!$F:$F,$A500)=0),"NO ISRC MATCH in Release_Track",and($B500&lt;&gt;"",countif('5) Release_Track'!$G:$G,$B500)=0),"NO CATALOG ID MATCH in Release_Track",iserror(vlookup($A500&amp;$B500,'5) Release_Track'!$F:$F&amp;'5) Release_Track'!$G:$G,1,0)),"NO ISRC-CATALOG ID pair MATCH in Release_Track" )</f>
        <v/>
      </c>
      <c r="D500" s="121" t="str">
        <f t="array" ref="D500">ifs(and(isblank($A500),isblank($B500)),"", not(iserror(vlookup($A500&amp;$B500,'5) Release_Track'!$F:$F&amp;'5) Release_Track'!$G:$G,1,0))),vlookup($A500&amp;$B500,{'5) Release_Track'!$F:$F&amp;'5) Release_Track'!$G:$G,'5) Release_Track'!$I:$I},2,0), or(and(not(isblank($B500)),$B500=$B499,$A500&lt;&gt;$A499),and(not(isblank($A500)),$A500=$A499,$B500&lt;&gt;$B499)),"ID LISTS UNALIGNED",and($A500&lt;&gt;"",countif('5) Release_Track'!$F:$F,$A500)=0),"NO ISRC MATCH in Release_Track",and($B500&lt;&gt;"",countif('5) Release_Track'!$G:$G,$B500)=0),"NO CATALOG ID MATCH in Release_Track",iserror(vlookup($A500&amp;$B500,'5) Release_Track'!$F:$F&amp;'5) Release_Track'!$G:$G,1,0)),"NO ISRC-CATALOG ID pair MATCH in Release_Track" )</f>
        <v/>
      </c>
      <c r="E500" s="125" t="str">
        <f t="array" ref="E500">ifs(and(isblank($A500),isblank($B500)),"", not(iserror(vlookup($A500&amp;$B500,'5) Release_Track'!$F:$F&amp;'5) Release_Track'!$G:$G,1,0))),vlookup($A500&amp;$B500,{'5) Release_Track'!$F:$F&amp;'5) Release_Track'!$G:$G,'5) Release_Track'!$J:$J},2,0), or(and(not(isblank($B500)),$B500=$B499,$A500&lt;&gt;$A499),and(not(isblank($A500)),$A500=$A499,$B500&lt;&gt;$B499)),"ID LISTS UNALIGNED",and($A500&lt;&gt;"",countif('5) Release_Track'!$F:$F,$A500)=0),"NO ISRC MATCH in Release_Track",and($B500&lt;&gt;"",countif('5) Release_Track'!$G:$G,$B500)=0),"NO CATALOG ID MATCH in Release_Track",iserror(vlookup($A500&amp;$B500,'5) Release_Track'!$F:$F&amp;'5) Release_Track'!$G:$G,1,0)),"NO ISRC-CATALOG ID pair MATCH in Release_Track" )</f>
        <v/>
      </c>
      <c r="F500" s="122"/>
      <c r="G500" s="99"/>
      <c r="H500" s="178"/>
      <c r="I500" s="121" t="str">
        <f t="shared" si="6"/>
        <v/>
      </c>
      <c r="J500" s="99"/>
      <c r="K500" s="99"/>
    </row>
    <row r="501">
      <c r="B501" s="103"/>
      <c r="C501" s="121" t="str">
        <f t="array" ref="C501">ifs(and(isblank($A501),isblank($B501)),"", not(iserror(vlookup($A501&amp;$B501,'5) Release_Track'!$F:$F&amp;'5) Release_Track'!$G:$G,1,0))),vlookup($A501&amp;$B501,{'5) Release_Track'!$F:$F&amp;'5) Release_Track'!$G:$G,'5) Release_Track'!$H:$H},2,0), or(and(not(isblank($B501)),$B501=$B500,$A501&lt;&gt;$A500),and(not(isblank($A501)),$A501=$A500,$B501&lt;&gt;$B500)),"ID LISTS UNALIGNED",and($A501&lt;&gt;"",countif('5) Release_Track'!$F:$F,$A501)=0),"NO ISRC MATCH in Release_Track",and($B501&lt;&gt;"",countif('5) Release_Track'!$G:$G,$B501)=0),"NO CATALOG ID MATCH in Release_Track",iserror(vlookup($A501&amp;$B501,'5) Release_Track'!$F:$F&amp;'5) Release_Track'!$G:$G,1,0)),"NO ISRC-CATALOG ID pair MATCH in Release_Track" )</f>
        <v/>
      </c>
      <c r="D501" s="121" t="str">
        <f t="array" ref="D501">ifs(and(isblank($A501),isblank($B501)),"", not(iserror(vlookup($A501&amp;$B501,'5) Release_Track'!$F:$F&amp;'5) Release_Track'!$G:$G,1,0))),vlookup($A501&amp;$B501,{'5) Release_Track'!$F:$F&amp;'5) Release_Track'!$G:$G,'5) Release_Track'!$I:$I},2,0), or(and(not(isblank($B501)),$B501=$B500,$A501&lt;&gt;$A500),and(not(isblank($A501)),$A501=$A500,$B501&lt;&gt;$B500)),"ID LISTS UNALIGNED",and($A501&lt;&gt;"",countif('5) Release_Track'!$F:$F,$A501)=0),"NO ISRC MATCH in Release_Track",and($B501&lt;&gt;"",countif('5) Release_Track'!$G:$G,$B501)=0),"NO CATALOG ID MATCH in Release_Track",iserror(vlookup($A501&amp;$B501,'5) Release_Track'!$F:$F&amp;'5) Release_Track'!$G:$G,1,0)),"NO ISRC-CATALOG ID pair MATCH in Release_Track" )</f>
        <v/>
      </c>
      <c r="E501" s="125" t="str">
        <f t="array" ref="E501">ifs(and(isblank($A501),isblank($B501)),"", not(iserror(vlookup($A501&amp;$B501,'5) Release_Track'!$F:$F&amp;'5) Release_Track'!$G:$G,1,0))),vlookup($A501&amp;$B501,{'5) Release_Track'!$F:$F&amp;'5) Release_Track'!$G:$G,'5) Release_Track'!$J:$J},2,0), or(and(not(isblank($B501)),$B501=$B500,$A501&lt;&gt;$A500),and(not(isblank($A501)),$A501=$A500,$B501&lt;&gt;$B500)),"ID LISTS UNALIGNED",and($A501&lt;&gt;"",countif('5) Release_Track'!$F:$F,$A501)=0),"NO ISRC MATCH in Release_Track",and($B501&lt;&gt;"",countif('5) Release_Track'!$G:$G,$B501)=0),"NO CATALOG ID MATCH in Release_Track",iserror(vlookup($A501&amp;$B501,'5) Release_Track'!$F:$F&amp;'5) Release_Track'!$G:$G,1,0)),"NO ISRC-CATALOG ID pair MATCH in Release_Track" )</f>
        <v/>
      </c>
      <c r="F501" s="122"/>
      <c r="G501" s="99"/>
      <c r="H501" s="178"/>
      <c r="I501" s="121" t="str">
        <f t="shared" si="6"/>
        <v/>
      </c>
      <c r="J501" s="99"/>
      <c r="K501" s="99"/>
    </row>
    <row r="502">
      <c r="B502" s="103"/>
      <c r="C502" s="121" t="str">
        <f t="array" ref="C502">ifs(and(isblank($A502),isblank($B502)),"", not(iserror(vlookup($A502&amp;$B502,'5) Release_Track'!$F:$F&amp;'5) Release_Track'!$G:$G,1,0))),vlookup($A502&amp;$B502,{'5) Release_Track'!$F:$F&amp;'5) Release_Track'!$G:$G,'5) Release_Track'!$H:$H},2,0), or(and(not(isblank($B502)),$B502=$B501,$A502&lt;&gt;$A501),and(not(isblank($A502)),$A502=$A501,$B502&lt;&gt;$B501)),"ID LISTS UNALIGNED",and($A502&lt;&gt;"",countif('5) Release_Track'!$F:$F,$A502)=0),"NO ISRC MATCH in Release_Track",and($B502&lt;&gt;"",countif('5) Release_Track'!$G:$G,$B502)=0),"NO CATALOG ID MATCH in Release_Track",iserror(vlookup($A502&amp;$B502,'5) Release_Track'!$F:$F&amp;'5) Release_Track'!$G:$G,1,0)),"NO ISRC-CATALOG ID pair MATCH in Release_Track" )</f>
        <v/>
      </c>
      <c r="D502" s="121" t="str">
        <f t="array" ref="D502">ifs(and(isblank($A502),isblank($B502)),"", not(iserror(vlookup($A502&amp;$B502,'5) Release_Track'!$F:$F&amp;'5) Release_Track'!$G:$G,1,0))),vlookup($A502&amp;$B502,{'5) Release_Track'!$F:$F&amp;'5) Release_Track'!$G:$G,'5) Release_Track'!$I:$I},2,0), or(and(not(isblank($B502)),$B502=$B501,$A502&lt;&gt;$A501),and(not(isblank($A502)),$A502=$A501,$B502&lt;&gt;$B501)),"ID LISTS UNALIGNED",and($A502&lt;&gt;"",countif('5) Release_Track'!$F:$F,$A502)=0),"NO ISRC MATCH in Release_Track",and($B502&lt;&gt;"",countif('5) Release_Track'!$G:$G,$B502)=0),"NO CATALOG ID MATCH in Release_Track",iserror(vlookup($A502&amp;$B502,'5) Release_Track'!$F:$F&amp;'5) Release_Track'!$G:$G,1,0)),"NO ISRC-CATALOG ID pair MATCH in Release_Track" )</f>
        <v/>
      </c>
      <c r="E502" s="125" t="str">
        <f t="array" ref="E502">ifs(and(isblank($A502),isblank($B502)),"", not(iserror(vlookup($A502&amp;$B502,'5) Release_Track'!$F:$F&amp;'5) Release_Track'!$G:$G,1,0))),vlookup($A502&amp;$B502,{'5) Release_Track'!$F:$F&amp;'5) Release_Track'!$G:$G,'5) Release_Track'!$J:$J},2,0), or(and(not(isblank($B502)),$B502=$B501,$A502&lt;&gt;$A501),and(not(isblank($A502)),$A502=$A501,$B502&lt;&gt;$B501)),"ID LISTS UNALIGNED",and($A502&lt;&gt;"",countif('5) Release_Track'!$F:$F,$A502)=0),"NO ISRC MATCH in Release_Track",and($B502&lt;&gt;"",countif('5) Release_Track'!$G:$G,$B502)=0),"NO CATALOG ID MATCH in Release_Track",iserror(vlookup($A502&amp;$B502,'5) Release_Track'!$F:$F&amp;'5) Release_Track'!$G:$G,1,0)),"NO ISRC-CATALOG ID pair MATCH in Release_Track" )</f>
        <v/>
      </c>
      <c r="F502" s="122"/>
      <c r="G502" s="99"/>
      <c r="H502" s="178"/>
      <c r="I502" s="121" t="str">
        <f t="shared" si="6"/>
        <v/>
      </c>
      <c r="J502" s="99"/>
      <c r="K502" s="99"/>
    </row>
    <row r="503">
      <c r="B503" s="103"/>
      <c r="C503" s="121" t="str">
        <f t="array" ref="C503">ifs(and(isblank($A503),isblank($B503)),"", not(iserror(vlookup($A503&amp;$B503,'5) Release_Track'!$F:$F&amp;'5) Release_Track'!$G:$G,1,0))),vlookup($A503&amp;$B503,{'5) Release_Track'!$F:$F&amp;'5) Release_Track'!$G:$G,'5) Release_Track'!$H:$H},2,0), or(and(not(isblank($B503)),$B503=$B502,$A503&lt;&gt;$A502),and(not(isblank($A503)),$A503=$A502,$B503&lt;&gt;$B502)),"ID LISTS UNALIGNED",and($A503&lt;&gt;"",countif('5) Release_Track'!$F:$F,$A503)=0),"NO ISRC MATCH in Release_Track",and($B503&lt;&gt;"",countif('5) Release_Track'!$G:$G,$B503)=0),"NO CATALOG ID MATCH in Release_Track",iserror(vlookup($A503&amp;$B503,'5) Release_Track'!$F:$F&amp;'5) Release_Track'!$G:$G,1,0)),"NO ISRC-CATALOG ID pair MATCH in Release_Track" )</f>
        <v/>
      </c>
      <c r="D503" s="121" t="str">
        <f t="array" ref="D503">ifs(and(isblank($A503),isblank($B503)),"", not(iserror(vlookup($A503&amp;$B503,'5) Release_Track'!$F:$F&amp;'5) Release_Track'!$G:$G,1,0))),vlookup($A503&amp;$B503,{'5) Release_Track'!$F:$F&amp;'5) Release_Track'!$G:$G,'5) Release_Track'!$I:$I},2,0), or(and(not(isblank($B503)),$B503=$B502,$A503&lt;&gt;$A502),and(not(isblank($A503)),$A503=$A502,$B503&lt;&gt;$B502)),"ID LISTS UNALIGNED",and($A503&lt;&gt;"",countif('5) Release_Track'!$F:$F,$A503)=0),"NO ISRC MATCH in Release_Track",and($B503&lt;&gt;"",countif('5) Release_Track'!$G:$G,$B503)=0),"NO CATALOG ID MATCH in Release_Track",iserror(vlookup($A503&amp;$B503,'5) Release_Track'!$F:$F&amp;'5) Release_Track'!$G:$G,1,0)),"NO ISRC-CATALOG ID pair MATCH in Release_Track" )</f>
        <v/>
      </c>
      <c r="E503" s="125" t="str">
        <f t="array" ref="E503">ifs(and(isblank($A503),isblank($B503)),"", not(iserror(vlookup($A503&amp;$B503,'5) Release_Track'!$F:$F&amp;'5) Release_Track'!$G:$G,1,0))),vlookup($A503&amp;$B503,{'5) Release_Track'!$F:$F&amp;'5) Release_Track'!$G:$G,'5) Release_Track'!$J:$J},2,0), or(and(not(isblank($B503)),$B503=$B502,$A503&lt;&gt;$A502),and(not(isblank($A503)),$A503=$A502,$B503&lt;&gt;$B502)),"ID LISTS UNALIGNED",and($A503&lt;&gt;"",countif('5) Release_Track'!$F:$F,$A503)=0),"NO ISRC MATCH in Release_Track",and($B503&lt;&gt;"",countif('5) Release_Track'!$G:$G,$B503)=0),"NO CATALOG ID MATCH in Release_Track",iserror(vlookup($A503&amp;$B503,'5) Release_Track'!$F:$F&amp;'5) Release_Track'!$G:$G,1,0)),"NO ISRC-CATALOG ID pair MATCH in Release_Track" )</f>
        <v/>
      </c>
      <c r="F503" s="122"/>
      <c r="G503" s="99"/>
      <c r="H503" s="178"/>
      <c r="I503" s="121" t="str">
        <f t="shared" si="6"/>
        <v/>
      </c>
      <c r="J503" s="99"/>
      <c r="K503" s="99"/>
    </row>
    <row r="504">
      <c r="B504" s="103"/>
      <c r="C504" s="121" t="str">
        <f t="array" ref="C504">ifs(and(isblank($A504),isblank($B504)),"", not(iserror(vlookup($A504&amp;$B504,'5) Release_Track'!$F:$F&amp;'5) Release_Track'!$G:$G,1,0))),vlookup($A504&amp;$B504,{'5) Release_Track'!$F:$F&amp;'5) Release_Track'!$G:$G,'5) Release_Track'!$H:$H},2,0), or(and(not(isblank($B504)),$B504=$B503,$A504&lt;&gt;$A503),and(not(isblank($A504)),$A504=$A503,$B504&lt;&gt;$B503)),"ID LISTS UNALIGNED",and($A504&lt;&gt;"",countif('5) Release_Track'!$F:$F,$A504)=0),"NO ISRC MATCH in Release_Track",and($B504&lt;&gt;"",countif('5) Release_Track'!$G:$G,$B504)=0),"NO CATALOG ID MATCH in Release_Track",iserror(vlookup($A504&amp;$B504,'5) Release_Track'!$F:$F&amp;'5) Release_Track'!$G:$G,1,0)),"NO ISRC-CATALOG ID pair MATCH in Release_Track" )</f>
        <v/>
      </c>
      <c r="D504" s="121" t="str">
        <f t="array" ref="D504">ifs(and(isblank($A504),isblank($B504)),"", not(iserror(vlookup($A504&amp;$B504,'5) Release_Track'!$F:$F&amp;'5) Release_Track'!$G:$G,1,0))),vlookup($A504&amp;$B504,{'5) Release_Track'!$F:$F&amp;'5) Release_Track'!$G:$G,'5) Release_Track'!$I:$I},2,0), or(and(not(isblank($B504)),$B504=$B503,$A504&lt;&gt;$A503),and(not(isblank($A504)),$A504=$A503,$B504&lt;&gt;$B503)),"ID LISTS UNALIGNED",and($A504&lt;&gt;"",countif('5) Release_Track'!$F:$F,$A504)=0),"NO ISRC MATCH in Release_Track",and($B504&lt;&gt;"",countif('5) Release_Track'!$G:$G,$B504)=0),"NO CATALOG ID MATCH in Release_Track",iserror(vlookup($A504&amp;$B504,'5) Release_Track'!$F:$F&amp;'5) Release_Track'!$G:$G,1,0)),"NO ISRC-CATALOG ID pair MATCH in Release_Track" )</f>
        <v/>
      </c>
      <c r="E504" s="125" t="str">
        <f t="array" ref="E504">ifs(and(isblank($A504),isblank($B504)),"", not(iserror(vlookup($A504&amp;$B504,'5) Release_Track'!$F:$F&amp;'5) Release_Track'!$G:$G,1,0))),vlookup($A504&amp;$B504,{'5) Release_Track'!$F:$F&amp;'5) Release_Track'!$G:$G,'5) Release_Track'!$J:$J},2,0), or(and(not(isblank($B504)),$B504=$B503,$A504&lt;&gt;$A503),and(not(isblank($A504)),$A504=$A503,$B504&lt;&gt;$B503)),"ID LISTS UNALIGNED",and($A504&lt;&gt;"",countif('5) Release_Track'!$F:$F,$A504)=0),"NO ISRC MATCH in Release_Track",and($B504&lt;&gt;"",countif('5) Release_Track'!$G:$G,$B504)=0),"NO CATALOG ID MATCH in Release_Track",iserror(vlookup($A504&amp;$B504,'5) Release_Track'!$F:$F&amp;'5) Release_Track'!$G:$G,1,0)),"NO ISRC-CATALOG ID pair MATCH in Release_Track" )</f>
        <v/>
      </c>
      <c r="F504" s="122"/>
      <c r="G504" s="99"/>
      <c r="H504" s="178"/>
      <c r="I504" s="121" t="str">
        <f t="shared" si="6"/>
        <v/>
      </c>
      <c r="J504" s="99"/>
      <c r="K504" s="99"/>
    </row>
    <row r="505">
      <c r="B505" s="103"/>
      <c r="C505" s="121" t="str">
        <f t="array" ref="C505">ifs(and(isblank($A505),isblank($B505)),"", not(iserror(vlookup($A505&amp;$B505,'5) Release_Track'!$F:$F&amp;'5) Release_Track'!$G:$G,1,0))),vlookup($A505&amp;$B505,{'5) Release_Track'!$F:$F&amp;'5) Release_Track'!$G:$G,'5) Release_Track'!$H:$H},2,0), or(and(not(isblank($B505)),$B505=$B504,$A505&lt;&gt;$A504),and(not(isblank($A505)),$A505=$A504,$B505&lt;&gt;$B504)),"ID LISTS UNALIGNED",and($A505&lt;&gt;"",countif('5) Release_Track'!$F:$F,$A505)=0),"NO ISRC MATCH in Release_Track",and($B505&lt;&gt;"",countif('5) Release_Track'!$G:$G,$B505)=0),"NO CATALOG ID MATCH in Release_Track",iserror(vlookup($A505&amp;$B505,'5) Release_Track'!$F:$F&amp;'5) Release_Track'!$G:$G,1,0)),"NO ISRC-CATALOG ID pair MATCH in Release_Track" )</f>
        <v/>
      </c>
      <c r="D505" s="121" t="str">
        <f t="array" ref="D505">ifs(and(isblank($A505),isblank($B505)),"", not(iserror(vlookup($A505&amp;$B505,'5) Release_Track'!$F:$F&amp;'5) Release_Track'!$G:$G,1,0))),vlookup($A505&amp;$B505,{'5) Release_Track'!$F:$F&amp;'5) Release_Track'!$G:$G,'5) Release_Track'!$I:$I},2,0), or(and(not(isblank($B505)),$B505=$B504,$A505&lt;&gt;$A504),and(not(isblank($A505)),$A505=$A504,$B505&lt;&gt;$B504)),"ID LISTS UNALIGNED",and($A505&lt;&gt;"",countif('5) Release_Track'!$F:$F,$A505)=0),"NO ISRC MATCH in Release_Track",and($B505&lt;&gt;"",countif('5) Release_Track'!$G:$G,$B505)=0),"NO CATALOG ID MATCH in Release_Track",iserror(vlookup($A505&amp;$B505,'5) Release_Track'!$F:$F&amp;'5) Release_Track'!$G:$G,1,0)),"NO ISRC-CATALOG ID pair MATCH in Release_Track" )</f>
        <v/>
      </c>
      <c r="E505" s="125" t="str">
        <f t="array" ref="E505">ifs(and(isblank($A505),isblank($B505)),"", not(iserror(vlookup($A505&amp;$B505,'5) Release_Track'!$F:$F&amp;'5) Release_Track'!$G:$G,1,0))),vlookup($A505&amp;$B505,{'5) Release_Track'!$F:$F&amp;'5) Release_Track'!$G:$G,'5) Release_Track'!$J:$J},2,0), or(and(not(isblank($B505)),$B505=$B504,$A505&lt;&gt;$A504),and(not(isblank($A505)),$A505=$A504,$B505&lt;&gt;$B504)),"ID LISTS UNALIGNED",and($A505&lt;&gt;"",countif('5) Release_Track'!$F:$F,$A505)=0),"NO ISRC MATCH in Release_Track",and($B505&lt;&gt;"",countif('5) Release_Track'!$G:$G,$B505)=0),"NO CATALOG ID MATCH in Release_Track",iserror(vlookup($A505&amp;$B505,'5) Release_Track'!$F:$F&amp;'5) Release_Track'!$G:$G,1,0)),"NO ISRC-CATALOG ID pair MATCH in Release_Track" )</f>
        <v/>
      </c>
      <c r="F505" s="122"/>
      <c r="G505" s="99"/>
      <c r="H505" s="178"/>
      <c r="I505" s="121" t="str">
        <f t="shared" si="6"/>
        <v/>
      </c>
      <c r="J505" s="99"/>
      <c r="K505" s="99"/>
    </row>
    <row r="506">
      <c r="B506" s="103"/>
      <c r="C506" s="121" t="str">
        <f t="array" ref="C506">ifs(and(isblank($A506),isblank($B506)),"", not(iserror(vlookup($A506&amp;$B506,'5) Release_Track'!$F:$F&amp;'5) Release_Track'!$G:$G,1,0))),vlookup($A506&amp;$B506,{'5) Release_Track'!$F:$F&amp;'5) Release_Track'!$G:$G,'5) Release_Track'!$H:$H},2,0), or(and(not(isblank($B506)),$B506=$B505,$A506&lt;&gt;$A505),and(not(isblank($A506)),$A506=$A505,$B506&lt;&gt;$B505)),"ID LISTS UNALIGNED",and($A506&lt;&gt;"",countif('5) Release_Track'!$F:$F,$A506)=0),"NO ISRC MATCH in Release_Track",and($B506&lt;&gt;"",countif('5) Release_Track'!$G:$G,$B506)=0),"NO CATALOG ID MATCH in Release_Track",iserror(vlookup($A506&amp;$B506,'5) Release_Track'!$F:$F&amp;'5) Release_Track'!$G:$G,1,0)),"NO ISRC-CATALOG ID pair MATCH in Release_Track" )</f>
        <v/>
      </c>
      <c r="D506" s="121" t="str">
        <f t="array" ref="D506">ifs(and(isblank($A506),isblank($B506)),"", not(iserror(vlookup($A506&amp;$B506,'5) Release_Track'!$F:$F&amp;'5) Release_Track'!$G:$G,1,0))),vlookup($A506&amp;$B506,{'5) Release_Track'!$F:$F&amp;'5) Release_Track'!$G:$G,'5) Release_Track'!$I:$I},2,0), or(and(not(isblank($B506)),$B506=$B505,$A506&lt;&gt;$A505),and(not(isblank($A506)),$A506=$A505,$B506&lt;&gt;$B505)),"ID LISTS UNALIGNED",and($A506&lt;&gt;"",countif('5) Release_Track'!$F:$F,$A506)=0),"NO ISRC MATCH in Release_Track",and($B506&lt;&gt;"",countif('5) Release_Track'!$G:$G,$B506)=0),"NO CATALOG ID MATCH in Release_Track",iserror(vlookup($A506&amp;$B506,'5) Release_Track'!$F:$F&amp;'5) Release_Track'!$G:$G,1,0)),"NO ISRC-CATALOG ID pair MATCH in Release_Track" )</f>
        <v/>
      </c>
      <c r="E506" s="125" t="str">
        <f t="array" ref="E506">ifs(and(isblank($A506),isblank($B506)),"", not(iserror(vlookup($A506&amp;$B506,'5) Release_Track'!$F:$F&amp;'5) Release_Track'!$G:$G,1,0))),vlookup($A506&amp;$B506,{'5) Release_Track'!$F:$F&amp;'5) Release_Track'!$G:$G,'5) Release_Track'!$J:$J},2,0), or(and(not(isblank($B506)),$B506=$B505,$A506&lt;&gt;$A505),and(not(isblank($A506)),$A506=$A505,$B506&lt;&gt;$B505)),"ID LISTS UNALIGNED",and($A506&lt;&gt;"",countif('5) Release_Track'!$F:$F,$A506)=0),"NO ISRC MATCH in Release_Track",and($B506&lt;&gt;"",countif('5) Release_Track'!$G:$G,$B506)=0),"NO CATALOG ID MATCH in Release_Track",iserror(vlookup($A506&amp;$B506,'5) Release_Track'!$F:$F&amp;'5) Release_Track'!$G:$G,1,0)),"NO ISRC-CATALOG ID pair MATCH in Release_Track" )</f>
        <v/>
      </c>
      <c r="F506" s="122"/>
      <c r="G506" s="99"/>
      <c r="H506" s="178"/>
      <c r="I506" s="121" t="str">
        <f t="shared" si="6"/>
        <v/>
      </c>
      <c r="J506" s="99"/>
      <c r="K506" s="99"/>
    </row>
    <row r="507">
      <c r="B507" s="103"/>
      <c r="C507" s="121" t="str">
        <f t="array" ref="C507">ifs(and(isblank($A507),isblank($B507)),"", not(iserror(vlookup($A507&amp;$B507,'5) Release_Track'!$F:$F&amp;'5) Release_Track'!$G:$G,1,0))),vlookup($A507&amp;$B507,{'5) Release_Track'!$F:$F&amp;'5) Release_Track'!$G:$G,'5) Release_Track'!$H:$H},2,0), or(and(not(isblank($B507)),$B507=$B506,$A507&lt;&gt;$A506),and(not(isblank($A507)),$A507=$A506,$B507&lt;&gt;$B506)),"ID LISTS UNALIGNED",and($A507&lt;&gt;"",countif('5) Release_Track'!$F:$F,$A507)=0),"NO ISRC MATCH in Release_Track",and($B507&lt;&gt;"",countif('5) Release_Track'!$G:$G,$B507)=0),"NO CATALOG ID MATCH in Release_Track",iserror(vlookup($A507&amp;$B507,'5) Release_Track'!$F:$F&amp;'5) Release_Track'!$G:$G,1,0)),"NO ISRC-CATALOG ID pair MATCH in Release_Track" )</f>
        <v/>
      </c>
      <c r="D507" s="121" t="str">
        <f t="array" ref="D507">ifs(and(isblank($A507),isblank($B507)),"", not(iserror(vlookup($A507&amp;$B507,'5) Release_Track'!$F:$F&amp;'5) Release_Track'!$G:$G,1,0))),vlookup($A507&amp;$B507,{'5) Release_Track'!$F:$F&amp;'5) Release_Track'!$G:$G,'5) Release_Track'!$I:$I},2,0), or(and(not(isblank($B507)),$B507=$B506,$A507&lt;&gt;$A506),and(not(isblank($A507)),$A507=$A506,$B507&lt;&gt;$B506)),"ID LISTS UNALIGNED",and($A507&lt;&gt;"",countif('5) Release_Track'!$F:$F,$A507)=0),"NO ISRC MATCH in Release_Track",and($B507&lt;&gt;"",countif('5) Release_Track'!$G:$G,$B507)=0),"NO CATALOG ID MATCH in Release_Track",iserror(vlookup($A507&amp;$B507,'5) Release_Track'!$F:$F&amp;'5) Release_Track'!$G:$G,1,0)),"NO ISRC-CATALOG ID pair MATCH in Release_Track" )</f>
        <v/>
      </c>
      <c r="E507" s="125" t="str">
        <f t="array" ref="E507">ifs(and(isblank($A507),isblank($B507)),"", not(iserror(vlookup($A507&amp;$B507,'5) Release_Track'!$F:$F&amp;'5) Release_Track'!$G:$G,1,0))),vlookup($A507&amp;$B507,{'5) Release_Track'!$F:$F&amp;'5) Release_Track'!$G:$G,'5) Release_Track'!$J:$J},2,0), or(and(not(isblank($B507)),$B507=$B506,$A507&lt;&gt;$A506),and(not(isblank($A507)),$A507=$A506,$B507&lt;&gt;$B506)),"ID LISTS UNALIGNED",and($A507&lt;&gt;"",countif('5) Release_Track'!$F:$F,$A507)=0),"NO ISRC MATCH in Release_Track",and($B507&lt;&gt;"",countif('5) Release_Track'!$G:$G,$B507)=0),"NO CATALOG ID MATCH in Release_Track",iserror(vlookup($A507&amp;$B507,'5) Release_Track'!$F:$F&amp;'5) Release_Track'!$G:$G,1,0)),"NO ISRC-CATALOG ID pair MATCH in Release_Track" )</f>
        <v/>
      </c>
      <c r="F507" s="122"/>
      <c r="G507" s="99"/>
      <c r="H507" s="178"/>
      <c r="I507" s="121" t="str">
        <f t="shared" si="6"/>
        <v/>
      </c>
      <c r="J507" s="99"/>
      <c r="K507" s="99"/>
    </row>
    <row r="508">
      <c r="B508" s="103"/>
      <c r="C508" s="121" t="str">
        <f t="array" ref="C508">ifs(and(isblank($A508),isblank($B508)),"", not(iserror(vlookup($A508&amp;$B508,'5) Release_Track'!$F:$F&amp;'5) Release_Track'!$G:$G,1,0))),vlookup($A508&amp;$B508,{'5) Release_Track'!$F:$F&amp;'5) Release_Track'!$G:$G,'5) Release_Track'!$H:$H},2,0), or(and(not(isblank($B508)),$B508=$B507,$A508&lt;&gt;$A507),and(not(isblank($A508)),$A508=$A507,$B508&lt;&gt;$B507)),"ID LISTS UNALIGNED",and($A508&lt;&gt;"",countif('5) Release_Track'!$F:$F,$A508)=0),"NO ISRC MATCH in Release_Track",and($B508&lt;&gt;"",countif('5) Release_Track'!$G:$G,$B508)=0),"NO CATALOG ID MATCH in Release_Track",iserror(vlookup($A508&amp;$B508,'5) Release_Track'!$F:$F&amp;'5) Release_Track'!$G:$G,1,0)),"NO ISRC-CATALOG ID pair MATCH in Release_Track" )</f>
        <v/>
      </c>
      <c r="D508" s="121" t="str">
        <f t="array" ref="D508">ifs(and(isblank($A508),isblank($B508)),"", not(iserror(vlookup($A508&amp;$B508,'5) Release_Track'!$F:$F&amp;'5) Release_Track'!$G:$G,1,0))),vlookup($A508&amp;$B508,{'5) Release_Track'!$F:$F&amp;'5) Release_Track'!$G:$G,'5) Release_Track'!$I:$I},2,0), or(and(not(isblank($B508)),$B508=$B507,$A508&lt;&gt;$A507),and(not(isblank($A508)),$A508=$A507,$B508&lt;&gt;$B507)),"ID LISTS UNALIGNED",and($A508&lt;&gt;"",countif('5) Release_Track'!$F:$F,$A508)=0),"NO ISRC MATCH in Release_Track",and($B508&lt;&gt;"",countif('5) Release_Track'!$G:$G,$B508)=0),"NO CATALOG ID MATCH in Release_Track",iserror(vlookup($A508&amp;$B508,'5) Release_Track'!$F:$F&amp;'5) Release_Track'!$G:$G,1,0)),"NO ISRC-CATALOG ID pair MATCH in Release_Track" )</f>
        <v/>
      </c>
      <c r="E508" s="125" t="str">
        <f t="array" ref="E508">ifs(and(isblank($A508),isblank($B508)),"", not(iserror(vlookup($A508&amp;$B508,'5) Release_Track'!$F:$F&amp;'5) Release_Track'!$G:$G,1,0))),vlookup($A508&amp;$B508,{'5) Release_Track'!$F:$F&amp;'5) Release_Track'!$G:$G,'5) Release_Track'!$J:$J},2,0), or(and(not(isblank($B508)),$B508=$B507,$A508&lt;&gt;$A507),and(not(isblank($A508)),$A508=$A507,$B508&lt;&gt;$B507)),"ID LISTS UNALIGNED",and($A508&lt;&gt;"",countif('5) Release_Track'!$F:$F,$A508)=0),"NO ISRC MATCH in Release_Track",and($B508&lt;&gt;"",countif('5) Release_Track'!$G:$G,$B508)=0),"NO CATALOG ID MATCH in Release_Track",iserror(vlookup($A508&amp;$B508,'5) Release_Track'!$F:$F&amp;'5) Release_Track'!$G:$G,1,0)),"NO ISRC-CATALOG ID pair MATCH in Release_Track" )</f>
        <v/>
      </c>
      <c r="F508" s="122"/>
      <c r="G508" s="99"/>
      <c r="H508" s="178"/>
      <c r="I508" s="121" t="str">
        <f t="shared" si="6"/>
        <v/>
      </c>
      <c r="J508" s="99"/>
      <c r="K508" s="99"/>
    </row>
    <row r="509">
      <c r="B509" s="103"/>
      <c r="C509" s="121" t="str">
        <f t="array" ref="C509">ifs(and(isblank($A509),isblank($B509)),"", not(iserror(vlookup($A509&amp;$B509,'5) Release_Track'!$F:$F&amp;'5) Release_Track'!$G:$G,1,0))),vlookup($A509&amp;$B509,{'5) Release_Track'!$F:$F&amp;'5) Release_Track'!$G:$G,'5) Release_Track'!$H:$H},2,0), or(and(not(isblank($B509)),$B509=$B508,$A509&lt;&gt;$A508),and(not(isblank($A509)),$A509=$A508,$B509&lt;&gt;$B508)),"ID LISTS UNALIGNED",and($A509&lt;&gt;"",countif('5) Release_Track'!$F:$F,$A509)=0),"NO ISRC MATCH in Release_Track",and($B509&lt;&gt;"",countif('5) Release_Track'!$G:$G,$B509)=0),"NO CATALOG ID MATCH in Release_Track",iserror(vlookup($A509&amp;$B509,'5) Release_Track'!$F:$F&amp;'5) Release_Track'!$G:$G,1,0)),"NO ISRC-CATALOG ID pair MATCH in Release_Track" )</f>
        <v/>
      </c>
      <c r="D509" s="121" t="str">
        <f t="array" ref="D509">ifs(and(isblank($A509),isblank($B509)),"", not(iserror(vlookup($A509&amp;$B509,'5) Release_Track'!$F:$F&amp;'5) Release_Track'!$G:$G,1,0))),vlookup($A509&amp;$B509,{'5) Release_Track'!$F:$F&amp;'5) Release_Track'!$G:$G,'5) Release_Track'!$I:$I},2,0), or(and(not(isblank($B509)),$B509=$B508,$A509&lt;&gt;$A508),and(not(isblank($A509)),$A509=$A508,$B509&lt;&gt;$B508)),"ID LISTS UNALIGNED",and($A509&lt;&gt;"",countif('5) Release_Track'!$F:$F,$A509)=0),"NO ISRC MATCH in Release_Track",and($B509&lt;&gt;"",countif('5) Release_Track'!$G:$G,$B509)=0),"NO CATALOG ID MATCH in Release_Track",iserror(vlookup($A509&amp;$B509,'5) Release_Track'!$F:$F&amp;'5) Release_Track'!$G:$G,1,0)),"NO ISRC-CATALOG ID pair MATCH in Release_Track" )</f>
        <v/>
      </c>
      <c r="E509" s="125" t="str">
        <f t="array" ref="E509">ifs(and(isblank($A509),isblank($B509)),"", not(iserror(vlookup($A509&amp;$B509,'5) Release_Track'!$F:$F&amp;'5) Release_Track'!$G:$G,1,0))),vlookup($A509&amp;$B509,{'5) Release_Track'!$F:$F&amp;'5) Release_Track'!$G:$G,'5) Release_Track'!$J:$J},2,0), or(and(not(isblank($B509)),$B509=$B508,$A509&lt;&gt;$A508),and(not(isblank($A509)),$A509=$A508,$B509&lt;&gt;$B508)),"ID LISTS UNALIGNED",and($A509&lt;&gt;"",countif('5) Release_Track'!$F:$F,$A509)=0),"NO ISRC MATCH in Release_Track",and($B509&lt;&gt;"",countif('5) Release_Track'!$G:$G,$B509)=0),"NO CATALOG ID MATCH in Release_Track",iserror(vlookup($A509&amp;$B509,'5) Release_Track'!$F:$F&amp;'5) Release_Track'!$G:$G,1,0)),"NO ISRC-CATALOG ID pair MATCH in Release_Track" )</f>
        <v/>
      </c>
      <c r="F509" s="122"/>
      <c r="G509" s="99"/>
      <c r="H509" s="178"/>
      <c r="I509" s="121" t="str">
        <f t="shared" si="6"/>
        <v/>
      </c>
      <c r="J509" s="99"/>
      <c r="K509" s="99"/>
    </row>
    <row r="510">
      <c r="B510" s="103"/>
      <c r="C510" s="121" t="str">
        <f t="array" ref="C510">ifs(and(isblank($A510),isblank($B510)),"", not(iserror(vlookup($A510&amp;$B510,'5) Release_Track'!$F:$F&amp;'5) Release_Track'!$G:$G,1,0))),vlookup($A510&amp;$B510,{'5) Release_Track'!$F:$F&amp;'5) Release_Track'!$G:$G,'5) Release_Track'!$H:$H},2,0), or(and(not(isblank($B510)),$B510=$B509,$A510&lt;&gt;$A509),and(not(isblank($A510)),$A510=$A509,$B510&lt;&gt;$B509)),"ID LISTS UNALIGNED",and($A510&lt;&gt;"",countif('5) Release_Track'!$F:$F,$A510)=0),"NO ISRC MATCH in Release_Track",and($B510&lt;&gt;"",countif('5) Release_Track'!$G:$G,$B510)=0),"NO CATALOG ID MATCH in Release_Track",iserror(vlookup($A510&amp;$B510,'5) Release_Track'!$F:$F&amp;'5) Release_Track'!$G:$G,1,0)),"NO ISRC-CATALOG ID pair MATCH in Release_Track" )</f>
        <v/>
      </c>
      <c r="D510" s="121" t="str">
        <f t="array" ref="D510">ifs(and(isblank($A510),isblank($B510)),"", not(iserror(vlookup($A510&amp;$B510,'5) Release_Track'!$F:$F&amp;'5) Release_Track'!$G:$G,1,0))),vlookup($A510&amp;$B510,{'5) Release_Track'!$F:$F&amp;'5) Release_Track'!$G:$G,'5) Release_Track'!$I:$I},2,0), or(and(not(isblank($B510)),$B510=$B509,$A510&lt;&gt;$A509),and(not(isblank($A510)),$A510=$A509,$B510&lt;&gt;$B509)),"ID LISTS UNALIGNED",and($A510&lt;&gt;"",countif('5) Release_Track'!$F:$F,$A510)=0),"NO ISRC MATCH in Release_Track",and($B510&lt;&gt;"",countif('5) Release_Track'!$G:$G,$B510)=0),"NO CATALOG ID MATCH in Release_Track",iserror(vlookup($A510&amp;$B510,'5) Release_Track'!$F:$F&amp;'5) Release_Track'!$G:$G,1,0)),"NO ISRC-CATALOG ID pair MATCH in Release_Track" )</f>
        <v/>
      </c>
      <c r="E510" s="125" t="str">
        <f t="array" ref="E510">ifs(and(isblank($A510),isblank($B510)),"", not(iserror(vlookup($A510&amp;$B510,'5) Release_Track'!$F:$F&amp;'5) Release_Track'!$G:$G,1,0))),vlookup($A510&amp;$B510,{'5) Release_Track'!$F:$F&amp;'5) Release_Track'!$G:$G,'5) Release_Track'!$J:$J},2,0), or(and(not(isblank($B510)),$B510=$B509,$A510&lt;&gt;$A509),and(not(isblank($A510)),$A510=$A509,$B510&lt;&gt;$B509)),"ID LISTS UNALIGNED",and($A510&lt;&gt;"",countif('5) Release_Track'!$F:$F,$A510)=0),"NO ISRC MATCH in Release_Track",and($B510&lt;&gt;"",countif('5) Release_Track'!$G:$G,$B510)=0),"NO CATALOG ID MATCH in Release_Track",iserror(vlookup($A510&amp;$B510,'5) Release_Track'!$F:$F&amp;'5) Release_Track'!$G:$G,1,0)),"NO ISRC-CATALOG ID pair MATCH in Release_Track" )</f>
        <v/>
      </c>
      <c r="F510" s="122"/>
      <c r="G510" s="99"/>
      <c r="H510" s="178"/>
      <c r="I510" s="121" t="str">
        <f t="shared" si="6"/>
        <v/>
      </c>
      <c r="J510" s="99"/>
      <c r="K510" s="99"/>
    </row>
    <row r="511">
      <c r="B511" s="103"/>
      <c r="C511" s="121" t="str">
        <f t="array" ref="C511">ifs(and(isblank($A511),isblank($B511)),"", not(iserror(vlookup($A511&amp;$B511,'5) Release_Track'!$F:$F&amp;'5) Release_Track'!$G:$G,1,0))),vlookup($A511&amp;$B511,{'5) Release_Track'!$F:$F&amp;'5) Release_Track'!$G:$G,'5) Release_Track'!$H:$H},2,0), or(and(not(isblank($B511)),$B511=$B510,$A511&lt;&gt;$A510),and(not(isblank($A511)),$A511=$A510,$B511&lt;&gt;$B510)),"ID LISTS UNALIGNED",and($A511&lt;&gt;"",countif('5) Release_Track'!$F:$F,$A511)=0),"NO ISRC MATCH in Release_Track",and($B511&lt;&gt;"",countif('5) Release_Track'!$G:$G,$B511)=0),"NO CATALOG ID MATCH in Release_Track",iserror(vlookup($A511&amp;$B511,'5) Release_Track'!$F:$F&amp;'5) Release_Track'!$G:$G,1,0)),"NO ISRC-CATALOG ID pair MATCH in Release_Track" )</f>
        <v/>
      </c>
      <c r="D511" s="121" t="str">
        <f t="array" ref="D511">ifs(and(isblank($A511),isblank($B511)),"", not(iserror(vlookup($A511&amp;$B511,'5) Release_Track'!$F:$F&amp;'5) Release_Track'!$G:$G,1,0))),vlookup($A511&amp;$B511,{'5) Release_Track'!$F:$F&amp;'5) Release_Track'!$G:$G,'5) Release_Track'!$I:$I},2,0), or(and(not(isblank($B511)),$B511=$B510,$A511&lt;&gt;$A510),and(not(isblank($A511)),$A511=$A510,$B511&lt;&gt;$B510)),"ID LISTS UNALIGNED",and($A511&lt;&gt;"",countif('5) Release_Track'!$F:$F,$A511)=0),"NO ISRC MATCH in Release_Track",and($B511&lt;&gt;"",countif('5) Release_Track'!$G:$G,$B511)=0),"NO CATALOG ID MATCH in Release_Track",iserror(vlookup($A511&amp;$B511,'5) Release_Track'!$F:$F&amp;'5) Release_Track'!$G:$G,1,0)),"NO ISRC-CATALOG ID pair MATCH in Release_Track" )</f>
        <v/>
      </c>
      <c r="E511" s="125" t="str">
        <f t="array" ref="E511">ifs(and(isblank($A511),isblank($B511)),"", not(iserror(vlookup($A511&amp;$B511,'5) Release_Track'!$F:$F&amp;'5) Release_Track'!$G:$G,1,0))),vlookup($A511&amp;$B511,{'5) Release_Track'!$F:$F&amp;'5) Release_Track'!$G:$G,'5) Release_Track'!$J:$J},2,0), or(and(not(isblank($B511)),$B511=$B510,$A511&lt;&gt;$A510),and(not(isblank($A511)),$A511=$A510,$B511&lt;&gt;$B510)),"ID LISTS UNALIGNED",and($A511&lt;&gt;"",countif('5) Release_Track'!$F:$F,$A511)=0),"NO ISRC MATCH in Release_Track",and($B511&lt;&gt;"",countif('5) Release_Track'!$G:$G,$B511)=0),"NO CATALOG ID MATCH in Release_Track",iserror(vlookup($A511&amp;$B511,'5) Release_Track'!$F:$F&amp;'5) Release_Track'!$G:$G,1,0)),"NO ISRC-CATALOG ID pair MATCH in Release_Track" )</f>
        <v/>
      </c>
      <c r="F511" s="122"/>
      <c r="G511" s="99"/>
      <c r="H511" s="178"/>
      <c r="I511" s="121" t="str">
        <f t="shared" si="6"/>
        <v/>
      </c>
      <c r="J511" s="99"/>
      <c r="K511" s="99"/>
    </row>
    <row r="512">
      <c r="B512" s="103"/>
      <c r="C512" s="121" t="str">
        <f t="array" ref="C512">ifs(and(isblank($A512),isblank($B512)),"", not(iserror(vlookup($A512&amp;$B512,'5) Release_Track'!$F:$F&amp;'5) Release_Track'!$G:$G,1,0))),vlookup($A512&amp;$B512,{'5) Release_Track'!$F:$F&amp;'5) Release_Track'!$G:$G,'5) Release_Track'!$H:$H},2,0), or(and(not(isblank($B512)),$B512=$B511,$A512&lt;&gt;$A511),and(not(isblank($A512)),$A512=$A511,$B512&lt;&gt;$B511)),"ID LISTS UNALIGNED",and($A512&lt;&gt;"",countif('5) Release_Track'!$F:$F,$A512)=0),"NO ISRC MATCH in Release_Track",and($B512&lt;&gt;"",countif('5) Release_Track'!$G:$G,$B512)=0),"NO CATALOG ID MATCH in Release_Track",iserror(vlookup($A512&amp;$B512,'5) Release_Track'!$F:$F&amp;'5) Release_Track'!$G:$G,1,0)),"NO ISRC-CATALOG ID pair MATCH in Release_Track" )</f>
        <v/>
      </c>
      <c r="D512" s="121" t="str">
        <f t="array" ref="D512">ifs(and(isblank($A512),isblank($B512)),"", not(iserror(vlookup($A512&amp;$B512,'5) Release_Track'!$F:$F&amp;'5) Release_Track'!$G:$G,1,0))),vlookup($A512&amp;$B512,{'5) Release_Track'!$F:$F&amp;'5) Release_Track'!$G:$G,'5) Release_Track'!$I:$I},2,0), or(and(not(isblank($B512)),$B512=$B511,$A512&lt;&gt;$A511),and(not(isblank($A512)),$A512=$A511,$B512&lt;&gt;$B511)),"ID LISTS UNALIGNED",and($A512&lt;&gt;"",countif('5) Release_Track'!$F:$F,$A512)=0),"NO ISRC MATCH in Release_Track",and($B512&lt;&gt;"",countif('5) Release_Track'!$G:$G,$B512)=0),"NO CATALOG ID MATCH in Release_Track",iserror(vlookup($A512&amp;$B512,'5) Release_Track'!$F:$F&amp;'5) Release_Track'!$G:$G,1,0)),"NO ISRC-CATALOG ID pair MATCH in Release_Track" )</f>
        <v/>
      </c>
      <c r="E512" s="125" t="str">
        <f t="array" ref="E512">ifs(and(isblank($A512),isblank($B512)),"", not(iserror(vlookup($A512&amp;$B512,'5) Release_Track'!$F:$F&amp;'5) Release_Track'!$G:$G,1,0))),vlookup($A512&amp;$B512,{'5) Release_Track'!$F:$F&amp;'5) Release_Track'!$G:$G,'5) Release_Track'!$J:$J},2,0), or(and(not(isblank($B512)),$B512=$B511,$A512&lt;&gt;$A511),and(not(isblank($A512)),$A512=$A511,$B512&lt;&gt;$B511)),"ID LISTS UNALIGNED",and($A512&lt;&gt;"",countif('5) Release_Track'!$F:$F,$A512)=0),"NO ISRC MATCH in Release_Track",and($B512&lt;&gt;"",countif('5) Release_Track'!$G:$G,$B512)=0),"NO CATALOG ID MATCH in Release_Track",iserror(vlookup($A512&amp;$B512,'5) Release_Track'!$F:$F&amp;'5) Release_Track'!$G:$G,1,0)),"NO ISRC-CATALOG ID pair MATCH in Release_Track" )</f>
        <v/>
      </c>
      <c r="F512" s="122"/>
      <c r="G512" s="99"/>
      <c r="H512" s="178"/>
      <c r="I512" s="121" t="str">
        <f t="shared" si="6"/>
        <v/>
      </c>
      <c r="J512" s="99"/>
      <c r="K512" s="99"/>
    </row>
    <row r="513">
      <c r="B513" s="103"/>
      <c r="C513" s="121" t="str">
        <f t="array" ref="C513">ifs(and(isblank($A513),isblank($B513)),"", not(iserror(vlookup($A513&amp;$B513,'5) Release_Track'!$F:$F&amp;'5) Release_Track'!$G:$G,1,0))),vlookup($A513&amp;$B513,{'5) Release_Track'!$F:$F&amp;'5) Release_Track'!$G:$G,'5) Release_Track'!$H:$H},2,0), or(and(not(isblank($B513)),$B513=$B512,$A513&lt;&gt;$A512),and(not(isblank($A513)),$A513=$A512,$B513&lt;&gt;$B512)),"ID LISTS UNALIGNED",and($A513&lt;&gt;"",countif('5) Release_Track'!$F:$F,$A513)=0),"NO ISRC MATCH in Release_Track",and($B513&lt;&gt;"",countif('5) Release_Track'!$G:$G,$B513)=0),"NO CATALOG ID MATCH in Release_Track",iserror(vlookup($A513&amp;$B513,'5) Release_Track'!$F:$F&amp;'5) Release_Track'!$G:$G,1,0)),"NO ISRC-CATALOG ID pair MATCH in Release_Track" )</f>
        <v/>
      </c>
      <c r="D513" s="121" t="str">
        <f t="array" ref="D513">ifs(and(isblank($A513),isblank($B513)),"", not(iserror(vlookup($A513&amp;$B513,'5) Release_Track'!$F:$F&amp;'5) Release_Track'!$G:$G,1,0))),vlookup($A513&amp;$B513,{'5) Release_Track'!$F:$F&amp;'5) Release_Track'!$G:$G,'5) Release_Track'!$I:$I},2,0), or(and(not(isblank($B513)),$B513=$B512,$A513&lt;&gt;$A512),and(not(isblank($A513)),$A513=$A512,$B513&lt;&gt;$B512)),"ID LISTS UNALIGNED",and($A513&lt;&gt;"",countif('5) Release_Track'!$F:$F,$A513)=0),"NO ISRC MATCH in Release_Track",and($B513&lt;&gt;"",countif('5) Release_Track'!$G:$G,$B513)=0),"NO CATALOG ID MATCH in Release_Track",iserror(vlookup($A513&amp;$B513,'5) Release_Track'!$F:$F&amp;'5) Release_Track'!$G:$G,1,0)),"NO ISRC-CATALOG ID pair MATCH in Release_Track" )</f>
        <v/>
      </c>
      <c r="E513" s="125" t="str">
        <f t="array" ref="E513">ifs(and(isblank($A513),isblank($B513)),"", not(iserror(vlookup($A513&amp;$B513,'5) Release_Track'!$F:$F&amp;'5) Release_Track'!$G:$G,1,0))),vlookup($A513&amp;$B513,{'5) Release_Track'!$F:$F&amp;'5) Release_Track'!$G:$G,'5) Release_Track'!$J:$J},2,0), or(and(not(isblank($B513)),$B513=$B512,$A513&lt;&gt;$A512),and(not(isblank($A513)),$A513=$A512,$B513&lt;&gt;$B512)),"ID LISTS UNALIGNED",and($A513&lt;&gt;"",countif('5) Release_Track'!$F:$F,$A513)=0),"NO ISRC MATCH in Release_Track",and($B513&lt;&gt;"",countif('5) Release_Track'!$G:$G,$B513)=0),"NO CATALOG ID MATCH in Release_Track",iserror(vlookup($A513&amp;$B513,'5) Release_Track'!$F:$F&amp;'5) Release_Track'!$G:$G,1,0)),"NO ISRC-CATALOG ID pair MATCH in Release_Track" )</f>
        <v/>
      </c>
      <c r="F513" s="122"/>
      <c r="G513" s="99"/>
      <c r="H513" s="178"/>
      <c r="I513" s="121" t="str">
        <f t="shared" si="6"/>
        <v/>
      </c>
      <c r="J513" s="99"/>
      <c r="K513" s="99"/>
    </row>
    <row r="514">
      <c r="B514" s="103"/>
      <c r="C514" s="121" t="str">
        <f t="array" ref="C514">ifs(and(isblank($A514),isblank($B514)),"", not(iserror(vlookup($A514&amp;$B514,'5) Release_Track'!$F:$F&amp;'5) Release_Track'!$G:$G,1,0))),vlookup($A514&amp;$B514,{'5) Release_Track'!$F:$F&amp;'5) Release_Track'!$G:$G,'5) Release_Track'!$H:$H},2,0), or(and(not(isblank($B514)),$B514=$B513,$A514&lt;&gt;$A513),and(not(isblank($A514)),$A514=$A513,$B514&lt;&gt;$B513)),"ID LISTS UNALIGNED",and($A514&lt;&gt;"",countif('5) Release_Track'!$F:$F,$A514)=0),"NO ISRC MATCH in Release_Track",and($B514&lt;&gt;"",countif('5) Release_Track'!$G:$G,$B514)=0),"NO CATALOG ID MATCH in Release_Track",iserror(vlookup($A514&amp;$B514,'5) Release_Track'!$F:$F&amp;'5) Release_Track'!$G:$G,1,0)),"NO ISRC-CATALOG ID pair MATCH in Release_Track" )</f>
        <v/>
      </c>
      <c r="D514" s="121" t="str">
        <f t="array" ref="D514">ifs(and(isblank($A514),isblank($B514)),"", not(iserror(vlookup($A514&amp;$B514,'5) Release_Track'!$F:$F&amp;'5) Release_Track'!$G:$G,1,0))),vlookup($A514&amp;$B514,{'5) Release_Track'!$F:$F&amp;'5) Release_Track'!$G:$G,'5) Release_Track'!$I:$I},2,0), or(and(not(isblank($B514)),$B514=$B513,$A514&lt;&gt;$A513),and(not(isblank($A514)),$A514=$A513,$B514&lt;&gt;$B513)),"ID LISTS UNALIGNED",and($A514&lt;&gt;"",countif('5) Release_Track'!$F:$F,$A514)=0),"NO ISRC MATCH in Release_Track",and($B514&lt;&gt;"",countif('5) Release_Track'!$G:$G,$B514)=0),"NO CATALOG ID MATCH in Release_Track",iserror(vlookup($A514&amp;$B514,'5) Release_Track'!$F:$F&amp;'5) Release_Track'!$G:$G,1,0)),"NO ISRC-CATALOG ID pair MATCH in Release_Track" )</f>
        <v/>
      </c>
      <c r="E514" s="125" t="str">
        <f t="array" ref="E514">ifs(and(isblank($A514),isblank($B514)),"", not(iserror(vlookup($A514&amp;$B514,'5) Release_Track'!$F:$F&amp;'5) Release_Track'!$G:$G,1,0))),vlookup($A514&amp;$B514,{'5) Release_Track'!$F:$F&amp;'5) Release_Track'!$G:$G,'5) Release_Track'!$J:$J},2,0), or(and(not(isblank($B514)),$B514=$B513,$A514&lt;&gt;$A513),and(not(isblank($A514)),$A514=$A513,$B514&lt;&gt;$B513)),"ID LISTS UNALIGNED",and($A514&lt;&gt;"",countif('5) Release_Track'!$F:$F,$A514)=0),"NO ISRC MATCH in Release_Track",and($B514&lt;&gt;"",countif('5) Release_Track'!$G:$G,$B514)=0),"NO CATALOG ID MATCH in Release_Track",iserror(vlookup($A514&amp;$B514,'5) Release_Track'!$F:$F&amp;'5) Release_Track'!$G:$G,1,0)),"NO ISRC-CATALOG ID pair MATCH in Release_Track" )</f>
        <v/>
      </c>
      <c r="F514" s="122"/>
      <c r="G514" s="99"/>
      <c r="H514" s="178"/>
      <c r="I514" s="121" t="str">
        <f t="shared" si="6"/>
        <v/>
      </c>
      <c r="J514" s="99"/>
      <c r="K514" s="99"/>
    </row>
    <row r="515">
      <c r="B515" s="103"/>
      <c r="C515" s="121" t="str">
        <f t="array" ref="C515">ifs(and(isblank($A515),isblank($B515)),"", not(iserror(vlookup($A515&amp;$B515,'5) Release_Track'!$F:$F&amp;'5) Release_Track'!$G:$G,1,0))),vlookup($A515&amp;$B515,{'5) Release_Track'!$F:$F&amp;'5) Release_Track'!$G:$G,'5) Release_Track'!$H:$H},2,0), or(and(not(isblank($B515)),$B515=$B514,$A515&lt;&gt;$A514),and(not(isblank($A515)),$A515=$A514,$B515&lt;&gt;$B514)),"ID LISTS UNALIGNED",and($A515&lt;&gt;"",countif('5) Release_Track'!$F:$F,$A515)=0),"NO ISRC MATCH in Release_Track",and($B515&lt;&gt;"",countif('5) Release_Track'!$G:$G,$B515)=0),"NO CATALOG ID MATCH in Release_Track",iserror(vlookup($A515&amp;$B515,'5) Release_Track'!$F:$F&amp;'5) Release_Track'!$G:$G,1,0)),"NO ISRC-CATALOG ID pair MATCH in Release_Track" )</f>
        <v/>
      </c>
      <c r="D515" s="121" t="str">
        <f t="array" ref="D515">ifs(and(isblank($A515),isblank($B515)),"", not(iserror(vlookup($A515&amp;$B515,'5) Release_Track'!$F:$F&amp;'5) Release_Track'!$G:$G,1,0))),vlookup($A515&amp;$B515,{'5) Release_Track'!$F:$F&amp;'5) Release_Track'!$G:$G,'5) Release_Track'!$I:$I},2,0), or(and(not(isblank($B515)),$B515=$B514,$A515&lt;&gt;$A514),and(not(isblank($A515)),$A515=$A514,$B515&lt;&gt;$B514)),"ID LISTS UNALIGNED",and($A515&lt;&gt;"",countif('5) Release_Track'!$F:$F,$A515)=0),"NO ISRC MATCH in Release_Track",and($B515&lt;&gt;"",countif('5) Release_Track'!$G:$G,$B515)=0),"NO CATALOG ID MATCH in Release_Track",iserror(vlookup($A515&amp;$B515,'5) Release_Track'!$F:$F&amp;'5) Release_Track'!$G:$G,1,0)),"NO ISRC-CATALOG ID pair MATCH in Release_Track" )</f>
        <v/>
      </c>
      <c r="E515" s="125" t="str">
        <f t="array" ref="E515">ifs(and(isblank($A515),isblank($B515)),"", not(iserror(vlookup($A515&amp;$B515,'5) Release_Track'!$F:$F&amp;'5) Release_Track'!$G:$G,1,0))),vlookup($A515&amp;$B515,{'5) Release_Track'!$F:$F&amp;'5) Release_Track'!$G:$G,'5) Release_Track'!$J:$J},2,0), or(and(not(isblank($B515)),$B515=$B514,$A515&lt;&gt;$A514),and(not(isblank($A515)),$A515=$A514,$B515&lt;&gt;$B514)),"ID LISTS UNALIGNED",and($A515&lt;&gt;"",countif('5) Release_Track'!$F:$F,$A515)=0),"NO ISRC MATCH in Release_Track",and($B515&lt;&gt;"",countif('5) Release_Track'!$G:$G,$B515)=0),"NO CATALOG ID MATCH in Release_Track",iserror(vlookup($A515&amp;$B515,'5) Release_Track'!$F:$F&amp;'5) Release_Track'!$G:$G,1,0)),"NO ISRC-CATALOG ID pair MATCH in Release_Track" )</f>
        <v/>
      </c>
      <c r="F515" s="122"/>
      <c r="G515" s="99"/>
      <c r="H515" s="178"/>
      <c r="I515" s="121" t="str">
        <f t="shared" si="6"/>
        <v/>
      </c>
      <c r="J515" s="99"/>
      <c r="K515" s="99"/>
    </row>
    <row r="516">
      <c r="B516" s="103"/>
      <c r="C516" s="121" t="str">
        <f t="array" ref="C516">ifs(and(isblank($A516),isblank($B516)),"", not(iserror(vlookup($A516&amp;$B516,'5) Release_Track'!$F:$F&amp;'5) Release_Track'!$G:$G,1,0))),vlookup($A516&amp;$B516,{'5) Release_Track'!$F:$F&amp;'5) Release_Track'!$G:$G,'5) Release_Track'!$H:$H},2,0), or(and(not(isblank($B516)),$B516=$B515,$A516&lt;&gt;$A515),and(not(isblank($A516)),$A516=$A515,$B516&lt;&gt;$B515)),"ID LISTS UNALIGNED",and($A516&lt;&gt;"",countif('5) Release_Track'!$F:$F,$A516)=0),"NO ISRC MATCH in Release_Track",and($B516&lt;&gt;"",countif('5) Release_Track'!$G:$G,$B516)=0),"NO CATALOG ID MATCH in Release_Track",iserror(vlookup($A516&amp;$B516,'5) Release_Track'!$F:$F&amp;'5) Release_Track'!$G:$G,1,0)),"NO ISRC-CATALOG ID pair MATCH in Release_Track" )</f>
        <v/>
      </c>
      <c r="D516" s="121" t="str">
        <f t="array" ref="D516">ifs(and(isblank($A516),isblank($B516)),"", not(iserror(vlookup($A516&amp;$B516,'5) Release_Track'!$F:$F&amp;'5) Release_Track'!$G:$G,1,0))),vlookup($A516&amp;$B516,{'5) Release_Track'!$F:$F&amp;'5) Release_Track'!$G:$G,'5) Release_Track'!$I:$I},2,0), or(and(not(isblank($B516)),$B516=$B515,$A516&lt;&gt;$A515),and(not(isblank($A516)),$A516=$A515,$B516&lt;&gt;$B515)),"ID LISTS UNALIGNED",and($A516&lt;&gt;"",countif('5) Release_Track'!$F:$F,$A516)=0),"NO ISRC MATCH in Release_Track",and($B516&lt;&gt;"",countif('5) Release_Track'!$G:$G,$B516)=0),"NO CATALOG ID MATCH in Release_Track",iserror(vlookup($A516&amp;$B516,'5) Release_Track'!$F:$F&amp;'5) Release_Track'!$G:$G,1,0)),"NO ISRC-CATALOG ID pair MATCH in Release_Track" )</f>
        <v/>
      </c>
      <c r="E516" s="125" t="str">
        <f t="array" ref="E516">ifs(and(isblank($A516),isblank($B516)),"", not(iserror(vlookup($A516&amp;$B516,'5) Release_Track'!$F:$F&amp;'5) Release_Track'!$G:$G,1,0))),vlookup($A516&amp;$B516,{'5) Release_Track'!$F:$F&amp;'5) Release_Track'!$G:$G,'5) Release_Track'!$J:$J},2,0), or(and(not(isblank($B516)),$B516=$B515,$A516&lt;&gt;$A515),and(not(isblank($A516)),$A516=$A515,$B516&lt;&gt;$B515)),"ID LISTS UNALIGNED",and($A516&lt;&gt;"",countif('5) Release_Track'!$F:$F,$A516)=0),"NO ISRC MATCH in Release_Track",and($B516&lt;&gt;"",countif('5) Release_Track'!$G:$G,$B516)=0),"NO CATALOG ID MATCH in Release_Track",iserror(vlookup($A516&amp;$B516,'5) Release_Track'!$F:$F&amp;'5) Release_Track'!$G:$G,1,0)),"NO ISRC-CATALOG ID pair MATCH in Release_Track" )</f>
        <v/>
      </c>
      <c r="F516" s="122"/>
      <c r="G516" s="99"/>
      <c r="H516" s="178"/>
      <c r="I516" s="121" t="str">
        <f t="shared" si="6"/>
        <v/>
      </c>
      <c r="J516" s="99"/>
      <c r="K516" s="99"/>
    </row>
    <row r="517">
      <c r="B517" s="103"/>
      <c r="C517" s="121" t="str">
        <f t="array" ref="C517">ifs(and(isblank($A517),isblank($B517)),"", not(iserror(vlookup($A517&amp;$B517,'5) Release_Track'!$F:$F&amp;'5) Release_Track'!$G:$G,1,0))),vlookup($A517&amp;$B517,{'5) Release_Track'!$F:$F&amp;'5) Release_Track'!$G:$G,'5) Release_Track'!$H:$H},2,0), or(and(not(isblank($B517)),$B517=$B516,$A517&lt;&gt;$A516),and(not(isblank($A517)),$A517=$A516,$B517&lt;&gt;$B516)),"ID LISTS UNALIGNED",and($A517&lt;&gt;"",countif('5) Release_Track'!$F:$F,$A517)=0),"NO ISRC MATCH in Release_Track",and($B517&lt;&gt;"",countif('5) Release_Track'!$G:$G,$B517)=0),"NO CATALOG ID MATCH in Release_Track",iserror(vlookup($A517&amp;$B517,'5) Release_Track'!$F:$F&amp;'5) Release_Track'!$G:$G,1,0)),"NO ISRC-CATALOG ID pair MATCH in Release_Track" )</f>
        <v/>
      </c>
      <c r="D517" s="121" t="str">
        <f t="array" ref="D517">ifs(and(isblank($A517),isblank($B517)),"", not(iserror(vlookup($A517&amp;$B517,'5) Release_Track'!$F:$F&amp;'5) Release_Track'!$G:$G,1,0))),vlookup($A517&amp;$B517,{'5) Release_Track'!$F:$F&amp;'5) Release_Track'!$G:$G,'5) Release_Track'!$I:$I},2,0), or(and(not(isblank($B517)),$B517=$B516,$A517&lt;&gt;$A516),and(not(isblank($A517)),$A517=$A516,$B517&lt;&gt;$B516)),"ID LISTS UNALIGNED",and($A517&lt;&gt;"",countif('5) Release_Track'!$F:$F,$A517)=0),"NO ISRC MATCH in Release_Track",and($B517&lt;&gt;"",countif('5) Release_Track'!$G:$G,$B517)=0),"NO CATALOG ID MATCH in Release_Track",iserror(vlookup($A517&amp;$B517,'5) Release_Track'!$F:$F&amp;'5) Release_Track'!$G:$G,1,0)),"NO ISRC-CATALOG ID pair MATCH in Release_Track" )</f>
        <v/>
      </c>
      <c r="E517" s="125" t="str">
        <f t="array" ref="E517">ifs(and(isblank($A517),isblank($B517)),"", not(iserror(vlookup($A517&amp;$B517,'5) Release_Track'!$F:$F&amp;'5) Release_Track'!$G:$G,1,0))),vlookup($A517&amp;$B517,{'5) Release_Track'!$F:$F&amp;'5) Release_Track'!$G:$G,'5) Release_Track'!$J:$J},2,0), or(and(not(isblank($B517)),$B517=$B516,$A517&lt;&gt;$A516),and(not(isblank($A517)),$A517=$A516,$B517&lt;&gt;$B516)),"ID LISTS UNALIGNED",and($A517&lt;&gt;"",countif('5) Release_Track'!$F:$F,$A517)=0),"NO ISRC MATCH in Release_Track",and($B517&lt;&gt;"",countif('5) Release_Track'!$G:$G,$B517)=0),"NO CATALOG ID MATCH in Release_Track",iserror(vlookup($A517&amp;$B517,'5) Release_Track'!$F:$F&amp;'5) Release_Track'!$G:$G,1,0)),"NO ISRC-CATALOG ID pair MATCH in Release_Track" )</f>
        <v/>
      </c>
      <c r="F517" s="122"/>
      <c r="G517" s="99"/>
      <c r="H517" s="178"/>
      <c r="I517" s="121" t="str">
        <f t="shared" si="6"/>
        <v/>
      </c>
      <c r="J517" s="99"/>
      <c r="K517" s="99"/>
    </row>
    <row r="518">
      <c r="B518" s="103"/>
      <c r="C518" s="121" t="str">
        <f t="array" ref="C518">ifs(and(isblank($A518),isblank($B518)),"", not(iserror(vlookup($A518&amp;$B518,'5) Release_Track'!$F:$F&amp;'5) Release_Track'!$G:$G,1,0))),vlookup($A518&amp;$B518,{'5) Release_Track'!$F:$F&amp;'5) Release_Track'!$G:$G,'5) Release_Track'!$H:$H},2,0), or(and(not(isblank($B518)),$B518=$B517,$A518&lt;&gt;$A517),and(not(isblank($A518)),$A518=$A517,$B518&lt;&gt;$B517)),"ID LISTS UNALIGNED",and($A518&lt;&gt;"",countif('5) Release_Track'!$F:$F,$A518)=0),"NO ISRC MATCH in Release_Track",and($B518&lt;&gt;"",countif('5) Release_Track'!$G:$G,$B518)=0),"NO CATALOG ID MATCH in Release_Track",iserror(vlookup($A518&amp;$B518,'5) Release_Track'!$F:$F&amp;'5) Release_Track'!$G:$G,1,0)),"NO ISRC-CATALOG ID pair MATCH in Release_Track" )</f>
        <v/>
      </c>
      <c r="D518" s="121" t="str">
        <f t="array" ref="D518">ifs(and(isblank($A518),isblank($B518)),"", not(iserror(vlookup($A518&amp;$B518,'5) Release_Track'!$F:$F&amp;'5) Release_Track'!$G:$G,1,0))),vlookup($A518&amp;$B518,{'5) Release_Track'!$F:$F&amp;'5) Release_Track'!$G:$G,'5) Release_Track'!$I:$I},2,0), or(and(not(isblank($B518)),$B518=$B517,$A518&lt;&gt;$A517),and(not(isblank($A518)),$A518=$A517,$B518&lt;&gt;$B517)),"ID LISTS UNALIGNED",and($A518&lt;&gt;"",countif('5) Release_Track'!$F:$F,$A518)=0),"NO ISRC MATCH in Release_Track",and($B518&lt;&gt;"",countif('5) Release_Track'!$G:$G,$B518)=0),"NO CATALOG ID MATCH in Release_Track",iserror(vlookup($A518&amp;$B518,'5) Release_Track'!$F:$F&amp;'5) Release_Track'!$G:$G,1,0)),"NO ISRC-CATALOG ID pair MATCH in Release_Track" )</f>
        <v/>
      </c>
      <c r="E518" s="125" t="str">
        <f t="array" ref="E518">ifs(and(isblank($A518),isblank($B518)),"", not(iserror(vlookup($A518&amp;$B518,'5) Release_Track'!$F:$F&amp;'5) Release_Track'!$G:$G,1,0))),vlookup($A518&amp;$B518,{'5) Release_Track'!$F:$F&amp;'5) Release_Track'!$G:$G,'5) Release_Track'!$J:$J},2,0), or(and(not(isblank($B518)),$B518=$B517,$A518&lt;&gt;$A517),and(not(isblank($A518)),$A518=$A517,$B518&lt;&gt;$B517)),"ID LISTS UNALIGNED",and($A518&lt;&gt;"",countif('5) Release_Track'!$F:$F,$A518)=0),"NO ISRC MATCH in Release_Track",and($B518&lt;&gt;"",countif('5) Release_Track'!$G:$G,$B518)=0),"NO CATALOG ID MATCH in Release_Track",iserror(vlookup($A518&amp;$B518,'5) Release_Track'!$F:$F&amp;'5) Release_Track'!$G:$G,1,0)),"NO ISRC-CATALOG ID pair MATCH in Release_Track" )</f>
        <v/>
      </c>
      <c r="F518" s="122"/>
      <c r="G518" s="99"/>
      <c r="H518" s="178"/>
      <c r="I518" s="121" t="str">
        <f t="shared" si="6"/>
        <v/>
      </c>
      <c r="J518" s="99"/>
      <c r="K518" s="99"/>
    </row>
    <row r="519">
      <c r="B519" s="103"/>
      <c r="C519" s="121" t="str">
        <f t="array" ref="C519">ifs(and(isblank($A519),isblank($B519)),"", not(iserror(vlookup($A519&amp;$B519,'5) Release_Track'!$F:$F&amp;'5) Release_Track'!$G:$G,1,0))),vlookup($A519&amp;$B519,{'5) Release_Track'!$F:$F&amp;'5) Release_Track'!$G:$G,'5) Release_Track'!$H:$H},2,0), or(and(not(isblank($B519)),$B519=$B518,$A519&lt;&gt;$A518),and(not(isblank($A519)),$A519=$A518,$B519&lt;&gt;$B518)),"ID LISTS UNALIGNED",and($A519&lt;&gt;"",countif('5) Release_Track'!$F:$F,$A519)=0),"NO ISRC MATCH in Release_Track",and($B519&lt;&gt;"",countif('5) Release_Track'!$G:$G,$B519)=0),"NO CATALOG ID MATCH in Release_Track",iserror(vlookup($A519&amp;$B519,'5) Release_Track'!$F:$F&amp;'5) Release_Track'!$G:$G,1,0)),"NO ISRC-CATALOG ID pair MATCH in Release_Track" )</f>
        <v/>
      </c>
      <c r="D519" s="121" t="str">
        <f t="array" ref="D519">ifs(and(isblank($A519),isblank($B519)),"", not(iserror(vlookup($A519&amp;$B519,'5) Release_Track'!$F:$F&amp;'5) Release_Track'!$G:$G,1,0))),vlookup($A519&amp;$B519,{'5) Release_Track'!$F:$F&amp;'5) Release_Track'!$G:$G,'5) Release_Track'!$I:$I},2,0), or(and(not(isblank($B519)),$B519=$B518,$A519&lt;&gt;$A518),and(not(isblank($A519)),$A519=$A518,$B519&lt;&gt;$B518)),"ID LISTS UNALIGNED",and($A519&lt;&gt;"",countif('5) Release_Track'!$F:$F,$A519)=0),"NO ISRC MATCH in Release_Track",and($B519&lt;&gt;"",countif('5) Release_Track'!$G:$G,$B519)=0),"NO CATALOG ID MATCH in Release_Track",iserror(vlookup($A519&amp;$B519,'5) Release_Track'!$F:$F&amp;'5) Release_Track'!$G:$G,1,0)),"NO ISRC-CATALOG ID pair MATCH in Release_Track" )</f>
        <v/>
      </c>
      <c r="E519" s="125" t="str">
        <f t="array" ref="E519">ifs(and(isblank($A519),isblank($B519)),"", not(iserror(vlookup($A519&amp;$B519,'5) Release_Track'!$F:$F&amp;'5) Release_Track'!$G:$G,1,0))),vlookup($A519&amp;$B519,{'5) Release_Track'!$F:$F&amp;'5) Release_Track'!$G:$G,'5) Release_Track'!$J:$J},2,0), or(and(not(isblank($B519)),$B519=$B518,$A519&lt;&gt;$A518),and(not(isblank($A519)),$A519=$A518,$B519&lt;&gt;$B518)),"ID LISTS UNALIGNED",and($A519&lt;&gt;"",countif('5) Release_Track'!$F:$F,$A519)=0),"NO ISRC MATCH in Release_Track",and($B519&lt;&gt;"",countif('5) Release_Track'!$G:$G,$B519)=0),"NO CATALOG ID MATCH in Release_Track",iserror(vlookup($A519&amp;$B519,'5) Release_Track'!$F:$F&amp;'5) Release_Track'!$G:$G,1,0)),"NO ISRC-CATALOG ID pair MATCH in Release_Track" )</f>
        <v/>
      </c>
      <c r="F519" s="122"/>
      <c r="G519" s="99"/>
      <c r="H519" s="178"/>
      <c r="I519" s="121" t="str">
        <f t="shared" si="6"/>
        <v/>
      </c>
      <c r="J519" s="99"/>
      <c r="K519" s="99"/>
    </row>
    <row r="520">
      <c r="B520" s="103"/>
      <c r="C520" s="121" t="str">
        <f t="array" ref="C520">ifs(and(isblank($A520),isblank($B520)),"", not(iserror(vlookup($A520&amp;$B520,'5) Release_Track'!$F:$F&amp;'5) Release_Track'!$G:$G,1,0))),vlookup($A520&amp;$B520,{'5) Release_Track'!$F:$F&amp;'5) Release_Track'!$G:$G,'5) Release_Track'!$H:$H},2,0), or(and(not(isblank($B520)),$B520=$B519,$A520&lt;&gt;$A519),and(not(isblank($A520)),$A520=$A519,$B520&lt;&gt;$B519)),"ID LISTS UNALIGNED",and($A520&lt;&gt;"",countif('5) Release_Track'!$F:$F,$A520)=0),"NO ISRC MATCH in Release_Track",and($B520&lt;&gt;"",countif('5) Release_Track'!$G:$G,$B520)=0),"NO CATALOG ID MATCH in Release_Track",iserror(vlookup($A520&amp;$B520,'5) Release_Track'!$F:$F&amp;'5) Release_Track'!$G:$G,1,0)),"NO ISRC-CATALOG ID pair MATCH in Release_Track" )</f>
        <v/>
      </c>
      <c r="D520" s="121" t="str">
        <f t="array" ref="D520">ifs(and(isblank($A520),isblank($B520)),"", not(iserror(vlookup($A520&amp;$B520,'5) Release_Track'!$F:$F&amp;'5) Release_Track'!$G:$G,1,0))),vlookup($A520&amp;$B520,{'5) Release_Track'!$F:$F&amp;'5) Release_Track'!$G:$G,'5) Release_Track'!$I:$I},2,0), or(and(not(isblank($B520)),$B520=$B519,$A520&lt;&gt;$A519),and(not(isblank($A520)),$A520=$A519,$B520&lt;&gt;$B519)),"ID LISTS UNALIGNED",and($A520&lt;&gt;"",countif('5) Release_Track'!$F:$F,$A520)=0),"NO ISRC MATCH in Release_Track",and($B520&lt;&gt;"",countif('5) Release_Track'!$G:$G,$B520)=0),"NO CATALOG ID MATCH in Release_Track",iserror(vlookup($A520&amp;$B520,'5) Release_Track'!$F:$F&amp;'5) Release_Track'!$G:$G,1,0)),"NO ISRC-CATALOG ID pair MATCH in Release_Track" )</f>
        <v/>
      </c>
      <c r="E520" s="125" t="str">
        <f t="array" ref="E520">ifs(and(isblank($A520),isblank($B520)),"", not(iserror(vlookup($A520&amp;$B520,'5) Release_Track'!$F:$F&amp;'5) Release_Track'!$G:$G,1,0))),vlookup($A520&amp;$B520,{'5) Release_Track'!$F:$F&amp;'5) Release_Track'!$G:$G,'5) Release_Track'!$J:$J},2,0), or(and(not(isblank($B520)),$B520=$B519,$A520&lt;&gt;$A519),and(not(isblank($A520)),$A520=$A519,$B520&lt;&gt;$B519)),"ID LISTS UNALIGNED",and($A520&lt;&gt;"",countif('5) Release_Track'!$F:$F,$A520)=0),"NO ISRC MATCH in Release_Track",and($B520&lt;&gt;"",countif('5) Release_Track'!$G:$G,$B520)=0),"NO CATALOG ID MATCH in Release_Track",iserror(vlookup($A520&amp;$B520,'5) Release_Track'!$F:$F&amp;'5) Release_Track'!$G:$G,1,0)),"NO ISRC-CATALOG ID pair MATCH in Release_Track" )</f>
        <v/>
      </c>
      <c r="F520" s="122"/>
      <c r="G520" s="99"/>
      <c r="H520" s="178"/>
      <c r="I520" s="121" t="str">
        <f t="shared" si="6"/>
        <v/>
      </c>
      <c r="J520" s="99"/>
      <c r="K520" s="99"/>
    </row>
    <row r="521">
      <c r="B521" s="103"/>
      <c r="C521" s="121" t="str">
        <f t="array" ref="C521">ifs(and(isblank($A521),isblank($B521)),"", not(iserror(vlookup($A521&amp;$B521,'5) Release_Track'!$F:$F&amp;'5) Release_Track'!$G:$G,1,0))),vlookup($A521&amp;$B521,{'5) Release_Track'!$F:$F&amp;'5) Release_Track'!$G:$G,'5) Release_Track'!$H:$H},2,0), or(and(not(isblank($B521)),$B521=$B520,$A521&lt;&gt;$A520),and(not(isblank($A521)),$A521=$A520,$B521&lt;&gt;$B520)),"ID LISTS UNALIGNED",and($A521&lt;&gt;"",countif('5) Release_Track'!$F:$F,$A521)=0),"NO ISRC MATCH in Release_Track",and($B521&lt;&gt;"",countif('5) Release_Track'!$G:$G,$B521)=0),"NO CATALOG ID MATCH in Release_Track",iserror(vlookup($A521&amp;$B521,'5) Release_Track'!$F:$F&amp;'5) Release_Track'!$G:$G,1,0)),"NO ISRC-CATALOG ID pair MATCH in Release_Track" )</f>
        <v/>
      </c>
      <c r="D521" s="121" t="str">
        <f t="array" ref="D521">ifs(and(isblank($A521),isblank($B521)),"", not(iserror(vlookup($A521&amp;$B521,'5) Release_Track'!$F:$F&amp;'5) Release_Track'!$G:$G,1,0))),vlookup($A521&amp;$B521,{'5) Release_Track'!$F:$F&amp;'5) Release_Track'!$G:$G,'5) Release_Track'!$I:$I},2,0), or(and(not(isblank($B521)),$B521=$B520,$A521&lt;&gt;$A520),and(not(isblank($A521)),$A521=$A520,$B521&lt;&gt;$B520)),"ID LISTS UNALIGNED",and($A521&lt;&gt;"",countif('5) Release_Track'!$F:$F,$A521)=0),"NO ISRC MATCH in Release_Track",and($B521&lt;&gt;"",countif('5) Release_Track'!$G:$G,$B521)=0),"NO CATALOG ID MATCH in Release_Track",iserror(vlookup($A521&amp;$B521,'5) Release_Track'!$F:$F&amp;'5) Release_Track'!$G:$G,1,0)),"NO ISRC-CATALOG ID pair MATCH in Release_Track" )</f>
        <v/>
      </c>
      <c r="E521" s="125" t="str">
        <f t="array" ref="E521">ifs(and(isblank($A521),isblank($B521)),"", not(iserror(vlookup($A521&amp;$B521,'5) Release_Track'!$F:$F&amp;'5) Release_Track'!$G:$G,1,0))),vlookup($A521&amp;$B521,{'5) Release_Track'!$F:$F&amp;'5) Release_Track'!$G:$G,'5) Release_Track'!$J:$J},2,0), or(and(not(isblank($B521)),$B521=$B520,$A521&lt;&gt;$A520),and(not(isblank($A521)),$A521=$A520,$B521&lt;&gt;$B520)),"ID LISTS UNALIGNED",and($A521&lt;&gt;"",countif('5) Release_Track'!$F:$F,$A521)=0),"NO ISRC MATCH in Release_Track",and($B521&lt;&gt;"",countif('5) Release_Track'!$G:$G,$B521)=0),"NO CATALOG ID MATCH in Release_Track",iserror(vlookup($A521&amp;$B521,'5) Release_Track'!$F:$F&amp;'5) Release_Track'!$G:$G,1,0)),"NO ISRC-CATALOG ID pair MATCH in Release_Track" )</f>
        <v/>
      </c>
      <c r="F521" s="122"/>
      <c r="G521" s="99"/>
      <c r="H521" s="178"/>
      <c r="I521" s="121" t="str">
        <f t="shared" si="6"/>
        <v/>
      </c>
      <c r="J521" s="99"/>
      <c r="K521" s="99"/>
    </row>
    <row r="522">
      <c r="B522" s="103"/>
      <c r="C522" s="121" t="str">
        <f t="array" ref="C522">ifs(and(isblank($A522),isblank($B522)),"", not(iserror(vlookup($A522&amp;$B522,'5) Release_Track'!$F:$F&amp;'5) Release_Track'!$G:$G,1,0))),vlookup($A522&amp;$B522,{'5) Release_Track'!$F:$F&amp;'5) Release_Track'!$G:$G,'5) Release_Track'!$H:$H},2,0), or(and(not(isblank($B522)),$B522=$B521,$A522&lt;&gt;$A521),and(not(isblank($A522)),$A522=$A521,$B522&lt;&gt;$B521)),"ID LISTS UNALIGNED",and($A522&lt;&gt;"",countif('5) Release_Track'!$F:$F,$A522)=0),"NO ISRC MATCH in Release_Track",and($B522&lt;&gt;"",countif('5) Release_Track'!$G:$G,$B522)=0),"NO CATALOG ID MATCH in Release_Track",iserror(vlookup($A522&amp;$B522,'5) Release_Track'!$F:$F&amp;'5) Release_Track'!$G:$G,1,0)),"NO ISRC-CATALOG ID pair MATCH in Release_Track" )</f>
        <v/>
      </c>
      <c r="D522" s="121" t="str">
        <f t="array" ref="D522">ifs(and(isblank($A522),isblank($B522)),"", not(iserror(vlookup($A522&amp;$B522,'5) Release_Track'!$F:$F&amp;'5) Release_Track'!$G:$G,1,0))),vlookup($A522&amp;$B522,{'5) Release_Track'!$F:$F&amp;'5) Release_Track'!$G:$G,'5) Release_Track'!$I:$I},2,0), or(and(not(isblank($B522)),$B522=$B521,$A522&lt;&gt;$A521),and(not(isblank($A522)),$A522=$A521,$B522&lt;&gt;$B521)),"ID LISTS UNALIGNED",and($A522&lt;&gt;"",countif('5) Release_Track'!$F:$F,$A522)=0),"NO ISRC MATCH in Release_Track",and($B522&lt;&gt;"",countif('5) Release_Track'!$G:$G,$B522)=0),"NO CATALOG ID MATCH in Release_Track",iserror(vlookup($A522&amp;$B522,'5) Release_Track'!$F:$F&amp;'5) Release_Track'!$G:$G,1,0)),"NO ISRC-CATALOG ID pair MATCH in Release_Track" )</f>
        <v/>
      </c>
      <c r="E522" s="125" t="str">
        <f t="array" ref="E522">ifs(and(isblank($A522),isblank($B522)),"", not(iserror(vlookup($A522&amp;$B522,'5) Release_Track'!$F:$F&amp;'5) Release_Track'!$G:$G,1,0))),vlookup($A522&amp;$B522,{'5) Release_Track'!$F:$F&amp;'5) Release_Track'!$G:$G,'5) Release_Track'!$J:$J},2,0), or(and(not(isblank($B522)),$B522=$B521,$A522&lt;&gt;$A521),and(not(isblank($A522)),$A522=$A521,$B522&lt;&gt;$B521)),"ID LISTS UNALIGNED",and($A522&lt;&gt;"",countif('5) Release_Track'!$F:$F,$A522)=0),"NO ISRC MATCH in Release_Track",and($B522&lt;&gt;"",countif('5) Release_Track'!$G:$G,$B522)=0),"NO CATALOG ID MATCH in Release_Track",iserror(vlookup($A522&amp;$B522,'5) Release_Track'!$F:$F&amp;'5) Release_Track'!$G:$G,1,0)),"NO ISRC-CATALOG ID pair MATCH in Release_Track" )</f>
        <v/>
      </c>
      <c r="F522" s="122"/>
      <c r="G522" s="99"/>
      <c r="H522" s="178"/>
      <c r="I522" s="121" t="str">
        <f t="shared" si="6"/>
        <v/>
      </c>
      <c r="J522" s="99"/>
      <c r="K522" s="99"/>
    </row>
    <row r="523">
      <c r="B523" s="103"/>
      <c r="C523" s="121" t="str">
        <f t="array" ref="C523">ifs(and(isblank($A523),isblank($B523)),"", not(iserror(vlookup($A523&amp;$B523,'5) Release_Track'!$F:$F&amp;'5) Release_Track'!$G:$G,1,0))),vlookup($A523&amp;$B523,{'5) Release_Track'!$F:$F&amp;'5) Release_Track'!$G:$G,'5) Release_Track'!$H:$H},2,0), or(and(not(isblank($B523)),$B523=$B522,$A523&lt;&gt;$A522),and(not(isblank($A523)),$A523=$A522,$B523&lt;&gt;$B522)),"ID LISTS UNALIGNED",and($A523&lt;&gt;"",countif('5) Release_Track'!$F:$F,$A523)=0),"NO ISRC MATCH in Release_Track",and($B523&lt;&gt;"",countif('5) Release_Track'!$G:$G,$B523)=0),"NO CATALOG ID MATCH in Release_Track",iserror(vlookup($A523&amp;$B523,'5) Release_Track'!$F:$F&amp;'5) Release_Track'!$G:$G,1,0)),"NO ISRC-CATALOG ID pair MATCH in Release_Track" )</f>
        <v/>
      </c>
      <c r="D523" s="121" t="str">
        <f t="array" ref="D523">ifs(and(isblank($A523),isblank($B523)),"", not(iserror(vlookup($A523&amp;$B523,'5) Release_Track'!$F:$F&amp;'5) Release_Track'!$G:$G,1,0))),vlookup($A523&amp;$B523,{'5) Release_Track'!$F:$F&amp;'5) Release_Track'!$G:$G,'5) Release_Track'!$I:$I},2,0), or(and(not(isblank($B523)),$B523=$B522,$A523&lt;&gt;$A522),and(not(isblank($A523)),$A523=$A522,$B523&lt;&gt;$B522)),"ID LISTS UNALIGNED",and($A523&lt;&gt;"",countif('5) Release_Track'!$F:$F,$A523)=0),"NO ISRC MATCH in Release_Track",and($B523&lt;&gt;"",countif('5) Release_Track'!$G:$G,$B523)=0),"NO CATALOG ID MATCH in Release_Track",iserror(vlookup($A523&amp;$B523,'5) Release_Track'!$F:$F&amp;'5) Release_Track'!$G:$G,1,0)),"NO ISRC-CATALOG ID pair MATCH in Release_Track" )</f>
        <v/>
      </c>
      <c r="E523" s="125" t="str">
        <f t="array" ref="E523">ifs(and(isblank($A523),isblank($B523)),"", not(iserror(vlookup($A523&amp;$B523,'5) Release_Track'!$F:$F&amp;'5) Release_Track'!$G:$G,1,0))),vlookup($A523&amp;$B523,{'5) Release_Track'!$F:$F&amp;'5) Release_Track'!$G:$G,'5) Release_Track'!$J:$J},2,0), or(and(not(isblank($B523)),$B523=$B522,$A523&lt;&gt;$A522),and(not(isblank($A523)),$A523=$A522,$B523&lt;&gt;$B522)),"ID LISTS UNALIGNED",and($A523&lt;&gt;"",countif('5) Release_Track'!$F:$F,$A523)=0),"NO ISRC MATCH in Release_Track",and($B523&lt;&gt;"",countif('5) Release_Track'!$G:$G,$B523)=0),"NO CATALOG ID MATCH in Release_Track",iserror(vlookup($A523&amp;$B523,'5) Release_Track'!$F:$F&amp;'5) Release_Track'!$G:$G,1,0)),"NO ISRC-CATALOG ID pair MATCH in Release_Track" )</f>
        <v/>
      </c>
      <c r="F523" s="122"/>
      <c r="G523" s="99"/>
      <c r="H523" s="178"/>
      <c r="I523" s="121" t="str">
        <f t="shared" si="6"/>
        <v/>
      </c>
      <c r="J523" s="99"/>
      <c r="K523" s="99"/>
    </row>
    <row r="524">
      <c r="B524" s="103"/>
      <c r="C524" s="121" t="str">
        <f t="array" ref="C524">ifs(and(isblank($A524),isblank($B524)),"", not(iserror(vlookup($A524&amp;$B524,'5) Release_Track'!$F:$F&amp;'5) Release_Track'!$G:$G,1,0))),vlookup($A524&amp;$B524,{'5) Release_Track'!$F:$F&amp;'5) Release_Track'!$G:$G,'5) Release_Track'!$H:$H},2,0), or(and(not(isblank($B524)),$B524=$B523,$A524&lt;&gt;$A523),and(not(isblank($A524)),$A524=$A523,$B524&lt;&gt;$B523)),"ID LISTS UNALIGNED",and($A524&lt;&gt;"",countif('5) Release_Track'!$F:$F,$A524)=0),"NO ISRC MATCH in Release_Track",and($B524&lt;&gt;"",countif('5) Release_Track'!$G:$G,$B524)=0),"NO CATALOG ID MATCH in Release_Track",iserror(vlookup($A524&amp;$B524,'5) Release_Track'!$F:$F&amp;'5) Release_Track'!$G:$G,1,0)),"NO ISRC-CATALOG ID pair MATCH in Release_Track" )</f>
        <v/>
      </c>
      <c r="D524" s="121" t="str">
        <f t="array" ref="D524">ifs(and(isblank($A524),isblank($B524)),"", not(iserror(vlookup($A524&amp;$B524,'5) Release_Track'!$F:$F&amp;'5) Release_Track'!$G:$G,1,0))),vlookup($A524&amp;$B524,{'5) Release_Track'!$F:$F&amp;'5) Release_Track'!$G:$G,'5) Release_Track'!$I:$I},2,0), or(and(not(isblank($B524)),$B524=$B523,$A524&lt;&gt;$A523),and(not(isblank($A524)),$A524=$A523,$B524&lt;&gt;$B523)),"ID LISTS UNALIGNED",and($A524&lt;&gt;"",countif('5) Release_Track'!$F:$F,$A524)=0),"NO ISRC MATCH in Release_Track",and($B524&lt;&gt;"",countif('5) Release_Track'!$G:$G,$B524)=0),"NO CATALOG ID MATCH in Release_Track",iserror(vlookup($A524&amp;$B524,'5) Release_Track'!$F:$F&amp;'5) Release_Track'!$G:$G,1,0)),"NO ISRC-CATALOG ID pair MATCH in Release_Track" )</f>
        <v/>
      </c>
      <c r="E524" s="125" t="str">
        <f t="array" ref="E524">ifs(and(isblank($A524),isblank($B524)),"", not(iserror(vlookup($A524&amp;$B524,'5) Release_Track'!$F:$F&amp;'5) Release_Track'!$G:$G,1,0))),vlookup($A524&amp;$B524,{'5) Release_Track'!$F:$F&amp;'5) Release_Track'!$G:$G,'5) Release_Track'!$J:$J},2,0), or(and(not(isblank($B524)),$B524=$B523,$A524&lt;&gt;$A523),and(not(isblank($A524)),$A524=$A523,$B524&lt;&gt;$B523)),"ID LISTS UNALIGNED",and($A524&lt;&gt;"",countif('5) Release_Track'!$F:$F,$A524)=0),"NO ISRC MATCH in Release_Track",and($B524&lt;&gt;"",countif('5) Release_Track'!$G:$G,$B524)=0),"NO CATALOG ID MATCH in Release_Track",iserror(vlookup($A524&amp;$B524,'5) Release_Track'!$F:$F&amp;'5) Release_Track'!$G:$G,1,0)),"NO ISRC-CATALOG ID pair MATCH in Release_Track" )</f>
        <v/>
      </c>
      <c r="F524" s="122"/>
      <c r="G524" s="99"/>
      <c r="H524" s="178"/>
      <c r="I524" s="121" t="str">
        <f t="shared" si="6"/>
        <v/>
      </c>
      <c r="J524" s="99"/>
      <c r="K524" s="99"/>
    </row>
    <row r="525">
      <c r="B525" s="103"/>
      <c r="C525" s="121" t="str">
        <f t="array" ref="C525">ifs(and(isblank($A525),isblank($B525)),"", not(iserror(vlookup($A525&amp;$B525,'5) Release_Track'!$F:$F&amp;'5) Release_Track'!$G:$G,1,0))),vlookup($A525&amp;$B525,{'5) Release_Track'!$F:$F&amp;'5) Release_Track'!$G:$G,'5) Release_Track'!$H:$H},2,0), or(and(not(isblank($B525)),$B525=$B524,$A525&lt;&gt;$A524),and(not(isblank($A525)),$A525=$A524,$B525&lt;&gt;$B524)),"ID LISTS UNALIGNED",and($A525&lt;&gt;"",countif('5) Release_Track'!$F:$F,$A525)=0),"NO ISRC MATCH in Release_Track",and($B525&lt;&gt;"",countif('5) Release_Track'!$G:$G,$B525)=0),"NO CATALOG ID MATCH in Release_Track",iserror(vlookup($A525&amp;$B525,'5) Release_Track'!$F:$F&amp;'5) Release_Track'!$G:$G,1,0)),"NO ISRC-CATALOG ID pair MATCH in Release_Track" )</f>
        <v/>
      </c>
      <c r="D525" s="121" t="str">
        <f t="array" ref="D525">ifs(and(isblank($A525),isblank($B525)),"", not(iserror(vlookup($A525&amp;$B525,'5) Release_Track'!$F:$F&amp;'5) Release_Track'!$G:$G,1,0))),vlookup($A525&amp;$B525,{'5) Release_Track'!$F:$F&amp;'5) Release_Track'!$G:$G,'5) Release_Track'!$I:$I},2,0), or(and(not(isblank($B525)),$B525=$B524,$A525&lt;&gt;$A524),and(not(isblank($A525)),$A525=$A524,$B525&lt;&gt;$B524)),"ID LISTS UNALIGNED",and($A525&lt;&gt;"",countif('5) Release_Track'!$F:$F,$A525)=0),"NO ISRC MATCH in Release_Track",and($B525&lt;&gt;"",countif('5) Release_Track'!$G:$G,$B525)=0),"NO CATALOG ID MATCH in Release_Track",iserror(vlookup($A525&amp;$B525,'5) Release_Track'!$F:$F&amp;'5) Release_Track'!$G:$G,1,0)),"NO ISRC-CATALOG ID pair MATCH in Release_Track" )</f>
        <v/>
      </c>
      <c r="E525" s="125" t="str">
        <f t="array" ref="E525">ifs(and(isblank($A525),isblank($B525)),"", not(iserror(vlookup($A525&amp;$B525,'5) Release_Track'!$F:$F&amp;'5) Release_Track'!$G:$G,1,0))),vlookup($A525&amp;$B525,{'5) Release_Track'!$F:$F&amp;'5) Release_Track'!$G:$G,'5) Release_Track'!$J:$J},2,0), or(and(not(isblank($B525)),$B525=$B524,$A525&lt;&gt;$A524),and(not(isblank($A525)),$A525=$A524,$B525&lt;&gt;$B524)),"ID LISTS UNALIGNED",and($A525&lt;&gt;"",countif('5) Release_Track'!$F:$F,$A525)=0),"NO ISRC MATCH in Release_Track",and($B525&lt;&gt;"",countif('5) Release_Track'!$G:$G,$B525)=0),"NO CATALOG ID MATCH in Release_Track",iserror(vlookup($A525&amp;$B525,'5) Release_Track'!$F:$F&amp;'5) Release_Track'!$G:$G,1,0)),"NO ISRC-CATALOG ID pair MATCH in Release_Track" )</f>
        <v/>
      </c>
      <c r="F525" s="122"/>
      <c r="G525" s="99"/>
      <c r="H525" s="178"/>
      <c r="I525" s="121" t="str">
        <f t="shared" si="6"/>
        <v/>
      </c>
      <c r="J525" s="99"/>
      <c r="K525" s="99"/>
    </row>
    <row r="526">
      <c r="B526" s="103"/>
      <c r="C526" s="121" t="str">
        <f t="array" ref="C526">ifs(and(isblank($A526),isblank($B526)),"", not(iserror(vlookup($A526&amp;$B526,'5) Release_Track'!$F:$F&amp;'5) Release_Track'!$G:$G,1,0))),vlookup($A526&amp;$B526,{'5) Release_Track'!$F:$F&amp;'5) Release_Track'!$G:$G,'5) Release_Track'!$H:$H},2,0), or(and(not(isblank($B526)),$B526=$B525,$A526&lt;&gt;$A525),and(not(isblank($A526)),$A526=$A525,$B526&lt;&gt;$B525)),"ID LISTS UNALIGNED",and($A526&lt;&gt;"",countif('5) Release_Track'!$F:$F,$A526)=0),"NO ISRC MATCH in Release_Track",and($B526&lt;&gt;"",countif('5) Release_Track'!$G:$G,$B526)=0),"NO CATALOG ID MATCH in Release_Track",iserror(vlookup($A526&amp;$B526,'5) Release_Track'!$F:$F&amp;'5) Release_Track'!$G:$G,1,0)),"NO ISRC-CATALOG ID pair MATCH in Release_Track" )</f>
        <v/>
      </c>
      <c r="D526" s="121" t="str">
        <f t="array" ref="D526">ifs(and(isblank($A526),isblank($B526)),"", not(iserror(vlookup($A526&amp;$B526,'5) Release_Track'!$F:$F&amp;'5) Release_Track'!$G:$G,1,0))),vlookup($A526&amp;$B526,{'5) Release_Track'!$F:$F&amp;'5) Release_Track'!$G:$G,'5) Release_Track'!$I:$I},2,0), or(and(not(isblank($B526)),$B526=$B525,$A526&lt;&gt;$A525),and(not(isblank($A526)),$A526=$A525,$B526&lt;&gt;$B525)),"ID LISTS UNALIGNED",and($A526&lt;&gt;"",countif('5) Release_Track'!$F:$F,$A526)=0),"NO ISRC MATCH in Release_Track",and($B526&lt;&gt;"",countif('5) Release_Track'!$G:$G,$B526)=0),"NO CATALOG ID MATCH in Release_Track",iserror(vlookup($A526&amp;$B526,'5) Release_Track'!$F:$F&amp;'5) Release_Track'!$G:$G,1,0)),"NO ISRC-CATALOG ID pair MATCH in Release_Track" )</f>
        <v/>
      </c>
      <c r="E526" s="125" t="str">
        <f t="array" ref="E526">ifs(and(isblank($A526),isblank($B526)),"", not(iserror(vlookup($A526&amp;$B526,'5) Release_Track'!$F:$F&amp;'5) Release_Track'!$G:$G,1,0))),vlookup($A526&amp;$B526,{'5) Release_Track'!$F:$F&amp;'5) Release_Track'!$G:$G,'5) Release_Track'!$J:$J},2,0), or(and(not(isblank($B526)),$B526=$B525,$A526&lt;&gt;$A525),and(not(isblank($A526)),$A526=$A525,$B526&lt;&gt;$B525)),"ID LISTS UNALIGNED",and($A526&lt;&gt;"",countif('5) Release_Track'!$F:$F,$A526)=0),"NO ISRC MATCH in Release_Track",and($B526&lt;&gt;"",countif('5) Release_Track'!$G:$G,$B526)=0),"NO CATALOG ID MATCH in Release_Track",iserror(vlookup($A526&amp;$B526,'5) Release_Track'!$F:$F&amp;'5) Release_Track'!$G:$G,1,0)),"NO ISRC-CATALOG ID pair MATCH in Release_Track" )</f>
        <v/>
      </c>
      <c r="F526" s="122"/>
      <c r="G526" s="99"/>
      <c r="H526" s="178"/>
      <c r="I526" s="121" t="str">
        <f t="shared" si="6"/>
        <v/>
      </c>
      <c r="J526" s="99"/>
      <c r="K526" s="99"/>
    </row>
    <row r="527">
      <c r="B527" s="103"/>
      <c r="C527" s="121" t="str">
        <f t="array" ref="C527">ifs(and(isblank($A527),isblank($B527)),"", not(iserror(vlookup($A527&amp;$B527,'5) Release_Track'!$F:$F&amp;'5) Release_Track'!$G:$G,1,0))),vlookup($A527&amp;$B527,{'5) Release_Track'!$F:$F&amp;'5) Release_Track'!$G:$G,'5) Release_Track'!$H:$H},2,0), or(and(not(isblank($B527)),$B527=$B526,$A527&lt;&gt;$A526),and(not(isblank($A527)),$A527=$A526,$B527&lt;&gt;$B526)),"ID LISTS UNALIGNED",and($A527&lt;&gt;"",countif('5) Release_Track'!$F:$F,$A527)=0),"NO ISRC MATCH in Release_Track",and($B527&lt;&gt;"",countif('5) Release_Track'!$G:$G,$B527)=0),"NO CATALOG ID MATCH in Release_Track",iserror(vlookup($A527&amp;$B527,'5) Release_Track'!$F:$F&amp;'5) Release_Track'!$G:$G,1,0)),"NO ISRC-CATALOG ID pair MATCH in Release_Track" )</f>
        <v/>
      </c>
      <c r="D527" s="121" t="str">
        <f t="array" ref="D527">ifs(and(isblank($A527),isblank($B527)),"", not(iserror(vlookup($A527&amp;$B527,'5) Release_Track'!$F:$F&amp;'5) Release_Track'!$G:$G,1,0))),vlookup($A527&amp;$B527,{'5) Release_Track'!$F:$F&amp;'5) Release_Track'!$G:$G,'5) Release_Track'!$I:$I},2,0), or(and(not(isblank($B527)),$B527=$B526,$A527&lt;&gt;$A526),and(not(isblank($A527)),$A527=$A526,$B527&lt;&gt;$B526)),"ID LISTS UNALIGNED",and($A527&lt;&gt;"",countif('5) Release_Track'!$F:$F,$A527)=0),"NO ISRC MATCH in Release_Track",and($B527&lt;&gt;"",countif('5) Release_Track'!$G:$G,$B527)=0),"NO CATALOG ID MATCH in Release_Track",iserror(vlookup($A527&amp;$B527,'5) Release_Track'!$F:$F&amp;'5) Release_Track'!$G:$G,1,0)),"NO ISRC-CATALOG ID pair MATCH in Release_Track" )</f>
        <v/>
      </c>
      <c r="E527" s="125" t="str">
        <f t="array" ref="E527">ifs(and(isblank($A527),isblank($B527)),"", not(iserror(vlookup($A527&amp;$B527,'5) Release_Track'!$F:$F&amp;'5) Release_Track'!$G:$G,1,0))),vlookup($A527&amp;$B527,{'5) Release_Track'!$F:$F&amp;'5) Release_Track'!$G:$G,'5) Release_Track'!$J:$J},2,0), or(and(not(isblank($B527)),$B527=$B526,$A527&lt;&gt;$A526),and(not(isblank($A527)),$A527=$A526,$B527&lt;&gt;$B526)),"ID LISTS UNALIGNED",and($A527&lt;&gt;"",countif('5) Release_Track'!$F:$F,$A527)=0),"NO ISRC MATCH in Release_Track",and($B527&lt;&gt;"",countif('5) Release_Track'!$G:$G,$B527)=0),"NO CATALOG ID MATCH in Release_Track",iserror(vlookup($A527&amp;$B527,'5) Release_Track'!$F:$F&amp;'5) Release_Track'!$G:$G,1,0)),"NO ISRC-CATALOG ID pair MATCH in Release_Track" )</f>
        <v/>
      </c>
      <c r="F527" s="122"/>
      <c r="G527" s="99"/>
      <c r="H527" s="178"/>
      <c r="I527" s="121" t="str">
        <f t="shared" si="6"/>
        <v/>
      </c>
      <c r="J527" s="99"/>
      <c r="K527" s="99"/>
    </row>
    <row r="528">
      <c r="B528" s="103"/>
      <c r="C528" s="121" t="str">
        <f t="array" ref="C528">ifs(and(isblank($A528),isblank($B528)),"", not(iserror(vlookup($A528&amp;$B528,'5) Release_Track'!$F:$F&amp;'5) Release_Track'!$G:$G,1,0))),vlookup($A528&amp;$B528,{'5) Release_Track'!$F:$F&amp;'5) Release_Track'!$G:$G,'5) Release_Track'!$H:$H},2,0), or(and(not(isblank($B528)),$B528=$B527,$A528&lt;&gt;$A527),and(not(isblank($A528)),$A528=$A527,$B528&lt;&gt;$B527)),"ID LISTS UNALIGNED",and($A528&lt;&gt;"",countif('5) Release_Track'!$F:$F,$A528)=0),"NO ISRC MATCH in Release_Track",and($B528&lt;&gt;"",countif('5) Release_Track'!$G:$G,$B528)=0),"NO CATALOG ID MATCH in Release_Track",iserror(vlookup($A528&amp;$B528,'5) Release_Track'!$F:$F&amp;'5) Release_Track'!$G:$G,1,0)),"NO ISRC-CATALOG ID pair MATCH in Release_Track" )</f>
        <v/>
      </c>
      <c r="D528" s="121" t="str">
        <f t="array" ref="D528">ifs(and(isblank($A528),isblank($B528)),"", not(iserror(vlookup($A528&amp;$B528,'5) Release_Track'!$F:$F&amp;'5) Release_Track'!$G:$G,1,0))),vlookup($A528&amp;$B528,{'5) Release_Track'!$F:$F&amp;'5) Release_Track'!$G:$G,'5) Release_Track'!$I:$I},2,0), or(and(not(isblank($B528)),$B528=$B527,$A528&lt;&gt;$A527),and(not(isblank($A528)),$A528=$A527,$B528&lt;&gt;$B527)),"ID LISTS UNALIGNED",and($A528&lt;&gt;"",countif('5) Release_Track'!$F:$F,$A528)=0),"NO ISRC MATCH in Release_Track",and($B528&lt;&gt;"",countif('5) Release_Track'!$G:$G,$B528)=0),"NO CATALOG ID MATCH in Release_Track",iserror(vlookup($A528&amp;$B528,'5) Release_Track'!$F:$F&amp;'5) Release_Track'!$G:$G,1,0)),"NO ISRC-CATALOG ID pair MATCH in Release_Track" )</f>
        <v/>
      </c>
      <c r="E528" s="125" t="str">
        <f t="array" ref="E528">ifs(and(isblank($A528),isblank($B528)),"", not(iserror(vlookup($A528&amp;$B528,'5) Release_Track'!$F:$F&amp;'5) Release_Track'!$G:$G,1,0))),vlookup($A528&amp;$B528,{'5) Release_Track'!$F:$F&amp;'5) Release_Track'!$G:$G,'5) Release_Track'!$J:$J},2,0), or(and(not(isblank($B528)),$B528=$B527,$A528&lt;&gt;$A527),and(not(isblank($A528)),$A528=$A527,$B528&lt;&gt;$B527)),"ID LISTS UNALIGNED",and($A528&lt;&gt;"",countif('5) Release_Track'!$F:$F,$A528)=0),"NO ISRC MATCH in Release_Track",and($B528&lt;&gt;"",countif('5) Release_Track'!$G:$G,$B528)=0),"NO CATALOG ID MATCH in Release_Track",iserror(vlookup($A528&amp;$B528,'5) Release_Track'!$F:$F&amp;'5) Release_Track'!$G:$G,1,0)),"NO ISRC-CATALOG ID pair MATCH in Release_Track" )</f>
        <v/>
      </c>
      <c r="F528" s="122"/>
      <c r="G528" s="99"/>
      <c r="H528" s="178"/>
      <c r="I528" s="121" t="str">
        <f t="shared" si="6"/>
        <v/>
      </c>
      <c r="J528" s="99"/>
      <c r="K528" s="99"/>
    </row>
    <row r="529">
      <c r="B529" s="103"/>
      <c r="C529" s="121" t="str">
        <f t="array" ref="C529">ifs(and(isblank($A529),isblank($B529)),"", not(iserror(vlookup($A529&amp;$B529,'5) Release_Track'!$F:$F&amp;'5) Release_Track'!$G:$G,1,0))),vlookup($A529&amp;$B529,{'5) Release_Track'!$F:$F&amp;'5) Release_Track'!$G:$G,'5) Release_Track'!$H:$H},2,0), or(and(not(isblank($B529)),$B529=$B528,$A529&lt;&gt;$A528),and(not(isblank($A529)),$A529=$A528,$B529&lt;&gt;$B528)),"ID LISTS UNALIGNED",and($A529&lt;&gt;"",countif('5) Release_Track'!$F:$F,$A529)=0),"NO ISRC MATCH in Release_Track",and($B529&lt;&gt;"",countif('5) Release_Track'!$G:$G,$B529)=0),"NO CATALOG ID MATCH in Release_Track",iserror(vlookup($A529&amp;$B529,'5) Release_Track'!$F:$F&amp;'5) Release_Track'!$G:$G,1,0)),"NO ISRC-CATALOG ID pair MATCH in Release_Track" )</f>
        <v/>
      </c>
      <c r="D529" s="121" t="str">
        <f t="array" ref="D529">ifs(and(isblank($A529),isblank($B529)),"", not(iserror(vlookup($A529&amp;$B529,'5) Release_Track'!$F:$F&amp;'5) Release_Track'!$G:$G,1,0))),vlookup($A529&amp;$B529,{'5) Release_Track'!$F:$F&amp;'5) Release_Track'!$G:$G,'5) Release_Track'!$I:$I},2,0), or(and(not(isblank($B529)),$B529=$B528,$A529&lt;&gt;$A528),and(not(isblank($A529)),$A529=$A528,$B529&lt;&gt;$B528)),"ID LISTS UNALIGNED",and($A529&lt;&gt;"",countif('5) Release_Track'!$F:$F,$A529)=0),"NO ISRC MATCH in Release_Track",and($B529&lt;&gt;"",countif('5) Release_Track'!$G:$G,$B529)=0),"NO CATALOG ID MATCH in Release_Track",iserror(vlookup($A529&amp;$B529,'5) Release_Track'!$F:$F&amp;'5) Release_Track'!$G:$G,1,0)),"NO ISRC-CATALOG ID pair MATCH in Release_Track" )</f>
        <v/>
      </c>
      <c r="E529" s="125" t="str">
        <f t="array" ref="E529">ifs(and(isblank($A529),isblank($B529)),"", not(iserror(vlookup($A529&amp;$B529,'5) Release_Track'!$F:$F&amp;'5) Release_Track'!$G:$G,1,0))),vlookup($A529&amp;$B529,{'5) Release_Track'!$F:$F&amp;'5) Release_Track'!$G:$G,'5) Release_Track'!$J:$J},2,0), or(and(not(isblank($B529)),$B529=$B528,$A529&lt;&gt;$A528),and(not(isblank($A529)),$A529=$A528,$B529&lt;&gt;$B528)),"ID LISTS UNALIGNED",and($A529&lt;&gt;"",countif('5) Release_Track'!$F:$F,$A529)=0),"NO ISRC MATCH in Release_Track",and($B529&lt;&gt;"",countif('5) Release_Track'!$G:$G,$B529)=0),"NO CATALOG ID MATCH in Release_Track",iserror(vlookup($A529&amp;$B529,'5) Release_Track'!$F:$F&amp;'5) Release_Track'!$G:$G,1,0)),"NO ISRC-CATALOG ID pair MATCH in Release_Track" )</f>
        <v/>
      </c>
      <c r="F529" s="122"/>
      <c r="G529" s="99"/>
      <c r="H529" s="178"/>
      <c r="I529" s="121" t="str">
        <f t="shared" si="6"/>
        <v/>
      </c>
      <c r="J529" s="99"/>
      <c r="K529" s="99"/>
    </row>
    <row r="530">
      <c r="B530" s="103"/>
      <c r="C530" s="121" t="str">
        <f t="array" ref="C530">ifs(and(isblank($A530),isblank($B530)),"", not(iserror(vlookup($A530&amp;$B530,'5) Release_Track'!$F:$F&amp;'5) Release_Track'!$G:$G,1,0))),vlookup($A530&amp;$B530,{'5) Release_Track'!$F:$F&amp;'5) Release_Track'!$G:$G,'5) Release_Track'!$H:$H},2,0), or(and(not(isblank($B530)),$B530=$B529,$A530&lt;&gt;$A529),and(not(isblank($A530)),$A530=$A529,$B530&lt;&gt;$B529)),"ID LISTS UNALIGNED",and($A530&lt;&gt;"",countif('5) Release_Track'!$F:$F,$A530)=0),"NO ISRC MATCH in Release_Track",and($B530&lt;&gt;"",countif('5) Release_Track'!$G:$G,$B530)=0),"NO CATALOG ID MATCH in Release_Track",iserror(vlookup($A530&amp;$B530,'5) Release_Track'!$F:$F&amp;'5) Release_Track'!$G:$G,1,0)),"NO ISRC-CATALOG ID pair MATCH in Release_Track" )</f>
        <v/>
      </c>
      <c r="D530" s="121" t="str">
        <f t="array" ref="D530">ifs(and(isblank($A530),isblank($B530)),"", not(iserror(vlookup($A530&amp;$B530,'5) Release_Track'!$F:$F&amp;'5) Release_Track'!$G:$G,1,0))),vlookup($A530&amp;$B530,{'5) Release_Track'!$F:$F&amp;'5) Release_Track'!$G:$G,'5) Release_Track'!$I:$I},2,0), or(and(not(isblank($B530)),$B530=$B529,$A530&lt;&gt;$A529),and(not(isblank($A530)),$A530=$A529,$B530&lt;&gt;$B529)),"ID LISTS UNALIGNED",and($A530&lt;&gt;"",countif('5) Release_Track'!$F:$F,$A530)=0),"NO ISRC MATCH in Release_Track",and($B530&lt;&gt;"",countif('5) Release_Track'!$G:$G,$B530)=0),"NO CATALOG ID MATCH in Release_Track",iserror(vlookup($A530&amp;$B530,'5) Release_Track'!$F:$F&amp;'5) Release_Track'!$G:$G,1,0)),"NO ISRC-CATALOG ID pair MATCH in Release_Track" )</f>
        <v/>
      </c>
      <c r="E530" s="125" t="str">
        <f t="array" ref="E530">ifs(and(isblank($A530),isblank($B530)),"", not(iserror(vlookup($A530&amp;$B530,'5) Release_Track'!$F:$F&amp;'5) Release_Track'!$G:$G,1,0))),vlookup($A530&amp;$B530,{'5) Release_Track'!$F:$F&amp;'5) Release_Track'!$G:$G,'5) Release_Track'!$J:$J},2,0), or(and(not(isblank($B530)),$B530=$B529,$A530&lt;&gt;$A529),and(not(isblank($A530)),$A530=$A529,$B530&lt;&gt;$B529)),"ID LISTS UNALIGNED",and($A530&lt;&gt;"",countif('5) Release_Track'!$F:$F,$A530)=0),"NO ISRC MATCH in Release_Track",and($B530&lt;&gt;"",countif('5) Release_Track'!$G:$G,$B530)=0),"NO CATALOG ID MATCH in Release_Track",iserror(vlookup($A530&amp;$B530,'5) Release_Track'!$F:$F&amp;'5) Release_Track'!$G:$G,1,0)),"NO ISRC-CATALOG ID pair MATCH in Release_Track" )</f>
        <v/>
      </c>
      <c r="F530" s="122"/>
      <c r="G530" s="99"/>
      <c r="H530" s="178"/>
      <c r="I530" s="121" t="str">
        <f t="shared" si="6"/>
        <v/>
      </c>
      <c r="J530" s="99"/>
      <c r="K530" s="99"/>
    </row>
    <row r="531">
      <c r="B531" s="103"/>
      <c r="C531" s="121" t="str">
        <f t="array" ref="C531">ifs(and(isblank($A531),isblank($B531)),"", not(iserror(vlookup($A531&amp;$B531,'5) Release_Track'!$F:$F&amp;'5) Release_Track'!$G:$G,1,0))),vlookup($A531&amp;$B531,{'5) Release_Track'!$F:$F&amp;'5) Release_Track'!$G:$G,'5) Release_Track'!$H:$H},2,0), or(and(not(isblank($B531)),$B531=$B530,$A531&lt;&gt;$A530),and(not(isblank($A531)),$A531=$A530,$B531&lt;&gt;$B530)),"ID LISTS UNALIGNED",and($A531&lt;&gt;"",countif('5) Release_Track'!$F:$F,$A531)=0),"NO ISRC MATCH in Release_Track",and($B531&lt;&gt;"",countif('5) Release_Track'!$G:$G,$B531)=0),"NO CATALOG ID MATCH in Release_Track",iserror(vlookup($A531&amp;$B531,'5) Release_Track'!$F:$F&amp;'5) Release_Track'!$G:$G,1,0)),"NO ISRC-CATALOG ID pair MATCH in Release_Track" )</f>
        <v/>
      </c>
      <c r="D531" s="121" t="str">
        <f t="array" ref="D531">ifs(and(isblank($A531),isblank($B531)),"", not(iserror(vlookup($A531&amp;$B531,'5) Release_Track'!$F:$F&amp;'5) Release_Track'!$G:$G,1,0))),vlookup($A531&amp;$B531,{'5) Release_Track'!$F:$F&amp;'5) Release_Track'!$G:$G,'5) Release_Track'!$I:$I},2,0), or(and(not(isblank($B531)),$B531=$B530,$A531&lt;&gt;$A530),and(not(isblank($A531)),$A531=$A530,$B531&lt;&gt;$B530)),"ID LISTS UNALIGNED",and($A531&lt;&gt;"",countif('5) Release_Track'!$F:$F,$A531)=0),"NO ISRC MATCH in Release_Track",and($B531&lt;&gt;"",countif('5) Release_Track'!$G:$G,$B531)=0),"NO CATALOG ID MATCH in Release_Track",iserror(vlookup($A531&amp;$B531,'5) Release_Track'!$F:$F&amp;'5) Release_Track'!$G:$G,1,0)),"NO ISRC-CATALOG ID pair MATCH in Release_Track" )</f>
        <v/>
      </c>
      <c r="E531" s="125" t="str">
        <f t="array" ref="E531">ifs(and(isblank($A531),isblank($B531)),"", not(iserror(vlookup($A531&amp;$B531,'5) Release_Track'!$F:$F&amp;'5) Release_Track'!$G:$G,1,0))),vlookup($A531&amp;$B531,{'5) Release_Track'!$F:$F&amp;'5) Release_Track'!$G:$G,'5) Release_Track'!$J:$J},2,0), or(and(not(isblank($B531)),$B531=$B530,$A531&lt;&gt;$A530),and(not(isblank($A531)),$A531=$A530,$B531&lt;&gt;$B530)),"ID LISTS UNALIGNED",and($A531&lt;&gt;"",countif('5) Release_Track'!$F:$F,$A531)=0),"NO ISRC MATCH in Release_Track",and($B531&lt;&gt;"",countif('5) Release_Track'!$G:$G,$B531)=0),"NO CATALOG ID MATCH in Release_Track",iserror(vlookup($A531&amp;$B531,'5) Release_Track'!$F:$F&amp;'5) Release_Track'!$G:$G,1,0)),"NO ISRC-CATALOG ID pair MATCH in Release_Track" )</f>
        <v/>
      </c>
      <c r="F531" s="122"/>
      <c r="G531" s="99"/>
      <c r="H531" s="178"/>
      <c r="I531" s="121" t="str">
        <f t="shared" si="6"/>
        <v/>
      </c>
      <c r="J531" s="99"/>
      <c r="K531" s="99"/>
    </row>
    <row r="532">
      <c r="B532" s="103"/>
      <c r="C532" s="121" t="str">
        <f t="array" ref="C532">ifs(and(isblank($A532),isblank($B532)),"", not(iserror(vlookup($A532&amp;$B532,'5) Release_Track'!$F:$F&amp;'5) Release_Track'!$G:$G,1,0))),vlookup($A532&amp;$B532,{'5) Release_Track'!$F:$F&amp;'5) Release_Track'!$G:$G,'5) Release_Track'!$H:$H},2,0), or(and(not(isblank($B532)),$B532=$B531,$A532&lt;&gt;$A531),and(not(isblank($A532)),$A532=$A531,$B532&lt;&gt;$B531)),"ID LISTS UNALIGNED",and($A532&lt;&gt;"",countif('5) Release_Track'!$F:$F,$A532)=0),"NO ISRC MATCH in Release_Track",and($B532&lt;&gt;"",countif('5) Release_Track'!$G:$G,$B532)=0),"NO CATALOG ID MATCH in Release_Track",iserror(vlookup($A532&amp;$B532,'5) Release_Track'!$F:$F&amp;'5) Release_Track'!$G:$G,1,0)),"NO ISRC-CATALOG ID pair MATCH in Release_Track" )</f>
        <v/>
      </c>
      <c r="D532" s="121" t="str">
        <f t="array" ref="D532">ifs(and(isblank($A532),isblank($B532)),"", not(iserror(vlookup($A532&amp;$B532,'5) Release_Track'!$F:$F&amp;'5) Release_Track'!$G:$G,1,0))),vlookup($A532&amp;$B532,{'5) Release_Track'!$F:$F&amp;'5) Release_Track'!$G:$G,'5) Release_Track'!$I:$I},2,0), or(and(not(isblank($B532)),$B532=$B531,$A532&lt;&gt;$A531),and(not(isblank($A532)),$A532=$A531,$B532&lt;&gt;$B531)),"ID LISTS UNALIGNED",and($A532&lt;&gt;"",countif('5) Release_Track'!$F:$F,$A532)=0),"NO ISRC MATCH in Release_Track",and($B532&lt;&gt;"",countif('5) Release_Track'!$G:$G,$B532)=0),"NO CATALOG ID MATCH in Release_Track",iserror(vlookup($A532&amp;$B532,'5) Release_Track'!$F:$F&amp;'5) Release_Track'!$G:$G,1,0)),"NO ISRC-CATALOG ID pair MATCH in Release_Track" )</f>
        <v/>
      </c>
      <c r="E532" s="125" t="str">
        <f t="array" ref="E532">ifs(and(isblank($A532),isblank($B532)),"", not(iserror(vlookup($A532&amp;$B532,'5) Release_Track'!$F:$F&amp;'5) Release_Track'!$G:$G,1,0))),vlookup($A532&amp;$B532,{'5) Release_Track'!$F:$F&amp;'5) Release_Track'!$G:$G,'5) Release_Track'!$J:$J},2,0), or(and(not(isblank($B532)),$B532=$B531,$A532&lt;&gt;$A531),and(not(isblank($A532)),$A532=$A531,$B532&lt;&gt;$B531)),"ID LISTS UNALIGNED",and($A532&lt;&gt;"",countif('5) Release_Track'!$F:$F,$A532)=0),"NO ISRC MATCH in Release_Track",and($B532&lt;&gt;"",countif('5) Release_Track'!$G:$G,$B532)=0),"NO CATALOG ID MATCH in Release_Track",iserror(vlookup($A532&amp;$B532,'5) Release_Track'!$F:$F&amp;'5) Release_Track'!$G:$G,1,0)),"NO ISRC-CATALOG ID pair MATCH in Release_Track" )</f>
        <v/>
      </c>
      <c r="F532" s="122"/>
      <c r="G532" s="99"/>
      <c r="H532" s="178"/>
      <c r="I532" s="121" t="str">
        <f t="shared" si="6"/>
        <v/>
      </c>
      <c r="J532" s="99"/>
      <c r="K532" s="99"/>
    </row>
    <row r="533">
      <c r="B533" s="103"/>
      <c r="C533" s="121" t="str">
        <f t="array" ref="C533">ifs(and(isblank($A533),isblank($B533)),"", not(iserror(vlookup($A533&amp;$B533,'5) Release_Track'!$F:$F&amp;'5) Release_Track'!$G:$G,1,0))),vlookup($A533&amp;$B533,{'5) Release_Track'!$F:$F&amp;'5) Release_Track'!$G:$G,'5) Release_Track'!$H:$H},2,0), or(and(not(isblank($B533)),$B533=$B532,$A533&lt;&gt;$A532),and(not(isblank($A533)),$A533=$A532,$B533&lt;&gt;$B532)),"ID LISTS UNALIGNED",and($A533&lt;&gt;"",countif('5) Release_Track'!$F:$F,$A533)=0),"NO ISRC MATCH in Release_Track",and($B533&lt;&gt;"",countif('5) Release_Track'!$G:$G,$B533)=0),"NO CATALOG ID MATCH in Release_Track",iserror(vlookup($A533&amp;$B533,'5) Release_Track'!$F:$F&amp;'5) Release_Track'!$G:$G,1,0)),"NO ISRC-CATALOG ID pair MATCH in Release_Track" )</f>
        <v/>
      </c>
      <c r="D533" s="121" t="str">
        <f t="array" ref="D533">ifs(and(isblank($A533),isblank($B533)),"", not(iserror(vlookup($A533&amp;$B533,'5) Release_Track'!$F:$F&amp;'5) Release_Track'!$G:$G,1,0))),vlookup($A533&amp;$B533,{'5) Release_Track'!$F:$F&amp;'5) Release_Track'!$G:$G,'5) Release_Track'!$I:$I},2,0), or(and(not(isblank($B533)),$B533=$B532,$A533&lt;&gt;$A532),and(not(isblank($A533)),$A533=$A532,$B533&lt;&gt;$B532)),"ID LISTS UNALIGNED",and($A533&lt;&gt;"",countif('5) Release_Track'!$F:$F,$A533)=0),"NO ISRC MATCH in Release_Track",and($B533&lt;&gt;"",countif('5) Release_Track'!$G:$G,$B533)=0),"NO CATALOG ID MATCH in Release_Track",iserror(vlookup($A533&amp;$B533,'5) Release_Track'!$F:$F&amp;'5) Release_Track'!$G:$G,1,0)),"NO ISRC-CATALOG ID pair MATCH in Release_Track" )</f>
        <v/>
      </c>
      <c r="E533" s="125" t="str">
        <f t="array" ref="E533">ifs(and(isblank($A533),isblank($B533)),"", not(iserror(vlookup($A533&amp;$B533,'5) Release_Track'!$F:$F&amp;'5) Release_Track'!$G:$G,1,0))),vlookup($A533&amp;$B533,{'5) Release_Track'!$F:$F&amp;'5) Release_Track'!$G:$G,'5) Release_Track'!$J:$J},2,0), or(and(not(isblank($B533)),$B533=$B532,$A533&lt;&gt;$A532),and(not(isblank($A533)),$A533=$A532,$B533&lt;&gt;$B532)),"ID LISTS UNALIGNED",and($A533&lt;&gt;"",countif('5) Release_Track'!$F:$F,$A533)=0),"NO ISRC MATCH in Release_Track",and($B533&lt;&gt;"",countif('5) Release_Track'!$G:$G,$B533)=0),"NO CATALOG ID MATCH in Release_Track",iserror(vlookup($A533&amp;$B533,'5) Release_Track'!$F:$F&amp;'5) Release_Track'!$G:$G,1,0)),"NO ISRC-CATALOG ID pair MATCH in Release_Track" )</f>
        <v/>
      </c>
      <c r="F533" s="122"/>
      <c r="G533" s="99"/>
      <c r="H533" s="178"/>
      <c r="I533" s="121" t="str">
        <f t="shared" si="6"/>
        <v/>
      </c>
      <c r="J533" s="99"/>
      <c r="K533" s="99"/>
    </row>
    <row r="534">
      <c r="B534" s="103"/>
      <c r="C534" s="121" t="str">
        <f t="array" ref="C534">ifs(and(isblank($A534),isblank($B534)),"", not(iserror(vlookup($A534&amp;$B534,'5) Release_Track'!$F:$F&amp;'5) Release_Track'!$G:$G,1,0))),vlookup($A534&amp;$B534,{'5) Release_Track'!$F:$F&amp;'5) Release_Track'!$G:$G,'5) Release_Track'!$H:$H},2,0), or(and(not(isblank($B534)),$B534=$B533,$A534&lt;&gt;$A533),and(not(isblank($A534)),$A534=$A533,$B534&lt;&gt;$B533)),"ID LISTS UNALIGNED",and($A534&lt;&gt;"",countif('5) Release_Track'!$F:$F,$A534)=0),"NO ISRC MATCH in Release_Track",and($B534&lt;&gt;"",countif('5) Release_Track'!$G:$G,$B534)=0),"NO CATALOG ID MATCH in Release_Track",iserror(vlookup($A534&amp;$B534,'5) Release_Track'!$F:$F&amp;'5) Release_Track'!$G:$G,1,0)),"NO ISRC-CATALOG ID pair MATCH in Release_Track" )</f>
        <v/>
      </c>
      <c r="D534" s="121" t="str">
        <f t="array" ref="D534">ifs(and(isblank($A534),isblank($B534)),"", not(iserror(vlookup($A534&amp;$B534,'5) Release_Track'!$F:$F&amp;'5) Release_Track'!$G:$G,1,0))),vlookup($A534&amp;$B534,{'5) Release_Track'!$F:$F&amp;'5) Release_Track'!$G:$G,'5) Release_Track'!$I:$I},2,0), or(and(not(isblank($B534)),$B534=$B533,$A534&lt;&gt;$A533),and(not(isblank($A534)),$A534=$A533,$B534&lt;&gt;$B533)),"ID LISTS UNALIGNED",and($A534&lt;&gt;"",countif('5) Release_Track'!$F:$F,$A534)=0),"NO ISRC MATCH in Release_Track",and($B534&lt;&gt;"",countif('5) Release_Track'!$G:$G,$B534)=0),"NO CATALOG ID MATCH in Release_Track",iserror(vlookup($A534&amp;$B534,'5) Release_Track'!$F:$F&amp;'5) Release_Track'!$G:$G,1,0)),"NO ISRC-CATALOG ID pair MATCH in Release_Track" )</f>
        <v/>
      </c>
      <c r="E534" s="125" t="str">
        <f t="array" ref="E534">ifs(and(isblank($A534),isblank($B534)),"", not(iserror(vlookup($A534&amp;$B534,'5) Release_Track'!$F:$F&amp;'5) Release_Track'!$G:$G,1,0))),vlookup($A534&amp;$B534,{'5) Release_Track'!$F:$F&amp;'5) Release_Track'!$G:$G,'5) Release_Track'!$J:$J},2,0), or(and(not(isblank($B534)),$B534=$B533,$A534&lt;&gt;$A533),and(not(isblank($A534)),$A534=$A533,$B534&lt;&gt;$B533)),"ID LISTS UNALIGNED",and($A534&lt;&gt;"",countif('5) Release_Track'!$F:$F,$A534)=0),"NO ISRC MATCH in Release_Track",and($B534&lt;&gt;"",countif('5) Release_Track'!$G:$G,$B534)=0),"NO CATALOG ID MATCH in Release_Track",iserror(vlookup($A534&amp;$B534,'5) Release_Track'!$F:$F&amp;'5) Release_Track'!$G:$G,1,0)),"NO ISRC-CATALOG ID pair MATCH in Release_Track" )</f>
        <v/>
      </c>
      <c r="F534" s="122"/>
      <c r="G534" s="99"/>
      <c r="H534" s="178"/>
      <c r="I534" s="121" t="str">
        <f t="shared" si="6"/>
        <v/>
      </c>
      <c r="J534" s="99"/>
      <c r="K534" s="99"/>
    </row>
    <row r="535">
      <c r="B535" s="103"/>
      <c r="C535" s="121" t="str">
        <f t="array" ref="C535">ifs(and(isblank($A535),isblank($B535)),"", not(iserror(vlookup($A535&amp;$B535,'5) Release_Track'!$F:$F&amp;'5) Release_Track'!$G:$G,1,0))),vlookup($A535&amp;$B535,{'5) Release_Track'!$F:$F&amp;'5) Release_Track'!$G:$G,'5) Release_Track'!$H:$H},2,0), or(and(not(isblank($B535)),$B535=$B534,$A535&lt;&gt;$A534),and(not(isblank($A535)),$A535=$A534,$B535&lt;&gt;$B534)),"ID LISTS UNALIGNED",and($A535&lt;&gt;"",countif('5) Release_Track'!$F:$F,$A535)=0),"NO ISRC MATCH in Release_Track",and($B535&lt;&gt;"",countif('5) Release_Track'!$G:$G,$B535)=0),"NO CATALOG ID MATCH in Release_Track",iserror(vlookup($A535&amp;$B535,'5) Release_Track'!$F:$F&amp;'5) Release_Track'!$G:$G,1,0)),"NO ISRC-CATALOG ID pair MATCH in Release_Track" )</f>
        <v/>
      </c>
      <c r="D535" s="121" t="str">
        <f t="array" ref="D535">ifs(and(isblank($A535),isblank($B535)),"", not(iserror(vlookup($A535&amp;$B535,'5) Release_Track'!$F:$F&amp;'5) Release_Track'!$G:$G,1,0))),vlookup($A535&amp;$B535,{'5) Release_Track'!$F:$F&amp;'5) Release_Track'!$G:$G,'5) Release_Track'!$I:$I},2,0), or(and(not(isblank($B535)),$B535=$B534,$A535&lt;&gt;$A534),and(not(isblank($A535)),$A535=$A534,$B535&lt;&gt;$B534)),"ID LISTS UNALIGNED",and($A535&lt;&gt;"",countif('5) Release_Track'!$F:$F,$A535)=0),"NO ISRC MATCH in Release_Track",and($B535&lt;&gt;"",countif('5) Release_Track'!$G:$G,$B535)=0),"NO CATALOG ID MATCH in Release_Track",iserror(vlookup($A535&amp;$B535,'5) Release_Track'!$F:$F&amp;'5) Release_Track'!$G:$G,1,0)),"NO ISRC-CATALOG ID pair MATCH in Release_Track" )</f>
        <v/>
      </c>
      <c r="E535" s="125" t="str">
        <f t="array" ref="E535">ifs(and(isblank($A535),isblank($B535)),"", not(iserror(vlookup($A535&amp;$B535,'5) Release_Track'!$F:$F&amp;'5) Release_Track'!$G:$G,1,0))),vlookup($A535&amp;$B535,{'5) Release_Track'!$F:$F&amp;'5) Release_Track'!$G:$G,'5) Release_Track'!$J:$J},2,0), or(and(not(isblank($B535)),$B535=$B534,$A535&lt;&gt;$A534),and(not(isblank($A535)),$A535=$A534,$B535&lt;&gt;$B534)),"ID LISTS UNALIGNED",and($A535&lt;&gt;"",countif('5) Release_Track'!$F:$F,$A535)=0),"NO ISRC MATCH in Release_Track",and($B535&lt;&gt;"",countif('5) Release_Track'!$G:$G,$B535)=0),"NO CATALOG ID MATCH in Release_Track",iserror(vlookup($A535&amp;$B535,'5) Release_Track'!$F:$F&amp;'5) Release_Track'!$G:$G,1,0)),"NO ISRC-CATALOG ID pair MATCH in Release_Track" )</f>
        <v/>
      </c>
      <c r="F535" s="122"/>
      <c r="G535" s="99"/>
      <c r="H535" s="178"/>
      <c r="I535" s="121" t="str">
        <f t="shared" si="6"/>
        <v/>
      </c>
      <c r="J535" s="99"/>
      <c r="K535" s="99"/>
    </row>
    <row r="536">
      <c r="B536" s="103"/>
      <c r="C536" s="121" t="str">
        <f t="array" ref="C536">ifs(and(isblank($A536),isblank($B536)),"", not(iserror(vlookup($A536&amp;$B536,'5) Release_Track'!$F:$F&amp;'5) Release_Track'!$G:$G,1,0))),vlookup($A536&amp;$B536,{'5) Release_Track'!$F:$F&amp;'5) Release_Track'!$G:$G,'5) Release_Track'!$H:$H},2,0), or(and(not(isblank($B536)),$B536=$B535,$A536&lt;&gt;$A535),and(not(isblank($A536)),$A536=$A535,$B536&lt;&gt;$B535)),"ID LISTS UNALIGNED",and($A536&lt;&gt;"",countif('5) Release_Track'!$F:$F,$A536)=0),"NO ISRC MATCH in Release_Track",and($B536&lt;&gt;"",countif('5) Release_Track'!$G:$G,$B536)=0),"NO CATALOG ID MATCH in Release_Track",iserror(vlookup($A536&amp;$B536,'5) Release_Track'!$F:$F&amp;'5) Release_Track'!$G:$G,1,0)),"NO ISRC-CATALOG ID pair MATCH in Release_Track" )</f>
        <v/>
      </c>
      <c r="D536" s="121" t="str">
        <f t="array" ref="D536">ifs(and(isblank($A536),isblank($B536)),"", not(iserror(vlookup($A536&amp;$B536,'5) Release_Track'!$F:$F&amp;'5) Release_Track'!$G:$G,1,0))),vlookup($A536&amp;$B536,{'5) Release_Track'!$F:$F&amp;'5) Release_Track'!$G:$G,'5) Release_Track'!$I:$I},2,0), or(and(not(isblank($B536)),$B536=$B535,$A536&lt;&gt;$A535),and(not(isblank($A536)),$A536=$A535,$B536&lt;&gt;$B535)),"ID LISTS UNALIGNED",and($A536&lt;&gt;"",countif('5) Release_Track'!$F:$F,$A536)=0),"NO ISRC MATCH in Release_Track",and($B536&lt;&gt;"",countif('5) Release_Track'!$G:$G,$B536)=0),"NO CATALOG ID MATCH in Release_Track",iserror(vlookup($A536&amp;$B536,'5) Release_Track'!$F:$F&amp;'5) Release_Track'!$G:$G,1,0)),"NO ISRC-CATALOG ID pair MATCH in Release_Track" )</f>
        <v/>
      </c>
      <c r="E536" s="125" t="str">
        <f t="array" ref="E536">ifs(and(isblank($A536),isblank($B536)),"", not(iserror(vlookup($A536&amp;$B536,'5) Release_Track'!$F:$F&amp;'5) Release_Track'!$G:$G,1,0))),vlookup($A536&amp;$B536,{'5) Release_Track'!$F:$F&amp;'5) Release_Track'!$G:$G,'5) Release_Track'!$J:$J},2,0), or(and(not(isblank($B536)),$B536=$B535,$A536&lt;&gt;$A535),and(not(isblank($A536)),$A536=$A535,$B536&lt;&gt;$B535)),"ID LISTS UNALIGNED",and($A536&lt;&gt;"",countif('5) Release_Track'!$F:$F,$A536)=0),"NO ISRC MATCH in Release_Track",and($B536&lt;&gt;"",countif('5) Release_Track'!$G:$G,$B536)=0),"NO CATALOG ID MATCH in Release_Track",iserror(vlookup($A536&amp;$B536,'5) Release_Track'!$F:$F&amp;'5) Release_Track'!$G:$G,1,0)),"NO ISRC-CATALOG ID pair MATCH in Release_Track" )</f>
        <v/>
      </c>
      <c r="F536" s="122"/>
      <c r="G536" s="99"/>
      <c r="H536" s="178"/>
      <c r="I536" s="121" t="str">
        <f t="shared" si="6"/>
        <v/>
      </c>
      <c r="J536" s="99"/>
      <c r="K536" s="99"/>
    </row>
    <row r="537">
      <c r="B537" s="103"/>
      <c r="C537" s="121" t="str">
        <f t="array" ref="C537">ifs(and(isblank($A537),isblank($B537)),"", not(iserror(vlookup($A537&amp;$B537,'5) Release_Track'!$F:$F&amp;'5) Release_Track'!$G:$G,1,0))),vlookup($A537&amp;$B537,{'5) Release_Track'!$F:$F&amp;'5) Release_Track'!$G:$G,'5) Release_Track'!$H:$H},2,0), or(and(not(isblank($B537)),$B537=$B536,$A537&lt;&gt;$A536),and(not(isblank($A537)),$A537=$A536,$B537&lt;&gt;$B536)),"ID LISTS UNALIGNED",and($A537&lt;&gt;"",countif('5) Release_Track'!$F:$F,$A537)=0),"NO ISRC MATCH in Release_Track",and($B537&lt;&gt;"",countif('5) Release_Track'!$G:$G,$B537)=0),"NO CATALOG ID MATCH in Release_Track",iserror(vlookup($A537&amp;$B537,'5) Release_Track'!$F:$F&amp;'5) Release_Track'!$G:$G,1,0)),"NO ISRC-CATALOG ID pair MATCH in Release_Track" )</f>
        <v/>
      </c>
      <c r="D537" s="121" t="str">
        <f t="array" ref="D537">ifs(and(isblank($A537),isblank($B537)),"", not(iserror(vlookup($A537&amp;$B537,'5) Release_Track'!$F:$F&amp;'5) Release_Track'!$G:$G,1,0))),vlookup($A537&amp;$B537,{'5) Release_Track'!$F:$F&amp;'5) Release_Track'!$G:$G,'5) Release_Track'!$I:$I},2,0), or(and(not(isblank($B537)),$B537=$B536,$A537&lt;&gt;$A536),and(not(isblank($A537)),$A537=$A536,$B537&lt;&gt;$B536)),"ID LISTS UNALIGNED",and($A537&lt;&gt;"",countif('5) Release_Track'!$F:$F,$A537)=0),"NO ISRC MATCH in Release_Track",and($B537&lt;&gt;"",countif('5) Release_Track'!$G:$G,$B537)=0),"NO CATALOG ID MATCH in Release_Track",iserror(vlookup($A537&amp;$B537,'5) Release_Track'!$F:$F&amp;'5) Release_Track'!$G:$G,1,0)),"NO ISRC-CATALOG ID pair MATCH in Release_Track" )</f>
        <v/>
      </c>
      <c r="E537" s="125" t="str">
        <f t="array" ref="E537">ifs(and(isblank($A537),isblank($B537)),"", not(iserror(vlookup($A537&amp;$B537,'5) Release_Track'!$F:$F&amp;'5) Release_Track'!$G:$G,1,0))),vlookup($A537&amp;$B537,{'5) Release_Track'!$F:$F&amp;'5) Release_Track'!$G:$G,'5) Release_Track'!$J:$J},2,0), or(and(not(isblank($B537)),$B537=$B536,$A537&lt;&gt;$A536),and(not(isblank($A537)),$A537=$A536,$B537&lt;&gt;$B536)),"ID LISTS UNALIGNED",and($A537&lt;&gt;"",countif('5) Release_Track'!$F:$F,$A537)=0),"NO ISRC MATCH in Release_Track",and($B537&lt;&gt;"",countif('5) Release_Track'!$G:$G,$B537)=0),"NO CATALOG ID MATCH in Release_Track",iserror(vlookup($A537&amp;$B537,'5) Release_Track'!$F:$F&amp;'5) Release_Track'!$G:$G,1,0)),"NO ISRC-CATALOG ID pair MATCH in Release_Track" )</f>
        <v/>
      </c>
      <c r="F537" s="122"/>
      <c r="G537" s="99"/>
      <c r="H537" s="178"/>
      <c r="I537" s="121" t="str">
        <f t="shared" si="6"/>
        <v/>
      </c>
      <c r="J537" s="99"/>
      <c r="K537" s="99"/>
    </row>
    <row r="538">
      <c r="B538" s="103"/>
      <c r="C538" s="121" t="str">
        <f t="array" ref="C538">ifs(and(isblank($A538),isblank($B538)),"", not(iserror(vlookup($A538&amp;$B538,'5) Release_Track'!$F:$F&amp;'5) Release_Track'!$G:$G,1,0))),vlookup($A538&amp;$B538,{'5) Release_Track'!$F:$F&amp;'5) Release_Track'!$G:$G,'5) Release_Track'!$H:$H},2,0), or(and(not(isblank($B538)),$B538=$B537,$A538&lt;&gt;$A537),and(not(isblank($A538)),$A538=$A537,$B538&lt;&gt;$B537)),"ID LISTS UNALIGNED",and($A538&lt;&gt;"",countif('5) Release_Track'!$F:$F,$A538)=0),"NO ISRC MATCH in Release_Track",and($B538&lt;&gt;"",countif('5) Release_Track'!$G:$G,$B538)=0),"NO CATALOG ID MATCH in Release_Track",iserror(vlookup($A538&amp;$B538,'5) Release_Track'!$F:$F&amp;'5) Release_Track'!$G:$G,1,0)),"NO ISRC-CATALOG ID pair MATCH in Release_Track" )</f>
        <v/>
      </c>
      <c r="D538" s="121" t="str">
        <f t="array" ref="D538">ifs(and(isblank($A538),isblank($B538)),"", not(iserror(vlookup($A538&amp;$B538,'5) Release_Track'!$F:$F&amp;'5) Release_Track'!$G:$G,1,0))),vlookup($A538&amp;$B538,{'5) Release_Track'!$F:$F&amp;'5) Release_Track'!$G:$G,'5) Release_Track'!$I:$I},2,0), or(and(not(isblank($B538)),$B538=$B537,$A538&lt;&gt;$A537),and(not(isblank($A538)),$A538=$A537,$B538&lt;&gt;$B537)),"ID LISTS UNALIGNED",and($A538&lt;&gt;"",countif('5) Release_Track'!$F:$F,$A538)=0),"NO ISRC MATCH in Release_Track",and($B538&lt;&gt;"",countif('5) Release_Track'!$G:$G,$B538)=0),"NO CATALOG ID MATCH in Release_Track",iserror(vlookup($A538&amp;$B538,'5) Release_Track'!$F:$F&amp;'5) Release_Track'!$G:$G,1,0)),"NO ISRC-CATALOG ID pair MATCH in Release_Track" )</f>
        <v/>
      </c>
      <c r="E538" s="125" t="str">
        <f t="array" ref="E538">ifs(and(isblank($A538),isblank($B538)),"", not(iserror(vlookup($A538&amp;$B538,'5) Release_Track'!$F:$F&amp;'5) Release_Track'!$G:$G,1,0))),vlookup($A538&amp;$B538,{'5) Release_Track'!$F:$F&amp;'5) Release_Track'!$G:$G,'5) Release_Track'!$J:$J},2,0), or(and(not(isblank($B538)),$B538=$B537,$A538&lt;&gt;$A537),and(not(isblank($A538)),$A538=$A537,$B538&lt;&gt;$B537)),"ID LISTS UNALIGNED",and($A538&lt;&gt;"",countif('5) Release_Track'!$F:$F,$A538)=0),"NO ISRC MATCH in Release_Track",and($B538&lt;&gt;"",countif('5) Release_Track'!$G:$G,$B538)=0),"NO CATALOG ID MATCH in Release_Track",iserror(vlookup($A538&amp;$B538,'5) Release_Track'!$F:$F&amp;'5) Release_Track'!$G:$G,1,0)),"NO ISRC-CATALOG ID pair MATCH in Release_Track" )</f>
        <v/>
      </c>
      <c r="F538" s="122"/>
      <c r="G538" s="99"/>
      <c r="H538" s="178"/>
      <c r="I538" s="121" t="str">
        <f t="shared" si="6"/>
        <v/>
      </c>
      <c r="J538" s="99"/>
      <c r="K538" s="99"/>
    </row>
    <row r="539">
      <c r="B539" s="103"/>
      <c r="C539" s="121" t="str">
        <f t="array" ref="C539">ifs(and(isblank($A539),isblank($B539)),"", not(iserror(vlookup($A539&amp;$B539,'5) Release_Track'!$F:$F&amp;'5) Release_Track'!$G:$G,1,0))),vlookup($A539&amp;$B539,{'5) Release_Track'!$F:$F&amp;'5) Release_Track'!$G:$G,'5) Release_Track'!$H:$H},2,0), or(and(not(isblank($B539)),$B539=$B538,$A539&lt;&gt;$A538),and(not(isblank($A539)),$A539=$A538,$B539&lt;&gt;$B538)),"ID LISTS UNALIGNED",and($A539&lt;&gt;"",countif('5) Release_Track'!$F:$F,$A539)=0),"NO ISRC MATCH in Release_Track",and($B539&lt;&gt;"",countif('5) Release_Track'!$G:$G,$B539)=0),"NO CATALOG ID MATCH in Release_Track",iserror(vlookup($A539&amp;$B539,'5) Release_Track'!$F:$F&amp;'5) Release_Track'!$G:$G,1,0)),"NO ISRC-CATALOG ID pair MATCH in Release_Track" )</f>
        <v/>
      </c>
      <c r="D539" s="121" t="str">
        <f t="array" ref="D539">ifs(and(isblank($A539),isblank($B539)),"", not(iserror(vlookup($A539&amp;$B539,'5) Release_Track'!$F:$F&amp;'5) Release_Track'!$G:$G,1,0))),vlookup($A539&amp;$B539,{'5) Release_Track'!$F:$F&amp;'5) Release_Track'!$G:$G,'5) Release_Track'!$I:$I},2,0), or(and(not(isblank($B539)),$B539=$B538,$A539&lt;&gt;$A538),and(not(isblank($A539)),$A539=$A538,$B539&lt;&gt;$B538)),"ID LISTS UNALIGNED",and($A539&lt;&gt;"",countif('5) Release_Track'!$F:$F,$A539)=0),"NO ISRC MATCH in Release_Track",and($B539&lt;&gt;"",countif('5) Release_Track'!$G:$G,$B539)=0),"NO CATALOG ID MATCH in Release_Track",iserror(vlookup($A539&amp;$B539,'5) Release_Track'!$F:$F&amp;'5) Release_Track'!$G:$G,1,0)),"NO ISRC-CATALOG ID pair MATCH in Release_Track" )</f>
        <v/>
      </c>
      <c r="E539" s="125" t="str">
        <f t="array" ref="E539">ifs(and(isblank($A539),isblank($B539)),"", not(iserror(vlookup($A539&amp;$B539,'5) Release_Track'!$F:$F&amp;'5) Release_Track'!$G:$G,1,0))),vlookup($A539&amp;$B539,{'5) Release_Track'!$F:$F&amp;'5) Release_Track'!$G:$G,'5) Release_Track'!$J:$J},2,0), or(and(not(isblank($B539)),$B539=$B538,$A539&lt;&gt;$A538),and(not(isblank($A539)),$A539=$A538,$B539&lt;&gt;$B538)),"ID LISTS UNALIGNED",and($A539&lt;&gt;"",countif('5) Release_Track'!$F:$F,$A539)=0),"NO ISRC MATCH in Release_Track",and($B539&lt;&gt;"",countif('5) Release_Track'!$G:$G,$B539)=0),"NO CATALOG ID MATCH in Release_Track",iserror(vlookup($A539&amp;$B539,'5) Release_Track'!$F:$F&amp;'5) Release_Track'!$G:$G,1,0)),"NO ISRC-CATALOG ID pair MATCH in Release_Track" )</f>
        <v/>
      </c>
      <c r="F539" s="122"/>
      <c r="G539" s="99"/>
      <c r="H539" s="178"/>
      <c r="I539" s="121" t="str">
        <f t="shared" si="6"/>
        <v/>
      </c>
      <c r="J539" s="99"/>
      <c r="K539" s="99"/>
    </row>
    <row r="540">
      <c r="B540" s="103"/>
      <c r="C540" s="121" t="str">
        <f t="array" ref="C540">ifs(and(isblank($A540),isblank($B540)),"", not(iserror(vlookup($A540&amp;$B540,'5) Release_Track'!$F:$F&amp;'5) Release_Track'!$G:$G,1,0))),vlookup($A540&amp;$B540,{'5) Release_Track'!$F:$F&amp;'5) Release_Track'!$G:$G,'5) Release_Track'!$H:$H},2,0), or(and(not(isblank($B540)),$B540=$B539,$A540&lt;&gt;$A539),and(not(isblank($A540)),$A540=$A539,$B540&lt;&gt;$B539)),"ID LISTS UNALIGNED",and($A540&lt;&gt;"",countif('5) Release_Track'!$F:$F,$A540)=0),"NO ISRC MATCH in Release_Track",and($B540&lt;&gt;"",countif('5) Release_Track'!$G:$G,$B540)=0),"NO CATALOG ID MATCH in Release_Track",iserror(vlookup($A540&amp;$B540,'5) Release_Track'!$F:$F&amp;'5) Release_Track'!$G:$G,1,0)),"NO ISRC-CATALOG ID pair MATCH in Release_Track" )</f>
        <v/>
      </c>
      <c r="D540" s="121" t="str">
        <f t="array" ref="D540">ifs(and(isblank($A540),isblank($B540)),"", not(iserror(vlookup($A540&amp;$B540,'5) Release_Track'!$F:$F&amp;'5) Release_Track'!$G:$G,1,0))),vlookup($A540&amp;$B540,{'5) Release_Track'!$F:$F&amp;'5) Release_Track'!$G:$G,'5) Release_Track'!$I:$I},2,0), or(and(not(isblank($B540)),$B540=$B539,$A540&lt;&gt;$A539),and(not(isblank($A540)),$A540=$A539,$B540&lt;&gt;$B539)),"ID LISTS UNALIGNED",and($A540&lt;&gt;"",countif('5) Release_Track'!$F:$F,$A540)=0),"NO ISRC MATCH in Release_Track",and($B540&lt;&gt;"",countif('5) Release_Track'!$G:$G,$B540)=0),"NO CATALOG ID MATCH in Release_Track",iserror(vlookup($A540&amp;$B540,'5) Release_Track'!$F:$F&amp;'5) Release_Track'!$G:$G,1,0)),"NO ISRC-CATALOG ID pair MATCH in Release_Track" )</f>
        <v/>
      </c>
      <c r="E540" s="125" t="str">
        <f t="array" ref="E540">ifs(and(isblank($A540),isblank($B540)),"", not(iserror(vlookup($A540&amp;$B540,'5) Release_Track'!$F:$F&amp;'5) Release_Track'!$G:$G,1,0))),vlookup($A540&amp;$B540,{'5) Release_Track'!$F:$F&amp;'5) Release_Track'!$G:$G,'5) Release_Track'!$J:$J},2,0), or(and(not(isblank($B540)),$B540=$B539,$A540&lt;&gt;$A539),and(not(isblank($A540)),$A540=$A539,$B540&lt;&gt;$B539)),"ID LISTS UNALIGNED",and($A540&lt;&gt;"",countif('5) Release_Track'!$F:$F,$A540)=0),"NO ISRC MATCH in Release_Track",and($B540&lt;&gt;"",countif('5) Release_Track'!$G:$G,$B540)=0),"NO CATALOG ID MATCH in Release_Track",iserror(vlookup($A540&amp;$B540,'5) Release_Track'!$F:$F&amp;'5) Release_Track'!$G:$G,1,0)),"NO ISRC-CATALOG ID pair MATCH in Release_Track" )</f>
        <v/>
      </c>
      <c r="F540" s="122"/>
      <c r="G540" s="99"/>
      <c r="H540" s="178"/>
      <c r="I540" s="121" t="str">
        <f t="shared" si="6"/>
        <v/>
      </c>
      <c r="J540" s="99"/>
      <c r="K540" s="99"/>
    </row>
    <row r="541">
      <c r="B541" s="103"/>
      <c r="C541" s="121" t="str">
        <f t="array" ref="C541">ifs(and(isblank($A541),isblank($B541)),"", not(iserror(vlookup($A541&amp;$B541,'5) Release_Track'!$F:$F&amp;'5) Release_Track'!$G:$G,1,0))),vlookup($A541&amp;$B541,{'5) Release_Track'!$F:$F&amp;'5) Release_Track'!$G:$G,'5) Release_Track'!$H:$H},2,0), or(and(not(isblank($B541)),$B541=$B540,$A541&lt;&gt;$A540),and(not(isblank($A541)),$A541=$A540,$B541&lt;&gt;$B540)),"ID LISTS UNALIGNED",and($A541&lt;&gt;"",countif('5) Release_Track'!$F:$F,$A541)=0),"NO ISRC MATCH in Release_Track",and($B541&lt;&gt;"",countif('5) Release_Track'!$G:$G,$B541)=0),"NO CATALOG ID MATCH in Release_Track",iserror(vlookup($A541&amp;$B541,'5) Release_Track'!$F:$F&amp;'5) Release_Track'!$G:$G,1,0)),"NO ISRC-CATALOG ID pair MATCH in Release_Track" )</f>
        <v/>
      </c>
      <c r="D541" s="121" t="str">
        <f t="array" ref="D541">ifs(and(isblank($A541),isblank($B541)),"", not(iserror(vlookup($A541&amp;$B541,'5) Release_Track'!$F:$F&amp;'5) Release_Track'!$G:$G,1,0))),vlookup($A541&amp;$B541,{'5) Release_Track'!$F:$F&amp;'5) Release_Track'!$G:$G,'5) Release_Track'!$I:$I},2,0), or(and(not(isblank($B541)),$B541=$B540,$A541&lt;&gt;$A540),and(not(isblank($A541)),$A541=$A540,$B541&lt;&gt;$B540)),"ID LISTS UNALIGNED",and($A541&lt;&gt;"",countif('5) Release_Track'!$F:$F,$A541)=0),"NO ISRC MATCH in Release_Track",and($B541&lt;&gt;"",countif('5) Release_Track'!$G:$G,$B541)=0),"NO CATALOG ID MATCH in Release_Track",iserror(vlookup($A541&amp;$B541,'5) Release_Track'!$F:$F&amp;'5) Release_Track'!$G:$G,1,0)),"NO ISRC-CATALOG ID pair MATCH in Release_Track" )</f>
        <v/>
      </c>
      <c r="E541" s="125" t="str">
        <f t="array" ref="E541">ifs(and(isblank($A541),isblank($B541)),"", not(iserror(vlookup($A541&amp;$B541,'5) Release_Track'!$F:$F&amp;'5) Release_Track'!$G:$G,1,0))),vlookup($A541&amp;$B541,{'5) Release_Track'!$F:$F&amp;'5) Release_Track'!$G:$G,'5) Release_Track'!$J:$J},2,0), or(and(not(isblank($B541)),$B541=$B540,$A541&lt;&gt;$A540),and(not(isblank($A541)),$A541=$A540,$B541&lt;&gt;$B540)),"ID LISTS UNALIGNED",and($A541&lt;&gt;"",countif('5) Release_Track'!$F:$F,$A541)=0),"NO ISRC MATCH in Release_Track",and($B541&lt;&gt;"",countif('5) Release_Track'!$G:$G,$B541)=0),"NO CATALOG ID MATCH in Release_Track",iserror(vlookup($A541&amp;$B541,'5) Release_Track'!$F:$F&amp;'5) Release_Track'!$G:$G,1,0)),"NO ISRC-CATALOG ID pair MATCH in Release_Track" )</f>
        <v/>
      </c>
      <c r="F541" s="122"/>
      <c r="G541" s="99"/>
      <c r="H541" s="178"/>
      <c r="I541" s="121" t="str">
        <f t="shared" si="6"/>
        <v/>
      </c>
      <c r="J541" s="99"/>
      <c r="K541" s="99"/>
    </row>
    <row r="542">
      <c r="B542" s="103"/>
      <c r="C542" s="121" t="str">
        <f t="array" ref="C542">ifs(and(isblank($A542),isblank($B542)),"", not(iserror(vlookup($A542&amp;$B542,'5) Release_Track'!$F:$F&amp;'5) Release_Track'!$G:$G,1,0))),vlookup($A542&amp;$B542,{'5) Release_Track'!$F:$F&amp;'5) Release_Track'!$G:$G,'5) Release_Track'!$H:$H},2,0), or(and(not(isblank($B542)),$B542=$B541,$A542&lt;&gt;$A541),and(not(isblank($A542)),$A542=$A541,$B542&lt;&gt;$B541)),"ID LISTS UNALIGNED",and($A542&lt;&gt;"",countif('5) Release_Track'!$F:$F,$A542)=0),"NO ISRC MATCH in Release_Track",and($B542&lt;&gt;"",countif('5) Release_Track'!$G:$G,$B542)=0),"NO CATALOG ID MATCH in Release_Track",iserror(vlookup($A542&amp;$B542,'5) Release_Track'!$F:$F&amp;'5) Release_Track'!$G:$G,1,0)),"NO ISRC-CATALOG ID pair MATCH in Release_Track" )</f>
        <v/>
      </c>
      <c r="D542" s="121" t="str">
        <f t="array" ref="D542">ifs(and(isblank($A542),isblank($B542)),"", not(iserror(vlookup($A542&amp;$B542,'5) Release_Track'!$F:$F&amp;'5) Release_Track'!$G:$G,1,0))),vlookup($A542&amp;$B542,{'5) Release_Track'!$F:$F&amp;'5) Release_Track'!$G:$G,'5) Release_Track'!$I:$I},2,0), or(and(not(isblank($B542)),$B542=$B541,$A542&lt;&gt;$A541),and(not(isblank($A542)),$A542=$A541,$B542&lt;&gt;$B541)),"ID LISTS UNALIGNED",and($A542&lt;&gt;"",countif('5) Release_Track'!$F:$F,$A542)=0),"NO ISRC MATCH in Release_Track",and($B542&lt;&gt;"",countif('5) Release_Track'!$G:$G,$B542)=0),"NO CATALOG ID MATCH in Release_Track",iserror(vlookup($A542&amp;$B542,'5) Release_Track'!$F:$F&amp;'5) Release_Track'!$G:$G,1,0)),"NO ISRC-CATALOG ID pair MATCH in Release_Track" )</f>
        <v/>
      </c>
      <c r="E542" s="125" t="str">
        <f t="array" ref="E542">ifs(and(isblank($A542),isblank($B542)),"", not(iserror(vlookup($A542&amp;$B542,'5) Release_Track'!$F:$F&amp;'5) Release_Track'!$G:$G,1,0))),vlookup($A542&amp;$B542,{'5) Release_Track'!$F:$F&amp;'5) Release_Track'!$G:$G,'5) Release_Track'!$J:$J},2,0), or(and(not(isblank($B542)),$B542=$B541,$A542&lt;&gt;$A541),and(not(isblank($A542)),$A542=$A541,$B542&lt;&gt;$B541)),"ID LISTS UNALIGNED",and($A542&lt;&gt;"",countif('5) Release_Track'!$F:$F,$A542)=0),"NO ISRC MATCH in Release_Track",and($B542&lt;&gt;"",countif('5) Release_Track'!$G:$G,$B542)=0),"NO CATALOG ID MATCH in Release_Track",iserror(vlookup($A542&amp;$B542,'5) Release_Track'!$F:$F&amp;'5) Release_Track'!$G:$G,1,0)),"NO ISRC-CATALOG ID pair MATCH in Release_Track" )</f>
        <v/>
      </c>
      <c r="F542" s="122"/>
      <c r="G542" s="99"/>
      <c r="H542" s="178"/>
      <c r="I542" s="121" t="str">
        <f t="shared" si="6"/>
        <v/>
      </c>
      <c r="J542" s="99"/>
      <c r="K542" s="99"/>
    </row>
    <row r="543">
      <c r="B543" s="103"/>
      <c r="C543" s="121" t="str">
        <f t="array" ref="C543">ifs(and(isblank($A543),isblank($B543)),"", not(iserror(vlookup($A543&amp;$B543,'5) Release_Track'!$F:$F&amp;'5) Release_Track'!$G:$G,1,0))),vlookup($A543&amp;$B543,{'5) Release_Track'!$F:$F&amp;'5) Release_Track'!$G:$G,'5) Release_Track'!$H:$H},2,0), or(and(not(isblank($B543)),$B543=$B542,$A543&lt;&gt;$A542),and(not(isblank($A543)),$A543=$A542,$B543&lt;&gt;$B542)),"ID LISTS UNALIGNED",and($A543&lt;&gt;"",countif('5) Release_Track'!$F:$F,$A543)=0),"NO ISRC MATCH in Release_Track",and($B543&lt;&gt;"",countif('5) Release_Track'!$G:$G,$B543)=0),"NO CATALOG ID MATCH in Release_Track",iserror(vlookup($A543&amp;$B543,'5) Release_Track'!$F:$F&amp;'5) Release_Track'!$G:$G,1,0)),"NO ISRC-CATALOG ID pair MATCH in Release_Track" )</f>
        <v/>
      </c>
      <c r="D543" s="121" t="str">
        <f t="array" ref="D543">ifs(and(isblank($A543),isblank($B543)),"", not(iserror(vlookup($A543&amp;$B543,'5) Release_Track'!$F:$F&amp;'5) Release_Track'!$G:$G,1,0))),vlookup($A543&amp;$B543,{'5) Release_Track'!$F:$F&amp;'5) Release_Track'!$G:$G,'5) Release_Track'!$I:$I},2,0), or(and(not(isblank($B543)),$B543=$B542,$A543&lt;&gt;$A542),and(not(isblank($A543)),$A543=$A542,$B543&lt;&gt;$B542)),"ID LISTS UNALIGNED",and($A543&lt;&gt;"",countif('5) Release_Track'!$F:$F,$A543)=0),"NO ISRC MATCH in Release_Track",and($B543&lt;&gt;"",countif('5) Release_Track'!$G:$G,$B543)=0),"NO CATALOG ID MATCH in Release_Track",iserror(vlookup($A543&amp;$B543,'5) Release_Track'!$F:$F&amp;'5) Release_Track'!$G:$G,1,0)),"NO ISRC-CATALOG ID pair MATCH in Release_Track" )</f>
        <v/>
      </c>
      <c r="E543" s="125" t="str">
        <f t="array" ref="E543">ifs(and(isblank($A543),isblank($B543)),"", not(iserror(vlookup($A543&amp;$B543,'5) Release_Track'!$F:$F&amp;'5) Release_Track'!$G:$G,1,0))),vlookup($A543&amp;$B543,{'5) Release_Track'!$F:$F&amp;'5) Release_Track'!$G:$G,'5) Release_Track'!$J:$J},2,0), or(and(not(isblank($B543)),$B543=$B542,$A543&lt;&gt;$A542),and(not(isblank($A543)),$A543=$A542,$B543&lt;&gt;$B542)),"ID LISTS UNALIGNED",and($A543&lt;&gt;"",countif('5) Release_Track'!$F:$F,$A543)=0),"NO ISRC MATCH in Release_Track",and($B543&lt;&gt;"",countif('5) Release_Track'!$G:$G,$B543)=0),"NO CATALOG ID MATCH in Release_Track",iserror(vlookup($A543&amp;$B543,'5) Release_Track'!$F:$F&amp;'5) Release_Track'!$G:$G,1,0)),"NO ISRC-CATALOG ID pair MATCH in Release_Track" )</f>
        <v/>
      </c>
      <c r="F543" s="122"/>
      <c r="G543" s="99"/>
      <c r="H543" s="178"/>
      <c r="I543" s="121" t="str">
        <f t="shared" si="6"/>
        <v/>
      </c>
      <c r="J543" s="99"/>
      <c r="K543" s="99"/>
    </row>
    <row r="544">
      <c r="B544" s="103"/>
      <c r="C544" s="121" t="str">
        <f t="array" ref="C544">ifs(and(isblank($A544),isblank($B544)),"", not(iserror(vlookup($A544&amp;$B544,'5) Release_Track'!$F:$F&amp;'5) Release_Track'!$G:$G,1,0))),vlookup($A544&amp;$B544,{'5) Release_Track'!$F:$F&amp;'5) Release_Track'!$G:$G,'5) Release_Track'!$H:$H},2,0), or(and(not(isblank($B544)),$B544=$B543,$A544&lt;&gt;$A543),and(not(isblank($A544)),$A544=$A543,$B544&lt;&gt;$B543)),"ID LISTS UNALIGNED",and($A544&lt;&gt;"",countif('5) Release_Track'!$F:$F,$A544)=0),"NO ISRC MATCH in Release_Track",and($B544&lt;&gt;"",countif('5) Release_Track'!$G:$G,$B544)=0),"NO CATALOG ID MATCH in Release_Track",iserror(vlookup($A544&amp;$B544,'5) Release_Track'!$F:$F&amp;'5) Release_Track'!$G:$G,1,0)),"NO ISRC-CATALOG ID pair MATCH in Release_Track" )</f>
        <v/>
      </c>
      <c r="D544" s="121" t="str">
        <f t="array" ref="D544">ifs(and(isblank($A544),isblank($B544)),"", not(iserror(vlookup($A544&amp;$B544,'5) Release_Track'!$F:$F&amp;'5) Release_Track'!$G:$G,1,0))),vlookup($A544&amp;$B544,{'5) Release_Track'!$F:$F&amp;'5) Release_Track'!$G:$G,'5) Release_Track'!$I:$I},2,0), or(and(not(isblank($B544)),$B544=$B543,$A544&lt;&gt;$A543),and(not(isblank($A544)),$A544=$A543,$B544&lt;&gt;$B543)),"ID LISTS UNALIGNED",and($A544&lt;&gt;"",countif('5) Release_Track'!$F:$F,$A544)=0),"NO ISRC MATCH in Release_Track",and($B544&lt;&gt;"",countif('5) Release_Track'!$G:$G,$B544)=0),"NO CATALOG ID MATCH in Release_Track",iserror(vlookup($A544&amp;$B544,'5) Release_Track'!$F:$F&amp;'5) Release_Track'!$G:$G,1,0)),"NO ISRC-CATALOG ID pair MATCH in Release_Track" )</f>
        <v/>
      </c>
      <c r="E544" s="125" t="str">
        <f t="array" ref="E544">ifs(and(isblank($A544),isblank($B544)),"", not(iserror(vlookup($A544&amp;$B544,'5) Release_Track'!$F:$F&amp;'5) Release_Track'!$G:$G,1,0))),vlookup($A544&amp;$B544,{'5) Release_Track'!$F:$F&amp;'5) Release_Track'!$G:$G,'5) Release_Track'!$J:$J},2,0), or(and(not(isblank($B544)),$B544=$B543,$A544&lt;&gt;$A543),and(not(isblank($A544)),$A544=$A543,$B544&lt;&gt;$B543)),"ID LISTS UNALIGNED",and($A544&lt;&gt;"",countif('5) Release_Track'!$F:$F,$A544)=0),"NO ISRC MATCH in Release_Track",and($B544&lt;&gt;"",countif('5) Release_Track'!$G:$G,$B544)=0),"NO CATALOG ID MATCH in Release_Track",iserror(vlookup($A544&amp;$B544,'5) Release_Track'!$F:$F&amp;'5) Release_Track'!$G:$G,1,0)),"NO ISRC-CATALOG ID pair MATCH in Release_Track" )</f>
        <v/>
      </c>
      <c r="F544" s="122"/>
      <c r="G544" s="99"/>
      <c r="H544" s="178"/>
      <c r="I544" s="121" t="str">
        <f t="shared" si="6"/>
        <v/>
      </c>
      <c r="J544" s="99"/>
      <c r="K544" s="99"/>
    </row>
    <row r="545">
      <c r="B545" s="103"/>
      <c r="C545" s="121" t="str">
        <f t="array" ref="C545">ifs(and(isblank($A545),isblank($B545)),"", not(iserror(vlookup($A545&amp;$B545,'5) Release_Track'!$F:$F&amp;'5) Release_Track'!$G:$G,1,0))),vlookup($A545&amp;$B545,{'5) Release_Track'!$F:$F&amp;'5) Release_Track'!$G:$G,'5) Release_Track'!$H:$H},2,0), or(and(not(isblank($B545)),$B545=$B544,$A545&lt;&gt;$A544),and(not(isblank($A545)),$A545=$A544,$B545&lt;&gt;$B544)),"ID LISTS UNALIGNED",and($A545&lt;&gt;"",countif('5) Release_Track'!$F:$F,$A545)=0),"NO ISRC MATCH in Release_Track",and($B545&lt;&gt;"",countif('5) Release_Track'!$G:$G,$B545)=0),"NO CATALOG ID MATCH in Release_Track",iserror(vlookup($A545&amp;$B545,'5) Release_Track'!$F:$F&amp;'5) Release_Track'!$G:$G,1,0)),"NO ISRC-CATALOG ID pair MATCH in Release_Track" )</f>
        <v/>
      </c>
      <c r="D545" s="121" t="str">
        <f t="array" ref="D545">ifs(and(isblank($A545),isblank($B545)),"", not(iserror(vlookup($A545&amp;$B545,'5) Release_Track'!$F:$F&amp;'5) Release_Track'!$G:$G,1,0))),vlookup($A545&amp;$B545,{'5) Release_Track'!$F:$F&amp;'5) Release_Track'!$G:$G,'5) Release_Track'!$I:$I},2,0), or(and(not(isblank($B545)),$B545=$B544,$A545&lt;&gt;$A544),and(not(isblank($A545)),$A545=$A544,$B545&lt;&gt;$B544)),"ID LISTS UNALIGNED",and($A545&lt;&gt;"",countif('5) Release_Track'!$F:$F,$A545)=0),"NO ISRC MATCH in Release_Track",and($B545&lt;&gt;"",countif('5) Release_Track'!$G:$G,$B545)=0),"NO CATALOG ID MATCH in Release_Track",iserror(vlookup($A545&amp;$B545,'5) Release_Track'!$F:$F&amp;'5) Release_Track'!$G:$G,1,0)),"NO ISRC-CATALOG ID pair MATCH in Release_Track" )</f>
        <v/>
      </c>
      <c r="E545" s="125" t="str">
        <f t="array" ref="E545">ifs(and(isblank($A545),isblank($B545)),"", not(iserror(vlookup($A545&amp;$B545,'5) Release_Track'!$F:$F&amp;'5) Release_Track'!$G:$G,1,0))),vlookup($A545&amp;$B545,{'5) Release_Track'!$F:$F&amp;'5) Release_Track'!$G:$G,'5) Release_Track'!$J:$J},2,0), or(and(not(isblank($B545)),$B545=$B544,$A545&lt;&gt;$A544),and(not(isblank($A545)),$A545=$A544,$B545&lt;&gt;$B544)),"ID LISTS UNALIGNED",and($A545&lt;&gt;"",countif('5) Release_Track'!$F:$F,$A545)=0),"NO ISRC MATCH in Release_Track",and($B545&lt;&gt;"",countif('5) Release_Track'!$G:$G,$B545)=0),"NO CATALOG ID MATCH in Release_Track",iserror(vlookup($A545&amp;$B545,'5) Release_Track'!$F:$F&amp;'5) Release_Track'!$G:$G,1,0)),"NO ISRC-CATALOG ID pair MATCH in Release_Track" )</f>
        <v/>
      </c>
      <c r="F545" s="122"/>
      <c r="G545" s="99"/>
      <c r="H545" s="178"/>
      <c r="I545" s="121" t="str">
        <f t="shared" si="6"/>
        <v/>
      </c>
      <c r="J545" s="99"/>
      <c r="K545" s="99"/>
    </row>
    <row r="546">
      <c r="B546" s="103"/>
      <c r="C546" s="121" t="str">
        <f t="array" ref="C546">ifs(and(isblank($A546),isblank($B546)),"", not(iserror(vlookup($A546&amp;$B546,'5) Release_Track'!$F:$F&amp;'5) Release_Track'!$G:$G,1,0))),vlookup($A546&amp;$B546,{'5) Release_Track'!$F:$F&amp;'5) Release_Track'!$G:$G,'5) Release_Track'!$H:$H},2,0), or(and(not(isblank($B546)),$B546=$B545,$A546&lt;&gt;$A545),and(not(isblank($A546)),$A546=$A545,$B546&lt;&gt;$B545)),"ID LISTS UNALIGNED",and($A546&lt;&gt;"",countif('5) Release_Track'!$F:$F,$A546)=0),"NO ISRC MATCH in Release_Track",and($B546&lt;&gt;"",countif('5) Release_Track'!$G:$G,$B546)=0),"NO CATALOG ID MATCH in Release_Track",iserror(vlookup($A546&amp;$B546,'5) Release_Track'!$F:$F&amp;'5) Release_Track'!$G:$G,1,0)),"NO ISRC-CATALOG ID pair MATCH in Release_Track" )</f>
        <v/>
      </c>
      <c r="D546" s="121" t="str">
        <f t="array" ref="D546">ifs(and(isblank($A546),isblank($B546)),"", not(iserror(vlookup($A546&amp;$B546,'5) Release_Track'!$F:$F&amp;'5) Release_Track'!$G:$G,1,0))),vlookup($A546&amp;$B546,{'5) Release_Track'!$F:$F&amp;'5) Release_Track'!$G:$G,'5) Release_Track'!$I:$I},2,0), or(and(not(isblank($B546)),$B546=$B545,$A546&lt;&gt;$A545),and(not(isblank($A546)),$A546=$A545,$B546&lt;&gt;$B545)),"ID LISTS UNALIGNED",and($A546&lt;&gt;"",countif('5) Release_Track'!$F:$F,$A546)=0),"NO ISRC MATCH in Release_Track",and($B546&lt;&gt;"",countif('5) Release_Track'!$G:$G,$B546)=0),"NO CATALOG ID MATCH in Release_Track",iserror(vlookup($A546&amp;$B546,'5) Release_Track'!$F:$F&amp;'5) Release_Track'!$G:$G,1,0)),"NO ISRC-CATALOG ID pair MATCH in Release_Track" )</f>
        <v/>
      </c>
      <c r="E546" s="125" t="str">
        <f t="array" ref="E546">ifs(and(isblank($A546),isblank($B546)),"", not(iserror(vlookup($A546&amp;$B546,'5) Release_Track'!$F:$F&amp;'5) Release_Track'!$G:$G,1,0))),vlookup($A546&amp;$B546,{'5) Release_Track'!$F:$F&amp;'5) Release_Track'!$G:$G,'5) Release_Track'!$J:$J},2,0), or(and(not(isblank($B546)),$B546=$B545,$A546&lt;&gt;$A545),and(not(isblank($A546)),$A546=$A545,$B546&lt;&gt;$B545)),"ID LISTS UNALIGNED",and($A546&lt;&gt;"",countif('5) Release_Track'!$F:$F,$A546)=0),"NO ISRC MATCH in Release_Track",and($B546&lt;&gt;"",countif('5) Release_Track'!$G:$G,$B546)=0),"NO CATALOG ID MATCH in Release_Track",iserror(vlookup($A546&amp;$B546,'5) Release_Track'!$F:$F&amp;'5) Release_Track'!$G:$G,1,0)),"NO ISRC-CATALOG ID pair MATCH in Release_Track" )</f>
        <v/>
      </c>
      <c r="F546" s="122"/>
      <c r="G546" s="99"/>
      <c r="H546" s="178"/>
      <c r="I546" s="121" t="str">
        <f t="shared" si="6"/>
        <v/>
      </c>
      <c r="J546" s="99"/>
      <c r="K546" s="99"/>
    </row>
    <row r="547">
      <c r="B547" s="103"/>
      <c r="C547" s="121" t="str">
        <f t="array" ref="C547">ifs(and(isblank($A547),isblank($B547)),"", not(iserror(vlookup($A547&amp;$B547,'5) Release_Track'!$F:$F&amp;'5) Release_Track'!$G:$G,1,0))),vlookup($A547&amp;$B547,{'5) Release_Track'!$F:$F&amp;'5) Release_Track'!$G:$G,'5) Release_Track'!$H:$H},2,0), or(and(not(isblank($B547)),$B547=$B546,$A547&lt;&gt;$A546),and(not(isblank($A547)),$A547=$A546,$B547&lt;&gt;$B546)),"ID LISTS UNALIGNED",and($A547&lt;&gt;"",countif('5) Release_Track'!$F:$F,$A547)=0),"NO ISRC MATCH in Release_Track",and($B547&lt;&gt;"",countif('5) Release_Track'!$G:$G,$B547)=0),"NO CATALOG ID MATCH in Release_Track",iserror(vlookup($A547&amp;$B547,'5) Release_Track'!$F:$F&amp;'5) Release_Track'!$G:$G,1,0)),"NO ISRC-CATALOG ID pair MATCH in Release_Track" )</f>
        <v/>
      </c>
      <c r="D547" s="121" t="str">
        <f t="array" ref="D547">ifs(and(isblank($A547),isblank($B547)),"", not(iserror(vlookup($A547&amp;$B547,'5) Release_Track'!$F:$F&amp;'5) Release_Track'!$G:$G,1,0))),vlookup($A547&amp;$B547,{'5) Release_Track'!$F:$F&amp;'5) Release_Track'!$G:$G,'5) Release_Track'!$I:$I},2,0), or(and(not(isblank($B547)),$B547=$B546,$A547&lt;&gt;$A546),and(not(isblank($A547)),$A547=$A546,$B547&lt;&gt;$B546)),"ID LISTS UNALIGNED",and($A547&lt;&gt;"",countif('5) Release_Track'!$F:$F,$A547)=0),"NO ISRC MATCH in Release_Track",and($B547&lt;&gt;"",countif('5) Release_Track'!$G:$G,$B547)=0),"NO CATALOG ID MATCH in Release_Track",iserror(vlookup($A547&amp;$B547,'5) Release_Track'!$F:$F&amp;'5) Release_Track'!$G:$G,1,0)),"NO ISRC-CATALOG ID pair MATCH in Release_Track" )</f>
        <v/>
      </c>
      <c r="E547" s="125" t="str">
        <f t="array" ref="E547">ifs(and(isblank($A547),isblank($B547)),"", not(iserror(vlookup($A547&amp;$B547,'5) Release_Track'!$F:$F&amp;'5) Release_Track'!$G:$G,1,0))),vlookup($A547&amp;$B547,{'5) Release_Track'!$F:$F&amp;'5) Release_Track'!$G:$G,'5) Release_Track'!$J:$J},2,0), or(and(not(isblank($B547)),$B547=$B546,$A547&lt;&gt;$A546),and(not(isblank($A547)),$A547=$A546,$B547&lt;&gt;$B546)),"ID LISTS UNALIGNED",and($A547&lt;&gt;"",countif('5) Release_Track'!$F:$F,$A547)=0),"NO ISRC MATCH in Release_Track",and($B547&lt;&gt;"",countif('5) Release_Track'!$G:$G,$B547)=0),"NO CATALOG ID MATCH in Release_Track",iserror(vlookup($A547&amp;$B547,'5) Release_Track'!$F:$F&amp;'5) Release_Track'!$G:$G,1,0)),"NO ISRC-CATALOG ID pair MATCH in Release_Track" )</f>
        <v/>
      </c>
      <c r="F547" s="122"/>
      <c r="G547" s="99"/>
      <c r="H547" s="178"/>
      <c r="I547" s="121" t="str">
        <f t="shared" si="6"/>
        <v/>
      </c>
      <c r="J547" s="99"/>
      <c r="K547" s="99"/>
    </row>
    <row r="548">
      <c r="B548" s="103"/>
      <c r="C548" s="121" t="str">
        <f t="array" ref="C548">ifs(and(isblank($A548),isblank($B548)),"", not(iserror(vlookup($A548&amp;$B548,'5) Release_Track'!$F:$F&amp;'5) Release_Track'!$G:$G,1,0))),vlookup($A548&amp;$B548,{'5) Release_Track'!$F:$F&amp;'5) Release_Track'!$G:$G,'5) Release_Track'!$H:$H},2,0), or(and(not(isblank($B548)),$B548=$B547,$A548&lt;&gt;$A547),and(not(isblank($A548)),$A548=$A547,$B548&lt;&gt;$B547)),"ID LISTS UNALIGNED",and($A548&lt;&gt;"",countif('5) Release_Track'!$F:$F,$A548)=0),"NO ISRC MATCH in Release_Track",and($B548&lt;&gt;"",countif('5) Release_Track'!$G:$G,$B548)=0),"NO CATALOG ID MATCH in Release_Track",iserror(vlookup($A548&amp;$B548,'5) Release_Track'!$F:$F&amp;'5) Release_Track'!$G:$G,1,0)),"NO ISRC-CATALOG ID pair MATCH in Release_Track" )</f>
        <v/>
      </c>
      <c r="D548" s="121" t="str">
        <f t="array" ref="D548">ifs(and(isblank($A548),isblank($B548)),"", not(iserror(vlookup($A548&amp;$B548,'5) Release_Track'!$F:$F&amp;'5) Release_Track'!$G:$G,1,0))),vlookup($A548&amp;$B548,{'5) Release_Track'!$F:$F&amp;'5) Release_Track'!$G:$G,'5) Release_Track'!$I:$I},2,0), or(and(not(isblank($B548)),$B548=$B547,$A548&lt;&gt;$A547),and(not(isblank($A548)),$A548=$A547,$B548&lt;&gt;$B547)),"ID LISTS UNALIGNED",and($A548&lt;&gt;"",countif('5) Release_Track'!$F:$F,$A548)=0),"NO ISRC MATCH in Release_Track",and($B548&lt;&gt;"",countif('5) Release_Track'!$G:$G,$B548)=0),"NO CATALOG ID MATCH in Release_Track",iserror(vlookup($A548&amp;$B548,'5) Release_Track'!$F:$F&amp;'5) Release_Track'!$G:$G,1,0)),"NO ISRC-CATALOG ID pair MATCH in Release_Track" )</f>
        <v/>
      </c>
      <c r="E548" s="125" t="str">
        <f t="array" ref="E548">ifs(and(isblank($A548),isblank($B548)),"", not(iserror(vlookup($A548&amp;$B548,'5) Release_Track'!$F:$F&amp;'5) Release_Track'!$G:$G,1,0))),vlookup($A548&amp;$B548,{'5) Release_Track'!$F:$F&amp;'5) Release_Track'!$G:$G,'5) Release_Track'!$J:$J},2,0), or(and(not(isblank($B548)),$B548=$B547,$A548&lt;&gt;$A547),and(not(isblank($A548)),$A548=$A547,$B548&lt;&gt;$B547)),"ID LISTS UNALIGNED",and($A548&lt;&gt;"",countif('5) Release_Track'!$F:$F,$A548)=0),"NO ISRC MATCH in Release_Track",and($B548&lt;&gt;"",countif('5) Release_Track'!$G:$G,$B548)=0),"NO CATALOG ID MATCH in Release_Track",iserror(vlookup($A548&amp;$B548,'5) Release_Track'!$F:$F&amp;'5) Release_Track'!$G:$G,1,0)),"NO ISRC-CATALOG ID pair MATCH in Release_Track" )</f>
        <v/>
      </c>
      <c r="F548" s="122"/>
      <c r="G548" s="99"/>
      <c r="H548" s="178"/>
      <c r="I548" s="121" t="str">
        <f t="shared" si="6"/>
        <v/>
      </c>
      <c r="J548" s="99"/>
      <c r="K548" s="99"/>
    </row>
    <row r="549">
      <c r="B549" s="103"/>
      <c r="C549" s="121" t="str">
        <f t="array" ref="C549">ifs(and(isblank($A549),isblank($B549)),"", not(iserror(vlookup($A549&amp;$B549,'5) Release_Track'!$F:$F&amp;'5) Release_Track'!$G:$G,1,0))),vlookup($A549&amp;$B549,{'5) Release_Track'!$F:$F&amp;'5) Release_Track'!$G:$G,'5) Release_Track'!$H:$H},2,0), or(and(not(isblank($B549)),$B549=$B548,$A549&lt;&gt;$A548),and(not(isblank($A549)),$A549=$A548,$B549&lt;&gt;$B548)),"ID LISTS UNALIGNED",and($A549&lt;&gt;"",countif('5) Release_Track'!$F:$F,$A549)=0),"NO ISRC MATCH in Release_Track",and($B549&lt;&gt;"",countif('5) Release_Track'!$G:$G,$B549)=0),"NO CATALOG ID MATCH in Release_Track",iserror(vlookup($A549&amp;$B549,'5) Release_Track'!$F:$F&amp;'5) Release_Track'!$G:$G,1,0)),"NO ISRC-CATALOG ID pair MATCH in Release_Track" )</f>
        <v/>
      </c>
      <c r="D549" s="121" t="str">
        <f t="array" ref="D549">ifs(and(isblank($A549),isblank($B549)),"", not(iserror(vlookup($A549&amp;$B549,'5) Release_Track'!$F:$F&amp;'5) Release_Track'!$G:$G,1,0))),vlookup($A549&amp;$B549,{'5) Release_Track'!$F:$F&amp;'5) Release_Track'!$G:$G,'5) Release_Track'!$I:$I},2,0), or(and(not(isblank($B549)),$B549=$B548,$A549&lt;&gt;$A548),and(not(isblank($A549)),$A549=$A548,$B549&lt;&gt;$B548)),"ID LISTS UNALIGNED",and($A549&lt;&gt;"",countif('5) Release_Track'!$F:$F,$A549)=0),"NO ISRC MATCH in Release_Track",and($B549&lt;&gt;"",countif('5) Release_Track'!$G:$G,$B549)=0),"NO CATALOG ID MATCH in Release_Track",iserror(vlookup($A549&amp;$B549,'5) Release_Track'!$F:$F&amp;'5) Release_Track'!$G:$G,1,0)),"NO ISRC-CATALOG ID pair MATCH in Release_Track" )</f>
        <v/>
      </c>
      <c r="E549" s="125" t="str">
        <f t="array" ref="E549">ifs(and(isblank($A549),isblank($B549)),"", not(iserror(vlookup($A549&amp;$B549,'5) Release_Track'!$F:$F&amp;'5) Release_Track'!$G:$G,1,0))),vlookup($A549&amp;$B549,{'5) Release_Track'!$F:$F&amp;'5) Release_Track'!$G:$G,'5) Release_Track'!$J:$J},2,0), or(and(not(isblank($B549)),$B549=$B548,$A549&lt;&gt;$A548),and(not(isblank($A549)),$A549=$A548,$B549&lt;&gt;$B548)),"ID LISTS UNALIGNED",and($A549&lt;&gt;"",countif('5) Release_Track'!$F:$F,$A549)=0),"NO ISRC MATCH in Release_Track",and($B549&lt;&gt;"",countif('5) Release_Track'!$G:$G,$B549)=0),"NO CATALOG ID MATCH in Release_Track",iserror(vlookup($A549&amp;$B549,'5) Release_Track'!$F:$F&amp;'5) Release_Track'!$G:$G,1,0)),"NO ISRC-CATALOG ID pair MATCH in Release_Track" )</f>
        <v/>
      </c>
      <c r="F549" s="122"/>
      <c r="G549" s="99"/>
      <c r="H549" s="178"/>
      <c r="I549" s="121" t="str">
        <f t="shared" si="6"/>
        <v/>
      </c>
      <c r="J549" s="99"/>
      <c r="K549" s="99"/>
    </row>
    <row r="550">
      <c r="B550" s="103"/>
      <c r="C550" s="121" t="str">
        <f t="array" ref="C550">ifs(and(isblank($A550),isblank($B550)),"", not(iserror(vlookup($A550&amp;$B550,'5) Release_Track'!$F:$F&amp;'5) Release_Track'!$G:$G,1,0))),vlookup($A550&amp;$B550,{'5) Release_Track'!$F:$F&amp;'5) Release_Track'!$G:$G,'5) Release_Track'!$H:$H},2,0), or(and(not(isblank($B550)),$B550=$B549,$A550&lt;&gt;$A549),and(not(isblank($A550)),$A550=$A549,$B550&lt;&gt;$B549)),"ID LISTS UNALIGNED",and($A550&lt;&gt;"",countif('5) Release_Track'!$F:$F,$A550)=0),"NO ISRC MATCH in Release_Track",and($B550&lt;&gt;"",countif('5) Release_Track'!$G:$G,$B550)=0),"NO CATALOG ID MATCH in Release_Track",iserror(vlookup($A550&amp;$B550,'5) Release_Track'!$F:$F&amp;'5) Release_Track'!$G:$G,1,0)),"NO ISRC-CATALOG ID pair MATCH in Release_Track" )</f>
        <v/>
      </c>
      <c r="D550" s="121" t="str">
        <f t="array" ref="D550">ifs(and(isblank($A550),isblank($B550)),"", not(iserror(vlookup($A550&amp;$B550,'5) Release_Track'!$F:$F&amp;'5) Release_Track'!$G:$G,1,0))),vlookup($A550&amp;$B550,{'5) Release_Track'!$F:$F&amp;'5) Release_Track'!$G:$G,'5) Release_Track'!$I:$I},2,0), or(and(not(isblank($B550)),$B550=$B549,$A550&lt;&gt;$A549),and(not(isblank($A550)),$A550=$A549,$B550&lt;&gt;$B549)),"ID LISTS UNALIGNED",and($A550&lt;&gt;"",countif('5) Release_Track'!$F:$F,$A550)=0),"NO ISRC MATCH in Release_Track",and($B550&lt;&gt;"",countif('5) Release_Track'!$G:$G,$B550)=0),"NO CATALOG ID MATCH in Release_Track",iserror(vlookup($A550&amp;$B550,'5) Release_Track'!$F:$F&amp;'5) Release_Track'!$G:$G,1,0)),"NO ISRC-CATALOG ID pair MATCH in Release_Track" )</f>
        <v/>
      </c>
      <c r="E550" s="125" t="str">
        <f t="array" ref="E550">ifs(and(isblank($A550),isblank($B550)),"", not(iserror(vlookup($A550&amp;$B550,'5) Release_Track'!$F:$F&amp;'5) Release_Track'!$G:$G,1,0))),vlookup($A550&amp;$B550,{'5) Release_Track'!$F:$F&amp;'5) Release_Track'!$G:$G,'5) Release_Track'!$J:$J},2,0), or(and(not(isblank($B550)),$B550=$B549,$A550&lt;&gt;$A549),and(not(isblank($A550)),$A550=$A549,$B550&lt;&gt;$B549)),"ID LISTS UNALIGNED",and($A550&lt;&gt;"",countif('5) Release_Track'!$F:$F,$A550)=0),"NO ISRC MATCH in Release_Track",and($B550&lt;&gt;"",countif('5) Release_Track'!$G:$G,$B550)=0),"NO CATALOG ID MATCH in Release_Track",iserror(vlookup($A550&amp;$B550,'5) Release_Track'!$F:$F&amp;'5) Release_Track'!$G:$G,1,0)),"NO ISRC-CATALOG ID pair MATCH in Release_Track" )</f>
        <v/>
      </c>
      <c r="F550" s="122"/>
      <c r="G550" s="99"/>
      <c r="H550" s="178"/>
      <c r="I550" s="121" t="str">
        <f t="shared" si="6"/>
        <v/>
      </c>
      <c r="J550" s="99"/>
      <c r="K550" s="99"/>
    </row>
    <row r="551">
      <c r="B551" s="103"/>
      <c r="C551" s="121" t="str">
        <f t="array" ref="C551">ifs(and(isblank($A551),isblank($B551)),"", not(iserror(vlookup($A551&amp;$B551,'5) Release_Track'!$F:$F&amp;'5) Release_Track'!$G:$G,1,0))),vlookup($A551&amp;$B551,{'5) Release_Track'!$F:$F&amp;'5) Release_Track'!$G:$G,'5) Release_Track'!$H:$H},2,0), or(and(not(isblank($B551)),$B551=$B550,$A551&lt;&gt;$A550),and(not(isblank($A551)),$A551=$A550,$B551&lt;&gt;$B550)),"ID LISTS UNALIGNED",and($A551&lt;&gt;"",countif('5) Release_Track'!$F:$F,$A551)=0),"NO ISRC MATCH in Release_Track",and($B551&lt;&gt;"",countif('5) Release_Track'!$G:$G,$B551)=0),"NO CATALOG ID MATCH in Release_Track",iserror(vlookup($A551&amp;$B551,'5) Release_Track'!$F:$F&amp;'5) Release_Track'!$G:$G,1,0)),"NO ISRC-CATALOG ID pair MATCH in Release_Track" )</f>
        <v/>
      </c>
      <c r="D551" s="121" t="str">
        <f t="array" ref="D551">ifs(and(isblank($A551),isblank($B551)),"", not(iserror(vlookup($A551&amp;$B551,'5) Release_Track'!$F:$F&amp;'5) Release_Track'!$G:$G,1,0))),vlookup($A551&amp;$B551,{'5) Release_Track'!$F:$F&amp;'5) Release_Track'!$G:$G,'5) Release_Track'!$I:$I},2,0), or(and(not(isblank($B551)),$B551=$B550,$A551&lt;&gt;$A550),and(not(isblank($A551)),$A551=$A550,$B551&lt;&gt;$B550)),"ID LISTS UNALIGNED",and($A551&lt;&gt;"",countif('5) Release_Track'!$F:$F,$A551)=0),"NO ISRC MATCH in Release_Track",and($B551&lt;&gt;"",countif('5) Release_Track'!$G:$G,$B551)=0),"NO CATALOG ID MATCH in Release_Track",iserror(vlookup($A551&amp;$B551,'5) Release_Track'!$F:$F&amp;'5) Release_Track'!$G:$G,1,0)),"NO ISRC-CATALOG ID pair MATCH in Release_Track" )</f>
        <v/>
      </c>
      <c r="E551" s="125" t="str">
        <f t="array" ref="E551">ifs(and(isblank($A551),isblank($B551)),"", not(iserror(vlookup($A551&amp;$B551,'5) Release_Track'!$F:$F&amp;'5) Release_Track'!$G:$G,1,0))),vlookup($A551&amp;$B551,{'5) Release_Track'!$F:$F&amp;'5) Release_Track'!$G:$G,'5) Release_Track'!$J:$J},2,0), or(and(not(isblank($B551)),$B551=$B550,$A551&lt;&gt;$A550),and(not(isblank($A551)),$A551=$A550,$B551&lt;&gt;$B550)),"ID LISTS UNALIGNED",and($A551&lt;&gt;"",countif('5) Release_Track'!$F:$F,$A551)=0),"NO ISRC MATCH in Release_Track",and($B551&lt;&gt;"",countif('5) Release_Track'!$G:$G,$B551)=0),"NO CATALOG ID MATCH in Release_Track",iserror(vlookup($A551&amp;$B551,'5) Release_Track'!$F:$F&amp;'5) Release_Track'!$G:$G,1,0)),"NO ISRC-CATALOG ID pair MATCH in Release_Track" )</f>
        <v/>
      </c>
      <c r="F551" s="122"/>
      <c r="G551" s="99"/>
      <c r="H551" s="178"/>
      <c r="I551" s="121" t="str">
        <f t="shared" si="6"/>
        <v/>
      </c>
      <c r="J551" s="99"/>
      <c r="K551" s="99"/>
    </row>
    <row r="552">
      <c r="B552" s="103"/>
      <c r="C552" s="121" t="str">
        <f t="array" ref="C552">ifs(and(isblank($A552),isblank($B552)),"", not(iserror(vlookup($A552&amp;$B552,'5) Release_Track'!$F:$F&amp;'5) Release_Track'!$G:$G,1,0))),vlookup($A552&amp;$B552,{'5) Release_Track'!$F:$F&amp;'5) Release_Track'!$G:$G,'5) Release_Track'!$H:$H},2,0), or(and(not(isblank($B552)),$B552=$B551,$A552&lt;&gt;$A551),and(not(isblank($A552)),$A552=$A551,$B552&lt;&gt;$B551)),"ID LISTS UNALIGNED",and($A552&lt;&gt;"",countif('5) Release_Track'!$F:$F,$A552)=0),"NO ISRC MATCH in Release_Track",and($B552&lt;&gt;"",countif('5) Release_Track'!$G:$G,$B552)=0),"NO CATALOG ID MATCH in Release_Track",iserror(vlookup($A552&amp;$B552,'5) Release_Track'!$F:$F&amp;'5) Release_Track'!$G:$G,1,0)),"NO ISRC-CATALOG ID pair MATCH in Release_Track" )</f>
        <v/>
      </c>
      <c r="D552" s="121" t="str">
        <f t="array" ref="D552">ifs(and(isblank($A552),isblank($B552)),"", not(iserror(vlookup($A552&amp;$B552,'5) Release_Track'!$F:$F&amp;'5) Release_Track'!$G:$G,1,0))),vlookup($A552&amp;$B552,{'5) Release_Track'!$F:$F&amp;'5) Release_Track'!$G:$G,'5) Release_Track'!$I:$I},2,0), or(and(not(isblank($B552)),$B552=$B551,$A552&lt;&gt;$A551),and(not(isblank($A552)),$A552=$A551,$B552&lt;&gt;$B551)),"ID LISTS UNALIGNED",and($A552&lt;&gt;"",countif('5) Release_Track'!$F:$F,$A552)=0),"NO ISRC MATCH in Release_Track",and($B552&lt;&gt;"",countif('5) Release_Track'!$G:$G,$B552)=0),"NO CATALOG ID MATCH in Release_Track",iserror(vlookup($A552&amp;$B552,'5) Release_Track'!$F:$F&amp;'5) Release_Track'!$G:$G,1,0)),"NO ISRC-CATALOG ID pair MATCH in Release_Track" )</f>
        <v/>
      </c>
      <c r="E552" s="125" t="str">
        <f t="array" ref="E552">ifs(and(isblank($A552),isblank($B552)),"", not(iserror(vlookup($A552&amp;$B552,'5) Release_Track'!$F:$F&amp;'5) Release_Track'!$G:$G,1,0))),vlookup($A552&amp;$B552,{'5) Release_Track'!$F:$F&amp;'5) Release_Track'!$G:$G,'5) Release_Track'!$J:$J},2,0), or(and(not(isblank($B552)),$B552=$B551,$A552&lt;&gt;$A551),and(not(isblank($A552)),$A552=$A551,$B552&lt;&gt;$B551)),"ID LISTS UNALIGNED",and($A552&lt;&gt;"",countif('5) Release_Track'!$F:$F,$A552)=0),"NO ISRC MATCH in Release_Track",and($B552&lt;&gt;"",countif('5) Release_Track'!$G:$G,$B552)=0),"NO CATALOG ID MATCH in Release_Track",iserror(vlookup($A552&amp;$B552,'5) Release_Track'!$F:$F&amp;'5) Release_Track'!$G:$G,1,0)),"NO ISRC-CATALOG ID pair MATCH in Release_Track" )</f>
        <v/>
      </c>
      <c r="F552" s="122"/>
      <c r="G552" s="99"/>
      <c r="H552" s="178"/>
      <c r="I552" s="121" t="str">
        <f t="shared" si="6"/>
        <v/>
      </c>
      <c r="J552" s="99"/>
      <c r="K552" s="99"/>
    </row>
    <row r="553">
      <c r="B553" s="103"/>
      <c r="C553" s="121" t="str">
        <f t="array" ref="C553">ifs(and(isblank($A553),isblank($B553)),"", not(iserror(vlookup($A553&amp;$B553,'5) Release_Track'!$F:$F&amp;'5) Release_Track'!$G:$G,1,0))),vlookup($A553&amp;$B553,{'5) Release_Track'!$F:$F&amp;'5) Release_Track'!$G:$G,'5) Release_Track'!$H:$H},2,0), or(and(not(isblank($B553)),$B553=$B552,$A553&lt;&gt;$A552),and(not(isblank($A553)),$A553=$A552,$B553&lt;&gt;$B552)),"ID LISTS UNALIGNED",and($A553&lt;&gt;"",countif('5) Release_Track'!$F:$F,$A553)=0),"NO ISRC MATCH in Release_Track",and($B553&lt;&gt;"",countif('5) Release_Track'!$G:$G,$B553)=0),"NO CATALOG ID MATCH in Release_Track",iserror(vlookup($A553&amp;$B553,'5) Release_Track'!$F:$F&amp;'5) Release_Track'!$G:$G,1,0)),"NO ISRC-CATALOG ID pair MATCH in Release_Track" )</f>
        <v/>
      </c>
      <c r="D553" s="121" t="str">
        <f t="array" ref="D553">ifs(and(isblank($A553),isblank($B553)),"", not(iserror(vlookup($A553&amp;$B553,'5) Release_Track'!$F:$F&amp;'5) Release_Track'!$G:$G,1,0))),vlookup($A553&amp;$B553,{'5) Release_Track'!$F:$F&amp;'5) Release_Track'!$G:$G,'5) Release_Track'!$I:$I},2,0), or(and(not(isblank($B553)),$B553=$B552,$A553&lt;&gt;$A552),and(not(isblank($A553)),$A553=$A552,$B553&lt;&gt;$B552)),"ID LISTS UNALIGNED",and($A553&lt;&gt;"",countif('5) Release_Track'!$F:$F,$A553)=0),"NO ISRC MATCH in Release_Track",and($B553&lt;&gt;"",countif('5) Release_Track'!$G:$G,$B553)=0),"NO CATALOG ID MATCH in Release_Track",iserror(vlookup($A553&amp;$B553,'5) Release_Track'!$F:$F&amp;'5) Release_Track'!$G:$G,1,0)),"NO ISRC-CATALOG ID pair MATCH in Release_Track" )</f>
        <v/>
      </c>
      <c r="E553" s="125" t="str">
        <f t="array" ref="E553">ifs(and(isblank($A553),isblank($B553)),"", not(iserror(vlookup($A553&amp;$B553,'5) Release_Track'!$F:$F&amp;'5) Release_Track'!$G:$G,1,0))),vlookup($A553&amp;$B553,{'5) Release_Track'!$F:$F&amp;'5) Release_Track'!$G:$G,'5) Release_Track'!$J:$J},2,0), or(and(not(isblank($B553)),$B553=$B552,$A553&lt;&gt;$A552),and(not(isblank($A553)),$A553=$A552,$B553&lt;&gt;$B552)),"ID LISTS UNALIGNED",and($A553&lt;&gt;"",countif('5) Release_Track'!$F:$F,$A553)=0),"NO ISRC MATCH in Release_Track",and($B553&lt;&gt;"",countif('5) Release_Track'!$G:$G,$B553)=0),"NO CATALOG ID MATCH in Release_Track",iserror(vlookup($A553&amp;$B553,'5) Release_Track'!$F:$F&amp;'5) Release_Track'!$G:$G,1,0)),"NO ISRC-CATALOG ID pair MATCH in Release_Track" )</f>
        <v/>
      </c>
      <c r="F553" s="122"/>
      <c r="G553" s="99"/>
      <c r="H553" s="178"/>
      <c r="I553" s="121" t="str">
        <f t="shared" si="6"/>
        <v/>
      </c>
      <c r="J553" s="99"/>
      <c r="K553" s="99"/>
    </row>
    <row r="554">
      <c r="B554" s="103"/>
      <c r="C554" s="121" t="str">
        <f t="array" ref="C554">ifs(and(isblank($A554),isblank($B554)),"", not(iserror(vlookup($A554&amp;$B554,'5) Release_Track'!$F:$F&amp;'5) Release_Track'!$G:$G,1,0))),vlookup($A554&amp;$B554,{'5) Release_Track'!$F:$F&amp;'5) Release_Track'!$G:$G,'5) Release_Track'!$H:$H},2,0), or(and(not(isblank($B554)),$B554=$B553,$A554&lt;&gt;$A553),and(not(isblank($A554)),$A554=$A553,$B554&lt;&gt;$B553)),"ID LISTS UNALIGNED",and($A554&lt;&gt;"",countif('5) Release_Track'!$F:$F,$A554)=0),"NO ISRC MATCH in Release_Track",and($B554&lt;&gt;"",countif('5) Release_Track'!$G:$G,$B554)=0),"NO CATALOG ID MATCH in Release_Track",iserror(vlookup($A554&amp;$B554,'5) Release_Track'!$F:$F&amp;'5) Release_Track'!$G:$G,1,0)),"NO ISRC-CATALOG ID pair MATCH in Release_Track" )</f>
        <v/>
      </c>
      <c r="D554" s="121" t="str">
        <f t="array" ref="D554">ifs(and(isblank($A554),isblank($B554)),"", not(iserror(vlookup($A554&amp;$B554,'5) Release_Track'!$F:$F&amp;'5) Release_Track'!$G:$G,1,0))),vlookup($A554&amp;$B554,{'5) Release_Track'!$F:$F&amp;'5) Release_Track'!$G:$G,'5) Release_Track'!$I:$I},2,0), or(and(not(isblank($B554)),$B554=$B553,$A554&lt;&gt;$A553),and(not(isblank($A554)),$A554=$A553,$B554&lt;&gt;$B553)),"ID LISTS UNALIGNED",and($A554&lt;&gt;"",countif('5) Release_Track'!$F:$F,$A554)=0),"NO ISRC MATCH in Release_Track",and($B554&lt;&gt;"",countif('5) Release_Track'!$G:$G,$B554)=0),"NO CATALOG ID MATCH in Release_Track",iserror(vlookup($A554&amp;$B554,'5) Release_Track'!$F:$F&amp;'5) Release_Track'!$G:$G,1,0)),"NO ISRC-CATALOG ID pair MATCH in Release_Track" )</f>
        <v/>
      </c>
      <c r="E554" s="125" t="str">
        <f t="array" ref="E554">ifs(and(isblank($A554),isblank($B554)),"", not(iserror(vlookup($A554&amp;$B554,'5) Release_Track'!$F:$F&amp;'5) Release_Track'!$G:$G,1,0))),vlookup($A554&amp;$B554,{'5) Release_Track'!$F:$F&amp;'5) Release_Track'!$G:$G,'5) Release_Track'!$J:$J},2,0), or(and(not(isblank($B554)),$B554=$B553,$A554&lt;&gt;$A553),and(not(isblank($A554)),$A554=$A553,$B554&lt;&gt;$B553)),"ID LISTS UNALIGNED",and($A554&lt;&gt;"",countif('5) Release_Track'!$F:$F,$A554)=0),"NO ISRC MATCH in Release_Track",and($B554&lt;&gt;"",countif('5) Release_Track'!$G:$G,$B554)=0),"NO CATALOG ID MATCH in Release_Track",iserror(vlookup($A554&amp;$B554,'5) Release_Track'!$F:$F&amp;'5) Release_Track'!$G:$G,1,0)),"NO ISRC-CATALOG ID pair MATCH in Release_Track" )</f>
        <v/>
      </c>
      <c r="F554" s="122"/>
      <c r="G554" s="99"/>
      <c r="H554" s="178"/>
      <c r="I554" s="121" t="str">
        <f t="shared" si="6"/>
        <v/>
      </c>
      <c r="J554" s="99"/>
      <c r="K554" s="99"/>
    </row>
    <row r="555">
      <c r="B555" s="103"/>
      <c r="C555" s="121" t="str">
        <f t="array" ref="C555">ifs(and(isblank($A555),isblank($B555)),"", not(iserror(vlookup($A555&amp;$B555,'5) Release_Track'!$F:$F&amp;'5) Release_Track'!$G:$G,1,0))),vlookup($A555&amp;$B555,{'5) Release_Track'!$F:$F&amp;'5) Release_Track'!$G:$G,'5) Release_Track'!$H:$H},2,0), or(and(not(isblank($B555)),$B555=$B554,$A555&lt;&gt;$A554),and(not(isblank($A555)),$A555=$A554,$B555&lt;&gt;$B554)),"ID LISTS UNALIGNED",and($A555&lt;&gt;"",countif('5) Release_Track'!$F:$F,$A555)=0),"NO ISRC MATCH in Release_Track",and($B555&lt;&gt;"",countif('5) Release_Track'!$G:$G,$B555)=0),"NO CATALOG ID MATCH in Release_Track",iserror(vlookup($A555&amp;$B555,'5) Release_Track'!$F:$F&amp;'5) Release_Track'!$G:$G,1,0)),"NO ISRC-CATALOG ID pair MATCH in Release_Track" )</f>
        <v/>
      </c>
      <c r="D555" s="121" t="str">
        <f t="array" ref="D555">ifs(and(isblank($A555),isblank($B555)),"", not(iserror(vlookup($A555&amp;$B555,'5) Release_Track'!$F:$F&amp;'5) Release_Track'!$G:$G,1,0))),vlookup($A555&amp;$B555,{'5) Release_Track'!$F:$F&amp;'5) Release_Track'!$G:$G,'5) Release_Track'!$I:$I},2,0), or(and(not(isblank($B555)),$B555=$B554,$A555&lt;&gt;$A554),and(not(isblank($A555)),$A555=$A554,$B555&lt;&gt;$B554)),"ID LISTS UNALIGNED",and($A555&lt;&gt;"",countif('5) Release_Track'!$F:$F,$A555)=0),"NO ISRC MATCH in Release_Track",and($B555&lt;&gt;"",countif('5) Release_Track'!$G:$G,$B555)=0),"NO CATALOG ID MATCH in Release_Track",iserror(vlookup($A555&amp;$B555,'5) Release_Track'!$F:$F&amp;'5) Release_Track'!$G:$G,1,0)),"NO ISRC-CATALOG ID pair MATCH in Release_Track" )</f>
        <v/>
      </c>
      <c r="E555" s="125" t="str">
        <f t="array" ref="E555">ifs(and(isblank($A555),isblank($B555)),"", not(iserror(vlookup($A555&amp;$B555,'5) Release_Track'!$F:$F&amp;'5) Release_Track'!$G:$G,1,0))),vlookup($A555&amp;$B555,{'5) Release_Track'!$F:$F&amp;'5) Release_Track'!$G:$G,'5) Release_Track'!$J:$J},2,0), or(and(not(isblank($B555)),$B555=$B554,$A555&lt;&gt;$A554),and(not(isblank($A555)),$A555=$A554,$B555&lt;&gt;$B554)),"ID LISTS UNALIGNED",and($A555&lt;&gt;"",countif('5) Release_Track'!$F:$F,$A555)=0),"NO ISRC MATCH in Release_Track",and($B555&lt;&gt;"",countif('5) Release_Track'!$G:$G,$B555)=0),"NO CATALOG ID MATCH in Release_Track",iserror(vlookup($A555&amp;$B555,'5) Release_Track'!$F:$F&amp;'5) Release_Track'!$G:$G,1,0)),"NO ISRC-CATALOG ID pair MATCH in Release_Track" )</f>
        <v/>
      </c>
      <c r="F555" s="122"/>
      <c r="G555" s="99"/>
      <c r="H555" s="178"/>
      <c r="I555" s="121" t="str">
        <f t="shared" si="6"/>
        <v/>
      </c>
      <c r="J555" s="99"/>
      <c r="K555" s="99"/>
    </row>
    <row r="556">
      <c r="B556" s="103"/>
      <c r="C556" s="121" t="str">
        <f t="array" ref="C556">ifs(and(isblank($A556),isblank($B556)),"", not(iserror(vlookup($A556&amp;$B556,'5) Release_Track'!$F:$F&amp;'5) Release_Track'!$G:$G,1,0))),vlookup($A556&amp;$B556,{'5) Release_Track'!$F:$F&amp;'5) Release_Track'!$G:$G,'5) Release_Track'!$H:$H},2,0), or(and(not(isblank($B556)),$B556=$B555,$A556&lt;&gt;$A555),and(not(isblank($A556)),$A556=$A555,$B556&lt;&gt;$B555)),"ID LISTS UNALIGNED",and($A556&lt;&gt;"",countif('5) Release_Track'!$F:$F,$A556)=0),"NO ISRC MATCH in Release_Track",and($B556&lt;&gt;"",countif('5) Release_Track'!$G:$G,$B556)=0),"NO CATALOG ID MATCH in Release_Track",iserror(vlookup($A556&amp;$B556,'5) Release_Track'!$F:$F&amp;'5) Release_Track'!$G:$G,1,0)),"NO ISRC-CATALOG ID pair MATCH in Release_Track" )</f>
        <v/>
      </c>
      <c r="D556" s="121" t="str">
        <f t="array" ref="D556">ifs(and(isblank($A556),isblank($B556)),"", not(iserror(vlookup($A556&amp;$B556,'5) Release_Track'!$F:$F&amp;'5) Release_Track'!$G:$G,1,0))),vlookup($A556&amp;$B556,{'5) Release_Track'!$F:$F&amp;'5) Release_Track'!$G:$G,'5) Release_Track'!$I:$I},2,0), or(and(not(isblank($B556)),$B556=$B555,$A556&lt;&gt;$A555),and(not(isblank($A556)),$A556=$A555,$B556&lt;&gt;$B555)),"ID LISTS UNALIGNED",and($A556&lt;&gt;"",countif('5) Release_Track'!$F:$F,$A556)=0),"NO ISRC MATCH in Release_Track",and($B556&lt;&gt;"",countif('5) Release_Track'!$G:$G,$B556)=0),"NO CATALOG ID MATCH in Release_Track",iserror(vlookup($A556&amp;$B556,'5) Release_Track'!$F:$F&amp;'5) Release_Track'!$G:$G,1,0)),"NO ISRC-CATALOG ID pair MATCH in Release_Track" )</f>
        <v/>
      </c>
      <c r="E556" s="125" t="str">
        <f t="array" ref="E556">ifs(and(isblank($A556),isblank($B556)),"", not(iserror(vlookup($A556&amp;$B556,'5) Release_Track'!$F:$F&amp;'5) Release_Track'!$G:$G,1,0))),vlookup($A556&amp;$B556,{'5) Release_Track'!$F:$F&amp;'5) Release_Track'!$G:$G,'5) Release_Track'!$J:$J},2,0), or(and(not(isblank($B556)),$B556=$B555,$A556&lt;&gt;$A555),and(not(isblank($A556)),$A556=$A555,$B556&lt;&gt;$B555)),"ID LISTS UNALIGNED",and($A556&lt;&gt;"",countif('5) Release_Track'!$F:$F,$A556)=0),"NO ISRC MATCH in Release_Track",and($B556&lt;&gt;"",countif('5) Release_Track'!$G:$G,$B556)=0),"NO CATALOG ID MATCH in Release_Track",iserror(vlookup($A556&amp;$B556,'5) Release_Track'!$F:$F&amp;'5) Release_Track'!$G:$G,1,0)),"NO ISRC-CATALOG ID pair MATCH in Release_Track" )</f>
        <v/>
      </c>
      <c r="F556" s="122"/>
      <c r="G556" s="99"/>
      <c r="H556" s="178"/>
      <c r="I556" s="121" t="str">
        <f t="shared" si="6"/>
        <v/>
      </c>
      <c r="J556" s="99"/>
      <c r="K556" s="99"/>
    </row>
    <row r="557">
      <c r="B557" s="103"/>
      <c r="C557" s="121" t="str">
        <f t="array" ref="C557">ifs(and(isblank($A557),isblank($B557)),"", not(iserror(vlookup($A557&amp;$B557,'5) Release_Track'!$F:$F&amp;'5) Release_Track'!$G:$G,1,0))),vlookup($A557&amp;$B557,{'5) Release_Track'!$F:$F&amp;'5) Release_Track'!$G:$G,'5) Release_Track'!$H:$H},2,0), or(and(not(isblank($B557)),$B557=$B556,$A557&lt;&gt;$A556),and(not(isblank($A557)),$A557=$A556,$B557&lt;&gt;$B556)),"ID LISTS UNALIGNED",and($A557&lt;&gt;"",countif('5) Release_Track'!$F:$F,$A557)=0),"NO ISRC MATCH in Release_Track",and($B557&lt;&gt;"",countif('5) Release_Track'!$G:$G,$B557)=0),"NO CATALOG ID MATCH in Release_Track",iserror(vlookup($A557&amp;$B557,'5) Release_Track'!$F:$F&amp;'5) Release_Track'!$G:$G,1,0)),"NO ISRC-CATALOG ID pair MATCH in Release_Track" )</f>
        <v/>
      </c>
      <c r="D557" s="121" t="str">
        <f t="array" ref="D557">ifs(and(isblank($A557),isblank($B557)),"", not(iserror(vlookup($A557&amp;$B557,'5) Release_Track'!$F:$F&amp;'5) Release_Track'!$G:$G,1,0))),vlookup($A557&amp;$B557,{'5) Release_Track'!$F:$F&amp;'5) Release_Track'!$G:$G,'5) Release_Track'!$I:$I},2,0), or(and(not(isblank($B557)),$B557=$B556,$A557&lt;&gt;$A556),and(not(isblank($A557)),$A557=$A556,$B557&lt;&gt;$B556)),"ID LISTS UNALIGNED",and($A557&lt;&gt;"",countif('5) Release_Track'!$F:$F,$A557)=0),"NO ISRC MATCH in Release_Track",and($B557&lt;&gt;"",countif('5) Release_Track'!$G:$G,$B557)=0),"NO CATALOG ID MATCH in Release_Track",iserror(vlookup($A557&amp;$B557,'5) Release_Track'!$F:$F&amp;'5) Release_Track'!$G:$G,1,0)),"NO ISRC-CATALOG ID pair MATCH in Release_Track" )</f>
        <v/>
      </c>
      <c r="E557" s="125" t="str">
        <f t="array" ref="E557">ifs(and(isblank($A557),isblank($B557)),"", not(iserror(vlookup($A557&amp;$B557,'5) Release_Track'!$F:$F&amp;'5) Release_Track'!$G:$G,1,0))),vlookup($A557&amp;$B557,{'5) Release_Track'!$F:$F&amp;'5) Release_Track'!$G:$G,'5) Release_Track'!$J:$J},2,0), or(and(not(isblank($B557)),$B557=$B556,$A557&lt;&gt;$A556),and(not(isblank($A557)),$A557=$A556,$B557&lt;&gt;$B556)),"ID LISTS UNALIGNED",and($A557&lt;&gt;"",countif('5) Release_Track'!$F:$F,$A557)=0),"NO ISRC MATCH in Release_Track",and($B557&lt;&gt;"",countif('5) Release_Track'!$G:$G,$B557)=0),"NO CATALOG ID MATCH in Release_Track",iserror(vlookup($A557&amp;$B557,'5) Release_Track'!$F:$F&amp;'5) Release_Track'!$G:$G,1,0)),"NO ISRC-CATALOG ID pair MATCH in Release_Track" )</f>
        <v/>
      </c>
      <c r="F557" s="122"/>
      <c r="G557" s="99"/>
      <c r="H557" s="178"/>
      <c r="I557" s="121" t="str">
        <f t="shared" si="6"/>
        <v/>
      </c>
      <c r="J557" s="99"/>
      <c r="K557" s="99"/>
    </row>
    <row r="558">
      <c r="B558" s="103"/>
      <c r="C558" s="121" t="str">
        <f t="array" ref="C558">ifs(and(isblank($A558),isblank($B558)),"", not(iserror(vlookup($A558&amp;$B558,'5) Release_Track'!$F:$F&amp;'5) Release_Track'!$G:$G,1,0))),vlookup($A558&amp;$B558,{'5) Release_Track'!$F:$F&amp;'5) Release_Track'!$G:$G,'5) Release_Track'!$H:$H},2,0), or(and(not(isblank($B558)),$B558=$B557,$A558&lt;&gt;$A557),and(not(isblank($A558)),$A558=$A557,$B558&lt;&gt;$B557)),"ID LISTS UNALIGNED",and($A558&lt;&gt;"",countif('5) Release_Track'!$F:$F,$A558)=0),"NO ISRC MATCH in Release_Track",and($B558&lt;&gt;"",countif('5) Release_Track'!$G:$G,$B558)=0),"NO CATALOG ID MATCH in Release_Track",iserror(vlookup($A558&amp;$B558,'5) Release_Track'!$F:$F&amp;'5) Release_Track'!$G:$G,1,0)),"NO ISRC-CATALOG ID pair MATCH in Release_Track" )</f>
        <v/>
      </c>
      <c r="D558" s="121" t="str">
        <f t="array" ref="D558">ifs(and(isblank($A558),isblank($B558)),"", not(iserror(vlookup($A558&amp;$B558,'5) Release_Track'!$F:$F&amp;'5) Release_Track'!$G:$G,1,0))),vlookup($A558&amp;$B558,{'5) Release_Track'!$F:$F&amp;'5) Release_Track'!$G:$G,'5) Release_Track'!$I:$I},2,0), or(and(not(isblank($B558)),$B558=$B557,$A558&lt;&gt;$A557),and(not(isblank($A558)),$A558=$A557,$B558&lt;&gt;$B557)),"ID LISTS UNALIGNED",and($A558&lt;&gt;"",countif('5) Release_Track'!$F:$F,$A558)=0),"NO ISRC MATCH in Release_Track",and($B558&lt;&gt;"",countif('5) Release_Track'!$G:$G,$B558)=0),"NO CATALOG ID MATCH in Release_Track",iserror(vlookup($A558&amp;$B558,'5) Release_Track'!$F:$F&amp;'5) Release_Track'!$G:$G,1,0)),"NO ISRC-CATALOG ID pair MATCH in Release_Track" )</f>
        <v/>
      </c>
      <c r="E558" s="125" t="str">
        <f t="array" ref="E558">ifs(and(isblank($A558),isblank($B558)),"", not(iserror(vlookup($A558&amp;$B558,'5) Release_Track'!$F:$F&amp;'5) Release_Track'!$G:$G,1,0))),vlookup($A558&amp;$B558,{'5) Release_Track'!$F:$F&amp;'5) Release_Track'!$G:$G,'5) Release_Track'!$J:$J},2,0), or(and(not(isblank($B558)),$B558=$B557,$A558&lt;&gt;$A557),and(not(isblank($A558)),$A558=$A557,$B558&lt;&gt;$B557)),"ID LISTS UNALIGNED",and($A558&lt;&gt;"",countif('5) Release_Track'!$F:$F,$A558)=0),"NO ISRC MATCH in Release_Track",and($B558&lt;&gt;"",countif('5) Release_Track'!$G:$G,$B558)=0),"NO CATALOG ID MATCH in Release_Track",iserror(vlookup($A558&amp;$B558,'5) Release_Track'!$F:$F&amp;'5) Release_Track'!$G:$G,1,0)),"NO ISRC-CATALOG ID pair MATCH in Release_Track" )</f>
        <v/>
      </c>
      <c r="F558" s="122"/>
      <c r="G558" s="99"/>
      <c r="H558" s="178"/>
      <c r="I558" s="121" t="str">
        <f t="shared" si="6"/>
        <v/>
      </c>
      <c r="J558" s="99"/>
      <c r="K558" s="99"/>
    </row>
    <row r="559">
      <c r="B559" s="103"/>
      <c r="C559" s="121" t="str">
        <f t="array" ref="C559">ifs(and(isblank($A559),isblank($B559)),"", not(iserror(vlookup($A559&amp;$B559,'5) Release_Track'!$F:$F&amp;'5) Release_Track'!$G:$G,1,0))),vlookup($A559&amp;$B559,{'5) Release_Track'!$F:$F&amp;'5) Release_Track'!$G:$G,'5) Release_Track'!$H:$H},2,0), or(and(not(isblank($B559)),$B559=$B558,$A559&lt;&gt;$A558),and(not(isblank($A559)),$A559=$A558,$B559&lt;&gt;$B558)),"ID LISTS UNALIGNED",and($A559&lt;&gt;"",countif('5) Release_Track'!$F:$F,$A559)=0),"NO ISRC MATCH in Release_Track",and($B559&lt;&gt;"",countif('5) Release_Track'!$G:$G,$B559)=0),"NO CATALOG ID MATCH in Release_Track",iserror(vlookup($A559&amp;$B559,'5) Release_Track'!$F:$F&amp;'5) Release_Track'!$G:$G,1,0)),"NO ISRC-CATALOG ID pair MATCH in Release_Track" )</f>
        <v/>
      </c>
      <c r="D559" s="121" t="str">
        <f t="array" ref="D559">ifs(and(isblank($A559),isblank($B559)),"", not(iserror(vlookup($A559&amp;$B559,'5) Release_Track'!$F:$F&amp;'5) Release_Track'!$G:$G,1,0))),vlookup($A559&amp;$B559,{'5) Release_Track'!$F:$F&amp;'5) Release_Track'!$G:$G,'5) Release_Track'!$I:$I},2,0), or(and(not(isblank($B559)),$B559=$B558,$A559&lt;&gt;$A558),and(not(isblank($A559)),$A559=$A558,$B559&lt;&gt;$B558)),"ID LISTS UNALIGNED",and($A559&lt;&gt;"",countif('5) Release_Track'!$F:$F,$A559)=0),"NO ISRC MATCH in Release_Track",and($B559&lt;&gt;"",countif('5) Release_Track'!$G:$G,$B559)=0),"NO CATALOG ID MATCH in Release_Track",iserror(vlookup($A559&amp;$B559,'5) Release_Track'!$F:$F&amp;'5) Release_Track'!$G:$G,1,0)),"NO ISRC-CATALOG ID pair MATCH in Release_Track" )</f>
        <v/>
      </c>
      <c r="E559" s="125" t="str">
        <f t="array" ref="E559">ifs(and(isblank($A559),isblank($B559)),"", not(iserror(vlookup($A559&amp;$B559,'5) Release_Track'!$F:$F&amp;'5) Release_Track'!$G:$G,1,0))),vlookup($A559&amp;$B559,{'5) Release_Track'!$F:$F&amp;'5) Release_Track'!$G:$G,'5) Release_Track'!$J:$J},2,0), or(and(not(isblank($B559)),$B559=$B558,$A559&lt;&gt;$A558),and(not(isblank($A559)),$A559=$A558,$B559&lt;&gt;$B558)),"ID LISTS UNALIGNED",and($A559&lt;&gt;"",countif('5) Release_Track'!$F:$F,$A559)=0),"NO ISRC MATCH in Release_Track",and($B559&lt;&gt;"",countif('5) Release_Track'!$G:$G,$B559)=0),"NO CATALOG ID MATCH in Release_Track",iserror(vlookup($A559&amp;$B559,'5) Release_Track'!$F:$F&amp;'5) Release_Track'!$G:$G,1,0)),"NO ISRC-CATALOG ID pair MATCH in Release_Track" )</f>
        <v/>
      </c>
      <c r="F559" s="122"/>
      <c r="G559" s="99"/>
      <c r="H559" s="178"/>
      <c r="I559" s="121" t="str">
        <f t="shared" si="6"/>
        <v/>
      </c>
      <c r="J559" s="99"/>
      <c r="K559" s="99"/>
    </row>
    <row r="560">
      <c r="B560" s="103"/>
      <c r="C560" s="121" t="str">
        <f t="array" ref="C560">ifs(and(isblank($A560),isblank($B560)),"", not(iserror(vlookup($A560&amp;$B560,'5) Release_Track'!$F:$F&amp;'5) Release_Track'!$G:$G,1,0))),vlookup($A560&amp;$B560,{'5) Release_Track'!$F:$F&amp;'5) Release_Track'!$G:$G,'5) Release_Track'!$H:$H},2,0), or(and(not(isblank($B560)),$B560=$B559,$A560&lt;&gt;$A559),and(not(isblank($A560)),$A560=$A559,$B560&lt;&gt;$B559)),"ID LISTS UNALIGNED",and($A560&lt;&gt;"",countif('5) Release_Track'!$F:$F,$A560)=0),"NO ISRC MATCH in Release_Track",and($B560&lt;&gt;"",countif('5) Release_Track'!$G:$G,$B560)=0),"NO CATALOG ID MATCH in Release_Track",iserror(vlookup($A560&amp;$B560,'5) Release_Track'!$F:$F&amp;'5) Release_Track'!$G:$G,1,0)),"NO ISRC-CATALOG ID pair MATCH in Release_Track" )</f>
        <v/>
      </c>
      <c r="D560" s="121" t="str">
        <f t="array" ref="D560">ifs(and(isblank($A560),isblank($B560)),"", not(iserror(vlookup($A560&amp;$B560,'5) Release_Track'!$F:$F&amp;'5) Release_Track'!$G:$G,1,0))),vlookup($A560&amp;$B560,{'5) Release_Track'!$F:$F&amp;'5) Release_Track'!$G:$G,'5) Release_Track'!$I:$I},2,0), or(and(not(isblank($B560)),$B560=$B559,$A560&lt;&gt;$A559),and(not(isblank($A560)),$A560=$A559,$B560&lt;&gt;$B559)),"ID LISTS UNALIGNED",and($A560&lt;&gt;"",countif('5) Release_Track'!$F:$F,$A560)=0),"NO ISRC MATCH in Release_Track",and($B560&lt;&gt;"",countif('5) Release_Track'!$G:$G,$B560)=0),"NO CATALOG ID MATCH in Release_Track",iserror(vlookup($A560&amp;$B560,'5) Release_Track'!$F:$F&amp;'5) Release_Track'!$G:$G,1,0)),"NO ISRC-CATALOG ID pair MATCH in Release_Track" )</f>
        <v/>
      </c>
      <c r="E560" s="125" t="str">
        <f t="array" ref="E560">ifs(and(isblank($A560),isblank($B560)),"", not(iserror(vlookup($A560&amp;$B560,'5) Release_Track'!$F:$F&amp;'5) Release_Track'!$G:$G,1,0))),vlookup($A560&amp;$B560,{'5) Release_Track'!$F:$F&amp;'5) Release_Track'!$G:$G,'5) Release_Track'!$J:$J},2,0), or(and(not(isblank($B560)),$B560=$B559,$A560&lt;&gt;$A559),and(not(isblank($A560)),$A560=$A559,$B560&lt;&gt;$B559)),"ID LISTS UNALIGNED",and($A560&lt;&gt;"",countif('5) Release_Track'!$F:$F,$A560)=0),"NO ISRC MATCH in Release_Track",and($B560&lt;&gt;"",countif('5) Release_Track'!$G:$G,$B560)=0),"NO CATALOG ID MATCH in Release_Track",iserror(vlookup($A560&amp;$B560,'5) Release_Track'!$F:$F&amp;'5) Release_Track'!$G:$G,1,0)),"NO ISRC-CATALOG ID pair MATCH in Release_Track" )</f>
        <v/>
      </c>
      <c r="F560" s="122"/>
      <c r="G560" s="99"/>
      <c r="H560" s="178"/>
      <c r="I560" s="121" t="str">
        <f t="shared" si="6"/>
        <v/>
      </c>
      <c r="J560" s="99"/>
      <c r="K560" s="99"/>
    </row>
    <row r="561">
      <c r="B561" s="103"/>
      <c r="C561" s="121" t="str">
        <f t="array" ref="C561">ifs(and(isblank($A561),isblank($B561)),"", not(iserror(vlookup($A561&amp;$B561,'5) Release_Track'!$F:$F&amp;'5) Release_Track'!$G:$G,1,0))),vlookup($A561&amp;$B561,{'5) Release_Track'!$F:$F&amp;'5) Release_Track'!$G:$G,'5) Release_Track'!$H:$H},2,0), or(and(not(isblank($B561)),$B561=$B560,$A561&lt;&gt;$A560),and(not(isblank($A561)),$A561=$A560,$B561&lt;&gt;$B560)),"ID LISTS UNALIGNED",and($A561&lt;&gt;"",countif('5) Release_Track'!$F:$F,$A561)=0),"NO ISRC MATCH in Release_Track",and($B561&lt;&gt;"",countif('5) Release_Track'!$G:$G,$B561)=0),"NO CATALOG ID MATCH in Release_Track",iserror(vlookup($A561&amp;$B561,'5) Release_Track'!$F:$F&amp;'5) Release_Track'!$G:$G,1,0)),"NO ISRC-CATALOG ID pair MATCH in Release_Track" )</f>
        <v/>
      </c>
      <c r="D561" s="121" t="str">
        <f t="array" ref="D561">ifs(and(isblank($A561),isblank($B561)),"", not(iserror(vlookup($A561&amp;$B561,'5) Release_Track'!$F:$F&amp;'5) Release_Track'!$G:$G,1,0))),vlookup($A561&amp;$B561,{'5) Release_Track'!$F:$F&amp;'5) Release_Track'!$G:$G,'5) Release_Track'!$I:$I},2,0), or(and(not(isblank($B561)),$B561=$B560,$A561&lt;&gt;$A560),and(not(isblank($A561)),$A561=$A560,$B561&lt;&gt;$B560)),"ID LISTS UNALIGNED",and($A561&lt;&gt;"",countif('5) Release_Track'!$F:$F,$A561)=0),"NO ISRC MATCH in Release_Track",and($B561&lt;&gt;"",countif('5) Release_Track'!$G:$G,$B561)=0),"NO CATALOG ID MATCH in Release_Track",iserror(vlookup($A561&amp;$B561,'5) Release_Track'!$F:$F&amp;'5) Release_Track'!$G:$G,1,0)),"NO ISRC-CATALOG ID pair MATCH in Release_Track" )</f>
        <v/>
      </c>
      <c r="E561" s="125" t="str">
        <f t="array" ref="E561">ifs(and(isblank($A561),isblank($B561)),"", not(iserror(vlookup($A561&amp;$B561,'5) Release_Track'!$F:$F&amp;'5) Release_Track'!$G:$G,1,0))),vlookup($A561&amp;$B561,{'5) Release_Track'!$F:$F&amp;'5) Release_Track'!$G:$G,'5) Release_Track'!$J:$J},2,0), or(and(not(isblank($B561)),$B561=$B560,$A561&lt;&gt;$A560),and(not(isblank($A561)),$A561=$A560,$B561&lt;&gt;$B560)),"ID LISTS UNALIGNED",and($A561&lt;&gt;"",countif('5) Release_Track'!$F:$F,$A561)=0),"NO ISRC MATCH in Release_Track",and($B561&lt;&gt;"",countif('5) Release_Track'!$G:$G,$B561)=0),"NO CATALOG ID MATCH in Release_Track",iserror(vlookup($A561&amp;$B561,'5) Release_Track'!$F:$F&amp;'5) Release_Track'!$G:$G,1,0)),"NO ISRC-CATALOG ID pair MATCH in Release_Track" )</f>
        <v/>
      </c>
      <c r="F561" s="122"/>
      <c r="G561" s="99"/>
      <c r="H561" s="178"/>
      <c r="I561" s="121" t="str">
        <f t="shared" si="6"/>
        <v/>
      </c>
      <c r="J561" s="99"/>
      <c r="K561" s="99"/>
    </row>
    <row r="562">
      <c r="B562" s="103"/>
      <c r="C562" s="121" t="str">
        <f t="array" ref="C562">ifs(and(isblank($A562),isblank($B562)),"", not(iserror(vlookup($A562&amp;$B562,'5) Release_Track'!$F:$F&amp;'5) Release_Track'!$G:$G,1,0))),vlookup($A562&amp;$B562,{'5) Release_Track'!$F:$F&amp;'5) Release_Track'!$G:$G,'5) Release_Track'!$H:$H},2,0), or(and(not(isblank($B562)),$B562=$B561,$A562&lt;&gt;$A561),and(not(isblank($A562)),$A562=$A561,$B562&lt;&gt;$B561)),"ID LISTS UNALIGNED",and($A562&lt;&gt;"",countif('5) Release_Track'!$F:$F,$A562)=0),"NO ISRC MATCH in Release_Track",and($B562&lt;&gt;"",countif('5) Release_Track'!$G:$G,$B562)=0),"NO CATALOG ID MATCH in Release_Track",iserror(vlookup($A562&amp;$B562,'5) Release_Track'!$F:$F&amp;'5) Release_Track'!$G:$G,1,0)),"NO ISRC-CATALOG ID pair MATCH in Release_Track" )</f>
        <v/>
      </c>
      <c r="D562" s="121" t="str">
        <f t="array" ref="D562">ifs(and(isblank($A562),isblank($B562)),"", not(iserror(vlookup($A562&amp;$B562,'5) Release_Track'!$F:$F&amp;'5) Release_Track'!$G:$G,1,0))),vlookup($A562&amp;$B562,{'5) Release_Track'!$F:$F&amp;'5) Release_Track'!$G:$G,'5) Release_Track'!$I:$I},2,0), or(and(not(isblank($B562)),$B562=$B561,$A562&lt;&gt;$A561),and(not(isblank($A562)),$A562=$A561,$B562&lt;&gt;$B561)),"ID LISTS UNALIGNED",and($A562&lt;&gt;"",countif('5) Release_Track'!$F:$F,$A562)=0),"NO ISRC MATCH in Release_Track",and($B562&lt;&gt;"",countif('5) Release_Track'!$G:$G,$B562)=0),"NO CATALOG ID MATCH in Release_Track",iserror(vlookup($A562&amp;$B562,'5) Release_Track'!$F:$F&amp;'5) Release_Track'!$G:$G,1,0)),"NO ISRC-CATALOG ID pair MATCH in Release_Track" )</f>
        <v/>
      </c>
      <c r="E562" s="125" t="str">
        <f t="array" ref="E562">ifs(and(isblank($A562),isblank($B562)),"", not(iserror(vlookup($A562&amp;$B562,'5) Release_Track'!$F:$F&amp;'5) Release_Track'!$G:$G,1,0))),vlookup($A562&amp;$B562,{'5) Release_Track'!$F:$F&amp;'5) Release_Track'!$G:$G,'5) Release_Track'!$J:$J},2,0), or(and(not(isblank($B562)),$B562=$B561,$A562&lt;&gt;$A561),and(not(isblank($A562)),$A562=$A561,$B562&lt;&gt;$B561)),"ID LISTS UNALIGNED",and($A562&lt;&gt;"",countif('5) Release_Track'!$F:$F,$A562)=0),"NO ISRC MATCH in Release_Track",and($B562&lt;&gt;"",countif('5) Release_Track'!$G:$G,$B562)=0),"NO CATALOG ID MATCH in Release_Track",iserror(vlookup($A562&amp;$B562,'5) Release_Track'!$F:$F&amp;'5) Release_Track'!$G:$G,1,0)),"NO ISRC-CATALOG ID pair MATCH in Release_Track" )</f>
        <v/>
      </c>
      <c r="F562" s="122"/>
      <c r="G562" s="99"/>
      <c r="H562" s="178"/>
      <c r="I562" s="121" t="str">
        <f t="shared" si="6"/>
        <v/>
      </c>
      <c r="J562" s="99"/>
      <c r="K562" s="99"/>
    </row>
    <row r="563">
      <c r="B563" s="103"/>
      <c r="C563" s="121" t="str">
        <f t="array" ref="C563">ifs(and(isblank($A563),isblank($B563)),"", not(iserror(vlookup($A563&amp;$B563,'5) Release_Track'!$F:$F&amp;'5) Release_Track'!$G:$G,1,0))),vlookup($A563&amp;$B563,{'5) Release_Track'!$F:$F&amp;'5) Release_Track'!$G:$G,'5) Release_Track'!$H:$H},2,0), or(and(not(isblank($B563)),$B563=$B562,$A563&lt;&gt;$A562),and(not(isblank($A563)),$A563=$A562,$B563&lt;&gt;$B562)),"ID LISTS UNALIGNED",and($A563&lt;&gt;"",countif('5) Release_Track'!$F:$F,$A563)=0),"NO ISRC MATCH in Release_Track",and($B563&lt;&gt;"",countif('5) Release_Track'!$G:$G,$B563)=0),"NO CATALOG ID MATCH in Release_Track",iserror(vlookup($A563&amp;$B563,'5) Release_Track'!$F:$F&amp;'5) Release_Track'!$G:$G,1,0)),"NO ISRC-CATALOG ID pair MATCH in Release_Track" )</f>
        <v/>
      </c>
      <c r="D563" s="121" t="str">
        <f t="array" ref="D563">ifs(and(isblank($A563),isblank($B563)),"", not(iserror(vlookup($A563&amp;$B563,'5) Release_Track'!$F:$F&amp;'5) Release_Track'!$G:$G,1,0))),vlookup($A563&amp;$B563,{'5) Release_Track'!$F:$F&amp;'5) Release_Track'!$G:$G,'5) Release_Track'!$I:$I},2,0), or(and(not(isblank($B563)),$B563=$B562,$A563&lt;&gt;$A562),and(not(isblank($A563)),$A563=$A562,$B563&lt;&gt;$B562)),"ID LISTS UNALIGNED",and($A563&lt;&gt;"",countif('5) Release_Track'!$F:$F,$A563)=0),"NO ISRC MATCH in Release_Track",and($B563&lt;&gt;"",countif('5) Release_Track'!$G:$G,$B563)=0),"NO CATALOG ID MATCH in Release_Track",iserror(vlookup($A563&amp;$B563,'5) Release_Track'!$F:$F&amp;'5) Release_Track'!$G:$G,1,0)),"NO ISRC-CATALOG ID pair MATCH in Release_Track" )</f>
        <v/>
      </c>
      <c r="E563" s="125" t="str">
        <f t="array" ref="E563">ifs(and(isblank($A563),isblank($B563)),"", not(iserror(vlookup($A563&amp;$B563,'5) Release_Track'!$F:$F&amp;'5) Release_Track'!$G:$G,1,0))),vlookup($A563&amp;$B563,{'5) Release_Track'!$F:$F&amp;'5) Release_Track'!$G:$G,'5) Release_Track'!$J:$J},2,0), or(and(not(isblank($B563)),$B563=$B562,$A563&lt;&gt;$A562),and(not(isblank($A563)),$A563=$A562,$B563&lt;&gt;$B562)),"ID LISTS UNALIGNED",and($A563&lt;&gt;"",countif('5) Release_Track'!$F:$F,$A563)=0),"NO ISRC MATCH in Release_Track",and($B563&lt;&gt;"",countif('5) Release_Track'!$G:$G,$B563)=0),"NO CATALOG ID MATCH in Release_Track",iserror(vlookup($A563&amp;$B563,'5) Release_Track'!$F:$F&amp;'5) Release_Track'!$G:$G,1,0)),"NO ISRC-CATALOG ID pair MATCH in Release_Track" )</f>
        <v/>
      </c>
      <c r="F563" s="122"/>
      <c r="G563" s="99"/>
      <c r="H563" s="178"/>
      <c r="I563" s="121" t="str">
        <f t="shared" si="6"/>
        <v/>
      </c>
      <c r="J563" s="99"/>
      <c r="K563" s="99"/>
    </row>
    <row r="564">
      <c r="B564" s="103"/>
      <c r="C564" s="121" t="str">
        <f t="array" ref="C564">ifs(and(isblank($A564),isblank($B564)),"", not(iserror(vlookup($A564&amp;$B564,'5) Release_Track'!$F:$F&amp;'5) Release_Track'!$G:$G,1,0))),vlookup($A564&amp;$B564,{'5) Release_Track'!$F:$F&amp;'5) Release_Track'!$G:$G,'5) Release_Track'!$H:$H},2,0), or(and(not(isblank($B564)),$B564=$B563,$A564&lt;&gt;$A563),and(not(isblank($A564)),$A564=$A563,$B564&lt;&gt;$B563)),"ID LISTS UNALIGNED",and($A564&lt;&gt;"",countif('5) Release_Track'!$F:$F,$A564)=0),"NO ISRC MATCH in Release_Track",and($B564&lt;&gt;"",countif('5) Release_Track'!$G:$G,$B564)=0),"NO CATALOG ID MATCH in Release_Track",iserror(vlookup($A564&amp;$B564,'5) Release_Track'!$F:$F&amp;'5) Release_Track'!$G:$G,1,0)),"NO ISRC-CATALOG ID pair MATCH in Release_Track" )</f>
        <v/>
      </c>
      <c r="D564" s="121" t="str">
        <f t="array" ref="D564">ifs(and(isblank($A564),isblank($B564)),"", not(iserror(vlookup($A564&amp;$B564,'5) Release_Track'!$F:$F&amp;'5) Release_Track'!$G:$G,1,0))),vlookup($A564&amp;$B564,{'5) Release_Track'!$F:$F&amp;'5) Release_Track'!$G:$G,'5) Release_Track'!$I:$I},2,0), or(and(not(isblank($B564)),$B564=$B563,$A564&lt;&gt;$A563),and(not(isblank($A564)),$A564=$A563,$B564&lt;&gt;$B563)),"ID LISTS UNALIGNED",and($A564&lt;&gt;"",countif('5) Release_Track'!$F:$F,$A564)=0),"NO ISRC MATCH in Release_Track",and($B564&lt;&gt;"",countif('5) Release_Track'!$G:$G,$B564)=0),"NO CATALOG ID MATCH in Release_Track",iserror(vlookup($A564&amp;$B564,'5) Release_Track'!$F:$F&amp;'5) Release_Track'!$G:$G,1,0)),"NO ISRC-CATALOG ID pair MATCH in Release_Track" )</f>
        <v/>
      </c>
      <c r="E564" s="125" t="str">
        <f t="array" ref="E564">ifs(and(isblank($A564),isblank($B564)),"", not(iserror(vlookup($A564&amp;$B564,'5) Release_Track'!$F:$F&amp;'5) Release_Track'!$G:$G,1,0))),vlookup($A564&amp;$B564,{'5) Release_Track'!$F:$F&amp;'5) Release_Track'!$G:$G,'5) Release_Track'!$J:$J},2,0), or(and(not(isblank($B564)),$B564=$B563,$A564&lt;&gt;$A563),and(not(isblank($A564)),$A564=$A563,$B564&lt;&gt;$B563)),"ID LISTS UNALIGNED",and($A564&lt;&gt;"",countif('5) Release_Track'!$F:$F,$A564)=0),"NO ISRC MATCH in Release_Track",and($B564&lt;&gt;"",countif('5) Release_Track'!$G:$G,$B564)=0),"NO CATALOG ID MATCH in Release_Track",iserror(vlookup($A564&amp;$B564,'5) Release_Track'!$F:$F&amp;'5) Release_Track'!$G:$G,1,0)),"NO ISRC-CATALOG ID pair MATCH in Release_Track" )</f>
        <v/>
      </c>
      <c r="F564" s="122"/>
      <c r="G564" s="99"/>
      <c r="H564" s="178"/>
      <c r="I564" s="121" t="str">
        <f t="shared" si="6"/>
        <v/>
      </c>
      <c r="J564" s="99"/>
      <c r="K564" s="99"/>
    </row>
    <row r="565">
      <c r="B565" s="103"/>
      <c r="C565" s="121" t="str">
        <f t="array" ref="C565">ifs(and(isblank($A565),isblank($B565)),"", not(iserror(vlookup($A565&amp;$B565,'5) Release_Track'!$F:$F&amp;'5) Release_Track'!$G:$G,1,0))),vlookup($A565&amp;$B565,{'5) Release_Track'!$F:$F&amp;'5) Release_Track'!$G:$G,'5) Release_Track'!$H:$H},2,0), or(and(not(isblank($B565)),$B565=$B564,$A565&lt;&gt;$A564),and(not(isblank($A565)),$A565=$A564,$B565&lt;&gt;$B564)),"ID LISTS UNALIGNED",and($A565&lt;&gt;"",countif('5) Release_Track'!$F:$F,$A565)=0),"NO ISRC MATCH in Release_Track",and($B565&lt;&gt;"",countif('5) Release_Track'!$G:$G,$B565)=0),"NO CATALOG ID MATCH in Release_Track",iserror(vlookup($A565&amp;$B565,'5) Release_Track'!$F:$F&amp;'5) Release_Track'!$G:$G,1,0)),"NO ISRC-CATALOG ID pair MATCH in Release_Track" )</f>
        <v/>
      </c>
      <c r="D565" s="121" t="str">
        <f t="array" ref="D565">ifs(and(isblank($A565),isblank($B565)),"", not(iserror(vlookup($A565&amp;$B565,'5) Release_Track'!$F:$F&amp;'5) Release_Track'!$G:$G,1,0))),vlookup($A565&amp;$B565,{'5) Release_Track'!$F:$F&amp;'5) Release_Track'!$G:$G,'5) Release_Track'!$I:$I},2,0), or(and(not(isblank($B565)),$B565=$B564,$A565&lt;&gt;$A564),and(not(isblank($A565)),$A565=$A564,$B565&lt;&gt;$B564)),"ID LISTS UNALIGNED",and($A565&lt;&gt;"",countif('5) Release_Track'!$F:$F,$A565)=0),"NO ISRC MATCH in Release_Track",and($B565&lt;&gt;"",countif('5) Release_Track'!$G:$G,$B565)=0),"NO CATALOG ID MATCH in Release_Track",iserror(vlookup($A565&amp;$B565,'5) Release_Track'!$F:$F&amp;'5) Release_Track'!$G:$G,1,0)),"NO ISRC-CATALOG ID pair MATCH in Release_Track" )</f>
        <v/>
      </c>
      <c r="E565" s="125" t="str">
        <f t="array" ref="E565">ifs(and(isblank($A565),isblank($B565)),"", not(iserror(vlookup($A565&amp;$B565,'5) Release_Track'!$F:$F&amp;'5) Release_Track'!$G:$G,1,0))),vlookup($A565&amp;$B565,{'5) Release_Track'!$F:$F&amp;'5) Release_Track'!$G:$G,'5) Release_Track'!$J:$J},2,0), or(and(not(isblank($B565)),$B565=$B564,$A565&lt;&gt;$A564),and(not(isblank($A565)),$A565=$A564,$B565&lt;&gt;$B564)),"ID LISTS UNALIGNED",and($A565&lt;&gt;"",countif('5) Release_Track'!$F:$F,$A565)=0),"NO ISRC MATCH in Release_Track",and($B565&lt;&gt;"",countif('5) Release_Track'!$G:$G,$B565)=0),"NO CATALOG ID MATCH in Release_Track",iserror(vlookup($A565&amp;$B565,'5) Release_Track'!$F:$F&amp;'5) Release_Track'!$G:$G,1,0)),"NO ISRC-CATALOG ID pair MATCH in Release_Track" )</f>
        <v/>
      </c>
      <c r="F565" s="122"/>
      <c r="G565" s="99"/>
      <c r="H565" s="178"/>
      <c r="I565" s="121" t="str">
        <f t="shared" si="6"/>
        <v/>
      </c>
      <c r="J565" s="99"/>
      <c r="K565" s="99"/>
    </row>
    <row r="566">
      <c r="B566" s="103"/>
      <c r="C566" s="121" t="str">
        <f t="array" ref="C566">ifs(and(isblank($A566),isblank($B566)),"", not(iserror(vlookup($A566&amp;$B566,'5) Release_Track'!$F:$F&amp;'5) Release_Track'!$G:$G,1,0))),vlookup($A566&amp;$B566,{'5) Release_Track'!$F:$F&amp;'5) Release_Track'!$G:$G,'5) Release_Track'!$H:$H},2,0), or(and(not(isblank($B566)),$B566=$B565,$A566&lt;&gt;$A565),and(not(isblank($A566)),$A566=$A565,$B566&lt;&gt;$B565)),"ID LISTS UNALIGNED",and($A566&lt;&gt;"",countif('5) Release_Track'!$F:$F,$A566)=0),"NO ISRC MATCH in Release_Track",and($B566&lt;&gt;"",countif('5) Release_Track'!$G:$G,$B566)=0),"NO CATALOG ID MATCH in Release_Track",iserror(vlookup($A566&amp;$B566,'5) Release_Track'!$F:$F&amp;'5) Release_Track'!$G:$G,1,0)),"NO ISRC-CATALOG ID pair MATCH in Release_Track" )</f>
        <v/>
      </c>
      <c r="D566" s="121" t="str">
        <f t="array" ref="D566">ifs(and(isblank($A566),isblank($B566)),"", not(iserror(vlookup($A566&amp;$B566,'5) Release_Track'!$F:$F&amp;'5) Release_Track'!$G:$G,1,0))),vlookup($A566&amp;$B566,{'5) Release_Track'!$F:$F&amp;'5) Release_Track'!$G:$G,'5) Release_Track'!$I:$I},2,0), or(and(not(isblank($B566)),$B566=$B565,$A566&lt;&gt;$A565),and(not(isblank($A566)),$A566=$A565,$B566&lt;&gt;$B565)),"ID LISTS UNALIGNED",and($A566&lt;&gt;"",countif('5) Release_Track'!$F:$F,$A566)=0),"NO ISRC MATCH in Release_Track",and($B566&lt;&gt;"",countif('5) Release_Track'!$G:$G,$B566)=0),"NO CATALOG ID MATCH in Release_Track",iserror(vlookup($A566&amp;$B566,'5) Release_Track'!$F:$F&amp;'5) Release_Track'!$G:$G,1,0)),"NO ISRC-CATALOG ID pair MATCH in Release_Track" )</f>
        <v/>
      </c>
      <c r="E566" s="125" t="str">
        <f t="array" ref="E566">ifs(and(isblank($A566),isblank($B566)),"", not(iserror(vlookup($A566&amp;$B566,'5) Release_Track'!$F:$F&amp;'5) Release_Track'!$G:$G,1,0))),vlookup($A566&amp;$B566,{'5) Release_Track'!$F:$F&amp;'5) Release_Track'!$G:$G,'5) Release_Track'!$J:$J},2,0), or(and(not(isblank($B566)),$B566=$B565,$A566&lt;&gt;$A565),and(not(isblank($A566)),$A566=$A565,$B566&lt;&gt;$B565)),"ID LISTS UNALIGNED",and($A566&lt;&gt;"",countif('5) Release_Track'!$F:$F,$A566)=0),"NO ISRC MATCH in Release_Track",and($B566&lt;&gt;"",countif('5) Release_Track'!$G:$G,$B566)=0),"NO CATALOG ID MATCH in Release_Track",iserror(vlookup($A566&amp;$B566,'5) Release_Track'!$F:$F&amp;'5) Release_Track'!$G:$G,1,0)),"NO ISRC-CATALOG ID pair MATCH in Release_Track" )</f>
        <v/>
      </c>
      <c r="F566" s="122"/>
      <c r="G566" s="99"/>
      <c r="H566" s="178"/>
      <c r="I566" s="121" t="str">
        <f t="shared" si="6"/>
        <v/>
      </c>
      <c r="J566" s="99"/>
      <c r="K566" s="99"/>
    </row>
    <row r="567">
      <c r="B567" s="103"/>
      <c r="C567" s="121" t="str">
        <f t="array" ref="C567">ifs(and(isblank($A567),isblank($B567)),"", not(iserror(vlookup($A567&amp;$B567,'5) Release_Track'!$F:$F&amp;'5) Release_Track'!$G:$G,1,0))),vlookup($A567&amp;$B567,{'5) Release_Track'!$F:$F&amp;'5) Release_Track'!$G:$G,'5) Release_Track'!$H:$H},2,0), or(and(not(isblank($B567)),$B567=$B566,$A567&lt;&gt;$A566),and(not(isblank($A567)),$A567=$A566,$B567&lt;&gt;$B566)),"ID LISTS UNALIGNED",and($A567&lt;&gt;"",countif('5) Release_Track'!$F:$F,$A567)=0),"NO ISRC MATCH in Release_Track",and($B567&lt;&gt;"",countif('5) Release_Track'!$G:$G,$B567)=0),"NO CATALOG ID MATCH in Release_Track",iserror(vlookup($A567&amp;$B567,'5) Release_Track'!$F:$F&amp;'5) Release_Track'!$G:$G,1,0)),"NO ISRC-CATALOG ID pair MATCH in Release_Track" )</f>
        <v/>
      </c>
      <c r="D567" s="121" t="str">
        <f t="array" ref="D567">ifs(and(isblank($A567),isblank($B567)),"", not(iserror(vlookup($A567&amp;$B567,'5) Release_Track'!$F:$F&amp;'5) Release_Track'!$G:$G,1,0))),vlookup($A567&amp;$B567,{'5) Release_Track'!$F:$F&amp;'5) Release_Track'!$G:$G,'5) Release_Track'!$I:$I},2,0), or(and(not(isblank($B567)),$B567=$B566,$A567&lt;&gt;$A566),and(not(isblank($A567)),$A567=$A566,$B567&lt;&gt;$B566)),"ID LISTS UNALIGNED",and($A567&lt;&gt;"",countif('5) Release_Track'!$F:$F,$A567)=0),"NO ISRC MATCH in Release_Track",and($B567&lt;&gt;"",countif('5) Release_Track'!$G:$G,$B567)=0),"NO CATALOG ID MATCH in Release_Track",iserror(vlookup($A567&amp;$B567,'5) Release_Track'!$F:$F&amp;'5) Release_Track'!$G:$G,1,0)),"NO ISRC-CATALOG ID pair MATCH in Release_Track" )</f>
        <v/>
      </c>
      <c r="E567" s="125" t="str">
        <f t="array" ref="E567">ifs(and(isblank($A567),isblank($B567)),"", not(iserror(vlookup($A567&amp;$B567,'5) Release_Track'!$F:$F&amp;'5) Release_Track'!$G:$G,1,0))),vlookup($A567&amp;$B567,{'5) Release_Track'!$F:$F&amp;'5) Release_Track'!$G:$G,'5) Release_Track'!$J:$J},2,0), or(and(not(isblank($B567)),$B567=$B566,$A567&lt;&gt;$A566),and(not(isblank($A567)),$A567=$A566,$B567&lt;&gt;$B566)),"ID LISTS UNALIGNED",and($A567&lt;&gt;"",countif('5) Release_Track'!$F:$F,$A567)=0),"NO ISRC MATCH in Release_Track",and($B567&lt;&gt;"",countif('5) Release_Track'!$G:$G,$B567)=0),"NO CATALOG ID MATCH in Release_Track",iserror(vlookup($A567&amp;$B567,'5) Release_Track'!$F:$F&amp;'5) Release_Track'!$G:$G,1,0)),"NO ISRC-CATALOG ID pair MATCH in Release_Track" )</f>
        <v/>
      </c>
      <c r="F567" s="122"/>
      <c r="G567" s="99"/>
      <c r="H567" s="178"/>
      <c r="I567" s="121" t="str">
        <f t="shared" si="6"/>
        <v/>
      </c>
      <c r="J567" s="99"/>
      <c r="K567" s="99"/>
    </row>
    <row r="568">
      <c r="B568" s="103"/>
      <c r="C568" s="121" t="str">
        <f t="array" ref="C568">ifs(and(isblank($A568),isblank($B568)),"", not(iserror(vlookup($A568&amp;$B568,'5) Release_Track'!$F:$F&amp;'5) Release_Track'!$G:$G,1,0))),vlookup($A568&amp;$B568,{'5) Release_Track'!$F:$F&amp;'5) Release_Track'!$G:$G,'5) Release_Track'!$H:$H},2,0), or(and(not(isblank($B568)),$B568=$B567,$A568&lt;&gt;$A567),and(not(isblank($A568)),$A568=$A567,$B568&lt;&gt;$B567)),"ID LISTS UNALIGNED",and($A568&lt;&gt;"",countif('5) Release_Track'!$F:$F,$A568)=0),"NO ISRC MATCH in Release_Track",and($B568&lt;&gt;"",countif('5) Release_Track'!$G:$G,$B568)=0),"NO CATALOG ID MATCH in Release_Track",iserror(vlookup($A568&amp;$B568,'5) Release_Track'!$F:$F&amp;'5) Release_Track'!$G:$G,1,0)),"NO ISRC-CATALOG ID pair MATCH in Release_Track" )</f>
        <v/>
      </c>
      <c r="D568" s="121" t="str">
        <f t="array" ref="D568">ifs(and(isblank($A568),isblank($B568)),"", not(iserror(vlookup($A568&amp;$B568,'5) Release_Track'!$F:$F&amp;'5) Release_Track'!$G:$G,1,0))),vlookup($A568&amp;$B568,{'5) Release_Track'!$F:$F&amp;'5) Release_Track'!$G:$G,'5) Release_Track'!$I:$I},2,0), or(and(not(isblank($B568)),$B568=$B567,$A568&lt;&gt;$A567),and(not(isblank($A568)),$A568=$A567,$B568&lt;&gt;$B567)),"ID LISTS UNALIGNED",and($A568&lt;&gt;"",countif('5) Release_Track'!$F:$F,$A568)=0),"NO ISRC MATCH in Release_Track",and($B568&lt;&gt;"",countif('5) Release_Track'!$G:$G,$B568)=0),"NO CATALOG ID MATCH in Release_Track",iserror(vlookup($A568&amp;$B568,'5) Release_Track'!$F:$F&amp;'5) Release_Track'!$G:$G,1,0)),"NO ISRC-CATALOG ID pair MATCH in Release_Track" )</f>
        <v/>
      </c>
      <c r="E568" s="125" t="str">
        <f t="array" ref="E568">ifs(and(isblank($A568),isblank($B568)),"", not(iserror(vlookup($A568&amp;$B568,'5) Release_Track'!$F:$F&amp;'5) Release_Track'!$G:$G,1,0))),vlookup($A568&amp;$B568,{'5) Release_Track'!$F:$F&amp;'5) Release_Track'!$G:$G,'5) Release_Track'!$J:$J},2,0), or(and(not(isblank($B568)),$B568=$B567,$A568&lt;&gt;$A567),and(not(isblank($A568)),$A568=$A567,$B568&lt;&gt;$B567)),"ID LISTS UNALIGNED",and($A568&lt;&gt;"",countif('5) Release_Track'!$F:$F,$A568)=0),"NO ISRC MATCH in Release_Track",and($B568&lt;&gt;"",countif('5) Release_Track'!$G:$G,$B568)=0),"NO CATALOG ID MATCH in Release_Track",iserror(vlookup($A568&amp;$B568,'5) Release_Track'!$F:$F&amp;'5) Release_Track'!$G:$G,1,0)),"NO ISRC-CATALOG ID pair MATCH in Release_Track" )</f>
        <v/>
      </c>
      <c r="F568" s="122"/>
      <c r="G568" s="99"/>
      <c r="H568" s="178"/>
      <c r="I568" s="121" t="str">
        <f t="shared" si="6"/>
        <v/>
      </c>
      <c r="J568" s="99"/>
      <c r="K568" s="99"/>
    </row>
    <row r="569">
      <c r="B569" s="103"/>
      <c r="C569" s="121" t="str">
        <f t="array" ref="C569">ifs(and(isblank($A569),isblank($B569)),"", not(iserror(vlookup($A569&amp;$B569,'5) Release_Track'!$F:$F&amp;'5) Release_Track'!$G:$G,1,0))),vlookup($A569&amp;$B569,{'5) Release_Track'!$F:$F&amp;'5) Release_Track'!$G:$G,'5) Release_Track'!$H:$H},2,0), or(and(not(isblank($B569)),$B569=$B568,$A569&lt;&gt;$A568),and(not(isblank($A569)),$A569=$A568,$B569&lt;&gt;$B568)),"ID LISTS UNALIGNED",and($A569&lt;&gt;"",countif('5) Release_Track'!$F:$F,$A569)=0),"NO ISRC MATCH in Release_Track",and($B569&lt;&gt;"",countif('5) Release_Track'!$G:$G,$B569)=0),"NO CATALOG ID MATCH in Release_Track",iserror(vlookup($A569&amp;$B569,'5) Release_Track'!$F:$F&amp;'5) Release_Track'!$G:$G,1,0)),"NO ISRC-CATALOG ID pair MATCH in Release_Track" )</f>
        <v/>
      </c>
      <c r="D569" s="121" t="str">
        <f t="array" ref="D569">ifs(and(isblank($A569),isblank($B569)),"", not(iserror(vlookup($A569&amp;$B569,'5) Release_Track'!$F:$F&amp;'5) Release_Track'!$G:$G,1,0))),vlookup($A569&amp;$B569,{'5) Release_Track'!$F:$F&amp;'5) Release_Track'!$G:$G,'5) Release_Track'!$I:$I},2,0), or(and(not(isblank($B569)),$B569=$B568,$A569&lt;&gt;$A568),and(not(isblank($A569)),$A569=$A568,$B569&lt;&gt;$B568)),"ID LISTS UNALIGNED",and($A569&lt;&gt;"",countif('5) Release_Track'!$F:$F,$A569)=0),"NO ISRC MATCH in Release_Track",and($B569&lt;&gt;"",countif('5) Release_Track'!$G:$G,$B569)=0),"NO CATALOG ID MATCH in Release_Track",iserror(vlookup($A569&amp;$B569,'5) Release_Track'!$F:$F&amp;'5) Release_Track'!$G:$G,1,0)),"NO ISRC-CATALOG ID pair MATCH in Release_Track" )</f>
        <v/>
      </c>
      <c r="E569" s="125" t="str">
        <f t="array" ref="E569">ifs(and(isblank($A569),isblank($B569)),"", not(iserror(vlookup($A569&amp;$B569,'5) Release_Track'!$F:$F&amp;'5) Release_Track'!$G:$G,1,0))),vlookup($A569&amp;$B569,{'5) Release_Track'!$F:$F&amp;'5) Release_Track'!$G:$G,'5) Release_Track'!$J:$J},2,0), or(and(not(isblank($B569)),$B569=$B568,$A569&lt;&gt;$A568),and(not(isblank($A569)),$A569=$A568,$B569&lt;&gt;$B568)),"ID LISTS UNALIGNED",and($A569&lt;&gt;"",countif('5) Release_Track'!$F:$F,$A569)=0),"NO ISRC MATCH in Release_Track",and($B569&lt;&gt;"",countif('5) Release_Track'!$G:$G,$B569)=0),"NO CATALOG ID MATCH in Release_Track",iserror(vlookup($A569&amp;$B569,'5) Release_Track'!$F:$F&amp;'5) Release_Track'!$G:$G,1,0)),"NO ISRC-CATALOG ID pair MATCH in Release_Track" )</f>
        <v/>
      </c>
      <c r="F569" s="122"/>
      <c r="G569" s="99"/>
      <c r="H569" s="178"/>
      <c r="I569" s="121" t="str">
        <f t="shared" si="6"/>
        <v/>
      </c>
      <c r="J569" s="99"/>
      <c r="K569" s="99"/>
    </row>
    <row r="570">
      <c r="B570" s="103"/>
      <c r="C570" s="121" t="str">
        <f t="array" ref="C570">ifs(and(isblank($A570),isblank($B570)),"", not(iserror(vlookup($A570&amp;$B570,'5) Release_Track'!$F:$F&amp;'5) Release_Track'!$G:$G,1,0))),vlookup($A570&amp;$B570,{'5) Release_Track'!$F:$F&amp;'5) Release_Track'!$G:$G,'5) Release_Track'!$H:$H},2,0), or(and(not(isblank($B570)),$B570=$B569,$A570&lt;&gt;$A569),and(not(isblank($A570)),$A570=$A569,$B570&lt;&gt;$B569)),"ID LISTS UNALIGNED",and($A570&lt;&gt;"",countif('5) Release_Track'!$F:$F,$A570)=0),"NO ISRC MATCH in Release_Track",and($B570&lt;&gt;"",countif('5) Release_Track'!$G:$G,$B570)=0),"NO CATALOG ID MATCH in Release_Track",iserror(vlookup($A570&amp;$B570,'5) Release_Track'!$F:$F&amp;'5) Release_Track'!$G:$G,1,0)),"NO ISRC-CATALOG ID pair MATCH in Release_Track" )</f>
        <v/>
      </c>
      <c r="D570" s="121" t="str">
        <f t="array" ref="D570">ifs(and(isblank($A570),isblank($B570)),"", not(iserror(vlookup($A570&amp;$B570,'5) Release_Track'!$F:$F&amp;'5) Release_Track'!$G:$G,1,0))),vlookup($A570&amp;$B570,{'5) Release_Track'!$F:$F&amp;'5) Release_Track'!$G:$G,'5) Release_Track'!$I:$I},2,0), or(and(not(isblank($B570)),$B570=$B569,$A570&lt;&gt;$A569),and(not(isblank($A570)),$A570=$A569,$B570&lt;&gt;$B569)),"ID LISTS UNALIGNED",and($A570&lt;&gt;"",countif('5) Release_Track'!$F:$F,$A570)=0),"NO ISRC MATCH in Release_Track",and($B570&lt;&gt;"",countif('5) Release_Track'!$G:$G,$B570)=0),"NO CATALOG ID MATCH in Release_Track",iserror(vlookup($A570&amp;$B570,'5) Release_Track'!$F:$F&amp;'5) Release_Track'!$G:$G,1,0)),"NO ISRC-CATALOG ID pair MATCH in Release_Track" )</f>
        <v/>
      </c>
      <c r="E570" s="125" t="str">
        <f t="array" ref="E570">ifs(and(isblank($A570),isblank($B570)),"", not(iserror(vlookup($A570&amp;$B570,'5) Release_Track'!$F:$F&amp;'5) Release_Track'!$G:$G,1,0))),vlookup($A570&amp;$B570,{'5) Release_Track'!$F:$F&amp;'5) Release_Track'!$G:$G,'5) Release_Track'!$J:$J},2,0), or(and(not(isblank($B570)),$B570=$B569,$A570&lt;&gt;$A569),and(not(isblank($A570)),$A570=$A569,$B570&lt;&gt;$B569)),"ID LISTS UNALIGNED",and($A570&lt;&gt;"",countif('5) Release_Track'!$F:$F,$A570)=0),"NO ISRC MATCH in Release_Track",and($B570&lt;&gt;"",countif('5) Release_Track'!$G:$G,$B570)=0),"NO CATALOG ID MATCH in Release_Track",iserror(vlookup($A570&amp;$B570,'5) Release_Track'!$F:$F&amp;'5) Release_Track'!$G:$G,1,0)),"NO ISRC-CATALOG ID pair MATCH in Release_Track" )</f>
        <v/>
      </c>
      <c r="F570" s="122"/>
      <c r="G570" s="99"/>
      <c r="H570" s="178"/>
      <c r="I570" s="121" t="str">
        <f t="shared" si="6"/>
        <v/>
      </c>
      <c r="J570" s="99"/>
      <c r="K570" s="99"/>
    </row>
    <row r="571">
      <c r="B571" s="103"/>
      <c r="C571" s="121" t="str">
        <f t="array" ref="C571">ifs(and(isblank($A571),isblank($B571)),"", not(iserror(vlookup($A571&amp;$B571,'5) Release_Track'!$F:$F&amp;'5) Release_Track'!$G:$G,1,0))),vlookup($A571&amp;$B571,{'5) Release_Track'!$F:$F&amp;'5) Release_Track'!$G:$G,'5) Release_Track'!$H:$H},2,0), or(and(not(isblank($B571)),$B571=$B570,$A571&lt;&gt;$A570),and(not(isblank($A571)),$A571=$A570,$B571&lt;&gt;$B570)),"ID LISTS UNALIGNED",and($A571&lt;&gt;"",countif('5) Release_Track'!$F:$F,$A571)=0),"NO ISRC MATCH in Release_Track",and($B571&lt;&gt;"",countif('5) Release_Track'!$G:$G,$B571)=0),"NO CATALOG ID MATCH in Release_Track",iserror(vlookup($A571&amp;$B571,'5) Release_Track'!$F:$F&amp;'5) Release_Track'!$G:$G,1,0)),"NO ISRC-CATALOG ID pair MATCH in Release_Track" )</f>
        <v/>
      </c>
      <c r="D571" s="121" t="str">
        <f t="array" ref="D571">ifs(and(isblank($A571),isblank($B571)),"", not(iserror(vlookup($A571&amp;$B571,'5) Release_Track'!$F:$F&amp;'5) Release_Track'!$G:$G,1,0))),vlookup($A571&amp;$B571,{'5) Release_Track'!$F:$F&amp;'5) Release_Track'!$G:$G,'5) Release_Track'!$I:$I},2,0), or(and(not(isblank($B571)),$B571=$B570,$A571&lt;&gt;$A570),and(not(isblank($A571)),$A571=$A570,$B571&lt;&gt;$B570)),"ID LISTS UNALIGNED",and($A571&lt;&gt;"",countif('5) Release_Track'!$F:$F,$A571)=0),"NO ISRC MATCH in Release_Track",and($B571&lt;&gt;"",countif('5) Release_Track'!$G:$G,$B571)=0),"NO CATALOG ID MATCH in Release_Track",iserror(vlookup($A571&amp;$B571,'5) Release_Track'!$F:$F&amp;'5) Release_Track'!$G:$G,1,0)),"NO ISRC-CATALOG ID pair MATCH in Release_Track" )</f>
        <v/>
      </c>
      <c r="E571" s="125" t="str">
        <f t="array" ref="E571">ifs(and(isblank($A571),isblank($B571)),"", not(iserror(vlookup($A571&amp;$B571,'5) Release_Track'!$F:$F&amp;'5) Release_Track'!$G:$G,1,0))),vlookup($A571&amp;$B571,{'5) Release_Track'!$F:$F&amp;'5) Release_Track'!$G:$G,'5) Release_Track'!$J:$J},2,0), or(and(not(isblank($B571)),$B571=$B570,$A571&lt;&gt;$A570),and(not(isblank($A571)),$A571=$A570,$B571&lt;&gt;$B570)),"ID LISTS UNALIGNED",and($A571&lt;&gt;"",countif('5) Release_Track'!$F:$F,$A571)=0),"NO ISRC MATCH in Release_Track",and($B571&lt;&gt;"",countif('5) Release_Track'!$G:$G,$B571)=0),"NO CATALOG ID MATCH in Release_Track",iserror(vlookup($A571&amp;$B571,'5) Release_Track'!$F:$F&amp;'5) Release_Track'!$G:$G,1,0)),"NO ISRC-CATALOG ID pair MATCH in Release_Track" )</f>
        <v/>
      </c>
      <c r="F571" s="122"/>
      <c r="G571" s="99"/>
      <c r="H571" s="178"/>
      <c r="I571" s="121" t="str">
        <f t="shared" si="6"/>
        <v/>
      </c>
      <c r="J571" s="99"/>
      <c r="K571" s="99"/>
    </row>
    <row r="572">
      <c r="B572" s="103"/>
      <c r="C572" s="121" t="str">
        <f t="array" ref="C572">ifs(and(isblank($A572),isblank($B572)),"", not(iserror(vlookup($A572&amp;$B572,'5) Release_Track'!$F:$F&amp;'5) Release_Track'!$G:$G,1,0))),vlookup($A572&amp;$B572,{'5) Release_Track'!$F:$F&amp;'5) Release_Track'!$G:$G,'5) Release_Track'!$H:$H},2,0), or(and(not(isblank($B572)),$B572=$B571,$A572&lt;&gt;$A571),and(not(isblank($A572)),$A572=$A571,$B572&lt;&gt;$B571)),"ID LISTS UNALIGNED",and($A572&lt;&gt;"",countif('5) Release_Track'!$F:$F,$A572)=0),"NO ISRC MATCH in Release_Track",and($B572&lt;&gt;"",countif('5) Release_Track'!$G:$G,$B572)=0),"NO CATALOG ID MATCH in Release_Track",iserror(vlookup($A572&amp;$B572,'5) Release_Track'!$F:$F&amp;'5) Release_Track'!$G:$G,1,0)),"NO ISRC-CATALOG ID pair MATCH in Release_Track" )</f>
        <v/>
      </c>
      <c r="D572" s="121" t="str">
        <f t="array" ref="D572">ifs(and(isblank($A572),isblank($B572)),"", not(iserror(vlookup($A572&amp;$B572,'5) Release_Track'!$F:$F&amp;'5) Release_Track'!$G:$G,1,0))),vlookup($A572&amp;$B572,{'5) Release_Track'!$F:$F&amp;'5) Release_Track'!$G:$G,'5) Release_Track'!$I:$I},2,0), or(and(not(isblank($B572)),$B572=$B571,$A572&lt;&gt;$A571),and(not(isblank($A572)),$A572=$A571,$B572&lt;&gt;$B571)),"ID LISTS UNALIGNED",and($A572&lt;&gt;"",countif('5) Release_Track'!$F:$F,$A572)=0),"NO ISRC MATCH in Release_Track",and($B572&lt;&gt;"",countif('5) Release_Track'!$G:$G,$B572)=0),"NO CATALOG ID MATCH in Release_Track",iserror(vlookup($A572&amp;$B572,'5) Release_Track'!$F:$F&amp;'5) Release_Track'!$G:$G,1,0)),"NO ISRC-CATALOG ID pair MATCH in Release_Track" )</f>
        <v/>
      </c>
      <c r="E572" s="125" t="str">
        <f t="array" ref="E572">ifs(and(isblank($A572),isblank($B572)),"", not(iserror(vlookup($A572&amp;$B572,'5) Release_Track'!$F:$F&amp;'5) Release_Track'!$G:$G,1,0))),vlookup($A572&amp;$B572,{'5) Release_Track'!$F:$F&amp;'5) Release_Track'!$G:$G,'5) Release_Track'!$J:$J},2,0), or(and(not(isblank($B572)),$B572=$B571,$A572&lt;&gt;$A571),and(not(isblank($A572)),$A572=$A571,$B572&lt;&gt;$B571)),"ID LISTS UNALIGNED",and($A572&lt;&gt;"",countif('5) Release_Track'!$F:$F,$A572)=0),"NO ISRC MATCH in Release_Track",and($B572&lt;&gt;"",countif('5) Release_Track'!$G:$G,$B572)=0),"NO CATALOG ID MATCH in Release_Track",iserror(vlookup($A572&amp;$B572,'5) Release_Track'!$F:$F&amp;'5) Release_Track'!$G:$G,1,0)),"NO ISRC-CATALOG ID pair MATCH in Release_Track" )</f>
        <v/>
      </c>
      <c r="F572" s="122"/>
      <c r="G572" s="99"/>
      <c r="H572" s="178"/>
      <c r="I572" s="121" t="str">
        <f t="shared" si="6"/>
        <v/>
      </c>
      <c r="J572" s="99"/>
      <c r="K572" s="99"/>
    </row>
    <row r="573">
      <c r="B573" s="103"/>
      <c r="C573" s="121" t="str">
        <f t="array" ref="C573">ifs(and(isblank($A573),isblank($B573)),"", not(iserror(vlookup($A573&amp;$B573,'5) Release_Track'!$F:$F&amp;'5) Release_Track'!$G:$G,1,0))),vlookup($A573&amp;$B573,{'5) Release_Track'!$F:$F&amp;'5) Release_Track'!$G:$G,'5) Release_Track'!$H:$H},2,0), or(and(not(isblank($B573)),$B573=$B572,$A573&lt;&gt;$A572),and(not(isblank($A573)),$A573=$A572,$B573&lt;&gt;$B572)),"ID LISTS UNALIGNED",and($A573&lt;&gt;"",countif('5) Release_Track'!$F:$F,$A573)=0),"NO ISRC MATCH in Release_Track",and($B573&lt;&gt;"",countif('5) Release_Track'!$G:$G,$B573)=0),"NO CATALOG ID MATCH in Release_Track",iserror(vlookup($A573&amp;$B573,'5) Release_Track'!$F:$F&amp;'5) Release_Track'!$G:$G,1,0)),"NO ISRC-CATALOG ID pair MATCH in Release_Track" )</f>
        <v/>
      </c>
      <c r="D573" s="121" t="str">
        <f t="array" ref="D573">ifs(and(isblank($A573),isblank($B573)),"", not(iserror(vlookup($A573&amp;$B573,'5) Release_Track'!$F:$F&amp;'5) Release_Track'!$G:$G,1,0))),vlookup($A573&amp;$B573,{'5) Release_Track'!$F:$F&amp;'5) Release_Track'!$G:$G,'5) Release_Track'!$I:$I},2,0), or(and(not(isblank($B573)),$B573=$B572,$A573&lt;&gt;$A572),and(not(isblank($A573)),$A573=$A572,$B573&lt;&gt;$B572)),"ID LISTS UNALIGNED",and($A573&lt;&gt;"",countif('5) Release_Track'!$F:$F,$A573)=0),"NO ISRC MATCH in Release_Track",and($B573&lt;&gt;"",countif('5) Release_Track'!$G:$G,$B573)=0),"NO CATALOG ID MATCH in Release_Track",iserror(vlookup($A573&amp;$B573,'5) Release_Track'!$F:$F&amp;'5) Release_Track'!$G:$G,1,0)),"NO ISRC-CATALOG ID pair MATCH in Release_Track" )</f>
        <v/>
      </c>
      <c r="E573" s="125" t="str">
        <f t="array" ref="E573">ifs(and(isblank($A573),isblank($B573)),"", not(iserror(vlookup($A573&amp;$B573,'5) Release_Track'!$F:$F&amp;'5) Release_Track'!$G:$G,1,0))),vlookup($A573&amp;$B573,{'5) Release_Track'!$F:$F&amp;'5) Release_Track'!$G:$G,'5) Release_Track'!$J:$J},2,0), or(and(not(isblank($B573)),$B573=$B572,$A573&lt;&gt;$A572),and(not(isblank($A573)),$A573=$A572,$B573&lt;&gt;$B572)),"ID LISTS UNALIGNED",and($A573&lt;&gt;"",countif('5) Release_Track'!$F:$F,$A573)=0),"NO ISRC MATCH in Release_Track",and($B573&lt;&gt;"",countif('5) Release_Track'!$G:$G,$B573)=0),"NO CATALOG ID MATCH in Release_Track",iserror(vlookup($A573&amp;$B573,'5) Release_Track'!$F:$F&amp;'5) Release_Track'!$G:$G,1,0)),"NO ISRC-CATALOG ID pair MATCH in Release_Track" )</f>
        <v/>
      </c>
      <c r="F573" s="122"/>
      <c r="G573" s="99"/>
      <c r="H573" s="178"/>
      <c r="I573" s="121" t="str">
        <f t="shared" si="6"/>
        <v/>
      </c>
      <c r="J573" s="99"/>
      <c r="K573" s="99"/>
    </row>
    <row r="574">
      <c r="B574" s="103"/>
      <c r="C574" s="121" t="str">
        <f t="array" ref="C574">ifs(and(isblank($A574),isblank($B574)),"", not(iserror(vlookup($A574&amp;$B574,'5) Release_Track'!$F:$F&amp;'5) Release_Track'!$G:$G,1,0))),vlookup($A574&amp;$B574,{'5) Release_Track'!$F:$F&amp;'5) Release_Track'!$G:$G,'5) Release_Track'!$H:$H},2,0), or(and(not(isblank($B574)),$B574=$B573,$A574&lt;&gt;$A573),and(not(isblank($A574)),$A574=$A573,$B574&lt;&gt;$B573)),"ID LISTS UNALIGNED",and($A574&lt;&gt;"",countif('5) Release_Track'!$F:$F,$A574)=0),"NO ISRC MATCH in Release_Track",and($B574&lt;&gt;"",countif('5) Release_Track'!$G:$G,$B574)=0),"NO CATALOG ID MATCH in Release_Track",iserror(vlookup($A574&amp;$B574,'5) Release_Track'!$F:$F&amp;'5) Release_Track'!$G:$G,1,0)),"NO ISRC-CATALOG ID pair MATCH in Release_Track" )</f>
        <v/>
      </c>
      <c r="D574" s="121" t="str">
        <f t="array" ref="D574">ifs(and(isblank($A574),isblank($B574)),"", not(iserror(vlookup($A574&amp;$B574,'5) Release_Track'!$F:$F&amp;'5) Release_Track'!$G:$G,1,0))),vlookup($A574&amp;$B574,{'5) Release_Track'!$F:$F&amp;'5) Release_Track'!$G:$G,'5) Release_Track'!$I:$I},2,0), or(and(not(isblank($B574)),$B574=$B573,$A574&lt;&gt;$A573),and(not(isblank($A574)),$A574=$A573,$B574&lt;&gt;$B573)),"ID LISTS UNALIGNED",and($A574&lt;&gt;"",countif('5) Release_Track'!$F:$F,$A574)=0),"NO ISRC MATCH in Release_Track",and($B574&lt;&gt;"",countif('5) Release_Track'!$G:$G,$B574)=0),"NO CATALOG ID MATCH in Release_Track",iserror(vlookup($A574&amp;$B574,'5) Release_Track'!$F:$F&amp;'5) Release_Track'!$G:$G,1,0)),"NO ISRC-CATALOG ID pair MATCH in Release_Track" )</f>
        <v/>
      </c>
      <c r="E574" s="125" t="str">
        <f t="array" ref="E574">ifs(and(isblank($A574),isblank($B574)),"", not(iserror(vlookup($A574&amp;$B574,'5) Release_Track'!$F:$F&amp;'5) Release_Track'!$G:$G,1,0))),vlookup($A574&amp;$B574,{'5) Release_Track'!$F:$F&amp;'5) Release_Track'!$G:$G,'5) Release_Track'!$J:$J},2,0), or(and(not(isblank($B574)),$B574=$B573,$A574&lt;&gt;$A573),and(not(isblank($A574)),$A574=$A573,$B574&lt;&gt;$B573)),"ID LISTS UNALIGNED",and($A574&lt;&gt;"",countif('5) Release_Track'!$F:$F,$A574)=0),"NO ISRC MATCH in Release_Track",and($B574&lt;&gt;"",countif('5) Release_Track'!$G:$G,$B574)=0),"NO CATALOG ID MATCH in Release_Track",iserror(vlookup($A574&amp;$B574,'5) Release_Track'!$F:$F&amp;'5) Release_Track'!$G:$G,1,0)),"NO ISRC-CATALOG ID pair MATCH in Release_Track" )</f>
        <v/>
      </c>
      <c r="F574" s="122"/>
      <c r="G574" s="99"/>
      <c r="H574" s="178"/>
      <c r="I574" s="121" t="str">
        <f t="shared" si="6"/>
        <v/>
      </c>
      <c r="J574" s="99"/>
      <c r="K574" s="99"/>
    </row>
    <row r="575">
      <c r="B575" s="103"/>
      <c r="C575" s="121" t="str">
        <f t="array" ref="C575">ifs(and(isblank($A575),isblank($B575)),"", not(iserror(vlookup($A575&amp;$B575,'5) Release_Track'!$F:$F&amp;'5) Release_Track'!$G:$G,1,0))),vlookup($A575&amp;$B575,{'5) Release_Track'!$F:$F&amp;'5) Release_Track'!$G:$G,'5) Release_Track'!$H:$H},2,0), or(and(not(isblank($B575)),$B575=$B574,$A575&lt;&gt;$A574),and(not(isblank($A575)),$A575=$A574,$B575&lt;&gt;$B574)),"ID LISTS UNALIGNED",and($A575&lt;&gt;"",countif('5) Release_Track'!$F:$F,$A575)=0),"NO ISRC MATCH in Release_Track",and($B575&lt;&gt;"",countif('5) Release_Track'!$G:$G,$B575)=0),"NO CATALOG ID MATCH in Release_Track",iserror(vlookup($A575&amp;$B575,'5) Release_Track'!$F:$F&amp;'5) Release_Track'!$G:$G,1,0)),"NO ISRC-CATALOG ID pair MATCH in Release_Track" )</f>
        <v/>
      </c>
      <c r="D575" s="121" t="str">
        <f t="array" ref="D575">ifs(and(isblank($A575),isblank($B575)),"", not(iserror(vlookup($A575&amp;$B575,'5) Release_Track'!$F:$F&amp;'5) Release_Track'!$G:$G,1,0))),vlookup($A575&amp;$B575,{'5) Release_Track'!$F:$F&amp;'5) Release_Track'!$G:$G,'5) Release_Track'!$I:$I},2,0), or(and(not(isblank($B575)),$B575=$B574,$A575&lt;&gt;$A574),and(not(isblank($A575)),$A575=$A574,$B575&lt;&gt;$B574)),"ID LISTS UNALIGNED",and($A575&lt;&gt;"",countif('5) Release_Track'!$F:$F,$A575)=0),"NO ISRC MATCH in Release_Track",and($B575&lt;&gt;"",countif('5) Release_Track'!$G:$G,$B575)=0),"NO CATALOG ID MATCH in Release_Track",iserror(vlookup($A575&amp;$B575,'5) Release_Track'!$F:$F&amp;'5) Release_Track'!$G:$G,1,0)),"NO ISRC-CATALOG ID pair MATCH in Release_Track" )</f>
        <v/>
      </c>
      <c r="E575" s="125" t="str">
        <f t="array" ref="E575">ifs(and(isblank($A575),isblank($B575)),"", not(iserror(vlookup($A575&amp;$B575,'5) Release_Track'!$F:$F&amp;'5) Release_Track'!$G:$G,1,0))),vlookup($A575&amp;$B575,{'5) Release_Track'!$F:$F&amp;'5) Release_Track'!$G:$G,'5) Release_Track'!$J:$J},2,0), or(and(not(isblank($B575)),$B575=$B574,$A575&lt;&gt;$A574),and(not(isblank($A575)),$A575=$A574,$B575&lt;&gt;$B574)),"ID LISTS UNALIGNED",and($A575&lt;&gt;"",countif('5) Release_Track'!$F:$F,$A575)=0),"NO ISRC MATCH in Release_Track",and($B575&lt;&gt;"",countif('5) Release_Track'!$G:$G,$B575)=0),"NO CATALOG ID MATCH in Release_Track",iserror(vlookup($A575&amp;$B575,'5) Release_Track'!$F:$F&amp;'5) Release_Track'!$G:$G,1,0)),"NO ISRC-CATALOG ID pair MATCH in Release_Track" )</f>
        <v/>
      </c>
      <c r="F575" s="122"/>
      <c r="G575" s="99"/>
      <c r="H575" s="178"/>
      <c r="I575" s="121" t="str">
        <f t="shared" si="6"/>
        <v/>
      </c>
      <c r="J575" s="99"/>
      <c r="K575" s="99"/>
    </row>
    <row r="576">
      <c r="B576" s="103"/>
      <c r="C576" s="121" t="str">
        <f t="array" ref="C576">ifs(and(isblank($A576),isblank($B576)),"", not(iserror(vlookup($A576&amp;$B576,'5) Release_Track'!$F:$F&amp;'5) Release_Track'!$G:$G,1,0))),vlookup($A576&amp;$B576,{'5) Release_Track'!$F:$F&amp;'5) Release_Track'!$G:$G,'5) Release_Track'!$H:$H},2,0), or(and(not(isblank($B576)),$B576=$B575,$A576&lt;&gt;$A575),and(not(isblank($A576)),$A576=$A575,$B576&lt;&gt;$B575)),"ID LISTS UNALIGNED",and($A576&lt;&gt;"",countif('5) Release_Track'!$F:$F,$A576)=0),"NO ISRC MATCH in Release_Track",and($B576&lt;&gt;"",countif('5) Release_Track'!$G:$G,$B576)=0),"NO CATALOG ID MATCH in Release_Track",iserror(vlookup($A576&amp;$B576,'5) Release_Track'!$F:$F&amp;'5) Release_Track'!$G:$G,1,0)),"NO ISRC-CATALOG ID pair MATCH in Release_Track" )</f>
        <v/>
      </c>
      <c r="D576" s="121" t="str">
        <f t="array" ref="D576">ifs(and(isblank($A576),isblank($B576)),"", not(iserror(vlookup($A576&amp;$B576,'5) Release_Track'!$F:$F&amp;'5) Release_Track'!$G:$G,1,0))),vlookup($A576&amp;$B576,{'5) Release_Track'!$F:$F&amp;'5) Release_Track'!$G:$G,'5) Release_Track'!$I:$I},2,0), or(and(not(isblank($B576)),$B576=$B575,$A576&lt;&gt;$A575),and(not(isblank($A576)),$A576=$A575,$B576&lt;&gt;$B575)),"ID LISTS UNALIGNED",and($A576&lt;&gt;"",countif('5) Release_Track'!$F:$F,$A576)=0),"NO ISRC MATCH in Release_Track",and($B576&lt;&gt;"",countif('5) Release_Track'!$G:$G,$B576)=0),"NO CATALOG ID MATCH in Release_Track",iserror(vlookup($A576&amp;$B576,'5) Release_Track'!$F:$F&amp;'5) Release_Track'!$G:$G,1,0)),"NO ISRC-CATALOG ID pair MATCH in Release_Track" )</f>
        <v/>
      </c>
      <c r="E576" s="125" t="str">
        <f t="array" ref="E576">ifs(and(isblank($A576),isblank($B576)),"", not(iserror(vlookup($A576&amp;$B576,'5) Release_Track'!$F:$F&amp;'5) Release_Track'!$G:$G,1,0))),vlookup($A576&amp;$B576,{'5) Release_Track'!$F:$F&amp;'5) Release_Track'!$G:$G,'5) Release_Track'!$J:$J},2,0), or(and(not(isblank($B576)),$B576=$B575,$A576&lt;&gt;$A575),and(not(isblank($A576)),$A576=$A575,$B576&lt;&gt;$B575)),"ID LISTS UNALIGNED",and($A576&lt;&gt;"",countif('5) Release_Track'!$F:$F,$A576)=0),"NO ISRC MATCH in Release_Track",and($B576&lt;&gt;"",countif('5) Release_Track'!$G:$G,$B576)=0),"NO CATALOG ID MATCH in Release_Track",iserror(vlookup($A576&amp;$B576,'5) Release_Track'!$F:$F&amp;'5) Release_Track'!$G:$G,1,0)),"NO ISRC-CATALOG ID pair MATCH in Release_Track" )</f>
        <v/>
      </c>
      <c r="F576" s="122"/>
      <c r="G576" s="99"/>
      <c r="H576" s="178"/>
      <c r="I576" s="121" t="str">
        <f t="shared" si="6"/>
        <v/>
      </c>
      <c r="J576" s="99"/>
      <c r="K576" s="99"/>
    </row>
    <row r="577">
      <c r="B577" s="103"/>
      <c r="C577" s="121" t="str">
        <f t="array" ref="C577">ifs(and(isblank($A577),isblank($B577)),"", not(iserror(vlookup($A577&amp;$B577,'5) Release_Track'!$F:$F&amp;'5) Release_Track'!$G:$G,1,0))),vlookup($A577&amp;$B577,{'5) Release_Track'!$F:$F&amp;'5) Release_Track'!$G:$G,'5) Release_Track'!$H:$H},2,0), or(and(not(isblank($B577)),$B577=$B576,$A577&lt;&gt;$A576),and(not(isblank($A577)),$A577=$A576,$B577&lt;&gt;$B576)),"ID LISTS UNALIGNED",and($A577&lt;&gt;"",countif('5) Release_Track'!$F:$F,$A577)=0),"NO ISRC MATCH in Release_Track",and($B577&lt;&gt;"",countif('5) Release_Track'!$G:$G,$B577)=0),"NO CATALOG ID MATCH in Release_Track",iserror(vlookup($A577&amp;$B577,'5) Release_Track'!$F:$F&amp;'5) Release_Track'!$G:$G,1,0)),"NO ISRC-CATALOG ID pair MATCH in Release_Track" )</f>
        <v/>
      </c>
      <c r="D577" s="121" t="str">
        <f t="array" ref="D577">ifs(and(isblank($A577),isblank($B577)),"", not(iserror(vlookup($A577&amp;$B577,'5) Release_Track'!$F:$F&amp;'5) Release_Track'!$G:$G,1,0))),vlookup($A577&amp;$B577,{'5) Release_Track'!$F:$F&amp;'5) Release_Track'!$G:$G,'5) Release_Track'!$I:$I},2,0), or(and(not(isblank($B577)),$B577=$B576,$A577&lt;&gt;$A576),and(not(isblank($A577)),$A577=$A576,$B577&lt;&gt;$B576)),"ID LISTS UNALIGNED",and($A577&lt;&gt;"",countif('5) Release_Track'!$F:$F,$A577)=0),"NO ISRC MATCH in Release_Track",and($B577&lt;&gt;"",countif('5) Release_Track'!$G:$G,$B577)=0),"NO CATALOG ID MATCH in Release_Track",iserror(vlookup($A577&amp;$B577,'5) Release_Track'!$F:$F&amp;'5) Release_Track'!$G:$G,1,0)),"NO ISRC-CATALOG ID pair MATCH in Release_Track" )</f>
        <v/>
      </c>
      <c r="E577" s="125" t="str">
        <f t="array" ref="E577">ifs(and(isblank($A577),isblank($B577)),"", not(iserror(vlookup($A577&amp;$B577,'5) Release_Track'!$F:$F&amp;'5) Release_Track'!$G:$G,1,0))),vlookup($A577&amp;$B577,{'5) Release_Track'!$F:$F&amp;'5) Release_Track'!$G:$G,'5) Release_Track'!$J:$J},2,0), or(and(not(isblank($B577)),$B577=$B576,$A577&lt;&gt;$A576),and(not(isblank($A577)),$A577=$A576,$B577&lt;&gt;$B576)),"ID LISTS UNALIGNED",and($A577&lt;&gt;"",countif('5) Release_Track'!$F:$F,$A577)=0),"NO ISRC MATCH in Release_Track",and($B577&lt;&gt;"",countif('5) Release_Track'!$G:$G,$B577)=0),"NO CATALOG ID MATCH in Release_Track",iserror(vlookup($A577&amp;$B577,'5) Release_Track'!$F:$F&amp;'5) Release_Track'!$G:$G,1,0)),"NO ISRC-CATALOG ID pair MATCH in Release_Track" )</f>
        <v/>
      </c>
      <c r="F577" s="122"/>
      <c r="G577" s="99"/>
      <c r="H577" s="178"/>
      <c r="I577" s="121" t="str">
        <f t="shared" si="6"/>
        <v/>
      </c>
      <c r="J577" s="99"/>
      <c r="K577" s="99"/>
    </row>
    <row r="578">
      <c r="B578" s="103"/>
      <c r="C578" s="121" t="str">
        <f t="array" ref="C578">ifs(and(isblank($A578),isblank($B578)),"", not(iserror(vlookup($A578&amp;$B578,'5) Release_Track'!$F:$F&amp;'5) Release_Track'!$G:$G,1,0))),vlookup($A578&amp;$B578,{'5) Release_Track'!$F:$F&amp;'5) Release_Track'!$G:$G,'5) Release_Track'!$H:$H},2,0), or(and(not(isblank($B578)),$B578=$B577,$A578&lt;&gt;$A577),and(not(isblank($A578)),$A578=$A577,$B578&lt;&gt;$B577)),"ID LISTS UNALIGNED",and($A578&lt;&gt;"",countif('5) Release_Track'!$F:$F,$A578)=0),"NO ISRC MATCH in Release_Track",and($B578&lt;&gt;"",countif('5) Release_Track'!$G:$G,$B578)=0),"NO CATALOG ID MATCH in Release_Track",iserror(vlookup($A578&amp;$B578,'5) Release_Track'!$F:$F&amp;'5) Release_Track'!$G:$G,1,0)),"NO ISRC-CATALOG ID pair MATCH in Release_Track" )</f>
        <v/>
      </c>
      <c r="D578" s="121" t="str">
        <f t="array" ref="D578">ifs(and(isblank($A578),isblank($B578)),"", not(iserror(vlookup($A578&amp;$B578,'5) Release_Track'!$F:$F&amp;'5) Release_Track'!$G:$G,1,0))),vlookup($A578&amp;$B578,{'5) Release_Track'!$F:$F&amp;'5) Release_Track'!$G:$G,'5) Release_Track'!$I:$I},2,0), or(and(not(isblank($B578)),$B578=$B577,$A578&lt;&gt;$A577),and(not(isblank($A578)),$A578=$A577,$B578&lt;&gt;$B577)),"ID LISTS UNALIGNED",and($A578&lt;&gt;"",countif('5) Release_Track'!$F:$F,$A578)=0),"NO ISRC MATCH in Release_Track",and($B578&lt;&gt;"",countif('5) Release_Track'!$G:$G,$B578)=0),"NO CATALOG ID MATCH in Release_Track",iserror(vlookup($A578&amp;$B578,'5) Release_Track'!$F:$F&amp;'5) Release_Track'!$G:$G,1,0)),"NO ISRC-CATALOG ID pair MATCH in Release_Track" )</f>
        <v/>
      </c>
      <c r="E578" s="125" t="str">
        <f t="array" ref="E578">ifs(and(isblank($A578),isblank($B578)),"", not(iserror(vlookup($A578&amp;$B578,'5) Release_Track'!$F:$F&amp;'5) Release_Track'!$G:$G,1,0))),vlookup($A578&amp;$B578,{'5) Release_Track'!$F:$F&amp;'5) Release_Track'!$G:$G,'5) Release_Track'!$J:$J},2,0), or(and(not(isblank($B578)),$B578=$B577,$A578&lt;&gt;$A577),and(not(isblank($A578)),$A578=$A577,$B578&lt;&gt;$B577)),"ID LISTS UNALIGNED",and($A578&lt;&gt;"",countif('5) Release_Track'!$F:$F,$A578)=0),"NO ISRC MATCH in Release_Track",and($B578&lt;&gt;"",countif('5) Release_Track'!$G:$G,$B578)=0),"NO CATALOG ID MATCH in Release_Track",iserror(vlookup($A578&amp;$B578,'5) Release_Track'!$F:$F&amp;'5) Release_Track'!$G:$G,1,0)),"NO ISRC-CATALOG ID pair MATCH in Release_Track" )</f>
        <v/>
      </c>
      <c r="F578" s="122"/>
      <c r="G578" s="99"/>
      <c r="H578" s="178"/>
      <c r="I578" s="121" t="str">
        <f t="shared" si="6"/>
        <v/>
      </c>
      <c r="J578" s="99"/>
      <c r="K578" s="99"/>
    </row>
    <row r="579">
      <c r="B579" s="103"/>
      <c r="C579" s="121" t="str">
        <f t="array" ref="C579">ifs(and(isblank($A579),isblank($B579)),"", not(iserror(vlookup($A579&amp;$B579,'5) Release_Track'!$F:$F&amp;'5) Release_Track'!$G:$G,1,0))),vlookup($A579&amp;$B579,{'5) Release_Track'!$F:$F&amp;'5) Release_Track'!$G:$G,'5) Release_Track'!$H:$H},2,0), or(and(not(isblank($B579)),$B579=$B578,$A579&lt;&gt;$A578),and(not(isblank($A579)),$A579=$A578,$B579&lt;&gt;$B578)),"ID LISTS UNALIGNED",and($A579&lt;&gt;"",countif('5) Release_Track'!$F:$F,$A579)=0),"NO ISRC MATCH in Release_Track",and($B579&lt;&gt;"",countif('5) Release_Track'!$G:$G,$B579)=0),"NO CATALOG ID MATCH in Release_Track",iserror(vlookup($A579&amp;$B579,'5) Release_Track'!$F:$F&amp;'5) Release_Track'!$G:$G,1,0)),"NO ISRC-CATALOG ID pair MATCH in Release_Track" )</f>
        <v/>
      </c>
      <c r="D579" s="121" t="str">
        <f t="array" ref="D579">ifs(and(isblank($A579),isblank($B579)),"", not(iserror(vlookup($A579&amp;$B579,'5) Release_Track'!$F:$F&amp;'5) Release_Track'!$G:$G,1,0))),vlookup($A579&amp;$B579,{'5) Release_Track'!$F:$F&amp;'5) Release_Track'!$G:$G,'5) Release_Track'!$I:$I},2,0), or(and(not(isblank($B579)),$B579=$B578,$A579&lt;&gt;$A578),and(not(isblank($A579)),$A579=$A578,$B579&lt;&gt;$B578)),"ID LISTS UNALIGNED",and($A579&lt;&gt;"",countif('5) Release_Track'!$F:$F,$A579)=0),"NO ISRC MATCH in Release_Track",and($B579&lt;&gt;"",countif('5) Release_Track'!$G:$G,$B579)=0),"NO CATALOG ID MATCH in Release_Track",iserror(vlookup($A579&amp;$B579,'5) Release_Track'!$F:$F&amp;'5) Release_Track'!$G:$G,1,0)),"NO ISRC-CATALOG ID pair MATCH in Release_Track" )</f>
        <v/>
      </c>
      <c r="E579" s="125" t="str">
        <f t="array" ref="E579">ifs(and(isblank($A579),isblank($B579)),"", not(iserror(vlookup($A579&amp;$B579,'5) Release_Track'!$F:$F&amp;'5) Release_Track'!$G:$G,1,0))),vlookup($A579&amp;$B579,{'5) Release_Track'!$F:$F&amp;'5) Release_Track'!$G:$G,'5) Release_Track'!$J:$J},2,0), or(and(not(isblank($B579)),$B579=$B578,$A579&lt;&gt;$A578),and(not(isblank($A579)),$A579=$A578,$B579&lt;&gt;$B578)),"ID LISTS UNALIGNED",and($A579&lt;&gt;"",countif('5) Release_Track'!$F:$F,$A579)=0),"NO ISRC MATCH in Release_Track",and($B579&lt;&gt;"",countif('5) Release_Track'!$G:$G,$B579)=0),"NO CATALOG ID MATCH in Release_Track",iserror(vlookup($A579&amp;$B579,'5) Release_Track'!$F:$F&amp;'5) Release_Track'!$G:$G,1,0)),"NO ISRC-CATALOG ID pair MATCH in Release_Track" )</f>
        <v/>
      </c>
      <c r="F579" s="122"/>
      <c r="G579" s="99"/>
      <c r="H579" s="178"/>
      <c r="I579" s="121" t="str">
        <f t="shared" si="6"/>
        <v/>
      </c>
      <c r="J579" s="99"/>
      <c r="K579" s="99"/>
    </row>
    <row r="580">
      <c r="B580" s="103"/>
      <c r="C580" s="121" t="str">
        <f t="array" ref="C580">ifs(and(isblank($A580),isblank($B580)),"", not(iserror(vlookup($A580&amp;$B580,'5) Release_Track'!$F:$F&amp;'5) Release_Track'!$G:$G,1,0))),vlookup($A580&amp;$B580,{'5) Release_Track'!$F:$F&amp;'5) Release_Track'!$G:$G,'5) Release_Track'!$H:$H},2,0), or(and(not(isblank($B580)),$B580=$B579,$A580&lt;&gt;$A579),and(not(isblank($A580)),$A580=$A579,$B580&lt;&gt;$B579)),"ID LISTS UNALIGNED",and($A580&lt;&gt;"",countif('5) Release_Track'!$F:$F,$A580)=0),"NO ISRC MATCH in Release_Track",and($B580&lt;&gt;"",countif('5) Release_Track'!$G:$G,$B580)=0),"NO CATALOG ID MATCH in Release_Track",iserror(vlookup($A580&amp;$B580,'5) Release_Track'!$F:$F&amp;'5) Release_Track'!$G:$G,1,0)),"NO ISRC-CATALOG ID pair MATCH in Release_Track" )</f>
        <v/>
      </c>
      <c r="D580" s="121" t="str">
        <f t="array" ref="D580">ifs(and(isblank($A580),isblank($B580)),"", not(iserror(vlookup($A580&amp;$B580,'5) Release_Track'!$F:$F&amp;'5) Release_Track'!$G:$G,1,0))),vlookup($A580&amp;$B580,{'5) Release_Track'!$F:$F&amp;'5) Release_Track'!$G:$G,'5) Release_Track'!$I:$I},2,0), or(and(not(isblank($B580)),$B580=$B579,$A580&lt;&gt;$A579),and(not(isblank($A580)),$A580=$A579,$B580&lt;&gt;$B579)),"ID LISTS UNALIGNED",and($A580&lt;&gt;"",countif('5) Release_Track'!$F:$F,$A580)=0),"NO ISRC MATCH in Release_Track",and($B580&lt;&gt;"",countif('5) Release_Track'!$G:$G,$B580)=0),"NO CATALOG ID MATCH in Release_Track",iserror(vlookup($A580&amp;$B580,'5) Release_Track'!$F:$F&amp;'5) Release_Track'!$G:$G,1,0)),"NO ISRC-CATALOG ID pair MATCH in Release_Track" )</f>
        <v/>
      </c>
      <c r="E580" s="125" t="str">
        <f t="array" ref="E580">ifs(and(isblank($A580),isblank($B580)),"", not(iserror(vlookup($A580&amp;$B580,'5) Release_Track'!$F:$F&amp;'5) Release_Track'!$G:$G,1,0))),vlookup($A580&amp;$B580,{'5) Release_Track'!$F:$F&amp;'5) Release_Track'!$G:$G,'5) Release_Track'!$J:$J},2,0), or(and(not(isblank($B580)),$B580=$B579,$A580&lt;&gt;$A579),and(not(isblank($A580)),$A580=$A579,$B580&lt;&gt;$B579)),"ID LISTS UNALIGNED",and($A580&lt;&gt;"",countif('5) Release_Track'!$F:$F,$A580)=0),"NO ISRC MATCH in Release_Track",and($B580&lt;&gt;"",countif('5) Release_Track'!$G:$G,$B580)=0),"NO CATALOG ID MATCH in Release_Track",iserror(vlookup($A580&amp;$B580,'5) Release_Track'!$F:$F&amp;'5) Release_Track'!$G:$G,1,0)),"NO ISRC-CATALOG ID pair MATCH in Release_Track" )</f>
        <v/>
      </c>
      <c r="F580" s="122"/>
      <c r="G580" s="99"/>
      <c r="H580" s="178"/>
      <c r="I580" s="121" t="str">
        <f t="shared" si="6"/>
        <v/>
      </c>
      <c r="J580" s="99"/>
      <c r="K580" s="99"/>
    </row>
    <row r="581">
      <c r="B581" s="103"/>
      <c r="C581" s="121" t="str">
        <f t="array" ref="C581">ifs(and(isblank($A581),isblank($B581)),"", not(iserror(vlookup($A581&amp;$B581,'5) Release_Track'!$F:$F&amp;'5) Release_Track'!$G:$G,1,0))),vlookup($A581&amp;$B581,{'5) Release_Track'!$F:$F&amp;'5) Release_Track'!$G:$G,'5) Release_Track'!$H:$H},2,0), or(and(not(isblank($B581)),$B581=$B580,$A581&lt;&gt;$A580),and(not(isblank($A581)),$A581=$A580,$B581&lt;&gt;$B580)),"ID LISTS UNALIGNED",and($A581&lt;&gt;"",countif('5) Release_Track'!$F:$F,$A581)=0),"NO ISRC MATCH in Release_Track",and($B581&lt;&gt;"",countif('5) Release_Track'!$G:$G,$B581)=0),"NO CATALOG ID MATCH in Release_Track",iserror(vlookup($A581&amp;$B581,'5) Release_Track'!$F:$F&amp;'5) Release_Track'!$G:$G,1,0)),"NO ISRC-CATALOG ID pair MATCH in Release_Track" )</f>
        <v/>
      </c>
      <c r="D581" s="121" t="str">
        <f t="array" ref="D581">ifs(and(isblank($A581),isblank($B581)),"", not(iserror(vlookup($A581&amp;$B581,'5) Release_Track'!$F:$F&amp;'5) Release_Track'!$G:$G,1,0))),vlookup($A581&amp;$B581,{'5) Release_Track'!$F:$F&amp;'5) Release_Track'!$G:$G,'5) Release_Track'!$I:$I},2,0), or(and(not(isblank($B581)),$B581=$B580,$A581&lt;&gt;$A580),and(not(isblank($A581)),$A581=$A580,$B581&lt;&gt;$B580)),"ID LISTS UNALIGNED",and($A581&lt;&gt;"",countif('5) Release_Track'!$F:$F,$A581)=0),"NO ISRC MATCH in Release_Track",and($B581&lt;&gt;"",countif('5) Release_Track'!$G:$G,$B581)=0),"NO CATALOG ID MATCH in Release_Track",iserror(vlookup($A581&amp;$B581,'5) Release_Track'!$F:$F&amp;'5) Release_Track'!$G:$G,1,0)),"NO ISRC-CATALOG ID pair MATCH in Release_Track" )</f>
        <v/>
      </c>
      <c r="E581" s="125" t="str">
        <f t="array" ref="E581">ifs(and(isblank($A581),isblank($B581)),"", not(iserror(vlookup($A581&amp;$B581,'5) Release_Track'!$F:$F&amp;'5) Release_Track'!$G:$G,1,0))),vlookup($A581&amp;$B581,{'5) Release_Track'!$F:$F&amp;'5) Release_Track'!$G:$G,'5) Release_Track'!$J:$J},2,0), or(and(not(isblank($B581)),$B581=$B580,$A581&lt;&gt;$A580),and(not(isblank($A581)),$A581=$A580,$B581&lt;&gt;$B580)),"ID LISTS UNALIGNED",and($A581&lt;&gt;"",countif('5) Release_Track'!$F:$F,$A581)=0),"NO ISRC MATCH in Release_Track",and($B581&lt;&gt;"",countif('5) Release_Track'!$G:$G,$B581)=0),"NO CATALOG ID MATCH in Release_Track",iserror(vlookup($A581&amp;$B581,'5) Release_Track'!$F:$F&amp;'5) Release_Track'!$G:$G,1,0)),"NO ISRC-CATALOG ID pair MATCH in Release_Track" )</f>
        <v/>
      </c>
      <c r="F581" s="122"/>
      <c r="G581" s="99"/>
      <c r="H581" s="178"/>
      <c r="I581" s="121" t="str">
        <f t="shared" si="6"/>
        <v/>
      </c>
      <c r="J581" s="99"/>
      <c r="K581" s="99"/>
    </row>
    <row r="582">
      <c r="B582" s="103"/>
      <c r="C582" s="121" t="str">
        <f t="array" ref="C582">ifs(and(isblank($A582),isblank($B582)),"", not(iserror(vlookup($A582&amp;$B582,'5) Release_Track'!$F:$F&amp;'5) Release_Track'!$G:$G,1,0))),vlookup($A582&amp;$B582,{'5) Release_Track'!$F:$F&amp;'5) Release_Track'!$G:$G,'5) Release_Track'!$H:$H},2,0), or(and(not(isblank($B582)),$B582=$B581,$A582&lt;&gt;$A581),and(not(isblank($A582)),$A582=$A581,$B582&lt;&gt;$B581)),"ID LISTS UNALIGNED",and($A582&lt;&gt;"",countif('5) Release_Track'!$F:$F,$A582)=0),"NO ISRC MATCH in Release_Track",and($B582&lt;&gt;"",countif('5) Release_Track'!$G:$G,$B582)=0),"NO CATALOG ID MATCH in Release_Track",iserror(vlookup($A582&amp;$B582,'5) Release_Track'!$F:$F&amp;'5) Release_Track'!$G:$G,1,0)),"NO ISRC-CATALOG ID pair MATCH in Release_Track" )</f>
        <v/>
      </c>
      <c r="D582" s="121" t="str">
        <f t="array" ref="D582">ifs(and(isblank($A582),isblank($B582)),"", not(iserror(vlookup($A582&amp;$B582,'5) Release_Track'!$F:$F&amp;'5) Release_Track'!$G:$G,1,0))),vlookup($A582&amp;$B582,{'5) Release_Track'!$F:$F&amp;'5) Release_Track'!$G:$G,'5) Release_Track'!$I:$I},2,0), or(and(not(isblank($B582)),$B582=$B581,$A582&lt;&gt;$A581),and(not(isblank($A582)),$A582=$A581,$B582&lt;&gt;$B581)),"ID LISTS UNALIGNED",and($A582&lt;&gt;"",countif('5) Release_Track'!$F:$F,$A582)=0),"NO ISRC MATCH in Release_Track",and($B582&lt;&gt;"",countif('5) Release_Track'!$G:$G,$B582)=0),"NO CATALOG ID MATCH in Release_Track",iserror(vlookup($A582&amp;$B582,'5) Release_Track'!$F:$F&amp;'5) Release_Track'!$G:$G,1,0)),"NO ISRC-CATALOG ID pair MATCH in Release_Track" )</f>
        <v/>
      </c>
      <c r="E582" s="125" t="str">
        <f t="array" ref="E582">ifs(and(isblank($A582),isblank($B582)),"", not(iserror(vlookup($A582&amp;$B582,'5) Release_Track'!$F:$F&amp;'5) Release_Track'!$G:$G,1,0))),vlookup($A582&amp;$B582,{'5) Release_Track'!$F:$F&amp;'5) Release_Track'!$G:$G,'5) Release_Track'!$J:$J},2,0), or(and(not(isblank($B582)),$B582=$B581,$A582&lt;&gt;$A581),and(not(isblank($A582)),$A582=$A581,$B582&lt;&gt;$B581)),"ID LISTS UNALIGNED",and($A582&lt;&gt;"",countif('5) Release_Track'!$F:$F,$A582)=0),"NO ISRC MATCH in Release_Track",and($B582&lt;&gt;"",countif('5) Release_Track'!$G:$G,$B582)=0),"NO CATALOG ID MATCH in Release_Track",iserror(vlookup($A582&amp;$B582,'5) Release_Track'!$F:$F&amp;'5) Release_Track'!$G:$G,1,0)),"NO ISRC-CATALOG ID pair MATCH in Release_Track" )</f>
        <v/>
      </c>
      <c r="F582" s="122"/>
      <c r="G582" s="99"/>
      <c r="H582" s="178"/>
      <c r="I582" s="121" t="str">
        <f t="shared" si="6"/>
        <v/>
      </c>
      <c r="J582" s="99"/>
      <c r="K582" s="99"/>
    </row>
    <row r="583">
      <c r="B583" s="103"/>
      <c r="C583" s="121" t="str">
        <f t="array" ref="C583">ifs(and(isblank($A583),isblank($B583)),"", not(iserror(vlookup($A583&amp;$B583,'5) Release_Track'!$F:$F&amp;'5) Release_Track'!$G:$G,1,0))),vlookup($A583&amp;$B583,{'5) Release_Track'!$F:$F&amp;'5) Release_Track'!$G:$G,'5) Release_Track'!$H:$H},2,0), or(and(not(isblank($B583)),$B583=$B582,$A583&lt;&gt;$A582),and(not(isblank($A583)),$A583=$A582,$B583&lt;&gt;$B582)),"ID LISTS UNALIGNED",and($A583&lt;&gt;"",countif('5) Release_Track'!$F:$F,$A583)=0),"NO ISRC MATCH in Release_Track",and($B583&lt;&gt;"",countif('5) Release_Track'!$G:$G,$B583)=0),"NO CATALOG ID MATCH in Release_Track",iserror(vlookup($A583&amp;$B583,'5) Release_Track'!$F:$F&amp;'5) Release_Track'!$G:$G,1,0)),"NO ISRC-CATALOG ID pair MATCH in Release_Track" )</f>
        <v/>
      </c>
      <c r="D583" s="121" t="str">
        <f t="array" ref="D583">ifs(and(isblank($A583),isblank($B583)),"", not(iserror(vlookup($A583&amp;$B583,'5) Release_Track'!$F:$F&amp;'5) Release_Track'!$G:$G,1,0))),vlookup($A583&amp;$B583,{'5) Release_Track'!$F:$F&amp;'5) Release_Track'!$G:$G,'5) Release_Track'!$I:$I},2,0), or(and(not(isblank($B583)),$B583=$B582,$A583&lt;&gt;$A582),and(not(isblank($A583)),$A583=$A582,$B583&lt;&gt;$B582)),"ID LISTS UNALIGNED",and($A583&lt;&gt;"",countif('5) Release_Track'!$F:$F,$A583)=0),"NO ISRC MATCH in Release_Track",and($B583&lt;&gt;"",countif('5) Release_Track'!$G:$G,$B583)=0),"NO CATALOG ID MATCH in Release_Track",iserror(vlookup($A583&amp;$B583,'5) Release_Track'!$F:$F&amp;'5) Release_Track'!$G:$G,1,0)),"NO ISRC-CATALOG ID pair MATCH in Release_Track" )</f>
        <v/>
      </c>
      <c r="E583" s="125" t="str">
        <f t="array" ref="E583">ifs(and(isblank($A583),isblank($B583)),"", not(iserror(vlookup($A583&amp;$B583,'5) Release_Track'!$F:$F&amp;'5) Release_Track'!$G:$G,1,0))),vlookup($A583&amp;$B583,{'5) Release_Track'!$F:$F&amp;'5) Release_Track'!$G:$G,'5) Release_Track'!$J:$J},2,0), or(and(not(isblank($B583)),$B583=$B582,$A583&lt;&gt;$A582),and(not(isblank($A583)),$A583=$A582,$B583&lt;&gt;$B582)),"ID LISTS UNALIGNED",and($A583&lt;&gt;"",countif('5) Release_Track'!$F:$F,$A583)=0),"NO ISRC MATCH in Release_Track",and($B583&lt;&gt;"",countif('5) Release_Track'!$G:$G,$B583)=0),"NO CATALOG ID MATCH in Release_Track",iserror(vlookup($A583&amp;$B583,'5) Release_Track'!$F:$F&amp;'5) Release_Track'!$G:$G,1,0)),"NO ISRC-CATALOG ID pair MATCH in Release_Track" )</f>
        <v/>
      </c>
      <c r="F583" s="122"/>
      <c r="G583" s="99"/>
      <c r="H583" s="178"/>
      <c r="I583" s="121" t="str">
        <f t="shared" si="6"/>
        <v/>
      </c>
      <c r="J583" s="99"/>
      <c r="K583" s="99"/>
    </row>
    <row r="584">
      <c r="B584" s="103"/>
      <c r="C584" s="121" t="str">
        <f t="array" ref="C584">ifs(and(isblank($A584),isblank($B584)),"", not(iserror(vlookup($A584&amp;$B584,'5) Release_Track'!$F:$F&amp;'5) Release_Track'!$G:$G,1,0))),vlookup($A584&amp;$B584,{'5) Release_Track'!$F:$F&amp;'5) Release_Track'!$G:$G,'5) Release_Track'!$H:$H},2,0), or(and(not(isblank($B584)),$B584=$B583,$A584&lt;&gt;$A583),and(not(isblank($A584)),$A584=$A583,$B584&lt;&gt;$B583)),"ID LISTS UNALIGNED",and($A584&lt;&gt;"",countif('5) Release_Track'!$F:$F,$A584)=0),"NO ISRC MATCH in Release_Track",and($B584&lt;&gt;"",countif('5) Release_Track'!$G:$G,$B584)=0),"NO CATALOG ID MATCH in Release_Track",iserror(vlookup($A584&amp;$B584,'5) Release_Track'!$F:$F&amp;'5) Release_Track'!$G:$G,1,0)),"NO ISRC-CATALOG ID pair MATCH in Release_Track" )</f>
        <v/>
      </c>
      <c r="D584" s="121" t="str">
        <f t="array" ref="D584">ifs(and(isblank($A584),isblank($B584)),"", not(iserror(vlookup($A584&amp;$B584,'5) Release_Track'!$F:$F&amp;'5) Release_Track'!$G:$G,1,0))),vlookup($A584&amp;$B584,{'5) Release_Track'!$F:$F&amp;'5) Release_Track'!$G:$G,'5) Release_Track'!$I:$I},2,0), or(and(not(isblank($B584)),$B584=$B583,$A584&lt;&gt;$A583),and(not(isblank($A584)),$A584=$A583,$B584&lt;&gt;$B583)),"ID LISTS UNALIGNED",and($A584&lt;&gt;"",countif('5) Release_Track'!$F:$F,$A584)=0),"NO ISRC MATCH in Release_Track",and($B584&lt;&gt;"",countif('5) Release_Track'!$G:$G,$B584)=0),"NO CATALOG ID MATCH in Release_Track",iserror(vlookup($A584&amp;$B584,'5) Release_Track'!$F:$F&amp;'5) Release_Track'!$G:$G,1,0)),"NO ISRC-CATALOG ID pair MATCH in Release_Track" )</f>
        <v/>
      </c>
      <c r="E584" s="125" t="str">
        <f t="array" ref="E584">ifs(and(isblank($A584),isblank($B584)),"", not(iserror(vlookup($A584&amp;$B584,'5) Release_Track'!$F:$F&amp;'5) Release_Track'!$G:$G,1,0))),vlookup($A584&amp;$B584,{'5) Release_Track'!$F:$F&amp;'5) Release_Track'!$G:$G,'5) Release_Track'!$J:$J},2,0), or(and(not(isblank($B584)),$B584=$B583,$A584&lt;&gt;$A583),and(not(isblank($A584)),$A584=$A583,$B584&lt;&gt;$B583)),"ID LISTS UNALIGNED",and($A584&lt;&gt;"",countif('5) Release_Track'!$F:$F,$A584)=0),"NO ISRC MATCH in Release_Track",and($B584&lt;&gt;"",countif('5) Release_Track'!$G:$G,$B584)=0),"NO CATALOG ID MATCH in Release_Track",iserror(vlookup($A584&amp;$B584,'5) Release_Track'!$F:$F&amp;'5) Release_Track'!$G:$G,1,0)),"NO ISRC-CATALOG ID pair MATCH in Release_Track" )</f>
        <v/>
      </c>
      <c r="F584" s="122"/>
      <c r="G584" s="99"/>
      <c r="H584" s="178"/>
      <c r="I584" s="121" t="str">
        <f t="shared" si="6"/>
        <v/>
      </c>
      <c r="J584" s="99"/>
      <c r="K584" s="99"/>
    </row>
    <row r="585">
      <c r="B585" s="103"/>
      <c r="C585" s="121" t="str">
        <f t="array" ref="C585">ifs(and(isblank($A585),isblank($B585)),"", not(iserror(vlookup($A585&amp;$B585,'5) Release_Track'!$F:$F&amp;'5) Release_Track'!$G:$G,1,0))),vlookup($A585&amp;$B585,{'5) Release_Track'!$F:$F&amp;'5) Release_Track'!$G:$G,'5) Release_Track'!$H:$H},2,0), or(and(not(isblank($B585)),$B585=$B584,$A585&lt;&gt;$A584),and(not(isblank($A585)),$A585=$A584,$B585&lt;&gt;$B584)),"ID LISTS UNALIGNED",and($A585&lt;&gt;"",countif('5) Release_Track'!$F:$F,$A585)=0),"NO ISRC MATCH in Release_Track",and($B585&lt;&gt;"",countif('5) Release_Track'!$G:$G,$B585)=0),"NO CATALOG ID MATCH in Release_Track",iserror(vlookup($A585&amp;$B585,'5) Release_Track'!$F:$F&amp;'5) Release_Track'!$G:$G,1,0)),"NO ISRC-CATALOG ID pair MATCH in Release_Track" )</f>
        <v/>
      </c>
      <c r="D585" s="121" t="str">
        <f t="array" ref="D585">ifs(and(isblank($A585),isblank($B585)),"", not(iserror(vlookup($A585&amp;$B585,'5) Release_Track'!$F:$F&amp;'5) Release_Track'!$G:$G,1,0))),vlookup($A585&amp;$B585,{'5) Release_Track'!$F:$F&amp;'5) Release_Track'!$G:$G,'5) Release_Track'!$I:$I},2,0), or(and(not(isblank($B585)),$B585=$B584,$A585&lt;&gt;$A584),and(not(isblank($A585)),$A585=$A584,$B585&lt;&gt;$B584)),"ID LISTS UNALIGNED",and($A585&lt;&gt;"",countif('5) Release_Track'!$F:$F,$A585)=0),"NO ISRC MATCH in Release_Track",and($B585&lt;&gt;"",countif('5) Release_Track'!$G:$G,$B585)=0),"NO CATALOG ID MATCH in Release_Track",iserror(vlookup($A585&amp;$B585,'5) Release_Track'!$F:$F&amp;'5) Release_Track'!$G:$G,1,0)),"NO ISRC-CATALOG ID pair MATCH in Release_Track" )</f>
        <v/>
      </c>
      <c r="E585" s="125" t="str">
        <f t="array" ref="E585">ifs(and(isblank($A585),isblank($B585)),"", not(iserror(vlookup($A585&amp;$B585,'5) Release_Track'!$F:$F&amp;'5) Release_Track'!$G:$G,1,0))),vlookup($A585&amp;$B585,{'5) Release_Track'!$F:$F&amp;'5) Release_Track'!$G:$G,'5) Release_Track'!$J:$J},2,0), or(and(not(isblank($B585)),$B585=$B584,$A585&lt;&gt;$A584),and(not(isblank($A585)),$A585=$A584,$B585&lt;&gt;$B584)),"ID LISTS UNALIGNED",and($A585&lt;&gt;"",countif('5) Release_Track'!$F:$F,$A585)=0),"NO ISRC MATCH in Release_Track",and($B585&lt;&gt;"",countif('5) Release_Track'!$G:$G,$B585)=0),"NO CATALOG ID MATCH in Release_Track",iserror(vlookup($A585&amp;$B585,'5) Release_Track'!$F:$F&amp;'5) Release_Track'!$G:$G,1,0)),"NO ISRC-CATALOG ID pair MATCH in Release_Track" )</f>
        <v/>
      </c>
      <c r="F585" s="122"/>
      <c r="G585" s="99"/>
      <c r="H585" s="178"/>
      <c r="I585" s="121" t="str">
        <f t="shared" si="6"/>
        <v/>
      </c>
      <c r="J585" s="99"/>
      <c r="K585" s="99"/>
    </row>
    <row r="586">
      <c r="B586" s="103"/>
      <c r="C586" s="121" t="str">
        <f t="array" ref="C586">ifs(and(isblank($A586),isblank($B586)),"", not(iserror(vlookup($A586&amp;$B586,'5) Release_Track'!$F:$F&amp;'5) Release_Track'!$G:$G,1,0))),vlookup($A586&amp;$B586,{'5) Release_Track'!$F:$F&amp;'5) Release_Track'!$G:$G,'5) Release_Track'!$H:$H},2,0), or(and(not(isblank($B586)),$B586=$B585,$A586&lt;&gt;$A585),and(not(isblank($A586)),$A586=$A585,$B586&lt;&gt;$B585)),"ID LISTS UNALIGNED",and($A586&lt;&gt;"",countif('5) Release_Track'!$F:$F,$A586)=0),"NO ISRC MATCH in Release_Track",and($B586&lt;&gt;"",countif('5) Release_Track'!$G:$G,$B586)=0),"NO CATALOG ID MATCH in Release_Track",iserror(vlookup($A586&amp;$B586,'5) Release_Track'!$F:$F&amp;'5) Release_Track'!$G:$G,1,0)),"NO ISRC-CATALOG ID pair MATCH in Release_Track" )</f>
        <v/>
      </c>
      <c r="D586" s="121" t="str">
        <f t="array" ref="D586">ifs(and(isblank($A586),isblank($B586)),"", not(iserror(vlookup($A586&amp;$B586,'5) Release_Track'!$F:$F&amp;'5) Release_Track'!$G:$G,1,0))),vlookup($A586&amp;$B586,{'5) Release_Track'!$F:$F&amp;'5) Release_Track'!$G:$G,'5) Release_Track'!$I:$I},2,0), or(and(not(isblank($B586)),$B586=$B585,$A586&lt;&gt;$A585),and(not(isblank($A586)),$A586=$A585,$B586&lt;&gt;$B585)),"ID LISTS UNALIGNED",and($A586&lt;&gt;"",countif('5) Release_Track'!$F:$F,$A586)=0),"NO ISRC MATCH in Release_Track",and($B586&lt;&gt;"",countif('5) Release_Track'!$G:$G,$B586)=0),"NO CATALOG ID MATCH in Release_Track",iserror(vlookup($A586&amp;$B586,'5) Release_Track'!$F:$F&amp;'5) Release_Track'!$G:$G,1,0)),"NO ISRC-CATALOG ID pair MATCH in Release_Track" )</f>
        <v/>
      </c>
      <c r="E586" s="125" t="str">
        <f t="array" ref="E586">ifs(and(isblank($A586),isblank($B586)),"", not(iserror(vlookup($A586&amp;$B586,'5) Release_Track'!$F:$F&amp;'5) Release_Track'!$G:$G,1,0))),vlookup($A586&amp;$B586,{'5) Release_Track'!$F:$F&amp;'5) Release_Track'!$G:$G,'5) Release_Track'!$J:$J},2,0), or(and(not(isblank($B586)),$B586=$B585,$A586&lt;&gt;$A585),and(not(isblank($A586)),$A586=$A585,$B586&lt;&gt;$B585)),"ID LISTS UNALIGNED",and($A586&lt;&gt;"",countif('5) Release_Track'!$F:$F,$A586)=0),"NO ISRC MATCH in Release_Track",and($B586&lt;&gt;"",countif('5) Release_Track'!$G:$G,$B586)=0),"NO CATALOG ID MATCH in Release_Track",iserror(vlookup($A586&amp;$B586,'5) Release_Track'!$F:$F&amp;'5) Release_Track'!$G:$G,1,0)),"NO ISRC-CATALOG ID pair MATCH in Release_Track" )</f>
        <v/>
      </c>
      <c r="F586" s="122"/>
      <c r="G586" s="99"/>
      <c r="H586" s="178"/>
      <c r="I586" s="121" t="str">
        <f t="shared" si="6"/>
        <v/>
      </c>
      <c r="J586" s="99"/>
      <c r="K586" s="99"/>
    </row>
    <row r="587">
      <c r="B587" s="103"/>
      <c r="C587" s="121" t="str">
        <f t="array" ref="C587">ifs(and(isblank($A587),isblank($B587)),"", not(iserror(vlookup($A587&amp;$B587,'5) Release_Track'!$F:$F&amp;'5) Release_Track'!$G:$G,1,0))),vlookup($A587&amp;$B587,{'5) Release_Track'!$F:$F&amp;'5) Release_Track'!$G:$G,'5) Release_Track'!$H:$H},2,0), or(and(not(isblank($B587)),$B587=$B586,$A587&lt;&gt;$A586),and(not(isblank($A587)),$A587=$A586,$B587&lt;&gt;$B586)),"ID LISTS UNALIGNED",and($A587&lt;&gt;"",countif('5) Release_Track'!$F:$F,$A587)=0),"NO ISRC MATCH in Release_Track",and($B587&lt;&gt;"",countif('5) Release_Track'!$G:$G,$B587)=0),"NO CATALOG ID MATCH in Release_Track",iserror(vlookup($A587&amp;$B587,'5) Release_Track'!$F:$F&amp;'5) Release_Track'!$G:$G,1,0)),"NO ISRC-CATALOG ID pair MATCH in Release_Track" )</f>
        <v/>
      </c>
      <c r="D587" s="121" t="str">
        <f t="array" ref="D587">ifs(and(isblank($A587),isblank($B587)),"", not(iserror(vlookup($A587&amp;$B587,'5) Release_Track'!$F:$F&amp;'5) Release_Track'!$G:$G,1,0))),vlookup($A587&amp;$B587,{'5) Release_Track'!$F:$F&amp;'5) Release_Track'!$G:$G,'5) Release_Track'!$I:$I},2,0), or(and(not(isblank($B587)),$B587=$B586,$A587&lt;&gt;$A586),and(not(isblank($A587)),$A587=$A586,$B587&lt;&gt;$B586)),"ID LISTS UNALIGNED",and($A587&lt;&gt;"",countif('5) Release_Track'!$F:$F,$A587)=0),"NO ISRC MATCH in Release_Track",and($B587&lt;&gt;"",countif('5) Release_Track'!$G:$G,$B587)=0),"NO CATALOG ID MATCH in Release_Track",iserror(vlookup($A587&amp;$B587,'5) Release_Track'!$F:$F&amp;'5) Release_Track'!$G:$G,1,0)),"NO ISRC-CATALOG ID pair MATCH in Release_Track" )</f>
        <v/>
      </c>
      <c r="E587" s="125" t="str">
        <f t="array" ref="E587">ifs(and(isblank($A587),isblank($B587)),"", not(iserror(vlookup($A587&amp;$B587,'5) Release_Track'!$F:$F&amp;'5) Release_Track'!$G:$G,1,0))),vlookup($A587&amp;$B587,{'5) Release_Track'!$F:$F&amp;'5) Release_Track'!$G:$G,'5) Release_Track'!$J:$J},2,0), or(and(not(isblank($B587)),$B587=$B586,$A587&lt;&gt;$A586),and(not(isblank($A587)),$A587=$A586,$B587&lt;&gt;$B586)),"ID LISTS UNALIGNED",and($A587&lt;&gt;"",countif('5) Release_Track'!$F:$F,$A587)=0),"NO ISRC MATCH in Release_Track",and($B587&lt;&gt;"",countif('5) Release_Track'!$G:$G,$B587)=0),"NO CATALOG ID MATCH in Release_Track",iserror(vlookup($A587&amp;$B587,'5) Release_Track'!$F:$F&amp;'5) Release_Track'!$G:$G,1,0)),"NO ISRC-CATALOG ID pair MATCH in Release_Track" )</f>
        <v/>
      </c>
      <c r="F587" s="122"/>
      <c r="G587" s="99"/>
      <c r="H587" s="178"/>
      <c r="I587" s="121" t="str">
        <f t="shared" si="6"/>
        <v/>
      </c>
      <c r="J587" s="99"/>
      <c r="K587" s="99"/>
    </row>
    <row r="588">
      <c r="B588" s="103"/>
      <c r="C588" s="121" t="str">
        <f t="array" ref="C588">ifs(and(isblank($A588),isblank($B588)),"", not(iserror(vlookup($A588&amp;$B588,'5) Release_Track'!$F:$F&amp;'5) Release_Track'!$G:$G,1,0))),vlookup($A588&amp;$B588,{'5) Release_Track'!$F:$F&amp;'5) Release_Track'!$G:$G,'5) Release_Track'!$H:$H},2,0), or(and(not(isblank($B588)),$B588=$B587,$A588&lt;&gt;$A587),and(not(isblank($A588)),$A588=$A587,$B588&lt;&gt;$B587)),"ID LISTS UNALIGNED",and($A588&lt;&gt;"",countif('5) Release_Track'!$F:$F,$A588)=0),"NO ISRC MATCH in Release_Track",and($B588&lt;&gt;"",countif('5) Release_Track'!$G:$G,$B588)=0),"NO CATALOG ID MATCH in Release_Track",iserror(vlookup($A588&amp;$B588,'5) Release_Track'!$F:$F&amp;'5) Release_Track'!$G:$G,1,0)),"NO ISRC-CATALOG ID pair MATCH in Release_Track" )</f>
        <v/>
      </c>
      <c r="D588" s="121" t="str">
        <f t="array" ref="D588">ifs(and(isblank($A588),isblank($B588)),"", not(iserror(vlookup($A588&amp;$B588,'5) Release_Track'!$F:$F&amp;'5) Release_Track'!$G:$G,1,0))),vlookup($A588&amp;$B588,{'5) Release_Track'!$F:$F&amp;'5) Release_Track'!$G:$G,'5) Release_Track'!$I:$I},2,0), or(and(not(isblank($B588)),$B588=$B587,$A588&lt;&gt;$A587),and(not(isblank($A588)),$A588=$A587,$B588&lt;&gt;$B587)),"ID LISTS UNALIGNED",and($A588&lt;&gt;"",countif('5) Release_Track'!$F:$F,$A588)=0),"NO ISRC MATCH in Release_Track",and($B588&lt;&gt;"",countif('5) Release_Track'!$G:$G,$B588)=0),"NO CATALOG ID MATCH in Release_Track",iserror(vlookup($A588&amp;$B588,'5) Release_Track'!$F:$F&amp;'5) Release_Track'!$G:$G,1,0)),"NO ISRC-CATALOG ID pair MATCH in Release_Track" )</f>
        <v/>
      </c>
      <c r="E588" s="125" t="str">
        <f t="array" ref="E588">ifs(and(isblank($A588),isblank($B588)),"", not(iserror(vlookup($A588&amp;$B588,'5) Release_Track'!$F:$F&amp;'5) Release_Track'!$G:$G,1,0))),vlookup($A588&amp;$B588,{'5) Release_Track'!$F:$F&amp;'5) Release_Track'!$G:$G,'5) Release_Track'!$J:$J},2,0), or(and(not(isblank($B588)),$B588=$B587,$A588&lt;&gt;$A587),and(not(isblank($A588)),$A588=$A587,$B588&lt;&gt;$B587)),"ID LISTS UNALIGNED",and($A588&lt;&gt;"",countif('5) Release_Track'!$F:$F,$A588)=0),"NO ISRC MATCH in Release_Track",and($B588&lt;&gt;"",countif('5) Release_Track'!$G:$G,$B588)=0),"NO CATALOG ID MATCH in Release_Track",iserror(vlookup($A588&amp;$B588,'5) Release_Track'!$F:$F&amp;'5) Release_Track'!$G:$G,1,0)),"NO ISRC-CATALOG ID pair MATCH in Release_Track" )</f>
        <v/>
      </c>
      <c r="F588" s="122"/>
      <c r="G588" s="99"/>
      <c r="H588" s="178"/>
      <c r="I588" s="121" t="str">
        <f t="shared" si="6"/>
        <v/>
      </c>
      <c r="J588" s="99"/>
      <c r="K588" s="99"/>
    </row>
    <row r="589">
      <c r="B589" s="103"/>
      <c r="C589" s="121" t="str">
        <f t="array" ref="C589">ifs(and(isblank($A589),isblank($B589)),"", not(iserror(vlookup($A589&amp;$B589,'5) Release_Track'!$F:$F&amp;'5) Release_Track'!$G:$G,1,0))),vlookup($A589&amp;$B589,{'5) Release_Track'!$F:$F&amp;'5) Release_Track'!$G:$G,'5) Release_Track'!$H:$H},2,0), or(and(not(isblank($B589)),$B589=$B588,$A589&lt;&gt;$A588),and(not(isblank($A589)),$A589=$A588,$B589&lt;&gt;$B588)),"ID LISTS UNALIGNED",and($A589&lt;&gt;"",countif('5) Release_Track'!$F:$F,$A589)=0),"NO ISRC MATCH in Release_Track",and($B589&lt;&gt;"",countif('5) Release_Track'!$G:$G,$B589)=0),"NO CATALOG ID MATCH in Release_Track",iserror(vlookup($A589&amp;$B589,'5) Release_Track'!$F:$F&amp;'5) Release_Track'!$G:$G,1,0)),"NO ISRC-CATALOG ID pair MATCH in Release_Track" )</f>
        <v/>
      </c>
      <c r="D589" s="121" t="str">
        <f t="array" ref="D589">ifs(and(isblank($A589),isblank($B589)),"", not(iserror(vlookup($A589&amp;$B589,'5) Release_Track'!$F:$F&amp;'5) Release_Track'!$G:$G,1,0))),vlookup($A589&amp;$B589,{'5) Release_Track'!$F:$F&amp;'5) Release_Track'!$G:$G,'5) Release_Track'!$I:$I},2,0), or(and(not(isblank($B589)),$B589=$B588,$A589&lt;&gt;$A588),and(not(isblank($A589)),$A589=$A588,$B589&lt;&gt;$B588)),"ID LISTS UNALIGNED",and($A589&lt;&gt;"",countif('5) Release_Track'!$F:$F,$A589)=0),"NO ISRC MATCH in Release_Track",and($B589&lt;&gt;"",countif('5) Release_Track'!$G:$G,$B589)=0),"NO CATALOG ID MATCH in Release_Track",iserror(vlookup($A589&amp;$B589,'5) Release_Track'!$F:$F&amp;'5) Release_Track'!$G:$G,1,0)),"NO ISRC-CATALOG ID pair MATCH in Release_Track" )</f>
        <v/>
      </c>
      <c r="E589" s="125" t="str">
        <f t="array" ref="E589">ifs(and(isblank($A589),isblank($B589)),"", not(iserror(vlookup($A589&amp;$B589,'5) Release_Track'!$F:$F&amp;'5) Release_Track'!$G:$G,1,0))),vlookup($A589&amp;$B589,{'5) Release_Track'!$F:$F&amp;'5) Release_Track'!$G:$G,'5) Release_Track'!$J:$J},2,0), or(and(not(isblank($B589)),$B589=$B588,$A589&lt;&gt;$A588),and(not(isblank($A589)),$A589=$A588,$B589&lt;&gt;$B588)),"ID LISTS UNALIGNED",and($A589&lt;&gt;"",countif('5) Release_Track'!$F:$F,$A589)=0),"NO ISRC MATCH in Release_Track",and($B589&lt;&gt;"",countif('5) Release_Track'!$G:$G,$B589)=0),"NO CATALOG ID MATCH in Release_Track",iserror(vlookup($A589&amp;$B589,'5) Release_Track'!$F:$F&amp;'5) Release_Track'!$G:$G,1,0)),"NO ISRC-CATALOG ID pair MATCH in Release_Track" )</f>
        <v/>
      </c>
      <c r="F589" s="122"/>
      <c r="G589" s="99"/>
      <c r="H589" s="178"/>
      <c r="I589" s="121" t="str">
        <f t="shared" si="6"/>
        <v/>
      </c>
      <c r="J589" s="99"/>
      <c r="K589" s="99"/>
    </row>
    <row r="590">
      <c r="B590" s="103"/>
      <c r="C590" s="121" t="str">
        <f t="array" ref="C590">ifs(and(isblank($A590),isblank($B590)),"", not(iserror(vlookup($A590&amp;$B590,'5) Release_Track'!$F:$F&amp;'5) Release_Track'!$G:$G,1,0))),vlookup($A590&amp;$B590,{'5) Release_Track'!$F:$F&amp;'5) Release_Track'!$G:$G,'5) Release_Track'!$H:$H},2,0), or(and(not(isblank($B590)),$B590=$B589,$A590&lt;&gt;$A589),and(not(isblank($A590)),$A590=$A589,$B590&lt;&gt;$B589)),"ID LISTS UNALIGNED",and($A590&lt;&gt;"",countif('5) Release_Track'!$F:$F,$A590)=0),"NO ISRC MATCH in Release_Track",and($B590&lt;&gt;"",countif('5) Release_Track'!$G:$G,$B590)=0),"NO CATALOG ID MATCH in Release_Track",iserror(vlookup($A590&amp;$B590,'5) Release_Track'!$F:$F&amp;'5) Release_Track'!$G:$G,1,0)),"NO ISRC-CATALOG ID pair MATCH in Release_Track" )</f>
        <v/>
      </c>
      <c r="D590" s="121" t="str">
        <f t="array" ref="D590">ifs(and(isblank($A590),isblank($B590)),"", not(iserror(vlookup($A590&amp;$B590,'5) Release_Track'!$F:$F&amp;'5) Release_Track'!$G:$G,1,0))),vlookup($A590&amp;$B590,{'5) Release_Track'!$F:$F&amp;'5) Release_Track'!$G:$G,'5) Release_Track'!$I:$I},2,0), or(and(not(isblank($B590)),$B590=$B589,$A590&lt;&gt;$A589),and(not(isblank($A590)),$A590=$A589,$B590&lt;&gt;$B589)),"ID LISTS UNALIGNED",and($A590&lt;&gt;"",countif('5) Release_Track'!$F:$F,$A590)=0),"NO ISRC MATCH in Release_Track",and($B590&lt;&gt;"",countif('5) Release_Track'!$G:$G,$B590)=0),"NO CATALOG ID MATCH in Release_Track",iserror(vlookup($A590&amp;$B590,'5) Release_Track'!$F:$F&amp;'5) Release_Track'!$G:$G,1,0)),"NO ISRC-CATALOG ID pair MATCH in Release_Track" )</f>
        <v/>
      </c>
      <c r="E590" s="125" t="str">
        <f t="array" ref="E590">ifs(and(isblank($A590),isblank($B590)),"", not(iserror(vlookup($A590&amp;$B590,'5) Release_Track'!$F:$F&amp;'5) Release_Track'!$G:$G,1,0))),vlookup($A590&amp;$B590,{'5) Release_Track'!$F:$F&amp;'5) Release_Track'!$G:$G,'5) Release_Track'!$J:$J},2,0), or(and(not(isblank($B590)),$B590=$B589,$A590&lt;&gt;$A589),and(not(isblank($A590)),$A590=$A589,$B590&lt;&gt;$B589)),"ID LISTS UNALIGNED",and($A590&lt;&gt;"",countif('5) Release_Track'!$F:$F,$A590)=0),"NO ISRC MATCH in Release_Track",and($B590&lt;&gt;"",countif('5) Release_Track'!$G:$G,$B590)=0),"NO CATALOG ID MATCH in Release_Track",iserror(vlookup($A590&amp;$B590,'5) Release_Track'!$F:$F&amp;'5) Release_Track'!$G:$G,1,0)),"NO ISRC-CATALOG ID pair MATCH in Release_Track" )</f>
        <v/>
      </c>
      <c r="F590" s="122"/>
      <c r="G590" s="99"/>
      <c r="H590" s="178"/>
      <c r="I590" s="121" t="str">
        <f t="shared" si="6"/>
        <v/>
      </c>
      <c r="J590" s="99"/>
      <c r="K590" s="99"/>
    </row>
    <row r="591">
      <c r="B591" s="103"/>
      <c r="C591" s="121" t="str">
        <f t="array" ref="C591">ifs(and(isblank($A591),isblank($B591)),"", not(iserror(vlookup($A591&amp;$B591,'5) Release_Track'!$F:$F&amp;'5) Release_Track'!$G:$G,1,0))),vlookup($A591&amp;$B591,{'5) Release_Track'!$F:$F&amp;'5) Release_Track'!$G:$G,'5) Release_Track'!$H:$H},2,0), or(and(not(isblank($B591)),$B591=$B590,$A591&lt;&gt;$A590),and(not(isblank($A591)),$A591=$A590,$B591&lt;&gt;$B590)),"ID LISTS UNALIGNED",and($A591&lt;&gt;"",countif('5) Release_Track'!$F:$F,$A591)=0),"NO ISRC MATCH in Release_Track",and($B591&lt;&gt;"",countif('5) Release_Track'!$G:$G,$B591)=0),"NO CATALOG ID MATCH in Release_Track",iserror(vlookup($A591&amp;$B591,'5) Release_Track'!$F:$F&amp;'5) Release_Track'!$G:$G,1,0)),"NO ISRC-CATALOG ID pair MATCH in Release_Track" )</f>
        <v/>
      </c>
      <c r="D591" s="121" t="str">
        <f t="array" ref="D591">ifs(and(isblank($A591),isblank($B591)),"", not(iserror(vlookup($A591&amp;$B591,'5) Release_Track'!$F:$F&amp;'5) Release_Track'!$G:$G,1,0))),vlookup($A591&amp;$B591,{'5) Release_Track'!$F:$F&amp;'5) Release_Track'!$G:$G,'5) Release_Track'!$I:$I},2,0), or(and(not(isblank($B591)),$B591=$B590,$A591&lt;&gt;$A590),and(not(isblank($A591)),$A591=$A590,$B591&lt;&gt;$B590)),"ID LISTS UNALIGNED",and($A591&lt;&gt;"",countif('5) Release_Track'!$F:$F,$A591)=0),"NO ISRC MATCH in Release_Track",and($B591&lt;&gt;"",countif('5) Release_Track'!$G:$G,$B591)=0),"NO CATALOG ID MATCH in Release_Track",iserror(vlookup($A591&amp;$B591,'5) Release_Track'!$F:$F&amp;'5) Release_Track'!$G:$G,1,0)),"NO ISRC-CATALOG ID pair MATCH in Release_Track" )</f>
        <v/>
      </c>
      <c r="E591" s="125" t="str">
        <f t="array" ref="E591">ifs(and(isblank($A591),isblank($B591)),"", not(iserror(vlookup($A591&amp;$B591,'5) Release_Track'!$F:$F&amp;'5) Release_Track'!$G:$G,1,0))),vlookup($A591&amp;$B591,{'5) Release_Track'!$F:$F&amp;'5) Release_Track'!$G:$G,'5) Release_Track'!$J:$J},2,0), or(and(not(isblank($B591)),$B591=$B590,$A591&lt;&gt;$A590),and(not(isblank($A591)),$A591=$A590,$B591&lt;&gt;$B590)),"ID LISTS UNALIGNED",and($A591&lt;&gt;"",countif('5) Release_Track'!$F:$F,$A591)=0),"NO ISRC MATCH in Release_Track",and($B591&lt;&gt;"",countif('5) Release_Track'!$G:$G,$B591)=0),"NO CATALOG ID MATCH in Release_Track",iserror(vlookup($A591&amp;$B591,'5) Release_Track'!$F:$F&amp;'5) Release_Track'!$G:$G,1,0)),"NO ISRC-CATALOG ID pair MATCH in Release_Track" )</f>
        <v/>
      </c>
      <c r="F591" s="122"/>
      <c r="G591" s="99"/>
      <c r="H591" s="178"/>
      <c r="I591" s="121" t="str">
        <f t="shared" si="6"/>
        <v/>
      </c>
      <c r="J591" s="99"/>
      <c r="K591" s="99"/>
    </row>
    <row r="592">
      <c r="B592" s="103"/>
      <c r="C592" s="121" t="str">
        <f t="array" ref="C592">ifs(and(isblank($A592),isblank($B592)),"", not(iserror(vlookup($A592&amp;$B592,'5) Release_Track'!$F:$F&amp;'5) Release_Track'!$G:$G,1,0))),vlookup($A592&amp;$B592,{'5) Release_Track'!$F:$F&amp;'5) Release_Track'!$G:$G,'5) Release_Track'!$H:$H},2,0), or(and(not(isblank($B592)),$B592=$B591,$A592&lt;&gt;$A591),and(not(isblank($A592)),$A592=$A591,$B592&lt;&gt;$B591)),"ID LISTS UNALIGNED",and($A592&lt;&gt;"",countif('5) Release_Track'!$F:$F,$A592)=0),"NO ISRC MATCH in Release_Track",and($B592&lt;&gt;"",countif('5) Release_Track'!$G:$G,$B592)=0),"NO CATALOG ID MATCH in Release_Track",iserror(vlookup($A592&amp;$B592,'5) Release_Track'!$F:$F&amp;'5) Release_Track'!$G:$G,1,0)),"NO ISRC-CATALOG ID pair MATCH in Release_Track" )</f>
        <v/>
      </c>
      <c r="D592" s="121" t="str">
        <f t="array" ref="D592">ifs(and(isblank($A592),isblank($B592)),"", not(iserror(vlookup($A592&amp;$B592,'5) Release_Track'!$F:$F&amp;'5) Release_Track'!$G:$G,1,0))),vlookup($A592&amp;$B592,{'5) Release_Track'!$F:$F&amp;'5) Release_Track'!$G:$G,'5) Release_Track'!$I:$I},2,0), or(and(not(isblank($B592)),$B592=$B591,$A592&lt;&gt;$A591),and(not(isblank($A592)),$A592=$A591,$B592&lt;&gt;$B591)),"ID LISTS UNALIGNED",and($A592&lt;&gt;"",countif('5) Release_Track'!$F:$F,$A592)=0),"NO ISRC MATCH in Release_Track",and($B592&lt;&gt;"",countif('5) Release_Track'!$G:$G,$B592)=0),"NO CATALOG ID MATCH in Release_Track",iserror(vlookup($A592&amp;$B592,'5) Release_Track'!$F:$F&amp;'5) Release_Track'!$G:$G,1,0)),"NO ISRC-CATALOG ID pair MATCH in Release_Track" )</f>
        <v/>
      </c>
      <c r="E592" s="125" t="str">
        <f t="array" ref="E592">ifs(and(isblank($A592),isblank($B592)),"", not(iserror(vlookup($A592&amp;$B592,'5) Release_Track'!$F:$F&amp;'5) Release_Track'!$G:$G,1,0))),vlookup($A592&amp;$B592,{'5) Release_Track'!$F:$F&amp;'5) Release_Track'!$G:$G,'5) Release_Track'!$J:$J},2,0), or(and(not(isblank($B592)),$B592=$B591,$A592&lt;&gt;$A591),and(not(isblank($A592)),$A592=$A591,$B592&lt;&gt;$B591)),"ID LISTS UNALIGNED",and($A592&lt;&gt;"",countif('5) Release_Track'!$F:$F,$A592)=0),"NO ISRC MATCH in Release_Track",and($B592&lt;&gt;"",countif('5) Release_Track'!$G:$G,$B592)=0),"NO CATALOG ID MATCH in Release_Track",iserror(vlookup($A592&amp;$B592,'5) Release_Track'!$F:$F&amp;'5) Release_Track'!$G:$G,1,0)),"NO ISRC-CATALOG ID pair MATCH in Release_Track" )</f>
        <v/>
      </c>
      <c r="F592" s="122"/>
      <c r="G592" s="99"/>
      <c r="H592" s="178"/>
      <c r="I592" s="121" t="str">
        <f t="shared" si="6"/>
        <v/>
      </c>
      <c r="J592" s="99"/>
      <c r="K592" s="99"/>
    </row>
    <row r="593">
      <c r="B593" s="103"/>
      <c r="C593" s="121" t="str">
        <f t="array" ref="C593">ifs(and(isblank($A593),isblank($B593)),"", not(iserror(vlookup($A593&amp;$B593,'5) Release_Track'!$F:$F&amp;'5) Release_Track'!$G:$G,1,0))),vlookup($A593&amp;$B593,{'5) Release_Track'!$F:$F&amp;'5) Release_Track'!$G:$G,'5) Release_Track'!$H:$H},2,0), or(and(not(isblank($B593)),$B593=$B592,$A593&lt;&gt;$A592),and(not(isblank($A593)),$A593=$A592,$B593&lt;&gt;$B592)),"ID LISTS UNALIGNED",and($A593&lt;&gt;"",countif('5) Release_Track'!$F:$F,$A593)=0),"NO ISRC MATCH in Release_Track",and($B593&lt;&gt;"",countif('5) Release_Track'!$G:$G,$B593)=0),"NO CATALOG ID MATCH in Release_Track",iserror(vlookup($A593&amp;$B593,'5) Release_Track'!$F:$F&amp;'5) Release_Track'!$G:$G,1,0)),"NO ISRC-CATALOG ID pair MATCH in Release_Track" )</f>
        <v/>
      </c>
      <c r="D593" s="121" t="str">
        <f t="array" ref="D593">ifs(and(isblank($A593),isblank($B593)),"", not(iserror(vlookup($A593&amp;$B593,'5) Release_Track'!$F:$F&amp;'5) Release_Track'!$G:$G,1,0))),vlookup($A593&amp;$B593,{'5) Release_Track'!$F:$F&amp;'5) Release_Track'!$G:$G,'5) Release_Track'!$I:$I},2,0), or(and(not(isblank($B593)),$B593=$B592,$A593&lt;&gt;$A592),and(not(isblank($A593)),$A593=$A592,$B593&lt;&gt;$B592)),"ID LISTS UNALIGNED",and($A593&lt;&gt;"",countif('5) Release_Track'!$F:$F,$A593)=0),"NO ISRC MATCH in Release_Track",and($B593&lt;&gt;"",countif('5) Release_Track'!$G:$G,$B593)=0),"NO CATALOG ID MATCH in Release_Track",iserror(vlookup($A593&amp;$B593,'5) Release_Track'!$F:$F&amp;'5) Release_Track'!$G:$G,1,0)),"NO ISRC-CATALOG ID pair MATCH in Release_Track" )</f>
        <v/>
      </c>
      <c r="E593" s="125" t="str">
        <f t="array" ref="E593">ifs(and(isblank($A593),isblank($B593)),"", not(iserror(vlookup($A593&amp;$B593,'5) Release_Track'!$F:$F&amp;'5) Release_Track'!$G:$G,1,0))),vlookup($A593&amp;$B593,{'5) Release_Track'!$F:$F&amp;'5) Release_Track'!$G:$G,'5) Release_Track'!$J:$J},2,0), or(and(not(isblank($B593)),$B593=$B592,$A593&lt;&gt;$A592),and(not(isblank($A593)),$A593=$A592,$B593&lt;&gt;$B592)),"ID LISTS UNALIGNED",and($A593&lt;&gt;"",countif('5) Release_Track'!$F:$F,$A593)=0),"NO ISRC MATCH in Release_Track",and($B593&lt;&gt;"",countif('5) Release_Track'!$G:$G,$B593)=0),"NO CATALOG ID MATCH in Release_Track",iserror(vlookup($A593&amp;$B593,'5) Release_Track'!$F:$F&amp;'5) Release_Track'!$G:$G,1,0)),"NO ISRC-CATALOG ID pair MATCH in Release_Track" )</f>
        <v/>
      </c>
      <c r="F593" s="122"/>
      <c r="G593" s="99"/>
      <c r="H593" s="178"/>
      <c r="I593" s="121" t="str">
        <f t="shared" si="6"/>
        <v/>
      </c>
      <c r="J593" s="99"/>
      <c r="K593" s="99"/>
    </row>
    <row r="594">
      <c r="B594" s="103"/>
      <c r="C594" s="121" t="str">
        <f t="array" ref="C594">ifs(and(isblank($A594),isblank($B594)),"", not(iserror(vlookup($A594&amp;$B594,'5) Release_Track'!$F:$F&amp;'5) Release_Track'!$G:$G,1,0))),vlookup($A594&amp;$B594,{'5) Release_Track'!$F:$F&amp;'5) Release_Track'!$G:$G,'5) Release_Track'!$H:$H},2,0), or(and(not(isblank($B594)),$B594=$B593,$A594&lt;&gt;$A593),and(not(isblank($A594)),$A594=$A593,$B594&lt;&gt;$B593)),"ID LISTS UNALIGNED",and($A594&lt;&gt;"",countif('5) Release_Track'!$F:$F,$A594)=0),"NO ISRC MATCH in Release_Track",and($B594&lt;&gt;"",countif('5) Release_Track'!$G:$G,$B594)=0),"NO CATALOG ID MATCH in Release_Track",iserror(vlookup($A594&amp;$B594,'5) Release_Track'!$F:$F&amp;'5) Release_Track'!$G:$G,1,0)),"NO ISRC-CATALOG ID pair MATCH in Release_Track" )</f>
        <v/>
      </c>
      <c r="D594" s="121" t="str">
        <f t="array" ref="D594">ifs(and(isblank($A594),isblank($B594)),"", not(iserror(vlookup($A594&amp;$B594,'5) Release_Track'!$F:$F&amp;'5) Release_Track'!$G:$G,1,0))),vlookup($A594&amp;$B594,{'5) Release_Track'!$F:$F&amp;'5) Release_Track'!$G:$G,'5) Release_Track'!$I:$I},2,0), or(and(not(isblank($B594)),$B594=$B593,$A594&lt;&gt;$A593),and(not(isblank($A594)),$A594=$A593,$B594&lt;&gt;$B593)),"ID LISTS UNALIGNED",and($A594&lt;&gt;"",countif('5) Release_Track'!$F:$F,$A594)=0),"NO ISRC MATCH in Release_Track",and($B594&lt;&gt;"",countif('5) Release_Track'!$G:$G,$B594)=0),"NO CATALOG ID MATCH in Release_Track",iserror(vlookup($A594&amp;$B594,'5) Release_Track'!$F:$F&amp;'5) Release_Track'!$G:$G,1,0)),"NO ISRC-CATALOG ID pair MATCH in Release_Track" )</f>
        <v/>
      </c>
      <c r="E594" s="125" t="str">
        <f t="array" ref="E594">ifs(and(isblank($A594),isblank($B594)),"", not(iserror(vlookup($A594&amp;$B594,'5) Release_Track'!$F:$F&amp;'5) Release_Track'!$G:$G,1,0))),vlookup($A594&amp;$B594,{'5) Release_Track'!$F:$F&amp;'5) Release_Track'!$G:$G,'5) Release_Track'!$J:$J},2,0), or(and(not(isblank($B594)),$B594=$B593,$A594&lt;&gt;$A593),and(not(isblank($A594)),$A594=$A593,$B594&lt;&gt;$B593)),"ID LISTS UNALIGNED",and($A594&lt;&gt;"",countif('5) Release_Track'!$F:$F,$A594)=0),"NO ISRC MATCH in Release_Track",and($B594&lt;&gt;"",countif('5) Release_Track'!$G:$G,$B594)=0),"NO CATALOG ID MATCH in Release_Track",iserror(vlookup($A594&amp;$B594,'5) Release_Track'!$F:$F&amp;'5) Release_Track'!$G:$G,1,0)),"NO ISRC-CATALOG ID pair MATCH in Release_Track" )</f>
        <v/>
      </c>
      <c r="F594" s="122"/>
      <c r="G594" s="99"/>
      <c r="H594" s="178"/>
      <c r="I594" s="121" t="str">
        <f t="shared" si="6"/>
        <v/>
      </c>
      <c r="J594" s="99"/>
      <c r="K594" s="99"/>
    </row>
    <row r="595">
      <c r="B595" s="103"/>
      <c r="C595" s="121" t="str">
        <f t="array" ref="C595">ifs(and(isblank($A595),isblank($B595)),"", not(iserror(vlookup($A595&amp;$B595,'5) Release_Track'!$F:$F&amp;'5) Release_Track'!$G:$G,1,0))),vlookup($A595&amp;$B595,{'5) Release_Track'!$F:$F&amp;'5) Release_Track'!$G:$G,'5) Release_Track'!$H:$H},2,0), or(and(not(isblank($B595)),$B595=$B594,$A595&lt;&gt;$A594),and(not(isblank($A595)),$A595=$A594,$B595&lt;&gt;$B594)),"ID LISTS UNALIGNED",and($A595&lt;&gt;"",countif('5) Release_Track'!$F:$F,$A595)=0),"NO ISRC MATCH in Release_Track",and($B595&lt;&gt;"",countif('5) Release_Track'!$G:$G,$B595)=0),"NO CATALOG ID MATCH in Release_Track",iserror(vlookup($A595&amp;$B595,'5) Release_Track'!$F:$F&amp;'5) Release_Track'!$G:$G,1,0)),"NO ISRC-CATALOG ID pair MATCH in Release_Track" )</f>
        <v/>
      </c>
      <c r="D595" s="121" t="str">
        <f t="array" ref="D595">ifs(and(isblank($A595),isblank($B595)),"", not(iserror(vlookup($A595&amp;$B595,'5) Release_Track'!$F:$F&amp;'5) Release_Track'!$G:$G,1,0))),vlookup($A595&amp;$B595,{'5) Release_Track'!$F:$F&amp;'5) Release_Track'!$G:$G,'5) Release_Track'!$I:$I},2,0), or(and(not(isblank($B595)),$B595=$B594,$A595&lt;&gt;$A594),and(not(isblank($A595)),$A595=$A594,$B595&lt;&gt;$B594)),"ID LISTS UNALIGNED",and($A595&lt;&gt;"",countif('5) Release_Track'!$F:$F,$A595)=0),"NO ISRC MATCH in Release_Track",and($B595&lt;&gt;"",countif('5) Release_Track'!$G:$G,$B595)=0),"NO CATALOG ID MATCH in Release_Track",iserror(vlookup($A595&amp;$B595,'5) Release_Track'!$F:$F&amp;'5) Release_Track'!$G:$G,1,0)),"NO ISRC-CATALOG ID pair MATCH in Release_Track" )</f>
        <v/>
      </c>
      <c r="E595" s="125" t="str">
        <f t="array" ref="E595">ifs(and(isblank($A595),isblank($B595)),"", not(iserror(vlookup($A595&amp;$B595,'5) Release_Track'!$F:$F&amp;'5) Release_Track'!$G:$G,1,0))),vlookup($A595&amp;$B595,{'5) Release_Track'!$F:$F&amp;'5) Release_Track'!$G:$G,'5) Release_Track'!$J:$J},2,0), or(and(not(isblank($B595)),$B595=$B594,$A595&lt;&gt;$A594),and(not(isblank($A595)),$A595=$A594,$B595&lt;&gt;$B594)),"ID LISTS UNALIGNED",and($A595&lt;&gt;"",countif('5) Release_Track'!$F:$F,$A595)=0),"NO ISRC MATCH in Release_Track",and($B595&lt;&gt;"",countif('5) Release_Track'!$G:$G,$B595)=0),"NO CATALOG ID MATCH in Release_Track",iserror(vlookup($A595&amp;$B595,'5) Release_Track'!$F:$F&amp;'5) Release_Track'!$G:$G,1,0)),"NO ISRC-CATALOG ID pair MATCH in Release_Track" )</f>
        <v/>
      </c>
      <c r="F595" s="122"/>
      <c r="G595" s="99"/>
      <c r="H595" s="178"/>
      <c r="I595" s="121" t="str">
        <f t="shared" si="6"/>
        <v/>
      </c>
      <c r="J595" s="99"/>
      <c r="K595" s="99"/>
    </row>
    <row r="596">
      <c r="B596" s="103"/>
      <c r="C596" s="121" t="str">
        <f t="array" ref="C596">ifs(and(isblank($A596),isblank($B596)),"", not(iserror(vlookup($A596&amp;$B596,'5) Release_Track'!$F:$F&amp;'5) Release_Track'!$G:$G,1,0))),vlookup($A596&amp;$B596,{'5) Release_Track'!$F:$F&amp;'5) Release_Track'!$G:$G,'5) Release_Track'!$H:$H},2,0), or(and(not(isblank($B596)),$B596=$B595,$A596&lt;&gt;$A595),and(not(isblank($A596)),$A596=$A595,$B596&lt;&gt;$B595)),"ID LISTS UNALIGNED",and($A596&lt;&gt;"",countif('5) Release_Track'!$F:$F,$A596)=0),"NO ISRC MATCH in Release_Track",and($B596&lt;&gt;"",countif('5) Release_Track'!$G:$G,$B596)=0),"NO CATALOG ID MATCH in Release_Track",iserror(vlookup($A596&amp;$B596,'5) Release_Track'!$F:$F&amp;'5) Release_Track'!$G:$G,1,0)),"NO ISRC-CATALOG ID pair MATCH in Release_Track" )</f>
        <v/>
      </c>
      <c r="D596" s="121" t="str">
        <f t="array" ref="D596">ifs(and(isblank($A596),isblank($B596)),"", not(iserror(vlookup($A596&amp;$B596,'5) Release_Track'!$F:$F&amp;'5) Release_Track'!$G:$G,1,0))),vlookup($A596&amp;$B596,{'5) Release_Track'!$F:$F&amp;'5) Release_Track'!$G:$G,'5) Release_Track'!$I:$I},2,0), or(and(not(isblank($B596)),$B596=$B595,$A596&lt;&gt;$A595),and(not(isblank($A596)),$A596=$A595,$B596&lt;&gt;$B595)),"ID LISTS UNALIGNED",and($A596&lt;&gt;"",countif('5) Release_Track'!$F:$F,$A596)=0),"NO ISRC MATCH in Release_Track",and($B596&lt;&gt;"",countif('5) Release_Track'!$G:$G,$B596)=0),"NO CATALOG ID MATCH in Release_Track",iserror(vlookup($A596&amp;$B596,'5) Release_Track'!$F:$F&amp;'5) Release_Track'!$G:$G,1,0)),"NO ISRC-CATALOG ID pair MATCH in Release_Track" )</f>
        <v/>
      </c>
      <c r="E596" s="125" t="str">
        <f t="array" ref="E596">ifs(and(isblank($A596),isblank($B596)),"", not(iserror(vlookup($A596&amp;$B596,'5) Release_Track'!$F:$F&amp;'5) Release_Track'!$G:$G,1,0))),vlookup($A596&amp;$B596,{'5) Release_Track'!$F:$F&amp;'5) Release_Track'!$G:$G,'5) Release_Track'!$J:$J},2,0), or(and(not(isblank($B596)),$B596=$B595,$A596&lt;&gt;$A595),and(not(isblank($A596)),$A596=$A595,$B596&lt;&gt;$B595)),"ID LISTS UNALIGNED",and($A596&lt;&gt;"",countif('5) Release_Track'!$F:$F,$A596)=0),"NO ISRC MATCH in Release_Track",and($B596&lt;&gt;"",countif('5) Release_Track'!$G:$G,$B596)=0),"NO CATALOG ID MATCH in Release_Track",iserror(vlookup($A596&amp;$B596,'5) Release_Track'!$F:$F&amp;'5) Release_Track'!$G:$G,1,0)),"NO ISRC-CATALOG ID pair MATCH in Release_Track" )</f>
        <v/>
      </c>
      <c r="F596" s="122"/>
      <c r="G596" s="99"/>
      <c r="H596" s="178"/>
      <c r="I596" s="121" t="str">
        <f t="shared" si="6"/>
        <v/>
      </c>
      <c r="J596" s="99"/>
      <c r="K596" s="99"/>
    </row>
    <row r="597">
      <c r="B597" s="103"/>
      <c r="C597" s="121" t="str">
        <f t="array" ref="C597">ifs(and(isblank($A597),isblank($B597)),"", not(iserror(vlookup($A597&amp;$B597,'5) Release_Track'!$F:$F&amp;'5) Release_Track'!$G:$G,1,0))),vlookup($A597&amp;$B597,{'5) Release_Track'!$F:$F&amp;'5) Release_Track'!$G:$G,'5) Release_Track'!$H:$H},2,0), or(and(not(isblank($B597)),$B597=$B596,$A597&lt;&gt;$A596),and(not(isblank($A597)),$A597=$A596,$B597&lt;&gt;$B596)),"ID LISTS UNALIGNED",and($A597&lt;&gt;"",countif('5) Release_Track'!$F:$F,$A597)=0),"NO ISRC MATCH in Release_Track",and($B597&lt;&gt;"",countif('5) Release_Track'!$G:$G,$B597)=0),"NO CATALOG ID MATCH in Release_Track",iserror(vlookup($A597&amp;$B597,'5) Release_Track'!$F:$F&amp;'5) Release_Track'!$G:$G,1,0)),"NO ISRC-CATALOG ID pair MATCH in Release_Track" )</f>
        <v/>
      </c>
      <c r="D597" s="121" t="str">
        <f t="array" ref="D597">ifs(and(isblank($A597),isblank($B597)),"", not(iserror(vlookup($A597&amp;$B597,'5) Release_Track'!$F:$F&amp;'5) Release_Track'!$G:$G,1,0))),vlookup($A597&amp;$B597,{'5) Release_Track'!$F:$F&amp;'5) Release_Track'!$G:$G,'5) Release_Track'!$I:$I},2,0), or(and(not(isblank($B597)),$B597=$B596,$A597&lt;&gt;$A596),and(not(isblank($A597)),$A597=$A596,$B597&lt;&gt;$B596)),"ID LISTS UNALIGNED",and($A597&lt;&gt;"",countif('5) Release_Track'!$F:$F,$A597)=0),"NO ISRC MATCH in Release_Track",and($B597&lt;&gt;"",countif('5) Release_Track'!$G:$G,$B597)=0),"NO CATALOG ID MATCH in Release_Track",iserror(vlookup($A597&amp;$B597,'5) Release_Track'!$F:$F&amp;'5) Release_Track'!$G:$G,1,0)),"NO ISRC-CATALOG ID pair MATCH in Release_Track" )</f>
        <v/>
      </c>
      <c r="E597" s="125" t="str">
        <f t="array" ref="E597">ifs(and(isblank($A597),isblank($B597)),"", not(iserror(vlookup($A597&amp;$B597,'5) Release_Track'!$F:$F&amp;'5) Release_Track'!$G:$G,1,0))),vlookup($A597&amp;$B597,{'5) Release_Track'!$F:$F&amp;'5) Release_Track'!$G:$G,'5) Release_Track'!$J:$J},2,0), or(and(not(isblank($B597)),$B597=$B596,$A597&lt;&gt;$A596),and(not(isblank($A597)),$A597=$A596,$B597&lt;&gt;$B596)),"ID LISTS UNALIGNED",and($A597&lt;&gt;"",countif('5) Release_Track'!$F:$F,$A597)=0),"NO ISRC MATCH in Release_Track",and($B597&lt;&gt;"",countif('5) Release_Track'!$G:$G,$B597)=0),"NO CATALOG ID MATCH in Release_Track",iserror(vlookup($A597&amp;$B597,'5) Release_Track'!$F:$F&amp;'5) Release_Track'!$G:$G,1,0)),"NO ISRC-CATALOG ID pair MATCH in Release_Track" )</f>
        <v/>
      </c>
      <c r="F597" s="122"/>
      <c r="G597" s="99"/>
      <c r="H597" s="178"/>
      <c r="I597" s="121" t="str">
        <f t="shared" si="6"/>
        <v/>
      </c>
      <c r="J597" s="99"/>
      <c r="K597" s="99"/>
    </row>
    <row r="598">
      <c r="B598" s="103"/>
      <c r="C598" s="121" t="str">
        <f t="array" ref="C598">ifs(and(isblank($A598),isblank($B598)),"", not(iserror(vlookup($A598&amp;$B598,'5) Release_Track'!$F:$F&amp;'5) Release_Track'!$G:$G,1,0))),vlookup($A598&amp;$B598,{'5) Release_Track'!$F:$F&amp;'5) Release_Track'!$G:$G,'5) Release_Track'!$H:$H},2,0), or(and(not(isblank($B598)),$B598=$B597,$A598&lt;&gt;$A597),and(not(isblank($A598)),$A598=$A597,$B598&lt;&gt;$B597)),"ID LISTS UNALIGNED",and($A598&lt;&gt;"",countif('5) Release_Track'!$F:$F,$A598)=0),"NO ISRC MATCH in Release_Track",and($B598&lt;&gt;"",countif('5) Release_Track'!$G:$G,$B598)=0),"NO CATALOG ID MATCH in Release_Track",iserror(vlookup($A598&amp;$B598,'5) Release_Track'!$F:$F&amp;'5) Release_Track'!$G:$G,1,0)),"NO ISRC-CATALOG ID pair MATCH in Release_Track" )</f>
        <v/>
      </c>
      <c r="D598" s="121" t="str">
        <f t="array" ref="D598">ifs(and(isblank($A598),isblank($B598)),"", not(iserror(vlookup($A598&amp;$B598,'5) Release_Track'!$F:$F&amp;'5) Release_Track'!$G:$G,1,0))),vlookup($A598&amp;$B598,{'5) Release_Track'!$F:$F&amp;'5) Release_Track'!$G:$G,'5) Release_Track'!$I:$I},2,0), or(and(not(isblank($B598)),$B598=$B597,$A598&lt;&gt;$A597),and(not(isblank($A598)),$A598=$A597,$B598&lt;&gt;$B597)),"ID LISTS UNALIGNED",and($A598&lt;&gt;"",countif('5) Release_Track'!$F:$F,$A598)=0),"NO ISRC MATCH in Release_Track",and($B598&lt;&gt;"",countif('5) Release_Track'!$G:$G,$B598)=0),"NO CATALOG ID MATCH in Release_Track",iserror(vlookup($A598&amp;$B598,'5) Release_Track'!$F:$F&amp;'5) Release_Track'!$G:$G,1,0)),"NO ISRC-CATALOG ID pair MATCH in Release_Track" )</f>
        <v/>
      </c>
      <c r="E598" s="125" t="str">
        <f t="array" ref="E598">ifs(and(isblank($A598),isblank($B598)),"", not(iserror(vlookup($A598&amp;$B598,'5) Release_Track'!$F:$F&amp;'5) Release_Track'!$G:$G,1,0))),vlookup($A598&amp;$B598,{'5) Release_Track'!$F:$F&amp;'5) Release_Track'!$G:$G,'5) Release_Track'!$J:$J},2,0), or(and(not(isblank($B598)),$B598=$B597,$A598&lt;&gt;$A597),and(not(isblank($A598)),$A598=$A597,$B598&lt;&gt;$B597)),"ID LISTS UNALIGNED",and($A598&lt;&gt;"",countif('5) Release_Track'!$F:$F,$A598)=0),"NO ISRC MATCH in Release_Track",and($B598&lt;&gt;"",countif('5) Release_Track'!$G:$G,$B598)=0),"NO CATALOG ID MATCH in Release_Track",iserror(vlookup($A598&amp;$B598,'5) Release_Track'!$F:$F&amp;'5) Release_Track'!$G:$G,1,0)),"NO ISRC-CATALOG ID pair MATCH in Release_Track" )</f>
        <v/>
      </c>
      <c r="F598" s="122"/>
      <c r="G598" s="99"/>
      <c r="H598" s="178"/>
      <c r="I598" s="121" t="str">
        <f t="shared" si="6"/>
        <v/>
      </c>
      <c r="J598" s="99"/>
      <c r="K598" s="99"/>
    </row>
    <row r="599">
      <c r="B599" s="103"/>
      <c r="C599" s="121" t="str">
        <f t="array" ref="C599">ifs(and(isblank($A599),isblank($B599)),"", not(iserror(vlookup($A599&amp;$B599,'5) Release_Track'!$F:$F&amp;'5) Release_Track'!$G:$G,1,0))),vlookup($A599&amp;$B599,{'5) Release_Track'!$F:$F&amp;'5) Release_Track'!$G:$G,'5) Release_Track'!$H:$H},2,0), or(and(not(isblank($B599)),$B599=$B598,$A599&lt;&gt;$A598),and(not(isblank($A599)),$A599=$A598,$B599&lt;&gt;$B598)),"ID LISTS UNALIGNED",and($A599&lt;&gt;"",countif('5) Release_Track'!$F:$F,$A599)=0),"NO ISRC MATCH in Release_Track",and($B599&lt;&gt;"",countif('5) Release_Track'!$G:$G,$B599)=0),"NO CATALOG ID MATCH in Release_Track",iserror(vlookup($A599&amp;$B599,'5) Release_Track'!$F:$F&amp;'5) Release_Track'!$G:$G,1,0)),"NO ISRC-CATALOG ID pair MATCH in Release_Track" )</f>
        <v/>
      </c>
      <c r="D599" s="121" t="str">
        <f t="array" ref="D599">ifs(and(isblank($A599),isblank($B599)),"", not(iserror(vlookup($A599&amp;$B599,'5) Release_Track'!$F:$F&amp;'5) Release_Track'!$G:$G,1,0))),vlookup($A599&amp;$B599,{'5) Release_Track'!$F:$F&amp;'5) Release_Track'!$G:$G,'5) Release_Track'!$I:$I},2,0), or(and(not(isblank($B599)),$B599=$B598,$A599&lt;&gt;$A598),and(not(isblank($A599)),$A599=$A598,$B599&lt;&gt;$B598)),"ID LISTS UNALIGNED",and($A599&lt;&gt;"",countif('5) Release_Track'!$F:$F,$A599)=0),"NO ISRC MATCH in Release_Track",and($B599&lt;&gt;"",countif('5) Release_Track'!$G:$G,$B599)=0),"NO CATALOG ID MATCH in Release_Track",iserror(vlookup($A599&amp;$B599,'5) Release_Track'!$F:$F&amp;'5) Release_Track'!$G:$G,1,0)),"NO ISRC-CATALOG ID pair MATCH in Release_Track" )</f>
        <v/>
      </c>
      <c r="E599" s="125" t="str">
        <f t="array" ref="E599">ifs(and(isblank($A599),isblank($B599)),"", not(iserror(vlookup($A599&amp;$B599,'5) Release_Track'!$F:$F&amp;'5) Release_Track'!$G:$G,1,0))),vlookup($A599&amp;$B599,{'5) Release_Track'!$F:$F&amp;'5) Release_Track'!$G:$G,'5) Release_Track'!$J:$J},2,0), or(and(not(isblank($B599)),$B599=$B598,$A599&lt;&gt;$A598),and(not(isblank($A599)),$A599=$A598,$B599&lt;&gt;$B598)),"ID LISTS UNALIGNED",and($A599&lt;&gt;"",countif('5) Release_Track'!$F:$F,$A599)=0),"NO ISRC MATCH in Release_Track",and($B599&lt;&gt;"",countif('5) Release_Track'!$G:$G,$B599)=0),"NO CATALOG ID MATCH in Release_Track",iserror(vlookup($A599&amp;$B599,'5) Release_Track'!$F:$F&amp;'5) Release_Track'!$G:$G,1,0)),"NO ISRC-CATALOG ID pair MATCH in Release_Track" )</f>
        <v/>
      </c>
      <c r="F599" s="122"/>
      <c r="G599" s="99"/>
      <c r="H599" s="178"/>
      <c r="I599" s="121" t="str">
        <f t="shared" si="6"/>
        <v/>
      </c>
      <c r="J599" s="99"/>
      <c r="K599" s="99"/>
    </row>
    <row r="600">
      <c r="B600" s="103"/>
      <c r="C600" s="121" t="str">
        <f t="array" ref="C600">ifs(and(isblank($A600),isblank($B600)),"", not(iserror(vlookup($A600&amp;$B600,'5) Release_Track'!$F:$F&amp;'5) Release_Track'!$G:$G,1,0))),vlookup($A600&amp;$B600,{'5) Release_Track'!$F:$F&amp;'5) Release_Track'!$G:$G,'5) Release_Track'!$H:$H},2,0), or(and(not(isblank($B600)),$B600=$B599,$A600&lt;&gt;$A599),and(not(isblank($A600)),$A600=$A599,$B600&lt;&gt;$B599)),"ID LISTS UNALIGNED",and($A600&lt;&gt;"",countif('5) Release_Track'!$F:$F,$A600)=0),"NO ISRC MATCH in Release_Track",and($B600&lt;&gt;"",countif('5) Release_Track'!$G:$G,$B600)=0),"NO CATALOG ID MATCH in Release_Track",iserror(vlookup($A600&amp;$B600,'5) Release_Track'!$F:$F&amp;'5) Release_Track'!$G:$G,1,0)),"NO ISRC-CATALOG ID pair MATCH in Release_Track" )</f>
        <v/>
      </c>
      <c r="D600" s="121" t="str">
        <f t="array" ref="D600">ifs(and(isblank($A600),isblank($B600)),"", not(iserror(vlookup($A600&amp;$B600,'5) Release_Track'!$F:$F&amp;'5) Release_Track'!$G:$G,1,0))),vlookup($A600&amp;$B600,{'5) Release_Track'!$F:$F&amp;'5) Release_Track'!$G:$G,'5) Release_Track'!$I:$I},2,0), or(and(not(isblank($B600)),$B600=$B599,$A600&lt;&gt;$A599),and(not(isblank($A600)),$A600=$A599,$B600&lt;&gt;$B599)),"ID LISTS UNALIGNED",and($A600&lt;&gt;"",countif('5) Release_Track'!$F:$F,$A600)=0),"NO ISRC MATCH in Release_Track",and($B600&lt;&gt;"",countif('5) Release_Track'!$G:$G,$B600)=0),"NO CATALOG ID MATCH in Release_Track",iserror(vlookup($A600&amp;$B600,'5) Release_Track'!$F:$F&amp;'5) Release_Track'!$G:$G,1,0)),"NO ISRC-CATALOG ID pair MATCH in Release_Track" )</f>
        <v/>
      </c>
      <c r="E600" s="125" t="str">
        <f t="array" ref="E600">ifs(and(isblank($A600),isblank($B600)),"", not(iserror(vlookup($A600&amp;$B600,'5) Release_Track'!$F:$F&amp;'5) Release_Track'!$G:$G,1,0))),vlookup($A600&amp;$B600,{'5) Release_Track'!$F:$F&amp;'5) Release_Track'!$G:$G,'5) Release_Track'!$J:$J},2,0), or(and(not(isblank($B600)),$B600=$B599,$A600&lt;&gt;$A599),and(not(isblank($A600)),$A600=$A599,$B600&lt;&gt;$B599)),"ID LISTS UNALIGNED",and($A600&lt;&gt;"",countif('5) Release_Track'!$F:$F,$A600)=0),"NO ISRC MATCH in Release_Track",and($B600&lt;&gt;"",countif('5) Release_Track'!$G:$G,$B600)=0),"NO CATALOG ID MATCH in Release_Track",iserror(vlookup($A600&amp;$B600,'5) Release_Track'!$F:$F&amp;'5) Release_Track'!$G:$G,1,0)),"NO ISRC-CATALOG ID pair MATCH in Release_Track" )</f>
        <v/>
      </c>
      <c r="F600" s="122"/>
      <c r="G600" s="99"/>
      <c r="H600" s="178"/>
      <c r="I600" s="121" t="str">
        <f t="shared" si="6"/>
        <v/>
      </c>
      <c r="J600" s="99"/>
      <c r="K600" s="99"/>
    </row>
    <row r="601">
      <c r="B601" s="103"/>
      <c r="C601" s="121" t="str">
        <f t="array" ref="C601">ifs(and(isblank($A601),isblank($B601)),"", not(iserror(vlookup($A601&amp;$B601,'5) Release_Track'!$F:$F&amp;'5) Release_Track'!$G:$G,1,0))),vlookup($A601&amp;$B601,{'5) Release_Track'!$F:$F&amp;'5) Release_Track'!$G:$G,'5) Release_Track'!$H:$H},2,0), or(and(not(isblank($B601)),$B601=$B600,$A601&lt;&gt;$A600),and(not(isblank($A601)),$A601=$A600,$B601&lt;&gt;$B600)),"ID LISTS UNALIGNED",and($A601&lt;&gt;"",countif('5) Release_Track'!$F:$F,$A601)=0),"NO ISRC MATCH in Release_Track",and($B601&lt;&gt;"",countif('5) Release_Track'!$G:$G,$B601)=0),"NO CATALOG ID MATCH in Release_Track",iserror(vlookup($A601&amp;$B601,'5) Release_Track'!$F:$F&amp;'5) Release_Track'!$G:$G,1,0)),"NO ISRC-CATALOG ID pair MATCH in Release_Track" )</f>
        <v/>
      </c>
      <c r="D601" s="121" t="str">
        <f t="array" ref="D601">ifs(and(isblank($A601),isblank($B601)),"", not(iserror(vlookup($A601&amp;$B601,'5) Release_Track'!$F:$F&amp;'5) Release_Track'!$G:$G,1,0))),vlookup($A601&amp;$B601,{'5) Release_Track'!$F:$F&amp;'5) Release_Track'!$G:$G,'5) Release_Track'!$I:$I},2,0), or(and(not(isblank($B601)),$B601=$B600,$A601&lt;&gt;$A600),and(not(isblank($A601)),$A601=$A600,$B601&lt;&gt;$B600)),"ID LISTS UNALIGNED",and($A601&lt;&gt;"",countif('5) Release_Track'!$F:$F,$A601)=0),"NO ISRC MATCH in Release_Track",and($B601&lt;&gt;"",countif('5) Release_Track'!$G:$G,$B601)=0),"NO CATALOG ID MATCH in Release_Track",iserror(vlookup($A601&amp;$B601,'5) Release_Track'!$F:$F&amp;'5) Release_Track'!$G:$G,1,0)),"NO ISRC-CATALOG ID pair MATCH in Release_Track" )</f>
        <v/>
      </c>
      <c r="E601" s="125" t="str">
        <f t="array" ref="E601">ifs(and(isblank($A601),isblank($B601)),"", not(iserror(vlookup($A601&amp;$B601,'5) Release_Track'!$F:$F&amp;'5) Release_Track'!$G:$G,1,0))),vlookup($A601&amp;$B601,{'5) Release_Track'!$F:$F&amp;'5) Release_Track'!$G:$G,'5) Release_Track'!$J:$J},2,0), or(and(not(isblank($B601)),$B601=$B600,$A601&lt;&gt;$A600),and(not(isblank($A601)),$A601=$A600,$B601&lt;&gt;$B600)),"ID LISTS UNALIGNED",and($A601&lt;&gt;"",countif('5) Release_Track'!$F:$F,$A601)=0),"NO ISRC MATCH in Release_Track",and($B601&lt;&gt;"",countif('5) Release_Track'!$G:$G,$B601)=0),"NO CATALOG ID MATCH in Release_Track",iserror(vlookup($A601&amp;$B601,'5) Release_Track'!$F:$F&amp;'5) Release_Track'!$G:$G,1,0)),"NO ISRC-CATALOG ID pair MATCH in Release_Track" )</f>
        <v/>
      </c>
      <c r="F601" s="122"/>
      <c r="G601" s="99"/>
      <c r="H601" s="178"/>
      <c r="I601" s="121" t="str">
        <f t="shared" si="6"/>
        <v/>
      </c>
      <c r="J601" s="99"/>
      <c r="K601" s="99"/>
    </row>
    <row r="602">
      <c r="B602" s="103"/>
      <c r="C602" s="121" t="str">
        <f t="array" ref="C602">ifs(and(isblank($A602),isblank($B602)),"", not(iserror(vlookup($A602&amp;$B602,'5) Release_Track'!$F:$F&amp;'5) Release_Track'!$G:$G,1,0))),vlookup($A602&amp;$B602,{'5) Release_Track'!$F:$F&amp;'5) Release_Track'!$G:$G,'5) Release_Track'!$H:$H},2,0), or(and(not(isblank($B602)),$B602=$B601,$A602&lt;&gt;$A601),and(not(isblank($A602)),$A602=$A601,$B602&lt;&gt;$B601)),"ID LISTS UNALIGNED",and($A602&lt;&gt;"",countif('5) Release_Track'!$F:$F,$A602)=0),"NO ISRC MATCH in Release_Track",and($B602&lt;&gt;"",countif('5) Release_Track'!$G:$G,$B602)=0),"NO CATALOG ID MATCH in Release_Track",iserror(vlookup($A602&amp;$B602,'5) Release_Track'!$F:$F&amp;'5) Release_Track'!$G:$G,1,0)),"NO ISRC-CATALOG ID pair MATCH in Release_Track" )</f>
        <v/>
      </c>
      <c r="D602" s="121" t="str">
        <f t="array" ref="D602">ifs(and(isblank($A602),isblank($B602)),"", not(iserror(vlookup($A602&amp;$B602,'5) Release_Track'!$F:$F&amp;'5) Release_Track'!$G:$G,1,0))),vlookup($A602&amp;$B602,{'5) Release_Track'!$F:$F&amp;'5) Release_Track'!$G:$G,'5) Release_Track'!$I:$I},2,0), or(and(not(isblank($B602)),$B602=$B601,$A602&lt;&gt;$A601),and(not(isblank($A602)),$A602=$A601,$B602&lt;&gt;$B601)),"ID LISTS UNALIGNED",and($A602&lt;&gt;"",countif('5) Release_Track'!$F:$F,$A602)=0),"NO ISRC MATCH in Release_Track",and($B602&lt;&gt;"",countif('5) Release_Track'!$G:$G,$B602)=0),"NO CATALOG ID MATCH in Release_Track",iserror(vlookup($A602&amp;$B602,'5) Release_Track'!$F:$F&amp;'5) Release_Track'!$G:$G,1,0)),"NO ISRC-CATALOG ID pair MATCH in Release_Track" )</f>
        <v/>
      </c>
      <c r="E602" s="125" t="str">
        <f t="array" ref="E602">ifs(and(isblank($A602),isblank($B602)),"", not(iserror(vlookup($A602&amp;$B602,'5) Release_Track'!$F:$F&amp;'5) Release_Track'!$G:$G,1,0))),vlookup($A602&amp;$B602,{'5) Release_Track'!$F:$F&amp;'5) Release_Track'!$G:$G,'5) Release_Track'!$J:$J},2,0), or(and(not(isblank($B602)),$B602=$B601,$A602&lt;&gt;$A601),and(not(isblank($A602)),$A602=$A601,$B602&lt;&gt;$B601)),"ID LISTS UNALIGNED",and($A602&lt;&gt;"",countif('5) Release_Track'!$F:$F,$A602)=0),"NO ISRC MATCH in Release_Track",and($B602&lt;&gt;"",countif('5) Release_Track'!$G:$G,$B602)=0),"NO CATALOG ID MATCH in Release_Track",iserror(vlookup($A602&amp;$B602,'5) Release_Track'!$F:$F&amp;'5) Release_Track'!$G:$G,1,0)),"NO ISRC-CATALOG ID pair MATCH in Release_Track" )</f>
        <v/>
      </c>
      <c r="F602" s="122"/>
      <c r="G602" s="99"/>
      <c r="H602" s="178"/>
      <c r="I602" s="121" t="str">
        <f t="shared" si="6"/>
        <v/>
      </c>
      <c r="J602" s="99"/>
      <c r="K602" s="99"/>
    </row>
    <row r="603">
      <c r="B603" s="103"/>
      <c r="C603" s="121" t="str">
        <f t="array" ref="C603">ifs(and(isblank($A603),isblank($B603)),"", not(iserror(vlookup($A603&amp;$B603,'5) Release_Track'!$F:$F&amp;'5) Release_Track'!$G:$G,1,0))),vlookup($A603&amp;$B603,{'5) Release_Track'!$F:$F&amp;'5) Release_Track'!$G:$G,'5) Release_Track'!$H:$H},2,0), or(and(not(isblank($B603)),$B603=$B602,$A603&lt;&gt;$A602),and(not(isblank($A603)),$A603=$A602,$B603&lt;&gt;$B602)),"ID LISTS UNALIGNED",and($A603&lt;&gt;"",countif('5) Release_Track'!$F:$F,$A603)=0),"NO ISRC MATCH in Release_Track",and($B603&lt;&gt;"",countif('5) Release_Track'!$G:$G,$B603)=0),"NO CATALOG ID MATCH in Release_Track",iserror(vlookup($A603&amp;$B603,'5) Release_Track'!$F:$F&amp;'5) Release_Track'!$G:$G,1,0)),"NO ISRC-CATALOG ID pair MATCH in Release_Track" )</f>
        <v/>
      </c>
      <c r="D603" s="121" t="str">
        <f t="array" ref="D603">ifs(and(isblank($A603),isblank($B603)),"", not(iserror(vlookup($A603&amp;$B603,'5) Release_Track'!$F:$F&amp;'5) Release_Track'!$G:$G,1,0))),vlookup($A603&amp;$B603,{'5) Release_Track'!$F:$F&amp;'5) Release_Track'!$G:$G,'5) Release_Track'!$I:$I},2,0), or(and(not(isblank($B603)),$B603=$B602,$A603&lt;&gt;$A602),and(not(isblank($A603)),$A603=$A602,$B603&lt;&gt;$B602)),"ID LISTS UNALIGNED",and($A603&lt;&gt;"",countif('5) Release_Track'!$F:$F,$A603)=0),"NO ISRC MATCH in Release_Track",and($B603&lt;&gt;"",countif('5) Release_Track'!$G:$G,$B603)=0),"NO CATALOG ID MATCH in Release_Track",iserror(vlookup($A603&amp;$B603,'5) Release_Track'!$F:$F&amp;'5) Release_Track'!$G:$G,1,0)),"NO ISRC-CATALOG ID pair MATCH in Release_Track" )</f>
        <v/>
      </c>
      <c r="E603" s="125" t="str">
        <f t="array" ref="E603">ifs(and(isblank($A603),isblank($B603)),"", not(iserror(vlookup($A603&amp;$B603,'5) Release_Track'!$F:$F&amp;'5) Release_Track'!$G:$G,1,0))),vlookup($A603&amp;$B603,{'5) Release_Track'!$F:$F&amp;'5) Release_Track'!$G:$G,'5) Release_Track'!$J:$J},2,0), or(and(not(isblank($B603)),$B603=$B602,$A603&lt;&gt;$A602),and(not(isblank($A603)),$A603=$A602,$B603&lt;&gt;$B602)),"ID LISTS UNALIGNED",and($A603&lt;&gt;"",countif('5) Release_Track'!$F:$F,$A603)=0),"NO ISRC MATCH in Release_Track",and($B603&lt;&gt;"",countif('5) Release_Track'!$G:$G,$B603)=0),"NO CATALOG ID MATCH in Release_Track",iserror(vlookup($A603&amp;$B603,'5) Release_Track'!$F:$F&amp;'5) Release_Track'!$G:$G,1,0)),"NO ISRC-CATALOG ID pair MATCH in Release_Track" )</f>
        <v/>
      </c>
      <c r="F603" s="122"/>
      <c r="G603" s="99"/>
      <c r="H603" s="178"/>
      <c r="I603" s="121" t="str">
        <f t="shared" si="6"/>
        <v/>
      </c>
      <c r="J603" s="99"/>
      <c r="K603" s="99"/>
    </row>
    <row r="604">
      <c r="B604" s="103"/>
      <c r="C604" s="121" t="str">
        <f t="array" ref="C604">ifs(and(isblank($A604),isblank($B604)),"", not(iserror(vlookup($A604&amp;$B604,'5) Release_Track'!$F:$F&amp;'5) Release_Track'!$G:$G,1,0))),vlookup($A604&amp;$B604,{'5) Release_Track'!$F:$F&amp;'5) Release_Track'!$G:$G,'5) Release_Track'!$H:$H},2,0), or(and(not(isblank($B604)),$B604=$B603,$A604&lt;&gt;$A603),and(not(isblank($A604)),$A604=$A603,$B604&lt;&gt;$B603)),"ID LISTS UNALIGNED",and($A604&lt;&gt;"",countif('5) Release_Track'!$F:$F,$A604)=0),"NO ISRC MATCH in Release_Track",and($B604&lt;&gt;"",countif('5) Release_Track'!$G:$G,$B604)=0),"NO CATALOG ID MATCH in Release_Track",iserror(vlookup($A604&amp;$B604,'5) Release_Track'!$F:$F&amp;'5) Release_Track'!$G:$G,1,0)),"NO ISRC-CATALOG ID pair MATCH in Release_Track" )</f>
        <v/>
      </c>
      <c r="D604" s="121" t="str">
        <f t="array" ref="D604">ifs(and(isblank($A604),isblank($B604)),"", not(iserror(vlookup($A604&amp;$B604,'5) Release_Track'!$F:$F&amp;'5) Release_Track'!$G:$G,1,0))),vlookup($A604&amp;$B604,{'5) Release_Track'!$F:$F&amp;'5) Release_Track'!$G:$G,'5) Release_Track'!$I:$I},2,0), or(and(not(isblank($B604)),$B604=$B603,$A604&lt;&gt;$A603),and(not(isblank($A604)),$A604=$A603,$B604&lt;&gt;$B603)),"ID LISTS UNALIGNED",and($A604&lt;&gt;"",countif('5) Release_Track'!$F:$F,$A604)=0),"NO ISRC MATCH in Release_Track",and($B604&lt;&gt;"",countif('5) Release_Track'!$G:$G,$B604)=0),"NO CATALOG ID MATCH in Release_Track",iserror(vlookup($A604&amp;$B604,'5) Release_Track'!$F:$F&amp;'5) Release_Track'!$G:$G,1,0)),"NO ISRC-CATALOG ID pair MATCH in Release_Track" )</f>
        <v/>
      </c>
      <c r="E604" s="125" t="str">
        <f t="array" ref="E604">ifs(and(isblank($A604),isblank($B604)),"", not(iserror(vlookup($A604&amp;$B604,'5) Release_Track'!$F:$F&amp;'5) Release_Track'!$G:$G,1,0))),vlookup($A604&amp;$B604,{'5) Release_Track'!$F:$F&amp;'5) Release_Track'!$G:$G,'5) Release_Track'!$J:$J},2,0), or(and(not(isblank($B604)),$B604=$B603,$A604&lt;&gt;$A603),and(not(isblank($A604)),$A604=$A603,$B604&lt;&gt;$B603)),"ID LISTS UNALIGNED",and($A604&lt;&gt;"",countif('5) Release_Track'!$F:$F,$A604)=0),"NO ISRC MATCH in Release_Track",and($B604&lt;&gt;"",countif('5) Release_Track'!$G:$G,$B604)=0),"NO CATALOG ID MATCH in Release_Track",iserror(vlookup($A604&amp;$B604,'5) Release_Track'!$F:$F&amp;'5) Release_Track'!$G:$G,1,0)),"NO ISRC-CATALOG ID pair MATCH in Release_Track" )</f>
        <v/>
      </c>
      <c r="F604" s="122"/>
      <c r="G604" s="99"/>
      <c r="H604" s="178"/>
      <c r="I604" s="121" t="str">
        <f t="shared" si="6"/>
        <v/>
      </c>
      <c r="J604" s="99"/>
      <c r="K604" s="99"/>
    </row>
    <row r="605">
      <c r="B605" s="103"/>
      <c r="C605" s="121" t="str">
        <f t="array" ref="C605">ifs(and(isblank($A605),isblank($B605)),"", not(iserror(vlookup($A605&amp;$B605,'5) Release_Track'!$F:$F&amp;'5) Release_Track'!$G:$G,1,0))),vlookup($A605&amp;$B605,{'5) Release_Track'!$F:$F&amp;'5) Release_Track'!$G:$G,'5) Release_Track'!$H:$H},2,0), or(and(not(isblank($B605)),$B605=$B604,$A605&lt;&gt;$A604),and(not(isblank($A605)),$A605=$A604,$B605&lt;&gt;$B604)),"ID LISTS UNALIGNED",and($A605&lt;&gt;"",countif('5) Release_Track'!$F:$F,$A605)=0),"NO ISRC MATCH in Release_Track",and($B605&lt;&gt;"",countif('5) Release_Track'!$G:$G,$B605)=0),"NO CATALOG ID MATCH in Release_Track",iserror(vlookup($A605&amp;$B605,'5) Release_Track'!$F:$F&amp;'5) Release_Track'!$G:$G,1,0)),"NO ISRC-CATALOG ID pair MATCH in Release_Track" )</f>
        <v/>
      </c>
      <c r="D605" s="121" t="str">
        <f t="array" ref="D605">ifs(and(isblank($A605),isblank($B605)),"", not(iserror(vlookup($A605&amp;$B605,'5) Release_Track'!$F:$F&amp;'5) Release_Track'!$G:$G,1,0))),vlookup($A605&amp;$B605,{'5) Release_Track'!$F:$F&amp;'5) Release_Track'!$G:$G,'5) Release_Track'!$I:$I},2,0), or(and(not(isblank($B605)),$B605=$B604,$A605&lt;&gt;$A604),and(not(isblank($A605)),$A605=$A604,$B605&lt;&gt;$B604)),"ID LISTS UNALIGNED",and($A605&lt;&gt;"",countif('5) Release_Track'!$F:$F,$A605)=0),"NO ISRC MATCH in Release_Track",and($B605&lt;&gt;"",countif('5) Release_Track'!$G:$G,$B605)=0),"NO CATALOG ID MATCH in Release_Track",iserror(vlookup($A605&amp;$B605,'5) Release_Track'!$F:$F&amp;'5) Release_Track'!$G:$G,1,0)),"NO ISRC-CATALOG ID pair MATCH in Release_Track" )</f>
        <v/>
      </c>
      <c r="E605" s="125" t="str">
        <f t="array" ref="E605">ifs(and(isblank($A605),isblank($B605)),"", not(iserror(vlookup($A605&amp;$B605,'5) Release_Track'!$F:$F&amp;'5) Release_Track'!$G:$G,1,0))),vlookup($A605&amp;$B605,{'5) Release_Track'!$F:$F&amp;'5) Release_Track'!$G:$G,'5) Release_Track'!$J:$J},2,0), or(and(not(isblank($B605)),$B605=$B604,$A605&lt;&gt;$A604),and(not(isblank($A605)),$A605=$A604,$B605&lt;&gt;$B604)),"ID LISTS UNALIGNED",and($A605&lt;&gt;"",countif('5) Release_Track'!$F:$F,$A605)=0),"NO ISRC MATCH in Release_Track",and($B605&lt;&gt;"",countif('5) Release_Track'!$G:$G,$B605)=0),"NO CATALOG ID MATCH in Release_Track",iserror(vlookup($A605&amp;$B605,'5) Release_Track'!$F:$F&amp;'5) Release_Track'!$G:$G,1,0)),"NO ISRC-CATALOG ID pair MATCH in Release_Track" )</f>
        <v/>
      </c>
      <c r="F605" s="122"/>
      <c r="G605" s="99"/>
      <c r="H605" s="178"/>
      <c r="I605" s="121" t="str">
        <f t="shared" si="6"/>
        <v/>
      </c>
      <c r="J605" s="99"/>
      <c r="K605" s="99"/>
    </row>
    <row r="606">
      <c r="B606" s="103"/>
      <c r="C606" s="121" t="str">
        <f t="array" ref="C606">ifs(and(isblank($A606),isblank($B606)),"", not(iserror(vlookup($A606&amp;$B606,'5) Release_Track'!$F:$F&amp;'5) Release_Track'!$G:$G,1,0))),vlookup($A606&amp;$B606,{'5) Release_Track'!$F:$F&amp;'5) Release_Track'!$G:$G,'5) Release_Track'!$H:$H},2,0), or(and(not(isblank($B606)),$B606=$B605,$A606&lt;&gt;$A605),and(not(isblank($A606)),$A606=$A605,$B606&lt;&gt;$B605)),"ID LISTS UNALIGNED",and($A606&lt;&gt;"",countif('5) Release_Track'!$F:$F,$A606)=0),"NO ISRC MATCH in Release_Track",and($B606&lt;&gt;"",countif('5) Release_Track'!$G:$G,$B606)=0),"NO CATALOG ID MATCH in Release_Track",iserror(vlookup($A606&amp;$B606,'5) Release_Track'!$F:$F&amp;'5) Release_Track'!$G:$G,1,0)),"NO ISRC-CATALOG ID pair MATCH in Release_Track" )</f>
        <v/>
      </c>
      <c r="D606" s="121" t="str">
        <f t="array" ref="D606">ifs(and(isblank($A606),isblank($B606)),"", not(iserror(vlookup($A606&amp;$B606,'5) Release_Track'!$F:$F&amp;'5) Release_Track'!$G:$G,1,0))),vlookup($A606&amp;$B606,{'5) Release_Track'!$F:$F&amp;'5) Release_Track'!$G:$G,'5) Release_Track'!$I:$I},2,0), or(and(not(isblank($B606)),$B606=$B605,$A606&lt;&gt;$A605),and(not(isblank($A606)),$A606=$A605,$B606&lt;&gt;$B605)),"ID LISTS UNALIGNED",and($A606&lt;&gt;"",countif('5) Release_Track'!$F:$F,$A606)=0),"NO ISRC MATCH in Release_Track",and($B606&lt;&gt;"",countif('5) Release_Track'!$G:$G,$B606)=0),"NO CATALOG ID MATCH in Release_Track",iserror(vlookup($A606&amp;$B606,'5) Release_Track'!$F:$F&amp;'5) Release_Track'!$G:$G,1,0)),"NO ISRC-CATALOG ID pair MATCH in Release_Track" )</f>
        <v/>
      </c>
      <c r="E606" s="125" t="str">
        <f t="array" ref="E606">ifs(and(isblank($A606),isblank($B606)),"", not(iserror(vlookup($A606&amp;$B606,'5) Release_Track'!$F:$F&amp;'5) Release_Track'!$G:$G,1,0))),vlookup($A606&amp;$B606,{'5) Release_Track'!$F:$F&amp;'5) Release_Track'!$G:$G,'5) Release_Track'!$J:$J},2,0), or(and(not(isblank($B606)),$B606=$B605,$A606&lt;&gt;$A605),and(not(isblank($A606)),$A606=$A605,$B606&lt;&gt;$B605)),"ID LISTS UNALIGNED",and($A606&lt;&gt;"",countif('5) Release_Track'!$F:$F,$A606)=0),"NO ISRC MATCH in Release_Track",and($B606&lt;&gt;"",countif('5) Release_Track'!$G:$G,$B606)=0),"NO CATALOG ID MATCH in Release_Track",iserror(vlookup($A606&amp;$B606,'5) Release_Track'!$F:$F&amp;'5) Release_Track'!$G:$G,1,0)),"NO ISRC-CATALOG ID pair MATCH in Release_Track" )</f>
        <v/>
      </c>
      <c r="F606" s="122"/>
      <c r="G606" s="99"/>
      <c r="H606" s="178"/>
      <c r="I606" s="121" t="str">
        <f t="shared" si="6"/>
        <v/>
      </c>
      <c r="J606" s="99"/>
      <c r="K606" s="99"/>
    </row>
    <row r="607">
      <c r="B607" s="103"/>
      <c r="C607" s="121" t="str">
        <f t="array" ref="C607">ifs(and(isblank($A607),isblank($B607)),"", not(iserror(vlookup($A607&amp;$B607,'5) Release_Track'!$F:$F&amp;'5) Release_Track'!$G:$G,1,0))),vlookup($A607&amp;$B607,{'5) Release_Track'!$F:$F&amp;'5) Release_Track'!$G:$G,'5) Release_Track'!$H:$H},2,0), or(and(not(isblank($B607)),$B607=$B606,$A607&lt;&gt;$A606),and(not(isblank($A607)),$A607=$A606,$B607&lt;&gt;$B606)),"ID LISTS UNALIGNED",and($A607&lt;&gt;"",countif('5) Release_Track'!$F:$F,$A607)=0),"NO ISRC MATCH in Release_Track",and($B607&lt;&gt;"",countif('5) Release_Track'!$G:$G,$B607)=0),"NO CATALOG ID MATCH in Release_Track",iserror(vlookup($A607&amp;$B607,'5) Release_Track'!$F:$F&amp;'5) Release_Track'!$G:$G,1,0)),"NO ISRC-CATALOG ID pair MATCH in Release_Track" )</f>
        <v/>
      </c>
      <c r="D607" s="121" t="str">
        <f t="array" ref="D607">ifs(and(isblank($A607),isblank($B607)),"", not(iserror(vlookup($A607&amp;$B607,'5) Release_Track'!$F:$F&amp;'5) Release_Track'!$G:$G,1,0))),vlookup($A607&amp;$B607,{'5) Release_Track'!$F:$F&amp;'5) Release_Track'!$G:$G,'5) Release_Track'!$I:$I},2,0), or(and(not(isblank($B607)),$B607=$B606,$A607&lt;&gt;$A606),and(not(isblank($A607)),$A607=$A606,$B607&lt;&gt;$B606)),"ID LISTS UNALIGNED",and($A607&lt;&gt;"",countif('5) Release_Track'!$F:$F,$A607)=0),"NO ISRC MATCH in Release_Track",and($B607&lt;&gt;"",countif('5) Release_Track'!$G:$G,$B607)=0),"NO CATALOG ID MATCH in Release_Track",iserror(vlookup($A607&amp;$B607,'5) Release_Track'!$F:$F&amp;'5) Release_Track'!$G:$G,1,0)),"NO ISRC-CATALOG ID pair MATCH in Release_Track" )</f>
        <v/>
      </c>
      <c r="E607" s="125" t="str">
        <f t="array" ref="E607">ifs(and(isblank($A607),isblank($B607)),"", not(iserror(vlookup($A607&amp;$B607,'5) Release_Track'!$F:$F&amp;'5) Release_Track'!$G:$G,1,0))),vlookup($A607&amp;$B607,{'5) Release_Track'!$F:$F&amp;'5) Release_Track'!$G:$G,'5) Release_Track'!$J:$J},2,0), or(and(not(isblank($B607)),$B607=$B606,$A607&lt;&gt;$A606),and(not(isblank($A607)),$A607=$A606,$B607&lt;&gt;$B606)),"ID LISTS UNALIGNED",and($A607&lt;&gt;"",countif('5) Release_Track'!$F:$F,$A607)=0),"NO ISRC MATCH in Release_Track",and($B607&lt;&gt;"",countif('5) Release_Track'!$G:$G,$B607)=0),"NO CATALOG ID MATCH in Release_Track",iserror(vlookup($A607&amp;$B607,'5) Release_Track'!$F:$F&amp;'5) Release_Track'!$G:$G,1,0)),"NO ISRC-CATALOG ID pair MATCH in Release_Track" )</f>
        <v/>
      </c>
      <c r="F607" s="122"/>
      <c r="G607" s="99"/>
      <c r="H607" s="178"/>
      <c r="I607" s="121" t="str">
        <f t="shared" si="6"/>
        <v/>
      </c>
      <c r="J607" s="99"/>
      <c r="K607" s="99"/>
    </row>
    <row r="608">
      <c r="B608" s="103"/>
      <c r="C608" s="121" t="str">
        <f t="array" ref="C608">ifs(and(isblank($A608),isblank($B608)),"", not(iserror(vlookup($A608&amp;$B608,'5) Release_Track'!$F:$F&amp;'5) Release_Track'!$G:$G,1,0))),vlookup($A608&amp;$B608,{'5) Release_Track'!$F:$F&amp;'5) Release_Track'!$G:$G,'5) Release_Track'!$H:$H},2,0), or(and(not(isblank($B608)),$B608=$B607,$A608&lt;&gt;$A607),and(not(isblank($A608)),$A608=$A607,$B608&lt;&gt;$B607)),"ID LISTS UNALIGNED",and($A608&lt;&gt;"",countif('5) Release_Track'!$F:$F,$A608)=0),"NO ISRC MATCH in Release_Track",and($B608&lt;&gt;"",countif('5) Release_Track'!$G:$G,$B608)=0),"NO CATALOG ID MATCH in Release_Track",iserror(vlookup($A608&amp;$B608,'5) Release_Track'!$F:$F&amp;'5) Release_Track'!$G:$G,1,0)),"NO ISRC-CATALOG ID pair MATCH in Release_Track" )</f>
        <v/>
      </c>
      <c r="D608" s="121" t="str">
        <f t="array" ref="D608">ifs(and(isblank($A608),isblank($B608)),"", not(iserror(vlookup($A608&amp;$B608,'5) Release_Track'!$F:$F&amp;'5) Release_Track'!$G:$G,1,0))),vlookup($A608&amp;$B608,{'5) Release_Track'!$F:$F&amp;'5) Release_Track'!$G:$G,'5) Release_Track'!$I:$I},2,0), or(and(not(isblank($B608)),$B608=$B607,$A608&lt;&gt;$A607),and(not(isblank($A608)),$A608=$A607,$B608&lt;&gt;$B607)),"ID LISTS UNALIGNED",and($A608&lt;&gt;"",countif('5) Release_Track'!$F:$F,$A608)=0),"NO ISRC MATCH in Release_Track",and($B608&lt;&gt;"",countif('5) Release_Track'!$G:$G,$B608)=0),"NO CATALOG ID MATCH in Release_Track",iserror(vlookup($A608&amp;$B608,'5) Release_Track'!$F:$F&amp;'5) Release_Track'!$G:$G,1,0)),"NO ISRC-CATALOG ID pair MATCH in Release_Track" )</f>
        <v/>
      </c>
      <c r="E608" s="125" t="str">
        <f t="array" ref="E608">ifs(and(isblank($A608),isblank($B608)),"", not(iserror(vlookup($A608&amp;$B608,'5) Release_Track'!$F:$F&amp;'5) Release_Track'!$G:$G,1,0))),vlookup($A608&amp;$B608,{'5) Release_Track'!$F:$F&amp;'5) Release_Track'!$G:$G,'5) Release_Track'!$J:$J},2,0), or(and(not(isblank($B608)),$B608=$B607,$A608&lt;&gt;$A607),and(not(isblank($A608)),$A608=$A607,$B608&lt;&gt;$B607)),"ID LISTS UNALIGNED",and($A608&lt;&gt;"",countif('5) Release_Track'!$F:$F,$A608)=0),"NO ISRC MATCH in Release_Track",and($B608&lt;&gt;"",countif('5) Release_Track'!$G:$G,$B608)=0),"NO CATALOG ID MATCH in Release_Track",iserror(vlookup($A608&amp;$B608,'5) Release_Track'!$F:$F&amp;'5) Release_Track'!$G:$G,1,0)),"NO ISRC-CATALOG ID pair MATCH in Release_Track" )</f>
        <v/>
      </c>
      <c r="F608" s="122"/>
      <c r="G608" s="99"/>
      <c r="H608" s="178"/>
      <c r="I608" s="121" t="str">
        <f t="shared" si="6"/>
        <v/>
      </c>
      <c r="J608" s="99"/>
      <c r="K608" s="99"/>
    </row>
    <row r="609">
      <c r="B609" s="103"/>
      <c r="C609" s="121" t="str">
        <f t="array" ref="C609">ifs(and(isblank($A609),isblank($B609)),"", not(iserror(vlookup($A609&amp;$B609,'5) Release_Track'!$F:$F&amp;'5) Release_Track'!$G:$G,1,0))),vlookup($A609&amp;$B609,{'5) Release_Track'!$F:$F&amp;'5) Release_Track'!$G:$G,'5) Release_Track'!$H:$H},2,0), or(and(not(isblank($B609)),$B609=$B608,$A609&lt;&gt;$A608),and(not(isblank($A609)),$A609=$A608,$B609&lt;&gt;$B608)),"ID LISTS UNALIGNED",and($A609&lt;&gt;"",countif('5) Release_Track'!$F:$F,$A609)=0),"NO ISRC MATCH in Release_Track",and($B609&lt;&gt;"",countif('5) Release_Track'!$G:$G,$B609)=0),"NO CATALOG ID MATCH in Release_Track",iserror(vlookup($A609&amp;$B609,'5) Release_Track'!$F:$F&amp;'5) Release_Track'!$G:$G,1,0)),"NO ISRC-CATALOG ID pair MATCH in Release_Track" )</f>
        <v/>
      </c>
      <c r="D609" s="121" t="str">
        <f t="array" ref="D609">ifs(and(isblank($A609),isblank($B609)),"", not(iserror(vlookup($A609&amp;$B609,'5) Release_Track'!$F:$F&amp;'5) Release_Track'!$G:$G,1,0))),vlookup($A609&amp;$B609,{'5) Release_Track'!$F:$F&amp;'5) Release_Track'!$G:$G,'5) Release_Track'!$I:$I},2,0), or(and(not(isblank($B609)),$B609=$B608,$A609&lt;&gt;$A608),and(not(isblank($A609)),$A609=$A608,$B609&lt;&gt;$B608)),"ID LISTS UNALIGNED",and($A609&lt;&gt;"",countif('5) Release_Track'!$F:$F,$A609)=0),"NO ISRC MATCH in Release_Track",and($B609&lt;&gt;"",countif('5) Release_Track'!$G:$G,$B609)=0),"NO CATALOG ID MATCH in Release_Track",iserror(vlookup($A609&amp;$B609,'5) Release_Track'!$F:$F&amp;'5) Release_Track'!$G:$G,1,0)),"NO ISRC-CATALOG ID pair MATCH in Release_Track" )</f>
        <v/>
      </c>
      <c r="E609" s="125" t="str">
        <f t="array" ref="E609">ifs(and(isblank($A609),isblank($B609)),"", not(iserror(vlookup($A609&amp;$B609,'5) Release_Track'!$F:$F&amp;'5) Release_Track'!$G:$G,1,0))),vlookup($A609&amp;$B609,{'5) Release_Track'!$F:$F&amp;'5) Release_Track'!$G:$G,'5) Release_Track'!$J:$J},2,0), or(and(not(isblank($B609)),$B609=$B608,$A609&lt;&gt;$A608),and(not(isblank($A609)),$A609=$A608,$B609&lt;&gt;$B608)),"ID LISTS UNALIGNED",and($A609&lt;&gt;"",countif('5) Release_Track'!$F:$F,$A609)=0),"NO ISRC MATCH in Release_Track",and($B609&lt;&gt;"",countif('5) Release_Track'!$G:$G,$B609)=0),"NO CATALOG ID MATCH in Release_Track",iserror(vlookup($A609&amp;$B609,'5) Release_Track'!$F:$F&amp;'5) Release_Track'!$G:$G,1,0)),"NO ISRC-CATALOG ID pair MATCH in Release_Track" )</f>
        <v/>
      </c>
      <c r="F609" s="122"/>
      <c r="G609" s="99"/>
      <c r="H609" s="178"/>
      <c r="I609" s="121" t="str">
        <f t="shared" si="6"/>
        <v/>
      </c>
      <c r="J609" s="99"/>
      <c r="K609" s="99"/>
    </row>
    <row r="610">
      <c r="B610" s="103"/>
      <c r="C610" s="121" t="str">
        <f t="array" ref="C610">ifs(and(isblank($A610),isblank($B610)),"", not(iserror(vlookup($A610&amp;$B610,'5) Release_Track'!$F:$F&amp;'5) Release_Track'!$G:$G,1,0))),vlookup($A610&amp;$B610,{'5) Release_Track'!$F:$F&amp;'5) Release_Track'!$G:$G,'5) Release_Track'!$H:$H},2,0), or(and(not(isblank($B610)),$B610=$B609,$A610&lt;&gt;$A609),and(not(isblank($A610)),$A610=$A609,$B610&lt;&gt;$B609)),"ID LISTS UNALIGNED",and($A610&lt;&gt;"",countif('5) Release_Track'!$F:$F,$A610)=0),"NO ISRC MATCH in Release_Track",and($B610&lt;&gt;"",countif('5) Release_Track'!$G:$G,$B610)=0),"NO CATALOG ID MATCH in Release_Track",iserror(vlookup($A610&amp;$B610,'5) Release_Track'!$F:$F&amp;'5) Release_Track'!$G:$G,1,0)),"NO ISRC-CATALOG ID pair MATCH in Release_Track" )</f>
        <v/>
      </c>
      <c r="D610" s="121" t="str">
        <f t="array" ref="D610">ifs(and(isblank($A610),isblank($B610)),"", not(iserror(vlookup($A610&amp;$B610,'5) Release_Track'!$F:$F&amp;'5) Release_Track'!$G:$G,1,0))),vlookup($A610&amp;$B610,{'5) Release_Track'!$F:$F&amp;'5) Release_Track'!$G:$G,'5) Release_Track'!$I:$I},2,0), or(and(not(isblank($B610)),$B610=$B609,$A610&lt;&gt;$A609),and(not(isblank($A610)),$A610=$A609,$B610&lt;&gt;$B609)),"ID LISTS UNALIGNED",and($A610&lt;&gt;"",countif('5) Release_Track'!$F:$F,$A610)=0),"NO ISRC MATCH in Release_Track",and($B610&lt;&gt;"",countif('5) Release_Track'!$G:$G,$B610)=0),"NO CATALOG ID MATCH in Release_Track",iserror(vlookup($A610&amp;$B610,'5) Release_Track'!$F:$F&amp;'5) Release_Track'!$G:$G,1,0)),"NO ISRC-CATALOG ID pair MATCH in Release_Track" )</f>
        <v/>
      </c>
      <c r="E610" s="125" t="str">
        <f t="array" ref="E610">ifs(and(isblank($A610),isblank($B610)),"", not(iserror(vlookup($A610&amp;$B610,'5) Release_Track'!$F:$F&amp;'5) Release_Track'!$G:$G,1,0))),vlookup($A610&amp;$B610,{'5) Release_Track'!$F:$F&amp;'5) Release_Track'!$G:$G,'5) Release_Track'!$J:$J},2,0), or(and(not(isblank($B610)),$B610=$B609,$A610&lt;&gt;$A609),and(not(isblank($A610)),$A610=$A609,$B610&lt;&gt;$B609)),"ID LISTS UNALIGNED",and($A610&lt;&gt;"",countif('5) Release_Track'!$F:$F,$A610)=0),"NO ISRC MATCH in Release_Track",and($B610&lt;&gt;"",countif('5) Release_Track'!$G:$G,$B610)=0),"NO CATALOG ID MATCH in Release_Track",iserror(vlookup($A610&amp;$B610,'5) Release_Track'!$F:$F&amp;'5) Release_Track'!$G:$G,1,0)),"NO ISRC-CATALOG ID pair MATCH in Release_Track" )</f>
        <v/>
      </c>
      <c r="F610" s="122"/>
      <c r="G610" s="99"/>
      <c r="H610" s="178"/>
      <c r="I610" s="121" t="str">
        <f t="shared" si="6"/>
        <v/>
      </c>
      <c r="J610" s="99"/>
      <c r="K610" s="99"/>
    </row>
    <row r="611">
      <c r="B611" s="103"/>
      <c r="C611" s="121" t="str">
        <f t="array" ref="C611">ifs(and(isblank($A611),isblank($B611)),"", not(iserror(vlookup($A611&amp;$B611,'5) Release_Track'!$F:$F&amp;'5) Release_Track'!$G:$G,1,0))),vlookup($A611&amp;$B611,{'5) Release_Track'!$F:$F&amp;'5) Release_Track'!$G:$G,'5) Release_Track'!$H:$H},2,0), or(and(not(isblank($B611)),$B611=$B610,$A611&lt;&gt;$A610),and(not(isblank($A611)),$A611=$A610,$B611&lt;&gt;$B610)),"ID LISTS UNALIGNED",and($A611&lt;&gt;"",countif('5) Release_Track'!$F:$F,$A611)=0),"NO ISRC MATCH in Release_Track",and($B611&lt;&gt;"",countif('5) Release_Track'!$G:$G,$B611)=0),"NO CATALOG ID MATCH in Release_Track",iserror(vlookup($A611&amp;$B611,'5) Release_Track'!$F:$F&amp;'5) Release_Track'!$G:$G,1,0)),"NO ISRC-CATALOG ID pair MATCH in Release_Track" )</f>
        <v/>
      </c>
      <c r="D611" s="121" t="str">
        <f t="array" ref="D611">ifs(and(isblank($A611),isblank($B611)),"", not(iserror(vlookup($A611&amp;$B611,'5) Release_Track'!$F:$F&amp;'5) Release_Track'!$G:$G,1,0))),vlookup($A611&amp;$B611,{'5) Release_Track'!$F:$F&amp;'5) Release_Track'!$G:$G,'5) Release_Track'!$I:$I},2,0), or(and(not(isblank($B611)),$B611=$B610,$A611&lt;&gt;$A610),and(not(isblank($A611)),$A611=$A610,$B611&lt;&gt;$B610)),"ID LISTS UNALIGNED",and($A611&lt;&gt;"",countif('5) Release_Track'!$F:$F,$A611)=0),"NO ISRC MATCH in Release_Track",and($B611&lt;&gt;"",countif('5) Release_Track'!$G:$G,$B611)=0),"NO CATALOG ID MATCH in Release_Track",iserror(vlookup($A611&amp;$B611,'5) Release_Track'!$F:$F&amp;'5) Release_Track'!$G:$G,1,0)),"NO ISRC-CATALOG ID pair MATCH in Release_Track" )</f>
        <v/>
      </c>
      <c r="E611" s="125" t="str">
        <f t="array" ref="E611">ifs(and(isblank($A611),isblank($B611)),"", not(iserror(vlookup($A611&amp;$B611,'5) Release_Track'!$F:$F&amp;'5) Release_Track'!$G:$G,1,0))),vlookup($A611&amp;$B611,{'5) Release_Track'!$F:$F&amp;'5) Release_Track'!$G:$G,'5) Release_Track'!$J:$J},2,0), or(and(not(isblank($B611)),$B611=$B610,$A611&lt;&gt;$A610),and(not(isblank($A611)),$A611=$A610,$B611&lt;&gt;$B610)),"ID LISTS UNALIGNED",and($A611&lt;&gt;"",countif('5) Release_Track'!$F:$F,$A611)=0),"NO ISRC MATCH in Release_Track",and($B611&lt;&gt;"",countif('5) Release_Track'!$G:$G,$B611)=0),"NO CATALOG ID MATCH in Release_Track",iserror(vlookup($A611&amp;$B611,'5) Release_Track'!$F:$F&amp;'5) Release_Track'!$G:$G,1,0)),"NO ISRC-CATALOG ID pair MATCH in Release_Track" )</f>
        <v/>
      </c>
      <c r="F611" s="122"/>
      <c r="G611" s="99"/>
      <c r="H611" s="178"/>
      <c r="I611" s="121" t="str">
        <f t="shared" si="6"/>
        <v/>
      </c>
      <c r="J611" s="99"/>
      <c r="K611" s="99"/>
    </row>
    <row r="612">
      <c r="B612" s="103"/>
      <c r="C612" s="121" t="str">
        <f t="array" ref="C612">ifs(and(isblank($A612),isblank($B612)),"", not(iserror(vlookup($A612&amp;$B612,'5) Release_Track'!$F:$F&amp;'5) Release_Track'!$G:$G,1,0))),vlookup($A612&amp;$B612,{'5) Release_Track'!$F:$F&amp;'5) Release_Track'!$G:$G,'5) Release_Track'!$H:$H},2,0), or(and(not(isblank($B612)),$B612=$B611,$A612&lt;&gt;$A611),and(not(isblank($A612)),$A612=$A611,$B612&lt;&gt;$B611)),"ID LISTS UNALIGNED",and($A612&lt;&gt;"",countif('5) Release_Track'!$F:$F,$A612)=0),"NO ISRC MATCH in Release_Track",and($B612&lt;&gt;"",countif('5) Release_Track'!$G:$G,$B612)=0),"NO CATALOG ID MATCH in Release_Track",iserror(vlookup($A612&amp;$B612,'5) Release_Track'!$F:$F&amp;'5) Release_Track'!$G:$G,1,0)),"NO ISRC-CATALOG ID pair MATCH in Release_Track" )</f>
        <v/>
      </c>
      <c r="D612" s="121" t="str">
        <f t="array" ref="D612">ifs(and(isblank($A612),isblank($B612)),"", not(iserror(vlookup($A612&amp;$B612,'5) Release_Track'!$F:$F&amp;'5) Release_Track'!$G:$G,1,0))),vlookup($A612&amp;$B612,{'5) Release_Track'!$F:$F&amp;'5) Release_Track'!$G:$G,'5) Release_Track'!$I:$I},2,0), or(and(not(isblank($B612)),$B612=$B611,$A612&lt;&gt;$A611),and(not(isblank($A612)),$A612=$A611,$B612&lt;&gt;$B611)),"ID LISTS UNALIGNED",and($A612&lt;&gt;"",countif('5) Release_Track'!$F:$F,$A612)=0),"NO ISRC MATCH in Release_Track",and($B612&lt;&gt;"",countif('5) Release_Track'!$G:$G,$B612)=0),"NO CATALOG ID MATCH in Release_Track",iserror(vlookup($A612&amp;$B612,'5) Release_Track'!$F:$F&amp;'5) Release_Track'!$G:$G,1,0)),"NO ISRC-CATALOG ID pair MATCH in Release_Track" )</f>
        <v/>
      </c>
      <c r="E612" s="125" t="str">
        <f t="array" ref="E612">ifs(and(isblank($A612),isblank($B612)),"", not(iserror(vlookup($A612&amp;$B612,'5) Release_Track'!$F:$F&amp;'5) Release_Track'!$G:$G,1,0))),vlookup($A612&amp;$B612,{'5) Release_Track'!$F:$F&amp;'5) Release_Track'!$G:$G,'5) Release_Track'!$J:$J},2,0), or(and(not(isblank($B612)),$B612=$B611,$A612&lt;&gt;$A611),and(not(isblank($A612)),$A612=$A611,$B612&lt;&gt;$B611)),"ID LISTS UNALIGNED",and($A612&lt;&gt;"",countif('5) Release_Track'!$F:$F,$A612)=0),"NO ISRC MATCH in Release_Track",and($B612&lt;&gt;"",countif('5) Release_Track'!$G:$G,$B612)=0),"NO CATALOG ID MATCH in Release_Track",iserror(vlookup($A612&amp;$B612,'5) Release_Track'!$F:$F&amp;'5) Release_Track'!$G:$G,1,0)),"NO ISRC-CATALOG ID pair MATCH in Release_Track" )</f>
        <v/>
      </c>
      <c r="F612" s="122"/>
      <c r="G612" s="99"/>
      <c r="H612" s="178"/>
      <c r="I612" s="121" t="str">
        <f t="shared" si="6"/>
        <v/>
      </c>
      <c r="J612" s="99"/>
      <c r="K612" s="99"/>
    </row>
    <row r="613">
      <c r="B613" s="103"/>
      <c r="C613" s="121" t="str">
        <f t="array" ref="C613">ifs(and(isblank($A613),isblank($B613)),"", not(iserror(vlookup($A613&amp;$B613,'5) Release_Track'!$F:$F&amp;'5) Release_Track'!$G:$G,1,0))),vlookup($A613&amp;$B613,{'5) Release_Track'!$F:$F&amp;'5) Release_Track'!$G:$G,'5) Release_Track'!$H:$H},2,0), or(and(not(isblank($B613)),$B613=$B612,$A613&lt;&gt;$A612),and(not(isblank($A613)),$A613=$A612,$B613&lt;&gt;$B612)),"ID LISTS UNALIGNED",and($A613&lt;&gt;"",countif('5) Release_Track'!$F:$F,$A613)=0),"NO ISRC MATCH in Release_Track",and($B613&lt;&gt;"",countif('5) Release_Track'!$G:$G,$B613)=0),"NO CATALOG ID MATCH in Release_Track",iserror(vlookup($A613&amp;$B613,'5) Release_Track'!$F:$F&amp;'5) Release_Track'!$G:$G,1,0)),"NO ISRC-CATALOG ID pair MATCH in Release_Track" )</f>
        <v/>
      </c>
      <c r="D613" s="121" t="str">
        <f t="array" ref="D613">ifs(and(isblank($A613),isblank($B613)),"", not(iserror(vlookup($A613&amp;$B613,'5) Release_Track'!$F:$F&amp;'5) Release_Track'!$G:$G,1,0))),vlookup($A613&amp;$B613,{'5) Release_Track'!$F:$F&amp;'5) Release_Track'!$G:$G,'5) Release_Track'!$I:$I},2,0), or(and(not(isblank($B613)),$B613=$B612,$A613&lt;&gt;$A612),and(not(isblank($A613)),$A613=$A612,$B613&lt;&gt;$B612)),"ID LISTS UNALIGNED",and($A613&lt;&gt;"",countif('5) Release_Track'!$F:$F,$A613)=0),"NO ISRC MATCH in Release_Track",and($B613&lt;&gt;"",countif('5) Release_Track'!$G:$G,$B613)=0),"NO CATALOG ID MATCH in Release_Track",iserror(vlookup($A613&amp;$B613,'5) Release_Track'!$F:$F&amp;'5) Release_Track'!$G:$G,1,0)),"NO ISRC-CATALOG ID pair MATCH in Release_Track" )</f>
        <v/>
      </c>
      <c r="E613" s="125" t="str">
        <f t="array" ref="E613">ifs(and(isblank($A613),isblank($B613)),"", not(iserror(vlookup($A613&amp;$B613,'5) Release_Track'!$F:$F&amp;'5) Release_Track'!$G:$G,1,0))),vlookup($A613&amp;$B613,{'5) Release_Track'!$F:$F&amp;'5) Release_Track'!$G:$G,'5) Release_Track'!$J:$J},2,0), or(and(not(isblank($B613)),$B613=$B612,$A613&lt;&gt;$A612),and(not(isblank($A613)),$A613=$A612,$B613&lt;&gt;$B612)),"ID LISTS UNALIGNED",and($A613&lt;&gt;"",countif('5) Release_Track'!$F:$F,$A613)=0),"NO ISRC MATCH in Release_Track",and($B613&lt;&gt;"",countif('5) Release_Track'!$G:$G,$B613)=0),"NO CATALOG ID MATCH in Release_Track",iserror(vlookup($A613&amp;$B613,'5) Release_Track'!$F:$F&amp;'5) Release_Track'!$G:$G,1,0)),"NO ISRC-CATALOG ID pair MATCH in Release_Track" )</f>
        <v/>
      </c>
      <c r="F613" s="122"/>
      <c r="G613" s="99"/>
      <c r="H613" s="178"/>
      <c r="I613" s="121" t="str">
        <f t="shared" si="6"/>
        <v/>
      </c>
      <c r="J613" s="99"/>
      <c r="K613" s="99"/>
    </row>
    <row r="614">
      <c r="B614" s="103"/>
      <c r="C614" s="121" t="str">
        <f t="array" ref="C614">ifs(and(isblank($A614),isblank($B614)),"", not(iserror(vlookup($A614&amp;$B614,'5) Release_Track'!$F:$F&amp;'5) Release_Track'!$G:$G,1,0))),vlookup($A614&amp;$B614,{'5) Release_Track'!$F:$F&amp;'5) Release_Track'!$G:$G,'5) Release_Track'!$H:$H},2,0), or(and(not(isblank($B614)),$B614=$B613,$A614&lt;&gt;$A613),and(not(isblank($A614)),$A614=$A613,$B614&lt;&gt;$B613)),"ID LISTS UNALIGNED",and($A614&lt;&gt;"",countif('5) Release_Track'!$F:$F,$A614)=0),"NO ISRC MATCH in Release_Track",and($B614&lt;&gt;"",countif('5) Release_Track'!$G:$G,$B614)=0),"NO CATALOG ID MATCH in Release_Track",iserror(vlookup($A614&amp;$B614,'5) Release_Track'!$F:$F&amp;'5) Release_Track'!$G:$G,1,0)),"NO ISRC-CATALOG ID pair MATCH in Release_Track" )</f>
        <v/>
      </c>
      <c r="D614" s="121" t="str">
        <f t="array" ref="D614">ifs(and(isblank($A614),isblank($B614)),"", not(iserror(vlookup($A614&amp;$B614,'5) Release_Track'!$F:$F&amp;'5) Release_Track'!$G:$G,1,0))),vlookup($A614&amp;$B614,{'5) Release_Track'!$F:$F&amp;'5) Release_Track'!$G:$G,'5) Release_Track'!$I:$I},2,0), or(and(not(isblank($B614)),$B614=$B613,$A614&lt;&gt;$A613),and(not(isblank($A614)),$A614=$A613,$B614&lt;&gt;$B613)),"ID LISTS UNALIGNED",and($A614&lt;&gt;"",countif('5) Release_Track'!$F:$F,$A614)=0),"NO ISRC MATCH in Release_Track",and($B614&lt;&gt;"",countif('5) Release_Track'!$G:$G,$B614)=0),"NO CATALOG ID MATCH in Release_Track",iserror(vlookup($A614&amp;$B614,'5) Release_Track'!$F:$F&amp;'5) Release_Track'!$G:$G,1,0)),"NO ISRC-CATALOG ID pair MATCH in Release_Track" )</f>
        <v/>
      </c>
      <c r="E614" s="125" t="str">
        <f t="array" ref="E614">ifs(and(isblank($A614),isblank($B614)),"", not(iserror(vlookup($A614&amp;$B614,'5) Release_Track'!$F:$F&amp;'5) Release_Track'!$G:$G,1,0))),vlookup($A614&amp;$B614,{'5) Release_Track'!$F:$F&amp;'5) Release_Track'!$G:$G,'5) Release_Track'!$J:$J},2,0), or(and(not(isblank($B614)),$B614=$B613,$A614&lt;&gt;$A613),and(not(isblank($A614)),$A614=$A613,$B614&lt;&gt;$B613)),"ID LISTS UNALIGNED",and($A614&lt;&gt;"",countif('5) Release_Track'!$F:$F,$A614)=0),"NO ISRC MATCH in Release_Track",and($B614&lt;&gt;"",countif('5) Release_Track'!$G:$G,$B614)=0),"NO CATALOG ID MATCH in Release_Track",iserror(vlookup($A614&amp;$B614,'5) Release_Track'!$F:$F&amp;'5) Release_Track'!$G:$G,1,0)),"NO ISRC-CATALOG ID pair MATCH in Release_Track" )</f>
        <v/>
      </c>
      <c r="F614" s="122"/>
      <c r="G614" s="99"/>
      <c r="H614" s="178"/>
      <c r="I614" s="121" t="str">
        <f t="shared" si="6"/>
        <v/>
      </c>
      <c r="J614" s="99"/>
      <c r="K614" s="99"/>
    </row>
    <row r="615">
      <c r="B615" s="103"/>
      <c r="C615" s="121" t="str">
        <f t="array" ref="C615">ifs(and(isblank($A615),isblank($B615)),"", not(iserror(vlookup($A615&amp;$B615,'5) Release_Track'!$F:$F&amp;'5) Release_Track'!$G:$G,1,0))),vlookup($A615&amp;$B615,{'5) Release_Track'!$F:$F&amp;'5) Release_Track'!$G:$G,'5) Release_Track'!$H:$H},2,0), or(and(not(isblank($B615)),$B615=$B614,$A615&lt;&gt;$A614),and(not(isblank($A615)),$A615=$A614,$B615&lt;&gt;$B614)),"ID LISTS UNALIGNED",and($A615&lt;&gt;"",countif('5) Release_Track'!$F:$F,$A615)=0),"NO ISRC MATCH in Release_Track",and($B615&lt;&gt;"",countif('5) Release_Track'!$G:$G,$B615)=0),"NO CATALOG ID MATCH in Release_Track",iserror(vlookup($A615&amp;$B615,'5) Release_Track'!$F:$F&amp;'5) Release_Track'!$G:$G,1,0)),"NO ISRC-CATALOG ID pair MATCH in Release_Track" )</f>
        <v/>
      </c>
      <c r="D615" s="121" t="str">
        <f t="array" ref="D615">ifs(and(isblank($A615),isblank($B615)),"", not(iserror(vlookup($A615&amp;$B615,'5) Release_Track'!$F:$F&amp;'5) Release_Track'!$G:$G,1,0))),vlookup($A615&amp;$B615,{'5) Release_Track'!$F:$F&amp;'5) Release_Track'!$G:$G,'5) Release_Track'!$I:$I},2,0), or(and(not(isblank($B615)),$B615=$B614,$A615&lt;&gt;$A614),and(not(isblank($A615)),$A615=$A614,$B615&lt;&gt;$B614)),"ID LISTS UNALIGNED",and($A615&lt;&gt;"",countif('5) Release_Track'!$F:$F,$A615)=0),"NO ISRC MATCH in Release_Track",and($B615&lt;&gt;"",countif('5) Release_Track'!$G:$G,$B615)=0),"NO CATALOG ID MATCH in Release_Track",iserror(vlookup($A615&amp;$B615,'5) Release_Track'!$F:$F&amp;'5) Release_Track'!$G:$G,1,0)),"NO ISRC-CATALOG ID pair MATCH in Release_Track" )</f>
        <v/>
      </c>
      <c r="E615" s="125" t="str">
        <f t="array" ref="E615">ifs(and(isblank($A615),isblank($B615)),"", not(iserror(vlookup($A615&amp;$B615,'5) Release_Track'!$F:$F&amp;'5) Release_Track'!$G:$G,1,0))),vlookup($A615&amp;$B615,{'5) Release_Track'!$F:$F&amp;'5) Release_Track'!$G:$G,'5) Release_Track'!$J:$J},2,0), or(and(not(isblank($B615)),$B615=$B614,$A615&lt;&gt;$A614),and(not(isblank($A615)),$A615=$A614,$B615&lt;&gt;$B614)),"ID LISTS UNALIGNED",and($A615&lt;&gt;"",countif('5) Release_Track'!$F:$F,$A615)=0),"NO ISRC MATCH in Release_Track",and($B615&lt;&gt;"",countif('5) Release_Track'!$G:$G,$B615)=0),"NO CATALOG ID MATCH in Release_Track",iserror(vlookup($A615&amp;$B615,'5) Release_Track'!$F:$F&amp;'5) Release_Track'!$G:$G,1,0)),"NO ISRC-CATALOG ID pair MATCH in Release_Track" )</f>
        <v/>
      </c>
      <c r="F615" s="122"/>
      <c r="G615" s="99"/>
      <c r="H615" s="178"/>
      <c r="I615" s="121" t="str">
        <f t="shared" si="6"/>
        <v/>
      </c>
      <c r="J615" s="99"/>
      <c r="K615" s="99"/>
    </row>
    <row r="616">
      <c r="B616" s="103"/>
      <c r="C616" s="121" t="str">
        <f t="array" ref="C616">ifs(and(isblank($A616),isblank($B616)),"", not(iserror(vlookup($A616&amp;$B616,'5) Release_Track'!$F:$F&amp;'5) Release_Track'!$G:$G,1,0))),vlookup($A616&amp;$B616,{'5) Release_Track'!$F:$F&amp;'5) Release_Track'!$G:$G,'5) Release_Track'!$H:$H},2,0), or(and(not(isblank($B616)),$B616=$B615,$A616&lt;&gt;$A615),and(not(isblank($A616)),$A616=$A615,$B616&lt;&gt;$B615)),"ID LISTS UNALIGNED",and($A616&lt;&gt;"",countif('5) Release_Track'!$F:$F,$A616)=0),"NO ISRC MATCH in Release_Track",and($B616&lt;&gt;"",countif('5) Release_Track'!$G:$G,$B616)=0),"NO CATALOG ID MATCH in Release_Track",iserror(vlookup($A616&amp;$B616,'5) Release_Track'!$F:$F&amp;'5) Release_Track'!$G:$G,1,0)),"NO ISRC-CATALOG ID pair MATCH in Release_Track" )</f>
        <v/>
      </c>
      <c r="D616" s="121" t="str">
        <f t="array" ref="D616">ifs(and(isblank($A616),isblank($B616)),"", not(iserror(vlookup($A616&amp;$B616,'5) Release_Track'!$F:$F&amp;'5) Release_Track'!$G:$G,1,0))),vlookup($A616&amp;$B616,{'5) Release_Track'!$F:$F&amp;'5) Release_Track'!$G:$G,'5) Release_Track'!$I:$I},2,0), or(and(not(isblank($B616)),$B616=$B615,$A616&lt;&gt;$A615),and(not(isblank($A616)),$A616=$A615,$B616&lt;&gt;$B615)),"ID LISTS UNALIGNED",and($A616&lt;&gt;"",countif('5) Release_Track'!$F:$F,$A616)=0),"NO ISRC MATCH in Release_Track",and($B616&lt;&gt;"",countif('5) Release_Track'!$G:$G,$B616)=0),"NO CATALOG ID MATCH in Release_Track",iserror(vlookup($A616&amp;$B616,'5) Release_Track'!$F:$F&amp;'5) Release_Track'!$G:$G,1,0)),"NO ISRC-CATALOG ID pair MATCH in Release_Track" )</f>
        <v/>
      </c>
      <c r="E616" s="125" t="str">
        <f t="array" ref="E616">ifs(and(isblank($A616),isblank($B616)),"", not(iserror(vlookup($A616&amp;$B616,'5) Release_Track'!$F:$F&amp;'5) Release_Track'!$G:$G,1,0))),vlookup($A616&amp;$B616,{'5) Release_Track'!$F:$F&amp;'5) Release_Track'!$G:$G,'5) Release_Track'!$J:$J},2,0), or(and(not(isblank($B616)),$B616=$B615,$A616&lt;&gt;$A615),and(not(isblank($A616)),$A616=$A615,$B616&lt;&gt;$B615)),"ID LISTS UNALIGNED",and($A616&lt;&gt;"",countif('5) Release_Track'!$F:$F,$A616)=0),"NO ISRC MATCH in Release_Track",and($B616&lt;&gt;"",countif('5) Release_Track'!$G:$G,$B616)=0),"NO CATALOG ID MATCH in Release_Track",iserror(vlookup($A616&amp;$B616,'5) Release_Track'!$F:$F&amp;'5) Release_Track'!$G:$G,1,0)),"NO ISRC-CATALOG ID pair MATCH in Release_Track" )</f>
        <v/>
      </c>
      <c r="F616" s="122"/>
      <c r="G616" s="99"/>
      <c r="H616" s="178"/>
      <c r="I616" s="121" t="str">
        <f t="shared" si="6"/>
        <v/>
      </c>
      <c r="J616" s="99"/>
      <c r="K616" s="99"/>
    </row>
    <row r="617">
      <c r="B617" s="103"/>
      <c r="C617" s="121" t="str">
        <f t="array" ref="C617">ifs(and(isblank($A617),isblank($B617)),"", not(iserror(vlookup($A617&amp;$B617,'5) Release_Track'!$F:$F&amp;'5) Release_Track'!$G:$G,1,0))),vlookup($A617&amp;$B617,{'5) Release_Track'!$F:$F&amp;'5) Release_Track'!$G:$G,'5) Release_Track'!$H:$H},2,0), or(and(not(isblank($B617)),$B617=$B616,$A617&lt;&gt;$A616),and(not(isblank($A617)),$A617=$A616,$B617&lt;&gt;$B616)),"ID LISTS UNALIGNED",and($A617&lt;&gt;"",countif('5) Release_Track'!$F:$F,$A617)=0),"NO ISRC MATCH in Release_Track",and($B617&lt;&gt;"",countif('5) Release_Track'!$G:$G,$B617)=0),"NO CATALOG ID MATCH in Release_Track",iserror(vlookup($A617&amp;$B617,'5) Release_Track'!$F:$F&amp;'5) Release_Track'!$G:$G,1,0)),"NO ISRC-CATALOG ID pair MATCH in Release_Track" )</f>
        <v/>
      </c>
      <c r="D617" s="121" t="str">
        <f t="array" ref="D617">ifs(and(isblank($A617),isblank($B617)),"", not(iserror(vlookup($A617&amp;$B617,'5) Release_Track'!$F:$F&amp;'5) Release_Track'!$G:$G,1,0))),vlookup($A617&amp;$B617,{'5) Release_Track'!$F:$F&amp;'5) Release_Track'!$G:$G,'5) Release_Track'!$I:$I},2,0), or(and(not(isblank($B617)),$B617=$B616,$A617&lt;&gt;$A616),and(not(isblank($A617)),$A617=$A616,$B617&lt;&gt;$B616)),"ID LISTS UNALIGNED",and($A617&lt;&gt;"",countif('5) Release_Track'!$F:$F,$A617)=0),"NO ISRC MATCH in Release_Track",and($B617&lt;&gt;"",countif('5) Release_Track'!$G:$G,$B617)=0),"NO CATALOG ID MATCH in Release_Track",iserror(vlookup($A617&amp;$B617,'5) Release_Track'!$F:$F&amp;'5) Release_Track'!$G:$G,1,0)),"NO ISRC-CATALOG ID pair MATCH in Release_Track" )</f>
        <v/>
      </c>
      <c r="E617" s="125" t="str">
        <f t="array" ref="E617">ifs(and(isblank($A617),isblank($B617)),"", not(iserror(vlookup($A617&amp;$B617,'5) Release_Track'!$F:$F&amp;'5) Release_Track'!$G:$G,1,0))),vlookup($A617&amp;$B617,{'5) Release_Track'!$F:$F&amp;'5) Release_Track'!$G:$G,'5) Release_Track'!$J:$J},2,0), or(and(not(isblank($B617)),$B617=$B616,$A617&lt;&gt;$A616),and(not(isblank($A617)),$A617=$A616,$B617&lt;&gt;$B616)),"ID LISTS UNALIGNED",and($A617&lt;&gt;"",countif('5) Release_Track'!$F:$F,$A617)=0),"NO ISRC MATCH in Release_Track",and($B617&lt;&gt;"",countif('5) Release_Track'!$G:$G,$B617)=0),"NO CATALOG ID MATCH in Release_Track",iserror(vlookup($A617&amp;$B617,'5) Release_Track'!$F:$F&amp;'5) Release_Track'!$G:$G,1,0)),"NO ISRC-CATALOG ID pair MATCH in Release_Track" )</f>
        <v/>
      </c>
      <c r="F617" s="122"/>
      <c r="G617" s="99"/>
      <c r="H617" s="178"/>
      <c r="I617" s="121" t="str">
        <f t="shared" si="6"/>
        <v/>
      </c>
      <c r="J617" s="99"/>
      <c r="K617" s="99"/>
    </row>
    <row r="618">
      <c r="B618" s="103"/>
      <c r="C618" s="121" t="str">
        <f t="array" ref="C618">ifs(and(isblank($A618),isblank($B618)),"", not(iserror(vlookup($A618&amp;$B618,'5) Release_Track'!$F:$F&amp;'5) Release_Track'!$G:$G,1,0))),vlookup($A618&amp;$B618,{'5) Release_Track'!$F:$F&amp;'5) Release_Track'!$G:$G,'5) Release_Track'!$H:$H},2,0), or(and(not(isblank($B618)),$B618=$B617,$A618&lt;&gt;$A617),and(not(isblank($A618)),$A618=$A617,$B618&lt;&gt;$B617)),"ID LISTS UNALIGNED",and($A618&lt;&gt;"",countif('5) Release_Track'!$F:$F,$A618)=0),"NO ISRC MATCH in Release_Track",and($B618&lt;&gt;"",countif('5) Release_Track'!$G:$G,$B618)=0),"NO CATALOG ID MATCH in Release_Track",iserror(vlookup($A618&amp;$B618,'5) Release_Track'!$F:$F&amp;'5) Release_Track'!$G:$G,1,0)),"NO ISRC-CATALOG ID pair MATCH in Release_Track" )</f>
        <v/>
      </c>
      <c r="D618" s="121" t="str">
        <f t="array" ref="D618">ifs(and(isblank($A618),isblank($B618)),"", not(iserror(vlookup($A618&amp;$B618,'5) Release_Track'!$F:$F&amp;'5) Release_Track'!$G:$G,1,0))),vlookup($A618&amp;$B618,{'5) Release_Track'!$F:$F&amp;'5) Release_Track'!$G:$G,'5) Release_Track'!$I:$I},2,0), or(and(not(isblank($B618)),$B618=$B617,$A618&lt;&gt;$A617),and(not(isblank($A618)),$A618=$A617,$B618&lt;&gt;$B617)),"ID LISTS UNALIGNED",and($A618&lt;&gt;"",countif('5) Release_Track'!$F:$F,$A618)=0),"NO ISRC MATCH in Release_Track",and($B618&lt;&gt;"",countif('5) Release_Track'!$G:$G,$B618)=0),"NO CATALOG ID MATCH in Release_Track",iserror(vlookup($A618&amp;$B618,'5) Release_Track'!$F:$F&amp;'5) Release_Track'!$G:$G,1,0)),"NO ISRC-CATALOG ID pair MATCH in Release_Track" )</f>
        <v/>
      </c>
      <c r="E618" s="125" t="str">
        <f t="array" ref="E618">ifs(and(isblank($A618),isblank($B618)),"", not(iserror(vlookup($A618&amp;$B618,'5) Release_Track'!$F:$F&amp;'5) Release_Track'!$G:$G,1,0))),vlookup($A618&amp;$B618,{'5) Release_Track'!$F:$F&amp;'5) Release_Track'!$G:$G,'5) Release_Track'!$J:$J},2,0), or(and(not(isblank($B618)),$B618=$B617,$A618&lt;&gt;$A617),and(not(isblank($A618)),$A618=$A617,$B618&lt;&gt;$B617)),"ID LISTS UNALIGNED",and($A618&lt;&gt;"",countif('5) Release_Track'!$F:$F,$A618)=0),"NO ISRC MATCH in Release_Track",and($B618&lt;&gt;"",countif('5) Release_Track'!$G:$G,$B618)=0),"NO CATALOG ID MATCH in Release_Track",iserror(vlookup($A618&amp;$B618,'5) Release_Track'!$F:$F&amp;'5) Release_Track'!$G:$G,1,0)),"NO ISRC-CATALOG ID pair MATCH in Release_Track" )</f>
        <v/>
      </c>
      <c r="F618" s="122"/>
      <c r="G618" s="99"/>
      <c r="H618" s="178"/>
      <c r="I618" s="121" t="str">
        <f t="shared" si="6"/>
        <v/>
      </c>
      <c r="J618" s="99"/>
      <c r="K618" s="99"/>
    </row>
    <row r="619">
      <c r="B619" s="103"/>
      <c r="C619" s="121" t="str">
        <f t="array" ref="C619">ifs(and(isblank($A619),isblank($B619)),"", not(iserror(vlookup($A619&amp;$B619,'5) Release_Track'!$F:$F&amp;'5) Release_Track'!$G:$G,1,0))),vlookup($A619&amp;$B619,{'5) Release_Track'!$F:$F&amp;'5) Release_Track'!$G:$G,'5) Release_Track'!$H:$H},2,0), or(and(not(isblank($B619)),$B619=$B618,$A619&lt;&gt;$A618),and(not(isblank($A619)),$A619=$A618,$B619&lt;&gt;$B618)),"ID LISTS UNALIGNED",and($A619&lt;&gt;"",countif('5) Release_Track'!$F:$F,$A619)=0),"NO ISRC MATCH in Release_Track",and($B619&lt;&gt;"",countif('5) Release_Track'!$G:$G,$B619)=0),"NO CATALOG ID MATCH in Release_Track",iserror(vlookup($A619&amp;$B619,'5) Release_Track'!$F:$F&amp;'5) Release_Track'!$G:$G,1,0)),"NO ISRC-CATALOG ID pair MATCH in Release_Track" )</f>
        <v/>
      </c>
      <c r="D619" s="121" t="str">
        <f t="array" ref="D619">ifs(and(isblank($A619),isblank($B619)),"", not(iserror(vlookup($A619&amp;$B619,'5) Release_Track'!$F:$F&amp;'5) Release_Track'!$G:$G,1,0))),vlookup($A619&amp;$B619,{'5) Release_Track'!$F:$F&amp;'5) Release_Track'!$G:$G,'5) Release_Track'!$I:$I},2,0), or(and(not(isblank($B619)),$B619=$B618,$A619&lt;&gt;$A618),and(not(isblank($A619)),$A619=$A618,$B619&lt;&gt;$B618)),"ID LISTS UNALIGNED",and($A619&lt;&gt;"",countif('5) Release_Track'!$F:$F,$A619)=0),"NO ISRC MATCH in Release_Track",and($B619&lt;&gt;"",countif('5) Release_Track'!$G:$G,$B619)=0),"NO CATALOG ID MATCH in Release_Track",iserror(vlookup($A619&amp;$B619,'5) Release_Track'!$F:$F&amp;'5) Release_Track'!$G:$G,1,0)),"NO ISRC-CATALOG ID pair MATCH in Release_Track" )</f>
        <v/>
      </c>
      <c r="E619" s="125" t="str">
        <f t="array" ref="E619">ifs(and(isblank($A619),isblank($B619)),"", not(iserror(vlookup($A619&amp;$B619,'5) Release_Track'!$F:$F&amp;'5) Release_Track'!$G:$G,1,0))),vlookup($A619&amp;$B619,{'5) Release_Track'!$F:$F&amp;'5) Release_Track'!$G:$G,'5) Release_Track'!$J:$J},2,0), or(and(not(isblank($B619)),$B619=$B618,$A619&lt;&gt;$A618),and(not(isblank($A619)),$A619=$A618,$B619&lt;&gt;$B618)),"ID LISTS UNALIGNED",and($A619&lt;&gt;"",countif('5) Release_Track'!$F:$F,$A619)=0),"NO ISRC MATCH in Release_Track",and($B619&lt;&gt;"",countif('5) Release_Track'!$G:$G,$B619)=0),"NO CATALOG ID MATCH in Release_Track",iserror(vlookup($A619&amp;$B619,'5) Release_Track'!$F:$F&amp;'5) Release_Track'!$G:$G,1,0)),"NO ISRC-CATALOG ID pair MATCH in Release_Track" )</f>
        <v/>
      </c>
      <c r="F619" s="122"/>
      <c r="G619" s="99"/>
      <c r="H619" s="178"/>
      <c r="I619" s="121" t="str">
        <f t="shared" si="6"/>
        <v/>
      </c>
      <c r="J619" s="99"/>
      <c r="K619" s="99"/>
    </row>
    <row r="620">
      <c r="B620" s="103"/>
      <c r="C620" s="121" t="str">
        <f t="array" ref="C620">ifs(and(isblank($A620),isblank($B620)),"", not(iserror(vlookup($A620&amp;$B620,'5) Release_Track'!$F:$F&amp;'5) Release_Track'!$G:$G,1,0))),vlookup($A620&amp;$B620,{'5) Release_Track'!$F:$F&amp;'5) Release_Track'!$G:$G,'5) Release_Track'!$H:$H},2,0), or(and(not(isblank($B620)),$B620=$B619,$A620&lt;&gt;$A619),and(not(isblank($A620)),$A620=$A619,$B620&lt;&gt;$B619)),"ID LISTS UNALIGNED",and($A620&lt;&gt;"",countif('5) Release_Track'!$F:$F,$A620)=0),"NO ISRC MATCH in Release_Track",and($B620&lt;&gt;"",countif('5) Release_Track'!$G:$G,$B620)=0),"NO CATALOG ID MATCH in Release_Track",iserror(vlookup($A620&amp;$B620,'5) Release_Track'!$F:$F&amp;'5) Release_Track'!$G:$G,1,0)),"NO ISRC-CATALOG ID pair MATCH in Release_Track" )</f>
        <v/>
      </c>
      <c r="D620" s="121" t="str">
        <f t="array" ref="D620">ifs(and(isblank($A620),isblank($B620)),"", not(iserror(vlookup($A620&amp;$B620,'5) Release_Track'!$F:$F&amp;'5) Release_Track'!$G:$G,1,0))),vlookup($A620&amp;$B620,{'5) Release_Track'!$F:$F&amp;'5) Release_Track'!$G:$G,'5) Release_Track'!$I:$I},2,0), or(and(not(isblank($B620)),$B620=$B619,$A620&lt;&gt;$A619),and(not(isblank($A620)),$A620=$A619,$B620&lt;&gt;$B619)),"ID LISTS UNALIGNED",and($A620&lt;&gt;"",countif('5) Release_Track'!$F:$F,$A620)=0),"NO ISRC MATCH in Release_Track",and($B620&lt;&gt;"",countif('5) Release_Track'!$G:$G,$B620)=0),"NO CATALOG ID MATCH in Release_Track",iserror(vlookup($A620&amp;$B620,'5) Release_Track'!$F:$F&amp;'5) Release_Track'!$G:$G,1,0)),"NO ISRC-CATALOG ID pair MATCH in Release_Track" )</f>
        <v/>
      </c>
      <c r="E620" s="125" t="str">
        <f t="array" ref="E620">ifs(and(isblank($A620),isblank($B620)),"", not(iserror(vlookup($A620&amp;$B620,'5) Release_Track'!$F:$F&amp;'5) Release_Track'!$G:$G,1,0))),vlookup($A620&amp;$B620,{'5) Release_Track'!$F:$F&amp;'5) Release_Track'!$G:$G,'5) Release_Track'!$J:$J},2,0), or(and(not(isblank($B620)),$B620=$B619,$A620&lt;&gt;$A619),and(not(isblank($A620)),$A620=$A619,$B620&lt;&gt;$B619)),"ID LISTS UNALIGNED",and($A620&lt;&gt;"",countif('5) Release_Track'!$F:$F,$A620)=0),"NO ISRC MATCH in Release_Track",and($B620&lt;&gt;"",countif('5) Release_Track'!$G:$G,$B620)=0),"NO CATALOG ID MATCH in Release_Track",iserror(vlookup($A620&amp;$B620,'5) Release_Track'!$F:$F&amp;'5) Release_Track'!$G:$G,1,0)),"NO ISRC-CATALOG ID pair MATCH in Release_Track" )</f>
        <v/>
      </c>
      <c r="F620" s="122"/>
      <c r="G620" s="99"/>
      <c r="H620" s="178"/>
      <c r="I620" s="121" t="str">
        <f t="shared" si="6"/>
        <v/>
      </c>
      <c r="J620" s="99"/>
      <c r="K620" s="99"/>
    </row>
    <row r="621">
      <c r="B621" s="103"/>
      <c r="C621" s="121" t="str">
        <f t="array" ref="C621">ifs(and(isblank($A621),isblank($B621)),"", not(iserror(vlookup($A621&amp;$B621,'5) Release_Track'!$F:$F&amp;'5) Release_Track'!$G:$G,1,0))),vlookup($A621&amp;$B621,{'5) Release_Track'!$F:$F&amp;'5) Release_Track'!$G:$G,'5) Release_Track'!$H:$H},2,0), or(and(not(isblank($B621)),$B621=$B620,$A621&lt;&gt;$A620),and(not(isblank($A621)),$A621=$A620,$B621&lt;&gt;$B620)),"ID LISTS UNALIGNED",and($A621&lt;&gt;"",countif('5) Release_Track'!$F:$F,$A621)=0),"NO ISRC MATCH in Release_Track",and($B621&lt;&gt;"",countif('5) Release_Track'!$G:$G,$B621)=0),"NO CATALOG ID MATCH in Release_Track",iserror(vlookup($A621&amp;$B621,'5) Release_Track'!$F:$F&amp;'5) Release_Track'!$G:$G,1,0)),"NO ISRC-CATALOG ID pair MATCH in Release_Track" )</f>
        <v/>
      </c>
      <c r="D621" s="121" t="str">
        <f t="array" ref="D621">ifs(and(isblank($A621),isblank($B621)),"", not(iserror(vlookup($A621&amp;$B621,'5) Release_Track'!$F:$F&amp;'5) Release_Track'!$G:$G,1,0))),vlookup($A621&amp;$B621,{'5) Release_Track'!$F:$F&amp;'5) Release_Track'!$G:$G,'5) Release_Track'!$I:$I},2,0), or(and(not(isblank($B621)),$B621=$B620,$A621&lt;&gt;$A620),and(not(isblank($A621)),$A621=$A620,$B621&lt;&gt;$B620)),"ID LISTS UNALIGNED",and($A621&lt;&gt;"",countif('5) Release_Track'!$F:$F,$A621)=0),"NO ISRC MATCH in Release_Track",and($B621&lt;&gt;"",countif('5) Release_Track'!$G:$G,$B621)=0),"NO CATALOG ID MATCH in Release_Track",iserror(vlookup($A621&amp;$B621,'5) Release_Track'!$F:$F&amp;'5) Release_Track'!$G:$G,1,0)),"NO ISRC-CATALOG ID pair MATCH in Release_Track" )</f>
        <v/>
      </c>
      <c r="E621" s="125" t="str">
        <f t="array" ref="E621">ifs(and(isblank($A621),isblank($B621)),"", not(iserror(vlookup($A621&amp;$B621,'5) Release_Track'!$F:$F&amp;'5) Release_Track'!$G:$G,1,0))),vlookup($A621&amp;$B621,{'5) Release_Track'!$F:$F&amp;'5) Release_Track'!$G:$G,'5) Release_Track'!$J:$J},2,0), or(and(not(isblank($B621)),$B621=$B620,$A621&lt;&gt;$A620),and(not(isblank($A621)),$A621=$A620,$B621&lt;&gt;$B620)),"ID LISTS UNALIGNED",and($A621&lt;&gt;"",countif('5) Release_Track'!$F:$F,$A621)=0),"NO ISRC MATCH in Release_Track",and($B621&lt;&gt;"",countif('5) Release_Track'!$G:$G,$B621)=0),"NO CATALOG ID MATCH in Release_Track",iserror(vlookup($A621&amp;$B621,'5) Release_Track'!$F:$F&amp;'5) Release_Track'!$G:$G,1,0)),"NO ISRC-CATALOG ID pair MATCH in Release_Track" )</f>
        <v/>
      </c>
      <c r="F621" s="122"/>
      <c r="G621" s="99"/>
      <c r="H621" s="178"/>
      <c r="I621" s="121" t="str">
        <f t="shared" si="6"/>
        <v/>
      </c>
      <c r="J621" s="99"/>
      <c r="K621" s="99"/>
    </row>
    <row r="622">
      <c r="B622" s="103"/>
      <c r="C622" s="121" t="str">
        <f t="array" ref="C622">ifs(and(isblank($A622),isblank($B622)),"", not(iserror(vlookup($A622&amp;$B622,'5) Release_Track'!$F:$F&amp;'5) Release_Track'!$G:$G,1,0))),vlookup($A622&amp;$B622,{'5) Release_Track'!$F:$F&amp;'5) Release_Track'!$G:$G,'5) Release_Track'!$H:$H},2,0), or(and(not(isblank($B622)),$B622=$B621,$A622&lt;&gt;$A621),and(not(isblank($A622)),$A622=$A621,$B622&lt;&gt;$B621)),"ID LISTS UNALIGNED",and($A622&lt;&gt;"",countif('5) Release_Track'!$F:$F,$A622)=0),"NO ISRC MATCH in Release_Track",and($B622&lt;&gt;"",countif('5) Release_Track'!$G:$G,$B622)=0),"NO CATALOG ID MATCH in Release_Track",iserror(vlookup($A622&amp;$B622,'5) Release_Track'!$F:$F&amp;'5) Release_Track'!$G:$G,1,0)),"NO ISRC-CATALOG ID pair MATCH in Release_Track" )</f>
        <v/>
      </c>
      <c r="D622" s="121" t="str">
        <f t="array" ref="D622">ifs(and(isblank($A622),isblank($B622)),"", not(iserror(vlookup($A622&amp;$B622,'5) Release_Track'!$F:$F&amp;'5) Release_Track'!$G:$G,1,0))),vlookup($A622&amp;$B622,{'5) Release_Track'!$F:$F&amp;'5) Release_Track'!$G:$G,'5) Release_Track'!$I:$I},2,0), or(and(not(isblank($B622)),$B622=$B621,$A622&lt;&gt;$A621),and(not(isblank($A622)),$A622=$A621,$B622&lt;&gt;$B621)),"ID LISTS UNALIGNED",and($A622&lt;&gt;"",countif('5) Release_Track'!$F:$F,$A622)=0),"NO ISRC MATCH in Release_Track",and($B622&lt;&gt;"",countif('5) Release_Track'!$G:$G,$B622)=0),"NO CATALOG ID MATCH in Release_Track",iserror(vlookup($A622&amp;$B622,'5) Release_Track'!$F:$F&amp;'5) Release_Track'!$G:$G,1,0)),"NO ISRC-CATALOG ID pair MATCH in Release_Track" )</f>
        <v/>
      </c>
      <c r="E622" s="125" t="str">
        <f t="array" ref="E622">ifs(and(isblank($A622),isblank($B622)),"", not(iserror(vlookup($A622&amp;$B622,'5) Release_Track'!$F:$F&amp;'5) Release_Track'!$G:$G,1,0))),vlookup($A622&amp;$B622,{'5) Release_Track'!$F:$F&amp;'5) Release_Track'!$G:$G,'5) Release_Track'!$J:$J},2,0), or(and(not(isblank($B622)),$B622=$B621,$A622&lt;&gt;$A621),and(not(isblank($A622)),$A622=$A621,$B622&lt;&gt;$B621)),"ID LISTS UNALIGNED",and($A622&lt;&gt;"",countif('5) Release_Track'!$F:$F,$A622)=0),"NO ISRC MATCH in Release_Track",and($B622&lt;&gt;"",countif('5) Release_Track'!$G:$G,$B622)=0),"NO CATALOG ID MATCH in Release_Track",iserror(vlookup($A622&amp;$B622,'5) Release_Track'!$F:$F&amp;'5) Release_Track'!$G:$G,1,0)),"NO ISRC-CATALOG ID pair MATCH in Release_Track" )</f>
        <v/>
      </c>
      <c r="F622" s="122"/>
      <c r="G622" s="99"/>
      <c r="H622" s="178"/>
      <c r="I622" s="121" t="str">
        <f t="shared" si="6"/>
        <v/>
      </c>
      <c r="J622" s="99"/>
      <c r="K622" s="99"/>
    </row>
    <row r="623">
      <c r="B623" s="103"/>
      <c r="C623" s="121" t="str">
        <f t="array" ref="C623">ifs(and(isblank($A623),isblank($B623)),"", not(iserror(vlookup($A623&amp;$B623,'5) Release_Track'!$F:$F&amp;'5) Release_Track'!$G:$G,1,0))),vlookup($A623&amp;$B623,{'5) Release_Track'!$F:$F&amp;'5) Release_Track'!$G:$G,'5) Release_Track'!$H:$H},2,0), or(and(not(isblank($B623)),$B623=$B622,$A623&lt;&gt;$A622),and(not(isblank($A623)),$A623=$A622,$B623&lt;&gt;$B622)),"ID LISTS UNALIGNED",and($A623&lt;&gt;"",countif('5) Release_Track'!$F:$F,$A623)=0),"NO ISRC MATCH in Release_Track",and($B623&lt;&gt;"",countif('5) Release_Track'!$G:$G,$B623)=0),"NO CATALOG ID MATCH in Release_Track",iserror(vlookup($A623&amp;$B623,'5) Release_Track'!$F:$F&amp;'5) Release_Track'!$G:$G,1,0)),"NO ISRC-CATALOG ID pair MATCH in Release_Track" )</f>
        <v/>
      </c>
      <c r="D623" s="121" t="str">
        <f t="array" ref="D623">ifs(and(isblank($A623),isblank($B623)),"", not(iserror(vlookup($A623&amp;$B623,'5) Release_Track'!$F:$F&amp;'5) Release_Track'!$G:$G,1,0))),vlookup($A623&amp;$B623,{'5) Release_Track'!$F:$F&amp;'5) Release_Track'!$G:$G,'5) Release_Track'!$I:$I},2,0), or(and(not(isblank($B623)),$B623=$B622,$A623&lt;&gt;$A622),and(not(isblank($A623)),$A623=$A622,$B623&lt;&gt;$B622)),"ID LISTS UNALIGNED",and($A623&lt;&gt;"",countif('5) Release_Track'!$F:$F,$A623)=0),"NO ISRC MATCH in Release_Track",and($B623&lt;&gt;"",countif('5) Release_Track'!$G:$G,$B623)=0),"NO CATALOG ID MATCH in Release_Track",iserror(vlookup($A623&amp;$B623,'5) Release_Track'!$F:$F&amp;'5) Release_Track'!$G:$G,1,0)),"NO ISRC-CATALOG ID pair MATCH in Release_Track" )</f>
        <v/>
      </c>
      <c r="E623" s="125" t="str">
        <f t="array" ref="E623">ifs(and(isblank($A623),isblank($B623)),"", not(iserror(vlookup($A623&amp;$B623,'5) Release_Track'!$F:$F&amp;'5) Release_Track'!$G:$G,1,0))),vlookup($A623&amp;$B623,{'5) Release_Track'!$F:$F&amp;'5) Release_Track'!$G:$G,'5) Release_Track'!$J:$J},2,0), or(and(not(isblank($B623)),$B623=$B622,$A623&lt;&gt;$A622),and(not(isblank($A623)),$A623=$A622,$B623&lt;&gt;$B622)),"ID LISTS UNALIGNED",and($A623&lt;&gt;"",countif('5) Release_Track'!$F:$F,$A623)=0),"NO ISRC MATCH in Release_Track",and($B623&lt;&gt;"",countif('5) Release_Track'!$G:$G,$B623)=0),"NO CATALOG ID MATCH in Release_Track",iserror(vlookup($A623&amp;$B623,'5) Release_Track'!$F:$F&amp;'5) Release_Track'!$G:$G,1,0)),"NO ISRC-CATALOG ID pair MATCH in Release_Track" )</f>
        <v/>
      </c>
      <c r="F623" s="122"/>
      <c r="G623" s="99"/>
      <c r="H623" s="178"/>
      <c r="I623" s="121" t="str">
        <f t="shared" si="6"/>
        <v/>
      </c>
      <c r="J623" s="99"/>
      <c r="K623" s="99"/>
    </row>
    <row r="624">
      <c r="B624" s="103"/>
      <c r="C624" s="121" t="str">
        <f t="array" ref="C624">ifs(and(isblank($A624),isblank($B624)),"", not(iserror(vlookup($A624&amp;$B624,'5) Release_Track'!$F:$F&amp;'5) Release_Track'!$G:$G,1,0))),vlookup($A624&amp;$B624,{'5) Release_Track'!$F:$F&amp;'5) Release_Track'!$G:$G,'5) Release_Track'!$H:$H},2,0), or(and(not(isblank($B624)),$B624=$B623,$A624&lt;&gt;$A623),and(not(isblank($A624)),$A624=$A623,$B624&lt;&gt;$B623)),"ID LISTS UNALIGNED",and($A624&lt;&gt;"",countif('5) Release_Track'!$F:$F,$A624)=0),"NO ISRC MATCH in Release_Track",and($B624&lt;&gt;"",countif('5) Release_Track'!$G:$G,$B624)=0),"NO CATALOG ID MATCH in Release_Track",iserror(vlookup($A624&amp;$B624,'5) Release_Track'!$F:$F&amp;'5) Release_Track'!$G:$G,1,0)),"NO ISRC-CATALOG ID pair MATCH in Release_Track" )</f>
        <v/>
      </c>
      <c r="D624" s="121" t="str">
        <f t="array" ref="D624">ifs(and(isblank($A624),isblank($B624)),"", not(iserror(vlookup($A624&amp;$B624,'5) Release_Track'!$F:$F&amp;'5) Release_Track'!$G:$G,1,0))),vlookup($A624&amp;$B624,{'5) Release_Track'!$F:$F&amp;'5) Release_Track'!$G:$G,'5) Release_Track'!$I:$I},2,0), or(and(not(isblank($B624)),$B624=$B623,$A624&lt;&gt;$A623),and(not(isblank($A624)),$A624=$A623,$B624&lt;&gt;$B623)),"ID LISTS UNALIGNED",and($A624&lt;&gt;"",countif('5) Release_Track'!$F:$F,$A624)=0),"NO ISRC MATCH in Release_Track",and($B624&lt;&gt;"",countif('5) Release_Track'!$G:$G,$B624)=0),"NO CATALOG ID MATCH in Release_Track",iserror(vlookup($A624&amp;$B624,'5) Release_Track'!$F:$F&amp;'5) Release_Track'!$G:$G,1,0)),"NO ISRC-CATALOG ID pair MATCH in Release_Track" )</f>
        <v/>
      </c>
      <c r="E624" s="125" t="str">
        <f t="array" ref="E624">ifs(and(isblank($A624),isblank($B624)),"", not(iserror(vlookup($A624&amp;$B624,'5) Release_Track'!$F:$F&amp;'5) Release_Track'!$G:$G,1,0))),vlookup($A624&amp;$B624,{'5) Release_Track'!$F:$F&amp;'5) Release_Track'!$G:$G,'5) Release_Track'!$J:$J},2,0), or(and(not(isblank($B624)),$B624=$B623,$A624&lt;&gt;$A623),and(not(isblank($A624)),$A624=$A623,$B624&lt;&gt;$B623)),"ID LISTS UNALIGNED",and($A624&lt;&gt;"",countif('5) Release_Track'!$F:$F,$A624)=0),"NO ISRC MATCH in Release_Track",and($B624&lt;&gt;"",countif('5) Release_Track'!$G:$G,$B624)=0),"NO CATALOG ID MATCH in Release_Track",iserror(vlookup($A624&amp;$B624,'5) Release_Track'!$F:$F&amp;'5) Release_Track'!$G:$G,1,0)),"NO ISRC-CATALOG ID pair MATCH in Release_Track" )</f>
        <v/>
      </c>
      <c r="F624" s="122"/>
      <c r="G624" s="99"/>
      <c r="H624" s="178"/>
      <c r="I624" s="121" t="str">
        <f t="shared" si="6"/>
        <v/>
      </c>
      <c r="J624" s="99"/>
      <c r="K624" s="99"/>
    </row>
    <row r="625">
      <c r="B625" s="103"/>
      <c r="C625" s="121" t="str">
        <f t="array" ref="C625">ifs(and(isblank($A625),isblank($B625)),"", not(iserror(vlookup($A625&amp;$B625,'5) Release_Track'!$F:$F&amp;'5) Release_Track'!$G:$G,1,0))),vlookup($A625&amp;$B625,{'5) Release_Track'!$F:$F&amp;'5) Release_Track'!$G:$G,'5) Release_Track'!$H:$H},2,0), or(and(not(isblank($B625)),$B625=$B624,$A625&lt;&gt;$A624),and(not(isblank($A625)),$A625=$A624,$B625&lt;&gt;$B624)),"ID LISTS UNALIGNED",and($A625&lt;&gt;"",countif('5) Release_Track'!$F:$F,$A625)=0),"NO ISRC MATCH in Release_Track",and($B625&lt;&gt;"",countif('5) Release_Track'!$G:$G,$B625)=0),"NO CATALOG ID MATCH in Release_Track",iserror(vlookup($A625&amp;$B625,'5) Release_Track'!$F:$F&amp;'5) Release_Track'!$G:$G,1,0)),"NO ISRC-CATALOG ID pair MATCH in Release_Track" )</f>
        <v/>
      </c>
      <c r="D625" s="121" t="str">
        <f t="array" ref="D625">ifs(and(isblank($A625),isblank($B625)),"", not(iserror(vlookup($A625&amp;$B625,'5) Release_Track'!$F:$F&amp;'5) Release_Track'!$G:$G,1,0))),vlookup($A625&amp;$B625,{'5) Release_Track'!$F:$F&amp;'5) Release_Track'!$G:$G,'5) Release_Track'!$I:$I},2,0), or(and(not(isblank($B625)),$B625=$B624,$A625&lt;&gt;$A624),and(not(isblank($A625)),$A625=$A624,$B625&lt;&gt;$B624)),"ID LISTS UNALIGNED",and($A625&lt;&gt;"",countif('5) Release_Track'!$F:$F,$A625)=0),"NO ISRC MATCH in Release_Track",and($B625&lt;&gt;"",countif('5) Release_Track'!$G:$G,$B625)=0),"NO CATALOG ID MATCH in Release_Track",iserror(vlookup($A625&amp;$B625,'5) Release_Track'!$F:$F&amp;'5) Release_Track'!$G:$G,1,0)),"NO ISRC-CATALOG ID pair MATCH in Release_Track" )</f>
        <v/>
      </c>
      <c r="E625" s="125" t="str">
        <f t="array" ref="E625">ifs(and(isblank($A625),isblank($B625)),"", not(iserror(vlookup($A625&amp;$B625,'5) Release_Track'!$F:$F&amp;'5) Release_Track'!$G:$G,1,0))),vlookup($A625&amp;$B625,{'5) Release_Track'!$F:$F&amp;'5) Release_Track'!$G:$G,'5) Release_Track'!$J:$J},2,0), or(and(not(isblank($B625)),$B625=$B624,$A625&lt;&gt;$A624),and(not(isblank($A625)),$A625=$A624,$B625&lt;&gt;$B624)),"ID LISTS UNALIGNED",and($A625&lt;&gt;"",countif('5) Release_Track'!$F:$F,$A625)=0),"NO ISRC MATCH in Release_Track",and($B625&lt;&gt;"",countif('5) Release_Track'!$G:$G,$B625)=0),"NO CATALOG ID MATCH in Release_Track",iserror(vlookup($A625&amp;$B625,'5) Release_Track'!$F:$F&amp;'5) Release_Track'!$G:$G,1,0)),"NO ISRC-CATALOG ID pair MATCH in Release_Track" )</f>
        <v/>
      </c>
      <c r="F625" s="122"/>
      <c r="G625" s="99"/>
      <c r="H625" s="178"/>
      <c r="I625" s="121" t="str">
        <f t="shared" si="6"/>
        <v/>
      </c>
      <c r="J625" s="99"/>
      <c r="K625" s="99"/>
    </row>
    <row r="626">
      <c r="B626" s="103"/>
      <c r="C626" s="121" t="str">
        <f t="array" ref="C626">ifs(and(isblank($A626),isblank($B626)),"", not(iserror(vlookup($A626&amp;$B626,'5) Release_Track'!$F:$F&amp;'5) Release_Track'!$G:$G,1,0))),vlookup($A626&amp;$B626,{'5) Release_Track'!$F:$F&amp;'5) Release_Track'!$G:$G,'5) Release_Track'!$H:$H},2,0), or(and(not(isblank($B626)),$B626=$B625,$A626&lt;&gt;$A625),and(not(isblank($A626)),$A626=$A625,$B626&lt;&gt;$B625)),"ID LISTS UNALIGNED",and($A626&lt;&gt;"",countif('5) Release_Track'!$F:$F,$A626)=0),"NO ISRC MATCH in Release_Track",and($B626&lt;&gt;"",countif('5) Release_Track'!$G:$G,$B626)=0),"NO CATALOG ID MATCH in Release_Track",iserror(vlookup($A626&amp;$B626,'5) Release_Track'!$F:$F&amp;'5) Release_Track'!$G:$G,1,0)),"NO ISRC-CATALOG ID pair MATCH in Release_Track" )</f>
        <v/>
      </c>
      <c r="D626" s="121" t="str">
        <f t="array" ref="D626">ifs(and(isblank($A626),isblank($B626)),"", not(iserror(vlookup($A626&amp;$B626,'5) Release_Track'!$F:$F&amp;'5) Release_Track'!$G:$G,1,0))),vlookup($A626&amp;$B626,{'5) Release_Track'!$F:$F&amp;'5) Release_Track'!$G:$G,'5) Release_Track'!$I:$I},2,0), or(and(not(isblank($B626)),$B626=$B625,$A626&lt;&gt;$A625),and(not(isblank($A626)),$A626=$A625,$B626&lt;&gt;$B625)),"ID LISTS UNALIGNED",and($A626&lt;&gt;"",countif('5) Release_Track'!$F:$F,$A626)=0),"NO ISRC MATCH in Release_Track",and($B626&lt;&gt;"",countif('5) Release_Track'!$G:$G,$B626)=0),"NO CATALOG ID MATCH in Release_Track",iserror(vlookup($A626&amp;$B626,'5) Release_Track'!$F:$F&amp;'5) Release_Track'!$G:$G,1,0)),"NO ISRC-CATALOG ID pair MATCH in Release_Track" )</f>
        <v/>
      </c>
      <c r="E626" s="125" t="str">
        <f t="array" ref="E626">ifs(and(isblank($A626),isblank($B626)),"", not(iserror(vlookup($A626&amp;$B626,'5) Release_Track'!$F:$F&amp;'5) Release_Track'!$G:$G,1,0))),vlookup($A626&amp;$B626,{'5) Release_Track'!$F:$F&amp;'5) Release_Track'!$G:$G,'5) Release_Track'!$J:$J},2,0), or(and(not(isblank($B626)),$B626=$B625,$A626&lt;&gt;$A625),and(not(isblank($A626)),$A626=$A625,$B626&lt;&gt;$B625)),"ID LISTS UNALIGNED",and($A626&lt;&gt;"",countif('5) Release_Track'!$F:$F,$A626)=0),"NO ISRC MATCH in Release_Track",and($B626&lt;&gt;"",countif('5) Release_Track'!$G:$G,$B626)=0),"NO CATALOG ID MATCH in Release_Track",iserror(vlookup($A626&amp;$B626,'5) Release_Track'!$F:$F&amp;'5) Release_Track'!$G:$G,1,0)),"NO ISRC-CATALOG ID pair MATCH in Release_Track" )</f>
        <v/>
      </c>
      <c r="F626" s="122"/>
      <c r="G626" s="99"/>
      <c r="H626" s="178"/>
      <c r="I626" s="121" t="str">
        <f t="shared" si="6"/>
        <v/>
      </c>
      <c r="J626" s="99"/>
      <c r="K626" s="99"/>
    </row>
    <row r="627">
      <c r="B627" s="103"/>
      <c r="C627" s="121" t="str">
        <f t="array" ref="C627">ifs(and(isblank($A627),isblank($B627)),"", not(iserror(vlookup($A627&amp;$B627,'5) Release_Track'!$F:$F&amp;'5) Release_Track'!$G:$G,1,0))),vlookup($A627&amp;$B627,{'5) Release_Track'!$F:$F&amp;'5) Release_Track'!$G:$G,'5) Release_Track'!$H:$H},2,0), or(and(not(isblank($B627)),$B627=$B626,$A627&lt;&gt;$A626),and(not(isblank($A627)),$A627=$A626,$B627&lt;&gt;$B626)),"ID LISTS UNALIGNED",and($A627&lt;&gt;"",countif('5) Release_Track'!$F:$F,$A627)=0),"NO ISRC MATCH in Release_Track",and($B627&lt;&gt;"",countif('5) Release_Track'!$G:$G,$B627)=0),"NO CATALOG ID MATCH in Release_Track",iserror(vlookup($A627&amp;$B627,'5) Release_Track'!$F:$F&amp;'5) Release_Track'!$G:$G,1,0)),"NO ISRC-CATALOG ID pair MATCH in Release_Track" )</f>
        <v/>
      </c>
      <c r="D627" s="121" t="str">
        <f t="array" ref="D627">ifs(and(isblank($A627),isblank($B627)),"", not(iserror(vlookup($A627&amp;$B627,'5) Release_Track'!$F:$F&amp;'5) Release_Track'!$G:$G,1,0))),vlookup($A627&amp;$B627,{'5) Release_Track'!$F:$F&amp;'5) Release_Track'!$G:$G,'5) Release_Track'!$I:$I},2,0), or(and(not(isblank($B627)),$B627=$B626,$A627&lt;&gt;$A626),and(not(isblank($A627)),$A627=$A626,$B627&lt;&gt;$B626)),"ID LISTS UNALIGNED",and($A627&lt;&gt;"",countif('5) Release_Track'!$F:$F,$A627)=0),"NO ISRC MATCH in Release_Track",and($B627&lt;&gt;"",countif('5) Release_Track'!$G:$G,$B627)=0),"NO CATALOG ID MATCH in Release_Track",iserror(vlookup($A627&amp;$B627,'5) Release_Track'!$F:$F&amp;'5) Release_Track'!$G:$G,1,0)),"NO ISRC-CATALOG ID pair MATCH in Release_Track" )</f>
        <v/>
      </c>
      <c r="E627" s="125" t="str">
        <f t="array" ref="E627">ifs(and(isblank($A627),isblank($B627)),"", not(iserror(vlookup($A627&amp;$B627,'5) Release_Track'!$F:$F&amp;'5) Release_Track'!$G:$G,1,0))),vlookup($A627&amp;$B627,{'5) Release_Track'!$F:$F&amp;'5) Release_Track'!$G:$G,'5) Release_Track'!$J:$J},2,0), or(and(not(isblank($B627)),$B627=$B626,$A627&lt;&gt;$A626),and(not(isblank($A627)),$A627=$A626,$B627&lt;&gt;$B626)),"ID LISTS UNALIGNED",and($A627&lt;&gt;"",countif('5) Release_Track'!$F:$F,$A627)=0),"NO ISRC MATCH in Release_Track",and($B627&lt;&gt;"",countif('5) Release_Track'!$G:$G,$B627)=0),"NO CATALOG ID MATCH in Release_Track",iserror(vlookup($A627&amp;$B627,'5) Release_Track'!$F:$F&amp;'5) Release_Track'!$G:$G,1,0)),"NO ISRC-CATALOG ID pair MATCH in Release_Track" )</f>
        <v/>
      </c>
      <c r="F627" s="122"/>
      <c r="G627" s="99"/>
      <c r="H627" s="178"/>
      <c r="I627" s="121" t="str">
        <f t="shared" si="6"/>
        <v/>
      </c>
      <c r="J627" s="99"/>
      <c r="K627" s="99"/>
    </row>
    <row r="628">
      <c r="B628" s="103"/>
      <c r="C628" s="121" t="str">
        <f t="array" ref="C628">ifs(and(isblank($A628),isblank($B628)),"", not(iserror(vlookup($A628&amp;$B628,'5) Release_Track'!$F:$F&amp;'5) Release_Track'!$G:$G,1,0))),vlookup($A628&amp;$B628,{'5) Release_Track'!$F:$F&amp;'5) Release_Track'!$G:$G,'5) Release_Track'!$H:$H},2,0), or(and(not(isblank($B628)),$B628=$B627,$A628&lt;&gt;$A627),and(not(isblank($A628)),$A628=$A627,$B628&lt;&gt;$B627)),"ID LISTS UNALIGNED",and($A628&lt;&gt;"",countif('5) Release_Track'!$F:$F,$A628)=0),"NO ISRC MATCH in Release_Track",and($B628&lt;&gt;"",countif('5) Release_Track'!$G:$G,$B628)=0),"NO CATALOG ID MATCH in Release_Track",iserror(vlookup($A628&amp;$B628,'5) Release_Track'!$F:$F&amp;'5) Release_Track'!$G:$G,1,0)),"NO ISRC-CATALOG ID pair MATCH in Release_Track" )</f>
        <v/>
      </c>
      <c r="D628" s="121" t="str">
        <f t="array" ref="D628">ifs(and(isblank($A628),isblank($B628)),"", not(iserror(vlookup($A628&amp;$B628,'5) Release_Track'!$F:$F&amp;'5) Release_Track'!$G:$G,1,0))),vlookup($A628&amp;$B628,{'5) Release_Track'!$F:$F&amp;'5) Release_Track'!$G:$G,'5) Release_Track'!$I:$I},2,0), or(and(not(isblank($B628)),$B628=$B627,$A628&lt;&gt;$A627),and(not(isblank($A628)),$A628=$A627,$B628&lt;&gt;$B627)),"ID LISTS UNALIGNED",and($A628&lt;&gt;"",countif('5) Release_Track'!$F:$F,$A628)=0),"NO ISRC MATCH in Release_Track",and($B628&lt;&gt;"",countif('5) Release_Track'!$G:$G,$B628)=0),"NO CATALOG ID MATCH in Release_Track",iserror(vlookup($A628&amp;$B628,'5) Release_Track'!$F:$F&amp;'5) Release_Track'!$G:$G,1,0)),"NO ISRC-CATALOG ID pair MATCH in Release_Track" )</f>
        <v/>
      </c>
      <c r="E628" s="125" t="str">
        <f t="array" ref="E628">ifs(and(isblank($A628),isblank($B628)),"", not(iserror(vlookup($A628&amp;$B628,'5) Release_Track'!$F:$F&amp;'5) Release_Track'!$G:$G,1,0))),vlookup($A628&amp;$B628,{'5) Release_Track'!$F:$F&amp;'5) Release_Track'!$G:$G,'5) Release_Track'!$J:$J},2,0), or(and(not(isblank($B628)),$B628=$B627,$A628&lt;&gt;$A627),and(not(isblank($A628)),$A628=$A627,$B628&lt;&gt;$B627)),"ID LISTS UNALIGNED",and($A628&lt;&gt;"",countif('5) Release_Track'!$F:$F,$A628)=0),"NO ISRC MATCH in Release_Track",and($B628&lt;&gt;"",countif('5) Release_Track'!$G:$G,$B628)=0),"NO CATALOG ID MATCH in Release_Track",iserror(vlookup($A628&amp;$B628,'5) Release_Track'!$F:$F&amp;'5) Release_Track'!$G:$G,1,0)),"NO ISRC-CATALOG ID pair MATCH in Release_Track" )</f>
        <v/>
      </c>
      <c r="F628" s="122"/>
      <c r="G628" s="99"/>
      <c r="H628" s="178"/>
      <c r="I628" s="121" t="str">
        <f t="shared" si="6"/>
        <v/>
      </c>
      <c r="J628" s="99"/>
      <c r="K628" s="99"/>
    </row>
    <row r="629">
      <c r="B629" s="103"/>
      <c r="C629" s="121" t="str">
        <f t="array" ref="C629">ifs(and(isblank($A629),isblank($B629)),"", not(iserror(vlookup($A629&amp;$B629,'5) Release_Track'!$F:$F&amp;'5) Release_Track'!$G:$G,1,0))),vlookup($A629&amp;$B629,{'5) Release_Track'!$F:$F&amp;'5) Release_Track'!$G:$G,'5) Release_Track'!$H:$H},2,0), or(and(not(isblank($B629)),$B629=$B628,$A629&lt;&gt;$A628),and(not(isblank($A629)),$A629=$A628,$B629&lt;&gt;$B628)),"ID LISTS UNALIGNED",and($A629&lt;&gt;"",countif('5) Release_Track'!$F:$F,$A629)=0),"NO ISRC MATCH in Release_Track",and($B629&lt;&gt;"",countif('5) Release_Track'!$G:$G,$B629)=0),"NO CATALOG ID MATCH in Release_Track",iserror(vlookup($A629&amp;$B629,'5) Release_Track'!$F:$F&amp;'5) Release_Track'!$G:$G,1,0)),"NO ISRC-CATALOG ID pair MATCH in Release_Track" )</f>
        <v/>
      </c>
      <c r="D629" s="121" t="str">
        <f t="array" ref="D629">ifs(and(isblank($A629),isblank($B629)),"", not(iserror(vlookup($A629&amp;$B629,'5) Release_Track'!$F:$F&amp;'5) Release_Track'!$G:$G,1,0))),vlookup($A629&amp;$B629,{'5) Release_Track'!$F:$F&amp;'5) Release_Track'!$G:$G,'5) Release_Track'!$I:$I},2,0), or(and(not(isblank($B629)),$B629=$B628,$A629&lt;&gt;$A628),and(not(isblank($A629)),$A629=$A628,$B629&lt;&gt;$B628)),"ID LISTS UNALIGNED",and($A629&lt;&gt;"",countif('5) Release_Track'!$F:$F,$A629)=0),"NO ISRC MATCH in Release_Track",and($B629&lt;&gt;"",countif('5) Release_Track'!$G:$G,$B629)=0),"NO CATALOG ID MATCH in Release_Track",iserror(vlookup($A629&amp;$B629,'5) Release_Track'!$F:$F&amp;'5) Release_Track'!$G:$G,1,0)),"NO ISRC-CATALOG ID pair MATCH in Release_Track" )</f>
        <v/>
      </c>
      <c r="E629" s="125" t="str">
        <f t="array" ref="E629">ifs(and(isblank($A629),isblank($B629)),"", not(iserror(vlookup($A629&amp;$B629,'5) Release_Track'!$F:$F&amp;'5) Release_Track'!$G:$G,1,0))),vlookup($A629&amp;$B629,{'5) Release_Track'!$F:$F&amp;'5) Release_Track'!$G:$G,'5) Release_Track'!$J:$J},2,0), or(and(not(isblank($B629)),$B629=$B628,$A629&lt;&gt;$A628),and(not(isblank($A629)),$A629=$A628,$B629&lt;&gt;$B628)),"ID LISTS UNALIGNED",and($A629&lt;&gt;"",countif('5) Release_Track'!$F:$F,$A629)=0),"NO ISRC MATCH in Release_Track",and($B629&lt;&gt;"",countif('5) Release_Track'!$G:$G,$B629)=0),"NO CATALOG ID MATCH in Release_Track",iserror(vlookup($A629&amp;$B629,'5) Release_Track'!$F:$F&amp;'5) Release_Track'!$G:$G,1,0)),"NO ISRC-CATALOG ID pair MATCH in Release_Track" )</f>
        <v/>
      </c>
      <c r="F629" s="122"/>
      <c r="G629" s="99"/>
      <c r="H629" s="178"/>
      <c r="I629" s="121" t="str">
        <f t="shared" si="6"/>
        <v/>
      </c>
      <c r="J629" s="99"/>
      <c r="K629" s="99"/>
    </row>
    <row r="630">
      <c r="B630" s="103"/>
      <c r="C630" s="121" t="str">
        <f t="array" ref="C630">ifs(and(isblank($A630),isblank($B630)),"", not(iserror(vlookup($A630&amp;$B630,'5) Release_Track'!$F:$F&amp;'5) Release_Track'!$G:$G,1,0))),vlookup($A630&amp;$B630,{'5) Release_Track'!$F:$F&amp;'5) Release_Track'!$G:$G,'5) Release_Track'!$H:$H},2,0), or(and(not(isblank($B630)),$B630=$B629,$A630&lt;&gt;$A629),and(not(isblank($A630)),$A630=$A629,$B630&lt;&gt;$B629)),"ID LISTS UNALIGNED",and($A630&lt;&gt;"",countif('5) Release_Track'!$F:$F,$A630)=0),"NO ISRC MATCH in Release_Track",and($B630&lt;&gt;"",countif('5) Release_Track'!$G:$G,$B630)=0),"NO CATALOG ID MATCH in Release_Track",iserror(vlookup($A630&amp;$B630,'5) Release_Track'!$F:$F&amp;'5) Release_Track'!$G:$G,1,0)),"NO ISRC-CATALOG ID pair MATCH in Release_Track" )</f>
        <v/>
      </c>
      <c r="D630" s="121" t="str">
        <f t="array" ref="D630">ifs(and(isblank($A630),isblank($B630)),"", not(iserror(vlookup($A630&amp;$B630,'5) Release_Track'!$F:$F&amp;'5) Release_Track'!$G:$G,1,0))),vlookup($A630&amp;$B630,{'5) Release_Track'!$F:$F&amp;'5) Release_Track'!$G:$G,'5) Release_Track'!$I:$I},2,0), or(and(not(isblank($B630)),$B630=$B629,$A630&lt;&gt;$A629),and(not(isblank($A630)),$A630=$A629,$B630&lt;&gt;$B629)),"ID LISTS UNALIGNED",and($A630&lt;&gt;"",countif('5) Release_Track'!$F:$F,$A630)=0),"NO ISRC MATCH in Release_Track",and($B630&lt;&gt;"",countif('5) Release_Track'!$G:$G,$B630)=0),"NO CATALOG ID MATCH in Release_Track",iserror(vlookup($A630&amp;$B630,'5) Release_Track'!$F:$F&amp;'5) Release_Track'!$G:$G,1,0)),"NO ISRC-CATALOG ID pair MATCH in Release_Track" )</f>
        <v/>
      </c>
      <c r="E630" s="125" t="str">
        <f t="array" ref="E630">ifs(and(isblank($A630),isblank($B630)),"", not(iserror(vlookup($A630&amp;$B630,'5) Release_Track'!$F:$F&amp;'5) Release_Track'!$G:$G,1,0))),vlookup($A630&amp;$B630,{'5) Release_Track'!$F:$F&amp;'5) Release_Track'!$G:$G,'5) Release_Track'!$J:$J},2,0), or(and(not(isblank($B630)),$B630=$B629,$A630&lt;&gt;$A629),and(not(isblank($A630)),$A630=$A629,$B630&lt;&gt;$B629)),"ID LISTS UNALIGNED",and($A630&lt;&gt;"",countif('5) Release_Track'!$F:$F,$A630)=0),"NO ISRC MATCH in Release_Track",and($B630&lt;&gt;"",countif('5) Release_Track'!$G:$G,$B630)=0),"NO CATALOG ID MATCH in Release_Track",iserror(vlookup($A630&amp;$B630,'5) Release_Track'!$F:$F&amp;'5) Release_Track'!$G:$G,1,0)),"NO ISRC-CATALOG ID pair MATCH in Release_Track" )</f>
        <v/>
      </c>
      <c r="F630" s="122"/>
      <c r="G630" s="99"/>
      <c r="H630" s="178"/>
      <c r="I630" s="121" t="str">
        <f t="shared" si="6"/>
        <v/>
      </c>
      <c r="J630" s="99"/>
      <c r="K630" s="99"/>
    </row>
    <row r="631">
      <c r="B631" s="103"/>
      <c r="C631" s="121" t="str">
        <f t="array" ref="C631">ifs(and(isblank($A631),isblank($B631)),"", not(iserror(vlookup($A631&amp;$B631,'5) Release_Track'!$F:$F&amp;'5) Release_Track'!$G:$G,1,0))),vlookup($A631&amp;$B631,{'5) Release_Track'!$F:$F&amp;'5) Release_Track'!$G:$G,'5) Release_Track'!$H:$H},2,0), or(and(not(isblank($B631)),$B631=$B630,$A631&lt;&gt;$A630),and(not(isblank($A631)),$A631=$A630,$B631&lt;&gt;$B630)),"ID LISTS UNALIGNED",and($A631&lt;&gt;"",countif('5) Release_Track'!$F:$F,$A631)=0),"NO ISRC MATCH in Release_Track",and($B631&lt;&gt;"",countif('5) Release_Track'!$G:$G,$B631)=0),"NO CATALOG ID MATCH in Release_Track",iserror(vlookup($A631&amp;$B631,'5) Release_Track'!$F:$F&amp;'5) Release_Track'!$G:$G,1,0)),"NO ISRC-CATALOG ID pair MATCH in Release_Track" )</f>
        <v/>
      </c>
      <c r="D631" s="121" t="str">
        <f t="array" ref="D631">ifs(and(isblank($A631),isblank($B631)),"", not(iserror(vlookup($A631&amp;$B631,'5) Release_Track'!$F:$F&amp;'5) Release_Track'!$G:$G,1,0))),vlookup($A631&amp;$B631,{'5) Release_Track'!$F:$F&amp;'5) Release_Track'!$G:$G,'5) Release_Track'!$I:$I},2,0), or(and(not(isblank($B631)),$B631=$B630,$A631&lt;&gt;$A630),and(not(isblank($A631)),$A631=$A630,$B631&lt;&gt;$B630)),"ID LISTS UNALIGNED",and($A631&lt;&gt;"",countif('5) Release_Track'!$F:$F,$A631)=0),"NO ISRC MATCH in Release_Track",and($B631&lt;&gt;"",countif('5) Release_Track'!$G:$G,$B631)=0),"NO CATALOG ID MATCH in Release_Track",iserror(vlookup($A631&amp;$B631,'5) Release_Track'!$F:$F&amp;'5) Release_Track'!$G:$G,1,0)),"NO ISRC-CATALOG ID pair MATCH in Release_Track" )</f>
        <v/>
      </c>
      <c r="E631" s="125" t="str">
        <f t="array" ref="E631">ifs(and(isblank($A631),isblank($B631)),"", not(iserror(vlookup($A631&amp;$B631,'5) Release_Track'!$F:$F&amp;'5) Release_Track'!$G:$G,1,0))),vlookup($A631&amp;$B631,{'5) Release_Track'!$F:$F&amp;'5) Release_Track'!$G:$G,'5) Release_Track'!$J:$J},2,0), or(and(not(isblank($B631)),$B631=$B630,$A631&lt;&gt;$A630),and(not(isblank($A631)),$A631=$A630,$B631&lt;&gt;$B630)),"ID LISTS UNALIGNED",and($A631&lt;&gt;"",countif('5) Release_Track'!$F:$F,$A631)=0),"NO ISRC MATCH in Release_Track",and($B631&lt;&gt;"",countif('5) Release_Track'!$G:$G,$B631)=0),"NO CATALOG ID MATCH in Release_Track",iserror(vlookup($A631&amp;$B631,'5) Release_Track'!$F:$F&amp;'5) Release_Track'!$G:$G,1,0)),"NO ISRC-CATALOG ID pair MATCH in Release_Track" )</f>
        <v/>
      </c>
      <c r="F631" s="122"/>
      <c r="G631" s="99"/>
      <c r="H631" s="178"/>
      <c r="I631" s="121" t="str">
        <f t="shared" si="6"/>
        <v/>
      </c>
      <c r="J631" s="99"/>
      <c r="K631" s="99"/>
    </row>
    <row r="632">
      <c r="B632" s="103"/>
      <c r="C632" s="121" t="str">
        <f t="array" ref="C632">ifs(and(isblank($A632),isblank($B632)),"", not(iserror(vlookup($A632&amp;$B632,'5) Release_Track'!$F:$F&amp;'5) Release_Track'!$G:$G,1,0))),vlookup($A632&amp;$B632,{'5) Release_Track'!$F:$F&amp;'5) Release_Track'!$G:$G,'5) Release_Track'!$H:$H},2,0), or(and(not(isblank($B632)),$B632=$B631,$A632&lt;&gt;$A631),and(not(isblank($A632)),$A632=$A631,$B632&lt;&gt;$B631)),"ID LISTS UNALIGNED",and($A632&lt;&gt;"",countif('5) Release_Track'!$F:$F,$A632)=0),"NO ISRC MATCH in Release_Track",and($B632&lt;&gt;"",countif('5) Release_Track'!$G:$G,$B632)=0),"NO CATALOG ID MATCH in Release_Track",iserror(vlookup($A632&amp;$B632,'5) Release_Track'!$F:$F&amp;'5) Release_Track'!$G:$G,1,0)),"NO ISRC-CATALOG ID pair MATCH in Release_Track" )</f>
        <v/>
      </c>
      <c r="D632" s="121" t="str">
        <f t="array" ref="D632">ifs(and(isblank($A632),isblank($B632)),"", not(iserror(vlookup($A632&amp;$B632,'5) Release_Track'!$F:$F&amp;'5) Release_Track'!$G:$G,1,0))),vlookup($A632&amp;$B632,{'5) Release_Track'!$F:$F&amp;'5) Release_Track'!$G:$G,'5) Release_Track'!$I:$I},2,0), or(and(not(isblank($B632)),$B632=$B631,$A632&lt;&gt;$A631),and(not(isblank($A632)),$A632=$A631,$B632&lt;&gt;$B631)),"ID LISTS UNALIGNED",and($A632&lt;&gt;"",countif('5) Release_Track'!$F:$F,$A632)=0),"NO ISRC MATCH in Release_Track",and($B632&lt;&gt;"",countif('5) Release_Track'!$G:$G,$B632)=0),"NO CATALOG ID MATCH in Release_Track",iserror(vlookup($A632&amp;$B632,'5) Release_Track'!$F:$F&amp;'5) Release_Track'!$G:$G,1,0)),"NO ISRC-CATALOG ID pair MATCH in Release_Track" )</f>
        <v/>
      </c>
      <c r="E632" s="125" t="str">
        <f t="array" ref="E632">ifs(and(isblank($A632),isblank($B632)),"", not(iserror(vlookup($A632&amp;$B632,'5) Release_Track'!$F:$F&amp;'5) Release_Track'!$G:$G,1,0))),vlookup($A632&amp;$B632,{'5) Release_Track'!$F:$F&amp;'5) Release_Track'!$G:$G,'5) Release_Track'!$J:$J},2,0), or(and(not(isblank($B632)),$B632=$B631,$A632&lt;&gt;$A631),and(not(isblank($A632)),$A632=$A631,$B632&lt;&gt;$B631)),"ID LISTS UNALIGNED",and($A632&lt;&gt;"",countif('5) Release_Track'!$F:$F,$A632)=0),"NO ISRC MATCH in Release_Track",and($B632&lt;&gt;"",countif('5) Release_Track'!$G:$G,$B632)=0),"NO CATALOG ID MATCH in Release_Track",iserror(vlookup($A632&amp;$B632,'5) Release_Track'!$F:$F&amp;'5) Release_Track'!$G:$G,1,0)),"NO ISRC-CATALOG ID pair MATCH in Release_Track" )</f>
        <v/>
      </c>
      <c r="F632" s="122"/>
      <c r="G632" s="99"/>
      <c r="H632" s="178"/>
      <c r="I632" s="121" t="str">
        <f t="shared" si="6"/>
        <v/>
      </c>
      <c r="J632" s="99"/>
      <c r="K632" s="99"/>
    </row>
    <row r="633">
      <c r="B633" s="103"/>
      <c r="C633" s="121" t="str">
        <f t="array" ref="C633">ifs(and(isblank($A633),isblank($B633)),"", not(iserror(vlookup($A633&amp;$B633,'5) Release_Track'!$F:$F&amp;'5) Release_Track'!$G:$G,1,0))),vlookup($A633&amp;$B633,{'5) Release_Track'!$F:$F&amp;'5) Release_Track'!$G:$G,'5) Release_Track'!$H:$H},2,0), or(and(not(isblank($B633)),$B633=$B632,$A633&lt;&gt;$A632),and(not(isblank($A633)),$A633=$A632,$B633&lt;&gt;$B632)),"ID LISTS UNALIGNED",and($A633&lt;&gt;"",countif('5) Release_Track'!$F:$F,$A633)=0),"NO ISRC MATCH in Release_Track",and($B633&lt;&gt;"",countif('5) Release_Track'!$G:$G,$B633)=0),"NO CATALOG ID MATCH in Release_Track",iserror(vlookup($A633&amp;$B633,'5) Release_Track'!$F:$F&amp;'5) Release_Track'!$G:$G,1,0)),"NO ISRC-CATALOG ID pair MATCH in Release_Track" )</f>
        <v/>
      </c>
      <c r="D633" s="121" t="str">
        <f t="array" ref="D633">ifs(and(isblank($A633),isblank($B633)),"", not(iserror(vlookup($A633&amp;$B633,'5) Release_Track'!$F:$F&amp;'5) Release_Track'!$G:$G,1,0))),vlookup($A633&amp;$B633,{'5) Release_Track'!$F:$F&amp;'5) Release_Track'!$G:$G,'5) Release_Track'!$I:$I},2,0), or(and(not(isblank($B633)),$B633=$B632,$A633&lt;&gt;$A632),and(not(isblank($A633)),$A633=$A632,$B633&lt;&gt;$B632)),"ID LISTS UNALIGNED",and($A633&lt;&gt;"",countif('5) Release_Track'!$F:$F,$A633)=0),"NO ISRC MATCH in Release_Track",and($B633&lt;&gt;"",countif('5) Release_Track'!$G:$G,$B633)=0),"NO CATALOG ID MATCH in Release_Track",iserror(vlookup($A633&amp;$B633,'5) Release_Track'!$F:$F&amp;'5) Release_Track'!$G:$G,1,0)),"NO ISRC-CATALOG ID pair MATCH in Release_Track" )</f>
        <v/>
      </c>
      <c r="E633" s="125" t="str">
        <f t="array" ref="E633">ifs(and(isblank($A633),isblank($B633)),"", not(iserror(vlookup($A633&amp;$B633,'5) Release_Track'!$F:$F&amp;'5) Release_Track'!$G:$G,1,0))),vlookup($A633&amp;$B633,{'5) Release_Track'!$F:$F&amp;'5) Release_Track'!$G:$G,'5) Release_Track'!$J:$J},2,0), or(and(not(isblank($B633)),$B633=$B632,$A633&lt;&gt;$A632),and(not(isblank($A633)),$A633=$A632,$B633&lt;&gt;$B632)),"ID LISTS UNALIGNED",and($A633&lt;&gt;"",countif('5) Release_Track'!$F:$F,$A633)=0),"NO ISRC MATCH in Release_Track",and($B633&lt;&gt;"",countif('5) Release_Track'!$G:$G,$B633)=0),"NO CATALOG ID MATCH in Release_Track",iserror(vlookup($A633&amp;$B633,'5) Release_Track'!$F:$F&amp;'5) Release_Track'!$G:$G,1,0)),"NO ISRC-CATALOG ID pair MATCH in Release_Track" )</f>
        <v/>
      </c>
      <c r="F633" s="122"/>
      <c r="G633" s="99"/>
      <c r="H633" s="178"/>
      <c r="I633" s="121" t="str">
        <f t="shared" si="6"/>
        <v/>
      </c>
      <c r="J633" s="99"/>
      <c r="K633" s="99"/>
    </row>
    <row r="634">
      <c r="B634" s="103"/>
      <c r="C634" s="121" t="str">
        <f t="array" ref="C634">ifs(and(isblank($A634),isblank($B634)),"", not(iserror(vlookup($A634&amp;$B634,'5) Release_Track'!$F:$F&amp;'5) Release_Track'!$G:$G,1,0))),vlookup($A634&amp;$B634,{'5) Release_Track'!$F:$F&amp;'5) Release_Track'!$G:$G,'5) Release_Track'!$H:$H},2,0), or(and(not(isblank($B634)),$B634=$B633,$A634&lt;&gt;$A633),and(not(isblank($A634)),$A634=$A633,$B634&lt;&gt;$B633)),"ID LISTS UNALIGNED",and($A634&lt;&gt;"",countif('5) Release_Track'!$F:$F,$A634)=0),"NO ISRC MATCH in Release_Track",and($B634&lt;&gt;"",countif('5) Release_Track'!$G:$G,$B634)=0),"NO CATALOG ID MATCH in Release_Track",iserror(vlookup($A634&amp;$B634,'5) Release_Track'!$F:$F&amp;'5) Release_Track'!$G:$G,1,0)),"NO ISRC-CATALOG ID pair MATCH in Release_Track" )</f>
        <v/>
      </c>
      <c r="D634" s="121" t="str">
        <f t="array" ref="D634">ifs(and(isblank($A634),isblank($B634)),"", not(iserror(vlookup($A634&amp;$B634,'5) Release_Track'!$F:$F&amp;'5) Release_Track'!$G:$G,1,0))),vlookup($A634&amp;$B634,{'5) Release_Track'!$F:$F&amp;'5) Release_Track'!$G:$G,'5) Release_Track'!$I:$I},2,0), or(and(not(isblank($B634)),$B634=$B633,$A634&lt;&gt;$A633),and(not(isblank($A634)),$A634=$A633,$B634&lt;&gt;$B633)),"ID LISTS UNALIGNED",and($A634&lt;&gt;"",countif('5) Release_Track'!$F:$F,$A634)=0),"NO ISRC MATCH in Release_Track",and($B634&lt;&gt;"",countif('5) Release_Track'!$G:$G,$B634)=0),"NO CATALOG ID MATCH in Release_Track",iserror(vlookup($A634&amp;$B634,'5) Release_Track'!$F:$F&amp;'5) Release_Track'!$G:$G,1,0)),"NO ISRC-CATALOG ID pair MATCH in Release_Track" )</f>
        <v/>
      </c>
      <c r="E634" s="125" t="str">
        <f t="array" ref="E634">ifs(and(isblank($A634),isblank($B634)),"", not(iserror(vlookup($A634&amp;$B634,'5) Release_Track'!$F:$F&amp;'5) Release_Track'!$G:$G,1,0))),vlookup($A634&amp;$B634,{'5) Release_Track'!$F:$F&amp;'5) Release_Track'!$G:$G,'5) Release_Track'!$J:$J},2,0), or(and(not(isblank($B634)),$B634=$B633,$A634&lt;&gt;$A633),and(not(isblank($A634)),$A634=$A633,$B634&lt;&gt;$B633)),"ID LISTS UNALIGNED",and($A634&lt;&gt;"",countif('5) Release_Track'!$F:$F,$A634)=0),"NO ISRC MATCH in Release_Track",and($B634&lt;&gt;"",countif('5) Release_Track'!$G:$G,$B634)=0),"NO CATALOG ID MATCH in Release_Track",iserror(vlookup($A634&amp;$B634,'5) Release_Track'!$F:$F&amp;'5) Release_Track'!$G:$G,1,0)),"NO ISRC-CATALOG ID pair MATCH in Release_Track" )</f>
        <v/>
      </c>
      <c r="F634" s="122"/>
      <c r="G634" s="99"/>
      <c r="H634" s="178"/>
      <c r="I634" s="121" t="str">
        <f t="shared" si="6"/>
        <v/>
      </c>
      <c r="J634" s="99"/>
      <c r="K634" s="99"/>
    </row>
    <row r="635">
      <c r="B635" s="103"/>
      <c r="C635" s="121" t="str">
        <f t="array" ref="C635">ifs(and(isblank($A635),isblank($B635)),"", not(iserror(vlookup($A635&amp;$B635,'5) Release_Track'!$F:$F&amp;'5) Release_Track'!$G:$G,1,0))),vlookup($A635&amp;$B635,{'5) Release_Track'!$F:$F&amp;'5) Release_Track'!$G:$G,'5) Release_Track'!$H:$H},2,0), or(and(not(isblank($B635)),$B635=$B634,$A635&lt;&gt;$A634),and(not(isblank($A635)),$A635=$A634,$B635&lt;&gt;$B634)),"ID LISTS UNALIGNED",and($A635&lt;&gt;"",countif('5) Release_Track'!$F:$F,$A635)=0),"NO ISRC MATCH in Release_Track",and($B635&lt;&gt;"",countif('5) Release_Track'!$G:$G,$B635)=0),"NO CATALOG ID MATCH in Release_Track",iserror(vlookup($A635&amp;$B635,'5) Release_Track'!$F:$F&amp;'5) Release_Track'!$G:$G,1,0)),"NO ISRC-CATALOG ID pair MATCH in Release_Track" )</f>
        <v/>
      </c>
      <c r="D635" s="121" t="str">
        <f t="array" ref="D635">ifs(and(isblank($A635),isblank($B635)),"", not(iserror(vlookup($A635&amp;$B635,'5) Release_Track'!$F:$F&amp;'5) Release_Track'!$G:$G,1,0))),vlookup($A635&amp;$B635,{'5) Release_Track'!$F:$F&amp;'5) Release_Track'!$G:$G,'5) Release_Track'!$I:$I},2,0), or(and(not(isblank($B635)),$B635=$B634,$A635&lt;&gt;$A634),and(not(isblank($A635)),$A635=$A634,$B635&lt;&gt;$B634)),"ID LISTS UNALIGNED",and($A635&lt;&gt;"",countif('5) Release_Track'!$F:$F,$A635)=0),"NO ISRC MATCH in Release_Track",and($B635&lt;&gt;"",countif('5) Release_Track'!$G:$G,$B635)=0),"NO CATALOG ID MATCH in Release_Track",iserror(vlookup($A635&amp;$B635,'5) Release_Track'!$F:$F&amp;'5) Release_Track'!$G:$G,1,0)),"NO ISRC-CATALOG ID pair MATCH in Release_Track" )</f>
        <v/>
      </c>
      <c r="E635" s="125" t="str">
        <f t="array" ref="E635">ifs(and(isblank($A635),isblank($B635)),"", not(iserror(vlookup($A635&amp;$B635,'5) Release_Track'!$F:$F&amp;'5) Release_Track'!$G:$G,1,0))),vlookup($A635&amp;$B635,{'5) Release_Track'!$F:$F&amp;'5) Release_Track'!$G:$G,'5) Release_Track'!$J:$J},2,0), or(and(not(isblank($B635)),$B635=$B634,$A635&lt;&gt;$A634),and(not(isblank($A635)),$A635=$A634,$B635&lt;&gt;$B634)),"ID LISTS UNALIGNED",and($A635&lt;&gt;"",countif('5) Release_Track'!$F:$F,$A635)=0),"NO ISRC MATCH in Release_Track",and($B635&lt;&gt;"",countif('5) Release_Track'!$G:$G,$B635)=0),"NO CATALOG ID MATCH in Release_Track",iserror(vlookup($A635&amp;$B635,'5) Release_Track'!$F:$F&amp;'5) Release_Track'!$G:$G,1,0)),"NO ISRC-CATALOG ID pair MATCH in Release_Track" )</f>
        <v/>
      </c>
      <c r="F635" s="122"/>
      <c r="G635" s="99"/>
      <c r="H635" s="178"/>
      <c r="I635" s="121" t="str">
        <f t="shared" si="6"/>
        <v/>
      </c>
      <c r="J635" s="99"/>
      <c r="K635" s="99"/>
    </row>
    <row r="636">
      <c r="B636" s="103"/>
      <c r="C636" s="121" t="str">
        <f t="array" ref="C636">ifs(and(isblank($A636),isblank($B636)),"", not(iserror(vlookup($A636&amp;$B636,'5) Release_Track'!$F:$F&amp;'5) Release_Track'!$G:$G,1,0))),vlookup($A636&amp;$B636,{'5) Release_Track'!$F:$F&amp;'5) Release_Track'!$G:$G,'5) Release_Track'!$H:$H},2,0), or(and(not(isblank($B636)),$B636=$B635,$A636&lt;&gt;$A635),and(not(isblank($A636)),$A636=$A635,$B636&lt;&gt;$B635)),"ID LISTS UNALIGNED",and($A636&lt;&gt;"",countif('5) Release_Track'!$F:$F,$A636)=0),"NO ISRC MATCH in Release_Track",and($B636&lt;&gt;"",countif('5) Release_Track'!$G:$G,$B636)=0),"NO CATALOG ID MATCH in Release_Track",iserror(vlookup($A636&amp;$B636,'5) Release_Track'!$F:$F&amp;'5) Release_Track'!$G:$G,1,0)),"NO ISRC-CATALOG ID pair MATCH in Release_Track" )</f>
        <v/>
      </c>
      <c r="D636" s="121" t="str">
        <f t="array" ref="D636">ifs(and(isblank($A636),isblank($B636)),"", not(iserror(vlookup($A636&amp;$B636,'5) Release_Track'!$F:$F&amp;'5) Release_Track'!$G:$G,1,0))),vlookup($A636&amp;$B636,{'5) Release_Track'!$F:$F&amp;'5) Release_Track'!$G:$G,'5) Release_Track'!$I:$I},2,0), or(and(not(isblank($B636)),$B636=$B635,$A636&lt;&gt;$A635),and(not(isblank($A636)),$A636=$A635,$B636&lt;&gt;$B635)),"ID LISTS UNALIGNED",and($A636&lt;&gt;"",countif('5) Release_Track'!$F:$F,$A636)=0),"NO ISRC MATCH in Release_Track",and($B636&lt;&gt;"",countif('5) Release_Track'!$G:$G,$B636)=0),"NO CATALOG ID MATCH in Release_Track",iserror(vlookup($A636&amp;$B636,'5) Release_Track'!$F:$F&amp;'5) Release_Track'!$G:$G,1,0)),"NO ISRC-CATALOG ID pair MATCH in Release_Track" )</f>
        <v/>
      </c>
      <c r="E636" s="125" t="str">
        <f t="array" ref="E636">ifs(and(isblank($A636),isblank($B636)),"", not(iserror(vlookup($A636&amp;$B636,'5) Release_Track'!$F:$F&amp;'5) Release_Track'!$G:$G,1,0))),vlookup($A636&amp;$B636,{'5) Release_Track'!$F:$F&amp;'5) Release_Track'!$G:$G,'5) Release_Track'!$J:$J},2,0), or(and(not(isblank($B636)),$B636=$B635,$A636&lt;&gt;$A635),and(not(isblank($A636)),$A636=$A635,$B636&lt;&gt;$B635)),"ID LISTS UNALIGNED",and($A636&lt;&gt;"",countif('5) Release_Track'!$F:$F,$A636)=0),"NO ISRC MATCH in Release_Track",and($B636&lt;&gt;"",countif('5) Release_Track'!$G:$G,$B636)=0),"NO CATALOG ID MATCH in Release_Track",iserror(vlookup($A636&amp;$B636,'5) Release_Track'!$F:$F&amp;'5) Release_Track'!$G:$G,1,0)),"NO ISRC-CATALOG ID pair MATCH in Release_Track" )</f>
        <v/>
      </c>
      <c r="F636" s="122"/>
      <c r="G636" s="99"/>
      <c r="H636" s="178"/>
      <c r="I636" s="121" t="str">
        <f t="shared" si="6"/>
        <v/>
      </c>
      <c r="J636" s="99"/>
      <c r="K636" s="99"/>
    </row>
    <row r="637">
      <c r="B637" s="103"/>
      <c r="C637" s="121" t="str">
        <f t="array" ref="C637">ifs(and(isblank($A637),isblank($B637)),"", not(iserror(vlookup($A637&amp;$B637,'5) Release_Track'!$F:$F&amp;'5) Release_Track'!$G:$G,1,0))),vlookup($A637&amp;$B637,{'5) Release_Track'!$F:$F&amp;'5) Release_Track'!$G:$G,'5) Release_Track'!$H:$H},2,0), or(and(not(isblank($B637)),$B637=$B636,$A637&lt;&gt;$A636),and(not(isblank($A637)),$A637=$A636,$B637&lt;&gt;$B636)),"ID LISTS UNALIGNED",and($A637&lt;&gt;"",countif('5) Release_Track'!$F:$F,$A637)=0),"NO ISRC MATCH in Release_Track",and($B637&lt;&gt;"",countif('5) Release_Track'!$G:$G,$B637)=0),"NO CATALOG ID MATCH in Release_Track",iserror(vlookup($A637&amp;$B637,'5) Release_Track'!$F:$F&amp;'5) Release_Track'!$G:$G,1,0)),"NO ISRC-CATALOG ID pair MATCH in Release_Track" )</f>
        <v/>
      </c>
      <c r="D637" s="121" t="str">
        <f t="array" ref="D637">ifs(and(isblank($A637),isblank($B637)),"", not(iserror(vlookup($A637&amp;$B637,'5) Release_Track'!$F:$F&amp;'5) Release_Track'!$G:$G,1,0))),vlookup($A637&amp;$B637,{'5) Release_Track'!$F:$F&amp;'5) Release_Track'!$G:$G,'5) Release_Track'!$I:$I},2,0), or(and(not(isblank($B637)),$B637=$B636,$A637&lt;&gt;$A636),and(not(isblank($A637)),$A637=$A636,$B637&lt;&gt;$B636)),"ID LISTS UNALIGNED",and($A637&lt;&gt;"",countif('5) Release_Track'!$F:$F,$A637)=0),"NO ISRC MATCH in Release_Track",and($B637&lt;&gt;"",countif('5) Release_Track'!$G:$G,$B637)=0),"NO CATALOG ID MATCH in Release_Track",iserror(vlookup($A637&amp;$B637,'5) Release_Track'!$F:$F&amp;'5) Release_Track'!$G:$G,1,0)),"NO ISRC-CATALOG ID pair MATCH in Release_Track" )</f>
        <v/>
      </c>
      <c r="E637" s="125" t="str">
        <f t="array" ref="E637">ifs(and(isblank($A637),isblank($B637)),"", not(iserror(vlookup($A637&amp;$B637,'5) Release_Track'!$F:$F&amp;'5) Release_Track'!$G:$G,1,0))),vlookup($A637&amp;$B637,{'5) Release_Track'!$F:$F&amp;'5) Release_Track'!$G:$G,'5) Release_Track'!$J:$J},2,0), or(and(not(isblank($B637)),$B637=$B636,$A637&lt;&gt;$A636),and(not(isblank($A637)),$A637=$A636,$B637&lt;&gt;$B636)),"ID LISTS UNALIGNED",and($A637&lt;&gt;"",countif('5) Release_Track'!$F:$F,$A637)=0),"NO ISRC MATCH in Release_Track",and($B637&lt;&gt;"",countif('5) Release_Track'!$G:$G,$B637)=0),"NO CATALOG ID MATCH in Release_Track",iserror(vlookup($A637&amp;$B637,'5) Release_Track'!$F:$F&amp;'5) Release_Track'!$G:$G,1,0)),"NO ISRC-CATALOG ID pair MATCH in Release_Track" )</f>
        <v/>
      </c>
      <c r="F637" s="122"/>
      <c r="G637" s="99"/>
      <c r="H637" s="178"/>
      <c r="I637" s="121" t="str">
        <f t="shared" si="6"/>
        <v/>
      </c>
      <c r="J637" s="99"/>
      <c r="K637" s="99"/>
    </row>
    <row r="638">
      <c r="B638" s="103"/>
      <c r="C638" s="121" t="str">
        <f t="array" ref="C638">ifs(and(isblank($A638),isblank($B638)),"", not(iserror(vlookup($A638&amp;$B638,'5) Release_Track'!$F:$F&amp;'5) Release_Track'!$G:$G,1,0))),vlookup($A638&amp;$B638,{'5) Release_Track'!$F:$F&amp;'5) Release_Track'!$G:$G,'5) Release_Track'!$H:$H},2,0), or(and(not(isblank($B638)),$B638=$B637,$A638&lt;&gt;$A637),and(not(isblank($A638)),$A638=$A637,$B638&lt;&gt;$B637)),"ID LISTS UNALIGNED",and($A638&lt;&gt;"",countif('5) Release_Track'!$F:$F,$A638)=0),"NO ISRC MATCH in Release_Track",and($B638&lt;&gt;"",countif('5) Release_Track'!$G:$G,$B638)=0),"NO CATALOG ID MATCH in Release_Track",iserror(vlookup($A638&amp;$B638,'5) Release_Track'!$F:$F&amp;'5) Release_Track'!$G:$G,1,0)),"NO ISRC-CATALOG ID pair MATCH in Release_Track" )</f>
        <v/>
      </c>
      <c r="D638" s="121" t="str">
        <f t="array" ref="D638">ifs(and(isblank($A638),isblank($B638)),"", not(iserror(vlookup($A638&amp;$B638,'5) Release_Track'!$F:$F&amp;'5) Release_Track'!$G:$G,1,0))),vlookup($A638&amp;$B638,{'5) Release_Track'!$F:$F&amp;'5) Release_Track'!$G:$G,'5) Release_Track'!$I:$I},2,0), or(and(not(isblank($B638)),$B638=$B637,$A638&lt;&gt;$A637),and(not(isblank($A638)),$A638=$A637,$B638&lt;&gt;$B637)),"ID LISTS UNALIGNED",and($A638&lt;&gt;"",countif('5) Release_Track'!$F:$F,$A638)=0),"NO ISRC MATCH in Release_Track",and($B638&lt;&gt;"",countif('5) Release_Track'!$G:$G,$B638)=0),"NO CATALOG ID MATCH in Release_Track",iserror(vlookup($A638&amp;$B638,'5) Release_Track'!$F:$F&amp;'5) Release_Track'!$G:$G,1,0)),"NO ISRC-CATALOG ID pair MATCH in Release_Track" )</f>
        <v/>
      </c>
      <c r="E638" s="125" t="str">
        <f t="array" ref="E638">ifs(and(isblank($A638),isblank($B638)),"", not(iserror(vlookup($A638&amp;$B638,'5) Release_Track'!$F:$F&amp;'5) Release_Track'!$G:$G,1,0))),vlookup($A638&amp;$B638,{'5) Release_Track'!$F:$F&amp;'5) Release_Track'!$G:$G,'5) Release_Track'!$J:$J},2,0), or(and(not(isblank($B638)),$B638=$B637,$A638&lt;&gt;$A637),and(not(isblank($A638)),$A638=$A637,$B638&lt;&gt;$B637)),"ID LISTS UNALIGNED",and($A638&lt;&gt;"",countif('5) Release_Track'!$F:$F,$A638)=0),"NO ISRC MATCH in Release_Track",and($B638&lt;&gt;"",countif('5) Release_Track'!$G:$G,$B638)=0),"NO CATALOG ID MATCH in Release_Track",iserror(vlookup($A638&amp;$B638,'5) Release_Track'!$F:$F&amp;'5) Release_Track'!$G:$G,1,0)),"NO ISRC-CATALOG ID pair MATCH in Release_Track" )</f>
        <v/>
      </c>
      <c r="F638" s="122"/>
      <c r="G638" s="99"/>
      <c r="H638" s="178"/>
      <c r="I638" s="121" t="str">
        <f t="shared" si="6"/>
        <v/>
      </c>
      <c r="J638" s="99"/>
      <c r="K638" s="99"/>
    </row>
    <row r="639">
      <c r="B639" s="103"/>
      <c r="C639" s="121" t="str">
        <f t="array" ref="C639">ifs(and(isblank($A639),isblank($B639)),"", not(iserror(vlookup($A639&amp;$B639,'5) Release_Track'!$F:$F&amp;'5) Release_Track'!$G:$G,1,0))),vlookup($A639&amp;$B639,{'5) Release_Track'!$F:$F&amp;'5) Release_Track'!$G:$G,'5) Release_Track'!$H:$H},2,0), or(and(not(isblank($B639)),$B639=$B638,$A639&lt;&gt;$A638),and(not(isblank($A639)),$A639=$A638,$B639&lt;&gt;$B638)),"ID LISTS UNALIGNED",and($A639&lt;&gt;"",countif('5) Release_Track'!$F:$F,$A639)=0),"NO ISRC MATCH in Release_Track",and($B639&lt;&gt;"",countif('5) Release_Track'!$G:$G,$B639)=0),"NO CATALOG ID MATCH in Release_Track",iserror(vlookup($A639&amp;$B639,'5) Release_Track'!$F:$F&amp;'5) Release_Track'!$G:$G,1,0)),"NO ISRC-CATALOG ID pair MATCH in Release_Track" )</f>
        <v/>
      </c>
      <c r="D639" s="121" t="str">
        <f t="array" ref="D639">ifs(and(isblank($A639),isblank($B639)),"", not(iserror(vlookup($A639&amp;$B639,'5) Release_Track'!$F:$F&amp;'5) Release_Track'!$G:$G,1,0))),vlookup($A639&amp;$B639,{'5) Release_Track'!$F:$F&amp;'5) Release_Track'!$G:$G,'5) Release_Track'!$I:$I},2,0), or(and(not(isblank($B639)),$B639=$B638,$A639&lt;&gt;$A638),and(not(isblank($A639)),$A639=$A638,$B639&lt;&gt;$B638)),"ID LISTS UNALIGNED",and($A639&lt;&gt;"",countif('5) Release_Track'!$F:$F,$A639)=0),"NO ISRC MATCH in Release_Track",and($B639&lt;&gt;"",countif('5) Release_Track'!$G:$G,$B639)=0),"NO CATALOG ID MATCH in Release_Track",iserror(vlookup($A639&amp;$B639,'5) Release_Track'!$F:$F&amp;'5) Release_Track'!$G:$G,1,0)),"NO ISRC-CATALOG ID pair MATCH in Release_Track" )</f>
        <v/>
      </c>
      <c r="E639" s="125" t="str">
        <f t="array" ref="E639">ifs(and(isblank($A639),isblank($B639)),"", not(iserror(vlookup($A639&amp;$B639,'5) Release_Track'!$F:$F&amp;'5) Release_Track'!$G:$G,1,0))),vlookup($A639&amp;$B639,{'5) Release_Track'!$F:$F&amp;'5) Release_Track'!$G:$G,'5) Release_Track'!$J:$J},2,0), or(and(not(isblank($B639)),$B639=$B638,$A639&lt;&gt;$A638),and(not(isblank($A639)),$A639=$A638,$B639&lt;&gt;$B638)),"ID LISTS UNALIGNED",and($A639&lt;&gt;"",countif('5) Release_Track'!$F:$F,$A639)=0),"NO ISRC MATCH in Release_Track",and($B639&lt;&gt;"",countif('5) Release_Track'!$G:$G,$B639)=0),"NO CATALOG ID MATCH in Release_Track",iserror(vlookup($A639&amp;$B639,'5) Release_Track'!$F:$F&amp;'5) Release_Track'!$G:$G,1,0)),"NO ISRC-CATALOG ID pair MATCH in Release_Track" )</f>
        <v/>
      </c>
      <c r="F639" s="122"/>
      <c r="G639" s="99"/>
      <c r="H639" s="178"/>
      <c r="I639" s="121" t="str">
        <f t="shared" si="6"/>
        <v/>
      </c>
      <c r="J639" s="99"/>
      <c r="K639" s="99"/>
    </row>
    <row r="640">
      <c r="B640" s="103"/>
      <c r="C640" s="121" t="str">
        <f t="array" ref="C640">ifs(and(isblank($A640),isblank($B640)),"", not(iserror(vlookup($A640&amp;$B640,'5) Release_Track'!$F:$F&amp;'5) Release_Track'!$G:$G,1,0))),vlookup($A640&amp;$B640,{'5) Release_Track'!$F:$F&amp;'5) Release_Track'!$G:$G,'5) Release_Track'!$H:$H},2,0), or(and(not(isblank($B640)),$B640=$B639,$A640&lt;&gt;$A639),and(not(isblank($A640)),$A640=$A639,$B640&lt;&gt;$B639)),"ID LISTS UNALIGNED",and($A640&lt;&gt;"",countif('5) Release_Track'!$F:$F,$A640)=0),"NO ISRC MATCH in Release_Track",and($B640&lt;&gt;"",countif('5) Release_Track'!$G:$G,$B640)=0),"NO CATALOG ID MATCH in Release_Track",iserror(vlookup($A640&amp;$B640,'5) Release_Track'!$F:$F&amp;'5) Release_Track'!$G:$G,1,0)),"NO ISRC-CATALOG ID pair MATCH in Release_Track" )</f>
        <v/>
      </c>
      <c r="D640" s="121" t="str">
        <f t="array" ref="D640">ifs(and(isblank($A640),isblank($B640)),"", not(iserror(vlookup($A640&amp;$B640,'5) Release_Track'!$F:$F&amp;'5) Release_Track'!$G:$G,1,0))),vlookup($A640&amp;$B640,{'5) Release_Track'!$F:$F&amp;'5) Release_Track'!$G:$G,'5) Release_Track'!$I:$I},2,0), or(and(not(isblank($B640)),$B640=$B639,$A640&lt;&gt;$A639),and(not(isblank($A640)),$A640=$A639,$B640&lt;&gt;$B639)),"ID LISTS UNALIGNED",and($A640&lt;&gt;"",countif('5) Release_Track'!$F:$F,$A640)=0),"NO ISRC MATCH in Release_Track",and($B640&lt;&gt;"",countif('5) Release_Track'!$G:$G,$B640)=0),"NO CATALOG ID MATCH in Release_Track",iserror(vlookup($A640&amp;$B640,'5) Release_Track'!$F:$F&amp;'5) Release_Track'!$G:$G,1,0)),"NO ISRC-CATALOG ID pair MATCH in Release_Track" )</f>
        <v/>
      </c>
      <c r="E640" s="125" t="str">
        <f t="array" ref="E640">ifs(and(isblank($A640),isblank($B640)),"", not(iserror(vlookup($A640&amp;$B640,'5) Release_Track'!$F:$F&amp;'5) Release_Track'!$G:$G,1,0))),vlookup($A640&amp;$B640,{'5) Release_Track'!$F:$F&amp;'5) Release_Track'!$G:$G,'5) Release_Track'!$J:$J},2,0), or(and(not(isblank($B640)),$B640=$B639,$A640&lt;&gt;$A639),and(not(isblank($A640)),$A640=$A639,$B640&lt;&gt;$B639)),"ID LISTS UNALIGNED",and($A640&lt;&gt;"",countif('5) Release_Track'!$F:$F,$A640)=0),"NO ISRC MATCH in Release_Track",and($B640&lt;&gt;"",countif('5) Release_Track'!$G:$G,$B640)=0),"NO CATALOG ID MATCH in Release_Track",iserror(vlookup($A640&amp;$B640,'5) Release_Track'!$F:$F&amp;'5) Release_Track'!$G:$G,1,0)),"NO ISRC-CATALOG ID pair MATCH in Release_Track" )</f>
        <v/>
      </c>
      <c r="F640" s="122"/>
      <c r="G640" s="99"/>
      <c r="H640" s="178"/>
      <c r="I640" s="121" t="str">
        <f t="shared" si="6"/>
        <v/>
      </c>
      <c r="J640" s="99"/>
      <c r="K640" s="99"/>
    </row>
    <row r="641">
      <c r="B641" s="103"/>
      <c r="C641" s="121" t="str">
        <f t="array" ref="C641">ifs(and(isblank($A641),isblank($B641)),"", not(iserror(vlookup($A641&amp;$B641,'5) Release_Track'!$F:$F&amp;'5) Release_Track'!$G:$G,1,0))),vlookup($A641&amp;$B641,{'5) Release_Track'!$F:$F&amp;'5) Release_Track'!$G:$G,'5) Release_Track'!$H:$H},2,0), or(and(not(isblank($B641)),$B641=$B640,$A641&lt;&gt;$A640),and(not(isblank($A641)),$A641=$A640,$B641&lt;&gt;$B640)),"ID LISTS UNALIGNED",and($A641&lt;&gt;"",countif('5) Release_Track'!$F:$F,$A641)=0),"NO ISRC MATCH in Release_Track",and($B641&lt;&gt;"",countif('5) Release_Track'!$G:$G,$B641)=0),"NO CATALOG ID MATCH in Release_Track",iserror(vlookup($A641&amp;$B641,'5) Release_Track'!$F:$F&amp;'5) Release_Track'!$G:$G,1,0)),"NO ISRC-CATALOG ID pair MATCH in Release_Track" )</f>
        <v/>
      </c>
      <c r="D641" s="121" t="str">
        <f t="array" ref="D641">ifs(and(isblank($A641),isblank($B641)),"", not(iserror(vlookup($A641&amp;$B641,'5) Release_Track'!$F:$F&amp;'5) Release_Track'!$G:$G,1,0))),vlookup($A641&amp;$B641,{'5) Release_Track'!$F:$F&amp;'5) Release_Track'!$G:$G,'5) Release_Track'!$I:$I},2,0), or(and(not(isblank($B641)),$B641=$B640,$A641&lt;&gt;$A640),and(not(isblank($A641)),$A641=$A640,$B641&lt;&gt;$B640)),"ID LISTS UNALIGNED",and($A641&lt;&gt;"",countif('5) Release_Track'!$F:$F,$A641)=0),"NO ISRC MATCH in Release_Track",and($B641&lt;&gt;"",countif('5) Release_Track'!$G:$G,$B641)=0),"NO CATALOG ID MATCH in Release_Track",iserror(vlookup($A641&amp;$B641,'5) Release_Track'!$F:$F&amp;'5) Release_Track'!$G:$G,1,0)),"NO ISRC-CATALOG ID pair MATCH in Release_Track" )</f>
        <v/>
      </c>
      <c r="E641" s="125" t="str">
        <f t="array" ref="E641">ifs(and(isblank($A641),isblank($B641)),"", not(iserror(vlookup($A641&amp;$B641,'5) Release_Track'!$F:$F&amp;'5) Release_Track'!$G:$G,1,0))),vlookup($A641&amp;$B641,{'5) Release_Track'!$F:$F&amp;'5) Release_Track'!$G:$G,'5) Release_Track'!$J:$J},2,0), or(and(not(isblank($B641)),$B641=$B640,$A641&lt;&gt;$A640),and(not(isblank($A641)),$A641=$A640,$B641&lt;&gt;$B640)),"ID LISTS UNALIGNED",and($A641&lt;&gt;"",countif('5) Release_Track'!$F:$F,$A641)=0),"NO ISRC MATCH in Release_Track",and($B641&lt;&gt;"",countif('5) Release_Track'!$G:$G,$B641)=0),"NO CATALOG ID MATCH in Release_Track",iserror(vlookup($A641&amp;$B641,'5) Release_Track'!$F:$F&amp;'5) Release_Track'!$G:$G,1,0)),"NO ISRC-CATALOG ID pair MATCH in Release_Track" )</f>
        <v/>
      </c>
      <c r="F641" s="122"/>
      <c r="G641" s="99"/>
      <c r="H641" s="178"/>
      <c r="I641" s="121" t="str">
        <f t="shared" si="6"/>
        <v/>
      </c>
      <c r="J641" s="99"/>
      <c r="K641" s="99"/>
    </row>
    <row r="642">
      <c r="B642" s="103"/>
      <c r="C642" s="121" t="str">
        <f t="array" ref="C642">ifs(and(isblank($A642),isblank($B642)),"", not(iserror(vlookup($A642&amp;$B642,'5) Release_Track'!$F:$F&amp;'5) Release_Track'!$G:$G,1,0))),vlookup($A642&amp;$B642,{'5) Release_Track'!$F:$F&amp;'5) Release_Track'!$G:$G,'5) Release_Track'!$H:$H},2,0), or(and(not(isblank($B642)),$B642=$B641,$A642&lt;&gt;$A641),and(not(isblank($A642)),$A642=$A641,$B642&lt;&gt;$B641)),"ID LISTS UNALIGNED",and($A642&lt;&gt;"",countif('5) Release_Track'!$F:$F,$A642)=0),"NO ISRC MATCH in Release_Track",and($B642&lt;&gt;"",countif('5) Release_Track'!$G:$G,$B642)=0),"NO CATALOG ID MATCH in Release_Track",iserror(vlookup($A642&amp;$B642,'5) Release_Track'!$F:$F&amp;'5) Release_Track'!$G:$G,1,0)),"NO ISRC-CATALOG ID pair MATCH in Release_Track" )</f>
        <v/>
      </c>
      <c r="D642" s="121" t="str">
        <f t="array" ref="D642">ifs(and(isblank($A642),isblank($B642)),"", not(iserror(vlookup($A642&amp;$B642,'5) Release_Track'!$F:$F&amp;'5) Release_Track'!$G:$G,1,0))),vlookup($A642&amp;$B642,{'5) Release_Track'!$F:$F&amp;'5) Release_Track'!$G:$G,'5) Release_Track'!$I:$I},2,0), or(and(not(isblank($B642)),$B642=$B641,$A642&lt;&gt;$A641),and(not(isblank($A642)),$A642=$A641,$B642&lt;&gt;$B641)),"ID LISTS UNALIGNED",and($A642&lt;&gt;"",countif('5) Release_Track'!$F:$F,$A642)=0),"NO ISRC MATCH in Release_Track",and($B642&lt;&gt;"",countif('5) Release_Track'!$G:$G,$B642)=0),"NO CATALOG ID MATCH in Release_Track",iserror(vlookup($A642&amp;$B642,'5) Release_Track'!$F:$F&amp;'5) Release_Track'!$G:$G,1,0)),"NO ISRC-CATALOG ID pair MATCH in Release_Track" )</f>
        <v/>
      </c>
      <c r="E642" s="125" t="str">
        <f t="array" ref="E642">ifs(and(isblank($A642),isblank($B642)),"", not(iserror(vlookup($A642&amp;$B642,'5) Release_Track'!$F:$F&amp;'5) Release_Track'!$G:$G,1,0))),vlookup($A642&amp;$B642,{'5) Release_Track'!$F:$F&amp;'5) Release_Track'!$G:$G,'5) Release_Track'!$J:$J},2,0), or(and(not(isblank($B642)),$B642=$B641,$A642&lt;&gt;$A641),and(not(isblank($A642)),$A642=$A641,$B642&lt;&gt;$B641)),"ID LISTS UNALIGNED",and($A642&lt;&gt;"",countif('5) Release_Track'!$F:$F,$A642)=0),"NO ISRC MATCH in Release_Track",and($B642&lt;&gt;"",countif('5) Release_Track'!$G:$G,$B642)=0),"NO CATALOG ID MATCH in Release_Track",iserror(vlookup($A642&amp;$B642,'5) Release_Track'!$F:$F&amp;'5) Release_Track'!$G:$G,1,0)),"NO ISRC-CATALOG ID pair MATCH in Release_Track" )</f>
        <v/>
      </c>
      <c r="F642" s="122"/>
      <c r="G642" s="99"/>
      <c r="H642" s="178"/>
      <c r="I642" s="121" t="str">
        <f t="shared" si="6"/>
        <v/>
      </c>
      <c r="J642" s="99"/>
      <c r="K642" s="99"/>
    </row>
    <row r="643">
      <c r="B643" s="103"/>
      <c r="C643" s="121" t="str">
        <f t="array" ref="C643">ifs(and(isblank($A643),isblank($B643)),"", not(iserror(vlookup($A643&amp;$B643,'5) Release_Track'!$F:$F&amp;'5) Release_Track'!$G:$G,1,0))),vlookup($A643&amp;$B643,{'5) Release_Track'!$F:$F&amp;'5) Release_Track'!$G:$G,'5) Release_Track'!$H:$H},2,0), or(and(not(isblank($B643)),$B643=$B642,$A643&lt;&gt;$A642),and(not(isblank($A643)),$A643=$A642,$B643&lt;&gt;$B642)),"ID LISTS UNALIGNED",and($A643&lt;&gt;"",countif('5) Release_Track'!$F:$F,$A643)=0),"NO ISRC MATCH in Release_Track",and($B643&lt;&gt;"",countif('5) Release_Track'!$G:$G,$B643)=0),"NO CATALOG ID MATCH in Release_Track",iserror(vlookup($A643&amp;$B643,'5) Release_Track'!$F:$F&amp;'5) Release_Track'!$G:$G,1,0)),"NO ISRC-CATALOG ID pair MATCH in Release_Track" )</f>
        <v/>
      </c>
      <c r="D643" s="121" t="str">
        <f t="array" ref="D643">ifs(and(isblank($A643),isblank($B643)),"", not(iserror(vlookup($A643&amp;$B643,'5) Release_Track'!$F:$F&amp;'5) Release_Track'!$G:$G,1,0))),vlookup($A643&amp;$B643,{'5) Release_Track'!$F:$F&amp;'5) Release_Track'!$G:$G,'5) Release_Track'!$I:$I},2,0), or(and(not(isblank($B643)),$B643=$B642,$A643&lt;&gt;$A642),and(not(isblank($A643)),$A643=$A642,$B643&lt;&gt;$B642)),"ID LISTS UNALIGNED",and($A643&lt;&gt;"",countif('5) Release_Track'!$F:$F,$A643)=0),"NO ISRC MATCH in Release_Track",and($B643&lt;&gt;"",countif('5) Release_Track'!$G:$G,$B643)=0),"NO CATALOG ID MATCH in Release_Track",iserror(vlookup($A643&amp;$B643,'5) Release_Track'!$F:$F&amp;'5) Release_Track'!$G:$G,1,0)),"NO ISRC-CATALOG ID pair MATCH in Release_Track" )</f>
        <v/>
      </c>
      <c r="E643" s="125" t="str">
        <f t="array" ref="E643">ifs(and(isblank($A643),isblank($B643)),"", not(iserror(vlookup($A643&amp;$B643,'5) Release_Track'!$F:$F&amp;'5) Release_Track'!$G:$G,1,0))),vlookup($A643&amp;$B643,{'5) Release_Track'!$F:$F&amp;'5) Release_Track'!$G:$G,'5) Release_Track'!$J:$J},2,0), or(and(not(isblank($B643)),$B643=$B642,$A643&lt;&gt;$A642),and(not(isblank($A643)),$A643=$A642,$B643&lt;&gt;$B642)),"ID LISTS UNALIGNED",and($A643&lt;&gt;"",countif('5) Release_Track'!$F:$F,$A643)=0),"NO ISRC MATCH in Release_Track",and($B643&lt;&gt;"",countif('5) Release_Track'!$G:$G,$B643)=0),"NO CATALOG ID MATCH in Release_Track",iserror(vlookup($A643&amp;$B643,'5) Release_Track'!$F:$F&amp;'5) Release_Track'!$G:$G,1,0)),"NO ISRC-CATALOG ID pair MATCH in Release_Track" )</f>
        <v/>
      </c>
      <c r="F643" s="122"/>
      <c r="G643" s="99"/>
      <c r="H643" s="178"/>
      <c r="I643" s="121" t="str">
        <f t="shared" si="6"/>
        <v/>
      </c>
      <c r="J643" s="99"/>
      <c r="K643" s="99"/>
    </row>
    <row r="644">
      <c r="B644" s="103"/>
      <c r="C644" s="121" t="str">
        <f t="array" ref="C644">ifs(and(isblank($A644),isblank($B644)),"", not(iserror(vlookup($A644&amp;$B644,'5) Release_Track'!$F:$F&amp;'5) Release_Track'!$G:$G,1,0))),vlookup($A644&amp;$B644,{'5) Release_Track'!$F:$F&amp;'5) Release_Track'!$G:$G,'5) Release_Track'!$H:$H},2,0), or(and(not(isblank($B644)),$B644=$B643,$A644&lt;&gt;$A643),and(not(isblank($A644)),$A644=$A643,$B644&lt;&gt;$B643)),"ID LISTS UNALIGNED",and($A644&lt;&gt;"",countif('5) Release_Track'!$F:$F,$A644)=0),"NO ISRC MATCH in Release_Track",and($B644&lt;&gt;"",countif('5) Release_Track'!$G:$G,$B644)=0),"NO CATALOG ID MATCH in Release_Track",iserror(vlookup($A644&amp;$B644,'5) Release_Track'!$F:$F&amp;'5) Release_Track'!$G:$G,1,0)),"NO ISRC-CATALOG ID pair MATCH in Release_Track" )</f>
        <v/>
      </c>
      <c r="D644" s="121" t="str">
        <f t="array" ref="D644">ifs(and(isblank($A644),isblank($B644)),"", not(iserror(vlookup($A644&amp;$B644,'5) Release_Track'!$F:$F&amp;'5) Release_Track'!$G:$G,1,0))),vlookup($A644&amp;$B644,{'5) Release_Track'!$F:$F&amp;'5) Release_Track'!$G:$G,'5) Release_Track'!$I:$I},2,0), or(and(not(isblank($B644)),$B644=$B643,$A644&lt;&gt;$A643),and(not(isblank($A644)),$A644=$A643,$B644&lt;&gt;$B643)),"ID LISTS UNALIGNED",and($A644&lt;&gt;"",countif('5) Release_Track'!$F:$F,$A644)=0),"NO ISRC MATCH in Release_Track",and($B644&lt;&gt;"",countif('5) Release_Track'!$G:$G,$B644)=0),"NO CATALOG ID MATCH in Release_Track",iserror(vlookup($A644&amp;$B644,'5) Release_Track'!$F:$F&amp;'5) Release_Track'!$G:$G,1,0)),"NO ISRC-CATALOG ID pair MATCH in Release_Track" )</f>
        <v/>
      </c>
      <c r="E644" s="125" t="str">
        <f t="array" ref="E644">ifs(and(isblank($A644),isblank($B644)),"", not(iserror(vlookup($A644&amp;$B644,'5) Release_Track'!$F:$F&amp;'5) Release_Track'!$G:$G,1,0))),vlookup($A644&amp;$B644,{'5) Release_Track'!$F:$F&amp;'5) Release_Track'!$G:$G,'5) Release_Track'!$J:$J},2,0), or(and(not(isblank($B644)),$B644=$B643,$A644&lt;&gt;$A643),and(not(isblank($A644)),$A644=$A643,$B644&lt;&gt;$B643)),"ID LISTS UNALIGNED",and($A644&lt;&gt;"",countif('5) Release_Track'!$F:$F,$A644)=0),"NO ISRC MATCH in Release_Track",and($B644&lt;&gt;"",countif('5) Release_Track'!$G:$G,$B644)=0),"NO CATALOG ID MATCH in Release_Track",iserror(vlookup($A644&amp;$B644,'5) Release_Track'!$F:$F&amp;'5) Release_Track'!$G:$G,1,0)),"NO ISRC-CATALOG ID pair MATCH in Release_Track" )</f>
        <v/>
      </c>
      <c r="F644" s="122"/>
      <c r="G644" s="99"/>
      <c r="H644" s="178"/>
      <c r="I644" s="121" t="str">
        <f t="shared" si="6"/>
        <v/>
      </c>
      <c r="J644" s="99"/>
      <c r="K644" s="99"/>
    </row>
    <row r="645">
      <c r="B645" s="103"/>
      <c r="C645" s="121" t="str">
        <f t="array" ref="C645">ifs(and(isblank($A645),isblank($B645)),"", not(iserror(vlookup($A645&amp;$B645,'5) Release_Track'!$F:$F&amp;'5) Release_Track'!$G:$G,1,0))),vlookup($A645&amp;$B645,{'5) Release_Track'!$F:$F&amp;'5) Release_Track'!$G:$G,'5) Release_Track'!$H:$H},2,0), or(and(not(isblank($B645)),$B645=$B644,$A645&lt;&gt;$A644),and(not(isblank($A645)),$A645=$A644,$B645&lt;&gt;$B644)),"ID LISTS UNALIGNED",and($A645&lt;&gt;"",countif('5) Release_Track'!$F:$F,$A645)=0),"NO ISRC MATCH in Release_Track",and($B645&lt;&gt;"",countif('5) Release_Track'!$G:$G,$B645)=0),"NO CATALOG ID MATCH in Release_Track",iserror(vlookup($A645&amp;$B645,'5) Release_Track'!$F:$F&amp;'5) Release_Track'!$G:$G,1,0)),"NO ISRC-CATALOG ID pair MATCH in Release_Track" )</f>
        <v/>
      </c>
      <c r="D645" s="121" t="str">
        <f t="array" ref="D645">ifs(and(isblank($A645),isblank($B645)),"", not(iserror(vlookup($A645&amp;$B645,'5) Release_Track'!$F:$F&amp;'5) Release_Track'!$G:$G,1,0))),vlookup($A645&amp;$B645,{'5) Release_Track'!$F:$F&amp;'5) Release_Track'!$G:$G,'5) Release_Track'!$I:$I},2,0), or(and(not(isblank($B645)),$B645=$B644,$A645&lt;&gt;$A644),and(not(isblank($A645)),$A645=$A644,$B645&lt;&gt;$B644)),"ID LISTS UNALIGNED",and($A645&lt;&gt;"",countif('5) Release_Track'!$F:$F,$A645)=0),"NO ISRC MATCH in Release_Track",and($B645&lt;&gt;"",countif('5) Release_Track'!$G:$G,$B645)=0),"NO CATALOG ID MATCH in Release_Track",iserror(vlookup($A645&amp;$B645,'5) Release_Track'!$F:$F&amp;'5) Release_Track'!$G:$G,1,0)),"NO ISRC-CATALOG ID pair MATCH in Release_Track" )</f>
        <v/>
      </c>
      <c r="E645" s="125" t="str">
        <f t="array" ref="E645">ifs(and(isblank($A645),isblank($B645)),"", not(iserror(vlookup($A645&amp;$B645,'5) Release_Track'!$F:$F&amp;'5) Release_Track'!$G:$G,1,0))),vlookup($A645&amp;$B645,{'5) Release_Track'!$F:$F&amp;'5) Release_Track'!$G:$G,'5) Release_Track'!$J:$J},2,0), or(and(not(isblank($B645)),$B645=$B644,$A645&lt;&gt;$A644),and(not(isblank($A645)),$A645=$A644,$B645&lt;&gt;$B644)),"ID LISTS UNALIGNED",and($A645&lt;&gt;"",countif('5) Release_Track'!$F:$F,$A645)=0),"NO ISRC MATCH in Release_Track",and($B645&lt;&gt;"",countif('5) Release_Track'!$G:$G,$B645)=0),"NO CATALOG ID MATCH in Release_Track",iserror(vlookup($A645&amp;$B645,'5) Release_Track'!$F:$F&amp;'5) Release_Track'!$G:$G,1,0)),"NO ISRC-CATALOG ID pair MATCH in Release_Track" )</f>
        <v/>
      </c>
      <c r="F645" s="122"/>
      <c r="G645" s="99"/>
      <c r="H645" s="178"/>
      <c r="I645" s="121" t="str">
        <f t="shared" si="6"/>
        <v/>
      </c>
      <c r="J645" s="99"/>
      <c r="K645" s="99"/>
    </row>
    <row r="646">
      <c r="B646" s="103"/>
      <c r="C646" s="121" t="str">
        <f t="array" ref="C646">ifs(and(isblank($A646),isblank($B646)),"", not(iserror(vlookup($A646&amp;$B646,'5) Release_Track'!$F:$F&amp;'5) Release_Track'!$G:$G,1,0))),vlookup($A646&amp;$B646,{'5) Release_Track'!$F:$F&amp;'5) Release_Track'!$G:$G,'5) Release_Track'!$H:$H},2,0), or(and(not(isblank($B646)),$B646=$B645,$A646&lt;&gt;$A645),and(not(isblank($A646)),$A646=$A645,$B646&lt;&gt;$B645)),"ID LISTS UNALIGNED",and($A646&lt;&gt;"",countif('5) Release_Track'!$F:$F,$A646)=0),"NO ISRC MATCH in Release_Track",and($B646&lt;&gt;"",countif('5) Release_Track'!$G:$G,$B646)=0),"NO CATALOG ID MATCH in Release_Track",iserror(vlookup($A646&amp;$B646,'5) Release_Track'!$F:$F&amp;'5) Release_Track'!$G:$G,1,0)),"NO ISRC-CATALOG ID pair MATCH in Release_Track" )</f>
        <v/>
      </c>
      <c r="D646" s="121" t="str">
        <f t="array" ref="D646">ifs(and(isblank($A646),isblank($B646)),"", not(iserror(vlookup($A646&amp;$B646,'5) Release_Track'!$F:$F&amp;'5) Release_Track'!$G:$G,1,0))),vlookup($A646&amp;$B646,{'5) Release_Track'!$F:$F&amp;'5) Release_Track'!$G:$G,'5) Release_Track'!$I:$I},2,0), or(and(not(isblank($B646)),$B646=$B645,$A646&lt;&gt;$A645),and(not(isblank($A646)),$A646=$A645,$B646&lt;&gt;$B645)),"ID LISTS UNALIGNED",and($A646&lt;&gt;"",countif('5) Release_Track'!$F:$F,$A646)=0),"NO ISRC MATCH in Release_Track",and($B646&lt;&gt;"",countif('5) Release_Track'!$G:$G,$B646)=0),"NO CATALOG ID MATCH in Release_Track",iserror(vlookup($A646&amp;$B646,'5) Release_Track'!$F:$F&amp;'5) Release_Track'!$G:$G,1,0)),"NO ISRC-CATALOG ID pair MATCH in Release_Track" )</f>
        <v/>
      </c>
      <c r="E646" s="125" t="str">
        <f t="array" ref="E646">ifs(and(isblank($A646),isblank($B646)),"", not(iserror(vlookup($A646&amp;$B646,'5) Release_Track'!$F:$F&amp;'5) Release_Track'!$G:$G,1,0))),vlookup($A646&amp;$B646,{'5) Release_Track'!$F:$F&amp;'5) Release_Track'!$G:$G,'5) Release_Track'!$J:$J},2,0), or(and(not(isblank($B646)),$B646=$B645,$A646&lt;&gt;$A645),and(not(isblank($A646)),$A646=$A645,$B646&lt;&gt;$B645)),"ID LISTS UNALIGNED",and($A646&lt;&gt;"",countif('5) Release_Track'!$F:$F,$A646)=0),"NO ISRC MATCH in Release_Track",and($B646&lt;&gt;"",countif('5) Release_Track'!$G:$G,$B646)=0),"NO CATALOG ID MATCH in Release_Track",iserror(vlookup($A646&amp;$B646,'5) Release_Track'!$F:$F&amp;'5) Release_Track'!$G:$G,1,0)),"NO ISRC-CATALOG ID pair MATCH in Release_Track" )</f>
        <v/>
      </c>
      <c r="F646" s="122"/>
      <c r="G646" s="99"/>
      <c r="H646" s="178"/>
      <c r="I646" s="121" t="str">
        <f t="shared" si="6"/>
        <v/>
      </c>
      <c r="J646" s="99"/>
      <c r="K646" s="99"/>
    </row>
    <row r="647">
      <c r="B647" s="103"/>
      <c r="C647" s="121" t="str">
        <f t="array" ref="C647">ifs(and(isblank($A647),isblank($B647)),"", not(iserror(vlookup($A647&amp;$B647,'5) Release_Track'!$F:$F&amp;'5) Release_Track'!$G:$G,1,0))),vlookup($A647&amp;$B647,{'5) Release_Track'!$F:$F&amp;'5) Release_Track'!$G:$G,'5) Release_Track'!$H:$H},2,0), or(and(not(isblank($B647)),$B647=$B646,$A647&lt;&gt;$A646),and(not(isblank($A647)),$A647=$A646,$B647&lt;&gt;$B646)),"ID LISTS UNALIGNED",and($A647&lt;&gt;"",countif('5) Release_Track'!$F:$F,$A647)=0),"NO ISRC MATCH in Release_Track",and($B647&lt;&gt;"",countif('5) Release_Track'!$G:$G,$B647)=0),"NO CATALOG ID MATCH in Release_Track",iserror(vlookup($A647&amp;$B647,'5) Release_Track'!$F:$F&amp;'5) Release_Track'!$G:$G,1,0)),"NO ISRC-CATALOG ID pair MATCH in Release_Track" )</f>
        <v/>
      </c>
      <c r="D647" s="121" t="str">
        <f t="array" ref="D647">ifs(and(isblank($A647),isblank($B647)),"", not(iserror(vlookup($A647&amp;$B647,'5) Release_Track'!$F:$F&amp;'5) Release_Track'!$G:$G,1,0))),vlookup($A647&amp;$B647,{'5) Release_Track'!$F:$F&amp;'5) Release_Track'!$G:$G,'5) Release_Track'!$I:$I},2,0), or(and(not(isblank($B647)),$B647=$B646,$A647&lt;&gt;$A646),and(not(isblank($A647)),$A647=$A646,$B647&lt;&gt;$B646)),"ID LISTS UNALIGNED",and($A647&lt;&gt;"",countif('5) Release_Track'!$F:$F,$A647)=0),"NO ISRC MATCH in Release_Track",and($B647&lt;&gt;"",countif('5) Release_Track'!$G:$G,$B647)=0),"NO CATALOG ID MATCH in Release_Track",iserror(vlookup($A647&amp;$B647,'5) Release_Track'!$F:$F&amp;'5) Release_Track'!$G:$G,1,0)),"NO ISRC-CATALOG ID pair MATCH in Release_Track" )</f>
        <v/>
      </c>
      <c r="E647" s="125" t="str">
        <f t="array" ref="E647">ifs(and(isblank($A647),isblank($B647)),"", not(iserror(vlookup($A647&amp;$B647,'5) Release_Track'!$F:$F&amp;'5) Release_Track'!$G:$G,1,0))),vlookup($A647&amp;$B647,{'5) Release_Track'!$F:$F&amp;'5) Release_Track'!$G:$G,'5) Release_Track'!$J:$J},2,0), or(and(not(isblank($B647)),$B647=$B646,$A647&lt;&gt;$A646),and(not(isblank($A647)),$A647=$A646,$B647&lt;&gt;$B646)),"ID LISTS UNALIGNED",and($A647&lt;&gt;"",countif('5) Release_Track'!$F:$F,$A647)=0),"NO ISRC MATCH in Release_Track",and($B647&lt;&gt;"",countif('5) Release_Track'!$G:$G,$B647)=0),"NO CATALOG ID MATCH in Release_Track",iserror(vlookup($A647&amp;$B647,'5) Release_Track'!$F:$F&amp;'5) Release_Track'!$G:$G,1,0)),"NO ISRC-CATALOG ID pair MATCH in Release_Track" )</f>
        <v/>
      </c>
      <c r="F647" s="122"/>
      <c r="G647" s="99"/>
      <c r="H647" s="178"/>
      <c r="I647" s="121" t="str">
        <f t="shared" si="6"/>
        <v/>
      </c>
      <c r="J647" s="99"/>
      <c r="K647" s="99"/>
    </row>
    <row r="648">
      <c r="B648" s="103"/>
      <c r="C648" s="121" t="str">
        <f t="array" ref="C648">ifs(and(isblank($A648),isblank($B648)),"", not(iserror(vlookup($A648&amp;$B648,'5) Release_Track'!$F:$F&amp;'5) Release_Track'!$G:$G,1,0))),vlookup($A648&amp;$B648,{'5) Release_Track'!$F:$F&amp;'5) Release_Track'!$G:$G,'5) Release_Track'!$H:$H},2,0), or(and(not(isblank($B648)),$B648=$B647,$A648&lt;&gt;$A647),and(not(isblank($A648)),$A648=$A647,$B648&lt;&gt;$B647)),"ID LISTS UNALIGNED",and($A648&lt;&gt;"",countif('5) Release_Track'!$F:$F,$A648)=0),"NO ISRC MATCH in Release_Track",and($B648&lt;&gt;"",countif('5) Release_Track'!$G:$G,$B648)=0),"NO CATALOG ID MATCH in Release_Track",iserror(vlookup($A648&amp;$B648,'5) Release_Track'!$F:$F&amp;'5) Release_Track'!$G:$G,1,0)),"NO ISRC-CATALOG ID pair MATCH in Release_Track" )</f>
        <v/>
      </c>
      <c r="D648" s="121" t="str">
        <f t="array" ref="D648">ifs(and(isblank($A648),isblank($B648)),"", not(iserror(vlookup($A648&amp;$B648,'5) Release_Track'!$F:$F&amp;'5) Release_Track'!$G:$G,1,0))),vlookup($A648&amp;$B648,{'5) Release_Track'!$F:$F&amp;'5) Release_Track'!$G:$G,'5) Release_Track'!$I:$I},2,0), or(and(not(isblank($B648)),$B648=$B647,$A648&lt;&gt;$A647),and(not(isblank($A648)),$A648=$A647,$B648&lt;&gt;$B647)),"ID LISTS UNALIGNED",and($A648&lt;&gt;"",countif('5) Release_Track'!$F:$F,$A648)=0),"NO ISRC MATCH in Release_Track",and($B648&lt;&gt;"",countif('5) Release_Track'!$G:$G,$B648)=0),"NO CATALOG ID MATCH in Release_Track",iserror(vlookup($A648&amp;$B648,'5) Release_Track'!$F:$F&amp;'5) Release_Track'!$G:$G,1,0)),"NO ISRC-CATALOG ID pair MATCH in Release_Track" )</f>
        <v/>
      </c>
      <c r="E648" s="125" t="str">
        <f t="array" ref="E648">ifs(and(isblank($A648),isblank($B648)),"", not(iserror(vlookup($A648&amp;$B648,'5) Release_Track'!$F:$F&amp;'5) Release_Track'!$G:$G,1,0))),vlookup($A648&amp;$B648,{'5) Release_Track'!$F:$F&amp;'5) Release_Track'!$G:$G,'5) Release_Track'!$J:$J},2,0), or(and(not(isblank($B648)),$B648=$B647,$A648&lt;&gt;$A647),and(not(isblank($A648)),$A648=$A647,$B648&lt;&gt;$B647)),"ID LISTS UNALIGNED",and($A648&lt;&gt;"",countif('5) Release_Track'!$F:$F,$A648)=0),"NO ISRC MATCH in Release_Track",and($B648&lt;&gt;"",countif('5) Release_Track'!$G:$G,$B648)=0),"NO CATALOG ID MATCH in Release_Track",iserror(vlookup($A648&amp;$B648,'5) Release_Track'!$F:$F&amp;'5) Release_Track'!$G:$G,1,0)),"NO ISRC-CATALOG ID pair MATCH in Release_Track" )</f>
        <v/>
      </c>
      <c r="F648" s="122"/>
      <c r="G648" s="99"/>
      <c r="H648" s="178"/>
      <c r="I648" s="121" t="str">
        <f t="shared" si="6"/>
        <v/>
      </c>
      <c r="J648" s="99"/>
      <c r="K648" s="99"/>
    </row>
    <row r="649">
      <c r="B649" s="103"/>
      <c r="C649" s="121" t="str">
        <f t="array" ref="C649">ifs(and(isblank($A649),isblank($B649)),"", not(iserror(vlookup($A649&amp;$B649,'5) Release_Track'!$F:$F&amp;'5) Release_Track'!$G:$G,1,0))),vlookup($A649&amp;$B649,{'5) Release_Track'!$F:$F&amp;'5) Release_Track'!$G:$G,'5) Release_Track'!$H:$H},2,0), or(and(not(isblank($B649)),$B649=$B648,$A649&lt;&gt;$A648),and(not(isblank($A649)),$A649=$A648,$B649&lt;&gt;$B648)),"ID LISTS UNALIGNED",and($A649&lt;&gt;"",countif('5) Release_Track'!$F:$F,$A649)=0),"NO ISRC MATCH in Release_Track",and($B649&lt;&gt;"",countif('5) Release_Track'!$G:$G,$B649)=0),"NO CATALOG ID MATCH in Release_Track",iserror(vlookup($A649&amp;$B649,'5) Release_Track'!$F:$F&amp;'5) Release_Track'!$G:$G,1,0)),"NO ISRC-CATALOG ID pair MATCH in Release_Track" )</f>
        <v/>
      </c>
      <c r="D649" s="121" t="str">
        <f t="array" ref="D649">ifs(and(isblank($A649),isblank($B649)),"", not(iserror(vlookup($A649&amp;$B649,'5) Release_Track'!$F:$F&amp;'5) Release_Track'!$G:$G,1,0))),vlookup($A649&amp;$B649,{'5) Release_Track'!$F:$F&amp;'5) Release_Track'!$G:$G,'5) Release_Track'!$I:$I},2,0), or(and(not(isblank($B649)),$B649=$B648,$A649&lt;&gt;$A648),and(not(isblank($A649)),$A649=$A648,$B649&lt;&gt;$B648)),"ID LISTS UNALIGNED",and($A649&lt;&gt;"",countif('5) Release_Track'!$F:$F,$A649)=0),"NO ISRC MATCH in Release_Track",and($B649&lt;&gt;"",countif('5) Release_Track'!$G:$G,$B649)=0),"NO CATALOG ID MATCH in Release_Track",iserror(vlookup($A649&amp;$B649,'5) Release_Track'!$F:$F&amp;'5) Release_Track'!$G:$G,1,0)),"NO ISRC-CATALOG ID pair MATCH in Release_Track" )</f>
        <v/>
      </c>
      <c r="E649" s="125" t="str">
        <f t="array" ref="E649">ifs(and(isblank($A649),isblank($B649)),"", not(iserror(vlookup($A649&amp;$B649,'5) Release_Track'!$F:$F&amp;'5) Release_Track'!$G:$G,1,0))),vlookup($A649&amp;$B649,{'5) Release_Track'!$F:$F&amp;'5) Release_Track'!$G:$G,'5) Release_Track'!$J:$J},2,0), or(and(not(isblank($B649)),$B649=$B648,$A649&lt;&gt;$A648),and(not(isblank($A649)),$A649=$A648,$B649&lt;&gt;$B648)),"ID LISTS UNALIGNED",and($A649&lt;&gt;"",countif('5) Release_Track'!$F:$F,$A649)=0),"NO ISRC MATCH in Release_Track",and($B649&lt;&gt;"",countif('5) Release_Track'!$G:$G,$B649)=0),"NO CATALOG ID MATCH in Release_Track",iserror(vlookup($A649&amp;$B649,'5) Release_Track'!$F:$F&amp;'5) Release_Track'!$G:$G,1,0)),"NO ISRC-CATALOG ID pair MATCH in Release_Track" )</f>
        <v/>
      </c>
      <c r="F649" s="122"/>
      <c r="G649" s="99"/>
      <c r="H649" s="178"/>
      <c r="I649" s="121" t="str">
        <f t="shared" si="6"/>
        <v/>
      </c>
      <c r="J649" s="99"/>
      <c r="K649" s="99"/>
    </row>
    <row r="650">
      <c r="B650" s="103"/>
      <c r="C650" s="121" t="str">
        <f t="array" ref="C650">ifs(and(isblank($A650),isblank($B650)),"", not(iserror(vlookup($A650&amp;$B650,'5) Release_Track'!$F:$F&amp;'5) Release_Track'!$G:$G,1,0))),vlookup($A650&amp;$B650,{'5) Release_Track'!$F:$F&amp;'5) Release_Track'!$G:$G,'5) Release_Track'!$H:$H},2,0), or(and(not(isblank($B650)),$B650=$B649,$A650&lt;&gt;$A649),and(not(isblank($A650)),$A650=$A649,$B650&lt;&gt;$B649)),"ID LISTS UNALIGNED",and($A650&lt;&gt;"",countif('5) Release_Track'!$F:$F,$A650)=0),"NO ISRC MATCH in Release_Track",and($B650&lt;&gt;"",countif('5) Release_Track'!$G:$G,$B650)=0),"NO CATALOG ID MATCH in Release_Track",iserror(vlookup($A650&amp;$B650,'5) Release_Track'!$F:$F&amp;'5) Release_Track'!$G:$G,1,0)),"NO ISRC-CATALOG ID pair MATCH in Release_Track" )</f>
        <v/>
      </c>
      <c r="D650" s="121" t="str">
        <f t="array" ref="D650">ifs(and(isblank($A650),isblank($B650)),"", not(iserror(vlookup($A650&amp;$B650,'5) Release_Track'!$F:$F&amp;'5) Release_Track'!$G:$G,1,0))),vlookup($A650&amp;$B650,{'5) Release_Track'!$F:$F&amp;'5) Release_Track'!$G:$G,'5) Release_Track'!$I:$I},2,0), or(and(not(isblank($B650)),$B650=$B649,$A650&lt;&gt;$A649),and(not(isblank($A650)),$A650=$A649,$B650&lt;&gt;$B649)),"ID LISTS UNALIGNED",and($A650&lt;&gt;"",countif('5) Release_Track'!$F:$F,$A650)=0),"NO ISRC MATCH in Release_Track",and($B650&lt;&gt;"",countif('5) Release_Track'!$G:$G,$B650)=0),"NO CATALOG ID MATCH in Release_Track",iserror(vlookup($A650&amp;$B650,'5) Release_Track'!$F:$F&amp;'5) Release_Track'!$G:$G,1,0)),"NO ISRC-CATALOG ID pair MATCH in Release_Track" )</f>
        <v/>
      </c>
      <c r="E650" s="125" t="str">
        <f t="array" ref="E650">ifs(and(isblank($A650),isblank($B650)),"", not(iserror(vlookup($A650&amp;$B650,'5) Release_Track'!$F:$F&amp;'5) Release_Track'!$G:$G,1,0))),vlookup($A650&amp;$B650,{'5) Release_Track'!$F:$F&amp;'5) Release_Track'!$G:$G,'5) Release_Track'!$J:$J},2,0), or(and(not(isblank($B650)),$B650=$B649,$A650&lt;&gt;$A649),and(not(isblank($A650)),$A650=$A649,$B650&lt;&gt;$B649)),"ID LISTS UNALIGNED",and($A650&lt;&gt;"",countif('5) Release_Track'!$F:$F,$A650)=0),"NO ISRC MATCH in Release_Track",and($B650&lt;&gt;"",countif('5) Release_Track'!$G:$G,$B650)=0),"NO CATALOG ID MATCH in Release_Track",iserror(vlookup($A650&amp;$B650,'5) Release_Track'!$F:$F&amp;'5) Release_Track'!$G:$G,1,0)),"NO ISRC-CATALOG ID pair MATCH in Release_Track" )</f>
        <v/>
      </c>
      <c r="F650" s="122"/>
      <c r="G650" s="99"/>
      <c r="H650" s="178"/>
      <c r="I650" s="121" t="str">
        <f t="shared" si="6"/>
        <v/>
      </c>
      <c r="J650" s="99"/>
      <c r="K650" s="99"/>
    </row>
    <row r="651">
      <c r="B651" s="103"/>
      <c r="C651" s="121" t="str">
        <f t="array" ref="C651">ifs(and(isblank($A651),isblank($B651)),"", not(iserror(vlookup($A651&amp;$B651,'5) Release_Track'!$F:$F&amp;'5) Release_Track'!$G:$G,1,0))),vlookup($A651&amp;$B651,{'5) Release_Track'!$F:$F&amp;'5) Release_Track'!$G:$G,'5) Release_Track'!$H:$H},2,0), or(and(not(isblank($B651)),$B651=$B650,$A651&lt;&gt;$A650),and(not(isblank($A651)),$A651=$A650,$B651&lt;&gt;$B650)),"ID LISTS UNALIGNED",and($A651&lt;&gt;"",countif('5) Release_Track'!$F:$F,$A651)=0),"NO ISRC MATCH in Release_Track",and($B651&lt;&gt;"",countif('5) Release_Track'!$G:$G,$B651)=0),"NO CATALOG ID MATCH in Release_Track",iserror(vlookup($A651&amp;$B651,'5) Release_Track'!$F:$F&amp;'5) Release_Track'!$G:$G,1,0)),"NO ISRC-CATALOG ID pair MATCH in Release_Track" )</f>
        <v/>
      </c>
      <c r="D651" s="121" t="str">
        <f t="array" ref="D651">ifs(and(isblank($A651),isblank($B651)),"", not(iserror(vlookup($A651&amp;$B651,'5) Release_Track'!$F:$F&amp;'5) Release_Track'!$G:$G,1,0))),vlookup($A651&amp;$B651,{'5) Release_Track'!$F:$F&amp;'5) Release_Track'!$G:$G,'5) Release_Track'!$I:$I},2,0), or(and(not(isblank($B651)),$B651=$B650,$A651&lt;&gt;$A650),and(not(isblank($A651)),$A651=$A650,$B651&lt;&gt;$B650)),"ID LISTS UNALIGNED",and($A651&lt;&gt;"",countif('5) Release_Track'!$F:$F,$A651)=0),"NO ISRC MATCH in Release_Track",and($B651&lt;&gt;"",countif('5) Release_Track'!$G:$G,$B651)=0),"NO CATALOG ID MATCH in Release_Track",iserror(vlookup($A651&amp;$B651,'5) Release_Track'!$F:$F&amp;'5) Release_Track'!$G:$G,1,0)),"NO ISRC-CATALOG ID pair MATCH in Release_Track" )</f>
        <v/>
      </c>
      <c r="E651" s="125" t="str">
        <f t="array" ref="E651">ifs(and(isblank($A651),isblank($B651)),"", not(iserror(vlookup($A651&amp;$B651,'5) Release_Track'!$F:$F&amp;'5) Release_Track'!$G:$G,1,0))),vlookup($A651&amp;$B651,{'5) Release_Track'!$F:$F&amp;'5) Release_Track'!$G:$G,'5) Release_Track'!$J:$J},2,0), or(and(not(isblank($B651)),$B651=$B650,$A651&lt;&gt;$A650),and(not(isblank($A651)),$A651=$A650,$B651&lt;&gt;$B650)),"ID LISTS UNALIGNED",and($A651&lt;&gt;"",countif('5) Release_Track'!$F:$F,$A651)=0),"NO ISRC MATCH in Release_Track",and($B651&lt;&gt;"",countif('5) Release_Track'!$G:$G,$B651)=0),"NO CATALOG ID MATCH in Release_Track",iserror(vlookup($A651&amp;$B651,'5) Release_Track'!$F:$F&amp;'5) Release_Track'!$G:$G,1,0)),"NO ISRC-CATALOG ID pair MATCH in Release_Track" )</f>
        <v/>
      </c>
      <c r="F651" s="122"/>
      <c r="G651" s="99"/>
      <c r="H651" s="178"/>
      <c r="I651" s="121" t="str">
        <f t="shared" si="6"/>
        <v/>
      </c>
      <c r="J651" s="99"/>
      <c r="K651" s="99"/>
    </row>
    <row r="652">
      <c r="B652" s="103"/>
      <c r="C652" s="121" t="str">
        <f t="array" ref="C652">ifs(and(isblank($A652),isblank($B652)),"", not(iserror(vlookup($A652&amp;$B652,'5) Release_Track'!$F:$F&amp;'5) Release_Track'!$G:$G,1,0))),vlookup($A652&amp;$B652,{'5) Release_Track'!$F:$F&amp;'5) Release_Track'!$G:$G,'5) Release_Track'!$H:$H},2,0), or(and(not(isblank($B652)),$B652=$B651,$A652&lt;&gt;$A651),and(not(isblank($A652)),$A652=$A651,$B652&lt;&gt;$B651)),"ID LISTS UNALIGNED",and($A652&lt;&gt;"",countif('5) Release_Track'!$F:$F,$A652)=0),"NO ISRC MATCH in Release_Track",and($B652&lt;&gt;"",countif('5) Release_Track'!$G:$G,$B652)=0),"NO CATALOG ID MATCH in Release_Track",iserror(vlookup($A652&amp;$B652,'5) Release_Track'!$F:$F&amp;'5) Release_Track'!$G:$G,1,0)),"NO ISRC-CATALOG ID pair MATCH in Release_Track" )</f>
        <v/>
      </c>
      <c r="D652" s="121" t="str">
        <f t="array" ref="D652">ifs(and(isblank($A652),isblank($B652)),"", not(iserror(vlookup($A652&amp;$B652,'5) Release_Track'!$F:$F&amp;'5) Release_Track'!$G:$G,1,0))),vlookup($A652&amp;$B652,{'5) Release_Track'!$F:$F&amp;'5) Release_Track'!$G:$G,'5) Release_Track'!$I:$I},2,0), or(and(not(isblank($B652)),$B652=$B651,$A652&lt;&gt;$A651),and(not(isblank($A652)),$A652=$A651,$B652&lt;&gt;$B651)),"ID LISTS UNALIGNED",and($A652&lt;&gt;"",countif('5) Release_Track'!$F:$F,$A652)=0),"NO ISRC MATCH in Release_Track",and($B652&lt;&gt;"",countif('5) Release_Track'!$G:$G,$B652)=0),"NO CATALOG ID MATCH in Release_Track",iserror(vlookup($A652&amp;$B652,'5) Release_Track'!$F:$F&amp;'5) Release_Track'!$G:$G,1,0)),"NO ISRC-CATALOG ID pair MATCH in Release_Track" )</f>
        <v/>
      </c>
      <c r="E652" s="125" t="str">
        <f t="array" ref="E652">ifs(and(isblank($A652),isblank($B652)),"", not(iserror(vlookup($A652&amp;$B652,'5) Release_Track'!$F:$F&amp;'5) Release_Track'!$G:$G,1,0))),vlookup($A652&amp;$B652,{'5) Release_Track'!$F:$F&amp;'5) Release_Track'!$G:$G,'5) Release_Track'!$J:$J},2,0), or(and(not(isblank($B652)),$B652=$B651,$A652&lt;&gt;$A651),and(not(isblank($A652)),$A652=$A651,$B652&lt;&gt;$B651)),"ID LISTS UNALIGNED",and($A652&lt;&gt;"",countif('5) Release_Track'!$F:$F,$A652)=0),"NO ISRC MATCH in Release_Track",and($B652&lt;&gt;"",countif('5) Release_Track'!$G:$G,$B652)=0),"NO CATALOG ID MATCH in Release_Track",iserror(vlookup($A652&amp;$B652,'5) Release_Track'!$F:$F&amp;'5) Release_Track'!$G:$G,1,0)),"NO ISRC-CATALOG ID pair MATCH in Release_Track" )</f>
        <v/>
      </c>
      <c r="F652" s="122"/>
      <c r="G652" s="99"/>
      <c r="H652" s="178"/>
      <c r="I652" s="121" t="str">
        <f t="shared" si="6"/>
        <v/>
      </c>
      <c r="J652" s="99"/>
      <c r="K652" s="99"/>
    </row>
    <row r="653">
      <c r="B653" s="103"/>
      <c r="C653" s="121" t="str">
        <f t="array" ref="C653">ifs(and(isblank($A653),isblank($B653)),"", not(iserror(vlookup($A653&amp;$B653,'5) Release_Track'!$F:$F&amp;'5) Release_Track'!$G:$G,1,0))),vlookup($A653&amp;$B653,{'5) Release_Track'!$F:$F&amp;'5) Release_Track'!$G:$G,'5) Release_Track'!$H:$H},2,0), or(and(not(isblank($B653)),$B653=$B652,$A653&lt;&gt;$A652),and(not(isblank($A653)),$A653=$A652,$B653&lt;&gt;$B652)),"ID LISTS UNALIGNED",and($A653&lt;&gt;"",countif('5) Release_Track'!$F:$F,$A653)=0),"NO ISRC MATCH in Release_Track",and($B653&lt;&gt;"",countif('5) Release_Track'!$G:$G,$B653)=0),"NO CATALOG ID MATCH in Release_Track",iserror(vlookup($A653&amp;$B653,'5) Release_Track'!$F:$F&amp;'5) Release_Track'!$G:$G,1,0)),"NO ISRC-CATALOG ID pair MATCH in Release_Track" )</f>
        <v/>
      </c>
      <c r="D653" s="121" t="str">
        <f t="array" ref="D653">ifs(and(isblank($A653),isblank($B653)),"", not(iserror(vlookup($A653&amp;$B653,'5) Release_Track'!$F:$F&amp;'5) Release_Track'!$G:$G,1,0))),vlookup($A653&amp;$B653,{'5) Release_Track'!$F:$F&amp;'5) Release_Track'!$G:$G,'5) Release_Track'!$I:$I},2,0), or(and(not(isblank($B653)),$B653=$B652,$A653&lt;&gt;$A652),and(not(isblank($A653)),$A653=$A652,$B653&lt;&gt;$B652)),"ID LISTS UNALIGNED",and($A653&lt;&gt;"",countif('5) Release_Track'!$F:$F,$A653)=0),"NO ISRC MATCH in Release_Track",and($B653&lt;&gt;"",countif('5) Release_Track'!$G:$G,$B653)=0),"NO CATALOG ID MATCH in Release_Track",iserror(vlookup($A653&amp;$B653,'5) Release_Track'!$F:$F&amp;'5) Release_Track'!$G:$G,1,0)),"NO ISRC-CATALOG ID pair MATCH in Release_Track" )</f>
        <v/>
      </c>
      <c r="E653" s="125" t="str">
        <f t="array" ref="E653">ifs(and(isblank($A653),isblank($B653)),"", not(iserror(vlookup($A653&amp;$B653,'5) Release_Track'!$F:$F&amp;'5) Release_Track'!$G:$G,1,0))),vlookup($A653&amp;$B653,{'5) Release_Track'!$F:$F&amp;'5) Release_Track'!$G:$G,'5) Release_Track'!$J:$J},2,0), or(and(not(isblank($B653)),$B653=$B652,$A653&lt;&gt;$A652),and(not(isblank($A653)),$A653=$A652,$B653&lt;&gt;$B652)),"ID LISTS UNALIGNED",and($A653&lt;&gt;"",countif('5) Release_Track'!$F:$F,$A653)=0),"NO ISRC MATCH in Release_Track",and($B653&lt;&gt;"",countif('5) Release_Track'!$G:$G,$B653)=0),"NO CATALOG ID MATCH in Release_Track",iserror(vlookup($A653&amp;$B653,'5) Release_Track'!$F:$F&amp;'5) Release_Track'!$G:$G,1,0)),"NO ISRC-CATALOG ID pair MATCH in Release_Track" )</f>
        <v/>
      </c>
      <c r="F653" s="122"/>
      <c r="G653" s="99"/>
      <c r="H653" s="178"/>
      <c r="I653" s="121" t="str">
        <f t="shared" si="6"/>
        <v/>
      </c>
      <c r="J653" s="99"/>
      <c r="K653" s="99"/>
    </row>
    <row r="654">
      <c r="B654" s="103"/>
      <c r="C654" s="121" t="str">
        <f t="array" ref="C654">ifs(and(isblank($A654),isblank($B654)),"", not(iserror(vlookup($A654&amp;$B654,'5) Release_Track'!$F:$F&amp;'5) Release_Track'!$G:$G,1,0))),vlookup($A654&amp;$B654,{'5) Release_Track'!$F:$F&amp;'5) Release_Track'!$G:$G,'5) Release_Track'!$H:$H},2,0), or(and(not(isblank($B654)),$B654=$B653,$A654&lt;&gt;$A653),and(not(isblank($A654)),$A654=$A653,$B654&lt;&gt;$B653)),"ID LISTS UNALIGNED",and($A654&lt;&gt;"",countif('5) Release_Track'!$F:$F,$A654)=0),"NO ISRC MATCH in Release_Track",and($B654&lt;&gt;"",countif('5) Release_Track'!$G:$G,$B654)=0),"NO CATALOG ID MATCH in Release_Track",iserror(vlookup($A654&amp;$B654,'5) Release_Track'!$F:$F&amp;'5) Release_Track'!$G:$G,1,0)),"NO ISRC-CATALOG ID pair MATCH in Release_Track" )</f>
        <v/>
      </c>
      <c r="D654" s="121" t="str">
        <f t="array" ref="D654">ifs(and(isblank($A654),isblank($B654)),"", not(iserror(vlookup($A654&amp;$B654,'5) Release_Track'!$F:$F&amp;'5) Release_Track'!$G:$G,1,0))),vlookup($A654&amp;$B654,{'5) Release_Track'!$F:$F&amp;'5) Release_Track'!$G:$G,'5) Release_Track'!$I:$I},2,0), or(and(not(isblank($B654)),$B654=$B653,$A654&lt;&gt;$A653),and(not(isblank($A654)),$A654=$A653,$B654&lt;&gt;$B653)),"ID LISTS UNALIGNED",and($A654&lt;&gt;"",countif('5) Release_Track'!$F:$F,$A654)=0),"NO ISRC MATCH in Release_Track",and($B654&lt;&gt;"",countif('5) Release_Track'!$G:$G,$B654)=0),"NO CATALOG ID MATCH in Release_Track",iserror(vlookup($A654&amp;$B654,'5) Release_Track'!$F:$F&amp;'5) Release_Track'!$G:$G,1,0)),"NO ISRC-CATALOG ID pair MATCH in Release_Track" )</f>
        <v/>
      </c>
      <c r="E654" s="125" t="str">
        <f t="array" ref="E654">ifs(and(isblank($A654),isblank($B654)),"", not(iserror(vlookup($A654&amp;$B654,'5) Release_Track'!$F:$F&amp;'5) Release_Track'!$G:$G,1,0))),vlookup($A654&amp;$B654,{'5) Release_Track'!$F:$F&amp;'5) Release_Track'!$G:$G,'5) Release_Track'!$J:$J},2,0), or(and(not(isblank($B654)),$B654=$B653,$A654&lt;&gt;$A653),and(not(isblank($A654)),$A654=$A653,$B654&lt;&gt;$B653)),"ID LISTS UNALIGNED",and($A654&lt;&gt;"",countif('5) Release_Track'!$F:$F,$A654)=0),"NO ISRC MATCH in Release_Track",and($B654&lt;&gt;"",countif('5) Release_Track'!$G:$G,$B654)=0),"NO CATALOG ID MATCH in Release_Track",iserror(vlookup($A654&amp;$B654,'5) Release_Track'!$F:$F&amp;'5) Release_Track'!$G:$G,1,0)),"NO ISRC-CATALOG ID pair MATCH in Release_Track" )</f>
        <v/>
      </c>
      <c r="F654" s="122"/>
      <c r="G654" s="99"/>
      <c r="H654" s="178"/>
      <c r="I654" s="121" t="str">
        <f t="shared" si="6"/>
        <v/>
      </c>
      <c r="J654" s="99"/>
      <c r="K654" s="99"/>
    </row>
    <row r="655">
      <c r="B655" s="103"/>
      <c r="C655" s="121" t="str">
        <f t="array" ref="C655">ifs(and(isblank($A655),isblank($B655)),"", not(iserror(vlookup($A655&amp;$B655,'5) Release_Track'!$F:$F&amp;'5) Release_Track'!$G:$G,1,0))),vlookup($A655&amp;$B655,{'5) Release_Track'!$F:$F&amp;'5) Release_Track'!$G:$G,'5) Release_Track'!$H:$H},2,0), or(and(not(isblank($B655)),$B655=$B654,$A655&lt;&gt;$A654),and(not(isblank($A655)),$A655=$A654,$B655&lt;&gt;$B654)),"ID LISTS UNALIGNED",and($A655&lt;&gt;"",countif('5) Release_Track'!$F:$F,$A655)=0),"NO ISRC MATCH in Release_Track",and($B655&lt;&gt;"",countif('5) Release_Track'!$G:$G,$B655)=0),"NO CATALOG ID MATCH in Release_Track",iserror(vlookup($A655&amp;$B655,'5) Release_Track'!$F:$F&amp;'5) Release_Track'!$G:$G,1,0)),"NO ISRC-CATALOG ID pair MATCH in Release_Track" )</f>
        <v/>
      </c>
      <c r="D655" s="121" t="str">
        <f t="array" ref="D655">ifs(and(isblank($A655),isblank($B655)),"", not(iserror(vlookup($A655&amp;$B655,'5) Release_Track'!$F:$F&amp;'5) Release_Track'!$G:$G,1,0))),vlookup($A655&amp;$B655,{'5) Release_Track'!$F:$F&amp;'5) Release_Track'!$G:$G,'5) Release_Track'!$I:$I},2,0), or(and(not(isblank($B655)),$B655=$B654,$A655&lt;&gt;$A654),and(not(isblank($A655)),$A655=$A654,$B655&lt;&gt;$B654)),"ID LISTS UNALIGNED",and($A655&lt;&gt;"",countif('5) Release_Track'!$F:$F,$A655)=0),"NO ISRC MATCH in Release_Track",and($B655&lt;&gt;"",countif('5) Release_Track'!$G:$G,$B655)=0),"NO CATALOG ID MATCH in Release_Track",iserror(vlookup($A655&amp;$B655,'5) Release_Track'!$F:$F&amp;'5) Release_Track'!$G:$G,1,0)),"NO ISRC-CATALOG ID pair MATCH in Release_Track" )</f>
        <v/>
      </c>
      <c r="E655" s="125" t="str">
        <f t="array" ref="E655">ifs(and(isblank($A655),isblank($B655)),"", not(iserror(vlookup($A655&amp;$B655,'5) Release_Track'!$F:$F&amp;'5) Release_Track'!$G:$G,1,0))),vlookup($A655&amp;$B655,{'5) Release_Track'!$F:$F&amp;'5) Release_Track'!$G:$G,'5) Release_Track'!$J:$J},2,0), or(and(not(isblank($B655)),$B655=$B654,$A655&lt;&gt;$A654),and(not(isblank($A655)),$A655=$A654,$B655&lt;&gt;$B654)),"ID LISTS UNALIGNED",and($A655&lt;&gt;"",countif('5) Release_Track'!$F:$F,$A655)=0),"NO ISRC MATCH in Release_Track",and($B655&lt;&gt;"",countif('5) Release_Track'!$G:$G,$B655)=0),"NO CATALOG ID MATCH in Release_Track",iserror(vlookup($A655&amp;$B655,'5) Release_Track'!$F:$F&amp;'5) Release_Track'!$G:$G,1,0)),"NO ISRC-CATALOG ID pair MATCH in Release_Track" )</f>
        <v/>
      </c>
      <c r="F655" s="122"/>
      <c r="G655" s="99"/>
      <c r="H655" s="178"/>
      <c r="I655" s="121" t="str">
        <f t="shared" si="6"/>
        <v/>
      </c>
      <c r="J655" s="99"/>
      <c r="K655" s="99"/>
    </row>
    <row r="656">
      <c r="B656" s="103"/>
      <c r="C656" s="121" t="str">
        <f t="array" ref="C656">ifs(and(isblank($A656),isblank($B656)),"", not(iserror(vlookup($A656&amp;$B656,'5) Release_Track'!$F:$F&amp;'5) Release_Track'!$G:$G,1,0))),vlookup($A656&amp;$B656,{'5) Release_Track'!$F:$F&amp;'5) Release_Track'!$G:$G,'5) Release_Track'!$H:$H},2,0), or(and(not(isblank($B656)),$B656=$B655,$A656&lt;&gt;$A655),and(not(isblank($A656)),$A656=$A655,$B656&lt;&gt;$B655)),"ID LISTS UNALIGNED",and($A656&lt;&gt;"",countif('5) Release_Track'!$F:$F,$A656)=0),"NO ISRC MATCH in Release_Track",and($B656&lt;&gt;"",countif('5) Release_Track'!$G:$G,$B656)=0),"NO CATALOG ID MATCH in Release_Track",iserror(vlookup($A656&amp;$B656,'5) Release_Track'!$F:$F&amp;'5) Release_Track'!$G:$G,1,0)),"NO ISRC-CATALOG ID pair MATCH in Release_Track" )</f>
        <v/>
      </c>
      <c r="D656" s="121" t="str">
        <f t="array" ref="D656">ifs(and(isblank($A656),isblank($B656)),"", not(iserror(vlookup($A656&amp;$B656,'5) Release_Track'!$F:$F&amp;'5) Release_Track'!$G:$G,1,0))),vlookup($A656&amp;$B656,{'5) Release_Track'!$F:$F&amp;'5) Release_Track'!$G:$G,'5) Release_Track'!$I:$I},2,0), or(and(not(isblank($B656)),$B656=$B655,$A656&lt;&gt;$A655),and(not(isblank($A656)),$A656=$A655,$B656&lt;&gt;$B655)),"ID LISTS UNALIGNED",and($A656&lt;&gt;"",countif('5) Release_Track'!$F:$F,$A656)=0),"NO ISRC MATCH in Release_Track",and($B656&lt;&gt;"",countif('5) Release_Track'!$G:$G,$B656)=0),"NO CATALOG ID MATCH in Release_Track",iserror(vlookup($A656&amp;$B656,'5) Release_Track'!$F:$F&amp;'5) Release_Track'!$G:$G,1,0)),"NO ISRC-CATALOG ID pair MATCH in Release_Track" )</f>
        <v/>
      </c>
      <c r="E656" s="125" t="str">
        <f t="array" ref="E656">ifs(and(isblank($A656),isblank($B656)),"", not(iserror(vlookup($A656&amp;$B656,'5) Release_Track'!$F:$F&amp;'5) Release_Track'!$G:$G,1,0))),vlookup($A656&amp;$B656,{'5) Release_Track'!$F:$F&amp;'5) Release_Track'!$G:$G,'5) Release_Track'!$J:$J},2,0), or(and(not(isblank($B656)),$B656=$B655,$A656&lt;&gt;$A655),and(not(isblank($A656)),$A656=$A655,$B656&lt;&gt;$B655)),"ID LISTS UNALIGNED",and($A656&lt;&gt;"",countif('5) Release_Track'!$F:$F,$A656)=0),"NO ISRC MATCH in Release_Track",and($B656&lt;&gt;"",countif('5) Release_Track'!$G:$G,$B656)=0),"NO CATALOG ID MATCH in Release_Track",iserror(vlookup($A656&amp;$B656,'5) Release_Track'!$F:$F&amp;'5) Release_Track'!$G:$G,1,0)),"NO ISRC-CATALOG ID pair MATCH in Release_Track" )</f>
        <v/>
      </c>
      <c r="F656" s="122"/>
      <c r="G656" s="99"/>
      <c r="H656" s="178"/>
      <c r="I656" s="121" t="str">
        <f t="shared" si="6"/>
        <v/>
      </c>
      <c r="J656" s="99"/>
      <c r="K656" s="99"/>
    </row>
    <row r="657">
      <c r="B657" s="103"/>
      <c r="C657" s="121" t="str">
        <f t="array" ref="C657">ifs(and(isblank($A657),isblank($B657)),"", not(iserror(vlookup($A657&amp;$B657,'5) Release_Track'!$F:$F&amp;'5) Release_Track'!$G:$G,1,0))),vlookup($A657&amp;$B657,{'5) Release_Track'!$F:$F&amp;'5) Release_Track'!$G:$G,'5) Release_Track'!$H:$H},2,0), or(and(not(isblank($B657)),$B657=$B656,$A657&lt;&gt;$A656),and(not(isblank($A657)),$A657=$A656,$B657&lt;&gt;$B656)),"ID LISTS UNALIGNED",and($A657&lt;&gt;"",countif('5) Release_Track'!$F:$F,$A657)=0),"NO ISRC MATCH in Release_Track",and($B657&lt;&gt;"",countif('5) Release_Track'!$G:$G,$B657)=0),"NO CATALOG ID MATCH in Release_Track",iserror(vlookup($A657&amp;$B657,'5) Release_Track'!$F:$F&amp;'5) Release_Track'!$G:$G,1,0)),"NO ISRC-CATALOG ID pair MATCH in Release_Track" )</f>
        <v/>
      </c>
      <c r="D657" s="121" t="str">
        <f t="array" ref="D657">ifs(and(isblank($A657),isblank($B657)),"", not(iserror(vlookup($A657&amp;$B657,'5) Release_Track'!$F:$F&amp;'5) Release_Track'!$G:$G,1,0))),vlookup($A657&amp;$B657,{'5) Release_Track'!$F:$F&amp;'5) Release_Track'!$G:$G,'5) Release_Track'!$I:$I},2,0), or(and(not(isblank($B657)),$B657=$B656,$A657&lt;&gt;$A656),and(not(isblank($A657)),$A657=$A656,$B657&lt;&gt;$B656)),"ID LISTS UNALIGNED",and($A657&lt;&gt;"",countif('5) Release_Track'!$F:$F,$A657)=0),"NO ISRC MATCH in Release_Track",and($B657&lt;&gt;"",countif('5) Release_Track'!$G:$G,$B657)=0),"NO CATALOG ID MATCH in Release_Track",iserror(vlookup($A657&amp;$B657,'5) Release_Track'!$F:$F&amp;'5) Release_Track'!$G:$G,1,0)),"NO ISRC-CATALOG ID pair MATCH in Release_Track" )</f>
        <v/>
      </c>
      <c r="E657" s="125" t="str">
        <f t="array" ref="E657">ifs(and(isblank($A657),isblank($B657)),"", not(iserror(vlookup($A657&amp;$B657,'5) Release_Track'!$F:$F&amp;'5) Release_Track'!$G:$G,1,0))),vlookup($A657&amp;$B657,{'5) Release_Track'!$F:$F&amp;'5) Release_Track'!$G:$G,'5) Release_Track'!$J:$J},2,0), or(and(not(isblank($B657)),$B657=$B656,$A657&lt;&gt;$A656),and(not(isblank($A657)),$A657=$A656,$B657&lt;&gt;$B656)),"ID LISTS UNALIGNED",and($A657&lt;&gt;"",countif('5) Release_Track'!$F:$F,$A657)=0),"NO ISRC MATCH in Release_Track",and($B657&lt;&gt;"",countif('5) Release_Track'!$G:$G,$B657)=0),"NO CATALOG ID MATCH in Release_Track",iserror(vlookup($A657&amp;$B657,'5) Release_Track'!$F:$F&amp;'5) Release_Track'!$G:$G,1,0)),"NO ISRC-CATALOG ID pair MATCH in Release_Track" )</f>
        <v/>
      </c>
      <c r="F657" s="122"/>
      <c r="G657" s="99"/>
      <c r="H657" s="178"/>
      <c r="I657" s="121" t="str">
        <f t="shared" si="6"/>
        <v/>
      </c>
      <c r="J657" s="99"/>
      <c r="K657" s="99"/>
    </row>
    <row r="658">
      <c r="B658" s="103"/>
      <c r="C658" s="121" t="str">
        <f t="array" ref="C658">ifs(and(isblank($A658),isblank($B658)),"", not(iserror(vlookup($A658&amp;$B658,'5) Release_Track'!$F:$F&amp;'5) Release_Track'!$G:$G,1,0))),vlookup($A658&amp;$B658,{'5) Release_Track'!$F:$F&amp;'5) Release_Track'!$G:$G,'5) Release_Track'!$H:$H},2,0), or(and(not(isblank($B658)),$B658=$B657,$A658&lt;&gt;$A657),and(not(isblank($A658)),$A658=$A657,$B658&lt;&gt;$B657)),"ID LISTS UNALIGNED",and($A658&lt;&gt;"",countif('5) Release_Track'!$F:$F,$A658)=0),"NO ISRC MATCH in Release_Track",and($B658&lt;&gt;"",countif('5) Release_Track'!$G:$G,$B658)=0),"NO CATALOG ID MATCH in Release_Track",iserror(vlookup($A658&amp;$B658,'5) Release_Track'!$F:$F&amp;'5) Release_Track'!$G:$G,1,0)),"NO ISRC-CATALOG ID pair MATCH in Release_Track" )</f>
        <v/>
      </c>
      <c r="D658" s="121" t="str">
        <f t="array" ref="D658">ifs(and(isblank($A658),isblank($B658)),"", not(iserror(vlookup($A658&amp;$B658,'5) Release_Track'!$F:$F&amp;'5) Release_Track'!$G:$G,1,0))),vlookup($A658&amp;$B658,{'5) Release_Track'!$F:$F&amp;'5) Release_Track'!$G:$G,'5) Release_Track'!$I:$I},2,0), or(and(not(isblank($B658)),$B658=$B657,$A658&lt;&gt;$A657),and(not(isblank($A658)),$A658=$A657,$B658&lt;&gt;$B657)),"ID LISTS UNALIGNED",and($A658&lt;&gt;"",countif('5) Release_Track'!$F:$F,$A658)=0),"NO ISRC MATCH in Release_Track",and($B658&lt;&gt;"",countif('5) Release_Track'!$G:$G,$B658)=0),"NO CATALOG ID MATCH in Release_Track",iserror(vlookup($A658&amp;$B658,'5) Release_Track'!$F:$F&amp;'5) Release_Track'!$G:$G,1,0)),"NO ISRC-CATALOG ID pair MATCH in Release_Track" )</f>
        <v/>
      </c>
      <c r="E658" s="125" t="str">
        <f t="array" ref="E658">ifs(and(isblank($A658),isblank($B658)),"", not(iserror(vlookup($A658&amp;$B658,'5) Release_Track'!$F:$F&amp;'5) Release_Track'!$G:$G,1,0))),vlookup($A658&amp;$B658,{'5) Release_Track'!$F:$F&amp;'5) Release_Track'!$G:$G,'5) Release_Track'!$J:$J},2,0), or(and(not(isblank($B658)),$B658=$B657,$A658&lt;&gt;$A657),and(not(isblank($A658)),$A658=$A657,$B658&lt;&gt;$B657)),"ID LISTS UNALIGNED",and($A658&lt;&gt;"",countif('5) Release_Track'!$F:$F,$A658)=0),"NO ISRC MATCH in Release_Track",and($B658&lt;&gt;"",countif('5) Release_Track'!$G:$G,$B658)=0),"NO CATALOG ID MATCH in Release_Track",iserror(vlookup($A658&amp;$B658,'5) Release_Track'!$F:$F&amp;'5) Release_Track'!$G:$G,1,0)),"NO ISRC-CATALOG ID pair MATCH in Release_Track" )</f>
        <v/>
      </c>
      <c r="F658" s="122"/>
      <c r="G658" s="99"/>
      <c r="H658" s="178"/>
      <c r="I658" s="121" t="str">
        <f t="shared" si="6"/>
        <v/>
      </c>
      <c r="J658" s="99"/>
      <c r="K658" s="99"/>
    </row>
    <row r="659">
      <c r="B659" s="103"/>
      <c r="C659" s="121" t="str">
        <f t="array" ref="C659">ifs(and(isblank($A659),isblank($B659)),"", not(iserror(vlookup($A659&amp;$B659,'5) Release_Track'!$F:$F&amp;'5) Release_Track'!$G:$G,1,0))),vlookup($A659&amp;$B659,{'5) Release_Track'!$F:$F&amp;'5) Release_Track'!$G:$G,'5) Release_Track'!$H:$H},2,0), or(and(not(isblank($B659)),$B659=$B658,$A659&lt;&gt;$A658),and(not(isblank($A659)),$A659=$A658,$B659&lt;&gt;$B658)),"ID LISTS UNALIGNED",and($A659&lt;&gt;"",countif('5) Release_Track'!$F:$F,$A659)=0),"NO ISRC MATCH in Release_Track",and($B659&lt;&gt;"",countif('5) Release_Track'!$G:$G,$B659)=0),"NO CATALOG ID MATCH in Release_Track",iserror(vlookup($A659&amp;$B659,'5) Release_Track'!$F:$F&amp;'5) Release_Track'!$G:$G,1,0)),"NO ISRC-CATALOG ID pair MATCH in Release_Track" )</f>
        <v/>
      </c>
      <c r="D659" s="121" t="str">
        <f t="array" ref="D659">ifs(and(isblank($A659),isblank($B659)),"", not(iserror(vlookup($A659&amp;$B659,'5) Release_Track'!$F:$F&amp;'5) Release_Track'!$G:$G,1,0))),vlookup($A659&amp;$B659,{'5) Release_Track'!$F:$F&amp;'5) Release_Track'!$G:$G,'5) Release_Track'!$I:$I},2,0), or(and(not(isblank($B659)),$B659=$B658,$A659&lt;&gt;$A658),and(not(isblank($A659)),$A659=$A658,$B659&lt;&gt;$B658)),"ID LISTS UNALIGNED",and($A659&lt;&gt;"",countif('5) Release_Track'!$F:$F,$A659)=0),"NO ISRC MATCH in Release_Track",and($B659&lt;&gt;"",countif('5) Release_Track'!$G:$G,$B659)=0),"NO CATALOG ID MATCH in Release_Track",iserror(vlookup($A659&amp;$B659,'5) Release_Track'!$F:$F&amp;'5) Release_Track'!$G:$G,1,0)),"NO ISRC-CATALOG ID pair MATCH in Release_Track" )</f>
        <v/>
      </c>
      <c r="E659" s="125" t="str">
        <f t="array" ref="E659">ifs(and(isblank($A659),isblank($B659)),"", not(iserror(vlookup($A659&amp;$B659,'5) Release_Track'!$F:$F&amp;'5) Release_Track'!$G:$G,1,0))),vlookup($A659&amp;$B659,{'5) Release_Track'!$F:$F&amp;'5) Release_Track'!$G:$G,'5) Release_Track'!$J:$J},2,0), or(and(not(isblank($B659)),$B659=$B658,$A659&lt;&gt;$A658),and(not(isblank($A659)),$A659=$A658,$B659&lt;&gt;$B658)),"ID LISTS UNALIGNED",and($A659&lt;&gt;"",countif('5) Release_Track'!$F:$F,$A659)=0),"NO ISRC MATCH in Release_Track",and($B659&lt;&gt;"",countif('5) Release_Track'!$G:$G,$B659)=0),"NO CATALOG ID MATCH in Release_Track",iserror(vlookup($A659&amp;$B659,'5) Release_Track'!$F:$F&amp;'5) Release_Track'!$G:$G,1,0)),"NO ISRC-CATALOG ID pair MATCH in Release_Track" )</f>
        <v/>
      </c>
      <c r="F659" s="122"/>
      <c r="G659" s="99"/>
      <c r="H659" s="178"/>
      <c r="I659" s="121" t="str">
        <f t="shared" si="6"/>
        <v/>
      </c>
      <c r="J659" s="99"/>
      <c r="K659" s="99"/>
    </row>
    <row r="660">
      <c r="B660" s="103"/>
      <c r="C660" s="121" t="str">
        <f t="array" ref="C660">ifs(and(isblank($A660),isblank($B660)),"", not(iserror(vlookup($A660&amp;$B660,'5) Release_Track'!$F:$F&amp;'5) Release_Track'!$G:$G,1,0))),vlookup($A660&amp;$B660,{'5) Release_Track'!$F:$F&amp;'5) Release_Track'!$G:$G,'5) Release_Track'!$H:$H},2,0), or(and(not(isblank($B660)),$B660=$B659,$A660&lt;&gt;$A659),and(not(isblank($A660)),$A660=$A659,$B660&lt;&gt;$B659)),"ID LISTS UNALIGNED",and($A660&lt;&gt;"",countif('5) Release_Track'!$F:$F,$A660)=0),"NO ISRC MATCH in Release_Track",and($B660&lt;&gt;"",countif('5) Release_Track'!$G:$G,$B660)=0),"NO CATALOG ID MATCH in Release_Track",iserror(vlookup($A660&amp;$B660,'5) Release_Track'!$F:$F&amp;'5) Release_Track'!$G:$G,1,0)),"NO ISRC-CATALOG ID pair MATCH in Release_Track" )</f>
        <v/>
      </c>
      <c r="D660" s="121" t="str">
        <f t="array" ref="D660">ifs(and(isblank($A660),isblank($B660)),"", not(iserror(vlookup($A660&amp;$B660,'5) Release_Track'!$F:$F&amp;'5) Release_Track'!$G:$G,1,0))),vlookup($A660&amp;$B660,{'5) Release_Track'!$F:$F&amp;'5) Release_Track'!$G:$G,'5) Release_Track'!$I:$I},2,0), or(and(not(isblank($B660)),$B660=$B659,$A660&lt;&gt;$A659),and(not(isblank($A660)),$A660=$A659,$B660&lt;&gt;$B659)),"ID LISTS UNALIGNED",and($A660&lt;&gt;"",countif('5) Release_Track'!$F:$F,$A660)=0),"NO ISRC MATCH in Release_Track",and($B660&lt;&gt;"",countif('5) Release_Track'!$G:$G,$B660)=0),"NO CATALOG ID MATCH in Release_Track",iserror(vlookup($A660&amp;$B660,'5) Release_Track'!$F:$F&amp;'5) Release_Track'!$G:$G,1,0)),"NO ISRC-CATALOG ID pair MATCH in Release_Track" )</f>
        <v/>
      </c>
      <c r="E660" s="125" t="str">
        <f t="array" ref="E660">ifs(and(isblank($A660),isblank($B660)),"", not(iserror(vlookup($A660&amp;$B660,'5) Release_Track'!$F:$F&amp;'5) Release_Track'!$G:$G,1,0))),vlookup($A660&amp;$B660,{'5) Release_Track'!$F:$F&amp;'5) Release_Track'!$G:$G,'5) Release_Track'!$J:$J},2,0), or(and(not(isblank($B660)),$B660=$B659,$A660&lt;&gt;$A659),and(not(isblank($A660)),$A660=$A659,$B660&lt;&gt;$B659)),"ID LISTS UNALIGNED",and($A660&lt;&gt;"",countif('5) Release_Track'!$F:$F,$A660)=0),"NO ISRC MATCH in Release_Track",and($B660&lt;&gt;"",countif('5) Release_Track'!$G:$G,$B660)=0),"NO CATALOG ID MATCH in Release_Track",iserror(vlookup($A660&amp;$B660,'5) Release_Track'!$F:$F&amp;'5) Release_Track'!$G:$G,1,0)),"NO ISRC-CATALOG ID pair MATCH in Release_Track" )</f>
        <v/>
      </c>
      <c r="F660" s="122"/>
      <c r="G660" s="99"/>
      <c r="H660" s="178"/>
      <c r="I660" s="121" t="str">
        <f t="shared" si="6"/>
        <v/>
      </c>
      <c r="J660" s="99"/>
      <c r="K660" s="99"/>
    </row>
    <row r="661">
      <c r="B661" s="103"/>
      <c r="C661" s="121" t="str">
        <f t="array" ref="C661">ifs(and(isblank($A661),isblank($B661)),"", not(iserror(vlookup($A661&amp;$B661,'5) Release_Track'!$F:$F&amp;'5) Release_Track'!$G:$G,1,0))),vlookup($A661&amp;$B661,{'5) Release_Track'!$F:$F&amp;'5) Release_Track'!$G:$G,'5) Release_Track'!$H:$H},2,0), or(and(not(isblank($B661)),$B661=$B660,$A661&lt;&gt;$A660),and(not(isblank($A661)),$A661=$A660,$B661&lt;&gt;$B660)),"ID LISTS UNALIGNED",and($A661&lt;&gt;"",countif('5) Release_Track'!$F:$F,$A661)=0),"NO ISRC MATCH in Release_Track",and($B661&lt;&gt;"",countif('5) Release_Track'!$G:$G,$B661)=0),"NO CATALOG ID MATCH in Release_Track",iserror(vlookup($A661&amp;$B661,'5) Release_Track'!$F:$F&amp;'5) Release_Track'!$G:$G,1,0)),"NO ISRC-CATALOG ID pair MATCH in Release_Track" )</f>
        <v/>
      </c>
      <c r="D661" s="121" t="str">
        <f t="array" ref="D661">ifs(and(isblank($A661),isblank($B661)),"", not(iserror(vlookup($A661&amp;$B661,'5) Release_Track'!$F:$F&amp;'5) Release_Track'!$G:$G,1,0))),vlookup($A661&amp;$B661,{'5) Release_Track'!$F:$F&amp;'5) Release_Track'!$G:$G,'5) Release_Track'!$I:$I},2,0), or(and(not(isblank($B661)),$B661=$B660,$A661&lt;&gt;$A660),and(not(isblank($A661)),$A661=$A660,$B661&lt;&gt;$B660)),"ID LISTS UNALIGNED",and($A661&lt;&gt;"",countif('5) Release_Track'!$F:$F,$A661)=0),"NO ISRC MATCH in Release_Track",and($B661&lt;&gt;"",countif('5) Release_Track'!$G:$G,$B661)=0),"NO CATALOG ID MATCH in Release_Track",iserror(vlookup($A661&amp;$B661,'5) Release_Track'!$F:$F&amp;'5) Release_Track'!$G:$G,1,0)),"NO ISRC-CATALOG ID pair MATCH in Release_Track" )</f>
        <v/>
      </c>
      <c r="E661" s="125" t="str">
        <f t="array" ref="E661">ifs(and(isblank($A661),isblank($B661)),"", not(iserror(vlookup($A661&amp;$B661,'5) Release_Track'!$F:$F&amp;'5) Release_Track'!$G:$G,1,0))),vlookup($A661&amp;$B661,{'5) Release_Track'!$F:$F&amp;'5) Release_Track'!$G:$G,'5) Release_Track'!$J:$J},2,0), or(and(not(isblank($B661)),$B661=$B660,$A661&lt;&gt;$A660),and(not(isblank($A661)),$A661=$A660,$B661&lt;&gt;$B660)),"ID LISTS UNALIGNED",and($A661&lt;&gt;"",countif('5) Release_Track'!$F:$F,$A661)=0),"NO ISRC MATCH in Release_Track",and($B661&lt;&gt;"",countif('5) Release_Track'!$G:$G,$B661)=0),"NO CATALOG ID MATCH in Release_Track",iserror(vlookup($A661&amp;$B661,'5) Release_Track'!$F:$F&amp;'5) Release_Track'!$G:$G,1,0)),"NO ISRC-CATALOG ID pair MATCH in Release_Track" )</f>
        <v/>
      </c>
      <c r="F661" s="122"/>
      <c r="G661" s="99"/>
      <c r="H661" s="178"/>
      <c r="I661" s="121" t="str">
        <f t="shared" si="6"/>
        <v/>
      </c>
      <c r="J661" s="99"/>
      <c r="K661" s="99"/>
    </row>
    <row r="662">
      <c r="B662" s="103"/>
      <c r="C662" s="121" t="str">
        <f t="array" ref="C662">ifs(and(isblank($A662),isblank($B662)),"", not(iserror(vlookup($A662&amp;$B662,'5) Release_Track'!$F:$F&amp;'5) Release_Track'!$G:$G,1,0))),vlookup($A662&amp;$B662,{'5) Release_Track'!$F:$F&amp;'5) Release_Track'!$G:$G,'5) Release_Track'!$H:$H},2,0), or(and(not(isblank($B662)),$B662=$B661,$A662&lt;&gt;$A661),and(not(isblank($A662)),$A662=$A661,$B662&lt;&gt;$B661)),"ID LISTS UNALIGNED",and($A662&lt;&gt;"",countif('5) Release_Track'!$F:$F,$A662)=0),"NO ISRC MATCH in Release_Track",and($B662&lt;&gt;"",countif('5) Release_Track'!$G:$G,$B662)=0),"NO CATALOG ID MATCH in Release_Track",iserror(vlookup($A662&amp;$B662,'5) Release_Track'!$F:$F&amp;'5) Release_Track'!$G:$G,1,0)),"NO ISRC-CATALOG ID pair MATCH in Release_Track" )</f>
        <v/>
      </c>
      <c r="D662" s="121" t="str">
        <f t="array" ref="D662">ifs(and(isblank($A662),isblank($B662)),"", not(iserror(vlookup($A662&amp;$B662,'5) Release_Track'!$F:$F&amp;'5) Release_Track'!$G:$G,1,0))),vlookup($A662&amp;$B662,{'5) Release_Track'!$F:$F&amp;'5) Release_Track'!$G:$G,'5) Release_Track'!$I:$I},2,0), or(and(not(isblank($B662)),$B662=$B661,$A662&lt;&gt;$A661),and(not(isblank($A662)),$A662=$A661,$B662&lt;&gt;$B661)),"ID LISTS UNALIGNED",and($A662&lt;&gt;"",countif('5) Release_Track'!$F:$F,$A662)=0),"NO ISRC MATCH in Release_Track",and($B662&lt;&gt;"",countif('5) Release_Track'!$G:$G,$B662)=0),"NO CATALOG ID MATCH in Release_Track",iserror(vlookup($A662&amp;$B662,'5) Release_Track'!$F:$F&amp;'5) Release_Track'!$G:$G,1,0)),"NO ISRC-CATALOG ID pair MATCH in Release_Track" )</f>
        <v/>
      </c>
      <c r="E662" s="125" t="str">
        <f t="array" ref="E662">ifs(and(isblank($A662),isblank($B662)),"", not(iserror(vlookup($A662&amp;$B662,'5) Release_Track'!$F:$F&amp;'5) Release_Track'!$G:$G,1,0))),vlookup($A662&amp;$B662,{'5) Release_Track'!$F:$F&amp;'5) Release_Track'!$G:$G,'5) Release_Track'!$J:$J},2,0), or(and(not(isblank($B662)),$B662=$B661,$A662&lt;&gt;$A661),and(not(isblank($A662)),$A662=$A661,$B662&lt;&gt;$B661)),"ID LISTS UNALIGNED",and($A662&lt;&gt;"",countif('5) Release_Track'!$F:$F,$A662)=0),"NO ISRC MATCH in Release_Track",and($B662&lt;&gt;"",countif('5) Release_Track'!$G:$G,$B662)=0),"NO CATALOG ID MATCH in Release_Track",iserror(vlookup($A662&amp;$B662,'5) Release_Track'!$F:$F&amp;'5) Release_Track'!$G:$G,1,0)),"NO ISRC-CATALOG ID pair MATCH in Release_Track" )</f>
        <v/>
      </c>
      <c r="F662" s="122"/>
      <c r="G662" s="99"/>
      <c r="H662" s="178"/>
      <c r="I662" s="121" t="str">
        <f t="shared" si="6"/>
        <v/>
      </c>
      <c r="J662" s="99"/>
      <c r="K662" s="99"/>
    </row>
    <row r="663">
      <c r="B663" s="103"/>
      <c r="C663" s="121" t="str">
        <f t="array" ref="C663">ifs(and(isblank($A663),isblank($B663)),"", not(iserror(vlookup($A663&amp;$B663,'5) Release_Track'!$F:$F&amp;'5) Release_Track'!$G:$G,1,0))),vlookup($A663&amp;$B663,{'5) Release_Track'!$F:$F&amp;'5) Release_Track'!$G:$G,'5) Release_Track'!$H:$H},2,0), or(and(not(isblank($B663)),$B663=$B662,$A663&lt;&gt;$A662),and(not(isblank($A663)),$A663=$A662,$B663&lt;&gt;$B662)),"ID LISTS UNALIGNED",and($A663&lt;&gt;"",countif('5) Release_Track'!$F:$F,$A663)=0),"NO ISRC MATCH in Release_Track",and($B663&lt;&gt;"",countif('5) Release_Track'!$G:$G,$B663)=0),"NO CATALOG ID MATCH in Release_Track",iserror(vlookup($A663&amp;$B663,'5) Release_Track'!$F:$F&amp;'5) Release_Track'!$G:$G,1,0)),"NO ISRC-CATALOG ID pair MATCH in Release_Track" )</f>
        <v/>
      </c>
      <c r="D663" s="121" t="str">
        <f t="array" ref="D663">ifs(and(isblank($A663),isblank($B663)),"", not(iserror(vlookup($A663&amp;$B663,'5) Release_Track'!$F:$F&amp;'5) Release_Track'!$G:$G,1,0))),vlookup($A663&amp;$B663,{'5) Release_Track'!$F:$F&amp;'5) Release_Track'!$G:$G,'5) Release_Track'!$I:$I},2,0), or(and(not(isblank($B663)),$B663=$B662,$A663&lt;&gt;$A662),and(not(isblank($A663)),$A663=$A662,$B663&lt;&gt;$B662)),"ID LISTS UNALIGNED",and($A663&lt;&gt;"",countif('5) Release_Track'!$F:$F,$A663)=0),"NO ISRC MATCH in Release_Track",and($B663&lt;&gt;"",countif('5) Release_Track'!$G:$G,$B663)=0),"NO CATALOG ID MATCH in Release_Track",iserror(vlookup($A663&amp;$B663,'5) Release_Track'!$F:$F&amp;'5) Release_Track'!$G:$G,1,0)),"NO ISRC-CATALOG ID pair MATCH in Release_Track" )</f>
        <v/>
      </c>
      <c r="E663" s="125" t="str">
        <f t="array" ref="E663">ifs(and(isblank($A663),isblank($B663)),"", not(iserror(vlookup($A663&amp;$B663,'5) Release_Track'!$F:$F&amp;'5) Release_Track'!$G:$G,1,0))),vlookup($A663&amp;$B663,{'5) Release_Track'!$F:$F&amp;'5) Release_Track'!$G:$G,'5) Release_Track'!$J:$J},2,0), or(and(not(isblank($B663)),$B663=$B662,$A663&lt;&gt;$A662),and(not(isblank($A663)),$A663=$A662,$B663&lt;&gt;$B662)),"ID LISTS UNALIGNED",and($A663&lt;&gt;"",countif('5) Release_Track'!$F:$F,$A663)=0),"NO ISRC MATCH in Release_Track",and($B663&lt;&gt;"",countif('5) Release_Track'!$G:$G,$B663)=0),"NO CATALOG ID MATCH in Release_Track",iserror(vlookup($A663&amp;$B663,'5) Release_Track'!$F:$F&amp;'5) Release_Track'!$G:$G,1,0)),"NO ISRC-CATALOG ID pair MATCH in Release_Track" )</f>
        <v/>
      </c>
      <c r="F663" s="122"/>
      <c r="G663" s="99"/>
      <c r="H663" s="178"/>
      <c r="I663" s="121" t="str">
        <f t="shared" si="6"/>
        <v/>
      </c>
      <c r="J663" s="99"/>
      <c r="K663" s="99"/>
    </row>
    <row r="664">
      <c r="B664" s="103"/>
      <c r="C664" s="121" t="str">
        <f t="array" ref="C664">ifs(and(isblank($A664),isblank($B664)),"", not(iserror(vlookup($A664&amp;$B664,'5) Release_Track'!$F:$F&amp;'5) Release_Track'!$G:$G,1,0))),vlookup($A664&amp;$B664,{'5) Release_Track'!$F:$F&amp;'5) Release_Track'!$G:$G,'5) Release_Track'!$H:$H},2,0), or(and(not(isblank($B664)),$B664=$B663,$A664&lt;&gt;$A663),and(not(isblank($A664)),$A664=$A663,$B664&lt;&gt;$B663)),"ID LISTS UNALIGNED",and($A664&lt;&gt;"",countif('5) Release_Track'!$F:$F,$A664)=0),"NO ISRC MATCH in Release_Track",and($B664&lt;&gt;"",countif('5) Release_Track'!$G:$G,$B664)=0),"NO CATALOG ID MATCH in Release_Track",iserror(vlookup($A664&amp;$B664,'5) Release_Track'!$F:$F&amp;'5) Release_Track'!$G:$G,1,0)),"NO ISRC-CATALOG ID pair MATCH in Release_Track" )</f>
        <v/>
      </c>
      <c r="D664" s="121" t="str">
        <f t="array" ref="D664">ifs(and(isblank($A664),isblank($B664)),"", not(iserror(vlookup($A664&amp;$B664,'5) Release_Track'!$F:$F&amp;'5) Release_Track'!$G:$G,1,0))),vlookup($A664&amp;$B664,{'5) Release_Track'!$F:$F&amp;'5) Release_Track'!$G:$G,'5) Release_Track'!$I:$I},2,0), or(and(not(isblank($B664)),$B664=$B663,$A664&lt;&gt;$A663),and(not(isblank($A664)),$A664=$A663,$B664&lt;&gt;$B663)),"ID LISTS UNALIGNED",and($A664&lt;&gt;"",countif('5) Release_Track'!$F:$F,$A664)=0),"NO ISRC MATCH in Release_Track",and($B664&lt;&gt;"",countif('5) Release_Track'!$G:$G,$B664)=0),"NO CATALOG ID MATCH in Release_Track",iserror(vlookup($A664&amp;$B664,'5) Release_Track'!$F:$F&amp;'5) Release_Track'!$G:$G,1,0)),"NO ISRC-CATALOG ID pair MATCH in Release_Track" )</f>
        <v/>
      </c>
      <c r="E664" s="125" t="str">
        <f t="array" ref="E664">ifs(and(isblank($A664),isblank($B664)),"", not(iserror(vlookup($A664&amp;$B664,'5) Release_Track'!$F:$F&amp;'5) Release_Track'!$G:$G,1,0))),vlookup($A664&amp;$B664,{'5) Release_Track'!$F:$F&amp;'5) Release_Track'!$G:$G,'5) Release_Track'!$J:$J},2,0), or(and(not(isblank($B664)),$B664=$B663,$A664&lt;&gt;$A663),and(not(isblank($A664)),$A664=$A663,$B664&lt;&gt;$B663)),"ID LISTS UNALIGNED",and($A664&lt;&gt;"",countif('5) Release_Track'!$F:$F,$A664)=0),"NO ISRC MATCH in Release_Track",and($B664&lt;&gt;"",countif('5) Release_Track'!$G:$G,$B664)=0),"NO CATALOG ID MATCH in Release_Track",iserror(vlookup($A664&amp;$B664,'5) Release_Track'!$F:$F&amp;'5) Release_Track'!$G:$G,1,0)),"NO ISRC-CATALOG ID pair MATCH in Release_Track" )</f>
        <v/>
      </c>
      <c r="F664" s="122"/>
      <c r="G664" s="99"/>
      <c r="H664" s="178"/>
      <c r="I664" s="121" t="str">
        <f t="shared" si="6"/>
        <v/>
      </c>
      <c r="J664" s="99"/>
      <c r="K664" s="99"/>
    </row>
    <row r="665">
      <c r="B665" s="103"/>
      <c r="C665" s="121" t="str">
        <f t="array" ref="C665">ifs(and(isblank($A665),isblank($B665)),"", not(iserror(vlookup($A665&amp;$B665,'5) Release_Track'!$F:$F&amp;'5) Release_Track'!$G:$G,1,0))),vlookup($A665&amp;$B665,{'5) Release_Track'!$F:$F&amp;'5) Release_Track'!$G:$G,'5) Release_Track'!$H:$H},2,0), or(and(not(isblank($B665)),$B665=$B664,$A665&lt;&gt;$A664),and(not(isblank($A665)),$A665=$A664,$B665&lt;&gt;$B664)),"ID LISTS UNALIGNED",and($A665&lt;&gt;"",countif('5) Release_Track'!$F:$F,$A665)=0),"NO ISRC MATCH in Release_Track",and($B665&lt;&gt;"",countif('5) Release_Track'!$G:$G,$B665)=0),"NO CATALOG ID MATCH in Release_Track",iserror(vlookup($A665&amp;$B665,'5) Release_Track'!$F:$F&amp;'5) Release_Track'!$G:$G,1,0)),"NO ISRC-CATALOG ID pair MATCH in Release_Track" )</f>
        <v/>
      </c>
      <c r="D665" s="121" t="str">
        <f t="array" ref="D665">ifs(and(isblank($A665),isblank($B665)),"", not(iserror(vlookup($A665&amp;$B665,'5) Release_Track'!$F:$F&amp;'5) Release_Track'!$G:$G,1,0))),vlookup($A665&amp;$B665,{'5) Release_Track'!$F:$F&amp;'5) Release_Track'!$G:$G,'5) Release_Track'!$I:$I},2,0), or(and(not(isblank($B665)),$B665=$B664,$A665&lt;&gt;$A664),and(not(isblank($A665)),$A665=$A664,$B665&lt;&gt;$B664)),"ID LISTS UNALIGNED",and($A665&lt;&gt;"",countif('5) Release_Track'!$F:$F,$A665)=0),"NO ISRC MATCH in Release_Track",and($B665&lt;&gt;"",countif('5) Release_Track'!$G:$G,$B665)=0),"NO CATALOG ID MATCH in Release_Track",iserror(vlookup($A665&amp;$B665,'5) Release_Track'!$F:$F&amp;'5) Release_Track'!$G:$G,1,0)),"NO ISRC-CATALOG ID pair MATCH in Release_Track" )</f>
        <v/>
      </c>
      <c r="E665" s="125" t="str">
        <f t="array" ref="E665">ifs(and(isblank($A665),isblank($B665)),"", not(iserror(vlookup($A665&amp;$B665,'5) Release_Track'!$F:$F&amp;'5) Release_Track'!$G:$G,1,0))),vlookup($A665&amp;$B665,{'5) Release_Track'!$F:$F&amp;'5) Release_Track'!$G:$G,'5) Release_Track'!$J:$J},2,0), or(and(not(isblank($B665)),$B665=$B664,$A665&lt;&gt;$A664),and(not(isblank($A665)),$A665=$A664,$B665&lt;&gt;$B664)),"ID LISTS UNALIGNED",and($A665&lt;&gt;"",countif('5) Release_Track'!$F:$F,$A665)=0),"NO ISRC MATCH in Release_Track",and($B665&lt;&gt;"",countif('5) Release_Track'!$G:$G,$B665)=0),"NO CATALOG ID MATCH in Release_Track",iserror(vlookup($A665&amp;$B665,'5) Release_Track'!$F:$F&amp;'5) Release_Track'!$G:$G,1,0)),"NO ISRC-CATALOG ID pair MATCH in Release_Track" )</f>
        <v/>
      </c>
      <c r="F665" s="122"/>
      <c r="G665" s="99"/>
      <c r="H665" s="178"/>
      <c r="I665" s="121" t="str">
        <f t="shared" si="6"/>
        <v/>
      </c>
      <c r="J665" s="99"/>
      <c r="K665" s="99"/>
    </row>
    <row r="666">
      <c r="B666" s="103"/>
      <c r="C666" s="121" t="str">
        <f t="array" ref="C666">ifs(and(isblank($A666),isblank($B666)),"", not(iserror(vlookup($A666&amp;$B666,'5) Release_Track'!$F:$F&amp;'5) Release_Track'!$G:$G,1,0))),vlookup($A666&amp;$B666,{'5) Release_Track'!$F:$F&amp;'5) Release_Track'!$G:$G,'5) Release_Track'!$H:$H},2,0), or(and(not(isblank($B666)),$B666=$B665,$A666&lt;&gt;$A665),and(not(isblank($A666)),$A666=$A665,$B666&lt;&gt;$B665)),"ID LISTS UNALIGNED",and($A666&lt;&gt;"",countif('5) Release_Track'!$F:$F,$A666)=0),"NO ISRC MATCH in Release_Track",and($B666&lt;&gt;"",countif('5) Release_Track'!$G:$G,$B666)=0),"NO CATALOG ID MATCH in Release_Track",iserror(vlookup($A666&amp;$B666,'5) Release_Track'!$F:$F&amp;'5) Release_Track'!$G:$G,1,0)),"NO ISRC-CATALOG ID pair MATCH in Release_Track" )</f>
        <v/>
      </c>
      <c r="D666" s="121" t="str">
        <f t="array" ref="D666">ifs(and(isblank($A666),isblank($B666)),"", not(iserror(vlookup($A666&amp;$B666,'5) Release_Track'!$F:$F&amp;'5) Release_Track'!$G:$G,1,0))),vlookup($A666&amp;$B666,{'5) Release_Track'!$F:$F&amp;'5) Release_Track'!$G:$G,'5) Release_Track'!$I:$I},2,0), or(and(not(isblank($B666)),$B666=$B665,$A666&lt;&gt;$A665),and(not(isblank($A666)),$A666=$A665,$B666&lt;&gt;$B665)),"ID LISTS UNALIGNED",and($A666&lt;&gt;"",countif('5) Release_Track'!$F:$F,$A666)=0),"NO ISRC MATCH in Release_Track",and($B666&lt;&gt;"",countif('5) Release_Track'!$G:$G,$B666)=0),"NO CATALOG ID MATCH in Release_Track",iserror(vlookup($A666&amp;$B666,'5) Release_Track'!$F:$F&amp;'5) Release_Track'!$G:$G,1,0)),"NO ISRC-CATALOG ID pair MATCH in Release_Track" )</f>
        <v/>
      </c>
      <c r="E666" s="125" t="str">
        <f t="array" ref="E666">ifs(and(isblank($A666),isblank($B666)),"", not(iserror(vlookup($A666&amp;$B666,'5) Release_Track'!$F:$F&amp;'5) Release_Track'!$G:$G,1,0))),vlookup($A666&amp;$B666,{'5) Release_Track'!$F:$F&amp;'5) Release_Track'!$G:$G,'5) Release_Track'!$J:$J},2,0), or(and(not(isblank($B666)),$B666=$B665,$A666&lt;&gt;$A665),and(not(isblank($A666)),$A666=$A665,$B666&lt;&gt;$B665)),"ID LISTS UNALIGNED",and($A666&lt;&gt;"",countif('5) Release_Track'!$F:$F,$A666)=0),"NO ISRC MATCH in Release_Track",and($B666&lt;&gt;"",countif('5) Release_Track'!$G:$G,$B666)=0),"NO CATALOG ID MATCH in Release_Track",iserror(vlookup($A666&amp;$B666,'5) Release_Track'!$F:$F&amp;'5) Release_Track'!$G:$G,1,0)),"NO ISRC-CATALOG ID pair MATCH in Release_Track" )</f>
        <v/>
      </c>
      <c r="F666" s="122"/>
      <c r="G666" s="99"/>
      <c r="H666" s="178"/>
      <c r="I666" s="121" t="str">
        <f t="shared" si="6"/>
        <v/>
      </c>
      <c r="J666" s="99"/>
      <c r="K666" s="99"/>
    </row>
    <row r="667">
      <c r="B667" s="103"/>
      <c r="C667" s="121" t="str">
        <f t="array" ref="C667">ifs(and(isblank($A667),isblank($B667)),"", not(iserror(vlookup($A667&amp;$B667,'5) Release_Track'!$F:$F&amp;'5) Release_Track'!$G:$G,1,0))),vlookup($A667&amp;$B667,{'5) Release_Track'!$F:$F&amp;'5) Release_Track'!$G:$G,'5) Release_Track'!$H:$H},2,0), or(and(not(isblank($B667)),$B667=$B666,$A667&lt;&gt;$A666),and(not(isblank($A667)),$A667=$A666,$B667&lt;&gt;$B666)),"ID LISTS UNALIGNED",and($A667&lt;&gt;"",countif('5) Release_Track'!$F:$F,$A667)=0),"NO ISRC MATCH in Release_Track",and($B667&lt;&gt;"",countif('5) Release_Track'!$G:$G,$B667)=0),"NO CATALOG ID MATCH in Release_Track",iserror(vlookup($A667&amp;$B667,'5) Release_Track'!$F:$F&amp;'5) Release_Track'!$G:$G,1,0)),"NO ISRC-CATALOG ID pair MATCH in Release_Track" )</f>
        <v/>
      </c>
      <c r="D667" s="121" t="str">
        <f t="array" ref="D667">ifs(and(isblank($A667),isblank($B667)),"", not(iserror(vlookup($A667&amp;$B667,'5) Release_Track'!$F:$F&amp;'5) Release_Track'!$G:$G,1,0))),vlookup($A667&amp;$B667,{'5) Release_Track'!$F:$F&amp;'5) Release_Track'!$G:$G,'5) Release_Track'!$I:$I},2,0), or(and(not(isblank($B667)),$B667=$B666,$A667&lt;&gt;$A666),and(not(isblank($A667)),$A667=$A666,$B667&lt;&gt;$B666)),"ID LISTS UNALIGNED",and($A667&lt;&gt;"",countif('5) Release_Track'!$F:$F,$A667)=0),"NO ISRC MATCH in Release_Track",and($B667&lt;&gt;"",countif('5) Release_Track'!$G:$G,$B667)=0),"NO CATALOG ID MATCH in Release_Track",iserror(vlookup($A667&amp;$B667,'5) Release_Track'!$F:$F&amp;'5) Release_Track'!$G:$G,1,0)),"NO ISRC-CATALOG ID pair MATCH in Release_Track" )</f>
        <v/>
      </c>
      <c r="E667" s="125" t="str">
        <f t="array" ref="E667">ifs(and(isblank($A667),isblank($B667)),"", not(iserror(vlookup($A667&amp;$B667,'5) Release_Track'!$F:$F&amp;'5) Release_Track'!$G:$G,1,0))),vlookup($A667&amp;$B667,{'5) Release_Track'!$F:$F&amp;'5) Release_Track'!$G:$G,'5) Release_Track'!$J:$J},2,0), or(and(not(isblank($B667)),$B667=$B666,$A667&lt;&gt;$A666),and(not(isblank($A667)),$A667=$A666,$B667&lt;&gt;$B666)),"ID LISTS UNALIGNED",and($A667&lt;&gt;"",countif('5) Release_Track'!$F:$F,$A667)=0),"NO ISRC MATCH in Release_Track",and($B667&lt;&gt;"",countif('5) Release_Track'!$G:$G,$B667)=0),"NO CATALOG ID MATCH in Release_Track",iserror(vlookup($A667&amp;$B667,'5) Release_Track'!$F:$F&amp;'5) Release_Track'!$G:$G,1,0)),"NO ISRC-CATALOG ID pair MATCH in Release_Track" )</f>
        <v/>
      </c>
      <c r="F667" s="122"/>
      <c r="G667" s="99"/>
      <c r="H667" s="178"/>
      <c r="I667" s="121" t="str">
        <f t="shared" si="6"/>
        <v/>
      </c>
      <c r="J667" s="99"/>
      <c r="K667" s="99"/>
    </row>
    <row r="668">
      <c r="B668" s="103"/>
      <c r="C668" s="121" t="str">
        <f t="array" ref="C668">ifs(and(isblank($A668),isblank($B668)),"", not(iserror(vlookup($A668&amp;$B668,'5) Release_Track'!$F:$F&amp;'5) Release_Track'!$G:$G,1,0))),vlookup($A668&amp;$B668,{'5) Release_Track'!$F:$F&amp;'5) Release_Track'!$G:$G,'5) Release_Track'!$H:$H},2,0), or(and(not(isblank($B668)),$B668=$B667,$A668&lt;&gt;$A667),and(not(isblank($A668)),$A668=$A667,$B668&lt;&gt;$B667)),"ID LISTS UNALIGNED",and($A668&lt;&gt;"",countif('5) Release_Track'!$F:$F,$A668)=0),"NO ISRC MATCH in Release_Track",and($B668&lt;&gt;"",countif('5) Release_Track'!$G:$G,$B668)=0),"NO CATALOG ID MATCH in Release_Track",iserror(vlookup($A668&amp;$B668,'5) Release_Track'!$F:$F&amp;'5) Release_Track'!$G:$G,1,0)),"NO ISRC-CATALOG ID pair MATCH in Release_Track" )</f>
        <v/>
      </c>
      <c r="D668" s="121" t="str">
        <f t="array" ref="D668">ifs(and(isblank($A668),isblank($B668)),"", not(iserror(vlookup($A668&amp;$B668,'5) Release_Track'!$F:$F&amp;'5) Release_Track'!$G:$G,1,0))),vlookup($A668&amp;$B668,{'5) Release_Track'!$F:$F&amp;'5) Release_Track'!$G:$G,'5) Release_Track'!$I:$I},2,0), or(and(not(isblank($B668)),$B668=$B667,$A668&lt;&gt;$A667),and(not(isblank($A668)),$A668=$A667,$B668&lt;&gt;$B667)),"ID LISTS UNALIGNED",and($A668&lt;&gt;"",countif('5) Release_Track'!$F:$F,$A668)=0),"NO ISRC MATCH in Release_Track",and($B668&lt;&gt;"",countif('5) Release_Track'!$G:$G,$B668)=0),"NO CATALOG ID MATCH in Release_Track",iserror(vlookup($A668&amp;$B668,'5) Release_Track'!$F:$F&amp;'5) Release_Track'!$G:$G,1,0)),"NO ISRC-CATALOG ID pair MATCH in Release_Track" )</f>
        <v/>
      </c>
      <c r="E668" s="125" t="str">
        <f t="array" ref="E668">ifs(and(isblank($A668),isblank($B668)),"", not(iserror(vlookup($A668&amp;$B668,'5) Release_Track'!$F:$F&amp;'5) Release_Track'!$G:$G,1,0))),vlookup($A668&amp;$B668,{'5) Release_Track'!$F:$F&amp;'5) Release_Track'!$G:$G,'5) Release_Track'!$J:$J},2,0), or(and(not(isblank($B668)),$B668=$B667,$A668&lt;&gt;$A667),and(not(isblank($A668)),$A668=$A667,$B668&lt;&gt;$B667)),"ID LISTS UNALIGNED",and($A668&lt;&gt;"",countif('5) Release_Track'!$F:$F,$A668)=0),"NO ISRC MATCH in Release_Track",and($B668&lt;&gt;"",countif('5) Release_Track'!$G:$G,$B668)=0),"NO CATALOG ID MATCH in Release_Track",iserror(vlookup($A668&amp;$B668,'5) Release_Track'!$F:$F&amp;'5) Release_Track'!$G:$G,1,0)),"NO ISRC-CATALOG ID pair MATCH in Release_Track" )</f>
        <v/>
      </c>
      <c r="F668" s="122"/>
      <c r="G668" s="99"/>
      <c r="H668" s="178"/>
      <c r="I668" s="121" t="str">
        <f t="shared" si="6"/>
        <v/>
      </c>
      <c r="J668" s="99"/>
      <c r="K668" s="99"/>
    </row>
    <row r="669">
      <c r="B669" s="103"/>
      <c r="C669" s="121" t="str">
        <f t="array" ref="C669">ifs(and(isblank($A669),isblank($B669)),"", not(iserror(vlookup($A669&amp;$B669,'5) Release_Track'!$F:$F&amp;'5) Release_Track'!$G:$G,1,0))),vlookup($A669&amp;$B669,{'5) Release_Track'!$F:$F&amp;'5) Release_Track'!$G:$G,'5) Release_Track'!$H:$H},2,0), or(and(not(isblank($B669)),$B669=$B668,$A669&lt;&gt;$A668),and(not(isblank($A669)),$A669=$A668,$B669&lt;&gt;$B668)),"ID LISTS UNALIGNED",and($A669&lt;&gt;"",countif('5) Release_Track'!$F:$F,$A669)=0),"NO ISRC MATCH in Release_Track",and($B669&lt;&gt;"",countif('5) Release_Track'!$G:$G,$B669)=0),"NO CATALOG ID MATCH in Release_Track",iserror(vlookup($A669&amp;$B669,'5) Release_Track'!$F:$F&amp;'5) Release_Track'!$G:$G,1,0)),"NO ISRC-CATALOG ID pair MATCH in Release_Track" )</f>
        <v/>
      </c>
      <c r="D669" s="121" t="str">
        <f t="array" ref="D669">ifs(and(isblank($A669),isblank($B669)),"", not(iserror(vlookup($A669&amp;$B669,'5) Release_Track'!$F:$F&amp;'5) Release_Track'!$G:$G,1,0))),vlookup($A669&amp;$B669,{'5) Release_Track'!$F:$F&amp;'5) Release_Track'!$G:$G,'5) Release_Track'!$I:$I},2,0), or(and(not(isblank($B669)),$B669=$B668,$A669&lt;&gt;$A668),and(not(isblank($A669)),$A669=$A668,$B669&lt;&gt;$B668)),"ID LISTS UNALIGNED",and($A669&lt;&gt;"",countif('5) Release_Track'!$F:$F,$A669)=0),"NO ISRC MATCH in Release_Track",and($B669&lt;&gt;"",countif('5) Release_Track'!$G:$G,$B669)=0),"NO CATALOG ID MATCH in Release_Track",iserror(vlookup($A669&amp;$B669,'5) Release_Track'!$F:$F&amp;'5) Release_Track'!$G:$G,1,0)),"NO ISRC-CATALOG ID pair MATCH in Release_Track" )</f>
        <v/>
      </c>
      <c r="E669" s="125" t="str">
        <f t="array" ref="E669">ifs(and(isblank($A669),isblank($B669)),"", not(iserror(vlookup($A669&amp;$B669,'5) Release_Track'!$F:$F&amp;'5) Release_Track'!$G:$G,1,0))),vlookup($A669&amp;$B669,{'5) Release_Track'!$F:$F&amp;'5) Release_Track'!$G:$G,'5) Release_Track'!$J:$J},2,0), or(and(not(isblank($B669)),$B669=$B668,$A669&lt;&gt;$A668),and(not(isblank($A669)),$A669=$A668,$B669&lt;&gt;$B668)),"ID LISTS UNALIGNED",and($A669&lt;&gt;"",countif('5) Release_Track'!$F:$F,$A669)=0),"NO ISRC MATCH in Release_Track",and($B669&lt;&gt;"",countif('5) Release_Track'!$G:$G,$B669)=0),"NO CATALOG ID MATCH in Release_Track",iserror(vlookup($A669&amp;$B669,'5) Release_Track'!$F:$F&amp;'5) Release_Track'!$G:$G,1,0)),"NO ISRC-CATALOG ID pair MATCH in Release_Track" )</f>
        <v/>
      </c>
      <c r="F669" s="122"/>
      <c r="G669" s="99"/>
      <c r="H669" s="178"/>
      <c r="I669" s="121" t="str">
        <f t="shared" si="6"/>
        <v/>
      </c>
      <c r="J669" s="99"/>
      <c r="K669" s="99"/>
    </row>
    <row r="670">
      <c r="B670" s="103"/>
      <c r="C670" s="121" t="str">
        <f t="array" ref="C670">ifs(and(isblank($A670),isblank($B670)),"", not(iserror(vlookup($A670&amp;$B670,'5) Release_Track'!$F:$F&amp;'5) Release_Track'!$G:$G,1,0))),vlookup($A670&amp;$B670,{'5) Release_Track'!$F:$F&amp;'5) Release_Track'!$G:$G,'5) Release_Track'!$H:$H},2,0), or(and(not(isblank($B670)),$B670=$B669,$A670&lt;&gt;$A669),and(not(isblank($A670)),$A670=$A669,$B670&lt;&gt;$B669)),"ID LISTS UNALIGNED",and($A670&lt;&gt;"",countif('5) Release_Track'!$F:$F,$A670)=0),"NO ISRC MATCH in Release_Track",and($B670&lt;&gt;"",countif('5) Release_Track'!$G:$G,$B670)=0),"NO CATALOG ID MATCH in Release_Track",iserror(vlookup($A670&amp;$B670,'5) Release_Track'!$F:$F&amp;'5) Release_Track'!$G:$G,1,0)),"NO ISRC-CATALOG ID pair MATCH in Release_Track" )</f>
        <v/>
      </c>
      <c r="D670" s="121" t="str">
        <f t="array" ref="D670">ifs(and(isblank($A670),isblank($B670)),"", not(iserror(vlookup($A670&amp;$B670,'5) Release_Track'!$F:$F&amp;'5) Release_Track'!$G:$G,1,0))),vlookup($A670&amp;$B670,{'5) Release_Track'!$F:$F&amp;'5) Release_Track'!$G:$G,'5) Release_Track'!$I:$I},2,0), or(and(not(isblank($B670)),$B670=$B669,$A670&lt;&gt;$A669),and(not(isblank($A670)),$A670=$A669,$B670&lt;&gt;$B669)),"ID LISTS UNALIGNED",and($A670&lt;&gt;"",countif('5) Release_Track'!$F:$F,$A670)=0),"NO ISRC MATCH in Release_Track",and($B670&lt;&gt;"",countif('5) Release_Track'!$G:$G,$B670)=0),"NO CATALOG ID MATCH in Release_Track",iserror(vlookup($A670&amp;$B670,'5) Release_Track'!$F:$F&amp;'5) Release_Track'!$G:$G,1,0)),"NO ISRC-CATALOG ID pair MATCH in Release_Track" )</f>
        <v/>
      </c>
      <c r="E670" s="125" t="str">
        <f t="array" ref="E670">ifs(and(isblank($A670),isblank($B670)),"", not(iserror(vlookup($A670&amp;$B670,'5) Release_Track'!$F:$F&amp;'5) Release_Track'!$G:$G,1,0))),vlookup($A670&amp;$B670,{'5) Release_Track'!$F:$F&amp;'5) Release_Track'!$G:$G,'5) Release_Track'!$J:$J},2,0), or(and(not(isblank($B670)),$B670=$B669,$A670&lt;&gt;$A669),and(not(isblank($A670)),$A670=$A669,$B670&lt;&gt;$B669)),"ID LISTS UNALIGNED",and($A670&lt;&gt;"",countif('5) Release_Track'!$F:$F,$A670)=0),"NO ISRC MATCH in Release_Track",and($B670&lt;&gt;"",countif('5) Release_Track'!$G:$G,$B670)=0),"NO CATALOG ID MATCH in Release_Track",iserror(vlookup($A670&amp;$B670,'5) Release_Track'!$F:$F&amp;'5) Release_Track'!$G:$G,1,0)),"NO ISRC-CATALOG ID pair MATCH in Release_Track" )</f>
        <v/>
      </c>
      <c r="F670" s="122"/>
      <c r="G670" s="99"/>
      <c r="H670" s="178"/>
      <c r="I670" s="121" t="str">
        <f t="shared" si="6"/>
        <v/>
      </c>
      <c r="J670" s="99"/>
      <c r="K670" s="99"/>
    </row>
    <row r="671">
      <c r="B671" s="103"/>
      <c r="C671" s="121" t="str">
        <f t="array" ref="C671">ifs(and(isblank($A671),isblank($B671)),"", not(iserror(vlookup($A671&amp;$B671,'5) Release_Track'!$F:$F&amp;'5) Release_Track'!$G:$G,1,0))),vlookup($A671&amp;$B671,{'5) Release_Track'!$F:$F&amp;'5) Release_Track'!$G:$G,'5) Release_Track'!$H:$H},2,0), or(and(not(isblank($B671)),$B671=$B670,$A671&lt;&gt;$A670),and(not(isblank($A671)),$A671=$A670,$B671&lt;&gt;$B670)),"ID LISTS UNALIGNED",and($A671&lt;&gt;"",countif('5) Release_Track'!$F:$F,$A671)=0),"NO ISRC MATCH in Release_Track",and($B671&lt;&gt;"",countif('5) Release_Track'!$G:$G,$B671)=0),"NO CATALOG ID MATCH in Release_Track",iserror(vlookup($A671&amp;$B671,'5) Release_Track'!$F:$F&amp;'5) Release_Track'!$G:$G,1,0)),"NO ISRC-CATALOG ID pair MATCH in Release_Track" )</f>
        <v/>
      </c>
      <c r="D671" s="121" t="str">
        <f t="array" ref="D671">ifs(and(isblank($A671),isblank($B671)),"", not(iserror(vlookup($A671&amp;$B671,'5) Release_Track'!$F:$F&amp;'5) Release_Track'!$G:$G,1,0))),vlookup($A671&amp;$B671,{'5) Release_Track'!$F:$F&amp;'5) Release_Track'!$G:$G,'5) Release_Track'!$I:$I},2,0), or(and(not(isblank($B671)),$B671=$B670,$A671&lt;&gt;$A670),and(not(isblank($A671)),$A671=$A670,$B671&lt;&gt;$B670)),"ID LISTS UNALIGNED",and($A671&lt;&gt;"",countif('5) Release_Track'!$F:$F,$A671)=0),"NO ISRC MATCH in Release_Track",and($B671&lt;&gt;"",countif('5) Release_Track'!$G:$G,$B671)=0),"NO CATALOG ID MATCH in Release_Track",iserror(vlookup($A671&amp;$B671,'5) Release_Track'!$F:$F&amp;'5) Release_Track'!$G:$G,1,0)),"NO ISRC-CATALOG ID pair MATCH in Release_Track" )</f>
        <v/>
      </c>
      <c r="E671" s="125" t="str">
        <f t="array" ref="E671">ifs(and(isblank($A671),isblank($B671)),"", not(iserror(vlookup($A671&amp;$B671,'5) Release_Track'!$F:$F&amp;'5) Release_Track'!$G:$G,1,0))),vlookup($A671&amp;$B671,{'5) Release_Track'!$F:$F&amp;'5) Release_Track'!$G:$G,'5) Release_Track'!$J:$J},2,0), or(and(not(isblank($B671)),$B671=$B670,$A671&lt;&gt;$A670),and(not(isblank($A671)),$A671=$A670,$B671&lt;&gt;$B670)),"ID LISTS UNALIGNED",and($A671&lt;&gt;"",countif('5) Release_Track'!$F:$F,$A671)=0),"NO ISRC MATCH in Release_Track",and($B671&lt;&gt;"",countif('5) Release_Track'!$G:$G,$B671)=0),"NO CATALOG ID MATCH in Release_Track",iserror(vlookup($A671&amp;$B671,'5) Release_Track'!$F:$F&amp;'5) Release_Track'!$G:$G,1,0)),"NO ISRC-CATALOG ID pair MATCH in Release_Track" )</f>
        <v/>
      </c>
      <c r="F671" s="122"/>
      <c r="G671" s="99"/>
      <c r="H671" s="178"/>
      <c r="I671" s="121" t="str">
        <f t="shared" si="6"/>
        <v/>
      </c>
      <c r="J671" s="99"/>
      <c r="K671" s="99"/>
    </row>
    <row r="672">
      <c r="B672" s="103"/>
      <c r="C672" s="121" t="str">
        <f t="array" ref="C672">ifs(and(isblank($A672),isblank($B672)),"", not(iserror(vlookup($A672&amp;$B672,'5) Release_Track'!$F:$F&amp;'5) Release_Track'!$G:$G,1,0))),vlookup($A672&amp;$B672,{'5) Release_Track'!$F:$F&amp;'5) Release_Track'!$G:$G,'5) Release_Track'!$H:$H},2,0), or(and(not(isblank($B672)),$B672=$B671,$A672&lt;&gt;$A671),and(not(isblank($A672)),$A672=$A671,$B672&lt;&gt;$B671)),"ID LISTS UNALIGNED",and($A672&lt;&gt;"",countif('5) Release_Track'!$F:$F,$A672)=0),"NO ISRC MATCH in Release_Track",and($B672&lt;&gt;"",countif('5) Release_Track'!$G:$G,$B672)=0),"NO CATALOG ID MATCH in Release_Track",iserror(vlookup($A672&amp;$B672,'5) Release_Track'!$F:$F&amp;'5) Release_Track'!$G:$G,1,0)),"NO ISRC-CATALOG ID pair MATCH in Release_Track" )</f>
        <v/>
      </c>
      <c r="D672" s="121" t="str">
        <f t="array" ref="D672">ifs(and(isblank($A672),isblank($B672)),"", not(iserror(vlookup($A672&amp;$B672,'5) Release_Track'!$F:$F&amp;'5) Release_Track'!$G:$G,1,0))),vlookup($A672&amp;$B672,{'5) Release_Track'!$F:$F&amp;'5) Release_Track'!$G:$G,'5) Release_Track'!$I:$I},2,0), or(and(not(isblank($B672)),$B672=$B671,$A672&lt;&gt;$A671),and(not(isblank($A672)),$A672=$A671,$B672&lt;&gt;$B671)),"ID LISTS UNALIGNED",and($A672&lt;&gt;"",countif('5) Release_Track'!$F:$F,$A672)=0),"NO ISRC MATCH in Release_Track",and($B672&lt;&gt;"",countif('5) Release_Track'!$G:$G,$B672)=0),"NO CATALOG ID MATCH in Release_Track",iserror(vlookup($A672&amp;$B672,'5) Release_Track'!$F:$F&amp;'5) Release_Track'!$G:$G,1,0)),"NO ISRC-CATALOG ID pair MATCH in Release_Track" )</f>
        <v/>
      </c>
      <c r="E672" s="125" t="str">
        <f t="array" ref="E672">ifs(and(isblank($A672),isblank($B672)),"", not(iserror(vlookup($A672&amp;$B672,'5) Release_Track'!$F:$F&amp;'5) Release_Track'!$G:$G,1,0))),vlookup($A672&amp;$B672,{'5) Release_Track'!$F:$F&amp;'5) Release_Track'!$G:$G,'5) Release_Track'!$J:$J},2,0), or(and(not(isblank($B672)),$B672=$B671,$A672&lt;&gt;$A671),and(not(isblank($A672)),$A672=$A671,$B672&lt;&gt;$B671)),"ID LISTS UNALIGNED",and($A672&lt;&gt;"",countif('5) Release_Track'!$F:$F,$A672)=0),"NO ISRC MATCH in Release_Track",and($B672&lt;&gt;"",countif('5) Release_Track'!$G:$G,$B672)=0),"NO CATALOG ID MATCH in Release_Track",iserror(vlookup($A672&amp;$B672,'5) Release_Track'!$F:$F&amp;'5) Release_Track'!$G:$G,1,0)),"NO ISRC-CATALOG ID pair MATCH in Release_Track" )</f>
        <v/>
      </c>
      <c r="F672" s="122"/>
      <c r="G672" s="99"/>
      <c r="H672" s="178"/>
      <c r="I672" s="121" t="str">
        <f t="shared" si="6"/>
        <v/>
      </c>
      <c r="J672" s="99"/>
      <c r="K672" s="99"/>
    </row>
    <row r="673">
      <c r="B673" s="103"/>
      <c r="C673" s="121" t="str">
        <f t="array" ref="C673">ifs(and(isblank($A673),isblank($B673)),"", not(iserror(vlookup($A673&amp;$B673,'5) Release_Track'!$F:$F&amp;'5) Release_Track'!$G:$G,1,0))),vlookup($A673&amp;$B673,{'5) Release_Track'!$F:$F&amp;'5) Release_Track'!$G:$G,'5) Release_Track'!$H:$H},2,0), or(and(not(isblank($B673)),$B673=$B672,$A673&lt;&gt;$A672),and(not(isblank($A673)),$A673=$A672,$B673&lt;&gt;$B672)),"ID LISTS UNALIGNED",and($A673&lt;&gt;"",countif('5) Release_Track'!$F:$F,$A673)=0),"NO ISRC MATCH in Release_Track",and($B673&lt;&gt;"",countif('5) Release_Track'!$G:$G,$B673)=0),"NO CATALOG ID MATCH in Release_Track",iserror(vlookup($A673&amp;$B673,'5) Release_Track'!$F:$F&amp;'5) Release_Track'!$G:$G,1,0)),"NO ISRC-CATALOG ID pair MATCH in Release_Track" )</f>
        <v/>
      </c>
      <c r="D673" s="121" t="str">
        <f t="array" ref="D673">ifs(and(isblank($A673),isblank($B673)),"", not(iserror(vlookup($A673&amp;$B673,'5) Release_Track'!$F:$F&amp;'5) Release_Track'!$G:$G,1,0))),vlookup($A673&amp;$B673,{'5) Release_Track'!$F:$F&amp;'5) Release_Track'!$G:$G,'5) Release_Track'!$I:$I},2,0), or(and(not(isblank($B673)),$B673=$B672,$A673&lt;&gt;$A672),and(not(isblank($A673)),$A673=$A672,$B673&lt;&gt;$B672)),"ID LISTS UNALIGNED",and($A673&lt;&gt;"",countif('5) Release_Track'!$F:$F,$A673)=0),"NO ISRC MATCH in Release_Track",and($B673&lt;&gt;"",countif('5) Release_Track'!$G:$G,$B673)=0),"NO CATALOG ID MATCH in Release_Track",iserror(vlookup($A673&amp;$B673,'5) Release_Track'!$F:$F&amp;'5) Release_Track'!$G:$G,1,0)),"NO ISRC-CATALOG ID pair MATCH in Release_Track" )</f>
        <v/>
      </c>
      <c r="E673" s="125" t="str">
        <f t="array" ref="E673">ifs(and(isblank($A673),isblank($B673)),"", not(iserror(vlookup($A673&amp;$B673,'5) Release_Track'!$F:$F&amp;'5) Release_Track'!$G:$G,1,0))),vlookup($A673&amp;$B673,{'5) Release_Track'!$F:$F&amp;'5) Release_Track'!$G:$G,'5) Release_Track'!$J:$J},2,0), or(and(not(isblank($B673)),$B673=$B672,$A673&lt;&gt;$A672),and(not(isblank($A673)),$A673=$A672,$B673&lt;&gt;$B672)),"ID LISTS UNALIGNED",and($A673&lt;&gt;"",countif('5) Release_Track'!$F:$F,$A673)=0),"NO ISRC MATCH in Release_Track",and($B673&lt;&gt;"",countif('5) Release_Track'!$G:$G,$B673)=0),"NO CATALOG ID MATCH in Release_Track",iserror(vlookup($A673&amp;$B673,'5) Release_Track'!$F:$F&amp;'5) Release_Track'!$G:$G,1,0)),"NO ISRC-CATALOG ID pair MATCH in Release_Track" )</f>
        <v/>
      </c>
      <c r="F673" s="122"/>
      <c r="G673" s="99"/>
      <c r="H673" s="178"/>
      <c r="I673" s="121" t="str">
        <f t="shared" si="6"/>
        <v/>
      </c>
      <c r="J673" s="99"/>
      <c r="K673" s="99"/>
    </row>
    <row r="674">
      <c r="B674" s="103"/>
      <c r="C674" s="121" t="str">
        <f t="array" ref="C674">ifs(and(isblank($A674),isblank($B674)),"", not(iserror(vlookup($A674&amp;$B674,'5) Release_Track'!$F:$F&amp;'5) Release_Track'!$G:$G,1,0))),vlookup($A674&amp;$B674,{'5) Release_Track'!$F:$F&amp;'5) Release_Track'!$G:$G,'5) Release_Track'!$H:$H},2,0), or(and(not(isblank($B674)),$B674=$B673,$A674&lt;&gt;$A673),and(not(isblank($A674)),$A674=$A673,$B674&lt;&gt;$B673)),"ID LISTS UNALIGNED",and($A674&lt;&gt;"",countif('5) Release_Track'!$F:$F,$A674)=0),"NO ISRC MATCH in Release_Track",and($B674&lt;&gt;"",countif('5) Release_Track'!$G:$G,$B674)=0),"NO CATALOG ID MATCH in Release_Track",iserror(vlookup($A674&amp;$B674,'5) Release_Track'!$F:$F&amp;'5) Release_Track'!$G:$G,1,0)),"NO ISRC-CATALOG ID pair MATCH in Release_Track" )</f>
        <v/>
      </c>
      <c r="D674" s="121" t="str">
        <f t="array" ref="D674">ifs(and(isblank($A674),isblank($B674)),"", not(iserror(vlookup($A674&amp;$B674,'5) Release_Track'!$F:$F&amp;'5) Release_Track'!$G:$G,1,0))),vlookup($A674&amp;$B674,{'5) Release_Track'!$F:$F&amp;'5) Release_Track'!$G:$G,'5) Release_Track'!$I:$I},2,0), or(and(not(isblank($B674)),$B674=$B673,$A674&lt;&gt;$A673),and(not(isblank($A674)),$A674=$A673,$B674&lt;&gt;$B673)),"ID LISTS UNALIGNED",and($A674&lt;&gt;"",countif('5) Release_Track'!$F:$F,$A674)=0),"NO ISRC MATCH in Release_Track",and($B674&lt;&gt;"",countif('5) Release_Track'!$G:$G,$B674)=0),"NO CATALOG ID MATCH in Release_Track",iserror(vlookup($A674&amp;$B674,'5) Release_Track'!$F:$F&amp;'5) Release_Track'!$G:$G,1,0)),"NO ISRC-CATALOG ID pair MATCH in Release_Track" )</f>
        <v/>
      </c>
      <c r="E674" s="125" t="str">
        <f t="array" ref="E674">ifs(and(isblank($A674),isblank($B674)),"", not(iserror(vlookup($A674&amp;$B674,'5) Release_Track'!$F:$F&amp;'5) Release_Track'!$G:$G,1,0))),vlookup($A674&amp;$B674,{'5) Release_Track'!$F:$F&amp;'5) Release_Track'!$G:$G,'5) Release_Track'!$J:$J},2,0), or(and(not(isblank($B674)),$B674=$B673,$A674&lt;&gt;$A673),and(not(isblank($A674)),$A674=$A673,$B674&lt;&gt;$B673)),"ID LISTS UNALIGNED",and($A674&lt;&gt;"",countif('5) Release_Track'!$F:$F,$A674)=0),"NO ISRC MATCH in Release_Track",and($B674&lt;&gt;"",countif('5) Release_Track'!$G:$G,$B674)=0),"NO CATALOG ID MATCH in Release_Track",iserror(vlookup($A674&amp;$B674,'5) Release_Track'!$F:$F&amp;'5) Release_Track'!$G:$G,1,0)),"NO ISRC-CATALOG ID pair MATCH in Release_Track" )</f>
        <v/>
      </c>
      <c r="F674" s="122"/>
      <c r="G674" s="99"/>
      <c r="H674" s="178"/>
      <c r="I674" s="121" t="str">
        <f t="shared" si="6"/>
        <v/>
      </c>
      <c r="J674" s="99"/>
      <c r="K674" s="99"/>
    </row>
    <row r="675">
      <c r="B675" s="103"/>
      <c r="C675" s="121" t="str">
        <f t="array" ref="C675">ifs(and(isblank($A675),isblank($B675)),"", not(iserror(vlookup($A675&amp;$B675,'5) Release_Track'!$F:$F&amp;'5) Release_Track'!$G:$G,1,0))),vlookup($A675&amp;$B675,{'5) Release_Track'!$F:$F&amp;'5) Release_Track'!$G:$G,'5) Release_Track'!$H:$H},2,0), or(and(not(isblank($B675)),$B675=$B674,$A675&lt;&gt;$A674),and(not(isblank($A675)),$A675=$A674,$B675&lt;&gt;$B674)),"ID LISTS UNALIGNED",and($A675&lt;&gt;"",countif('5) Release_Track'!$F:$F,$A675)=0),"NO ISRC MATCH in Release_Track",and($B675&lt;&gt;"",countif('5) Release_Track'!$G:$G,$B675)=0),"NO CATALOG ID MATCH in Release_Track",iserror(vlookup($A675&amp;$B675,'5) Release_Track'!$F:$F&amp;'5) Release_Track'!$G:$G,1,0)),"NO ISRC-CATALOG ID pair MATCH in Release_Track" )</f>
        <v/>
      </c>
      <c r="D675" s="121" t="str">
        <f t="array" ref="D675">ifs(and(isblank($A675),isblank($B675)),"", not(iserror(vlookup($A675&amp;$B675,'5) Release_Track'!$F:$F&amp;'5) Release_Track'!$G:$G,1,0))),vlookup($A675&amp;$B675,{'5) Release_Track'!$F:$F&amp;'5) Release_Track'!$G:$G,'5) Release_Track'!$I:$I},2,0), or(and(not(isblank($B675)),$B675=$B674,$A675&lt;&gt;$A674),and(not(isblank($A675)),$A675=$A674,$B675&lt;&gt;$B674)),"ID LISTS UNALIGNED",and($A675&lt;&gt;"",countif('5) Release_Track'!$F:$F,$A675)=0),"NO ISRC MATCH in Release_Track",and($B675&lt;&gt;"",countif('5) Release_Track'!$G:$G,$B675)=0),"NO CATALOG ID MATCH in Release_Track",iserror(vlookup($A675&amp;$B675,'5) Release_Track'!$F:$F&amp;'5) Release_Track'!$G:$G,1,0)),"NO ISRC-CATALOG ID pair MATCH in Release_Track" )</f>
        <v/>
      </c>
      <c r="E675" s="125" t="str">
        <f t="array" ref="E675">ifs(and(isblank($A675),isblank($B675)),"", not(iserror(vlookup($A675&amp;$B675,'5) Release_Track'!$F:$F&amp;'5) Release_Track'!$G:$G,1,0))),vlookup($A675&amp;$B675,{'5) Release_Track'!$F:$F&amp;'5) Release_Track'!$G:$G,'5) Release_Track'!$J:$J},2,0), or(and(not(isblank($B675)),$B675=$B674,$A675&lt;&gt;$A674),and(not(isblank($A675)),$A675=$A674,$B675&lt;&gt;$B674)),"ID LISTS UNALIGNED",and($A675&lt;&gt;"",countif('5) Release_Track'!$F:$F,$A675)=0),"NO ISRC MATCH in Release_Track",and($B675&lt;&gt;"",countif('5) Release_Track'!$G:$G,$B675)=0),"NO CATALOG ID MATCH in Release_Track",iserror(vlookup($A675&amp;$B675,'5) Release_Track'!$F:$F&amp;'5) Release_Track'!$G:$G,1,0)),"NO ISRC-CATALOG ID pair MATCH in Release_Track" )</f>
        <v/>
      </c>
      <c r="F675" s="122"/>
      <c r="G675" s="99"/>
      <c r="H675" s="178"/>
      <c r="I675" s="121" t="str">
        <f t="shared" si="6"/>
        <v/>
      </c>
      <c r="J675" s="99"/>
      <c r="K675" s="99"/>
    </row>
    <row r="676">
      <c r="B676" s="103"/>
      <c r="C676" s="121" t="str">
        <f t="array" ref="C676">ifs(and(isblank($A676),isblank($B676)),"", not(iserror(vlookup($A676&amp;$B676,'5) Release_Track'!$F:$F&amp;'5) Release_Track'!$G:$G,1,0))),vlookup($A676&amp;$B676,{'5) Release_Track'!$F:$F&amp;'5) Release_Track'!$G:$G,'5) Release_Track'!$H:$H},2,0), or(and(not(isblank($B676)),$B676=$B675,$A676&lt;&gt;$A675),and(not(isblank($A676)),$A676=$A675,$B676&lt;&gt;$B675)),"ID LISTS UNALIGNED",and($A676&lt;&gt;"",countif('5) Release_Track'!$F:$F,$A676)=0),"NO ISRC MATCH in Release_Track",and($B676&lt;&gt;"",countif('5) Release_Track'!$G:$G,$B676)=0),"NO CATALOG ID MATCH in Release_Track",iserror(vlookup($A676&amp;$B676,'5) Release_Track'!$F:$F&amp;'5) Release_Track'!$G:$G,1,0)),"NO ISRC-CATALOG ID pair MATCH in Release_Track" )</f>
        <v/>
      </c>
      <c r="D676" s="121" t="str">
        <f t="array" ref="D676">ifs(and(isblank($A676),isblank($B676)),"", not(iserror(vlookup($A676&amp;$B676,'5) Release_Track'!$F:$F&amp;'5) Release_Track'!$G:$G,1,0))),vlookup($A676&amp;$B676,{'5) Release_Track'!$F:$F&amp;'5) Release_Track'!$G:$G,'5) Release_Track'!$I:$I},2,0), or(and(not(isblank($B676)),$B676=$B675,$A676&lt;&gt;$A675),and(not(isblank($A676)),$A676=$A675,$B676&lt;&gt;$B675)),"ID LISTS UNALIGNED",and($A676&lt;&gt;"",countif('5) Release_Track'!$F:$F,$A676)=0),"NO ISRC MATCH in Release_Track",and($B676&lt;&gt;"",countif('5) Release_Track'!$G:$G,$B676)=0),"NO CATALOG ID MATCH in Release_Track",iserror(vlookup($A676&amp;$B676,'5) Release_Track'!$F:$F&amp;'5) Release_Track'!$G:$G,1,0)),"NO ISRC-CATALOG ID pair MATCH in Release_Track" )</f>
        <v/>
      </c>
      <c r="E676" s="125" t="str">
        <f t="array" ref="E676">ifs(and(isblank($A676),isblank($B676)),"", not(iserror(vlookup($A676&amp;$B676,'5) Release_Track'!$F:$F&amp;'5) Release_Track'!$G:$G,1,0))),vlookup($A676&amp;$B676,{'5) Release_Track'!$F:$F&amp;'5) Release_Track'!$G:$G,'5) Release_Track'!$J:$J},2,0), or(and(not(isblank($B676)),$B676=$B675,$A676&lt;&gt;$A675),and(not(isblank($A676)),$A676=$A675,$B676&lt;&gt;$B675)),"ID LISTS UNALIGNED",and($A676&lt;&gt;"",countif('5) Release_Track'!$F:$F,$A676)=0),"NO ISRC MATCH in Release_Track",and($B676&lt;&gt;"",countif('5) Release_Track'!$G:$G,$B676)=0),"NO CATALOG ID MATCH in Release_Track",iserror(vlookup($A676&amp;$B676,'5) Release_Track'!$F:$F&amp;'5) Release_Track'!$G:$G,1,0)),"NO ISRC-CATALOG ID pair MATCH in Release_Track" )</f>
        <v/>
      </c>
      <c r="F676" s="122"/>
      <c r="G676" s="99"/>
      <c r="H676" s="178"/>
      <c r="I676" s="121" t="str">
        <f t="shared" si="6"/>
        <v/>
      </c>
      <c r="J676" s="99"/>
      <c r="K676" s="99"/>
    </row>
    <row r="677">
      <c r="B677" s="103"/>
      <c r="C677" s="121" t="str">
        <f t="array" ref="C677">ifs(and(isblank($A677),isblank($B677)),"", not(iserror(vlookup($A677&amp;$B677,'5) Release_Track'!$F:$F&amp;'5) Release_Track'!$G:$G,1,0))),vlookup($A677&amp;$B677,{'5) Release_Track'!$F:$F&amp;'5) Release_Track'!$G:$G,'5) Release_Track'!$H:$H},2,0), or(and(not(isblank($B677)),$B677=$B676,$A677&lt;&gt;$A676),and(not(isblank($A677)),$A677=$A676,$B677&lt;&gt;$B676)),"ID LISTS UNALIGNED",and($A677&lt;&gt;"",countif('5) Release_Track'!$F:$F,$A677)=0),"NO ISRC MATCH in Release_Track",and($B677&lt;&gt;"",countif('5) Release_Track'!$G:$G,$B677)=0),"NO CATALOG ID MATCH in Release_Track",iserror(vlookup($A677&amp;$B677,'5) Release_Track'!$F:$F&amp;'5) Release_Track'!$G:$G,1,0)),"NO ISRC-CATALOG ID pair MATCH in Release_Track" )</f>
        <v/>
      </c>
      <c r="D677" s="121" t="str">
        <f t="array" ref="D677">ifs(and(isblank($A677),isblank($B677)),"", not(iserror(vlookup($A677&amp;$B677,'5) Release_Track'!$F:$F&amp;'5) Release_Track'!$G:$G,1,0))),vlookup($A677&amp;$B677,{'5) Release_Track'!$F:$F&amp;'5) Release_Track'!$G:$G,'5) Release_Track'!$I:$I},2,0), or(and(not(isblank($B677)),$B677=$B676,$A677&lt;&gt;$A676),and(not(isblank($A677)),$A677=$A676,$B677&lt;&gt;$B676)),"ID LISTS UNALIGNED",and($A677&lt;&gt;"",countif('5) Release_Track'!$F:$F,$A677)=0),"NO ISRC MATCH in Release_Track",and($B677&lt;&gt;"",countif('5) Release_Track'!$G:$G,$B677)=0),"NO CATALOG ID MATCH in Release_Track",iserror(vlookup($A677&amp;$B677,'5) Release_Track'!$F:$F&amp;'5) Release_Track'!$G:$G,1,0)),"NO ISRC-CATALOG ID pair MATCH in Release_Track" )</f>
        <v/>
      </c>
      <c r="E677" s="125" t="str">
        <f t="array" ref="E677">ifs(and(isblank($A677),isblank($B677)),"", not(iserror(vlookup($A677&amp;$B677,'5) Release_Track'!$F:$F&amp;'5) Release_Track'!$G:$G,1,0))),vlookup($A677&amp;$B677,{'5) Release_Track'!$F:$F&amp;'5) Release_Track'!$G:$G,'5) Release_Track'!$J:$J},2,0), or(and(not(isblank($B677)),$B677=$B676,$A677&lt;&gt;$A676),and(not(isblank($A677)),$A677=$A676,$B677&lt;&gt;$B676)),"ID LISTS UNALIGNED",and($A677&lt;&gt;"",countif('5) Release_Track'!$F:$F,$A677)=0),"NO ISRC MATCH in Release_Track",and($B677&lt;&gt;"",countif('5) Release_Track'!$G:$G,$B677)=0),"NO CATALOG ID MATCH in Release_Track",iserror(vlookup($A677&amp;$B677,'5) Release_Track'!$F:$F&amp;'5) Release_Track'!$G:$G,1,0)),"NO ISRC-CATALOG ID pair MATCH in Release_Track" )</f>
        <v/>
      </c>
      <c r="F677" s="122"/>
      <c r="G677" s="99"/>
      <c r="H677" s="178"/>
      <c r="I677" s="121" t="str">
        <f t="shared" si="6"/>
        <v/>
      </c>
      <c r="J677" s="99"/>
      <c r="K677" s="99"/>
    </row>
    <row r="678">
      <c r="B678" s="103"/>
      <c r="C678" s="121" t="str">
        <f t="array" ref="C678">ifs(and(isblank($A678),isblank($B678)),"", not(iserror(vlookup($A678&amp;$B678,'5) Release_Track'!$F:$F&amp;'5) Release_Track'!$G:$G,1,0))),vlookup($A678&amp;$B678,{'5) Release_Track'!$F:$F&amp;'5) Release_Track'!$G:$G,'5) Release_Track'!$H:$H},2,0), or(and(not(isblank($B678)),$B678=$B677,$A678&lt;&gt;$A677),and(not(isblank($A678)),$A678=$A677,$B678&lt;&gt;$B677)),"ID LISTS UNALIGNED",and($A678&lt;&gt;"",countif('5) Release_Track'!$F:$F,$A678)=0),"NO ISRC MATCH in Release_Track",and($B678&lt;&gt;"",countif('5) Release_Track'!$G:$G,$B678)=0),"NO CATALOG ID MATCH in Release_Track",iserror(vlookup($A678&amp;$B678,'5) Release_Track'!$F:$F&amp;'5) Release_Track'!$G:$G,1,0)),"NO ISRC-CATALOG ID pair MATCH in Release_Track" )</f>
        <v/>
      </c>
      <c r="D678" s="121" t="str">
        <f t="array" ref="D678">ifs(and(isblank($A678),isblank($B678)),"", not(iserror(vlookup($A678&amp;$B678,'5) Release_Track'!$F:$F&amp;'5) Release_Track'!$G:$G,1,0))),vlookup($A678&amp;$B678,{'5) Release_Track'!$F:$F&amp;'5) Release_Track'!$G:$G,'5) Release_Track'!$I:$I},2,0), or(and(not(isblank($B678)),$B678=$B677,$A678&lt;&gt;$A677),and(not(isblank($A678)),$A678=$A677,$B678&lt;&gt;$B677)),"ID LISTS UNALIGNED",and($A678&lt;&gt;"",countif('5) Release_Track'!$F:$F,$A678)=0),"NO ISRC MATCH in Release_Track",and($B678&lt;&gt;"",countif('5) Release_Track'!$G:$G,$B678)=0),"NO CATALOG ID MATCH in Release_Track",iserror(vlookup($A678&amp;$B678,'5) Release_Track'!$F:$F&amp;'5) Release_Track'!$G:$G,1,0)),"NO ISRC-CATALOG ID pair MATCH in Release_Track" )</f>
        <v/>
      </c>
      <c r="E678" s="125" t="str">
        <f t="array" ref="E678">ifs(and(isblank($A678),isblank($B678)),"", not(iserror(vlookup($A678&amp;$B678,'5) Release_Track'!$F:$F&amp;'5) Release_Track'!$G:$G,1,0))),vlookup($A678&amp;$B678,{'5) Release_Track'!$F:$F&amp;'5) Release_Track'!$G:$G,'5) Release_Track'!$J:$J},2,0), or(and(not(isblank($B678)),$B678=$B677,$A678&lt;&gt;$A677),and(not(isblank($A678)),$A678=$A677,$B678&lt;&gt;$B677)),"ID LISTS UNALIGNED",and($A678&lt;&gt;"",countif('5) Release_Track'!$F:$F,$A678)=0),"NO ISRC MATCH in Release_Track",and($B678&lt;&gt;"",countif('5) Release_Track'!$G:$G,$B678)=0),"NO CATALOG ID MATCH in Release_Track",iserror(vlookup($A678&amp;$B678,'5) Release_Track'!$F:$F&amp;'5) Release_Track'!$G:$G,1,0)),"NO ISRC-CATALOG ID pair MATCH in Release_Track" )</f>
        <v/>
      </c>
      <c r="F678" s="122"/>
      <c r="G678" s="99"/>
      <c r="H678" s="178"/>
      <c r="I678" s="121" t="str">
        <f t="shared" si="6"/>
        <v/>
      </c>
      <c r="J678" s="99"/>
      <c r="K678" s="99"/>
    </row>
    <row r="679">
      <c r="B679" s="103"/>
      <c r="C679" s="121" t="str">
        <f t="array" ref="C679">ifs(and(isblank($A679),isblank($B679)),"", not(iserror(vlookup($A679&amp;$B679,'5) Release_Track'!$F:$F&amp;'5) Release_Track'!$G:$G,1,0))),vlookup($A679&amp;$B679,{'5) Release_Track'!$F:$F&amp;'5) Release_Track'!$G:$G,'5) Release_Track'!$H:$H},2,0), or(and(not(isblank($B679)),$B679=$B678,$A679&lt;&gt;$A678),and(not(isblank($A679)),$A679=$A678,$B679&lt;&gt;$B678)),"ID LISTS UNALIGNED",and($A679&lt;&gt;"",countif('5) Release_Track'!$F:$F,$A679)=0),"NO ISRC MATCH in Release_Track",and($B679&lt;&gt;"",countif('5) Release_Track'!$G:$G,$B679)=0),"NO CATALOG ID MATCH in Release_Track",iserror(vlookup($A679&amp;$B679,'5) Release_Track'!$F:$F&amp;'5) Release_Track'!$G:$G,1,0)),"NO ISRC-CATALOG ID pair MATCH in Release_Track" )</f>
        <v/>
      </c>
      <c r="D679" s="121" t="str">
        <f t="array" ref="D679">ifs(and(isblank($A679),isblank($B679)),"", not(iserror(vlookup($A679&amp;$B679,'5) Release_Track'!$F:$F&amp;'5) Release_Track'!$G:$G,1,0))),vlookup($A679&amp;$B679,{'5) Release_Track'!$F:$F&amp;'5) Release_Track'!$G:$G,'5) Release_Track'!$I:$I},2,0), or(and(not(isblank($B679)),$B679=$B678,$A679&lt;&gt;$A678),and(not(isblank($A679)),$A679=$A678,$B679&lt;&gt;$B678)),"ID LISTS UNALIGNED",and($A679&lt;&gt;"",countif('5) Release_Track'!$F:$F,$A679)=0),"NO ISRC MATCH in Release_Track",and($B679&lt;&gt;"",countif('5) Release_Track'!$G:$G,$B679)=0),"NO CATALOG ID MATCH in Release_Track",iserror(vlookup($A679&amp;$B679,'5) Release_Track'!$F:$F&amp;'5) Release_Track'!$G:$G,1,0)),"NO ISRC-CATALOG ID pair MATCH in Release_Track" )</f>
        <v/>
      </c>
      <c r="E679" s="125" t="str">
        <f t="array" ref="E679">ifs(and(isblank($A679),isblank($B679)),"", not(iserror(vlookup($A679&amp;$B679,'5) Release_Track'!$F:$F&amp;'5) Release_Track'!$G:$G,1,0))),vlookup($A679&amp;$B679,{'5) Release_Track'!$F:$F&amp;'5) Release_Track'!$G:$G,'5) Release_Track'!$J:$J},2,0), or(and(not(isblank($B679)),$B679=$B678,$A679&lt;&gt;$A678),and(not(isblank($A679)),$A679=$A678,$B679&lt;&gt;$B678)),"ID LISTS UNALIGNED",and($A679&lt;&gt;"",countif('5) Release_Track'!$F:$F,$A679)=0),"NO ISRC MATCH in Release_Track",and($B679&lt;&gt;"",countif('5) Release_Track'!$G:$G,$B679)=0),"NO CATALOG ID MATCH in Release_Track",iserror(vlookup($A679&amp;$B679,'5) Release_Track'!$F:$F&amp;'5) Release_Track'!$G:$G,1,0)),"NO ISRC-CATALOG ID pair MATCH in Release_Track" )</f>
        <v/>
      </c>
      <c r="F679" s="122"/>
      <c r="G679" s="99"/>
      <c r="H679" s="178"/>
      <c r="I679" s="121" t="str">
        <f t="shared" si="6"/>
        <v/>
      </c>
      <c r="J679" s="99"/>
      <c r="K679" s="99"/>
    </row>
    <row r="680">
      <c r="B680" s="103"/>
      <c r="C680" s="121" t="str">
        <f t="array" ref="C680">ifs(and(isblank($A680),isblank($B680)),"", not(iserror(vlookup($A680&amp;$B680,'5) Release_Track'!$F:$F&amp;'5) Release_Track'!$G:$G,1,0))),vlookup($A680&amp;$B680,{'5) Release_Track'!$F:$F&amp;'5) Release_Track'!$G:$G,'5) Release_Track'!$H:$H},2,0), or(and(not(isblank($B680)),$B680=$B679,$A680&lt;&gt;$A679),and(not(isblank($A680)),$A680=$A679,$B680&lt;&gt;$B679)),"ID LISTS UNALIGNED",and($A680&lt;&gt;"",countif('5) Release_Track'!$F:$F,$A680)=0),"NO ISRC MATCH in Release_Track",and($B680&lt;&gt;"",countif('5) Release_Track'!$G:$G,$B680)=0),"NO CATALOG ID MATCH in Release_Track",iserror(vlookup($A680&amp;$B680,'5) Release_Track'!$F:$F&amp;'5) Release_Track'!$G:$G,1,0)),"NO ISRC-CATALOG ID pair MATCH in Release_Track" )</f>
        <v/>
      </c>
      <c r="D680" s="121" t="str">
        <f t="array" ref="D680">ifs(and(isblank($A680),isblank($B680)),"", not(iserror(vlookup($A680&amp;$B680,'5) Release_Track'!$F:$F&amp;'5) Release_Track'!$G:$G,1,0))),vlookup($A680&amp;$B680,{'5) Release_Track'!$F:$F&amp;'5) Release_Track'!$G:$G,'5) Release_Track'!$I:$I},2,0), or(and(not(isblank($B680)),$B680=$B679,$A680&lt;&gt;$A679),and(not(isblank($A680)),$A680=$A679,$B680&lt;&gt;$B679)),"ID LISTS UNALIGNED",and($A680&lt;&gt;"",countif('5) Release_Track'!$F:$F,$A680)=0),"NO ISRC MATCH in Release_Track",and($B680&lt;&gt;"",countif('5) Release_Track'!$G:$G,$B680)=0),"NO CATALOG ID MATCH in Release_Track",iserror(vlookup($A680&amp;$B680,'5) Release_Track'!$F:$F&amp;'5) Release_Track'!$G:$G,1,0)),"NO ISRC-CATALOG ID pair MATCH in Release_Track" )</f>
        <v/>
      </c>
      <c r="E680" s="125" t="str">
        <f t="array" ref="E680">ifs(and(isblank($A680),isblank($B680)),"", not(iserror(vlookup($A680&amp;$B680,'5) Release_Track'!$F:$F&amp;'5) Release_Track'!$G:$G,1,0))),vlookup($A680&amp;$B680,{'5) Release_Track'!$F:$F&amp;'5) Release_Track'!$G:$G,'5) Release_Track'!$J:$J},2,0), or(and(not(isblank($B680)),$B680=$B679,$A680&lt;&gt;$A679),and(not(isblank($A680)),$A680=$A679,$B680&lt;&gt;$B679)),"ID LISTS UNALIGNED",and($A680&lt;&gt;"",countif('5) Release_Track'!$F:$F,$A680)=0),"NO ISRC MATCH in Release_Track",and($B680&lt;&gt;"",countif('5) Release_Track'!$G:$G,$B680)=0),"NO CATALOG ID MATCH in Release_Track",iserror(vlookup($A680&amp;$B680,'5) Release_Track'!$F:$F&amp;'5) Release_Track'!$G:$G,1,0)),"NO ISRC-CATALOG ID pair MATCH in Release_Track" )</f>
        <v/>
      </c>
      <c r="F680" s="122"/>
      <c r="G680" s="99"/>
      <c r="H680" s="178"/>
      <c r="I680" s="121" t="str">
        <f t="shared" si="6"/>
        <v/>
      </c>
      <c r="J680" s="99"/>
      <c r="K680" s="99"/>
    </row>
    <row r="681">
      <c r="B681" s="103"/>
      <c r="C681" s="121" t="str">
        <f t="array" ref="C681">ifs(and(isblank($A681),isblank($B681)),"", not(iserror(vlookup($A681&amp;$B681,'5) Release_Track'!$F:$F&amp;'5) Release_Track'!$G:$G,1,0))),vlookup($A681&amp;$B681,{'5) Release_Track'!$F:$F&amp;'5) Release_Track'!$G:$G,'5) Release_Track'!$H:$H},2,0), or(and(not(isblank($B681)),$B681=$B680,$A681&lt;&gt;$A680),and(not(isblank($A681)),$A681=$A680,$B681&lt;&gt;$B680)),"ID LISTS UNALIGNED",and($A681&lt;&gt;"",countif('5) Release_Track'!$F:$F,$A681)=0),"NO ISRC MATCH in Release_Track",and($B681&lt;&gt;"",countif('5) Release_Track'!$G:$G,$B681)=0),"NO CATALOG ID MATCH in Release_Track",iserror(vlookup($A681&amp;$B681,'5) Release_Track'!$F:$F&amp;'5) Release_Track'!$G:$G,1,0)),"NO ISRC-CATALOG ID pair MATCH in Release_Track" )</f>
        <v/>
      </c>
      <c r="D681" s="121" t="str">
        <f t="array" ref="D681">ifs(and(isblank($A681),isblank($B681)),"", not(iserror(vlookup($A681&amp;$B681,'5) Release_Track'!$F:$F&amp;'5) Release_Track'!$G:$G,1,0))),vlookup($A681&amp;$B681,{'5) Release_Track'!$F:$F&amp;'5) Release_Track'!$G:$G,'5) Release_Track'!$I:$I},2,0), or(and(not(isblank($B681)),$B681=$B680,$A681&lt;&gt;$A680),and(not(isblank($A681)),$A681=$A680,$B681&lt;&gt;$B680)),"ID LISTS UNALIGNED",and($A681&lt;&gt;"",countif('5) Release_Track'!$F:$F,$A681)=0),"NO ISRC MATCH in Release_Track",and($B681&lt;&gt;"",countif('5) Release_Track'!$G:$G,$B681)=0),"NO CATALOG ID MATCH in Release_Track",iserror(vlookup($A681&amp;$B681,'5) Release_Track'!$F:$F&amp;'5) Release_Track'!$G:$G,1,0)),"NO ISRC-CATALOG ID pair MATCH in Release_Track" )</f>
        <v/>
      </c>
      <c r="E681" s="125" t="str">
        <f t="array" ref="E681">ifs(and(isblank($A681),isblank($B681)),"", not(iserror(vlookup($A681&amp;$B681,'5) Release_Track'!$F:$F&amp;'5) Release_Track'!$G:$G,1,0))),vlookup($A681&amp;$B681,{'5) Release_Track'!$F:$F&amp;'5) Release_Track'!$G:$G,'5) Release_Track'!$J:$J},2,0), or(and(not(isblank($B681)),$B681=$B680,$A681&lt;&gt;$A680),and(not(isblank($A681)),$A681=$A680,$B681&lt;&gt;$B680)),"ID LISTS UNALIGNED",and($A681&lt;&gt;"",countif('5) Release_Track'!$F:$F,$A681)=0),"NO ISRC MATCH in Release_Track",and($B681&lt;&gt;"",countif('5) Release_Track'!$G:$G,$B681)=0),"NO CATALOG ID MATCH in Release_Track",iserror(vlookup($A681&amp;$B681,'5) Release_Track'!$F:$F&amp;'5) Release_Track'!$G:$G,1,0)),"NO ISRC-CATALOG ID pair MATCH in Release_Track" )</f>
        <v/>
      </c>
      <c r="F681" s="122"/>
      <c r="G681" s="99"/>
      <c r="H681" s="178"/>
      <c r="I681" s="121" t="str">
        <f t="shared" si="6"/>
        <v/>
      </c>
      <c r="J681" s="99"/>
      <c r="K681" s="99"/>
    </row>
    <row r="682">
      <c r="B682" s="103"/>
      <c r="C682" s="121" t="str">
        <f t="array" ref="C682">ifs(and(isblank($A682),isblank($B682)),"", not(iserror(vlookup($A682&amp;$B682,'5) Release_Track'!$F:$F&amp;'5) Release_Track'!$G:$G,1,0))),vlookup($A682&amp;$B682,{'5) Release_Track'!$F:$F&amp;'5) Release_Track'!$G:$G,'5) Release_Track'!$H:$H},2,0), or(and(not(isblank($B682)),$B682=$B681,$A682&lt;&gt;$A681),and(not(isblank($A682)),$A682=$A681,$B682&lt;&gt;$B681)),"ID LISTS UNALIGNED",and($A682&lt;&gt;"",countif('5) Release_Track'!$F:$F,$A682)=0),"NO ISRC MATCH in Release_Track",and($B682&lt;&gt;"",countif('5) Release_Track'!$G:$G,$B682)=0),"NO CATALOG ID MATCH in Release_Track",iserror(vlookup($A682&amp;$B682,'5) Release_Track'!$F:$F&amp;'5) Release_Track'!$G:$G,1,0)),"NO ISRC-CATALOG ID pair MATCH in Release_Track" )</f>
        <v/>
      </c>
      <c r="D682" s="121" t="str">
        <f t="array" ref="D682">ifs(and(isblank($A682),isblank($B682)),"", not(iserror(vlookup($A682&amp;$B682,'5) Release_Track'!$F:$F&amp;'5) Release_Track'!$G:$G,1,0))),vlookup($A682&amp;$B682,{'5) Release_Track'!$F:$F&amp;'5) Release_Track'!$G:$G,'5) Release_Track'!$I:$I},2,0), or(and(not(isblank($B682)),$B682=$B681,$A682&lt;&gt;$A681),and(not(isblank($A682)),$A682=$A681,$B682&lt;&gt;$B681)),"ID LISTS UNALIGNED",and($A682&lt;&gt;"",countif('5) Release_Track'!$F:$F,$A682)=0),"NO ISRC MATCH in Release_Track",and($B682&lt;&gt;"",countif('5) Release_Track'!$G:$G,$B682)=0),"NO CATALOG ID MATCH in Release_Track",iserror(vlookup($A682&amp;$B682,'5) Release_Track'!$F:$F&amp;'5) Release_Track'!$G:$G,1,0)),"NO ISRC-CATALOG ID pair MATCH in Release_Track" )</f>
        <v/>
      </c>
      <c r="E682" s="125" t="str">
        <f t="array" ref="E682">ifs(and(isblank($A682),isblank($B682)),"", not(iserror(vlookup($A682&amp;$B682,'5) Release_Track'!$F:$F&amp;'5) Release_Track'!$G:$G,1,0))),vlookup($A682&amp;$B682,{'5) Release_Track'!$F:$F&amp;'5) Release_Track'!$G:$G,'5) Release_Track'!$J:$J},2,0), or(and(not(isblank($B682)),$B682=$B681,$A682&lt;&gt;$A681),and(not(isblank($A682)),$A682=$A681,$B682&lt;&gt;$B681)),"ID LISTS UNALIGNED",and($A682&lt;&gt;"",countif('5) Release_Track'!$F:$F,$A682)=0),"NO ISRC MATCH in Release_Track",and($B682&lt;&gt;"",countif('5) Release_Track'!$G:$G,$B682)=0),"NO CATALOG ID MATCH in Release_Track",iserror(vlookup($A682&amp;$B682,'5) Release_Track'!$F:$F&amp;'5) Release_Track'!$G:$G,1,0)),"NO ISRC-CATALOG ID pair MATCH in Release_Track" )</f>
        <v/>
      </c>
      <c r="F682" s="122"/>
      <c r="G682" s="99"/>
      <c r="H682" s="178"/>
      <c r="I682" s="121" t="str">
        <f t="shared" si="6"/>
        <v/>
      </c>
      <c r="J682" s="99"/>
      <c r="K682" s="99"/>
    </row>
    <row r="683">
      <c r="B683" s="103"/>
      <c r="C683" s="121" t="str">
        <f t="array" ref="C683">ifs(and(isblank($A683),isblank($B683)),"", not(iserror(vlookup($A683&amp;$B683,'5) Release_Track'!$F:$F&amp;'5) Release_Track'!$G:$G,1,0))),vlookup($A683&amp;$B683,{'5) Release_Track'!$F:$F&amp;'5) Release_Track'!$G:$G,'5) Release_Track'!$H:$H},2,0), or(and(not(isblank($B683)),$B683=$B682,$A683&lt;&gt;$A682),and(not(isblank($A683)),$A683=$A682,$B683&lt;&gt;$B682)),"ID LISTS UNALIGNED",and($A683&lt;&gt;"",countif('5) Release_Track'!$F:$F,$A683)=0),"NO ISRC MATCH in Release_Track",and($B683&lt;&gt;"",countif('5) Release_Track'!$G:$G,$B683)=0),"NO CATALOG ID MATCH in Release_Track",iserror(vlookup($A683&amp;$B683,'5) Release_Track'!$F:$F&amp;'5) Release_Track'!$G:$G,1,0)),"NO ISRC-CATALOG ID pair MATCH in Release_Track" )</f>
        <v/>
      </c>
      <c r="D683" s="121" t="str">
        <f t="array" ref="D683">ifs(and(isblank($A683),isblank($B683)),"", not(iserror(vlookup($A683&amp;$B683,'5) Release_Track'!$F:$F&amp;'5) Release_Track'!$G:$G,1,0))),vlookup($A683&amp;$B683,{'5) Release_Track'!$F:$F&amp;'5) Release_Track'!$G:$G,'5) Release_Track'!$I:$I},2,0), or(and(not(isblank($B683)),$B683=$B682,$A683&lt;&gt;$A682),and(not(isblank($A683)),$A683=$A682,$B683&lt;&gt;$B682)),"ID LISTS UNALIGNED",and($A683&lt;&gt;"",countif('5) Release_Track'!$F:$F,$A683)=0),"NO ISRC MATCH in Release_Track",and($B683&lt;&gt;"",countif('5) Release_Track'!$G:$G,$B683)=0),"NO CATALOG ID MATCH in Release_Track",iserror(vlookup($A683&amp;$B683,'5) Release_Track'!$F:$F&amp;'5) Release_Track'!$G:$G,1,0)),"NO ISRC-CATALOG ID pair MATCH in Release_Track" )</f>
        <v/>
      </c>
      <c r="E683" s="125" t="str">
        <f t="array" ref="E683">ifs(and(isblank($A683),isblank($B683)),"", not(iserror(vlookup($A683&amp;$B683,'5) Release_Track'!$F:$F&amp;'5) Release_Track'!$G:$G,1,0))),vlookup($A683&amp;$B683,{'5) Release_Track'!$F:$F&amp;'5) Release_Track'!$G:$G,'5) Release_Track'!$J:$J},2,0), or(and(not(isblank($B683)),$B683=$B682,$A683&lt;&gt;$A682),and(not(isblank($A683)),$A683=$A682,$B683&lt;&gt;$B682)),"ID LISTS UNALIGNED",and($A683&lt;&gt;"",countif('5) Release_Track'!$F:$F,$A683)=0),"NO ISRC MATCH in Release_Track",and($B683&lt;&gt;"",countif('5) Release_Track'!$G:$G,$B683)=0),"NO CATALOG ID MATCH in Release_Track",iserror(vlookup($A683&amp;$B683,'5) Release_Track'!$F:$F&amp;'5) Release_Track'!$G:$G,1,0)),"NO ISRC-CATALOG ID pair MATCH in Release_Track" )</f>
        <v/>
      </c>
      <c r="F683" s="122"/>
      <c r="G683" s="99"/>
      <c r="H683" s="178"/>
      <c r="I683" s="121" t="str">
        <f t="shared" si="6"/>
        <v/>
      </c>
      <c r="J683" s="99"/>
      <c r="K683" s="99"/>
    </row>
    <row r="684">
      <c r="B684" s="103"/>
      <c r="C684" s="121" t="str">
        <f t="array" ref="C684">ifs(and(isblank($A684),isblank($B684)),"", not(iserror(vlookup($A684&amp;$B684,'5) Release_Track'!$F:$F&amp;'5) Release_Track'!$G:$G,1,0))),vlookup($A684&amp;$B684,{'5) Release_Track'!$F:$F&amp;'5) Release_Track'!$G:$G,'5) Release_Track'!$H:$H},2,0), or(and(not(isblank($B684)),$B684=$B683,$A684&lt;&gt;$A683),and(not(isblank($A684)),$A684=$A683,$B684&lt;&gt;$B683)),"ID LISTS UNALIGNED",and($A684&lt;&gt;"",countif('5) Release_Track'!$F:$F,$A684)=0),"NO ISRC MATCH in Release_Track",and($B684&lt;&gt;"",countif('5) Release_Track'!$G:$G,$B684)=0),"NO CATALOG ID MATCH in Release_Track",iserror(vlookup($A684&amp;$B684,'5) Release_Track'!$F:$F&amp;'5) Release_Track'!$G:$G,1,0)),"NO ISRC-CATALOG ID pair MATCH in Release_Track" )</f>
        <v/>
      </c>
      <c r="D684" s="121" t="str">
        <f t="array" ref="D684">ifs(and(isblank($A684),isblank($B684)),"", not(iserror(vlookup($A684&amp;$B684,'5) Release_Track'!$F:$F&amp;'5) Release_Track'!$G:$G,1,0))),vlookup($A684&amp;$B684,{'5) Release_Track'!$F:$F&amp;'5) Release_Track'!$G:$G,'5) Release_Track'!$I:$I},2,0), or(and(not(isblank($B684)),$B684=$B683,$A684&lt;&gt;$A683),and(not(isblank($A684)),$A684=$A683,$B684&lt;&gt;$B683)),"ID LISTS UNALIGNED",and($A684&lt;&gt;"",countif('5) Release_Track'!$F:$F,$A684)=0),"NO ISRC MATCH in Release_Track",and($B684&lt;&gt;"",countif('5) Release_Track'!$G:$G,$B684)=0),"NO CATALOG ID MATCH in Release_Track",iserror(vlookup($A684&amp;$B684,'5) Release_Track'!$F:$F&amp;'5) Release_Track'!$G:$G,1,0)),"NO ISRC-CATALOG ID pair MATCH in Release_Track" )</f>
        <v/>
      </c>
      <c r="E684" s="125" t="str">
        <f t="array" ref="E684">ifs(and(isblank($A684),isblank($B684)),"", not(iserror(vlookup($A684&amp;$B684,'5) Release_Track'!$F:$F&amp;'5) Release_Track'!$G:$G,1,0))),vlookup($A684&amp;$B684,{'5) Release_Track'!$F:$F&amp;'5) Release_Track'!$G:$G,'5) Release_Track'!$J:$J},2,0), or(and(not(isblank($B684)),$B684=$B683,$A684&lt;&gt;$A683),and(not(isblank($A684)),$A684=$A683,$B684&lt;&gt;$B683)),"ID LISTS UNALIGNED",and($A684&lt;&gt;"",countif('5) Release_Track'!$F:$F,$A684)=0),"NO ISRC MATCH in Release_Track",and($B684&lt;&gt;"",countif('5) Release_Track'!$G:$G,$B684)=0),"NO CATALOG ID MATCH in Release_Track",iserror(vlookup($A684&amp;$B684,'5) Release_Track'!$F:$F&amp;'5) Release_Track'!$G:$G,1,0)),"NO ISRC-CATALOG ID pair MATCH in Release_Track" )</f>
        <v/>
      </c>
      <c r="F684" s="122"/>
      <c r="G684" s="99"/>
      <c r="H684" s="178"/>
      <c r="I684" s="121" t="str">
        <f t="shared" si="6"/>
        <v/>
      </c>
      <c r="J684" s="99"/>
      <c r="K684" s="99"/>
    </row>
    <row r="685">
      <c r="B685" s="103"/>
      <c r="C685" s="121" t="str">
        <f t="array" ref="C685">ifs(and(isblank($A685),isblank($B685)),"", not(iserror(vlookup($A685&amp;$B685,'5) Release_Track'!$F:$F&amp;'5) Release_Track'!$G:$G,1,0))),vlookup($A685&amp;$B685,{'5) Release_Track'!$F:$F&amp;'5) Release_Track'!$G:$G,'5) Release_Track'!$H:$H},2,0), or(and(not(isblank($B685)),$B685=$B684,$A685&lt;&gt;$A684),and(not(isblank($A685)),$A685=$A684,$B685&lt;&gt;$B684)),"ID LISTS UNALIGNED",and($A685&lt;&gt;"",countif('5) Release_Track'!$F:$F,$A685)=0),"NO ISRC MATCH in Release_Track",and($B685&lt;&gt;"",countif('5) Release_Track'!$G:$G,$B685)=0),"NO CATALOG ID MATCH in Release_Track",iserror(vlookup($A685&amp;$B685,'5) Release_Track'!$F:$F&amp;'5) Release_Track'!$G:$G,1,0)),"NO ISRC-CATALOG ID pair MATCH in Release_Track" )</f>
        <v/>
      </c>
      <c r="D685" s="121" t="str">
        <f t="array" ref="D685">ifs(and(isblank($A685),isblank($B685)),"", not(iserror(vlookup($A685&amp;$B685,'5) Release_Track'!$F:$F&amp;'5) Release_Track'!$G:$G,1,0))),vlookup($A685&amp;$B685,{'5) Release_Track'!$F:$F&amp;'5) Release_Track'!$G:$G,'5) Release_Track'!$I:$I},2,0), or(and(not(isblank($B685)),$B685=$B684,$A685&lt;&gt;$A684),and(not(isblank($A685)),$A685=$A684,$B685&lt;&gt;$B684)),"ID LISTS UNALIGNED",and($A685&lt;&gt;"",countif('5) Release_Track'!$F:$F,$A685)=0),"NO ISRC MATCH in Release_Track",and($B685&lt;&gt;"",countif('5) Release_Track'!$G:$G,$B685)=0),"NO CATALOG ID MATCH in Release_Track",iserror(vlookup($A685&amp;$B685,'5) Release_Track'!$F:$F&amp;'5) Release_Track'!$G:$G,1,0)),"NO ISRC-CATALOG ID pair MATCH in Release_Track" )</f>
        <v/>
      </c>
      <c r="E685" s="125" t="str">
        <f t="array" ref="E685">ifs(and(isblank($A685),isblank($B685)),"", not(iserror(vlookup($A685&amp;$B685,'5) Release_Track'!$F:$F&amp;'5) Release_Track'!$G:$G,1,0))),vlookup($A685&amp;$B685,{'5) Release_Track'!$F:$F&amp;'5) Release_Track'!$G:$G,'5) Release_Track'!$J:$J},2,0), or(and(not(isblank($B685)),$B685=$B684,$A685&lt;&gt;$A684),and(not(isblank($A685)),$A685=$A684,$B685&lt;&gt;$B684)),"ID LISTS UNALIGNED",and($A685&lt;&gt;"",countif('5) Release_Track'!$F:$F,$A685)=0),"NO ISRC MATCH in Release_Track",and($B685&lt;&gt;"",countif('5) Release_Track'!$G:$G,$B685)=0),"NO CATALOG ID MATCH in Release_Track",iserror(vlookup($A685&amp;$B685,'5) Release_Track'!$F:$F&amp;'5) Release_Track'!$G:$G,1,0)),"NO ISRC-CATALOG ID pair MATCH in Release_Track" )</f>
        <v/>
      </c>
      <c r="F685" s="122"/>
      <c r="G685" s="99"/>
      <c r="H685" s="178"/>
      <c r="I685" s="121" t="str">
        <f t="shared" si="6"/>
        <v/>
      </c>
      <c r="J685" s="99"/>
      <c r="K685" s="99"/>
    </row>
    <row r="686">
      <c r="B686" s="103"/>
      <c r="C686" s="121" t="str">
        <f t="array" ref="C686">ifs(and(isblank($A686),isblank($B686)),"", not(iserror(vlookup($A686&amp;$B686,'5) Release_Track'!$F:$F&amp;'5) Release_Track'!$G:$G,1,0))),vlookup($A686&amp;$B686,{'5) Release_Track'!$F:$F&amp;'5) Release_Track'!$G:$G,'5) Release_Track'!$H:$H},2,0), or(and(not(isblank($B686)),$B686=$B685,$A686&lt;&gt;$A685),and(not(isblank($A686)),$A686=$A685,$B686&lt;&gt;$B685)),"ID LISTS UNALIGNED",and($A686&lt;&gt;"",countif('5) Release_Track'!$F:$F,$A686)=0),"NO ISRC MATCH in Release_Track",and($B686&lt;&gt;"",countif('5) Release_Track'!$G:$G,$B686)=0),"NO CATALOG ID MATCH in Release_Track",iserror(vlookup($A686&amp;$B686,'5) Release_Track'!$F:$F&amp;'5) Release_Track'!$G:$G,1,0)),"NO ISRC-CATALOG ID pair MATCH in Release_Track" )</f>
        <v/>
      </c>
      <c r="D686" s="121" t="str">
        <f t="array" ref="D686">ifs(and(isblank($A686),isblank($B686)),"", not(iserror(vlookup($A686&amp;$B686,'5) Release_Track'!$F:$F&amp;'5) Release_Track'!$G:$G,1,0))),vlookup($A686&amp;$B686,{'5) Release_Track'!$F:$F&amp;'5) Release_Track'!$G:$G,'5) Release_Track'!$I:$I},2,0), or(and(not(isblank($B686)),$B686=$B685,$A686&lt;&gt;$A685),and(not(isblank($A686)),$A686=$A685,$B686&lt;&gt;$B685)),"ID LISTS UNALIGNED",and($A686&lt;&gt;"",countif('5) Release_Track'!$F:$F,$A686)=0),"NO ISRC MATCH in Release_Track",and($B686&lt;&gt;"",countif('5) Release_Track'!$G:$G,$B686)=0),"NO CATALOG ID MATCH in Release_Track",iserror(vlookup($A686&amp;$B686,'5) Release_Track'!$F:$F&amp;'5) Release_Track'!$G:$G,1,0)),"NO ISRC-CATALOG ID pair MATCH in Release_Track" )</f>
        <v/>
      </c>
      <c r="E686" s="125" t="str">
        <f t="array" ref="E686">ifs(and(isblank($A686),isblank($B686)),"", not(iserror(vlookup($A686&amp;$B686,'5) Release_Track'!$F:$F&amp;'5) Release_Track'!$G:$G,1,0))),vlookup($A686&amp;$B686,{'5) Release_Track'!$F:$F&amp;'5) Release_Track'!$G:$G,'5) Release_Track'!$J:$J},2,0), or(and(not(isblank($B686)),$B686=$B685,$A686&lt;&gt;$A685),and(not(isblank($A686)),$A686=$A685,$B686&lt;&gt;$B685)),"ID LISTS UNALIGNED",and($A686&lt;&gt;"",countif('5) Release_Track'!$F:$F,$A686)=0),"NO ISRC MATCH in Release_Track",and($B686&lt;&gt;"",countif('5) Release_Track'!$G:$G,$B686)=0),"NO CATALOG ID MATCH in Release_Track",iserror(vlookup($A686&amp;$B686,'5) Release_Track'!$F:$F&amp;'5) Release_Track'!$G:$G,1,0)),"NO ISRC-CATALOG ID pair MATCH in Release_Track" )</f>
        <v/>
      </c>
      <c r="F686" s="122"/>
      <c r="G686" s="99"/>
      <c r="H686" s="178"/>
      <c r="I686" s="121" t="str">
        <f t="shared" si="6"/>
        <v/>
      </c>
      <c r="J686" s="99"/>
      <c r="K686" s="99"/>
    </row>
    <row r="687">
      <c r="B687" s="103"/>
      <c r="C687" s="121" t="str">
        <f t="array" ref="C687">ifs(and(isblank($A687),isblank($B687)),"", not(iserror(vlookup($A687&amp;$B687,'5) Release_Track'!$F:$F&amp;'5) Release_Track'!$G:$G,1,0))),vlookup($A687&amp;$B687,{'5) Release_Track'!$F:$F&amp;'5) Release_Track'!$G:$G,'5) Release_Track'!$H:$H},2,0), or(and(not(isblank($B687)),$B687=$B686,$A687&lt;&gt;$A686),and(not(isblank($A687)),$A687=$A686,$B687&lt;&gt;$B686)),"ID LISTS UNALIGNED",and($A687&lt;&gt;"",countif('5) Release_Track'!$F:$F,$A687)=0),"NO ISRC MATCH in Release_Track",and($B687&lt;&gt;"",countif('5) Release_Track'!$G:$G,$B687)=0),"NO CATALOG ID MATCH in Release_Track",iserror(vlookup($A687&amp;$B687,'5) Release_Track'!$F:$F&amp;'5) Release_Track'!$G:$G,1,0)),"NO ISRC-CATALOG ID pair MATCH in Release_Track" )</f>
        <v/>
      </c>
      <c r="D687" s="121" t="str">
        <f t="array" ref="D687">ifs(and(isblank($A687),isblank($B687)),"", not(iserror(vlookup($A687&amp;$B687,'5) Release_Track'!$F:$F&amp;'5) Release_Track'!$G:$G,1,0))),vlookup($A687&amp;$B687,{'5) Release_Track'!$F:$F&amp;'5) Release_Track'!$G:$G,'5) Release_Track'!$I:$I},2,0), or(and(not(isblank($B687)),$B687=$B686,$A687&lt;&gt;$A686),and(not(isblank($A687)),$A687=$A686,$B687&lt;&gt;$B686)),"ID LISTS UNALIGNED",and($A687&lt;&gt;"",countif('5) Release_Track'!$F:$F,$A687)=0),"NO ISRC MATCH in Release_Track",and($B687&lt;&gt;"",countif('5) Release_Track'!$G:$G,$B687)=0),"NO CATALOG ID MATCH in Release_Track",iserror(vlookup($A687&amp;$B687,'5) Release_Track'!$F:$F&amp;'5) Release_Track'!$G:$G,1,0)),"NO ISRC-CATALOG ID pair MATCH in Release_Track" )</f>
        <v/>
      </c>
      <c r="E687" s="125" t="str">
        <f t="array" ref="E687">ifs(and(isblank($A687),isblank($B687)),"", not(iserror(vlookup($A687&amp;$B687,'5) Release_Track'!$F:$F&amp;'5) Release_Track'!$G:$G,1,0))),vlookup($A687&amp;$B687,{'5) Release_Track'!$F:$F&amp;'5) Release_Track'!$G:$G,'5) Release_Track'!$J:$J},2,0), or(and(not(isblank($B687)),$B687=$B686,$A687&lt;&gt;$A686),and(not(isblank($A687)),$A687=$A686,$B687&lt;&gt;$B686)),"ID LISTS UNALIGNED",and($A687&lt;&gt;"",countif('5) Release_Track'!$F:$F,$A687)=0),"NO ISRC MATCH in Release_Track",and($B687&lt;&gt;"",countif('5) Release_Track'!$G:$G,$B687)=0),"NO CATALOG ID MATCH in Release_Track",iserror(vlookup($A687&amp;$B687,'5) Release_Track'!$F:$F&amp;'5) Release_Track'!$G:$G,1,0)),"NO ISRC-CATALOG ID pair MATCH in Release_Track" )</f>
        <v/>
      </c>
      <c r="F687" s="122"/>
      <c r="G687" s="99"/>
      <c r="H687" s="178"/>
      <c r="I687" s="121" t="str">
        <f t="shared" si="6"/>
        <v/>
      </c>
      <c r="J687" s="99"/>
      <c r="K687" s="99"/>
    </row>
    <row r="688">
      <c r="B688" s="103"/>
      <c r="C688" s="121" t="str">
        <f t="array" ref="C688">ifs(and(isblank($A688),isblank($B688)),"", not(iserror(vlookup($A688&amp;$B688,'5) Release_Track'!$F:$F&amp;'5) Release_Track'!$G:$G,1,0))),vlookup($A688&amp;$B688,{'5) Release_Track'!$F:$F&amp;'5) Release_Track'!$G:$G,'5) Release_Track'!$H:$H},2,0), or(and(not(isblank($B688)),$B688=$B687,$A688&lt;&gt;$A687),and(not(isblank($A688)),$A688=$A687,$B688&lt;&gt;$B687)),"ID LISTS UNALIGNED",and($A688&lt;&gt;"",countif('5) Release_Track'!$F:$F,$A688)=0),"NO ISRC MATCH in Release_Track",and($B688&lt;&gt;"",countif('5) Release_Track'!$G:$G,$B688)=0),"NO CATALOG ID MATCH in Release_Track",iserror(vlookup($A688&amp;$B688,'5) Release_Track'!$F:$F&amp;'5) Release_Track'!$G:$G,1,0)),"NO ISRC-CATALOG ID pair MATCH in Release_Track" )</f>
        <v/>
      </c>
      <c r="D688" s="121" t="str">
        <f t="array" ref="D688">ifs(and(isblank($A688),isblank($B688)),"", not(iserror(vlookup($A688&amp;$B688,'5) Release_Track'!$F:$F&amp;'5) Release_Track'!$G:$G,1,0))),vlookup($A688&amp;$B688,{'5) Release_Track'!$F:$F&amp;'5) Release_Track'!$G:$G,'5) Release_Track'!$I:$I},2,0), or(and(not(isblank($B688)),$B688=$B687,$A688&lt;&gt;$A687),and(not(isblank($A688)),$A688=$A687,$B688&lt;&gt;$B687)),"ID LISTS UNALIGNED",and($A688&lt;&gt;"",countif('5) Release_Track'!$F:$F,$A688)=0),"NO ISRC MATCH in Release_Track",and($B688&lt;&gt;"",countif('5) Release_Track'!$G:$G,$B688)=0),"NO CATALOG ID MATCH in Release_Track",iserror(vlookup($A688&amp;$B688,'5) Release_Track'!$F:$F&amp;'5) Release_Track'!$G:$G,1,0)),"NO ISRC-CATALOG ID pair MATCH in Release_Track" )</f>
        <v/>
      </c>
      <c r="E688" s="125" t="str">
        <f t="array" ref="E688">ifs(and(isblank($A688),isblank($B688)),"", not(iserror(vlookup($A688&amp;$B688,'5) Release_Track'!$F:$F&amp;'5) Release_Track'!$G:$G,1,0))),vlookup($A688&amp;$B688,{'5) Release_Track'!$F:$F&amp;'5) Release_Track'!$G:$G,'5) Release_Track'!$J:$J},2,0), or(and(not(isblank($B688)),$B688=$B687,$A688&lt;&gt;$A687),and(not(isblank($A688)),$A688=$A687,$B688&lt;&gt;$B687)),"ID LISTS UNALIGNED",and($A688&lt;&gt;"",countif('5) Release_Track'!$F:$F,$A688)=0),"NO ISRC MATCH in Release_Track",and($B688&lt;&gt;"",countif('5) Release_Track'!$G:$G,$B688)=0),"NO CATALOG ID MATCH in Release_Track",iserror(vlookup($A688&amp;$B688,'5) Release_Track'!$F:$F&amp;'5) Release_Track'!$G:$G,1,0)),"NO ISRC-CATALOG ID pair MATCH in Release_Track" )</f>
        <v/>
      </c>
      <c r="F688" s="122"/>
      <c r="G688" s="99"/>
      <c r="H688" s="178"/>
      <c r="I688" s="121" t="str">
        <f t="shared" si="6"/>
        <v/>
      </c>
      <c r="J688" s="99"/>
      <c r="K688" s="99"/>
    </row>
    <row r="689">
      <c r="B689" s="103"/>
      <c r="C689" s="121" t="str">
        <f t="array" ref="C689">ifs(and(isblank($A689),isblank($B689)),"", not(iserror(vlookup($A689&amp;$B689,'5) Release_Track'!$F:$F&amp;'5) Release_Track'!$G:$G,1,0))),vlookup($A689&amp;$B689,{'5) Release_Track'!$F:$F&amp;'5) Release_Track'!$G:$G,'5) Release_Track'!$H:$H},2,0), or(and(not(isblank($B689)),$B689=$B688,$A689&lt;&gt;$A688),and(not(isblank($A689)),$A689=$A688,$B689&lt;&gt;$B688)),"ID LISTS UNALIGNED",and($A689&lt;&gt;"",countif('5) Release_Track'!$F:$F,$A689)=0),"NO ISRC MATCH in Release_Track",and($B689&lt;&gt;"",countif('5) Release_Track'!$G:$G,$B689)=0),"NO CATALOG ID MATCH in Release_Track",iserror(vlookup($A689&amp;$B689,'5) Release_Track'!$F:$F&amp;'5) Release_Track'!$G:$G,1,0)),"NO ISRC-CATALOG ID pair MATCH in Release_Track" )</f>
        <v/>
      </c>
      <c r="D689" s="121" t="str">
        <f t="array" ref="D689">ifs(and(isblank($A689),isblank($B689)),"", not(iserror(vlookup($A689&amp;$B689,'5) Release_Track'!$F:$F&amp;'5) Release_Track'!$G:$G,1,0))),vlookup($A689&amp;$B689,{'5) Release_Track'!$F:$F&amp;'5) Release_Track'!$G:$G,'5) Release_Track'!$I:$I},2,0), or(and(not(isblank($B689)),$B689=$B688,$A689&lt;&gt;$A688),and(not(isblank($A689)),$A689=$A688,$B689&lt;&gt;$B688)),"ID LISTS UNALIGNED",and($A689&lt;&gt;"",countif('5) Release_Track'!$F:$F,$A689)=0),"NO ISRC MATCH in Release_Track",and($B689&lt;&gt;"",countif('5) Release_Track'!$G:$G,$B689)=0),"NO CATALOG ID MATCH in Release_Track",iserror(vlookup($A689&amp;$B689,'5) Release_Track'!$F:$F&amp;'5) Release_Track'!$G:$G,1,0)),"NO ISRC-CATALOG ID pair MATCH in Release_Track" )</f>
        <v/>
      </c>
      <c r="E689" s="125" t="str">
        <f t="array" ref="E689">ifs(and(isblank($A689),isblank($B689)),"", not(iserror(vlookup($A689&amp;$B689,'5) Release_Track'!$F:$F&amp;'5) Release_Track'!$G:$G,1,0))),vlookup($A689&amp;$B689,{'5) Release_Track'!$F:$F&amp;'5) Release_Track'!$G:$G,'5) Release_Track'!$J:$J},2,0), or(and(not(isblank($B689)),$B689=$B688,$A689&lt;&gt;$A688),and(not(isblank($A689)),$A689=$A688,$B689&lt;&gt;$B688)),"ID LISTS UNALIGNED",and($A689&lt;&gt;"",countif('5) Release_Track'!$F:$F,$A689)=0),"NO ISRC MATCH in Release_Track",and($B689&lt;&gt;"",countif('5) Release_Track'!$G:$G,$B689)=0),"NO CATALOG ID MATCH in Release_Track",iserror(vlookup($A689&amp;$B689,'5) Release_Track'!$F:$F&amp;'5) Release_Track'!$G:$G,1,0)),"NO ISRC-CATALOG ID pair MATCH in Release_Track" )</f>
        <v/>
      </c>
      <c r="F689" s="122"/>
      <c r="G689" s="99"/>
      <c r="H689" s="178"/>
      <c r="I689" s="121" t="str">
        <f t="shared" si="6"/>
        <v/>
      </c>
      <c r="J689" s="99"/>
      <c r="K689" s="99"/>
    </row>
    <row r="690">
      <c r="B690" s="103"/>
      <c r="C690" s="121" t="str">
        <f t="array" ref="C690">ifs(and(isblank($A690),isblank($B690)),"", not(iserror(vlookup($A690&amp;$B690,'5) Release_Track'!$F:$F&amp;'5) Release_Track'!$G:$G,1,0))),vlookup($A690&amp;$B690,{'5) Release_Track'!$F:$F&amp;'5) Release_Track'!$G:$G,'5) Release_Track'!$H:$H},2,0), or(and(not(isblank($B690)),$B690=$B689,$A690&lt;&gt;$A689),and(not(isblank($A690)),$A690=$A689,$B690&lt;&gt;$B689)),"ID LISTS UNALIGNED",and($A690&lt;&gt;"",countif('5) Release_Track'!$F:$F,$A690)=0),"NO ISRC MATCH in Release_Track",and($B690&lt;&gt;"",countif('5) Release_Track'!$G:$G,$B690)=0),"NO CATALOG ID MATCH in Release_Track",iserror(vlookup($A690&amp;$B690,'5) Release_Track'!$F:$F&amp;'5) Release_Track'!$G:$G,1,0)),"NO ISRC-CATALOG ID pair MATCH in Release_Track" )</f>
        <v/>
      </c>
      <c r="D690" s="121" t="str">
        <f t="array" ref="D690">ifs(and(isblank($A690),isblank($B690)),"", not(iserror(vlookup($A690&amp;$B690,'5) Release_Track'!$F:$F&amp;'5) Release_Track'!$G:$G,1,0))),vlookup($A690&amp;$B690,{'5) Release_Track'!$F:$F&amp;'5) Release_Track'!$G:$G,'5) Release_Track'!$I:$I},2,0), or(and(not(isblank($B690)),$B690=$B689,$A690&lt;&gt;$A689),and(not(isblank($A690)),$A690=$A689,$B690&lt;&gt;$B689)),"ID LISTS UNALIGNED",and($A690&lt;&gt;"",countif('5) Release_Track'!$F:$F,$A690)=0),"NO ISRC MATCH in Release_Track",and($B690&lt;&gt;"",countif('5) Release_Track'!$G:$G,$B690)=0),"NO CATALOG ID MATCH in Release_Track",iserror(vlookup($A690&amp;$B690,'5) Release_Track'!$F:$F&amp;'5) Release_Track'!$G:$G,1,0)),"NO ISRC-CATALOG ID pair MATCH in Release_Track" )</f>
        <v/>
      </c>
      <c r="E690" s="125" t="str">
        <f t="array" ref="E690">ifs(and(isblank($A690),isblank($B690)),"", not(iserror(vlookup($A690&amp;$B690,'5) Release_Track'!$F:$F&amp;'5) Release_Track'!$G:$G,1,0))),vlookup($A690&amp;$B690,{'5) Release_Track'!$F:$F&amp;'5) Release_Track'!$G:$G,'5) Release_Track'!$J:$J},2,0), or(and(not(isblank($B690)),$B690=$B689,$A690&lt;&gt;$A689),and(not(isblank($A690)),$A690=$A689,$B690&lt;&gt;$B689)),"ID LISTS UNALIGNED",and($A690&lt;&gt;"",countif('5) Release_Track'!$F:$F,$A690)=0),"NO ISRC MATCH in Release_Track",and($B690&lt;&gt;"",countif('5) Release_Track'!$G:$G,$B690)=0),"NO CATALOG ID MATCH in Release_Track",iserror(vlookup($A690&amp;$B690,'5) Release_Track'!$F:$F&amp;'5) Release_Track'!$G:$G,1,0)),"NO ISRC-CATALOG ID pair MATCH in Release_Track" )</f>
        <v/>
      </c>
      <c r="F690" s="122"/>
      <c r="G690" s="99"/>
      <c r="H690" s="178"/>
      <c r="I690" s="121" t="str">
        <f t="shared" si="6"/>
        <v/>
      </c>
      <c r="J690" s="99"/>
      <c r="K690" s="99"/>
    </row>
    <row r="691">
      <c r="B691" s="103"/>
      <c r="C691" s="121" t="str">
        <f t="array" ref="C691">ifs(and(isblank($A691),isblank($B691)),"", not(iserror(vlookup($A691&amp;$B691,'5) Release_Track'!$F:$F&amp;'5) Release_Track'!$G:$G,1,0))),vlookup($A691&amp;$B691,{'5) Release_Track'!$F:$F&amp;'5) Release_Track'!$G:$G,'5) Release_Track'!$H:$H},2,0), or(and(not(isblank($B691)),$B691=$B690,$A691&lt;&gt;$A690),and(not(isblank($A691)),$A691=$A690,$B691&lt;&gt;$B690)),"ID LISTS UNALIGNED",and($A691&lt;&gt;"",countif('5) Release_Track'!$F:$F,$A691)=0),"NO ISRC MATCH in Release_Track",and($B691&lt;&gt;"",countif('5) Release_Track'!$G:$G,$B691)=0),"NO CATALOG ID MATCH in Release_Track",iserror(vlookup($A691&amp;$B691,'5) Release_Track'!$F:$F&amp;'5) Release_Track'!$G:$G,1,0)),"NO ISRC-CATALOG ID pair MATCH in Release_Track" )</f>
        <v/>
      </c>
      <c r="D691" s="121" t="str">
        <f t="array" ref="D691">ifs(and(isblank($A691),isblank($B691)),"", not(iserror(vlookup($A691&amp;$B691,'5) Release_Track'!$F:$F&amp;'5) Release_Track'!$G:$G,1,0))),vlookup($A691&amp;$B691,{'5) Release_Track'!$F:$F&amp;'5) Release_Track'!$G:$G,'5) Release_Track'!$I:$I},2,0), or(and(not(isblank($B691)),$B691=$B690,$A691&lt;&gt;$A690),and(not(isblank($A691)),$A691=$A690,$B691&lt;&gt;$B690)),"ID LISTS UNALIGNED",and($A691&lt;&gt;"",countif('5) Release_Track'!$F:$F,$A691)=0),"NO ISRC MATCH in Release_Track",and($B691&lt;&gt;"",countif('5) Release_Track'!$G:$G,$B691)=0),"NO CATALOG ID MATCH in Release_Track",iserror(vlookup($A691&amp;$B691,'5) Release_Track'!$F:$F&amp;'5) Release_Track'!$G:$G,1,0)),"NO ISRC-CATALOG ID pair MATCH in Release_Track" )</f>
        <v/>
      </c>
      <c r="E691" s="125" t="str">
        <f t="array" ref="E691">ifs(and(isblank($A691),isblank($B691)),"", not(iserror(vlookup($A691&amp;$B691,'5) Release_Track'!$F:$F&amp;'5) Release_Track'!$G:$G,1,0))),vlookup($A691&amp;$B691,{'5) Release_Track'!$F:$F&amp;'5) Release_Track'!$G:$G,'5) Release_Track'!$J:$J},2,0), or(and(not(isblank($B691)),$B691=$B690,$A691&lt;&gt;$A690),and(not(isblank($A691)),$A691=$A690,$B691&lt;&gt;$B690)),"ID LISTS UNALIGNED",and($A691&lt;&gt;"",countif('5) Release_Track'!$F:$F,$A691)=0),"NO ISRC MATCH in Release_Track",and($B691&lt;&gt;"",countif('5) Release_Track'!$G:$G,$B691)=0),"NO CATALOG ID MATCH in Release_Track",iserror(vlookup($A691&amp;$B691,'5) Release_Track'!$F:$F&amp;'5) Release_Track'!$G:$G,1,0)),"NO ISRC-CATALOG ID pair MATCH in Release_Track" )</f>
        <v/>
      </c>
      <c r="F691" s="122"/>
      <c r="G691" s="99"/>
      <c r="H691" s="178"/>
      <c r="I691" s="121" t="str">
        <f t="shared" si="6"/>
        <v/>
      </c>
      <c r="J691" s="99"/>
      <c r="K691" s="99"/>
    </row>
    <row r="692">
      <c r="B692" s="103"/>
      <c r="C692" s="121" t="str">
        <f t="array" ref="C692">ifs(and(isblank($A692),isblank($B692)),"", not(iserror(vlookup($A692&amp;$B692,'5) Release_Track'!$F:$F&amp;'5) Release_Track'!$G:$G,1,0))),vlookup($A692&amp;$B692,{'5) Release_Track'!$F:$F&amp;'5) Release_Track'!$G:$G,'5) Release_Track'!$H:$H},2,0), or(and(not(isblank($B692)),$B692=$B691,$A692&lt;&gt;$A691),and(not(isblank($A692)),$A692=$A691,$B692&lt;&gt;$B691)),"ID LISTS UNALIGNED",and($A692&lt;&gt;"",countif('5) Release_Track'!$F:$F,$A692)=0),"NO ISRC MATCH in Release_Track",and($B692&lt;&gt;"",countif('5) Release_Track'!$G:$G,$B692)=0),"NO CATALOG ID MATCH in Release_Track",iserror(vlookup($A692&amp;$B692,'5) Release_Track'!$F:$F&amp;'5) Release_Track'!$G:$G,1,0)),"NO ISRC-CATALOG ID pair MATCH in Release_Track" )</f>
        <v/>
      </c>
      <c r="D692" s="121" t="str">
        <f t="array" ref="D692">ifs(and(isblank($A692),isblank($B692)),"", not(iserror(vlookup($A692&amp;$B692,'5) Release_Track'!$F:$F&amp;'5) Release_Track'!$G:$G,1,0))),vlookup($A692&amp;$B692,{'5) Release_Track'!$F:$F&amp;'5) Release_Track'!$G:$G,'5) Release_Track'!$I:$I},2,0), or(and(not(isblank($B692)),$B692=$B691,$A692&lt;&gt;$A691),and(not(isblank($A692)),$A692=$A691,$B692&lt;&gt;$B691)),"ID LISTS UNALIGNED",and($A692&lt;&gt;"",countif('5) Release_Track'!$F:$F,$A692)=0),"NO ISRC MATCH in Release_Track",and($B692&lt;&gt;"",countif('5) Release_Track'!$G:$G,$B692)=0),"NO CATALOG ID MATCH in Release_Track",iserror(vlookup($A692&amp;$B692,'5) Release_Track'!$F:$F&amp;'5) Release_Track'!$G:$G,1,0)),"NO ISRC-CATALOG ID pair MATCH in Release_Track" )</f>
        <v/>
      </c>
      <c r="E692" s="125" t="str">
        <f t="array" ref="E692">ifs(and(isblank($A692),isblank($B692)),"", not(iserror(vlookup($A692&amp;$B692,'5) Release_Track'!$F:$F&amp;'5) Release_Track'!$G:$G,1,0))),vlookup($A692&amp;$B692,{'5) Release_Track'!$F:$F&amp;'5) Release_Track'!$G:$G,'5) Release_Track'!$J:$J},2,0), or(and(not(isblank($B692)),$B692=$B691,$A692&lt;&gt;$A691),and(not(isblank($A692)),$A692=$A691,$B692&lt;&gt;$B691)),"ID LISTS UNALIGNED",and($A692&lt;&gt;"",countif('5) Release_Track'!$F:$F,$A692)=0),"NO ISRC MATCH in Release_Track",and($B692&lt;&gt;"",countif('5) Release_Track'!$G:$G,$B692)=0),"NO CATALOG ID MATCH in Release_Track",iserror(vlookup($A692&amp;$B692,'5) Release_Track'!$F:$F&amp;'5) Release_Track'!$G:$G,1,0)),"NO ISRC-CATALOG ID pair MATCH in Release_Track" )</f>
        <v/>
      </c>
      <c r="F692" s="122"/>
      <c r="G692" s="99"/>
      <c r="H692" s="178"/>
      <c r="I692" s="121" t="str">
        <f t="shared" si="6"/>
        <v/>
      </c>
      <c r="J692" s="99"/>
      <c r="K692" s="99"/>
    </row>
    <row r="693">
      <c r="B693" s="103"/>
      <c r="C693" s="121" t="str">
        <f t="array" ref="C693">ifs(and(isblank($A693),isblank($B693)),"", not(iserror(vlookup($A693&amp;$B693,'5) Release_Track'!$F:$F&amp;'5) Release_Track'!$G:$G,1,0))),vlookup($A693&amp;$B693,{'5) Release_Track'!$F:$F&amp;'5) Release_Track'!$G:$G,'5) Release_Track'!$H:$H},2,0), or(and(not(isblank($B693)),$B693=$B692,$A693&lt;&gt;$A692),and(not(isblank($A693)),$A693=$A692,$B693&lt;&gt;$B692)),"ID LISTS UNALIGNED",and($A693&lt;&gt;"",countif('5) Release_Track'!$F:$F,$A693)=0),"NO ISRC MATCH in Release_Track",and($B693&lt;&gt;"",countif('5) Release_Track'!$G:$G,$B693)=0),"NO CATALOG ID MATCH in Release_Track",iserror(vlookup($A693&amp;$B693,'5) Release_Track'!$F:$F&amp;'5) Release_Track'!$G:$G,1,0)),"NO ISRC-CATALOG ID pair MATCH in Release_Track" )</f>
        <v/>
      </c>
      <c r="D693" s="121" t="str">
        <f t="array" ref="D693">ifs(and(isblank($A693),isblank($B693)),"", not(iserror(vlookup($A693&amp;$B693,'5) Release_Track'!$F:$F&amp;'5) Release_Track'!$G:$G,1,0))),vlookup($A693&amp;$B693,{'5) Release_Track'!$F:$F&amp;'5) Release_Track'!$G:$G,'5) Release_Track'!$I:$I},2,0), or(and(not(isblank($B693)),$B693=$B692,$A693&lt;&gt;$A692),and(not(isblank($A693)),$A693=$A692,$B693&lt;&gt;$B692)),"ID LISTS UNALIGNED",and($A693&lt;&gt;"",countif('5) Release_Track'!$F:$F,$A693)=0),"NO ISRC MATCH in Release_Track",and($B693&lt;&gt;"",countif('5) Release_Track'!$G:$G,$B693)=0),"NO CATALOG ID MATCH in Release_Track",iserror(vlookup($A693&amp;$B693,'5) Release_Track'!$F:$F&amp;'5) Release_Track'!$G:$G,1,0)),"NO ISRC-CATALOG ID pair MATCH in Release_Track" )</f>
        <v/>
      </c>
      <c r="E693" s="125" t="str">
        <f t="array" ref="E693">ifs(and(isblank($A693),isblank($B693)),"", not(iserror(vlookup($A693&amp;$B693,'5) Release_Track'!$F:$F&amp;'5) Release_Track'!$G:$G,1,0))),vlookup($A693&amp;$B693,{'5) Release_Track'!$F:$F&amp;'5) Release_Track'!$G:$G,'5) Release_Track'!$J:$J},2,0), or(and(not(isblank($B693)),$B693=$B692,$A693&lt;&gt;$A692),and(not(isblank($A693)),$A693=$A692,$B693&lt;&gt;$B692)),"ID LISTS UNALIGNED",and($A693&lt;&gt;"",countif('5) Release_Track'!$F:$F,$A693)=0),"NO ISRC MATCH in Release_Track",and($B693&lt;&gt;"",countif('5) Release_Track'!$G:$G,$B693)=0),"NO CATALOG ID MATCH in Release_Track",iserror(vlookup($A693&amp;$B693,'5) Release_Track'!$F:$F&amp;'5) Release_Track'!$G:$G,1,0)),"NO ISRC-CATALOG ID pair MATCH in Release_Track" )</f>
        <v/>
      </c>
      <c r="F693" s="122"/>
      <c r="G693" s="99"/>
      <c r="H693" s="178"/>
      <c r="I693" s="121" t="str">
        <f t="shared" si="6"/>
        <v/>
      </c>
      <c r="J693" s="99"/>
      <c r="K693" s="99"/>
    </row>
    <row r="694">
      <c r="B694" s="103"/>
      <c r="C694" s="121" t="str">
        <f t="array" ref="C694">ifs(and(isblank($A694),isblank($B694)),"", not(iserror(vlookup($A694&amp;$B694,'5) Release_Track'!$F:$F&amp;'5) Release_Track'!$G:$G,1,0))),vlookup($A694&amp;$B694,{'5) Release_Track'!$F:$F&amp;'5) Release_Track'!$G:$G,'5) Release_Track'!$H:$H},2,0), or(and(not(isblank($B694)),$B694=$B693,$A694&lt;&gt;$A693),and(not(isblank($A694)),$A694=$A693,$B694&lt;&gt;$B693)),"ID LISTS UNALIGNED",and($A694&lt;&gt;"",countif('5) Release_Track'!$F:$F,$A694)=0),"NO ISRC MATCH in Release_Track",and($B694&lt;&gt;"",countif('5) Release_Track'!$G:$G,$B694)=0),"NO CATALOG ID MATCH in Release_Track",iserror(vlookup($A694&amp;$B694,'5) Release_Track'!$F:$F&amp;'5) Release_Track'!$G:$G,1,0)),"NO ISRC-CATALOG ID pair MATCH in Release_Track" )</f>
        <v/>
      </c>
      <c r="D694" s="121" t="str">
        <f t="array" ref="D694">ifs(and(isblank($A694),isblank($B694)),"", not(iserror(vlookup($A694&amp;$B694,'5) Release_Track'!$F:$F&amp;'5) Release_Track'!$G:$G,1,0))),vlookup($A694&amp;$B694,{'5) Release_Track'!$F:$F&amp;'5) Release_Track'!$G:$G,'5) Release_Track'!$I:$I},2,0), or(and(not(isblank($B694)),$B694=$B693,$A694&lt;&gt;$A693),and(not(isblank($A694)),$A694=$A693,$B694&lt;&gt;$B693)),"ID LISTS UNALIGNED",and($A694&lt;&gt;"",countif('5) Release_Track'!$F:$F,$A694)=0),"NO ISRC MATCH in Release_Track",and($B694&lt;&gt;"",countif('5) Release_Track'!$G:$G,$B694)=0),"NO CATALOG ID MATCH in Release_Track",iserror(vlookup($A694&amp;$B694,'5) Release_Track'!$F:$F&amp;'5) Release_Track'!$G:$G,1,0)),"NO ISRC-CATALOG ID pair MATCH in Release_Track" )</f>
        <v/>
      </c>
      <c r="E694" s="125" t="str">
        <f t="array" ref="E694">ifs(and(isblank($A694),isblank($B694)),"", not(iserror(vlookup($A694&amp;$B694,'5) Release_Track'!$F:$F&amp;'5) Release_Track'!$G:$G,1,0))),vlookup($A694&amp;$B694,{'5) Release_Track'!$F:$F&amp;'5) Release_Track'!$G:$G,'5) Release_Track'!$J:$J},2,0), or(and(not(isblank($B694)),$B694=$B693,$A694&lt;&gt;$A693),and(not(isblank($A694)),$A694=$A693,$B694&lt;&gt;$B693)),"ID LISTS UNALIGNED",and($A694&lt;&gt;"",countif('5) Release_Track'!$F:$F,$A694)=0),"NO ISRC MATCH in Release_Track",and($B694&lt;&gt;"",countif('5) Release_Track'!$G:$G,$B694)=0),"NO CATALOG ID MATCH in Release_Track",iserror(vlookup($A694&amp;$B694,'5) Release_Track'!$F:$F&amp;'5) Release_Track'!$G:$G,1,0)),"NO ISRC-CATALOG ID pair MATCH in Release_Track" )</f>
        <v/>
      </c>
      <c r="F694" s="122"/>
      <c r="G694" s="99"/>
      <c r="H694" s="178"/>
      <c r="I694" s="121" t="str">
        <f t="shared" si="6"/>
        <v/>
      </c>
      <c r="J694" s="99"/>
      <c r="K694" s="99"/>
    </row>
    <row r="695">
      <c r="B695" s="103"/>
      <c r="C695" s="121" t="str">
        <f t="array" ref="C695">ifs(and(isblank($A695),isblank($B695)),"", not(iserror(vlookup($A695&amp;$B695,'5) Release_Track'!$F:$F&amp;'5) Release_Track'!$G:$G,1,0))),vlookup($A695&amp;$B695,{'5) Release_Track'!$F:$F&amp;'5) Release_Track'!$G:$G,'5) Release_Track'!$H:$H},2,0), or(and(not(isblank($B695)),$B695=$B694,$A695&lt;&gt;$A694),and(not(isblank($A695)),$A695=$A694,$B695&lt;&gt;$B694)),"ID LISTS UNALIGNED",and($A695&lt;&gt;"",countif('5) Release_Track'!$F:$F,$A695)=0),"NO ISRC MATCH in Release_Track",and($B695&lt;&gt;"",countif('5) Release_Track'!$G:$G,$B695)=0),"NO CATALOG ID MATCH in Release_Track",iserror(vlookup($A695&amp;$B695,'5) Release_Track'!$F:$F&amp;'5) Release_Track'!$G:$G,1,0)),"NO ISRC-CATALOG ID pair MATCH in Release_Track" )</f>
        <v/>
      </c>
      <c r="D695" s="121" t="str">
        <f t="array" ref="D695">ifs(and(isblank($A695),isblank($B695)),"", not(iserror(vlookup($A695&amp;$B695,'5) Release_Track'!$F:$F&amp;'5) Release_Track'!$G:$G,1,0))),vlookup($A695&amp;$B695,{'5) Release_Track'!$F:$F&amp;'5) Release_Track'!$G:$G,'5) Release_Track'!$I:$I},2,0), or(and(not(isblank($B695)),$B695=$B694,$A695&lt;&gt;$A694),and(not(isblank($A695)),$A695=$A694,$B695&lt;&gt;$B694)),"ID LISTS UNALIGNED",and($A695&lt;&gt;"",countif('5) Release_Track'!$F:$F,$A695)=0),"NO ISRC MATCH in Release_Track",and($B695&lt;&gt;"",countif('5) Release_Track'!$G:$G,$B695)=0),"NO CATALOG ID MATCH in Release_Track",iserror(vlookup($A695&amp;$B695,'5) Release_Track'!$F:$F&amp;'5) Release_Track'!$G:$G,1,0)),"NO ISRC-CATALOG ID pair MATCH in Release_Track" )</f>
        <v/>
      </c>
      <c r="E695" s="125" t="str">
        <f t="array" ref="E695">ifs(and(isblank($A695),isblank($B695)),"", not(iserror(vlookup($A695&amp;$B695,'5) Release_Track'!$F:$F&amp;'5) Release_Track'!$G:$G,1,0))),vlookup($A695&amp;$B695,{'5) Release_Track'!$F:$F&amp;'5) Release_Track'!$G:$G,'5) Release_Track'!$J:$J},2,0), or(and(not(isblank($B695)),$B695=$B694,$A695&lt;&gt;$A694),and(not(isblank($A695)),$A695=$A694,$B695&lt;&gt;$B694)),"ID LISTS UNALIGNED",and($A695&lt;&gt;"",countif('5) Release_Track'!$F:$F,$A695)=0),"NO ISRC MATCH in Release_Track",and($B695&lt;&gt;"",countif('5) Release_Track'!$G:$G,$B695)=0),"NO CATALOG ID MATCH in Release_Track",iserror(vlookup($A695&amp;$B695,'5) Release_Track'!$F:$F&amp;'5) Release_Track'!$G:$G,1,0)),"NO ISRC-CATALOG ID pair MATCH in Release_Track" )</f>
        <v/>
      </c>
      <c r="F695" s="122"/>
      <c r="G695" s="99"/>
      <c r="H695" s="178"/>
      <c r="I695" s="121" t="str">
        <f t="shared" si="6"/>
        <v/>
      </c>
      <c r="J695" s="99"/>
      <c r="K695" s="99"/>
    </row>
    <row r="696">
      <c r="B696" s="103"/>
      <c r="C696" s="121" t="str">
        <f t="array" ref="C696">ifs(and(isblank($A696),isblank($B696)),"", not(iserror(vlookup($A696&amp;$B696,'5) Release_Track'!$F:$F&amp;'5) Release_Track'!$G:$G,1,0))),vlookup($A696&amp;$B696,{'5) Release_Track'!$F:$F&amp;'5) Release_Track'!$G:$G,'5) Release_Track'!$H:$H},2,0), or(and(not(isblank($B696)),$B696=$B695,$A696&lt;&gt;$A695),and(not(isblank($A696)),$A696=$A695,$B696&lt;&gt;$B695)),"ID LISTS UNALIGNED",and($A696&lt;&gt;"",countif('5) Release_Track'!$F:$F,$A696)=0),"NO ISRC MATCH in Release_Track",and($B696&lt;&gt;"",countif('5) Release_Track'!$G:$G,$B696)=0),"NO CATALOG ID MATCH in Release_Track",iserror(vlookup($A696&amp;$B696,'5) Release_Track'!$F:$F&amp;'5) Release_Track'!$G:$G,1,0)),"NO ISRC-CATALOG ID pair MATCH in Release_Track" )</f>
        <v/>
      </c>
      <c r="D696" s="121" t="str">
        <f t="array" ref="D696">ifs(and(isblank($A696),isblank($B696)),"", not(iserror(vlookup($A696&amp;$B696,'5) Release_Track'!$F:$F&amp;'5) Release_Track'!$G:$G,1,0))),vlookup($A696&amp;$B696,{'5) Release_Track'!$F:$F&amp;'5) Release_Track'!$G:$G,'5) Release_Track'!$I:$I},2,0), or(and(not(isblank($B696)),$B696=$B695,$A696&lt;&gt;$A695),and(not(isblank($A696)),$A696=$A695,$B696&lt;&gt;$B695)),"ID LISTS UNALIGNED",and($A696&lt;&gt;"",countif('5) Release_Track'!$F:$F,$A696)=0),"NO ISRC MATCH in Release_Track",and($B696&lt;&gt;"",countif('5) Release_Track'!$G:$G,$B696)=0),"NO CATALOG ID MATCH in Release_Track",iserror(vlookup($A696&amp;$B696,'5) Release_Track'!$F:$F&amp;'5) Release_Track'!$G:$G,1,0)),"NO ISRC-CATALOG ID pair MATCH in Release_Track" )</f>
        <v/>
      </c>
      <c r="E696" s="125" t="str">
        <f t="array" ref="E696">ifs(and(isblank($A696),isblank($B696)),"", not(iserror(vlookup($A696&amp;$B696,'5) Release_Track'!$F:$F&amp;'5) Release_Track'!$G:$G,1,0))),vlookup($A696&amp;$B696,{'5) Release_Track'!$F:$F&amp;'5) Release_Track'!$G:$G,'5) Release_Track'!$J:$J},2,0), or(and(not(isblank($B696)),$B696=$B695,$A696&lt;&gt;$A695),and(not(isblank($A696)),$A696=$A695,$B696&lt;&gt;$B695)),"ID LISTS UNALIGNED",and($A696&lt;&gt;"",countif('5) Release_Track'!$F:$F,$A696)=0),"NO ISRC MATCH in Release_Track",and($B696&lt;&gt;"",countif('5) Release_Track'!$G:$G,$B696)=0),"NO CATALOG ID MATCH in Release_Track",iserror(vlookup($A696&amp;$B696,'5) Release_Track'!$F:$F&amp;'5) Release_Track'!$G:$G,1,0)),"NO ISRC-CATALOG ID pair MATCH in Release_Track" )</f>
        <v/>
      </c>
      <c r="F696" s="122"/>
      <c r="G696" s="99"/>
      <c r="H696" s="178"/>
      <c r="I696" s="121" t="str">
        <f t="shared" si="6"/>
        <v/>
      </c>
      <c r="J696" s="99"/>
      <c r="K696" s="99"/>
    </row>
    <row r="697">
      <c r="B697" s="103"/>
      <c r="C697" s="121" t="str">
        <f t="array" ref="C697">ifs(and(isblank($A697),isblank($B697)),"", not(iserror(vlookup($A697&amp;$B697,'5) Release_Track'!$F:$F&amp;'5) Release_Track'!$G:$G,1,0))),vlookup($A697&amp;$B697,{'5) Release_Track'!$F:$F&amp;'5) Release_Track'!$G:$G,'5) Release_Track'!$H:$H},2,0), or(and(not(isblank($B697)),$B697=$B696,$A697&lt;&gt;$A696),and(not(isblank($A697)),$A697=$A696,$B697&lt;&gt;$B696)),"ID LISTS UNALIGNED",and($A697&lt;&gt;"",countif('5) Release_Track'!$F:$F,$A697)=0),"NO ISRC MATCH in Release_Track",and($B697&lt;&gt;"",countif('5) Release_Track'!$G:$G,$B697)=0),"NO CATALOG ID MATCH in Release_Track",iserror(vlookup($A697&amp;$B697,'5) Release_Track'!$F:$F&amp;'5) Release_Track'!$G:$G,1,0)),"NO ISRC-CATALOG ID pair MATCH in Release_Track" )</f>
        <v/>
      </c>
      <c r="D697" s="121" t="str">
        <f t="array" ref="D697">ifs(and(isblank($A697),isblank($B697)),"", not(iserror(vlookup($A697&amp;$B697,'5) Release_Track'!$F:$F&amp;'5) Release_Track'!$G:$G,1,0))),vlookup($A697&amp;$B697,{'5) Release_Track'!$F:$F&amp;'5) Release_Track'!$G:$G,'5) Release_Track'!$I:$I},2,0), or(and(not(isblank($B697)),$B697=$B696,$A697&lt;&gt;$A696),and(not(isblank($A697)),$A697=$A696,$B697&lt;&gt;$B696)),"ID LISTS UNALIGNED",and($A697&lt;&gt;"",countif('5) Release_Track'!$F:$F,$A697)=0),"NO ISRC MATCH in Release_Track",and($B697&lt;&gt;"",countif('5) Release_Track'!$G:$G,$B697)=0),"NO CATALOG ID MATCH in Release_Track",iserror(vlookup($A697&amp;$B697,'5) Release_Track'!$F:$F&amp;'5) Release_Track'!$G:$G,1,0)),"NO ISRC-CATALOG ID pair MATCH in Release_Track" )</f>
        <v/>
      </c>
      <c r="E697" s="125" t="str">
        <f t="array" ref="E697">ifs(and(isblank($A697),isblank($B697)),"", not(iserror(vlookup($A697&amp;$B697,'5) Release_Track'!$F:$F&amp;'5) Release_Track'!$G:$G,1,0))),vlookup($A697&amp;$B697,{'5) Release_Track'!$F:$F&amp;'5) Release_Track'!$G:$G,'5) Release_Track'!$J:$J},2,0), or(and(not(isblank($B697)),$B697=$B696,$A697&lt;&gt;$A696),and(not(isblank($A697)),$A697=$A696,$B697&lt;&gt;$B696)),"ID LISTS UNALIGNED",and($A697&lt;&gt;"",countif('5) Release_Track'!$F:$F,$A697)=0),"NO ISRC MATCH in Release_Track",and($B697&lt;&gt;"",countif('5) Release_Track'!$G:$G,$B697)=0),"NO CATALOG ID MATCH in Release_Track",iserror(vlookup($A697&amp;$B697,'5) Release_Track'!$F:$F&amp;'5) Release_Track'!$G:$G,1,0)),"NO ISRC-CATALOG ID pair MATCH in Release_Track" )</f>
        <v/>
      </c>
      <c r="F697" s="122"/>
      <c r="G697" s="99"/>
      <c r="H697" s="178"/>
      <c r="I697" s="121" t="str">
        <f t="shared" si="6"/>
        <v/>
      </c>
      <c r="J697" s="99"/>
      <c r="K697" s="99"/>
    </row>
    <row r="698">
      <c r="B698" s="103"/>
      <c r="C698" s="121" t="str">
        <f t="array" ref="C698">ifs(and(isblank($A698),isblank($B698)),"", not(iserror(vlookup($A698&amp;$B698,'5) Release_Track'!$F:$F&amp;'5) Release_Track'!$G:$G,1,0))),vlookup($A698&amp;$B698,{'5) Release_Track'!$F:$F&amp;'5) Release_Track'!$G:$G,'5) Release_Track'!$H:$H},2,0), or(and(not(isblank($B698)),$B698=$B697,$A698&lt;&gt;$A697),and(not(isblank($A698)),$A698=$A697,$B698&lt;&gt;$B697)),"ID LISTS UNALIGNED",and($A698&lt;&gt;"",countif('5) Release_Track'!$F:$F,$A698)=0),"NO ISRC MATCH in Release_Track",and($B698&lt;&gt;"",countif('5) Release_Track'!$G:$G,$B698)=0),"NO CATALOG ID MATCH in Release_Track",iserror(vlookup($A698&amp;$B698,'5) Release_Track'!$F:$F&amp;'5) Release_Track'!$G:$G,1,0)),"NO ISRC-CATALOG ID pair MATCH in Release_Track" )</f>
        <v/>
      </c>
      <c r="D698" s="121" t="str">
        <f t="array" ref="D698">ifs(and(isblank($A698),isblank($B698)),"", not(iserror(vlookup($A698&amp;$B698,'5) Release_Track'!$F:$F&amp;'5) Release_Track'!$G:$G,1,0))),vlookup($A698&amp;$B698,{'5) Release_Track'!$F:$F&amp;'5) Release_Track'!$G:$G,'5) Release_Track'!$I:$I},2,0), or(and(not(isblank($B698)),$B698=$B697,$A698&lt;&gt;$A697),and(not(isblank($A698)),$A698=$A697,$B698&lt;&gt;$B697)),"ID LISTS UNALIGNED",and($A698&lt;&gt;"",countif('5) Release_Track'!$F:$F,$A698)=0),"NO ISRC MATCH in Release_Track",and($B698&lt;&gt;"",countif('5) Release_Track'!$G:$G,$B698)=0),"NO CATALOG ID MATCH in Release_Track",iserror(vlookup($A698&amp;$B698,'5) Release_Track'!$F:$F&amp;'5) Release_Track'!$G:$G,1,0)),"NO ISRC-CATALOG ID pair MATCH in Release_Track" )</f>
        <v/>
      </c>
      <c r="E698" s="125" t="str">
        <f t="array" ref="E698">ifs(and(isblank($A698),isblank($B698)),"", not(iserror(vlookup($A698&amp;$B698,'5) Release_Track'!$F:$F&amp;'5) Release_Track'!$G:$G,1,0))),vlookup($A698&amp;$B698,{'5) Release_Track'!$F:$F&amp;'5) Release_Track'!$G:$G,'5) Release_Track'!$J:$J},2,0), or(and(not(isblank($B698)),$B698=$B697,$A698&lt;&gt;$A697),and(not(isblank($A698)),$A698=$A697,$B698&lt;&gt;$B697)),"ID LISTS UNALIGNED",and($A698&lt;&gt;"",countif('5) Release_Track'!$F:$F,$A698)=0),"NO ISRC MATCH in Release_Track",and($B698&lt;&gt;"",countif('5) Release_Track'!$G:$G,$B698)=0),"NO CATALOG ID MATCH in Release_Track",iserror(vlookup($A698&amp;$B698,'5) Release_Track'!$F:$F&amp;'5) Release_Track'!$G:$G,1,0)),"NO ISRC-CATALOG ID pair MATCH in Release_Track" )</f>
        <v/>
      </c>
      <c r="F698" s="122"/>
      <c r="G698" s="99"/>
      <c r="H698" s="178"/>
      <c r="I698" s="121" t="str">
        <f t="shared" si="6"/>
        <v/>
      </c>
      <c r="J698" s="99"/>
      <c r="K698" s="99"/>
    </row>
    <row r="699">
      <c r="B699" s="103"/>
      <c r="C699" s="121" t="str">
        <f t="array" ref="C699">ifs(and(isblank($A699),isblank($B699)),"", not(iserror(vlookup($A699&amp;$B699,'5) Release_Track'!$F:$F&amp;'5) Release_Track'!$G:$G,1,0))),vlookup($A699&amp;$B699,{'5) Release_Track'!$F:$F&amp;'5) Release_Track'!$G:$G,'5) Release_Track'!$H:$H},2,0), or(and(not(isblank($B699)),$B699=$B698,$A699&lt;&gt;$A698),and(not(isblank($A699)),$A699=$A698,$B699&lt;&gt;$B698)),"ID LISTS UNALIGNED",and($A699&lt;&gt;"",countif('5) Release_Track'!$F:$F,$A699)=0),"NO ISRC MATCH in Release_Track",and($B699&lt;&gt;"",countif('5) Release_Track'!$G:$G,$B699)=0),"NO CATALOG ID MATCH in Release_Track",iserror(vlookup($A699&amp;$B699,'5) Release_Track'!$F:$F&amp;'5) Release_Track'!$G:$G,1,0)),"NO ISRC-CATALOG ID pair MATCH in Release_Track" )</f>
        <v/>
      </c>
      <c r="D699" s="121" t="str">
        <f t="array" ref="D699">ifs(and(isblank($A699),isblank($B699)),"", not(iserror(vlookup($A699&amp;$B699,'5) Release_Track'!$F:$F&amp;'5) Release_Track'!$G:$G,1,0))),vlookup($A699&amp;$B699,{'5) Release_Track'!$F:$F&amp;'5) Release_Track'!$G:$G,'5) Release_Track'!$I:$I},2,0), or(and(not(isblank($B699)),$B699=$B698,$A699&lt;&gt;$A698),and(not(isblank($A699)),$A699=$A698,$B699&lt;&gt;$B698)),"ID LISTS UNALIGNED",and($A699&lt;&gt;"",countif('5) Release_Track'!$F:$F,$A699)=0),"NO ISRC MATCH in Release_Track",and($B699&lt;&gt;"",countif('5) Release_Track'!$G:$G,$B699)=0),"NO CATALOG ID MATCH in Release_Track",iserror(vlookup($A699&amp;$B699,'5) Release_Track'!$F:$F&amp;'5) Release_Track'!$G:$G,1,0)),"NO ISRC-CATALOG ID pair MATCH in Release_Track" )</f>
        <v/>
      </c>
      <c r="E699" s="125" t="str">
        <f t="array" ref="E699">ifs(and(isblank($A699),isblank($B699)),"", not(iserror(vlookup($A699&amp;$B699,'5) Release_Track'!$F:$F&amp;'5) Release_Track'!$G:$G,1,0))),vlookup($A699&amp;$B699,{'5) Release_Track'!$F:$F&amp;'5) Release_Track'!$G:$G,'5) Release_Track'!$J:$J},2,0), or(and(not(isblank($B699)),$B699=$B698,$A699&lt;&gt;$A698),and(not(isblank($A699)),$A699=$A698,$B699&lt;&gt;$B698)),"ID LISTS UNALIGNED",and($A699&lt;&gt;"",countif('5) Release_Track'!$F:$F,$A699)=0),"NO ISRC MATCH in Release_Track",and($B699&lt;&gt;"",countif('5) Release_Track'!$G:$G,$B699)=0),"NO CATALOG ID MATCH in Release_Track",iserror(vlookup($A699&amp;$B699,'5) Release_Track'!$F:$F&amp;'5) Release_Track'!$G:$G,1,0)),"NO ISRC-CATALOG ID pair MATCH in Release_Track" )</f>
        <v/>
      </c>
      <c r="F699" s="122"/>
      <c r="G699" s="99"/>
      <c r="H699" s="178"/>
      <c r="I699" s="121" t="str">
        <f t="shared" si="6"/>
        <v/>
      </c>
      <c r="J699" s="99"/>
      <c r="K699" s="99"/>
    </row>
    <row r="700">
      <c r="B700" s="103"/>
      <c r="C700" s="121" t="str">
        <f t="array" ref="C700">ifs(and(isblank($A700),isblank($B700)),"", not(iserror(vlookup($A700&amp;$B700,'5) Release_Track'!$F:$F&amp;'5) Release_Track'!$G:$G,1,0))),vlookup($A700&amp;$B700,{'5) Release_Track'!$F:$F&amp;'5) Release_Track'!$G:$G,'5) Release_Track'!$H:$H},2,0), or(and(not(isblank($B700)),$B700=$B699,$A700&lt;&gt;$A699),and(not(isblank($A700)),$A700=$A699,$B700&lt;&gt;$B699)),"ID LISTS UNALIGNED",and($A700&lt;&gt;"",countif('5) Release_Track'!$F:$F,$A700)=0),"NO ISRC MATCH in Release_Track",and($B700&lt;&gt;"",countif('5) Release_Track'!$G:$G,$B700)=0),"NO CATALOG ID MATCH in Release_Track",iserror(vlookup($A700&amp;$B700,'5) Release_Track'!$F:$F&amp;'5) Release_Track'!$G:$G,1,0)),"NO ISRC-CATALOG ID pair MATCH in Release_Track" )</f>
        <v/>
      </c>
      <c r="D700" s="121" t="str">
        <f t="array" ref="D700">ifs(and(isblank($A700),isblank($B700)),"", not(iserror(vlookup($A700&amp;$B700,'5) Release_Track'!$F:$F&amp;'5) Release_Track'!$G:$G,1,0))),vlookup($A700&amp;$B700,{'5) Release_Track'!$F:$F&amp;'5) Release_Track'!$G:$G,'5) Release_Track'!$I:$I},2,0), or(and(not(isblank($B700)),$B700=$B699,$A700&lt;&gt;$A699),and(not(isblank($A700)),$A700=$A699,$B700&lt;&gt;$B699)),"ID LISTS UNALIGNED",and($A700&lt;&gt;"",countif('5) Release_Track'!$F:$F,$A700)=0),"NO ISRC MATCH in Release_Track",and($B700&lt;&gt;"",countif('5) Release_Track'!$G:$G,$B700)=0),"NO CATALOG ID MATCH in Release_Track",iserror(vlookup($A700&amp;$B700,'5) Release_Track'!$F:$F&amp;'5) Release_Track'!$G:$G,1,0)),"NO ISRC-CATALOG ID pair MATCH in Release_Track" )</f>
        <v/>
      </c>
      <c r="E700" s="125" t="str">
        <f t="array" ref="E700">ifs(and(isblank($A700),isblank($B700)),"", not(iserror(vlookup($A700&amp;$B700,'5) Release_Track'!$F:$F&amp;'5) Release_Track'!$G:$G,1,0))),vlookup($A700&amp;$B700,{'5) Release_Track'!$F:$F&amp;'5) Release_Track'!$G:$G,'5) Release_Track'!$J:$J},2,0), or(and(not(isblank($B700)),$B700=$B699,$A700&lt;&gt;$A699),and(not(isblank($A700)),$A700=$A699,$B700&lt;&gt;$B699)),"ID LISTS UNALIGNED",and($A700&lt;&gt;"",countif('5) Release_Track'!$F:$F,$A700)=0),"NO ISRC MATCH in Release_Track",and($B700&lt;&gt;"",countif('5) Release_Track'!$G:$G,$B700)=0),"NO CATALOG ID MATCH in Release_Track",iserror(vlookup($A700&amp;$B700,'5) Release_Track'!$F:$F&amp;'5) Release_Track'!$G:$G,1,0)),"NO ISRC-CATALOG ID pair MATCH in Release_Track" )</f>
        <v/>
      </c>
      <c r="F700" s="122"/>
      <c r="G700" s="99"/>
      <c r="H700" s="178"/>
      <c r="I700" s="121" t="str">
        <f t="shared" si="6"/>
        <v/>
      </c>
      <c r="J700" s="99"/>
      <c r="K700" s="99"/>
    </row>
    <row r="701">
      <c r="B701" s="103"/>
      <c r="C701" s="121" t="str">
        <f t="array" ref="C701">ifs(and(isblank($A701),isblank($B701)),"", not(iserror(vlookup($A701&amp;$B701,'5) Release_Track'!$F:$F&amp;'5) Release_Track'!$G:$G,1,0))),vlookup($A701&amp;$B701,{'5) Release_Track'!$F:$F&amp;'5) Release_Track'!$G:$G,'5) Release_Track'!$H:$H},2,0), or(and(not(isblank($B701)),$B701=$B700,$A701&lt;&gt;$A700),and(not(isblank($A701)),$A701=$A700,$B701&lt;&gt;$B700)),"ID LISTS UNALIGNED",and($A701&lt;&gt;"",countif('5) Release_Track'!$F:$F,$A701)=0),"NO ISRC MATCH in Release_Track",and($B701&lt;&gt;"",countif('5) Release_Track'!$G:$G,$B701)=0),"NO CATALOG ID MATCH in Release_Track",iserror(vlookup($A701&amp;$B701,'5) Release_Track'!$F:$F&amp;'5) Release_Track'!$G:$G,1,0)),"NO ISRC-CATALOG ID pair MATCH in Release_Track" )</f>
        <v/>
      </c>
      <c r="D701" s="121" t="str">
        <f t="array" ref="D701">ifs(and(isblank($A701),isblank($B701)),"", not(iserror(vlookup($A701&amp;$B701,'5) Release_Track'!$F:$F&amp;'5) Release_Track'!$G:$G,1,0))),vlookup($A701&amp;$B701,{'5) Release_Track'!$F:$F&amp;'5) Release_Track'!$G:$G,'5) Release_Track'!$I:$I},2,0), or(and(not(isblank($B701)),$B701=$B700,$A701&lt;&gt;$A700),and(not(isblank($A701)),$A701=$A700,$B701&lt;&gt;$B700)),"ID LISTS UNALIGNED",and($A701&lt;&gt;"",countif('5) Release_Track'!$F:$F,$A701)=0),"NO ISRC MATCH in Release_Track",and($B701&lt;&gt;"",countif('5) Release_Track'!$G:$G,$B701)=0),"NO CATALOG ID MATCH in Release_Track",iserror(vlookup($A701&amp;$B701,'5) Release_Track'!$F:$F&amp;'5) Release_Track'!$G:$G,1,0)),"NO ISRC-CATALOG ID pair MATCH in Release_Track" )</f>
        <v/>
      </c>
      <c r="E701" s="125" t="str">
        <f t="array" ref="E701">ifs(and(isblank($A701),isblank($B701)),"", not(iserror(vlookup($A701&amp;$B701,'5) Release_Track'!$F:$F&amp;'5) Release_Track'!$G:$G,1,0))),vlookup($A701&amp;$B701,{'5) Release_Track'!$F:$F&amp;'5) Release_Track'!$G:$G,'5) Release_Track'!$J:$J},2,0), or(and(not(isblank($B701)),$B701=$B700,$A701&lt;&gt;$A700),and(not(isblank($A701)),$A701=$A700,$B701&lt;&gt;$B700)),"ID LISTS UNALIGNED",and($A701&lt;&gt;"",countif('5) Release_Track'!$F:$F,$A701)=0),"NO ISRC MATCH in Release_Track",and($B701&lt;&gt;"",countif('5) Release_Track'!$G:$G,$B701)=0),"NO CATALOG ID MATCH in Release_Track",iserror(vlookup($A701&amp;$B701,'5) Release_Track'!$F:$F&amp;'5) Release_Track'!$G:$G,1,0)),"NO ISRC-CATALOG ID pair MATCH in Release_Track" )</f>
        <v/>
      </c>
      <c r="F701" s="122"/>
      <c r="G701" s="99"/>
      <c r="H701" s="178"/>
      <c r="I701" s="121" t="str">
        <f t="shared" si="6"/>
        <v/>
      </c>
      <c r="J701" s="99"/>
      <c r="K701" s="99"/>
    </row>
    <row r="702">
      <c r="B702" s="103"/>
      <c r="C702" s="121" t="str">
        <f t="array" ref="C702">ifs(and(isblank($A702),isblank($B702)),"", not(iserror(vlookup($A702&amp;$B702,'5) Release_Track'!$F:$F&amp;'5) Release_Track'!$G:$G,1,0))),vlookup($A702&amp;$B702,{'5) Release_Track'!$F:$F&amp;'5) Release_Track'!$G:$G,'5) Release_Track'!$H:$H},2,0), or(and(not(isblank($B702)),$B702=$B701,$A702&lt;&gt;$A701),and(not(isblank($A702)),$A702=$A701,$B702&lt;&gt;$B701)),"ID LISTS UNALIGNED",and($A702&lt;&gt;"",countif('5) Release_Track'!$F:$F,$A702)=0),"NO ISRC MATCH in Release_Track",and($B702&lt;&gt;"",countif('5) Release_Track'!$G:$G,$B702)=0),"NO CATALOG ID MATCH in Release_Track",iserror(vlookup($A702&amp;$B702,'5) Release_Track'!$F:$F&amp;'5) Release_Track'!$G:$G,1,0)),"NO ISRC-CATALOG ID pair MATCH in Release_Track" )</f>
        <v/>
      </c>
      <c r="D702" s="121" t="str">
        <f t="array" ref="D702">ifs(and(isblank($A702),isblank($B702)),"", not(iserror(vlookup($A702&amp;$B702,'5) Release_Track'!$F:$F&amp;'5) Release_Track'!$G:$G,1,0))),vlookup($A702&amp;$B702,{'5) Release_Track'!$F:$F&amp;'5) Release_Track'!$G:$G,'5) Release_Track'!$I:$I},2,0), or(and(not(isblank($B702)),$B702=$B701,$A702&lt;&gt;$A701),and(not(isblank($A702)),$A702=$A701,$B702&lt;&gt;$B701)),"ID LISTS UNALIGNED",and($A702&lt;&gt;"",countif('5) Release_Track'!$F:$F,$A702)=0),"NO ISRC MATCH in Release_Track",and($B702&lt;&gt;"",countif('5) Release_Track'!$G:$G,$B702)=0),"NO CATALOG ID MATCH in Release_Track",iserror(vlookup($A702&amp;$B702,'5) Release_Track'!$F:$F&amp;'5) Release_Track'!$G:$G,1,0)),"NO ISRC-CATALOG ID pair MATCH in Release_Track" )</f>
        <v/>
      </c>
      <c r="E702" s="125" t="str">
        <f t="array" ref="E702">ifs(and(isblank($A702),isblank($B702)),"", not(iserror(vlookup($A702&amp;$B702,'5) Release_Track'!$F:$F&amp;'5) Release_Track'!$G:$G,1,0))),vlookup($A702&amp;$B702,{'5) Release_Track'!$F:$F&amp;'5) Release_Track'!$G:$G,'5) Release_Track'!$J:$J},2,0), or(and(not(isblank($B702)),$B702=$B701,$A702&lt;&gt;$A701),and(not(isblank($A702)),$A702=$A701,$B702&lt;&gt;$B701)),"ID LISTS UNALIGNED",and($A702&lt;&gt;"",countif('5) Release_Track'!$F:$F,$A702)=0),"NO ISRC MATCH in Release_Track",and($B702&lt;&gt;"",countif('5) Release_Track'!$G:$G,$B702)=0),"NO CATALOG ID MATCH in Release_Track",iserror(vlookup($A702&amp;$B702,'5) Release_Track'!$F:$F&amp;'5) Release_Track'!$G:$G,1,0)),"NO ISRC-CATALOG ID pair MATCH in Release_Track" )</f>
        <v/>
      </c>
      <c r="F702" s="122"/>
      <c r="G702" s="99"/>
      <c r="H702" s="178"/>
      <c r="I702" s="121" t="str">
        <f t="shared" si="6"/>
        <v/>
      </c>
      <c r="J702" s="99"/>
      <c r="K702" s="99"/>
    </row>
    <row r="703">
      <c r="B703" s="103"/>
      <c r="C703" s="121" t="str">
        <f t="array" ref="C703">ifs(and(isblank($A703),isblank($B703)),"", not(iserror(vlookup($A703&amp;$B703,'5) Release_Track'!$F:$F&amp;'5) Release_Track'!$G:$G,1,0))),vlookup($A703&amp;$B703,{'5) Release_Track'!$F:$F&amp;'5) Release_Track'!$G:$G,'5) Release_Track'!$H:$H},2,0), or(and(not(isblank($B703)),$B703=$B702,$A703&lt;&gt;$A702),and(not(isblank($A703)),$A703=$A702,$B703&lt;&gt;$B702)),"ID LISTS UNALIGNED",and($A703&lt;&gt;"",countif('5) Release_Track'!$F:$F,$A703)=0),"NO ISRC MATCH in Release_Track",and($B703&lt;&gt;"",countif('5) Release_Track'!$G:$G,$B703)=0),"NO CATALOG ID MATCH in Release_Track",iserror(vlookup($A703&amp;$B703,'5) Release_Track'!$F:$F&amp;'5) Release_Track'!$G:$G,1,0)),"NO ISRC-CATALOG ID pair MATCH in Release_Track" )</f>
        <v/>
      </c>
      <c r="D703" s="121" t="str">
        <f t="array" ref="D703">ifs(and(isblank($A703),isblank($B703)),"", not(iserror(vlookup($A703&amp;$B703,'5) Release_Track'!$F:$F&amp;'5) Release_Track'!$G:$G,1,0))),vlookup($A703&amp;$B703,{'5) Release_Track'!$F:$F&amp;'5) Release_Track'!$G:$G,'5) Release_Track'!$I:$I},2,0), or(and(not(isblank($B703)),$B703=$B702,$A703&lt;&gt;$A702),and(not(isblank($A703)),$A703=$A702,$B703&lt;&gt;$B702)),"ID LISTS UNALIGNED",and($A703&lt;&gt;"",countif('5) Release_Track'!$F:$F,$A703)=0),"NO ISRC MATCH in Release_Track",and($B703&lt;&gt;"",countif('5) Release_Track'!$G:$G,$B703)=0),"NO CATALOG ID MATCH in Release_Track",iserror(vlookup($A703&amp;$B703,'5) Release_Track'!$F:$F&amp;'5) Release_Track'!$G:$G,1,0)),"NO ISRC-CATALOG ID pair MATCH in Release_Track" )</f>
        <v/>
      </c>
      <c r="E703" s="125" t="str">
        <f t="array" ref="E703">ifs(and(isblank($A703),isblank($B703)),"", not(iserror(vlookup($A703&amp;$B703,'5) Release_Track'!$F:$F&amp;'5) Release_Track'!$G:$G,1,0))),vlookup($A703&amp;$B703,{'5) Release_Track'!$F:$F&amp;'5) Release_Track'!$G:$G,'5) Release_Track'!$J:$J},2,0), or(and(not(isblank($B703)),$B703=$B702,$A703&lt;&gt;$A702),and(not(isblank($A703)),$A703=$A702,$B703&lt;&gt;$B702)),"ID LISTS UNALIGNED",and($A703&lt;&gt;"",countif('5) Release_Track'!$F:$F,$A703)=0),"NO ISRC MATCH in Release_Track",and($B703&lt;&gt;"",countif('5) Release_Track'!$G:$G,$B703)=0),"NO CATALOG ID MATCH in Release_Track",iserror(vlookup($A703&amp;$B703,'5) Release_Track'!$F:$F&amp;'5) Release_Track'!$G:$G,1,0)),"NO ISRC-CATALOG ID pair MATCH in Release_Track" )</f>
        <v/>
      </c>
      <c r="F703" s="122"/>
      <c r="G703" s="99"/>
      <c r="H703" s="178"/>
      <c r="I703" s="121" t="str">
        <f t="shared" si="6"/>
        <v/>
      </c>
      <c r="J703" s="99"/>
      <c r="K703" s="99"/>
    </row>
    <row r="704">
      <c r="B704" s="103"/>
      <c r="C704" s="121" t="str">
        <f t="array" ref="C704">ifs(and(isblank($A704),isblank($B704)),"", not(iserror(vlookup($A704&amp;$B704,'5) Release_Track'!$F:$F&amp;'5) Release_Track'!$G:$G,1,0))),vlookup($A704&amp;$B704,{'5) Release_Track'!$F:$F&amp;'5) Release_Track'!$G:$G,'5) Release_Track'!$H:$H},2,0), or(and(not(isblank($B704)),$B704=$B703,$A704&lt;&gt;$A703),and(not(isblank($A704)),$A704=$A703,$B704&lt;&gt;$B703)),"ID LISTS UNALIGNED",and($A704&lt;&gt;"",countif('5) Release_Track'!$F:$F,$A704)=0),"NO ISRC MATCH in Release_Track",and($B704&lt;&gt;"",countif('5) Release_Track'!$G:$G,$B704)=0),"NO CATALOG ID MATCH in Release_Track",iserror(vlookup($A704&amp;$B704,'5) Release_Track'!$F:$F&amp;'5) Release_Track'!$G:$G,1,0)),"NO ISRC-CATALOG ID pair MATCH in Release_Track" )</f>
        <v/>
      </c>
      <c r="D704" s="121" t="str">
        <f t="array" ref="D704">ifs(and(isblank($A704),isblank($B704)),"", not(iserror(vlookup($A704&amp;$B704,'5) Release_Track'!$F:$F&amp;'5) Release_Track'!$G:$G,1,0))),vlookup($A704&amp;$B704,{'5) Release_Track'!$F:$F&amp;'5) Release_Track'!$G:$G,'5) Release_Track'!$I:$I},2,0), or(and(not(isblank($B704)),$B704=$B703,$A704&lt;&gt;$A703),and(not(isblank($A704)),$A704=$A703,$B704&lt;&gt;$B703)),"ID LISTS UNALIGNED",and($A704&lt;&gt;"",countif('5) Release_Track'!$F:$F,$A704)=0),"NO ISRC MATCH in Release_Track",and($B704&lt;&gt;"",countif('5) Release_Track'!$G:$G,$B704)=0),"NO CATALOG ID MATCH in Release_Track",iserror(vlookup($A704&amp;$B704,'5) Release_Track'!$F:$F&amp;'5) Release_Track'!$G:$G,1,0)),"NO ISRC-CATALOG ID pair MATCH in Release_Track" )</f>
        <v/>
      </c>
      <c r="E704" s="125" t="str">
        <f t="array" ref="E704">ifs(and(isblank($A704),isblank($B704)),"", not(iserror(vlookup($A704&amp;$B704,'5) Release_Track'!$F:$F&amp;'5) Release_Track'!$G:$G,1,0))),vlookup($A704&amp;$B704,{'5) Release_Track'!$F:$F&amp;'5) Release_Track'!$G:$G,'5) Release_Track'!$J:$J},2,0), or(and(not(isblank($B704)),$B704=$B703,$A704&lt;&gt;$A703),and(not(isblank($A704)),$A704=$A703,$B704&lt;&gt;$B703)),"ID LISTS UNALIGNED",and($A704&lt;&gt;"",countif('5) Release_Track'!$F:$F,$A704)=0),"NO ISRC MATCH in Release_Track",and($B704&lt;&gt;"",countif('5) Release_Track'!$G:$G,$B704)=0),"NO CATALOG ID MATCH in Release_Track",iserror(vlookup($A704&amp;$B704,'5) Release_Track'!$F:$F&amp;'5) Release_Track'!$G:$G,1,0)),"NO ISRC-CATALOG ID pair MATCH in Release_Track" )</f>
        <v/>
      </c>
      <c r="F704" s="122"/>
      <c r="G704" s="99"/>
      <c r="H704" s="178"/>
      <c r="I704" s="121" t="str">
        <f t="shared" si="6"/>
        <v/>
      </c>
      <c r="J704" s="99"/>
      <c r="K704" s="99"/>
    </row>
    <row r="705">
      <c r="B705" s="103"/>
      <c r="C705" s="121" t="str">
        <f t="array" ref="C705">ifs(and(isblank($A705),isblank($B705)),"", not(iserror(vlookup($A705&amp;$B705,'5) Release_Track'!$F:$F&amp;'5) Release_Track'!$G:$G,1,0))),vlookup($A705&amp;$B705,{'5) Release_Track'!$F:$F&amp;'5) Release_Track'!$G:$G,'5) Release_Track'!$H:$H},2,0), or(and(not(isblank($B705)),$B705=$B704,$A705&lt;&gt;$A704),and(not(isblank($A705)),$A705=$A704,$B705&lt;&gt;$B704)),"ID LISTS UNALIGNED",and($A705&lt;&gt;"",countif('5) Release_Track'!$F:$F,$A705)=0),"NO ISRC MATCH in Release_Track",and($B705&lt;&gt;"",countif('5) Release_Track'!$G:$G,$B705)=0),"NO CATALOG ID MATCH in Release_Track",iserror(vlookup($A705&amp;$B705,'5) Release_Track'!$F:$F&amp;'5) Release_Track'!$G:$G,1,0)),"NO ISRC-CATALOG ID pair MATCH in Release_Track" )</f>
        <v/>
      </c>
      <c r="D705" s="121" t="str">
        <f t="array" ref="D705">ifs(and(isblank($A705),isblank($B705)),"", not(iserror(vlookup($A705&amp;$B705,'5) Release_Track'!$F:$F&amp;'5) Release_Track'!$G:$G,1,0))),vlookup($A705&amp;$B705,{'5) Release_Track'!$F:$F&amp;'5) Release_Track'!$G:$G,'5) Release_Track'!$I:$I},2,0), or(and(not(isblank($B705)),$B705=$B704,$A705&lt;&gt;$A704),and(not(isblank($A705)),$A705=$A704,$B705&lt;&gt;$B704)),"ID LISTS UNALIGNED",and($A705&lt;&gt;"",countif('5) Release_Track'!$F:$F,$A705)=0),"NO ISRC MATCH in Release_Track",and($B705&lt;&gt;"",countif('5) Release_Track'!$G:$G,$B705)=0),"NO CATALOG ID MATCH in Release_Track",iserror(vlookup($A705&amp;$B705,'5) Release_Track'!$F:$F&amp;'5) Release_Track'!$G:$G,1,0)),"NO ISRC-CATALOG ID pair MATCH in Release_Track" )</f>
        <v/>
      </c>
      <c r="E705" s="125" t="str">
        <f t="array" ref="E705">ifs(and(isblank($A705),isblank($B705)),"", not(iserror(vlookup($A705&amp;$B705,'5) Release_Track'!$F:$F&amp;'5) Release_Track'!$G:$G,1,0))),vlookup($A705&amp;$B705,{'5) Release_Track'!$F:$F&amp;'5) Release_Track'!$G:$G,'5) Release_Track'!$J:$J},2,0), or(and(not(isblank($B705)),$B705=$B704,$A705&lt;&gt;$A704),and(not(isblank($A705)),$A705=$A704,$B705&lt;&gt;$B704)),"ID LISTS UNALIGNED",and($A705&lt;&gt;"",countif('5) Release_Track'!$F:$F,$A705)=0),"NO ISRC MATCH in Release_Track",and($B705&lt;&gt;"",countif('5) Release_Track'!$G:$G,$B705)=0),"NO CATALOG ID MATCH in Release_Track",iserror(vlookup($A705&amp;$B705,'5) Release_Track'!$F:$F&amp;'5) Release_Track'!$G:$G,1,0)),"NO ISRC-CATALOG ID pair MATCH in Release_Track" )</f>
        <v/>
      </c>
      <c r="F705" s="122"/>
      <c r="G705" s="99"/>
      <c r="H705" s="178"/>
      <c r="I705" s="121" t="str">
        <f t="shared" si="6"/>
        <v/>
      </c>
      <c r="J705" s="99"/>
      <c r="K705" s="99"/>
    </row>
    <row r="706">
      <c r="B706" s="103"/>
      <c r="C706" s="121" t="str">
        <f t="array" ref="C706">ifs(and(isblank($A706),isblank($B706)),"", not(iserror(vlookup($A706&amp;$B706,'5) Release_Track'!$F:$F&amp;'5) Release_Track'!$G:$G,1,0))),vlookup($A706&amp;$B706,{'5) Release_Track'!$F:$F&amp;'5) Release_Track'!$G:$G,'5) Release_Track'!$H:$H},2,0), or(and(not(isblank($B706)),$B706=$B705,$A706&lt;&gt;$A705),and(not(isblank($A706)),$A706=$A705,$B706&lt;&gt;$B705)),"ID LISTS UNALIGNED",and($A706&lt;&gt;"",countif('5) Release_Track'!$F:$F,$A706)=0),"NO ISRC MATCH in Release_Track",and($B706&lt;&gt;"",countif('5) Release_Track'!$G:$G,$B706)=0),"NO CATALOG ID MATCH in Release_Track",iserror(vlookup($A706&amp;$B706,'5) Release_Track'!$F:$F&amp;'5) Release_Track'!$G:$G,1,0)),"NO ISRC-CATALOG ID pair MATCH in Release_Track" )</f>
        <v/>
      </c>
      <c r="D706" s="121" t="str">
        <f t="array" ref="D706">ifs(and(isblank($A706),isblank($B706)),"", not(iserror(vlookup($A706&amp;$B706,'5) Release_Track'!$F:$F&amp;'5) Release_Track'!$G:$G,1,0))),vlookup($A706&amp;$B706,{'5) Release_Track'!$F:$F&amp;'5) Release_Track'!$G:$G,'5) Release_Track'!$I:$I},2,0), or(and(not(isblank($B706)),$B706=$B705,$A706&lt;&gt;$A705),and(not(isblank($A706)),$A706=$A705,$B706&lt;&gt;$B705)),"ID LISTS UNALIGNED",and($A706&lt;&gt;"",countif('5) Release_Track'!$F:$F,$A706)=0),"NO ISRC MATCH in Release_Track",and($B706&lt;&gt;"",countif('5) Release_Track'!$G:$G,$B706)=0),"NO CATALOG ID MATCH in Release_Track",iserror(vlookup($A706&amp;$B706,'5) Release_Track'!$F:$F&amp;'5) Release_Track'!$G:$G,1,0)),"NO ISRC-CATALOG ID pair MATCH in Release_Track" )</f>
        <v/>
      </c>
      <c r="E706" s="125" t="str">
        <f t="array" ref="E706">ifs(and(isblank($A706),isblank($B706)),"", not(iserror(vlookup($A706&amp;$B706,'5) Release_Track'!$F:$F&amp;'5) Release_Track'!$G:$G,1,0))),vlookup($A706&amp;$B706,{'5) Release_Track'!$F:$F&amp;'5) Release_Track'!$G:$G,'5) Release_Track'!$J:$J},2,0), or(and(not(isblank($B706)),$B706=$B705,$A706&lt;&gt;$A705),and(not(isblank($A706)),$A706=$A705,$B706&lt;&gt;$B705)),"ID LISTS UNALIGNED",and($A706&lt;&gt;"",countif('5) Release_Track'!$F:$F,$A706)=0),"NO ISRC MATCH in Release_Track",and($B706&lt;&gt;"",countif('5) Release_Track'!$G:$G,$B706)=0),"NO CATALOG ID MATCH in Release_Track",iserror(vlookup($A706&amp;$B706,'5) Release_Track'!$F:$F&amp;'5) Release_Track'!$G:$G,1,0)),"NO ISRC-CATALOG ID pair MATCH in Release_Track" )</f>
        <v/>
      </c>
      <c r="F706" s="122"/>
      <c r="G706" s="99"/>
      <c r="H706" s="178"/>
      <c r="I706" s="121" t="str">
        <f t="shared" si="6"/>
        <v/>
      </c>
      <c r="J706" s="99"/>
      <c r="K706" s="99"/>
    </row>
    <row r="707">
      <c r="B707" s="103"/>
      <c r="C707" s="121" t="str">
        <f t="array" ref="C707">ifs(and(isblank($A707),isblank($B707)),"", not(iserror(vlookup($A707&amp;$B707,'5) Release_Track'!$F:$F&amp;'5) Release_Track'!$G:$G,1,0))),vlookup($A707&amp;$B707,{'5) Release_Track'!$F:$F&amp;'5) Release_Track'!$G:$G,'5) Release_Track'!$H:$H},2,0), or(and(not(isblank($B707)),$B707=$B706,$A707&lt;&gt;$A706),and(not(isblank($A707)),$A707=$A706,$B707&lt;&gt;$B706)),"ID LISTS UNALIGNED",and($A707&lt;&gt;"",countif('5) Release_Track'!$F:$F,$A707)=0),"NO ISRC MATCH in Release_Track",and($B707&lt;&gt;"",countif('5) Release_Track'!$G:$G,$B707)=0),"NO CATALOG ID MATCH in Release_Track",iserror(vlookup($A707&amp;$B707,'5) Release_Track'!$F:$F&amp;'5) Release_Track'!$G:$G,1,0)),"NO ISRC-CATALOG ID pair MATCH in Release_Track" )</f>
        <v/>
      </c>
      <c r="D707" s="121" t="str">
        <f t="array" ref="D707">ifs(and(isblank($A707),isblank($B707)),"", not(iserror(vlookup($A707&amp;$B707,'5) Release_Track'!$F:$F&amp;'5) Release_Track'!$G:$G,1,0))),vlookup($A707&amp;$B707,{'5) Release_Track'!$F:$F&amp;'5) Release_Track'!$G:$G,'5) Release_Track'!$I:$I},2,0), or(and(not(isblank($B707)),$B707=$B706,$A707&lt;&gt;$A706),and(not(isblank($A707)),$A707=$A706,$B707&lt;&gt;$B706)),"ID LISTS UNALIGNED",and($A707&lt;&gt;"",countif('5) Release_Track'!$F:$F,$A707)=0),"NO ISRC MATCH in Release_Track",and($B707&lt;&gt;"",countif('5) Release_Track'!$G:$G,$B707)=0),"NO CATALOG ID MATCH in Release_Track",iserror(vlookup($A707&amp;$B707,'5) Release_Track'!$F:$F&amp;'5) Release_Track'!$G:$G,1,0)),"NO ISRC-CATALOG ID pair MATCH in Release_Track" )</f>
        <v/>
      </c>
      <c r="E707" s="125" t="str">
        <f t="array" ref="E707">ifs(and(isblank($A707),isblank($B707)),"", not(iserror(vlookup($A707&amp;$B707,'5) Release_Track'!$F:$F&amp;'5) Release_Track'!$G:$G,1,0))),vlookup($A707&amp;$B707,{'5) Release_Track'!$F:$F&amp;'5) Release_Track'!$G:$G,'5) Release_Track'!$J:$J},2,0), or(and(not(isblank($B707)),$B707=$B706,$A707&lt;&gt;$A706),and(not(isblank($A707)),$A707=$A706,$B707&lt;&gt;$B706)),"ID LISTS UNALIGNED",and($A707&lt;&gt;"",countif('5) Release_Track'!$F:$F,$A707)=0),"NO ISRC MATCH in Release_Track",and($B707&lt;&gt;"",countif('5) Release_Track'!$G:$G,$B707)=0),"NO CATALOG ID MATCH in Release_Track",iserror(vlookup($A707&amp;$B707,'5) Release_Track'!$F:$F&amp;'5) Release_Track'!$G:$G,1,0)),"NO ISRC-CATALOG ID pair MATCH in Release_Track" )</f>
        <v/>
      </c>
      <c r="F707" s="122"/>
      <c r="G707" s="99"/>
      <c r="H707" s="178"/>
      <c r="I707" s="121" t="str">
        <f t="shared" si="6"/>
        <v/>
      </c>
      <c r="J707" s="99"/>
      <c r="K707" s="99"/>
    </row>
    <row r="708">
      <c r="B708" s="103"/>
      <c r="C708" s="121" t="str">
        <f t="array" ref="C708">ifs(and(isblank($A708),isblank($B708)),"", not(iserror(vlookup($A708&amp;$B708,'5) Release_Track'!$F:$F&amp;'5) Release_Track'!$G:$G,1,0))),vlookup($A708&amp;$B708,{'5) Release_Track'!$F:$F&amp;'5) Release_Track'!$G:$G,'5) Release_Track'!$H:$H},2,0), or(and(not(isblank($B708)),$B708=$B707,$A708&lt;&gt;$A707),and(not(isblank($A708)),$A708=$A707,$B708&lt;&gt;$B707)),"ID LISTS UNALIGNED",and($A708&lt;&gt;"",countif('5) Release_Track'!$F:$F,$A708)=0),"NO ISRC MATCH in Release_Track",and($B708&lt;&gt;"",countif('5) Release_Track'!$G:$G,$B708)=0),"NO CATALOG ID MATCH in Release_Track",iserror(vlookup($A708&amp;$B708,'5) Release_Track'!$F:$F&amp;'5) Release_Track'!$G:$G,1,0)),"NO ISRC-CATALOG ID pair MATCH in Release_Track" )</f>
        <v/>
      </c>
      <c r="D708" s="121" t="str">
        <f t="array" ref="D708">ifs(and(isblank($A708),isblank($B708)),"", not(iserror(vlookup($A708&amp;$B708,'5) Release_Track'!$F:$F&amp;'5) Release_Track'!$G:$G,1,0))),vlookup($A708&amp;$B708,{'5) Release_Track'!$F:$F&amp;'5) Release_Track'!$G:$G,'5) Release_Track'!$I:$I},2,0), or(and(not(isblank($B708)),$B708=$B707,$A708&lt;&gt;$A707),and(not(isblank($A708)),$A708=$A707,$B708&lt;&gt;$B707)),"ID LISTS UNALIGNED",and($A708&lt;&gt;"",countif('5) Release_Track'!$F:$F,$A708)=0),"NO ISRC MATCH in Release_Track",and($B708&lt;&gt;"",countif('5) Release_Track'!$G:$G,$B708)=0),"NO CATALOG ID MATCH in Release_Track",iserror(vlookup($A708&amp;$B708,'5) Release_Track'!$F:$F&amp;'5) Release_Track'!$G:$G,1,0)),"NO ISRC-CATALOG ID pair MATCH in Release_Track" )</f>
        <v/>
      </c>
      <c r="E708" s="125" t="str">
        <f t="array" ref="E708">ifs(and(isblank($A708),isblank($B708)),"", not(iserror(vlookup($A708&amp;$B708,'5) Release_Track'!$F:$F&amp;'5) Release_Track'!$G:$G,1,0))),vlookup($A708&amp;$B708,{'5) Release_Track'!$F:$F&amp;'5) Release_Track'!$G:$G,'5) Release_Track'!$J:$J},2,0), or(and(not(isblank($B708)),$B708=$B707,$A708&lt;&gt;$A707),and(not(isblank($A708)),$A708=$A707,$B708&lt;&gt;$B707)),"ID LISTS UNALIGNED",and($A708&lt;&gt;"",countif('5) Release_Track'!$F:$F,$A708)=0),"NO ISRC MATCH in Release_Track",and($B708&lt;&gt;"",countif('5) Release_Track'!$G:$G,$B708)=0),"NO CATALOG ID MATCH in Release_Track",iserror(vlookup($A708&amp;$B708,'5) Release_Track'!$F:$F&amp;'5) Release_Track'!$G:$G,1,0)),"NO ISRC-CATALOG ID pair MATCH in Release_Track" )</f>
        <v/>
      </c>
      <c r="F708" s="122"/>
      <c r="G708" s="99"/>
      <c r="H708" s="178"/>
      <c r="I708" s="121" t="str">
        <f t="shared" si="6"/>
        <v/>
      </c>
      <c r="J708" s="99"/>
      <c r="K708" s="99"/>
    </row>
    <row r="709">
      <c r="B709" s="103"/>
      <c r="C709" s="121" t="str">
        <f t="array" ref="C709">ifs(and(isblank($A709),isblank($B709)),"", not(iserror(vlookup($A709&amp;$B709,'5) Release_Track'!$F:$F&amp;'5) Release_Track'!$G:$G,1,0))),vlookup($A709&amp;$B709,{'5) Release_Track'!$F:$F&amp;'5) Release_Track'!$G:$G,'5) Release_Track'!$H:$H},2,0), or(and(not(isblank($B709)),$B709=$B708,$A709&lt;&gt;$A708),and(not(isblank($A709)),$A709=$A708,$B709&lt;&gt;$B708)),"ID LISTS UNALIGNED",and($A709&lt;&gt;"",countif('5) Release_Track'!$F:$F,$A709)=0),"NO ISRC MATCH in Release_Track",and($B709&lt;&gt;"",countif('5) Release_Track'!$G:$G,$B709)=0),"NO CATALOG ID MATCH in Release_Track",iserror(vlookup($A709&amp;$B709,'5) Release_Track'!$F:$F&amp;'5) Release_Track'!$G:$G,1,0)),"NO ISRC-CATALOG ID pair MATCH in Release_Track" )</f>
        <v/>
      </c>
      <c r="D709" s="121" t="str">
        <f t="array" ref="D709">ifs(and(isblank($A709),isblank($B709)),"", not(iserror(vlookup($A709&amp;$B709,'5) Release_Track'!$F:$F&amp;'5) Release_Track'!$G:$G,1,0))),vlookup($A709&amp;$B709,{'5) Release_Track'!$F:$F&amp;'5) Release_Track'!$G:$G,'5) Release_Track'!$I:$I},2,0), or(and(not(isblank($B709)),$B709=$B708,$A709&lt;&gt;$A708),and(not(isblank($A709)),$A709=$A708,$B709&lt;&gt;$B708)),"ID LISTS UNALIGNED",and($A709&lt;&gt;"",countif('5) Release_Track'!$F:$F,$A709)=0),"NO ISRC MATCH in Release_Track",and($B709&lt;&gt;"",countif('5) Release_Track'!$G:$G,$B709)=0),"NO CATALOG ID MATCH in Release_Track",iserror(vlookup($A709&amp;$B709,'5) Release_Track'!$F:$F&amp;'5) Release_Track'!$G:$G,1,0)),"NO ISRC-CATALOG ID pair MATCH in Release_Track" )</f>
        <v/>
      </c>
      <c r="E709" s="125" t="str">
        <f t="array" ref="E709">ifs(and(isblank($A709),isblank($B709)),"", not(iserror(vlookup($A709&amp;$B709,'5) Release_Track'!$F:$F&amp;'5) Release_Track'!$G:$G,1,0))),vlookup($A709&amp;$B709,{'5) Release_Track'!$F:$F&amp;'5) Release_Track'!$G:$G,'5) Release_Track'!$J:$J},2,0), or(and(not(isblank($B709)),$B709=$B708,$A709&lt;&gt;$A708),and(not(isblank($A709)),$A709=$A708,$B709&lt;&gt;$B708)),"ID LISTS UNALIGNED",and($A709&lt;&gt;"",countif('5) Release_Track'!$F:$F,$A709)=0),"NO ISRC MATCH in Release_Track",and($B709&lt;&gt;"",countif('5) Release_Track'!$G:$G,$B709)=0),"NO CATALOG ID MATCH in Release_Track",iserror(vlookup($A709&amp;$B709,'5) Release_Track'!$F:$F&amp;'5) Release_Track'!$G:$G,1,0)),"NO ISRC-CATALOG ID pair MATCH in Release_Track" )</f>
        <v/>
      </c>
      <c r="F709" s="122"/>
      <c r="G709" s="99"/>
      <c r="H709" s="178"/>
      <c r="I709" s="121" t="str">
        <f t="shared" si="6"/>
        <v/>
      </c>
      <c r="J709" s="99"/>
      <c r="K709" s="99"/>
    </row>
    <row r="710">
      <c r="B710" s="103"/>
      <c r="C710" s="121" t="str">
        <f t="array" ref="C710">ifs(and(isblank($A710),isblank($B710)),"", not(iserror(vlookup($A710&amp;$B710,'5) Release_Track'!$F:$F&amp;'5) Release_Track'!$G:$G,1,0))),vlookup($A710&amp;$B710,{'5) Release_Track'!$F:$F&amp;'5) Release_Track'!$G:$G,'5) Release_Track'!$H:$H},2,0), or(and(not(isblank($B710)),$B710=$B709,$A710&lt;&gt;$A709),and(not(isblank($A710)),$A710=$A709,$B710&lt;&gt;$B709)),"ID LISTS UNALIGNED",and($A710&lt;&gt;"",countif('5) Release_Track'!$F:$F,$A710)=0),"NO ISRC MATCH in Release_Track",and($B710&lt;&gt;"",countif('5) Release_Track'!$G:$G,$B710)=0),"NO CATALOG ID MATCH in Release_Track",iserror(vlookup($A710&amp;$B710,'5) Release_Track'!$F:$F&amp;'5) Release_Track'!$G:$G,1,0)),"NO ISRC-CATALOG ID pair MATCH in Release_Track" )</f>
        <v/>
      </c>
      <c r="D710" s="121" t="str">
        <f t="array" ref="D710">ifs(and(isblank($A710),isblank($B710)),"", not(iserror(vlookup($A710&amp;$B710,'5) Release_Track'!$F:$F&amp;'5) Release_Track'!$G:$G,1,0))),vlookup($A710&amp;$B710,{'5) Release_Track'!$F:$F&amp;'5) Release_Track'!$G:$G,'5) Release_Track'!$I:$I},2,0), or(and(not(isblank($B710)),$B710=$B709,$A710&lt;&gt;$A709),and(not(isblank($A710)),$A710=$A709,$B710&lt;&gt;$B709)),"ID LISTS UNALIGNED",and($A710&lt;&gt;"",countif('5) Release_Track'!$F:$F,$A710)=0),"NO ISRC MATCH in Release_Track",and($B710&lt;&gt;"",countif('5) Release_Track'!$G:$G,$B710)=0),"NO CATALOG ID MATCH in Release_Track",iserror(vlookup($A710&amp;$B710,'5) Release_Track'!$F:$F&amp;'5) Release_Track'!$G:$G,1,0)),"NO ISRC-CATALOG ID pair MATCH in Release_Track" )</f>
        <v/>
      </c>
      <c r="E710" s="125" t="str">
        <f t="array" ref="E710">ifs(and(isblank($A710),isblank($B710)),"", not(iserror(vlookup($A710&amp;$B710,'5) Release_Track'!$F:$F&amp;'5) Release_Track'!$G:$G,1,0))),vlookup($A710&amp;$B710,{'5) Release_Track'!$F:$F&amp;'5) Release_Track'!$G:$G,'5) Release_Track'!$J:$J},2,0), or(and(not(isblank($B710)),$B710=$B709,$A710&lt;&gt;$A709),and(not(isblank($A710)),$A710=$A709,$B710&lt;&gt;$B709)),"ID LISTS UNALIGNED",and($A710&lt;&gt;"",countif('5) Release_Track'!$F:$F,$A710)=0),"NO ISRC MATCH in Release_Track",and($B710&lt;&gt;"",countif('5) Release_Track'!$G:$G,$B710)=0),"NO CATALOG ID MATCH in Release_Track",iserror(vlookup($A710&amp;$B710,'5) Release_Track'!$F:$F&amp;'5) Release_Track'!$G:$G,1,0)),"NO ISRC-CATALOG ID pair MATCH in Release_Track" )</f>
        <v/>
      </c>
      <c r="F710" s="122"/>
      <c r="G710" s="99"/>
      <c r="H710" s="178"/>
      <c r="I710" s="121" t="str">
        <f t="shared" si="6"/>
        <v/>
      </c>
      <c r="J710" s="99"/>
      <c r="K710" s="99"/>
    </row>
    <row r="711">
      <c r="B711" s="103"/>
      <c r="C711" s="121" t="str">
        <f t="array" ref="C711">ifs(and(isblank($A711),isblank($B711)),"", not(iserror(vlookup($A711&amp;$B711,'5) Release_Track'!$F:$F&amp;'5) Release_Track'!$G:$G,1,0))),vlookup($A711&amp;$B711,{'5) Release_Track'!$F:$F&amp;'5) Release_Track'!$G:$G,'5) Release_Track'!$H:$H},2,0), or(and(not(isblank($B711)),$B711=$B710,$A711&lt;&gt;$A710),and(not(isblank($A711)),$A711=$A710,$B711&lt;&gt;$B710)),"ID LISTS UNALIGNED",and($A711&lt;&gt;"",countif('5) Release_Track'!$F:$F,$A711)=0),"NO ISRC MATCH in Release_Track",and($B711&lt;&gt;"",countif('5) Release_Track'!$G:$G,$B711)=0),"NO CATALOG ID MATCH in Release_Track",iserror(vlookup($A711&amp;$B711,'5) Release_Track'!$F:$F&amp;'5) Release_Track'!$G:$G,1,0)),"NO ISRC-CATALOG ID pair MATCH in Release_Track" )</f>
        <v/>
      </c>
      <c r="D711" s="121" t="str">
        <f t="array" ref="D711">ifs(and(isblank($A711),isblank($B711)),"", not(iserror(vlookup($A711&amp;$B711,'5) Release_Track'!$F:$F&amp;'5) Release_Track'!$G:$G,1,0))),vlookup($A711&amp;$B711,{'5) Release_Track'!$F:$F&amp;'5) Release_Track'!$G:$G,'5) Release_Track'!$I:$I},2,0), or(and(not(isblank($B711)),$B711=$B710,$A711&lt;&gt;$A710),and(not(isblank($A711)),$A711=$A710,$B711&lt;&gt;$B710)),"ID LISTS UNALIGNED",and($A711&lt;&gt;"",countif('5) Release_Track'!$F:$F,$A711)=0),"NO ISRC MATCH in Release_Track",and($B711&lt;&gt;"",countif('5) Release_Track'!$G:$G,$B711)=0),"NO CATALOG ID MATCH in Release_Track",iserror(vlookup($A711&amp;$B711,'5) Release_Track'!$F:$F&amp;'5) Release_Track'!$G:$G,1,0)),"NO ISRC-CATALOG ID pair MATCH in Release_Track" )</f>
        <v/>
      </c>
      <c r="E711" s="125" t="str">
        <f t="array" ref="E711">ifs(and(isblank($A711),isblank($B711)),"", not(iserror(vlookup($A711&amp;$B711,'5) Release_Track'!$F:$F&amp;'5) Release_Track'!$G:$G,1,0))),vlookup($A711&amp;$B711,{'5) Release_Track'!$F:$F&amp;'5) Release_Track'!$G:$G,'5) Release_Track'!$J:$J},2,0), or(and(not(isblank($B711)),$B711=$B710,$A711&lt;&gt;$A710),and(not(isblank($A711)),$A711=$A710,$B711&lt;&gt;$B710)),"ID LISTS UNALIGNED",and($A711&lt;&gt;"",countif('5) Release_Track'!$F:$F,$A711)=0),"NO ISRC MATCH in Release_Track",and($B711&lt;&gt;"",countif('5) Release_Track'!$G:$G,$B711)=0),"NO CATALOG ID MATCH in Release_Track",iserror(vlookup($A711&amp;$B711,'5) Release_Track'!$F:$F&amp;'5) Release_Track'!$G:$G,1,0)),"NO ISRC-CATALOG ID pair MATCH in Release_Track" )</f>
        <v/>
      </c>
      <c r="F711" s="122"/>
      <c r="G711" s="99"/>
      <c r="H711" s="178"/>
      <c r="I711" s="121" t="str">
        <f t="shared" si="6"/>
        <v/>
      </c>
      <c r="J711" s="99"/>
      <c r="K711" s="99"/>
    </row>
    <row r="712">
      <c r="B712" s="103"/>
      <c r="C712" s="121" t="str">
        <f t="array" ref="C712">ifs(and(isblank($A712),isblank($B712)),"", not(iserror(vlookup($A712&amp;$B712,'5) Release_Track'!$F:$F&amp;'5) Release_Track'!$G:$G,1,0))),vlookup($A712&amp;$B712,{'5) Release_Track'!$F:$F&amp;'5) Release_Track'!$G:$G,'5) Release_Track'!$H:$H},2,0), or(and(not(isblank($B712)),$B712=$B711,$A712&lt;&gt;$A711),and(not(isblank($A712)),$A712=$A711,$B712&lt;&gt;$B711)),"ID LISTS UNALIGNED",and($A712&lt;&gt;"",countif('5) Release_Track'!$F:$F,$A712)=0),"NO ISRC MATCH in Release_Track",and($B712&lt;&gt;"",countif('5) Release_Track'!$G:$G,$B712)=0),"NO CATALOG ID MATCH in Release_Track",iserror(vlookup($A712&amp;$B712,'5) Release_Track'!$F:$F&amp;'5) Release_Track'!$G:$G,1,0)),"NO ISRC-CATALOG ID pair MATCH in Release_Track" )</f>
        <v/>
      </c>
      <c r="D712" s="121" t="str">
        <f t="array" ref="D712">ifs(and(isblank($A712),isblank($B712)),"", not(iserror(vlookup($A712&amp;$B712,'5) Release_Track'!$F:$F&amp;'5) Release_Track'!$G:$G,1,0))),vlookup($A712&amp;$B712,{'5) Release_Track'!$F:$F&amp;'5) Release_Track'!$G:$G,'5) Release_Track'!$I:$I},2,0), or(and(not(isblank($B712)),$B712=$B711,$A712&lt;&gt;$A711),and(not(isblank($A712)),$A712=$A711,$B712&lt;&gt;$B711)),"ID LISTS UNALIGNED",and($A712&lt;&gt;"",countif('5) Release_Track'!$F:$F,$A712)=0),"NO ISRC MATCH in Release_Track",and($B712&lt;&gt;"",countif('5) Release_Track'!$G:$G,$B712)=0),"NO CATALOG ID MATCH in Release_Track",iserror(vlookup($A712&amp;$B712,'5) Release_Track'!$F:$F&amp;'5) Release_Track'!$G:$G,1,0)),"NO ISRC-CATALOG ID pair MATCH in Release_Track" )</f>
        <v/>
      </c>
      <c r="E712" s="125" t="str">
        <f t="array" ref="E712">ifs(and(isblank($A712),isblank($B712)),"", not(iserror(vlookup($A712&amp;$B712,'5) Release_Track'!$F:$F&amp;'5) Release_Track'!$G:$G,1,0))),vlookup($A712&amp;$B712,{'5) Release_Track'!$F:$F&amp;'5) Release_Track'!$G:$G,'5) Release_Track'!$J:$J},2,0), or(and(not(isblank($B712)),$B712=$B711,$A712&lt;&gt;$A711),and(not(isblank($A712)),$A712=$A711,$B712&lt;&gt;$B711)),"ID LISTS UNALIGNED",and($A712&lt;&gt;"",countif('5) Release_Track'!$F:$F,$A712)=0),"NO ISRC MATCH in Release_Track",and($B712&lt;&gt;"",countif('5) Release_Track'!$G:$G,$B712)=0),"NO CATALOG ID MATCH in Release_Track",iserror(vlookup($A712&amp;$B712,'5) Release_Track'!$F:$F&amp;'5) Release_Track'!$G:$G,1,0)),"NO ISRC-CATALOG ID pair MATCH in Release_Track" )</f>
        <v/>
      </c>
      <c r="F712" s="122"/>
      <c r="G712" s="99"/>
      <c r="H712" s="178"/>
      <c r="I712" s="121" t="str">
        <f t="shared" si="6"/>
        <v/>
      </c>
      <c r="J712" s="99"/>
      <c r="K712" s="99"/>
    </row>
    <row r="713">
      <c r="B713" s="103"/>
      <c r="C713" s="121" t="str">
        <f t="array" ref="C713">ifs(and(isblank($A713),isblank($B713)),"", not(iserror(vlookup($A713&amp;$B713,'5) Release_Track'!$F:$F&amp;'5) Release_Track'!$G:$G,1,0))),vlookup($A713&amp;$B713,{'5) Release_Track'!$F:$F&amp;'5) Release_Track'!$G:$G,'5) Release_Track'!$H:$H},2,0), or(and(not(isblank($B713)),$B713=$B712,$A713&lt;&gt;$A712),and(not(isblank($A713)),$A713=$A712,$B713&lt;&gt;$B712)),"ID LISTS UNALIGNED",and($A713&lt;&gt;"",countif('5) Release_Track'!$F:$F,$A713)=0),"NO ISRC MATCH in Release_Track",and($B713&lt;&gt;"",countif('5) Release_Track'!$G:$G,$B713)=0),"NO CATALOG ID MATCH in Release_Track",iserror(vlookup($A713&amp;$B713,'5) Release_Track'!$F:$F&amp;'5) Release_Track'!$G:$G,1,0)),"NO ISRC-CATALOG ID pair MATCH in Release_Track" )</f>
        <v/>
      </c>
      <c r="D713" s="121" t="str">
        <f t="array" ref="D713">ifs(and(isblank($A713),isblank($B713)),"", not(iserror(vlookup($A713&amp;$B713,'5) Release_Track'!$F:$F&amp;'5) Release_Track'!$G:$G,1,0))),vlookup($A713&amp;$B713,{'5) Release_Track'!$F:$F&amp;'5) Release_Track'!$G:$G,'5) Release_Track'!$I:$I},2,0), or(and(not(isblank($B713)),$B713=$B712,$A713&lt;&gt;$A712),and(not(isblank($A713)),$A713=$A712,$B713&lt;&gt;$B712)),"ID LISTS UNALIGNED",and($A713&lt;&gt;"",countif('5) Release_Track'!$F:$F,$A713)=0),"NO ISRC MATCH in Release_Track",and($B713&lt;&gt;"",countif('5) Release_Track'!$G:$G,$B713)=0),"NO CATALOG ID MATCH in Release_Track",iserror(vlookup($A713&amp;$B713,'5) Release_Track'!$F:$F&amp;'5) Release_Track'!$G:$G,1,0)),"NO ISRC-CATALOG ID pair MATCH in Release_Track" )</f>
        <v/>
      </c>
      <c r="E713" s="125" t="str">
        <f t="array" ref="E713">ifs(and(isblank($A713),isblank($B713)),"", not(iserror(vlookup($A713&amp;$B713,'5) Release_Track'!$F:$F&amp;'5) Release_Track'!$G:$G,1,0))),vlookup($A713&amp;$B713,{'5) Release_Track'!$F:$F&amp;'5) Release_Track'!$G:$G,'5) Release_Track'!$J:$J},2,0), or(and(not(isblank($B713)),$B713=$B712,$A713&lt;&gt;$A712),and(not(isblank($A713)),$A713=$A712,$B713&lt;&gt;$B712)),"ID LISTS UNALIGNED",and($A713&lt;&gt;"",countif('5) Release_Track'!$F:$F,$A713)=0),"NO ISRC MATCH in Release_Track",and($B713&lt;&gt;"",countif('5) Release_Track'!$G:$G,$B713)=0),"NO CATALOG ID MATCH in Release_Track",iserror(vlookup($A713&amp;$B713,'5) Release_Track'!$F:$F&amp;'5) Release_Track'!$G:$G,1,0)),"NO ISRC-CATALOG ID pair MATCH in Release_Track" )</f>
        <v/>
      </c>
      <c r="F713" s="122"/>
      <c r="G713" s="99"/>
      <c r="H713" s="178"/>
      <c r="I713" s="121" t="str">
        <f t="shared" si="6"/>
        <v/>
      </c>
      <c r="J713" s="99"/>
      <c r="K713" s="99"/>
    </row>
    <row r="714">
      <c r="B714" s="103"/>
      <c r="C714" s="121" t="str">
        <f t="array" ref="C714">ifs(and(isblank($A714),isblank($B714)),"", not(iserror(vlookup($A714&amp;$B714,'5) Release_Track'!$F:$F&amp;'5) Release_Track'!$G:$G,1,0))),vlookup($A714&amp;$B714,{'5) Release_Track'!$F:$F&amp;'5) Release_Track'!$G:$G,'5) Release_Track'!$H:$H},2,0), or(and(not(isblank($B714)),$B714=$B713,$A714&lt;&gt;$A713),and(not(isblank($A714)),$A714=$A713,$B714&lt;&gt;$B713)),"ID LISTS UNALIGNED",and($A714&lt;&gt;"",countif('5) Release_Track'!$F:$F,$A714)=0),"NO ISRC MATCH in Release_Track",and($B714&lt;&gt;"",countif('5) Release_Track'!$G:$G,$B714)=0),"NO CATALOG ID MATCH in Release_Track",iserror(vlookup($A714&amp;$B714,'5) Release_Track'!$F:$F&amp;'5) Release_Track'!$G:$G,1,0)),"NO ISRC-CATALOG ID pair MATCH in Release_Track" )</f>
        <v/>
      </c>
      <c r="D714" s="121" t="str">
        <f t="array" ref="D714">ifs(and(isblank($A714),isblank($B714)),"", not(iserror(vlookup($A714&amp;$B714,'5) Release_Track'!$F:$F&amp;'5) Release_Track'!$G:$G,1,0))),vlookup($A714&amp;$B714,{'5) Release_Track'!$F:$F&amp;'5) Release_Track'!$G:$G,'5) Release_Track'!$I:$I},2,0), or(and(not(isblank($B714)),$B714=$B713,$A714&lt;&gt;$A713),and(not(isblank($A714)),$A714=$A713,$B714&lt;&gt;$B713)),"ID LISTS UNALIGNED",and($A714&lt;&gt;"",countif('5) Release_Track'!$F:$F,$A714)=0),"NO ISRC MATCH in Release_Track",and($B714&lt;&gt;"",countif('5) Release_Track'!$G:$G,$B714)=0),"NO CATALOG ID MATCH in Release_Track",iserror(vlookup($A714&amp;$B714,'5) Release_Track'!$F:$F&amp;'5) Release_Track'!$G:$G,1,0)),"NO ISRC-CATALOG ID pair MATCH in Release_Track" )</f>
        <v/>
      </c>
      <c r="E714" s="125" t="str">
        <f t="array" ref="E714">ifs(and(isblank($A714),isblank($B714)),"", not(iserror(vlookup($A714&amp;$B714,'5) Release_Track'!$F:$F&amp;'5) Release_Track'!$G:$G,1,0))),vlookup($A714&amp;$B714,{'5) Release_Track'!$F:$F&amp;'5) Release_Track'!$G:$G,'5) Release_Track'!$J:$J},2,0), or(and(not(isblank($B714)),$B714=$B713,$A714&lt;&gt;$A713),and(not(isblank($A714)),$A714=$A713,$B714&lt;&gt;$B713)),"ID LISTS UNALIGNED",and($A714&lt;&gt;"",countif('5) Release_Track'!$F:$F,$A714)=0),"NO ISRC MATCH in Release_Track",and($B714&lt;&gt;"",countif('5) Release_Track'!$G:$G,$B714)=0),"NO CATALOG ID MATCH in Release_Track",iserror(vlookup($A714&amp;$B714,'5) Release_Track'!$F:$F&amp;'5) Release_Track'!$G:$G,1,0)),"NO ISRC-CATALOG ID pair MATCH in Release_Track" )</f>
        <v/>
      </c>
      <c r="F714" s="122"/>
      <c r="G714" s="99"/>
      <c r="H714" s="178"/>
      <c r="I714" s="121" t="str">
        <f t="shared" si="6"/>
        <v/>
      </c>
      <c r="J714" s="99"/>
      <c r="K714" s="99"/>
    </row>
    <row r="715">
      <c r="B715" s="103"/>
      <c r="C715" s="121" t="str">
        <f t="array" ref="C715">ifs(and(isblank($A715),isblank($B715)),"", not(iserror(vlookup($A715&amp;$B715,'5) Release_Track'!$F:$F&amp;'5) Release_Track'!$G:$G,1,0))),vlookup($A715&amp;$B715,{'5) Release_Track'!$F:$F&amp;'5) Release_Track'!$G:$G,'5) Release_Track'!$H:$H},2,0), or(and(not(isblank($B715)),$B715=$B714,$A715&lt;&gt;$A714),and(not(isblank($A715)),$A715=$A714,$B715&lt;&gt;$B714)),"ID LISTS UNALIGNED",and($A715&lt;&gt;"",countif('5) Release_Track'!$F:$F,$A715)=0),"NO ISRC MATCH in Release_Track",and($B715&lt;&gt;"",countif('5) Release_Track'!$G:$G,$B715)=0),"NO CATALOG ID MATCH in Release_Track",iserror(vlookup($A715&amp;$B715,'5) Release_Track'!$F:$F&amp;'5) Release_Track'!$G:$G,1,0)),"NO ISRC-CATALOG ID pair MATCH in Release_Track" )</f>
        <v/>
      </c>
      <c r="D715" s="121" t="str">
        <f t="array" ref="D715">ifs(and(isblank($A715),isblank($B715)),"", not(iserror(vlookup($A715&amp;$B715,'5) Release_Track'!$F:$F&amp;'5) Release_Track'!$G:$G,1,0))),vlookup($A715&amp;$B715,{'5) Release_Track'!$F:$F&amp;'5) Release_Track'!$G:$G,'5) Release_Track'!$I:$I},2,0), or(and(not(isblank($B715)),$B715=$B714,$A715&lt;&gt;$A714),and(not(isblank($A715)),$A715=$A714,$B715&lt;&gt;$B714)),"ID LISTS UNALIGNED",and($A715&lt;&gt;"",countif('5) Release_Track'!$F:$F,$A715)=0),"NO ISRC MATCH in Release_Track",and($B715&lt;&gt;"",countif('5) Release_Track'!$G:$G,$B715)=0),"NO CATALOG ID MATCH in Release_Track",iserror(vlookup($A715&amp;$B715,'5) Release_Track'!$F:$F&amp;'5) Release_Track'!$G:$G,1,0)),"NO ISRC-CATALOG ID pair MATCH in Release_Track" )</f>
        <v/>
      </c>
      <c r="E715" s="125" t="str">
        <f t="array" ref="E715">ifs(and(isblank($A715),isblank($B715)),"", not(iserror(vlookup($A715&amp;$B715,'5) Release_Track'!$F:$F&amp;'5) Release_Track'!$G:$G,1,0))),vlookup($A715&amp;$B715,{'5) Release_Track'!$F:$F&amp;'5) Release_Track'!$G:$G,'5) Release_Track'!$J:$J},2,0), or(and(not(isblank($B715)),$B715=$B714,$A715&lt;&gt;$A714),and(not(isblank($A715)),$A715=$A714,$B715&lt;&gt;$B714)),"ID LISTS UNALIGNED",and($A715&lt;&gt;"",countif('5) Release_Track'!$F:$F,$A715)=0),"NO ISRC MATCH in Release_Track",and($B715&lt;&gt;"",countif('5) Release_Track'!$G:$G,$B715)=0),"NO CATALOG ID MATCH in Release_Track",iserror(vlookup($A715&amp;$B715,'5) Release_Track'!$F:$F&amp;'5) Release_Track'!$G:$G,1,0)),"NO ISRC-CATALOG ID pair MATCH in Release_Track" )</f>
        <v/>
      </c>
      <c r="F715" s="122"/>
      <c r="G715" s="99"/>
      <c r="H715" s="178"/>
      <c r="I715" s="121" t="str">
        <f t="shared" si="6"/>
        <v/>
      </c>
      <c r="J715" s="99"/>
      <c r="K715" s="99"/>
    </row>
    <row r="716">
      <c r="B716" s="103"/>
      <c r="C716" s="121" t="str">
        <f t="array" ref="C716">ifs(and(isblank($A716),isblank($B716)),"", not(iserror(vlookup($A716&amp;$B716,'5) Release_Track'!$F:$F&amp;'5) Release_Track'!$G:$G,1,0))),vlookup($A716&amp;$B716,{'5) Release_Track'!$F:$F&amp;'5) Release_Track'!$G:$G,'5) Release_Track'!$H:$H},2,0), or(and(not(isblank($B716)),$B716=$B715,$A716&lt;&gt;$A715),and(not(isblank($A716)),$A716=$A715,$B716&lt;&gt;$B715)),"ID LISTS UNALIGNED",and($A716&lt;&gt;"",countif('5) Release_Track'!$F:$F,$A716)=0),"NO ISRC MATCH in Release_Track",and($B716&lt;&gt;"",countif('5) Release_Track'!$G:$G,$B716)=0),"NO CATALOG ID MATCH in Release_Track",iserror(vlookup($A716&amp;$B716,'5) Release_Track'!$F:$F&amp;'5) Release_Track'!$G:$G,1,0)),"NO ISRC-CATALOG ID pair MATCH in Release_Track" )</f>
        <v/>
      </c>
      <c r="D716" s="121" t="str">
        <f t="array" ref="D716">ifs(and(isblank($A716),isblank($B716)),"", not(iserror(vlookup($A716&amp;$B716,'5) Release_Track'!$F:$F&amp;'5) Release_Track'!$G:$G,1,0))),vlookup($A716&amp;$B716,{'5) Release_Track'!$F:$F&amp;'5) Release_Track'!$G:$G,'5) Release_Track'!$I:$I},2,0), or(and(not(isblank($B716)),$B716=$B715,$A716&lt;&gt;$A715),and(not(isblank($A716)),$A716=$A715,$B716&lt;&gt;$B715)),"ID LISTS UNALIGNED",and($A716&lt;&gt;"",countif('5) Release_Track'!$F:$F,$A716)=0),"NO ISRC MATCH in Release_Track",and($B716&lt;&gt;"",countif('5) Release_Track'!$G:$G,$B716)=0),"NO CATALOG ID MATCH in Release_Track",iserror(vlookup($A716&amp;$B716,'5) Release_Track'!$F:$F&amp;'5) Release_Track'!$G:$G,1,0)),"NO ISRC-CATALOG ID pair MATCH in Release_Track" )</f>
        <v/>
      </c>
      <c r="E716" s="125" t="str">
        <f t="array" ref="E716">ifs(and(isblank($A716),isblank($B716)),"", not(iserror(vlookup($A716&amp;$B716,'5) Release_Track'!$F:$F&amp;'5) Release_Track'!$G:$G,1,0))),vlookup($A716&amp;$B716,{'5) Release_Track'!$F:$F&amp;'5) Release_Track'!$G:$G,'5) Release_Track'!$J:$J},2,0), or(and(not(isblank($B716)),$B716=$B715,$A716&lt;&gt;$A715),and(not(isblank($A716)),$A716=$A715,$B716&lt;&gt;$B715)),"ID LISTS UNALIGNED",and($A716&lt;&gt;"",countif('5) Release_Track'!$F:$F,$A716)=0),"NO ISRC MATCH in Release_Track",and($B716&lt;&gt;"",countif('5) Release_Track'!$G:$G,$B716)=0),"NO CATALOG ID MATCH in Release_Track",iserror(vlookup($A716&amp;$B716,'5) Release_Track'!$F:$F&amp;'5) Release_Track'!$G:$G,1,0)),"NO ISRC-CATALOG ID pair MATCH in Release_Track" )</f>
        <v/>
      </c>
      <c r="F716" s="122"/>
      <c r="G716" s="99"/>
      <c r="H716" s="178"/>
      <c r="I716" s="121" t="str">
        <f t="shared" si="6"/>
        <v/>
      </c>
      <c r="J716" s="99"/>
      <c r="K716" s="99"/>
    </row>
    <row r="717">
      <c r="B717" s="103"/>
      <c r="C717" s="121" t="str">
        <f t="array" ref="C717">ifs(and(isblank($A717),isblank($B717)),"", not(iserror(vlookup($A717&amp;$B717,'5) Release_Track'!$F:$F&amp;'5) Release_Track'!$G:$G,1,0))),vlookup($A717&amp;$B717,{'5) Release_Track'!$F:$F&amp;'5) Release_Track'!$G:$G,'5) Release_Track'!$H:$H},2,0), or(and(not(isblank($B717)),$B717=$B716,$A717&lt;&gt;$A716),and(not(isblank($A717)),$A717=$A716,$B717&lt;&gt;$B716)),"ID LISTS UNALIGNED",and($A717&lt;&gt;"",countif('5) Release_Track'!$F:$F,$A717)=0),"NO ISRC MATCH in Release_Track",and($B717&lt;&gt;"",countif('5) Release_Track'!$G:$G,$B717)=0),"NO CATALOG ID MATCH in Release_Track",iserror(vlookup($A717&amp;$B717,'5) Release_Track'!$F:$F&amp;'5) Release_Track'!$G:$G,1,0)),"NO ISRC-CATALOG ID pair MATCH in Release_Track" )</f>
        <v/>
      </c>
      <c r="D717" s="121" t="str">
        <f t="array" ref="D717">ifs(and(isblank($A717),isblank($B717)),"", not(iserror(vlookup($A717&amp;$B717,'5) Release_Track'!$F:$F&amp;'5) Release_Track'!$G:$G,1,0))),vlookup($A717&amp;$B717,{'5) Release_Track'!$F:$F&amp;'5) Release_Track'!$G:$G,'5) Release_Track'!$I:$I},2,0), or(and(not(isblank($B717)),$B717=$B716,$A717&lt;&gt;$A716),and(not(isblank($A717)),$A717=$A716,$B717&lt;&gt;$B716)),"ID LISTS UNALIGNED",and($A717&lt;&gt;"",countif('5) Release_Track'!$F:$F,$A717)=0),"NO ISRC MATCH in Release_Track",and($B717&lt;&gt;"",countif('5) Release_Track'!$G:$G,$B717)=0),"NO CATALOG ID MATCH in Release_Track",iserror(vlookup($A717&amp;$B717,'5) Release_Track'!$F:$F&amp;'5) Release_Track'!$G:$G,1,0)),"NO ISRC-CATALOG ID pair MATCH in Release_Track" )</f>
        <v/>
      </c>
      <c r="E717" s="125" t="str">
        <f t="array" ref="E717">ifs(and(isblank($A717),isblank($B717)),"", not(iserror(vlookup($A717&amp;$B717,'5) Release_Track'!$F:$F&amp;'5) Release_Track'!$G:$G,1,0))),vlookup($A717&amp;$B717,{'5) Release_Track'!$F:$F&amp;'5) Release_Track'!$G:$G,'5) Release_Track'!$J:$J},2,0), or(and(not(isblank($B717)),$B717=$B716,$A717&lt;&gt;$A716),and(not(isblank($A717)),$A717=$A716,$B717&lt;&gt;$B716)),"ID LISTS UNALIGNED",and($A717&lt;&gt;"",countif('5) Release_Track'!$F:$F,$A717)=0),"NO ISRC MATCH in Release_Track",and($B717&lt;&gt;"",countif('5) Release_Track'!$G:$G,$B717)=0),"NO CATALOG ID MATCH in Release_Track",iserror(vlookup($A717&amp;$B717,'5) Release_Track'!$F:$F&amp;'5) Release_Track'!$G:$G,1,0)),"NO ISRC-CATALOG ID pair MATCH in Release_Track" )</f>
        <v/>
      </c>
      <c r="F717" s="122"/>
      <c r="G717" s="99"/>
      <c r="H717" s="178"/>
      <c r="I717" s="121" t="str">
        <f t="shared" si="6"/>
        <v/>
      </c>
      <c r="J717" s="99"/>
      <c r="K717" s="99"/>
    </row>
    <row r="718">
      <c r="B718" s="103"/>
      <c r="C718" s="121" t="str">
        <f t="array" ref="C718">ifs(and(isblank($A718),isblank($B718)),"", not(iserror(vlookup($A718&amp;$B718,'5) Release_Track'!$F:$F&amp;'5) Release_Track'!$G:$G,1,0))),vlookup($A718&amp;$B718,{'5) Release_Track'!$F:$F&amp;'5) Release_Track'!$G:$G,'5) Release_Track'!$H:$H},2,0), or(and(not(isblank($B718)),$B718=$B717,$A718&lt;&gt;$A717),and(not(isblank($A718)),$A718=$A717,$B718&lt;&gt;$B717)),"ID LISTS UNALIGNED",and($A718&lt;&gt;"",countif('5) Release_Track'!$F:$F,$A718)=0),"NO ISRC MATCH in Release_Track",and($B718&lt;&gt;"",countif('5) Release_Track'!$G:$G,$B718)=0),"NO CATALOG ID MATCH in Release_Track",iserror(vlookup($A718&amp;$B718,'5) Release_Track'!$F:$F&amp;'5) Release_Track'!$G:$G,1,0)),"NO ISRC-CATALOG ID pair MATCH in Release_Track" )</f>
        <v/>
      </c>
      <c r="D718" s="121" t="str">
        <f t="array" ref="D718">ifs(and(isblank($A718),isblank($B718)),"", not(iserror(vlookup($A718&amp;$B718,'5) Release_Track'!$F:$F&amp;'5) Release_Track'!$G:$G,1,0))),vlookup($A718&amp;$B718,{'5) Release_Track'!$F:$F&amp;'5) Release_Track'!$G:$G,'5) Release_Track'!$I:$I},2,0), or(and(not(isblank($B718)),$B718=$B717,$A718&lt;&gt;$A717),and(not(isblank($A718)),$A718=$A717,$B718&lt;&gt;$B717)),"ID LISTS UNALIGNED",and($A718&lt;&gt;"",countif('5) Release_Track'!$F:$F,$A718)=0),"NO ISRC MATCH in Release_Track",and($B718&lt;&gt;"",countif('5) Release_Track'!$G:$G,$B718)=0),"NO CATALOG ID MATCH in Release_Track",iserror(vlookup($A718&amp;$B718,'5) Release_Track'!$F:$F&amp;'5) Release_Track'!$G:$G,1,0)),"NO ISRC-CATALOG ID pair MATCH in Release_Track" )</f>
        <v/>
      </c>
      <c r="E718" s="125" t="str">
        <f t="array" ref="E718">ifs(and(isblank($A718),isblank($B718)),"", not(iserror(vlookup($A718&amp;$B718,'5) Release_Track'!$F:$F&amp;'5) Release_Track'!$G:$G,1,0))),vlookup($A718&amp;$B718,{'5) Release_Track'!$F:$F&amp;'5) Release_Track'!$G:$G,'5) Release_Track'!$J:$J},2,0), or(and(not(isblank($B718)),$B718=$B717,$A718&lt;&gt;$A717),and(not(isblank($A718)),$A718=$A717,$B718&lt;&gt;$B717)),"ID LISTS UNALIGNED",and($A718&lt;&gt;"",countif('5) Release_Track'!$F:$F,$A718)=0),"NO ISRC MATCH in Release_Track",and($B718&lt;&gt;"",countif('5) Release_Track'!$G:$G,$B718)=0),"NO CATALOG ID MATCH in Release_Track",iserror(vlookup($A718&amp;$B718,'5) Release_Track'!$F:$F&amp;'5) Release_Track'!$G:$G,1,0)),"NO ISRC-CATALOG ID pair MATCH in Release_Track" )</f>
        <v/>
      </c>
      <c r="F718" s="122"/>
      <c r="G718" s="99"/>
      <c r="H718" s="178"/>
      <c r="I718" s="121" t="str">
        <f t="shared" si="6"/>
        <v/>
      </c>
      <c r="J718" s="99"/>
      <c r="K718" s="99"/>
    </row>
    <row r="719">
      <c r="B719" s="103"/>
      <c r="C719" s="121" t="str">
        <f t="array" ref="C719">ifs(and(isblank($A719),isblank($B719)),"", not(iserror(vlookup($A719&amp;$B719,'5) Release_Track'!$F:$F&amp;'5) Release_Track'!$G:$G,1,0))),vlookup($A719&amp;$B719,{'5) Release_Track'!$F:$F&amp;'5) Release_Track'!$G:$G,'5) Release_Track'!$H:$H},2,0), or(and(not(isblank($B719)),$B719=$B718,$A719&lt;&gt;$A718),and(not(isblank($A719)),$A719=$A718,$B719&lt;&gt;$B718)),"ID LISTS UNALIGNED",and($A719&lt;&gt;"",countif('5) Release_Track'!$F:$F,$A719)=0),"NO ISRC MATCH in Release_Track",and($B719&lt;&gt;"",countif('5) Release_Track'!$G:$G,$B719)=0),"NO CATALOG ID MATCH in Release_Track",iserror(vlookup($A719&amp;$B719,'5) Release_Track'!$F:$F&amp;'5) Release_Track'!$G:$G,1,0)),"NO ISRC-CATALOG ID pair MATCH in Release_Track" )</f>
        <v/>
      </c>
      <c r="D719" s="121" t="str">
        <f t="array" ref="D719">ifs(and(isblank($A719),isblank($B719)),"", not(iserror(vlookup($A719&amp;$B719,'5) Release_Track'!$F:$F&amp;'5) Release_Track'!$G:$G,1,0))),vlookup($A719&amp;$B719,{'5) Release_Track'!$F:$F&amp;'5) Release_Track'!$G:$G,'5) Release_Track'!$I:$I},2,0), or(and(not(isblank($B719)),$B719=$B718,$A719&lt;&gt;$A718),and(not(isblank($A719)),$A719=$A718,$B719&lt;&gt;$B718)),"ID LISTS UNALIGNED",and($A719&lt;&gt;"",countif('5) Release_Track'!$F:$F,$A719)=0),"NO ISRC MATCH in Release_Track",and($B719&lt;&gt;"",countif('5) Release_Track'!$G:$G,$B719)=0),"NO CATALOG ID MATCH in Release_Track",iserror(vlookup($A719&amp;$B719,'5) Release_Track'!$F:$F&amp;'5) Release_Track'!$G:$G,1,0)),"NO ISRC-CATALOG ID pair MATCH in Release_Track" )</f>
        <v/>
      </c>
      <c r="E719" s="125" t="str">
        <f t="array" ref="E719">ifs(and(isblank($A719),isblank($B719)),"", not(iserror(vlookup($A719&amp;$B719,'5) Release_Track'!$F:$F&amp;'5) Release_Track'!$G:$G,1,0))),vlookup($A719&amp;$B719,{'5) Release_Track'!$F:$F&amp;'5) Release_Track'!$G:$G,'5) Release_Track'!$J:$J},2,0), or(and(not(isblank($B719)),$B719=$B718,$A719&lt;&gt;$A718),and(not(isblank($A719)),$A719=$A718,$B719&lt;&gt;$B718)),"ID LISTS UNALIGNED",and($A719&lt;&gt;"",countif('5) Release_Track'!$F:$F,$A719)=0),"NO ISRC MATCH in Release_Track",and($B719&lt;&gt;"",countif('5) Release_Track'!$G:$G,$B719)=0),"NO CATALOG ID MATCH in Release_Track",iserror(vlookup($A719&amp;$B719,'5) Release_Track'!$F:$F&amp;'5) Release_Track'!$G:$G,1,0)),"NO ISRC-CATALOG ID pair MATCH in Release_Track" )</f>
        <v/>
      </c>
      <c r="F719" s="122"/>
      <c r="G719" s="99"/>
      <c r="H719" s="178"/>
      <c r="I719" s="121" t="str">
        <f t="shared" si="6"/>
        <v/>
      </c>
      <c r="J719" s="99"/>
      <c r="K719" s="99"/>
    </row>
    <row r="720">
      <c r="B720" s="103"/>
      <c r="C720" s="121" t="str">
        <f t="array" ref="C720">ifs(and(isblank($A720),isblank($B720)),"", not(iserror(vlookup($A720&amp;$B720,'5) Release_Track'!$F:$F&amp;'5) Release_Track'!$G:$G,1,0))),vlookup($A720&amp;$B720,{'5) Release_Track'!$F:$F&amp;'5) Release_Track'!$G:$G,'5) Release_Track'!$H:$H},2,0), or(and(not(isblank($B720)),$B720=$B719,$A720&lt;&gt;$A719),and(not(isblank($A720)),$A720=$A719,$B720&lt;&gt;$B719)),"ID LISTS UNALIGNED",and($A720&lt;&gt;"",countif('5) Release_Track'!$F:$F,$A720)=0),"NO ISRC MATCH in Release_Track",and($B720&lt;&gt;"",countif('5) Release_Track'!$G:$G,$B720)=0),"NO CATALOG ID MATCH in Release_Track",iserror(vlookup($A720&amp;$B720,'5) Release_Track'!$F:$F&amp;'5) Release_Track'!$G:$G,1,0)),"NO ISRC-CATALOG ID pair MATCH in Release_Track" )</f>
        <v/>
      </c>
      <c r="D720" s="121" t="str">
        <f t="array" ref="D720">ifs(and(isblank($A720),isblank($B720)),"", not(iserror(vlookup($A720&amp;$B720,'5) Release_Track'!$F:$F&amp;'5) Release_Track'!$G:$G,1,0))),vlookup($A720&amp;$B720,{'5) Release_Track'!$F:$F&amp;'5) Release_Track'!$G:$G,'5) Release_Track'!$I:$I},2,0), or(and(not(isblank($B720)),$B720=$B719,$A720&lt;&gt;$A719),and(not(isblank($A720)),$A720=$A719,$B720&lt;&gt;$B719)),"ID LISTS UNALIGNED",and($A720&lt;&gt;"",countif('5) Release_Track'!$F:$F,$A720)=0),"NO ISRC MATCH in Release_Track",and($B720&lt;&gt;"",countif('5) Release_Track'!$G:$G,$B720)=0),"NO CATALOG ID MATCH in Release_Track",iserror(vlookup($A720&amp;$B720,'5) Release_Track'!$F:$F&amp;'5) Release_Track'!$G:$G,1,0)),"NO ISRC-CATALOG ID pair MATCH in Release_Track" )</f>
        <v/>
      </c>
      <c r="E720" s="125" t="str">
        <f t="array" ref="E720">ifs(and(isblank($A720),isblank($B720)),"", not(iserror(vlookup($A720&amp;$B720,'5) Release_Track'!$F:$F&amp;'5) Release_Track'!$G:$G,1,0))),vlookup($A720&amp;$B720,{'5) Release_Track'!$F:$F&amp;'5) Release_Track'!$G:$G,'5) Release_Track'!$J:$J},2,0), or(and(not(isblank($B720)),$B720=$B719,$A720&lt;&gt;$A719),and(not(isblank($A720)),$A720=$A719,$B720&lt;&gt;$B719)),"ID LISTS UNALIGNED",and($A720&lt;&gt;"",countif('5) Release_Track'!$F:$F,$A720)=0),"NO ISRC MATCH in Release_Track",and($B720&lt;&gt;"",countif('5) Release_Track'!$G:$G,$B720)=0),"NO CATALOG ID MATCH in Release_Track",iserror(vlookup($A720&amp;$B720,'5) Release_Track'!$F:$F&amp;'5) Release_Track'!$G:$G,1,0)),"NO ISRC-CATALOG ID pair MATCH in Release_Track" )</f>
        <v/>
      </c>
      <c r="F720" s="122"/>
      <c r="G720" s="99"/>
      <c r="H720" s="178"/>
      <c r="I720" s="121" t="str">
        <f t="shared" si="6"/>
        <v/>
      </c>
      <c r="J720" s="99"/>
      <c r="K720" s="99"/>
    </row>
    <row r="721">
      <c r="B721" s="103"/>
      <c r="C721" s="121" t="str">
        <f t="array" ref="C721">ifs(and(isblank($A721),isblank($B721)),"", not(iserror(vlookup($A721&amp;$B721,'5) Release_Track'!$F:$F&amp;'5) Release_Track'!$G:$G,1,0))),vlookup($A721&amp;$B721,{'5) Release_Track'!$F:$F&amp;'5) Release_Track'!$G:$G,'5) Release_Track'!$H:$H},2,0), or(and(not(isblank($B721)),$B721=$B720,$A721&lt;&gt;$A720),and(not(isblank($A721)),$A721=$A720,$B721&lt;&gt;$B720)),"ID LISTS UNALIGNED",and($A721&lt;&gt;"",countif('5) Release_Track'!$F:$F,$A721)=0),"NO ISRC MATCH in Release_Track",and($B721&lt;&gt;"",countif('5) Release_Track'!$G:$G,$B721)=0),"NO CATALOG ID MATCH in Release_Track",iserror(vlookup($A721&amp;$B721,'5) Release_Track'!$F:$F&amp;'5) Release_Track'!$G:$G,1,0)),"NO ISRC-CATALOG ID pair MATCH in Release_Track" )</f>
        <v/>
      </c>
      <c r="D721" s="121" t="str">
        <f t="array" ref="D721">ifs(and(isblank($A721),isblank($B721)),"", not(iserror(vlookup($A721&amp;$B721,'5) Release_Track'!$F:$F&amp;'5) Release_Track'!$G:$G,1,0))),vlookup($A721&amp;$B721,{'5) Release_Track'!$F:$F&amp;'5) Release_Track'!$G:$G,'5) Release_Track'!$I:$I},2,0), or(and(not(isblank($B721)),$B721=$B720,$A721&lt;&gt;$A720),and(not(isblank($A721)),$A721=$A720,$B721&lt;&gt;$B720)),"ID LISTS UNALIGNED",and($A721&lt;&gt;"",countif('5) Release_Track'!$F:$F,$A721)=0),"NO ISRC MATCH in Release_Track",and($B721&lt;&gt;"",countif('5) Release_Track'!$G:$G,$B721)=0),"NO CATALOG ID MATCH in Release_Track",iserror(vlookup($A721&amp;$B721,'5) Release_Track'!$F:$F&amp;'5) Release_Track'!$G:$G,1,0)),"NO ISRC-CATALOG ID pair MATCH in Release_Track" )</f>
        <v/>
      </c>
      <c r="E721" s="125" t="str">
        <f t="array" ref="E721">ifs(and(isblank($A721),isblank($B721)),"", not(iserror(vlookup($A721&amp;$B721,'5) Release_Track'!$F:$F&amp;'5) Release_Track'!$G:$G,1,0))),vlookup($A721&amp;$B721,{'5) Release_Track'!$F:$F&amp;'5) Release_Track'!$G:$G,'5) Release_Track'!$J:$J},2,0), or(and(not(isblank($B721)),$B721=$B720,$A721&lt;&gt;$A720),and(not(isblank($A721)),$A721=$A720,$B721&lt;&gt;$B720)),"ID LISTS UNALIGNED",and($A721&lt;&gt;"",countif('5) Release_Track'!$F:$F,$A721)=0),"NO ISRC MATCH in Release_Track",and($B721&lt;&gt;"",countif('5) Release_Track'!$G:$G,$B721)=0),"NO CATALOG ID MATCH in Release_Track",iserror(vlookup($A721&amp;$B721,'5) Release_Track'!$F:$F&amp;'5) Release_Track'!$G:$G,1,0)),"NO ISRC-CATALOG ID pair MATCH in Release_Track" )</f>
        <v/>
      </c>
      <c r="F721" s="122"/>
      <c r="G721" s="99"/>
      <c r="H721" s="178"/>
      <c r="I721" s="121" t="str">
        <f t="shared" si="6"/>
        <v/>
      </c>
      <c r="J721" s="99"/>
      <c r="K721" s="99"/>
    </row>
    <row r="722">
      <c r="B722" s="103"/>
      <c r="C722" s="121" t="str">
        <f t="array" ref="C722">ifs(and(isblank($A722),isblank($B722)),"", not(iserror(vlookup($A722&amp;$B722,'5) Release_Track'!$F:$F&amp;'5) Release_Track'!$G:$G,1,0))),vlookup($A722&amp;$B722,{'5) Release_Track'!$F:$F&amp;'5) Release_Track'!$G:$G,'5) Release_Track'!$H:$H},2,0), or(and(not(isblank($B722)),$B722=$B721,$A722&lt;&gt;$A721),and(not(isblank($A722)),$A722=$A721,$B722&lt;&gt;$B721)),"ID LISTS UNALIGNED",and($A722&lt;&gt;"",countif('5) Release_Track'!$F:$F,$A722)=0),"NO ISRC MATCH in Release_Track",and($B722&lt;&gt;"",countif('5) Release_Track'!$G:$G,$B722)=0),"NO CATALOG ID MATCH in Release_Track",iserror(vlookup($A722&amp;$B722,'5) Release_Track'!$F:$F&amp;'5) Release_Track'!$G:$G,1,0)),"NO ISRC-CATALOG ID pair MATCH in Release_Track" )</f>
        <v/>
      </c>
      <c r="D722" s="121" t="str">
        <f t="array" ref="D722">ifs(and(isblank($A722),isblank($B722)),"", not(iserror(vlookup($A722&amp;$B722,'5) Release_Track'!$F:$F&amp;'5) Release_Track'!$G:$G,1,0))),vlookup($A722&amp;$B722,{'5) Release_Track'!$F:$F&amp;'5) Release_Track'!$G:$G,'5) Release_Track'!$I:$I},2,0), or(and(not(isblank($B722)),$B722=$B721,$A722&lt;&gt;$A721),and(not(isblank($A722)),$A722=$A721,$B722&lt;&gt;$B721)),"ID LISTS UNALIGNED",and($A722&lt;&gt;"",countif('5) Release_Track'!$F:$F,$A722)=0),"NO ISRC MATCH in Release_Track",and($B722&lt;&gt;"",countif('5) Release_Track'!$G:$G,$B722)=0),"NO CATALOG ID MATCH in Release_Track",iserror(vlookup($A722&amp;$B722,'5) Release_Track'!$F:$F&amp;'5) Release_Track'!$G:$G,1,0)),"NO ISRC-CATALOG ID pair MATCH in Release_Track" )</f>
        <v/>
      </c>
      <c r="E722" s="125" t="str">
        <f t="array" ref="E722">ifs(and(isblank($A722),isblank($B722)),"", not(iserror(vlookup($A722&amp;$B722,'5) Release_Track'!$F:$F&amp;'5) Release_Track'!$G:$G,1,0))),vlookup($A722&amp;$B722,{'5) Release_Track'!$F:$F&amp;'5) Release_Track'!$G:$G,'5) Release_Track'!$J:$J},2,0), or(and(not(isblank($B722)),$B722=$B721,$A722&lt;&gt;$A721),and(not(isblank($A722)),$A722=$A721,$B722&lt;&gt;$B721)),"ID LISTS UNALIGNED",and($A722&lt;&gt;"",countif('5) Release_Track'!$F:$F,$A722)=0),"NO ISRC MATCH in Release_Track",and($B722&lt;&gt;"",countif('5) Release_Track'!$G:$G,$B722)=0),"NO CATALOG ID MATCH in Release_Track",iserror(vlookup($A722&amp;$B722,'5) Release_Track'!$F:$F&amp;'5) Release_Track'!$G:$G,1,0)),"NO ISRC-CATALOG ID pair MATCH in Release_Track" )</f>
        <v/>
      </c>
      <c r="F722" s="122"/>
      <c r="G722" s="99"/>
      <c r="H722" s="178"/>
      <c r="I722" s="121" t="str">
        <f t="shared" si="6"/>
        <v/>
      </c>
      <c r="J722" s="99"/>
      <c r="K722" s="99"/>
    </row>
    <row r="723">
      <c r="B723" s="103"/>
      <c r="C723" s="121" t="str">
        <f t="array" ref="C723">ifs(and(isblank($A723),isblank($B723)),"", not(iserror(vlookup($A723&amp;$B723,'5) Release_Track'!$F:$F&amp;'5) Release_Track'!$G:$G,1,0))),vlookup($A723&amp;$B723,{'5) Release_Track'!$F:$F&amp;'5) Release_Track'!$G:$G,'5) Release_Track'!$H:$H},2,0), or(and(not(isblank($B723)),$B723=$B722,$A723&lt;&gt;$A722),and(not(isblank($A723)),$A723=$A722,$B723&lt;&gt;$B722)),"ID LISTS UNALIGNED",and($A723&lt;&gt;"",countif('5) Release_Track'!$F:$F,$A723)=0),"NO ISRC MATCH in Release_Track",and($B723&lt;&gt;"",countif('5) Release_Track'!$G:$G,$B723)=0),"NO CATALOG ID MATCH in Release_Track",iserror(vlookup($A723&amp;$B723,'5) Release_Track'!$F:$F&amp;'5) Release_Track'!$G:$G,1,0)),"NO ISRC-CATALOG ID pair MATCH in Release_Track" )</f>
        <v/>
      </c>
      <c r="D723" s="121" t="str">
        <f t="array" ref="D723">ifs(and(isblank($A723),isblank($B723)),"", not(iserror(vlookup($A723&amp;$B723,'5) Release_Track'!$F:$F&amp;'5) Release_Track'!$G:$G,1,0))),vlookup($A723&amp;$B723,{'5) Release_Track'!$F:$F&amp;'5) Release_Track'!$G:$G,'5) Release_Track'!$I:$I},2,0), or(and(not(isblank($B723)),$B723=$B722,$A723&lt;&gt;$A722),and(not(isblank($A723)),$A723=$A722,$B723&lt;&gt;$B722)),"ID LISTS UNALIGNED",and($A723&lt;&gt;"",countif('5) Release_Track'!$F:$F,$A723)=0),"NO ISRC MATCH in Release_Track",and($B723&lt;&gt;"",countif('5) Release_Track'!$G:$G,$B723)=0),"NO CATALOG ID MATCH in Release_Track",iserror(vlookup($A723&amp;$B723,'5) Release_Track'!$F:$F&amp;'5) Release_Track'!$G:$G,1,0)),"NO ISRC-CATALOG ID pair MATCH in Release_Track" )</f>
        <v/>
      </c>
      <c r="E723" s="125" t="str">
        <f t="array" ref="E723">ifs(and(isblank($A723),isblank($B723)),"", not(iserror(vlookup($A723&amp;$B723,'5) Release_Track'!$F:$F&amp;'5) Release_Track'!$G:$G,1,0))),vlookup($A723&amp;$B723,{'5) Release_Track'!$F:$F&amp;'5) Release_Track'!$G:$G,'5) Release_Track'!$J:$J},2,0), or(and(not(isblank($B723)),$B723=$B722,$A723&lt;&gt;$A722),and(not(isblank($A723)),$A723=$A722,$B723&lt;&gt;$B722)),"ID LISTS UNALIGNED",and($A723&lt;&gt;"",countif('5) Release_Track'!$F:$F,$A723)=0),"NO ISRC MATCH in Release_Track",and($B723&lt;&gt;"",countif('5) Release_Track'!$G:$G,$B723)=0),"NO CATALOG ID MATCH in Release_Track",iserror(vlookup($A723&amp;$B723,'5) Release_Track'!$F:$F&amp;'5) Release_Track'!$G:$G,1,0)),"NO ISRC-CATALOG ID pair MATCH in Release_Track" )</f>
        <v/>
      </c>
      <c r="F723" s="122"/>
      <c r="G723" s="99"/>
      <c r="H723" s="178"/>
      <c r="I723" s="121" t="str">
        <f t="shared" si="6"/>
        <v/>
      </c>
      <c r="J723" s="99"/>
      <c r="K723" s="99"/>
    </row>
    <row r="724">
      <c r="B724" s="103"/>
      <c r="C724" s="121" t="str">
        <f t="array" ref="C724">ifs(and(isblank($A724),isblank($B724)),"", not(iserror(vlookup($A724&amp;$B724,'5) Release_Track'!$F:$F&amp;'5) Release_Track'!$G:$G,1,0))),vlookup($A724&amp;$B724,{'5) Release_Track'!$F:$F&amp;'5) Release_Track'!$G:$G,'5) Release_Track'!$H:$H},2,0), or(and(not(isblank($B724)),$B724=$B723,$A724&lt;&gt;$A723),and(not(isblank($A724)),$A724=$A723,$B724&lt;&gt;$B723)),"ID LISTS UNALIGNED",and($A724&lt;&gt;"",countif('5) Release_Track'!$F:$F,$A724)=0),"NO ISRC MATCH in Release_Track",and($B724&lt;&gt;"",countif('5) Release_Track'!$G:$G,$B724)=0),"NO CATALOG ID MATCH in Release_Track",iserror(vlookup($A724&amp;$B724,'5) Release_Track'!$F:$F&amp;'5) Release_Track'!$G:$G,1,0)),"NO ISRC-CATALOG ID pair MATCH in Release_Track" )</f>
        <v/>
      </c>
      <c r="D724" s="121" t="str">
        <f t="array" ref="D724">ifs(and(isblank($A724),isblank($B724)),"", not(iserror(vlookup($A724&amp;$B724,'5) Release_Track'!$F:$F&amp;'5) Release_Track'!$G:$G,1,0))),vlookup($A724&amp;$B724,{'5) Release_Track'!$F:$F&amp;'5) Release_Track'!$G:$G,'5) Release_Track'!$I:$I},2,0), or(and(not(isblank($B724)),$B724=$B723,$A724&lt;&gt;$A723),and(not(isblank($A724)),$A724=$A723,$B724&lt;&gt;$B723)),"ID LISTS UNALIGNED",and($A724&lt;&gt;"",countif('5) Release_Track'!$F:$F,$A724)=0),"NO ISRC MATCH in Release_Track",and($B724&lt;&gt;"",countif('5) Release_Track'!$G:$G,$B724)=0),"NO CATALOG ID MATCH in Release_Track",iserror(vlookup($A724&amp;$B724,'5) Release_Track'!$F:$F&amp;'5) Release_Track'!$G:$G,1,0)),"NO ISRC-CATALOG ID pair MATCH in Release_Track" )</f>
        <v/>
      </c>
      <c r="E724" s="125" t="str">
        <f t="array" ref="E724">ifs(and(isblank($A724),isblank($B724)),"", not(iserror(vlookup($A724&amp;$B724,'5) Release_Track'!$F:$F&amp;'5) Release_Track'!$G:$G,1,0))),vlookup($A724&amp;$B724,{'5) Release_Track'!$F:$F&amp;'5) Release_Track'!$G:$G,'5) Release_Track'!$J:$J},2,0), or(and(not(isblank($B724)),$B724=$B723,$A724&lt;&gt;$A723),and(not(isblank($A724)),$A724=$A723,$B724&lt;&gt;$B723)),"ID LISTS UNALIGNED",and($A724&lt;&gt;"",countif('5) Release_Track'!$F:$F,$A724)=0),"NO ISRC MATCH in Release_Track",and($B724&lt;&gt;"",countif('5) Release_Track'!$G:$G,$B724)=0),"NO CATALOG ID MATCH in Release_Track",iserror(vlookup($A724&amp;$B724,'5) Release_Track'!$F:$F&amp;'5) Release_Track'!$G:$G,1,0)),"NO ISRC-CATALOG ID pair MATCH in Release_Track" )</f>
        <v/>
      </c>
      <c r="F724" s="122"/>
      <c r="G724" s="99"/>
      <c r="H724" s="178"/>
      <c r="I724" s="121" t="str">
        <f t="shared" si="6"/>
        <v/>
      </c>
      <c r="J724" s="99"/>
      <c r="K724" s="99"/>
    </row>
    <row r="725">
      <c r="B725" s="103"/>
      <c r="C725" s="121" t="str">
        <f t="array" ref="C725">ifs(and(isblank($A725),isblank($B725)),"", not(iserror(vlookup($A725&amp;$B725,'5) Release_Track'!$F:$F&amp;'5) Release_Track'!$G:$G,1,0))),vlookup($A725&amp;$B725,{'5) Release_Track'!$F:$F&amp;'5) Release_Track'!$G:$G,'5) Release_Track'!$H:$H},2,0), or(and(not(isblank($B725)),$B725=$B724,$A725&lt;&gt;$A724),and(not(isblank($A725)),$A725=$A724,$B725&lt;&gt;$B724)),"ID LISTS UNALIGNED",and($A725&lt;&gt;"",countif('5) Release_Track'!$F:$F,$A725)=0),"NO ISRC MATCH in Release_Track",and($B725&lt;&gt;"",countif('5) Release_Track'!$G:$G,$B725)=0),"NO CATALOG ID MATCH in Release_Track",iserror(vlookup($A725&amp;$B725,'5) Release_Track'!$F:$F&amp;'5) Release_Track'!$G:$G,1,0)),"NO ISRC-CATALOG ID pair MATCH in Release_Track" )</f>
        <v/>
      </c>
      <c r="D725" s="121" t="str">
        <f t="array" ref="D725">ifs(and(isblank($A725),isblank($B725)),"", not(iserror(vlookup($A725&amp;$B725,'5) Release_Track'!$F:$F&amp;'5) Release_Track'!$G:$G,1,0))),vlookup($A725&amp;$B725,{'5) Release_Track'!$F:$F&amp;'5) Release_Track'!$G:$G,'5) Release_Track'!$I:$I},2,0), or(and(not(isblank($B725)),$B725=$B724,$A725&lt;&gt;$A724),and(not(isblank($A725)),$A725=$A724,$B725&lt;&gt;$B724)),"ID LISTS UNALIGNED",and($A725&lt;&gt;"",countif('5) Release_Track'!$F:$F,$A725)=0),"NO ISRC MATCH in Release_Track",and($B725&lt;&gt;"",countif('5) Release_Track'!$G:$G,$B725)=0),"NO CATALOG ID MATCH in Release_Track",iserror(vlookup($A725&amp;$B725,'5) Release_Track'!$F:$F&amp;'5) Release_Track'!$G:$G,1,0)),"NO ISRC-CATALOG ID pair MATCH in Release_Track" )</f>
        <v/>
      </c>
      <c r="E725" s="125" t="str">
        <f t="array" ref="E725">ifs(and(isblank($A725),isblank($B725)),"", not(iserror(vlookup($A725&amp;$B725,'5) Release_Track'!$F:$F&amp;'5) Release_Track'!$G:$G,1,0))),vlookup($A725&amp;$B725,{'5) Release_Track'!$F:$F&amp;'5) Release_Track'!$G:$G,'5) Release_Track'!$J:$J},2,0), or(and(not(isblank($B725)),$B725=$B724,$A725&lt;&gt;$A724),and(not(isblank($A725)),$A725=$A724,$B725&lt;&gt;$B724)),"ID LISTS UNALIGNED",and($A725&lt;&gt;"",countif('5) Release_Track'!$F:$F,$A725)=0),"NO ISRC MATCH in Release_Track",and($B725&lt;&gt;"",countif('5) Release_Track'!$G:$G,$B725)=0),"NO CATALOG ID MATCH in Release_Track",iserror(vlookup($A725&amp;$B725,'5) Release_Track'!$F:$F&amp;'5) Release_Track'!$G:$G,1,0)),"NO ISRC-CATALOG ID pair MATCH in Release_Track" )</f>
        <v/>
      </c>
      <c r="F725" s="122"/>
      <c r="G725" s="99"/>
      <c r="H725" s="178"/>
      <c r="I725" s="121" t="str">
        <f t="shared" si="6"/>
        <v/>
      </c>
      <c r="J725" s="99"/>
      <c r="K725" s="99"/>
    </row>
    <row r="726">
      <c r="B726" s="103"/>
      <c r="C726" s="121" t="str">
        <f t="array" ref="C726">ifs(and(isblank($A726),isblank($B726)),"", not(iserror(vlookup($A726&amp;$B726,'5) Release_Track'!$F:$F&amp;'5) Release_Track'!$G:$G,1,0))),vlookup($A726&amp;$B726,{'5) Release_Track'!$F:$F&amp;'5) Release_Track'!$G:$G,'5) Release_Track'!$H:$H},2,0), or(and(not(isblank($B726)),$B726=$B725,$A726&lt;&gt;$A725),and(not(isblank($A726)),$A726=$A725,$B726&lt;&gt;$B725)),"ID LISTS UNALIGNED",and($A726&lt;&gt;"",countif('5) Release_Track'!$F:$F,$A726)=0),"NO ISRC MATCH in Release_Track",and($B726&lt;&gt;"",countif('5) Release_Track'!$G:$G,$B726)=0),"NO CATALOG ID MATCH in Release_Track",iserror(vlookup($A726&amp;$B726,'5) Release_Track'!$F:$F&amp;'5) Release_Track'!$G:$G,1,0)),"NO ISRC-CATALOG ID pair MATCH in Release_Track" )</f>
        <v/>
      </c>
      <c r="D726" s="121" t="str">
        <f t="array" ref="D726">ifs(and(isblank($A726),isblank($B726)),"", not(iserror(vlookup($A726&amp;$B726,'5) Release_Track'!$F:$F&amp;'5) Release_Track'!$G:$G,1,0))),vlookup($A726&amp;$B726,{'5) Release_Track'!$F:$F&amp;'5) Release_Track'!$G:$G,'5) Release_Track'!$I:$I},2,0), or(and(not(isblank($B726)),$B726=$B725,$A726&lt;&gt;$A725),and(not(isblank($A726)),$A726=$A725,$B726&lt;&gt;$B725)),"ID LISTS UNALIGNED",and($A726&lt;&gt;"",countif('5) Release_Track'!$F:$F,$A726)=0),"NO ISRC MATCH in Release_Track",and($B726&lt;&gt;"",countif('5) Release_Track'!$G:$G,$B726)=0),"NO CATALOG ID MATCH in Release_Track",iserror(vlookup($A726&amp;$B726,'5) Release_Track'!$F:$F&amp;'5) Release_Track'!$G:$G,1,0)),"NO ISRC-CATALOG ID pair MATCH in Release_Track" )</f>
        <v/>
      </c>
      <c r="E726" s="125" t="str">
        <f t="array" ref="E726">ifs(and(isblank($A726),isblank($B726)),"", not(iserror(vlookup($A726&amp;$B726,'5) Release_Track'!$F:$F&amp;'5) Release_Track'!$G:$G,1,0))),vlookup($A726&amp;$B726,{'5) Release_Track'!$F:$F&amp;'5) Release_Track'!$G:$G,'5) Release_Track'!$J:$J},2,0), or(and(not(isblank($B726)),$B726=$B725,$A726&lt;&gt;$A725),and(not(isblank($A726)),$A726=$A725,$B726&lt;&gt;$B725)),"ID LISTS UNALIGNED",and($A726&lt;&gt;"",countif('5) Release_Track'!$F:$F,$A726)=0),"NO ISRC MATCH in Release_Track",and($B726&lt;&gt;"",countif('5) Release_Track'!$G:$G,$B726)=0),"NO CATALOG ID MATCH in Release_Track",iserror(vlookup($A726&amp;$B726,'5) Release_Track'!$F:$F&amp;'5) Release_Track'!$G:$G,1,0)),"NO ISRC-CATALOG ID pair MATCH in Release_Track" )</f>
        <v/>
      </c>
      <c r="F726" s="122"/>
      <c r="G726" s="99"/>
      <c r="H726" s="178"/>
      <c r="I726" s="121" t="str">
        <f t="shared" si="6"/>
        <v/>
      </c>
      <c r="J726" s="99"/>
      <c r="K726" s="99"/>
    </row>
    <row r="727">
      <c r="B727" s="103"/>
      <c r="C727" s="121" t="str">
        <f t="array" ref="C727">ifs(and(isblank($A727),isblank($B727)),"", not(iserror(vlookup($A727&amp;$B727,'5) Release_Track'!$F:$F&amp;'5) Release_Track'!$G:$G,1,0))),vlookup($A727&amp;$B727,{'5) Release_Track'!$F:$F&amp;'5) Release_Track'!$G:$G,'5) Release_Track'!$H:$H},2,0), or(and(not(isblank($B727)),$B727=$B726,$A727&lt;&gt;$A726),and(not(isblank($A727)),$A727=$A726,$B727&lt;&gt;$B726)),"ID LISTS UNALIGNED",and($A727&lt;&gt;"",countif('5) Release_Track'!$F:$F,$A727)=0),"NO ISRC MATCH in Release_Track",and($B727&lt;&gt;"",countif('5) Release_Track'!$G:$G,$B727)=0),"NO CATALOG ID MATCH in Release_Track",iserror(vlookup($A727&amp;$B727,'5) Release_Track'!$F:$F&amp;'5) Release_Track'!$G:$G,1,0)),"NO ISRC-CATALOG ID pair MATCH in Release_Track" )</f>
        <v/>
      </c>
      <c r="D727" s="121" t="str">
        <f t="array" ref="D727">ifs(and(isblank($A727),isblank($B727)),"", not(iserror(vlookup($A727&amp;$B727,'5) Release_Track'!$F:$F&amp;'5) Release_Track'!$G:$G,1,0))),vlookup($A727&amp;$B727,{'5) Release_Track'!$F:$F&amp;'5) Release_Track'!$G:$G,'5) Release_Track'!$I:$I},2,0), or(and(not(isblank($B727)),$B727=$B726,$A727&lt;&gt;$A726),and(not(isblank($A727)),$A727=$A726,$B727&lt;&gt;$B726)),"ID LISTS UNALIGNED",and($A727&lt;&gt;"",countif('5) Release_Track'!$F:$F,$A727)=0),"NO ISRC MATCH in Release_Track",and($B727&lt;&gt;"",countif('5) Release_Track'!$G:$G,$B727)=0),"NO CATALOG ID MATCH in Release_Track",iserror(vlookup($A727&amp;$B727,'5) Release_Track'!$F:$F&amp;'5) Release_Track'!$G:$G,1,0)),"NO ISRC-CATALOG ID pair MATCH in Release_Track" )</f>
        <v/>
      </c>
      <c r="E727" s="125" t="str">
        <f t="array" ref="E727">ifs(and(isblank($A727),isblank($B727)),"", not(iserror(vlookup($A727&amp;$B727,'5) Release_Track'!$F:$F&amp;'5) Release_Track'!$G:$G,1,0))),vlookup($A727&amp;$B727,{'5) Release_Track'!$F:$F&amp;'5) Release_Track'!$G:$G,'5) Release_Track'!$J:$J},2,0), or(and(not(isblank($B727)),$B727=$B726,$A727&lt;&gt;$A726),and(not(isblank($A727)),$A727=$A726,$B727&lt;&gt;$B726)),"ID LISTS UNALIGNED",and($A727&lt;&gt;"",countif('5) Release_Track'!$F:$F,$A727)=0),"NO ISRC MATCH in Release_Track",and($B727&lt;&gt;"",countif('5) Release_Track'!$G:$G,$B727)=0),"NO CATALOG ID MATCH in Release_Track",iserror(vlookup($A727&amp;$B727,'5) Release_Track'!$F:$F&amp;'5) Release_Track'!$G:$G,1,0)),"NO ISRC-CATALOG ID pair MATCH in Release_Track" )</f>
        <v/>
      </c>
      <c r="F727" s="122"/>
      <c r="G727" s="99"/>
      <c r="H727" s="178"/>
      <c r="I727" s="121" t="str">
        <f t="shared" si="6"/>
        <v/>
      </c>
      <c r="J727" s="99"/>
      <c r="K727" s="99"/>
    </row>
    <row r="728">
      <c r="B728" s="103"/>
      <c r="C728" s="121" t="str">
        <f t="array" ref="C728">ifs(and(isblank($A728),isblank($B728)),"", not(iserror(vlookup($A728&amp;$B728,'5) Release_Track'!$F:$F&amp;'5) Release_Track'!$G:$G,1,0))),vlookup($A728&amp;$B728,{'5) Release_Track'!$F:$F&amp;'5) Release_Track'!$G:$G,'5) Release_Track'!$H:$H},2,0), or(and(not(isblank($B728)),$B728=$B727,$A728&lt;&gt;$A727),and(not(isblank($A728)),$A728=$A727,$B728&lt;&gt;$B727)),"ID LISTS UNALIGNED",and($A728&lt;&gt;"",countif('5) Release_Track'!$F:$F,$A728)=0),"NO ISRC MATCH in Release_Track",and($B728&lt;&gt;"",countif('5) Release_Track'!$G:$G,$B728)=0),"NO CATALOG ID MATCH in Release_Track",iserror(vlookup($A728&amp;$B728,'5) Release_Track'!$F:$F&amp;'5) Release_Track'!$G:$G,1,0)),"NO ISRC-CATALOG ID pair MATCH in Release_Track" )</f>
        <v/>
      </c>
      <c r="D728" s="121" t="str">
        <f t="array" ref="D728">ifs(and(isblank($A728),isblank($B728)),"", not(iserror(vlookup($A728&amp;$B728,'5) Release_Track'!$F:$F&amp;'5) Release_Track'!$G:$G,1,0))),vlookup($A728&amp;$B728,{'5) Release_Track'!$F:$F&amp;'5) Release_Track'!$G:$G,'5) Release_Track'!$I:$I},2,0), or(and(not(isblank($B728)),$B728=$B727,$A728&lt;&gt;$A727),and(not(isblank($A728)),$A728=$A727,$B728&lt;&gt;$B727)),"ID LISTS UNALIGNED",and($A728&lt;&gt;"",countif('5) Release_Track'!$F:$F,$A728)=0),"NO ISRC MATCH in Release_Track",and($B728&lt;&gt;"",countif('5) Release_Track'!$G:$G,$B728)=0),"NO CATALOG ID MATCH in Release_Track",iserror(vlookup($A728&amp;$B728,'5) Release_Track'!$F:$F&amp;'5) Release_Track'!$G:$G,1,0)),"NO ISRC-CATALOG ID pair MATCH in Release_Track" )</f>
        <v/>
      </c>
      <c r="E728" s="125" t="str">
        <f t="array" ref="E728">ifs(and(isblank($A728),isblank($B728)),"", not(iserror(vlookup($A728&amp;$B728,'5) Release_Track'!$F:$F&amp;'5) Release_Track'!$G:$G,1,0))),vlookup($A728&amp;$B728,{'5) Release_Track'!$F:$F&amp;'5) Release_Track'!$G:$G,'5) Release_Track'!$J:$J},2,0), or(and(not(isblank($B728)),$B728=$B727,$A728&lt;&gt;$A727),and(not(isblank($A728)),$A728=$A727,$B728&lt;&gt;$B727)),"ID LISTS UNALIGNED",and($A728&lt;&gt;"",countif('5) Release_Track'!$F:$F,$A728)=0),"NO ISRC MATCH in Release_Track",and($B728&lt;&gt;"",countif('5) Release_Track'!$G:$G,$B728)=0),"NO CATALOG ID MATCH in Release_Track",iserror(vlookup($A728&amp;$B728,'5) Release_Track'!$F:$F&amp;'5) Release_Track'!$G:$G,1,0)),"NO ISRC-CATALOG ID pair MATCH in Release_Track" )</f>
        <v/>
      </c>
      <c r="F728" s="122"/>
      <c r="G728" s="99"/>
      <c r="H728" s="178"/>
      <c r="I728" s="121" t="str">
        <f t="shared" si="6"/>
        <v/>
      </c>
      <c r="J728" s="99"/>
      <c r="K728" s="99"/>
    </row>
    <row r="729">
      <c r="B729" s="103"/>
      <c r="C729" s="121" t="str">
        <f t="array" ref="C729">ifs(and(isblank($A729),isblank($B729)),"", not(iserror(vlookup($A729&amp;$B729,'5) Release_Track'!$F:$F&amp;'5) Release_Track'!$G:$G,1,0))),vlookup($A729&amp;$B729,{'5) Release_Track'!$F:$F&amp;'5) Release_Track'!$G:$G,'5) Release_Track'!$H:$H},2,0), or(and(not(isblank($B729)),$B729=$B728,$A729&lt;&gt;$A728),and(not(isblank($A729)),$A729=$A728,$B729&lt;&gt;$B728)),"ID LISTS UNALIGNED",and($A729&lt;&gt;"",countif('5) Release_Track'!$F:$F,$A729)=0),"NO ISRC MATCH in Release_Track",and($B729&lt;&gt;"",countif('5) Release_Track'!$G:$G,$B729)=0),"NO CATALOG ID MATCH in Release_Track",iserror(vlookup($A729&amp;$B729,'5) Release_Track'!$F:$F&amp;'5) Release_Track'!$G:$G,1,0)),"NO ISRC-CATALOG ID pair MATCH in Release_Track" )</f>
        <v/>
      </c>
      <c r="D729" s="121" t="str">
        <f t="array" ref="D729">ifs(and(isblank($A729),isblank($B729)),"", not(iserror(vlookup($A729&amp;$B729,'5) Release_Track'!$F:$F&amp;'5) Release_Track'!$G:$G,1,0))),vlookup($A729&amp;$B729,{'5) Release_Track'!$F:$F&amp;'5) Release_Track'!$G:$G,'5) Release_Track'!$I:$I},2,0), or(and(not(isblank($B729)),$B729=$B728,$A729&lt;&gt;$A728),and(not(isblank($A729)),$A729=$A728,$B729&lt;&gt;$B728)),"ID LISTS UNALIGNED",and($A729&lt;&gt;"",countif('5) Release_Track'!$F:$F,$A729)=0),"NO ISRC MATCH in Release_Track",and($B729&lt;&gt;"",countif('5) Release_Track'!$G:$G,$B729)=0),"NO CATALOG ID MATCH in Release_Track",iserror(vlookup($A729&amp;$B729,'5) Release_Track'!$F:$F&amp;'5) Release_Track'!$G:$G,1,0)),"NO ISRC-CATALOG ID pair MATCH in Release_Track" )</f>
        <v/>
      </c>
      <c r="E729" s="125" t="str">
        <f t="array" ref="E729">ifs(and(isblank($A729),isblank($B729)),"", not(iserror(vlookup($A729&amp;$B729,'5) Release_Track'!$F:$F&amp;'5) Release_Track'!$G:$G,1,0))),vlookup($A729&amp;$B729,{'5) Release_Track'!$F:$F&amp;'5) Release_Track'!$G:$G,'5) Release_Track'!$J:$J},2,0), or(and(not(isblank($B729)),$B729=$B728,$A729&lt;&gt;$A728),and(not(isblank($A729)),$A729=$A728,$B729&lt;&gt;$B728)),"ID LISTS UNALIGNED",and($A729&lt;&gt;"",countif('5) Release_Track'!$F:$F,$A729)=0),"NO ISRC MATCH in Release_Track",and($B729&lt;&gt;"",countif('5) Release_Track'!$G:$G,$B729)=0),"NO CATALOG ID MATCH in Release_Track",iserror(vlookup($A729&amp;$B729,'5) Release_Track'!$F:$F&amp;'5) Release_Track'!$G:$G,1,0)),"NO ISRC-CATALOG ID pair MATCH in Release_Track" )</f>
        <v/>
      </c>
      <c r="F729" s="122"/>
      <c r="G729" s="99"/>
      <c r="H729" s="178"/>
      <c r="I729" s="121" t="str">
        <f t="shared" si="6"/>
        <v/>
      </c>
      <c r="J729" s="99"/>
      <c r="K729" s="99"/>
    </row>
    <row r="730">
      <c r="B730" s="103"/>
      <c r="C730" s="121" t="str">
        <f t="array" ref="C730">ifs(and(isblank($A730),isblank($B730)),"", not(iserror(vlookup($A730&amp;$B730,'5) Release_Track'!$F:$F&amp;'5) Release_Track'!$G:$G,1,0))),vlookup($A730&amp;$B730,{'5) Release_Track'!$F:$F&amp;'5) Release_Track'!$G:$G,'5) Release_Track'!$H:$H},2,0), or(and(not(isblank($B730)),$B730=$B729,$A730&lt;&gt;$A729),and(not(isblank($A730)),$A730=$A729,$B730&lt;&gt;$B729)),"ID LISTS UNALIGNED",and($A730&lt;&gt;"",countif('5) Release_Track'!$F:$F,$A730)=0),"NO ISRC MATCH in Release_Track",and($B730&lt;&gt;"",countif('5) Release_Track'!$G:$G,$B730)=0),"NO CATALOG ID MATCH in Release_Track",iserror(vlookup($A730&amp;$B730,'5) Release_Track'!$F:$F&amp;'5) Release_Track'!$G:$G,1,0)),"NO ISRC-CATALOG ID pair MATCH in Release_Track" )</f>
        <v/>
      </c>
      <c r="D730" s="121" t="str">
        <f t="array" ref="D730">ifs(and(isblank($A730),isblank($B730)),"", not(iserror(vlookup($A730&amp;$B730,'5) Release_Track'!$F:$F&amp;'5) Release_Track'!$G:$G,1,0))),vlookup($A730&amp;$B730,{'5) Release_Track'!$F:$F&amp;'5) Release_Track'!$G:$G,'5) Release_Track'!$I:$I},2,0), or(and(not(isblank($B730)),$B730=$B729,$A730&lt;&gt;$A729),and(not(isblank($A730)),$A730=$A729,$B730&lt;&gt;$B729)),"ID LISTS UNALIGNED",and($A730&lt;&gt;"",countif('5) Release_Track'!$F:$F,$A730)=0),"NO ISRC MATCH in Release_Track",and($B730&lt;&gt;"",countif('5) Release_Track'!$G:$G,$B730)=0),"NO CATALOG ID MATCH in Release_Track",iserror(vlookup($A730&amp;$B730,'5) Release_Track'!$F:$F&amp;'5) Release_Track'!$G:$G,1,0)),"NO ISRC-CATALOG ID pair MATCH in Release_Track" )</f>
        <v/>
      </c>
      <c r="E730" s="125" t="str">
        <f t="array" ref="E730">ifs(and(isblank($A730),isblank($B730)),"", not(iserror(vlookup($A730&amp;$B730,'5) Release_Track'!$F:$F&amp;'5) Release_Track'!$G:$G,1,0))),vlookup($A730&amp;$B730,{'5) Release_Track'!$F:$F&amp;'5) Release_Track'!$G:$G,'5) Release_Track'!$J:$J},2,0), or(and(not(isblank($B730)),$B730=$B729,$A730&lt;&gt;$A729),and(not(isblank($A730)),$A730=$A729,$B730&lt;&gt;$B729)),"ID LISTS UNALIGNED",and($A730&lt;&gt;"",countif('5) Release_Track'!$F:$F,$A730)=0),"NO ISRC MATCH in Release_Track",and($B730&lt;&gt;"",countif('5) Release_Track'!$G:$G,$B730)=0),"NO CATALOG ID MATCH in Release_Track",iserror(vlookup($A730&amp;$B730,'5) Release_Track'!$F:$F&amp;'5) Release_Track'!$G:$G,1,0)),"NO ISRC-CATALOG ID pair MATCH in Release_Track" )</f>
        <v/>
      </c>
      <c r="F730" s="122"/>
      <c r="G730" s="99"/>
      <c r="H730" s="178"/>
      <c r="I730" s="121" t="str">
        <f t="shared" si="6"/>
        <v/>
      </c>
      <c r="J730" s="99"/>
      <c r="K730" s="99"/>
    </row>
    <row r="731">
      <c r="B731" s="103"/>
      <c r="C731" s="121" t="str">
        <f t="array" ref="C731">ifs(and(isblank($A731),isblank($B731)),"", not(iserror(vlookup($A731&amp;$B731,'5) Release_Track'!$F:$F&amp;'5) Release_Track'!$G:$G,1,0))),vlookup($A731&amp;$B731,{'5) Release_Track'!$F:$F&amp;'5) Release_Track'!$G:$G,'5) Release_Track'!$H:$H},2,0), or(and(not(isblank($B731)),$B731=$B730,$A731&lt;&gt;$A730),and(not(isblank($A731)),$A731=$A730,$B731&lt;&gt;$B730)),"ID LISTS UNALIGNED",and($A731&lt;&gt;"",countif('5) Release_Track'!$F:$F,$A731)=0),"NO ISRC MATCH in Release_Track",and($B731&lt;&gt;"",countif('5) Release_Track'!$G:$G,$B731)=0),"NO CATALOG ID MATCH in Release_Track",iserror(vlookup($A731&amp;$B731,'5) Release_Track'!$F:$F&amp;'5) Release_Track'!$G:$G,1,0)),"NO ISRC-CATALOG ID pair MATCH in Release_Track" )</f>
        <v/>
      </c>
      <c r="D731" s="121" t="str">
        <f t="array" ref="D731">ifs(and(isblank($A731),isblank($B731)),"", not(iserror(vlookup($A731&amp;$B731,'5) Release_Track'!$F:$F&amp;'5) Release_Track'!$G:$G,1,0))),vlookup($A731&amp;$B731,{'5) Release_Track'!$F:$F&amp;'5) Release_Track'!$G:$G,'5) Release_Track'!$I:$I},2,0), or(and(not(isblank($B731)),$B731=$B730,$A731&lt;&gt;$A730),and(not(isblank($A731)),$A731=$A730,$B731&lt;&gt;$B730)),"ID LISTS UNALIGNED",and($A731&lt;&gt;"",countif('5) Release_Track'!$F:$F,$A731)=0),"NO ISRC MATCH in Release_Track",and($B731&lt;&gt;"",countif('5) Release_Track'!$G:$G,$B731)=0),"NO CATALOG ID MATCH in Release_Track",iserror(vlookup($A731&amp;$B731,'5) Release_Track'!$F:$F&amp;'5) Release_Track'!$G:$G,1,0)),"NO ISRC-CATALOG ID pair MATCH in Release_Track" )</f>
        <v/>
      </c>
      <c r="E731" s="125" t="str">
        <f t="array" ref="E731">ifs(and(isblank($A731),isblank($B731)),"", not(iserror(vlookup($A731&amp;$B731,'5) Release_Track'!$F:$F&amp;'5) Release_Track'!$G:$G,1,0))),vlookup($A731&amp;$B731,{'5) Release_Track'!$F:$F&amp;'5) Release_Track'!$G:$G,'5) Release_Track'!$J:$J},2,0), or(and(not(isblank($B731)),$B731=$B730,$A731&lt;&gt;$A730),and(not(isblank($A731)),$A731=$A730,$B731&lt;&gt;$B730)),"ID LISTS UNALIGNED",and($A731&lt;&gt;"",countif('5) Release_Track'!$F:$F,$A731)=0),"NO ISRC MATCH in Release_Track",and($B731&lt;&gt;"",countif('5) Release_Track'!$G:$G,$B731)=0),"NO CATALOG ID MATCH in Release_Track",iserror(vlookup($A731&amp;$B731,'5) Release_Track'!$F:$F&amp;'5) Release_Track'!$G:$G,1,0)),"NO ISRC-CATALOG ID pair MATCH in Release_Track" )</f>
        <v/>
      </c>
      <c r="F731" s="122"/>
      <c r="G731" s="99"/>
      <c r="H731" s="178"/>
      <c r="I731" s="121" t="str">
        <f t="shared" si="6"/>
        <v/>
      </c>
      <c r="J731" s="99"/>
      <c r="K731" s="99"/>
    </row>
    <row r="732">
      <c r="B732" s="103"/>
      <c r="C732" s="121" t="str">
        <f t="array" ref="C732">ifs(and(isblank($A732),isblank($B732)),"", not(iserror(vlookup($A732&amp;$B732,'5) Release_Track'!$F:$F&amp;'5) Release_Track'!$G:$G,1,0))),vlookup($A732&amp;$B732,{'5) Release_Track'!$F:$F&amp;'5) Release_Track'!$G:$G,'5) Release_Track'!$H:$H},2,0), or(and(not(isblank($B732)),$B732=$B731,$A732&lt;&gt;$A731),and(not(isblank($A732)),$A732=$A731,$B732&lt;&gt;$B731)),"ID LISTS UNALIGNED",and($A732&lt;&gt;"",countif('5) Release_Track'!$F:$F,$A732)=0),"NO ISRC MATCH in Release_Track",and($B732&lt;&gt;"",countif('5) Release_Track'!$G:$G,$B732)=0),"NO CATALOG ID MATCH in Release_Track",iserror(vlookup($A732&amp;$B732,'5) Release_Track'!$F:$F&amp;'5) Release_Track'!$G:$G,1,0)),"NO ISRC-CATALOG ID pair MATCH in Release_Track" )</f>
        <v/>
      </c>
      <c r="D732" s="121" t="str">
        <f t="array" ref="D732">ifs(and(isblank($A732),isblank($B732)),"", not(iserror(vlookup($A732&amp;$B732,'5) Release_Track'!$F:$F&amp;'5) Release_Track'!$G:$G,1,0))),vlookup($A732&amp;$B732,{'5) Release_Track'!$F:$F&amp;'5) Release_Track'!$G:$G,'5) Release_Track'!$I:$I},2,0), or(and(not(isblank($B732)),$B732=$B731,$A732&lt;&gt;$A731),and(not(isblank($A732)),$A732=$A731,$B732&lt;&gt;$B731)),"ID LISTS UNALIGNED",and($A732&lt;&gt;"",countif('5) Release_Track'!$F:$F,$A732)=0),"NO ISRC MATCH in Release_Track",and($B732&lt;&gt;"",countif('5) Release_Track'!$G:$G,$B732)=0),"NO CATALOG ID MATCH in Release_Track",iserror(vlookup($A732&amp;$B732,'5) Release_Track'!$F:$F&amp;'5) Release_Track'!$G:$G,1,0)),"NO ISRC-CATALOG ID pair MATCH in Release_Track" )</f>
        <v/>
      </c>
      <c r="E732" s="125" t="str">
        <f t="array" ref="E732">ifs(and(isblank($A732),isblank($B732)),"", not(iserror(vlookup($A732&amp;$B732,'5) Release_Track'!$F:$F&amp;'5) Release_Track'!$G:$G,1,0))),vlookup($A732&amp;$B732,{'5) Release_Track'!$F:$F&amp;'5) Release_Track'!$G:$G,'5) Release_Track'!$J:$J},2,0), or(and(not(isblank($B732)),$B732=$B731,$A732&lt;&gt;$A731),and(not(isblank($A732)),$A732=$A731,$B732&lt;&gt;$B731)),"ID LISTS UNALIGNED",and($A732&lt;&gt;"",countif('5) Release_Track'!$F:$F,$A732)=0),"NO ISRC MATCH in Release_Track",and($B732&lt;&gt;"",countif('5) Release_Track'!$G:$G,$B732)=0),"NO CATALOG ID MATCH in Release_Track",iserror(vlookup($A732&amp;$B732,'5) Release_Track'!$F:$F&amp;'5) Release_Track'!$G:$G,1,0)),"NO ISRC-CATALOG ID pair MATCH in Release_Track" )</f>
        <v/>
      </c>
      <c r="F732" s="122"/>
      <c r="G732" s="99"/>
      <c r="H732" s="178"/>
      <c r="I732" s="121" t="str">
        <f t="shared" si="6"/>
        <v/>
      </c>
      <c r="J732" s="99"/>
      <c r="K732" s="99"/>
    </row>
    <row r="733">
      <c r="B733" s="103"/>
      <c r="C733" s="121" t="str">
        <f t="array" ref="C733">ifs(and(isblank($A733),isblank($B733)),"", not(iserror(vlookup($A733&amp;$B733,'5) Release_Track'!$F:$F&amp;'5) Release_Track'!$G:$G,1,0))),vlookup($A733&amp;$B733,{'5) Release_Track'!$F:$F&amp;'5) Release_Track'!$G:$G,'5) Release_Track'!$H:$H},2,0), or(and(not(isblank($B733)),$B733=$B732,$A733&lt;&gt;$A732),and(not(isblank($A733)),$A733=$A732,$B733&lt;&gt;$B732)),"ID LISTS UNALIGNED",and($A733&lt;&gt;"",countif('5) Release_Track'!$F:$F,$A733)=0),"NO ISRC MATCH in Release_Track",and($B733&lt;&gt;"",countif('5) Release_Track'!$G:$G,$B733)=0),"NO CATALOG ID MATCH in Release_Track",iserror(vlookup($A733&amp;$B733,'5) Release_Track'!$F:$F&amp;'5) Release_Track'!$G:$G,1,0)),"NO ISRC-CATALOG ID pair MATCH in Release_Track" )</f>
        <v/>
      </c>
      <c r="D733" s="121" t="str">
        <f t="array" ref="D733">ifs(and(isblank($A733),isblank($B733)),"", not(iserror(vlookup($A733&amp;$B733,'5) Release_Track'!$F:$F&amp;'5) Release_Track'!$G:$G,1,0))),vlookup($A733&amp;$B733,{'5) Release_Track'!$F:$F&amp;'5) Release_Track'!$G:$G,'5) Release_Track'!$I:$I},2,0), or(and(not(isblank($B733)),$B733=$B732,$A733&lt;&gt;$A732),and(not(isblank($A733)),$A733=$A732,$B733&lt;&gt;$B732)),"ID LISTS UNALIGNED",and($A733&lt;&gt;"",countif('5) Release_Track'!$F:$F,$A733)=0),"NO ISRC MATCH in Release_Track",and($B733&lt;&gt;"",countif('5) Release_Track'!$G:$G,$B733)=0),"NO CATALOG ID MATCH in Release_Track",iserror(vlookup($A733&amp;$B733,'5) Release_Track'!$F:$F&amp;'5) Release_Track'!$G:$G,1,0)),"NO ISRC-CATALOG ID pair MATCH in Release_Track" )</f>
        <v/>
      </c>
      <c r="E733" s="125" t="str">
        <f t="array" ref="E733">ifs(and(isblank($A733),isblank($B733)),"", not(iserror(vlookup($A733&amp;$B733,'5) Release_Track'!$F:$F&amp;'5) Release_Track'!$G:$G,1,0))),vlookup($A733&amp;$B733,{'5) Release_Track'!$F:$F&amp;'5) Release_Track'!$G:$G,'5) Release_Track'!$J:$J},2,0), or(and(not(isblank($B733)),$B733=$B732,$A733&lt;&gt;$A732),and(not(isblank($A733)),$A733=$A732,$B733&lt;&gt;$B732)),"ID LISTS UNALIGNED",and($A733&lt;&gt;"",countif('5) Release_Track'!$F:$F,$A733)=0),"NO ISRC MATCH in Release_Track",and($B733&lt;&gt;"",countif('5) Release_Track'!$G:$G,$B733)=0),"NO CATALOG ID MATCH in Release_Track",iserror(vlookup($A733&amp;$B733,'5) Release_Track'!$F:$F&amp;'5) Release_Track'!$G:$G,1,0)),"NO ISRC-CATALOG ID pair MATCH in Release_Track" )</f>
        <v/>
      </c>
      <c r="F733" s="122"/>
      <c r="G733" s="99"/>
      <c r="H733" s="178"/>
      <c r="I733" s="121" t="str">
        <f t="shared" si="6"/>
        <v/>
      </c>
      <c r="J733" s="99"/>
      <c r="K733" s="99"/>
    </row>
    <row r="734">
      <c r="B734" s="103"/>
      <c r="C734" s="121" t="str">
        <f t="array" ref="C734">ifs(and(isblank($A734),isblank($B734)),"", not(iserror(vlookup($A734&amp;$B734,'5) Release_Track'!$F:$F&amp;'5) Release_Track'!$G:$G,1,0))),vlookup($A734&amp;$B734,{'5) Release_Track'!$F:$F&amp;'5) Release_Track'!$G:$G,'5) Release_Track'!$H:$H},2,0), or(and(not(isblank($B734)),$B734=$B733,$A734&lt;&gt;$A733),and(not(isblank($A734)),$A734=$A733,$B734&lt;&gt;$B733)),"ID LISTS UNALIGNED",and($A734&lt;&gt;"",countif('5) Release_Track'!$F:$F,$A734)=0),"NO ISRC MATCH in Release_Track",and($B734&lt;&gt;"",countif('5) Release_Track'!$G:$G,$B734)=0),"NO CATALOG ID MATCH in Release_Track",iserror(vlookup($A734&amp;$B734,'5) Release_Track'!$F:$F&amp;'5) Release_Track'!$G:$G,1,0)),"NO ISRC-CATALOG ID pair MATCH in Release_Track" )</f>
        <v/>
      </c>
      <c r="D734" s="121" t="str">
        <f t="array" ref="D734">ifs(and(isblank($A734),isblank($B734)),"", not(iserror(vlookup($A734&amp;$B734,'5) Release_Track'!$F:$F&amp;'5) Release_Track'!$G:$G,1,0))),vlookup($A734&amp;$B734,{'5) Release_Track'!$F:$F&amp;'5) Release_Track'!$G:$G,'5) Release_Track'!$I:$I},2,0), or(and(not(isblank($B734)),$B734=$B733,$A734&lt;&gt;$A733),and(not(isblank($A734)),$A734=$A733,$B734&lt;&gt;$B733)),"ID LISTS UNALIGNED",and($A734&lt;&gt;"",countif('5) Release_Track'!$F:$F,$A734)=0),"NO ISRC MATCH in Release_Track",and($B734&lt;&gt;"",countif('5) Release_Track'!$G:$G,$B734)=0),"NO CATALOG ID MATCH in Release_Track",iserror(vlookup($A734&amp;$B734,'5) Release_Track'!$F:$F&amp;'5) Release_Track'!$G:$G,1,0)),"NO ISRC-CATALOG ID pair MATCH in Release_Track" )</f>
        <v/>
      </c>
      <c r="E734" s="125" t="str">
        <f t="array" ref="E734">ifs(and(isblank($A734),isblank($B734)),"", not(iserror(vlookup($A734&amp;$B734,'5) Release_Track'!$F:$F&amp;'5) Release_Track'!$G:$G,1,0))),vlookup($A734&amp;$B734,{'5) Release_Track'!$F:$F&amp;'5) Release_Track'!$G:$G,'5) Release_Track'!$J:$J},2,0), or(and(not(isblank($B734)),$B734=$B733,$A734&lt;&gt;$A733),and(not(isblank($A734)),$A734=$A733,$B734&lt;&gt;$B733)),"ID LISTS UNALIGNED",and($A734&lt;&gt;"",countif('5) Release_Track'!$F:$F,$A734)=0),"NO ISRC MATCH in Release_Track",and($B734&lt;&gt;"",countif('5) Release_Track'!$G:$G,$B734)=0),"NO CATALOG ID MATCH in Release_Track",iserror(vlookup($A734&amp;$B734,'5) Release_Track'!$F:$F&amp;'5) Release_Track'!$G:$G,1,0)),"NO ISRC-CATALOG ID pair MATCH in Release_Track" )</f>
        <v/>
      </c>
      <c r="F734" s="122"/>
      <c r="G734" s="99"/>
      <c r="H734" s="178"/>
      <c r="I734" s="121" t="str">
        <f t="shared" si="6"/>
        <v/>
      </c>
      <c r="J734" s="99"/>
      <c r="K734" s="99"/>
    </row>
    <row r="735">
      <c r="B735" s="103"/>
      <c r="C735" s="121" t="str">
        <f t="array" ref="C735">ifs(and(isblank($A735),isblank($B735)),"", not(iserror(vlookup($A735&amp;$B735,'5) Release_Track'!$F:$F&amp;'5) Release_Track'!$G:$G,1,0))),vlookup($A735&amp;$B735,{'5) Release_Track'!$F:$F&amp;'5) Release_Track'!$G:$G,'5) Release_Track'!$H:$H},2,0), or(and(not(isblank($B735)),$B735=$B734,$A735&lt;&gt;$A734),and(not(isblank($A735)),$A735=$A734,$B735&lt;&gt;$B734)),"ID LISTS UNALIGNED",and($A735&lt;&gt;"",countif('5) Release_Track'!$F:$F,$A735)=0),"NO ISRC MATCH in Release_Track",and($B735&lt;&gt;"",countif('5) Release_Track'!$G:$G,$B735)=0),"NO CATALOG ID MATCH in Release_Track",iserror(vlookup($A735&amp;$B735,'5) Release_Track'!$F:$F&amp;'5) Release_Track'!$G:$G,1,0)),"NO ISRC-CATALOG ID pair MATCH in Release_Track" )</f>
        <v/>
      </c>
      <c r="D735" s="121" t="str">
        <f t="array" ref="D735">ifs(and(isblank($A735),isblank($B735)),"", not(iserror(vlookup($A735&amp;$B735,'5) Release_Track'!$F:$F&amp;'5) Release_Track'!$G:$G,1,0))),vlookup($A735&amp;$B735,{'5) Release_Track'!$F:$F&amp;'5) Release_Track'!$G:$G,'5) Release_Track'!$I:$I},2,0), or(and(not(isblank($B735)),$B735=$B734,$A735&lt;&gt;$A734),and(not(isblank($A735)),$A735=$A734,$B735&lt;&gt;$B734)),"ID LISTS UNALIGNED",and($A735&lt;&gt;"",countif('5) Release_Track'!$F:$F,$A735)=0),"NO ISRC MATCH in Release_Track",and($B735&lt;&gt;"",countif('5) Release_Track'!$G:$G,$B735)=0),"NO CATALOG ID MATCH in Release_Track",iserror(vlookup($A735&amp;$B735,'5) Release_Track'!$F:$F&amp;'5) Release_Track'!$G:$G,1,0)),"NO ISRC-CATALOG ID pair MATCH in Release_Track" )</f>
        <v/>
      </c>
      <c r="E735" s="125" t="str">
        <f t="array" ref="E735">ifs(and(isblank($A735),isblank($B735)),"", not(iserror(vlookup($A735&amp;$B735,'5) Release_Track'!$F:$F&amp;'5) Release_Track'!$G:$G,1,0))),vlookup($A735&amp;$B735,{'5) Release_Track'!$F:$F&amp;'5) Release_Track'!$G:$G,'5) Release_Track'!$J:$J},2,0), or(and(not(isblank($B735)),$B735=$B734,$A735&lt;&gt;$A734),and(not(isblank($A735)),$A735=$A734,$B735&lt;&gt;$B734)),"ID LISTS UNALIGNED",and($A735&lt;&gt;"",countif('5) Release_Track'!$F:$F,$A735)=0),"NO ISRC MATCH in Release_Track",and($B735&lt;&gt;"",countif('5) Release_Track'!$G:$G,$B735)=0),"NO CATALOG ID MATCH in Release_Track",iserror(vlookup($A735&amp;$B735,'5) Release_Track'!$F:$F&amp;'5) Release_Track'!$G:$G,1,0)),"NO ISRC-CATALOG ID pair MATCH in Release_Track" )</f>
        <v/>
      </c>
      <c r="F735" s="122"/>
      <c r="G735" s="99"/>
      <c r="H735" s="178"/>
      <c r="I735" s="121" t="str">
        <f t="shared" si="6"/>
        <v/>
      </c>
      <c r="J735" s="99"/>
      <c r="K735" s="99"/>
    </row>
    <row r="736">
      <c r="B736" s="103"/>
      <c r="C736" s="121" t="str">
        <f t="array" ref="C736">ifs(and(isblank($A736),isblank($B736)),"", not(iserror(vlookup($A736&amp;$B736,'5) Release_Track'!$F:$F&amp;'5) Release_Track'!$G:$G,1,0))),vlookup($A736&amp;$B736,{'5) Release_Track'!$F:$F&amp;'5) Release_Track'!$G:$G,'5) Release_Track'!$H:$H},2,0), or(and(not(isblank($B736)),$B736=$B735,$A736&lt;&gt;$A735),and(not(isblank($A736)),$A736=$A735,$B736&lt;&gt;$B735)),"ID LISTS UNALIGNED",and($A736&lt;&gt;"",countif('5) Release_Track'!$F:$F,$A736)=0),"NO ISRC MATCH in Release_Track",and($B736&lt;&gt;"",countif('5) Release_Track'!$G:$G,$B736)=0),"NO CATALOG ID MATCH in Release_Track",iserror(vlookup($A736&amp;$B736,'5) Release_Track'!$F:$F&amp;'5) Release_Track'!$G:$G,1,0)),"NO ISRC-CATALOG ID pair MATCH in Release_Track" )</f>
        <v/>
      </c>
      <c r="D736" s="121" t="str">
        <f t="array" ref="D736">ifs(and(isblank($A736),isblank($B736)),"", not(iserror(vlookup($A736&amp;$B736,'5) Release_Track'!$F:$F&amp;'5) Release_Track'!$G:$G,1,0))),vlookup($A736&amp;$B736,{'5) Release_Track'!$F:$F&amp;'5) Release_Track'!$G:$G,'5) Release_Track'!$I:$I},2,0), or(and(not(isblank($B736)),$B736=$B735,$A736&lt;&gt;$A735),and(not(isblank($A736)),$A736=$A735,$B736&lt;&gt;$B735)),"ID LISTS UNALIGNED",and($A736&lt;&gt;"",countif('5) Release_Track'!$F:$F,$A736)=0),"NO ISRC MATCH in Release_Track",and($B736&lt;&gt;"",countif('5) Release_Track'!$G:$G,$B736)=0),"NO CATALOG ID MATCH in Release_Track",iserror(vlookup($A736&amp;$B736,'5) Release_Track'!$F:$F&amp;'5) Release_Track'!$G:$G,1,0)),"NO ISRC-CATALOG ID pair MATCH in Release_Track" )</f>
        <v/>
      </c>
      <c r="E736" s="125" t="str">
        <f t="array" ref="E736">ifs(and(isblank($A736),isblank($B736)),"", not(iserror(vlookup($A736&amp;$B736,'5) Release_Track'!$F:$F&amp;'5) Release_Track'!$G:$G,1,0))),vlookup($A736&amp;$B736,{'5) Release_Track'!$F:$F&amp;'5) Release_Track'!$G:$G,'5) Release_Track'!$J:$J},2,0), or(and(not(isblank($B736)),$B736=$B735,$A736&lt;&gt;$A735),and(not(isblank($A736)),$A736=$A735,$B736&lt;&gt;$B735)),"ID LISTS UNALIGNED",and($A736&lt;&gt;"",countif('5) Release_Track'!$F:$F,$A736)=0),"NO ISRC MATCH in Release_Track",and($B736&lt;&gt;"",countif('5) Release_Track'!$G:$G,$B736)=0),"NO CATALOG ID MATCH in Release_Track",iserror(vlookup($A736&amp;$B736,'5) Release_Track'!$F:$F&amp;'5) Release_Track'!$G:$G,1,0)),"NO ISRC-CATALOG ID pair MATCH in Release_Track" )</f>
        <v/>
      </c>
      <c r="F736" s="122"/>
      <c r="G736" s="99"/>
      <c r="H736" s="178"/>
      <c r="I736" s="121" t="str">
        <f t="shared" si="6"/>
        <v/>
      </c>
      <c r="J736" s="99"/>
      <c r="K736" s="99"/>
    </row>
    <row r="737">
      <c r="B737" s="103"/>
      <c r="C737" s="121" t="str">
        <f t="array" ref="C737">ifs(and(isblank($A737),isblank($B737)),"", not(iserror(vlookup($A737&amp;$B737,'5) Release_Track'!$F:$F&amp;'5) Release_Track'!$G:$G,1,0))),vlookup($A737&amp;$B737,{'5) Release_Track'!$F:$F&amp;'5) Release_Track'!$G:$G,'5) Release_Track'!$H:$H},2,0), or(and(not(isblank($B737)),$B737=$B736,$A737&lt;&gt;$A736),and(not(isblank($A737)),$A737=$A736,$B737&lt;&gt;$B736)),"ID LISTS UNALIGNED",and($A737&lt;&gt;"",countif('5) Release_Track'!$F:$F,$A737)=0),"NO ISRC MATCH in Release_Track",and($B737&lt;&gt;"",countif('5) Release_Track'!$G:$G,$B737)=0),"NO CATALOG ID MATCH in Release_Track",iserror(vlookup($A737&amp;$B737,'5) Release_Track'!$F:$F&amp;'5) Release_Track'!$G:$G,1,0)),"NO ISRC-CATALOG ID pair MATCH in Release_Track" )</f>
        <v/>
      </c>
      <c r="D737" s="121" t="str">
        <f t="array" ref="D737">ifs(and(isblank($A737),isblank($B737)),"", not(iserror(vlookup($A737&amp;$B737,'5) Release_Track'!$F:$F&amp;'5) Release_Track'!$G:$G,1,0))),vlookup($A737&amp;$B737,{'5) Release_Track'!$F:$F&amp;'5) Release_Track'!$G:$G,'5) Release_Track'!$I:$I},2,0), or(and(not(isblank($B737)),$B737=$B736,$A737&lt;&gt;$A736),and(not(isblank($A737)),$A737=$A736,$B737&lt;&gt;$B736)),"ID LISTS UNALIGNED",and($A737&lt;&gt;"",countif('5) Release_Track'!$F:$F,$A737)=0),"NO ISRC MATCH in Release_Track",and($B737&lt;&gt;"",countif('5) Release_Track'!$G:$G,$B737)=0),"NO CATALOG ID MATCH in Release_Track",iserror(vlookup($A737&amp;$B737,'5) Release_Track'!$F:$F&amp;'5) Release_Track'!$G:$G,1,0)),"NO ISRC-CATALOG ID pair MATCH in Release_Track" )</f>
        <v/>
      </c>
      <c r="E737" s="125" t="str">
        <f t="array" ref="E737">ifs(and(isblank($A737),isblank($B737)),"", not(iserror(vlookup($A737&amp;$B737,'5) Release_Track'!$F:$F&amp;'5) Release_Track'!$G:$G,1,0))),vlookup($A737&amp;$B737,{'5) Release_Track'!$F:$F&amp;'5) Release_Track'!$G:$G,'5) Release_Track'!$J:$J},2,0), or(and(not(isblank($B737)),$B737=$B736,$A737&lt;&gt;$A736),and(not(isblank($A737)),$A737=$A736,$B737&lt;&gt;$B736)),"ID LISTS UNALIGNED",and($A737&lt;&gt;"",countif('5) Release_Track'!$F:$F,$A737)=0),"NO ISRC MATCH in Release_Track",and($B737&lt;&gt;"",countif('5) Release_Track'!$G:$G,$B737)=0),"NO CATALOG ID MATCH in Release_Track",iserror(vlookup($A737&amp;$B737,'5) Release_Track'!$F:$F&amp;'5) Release_Track'!$G:$G,1,0)),"NO ISRC-CATALOG ID pair MATCH in Release_Track" )</f>
        <v/>
      </c>
      <c r="F737" s="122"/>
      <c r="G737" s="99"/>
      <c r="H737" s="178"/>
      <c r="I737" s="121" t="str">
        <f t="shared" si="6"/>
        <v/>
      </c>
      <c r="J737" s="99"/>
      <c r="K737" s="99"/>
    </row>
    <row r="738">
      <c r="B738" s="103"/>
      <c r="C738" s="121" t="str">
        <f t="array" ref="C738">ifs(and(isblank($A738),isblank($B738)),"", not(iserror(vlookup($A738&amp;$B738,'5) Release_Track'!$F:$F&amp;'5) Release_Track'!$G:$G,1,0))),vlookup($A738&amp;$B738,{'5) Release_Track'!$F:$F&amp;'5) Release_Track'!$G:$G,'5) Release_Track'!$H:$H},2,0), or(and(not(isblank($B738)),$B738=$B737,$A738&lt;&gt;$A737),and(not(isblank($A738)),$A738=$A737,$B738&lt;&gt;$B737)),"ID LISTS UNALIGNED",and($A738&lt;&gt;"",countif('5) Release_Track'!$F:$F,$A738)=0),"NO ISRC MATCH in Release_Track",and($B738&lt;&gt;"",countif('5) Release_Track'!$G:$G,$B738)=0),"NO CATALOG ID MATCH in Release_Track",iserror(vlookup($A738&amp;$B738,'5) Release_Track'!$F:$F&amp;'5) Release_Track'!$G:$G,1,0)),"NO ISRC-CATALOG ID pair MATCH in Release_Track" )</f>
        <v/>
      </c>
      <c r="D738" s="121" t="str">
        <f t="array" ref="D738">ifs(and(isblank($A738),isblank($B738)),"", not(iserror(vlookup($A738&amp;$B738,'5) Release_Track'!$F:$F&amp;'5) Release_Track'!$G:$G,1,0))),vlookup($A738&amp;$B738,{'5) Release_Track'!$F:$F&amp;'5) Release_Track'!$G:$G,'5) Release_Track'!$I:$I},2,0), or(and(not(isblank($B738)),$B738=$B737,$A738&lt;&gt;$A737),and(not(isblank($A738)),$A738=$A737,$B738&lt;&gt;$B737)),"ID LISTS UNALIGNED",and($A738&lt;&gt;"",countif('5) Release_Track'!$F:$F,$A738)=0),"NO ISRC MATCH in Release_Track",and($B738&lt;&gt;"",countif('5) Release_Track'!$G:$G,$B738)=0),"NO CATALOG ID MATCH in Release_Track",iserror(vlookup($A738&amp;$B738,'5) Release_Track'!$F:$F&amp;'5) Release_Track'!$G:$G,1,0)),"NO ISRC-CATALOG ID pair MATCH in Release_Track" )</f>
        <v/>
      </c>
      <c r="E738" s="125" t="str">
        <f t="array" ref="E738">ifs(and(isblank($A738),isblank($B738)),"", not(iserror(vlookup($A738&amp;$B738,'5) Release_Track'!$F:$F&amp;'5) Release_Track'!$G:$G,1,0))),vlookup($A738&amp;$B738,{'5) Release_Track'!$F:$F&amp;'5) Release_Track'!$G:$G,'5) Release_Track'!$J:$J},2,0), or(and(not(isblank($B738)),$B738=$B737,$A738&lt;&gt;$A737),and(not(isblank($A738)),$A738=$A737,$B738&lt;&gt;$B737)),"ID LISTS UNALIGNED",and($A738&lt;&gt;"",countif('5) Release_Track'!$F:$F,$A738)=0),"NO ISRC MATCH in Release_Track",and($B738&lt;&gt;"",countif('5) Release_Track'!$G:$G,$B738)=0),"NO CATALOG ID MATCH in Release_Track",iserror(vlookup($A738&amp;$B738,'5) Release_Track'!$F:$F&amp;'5) Release_Track'!$G:$G,1,0)),"NO ISRC-CATALOG ID pair MATCH in Release_Track" )</f>
        <v/>
      </c>
      <c r="F738" s="122"/>
      <c r="G738" s="99"/>
      <c r="H738" s="178"/>
      <c r="I738" s="121" t="str">
        <f t="shared" si="6"/>
        <v/>
      </c>
      <c r="J738" s="99"/>
      <c r="K738" s="99"/>
    </row>
    <row r="739">
      <c r="B739" s="103"/>
      <c r="C739" s="121" t="str">
        <f t="array" ref="C739">ifs(and(isblank($A739),isblank($B739)),"", not(iserror(vlookup($A739&amp;$B739,'5) Release_Track'!$F:$F&amp;'5) Release_Track'!$G:$G,1,0))),vlookup($A739&amp;$B739,{'5) Release_Track'!$F:$F&amp;'5) Release_Track'!$G:$G,'5) Release_Track'!$H:$H},2,0), or(and(not(isblank($B739)),$B739=$B738,$A739&lt;&gt;$A738),and(not(isblank($A739)),$A739=$A738,$B739&lt;&gt;$B738)),"ID LISTS UNALIGNED",and($A739&lt;&gt;"",countif('5) Release_Track'!$F:$F,$A739)=0),"NO ISRC MATCH in Release_Track",and($B739&lt;&gt;"",countif('5) Release_Track'!$G:$G,$B739)=0),"NO CATALOG ID MATCH in Release_Track",iserror(vlookup($A739&amp;$B739,'5) Release_Track'!$F:$F&amp;'5) Release_Track'!$G:$G,1,0)),"NO ISRC-CATALOG ID pair MATCH in Release_Track" )</f>
        <v/>
      </c>
      <c r="D739" s="121" t="str">
        <f t="array" ref="D739">ifs(and(isblank($A739),isblank($B739)),"", not(iserror(vlookup($A739&amp;$B739,'5) Release_Track'!$F:$F&amp;'5) Release_Track'!$G:$G,1,0))),vlookup($A739&amp;$B739,{'5) Release_Track'!$F:$F&amp;'5) Release_Track'!$G:$G,'5) Release_Track'!$I:$I},2,0), or(and(not(isblank($B739)),$B739=$B738,$A739&lt;&gt;$A738),and(not(isblank($A739)),$A739=$A738,$B739&lt;&gt;$B738)),"ID LISTS UNALIGNED",and($A739&lt;&gt;"",countif('5) Release_Track'!$F:$F,$A739)=0),"NO ISRC MATCH in Release_Track",and($B739&lt;&gt;"",countif('5) Release_Track'!$G:$G,$B739)=0),"NO CATALOG ID MATCH in Release_Track",iserror(vlookup($A739&amp;$B739,'5) Release_Track'!$F:$F&amp;'5) Release_Track'!$G:$G,1,0)),"NO ISRC-CATALOG ID pair MATCH in Release_Track" )</f>
        <v/>
      </c>
      <c r="E739" s="125" t="str">
        <f t="array" ref="E739">ifs(and(isblank($A739),isblank($B739)),"", not(iserror(vlookup($A739&amp;$B739,'5) Release_Track'!$F:$F&amp;'5) Release_Track'!$G:$G,1,0))),vlookup($A739&amp;$B739,{'5) Release_Track'!$F:$F&amp;'5) Release_Track'!$G:$G,'5) Release_Track'!$J:$J},2,0), or(and(not(isblank($B739)),$B739=$B738,$A739&lt;&gt;$A738),and(not(isblank($A739)),$A739=$A738,$B739&lt;&gt;$B738)),"ID LISTS UNALIGNED",and($A739&lt;&gt;"",countif('5) Release_Track'!$F:$F,$A739)=0),"NO ISRC MATCH in Release_Track",and($B739&lt;&gt;"",countif('5) Release_Track'!$G:$G,$B739)=0),"NO CATALOG ID MATCH in Release_Track",iserror(vlookup($A739&amp;$B739,'5) Release_Track'!$F:$F&amp;'5) Release_Track'!$G:$G,1,0)),"NO ISRC-CATALOG ID pair MATCH in Release_Track" )</f>
        <v/>
      </c>
      <c r="F739" s="122"/>
      <c r="G739" s="99"/>
      <c r="H739" s="178"/>
      <c r="I739" s="121" t="str">
        <f t="shared" si="6"/>
        <v/>
      </c>
      <c r="J739" s="99"/>
      <c r="K739" s="99"/>
    </row>
    <row r="740">
      <c r="B740" s="103"/>
      <c r="C740" s="121" t="str">
        <f t="array" ref="C740">ifs(and(isblank($A740),isblank($B740)),"", not(iserror(vlookup($A740&amp;$B740,'5) Release_Track'!$F:$F&amp;'5) Release_Track'!$G:$G,1,0))),vlookup($A740&amp;$B740,{'5) Release_Track'!$F:$F&amp;'5) Release_Track'!$G:$G,'5) Release_Track'!$H:$H},2,0), or(and(not(isblank($B740)),$B740=$B739,$A740&lt;&gt;$A739),and(not(isblank($A740)),$A740=$A739,$B740&lt;&gt;$B739)),"ID LISTS UNALIGNED",and($A740&lt;&gt;"",countif('5) Release_Track'!$F:$F,$A740)=0),"NO ISRC MATCH in Release_Track",and($B740&lt;&gt;"",countif('5) Release_Track'!$G:$G,$B740)=0),"NO CATALOG ID MATCH in Release_Track",iserror(vlookup($A740&amp;$B740,'5) Release_Track'!$F:$F&amp;'5) Release_Track'!$G:$G,1,0)),"NO ISRC-CATALOG ID pair MATCH in Release_Track" )</f>
        <v/>
      </c>
      <c r="D740" s="121" t="str">
        <f t="array" ref="D740">ifs(and(isblank($A740),isblank($B740)),"", not(iserror(vlookup($A740&amp;$B740,'5) Release_Track'!$F:$F&amp;'5) Release_Track'!$G:$G,1,0))),vlookup($A740&amp;$B740,{'5) Release_Track'!$F:$F&amp;'5) Release_Track'!$G:$G,'5) Release_Track'!$I:$I},2,0), or(and(not(isblank($B740)),$B740=$B739,$A740&lt;&gt;$A739),and(not(isblank($A740)),$A740=$A739,$B740&lt;&gt;$B739)),"ID LISTS UNALIGNED",and($A740&lt;&gt;"",countif('5) Release_Track'!$F:$F,$A740)=0),"NO ISRC MATCH in Release_Track",and($B740&lt;&gt;"",countif('5) Release_Track'!$G:$G,$B740)=0),"NO CATALOG ID MATCH in Release_Track",iserror(vlookup($A740&amp;$B740,'5) Release_Track'!$F:$F&amp;'5) Release_Track'!$G:$G,1,0)),"NO ISRC-CATALOG ID pair MATCH in Release_Track" )</f>
        <v/>
      </c>
      <c r="E740" s="125" t="str">
        <f t="array" ref="E740">ifs(and(isblank($A740),isblank($B740)),"", not(iserror(vlookup($A740&amp;$B740,'5) Release_Track'!$F:$F&amp;'5) Release_Track'!$G:$G,1,0))),vlookup($A740&amp;$B740,{'5) Release_Track'!$F:$F&amp;'5) Release_Track'!$G:$G,'5) Release_Track'!$J:$J},2,0), or(and(not(isblank($B740)),$B740=$B739,$A740&lt;&gt;$A739),and(not(isblank($A740)),$A740=$A739,$B740&lt;&gt;$B739)),"ID LISTS UNALIGNED",and($A740&lt;&gt;"",countif('5) Release_Track'!$F:$F,$A740)=0),"NO ISRC MATCH in Release_Track",and($B740&lt;&gt;"",countif('5) Release_Track'!$G:$G,$B740)=0),"NO CATALOG ID MATCH in Release_Track",iserror(vlookup($A740&amp;$B740,'5) Release_Track'!$F:$F&amp;'5) Release_Track'!$G:$G,1,0)),"NO ISRC-CATALOG ID pair MATCH in Release_Track" )</f>
        <v/>
      </c>
      <c r="F740" s="122"/>
      <c r="G740" s="99"/>
      <c r="H740" s="178"/>
      <c r="I740" s="121" t="str">
        <f t="shared" si="6"/>
        <v/>
      </c>
      <c r="J740" s="99"/>
      <c r="K740" s="99"/>
    </row>
    <row r="741">
      <c r="B741" s="103"/>
      <c r="C741" s="121" t="str">
        <f t="array" ref="C741">ifs(and(isblank($A741),isblank($B741)),"", not(iserror(vlookup($A741&amp;$B741,'5) Release_Track'!$F:$F&amp;'5) Release_Track'!$G:$G,1,0))),vlookup($A741&amp;$B741,{'5) Release_Track'!$F:$F&amp;'5) Release_Track'!$G:$G,'5) Release_Track'!$H:$H},2,0), or(and(not(isblank($B741)),$B741=$B740,$A741&lt;&gt;$A740),and(not(isblank($A741)),$A741=$A740,$B741&lt;&gt;$B740)),"ID LISTS UNALIGNED",and($A741&lt;&gt;"",countif('5) Release_Track'!$F:$F,$A741)=0),"NO ISRC MATCH in Release_Track",and($B741&lt;&gt;"",countif('5) Release_Track'!$G:$G,$B741)=0),"NO CATALOG ID MATCH in Release_Track",iserror(vlookup($A741&amp;$B741,'5) Release_Track'!$F:$F&amp;'5) Release_Track'!$G:$G,1,0)),"NO ISRC-CATALOG ID pair MATCH in Release_Track" )</f>
        <v/>
      </c>
      <c r="D741" s="121" t="str">
        <f t="array" ref="D741">ifs(and(isblank($A741),isblank($B741)),"", not(iserror(vlookup($A741&amp;$B741,'5) Release_Track'!$F:$F&amp;'5) Release_Track'!$G:$G,1,0))),vlookup($A741&amp;$B741,{'5) Release_Track'!$F:$F&amp;'5) Release_Track'!$G:$G,'5) Release_Track'!$I:$I},2,0), or(and(not(isblank($B741)),$B741=$B740,$A741&lt;&gt;$A740),and(not(isblank($A741)),$A741=$A740,$B741&lt;&gt;$B740)),"ID LISTS UNALIGNED",and($A741&lt;&gt;"",countif('5) Release_Track'!$F:$F,$A741)=0),"NO ISRC MATCH in Release_Track",and($B741&lt;&gt;"",countif('5) Release_Track'!$G:$G,$B741)=0),"NO CATALOG ID MATCH in Release_Track",iserror(vlookup($A741&amp;$B741,'5) Release_Track'!$F:$F&amp;'5) Release_Track'!$G:$G,1,0)),"NO ISRC-CATALOG ID pair MATCH in Release_Track" )</f>
        <v/>
      </c>
      <c r="E741" s="125" t="str">
        <f t="array" ref="E741">ifs(and(isblank($A741),isblank($B741)),"", not(iserror(vlookup($A741&amp;$B741,'5) Release_Track'!$F:$F&amp;'5) Release_Track'!$G:$G,1,0))),vlookup($A741&amp;$B741,{'5) Release_Track'!$F:$F&amp;'5) Release_Track'!$G:$G,'5) Release_Track'!$J:$J},2,0), or(and(not(isblank($B741)),$B741=$B740,$A741&lt;&gt;$A740),and(not(isblank($A741)),$A741=$A740,$B741&lt;&gt;$B740)),"ID LISTS UNALIGNED",and($A741&lt;&gt;"",countif('5) Release_Track'!$F:$F,$A741)=0),"NO ISRC MATCH in Release_Track",and($B741&lt;&gt;"",countif('5) Release_Track'!$G:$G,$B741)=0),"NO CATALOG ID MATCH in Release_Track",iserror(vlookup($A741&amp;$B741,'5) Release_Track'!$F:$F&amp;'5) Release_Track'!$G:$G,1,0)),"NO ISRC-CATALOG ID pair MATCH in Release_Track" )</f>
        <v/>
      </c>
      <c r="F741" s="122"/>
      <c r="G741" s="99"/>
      <c r="H741" s="178"/>
      <c r="I741" s="121" t="str">
        <f t="shared" si="6"/>
        <v/>
      </c>
      <c r="J741" s="99"/>
      <c r="K741" s="99"/>
    </row>
    <row r="742">
      <c r="B742" s="103"/>
      <c r="C742" s="121" t="str">
        <f t="array" ref="C742">ifs(and(isblank($A742),isblank($B742)),"", not(iserror(vlookup($A742&amp;$B742,'5) Release_Track'!$F:$F&amp;'5) Release_Track'!$G:$G,1,0))),vlookup($A742&amp;$B742,{'5) Release_Track'!$F:$F&amp;'5) Release_Track'!$G:$G,'5) Release_Track'!$H:$H},2,0), or(and(not(isblank($B742)),$B742=$B741,$A742&lt;&gt;$A741),and(not(isblank($A742)),$A742=$A741,$B742&lt;&gt;$B741)),"ID LISTS UNALIGNED",and($A742&lt;&gt;"",countif('5) Release_Track'!$F:$F,$A742)=0),"NO ISRC MATCH in Release_Track",and($B742&lt;&gt;"",countif('5) Release_Track'!$G:$G,$B742)=0),"NO CATALOG ID MATCH in Release_Track",iserror(vlookup($A742&amp;$B742,'5) Release_Track'!$F:$F&amp;'5) Release_Track'!$G:$G,1,0)),"NO ISRC-CATALOG ID pair MATCH in Release_Track" )</f>
        <v/>
      </c>
      <c r="D742" s="121" t="str">
        <f t="array" ref="D742">ifs(and(isblank($A742),isblank($B742)),"", not(iserror(vlookup($A742&amp;$B742,'5) Release_Track'!$F:$F&amp;'5) Release_Track'!$G:$G,1,0))),vlookup($A742&amp;$B742,{'5) Release_Track'!$F:$F&amp;'5) Release_Track'!$G:$G,'5) Release_Track'!$I:$I},2,0), or(and(not(isblank($B742)),$B742=$B741,$A742&lt;&gt;$A741),and(not(isblank($A742)),$A742=$A741,$B742&lt;&gt;$B741)),"ID LISTS UNALIGNED",and($A742&lt;&gt;"",countif('5) Release_Track'!$F:$F,$A742)=0),"NO ISRC MATCH in Release_Track",and($B742&lt;&gt;"",countif('5) Release_Track'!$G:$G,$B742)=0),"NO CATALOG ID MATCH in Release_Track",iserror(vlookup($A742&amp;$B742,'5) Release_Track'!$F:$F&amp;'5) Release_Track'!$G:$G,1,0)),"NO ISRC-CATALOG ID pair MATCH in Release_Track" )</f>
        <v/>
      </c>
      <c r="E742" s="125" t="str">
        <f t="array" ref="E742">ifs(and(isblank($A742),isblank($B742)),"", not(iserror(vlookup($A742&amp;$B742,'5) Release_Track'!$F:$F&amp;'5) Release_Track'!$G:$G,1,0))),vlookup($A742&amp;$B742,{'5) Release_Track'!$F:$F&amp;'5) Release_Track'!$G:$G,'5) Release_Track'!$J:$J},2,0), or(and(not(isblank($B742)),$B742=$B741,$A742&lt;&gt;$A741),and(not(isblank($A742)),$A742=$A741,$B742&lt;&gt;$B741)),"ID LISTS UNALIGNED",and($A742&lt;&gt;"",countif('5) Release_Track'!$F:$F,$A742)=0),"NO ISRC MATCH in Release_Track",and($B742&lt;&gt;"",countif('5) Release_Track'!$G:$G,$B742)=0),"NO CATALOG ID MATCH in Release_Track",iserror(vlookup($A742&amp;$B742,'5) Release_Track'!$F:$F&amp;'5) Release_Track'!$G:$G,1,0)),"NO ISRC-CATALOG ID pair MATCH in Release_Track" )</f>
        <v/>
      </c>
      <c r="F742" s="122"/>
      <c r="G742" s="99"/>
      <c r="H742" s="178"/>
      <c r="I742" s="121" t="str">
        <f t="shared" si="6"/>
        <v/>
      </c>
      <c r="J742" s="99"/>
      <c r="K742" s="99"/>
    </row>
    <row r="743">
      <c r="B743" s="103"/>
      <c r="C743" s="121" t="str">
        <f t="array" ref="C743">ifs(and(isblank($A743),isblank($B743)),"", not(iserror(vlookup($A743&amp;$B743,'5) Release_Track'!$F:$F&amp;'5) Release_Track'!$G:$G,1,0))),vlookup($A743&amp;$B743,{'5) Release_Track'!$F:$F&amp;'5) Release_Track'!$G:$G,'5) Release_Track'!$H:$H},2,0), or(and(not(isblank($B743)),$B743=$B742,$A743&lt;&gt;$A742),and(not(isblank($A743)),$A743=$A742,$B743&lt;&gt;$B742)),"ID LISTS UNALIGNED",and($A743&lt;&gt;"",countif('5) Release_Track'!$F:$F,$A743)=0),"NO ISRC MATCH in Release_Track",and($B743&lt;&gt;"",countif('5) Release_Track'!$G:$G,$B743)=0),"NO CATALOG ID MATCH in Release_Track",iserror(vlookup($A743&amp;$B743,'5) Release_Track'!$F:$F&amp;'5) Release_Track'!$G:$G,1,0)),"NO ISRC-CATALOG ID pair MATCH in Release_Track" )</f>
        <v/>
      </c>
      <c r="D743" s="121" t="str">
        <f t="array" ref="D743">ifs(and(isblank($A743),isblank($B743)),"", not(iserror(vlookup($A743&amp;$B743,'5) Release_Track'!$F:$F&amp;'5) Release_Track'!$G:$G,1,0))),vlookup($A743&amp;$B743,{'5) Release_Track'!$F:$F&amp;'5) Release_Track'!$G:$G,'5) Release_Track'!$I:$I},2,0), or(and(not(isblank($B743)),$B743=$B742,$A743&lt;&gt;$A742),and(not(isblank($A743)),$A743=$A742,$B743&lt;&gt;$B742)),"ID LISTS UNALIGNED",and($A743&lt;&gt;"",countif('5) Release_Track'!$F:$F,$A743)=0),"NO ISRC MATCH in Release_Track",and($B743&lt;&gt;"",countif('5) Release_Track'!$G:$G,$B743)=0),"NO CATALOG ID MATCH in Release_Track",iserror(vlookup($A743&amp;$B743,'5) Release_Track'!$F:$F&amp;'5) Release_Track'!$G:$G,1,0)),"NO ISRC-CATALOG ID pair MATCH in Release_Track" )</f>
        <v/>
      </c>
      <c r="E743" s="125" t="str">
        <f t="array" ref="E743">ifs(and(isblank($A743),isblank($B743)),"", not(iserror(vlookup($A743&amp;$B743,'5) Release_Track'!$F:$F&amp;'5) Release_Track'!$G:$G,1,0))),vlookup($A743&amp;$B743,{'5) Release_Track'!$F:$F&amp;'5) Release_Track'!$G:$G,'5) Release_Track'!$J:$J},2,0), or(and(not(isblank($B743)),$B743=$B742,$A743&lt;&gt;$A742),and(not(isblank($A743)),$A743=$A742,$B743&lt;&gt;$B742)),"ID LISTS UNALIGNED",and($A743&lt;&gt;"",countif('5) Release_Track'!$F:$F,$A743)=0),"NO ISRC MATCH in Release_Track",and($B743&lt;&gt;"",countif('5) Release_Track'!$G:$G,$B743)=0),"NO CATALOG ID MATCH in Release_Track",iserror(vlookup($A743&amp;$B743,'5) Release_Track'!$F:$F&amp;'5) Release_Track'!$G:$G,1,0)),"NO ISRC-CATALOG ID pair MATCH in Release_Track" )</f>
        <v/>
      </c>
      <c r="F743" s="122"/>
      <c r="G743" s="99"/>
      <c r="H743" s="178"/>
      <c r="I743" s="121" t="str">
        <f t="shared" si="6"/>
        <v/>
      </c>
      <c r="J743" s="99"/>
      <c r="K743" s="99"/>
    </row>
    <row r="744">
      <c r="B744" s="103"/>
      <c r="C744" s="121" t="str">
        <f t="array" ref="C744">ifs(and(isblank($A744),isblank($B744)),"", not(iserror(vlookup($A744&amp;$B744,'5) Release_Track'!$F:$F&amp;'5) Release_Track'!$G:$G,1,0))),vlookup($A744&amp;$B744,{'5) Release_Track'!$F:$F&amp;'5) Release_Track'!$G:$G,'5) Release_Track'!$H:$H},2,0), or(and(not(isblank($B744)),$B744=$B743,$A744&lt;&gt;$A743),and(not(isblank($A744)),$A744=$A743,$B744&lt;&gt;$B743)),"ID LISTS UNALIGNED",and($A744&lt;&gt;"",countif('5) Release_Track'!$F:$F,$A744)=0),"NO ISRC MATCH in Release_Track",and($B744&lt;&gt;"",countif('5) Release_Track'!$G:$G,$B744)=0),"NO CATALOG ID MATCH in Release_Track",iserror(vlookup($A744&amp;$B744,'5) Release_Track'!$F:$F&amp;'5) Release_Track'!$G:$G,1,0)),"NO ISRC-CATALOG ID pair MATCH in Release_Track" )</f>
        <v/>
      </c>
      <c r="D744" s="121" t="str">
        <f t="array" ref="D744">ifs(and(isblank($A744),isblank($B744)),"", not(iserror(vlookup($A744&amp;$B744,'5) Release_Track'!$F:$F&amp;'5) Release_Track'!$G:$G,1,0))),vlookup($A744&amp;$B744,{'5) Release_Track'!$F:$F&amp;'5) Release_Track'!$G:$G,'5) Release_Track'!$I:$I},2,0), or(and(not(isblank($B744)),$B744=$B743,$A744&lt;&gt;$A743),and(not(isblank($A744)),$A744=$A743,$B744&lt;&gt;$B743)),"ID LISTS UNALIGNED",and($A744&lt;&gt;"",countif('5) Release_Track'!$F:$F,$A744)=0),"NO ISRC MATCH in Release_Track",and($B744&lt;&gt;"",countif('5) Release_Track'!$G:$G,$B744)=0),"NO CATALOG ID MATCH in Release_Track",iserror(vlookup($A744&amp;$B744,'5) Release_Track'!$F:$F&amp;'5) Release_Track'!$G:$G,1,0)),"NO ISRC-CATALOG ID pair MATCH in Release_Track" )</f>
        <v/>
      </c>
      <c r="E744" s="125" t="str">
        <f t="array" ref="E744">ifs(and(isblank($A744),isblank($B744)),"", not(iserror(vlookup($A744&amp;$B744,'5) Release_Track'!$F:$F&amp;'5) Release_Track'!$G:$G,1,0))),vlookup($A744&amp;$B744,{'5) Release_Track'!$F:$F&amp;'5) Release_Track'!$G:$G,'5) Release_Track'!$J:$J},2,0), or(and(not(isblank($B744)),$B744=$B743,$A744&lt;&gt;$A743),and(not(isblank($A744)),$A744=$A743,$B744&lt;&gt;$B743)),"ID LISTS UNALIGNED",and($A744&lt;&gt;"",countif('5) Release_Track'!$F:$F,$A744)=0),"NO ISRC MATCH in Release_Track",and($B744&lt;&gt;"",countif('5) Release_Track'!$G:$G,$B744)=0),"NO CATALOG ID MATCH in Release_Track",iserror(vlookup($A744&amp;$B744,'5) Release_Track'!$F:$F&amp;'5) Release_Track'!$G:$G,1,0)),"NO ISRC-CATALOG ID pair MATCH in Release_Track" )</f>
        <v/>
      </c>
      <c r="F744" s="122"/>
      <c r="G744" s="99"/>
      <c r="H744" s="178"/>
      <c r="I744" s="121" t="str">
        <f t="shared" si="6"/>
        <v/>
      </c>
      <c r="J744" s="99"/>
      <c r="K744" s="99"/>
    </row>
    <row r="745">
      <c r="B745" s="103"/>
      <c r="C745" s="121" t="str">
        <f t="array" ref="C745">ifs(and(isblank($A745),isblank($B745)),"", not(iserror(vlookup($A745&amp;$B745,'5) Release_Track'!$F:$F&amp;'5) Release_Track'!$G:$G,1,0))),vlookup($A745&amp;$B745,{'5) Release_Track'!$F:$F&amp;'5) Release_Track'!$G:$G,'5) Release_Track'!$H:$H},2,0), or(and(not(isblank($B745)),$B745=$B744,$A745&lt;&gt;$A744),and(not(isblank($A745)),$A745=$A744,$B745&lt;&gt;$B744)),"ID LISTS UNALIGNED",and($A745&lt;&gt;"",countif('5) Release_Track'!$F:$F,$A745)=0),"NO ISRC MATCH in Release_Track",and($B745&lt;&gt;"",countif('5) Release_Track'!$G:$G,$B745)=0),"NO CATALOG ID MATCH in Release_Track",iserror(vlookup($A745&amp;$B745,'5) Release_Track'!$F:$F&amp;'5) Release_Track'!$G:$G,1,0)),"NO ISRC-CATALOG ID pair MATCH in Release_Track" )</f>
        <v/>
      </c>
      <c r="D745" s="121" t="str">
        <f t="array" ref="D745">ifs(and(isblank($A745),isblank($B745)),"", not(iserror(vlookup($A745&amp;$B745,'5) Release_Track'!$F:$F&amp;'5) Release_Track'!$G:$G,1,0))),vlookup($A745&amp;$B745,{'5) Release_Track'!$F:$F&amp;'5) Release_Track'!$G:$G,'5) Release_Track'!$I:$I},2,0), or(and(not(isblank($B745)),$B745=$B744,$A745&lt;&gt;$A744),and(not(isblank($A745)),$A745=$A744,$B745&lt;&gt;$B744)),"ID LISTS UNALIGNED",and($A745&lt;&gt;"",countif('5) Release_Track'!$F:$F,$A745)=0),"NO ISRC MATCH in Release_Track",and($B745&lt;&gt;"",countif('5) Release_Track'!$G:$G,$B745)=0),"NO CATALOG ID MATCH in Release_Track",iserror(vlookup($A745&amp;$B745,'5) Release_Track'!$F:$F&amp;'5) Release_Track'!$G:$G,1,0)),"NO ISRC-CATALOG ID pair MATCH in Release_Track" )</f>
        <v/>
      </c>
      <c r="E745" s="125" t="str">
        <f t="array" ref="E745">ifs(and(isblank($A745),isblank($B745)),"", not(iserror(vlookup($A745&amp;$B745,'5) Release_Track'!$F:$F&amp;'5) Release_Track'!$G:$G,1,0))),vlookup($A745&amp;$B745,{'5) Release_Track'!$F:$F&amp;'5) Release_Track'!$G:$G,'5) Release_Track'!$J:$J},2,0), or(and(not(isblank($B745)),$B745=$B744,$A745&lt;&gt;$A744),and(not(isblank($A745)),$A745=$A744,$B745&lt;&gt;$B744)),"ID LISTS UNALIGNED",and($A745&lt;&gt;"",countif('5) Release_Track'!$F:$F,$A745)=0),"NO ISRC MATCH in Release_Track",and($B745&lt;&gt;"",countif('5) Release_Track'!$G:$G,$B745)=0),"NO CATALOG ID MATCH in Release_Track",iserror(vlookup($A745&amp;$B745,'5) Release_Track'!$F:$F&amp;'5) Release_Track'!$G:$G,1,0)),"NO ISRC-CATALOG ID pair MATCH in Release_Track" )</f>
        <v/>
      </c>
      <c r="F745" s="122"/>
      <c r="G745" s="99"/>
      <c r="H745" s="178"/>
      <c r="I745" s="121" t="str">
        <f t="shared" si="6"/>
        <v/>
      </c>
      <c r="J745" s="99"/>
      <c r="K745" s="99"/>
    </row>
    <row r="746">
      <c r="B746" s="103"/>
      <c r="C746" s="121" t="str">
        <f t="array" ref="C746">ifs(and(isblank($A746),isblank($B746)),"", not(iserror(vlookup($A746&amp;$B746,'5) Release_Track'!$F:$F&amp;'5) Release_Track'!$G:$G,1,0))),vlookup($A746&amp;$B746,{'5) Release_Track'!$F:$F&amp;'5) Release_Track'!$G:$G,'5) Release_Track'!$H:$H},2,0), or(and(not(isblank($B746)),$B746=$B745,$A746&lt;&gt;$A745),and(not(isblank($A746)),$A746=$A745,$B746&lt;&gt;$B745)),"ID LISTS UNALIGNED",and($A746&lt;&gt;"",countif('5) Release_Track'!$F:$F,$A746)=0),"NO ISRC MATCH in Release_Track",and($B746&lt;&gt;"",countif('5) Release_Track'!$G:$G,$B746)=0),"NO CATALOG ID MATCH in Release_Track",iserror(vlookup($A746&amp;$B746,'5) Release_Track'!$F:$F&amp;'5) Release_Track'!$G:$G,1,0)),"NO ISRC-CATALOG ID pair MATCH in Release_Track" )</f>
        <v/>
      </c>
      <c r="D746" s="121" t="str">
        <f t="array" ref="D746">ifs(and(isblank($A746),isblank($B746)),"", not(iserror(vlookup($A746&amp;$B746,'5) Release_Track'!$F:$F&amp;'5) Release_Track'!$G:$G,1,0))),vlookup($A746&amp;$B746,{'5) Release_Track'!$F:$F&amp;'5) Release_Track'!$G:$G,'5) Release_Track'!$I:$I},2,0), or(and(not(isblank($B746)),$B746=$B745,$A746&lt;&gt;$A745),and(not(isblank($A746)),$A746=$A745,$B746&lt;&gt;$B745)),"ID LISTS UNALIGNED",and($A746&lt;&gt;"",countif('5) Release_Track'!$F:$F,$A746)=0),"NO ISRC MATCH in Release_Track",and($B746&lt;&gt;"",countif('5) Release_Track'!$G:$G,$B746)=0),"NO CATALOG ID MATCH in Release_Track",iserror(vlookup($A746&amp;$B746,'5) Release_Track'!$F:$F&amp;'5) Release_Track'!$G:$G,1,0)),"NO ISRC-CATALOG ID pair MATCH in Release_Track" )</f>
        <v/>
      </c>
      <c r="E746" s="125" t="str">
        <f t="array" ref="E746">ifs(and(isblank($A746),isblank($B746)),"", not(iserror(vlookup($A746&amp;$B746,'5) Release_Track'!$F:$F&amp;'5) Release_Track'!$G:$G,1,0))),vlookup($A746&amp;$B746,{'5) Release_Track'!$F:$F&amp;'5) Release_Track'!$G:$G,'5) Release_Track'!$J:$J},2,0), or(and(not(isblank($B746)),$B746=$B745,$A746&lt;&gt;$A745),and(not(isblank($A746)),$A746=$A745,$B746&lt;&gt;$B745)),"ID LISTS UNALIGNED",and($A746&lt;&gt;"",countif('5) Release_Track'!$F:$F,$A746)=0),"NO ISRC MATCH in Release_Track",and($B746&lt;&gt;"",countif('5) Release_Track'!$G:$G,$B746)=0),"NO CATALOG ID MATCH in Release_Track",iserror(vlookup($A746&amp;$B746,'5) Release_Track'!$F:$F&amp;'5) Release_Track'!$G:$G,1,0)),"NO ISRC-CATALOG ID pair MATCH in Release_Track" )</f>
        <v/>
      </c>
      <c r="F746" s="122"/>
      <c r="G746" s="99"/>
      <c r="H746" s="178"/>
      <c r="I746" s="121" t="str">
        <f t="shared" si="6"/>
        <v/>
      </c>
      <c r="J746" s="99"/>
      <c r="K746" s="99"/>
    </row>
    <row r="747">
      <c r="B747" s="103"/>
      <c r="C747" s="121" t="str">
        <f t="array" ref="C747">ifs(and(isblank($A747),isblank($B747)),"", not(iserror(vlookup($A747&amp;$B747,'5) Release_Track'!$F:$F&amp;'5) Release_Track'!$G:$G,1,0))),vlookup($A747&amp;$B747,{'5) Release_Track'!$F:$F&amp;'5) Release_Track'!$G:$G,'5) Release_Track'!$H:$H},2,0), or(and(not(isblank($B747)),$B747=$B746,$A747&lt;&gt;$A746),and(not(isblank($A747)),$A747=$A746,$B747&lt;&gt;$B746)),"ID LISTS UNALIGNED",and($A747&lt;&gt;"",countif('5) Release_Track'!$F:$F,$A747)=0),"NO ISRC MATCH in Release_Track",and($B747&lt;&gt;"",countif('5) Release_Track'!$G:$G,$B747)=0),"NO CATALOG ID MATCH in Release_Track",iserror(vlookup($A747&amp;$B747,'5) Release_Track'!$F:$F&amp;'5) Release_Track'!$G:$G,1,0)),"NO ISRC-CATALOG ID pair MATCH in Release_Track" )</f>
        <v/>
      </c>
      <c r="D747" s="121" t="str">
        <f t="array" ref="D747">ifs(and(isblank($A747),isblank($B747)),"", not(iserror(vlookup($A747&amp;$B747,'5) Release_Track'!$F:$F&amp;'5) Release_Track'!$G:$G,1,0))),vlookup($A747&amp;$B747,{'5) Release_Track'!$F:$F&amp;'5) Release_Track'!$G:$G,'5) Release_Track'!$I:$I},2,0), or(and(not(isblank($B747)),$B747=$B746,$A747&lt;&gt;$A746),and(not(isblank($A747)),$A747=$A746,$B747&lt;&gt;$B746)),"ID LISTS UNALIGNED",and($A747&lt;&gt;"",countif('5) Release_Track'!$F:$F,$A747)=0),"NO ISRC MATCH in Release_Track",and($B747&lt;&gt;"",countif('5) Release_Track'!$G:$G,$B747)=0),"NO CATALOG ID MATCH in Release_Track",iserror(vlookup($A747&amp;$B747,'5) Release_Track'!$F:$F&amp;'5) Release_Track'!$G:$G,1,0)),"NO ISRC-CATALOG ID pair MATCH in Release_Track" )</f>
        <v/>
      </c>
      <c r="E747" s="125" t="str">
        <f t="array" ref="E747">ifs(and(isblank($A747),isblank($B747)),"", not(iserror(vlookup($A747&amp;$B747,'5) Release_Track'!$F:$F&amp;'5) Release_Track'!$G:$G,1,0))),vlookup($A747&amp;$B747,{'5) Release_Track'!$F:$F&amp;'5) Release_Track'!$G:$G,'5) Release_Track'!$J:$J},2,0), or(and(not(isblank($B747)),$B747=$B746,$A747&lt;&gt;$A746),and(not(isblank($A747)),$A747=$A746,$B747&lt;&gt;$B746)),"ID LISTS UNALIGNED",and($A747&lt;&gt;"",countif('5) Release_Track'!$F:$F,$A747)=0),"NO ISRC MATCH in Release_Track",and($B747&lt;&gt;"",countif('5) Release_Track'!$G:$G,$B747)=0),"NO CATALOG ID MATCH in Release_Track",iserror(vlookup($A747&amp;$B747,'5) Release_Track'!$F:$F&amp;'5) Release_Track'!$G:$G,1,0)),"NO ISRC-CATALOG ID pair MATCH in Release_Track" )</f>
        <v/>
      </c>
      <c r="F747" s="122"/>
      <c r="G747" s="99"/>
      <c r="H747" s="178"/>
      <c r="I747" s="121" t="str">
        <f t="shared" si="6"/>
        <v/>
      </c>
      <c r="J747" s="99"/>
      <c r="K747" s="99"/>
    </row>
    <row r="748">
      <c r="B748" s="103"/>
      <c r="C748" s="121" t="str">
        <f t="array" ref="C748">ifs(and(isblank($A748),isblank($B748)),"", not(iserror(vlookup($A748&amp;$B748,'5) Release_Track'!$F:$F&amp;'5) Release_Track'!$G:$G,1,0))),vlookup($A748&amp;$B748,{'5) Release_Track'!$F:$F&amp;'5) Release_Track'!$G:$G,'5) Release_Track'!$H:$H},2,0), or(and(not(isblank($B748)),$B748=$B747,$A748&lt;&gt;$A747),and(not(isblank($A748)),$A748=$A747,$B748&lt;&gt;$B747)),"ID LISTS UNALIGNED",and($A748&lt;&gt;"",countif('5) Release_Track'!$F:$F,$A748)=0),"NO ISRC MATCH in Release_Track",and($B748&lt;&gt;"",countif('5) Release_Track'!$G:$G,$B748)=0),"NO CATALOG ID MATCH in Release_Track",iserror(vlookup($A748&amp;$B748,'5) Release_Track'!$F:$F&amp;'5) Release_Track'!$G:$G,1,0)),"NO ISRC-CATALOG ID pair MATCH in Release_Track" )</f>
        <v/>
      </c>
      <c r="D748" s="121" t="str">
        <f t="array" ref="D748">ifs(and(isblank($A748),isblank($B748)),"", not(iserror(vlookup($A748&amp;$B748,'5) Release_Track'!$F:$F&amp;'5) Release_Track'!$G:$G,1,0))),vlookup($A748&amp;$B748,{'5) Release_Track'!$F:$F&amp;'5) Release_Track'!$G:$G,'5) Release_Track'!$I:$I},2,0), or(and(not(isblank($B748)),$B748=$B747,$A748&lt;&gt;$A747),and(not(isblank($A748)),$A748=$A747,$B748&lt;&gt;$B747)),"ID LISTS UNALIGNED",and($A748&lt;&gt;"",countif('5) Release_Track'!$F:$F,$A748)=0),"NO ISRC MATCH in Release_Track",and($B748&lt;&gt;"",countif('5) Release_Track'!$G:$G,$B748)=0),"NO CATALOG ID MATCH in Release_Track",iserror(vlookup($A748&amp;$B748,'5) Release_Track'!$F:$F&amp;'5) Release_Track'!$G:$G,1,0)),"NO ISRC-CATALOG ID pair MATCH in Release_Track" )</f>
        <v/>
      </c>
      <c r="E748" s="125" t="str">
        <f t="array" ref="E748">ifs(and(isblank($A748),isblank($B748)),"", not(iserror(vlookup($A748&amp;$B748,'5) Release_Track'!$F:$F&amp;'5) Release_Track'!$G:$G,1,0))),vlookup($A748&amp;$B748,{'5) Release_Track'!$F:$F&amp;'5) Release_Track'!$G:$G,'5) Release_Track'!$J:$J},2,0), or(and(not(isblank($B748)),$B748=$B747,$A748&lt;&gt;$A747),and(not(isblank($A748)),$A748=$A747,$B748&lt;&gt;$B747)),"ID LISTS UNALIGNED",and($A748&lt;&gt;"",countif('5) Release_Track'!$F:$F,$A748)=0),"NO ISRC MATCH in Release_Track",and($B748&lt;&gt;"",countif('5) Release_Track'!$G:$G,$B748)=0),"NO CATALOG ID MATCH in Release_Track",iserror(vlookup($A748&amp;$B748,'5) Release_Track'!$F:$F&amp;'5) Release_Track'!$G:$G,1,0)),"NO ISRC-CATALOG ID pair MATCH in Release_Track" )</f>
        <v/>
      </c>
      <c r="F748" s="122"/>
      <c r="G748" s="99"/>
      <c r="H748" s="178"/>
      <c r="I748" s="121" t="str">
        <f t="shared" si="6"/>
        <v/>
      </c>
      <c r="J748" s="99"/>
      <c r="K748" s="99"/>
    </row>
    <row r="749">
      <c r="B749" s="103"/>
      <c r="C749" s="121" t="str">
        <f t="array" ref="C749">ifs(and(isblank($A749),isblank($B749)),"", not(iserror(vlookup($A749&amp;$B749,'5) Release_Track'!$F:$F&amp;'5) Release_Track'!$G:$G,1,0))),vlookup($A749&amp;$B749,{'5) Release_Track'!$F:$F&amp;'5) Release_Track'!$G:$G,'5) Release_Track'!$H:$H},2,0), or(and(not(isblank($B749)),$B749=$B748,$A749&lt;&gt;$A748),and(not(isblank($A749)),$A749=$A748,$B749&lt;&gt;$B748)),"ID LISTS UNALIGNED",and($A749&lt;&gt;"",countif('5) Release_Track'!$F:$F,$A749)=0),"NO ISRC MATCH in Release_Track",and($B749&lt;&gt;"",countif('5) Release_Track'!$G:$G,$B749)=0),"NO CATALOG ID MATCH in Release_Track",iserror(vlookup($A749&amp;$B749,'5) Release_Track'!$F:$F&amp;'5) Release_Track'!$G:$G,1,0)),"NO ISRC-CATALOG ID pair MATCH in Release_Track" )</f>
        <v/>
      </c>
      <c r="D749" s="121" t="str">
        <f t="array" ref="D749">ifs(and(isblank($A749),isblank($B749)),"", not(iserror(vlookup($A749&amp;$B749,'5) Release_Track'!$F:$F&amp;'5) Release_Track'!$G:$G,1,0))),vlookup($A749&amp;$B749,{'5) Release_Track'!$F:$F&amp;'5) Release_Track'!$G:$G,'5) Release_Track'!$I:$I},2,0), or(and(not(isblank($B749)),$B749=$B748,$A749&lt;&gt;$A748),and(not(isblank($A749)),$A749=$A748,$B749&lt;&gt;$B748)),"ID LISTS UNALIGNED",and($A749&lt;&gt;"",countif('5) Release_Track'!$F:$F,$A749)=0),"NO ISRC MATCH in Release_Track",and($B749&lt;&gt;"",countif('5) Release_Track'!$G:$G,$B749)=0),"NO CATALOG ID MATCH in Release_Track",iserror(vlookup($A749&amp;$B749,'5) Release_Track'!$F:$F&amp;'5) Release_Track'!$G:$G,1,0)),"NO ISRC-CATALOG ID pair MATCH in Release_Track" )</f>
        <v/>
      </c>
      <c r="E749" s="125" t="str">
        <f t="array" ref="E749">ifs(and(isblank($A749),isblank($B749)),"", not(iserror(vlookup($A749&amp;$B749,'5) Release_Track'!$F:$F&amp;'5) Release_Track'!$G:$G,1,0))),vlookup($A749&amp;$B749,{'5) Release_Track'!$F:$F&amp;'5) Release_Track'!$G:$G,'5) Release_Track'!$J:$J},2,0), or(and(not(isblank($B749)),$B749=$B748,$A749&lt;&gt;$A748),and(not(isblank($A749)),$A749=$A748,$B749&lt;&gt;$B748)),"ID LISTS UNALIGNED",and($A749&lt;&gt;"",countif('5) Release_Track'!$F:$F,$A749)=0),"NO ISRC MATCH in Release_Track",and($B749&lt;&gt;"",countif('5) Release_Track'!$G:$G,$B749)=0),"NO CATALOG ID MATCH in Release_Track",iserror(vlookup($A749&amp;$B749,'5) Release_Track'!$F:$F&amp;'5) Release_Track'!$G:$G,1,0)),"NO ISRC-CATALOG ID pair MATCH in Release_Track" )</f>
        <v/>
      </c>
      <c r="F749" s="122"/>
      <c r="G749" s="99"/>
      <c r="H749" s="178"/>
      <c r="I749" s="121" t="str">
        <f t="shared" si="6"/>
        <v/>
      </c>
      <c r="J749" s="99"/>
      <c r="K749" s="99"/>
    </row>
    <row r="750">
      <c r="B750" s="103"/>
      <c r="C750" s="121" t="str">
        <f t="array" ref="C750">ifs(and(isblank($A750),isblank($B750)),"", not(iserror(vlookup($A750&amp;$B750,'5) Release_Track'!$F:$F&amp;'5) Release_Track'!$G:$G,1,0))),vlookup($A750&amp;$B750,{'5) Release_Track'!$F:$F&amp;'5) Release_Track'!$G:$G,'5) Release_Track'!$H:$H},2,0), or(and(not(isblank($B750)),$B750=$B749,$A750&lt;&gt;$A749),and(not(isblank($A750)),$A750=$A749,$B750&lt;&gt;$B749)),"ID LISTS UNALIGNED",and($A750&lt;&gt;"",countif('5) Release_Track'!$F:$F,$A750)=0),"NO ISRC MATCH in Release_Track",and($B750&lt;&gt;"",countif('5) Release_Track'!$G:$G,$B750)=0),"NO CATALOG ID MATCH in Release_Track",iserror(vlookup($A750&amp;$B750,'5) Release_Track'!$F:$F&amp;'5) Release_Track'!$G:$G,1,0)),"NO ISRC-CATALOG ID pair MATCH in Release_Track" )</f>
        <v/>
      </c>
      <c r="D750" s="121" t="str">
        <f t="array" ref="D750">ifs(and(isblank($A750),isblank($B750)),"", not(iserror(vlookup($A750&amp;$B750,'5) Release_Track'!$F:$F&amp;'5) Release_Track'!$G:$G,1,0))),vlookup($A750&amp;$B750,{'5) Release_Track'!$F:$F&amp;'5) Release_Track'!$G:$G,'5) Release_Track'!$I:$I},2,0), or(and(not(isblank($B750)),$B750=$B749,$A750&lt;&gt;$A749),and(not(isblank($A750)),$A750=$A749,$B750&lt;&gt;$B749)),"ID LISTS UNALIGNED",and($A750&lt;&gt;"",countif('5) Release_Track'!$F:$F,$A750)=0),"NO ISRC MATCH in Release_Track",and($B750&lt;&gt;"",countif('5) Release_Track'!$G:$G,$B750)=0),"NO CATALOG ID MATCH in Release_Track",iserror(vlookup($A750&amp;$B750,'5) Release_Track'!$F:$F&amp;'5) Release_Track'!$G:$G,1,0)),"NO ISRC-CATALOG ID pair MATCH in Release_Track" )</f>
        <v/>
      </c>
      <c r="E750" s="125" t="str">
        <f t="array" ref="E750">ifs(and(isblank($A750),isblank($B750)),"", not(iserror(vlookup($A750&amp;$B750,'5) Release_Track'!$F:$F&amp;'5) Release_Track'!$G:$G,1,0))),vlookup($A750&amp;$B750,{'5) Release_Track'!$F:$F&amp;'5) Release_Track'!$G:$G,'5) Release_Track'!$J:$J},2,0), or(and(not(isblank($B750)),$B750=$B749,$A750&lt;&gt;$A749),and(not(isblank($A750)),$A750=$A749,$B750&lt;&gt;$B749)),"ID LISTS UNALIGNED",and($A750&lt;&gt;"",countif('5) Release_Track'!$F:$F,$A750)=0),"NO ISRC MATCH in Release_Track",and($B750&lt;&gt;"",countif('5) Release_Track'!$G:$G,$B750)=0),"NO CATALOG ID MATCH in Release_Track",iserror(vlookup($A750&amp;$B750,'5) Release_Track'!$F:$F&amp;'5) Release_Track'!$G:$G,1,0)),"NO ISRC-CATALOG ID pair MATCH in Release_Track" )</f>
        <v/>
      </c>
      <c r="F750" s="122"/>
      <c r="G750" s="99"/>
      <c r="H750" s="178"/>
      <c r="I750" s="121" t="str">
        <f t="shared" si="6"/>
        <v/>
      </c>
      <c r="J750" s="99"/>
      <c r="K750" s="99"/>
    </row>
    <row r="751">
      <c r="B751" s="103"/>
      <c r="C751" s="121" t="str">
        <f t="array" ref="C751">ifs(and(isblank($A751),isblank($B751)),"", not(iserror(vlookup($A751&amp;$B751,'5) Release_Track'!$F:$F&amp;'5) Release_Track'!$G:$G,1,0))),vlookup($A751&amp;$B751,{'5) Release_Track'!$F:$F&amp;'5) Release_Track'!$G:$G,'5) Release_Track'!$H:$H},2,0), or(and(not(isblank($B751)),$B751=$B750,$A751&lt;&gt;$A750),and(not(isblank($A751)),$A751=$A750,$B751&lt;&gt;$B750)),"ID LISTS UNALIGNED",and($A751&lt;&gt;"",countif('5) Release_Track'!$F:$F,$A751)=0),"NO ISRC MATCH in Release_Track",and($B751&lt;&gt;"",countif('5) Release_Track'!$G:$G,$B751)=0),"NO CATALOG ID MATCH in Release_Track",iserror(vlookup($A751&amp;$B751,'5) Release_Track'!$F:$F&amp;'5) Release_Track'!$G:$G,1,0)),"NO ISRC-CATALOG ID pair MATCH in Release_Track" )</f>
        <v/>
      </c>
      <c r="D751" s="121" t="str">
        <f t="array" ref="D751">ifs(and(isblank($A751),isblank($B751)),"", not(iserror(vlookup($A751&amp;$B751,'5) Release_Track'!$F:$F&amp;'5) Release_Track'!$G:$G,1,0))),vlookup($A751&amp;$B751,{'5) Release_Track'!$F:$F&amp;'5) Release_Track'!$G:$G,'5) Release_Track'!$I:$I},2,0), or(and(not(isblank($B751)),$B751=$B750,$A751&lt;&gt;$A750),and(not(isblank($A751)),$A751=$A750,$B751&lt;&gt;$B750)),"ID LISTS UNALIGNED",and($A751&lt;&gt;"",countif('5) Release_Track'!$F:$F,$A751)=0),"NO ISRC MATCH in Release_Track",and($B751&lt;&gt;"",countif('5) Release_Track'!$G:$G,$B751)=0),"NO CATALOG ID MATCH in Release_Track",iserror(vlookup($A751&amp;$B751,'5) Release_Track'!$F:$F&amp;'5) Release_Track'!$G:$G,1,0)),"NO ISRC-CATALOG ID pair MATCH in Release_Track" )</f>
        <v/>
      </c>
      <c r="E751" s="125" t="str">
        <f t="array" ref="E751">ifs(and(isblank($A751),isblank($B751)),"", not(iserror(vlookup($A751&amp;$B751,'5) Release_Track'!$F:$F&amp;'5) Release_Track'!$G:$G,1,0))),vlookup($A751&amp;$B751,{'5) Release_Track'!$F:$F&amp;'5) Release_Track'!$G:$G,'5) Release_Track'!$J:$J},2,0), or(and(not(isblank($B751)),$B751=$B750,$A751&lt;&gt;$A750),and(not(isblank($A751)),$A751=$A750,$B751&lt;&gt;$B750)),"ID LISTS UNALIGNED",and($A751&lt;&gt;"",countif('5) Release_Track'!$F:$F,$A751)=0),"NO ISRC MATCH in Release_Track",and($B751&lt;&gt;"",countif('5) Release_Track'!$G:$G,$B751)=0),"NO CATALOG ID MATCH in Release_Track",iserror(vlookup($A751&amp;$B751,'5) Release_Track'!$F:$F&amp;'5) Release_Track'!$G:$G,1,0)),"NO ISRC-CATALOG ID pair MATCH in Release_Track" )</f>
        <v/>
      </c>
      <c r="F751" s="122"/>
      <c r="G751" s="99"/>
      <c r="H751" s="178"/>
      <c r="I751" s="121" t="str">
        <f t="shared" si="6"/>
        <v/>
      </c>
      <c r="J751" s="99"/>
      <c r="K751" s="99"/>
    </row>
    <row r="752">
      <c r="B752" s="103"/>
      <c r="C752" s="121" t="str">
        <f t="array" ref="C752">ifs(and(isblank($A752),isblank($B752)),"", not(iserror(vlookup($A752&amp;$B752,'5) Release_Track'!$F:$F&amp;'5) Release_Track'!$G:$G,1,0))),vlookup($A752&amp;$B752,{'5) Release_Track'!$F:$F&amp;'5) Release_Track'!$G:$G,'5) Release_Track'!$H:$H},2,0), or(and(not(isblank($B752)),$B752=$B751,$A752&lt;&gt;$A751),and(not(isblank($A752)),$A752=$A751,$B752&lt;&gt;$B751)),"ID LISTS UNALIGNED",and($A752&lt;&gt;"",countif('5) Release_Track'!$F:$F,$A752)=0),"NO ISRC MATCH in Release_Track",and($B752&lt;&gt;"",countif('5) Release_Track'!$G:$G,$B752)=0),"NO CATALOG ID MATCH in Release_Track",iserror(vlookup($A752&amp;$B752,'5) Release_Track'!$F:$F&amp;'5) Release_Track'!$G:$G,1,0)),"NO ISRC-CATALOG ID pair MATCH in Release_Track" )</f>
        <v/>
      </c>
      <c r="D752" s="121" t="str">
        <f t="array" ref="D752">ifs(and(isblank($A752),isblank($B752)),"", not(iserror(vlookup($A752&amp;$B752,'5) Release_Track'!$F:$F&amp;'5) Release_Track'!$G:$G,1,0))),vlookup($A752&amp;$B752,{'5) Release_Track'!$F:$F&amp;'5) Release_Track'!$G:$G,'5) Release_Track'!$I:$I},2,0), or(and(not(isblank($B752)),$B752=$B751,$A752&lt;&gt;$A751),and(not(isblank($A752)),$A752=$A751,$B752&lt;&gt;$B751)),"ID LISTS UNALIGNED",and($A752&lt;&gt;"",countif('5) Release_Track'!$F:$F,$A752)=0),"NO ISRC MATCH in Release_Track",and($B752&lt;&gt;"",countif('5) Release_Track'!$G:$G,$B752)=0),"NO CATALOG ID MATCH in Release_Track",iserror(vlookup($A752&amp;$B752,'5) Release_Track'!$F:$F&amp;'5) Release_Track'!$G:$G,1,0)),"NO ISRC-CATALOG ID pair MATCH in Release_Track" )</f>
        <v/>
      </c>
      <c r="E752" s="125" t="str">
        <f t="array" ref="E752">ifs(and(isblank($A752),isblank($B752)),"", not(iserror(vlookup($A752&amp;$B752,'5) Release_Track'!$F:$F&amp;'5) Release_Track'!$G:$G,1,0))),vlookup($A752&amp;$B752,{'5) Release_Track'!$F:$F&amp;'5) Release_Track'!$G:$G,'5) Release_Track'!$J:$J},2,0), or(and(not(isblank($B752)),$B752=$B751,$A752&lt;&gt;$A751),and(not(isblank($A752)),$A752=$A751,$B752&lt;&gt;$B751)),"ID LISTS UNALIGNED",and($A752&lt;&gt;"",countif('5) Release_Track'!$F:$F,$A752)=0),"NO ISRC MATCH in Release_Track",and($B752&lt;&gt;"",countif('5) Release_Track'!$G:$G,$B752)=0),"NO CATALOG ID MATCH in Release_Track",iserror(vlookup($A752&amp;$B752,'5) Release_Track'!$F:$F&amp;'5) Release_Track'!$G:$G,1,0)),"NO ISRC-CATALOG ID pair MATCH in Release_Track" )</f>
        <v/>
      </c>
      <c r="F752" s="122"/>
      <c r="G752" s="99"/>
      <c r="H752" s="178"/>
      <c r="I752" s="121" t="str">
        <f t="shared" si="6"/>
        <v/>
      </c>
      <c r="J752" s="99"/>
      <c r="K752" s="99"/>
    </row>
    <row r="753">
      <c r="B753" s="103"/>
      <c r="C753" s="121" t="str">
        <f t="array" ref="C753">ifs(and(isblank($A753),isblank($B753)),"", not(iserror(vlookup($A753&amp;$B753,'5) Release_Track'!$F:$F&amp;'5) Release_Track'!$G:$G,1,0))),vlookup($A753&amp;$B753,{'5) Release_Track'!$F:$F&amp;'5) Release_Track'!$G:$G,'5) Release_Track'!$H:$H},2,0), or(and(not(isblank($B753)),$B753=$B752,$A753&lt;&gt;$A752),and(not(isblank($A753)),$A753=$A752,$B753&lt;&gt;$B752)),"ID LISTS UNALIGNED",and($A753&lt;&gt;"",countif('5) Release_Track'!$F:$F,$A753)=0),"NO ISRC MATCH in Release_Track",and($B753&lt;&gt;"",countif('5) Release_Track'!$G:$G,$B753)=0),"NO CATALOG ID MATCH in Release_Track",iserror(vlookup($A753&amp;$B753,'5) Release_Track'!$F:$F&amp;'5) Release_Track'!$G:$G,1,0)),"NO ISRC-CATALOG ID pair MATCH in Release_Track" )</f>
        <v/>
      </c>
      <c r="D753" s="121" t="str">
        <f t="array" ref="D753">ifs(and(isblank($A753),isblank($B753)),"", not(iserror(vlookup($A753&amp;$B753,'5) Release_Track'!$F:$F&amp;'5) Release_Track'!$G:$G,1,0))),vlookup($A753&amp;$B753,{'5) Release_Track'!$F:$F&amp;'5) Release_Track'!$G:$G,'5) Release_Track'!$I:$I},2,0), or(and(not(isblank($B753)),$B753=$B752,$A753&lt;&gt;$A752),and(not(isblank($A753)),$A753=$A752,$B753&lt;&gt;$B752)),"ID LISTS UNALIGNED",and($A753&lt;&gt;"",countif('5) Release_Track'!$F:$F,$A753)=0),"NO ISRC MATCH in Release_Track",and($B753&lt;&gt;"",countif('5) Release_Track'!$G:$G,$B753)=0),"NO CATALOG ID MATCH in Release_Track",iserror(vlookup($A753&amp;$B753,'5) Release_Track'!$F:$F&amp;'5) Release_Track'!$G:$G,1,0)),"NO ISRC-CATALOG ID pair MATCH in Release_Track" )</f>
        <v/>
      </c>
      <c r="E753" s="125" t="str">
        <f t="array" ref="E753">ifs(and(isblank($A753),isblank($B753)),"", not(iserror(vlookup($A753&amp;$B753,'5) Release_Track'!$F:$F&amp;'5) Release_Track'!$G:$G,1,0))),vlookup($A753&amp;$B753,{'5) Release_Track'!$F:$F&amp;'5) Release_Track'!$G:$G,'5) Release_Track'!$J:$J},2,0), or(and(not(isblank($B753)),$B753=$B752,$A753&lt;&gt;$A752),and(not(isblank($A753)),$A753=$A752,$B753&lt;&gt;$B752)),"ID LISTS UNALIGNED",and($A753&lt;&gt;"",countif('5) Release_Track'!$F:$F,$A753)=0),"NO ISRC MATCH in Release_Track",and($B753&lt;&gt;"",countif('5) Release_Track'!$G:$G,$B753)=0),"NO CATALOG ID MATCH in Release_Track",iserror(vlookup($A753&amp;$B753,'5) Release_Track'!$F:$F&amp;'5) Release_Track'!$G:$G,1,0)),"NO ISRC-CATALOG ID pair MATCH in Release_Track" )</f>
        <v/>
      </c>
      <c r="F753" s="122"/>
      <c r="G753" s="99"/>
      <c r="H753" s="178"/>
      <c r="I753" s="121" t="str">
        <f t="shared" si="6"/>
        <v/>
      </c>
      <c r="J753" s="99"/>
      <c r="K753" s="99"/>
    </row>
    <row r="754">
      <c r="B754" s="103"/>
      <c r="C754" s="121" t="str">
        <f t="array" ref="C754">ifs(and(isblank($A754),isblank($B754)),"", not(iserror(vlookup($A754&amp;$B754,'5) Release_Track'!$F:$F&amp;'5) Release_Track'!$G:$G,1,0))),vlookup($A754&amp;$B754,{'5) Release_Track'!$F:$F&amp;'5) Release_Track'!$G:$G,'5) Release_Track'!$H:$H},2,0), or(and(not(isblank($B754)),$B754=$B753,$A754&lt;&gt;$A753),and(not(isblank($A754)),$A754=$A753,$B754&lt;&gt;$B753)),"ID LISTS UNALIGNED",and($A754&lt;&gt;"",countif('5) Release_Track'!$F:$F,$A754)=0),"NO ISRC MATCH in Release_Track",and($B754&lt;&gt;"",countif('5) Release_Track'!$G:$G,$B754)=0),"NO CATALOG ID MATCH in Release_Track",iserror(vlookup($A754&amp;$B754,'5) Release_Track'!$F:$F&amp;'5) Release_Track'!$G:$G,1,0)),"NO ISRC-CATALOG ID pair MATCH in Release_Track" )</f>
        <v/>
      </c>
      <c r="D754" s="121" t="str">
        <f t="array" ref="D754">ifs(and(isblank($A754),isblank($B754)),"", not(iserror(vlookup($A754&amp;$B754,'5) Release_Track'!$F:$F&amp;'5) Release_Track'!$G:$G,1,0))),vlookup($A754&amp;$B754,{'5) Release_Track'!$F:$F&amp;'5) Release_Track'!$G:$G,'5) Release_Track'!$I:$I},2,0), or(and(not(isblank($B754)),$B754=$B753,$A754&lt;&gt;$A753),and(not(isblank($A754)),$A754=$A753,$B754&lt;&gt;$B753)),"ID LISTS UNALIGNED",and($A754&lt;&gt;"",countif('5) Release_Track'!$F:$F,$A754)=0),"NO ISRC MATCH in Release_Track",and($B754&lt;&gt;"",countif('5) Release_Track'!$G:$G,$B754)=0),"NO CATALOG ID MATCH in Release_Track",iserror(vlookup($A754&amp;$B754,'5) Release_Track'!$F:$F&amp;'5) Release_Track'!$G:$G,1,0)),"NO ISRC-CATALOG ID pair MATCH in Release_Track" )</f>
        <v/>
      </c>
      <c r="E754" s="125" t="str">
        <f t="array" ref="E754">ifs(and(isblank($A754),isblank($B754)),"", not(iserror(vlookup($A754&amp;$B754,'5) Release_Track'!$F:$F&amp;'5) Release_Track'!$G:$G,1,0))),vlookup($A754&amp;$B754,{'5) Release_Track'!$F:$F&amp;'5) Release_Track'!$G:$G,'5) Release_Track'!$J:$J},2,0), or(and(not(isblank($B754)),$B754=$B753,$A754&lt;&gt;$A753),and(not(isblank($A754)),$A754=$A753,$B754&lt;&gt;$B753)),"ID LISTS UNALIGNED",and($A754&lt;&gt;"",countif('5) Release_Track'!$F:$F,$A754)=0),"NO ISRC MATCH in Release_Track",and($B754&lt;&gt;"",countif('5) Release_Track'!$G:$G,$B754)=0),"NO CATALOG ID MATCH in Release_Track",iserror(vlookup($A754&amp;$B754,'5) Release_Track'!$F:$F&amp;'5) Release_Track'!$G:$G,1,0)),"NO ISRC-CATALOG ID pair MATCH in Release_Track" )</f>
        <v/>
      </c>
      <c r="F754" s="122"/>
      <c r="G754" s="99"/>
      <c r="H754" s="178"/>
      <c r="I754" s="121" t="str">
        <f t="shared" si="6"/>
        <v/>
      </c>
      <c r="J754" s="99"/>
      <c r="K754" s="99"/>
    </row>
    <row r="755">
      <c r="B755" s="103"/>
      <c r="C755" s="121" t="str">
        <f t="array" ref="C755">ifs(and(isblank($A755),isblank($B755)),"", not(iserror(vlookup($A755&amp;$B755,'5) Release_Track'!$F:$F&amp;'5) Release_Track'!$G:$G,1,0))),vlookup($A755&amp;$B755,{'5) Release_Track'!$F:$F&amp;'5) Release_Track'!$G:$G,'5) Release_Track'!$H:$H},2,0), or(and(not(isblank($B755)),$B755=$B754,$A755&lt;&gt;$A754),and(not(isblank($A755)),$A755=$A754,$B755&lt;&gt;$B754)),"ID LISTS UNALIGNED",and($A755&lt;&gt;"",countif('5) Release_Track'!$F:$F,$A755)=0),"NO ISRC MATCH in Release_Track",and($B755&lt;&gt;"",countif('5) Release_Track'!$G:$G,$B755)=0),"NO CATALOG ID MATCH in Release_Track",iserror(vlookup($A755&amp;$B755,'5) Release_Track'!$F:$F&amp;'5) Release_Track'!$G:$G,1,0)),"NO ISRC-CATALOG ID pair MATCH in Release_Track" )</f>
        <v/>
      </c>
      <c r="D755" s="121" t="str">
        <f t="array" ref="D755">ifs(and(isblank($A755),isblank($B755)),"", not(iserror(vlookup($A755&amp;$B755,'5) Release_Track'!$F:$F&amp;'5) Release_Track'!$G:$G,1,0))),vlookup($A755&amp;$B755,{'5) Release_Track'!$F:$F&amp;'5) Release_Track'!$G:$G,'5) Release_Track'!$I:$I},2,0), or(and(not(isblank($B755)),$B755=$B754,$A755&lt;&gt;$A754),and(not(isblank($A755)),$A755=$A754,$B755&lt;&gt;$B754)),"ID LISTS UNALIGNED",and($A755&lt;&gt;"",countif('5) Release_Track'!$F:$F,$A755)=0),"NO ISRC MATCH in Release_Track",and($B755&lt;&gt;"",countif('5) Release_Track'!$G:$G,$B755)=0),"NO CATALOG ID MATCH in Release_Track",iserror(vlookup($A755&amp;$B755,'5) Release_Track'!$F:$F&amp;'5) Release_Track'!$G:$G,1,0)),"NO ISRC-CATALOG ID pair MATCH in Release_Track" )</f>
        <v/>
      </c>
      <c r="E755" s="125" t="str">
        <f t="array" ref="E755">ifs(and(isblank($A755),isblank($B755)),"", not(iserror(vlookup($A755&amp;$B755,'5) Release_Track'!$F:$F&amp;'5) Release_Track'!$G:$G,1,0))),vlookup($A755&amp;$B755,{'5) Release_Track'!$F:$F&amp;'5) Release_Track'!$G:$G,'5) Release_Track'!$J:$J},2,0), or(and(not(isblank($B755)),$B755=$B754,$A755&lt;&gt;$A754),and(not(isblank($A755)),$A755=$A754,$B755&lt;&gt;$B754)),"ID LISTS UNALIGNED",and($A755&lt;&gt;"",countif('5) Release_Track'!$F:$F,$A755)=0),"NO ISRC MATCH in Release_Track",and($B755&lt;&gt;"",countif('5) Release_Track'!$G:$G,$B755)=0),"NO CATALOG ID MATCH in Release_Track",iserror(vlookup($A755&amp;$B755,'5) Release_Track'!$F:$F&amp;'5) Release_Track'!$G:$G,1,0)),"NO ISRC-CATALOG ID pair MATCH in Release_Track" )</f>
        <v/>
      </c>
      <c r="F755" s="122"/>
      <c r="G755" s="99"/>
      <c r="H755" s="178"/>
      <c r="I755" s="121" t="str">
        <f t="shared" si="6"/>
        <v/>
      </c>
      <c r="J755" s="99"/>
      <c r="K755" s="99"/>
    </row>
    <row r="756">
      <c r="B756" s="103"/>
      <c r="C756" s="121" t="str">
        <f t="array" ref="C756">ifs(and(isblank($A756),isblank($B756)),"", not(iserror(vlookup($A756&amp;$B756,'5) Release_Track'!$F:$F&amp;'5) Release_Track'!$G:$G,1,0))),vlookup($A756&amp;$B756,{'5) Release_Track'!$F:$F&amp;'5) Release_Track'!$G:$G,'5) Release_Track'!$H:$H},2,0), or(and(not(isblank($B756)),$B756=$B755,$A756&lt;&gt;$A755),and(not(isblank($A756)),$A756=$A755,$B756&lt;&gt;$B755)),"ID LISTS UNALIGNED",and($A756&lt;&gt;"",countif('5) Release_Track'!$F:$F,$A756)=0),"NO ISRC MATCH in Release_Track",and($B756&lt;&gt;"",countif('5) Release_Track'!$G:$G,$B756)=0),"NO CATALOG ID MATCH in Release_Track",iserror(vlookup($A756&amp;$B756,'5) Release_Track'!$F:$F&amp;'5) Release_Track'!$G:$G,1,0)),"NO ISRC-CATALOG ID pair MATCH in Release_Track" )</f>
        <v/>
      </c>
      <c r="D756" s="121" t="str">
        <f t="array" ref="D756">ifs(and(isblank($A756),isblank($B756)),"", not(iserror(vlookup($A756&amp;$B756,'5) Release_Track'!$F:$F&amp;'5) Release_Track'!$G:$G,1,0))),vlookup($A756&amp;$B756,{'5) Release_Track'!$F:$F&amp;'5) Release_Track'!$G:$G,'5) Release_Track'!$I:$I},2,0), or(and(not(isblank($B756)),$B756=$B755,$A756&lt;&gt;$A755),and(not(isblank($A756)),$A756=$A755,$B756&lt;&gt;$B755)),"ID LISTS UNALIGNED",and($A756&lt;&gt;"",countif('5) Release_Track'!$F:$F,$A756)=0),"NO ISRC MATCH in Release_Track",and($B756&lt;&gt;"",countif('5) Release_Track'!$G:$G,$B756)=0),"NO CATALOG ID MATCH in Release_Track",iserror(vlookup($A756&amp;$B756,'5) Release_Track'!$F:$F&amp;'5) Release_Track'!$G:$G,1,0)),"NO ISRC-CATALOG ID pair MATCH in Release_Track" )</f>
        <v/>
      </c>
      <c r="E756" s="125" t="str">
        <f t="array" ref="E756">ifs(and(isblank($A756),isblank($B756)),"", not(iserror(vlookup($A756&amp;$B756,'5) Release_Track'!$F:$F&amp;'5) Release_Track'!$G:$G,1,0))),vlookup($A756&amp;$B756,{'5) Release_Track'!$F:$F&amp;'5) Release_Track'!$G:$G,'5) Release_Track'!$J:$J},2,0), or(and(not(isblank($B756)),$B756=$B755,$A756&lt;&gt;$A755),and(not(isblank($A756)),$A756=$A755,$B756&lt;&gt;$B755)),"ID LISTS UNALIGNED",and($A756&lt;&gt;"",countif('5) Release_Track'!$F:$F,$A756)=0),"NO ISRC MATCH in Release_Track",and($B756&lt;&gt;"",countif('5) Release_Track'!$G:$G,$B756)=0),"NO CATALOG ID MATCH in Release_Track",iserror(vlookup($A756&amp;$B756,'5) Release_Track'!$F:$F&amp;'5) Release_Track'!$G:$G,1,0)),"NO ISRC-CATALOG ID pair MATCH in Release_Track" )</f>
        <v/>
      </c>
      <c r="F756" s="122"/>
      <c r="G756" s="99"/>
      <c r="H756" s="178"/>
      <c r="I756" s="121" t="str">
        <f t="shared" si="6"/>
        <v/>
      </c>
      <c r="J756" s="99"/>
      <c r="K756" s="99"/>
    </row>
    <row r="757">
      <c r="B757" s="103"/>
      <c r="C757" s="121" t="str">
        <f t="array" ref="C757">ifs(and(isblank($A757),isblank($B757)),"", not(iserror(vlookup($A757&amp;$B757,'5) Release_Track'!$F:$F&amp;'5) Release_Track'!$G:$G,1,0))),vlookup($A757&amp;$B757,{'5) Release_Track'!$F:$F&amp;'5) Release_Track'!$G:$G,'5) Release_Track'!$H:$H},2,0), or(and(not(isblank($B757)),$B757=$B756,$A757&lt;&gt;$A756),and(not(isblank($A757)),$A757=$A756,$B757&lt;&gt;$B756)),"ID LISTS UNALIGNED",and($A757&lt;&gt;"",countif('5) Release_Track'!$F:$F,$A757)=0),"NO ISRC MATCH in Release_Track",and($B757&lt;&gt;"",countif('5) Release_Track'!$G:$G,$B757)=0),"NO CATALOG ID MATCH in Release_Track",iserror(vlookup($A757&amp;$B757,'5) Release_Track'!$F:$F&amp;'5) Release_Track'!$G:$G,1,0)),"NO ISRC-CATALOG ID pair MATCH in Release_Track" )</f>
        <v/>
      </c>
      <c r="D757" s="121" t="str">
        <f t="array" ref="D757">ifs(and(isblank($A757),isblank($B757)),"", not(iserror(vlookup($A757&amp;$B757,'5) Release_Track'!$F:$F&amp;'5) Release_Track'!$G:$G,1,0))),vlookup($A757&amp;$B757,{'5) Release_Track'!$F:$F&amp;'5) Release_Track'!$G:$G,'5) Release_Track'!$I:$I},2,0), or(and(not(isblank($B757)),$B757=$B756,$A757&lt;&gt;$A756),and(not(isblank($A757)),$A757=$A756,$B757&lt;&gt;$B756)),"ID LISTS UNALIGNED",and($A757&lt;&gt;"",countif('5) Release_Track'!$F:$F,$A757)=0),"NO ISRC MATCH in Release_Track",and($B757&lt;&gt;"",countif('5) Release_Track'!$G:$G,$B757)=0),"NO CATALOG ID MATCH in Release_Track",iserror(vlookup($A757&amp;$B757,'5) Release_Track'!$F:$F&amp;'5) Release_Track'!$G:$G,1,0)),"NO ISRC-CATALOG ID pair MATCH in Release_Track" )</f>
        <v/>
      </c>
      <c r="E757" s="125" t="str">
        <f t="array" ref="E757">ifs(and(isblank($A757),isblank($B757)),"", not(iserror(vlookup($A757&amp;$B757,'5) Release_Track'!$F:$F&amp;'5) Release_Track'!$G:$G,1,0))),vlookup($A757&amp;$B757,{'5) Release_Track'!$F:$F&amp;'5) Release_Track'!$G:$G,'5) Release_Track'!$J:$J},2,0), or(and(not(isblank($B757)),$B757=$B756,$A757&lt;&gt;$A756),and(not(isblank($A757)),$A757=$A756,$B757&lt;&gt;$B756)),"ID LISTS UNALIGNED",and($A757&lt;&gt;"",countif('5) Release_Track'!$F:$F,$A757)=0),"NO ISRC MATCH in Release_Track",and($B757&lt;&gt;"",countif('5) Release_Track'!$G:$G,$B757)=0),"NO CATALOG ID MATCH in Release_Track",iserror(vlookup($A757&amp;$B757,'5) Release_Track'!$F:$F&amp;'5) Release_Track'!$G:$G,1,0)),"NO ISRC-CATALOG ID pair MATCH in Release_Track" )</f>
        <v/>
      </c>
      <c r="F757" s="122"/>
      <c r="G757" s="99"/>
      <c r="H757" s="178"/>
      <c r="I757" s="121" t="str">
        <f t="shared" si="6"/>
        <v/>
      </c>
      <c r="J757" s="99"/>
      <c r="K757" s="99"/>
    </row>
    <row r="758">
      <c r="B758" s="103"/>
      <c r="C758" s="121" t="str">
        <f t="array" ref="C758">ifs(and(isblank($A758),isblank($B758)),"", not(iserror(vlookup($A758&amp;$B758,'5) Release_Track'!$F:$F&amp;'5) Release_Track'!$G:$G,1,0))),vlookup($A758&amp;$B758,{'5) Release_Track'!$F:$F&amp;'5) Release_Track'!$G:$G,'5) Release_Track'!$H:$H},2,0), or(and(not(isblank($B758)),$B758=$B757,$A758&lt;&gt;$A757),and(not(isblank($A758)),$A758=$A757,$B758&lt;&gt;$B757)),"ID LISTS UNALIGNED",and($A758&lt;&gt;"",countif('5) Release_Track'!$F:$F,$A758)=0),"NO ISRC MATCH in Release_Track",and($B758&lt;&gt;"",countif('5) Release_Track'!$G:$G,$B758)=0),"NO CATALOG ID MATCH in Release_Track",iserror(vlookup($A758&amp;$B758,'5) Release_Track'!$F:$F&amp;'5) Release_Track'!$G:$G,1,0)),"NO ISRC-CATALOG ID pair MATCH in Release_Track" )</f>
        <v/>
      </c>
      <c r="D758" s="121" t="str">
        <f t="array" ref="D758">ifs(and(isblank($A758),isblank($B758)),"", not(iserror(vlookup($A758&amp;$B758,'5) Release_Track'!$F:$F&amp;'5) Release_Track'!$G:$G,1,0))),vlookup($A758&amp;$B758,{'5) Release_Track'!$F:$F&amp;'5) Release_Track'!$G:$G,'5) Release_Track'!$I:$I},2,0), or(and(not(isblank($B758)),$B758=$B757,$A758&lt;&gt;$A757),and(not(isblank($A758)),$A758=$A757,$B758&lt;&gt;$B757)),"ID LISTS UNALIGNED",and($A758&lt;&gt;"",countif('5) Release_Track'!$F:$F,$A758)=0),"NO ISRC MATCH in Release_Track",and($B758&lt;&gt;"",countif('5) Release_Track'!$G:$G,$B758)=0),"NO CATALOG ID MATCH in Release_Track",iserror(vlookup($A758&amp;$B758,'5) Release_Track'!$F:$F&amp;'5) Release_Track'!$G:$G,1,0)),"NO ISRC-CATALOG ID pair MATCH in Release_Track" )</f>
        <v/>
      </c>
      <c r="E758" s="125" t="str">
        <f t="array" ref="E758">ifs(and(isblank($A758),isblank($B758)),"", not(iserror(vlookup($A758&amp;$B758,'5) Release_Track'!$F:$F&amp;'5) Release_Track'!$G:$G,1,0))),vlookup($A758&amp;$B758,{'5) Release_Track'!$F:$F&amp;'5) Release_Track'!$G:$G,'5) Release_Track'!$J:$J},2,0), or(and(not(isblank($B758)),$B758=$B757,$A758&lt;&gt;$A757),and(not(isblank($A758)),$A758=$A757,$B758&lt;&gt;$B757)),"ID LISTS UNALIGNED",and($A758&lt;&gt;"",countif('5) Release_Track'!$F:$F,$A758)=0),"NO ISRC MATCH in Release_Track",and($B758&lt;&gt;"",countif('5) Release_Track'!$G:$G,$B758)=0),"NO CATALOG ID MATCH in Release_Track",iserror(vlookup($A758&amp;$B758,'5) Release_Track'!$F:$F&amp;'5) Release_Track'!$G:$G,1,0)),"NO ISRC-CATALOG ID pair MATCH in Release_Track" )</f>
        <v/>
      </c>
      <c r="F758" s="122"/>
      <c r="G758" s="99"/>
      <c r="H758" s="178"/>
      <c r="I758" s="121" t="str">
        <f t="shared" si="6"/>
        <v/>
      </c>
      <c r="J758" s="99"/>
      <c r="K758" s="99"/>
    </row>
    <row r="759">
      <c r="B759" s="103"/>
      <c r="C759" s="121" t="str">
        <f t="array" ref="C759">ifs(and(isblank($A759),isblank($B759)),"", not(iserror(vlookup($A759&amp;$B759,'5) Release_Track'!$F:$F&amp;'5) Release_Track'!$G:$G,1,0))),vlookup($A759&amp;$B759,{'5) Release_Track'!$F:$F&amp;'5) Release_Track'!$G:$G,'5) Release_Track'!$H:$H},2,0), or(and(not(isblank($B759)),$B759=$B758,$A759&lt;&gt;$A758),and(not(isblank($A759)),$A759=$A758,$B759&lt;&gt;$B758)),"ID LISTS UNALIGNED",and($A759&lt;&gt;"",countif('5) Release_Track'!$F:$F,$A759)=0),"NO ISRC MATCH in Release_Track",and($B759&lt;&gt;"",countif('5) Release_Track'!$G:$G,$B759)=0),"NO CATALOG ID MATCH in Release_Track",iserror(vlookup($A759&amp;$B759,'5) Release_Track'!$F:$F&amp;'5) Release_Track'!$G:$G,1,0)),"NO ISRC-CATALOG ID pair MATCH in Release_Track" )</f>
        <v/>
      </c>
      <c r="D759" s="121" t="str">
        <f t="array" ref="D759">ifs(and(isblank($A759),isblank($B759)),"", not(iserror(vlookup($A759&amp;$B759,'5) Release_Track'!$F:$F&amp;'5) Release_Track'!$G:$G,1,0))),vlookup($A759&amp;$B759,{'5) Release_Track'!$F:$F&amp;'5) Release_Track'!$G:$G,'5) Release_Track'!$I:$I},2,0), or(and(not(isblank($B759)),$B759=$B758,$A759&lt;&gt;$A758),and(not(isblank($A759)),$A759=$A758,$B759&lt;&gt;$B758)),"ID LISTS UNALIGNED",and($A759&lt;&gt;"",countif('5) Release_Track'!$F:$F,$A759)=0),"NO ISRC MATCH in Release_Track",and($B759&lt;&gt;"",countif('5) Release_Track'!$G:$G,$B759)=0),"NO CATALOG ID MATCH in Release_Track",iserror(vlookup($A759&amp;$B759,'5) Release_Track'!$F:$F&amp;'5) Release_Track'!$G:$G,1,0)),"NO ISRC-CATALOG ID pair MATCH in Release_Track" )</f>
        <v/>
      </c>
      <c r="E759" s="125" t="str">
        <f t="array" ref="E759">ifs(and(isblank($A759),isblank($B759)),"", not(iserror(vlookup($A759&amp;$B759,'5) Release_Track'!$F:$F&amp;'5) Release_Track'!$G:$G,1,0))),vlookup($A759&amp;$B759,{'5) Release_Track'!$F:$F&amp;'5) Release_Track'!$G:$G,'5) Release_Track'!$J:$J},2,0), or(and(not(isblank($B759)),$B759=$B758,$A759&lt;&gt;$A758),and(not(isblank($A759)),$A759=$A758,$B759&lt;&gt;$B758)),"ID LISTS UNALIGNED",and($A759&lt;&gt;"",countif('5) Release_Track'!$F:$F,$A759)=0),"NO ISRC MATCH in Release_Track",and($B759&lt;&gt;"",countif('5) Release_Track'!$G:$G,$B759)=0),"NO CATALOG ID MATCH in Release_Track",iserror(vlookup($A759&amp;$B759,'5) Release_Track'!$F:$F&amp;'5) Release_Track'!$G:$G,1,0)),"NO ISRC-CATALOG ID pair MATCH in Release_Track" )</f>
        <v/>
      </c>
      <c r="F759" s="122"/>
      <c r="G759" s="99"/>
      <c r="H759" s="178"/>
      <c r="I759" s="121" t="str">
        <f t="shared" si="6"/>
        <v/>
      </c>
      <c r="J759" s="99"/>
      <c r="K759" s="99"/>
    </row>
    <row r="760">
      <c r="B760" s="103"/>
      <c r="C760" s="121" t="str">
        <f t="array" ref="C760">ifs(and(isblank($A760),isblank($B760)),"", not(iserror(vlookup($A760&amp;$B760,'5) Release_Track'!$F:$F&amp;'5) Release_Track'!$G:$G,1,0))),vlookup($A760&amp;$B760,{'5) Release_Track'!$F:$F&amp;'5) Release_Track'!$G:$G,'5) Release_Track'!$H:$H},2,0), or(and(not(isblank($B760)),$B760=$B759,$A760&lt;&gt;$A759),and(not(isblank($A760)),$A760=$A759,$B760&lt;&gt;$B759)),"ID LISTS UNALIGNED",and($A760&lt;&gt;"",countif('5) Release_Track'!$F:$F,$A760)=0),"NO ISRC MATCH in Release_Track",and($B760&lt;&gt;"",countif('5) Release_Track'!$G:$G,$B760)=0),"NO CATALOG ID MATCH in Release_Track",iserror(vlookup($A760&amp;$B760,'5) Release_Track'!$F:$F&amp;'5) Release_Track'!$G:$G,1,0)),"NO ISRC-CATALOG ID pair MATCH in Release_Track" )</f>
        <v/>
      </c>
      <c r="D760" s="121" t="str">
        <f t="array" ref="D760">ifs(and(isblank($A760),isblank($B760)),"", not(iserror(vlookup($A760&amp;$B760,'5) Release_Track'!$F:$F&amp;'5) Release_Track'!$G:$G,1,0))),vlookup($A760&amp;$B760,{'5) Release_Track'!$F:$F&amp;'5) Release_Track'!$G:$G,'5) Release_Track'!$I:$I},2,0), or(and(not(isblank($B760)),$B760=$B759,$A760&lt;&gt;$A759),and(not(isblank($A760)),$A760=$A759,$B760&lt;&gt;$B759)),"ID LISTS UNALIGNED",and($A760&lt;&gt;"",countif('5) Release_Track'!$F:$F,$A760)=0),"NO ISRC MATCH in Release_Track",and($B760&lt;&gt;"",countif('5) Release_Track'!$G:$G,$B760)=0),"NO CATALOG ID MATCH in Release_Track",iserror(vlookup($A760&amp;$B760,'5) Release_Track'!$F:$F&amp;'5) Release_Track'!$G:$G,1,0)),"NO ISRC-CATALOG ID pair MATCH in Release_Track" )</f>
        <v/>
      </c>
      <c r="E760" s="125" t="str">
        <f t="array" ref="E760">ifs(and(isblank($A760),isblank($B760)),"", not(iserror(vlookup($A760&amp;$B760,'5) Release_Track'!$F:$F&amp;'5) Release_Track'!$G:$G,1,0))),vlookup($A760&amp;$B760,{'5) Release_Track'!$F:$F&amp;'5) Release_Track'!$G:$G,'5) Release_Track'!$J:$J},2,0), or(and(not(isblank($B760)),$B760=$B759,$A760&lt;&gt;$A759),and(not(isblank($A760)),$A760=$A759,$B760&lt;&gt;$B759)),"ID LISTS UNALIGNED",and($A760&lt;&gt;"",countif('5) Release_Track'!$F:$F,$A760)=0),"NO ISRC MATCH in Release_Track",and($B760&lt;&gt;"",countif('5) Release_Track'!$G:$G,$B760)=0),"NO CATALOG ID MATCH in Release_Track",iserror(vlookup($A760&amp;$B760,'5) Release_Track'!$F:$F&amp;'5) Release_Track'!$G:$G,1,0)),"NO ISRC-CATALOG ID pair MATCH in Release_Track" )</f>
        <v/>
      </c>
      <c r="F760" s="122"/>
      <c r="G760" s="99"/>
      <c r="H760" s="178"/>
      <c r="I760" s="121" t="str">
        <f t="shared" si="6"/>
        <v/>
      </c>
      <c r="J760" s="99"/>
      <c r="K760" s="99"/>
    </row>
    <row r="761">
      <c r="B761" s="103"/>
      <c r="C761" s="121" t="str">
        <f t="array" ref="C761">ifs(and(isblank($A761),isblank($B761)),"", not(iserror(vlookup($A761&amp;$B761,'5) Release_Track'!$F:$F&amp;'5) Release_Track'!$G:$G,1,0))),vlookup($A761&amp;$B761,{'5) Release_Track'!$F:$F&amp;'5) Release_Track'!$G:$G,'5) Release_Track'!$H:$H},2,0), or(and(not(isblank($B761)),$B761=$B760,$A761&lt;&gt;$A760),and(not(isblank($A761)),$A761=$A760,$B761&lt;&gt;$B760)),"ID LISTS UNALIGNED",and($A761&lt;&gt;"",countif('5) Release_Track'!$F:$F,$A761)=0),"NO ISRC MATCH in Release_Track",and($B761&lt;&gt;"",countif('5) Release_Track'!$G:$G,$B761)=0),"NO CATALOG ID MATCH in Release_Track",iserror(vlookup($A761&amp;$B761,'5) Release_Track'!$F:$F&amp;'5) Release_Track'!$G:$G,1,0)),"NO ISRC-CATALOG ID pair MATCH in Release_Track" )</f>
        <v/>
      </c>
      <c r="D761" s="121" t="str">
        <f t="array" ref="D761">ifs(and(isblank($A761),isblank($B761)),"", not(iserror(vlookup($A761&amp;$B761,'5) Release_Track'!$F:$F&amp;'5) Release_Track'!$G:$G,1,0))),vlookup($A761&amp;$B761,{'5) Release_Track'!$F:$F&amp;'5) Release_Track'!$G:$G,'5) Release_Track'!$I:$I},2,0), or(and(not(isblank($B761)),$B761=$B760,$A761&lt;&gt;$A760),and(not(isblank($A761)),$A761=$A760,$B761&lt;&gt;$B760)),"ID LISTS UNALIGNED",and($A761&lt;&gt;"",countif('5) Release_Track'!$F:$F,$A761)=0),"NO ISRC MATCH in Release_Track",and($B761&lt;&gt;"",countif('5) Release_Track'!$G:$G,$B761)=0),"NO CATALOG ID MATCH in Release_Track",iserror(vlookup($A761&amp;$B761,'5) Release_Track'!$F:$F&amp;'5) Release_Track'!$G:$G,1,0)),"NO ISRC-CATALOG ID pair MATCH in Release_Track" )</f>
        <v/>
      </c>
      <c r="E761" s="125" t="str">
        <f t="array" ref="E761">ifs(and(isblank($A761),isblank($B761)),"", not(iserror(vlookup($A761&amp;$B761,'5) Release_Track'!$F:$F&amp;'5) Release_Track'!$G:$G,1,0))),vlookup($A761&amp;$B761,{'5) Release_Track'!$F:$F&amp;'5) Release_Track'!$G:$G,'5) Release_Track'!$J:$J},2,0), or(and(not(isblank($B761)),$B761=$B760,$A761&lt;&gt;$A760),and(not(isblank($A761)),$A761=$A760,$B761&lt;&gt;$B760)),"ID LISTS UNALIGNED",and($A761&lt;&gt;"",countif('5) Release_Track'!$F:$F,$A761)=0),"NO ISRC MATCH in Release_Track",and($B761&lt;&gt;"",countif('5) Release_Track'!$G:$G,$B761)=0),"NO CATALOG ID MATCH in Release_Track",iserror(vlookup($A761&amp;$B761,'5) Release_Track'!$F:$F&amp;'5) Release_Track'!$G:$G,1,0)),"NO ISRC-CATALOG ID pair MATCH in Release_Track" )</f>
        <v/>
      </c>
      <c r="F761" s="122"/>
      <c r="G761" s="99"/>
      <c r="H761" s="178"/>
      <c r="I761" s="121" t="str">
        <f t="shared" si="6"/>
        <v/>
      </c>
      <c r="J761" s="99"/>
      <c r="K761" s="99"/>
    </row>
    <row r="762">
      <c r="B762" s="103"/>
      <c r="C762" s="121" t="str">
        <f t="array" ref="C762">ifs(and(isblank($A762),isblank($B762)),"", not(iserror(vlookup($A762&amp;$B762,'5) Release_Track'!$F:$F&amp;'5) Release_Track'!$G:$G,1,0))),vlookup($A762&amp;$B762,{'5) Release_Track'!$F:$F&amp;'5) Release_Track'!$G:$G,'5) Release_Track'!$H:$H},2,0), or(and(not(isblank($B762)),$B762=$B761,$A762&lt;&gt;$A761),and(not(isblank($A762)),$A762=$A761,$B762&lt;&gt;$B761)),"ID LISTS UNALIGNED",and($A762&lt;&gt;"",countif('5) Release_Track'!$F:$F,$A762)=0),"NO ISRC MATCH in Release_Track",and($B762&lt;&gt;"",countif('5) Release_Track'!$G:$G,$B762)=0),"NO CATALOG ID MATCH in Release_Track",iserror(vlookup($A762&amp;$B762,'5) Release_Track'!$F:$F&amp;'5) Release_Track'!$G:$G,1,0)),"NO ISRC-CATALOG ID pair MATCH in Release_Track" )</f>
        <v/>
      </c>
      <c r="D762" s="121" t="str">
        <f t="array" ref="D762">ifs(and(isblank($A762),isblank($B762)),"", not(iserror(vlookup($A762&amp;$B762,'5) Release_Track'!$F:$F&amp;'5) Release_Track'!$G:$G,1,0))),vlookup($A762&amp;$B762,{'5) Release_Track'!$F:$F&amp;'5) Release_Track'!$G:$G,'5) Release_Track'!$I:$I},2,0), or(and(not(isblank($B762)),$B762=$B761,$A762&lt;&gt;$A761),and(not(isblank($A762)),$A762=$A761,$B762&lt;&gt;$B761)),"ID LISTS UNALIGNED",and($A762&lt;&gt;"",countif('5) Release_Track'!$F:$F,$A762)=0),"NO ISRC MATCH in Release_Track",and($B762&lt;&gt;"",countif('5) Release_Track'!$G:$G,$B762)=0),"NO CATALOG ID MATCH in Release_Track",iserror(vlookup($A762&amp;$B762,'5) Release_Track'!$F:$F&amp;'5) Release_Track'!$G:$G,1,0)),"NO ISRC-CATALOG ID pair MATCH in Release_Track" )</f>
        <v/>
      </c>
      <c r="E762" s="125" t="str">
        <f t="array" ref="E762">ifs(and(isblank($A762),isblank($B762)),"", not(iserror(vlookup($A762&amp;$B762,'5) Release_Track'!$F:$F&amp;'5) Release_Track'!$G:$G,1,0))),vlookup($A762&amp;$B762,{'5) Release_Track'!$F:$F&amp;'5) Release_Track'!$G:$G,'5) Release_Track'!$J:$J},2,0), or(and(not(isblank($B762)),$B762=$B761,$A762&lt;&gt;$A761),and(not(isblank($A762)),$A762=$A761,$B762&lt;&gt;$B761)),"ID LISTS UNALIGNED",and($A762&lt;&gt;"",countif('5) Release_Track'!$F:$F,$A762)=0),"NO ISRC MATCH in Release_Track",and($B762&lt;&gt;"",countif('5) Release_Track'!$G:$G,$B762)=0),"NO CATALOG ID MATCH in Release_Track",iserror(vlookup($A762&amp;$B762,'5) Release_Track'!$F:$F&amp;'5) Release_Track'!$G:$G,1,0)),"NO ISRC-CATALOG ID pair MATCH in Release_Track" )</f>
        <v/>
      </c>
      <c r="F762" s="122"/>
      <c r="G762" s="99"/>
      <c r="H762" s="178"/>
      <c r="I762" s="121" t="str">
        <f t="shared" si="6"/>
        <v/>
      </c>
      <c r="J762" s="99"/>
      <c r="K762" s="99"/>
    </row>
    <row r="763">
      <c r="B763" s="103"/>
      <c r="C763" s="121" t="str">
        <f t="array" ref="C763">ifs(and(isblank($A763),isblank($B763)),"", not(iserror(vlookup($A763&amp;$B763,'5) Release_Track'!$F:$F&amp;'5) Release_Track'!$G:$G,1,0))),vlookup($A763&amp;$B763,{'5) Release_Track'!$F:$F&amp;'5) Release_Track'!$G:$G,'5) Release_Track'!$H:$H},2,0), or(and(not(isblank($B763)),$B763=$B762,$A763&lt;&gt;$A762),and(not(isblank($A763)),$A763=$A762,$B763&lt;&gt;$B762)),"ID LISTS UNALIGNED",and($A763&lt;&gt;"",countif('5) Release_Track'!$F:$F,$A763)=0),"NO ISRC MATCH in Release_Track",and($B763&lt;&gt;"",countif('5) Release_Track'!$G:$G,$B763)=0),"NO CATALOG ID MATCH in Release_Track",iserror(vlookup($A763&amp;$B763,'5) Release_Track'!$F:$F&amp;'5) Release_Track'!$G:$G,1,0)),"NO ISRC-CATALOG ID pair MATCH in Release_Track" )</f>
        <v/>
      </c>
      <c r="D763" s="121" t="str">
        <f t="array" ref="D763">ifs(and(isblank($A763),isblank($B763)),"", not(iserror(vlookup($A763&amp;$B763,'5) Release_Track'!$F:$F&amp;'5) Release_Track'!$G:$G,1,0))),vlookup($A763&amp;$B763,{'5) Release_Track'!$F:$F&amp;'5) Release_Track'!$G:$G,'5) Release_Track'!$I:$I},2,0), or(and(not(isblank($B763)),$B763=$B762,$A763&lt;&gt;$A762),and(not(isblank($A763)),$A763=$A762,$B763&lt;&gt;$B762)),"ID LISTS UNALIGNED",and($A763&lt;&gt;"",countif('5) Release_Track'!$F:$F,$A763)=0),"NO ISRC MATCH in Release_Track",and($B763&lt;&gt;"",countif('5) Release_Track'!$G:$G,$B763)=0),"NO CATALOG ID MATCH in Release_Track",iserror(vlookup($A763&amp;$B763,'5) Release_Track'!$F:$F&amp;'5) Release_Track'!$G:$G,1,0)),"NO ISRC-CATALOG ID pair MATCH in Release_Track" )</f>
        <v/>
      </c>
      <c r="E763" s="125" t="str">
        <f t="array" ref="E763">ifs(and(isblank($A763),isblank($B763)),"", not(iserror(vlookup($A763&amp;$B763,'5) Release_Track'!$F:$F&amp;'5) Release_Track'!$G:$G,1,0))),vlookup($A763&amp;$B763,{'5) Release_Track'!$F:$F&amp;'5) Release_Track'!$G:$G,'5) Release_Track'!$J:$J},2,0), or(and(not(isblank($B763)),$B763=$B762,$A763&lt;&gt;$A762),and(not(isblank($A763)),$A763=$A762,$B763&lt;&gt;$B762)),"ID LISTS UNALIGNED",and($A763&lt;&gt;"",countif('5) Release_Track'!$F:$F,$A763)=0),"NO ISRC MATCH in Release_Track",and($B763&lt;&gt;"",countif('5) Release_Track'!$G:$G,$B763)=0),"NO CATALOG ID MATCH in Release_Track",iserror(vlookup($A763&amp;$B763,'5) Release_Track'!$F:$F&amp;'5) Release_Track'!$G:$G,1,0)),"NO ISRC-CATALOG ID pair MATCH in Release_Track" )</f>
        <v/>
      </c>
      <c r="F763" s="122"/>
      <c r="G763" s="99"/>
      <c r="H763" s="178"/>
      <c r="I763" s="121" t="str">
        <f t="shared" si="6"/>
        <v/>
      </c>
      <c r="J763" s="99"/>
      <c r="K763" s="99"/>
    </row>
    <row r="764">
      <c r="B764" s="103"/>
      <c r="C764" s="121" t="str">
        <f t="array" ref="C764">ifs(and(isblank($A764),isblank($B764)),"", not(iserror(vlookup($A764&amp;$B764,'5) Release_Track'!$F:$F&amp;'5) Release_Track'!$G:$G,1,0))),vlookup($A764&amp;$B764,{'5) Release_Track'!$F:$F&amp;'5) Release_Track'!$G:$G,'5) Release_Track'!$H:$H},2,0), or(and(not(isblank($B764)),$B764=$B763,$A764&lt;&gt;$A763),and(not(isblank($A764)),$A764=$A763,$B764&lt;&gt;$B763)),"ID LISTS UNALIGNED",and($A764&lt;&gt;"",countif('5) Release_Track'!$F:$F,$A764)=0),"NO ISRC MATCH in Release_Track",and($B764&lt;&gt;"",countif('5) Release_Track'!$G:$G,$B764)=0),"NO CATALOG ID MATCH in Release_Track",iserror(vlookup($A764&amp;$B764,'5) Release_Track'!$F:$F&amp;'5) Release_Track'!$G:$G,1,0)),"NO ISRC-CATALOG ID pair MATCH in Release_Track" )</f>
        <v/>
      </c>
      <c r="D764" s="121" t="str">
        <f t="array" ref="D764">ifs(and(isblank($A764),isblank($B764)),"", not(iserror(vlookup($A764&amp;$B764,'5) Release_Track'!$F:$F&amp;'5) Release_Track'!$G:$G,1,0))),vlookup($A764&amp;$B764,{'5) Release_Track'!$F:$F&amp;'5) Release_Track'!$G:$G,'5) Release_Track'!$I:$I},2,0), or(and(not(isblank($B764)),$B764=$B763,$A764&lt;&gt;$A763),and(not(isblank($A764)),$A764=$A763,$B764&lt;&gt;$B763)),"ID LISTS UNALIGNED",and($A764&lt;&gt;"",countif('5) Release_Track'!$F:$F,$A764)=0),"NO ISRC MATCH in Release_Track",and($B764&lt;&gt;"",countif('5) Release_Track'!$G:$G,$B764)=0),"NO CATALOG ID MATCH in Release_Track",iserror(vlookup($A764&amp;$B764,'5) Release_Track'!$F:$F&amp;'5) Release_Track'!$G:$G,1,0)),"NO ISRC-CATALOG ID pair MATCH in Release_Track" )</f>
        <v/>
      </c>
      <c r="E764" s="125" t="str">
        <f t="array" ref="E764">ifs(and(isblank($A764),isblank($B764)),"", not(iserror(vlookup($A764&amp;$B764,'5) Release_Track'!$F:$F&amp;'5) Release_Track'!$G:$G,1,0))),vlookup($A764&amp;$B764,{'5) Release_Track'!$F:$F&amp;'5) Release_Track'!$G:$G,'5) Release_Track'!$J:$J},2,0), or(and(not(isblank($B764)),$B764=$B763,$A764&lt;&gt;$A763),and(not(isblank($A764)),$A764=$A763,$B764&lt;&gt;$B763)),"ID LISTS UNALIGNED",and($A764&lt;&gt;"",countif('5) Release_Track'!$F:$F,$A764)=0),"NO ISRC MATCH in Release_Track",and($B764&lt;&gt;"",countif('5) Release_Track'!$G:$G,$B764)=0),"NO CATALOG ID MATCH in Release_Track",iserror(vlookup($A764&amp;$B764,'5) Release_Track'!$F:$F&amp;'5) Release_Track'!$G:$G,1,0)),"NO ISRC-CATALOG ID pair MATCH in Release_Track" )</f>
        <v/>
      </c>
      <c r="F764" s="122"/>
      <c r="G764" s="99"/>
      <c r="H764" s="178"/>
      <c r="I764" s="121" t="str">
        <f t="shared" si="6"/>
        <v/>
      </c>
      <c r="J764" s="99"/>
      <c r="K764" s="99"/>
    </row>
    <row r="765">
      <c r="B765" s="103"/>
      <c r="C765" s="121" t="str">
        <f t="array" ref="C765">ifs(and(isblank($A765),isblank($B765)),"", not(iserror(vlookup($A765&amp;$B765,'5) Release_Track'!$F:$F&amp;'5) Release_Track'!$G:$G,1,0))),vlookup($A765&amp;$B765,{'5) Release_Track'!$F:$F&amp;'5) Release_Track'!$G:$G,'5) Release_Track'!$H:$H},2,0), or(and(not(isblank($B765)),$B765=$B764,$A765&lt;&gt;$A764),and(not(isblank($A765)),$A765=$A764,$B765&lt;&gt;$B764)),"ID LISTS UNALIGNED",and($A765&lt;&gt;"",countif('5) Release_Track'!$F:$F,$A765)=0),"NO ISRC MATCH in Release_Track",and($B765&lt;&gt;"",countif('5) Release_Track'!$G:$G,$B765)=0),"NO CATALOG ID MATCH in Release_Track",iserror(vlookup($A765&amp;$B765,'5) Release_Track'!$F:$F&amp;'5) Release_Track'!$G:$G,1,0)),"NO ISRC-CATALOG ID pair MATCH in Release_Track" )</f>
        <v/>
      </c>
      <c r="D765" s="121" t="str">
        <f t="array" ref="D765">ifs(and(isblank($A765),isblank($B765)),"", not(iserror(vlookup($A765&amp;$B765,'5) Release_Track'!$F:$F&amp;'5) Release_Track'!$G:$G,1,0))),vlookup($A765&amp;$B765,{'5) Release_Track'!$F:$F&amp;'5) Release_Track'!$G:$G,'5) Release_Track'!$I:$I},2,0), or(and(not(isblank($B765)),$B765=$B764,$A765&lt;&gt;$A764),and(not(isblank($A765)),$A765=$A764,$B765&lt;&gt;$B764)),"ID LISTS UNALIGNED",and($A765&lt;&gt;"",countif('5) Release_Track'!$F:$F,$A765)=0),"NO ISRC MATCH in Release_Track",and($B765&lt;&gt;"",countif('5) Release_Track'!$G:$G,$B765)=0),"NO CATALOG ID MATCH in Release_Track",iserror(vlookup($A765&amp;$B765,'5) Release_Track'!$F:$F&amp;'5) Release_Track'!$G:$G,1,0)),"NO ISRC-CATALOG ID pair MATCH in Release_Track" )</f>
        <v/>
      </c>
      <c r="E765" s="125" t="str">
        <f t="array" ref="E765">ifs(and(isblank($A765),isblank($B765)),"", not(iserror(vlookup($A765&amp;$B765,'5) Release_Track'!$F:$F&amp;'5) Release_Track'!$G:$G,1,0))),vlookup($A765&amp;$B765,{'5) Release_Track'!$F:$F&amp;'5) Release_Track'!$G:$G,'5) Release_Track'!$J:$J},2,0), or(and(not(isblank($B765)),$B765=$B764,$A765&lt;&gt;$A764),and(not(isblank($A765)),$A765=$A764,$B765&lt;&gt;$B764)),"ID LISTS UNALIGNED",and($A765&lt;&gt;"",countif('5) Release_Track'!$F:$F,$A765)=0),"NO ISRC MATCH in Release_Track",and($B765&lt;&gt;"",countif('5) Release_Track'!$G:$G,$B765)=0),"NO CATALOG ID MATCH in Release_Track",iserror(vlookup($A765&amp;$B765,'5) Release_Track'!$F:$F&amp;'5) Release_Track'!$G:$G,1,0)),"NO ISRC-CATALOG ID pair MATCH in Release_Track" )</f>
        <v/>
      </c>
      <c r="F765" s="122"/>
      <c r="G765" s="99"/>
      <c r="H765" s="178"/>
      <c r="I765" s="121" t="str">
        <f t="shared" si="6"/>
        <v/>
      </c>
      <c r="J765" s="99"/>
      <c r="K765" s="99"/>
    </row>
    <row r="766">
      <c r="B766" s="103"/>
      <c r="C766" s="121" t="str">
        <f t="array" ref="C766">ifs(and(isblank($A766),isblank($B766)),"", not(iserror(vlookup($A766&amp;$B766,'5) Release_Track'!$F:$F&amp;'5) Release_Track'!$G:$G,1,0))),vlookup($A766&amp;$B766,{'5) Release_Track'!$F:$F&amp;'5) Release_Track'!$G:$G,'5) Release_Track'!$H:$H},2,0), or(and(not(isblank($B766)),$B766=$B765,$A766&lt;&gt;$A765),and(not(isblank($A766)),$A766=$A765,$B766&lt;&gt;$B765)),"ID LISTS UNALIGNED",and($A766&lt;&gt;"",countif('5) Release_Track'!$F:$F,$A766)=0),"NO ISRC MATCH in Release_Track",and($B766&lt;&gt;"",countif('5) Release_Track'!$G:$G,$B766)=0),"NO CATALOG ID MATCH in Release_Track",iserror(vlookup($A766&amp;$B766,'5) Release_Track'!$F:$F&amp;'5) Release_Track'!$G:$G,1,0)),"NO ISRC-CATALOG ID pair MATCH in Release_Track" )</f>
        <v/>
      </c>
      <c r="D766" s="121" t="str">
        <f t="array" ref="D766">ifs(and(isblank($A766),isblank($B766)),"", not(iserror(vlookup($A766&amp;$B766,'5) Release_Track'!$F:$F&amp;'5) Release_Track'!$G:$G,1,0))),vlookup($A766&amp;$B766,{'5) Release_Track'!$F:$F&amp;'5) Release_Track'!$G:$G,'5) Release_Track'!$I:$I},2,0), or(and(not(isblank($B766)),$B766=$B765,$A766&lt;&gt;$A765),and(not(isblank($A766)),$A766=$A765,$B766&lt;&gt;$B765)),"ID LISTS UNALIGNED",and($A766&lt;&gt;"",countif('5) Release_Track'!$F:$F,$A766)=0),"NO ISRC MATCH in Release_Track",and($B766&lt;&gt;"",countif('5) Release_Track'!$G:$G,$B766)=0),"NO CATALOG ID MATCH in Release_Track",iserror(vlookup($A766&amp;$B766,'5) Release_Track'!$F:$F&amp;'5) Release_Track'!$G:$G,1,0)),"NO ISRC-CATALOG ID pair MATCH in Release_Track" )</f>
        <v/>
      </c>
      <c r="E766" s="125" t="str">
        <f t="array" ref="E766">ifs(and(isblank($A766),isblank($B766)),"", not(iserror(vlookup($A766&amp;$B766,'5) Release_Track'!$F:$F&amp;'5) Release_Track'!$G:$G,1,0))),vlookup($A766&amp;$B766,{'5) Release_Track'!$F:$F&amp;'5) Release_Track'!$G:$G,'5) Release_Track'!$J:$J},2,0), or(and(not(isblank($B766)),$B766=$B765,$A766&lt;&gt;$A765),and(not(isblank($A766)),$A766=$A765,$B766&lt;&gt;$B765)),"ID LISTS UNALIGNED",and($A766&lt;&gt;"",countif('5) Release_Track'!$F:$F,$A766)=0),"NO ISRC MATCH in Release_Track",and($B766&lt;&gt;"",countif('5) Release_Track'!$G:$G,$B766)=0),"NO CATALOG ID MATCH in Release_Track",iserror(vlookup($A766&amp;$B766,'5) Release_Track'!$F:$F&amp;'5) Release_Track'!$G:$G,1,0)),"NO ISRC-CATALOG ID pair MATCH in Release_Track" )</f>
        <v/>
      </c>
      <c r="F766" s="122"/>
      <c r="G766" s="99"/>
      <c r="H766" s="178"/>
      <c r="I766" s="121" t="str">
        <f t="shared" si="6"/>
        <v/>
      </c>
      <c r="J766" s="99"/>
      <c r="K766" s="99"/>
    </row>
    <row r="767">
      <c r="B767" s="103"/>
      <c r="C767" s="121" t="str">
        <f t="array" ref="C767">ifs(and(isblank($A767),isblank($B767)),"", not(iserror(vlookup($A767&amp;$B767,'5) Release_Track'!$F:$F&amp;'5) Release_Track'!$G:$G,1,0))),vlookup($A767&amp;$B767,{'5) Release_Track'!$F:$F&amp;'5) Release_Track'!$G:$G,'5) Release_Track'!$H:$H},2,0), or(and(not(isblank($B767)),$B767=$B766,$A767&lt;&gt;$A766),and(not(isblank($A767)),$A767=$A766,$B767&lt;&gt;$B766)),"ID LISTS UNALIGNED",and($A767&lt;&gt;"",countif('5) Release_Track'!$F:$F,$A767)=0),"NO ISRC MATCH in Release_Track",and($B767&lt;&gt;"",countif('5) Release_Track'!$G:$G,$B767)=0),"NO CATALOG ID MATCH in Release_Track",iserror(vlookup($A767&amp;$B767,'5) Release_Track'!$F:$F&amp;'5) Release_Track'!$G:$G,1,0)),"NO ISRC-CATALOG ID pair MATCH in Release_Track" )</f>
        <v/>
      </c>
      <c r="D767" s="121" t="str">
        <f t="array" ref="D767">ifs(and(isblank($A767),isblank($B767)),"", not(iserror(vlookup($A767&amp;$B767,'5) Release_Track'!$F:$F&amp;'5) Release_Track'!$G:$G,1,0))),vlookup($A767&amp;$B767,{'5) Release_Track'!$F:$F&amp;'5) Release_Track'!$G:$G,'5) Release_Track'!$I:$I},2,0), or(and(not(isblank($B767)),$B767=$B766,$A767&lt;&gt;$A766),and(not(isblank($A767)),$A767=$A766,$B767&lt;&gt;$B766)),"ID LISTS UNALIGNED",and($A767&lt;&gt;"",countif('5) Release_Track'!$F:$F,$A767)=0),"NO ISRC MATCH in Release_Track",and($B767&lt;&gt;"",countif('5) Release_Track'!$G:$G,$B767)=0),"NO CATALOG ID MATCH in Release_Track",iserror(vlookup($A767&amp;$B767,'5) Release_Track'!$F:$F&amp;'5) Release_Track'!$G:$G,1,0)),"NO ISRC-CATALOG ID pair MATCH in Release_Track" )</f>
        <v/>
      </c>
      <c r="E767" s="125" t="str">
        <f t="array" ref="E767">ifs(and(isblank($A767),isblank($B767)),"", not(iserror(vlookup($A767&amp;$B767,'5) Release_Track'!$F:$F&amp;'5) Release_Track'!$G:$G,1,0))),vlookup($A767&amp;$B767,{'5) Release_Track'!$F:$F&amp;'5) Release_Track'!$G:$G,'5) Release_Track'!$J:$J},2,0), or(and(not(isblank($B767)),$B767=$B766,$A767&lt;&gt;$A766),and(not(isblank($A767)),$A767=$A766,$B767&lt;&gt;$B766)),"ID LISTS UNALIGNED",and($A767&lt;&gt;"",countif('5) Release_Track'!$F:$F,$A767)=0),"NO ISRC MATCH in Release_Track",and($B767&lt;&gt;"",countif('5) Release_Track'!$G:$G,$B767)=0),"NO CATALOG ID MATCH in Release_Track",iserror(vlookup($A767&amp;$B767,'5) Release_Track'!$F:$F&amp;'5) Release_Track'!$G:$G,1,0)),"NO ISRC-CATALOG ID pair MATCH in Release_Track" )</f>
        <v/>
      </c>
      <c r="F767" s="122"/>
      <c r="G767" s="99"/>
      <c r="H767" s="178"/>
      <c r="I767" s="121" t="str">
        <f t="shared" si="6"/>
        <v/>
      </c>
      <c r="J767" s="99"/>
      <c r="K767" s="99"/>
    </row>
    <row r="768">
      <c r="B768" s="103"/>
      <c r="C768" s="121" t="str">
        <f t="array" ref="C768">ifs(and(isblank($A768),isblank($B768)),"", not(iserror(vlookup($A768&amp;$B768,'5) Release_Track'!$F:$F&amp;'5) Release_Track'!$G:$G,1,0))),vlookup($A768&amp;$B768,{'5) Release_Track'!$F:$F&amp;'5) Release_Track'!$G:$G,'5) Release_Track'!$H:$H},2,0), or(and(not(isblank($B768)),$B768=$B767,$A768&lt;&gt;$A767),and(not(isblank($A768)),$A768=$A767,$B768&lt;&gt;$B767)),"ID LISTS UNALIGNED",and($A768&lt;&gt;"",countif('5) Release_Track'!$F:$F,$A768)=0),"NO ISRC MATCH in Release_Track",and($B768&lt;&gt;"",countif('5) Release_Track'!$G:$G,$B768)=0),"NO CATALOG ID MATCH in Release_Track",iserror(vlookup($A768&amp;$B768,'5) Release_Track'!$F:$F&amp;'5) Release_Track'!$G:$G,1,0)),"NO ISRC-CATALOG ID pair MATCH in Release_Track" )</f>
        <v/>
      </c>
      <c r="D768" s="121" t="str">
        <f t="array" ref="D768">ifs(and(isblank($A768),isblank($B768)),"", not(iserror(vlookup($A768&amp;$B768,'5) Release_Track'!$F:$F&amp;'5) Release_Track'!$G:$G,1,0))),vlookup($A768&amp;$B768,{'5) Release_Track'!$F:$F&amp;'5) Release_Track'!$G:$G,'5) Release_Track'!$I:$I},2,0), or(and(not(isblank($B768)),$B768=$B767,$A768&lt;&gt;$A767),and(not(isblank($A768)),$A768=$A767,$B768&lt;&gt;$B767)),"ID LISTS UNALIGNED",and($A768&lt;&gt;"",countif('5) Release_Track'!$F:$F,$A768)=0),"NO ISRC MATCH in Release_Track",and($B768&lt;&gt;"",countif('5) Release_Track'!$G:$G,$B768)=0),"NO CATALOG ID MATCH in Release_Track",iserror(vlookup($A768&amp;$B768,'5) Release_Track'!$F:$F&amp;'5) Release_Track'!$G:$G,1,0)),"NO ISRC-CATALOG ID pair MATCH in Release_Track" )</f>
        <v/>
      </c>
      <c r="E768" s="125" t="str">
        <f t="array" ref="E768">ifs(and(isblank($A768),isblank($B768)),"", not(iserror(vlookup($A768&amp;$B768,'5) Release_Track'!$F:$F&amp;'5) Release_Track'!$G:$G,1,0))),vlookup($A768&amp;$B768,{'5) Release_Track'!$F:$F&amp;'5) Release_Track'!$G:$G,'5) Release_Track'!$J:$J},2,0), or(and(not(isblank($B768)),$B768=$B767,$A768&lt;&gt;$A767),and(not(isblank($A768)),$A768=$A767,$B768&lt;&gt;$B767)),"ID LISTS UNALIGNED",and($A768&lt;&gt;"",countif('5) Release_Track'!$F:$F,$A768)=0),"NO ISRC MATCH in Release_Track",and($B768&lt;&gt;"",countif('5) Release_Track'!$G:$G,$B768)=0),"NO CATALOG ID MATCH in Release_Track",iserror(vlookup($A768&amp;$B768,'5) Release_Track'!$F:$F&amp;'5) Release_Track'!$G:$G,1,0)),"NO ISRC-CATALOG ID pair MATCH in Release_Track" )</f>
        <v/>
      </c>
      <c r="F768" s="122"/>
      <c r="G768" s="99"/>
      <c r="H768" s="178"/>
      <c r="I768" s="121" t="str">
        <f t="shared" si="6"/>
        <v/>
      </c>
      <c r="J768" s="99"/>
      <c r="K768" s="99"/>
    </row>
    <row r="769">
      <c r="B769" s="103"/>
      <c r="C769" s="121" t="str">
        <f t="array" ref="C769">ifs(and(isblank($A769),isblank($B769)),"", not(iserror(vlookup($A769&amp;$B769,'5) Release_Track'!$F:$F&amp;'5) Release_Track'!$G:$G,1,0))),vlookup($A769&amp;$B769,{'5) Release_Track'!$F:$F&amp;'5) Release_Track'!$G:$G,'5) Release_Track'!$H:$H},2,0), or(and(not(isblank($B769)),$B769=$B768,$A769&lt;&gt;$A768),and(not(isblank($A769)),$A769=$A768,$B769&lt;&gt;$B768)),"ID LISTS UNALIGNED",and($A769&lt;&gt;"",countif('5) Release_Track'!$F:$F,$A769)=0),"NO ISRC MATCH in Release_Track",and($B769&lt;&gt;"",countif('5) Release_Track'!$G:$G,$B769)=0),"NO CATALOG ID MATCH in Release_Track",iserror(vlookup($A769&amp;$B769,'5) Release_Track'!$F:$F&amp;'5) Release_Track'!$G:$G,1,0)),"NO ISRC-CATALOG ID pair MATCH in Release_Track" )</f>
        <v/>
      </c>
      <c r="D769" s="121" t="str">
        <f t="array" ref="D769">ifs(and(isblank($A769),isblank($B769)),"", not(iserror(vlookup($A769&amp;$B769,'5) Release_Track'!$F:$F&amp;'5) Release_Track'!$G:$G,1,0))),vlookup($A769&amp;$B769,{'5) Release_Track'!$F:$F&amp;'5) Release_Track'!$G:$G,'5) Release_Track'!$I:$I},2,0), or(and(not(isblank($B769)),$B769=$B768,$A769&lt;&gt;$A768),and(not(isblank($A769)),$A769=$A768,$B769&lt;&gt;$B768)),"ID LISTS UNALIGNED",and($A769&lt;&gt;"",countif('5) Release_Track'!$F:$F,$A769)=0),"NO ISRC MATCH in Release_Track",and($B769&lt;&gt;"",countif('5) Release_Track'!$G:$G,$B769)=0),"NO CATALOG ID MATCH in Release_Track",iserror(vlookup($A769&amp;$B769,'5) Release_Track'!$F:$F&amp;'5) Release_Track'!$G:$G,1,0)),"NO ISRC-CATALOG ID pair MATCH in Release_Track" )</f>
        <v/>
      </c>
      <c r="E769" s="125" t="str">
        <f t="array" ref="E769">ifs(and(isblank($A769),isblank($B769)),"", not(iserror(vlookup($A769&amp;$B769,'5) Release_Track'!$F:$F&amp;'5) Release_Track'!$G:$G,1,0))),vlookup($A769&amp;$B769,{'5) Release_Track'!$F:$F&amp;'5) Release_Track'!$G:$G,'5) Release_Track'!$J:$J},2,0), or(and(not(isblank($B769)),$B769=$B768,$A769&lt;&gt;$A768),and(not(isblank($A769)),$A769=$A768,$B769&lt;&gt;$B768)),"ID LISTS UNALIGNED",and($A769&lt;&gt;"",countif('5) Release_Track'!$F:$F,$A769)=0),"NO ISRC MATCH in Release_Track",and($B769&lt;&gt;"",countif('5) Release_Track'!$G:$G,$B769)=0),"NO CATALOG ID MATCH in Release_Track",iserror(vlookup($A769&amp;$B769,'5) Release_Track'!$F:$F&amp;'5) Release_Track'!$G:$G,1,0)),"NO ISRC-CATALOG ID pair MATCH in Release_Track" )</f>
        <v/>
      </c>
      <c r="F769" s="122"/>
      <c r="G769" s="99"/>
      <c r="H769" s="178"/>
      <c r="I769" s="121" t="str">
        <f t="shared" si="6"/>
        <v/>
      </c>
      <c r="J769" s="99"/>
      <c r="K769" s="99"/>
    </row>
    <row r="770">
      <c r="B770" s="103"/>
      <c r="C770" s="121" t="str">
        <f t="array" ref="C770">ifs(and(isblank($A770),isblank($B770)),"", not(iserror(vlookup($A770&amp;$B770,'5) Release_Track'!$F:$F&amp;'5) Release_Track'!$G:$G,1,0))),vlookup($A770&amp;$B770,{'5) Release_Track'!$F:$F&amp;'5) Release_Track'!$G:$G,'5) Release_Track'!$H:$H},2,0), or(and(not(isblank($B770)),$B770=$B769,$A770&lt;&gt;$A769),and(not(isblank($A770)),$A770=$A769,$B770&lt;&gt;$B769)),"ID LISTS UNALIGNED",and($A770&lt;&gt;"",countif('5) Release_Track'!$F:$F,$A770)=0),"NO ISRC MATCH in Release_Track",and($B770&lt;&gt;"",countif('5) Release_Track'!$G:$G,$B770)=0),"NO CATALOG ID MATCH in Release_Track",iserror(vlookup($A770&amp;$B770,'5) Release_Track'!$F:$F&amp;'5) Release_Track'!$G:$G,1,0)),"NO ISRC-CATALOG ID pair MATCH in Release_Track" )</f>
        <v/>
      </c>
      <c r="D770" s="121" t="str">
        <f t="array" ref="D770">ifs(and(isblank($A770),isblank($B770)),"", not(iserror(vlookup($A770&amp;$B770,'5) Release_Track'!$F:$F&amp;'5) Release_Track'!$G:$G,1,0))),vlookup($A770&amp;$B770,{'5) Release_Track'!$F:$F&amp;'5) Release_Track'!$G:$G,'5) Release_Track'!$I:$I},2,0), or(and(not(isblank($B770)),$B770=$B769,$A770&lt;&gt;$A769),and(not(isblank($A770)),$A770=$A769,$B770&lt;&gt;$B769)),"ID LISTS UNALIGNED",and($A770&lt;&gt;"",countif('5) Release_Track'!$F:$F,$A770)=0),"NO ISRC MATCH in Release_Track",and($B770&lt;&gt;"",countif('5) Release_Track'!$G:$G,$B770)=0),"NO CATALOG ID MATCH in Release_Track",iserror(vlookup($A770&amp;$B770,'5) Release_Track'!$F:$F&amp;'5) Release_Track'!$G:$G,1,0)),"NO ISRC-CATALOG ID pair MATCH in Release_Track" )</f>
        <v/>
      </c>
      <c r="E770" s="125" t="str">
        <f t="array" ref="E770">ifs(and(isblank($A770),isblank($B770)),"", not(iserror(vlookup($A770&amp;$B770,'5) Release_Track'!$F:$F&amp;'5) Release_Track'!$G:$G,1,0))),vlookup($A770&amp;$B770,{'5) Release_Track'!$F:$F&amp;'5) Release_Track'!$G:$G,'5) Release_Track'!$J:$J},2,0), or(and(not(isblank($B770)),$B770=$B769,$A770&lt;&gt;$A769),and(not(isblank($A770)),$A770=$A769,$B770&lt;&gt;$B769)),"ID LISTS UNALIGNED",and($A770&lt;&gt;"",countif('5) Release_Track'!$F:$F,$A770)=0),"NO ISRC MATCH in Release_Track",and($B770&lt;&gt;"",countif('5) Release_Track'!$G:$G,$B770)=0),"NO CATALOG ID MATCH in Release_Track",iserror(vlookup($A770&amp;$B770,'5) Release_Track'!$F:$F&amp;'5) Release_Track'!$G:$G,1,0)),"NO ISRC-CATALOG ID pair MATCH in Release_Track" )</f>
        <v/>
      </c>
      <c r="F770" s="122"/>
      <c r="G770" s="99"/>
      <c r="H770" s="178"/>
      <c r="I770" s="121" t="str">
        <f t="shared" si="6"/>
        <v/>
      </c>
      <c r="J770" s="99"/>
      <c r="K770" s="99"/>
    </row>
    <row r="771">
      <c r="B771" s="103"/>
      <c r="C771" s="121" t="str">
        <f t="array" ref="C771">ifs(and(isblank($A771),isblank($B771)),"", not(iserror(vlookup($A771&amp;$B771,'5) Release_Track'!$F:$F&amp;'5) Release_Track'!$G:$G,1,0))),vlookup($A771&amp;$B771,{'5) Release_Track'!$F:$F&amp;'5) Release_Track'!$G:$G,'5) Release_Track'!$H:$H},2,0), or(and(not(isblank($B771)),$B771=$B770,$A771&lt;&gt;$A770),and(not(isblank($A771)),$A771=$A770,$B771&lt;&gt;$B770)),"ID LISTS UNALIGNED",and($A771&lt;&gt;"",countif('5) Release_Track'!$F:$F,$A771)=0),"NO ISRC MATCH in Release_Track",and($B771&lt;&gt;"",countif('5) Release_Track'!$G:$G,$B771)=0),"NO CATALOG ID MATCH in Release_Track",iserror(vlookup($A771&amp;$B771,'5) Release_Track'!$F:$F&amp;'5) Release_Track'!$G:$G,1,0)),"NO ISRC-CATALOG ID pair MATCH in Release_Track" )</f>
        <v/>
      </c>
      <c r="D771" s="121" t="str">
        <f t="array" ref="D771">ifs(and(isblank($A771),isblank($B771)),"", not(iserror(vlookup($A771&amp;$B771,'5) Release_Track'!$F:$F&amp;'5) Release_Track'!$G:$G,1,0))),vlookup($A771&amp;$B771,{'5) Release_Track'!$F:$F&amp;'5) Release_Track'!$G:$G,'5) Release_Track'!$I:$I},2,0), or(and(not(isblank($B771)),$B771=$B770,$A771&lt;&gt;$A770),and(not(isblank($A771)),$A771=$A770,$B771&lt;&gt;$B770)),"ID LISTS UNALIGNED",and($A771&lt;&gt;"",countif('5) Release_Track'!$F:$F,$A771)=0),"NO ISRC MATCH in Release_Track",and($B771&lt;&gt;"",countif('5) Release_Track'!$G:$G,$B771)=0),"NO CATALOG ID MATCH in Release_Track",iserror(vlookup($A771&amp;$B771,'5) Release_Track'!$F:$F&amp;'5) Release_Track'!$G:$G,1,0)),"NO ISRC-CATALOG ID pair MATCH in Release_Track" )</f>
        <v/>
      </c>
      <c r="E771" s="125" t="str">
        <f t="array" ref="E771">ifs(and(isblank($A771),isblank($B771)),"", not(iserror(vlookup($A771&amp;$B771,'5) Release_Track'!$F:$F&amp;'5) Release_Track'!$G:$G,1,0))),vlookup($A771&amp;$B771,{'5) Release_Track'!$F:$F&amp;'5) Release_Track'!$G:$G,'5) Release_Track'!$J:$J},2,0), or(and(not(isblank($B771)),$B771=$B770,$A771&lt;&gt;$A770),and(not(isblank($A771)),$A771=$A770,$B771&lt;&gt;$B770)),"ID LISTS UNALIGNED",and($A771&lt;&gt;"",countif('5) Release_Track'!$F:$F,$A771)=0),"NO ISRC MATCH in Release_Track",and($B771&lt;&gt;"",countif('5) Release_Track'!$G:$G,$B771)=0),"NO CATALOG ID MATCH in Release_Track",iserror(vlookup($A771&amp;$B771,'5) Release_Track'!$F:$F&amp;'5) Release_Track'!$G:$G,1,0)),"NO ISRC-CATALOG ID pair MATCH in Release_Track" )</f>
        <v/>
      </c>
      <c r="F771" s="122"/>
      <c r="G771" s="99"/>
      <c r="H771" s="178"/>
      <c r="I771" s="121" t="str">
        <f t="shared" si="6"/>
        <v/>
      </c>
      <c r="J771" s="99"/>
      <c r="K771" s="99"/>
    </row>
    <row r="772">
      <c r="B772" s="103"/>
      <c r="C772" s="121" t="str">
        <f t="array" ref="C772">ifs(and(isblank($A772),isblank($B772)),"", not(iserror(vlookup($A772&amp;$B772,'5) Release_Track'!$F:$F&amp;'5) Release_Track'!$G:$G,1,0))),vlookup($A772&amp;$B772,{'5) Release_Track'!$F:$F&amp;'5) Release_Track'!$G:$G,'5) Release_Track'!$H:$H},2,0), or(and(not(isblank($B772)),$B772=$B771,$A772&lt;&gt;$A771),and(not(isblank($A772)),$A772=$A771,$B772&lt;&gt;$B771)),"ID LISTS UNALIGNED",and($A772&lt;&gt;"",countif('5) Release_Track'!$F:$F,$A772)=0),"NO ISRC MATCH in Release_Track",and($B772&lt;&gt;"",countif('5) Release_Track'!$G:$G,$B772)=0),"NO CATALOG ID MATCH in Release_Track",iserror(vlookup($A772&amp;$B772,'5) Release_Track'!$F:$F&amp;'5) Release_Track'!$G:$G,1,0)),"NO ISRC-CATALOG ID pair MATCH in Release_Track" )</f>
        <v/>
      </c>
      <c r="D772" s="121" t="str">
        <f t="array" ref="D772">ifs(and(isblank($A772),isblank($B772)),"", not(iserror(vlookup($A772&amp;$B772,'5) Release_Track'!$F:$F&amp;'5) Release_Track'!$G:$G,1,0))),vlookup($A772&amp;$B772,{'5) Release_Track'!$F:$F&amp;'5) Release_Track'!$G:$G,'5) Release_Track'!$I:$I},2,0), or(and(not(isblank($B772)),$B772=$B771,$A772&lt;&gt;$A771),and(not(isblank($A772)),$A772=$A771,$B772&lt;&gt;$B771)),"ID LISTS UNALIGNED",and($A772&lt;&gt;"",countif('5) Release_Track'!$F:$F,$A772)=0),"NO ISRC MATCH in Release_Track",and($B772&lt;&gt;"",countif('5) Release_Track'!$G:$G,$B772)=0),"NO CATALOG ID MATCH in Release_Track",iserror(vlookup($A772&amp;$B772,'5) Release_Track'!$F:$F&amp;'5) Release_Track'!$G:$G,1,0)),"NO ISRC-CATALOG ID pair MATCH in Release_Track" )</f>
        <v/>
      </c>
      <c r="E772" s="125" t="str">
        <f t="array" ref="E772">ifs(and(isblank($A772),isblank($B772)),"", not(iserror(vlookup($A772&amp;$B772,'5) Release_Track'!$F:$F&amp;'5) Release_Track'!$G:$G,1,0))),vlookup($A772&amp;$B772,{'5) Release_Track'!$F:$F&amp;'5) Release_Track'!$G:$G,'5) Release_Track'!$J:$J},2,0), or(and(not(isblank($B772)),$B772=$B771,$A772&lt;&gt;$A771),and(not(isblank($A772)),$A772=$A771,$B772&lt;&gt;$B771)),"ID LISTS UNALIGNED",and($A772&lt;&gt;"",countif('5) Release_Track'!$F:$F,$A772)=0),"NO ISRC MATCH in Release_Track",and($B772&lt;&gt;"",countif('5) Release_Track'!$G:$G,$B772)=0),"NO CATALOG ID MATCH in Release_Track",iserror(vlookup($A772&amp;$B772,'5) Release_Track'!$F:$F&amp;'5) Release_Track'!$G:$G,1,0)),"NO ISRC-CATALOG ID pair MATCH in Release_Track" )</f>
        <v/>
      </c>
      <c r="F772" s="122"/>
      <c r="G772" s="99"/>
      <c r="H772" s="178"/>
      <c r="I772" s="121" t="str">
        <f t="shared" si="6"/>
        <v/>
      </c>
      <c r="J772" s="99"/>
      <c r="K772" s="99"/>
    </row>
    <row r="773">
      <c r="B773" s="103"/>
      <c r="C773" s="121" t="str">
        <f t="array" ref="C773">ifs(and(isblank($A773),isblank($B773)),"", not(iserror(vlookup($A773&amp;$B773,'5) Release_Track'!$F:$F&amp;'5) Release_Track'!$G:$G,1,0))),vlookup($A773&amp;$B773,{'5) Release_Track'!$F:$F&amp;'5) Release_Track'!$G:$G,'5) Release_Track'!$H:$H},2,0), or(and(not(isblank($B773)),$B773=$B772,$A773&lt;&gt;$A772),and(not(isblank($A773)),$A773=$A772,$B773&lt;&gt;$B772)),"ID LISTS UNALIGNED",and($A773&lt;&gt;"",countif('5) Release_Track'!$F:$F,$A773)=0),"NO ISRC MATCH in Release_Track",and($B773&lt;&gt;"",countif('5) Release_Track'!$G:$G,$B773)=0),"NO CATALOG ID MATCH in Release_Track",iserror(vlookup($A773&amp;$B773,'5) Release_Track'!$F:$F&amp;'5) Release_Track'!$G:$G,1,0)),"NO ISRC-CATALOG ID pair MATCH in Release_Track" )</f>
        <v/>
      </c>
      <c r="D773" s="121" t="str">
        <f t="array" ref="D773">ifs(and(isblank($A773),isblank($B773)),"", not(iserror(vlookup($A773&amp;$B773,'5) Release_Track'!$F:$F&amp;'5) Release_Track'!$G:$G,1,0))),vlookup($A773&amp;$B773,{'5) Release_Track'!$F:$F&amp;'5) Release_Track'!$G:$G,'5) Release_Track'!$I:$I},2,0), or(and(not(isblank($B773)),$B773=$B772,$A773&lt;&gt;$A772),and(not(isblank($A773)),$A773=$A772,$B773&lt;&gt;$B772)),"ID LISTS UNALIGNED",and($A773&lt;&gt;"",countif('5) Release_Track'!$F:$F,$A773)=0),"NO ISRC MATCH in Release_Track",and($B773&lt;&gt;"",countif('5) Release_Track'!$G:$G,$B773)=0),"NO CATALOG ID MATCH in Release_Track",iserror(vlookup($A773&amp;$B773,'5) Release_Track'!$F:$F&amp;'5) Release_Track'!$G:$G,1,0)),"NO ISRC-CATALOG ID pair MATCH in Release_Track" )</f>
        <v/>
      </c>
      <c r="E773" s="125" t="str">
        <f t="array" ref="E773">ifs(and(isblank($A773),isblank($B773)),"", not(iserror(vlookup($A773&amp;$B773,'5) Release_Track'!$F:$F&amp;'5) Release_Track'!$G:$G,1,0))),vlookup($A773&amp;$B773,{'5) Release_Track'!$F:$F&amp;'5) Release_Track'!$G:$G,'5) Release_Track'!$J:$J},2,0), or(and(not(isblank($B773)),$B773=$B772,$A773&lt;&gt;$A772),and(not(isblank($A773)),$A773=$A772,$B773&lt;&gt;$B772)),"ID LISTS UNALIGNED",and($A773&lt;&gt;"",countif('5) Release_Track'!$F:$F,$A773)=0),"NO ISRC MATCH in Release_Track",and($B773&lt;&gt;"",countif('5) Release_Track'!$G:$G,$B773)=0),"NO CATALOG ID MATCH in Release_Track",iserror(vlookup($A773&amp;$B773,'5) Release_Track'!$F:$F&amp;'5) Release_Track'!$G:$G,1,0)),"NO ISRC-CATALOG ID pair MATCH in Release_Track" )</f>
        <v/>
      </c>
      <c r="F773" s="122"/>
      <c r="G773" s="99"/>
      <c r="H773" s="178"/>
      <c r="I773" s="121" t="str">
        <f t="shared" si="6"/>
        <v/>
      </c>
      <c r="J773" s="99"/>
      <c r="K773" s="99"/>
    </row>
    <row r="774">
      <c r="B774" s="103"/>
      <c r="C774" s="121" t="str">
        <f t="array" ref="C774">ifs(and(isblank($A774),isblank($B774)),"", not(iserror(vlookup($A774&amp;$B774,'5) Release_Track'!$F:$F&amp;'5) Release_Track'!$G:$G,1,0))),vlookup($A774&amp;$B774,{'5) Release_Track'!$F:$F&amp;'5) Release_Track'!$G:$G,'5) Release_Track'!$H:$H},2,0), or(and(not(isblank($B774)),$B774=$B773,$A774&lt;&gt;$A773),and(not(isblank($A774)),$A774=$A773,$B774&lt;&gt;$B773)),"ID LISTS UNALIGNED",and($A774&lt;&gt;"",countif('5) Release_Track'!$F:$F,$A774)=0),"NO ISRC MATCH in Release_Track",and($B774&lt;&gt;"",countif('5) Release_Track'!$G:$G,$B774)=0),"NO CATALOG ID MATCH in Release_Track",iserror(vlookup($A774&amp;$B774,'5) Release_Track'!$F:$F&amp;'5) Release_Track'!$G:$G,1,0)),"NO ISRC-CATALOG ID pair MATCH in Release_Track" )</f>
        <v/>
      </c>
      <c r="D774" s="121" t="str">
        <f t="array" ref="D774">ifs(and(isblank($A774),isblank($B774)),"", not(iserror(vlookup($A774&amp;$B774,'5) Release_Track'!$F:$F&amp;'5) Release_Track'!$G:$G,1,0))),vlookup($A774&amp;$B774,{'5) Release_Track'!$F:$F&amp;'5) Release_Track'!$G:$G,'5) Release_Track'!$I:$I},2,0), or(and(not(isblank($B774)),$B774=$B773,$A774&lt;&gt;$A773),and(not(isblank($A774)),$A774=$A773,$B774&lt;&gt;$B773)),"ID LISTS UNALIGNED",and($A774&lt;&gt;"",countif('5) Release_Track'!$F:$F,$A774)=0),"NO ISRC MATCH in Release_Track",and($B774&lt;&gt;"",countif('5) Release_Track'!$G:$G,$B774)=0),"NO CATALOG ID MATCH in Release_Track",iserror(vlookup($A774&amp;$B774,'5) Release_Track'!$F:$F&amp;'5) Release_Track'!$G:$G,1,0)),"NO ISRC-CATALOG ID pair MATCH in Release_Track" )</f>
        <v/>
      </c>
      <c r="E774" s="125" t="str">
        <f t="array" ref="E774">ifs(and(isblank($A774),isblank($B774)),"", not(iserror(vlookup($A774&amp;$B774,'5) Release_Track'!$F:$F&amp;'5) Release_Track'!$G:$G,1,0))),vlookup($A774&amp;$B774,{'5) Release_Track'!$F:$F&amp;'5) Release_Track'!$G:$G,'5) Release_Track'!$J:$J},2,0), or(and(not(isblank($B774)),$B774=$B773,$A774&lt;&gt;$A773),and(not(isblank($A774)),$A774=$A773,$B774&lt;&gt;$B773)),"ID LISTS UNALIGNED",and($A774&lt;&gt;"",countif('5) Release_Track'!$F:$F,$A774)=0),"NO ISRC MATCH in Release_Track",and($B774&lt;&gt;"",countif('5) Release_Track'!$G:$G,$B774)=0),"NO CATALOG ID MATCH in Release_Track",iserror(vlookup($A774&amp;$B774,'5) Release_Track'!$F:$F&amp;'5) Release_Track'!$G:$G,1,0)),"NO ISRC-CATALOG ID pair MATCH in Release_Track" )</f>
        <v/>
      </c>
      <c r="F774" s="122"/>
      <c r="G774" s="99"/>
      <c r="H774" s="178"/>
      <c r="I774" s="121" t="str">
        <f t="shared" si="6"/>
        <v/>
      </c>
      <c r="J774" s="99"/>
      <c r="K774" s="99"/>
    </row>
    <row r="775">
      <c r="B775" s="103"/>
      <c r="C775" s="121" t="str">
        <f t="array" ref="C775">ifs(and(isblank($A775),isblank($B775)),"", not(iserror(vlookup($A775&amp;$B775,'5) Release_Track'!$F:$F&amp;'5) Release_Track'!$G:$G,1,0))),vlookup($A775&amp;$B775,{'5) Release_Track'!$F:$F&amp;'5) Release_Track'!$G:$G,'5) Release_Track'!$H:$H},2,0), or(and(not(isblank($B775)),$B775=$B774,$A775&lt;&gt;$A774),and(not(isblank($A775)),$A775=$A774,$B775&lt;&gt;$B774)),"ID LISTS UNALIGNED",and($A775&lt;&gt;"",countif('5) Release_Track'!$F:$F,$A775)=0),"NO ISRC MATCH in Release_Track",and($B775&lt;&gt;"",countif('5) Release_Track'!$G:$G,$B775)=0),"NO CATALOG ID MATCH in Release_Track",iserror(vlookup($A775&amp;$B775,'5) Release_Track'!$F:$F&amp;'5) Release_Track'!$G:$G,1,0)),"NO ISRC-CATALOG ID pair MATCH in Release_Track" )</f>
        <v/>
      </c>
      <c r="D775" s="121" t="str">
        <f t="array" ref="D775">ifs(and(isblank($A775),isblank($B775)),"", not(iserror(vlookup($A775&amp;$B775,'5) Release_Track'!$F:$F&amp;'5) Release_Track'!$G:$G,1,0))),vlookup($A775&amp;$B775,{'5) Release_Track'!$F:$F&amp;'5) Release_Track'!$G:$G,'5) Release_Track'!$I:$I},2,0), or(and(not(isblank($B775)),$B775=$B774,$A775&lt;&gt;$A774),and(not(isblank($A775)),$A775=$A774,$B775&lt;&gt;$B774)),"ID LISTS UNALIGNED",and($A775&lt;&gt;"",countif('5) Release_Track'!$F:$F,$A775)=0),"NO ISRC MATCH in Release_Track",and($B775&lt;&gt;"",countif('5) Release_Track'!$G:$G,$B775)=0),"NO CATALOG ID MATCH in Release_Track",iserror(vlookup($A775&amp;$B775,'5) Release_Track'!$F:$F&amp;'5) Release_Track'!$G:$G,1,0)),"NO ISRC-CATALOG ID pair MATCH in Release_Track" )</f>
        <v/>
      </c>
      <c r="E775" s="125" t="str">
        <f t="array" ref="E775">ifs(and(isblank($A775),isblank($B775)),"", not(iserror(vlookup($A775&amp;$B775,'5) Release_Track'!$F:$F&amp;'5) Release_Track'!$G:$G,1,0))),vlookup($A775&amp;$B775,{'5) Release_Track'!$F:$F&amp;'5) Release_Track'!$G:$G,'5) Release_Track'!$J:$J},2,0), or(and(not(isblank($B775)),$B775=$B774,$A775&lt;&gt;$A774),and(not(isblank($A775)),$A775=$A774,$B775&lt;&gt;$B774)),"ID LISTS UNALIGNED",and($A775&lt;&gt;"",countif('5) Release_Track'!$F:$F,$A775)=0),"NO ISRC MATCH in Release_Track",and($B775&lt;&gt;"",countif('5) Release_Track'!$G:$G,$B775)=0),"NO CATALOG ID MATCH in Release_Track",iserror(vlookup($A775&amp;$B775,'5) Release_Track'!$F:$F&amp;'5) Release_Track'!$G:$G,1,0)),"NO ISRC-CATALOG ID pair MATCH in Release_Track" )</f>
        <v/>
      </c>
      <c r="F775" s="122"/>
      <c r="G775" s="99"/>
      <c r="H775" s="178"/>
      <c r="I775" s="121" t="str">
        <f t="shared" si="6"/>
        <v/>
      </c>
      <c r="J775" s="99"/>
      <c r="K775" s="99"/>
    </row>
    <row r="776">
      <c r="B776" s="103"/>
      <c r="C776" s="121" t="str">
        <f t="array" ref="C776">ifs(and(isblank($A776),isblank($B776)),"", not(iserror(vlookup($A776&amp;$B776,'5) Release_Track'!$F:$F&amp;'5) Release_Track'!$G:$G,1,0))),vlookup($A776&amp;$B776,{'5) Release_Track'!$F:$F&amp;'5) Release_Track'!$G:$G,'5) Release_Track'!$H:$H},2,0), or(and(not(isblank($B776)),$B776=$B775,$A776&lt;&gt;$A775),and(not(isblank($A776)),$A776=$A775,$B776&lt;&gt;$B775)),"ID LISTS UNALIGNED",and($A776&lt;&gt;"",countif('5) Release_Track'!$F:$F,$A776)=0),"NO ISRC MATCH in Release_Track",and($B776&lt;&gt;"",countif('5) Release_Track'!$G:$G,$B776)=0),"NO CATALOG ID MATCH in Release_Track",iserror(vlookup($A776&amp;$B776,'5) Release_Track'!$F:$F&amp;'5) Release_Track'!$G:$G,1,0)),"NO ISRC-CATALOG ID pair MATCH in Release_Track" )</f>
        <v/>
      </c>
      <c r="D776" s="121" t="str">
        <f t="array" ref="D776">ifs(and(isblank($A776),isblank($B776)),"", not(iserror(vlookup($A776&amp;$B776,'5) Release_Track'!$F:$F&amp;'5) Release_Track'!$G:$G,1,0))),vlookup($A776&amp;$B776,{'5) Release_Track'!$F:$F&amp;'5) Release_Track'!$G:$G,'5) Release_Track'!$I:$I},2,0), or(and(not(isblank($B776)),$B776=$B775,$A776&lt;&gt;$A775),and(not(isblank($A776)),$A776=$A775,$B776&lt;&gt;$B775)),"ID LISTS UNALIGNED",and($A776&lt;&gt;"",countif('5) Release_Track'!$F:$F,$A776)=0),"NO ISRC MATCH in Release_Track",and($B776&lt;&gt;"",countif('5) Release_Track'!$G:$G,$B776)=0),"NO CATALOG ID MATCH in Release_Track",iserror(vlookup($A776&amp;$B776,'5) Release_Track'!$F:$F&amp;'5) Release_Track'!$G:$G,1,0)),"NO ISRC-CATALOG ID pair MATCH in Release_Track" )</f>
        <v/>
      </c>
      <c r="E776" s="125" t="str">
        <f t="array" ref="E776">ifs(and(isblank($A776),isblank($B776)),"", not(iserror(vlookup($A776&amp;$B776,'5) Release_Track'!$F:$F&amp;'5) Release_Track'!$G:$G,1,0))),vlookup($A776&amp;$B776,{'5) Release_Track'!$F:$F&amp;'5) Release_Track'!$G:$G,'5) Release_Track'!$J:$J},2,0), or(and(not(isblank($B776)),$B776=$B775,$A776&lt;&gt;$A775),and(not(isblank($A776)),$A776=$A775,$B776&lt;&gt;$B775)),"ID LISTS UNALIGNED",and($A776&lt;&gt;"",countif('5) Release_Track'!$F:$F,$A776)=0),"NO ISRC MATCH in Release_Track",and($B776&lt;&gt;"",countif('5) Release_Track'!$G:$G,$B776)=0),"NO CATALOG ID MATCH in Release_Track",iserror(vlookup($A776&amp;$B776,'5) Release_Track'!$F:$F&amp;'5) Release_Track'!$G:$G,1,0)),"NO ISRC-CATALOG ID pair MATCH in Release_Track" )</f>
        <v/>
      </c>
      <c r="F776" s="122"/>
      <c r="G776" s="99"/>
      <c r="H776" s="178"/>
      <c r="I776" s="121" t="str">
        <f t="shared" si="6"/>
        <v/>
      </c>
      <c r="J776" s="99"/>
      <c r="K776" s="99"/>
    </row>
    <row r="777">
      <c r="B777" s="103"/>
      <c r="C777" s="121" t="str">
        <f t="array" ref="C777">ifs(and(isblank($A777),isblank($B777)),"", not(iserror(vlookup($A777&amp;$B777,'5) Release_Track'!$F:$F&amp;'5) Release_Track'!$G:$G,1,0))),vlookup($A777&amp;$B777,{'5) Release_Track'!$F:$F&amp;'5) Release_Track'!$G:$G,'5) Release_Track'!$H:$H},2,0), or(and(not(isblank($B777)),$B777=$B776,$A777&lt;&gt;$A776),and(not(isblank($A777)),$A777=$A776,$B777&lt;&gt;$B776)),"ID LISTS UNALIGNED",and($A777&lt;&gt;"",countif('5) Release_Track'!$F:$F,$A777)=0),"NO ISRC MATCH in Release_Track",and($B777&lt;&gt;"",countif('5) Release_Track'!$G:$G,$B777)=0),"NO CATALOG ID MATCH in Release_Track",iserror(vlookup($A777&amp;$B777,'5) Release_Track'!$F:$F&amp;'5) Release_Track'!$G:$G,1,0)),"NO ISRC-CATALOG ID pair MATCH in Release_Track" )</f>
        <v/>
      </c>
      <c r="D777" s="121" t="str">
        <f t="array" ref="D777">ifs(and(isblank($A777),isblank($B777)),"", not(iserror(vlookup($A777&amp;$B777,'5) Release_Track'!$F:$F&amp;'5) Release_Track'!$G:$G,1,0))),vlookup($A777&amp;$B777,{'5) Release_Track'!$F:$F&amp;'5) Release_Track'!$G:$G,'5) Release_Track'!$I:$I},2,0), or(and(not(isblank($B777)),$B777=$B776,$A777&lt;&gt;$A776),and(not(isblank($A777)),$A777=$A776,$B777&lt;&gt;$B776)),"ID LISTS UNALIGNED",and($A777&lt;&gt;"",countif('5) Release_Track'!$F:$F,$A777)=0),"NO ISRC MATCH in Release_Track",and($B777&lt;&gt;"",countif('5) Release_Track'!$G:$G,$B777)=0),"NO CATALOG ID MATCH in Release_Track",iserror(vlookup($A777&amp;$B777,'5) Release_Track'!$F:$F&amp;'5) Release_Track'!$G:$G,1,0)),"NO ISRC-CATALOG ID pair MATCH in Release_Track" )</f>
        <v/>
      </c>
      <c r="E777" s="125" t="str">
        <f t="array" ref="E777">ifs(and(isblank($A777),isblank($B777)),"", not(iserror(vlookup($A777&amp;$B777,'5) Release_Track'!$F:$F&amp;'5) Release_Track'!$G:$G,1,0))),vlookup($A777&amp;$B777,{'5) Release_Track'!$F:$F&amp;'5) Release_Track'!$G:$G,'5) Release_Track'!$J:$J},2,0), or(and(not(isblank($B777)),$B777=$B776,$A777&lt;&gt;$A776),and(not(isblank($A777)),$A777=$A776,$B777&lt;&gt;$B776)),"ID LISTS UNALIGNED",and($A777&lt;&gt;"",countif('5) Release_Track'!$F:$F,$A777)=0),"NO ISRC MATCH in Release_Track",and($B777&lt;&gt;"",countif('5) Release_Track'!$G:$G,$B777)=0),"NO CATALOG ID MATCH in Release_Track",iserror(vlookup($A777&amp;$B777,'5) Release_Track'!$F:$F&amp;'5) Release_Track'!$G:$G,1,0)),"NO ISRC-CATALOG ID pair MATCH in Release_Track" )</f>
        <v/>
      </c>
      <c r="F777" s="122"/>
      <c r="G777" s="99"/>
      <c r="H777" s="178"/>
      <c r="I777" s="121" t="str">
        <f t="shared" si="6"/>
        <v/>
      </c>
      <c r="J777" s="99"/>
      <c r="K777" s="99"/>
    </row>
    <row r="778">
      <c r="B778" s="103"/>
      <c r="C778" s="121" t="str">
        <f t="array" ref="C778">ifs(and(isblank($A778),isblank($B778)),"", not(iserror(vlookup($A778&amp;$B778,'5) Release_Track'!$F:$F&amp;'5) Release_Track'!$G:$G,1,0))),vlookup($A778&amp;$B778,{'5) Release_Track'!$F:$F&amp;'5) Release_Track'!$G:$G,'5) Release_Track'!$H:$H},2,0), or(and(not(isblank($B778)),$B778=$B777,$A778&lt;&gt;$A777),and(not(isblank($A778)),$A778=$A777,$B778&lt;&gt;$B777)),"ID LISTS UNALIGNED",and($A778&lt;&gt;"",countif('5) Release_Track'!$F:$F,$A778)=0),"NO ISRC MATCH in Release_Track",and($B778&lt;&gt;"",countif('5) Release_Track'!$G:$G,$B778)=0),"NO CATALOG ID MATCH in Release_Track",iserror(vlookup($A778&amp;$B778,'5) Release_Track'!$F:$F&amp;'5) Release_Track'!$G:$G,1,0)),"NO ISRC-CATALOG ID pair MATCH in Release_Track" )</f>
        <v/>
      </c>
      <c r="D778" s="121" t="str">
        <f t="array" ref="D778">ifs(and(isblank($A778),isblank($B778)),"", not(iserror(vlookup($A778&amp;$B778,'5) Release_Track'!$F:$F&amp;'5) Release_Track'!$G:$G,1,0))),vlookup($A778&amp;$B778,{'5) Release_Track'!$F:$F&amp;'5) Release_Track'!$G:$G,'5) Release_Track'!$I:$I},2,0), or(and(not(isblank($B778)),$B778=$B777,$A778&lt;&gt;$A777),and(not(isblank($A778)),$A778=$A777,$B778&lt;&gt;$B777)),"ID LISTS UNALIGNED",and($A778&lt;&gt;"",countif('5) Release_Track'!$F:$F,$A778)=0),"NO ISRC MATCH in Release_Track",and($B778&lt;&gt;"",countif('5) Release_Track'!$G:$G,$B778)=0),"NO CATALOG ID MATCH in Release_Track",iserror(vlookup($A778&amp;$B778,'5) Release_Track'!$F:$F&amp;'5) Release_Track'!$G:$G,1,0)),"NO ISRC-CATALOG ID pair MATCH in Release_Track" )</f>
        <v/>
      </c>
      <c r="E778" s="125" t="str">
        <f t="array" ref="E778">ifs(and(isblank($A778),isblank($B778)),"", not(iserror(vlookup($A778&amp;$B778,'5) Release_Track'!$F:$F&amp;'5) Release_Track'!$G:$G,1,0))),vlookup($A778&amp;$B778,{'5) Release_Track'!$F:$F&amp;'5) Release_Track'!$G:$G,'5) Release_Track'!$J:$J},2,0), or(and(not(isblank($B778)),$B778=$B777,$A778&lt;&gt;$A777),and(not(isblank($A778)),$A778=$A777,$B778&lt;&gt;$B777)),"ID LISTS UNALIGNED",and($A778&lt;&gt;"",countif('5) Release_Track'!$F:$F,$A778)=0),"NO ISRC MATCH in Release_Track",and($B778&lt;&gt;"",countif('5) Release_Track'!$G:$G,$B778)=0),"NO CATALOG ID MATCH in Release_Track",iserror(vlookup($A778&amp;$B778,'5) Release_Track'!$F:$F&amp;'5) Release_Track'!$G:$G,1,0)),"NO ISRC-CATALOG ID pair MATCH in Release_Track" )</f>
        <v/>
      </c>
      <c r="F778" s="122"/>
      <c r="G778" s="99"/>
      <c r="H778" s="178"/>
      <c r="I778" s="121" t="str">
        <f t="shared" si="6"/>
        <v/>
      </c>
      <c r="J778" s="99"/>
      <c r="K778" s="99"/>
    </row>
    <row r="779">
      <c r="B779" s="103"/>
      <c r="C779" s="121" t="str">
        <f t="array" ref="C779">ifs(and(isblank($A779),isblank($B779)),"", not(iserror(vlookup($A779&amp;$B779,'5) Release_Track'!$F:$F&amp;'5) Release_Track'!$G:$G,1,0))),vlookup($A779&amp;$B779,{'5) Release_Track'!$F:$F&amp;'5) Release_Track'!$G:$G,'5) Release_Track'!$H:$H},2,0), or(and(not(isblank($B779)),$B779=$B778,$A779&lt;&gt;$A778),and(not(isblank($A779)),$A779=$A778,$B779&lt;&gt;$B778)),"ID LISTS UNALIGNED",and($A779&lt;&gt;"",countif('5) Release_Track'!$F:$F,$A779)=0),"NO ISRC MATCH in Release_Track",and($B779&lt;&gt;"",countif('5) Release_Track'!$G:$G,$B779)=0),"NO CATALOG ID MATCH in Release_Track",iserror(vlookup($A779&amp;$B779,'5) Release_Track'!$F:$F&amp;'5) Release_Track'!$G:$G,1,0)),"NO ISRC-CATALOG ID pair MATCH in Release_Track" )</f>
        <v/>
      </c>
      <c r="D779" s="121" t="str">
        <f t="array" ref="D779">ifs(and(isblank($A779),isblank($B779)),"", not(iserror(vlookup($A779&amp;$B779,'5) Release_Track'!$F:$F&amp;'5) Release_Track'!$G:$G,1,0))),vlookup($A779&amp;$B779,{'5) Release_Track'!$F:$F&amp;'5) Release_Track'!$G:$G,'5) Release_Track'!$I:$I},2,0), or(and(not(isblank($B779)),$B779=$B778,$A779&lt;&gt;$A778),and(not(isblank($A779)),$A779=$A778,$B779&lt;&gt;$B778)),"ID LISTS UNALIGNED",and($A779&lt;&gt;"",countif('5) Release_Track'!$F:$F,$A779)=0),"NO ISRC MATCH in Release_Track",and($B779&lt;&gt;"",countif('5) Release_Track'!$G:$G,$B779)=0),"NO CATALOG ID MATCH in Release_Track",iserror(vlookup($A779&amp;$B779,'5) Release_Track'!$F:$F&amp;'5) Release_Track'!$G:$G,1,0)),"NO ISRC-CATALOG ID pair MATCH in Release_Track" )</f>
        <v/>
      </c>
      <c r="E779" s="125" t="str">
        <f t="array" ref="E779">ifs(and(isblank($A779),isblank($B779)),"", not(iserror(vlookup($A779&amp;$B779,'5) Release_Track'!$F:$F&amp;'5) Release_Track'!$G:$G,1,0))),vlookup($A779&amp;$B779,{'5) Release_Track'!$F:$F&amp;'5) Release_Track'!$G:$G,'5) Release_Track'!$J:$J},2,0), or(and(not(isblank($B779)),$B779=$B778,$A779&lt;&gt;$A778),and(not(isblank($A779)),$A779=$A778,$B779&lt;&gt;$B778)),"ID LISTS UNALIGNED",and($A779&lt;&gt;"",countif('5) Release_Track'!$F:$F,$A779)=0),"NO ISRC MATCH in Release_Track",and($B779&lt;&gt;"",countif('5) Release_Track'!$G:$G,$B779)=0),"NO CATALOG ID MATCH in Release_Track",iserror(vlookup($A779&amp;$B779,'5) Release_Track'!$F:$F&amp;'5) Release_Track'!$G:$G,1,0)),"NO ISRC-CATALOG ID pair MATCH in Release_Track" )</f>
        <v/>
      </c>
      <c r="F779" s="122"/>
      <c r="G779" s="99"/>
      <c r="H779" s="178"/>
      <c r="I779" s="121" t="str">
        <f t="shared" si="6"/>
        <v/>
      </c>
      <c r="J779" s="99"/>
      <c r="K779" s="99"/>
    </row>
    <row r="780">
      <c r="B780" s="103"/>
      <c r="C780" s="121" t="str">
        <f t="array" ref="C780">ifs(and(isblank($A780),isblank($B780)),"", not(iserror(vlookup($A780&amp;$B780,'5) Release_Track'!$F:$F&amp;'5) Release_Track'!$G:$G,1,0))),vlookup($A780&amp;$B780,{'5) Release_Track'!$F:$F&amp;'5) Release_Track'!$G:$G,'5) Release_Track'!$H:$H},2,0), or(and(not(isblank($B780)),$B780=$B779,$A780&lt;&gt;$A779),and(not(isblank($A780)),$A780=$A779,$B780&lt;&gt;$B779)),"ID LISTS UNALIGNED",and($A780&lt;&gt;"",countif('5) Release_Track'!$F:$F,$A780)=0),"NO ISRC MATCH in Release_Track",and($B780&lt;&gt;"",countif('5) Release_Track'!$G:$G,$B780)=0),"NO CATALOG ID MATCH in Release_Track",iserror(vlookup($A780&amp;$B780,'5) Release_Track'!$F:$F&amp;'5) Release_Track'!$G:$G,1,0)),"NO ISRC-CATALOG ID pair MATCH in Release_Track" )</f>
        <v/>
      </c>
      <c r="D780" s="121" t="str">
        <f t="array" ref="D780">ifs(and(isblank($A780),isblank($B780)),"", not(iserror(vlookup($A780&amp;$B780,'5) Release_Track'!$F:$F&amp;'5) Release_Track'!$G:$G,1,0))),vlookup($A780&amp;$B780,{'5) Release_Track'!$F:$F&amp;'5) Release_Track'!$G:$G,'5) Release_Track'!$I:$I},2,0), or(and(not(isblank($B780)),$B780=$B779,$A780&lt;&gt;$A779),and(not(isblank($A780)),$A780=$A779,$B780&lt;&gt;$B779)),"ID LISTS UNALIGNED",and($A780&lt;&gt;"",countif('5) Release_Track'!$F:$F,$A780)=0),"NO ISRC MATCH in Release_Track",and($B780&lt;&gt;"",countif('5) Release_Track'!$G:$G,$B780)=0),"NO CATALOG ID MATCH in Release_Track",iserror(vlookup($A780&amp;$B780,'5) Release_Track'!$F:$F&amp;'5) Release_Track'!$G:$G,1,0)),"NO ISRC-CATALOG ID pair MATCH in Release_Track" )</f>
        <v/>
      </c>
      <c r="E780" s="125" t="str">
        <f t="array" ref="E780">ifs(and(isblank($A780),isblank($B780)),"", not(iserror(vlookup($A780&amp;$B780,'5) Release_Track'!$F:$F&amp;'5) Release_Track'!$G:$G,1,0))),vlookup($A780&amp;$B780,{'5) Release_Track'!$F:$F&amp;'5) Release_Track'!$G:$G,'5) Release_Track'!$J:$J},2,0), or(and(not(isblank($B780)),$B780=$B779,$A780&lt;&gt;$A779),and(not(isblank($A780)),$A780=$A779,$B780&lt;&gt;$B779)),"ID LISTS UNALIGNED",and($A780&lt;&gt;"",countif('5) Release_Track'!$F:$F,$A780)=0),"NO ISRC MATCH in Release_Track",and($B780&lt;&gt;"",countif('5) Release_Track'!$G:$G,$B780)=0),"NO CATALOG ID MATCH in Release_Track",iserror(vlookup($A780&amp;$B780,'5) Release_Track'!$F:$F&amp;'5) Release_Track'!$G:$G,1,0)),"NO ISRC-CATALOG ID pair MATCH in Release_Track" )</f>
        <v/>
      </c>
      <c r="F780" s="122"/>
      <c r="G780" s="99"/>
      <c r="H780" s="178"/>
      <c r="I780" s="121" t="str">
        <f t="shared" si="6"/>
        <v/>
      </c>
      <c r="J780" s="99"/>
      <c r="K780" s="99"/>
    </row>
    <row r="781">
      <c r="B781" s="103"/>
      <c r="C781" s="121" t="str">
        <f t="array" ref="C781">ifs(and(isblank($A781),isblank($B781)),"", not(iserror(vlookup($A781&amp;$B781,'5) Release_Track'!$F:$F&amp;'5) Release_Track'!$G:$G,1,0))),vlookup($A781&amp;$B781,{'5) Release_Track'!$F:$F&amp;'5) Release_Track'!$G:$G,'5) Release_Track'!$H:$H},2,0), or(and(not(isblank($B781)),$B781=$B780,$A781&lt;&gt;$A780),and(not(isblank($A781)),$A781=$A780,$B781&lt;&gt;$B780)),"ID LISTS UNALIGNED",and($A781&lt;&gt;"",countif('5) Release_Track'!$F:$F,$A781)=0),"NO ISRC MATCH in Release_Track",and($B781&lt;&gt;"",countif('5) Release_Track'!$G:$G,$B781)=0),"NO CATALOG ID MATCH in Release_Track",iserror(vlookup($A781&amp;$B781,'5) Release_Track'!$F:$F&amp;'5) Release_Track'!$G:$G,1,0)),"NO ISRC-CATALOG ID pair MATCH in Release_Track" )</f>
        <v/>
      </c>
      <c r="D781" s="121" t="str">
        <f t="array" ref="D781">ifs(and(isblank($A781),isblank($B781)),"", not(iserror(vlookup($A781&amp;$B781,'5) Release_Track'!$F:$F&amp;'5) Release_Track'!$G:$G,1,0))),vlookup($A781&amp;$B781,{'5) Release_Track'!$F:$F&amp;'5) Release_Track'!$G:$G,'5) Release_Track'!$I:$I},2,0), or(and(not(isblank($B781)),$B781=$B780,$A781&lt;&gt;$A780),and(not(isblank($A781)),$A781=$A780,$B781&lt;&gt;$B780)),"ID LISTS UNALIGNED",and($A781&lt;&gt;"",countif('5) Release_Track'!$F:$F,$A781)=0),"NO ISRC MATCH in Release_Track",and($B781&lt;&gt;"",countif('5) Release_Track'!$G:$G,$B781)=0),"NO CATALOG ID MATCH in Release_Track",iserror(vlookup($A781&amp;$B781,'5) Release_Track'!$F:$F&amp;'5) Release_Track'!$G:$G,1,0)),"NO ISRC-CATALOG ID pair MATCH in Release_Track" )</f>
        <v/>
      </c>
      <c r="E781" s="125" t="str">
        <f t="array" ref="E781">ifs(and(isblank($A781),isblank($B781)),"", not(iserror(vlookup($A781&amp;$B781,'5) Release_Track'!$F:$F&amp;'5) Release_Track'!$G:$G,1,0))),vlookup($A781&amp;$B781,{'5) Release_Track'!$F:$F&amp;'5) Release_Track'!$G:$G,'5) Release_Track'!$J:$J},2,0), or(and(not(isblank($B781)),$B781=$B780,$A781&lt;&gt;$A780),and(not(isblank($A781)),$A781=$A780,$B781&lt;&gt;$B780)),"ID LISTS UNALIGNED",and($A781&lt;&gt;"",countif('5) Release_Track'!$F:$F,$A781)=0),"NO ISRC MATCH in Release_Track",and($B781&lt;&gt;"",countif('5) Release_Track'!$G:$G,$B781)=0),"NO CATALOG ID MATCH in Release_Track",iserror(vlookup($A781&amp;$B781,'5) Release_Track'!$F:$F&amp;'5) Release_Track'!$G:$G,1,0)),"NO ISRC-CATALOG ID pair MATCH in Release_Track" )</f>
        <v/>
      </c>
      <c r="F781" s="122"/>
      <c r="G781" s="99"/>
      <c r="H781" s="178"/>
      <c r="I781" s="121" t="str">
        <f t="shared" si="6"/>
        <v/>
      </c>
      <c r="J781" s="99"/>
      <c r="K781" s="99"/>
    </row>
    <row r="782">
      <c r="B782" s="103"/>
      <c r="C782" s="121" t="str">
        <f t="array" ref="C782">ifs(and(isblank($A782),isblank($B782)),"", not(iserror(vlookup($A782&amp;$B782,'5) Release_Track'!$F:$F&amp;'5) Release_Track'!$G:$G,1,0))),vlookup($A782&amp;$B782,{'5) Release_Track'!$F:$F&amp;'5) Release_Track'!$G:$G,'5) Release_Track'!$H:$H},2,0), or(and(not(isblank($B782)),$B782=$B781,$A782&lt;&gt;$A781),and(not(isblank($A782)),$A782=$A781,$B782&lt;&gt;$B781)),"ID LISTS UNALIGNED",and($A782&lt;&gt;"",countif('5) Release_Track'!$F:$F,$A782)=0),"NO ISRC MATCH in Release_Track",and($B782&lt;&gt;"",countif('5) Release_Track'!$G:$G,$B782)=0),"NO CATALOG ID MATCH in Release_Track",iserror(vlookup($A782&amp;$B782,'5) Release_Track'!$F:$F&amp;'5) Release_Track'!$G:$G,1,0)),"NO ISRC-CATALOG ID pair MATCH in Release_Track" )</f>
        <v/>
      </c>
      <c r="D782" s="121" t="str">
        <f t="array" ref="D782">ifs(and(isblank($A782),isblank($B782)),"", not(iserror(vlookup($A782&amp;$B782,'5) Release_Track'!$F:$F&amp;'5) Release_Track'!$G:$G,1,0))),vlookup($A782&amp;$B782,{'5) Release_Track'!$F:$F&amp;'5) Release_Track'!$G:$G,'5) Release_Track'!$I:$I},2,0), or(and(not(isblank($B782)),$B782=$B781,$A782&lt;&gt;$A781),and(not(isblank($A782)),$A782=$A781,$B782&lt;&gt;$B781)),"ID LISTS UNALIGNED",and($A782&lt;&gt;"",countif('5) Release_Track'!$F:$F,$A782)=0),"NO ISRC MATCH in Release_Track",and($B782&lt;&gt;"",countif('5) Release_Track'!$G:$G,$B782)=0),"NO CATALOG ID MATCH in Release_Track",iserror(vlookup($A782&amp;$B782,'5) Release_Track'!$F:$F&amp;'5) Release_Track'!$G:$G,1,0)),"NO ISRC-CATALOG ID pair MATCH in Release_Track" )</f>
        <v/>
      </c>
      <c r="E782" s="125" t="str">
        <f t="array" ref="E782">ifs(and(isblank($A782),isblank($B782)),"", not(iserror(vlookup($A782&amp;$B782,'5) Release_Track'!$F:$F&amp;'5) Release_Track'!$G:$G,1,0))),vlookup($A782&amp;$B782,{'5) Release_Track'!$F:$F&amp;'5) Release_Track'!$G:$G,'5) Release_Track'!$J:$J},2,0), or(and(not(isblank($B782)),$B782=$B781,$A782&lt;&gt;$A781),and(not(isblank($A782)),$A782=$A781,$B782&lt;&gt;$B781)),"ID LISTS UNALIGNED",and($A782&lt;&gt;"",countif('5) Release_Track'!$F:$F,$A782)=0),"NO ISRC MATCH in Release_Track",and($B782&lt;&gt;"",countif('5) Release_Track'!$G:$G,$B782)=0),"NO CATALOG ID MATCH in Release_Track",iserror(vlookup($A782&amp;$B782,'5) Release_Track'!$F:$F&amp;'5) Release_Track'!$G:$G,1,0)),"NO ISRC-CATALOG ID pair MATCH in Release_Track" )</f>
        <v/>
      </c>
      <c r="F782" s="122"/>
      <c r="G782" s="99"/>
      <c r="H782" s="178"/>
      <c r="I782" s="121" t="str">
        <f t="shared" si="6"/>
        <v/>
      </c>
      <c r="J782" s="99"/>
      <c r="K782" s="99"/>
    </row>
    <row r="783">
      <c r="B783" s="103"/>
      <c r="C783" s="121" t="str">
        <f t="array" ref="C783">ifs(and(isblank($A783),isblank($B783)),"", not(iserror(vlookup($A783&amp;$B783,'5) Release_Track'!$F:$F&amp;'5) Release_Track'!$G:$G,1,0))),vlookup($A783&amp;$B783,{'5) Release_Track'!$F:$F&amp;'5) Release_Track'!$G:$G,'5) Release_Track'!$H:$H},2,0), or(and(not(isblank($B783)),$B783=$B782,$A783&lt;&gt;$A782),and(not(isblank($A783)),$A783=$A782,$B783&lt;&gt;$B782)),"ID LISTS UNALIGNED",and($A783&lt;&gt;"",countif('5) Release_Track'!$F:$F,$A783)=0),"NO ISRC MATCH in Release_Track",and($B783&lt;&gt;"",countif('5) Release_Track'!$G:$G,$B783)=0),"NO CATALOG ID MATCH in Release_Track",iserror(vlookup($A783&amp;$B783,'5) Release_Track'!$F:$F&amp;'5) Release_Track'!$G:$G,1,0)),"NO ISRC-CATALOG ID pair MATCH in Release_Track" )</f>
        <v/>
      </c>
      <c r="D783" s="121" t="str">
        <f t="array" ref="D783">ifs(and(isblank($A783),isblank($B783)),"", not(iserror(vlookup($A783&amp;$B783,'5) Release_Track'!$F:$F&amp;'5) Release_Track'!$G:$G,1,0))),vlookup($A783&amp;$B783,{'5) Release_Track'!$F:$F&amp;'5) Release_Track'!$G:$G,'5) Release_Track'!$I:$I},2,0), or(and(not(isblank($B783)),$B783=$B782,$A783&lt;&gt;$A782),and(not(isblank($A783)),$A783=$A782,$B783&lt;&gt;$B782)),"ID LISTS UNALIGNED",and($A783&lt;&gt;"",countif('5) Release_Track'!$F:$F,$A783)=0),"NO ISRC MATCH in Release_Track",and($B783&lt;&gt;"",countif('5) Release_Track'!$G:$G,$B783)=0),"NO CATALOG ID MATCH in Release_Track",iserror(vlookup($A783&amp;$B783,'5) Release_Track'!$F:$F&amp;'5) Release_Track'!$G:$G,1,0)),"NO ISRC-CATALOG ID pair MATCH in Release_Track" )</f>
        <v/>
      </c>
      <c r="E783" s="125" t="str">
        <f t="array" ref="E783">ifs(and(isblank($A783),isblank($B783)),"", not(iserror(vlookup($A783&amp;$B783,'5) Release_Track'!$F:$F&amp;'5) Release_Track'!$G:$G,1,0))),vlookup($A783&amp;$B783,{'5) Release_Track'!$F:$F&amp;'5) Release_Track'!$G:$G,'5) Release_Track'!$J:$J},2,0), or(and(not(isblank($B783)),$B783=$B782,$A783&lt;&gt;$A782),and(not(isblank($A783)),$A783=$A782,$B783&lt;&gt;$B782)),"ID LISTS UNALIGNED",and($A783&lt;&gt;"",countif('5) Release_Track'!$F:$F,$A783)=0),"NO ISRC MATCH in Release_Track",and($B783&lt;&gt;"",countif('5) Release_Track'!$G:$G,$B783)=0),"NO CATALOG ID MATCH in Release_Track",iserror(vlookup($A783&amp;$B783,'5) Release_Track'!$F:$F&amp;'5) Release_Track'!$G:$G,1,0)),"NO ISRC-CATALOG ID pair MATCH in Release_Track" )</f>
        <v/>
      </c>
      <c r="F783" s="122"/>
      <c r="G783" s="99"/>
      <c r="H783" s="178"/>
      <c r="I783" s="121" t="str">
        <f t="shared" si="6"/>
        <v/>
      </c>
      <c r="J783" s="99"/>
      <c r="K783" s="99"/>
    </row>
    <row r="784">
      <c r="B784" s="103"/>
      <c r="C784" s="121" t="str">
        <f t="array" ref="C784">ifs(and(isblank($A784),isblank($B784)),"", not(iserror(vlookup($A784&amp;$B784,'5) Release_Track'!$F:$F&amp;'5) Release_Track'!$G:$G,1,0))),vlookup($A784&amp;$B784,{'5) Release_Track'!$F:$F&amp;'5) Release_Track'!$G:$G,'5) Release_Track'!$H:$H},2,0), or(and(not(isblank($B784)),$B784=$B783,$A784&lt;&gt;$A783),and(not(isblank($A784)),$A784=$A783,$B784&lt;&gt;$B783)),"ID LISTS UNALIGNED",and($A784&lt;&gt;"",countif('5) Release_Track'!$F:$F,$A784)=0),"NO ISRC MATCH in Release_Track",and($B784&lt;&gt;"",countif('5) Release_Track'!$G:$G,$B784)=0),"NO CATALOG ID MATCH in Release_Track",iserror(vlookup($A784&amp;$B784,'5) Release_Track'!$F:$F&amp;'5) Release_Track'!$G:$G,1,0)),"NO ISRC-CATALOG ID pair MATCH in Release_Track" )</f>
        <v/>
      </c>
      <c r="D784" s="121" t="str">
        <f t="array" ref="D784">ifs(and(isblank($A784),isblank($B784)),"", not(iserror(vlookup($A784&amp;$B784,'5) Release_Track'!$F:$F&amp;'5) Release_Track'!$G:$G,1,0))),vlookup($A784&amp;$B784,{'5) Release_Track'!$F:$F&amp;'5) Release_Track'!$G:$G,'5) Release_Track'!$I:$I},2,0), or(and(not(isblank($B784)),$B784=$B783,$A784&lt;&gt;$A783),and(not(isblank($A784)),$A784=$A783,$B784&lt;&gt;$B783)),"ID LISTS UNALIGNED",and($A784&lt;&gt;"",countif('5) Release_Track'!$F:$F,$A784)=0),"NO ISRC MATCH in Release_Track",and($B784&lt;&gt;"",countif('5) Release_Track'!$G:$G,$B784)=0),"NO CATALOG ID MATCH in Release_Track",iserror(vlookup($A784&amp;$B784,'5) Release_Track'!$F:$F&amp;'5) Release_Track'!$G:$G,1,0)),"NO ISRC-CATALOG ID pair MATCH in Release_Track" )</f>
        <v/>
      </c>
      <c r="E784" s="125" t="str">
        <f t="array" ref="E784">ifs(and(isblank($A784),isblank($B784)),"", not(iserror(vlookup($A784&amp;$B784,'5) Release_Track'!$F:$F&amp;'5) Release_Track'!$G:$G,1,0))),vlookup($A784&amp;$B784,{'5) Release_Track'!$F:$F&amp;'5) Release_Track'!$G:$G,'5) Release_Track'!$J:$J},2,0), or(and(not(isblank($B784)),$B784=$B783,$A784&lt;&gt;$A783),and(not(isblank($A784)),$A784=$A783,$B784&lt;&gt;$B783)),"ID LISTS UNALIGNED",and($A784&lt;&gt;"",countif('5) Release_Track'!$F:$F,$A784)=0),"NO ISRC MATCH in Release_Track",and($B784&lt;&gt;"",countif('5) Release_Track'!$G:$G,$B784)=0),"NO CATALOG ID MATCH in Release_Track",iserror(vlookup($A784&amp;$B784,'5) Release_Track'!$F:$F&amp;'5) Release_Track'!$G:$G,1,0)),"NO ISRC-CATALOG ID pair MATCH in Release_Track" )</f>
        <v/>
      </c>
      <c r="F784" s="122"/>
      <c r="G784" s="99"/>
      <c r="H784" s="178"/>
      <c r="I784" s="121" t="str">
        <f t="shared" si="6"/>
        <v/>
      </c>
      <c r="J784" s="99"/>
      <c r="K784" s="99"/>
    </row>
    <row r="785">
      <c r="B785" s="103"/>
      <c r="C785" s="121" t="str">
        <f t="array" ref="C785">ifs(and(isblank($A785),isblank($B785)),"", not(iserror(vlookup($A785&amp;$B785,'5) Release_Track'!$F:$F&amp;'5) Release_Track'!$G:$G,1,0))),vlookup($A785&amp;$B785,{'5) Release_Track'!$F:$F&amp;'5) Release_Track'!$G:$G,'5) Release_Track'!$H:$H},2,0), or(and(not(isblank($B785)),$B785=$B784,$A785&lt;&gt;$A784),and(not(isblank($A785)),$A785=$A784,$B785&lt;&gt;$B784)),"ID LISTS UNALIGNED",and($A785&lt;&gt;"",countif('5) Release_Track'!$F:$F,$A785)=0),"NO ISRC MATCH in Release_Track",and($B785&lt;&gt;"",countif('5) Release_Track'!$G:$G,$B785)=0),"NO CATALOG ID MATCH in Release_Track",iserror(vlookup($A785&amp;$B785,'5) Release_Track'!$F:$F&amp;'5) Release_Track'!$G:$G,1,0)),"NO ISRC-CATALOG ID pair MATCH in Release_Track" )</f>
        <v/>
      </c>
      <c r="D785" s="121" t="str">
        <f t="array" ref="D785">ifs(and(isblank($A785),isblank($B785)),"", not(iserror(vlookup($A785&amp;$B785,'5) Release_Track'!$F:$F&amp;'5) Release_Track'!$G:$G,1,0))),vlookup($A785&amp;$B785,{'5) Release_Track'!$F:$F&amp;'5) Release_Track'!$G:$G,'5) Release_Track'!$I:$I},2,0), or(and(not(isblank($B785)),$B785=$B784,$A785&lt;&gt;$A784),and(not(isblank($A785)),$A785=$A784,$B785&lt;&gt;$B784)),"ID LISTS UNALIGNED",and($A785&lt;&gt;"",countif('5) Release_Track'!$F:$F,$A785)=0),"NO ISRC MATCH in Release_Track",and($B785&lt;&gt;"",countif('5) Release_Track'!$G:$G,$B785)=0),"NO CATALOG ID MATCH in Release_Track",iserror(vlookup($A785&amp;$B785,'5) Release_Track'!$F:$F&amp;'5) Release_Track'!$G:$G,1,0)),"NO ISRC-CATALOG ID pair MATCH in Release_Track" )</f>
        <v/>
      </c>
      <c r="E785" s="125" t="str">
        <f t="array" ref="E785">ifs(and(isblank($A785),isblank($B785)),"", not(iserror(vlookup($A785&amp;$B785,'5) Release_Track'!$F:$F&amp;'5) Release_Track'!$G:$G,1,0))),vlookup($A785&amp;$B785,{'5) Release_Track'!$F:$F&amp;'5) Release_Track'!$G:$G,'5) Release_Track'!$J:$J},2,0), or(and(not(isblank($B785)),$B785=$B784,$A785&lt;&gt;$A784),and(not(isblank($A785)),$A785=$A784,$B785&lt;&gt;$B784)),"ID LISTS UNALIGNED",and($A785&lt;&gt;"",countif('5) Release_Track'!$F:$F,$A785)=0),"NO ISRC MATCH in Release_Track",and($B785&lt;&gt;"",countif('5) Release_Track'!$G:$G,$B785)=0),"NO CATALOG ID MATCH in Release_Track",iserror(vlookup($A785&amp;$B785,'5) Release_Track'!$F:$F&amp;'5) Release_Track'!$G:$G,1,0)),"NO ISRC-CATALOG ID pair MATCH in Release_Track" )</f>
        <v/>
      </c>
      <c r="F785" s="122"/>
      <c r="G785" s="99"/>
      <c r="H785" s="178"/>
      <c r="I785" s="121" t="str">
        <f t="shared" si="6"/>
        <v/>
      </c>
      <c r="J785" s="99"/>
      <c r="K785" s="99"/>
    </row>
    <row r="786">
      <c r="B786" s="103"/>
      <c r="C786" s="121" t="str">
        <f t="array" ref="C786">ifs(and(isblank($A786),isblank($B786)),"", not(iserror(vlookup($A786&amp;$B786,'5) Release_Track'!$F:$F&amp;'5) Release_Track'!$G:$G,1,0))),vlookup($A786&amp;$B786,{'5) Release_Track'!$F:$F&amp;'5) Release_Track'!$G:$G,'5) Release_Track'!$H:$H},2,0), or(and(not(isblank($B786)),$B786=$B785,$A786&lt;&gt;$A785),and(not(isblank($A786)),$A786=$A785,$B786&lt;&gt;$B785)),"ID LISTS UNALIGNED",and($A786&lt;&gt;"",countif('5) Release_Track'!$F:$F,$A786)=0),"NO ISRC MATCH in Release_Track",and($B786&lt;&gt;"",countif('5) Release_Track'!$G:$G,$B786)=0),"NO CATALOG ID MATCH in Release_Track",iserror(vlookup($A786&amp;$B786,'5) Release_Track'!$F:$F&amp;'5) Release_Track'!$G:$G,1,0)),"NO ISRC-CATALOG ID pair MATCH in Release_Track" )</f>
        <v/>
      </c>
      <c r="D786" s="121" t="str">
        <f t="array" ref="D786">ifs(and(isblank($A786),isblank($B786)),"", not(iserror(vlookup($A786&amp;$B786,'5) Release_Track'!$F:$F&amp;'5) Release_Track'!$G:$G,1,0))),vlookup($A786&amp;$B786,{'5) Release_Track'!$F:$F&amp;'5) Release_Track'!$G:$G,'5) Release_Track'!$I:$I},2,0), or(and(not(isblank($B786)),$B786=$B785,$A786&lt;&gt;$A785),and(not(isblank($A786)),$A786=$A785,$B786&lt;&gt;$B785)),"ID LISTS UNALIGNED",and($A786&lt;&gt;"",countif('5) Release_Track'!$F:$F,$A786)=0),"NO ISRC MATCH in Release_Track",and($B786&lt;&gt;"",countif('5) Release_Track'!$G:$G,$B786)=0),"NO CATALOG ID MATCH in Release_Track",iserror(vlookup($A786&amp;$B786,'5) Release_Track'!$F:$F&amp;'5) Release_Track'!$G:$G,1,0)),"NO ISRC-CATALOG ID pair MATCH in Release_Track" )</f>
        <v/>
      </c>
      <c r="E786" s="125" t="str">
        <f t="array" ref="E786">ifs(and(isblank($A786),isblank($B786)),"", not(iserror(vlookup($A786&amp;$B786,'5) Release_Track'!$F:$F&amp;'5) Release_Track'!$G:$G,1,0))),vlookup($A786&amp;$B786,{'5) Release_Track'!$F:$F&amp;'5) Release_Track'!$G:$G,'5) Release_Track'!$J:$J},2,0), or(and(not(isblank($B786)),$B786=$B785,$A786&lt;&gt;$A785),and(not(isblank($A786)),$A786=$A785,$B786&lt;&gt;$B785)),"ID LISTS UNALIGNED",and($A786&lt;&gt;"",countif('5) Release_Track'!$F:$F,$A786)=0),"NO ISRC MATCH in Release_Track",and($B786&lt;&gt;"",countif('5) Release_Track'!$G:$G,$B786)=0),"NO CATALOG ID MATCH in Release_Track",iserror(vlookup($A786&amp;$B786,'5) Release_Track'!$F:$F&amp;'5) Release_Track'!$G:$G,1,0)),"NO ISRC-CATALOG ID pair MATCH in Release_Track" )</f>
        <v/>
      </c>
      <c r="F786" s="122"/>
      <c r="G786" s="99"/>
      <c r="H786" s="178"/>
      <c r="I786" s="121" t="str">
        <f t="shared" si="6"/>
        <v/>
      </c>
      <c r="J786" s="99"/>
      <c r="K786" s="99"/>
    </row>
    <row r="787">
      <c r="B787" s="103"/>
      <c r="C787" s="121" t="str">
        <f t="array" ref="C787">ifs(and(isblank($A787),isblank($B787)),"", not(iserror(vlookup($A787&amp;$B787,'5) Release_Track'!$F:$F&amp;'5) Release_Track'!$G:$G,1,0))),vlookup($A787&amp;$B787,{'5) Release_Track'!$F:$F&amp;'5) Release_Track'!$G:$G,'5) Release_Track'!$H:$H},2,0), or(and(not(isblank($B787)),$B787=$B786,$A787&lt;&gt;$A786),and(not(isblank($A787)),$A787=$A786,$B787&lt;&gt;$B786)),"ID LISTS UNALIGNED",and($A787&lt;&gt;"",countif('5) Release_Track'!$F:$F,$A787)=0),"NO ISRC MATCH in Release_Track",and($B787&lt;&gt;"",countif('5) Release_Track'!$G:$G,$B787)=0),"NO CATALOG ID MATCH in Release_Track",iserror(vlookup($A787&amp;$B787,'5) Release_Track'!$F:$F&amp;'5) Release_Track'!$G:$G,1,0)),"NO ISRC-CATALOG ID pair MATCH in Release_Track" )</f>
        <v/>
      </c>
      <c r="D787" s="121" t="str">
        <f t="array" ref="D787">ifs(and(isblank($A787),isblank($B787)),"", not(iserror(vlookup($A787&amp;$B787,'5) Release_Track'!$F:$F&amp;'5) Release_Track'!$G:$G,1,0))),vlookup($A787&amp;$B787,{'5) Release_Track'!$F:$F&amp;'5) Release_Track'!$G:$G,'5) Release_Track'!$I:$I},2,0), or(and(not(isblank($B787)),$B787=$B786,$A787&lt;&gt;$A786),and(not(isblank($A787)),$A787=$A786,$B787&lt;&gt;$B786)),"ID LISTS UNALIGNED",and($A787&lt;&gt;"",countif('5) Release_Track'!$F:$F,$A787)=0),"NO ISRC MATCH in Release_Track",and($B787&lt;&gt;"",countif('5) Release_Track'!$G:$G,$B787)=0),"NO CATALOG ID MATCH in Release_Track",iserror(vlookup($A787&amp;$B787,'5) Release_Track'!$F:$F&amp;'5) Release_Track'!$G:$G,1,0)),"NO ISRC-CATALOG ID pair MATCH in Release_Track" )</f>
        <v/>
      </c>
      <c r="E787" s="125" t="str">
        <f t="array" ref="E787">ifs(and(isblank($A787),isblank($B787)),"", not(iserror(vlookup($A787&amp;$B787,'5) Release_Track'!$F:$F&amp;'5) Release_Track'!$G:$G,1,0))),vlookup($A787&amp;$B787,{'5) Release_Track'!$F:$F&amp;'5) Release_Track'!$G:$G,'5) Release_Track'!$J:$J},2,0), or(and(not(isblank($B787)),$B787=$B786,$A787&lt;&gt;$A786),and(not(isblank($A787)),$A787=$A786,$B787&lt;&gt;$B786)),"ID LISTS UNALIGNED",and($A787&lt;&gt;"",countif('5) Release_Track'!$F:$F,$A787)=0),"NO ISRC MATCH in Release_Track",and($B787&lt;&gt;"",countif('5) Release_Track'!$G:$G,$B787)=0),"NO CATALOG ID MATCH in Release_Track",iserror(vlookup($A787&amp;$B787,'5) Release_Track'!$F:$F&amp;'5) Release_Track'!$G:$G,1,0)),"NO ISRC-CATALOG ID pair MATCH in Release_Track" )</f>
        <v/>
      </c>
      <c r="F787" s="122"/>
      <c r="G787" s="99"/>
      <c r="H787" s="178"/>
      <c r="I787" s="121" t="str">
        <f t="shared" si="6"/>
        <v/>
      </c>
      <c r="J787" s="99"/>
      <c r="K787" s="99"/>
    </row>
    <row r="788">
      <c r="B788" s="103"/>
      <c r="C788" s="121" t="str">
        <f t="array" ref="C788">ifs(and(isblank($A788),isblank($B788)),"", not(iserror(vlookup($A788&amp;$B788,'5) Release_Track'!$F:$F&amp;'5) Release_Track'!$G:$G,1,0))),vlookup($A788&amp;$B788,{'5) Release_Track'!$F:$F&amp;'5) Release_Track'!$G:$G,'5) Release_Track'!$H:$H},2,0), or(and(not(isblank($B788)),$B788=$B787,$A788&lt;&gt;$A787),and(not(isblank($A788)),$A788=$A787,$B788&lt;&gt;$B787)),"ID LISTS UNALIGNED",and($A788&lt;&gt;"",countif('5) Release_Track'!$F:$F,$A788)=0),"NO ISRC MATCH in Release_Track",and($B788&lt;&gt;"",countif('5) Release_Track'!$G:$G,$B788)=0),"NO CATALOG ID MATCH in Release_Track",iserror(vlookup($A788&amp;$B788,'5) Release_Track'!$F:$F&amp;'5) Release_Track'!$G:$G,1,0)),"NO ISRC-CATALOG ID pair MATCH in Release_Track" )</f>
        <v/>
      </c>
      <c r="D788" s="121" t="str">
        <f t="array" ref="D788">ifs(and(isblank($A788),isblank($B788)),"", not(iserror(vlookup($A788&amp;$B788,'5) Release_Track'!$F:$F&amp;'5) Release_Track'!$G:$G,1,0))),vlookup($A788&amp;$B788,{'5) Release_Track'!$F:$F&amp;'5) Release_Track'!$G:$G,'5) Release_Track'!$I:$I},2,0), or(and(not(isblank($B788)),$B788=$B787,$A788&lt;&gt;$A787),and(not(isblank($A788)),$A788=$A787,$B788&lt;&gt;$B787)),"ID LISTS UNALIGNED",and($A788&lt;&gt;"",countif('5) Release_Track'!$F:$F,$A788)=0),"NO ISRC MATCH in Release_Track",and($B788&lt;&gt;"",countif('5) Release_Track'!$G:$G,$B788)=0),"NO CATALOG ID MATCH in Release_Track",iserror(vlookup($A788&amp;$B788,'5) Release_Track'!$F:$F&amp;'5) Release_Track'!$G:$G,1,0)),"NO ISRC-CATALOG ID pair MATCH in Release_Track" )</f>
        <v/>
      </c>
      <c r="E788" s="125" t="str">
        <f t="array" ref="E788">ifs(and(isblank($A788),isblank($B788)),"", not(iserror(vlookup($A788&amp;$B788,'5) Release_Track'!$F:$F&amp;'5) Release_Track'!$G:$G,1,0))),vlookup($A788&amp;$B788,{'5) Release_Track'!$F:$F&amp;'5) Release_Track'!$G:$G,'5) Release_Track'!$J:$J},2,0), or(and(not(isblank($B788)),$B788=$B787,$A788&lt;&gt;$A787),and(not(isblank($A788)),$A788=$A787,$B788&lt;&gt;$B787)),"ID LISTS UNALIGNED",and($A788&lt;&gt;"",countif('5) Release_Track'!$F:$F,$A788)=0),"NO ISRC MATCH in Release_Track",and($B788&lt;&gt;"",countif('5) Release_Track'!$G:$G,$B788)=0),"NO CATALOG ID MATCH in Release_Track",iserror(vlookup($A788&amp;$B788,'5) Release_Track'!$F:$F&amp;'5) Release_Track'!$G:$G,1,0)),"NO ISRC-CATALOG ID pair MATCH in Release_Track" )</f>
        <v/>
      </c>
      <c r="F788" s="122"/>
      <c r="G788" s="99"/>
      <c r="H788" s="178"/>
      <c r="I788" s="121" t="str">
        <f t="shared" si="6"/>
        <v/>
      </c>
      <c r="J788" s="99"/>
      <c r="K788" s="99"/>
    </row>
    <row r="789">
      <c r="B789" s="103"/>
      <c r="C789" s="121" t="str">
        <f t="array" ref="C789">ifs(and(isblank($A789),isblank($B789)),"", not(iserror(vlookup($A789&amp;$B789,'5) Release_Track'!$F:$F&amp;'5) Release_Track'!$G:$G,1,0))),vlookup($A789&amp;$B789,{'5) Release_Track'!$F:$F&amp;'5) Release_Track'!$G:$G,'5) Release_Track'!$H:$H},2,0), or(and(not(isblank($B789)),$B789=$B788,$A789&lt;&gt;$A788),and(not(isblank($A789)),$A789=$A788,$B789&lt;&gt;$B788)),"ID LISTS UNALIGNED",and($A789&lt;&gt;"",countif('5) Release_Track'!$F:$F,$A789)=0),"NO ISRC MATCH in Release_Track",and($B789&lt;&gt;"",countif('5) Release_Track'!$G:$G,$B789)=0),"NO CATALOG ID MATCH in Release_Track",iserror(vlookup($A789&amp;$B789,'5) Release_Track'!$F:$F&amp;'5) Release_Track'!$G:$G,1,0)),"NO ISRC-CATALOG ID pair MATCH in Release_Track" )</f>
        <v/>
      </c>
      <c r="D789" s="121" t="str">
        <f t="array" ref="D789">ifs(and(isblank($A789),isblank($B789)),"", not(iserror(vlookup($A789&amp;$B789,'5) Release_Track'!$F:$F&amp;'5) Release_Track'!$G:$G,1,0))),vlookup($A789&amp;$B789,{'5) Release_Track'!$F:$F&amp;'5) Release_Track'!$G:$G,'5) Release_Track'!$I:$I},2,0), or(and(not(isblank($B789)),$B789=$B788,$A789&lt;&gt;$A788),and(not(isblank($A789)),$A789=$A788,$B789&lt;&gt;$B788)),"ID LISTS UNALIGNED",and($A789&lt;&gt;"",countif('5) Release_Track'!$F:$F,$A789)=0),"NO ISRC MATCH in Release_Track",and($B789&lt;&gt;"",countif('5) Release_Track'!$G:$G,$B789)=0),"NO CATALOG ID MATCH in Release_Track",iserror(vlookup($A789&amp;$B789,'5) Release_Track'!$F:$F&amp;'5) Release_Track'!$G:$G,1,0)),"NO ISRC-CATALOG ID pair MATCH in Release_Track" )</f>
        <v/>
      </c>
      <c r="E789" s="125" t="str">
        <f t="array" ref="E789">ifs(and(isblank($A789),isblank($B789)),"", not(iserror(vlookup($A789&amp;$B789,'5) Release_Track'!$F:$F&amp;'5) Release_Track'!$G:$G,1,0))),vlookup($A789&amp;$B789,{'5) Release_Track'!$F:$F&amp;'5) Release_Track'!$G:$G,'5) Release_Track'!$J:$J},2,0), or(and(not(isblank($B789)),$B789=$B788,$A789&lt;&gt;$A788),and(not(isblank($A789)),$A789=$A788,$B789&lt;&gt;$B788)),"ID LISTS UNALIGNED",and($A789&lt;&gt;"",countif('5) Release_Track'!$F:$F,$A789)=0),"NO ISRC MATCH in Release_Track",and($B789&lt;&gt;"",countif('5) Release_Track'!$G:$G,$B789)=0),"NO CATALOG ID MATCH in Release_Track",iserror(vlookup($A789&amp;$B789,'5) Release_Track'!$F:$F&amp;'5) Release_Track'!$G:$G,1,0)),"NO ISRC-CATALOG ID pair MATCH in Release_Track" )</f>
        <v/>
      </c>
      <c r="F789" s="122"/>
      <c r="G789" s="99"/>
      <c r="H789" s="178"/>
      <c r="I789" s="121" t="str">
        <f t="shared" si="6"/>
        <v/>
      </c>
      <c r="J789" s="99"/>
      <c r="K789" s="99"/>
    </row>
    <row r="790">
      <c r="B790" s="103"/>
      <c r="C790" s="121" t="str">
        <f t="array" ref="C790">ifs(and(isblank($A790),isblank($B790)),"", not(iserror(vlookup($A790&amp;$B790,'5) Release_Track'!$F:$F&amp;'5) Release_Track'!$G:$G,1,0))),vlookup($A790&amp;$B790,{'5) Release_Track'!$F:$F&amp;'5) Release_Track'!$G:$G,'5) Release_Track'!$H:$H},2,0), or(and(not(isblank($B790)),$B790=$B789,$A790&lt;&gt;$A789),and(not(isblank($A790)),$A790=$A789,$B790&lt;&gt;$B789)),"ID LISTS UNALIGNED",and($A790&lt;&gt;"",countif('5) Release_Track'!$F:$F,$A790)=0),"NO ISRC MATCH in Release_Track",and($B790&lt;&gt;"",countif('5) Release_Track'!$G:$G,$B790)=0),"NO CATALOG ID MATCH in Release_Track",iserror(vlookup($A790&amp;$B790,'5) Release_Track'!$F:$F&amp;'5) Release_Track'!$G:$G,1,0)),"NO ISRC-CATALOG ID pair MATCH in Release_Track" )</f>
        <v/>
      </c>
      <c r="D790" s="121" t="str">
        <f t="array" ref="D790">ifs(and(isblank($A790),isblank($B790)),"", not(iserror(vlookup($A790&amp;$B790,'5) Release_Track'!$F:$F&amp;'5) Release_Track'!$G:$G,1,0))),vlookup($A790&amp;$B790,{'5) Release_Track'!$F:$F&amp;'5) Release_Track'!$G:$G,'5) Release_Track'!$I:$I},2,0), or(and(not(isblank($B790)),$B790=$B789,$A790&lt;&gt;$A789),and(not(isblank($A790)),$A790=$A789,$B790&lt;&gt;$B789)),"ID LISTS UNALIGNED",and($A790&lt;&gt;"",countif('5) Release_Track'!$F:$F,$A790)=0),"NO ISRC MATCH in Release_Track",and($B790&lt;&gt;"",countif('5) Release_Track'!$G:$G,$B790)=0),"NO CATALOG ID MATCH in Release_Track",iserror(vlookup($A790&amp;$B790,'5) Release_Track'!$F:$F&amp;'5) Release_Track'!$G:$G,1,0)),"NO ISRC-CATALOG ID pair MATCH in Release_Track" )</f>
        <v/>
      </c>
      <c r="E790" s="125" t="str">
        <f t="array" ref="E790">ifs(and(isblank($A790),isblank($B790)),"", not(iserror(vlookup($A790&amp;$B790,'5) Release_Track'!$F:$F&amp;'5) Release_Track'!$G:$G,1,0))),vlookup($A790&amp;$B790,{'5) Release_Track'!$F:$F&amp;'5) Release_Track'!$G:$G,'5) Release_Track'!$J:$J},2,0), or(and(not(isblank($B790)),$B790=$B789,$A790&lt;&gt;$A789),and(not(isblank($A790)),$A790=$A789,$B790&lt;&gt;$B789)),"ID LISTS UNALIGNED",and($A790&lt;&gt;"",countif('5) Release_Track'!$F:$F,$A790)=0),"NO ISRC MATCH in Release_Track",and($B790&lt;&gt;"",countif('5) Release_Track'!$G:$G,$B790)=0),"NO CATALOG ID MATCH in Release_Track",iserror(vlookup($A790&amp;$B790,'5) Release_Track'!$F:$F&amp;'5) Release_Track'!$G:$G,1,0)),"NO ISRC-CATALOG ID pair MATCH in Release_Track" )</f>
        <v/>
      </c>
      <c r="F790" s="122"/>
      <c r="G790" s="99"/>
      <c r="H790" s="178"/>
      <c r="I790" s="121" t="str">
        <f t="shared" si="6"/>
        <v/>
      </c>
      <c r="J790" s="99"/>
      <c r="K790" s="99"/>
    </row>
    <row r="791">
      <c r="B791" s="103"/>
      <c r="C791" s="121" t="str">
        <f t="array" ref="C791">ifs(and(isblank($A791),isblank($B791)),"", not(iserror(vlookup($A791&amp;$B791,'5) Release_Track'!$F:$F&amp;'5) Release_Track'!$G:$G,1,0))),vlookup($A791&amp;$B791,{'5) Release_Track'!$F:$F&amp;'5) Release_Track'!$G:$G,'5) Release_Track'!$H:$H},2,0), or(and(not(isblank($B791)),$B791=$B790,$A791&lt;&gt;$A790),and(not(isblank($A791)),$A791=$A790,$B791&lt;&gt;$B790)),"ID LISTS UNALIGNED",and($A791&lt;&gt;"",countif('5) Release_Track'!$F:$F,$A791)=0),"NO ISRC MATCH in Release_Track",and($B791&lt;&gt;"",countif('5) Release_Track'!$G:$G,$B791)=0),"NO CATALOG ID MATCH in Release_Track",iserror(vlookup($A791&amp;$B791,'5) Release_Track'!$F:$F&amp;'5) Release_Track'!$G:$G,1,0)),"NO ISRC-CATALOG ID pair MATCH in Release_Track" )</f>
        <v/>
      </c>
      <c r="D791" s="121" t="str">
        <f t="array" ref="D791">ifs(and(isblank($A791),isblank($B791)),"", not(iserror(vlookup($A791&amp;$B791,'5) Release_Track'!$F:$F&amp;'5) Release_Track'!$G:$G,1,0))),vlookup($A791&amp;$B791,{'5) Release_Track'!$F:$F&amp;'5) Release_Track'!$G:$G,'5) Release_Track'!$I:$I},2,0), or(and(not(isblank($B791)),$B791=$B790,$A791&lt;&gt;$A790),and(not(isblank($A791)),$A791=$A790,$B791&lt;&gt;$B790)),"ID LISTS UNALIGNED",and($A791&lt;&gt;"",countif('5) Release_Track'!$F:$F,$A791)=0),"NO ISRC MATCH in Release_Track",and($B791&lt;&gt;"",countif('5) Release_Track'!$G:$G,$B791)=0),"NO CATALOG ID MATCH in Release_Track",iserror(vlookup($A791&amp;$B791,'5) Release_Track'!$F:$F&amp;'5) Release_Track'!$G:$G,1,0)),"NO ISRC-CATALOG ID pair MATCH in Release_Track" )</f>
        <v/>
      </c>
      <c r="E791" s="125" t="str">
        <f t="array" ref="E791">ifs(and(isblank($A791),isblank($B791)),"", not(iserror(vlookup($A791&amp;$B791,'5) Release_Track'!$F:$F&amp;'5) Release_Track'!$G:$G,1,0))),vlookup($A791&amp;$B791,{'5) Release_Track'!$F:$F&amp;'5) Release_Track'!$G:$G,'5) Release_Track'!$J:$J},2,0), or(and(not(isblank($B791)),$B791=$B790,$A791&lt;&gt;$A790),and(not(isblank($A791)),$A791=$A790,$B791&lt;&gt;$B790)),"ID LISTS UNALIGNED",and($A791&lt;&gt;"",countif('5) Release_Track'!$F:$F,$A791)=0),"NO ISRC MATCH in Release_Track",and($B791&lt;&gt;"",countif('5) Release_Track'!$G:$G,$B791)=0),"NO CATALOG ID MATCH in Release_Track",iserror(vlookup($A791&amp;$B791,'5) Release_Track'!$F:$F&amp;'5) Release_Track'!$G:$G,1,0)),"NO ISRC-CATALOG ID pair MATCH in Release_Track" )</f>
        <v/>
      </c>
      <c r="F791" s="122"/>
      <c r="G791" s="99"/>
      <c r="H791" s="178"/>
      <c r="I791" s="121" t="str">
        <f t="shared" si="6"/>
        <v/>
      </c>
      <c r="J791" s="99"/>
      <c r="K791" s="99"/>
    </row>
    <row r="792">
      <c r="B792" s="103"/>
      <c r="C792" s="121" t="str">
        <f t="array" ref="C792">ifs(and(isblank($A792),isblank($B792)),"", not(iserror(vlookup($A792&amp;$B792,'5) Release_Track'!$F:$F&amp;'5) Release_Track'!$G:$G,1,0))),vlookup($A792&amp;$B792,{'5) Release_Track'!$F:$F&amp;'5) Release_Track'!$G:$G,'5) Release_Track'!$H:$H},2,0), or(and(not(isblank($B792)),$B792=$B791,$A792&lt;&gt;$A791),and(not(isblank($A792)),$A792=$A791,$B792&lt;&gt;$B791)),"ID LISTS UNALIGNED",and($A792&lt;&gt;"",countif('5) Release_Track'!$F:$F,$A792)=0),"NO ISRC MATCH in Release_Track",and($B792&lt;&gt;"",countif('5) Release_Track'!$G:$G,$B792)=0),"NO CATALOG ID MATCH in Release_Track",iserror(vlookup($A792&amp;$B792,'5) Release_Track'!$F:$F&amp;'5) Release_Track'!$G:$G,1,0)),"NO ISRC-CATALOG ID pair MATCH in Release_Track" )</f>
        <v/>
      </c>
      <c r="D792" s="121" t="str">
        <f t="array" ref="D792">ifs(and(isblank($A792),isblank($B792)),"", not(iserror(vlookup($A792&amp;$B792,'5) Release_Track'!$F:$F&amp;'5) Release_Track'!$G:$G,1,0))),vlookup($A792&amp;$B792,{'5) Release_Track'!$F:$F&amp;'5) Release_Track'!$G:$G,'5) Release_Track'!$I:$I},2,0), or(and(not(isblank($B792)),$B792=$B791,$A792&lt;&gt;$A791),and(not(isblank($A792)),$A792=$A791,$B792&lt;&gt;$B791)),"ID LISTS UNALIGNED",and($A792&lt;&gt;"",countif('5) Release_Track'!$F:$F,$A792)=0),"NO ISRC MATCH in Release_Track",and($B792&lt;&gt;"",countif('5) Release_Track'!$G:$G,$B792)=0),"NO CATALOG ID MATCH in Release_Track",iserror(vlookup($A792&amp;$B792,'5) Release_Track'!$F:$F&amp;'5) Release_Track'!$G:$G,1,0)),"NO ISRC-CATALOG ID pair MATCH in Release_Track" )</f>
        <v/>
      </c>
      <c r="E792" s="125" t="str">
        <f t="array" ref="E792">ifs(and(isblank($A792),isblank($B792)),"", not(iserror(vlookup($A792&amp;$B792,'5) Release_Track'!$F:$F&amp;'5) Release_Track'!$G:$G,1,0))),vlookup($A792&amp;$B792,{'5) Release_Track'!$F:$F&amp;'5) Release_Track'!$G:$G,'5) Release_Track'!$J:$J},2,0), or(and(not(isblank($B792)),$B792=$B791,$A792&lt;&gt;$A791),and(not(isblank($A792)),$A792=$A791,$B792&lt;&gt;$B791)),"ID LISTS UNALIGNED",and($A792&lt;&gt;"",countif('5) Release_Track'!$F:$F,$A792)=0),"NO ISRC MATCH in Release_Track",and($B792&lt;&gt;"",countif('5) Release_Track'!$G:$G,$B792)=0),"NO CATALOG ID MATCH in Release_Track",iserror(vlookup($A792&amp;$B792,'5) Release_Track'!$F:$F&amp;'5) Release_Track'!$G:$G,1,0)),"NO ISRC-CATALOG ID pair MATCH in Release_Track" )</f>
        <v/>
      </c>
      <c r="F792" s="122"/>
      <c r="G792" s="99"/>
      <c r="H792" s="178"/>
      <c r="I792" s="121" t="str">
        <f t="shared" si="6"/>
        <v/>
      </c>
      <c r="J792" s="99"/>
      <c r="K792" s="99"/>
    </row>
    <row r="793">
      <c r="B793" s="103"/>
      <c r="C793" s="121" t="str">
        <f t="array" ref="C793">ifs(and(isblank($A793),isblank($B793)),"", not(iserror(vlookup($A793&amp;$B793,'5) Release_Track'!$F:$F&amp;'5) Release_Track'!$G:$G,1,0))),vlookup($A793&amp;$B793,{'5) Release_Track'!$F:$F&amp;'5) Release_Track'!$G:$G,'5) Release_Track'!$H:$H},2,0), or(and(not(isblank($B793)),$B793=$B792,$A793&lt;&gt;$A792),and(not(isblank($A793)),$A793=$A792,$B793&lt;&gt;$B792)),"ID LISTS UNALIGNED",and($A793&lt;&gt;"",countif('5) Release_Track'!$F:$F,$A793)=0),"NO ISRC MATCH in Release_Track",and($B793&lt;&gt;"",countif('5) Release_Track'!$G:$G,$B793)=0),"NO CATALOG ID MATCH in Release_Track",iserror(vlookup($A793&amp;$B793,'5) Release_Track'!$F:$F&amp;'5) Release_Track'!$G:$G,1,0)),"NO ISRC-CATALOG ID pair MATCH in Release_Track" )</f>
        <v/>
      </c>
      <c r="D793" s="121" t="str">
        <f t="array" ref="D793">ifs(and(isblank($A793),isblank($B793)),"", not(iserror(vlookup($A793&amp;$B793,'5) Release_Track'!$F:$F&amp;'5) Release_Track'!$G:$G,1,0))),vlookup($A793&amp;$B793,{'5) Release_Track'!$F:$F&amp;'5) Release_Track'!$G:$G,'5) Release_Track'!$I:$I},2,0), or(and(not(isblank($B793)),$B793=$B792,$A793&lt;&gt;$A792),and(not(isblank($A793)),$A793=$A792,$B793&lt;&gt;$B792)),"ID LISTS UNALIGNED",and($A793&lt;&gt;"",countif('5) Release_Track'!$F:$F,$A793)=0),"NO ISRC MATCH in Release_Track",and($B793&lt;&gt;"",countif('5) Release_Track'!$G:$G,$B793)=0),"NO CATALOG ID MATCH in Release_Track",iserror(vlookup($A793&amp;$B793,'5) Release_Track'!$F:$F&amp;'5) Release_Track'!$G:$G,1,0)),"NO ISRC-CATALOG ID pair MATCH in Release_Track" )</f>
        <v/>
      </c>
      <c r="E793" s="125" t="str">
        <f t="array" ref="E793">ifs(and(isblank($A793),isblank($B793)),"", not(iserror(vlookup($A793&amp;$B793,'5) Release_Track'!$F:$F&amp;'5) Release_Track'!$G:$G,1,0))),vlookup($A793&amp;$B793,{'5) Release_Track'!$F:$F&amp;'5) Release_Track'!$G:$G,'5) Release_Track'!$J:$J},2,0), or(and(not(isblank($B793)),$B793=$B792,$A793&lt;&gt;$A792),and(not(isblank($A793)),$A793=$A792,$B793&lt;&gt;$B792)),"ID LISTS UNALIGNED",and($A793&lt;&gt;"",countif('5) Release_Track'!$F:$F,$A793)=0),"NO ISRC MATCH in Release_Track",and($B793&lt;&gt;"",countif('5) Release_Track'!$G:$G,$B793)=0),"NO CATALOG ID MATCH in Release_Track",iserror(vlookup($A793&amp;$B793,'5) Release_Track'!$F:$F&amp;'5) Release_Track'!$G:$G,1,0)),"NO ISRC-CATALOG ID pair MATCH in Release_Track" )</f>
        <v/>
      </c>
      <c r="F793" s="122"/>
      <c r="G793" s="99"/>
      <c r="H793" s="178"/>
      <c r="I793" s="121" t="str">
        <f t="shared" si="6"/>
        <v/>
      </c>
      <c r="J793" s="99"/>
      <c r="K793" s="99"/>
    </row>
    <row r="794">
      <c r="B794" s="103"/>
      <c r="C794" s="121" t="str">
        <f t="array" ref="C794">ifs(and(isblank($A794),isblank($B794)),"", not(iserror(vlookup($A794&amp;$B794,'5) Release_Track'!$F:$F&amp;'5) Release_Track'!$G:$G,1,0))),vlookup($A794&amp;$B794,{'5) Release_Track'!$F:$F&amp;'5) Release_Track'!$G:$G,'5) Release_Track'!$H:$H},2,0), or(and(not(isblank($B794)),$B794=$B793,$A794&lt;&gt;$A793),and(not(isblank($A794)),$A794=$A793,$B794&lt;&gt;$B793)),"ID LISTS UNALIGNED",and($A794&lt;&gt;"",countif('5) Release_Track'!$F:$F,$A794)=0),"NO ISRC MATCH in Release_Track",and($B794&lt;&gt;"",countif('5) Release_Track'!$G:$G,$B794)=0),"NO CATALOG ID MATCH in Release_Track",iserror(vlookup($A794&amp;$B794,'5) Release_Track'!$F:$F&amp;'5) Release_Track'!$G:$G,1,0)),"NO ISRC-CATALOG ID pair MATCH in Release_Track" )</f>
        <v/>
      </c>
      <c r="D794" s="121" t="str">
        <f t="array" ref="D794">ifs(and(isblank($A794),isblank($B794)),"", not(iserror(vlookup($A794&amp;$B794,'5) Release_Track'!$F:$F&amp;'5) Release_Track'!$G:$G,1,0))),vlookup($A794&amp;$B794,{'5) Release_Track'!$F:$F&amp;'5) Release_Track'!$G:$G,'5) Release_Track'!$I:$I},2,0), or(and(not(isblank($B794)),$B794=$B793,$A794&lt;&gt;$A793),and(not(isblank($A794)),$A794=$A793,$B794&lt;&gt;$B793)),"ID LISTS UNALIGNED",and($A794&lt;&gt;"",countif('5) Release_Track'!$F:$F,$A794)=0),"NO ISRC MATCH in Release_Track",and($B794&lt;&gt;"",countif('5) Release_Track'!$G:$G,$B794)=0),"NO CATALOG ID MATCH in Release_Track",iserror(vlookup($A794&amp;$B794,'5) Release_Track'!$F:$F&amp;'5) Release_Track'!$G:$G,1,0)),"NO ISRC-CATALOG ID pair MATCH in Release_Track" )</f>
        <v/>
      </c>
      <c r="E794" s="125" t="str">
        <f t="array" ref="E794">ifs(and(isblank($A794),isblank($B794)),"", not(iserror(vlookup($A794&amp;$B794,'5) Release_Track'!$F:$F&amp;'5) Release_Track'!$G:$G,1,0))),vlookup($A794&amp;$B794,{'5) Release_Track'!$F:$F&amp;'5) Release_Track'!$G:$G,'5) Release_Track'!$J:$J},2,0), or(and(not(isblank($B794)),$B794=$B793,$A794&lt;&gt;$A793),and(not(isblank($A794)),$A794=$A793,$B794&lt;&gt;$B793)),"ID LISTS UNALIGNED",and($A794&lt;&gt;"",countif('5) Release_Track'!$F:$F,$A794)=0),"NO ISRC MATCH in Release_Track",and($B794&lt;&gt;"",countif('5) Release_Track'!$G:$G,$B794)=0),"NO CATALOG ID MATCH in Release_Track",iserror(vlookup($A794&amp;$B794,'5) Release_Track'!$F:$F&amp;'5) Release_Track'!$G:$G,1,0)),"NO ISRC-CATALOG ID pair MATCH in Release_Track" )</f>
        <v/>
      </c>
      <c r="F794" s="122"/>
      <c r="G794" s="99"/>
      <c r="H794" s="178"/>
      <c r="I794" s="121" t="str">
        <f t="shared" si="6"/>
        <v/>
      </c>
      <c r="J794" s="99"/>
      <c r="K794" s="99"/>
    </row>
    <row r="795">
      <c r="B795" s="103"/>
      <c r="C795" s="121" t="str">
        <f t="array" ref="C795">ifs(and(isblank($A795),isblank($B795)),"", not(iserror(vlookup($A795&amp;$B795,'5) Release_Track'!$F:$F&amp;'5) Release_Track'!$G:$G,1,0))),vlookup($A795&amp;$B795,{'5) Release_Track'!$F:$F&amp;'5) Release_Track'!$G:$G,'5) Release_Track'!$H:$H},2,0), or(and(not(isblank($B795)),$B795=$B794,$A795&lt;&gt;$A794),and(not(isblank($A795)),$A795=$A794,$B795&lt;&gt;$B794)),"ID LISTS UNALIGNED",and($A795&lt;&gt;"",countif('5) Release_Track'!$F:$F,$A795)=0),"NO ISRC MATCH in Release_Track",and($B795&lt;&gt;"",countif('5) Release_Track'!$G:$G,$B795)=0),"NO CATALOG ID MATCH in Release_Track",iserror(vlookup($A795&amp;$B795,'5) Release_Track'!$F:$F&amp;'5) Release_Track'!$G:$G,1,0)),"NO ISRC-CATALOG ID pair MATCH in Release_Track" )</f>
        <v/>
      </c>
      <c r="D795" s="121" t="str">
        <f t="array" ref="D795">ifs(and(isblank($A795),isblank($B795)),"", not(iserror(vlookup($A795&amp;$B795,'5) Release_Track'!$F:$F&amp;'5) Release_Track'!$G:$G,1,0))),vlookup($A795&amp;$B795,{'5) Release_Track'!$F:$F&amp;'5) Release_Track'!$G:$G,'5) Release_Track'!$I:$I},2,0), or(and(not(isblank($B795)),$B795=$B794,$A795&lt;&gt;$A794),and(not(isblank($A795)),$A795=$A794,$B795&lt;&gt;$B794)),"ID LISTS UNALIGNED",and($A795&lt;&gt;"",countif('5) Release_Track'!$F:$F,$A795)=0),"NO ISRC MATCH in Release_Track",and($B795&lt;&gt;"",countif('5) Release_Track'!$G:$G,$B795)=0),"NO CATALOG ID MATCH in Release_Track",iserror(vlookup($A795&amp;$B795,'5) Release_Track'!$F:$F&amp;'5) Release_Track'!$G:$G,1,0)),"NO ISRC-CATALOG ID pair MATCH in Release_Track" )</f>
        <v/>
      </c>
      <c r="E795" s="125" t="str">
        <f t="array" ref="E795">ifs(and(isblank($A795),isblank($B795)),"", not(iserror(vlookup($A795&amp;$B795,'5) Release_Track'!$F:$F&amp;'5) Release_Track'!$G:$G,1,0))),vlookup($A795&amp;$B795,{'5) Release_Track'!$F:$F&amp;'5) Release_Track'!$G:$G,'5) Release_Track'!$J:$J},2,0), or(and(not(isblank($B795)),$B795=$B794,$A795&lt;&gt;$A794),and(not(isblank($A795)),$A795=$A794,$B795&lt;&gt;$B794)),"ID LISTS UNALIGNED",and($A795&lt;&gt;"",countif('5) Release_Track'!$F:$F,$A795)=0),"NO ISRC MATCH in Release_Track",and($B795&lt;&gt;"",countif('5) Release_Track'!$G:$G,$B795)=0),"NO CATALOG ID MATCH in Release_Track",iserror(vlookup($A795&amp;$B795,'5) Release_Track'!$F:$F&amp;'5) Release_Track'!$G:$G,1,0)),"NO ISRC-CATALOG ID pair MATCH in Release_Track" )</f>
        <v/>
      </c>
      <c r="F795" s="122"/>
      <c r="G795" s="99"/>
      <c r="H795" s="178"/>
      <c r="I795" s="121" t="str">
        <f t="shared" si="6"/>
        <v/>
      </c>
      <c r="J795" s="99"/>
      <c r="K795" s="99"/>
    </row>
    <row r="796">
      <c r="B796" s="103"/>
      <c r="C796" s="121" t="str">
        <f t="array" ref="C796">ifs(and(isblank($A796),isblank($B796)),"", not(iserror(vlookup($A796&amp;$B796,'5) Release_Track'!$F:$F&amp;'5) Release_Track'!$G:$G,1,0))),vlookup($A796&amp;$B796,{'5) Release_Track'!$F:$F&amp;'5) Release_Track'!$G:$G,'5) Release_Track'!$H:$H},2,0), or(and(not(isblank($B796)),$B796=$B795,$A796&lt;&gt;$A795),and(not(isblank($A796)),$A796=$A795,$B796&lt;&gt;$B795)),"ID LISTS UNALIGNED",and($A796&lt;&gt;"",countif('5) Release_Track'!$F:$F,$A796)=0),"NO ISRC MATCH in Release_Track",and($B796&lt;&gt;"",countif('5) Release_Track'!$G:$G,$B796)=0),"NO CATALOG ID MATCH in Release_Track",iserror(vlookup($A796&amp;$B796,'5) Release_Track'!$F:$F&amp;'5) Release_Track'!$G:$G,1,0)),"NO ISRC-CATALOG ID pair MATCH in Release_Track" )</f>
        <v/>
      </c>
      <c r="D796" s="121" t="str">
        <f t="array" ref="D796">ifs(and(isblank($A796),isblank($B796)),"", not(iserror(vlookup($A796&amp;$B796,'5) Release_Track'!$F:$F&amp;'5) Release_Track'!$G:$G,1,0))),vlookup($A796&amp;$B796,{'5) Release_Track'!$F:$F&amp;'5) Release_Track'!$G:$G,'5) Release_Track'!$I:$I},2,0), or(and(not(isblank($B796)),$B796=$B795,$A796&lt;&gt;$A795),and(not(isblank($A796)),$A796=$A795,$B796&lt;&gt;$B795)),"ID LISTS UNALIGNED",and($A796&lt;&gt;"",countif('5) Release_Track'!$F:$F,$A796)=0),"NO ISRC MATCH in Release_Track",and($B796&lt;&gt;"",countif('5) Release_Track'!$G:$G,$B796)=0),"NO CATALOG ID MATCH in Release_Track",iserror(vlookup($A796&amp;$B796,'5) Release_Track'!$F:$F&amp;'5) Release_Track'!$G:$G,1,0)),"NO ISRC-CATALOG ID pair MATCH in Release_Track" )</f>
        <v/>
      </c>
      <c r="E796" s="125" t="str">
        <f t="array" ref="E796">ifs(and(isblank($A796),isblank($B796)),"", not(iserror(vlookup($A796&amp;$B796,'5) Release_Track'!$F:$F&amp;'5) Release_Track'!$G:$G,1,0))),vlookup($A796&amp;$B796,{'5) Release_Track'!$F:$F&amp;'5) Release_Track'!$G:$G,'5) Release_Track'!$J:$J},2,0), or(and(not(isblank($B796)),$B796=$B795,$A796&lt;&gt;$A795),and(not(isblank($A796)),$A796=$A795,$B796&lt;&gt;$B795)),"ID LISTS UNALIGNED",and($A796&lt;&gt;"",countif('5) Release_Track'!$F:$F,$A796)=0),"NO ISRC MATCH in Release_Track",and($B796&lt;&gt;"",countif('5) Release_Track'!$G:$G,$B796)=0),"NO CATALOG ID MATCH in Release_Track",iserror(vlookup($A796&amp;$B796,'5) Release_Track'!$F:$F&amp;'5) Release_Track'!$G:$G,1,0)),"NO ISRC-CATALOG ID pair MATCH in Release_Track" )</f>
        <v/>
      </c>
      <c r="F796" s="122"/>
      <c r="G796" s="99"/>
      <c r="H796" s="178"/>
      <c r="I796" s="121" t="str">
        <f t="shared" si="6"/>
        <v/>
      </c>
      <c r="J796" s="99"/>
      <c r="K796" s="99"/>
    </row>
    <row r="797">
      <c r="B797" s="103"/>
      <c r="C797" s="121" t="str">
        <f t="array" ref="C797">ifs(and(isblank($A797),isblank($B797)),"", not(iserror(vlookup($A797&amp;$B797,'5) Release_Track'!$F:$F&amp;'5) Release_Track'!$G:$G,1,0))),vlookup($A797&amp;$B797,{'5) Release_Track'!$F:$F&amp;'5) Release_Track'!$G:$G,'5) Release_Track'!$H:$H},2,0), or(and(not(isblank($B797)),$B797=$B796,$A797&lt;&gt;$A796),and(not(isblank($A797)),$A797=$A796,$B797&lt;&gt;$B796)),"ID LISTS UNALIGNED",and($A797&lt;&gt;"",countif('5) Release_Track'!$F:$F,$A797)=0),"NO ISRC MATCH in Release_Track",and($B797&lt;&gt;"",countif('5) Release_Track'!$G:$G,$B797)=0),"NO CATALOG ID MATCH in Release_Track",iserror(vlookup($A797&amp;$B797,'5) Release_Track'!$F:$F&amp;'5) Release_Track'!$G:$G,1,0)),"NO ISRC-CATALOG ID pair MATCH in Release_Track" )</f>
        <v/>
      </c>
      <c r="D797" s="121" t="str">
        <f t="array" ref="D797">ifs(and(isblank($A797),isblank($B797)),"", not(iserror(vlookup($A797&amp;$B797,'5) Release_Track'!$F:$F&amp;'5) Release_Track'!$G:$G,1,0))),vlookup($A797&amp;$B797,{'5) Release_Track'!$F:$F&amp;'5) Release_Track'!$G:$G,'5) Release_Track'!$I:$I},2,0), or(and(not(isblank($B797)),$B797=$B796,$A797&lt;&gt;$A796),and(not(isblank($A797)),$A797=$A796,$B797&lt;&gt;$B796)),"ID LISTS UNALIGNED",and($A797&lt;&gt;"",countif('5) Release_Track'!$F:$F,$A797)=0),"NO ISRC MATCH in Release_Track",and($B797&lt;&gt;"",countif('5) Release_Track'!$G:$G,$B797)=0),"NO CATALOG ID MATCH in Release_Track",iserror(vlookup($A797&amp;$B797,'5) Release_Track'!$F:$F&amp;'5) Release_Track'!$G:$G,1,0)),"NO ISRC-CATALOG ID pair MATCH in Release_Track" )</f>
        <v/>
      </c>
      <c r="E797" s="125" t="str">
        <f t="array" ref="E797">ifs(and(isblank($A797),isblank($B797)),"", not(iserror(vlookup($A797&amp;$B797,'5) Release_Track'!$F:$F&amp;'5) Release_Track'!$G:$G,1,0))),vlookup($A797&amp;$B797,{'5) Release_Track'!$F:$F&amp;'5) Release_Track'!$G:$G,'5) Release_Track'!$J:$J},2,0), or(and(not(isblank($B797)),$B797=$B796,$A797&lt;&gt;$A796),and(not(isblank($A797)),$A797=$A796,$B797&lt;&gt;$B796)),"ID LISTS UNALIGNED",and($A797&lt;&gt;"",countif('5) Release_Track'!$F:$F,$A797)=0),"NO ISRC MATCH in Release_Track",and($B797&lt;&gt;"",countif('5) Release_Track'!$G:$G,$B797)=0),"NO CATALOG ID MATCH in Release_Track",iserror(vlookup($A797&amp;$B797,'5) Release_Track'!$F:$F&amp;'5) Release_Track'!$G:$G,1,0)),"NO ISRC-CATALOG ID pair MATCH in Release_Track" )</f>
        <v/>
      </c>
      <c r="F797" s="122"/>
      <c r="G797" s="99"/>
      <c r="H797" s="178"/>
      <c r="I797" s="121" t="str">
        <f t="shared" si="6"/>
        <v/>
      </c>
      <c r="J797" s="99"/>
      <c r="K797" s="99"/>
    </row>
    <row r="798">
      <c r="B798" s="103"/>
      <c r="C798" s="121" t="str">
        <f t="array" ref="C798">ifs(and(isblank($A798),isblank($B798)),"", not(iserror(vlookup($A798&amp;$B798,'5) Release_Track'!$F:$F&amp;'5) Release_Track'!$G:$G,1,0))),vlookup($A798&amp;$B798,{'5) Release_Track'!$F:$F&amp;'5) Release_Track'!$G:$G,'5) Release_Track'!$H:$H},2,0), or(and(not(isblank($B798)),$B798=$B797,$A798&lt;&gt;$A797),and(not(isblank($A798)),$A798=$A797,$B798&lt;&gt;$B797)),"ID LISTS UNALIGNED",and($A798&lt;&gt;"",countif('5) Release_Track'!$F:$F,$A798)=0),"NO ISRC MATCH in Release_Track",and($B798&lt;&gt;"",countif('5) Release_Track'!$G:$G,$B798)=0),"NO CATALOG ID MATCH in Release_Track",iserror(vlookup($A798&amp;$B798,'5) Release_Track'!$F:$F&amp;'5) Release_Track'!$G:$G,1,0)),"NO ISRC-CATALOG ID pair MATCH in Release_Track" )</f>
        <v/>
      </c>
      <c r="D798" s="121" t="str">
        <f t="array" ref="D798">ifs(and(isblank($A798),isblank($B798)),"", not(iserror(vlookup($A798&amp;$B798,'5) Release_Track'!$F:$F&amp;'5) Release_Track'!$G:$G,1,0))),vlookup($A798&amp;$B798,{'5) Release_Track'!$F:$F&amp;'5) Release_Track'!$G:$G,'5) Release_Track'!$I:$I},2,0), or(and(not(isblank($B798)),$B798=$B797,$A798&lt;&gt;$A797),and(not(isblank($A798)),$A798=$A797,$B798&lt;&gt;$B797)),"ID LISTS UNALIGNED",and($A798&lt;&gt;"",countif('5) Release_Track'!$F:$F,$A798)=0),"NO ISRC MATCH in Release_Track",and($B798&lt;&gt;"",countif('5) Release_Track'!$G:$G,$B798)=0),"NO CATALOG ID MATCH in Release_Track",iserror(vlookup($A798&amp;$B798,'5) Release_Track'!$F:$F&amp;'5) Release_Track'!$G:$G,1,0)),"NO ISRC-CATALOG ID pair MATCH in Release_Track" )</f>
        <v/>
      </c>
      <c r="E798" s="125" t="str">
        <f t="array" ref="E798">ifs(and(isblank($A798),isblank($B798)),"", not(iserror(vlookup($A798&amp;$B798,'5) Release_Track'!$F:$F&amp;'5) Release_Track'!$G:$G,1,0))),vlookup($A798&amp;$B798,{'5) Release_Track'!$F:$F&amp;'5) Release_Track'!$G:$G,'5) Release_Track'!$J:$J},2,0), or(and(not(isblank($B798)),$B798=$B797,$A798&lt;&gt;$A797),and(not(isblank($A798)),$A798=$A797,$B798&lt;&gt;$B797)),"ID LISTS UNALIGNED",and($A798&lt;&gt;"",countif('5) Release_Track'!$F:$F,$A798)=0),"NO ISRC MATCH in Release_Track",and($B798&lt;&gt;"",countif('5) Release_Track'!$G:$G,$B798)=0),"NO CATALOG ID MATCH in Release_Track",iserror(vlookup($A798&amp;$B798,'5) Release_Track'!$F:$F&amp;'5) Release_Track'!$G:$G,1,0)),"NO ISRC-CATALOG ID pair MATCH in Release_Track" )</f>
        <v/>
      </c>
      <c r="F798" s="122"/>
      <c r="G798" s="99"/>
      <c r="H798" s="178"/>
      <c r="I798" s="121" t="str">
        <f t="shared" si="6"/>
        <v/>
      </c>
      <c r="J798" s="99"/>
      <c r="K798" s="99"/>
    </row>
    <row r="799">
      <c r="B799" s="103"/>
      <c r="C799" s="121" t="str">
        <f t="array" ref="C799">ifs(and(isblank($A799),isblank($B799)),"", not(iserror(vlookup($A799&amp;$B799,'5) Release_Track'!$F:$F&amp;'5) Release_Track'!$G:$G,1,0))),vlookup($A799&amp;$B799,{'5) Release_Track'!$F:$F&amp;'5) Release_Track'!$G:$G,'5) Release_Track'!$H:$H},2,0), or(and(not(isblank($B799)),$B799=$B798,$A799&lt;&gt;$A798),and(not(isblank($A799)),$A799=$A798,$B799&lt;&gt;$B798)),"ID LISTS UNALIGNED",and($A799&lt;&gt;"",countif('5) Release_Track'!$F:$F,$A799)=0),"NO ISRC MATCH in Release_Track",and($B799&lt;&gt;"",countif('5) Release_Track'!$G:$G,$B799)=0),"NO CATALOG ID MATCH in Release_Track",iserror(vlookup($A799&amp;$B799,'5) Release_Track'!$F:$F&amp;'5) Release_Track'!$G:$G,1,0)),"NO ISRC-CATALOG ID pair MATCH in Release_Track" )</f>
        <v/>
      </c>
      <c r="D799" s="121" t="str">
        <f t="array" ref="D799">ifs(and(isblank($A799),isblank($B799)),"", not(iserror(vlookup($A799&amp;$B799,'5) Release_Track'!$F:$F&amp;'5) Release_Track'!$G:$G,1,0))),vlookup($A799&amp;$B799,{'5) Release_Track'!$F:$F&amp;'5) Release_Track'!$G:$G,'5) Release_Track'!$I:$I},2,0), or(and(not(isblank($B799)),$B799=$B798,$A799&lt;&gt;$A798),and(not(isblank($A799)),$A799=$A798,$B799&lt;&gt;$B798)),"ID LISTS UNALIGNED",and($A799&lt;&gt;"",countif('5) Release_Track'!$F:$F,$A799)=0),"NO ISRC MATCH in Release_Track",and($B799&lt;&gt;"",countif('5) Release_Track'!$G:$G,$B799)=0),"NO CATALOG ID MATCH in Release_Track",iserror(vlookup($A799&amp;$B799,'5) Release_Track'!$F:$F&amp;'5) Release_Track'!$G:$G,1,0)),"NO ISRC-CATALOG ID pair MATCH in Release_Track" )</f>
        <v/>
      </c>
      <c r="E799" s="125" t="str">
        <f t="array" ref="E799">ifs(and(isblank($A799),isblank($B799)),"", not(iserror(vlookup($A799&amp;$B799,'5) Release_Track'!$F:$F&amp;'5) Release_Track'!$G:$G,1,0))),vlookup($A799&amp;$B799,{'5) Release_Track'!$F:$F&amp;'5) Release_Track'!$G:$G,'5) Release_Track'!$J:$J},2,0), or(and(not(isblank($B799)),$B799=$B798,$A799&lt;&gt;$A798),and(not(isblank($A799)),$A799=$A798,$B799&lt;&gt;$B798)),"ID LISTS UNALIGNED",and($A799&lt;&gt;"",countif('5) Release_Track'!$F:$F,$A799)=0),"NO ISRC MATCH in Release_Track",and($B799&lt;&gt;"",countif('5) Release_Track'!$G:$G,$B799)=0),"NO CATALOG ID MATCH in Release_Track",iserror(vlookup($A799&amp;$B799,'5) Release_Track'!$F:$F&amp;'5) Release_Track'!$G:$G,1,0)),"NO ISRC-CATALOG ID pair MATCH in Release_Track" )</f>
        <v/>
      </c>
      <c r="F799" s="122"/>
      <c r="G799" s="99"/>
      <c r="H799" s="178"/>
      <c r="I799" s="121" t="str">
        <f t="shared" si="6"/>
        <v/>
      </c>
      <c r="J799" s="99"/>
      <c r="K799" s="99"/>
    </row>
    <row r="800">
      <c r="B800" s="103"/>
      <c r="C800" s="121" t="str">
        <f t="array" ref="C800">ifs(and(isblank($A800),isblank($B800)),"", not(iserror(vlookup($A800&amp;$B800,'5) Release_Track'!$F:$F&amp;'5) Release_Track'!$G:$G,1,0))),vlookup($A800&amp;$B800,{'5) Release_Track'!$F:$F&amp;'5) Release_Track'!$G:$G,'5) Release_Track'!$H:$H},2,0), or(and(not(isblank($B800)),$B800=$B799,$A800&lt;&gt;$A799),and(not(isblank($A800)),$A800=$A799,$B800&lt;&gt;$B799)),"ID LISTS UNALIGNED",and($A800&lt;&gt;"",countif('5) Release_Track'!$F:$F,$A800)=0),"NO ISRC MATCH in Release_Track",and($B800&lt;&gt;"",countif('5) Release_Track'!$G:$G,$B800)=0),"NO CATALOG ID MATCH in Release_Track",iserror(vlookup($A800&amp;$B800,'5) Release_Track'!$F:$F&amp;'5) Release_Track'!$G:$G,1,0)),"NO ISRC-CATALOG ID pair MATCH in Release_Track" )</f>
        <v/>
      </c>
      <c r="D800" s="121" t="str">
        <f t="array" ref="D800">ifs(and(isblank($A800),isblank($B800)),"", not(iserror(vlookup($A800&amp;$B800,'5) Release_Track'!$F:$F&amp;'5) Release_Track'!$G:$G,1,0))),vlookup($A800&amp;$B800,{'5) Release_Track'!$F:$F&amp;'5) Release_Track'!$G:$G,'5) Release_Track'!$I:$I},2,0), or(and(not(isblank($B800)),$B800=$B799,$A800&lt;&gt;$A799),and(not(isblank($A800)),$A800=$A799,$B800&lt;&gt;$B799)),"ID LISTS UNALIGNED",and($A800&lt;&gt;"",countif('5) Release_Track'!$F:$F,$A800)=0),"NO ISRC MATCH in Release_Track",and($B800&lt;&gt;"",countif('5) Release_Track'!$G:$G,$B800)=0),"NO CATALOG ID MATCH in Release_Track",iserror(vlookup($A800&amp;$B800,'5) Release_Track'!$F:$F&amp;'5) Release_Track'!$G:$G,1,0)),"NO ISRC-CATALOG ID pair MATCH in Release_Track" )</f>
        <v/>
      </c>
      <c r="E800" s="125" t="str">
        <f t="array" ref="E800">ifs(and(isblank($A800),isblank($B800)),"", not(iserror(vlookup($A800&amp;$B800,'5) Release_Track'!$F:$F&amp;'5) Release_Track'!$G:$G,1,0))),vlookup($A800&amp;$B800,{'5) Release_Track'!$F:$F&amp;'5) Release_Track'!$G:$G,'5) Release_Track'!$J:$J},2,0), or(and(not(isblank($B800)),$B800=$B799,$A800&lt;&gt;$A799),and(not(isblank($A800)),$A800=$A799,$B800&lt;&gt;$B799)),"ID LISTS UNALIGNED",and($A800&lt;&gt;"",countif('5) Release_Track'!$F:$F,$A800)=0),"NO ISRC MATCH in Release_Track",and($B800&lt;&gt;"",countif('5) Release_Track'!$G:$G,$B800)=0),"NO CATALOG ID MATCH in Release_Track",iserror(vlookup($A800&amp;$B800,'5) Release_Track'!$F:$F&amp;'5) Release_Track'!$G:$G,1,0)),"NO ISRC-CATALOG ID pair MATCH in Release_Track" )</f>
        <v/>
      </c>
      <c r="F800" s="122"/>
      <c r="G800" s="99"/>
      <c r="H800" s="178"/>
      <c r="I800" s="121" t="str">
        <f t="shared" si="6"/>
        <v/>
      </c>
      <c r="J800" s="99"/>
      <c r="K800" s="99"/>
    </row>
    <row r="801">
      <c r="B801" s="103"/>
      <c r="C801" s="121" t="str">
        <f t="array" ref="C801">ifs(and(isblank($A801),isblank($B801)),"", not(iserror(vlookup($A801&amp;$B801,'5) Release_Track'!$F:$F&amp;'5) Release_Track'!$G:$G,1,0))),vlookup($A801&amp;$B801,{'5) Release_Track'!$F:$F&amp;'5) Release_Track'!$G:$G,'5) Release_Track'!$H:$H},2,0), or(and(not(isblank($B801)),$B801=$B800,$A801&lt;&gt;$A800),and(not(isblank($A801)),$A801=$A800,$B801&lt;&gt;$B800)),"ID LISTS UNALIGNED",and($A801&lt;&gt;"",countif('5) Release_Track'!$F:$F,$A801)=0),"NO ISRC MATCH in Release_Track",and($B801&lt;&gt;"",countif('5) Release_Track'!$G:$G,$B801)=0),"NO CATALOG ID MATCH in Release_Track",iserror(vlookup($A801&amp;$B801,'5) Release_Track'!$F:$F&amp;'5) Release_Track'!$G:$G,1,0)),"NO ISRC-CATALOG ID pair MATCH in Release_Track" )</f>
        <v/>
      </c>
      <c r="D801" s="121" t="str">
        <f t="array" ref="D801">ifs(and(isblank($A801),isblank($B801)),"", not(iserror(vlookup($A801&amp;$B801,'5) Release_Track'!$F:$F&amp;'5) Release_Track'!$G:$G,1,0))),vlookup($A801&amp;$B801,{'5) Release_Track'!$F:$F&amp;'5) Release_Track'!$G:$G,'5) Release_Track'!$I:$I},2,0), or(and(not(isblank($B801)),$B801=$B800,$A801&lt;&gt;$A800),and(not(isblank($A801)),$A801=$A800,$B801&lt;&gt;$B800)),"ID LISTS UNALIGNED",and($A801&lt;&gt;"",countif('5) Release_Track'!$F:$F,$A801)=0),"NO ISRC MATCH in Release_Track",and($B801&lt;&gt;"",countif('5) Release_Track'!$G:$G,$B801)=0),"NO CATALOG ID MATCH in Release_Track",iserror(vlookup($A801&amp;$B801,'5) Release_Track'!$F:$F&amp;'5) Release_Track'!$G:$G,1,0)),"NO ISRC-CATALOG ID pair MATCH in Release_Track" )</f>
        <v/>
      </c>
      <c r="E801" s="125" t="str">
        <f t="array" ref="E801">ifs(and(isblank($A801),isblank($B801)),"", not(iserror(vlookup($A801&amp;$B801,'5) Release_Track'!$F:$F&amp;'5) Release_Track'!$G:$G,1,0))),vlookup($A801&amp;$B801,{'5) Release_Track'!$F:$F&amp;'5) Release_Track'!$G:$G,'5) Release_Track'!$J:$J},2,0), or(and(not(isblank($B801)),$B801=$B800,$A801&lt;&gt;$A800),and(not(isblank($A801)),$A801=$A800,$B801&lt;&gt;$B800)),"ID LISTS UNALIGNED",and($A801&lt;&gt;"",countif('5) Release_Track'!$F:$F,$A801)=0),"NO ISRC MATCH in Release_Track",and($B801&lt;&gt;"",countif('5) Release_Track'!$G:$G,$B801)=0),"NO CATALOG ID MATCH in Release_Track",iserror(vlookup($A801&amp;$B801,'5) Release_Track'!$F:$F&amp;'5) Release_Track'!$G:$G,1,0)),"NO ISRC-CATALOG ID pair MATCH in Release_Track" )</f>
        <v/>
      </c>
      <c r="F801" s="122"/>
      <c r="G801" s="99"/>
      <c r="H801" s="178"/>
      <c r="I801" s="121" t="str">
        <f t="shared" si="6"/>
        <v/>
      </c>
      <c r="J801" s="99"/>
      <c r="K801" s="99"/>
    </row>
    <row r="802">
      <c r="B802" s="103"/>
      <c r="C802" s="121" t="str">
        <f t="array" ref="C802">ifs(and(isblank($A802),isblank($B802)),"", not(iserror(vlookup($A802&amp;$B802,'5) Release_Track'!$F:$F&amp;'5) Release_Track'!$G:$G,1,0))),vlookup($A802&amp;$B802,{'5) Release_Track'!$F:$F&amp;'5) Release_Track'!$G:$G,'5) Release_Track'!$H:$H},2,0), or(and(not(isblank($B802)),$B802=$B801,$A802&lt;&gt;$A801),and(not(isblank($A802)),$A802=$A801,$B802&lt;&gt;$B801)),"ID LISTS UNALIGNED",and($A802&lt;&gt;"",countif('5) Release_Track'!$F:$F,$A802)=0),"NO ISRC MATCH in Release_Track",and($B802&lt;&gt;"",countif('5) Release_Track'!$G:$G,$B802)=0),"NO CATALOG ID MATCH in Release_Track",iserror(vlookup($A802&amp;$B802,'5) Release_Track'!$F:$F&amp;'5) Release_Track'!$G:$G,1,0)),"NO ISRC-CATALOG ID pair MATCH in Release_Track" )</f>
        <v/>
      </c>
      <c r="D802" s="121" t="str">
        <f t="array" ref="D802">ifs(and(isblank($A802),isblank($B802)),"", not(iserror(vlookup($A802&amp;$B802,'5) Release_Track'!$F:$F&amp;'5) Release_Track'!$G:$G,1,0))),vlookup($A802&amp;$B802,{'5) Release_Track'!$F:$F&amp;'5) Release_Track'!$G:$G,'5) Release_Track'!$I:$I},2,0), or(and(not(isblank($B802)),$B802=$B801,$A802&lt;&gt;$A801),and(not(isblank($A802)),$A802=$A801,$B802&lt;&gt;$B801)),"ID LISTS UNALIGNED",and($A802&lt;&gt;"",countif('5) Release_Track'!$F:$F,$A802)=0),"NO ISRC MATCH in Release_Track",and($B802&lt;&gt;"",countif('5) Release_Track'!$G:$G,$B802)=0),"NO CATALOG ID MATCH in Release_Track",iserror(vlookup($A802&amp;$B802,'5) Release_Track'!$F:$F&amp;'5) Release_Track'!$G:$G,1,0)),"NO ISRC-CATALOG ID pair MATCH in Release_Track" )</f>
        <v/>
      </c>
      <c r="E802" s="125" t="str">
        <f t="array" ref="E802">ifs(and(isblank($A802),isblank($B802)),"", not(iserror(vlookup($A802&amp;$B802,'5) Release_Track'!$F:$F&amp;'5) Release_Track'!$G:$G,1,0))),vlookup($A802&amp;$B802,{'5) Release_Track'!$F:$F&amp;'5) Release_Track'!$G:$G,'5) Release_Track'!$J:$J},2,0), or(and(not(isblank($B802)),$B802=$B801,$A802&lt;&gt;$A801),and(not(isblank($A802)),$A802=$A801,$B802&lt;&gt;$B801)),"ID LISTS UNALIGNED",and($A802&lt;&gt;"",countif('5) Release_Track'!$F:$F,$A802)=0),"NO ISRC MATCH in Release_Track",and($B802&lt;&gt;"",countif('5) Release_Track'!$G:$G,$B802)=0),"NO CATALOG ID MATCH in Release_Track",iserror(vlookup($A802&amp;$B802,'5) Release_Track'!$F:$F&amp;'5) Release_Track'!$G:$G,1,0)),"NO ISRC-CATALOG ID pair MATCH in Release_Track" )</f>
        <v/>
      </c>
      <c r="F802" s="122"/>
      <c r="G802" s="99"/>
      <c r="H802" s="178"/>
      <c r="I802" s="121" t="str">
        <f t="shared" si="6"/>
        <v/>
      </c>
      <c r="J802" s="99"/>
      <c r="K802" s="99"/>
    </row>
    <row r="803">
      <c r="B803" s="103"/>
      <c r="C803" s="121" t="str">
        <f t="array" ref="C803">ifs(and(isblank($A803),isblank($B803)),"", not(iserror(vlookup($A803&amp;$B803,'5) Release_Track'!$F:$F&amp;'5) Release_Track'!$G:$G,1,0))),vlookup($A803&amp;$B803,{'5) Release_Track'!$F:$F&amp;'5) Release_Track'!$G:$G,'5) Release_Track'!$H:$H},2,0), or(and(not(isblank($B803)),$B803=$B802,$A803&lt;&gt;$A802),and(not(isblank($A803)),$A803=$A802,$B803&lt;&gt;$B802)),"ID LISTS UNALIGNED",and($A803&lt;&gt;"",countif('5) Release_Track'!$F:$F,$A803)=0),"NO ISRC MATCH in Release_Track",and($B803&lt;&gt;"",countif('5) Release_Track'!$G:$G,$B803)=0),"NO CATALOG ID MATCH in Release_Track",iserror(vlookup($A803&amp;$B803,'5) Release_Track'!$F:$F&amp;'5) Release_Track'!$G:$G,1,0)),"NO ISRC-CATALOG ID pair MATCH in Release_Track" )</f>
        <v/>
      </c>
      <c r="D803" s="121" t="str">
        <f t="array" ref="D803">ifs(and(isblank($A803),isblank($B803)),"", not(iserror(vlookup($A803&amp;$B803,'5) Release_Track'!$F:$F&amp;'5) Release_Track'!$G:$G,1,0))),vlookup($A803&amp;$B803,{'5) Release_Track'!$F:$F&amp;'5) Release_Track'!$G:$G,'5) Release_Track'!$I:$I},2,0), or(and(not(isblank($B803)),$B803=$B802,$A803&lt;&gt;$A802),and(not(isblank($A803)),$A803=$A802,$B803&lt;&gt;$B802)),"ID LISTS UNALIGNED",and($A803&lt;&gt;"",countif('5) Release_Track'!$F:$F,$A803)=0),"NO ISRC MATCH in Release_Track",and($B803&lt;&gt;"",countif('5) Release_Track'!$G:$G,$B803)=0),"NO CATALOG ID MATCH in Release_Track",iserror(vlookup($A803&amp;$B803,'5) Release_Track'!$F:$F&amp;'5) Release_Track'!$G:$G,1,0)),"NO ISRC-CATALOG ID pair MATCH in Release_Track" )</f>
        <v/>
      </c>
      <c r="E803" s="125" t="str">
        <f t="array" ref="E803">ifs(and(isblank($A803),isblank($B803)),"", not(iserror(vlookup($A803&amp;$B803,'5) Release_Track'!$F:$F&amp;'5) Release_Track'!$G:$G,1,0))),vlookup($A803&amp;$B803,{'5) Release_Track'!$F:$F&amp;'5) Release_Track'!$G:$G,'5) Release_Track'!$J:$J},2,0), or(and(not(isblank($B803)),$B803=$B802,$A803&lt;&gt;$A802),and(not(isblank($A803)),$A803=$A802,$B803&lt;&gt;$B802)),"ID LISTS UNALIGNED",and($A803&lt;&gt;"",countif('5) Release_Track'!$F:$F,$A803)=0),"NO ISRC MATCH in Release_Track",and($B803&lt;&gt;"",countif('5) Release_Track'!$G:$G,$B803)=0),"NO CATALOG ID MATCH in Release_Track",iserror(vlookup($A803&amp;$B803,'5) Release_Track'!$F:$F&amp;'5) Release_Track'!$G:$G,1,0)),"NO ISRC-CATALOG ID pair MATCH in Release_Track" )</f>
        <v/>
      </c>
      <c r="F803" s="122"/>
      <c r="G803" s="99"/>
      <c r="H803" s="178"/>
      <c r="I803" s="121" t="str">
        <f t="shared" si="6"/>
        <v/>
      </c>
      <c r="J803" s="99"/>
      <c r="K803" s="99"/>
    </row>
    <row r="804">
      <c r="B804" s="103"/>
      <c r="C804" s="121" t="str">
        <f t="array" ref="C804">ifs(and(isblank($A804),isblank($B804)),"", not(iserror(vlookup($A804&amp;$B804,'5) Release_Track'!$F:$F&amp;'5) Release_Track'!$G:$G,1,0))),vlookup($A804&amp;$B804,{'5) Release_Track'!$F:$F&amp;'5) Release_Track'!$G:$G,'5) Release_Track'!$H:$H},2,0), or(and(not(isblank($B804)),$B804=$B803,$A804&lt;&gt;$A803),and(not(isblank($A804)),$A804=$A803,$B804&lt;&gt;$B803)),"ID LISTS UNALIGNED",and($A804&lt;&gt;"",countif('5) Release_Track'!$F:$F,$A804)=0),"NO ISRC MATCH in Release_Track",and($B804&lt;&gt;"",countif('5) Release_Track'!$G:$G,$B804)=0),"NO CATALOG ID MATCH in Release_Track",iserror(vlookup($A804&amp;$B804,'5) Release_Track'!$F:$F&amp;'5) Release_Track'!$G:$G,1,0)),"NO ISRC-CATALOG ID pair MATCH in Release_Track" )</f>
        <v/>
      </c>
      <c r="D804" s="121" t="str">
        <f t="array" ref="D804">ifs(and(isblank($A804),isblank($B804)),"", not(iserror(vlookup($A804&amp;$B804,'5) Release_Track'!$F:$F&amp;'5) Release_Track'!$G:$G,1,0))),vlookup($A804&amp;$B804,{'5) Release_Track'!$F:$F&amp;'5) Release_Track'!$G:$G,'5) Release_Track'!$I:$I},2,0), or(and(not(isblank($B804)),$B804=$B803,$A804&lt;&gt;$A803),and(not(isblank($A804)),$A804=$A803,$B804&lt;&gt;$B803)),"ID LISTS UNALIGNED",and($A804&lt;&gt;"",countif('5) Release_Track'!$F:$F,$A804)=0),"NO ISRC MATCH in Release_Track",and($B804&lt;&gt;"",countif('5) Release_Track'!$G:$G,$B804)=0),"NO CATALOG ID MATCH in Release_Track",iserror(vlookup($A804&amp;$B804,'5) Release_Track'!$F:$F&amp;'5) Release_Track'!$G:$G,1,0)),"NO ISRC-CATALOG ID pair MATCH in Release_Track" )</f>
        <v/>
      </c>
      <c r="E804" s="125" t="str">
        <f t="array" ref="E804">ifs(and(isblank($A804),isblank($B804)),"", not(iserror(vlookup($A804&amp;$B804,'5) Release_Track'!$F:$F&amp;'5) Release_Track'!$G:$G,1,0))),vlookup($A804&amp;$B804,{'5) Release_Track'!$F:$F&amp;'5) Release_Track'!$G:$G,'5) Release_Track'!$J:$J},2,0), or(and(not(isblank($B804)),$B804=$B803,$A804&lt;&gt;$A803),and(not(isblank($A804)),$A804=$A803,$B804&lt;&gt;$B803)),"ID LISTS UNALIGNED",and($A804&lt;&gt;"",countif('5) Release_Track'!$F:$F,$A804)=0),"NO ISRC MATCH in Release_Track",and($B804&lt;&gt;"",countif('5) Release_Track'!$G:$G,$B804)=0),"NO CATALOG ID MATCH in Release_Track",iserror(vlookup($A804&amp;$B804,'5) Release_Track'!$F:$F&amp;'5) Release_Track'!$G:$G,1,0)),"NO ISRC-CATALOG ID pair MATCH in Release_Track" )</f>
        <v/>
      </c>
      <c r="F804" s="122"/>
      <c r="G804" s="99"/>
      <c r="H804" s="178"/>
      <c r="I804" s="121" t="str">
        <f t="shared" si="6"/>
        <v/>
      </c>
      <c r="J804" s="99"/>
      <c r="K804" s="99"/>
    </row>
    <row r="805">
      <c r="B805" s="103"/>
      <c r="C805" s="121" t="str">
        <f t="array" ref="C805">ifs(and(isblank($A805),isblank($B805)),"", not(iserror(vlookup($A805&amp;$B805,'5) Release_Track'!$F:$F&amp;'5) Release_Track'!$G:$G,1,0))),vlookup($A805&amp;$B805,{'5) Release_Track'!$F:$F&amp;'5) Release_Track'!$G:$G,'5) Release_Track'!$H:$H},2,0), or(and(not(isblank($B805)),$B805=$B804,$A805&lt;&gt;$A804),and(not(isblank($A805)),$A805=$A804,$B805&lt;&gt;$B804)),"ID LISTS UNALIGNED",and($A805&lt;&gt;"",countif('5) Release_Track'!$F:$F,$A805)=0),"NO ISRC MATCH in Release_Track",and($B805&lt;&gt;"",countif('5) Release_Track'!$G:$G,$B805)=0),"NO CATALOG ID MATCH in Release_Track",iserror(vlookup($A805&amp;$B805,'5) Release_Track'!$F:$F&amp;'5) Release_Track'!$G:$G,1,0)),"NO ISRC-CATALOG ID pair MATCH in Release_Track" )</f>
        <v/>
      </c>
      <c r="D805" s="121" t="str">
        <f t="array" ref="D805">ifs(and(isblank($A805),isblank($B805)),"", not(iserror(vlookup($A805&amp;$B805,'5) Release_Track'!$F:$F&amp;'5) Release_Track'!$G:$G,1,0))),vlookup($A805&amp;$B805,{'5) Release_Track'!$F:$F&amp;'5) Release_Track'!$G:$G,'5) Release_Track'!$I:$I},2,0), or(and(not(isblank($B805)),$B805=$B804,$A805&lt;&gt;$A804),and(not(isblank($A805)),$A805=$A804,$B805&lt;&gt;$B804)),"ID LISTS UNALIGNED",and($A805&lt;&gt;"",countif('5) Release_Track'!$F:$F,$A805)=0),"NO ISRC MATCH in Release_Track",and($B805&lt;&gt;"",countif('5) Release_Track'!$G:$G,$B805)=0),"NO CATALOG ID MATCH in Release_Track",iserror(vlookup($A805&amp;$B805,'5) Release_Track'!$F:$F&amp;'5) Release_Track'!$G:$G,1,0)),"NO ISRC-CATALOG ID pair MATCH in Release_Track" )</f>
        <v/>
      </c>
      <c r="E805" s="125" t="str">
        <f t="array" ref="E805">ifs(and(isblank($A805),isblank($B805)),"", not(iserror(vlookup($A805&amp;$B805,'5) Release_Track'!$F:$F&amp;'5) Release_Track'!$G:$G,1,0))),vlookup($A805&amp;$B805,{'5) Release_Track'!$F:$F&amp;'5) Release_Track'!$G:$G,'5) Release_Track'!$J:$J},2,0), or(and(not(isblank($B805)),$B805=$B804,$A805&lt;&gt;$A804),and(not(isblank($A805)),$A805=$A804,$B805&lt;&gt;$B804)),"ID LISTS UNALIGNED",and($A805&lt;&gt;"",countif('5) Release_Track'!$F:$F,$A805)=0),"NO ISRC MATCH in Release_Track",and($B805&lt;&gt;"",countif('5) Release_Track'!$G:$G,$B805)=0),"NO CATALOG ID MATCH in Release_Track",iserror(vlookup($A805&amp;$B805,'5) Release_Track'!$F:$F&amp;'5) Release_Track'!$G:$G,1,0)),"NO ISRC-CATALOG ID pair MATCH in Release_Track" )</f>
        <v/>
      </c>
      <c r="F805" s="122"/>
      <c r="G805" s="99"/>
      <c r="H805" s="178"/>
      <c r="I805" s="121" t="str">
        <f t="shared" si="6"/>
        <v/>
      </c>
      <c r="J805" s="99"/>
      <c r="K805" s="99"/>
    </row>
    <row r="806">
      <c r="B806" s="103"/>
      <c r="C806" s="121" t="str">
        <f t="array" ref="C806">ifs(and(isblank($A806),isblank($B806)),"", not(iserror(vlookup($A806&amp;$B806,'5) Release_Track'!$F:$F&amp;'5) Release_Track'!$G:$G,1,0))),vlookup($A806&amp;$B806,{'5) Release_Track'!$F:$F&amp;'5) Release_Track'!$G:$G,'5) Release_Track'!$H:$H},2,0), or(and(not(isblank($B806)),$B806=$B805,$A806&lt;&gt;$A805),and(not(isblank($A806)),$A806=$A805,$B806&lt;&gt;$B805)),"ID LISTS UNALIGNED",and($A806&lt;&gt;"",countif('5) Release_Track'!$F:$F,$A806)=0),"NO ISRC MATCH in Release_Track",and($B806&lt;&gt;"",countif('5) Release_Track'!$G:$G,$B806)=0),"NO CATALOG ID MATCH in Release_Track",iserror(vlookup($A806&amp;$B806,'5) Release_Track'!$F:$F&amp;'5) Release_Track'!$G:$G,1,0)),"NO ISRC-CATALOG ID pair MATCH in Release_Track" )</f>
        <v/>
      </c>
      <c r="D806" s="121" t="str">
        <f t="array" ref="D806">ifs(and(isblank($A806),isblank($B806)),"", not(iserror(vlookup($A806&amp;$B806,'5) Release_Track'!$F:$F&amp;'5) Release_Track'!$G:$G,1,0))),vlookup($A806&amp;$B806,{'5) Release_Track'!$F:$F&amp;'5) Release_Track'!$G:$G,'5) Release_Track'!$I:$I},2,0), or(and(not(isblank($B806)),$B806=$B805,$A806&lt;&gt;$A805),and(not(isblank($A806)),$A806=$A805,$B806&lt;&gt;$B805)),"ID LISTS UNALIGNED",and($A806&lt;&gt;"",countif('5) Release_Track'!$F:$F,$A806)=0),"NO ISRC MATCH in Release_Track",and($B806&lt;&gt;"",countif('5) Release_Track'!$G:$G,$B806)=0),"NO CATALOG ID MATCH in Release_Track",iserror(vlookup($A806&amp;$B806,'5) Release_Track'!$F:$F&amp;'5) Release_Track'!$G:$G,1,0)),"NO ISRC-CATALOG ID pair MATCH in Release_Track" )</f>
        <v/>
      </c>
      <c r="E806" s="125" t="str">
        <f t="array" ref="E806">ifs(and(isblank($A806),isblank($B806)),"", not(iserror(vlookup($A806&amp;$B806,'5) Release_Track'!$F:$F&amp;'5) Release_Track'!$G:$G,1,0))),vlookup($A806&amp;$B806,{'5) Release_Track'!$F:$F&amp;'5) Release_Track'!$G:$G,'5) Release_Track'!$J:$J},2,0), or(and(not(isblank($B806)),$B806=$B805,$A806&lt;&gt;$A805),and(not(isblank($A806)),$A806=$A805,$B806&lt;&gt;$B805)),"ID LISTS UNALIGNED",and($A806&lt;&gt;"",countif('5) Release_Track'!$F:$F,$A806)=0),"NO ISRC MATCH in Release_Track",and($B806&lt;&gt;"",countif('5) Release_Track'!$G:$G,$B806)=0),"NO CATALOG ID MATCH in Release_Track",iserror(vlookup($A806&amp;$B806,'5) Release_Track'!$F:$F&amp;'5) Release_Track'!$G:$G,1,0)),"NO ISRC-CATALOG ID pair MATCH in Release_Track" )</f>
        <v/>
      </c>
      <c r="F806" s="122"/>
      <c r="G806" s="99"/>
      <c r="H806" s="178"/>
      <c r="I806" s="121" t="str">
        <f t="shared" si="6"/>
        <v/>
      </c>
      <c r="J806" s="99"/>
      <c r="K806" s="99"/>
    </row>
    <row r="807">
      <c r="B807" s="103"/>
      <c r="C807" s="121" t="str">
        <f t="array" ref="C807">ifs(and(isblank($A807),isblank($B807)),"", not(iserror(vlookup($A807&amp;$B807,'5) Release_Track'!$F:$F&amp;'5) Release_Track'!$G:$G,1,0))),vlookup($A807&amp;$B807,{'5) Release_Track'!$F:$F&amp;'5) Release_Track'!$G:$G,'5) Release_Track'!$H:$H},2,0), or(and(not(isblank($B807)),$B807=$B806,$A807&lt;&gt;$A806),and(not(isblank($A807)),$A807=$A806,$B807&lt;&gt;$B806)),"ID LISTS UNALIGNED",and($A807&lt;&gt;"",countif('5) Release_Track'!$F:$F,$A807)=0),"NO ISRC MATCH in Release_Track",and($B807&lt;&gt;"",countif('5) Release_Track'!$G:$G,$B807)=0),"NO CATALOG ID MATCH in Release_Track",iserror(vlookup($A807&amp;$B807,'5) Release_Track'!$F:$F&amp;'5) Release_Track'!$G:$G,1,0)),"NO ISRC-CATALOG ID pair MATCH in Release_Track" )</f>
        <v/>
      </c>
      <c r="D807" s="121" t="str">
        <f t="array" ref="D807">ifs(and(isblank($A807),isblank($B807)),"", not(iserror(vlookup($A807&amp;$B807,'5) Release_Track'!$F:$F&amp;'5) Release_Track'!$G:$G,1,0))),vlookup($A807&amp;$B807,{'5) Release_Track'!$F:$F&amp;'5) Release_Track'!$G:$G,'5) Release_Track'!$I:$I},2,0), or(and(not(isblank($B807)),$B807=$B806,$A807&lt;&gt;$A806),and(not(isblank($A807)),$A807=$A806,$B807&lt;&gt;$B806)),"ID LISTS UNALIGNED",and($A807&lt;&gt;"",countif('5) Release_Track'!$F:$F,$A807)=0),"NO ISRC MATCH in Release_Track",and($B807&lt;&gt;"",countif('5) Release_Track'!$G:$G,$B807)=0),"NO CATALOG ID MATCH in Release_Track",iserror(vlookup($A807&amp;$B807,'5) Release_Track'!$F:$F&amp;'5) Release_Track'!$G:$G,1,0)),"NO ISRC-CATALOG ID pair MATCH in Release_Track" )</f>
        <v/>
      </c>
      <c r="E807" s="125" t="str">
        <f t="array" ref="E807">ifs(and(isblank($A807),isblank($B807)),"", not(iserror(vlookup($A807&amp;$B807,'5) Release_Track'!$F:$F&amp;'5) Release_Track'!$G:$G,1,0))),vlookup($A807&amp;$B807,{'5) Release_Track'!$F:$F&amp;'5) Release_Track'!$G:$G,'5) Release_Track'!$J:$J},2,0), or(and(not(isblank($B807)),$B807=$B806,$A807&lt;&gt;$A806),and(not(isblank($A807)),$A807=$A806,$B807&lt;&gt;$B806)),"ID LISTS UNALIGNED",and($A807&lt;&gt;"",countif('5) Release_Track'!$F:$F,$A807)=0),"NO ISRC MATCH in Release_Track",and($B807&lt;&gt;"",countif('5) Release_Track'!$G:$G,$B807)=0),"NO CATALOG ID MATCH in Release_Track",iserror(vlookup($A807&amp;$B807,'5) Release_Track'!$F:$F&amp;'5) Release_Track'!$G:$G,1,0)),"NO ISRC-CATALOG ID pair MATCH in Release_Track" )</f>
        <v/>
      </c>
      <c r="F807" s="122"/>
      <c r="G807" s="99"/>
      <c r="H807" s="178"/>
      <c r="I807" s="121" t="str">
        <f t="shared" si="6"/>
        <v/>
      </c>
      <c r="J807" s="99"/>
      <c r="K807" s="99"/>
    </row>
    <row r="808">
      <c r="B808" s="103"/>
      <c r="C808" s="121" t="str">
        <f t="array" ref="C808">ifs(and(isblank($A808),isblank($B808)),"", not(iserror(vlookup($A808&amp;$B808,'5) Release_Track'!$F:$F&amp;'5) Release_Track'!$G:$G,1,0))),vlookup($A808&amp;$B808,{'5) Release_Track'!$F:$F&amp;'5) Release_Track'!$G:$G,'5) Release_Track'!$H:$H},2,0), or(and(not(isblank($B808)),$B808=$B807,$A808&lt;&gt;$A807),and(not(isblank($A808)),$A808=$A807,$B808&lt;&gt;$B807)),"ID LISTS UNALIGNED",and($A808&lt;&gt;"",countif('5) Release_Track'!$F:$F,$A808)=0),"NO ISRC MATCH in Release_Track",and($B808&lt;&gt;"",countif('5) Release_Track'!$G:$G,$B808)=0),"NO CATALOG ID MATCH in Release_Track",iserror(vlookup($A808&amp;$B808,'5) Release_Track'!$F:$F&amp;'5) Release_Track'!$G:$G,1,0)),"NO ISRC-CATALOG ID pair MATCH in Release_Track" )</f>
        <v/>
      </c>
      <c r="D808" s="121" t="str">
        <f t="array" ref="D808">ifs(and(isblank($A808),isblank($B808)),"", not(iserror(vlookup($A808&amp;$B808,'5) Release_Track'!$F:$F&amp;'5) Release_Track'!$G:$G,1,0))),vlookup($A808&amp;$B808,{'5) Release_Track'!$F:$F&amp;'5) Release_Track'!$G:$G,'5) Release_Track'!$I:$I},2,0), or(and(not(isblank($B808)),$B808=$B807,$A808&lt;&gt;$A807),and(not(isblank($A808)),$A808=$A807,$B808&lt;&gt;$B807)),"ID LISTS UNALIGNED",and($A808&lt;&gt;"",countif('5) Release_Track'!$F:$F,$A808)=0),"NO ISRC MATCH in Release_Track",and($B808&lt;&gt;"",countif('5) Release_Track'!$G:$G,$B808)=0),"NO CATALOG ID MATCH in Release_Track",iserror(vlookup($A808&amp;$B808,'5) Release_Track'!$F:$F&amp;'5) Release_Track'!$G:$G,1,0)),"NO ISRC-CATALOG ID pair MATCH in Release_Track" )</f>
        <v/>
      </c>
      <c r="E808" s="125" t="str">
        <f t="array" ref="E808">ifs(and(isblank($A808),isblank($B808)),"", not(iserror(vlookup($A808&amp;$B808,'5) Release_Track'!$F:$F&amp;'5) Release_Track'!$G:$G,1,0))),vlookup($A808&amp;$B808,{'5) Release_Track'!$F:$F&amp;'5) Release_Track'!$G:$G,'5) Release_Track'!$J:$J},2,0), or(and(not(isblank($B808)),$B808=$B807,$A808&lt;&gt;$A807),and(not(isblank($A808)),$A808=$A807,$B808&lt;&gt;$B807)),"ID LISTS UNALIGNED",and($A808&lt;&gt;"",countif('5) Release_Track'!$F:$F,$A808)=0),"NO ISRC MATCH in Release_Track",and($B808&lt;&gt;"",countif('5) Release_Track'!$G:$G,$B808)=0),"NO CATALOG ID MATCH in Release_Track",iserror(vlookup($A808&amp;$B808,'5) Release_Track'!$F:$F&amp;'5) Release_Track'!$G:$G,1,0)),"NO ISRC-CATALOG ID pair MATCH in Release_Track" )</f>
        <v/>
      </c>
      <c r="F808" s="122"/>
      <c r="G808" s="99"/>
      <c r="H808" s="178"/>
      <c r="I808" s="121" t="str">
        <f t="shared" si="6"/>
        <v/>
      </c>
      <c r="J808" s="99"/>
      <c r="K808" s="99"/>
    </row>
    <row r="809">
      <c r="B809" s="103"/>
      <c r="C809" s="121" t="str">
        <f t="array" ref="C809">ifs(and(isblank($A809),isblank($B809)),"", not(iserror(vlookup($A809&amp;$B809,'5) Release_Track'!$F:$F&amp;'5) Release_Track'!$G:$G,1,0))),vlookup($A809&amp;$B809,{'5) Release_Track'!$F:$F&amp;'5) Release_Track'!$G:$G,'5) Release_Track'!$H:$H},2,0), or(and(not(isblank($B809)),$B809=$B808,$A809&lt;&gt;$A808),and(not(isblank($A809)),$A809=$A808,$B809&lt;&gt;$B808)),"ID LISTS UNALIGNED",and($A809&lt;&gt;"",countif('5) Release_Track'!$F:$F,$A809)=0),"NO ISRC MATCH in Release_Track",and($B809&lt;&gt;"",countif('5) Release_Track'!$G:$G,$B809)=0),"NO CATALOG ID MATCH in Release_Track",iserror(vlookup($A809&amp;$B809,'5) Release_Track'!$F:$F&amp;'5) Release_Track'!$G:$G,1,0)),"NO ISRC-CATALOG ID pair MATCH in Release_Track" )</f>
        <v/>
      </c>
      <c r="D809" s="121" t="str">
        <f t="array" ref="D809">ifs(and(isblank($A809),isblank($B809)),"", not(iserror(vlookup($A809&amp;$B809,'5) Release_Track'!$F:$F&amp;'5) Release_Track'!$G:$G,1,0))),vlookup($A809&amp;$B809,{'5) Release_Track'!$F:$F&amp;'5) Release_Track'!$G:$G,'5) Release_Track'!$I:$I},2,0), or(and(not(isblank($B809)),$B809=$B808,$A809&lt;&gt;$A808),and(not(isblank($A809)),$A809=$A808,$B809&lt;&gt;$B808)),"ID LISTS UNALIGNED",and($A809&lt;&gt;"",countif('5) Release_Track'!$F:$F,$A809)=0),"NO ISRC MATCH in Release_Track",and($B809&lt;&gt;"",countif('5) Release_Track'!$G:$G,$B809)=0),"NO CATALOG ID MATCH in Release_Track",iserror(vlookup($A809&amp;$B809,'5) Release_Track'!$F:$F&amp;'5) Release_Track'!$G:$G,1,0)),"NO ISRC-CATALOG ID pair MATCH in Release_Track" )</f>
        <v/>
      </c>
      <c r="E809" s="125" t="str">
        <f t="array" ref="E809">ifs(and(isblank($A809),isblank($B809)),"", not(iserror(vlookup($A809&amp;$B809,'5) Release_Track'!$F:$F&amp;'5) Release_Track'!$G:$G,1,0))),vlookup($A809&amp;$B809,{'5) Release_Track'!$F:$F&amp;'5) Release_Track'!$G:$G,'5) Release_Track'!$J:$J},2,0), or(and(not(isblank($B809)),$B809=$B808,$A809&lt;&gt;$A808),and(not(isblank($A809)),$A809=$A808,$B809&lt;&gt;$B808)),"ID LISTS UNALIGNED",and($A809&lt;&gt;"",countif('5) Release_Track'!$F:$F,$A809)=0),"NO ISRC MATCH in Release_Track",and($B809&lt;&gt;"",countif('5) Release_Track'!$G:$G,$B809)=0),"NO CATALOG ID MATCH in Release_Track",iserror(vlookup($A809&amp;$B809,'5) Release_Track'!$F:$F&amp;'5) Release_Track'!$G:$G,1,0)),"NO ISRC-CATALOG ID pair MATCH in Release_Track" )</f>
        <v/>
      </c>
      <c r="F809" s="122"/>
      <c r="G809" s="99"/>
      <c r="H809" s="178"/>
      <c r="I809" s="121" t="str">
        <f t="shared" si="6"/>
        <v/>
      </c>
      <c r="J809" s="99"/>
      <c r="K809" s="99"/>
    </row>
    <row r="810">
      <c r="B810" s="103"/>
      <c r="C810" s="121" t="str">
        <f t="array" ref="C810">ifs(and(isblank($A810),isblank($B810)),"", not(iserror(vlookup($A810&amp;$B810,'5) Release_Track'!$F:$F&amp;'5) Release_Track'!$G:$G,1,0))),vlookup($A810&amp;$B810,{'5) Release_Track'!$F:$F&amp;'5) Release_Track'!$G:$G,'5) Release_Track'!$H:$H},2,0), or(and(not(isblank($B810)),$B810=$B809,$A810&lt;&gt;$A809),and(not(isblank($A810)),$A810=$A809,$B810&lt;&gt;$B809)),"ID LISTS UNALIGNED",and($A810&lt;&gt;"",countif('5) Release_Track'!$F:$F,$A810)=0),"NO ISRC MATCH in Release_Track",and($B810&lt;&gt;"",countif('5) Release_Track'!$G:$G,$B810)=0),"NO CATALOG ID MATCH in Release_Track",iserror(vlookup($A810&amp;$B810,'5) Release_Track'!$F:$F&amp;'5) Release_Track'!$G:$G,1,0)),"NO ISRC-CATALOG ID pair MATCH in Release_Track" )</f>
        <v/>
      </c>
      <c r="D810" s="121" t="str">
        <f t="array" ref="D810">ifs(and(isblank($A810),isblank($B810)),"", not(iserror(vlookup($A810&amp;$B810,'5) Release_Track'!$F:$F&amp;'5) Release_Track'!$G:$G,1,0))),vlookup($A810&amp;$B810,{'5) Release_Track'!$F:$F&amp;'5) Release_Track'!$G:$G,'5) Release_Track'!$I:$I},2,0), or(and(not(isblank($B810)),$B810=$B809,$A810&lt;&gt;$A809),and(not(isblank($A810)),$A810=$A809,$B810&lt;&gt;$B809)),"ID LISTS UNALIGNED",and($A810&lt;&gt;"",countif('5) Release_Track'!$F:$F,$A810)=0),"NO ISRC MATCH in Release_Track",and($B810&lt;&gt;"",countif('5) Release_Track'!$G:$G,$B810)=0),"NO CATALOG ID MATCH in Release_Track",iserror(vlookup($A810&amp;$B810,'5) Release_Track'!$F:$F&amp;'5) Release_Track'!$G:$G,1,0)),"NO ISRC-CATALOG ID pair MATCH in Release_Track" )</f>
        <v/>
      </c>
      <c r="E810" s="125" t="str">
        <f t="array" ref="E810">ifs(and(isblank($A810),isblank($B810)),"", not(iserror(vlookup($A810&amp;$B810,'5) Release_Track'!$F:$F&amp;'5) Release_Track'!$G:$G,1,0))),vlookup($A810&amp;$B810,{'5) Release_Track'!$F:$F&amp;'5) Release_Track'!$G:$G,'5) Release_Track'!$J:$J},2,0), or(and(not(isblank($B810)),$B810=$B809,$A810&lt;&gt;$A809),and(not(isblank($A810)),$A810=$A809,$B810&lt;&gt;$B809)),"ID LISTS UNALIGNED",and($A810&lt;&gt;"",countif('5) Release_Track'!$F:$F,$A810)=0),"NO ISRC MATCH in Release_Track",and($B810&lt;&gt;"",countif('5) Release_Track'!$G:$G,$B810)=0),"NO CATALOG ID MATCH in Release_Track",iserror(vlookup($A810&amp;$B810,'5) Release_Track'!$F:$F&amp;'5) Release_Track'!$G:$G,1,0)),"NO ISRC-CATALOG ID pair MATCH in Release_Track" )</f>
        <v/>
      </c>
      <c r="F810" s="122"/>
      <c r="G810" s="99"/>
      <c r="H810" s="178"/>
      <c r="I810" s="121" t="str">
        <f t="shared" si="6"/>
        <v/>
      </c>
      <c r="J810" s="99"/>
      <c r="K810" s="99"/>
    </row>
    <row r="811">
      <c r="B811" s="103"/>
      <c r="C811" s="121" t="str">
        <f t="array" ref="C811">ifs(and(isblank($A811),isblank($B811)),"", not(iserror(vlookup($A811&amp;$B811,'5) Release_Track'!$F:$F&amp;'5) Release_Track'!$G:$G,1,0))),vlookup($A811&amp;$B811,{'5) Release_Track'!$F:$F&amp;'5) Release_Track'!$G:$G,'5) Release_Track'!$H:$H},2,0), or(and(not(isblank($B811)),$B811=$B810,$A811&lt;&gt;$A810),and(not(isblank($A811)),$A811=$A810,$B811&lt;&gt;$B810)),"ID LISTS UNALIGNED",and($A811&lt;&gt;"",countif('5) Release_Track'!$F:$F,$A811)=0),"NO ISRC MATCH in Release_Track",and($B811&lt;&gt;"",countif('5) Release_Track'!$G:$G,$B811)=0),"NO CATALOG ID MATCH in Release_Track",iserror(vlookup($A811&amp;$B811,'5) Release_Track'!$F:$F&amp;'5) Release_Track'!$G:$G,1,0)),"NO ISRC-CATALOG ID pair MATCH in Release_Track" )</f>
        <v/>
      </c>
      <c r="D811" s="121" t="str">
        <f t="array" ref="D811">ifs(and(isblank($A811),isblank($B811)),"", not(iserror(vlookup($A811&amp;$B811,'5) Release_Track'!$F:$F&amp;'5) Release_Track'!$G:$G,1,0))),vlookup($A811&amp;$B811,{'5) Release_Track'!$F:$F&amp;'5) Release_Track'!$G:$G,'5) Release_Track'!$I:$I},2,0), or(and(not(isblank($B811)),$B811=$B810,$A811&lt;&gt;$A810),and(not(isblank($A811)),$A811=$A810,$B811&lt;&gt;$B810)),"ID LISTS UNALIGNED",and($A811&lt;&gt;"",countif('5) Release_Track'!$F:$F,$A811)=0),"NO ISRC MATCH in Release_Track",and($B811&lt;&gt;"",countif('5) Release_Track'!$G:$G,$B811)=0),"NO CATALOG ID MATCH in Release_Track",iserror(vlookup($A811&amp;$B811,'5) Release_Track'!$F:$F&amp;'5) Release_Track'!$G:$G,1,0)),"NO ISRC-CATALOG ID pair MATCH in Release_Track" )</f>
        <v/>
      </c>
      <c r="E811" s="125" t="str">
        <f t="array" ref="E811">ifs(and(isblank($A811),isblank($B811)),"", not(iserror(vlookup($A811&amp;$B811,'5) Release_Track'!$F:$F&amp;'5) Release_Track'!$G:$G,1,0))),vlookup($A811&amp;$B811,{'5) Release_Track'!$F:$F&amp;'5) Release_Track'!$G:$G,'5) Release_Track'!$J:$J},2,0), or(and(not(isblank($B811)),$B811=$B810,$A811&lt;&gt;$A810),and(not(isblank($A811)),$A811=$A810,$B811&lt;&gt;$B810)),"ID LISTS UNALIGNED",and($A811&lt;&gt;"",countif('5) Release_Track'!$F:$F,$A811)=0),"NO ISRC MATCH in Release_Track",and($B811&lt;&gt;"",countif('5) Release_Track'!$G:$G,$B811)=0),"NO CATALOG ID MATCH in Release_Track",iserror(vlookup($A811&amp;$B811,'5) Release_Track'!$F:$F&amp;'5) Release_Track'!$G:$G,1,0)),"NO ISRC-CATALOG ID pair MATCH in Release_Track" )</f>
        <v/>
      </c>
      <c r="F811" s="122"/>
      <c r="G811" s="99"/>
      <c r="H811" s="178"/>
      <c r="I811" s="121" t="str">
        <f t="shared" si="6"/>
        <v/>
      </c>
      <c r="J811" s="99"/>
      <c r="K811" s="99"/>
    </row>
    <row r="812">
      <c r="B812" s="103"/>
      <c r="C812" s="121" t="str">
        <f t="array" ref="C812">ifs(and(isblank($A812),isblank($B812)),"", not(iserror(vlookup($A812&amp;$B812,'5) Release_Track'!$F:$F&amp;'5) Release_Track'!$G:$G,1,0))),vlookup($A812&amp;$B812,{'5) Release_Track'!$F:$F&amp;'5) Release_Track'!$G:$G,'5) Release_Track'!$H:$H},2,0), or(and(not(isblank($B812)),$B812=$B811,$A812&lt;&gt;$A811),and(not(isblank($A812)),$A812=$A811,$B812&lt;&gt;$B811)),"ID LISTS UNALIGNED",and($A812&lt;&gt;"",countif('5) Release_Track'!$F:$F,$A812)=0),"NO ISRC MATCH in Release_Track",and($B812&lt;&gt;"",countif('5) Release_Track'!$G:$G,$B812)=0),"NO CATALOG ID MATCH in Release_Track",iserror(vlookup($A812&amp;$B812,'5) Release_Track'!$F:$F&amp;'5) Release_Track'!$G:$G,1,0)),"NO ISRC-CATALOG ID pair MATCH in Release_Track" )</f>
        <v/>
      </c>
      <c r="D812" s="121" t="str">
        <f t="array" ref="D812">ifs(and(isblank($A812),isblank($B812)),"", not(iserror(vlookup($A812&amp;$B812,'5) Release_Track'!$F:$F&amp;'5) Release_Track'!$G:$G,1,0))),vlookup($A812&amp;$B812,{'5) Release_Track'!$F:$F&amp;'5) Release_Track'!$G:$G,'5) Release_Track'!$I:$I},2,0), or(and(not(isblank($B812)),$B812=$B811,$A812&lt;&gt;$A811),and(not(isblank($A812)),$A812=$A811,$B812&lt;&gt;$B811)),"ID LISTS UNALIGNED",and($A812&lt;&gt;"",countif('5) Release_Track'!$F:$F,$A812)=0),"NO ISRC MATCH in Release_Track",and($B812&lt;&gt;"",countif('5) Release_Track'!$G:$G,$B812)=0),"NO CATALOG ID MATCH in Release_Track",iserror(vlookup($A812&amp;$B812,'5) Release_Track'!$F:$F&amp;'5) Release_Track'!$G:$G,1,0)),"NO ISRC-CATALOG ID pair MATCH in Release_Track" )</f>
        <v/>
      </c>
      <c r="E812" s="125" t="str">
        <f t="array" ref="E812">ifs(and(isblank($A812),isblank($B812)),"", not(iserror(vlookup($A812&amp;$B812,'5) Release_Track'!$F:$F&amp;'5) Release_Track'!$G:$G,1,0))),vlookup($A812&amp;$B812,{'5) Release_Track'!$F:$F&amp;'5) Release_Track'!$G:$G,'5) Release_Track'!$J:$J},2,0), or(and(not(isblank($B812)),$B812=$B811,$A812&lt;&gt;$A811),and(not(isblank($A812)),$A812=$A811,$B812&lt;&gt;$B811)),"ID LISTS UNALIGNED",and($A812&lt;&gt;"",countif('5) Release_Track'!$F:$F,$A812)=0),"NO ISRC MATCH in Release_Track",and($B812&lt;&gt;"",countif('5) Release_Track'!$G:$G,$B812)=0),"NO CATALOG ID MATCH in Release_Track",iserror(vlookup($A812&amp;$B812,'5) Release_Track'!$F:$F&amp;'5) Release_Track'!$G:$G,1,0)),"NO ISRC-CATALOG ID pair MATCH in Release_Track" )</f>
        <v/>
      </c>
      <c r="F812" s="122"/>
      <c r="G812" s="99"/>
      <c r="H812" s="178"/>
      <c r="I812" s="121" t="str">
        <f t="shared" si="6"/>
        <v/>
      </c>
      <c r="J812" s="99"/>
      <c r="K812" s="99"/>
    </row>
    <row r="813">
      <c r="B813" s="103"/>
      <c r="C813" s="121" t="str">
        <f t="array" ref="C813">ifs(and(isblank($A813),isblank($B813)),"", not(iserror(vlookup($A813&amp;$B813,'5) Release_Track'!$F:$F&amp;'5) Release_Track'!$G:$G,1,0))),vlookup($A813&amp;$B813,{'5) Release_Track'!$F:$F&amp;'5) Release_Track'!$G:$G,'5) Release_Track'!$H:$H},2,0), or(and(not(isblank($B813)),$B813=$B812,$A813&lt;&gt;$A812),and(not(isblank($A813)),$A813=$A812,$B813&lt;&gt;$B812)),"ID LISTS UNALIGNED",and($A813&lt;&gt;"",countif('5) Release_Track'!$F:$F,$A813)=0),"NO ISRC MATCH in Release_Track",and($B813&lt;&gt;"",countif('5) Release_Track'!$G:$G,$B813)=0),"NO CATALOG ID MATCH in Release_Track",iserror(vlookup($A813&amp;$B813,'5) Release_Track'!$F:$F&amp;'5) Release_Track'!$G:$G,1,0)),"NO ISRC-CATALOG ID pair MATCH in Release_Track" )</f>
        <v/>
      </c>
      <c r="D813" s="121" t="str">
        <f t="array" ref="D813">ifs(and(isblank($A813),isblank($B813)),"", not(iserror(vlookup($A813&amp;$B813,'5) Release_Track'!$F:$F&amp;'5) Release_Track'!$G:$G,1,0))),vlookup($A813&amp;$B813,{'5) Release_Track'!$F:$F&amp;'5) Release_Track'!$G:$G,'5) Release_Track'!$I:$I},2,0), or(and(not(isblank($B813)),$B813=$B812,$A813&lt;&gt;$A812),and(not(isblank($A813)),$A813=$A812,$B813&lt;&gt;$B812)),"ID LISTS UNALIGNED",and($A813&lt;&gt;"",countif('5) Release_Track'!$F:$F,$A813)=0),"NO ISRC MATCH in Release_Track",and($B813&lt;&gt;"",countif('5) Release_Track'!$G:$G,$B813)=0),"NO CATALOG ID MATCH in Release_Track",iserror(vlookup($A813&amp;$B813,'5) Release_Track'!$F:$F&amp;'5) Release_Track'!$G:$G,1,0)),"NO ISRC-CATALOG ID pair MATCH in Release_Track" )</f>
        <v/>
      </c>
      <c r="E813" s="125" t="str">
        <f t="array" ref="E813">ifs(and(isblank($A813),isblank($B813)),"", not(iserror(vlookup($A813&amp;$B813,'5) Release_Track'!$F:$F&amp;'5) Release_Track'!$G:$G,1,0))),vlookup($A813&amp;$B813,{'5) Release_Track'!$F:$F&amp;'5) Release_Track'!$G:$G,'5) Release_Track'!$J:$J},2,0), or(and(not(isblank($B813)),$B813=$B812,$A813&lt;&gt;$A812),and(not(isblank($A813)),$A813=$A812,$B813&lt;&gt;$B812)),"ID LISTS UNALIGNED",and($A813&lt;&gt;"",countif('5) Release_Track'!$F:$F,$A813)=0),"NO ISRC MATCH in Release_Track",and($B813&lt;&gt;"",countif('5) Release_Track'!$G:$G,$B813)=0),"NO CATALOG ID MATCH in Release_Track",iserror(vlookup($A813&amp;$B813,'5) Release_Track'!$F:$F&amp;'5) Release_Track'!$G:$G,1,0)),"NO ISRC-CATALOG ID pair MATCH in Release_Track" )</f>
        <v/>
      </c>
      <c r="F813" s="122"/>
      <c r="G813" s="99"/>
      <c r="H813" s="178"/>
      <c r="I813" s="121" t="str">
        <f t="shared" si="6"/>
        <v/>
      </c>
      <c r="J813" s="99"/>
      <c r="K813" s="99"/>
    </row>
    <row r="814">
      <c r="B814" s="103"/>
      <c r="C814" s="121" t="str">
        <f t="array" ref="C814">ifs(and(isblank($A814),isblank($B814)),"", not(iserror(vlookup($A814&amp;$B814,'5) Release_Track'!$F:$F&amp;'5) Release_Track'!$G:$G,1,0))),vlookup($A814&amp;$B814,{'5) Release_Track'!$F:$F&amp;'5) Release_Track'!$G:$G,'5) Release_Track'!$H:$H},2,0), or(and(not(isblank($B814)),$B814=$B813,$A814&lt;&gt;$A813),and(not(isblank($A814)),$A814=$A813,$B814&lt;&gt;$B813)),"ID LISTS UNALIGNED",and($A814&lt;&gt;"",countif('5) Release_Track'!$F:$F,$A814)=0),"NO ISRC MATCH in Release_Track",and($B814&lt;&gt;"",countif('5) Release_Track'!$G:$G,$B814)=0),"NO CATALOG ID MATCH in Release_Track",iserror(vlookup($A814&amp;$B814,'5) Release_Track'!$F:$F&amp;'5) Release_Track'!$G:$G,1,0)),"NO ISRC-CATALOG ID pair MATCH in Release_Track" )</f>
        <v/>
      </c>
      <c r="D814" s="121" t="str">
        <f t="array" ref="D814">ifs(and(isblank($A814),isblank($B814)),"", not(iserror(vlookup($A814&amp;$B814,'5) Release_Track'!$F:$F&amp;'5) Release_Track'!$G:$G,1,0))),vlookup($A814&amp;$B814,{'5) Release_Track'!$F:$F&amp;'5) Release_Track'!$G:$G,'5) Release_Track'!$I:$I},2,0), or(and(not(isblank($B814)),$B814=$B813,$A814&lt;&gt;$A813),and(not(isblank($A814)),$A814=$A813,$B814&lt;&gt;$B813)),"ID LISTS UNALIGNED",and($A814&lt;&gt;"",countif('5) Release_Track'!$F:$F,$A814)=0),"NO ISRC MATCH in Release_Track",and($B814&lt;&gt;"",countif('5) Release_Track'!$G:$G,$B814)=0),"NO CATALOG ID MATCH in Release_Track",iserror(vlookup($A814&amp;$B814,'5) Release_Track'!$F:$F&amp;'5) Release_Track'!$G:$G,1,0)),"NO ISRC-CATALOG ID pair MATCH in Release_Track" )</f>
        <v/>
      </c>
      <c r="E814" s="125" t="str">
        <f t="array" ref="E814">ifs(and(isblank($A814),isblank($B814)),"", not(iserror(vlookup($A814&amp;$B814,'5) Release_Track'!$F:$F&amp;'5) Release_Track'!$G:$G,1,0))),vlookup($A814&amp;$B814,{'5) Release_Track'!$F:$F&amp;'5) Release_Track'!$G:$G,'5) Release_Track'!$J:$J},2,0), or(and(not(isblank($B814)),$B814=$B813,$A814&lt;&gt;$A813),and(not(isblank($A814)),$A814=$A813,$B814&lt;&gt;$B813)),"ID LISTS UNALIGNED",and($A814&lt;&gt;"",countif('5) Release_Track'!$F:$F,$A814)=0),"NO ISRC MATCH in Release_Track",and($B814&lt;&gt;"",countif('5) Release_Track'!$G:$G,$B814)=0),"NO CATALOG ID MATCH in Release_Track",iserror(vlookup($A814&amp;$B814,'5) Release_Track'!$F:$F&amp;'5) Release_Track'!$G:$G,1,0)),"NO ISRC-CATALOG ID pair MATCH in Release_Track" )</f>
        <v/>
      </c>
      <c r="F814" s="122"/>
      <c r="G814" s="99"/>
      <c r="H814" s="178"/>
      <c r="I814" s="121" t="str">
        <f t="shared" si="6"/>
        <v/>
      </c>
      <c r="J814" s="99"/>
      <c r="K814" s="99"/>
    </row>
    <row r="815">
      <c r="B815" s="103"/>
      <c r="C815" s="121" t="str">
        <f t="array" ref="C815">ifs(and(isblank($A815),isblank($B815)),"", not(iserror(vlookup($A815&amp;$B815,'5) Release_Track'!$F:$F&amp;'5) Release_Track'!$G:$G,1,0))),vlookup($A815&amp;$B815,{'5) Release_Track'!$F:$F&amp;'5) Release_Track'!$G:$G,'5) Release_Track'!$H:$H},2,0), or(and(not(isblank($B815)),$B815=$B814,$A815&lt;&gt;$A814),and(not(isblank($A815)),$A815=$A814,$B815&lt;&gt;$B814)),"ID LISTS UNALIGNED",and($A815&lt;&gt;"",countif('5) Release_Track'!$F:$F,$A815)=0),"NO ISRC MATCH in Release_Track",and($B815&lt;&gt;"",countif('5) Release_Track'!$G:$G,$B815)=0),"NO CATALOG ID MATCH in Release_Track",iserror(vlookup($A815&amp;$B815,'5) Release_Track'!$F:$F&amp;'5) Release_Track'!$G:$G,1,0)),"NO ISRC-CATALOG ID pair MATCH in Release_Track" )</f>
        <v/>
      </c>
      <c r="D815" s="121" t="str">
        <f t="array" ref="D815">ifs(and(isblank($A815),isblank($B815)),"", not(iserror(vlookup($A815&amp;$B815,'5) Release_Track'!$F:$F&amp;'5) Release_Track'!$G:$G,1,0))),vlookup($A815&amp;$B815,{'5) Release_Track'!$F:$F&amp;'5) Release_Track'!$G:$G,'5) Release_Track'!$I:$I},2,0), or(and(not(isblank($B815)),$B815=$B814,$A815&lt;&gt;$A814),and(not(isblank($A815)),$A815=$A814,$B815&lt;&gt;$B814)),"ID LISTS UNALIGNED",and($A815&lt;&gt;"",countif('5) Release_Track'!$F:$F,$A815)=0),"NO ISRC MATCH in Release_Track",and($B815&lt;&gt;"",countif('5) Release_Track'!$G:$G,$B815)=0),"NO CATALOG ID MATCH in Release_Track",iserror(vlookup($A815&amp;$B815,'5) Release_Track'!$F:$F&amp;'5) Release_Track'!$G:$G,1,0)),"NO ISRC-CATALOG ID pair MATCH in Release_Track" )</f>
        <v/>
      </c>
      <c r="E815" s="125" t="str">
        <f t="array" ref="E815">ifs(and(isblank($A815),isblank($B815)),"", not(iserror(vlookup($A815&amp;$B815,'5) Release_Track'!$F:$F&amp;'5) Release_Track'!$G:$G,1,0))),vlookup($A815&amp;$B815,{'5) Release_Track'!$F:$F&amp;'5) Release_Track'!$G:$G,'5) Release_Track'!$J:$J},2,0), or(and(not(isblank($B815)),$B815=$B814,$A815&lt;&gt;$A814),and(not(isblank($A815)),$A815=$A814,$B815&lt;&gt;$B814)),"ID LISTS UNALIGNED",and($A815&lt;&gt;"",countif('5) Release_Track'!$F:$F,$A815)=0),"NO ISRC MATCH in Release_Track",and($B815&lt;&gt;"",countif('5) Release_Track'!$G:$G,$B815)=0),"NO CATALOG ID MATCH in Release_Track",iserror(vlookup($A815&amp;$B815,'5) Release_Track'!$F:$F&amp;'5) Release_Track'!$G:$G,1,0)),"NO ISRC-CATALOG ID pair MATCH in Release_Track" )</f>
        <v/>
      </c>
      <c r="F815" s="122"/>
      <c r="G815" s="99"/>
      <c r="H815" s="178"/>
      <c r="I815" s="121" t="str">
        <f t="shared" si="6"/>
        <v/>
      </c>
      <c r="J815" s="99"/>
      <c r="K815" s="99"/>
    </row>
    <row r="816">
      <c r="B816" s="103"/>
      <c r="C816" s="121" t="str">
        <f t="array" ref="C816">ifs(and(isblank($A816),isblank($B816)),"", not(iserror(vlookup($A816&amp;$B816,'5) Release_Track'!$F:$F&amp;'5) Release_Track'!$G:$G,1,0))),vlookup($A816&amp;$B816,{'5) Release_Track'!$F:$F&amp;'5) Release_Track'!$G:$G,'5) Release_Track'!$H:$H},2,0), or(and(not(isblank($B816)),$B816=$B815,$A816&lt;&gt;$A815),and(not(isblank($A816)),$A816=$A815,$B816&lt;&gt;$B815)),"ID LISTS UNALIGNED",and($A816&lt;&gt;"",countif('5) Release_Track'!$F:$F,$A816)=0),"NO ISRC MATCH in Release_Track",and($B816&lt;&gt;"",countif('5) Release_Track'!$G:$G,$B816)=0),"NO CATALOG ID MATCH in Release_Track",iserror(vlookup($A816&amp;$B816,'5) Release_Track'!$F:$F&amp;'5) Release_Track'!$G:$G,1,0)),"NO ISRC-CATALOG ID pair MATCH in Release_Track" )</f>
        <v/>
      </c>
      <c r="D816" s="121" t="str">
        <f t="array" ref="D816">ifs(and(isblank($A816),isblank($B816)),"", not(iserror(vlookup($A816&amp;$B816,'5) Release_Track'!$F:$F&amp;'5) Release_Track'!$G:$G,1,0))),vlookup($A816&amp;$B816,{'5) Release_Track'!$F:$F&amp;'5) Release_Track'!$G:$G,'5) Release_Track'!$I:$I},2,0), or(and(not(isblank($B816)),$B816=$B815,$A816&lt;&gt;$A815),and(not(isblank($A816)),$A816=$A815,$B816&lt;&gt;$B815)),"ID LISTS UNALIGNED",and($A816&lt;&gt;"",countif('5) Release_Track'!$F:$F,$A816)=0),"NO ISRC MATCH in Release_Track",and($B816&lt;&gt;"",countif('5) Release_Track'!$G:$G,$B816)=0),"NO CATALOG ID MATCH in Release_Track",iserror(vlookup($A816&amp;$B816,'5) Release_Track'!$F:$F&amp;'5) Release_Track'!$G:$G,1,0)),"NO ISRC-CATALOG ID pair MATCH in Release_Track" )</f>
        <v/>
      </c>
      <c r="E816" s="125" t="str">
        <f t="array" ref="E816">ifs(and(isblank($A816),isblank($B816)),"", not(iserror(vlookup($A816&amp;$B816,'5) Release_Track'!$F:$F&amp;'5) Release_Track'!$G:$G,1,0))),vlookup($A816&amp;$B816,{'5) Release_Track'!$F:$F&amp;'5) Release_Track'!$G:$G,'5) Release_Track'!$J:$J},2,0), or(and(not(isblank($B816)),$B816=$B815,$A816&lt;&gt;$A815),and(not(isblank($A816)),$A816=$A815,$B816&lt;&gt;$B815)),"ID LISTS UNALIGNED",and($A816&lt;&gt;"",countif('5) Release_Track'!$F:$F,$A816)=0),"NO ISRC MATCH in Release_Track",and($B816&lt;&gt;"",countif('5) Release_Track'!$G:$G,$B816)=0),"NO CATALOG ID MATCH in Release_Track",iserror(vlookup($A816&amp;$B816,'5) Release_Track'!$F:$F&amp;'5) Release_Track'!$G:$G,1,0)),"NO ISRC-CATALOG ID pair MATCH in Release_Track" )</f>
        <v/>
      </c>
      <c r="F816" s="122"/>
      <c r="G816" s="99"/>
      <c r="H816" s="178"/>
      <c r="I816" s="121" t="str">
        <f t="shared" si="6"/>
        <v/>
      </c>
      <c r="J816" s="99"/>
      <c r="K816" s="99"/>
    </row>
    <row r="817">
      <c r="B817" s="103"/>
      <c r="C817" s="121" t="str">
        <f t="array" ref="C817">ifs(and(isblank($A817),isblank($B817)),"", not(iserror(vlookup($A817&amp;$B817,'5) Release_Track'!$F:$F&amp;'5) Release_Track'!$G:$G,1,0))),vlookup($A817&amp;$B817,{'5) Release_Track'!$F:$F&amp;'5) Release_Track'!$G:$G,'5) Release_Track'!$H:$H},2,0), or(and(not(isblank($B817)),$B817=$B816,$A817&lt;&gt;$A816),and(not(isblank($A817)),$A817=$A816,$B817&lt;&gt;$B816)),"ID LISTS UNALIGNED",and($A817&lt;&gt;"",countif('5) Release_Track'!$F:$F,$A817)=0),"NO ISRC MATCH in Release_Track",and($B817&lt;&gt;"",countif('5) Release_Track'!$G:$G,$B817)=0),"NO CATALOG ID MATCH in Release_Track",iserror(vlookup($A817&amp;$B817,'5) Release_Track'!$F:$F&amp;'5) Release_Track'!$G:$G,1,0)),"NO ISRC-CATALOG ID pair MATCH in Release_Track" )</f>
        <v/>
      </c>
      <c r="D817" s="121" t="str">
        <f t="array" ref="D817">ifs(and(isblank($A817),isblank($B817)),"", not(iserror(vlookup($A817&amp;$B817,'5) Release_Track'!$F:$F&amp;'5) Release_Track'!$G:$G,1,0))),vlookup($A817&amp;$B817,{'5) Release_Track'!$F:$F&amp;'5) Release_Track'!$G:$G,'5) Release_Track'!$I:$I},2,0), or(and(not(isblank($B817)),$B817=$B816,$A817&lt;&gt;$A816),and(not(isblank($A817)),$A817=$A816,$B817&lt;&gt;$B816)),"ID LISTS UNALIGNED",and($A817&lt;&gt;"",countif('5) Release_Track'!$F:$F,$A817)=0),"NO ISRC MATCH in Release_Track",and($B817&lt;&gt;"",countif('5) Release_Track'!$G:$G,$B817)=0),"NO CATALOG ID MATCH in Release_Track",iserror(vlookup($A817&amp;$B817,'5) Release_Track'!$F:$F&amp;'5) Release_Track'!$G:$G,1,0)),"NO ISRC-CATALOG ID pair MATCH in Release_Track" )</f>
        <v/>
      </c>
      <c r="E817" s="125" t="str">
        <f t="array" ref="E817">ifs(and(isblank($A817),isblank($B817)),"", not(iserror(vlookup($A817&amp;$B817,'5) Release_Track'!$F:$F&amp;'5) Release_Track'!$G:$G,1,0))),vlookup($A817&amp;$B817,{'5) Release_Track'!$F:$F&amp;'5) Release_Track'!$G:$G,'5) Release_Track'!$J:$J},2,0), or(and(not(isblank($B817)),$B817=$B816,$A817&lt;&gt;$A816),and(not(isblank($A817)),$A817=$A816,$B817&lt;&gt;$B816)),"ID LISTS UNALIGNED",and($A817&lt;&gt;"",countif('5) Release_Track'!$F:$F,$A817)=0),"NO ISRC MATCH in Release_Track",and($B817&lt;&gt;"",countif('5) Release_Track'!$G:$G,$B817)=0),"NO CATALOG ID MATCH in Release_Track",iserror(vlookup($A817&amp;$B817,'5) Release_Track'!$F:$F&amp;'5) Release_Track'!$G:$G,1,0)),"NO ISRC-CATALOG ID pair MATCH in Release_Track" )</f>
        <v/>
      </c>
      <c r="F817" s="122"/>
      <c r="G817" s="99"/>
      <c r="H817" s="178"/>
      <c r="I817" s="121" t="str">
        <f t="shared" si="6"/>
        <v/>
      </c>
      <c r="J817" s="99"/>
      <c r="K817" s="99"/>
    </row>
    <row r="818">
      <c r="B818" s="103"/>
      <c r="C818" s="121" t="str">
        <f t="array" ref="C818">ifs(and(isblank($A818),isblank($B818)),"", not(iserror(vlookup($A818&amp;$B818,'5) Release_Track'!$F:$F&amp;'5) Release_Track'!$G:$G,1,0))),vlookup($A818&amp;$B818,{'5) Release_Track'!$F:$F&amp;'5) Release_Track'!$G:$G,'5) Release_Track'!$H:$H},2,0), or(and(not(isblank($B818)),$B818=$B817,$A818&lt;&gt;$A817),and(not(isblank($A818)),$A818=$A817,$B818&lt;&gt;$B817)),"ID LISTS UNALIGNED",and($A818&lt;&gt;"",countif('5) Release_Track'!$F:$F,$A818)=0),"NO ISRC MATCH in Release_Track",and($B818&lt;&gt;"",countif('5) Release_Track'!$G:$G,$B818)=0),"NO CATALOG ID MATCH in Release_Track",iserror(vlookup($A818&amp;$B818,'5) Release_Track'!$F:$F&amp;'5) Release_Track'!$G:$G,1,0)),"NO ISRC-CATALOG ID pair MATCH in Release_Track" )</f>
        <v/>
      </c>
      <c r="D818" s="121" t="str">
        <f t="array" ref="D818">ifs(and(isblank($A818),isblank($B818)),"", not(iserror(vlookup($A818&amp;$B818,'5) Release_Track'!$F:$F&amp;'5) Release_Track'!$G:$G,1,0))),vlookup($A818&amp;$B818,{'5) Release_Track'!$F:$F&amp;'5) Release_Track'!$G:$G,'5) Release_Track'!$I:$I},2,0), or(and(not(isblank($B818)),$B818=$B817,$A818&lt;&gt;$A817),and(not(isblank($A818)),$A818=$A817,$B818&lt;&gt;$B817)),"ID LISTS UNALIGNED",and($A818&lt;&gt;"",countif('5) Release_Track'!$F:$F,$A818)=0),"NO ISRC MATCH in Release_Track",and($B818&lt;&gt;"",countif('5) Release_Track'!$G:$G,$B818)=0),"NO CATALOG ID MATCH in Release_Track",iserror(vlookup($A818&amp;$B818,'5) Release_Track'!$F:$F&amp;'5) Release_Track'!$G:$G,1,0)),"NO ISRC-CATALOG ID pair MATCH in Release_Track" )</f>
        <v/>
      </c>
      <c r="E818" s="125" t="str">
        <f t="array" ref="E818">ifs(and(isblank($A818),isblank($B818)),"", not(iserror(vlookup($A818&amp;$B818,'5) Release_Track'!$F:$F&amp;'5) Release_Track'!$G:$G,1,0))),vlookup($A818&amp;$B818,{'5) Release_Track'!$F:$F&amp;'5) Release_Track'!$G:$G,'5) Release_Track'!$J:$J},2,0), or(and(not(isblank($B818)),$B818=$B817,$A818&lt;&gt;$A817),and(not(isblank($A818)),$A818=$A817,$B818&lt;&gt;$B817)),"ID LISTS UNALIGNED",and($A818&lt;&gt;"",countif('5) Release_Track'!$F:$F,$A818)=0),"NO ISRC MATCH in Release_Track",and($B818&lt;&gt;"",countif('5) Release_Track'!$G:$G,$B818)=0),"NO CATALOG ID MATCH in Release_Track",iserror(vlookup($A818&amp;$B818,'5) Release_Track'!$F:$F&amp;'5) Release_Track'!$G:$G,1,0)),"NO ISRC-CATALOG ID pair MATCH in Release_Track" )</f>
        <v/>
      </c>
      <c r="F818" s="122"/>
      <c r="G818" s="99"/>
      <c r="H818" s="178"/>
      <c r="I818" s="121" t="str">
        <f t="shared" si="6"/>
        <v/>
      </c>
      <c r="J818" s="99"/>
      <c r="K818" s="99"/>
    </row>
    <row r="819">
      <c r="B819" s="103"/>
      <c r="C819" s="121" t="str">
        <f t="array" ref="C819">ifs(and(isblank($A819),isblank($B819)),"", not(iserror(vlookup($A819&amp;$B819,'5) Release_Track'!$F:$F&amp;'5) Release_Track'!$G:$G,1,0))),vlookup($A819&amp;$B819,{'5) Release_Track'!$F:$F&amp;'5) Release_Track'!$G:$G,'5) Release_Track'!$H:$H},2,0), or(and(not(isblank($B819)),$B819=$B818,$A819&lt;&gt;$A818),and(not(isblank($A819)),$A819=$A818,$B819&lt;&gt;$B818)),"ID LISTS UNALIGNED",and($A819&lt;&gt;"",countif('5) Release_Track'!$F:$F,$A819)=0),"NO ISRC MATCH in Release_Track",and($B819&lt;&gt;"",countif('5) Release_Track'!$G:$G,$B819)=0),"NO CATALOG ID MATCH in Release_Track",iserror(vlookup($A819&amp;$B819,'5) Release_Track'!$F:$F&amp;'5) Release_Track'!$G:$G,1,0)),"NO ISRC-CATALOG ID pair MATCH in Release_Track" )</f>
        <v/>
      </c>
      <c r="D819" s="121" t="str">
        <f t="array" ref="D819">ifs(and(isblank($A819),isblank($B819)),"", not(iserror(vlookup($A819&amp;$B819,'5) Release_Track'!$F:$F&amp;'5) Release_Track'!$G:$G,1,0))),vlookup($A819&amp;$B819,{'5) Release_Track'!$F:$F&amp;'5) Release_Track'!$G:$G,'5) Release_Track'!$I:$I},2,0), or(and(not(isblank($B819)),$B819=$B818,$A819&lt;&gt;$A818),and(not(isblank($A819)),$A819=$A818,$B819&lt;&gt;$B818)),"ID LISTS UNALIGNED",and($A819&lt;&gt;"",countif('5) Release_Track'!$F:$F,$A819)=0),"NO ISRC MATCH in Release_Track",and($B819&lt;&gt;"",countif('5) Release_Track'!$G:$G,$B819)=0),"NO CATALOG ID MATCH in Release_Track",iserror(vlookup($A819&amp;$B819,'5) Release_Track'!$F:$F&amp;'5) Release_Track'!$G:$G,1,0)),"NO ISRC-CATALOG ID pair MATCH in Release_Track" )</f>
        <v/>
      </c>
      <c r="E819" s="125" t="str">
        <f t="array" ref="E819">ifs(and(isblank($A819),isblank($B819)),"", not(iserror(vlookup($A819&amp;$B819,'5) Release_Track'!$F:$F&amp;'5) Release_Track'!$G:$G,1,0))),vlookup($A819&amp;$B819,{'5) Release_Track'!$F:$F&amp;'5) Release_Track'!$G:$G,'5) Release_Track'!$J:$J},2,0), or(and(not(isblank($B819)),$B819=$B818,$A819&lt;&gt;$A818),and(not(isblank($A819)),$A819=$A818,$B819&lt;&gt;$B818)),"ID LISTS UNALIGNED",and($A819&lt;&gt;"",countif('5) Release_Track'!$F:$F,$A819)=0),"NO ISRC MATCH in Release_Track",and($B819&lt;&gt;"",countif('5) Release_Track'!$G:$G,$B819)=0),"NO CATALOG ID MATCH in Release_Track",iserror(vlookup($A819&amp;$B819,'5) Release_Track'!$F:$F&amp;'5) Release_Track'!$G:$G,1,0)),"NO ISRC-CATALOG ID pair MATCH in Release_Track" )</f>
        <v/>
      </c>
      <c r="F819" s="122"/>
      <c r="G819" s="99"/>
      <c r="H819" s="178"/>
      <c r="I819" s="121" t="str">
        <f t="shared" si="6"/>
        <v/>
      </c>
      <c r="J819" s="99"/>
      <c r="K819" s="99"/>
    </row>
    <row r="820">
      <c r="B820" s="103"/>
      <c r="C820" s="121" t="str">
        <f t="array" ref="C820">ifs(and(isblank($A820),isblank($B820)),"", not(iserror(vlookup($A820&amp;$B820,'5) Release_Track'!$F:$F&amp;'5) Release_Track'!$G:$G,1,0))),vlookup($A820&amp;$B820,{'5) Release_Track'!$F:$F&amp;'5) Release_Track'!$G:$G,'5) Release_Track'!$H:$H},2,0), or(and(not(isblank($B820)),$B820=$B819,$A820&lt;&gt;$A819),and(not(isblank($A820)),$A820=$A819,$B820&lt;&gt;$B819)),"ID LISTS UNALIGNED",and($A820&lt;&gt;"",countif('5) Release_Track'!$F:$F,$A820)=0),"NO ISRC MATCH in Release_Track",and($B820&lt;&gt;"",countif('5) Release_Track'!$G:$G,$B820)=0),"NO CATALOG ID MATCH in Release_Track",iserror(vlookup($A820&amp;$B820,'5) Release_Track'!$F:$F&amp;'5) Release_Track'!$G:$G,1,0)),"NO ISRC-CATALOG ID pair MATCH in Release_Track" )</f>
        <v/>
      </c>
      <c r="D820" s="121" t="str">
        <f t="array" ref="D820">ifs(and(isblank($A820),isblank($B820)),"", not(iserror(vlookup($A820&amp;$B820,'5) Release_Track'!$F:$F&amp;'5) Release_Track'!$G:$G,1,0))),vlookup($A820&amp;$B820,{'5) Release_Track'!$F:$F&amp;'5) Release_Track'!$G:$G,'5) Release_Track'!$I:$I},2,0), or(and(not(isblank($B820)),$B820=$B819,$A820&lt;&gt;$A819),and(not(isblank($A820)),$A820=$A819,$B820&lt;&gt;$B819)),"ID LISTS UNALIGNED",and($A820&lt;&gt;"",countif('5) Release_Track'!$F:$F,$A820)=0),"NO ISRC MATCH in Release_Track",and($B820&lt;&gt;"",countif('5) Release_Track'!$G:$G,$B820)=0),"NO CATALOG ID MATCH in Release_Track",iserror(vlookup($A820&amp;$B820,'5) Release_Track'!$F:$F&amp;'5) Release_Track'!$G:$G,1,0)),"NO ISRC-CATALOG ID pair MATCH in Release_Track" )</f>
        <v/>
      </c>
      <c r="E820" s="125" t="str">
        <f t="array" ref="E820">ifs(and(isblank($A820),isblank($B820)),"", not(iserror(vlookup($A820&amp;$B820,'5) Release_Track'!$F:$F&amp;'5) Release_Track'!$G:$G,1,0))),vlookup($A820&amp;$B820,{'5) Release_Track'!$F:$F&amp;'5) Release_Track'!$G:$G,'5) Release_Track'!$J:$J},2,0), or(and(not(isblank($B820)),$B820=$B819,$A820&lt;&gt;$A819),and(not(isblank($A820)),$A820=$A819,$B820&lt;&gt;$B819)),"ID LISTS UNALIGNED",and($A820&lt;&gt;"",countif('5) Release_Track'!$F:$F,$A820)=0),"NO ISRC MATCH in Release_Track",and($B820&lt;&gt;"",countif('5) Release_Track'!$G:$G,$B820)=0),"NO CATALOG ID MATCH in Release_Track",iserror(vlookup($A820&amp;$B820,'5) Release_Track'!$F:$F&amp;'5) Release_Track'!$G:$G,1,0)),"NO ISRC-CATALOG ID pair MATCH in Release_Track" )</f>
        <v/>
      </c>
      <c r="F820" s="122"/>
      <c r="G820" s="99"/>
      <c r="H820" s="178"/>
      <c r="I820" s="121" t="str">
        <f t="shared" si="6"/>
        <v/>
      </c>
      <c r="J820" s="99"/>
      <c r="K820" s="99"/>
    </row>
    <row r="821">
      <c r="B821" s="103"/>
      <c r="C821" s="121" t="str">
        <f t="array" ref="C821">ifs(and(isblank($A821),isblank($B821)),"", not(iserror(vlookup($A821&amp;$B821,'5) Release_Track'!$F:$F&amp;'5) Release_Track'!$G:$G,1,0))),vlookup($A821&amp;$B821,{'5) Release_Track'!$F:$F&amp;'5) Release_Track'!$G:$G,'5) Release_Track'!$H:$H},2,0), or(and(not(isblank($B821)),$B821=$B820,$A821&lt;&gt;$A820),and(not(isblank($A821)),$A821=$A820,$B821&lt;&gt;$B820)),"ID LISTS UNALIGNED",and($A821&lt;&gt;"",countif('5) Release_Track'!$F:$F,$A821)=0),"NO ISRC MATCH in Release_Track",and($B821&lt;&gt;"",countif('5) Release_Track'!$G:$G,$B821)=0),"NO CATALOG ID MATCH in Release_Track",iserror(vlookup($A821&amp;$B821,'5) Release_Track'!$F:$F&amp;'5) Release_Track'!$G:$G,1,0)),"NO ISRC-CATALOG ID pair MATCH in Release_Track" )</f>
        <v/>
      </c>
      <c r="D821" s="121" t="str">
        <f t="array" ref="D821">ifs(and(isblank($A821),isblank($B821)),"", not(iserror(vlookup($A821&amp;$B821,'5) Release_Track'!$F:$F&amp;'5) Release_Track'!$G:$G,1,0))),vlookup($A821&amp;$B821,{'5) Release_Track'!$F:$F&amp;'5) Release_Track'!$G:$G,'5) Release_Track'!$I:$I},2,0), or(and(not(isblank($B821)),$B821=$B820,$A821&lt;&gt;$A820),and(not(isblank($A821)),$A821=$A820,$B821&lt;&gt;$B820)),"ID LISTS UNALIGNED",and($A821&lt;&gt;"",countif('5) Release_Track'!$F:$F,$A821)=0),"NO ISRC MATCH in Release_Track",and($B821&lt;&gt;"",countif('5) Release_Track'!$G:$G,$B821)=0),"NO CATALOG ID MATCH in Release_Track",iserror(vlookup($A821&amp;$B821,'5) Release_Track'!$F:$F&amp;'5) Release_Track'!$G:$G,1,0)),"NO ISRC-CATALOG ID pair MATCH in Release_Track" )</f>
        <v/>
      </c>
      <c r="E821" s="125" t="str">
        <f t="array" ref="E821">ifs(and(isblank($A821),isblank($B821)),"", not(iserror(vlookup($A821&amp;$B821,'5) Release_Track'!$F:$F&amp;'5) Release_Track'!$G:$G,1,0))),vlookup($A821&amp;$B821,{'5) Release_Track'!$F:$F&amp;'5) Release_Track'!$G:$G,'5) Release_Track'!$J:$J},2,0), or(and(not(isblank($B821)),$B821=$B820,$A821&lt;&gt;$A820),and(not(isblank($A821)),$A821=$A820,$B821&lt;&gt;$B820)),"ID LISTS UNALIGNED",and($A821&lt;&gt;"",countif('5) Release_Track'!$F:$F,$A821)=0),"NO ISRC MATCH in Release_Track",and($B821&lt;&gt;"",countif('5) Release_Track'!$G:$G,$B821)=0),"NO CATALOG ID MATCH in Release_Track",iserror(vlookup($A821&amp;$B821,'5) Release_Track'!$F:$F&amp;'5) Release_Track'!$G:$G,1,0)),"NO ISRC-CATALOG ID pair MATCH in Release_Track" )</f>
        <v/>
      </c>
      <c r="F821" s="122"/>
      <c r="G821" s="99"/>
      <c r="H821" s="178"/>
      <c r="I821" s="121" t="str">
        <f t="shared" si="6"/>
        <v/>
      </c>
      <c r="J821" s="99"/>
      <c r="K821" s="99"/>
    </row>
    <row r="822">
      <c r="B822" s="103"/>
      <c r="C822" s="121" t="str">
        <f t="array" ref="C822">ifs(and(isblank($A822),isblank($B822)),"", not(iserror(vlookup($A822&amp;$B822,'5) Release_Track'!$F:$F&amp;'5) Release_Track'!$G:$G,1,0))),vlookup($A822&amp;$B822,{'5) Release_Track'!$F:$F&amp;'5) Release_Track'!$G:$G,'5) Release_Track'!$H:$H},2,0), or(and(not(isblank($B822)),$B822=$B821,$A822&lt;&gt;$A821),and(not(isblank($A822)),$A822=$A821,$B822&lt;&gt;$B821)),"ID LISTS UNALIGNED",and($A822&lt;&gt;"",countif('5) Release_Track'!$F:$F,$A822)=0),"NO ISRC MATCH in Release_Track",and($B822&lt;&gt;"",countif('5) Release_Track'!$G:$G,$B822)=0),"NO CATALOG ID MATCH in Release_Track",iserror(vlookup($A822&amp;$B822,'5) Release_Track'!$F:$F&amp;'5) Release_Track'!$G:$G,1,0)),"NO ISRC-CATALOG ID pair MATCH in Release_Track" )</f>
        <v/>
      </c>
      <c r="D822" s="121" t="str">
        <f t="array" ref="D822">ifs(and(isblank($A822),isblank($B822)),"", not(iserror(vlookup($A822&amp;$B822,'5) Release_Track'!$F:$F&amp;'5) Release_Track'!$G:$G,1,0))),vlookup($A822&amp;$B822,{'5) Release_Track'!$F:$F&amp;'5) Release_Track'!$G:$G,'5) Release_Track'!$I:$I},2,0), or(and(not(isblank($B822)),$B822=$B821,$A822&lt;&gt;$A821),and(not(isblank($A822)),$A822=$A821,$B822&lt;&gt;$B821)),"ID LISTS UNALIGNED",and($A822&lt;&gt;"",countif('5) Release_Track'!$F:$F,$A822)=0),"NO ISRC MATCH in Release_Track",and($B822&lt;&gt;"",countif('5) Release_Track'!$G:$G,$B822)=0),"NO CATALOG ID MATCH in Release_Track",iserror(vlookup($A822&amp;$B822,'5) Release_Track'!$F:$F&amp;'5) Release_Track'!$G:$G,1,0)),"NO ISRC-CATALOG ID pair MATCH in Release_Track" )</f>
        <v/>
      </c>
      <c r="E822" s="125" t="str">
        <f t="array" ref="E822">ifs(and(isblank($A822),isblank($B822)),"", not(iserror(vlookup($A822&amp;$B822,'5) Release_Track'!$F:$F&amp;'5) Release_Track'!$G:$G,1,0))),vlookup($A822&amp;$B822,{'5) Release_Track'!$F:$F&amp;'5) Release_Track'!$G:$G,'5) Release_Track'!$J:$J},2,0), or(and(not(isblank($B822)),$B822=$B821,$A822&lt;&gt;$A821),and(not(isblank($A822)),$A822=$A821,$B822&lt;&gt;$B821)),"ID LISTS UNALIGNED",and($A822&lt;&gt;"",countif('5) Release_Track'!$F:$F,$A822)=0),"NO ISRC MATCH in Release_Track",and($B822&lt;&gt;"",countif('5) Release_Track'!$G:$G,$B822)=0),"NO CATALOG ID MATCH in Release_Track",iserror(vlookup($A822&amp;$B822,'5) Release_Track'!$F:$F&amp;'5) Release_Track'!$G:$G,1,0)),"NO ISRC-CATALOG ID pair MATCH in Release_Track" )</f>
        <v/>
      </c>
      <c r="F822" s="122"/>
      <c r="G822" s="99"/>
      <c r="H822" s="178"/>
      <c r="I822" s="121" t="str">
        <f t="shared" si="6"/>
        <v/>
      </c>
      <c r="J822" s="99"/>
      <c r="K822" s="99"/>
    </row>
    <row r="823">
      <c r="B823" s="103"/>
      <c r="C823" s="121" t="str">
        <f t="array" ref="C823">ifs(and(isblank($A823),isblank($B823)),"", not(iserror(vlookup($A823&amp;$B823,'5) Release_Track'!$F:$F&amp;'5) Release_Track'!$G:$G,1,0))),vlookup($A823&amp;$B823,{'5) Release_Track'!$F:$F&amp;'5) Release_Track'!$G:$G,'5) Release_Track'!$H:$H},2,0), or(and(not(isblank($B823)),$B823=$B822,$A823&lt;&gt;$A822),and(not(isblank($A823)),$A823=$A822,$B823&lt;&gt;$B822)),"ID LISTS UNALIGNED",and($A823&lt;&gt;"",countif('5) Release_Track'!$F:$F,$A823)=0),"NO ISRC MATCH in Release_Track",and($B823&lt;&gt;"",countif('5) Release_Track'!$G:$G,$B823)=0),"NO CATALOG ID MATCH in Release_Track",iserror(vlookup($A823&amp;$B823,'5) Release_Track'!$F:$F&amp;'5) Release_Track'!$G:$G,1,0)),"NO ISRC-CATALOG ID pair MATCH in Release_Track" )</f>
        <v/>
      </c>
      <c r="D823" s="121" t="str">
        <f t="array" ref="D823">ifs(and(isblank($A823),isblank($B823)),"", not(iserror(vlookup($A823&amp;$B823,'5) Release_Track'!$F:$F&amp;'5) Release_Track'!$G:$G,1,0))),vlookup($A823&amp;$B823,{'5) Release_Track'!$F:$F&amp;'5) Release_Track'!$G:$G,'5) Release_Track'!$I:$I},2,0), or(and(not(isblank($B823)),$B823=$B822,$A823&lt;&gt;$A822),and(not(isblank($A823)),$A823=$A822,$B823&lt;&gt;$B822)),"ID LISTS UNALIGNED",and($A823&lt;&gt;"",countif('5) Release_Track'!$F:$F,$A823)=0),"NO ISRC MATCH in Release_Track",and($B823&lt;&gt;"",countif('5) Release_Track'!$G:$G,$B823)=0),"NO CATALOG ID MATCH in Release_Track",iserror(vlookup($A823&amp;$B823,'5) Release_Track'!$F:$F&amp;'5) Release_Track'!$G:$G,1,0)),"NO ISRC-CATALOG ID pair MATCH in Release_Track" )</f>
        <v/>
      </c>
      <c r="E823" s="125" t="str">
        <f t="array" ref="E823">ifs(and(isblank($A823),isblank($B823)),"", not(iserror(vlookup($A823&amp;$B823,'5) Release_Track'!$F:$F&amp;'5) Release_Track'!$G:$G,1,0))),vlookup($A823&amp;$B823,{'5) Release_Track'!$F:$F&amp;'5) Release_Track'!$G:$G,'5) Release_Track'!$J:$J},2,0), or(and(not(isblank($B823)),$B823=$B822,$A823&lt;&gt;$A822),and(not(isblank($A823)),$A823=$A822,$B823&lt;&gt;$B822)),"ID LISTS UNALIGNED",and($A823&lt;&gt;"",countif('5) Release_Track'!$F:$F,$A823)=0),"NO ISRC MATCH in Release_Track",and($B823&lt;&gt;"",countif('5) Release_Track'!$G:$G,$B823)=0),"NO CATALOG ID MATCH in Release_Track",iserror(vlookup($A823&amp;$B823,'5) Release_Track'!$F:$F&amp;'5) Release_Track'!$G:$G,1,0)),"NO ISRC-CATALOG ID pair MATCH in Release_Track" )</f>
        <v/>
      </c>
      <c r="F823" s="122"/>
      <c r="G823" s="99"/>
      <c r="H823" s="178"/>
      <c r="I823" s="121" t="str">
        <f t="shared" si="6"/>
        <v/>
      </c>
      <c r="J823" s="99"/>
      <c r="K823" s="99"/>
    </row>
    <row r="824">
      <c r="B824" s="103"/>
      <c r="C824" s="121" t="str">
        <f t="array" ref="C824">ifs(and(isblank($A824),isblank($B824)),"", not(iserror(vlookup($A824&amp;$B824,'5) Release_Track'!$F:$F&amp;'5) Release_Track'!$G:$G,1,0))),vlookup($A824&amp;$B824,{'5) Release_Track'!$F:$F&amp;'5) Release_Track'!$G:$G,'5) Release_Track'!$H:$H},2,0), or(and(not(isblank($B824)),$B824=$B823,$A824&lt;&gt;$A823),and(not(isblank($A824)),$A824=$A823,$B824&lt;&gt;$B823)),"ID LISTS UNALIGNED",and($A824&lt;&gt;"",countif('5) Release_Track'!$F:$F,$A824)=0),"NO ISRC MATCH in Release_Track",and($B824&lt;&gt;"",countif('5) Release_Track'!$G:$G,$B824)=0),"NO CATALOG ID MATCH in Release_Track",iserror(vlookup($A824&amp;$B824,'5) Release_Track'!$F:$F&amp;'5) Release_Track'!$G:$G,1,0)),"NO ISRC-CATALOG ID pair MATCH in Release_Track" )</f>
        <v/>
      </c>
      <c r="D824" s="121" t="str">
        <f t="array" ref="D824">ifs(and(isblank($A824),isblank($B824)),"", not(iserror(vlookup($A824&amp;$B824,'5) Release_Track'!$F:$F&amp;'5) Release_Track'!$G:$G,1,0))),vlookup($A824&amp;$B824,{'5) Release_Track'!$F:$F&amp;'5) Release_Track'!$G:$G,'5) Release_Track'!$I:$I},2,0), or(and(not(isblank($B824)),$B824=$B823,$A824&lt;&gt;$A823),and(not(isblank($A824)),$A824=$A823,$B824&lt;&gt;$B823)),"ID LISTS UNALIGNED",and($A824&lt;&gt;"",countif('5) Release_Track'!$F:$F,$A824)=0),"NO ISRC MATCH in Release_Track",and($B824&lt;&gt;"",countif('5) Release_Track'!$G:$G,$B824)=0),"NO CATALOG ID MATCH in Release_Track",iserror(vlookup($A824&amp;$B824,'5) Release_Track'!$F:$F&amp;'5) Release_Track'!$G:$G,1,0)),"NO ISRC-CATALOG ID pair MATCH in Release_Track" )</f>
        <v/>
      </c>
      <c r="E824" s="125" t="str">
        <f t="array" ref="E824">ifs(and(isblank($A824),isblank($B824)),"", not(iserror(vlookup($A824&amp;$B824,'5) Release_Track'!$F:$F&amp;'5) Release_Track'!$G:$G,1,0))),vlookup($A824&amp;$B824,{'5) Release_Track'!$F:$F&amp;'5) Release_Track'!$G:$G,'5) Release_Track'!$J:$J},2,0), or(and(not(isblank($B824)),$B824=$B823,$A824&lt;&gt;$A823),and(not(isblank($A824)),$A824=$A823,$B824&lt;&gt;$B823)),"ID LISTS UNALIGNED",and($A824&lt;&gt;"",countif('5) Release_Track'!$F:$F,$A824)=0),"NO ISRC MATCH in Release_Track",and($B824&lt;&gt;"",countif('5) Release_Track'!$G:$G,$B824)=0),"NO CATALOG ID MATCH in Release_Track",iserror(vlookup($A824&amp;$B824,'5) Release_Track'!$F:$F&amp;'5) Release_Track'!$G:$G,1,0)),"NO ISRC-CATALOG ID pair MATCH in Release_Track" )</f>
        <v/>
      </c>
      <c r="F824" s="122"/>
      <c r="G824" s="99"/>
      <c r="H824" s="178"/>
      <c r="I824" s="121" t="str">
        <f t="shared" si="6"/>
        <v/>
      </c>
      <c r="J824" s="99"/>
      <c r="K824" s="99"/>
    </row>
    <row r="825">
      <c r="B825" s="103"/>
      <c r="C825" s="121" t="str">
        <f t="array" ref="C825">ifs(and(isblank($A825),isblank($B825)),"", not(iserror(vlookup($A825&amp;$B825,'5) Release_Track'!$F:$F&amp;'5) Release_Track'!$G:$G,1,0))),vlookup($A825&amp;$B825,{'5) Release_Track'!$F:$F&amp;'5) Release_Track'!$G:$G,'5) Release_Track'!$H:$H},2,0), or(and(not(isblank($B825)),$B825=$B824,$A825&lt;&gt;$A824),and(not(isblank($A825)),$A825=$A824,$B825&lt;&gt;$B824)),"ID LISTS UNALIGNED",and($A825&lt;&gt;"",countif('5) Release_Track'!$F:$F,$A825)=0),"NO ISRC MATCH in Release_Track",and($B825&lt;&gt;"",countif('5) Release_Track'!$G:$G,$B825)=0),"NO CATALOG ID MATCH in Release_Track",iserror(vlookup($A825&amp;$B825,'5) Release_Track'!$F:$F&amp;'5) Release_Track'!$G:$G,1,0)),"NO ISRC-CATALOG ID pair MATCH in Release_Track" )</f>
        <v/>
      </c>
      <c r="D825" s="121" t="str">
        <f t="array" ref="D825">ifs(and(isblank($A825),isblank($B825)),"", not(iserror(vlookup($A825&amp;$B825,'5) Release_Track'!$F:$F&amp;'5) Release_Track'!$G:$G,1,0))),vlookup($A825&amp;$B825,{'5) Release_Track'!$F:$F&amp;'5) Release_Track'!$G:$G,'5) Release_Track'!$I:$I},2,0), or(and(not(isblank($B825)),$B825=$B824,$A825&lt;&gt;$A824),and(not(isblank($A825)),$A825=$A824,$B825&lt;&gt;$B824)),"ID LISTS UNALIGNED",and($A825&lt;&gt;"",countif('5) Release_Track'!$F:$F,$A825)=0),"NO ISRC MATCH in Release_Track",and($B825&lt;&gt;"",countif('5) Release_Track'!$G:$G,$B825)=0),"NO CATALOG ID MATCH in Release_Track",iserror(vlookup($A825&amp;$B825,'5) Release_Track'!$F:$F&amp;'5) Release_Track'!$G:$G,1,0)),"NO ISRC-CATALOG ID pair MATCH in Release_Track" )</f>
        <v/>
      </c>
      <c r="E825" s="125" t="str">
        <f t="array" ref="E825">ifs(and(isblank($A825),isblank($B825)),"", not(iserror(vlookup($A825&amp;$B825,'5) Release_Track'!$F:$F&amp;'5) Release_Track'!$G:$G,1,0))),vlookup($A825&amp;$B825,{'5) Release_Track'!$F:$F&amp;'5) Release_Track'!$G:$G,'5) Release_Track'!$J:$J},2,0), or(and(not(isblank($B825)),$B825=$B824,$A825&lt;&gt;$A824),and(not(isblank($A825)),$A825=$A824,$B825&lt;&gt;$B824)),"ID LISTS UNALIGNED",and($A825&lt;&gt;"",countif('5) Release_Track'!$F:$F,$A825)=0),"NO ISRC MATCH in Release_Track",and($B825&lt;&gt;"",countif('5) Release_Track'!$G:$G,$B825)=0),"NO CATALOG ID MATCH in Release_Track",iserror(vlookup($A825&amp;$B825,'5) Release_Track'!$F:$F&amp;'5) Release_Track'!$G:$G,1,0)),"NO ISRC-CATALOG ID pair MATCH in Release_Track" )</f>
        <v/>
      </c>
      <c r="F825" s="122"/>
      <c r="G825" s="99"/>
      <c r="H825" s="178"/>
      <c r="I825" s="121" t="str">
        <f t="shared" si="6"/>
        <v/>
      </c>
      <c r="J825" s="99"/>
      <c r="K825" s="99"/>
    </row>
    <row r="826">
      <c r="B826" s="103"/>
      <c r="C826" s="121" t="str">
        <f t="array" ref="C826">ifs(and(isblank($A826),isblank($B826)),"", not(iserror(vlookup($A826&amp;$B826,'5) Release_Track'!$F:$F&amp;'5) Release_Track'!$G:$G,1,0))),vlookup($A826&amp;$B826,{'5) Release_Track'!$F:$F&amp;'5) Release_Track'!$G:$G,'5) Release_Track'!$H:$H},2,0), or(and(not(isblank($B826)),$B826=$B825,$A826&lt;&gt;$A825),and(not(isblank($A826)),$A826=$A825,$B826&lt;&gt;$B825)),"ID LISTS UNALIGNED",and($A826&lt;&gt;"",countif('5) Release_Track'!$F:$F,$A826)=0),"NO ISRC MATCH in Release_Track",and($B826&lt;&gt;"",countif('5) Release_Track'!$G:$G,$B826)=0),"NO CATALOG ID MATCH in Release_Track",iserror(vlookup($A826&amp;$B826,'5) Release_Track'!$F:$F&amp;'5) Release_Track'!$G:$G,1,0)),"NO ISRC-CATALOG ID pair MATCH in Release_Track" )</f>
        <v/>
      </c>
      <c r="D826" s="121" t="str">
        <f t="array" ref="D826">ifs(and(isblank($A826),isblank($B826)),"", not(iserror(vlookup($A826&amp;$B826,'5) Release_Track'!$F:$F&amp;'5) Release_Track'!$G:$G,1,0))),vlookup($A826&amp;$B826,{'5) Release_Track'!$F:$F&amp;'5) Release_Track'!$G:$G,'5) Release_Track'!$I:$I},2,0), or(and(not(isblank($B826)),$B826=$B825,$A826&lt;&gt;$A825),and(not(isblank($A826)),$A826=$A825,$B826&lt;&gt;$B825)),"ID LISTS UNALIGNED",and($A826&lt;&gt;"",countif('5) Release_Track'!$F:$F,$A826)=0),"NO ISRC MATCH in Release_Track",and($B826&lt;&gt;"",countif('5) Release_Track'!$G:$G,$B826)=0),"NO CATALOG ID MATCH in Release_Track",iserror(vlookup($A826&amp;$B826,'5) Release_Track'!$F:$F&amp;'5) Release_Track'!$G:$G,1,0)),"NO ISRC-CATALOG ID pair MATCH in Release_Track" )</f>
        <v/>
      </c>
      <c r="E826" s="125" t="str">
        <f t="array" ref="E826">ifs(and(isblank($A826),isblank($B826)),"", not(iserror(vlookup($A826&amp;$B826,'5) Release_Track'!$F:$F&amp;'5) Release_Track'!$G:$G,1,0))),vlookup($A826&amp;$B826,{'5) Release_Track'!$F:$F&amp;'5) Release_Track'!$G:$G,'5) Release_Track'!$J:$J},2,0), or(and(not(isblank($B826)),$B826=$B825,$A826&lt;&gt;$A825),and(not(isblank($A826)),$A826=$A825,$B826&lt;&gt;$B825)),"ID LISTS UNALIGNED",and($A826&lt;&gt;"",countif('5) Release_Track'!$F:$F,$A826)=0),"NO ISRC MATCH in Release_Track",and($B826&lt;&gt;"",countif('5) Release_Track'!$G:$G,$B826)=0),"NO CATALOG ID MATCH in Release_Track",iserror(vlookup($A826&amp;$B826,'5) Release_Track'!$F:$F&amp;'5) Release_Track'!$G:$G,1,0)),"NO ISRC-CATALOG ID pair MATCH in Release_Track" )</f>
        <v/>
      </c>
      <c r="F826" s="122"/>
      <c r="G826" s="99"/>
      <c r="H826" s="178"/>
      <c r="I826" s="121" t="str">
        <f t="shared" si="6"/>
        <v/>
      </c>
      <c r="J826" s="99"/>
      <c r="K826" s="99"/>
    </row>
    <row r="827">
      <c r="B827" s="103"/>
      <c r="C827" s="121" t="str">
        <f t="array" ref="C827">ifs(and(isblank($A827),isblank($B827)),"", not(iserror(vlookup($A827&amp;$B827,'5) Release_Track'!$F:$F&amp;'5) Release_Track'!$G:$G,1,0))),vlookup($A827&amp;$B827,{'5) Release_Track'!$F:$F&amp;'5) Release_Track'!$G:$G,'5) Release_Track'!$H:$H},2,0), or(and(not(isblank($B827)),$B827=$B826,$A827&lt;&gt;$A826),and(not(isblank($A827)),$A827=$A826,$B827&lt;&gt;$B826)),"ID LISTS UNALIGNED",and($A827&lt;&gt;"",countif('5) Release_Track'!$F:$F,$A827)=0),"NO ISRC MATCH in Release_Track",and($B827&lt;&gt;"",countif('5) Release_Track'!$G:$G,$B827)=0),"NO CATALOG ID MATCH in Release_Track",iserror(vlookup($A827&amp;$B827,'5) Release_Track'!$F:$F&amp;'5) Release_Track'!$G:$G,1,0)),"NO ISRC-CATALOG ID pair MATCH in Release_Track" )</f>
        <v/>
      </c>
      <c r="D827" s="121" t="str">
        <f t="array" ref="D827">ifs(and(isblank($A827),isblank($B827)),"", not(iserror(vlookup($A827&amp;$B827,'5) Release_Track'!$F:$F&amp;'5) Release_Track'!$G:$G,1,0))),vlookup($A827&amp;$B827,{'5) Release_Track'!$F:$F&amp;'5) Release_Track'!$G:$G,'5) Release_Track'!$I:$I},2,0), or(and(not(isblank($B827)),$B827=$B826,$A827&lt;&gt;$A826),and(not(isblank($A827)),$A827=$A826,$B827&lt;&gt;$B826)),"ID LISTS UNALIGNED",and($A827&lt;&gt;"",countif('5) Release_Track'!$F:$F,$A827)=0),"NO ISRC MATCH in Release_Track",and($B827&lt;&gt;"",countif('5) Release_Track'!$G:$G,$B827)=0),"NO CATALOG ID MATCH in Release_Track",iserror(vlookup($A827&amp;$B827,'5) Release_Track'!$F:$F&amp;'5) Release_Track'!$G:$G,1,0)),"NO ISRC-CATALOG ID pair MATCH in Release_Track" )</f>
        <v/>
      </c>
      <c r="E827" s="125" t="str">
        <f t="array" ref="E827">ifs(and(isblank($A827),isblank($B827)),"", not(iserror(vlookup($A827&amp;$B827,'5) Release_Track'!$F:$F&amp;'5) Release_Track'!$G:$G,1,0))),vlookup($A827&amp;$B827,{'5) Release_Track'!$F:$F&amp;'5) Release_Track'!$G:$G,'5) Release_Track'!$J:$J},2,0), or(and(not(isblank($B827)),$B827=$B826,$A827&lt;&gt;$A826),and(not(isblank($A827)),$A827=$A826,$B827&lt;&gt;$B826)),"ID LISTS UNALIGNED",and($A827&lt;&gt;"",countif('5) Release_Track'!$F:$F,$A827)=0),"NO ISRC MATCH in Release_Track",and($B827&lt;&gt;"",countif('5) Release_Track'!$G:$G,$B827)=0),"NO CATALOG ID MATCH in Release_Track",iserror(vlookup($A827&amp;$B827,'5) Release_Track'!$F:$F&amp;'5) Release_Track'!$G:$G,1,0)),"NO ISRC-CATALOG ID pair MATCH in Release_Track" )</f>
        <v/>
      </c>
      <c r="F827" s="122"/>
      <c r="G827" s="99"/>
      <c r="H827" s="178"/>
      <c r="I827" s="121" t="str">
        <f t="shared" si="6"/>
        <v/>
      </c>
      <c r="J827" s="99"/>
      <c r="K827" s="99"/>
    </row>
    <row r="828">
      <c r="B828" s="103"/>
      <c r="C828" s="121" t="str">
        <f t="array" ref="C828">ifs(and(isblank($A828),isblank($B828)),"", not(iserror(vlookup($A828&amp;$B828,'5) Release_Track'!$F:$F&amp;'5) Release_Track'!$G:$G,1,0))),vlookup($A828&amp;$B828,{'5) Release_Track'!$F:$F&amp;'5) Release_Track'!$G:$G,'5) Release_Track'!$H:$H},2,0), or(and(not(isblank($B828)),$B828=$B827,$A828&lt;&gt;$A827),and(not(isblank($A828)),$A828=$A827,$B828&lt;&gt;$B827)),"ID LISTS UNALIGNED",and($A828&lt;&gt;"",countif('5) Release_Track'!$F:$F,$A828)=0),"NO ISRC MATCH in Release_Track",and($B828&lt;&gt;"",countif('5) Release_Track'!$G:$G,$B828)=0),"NO CATALOG ID MATCH in Release_Track",iserror(vlookup($A828&amp;$B828,'5) Release_Track'!$F:$F&amp;'5) Release_Track'!$G:$G,1,0)),"NO ISRC-CATALOG ID pair MATCH in Release_Track" )</f>
        <v/>
      </c>
      <c r="D828" s="121" t="str">
        <f t="array" ref="D828">ifs(and(isblank($A828),isblank($B828)),"", not(iserror(vlookup($A828&amp;$B828,'5) Release_Track'!$F:$F&amp;'5) Release_Track'!$G:$G,1,0))),vlookup($A828&amp;$B828,{'5) Release_Track'!$F:$F&amp;'5) Release_Track'!$G:$G,'5) Release_Track'!$I:$I},2,0), or(and(not(isblank($B828)),$B828=$B827,$A828&lt;&gt;$A827),and(not(isblank($A828)),$A828=$A827,$B828&lt;&gt;$B827)),"ID LISTS UNALIGNED",and($A828&lt;&gt;"",countif('5) Release_Track'!$F:$F,$A828)=0),"NO ISRC MATCH in Release_Track",and($B828&lt;&gt;"",countif('5) Release_Track'!$G:$G,$B828)=0),"NO CATALOG ID MATCH in Release_Track",iserror(vlookup($A828&amp;$B828,'5) Release_Track'!$F:$F&amp;'5) Release_Track'!$G:$G,1,0)),"NO ISRC-CATALOG ID pair MATCH in Release_Track" )</f>
        <v/>
      </c>
      <c r="E828" s="125" t="str">
        <f t="array" ref="E828">ifs(and(isblank($A828),isblank($B828)),"", not(iserror(vlookup($A828&amp;$B828,'5) Release_Track'!$F:$F&amp;'5) Release_Track'!$G:$G,1,0))),vlookup($A828&amp;$B828,{'5) Release_Track'!$F:$F&amp;'5) Release_Track'!$G:$G,'5) Release_Track'!$J:$J},2,0), or(and(not(isblank($B828)),$B828=$B827,$A828&lt;&gt;$A827),and(not(isblank($A828)),$A828=$A827,$B828&lt;&gt;$B827)),"ID LISTS UNALIGNED",and($A828&lt;&gt;"",countif('5) Release_Track'!$F:$F,$A828)=0),"NO ISRC MATCH in Release_Track",and($B828&lt;&gt;"",countif('5) Release_Track'!$G:$G,$B828)=0),"NO CATALOG ID MATCH in Release_Track",iserror(vlookup($A828&amp;$B828,'5) Release_Track'!$F:$F&amp;'5) Release_Track'!$G:$G,1,0)),"NO ISRC-CATALOG ID pair MATCH in Release_Track" )</f>
        <v/>
      </c>
      <c r="F828" s="122"/>
      <c r="G828" s="99"/>
      <c r="H828" s="178"/>
      <c r="I828" s="121" t="str">
        <f t="shared" si="6"/>
        <v/>
      </c>
      <c r="J828" s="99"/>
      <c r="K828" s="99"/>
    </row>
    <row r="829">
      <c r="B829" s="103"/>
      <c r="C829" s="121" t="str">
        <f t="array" ref="C829">ifs(and(isblank($A829),isblank($B829)),"", not(iserror(vlookup($A829&amp;$B829,'5) Release_Track'!$F:$F&amp;'5) Release_Track'!$G:$G,1,0))),vlookup($A829&amp;$B829,{'5) Release_Track'!$F:$F&amp;'5) Release_Track'!$G:$G,'5) Release_Track'!$H:$H},2,0), or(and(not(isblank($B829)),$B829=$B828,$A829&lt;&gt;$A828),and(not(isblank($A829)),$A829=$A828,$B829&lt;&gt;$B828)),"ID LISTS UNALIGNED",and($A829&lt;&gt;"",countif('5) Release_Track'!$F:$F,$A829)=0),"NO ISRC MATCH in Release_Track",and($B829&lt;&gt;"",countif('5) Release_Track'!$G:$G,$B829)=0),"NO CATALOG ID MATCH in Release_Track",iserror(vlookup($A829&amp;$B829,'5) Release_Track'!$F:$F&amp;'5) Release_Track'!$G:$G,1,0)),"NO ISRC-CATALOG ID pair MATCH in Release_Track" )</f>
        <v/>
      </c>
      <c r="D829" s="121" t="str">
        <f t="array" ref="D829">ifs(and(isblank($A829),isblank($B829)),"", not(iserror(vlookup($A829&amp;$B829,'5) Release_Track'!$F:$F&amp;'5) Release_Track'!$G:$G,1,0))),vlookup($A829&amp;$B829,{'5) Release_Track'!$F:$F&amp;'5) Release_Track'!$G:$G,'5) Release_Track'!$I:$I},2,0), or(and(not(isblank($B829)),$B829=$B828,$A829&lt;&gt;$A828),and(not(isblank($A829)),$A829=$A828,$B829&lt;&gt;$B828)),"ID LISTS UNALIGNED",and($A829&lt;&gt;"",countif('5) Release_Track'!$F:$F,$A829)=0),"NO ISRC MATCH in Release_Track",and($B829&lt;&gt;"",countif('5) Release_Track'!$G:$G,$B829)=0),"NO CATALOG ID MATCH in Release_Track",iserror(vlookup($A829&amp;$B829,'5) Release_Track'!$F:$F&amp;'5) Release_Track'!$G:$G,1,0)),"NO ISRC-CATALOG ID pair MATCH in Release_Track" )</f>
        <v/>
      </c>
      <c r="E829" s="125" t="str">
        <f t="array" ref="E829">ifs(and(isblank($A829),isblank($B829)),"", not(iserror(vlookup($A829&amp;$B829,'5) Release_Track'!$F:$F&amp;'5) Release_Track'!$G:$G,1,0))),vlookup($A829&amp;$B829,{'5) Release_Track'!$F:$F&amp;'5) Release_Track'!$G:$G,'5) Release_Track'!$J:$J},2,0), or(and(not(isblank($B829)),$B829=$B828,$A829&lt;&gt;$A828),and(not(isblank($A829)),$A829=$A828,$B829&lt;&gt;$B828)),"ID LISTS UNALIGNED",and($A829&lt;&gt;"",countif('5) Release_Track'!$F:$F,$A829)=0),"NO ISRC MATCH in Release_Track",and($B829&lt;&gt;"",countif('5) Release_Track'!$G:$G,$B829)=0),"NO CATALOG ID MATCH in Release_Track",iserror(vlookup($A829&amp;$B829,'5) Release_Track'!$F:$F&amp;'5) Release_Track'!$G:$G,1,0)),"NO ISRC-CATALOG ID pair MATCH in Release_Track" )</f>
        <v/>
      </c>
      <c r="F829" s="122"/>
      <c r="G829" s="99"/>
      <c r="H829" s="178"/>
      <c r="I829" s="121" t="str">
        <f t="shared" si="6"/>
        <v/>
      </c>
      <c r="J829" s="99"/>
      <c r="K829" s="99"/>
    </row>
    <row r="830">
      <c r="B830" s="103"/>
      <c r="C830" s="121" t="str">
        <f t="array" ref="C830">ifs(and(isblank($A830),isblank($B830)),"", not(iserror(vlookup($A830&amp;$B830,'5) Release_Track'!$F:$F&amp;'5) Release_Track'!$G:$G,1,0))),vlookup($A830&amp;$B830,{'5) Release_Track'!$F:$F&amp;'5) Release_Track'!$G:$G,'5) Release_Track'!$H:$H},2,0), or(and(not(isblank($B830)),$B830=$B829,$A830&lt;&gt;$A829),and(not(isblank($A830)),$A830=$A829,$B830&lt;&gt;$B829)),"ID LISTS UNALIGNED",and($A830&lt;&gt;"",countif('5) Release_Track'!$F:$F,$A830)=0),"NO ISRC MATCH in Release_Track",and($B830&lt;&gt;"",countif('5) Release_Track'!$G:$G,$B830)=0),"NO CATALOG ID MATCH in Release_Track",iserror(vlookup($A830&amp;$B830,'5) Release_Track'!$F:$F&amp;'5) Release_Track'!$G:$G,1,0)),"NO ISRC-CATALOG ID pair MATCH in Release_Track" )</f>
        <v/>
      </c>
      <c r="D830" s="121" t="str">
        <f t="array" ref="D830">ifs(and(isblank($A830),isblank($B830)),"", not(iserror(vlookup($A830&amp;$B830,'5) Release_Track'!$F:$F&amp;'5) Release_Track'!$G:$G,1,0))),vlookup($A830&amp;$B830,{'5) Release_Track'!$F:$F&amp;'5) Release_Track'!$G:$G,'5) Release_Track'!$I:$I},2,0), or(and(not(isblank($B830)),$B830=$B829,$A830&lt;&gt;$A829),and(not(isblank($A830)),$A830=$A829,$B830&lt;&gt;$B829)),"ID LISTS UNALIGNED",and($A830&lt;&gt;"",countif('5) Release_Track'!$F:$F,$A830)=0),"NO ISRC MATCH in Release_Track",and($B830&lt;&gt;"",countif('5) Release_Track'!$G:$G,$B830)=0),"NO CATALOG ID MATCH in Release_Track",iserror(vlookup($A830&amp;$B830,'5) Release_Track'!$F:$F&amp;'5) Release_Track'!$G:$G,1,0)),"NO ISRC-CATALOG ID pair MATCH in Release_Track" )</f>
        <v/>
      </c>
      <c r="E830" s="125" t="str">
        <f t="array" ref="E830">ifs(and(isblank($A830),isblank($B830)),"", not(iserror(vlookup($A830&amp;$B830,'5) Release_Track'!$F:$F&amp;'5) Release_Track'!$G:$G,1,0))),vlookup($A830&amp;$B830,{'5) Release_Track'!$F:$F&amp;'5) Release_Track'!$G:$G,'5) Release_Track'!$J:$J},2,0), or(and(not(isblank($B830)),$B830=$B829,$A830&lt;&gt;$A829),and(not(isblank($A830)),$A830=$A829,$B830&lt;&gt;$B829)),"ID LISTS UNALIGNED",and($A830&lt;&gt;"",countif('5) Release_Track'!$F:$F,$A830)=0),"NO ISRC MATCH in Release_Track",and($B830&lt;&gt;"",countif('5) Release_Track'!$G:$G,$B830)=0),"NO CATALOG ID MATCH in Release_Track",iserror(vlookup($A830&amp;$B830,'5) Release_Track'!$F:$F&amp;'5) Release_Track'!$G:$G,1,0)),"NO ISRC-CATALOG ID pair MATCH in Release_Track" )</f>
        <v/>
      </c>
      <c r="F830" s="122"/>
      <c r="G830" s="99"/>
      <c r="H830" s="178"/>
      <c r="I830" s="121" t="str">
        <f t="shared" si="6"/>
        <v/>
      </c>
      <c r="J830" s="99"/>
      <c r="K830" s="99"/>
    </row>
    <row r="831">
      <c r="B831" s="103"/>
      <c r="C831" s="121" t="str">
        <f t="array" ref="C831">ifs(and(isblank($A831),isblank($B831)),"", not(iserror(vlookup($A831&amp;$B831,'5) Release_Track'!$F:$F&amp;'5) Release_Track'!$G:$G,1,0))),vlookup($A831&amp;$B831,{'5) Release_Track'!$F:$F&amp;'5) Release_Track'!$G:$G,'5) Release_Track'!$H:$H},2,0), or(and(not(isblank($B831)),$B831=$B830,$A831&lt;&gt;$A830),and(not(isblank($A831)),$A831=$A830,$B831&lt;&gt;$B830)),"ID LISTS UNALIGNED",and($A831&lt;&gt;"",countif('5) Release_Track'!$F:$F,$A831)=0),"NO ISRC MATCH in Release_Track",and($B831&lt;&gt;"",countif('5) Release_Track'!$G:$G,$B831)=0),"NO CATALOG ID MATCH in Release_Track",iserror(vlookup($A831&amp;$B831,'5) Release_Track'!$F:$F&amp;'5) Release_Track'!$G:$G,1,0)),"NO ISRC-CATALOG ID pair MATCH in Release_Track" )</f>
        <v/>
      </c>
      <c r="D831" s="121" t="str">
        <f t="array" ref="D831">ifs(and(isblank($A831),isblank($B831)),"", not(iserror(vlookup($A831&amp;$B831,'5) Release_Track'!$F:$F&amp;'5) Release_Track'!$G:$G,1,0))),vlookup($A831&amp;$B831,{'5) Release_Track'!$F:$F&amp;'5) Release_Track'!$G:$G,'5) Release_Track'!$I:$I},2,0), or(and(not(isblank($B831)),$B831=$B830,$A831&lt;&gt;$A830),and(not(isblank($A831)),$A831=$A830,$B831&lt;&gt;$B830)),"ID LISTS UNALIGNED",and($A831&lt;&gt;"",countif('5) Release_Track'!$F:$F,$A831)=0),"NO ISRC MATCH in Release_Track",and($B831&lt;&gt;"",countif('5) Release_Track'!$G:$G,$B831)=0),"NO CATALOG ID MATCH in Release_Track",iserror(vlookup($A831&amp;$B831,'5) Release_Track'!$F:$F&amp;'5) Release_Track'!$G:$G,1,0)),"NO ISRC-CATALOG ID pair MATCH in Release_Track" )</f>
        <v/>
      </c>
      <c r="E831" s="125" t="str">
        <f t="array" ref="E831">ifs(and(isblank($A831),isblank($B831)),"", not(iserror(vlookup($A831&amp;$B831,'5) Release_Track'!$F:$F&amp;'5) Release_Track'!$G:$G,1,0))),vlookup($A831&amp;$B831,{'5) Release_Track'!$F:$F&amp;'5) Release_Track'!$G:$G,'5) Release_Track'!$J:$J},2,0), or(and(not(isblank($B831)),$B831=$B830,$A831&lt;&gt;$A830),and(not(isblank($A831)),$A831=$A830,$B831&lt;&gt;$B830)),"ID LISTS UNALIGNED",and($A831&lt;&gt;"",countif('5) Release_Track'!$F:$F,$A831)=0),"NO ISRC MATCH in Release_Track",and($B831&lt;&gt;"",countif('5) Release_Track'!$G:$G,$B831)=0),"NO CATALOG ID MATCH in Release_Track",iserror(vlookup($A831&amp;$B831,'5) Release_Track'!$F:$F&amp;'5) Release_Track'!$G:$G,1,0)),"NO ISRC-CATALOG ID pair MATCH in Release_Track" )</f>
        <v/>
      </c>
      <c r="F831" s="122"/>
      <c r="G831" s="99"/>
      <c r="H831" s="178"/>
      <c r="I831" s="121" t="str">
        <f t="shared" si="6"/>
        <v/>
      </c>
      <c r="J831" s="99"/>
      <c r="K831" s="99"/>
    </row>
    <row r="832">
      <c r="B832" s="103"/>
      <c r="C832" s="121" t="str">
        <f t="array" ref="C832">ifs(and(isblank($A832),isblank($B832)),"", not(iserror(vlookup($A832&amp;$B832,'5) Release_Track'!$F:$F&amp;'5) Release_Track'!$G:$G,1,0))),vlookup($A832&amp;$B832,{'5) Release_Track'!$F:$F&amp;'5) Release_Track'!$G:$G,'5) Release_Track'!$H:$H},2,0), or(and(not(isblank($B832)),$B832=$B831,$A832&lt;&gt;$A831),and(not(isblank($A832)),$A832=$A831,$B832&lt;&gt;$B831)),"ID LISTS UNALIGNED",and($A832&lt;&gt;"",countif('5) Release_Track'!$F:$F,$A832)=0),"NO ISRC MATCH in Release_Track",and($B832&lt;&gt;"",countif('5) Release_Track'!$G:$G,$B832)=0),"NO CATALOG ID MATCH in Release_Track",iserror(vlookup($A832&amp;$B832,'5) Release_Track'!$F:$F&amp;'5) Release_Track'!$G:$G,1,0)),"NO ISRC-CATALOG ID pair MATCH in Release_Track" )</f>
        <v/>
      </c>
      <c r="D832" s="121" t="str">
        <f t="array" ref="D832">ifs(and(isblank($A832),isblank($B832)),"", not(iserror(vlookup($A832&amp;$B832,'5) Release_Track'!$F:$F&amp;'5) Release_Track'!$G:$G,1,0))),vlookup($A832&amp;$B832,{'5) Release_Track'!$F:$F&amp;'5) Release_Track'!$G:$G,'5) Release_Track'!$I:$I},2,0), or(and(not(isblank($B832)),$B832=$B831,$A832&lt;&gt;$A831),and(not(isblank($A832)),$A832=$A831,$B832&lt;&gt;$B831)),"ID LISTS UNALIGNED",and($A832&lt;&gt;"",countif('5) Release_Track'!$F:$F,$A832)=0),"NO ISRC MATCH in Release_Track",and($B832&lt;&gt;"",countif('5) Release_Track'!$G:$G,$B832)=0),"NO CATALOG ID MATCH in Release_Track",iserror(vlookup($A832&amp;$B832,'5) Release_Track'!$F:$F&amp;'5) Release_Track'!$G:$G,1,0)),"NO ISRC-CATALOG ID pair MATCH in Release_Track" )</f>
        <v/>
      </c>
      <c r="E832" s="125" t="str">
        <f t="array" ref="E832">ifs(and(isblank($A832),isblank($B832)),"", not(iserror(vlookup($A832&amp;$B832,'5) Release_Track'!$F:$F&amp;'5) Release_Track'!$G:$G,1,0))),vlookup($A832&amp;$B832,{'5) Release_Track'!$F:$F&amp;'5) Release_Track'!$G:$G,'5) Release_Track'!$J:$J},2,0), or(and(not(isblank($B832)),$B832=$B831,$A832&lt;&gt;$A831),and(not(isblank($A832)),$A832=$A831,$B832&lt;&gt;$B831)),"ID LISTS UNALIGNED",and($A832&lt;&gt;"",countif('5) Release_Track'!$F:$F,$A832)=0),"NO ISRC MATCH in Release_Track",and($B832&lt;&gt;"",countif('5) Release_Track'!$G:$G,$B832)=0),"NO CATALOG ID MATCH in Release_Track",iserror(vlookup($A832&amp;$B832,'5) Release_Track'!$F:$F&amp;'5) Release_Track'!$G:$G,1,0)),"NO ISRC-CATALOG ID pair MATCH in Release_Track" )</f>
        <v/>
      </c>
      <c r="F832" s="122"/>
      <c r="G832" s="99"/>
      <c r="H832" s="178"/>
      <c r="I832" s="121" t="str">
        <f t="shared" si="6"/>
        <v/>
      </c>
      <c r="J832" s="99"/>
      <c r="K832" s="99"/>
    </row>
    <row r="833">
      <c r="B833" s="103"/>
      <c r="C833" s="121" t="str">
        <f t="array" ref="C833">ifs(and(isblank($A833),isblank($B833)),"", not(iserror(vlookup($A833&amp;$B833,'5) Release_Track'!$F:$F&amp;'5) Release_Track'!$G:$G,1,0))),vlookup($A833&amp;$B833,{'5) Release_Track'!$F:$F&amp;'5) Release_Track'!$G:$G,'5) Release_Track'!$H:$H},2,0), or(and(not(isblank($B833)),$B833=$B832,$A833&lt;&gt;$A832),and(not(isblank($A833)),$A833=$A832,$B833&lt;&gt;$B832)),"ID LISTS UNALIGNED",and($A833&lt;&gt;"",countif('5) Release_Track'!$F:$F,$A833)=0),"NO ISRC MATCH in Release_Track",and($B833&lt;&gt;"",countif('5) Release_Track'!$G:$G,$B833)=0),"NO CATALOG ID MATCH in Release_Track",iserror(vlookup($A833&amp;$B833,'5) Release_Track'!$F:$F&amp;'5) Release_Track'!$G:$G,1,0)),"NO ISRC-CATALOG ID pair MATCH in Release_Track" )</f>
        <v/>
      </c>
      <c r="D833" s="121" t="str">
        <f t="array" ref="D833">ifs(and(isblank($A833),isblank($B833)),"", not(iserror(vlookup($A833&amp;$B833,'5) Release_Track'!$F:$F&amp;'5) Release_Track'!$G:$G,1,0))),vlookup($A833&amp;$B833,{'5) Release_Track'!$F:$F&amp;'5) Release_Track'!$G:$G,'5) Release_Track'!$I:$I},2,0), or(and(not(isblank($B833)),$B833=$B832,$A833&lt;&gt;$A832),and(not(isblank($A833)),$A833=$A832,$B833&lt;&gt;$B832)),"ID LISTS UNALIGNED",and($A833&lt;&gt;"",countif('5) Release_Track'!$F:$F,$A833)=0),"NO ISRC MATCH in Release_Track",and($B833&lt;&gt;"",countif('5) Release_Track'!$G:$G,$B833)=0),"NO CATALOG ID MATCH in Release_Track",iserror(vlookup($A833&amp;$B833,'5) Release_Track'!$F:$F&amp;'5) Release_Track'!$G:$G,1,0)),"NO ISRC-CATALOG ID pair MATCH in Release_Track" )</f>
        <v/>
      </c>
      <c r="E833" s="125" t="str">
        <f t="array" ref="E833">ifs(and(isblank($A833),isblank($B833)),"", not(iserror(vlookup($A833&amp;$B833,'5) Release_Track'!$F:$F&amp;'5) Release_Track'!$G:$G,1,0))),vlookup($A833&amp;$B833,{'5) Release_Track'!$F:$F&amp;'5) Release_Track'!$G:$G,'5) Release_Track'!$J:$J},2,0), or(and(not(isblank($B833)),$B833=$B832,$A833&lt;&gt;$A832),and(not(isblank($A833)),$A833=$A832,$B833&lt;&gt;$B832)),"ID LISTS UNALIGNED",and($A833&lt;&gt;"",countif('5) Release_Track'!$F:$F,$A833)=0),"NO ISRC MATCH in Release_Track",and($B833&lt;&gt;"",countif('5) Release_Track'!$G:$G,$B833)=0),"NO CATALOG ID MATCH in Release_Track",iserror(vlookup($A833&amp;$B833,'5) Release_Track'!$F:$F&amp;'5) Release_Track'!$G:$G,1,0)),"NO ISRC-CATALOG ID pair MATCH in Release_Track" )</f>
        <v/>
      </c>
      <c r="F833" s="122"/>
      <c r="G833" s="99"/>
      <c r="H833" s="178"/>
      <c r="I833" s="121" t="str">
        <f t="shared" si="6"/>
        <v/>
      </c>
      <c r="J833" s="99"/>
      <c r="K833" s="99"/>
    </row>
    <row r="834">
      <c r="B834" s="103"/>
      <c r="C834" s="121" t="str">
        <f t="array" ref="C834">ifs(and(isblank($A834),isblank($B834)),"", not(iserror(vlookup($A834&amp;$B834,'5) Release_Track'!$F:$F&amp;'5) Release_Track'!$G:$G,1,0))),vlookup($A834&amp;$B834,{'5) Release_Track'!$F:$F&amp;'5) Release_Track'!$G:$G,'5) Release_Track'!$H:$H},2,0), or(and(not(isblank($B834)),$B834=$B833,$A834&lt;&gt;$A833),and(not(isblank($A834)),$A834=$A833,$B834&lt;&gt;$B833)),"ID LISTS UNALIGNED",and($A834&lt;&gt;"",countif('5) Release_Track'!$F:$F,$A834)=0),"NO ISRC MATCH in Release_Track",and($B834&lt;&gt;"",countif('5) Release_Track'!$G:$G,$B834)=0),"NO CATALOG ID MATCH in Release_Track",iserror(vlookup($A834&amp;$B834,'5) Release_Track'!$F:$F&amp;'5) Release_Track'!$G:$G,1,0)),"NO ISRC-CATALOG ID pair MATCH in Release_Track" )</f>
        <v/>
      </c>
      <c r="D834" s="121" t="str">
        <f t="array" ref="D834">ifs(and(isblank($A834),isblank($B834)),"", not(iserror(vlookup($A834&amp;$B834,'5) Release_Track'!$F:$F&amp;'5) Release_Track'!$G:$G,1,0))),vlookup($A834&amp;$B834,{'5) Release_Track'!$F:$F&amp;'5) Release_Track'!$G:$G,'5) Release_Track'!$I:$I},2,0), or(and(not(isblank($B834)),$B834=$B833,$A834&lt;&gt;$A833),and(not(isblank($A834)),$A834=$A833,$B834&lt;&gt;$B833)),"ID LISTS UNALIGNED",and($A834&lt;&gt;"",countif('5) Release_Track'!$F:$F,$A834)=0),"NO ISRC MATCH in Release_Track",and($B834&lt;&gt;"",countif('5) Release_Track'!$G:$G,$B834)=0),"NO CATALOG ID MATCH in Release_Track",iserror(vlookup($A834&amp;$B834,'5) Release_Track'!$F:$F&amp;'5) Release_Track'!$G:$G,1,0)),"NO ISRC-CATALOG ID pair MATCH in Release_Track" )</f>
        <v/>
      </c>
      <c r="E834" s="125" t="str">
        <f t="array" ref="E834">ifs(and(isblank($A834),isblank($B834)),"", not(iserror(vlookup($A834&amp;$B834,'5) Release_Track'!$F:$F&amp;'5) Release_Track'!$G:$G,1,0))),vlookup($A834&amp;$B834,{'5) Release_Track'!$F:$F&amp;'5) Release_Track'!$G:$G,'5) Release_Track'!$J:$J},2,0), or(and(not(isblank($B834)),$B834=$B833,$A834&lt;&gt;$A833),and(not(isblank($A834)),$A834=$A833,$B834&lt;&gt;$B833)),"ID LISTS UNALIGNED",and($A834&lt;&gt;"",countif('5) Release_Track'!$F:$F,$A834)=0),"NO ISRC MATCH in Release_Track",and($B834&lt;&gt;"",countif('5) Release_Track'!$G:$G,$B834)=0),"NO CATALOG ID MATCH in Release_Track",iserror(vlookup($A834&amp;$B834,'5) Release_Track'!$F:$F&amp;'5) Release_Track'!$G:$G,1,0)),"NO ISRC-CATALOG ID pair MATCH in Release_Track" )</f>
        <v/>
      </c>
      <c r="F834" s="122"/>
      <c r="G834" s="99"/>
      <c r="H834" s="178"/>
      <c r="I834" s="121" t="str">
        <f t="shared" si="6"/>
        <v/>
      </c>
      <c r="J834" s="99"/>
      <c r="K834" s="99"/>
    </row>
    <row r="835">
      <c r="B835" s="103"/>
      <c r="C835" s="121" t="str">
        <f t="array" ref="C835">ifs(and(isblank($A835),isblank($B835)),"", not(iserror(vlookup($A835&amp;$B835,'5) Release_Track'!$F:$F&amp;'5) Release_Track'!$G:$G,1,0))),vlookup($A835&amp;$B835,{'5) Release_Track'!$F:$F&amp;'5) Release_Track'!$G:$G,'5) Release_Track'!$H:$H},2,0), or(and(not(isblank($B835)),$B835=$B834,$A835&lt;&gt;$A834),and(not(isblank($A835)),$A835=$A834,$B835&lt;&gt;$B834)),"ID LISTS UNALIGNED",and($A835&lt;&gt;"",countif('5) Release_Track'!$F:$F,$A835)=0),"NO ISRC MATCH in Release_Track",and($B835&lt;&gt;"",countif('5) Release_Track'!$G:$G,$B835)=0),"NO CATALOG ID MATCH in Release_Track",iserror(vlookup($A835&amp;$B835,'5) Release_Track'!$F:$F&amp;'5) Release_Track'!$G:$G,1,0)),"NO ISRC-CATALOG ID pair MATCH in Release_Track" )</f>
        <v/>
      </c>
      <c r="D835" s="121" t="str">
        <f t="array" ref="D835">ifs(and(isblank($A835),isblank($B835)),"", not(iserror(vlookup($A835&amp;$B835,'5) Release_Track'!$F:$F&amp;'5) Release_Track'!$G:$G,1,0))),vlookup($A835&amp;$B835,{'5) Release_Track'!$F:$F&amp;'5) Release_Track'!$G:$G,'5) Release_Track'!$I:$I},2,0), or(and(not(isblank($B835)),$B835=$B834,$A835&lt;&gt;$A834),and(not(isblank($A835)),$A835=$A834,$B835&lt;&gt;$B834)),"ID LISTS UNALIGNED",and($A835&lt;&gt;"",countif('5) Release_Track'!$F:$F,$A835)=0),"NO ISRC MATCH in Release_Track",and($B835&lt;&gt;"",countif('5) Release_Track'!$G:$G,$B835)=0),"NO CATALOG ID MATCH in Release_Track",iserror(vlookup($A835&amp;$B835,'5) Release_Track'!$F:$F&amp;'5) Release_Track'!$G:$G,1,0)),"NO ISRC-CATALOG ID pair MATCH in Release_Track" )</f>
        <v/>
      </c>
      <c r="E835" s="125" t="str">
        <f t="array" ref="E835">ifs(and(isblank($A835),isblank($B835)),"", not(iserror(vlookup($A835&amp;$B835,'5) Release_Track'!$F:$F&amp;'5) Release_Track'!$G:$G,1,0))),vlookup($A835&amp;$B835,{'5) Release_Track'!$F:$F&amp;'5) Release_Track'!$G:$G,'5) Release_Track'!$J:$J},2,0), or(and(not(isblank($B835)),$B835=$B834,$A835&lt;&gt;$A834),and(not(isblank($A835)),$A835=$A834,$B835&lt;&gt;$B834)),"ID LISTS UNALIGNED",and($A835&lt;&gt;"",countif('5) Release_Track'!$F:$F,$A835)=0),"NO ISRC MATCH in Release_Track",and($B835&lt;&gt;"",countif('5) Release_Track'!$G:$G,$B835)=0),"NO CATALOG ID MATCH in Release_Track",iserror(vlookup($A835&amp;$B835,'5) Release_Track'!$F:$F&amp;'5) Release_Track'!$G:$G,1,0)),"NO ISRC-CATALOG ID pair MATCH in Release_Track" )</f>
        <v/>
      </c>
      <c r="F835" s="122"/>
      <c r="G835" s="99"/>
      <c r="H835" s="178"/>
      <c r="I835" s="121" t="str">
        <f t="shared" si="6"/>
        <v/>
      </c>
      <c r="J835" s="99"/>
      <c r="K835" s="99"/>
    </row>
    <row r="836">
      <c r="B836" s="103"/>
      <c r="C836" s="121" t="str">
        <f t="array" ref="C836">ifs(and(isblank($A836),isblank($B836)),"", not(iserror(vlookup($A836&amp;$B836,'5) Release_Track'!$F:$F&amp;'5) Release_Track'!$G:$G,1,0))),vlookup($A836&amp;$B836,{'5) Release_Track'!$F:$F&amp;'5) Release_Track'!$G:$G,'5) Release_Track'!$H:$H},2,0), or(and(not(isblank($B836)),$B836=$B835,$A836&lt;&gt;$A835),and(not(isblank($A836)),$A836=$A835,$B836&lt;&gt;$B835)),"ID LISTS UNALIGNED",and($A836&lt;&gt;"",countif('5) Release_Track'!$F:$F,$A836)=0),"NO ISRC MATCH in Release_Track",and($B836&lt;&gt;"",countif('5) Release_Track'!$G:$G,$B836)=0),"NO CATALOG ID MATCH in Release_Track",iserror(vlookup($A836&amp;$B836,'5) Release_Track'!$F:$F&amp;'5) Release_Track'!$G:$G,1,0)),"NO ISRC-CATALOG ID pair MATCH in Release_Track" )</f>
        <v/>
      </c>
      <c r="D836" s="121" t="str">
        <f t="array" ref="D836">ifs(and(isblank($A836),isblank($B836)),"", not(iserror(vlookup($A836&amp;$B836,'5) Release_Track'!$F:$F&amp;'5) Release_Track'!$G:$G,1,0))),vlookup($A836&amp;$B836,{'5) Release_Track'!$F:$F&amp;'5) Release_Track'!$G:$G,'5) Release_Track'!$I:$I},2,0), or(and(not(isblank($B836)),$B836=$B835,$A836&lt;&gt;$A835),and(not(isblank($A836)),$A836=$A835,$B836&lt;&gt;$B835)),"ID LISTS UNALIGNED",and($A836&lt;&gt;"",countif('5) Release_Track'!$F:$F,$A836)=0),"NO ISRC MATCH in Release_Track",and($B836&lt;&gt;"",countif('5) Release_Track'!$G:$G,$B836)=0),"NO CATALOG ID MATCH in Release_Track",iserror(vlookup($A836&amp;$B836,'5) Release_Track'!$F:$F&amp;'5) Release_Track'!$G:$G,1,0)),"NO ISRC-CATALOG ID pair MATCH in Release_Track" )</f>
        <v/>
      </c>
      <c r="E836" s="125" t="str">
        <f t="array" ref="E836">ifs(and(isblank($A836),isblank($B836)),"", not(iserror(vlookup($A836&amp;$B836,'5) Release_Track'!$F:$F&amp;'5) Release_Track'!$G:$G,1,0))),vlookup($A836&amp;$B836,{'5) Release_Track'!$F:$F&amp;'5) Release_Track'!$G:$G,'5) Release_Track'!$J:$J},2,0), or(and(not(isblank($B836)),$B836=$B835,$A836&lt;&gt;$A835),and(not(isblank($A836)),$A836=$A835,$B836&lt;&gt;$B835)),"ID LISTS UNALIGNED",and($A836&lt;&gt;"",countif('5) Release_Track'!$F:$F,$A836)=0),"NO ISRC MATCH in Release_Track",and($B836&lt;&gt;"",countif('5) Release_Track'!$G:$G,$B836)=0),"NO CATALOG ID MATCH in Release_Track",iserror(vlookup($A836&amp;$B836,'5) Release_Track'!$F:$F&amp;'5) Release_Track'!$G:$G,1,0)),"NO ISRC-CATALOG ID pair MATCH in Release_Track" )</f>
        <v/>
      </c>
      <c r="F836" s="122"/>
      <c r="G836" s="99"/>
      <c r="H836" s="178"/>
      <c r="I836" s="121" t="str">
        <f t="shared" si="6"/>
        <v/>
      </c>
      <c r="J836" s="99"/>
      <c r="K836" s="99"/>
    </row>
    <row r="837">
      <c r="B837" s="103"/>
      <c r="C837" s="121" t="str">
        <f t="array" ref="C837">ifs(and(isblank($A837),isblank($B837)),"", not(iserror(vlookup($A837&amp;$B837,'5) Release_Track'!$F:$F&amp;'5) Release_Track'!$G:$G,1,0))),vlookup($A837&amp;$B837,{'5) Release_Track'!$F:$F&amp;'5) Release_Track'!$G:$G,'5) Release_Track'!$H:$H},2,0), or(and(not(isblank($B837)),$B837=$B836,$A837&lt;&gt;$A836),and(not(isblank($A837)),$A837=$A836,$B837&lt;&gt;$B836)),"ID LISTS UNALIGNED",and($A837&lt;&gt;"",countif('5) Release_Track'!$F:$F,$A837)=0),"NO ISRC MATCH in Release_Track",and($B837&lt;&gt;"",countif('5) Release_Track'!$G:$G,$B837)=0),"NO CATALOG ID MATCH in Release_Track",iserror(vlookup($A837&amp;$B837,'5) Release_Track'!$F:$F&amp;'5) Release_Track'!$G:$G,1,0)),"NO ISRC-CATALOG ID pair MATCH in Release_Track" )</f>
        <v/>
      </c>
      <c r="D837" s="121" t="str">
        <f t="array" ref="D837">ifs(and(isblank($A837),isblank($B837)),"", not(iserror(vlookup($A837&amp;$B837,'5) Release_Track'!$F:$F&amp;'5) Release_Track'!$G:$G,1,0))),vlookup($A837&amp;$B837,{'5) Release_Track'!$F:$F&amp;'5) Release_Track'!$G:$G,'5) Release_Track'!$I:$I},2,0), or(and(not(isblank($B837)),$B837=$B836,$A837&lt;&gt;$A836),and(not(isblank($A837)),$A837=$A836,$B837&lt;&gt;$B836)),"ID LISTS UNALIGNED",and($A837&lt;&gt;"",countif('5) Release_Track'!$F:$F,$A837)=0),"NO ISRC MATCH in Release_Track",and($B837&lt;&gt;"",countif('5) Release_Track'!$G:$G,$B837)=0),"NO CATALOG ID MATCH in Release_Track",iserror(vlookup($A837&amp;$B837,'5) Release_Track'!$F:$F&amp;'5) Release_Track'!$G:$G,1,0)),"NO ISRC-CATALOG ID pair MATCH in Release_Track" )</f>
        <v/>
      </c>
      <c r="E837" s="125" t="str">
        <f t="array" ref="E837">ifs(and(isblank($A837),isblank($B837)),"", not(iserror(vlookup($A837&amp;$B837,'5) Release_Track'!$F:$F&amp;'5) Release_Track'!$G:$G,1,0))),vlookup($A837&amp;$B837,{'5) Release_Track'!$F:$F&amp;'5) Release_Track'!$G:$G,'5) Release_Track'!$J:$J},2,0), or(and(not(isblank($B837)),$B837=$B836,$A837&lt;&gt;$A836),and(not(isblank($A837)),$A837=$A836,$B837&lt;&gt;$B836)),"ID LISTS UNALIGNED",and($A837&lt;&gt;"",countif('5) Release_Track'!$F:$F,$A837)=0),"NO ISRC MATCH in Release_Track",and($B837&lt;&gt;"",countif('5) Release_Track'!$G:$G,$B837)=0),"NO CATALOG ID MATCH in Release_Track",iserror(vlookup($A837&amp;$B837,'5) Release_Track'!$F:$F&amp;'5) Release_Track'!$G:$G,1,0)),"NO ISRC-CATALOG ID pair MATCH in Release_Track" )</f>
        <v/>
      </c>
      <c r="F837" s="122"/>
      <c r="G837" s="99"/>
      <c r="H837" s="178"/>
      <c r="I837" s="121" t="str">
        <f t="shared" si="6"/>
        <v/>
      </c>
      <c r="J837" s="99"/>
      <c r="K837" s="99"/>
    </row>
    <row r="838">
      <c r="B838" s="103"/>
      <c r="C838" s="121" t="str">
        <f t="array" ref="C838">ifs(and(isblank($A838),isblank($B838)),"", not(iserror(vlookup($A838&amp;$B838,'5) Release_Track'!$F:$F&amp;'5) Release_Track'!$G:$G,1,0))),vlookup($A838&amp;$B838,{'5) Release_Track'!$F:$F&amp;'5) Release_Track'!$G:$G,'5) Release_Track'!$H:$H},2,0), or(and(not(isblank($B838)),$B838=$B837,$A838&lt;&gt;$A837),and(not(isblank($A838)),$A838=$A837,$B838&lt;&gt;$B837)),"ID LISTS UNALIGNED",and($A838&lt;&gt;"",countif('5) Release_Track'!$F:$F,$A838)=0),"NO ISRC MATCH in Release_Track",and($B838&lt;&gt;"",countif('5) Release_Track'!$G:$G,$B838)=0),"NO CATALOG ID MATCH in Release_Track",iserror(vlookup($A838&amp;$B838,'5) Release_Track'!$F:$F&amp;'5) Release_Track'!$G:$G,1,0)),"NO ISRC-CATALOG ID pair MATCH in Release_Track" )</f>
        <v/>
      </c>
      <c r="D838" s="121" t="str">
        <f t="array" ref="D838">ifs(and(isblank($A838),isblank($B838)),"", not(iserror(vlookup($A838&amp;$B838,'5) Release_Track'!$F:$F&amp;'5) Release_Track'!$G:$G,1,0))),vlookup($A838&amp;$B838,{'5) Release_Track'!$F:$F&amp;'5) Release_Track'!$G:$G,'5) Release_Track'!$I:$I},2,0), or(and(not(isblank($B838)),$B838=$B837,$A838&lt;&gt;$A837),and(not(isblank($A838)),$A838=$A837,$B838&lt;&gt;$B837)),"ID LISTS UNALIGNED",and($A838&lt;&gt;"",countif('5) Release_Track'!$F:$F,$A838)=0),"NO ISRC MATCH in Release_Track",and($B838&lt;&gt;"",countif('5) Release_Track'!$G:$G,$B838)=0),"NO CATALOG ID MATCH in Release_Track",iserror(vlookup($A838&amp;$B838,'5) Release_Track'!$F:$F&amp;'5) Release_Track'!$G:$G,1,0)),"NO ISRC-CATALOG ID pair MATCH in Release_Track" )</f>
        <v/>
      </c>
      <c r="E838" s="125" t="str">
        <f t="array" ref="E838">ifs(and(isblank($A838),isblank($B838)),"", not(iserror(vlookup($A838&amp;$B838,'5) Release_Track'!$F:$F&amp;'5) Release_Track'!$G:$G,1,0))),vlookup($A838&amp;$B838,{'5) Release_Track'!$F:$F&amp;'5) Release_Track'!$G:$G,'5) Release_Track'!$J:$J},2,0), or(and(not(isblank($B838)),$B838=$B837,$A838&lt;&gt;$A837),and(not(isblank($A838)),$A838=$A837,$B838&lt;&gt;$B837)),"ID LISTS UNALIGNED",and($A838&lt;&gt;"",countif('5) Release_Track'!$F:$F,$A838)=0),"NO ISRC MATCH in Release_Track",and($B838&lt;&gt;"",countif('5) Release_Track'!$G:$G,$B838)=0),"NO CATALOG ID MATCH in Release_Track",iserror(vlookup($A838&amp;$B838,'5) Release_Track'!$F:$F&amp;'5) Release_Track'!$G:$G,1,0)),"NO ISRC-CATALOG ID pair MATCH in Release_Track" )</f>
        <v/>
      </c>
      <c r="F838" s="122"/>
      <c r="G838" s="99"/>
      <c r="H838" s="178"/>
      <c r="I838" s="121" t="str">
        <f t="shared" si="6"/>
        <v/>
      </c>
      <c r="J838" s="99"/>
      <c r="K838" s="99"/>
    </row>
    <row r="839">
      <c r="B839" s="103"/>
      <c r="C839" s="121" t="str">
        <f t="array" ref="C839">ifs(and(isblank($A839),isblank($B839)),"", not(iserror(vlookup($A839&amp;$B839,'5) Release_Track'!$F:$F&amp;'5) Release_Track'!$G:$G,1,0))),vlookup($A839&amp;$B839,{'5) Release_Track'!$F:$F&amp;'5) Release_Track'!$G:$G,'5) Release_Track'!$H:$H},2,0), or(and(not(isblank($B839)),$B839=$B838,$A839&lt;&gt;$A838),and(not(isblank($A839)),$A839=$A838,$B839&lt;&gt;$B838)),"ID LISTS UNALIGNED",and($A839&lt;&gt;"",countif('5) Release_Track'!$F:$F,$A839)=0),"NO ISRC MATCH in Release_Track",and($B839&lt;&gt;"",countif('5) Release_Track'!$G:$G,$B839)=0),"NO CATALOG ID MATCH in Release_Track",iserror(vlookup($A839&amp;$B839,'5) Release_Track'!$F:$F&amp;'5) Release_Track'!$G:$G,1,0)),"NO ISRC-CATALOG ID pair MATCH in Release_Track" )</f>
        <v/>
      </c>
      <c r="D839" s="121" t="str">
        <f t="array" ref="D839">ifs(and(isblank($A839),isblank($B839)),"", not(iserror(vlookup($A839&amp;$B839,'5) Release_Track'!$F:$F&amp;'5) Release_Track'!$G:$G,1,0))),vlookup($A839&amp;$B839,{'5) Release_Track'!$F:$F&amp;'5) Release_Track'!$G:$G,'5) Release_Track'!$I:$I},2,0), or(and(not(isblank($B839)),$B839=$B838,$A839&lt;&gt;$A838),and(not(isblank($A839)),$A839=$A838,$B839&lt;&gt;$B838)),"ID LISTS UNALIGNED",and($A839&lt;&gt;"",countif('5) Release_Track'!$F:$F,$A839)=0),"NO ISRC MATCH in Release_Track",and($B839&lt;&gt;"",countif('5) Release_Track'!$G:$G,$B839)=0),"NO CATALOG ID MATCH in Release_Track",iserror(vlookup($A839&amp;$B839,'5) Release_Track'!$F:$F&amp;'5) Release_Track'!$G:$G,1,0)),"NO ISRC-CATALOG ID pair MATCH in Release_Track" )</f>
        <v/>
      </c>
      <c r="E839" s="125" t="str">
        <f t="array" ref="E839">ifs(and(isblank($A839),isblank($B839)),"", not(iserror(vlookup($A839&amp;$B839,'5) Release_Track'!$F:$F&amp;'5) Release_Track'!$G:$G,1,0))),vlookup($A839&amp;$B839,{'5) Release_Track'!$F:$F&amp;'5) Release_Track'!$G:$G,'5) Release_Track'!$J:$J},2,0), or(and(not(isblank($B839)),$B839=$B838,$A839&lt;&gt;$A838),and(not(isblank($A839)),$A839=$A838,$B839&lt;&gt;$B838)),"ID LISTS UNALIGNED",and($A839&lt;&gt;"",countif('5) Release_Track'!$F:$F,$A839)=0),"NO ISRC MATCH in Release_Track",and($B839&lt;&gt;"",countif('5) Release_Track'!$G:$G,$B839)=0),"NO CATALOG ID MATCH in Release_Track",iserror(vlookup($A839&amp;$B839,'5) Release_Track'!$F:$F&amp;'5) Release_Track'!$G:$G,1,0)),"NO ISRC-CATALOG ID pair MATCH in Release_Track" )</f>
        <v/>
      </c>
      <c r="F839" s="122"/>
      <c r="G839" s="99"/>
      <c r="H839" s="178"/>
      <c r="I839" s="121" t="str">
        <f t="shared" si="6"/>
        <v/>
      </c>
      <c r="J839" s="99"/>
      <c r="K839" s="99"/>
    </row>
    <row r="840">
      <c r="B840" s="103"/>
      <c r="C840" s="121" t="str">
        <f t="array" ref="C840">ifs(and(isblank($A840),isblank($B840)),"", not(iserror(vlookup($A840&amp;$B840,'5) Release_Track'!$F:$F&amp;'5) Release_Track'!$G:$G,1,0))),vlookup($A840&amp;$B840,{'5) Release_Track'!$F:$F&amp;'5) Release_Track'!$G:$G,'5) Release_Track'!$H:$H},2,0), or(and(not(isblank($B840)),$B840=$B839,$A840&lt;&gt;$A839),and(not(isblank($A840)),$A840=$A839,$B840&lt;&gt;$B839)),"ID LISTS UNALIGNED",and($A840&lt;&gt;"",countif('5) Release_Track'!$F:$F,$A840)=0),"NO ISRC MATCH in Release_Track",and($B840&lt;&gt;"",countif('5) Release_Track'!$G:$G,$B840)=0),"NO CATALOG ID MATCH in Release_Track",iserror(vlookup($A840&amp;$B840,'5) Release_Track'!$F:$F&amp;'5) Release_Track'!$G:$G,1,0)),"NO ISRC-CATALOG ID pair MATCH in Release_Track" )</f>
        <v/>
      </c>
      <c r="D840" s="121" t="str">
        <f t="array" ref="D840">ifs(and(isblank($A840),isblank($B840)),"", not(iserror(vlookup($A840&amp;$B840,'5) Release_Track'!$F:$F&amp;'5) Release_Track'!$G:$G,1,0))),vlookup($A840&amp;$B840,{'5) Release_Track'!$F:$F&amp;'5) Release_Track'!$G:$G,'5) Release_Track'!$I:$I},2,0), or(and(not(isblank($B840)),$B840=$B839,$A840&lt;&gt;$A839),and(not(isblank($A840)),$A840=$A839,$B840&lt;&gt;$B839)),"ID LISTS UNALIGNED",and($A840&lt;&gt;"",countif('5) Release_Track'!$F:$F,$A840)=0),"NO ISRC MATCH in Release_Track",and($B840&lt;&gt;"",countif('5) Release_Track'!$G:$G,$B840)=0),"NO CATALOG ID MATCH in Release_Track",iserror(vlookup($A840&amp;$B840,'5) Release_Track'!$F:$F&amp;'5) Release_Track'!$G:$G,1,0)),"NO ISRC-CATALOG ID pair MATCH in Release_Track" )</f>
        <v/>
      </c>
      <c r="E840" s="125" t="str">
        <f t="array" ref="E840">ifs(and(isblank($A840),isblank($B840)),"", not(iserror(vlookup($A840&amp;$B840,'5) Release_Track'!$F:$F&amp;'5) Release_Track'!$G:$G,1,0))),vlookup($A840&amp;$B840,{'5) Release_Track'!$F:$F&amp;'5) Release_Track'!$G:$G,'5) Release_Track'!$J:$J},2,0), or(and(not(isblank($B840)),$B840=$B839,$A840&lt;&gt;$A839),and(not(isblank($A840)),$A840=$A839,$B840&lt;&gt;$B839)),"ID LISTS UNALIGNED",and($A840&lt;&gt;"",countif('5) Release_Track'!$F:$F,$A840)=0),"NO ISRC MATCH in Release_Track",and($B840&lt;&gt;"",countif('5) Release_Track'!$G:$G,$B840)=0),"NO CATALOG ID MATCH in Release_Track",iserror(vlookup($A840&amp;$B840,'5) Release_Track'!$F:$F&amp;'5) Release_Track'!$G:$G,1,0)),"NO ISRC-CATALOG ID pair MATCH in Release_Track" )</f>
        <v/>
      </c>
      <c r="F840" s="122"/>
      <c r="G840" s="99"/>
      <c r="H840" s="178"/>
      <c r="I840" s="121" t="str">
        <f t="shared" si="6"/>
        <v/>
      </c>
      <c r="J840" s="99"/>
      <c r="K840" s="99"/>
    </row>
    <row r="841">
      <c r="B841" s="103"/>
      <c r="C841" s="121" t="str">
        <f t="array" ref="C841">ifs(and(isblank($A841),isblank($B841)),"", not(iserror(vlookup($A841&amp;$B841,'5) Release_Track'!$F:$F&amp;'5) Release_Track'!$G:$G,1,0))),vlookup($A841&amp;$B841,{'5) Release_Track'!$F:$F&amp;'5) Release_Track'!$G:$G,'5) Release_Track'!$H:$H},2,0), or(and(not(isblank($B841)),$B841=$B840,$A841&lt;&gt;$A840),and(not(isblank($A841)),$A841=$A840,$B841&lt;&gt;$B840)),"ID LISTS UNALIGNED",and($A841&lt;&gt;"",countif('5) Release_Track'!$F:$F,$A841)=0),"NO ISRC MATCH in Release_Track",and($B841&lt;&gt;"",countif('5) Release_Track'!$G:$G,$B841)=0),"NO CATALOG ID MATCH in Release_Track",iserror(vlookup($A841&amp;$B841,'5) Release_Track'!$F:$F&amp;'5) Release_Track'!$G:$G,1,0)),"NO ISRC-CATALOG ID pair MATCH in Release_Track" )</f>
        <v/>
      </c>
      <c r="D841" s="121" t="str">
        <f t="array" ref="D841">ifs(and(isblank($A841),isblank($B841)),"", not(iserror(vlookup($A841&amp;$B841,'5) Release_Track'!$F:$F&amp;'5) Release_Track'!$G:$G,1,0))),vlookup($A841&amp;$B841,{'5) Release_Track'!$F:$F&amp;'5) Release_Track'!$G:$G,'5) Release_Track'!$I:$I},2,0), or(and(not(isblank($B841)),$B841=$B840,$A841&lt;&gt;$A840),and(not(isblank($A841)),$A841=$A840,$B841&lt;&gt;$B840)),"ID LISTS UNALIGNED",and($A841&lt;&gt;"",countif('5) Release_Track'!$F:$F,$A841)=0),"NO ISRC MATCH in Release_Track",and($B841&lt;&gt;"",countif('5) Release_Track'!$G:$G,$B841)=0),"NO CATALOG ID MATCH in Release_Track",iserror(vlookup($A841&amp;$B841,'5) Release_Track'!$F:$F&amp;'5) Release_Track'!$G:$G,1,0)),"NO ISRC-CATALOG ID pair MATCH in Release_Track" )</f>
        <v/>
      </c>
      <c r="E841" s="125" t="str">
        <f t="array" ref="E841">ifs(and(isblank($A841),isblank($B841)),"", not(iserror(vlookup($A841&amp;$B841,'5) Release_Track'!$F:$F&amp;'5) Release_Track'!$G:$G,1,0))),vlookup($A841&amp;$B841,{'5) Release_Track'!$F:$F&amp;'5) Release_Track'!$G:$G,'5) Release_Track'!$J:$J},2,0), or(and(not(isblank($B841)),$B841=$B840,$A841&lt;&gt;$A840),and(not(isblank($A841)),$A841=$A840,$B841&lt;&gt;$B840)),"ID LISTS UNALIGNED",and($A841&lt;&gt;"",countif('5) Release_Track'!$F:$F,$A841)=0),"NO ISRC MATCH in Release_Track",and($B841&lt;&gt;"",countif('5) Release_Track'!$G:$G,$B841)=0),"NO CATALOG ID MATCH in Release_Track",iserror(vlookup($A841&amp;$B841,'5) Release_Track'!$F:$F&amp;'5) Release_Track'!$G:$G,1,0)),"NO ISRC-CATALOG ID pair MATCH in Release_Track" )</f>
        <v/>
      </c>
      <c r="F841" s="122"/>
      <c r="G841" s="99"/>
      <c r="H841" s="178"/>
      <c r="I841" s="121" t="str">
        <f t="shared" si="6"/>
        <v/>
      </c>
      <c r="J841" s="99"/>
      <c r="K841" s="99"/>
    </row>
    <row r="842">
      <c r="B842" s="103"/>
      <c r="C842" s="121" t="str">
        <f t="array" ref="C842">ifs(and(isblank($A842),isblank($B842)),"", not(iserror(vlookup($A842&amp;$B842,'5) Release_Track'!$F:$F&amp;'5) Release_Track'!$G:$G,1,0))),vlookup($A842&amp;$B842,{'5) Release_Track'!$F:$F&amp;'5) Release_Track'!$G:$G,'5) Release_Track'!$H:$H},2,0), or(and(not(isblank($B842)),$B842=$B841,$A842&lt;&gt;$A841),and(not(isblank($A842)),$A842=$A841,$B842&lt;&gt;$B841)),"ID LISTS UNALIGNED",and($A842&lt;&gt;"",countif('5) Release_Track'!$F:$F,$A842)=0),"NO ISRC MATCH in Release_Track",and($B842&lt;&gt;"",countif('5) Release_Track'!$G:$G,$B842)=0),"NO CATALOG ID MATCH in Release_Track",iserror(vlookup($A842&amp;$B842,'5) Release_Track'!$F:$F&amp;'5) Release_Track'!$G:$G,1,0)),"NO ISRC-CATALOG ID pair MATCH in Release_Track" )</f>
        <v/>
      </c>
      <c r="D842" s="121" t="str">
        <f t="array" ref="D842">ifs(and(isblank($A842),isblank($B842)),"", not(iserror(vlookup($A842&amp;$B842,'5) Release_Track'!$F:$F&amp;'5) Release_Track'!$G:$G,1,0))),vlookup($A842&amp;$B842,{'5) Release_Track'!$F:$F&amp;'5) Release_Track'!$G:$G,'5) Release_Track'!$I:$I},2,0), or(and(not(isblank($B842)),$B842=$B841,$A842&lt;&gt;$A841),and(not(isblank($A842)),$A842=$A841,$B842&lt;&gt;$B841)),"ID LISTS UNALIGNED",and($A842&lt;&gt;"",countif('5) Release_Track'!$F:$F,$A842)=0),"NO ISRC MATCH in Release_Track",and($B842&lt;&gt;"",countif('5) Release_Track'!$G:$G,$B842)=0),"NO CATALOG ID MATCH in Release_Track",iserror(vlookup($A842&amp;$B842,'5) Release_Track'!$F:$F&amp;'5) Release_Track'!$G:$G,1,0)),"NO ISRC-CATALOG ID pair MATCH in Release_Track" )</f>
        <v/>
      </c>
      <c r="E842" s="125" t="str">
        <f t="array" ref="E842">ifs(and(isblank($A842),isblank($B842)),"", not(iserror(vlookup($A842&amp;$B842,'5) Release_Track'!$F:$F&amp;'5) Release_Track'!$G:$G,1,0))),vlookup($A842&amp;$B842,{'5) Release_Track'!$F:$F&amp;'5) Release_Track'!$G:$G,'5) Release_Track'!$J:$J},2,0), or(and(not(isblank($B842)),$B842=$B841,$A842&lt;&gt;$A841),and(not(isblank($A842)),$A842=$A841,$B842&lt;&gt;$B841)),"ID LISTS UNALIGNED",and($A842&lt;&gt;"",countif('5) Release_Track'!$F:$F,$A842)=0),"NO ISRC MATCH in Release_Track",and($B842&lt;&gt;"",countif('5) Release_Track'!$G:$G,$B842)=0),"NO CATALOG ID MATCH in Release_Track",iserror(vlookup($A842&amp;$B842,'5) Release_Track'!$F:$F&amp;'5) Release_Track'!$G:$G,1,0)),"NO ISRC-CATALOG ID pair MATCH in Release_Track" )</f>
        <v/>
      </c>
      <c r="F842" s="122"/>
      <c r="G842" s="99"/>
      <c r="H842" s="178"/>
      <c r="I842" s="121" t="str">
        <f t="shared" si="6"/>
        <v/>
      </c>
      <c r="J842" s="99"/>
      <c r="K842" s="99"/>
    </row>
    <row r="843">
      <c r="B843" s="103"/>
      <c r="C843" s="121" t="str">
        <f t="array" ref="C843">ifs(and(isblank($A843),isblank($B843)),"", not(iserror(vlookup($A843&amp;$B843,'5) Release_Track'!$F:$F&amp;'5) Release_Track'!$G:$G,1,0))),vlookup($A843&amp;$B843,{'5) Release_Track'!$F:$F&amp;'5) Release_Track'!$G:$G,'5) Release_Track'!$H:$H},2,0), or(and(not(isblank($B843)),$B843=$B842,$A843&lt;&gt;$A842),and(not(isblank($A843)),$A843=$A842,$B843&lt;&gt;$B842)),"ID LISTS UNALIGNED",and($A843&lt;&gt;"",countif('5) Release_Track'!$F:$F,$A843)=0),"NO ISRC MATCH in Release_Track",and($B843&lt;&gt;"",countif('5) Release_Track'!$G:$G,$B843)=0),"NO CATALOG ID MATCH in Release_Track",iserror(vlookup($A843&amp;$B843,'5) Release_Track'!$F:$F&amp;'5) Release_Track'!$G:$G,1,0)),"NO ISRC-CATALOG ID pair MATCH in Release_Track" )</f>
        <v/>
      </c>
      <c r="D843" s="121" t="str">
        <f t="array" ref="D843">ifs(and(isblank($A843),isblank($B843)),"", not(iserror(vlookup($A843&amp;$B843,'5) Release_Track'!$F:$F&amp;'5) Release_Track'!$G:$G,1,0))),vlookup($A843&amp;$B843,{'5) Release_Track'!$F:$F&amp;'5) Release_Track'!$G:$G,'5) Release_Track'!$I:$I},2,0), or(and(not(isblank($B843)),$B843=$B842,$A843&lt;&gt;$A842),and(not(isblank($A843)),$A843=$A842,$B843&lt;&gt;$B842)),"ID LISTS UNALIGNED",and($A843&lt;&gt;"",countif('5) Release_Track'!$F:$F,$A843)=0),"NO ISRC MATCH in Release_Track",and($B843&lt;&gt;"",countif('5) Release_Track'!$G:$G,$B843)=0),"NO CATALOG ID MATCH in Release_Track",iserror(vlookup($A843&amp;$B843,'5) Release_Track'!$F:$F&amp;'5) Release_Track'!$G:$G,1,0)),"NO ISRC-CATALOG ID pair MATCH in Release_Track" )</f>
        <v/>
      </c>
      <c r="E843" s="125" t="str">
        <f t="array" ref="E843">ifs(and(isblank($A843),isblank($B843)),"", not(iserror(vlookup($A843&amp;$B843,'5) Release_Track'!$F:$F&amp;'5) Release_Track'!$G:$G,1,0))),vlookup($A843&amp;$B843,{'5) Release_Track'!$F:$F&amp;'5) Release_Track'!$G:$G,'5) Release_Track'!$J:$J},2,0), or(and(not(isblank($B843)),$B843=$B842,$A843&lt;&gt;$A842),and(not(isblank($A843)),$A843=$A842,$B843&lt;&gt;$B842)),"ID LISTS UNALIGNED",and($A843&lt;&gt;"",countif('5) Release_Track'!$F:$F,$A843)=0),"NO ISRC MATCH in Release_Track",and($B843&lt;&gt;"",countif('5) Release_Track'!$G:$G,$B843)=0),"NO CATALOG ID MATCH in Release_Track",iserror(vlookup($A843&amp;$B843,'5) Release_Track'!$F:$F&amp;'5) Release_Track'!$G:$G,1,0)),"NO ISRC-CATALOG ID pair MATCH in Release_Track" )</f>
        <v/>
      </c>
      <c r="F843" s="122"/>
      <c r="G843" s="99"/>
      <c r="H843" s="178"/>
      <c r="I843" s="121" t="str">
        <f t="shared" si="6"/>
        <v/>
      </c>
      <c r="J843" s="99"/>
      <c r="K843" s="99"/>
    </row>
    <row r="844">
      <c r="B844" s="103"/>
      <c r="C844" s="121" t="str">
        <f t="array" ref="C844">ifs(and(isblank($A844),isblank($B844)),"", not(iserror(vlookup($A844&amp;$B844,'5) Release_Track'!$F:$F&amp;'5) Release_Track'!$G:$G,1,0))),vlookup($A844&amp;$B844,{'5) Release_Track'!$F:$F&amp;'5) Release_Track'!$G:$G,'5) Release_Track'!$H:$H},2,0), or(and(not(isblank($B844)),$B844=$B843,$A844&lt;&gt;$A843),and(not(isblank($A844)),$A844=$A843,$B844&lt;&gt;$B843)),"ID LISTS UNALIGNED",and($A844&lt;&gt;"",countif('5) Release_Track'!$F:$F,$A844)=0),"NO ISRC MATCH in Release_Track",and($B844&lt;&gt;"",countif('5) Release_Track'!$G:$G,$B844)=0),"NO CATALOG ID MATCH in Release_Track",iserror(vlookup($A844&amp;$B844,'5) Release_Track'!$F:$F&amp;'5) Release_Track'!$G:$G,1,0)),"NO ISRC-CATALOG ID pair MATCH in Release_Track" )</f>
        <v/>
      </c>
      <c r="D844" s="121" t="str">
        <f t="array" ref="D844">ifs(and(isblank($A844),isblank($B844)),"", not(iserror(vlookup($A844&amp;$B844,'5) Release_Track'!$F:$F&amp;'5) Release_Track'!$G:$G,1,0))),vlookup($A844&amp;$B844,{'5) Release_Track'!$F:$F&amp;'5) Release_Track'!$G:$G,'5) Release_Track'!$I:$I},2,0), or(and(not(isblank($B844)),$B844=$B843,$A844&lt;&gt;$A843),and(not(isblank($A844)),$A844=$A843,$B844&lt;&gt;$B843)),"ID LISTS UNALIGNED",and($A844&lt;&gt;"",countif('5) Release_Track'!$F:$F,$A844)=0),"NO ISRC MATCH in Release_Track",and($B844&lt;&gt;"",countif('5) Release_Track'!$G:$G,$B844)=0),"NO CATALOG ID MATCH in Release_Track",iserror(vlookup($A844&amp;$B844,'5) Release_Track'!$F:$F&amp;'5) Release_Track'!$G:$G,1,0)),"NO ISRC-CATALOG ID pair MATCH in Release_Track" )</f>
        <v/>
      </c>
      <c r="E844" s="125" t="str">
        <f t="array" ref="E844">ifs(and(isblank($A844),isblank($B844)),"", not(iserror(vlookup($A844&amp;$B844,'5) Release_Track'!$F:$F&amp;'5) Release_Track'!$G:$G,1,0))),vlookup($A844&amp;$B844,{'5) Release_Track'!$F:$F&amp;'5) Release_Track'!$G:$G,'5) Release_Track'!$J:$J},2,0), or(and(not(isblank($B844)),$B844=$B843,$A844&lt;&gt;$A843),and(not(isblank($A844)),$A844=$A843,$B844&lt;&gt;$B843)),"ID LISTS UNALIGNED",and($A844&lt;&gt;"",countif('5) Release_Track'!$F:$F,$A844)=0),"NO ISRC MATCH in Release_Track",and($B844&lt;&gt;"",countif('5) Release_Track'!$G:$G,$B844)=0),"NO CATALOG ID MATCH in Release_Track",iserror(vlookup($A844&amp;$B844,'5) Release_Track'!$F:$F&amp;'5) Release_Track'!$G:$G,1,0)),"NO ISRC-CATALOG ID pair MATCH in Release_Track" )</f>
        <v/>
      </c>
      <c r="F844" s="122"/>
      <c r="G844" s="99"/>
      <c r="H844" s="178"/>
      <c r="I844" s="121" t="str">
        <f t="shared" si="6"/>
        <v/>
      </c>
      <c r="J844" s="99"/>
      <c r="K844" s="99"/>
    </row>
    <row r="845">
      <c r="B845" s="103"/>
      <c r="C845" s="121" t="str">
        <f t="array" ref="C845">ifs(and(isblank($A845),isblank($B845)),"", not(iserror(vlookup($A845&amp;$B845,'5) Release_Track'!$F:$F&amp;'5) Release_Track'!$G:$G,1,0))),vlookup($A845&amp;$B845,{'5) Release_Track'!$F:$F&amp;'5) Release_Track'!$G:$G,'5) Release_Track'!$H:$H},2,0), or(and(not(isblank($B845)),$B845=$B844,$A845&lt;&gt;$A844),and(not(isblank($A845)),$A845=$A844,$B845&lt;&gt;$B844)),"ID LISTS UNALIGNED",and($A845&lt;&gt;"",countif('5) Release_Track'!$F:$F,$A845)=0),"NO ISRC MATCH in Release_Track",and($B845&lt;&gt;"",countif('5) Release_Track'!$G:$G,$B845)=0),"NO CATALOG ID MATCH in Release_Track",iserror(vlookup($A845&amp;$B845,'5) Release_Track'!$F:$F&amp;'5) Release_Track'!$G:$G,1,0)),"NO ISRC-CATALOG ID pair MATCH in Release_Track" )</f>
        <v/>
      </c>
      <c r="D845" s="121" t="str">
        <f t="array" ref="D845">ifs(and(isblank($A845),isblank($B845)),"", not(iserror(vlookup($A845&amp;$B845,'5) Release_Track'!$F:$F&amp;'5) Release_Track'!$G:$G,1,0))),vlookup($A845&amp;$B845,{'5) Release_Track'!$F:$F&amp;'5) Release_Track'!$G:$G,'5) Release_Track'!$I:$I},2,0), or(and(not(isblank($B845)),$B845=$B844,$A845&lt;&gt;$A844),and(not(isblank($A845)),$A845=$A844,$B845&lt;&gt;$B844)),"ID LISTS UNALIGNED",and($A845&lt;&gt;"",countif('5) Release_Track'!$F:$F,$A845)=0),"NO ISRC MATCH in Release_Track",and($B845&lt;&gt;"",countif('5) Release_Track'!$G:$G,$B845)=0),"NO CATALOG ID MATCH in Release_Track",iserror(vlookup($A845&amp;$B845,'5) Release_Track'!$F:$F&amp;'5) Release_Track'!$G:$G,1,0)),"NO ISRC-CATALOG ID pair MATCH in Release_Track" )</f>
        <v/>
      </c>
      <c r="E845" s="125" t="str">
        <f t="array" ref="E845">ifs(and(isblank($A845),isblank($B845)),"", not(iserror(vlookup($A845&amp;$B845,'5) Release_Track'!$F:$F&amp;'5) Release_Track'!$G:$G,1,0))),vlookup($A845&amp;$B845,{'5) Release_Track'!$F:$F&amp;'5) Release_Track'!$G:$G,'5) Release_Track'!$J:$J},2,0), or(and(not(isblank($B845)),$B845=$B844,$A845&lt;&gt;$A844),and(not(isblank($A845)),$A845=$A844,$B845&lt;&gt;$B844)),"ID LISTS UNALIGNED",and($A845&lt;&gt;"",countif('5) Release_Track'!$F:$F,$A845)=0),"NO ISRC MATCH in Release_Track",and($B845&lt;&gt;"",countif('5) Release_Track'!$G:$G,$B845)=0),"NO CATALOG ID MATCH in Release_Track",iserror(vlookup($A845&amp;$B845,'5) Release_Track'!$F:$F&amp;'5) Release_Track'!$G:$G,1,0)),"NO ISRC-CATALOG ID pair MATCH in Release_Track" )</f>
        <v/>
      </c>
      <c r="F845" s="122"/>
      <c r="G845" s="99"/>
      <c r="H845" s="178"/>
      <c r="I845" s="121" t="str">
        <f t="shared" si="6"/>
        <v/>
      </c>
      <c r="J845" s="99"/>
      <c r="K845" s="99"/>
    </row>
    <row r="846">
      <c r="B846" s="103"/>
      <c r="C846" s="121" t="str">
        <f t="array" ref="C846">ifs(and(isblank($A846),isblank($B846)),"", not(iserror(vlookup($A846&amp;$B846,'5) Release_Track'!$F:$F&amp;'5) Release_Track'!$G:$G,1,0))),vlookup($A846&amp;$B846,{'5) Release_Track'!$F:$F&amp;'5) Release_Track'!$G:$G,'5) Release_Track'!$H:$H},2,0), or(and(not(isblank($B846)),$B846=$B845,$A846&lt;&gt;$A845),and(not(isblank($A846)),$A846=$A845,$B846&lt;&gt;$B845)),"ID LISTS UNALIGNED",and($A846&lt;&gt;"",countif('5) Release_Track'!$F:$F,$A846)=0),"NO ISRC MATCH in Release_Track",and($B846&lt;&gt;"",countif('5) Release_Track'!$G:$G,$B846)=0),"NO CATALOG ID MATCH in Release_Track",iserror(vlookup($A846&amp;$B846,'5) Release_Track'!$F:$F&amp;'5) Release_Track'!$G:$G,1,0)),"NO ISRC-CATALOG ID pair MATCH in Release_Track" )</f>
        <v/>
      </c>
      <c r="D846" s="121" t="str">
        <f t="array" ref="D846">ifs(and(isblank($A846),isblank($B846)),"", not(iserror(vlookup($A846&amp;$B846,'5) Release_Track'!$F:$F&amp;'5) Release_Track'!$G:$G,1,0))),vlookup($A846&amp;$B846,{'5) Release_Track'!$F:$F&amp;'5) Release_Track'!$G:$G,'5) Release_Track'!$I:$I},2,0), or(and(not(isblank($B846)),$B846=$B845,$A846&lt;&gt;$A845),and(not(isblank($A846)),$A846=$A845,$B846&lt;&gt;$B845)),"ID LISTS UNALIGNED",and($A846&lt;&gt;"",countif('5) Release_Track'!$F:$F,$A846)=0),"NO ISRC MATCH in Release_Track",and($B846&lt;&gt;"",countif('5) Release_Track'!$G:$G,$B846)=0),"NO CATALOG ID MATCH in Release_Track",iserror(vlookup($A846&amp;$B846,'5) Release_Track'!$F:$F&amp;'5) Release_Track'!$G:$G,1,0)),"NO ISRC-CATALOG ID pair MATCH in Release_Track" )</f>
        <v/>
      </c>
      <c r="E846" s="125" t="str">
        <f t="array" ref="E846">ifs(and(isblank($A846),isblank($B846)),"", not(iserror(vlookup($A846&amp;$B846,'5) Release_Track'!$F:$F&amp;'5) Release_Track'!$G:$G,1,0))),vlookup($A846&amp;$B846,{'5) Release_Track'!$F:$F&amp;'5) Release_Track'!$G:$G,'5) Release_Track'!$J:$J},2,0), or(and(not(isblank($B846)),$B846=$B845,$A846&lt;&gt;$A845),and(not(isblank($A846)),$A846=$A845,$B846&lt;&gt;$B845)),"ID LISTS UNALIGNED",and($A846&lt;&gt;"",countif('5) Release_Track'!$F:$F,$A846)=0),"NO ISRC MATCH in Release_Track",and($B846&lt;&gt;"",countif('5) Release_Track'!$G:$G,$B846)=0),"NO CATALOG ID MATCH in Release_Track",iserror(vlookup($A846&amp;$B846,'5) Release_Track'!$F:$F&amp;'5) Release_Track'!$G:$G,1,0)),"NO ISRC-CATALOG ID pair MATCH in Release_Track" )</f>
        <v/>
      </c>
      <c r="F846" s="122"/>
      <c r="G846" s="99"/>
      <c r="H846" s="178"/>
      <c r="I846" s="121" t="str">
        <f t="shared" si="6"/>
        <v/>
      </c>
      <c r="J846" s="99"/>
      <c r="K846" s="99"/>
    </row>
    <row r="847">
      <c r="B847" s="103"/>
      <c r="C847" s="121" t="str">
        <f t="array" ref="C847">ifs(and(isblank($A847),isblank($B847)),"", not(iserror(vlookup($A847&amp;$B847,'5) Release_Track'!$F:$F&amp;'5) Release_Track'!$G:$G,1,0))),vlookup($A847&amp;$B847,{'5) Release_Track'!$F:$F&amp;'5) Release_Track'!$G:$G,'5) Release_Track'!$H:$H},2,0), or(and(not(isblank($B847)),$B847=$B846,$A847&lt;&gt;$A846),and(not(isblank($A847)),$A847=$A846,$B847&lt;&gt;$B846)),"ID LISTS UNALIGNED",and($A847&lt;&gt;"",countif('5) Release_Track'!$F:$F,$A847)=0),"NO ISRC MATCH in Release_Track",and($B847&lt;&gt;"",countif('5) Release_Track'!$G:$G,$B847)=0),"NO CATALOG ID MATCH in Release_Track",iserror(vlookup($A847&amp;$B847,'5) Release_Track'!$F:$F&amp;'5) Release_Track'!$G:$G,1,0)),"NO ISRC-CATALOG ID pair MATCH in Release_Track" )</f>
        <v/>
      </c>
      <c r="D847" s="121" t="str">
        <f t="array" ref="D847">ifs(and(isblank($A847),isblank($B847)),"", not(iserror(vlookup($A847&amp;$B847,'5) Release_Track'!$F:$F&amp;'5) Release_Track'!$G:$G,1,0))),vlookup($A847&amp;$B847,{'5) Release_Track'!$F:$F&amp;'5) Release_Track'!$G:$G,'5) Release_Track'!$I:$I},2,0), or(and(not(isblank($B847)),$B847=$B846,$A847&lt;&gt;$A846),and(not(isblank($A847)),$A847=$A846,$B847&lt;&gt;$B846)),"ID LISTS UNALIGNED",and($A847&lt;&gt;"",countif('5) Release_Track'!$F:$F,$A847)=0),"NO ISRC MATCH in Release_Track",and($B847&lt;&gt;"",countif('5) Release_Track'!$G:$G,$B847)=0),"NO CATALOG ID MATCH in Release_Track",iserror(vlookup($A847&amp;$B847,'5) Release_Track'!$F:$F&amp;'5) Release_Track'!$G:$G,1,0)),"NO ISRC-CATALOG ID pair MATCH in Release_Track" )</f>
        <v/>
      </c>
      <c r="E847" s="125" t="str">
        <f t="array" ref="E847">ifs(and(isblank($A847),isblank($B847)),"", not(iserror(vlookup($A847&amp;$B847,'5) Release_Track'!$F:$F&amp;'5) Release_Track'!$G:$G,1,0))),vlookup($A847&amp;$B847,{'5) Release_Track'!$F:$F&amp;'5) Release_Track'!$G:$G,'5) Release_Track'!$J:$J},2,0), or(and(not(isblank($B847)),$B847=$B846,$A847&lt;&gt;$A846),and(not(isblank($A847)),$A847=$A846,$B847&lt;&gt;$B846)),"ID LISTS UNALIGNED",and($A847&lt;&gt;"",countif('5) Release_Track'!$F:$F,$A847)=0),"NO ISRC MATCH in Release_Track",and($B847&lt;&gt;"",countif('5) Release_Track'!$G:$G,$B847)=0),"NO CATALOG ID MATCH in Release_Track",iserror(vlookup($A847&amp;$B847,'5) Release_Track'!$F:$F&amp;'5) Release_Track'!$G:$G,1,0)),"NO ISRC-CATALOG ID pair MATCH in Release_Track" )</f>
        <v/>
      </c>
      <c r="F847" s="122"/>
      <c r="G847" s="99"/>
      <c r="H847" s="178"/>
      <c r="I847" s="121" t="str">
        <f t="shared" si="6"/>
        <v/>
      </c>
      <c r="J847" s="99"/>
      <c r="K847" s="99"/>
    </row>
    <row r="848">
      <c r="B848" s="103"/>
      <c r="C848" s="121" t="str">
        <f t="array" ref="C848">ifs(and(isblank($A848),isblank($B848)),"", not(iserror(vlookup($A848&amp;$B848,'5) Release_Track'!$F:$F&amp;'5) Release_Track'!$G:$G,1,0))),vlookup($A848&amp;$B848,{'5) Release_Track'!$F:$F&amp;'5) Release_Track'!$G:$G,'5) Release_Track'!$H:$H},2,0), or(and(not(isblank($B848)),$B848=$B847,$A848&lt;&gt;$A847),and(not(isblank($A848)),$A848=$A847,$B848&lt;&gt;$B847)),"ID LISTS UNALIGNED",and($A848&lt;&gt;"",countif('5) Release_Track'!$F:$F,$A848)=0),"NO ISRC MATCH in Release_Track",and($B848&lt;&gt;"",countif('5) Release_Track'!$G:$G,$B848)=0),"NO CATALOG ID MATCH in Release_Track",iserror(vlookup($A848&amp;$B848,'5) Release_Track'!$F:$F&amp;'5) Release_Track'!$G:$G,1,0)),"NO ISRC-CATALOG ID pair MATCH in Release_Track" )</f>
        <v/>
      </c>
      <c r="D848" s="121" t="str">
        <f t="array" ref="D848">ifs(and(isblank($A848),isblank($B848)),"", not(iserror(vlookup($A848&amp;$B848,'5) Release_Track'!$F:$F&amp;'5) Release_Track'!$G:$G,1,0))),vlookup($A848&amp;$B848,{'5) Release_Track'!$F:$F&amp;'5) Release_Track'!$G:$G,'5) Release_Track'!$I:$I},2,0), or(and(not(isblank($B848)),$B848=$B847,$A848&lt;&gt;$A847),and(not(isblank($A848)),$A848=$A847,$B848&lt;&gt;$B847)),"ID LISTS UNALIGNED",and($A848&lt;&gt;"",countif('5) Release_Track'!$F:$F,$A848)=0),"NO ISRC MATCH in Release_Track",and($B848&lt;&gt;"",countif('5) Release_Track'!$G:$G,$B848)=0),"NO CATALOG ID MATCH in Release_Track",iserror(vlookup($A848&amp;$B848,'5) Release_Track'!$F:$F&amp;'5) Release_Track'!$G:$G,1,0)),"NO ISRC-CATALOG ID pair MATCH in Release_Track" )</f>
        <v/>
      </c>
      <c r="E848" s="125" t="str">
        <f t="array" ref="E848">ifs(and(isblank($A848),isblank($B848)),"", not(iserror(vlookup($A848&amp;$B848,'5) Release_Track'!$F:$F&amp;'5) Release_Track'!$G:$G,1,0))),vlookup($A848&amp;$B848,{'5) Release_Track'!$F:$F&amp;'5) Release_Track'!$G:$G,'5) Release_Track'!$J:$J},2,0), or(and(not(isblank($B848)),$B848=$B847,$A848&lt;&gt;$A847),and(not(isblank($A848)),$A848=$A847,$B848&lt;&gt;$B847)),"ID LISTS UNALIGNED",and($A848&lt;&gt;"",countif('5) Release_Track'!$F:$F,$A848)=0),"NO ISRC MATCH in Release_Track",and($B848&lt;&gt;"",countif('5) Release_Track'!$G:$G,$B848)=0),"NO CATALOG ID MATCH in Release_Track",iserror(vlookup($A848&amp;$B848,'5) Release_Track'!$F:$F&amp;'5) Release_Track'!$G:$G,1,0)),"NO ISRC-CATALOG ID pair MATCH in Release_Track" )</f>
        <v/>
      </c>
      <c r="F848" s="122"/>
      <c r="G848" s="99"/>
      <c r="H848" s="178"/>
      <c r="I848" s="121" t="str">
        <f t="shared" si="6"/>
        <v/>
      </c>
      <c r="J848" s="99"/>
      <c r="K848" s="99"/>
    </row>
    <row r="849">
      <c r="B849" s="103"/>
      <c r="C849" s="121" t="str">
        <f t="array" ref="C849">ifs(and(isblank($A849),isblank($B849)),"", not(iserror(vlookup($A849&amp;$B849,'5) Release_Track'!$F:$F&amp;'5) Release_Track'!$G:$G,1,0))),vlookup($A849&amp;$B849,{'5) Release_Track'!$F:$F&amp;'5) Release_Track'!$G:$G,'5) Release_Track'!$H:$H},2,0), or(and(not(isblank($B849)),$B849=$B848,$A849&lt;&gt;$A848),and(not(isblank($A849)),$A849=$A848,$B849&lt;&gt;$B848)),"ID LISTS UNALIGNED",and($A849&lt;&gt;"",countif('5) Release_Track'!$F:$F,$A849)=0),"NO ISRC MATCH in Release_Track",and($B849&lt;&gt;"",countif('5) Release_Track'!$G:$G,$B849)=0),"NO CATALOG ID MATCH in Release_Track",iserror(vlookup($A849&amp;$B849,'5) Release_Track'!$F:$F&amp;'5) Release_Track'!$G:$G,1,0)),"NO ISRC-CATALOG ID pair MATCH in Release_Track" )</f>
        <v/>
      </c>
      <c r="D849" s="121" t="str">
        <f t="array" ref="D849">ifs(and(isblank($A849),isblank($B849)),"", not(iserror(vlookup($A849&amp;$B849,'5) Release_Track'!$F:$F&amp;'5) Release_Track'!$G:$G,1,0))),vlookup($A849&amp;$B849,{'5) Release_Track'!$F:$F&amp;'5) Release_Track'!$G:$G,'5) Release_Track'!$I:$I},2,0), or(and(not(isblank($B849)),$B849=$B848,$A849&lt;&gt;$A848),and(not(isblank($A849)),$A849=$A848,$B849&lt;&gt;$B848)),"ID LISTS UNALIGNED",and($A849&lt;&gt;"",countif('5) Release_Track'!$F:$F,$A849)=0),"NO ISRC MATCH in Release_Track",and($B849&lt;&gt;"",countif('5) Release_Track'!$G:$G,$B849)=0),"NO CATALOG ID MATCH in Release_Track",iserror(vlookup($A849&amp;$B849,'5) Release_Track'!$F:$F&amp;'5) Release_Track'!$G:$G,1,0)),"NO ISRC-CATALOG ID pair MATCH in Release_Track" )</f>
        <v/>
      </c>
      <c r="E849" s="125" t="str">
        <f t="array" ref="E849">ifs(and(isblank($A849),isblank($B849)),"", not(iserror(vlookup($A849&amp;$B849,'5) Release_Track'!$F:$F&amp;'5) Release_Track'!$G:$G,1,0))),vlookup($A849&amp;$B849,{'5) Release_Track'!$F:$F&amp;'5) Release_Track'!$G:$G,'5) Release_Track'!$J:$J},2,0), or(and(not(isblank($B849)),$B849=$B848,$A849&lt;&gt;$A848),and(not(isblank($A849)),$A849=$A848,$B849&lt;&gt;$B848)),"ID LISTS UNALIGNED",and($A849&lt;&gt;"",countif('5) Release_Track'!$F:$F,$A849)=0),"NO ISRC MATCH in Release_Track",and($B849&lt;&gt;"",countif('5) Release_Track'!$G:$G,$B849)=0),"NO CATALOG ID MATCH in Release_Track",iserror(vlookup($A849&amp;$B849,'5) Release_Track'!$F:$F&amp;'5) Release_Track'!$G:$G,1,0)),"NO ISRC-CATALOG ID pair MATCH in Release_Track" )</f>
        <v/>
      </c>
      <c r="F849" s="122"/>
      <c r="G849" s="99"/>
      <c r="H849" s="178"/>
      <c r="I849" s="121" t="str">
        <f t="shared" si="6"/>
        <v/>
      </c>
      <c r="J849" s="99"/>
      <c r="K849" s="99"/>
    </row>
    <row r="850">
      <c r="B850" s="103"/>
      <c r="C850" s="121" t="str">
        <f t="array" ref="C850">ifs(and(isblank($A850),isblank($B850)),"", not(iserror(vlookup($A850&amp;$B850,'5) Release_Track'!$F:$F&amp;'5) Release_Track'!$G:$G,1,0))),vlookup($A850&amp;$B850,{'5) Release_Track'!$F:$F&amp;'5) Release_Track'!$G:$G,'5) Release_Track'!$H:$H},2,0), or(and(not(isblank($B850)),$B850=$B849,$A850&lt;&gt;$A849),and(not(isblank($A850)),$A850=$A849,$B850&lt;&gt;$B849)),"ID LISTS UNALIGNED",and($A850&lt;&gt;"",countif('5) Release_Track'!$F:$F,$A850)=0),"NO ISRC MATCH in Release_Track",and($B850&lt;&gt;"",countif('5) Release_Track'!$G:$G,$B850)=0),"NO CATALOG ID MATCH in Release_Track",iserror(vlookup($A850&amp;$B850,'5) Release_Track'!$F:$F&amp;'5) Release_Track'!$G:$G,1,0)),"NO ISRC-CATALOG ID pair MATCH in Release_Track" )</f>
        <v/>
      </c>
      <c r="D850" s="121" t="str">
        <f t="array" ref="D850">ifs(and(isblank($A850),isblank($B850)),"", not(iserror(vlookup($A850&amp;$B850,'5) Release_Track'!$F:$F&amp;'5) Release_Track'!$G:$G,1,0))),vlookup($A850&amp;$B850,{'5) Release_Track'!$F:$F&amp;'5) Release_Track'!$G:$G,'5) Release_Track'!$I:$I},2,0), or(and(not(isblank($B850)),$B850=$B849,$A850&lt;&gt;$A849),and(not(isblank($A850)),$A850=$A849,$B850&lt;&gt;$B849)),"ID LISTS UNALIGNED",and($A850&lt;&gt;"",countif('5) Release_Track'!$F:$F,$A850)=0),"NO ISRC MATCH in Release_Track",and($B850&lt;&gt;"",countif('5) Release_Track'!$G:$G,$B850)=0),"NO CATALOG ID MATCH in Release_Track",iserror(vlookup($A850&amp;$B850,'5) Release_Track'!$F:$F&amp;'5) Release_Track'!$G:$G,1,0)),"NO ISRC-CATALOG ID pair MATCH in Release_Track" )</f>
        <v/>
      </c>
      <c r="E850" s="125" t="str">
        <f t="array" ref="E850">ifs(and(isblank($A850),isblank($B850)),"", not(iserror(vlookup($A850&amp;$B850,'5) Release_Track'!$F:$F&amp;'5) Release_Track'!$G:$G,1,0))),vlookup($A850&amp;$B850,{'5) Release_Track'!$F:$F&amp;'5) Release_Track'!$G:$G,'5) Release_Track'!$J:$J},2,0), or(and(not(isblank($B850)),$B850=$B849,$A850&lt;&gt;$A849),and(not(isblank($A850)),$A850=$A849,$B850&lt;&gt;$B849)),"ID LISTS UNALIGNED",and($A850&lt;&gt;"",countif('5) Release_Track'!$F:$F,$A850)=0),"NO ISRC MATCH in Release_Track",and($B850&lt;&gt;"",countif('5) Release_Track'!$G:$G,$B850)=0),"NO CATALOG ID MATCH in Release_Track",iserror(vlookup($A850&amp;$B850,'5) Release_Track'!$F:$F&amp;'5) Release_Track'!$G:$G,1,0)),"NO ISRC-CATALOG ID pair MATCH in Release_Track" )</f>
        <v/>
      </c>
      <c r="F850" s="122"/>
      <c r="G850" s="99"/>
      <c r="H850" s="178"/>
      <c r="I850" s="121" t="str">
        <f t="shared" si="6"/>
        <v/>
      </c>
      <c r="J850" s="99"/>
      <c r="K850" s="99"/>
    </row>
    <row r="851">
      <c r="B851" s="103"/>
      <c r="C851" s="121" t="str">
        <f t="array" ref="C851">ifs(and(isblank($A851),isblank($B851)),"", not(iserror(vlookup($A851&amp;$B851,'5) Release_Track'!$F:$F&amp;'5) Release_Track'!$G:$G,1,0))),vlookup($A851&amp;$B851,{'5) Release_Track'!$F:$F&amp;'5) Release_Track'!$G:$G,'5) Release_Track'!$H:$H},2,0), or(and(not(isblank($B851)),$B851=$B850,$A851&lt;&gt;$A850),and(not(isblank($A851)),$A851=$A850,$B851&lt;&gt;$B850)),"ID LISTS UNALIGNED",and($A851&lt;&gt;"",countif('5) Release_Track'!$F:$F,$A851)=0),"NO ISRC MATCH in Release_Track",and($B851&lt;&gt;"",countif('5) Release_Track'!$G:$G,$B851)=0),"NO CATALOG ID MATCH in Release_Track",iserror(vlookup($A851&amp;$B851,'5) Release_Track'!$F:$F&amp;'5) Release_Track'!$G:$G,1,0)),"NO ISRC-CATALOG ID pair MATCH in Release_Track" )</f>
        <v/>
      </c>
      <c r="D851" s="121" t="str">
        <f t="array" ref="D851">ifs(and(isblank($A851),isblank($B851)),"", not(iserror(vlookup($A851&amp;$B851,'5) Release_Track'!$F:$F&amp;'5) Release_Track'!$G:$G,1,0))),vlookup($A851&amp;$B851,{'5) Release_Track'!$F:$F&amp;'5) Release_Track'!$G:$G,'5) Release_Track'!$I:$I},2,0), or(and(not(isblank($B851)),$B851=$B850,$A851&lt;&gt;$A850),and(not(isblank($A851)),$A851=$A850,$B851&lt;&gt;$B850)),"ID LISTS UNALIGNED",and($A851&lt;&gt;"",countif('5) Release_Track'!$F:$F,$A851)=0),"NO ISRC MATCH in Release_Track",and($B851&lt;&gt;"",countif('5) Release_Track'!$G:$G,$B851)=0),"NO CATALOG ID MATCH in Release_Track",iserror(vlookup($A851&amp;$B851,'5) Release_Track'!$F:$F&amp;'5) Release_Track'!$G:$G,1,0)),"NO ISRC-CATALOG ID pair MATCH in Release_Track" )</f>
        <v/>
      </c>
      <c r="E851" s="125" t="str">
        <f t="array" ref="E851">ifs(and(isblank($A851),isblank($B851)),"", not(iserror(vlookup($A851&amp;$B851,'5) Release_Track'!$F:$F&amp;'5) Release_Track'!$G:$G,1,0))),vlookup($A851&amp;$B851,{'5) Release_Track'!$F:$F&amp;'5) Release_Track'!$G:$G,'5) Release_Track'!$J:$J},2,0), or(and(not(isblank($B851)),$B851=$B850,$A851&lt;&gt;$A850),and(not(isblank($A851)),$A851=$A850,$B851&lt;&gt;$B850)),"ID LISTS UNALIGNED",and($A851&lt;&gt;"",countif('5) Release_Track'!$F:$F,$A851)=0),"NO ISRC MATCH in Release_Track",and($B851&lt;&gt;"",countif('5) Release_Track'!$G:$G,$B851)=0),"NO CATALOG ID MATCH in Release_Track",iserror(vlookup($A851&amp;$B851,'5) Release_Track'!$F:$F&amp;'5) Release_Track'!$G:$G,1,0)),"NO ISRC-CATALOG ID pair MATCH in Release_Track" )</f>
        <v/>
      </c>
      <c r="F851" s="122"/>
      <c r="G851" s="99"/>
      <c r="H851" s="178"/>
      <c r="I851" s="121" t="str">
        <f t="shared" si="6"/>
        <v/>
      </c>
      <c r="J851" s="99"/>
      <c r="K851" s="99"/>
    </row>
    <row r="852">
      <c r="B852" s="103"/>
      <c r="C852" s="121" t="str">
        <f t="array" ref="C852">ifs(and(isblank($A852),isblank($B852)),"", not(iserror(vlookup($A852&amp;$B852,'5) Release_Track'!$F:$F&amp;'5) Release_Track'!$G:$G,1,0))),vlookup($A852&amp;$B852,{'5) Release_Track'!$F:$F&amp;'5) Release_Track'!$G:$G,'5) Release_Track'!$H:$H},2,0), or(and(not(isblank($B852)),$B852=$B851,$A852&lt;&gt;$A851),and(not(isblank($A852)),$A852=$A851,$B852&lt;&gt;$B851)),"ID LISTS UNALIGNED",and($A852&lt;&gt;"",countif('5) Release_Track'!$F:$F,$A852)=0),"NO ISRC MATCH in Release_Track",and($B852&lt;&gt;"",countif('5) Release_Track'!$G:$G,$B852)=0),"NO CATALOG ID MATCH in Release_Track",iserror(vlookup($A852&amp;$B852,'5) Release_Track'!$F:$F&amp;'5) Release_Track'!$G:$G,1,0)),"NO ISRC-CATALOG ID pair MATCH in Release_Track" )</f>
        <v/>
      </c>
      <c r="D852" s="121" t="str">
        <f t="array" ref="D852">ifs(and(isblank($A852),isblank($B852)),"", not(iserror(vlookup($A852&amp;$B852,'5) Release_Track'!$F:$F&amp;'5) Release_Track'!$G:$G,1,0))),vlookup($A852&amp;$B852,{'5) Release_Track'!$F:$F&amp;'5) Release_Track'!$G:$G,'5) Release_Track'!$I:$I},2,0), or(and(not(isblank($B852)),$B852=$B851,$A852&lt;&gt;$A851),and(not(isblank($A852)),$A852=$A851,$B852&lt;&gt;$B851)),"ID LISTS UNALIGNED",and($A852&lt;&gt;"",countif('5) Release_Track'!$F:$F,$A852)=0),"NO ISRC MATCH in Release_Track",and($B852&lt;&gt;"",countif('5) Release_Track'!$G:$G,$B852)=0),"NO CATALOG ID MATCH in Release_Track",iserror(vlookup($A852&amp;$B852,'5) Release_Track'!$F:$F&amp;'5) Release_Track'!$G:$G,1,0)),"NO ISRC-CATALOG ID pair MATCH in Release_Track" )</f>
        <v/>
      </c>
      <c r="E852" s="125" t="str">
        <f t="array" ref="E852">ifs(and(isblank($A852),isblank($B852)),"", not(iserror(vlookup($A852&amp;$B852,'5) Release_Track'!$F:$F&amp;'5) Release_Track'!$G:$G,1,0))),vlookup($A852&amp;$B852,{'5) Release_Track'!$F:$F&amp;'5) Release_Track'!$G:$G,'5) Release_Track'!$J:$J},2,0), or(and(not(isblank($B852)),$B852=$B851,$A852&lt;&gt;$A851),and(not(isblank($A852)),$A852=$A851,$B852&lt;&gt;$B851)),"ID LISTS UNALIGNED",and($A852&lt;&gt;"",countif('5) Release_Track'!$F:$F,$A852)=0),"NO ISRC MATCH in Release_Track",and($B852&lt;&gt;"",countif('5) Release_Track'!$G:$G,$B852)=0),"NO CATALOG ID MATCH in Release_Track",iserror(vlookup($A852&amp;$B852,'5) Release_Track'!$F:$F&amp;'5) Release_Track'!$G:$G,1,0)),"NO ISRC-CATALOG ID pair MATCH in Release_Track" )</f>
        <v/>
      </c>
      <c r="F852" s="122"/>
      <c r="G852" s="99"/>
      <c r="H852" s="178"/>
      <c r="I852" s="121" t="str">
        <f t="shared" si="6"/>
        <v/>
      </c>
      <c r="J852" s="99"/>
      <c r="K852" s="99"/>
    </row>
    <row r="853">
      <c r="B853" s="103"/>
      <c r="C853" s="121" t="str">
        <f t="array" ref="C853">ifs(and(isblank($A853),isblank($B853)),"", not(iserror(vlookup($A853&amp;$B853,'5) Release_Track'!$F:$F&amp;'5) Release_Track'!$G:$G,1,0))),vlookup($A853&amp;$B853,{'5) Release_Track'!$F:$F&amp;'5) Release_Track'!$G:$G,'5) Release_Track'!$H:$H},2,0), or(and(not(isblank($B853)),$B853=$B852,$A853&lt;&gt;$A852),and(not(isblank($A853)),$A853=$A852,$B853&lt;&gt;$B852)),"ID LISTS UNALIGNED",and($A853&lt;&gt;"",countif('5) Release_Track'!$F:$F,$A853)=0),"NO ISRC MATCH in Release_Track",and($B853&lt;&gt;"",countif('5) Release_Track'!$G:$G,$B853)=0),"NO CATALOG ID MATCH in Release_Track",iserror(vlookup($A853&amp;$B853,'5) Release_Track'!$F:$F&amp;'5) Release_Track'!$G:$G,1,0)),"NO ISRC-CATALOG ID pair MATCH in Release_Track" )</f>
        <v/>
      </c>
      <c r="D853" s="121" t="str">
        <f t="array" ref="D853">ifs(and(isblank($A853),isblank($B853)),"", not(iserror(vlookup($A853&amp;$B853,'5) Release_Track'!$F:$F&amp;'5) Release_Track'!$G:$G,1,0))),vlookup($A853&amp;$B853,{'5) Release_Track'!$F:$F&amp;'5) Release_Track'!$G:$G,'5) Release_Track'!$I:$I},2,0), or(and(not(isblank($B853)),$B853=$B852,$A853&lt;&gt;$A852),and(not(isblank($A853)),$A853=$A852,$B853&lt;&gt;$B852)),"ID LISTS UNALIGNED",and($A853&lt;&gt;"",countif('5) Release_Track'!$F:$F,$A853)=0),"NO ISRC MATCH in Release_Track",and($B853&lt;&gt;"",countif('5) Release_Track'!$G:$G,$B853)=0),"NO CATALOG ID MATCH in Release_Track",iserror(vlookup($A853&amp;$B853,'5) Release_Track'!$F:$F&amp;'5) Release_Track'!$G:$G,1,0)),"NO ISRC-CATALOG ID pair MATCH in Release_Track" )</f>
        <v/>
      </c>
      <c r="E853" s="125" t="str">
        <f t="array" ref="E853">ifs(and(isblank($A853),isblank($B853)),"", not(iserror(vlookup($A853&amp;$B853,'5) Release_Track'!$F:$F&amp;'5) Release_Track'!$G:$G,1,0))),vlookup($A853&amp;$B853,{'5) Release_Track'!$F:$F&amp;'5) Release_Track'!$G:$G,'5) Release_Track'!$J:$J},2,0), or(and(not(isblank($B853)),$B853=$B852,$A853&lt;&gt;$A852),and(not(isblank($A853)),$A853=$A852,$B853&lt;&gt;$B852)),"ID LISTS UNALIGNED",and($A853&lt;&gt;"",countif('5) Release_Track'!$F:$F,$A853)=0),"NO ISRC MATCH in Release_Track",and($B853&lt;&gt;"",countif('5) Release_Track'!$G:$G,$B853)=0),"NO CATALOG ID MATCH in Release_Track",iserror(vlookup($A853&amp;$B853,'5) Release_Track'!$F:$F&amp;'5) Release_Track'!$G:$G,1,0)),"NO ISRC-CATALOG ID pair MATCH in Release_Track" )</f>
        <v/>
      </c>
      <c r="F853" s="122"/>
      <c r="G853" s="99"/>
      <c r="H853" s="178"/>
      <c r="I853" s="121" t="str">
        <f t="shared" si="6"/>
        <v/>
      </c>
      <c r="J853" s="99"/>
      <c r="K853" s="99"/>
    </row>
    <row r="854">
      <c r="B854" s="103"/>
      <c r="C854" s="121" t="str">
        <f t="array" ref="C854">ifs(and(isblank($A854),isblank($B854)),"", not(iserror(vlookup($A854&amp;$B854,'5) Release_Track'!$F:$F&amp;'5) Release_Track'!$G:$G,1,0))),vlookup($A854&amp;$B854,{'5) Release_Track'!$F:$F&amp;'5) Release_Track'!$G:$G,'5) Release_Track'!$H:$H},2,0), or(and(not(isblank($B854)),$B854=$B853,$A854&lt;&gt;$A853),and(not(isblank($A854)),$A854=$A853,$B854&lt;&gt;$B853)),"ID LISTS UNALIGNED",and($A854&lt;&gt;"",countif('5) Release_Track'!$F:$F,$A854)=0),"NO ISRC MATCH in Release_Track",and($B854&lt;&gt;"",countif('5) Release_Track'!$G:$G,$B854)=0),"NO CATALOG ID MATCH in Release_Track",iserror(vlookup($A854&amp;$B854,'5) Release_Track'!$F:$F&amp;'5) Release_Track'!$G:$G,1,0)),"NO ISRC-CATALOG ID pair MATCH in Release_Track" )</f>
        <v/>
      </c>
      <c r="D854" s="121" t="str">
        <f t="array" ref="D854">ifs(and(isblank($A854),isblank($B854)),"", not(iserror(vlookup($A854&amp;$B854,'5) Release_Track'!$F:$F&amp;'5) Release_Track'!$G:$G,1,0))),vlookup($A854&amp;$B854,{'5) Release_Track'!$F:$F&amp;'5) Release_Track'!$G:$G,'5) Release_Track'!$I:$I},2,0), or(and(not(isblank($B854)),$B854=$B853,$A854&lt;&gt;$A853),and(not(isblank($A854)),$A854=$A853,$B854&lt;&gt;$B853)),"ID LISTS UNALIGNED",and($A854&lt;&gt;"",countif('5) Release_Track'!$F:$F,$A854)=0),"NO ISRC MATCH in Release_Track",and($B854&lt;&gt;"",countif('5) Release_Track'!$G:$G,$B854)=0),"NO CATALOG ID MATCH in Release_Track",iserror(vlookup($A854&amp;$B854,'5) Release_Track'!$F:$F&amp;'5) Release_Track'!$G:$G,1,0)),"NO ISRC-CATALOG ID pair MATCH in Release_Track" )</f>
        <v/>
      </c>
      <c r="E854" s="125" t="str">
        <f t="array" ref="E854">ifs(and(isblank($A854),isblank($B854)),"", not(iserror(vlookup($A854&amp;$B854,'5) Release_Track'!$F:$F&amp;'5) Release_Track'!$G:$G,1,0))),vlookup($A854&amp;$B854,{'5) Release_Track'!$F:$F&amp;'5) Release_Track'!$G:$G,'5) Release_Track'!$J:$J},2,0), or(and(not(isblank($B854)),$B854=$B853,$A854&lt;&gt;$A853),and(not(isblank($A854)),$A854=$A853,$B854&lt;&gt;$B853)),"ID LISTS UNALIGNED",and($A854&lt;&gt;"",countif('5) Release_Track'!$F:$F,$A854)=0),"NO ISRC MATCH in Release_Track",and($B854&lt;&gt;"",countif('5) Release_Track'!$G:$G,$B854)=0),"NO CATALOG ID MATCH in Release_Track",iserror(vlookup($A854&amp;$B854,'5) Release_Track'!$F:$F&amp;'5) Release_Track'!$G:$G,1,0)),"NO ISRC-CATALOG ID pair MATCH in Release_Track" )</f>
        <v/>
      </c>
      <c r="F854" s="122"/>
      <c r="G854" s="99"/>
      <c r="H854" s="178"/>
      <c r="I854" s="121" t="str">
        <f t="shared" si="6"/>
        <v/>
      </c>
      <c r="J854" s="99"/>
      <c r="K854" s="99"/>
    </row>
    <row r="855">
      <c r="B855" s="103"/>
      <c r="C855" s="121" t="str">
        <f t="array" ref="C855">ifs(and(isblank($A855),isblank($B855)),"", not(iserror(vlookup($A855&amp;$B855,'5) Release_Track'!$F:$F&amp;'5) Release_Track'!$G:$G,1,0))),vlookup($A855&amp;$B855,{'5) Release_Track'!$F:$F&amp;'5) Release_Track'!$G:$G,'5) Release_Track'!$H:$H},2,0), or(and(not(isblank($B855)),$B855=$B854,$A855&lt;&gt;$A854),and(not(isblank($A855)),$A855=$A854,$B855&lt;&gt;$B854)),"ID LISTS UNALIGNED",and($A855&lt;&gt;"",countif('5) Release_Track'!$F:$F,$A855)=0),"NO ISRC MATCH in Release_Track",and($B855&lt;&gt;"",countif('5) Release_Track'!$G:$G,$B855)=0),"NO CATALOG ID MATCH in Release_Track",iserror(vlookup($A855&amp;$B855,'5) Release_Track'!$F:$F&amp;'5) Release_Track'!$G:$G,1,0)),"NO ISRC-CATALOG ID pair MATCH in Release_Track" )</f>
        <v/>
      </c>
      <c r="D855" s="121" t="str">
        <f t="array" ref="D855">ifs(and(isblank($A855),isblank($B855)),"", not(iserror(vlookup($A855&amp;$B855,'5) Release_Track'!$F:$F&amp;'5) Release_Track'!$G:$G,1,0))),vlookup($A855&amp;$B855,{'5) Release_Track'!$F:$F&amp;'5) Release_Track'!$G:$G,'5) Release_Track'!$I:$I},2,0), or(and(not(isblank($B855)),$B855=$B854,$A855&lt;&gt;$A854),and(not(isblank($A855)),$A855=$A854,$B855&lt;&gt;$B854)),"ID LISTS UNALIGNED",and($A855&lt;&gt;"",countif('5) Release_Track'!$F:$F,$A855)=0),"NO ISRC MATCH in Release_Track",and($B855&lt;&gt;"",countif('5) Release_Track'!$G:$G,$B855)=0),"NO CATALOG ID MATCH in Release_Track",iserror(vlookup($A855&amp;$B855,'5) Release_Track'!$F:$F&amp;'5) Release_Track'!$G:$G,1,0)),"NO ISRC-CATALOG ID pair MATCH in Release_Track" )</f>
        <v/>
      </c>
      <c r="E855" s="125" t="str">
        <f t="array" ref="E855">ifs(and(isblank($A855),isblank($B855)),"", not(iserror(vlookup($A855&amp;$B855,'5) Release_Track'!$F:$F&amp;'5) Release_Track'!$G:$G,1,0))),vlookup($A855&amp;$B855,{'5) Release_Track'!$F:$F&amp;'5) Release_Track'!$G:$G,'5) Release_Track'!$J:$J},2,0), or(and(not(isblank($B855)),$B855=$B854,$A855&lt;&gt;$A854),and(not(isblank($A855)),$A855=$A854,$B855&lt;&gt;$B854)),"ID LISTS UNALIGNED",and($A855&lt;&gt;"",countif('5) Release_Track'!$F:$F,$A855)=0),"NO ISRC MATCH in Release_Track",and($B855&lt;&gt;"",countif('5) Release_Track'!$G:$G,$B855)=0),"NO CATALOG ID MATCH in Release_Track",iserror(vlookup($A855&amp;$B855,'5) Release_Track'!$F:$F&amp;'5) Release_Track'!$G:$G,1,0)),"NO ISRC-CATALOG ID pair MATCH in Release_Track" )</f>
        <v/>
      </c>
      <c r="F855" s="122"/>
      <c r="G855" s="99"/>
      <c r="H855" s="178"/>
      <c r="I855" s="121" t="str">
        <f t="shared" si="6"/>
        <v/>
      </c>
      <c r="J855" s="99"/>
      <c r="K855" s="99"/>
    </row>
    <row r="856">
      <c r="B856" s="103"/>
      <c r="C856" s="121" t="str">
        <f t="array" ref="C856">ifs(and(isblank($A856),isblank($B856)),"", not(iserror(vlookup($A856&amp;$B856,'5) Release_Track'!$F:$F&amp;'5) Release_Track'!$G:$G,1,0))),vlookup($A856&amp;$B856,{'5) Release_Track'!$F:$F&amp;'5) Release_Track'!$G:$G,'5) Release_Track'!$H:$H},2,0), or(and(not(isblank($B856)),$B856=$B855,$A856&lt;&gt;$A855),and(not(isblank($A856)),$A856=$A855,$B856&lt;&gt;$B855)),"ID LISTS UNALIGNED",and($A856&lt;&gt;"",countif('5) Release_Track'!$F:$F,$A856)=0),"NO ISRC MATCH in Release_Track",and($B856&lt;&gt;"",countif('5) Release_Track'!$G:$G,$B856)=0),"NO CATALOG ID MATCH in Release_Track",iserror(vlookup($A856&amp;$B856,'5) Release_Track'!$F:$F&amp;'5) Release_Track'!$G:$G,1,0)),"NO ISRC-CATALOG ID pair MATCH in Release_Track" )</f>
        <v/>
      </c>
      <c r="D856" s="121" t="str">
        <f t="array" ref="D856">ifs(and(isblank($A856),isblank($B856)),"", not(iserror(vlookup($A856&amp;$B856,'5) Release_Track'!$F:$F&amp;'5) Release_Track'!$G:$G,1,0))),vlookup($A856&amp;$B856,{'5) Release_Track'!$F:$F&amp;'5) Release_Track'!$G:$G,'5) Release_Track'!$I:$I},2,0), or(and(not(isblank($B856)),$B856=$B855,$A856&lt;&gt;$A855),and(not(isblank($A856)),$A856=$A855,$B856&lt;&gt;$B855)),"ID LISTS UNALIGNED",and($A856&lt;&gt;"",countif('5) Release_Track'!$F:$F,$A856)=0),"NO ISRC MATCH in Release_Track",and($B856&lt;&gt;"",countif('5) Release_Track'!$G:$G,$B856)=0),"NO CATALOG ID MATCH in Release_Track",iserror(vlookup($A856&amp;$B856,'5) Release_Track'!$F:$F&amp;'5) Release_Track'!$G:$G,1,0)),"NO ISRC-CATALOG ID pair MATCH in Release_Track" )</f>
        <v/>
      </c>
      <c r="E856" s="125" t="str">
        <f t="array" ref="E856">ifs(and(isblank($A856),isblank($B856)),"", not(iserror(vlookup($A856&amp;$B856,'5) Release_Track'!$F:$F&amp;'5) Release_Track'!$G:$G,1,0))),vlookup($A856&amp;$B856,{'5) Release_Track'!$F:$F&amp;'5) Release_Track'!$G:$G,'5) Release_Track'!$J:$J},2,0), or(and(not(isblank($B856)),$B856=$B855,$A856&lt;&gt;$A855),and(not(isblank($A856)),$A856=$A855,$B856&lt;&gt;$B855)),"ID LISTS UNALIGNED",and($A856&lt;&gt;"",countif('5) Release_Track'!$F:$F,$A856)=0),"NO ISRC MATCH in Release_Track",and($B856&lt;&gt;"",countif('5) Release_Track'!$G:$G,$B856)=0),"NO CATALOG ID MATCH in Release_Track",iserror(vlookup($A856&amp;$B856,'5) Release_Track'!$F:$F&amp;'5) Release_Track'!$G:$G,1,0)),"NO ISRC-CATALOG ID pair MATCH in Release_Track" )</f>
        <v/>
      </c>
      <c r="F856" s="122"/>
      <c r="G856" s="99"/>
      <c r="H856" s="178"/>
      <c r="I856" s="121" t="str">
        <f t="shared" si="6"/>
        <v/>
      </c>
      <c r="J856" s="99"/>
      <c r="K856" s="99"/>
    </row>
    <row r="857">
      <c r="B857" s="103"/>
      <c r="C857" s="121" t="str">
        <f t="array" ref="C857">ifs(and(isblank($A857),isblank($B857)),"", not(iserror(vlookup($A857&amp;$B857,'5) Release_Track'!$F:$F&amp;'5) Release_Track'!$G:$G,1,0))),vlookup($A857&amp;$B857,{'5) Release_Track'!$F:$F&amp;'5) Release_Track'!$G:$G,'5) Release_Track'!$H:$H},2,0), or(and(not(isblank($B857)),$B857=$B856,$A857&lt;&gt;$A856),and(not(isblank($A857)),$A857=$A856,$B857&lt;&gt;$B856)),"ID LISTS UNALIGNED",and($A857&lt;&gt;"",countif('5) Release_Track'!$F:$F,$A857)=0),"NO ISRC MATCH in Release_Track",and($B857&lt;&gt;"",countif('5) Release_Track'!$G:$G,$B857)=0),"NO CATALOG ID MATCH in Release_Track",iserror(vlookup($A857&amp;$B857,'5) Release_Track'!$F:$F&amp;'5) Release_Track'!$G:$G,1,0)),"NO ISRC-CATALOG ID pair MATCH in Release_Track" )</f>
        <v/>
      </c>
      <c r="D857" s="121" t="str">
        <f t="array" ref="D857">ifs(and(isblank($A857),isblank($B857)),"", not(iserror(vlookup($A857&amp;$B857,'5) Release_Track'!$F:$F&amp;'5) Release_Track'!$G:$G,1,0))),vlookup($A857&amp;$B857,{'5) Release_Track'!$F:$F&amp;'5) Release_Track'!$G:$G,'5) Release_Track'!$I:$I},2,0), or(and(not(isblank($B857)),$B857=$B856,$A857&lt;&gt;$A856),and(not(isblank($A857)),$A857=$A856,$B857&lt;&gt;$B856)),"ID LISTS UNALIGNED",and($A857&lt;&gt;"",countif('5) Release_Track'!$F:$F,$A857)=0),"NO ISRC MATCH in Release_Track",and($B857&lt;&gt;"",countif('5) Release_Track'!$G:$G,$B857)=0),"NO CATALOG ID MATCH in Release_Track",iserror(vlookup($A857&amp;$B857,'5) Release_Track'!$F:$F&amp;'5) Release_Track'!$G:$G,1,0)),"NO ISRC-CATALOG ID pair MATCH in Release_Track" )</f>
        <v/>
      </c>
      <c r="E857" s="125" t="str">
        <f t="array" ref="E857">ifs(and(isblank($A857),isblank($B857)),"", not(iserror(vlookup($A857&amp;$B857,'5) Release_Track'!$F:$F&amp;'5) Release_Track'!$G:$G,1,0))),vlookup($A857&amp;$B857,{'5) Release_Track'!$F:$F&amp;'5) Release_Track'!$G:$G,'5) Release_Track'!$J:$J},2,0), or(and(not(isblank($B857)),$B857=$B856,$A857&lt;&gt;$A856),and(not(isblank($A857)),$A857=$A856,$B857&lt;&gt;$B856)),"ID LISTS UNALIGNED",and($A857&lt;&gt;"",countif('5) Release_Track'!$F:$F,$A857)=0),"NO ISRC MATCH in Release_Track",and($B857&lt;&gt;"",countif('5) Release_Track'!$G:$G,$B857)=0),"NO CATALOG ID MATCH in Release_Track",iserror(vlookup($A857&amp;$B857,'5) Release_Track'!$F:$F&amp;'5) Release_Track'!$G:$G,1,0)),"NO ISRC-CATALOG ID pair MATCH in Release_Track" )</f>
        <v/>
      </c>
      <c r="F857" s="122"/>
      <c r="G857" s="99"/>
      <c r="H857" s="178"/>
      <c r="I857" s="121" t="str">
        <f t="shared" si="6"/>
        <v/>
      </c>
      <c r="J857" s="99"/>
      <c r="K857" s="99"/>
    </row>
    <row r="858">
      <c r="B858" s="103"/>
      <c r="C858" s="121" t="str">
        <f t="array" ref="C858">ifs(and(isblank($A858),isblank($B858)),"", not(iserror(vlookup($A858&amp;$B858,'5) Release_Track'!$F:$F&amp;'5) Release_Track'!$G:$G,1,0))),vlookup($A858&amp;$B858,{'5) Release_Track'!$F:$F&amp;'5) Release_Track'!$G:$G,'5) Release_Track'!$H:$H},2,0), or(and(not(isblank($B858)),$B858=$B857,$A858&lt;&gt;$A857),and(not(isblank($A858)),$A858=$A857,$B858&lt;&gt;$B857)),"ID LISTS UNALIGNED",and($A858&lt;&gt;"",countif('5) Release_Track'!$F:$F,$A858)=0),"NO ISRC MATCH in Release_Track",and($B858&lt;&gt;"",countif('5) Release_Track'!$G:$G,$B858)=0),"NO CATALOG ID MATCH in Release_Track",iserror(vlookup($A858&amp;$B858,'5) Release_Track'!$F:$F&amp;'5) Release_Track'!$G:$G,1,0)),"NO ISRC-CATALOG ID pair MATCH in Release_Track" )</f>
        <v/>
      </c>
      <c r="D858" s="121" t="str">
        <f t="array" ref="D858">ifs(and(isblank($A858),isblank($B858)),"", not(iserror(vlookup($A858&amp;$B858,'5) Release_Track'!$F:$F&amp;'5) Release_Track'!$G:$G,1,0))),vlookup($A858&amp;$B858,{'5) Release_Track'!$F:$F&amp;'5) Release_Track'!$G:$G,'5) Release_Track'!$I:$I},2,0), or(and(not(isblank($B858)),$B858=$B857,$A858&lt;&gt;$A857),and(not(isblank($A858)),$A858=$A857,$B858&lt;&gt;$B857)),"ID LISTS UNALIGNED",and($A858&lt;&gt;"",countif('5) Release_Track'!$F:$F,$A858)=0),"NO ISRC MATCH in Release_Track",and($B858&lt;&gt;"",countif('5) Release_Track'!$G:$G,$B858)=0),"NO CATALOG ID MATCH in Release_Track",iserror(vlookup($A858&amp;$B858,'5) Release_Track'!$F:$F&amp;'5) Release_Track'!$G:$G,1,0)),"NO ISRC-CATALOG ID pair MATCH in Release_Track" )</f>
        <v/>
      </c>
      <c r="E858" s="125" t="str">
        <f t="array" ref="E858">ifs(and(isblank($A858),isblank($B858)),"", not(iserror(vlookup($A858&amp;$B858,'5) Release_Track'!$F:$F&amp;'5) Release_Track'!$G:$G,1,0))),vlookup($A858&amp;$B858,{'5) Release_Track'!$F:$F&amp;'5) Release_Track'!$G:$G,'5) Release_Track'!$J:$J},2,0), or(and(not(isblank($B858)),$B858=$B857,$A858&lt;&gt;$A857),and(not(isblank($A858)),$A858=$A857,$B858&lt;&gt;$B857)),"ID LISTS UNALIGNED",and($A858&lt;&gt;"",countif('5) Release_Track'!$F:$F,$A858)=0),"NO ISRC MATCH in Release_Track",and($B858&lt;&gt;"",countif('5) Release_Track'!$G:$G,$B858)=0),"NO CATALOG ID MATCH in Release_Track",iserror(vlookup($A858&amp;$B858,'5) Release_Track'!$F:$F&amp;'5) Release_Track'!$G:$G,1,0)),"NO ISRC-CATALOG ID pair MATCH in Release_Track" )</f>
        <v/>
      </c>
      <c r="F858" s="122"/>
      <c r="G858" s="99"/>
      <c r="H858" s="178"/>
      <c r="I858" s="121" t="str">
        <f t="shared" si="6"/>
        <v/>
      </c>
      <c r="J858" s="99"/>
      <c r="K858" s="99"/>
    </row>
    <row r="859">
      <c r="B859" s="103"/>
      <c r="C859" s="121" t="str">
        <f t="array" ref="C859">ifs(and(isblank($A859),isblank($B859)),"", not(iserror(vlookup($A859&amp;$B859,'5) Release_Track'!$F:$F&amp;'5) Release_Track'!$G:$G,1,0))),vlookup($A859&amp;$B859,{'5) Release_Track'!$F:$F&amp;'5) Release_Track'!$G:$G,'5) Release_Track'!$H:$H},2,0), or(and(not(isblank($B859)),$B859=$B858,$A859&lt;&gt;$A858),and(not(isblank($A859)),$A859=$A858,$B859&lt;&gt;$B858)),"ID LISTS UNALIGNED",and($A859&lt;&gt;"",countif('5) Release_Track'!$F:$F,$A859)=0),"NO ISRC MATCH in Release_Track",and($B859&lt;&gt;"",countif('5) Release_Track'!$G:$G,$B859)=0),"NO CATALOG ID MATCH in Release_Track",iserror(vlookup($A859&amp;$B859,'5) Release_Track'!$F:$F&amp;'5) Release_Track'!$G:$G,1,0)),"NO ISRC-CATALOG ID pair MATCH in Release_Track" )</f>
        <v/>
      </c>
      <c r="D859" s="121" t="str">
        <f t="array" ref="D859">ifs(and(isblank($A859),isblank($B859)),"", not(iserror(vlookup($A859&amp;$B859,'5) Release_Track'!$F:$F&amp;'5) Release_Track'!$G:$G,1,0))),vlookup($A859&amp;$B859,{'5) Release_Track'!$F:$F&amp;'5) Release_Track'!$G:$G,'5) Release_Track'!$I:$I},2,0), or(and(not(isblank($B859)),$B859=$B858,$A859&lt;&gt;$A858),and(not(isblank($A859)),$A859=$A858,$B859&lt;&gt;$B858)),"ID LISTS UNALIGNED",and($A859&lt;&gt;"",countif('5) Release_Track'!$F:$F,$A859)=0),"NO ISRC MATCH in Release_Track",and($B859&lt;&gt;"",countif('5) Release_Track'!$G:$G,$B859)=0),"NO CATALOG ID MATCH in Release_Track",iserror(vlookup($A859&amp;$B859,'5) Release_Track'!$F:$F&amp;'5) Release_Track'!$G:$G,1,0)),"NO ISRC-CATALOG ID pair MATCH in Release_Track" )</f>
        <v/>
      </c>
      <c r="E859" s="125" t="str">
        <f t="array" ref="E859">ifs(and(isblank($A859),isblank($B859)),"", not(iserror(vlookup($A859&amp;$B859,'5) Release_Track'!$F:$F&amp;'5) Release_Track'!$G:$G,1,0))),vlookup($A859&amp;$B859,{'5) Release_Track'!$F:$F&amp;'5) Release_Track'!$G:$G,'5) Release_Track'!$J:$J},2,0), or(and(not(isblank($B859)),$B859=$B858,$A859&lt;&gt;$A858),and(not(isblank($A859)),$A859=$A858,$B859&lt;&gt;$B858)),"ID LISTS UNALIGNED",and($A859&lt;&gt;"",countif('5) Release_Track'!$F:$F,$A859)=0),"NO ISRC MATCH in Release_Track",and($B859&lt;&gt;"",countif('5) Release_Track'!$G:$G,$B859)=0),"NO CATALOG ID MATCH in Release_Track",iserror(vlookup($A859&amp;$B859,'5) Release_Track'!$F:$F&amp;'5) Release_Track'!$G:$G,1,0)),"NO ISRC-CATALOG ID pair MATCH in Release_Track" )</f>
        <v/>
      </c>
      <c r="F859" s="122"/>
      <c r="G859" s="99"/>
      <c r="H859" s="178"/>
      <c r="I859" s="121" t="str">
        <f t="shared" si="6"/>
        <v/>
      </c>
      <c r="J859" s="99"/>
      <c r="K859" s="99"/>
    </row>
    <row r="860">
      <c r="B860" s="103"/>
      <c r="C860" s="121" t="str">
        <f t="array" ref="C860">ifs(and(isblank($A860),isblank($B860)),"", not(iserror(vlookup($A860&amp;$B860,'5) Release_Track'!$F:$F&amp;'5) Release_Track'!$G:$G,1,0))),vlookup($A860&amp;$B860,{'5) Release_Track'!$F:$F&amp;'5) Release_Track'!$G:$G,'5) Release_Track'!$H:$H},2,0), or(and(not(isblank($B860)),$B860=$B859,$A860&lt;&gt;$A859),and(not(isblank($A860)),$A860=$A859,$B860&lt;&gt;$B859)),"ID LISTS UNALIGNED",and($A860&lt;&gt;"",countif('5) Release_Track'!$F:$F,$A860)=0),"NO ISRC MATCH in Release_Track",and($B860&lt;&gt;"",countif('5) Release_Track'!$G:$G,$B860)=0),"NO CATALOG ID MATCH in Release_Track",iserror(vlookup($A860&amp;$B860,'5) Release_Track'!$F:$F&amp;'5) Release_Track'!$G:$G,1,0)),"NO ISRC-CATALOG ID pair MATCH in Release_Track" )</f>
        <v/>
      </c>
      <c r="D860" s="121" t="str">
        <f t="array" ref="D860">ifs(and(isblank($A860),isblank($B860)),"", not(iserror(vlookup($A860&amp;$B860,'5) Release_Track'!$F:$F&amp;'5) Release_Track'!$G:$G,1,0))),vlookup($A860&amp;$B860,{'5) Release_Track'!$F:$F&amp;'5) Release_Track'!$G:$G,'5) Release_Track'!$I:$I},2,0), or(and(not(isblank($B860)),$B860=$B859,$A860&lt;&gt;$A859),and(not(isblank($A860)),$A860=$A859,$B860&lt;&gt;$B859)),"ID LISTS UNALIGNED",and($A860&lt;&gt;"",countif('5) Release_Track'!$F:$F,$A860)=0),"NO ISRC MATCH in Release_Track",and($B860&lt;&gt;"",countif('5) Release_Track'!$G:$G,$B860)=0),"NO CATALOG ID MATCH in Release_Track",iserror(vlookup($A860&amp;$B860,'5) Release_Track'!$F:$F&amp;'5) Release_Track'!$G:$G,1,0)),"NO ISRC-CATALOG ID pair MATCH in Release_Track" )</f>
        <v/>
      </c>
      <c r="E860" s="125" t="str">
        <f t="array" ref="E860">ifs(and(isblank($A860),isblank($B860)),"", not(iserror(vlookup($A860&amp;$B860,'5) Release_Track'!$F:$F&amp;'5) Release_Track'!$G:$G,1,0))),vlookup($A860&amp;$B860,{'5) Release_Track'!$F:$F&amp;'5) Release_Track'!$G:$G,'5) Release_Track'!$J:$J},2,0), or(and(not(isblank($B860)),$B860=$B859,$A860&lt;&gt;$A859),and(not(isblank($A860)),$A860=$A859,$B860&lt;&gt;$B859)),"ID LISTS UNALIGNED",and($A860&lt;&gt;"",countif('5) Release_Track'!$F:$F,$A860)=0),"NO ISRC MATCH in Release_Track",and($B860&lt;&gt;"",countif('5) Release_Track'!$G:$G,$B860)=0),"NO CATALOG ID MATCH in Release_Track",iserror(vlookup($A860&amp;$B860,'5) Release_Track'!$F:$F&amp;'5) Release_Track'!$G:$G,1,0)),"NO ISRC-CATALOG ID pair MATCH in Release_Track" )</f>
        <v/>
      </c>
      <c r="F860" s="122"/>
      <c r="G860" s="99"/>
      <c r="H860" s="178"/>
      <c r="I860" s="121" t="str">
        <f t="shared" si="6"/>
        <v/>
      </c>
      <c r="J860" s="99"/>
      <c r="K860" s="99"/>
    </row>
    <row r="861">
      <c r="B861" s="103"/>
      <c r="C861" s="121" t="str">
        <f t="array" ref="C861">ifs(and(isblank($A861),isblank($B861)),"", not(iserror(vlookup($A861&amp;$B861,'5) Release_Track'!$F:$F&amp;'5) Release_Track'!$G:$G,1,0))),vlookup($A861&amp;$B861,{'5) Release_Track'!$F:$F&amp;'5) Release_Track'!$G:$G,'5) Release_Track'!$H:$H},2,0), or(and(not(isblank($B861)),$B861=$B860,$A861&lt;&gt;$A860),and(not(isblank($A861)),$A861=$A860,$B861&lt;&gt;$B860)),"ID LISTS UNALIGNED",and($A861&lt;&gt;"",countif('5) Release_Track'!$F:$F,$A861)=0),"NO ISRC MATCH in Release_Track",and($B861&lt;&gt;"",countif('5) Release_Track'!$G:$G,$B861)=0),"NO CATALOG ID MATCH in Release_Track",iserror(vlookup($A861&amp;$B861,'5) Release_Track'!$F:$F&amp;'5) Release_Track'!$G:$G,1,0)),"NO ISRC-CATALOG ID pair MATCH in Release_Track" )</f>
        <v/>
      </c>
      <c r="D861" s="121" t="str">
        <f t="array" ref="D861">ifs(and(isblank($A861),isblank($B861)),"", not(iserror(vlookup($A861&amp;$B861,'5) Release_Track'!$F:$F&amp;'5) Release_Track'!$G:$G,1,0))),vlookup($A861&amp;$B861,{'5) Release_Track'!$F:$F&amp;'5) Release_Track'!$G:$G,'5) Release_Track'!$I:$I},2,0), or(and(not(isblank($B861)),$B861=$B860,$A861&lt;&gt;$A860),and(not(isblank($A861)),$A861=$A860,$B861&lt;&gt;$B860)),"ID LISTS UNALIGNED",and($A861&lt;&gt;"",countif('5) Release_Track'!$F:$F,$A861)=0),"NO ISRC MATCH in Release_Track",and($B861&lt;&gt;"",countif('5) Release_Track'!$G:$G,$B861)=0),"NO CATALOG ID MATCH in Release_Track",iserror(vlookup($A861&amp;$B861,'5) Release_Track'!$F:$F&amp;'5) Release_Track'!$G:$G,1,0)),"NO ISRC-CATALOG ID pair MATCH in Release_Track" )</f>
        <v/>
      </c>
      <c r="E861" s="125" t="str">
        <f t="array" ref="E861">ifs(and(isblank($A861),isblank($B861)),"", not(iserror(vlookup($A861&amp;$B861,'5) Release_Track'!$F:$F&amp;'5) Release_Track'!$G:$G,1,0))),vlookup($A861&amp;$B861,{'5) Release_Track'!$F:$F&amp;'5) Release_Track'!$G:$G,'5) Release_Track'!$J:$J},2,0), or(and(not(isblank($B861)),$B861=$B860,$A861&lt;&gt;$A860),and(not(isblank($A861)),$A861=$A860,$B861&lt;&gt;$B860)),"ID LISTS UNALIGNED",and($A861&lt;&gt;"",countif('5) Release_Track'!$F:$F,$A861)=0),"NO ISRC MATCH in Release_Track",and($B861&lt;&gt;"",countif('5) Release_Track'!$G:$G,$B861)=0),"NO CATALOG ID MATCH in Release_Track",iserror(vlookup($A861&amp;$B861,'5) Release_Track'!$F:$F&amp;'5) Release_Track'!$G:$G,1,0)),"NO ISRC-CATALOG ID pair MATCH in Release_Track" )</f>
        <v/>
      </c>
      <c r="F861" s="122"/>
      <c r="G861" s="99"/>
      <c r="H861" s="178"/>
      <c r="I861" s="121" t="str">
        <f t="shared" si="6"/>
        <v/>
      </c>
      <c r="J861" s="99"/>
      <c r="K861" s="99"/>
    </row>
    <row r="862">
      <c r="B862" s="103"/>
      <c r="C862" s="121" t="str">
        <f t="array" ref="C862">ifs(and(isblank($A862),isblank($B862)),"", not(iserror(vlookup($A862&amp;$B862,'5) Release_Track'!$F:$F&amp;'5) Release_Track'!$G:$G,1,0))),vlookup($A862&amp;$B862,{'5) Release_Track'!$F:$F&amp;'5) Release_Track'!$G:$G,'5) Release_Track'!$H:$H},2,0), or(and(not(isblank($B862)),$B862=$B861,$A862&lt;&gt;$A861),and(not(isblank($A862)),$A862=$A861,$B862&lt;&gt;$B861)),"ID LISTS UNALIGNED",and($A862&lt;&gt;"",countif('5) Release_Track'!$F:$F,$A862)=0),"NO ISRC MATCH in Release_Track",and($B862&lt;&gt;"",countif('5) Release_Track'!$G:$G,$B862)=0),"NO CATALOG ID MATCH in Release_Track",iserror(vlookup($A862&amp;$B862,'5) Release_Track'!$F:$F&amp;'5) Release_Track'!$G:$G,1,0)),"NO ISRC-CATALOG ID pair MATCH in Release_Track" )</f>
        <v/>
      </c>
      <c r="D862" s="121" t="str">
        <f t="array" ref="D862">ifs(and(isblank($A862),isblank($B862)),"", not(iserror(vlookup($A862&amp;$B862,'5) Release_Track'!$F:$F&amp;'5) Release_Track'!$G:$G,1,0))),vlookup($A862&amp;$B862,{'5) Release_Track'!$F:$F&amp;'5) Release_Track'!$G:$G,'5) Release_Track'!$I:$I},2,0), or(and(not(isblank($B862)),$B862=$B861,$A862&lt;&gt;$A861),and(not(isblank($A862)),$A862=$A861,$B862&lt;&gt;$B861)),"ID LISTS UNALIGNED",and($A862&lt;&gt;"",countif('5) Release_Track'!$F:$F,$A862)=0),"NO ISRC MATCH in Release_Track",and($B862&lt;&gt;"",countif('5) Release_Track'!$G:$G,$B862)=0),"NO CATALOG ID MATCH in Release_Track",iserror(vlookup($A862&amp;$B862,'5) Release_Track'!$F:$F&amp;'5) Release_Track'!$G:$G,1,0)),"NO ISRC-CATALOG ID pair MATCH in Release_Track" )</f>
        <v/>
      </c>
      <c r="E862" s="125" t="str">
        <f t="array" ref="E862">ifs(and(isblank($A862),isblank($B862)),"", not(iserror(vlookup($A862&amp;$B862,'5) Release_Track'!$F:$F&amp;'5) Release_Track'!$G:$G,1,0))),vlookup($A862&amp;$B862,{'5) Release_Track'!$F:$F&amp;'5) Release_Track'!$G:$G,'5) Release_Track'!$J:$J},2,0), or(and(not(isblank($B862)),$B862=$B861,$A862&lt;&gt;$A861),and(not(isblank($A862)),$A862=$A861,$B862&lt;&gt;$B861)),"ID LISTS UNALIGNED",and($A862&lt;&gt;"",countif('5) Release_Track'!$F:$F,$A862)=0),"NO ISRC MATCH in Release_Track",and($B862&lt;&gt;"",countif('5) Release_Track'!$G:$G,$B862)=0),"NO CATALOG ID MATCH in Release_Track",iserror(vlookup($A862&amp;$B862,'5) Release_Track'!$F:$F&amp;'5) Release_Track'!$G:$G,1,0)),"NO ISRC-CATALOG ID pair MATCH in Release_Track" )</f>
        <v/>
      </c>
      <c r="F862" s="122"/>
      <c r="G862" s="99"/>
      <c r="H862" s="178"/>
      <c r="I862" s="121" t="str">
        <f t="shared" si="6"/>
        <v/>
      </c>
      <c r="J862" s="99"/>
      <c r="K862" s="99"/>
    </row>
    <row r="863">
      <c r="B863" s="103"/>
      <c r="C863" s="121" t="str">
        <f t="array" ref="C863">ifs(and(isblank($A863),isblank($B863)),"", not(iserror(vlookup($A863&amp;$B863,'5) Release_Track'!$F:$F&amp;'5) Release_Track'!$G:$G,1,0))),vlookup($A863&amp;$B863,{'5) Release_Track'!$F:$F&amp;'5) Release_Track'!$G:$G,'5) Release_Track'!$H:$H},2,0), or(and(not(isblank($B863)),$B863=$B862,$A863&lt;&gt;$A862),and(not(isblank($A863)),$A863=$A862,$B863&lt;&gt;$B862)),"ID LISTS UNALIGNED",and($A863&lt;&gt;"",countif('5) Release_Track'!$F:$F,$A863)=0),"NO ISRC MATCH in Release_Track",and($B863&lt;&gt;"",countif('5) Release_Track'!$G:$G,$B863)=0),"NO CATALOG ID MATCH in Release_Track",iserror(vlookup($A863&amp;$B863,'5) Release_Track'!$F:$F&amp;'5) Release_Track'!$G:$G,1,0)),"NO ISRC-CATALOG ID pair MATCH in Release_Track" )</f>
        <v/>
      </c>
      <c r="D863" s="121" t="str">
        <f t="array" ref="D863">ifs(and(isblank($A863),isblank($B863)),"", not(iserror(vlookup($A863&amp;$B863,'5) Release_Track'!$F:$F&amp;'5) Release_Track'!$G:$G,1,0))),vlookup($A863&amp;$B863,{'5) Release_Track'!$F:$F&amp;'5) Release_Track'!$G:$G,'5) Release_Track'!$I:$I},2,0), or(and(not(isblank($B863)),$B863=$B862,$A863&lt;&gt;$A862),and(not(isblank($A863)),$A863=$A862,$B863&lt;&gt;$B862)),"ID LISTS UNALIGNED",and($A863&lt;&gt;"",countif('5) Release_Track'!$F:$F,$A863)=0),"NO ISRC MATCH in Release_Track",and($B863&lt;&gt;"",countif('5) Release_Track'!$G:$G,$B863)=0),"NO CATALOG ID MATCH in Release_Track",iserror(vlookup($A863&amp;$B863,'5) Release_Track'!$F:$F&amp;'5) Release_Track'!$G:$G,1,0)),"NO ISRC-CATALOG ID pair MATCH in Release_Track" )</f>
        <v/>
      </c>
      <c r="E863" s="125" t="str">
        <f t="array" ref="E863">ifs(and(isblank($A863),isblank($B863)),"", not(iserror(vlookup($A863&amp;$B863,'5) Release_Track'!$F:$F&amp;'5) Release_Track'!$G:$G,1,0))),vlookup($A863&amp;$B863,{'5) Release_Track'!$F:$F&amp;'5) Release_Track'!$G:$G,'5) Release_Track'!$J:$J},2,0), or(and(not(isblank($B863)),$B863=$B862,$A863&lt;&gt;$A862),and(not(isblank($A863)),$A863=$A862,$B863&lt;&gt;$B862)),"ID LISTS UNALIGNED",and($A863&lt;&gt;"",countif('5) Release_Track'!$F:$F,$A863)=0),"NO ISRC MATCH in Release_Track",and($B863&lt;&gt;"",countif('5) Release_Track'!$G:$G,$B863)=0),"NO CATALOG ID MATCH in Release_Track",iserror(vlookup($A863&amp;$B863,'5) Release_Track'!$F:$F&amp;'5) Release_Track'!$G:$G,1,0)),"NO ISRC-CATALOG ID pair MATCH in Release_Track" )</f>
        <v/>
      </c>
      <c r="F863" s="122"/>
      <c r="G863" s="99"/>
      <c r="H863" s="178"/>
      <c r="I863" s="121" t="str">
        <f t="shared" si="6"/>
        <v/>
      </c>
      <c r="J863" s="99"/>
      <c r="K863" s="99"/>
    </row>
    <row r="864">
      <c r="B864" s="103"/>
      <c r="C864" s="121" t="str">
        <f t="array" ref="C864">ifs(and(isblank($A864),isblank($B864)),"", not(iserror(vlookup($A864&amp;$B864,'5) Release_Track'!$F:$F&amp;'5) Release_Track'!$G:$G,1,0))),vlookup($A864&amp;$B864,{'5) Release_Track'!$F:$F&amp;'5) Release_Track'!$G:$G,'5) Release_Track'!$H:$H},2,0), or(and(not(isblank($B864)),$B864=$B863,$A864&lt;&gt;$A863),and(not(isblank($A864)),$A864=$A863,$B864&lt;&gt;$B863)),"ID LISTS UNALIGNED",and($A864&lt;&gt;"",countif('5) Release_Track'!$F:$F,$A864)=0),"NO ISRC MATCH in Release_Track",and($B864&lt;&gt;"",countif('5) Release_Track'!$G:$G,$B864)=0),"NO CATALOG ID MATCH in Release_Track",iserror(vlookup($A864&amp;$B864,'5) Release_Track'!$F:$F&amp;'5) Release_Track'!$G:$G,1,0)),"NO ISRC-CATALOG ID pair MATCH in Release_Track" )</f>
        <v/>
      </c>
      <c r="D864" s="121" t="str">
        <f t="array" ref="D864">ifs(and(isblank($A864),isblank($B864)),"", not(iserror(vlookup($A864&amp;$B864,'5) Release_Track'!$F:$F&amp;'5) Release_Track'!$G:$G,1,0))),vlookup($A864&amp;$B864,{'5) Release_Track'!$F:$F&amp;'5) Release_Track'!$G:$G,'5) Release_Track'!$I:$I},2,0), or(and(not(isblank($B864)),$B864=$B863,$A864&lt;&gt;$A863),and(not(isblank($A864)),$A864=$A863,$B864&lt;&gt;$B863)),"ID LISTS UNALIGNED",and($A864&lt;&gt;"",countif('5) Release_Track'!$F:$F,$A864)=0),"NO ISRC MATCH in Release_Track",and($B864&lt;&gt;"",countif('5) Release_Track'!$G:$G,$B864)=0),"NO CATALOG ID MATCH in Release_Track",iserror(vlookup($A864&amp;$B864,'5) Release_Track'!$F:$F&amp;'5) Release_Track'!$G:$G,1,0)),"NO ISRC-CATALOG ID pair MATCH in Release_Track" )</f>
        <v/>
      </c>
      <c r="E864" s="125" t="str">
        <f t="array" ref="E864">ifs(and(isblank($A864),isblank($B864)),"", not(iserror(vlookup($A864&amp;$B864,'5) Release_Track'!$F:$F&amp;'5) Release_Track'!$G:$G,1,0))),vlookup($A864&amp;$B864,{'5) Release_Track'!$F:$F&amp;'5) Release_Track'!$G:$G,'5) Release_Track'!$J:$J},2,0), or(and(not(isblank($B864)),$B864=$B863,$A864&lt;&gt;$A863),and(not(isblank($A864)),$A864=$A863,$B864&lt;&gt;$B863)),"ID LISTS UNALIGNED",and($A864&lt;&gt;"",countif('5) Release_Track'!$F:$F,$A864)=0),"NO ISRC MATCH in Release_Track",and($B864&lt;&gt;"",countif('5) Release_Track'!$G:$G,$B864)=0),"NO CATALOG ID MATCH in Release_Track",iserror(vlookup($A864&amp;$B864,'5) Release_Track'!$F:$F&amp;'5) Release_Track'!$G:$G,1,0)),"NO ISRC-CATALOG ID pair MATCH in Release_Track" )</f>
        <v/>
      </c>
      <c r="F864" s="122"/>
      <c r="G864" s="99"/>
      <c r="H864" s="178"/>
      <c r="I864" s="121" t="str">
        <f t="shared" si="6"/>
        <v/>
      </c>
      <c r="J864" s="99"/>
      <c r="K864" s="99"/>
    </row>
    <row r="865">
      <c r="B865" s="103"/>
      <c r="C865" s="121" t="str">
        <f t="array" ref="C865">ifs(and(isblank($A865),isblank($B865)),"", not(iserror(vlookup($A865&amp;$B865,'5) Release_Track'!$F:$F&amp;'5) Release_Track'!$G:$G,1,0))),vlookup($A865&amp;$B865,{'5) Release_Track'!$F:$F&amp;'5) Release_Track'!$G:$G,'5) Release_Track'!$H:$H},2,0), or(and(not(isblank($B865)),$B865=$B864,$A865&lt;&gt;$A864),and(not(isblank($A865)),$A865=$A864,$B865&lt;&gt;$B864)),"ID LISTS UNALIGNED",and($A865&lt;&gt;"",countif('5) Release_Track'!$F:$F,$A865)=0),"NO ISRC MATCH in Release_Track",and($B865&lt;&gt;"",countif('5) Release_Track'!$G:$G,$B865)=0),"NO CATALOG ID MATCH in Release_Track",iserror(vlookup($A865&amp;$B865,'5) Release_Track'!$F:$F&amp;'5) Release_Track'!$G:$G,1,0)),"NO ISRC-CATALOG ID pair MATCH in Release_Track" )</f>
        <v/>
      </c>
      <c r="D865" s="121" t="str">
        <f t="array" ref="D865">ifs(and(isblank($A865),isblank($B865)),"", not(iserror(vlookup($A865&amp;$B865,'5) Release_Track'!$F:$F&amp;'5) Release_Track'!$G:$G,1,0))),vlookup($A865&amp;$B865,{'5) Release_Track'!$F:$F&amp;'5) Release_Track'!$G:$G,'5) Release_Track'!$I:$I},2,0), or(and(not(isblank($B865)),$B865=$B864,$A865&lt;&gt;$A864),and(not(isblank($A865)),$A865=$A864,$B865&lt;&gt;$B864)),"ID LISTS UNALIGNED",and($A865&lt;&gt;"",countif('5) Release_Track'!$F:$F,$A865)=0),"NO ISRC MATCH in Release_Track",and($B865&lt;&gt;"",countif('5) Release_Track'!$G:$G,$B865)=0),"NO CATALOG ID MATCH in Release_Track",iserror(vlookup($A865&amp;$B865,'5) Release_Track'!$F:$F&amp;'5) Release_Track'!$G:$G,1,0)),"NO ISRC-CATALOG ID pair MATCH in Release_Track" )</f>
        <v/>
      </c>
      <c r="E865" s="125" t="str">
        <f t="array" ref="E865">ifs(and(isblank($A865),isblank($B865)),"", not(iserror(vlookup($A865&amp;$B865,'5) Release_Track'!$F:$F&amp;'5) Release_Track'!$G:$G,1,0))),vlookup($A865&amp;$B865,{'5) Release_Track'!$F:$F&amp;'5) Release_Track'!$G:$G,'5) Release_Track'!$J:$J},2,0), or(and(not(isblank($B865)),$B865=$B864,$A865&lt;&gt;$A864),and(not(isblank($A865)),$A865=$A864,$B865&lt;&gt;$B864)),"ID LISTS UNALIGNED",and($A865&lt;&gt;"",countif('5) Release_Track'!$F:$F,$A865)=0),"NO ISRC MATCH in Release_Track",and($B865&lt;&gt;"",countif('5) Release_Track'!$G:$G,$B865)=0),"NO CATALOG ID MATCH in Release_Track",iserror(vlookup($A865&amp;$B865,'5) Release_Track'!$F:$F&amp;'5) Release_Track'!$G:$G,1,0)),"NO ISRC-CATALOG ID pair MATCH in Release_Track" )</f>
        <v/>
      </c>
      <c r="F865" s="122"/>
      <c r="G865" s="99"/>
      <c r="H865" s="178"/>
      <c r="I865" s="121" t="str">
        <f t="shared" si="6"/>
        <v/>
      </c>
      <c r="J865" s="99"/>
      <c r="K865" s="99"/>
    </row>
    <row r="866">
      <c r="B866" s="103"/>
      <c r="C866" s="121" t="str">
        <f t="array" ref="C866">ifs(and(isblank($A866),isblank($B866)),"", not(iserror(vlookup($A866&amp;$B866,'5) Release_Track'!$F:$F&amp;'5) Release_Track'!$G:$G,1,0))),vlookup($A866&amp;$B866,{'5) Release_Track'!$F:$F&amp;'5) Release_Track'!$G:$G,'5) Release_Track'!$H:$H},2,0), or(and(not(isblank($B866)),$B866=$B865,$A866&lt;&gt;$A865),and(not(isblank($A866)),$A866=$A865,$B866&lt;&gt;$B865)),"ID LISTS UNALIGNED",and($A866&lt;&gt;"",countif('5) Release_Track'!$F:$F,$A866)=0),"NO ISRC MATCH in Release_Track",and($B866&lt;&gt;"",countif('5) Release_Track'!$G:$G,$B866)=0),"NO CATALOG ID MATCH in Release_Track",iserror(vlookup($A866&amp;$B866,'5) Release_Track'!$F:$F&amp;'5) Release_Track'!$G:$G,1,0)),"NO ISRC-CATALOG ID pair MATCH in Release_Track" )</f>
        <v/>
      </c>
      <c r="D866" s="121" t="str">
        <f t="array" ref="D866">ifs(and(isblank($A866),isblank($B866)),"", not(iserror(vlookup($A866&amp;$B866,'5) Release_Track'!$F:$F&amp;'5) Release_Track'!$G:$G,1,0))),vlookup($A866&amp;$B866,{'5) Release_Track'!$F:$F&amp;'5) Release_Track'!$G:$G,'5) Release_Track'!$I:$I},2,0), or(and(not(isblank($B866)),$B866=$B865,$A866&lt;&gt;$A865),and(not(isblank($A866)),$A866=$A865,$B866&lt;&gt;$B865)),"ID LISTS UNALIGNED",and($A866&lt;&gt;"",countif('5) Release_Track'!$F:$F,$A866)=0),"NO ISRC MATCH in Release_Track",and($B866&lt;&gt;"",countif('5) Release_Track'!$G:$G,$B866)=0),"NO CATALOG ID MATCH in Release_Track",iserror(vlookup($A866&amp;$B866,'5) Release_Track'!$F:$F&amp;'5) Release_Track'!$G:$G,1,0)),"NO ISRC-CATALOG ID pair MATCH in Release_Track" )</f>
        <v/>
      </c>
      <c r="E866" s="125" t="str">
        <f t="array" ref="E866">ifs(and(isblank($A866),isblank($B866)),"", not(iserror(vlookup($A866&amp;$B866,'5) Release_Track'!$F:$F&amp;'5) Release_Track'!$G:$G,1,0))),vlookup($A866&amp;$B866,{'5) Release_Track'!$F:$F&amp;'5) Release_Track'!$G:$G,'5) Release_Track'!$J:$J},2,0), or(and(not(isblank($B866)),$B866=$B865,$A866&lt;&gt;$A865),and(not(isblank($A866)),$A866=$A865,$B866&lt;&gt;$B865)),"ID LISTS UNALIGNED",and($A866&lt;&gt;"",countif('5) Release_Track'!$F:$F,$A866)=0),"NO ISRC MATCH in Release_Track",and($B866&lt;&gt;"",countif('5) Release_Track'!$G:$G,$B866)=0),"NO CATALOG ID MATCH in Release_Track",iserror(vlookup($A866&amp;$B866,'5) Release_Track'!$F:$F&amp;'5) Release_Track'!$G:$G,1,0)),"NO ISRC-CATALOG ID pair MATCH in Release_Track" )</f>
        <v/>
      </c>
      <c r="F866" s="122"/>
      <c r="G866" s="99"/>
      <c r="H866" s="178"/>
      <c r="I866" s="121" t="str">
        <f t="shared" si="6"/>
        <v/>
      </c>
      <c r="J866" s="99"/>
      <c r="K866" s="99"/>
    </row>
    <row r="867">
      <c r="B867" s="103"/>
      <c r="C867" s="121" t="str">
        <f t="array" ref="C867">ifs(and(isblank($A867),isblank($B867)),"", not(iserror(vlookup($A867&amp;$B867,'5) Release_Track'!$F:$F&amp;'5) Release_Track'!$G:$G,1,0))),vlookup($A867&amp;$B867,{'5) Release_Track'!$F:$F&amp;'5) Release_Track'!$G:$G,'5) Release_Track'!$H:$H},2,0), or(and(not(isblank($B867)),$B867=$B866,$A867&lt;&gt;$A866),and(not(isblank($A867)),$A867=$A866,$B867&lt;&gt;$B866)),"ID LISTS UNALIGNED",and($A867&lt;&gt;"",countif('5) Release_Track'!$F:$F,$A867)=0),"NO ISRC MATCH in Release_Track",and($B867&lt;&gt;"",countif('5) Release_Track'!$G:$G,$B867)=0),"NO CATALOG ID MATCH in Release_Track",iserror(vlookup($A867&amp;$B867,'5) Release_Track'!$F:$F&amp;'5) Release_Track'!$G:$G,1,0)),"NO ISRC-CATALOG ID pair MATCH in Release_Track" )</f>
        <v/>
      </c>
      <c r="D867" s="121" t="str">
        <f t="array" ref="D867">ifs(and(isblank($A867),isblank($B867)),"", not(iserror(vlookup($A867&amp;$B867,'5) Release_Track'!$F:$F&amp;'5) Release_Track'!$G:$G,1,0))),vlookup($A867&amp;$B867,{'5) Release_Track'!$F:$F&amp;'5) Release_Track'!$G:$G,'5) Release_Track'!$I:$I},2,0), or(and(not(isblank($B867)),$B867=$B866,$A867&lt;&gt;$A866),and(not(isblank($A867)),$A867=$A866,$B867&lt;&gt;$B866)),"ID LISTS UNALIGNED",and($A867&lt;&gt;"",countif('5) Release_Track'!$F:$F,$A867)=0),"NO ISRC MATCH in Release_Track",and($B867&lt;&gt;"",countif('5) Release_Track'!$G:$G,$B867)=0),"NO CATALOG ID MATCH in Release_Track",iserror(vlookup($A867&amp;$B867,'5) Release_Track'!$F:$F&amp;'5) Release_Track'!$G:$G,1,0)),"NO ISRC-CATALOG ID pair MATCH in Release_Track" )</f>
        <v/>
      </c>
      <c r="E867" s="125" t="str">
        <f t="array" ref="E867">ifs(and(isblank($A867),isblank($B867)),"", not(iserror(vlookup($A867&amp;$B867,'5) Release_Track'!$F:$F&amp;'5) Release_Track'!$G:$G,1,0))),vlookup($A867&amp;$B867,{'5) Release_Track'!$F:$F&amp;'5) Release_Track'!$G:$G,'5) Release_Track'!$J:$J},2,0), or(and(not(isblank($B867)),$B867=$B866,$A867&lt;&gt;$A866),and(not(isblank($A867)),$A867=$A866,$B867&lt;&gt;$B866)),"ID LISTS UNALIGNED",and($A867&lt;&gt;"",countif('5) Release_Track'!$F:$F,$A867)=0),"NO ISRC MATCH in Release_Track",and($B867&lt;&gt;"",countif('5) Release_Track'!$G:$G,$B867)=0),"NO CATALOG ID MATCH in Release_Track",iserror(vlookup($A867&amp;$B867,'5) Release_Track'!$F:$F&amp;'5) Release_Track'!$G:$G,1,0)),"NO ISRC-CATALOG ID pair MATCH in Release_Track" )</f>
        <v/>
      </c>
      <c r="F867" s="122"/>
      <c r="G867" s="99"/>
      <c r="H867" s="178"/>
      <c r="I867" s="121" t="str">
        <f t="shared" si="6"/>
        <v/>
      </c>
      <c r="J867" s="99"/>
      <c r="K867" s="99"/>
    </row>
    <row r="868">
      <c r="B868" s="103"/>
      <c r="C868" s="121" t="str">
        <f t="array" ref="C868">ifs(and(isblank($A868),isblank($B868)),"", not(iserror(vlookup($A868&amp;$B868,'5) Release_Track'!$F:$F&amp;'5) Release_Track'!$G:$G,1,0))),vlookup($A868&amp;$B868,{'5) Release_Track'!$F:$F&amp;'5) Release_Track'!$G:$G,'5) Release_Track'!$H:$H},2,0), or(and(not(isblank($B868)),$B868=$B867,$A868&lt;&gt;$A867),and(not(isblank($A868)),$A868=$A867,$B868&lt;&gt;$B867)),"ID LISTS UNALIGNED",and($A868&lt;&gt;"",countif('5) Release_Track'!$F:$F,$A868)=0),"NO ISRC MATCH in Release_Track",and($B868&lt;&gt;"",countif('5) Release_Track'!$G:$G,$B868)=0),"NO CATALOG ID MATCH in Release_Track",iserror(vlookup($A868&amp;$B868,'5) Release_Track'!$F:$F&amp;'5) Release_Track'!$G:$G,1,0)),"NO ISRC-CATALOG ID pair MATCH in Release_Track" )</f>
        <v/>
      </c>
      <c r="D868" s="121" t="str">
        <f t="array" ref="D868">ifs(and(isblank($A868),isblank($B868)),"", not(iserror(vlookup($A868&amp;$B868,'5) Release_Track'!$F:$F&amp;'5) Release_Track'!$G:$G,1,0))),vlookup($A868&amp;$B868,{'5) Release_Track'!$F:$F&amp;'5) Release_Track'!$G:$G,'5) Release_Track'!$I:$I},2,0), or(and(not(isblank($B868)),$B868=$B867,$A868&lt;&gt;$A867),and(not(isblank($A868)),$A868=$A867,$B868&lt;&gt;$B867)),"ID LISTS UNALIGNED",and($A868&lt;&gt;"",countif('5) Release_Track'!$F:$F,$A868)=0),"NO ISRC MATCH in Release_Track",and($B868&lt;&gt;"",countif('5) Release_Track'!$G:$G,$B868)=0),"NO CATALOG ID MATCH in Release_Track",iserror(vlookup($A868&amp;$B868,'5) Release_Track'!$F:$F&amp;'5) Release_Track'!$G:$G,1,0)),"NO ISRC-CATALOG ID pair MATCH in Release_Track" )</f>
        <v/>
      </c>
      <c r="E868" s="125" t="str">
        <f t="array" ref="E868">ifs(and(isblank($A868),isblank($B868)),"", not(iserror(vlookup($A868&amp;$B868,'5) Release_Track'!$F:$F&amp;'5) Release_Track'!$G:$G,1,0))),vlookup($A868&amp;$B868,{'5) Release_Track'!$F:$F&amp;'5) Release_Track'!$G:$G,'5) Release_Track'!$J:$J},2,0), or(and(not(isblank($B868)),$B868=$B867,$A868&lt;&gt;$A867),and(not(isblank($A868)),$A868=$A867,$B868&lt;&gt;$B867)),"ID LISTS UNALIGNED",and($A868&lt;&gt;"",countif('5) Release_Track'!$F:$F,$A868)=0),"NO ISRC MATCH in Release_Track",and($B868&lt;&gt;"",countif('5) Release_Track'!$G:$G,$B868)=0),"NO CATALOG ID MATCH in Release_Track",iserror(vlookup($A868&amp;$B868,'5) Release_Track'!$F:$F&amp;'5) Release_Track'!$G:$G,1,0)),"NO ISRC-CATALOG ID pair MATCH in Release_Track" )</f>
        <v/>
      </c>
      <c r="F868" s="122"/>
      <c r="G868" s="99"/>
      <c r="H868" s="178"/>
      <c r="I868" s="121" t="str">
        <f t="shared" si="6"/>
        <v/>
      </c>
      <c r="J868" s="99"/>
      <c r="K868" s="99"/>
    </row>
    <row r="869">
      <c r="B869" s="103"/>
      <c r="C869" s="121" t="str">
        <f t="array" ref="C869">ifs(and(isblank($A869),isblank($B869)),"", not(iserror(vlookup($A869&amp;$B869,'5) Release_Track'!$F:$F&amp;'5) Release_Track'!$G:$G,1,0))),vlookup($A869&amp;$B869,{'5) Release_Track'!$F:$F&amp;'5) Release_Track'!$G:$G,'5) Release_Track'!$H:$H},2,0), or(and(not(isblank($B869)),$B869=$B868,$A869&lt;&gt;$A868),and(not(isblank($A869)),$A869=$A868,$B869&lt;&gt;$B868)),"ID LISTS UNALIGNED",and($A869&lt;&gt;"",countif('5) Release_Track'!$F:$F,$A869)=0),"NO ISRC MATCH in Release_Track",and($B869&lt;&gt;"",countif('5) Release_Track'!$G:$G,$B869)=0),"NO CATALOG ID MATCH in Release_Track",iserror(vlookup($A869&amp;$B869,'5) Release_Track'!$F:$F&amp;'5) Release_Track'!$G:$G,1,0)),"NO ISRC-CATALOG ID pair MATCH in Release_Track" )</f>
        <v/>
      </c>
      <c r="D869" s="121" t="str">
        <f t="array" ref="D869">ifs(and(isblank($A869),isblank($B869)),"", not(iserror(vlookup($A869&amp;$B869,'5) Release_Track'!$F:$F&amp;'5) Release_Track'!$G:$G,1,0))),vlookup($A869&amp;$B869,{'5) Release_Track'!$F:$F&amp;'5) Release_Track'!$G:$G,'5) Release_Track'!$I:$I},2,0), or(and(not(isblank($B869)),$B869=$B868,$A869&lt;&gt;$A868),and(not(isblank($A869)),$A869=$A868,$B869&lt;&gt;$B868)),"ID LISTS UNALIGNED",and($A869&lt;&gt;"",countif('5) Release_Track'!$F:$F,$A869)=0),"NO ISRC MATCH in Release_Track",and($B869&lt;&gt;"",countif('5) Release_Track'!$G:$G,$B869)=0),"NO CATALOG ID MATCH in Release_Track",iserror(vlookup($A869&amp;$B869,'5) Release_Track'!$F:$F&amp;'5) Release_Track'!$G:$G,1,0)),"NO ISRC-CATALOG ID pair MATCH in Release_Track" )</f>
        <v/>
      </c>
      <c r="E869" s="125" t="str">
        <f t="array" ref="E869">ifs(and(isblank($A869),isblank($B869)),"", not(iserror(vlookup($A869&amp;$B869,'5) Release_Track'!$F:$F&amp;'5) Release_Track'!$G:$G,1,0))),vlookup($A869&amp;$B869,{'5) Release_Track'!$F:$F&amp;'5) Release_Track'!$G:$G,'5) Release_Track'!$J:$J},2,0), or(and(not(isblank($B869)),$B869=$B868,$A869&lt;&gt;$A868),and(not(isblank($A869)),$A869=$A868,$B869&lt;&gt;$B868)),"ID LISTS UNALIGNED",and($A869&lt;&gt;"",countif('5) Release_Track'!$F:$F,$A869)=0),"NO ISRC MATCH in Release_Track",and($B869&lt;&gt;"",countif('5) Release_Track'!$G:$G,$B869)=0),"NO CATALOG ID MATCH in Release_Track",iserror(vlookup($A869&amp;$B869,'5) Release_Track'!$F:$F&amp;'5) Release_Track'!$G:$G,1,0)),"NO ISRC-CATALOG ID pair MATCH in Release_Track" )</f>
        <v/>
      </c>
      <c r="F869" s="122"/>
      <c r="G869" s="99"/>
      <c r="H869" s="178"/>
      <c r="I869" s="121" t="str">
        <f t="shared" si="6"/>
        <v/>
      </c>
      <c r="J869" s="99"/>
      <c r="K869" s="99"/>
    </row>
    <row r="870">
      <c r="B870" s="103"/>
      <c r="C870" s="121" t="str">
        <f t="array" ref="C870">ifs(and(isblank($A870),isblank($B870)),"", not(iserror(vlookup($A870&amp;$B870,'5) Release_Track'!$F:$F&amp;'5) Release_Track'!$G:$G,1,0))),vlookup($A870&amp;$B870,{'5) Release_Track'!$F:$F&amp;'5) Release_Track'!$G:$G,'5) Release_Track'!$H:$H},2,0), or(and(not(isblank($B870)),$B870=$B869,$A870&lt;&gt;$A869),and(not(isblank($A870)),$A870=$A869,$B870&lt;&gt;$B869)),"ID LISTS UNALIGNED",and($A870&lt;&gt;"",countif('5) Release_Track'!$F:$F,$A870)=0),"NO ISRC MATCH in Release_Track",and($B870&lt;&gt;"",countif('5) Release_Track'!$G:$G,$B870)=0),"NO CATALOG ID MATCH in Release_Track",iserror(vlookup($A870&amp;$B870,'5) Release_Track'!$F:$F&amp;'5) Release_Track'!$G:$G,1,0)),"NO ISRC-CATALOG ID pair MATCH in Release_Track" )</f>
        <v/>
      </c>
      <c r="D870" s="121" t="str">
        <f t="array" ref="D870">ifs(and(isblank($A870),isblank($B870)),"", not(iserror(vlookup($A870&amp;$B870,'5) Release_Track'!$F:$F&amp;'5) Release_Track'!$G:$G,1,0))),vlookup($A870&amp;$B870,{'5) Release_Track'!$F:$F&amp;'5) Release_Track'!$G:$G,'5) Release_Track'!$I:$I},2,0), or(and(not(isblank($B870)),$B870=$B869,$A870&lt;&gt;$A869),and(not(isblank($A870)),$A870=$A869,$B870&lt;&gt;$B869)),"ID LISTS UNALIGNED",and($A870&lt;&gt;"",countif('5) Release_Track'!$F:$F,$A870)=0),"NO ISRC MATCH in Release_Track",and($B870&lt;&gt;"",countif('5) Release_Track'!$G:$G,$B870)=0),"NO CATALOG ID MATCH in Release_Track",iserror(vlookup($A870&amp;$B870,'5) Release_Track'!$F:$F&amp;'5) Release_Track'!$G:$G,1,0)),"NO ISRC-CATALOG ID pair MATCH in Release_Track" )</f>
        <v/>
      </c>
      <c r="E870" s="125" t="str">
        <f t="array" ref="E870">ifs(and(isblank($A870),isblank($B870)),"", not(iserror(vlookup($A870&amp;$B870,'5) Release_Track'!$F:$F&amp;'5) Release_Track'!$G:$G,1,0))),vlookup($A870&amp;$B870,{'5) Release_Track'!$F:$F&amp;'5) Release_Track'!$G:$G,'5) Release_Track'!$J:$J},2,0), or(and(not(isblank($B870)),$B870=$B869,$A870&lt;&gt;$A869),and(not(isblank($A870)),$A870=$A869,$B870&lt;&gt;$B869)),"ID LISTS UNALIGNED",and($A870&lt;&gt;"",countif('5) Release_Track'!$F:$F,$A870)=0),"NO ISRC MATCH in Release_Track",and($B870&lt;&gt;"",countif('5) Release_Track'!$G:$G,$B870)=0),"NO CATALOG ID MATCH in Release_Track",iserror(vlookup($A870&amp;$B870,'5) Release_Track'!$F:$F&amp;'5) Release_Track'!$G:$G,1,0)),"NO ISRC-CATALOG ID pair MATCH in Release_Track" )</f>
        <v/>
      </c>
      <c r="F870" s="122"/>
      <c r="G870" s="99"/>
      <c r="H870" s="178"/>
      <c r="I870" s="121" t="str">
        <f t="shared" si="6"/>
        <v/>
      </c>
      <c r="J870" s="99"/>
      <c r="K870" s="99"/>
    </row>
    <row r="871">
      <c r="B871" s="103"/>
      <c r="C871" s="121" t="str">
        <f t="array" ref="C871">ifs(and(isblank($A871),isblank($B871)),"", not(iserror(vlookup($A871&amp;$B871,'5) Release_Track'!$F:$F&amp;'5) Release_Track'!$G:$G,1,0))),vlookup($A871&amp;$B871,{'5) Release_Track'!$F:$F&amp;'5) Release_Track'!$G:$G,'5) Release_Track'!$H:$H},2,0), or(and(not(isblank($B871)),$B871=$B870,$A871&lt;&gt;$A870),and(not(isblank($A871)),$A871=$A870,$B871&lt;&gt;$B870)),"ID LISTS UNALIGNED",and($A871&lt;&gt;"",countif('5) Release_Track'!$F:$F,$A871)=0),"NO ISRC MATCH in Release_Track",and($B871&lt;&gt;"",countif('5) Release_Track'!$G:$G,$B871)=0),"NO CATALOG ID MATCH in Release_Track",iserror(vlookup($A871&amp;$B871,'5) Release_Track'!$F:$F&amp;'5) Release_Track'!$G:$G,1,0)),"NO ISRC-CATALOG ID pair MATCH in Release_Track" )</f>
        <v/>
      </c>
      <c r="D871" s="121" t="str">
        <f t="array" ref="D871">ifs(and(isblank($A871),isblank($B871)),"", not(iserror(vlookup($A871&amp;$B871,'5) Release_Track'!$F:$F&amp;'5) Release_Track'!$G:$G,1,0))),vlookup($A871&amp;$B871,{'5) Release_Track'!$F:$F&amp;'5) Release_Track'!$G:$G,'5) Release_Track'!$I:$I},2,0), or(and(not(isblank($B871)),$B871=$B870,$A871&lt;&gt;$A870),and(not(isblank($A871)),$A871=$A870,$B871&lt;&gt;$B870)),"ID LISTS UNALIGNED",and($A871&lt;&gt;"",countif('5) Release_Track'!$F:$F,$A871)=0),"NO ISRC MATCH in Release_Track",and($B871&lt;&gt;"",countif('5) Release_Track'!$G:$G,$B871)=0),"NO CATALOG ID MATCH in Release_Track",iserror(vlookup($A871&amp;$B871,'5) Release_Track'!$F:$F&amp;'5) Release_Track'!$G:$G,1,0)),"NO ISRC-CATALOG ID pair MATCH in Release_Track" )</f>
        <v/>
      </c>
      <c r="E871" s="125" t="str">
        <f t="array" ref="E871">ifs(and(isblank($A871),isblank($B871)),"", not(iserror(vlookup($A871&amp;$B871,'5) Release_Track'!$F:$F&amp;'5) Release_Track'!$G:$G,1,0))),vlookup($A871&amp;$B871,{'5) Release_Track'!$F:$F&amp;'5) Release_Track'!$G:$G,'5) Release_Track'!$J:$J},2,0), or(and(not(isblank($B871)),$B871=$B870,$A871&lt;&gt;$A870),and(not(isblank($A871)),$A871=$A870,$B871&lt;&gt;$B870)),"ID LISTS UNALIGNED",and($A871&lt;&gt;"",countif('5) Release_Track'!$F:$F,$A871)=0),"NO ISRC MATCH in Release_Track",and($B871&lt;&gt;"",countif('5) Release_Track'!$G:$G,$B871)=0),"NO CATALOG ID MATCH in Release_Track",iserror(vlookup($A871&amp;$B871,'5) Release_Track'!$F:$F&amp;'5) Release_Track'!$G:$G,1,0)),"NO ISRC-CATALOG ID pair MATCH in Release_Track" )</f>
        <v/>
      </c>
      <c r="F871" s="122"/>
      <c r="G871" s="99"/>
      <c r="H871" s="178"/>
      <c r="I871" s="121" t="str">
        <f t="shared" si="6"/>
        <v/>
      </c>
      <c r="J871" s="99"/>
      <c r="K871" s="99"/>
    </row>
    <row r="872">
      <c r="B872" s="103"/>
      <c r="C872" s="121" t="str">
        <f t="array" ref="C872">ifs(and(isblank($A872),isblank($B872)),"", not(iserror(vlookup($A872&amp;$B872,'5) Release_Track'!$F:$F&amp;'5) Release_Track'!$G:$G,1,0))),vlookup($A872&amp;$B872,{'5) Release_Track'!$F:$F&amp;'5) Release_Track'!$G:$G,'5) Release_Track'!$H:$H},2,0), or(and(not(isblank($B872)),$B872=$B871,$A872&lt;&gt;$A871),and(not(isblank($A872)),$A872=$A871,$B872&lt;&gt;$B871)),"ID LISTS UNALIGNED",and($A872&lt;&gt;"",countif('5) Release_Track'!$F:$F,$A872)=0),"NO ISRC MATCH in Release_Track",and($B872&lt;&gt;"",countif('5) Release_Track'!$G:$G,$B872)=0),"NO CATALOG ID MATCH in Release_Track",iserror(vlookup($A872&amp;$B872,'5) Release_Track'!$F:$F&amp;'5) Release_Track'!$G:$G,1,0)),"NO ISRC-CATALOG ID pair MATCH in Release_Track" )</f>
        <v/>
      </c>
      <c r="D872" s="121" t="str">
        <f t="array" ref="D872">ifs(and(isblank($A872),isblank($B872)),"", not(iserror(vlookup($A872&amp;$B872,'5) Release_Track'!$F:$F&amp;'5) Release_Track'!$G:$G,1,0))),vlookup($A872&amp;$B872,{'5) Release_Track'!$F:$F&amp;'5) Release_Track'!$G:$G,'5) Release_Track'!$I:$I},2,0), or(and(not(isblank($B872)),$B872=$B871,$A872&lt;&gt;$A871),and(not(isblank($A872)),$A872=$A871,$B872&lt;&gt;$B871)),"ID LISTS UNALIGNED",and($A872&lt;&gt;"",countif('5) Release_Track'!$F:$F,$A872)=0),"NO ISRC MATCH in Release_Track",and($B872&lt;&gt;"",countif('5) Release_Track'!$G:$G,$B872)=0),"NO CATALOG ID MATCH in Release_Track",iserror(vlookup($A872&amp;$B872,'5) Release_Track'!$F:$F&amp;'5) Release_Track'!$G:$G,1,0)),"NO ISRC-CATALOG ID pair MATCH in Release_Track" )</f>
        <v/>
      </c>
      <c r="E872" s="125" t="str">
        <f t="array" ref="E872">ifs(and(isblank($A872),isblank($B872)),"", not(iserror(vlookup($A872&amp;$B872,'5) Release_Track'!$F:$F&amp;'5) Release_Track'!$G:$G,1,0))),vlookup($A872&amp;$B872,{'5) Release_Track'!$F:$F&amp;'5) Release_Track'!$G:$G,'5) Release_Track'!$J:$J},2,0), or(and(not(isblank($B872)),$B872=$B871,$A872&lt;&gt;$A871),and(not(isblank($A872)),$A872=$A871,$B872&lt;&gt;$B871)),"ID LISTS UNALIGNED",and($A872&lt;&gt;"",countif('5) Release_Track'!$F:$F,$A872)=0),"NO ISRC MATCH in Release_Track",and($B872&lt;&gt;"",countif('5) Release_Track'!$G:$G,$B872)=0),"NO CATALOG ID MATCH in Release_Track",iserror(vlookup($A872&amp;$B872,'5) Release_Track'!$F:$F&amp;'5) Release_Track'!$G:$G,1,0)),"NO ISRC-CATALOG ID pair MATCH in Release_Track" )</f>
        <v/>
      </c>
      <c r="F872" s="122"/>
      <c r="G872" s="99"/>
      <c r="H872" s="178"/>
      <c r="I872" s="121" t="str">
        <f t="shared" si="6"/>
        <v/>
      </c>
      <c r="J872" s="99"/>
      <c r="K872" s="99"/>
    </row>
    <row r="873">
      <c r="B873" s="103"/>
      <c r="C873" s="121" t="str">
        <f t="array" ref="C873">ifs(and(isblank($A873),isblank($B873)),"", not(iserror(vlookup($A873&amp;$B873,'5) Release_Track'!$F:$F&amp;'5) Release_Track'!$G:$G,1,0))),vlookup($A873&amp;$B873,{'5) Release_Track'!$F:$F&amp;'5) Release_Track'!$G:$G,'5) Release_Track'!$H:$H},2,0), or(and(not(isblank($B873)),$B873=$B872,$A873&lt;&gt;$A872),and(not(isblank($A873)),$A873=$A872,$B873&lt;&gt;$B872)),"ID LISTS UNALIGNED",and($A873&lt;&gt;"",countif('5) Release_Track'!$F:$F,$A873)=0),"NO ISRC MATCH in Release_Track",and($B873&lt;&gt;"",countif('5) Release_Track'!$G:$G,$B873)=0),"NO CATALOG ID MATCH in Release_Track",iserror(vlookup($A873&amp;$B873,'5) Release_Track'!$F:$F&amp;'5) Release_Track'!$G:$G,1,0)),"NO ISRC-CATALOG ID pair MATCH in Release_Track" )</f>
        <v/>
      </c>
      <c r="D873" s="121" t="str">
        <f t="array" ref="D873">ifs(and(isblank($A873),isblank($B873)),"", not(iserror(vlookup($A873&amp;$B873,'5) Release_Track'!$F:$F&amp;'5) Release_Track'!$G:$G,1,0))),vlookup($A873&amp;$B873,{'5) Release_Track'!$F:$F&amp;'5) Release_Track'!$G:$G,'5) Release_Track'!$I:$I},2,0), or(and(not(isblank($B873)),$B873=$B872,$A873&lt;&gt;$A872),and(not(isblank($A873)),$A873=$A872,$B873&lt;&gt;$B872)),"ID LISTS UNALIGNED",and($A873&lt;&gt;"",countif('5) Release_Track'!$F:$F,$A873)=0),"NO ISRC MATCH in Release_Track",and($B873&lt;&gt;"",countif('5) Release_Track'!$G:$G,$B873)=0),"NO CATALOG ID MATCH in Release_Track",iserror(vlookup($A873&amp;$B873,'5) Release_Track'!$F:$F&amp;'5) Release_Track'!$G:$G,1,0)),"NO ISRC-CATALOG ID pair MATCH in Release_Track" )</f>
        <v/>
      </c>
      <c r="E873" s="125" t="str">
        <f t="array" ref="E873">ifs(and(isblank($A873),isblank($B873)),"", not(iserror(vlookup($A873&amp;$B873,'5) Release_Track'!$F:$F&amp;'5) Release_Track'!$G:$G,1,0))),vlookup($A873&amp;$B873,{'5) Release_Track'!$F:$F&amp;'5) Release_Track'!$G:$G,'5) Release_Track'!$J:$J},2,0), or(and(not(isblank($B873)),$B873=$B872,$A873&lt;&gt;$A872),and(not(isblank($A873)),$A873=$A872,$B873&lt;&gt;$B872)),"ID LISTS UNALIGNED",and($A873&lt;&gt;"",countif('5) Release_Track'!$F:$F,$A873)=0),"NO ISRC MATCH in Release_Track",and($B873&lt;&gt;"",countif('5) Release_Track'!$G:$G,$B873)=0),"NO CATALOG ID MATCH in Release_Track",iserror(vlookup($A873&amp;$B873,'5) Release_Track'!$F:$F&amp;'5) Release_Track'!$G:$G,1,0)),"NO ISRC-CATALOG ID pair MATCH in Release_Track" )</f>
        <v/>
      </c>
      <c r="F873" s="122"/>
      <c r="G873" s="99"/>
      <c r="H873" s="178"/>
      <c r="I873" s="121" t="str">
        <f t="shared" si="6"/>
        <v/>
      </c>
      <c r="J873" s="99"/>
      <c r="K873" s="99"/>
    </row>
    <row r="874">
      <c r="B874" s="103"/>
      <c r="C874" s="121" t="str">
        <f t="array" ref="C874">ifs(and(isblank($A874),isblank($B874)),"", not(iserror(vlookup($A874&amp;$B874,'5) Release_Track'!$F:$F&amp;'5) Release_Track'!$G:$G,1,0))),vlookup($A874&amp;$B874,{'5) Release_Track'!$F:$F&amp;'5) Release_Track'!$G:$G,'5) Release_Track'!$H:$H},2,0), or(and(not(isblank($B874)),$B874=$B873,$A874&lt;&gt;$A873),and(not(isblank($A874)),$A874=$A873,$B874&lt;&gt;$B873)),"ID LISTS UNALIGNED",and($A874&lt;&gt;"",countif('5) Release_Track'!$F:$F,$A874)=0),"NO ISRC MATCH in Release_Track",and($B874&lt;&gt;"",countif('5) Release_Track'!$G:$G,$B874)=0),"NO CATALOG ID MATCH in Release_Track",iserror(vlookup($A874&amp;$B874,'5) Release_Track'!$F:$F&amp;'5) Release_Track'!$G:$G,1,0)),"NO ISRC-CATALOG ID pair MATCH in Release_Track" )</f>
        <v/>
      </c>
      <c r="D874" s="121" t="str">
        <f t="array" ref="D874">ifs(and(isblank($A874),isblank($B874)),"", not(iserror(vlookup($A874&amp;$B874,'5) Release_Track'!$F:$F&amp;'5) Release_Track'!$G:$G,1,0))),vlookup($A874&amp;$B874,{'5) Release_Track'!$F:$F&amp;'5) Release_Track'!$G:$G,'5) Release_Track'!$I:$I},2,0), or(and(not(isblank($B874)),$B874=$B873,$A874&lt;&gt;$A873),and(not(isblank($A874)),$A874=$A873,$B874&lt;&gt;$B873)),"ID LISTS UNALIGNED",and($A874&lt;&gt;"",countif('5) Release_Track'!$F:$F,$A874)=0),"NO ISRC MATCH in Release_Track",and($B874&lt;&gt;"",countif('5) Release_Track'!$G:$G,$B874)=0),"NO CATALOG ID MATCH in Release_Track",iserror(vlookup($A874&amp;$B874,'5) Release_Track'!$F:$F&amp;'5) Release_Track'!$G:$G,1,0)),"NO ISRC-CATALOG ID pair MATCH in Release_Track" )</f>
        <v/>
      </c>
      <c r="E874" s="125" t="str">
        <f t="array" ref="E874">ifs(and(isblank($A874),isblank($B874)),"", not(iserror(vlookup($A874&amp;$B874,'5) Release_Track'!$F:$F&amp;'5) Release_Track'!$G:$G,1,0))),vlookup($A874&amp;$B874,{'5) Release_Track'!$F:$F&amp;'5) Release_Track'!$G:$G,'5) Release_Track'!$J:$J},2,0), or(and(not(isblank($B874)),$B874=$B873,$A874&lt;&gt;$A873),and(not(isblank($A874)),$A874=$A873,$B874&lt;&gt;$B873)),"ID LISTS UNALIGNED",and($A874&lt;&gt;"",countif('5) Release_Track'!$F:$F,$A874)=0),"NO ISRC MATCH in Release_Track",and($B874&lt;&gt;"",countif('5) Release_Track'!$G:$G,$B874)=0),"NO CATALOG ID MATCH in Release_Track",iserror(vlookup($A874&amp;$B874,'5) Release_Track'!$F:$F&amp;'5) Release_Track'!$G:$G,1,0)),"NO ISRC-CATALOG ID pair MATCH in Release_Track" )</f>
        <v/>
      </c>
      <c r="F874" s="122"/>
      <c r="G874" s="99"/>
      <c r="H874" s="178"/>
      <c r="I874" s="121" t="str">
        <f t="shared" si="6"/>
        <v/>
      </c>
      <c r="J874" s="99"/>
      <c r="K874" s="99"/>
    </row>
    <row r="875">
      <c r="B875" s="103"/>
      <c r="C875" s="121" t="str">
        <f t="array" ref="C875">ifs(and(isblank($A875),isblank($B875)),"", not(iserror(vlookup($A875&amp;$B875,'5) Release_Track'!$F:$F&amp;'5) Release_Track'!$G:$G,1,0))),vlookup($A875&amp;$B875,{'5) Release_Track'!$F:$F&amp;'5) Release_Track'!$G:$G,'5) Release_Track'!$H:$H},2,0), or(and(not(isblank($B875)),$B875=$B874,$A875&lt;&gt;$A874),and(not(isblank($A875)),$A875=$A874,$B875&lt;&gt;$B874)),"ID LISTS UNALIGNED",and($A875&lt;&gt;"",countif('5) Release_Track'!$F:$F,$A875)=0),"NO ISRC MATCH in Release_Track",and($B875&lt;&gt;"",countif('5) Release_Track'!$G:$G,$B875)=0),"NO CATALOG ID MATCH in Release_Track",iserror(vlookup($A875&amp;$B875,'5) Release_Track'!$F:$F&amp;'5) Release_Track'!$G:$G,1,0)),"NO ISRC-CATALOG ID pair MATCH in Release_Track" )</f>
        <v/>
      </c>
      <c r="D875" s="121" t="str">
        <f t="array" ref="D875">ifs(and(isblank($A875),isblank($B875)),"", not(iserror(vlookup($A875&amp;$B875,'5) Release_Track'!$F:$F&amp;'5) Release_Track'!$G:$G,1,0))),vlookup($A875&amp;$B875,{'5) Release_Track'!$F:$F&amp;'5) Release_Track'!$G:$G,'5) Release_Track'!$I:$I},2,0), or(and(not(isblank($B875)),$B875=$B874,$A875&lt;&gt;$A874),and(not(isblank($A875)),$A875=$A874,$B875&lt;&gt;$B874)),"ID LISTS UNALIGNED",and($A875&lt;&gt;"",countif('5) Release_Track'!$F:$F,$A875)=0),"NO ISRC MATCH in Release_Track",and($B875&lt;&gt;"",countif('5) Release_Track'!$G:$G,$B875)=0),"NO CATALOG ID MATCH in Release_Track",iserror(vlookup($A875&amp;$B875,'5) Release_Track'!$F:$F&amp;'5) Release_Track'!$G:$G,1,0)),"NO ISRC-CATALOG ID pair MATCH in Release_Track" )</f>
        <v/>
      </c>
      <c r="E875" s="125" t="str">
        <f t="array" ref="E875">ifs(and(isblank($A875),isblank($B875)),"", not(iserror(vlookup($A875&amp;$B875,'5) Release_Track'!$F:$F&amp;'5) Release_Track'!$G:$G,1,0))),vlookup($A875&amp;$B875,{'5) Release_Track'!$F:$F&amp;'5) Release_Track'!$G:$G,'5) Release_Track'!$J:$J},2,0), or(and(not(isblank($B875)),$B875=$B874,$A875&lt;&gt;$A874),and(not(isblank($A875)),$A875=$A874,$B875&lt;&gt;$B874)),"ID LISTS UNALIGNED",and($A875&lt;&gt;"",countif('5) Release_Track'!$F:$F,$A875)=0),"NO ISRC MATCH in Release_Track",and($B875&lt;&gt;"",countif('5) Release_Track'!$G:$G,$B875)=0),"NO CATALOG ID MATCH in Release_Track",iserror(vlookup($A875&amp;$B875,'5) Release_Track'!$F:$F&amp;'5) Release_Track'!$G:$G,1,0)),"NO ISRC-CATALOG ID pair MATCH in Release_Track" )</f>
        <v/>
      </c>
      <c r="F875" s="122"/>
      <c r="G875" s="99"/>
      <c r="H875" s="178"/>
      <c r="I875" s="121" t="str">
        <f t="shared" si="6"/>
        <v/>
      </c>
      <c r="J875" s="99"/>
      <c r="K875" s="99"/>
    </row>
    <row r="876">
      <c r="B876" s="103"/>
      <c r="C876" s="121" t="str">
        <f t="array" ref="C876">ifs(and(isblank($A876),isblank($B876)),"", not(iserror(vlookup($A876&amp;$B876,'5) Release_Track'!$F:$F&amp;'5) Release_Track'!$G:$G,1,0))),vlookup($A876&amp;$B876,{'5) Release_Track'!$F:$F&amp;'5) Release_Track'!$G:$G,'5) Release_Track'!$H:$H},2,0), or(and(not(isblank($B876)),$B876=$B875,$A876&lt;&gt;$A875),and(not(isblank($A876)),$A876=$A875,$B876&lt;&gt;$B875)),"ID LISTS UNALIGNED",and($A876&lt;&gt;"",countif('5) Release_Track'!$F:$F,$A876)=0),"NO ISRC MATCH in Release_Track",and($B876&lt;&gt;"",countif('5) Release_Track'!$G:$G,$B876)=0),"NO CATALOG ID MATCH in Release_Track",iserror(vlookup($A876&amp;$B876,'5) Release_Track'!$F:$F&amp;'5) Release_Track'!$G:$G,1,0)),"NO ISRC-CATALOG ID pair MATCH in Release_Track" )</f>
        <v/>
      </c>
      <c r="D876" s="121" t="str">
        <f t="array" ref="D876">ifs(and(isblank($A876),isblank($B876)),"", not(iserror(vlookup($A876&amp;$B876,'5) Release_Track'!$F:$F&amp;'5) Release_Track'!$G:$G,1,0))),vlookup($A876&amp;$B876,{'5) Release_Track'!$F:$F&amp;'5) Release_Track'!$G:$G,'5) Release_Track'!$I:$I},2,0), or(and(not(isblank($B876)),$B876=$B875,$A876&lt;&gt;$A875),and(not(isblank($A876)),$A876=$A875,$B876&lt;&gt;$B875)),"ID LISTS UNALIGNED",and($A876&lt;&gt;"",countif('5) Release_Track'!$F:$F,$A876)=0),"NO ISRC MATCH in Release_Track",and($B876&lt;&gt;"",countif('5) Release_Track'!$G:$G,$B876)=0),"NO CATALOG ID MATCH in Release_Track",iserror(vlookup($A876&amp;$B876,'5) Release_Track'!$F:$F&amp;'5) Release_Track'!$G:$G,1,0)),"NO ISRC-CATALOG ID pair MATCH in Release_Track" )</f>
        <v/>
      </c>
      <c r="E876" s="125" t="str">
        <f t="array" ref="E876">ifs(and(isblank($A876),isblank($B876)),"", not(iserror(vlookup($A876&amp;$B876,'5) Release_Track'!$F:$F&amp;'5) Release_Track'!$G:$G,1,0))),vlookup($A876&amp;$B876,{'5) Release_Track'!$F:$F&amp;'5) Release_Track'!$G:$G,'5) Release_Track'!$J:$J},2,0), or(and(not(isblank($B876)),$B876=$B875,$A876&lt;&gt;$A875),and(not(isblank($A876)),$A876=$A875,$B876&lt;&gt;$B875)),"ID LISTS UNALIGNED",and($A876&lt;&gt;"",countif('5) Release_Track'!$F:$F,$A876)=0),"NO ISRC MATCH in Release_Track",and($B876&lt;&gt;"",countif('5) Release_Track'!$G:$G,$B876)=0),"NO CATALOG ID MATCH in Release_Track",iserror(vlookup($A876&amp;$B876,'5) Release_Track'!$F:$F&amp;'5) Release_Track'!$G:$G,1,0)),"NO ISRC-CATALOG ID pair MATCH in Release_Track" )</f>
        <v/>
      </c>
      <c r="F876" s="122"/>
      <c r="G876" s="99"/>
      <c r="H876" s="178"/>
      <c r="I876" s="121" t="str">
        <f t="shared" si="6"/>
        <v/>
      </c>
      <c r="J876" s="99"/>
      <c r="K876" s="99"/>
    </row>
    <row r="877">
      <c r="B877" s="103"/>
      <c r="C877" s="121" t="str">
        <f t="array" ref="C877">ifs(and(isblank($A877),isblank($B877)),"", not(iserror(vlookup($A877&amp;$B877,'5) Release_Track'!$F:$F&amp;'5) Release_Track'!$G:$G,1,0))),vlookup($A877&amp;$B877,{'5) Release_Track'!$F:$F&amp;'5) Release_Track'!$G:$G,'5) Release_Track'!$H:$H},2,0), or(and(not(isblank($B877)),$B877=$B876,$A877&lt;&gt;$A876),and(not(isblank($A877)),$A877=$A876,$B877&lt;&gt;$B876)),"ID LISTS UNALIGNED",and($A877&lt;&gt;"",countif('5) Release_Track'!$F:$F,$A877)=0),"NO ISRC MATCH in Release_Track",and($B877&lt;&gt;"",countif('5) Release_Track'!$G:$G,$B877)=0),"NO CATALOG ID MATCH in Release_Track",iserror(vlookup($A877&amp;$B877,'5) Release_Track'!$F:$F&amp;'5) Release_Track'!$G:$G,1,0)),"NO ISRC-CATALOG ID pair MATCH in Release_Track" )</f>
        <v/>
      </c>
      <c r="D877" s="121" t="str">
        <f t="array" ref="D877">ifs(and(isblank($A877),isblank($B877)),"", not(iserror(vlookup($A877&amp;$B877,'5) Release_Track'!$F:$F&amp;'5) Release_Track'!$G:$G,1,0))),vlookup($A877&amp;$B877,{'5) Release_Track'!$F:$F&amp;'5) Release_Track'!$G:$G,'5) Release_Track'!$I:$I},2,0), or(and(not(isblank($B877)),$B877=$B876,$A877&lt;&gt;$A876),and(not(isblank($A877)),$A877=$A876,$B877&lt;&gt;$B876)),"ID LISTS UNALIGNED",and($A877&lt;&gt;"",countif('5) Release_Track'!$F:$F,$A877)=0),"NO ISRC MATCH in Release_Track",and($B877&lt;&gt;"",countif('5) Release_Track'!$G:$G,$B877)=0),"NO CATALOG ID MATCH in Release_Track",iserror(vlookup($A877&amp;$B877,'5) Release_Track'!$F:$F&amp;'5) Release_Track'!$G:$G,1,0)),"NO ISRC-CATALOG ID pair MATCH in Release_Track" )</f>
        <v/>
      </c>
      <c r="E877" s="125" t="str">
        <f t="array" ref="E877">ifs(and(isblank($A877),isblank($B877)),"", not(iserror(vlookup($A877&amp;$B877,'5) Release_Track'!$F:$F&amp;'5) Release_Track'!$G:$G,1,0))),vlookup($A877&amp;$B877,{'5) Release_Track'!$F:$F&amp;'5) Release_Track'!$G:$G,'5) Release_Track'!$J:$J},2,0), or(and(not(isblank($B877)),$B877=$B876,$A877&lt;&gt;$A876),and(not(isblank($A877)),$A877=$A876,$B877&lt;&gt;$B876)),"ID LISTS UNALIGNED",and($A877&lt;&gt;"",countif('5) Release_Track'!$F:$F,$A877)=0),"NO ISRC MATCH in Release_Track",and($B877&lt;&gt;"",countif('5) Release_Track'!$G:$G,$B877)=0),"NO CATALOG ID MATCH in Release_Track",iserror(vlookup($A877&amp;$B877,'5) Release_Track'!$F:$F&amp;'5) Release_Track'!$G:$G,1,0)),"NO ISRC-CATALOG ID pair MATCH in Release_Track" )</f>
        <v/>
      </c>
      <c r="F877" s="122"/>
      <c r="G877" s="99"/>
      <c r="H877" s="178"/>
      <c r="I877" s="121" t="str">
        <f t="shared" si="6"/>
        <v/>
      </c>
      <c r="J877" s="99"/>
      <c r="K877" s="99"/>
    </row>
    <row r="878">
      <c r="B878" s="103"/>
      <c r="C878" s="121" t="str">
        <f t="array" ref="C878">ifs(and(isblank($A878),isblank($B878)),"", not(iserror(vlookup($A878&amp;$B878,'5) Release_Track'!$F:$F&amp;'5) Release_Track'!$G:$G,1,0))),vlookup($A878&amp;$B878,{'5) Release_Track'!$F:$F&amp;'5) Release_Track'!$G:$G,'5) Release_Track'!$H:$H},2,0), or(and(not(isblank($B878)),$B878=$B877,$A878&lt;&gt;$A877),and(not(isblank($A878)),$A878=$A877,$B878&lt;&gt;$B877)),"ID LISTS UNALIGNED",and($A878&lt;&gt;"",countif('5) Release_Track'!$F:$F,$A878)=0),"NO ISRC MATCH in Release_Track",and($B878&lt;&gt;"",countif('5) Release_Track'!$G:$G,$B878)=0),"NO CATALOG ID MATCH in Release_Track",iserror(vlookup($A878&amp;$B878,'5) Release_Track'!$F:$F&amp;'5) Release_Track'!$G:$G,1,0)),"NO ISRC-CATALOG ID pair MATCH in Release_Track" )</f>
        <v/>
      </c>
      <c r="D878" s="121" t="str">
        <f t="array" ref="D878">ifs(and(isblank($A878),isblank($B878)),"", not(iserror(vlookup($A878&amp;$B878,'5) Release_Track'!$F:$F&amp;'5) Release_Track'!$G:$G,1,0))),vlookup($A878&amp;$B878,{'5) Release_Track'!$F:$F&amp;'5) Release_Track'!$G:$G,'5) Release_Track'!$I:$I},2,0), or(and(not(isblank($B878)),$B878=$B877,$A878&lt;&gt;$A877),and(not(isblank($A878)),$A878=$A877,$B878&lt;&gt;$B877)),"ID LISTS UNALIGNED",and($A878&lt;&gt;"",countif('5) Release_Track'!$F:$F,$A878)=0),"NO ISRC MATCH in Release_Track",and($B878&lt;&gt;"",countif('5) Release_Track'!$G:$G,$B878)=0),"NO CATALOG ID MATCH in Release_Track",iserror(vlookup($A878&amp;$B878,'5) Release_Track'!$F:$F&amp;'5) Release_Track'!$G:$G,1,0)),"NO ISRC-CATALOG ID pair MATCH in Release_Track" )</f>
        <v/>
      </c>
      <c r="E878" s="125" t="str">
        <f t="array" ref="E878">ifs(and(isblank($A878),isblank($B878)),"", not(iserror(vlookup($A878&amp;$B878,'5) Release_Track'!$F:$F&amp;'5) Release_Track'!$G:$G,1,0))),vlookup($A878&amp;$B878,{'5) Release_Track'!$F:$F&amp;'5) Release_Track'!$G:$G,'5) Release_Track'!$J:$J},2,0), or(and(not(isblank($B878)),$B878=$B877,$A878&lt;&gt;$A877),and(not(isblank($A878)),$A878=$A877,$B878&lt;&gt;$B877)),"ID LISTS UNALIGNED",and($A878&lt;&gt;"",countif('5) Release_Track'!$F:$F,$A878)=0),"NO ISRC MATCH in Release_Track",and($B878&lt;&gt;"",countif('5) Release_Track'!$G:$G,$B878)=0),"NO CATALOG ID MATCH in Release_Track",iserror(vlookup($A878&amp;$B878,'5) Release_Track'!$F:$F&amp;'5) Release_Track'!$G:$G,1,0)),"NO ISRC-CATALOG ID pair MATCH in Release_Track" )</f>
        <v/>
      </c>
      <c r="F878" s="122"/>
      <c r="G878" s="99"/>
      <c r="H878" s="178"/>
      <c r="I878" s="121" t="str">
        <f t="shared" si="6"/>
        <v/>
      </c>
      <c r="J878" s="99"/>
      <c r="K878" s="99"/>
    </row>
    <row r="879">
      <c r="B879" s="103"/>
      <c r="C879" s="121" t="str">
        <f t="array" ref="C879">ifs(and(isblank($A879),isblank($B879)),"", not(iserror(vlookup($A879&amp;$B879,'5) Release_Track'!$F:$F&amp;'5) Release_Track'!$G:$G,1,0))),vlookup($A879&amp;$B879,{'5) Release_Track'!$F:$F&amp;'5) Release_Track'!$G:$G,'5) Release_Track'!$H:$H},2,0), or(and(not(isblank($B879)),$B879=$B878,$A879&lt;&gt;$A878),and(not(isblank($A879)),$A879=$A878,$B879&lt;&gt;$B878)),"ID LISTS UNALIGNED",and($A879&lt;&gt;"",countif('5) Release_Track'!$F:$F,$A879)=0),"NO ISRC MATCH in Release_Track",and($B879&lt;&gt;"",countif('5) Release_Track'!$G:$G,$B879)=0),"NO CATALOG ID MATCH in Release_Track",iserror(vlookup($A879&amp;$B879,'5) Release_Track'!$F:$F&amp;'5) Release_Track'!$G:$G,1,0)),"NO ISRC-CATALOG ID pair MATCH in Release_Track" )</f>
        <v/>
      </c>
      <c r="D879" s="121" t="str">
        <f t="array" ref="D879">ifs(and(isblank($A879),isblank($B879)),"", not(iserror(vlookup($A879&amp;$B879,'5) Release_Track'!$F:$F&amp;'5) Release_Track'!$G:$G,1,0))),vlookup($A879&amp;$B879,{'5) Release_Track'!$F:$F&amp;'5) Release_Track'!$G:$G,'5) Release_Track'!$I:$I},2,0), or(and(not(isblank($B879)),$B879=$B878,$A879&lt;&gt;$A878),and(not(isblank($A879)),$A879=$A878,$B879&lt;&gt;$B878)),"ID LISTS UNALIGNED",and($A879&lt;&gt;"",countif('5) Release_Track'!$F:$F,$A879)=0),"NO ISRC MATCH in Release_Track",and($B879&lt;&gt;"",countif('5) Release_Track'!$G:$G,$B879)=0),"NO CATALOG ID MATCH in Release_Track",iserror(vlookup($A879&amp;$B879,'5) Release_Track'!$F:$F&amp;'5) Release_Track'!$G:$G,1,0)),"NO ISRC-CATALOG ID pair MATCH in Release_Track" )</f>
        <v/>
      </c>
      <c r="E879" s="125" t="str">
        <f t="array" ref="E879">ifs(and(isblank($A879),isblank($B879)),"", not(iserror(vlookup($A879&amp;$B879,'5) Release_Track'!$F:$F&amp;'5) Release_Track'!$G:$G,1,0))),vlookup($A879&amp;$B879,{'5) Release_Track'!$F:$F&amp;'5) Release_Track'!$G:$G,'5) Release_Track'!$J:$J},2,0), or(and(not(isblank($B879)),$B879=$B878,$A879&lt;&gt;$A878),and(not(isblank($A879)),$A879=$A878,$B879&lt;&gt;$B878)),"ID LISTS UNALIGNED",and($A879&lt;&gt;"",countif('5) Release_Track'!$F:$F,$A879)=0),"NO ISRC MATCH in Release_Track",and($B879&lt;&gt;"",countif('5) Release_Track'!$G:$G,$B879)=0),"NO CATALOG ID MATCH in Release_Track",iserror(vlookup($A879&amp;$B879,'5) Release_Track'!$F:$F&amp;'5) Release_Track'!$G:$G,1,0)),"NO ISRC-CATALOG ID pair MATCH in Release_Track" )</f>
        <v/>
      </c>
      <c r="F879" s="122"/>
      <c r="G879" s="99"/>
      <c r="H879" s="178"/>
      <c r="I879" s="121" t="str">
        <f t="shared" si="6"/>
        <v/>
      </c>
      <c r="J879" s="99"/>
      <c r="K879" s="99"/>
    </row>
    <row r="880">
      <c r="B880" s="103"/>
      <c r="C880" s="121" t="str">
        <f t="array" ref="C880">ifs(and(isblank($A880),isblank($B880)),"", not(iserror(vlookup($A880&amp;$B880,'5) Release_Track'!$F:$F&amp;'5) Release_Track'!$G:$G,1,0))),vlookup($A880&amp;$B880,{'5) Release_Track'!$F:$F&amp;'5) Release_Track'!$G:$G,'5) Release_Track'!$H:$H},2,0), or(and(not(isblank($B880)),$B880=$B879,$A880&lt;&gt;$A879),and(not(isblank($A880)),$A880=$A879,$B880&lt;&gt;$B879)),"ID LISTS UNALIGNED",and($A880&lt;&gt;"",countif('5) Release_Track'!$F:$F,$A880)=0),"NO ISRC MATCH in Release_Track",and($B880&lt;&gt;"",countif('5) Release_Track'!$G:$G,$B880)=0),"NO CATALOG ID MATCH in Release_Track",iserror(vlookup($A880&amp;$B880,'5) Release_Track'!$F:$F&amp;'5) Release_Track'!$G:$G,1,0)),"NO ISRC-CATALOG ID pair MATCH in Release_Track" )</f>
        <v/>
      </c>
      <c r="D880" s="121" t="str">
        <f t="array" ref="D880">ifs(and(isblank($A880),isblank($B880)),"", not(iserror(vlookup($A880&amp;$B880,'5) Release_Track'!$F:$F&amp;'5) Release_Track'!$G:$G,1,0))),vlookup($A880&amp;$B880,{'5) Release_Track'!$F:$F&amp;'5) Release_Track'!$G:$G,'5) Release_Track'!$I:$I},2,0), or(and(not(isblank($B880)),$B880=$B879,$A880&lt;&gt;$A879),and(not(isblank($A880)),$A880=$A879,$B880&lt;&gt;$B879)),"ID LISTS UNALIGNED",and($A880&lt;&gt;"",countif('5) Release_Track'!$F:$F,$A880)=0),"NO ISRC MATCH in Release_Track",and($B880&lt;&gt;"",countif('5) Release_Track'!$G:$G,$B880)=0),"NO CATALOG ID MATCH in Release_Track",iserror(vlookup($A880&amp;$B880,'5) Release_Track'!$F:$F&amp;'5) Release_Track'!$G:$G,1,0)),"NO ISRC-CATALOG ID pair MATCH in Release_Track" )</f>
        <v/>
      </c>
      <c r="E880" s="125" t="str">
        <f t="array" ref="E880">ifs(and(isblank($A880),isblank($B880)),"", not(iserror(vlookup($A880&amp;$B880,'5) Release_Track'!$F:$F&amp;'5) Release_Track'!$G:$G,1,0))),vlookup($A880&amp;$B880,{'5) Release_Track'!$F:$F&amp;'5) Release_Track'!$G:$G,'5) Release_Track'!$J:$J},2,0), or(and(not(isblank($B880)),$B880=$B879,$A880&lt;&gt;$A879),and(not(isblank($A880)),$A880=$A879,$B880&lt;&gt;$B879)),"ID LISTS UNALIGNED",and($A880&lt;&gt;"",countif('5) Release_Track'!$F:$F,$A880)=0),"NO ISRC MATCH in Release_Track",and($B880&lt;&gt;"",countif('5) Release_Track'!$G:$G,$B880)=0),"NO CATALOG ID MATCH in Release_Track",iserror(vlookup($A880&amp;$B880,'5) Release_Track'!$F:$F&amp;'5) Release_Track'!$G:$G,1,0)),"NO ISRC-CATALOG ID pair MATCH in Release_Track" )</f>
        <v/>
      </c>
      <c r="F880" s="122"/>
      <c r="G880" s="99"/>
      <c r="H880" s="178"/>
      <c r="I880" s="121" t="str">
        <f t="shared" si="6"/>
        <v/>
      </c>
      <c r="J880" s="99"/>
      <c r="K880" s="99"/>
    </row>
    <row r="881">
      <c r="B881" s="103"/>
      <c r="C881" s="121" t="str">
        <f t="array" ref="C881">ifs(and(isblank($A881),isblank($B881)),"", not(iserror(vlookup($A881&amp;$B881,'5) Release_Track'!$F:$F&amp;'5) Release_Track'!$G:$G,1,0))),vlookup($A881&amp;$B881,{'5) Release_Track'!$F:$F&amp;'5) Release_Track'!$G:$G,'5) Release_Track'!$H:$H},2,0), or(and(not(isblank($B881)),$B881=$B880,$A881&lt;&gt;$A880),and(not(isblank($A881)),$A881=$A880,$B881&lt;&gt;$B880)),"ID LISTS UNALIGNED",and($A881&lt;&gt;"",countif('5) Release_Track'!$F:$F,$A881)=0),"NO ISRC MATCH in Release_Track",and($B881&lt;&gt;"",countif('5) Release_Track'!$G:$G,$B881)=0),"NO CATALOG ID MATCH in Release_Track",iserror(vlookup($A881&amp;$B881,'5) Release_Track'!$F:$F&amp;'5) Release_Track'!$G:$G,1,0)),"NO ISRC-CATALOG ID pair MATCH in Release_Track" )</f>
        <v/>
      </c>
      <c r="D881" s="121" t="str">
        <f t="array" ref="D881">ifs(and(isblank($A881),isblank($B881)),"", not(iserror(vlookup($A881&amp;$B881,'5) Release_Track'!$F:$F&amp;'5) Release_Track'!$G:$G,1,0))),vlookup($A881&amp;$B881,{'5) Release_Track'!$F:$F&amp;'5) Release_Track'!$G:$G,'5) Release_Track'!$I:$I},2,0), or(and(not(isblank($B881)),$B881=$B880,$A881&lt;&gt;$A880),and(not(isblank($A881)),$A881=$A880,$B881&lt;&gt;$B880)),"ID LISTS UNALIGNED",and($A881&lt;&gt;"",countif('5) Release_Track'!$F:$F,$A881)=0),"NO ISRC MATCH in Release_Track",and($B881&lt;&gt;"",countif('5) Release_Track'!$G:$G,$B881)=0),"NO CATALOG ID MATCH in Release_Track",iserror(vlookup($A881&amp;$B881,'5) Release_Track'!$F:$F&amp;'5) Release_Track'!$G:$G,1,0)),"NO ISRC-CATALOG ID pair MATCH in Release_Track" )</f>
        <v/>
      </c>
      <c r="E881" s="125" t="str">
        <f t="array" ref="E881">ifs(and(isblank($A881),isblank($B881)),"", not(iserror(vlookup($A881&amp;$B881,'5) Release_Track'!$F:$F&amp;'5) Release_Track'!$G:$G,1,0))),vlookup($A881&amp;$B881,{'5) Release_Track'!$F:$F&amp;'5) Release_Track'!$G:$G,'5) Release_Track'!$J:$J},2,0), or(and(not(isblank($B881)),$B881=$B880,$A881&lt;&gt;$A880),and(not(isblank($A881)),$A881=$A880,$B881&lt;&gt;$B880)),"ID LISTS UNALIGNED",and($A881&lt;&gt;"",countif('5) Release_Track'!$F:$F,$A881)=0),"NO ISRC MATCH in Release_Track",and($B881&lt;&gt;"",countif('5) Release_Track'!$G:$G,$B881)=0),"NO CATALOG ID MATCH in Release_Track",iserror(vlookup($A881&amp;$B881,'5) Release_Track'!$F:$F&amp;'5) Release_Track'!$G:$G,1,0)),"NO ISRC-CATALOG ID pair MATCH in Release_Track" )</f>
        <v/>
      </c>
      <c r="F881" s="122"/>
      <c r="G881" s="99"/>
      <c r="H881" s="178"/>
      <c r="I881" s="121" t="str">
        <f t="shared" si="6"/>
        <v/>
      </c>
      <c r="J881" s="99"/>
      <c r="K881" s="99"/>
    </row>
    <row r="882">
      <c r="B882" s="103"/>
      <c r="C882" s="121" t="str">
        <f t="array" ref="C882">ifs(and(isblank($A882),isblank($B882)),"", not(iserror(vlookup($A882&amp;$B882,'5) Release_Track'!$F:$F&amp;'5) Release_Track'!$G:$G,1,0))),vlookup($A882&amp;$B882,{'5) Release_Track'!$F:$F&amp;'5) Release_Track'!$G:$G,'5) Release_Track'!$H:$H},2,0), or(and(not(isblank($B882)),$B882=$B881,$A882&lt;&gt;$A881),and(not(isblank($A882)),$A882=$A881,$B882&lt;&gt;$B881)),"ID LISTS UNALIGNED",and($A882&lt;&gt;"",countif('5) Release_Track'!$F:$F,$A882)=0),"NO ISRC MATCH in Release_Track",and($B882&lt;&gt;"",countif('5) Release_Track'!$G:$G,$B882)=0),"NO CATALOG ID MATCH in Release_Track",iserror(vlookup($A882&amp;$B882,'5) Release_Track'!$F:$F&amp;'5) Release_Track'!$G:$G,1,0)),"NO ISRC-CATALOG ID pair MATCH in Release_Track" )</f>
        <v/>
      </c>
      <c r="D882" s="121" t="str">
        <f t="array" ref="D882">ifs(and(isblank($A882),isblank($B882)),"", not(iserror(vlookup($A882&amp;$B882,'5) Release_Track'!$F:$F&amp;'5) Release_Track'!$G:$G,1,0))),vlookup($A882&amp;$B882,{'5) Release_Track'!$F:$F&amp;'5) Release_Track'!$G:$G,'5) Release_Track'!$I:$I},2,0), or(and(not(isblank($B882)),$B882=$B881,$A882&lt;&gt;$A881),and(not(isblank($A882)),$A882=$A881,$B882&lt;&gt;$B881)),"ID LISTS UNALIGNED",and($A882&lt;&gt;"",countif('5) Release_Track'!$F:$F,$A882)=0),"NO ISRC MATCH in Release_Track",and($B882&lt;&gt;"",countif('5) Release_Track'!$G:$G,$B882)=0),"NO CATALOG ID MATCH in Release_Track",iserror(vlookup($A882&amp;$B882,'5) Release_Track'!$F:$F&amp;'5) Release_Track'!$G:$G,1,0)),"NO ISRC-CATALOG ID pair MATCH in Release_Track" )</f>
        <v/>
      </c>
      <c r="E882" s="125" t="str">
        <f t="array" ref="E882">ifs(and(isblank($A882),isblank($B882)),"", not(iserror(vlookup($A882&amp;$B882,'5) Release_Track'!$F:$F&amp;'5) Release_Track'!$G:$G,1,0))),vlookup($A882&amp;$B882,{'5) Release_Track'!$F:$F&amp;'5) Release_Track'!$G:$G,'5) Release_Track'!$J:$J},2,0), or(and(not(isblank($B882)),$B882=$B881,$A882&lt;&gt;$A881),and(not(isblank($A882)),$A882=$A881,$B882&lt;&gt;$B881)),"ID LISTS UNALIGNED",and($A882&lt;&gt;"",countif('5) Release_Track'!$F:$F,$A882)=0),"NO ISRC MATCH in Release_Track",and($B882&lt;&gt;"",countif('5) Release_Track'!$G:$G,$B882)=0),"NO CATALOG ID MATCH in Release_Track",iserror(vlookup($A882&amp;$B882,'5) Release_Track'!$F:$F&amp;'5) Release_Track'!$G:$G,1,0)),"NO ISRC-CATALOG ID pair MATCH in Release_Track" )</f>
        <v/>
      </c>
      <c r="F882" s="122"/>
      <c r="G882" s="99"/>
      <c r="H882" s="178"/>
      <c r="I882" s="121" t="str">
        <f t="shared" si="6"/>
        <v/>
      </c>
      <c r="J882" s="99"/>
      <c r="K882" s="99"/>
    </row>
    <row r="883">
      <c r="B883" s="103"/>
      <c r="C883" s="121" t="str">
        <f t="array" ref="C883">ifs(and(isblank($A883),isblank($B883)),"", not(iserror(vlookup($A883&amp;$B883,'5) Release_Track'!$F:$F&amp;'5) Release_Track'!$G:$G,1,0))),vlookup($A883&amp;$B883,{'5) Release_Track'!$F:$F&amp;'5) Release_Track'!$G:$G,'5) Release_Track'!$H:$H},2,0), or(and(not(isblank($B883)),$B883=$B882,$A883&lt;&gt;$A882),and(not(isblank($A883)),$A883=$A882,$B883&lt;&gt;$B882)),"ID LISTS UNALIGNED",and($A883&lt;&gt;"",countif('5) Release_Track'!$F:$F,$A883)=0),"NO ISRC MATCH in Release_Track",and($B883&lt;&gt;"",countif('5) Release_Track'!$G:$G,$B883)=0),"NO CATALOG ID MATCH in Release_Track",iserror(vlookup($A883&amp;$B883,'5) Release_Track'!$F:$F&amp;'5) Release_Track'!$G:$G,1,0)),"NO ISRC-CATALOG ID pair MATCH in Release_Track" )</f>
        <v/>
      </c>
      <c r="D883" s="121" t="str">
        <f t="array" ref="D883">ifs(and(isblank($A883),isblank($B883)),"", not(iserror(vlookup($A883&amp;$B883,'5) Release_Track'!$F:$F&amp;'5) Release_Track'!$G:$G,1,0))),vlookup($A883&amp;$B883,{'5) Release_Track'!$F:$F&amp;'5) Release_Track'!$G:$G,'5) Release_Track'!$I:$I},2,0), or(and(not(isblank($B883)),$B883=$B882,$A883&lt;&gt;$A882),and(not(isblank($A883)),$A883=$A882,$B883&lt;&gt;$B882)),"ID LISTS UNALIGNED",and($A883&lt;&gt;"",countif('5) Release_Track'!$F:$F,$A883)=0),"NO ISRC MATCH in Release_Track",and($B883&lt;&gt;"",countif('5) Release_Track'!$G:$G,$B883)=0),"NO CATALOG ID MATCH in Release_Track",iserror(vlookup($A883&amp;$B883,'5) Release_Track'!$F:$F&amp;'5) Release_Track'!$G:$G,1,0)),"NO ISRC-CATALOG ID pair MATCH in Release_Track" )</f>
        <v/>
      </c>
      <c r="E883" s="125" t="str">
        <f t="array" ref="E883">ifs(and(isblank($A883),isblank($B883)),"", not(iserror(vlookup($A883&amp;$B883,'5) Release_Track'!$F:$F&amp;'5) Release_Track'!$G:$G,1,0))),vlookup($A883&amp;$B883,{'5) Release_Track'!$F:$F&amp;'5) Release_Track'!$G:$G,'5) Release_Track'!$J:$J},2,0), or(and(not(isblank($B883)),$B883=$B882,$A883&lt;&gt;$A882),and(not(isblank($A883)),$A883=$A882,$B883&lt;&gt;$B882)),"ID LISTS UNALIGNED",and($A883&lt;&gt;"",countif('5) Release_Track'!$F:$F,$A883)=0),"NO ISRC MATCH in Release_Track",and($B883&lt;&gt;"",countif('5) Release_Track'!$G:$G,$B883)=0),"NO CATALOG ID MATCH in Release_Track",iserror(vlookup($A883&amp;$B883,'5) Release_Track'!$F:$F&amp;'5) Release_Track'!$G:$G,1,0)),"NO ISRC-CATALOG ID pair MATCH in Release_Track" )</f>
        <v/>
      </c>
      <c r="F883" s="122"/>
      <c r="G883" s="99"/>
      <c r="H883" s="178"/>
      <c r="I883" s="121" t="str">
        <f t="shared" si="6"/>
        <v/>
      </c>
      <c r="J883" s="99"/>
      <c r="K883" s="99"/>
    </row>
    <row r="884">
      <c r="B884" s="103"/>
      <c r="C884" s="121" t="str">
        <f t="array" ref="C884">ifs(and(isblank($A884),isblank($B884)),"", not(iserror(vlookup($A884&amp;$B884,'5) Release_Track'!$F:$F&amp;'5) Release_Track'!$G:$G,1,0))),vlookup($A884&amp;$B884,{'5) Release_Track'!$F:$F&amp;'5) Release_Track'!$G:$G,'5) Release_Track'!$H:$H},2,0), or(and(not(isblank($B884)),$B884=$B883,$A884&lt;&gt;$A883),and(not(isblank($A884)),$A884=$A883,$B884&lt;&gt;$B883)),"ID LISTS UNALIGNED",and($A884&lt;&gt;"",countif('5) Release_Track'!$F:$F,$A884)=0),"NO ISRC MATCH in Release_Track",and($B884&lt;&gt;"",countif('5) Release_Track'!$G:$G,$B884)=0),"NO CATALOG ID MATCH in Release_Track",iserror(vlookup($A884&amp;$B884,'5) Release_Track'!$F:$F&amp;'5) Release_Track'!$G:$G,1,0)),"NO ISRC-CATALOG ID pair MATCH in Release_Track" )</f>
        <v/>
      </c>
      <c r="D884" s="121" t="str">
        <f t="array" ref="D884">ifs(and(isblank($A884),isblank($B884)),"", not(iserror(vlookup($A884&amp;$B884,'5) Release_Track'!$F:$F&amp;'5) Release_Track'!$G:$G,1,0))),vlookup($A884&amp;$B884,{'5) Release_Track'!$F:$F&amp;'5) Release_Track'!$G:$G,'5) Release_Track'!$I:$I},2,0), or(and(not(isblank($B884)),$B884=$B883,$A884&lt;&gt;$A883),and(not(isblank($A884)),$A884=$A883,$B884&lt;&gt;$B883)),"ID LISTS UNALIGNED",and($A884&lt;&gt;"",countif('5) Release_Track'!$F:$F,$A884)=0),"NO ISRC MATCH in Release_Track",and($B884&lt;&gt;"",countif('5) Release_Track'!$G:$G,$B884)=0),"NO CATALOG ID MATCH in Release_Track",iserror(vlookup($A884&amp;$B884,'5) Release_Track'!$F:$F&amp;'5) Release_Track'!$G:$G,1,0)),"NO ISRC-CATALOG ID pair MATCH in Release_Track" )</f>
        <v/>
      </c>
      <c r="E884" s="125" t="str">
        <f t="array" ref="E884">ifs(and(isblank($A884),isblank($B884)),"", not(iserror(vlookup($A884&amp;$B884,'5) Release_Track'!$F:$F&amp;'5) Release_Track'!$G:$G,1,0))),vlookup($A884&amp;$B884,{'5) Release_Track'!$F:$F&amp;'5) Release_Track'!$G:$G,'5) Release_Track'!$J:$J},2,0), or(and(not(isblank($B884)),$B884=$B883,$A884&lt;&gt;$A883),and(not(isblank($A884)),$A884=$A883,$B884&lt;&gt;$B883)),"ID LISTS UNALIGNED",and($A884&lt;&gt;"",countif('5) Release_Track'!$F:$F,$A884)=0),"NO ISRC MATCH in Release_Track",and($B884&lt;&gt;"",countif('5) Release_Track'!$G:$G,$B884)=0),"NO CATALOG ID MATCH in Release_Track",iserror(vlookup($A884&amp;$B884,'5) Release_Track'!$F:$F&amp;'5) Release_Track'!$G:$G,1,0)),"NO ISRC-CATALOG ID pair MATCH in Release_Track" )</f>
        <v/>
      </c>
      <c r="F884" s="122"/>
      <c r="G884" s="99"/>
      <c r="H884" s="178"/>
      <c r="I884" s="121" t="str">
        <f t="shared" si="6"/>
        <v/>
      </c>
      <c r="J884" s="99"/>
      <c r="K884" s="99"/>
    </row>
    <row r="885">
      <c r="B885" s="103"/>
      <c r="C885" s="121" t="str">
        <f t="array" ref="C885">ifs(and(isblank($A885),isblank($B885)),"", not(iserror(vlookup($A885&amp;$B885,'5) Release_Track'!$F:$F&amp;'5) Release_Track'!$G:$G,1,0))),vlookup($A885&amp;$B885,{'5) Release_Track'!$F:$F&amp;'5) Release_Track'!$G:$G,'5) Release_Track'!$H:$H},2,0), or(and(not(isblank($B885)),$B885=$B884,$A885&lt;&gt;$A884),and(not(isblank($A885)),$A885=$A884,$B885&lt;&gt;$B884)),"ID LISTS UNALIGNED",and($A885&lt;&gt;"",countif('5) Release_Track'!$F:$F,$A885)=0),"NO ISRC MATCH in Release_Track",and($B885&lt;&gt;"",countif('5) Release_Track'!$G:$G,$B885)=0),"NO CATALOG ID MATCH in Release_Track",iserror(vlookup($A885&amp;$B885,'5) Release_Track'!$F:$F&amp;'5) Release_Track'!$G:$G,1,0)),"NO ISRC-CATALOG ID pair MATCH in Release_Track" )</f>
        <v/>
      </c>
      <c r="D885" s="121" t="str">
        <f t="array" ref="D885">ifs(and(isblank($A885),isblank($B885)),"", not(iserror(vlookup($A885&amp;$B885,'5) Release_Track'!$F:$F&amp;'5) Release_Track'!$G:$G,1,0))),vlookup($A885&amp;$B885,{'5) Release_Track'!$F:$F&amp;'5) Release_Track'!$G:$G,'5) Release_Track'!$I:$I},2,0), or(and(not(isblank($B885)),$B885=$B884,$A885&lt;&gt;$A884),and(not(isblank($A885)),$A885=$A884,$B885&lt;&gt;$B884)),"ID LISTS UNALIGNED",and($A885&lt;&gt;"",countif('5) Release_Track'!$F:$F,$A885)=0),"NO ISRC MATCH in Release_Track",and($B885&lt;&gt;"",countif('5) Release_Track'!$G:$G,$B885)=0),"NO CATALOG ID MATCH in Release_Track",iserror(vlookup($A885&amp;$B885,'5) Release_Track'!$F:$F&amp;'5) Release_Track'!$G:$G,1,0)),"NO ISRC-CATALOG ID pair MATCH in Release_Track" )</f>
        <v/>
      </c>
      <c r="E885" s="125" t="str">
        <f t="array" ref="E885">ifs(and(isblank($A885),isblank($B885)),"", not(iserror(vlookup($A885&amp;$B885,'5) Release_Track'!$F:$F&amp;'5) Release_Track'!$G:$G,1,0))),vlookup($A885&amp;$B885,{'5) Release_Track'!$F:$F&amp;'5) Release_Track'!$G:$G,'5) Release_Track'!$J:$J},2,0), or(and(not(isblank($B885)),$B885=$B884,$A885&lt;&gt;$A884),and(not(isblank($A885)),$A885=$A884,$B885&lt;&gt;$B884)),"ID LISTS UNALIGNED",and($A885&lt;&gt;"",countif('5) Release_Track'!$F:$F,$A885)=0),"NO ISRC MATCH in Release_Track",and($B885&lt;&gt;"",countif('5) Release_Track'!$G:$G,$B885)=0),"NO CATALOG ID MATCH in Release_Track",iserror(vlookup($A885&amp;$B885,'5) Release_Track'!$F:$F&amp;'5) Release_Track'!$G:$G,1,0)),"NO ISRC-CATALOG ID pair MATCH in Release_Track" )</f>
        <v/>
      </c>
      <c r="F885" s="122"/>
      <c r="G885" s="99"/>
      <c r="H885" s="178"/>
      <c r="I885" s="121" t="str">
        <f t="shared" si="6"/>
        <v/>
      </c>
      <c r="J885" s="99"/>
      <c r="K885" s="99"/>
    </row>
    <row r="886">
      <c r="B886" s="103"/>
      <c r="C886" s="121" t="str">
        <f t="array" ref="C886">ifs(and(isblank($A886),isblank($B886)),"", not(iserror(vlookup($A886&amp;$B886,'5) Release_Track'!$F:$F&amp;'5) Release_Track'!$G:$G,1,0))),vlookup($A886&amp;$B886,{'5) Release_Track'!$F:$F&amp;'5) Release_Track'!$G:$G,'5) Release_Track'!$H:$H},2,0), or(and(not(isblank($B886)),$B886=$B885,$A886&lt;&gt;$A885),and(not(isblank($A886)),$A886=$A885,$B886&lt;&gt;$B885)),"ID LISTS UNALIGNED",and($A886&lt;&gt;"",countif('5) Release_Track'!$F:$F,$A886)=0),"NO ISRC MATCH in Release_Track",and($B886&lt;&gt;"",countif('5) Release_Track'!$G:$G,$B886)=0),"NO CATALOG ID MATCH in Release_Track",iserror(vlookup($A886&amp;$B886,'5) Release_Track'!$F:$F&amp;'5) Release_Track'!$G:$G,1,0)),"NO ISRC-CATALOG ID pair MATCH in Release_Track" )</f>
        <v/>
      </c>
      <c r="D886" s="121" t="str">
        <f t="array" ref="D886">ifs(and(isblank($A886),isblank($B886)),"", not(iserror(vlookup($A886&amp;$B886,'5) Release_Track'!$F:$F&amp;'5) Release_Track'!$G:$G,1,0))),vlookup($A886&amp;$B886,{'5) Release_Track'!$F:$F&amp;'5) Release_Track'!$G:$G,'5) Release_Track'!$I:$I},2,0), or(and(not(isblank($B886)),$B886=$B885,$A886&lt;&gt;$A885),and(not(isblank($A886)),$A886=$A885,$B886&lt;&gt;$B885)),"ID LISTS UNALIGNED",and($A886&lt;&gt;"",countif('5) Release_Track'!$F:$F,$A886)=0),"NO ISRC MATCH in Release_Track",and($B886&lt;&gt;"",countif('5) Release_Track'!$G:$G,$B886)=0),"NO CATALOG ID MATCH in Release_Track",iserror(vlookup($A886&amp;$B886,'5) Release_Track'!$F:$F&amp;'5) Release_Track'!$G:$G,1,0)),"NO ISRC-CATALOG ID pair MATCH in Release_Track" )</f>
        <v/>
      </c>
      <c r="E886" s="125" t="str">
        <f t="array" ref="E886">ifs(and(isblank($A886),isblank($B886)),"", not(iserror(vlookup($A886&amp;$B886,'5) Release_Track'!$F:$F&amp;'5) Release_Track'!$G:$G,1,0))),vlookup($A886&amp;$B886,{'5) Release_Track'!$F:$F&amp;'5) Release_Track'!$G:$G,'5) Release_Track'!$J:$J},2,0), or(and(not(isblank($B886)),$B886=$B885,$A886&lt;&gt;$A885),and(not(isblank($A886)),$A886=$A885,$B886&lt;&gt;$B885)),"ID LISTS UNALIGNED",and($A886&lt;&gt;"",countif('5) Release_Track'!$F:$F,$A886)=0),"NO ISRC MATCH in Release_Track",and($B886&lt;&gt;"",countif('5) Release_Track'!$G:$G,$B886)=0),"NO CATALOG ID MATCH in Release_Track",iserror(vlookup($A886&amp;$B886,'5) Release_Track'!$F:$F&amp;'5) Release_Track'!$G:$G,1,0)),"NO ISRC-CATALOG ID pair MATCH in Release_Track" )</f>
        <v/>
      </c>
      <c r="F886" s="122"/>
      <c r="G886" s="99"/>
      <c r="H886" s="178"/>
      <c r="I886" s="121" t="str">
        <f t="shared" si="6"/>
        <v/>
      </c>
      <c r="J886" s="99"/>
      <c r="K886" s="99"/>
    </row>
    <row r="887">
      <c r="B887" s="103"/>
      <c r="C887" s="121" t="str">
        <f t="array" ref="C887">ifs(and(isblank($A887),isblank($B887)),"", not(iserror(vlookup($A887&amp;$B887,'5) Release_Track'!$F:$F&amp;'5) Release_Track'!$G:$G,1,0))),vlookup($A887&amp;$B887,{'5) Release_Track'!$F:$F&amp;'5) Release_Track'!$G:$G,'5) Release_Track'!$H:$H},2,0), or(and(not(isblank($B887)),$B887=$B886,$A887&lt;&gt;$A886),and(not(isblank($A887)),$A887=$A886,$B887&lt;&gt;$B886)),"ID LISTS UNALIGNED",and($A887&lt;&gt;"",countif('5) Release_Track'!$F:$F,$A887)=0),"NO ISRC MATCH in Release_Track",and($B887&lt;&gt;"",countif('5) Release_Track'!$G:$G,$B887)=0),"NO CATALOG ID MATCH in Release_Track",iserror(vlookup($A887&amp;$B887,'5) Release_Track'!$F:$F&amp;'5) Release_Track'!$G:$G,1,0)),"NO ISRC-CATALOG ID pair MATCH in Release_Track" )</f>
        <v/>
      </c>
      <c r="D887" s="121" t="str">
        <f t="array" ref="D887">ifs(and(isblank($A887),isblank($B887)),"", not(iserror(vlookup($A887&amp;$B887,'5) Release_Track'!$F:$F&amp;'5) Release_Track'!$G:$G,1,0))),vlookup($A887&amp;$B887,{'5) Release_Track'!$F:$F&amp;'5) Release_Track'!$G:$G,'5) Release_Track'!$I:$I},2,0), or(and(not(isblank($B887)),$B887=$B886,$A887&lt;&gt;$A886),and(not(isblank($A887)),$A887=$A886,$B887&lt;&gt;$B886)),"ID LISTS UNALIGNED",and($A887&lt;&gt;"",countif('5) Release_Track'!$F:$F,$A887)=0),"NO ISRC MATCH in Release_Track",and($B887&lt;&gt;"",countif('5) Release_Track'!$G:$G,$B887)=0),"NO CATALOG ID MATCH in Release_Track",iserror(vlookup($A887&amp;$B887,'5) Release_Track'!$F:$F&amp;'5) Release_Track'!$G:$G,1,0)),"NO ISRC-CATALOG ID pair MATCH in Release_Track" )</f>
        <v/>
      </c>
      <c r="E887" s="125" t="str">
        <f t="array" ref="E887">ifs(and(isblank($A887),isblank($B887)),"", not(iserror(vlookup($A887&amp;$B887,'5) Release_Track'!$F:$F&amp;'5) Release_Track'!$G:$G,1,0))),vlookup($A887&amp;$B887,{'5) Release_Track'!$F:$F&amp;'5) Release_Track'!$G:$G,'5) Release_Track'!$J:$J},2,0), or(and(not(isblank($B887)),$B887=$B886,$A887&lt;&gt;$A886),and(not(isblank($A887)),$A887=$A886,$B887&lt;&gt;$B886)),"ID LISTS UNALIGNED",and($A887&lt;&gt;"",countif('5) Release_Track'!$F:$F,$A887)=0),"NO ISRC MATCH in Release_Track",and($B887&lt;&gt;"",countif('5) Release_Track'!$G:$G,$B887)=0),"NO CATALOG ID MATCH in Release_Track",iserror(vlookup($A887&amp;$B887,'5) Release_Track'!$F:$F&amp;'5) Release_Track'!$G:$G,1,0)),"NO ISRC-CATALOG ID pair MATCH in Release_Track" )</f>
        <v/>
      </c>
      <c r="F887" s="122"/>
      <c r="G887" s="99"/>
      <c r="H887" s="178"/>
      <c r="I887" s="121" t="str">
        <f t="shared" si="6"/>
        <v/>
      </c>
      <c r="J887" s="99"/>
      <c r="K887" s="99"/>
    </row>
    <row r="888">
      <c r="B888" s="103"/>
      <c r="C888" s="121" t="str">
        <f t="array" ref="C888">ifs(and(isblank($A888),isblank($B888)),"", not(iserror(vlookup($A888&amp;$B888,'5) Release_Track'!$F:$F&amp;'5) Release_Track'!$G:$G,1,0))),vlookup($A888&amp;$B888,{'5) Release_Track'!$F:$F&amp;'5) Release_Track'!$G:$G,'5) Release_Track'!$H:$H},2,0), or(and(not(isblank($B888)),$B888=$B887,$A888&lt;&gt;$A887),and(not(isblank($A888)),$A888=$A887,$B888&lt;&gt;$B887)),"ID LISTS UNALIGNED",and($A888&lt;&gt;"",countif('5) Release_Track'!$F:$F,$A888)=0),"NO ISRC MATCH in Release_Track",and($B888&lt;&gt;"",countif('5) Release_Track'!$G:$G,$B888)=0),"NO CATALOG ID MATCH in Release_Track",iserror(vlookup($A888&amp;$B888,'5) Release_Track'!$F:$F&amp;'5) Release_Track'!$G:$G,1,0)),"NO ISRC-CATALOG ID pair MATCH in Release_Track" )</f>
        <v/>
      </c>
      <c r="D888" s="121" t="str">
        <f t="array" ref="D888">ifs(and(isblank($A888),isblank($B888)),"", not(iserror(vlookup($A888&amp;$B888,'5) Release_Track'!$F:$F&amp;'5) Release_Track'!$G:$G,1,0))),vlookup($A888&amp;$B888,{'5) Release_Track'!$F:$F&amp;'5) Release_Track'!$G:$G,'5) Release_Track'!$I:$I},2,0), or(and(not(isblank($B888)),$B888=$B887,$A888&lt;&gt;$A887),and(not(isblank($A888)),$A888=$A887,$B888&lt;&gt;$B887)),"ID LISTS UNALIGNED",and($A888&lt;&gt;"",countif('5) Release_Track'!$F:$F,$A888)=0),"NO ISRC MATCH in Release_Track",and($B888&lt;&gt;"",countif('5) Release_Track'!$G:$G,$B888)=0),"NO CATALOG ID MATCH in Release_Track",iserror(vlookup($A888&amp;$B888,'5) Release_Track'!$F:$F&amp;'5) Release_Track'!$G:$G,1,0)),"NO ISRC-CATALOG ID pair MATCH in Release_Track" )</f>
        <v/>
      </c>
      <c r="E888" s="125" t="str">
        <f t="array" ref="E888">ifs(and(isblank($A888),isblank($B888)),"", not(iserror(vlookup($A888&amp;$B888,'5) Release_Track'!$F:$F&amp;'5) Release_Track'!$G:$G,1,0))),vlookup($A888&amp;$B888,{'5) Release_Track'!$F:$F&amp;'5) Release_Track'!$G:$G,'5) Release_Track'!$J:$J},2,0), or(and(not(isblank($B888)),$B888=$B887,$A888&lt;&gt;$A887),and(not(isblank($A888)),$A888=$A887,$B888&lt;&gt;$B887)),"ID LISTS UNALIGNED",and($A888&lt;&gt;"",countif('5) Release_Track'!$F:$F,$A888)=0),"NO ISRC MATCH in Release_Track",and($B888&lt;&gt;"",countif('5) Release_Track'!$G:$G,$B888)=0),"NO CATALOG ID MATCH in Release_Track",iserror(vlookup($A888&amp;$B888,'5) Release_Track'!$F:$F&amp;'5) Release_Track'!$G:$G,1,0)),"NO ISRC-CATALOG ID pair MATCH in Release_Track" )</f>
        <v/>
      </c>
      <c r="F888" s="122"/>
      <c r="G888" s="99"/>
      <c r="H888" s="178"/>
      <c r="I888" s="121" t="str">
        <f t="shared" si="6"/>
        <v/>
      </c>
      <c r="J888" s="99"/>
      <c r="K888" s="99"/>
    </row>
    <row r="889">
      <c r="B889" s="103"/>
      <c r="C889" s="121" t="str">
        <f t="array" ref="C889">ifs(and(isblank($A889),isblank($B889)),"", not(iserror(vlookup($A889&amp;$B889,'5) Release_Track'!$F:$F&amp;'5) Release_Track'!$G:$G,1,0))),vlookup($A889&amp;$B889,{'5) Release_Track'!$F:$F&amp;'5) Release_Track'!$G:$G,'5) Release_Track'!$H:$H},2,0), or(and(not(isblank($B889)),$B889=$B888,$A889&lt;&gt;$A888),and(not(isblank($A889)),$A889=$A888,$B889&lt;&gt;$B888)),"ID LISTS UNALIGNED",and($A889&lt;&gt;"",countif('5) Release_Track'!$F:$F,$A889)=0),"NO ISRC MATCH in Release_Track",and($B889&lt;&gt;"",countif('5) Release_Track'!$G:$G,$B889)=0),"NO CATALOG ID MATCH in Release_Track",iserror(vlookup($A889&amp;$B889,'5) Release_Track'!$F:$F&amp;'5) Release_Track'!$G:$G,1,0)),"NO ISRC-CATALOG ID pair MATCH in Release_Track" )</f>
        <v/>
      </c>
      <c r="D889" s="121" t="str">
        <f t="array" ref="D889">ifs(and(isblank($A889),isblank($B889)),"", not(iserror(vlookup($A889&amp;$B889,'5) Release_Track'!$F:$F&amp;'5) Release_Track'!$G:$G,1,0))),vlookup($A889&amp;$B889,{'5) Release_Track'!$F:$F&amp;'5) Release_Track'!$G:$G,'5) Release_Track'!$I:$I},2,0), or(and(not(isblank($B889)),$B889=$B888,$A889&lt;&gt;$A888),and(not(isblank($A889)),$A889=$A888,$B889&lt;&gt;$B888)),"ID LISTS UNALIGNED",and($A889&lt;&gt;"",countif('5) Release_Track'!$F:$F,$A889)=0),"NO ISRC MATCH in Release_Track",and($B889&lt;&gt;"",countif('5) Release_Track'!$G:$G,$B889)=0),"NO CATALOG ID MATCH in Release_Track",iserror(vlookup($A889&amp;$B889,'5) Release_Track'!$F:$F&amp;'5) Release_Track'!$G:$G,1,0)),"NO ISRC-CATALOG ID pair MATCH in Release_Track" )</f>
        <v/>
      </c>
      <c r="E889" s="125" t="str">
        <f t="array" ref="E889">ifs(and(isblank($A889),isblank($B889)),"", not(iserror(vlookup($A889&amp;$B889,'5) Release_Track'!$F:$F&amp;'5) Release_Track'!$G:$G,1,0))),vlookup($A889&amp;$B889,{'5) Release_Track'!$F:$F&amp;'5) Release_Track'!$G:$G,'5) Release_Track'!$J:$J},2,0), or(and(not(isblank($B889)),$B889=$B888,$A889&lt;&gt;$A888),and(not(isblank($A889)),$A889=$A888,$B889&lt;&gt;$B888)),"ID LISTS UNALIGNED",and($A889&lt;&gt;"",countif('5) Release_Track'!$F:$F,$A889)=0),"NO ISRC MATCH in Release_Track",and($B889&lt;&gt;"",countif('5) Release_Track'!$G:$G,$B889)=0),"NO CATALOG ID MATCH in Release_Track",iserror(vlookup($A889&amp;$B889,'5) Release_Track'!$F:$F&amp;'5) Release_Track'!$G:$G,1,0)),"NO ISRC-CATALOG ID pair MATCH in Release_Track" )</f>
        <v/>
      </c>
      <c r="F889" s="122"/>
      <c r="G889" s="99"/>
      <c r="H889" s="178"/>
      <c r="I889" s="121" t="str">
        <f t="shared" si="6"/>
        <v/>
      </c>
      <c r="J889" s="99"/>
      <c r="K889" s="99"/>
    </row>
    <row r="890">
      <c r="B890" s="103"/>
      <c r="C890" s="121" t="str">
        <f t="array" ref="C890">ifs(and(isblank($A890),isblank($B890)),"", not(iserror(vlookup($A890&amp;$B890,'5) Release_Track'!$F:$F&amp;'5) Release_Track'!$G:$G,1,0))),vlookup($A890&amp;$B890,{'5) Release_Track'!$F:$F&amp;'5) Release_Track'!$G:$G,'5) Release_Track'!$H:$H},2,0), or(and(not(isblank($B890)),$B890=$B889,$A890&lt;&gt;$A889),and(not(isblank($A890)),$A890=$A889,$B890&lt;&gt;$B889)),"ID LISTS UNALIGNED",and($A890&lt;&gt;"",countif('5) Release_Track'!$F:$F,$A890)=0),"NO ISRC MATCH in Release_Track",and($B890&lt;&gt;"",countif('5) Release_Track'!$G:$G,$B890)=0),"NO CATALOG ID MATCH in Release_Track",iserror(vlookup($A890&amp;$B890,'5) Release_Track'!$F:$F&amp;'5) Release_Track'!$G:$G,1,0)),"NO ISRC-CATALOG ID pair MATCH in Release_Track" )</f>
        <v/>
      </c>
      <c r="D890" s="121" t="str">
        <f t="array" ref="D890">ifs(and(isblank($A890),isblank($B890)),"", not(iserror(vlookup($A890&amp;$B890,'5) Release_Track'!$F:$F&amp;'5) Release_Track'!$G:$G,1,0))),vlookup($A890&amp;$B890,{'5) Release_Track'!$F:$F&amp;'5) Release_Track'!$G:$G,'5) Release_Track'!$I:$I},2,0), or(and(not(isblank($B890)),$B890=$B889,$A890&lt;&gt;$A889),and(not(isblank($A890)),$A890=$A889,$B890&lt;&gt;$B889)),"ID LISTS UNALIGNED",and($A890&lt;&gt;"",countif('5) Release_Track'!$F:$F,$A890)=0),"NO ISRC MATCH in Release_Track",and($B890&lt;&gt;"",countif('5) Release_Track'!$G:$G,$B890)=0),"NO CATALOG ID MATCH in Release_Track",iserror(vlookup($A890&amp;$B890,'5) Release_Track'!$F:$F&amp;'5) Release_Track'!$G:$G,1,0)),"NO ISRC-CATALOG ID pair MATCH in Release_Track" )</f>
        <v/>
      </c>
      <c r="E890" s="125" t="str">
        <f t="array" ref="E890">ifs(and(isblank($A890),isblank($B890)),"", not(iserror(vlookup($A890&amp;$B890,'5) Release_Track'!$F:$F&amp;'5) Release_Track'!$G:$G,1,0))),vlookup($A890&amp;$B890,{'5) Release_Track'!$F:$F&amp;'5) Release_Track'!$G:$G,'5) Release_Track'!$J:$J},2,0), or(and(not(isblank($B890)),$B890=$B889,$A890&lt;&gt;$A889),and(not(isblank($A890)),$A890=$A889,$B890&lt;&gt;$B889)),"ID LISTS UNALIGNED",and($A890&lt;&gt;"",countif('5) Release_Track'!$F:$F,$A890)=0),"NO ISRC MATCH in Release_Track",and($B890&lt;&gt;"",countif('5) Release_Track'!$G:$G,$B890)=0),"NO CATALOG ID MATCH in Release_Track",iserror(vlookup($A890&amp;$B890,'5) Release_Track'!$F:$F&amp;'5) Release_Track'!$G:$G,1,0)),"NO ISRC-CATALOG ID pair MATCH in Release_Track" )</f>
        <v/>
      </c>
      <c r="F890" s="122"/>
      <c r="G890" s="99"/>
      <c r="H890" s="178"/>
      <c r="I890" s="121" t="str">
        <f t="shared" si="6"/>
        <v/>
      </c>
      <c r="J890" s="99"/>
      <c r="K890" s="99"/>
    </row>
    <row r="891">
      <c r="B891" s="103"/>
      <c r="C891" s="121" t="str">
        <f t="array" ref="C891">ifs(and(isblank($A891),isblank($B891)),"", not(iserror(vlookup($A891&amp;$B891,'5) Release_Track'!$F:$F&amp;'5) Release_Track'!$G:$G,1,0))),vlookup($A891&amp;$B891,{'5) Release_Track'!$F:$F&amp;'5) Release_Track'!$G:$G,'5) Release_Track'!$H:$H},2,0), or(and(not(isblank($B891)),$B891=$B890,$A891&lt;&gt;$A890),and(not(isblank($A891)),$A891=$A890,$B891&lt;&gt;$B890)),"ID LISTS UNALIGNED",and($A891&lt;&gt;"",countif('5) Release_Track'!$F:$F,$A891)=0),"NO ISRC MATCH in Release_Track",and($B891&lt;&gt;"",countif('5) Release_Track'!$G:$G,$B891)=0),"NO CATALOG ID MATCH in Release_Track",iserror(vlookup($A891&amp;$B891,'5) Release_Track'!$F:$F&amp;'5) Release_Track'!$G:$G,1,0)),"NO ISRC-CATALOG ID pair MATCH in Release_Track" )</f>
        <v/>
      </c>
      <c r="D891" s="121" t="str">
        <f t="array" ref="D891">ifs(and(isblank($A891),isblank($B891)),"", not(iserror(vlookup($A891&amp;$B891,'5) Release_Track'!$F:$F&amp;'5) Release_Track'!$G:$G,1,0))),vlookup($A891&amp;$B891,{'5) Release_Track'!$F:$F&amp;'5) Release_Track'!$G:$G,'5) Release_Track'!$I:$I},2,0), or(and(not(isblank($B891)),$B891=$B890,$A891&lt;&gt;$A890),and(not(isblank($A891)),$A891=$A890,$B891&lt;&gt;$B890)),"ID LISTS UNALIGNED",and($A891&lt;&gt;"",countif('5) Release_Track'!$F:$F,$A891)=0),"NO ISRC MATCH in Release_Track",and($B891&lt;&gt;"",countif('5) Release_Track'!$G:$G,$B891)=0),"NO CATALOG ID MATCH in Release_Track",iserror(vlookup($A891&amp;$B891,'5) Release_Track'!$F:$F&amp;'5) Release_Track'!$G:$G,1,0)),"NO ISRC-CATALOG ID pair MATCH in Release_Track" )</f>
        <v/>
      </c>
      <c r="E891" s="125" t="str">
        <f t="array" ref="E891">ifs(and(isblank($A891),isblank($B891)),"", not(iserror(vlookup($A891&amp;$B891,'5) Release_Track'!$F:$F&amp;'5) Release_Track'!$G:$G,1,0))),vlookup($A891&amp;$B891,{'5) Release_Track'!$F:$F&amp;'5) Release_Track'!$G:$G,'5) Release_Track'!$J:$J},2,0), or(and(not(isblank($B891)),$B891=$B890,$A891&lt;&gt;$A890),and(not(isblank($A891)),$A891=$A890,$B891&lt;&gt;$B890)),"ID LISTS UNALIGNED",and($A891&lt;&gt;"",countif('5) Release_Track'!$F:$F,$A891)=0),"NO ISRC MATCH in Release_Track",and($B891&lt;&gt;"",countif('5) Release_Track'!$G:$G,$B891)=0),"NO CATALOG ID MATCH in Release_Track",iserror(vlookup($A891&amp;$B891,'5) Release_Track'!$F:$F&amp;'5) Release_Track'!$G:$G,1,0)),"NO ISRC-CATALOG ID pair MATCH in Release_Track" )</f>
        <v/>
      </c>
      <c r="F891" s="122"/>
      <c r="G891" s="99"/>
      <c r="H891" s="178"/>
      <c r="I891" s="121" t="str">
        <f t="shared" si="6"/>
        <v/>
      </c>
      <c r="J891" s="99"/>
      <c r="K891" s="99"/>
    </row>
    <row r="892">
      <c r="B892" s="103"/>
      <c r="C892" s="121" t="str">
        <f t="array" ref="C892">ifs(and(isblank($A892),isblank($B892)),"", not(iserror(vlookup($A892&amp;$B892,'5) Release_Track'!$F:$F&amp;'5) Release_Track'!$G:$G,1,0))),vlookup($A892&amp;$B892,{'5) Release_Track'!$F:$F&amp;'5) Release_Track'!$G:$G,'5) Release_Track'!$H:$H},2,0), or(and(not(isblank($B892)),$B892=$B891,$A892&lt;&gt;$A891),and(not(isblank($A892)),$A892=$A891,$B892&lt;&gt;$B891)),"ID LISTS UNALIGNED",and($A892&lt;&gt;"",countif('5) Release_Track'!$F:$F,$A892)=0),"NO ISRC MATCH in Release_Track",and($B892&lt;&gt;"",countif('5) Release_Track'!$G:$G,$B892)=0),"NO CATALOG ID MATCH in Release_Track",iserror(vlookup($A892&amp;$B892,'5) Release_Track'!$F:$F&amp;'5) Release_Track'!$G:$G,1,0)),"NO ISRC-CATALOG ID pair MATCH in Release_Track" )</f>
        <v/>
      </c>
      <c r="D892" s="121" t="str">
        <f t="array" ref="D892">ifs(and(isblank($A892),isblank($B892)),"", not(iserror(vlookup($A892&amp;$B892,'5) Release_Track'!$F:$F&amp;'5) Release_Track'!$G:$G,1,0))),vlookup($A892&amp;$B892,{'5) Release_Track'!$F:$F&amp;'5) Release_Track'!$G:$G,'5) Release_Track'!$I:$I},2,0), or(and(not(isblank($B892)),$B892=$B891,$A892&lt;&gt;$A891),and(not(isblank($A892)),$A892=$A891,$B892&lt;&gt;$B891)),"ID LISTS UNALIGNED",and($A892&lt;&gt;"",countif('5) Release_Track'!$F:$F,$A892)=0),"NO ISRC MATCH in Release_Track",and($B892&lt;&gt;"",countif('5) Release_Track'!$G:$G,$B892)=0),"NO CATALOG ID MATCH in Release_Track",iserror(vlookup($A892&amp;$B892,'5) Release_Track'!$F:$F&amp;'5) Release_Track'!$G:$G,1,0)),"NO ISRC-CATALOG ID pair MATCH in Release_Track" )</f>
        <v/>
      </c>
      <c r="E892" s="125" t="str">
        <f t="array" ref="E892">ifs(and(isblank($A892),isblank($B892)),"", not(iserror(vlookup($A892&amp;$B892,'5) Release_Track'!$F:$F&amp;'5) Release_Track'!$G:$G,1,0))),vlookup($A892&amp;$B892,{'5) Release_Track'!$F:$F&amp;'5) Release_Track'!$G:$G,'5) Release_Track'!$J:$J},2,0), or(and(not(isblank($B892)),$B892=$B891,$A892&lt;&gt;$A891),and(not(isblank($A892)),$A892=$A891,$B892&lt;&gt;$B891)),"ID LISTS UNALIGNED",and($A892&lt;&gt;"",countif('5) Release_Track'!$F:$F,$A892)=0),"NO ISRC MATCH in Release_Track",and($B892&lt;&gt;"",countif('5) Release_Track'!$G:$G,$B892)=0),"NO CATALOG ID MATCH in Release_Track",iserror(vlookup($A892&amp;$B892,'5) Release_Track'!$F:$F&amp;'5) Release_Track'!$G:$G,1,0)),"NO ISRC-CATALOG ID pair MATCH in Release_Track" )</f>
        <v/>
      </c>
      <c r="F892" s="122"/>
      <c r="G892" s="99"/>
      <c r="H892" s="178"/>
      <c r="I892" s="121" t="str">
        <f t="shared" si="6"/>
        <v/>
      </c>
      <c r="J892" s="99"/>
      <c r="K892" s="99"/>
    </row>
    <row r="893">
      <c r="B893" s="103"/>
      <c r="C893" s="121" t="str">
        <f t="array" ref="C893">ifs(and(isblank($A893),isblank($B893)),"", not(iserror(vlookup($A893&amp;$B893,'5) Release_Track'!$F:$F&amp;'5) Release_Track'!$G:$G,1,0))),vlookup($A893&amp;$B893,{'5) Release_Track'!$F:$F&amp;'5) Release_Track'!$G:$G,'5) Release_Track'!$H:$H},2,0), or(and(not(isblank($B893)),$B893=$B892,$A893&lt;&gt;$A892),and(not(isblank($A893)),$A893=$A892,$B893&lt;&gt;$B892)),"ID LISTS UNALIGNED",and($A893&lt;&gt;"",countif('5) Release_Track'!$F:$F,$A893)=0),"NO ISRC MATCH in Release_Track",and($B893&lt;&gt;"",countif('5) Release_Track'!$G:$G,$B893)=0),"NO CATALOG ID MATCH in Release_Track",iserror(vlookup($A893&amp;$B893,'5) Release_Track'!$F:$F&amp;'5) Release_Track'!$G:$G,1,0)),"NO ISRC-CATALOG ID pair MATCH in Release_Track" )</f>
        <v/>
      </c>
      <c r="D893" s="121" t="str">
        <f t="array" ref="D893">ifs(and(isblank($A893),isblank($B893)),"", not(iserror(vlookup($A893&amp;$B893,'5) Release_Track'!$F:$F&amp;'5) Release_Track'!$G:$G,1,0))),vlookup($A893&amp;$B893,{'5) Release_Track'!$F:$F&amp;'5) Release_Track'!$G:$G,'5) Release_Track'!$I:$I},2,0), or(and(not(isblank($B893)),$B893=$B892,$A893&lt;&gt;$A892),and(not(isblank($A893)),$A893=$A892,$B893&lt;&gt;$B892)),"ID LISTS UNALIGNED",and($A893&lt;&gt;"",countif('5) Release_Track'!$F:$F,$A893)=0),"NO ISRC MATCH in Release_Track",and($B893&lt;&gt;"",countif('5) Release_Track'!$G:$G,$B893)=0),"NO CATALOG ID MATCH in Release_Track",iserror(vlookup($A893&amp;$B893,'5) Release_Track'!$F:$F&amp;'5) Release_Track'!$G:$G,1,0)),"NO ISRC-CATALOG ID pair MATCH in Release_Track" )</f>
        <v/>
      </c>
      <c r="E893" s="125" t="str">
        <f t="array" ref="E893">ifs(and(isblank($A893),isblank($B893)),"", not(iserror(vlookup($A893&amp;$B893,'5) Release_Track'!$F:$F&amp;'5) Release_Track'!$G:$G,1,0))),vlookup($A893&amp;$B893,{'5) Release_Track'!$F:$F&amp;'5) Release_Track'!$G:$G,'5) Release_Track'!$J:$J},2,0), or(and(not(isblank($B893)),$B893=$B892,$A893&lt;&gt;$A892),and(not(isblank($A893)),$A893=$A892,$B893&lt;&gt;$B892)),"ID LISTS UNALIGNED",and($A893&lt;&gt;"",countif('5) Release_Track'!$F:$F,$A893)=0),"NO ISRC MATCH in Release_Track",and($B893&lt;&gt;"",countif('5) Release_Track'!$G:$G,$B893)=0),"NO CATALOG ID MATCH in Release_Track",iserror(vlookup($A893&amp;$B893,'5) Release_Track'!$F:$F&amp;'5) Release_Track'!$G:$G,1,0)),"NO ISRC-CATALOG ID pair MATCH in Release_Track" )</f>
        <v/>
      </c>
      <c r="F893" s="122"/>
      <c r="G893" s="99"/>
      <c r="H893" s="178"/>
      <c r="I893" s="121" t="str">
        <f t="shared" si="6"/>
        <v/>
      </c>
      <c r="J893" s="99"/>
      <c r="K893" s="99"/>
    </row>
    <row r="894">
      <c r="B894" s="103"/>
      <c r="C894" s="121" t="str">
        <f t="array" ref="C894">ifs(and(isblank($A894),isblank($B894)),"", not(iserror(vlookup($A894&amp;$B894,'5) Release_Track'!$F:$F&amp;'5) Release_Track'!$G:$G,1,0))),vlookup($A894&amp;$B894,{'5) Release_Track'!$F:$F&amp;'5) Release_Track'!$G:$G,'5) Release_Track'!$H:$H},2,0), or(and(not(isblank($B894)),$B894=$B893,$A894&lt;&gt;$A893),and(not(isblank($A894)),$A894=$A893,$B894&lt;&gt;$B893)),"ID LISTS UNALIGNED",and($A894&lt;&gt;"",countif('5) Release_Track'!$F:$F,$A894)=0),"NO ISRC MATCH in Release_Track",and($B894&lt;&gt;"",countif('5) Release_Track'!$G:$G,$B894)=0),"NO CATALOG ID MATCH in Release_Track",iserror(vlookup($A894&amp;$B894,'5) Release_Track'!$F:$F&amp;'5) Release_Track'!$G:$G,1,0)),"NO ISRC-CATALOG ID pair MATCH in Release_Track" )</f>
        <v/>
      </c>
      <c r="D894" s="121" t="str">
        <f t="array" ref="D894">ifs(and(isblank($A894),isblank($B894)),"", not(iserror(vlookup($A894&amp;$B894,'5) Release_Track'!$F:$F&amp;'5) Release_Track'!$G:$G,1,0))),vlookup($A894&amp;$B894,{'5) Release_Track'!$F:$F&amp;'5) Release_Track'!$G:$G,'5) Release_Track'!$I:$I},2,0), or(and(not(isblank($B894)),$B894=$B893,$A894&lt;&gt;$A893),and(not(isblank($A894)),$A894=$A893,$B894&lt;&gt;$B893)),"ID LISTS UNALIGNED",and($A894&lt;&gt;"",countif('5) Release_Track'!$F:$F,$A894)=0),"NO ISRC MATCH in Release_Track",and($B894&lt;&gt;"",countif('5) Release_Track'!$G:$G,$B894)=0),"NO CATALOG ID MATCH in Release_Track",iserror(vlookup($A894&amp;$B894,'5) Release_Track'!$F:$F&amp;'5) Release_Track'!$G:$G,1,0)),"NO ISRC-CATALOG ID pair MATCH in Release_Track" )</f>
        <v/>
      </c>
      <c r="E894" s="125" t="str">
        <f t="array" ref="E894">ifs(and(isblank($A894),isblank($B894)),"", not(iserror(vlookup($A894&amp;$B894,'5) Release_Track'!$F:$F&amp;'5) Release_Track'!$G:$G,1,0))),vlookup($A894&amp;$B894,{'5) Release_Track'!$F:$F&amp;'5) Release_Track'!$G:$G,'5) Release_Track'!$J:$J},2,0), or(and(not(isblank($B894)),$B894=$B893,$A894&lt;&gt;$A893),and(not(isblank($A894)),$A894=$A893,$B894&lt;&gt;$B893)),"ID LISTS UNALIGNED",and($A894&lt;&gt;"",countif('5) Release_Track'!$F:$F,$A894)=0),"NO ISRC MATCH in Release_Track",and($B894&lt;&gt;"",countif('5) Release_Track'!$G:$G,$B894)=0),"NO CATALOG ID MATCH in Release_Track",iserror(vlookup($A894&amp;$B894,'5) Release_Track'!$F:$F&amp;'5) Release_Track'!$G:$G,1,0)),"NO ISRC-CATALOG ID pair MATCH in Release_Track" )</f>
        <v/>
      </c>
      <c r="F894" s="122"/>
      <c r="G894" s="99"/>
      <c r="H894" s="178"/>
      <c r="I894" s="121" t="str">
        <f t="shared" si="6"/>
        <v/>
      </c>
      <c r="J894" s="99"/>
      <c r="K894" s="99"/>
    </row>
    <row r="895">
      <c r="B895" s="103"/>
      <c r="C895" s="121" t="str">
        <f t="array" ref="C895">ifs(and(isblank($A895),isblank($B895)),"", not(iserror(vlookup($A895&amp;$B895,'5) Release_Track'!$F:$F&amp;'5) Release_Track'!$G:$G,1,0))),vlookup($A895&amp;$B895,{'5) Release_Track'!$F:$F&amp;'5) Release_Track'!$G:$G,'5) Release_Track'!$H:$H},2,0), or(and(not(isblank($B895)),$B895=$B894,$A895&lt;&gt;$A894),and(not(isblank($A895)),$A895=$A894,$B895&lt;&gt;$B894)),"ID LISTS UNALIGNED",and($A895&lt;&gt;"",countif('5) Release_Track'!$F:$F,$A895)=0),"NO ISRC MATCH in Release_Track",and($B895&lt;&gt;"",countif('5) Release_Track'!$G:$G,$B895)=0),"NO CATALOG ID MATCH in Release_Track",iserror(vlookup($A895&amp;$B895,'5) Release_Track'!$F:$F&amp;'5) Release_Track'!$G:$G,1,0)),"NO ISRC-CATALOG ID pair MATCH in Release_Track" )</f>
        <v/>
      </c>
      <c r="D895" s="121" t="str">
        <f t="array" ref="D895">ifs(and(isblank($A895),isblank($B895)),"", not(iserror(vlookup($A895&amp;$B895,'5) Release_Track'!$F:$F&amp;'5) Release_Track'!$G:$G,1,0))),vlookup($A895&amp;$B895,{'5) Release_Track'!$F:$F&amp;'5) Release_Track'!$G:$G,'5) Release_Track'!$I:$I},2,0), or(and(not(isblank($B895)),$B895=$B894,$A895&lt;&gt;$A894),and(not(isblank($A895)),$A895=$A894,$B895&lt;&gt;$B894)),"ID LISTS UNALIGNED",and($A895&lt;&gt;"",countif('5) Release_Track'!$F:$F,$A895)=0),"NO ISRC MATCH in Release_Track",and($B895&lt;&gt;"",countif('5) Release_Track'!$G:$G,$B895)=0),"NO CATALOG ID MATCH in Release_Track",iserror(vlookup($A895&amp;$B895,'5) Release_Track'!$F:$F&amp;'5) Release_Track'!$G:$G,1,0)),"NO ISRC-CATALOG ID pair MATCH in Release_Track" )</f>
        <v/>
      </c>
      <c r="E895" s="125" t="str">
        <f t="array" ref="E895">ifs(and(isblank($A895),isblank($B895)),"", not(iserror(vlookup($A895&amp;$B895,'5) Release_Track'!$F:$F&amp;'5) Release_Track'!$G:$G,1,0))),vlookup($A895&amp;$B895,{'5) Release_Track'!$F:$F&amp;'5) Release_Track'!$G:$G,'5) Release_Track'!$J:$J},2,0), or(and(not(isblank($B895)),$B895=$B894,$A895&lt;&gt;$A894),and(not(isblank($A895)),$A895=$A894,$B895&lt;&gt;$B894)),"ID LISTS UNALIGNED",and($A895&lt;&gt;"",countif('5) Release_Track'!$F:$F,$A895)=0),"NO ISRC MATCH in Release_Track",and($B895&lt;&gt;"",countif('5) Release_Track'!$G:$G,$B895)=0),"NO CATALOG ID MATCH in Release_Track",iserror(vlookup($A895&amp;$B895,'5) Release_Track'!$F:$F&amp;'5) Release_Track'!$G:$G,1,0)),"NO ISRC-CATALOG ID pair MATCH in Release_Track" )</f>
        <v/>
      </c>
      <c r="F895" s="122"/>
      <c r="G895" s="99"/>
      <c r="H895" s="178"/>
      <c r="I895" s="121" t="str">
        <f t="shared" si="6"/>
        <v/>
      </c>
      <c r="J895" s="99"/>
      <c r="K895" s="99"/>
    </row>
    <row r="896">
      <c r="B896" s="103"/>
      <c r="C896" s="121" t="str">
        <f t="array" ref="C896">ifs(and(isblank($A896),isblank($B896)),"", not(iserror(vlookup($A896&amp;$B896,'5) Release_Track'!$F:$F&amp;'5) Release_Track'!$G:$G,1,0))),vlookup($A896&amp;$B896,{'5) Release_Track'!$F:$F&amp;'5) Release_Track'!$G:$G,'5) Release_Track'!$H:$H},2,0), or(and(not(isblank($B896)),$B896=$B895,$A896&lt;&gt;$A895),and(not(isblank($A896)),$A896=$A895,$B896&lt;&gt;$B895)),"ID LISTS UNALIGNED",and($A896&lt;&gt;"",countif('5) Release_Track'!$F:$F,$A896)=0),"NO ISRC MATCH in Release_Track",and($B896&lt;&gt;"",countif('5) Release_Track'!$G:$G,$B896)=0),"NO CATALOG ID MATCH in Release_Track",iserror(vlookup($A896&amp;$B896,'5) Release_Track'!$F:$F&amp;'5) Release_Track'!$G:$G,1,0)),"NO ISRC-CATALOG ID pair MATCH in Release_Track" )</f>
        <v/>
      </c>
      <c r="D896" s="121" t="str">
        <f t="array" ref="D896">ifs(and(isblank($A896),isblank($B896)),"", not(iserror(vlookup($A896&amp;$B896,'5) Release_Track'!$F:$F&amp;'5) Release_Track'!$G:$G,1,0))),vlookup($A896&amp;$B896,{'5) Release_Track'!$F:$F&amp;'5) Release_Track'!$G:$G,'5) Release_Track'!$I:$I},2,0), or(and(not(isblank($B896)),$B896=$B895,$A896&lt;&gt;$A895),and(not(isblank($A896)),$A896=$A895,$B896&lt;&gt;$B895)),"ID LISTS UNALIGNED",and($A896&lt;&gt;"",countif('5) Release_Track'!$F:$F,$A896)=0),"NO ISRC MATCH in Release_Track",and($B896&lt;&gt;"",countif('5) Release_Track'!$G:$G,$B896)=0),"NO CATALOG ID MATCH in Release_Track",iserror(vlookup($A896&amp;$B896,'5) Release_Track'!$F:$F&amp;'5) Release_Track'!$G:$G,1,0)),"NO ISRC-CATALOG ID pair MATCH in Release_Track" )</f>
        <v/>
      </c>
      <c r="E896" s="125" t="str">
        <f t="array" ref="E896">ifs(and(isblank($A896),isblank($B896)),"", not(iserror(vlookup($A896&amp;$B896,'5) Release_Track'!$F:$F&amp;'5) Release_Track'!$G:$G,1,0))),vlookup($A896&amp;$B896,{'5) Release_Track'!$F:$F&amp;'5) Release_Track'!$G:$G,'5) Release_Track'!$J:$J},2,0), or(and(not(isblank($B896)),$B896=$B895,$A896&lt;&gt;$A895),and(not(isblank($A896)),$A896=$A895,$B896&lt;&gt;$B895)),"ID LISTS UNALIGNED",and($A896&lt;&gt;"",countif('5) Release_Track'!$F:$F,$A896)=0),"NO ISRC MATCH in Release_Track",and($B896&lt;&gt;"",countif('5) Release_Track'!$G:$G,$B896)=0),"NO CATALOG ID MATCH in Release_Track",iserror(vlookup($A896&amp;$B896,'5) Release_Track'!$F:$F&amp;'5) Release_Track'!$G:$G,1,0)),"NO ISRC-CATALOG ID pair MATCH in Release_Track" )</f>
        <v/>
      </c>
      <c r="F896" s="122"/>
      <c r="G896" s="99"/>
      <c r="H896" s="178"/>
      <c r="I896" s="121" t="str">
        <f t="shared" si="6"/>
        <v/>
      </c>
      <c r="J896" s="99"/>
      <c r="K896" s="99"/>
    </row>
    <row r="897">
      <c r="B897" s="103"/>
      <c r="C897" s="121" t="str">
        <f t="array" ref="C897">ifs(and(isblank($A897),isblank($B897)),"", not(iserror(vlookup($A897&amp;$B897,'5) Release_Track'!$F:$F&amp;'5) Release_Track'!$G:$G,1,0))),vlookup($A897&amp;$B897,{'5) Release_Track'!$F:$F&amp;'5) Release_Track'!$G:$G,'5) Release_Track'!$H:$H},2,0), or(and(not(isblank($B897)),$B897=$B896,$A897&lt;&gt;$A896),and(not(isblank($A897)),$A897=$A896,$B897&lt;&gt;$B896)),"ID LISTS UNALIGNED",and($A897&lt;&gt;"",countif('5) Release_Track'!$F:$F,$A897)=0),"NO ISRC MATCH in Release_Track",and($B897&lt;&gt;"",countif('5) Release_Track'!$G:$G,$B897)=0),"NO CATALOG ID MATCH in Release_Track",iserror(vlookup($A897&amp;$B897,'5) Release_Track'!$F:$F&amp;'5) Release_Track'!$G:$G,1,0)),"NO ISRC-CATALOG ID pair MATCH in Release_Track" )</f>
        <v/>
      </c>
      <c r="D897" s="121" t="str">
        <f t="array" ref="D897">ifs(and(isblank($A897),isblank($B897)),"", not(iserror(vlookup($A897&amp;$B897,'5) Release_Track'!$F:$F&amp;'5) Release_Track'!$G:$G,1,0))),vlookup($A897&amp;$B897,{'5) Release_Track'!$F:$F&amp;'5) Release_Track'!$G:$G,'5) Release_Track'!$I:$I},2,0), or(and(not(isblank($B897)),$B897=$B896,$A897&lt;&gt;$A896),and(not(isblank($A897)),$A897=$A896,$B897&lt;&gt;$B896)),"ID LISTS UNALIGNED",and($A897&lt;&gt;"",countif('5) Release_Track'!$F:$F,$A897)=0),"NO ISRC MATCH in Release_Track",and($B897&lt;&gt;"",countif('5) Release_Track'!$G:$G,$B897)=0),"NO CATALOG ID MATCH in Release_Track",iserror(vlookup($A897&amp;$B897,'5) Release_Track'!$F:$F&amp;'5) Release_Track'!$G:$G,1,0)),"NO ISRC-CATALOG ID pair MATCH in Release_Track" )</f>
        <v/>
      </c>
      <c r="E897" s="125" t="str">
        <f t="array" ref="E897">ifs(and(isblank($A897),isblank($B897)),"", not(iserror(vlookup($A897&amp;$B897,'5) Release_Track'!$F:$F&amp;'5) Release_Track'!$G:$G,1,0))),vlookup($A897&amp;$B897,{'5) Release_Track'!$F:$F&amp;'5) Release_Track'!$G:$G,'5) Release_Track'!$J:$J},2,0), or(and(not(isblank($B897)),$B897=$B896,$A897&lt;&gt;$A896),and(not(isblank($A897)),$A897=$A896,$B897&lt;&gt;$B896)),"ID LISTS UNALIGNED",and($A897&lt;&gt;"",countif('5) Release_Track'!$F:$F,$A897)=0),"NO ISRC MATCH in Release_Track",and($B897&lt;&gt;"",countif('5) Release_Track'!$G:$G,$B897)=0),"NO CATALOG ID MATCH in Release_Track",iserror(vlookup($A897&amp;$B897,'5) Release_Track'!$F:$F&amp;'5) Release_Track'!$G:$G,1,0)),"NO ISRC-CATALOG ID pair MATCH in Release_Track" )</f>
        <v/>
      </c>
      <c r="F897" s="122"/>
      <c r="G897" s="99"/>
      <c r="H897" s="178"/>
      <c r="I897" s="121" t="str">
        <f t="shared" si="6"/>
        <v/>
      </c>
      <c r="J897" s="99"/>
      <c r="K897" s="99"/>
    </row>
    <row r="898">
      <c r="B898" s="103"/>
      <c r="C898" s="121" t="str">
        <f t="array" ref="C898">ifs(and(isblank($A898),isblank($B898)),"", not(iserror(vlookup($A898&amp;$B898,'5) Release_Track'!$F:$F&amp;'5) Release_Track'!$G:$G,1,0))),vlookup($A898&amp;$B898,{'5) Release_Track'!$F:$F&amp;'5) Release_Track'!$G:$G,'5) Release_Track'!$H:$H},2,0), or(and(not(isblank($B898)),$B898=$B897,$A898&lt;&gt;$A897),and(not(isblank($A898)),$A898=$A897,$B898&lt;&gt;$B897)),"ID LISTS UNALIGNED",and($A898&lt;&gt;"",countif('5) Release_Track'!$F:$F,$A898)=0),"NO ISRC MATCH in Release_Track",and($B898&lt;&gt;"",countif('5) Release_Track'!$G:$G,$B898)=0),"NO CATALOG ID MATCH in Release_Track",iserror(vlookup($A898&amp;$B898,'5) Release_Track'!$F:$F&amp;'5) Release_Track'!$G:$G,1,0)),"NO ISRC-CATALOG ID pair MATCH in Release_Track" )</f>
        <v/>
      </c>
      <c r="D898" s="121" t="str">
        <f t="array" ref="D898">ifs(and(isblank($A898),isblank($B898)),"", not(iserror(vlookup($A898&amp;$B898,'5) Release_Track'!$F:$F&amp;'5) Release_Track'!$G:$G,1,0))),vlookup($A898&amp;$B898,{'5) Release_Track'!$F:$F&amp;'5) Release_Track'!$G:$G,'5) Release_Track'!$I:$I},2,0), or(and(not(isblank($B898)),$B898=$B897,$A898&lt;&gt;$A897),and(not(isblank($A898)),$A898=$A897,$B898&lt;&gt;$B897)),"ID LISTS UNALIGNED",and($A898&lt;&gt;"",countif('5) Release_Track'!$F:$F,$A898)=0),"NO ISRC MATCH in Release_Track",and($B898&lt;&gt;"",countif('5) Release_Track'!$G:$G,$B898)=0),"NO CATALOG ID MATCH in Release_Track",iserror(vlookup($A898&amp;$B898,'5) Release_Track'!$F:$F&amp;'5) Release_Track'!$G:$G,1,0)),"NO ISRC-CATALOG ID pair MATCH in Release_Track" )</f>
        <v/>
      </c>
      <c r="E898" s="125" t="str">
        <f t="array" ref="E898">ifs(and(isblank($A898),isblank($B898)),"", not(iserror(vlookup($A898&amp;$B898,'5) Release_Track'!$F:$F&amp;'5) Release_Track'!$G:$G,1,0))),vlookup($A898&amp;$B898,{'5) Release_Track'!$F:$F&amp;'5) Release_Track'!$G:$G,'5) Release_Track'!$J:$J},2,0), or(and(not(isblank($B898)),$B898=$B897,$A898&lt;&gt;$A897),and(not(isblank($A898)),$A898=$A897,$B898&lt;&gt;$B897)),"ID LISTS UNALIGNED",and($A898&lt;&gt;"",countif('5) Release_Track'!$F:$F,$A898)=0),"NO ISRC MATCH in Release_Track",and($B898&lt;&gt;"",countif('5) Release_Track'!$G:$G,$B898)=0),"NO CATALOG ID MATCH in Release_Track",iserror(vlookup($A898&amp;$B898,'5) Release_Track'!$F:$F&amp;'5) Release_Track'!$G:$G,1,0)),"NO ISRC-CATALOG ID pair MATCH in Release_Track" )</f>
        <v/>
      </c>
      <c r="F898" s="122"/>
      <c r="G898" s="99"/>
      <c r="H898" s="178"/>
      <c r="I898" s="121" t="str">
        <f t="shared" si="6"/>
        <v/>
      </c>
      <c r="J898" s="99"/>
      <c r="K898" s="99"/>
    </row>
    <row r="899">
      <c r="B899" s="103"/>
      <c r="C899" s="121" t="str">
        <f t="array" ref="C899">ifs(and(isblank($A899),isblank($B899)),"", not(iserror(vlookup($A899&amp;$B899,'5) Release_Track'!$F:$F&amp;'5) Release_Track'!$G:$G,1,0))),vlookup($A899&amp;$B899,{'5) Release_Track'!$F:$F&amp;'5) Release_Track'!$G:$G,'5) Release_Track'!$H:$H},2,0), or(and(not(isblank($B899)),$B899=$B898,$A899&lt;&gt;$A898),and(not(isblank($A899)),$A899=$A898,$B899&lt;&gt;$B898)),"ID LISTS UNALIGNED",and($A899&lt;&gt;"",countif('5) Release_Track'!$F:$F,$A899)=0),"NO ISRC MATCH in Release_Track",and($B899&lt;&gt;"",countif('5) Release_Track'!$G:$G,$B899)=0),"NO CATALOG ID MATCH in Release_Track",iserror(vlookup($A899&amp;$B899,'5) Release_Track'!$F:$F&amp;'5) Release_Track'!$G:$G,1,0)),"NO ISRC-CATALOG ID pair MATCH in Release_Track" )</f>
        <v/>
      </c>
      <c r="D899" s="121" t="str">
        <f t="array" ref="D899">ifs(and(isblank($A899),isblank($B899)),"", not(iserror(vlookup($A899&amp;$B899,'5) Release_Track'!$F:$F&amp;'5) Release_Track'!$G:$G,1,0))),vlookup($A899&amp;$B899,{'5) Release_Track'!$F:$F&amp;'5) Release_Track'!$G:$G,'5) Release_Track'!$I:$I},2,0), or(and(not(isblank($B899)),$B899=$B898,$A899&lt;&gt;$A898),and(not(isblank($A899)),$A899=$A898,$B899&lt;&gt;$B898)),"ID LISTS UNALIGNED",and($A899&lt;&gt;"",countif('5) Release_Track'!$F:$F,$A899)=0),"NO ISRC MATCH in Release_Track",and($B899&lt;&gt;"",countif('5) Release_Track'!$G:$G,$B899)=0),"NO CATALOG ID MATCH in Release_Track",iserror(vlookup($A899&amp;$B899,'5) Release_Track'!$F:$F&amp;'5) Release_Track'!$G:$G,1,0)),"NO ISRC-CATALOG ID pair MATCH in Release_Track" )</f>
        <v/>
      </c>
      <c r="E899" s="125" t="str">
        <f t="array" ref="E899">ifs(and(isblank($A899),isblank($B899)),"", not(iserror(vlookup($A899&amp;$B899,'5) Release_Track'!$F:$F&amp;'5) Release_Track'!$G:$G,1,0))),vlookup($A899&amp;$B899,{'5) Release_Track'!$F:$F&amp;'5) Release_Track'!$G:$G,'5) Release_Track'!$J:$J},2,0), or(and(not(isblank($B899)),$B899=$B898,$A899&lt;&gt;$A898),and(not(isblank($A899)),$A899=$A898,$B899&lt;&gt;$B898)),"ID LISTS UNALIGNED",and($A899&lt;&gt;"",countif('5) Release_Track'!$F:$F,$A899)=0),"NO ISRC MATCH in Release_Track",and($B899&lt;&gt;"",countif('5) Release_Track'!$G:$G,$B899)=0),"NO CATALOG ID MATCH in Release_Track",iserror(vlookup($A899&amp;$B899,'5) Release_Track'!$F:$F&amp;'5) Release_Track'!$G:$G,1,0)),"NO ISRC-CATALOG ID pair MATCH in Release_Track" )</f>
        <v/>
      </c>
      <c r="F899" s="122"/>
      <c r="G899" s="99"/>
      <c r="H899" s="178"/>
      <c r="I899" s="121" t="str">
        <f t="shared" si="6"/>
        <v/>
      </c>
      <c r="J899" s="99"/>
      <c r="K899" s="99"/>
    </row>
    <row r="900">
      <c r="B900" s="103"/>
      <c r="C900" s="121" t="str">
        <f t="array" ref="C900">ifs(and(isblank($A900),isblank($B900)),"", not(iserror(vlookup($A900&amp;$B900,'5) Release_Track'!$F:$F&amp;'5) Release_Track'!$G:$G,1,0))),vlookup($A900&amp;$B900,{'5) Release_Track'!$F:$F&amp;'5) Release_Track'!$G:$G,'5) Release_Track'!$H:$H},2,0), or(and(not(isblank($B900)),$B900=$B899,$A900&lt;&gt;$A899),and(not(isblank($A900)),$A900=$A899,$B900&lt;&gt;$B899)),"ID LISTS UNALIGNED",and($A900&lt;&gt;"",countif('5) Release_Track'!$F:$F,$A900)=0),"NO ISRC MATCH in Release_Track",and($B900&lt;&gt;"",countif('5) Release_Track'!$G:$G,$B900)=0),"NO CATALOG ID MATCH in Release_Track",iserror(vlookup($A900&amp;$B900,'5) Release_Track'!$F:$F&amp;'5) Release_Track'!$G:$G,1,0)),"NO ISRC-CATALOG ID pair MATCH in Release_Track" )</f>
        <v/>
      </c>
      <c r="D900" s="121" t="str">
        <f t="array" ref="D900">ifs(and(isblank($A900),isblank($B900)),"", not(iserror(vlookup($A900&amp;$B900,'5) Release_Track'!$F:$F&amp;'5) Release_Track'!$G:$G,1,0))),vlookup($A900&amp;$B900,{'5) Release_Track'!$F:$F&amp;'5) Release_Track'!$G:$G,'5) Release_Track'!$I:$I},2,0), or(and(not(isblank($B900)),$B900=$B899,$A900&lt;&gt;$A899),and(not(isblank($A900)),$A900=$A899,$B900&lt;&gt;$B899)),"ID LISTS UNALIGNED",and($A900&lt;&gt;"",countif('5) Release_Track'!$F:$F,$A900)=0),"NO ISRC MATCH in Release_Track",and($B900&lt;&gt;"",countif('5) Release_Track'!$G:$G,$B900)=0),"NO CATALOG ID MATCH in Release_Track",iserror(vlookup($A900&amp;$B900,'5) Release_Track'!$F:$F&amp;'5) Release_Track'!$G:$G,1,0)),"NO ISRC-CATALOG ID pair MATCH in Release_Track" )</f>
        <v/>
      </c>
      <c r="E900" s="125" t="str">
        <f t="array" ref="E900">ifs(and(isblank($A900),isblank($B900)),"", not(iserror(vlookup($A900&amp;$B900,'5) Release_Track'!$F:$F&amp;'5) Release_Track'!$G:$G,1,0))),vlookup($A900&amp;$B900,{'5) Release_Track'!$F:$F&amp;'5) Release_Track'!$G:$G,'5) Release_Track'!$J:$J},2,0), or(and(not(isblank($B900)),$B900=$B899,$A900&lt;&gt;$A899),and(not(isblank($A900)),$A900=$A899,$B900&lt;&gt;$B899)),"ID LISTS UNALIGNED",and($A900&lt;&gt;"",countif('5) Release_Track'!$F:$F,$A900)=0),"NO ISRC MATCH in Release_Track",and($B900&lt;&gt;"",countif('5) Release_Track'!$G:$G,$B900)=0),"NO CATALOG ID MATCH in Release_Track",iserror(vlookup($A900&amp;$B900,'5) Release_Track'!$F:$F&amp;'5) Release_Track'!$G:$G,1,0)),"NO ISRC-CATALOG ID pair MATCH in Release_Track" )</f>
        <v/>
      </c>
      <c r="F900" s="122"/>
      <c r="G900" s="99"/>
      <c r="H900" s="178"/>
      <c r="I900" s="121" t="str">
        <f t="shared" si="6"/>
        <v/>
      </c>
      <c r="J900" s="99"/>
      <c r="K900" s="99"/>
    </row>
    <row r="901">
      <c r="B901" s="103"/>
      <c r="C901" s="121" t="str">
        <f t="array" ref="C901">ifs(and(isblank($A901),isblank($B901)),"", not(iserror(vlookup($A901&amp;$B901,'5) Release_Track'!$F:$F&amp;'5) Release_Track'!$G:$G,1,0))),vlookup($A901&amp;$B901,{'5) Release_Track'!$F:$F&amp;'5) Release_Track'!$G:$G,'5) Release_Track'!$H:$H},2,0), or(and(not(isblank($B901)),$B901=$B900,$A901&lt;&gt;$A900),and(not(isblank($A901)),$A901=$A900,$B901&lt;&gt;$B900)),"ID LISTS UNALIGNED",and($A901&lt;&gt;"",countif('5) Release_Track'!$F:$F,$A901)=0),"NO ISRC MATCH in Release_Track",and($B901&lt;&gt;"",countif('5) Release_Track'!$G:$G,$B901)=0),"NO CATALOG ID MATCH in Release_Track",iserror(vlookup($A901&amp;$B901,'5) Release_Track'!$F:$F&amp;'5) Release_Track'!$G:$G,1,0)),"NO ISRC-CATALOG ID pair MATCH in Release_Track" )</f>
        <v/>
      </c>
      <c r="D901" s="121" t="str">
        <f t="array" ref="D901">ifs(and(isblank($A901),isblank($B901)),"", not(iserror(vlookup($A901&amp;$B901,'5) Release_Track'!$F:$F&amp;'5) Release_Track'!$G:$G,1,0))),vlookup($A901&amp;$B901,{'5) Release_Track'!$F:$F&amp;'5) Release_Track'!$G:$G,'5) Release_Track'!$I:$I},2,0), or(and(not(isblank($B901)),$B901=$B900,$A901&lt;&gt;$A900),and(not(isblank($A901)),$A901=$A900,$B901&lt;&gt;$B900)),"ID LISTS UNALIGNED",and($A901&lt;&gt;"",countif('5) Release_Track'!$F:$F,$A901)=0),"NO ISRC MATCH in Release_Track",and($B901&lt;&gt;"",countif('5) Release_Track'!$G:$G,$B901)=0),"NO CATALOG ID MATCH in Release_Track",iserror(vlookup($A901&amp;$B901,'5) Release_Track'!$F:$F&amp;'5) Release_Track'!$G:$G,1,0)),"NO ISRC-CATALOG ID pair MATCH in Release_Track" )</f>
        <v/>
      </c>
      <c r="E901" s="125" t="str">
        <f t="array" ref="E901">ifs(and(isblank($A901),isblank($B901)),"", not(iserror(vlookup($A901&amp;$B901,'5) Release_Track'!$F:$F&amp;'5) Release_Track'!$G:$G,1,0))),vlookup($A901&amp;$B901,{'5) Release_Track'!$F:$F&amp;'5) Release_Track'!$G:$G,'5) Release_Track'!$J:$J},2,0), or(and(not(isblank($B901)),$B901=$B900,$A901&lt;&gt;$A900),and(not(isblank($A901)),$A901=$A900,$B901&lt;&gt;$B900)),"ID LISTS UNALIGNED",and($A901&lt;&gt;"",countif('5) Release_Track'!$F:$F,$A901)=0),"NO ISRC MATCH in Release_Track",and($B901&lt;&gt;"",countif('5) Release_Track'!$G:$G,$B901)=0),"NO CATALOG ID MATCH in Release_Track",iserror(vlookup($A901&amp;$B901,'5) Release_Track'!$F:$F&amp;'5) Release_Track'!$G:$G,1,0)),"NO ISRC-CATALOG ID pair MATCH in Release_Track" )</f>
        <v/>
      </c>
      <c r="F901" s="122"/>
      <c r="G901" s="99"/>
      <c r="H901" s="178"/>
      <c r="I901" s="121" t="str">
        <f t="shared" si="6"/>
        <v/>
      </c>
      <c r="J901" s="99"/>
      <c r="K901" s="99"/>
    </row>
    <row r="902">
      <c r="B902" s="103"/>
      <c r="C902" s="121" t="str">
        <f t="array" ref="C902">ifs(and(isblank($A902),isblank($B902)),"", not(iserror(vlookup($A902&amp;$B902,'5) Release_Track'!$F:$F&amp;'5) Release_Track'!$G:$G,1,0))),vlookup($A902&amp;$B902,{'5) Release_Track'!$F:$F&amp;'5) Release_Track'!$G:$G,'5) Release_Track'!$H:$H},2,0), or(and(not(isblank($B902)),$B902=$B901,$A902&lt;&gt;$A901),and(not(isblank($A902)),$A902=$A901,$B902&lt;&gt;$B901)),"ID LISTS UNALIGNED",and($A902&lt;&gt;"",countif('5) Release_Track'!$F:$F,$A902)=0),"NO ISRC MATCH in Release_Track",and($B902&lt;&gt;"",countif('5) Release_Track'!$G:$G,$B902)=0),"NO CATALOG ID MATCH in Release_Track",iserror(vlookup($A902&amp;$B902,'5) Release_Track'!$F:$F&amp;'5) Release_Track'!$G:$G,1,0)),"NO ISRC-CATALOG ID pair MATCH in Release_Track" )</f>
        <v/>
      </c>
      <c r="D902" s="121" t="str">
        <f t="array" ref="D902">ifs(and(isblank($A902),isblank($B902)),"", not(iserror(vlookup($A902&amp;$B902,'5) Release_Track'!$F:$F&amp;'5) Release_Track'!$G:$G,1,0))),vlookup($A902&amp;$B902,{'5) Release_Track'!$F:$F&amp;'5) Release_Track'!$G:$G,'5) Release_Track'!$I:$I},2,0), or(and(not(isblank($B902)),$B902=$B901,$A902&lt;&gt;$A901),and(not(isblank($A902)),$A902=$A901,$B902&lt;&gt;$B901)),"ID LISTS UNALIGNED",and($A902&lt;&gt;"",countif('5) Release_Track'!$F:$F,$A902)=0),"NO ISRC MATCH in Release_Track",and($B902&lt;&gt;"",countif('5) Release_Track'!$G:$G,$B902)=0),"NO CATALOG ID MATCH in Release_Track",iserror(vlookup($A902&amp;$B902,'5) Release_Track'!$F:$F&amp;'5) Release_Track'!$G:$G,1,0)),"NO ISRC-CATALOG ID pair MATCH in Release_Track" )</f>
        <v/>
      </c>
      <c r="E902" s="125" t="str">
        <f t="array" ref="E902">ifs(and(isblank($A902),isblank($B902)),"", not(iserror(vlookup($A902&amp;$B902,'5) Release_Track'!$F:$F&amp;'5) Release_Track'!$G:$G,1,0))),vlookup($A902&amp;$B902,{'5) Release_Track'!$F:$F&amp;'5) Release_Track'!$G:$G,'5) Release_Track'!$J:$J},2,0), or(and(not(isblank($B902)),$B902=$B901,$A902&lt;&gt;$A901),and(not(isblank($A902)),$A902=$A901,$B902&lt;&gt;$B901)),"ID LISTS UNALIGNED",and($A902&lt;&gt;"",countif('5) Release_Track'!$F:$F,$A902)=0),"NO ISRC MATCH in Release_Track",and($B902&lt;&gt;"",countif('5) Release_Track'!$G:$G,$B902)=0),"NO CATALOG ID MATCH in Release_Track",iserror(vlookup($A902&amp;$B902,'5) Release_Track'!$F:$F&amp;'5) Release_Track'!$G:$G,1,0)),"NO ISRC-CATALOG ID pair MATCH in Release_Track" )</f>
        <v/>
      </c>
      <c r="F902" s="122"/>
      <c r="G902" s="99"/>
      <c r="H902" s="178"/>
      <c r="I902" s="121" t="str">
        <f t="shared" si="6"/>
        <v/>
      </c>
      <c r="J902" s="99"/>
      <c r="K902" s="99"/>
    </row>
    <row r="903">
      <c r="B903" s="103"/>
      <c r="C903" s="121" t="str">
        <f t="array" ref="C903">ifs(and(isblank($A903),isblank($B903)),"", not(iserror(vlookup($A903&amp;$B903,'5) Release_Track'!$F:$F&amp;'5) Release_Track'!$G:$G,1,0))),vlookup($A903&amp;$B903,{'5) Release_Track'!$F:$F&amp;'5) Release_Track'!$G:$G,'5) Release_Track'!$H:$H},2,0), or(and(not(isblank($B903)),$B903=$B902,$A903&lt;&gt;$A902),and(not(isblank($A903)),$A903=$A902,$B903&lt;&gt;$B902)),"ID LISTS UNALIGNED",and($A903&lt;&gt;"",countif('5) Release_Track'!$F:$F,$A903)=0),"NO ISRC MATCH in Release_Track",and($B903&lt;&gt;"",countif('5) Release_Track'!$G:$G,$B903)=0),"NO CATALOG ID MATCH in Release_Track",iserror(vlookup($A903&amp;$B903,'5) Release_Track'!$F:$F&amp;'5) Release_Track'!$G:$G,1,0)),"NO ISRC-CATALOG ID pair MATCH in Release_Track" )</f>
        <v/>
      </c>
      <c r="D903" s="121" t="str">
        <f t="array" ref="D903">ifs(and(isblank($A903),isblank($B903)),"", not(iserror(vlookup($A903&amp;$B903,'5) Release_Track'!$F:$F&amp;'5) Release_Track'!$G:$G,1,0))),vlookup($A903&amp;$B903,{'5) Release_Track'!$F:$F&amp;'5) Release_Track'!$G:$G,'5) Release_Track'!$I:$I},2,0), or(and(not(isblank($B903)),$B903=$B902,$A903&lt;&gt;$A902),and(not(isblank($A903)),$A903=$A902,$B903&lt;&gt;$B902)),"ID LISTS UNALIGNED",and($A903&lt;&gt;"",countif('5) Release_Track'!$F:$F,$A903)=0),"NO ISRC MATCH in Release_Track",and($B903&lt;&gt;"",countif('5) Release_Track'!$G:$G,$B903)=0),"NO CATALOG ID MATCH in Release_Track",iserror(vlookup($A903&amp;$B903,'5) Release_Track'!$F:$F&amp;'5) Release_Track'!$G:$G,1,0)),"NO ISRC-CATALOG ID pair MATCH in Release_Track" )</f>
        <v/>
      </c>
      <c r="E903" s="125" t="str">
        <f t="array" ref="E903">ifs(and(isblank($A903),isblank($B903)),"", not(iserror(vlookup($A903&amp;$B903,'5) Release_Track'!$F:$F&amp;'5) Release_Track'!$G:$G,1,0))),vlookup($A903&amp;$B903,{'5) Release_Track'!$F:$F&amp;'5) Release_Track'!$G:$G,'5) Release_Track'!$J:$J},2,0), or(and(not(isblank($B903)),$B903=$B902,$A903&lt;&gt;$A902),and(not(isblank($A903)),$A903=$A902,$B903&lt;&gt;$B902)),"ID LISTS UNALIGNED",and($A903&lt;&gt;"",countif('5) Release_Track'!$F:$F,$A903)=0),"NO ISRC MATCH in Release_Track",and($B903&lt;&gt;"",countif('5) Release_Track'!$G:$G,$B903)=0),"NO CATALOG ID MATCH in Release_Track",iserror(vlookup($A903&amp;$B903,'5) Release_Track'!$F:$F&amp;'5) Release_Track'!$G:$G,1,0)),"NO ISRC-CATALOG ID pair MATCH in Release_Track" )</f>
        <v/>
      </c>
      <c r="F903" s="122"/>
      <c r="G903" s="99"/>
      <c r="H903" s="178"/>
      <c r="I903" s="121" t="str">
        <f t="shared" si="6"/>
        <v/>
      </c>
      <c r="J903" s="99"/>
      <c r="K903" s="99"/>
    </row>
    <row r="904">
      <c r="B904" s="103"/>
      <c r="C904" s="121" t="str">
        <f t="array" ref="C904">ifs(and(isblank($A904),isblank($B904)),"", not(iserror(vlookup($A904&amp;$B904,'5) Release_Track'!$F:$F&amp;'5) Release_Track'!$G:$G,1,0))),vlookup($A904&amp;$B904,{'5) Release_Track'!$F:$F&amp;'5) Release_Track'!$G:$G,'5) Release_Track'!$H:$H},2,0), or(and(not(isblank($B904)),$B904=$B903,$A904&lt;&gt;$A903),and(not(isblank($A904)),$A904=$A903,$B904&lt;&gt;$B903)),"ID LISTS UNALIGNED",and($A904&lt;&gt;"",countif('5) Release_Track'!$F:$F,$A904)=0),"NO ISRC MATCH in Release_Track",and($B904&lt;&gt;"",countif('5) Release_Track'!$G:$G,$B904)=0),"NO CATALOG ID MATCH in Release_Track",iserror(vlookup($A904&amp;$B904,'5) Release_Track'!$F:$F&amp;'5) Release_Track'!$G:$G,1,0)),"NO ISRC-CATALOG ID pair MATCH in Release_Track" )</f>
        <v/>
      </c>
      <c r="D904" s="121" t="str">
        <f t="array" ref="D904">ifs(and(isblank($A904),isblank($B904)),"", not(iserror(vlookup($A904&amp;$B904,'5) Release_Track'!$F:$F&amp;'5) Release_Track'!$G:$G,1,0))),vlookup($A904&amp;$B904,{'5) Release_Track'!$F:$F&amp;'5) Release_Track'!$G:$G,'5) Release_Track'!$I:$I},2,0), or(and(not(isblank($B904)),$B904=$B903,$A904&lt;&gt;$A903),and(not(isblank($A904)),$A904=$A903,$B904&lt;&gt;$B903)),"ID LISTS UNALIGNED",and($A904&lt;&gt;"",countif('5) Release_Track'!$F:$F,$A904)=0),"NO ISRC MATCH in Release_Track",and($B904&lt;&gt;"",countif('5) Release_Track'!$G:$G,$B904)=0),"NO CATALOG ID MATCH in Release_Track",iserror(vlookup($A904&amp;$B904,'5) Release_Track'!$F:$F&amp;'5) Release_Track'!$G:$G,1,0)),"NO ISRC-CATALOG ID pair MATCH in Release_Track" )</f>
        <v/>
      </c>
      <c r="E904" s="125" t="str">
        <f t="array" ref="E904">ifs(and(isblank($A904),isblank($B904)),"", not(iserror(vlookup($A904&amp;$B904,'5) Release_Track'!$F:$F&amp;'5) Release_Track'!$G:$G,1,0))),vlookup($A904&amp;$B904,{'5) Release_Track'!$F:$F&amp;'5) Release_Track'!$G:$G,'5) Release_Track'!$J:$J},2,0), or(and(not(isblank($B904)),$B904=$B903,$A904&lt;&gt;$A903),and(not(isblank($A904)),$A904=$A903,$B904&lt;&gt;$B903)),"ID LISTS UNALIGNED",and($A904&lt;&gt;"",countif('5) Release_Track'!$F:$F,$A904)=0),"NO ISRC MATCH in Release_Track",and($B904&lt;&gt;"",countif('5) Release_Track'!$G:$G,$B904)=0),"NO CATALOG ID MATCH in Release_Track",iserror(vlookup($A904&amp;$B904,'5) Release_Track'!$F:$F&amp;'5) Release_Track'!$G:$G,1,0)),"NO ISRC-CATALOG ID pair MATCH in Release_Track" )</f>
        <v/>
      </c>
      <c r="F904" s="122"/>
      <c r="G904" s="99"/>
      <c r="H904" s="178"/>
      <c r="I904" s="121" t="str">
        <f t="shared" si="6"/>
        <v/>
      </c>
      <c r="J904" s="99"/>
      <c r="K904" s="99"/>
    </row>
    <row r="905">
      <c r="B905" s="103"/>
      <c r="C905" s="121" t="str">
        <f t="array" ref="C905">ifs(and(isblank($A905),isblank($B905)),"", not(iserror(vlookup($A905&amp;$B905,'5) Release_Track'!$F:$F&amp;'5) Release_Track'!$G:$G,1,0))),vlookup($A905&amp;$B905,{'5) Release_Track'!$F:$F&amp;'5) Release_Track'!$G:$G,'5) Release_Track'!$H:$H},2,0), or(and(not(isblank($B905)),$B905=$B904,$A905&lt;&gt;$A904),and(not(isblank($A905)),$A905=$A904,$B905&lt;&gt;$B904)),"ID LISTS UNALIGNED",and($A905&lt;&gt;"",countif('5) Release_Track'!$F:$F,$A905)=0),"NO ISRC MATCH in Release_Track",and($B905&lt;&gt;"",countif('5) Release_Track'!$G:$G,$B905)=0),"NO CATALOG ID MATCH in Release_Track",iserror(vlookup($A905&amp;$B905,'5) Release_Track'!$F:$F&amp;'5) Release_Track'!$G:$G,1,0)),"NO ISRC-CATALOG ID pair MATCH in Release_Track" )</f>
        <v/>
      </c>
      <c r="D905" s="121" t="str">
        <f t="array" ref="D905">ifs(and(isblank($A905),isblank($B905)),"", not(iserror(vlookup($A905&amp;$B905,'5) Release_Track'!$F:$F&amp;'5) Release_Track'!$G:$G,1,0))),vlookup($A905&amp;$B905,{'5) Release_Track'!$F:$F&amp;'5) Release_Track'!$G:$G,'5) Release_Track'!$I:$I},2,0), or(and(not(isblank($B905)),$B905=$B904,$A905&lt;&gt;$A904),and(not(isblank($A905)),$A905=$A904,$B905&lt;&gt;$B904)),"ID LISTS UNALIGNED",and($A905&lt;&gt;"",countif('5) Release_Track'!$F:$F,$A905)=0),"NO ISRC MATCH in Release_Track",and($B905&lt;&gt;"",countif('5) Release_Track'!$G:$G,$B905)=0),"NO CATALOG ID MATCH in Release_Track",iserror(vlookup($A905&amp;$B905,'5) Release_Track'!$F:$F&amp;'5) Release_Track'!$G:$G,1,0)),"NO ISRC-CATALOG ID pair MATCH in Release_Track" )</f>
        <v/>
      </c>
      <c r="E905" s="125" t="str">
        <f t="array" ref="E905">ifs(and(isblank($A905),isblank($B905)),"", not(iserror(vlookup($A905&amp;$B905,'5) Release_Track'!$F:$F&amp;'5) Release_Track'!$G:$G,1,0))),vlookup($A905&amp;$B905,{'5) Release_Track'!$F:$F&amp;'5) Release_Track'!$G:$G,'5) Release_Track'!$J:$J},2,0), or(and(not(isblank($B905)),$B905=$B904,$A905&lt;&gt;$A904),and(not(isblank($A905)),$A905=$A904,$B905&lt;&gt;$B904)),"ID LISTS UNALIGNED",and($A905&lt;&gt;"",countif('5) Release_Track'!$F:$F,$A905)=0),"NO ISRC MATCH in Release_Track",and($B905&lt;&gt;"",countif('5) Release_Track'!$G:$G,$B905)=0),"NO CATALOG ID MATCH in Release_Track",iserror(vlookup($A905&amp;$B905,'5) Release_Track'!$F:$F&amp;'5) Release_Track'!$G:$G,1,0)),"NO ISRC-CATALOG ID pair MATCH in Release_Track" )</f>
        <v/>
      </c>
      <c r="F905" s="122"/>
      <c r="G905" s="99"/>
      <c r="H905" s="178"/>
      <c r="I905" s="121" t="str">
        <f t="shared" si="6"/>
        <v/>
      </c>
      <c r="J905" s="99"/>
      <c r="K905" s="99"/>
    </row>
    <row r="906">
      <c r="B906" s="103"/>
      <c r="C906" s="121" t="str">
        <f t="array" ref="C906">ifs(and(isblank($A906),isblank($B906)),"", not(iserror(vlookup($A906&amp;$B906,'5) Release_Track'!$F:$F&amp;'5) Release_Track'!$G:$G,1,0))),vlookup($A906&amp;$B906,{'5) Release_Track'!$F:$F&amp;'5) Release_Track'!$G:$G,'5) Release_Track'!$H:$H},2,0), or(and(not(isblank($B906)),$B906=$B905,$A906&lt;&gt;$A905),and(not(isblank($A906)),$A906=$A905,$B906&lt;&gt;$B905)),"ID LISTS UNALIGNED",and($A906&lt;&gt;"",countif('5) Release_Track'!$F:$F,$A906)=0),"NO ISRC MATCH in Release_Track",and($B906&lt;&gt;"",countif('5) Release_Track'!$G:$G,$B906)=0),"NO CATALOG ID MATCH in Release_Track",iserror(vlookup($A906&amp;$B906,'5) Release_Track'!$F:$F&amp;'5) Release_Track'!$G:$G,1,0)),"NO ISRC-CATALOG ID pair MATCH in Release_Track" )</f>
        <v/>
      </c>
      <c r="D906" s="121" t="str">
        <f t="array" ref="D906">ifs(and(isblank($A906),isblank($B906)),"", not(iserror(vlookup($A906&amp;$B906,'5) Release_Track'!$F:$F&amp;'5) Release_Track'!$G:$G,1,0))),vlookup($A906&amp;$B906,{'5) Release_Track'!$F:$F&amp;'5) Release_Track'!$G:$G,'5) Release_Track'!$I:$I},2,0), or(and(not(isblank($B906)),$B906=$B905,$A906&lt;&gt;$A905),and(not(isblank($A906)),$A906=$A905,$B906&lt;&gt;$B905)),"ID LISTS UNALIGNED",and($A906&lt;&gt;"",countif('5) Release_Track'!$F:$F,$A906)=0),"NO ISRC MATCH in Release_Track",and($B906&lt;&gt;"",countif('5) Release_Track'!$G:$G,$B906)=0),"NO CATALOG ID MATCH in Release_Track",iserror(vlookup($A906&amp;$B906,'5) Release_Track'!$F:$F&amp;'5) Release_Track'!$G:$G,1,0)),"NO ISRC-CATALOG ID pair MATCH in Release_Track" )</f>
        <v/>
      </c>
      <c r="E906" s="125" t="str">
        <f t="array" ref="E906">ifs(and(isblank($A906),isblank($B906)),"", not(iserror(vlookup($A906&amp;$B906,'5) Release_Track'!$F:$F&amp;'5) Release_Track'!$G:$G,1,0))),vlookup($A906&amp;$B906,{'5) Release_Track'!$F:$F&amp;'5) Release_Track'!$G:$G,'5) Release_Track'!$J:$J},2,0), or(and(not(isblank($B906)),$B906=$B905,$A906&lt;&gt;$A905),and(not(isblank($A906)),$A906=$A905,$B906&lt;&gt;$B905)),"ID LISTS UNALIGNED",and($A906&lt;&gt;"",countif('5) Release_Track'!$F:$F,$A906)=0),"NO ISRC MATCH in Release_Track",and($B906&lt;&gt;"",countif('5) Release_Track'!$G:$G,$B906)=0),"NO CATALOG ID MATCH in Release_Track",iserror(vlookup($A906&amp;$B906,'5) Release_Track'!$F:$F&amp;'5) Release_Track'!$G:$G,1,0)),"NO ISRC-CATALOG ID pair MATCH in Release_Track" )</f>
        <v/>
      </c>
      <c r="F906" s="122"/>
      <c r="G906" s="99"/>
      <c r="H906" s="178"/>
      <c r="I906" s="121" t="str">
        <f t="shared" si="6"/>
        <v/>
      </c>
      <c r="J906" s="99"/>
      <c r="K906" s="99"/>
    </row>
    <row r="907">
      <c r="B907" s="103"/>
      <c r="C907" s="121" t="str">
        <f t="array" ref="C907">ifs(and(isblank($A907),isblank($B907)),"", not(iserror(vlookup($A907&amp;$B907,'5) Release_Track'!$F:$F&amp;'5) Release_Track'!$G:$G,1,0))),vlookup($A907&amp;$B907,{'5) Release_Track'!$F:$F&amp;'5) Release_Track'!$G:$G,'5) Release_Track'!$H:$H},2,0), or(and(not(isblank($B907)),$B907=$B906,$A907&lt;&gt;$A906),and(not(isblank($A907)),$A907=$A906,$B907&lt;&gt;$B906)),"ID LISTS UNALIGNED",and($A907&lt;&gt;"",countif('5) Release_Track'!$F:$F,$A907)=0),"NO ISRC MATCH in Release_Track",and($B907&lt;&gt;"",countif('5) Release_Track'!$G:$G,$B907)=0),"NO CATALOG ID MATCH in Release_Track",iserror(vlookup($A907&amp;$B907,'5) Release_Track'!$F:$F&amp;'5) Release_Track'!$G:$G,1,0)),"NO ISRC-CATALOG ID pair MATCH in Release_Track" )</f>
        <v/>
      </c>
      <c r="D907" s="121" t="str">
        <f t="array" ref="D907">ifs(and(isblank($A907),isblank($B907)),"", not(iserror(vlookup($A907&amp;$B907,'5) Release_Track'!$F:$F&amp;'5) Release_Track'!$G:$G,1,0))),vlookup($A907&amp;$B907,{'5) Release_Track'!$F:$F&amp;'5) Release_Track'!$G:$G,'5) Release_Track'!$I:$I},2,0), or(and(not(isblank($B907)),$B907=$B906,$A907&lt;&gt;$A906),and(not(isblank($A907)),$A907=$A906,$B907&lt;&gt;$B906)),"ID LISTS UNALIGNED",and($A907&lt;&gt;"",countif('5) Release_Track'!$F:$F,$A907)=0),"NO ISRC MATCH in Release_Track",and($B907&lt;&gt;"",countif('5) Release_Track'!$G:$G,$B907)=0),"NO CATALOG ID MATCH in Release_Track",iserror(vlookup($A907&amp;$B907,'5) Release_Track'!$F:$F&amp;'5) Release_Track'!$G:$G,1,0)),"NO ISRC-CATALOG ID pair MATCH in Release_Track" )</f>
        <v/>
      </c>
      <c r="E907" s="125" t="str">
        <f t="array" ref="E907">ifs(and(isblank($A907),isblank($B907)),"", not(iserror(vlookup($A907&amp;$B907,'5) Release_Track'!$F:$F&amp;'5) Release_Track'!$G:$G,1,0))),vlookup($A907&amp;$B907,{'5) Release_Track'!$F:$F&amp;'5) Release_Track'!$G:$G,'5) Release_Track'!$J:$J},2,0), or(and(not(isblank($B907)),$B907=$B906,$A907&lt;&gt;$A906),and(not(isblank($A907)),$A907=$A906,$B907&lt;&gt;$B906)),"ID LISTS UNALIGNED",and($A907&lt;&gt;"",countif('5) Release_Track'!$F:$F,$A907)=0),"NO ISRC MATCH in Release_Track",and($B907&lt;&gt;"",countif('5) Release_Track'!$G:$G,$B907)=0),"NO CATALOG ID MATCH in Release_Track",iserror(vlookup($A907&amp;$B907,'5) Release_Track'!$F:$F&amp;'5) Release_Track'!$G:$G,1,0)),"NO ISRC-CATALOG ID pair MATCH in Release_Track" )</f>
        <v/>
      </c>
      <c r="F907" s="122"/>
      <c r="G907" s="99"/>
      <c r="H907" s="178"/>
      <c r="I907" s="121" t="str">
        <f t="shared" si="6"/>
        <v/>
      </c>
      <c r="J907" s="99"/>
      <c r="K907" s="99"/>
    </row>
    <row r="908">
      <c r="B908" s="103"/>
      <c r="C908" s="121" t="str">
        <f t="array" ref="C908">ifs(and(isblank($A908),isblank($B908)),"", not(iserror(vlookup($A908&amp;$B908,'5) Release_Track'!$F:$F&amp;'5) Release_Track'!$G:$G,1,0))),vlookup($A908&amp;$B908,{'5) Release_Track'!$F:$F&amp;'5) Release_Track'!$G:$G,'5) Release_Track'!$H:$H},2,0), or(and(not(isblank($B908)),$B908=$B907,$A908&lt;&gt;$A907),and(not(isblank($A908)),$A908=$A907,$B908&lt;&gt;$B907)),"ID LISTS UNALIGNED",and($A908&lt;&gt;"",countif('5) Release_Track'!$F:$F,$A908)=0),"NO ISRC MATCH in Release_Track",and($B908&lt;&gt;"",countif('5) Release_Track'!$G:$G,$B908)=0),"NO CATALOG ID MATCH in Release_Track",iserror(vlookup($A908&amp;$B908,'5) Release_Track'!$F:$F&amp;'5) Release_Track'!$G:$G,1,0)),"NO ISRC-CATALOG ID pair MATCH in Release_Track" )</f>
        <v/>
      </c>
      <c r="D908" s="121" t="str">
        <f t="array" ref="D908">ifs(and(isblank($A908),isblank($B908)),"", not(iserror(vlookup($A908&amp;$B908,'5) Release_Track'!$F:$F&amp;'5) Release_Track'!$G:$G,1,0))),vlookup($A908&amp;$B908,{'5) Release_Track'!$F:$F&amp;'5) Release_Track'!$G:$G,'5) Release_Track'!$I:$I},2,0), or(and(not(isblank($B908)),$B908=$B907,$A908&lt;&gt;$A907),and(not(isblank($A908)),$A908=$A907,$B908&lt;&gt;$B907)),"ID LISTS UNALIGNED",and($A908&lt;&gt;"",countif('5) Release_Track'!$F:$F,$A908)=0),"NO ISRC MATCH in Release_Track",and($B908&lt;&gt;"",countif('5) Release_Track'!$G:$G,$B908)=0),"NO CATALOG ID MATCH in Release_Track",iserror(vlookup($A908&amp;$B908,'5) Release_Track'!$F:$F&amp;'5) Release_Track'!$G:$G,1,0)),"NO ISRC-CATALOG ID pair MATCH in Release_Track" )</f>
        <v/>
      </c>
      <c r="E908" s="125" t="str">
        <f t="array" ref="E908">ifs(and(isblank($A908),isblank($B908)),"", not(iserror(vlookup($A908&amp;$B908,'5) Release_Track'!$F:$F&amp;'5) Release_Track'!$G:$G,1,0))),vlookup($A908&amp;$B908,{'5) Release_Track'!$F:$F&amp;'5) Release_Track'!$G:$G,'5) Release_Track'!$J:$J},2,0), or(and(not(isblank($B908)),$B908=$B907,$A908&lt;&gt;$A907),and(not(isblank($A908)),$A908=$A907,$B908&lt;&gt;$B907)),"ID LISTS UNALIGNED",and($A908&lt;&gt;"",countif('5) Release_Track'!$F:$F,$A908)=0),"NO ISRC MATCH in Release_Track",and($B908&lt;&gt;"",countif('5) Release_Track'!$G:$G,$B908)=0),"NO CATALOG ID MATCH in Release_Track",iserror(vlookup($A908&amp;$B908,'5) Release_Track'!$F:$F&amp;'5) Release_Track'!$G:$G,1,0)),"NO ISRC-CATALOG ID pair MATCH in Release_Track" )</f>
        <v/>
      </c>
      <c r="F908" s="122"/>
      <c r="G908" s="99"/>
      <c r="H908" s="178"/>
      <c r="I908" s="121" t="str">
        <f t="shared" si="6"/>
        <v/>
      </c>
      <c r="J908" s="99"/>
      <c r="K908" s="99"/>
    </row>
    <row r="909">
      <c r="B909" s="103"/>
      <c r="C909" s="121" t="str">
        <f t="array" ref="C909">ifs(and(isblank($A909),isblank($B909)),"", not(iserror(vlookup($A909&amp;$B909,'5) Release_Track'!$F:$F&amp;'5) Release_Track'!$G:$G,1,0))),vlookup($A909&amp;$B909,{'5) Release_Track'!$F:$F&amp;'5) Release_Track'!$G:$G,'5) Release_Track'!$H:$H},2,0), or(and(not(isblank($B909)),$B909=$B908,$A909&lt;&gt;$A908),and(not(isblank($A909)),$A909=$A908,$B909&lt;&gt;$B908)),"ID LISTS UNALIGNED",and($A909&lt;&gt;"",countif('5) Release_Track'!$F:$F,$A909)=0),"NO ISRC MATCH in Release_Track",and($B909&lt;&gt;"",countif('5) Release_Track'!$G:$G,$B909)=0),"NO CATALOG ID MATCH in Release_Track",iserror(vlookup($A909&amp;$B909,'5) Release_Track'!$F:$F&amp;'5) Release_Track'!$G:$G,1,0)),"NO ISRC-CATALOG ID pair MATCH in Release_Track" )</f>
        <v/>
      </c>
      <c r="D909" s="121" t="str">
        <f t="array" ref="D909">ifs(and(isblank($A909),isblank($B909)),"", not(iserror(vlookup($A909&amp;$B909,'5) Release_Track'!$F:$F&amp;'5) Release_Track'!$G:$G,1,0))),vlookup($A909&amp;$B909,{'5) Release_Track'!$F:$F&amp;'5) Release_Track'!$G:$G,'5) Release_Track'!$I:$I},2,0), or(and(not(isblank($B909)),$B909=$B908,$A909&lt;&gt;$A908),and(not(isblank($A909)),$A909=$A908,$B909&lt;&gt;$B908)),"ID LISTS UNALIGNED",and($A909&lt;&gt;"",countif('5) Release_Track'!$F:$F,$A909)=0),"NO ISRC MATCH in Release_Track",and($B909&lt;&gt;"",countif('5) Release_Track'!$G:$G,$B909)=0),"NO CATALOG ID MATCH in Release_Track",iserror(vlookup($A909&amp;$B909,'5) Release_Track'!$F:$F&amp;'5) Release_Track'!$G:$G,1,0)),"NO ISRC-CATALOG ID pair MATCH in Release_Track" )</f>
        <v/>
      </c>
      <c r="E909" s="125" t="str">
        <f t="array" ref="E909">ifs(and(isblank($A909),isblank($B909)),"", not(iserror(vlookup($A909&amp;$B909,'5) Release_Track'!$F:$F&amp;'5) Release_Track'!$G:$G,1,0))),vlookup($A909&amp;$B909,{'5) Release_Track'!$F:$F&amp;'5) Release_Track'!$G:$G,'5) Release_Track'!$J:$J},2,0), or(and(not(isblank($B909)),$B909=$B908,$A909&lt;&gt;$A908),and(not(isblank($A909)),$A909=$A908,$B909&lt;&gt;$B908)),"ID LISTS UNALIGNED",and($A909&lt;&gt;"",countif('5) Release_Track'!$F:$F,$A909)=0),"NO ISRC MATCH in Release_Track",and($B909&lt;&gt;"",countif('5) Release_Track'!$G:$G,$B909)=0),"NO CATALOG ID MATCH in Release_Track",iserror(vlookup($A909&amp;$B909,'5) Release_Track'!$F:$F&amp;'5) Release_Track'!$G:$G,1,0)),"NO ISRC-CATALOG ID pair MATCH in Release_Track" )</f>
        <v/>
      </c>
      <c r="F909" s="122"/>
      <c r="G909" s="99"/>
      <c r="H909" s="178"/>
      <c r="I909" s="121" t="str">
        <f t="shared" si="6"/>
        <v/>
      </c>
      <c r="J909" s="99"/>
      <c r="K909" s="99"/>
    </row>
    <row r="910">
      <c r="B910" s="103"/>
      <c r="C910" s="121" t="str">
        <f t="array" ref="C910">ifs(and(isblank($A910),isblank($B910)),"", not(iserror(vlookup($A910&amp;$B910,'5) Release_Track'!$F:$F&amp;'5) Release_Track'!$G:$G,1,0))),vlookup($A910&amp;$B910,{'5) Release_Track'!$F:$F&amp;'5) Release_Track'!$G:$G,'5) Release_Track'!$H:$H},2,0), or(and(not(isblank($B910)),$B910=$B909,$A910&lt;&gt;$A909),and(not(isblank($A910)),$A910=$A909,$B910&lt;&gt;$B909)),"ID LISTS UNALIGNED",and($A910&lt;&gt;"",countif('5) Release_Track'!$F:$F,$A910)=0),"NO ISRC MATCH in Release_Track",and($B910&lt;&gt;"",countif('5) Release_Track'!$G:$G,$B910)=0),"NO CATALOG ID MATCH in Release_Track",iserror(vlookup($A910&amp;$B910,'5) Release_Track'!$F:$F&amp;'5) Release_Track'!$G:$G,1,0)),"NO ISRC-CATALOG ID pair MATCH in Release_Track" )</f>
        <v/>
      </c>
      <c r="D910" s="121" t="str">
        <f t="array" ref="D910">ifs(and(isblank($A910),isblank($B910)),"", not(iserror(vlookup($A910&amp;$B910,'5) Release_Track'!$F:$F&amp;'5) Release_Track'!$G:$G,1,0))),vlookup($A910&amp;$B910,{'5) Release_Track'!$F:$F&amp;'5) Release_Track'!$G:$G,'5) Release_Track'!$I:$I},2,0), or(and(not(isblank($B910)),$B910=$B909,$A910&lt;&gt;$A909),and(not(isblank($A910)),$A910=$A909,$B910&lt;&gt;$B909)),"ID LISTS UNALIGNED",and($A910&lt;&gt;"",countif('5) Release_Track'!$F:$F,$A910)=0),"NO ISRC MATCH in Release_Track",and($B910&lt;&gt;"",countif('5) Release_Track'!$G:$G,$B910)=0),"NO CATALOG ID MATCH in Release_Track",iserror(vlookup($A910&amp;$B910,'5) Release_Track'!$F:$F&amp;'5) Release_Track'!$G:$G,1,0)),"NO ISRC-CATALOG ID pair MATCH in Release_Track" )</f>
        <v/>
      </c>
      <c r="E910" s="125" t="str">
        <f t="array" ref="E910">ifs(and(isblank($A910),isblank($B910)),"", not(iserror(vlookup($A910&amp;$B910,'5) Release_Track'!$F:$F&amp;'5) Release_Track'!$G:$G,1,0))),vlookup($A910&amp;$B910,{'5) Release_Track'!$F:$F&amp;'5) Release_Track'!$G:$G,'5) Release_Track'!$J:$J},2,0), or(and(not(isblank($B910)),$B910=$B909,$A910&lt;&gt;$A909),and(not(isblank($A910)),$A910=$A909,$B910&lt;&gt;$B909)),"ID LISTS UNALIGNED",and($A910&lt;&gt;"",countif('5) Release_Track'!$F:$F,$A910)=0),"NO ISRC MATCH in Release_Track",and($B910&lt;&gt;"",countif('5) Release_Track'!$G:$G,$B910)=0),"NO CATALOG ID MATCH in Release_Track",iserror(vlookup($A910&amp;$B910,'5) Release_Track'!$F:$F&amp;'5) Release_Track'!$G:$G,1,0)),"NO ISRC-CATALOG ID pair MATCH in Release_Track" )</f>
        <v/>
      </c>
      <c r="F910" s="122"/>
      <c r="G910" s="99"/>
      <c r="H910" s="178"/>
      <c r="I910" s="121" t="str">
        <f t="shared" si="6"/>
        <v/>
      </c>
      <c r="J910" s="99"/>
      <c r="K910" s="99"/>
    </row>
    <row r="911">
      <c r="B911" s="103"/>
      <c r="C911" s="121" t="str">
        <f t="array" ref="C911">ifs(and(isblank($A911),isblank($B911)),"", not(iserror(vlookup($A911&amp;$B911,'5) Release_Track'!$F:$F&amp;'5) Release_Track'!$G:$G,1,0))),vlookup($A911&amp;$B911,{'5) Release_Track'!$F:$F&amp;'5) Release_Track'!$G:$G,'5) Release_Track'!$H:$H},2,0), or(and(not(isblank($B911)),$B911=$B910,$A911&lt;&gt;$A910),and(not(isblank($A911)),$A911=$A910,$B911&lt;&gt;$B910)),"ID LISTS UNALIGNED",and($A911&lt;&gt;"",countif('5) Release_Track'!$F:$F,$A911)=0),"NO ISRC MATCH in Release_Track",and($B911&lt;&gt;"",countif('5) Release_Track'!$G:$G,$B911)=0),"NO CATALOG ID MATCH in Release_Track",iserror(vlookup($A911&amp;$B911,'5) Release_Track'!$F:$F&amp;'5) Release_Track'!$G:$G,1,0)),"NO ISRC-CATALOG ID pair MATCH in Release_Track" )</f>
        <v/>
      </c>
      <c r="D911" s="121" t="str">
        <f t="array" ref="D911">ifs(and(isblank($A911),isblank($B911)),"", not(iserror(vlookup($A911&amp;$B911,'5) Release_Track'!$F:$F&amp;'5) Release_Track'!$G:$G,1,0))),vlookup($A911&amp;$B911,{'5) Release_Track'!$F:$F&amp;'5) Release_Track'!$G:$G,'5) Release_Track'!$I:$I},2,0), or(and(not(isblank($B911)),$B911=$B910,$A911&lt;&gt;$A910),and(not(isblank($A911)),$A911=$A910,$B911&lt;&gt;$B910)),"ID LISTS UNALIGNED",and($A911&lt;&gt;"",countif('5) Release_Track'!$F:$F,$A911)=0),"NO ISRC MATCH in Release_Track",and($B911&lt;&gt;"",countif('5) Release_Track'!$G:$G,$B911)=0),"NO CATALOG ID MATCH in Release_Track",iserror(vlookup($A911&amp;$B911,'5) Release_Track'!$F:$F&amp;'5) Release_Track'!$G:$G,1,0)),"NO ISRC-CATALOG ID pair MATCH in Release_Track" )</f>
        <v/>
      </c>
      <c r="E911" s="125" t="str">
        <f t="array" ref="E911">ifs(and(isblank($A911),isblank($B911)),"", not(iserror(vlookup($A911&amp;$B911,'5) Release_Track'!$F:$F&amp;'5) Release_Track'!$G:$G,1,0))),vlookup($A911&amp;$B911,{'5) Release_Track'!$F:$F&amp;'5) Release_Track'!$G:$G,'5) Release_Track'!$J:$J},2,0), or(and(not(isblank($B911)),$B911=$B910,$A911&lt;&gt;$A910),and(not(isblank($A911)),$A911=$A910,$B911&lt;&gt;$B910)),"ID LISTS UNALIGNED",and($A911&lt;&gt;"",countif('5) Release_Track'!$F:$F,$A911)=0),"NO ISRC MATCH in Release_Track",and($B911&lt;&gt;"",countif('5) Release_Track'!$G:$G,$B911)=0),"NO CATALOG ID MATCH in Release_Track",iserror(vlookup($A911&amp;$B911,'5) Release_Track'!$F:$F&amp;'5) Release_Track'!$G:$G,1,0)),"NO ISRC-CATALOG ID pair MATCH in Release_Track" )</f>
        <v/>
      </c>
      <c r="F911" s="122"/>
      <c r="G911" s="99"/>
      <c r="H911" s="178"/>
      <c r="I911" s="121" t="str">
        <f t="shared" si="6"/>
        <v/>
      </c>
      <c r="J911" s="99"/>
      <c r="K911" s="99"/>
    </row>
    <row r="912">
      <c r="B912" s="103"/>
      <c r="C912" s="121" t="str">
        <f t="array" ref="C912">ifs(and(isblank($A912),isblank($B912)),"", not(iserror(vlookup($A912&amp;$B912,'5) Release_Track'!$F:$F&amp;'5) Release_Track'!$G:$G,1,0))),vlookup($A912&amp;$B912,{'5) Release_Track'!$F:$F&amp;'5) Release_Track'!$G:$G,'5) Release_Track'!$H:$H},2,0), or(and(not(isblank($B912)),$B912=$B911,$A912&lt;&gt;$A911),and(not(isblank($A912)),$A912=$A911,$B912&lt;&gt;$B911)),"ID LISTS UNALIGNED",and($A912&lt;&gt;"",countif('5) Release_Track'!$F:$F,$A912)=0),"NO ISRC MATCH in Release_Track",and($B912&lt;&gt;"",countif('5) Release_Track'!$G:$G,$B912)=0),"NO CATALOG ID MATCH in Release_Track",iserror(vlookup($A912&amp;$B912,'5) Release_Track'!$F:$F&amp;'5) Release_Track'!$G:$G,1,0)),"NO ISRC-CATALOG ID pair MATCH in Release_Track" )</f>
        <v/>
      </c>
      <c r="D912" s="121" t="str">
        <f t="array" ref="D912">ifs(and(isblank($A912),isblank($B912)),"", not(iserror(vlookup($A912&amp;$B912,'5) Release_Track'!$F:$F&amp;'5) Release_Track'!$G:$G,1,0))),vlookup($A912&amp;$B912,{'5) Release_Track'!$F:$F&amp;'5) Release_Track'!$G:$G,'5) Release_Track'!$I:$I},2,0), or(and(not(isblank($B912)),$B912=$B911,$A912&lt;&gt;$A911),and(not(isblank($A912)),$A912=$A911,$B912&lt;&gt;$B911)),"ID LISTS UNALIGNED",and($A912&lt;&gt;"",countif('5) Release_Track'!$F:$F,$A912)=0),"NO ISRC MATCH in Release_Track",and($B912&lt;&gt;"",countif('5) Release_Track'!$G:$G,$B912)=0),"NO CATALOG ID MATCH in Release_Track",iserror(vlookup($A912&amp;$B912,'5) Release_Track'!$F:$F&amp;'5) Release_Track'!$G:$G,1,0)),"NO ISRC-CATALOG ID pair MATCH in Release_Track" )</f>
        <v/>
      </c>
      <c r="E912" s="125" t="str">
        <f t="array" ref="E912">ifs(and(isblank($A912),isblank($B912)),"", not(iserror(vlookup($A912&amp;$B912,'5) Release_Track'!$F:$F&amp;'5) Release_Track'!$G:$G,1,0))),vlookup($A912&amp;$B912,{'5) Release_Track'!$F:$F&amp;'5) Release_Track'!$G:$G,'5) Release_Track'!$J:$J},2,0), or(and(not(isblank($B912)),$B912=$B911,$A912&lt;&gt;$A911),and(not(isblank($A912)),$A912=$A911,$B912&lt;&gt;$B911)),"ID LISTS UNALIGNED",and($A912&lt;&gt;"",countif('5) Release_Track'!$F:$F,$A912)=0),"NO ISRC MATCH in Release_Track",and($B912&lt;&gt;"",countif('5) Release_Track'!$G:$G,$B912)=0),"NO CATALOG ID MATCH in Release_Track",iserror(vlookup($A912&amp;$B912,'5) Release_Track'!$F:$F&amp;'5) Release_Track'!$G:$G,1,0)),"NO ISRC-CATALOG ID pair MATCH in Release_Track" )</f>
        <v/>
      </c>
      <c r="F912" s="122"/>
      <c r="G912" s="99"/>
      <c r="H912" s="178"/>
      <c r="I912" s="121" t="str">
        <f t="shared" si="6"/>
        <v/>
      </c>
      <c r="J912" s="99"/>
      <c r="K912" s="99"/>
    </row>
    <row r="913">
      <c r="B913" s="103"/>
      <c r="C913" s="121" t="str">
        <f t="array" ref="C913">ifs(and(isblank($A913),isblank($B913)),"", not(iserror(vlookup($A913&amp;$B913,'5) Release_Track'!$F:$F&amp;'5) Release_Track'!$G:$G,1,0))),vlookup($A913&amp;$B913,{'5) Release_Track'!$F:$F&amp;'5) Release_Track'!$G:$G,'5) Release_Track'!$H:$H},2,0), or(and(not(isblank($B913)),$B913=$B912,$A913&lt;&gt;$A912),and(not(isblank($A913)),$A913=$A912,$B913&lt;&gt;$B912)),"ID LISTS UNALIGNED",and($A913&lt;&gt;"",countif('5) Release_Track'!$F:$F,$A913)=0),"NO ISRC MATCH in Release_Track",and($B913&lt;&gt;"",countif('5) Release_Track'!$G:$G,$B913)=0),"NO CATALOG ID MATCH in Release_Track",iserror(vlookup($A913&amp;$B913,'5) Release_Track'!$F:$F&amp;'5) Release_Track'!$G:$G,1,0)),"NO ISRC-CATALOG ID pair MATCH in Release_Track" )</f>
        <v/>
      </c>
      <c r="D913" s="121" t="str">
        <f t="array" ref="D913">ifs(and(isblank($A913),isblank($B913)),"", not(iserror(vlookup($A913&amp;$B913,'5) Release_Track'!$F:$F&amp;'5) Release_Track'!$G:$G,1,0))),vlookup($A913&amp;$B913,{'5) Release_Track'!$F:$F&amp;'5) Release_Track'!$G:$G,'5) Release_Track'!$I:$I},2,0), or(and(not(isblank($B913)),$B913=$B912,$A913&lt;&gt;$A912),and(not(isblank($A913)),$A913=$A912,$B913&lt;&gt;$B912)),"ID LISTS UNALIGNED",and($A913&lt;&gt;"",countif('5) Release_Track'!$F:$F,$A913)=0),"NO ISRC MATCH in Release_Track",and($B913&lt;&gt;"",countif('5) Release_Track'!$G:$G,$B913)=0),"NO CATALOG ID MATCH in Release_Track",iserror(vlookup($A913&amp;$B913,'5) Release_Track'!$F:$F&amp;'5) Release_Track'!$G:$G,1,0)),"NO ISRC-CATALOG ID pair MATCH in Release_Track" )</f>
        <v/>
      </c>
      <c r="E913" s="125" t="str">
        <f t="array" ref="E913">ifs(and(isblank($A913),isblank($B913)),"", not(iserror(vlookup($A913&amp;$B913,'5) Release_Track'!$F:$F&amp;'5) Release_Track'!$G:$G,1,0))),vlookup($A913&amp;$B913,{'5) Release_Track'!$F:$F&amp;'5) Release_Track'!$G:$G,'5) Release_Track'!$J:$J},2,0), or(and(not(isblank($B913)),$B913=$B912,$A913&lt;&gt;$A912),and(not(isblank($A913)),$A913=$A912,$B913&lt;&gt;$B912)),"ID LISTS UNALIGNED",and($A913&lt;&gt;"",countif('5) Release_Track'!$F:$F,$A913)=0),"NO ISRC MATCH in Release_Track",and($B913&lt;&gt;"",countif('5) Release_Track'!$G:$G,$B913)=0),"NO CATALOG ID MATCH in Release_Track",iserror(vlookup($A913&amp;$B913,'5) Release_Track'!$F:$F&amp;'5) Release_Track'!$G:$G,1,0)),"NO ISRC-CATALOG ID pair MATCH in Release_Track" )</f>
        <v/>
      </c>
      <c r="F913" s="122"/>
      <c r="G913" s="99"/>
      <c r="H913" s="178"/>
      <c r="I913" s="121" t="str">
        <f t="shared" si="6"/>
        <v/>
      </c>
      <c r="J913" s="99"/>
      <c r="K913" s="99"/>
    </row>
    <row r="914">
      <c r="B914" s="103"/>
      <c r="C914" s="121" t="str">
        <f t="array" ref="C914">ifs(and(isblank($A914),isblank($B914)),"", not(iserror(vlookup($A914&amp;$B914,'5) Release_Track'!$F:$F&amp;'5) Release_Track'!$G:$G,1,0))),vlookup($A914&amp;$B914,{'5) Release_Track'!$F:$F&amp;'5) Release_Track'!$G:$G,'5) Release_Track'!$H:$H},2,0), or(and(not(isblank($B914)),$B914=$B913,$A914&lt;&gt;$A913),and(not(isblank($A914)),$A914=$A913,$B914&lt;&gt;$B913)),"ID LISTS UNALIGNED",and($A914&lt;&gt;"",countif('5) Release_Track'!$F:$F,$A914)=0),"NO ISRC MATCH in Release_Track",and($B914&lt;&gt;"",countif('5) Release_Track'!$G:$G,$B914)=0),"NO CATALOG ID MATCH in Release_Track",iserror(vlookup($A914&amp;$B914,'5) Release_Track'!$F:$F&amp;'5) Release_Track'!$G:$G,1,0)),"NO ISRC-CATALOG ID pair MATCH in Release_Track" )</f>
        <v/>
      </c>
      <c r="D914" s="121" t="str">
        <f t="array" ref="D914">ifs(and(isblank($A914),isblank($B914)),"", not(iserror(vlookup($A914&amp;$B914,'5) Release_Track'!$F:$F&amp;'5) Release_Track'!$G:$G,1,0))),vlookup($A914&amp;$B914,{'5) Release_Track'!$F:$F&amp;'5) Release_Track'!$G:$G,'5) Release_Track'!$I:$I},2,0), or(and(not(isblank($B914)),$B914=$B913,$A914&lt;&gt;$A913),and(not(isblank($A914)),$A914=$A913,$B914&lt;&gt;$B913)),"ID LISTS UNALIGNED",and($A914&lt;&gt;"",countif('5) Release_Track'!$F:$F,$A914)=0),"NO ISRC MATCH in Release_Track",and($B914&lt;&gt;"",countif('5) Release_Track'!$G:$G,$B914)=0),"NO CATALOG ID MATCH in Release_Track",iserror(vlookup($A914&amp;$B914,'5) Release_Track'!$F:$F&amp;'5) Release_Track'!$G:$G,1,0)),"NO ISRC-CATALOG ID pair MATCH in Release_Track" )</f>
        <v/>
      </c>
      <c r="E914" s="125" t="str">
        <f t="array" ref="E914">ifs(and(isblank($A914),isblank($B914)),"", not(iserror(vlookup($A914&amp;$B914,'5) Release_Track'!$F:$F&amp;'5) Release_Track'!$G:$G,1,0))),vlookup($A914&amp;$B914,{'5) Release_Track'!$F:$F&amp;'5) Release_Track'!$G:$G,'5) Release_Track'!$J:$J},2,0), or(and(not(isblank($B914)),$B914=$B913,$A914&lt;&gt;$A913),and(not(isblank($A914)),$A914=$A913,$B914&lt;&gt;$B913)),"ID LISTS UNALIGNED",and($A914&lt;&gt;"",countif('5) Release_Track'!$F:$F,$A914)=0),"NO ISRC MATCH in Release_Track",and($B914&lt;&gt;"",countif('5) Release_Track'!$G:$G,$B914)=0),"NO CATALOG ID MATCH in Release_Track",iserror(vlookup($A914&amp;$B914,'5) Release_Track'!$F:$F&amp;'5) Release_Track'!$G:$G,1,0)),"NO ISRC-CATALOG ID pair MATCH in Release_Track" )</f>
        <v/>
      </c>
      <c r="F914" s="122"/>
      <c r="G914" s="99"/>
      <c r="H914" s="178"/>
      <c r="I914" s="121" t="str">
        <f t="shared" si="6"/>
        <v/>
      </c>
      <c r="J914" s="99"/>
      <c r="K914" s="99"/>
    </row>
    <row r="915">
      <c r="B915" s="103"/>
      <c r="C915" s="121" t="str">
        <f t="array" ref="C915">ifs(and(isblank($A915),isblank($B915)),"", not(iserror(vlookup($A915&amp;$B915,'5) Release_Track'!$F:$F&amp;'5) Release_Track'!$G:$G,1,0))),vlookup($A915&amp;$B915,{'5) Release_Track'!$F:$F&amp;'5) Release_Track'!$G:$G,'5) Release_Track'!$H:$H},2,0), or(and(not(isblank($B915)),$B915=$B914,$A915&lt;&gt;$A914),and(not(isblank($A915)),$A915=$A914,$B915&lt;&gt;$B914)),"ID LISTS UNALIGNED",and($A915&lt;&gt;"",countif('5) Release_Track'!$F:$F,$A915)=0),"NO ISRC MATCH in Release_Track",and($B915&lt;&gt;"",countif('5) Release_Track'!$G:$G,$B915)=0),"NO CATALOG ID MATCH in Release_Track",iserror(vlookup($A915&amp;$B915,'5) Release_Track'!$F:$F&amp;'5) Release_Track'!$G:$G,1,0)),"NO ISRC-CATALOG ID pair MATCH in Release_Track" )</f>
        <v/>
      </c>
      <c r="D915" s="121" t="str">
        <f t="array" ref="D915">ifs(and(isblank($A915),isblank($B915)),"", not(iserror(vlookup($A915&amp;$B915,'5) Release_Track'!$F:$F&amp;'5) Release_Track'!$G:$G,1,0))),vlookup($A915&amp;$B915,{'5) Release_Track'!$F:$F&amp;'5) Release_Track'!$G:$G,'5) Release_Track'!$I:$I},2,0), or(and(not(isblank($B915)),$B915=$B914,$A915&lt;&gt;$A914),and(not(isblank($A915)),$A915=$A914,$B915&lt;&gt;$B914)),"ID LISTS UNALIGNED",and($A915&lt;&gt;"",countif('5) Release_Track'!$F:$F,$A915)=0),"NO ISRC MATCH in Release_Track",and($B915&lt;&gt;"",countif('5) Release_Track'!$G:$G,$B915)=0),"NO CATALOG ID MATCH in Release_Track",iserror(vlookup($A915&amp;$B915,'5) Release_Track'!$F:$F&amp;'5) Release_Track'!$G:$G,1,0)),"NO ISRC-CATALOG ID pair MATCH in Release_Track" )</f>
        <v/>
      </c>
      <c r="E915" s="125" t="str">
        <f t="array" ref="E915">ifs(and(isblank($A915),isblank($B915)),"", not(iserror(vlookup($A915&amp;$B915,'5) Release_Track'!$F:$F&amp;'5) Release_Track'!$G:$G,1,0))),vlookup($A915&amp;$B915,{'5) Release_Track'!$F:$F&amp;'5) Release_Track'!$G:$G,'5) Release_Track'!$J:$J},2,0), or(and(not(isblank($B915)),$B915=$B914,$A915&lt;&gt;$A914),and(not(isblank($A915)),$A915=$A914,$B915&lt;&gt;$B914)),"ID LISTS UNALIGNED",and($A915&lt;&gt;"",countif('5) Release_Track'!$F:$F,$A915)=0),"NO ISRC MATCH in Release_Track",and($B915&lt;&gt;"",countif('5) Release_Track'!$G:$G,$B915)=0),"NO CATALOG ID MATCH in Release_Track",iserror(vlookup($A915&amp;$B915,'5) Release_Track'!$F:$F&amp;'5) Release_Track'!$G:$G,1,0)),"NO ISRC-CATALOG ID pair MATCH in Release_Track" )</f>
        <v/>
      </c>
      <c r="F915" s="122"/>
      <c r="G915" s="99"/>
      <c r="H915" s="178"/>
      <c r="I915" s="121" t="str">
        <f t="shared" si="6"/>
        <v/>
      </c>
      <c r="J915" s="99"/>
      <c r="K915" s="99"/>
    </row>
    <row r="916">
      <c r="B916" s="103"/>
      <c r="C916" s="121" t="str">
        <f t="array" ref="C916">ifs(and(isblank($A916),isblank($B916)),"", not(iserror(vlookup($A916&amp;$B916,'5) Release_Track'!$F:$F&amp;'5) Release_Track'!$G:$G,1,0))),vlookup($A916&amp;$B916,{'5) Release_Track'!$F:$F&amp;'5) Release_Track'!$G:$G,'5) Release_Track'!$H:$H},2,0), or(and(not(isblank($B916)),$B916=$B915,$A916&lt;&gt;$A915),and(not(isblank($A916)),$A916=$A915,$B916&lt;&gt;$B915)),"ID LISTS UNALIGNED",and($A916&lt;&gt;"",countif('5) Release_Track'!$F:$F,$A916)=0),"NO ISRC MATCH in Release_Track",and($B916&lt;&gt;"",countif('5) Release_Track'!$G:$G,$B916)=0),"NO CATALOG ID MATCH in Release_Track",iserror(vlookup($A916&amp;$B916,'5) Release_Track'!$F:$F&amp;'5) Release_Track'!$G:$G,1,0)),"NO ISRC-CATALOG ID pair MATCH in Release_Track" )</f>
        <v/>
      </c>
      <c r="D916" s="121" t="str">
        <f t="array" ref="D916">ifs(and(isblank($A916),isblank($B916)),"", not(iserror(vlookup($A916&amp;$B916,'5) Release_Track'!$F:$F&amp;'5) Release_Track'!$G:$G,1,0))),vlookup($A916&amp;$B916,{'5) Release_Track'!$F:$F&amp;'5) Release_Track'!$G:$G,'5) Release_Track'!$I:$I},2,0), or(and(not(isblank($B916)),$B916=$B915,$A916&lt;&gt;$A915),and(not(isblank($A916)),$A916=$A915,$B916&lt;&gt;$B915)),"ID LISTS UNALIGNED",and($A916&lt;&gt;"",countif('5) Release_Track'!$F:$F,$A916)=0),"NO ISRC MATCH in Release_Track",and($B916&lt;&gt;"",countif('5) Release_Track'!$G:$G,$B916)=0),"NO CATALOG ID MATCH in Release_Track",iserror(vlookup($A916&amp;$B916,'5) Release_Track'!$F:$F&amp;'5) Release_Track'!$G:$G,1,0)),"NO ISRC-CATALOG ID pair MATCH in Release_Track" )</f>
        <v/>
      </c>
      <c r="E916" s="125" t="str">
        <f t="array" ref="E916">ifs(and(isblank($A916),isblank($B916)),"", not(iserror(vlookup($A916&amp;$B916,'5) Release_Track'!$F:$F&amp;'5) Release_Track'!$G:$G,1,0))),vlookup($A916&amp;$B916,{'5) Release_Track'!$F:$F&amp;'5) Release_Track'!$G:$G,'5) Release_Track'!$J:$J},2,0), or(and(not(isblank($B916)),$B916=$B915,$A916&lt;&gt;$A915),and(not(isblank($A916)),$A916=$A915,$B916&lt;&gt;$B915)),"ID LISTS UNALIGNED",and($A916&lt;&gt;"",countif('5) Release_Track'!$F:$F,$A916)=0),"NO ISRC MATCH in Release_Track",and($B916&lt;&gt;"",countif('5) Release_Track'!$G:$G,$B916)=0),"NO CATALOG ID MATCH in Release_Track",iserror(vlookup($A916&amp;$B916,'5) Release_Track'!$F:$F&amp;'5) Release_Track'!$G:$G,1,0)),"NO ISRC-CATALOG ID pair MATCH in Release_Track" )</f>
        <v/>
      </c>
      <c r="F916" s="122"/>
      <c r="G916" s="99"/>
      <c r="H916" s="178"/>
      <c r="I916" s="121" t="str">
        <f t="shared" si="6"/>
        <v/>
      </c>
      <c r="J916" s="99"/>
      <c r="K916" s="99"/>
    </row>
    <row r="917">
      <c r="B917" s="103"/>
      <c r="C917" s="121" t="str">
        <f t="array" ref="C917">ifs(and(isblank($A917),isblank($B917)),"", not(iserror(vlookup($A917&amp;$B917,'5) Release_Track'!$F:$F&amp;'5) Release_Track'!$G:$G,1,0))),vlookup($A917&amp;$B917,{'5) Release_Track'!$F:$F&amp;'5) Release_Track'!$G:$G,'5) Release_Track'!$H:$H},2,0), or(and(not(isblank($B917)),$B917=$B916,$A917&lt;&gt;$A916),and(not(isblank($A917)),$A917=$A916,$B917&lt;&gt;$B916)),"ID LISTS UNALIGNED",and($A917&lt;&gt;"",countif('5) Release_Track'!$F:$F,$A917)=0),"NO ISRC MATCH in Release_Track",and($B917&lt;&gt;"",countif('5) Release_Track'!$G:$G,$B917)=0),"NO CATALOG ID MATCH in Release_Track",iserror(vlookup($A917&amp;$B917,'5) Release_Track'!$F:$F&amp;'5) Release_Track'!$G:$G,1,0)),"NO ISRC-CATALOG ID pair MATCH in Release_Track" )</f>
        <v/>
      </c>
      <c r="D917" s="121" t="str">
        <f t="array" ref="D917">ifs(and(isblank($A917),isblank($B917)),"", not(iserror(vlookup($A917&amp;$B917,'5) Release_Track'!$F:$F&amp;'5) Release_Track'!$G:$G,1,0))),vlookup($A917&amp;$B917,{'5) Release_Track'!$F:$F&amp;'5) Release_Track'!$G:$G,'5) Release_Track'!$I:$I},2,0), or(and(not(isblank($B917)),$B917=$B916,$A917&lt;&gt;$A916),and(not(isblank($A917)),$A917=$A916,$B917&lt;&gt;$B916)),"ID LISTS UNALIGNED",and($A917&lt;&gt;"",countif('5) Release_Track'!$F:$F,$A917)=0),"NO ISRC MATCH in Release_Track",and($B917&lt;&gt;"",countif('5) Release_Track'!$G:$G,$B917)=0),"NO CATALOG ID MATCH in Release_Track",iserror(vlookup($A917&amp;$B917,'5) Release_Track'!$F:$F&amp;'5) Release_Track'!$G:$G,1,0)),"NO ISRC-CATALOG ID pair MATCH in Release_Track" )</f>
        <v/>
      </c>
      <c r="E917" s="125" t="str">
        <f t="array" ref="E917">ifs(and(isblank($A917),isblank($B917)),"", not(iserror(vlookup($A917&amp;$B917,'5) Release_Track'!$F:$F&amp;'5) Release_Track'!$G:$G,1,0))),vlookup($A917&amp;$B917,{'5) Release_Track'!$F:$F&amp;'5) Release_Track'!$G:$G,'5) Release_Track'!$J:$J},2,0), or(and(not(isblank($B917)),$B917=$B916,$A917&lt;&gt;$A916),and(not(isblank($A917)),$A917=$A916,$B917&lt;&gt;$B916)),"ID LISTS UNALIGNED",and($A917&lt;&gt;"",countif('5) Release_Track'!$F:$F,$A917)=0),"NO ISRC MATCH in Release_Track",and($B917&lt;&gt;"",countif('5) Release_Track'!$G:$G,$B917)=0),"NO CATALOG ID MATCH in Release_Track",iserror(vlookup($A917&amp;$B917,'5) Release_Track'!$F:$F&amp;'5) Release_Track'!$G:$G,1,0)),"NO ISRC-CATALOG ID pair MATCH in Release_Track" )</f>
        <v/>
      </c>
      <c r="F917" s="122"/>
      <c r="G917" s="99"/>
      <c r="H917" s="178"/>
      <c r="I917" s="121" t="str">
        <f t="shared" si="6"/>
        <v/>
      </c>
      <c r="J917" s="99"/>
      <c r="K917" s="99"/>
    </row>
    <row r="918">
      <c r="B918" s="103"/>
      <c r="C918" s="121" t="str">
        <f t="array" ref="C918">ifs(and(isblank($A918),isblank($B918)),"", not(iserror(vlookup($A918&amp;$B918,'5) Release_Track'!$F:$F&amp;'5) Release_Track'!$G:$G,1,0))),vlookup($A918&amp;$B918,{'5) Release_Track'!$F:$F&amp;'5) Release_Track'!$G:$G,'5) Release_Track'!$H:$H},2,0), or(and(not(isblank($B918)),$B918=$B917,$A918&lt;&gt;$A917),and(not(isblank($A918)),$A918=$A917,$B918&lt;&gt;$B917)),"ID LISTS UNALIGNED",and($A918&lt;&gt;"",countif('5) Release_Track'!$F:$F,$A918)=0),"NO ISRC MATCH in Release_Track",and($B918&lt;&gt;"",countif('5) Release_Track'!$G:$G,$B918)=0),"NO CATALOG ID MATCH in Release_Track",iserror(vlookup($A918&amp;$B918,'5) Release_Track'!$F:$F&amp;'5) Release_Track'!$G:$G,1,0)),"NO ISRC-CATALOG ID pair MATCH in Release_Track" )</f>
        <v/>
      </c>
      <c r="D918" s="121" t="str">
        <f t="array" ref="D918">ifs(and(isblank($A918),isblank($B918)),"", not(iserror(vlookup($A918&amp;$B918,'5) Release_Track'!$F:$F&amp;'5) Release_Track'!$G:$G,1,0))),vlookup($A918&amp;$B918,{'5) Release_Track'!$F:$F&amp;'5) Release_Track'!$G:$G,'5) Release_Track'!$I:$I},2,0), or(and(not(isblank($B918)),$B918=$B917,$A918&lt;&gt;$A917),and(not(isblank($A918)),$A918=$A917,$B918&lt;&gt;$B917)),"ID LISTS UNALIGNED",and($A918&lt;&gt;"",countif('5) Release_Track'!$F:$F,$A918)=0),"NO ISRC MATCH in Release_Track",and($B918&lt;&gt;"",countif('5) Release_Track'!$G:$G,$B918)=0),"NO CATALOG ID MATCH in Release_Track",iserror(vlookup($A918&amp;$B918,'5) Release_Track'!$F:$F&amp;'5) Release_Track'!$G:$G,1,0)),"NO ISRC-CATALOG ID pair MATCH in Release_Track" )</f>
        <v/>
      </c>
      <c r="E918" s="125" t="str">
        <f t="array" ref="E918">ifs(and(isblank($A918),isblank($B918)),"", not(iserror(vlookup($A918&amp;$B918,'5) Release_Track'!$F:$F&amp;'5) Release_Track'!$G:$G,1,0))),vlookup($A918&amp;$B918,{'5) Release_Track'!$F:$F&amp;'5) Release_Track'!$G:$G,'5) Release_Track'!$J:$J},2,0), or(and(not(isblank($B918)),$B918=$B917,$A918&lt;&gt;$A917),and(not(isblank($A918)),$A918=$A917,$B918&lt;&gt;$B917)),"ID LISTS UNALIGNED",and($A918&lt;&gt;"",countif('5) Release_Track'!$F:$F,$A918)=0),"NO ISRC MATCH in Release_Track",and($B918&lt;&gt;"",countif('5) Release_Track'!$G:$G,$B918)=0),"NO CATALOG ID MATCH in Release_Track",iserror(vlookup($A918&amp;$B918,'5) Release_Track'!$F:$F&amp;'5) Release_Track'!$G:$G,1,0)),"NO ISRC-CATALOG ID pair MATCH in Release_Track" )</f>
        <v/>
      </c>
      <c r="F918" s="122"/>
      <c r="G918" s="99"/>
      <c r="H918" s="178"/>
      <c r="I918" s="121" t="str">
        <f t="shared" si="6"/>
        <v/>
      </c>
      <c r="J918" s="99"/>
      <c r="K918" s="99"/>
    </row>
    <row r="919">
      <c r="B919" s="103"/>
      <c r="C919" s="121" t="str">
        <f t="array" ref="C919">ifs(and(isblank($A919),isblank($B919)),"", not(iserror(vlookup($A919&amp;$B919,'5) Release_Track'!$F:$F&amp;'5) Release_Track'!$G:$G,1,0))),vlookup($A919&amp;$B919,{'5) Release_Track'!$F:$F&amp;'5) Release_Track'!$G:$G,'5) Release_Track'!$H:$H},2,0), or(and(not(isblank($B919)),$B919=$B918,$A919&lt;&gt;$A918),and(not(isblank($A919)),$A919=$A918,$B919&lt;&gt;$B918)),"ID LISTS UNALIGNED",and($A919&lt;&gt;"",countif('5) Release_Track'!$F:$F,$A919)=0),"NO ISRC MATCH in Release_Track",and($B919&lt;&gt;"",countif('5) Release_Track'!$G:$G,$B919)=0),"NO CATALOG ID MATCH in Release_Track",iserror(vlookup($A919&amp;$B919,'5) Release_Track'!$F:$F&amp;'5) Release_Track'!$G:$G,1,0)),"NO ISRC-CATALOG ID pair MATCH in Release_Track" )</f>
        <v/>
      </c>
      <c r="D919" s="121" t="str">
        <f t="array" ref="D919">ifs(and(isblank($A919),isblank($B919)),"", not(iserror(vlookup($A919&amp;$B919,'5) Release_Track'!$F:$F&amp;'5) Release_Track'!$G:$G,1,0))),vlookup($A919&amp;$B919,{'5) Release_Track'!$F:$F&amp;'5) Release_Track'!$G:$G,'5) Release_Track'!$I:$I},2,0), or(and(not(isblank($B919)),$B919=$B918,$A919&lt;&gt;$A918),and(not(isblank($A919)),$A919=$A918,$B919&lt;&gt;$B918)),"ID LISTS UNALIGNED",and($A919&lt;&gt;"",countif('5) Release_Track'!$F:$F,$A919)=0),"NO ISRC MATCH in Release_Track",and($B919&lt;&gt;"",countif('5) Release_Track'!$G:$G,$B919)=0),"NO CATALOG ID MATCH in Release_Track",iserror(vlookup($A919&amp;$B919,'5) Release_Track'!$F:$F&amp;'5) Release_Track'!$G:$G,1,0)),"NO ISRC-CATALOG ID pair MATCH in Release_Track" )</f>
        <v/>
      </c>
      <c r="E919" s="125" t="str">
        <f t="array" ref="E919">ifs(and(isblank($A919),isblank($B919)),"", not(iserror(vlookup($A919&amp;$B919,'5) Release_Track'!$F:$F&amp;'5) Release_Track'!$G:$G,1,0))),vlookup($A919&amp;$B919,{'5) Release_Track'!$F:$F&amp;'5) Release_Track'!$G:$G,'5) Release_Track'!$J:$J},2,0), or(and(not(isblank($B919)),$B919=$B918,$A919&lt;&gt;$A918),and(not(isblank($A919)),$A919=$A918,$B919&lt;&gt;$B918)),"ID LISTS UNALIGNED",and($A919&lt;&gt;"",countif('5) Release_Track'!$F:$F,$A919)=0),"NO ISRC MATCH in Release_Track",and($B919&lt;&gt;"",countif('5) Release_Track'!$G:$G,$B919)=0),"NO CATALOG ID MATCH in Release_Track",iserror(vlookup($A919&amp;$B919,'5) Release_Track'!$F:$F&amp;'5) Release_Track'!$G:$G,1,0)),"NO ISRC-CATALOG ID pair MATCH in Release_Track" )</f>
        <v/>
      </c>
      <c r="F919" s="122"/>
      <c r="G919" s="99"/>
      <c r="H919" s="178"/>
      <c r="I919" s="121" t="str">
        <f t="shared" si="6"/>
        <v/>
      </c>
      <c r="J919" s="99"/>
      <c r="K919" s="99"/>
    </row>
    <row r="920">
      <c r="B920" s="103"/>
      <c r="C920" s="121" t="str">
        <f t="array" ref="C920">ifs(and(isblank($A920),isblank($B920)),"", not(iserror(vlookup($A920&amp;$B920,'5) Release_Track'!$F:$F&amp;'5) Release_Track'!$G:$G,1,0))),vlookup($A920&amp;$B920,{'5) Release_Track'!$F:$F&amp;'5) Release_Track'!$G:$G,'5) Release_Track'!$H:$H},2,0), or(and(not(isblank($B920)),$B920=$B919,$A920&lt;&gt;$A919),and(not(isblank($A920)),$A920=$A919,$B920&lt;&gt;$B919)),"ID LISTS UNALIGNED",and($A920&lt;&gt;"",countif('5) Release_Track'!$F:$F,$A920)=0),"NO ISRC MATCH in Release_Track",and($B920&lt;&gt;"",countif('5) Release_Track'!$G:$G,$B920)=0),"NO CATALOG ID MATCH in Release_Track",iserror(vlookup($A920&amp;$B920,'5) Release_Track'!$F:$F&amp;'5) Release_Track'!$G:$G,1,0)),"NO ISRC-CATALOG ID pair MATCH in Release_Track" )</f>
        <v/>
      </c>
      <c r="D920" s="121" t="str">
        <f t="array" ref="D920">ifs(and(isblank($A920),isblank($B920)),"", not(iserror(vlookup($A920&amp;$B920,'5) Release_Track'!$F:$F&amp;'5) Release_Track'!$G:$G,1,0))),vlookup($A920&amp;$B920,{'5) Release_Track'!$F:$F&amp;'5) Release_Track'!$G:$G,'5) Release_Track'!$I:$I},2,0), or(and(not(isblank($B920)),$B920=$B919,$A920&lt;&gt;$A919),and(not(isblank($A920)),$A920=$A919,$B920&lt;&gt;$B919)),"ID LISTS UNALIGNED",and($A920&lt;&gt;"",countif('5) Release_Track'!$F:$F,$A920)=0),"NO ISRC MATCH in Release_Track",and($B920&lt;&gt;"",countif('5) Release_Track'!$G:$G,$B920)=0),"NO CATALOG ID MATCH in Release_Track",iserror(vlookup($A920&amp;$B920,'5) Release_Track'!$F:$F&amp;'5) Release_Track'!$G:$G,1,0)),"NO ISRC-CATALOG ID pair MATCH in Release_Track" )</f>
        <v/>
      </c>
      <c r="E920" s="125" t="str">
        <f t="array" ref="E920">ifs(and(isblank($A920),isblank($B920)),"", not(iserror(vlookup($A920&amp;$B920,'5) Release_Track'!$F:$F&amp;'5) Release_Track'!$G:$G,1,0))),vlookup($A920&amp;$B920,{'5) Release_Track'!$F:$F&amp;'5) Release_Track'!$G:$G,'5) Release_Track'!$J:$J},2,0), or(and(not(isblank($B920)),$B920=$B919,$A920&lt;&gt;$A919),and(not(isblank($A920)),$A920=$A919,$B920&lt;&gt;$B919)),"ID LISTS UNALIGNED",and($A920&lt;&gt;"",countif('5) Release_Track'!$F:$F,$A920)=0),"NO ISRC MATCH in Release_Track",and($B920&lt;&gt;"",countif('5) Release_Track'!$G:$G,$B920)=0),"NO CATALOG ID MATCH in Release_Track",iserror(vlookup($A920&amp;$B920,'5) Release_Track'!$F:$F&amp;'5) Release_Track'!$G:$G,1,0)),"NO ISRC-CATALOG ID pair MATCH in Release_Track" )</f>
        <v/>
      </c>
      <c r="F920" s="122"/>
      <c r="G920" s="99"/>
      <c r="H920" s="178"/>
      <c r="I920" s="121" t="str">
        <f t="shared" si="6"/>
        <v/>
      </c>
      <c r="J920" s="99"/>
      <c r="K920" s="99"/>
    </row>
    <row r="921">
      <c r="B921" s="103"/>
      <c r="C921" s="121" t="str">
        <f t="array" ref="C921">ifs(and(isblank($A921),isblank($B921)),"", not(iserror(vlookup($A921&amp;$B921,'5) Release_Track'!$F:$F&amp;'5) Release_Track'!$G:$G,1,0))),vlookup($A921&amp;$B921,{'5) Release_Track'!$F:$F&amp;'5) Release_Track'!$G:$G,'5) Release_Track'!$H:$H},2,0), or(and(not(isblank($B921)),$B921=$B920,$A921&lt;&gt;$A920),and(not(isblank($A921)),$A921=$A920,$B921&lt;&gt;$B920)),"ID LISTS UNALIGNED",and($A921&lt;&gt;"",countif('5) Release_Track'!$F:$F,$A921)=0),"NO ISRC MATCH in Release_Track",and($B921&lt;&gt;"",countif('5) Release_Track'!$G:$G,$B921)=0),"NO CATALOG ID MATCH in Release_Track",iserror(vlookup($A921&amp;$B921,'5) Release_Track'!$F:$F&amp;'5) Release_Track'!$G:$G,1,0)),"NO ISRC-CATALOG ID pair MATCH in Release_Track" )</f>
        <v/>
      </c>
      <c r="D921" s="121" t="str">
        <f t="array" ref="D921">ifs(and(isblank($A921),isblank($B921)),"", not(iserror(vlookup($A921&amp;$B921,'5) Release_Track'!$F:$F&amp;'5) Release_Track'!$G:$G,1,0))),vlookup($A921&amp;$B921,{'5) Release_Track'!$F:$F&amp;'5) Release_Track'!$G:$G,'5) Release_Track'!$I:$I},2,0), or(and(not(isblank($B921)),$B921=$B920,$A921&lt;&gt;$A920),and(not(isblank($A921)),$A921=$A920,$B921&lt;&gt;$B920)),"ID LISTS UNALIGNED",and($A921&lt;&gt;"",countif('5) Release_Track'!$F:$F,$A921)=0),"NO ISRC MATCH in Release_Track",and($B921&lt;&gt;"",countif('5) Release_Track'!$G:$G,$B921)=0),"NO CATALOG ID MATCH in Release_Track",iserror(vlookup($A921&amp;$B921,'5) Release_Track'!$F:$F&amp;'5) Release_Track'!$G:$G,1,0)),"NO ISRC-CATALOG ID pair MATCH in Release_Track" )</f>
        <v/>
      </c>
      <c r="E921" s="125" t="str">
        <f t="array" ref="E921">ifs(and(isblank($A921),isblank($B921)),"", not(iserror(vlookup($A921&amp;$B921,'5) Release_Track'!$F:$F&amp;'5) Release_Track'!$G:$G,1,0))),vlookup($A921&amp;$B921,{'5) Release_Track'!$F:$F&amp;'5) Release_Track'!$G:$G,'5) Release_Track'!$J:$J},2,0), or(and(not(isblank($B921)),$B921=$B920,$A921&lt;&gt;$A920),and(not(isblank($A921)),$A921=$A920,$B921&lt;&gt;$B920)),"ID LISTS UNALIGNED",and($A921&lt;&gt;"",countif('5) Release_Track'!$F:$F,$A921)=0),"NO ISRC MATCH in Release_Track",and($B921&lt;&gt;"",countif('5) Release_Track'!$G:$G,$B921)=0),"NO CATALOG ID MATCH in Release_Track",iserror(vlookup($A921&amp;$B921,'5) Release_Track'!$F:$F&amp;'5) Release_Track'!$G:$G,1,0)),"NO ISRC-CATALOG ID pair MATCH in Release_Track" )</f>
        <v/>
      </c>
      <c r="F921" s="122"/>
      <c r="G921" s="99"/>
      <c r="H921" s="178"/>
      <c r="I921" s="121" t="str">
        <f t="shared" si="6"/>
        <v/>
      </c>
      <c r="J921" s="99"/>
      <c r="K921" s="99"/>
    </row>
    <row r="922">
      <c r="B922" s="103"/>
      <c r="C922" s="121" t="str">
        <f t="array" ref="C922">ifs(and(isblank($A922),isblank($B922)),"", not(iserror(vlookup($A922&amp;$B922,'5) Release_Track'!$F:$F&amp;'5) Release_Track'!$G:$G,1,0))),vlookup($A922&amp;$B922,{'5) Release_Track'!$F:$F&amp;'5) Release_Track'!$G:$G,'5) Release_Track'!$H:$H},2,0), or(and(not(isblank($B922)),$B922=$B921,$A922&lt;&gt;$A921),and(not(isblank($A922)),$A922=$A921,$B922&lt;&gt;$B921)),"ID LISTS UNALIGNED",and($A922&lt;&gt;"",countif('5) Release_Track'!$F:$F,$A922)=0),"NO ISRC MATCH in Release_Track",and($B922&lt;&gt;"",countif('5) Release_Track'!$G:$G,$B922)=0),"NO CATALOG ID MATCH in Release_Track",iserror(vlookup($A922&amp;$B922,'5) Release_Track'!$F:$F&amp;'5) Release_Track'!$G:$G,1,0)),"NO ISRC-CATALOG ID pair MATCH in Release_Track" )</f>
        <v/>
      </c>
      <c r="D922" s="121" t="str">
        <f t="array" ref="D922">ifs(and(isblank($A922),isblank($B922)),"", not(iserror(vlookup($A922&amp;$B922,'5) Release_Track'!$F:$F&amp;'5) Release_Track'!$G:$G,1,0))),vlookup($A922&amp;$B922,{'5) Release_Track'!$F:$F&amp;'5) Release_Track'!$G:$G,'5) Release_Track'!$I:$I},2,0), or(and(not(isblank($B922)),$B922=$B921,$A922&lt;&gt;$A921),and(not(isblank($A922)),$A922=$A921,$B922&lt;&gt;$B921)),"ID LISTS UNALIGNED",and($A922&lt;&gt;"",countif('5) Release_Track'!$F:$F,$A922)=0),"NO ISRC MATCH in Release_Track",and($B922&lt;&gt;"",countif('5) Release_Track'!$G:$G,$B922)=0),"NO CATALOG ID MATCH in Release_Track",iserror(vlookup($A922&amp;$B922,'5) Release_Track'!$F:$F&amp;'5) Release_Track'!$G:$G,1,0)),"NO ISRC-CATALOG ID pair MATCH in Release_Track" )</f>
        <v/>
      </c>
      <c r="E922" s="125" t="str">
        <f t="array" ref="E922">ifs(and(isblank($A922),isblank($B922)),"", not(iserror(vlookup($A922&amp;$B922,'5) Release_Track'!$F:$F&amp;'5) Release_Track'!$G:$G,1,0))),vlookup($A922&amp;$B922,{'5) Release_Track'!$F:$F&amp;'5) Release_Track'!$G:$G,'5) Release_Track'!$J:$J},2,0), or(and(not(isblank($B922)),$B922=$B921,$A922&lt;&gt;$A921),and(not(isblank($A922)),$A922=$A921,$B922&lt;&gt;$B921)),"ID LISTS UNALIGNED",and($A922&lt;&gt;"",countif('5) Release_Track'!$F:$F,$A922)=0),"NO ISRC MATCH in Release_Track",and($B922&lt;&gt;"",countif('5) Release_Track'!$G:$G,$B922)=0),"NO CATALOG ID MATCH in Release_Track",iserror(vlookup($A922&amp;$B922,'5) Release_Track'!$F:$F&amp;'5) Release_Track'!$G:$G,1,0)),"NO ISRC-CATALOG ID pair MATCH in Release_Track" )</f>
        <v/>
      </c>
      <c r="F922" s="122"/>
      <c r="G922" s="99"/>
      <c r="H922" s="178"/>
      <c r="I922" s="121" t="str">
        <f t="shared" si="6"/>
        <v/>
      </c>
      <c r="J922" s="99"/>
      <c r="K922" s="99"/>
    </row>
    <row r="923">
      <c r="B923" s="103"/>
      <c r="C923" s="121" t="str">
        <f t="array" ref="C923">ifs(and(isblank($A923),isblank($B923)),"", not(iserror(vlookup($A923&amp;$B923,'5) Release_Track'!$F:$F&amp;'5) Release_Track'!$G:$G,1,0))),vlookup($A923&amp;$B923,{'5) Release_Track'!$F:$F&amp;'5) Release_Track'!$G:$G,'5) Release_Track'!$H:$H},2,0), or(and(not(isblank($B923)),$B923=$B922,$A923&lt;&gt;$A922),and(not(isblank($A923)),$A923=$A922,$B923&lt;&gt;$B922)),"ID LISTS UNALIGNED",and($A923&lt;&gt;"",countif('5) Release_Track'!$F:$F,$A923)=0),"NO ISRC MATCH in Release_Track",and($B923&lt;&gt;"",countif('5) Release_Track'!$G:$G,$B923)=0),"NO CATALOG ID MATCH in Release_Track",iserror(vlookup($A923&amp;$B923,'5) Release_Track'!$F:$F&amp;'5) Release_Track'!$G:$G,1,0)),"NO ISRC-CATALOG ID pair MATCH in Release_Track" )</f>
        <v/>
      </c>
      <c r="D923" s="121" t="str">
        <f t="array" ref="D923">ifs(and(isblank($A923),isblank($B923)),"", not(iserror(vlookup($A923&amp;$B923,'5) Release_Track'!$F:$F&amp;'5) Release_Track'!$G:$G,1,0))),vlookup($A923&amp;$B923,{'5) Release_Track'!$F:$F&amp;'5) Release_Track'!$G:$G,'5) Release_Track'!$I:$I},2,0), or(and(not(isblank($B923)),$B923=$B922,$A923&lt;&gt;$A922),and(not(isblank($A923)),$A923=$A922,$B923&lt;&gt;$B922)),"ID LISTS UNALIGNED",and($A923&lt;&gt;"",countif('5) Release_Track'!$F:$F,$A923)=0),"NO ISRC MATCH in Release_Track",and($B923&lt;&gt;"",countif('5) Release_Track'!$G:$G,$B923)=0),"NO CATALOG ID MATCH in Release_Track",iserror(vlookup($A923&amp;$B923,'5) Release_Track'!$F:$F&amp;'5) Release_Track'!$G:$G,1,0)),"NO ISRC-CATALOG ID pair MATCH in Release_Track" )</f>
        <v/>
      </c>
      <c r="E923" s="125" t="str">
        <f t="array" ref="E923">ifs(and(isblank($A923),isblank($B923)),"", not(iserror(vlookup($A923&amp;$B923,'5) Release_Track'!$F:$F&amp;'5) Release_Track'!$G:$G,1,0))),vlookup($A923&amp;$B923,{'5) Release_Track'!$F:$F&amp;'5) Release_Track'!$G:$G,'5) Release_Track'!$J:$J},2,0), or(and(not(isblank($B923)),$B923=$B922,$A923&lt;&gt;$A922),and(not(isblank($A923)),$A923=$A922,$B923&lt;&gt;$B922)),"ID LISTS UNALIGNED",and($A923&lt;&gt;"",countif('5) Release_Track'!$F:$F,$A923)=0),"NO ISRC MATCH in Release_Track",and($B923&lt;&gt;"",countif('5) Release_Track'!$G:$G,$B923)=0),"NO CATALOG ID MATCH in Release_Track",iserror(vlookup($A923&amp;$B923,'5) Release_Track'!$F:$F&amp;'5) Release_Track'!$G:$G,1,0)),"NO ISRC-CATALOG ID pair MATCH in Release_Track" )</f>
        <v/>
      </c>
      <c r="F923" s="122"/>
      <c r="G923" s="99"/>
      <c r="H923" s="178"/>
      <c r="I923" s="121" t="str">
        <f t="shared" si="6"/>
        <v/>
      </c>
      <c r="J923" s="99"/>
      <c r="K923" s="99"/>
    </row>
    <row r="924">
      <c r="B924" s="103"/>
      <c r="C924" s="121" t="str">
        <f t="array" ref="C924">ifs(and(isblank($A924),isblank($B924)),"", not(iserror(vlookup($A924&amp;$B924,'5) Release_Track'!$F:$F&amp;'5) Release_Track'!$G:$G,1,0))),vlookup($A924&amp;$B924,{'5) Release_Track'!$F:$F&amp;'5) Release_Track'!$G:$G,'5) Release_Track'!$H:$H},2,0), or(and(not(isblank($B924)),$B924=$B923,$A924&lt;&gt;$A923),and(not(isblank($A924)),$A924=$A923,$B924&lt;&gt;$B923)),"ID LISTS UNALIGNED",and($A924&lt;&gt;"",countif('5) Release_Track'!$F:$F,$A924)=0),"NO ISRC MATCH in Release_Track",and($B924&lt;&gt;"",countif('5) Release_Track'!$G:$G,$B924)=0),"NO CATALOG ID MATCH in Release_Track",iserror(vlookup($A924&amp;$B924,'5) Release_Track'!$F:$F&amp;'5) Release_Track'!$G:$G,1,0)),"NO ISRC-CATALOG ID pair MATCH in Release_Track" )</f>
        <v/>
      </c>
      <c r="D924" s="121" t="str">
        <f t="array" ref="D924">ifs(and(isblank($A924),isblank($B924)),"", not(iserror(vlookup($A924&amp;$B924,'5) Release_Track'!$F:$F&amp;'5) Release_Track'!$G:$G,1,0))),vlookup($A924&amp;$B924,{'5) Release_Track'!$F:$F&amp;'5) Release_Track'!$G:$G,'5) Release_Track'!$I:$I},2,0), or(and(not(isblank($B924)),$B924=$B923,$A924&lt;&gt;$A923),and(not(isblank($A924)),$A924=$A923,$B924&lt;&gt;$B923)),"ID LISTS UNALIGNED",and($A924&lt;&gt;"",countif('5) Release_Track'!$F:$F,$A924)=0),"NO ISRC MATCH in Release_Track",and($B924&lt;&gt;"",countif('5) Release_Track'!$G:$G,$B924)=0),"NO CATALOG ID MATCH in Release_Track",iserror(vlookup($A924&amp;$B924,'5) Release_Track'!$F:$F&amp;'5) Release_Track'!$G:$G,1,0)),"NO ISRC-CATALOG ID pair MATCH in Release_Track" )</f>
        <v/>
      </c>
      <c r="E924" s="125" t="str">
        <f t="array" ref="E924">ifs(and(isblank($A924),isblank($B924)),"", not(iserror(vlookup($A924&amp;$B924,'5) Release_Track'!$F:$F&amp;'5) Release_Track'!$G:$G,1,0))),vlookup($A924&amp;$B924,{'5) Release_Track'!$F:$F&amp;'5) Release_Track'!$G:$G,'5) Release_Track'!$J:$J},2,0), or(and(not(isblank($B924)),$B924=$B923,$A924&lt;&gt;$A923),and(not(isblank($A924)),$A924=$A923,$B924&lt;&gt;$B923)),"ID LISTS UNALIGNED",and($A924&lt;&gt;"",countif('5) Release_Track'!$F:$F,$A924)=0),"NO ISRC MATCH in Release_Track",and($B924&lt;&gt;"",countif('5) Release_Track'!$G:$G,$B924)=0),"NO CATALOG ID MATCH in Release_Track",iserror(vlookup($A924&amp;$B924,'5) Release_Track'!$F:$F&amp;'5) Release_Track'!$G:$G,1,0)),"NO ISRC-CATALOG ID pair MATCH in Release_Track" )</f>
        <v/>
      </c>
      <c r="F924" s="122"/>
      <c r="G924" s="99"/>
      <c r="H924" s="178"/>
      <c r="I924" s="121" t="str">
        <f t="shared" si="6"/>
        <v/>
      </c>
      <c r="J924" s="99"/>
      <c r="K924" s="99"/>
    </row>
    <row r="925">
      <c r="B925" s="103"/>
      <c r="C925" s="121" t="str">
        <f t="array" ref="C925">ifs(and(isblank($A925),isblank($B925)),"", not(iserror(vlookup($A925&amp;$B925,'5) Release_Track'!$F:$F&amp;'5) Release_Track'!$G:$G,1,0))),vlookup($A925&amp;$B925,{'5) Release_Track'!$F:$F&amp;'5) Release_Track'!$G:$G,'5) Release_Track'!$H:$H},2,0), or(and(not(isblank($B925)),$B925=$B924,$A925&lt;&gt;$A924),and(not(isblank($A925)),$A925=$A924,$B925&lt;&gt;$B924)),"ID LISTS UNALIGNED",and($A925&lt;&gt;"",countif('5) Release_Track'!$F:$F,$A925)=0),"NO ISRC MATCH in Release_Track",and($B925&lt;&gt;"",countif('5) Release_Track'!$G:$G,$B925)=0),"NO CATALOG ID MATCH in Release_Track",iserror(vlookup($A925&amp;$B925,'5) Release_Track'!$F:$F&amp;'5) Release_Track'!$G:$G,1,0)),"NO ISRC-CATALOG ID pair MATCH in Release_Track" )</f>
        <v/>
      </c>
      <c r="D925" s="121" t="str">
        <f t="array" ref="D925">ifs(and(isblank($A925),isblank($B925)),"", not(iserror(vlookup($A925&amp;$B925,'5) Release_Track'!$F:$F&amp;'5) Release_Track'!$G:$G,1,0))),vlookup($A925&amp;$B925,{'5) Release_Track'!$F:$F&amp;'5) Release_Track'!$G:$G,'5) Release_Track'!$I:$I},2,0), or(and(not(isblank($B925)),$B925=$B924,$A925&lt;&gt;$A924),and(not(isblank($A925)),$A925=$A924,$B925&lt;&gt;$B924)),"ID LISTS UNALIGNED",and($A925&lt;&gt;"",countif('5) Release_Track'!$F:$F,$A925)=0),"NO ISRC MATCH in Release_Track",and($B925&lt;&gt;"",countif('5) Release_Track'!$G:$G,$B925)=0),"NO CATALOG ID MATCH in Release_Track",iserror(vlookup($A925&amp;$B925,'5) Release_Track'!$F:$F&amp;'5) Release_Track'!$G:$G,1,0)),"NO ISRC-CATALOG ID pair MATCH in Release_Track" )</f>
        <v/>
      </c>
      <c r="E925" s="125" t="str">
        <f t="array" ref="E925">ifs(and(isblank($A925),isblank($B925)),"", not(iserror(vlookup($A925&amp;$B925,'5) Release_Track'!$F:$F&amp;'5) Release_Track'!$G:$G,1,0))),vlookup($A925&amp;$B925,{'5) Release_Track'!$F:$F&amp;'5) Release_Track'!$G:$G,'5) Release_Track'!$J:$J},2,0), or(and(not(isblank($B925)),$B925=$B924,$A925&lt;&gt;$A924),and(not(isblank($A925)),$A925=$A924,$B925&lt;&gt;$B924)),"ID LISTS UNALIGNED",and($A925&lt;&gt;"",countif('5) Release_Track'!$F:$F,$A925)=0),"NO ISRC MATCH in Release_Track",and($B925&lt;&gt;"",countif('5) Release_Track'!$G:$G,$B925)=0),"NO CATALOG ID MATCH in Release_Track",iserror(vlookup($A925&amp;$B925,'5) Release_Track'!$F:$F&amp;'5) Release_Track'!$G:$G,1,0)),"NO ISRC-CATALOG ID pair MATCH in Release_Track" )</f>
        <v/>
      </c>
      <c r="F925" s="122"/>
      <c r="G925" s="99"/>
      <c r="H925" s="178"/>
      <c r="I925" s="121" t="str">
        <f t="shared" si="6"/>
        <v/>
      </c>
      <c r="J925" s="99"/>
      <c r="K925" s="99"/>
    </row>
    <row r="926">
      <c r="B926" s="103"/>
      <c r="C926" s="121" t="str">
        <f t="array" ref="C926">ifs(and(isblank($A926),isblank($B926)),"", not(iserror(vlookup($A926&amp;$B926,'5) Release_Track'!$F:$F&amp;'5) Release_Track'!$G:$G,1,0))),vlookup($A926&amp;$B926,{'5) Release_Track'!$F:$F&amp;'5) Release_Track'!$G:$G,'5) Release_Track'!$H:$H},2,0), or(and(not(isblank($B926)),$B926=$B925,$A926&lt;&gt;$A925),and(not(isblank($A926)),$A926=$A925,$B926&lt;&gt;$B925)),"ID LISTS UNALIGNED",and($A926&lt;&gt;"",countif('5) Release_Track'!$F:$F,$A926)=0),"NO ISRC MATCH in Release_Track",and($B926&lt;&gt;"",countif('5) Release_Track'!$G:$G,$B926)=0),"NO CATALOG ID MATCH in Release_Track",iserror(vlookup($A926&amp;$B926,'5) Release_Track'!$F:$F&amp;'5) Release_Track'!$G:$G,1,0)),"NO ISRC-CATALOG ID pair MATCH in Release_Track" )</f>
        <v/>
      </c>
      <c r="D926" s="121" t="str">
        <f t="array" ref="D926">ifs(and(isblank($A926),isblank($B926)),"", not(iserror(vlookup($A926&amp;$B926,'5) Release_Track'!$F:$F&amp;'5) Release_Track'!$G:$G,1,0))),vlookup($A926&amp;$B926,{'5) Release_Track'!$F:$F&amp;'5) Release_Track'!$G:$G,'5) Release_Track'!$I:$I},2,0), or(and(not(isblank($B926)),$B926=$B925,$A926&lt;&gt;$A925),and(not(isblank($A926)),$A926=$A925,$B926&lt;&gt;$B925)),"ID LISTS UNALIGNED",and($A926&lt;&gt;"",countif('5) Release_Track'!$F:$F,$A926)=0),"NO ISRC MATCH in Release_Track",and($B926&lt;&gt;"",countif('5) Release_Track'!$G:$G,$B926)=0),"NO CATALOG ID MATCH in Release_Track",iserror(vlookup($A926&amp;$B926,'5) Release_Track'!$F:$F&amp;'5) Release_Track'!$G:$G,1,0)),"NO ISRC-CATALOG ID pair MATCH in Release_Track" )</f>
        <v/>
      </c>
      <c r="E926" s="125" t="str">
        <f t="array" ref="E926">ifs(and(isblank($A926),isblank($B926)),"", not(iserror(vlookup($A926&amp;$B926,'5) Release_Track'!$F:$F&amp;'5) Release_Track'!$G:$G,1,0))),vlookup($A926&amp;$B926,{'5) Release_Track'!$F:$F&amp;'5) Release_Track'!$G:$G,'5) Release_Track'!$J:$J},2,0), or(and(not(isblank($B926)),$B926=$B925,$A926&lt;&gt;$A925),and(not(isblank($A926)),$A926=$A925,$B926&lt;&gt;$B925)),"ID LISTS UNALIGNED",and($A926&lt;&gt;"",countif('5) Release_Track'!$F:$F,$A926)=0),"NO ISRC MATCH in Release_Track",and($B926&lt;&gt;"",countif('5) Release_Track'!$G:$G,$B926)=0),"NO CATALOG ID MATCH in Release_Track",iserror(vlookup($A926&amp;$B926,'5) Release_Track'!$F:$F&amp;'5) Release_Track'!$G:$G,1,0)),"NO ISRC-CATALOG ID pair MATCH in Release_Track" )</f>
        <v/>
      </c>
      <c r="F926" s="122"/>
      <c r="G926" s="99"/>
      <c r="H926" s="178"/>
      <c r="I926" s="121" t="str">
        <f t="shared" si="6"/>
        <v/>
      </c>
      <c r="J926" s="99"/>
      <c r="K926" s="99"/>
    </row>
    <row r="927">
      <c r="B927" s="103"/>
      <c r="C927" s="121" t="str">
        <f t="array" ref="C927">ifs(and(isblank($A927),isblank($B927)),"", not(iserror(vlookup($A927&amp;$B927,'5) Release_Track'!$F:$F&amp;'5) Release_Track'!$G:$G,1,0))),vlookup($A927&amp;$B927,{'5) Release_Track'!$F:$F&amp;'5) Release_Track'!$G:$G,'5) Release_Track'!$H:$H},2,0), or(and(not(isblank($B927)),$B927=$B926,$A927&lt;&gt;$A926),and(not(isblank($A927)),$A927=$A926,$B927&lt;&gt;$B926)),"ID LISTS UNALIGNED",and($A927&lt;&gt;"",countif('5) Release_Track'!$F:$F,$A927)=0),"NO ISRC MATCH in Release_Track",and($B927&lt;&gt;"",countif('5) Release_Track'!$G:$G,$B927)=0),"NO CATALOG ID MATCH in Release_Track",iserror(vlookup($A927&amp;$B927,'5) Release_Track'!$F:$F&amp;'5) Release_Track'!$G:$G,1,0)),"NO ISRC-CATALOG ID pair MATCH in Release_Track" )</f>
        <v/>
      </c>
      <c r="D927" s="121" t="str">
        <f t="array" ref="D927">ifs(and(isblank($A927),isblank($B927)),"", not(iserror(vlookup($A927&amp;$B927,'5) Release_Track'!$F:$F&amp;'5) Release_Track'!$G:$G,1,0))),vlookup($A927&amp;$B927,{'5) Release_Track'!$F:$F&amp;'5) Release_Track'!$G:$G,'5) Release_Track'!$I:$I},2,0), or(and(not(isblank($B927)),$B927=$B926,$A927&lt;&gt;$A926),and(not(isblank($A927)),$A927=$A926,$B927&lt;&gt;$B926)),"ID LISTS UNALIGNED",and($A927&lt;&gt;"",countif('5) Release_Track'!$F:$F,$A927)=0),"NO ISRC MATCH in Release_Track",and($B927&lt;&gt;"",countif('5) Release_Track'!$G:$G,$B927)=0),"NO CATALOG ID MATCH in Release_Track",iserror(vlookup($A927&amp;$B927,'5) Release_Track'!$F:$F&amp;'5) Release_Track'!$G:$G,1,0)),"NO ISRC-CATALOG ID pair MATCH in Release_Track" )</f>
        <v/>
      </c>
      <c r="E927" s="125" t="str">
        <f t="array" ref="E927">ifs(and(isblank($A927),isblank($B927)),"", not(iserror(vlookup($A927&amp;$B927,'5) Release_Track'!$F:$F&amp;'5) Release_Track'!$G:$G,1,0))),vlookup($A927&amp;$B927,{'5) Release_Track'!$F:$F&amp;'5) Release_Track'!$G:$G,'5) Release_Track'!$J:$J},2,0), or(and(not(isblank($B927)),$B927=$B926,$A927&lt;&gt;$A926),and(not(isblank($A927)),$A927=$A926,$B927&lt;&gt;$B926)),"ID LISTS UNALIGNED",and($A927&lt;&gt;"",countif('5) Release_Track'!$F:$F,$A927)=0),"NO ISRC MATCH in Release_Track",and($B927&lt;&gt;"",countif('5) Release_Track'!$G:$G,$B927)=0),"NO CATALOG ID MATCH in Release_Track",iserror(vlookup($A927&amp;$B927,'5) Release_Track'!$F:$F&amp;'5) Release_Track'!$G:$G,1,0)),"NO ISRC-CATALOG ID pair MATCH in Release_Track" )</f>
        <v/>
      </c>
      <c r="F927" s="122"/>
      <c r="G927" s="99"/>
      <c r="H927" s="178"/>
      <c r="I927" s="121" t="str">
        <f t="shared" si="6"/>
        <v/>
      </c>
      <c r="J927" s="99"/>
      <c r="K927" s="99"/>
    </row>
    <row r="928">
      <c r="B928" s="103"/>
      <c r="C928" s="121" t="str">
        <f t="array" ref="C928">ifs(and(isblank($A928),isblank($B928)),"", not(iserror(vlookup($A928&amp;$B928,'5) Release_Track'!$F:$F&amp;'5) Release_Track'!$G:$G,1,0))),vlookup($A928&amp;$B928,{'5) Release_Track'!$F:$F&amp;'5) Release_Track'!$G:$G,'5) Release_Track'!$H:$H},2,0), or(and(not(isblank($B928)),$B928=$B927,$A928&lt;&gt;$A927),and(not(isblank($A928)),$A928=$A927,$B928&lt;&gt;$B927)),"ID LISTS UNALIGNED",and($A928&lt;&gt;"",countif('5) Release_Track'!$F:$F,$A928)=0),"NO ISRC MATCH in Release_Track",and($B928&lt;&gt;"",countif('5) Release_Track'!$G:$G,$B928)=0),"NO CATALOG ID MATCH in Release_Track",iserror(vlookup($A928&amp;$B928,'5) Release_Track'!$F:$F&amp;'5) Release_Track'!$G:$G,1,0)),"NO ISRC-CATALOG ID pair MATCH in Release_Track" )</f>
        <v/>
      </c>
      <c r="D928" s="121" t="str">
        <f t="array" ref="D928">ifs(and(isblank($A928),isblank($B928)),"", not(iserror(vlookup($A928&amp;$B928,'5) Release_Track'!$F:$F&amp;'5) Release_Track'!$G:$G,1,0))),vlookup($A928&amp;$B928,{'5) Release_Track'!$F:$F&amp;'5) Release_Track'!$G:$G,'5) Release_Track'!$I:$I},2,0), or(and(not(isblank($B928)),$B928=$B927,$A928&lt;&gt;$A927),and(not(isblank($A928)),$A928=$A927,$B928&lt;&gt;$B927)),"ID LISTS UNALIGNED",and($A928&lt;&gt;"",countif('5) Release_Track'!$F:$F,$A928)=0),"NO ISRC MATCH in Release_Track",and($B928&lt;&gt;"",countif('5) Release_Track'!$G:$G,$B928)=0),"NO CATALOG ID MATCH in Release_Track",iserror(vlookup($A928&amp;$B928,'5) Release_Track'!$F:$F&amp;'5) Release_Track'!$G:$G,1,0)),"NO ISRC-CATALOG ID pair MATCH in Release_Track" )</f>
        <v/>
      </c>
      <c r="E928" s="125" t="str">
        <f t="array" ref="E928">ifs(and(isblank($A928),isblank($B928)),"", not(iserror(vlookup($A928&amp;$B928,'5) Release_Track'!$F:$F&amp;'5) Release_Track'!$G:$G,1,0))),vlookup($A928&amp;$B928,{'5) Release_Track'!$F:$F&amp;'5) Release_Track'!$G:$G,'5) Release_Track'!$J:$J},2,0), or(and(not(isblank($B928)),$B928=$B927,$A928&lt;&gt;$A927),and(not(isblank($A928)),$A928=$A927,$B928&lt;&gt;$B927)),"ID LISTS UNALIGNED",and($A928&lt;&gt;"",countif('5) Release_Track'!$F:$F,$A928)=0),"NO ISRC MATCH in Release_Track",and($B928&lt;&gt;"",countif('5) Release_Track'!$G:$G,$B928)=0),"NO CATALOG ID MATCH in Release_Track",iserror(vlookup($A928&amp;$B928,'5) Release_Track'!$F:$F&amp;'5) Release_Track'!$G:$G,1,0)),"NO ISRC-CATALOG ID pair MATCH in Release_Track" )</f>
        <v/>
      </c>
      <c r="F928" s="122"/>
      <c r="G928" s="99"/>
      <c r="H928" s="178"/>
      <c r="I928" s="121" t="str">
        <f t="shared" si="6"/>
        <v/>
      </c>
      <c r="J928" s="99"/>
      <c r="K928" s="99"/>
    </row>
    <row r="929">
      <c r="B929" s="103"/>
      <c r="C929" s="121" t="str">
        <f t="array" ref="C929">ifs(and(isblank($A929),isblank($B929)),"", not(iserror(vlookup($A929&amp;$B929,'5) Release_Track'!$F:$F&amp;'5) Release_Track'!$G:$G,1,0))),vlookup($A929&amp;$B929,{'5) Release_Track'!$F:$F&amp;'5) Release_Track'!$G:$G,'5) Release_Track'!$H:$H},2,0), or(and(not(isblank($B929)),$B929=$B928,$A929&lt;&gt;$A928),and(not(isblank($A929)),$A929=$A928,$B929&lt;&gt;$B928)),"ID LISTS UNALIGNED",and($A929&lt;&gt;"",countif('5) Release_Track'!$F:$F,$A929)=0),"NO ISRC MATCH in Release_Track",and($B929&lt;&gt;"",countif('5) Release_Track'!$G:$G,$B929)=0),"NO CATALOG ID MATCH in Release_Track",iserror(vlookup($A929&amp;$B929,'5) Release_Track'!$F:$F&amp;'5) Release_Track'!$G:$G,1,0)),"NO ISRC-CATALOG ID pair MATCH in Release_Track" )</f>
        <v/>
      </c>
      <c r="D929" s="121" t="str">
        <f t="array" ref="D929">ifs(and(isblank($A929),isblank($B929)),"", not(iserror(vlookup($A929&amp;$B929,'5) Release_Track'!$F:$F&amp;'5) Release_Track'!$G:$G,1,0))),vlookup($A929&amp;$B929,{'5) Release_Track'!$F:$F&amp;'5) Release_Track'!$G:$G,'5) Release_Track'!$I:$I},2,0), or(and(not(isblank($B929)),$B929=$B928,$A929&lt;&gt;$A928),and(not(isblank($A929)),$A929=$A928,$B929&lt;&gt;$B928)),"ID LISTS UNALIGNED",and($A929&lt;&gt;"",countif('5) Release_Track'!$F:$F,$A929)=0),"NO ISRC MATCH in Release_Track",and($B929&lt;&gt;"",countif('5) Release_Track'!$G:$G,$B929)=0),"NO CATALOG ID MATCH in Release_Track",iserror(vlookup($A929&amp;$B929,'5) Release_Track'!$F:$F&amp;'5) Release_Track'!$G:$G,1,0)),"NO ISRC-CATALOG ID pair MATCH in Release_Track" )</f>
        <v/>
      </c>
      <c r="E929" s="125" t="str">
        <f t="array" ref="E929">ifs(and(isblank($A929),isblank($B929)),"", not(iserror(vlookup($A929&amp;$B929,'5) Release_Track'!$F:$F&amp;'5) Release_Track'!$G:$G,1,0))),vlookup($A929&amp;$B929,{'5) Release_Track'!$F:$F&amp;'5) Release_Track'!$G:$G,'5) Release_Track'!$J:$J},2,0), or(and(not(isblank($B929)),$B929=$B928,$A929&lt;&gt;$A928),and(not(isblank($A929)),$A929=$A928,$B929&lt;&gt;$B928)),"ID LISTS UNALIGNED",and($A929&lt;&gt;"",countif('5) Release_Track'!$F:$F,$A929)=0),"NO ISRC MATCH in Release_Track",and($B929&lt;&gt;"",countif('5) Release_Track'!$G:$G,$B929)=0),"NO CATALOG ID MATCH in Release_Track",iserror(vlookup($A929&amp;$B929,'5) Release_Track'!$F:$F&amp;'5) Release_Track'!$G:$G,1,0)),"NO ISRC-CATALOG ID pair MATCH in Release_Track" )</f>
        <v/>
      </c>
      <c r="F929" s="122"/>
      <c r="G929" s="99"/>
      <c r="H929" s="178"/>
      <c r="I929" s="121" t="str">
        <f t="shared" si="6"/>
        <v/>
      </c>
      <c r="J929" s="99"/>
      <c r="K929" s="99"/>
    </row>
    <row r="930">
      <c r="B930" s="103"/>
      <c r="C930" s="121" t="str">
        <f t="array" ref="C930">ifs(and(isblank($A930),isblank($B930)),"", not(iserror(vlookup($A930&amp;$B930,'5) Release_Track'!$F:$F&amp;'5) Release_Track'!$G:$G,1,0))),vlookup($A930&amp;$B930,{'5) Release_Track'!$F:$F&amp;'5) Release_Track'!$G:$G,'5) Release_Track'!$H:$H},2,0), or(and(not(isblank($B930)),$B930=$B929,$A930&lt;&gt;$A929),and(not(isblank($A930)),$A930=$A929,$B930&lt;&gt;$B929)),"ID LISTS UNALIGNED",and($A930&lt;&gt;"",countif('5) Release_Track'!$F:$F,$A930)=0),"NO ISRC MATCH in Release_Track",and($B930&lt;&gt;"",countif('5) Release_Track'!$G:$G,$B930)=0),"NO CATALOG ID MATCH in Release_Track",iserror(vlookup($A930&amp;$B930,'5) Release_Track'!$F:$F&amp;'5) Release_Track'!$G:$G,1,0)),"NO ISRC-CATALOG ID pair MATCH in Release_Track" )</f>
        <v/>
      </c>
      <c r="D930" s="121" t="str">
        <f t="array" ref="D930">ifs(and(isblank($A930),isblank($B930)),"", not(iserror(vlookup($A930&amp;$B930,'5) Release_Track'!$F:$F&amp;'5) Release_Track'!$G:$G,1,0))),vlookup($A930&amp;$B930,{'5) Release_Track'!$F:$F&amp;'5) Release_Track'!$G:$G,'5) Release_Track'!$I:$I},2,0), or(and(not(isblank($B930)),$B930=$B929,$A930&lt;&gt;$A929),and(not(isblank($A930)),$A930=$A929,$B930&lt;&gt;$B929)),"ID LISTS UNALIGNED",and($A930&lt;&gt;"",countif('5) Release_Track'!$F:$F,$A930)=0),"NO ISRC MATCH in Release_Track",and($B930&lt;&gt;"",countif('5) Release_Track'!$G:$G,$B930)=0),"NO CATALOG ID MATCH in Release_Track",iserror(vlookup($A930&amp;$B930,'5) Release_Track'!$F:$F&amp;'5) Release_Track'!$G:$G,1,0)),"NO ISRC-CATALOG ID pair MATCH in Release_Track" )</f>
        <v/>
      </c>
      <c r="E930" s="125" t="str">
        <f t="array" ref="E930">ifs(and(isblank($A930),isblank($B930)),"", not(iserror(vlookup($A930&amp;$B930,'5) Release_Track'!$F:$F&amp;'5) Release_Track'!$G:$G,1,0))),vlookup($A930&amp;$B930,{'5) Release_Track'!$F:$F&amp;'5) Release_Track'!$G:$G,'5) Release_Track'!$J:$J},2,0), or(and(not(isblank($B930)),$B930=$B929,$A930&lt;&gt;$A929),and(not(isblank($A930)),$A930=$A929,$B930&lt;&gt;$B929)),"ID LISTS UNALIGNED",and($A930&lt;&gt;"",countif('5) Release_Track'!$F:$F,$A930)=0),"NO ISRC MATCH in Release_Track",and($B930&lt;&gt;"",countif('5) Release_Track'!$G:$G,$B930)=0),"NO CATALOG ID MATCH in Release_Track",iserror(vlookup($A930&amp;$B930,'5) Release_Track'!$F:$F&amp;'5) Release_Track'!$G:$G,1,0)),"NO ISRC-CATALOG ID pair MATCH in Release_Track" )</f>
        <v/>
      </c>
      <c r="F930" s="122"/>
      <c r="G930" s="99"/>
      <c r="H930" s="178"/>
      <c r="I930" s="121" t="str">
        <f t="shared" si="6"/>
        <v/>
      </c>
      <c r="J930" s="99"/>
      <c r="K930" s="99"/>
    </row>
    <row r="931">
      <c r="B931" s="103"/>
      <c r="C931" s="121" t="str">
        <f t="array" ref="C931">ifs(and(isblank($A931),isblank($B931)),"", not(iserror(vlookup($A931&amp;$B931,'5) Release_Track'!$F:$F&amp;'5) Release_Track'!$G:$G,1,0))),vlookup($A931&amp;$B931,{'5) Release_Track'!$F:$F&amp;'5) Release_Track'!$G:$G,'5) Release_Track'!$H:$H},2,0), or(and(not(isblank($B931)),$B931=$B930,$A931&lt;&gt;$A930),and(not(isblank($A931)),$A931=$A930,$B931&lt;&gt;$B930)),"ID LISTS UNALIGNED",and($A931&lt;&gt;"",countif('5) Release_Track'!$F:$F,$A931)=0),"NO ISRC MATCH in Release_Track",and($B931&lt;&gt;"",countif('5) Release_Track'!$G:$G,$B931)=0),"NO CATALOG ID MATCH in Release_Track",iserror(vlookup($A931&amp;$B931,'5) Release_Track'!$F:$F&amp;'5) Release_Track'!$G:$G,1,0)),"NO ISRC-CATALOG ID pair MATCH in Release_Track" )</f>
        <v/>
      </c>
      <c r="D931" s="121" t="str">
        <f t="array" ref="D931">ifs(and(isblank($A931),isblank($B931)),"", not(iserror(vlookup($A931&amp;$B931,'5) Release_Track'!$F:$F&amp;'5) Release_Track'!$G:$G,1,0))),vlookup($A931&amp;$B931,{'5) Release_Track'!$F:$F&amp;'5) Release_Track'!$G:$G,'5) Release_Track'!$I:$I},2,0), or(and(not(isblank($B931)),$B931=$B930,$A931&lt;&gt;$A930),and(not(isblank($A931)),$A931=$A930,$B931&lt;&gt;$B930)),"ID LISTS UNALIGNED",and($A931&lt;&gt;"",countif('5) Release_Track'!$F:$F,$A931)=0),"NO ISRC MATCH in Release_Track",and($B931&lt;&gt;"",countif('5) Release_Track'!$G:$G,$B931)=0),"NO CATALOG ID MATCH in Release_Track",iserror(vlookup($A931&amp;$B931,'5) Release_Track'!$F:$F&amp;'5) Release_Track'!$G:$G,1,0)),"NO ISRC-CATALOG ID pair MATCH in Release_Track" )</f>
        <v/>
      </c>
      <c r="E931" s="125" t="str">
        <f t="array" ref="E931">ifs(and(isblank($A931),isblank($B931)),"", not(iserror(vlookup($A931&amp;$B931,'5) Release_Track'!$F:$F&amp;'5) Release_Track'!$G:$G,1,0))),vlookup($A931&amp;$B931,{'5) Release_Track'!$F:$F&amp;'5) Release_Track'!$G:$G,'5) Release_Track'!$J:$J},2,0), or(and(not(isblank($B931)),$B931=$B930,$A931&lt;&gt;$A930),and(not(isblank($A931)),$A931=$A930,$B931&lt;&gt;$B930)),"ID LISTS UNALIGNED",and($A931&lt;&gt;"",countif('5) Release_Track'!$F:$F,$A931)=0),"NO ISRC MATCH in Release_Track",and($B931&lt;&gt;"",countif('5) Release_Track'!$G:$G,$B931)=0),"NO CATALOG ID MATCH in Release_Track",iserror(vlookup($A931&amp;$B931,'5) Release_Track'!$F:$F&amp;'5) Release_Track'!$G:$G,1,0)),"NO ISRC-CATALOG ID pair MATCH in Release_Track" )</f>
        <v/>
      </c>
      <c r="F931" s="122"/>
      <c r="G931" s="99"/>
      <c r="H931" s="178"/>
      <c r="I931" s="121" t="str">
        <f t="shared" si="6"/>
        <v/>
      </c>
      <c r="J931" s="99"/>
      <c r="K931" s="99"/>
    </row>
    <row r="932">
      <c r="B932" s="103"/>
      <c r="C932" s="121" t="str">
        <f t="array" ref="C932">ifs(and(isblank($A932),isblank($B932)),"", not(iserror(vlookup($A932&amp;$B932,'5) Release_Track'!$F:$F&amp;'5) Release_Track'!$G:$G,1,0))),vlookup($A932&amp;$B932,{'5) Release_Track'!$F:$F&amp;'5) Release_Track'!$G:$G,'5) Release_Track'!$H:$H},2,0), or(and(not(isblank($B932)),$B932=$B931,$A932&lt;&gt;$A931),and(not(isblank($A932)),$A932=$A931,$B932&lt;&gt;$B931)),"ID LISTS UNALIGNED",and($A932&lt;&gt;"",countif('5) Release_Track'!$F:$F,$A932)=0),"NO ISRC MATCH in Release_Track",and($B932&lt;&gt;"",countif('5) Release_Track'!$G:$G,$B932)=0),"NO CATALOG ID MATCH in Release_Track",iserror(vlookup($A932&amp;$B932,'5) Release_Track'!$F:$F&amp;'5) Release_Track'!$G:$G,1,0)),"NO ISRC-CATALOG ID pair MATCH in Release_Track" )</f>
        <v/>
      </c>
      <c r="D932" s="121" t="str">
        <f t="array" ref="D932">ifs(and(isblank($A932),isblank($B932)),"", not(iserror(vlookup($A932&amp;$B932,'5) Release_Track'!$F:$F&amp;'5) Release_Track'!$G:$G,1,0))),vlookup($A932&amp;$B932,{'5) Release_Track'!$F:$F&amp;'5) Release_Track'!$G:$G,'5) Release_Track'!$I:$I},2,0), or(and(not(isblank($B932)),$B932=$B931,$A932&lt;&gt;$A931),and(not(isblank($A932)),$A932=$A931,$B932&lt;&gt;$B931)),"ID LISTS UNALIGNED",and($A932&lt;&gt;"",countif('5) Release_Track'!$F:$F,$A932)=0),"NO ISRC MATCH in Release_Track",and($B932&lt;&gt;"",countif('5) Release_Track'!$G:$G,$B932)=0),"NO CATALOG ID MATCH in Release_Track",iserror(vlookup($A932&amp;$B932,'5) Release_Track'!$F:$F&amp;'5) Release_Track'!$G:$G,1,0)),"NO ISRC-CATALOG ID pair MATCH in Release_Track" )</f>
        <v/>
      </c>
      <c r="E932" s="125" t="str">
        <f t="array" ref="E932">ifs(and(isblank($A932),isblank($B932)),"", not(iserror(vlookup($A932&amp;$B932,'5) Release_Track'!$F:$F&amp;'5) Release_Track'!$G:$G,1,0))),vlookup($A932&amp;$B932,{'5) Release_Track'!$F:$F&amp;'5) Release_Track'!$G:$G,'5) Release_Track'!$J:$J},2,0), or(and(not(isblank($B932)),$B932=$B931,$A932&lt;&gt;$A931),and(not(isblank($A932)),$A932=$A931,$B932&lt;&gt;$B931)),"ID LISTS UNALIGNED",and($A932&lt;&gt;"",countif('5) Release_Track'!$F:$F,$A932)=0),"NO ISRC MATCH in Release_Track",and($B932&lt;&gt;"",countif('5) Release_Track'!$G:$G,$B932)=0),"NO CATALOG ID MATCH in Release_Track",iserror(vlookup($A932&amp;$B932,'5) Release_Track'!$F:$F&amp;'5) Release_Track'!$G:$G,1,0)),"NO ISRC-CATALOG ID pair MATCH in Release_Track" )</f>
        <v/>
      </c>
      <c r="F932" s="122"/>
      <c r="G932" s="99"/>
      <c r="H932" s="178"/>
      <c r="I932" s="121" t="str">
        <f t="shared" si="6"/>
        <v/>
      </c>
      <c r="J932" s="99"/>
      <c r="K932" s="99"/>
    </row>
    <row r="933">
      <c r="B933" s="103"/>
      <c r="C933" s="121" t="str">
        <f t="array" ref="C933">ifs(and(isblank($A933),isblank($B933)),"", not(iserror(vlookup($A933&amp;$B933,'5) Release_Track'!$F:$F&amp;'5) Release_Track'!$G:$G,1,0))),vlookup($A933&amp;$B933,{'5) Release_Track'!$F:$F&amp;'5) Release_Track'!$G:$G,'5) Release_Track'!$H:$H},2,0), or(and(not(isblank($B933)),$B933=$B932,$A933&lt;&gt;$A932),and(not(isblank($A933)),$A933=$A932,$B933&lt;&gt;$B932)),"ID LISTS UNALIGNED",and($A933&lt;&gt;"",countif('5) Release_Track'!$F:$F,$A933)=0),"NO ISRC MATCH in Release_Track",and($B933&lt;&gt;"",countif('5) Release_Track'!$G:$G,$B933)=0),"NO CATALOG ID MATCH in Release_Track",iserror(vlookup($A933&amp;$B933,'5) Release_Track'!$F:$F&amp;'5) Release_Track'!$G:$G,1,0)),"NO ISRC-CATALOG ID pair MATCH in Release_Track" )</f>
        <v/>
      </c>
      <c r="D933" s="121" t="str">
        <f t="array" ref="D933">ifs(and(isblank($A933),isblank($B933)),"", not(iserror(vlookup($A933&amp;$B933,'5) Release_Track'!$F:$F&amp;'5) Release_Track'!$G:$G,1,0))),vlookup($A933&amp;$B933,{'5) Release_Track'!$F:$F&amp;'5) Release_Track'!$G:$G,'5) Release_Track'!$I:$I},2,0), or(and(not(isblank($B933)),$B933=$B932,$A933&lt;&gt;$A932),and(not(isblank($A933)),$A933=$A932,$B933&lt;&gt;$B932)),"ID LISTS UNALIGNED",and($A933&lt;&gt;"",countif('5) Release_Track'!$F:$F,$A933)=0),"NO ISRC MATCH in Release_Track",and($B933&lt;&gt;"",countif('5) Release_Track'!$G:$G,$B933)=0),"NO CATALOG ID MATCH in Release_Track",iserror(vlookup($A933&amp;$B933,'5) Release_Track'!$F:$F&amp;'5) Release_Track'!$G:$G,1,0)),"NO ISRC-CATALOG ID pair MATCH in Release_Track" )</f>
        <v/>
      </c>
      <c r="E933" s="125" t="str">
        <f t="array" ref="E933">ifs(and(isblank($A933),isblank($B933)),"", not(iserror(vlookup($A933&amp;$B933,'5) Release_Track'!$F:$F&amp;'5) Release_Track'!$G:$G,1,0))),vlookup($A933&amp;$B933,{'5) Release_Track'!$F:$F&amp;'5) Release_Track'!$G:$G,'5) Release_Track'!$J:$J},2,0), or(and(not(isblank($B933)),$B933=$B932,$A933&lt;&gt;$A932),and(not(isblank($A933)),$A933=$A932,$B933&lt;&gt;$B932)),"ID LISTS UNALIGNED",and($A933&lt;&gt;"",countif('5) Release_Track'!$F:$F,$A933)=0),"NO ISRC MATCH in Release_Track",and($B933&lt;&gt;"",countif('5) Release_Track'!$G:$G,$B933)=0),"NO CATALOG ID MATCH in Release_Track",iserror(vlookup($A933&amp;$B933,'5) Release_Track'!$F:$F&amp;'5) Release_Track'!$G:$G,1,0)),"NO ISRC-CATALOG ID pair MATCH in Release_Track" )</f>
        <v/>
      </c>
      <c r="F933" s="122"/>
      <c r="G933" s="99"/>
      <c r="H933" s="178"/>
      <c r="I933" s="121" t="str">
        <f t="shared" si="6"/>
        <v/>
      </c>
      <c r="J933" s="99"/>
      <c r="K933" s="99"/>
    </row>
    <row r="934">
      <c r="B934" s="103"/>
      <c r="C934" s="121" t="str">
        <f t="array" ref="C934">ifs(and(isblank($A934),isblank($B934)),"", not(iserror(vlookup($A934&amp;$B934,'5) Release_Track'!$F:$F&amp;'5) Release_Track'!$G:$G,1,0))),vlookup($A934&amp;$B934,{'5) Release_Track'!$F:$F&amp;'5) Release_Track'!$G:$G,'5) Release_Track'!$H:$H},2,0), or(and(not(isblank($B934)),$B934=$B933,$A934&lt;&gt;$A933),and(not(isblank($A934)),$A934=$A933,$B934&lt;&gt;$B933)),"ID LISTS UNALIGNED",and($A934&lt;&gt;"",countif('5) Release_Track'!$F:$F,$A934)=0),"NO ISRC MATCH in Release_Track",and($B934&lt;&gt;"",countif('5) Release_Track'!$G:$G,$B934)=0),"NO CATALOG ID MATCH in Release_Track",iserror(vlookup($A934&amp;$B934,'5) Release_Track'!$F:$F&amp;'5) Release_Track'!$G:$G,1,0)),"NO ISRC-CATALOG ID pair MATCH in Release_Track" )</f>
        <v/>
      </c>
      <c r="D934" s="121" t="str">
        <f t="array" ref="D934">ifs(and(isblank($A934),isblank($B934)),"", not(iserror(vlookup($A934&amp;$B934,'5) Release_Track'!$F:$F&amp;'5) Release_Track'!$G:$G,1,0))),vlookup($A934&amp;$B934,{'5) Release_Track'!$F:$F&amp;'5) Release_Track'!$G:$G,'5) Release_Track'!$I:$I},2,0), or(and(not(isblank($B934)),$B934=$B933,$A934&lt;&gt;$A933),and(not(isblank($A934)),$A934=$A933,$B934&lt;&gt;$B933)),"ID LISTS UNALIGNED",and($A934&lt;&gt;"",countif('5) Release_Track'!$F:$F,$A934)=0),"NO ISRC MATCH in Release_Track",and($B934&lt;&gt;"",countif('5) Release_Track'!$G:$G,$B934)=0),"NO CATALOG ID MATCH in Release_Track",iserror(vlookup($A934&amp;$B934,'5) Release_Track'!$F:$F&amp;'5) Release_Track'!$G:$G,1,0)),"NO ISRC-CATALOG ID pair MATCH in Release_Track" )</f>
        <v/>
      </c>
      <c r="E934" s="125" t="str">
        <f t="array" ref="E934">ifs(and(isblank($A934),isblank($B934)),"", not(iserror(vlookup($A934&amp;$B934,'5) Release_Track'!$F:$F&amp;'5) Release_Track'!$G:$G,1,0))),vlookup($A934&amp;$B934,{'5) Release_Track'!$F:$F&amp;'5) Release_Track'!$G:$G,'5) Release_Track'!$J:$J},2,0), or(and(not(isblank($B934)),$B934=$B933,$A934&lt;&gt;$A933),and(not(isblank($A934)),$A934=$A933,$B934&lt;&gt;$B933)),"ID LISTS UNALIGNED",and($A934&lt;&gt;"",countif('5) Release_Track'!$F:$F,$A934)=0),"NO ISRC MATCH in Release_Track",and($B934&lt;&gt;"",countif('5) Release_Track'!$G:$G,$B934)=0),"NO CATALOG ID MATCH in Release_Track",iserror(vlookup($A934&amp;$B934,'5) Release_Track'!$F:$F&amp;'5) Release_Track'!$G:$G,1,0)),"NO ISRC-CATALOG ID pair MATCH in Release_Track" )</f>
        <v/>
      </c>
      <c r="F934" s="122"/>
      <c r="G934" s="99"/>
      <c r="H934" s="178"/>
      <c r="I934" s="121" t="str">
        <f t="shared" si="6"/>
        <v/>
      </c>
      <c r="J934" s="99"/>
      <c r="K934" s="99"/>
    </row>
    <row r="935">
      <c r="B935" s="103"/>
      <c r="C935" s="121" t="str">
        <f t="array" ref="C935">ifs(and(isblank($A935),isblank($B935)),"", not(iserror(vlookup($A935&amp;$B935,'5) Release_Track'!$F:$F&amp;'5) Release_Track'!$G:$G,1,0))),vlookup($A935&amp;$B935,{'5) Release_Track'!$F:$F&amp;'5) Release_Track'!$G:$G,'5) Release_Track'!$H:$H},2,0), or(and(not(isblank($B935)),$B935=$B934,$A935&lt;&gt;$A934),and(not(isblank($A935)),$A935=$A934,$B935&lt;&gt;$B934)),"ID LISTS UNALIGNED",and($A935&lt;&gt;"",countif('5) Release_Track'!$F:$F,$A935)=0),"NO ISRC MATCH in Release_Track",and($B935&lt;&gt;"",countif('5) Release_Track'!$G:$G,$B935)=0),"NO CATALOG ID MATCH in Release_Track",iserror(vlookup($A935&amp;$B935,'5) Release_Track'!$F:$F&amp;'5) Release_Track'!$G:$G,1,0)),"NO ISRC-CATALOG ID pair MATCH in Release_Track" )</f>
        <v/>
      </c>
      <c r="D935" s="121" t="str">
        <f t="array" ref="D935">ifs(and(isblank($A935),isblank($B935)),"", not(iserror(vlookup($A935&amp;$B935,'5) Release_Track'!$F:$F&amp;'5) Release_Track'!$G:$G,1,0))),vlookup($A935&amp;$B935,{'5) Release_Track'!$F:$F&amp;'5) Release_Track'!$G:$G,'5) Release_Track'!$I:$I},2,0), or(and(not(isblank($B935)),$B935=$B934,$A935&lt;&gt;$A934),and(not(isblank($A935)),$A935=$A934,$B935&lt;&gt;$B934)),"ID LISTS UNALIGNED",and($A935&lt;&gt;"",countif('5) Release_Track'!$F:$F,$A935)=0),"NO ISRC MATCH in Release_Track",and($B935&lt;&gt;"",countif('5) Release_Track'!$G:$G,$B935)=0),"NO CATALOG ID MATCH in Release_Track",iserror(vlookup($A935&amp;$B935,'5) Release_Track'!$F:$F&amp;'5) Release_Track'!$G:$G,1,0)),"NO ISRC-CATALOG ID pair MATCH in Release_Track" )</f>
        <v/>
      </c>
      <c r="E935" s="125" t="str">
        <f t="array" ref="E935">ifs(and(isblank($A935),isblank($B935)),"", not(iserror(vlookup($A935&amp;$B935,'5) Release_Track'!$F:$F&amp;'5) Release_Track'!$G:$G,1,0))),vlookup($A935&amp;$B935,{'5) Release_Track'!$F:$F&amp;'5) Release_Track'!$G:$G,'5) Release_Track'!$J:$J},2,0), or(and(not(isblank($B935)),$B935=$B934,$A935&lt;&gt;$A934),and(not(isblank($A935)),$A935=$A934,$B935&lt;&gt;$B934)),"ID LISTS UNALIGNED",and($A935&lt;&gt;"",countif('5) Release_Track'!$F:$F,$A935)=0),"NO ISRC MATCH in Release_Track",and($B935&lt;&gt;"",countif('5) Release_Track'!$G:$G,$B935)=0),"NO CATALOG ID MATCH in Release_Track",iserror(vlookup($A935&amp;$B935,'5) Release_Track'!$F:$F&amp;'5) Release_Track'!$G:$G,1,0)),"NO ISRC-CATALOG ID pair MATCH in Release_Track" )</f>
        <v/>
      </c>
      <c r="F935" s="122"/>
      <c r="G935" s="99"/>
      <c r="H935" s="178"/>
      <c r="I935" s="121" t="str">
        <f t="shared" si="6"/>
        <v/>
      </c>
      <c r="J935" s="99"/>
      <c r="K935" s="99"/>
    </row>
    <row r="936">
      <c r="B936" s="103"/>
      <c r="C936" s="121" t="str">
        <f t="array" ref="C936">ifs(and(isblank($A936),isblank($B936)),"", not(iserror(vlookup($A936&amp;$B936,'5) Release_Track'!$F:$F&amp;'5) Release_Track'!$G:$G,1,0))),vlookup($A936&amp;$B936,{'5) Release_Track'!$F:$F&amp;'5) Release_Track'!$G:$G,'5) Release_Track'!$H:$H},2,0), or(and(not(isblank($B936)),$B936=$B935,$A936&lt;&gt;$A935),and(not(isblank($A936)),$A936=$A935,$B936&lt;&gt;$B935)),"ID LISTS UNALIGNED",and($A936&lt;&gt;"",countif('5) Release_Track'!$F:$F,$A936)=0),"NO ISRC MATCH in Release_Track",and($B936&lt;&gt;"",countif('5) Release_Track'!$G:$G,$B936)=0),"NO CATALOG ID MATCH in Release_Track",iserror(vlookup($A936&amp;$B936,'5) Release_Track'!$F:$F&amp;'5) Release_Track'!$G:$G,1,0)),"NO ISRC-CATALOG ID pair MATCH in Release_Track" )</f>
        <v/>
      </c>
      <c r="D936" s="121" t="str">
        <f t="array" ref="D936">ifs(and(isblank($A936),isblank($B936)),"", not(iserror(vlookup($A936&amp;$B936,'5) Release_Track'!$F:$F&amp;'5) Release_Track'!$G:$G,1,0))),vlookup($A936&amp;$B936,{'5) Release_Track'!$F:$F&amp;'5) Release_Track'!$G:$G,'5) Release_Track'!$I:$I},2,0), or(and(not(isblank($B936)),$B936=$B935,$A936&lt;&gt;$A935),and(not(isblank($A936)),$A936=$A935,$B936&lt;&gt;$B935)),"ID LISTS UNALIGNED",and($A936&lt;&gt;"",countif('5) Release_Track'!$F:$F,$A936)=0),"NO ISRC MATCH in Release_Track",and($B936&lt;&gt;"",countif('5) Release_Track'!$G:$G,$B936)=0),"NO CATALOG ID MATCH in Release_Track",iserror(vlookup($A936&amp;$B936,'5) Release_Track'!$F:$F&amp;'5) Release_Track'!$G:$G,1,0)),"NO ISRC-CATALOG ID pair MATCH in Release_Track" )</f>
        <v/>
      </c>
      <c r="E936" s="125" t="str">
        <f t="array" ref="E936">ifs(and(isblank($A936),isblank($B936)),"", not(iserror(vlookup($A936&amp;$B936,'5) Release_Track'!$F:$F&amp;'5) Release_Track'!$G:$G,1,0))),vlookup($A936&amp;$B936,{'5) Release_Track'!$F:$F&amp;'5) Release_Track'!$G:$G,'5) Release_Track'!$J:$J},2,0), or(and(not(isblank($B936)),$B936=$B935,$A936&lt;&gt;$A935),and(not(isblank($A936)),$A936=$A935,$B936&lt;&gt;$B935)),"ID LISTS UNALIGNED",and($A936&lt;&gt;"",countif('5) Release_Track'!$F:$F,$A936)=0),"NO ISRC MATCH in Release_Track",and($B936&lt;&gt;"",countif('5) Release_Track'!$G:$G,$B936)=0),"NO CATALOG ID MATCH in Release_Track",iserror(vlookup($A936&amp;$B936,'5) Release_Track'!$F:$F&amp;'5) Release_Track'!$G:$G,1,0)),"NO ISRC-CATALOG ID pair MATCH in Release_Track" )</f>
        <v/>
      </c>
      <c r="F936" s="122"/>
      <c r="G936" s="99"/>
      <c r="H936" s="178"/>
      <c r="I936" s="121" t="str">
        <f t="shared" si="6"/>
        <v/>
      </c>
      <c r="J936" s="99"/>
      <c r="K936" s="99"/>
    </row>
    <row r="937">
      <c r="B937" s="103"/>
      <c r="C937" s="121" t="str">
        <f t="array" ref="C937">ifs(and(isblank($A937),isblank($B937)),"", not(iserror(vlookup($A937&amp;$B937,'5) Release_Track'!$F:$F&amp;'5) Release_Track'!$G:$G,1,0))),vlookup($A937&amp;$B937,{'5) Release_Track'!$F:$F&amp;'5) Release_Track'!$G:$G,'5) Release_Track'!$H:$H},2,0), or(and(not(isblank($B937)),$B937=$B936,$A937&lt;&gt;$A936),and(not(isblank($A937)),$A937=$A936,$B937&lt;&gt;$B936)),"ID LISTS UNALIGNED",and($A937&lt;&gt;"",countif('5) Release_Track'!$F:$F,$A937)=0),"NO ISRC MATCH in Release_Track",and($B937&lt;&gt;"",countif('5) Release_Track'!$G:$G,$B937)=0),"NO CATALOG ID MATCH in Release_Track",iserror(vlookup($A937&amp;$B937,'5) Release_Track'!$F:$F&amp;'5) Release_Track'!$G:$G,1,0)),"NO ISRC-CATALOG ID pair MATCH in Release_Track" )</f>
        <v/>
      </c>
      <c r="D937" s="121" t="str">
        <f t="array" ref="D937">ifs(and(isblank($A937),isblank($B937)),"", not(iserror(vlookup($A937&amp;$B937,'5) Release_Track'!$F:$F&amp;'5) Release_Track'!$G:$G,1,0))),vlookup($A937&amp;$B937,{'5) Release_Track'!$F:$F&amp;'5) Release_Track'!$G:$G,'5) Release_Track'!$I:$I},2,0), or(and(not(isblank($B937)),$B937=$B936,$A937&lt;&gt;$A936),and(not(isblank($A937)),$A937=$A936,$B937&lt;&gt;$B936)),"ID LISTS UNALIGNED",and($A937&lt;&gt;"",countif('5) Release_Track'!$F:$F,$A937)=0),"NO ISRC MATCH in Release_Track",and($B937&lt;&gt;"",countif('5) Release_Track'!$G:$G,$B937)=0),"NO CATALOG ID MATCH in Release_Track",iserror(vlookup($A937&amp;$B937,'5) Release_Track'!$F:$F&amp;'5) Release_Track'!$G:$G,1,0)),"NO ISRC-CATALOG ID pair MATCH in Release_Track" )</f>
        <v/>
      </c>
      <c r="E937" s="125" t="str">
        <f t="array" ref="E937">ifs(and(isblank($A937),isblank($B937)),"", not(iserror(vlookup($A937&amp;$B937,'5) Release_Track'!$F:$F&amp;'5) Release_Track'!$G:$G,1,0))),vlookup($A937&amp;$B937,{'5) Release_Track'!$F:$F&amp;'5) Release_Track'!$G:$G,'5) Release_Track'!$J:$J},2,0), or(and(not(isblank($B937)),$B937=$B936,$A937&lt;&gt;$A936),and(not(isblank($A937)),$A937=$A936,$B937&lt;&gt;$B936)),"ID LISTS UNALIGNED",and($A937&lt;&gt;"",countif('5) Release_Track'!$F:$F,$A937)=0),"NO ISRC MATCH in Release_Track",and($B937&lt;&gt;"",countif('5) Release_Track'!$G:$G,$B937)=0),"NO CATALOG ID MATCH in Release_Track",iserror(vlookup($A937&amp;$B937,'5) Release_Track'!$F:$F&amp;'5) Release_Track'!$G:$G,1,0)),"NO ISRC-CATALOG ID pair MATCH in Release_Track" )</f>
        <v/>
      </c>
      <c r="F937" s="122"/>
      <c r="G937" s="99"/>
      <c r="H937" s="178"/>
      <c r="I937" s="121" t="str">
        <f t="shared" si="6"/>
        <v/>
      </c>
      <c r="J937" s="99"/>
      <c r="K937" s="99"/>
    </row>
    <row r="938">
      <c r="B938" s="103"/>
      <c r="C938" s="121" t="str">
        <f t="array" ref="C938">ifs(and(isblank($A938),isblank($B938)),"", not(iserror(vlookup($A938&amp;$B938,'5) Release_Track'!$F:$F&amp;'5) Release_Track'!$G:$G,1,0))),vlookup($A938&amp;$B938,{'5) Release_Track'!$F:$F&amp;'5) Release_Track'!$G:$G,'5) Release_Track'!$H:$H},2,0), or(and(not(isblank($B938)),$B938=$B937,$A938&lt;&gt;$A937),and(not(isblank($A938)),$A938=$A937,$B938&lt;&gt;$B937)),"ID LISTS UNALIGNED",and($A938&lt;&gt;"",countif('5) Release_Track'!$F:$F,$A938)=0),"NO ISRC MATCH in Release_Track",and($B938&lt;&gt;"",countif('5) Release_Track'!$G:$G,$B938)=0),"NO CATALOG ID MATCH in Release_Track",iserror(vlookup($A938&amp;$B938,'5) Release_Track'!$F:$F&amp;'5) Release_Track'!$G:$G,1,0)),"NO ISRC-CATALOG ID pair MATCH in Release_Track" )</f>
        <v/>
      </c>
      <c r="D938" s="121" t="str">
        <f t="array" ref="D938">ifs(and(isblank($A938),isblank($B938)),"", not(iserror(vlookup($A938&amp;$B938,'5) Release_Track'!$F:$F&amp;'5) Release_Track'!$G:$G,1,0))),vlookup($A938&amp;$B938,{'5) Release_Track'!$F:$F&amp;'5) Release_Track'!$G:$G,'5) Release_Track'!$I:$I},2,0), or(and(not(isblank($B938)),$B938=$B937,$A938&lt;&gt;$A937),and(not(isblank($A938)),$A938=$A937,$B938&lt;&gt;$B937)),"ID LISTS UNALIGNED",and($A938&lt;&gt;"",countif('5) Release_Track'!$F:$F,$A938)=0),"NO ISRC MATCH in Release_Track",and($B938&lt;&gt;"",countif('5) Release_Track'!$G:$G,$B938)=0),"NO CATALOG ID MATCH in Release_Track",iserror(vlookup($A938&amp;$B938,'5) Release_Track'!$F:$F&amp;'5) Release_Track'!$G:$G,1,0)),"NO ISRC-CATALOG ID pair MATCH in Release_Track" )</f>
        <v/>
      </c>
      <c r="E938" s="125" t="str">
        <f t="array" ref="E938">ifs(and(isblank($A938),isblank($B938)),"", not(iserror(vlookup($A938&amp;$B938,'5) Release_Track'!$F:$F&amp;'5) Release_Track'!$G:$G,1,0))),vlookup($A938&amp;$B938,{'5) Release_Track'!$F:$F&amp;'5) Release_Track'!$G:$G,'5) Release_Track'!$J:$J},2,0), or(and(not(isblank($B938)),$B938=$B937,$A938&lt;&gt;$A937),and(not(isblank($A938)),$A938=$A937,$B938&lt;&gt;$B937)),"ID LISTS UNALIGNED",and($A938&lt;&gt;"",countif('5) Release_Track'!$F:$F,$A938)=0),"NO ISRC MATCH in Release_Track",and($B938&lt;&gt;"",countif('5) Release_Track'!$G:$G,$B938)=0),"NO CATALOG ID MATCH in Release_Track",iserror(vlookup($A938&amp;$B938,'5) Release_Track'!$F:$F&amp;'5) Release_Track'!$G:$G,1,0)),"NO ISRC-CATALOG ID pair MATCH in Release_Track" )</f>
        <v/>
      </c>
      <c r="F938" s="122"/>
      <c r="G938" s="99"/>
      <c r="H938" s="178"/>
      <c r="I938" s="121" t="str">
        <f t="shared" si="6"/>
        <v/>
      </c>
      <c r="J938" s="99"/>
      <c r="K938" s="99"/>
    </row>
    <row r="939">
      <c r="B939" s="103"/>
      <c r="C939" s="121" t="str">
        <f t="array" ref="C939">ifs(and(isblank($A939),isblank($B939)),"", not(iserror(vlookup($A939&amp;$B939,'5) Release_Track'!$F:$F&amp;'5) Release_Track'!$G:$G,1,0))),vlookup($A939&amp;$B939,{'5) Release_Track'!$F:$F&amp;'5) Release_Track'!$G:$G,'5) Release_Track'!$H:$H},2,0), or(and(not(isblank($B939)),$B939=$B938,$A939&lt;&gt;$A938),and(not(isblank($A939)),$A939=$A938,$B939&lt;&gt;$B938)),"ID LISTS UNALIGNED",and($A939&lt;&gt;"",countif('5) Release_Track'!$F:$F,$A939)=0),"NO ISRC MATCH in Release_Track",and($B939&lt;&gt;"",countif('5) Release_Track'!$G:$G,$B939)=0),"NO CATALOG ID MATCH in Release_Track",iserror(vlookup($A939&amp;$B939,'5) Release_Track'!$F:$F&amp;'5) Release_Track'!$G:$G,1,0)),"NO ISRC-CATALOG ID pair MATCH in Release_Track" )</f>
        <v/>
      </c>
      <c r="D939" s="121" t="str">
        <f t="array" ref="D939">ifs(and(isblank($A939),isblank($B939)),"", not(iserror(vlookup($A939&amp;$B939,'5) Release_Track'!$F:$F&amp;'5) Release_Track'!$G:$G,1,0))),vlookup($A939&amp;$B939,{'5) Release_Track'!$F:$F&amp;'5) Release_Track'!$G:$G,'5) Release_Track'!$I:$I},2,0), or(and(not(isblank($B939)),$B939=$B938,$A939&lt;&gt;$A938),and(not(isblank($A939)),$A939=$A938,$B939&lt;&gt;$B938)),"ID LISTS UNALIGNED",and($A939&lt;&gt;"",countif('5) Release_Track'!$F:$F,$A939)=0),"NO ISRC MATCH in Release_Track",and($B939&lt;&gt;"",countif('5) Release_Track'!$G:$G,$B939)=0),"NO CATALOG ID MATCH in Release_Track",iserror(vlookup($A939&amp;$B939,'5) Release_Track'!$F:$F&amp;'5) Release_Track'!$G:$G,1,0)),"NO ISRC-CATALOG ID pair MATCH in Release_Track" )</f>
        <v/>
      </c>
      <c r="E939" s="125" t="str">
        <f t="array" ref="E939">ifs(and(isblank($A939),isblank($B939)),"", not(iserror(vlookup($A939&amp;$B939,'5) Release_Track'!$F:$F&amp;'5) Release_Track'!$G:$G,1,0))),vlookup($A939&amp;$B939,{'5) Release_Track'!$F:$F&amp;'5) Release_Track'!$G:$G,'5) Release_Track'!$J:$J},2,0), or(and(not(isblank($B939)),$B939=$B938,$A939&lt;&gt;$A938),and(not(isblank($A939)),$A939=$A938,$B939&lt;&gt;$B938)),"ID LISTS UNALIGNED",and($A939&lt;&gt;"",countif('5) Release_Track'!$F:$F,$A939)=0),"NO ISRC MATCH in Release_Track",and($B939&lt;&gt;"",countif('5) Release_Track'!$G:$G,$B939)=0),"NO CATALOG ID MATCH in Release_Track",iserror(vlookup($A939&amp;$B939,'5) Release_Track'!$F:$F&amp;'5) Release_Track'!$G:$G,1,0)),"NO ISRC-CATALOG ID pair MATCH in Release_Track" )</f>
        <v/>
      </c>
      <c r="F939" s="122"/>
      <c r="G939" s="99"/>
      <c r="H939" s="178"/>
      <c r="I939" s="121" t="str">
        <f t="shared" si="6"/>
        <v/>
      </c>
      <c r="J939" s="99"/>
      <c r="K939" s="99"/>
    </row>
    <row r="940">
      <c r="B940" s="103"/>
      <c r="C940" s="121" t="str">
        <f t="array" ref="C940">ifs(and(isblank($A940),isblank($B940)),"", not(iserror(vlookup($A940&amp;$B940,'5) Release_Track'!$F:$F&amp;'5) Release_Track'!$G:$G,1,0))),vlookup($A940&amp;$B940,{'5) Release_Track'!$F:$F&amp;'5) Release_Track'!$G:$G,'5) Release_Track'!$H:$H},2,0), or(and(not(isblank($B940)),$B940=$B939,$A940&lt;&gt;$A939),and(not(isblank($A940)),$A940=$A939,$B940&lt;&gt;$B939)),"ID LISTS UNALIGNED",and($A940&lt;&gt;"",countif('5) Release_Track'!$F:$F,$A940)=0),"NO ISRC MATCH in Release_Track",and($B940&lt;&gt;"",countif('5) Release_Track'!$G:$G,$B940)=0),"NO CATALOG ID MATCH in Release_Track",iserror(vlookup($A940&amp;$B940,'5) Release_Track'!$F:$F&amp;'5) Release_Track'!$G:$G,1,0)),"NO ISRC-CATALOG ID pair MATCH in Release_Track" )</f>
        <v/>
      </c>
      <c r="D940" s="121" t="str">
        <f t="array" ref="D940">ifs(and(isblank($A940),isblank($B940)),"", not(iserror(vlookup($A940&amp;$B940,'5) Release_Track'!$F:$F&amp;'5) Release_Track'!$G:$G,1,0))),vlookup($A940&amp;$B940,{'5) Release_Track'!$F:$F&amp;'5) Release_Track'!$G:$G,'5) Release_Track'!$I:$I},2,0), or(and(not(isblank($B940)),$B940=$B939,$A940&lt;&gt;$A939),and(not(isblank($A940)),$A940=$A939,$B940&lt;&gt;$B939)),"ID LISTS UNALIGNED",and($A940&lt;&gt;"",countif('5) Release_Track'!$F:$F,$A940)=0),"NO ISRC MATCH in Release_Track",and($B940&lt;&gt;"",countif('5) Release_Track'!$G:$G,$B940)=0),"NO CATALOG ID MATCH in Release_Track",iserror(vlookup($A940&amp;$B940,'5) Release_Track'!$F:$F&amp;'5) Release_Track'!$G:$G,1,0)),"NO ISRC-CATALOG ID pair MATCH in Release_Track" )</f>
        <v/>
      </c>
      <c r="E940" s="125" t="str">
        <f t="array" ref="E940">ifs(and(isblank($A940),isblank($B940)),"", not(iserror(vlookup($A940&amp;$B940,'5) Release_Track'!$F:$F&amp;'5) Release_Track'!$G:$G,1,0))),vlookup($A940&amp;$B940,{'5) Release_Track'!$F:$F&amp;'5) Release_Track'!$G:$G,'5) Release_Track'!$J:$J},2,0), or(and(not(isblank($B940)),$B940=$B939,$A940&lt;&gt;$A939),and(not(isblank($A940)),$A940=$A939,$B940&lt;&gt;$B939)),"ID LISTS UNALIGNED",and($A940&lt;&gt;"",countif('5) Release_Track'!$F:$F,$A940)=0),"NO ISRC MATCH in Release_Track",and($B940&lt;&gt;"",countif('5) Release_Track'!$G:$G,$B940)=0),"NO CATALOG ID MATCH in Release_Track",iserror(vlookup($A940&amp;$B940,'5) Release_Track'!$F:$F&amp;'5) Release_Track'!$G:$G,1,0)),"NO ISRC-CATALOG ID pair MATCH in Release_Track" )</f>
        <v/>
      </c>
      <c r="F940" s="122"/>
      <c r="G940" s="99"/>
      <c r="H940" s="178"/>
      <c r="I940" s="121" t="str">
        <f t="shared" si="6"/>
        <v/>
      </c>
      <c r="J940" s="99"/>
      <c r="K940" s="99"/>
    </row>
    <row r="941">
      <c r="B941" s="103"/>
      <c r="C941" s="121" t="str">
        <f t="array" ref="C941">ifs(and(isblank($A941),isblank($B941)),"", not(iserror(vlookup($A941&amp;$B941,'5) Release_Track'!$F:$F&amp;'5) Release_Track'!$G:$G,1,0))),vlookup($A941&amp;$B941,{'5) Release_Track'!$F:$F&amp;'5) Release_Track'!$G:$G,'5) Release_Track'!$H:$H},2,0), or(and(not(isblank($B941)),$B941=$B940,$A941&lt;&gt;$A940),and(not(isblank($A941)),$A941=$A940,$B941&lt;&gt;$B940)),"ID LISTS UNALIGNED",and($A941&lt;&gt;"",countif('5) Release_Track'!$F:$F,$A941)=0),"NO ISRC MATCH in Release_Track",and($B941&lt;&gt;"",countif('5) Release_Track'!$G:$G,$B941)=0),"NO CATALOG ID MATCH in Release_Track",iserror(vlookup($A941&amp;$B941,'5) Release_Track'!$F:$F&amp;'5) Release_Track'!$G:$G,1,0)),"NO ISRC-CATALOG ID pair MATCH in Release_Track" )</f>
        <v/>
      </c>
      <c r="D941" s="121" t="str">
        <f t="array" ref="D941">ifs(and(isblank($A941),isblank($B941)),"", not(iserror(vlookup($A941&amp;$B941,'5) Release_Track'!$F:$F&amp;'5) Release_Track'!$G:$G,1,0))),vlookup($A941&amp;$B941,{'5) Release_Track'!$F:$F&amp;'5) Release_Track'!$G:$G,'5) Release_Track'!$I:$I},2,0), or(and(not(isblank($B941)),$B941=$B940,$A941&lt;&gt;$A940),and(not(isblank($A941)),$A941=$A940,$B941&lt;&gt;$B940)),"ID LISTS UNALIGNED",and($A941&lt;&gt;"",countif('5) Release_Track'!$F:$F,$A941)=0),"NO ISRC MATCH in Release_Track",and($B941&lt;&gt;"",countif('5) Release_Track'!$G:$G,$B941)=0),"NO CATALOG ID MATCH in Release_Track",iserror(vlookup($A941&amp;$B941,'5) Release_Track'!$F:$F&amp;'5) Release_Track'!$G:$G,1,0)),"NO ISRC-CATALOG ID pair MATCH in Release_Track" )</f>
        <v/>
      </c>
      <c r="E941" s="125" t="str">
        <f t="array" ref="E941">ifs(and(isblank($A941),isblank($B941)),"", not(iserror(vlookup($A941&amp;$B941,'5) Release_Track'!$F:$F&amp;'5) Release_Track'!$G:$G,1,0))),vlookup($A941&amp;$B941,{'5) Release_Track'!$F:$F&amp;'5) Release_Track'!$G:$G,'5) Release_Track'!$J:$J},2,0), or(and(not(isblank($B941)),$B941=$B940,$A941&lt;&gt;$A940),and(not(isblank($A941)),$A941=$A940,$B941&lt;&gt;$B940)),"ID LISTS UNALIGNED",and($A941&lt;&gt;"",countif('5) Release_Track'!$F:$F,$A941)=0),"NO ISRC MATCH in Release_Track",and($B941&lt;&gt;"",countif('5) Release_Track'!$G:$G,$B941)=0),"NO CATALOG ID MATCH in Release_Track",iserror(vlookup($A941&amp;$B941,'5) Release_Track'!$F:$F&amp;'5) Release_Track'!$G:$G,1,0)),"NO ISRC-CATALOG ID pair MATCH in Release_Track" )</f>
        <v/>
      </c>
      <c r="F941" s="122"/>
      <c r="G941" s="99"/>
      <c r="H941" s="178"/>
      <c r="I941" s="121" t="str">
        <f t="shared" si="6"/>
        <v/>
      </c>
      <c r="J941" s="99"/>
      <c r="K941" s="99"/>
    </row>
    <row r="942">
      <c r="B942" s="103"/>
      <c r="C942" s="121" t="str">
        <f t="array" ref="C942">ifs(and(isblank($A942),isblank($B942)),"", not(iserror(vlookup($A942&amp;$B942,'5) Release_Track'!$F:$F&amp;'5) Release_Track'!$G:$G,1,0))),vlookup($A942&amp;$B942,{'5) Release_Track'!$F:$F&amp;'5) Release_Track'!$G:$G,'5) Release_Track'!$H:$H},2,0), or(and(not(isblank($B942)),$B942=$B941,$A942&lt;&gt;$A941),and(not(isblank($A942)),$A942=$A941,$B942&lt;&gt;$B941)),"ID LISTS UNALIGNED",and($A942&lt;&gt;"",countif('5) Release_Track'!$F:$F,$A942)=0),"NO ISRC MATCH in Release_Track",and($B942&lt;&gt;"",countif('5) Release_Track'!$G:$G,$B942)=0),"NO CATALOG ID MATCH in Release_Track",iserror(vlookup($A942&amp;$B942,'5) Release_Track'!$F:$F&amp;'5) Release_Track'!$G:$G,1,0)),"NO ISRC-CATALOG ID pair MATCH in Release_Track" )</f>
        <v/>
      </c>
      <c r="D942" s="121" t="str">
        <f t="array" ref="D942">ifs(and(isblank($A942),isblank($B942)),"", not(iserror(vlookup($A942&amp;$B942,'5) Release_Track'!$F:$F&amp;'5) Release_Track'!$G:$G,1,0))),vlookup($A942&amp;$B942,{'5) Release_Track'!$F:$F&amp;'5) Release_Track'!$G:$G,'5) Release_Track'!$I:$I},2,0), or(and(not(isblank($B942)),$B942=$B941,$A942&lt;&gt;$A941),and(not(isblank($A942)),$A942=$A941,$B942&lt;&gt;$B941)),"ID LISTS UNALIGNED",and($A942&lt;&gt;"",countif('5) Release_Track'!$F:$F,$A942)=0),"NO ISRC MATCH in Release_Track",and($B942&lt;&gt;"",countif('5) Release_Track'!$G:$G,$B942)=0),"NO CATALOG ID MATCH in Release_Track",iserror(vlookup($A942&amp;$B942,'5) Release_Track'!$F:$F&amp;'5) Release_Track'!$G:$G,1,0)),"NO ISRC-CATALOG ID pair MATCH in Release_Track" )</f>
        <v/>
      </c>
      <c r="E942" s="125" t="str">
        <f t="array" ref="E942">ifs(and(isblank($A942),isblank($B942)),"", not(iserror(vlookup($A942&amp;$B942,'5) Release_Track'!$F:$F&amp;'5) Release_Track'!$G:$G,1,0))),vlookup($A942&amp;$B942,{'5) Release_Track'!$F:$F&amp;'5) Release_Track'!$G:$G,'5) Release_Track'!$J:$J},2,0), or(and(not(isblank($B942)),$B942=$B941,$A942&lt;&gt;$A941),and(not(isblank($A942)),$A942=$A941,$B942&lt;&gt;$B941)),"ID LISTS UNALIGNED",and($A942&lt;&gt;"",countif('5) Release_Track'!$F:$F,$A942)=0),"NO ISRC MATCH in Release_Track",and($B942&lt;&gt;"",countif('5) Release_Track'!$G:$G,$B942)=0),"NO CATALOG ID MATCH in Release_Track",iserror(vlookup($A942&amp;$B942,'5) Release_Track'!$F:$F&amp;'5) Release_Track'!$G:$G,1,0)),"NO ISRC-CATALOG ID pair MATCH in Release_Track" )</f>
        <v/>
      </c>
      <c r="F942" s="122"/>
      <c r="G942" s="99"/>
      <c r="H942" s="178"/>
      <c r="I942" s="121" t="str">
        <f t="shared" si="6"/>
        <v/>
      </c>
      <c r="J942" s="99"/>
      <c r="K942" s="99"/>
    </row>
    <row r="943">
      <c r="B943" s="103"/>
      <c r="C943" s="121" t="str">
        <f t="array" ref="C943">ifs(and(isblank($A943),isblank($B943)),"", not(iserror(vlookup($A943&amp;$B943,'5) Release_Track'!$F:$F&amp;'5) Release_Track'!$G:$G,1,0))),vlookup($A943&amp;$B943,{'5) Release_Track'!$F:$F&amp;'5) Release_Track'!$G:$G,'5) Release_Track'!$H:$H},2,0), or(and(not(isblank($B943)),$B943=$B942,$A943&lt;&gt;$A942),and(not(isblank($A943)),$A943=$A942,$B943&lt;&gt;$B942)),"ID LISTS UNALIGNED",and($A943&lt;&gt;"",countif('5) Release_Track'!$F:$F,$A943)=0),"NO ISRC MATCH in Release_Track",and($B943&lt;&gt;"",countif('5) Release_Track'!$G:$G,$B943)=0),"NO CATALOG ID MATCH in Release_Track",iserror(vlookup($A943&amp;$B943,'5) Release_Track'!$F:$F&amp;'5) Release_Track'!$G:$G,1,0)),"NO ISRC-CATALOG ID pair MATCH in Release_Track" )</f>
        <v/>
      </c>
      <c r="D943" s="121" t="str">
        <f t="array" ref="D943">ifs(and(isblank($A943),isblank($B943)),"", not(iserror(vlookup($A943&amp;$B943,'5) Release_Track'!$F:$F&amp;'5) Release_Track'!$G:$G,1,0))),vlookup($A943&amp;$B943,{'5) Release_Track'!$F:$F&amp;'5) Release_Track'!$G:$G,'5) Release_Track'!$I:$I},2,0), or(and(not(isblank($B943)),$B943=$B942,$A943&lt;&gt;$A942),and(not(isblank($A943)),$A943=$A942,$B943&lt;&gt;$B942)),"ID LISTS UNALIGNED",and($A943&lt;&gt;"",countif('5) Release_Track'!$F:$F,$A943)=0),"NO ISRC MATCH in Release_Track",and($B943&lt;&gt;"",countif('5) Release_Track'!$G:$G,$B943)=0),"NO CATALOG ID MATCH in Release_Track",iserror(vlookup($A943&amp;$B943,'5) Release_Track'!$F:$F&amp;'5) Release_Track'!$G:$G,1,0)),"NO ISRC-CATALOG ID pair MATCH in Release_Track" )</f>
        <v/>
      </c>
      <c r="E943" s="125" t="str">
        <f t="array" ref="E943">ifs(and(isblank($A943),isblank($B943)),"", not(iserror(vlookup($A943&amp;$B943,'5) Release_Track'!$F:$F&amp;'5) Release_Track'!$G:$G,1,0))),vlookup($A943&amp;$B943,{'5) Release_Track'!$F:$F&amp;'5) Release_Track'!$G:$G,'5) Release_Track'!$J:$J},2,0), or(and(not(isblank($B943)),$B943=$B942,$A943&lt;&gt;$A942),and(not(isblank($A943)),$A943=$A942,$B943&lt;&gt;$B942)),"ID LISTS UNALIGNED",and($A943&lt;&gt;"",countif('5) Release_Track'!$F:$F,$A943)=0),"NO ISRC MATCH in Release_Track",and($B943&lt;&gt;"",countif('5) Release_Track'!$G:$G,$B943)=0),"NO CATALOG ID MATCH in Release_Track",iserror(vlookup($A943&amp;$B943,'5) Release_Track'!$F:$F&amp;'5) Release_Track'!$G:$G,1,0)),"NO ISRC-CATALOG ID pair MATCH in Release_Track" )</f>
        <v/>
      </c>
      <c r="F943" s="122"/>
      <c r="G943" s="99"/>
      <c r="H943" s="178"/>
      <c r="I943" s="121" t="str">
        <f t="shared" si="6"/>
        <v/>
      </c>
      <c r="J943" s="99"/>
      <c r="K943" s="99"/>
    </row>
    <row r="944">
      <c r="B944" s="103"/>
      <c r="C944" s="121" t="str">
        <f t="array" ref="C944">ifs(and(isblank($A944),isblank($B944)),"", not(iserror(vlookup($A944&amp;$B944,'5) Release_Track'!$F:$F&amp;'5) Release_Track'!$G:$G,1,0))),vlookup($A944&amp;$B944,{'5) Release_Track'!$F:$F&amp;'5) Release_Track'!$G:$G,'5) Release_Track'!$H:$H},2,0), or(and(not(isblank($B944)),$B944=$B943,$A944&lt;&gt;$A943),and(not(isblank($A944)),$A944=$A943,$B944&lt;&gt;$B943)),"ID LISTS UNALIGNED",and($A944&lt;&gt;"",countif('5) Release_Track'!$F:$F,$A944)=0),"NO ISRC MATCH in Release_Track",and($B944&lt;&gt;"",countif('5) Release_Track'!$G:$G,$B944)=0),"NO CATALOG ID MATCH in Release_Track",iserror(vlookup($A944&amp;$B944,'5) Release_Track'!$F:$F&amp;'5) Release_Track'!$G:$G,1,0)),"NO ISRC-CATALOG ID pair MATCH in Release_Track" )</f>
        <v/>
      </c>
      <c r="D944" s="121" t="str">
        <f t="array" ref="D944">ifs(and(isblank($A944),isblank($B944)),"", not(iserror(vlookup($A944&amp;$B944,'5) Release_Track'!$F:$F&amp;'5) Release_Track'!$G:$G,1,0))),vlookup($A944&amp;$B944,{'5) Release_Track'!$F:$F&amp;'5) Release_Track'!$G:$G,'5) Release_Track'!$I:$I},2,0), or(and(not(isblank($B944)),$B944=$B943,$A944&lt;&gt;$A943),and(not(isblank($A944)),$A944=$A943,$B944&lt;&gt;$B943)),"ID LISTS UNALIGNED",and($A944&lt;&gt;"",countif('5) Release_Track'!$F:$F,$A944)=0),"NO ISRC MATCH in Release_Track",and($B944&lt;&gt;"",countif('5) Release_Track'!$G:$G,$B944)=0),"NO CATALOG ID MATCH in Release_Track",iserror(vlookup($A944&amp;$B944,'5) Release_Track'!$F:$F&amp;'5) Release_Track'!$G:$G,1,0)),"NO ISRC-CATALOG ID pair MATCH in Release_Track" )</f>
        <v/>
      </c>
      <c r="E944" s="125" t="str">
        <f t="array" ref="E944">ifs(and(isblank($A944),isblank($B944)),"", not(iserror(vlookup($A944&amp;$B944,'5) Release_Track'!$F:$F&amp;'5) Release_Track'!$G:$G,1,0))),vlookup($A944&amp;$B944,{'5) Release_Track'!$F:$F&amp;'5) Release_Track'!$G:$G,'5) Release_Track'!$J:$J},2,0), or(and(not(isblank($B944)),$B944=$B943,$A944&lt;&gt;$A943),and(not(isblank($A944)),$A944=$A943,$B944&lt;&gt;$B943)),"ID LISTS UNALIGNED",and($A944&lt;&gt;"",countif('5) Release_Track'!$F:$F,$A944)=0),"NO ISRC MATCH in Release_Track",and($B944&lt;&gt;"",countif('5) Release_Track'!$G:$G,$B944)=0),"NO CATALOG ID MATCH in Release_Track",iserror(vlookup($A944&amp;$B944,'5) Release_Track'!$F:$F&amp;'5) Release_Track'!$G:$G,1,0)),"NO ISRC-CATALOG ID pair MATCH in Release_Track" )</f>
        <v/>
      </c>
      <c r="F944" s="122"/>
      <c r="G944" s="99"/>
      <c r="H944" s="178"/>
      <c r="I944" s="121" t="str">
        <f t="shared" si="6"/>
        <v/>
      </c>
      <c r="J944" s="99"/>
      <c r="K944" s="99"/>
    </row>
    <row r="945">
      <c r="B945" s="103"/>
      <c r="C945" s="121" t="str">
        <f t="array" ref="C945">ifs(and(isblank($A945),isblank($B945)),"", not(iserror(vlookup($A945&amp;$B945,'5) Release_Track'!$F:$F&amp;'5) Release_Track'!$G:$G,1,0))),vlookup($A945&amp;$B945,{'5) Release_Track'!$F:$F&amp;'5) Release_Track'!$G:$G,'5) Release_Track'!$H:$H},2,0), or(and(not(isblank($B945)),$B945=$B944,$A945&lt;&gt;$A944),and(not(isblank($A945)),$A945=$A944,$B945&lt;&gt;$B944)),"ID LISTS UNALIGNED",and($A945&lt;&gt;"",countif('5) Release_Track'!$F:$F,$A945)=0),"NO ISRC MATCH in Release_Track",and($B945&lt;&gt;"",countif('5) Release_Track'!$G:$G,$B945)=0),"NO CATALOG ID MATCH in Release_Track",iserror(vlookup($A945&amp;$B945,'5) Release_Track'!$F:$F&amp;'5) Release_Track'!$G:$G,1,0)),"NO ISRC-CATALOG ID pair MATCH in Release_Track" )</f>
        <v/>
      </c>
      <c r="D945" s="121" t="str">
        <f t="array" ref="D945">ifs(and(isblank($A945),isblank($B945)),"", not(iserror(vlookup($A945&amp;$B945,'5) Release_Track'!$F:$F&amp;'5) Release_Track'!$G:$G,1,0))),vlookup($A945&amp;$B945,{'5) Release_Track'!$F:$F&amp;'5) Release_Track'!$G:$G,'5) Release_Track'!$I:$I},2,0), or(and(not(isblank($B945)),$B945=$B944,$A945&lt;&gt;$A944),and(not(isblank($A945)),$A945=$A944,$B945&lt;&gt;$B944)),"ID LISTS UNALIGNED",and($A945&lt;&gt;"",countif('5) Release_Track'!$F:$F,$A945)=0),"NO ISRC MATCH in Release_Track",and($B945&lt;&gt;"",countif('5) Release_Track'!$G:$G,$B945)=0),"NO CATALOG ID MATCH in Release_Track",iserror(vlookup($A945&amp;$B945,'5) Release_Track'!$F:$F&amp;'5) Release_Track'!$G:$G,1,0)),"NO ISRC-CATALOG ID pair MATCH in Release_Track" )</f>
        <v/>
      </c>
      <c r="E945" s="125" t="str">
        <f t="array" ref="E945">ifs(and(isblank($A945),isblank($B945)),"", not(iserror(vlookup($A945&amp;$B945,'5) Release_Track'!$F:$F&amp;'5) Release_Track'!$G:$G,1,0))),vlookup($A945&amp;$B945,{'5) Release_Track'!$F:$F&amp;'5) Release_Track'!$G:$G,'5) Release_Track'!$J:$J},2,0), or(and(not(isblank($B945)),$B945=$B944,$A945&lt;&gt;$A944),and(not(isblank($A945)),$A945=$A944,$B945&lt;&gt;$B944)),"ID LISTS UNALIGNED",and($A945&lt;&gt;"",countif('5) Release_Track'!$F:$F,$A945)=0),"NO ISRC MATCH in Release_Track",and($B945&lt;&gt;"",countif('5) Release_Track'!$G:$G,$B945)=0),"NO CATALOG ID MATCH in Release_Track",iserror(vlookup($A945&amp;$B945,'5) Release_Track'!$F:$F&amp;'5) Release_Track'!$G:$G,1,0)),"NO ISRC-CATALOG ID pair MATCH in Release_Track" )</f>
        <v/>
      </c>
      <c r="F945" s="122"/>
      <c r="G945" s="99"/>
      <c r="H945" s="178"/>
      <c r="I945" s="121" t="str">
        <f t="shared" si="6"/>
        <v/>
      </c>
      <c r="J945" s="99"/>
      <c r="K945" s="99"/>
    </row>
    <row r="946">
      <c r="B946" s="103"/>
      <c r="C946" s="121" t="str">
        <f t="array" ref="C946">ifs(and(isblank($A946),isblank($B946)),"", not(iserror(vlookup($A946&amp;$B946,'5) Release_Track'!$F:$F&amp;'5) Release_Track'!$G:$G,1,0))),vlookup($A946&amp;$B946,{'5) Release_Track'!$F:$F&amp;'5) Release_Track'!$G:$G,'5) Release_Track'!$H:$H},2,0), or(and(not(isblank($B946)),$B946=$B945,$A946&lt;&gt;$A945),and(not(isblank($A946)),$A946=$A945,$B946&lt;&gt;$B945)),"ID LISTS UNALIGNED",and($A946&lt;&gt;"",countif('5) Release_Track'!$F:$F,$A946)=0),"NO ISRC MATCH in Release_Track",and($B946&lt;&gt;"",countif('5) Release_Track'!$G:$G,$B946)=0),"NO CATALOG ID MATCH in Release_Track",iserror(vlookup($A946&amp;$B946,'5) Release_Track'!$F:$F&amp;'5) Release_Track'!$G:$G,1,0)),"NO ISRC-CATALOG ID pair MATCH in Release_Track" )</f>
        <v/>
      </c>
      <c r="D946" s="121" t="str">
        <f t="array" ref="D946">ifs(and(isblank($A946),isblank($B946)),"", not(iserror(vlookup($A946&amp;$B946,'5) Release_Track'!$F:$F&amp;'5) Release_Track'!$G:$G,1,0))),vlookup($A946&amp;$B946,{'5) Release_Track'!$F:$F&amp;'5) Release_Track'!$G:$G,'5) Release_Track'!$I:$I},2,0), or(and(not(isblank($B946)),$B946=$B945,$A946&lt;&gt;$A945),and(not(isblank($A946)),$A946=$A945,$B946&lt;&gt;$B945)),"ID LISTS UNALIGNED",and($A946&lt;&gt;"",countif('5) Release_Track'!$F:$F,$A946)=0),"NO ISRC MATCH in Release_Track",and($B946&lt;&gt;"",countif('5) Release_Track'!$G:$G,$B946)=0),"NO CATALOG ID MATCH in Release_Track",iserror(vlookup($A946&amp;$B946,'5) Release_Track'!$F:$F&amp;'5) Release_Track'!$G:$G,1,0)),"NO ISRC-CATALOG ID pair MATCH in Release_Track" )</f>
        <v/>
      </c>
      <c r="E946" s="125" t="str">
        <f t="array" ref="E946">ifs(and(isblank($A946),isblank($B946)),"", not(iserror(vlookup($A946&amp;$B946,'5) Release_Track'!$F:$F&amp;'5) Release_Track'!$G:$G,1,0))),vlookup($A946&amp;$B946,{'5) Release_Track'!$F:$F&amp;'5) Release_Track'!$G:$G,'5) Release_Track'!$J:$J},2,0), or(and(not(isblank($B946)),$B946=$B945,$A946&lt;&gt;$A945),and(not(isblank($A946)),$A946=$A945,$B946&lt;&gt;$B945)),"ID LISTS UNALIGNED",and($A946&lt;&gt;"",countif('5) Release_Track'!$F:$F,$A946)=0),"NO ISRC MATCH in Release_Track",and($B946&lt;&gt;"",countif('5) Release_Track'!$G:$G,$B946)=0),"NO CATALOG ID MATCH in Release_Track",iserror(vlookup($A946&amp;$B946,'5) Release_Track'!$F:$F&amp;'5) Release_Track'!$G:$G,1,0)),"NO ISRC-CATALOG ID pair MATCH in Release_Track" )</f>
        <v/>
      </c>
      <c r="F946" s="122"/>
      <c r="G946" s="99"/>
      <c r="H946" s="178"/>
      <c r="I946" s="121" t="str">
        <f t="shared" si="6"/>
        <v/>
      </c>
      <c r="J946" s="99"/>
      <c r="K946" s="99"/>
    </row>
    <row r="947">
      <c r="B947" s="103"/>
      <c r="C947" s="121" t="str">
        <f t="array" ref="C947">ifs(and(isblank($A947),isblank($B947)),"", not(iserror(vlookup($A947&amp;$B947,'5) Release_Track'!$F:$F&amp;'5) Release_Track'!$G:$G,1,0))),vlookup($A947&amp;$B947,{'5) Release_Track'!$F:$F&amp;'5) Release_Track'!$G:$G,'5) Release_Track'!$H:$H},2,0), or(and(not(isblank($B947)),$B947=$B946,$A947&lt;&gt;$A946),and(not(isblank($A947)),$A947=$A946,$B947&lt;&gt;$B946)),"ID LISTS UNALIGNED",and($A947&lt;&gt;"",countif('5) Release_Track'!$F:$F,$A947)=0),"NO ISRC MATCH in Release_Track",and($B947&lt;&gt;"",countif('5) Release_Track'!$G:$G,$B947)=0),"NO CATALOG ID MATCH in Release_Track",iserror(vlookup($A947&amp;$B947,'5) Release_Track'!$F:$F&amp;'5) Release_Track'!$G:$G,1,0)),"NO ISRC-CATALOG ID pair MATCH in Release_Track" )</f>
        <v/>
      </c>
      <c r="D947" s="121" t="str">
        <f t="array" ref="D947">ifs(and(isblank($A947),isblank($B947)),"", not(iserror(vlookup($A947&amp;$B947,'5) Release_Track'!$F:$F&amp;'5) Release_Track'!$G:$G,1,0))),vlookup($A947&amp;$B947,{'5) Release_Track'!$F:$F&amp;'5) Release_Track'!$G:$G,'5) Release_Track'!$I:$I},2,0), or(and(not(isblank($B947)),$B947=$B946,$A947&lt;&gt;$A946),and(not(isblank($A947)),$A947=$A946,$B947&lt;&gt;$B946)),"ID LISTS UNALIGNED",and($A947&lt;&gt;"",countif('5) Release_Track'!$F:$F,$A947)=0),"NO ISRC MATCH in Release_Track",and($B947&lt;&gt;"",countif('5) Release_Track'!$G:$G,$B947)=0),"NO CATALOG ID MATCH in Release_Track",iserror(vlookup($A947&amp;$B947,'5) Release_Track'!$F:$F&amp;'5) Release_Track'!$G:$G,1,0)),"NO ISRC-CATALOG ID pair MATCH in Release_Track" )</f>
        <v/>
      </c>
      <c r="E947" s="125" t="str">
        <f t="array" ref="E947">ifs(and(isblank($A947),isblank($B947)),"", not(iserror(vlookup($A947&amp;$B947,'5) Release_Track'!$F:$F&amp;'5) Release_Track'!$G:$G,1,0))),vlookup($A947&amp;$B947,{'5) Release_Track'!$F:$F&amp;'5) Release_Track'!$G:$G,'5) Release_Track'!$J:$J},2,0), or(and(not(isblank($B947)),$B947=$B946,$A947&lt;&gt;$A946),and(not(isblank($A947)),$A947=$A946,$B947&lt;&gt;$B946)),"ID LISTS UNALIGNED",and($A947&lt;&gt;"",countif('5) Release_Track'!$F:$F,$A947)=0),"NO ISRC MATCH in Release_Track",and($B947&lt;&gt;"",countif('5) Release_Track'!$G:$G,$B947)=0),"NO CATALOG ID MATCH in Release_Track",iserror(vlookup($A947&amp;$B947,'5) Release_Track'!$F:$F&amp;'5) Release_Track'!$G:$G,1,0)),"NO ISRC-CATALOG ID pair MATCH in Release_Track" )</f>
        <v/>
      </c>
      <c r="F947" s="122"/>
      <c r="G947" s="99"/>
      <c r="H947" s="178"/>
      <c r="I947" s="121" t="str">
        <f t="shared" si="6"/>
        <v/>
      </c>
      <c r="J947" s="99"/>
      <c r="K947" s="99"/>
    </row>
    <row r="948">
      <c r="B948" s="103"/>
      <c r="C948" s="121" t="str">
        <f t="array" ref="C948">ifs(and(isblank($A948),isblank($B948)),"", not(iserror(vlookup($A948&amp;$B948,'5) Release_Track'!$F:$F&amp;'5) Release_Track'!$G:$G,1,0))),vlookup($A948&amp;$B948,{'5) Release_Track'!$F:$F&amp;'5) Release_Track'!$G:$G,'5) Release_Track'!$H:$H},2,0), or(and(not(isblank($B948)),$B948=$B947,$A948&lt;&gt;$A947),and(not(isblank($A948)),$A948=$A947,$B948&lt;&gt;$B947)),"ID LISTS UNALIGNED",and($A948&lt;&gt;"",countif('5) Release_Track'!$F:$F,$A948)=0),"NO ISRC MATCH in Release_Track",and($B948&lt;&gt;"",countif('5) Release_Track'!$G:$G,$B948)=0),"NO CATALOG ID MATCH in Release_Track",iserror(vlookup($A948&amp;$B948,'5) Release_Track'!$F:$F&amp;'5) Release_Track'!$G:$G,1,0)),"NO ISRC-CATALOG ID pair MATCH in Release_Track" )</f>
        <v/>
      </c>
      <c r="D948" s="121" t="str">
        <f t="array" ref="D948">ifs(and(isblank($A948),isblank($B948)),"", not(iserror(vlookup($A948&amp;$B948,'5) Release_Track'!$F:$F&amp;'5) Release_Track'!$G:$G,1,0))),vlookup($A948&amp;$B948,{'5) Release_Track'!$F:$F&amp;'5) Release_Track'!$G:$G,'5) Release_Track'!$I:$I},2,0), or(and(not(isblank($B948)),$B948=$B947,$A948&lt;&gt;$A947),and(not(isblank($A948)),$A948=$A947,$B948&lt;&gt;$B947)),"ID LISTS UNALIGNED",and($A948&lt;&gt;"",countif('5) Release_Track'!$F:$F,$A948)=0),"NO ISRC MATCH in Release_Track",and($B948&lt;&gt;"",countif('5) Release_Track'!$G:$G,$B948)=0),"NO CATALOG ID MATCH in Release_Track",iserror(vlookup($A948&amp;$B948,'5) Release_Track'!$F:$F&amp;'5) Release_Track'!$G:$G,1,0)),"NO ISRC-CATALOG ID pair MATCH in Release_Track" )</f>
        <v/>
      </c>
      <c r="E948" s="125" t="str">
        <f t="array" ref="E948">ifs(and(isblank($A948),isblank($B948)),"", not(iserror(vlookup($A948&amp;$B948,'5) Release_Track'!$F:$F&amp;'5) Release_Track'!$G:$G,1,0))),vlookup($A948&amp;$B948,{'5) Release_Track'!$F:$F&amp;'5) Release_Track'!$G:$G,'5) Release_Track'!$J:$J},2,0), or(and(not(isblank($B948)),$B948=$B947,$A948&lt;&gt;$A947),and(not(isblank($A948)),$A948=$A947,$B948&lt;&gt;$B947)),"ID LISTS UNALIGNED",and($A948&lt;&gt;"",countif('5) Release_Track'!$F:$F,$A948)=0),"NO ISRC MATCH in Release_Track",and($B948&lt;&gt;"",countif('5) Release_Track'!$G:$G,$B948)=0),"NO CATALOG ID MATCH in Release_Track",iserror(vlookup($A948&amp;$B948,'5) Release_Track'!$F:$F&amp;'5) Release_Track'!$G:$G,1,0)),"NO ISRC-CATALOG ID pair MATCH in Release_Track" )</f>
        <v/>
      </c>
      <c r="F948" s="122"/>
      <c r="G948" s="99"/>
      <c r="H948" s="178"/>
      <c r="I948" s="121" t="str">
        <f t="shared" si="6"/>
        <v/>
      </c>
      <c r="J948" s="99"/>
      <c r="K948" s="99"/>
    </row>
    <row r="949">
      <c r="B949" s="103"/>
      <c r="C949" s="121" t="str">
        <f t="array" ref="C949">ifs(and(isblank($A949),isblank($B949)),"", not(iserror(vlookup($A949&amp;$B949,'5) Release_Track'!$F:$F&amp;'5) Release_Track'!$G:$G,1,0))),vlookup($A949&amp;$B949,{'5) Release_Track'!$F:$F&amp;'5) Release_Track'!$G:$G,'5) Release_Track'!$H:$H},2,0), or(and(not(isblank($B949)),$B949=$B948,$A949&lt;&gt;$A948),and(not(isblank($A949)),$A949=$A948,$B949&lt;&gt;$B948)),"ID LISTS UNALIGNED",and($A949&lt;&gt;"",countif('5) Release_Track'!$F:$F,$A949)=0),"NO ISRC MATCH in Release_Track",and($B949&lt;&gt;"",countif('5) Release_Track'!$G:$G,$B949)=0),"NO CATALOG ID MATCH in Release_Track",iserror(vlookup($A949&amp;$B949,'5) Release_Track'!$F:$F&amp;'5) Release_Track'!$G:$G,1,0)),"NO ISRC-CATALOG ID pair MATCH in Release_Track" )</f>
        <v/>
      </c>
      <c r="D949" s="121" t="str">
        <f t="array" ref="D949">ifs(and(isblank($A949),isblank($B949)),"", not(iserror(vlookup($A949&amp;$B949,'5) Release_Track'!$F:$F&amp;'5) Release_Track'!$G:$G,1,0))),vlookup($A949&amp;$B949,{'5) Release_Track'!$F:$F&amp;'5) Release_Track'!$G:$G,'5) Release_Track'!$I:$I},2,0), or(and(not(isblank($B949)),$B949=$B948,$A949&lt;&gt;$A948),and(not(isblank($A949)),$A949=$A948,$B949&lt;&gt;$B948)),"ID LISTS UNALIGNED",and($A949&lt;&gt;"",countif('5) Release_Track'!$F:$F,$A949)=0),"NO ISRC MATCH in Release_Track",and($B949&lt;&gt;"",countif('5) Release_Track'!$G:$G,$B949)=0),"NO CATALOG ID MATCH in Release_Track",iserror(vlookup($A949&amp;$B949,'5) Release_Track'!$F:$F&amp;'5) Release_Track'!$G:$G,1,0)),"NO ISRC-CATALOG ID pair MATCH in Release_Track" )</f>
        <v/>
      </c>
      <c r="E949" s="125" t="str">
        <f t="array" ref="E949">ifs(and(isblank($A949),isblank($B949)),"", not(iserror(vlookup($A949&amp;$B949,'5) Release_Track'!$F:$F&amp;'5) Release_Track'!$G:$G,1,0))),vlookup($A949&amp;$B949,{'5) Release_Track'!$F:$F&amp;'5) Release_Track'!$G:$G,'5) Release_Track'!$J:$J},2,0), or(and(not(isblank($B949)),$B949=$B948,$A949&lt;&gt;$A948),and(not(isblank($A949)),$A949=$A948,$B949&lt;&gt;$B948)),"ID LISTS UNALIGNED",and($A949&lt;&gt;"",countif('5) Release_Track'!$F:$F,$A949)=0),"NO ISRC MATCH in Release_Track",and($B949&lt;&gt;"",countif('5) Release_Track'!$G:$G,$B949)=0),"NO CATALOG ID MATCH in Release_Track",iserror(vlookup($A949&amp;$B949,'5) Release_Track'!$F:$F&amp;'5) Release_Track'!$G:$G,1,0)),"NO ISRC-CATALOG ID pair MATCH in Release_Track" )</f>
        <v/>
      </c>
      <c r="F949" s="122"/>
      <c r="G949" s="99"/>
      <c r="H949" s="178"/>
      <c r="I949" s="121" t="str">
        <f t="shared" si="6"/>
        <v/>
      </c>
      <c r="J949" s="99"/>
      <c r="K949" s="99"/>
    </row>
    <row r="950">
      <c r="B950" s="103"/>
      <c r="C950" s="121" t="str">
        <f t="array" ref="C950">ifs(and(isblank($A950),isblank($B950)),"", not(iserror(vlookup($A950&amp;$B950,'5) Release_Track'!$F:$F&amp;'5) Release_Track'!$G:$G,1,0))),vlookup($A950&amp;$B950,{'5) Release_Track'!$F:$F&amp;'5) Release_Track'!$G:$G,'5) Release_Track'!$H:$H},2,0), or(and(not(isblank($B950)),$B950=$B949,$A950&lt;&gt;$A949),and(not(isblank($A950)),$A950=$A949,$B950&lt;&gt;$B949)),"ID LISTS UNALIGNED",and($A950&lt;&gt;"",countif('5) Release_Track'!$F:$F,$A950)=0),"NO ISRC MATCH in Release_Track",and($B950&lt;&gt;"",countif('5) Release_Track'!$G:$G,$B950)=0),"NO CATALOG ID MATCH in Release_Track",iserror(vlookup($A950&amp;$B950,'5) Release_Track'!$F:$F&amp;'5) Release_Track'!$G:$G,1,0)),"NO ISRC-CATALOG ID pair MATCH in Release_Track" )</f>
        <v/>
      </c>
      <c r="D950" s="121" t="str">
        <f t="array" ref="D950">ifs(and(isblank($A950),isblank($B950)),"", not(iserror(vlookup($A950&amp;$B950,'5) Release_Track'!$F:$F&amp;'5) Release_Track'!$G:$G,1,0))),vlookup($A950&amp;$B950,{'5) Release_Track'!$F:$F&amp;'5) Release_Track'!$G:$G,'5) Release_Track'!$I:$I},2,0), or(and(not(isblank($B950)),$B950=$B949,$A950&lt;&gt;$A949),and(not(isblank($A950)),$A950=$A949,$B950&lt;&gt;$B949)),"ID LISTS UNALIGNED",and($A950&lt;&gt;"",countif('5) Release_Track'!$F:$F,$A950)=0),"NO ISRC MATCH in Release_Track",and($B950&lt;&gt;"",countif('5) Release_Track'!$G:$G,$B950)=0),"NO CATALOG ID MATCH in Release_Track",iserror(vlookup($A950&amp;$B950,'5) Release_Track'!$F:$F&amp;'5) Release_Track'!$G:$G,1,0)),"NO ISRC-CATALOG ID pair MATCH in Release_Track" )</f>
        <v/>
      </c>
      <c r="E950" s="125" t="str">
        <f t="array" ref="E950">ifs(and(isblank($A950),isblank($B950)),"", not(iserror(vlookup($A950&amp;$B950,'5) Release_Track'!$F:$F&amp;'5) Release_Track'!$G:$G,1,0))),vlookup($A950&amp;$B950,{'5) Release_Track'!$F:$F&amp;'5) Release_Track'!$G:$G,'5) Release_Track'!$J:$J},2,0), or(and(not(isblank($B950)),$B950=$B949,$A950&lt;&gt;$A949),and(not(isblank($A950)),$A950=$A949,$B950&lt;&gt;$B949)),"ID LISTS UNALIGNED",and($A950&lt;&gt;"",countif('5) Release_Track'!$F:$F,$A950)=0),"NO ISRC MATCH in Release_Track",and($B950&lt;&gt;"",countif('5) Release_Track'!$G:$G,$B950)=0),"NO CATALOG ID MATCH in Release_Track",iserror(vlookup($A950&amp;$B950,'5) Release_Track'!$F:$F&amp;'5) Release_Track'!$G:$G,1,0)),"NO ISRC-CATALOG ID pair MATCH in Release_Track" )</f>
        <v/>
      </c>
      <c r="F950" s="122"/>
      <c r="G950" s="99"/>
      <c r="H950" s="178"/>
      <c r="I950" s="121" t="str">
        <f t="shared" si="6"/>
        <v/>
      </c>
      <c r="J950" s="99"/>
      <c r="K950" s="99"/>
    </row>
    <row r="951">
      <c r="B951" s="103"/>
      <c r="C951" s="121" t="str">
        <f t="array" ref="C951">ifs(and(isblank($A951),isblank($B951)),"", not(iserror(vlookup($A951&amp;$B951,'5) Release_Track'!$F:$F&amp;'5) Release_Track'!$G:$G,1,0))),vlookup($A951&amp;$B951,{'5) Release_Track'!$F:$F&amp;'5) Release_Track'!$G:$G,'5) Release_Track'!$H:$H},2,0), or(and(not(isblank($B951)),$B951=$B950,$A951&lt;&gt;$A950),and(not(isblank($A951)),$A951=$A950,$B951&lt;&gt;$B950)),"ID LISTS UNALIGNED",and($A951&lt;&gt;"",countif('5) Release_Track'!$F:$F,$A951)=0),"NO ISRC MATCH in Release_Track",and($B951&lt;&gt;"",countif('5) Release_Track'!$G:$G,$B951)=0),"NO CATALOG ID MATCH in Release_Track",iserror(vlookup($A951&amp;$B951,'5) Release_Track'!$F:$F&amp;'5) Release_Track'!$G:$G,1,0)),"NO ISRC-CATALOG ID pair MATCH in Release_Track" )</f>
        <v/>
      </c>
      <c r="D951" s="121" t="str">
        <f t="array" ref="D951">ifs(and(isblank($A951),isblank($B951)),"", not(iserror(vlookup($A951&amp;$B951,'5) Release_Track'!$F:$F&amp;'5) Release_Track'!$G:$G,1,0))),vlookup($A951&amp;$B951,{'5) Release_Track'!$F:$F&amp;'5) Release_Track'!$G:$G,'5) Release_Track'!$I:$I},2,0), or(and(not(isblank($B951)),$B951=$B950,$A951&lt;&gt;$A950),and(not(isblank($A951)),$A951=$A950,$B951&lt;&gt;$B950)),"ID LISTS UNALIGNED",and($A951&lt;&gt;"",countif('5) Release_Track'!$F:$F,$A951)=0),"NO ISRC MATCH in Release_Track",and($B951&lt;&gt;"",countif('5) Release_Track'!$G:$G,$B951)=0),"NO CATALOG ID MATCH in Release_Track",iserror(vlookup($A951&amp;$B951,'5) Release_Track'!$F:$F&amp;'5) Release_Track'!$G:$G,1,0)),"NO ISRC-CATALOG ID pair MATCH in Release_Track" )</f>
        <v/>
      </c>
      <c r="E951" s="125" t="str">
        <f t="array" ref="E951">ifs(and(isblank($A951),isblank($B951)),"", not(iserror(vlookup($A951&amp;$B951,'5) Release_Track'!$F:$F&amp;'5) Release_Track'!$G:$G,1,0))),vlookup($A951&amp;$B951,{'5) Release_Track'!$F:$F&amp;'5) Release_Track'!$G:$G,'5) Release_Track'!$J:$J},2,0), or(and(not(isblank($B951)),$B951=$B950,$A951&lt;&gt;$A950),and(not(isblank($A951)),$A951=$A950,$B951&lt;&gt;$B950)),"ID LISTS UNALIGNED",and($A951&lt;&gt;"",countif('5) Release_Track'!$F:$F,$A951)=0),"NO ISRC MATCH in Release_Track",and($B951&lt;&gt;"",countif('5) Release_Track'!$G:$G,$B951)=0),"NO CATALOG ID MATCH in Release_Track",iserror(vlookup($A951&amp;$B951,'5) Release_Track'!$F:$F&amp;'5) Release_Track'!$G:$G,1,0)),"NO ISRC-CATALOG ID pair MATCH in Release_Track" )</f>
        <v/>
      </c>
      <c r="F951" s="122"/>
      <c r="G951" s="99"/>
      <c r="H951" s="178"/>
      <c r="I951" s="121" t="str">
        <f t="shared" si="6"/>
        <v/>
      </c>
      <c r="J951" s="99"/>
      <c r="K951" s="99"/>
    </row>
    <row r="952">
      <c r="B952" s="103"/>
      <c r="C952" s="121" t="str">
        <f t="array" ref="C952">ifs(and(isblank($A952),isblank($B952)),"", not(iserror(vlookup($A952&amp;$B952,'5) Release_Track'!$F:$F&amp;'5) Release_Track'!$G:$G,1,0))),vlookup($A952&amp;$B952,{'5) Release_Track'!$F:$F&amp;'5) Release_Track'!$G:$G,'5) Release_Track'!$H:$H},2,0), or(and(not(isblank($B952)),$B952=$B951,$A952&lt;&gt;$A951),and(not(isblank($A952)),$A952=$A951,$B952&lt;&gt;$B951)),"ID LISTS UNALIGNED",and($A952&lt;&gt;"",countif('5) Release_Track'!$F:$F,$A952)=0),"NO ISRC MATCH in Release_Track",and($B952&lt;&gt;"",countif('5) Release_Track'!$G:$G,$B952)=0),"NO CATALOG ID MATCH in Release_Track",iserror(vlookup($A952&amp;$B952,'5) Release_Track'!$F:$F&amp;'5) Release_Track'!$G:$G,1,0)),"NO ISRC-CATALOG ID pair MATCH in Release_Track" )</f>
        <v/>
      </c>
      <c r="D952" s="121" t="str">
        <f t="array" ref="D952">ifs(and(isblank($A952),isblank($B952)),"", not(iserror(vlookup($A952&amp;$B952,'5) Release_Track'!$F:$F&amp;'5) Release_Track'!$G:$G,1,0))),vlookup($A952&amp;$B952,{'5) Release_Track'!$F:$F&amp;'5) Release_Track'!$G:$G,'5) Release_Track'!$I:$I},2,0), or(and(not(isblank($B952)),$B952=$B951,$A952&lt;&gt;$A951),and(not(isblank($A952)),$A952=$A951,$B952&lt;&gt;$B951)),"ID LISTS UNALIGNED",and($A952&lt;&gt;"",countif('5) Release_Track'!$F:$F,$A952)=0),"NO ISRC MATCH in Release_Track",and($B952&lt;&gt;"",countif('5) Release_Track'!$G:$G,$B952)=0),"NO CATALOG ID MATCH in Release_Track",iserror(vlookup($A952&amp;$B952,'5) Release_Track'!$F:$F&amp;'5) Release_Track'!$G:$G,1,0)),"NO ISRC-CATALOG ID pair MATCH in Release_Track" )</f>
        <v/>
      </c>
      <c r="E952" s="125" t="str">
        <f t="array" ref="E952">ifs(and(isblank($A952),isblank($B952)),"", not(iserror(vlookup($A952&amp;$B952,'5) Release_Track'!$F:$F&amp;'5) Release_Track'!$G:$G,1,0))),vlookup($A952&amp;$B952,{'5) Release_Track'!$F:$F&amp;'5) Release_Track'!$G:$G,'5) Release_Track'!$J:$J},2,0), or(and(not(isblank($B952)),$B952=$B951,$A952&lt;&gt;$A951),and(not(isblank($A952)),$A952=$A951,$B952&lt;&gt;$B951)),"ID LISTS UNALIGNED",and($A952&lt;&gt;"",countif('5) Release_Track'!$F:$F,$A952)=0),"NO ISRC MATCH in Release_Track",and($B952&lt;&gt;"",countif('5) Release_Track'!$G:$G,$B952)=0),"NO CATALOG ID MATCH in Release_Track",iserror(vlookup($A952&amp;$B952,'5) Release_Track'!$F:$F&amp;'5) Release_Track'!$G:$G,1,0)),"NO ISRC-CATALOG ID pair MATCH in Release_Track" )</f>
        <v/>
      </c>
      <c r="F952" s="122"/>
      <c r="G952" s="99"/>
      <c r="H952" s="178"/>
      <c r="I952" s="121" t="str">
        <f t="shared" si="6"/>
        <v/>
      </c>
      <c r="J952" s="99"/>
      <c r="K952" s="99"/>
    </row>
    <row r="953">
      <c r="B953" s="103"/>
      <c r="C953" s="121" t="str">
        <f t="array" ref="C953">ifs(and(isblank($A953),isblank($B953)),"", not(iserror(vlookup($A953&amp;$B953,'5) Release_Track'!$F:$F&amp;'5) Release_Track'!$G:$G,1,0))),vlookup($A953&amp;$B953,{'5) Release_Track'!$F:$F&amp;'5) Release_Track'!$G:$G,'5) Release_Track'!$H:$H},2,0), or(and(not(isblank($B953)),$B953=$B952,$A953&lt;&gt;$A952),and(not(isblank($A953)),$A953=$A952,$B953&lt;&gt;$B952)),"ID LISTS UNALIGNED",and($A953&lt;&gt;"",countif('5) Release_Track'!$F:$F,$A953)=0),"NO ISRC MATCH in Release_Track",and($B953&lt;&gt;"",countif('5) Release_Track'!$G:$G,$B953)=0),"NO CATALOG ID MATCH in Release_Track",iserror(vlookup($A953&amp;$B953,'5) Release_Track'!$F:$F&amp;'5) Release_Track'!$G:$G,1,0)),"NO ISRC-CATALOG ID pair MATCH in Release_Track" )</f>
        <v/>
      </c>
      <c r="D953" s="121" t="str">
        <f t="array" ref="D953">ifs(and(isblank($A953),isblank($B953)),"", not(iserror(vlookup($A953&amp;$B953,'5) Release_Track'!$F:$F&amp;'5) Release_Track'!$G:$G,1,0))),vlookup($A953&amp;$B953,{'5) Release_Track'!$F:$F&amp;'5) Release_Track'!$G:$G,'5) Release_Track'!$I:$I},2,0), or(and(not(isblank($B953)),$B953=$B952,$A953&lt;&gt;$A952),and(not(isblank($A953)),$A953=$A952,$B953&lt;&gt;$B952)),"ID LISTS UNALIGNED",and($A953&lt;&gt;"",countif('5) Release_Track'!$F:$F,$A953)=0),"NO ISRC MATCH in Release_Track",and($B953&lt;&gt;"",countif('5) Release_Track'!$G:$G,$B953)=0),"NO CATALOG ID MATCH in Release_Track",iserror(vlookup($A953&amp;$B953,'5) Release_Track'!$F:$F&amp;'5) Release_Track'!$G:$G,1,0)),"NO ISRC-CATALOG ID pair MATCH in Release_Track" )</f>
        <v/>
      </c>
      <c r="E953" s="125" t="str">
        <f t="array" ref="E953">ifs(and(isblank($A953),isblank($B953)),"", not(iserror(vlookup($A953&amp;$B953,'5) Release_Track'!$F:$F&amp;'5) Release_Track'!$G:$G,1,0))),vlookup($A953&amp;$B953,{'5) Release_Track'!$F:$F&amp;'5) Release_Track'!$G:$G,'5) Release_Track'!$J:$J},2,0), or(and(not(isblank($B953)),$B953=$B952,$A953&lt;&gt;$A952),and(not(isblank($A953)),$A953=$A952,$B953&lt;&gt;$B952)),"ID LISTS UNALIGNED",and($A953&lt;&gt;"",countif('5) Release_Track'!$F:$F,$A953)=0),"NO ISRC MATCH in Release_Track",and($B953&lt;&gt;"",countif('5) Release_Track'!$G:$G,$B953)=0),"NO CATALOG ID MATCH in Release_Track",iserror(vlookup($A953&amp;$B953,'5) Release_Track'!$F:$F&amp;'5) Release_Track'!$G:$G,1,0)),"NO ISRC-CATALOG ID pair MATCH in Release_Track" )</f>
        <v/>
      </c>
      <c r="F953" s="122"/>
      <c r="G953" s="99"/>
      <c r="H953" s="178"/>
      <c r="I953" s="121" t="str">
        <f t="shared" si="6"/>
        <v/>
      </c>
      <c r="J953" s="99"/>
      <c r="K953" s="99"/>
    </row>
    <row r="954">
      <c r="B954" s="103"/>
      <c r="C954" s="121" t="str">
        <f t="array" ref="C954">ifs(and(isblank($A954),isblank($B954)),"", not(iserror(vlookup($A954&amp;$B954,'5) Release_Track'!$F:$F&amp;'5) Release_Track'!$G:$G,1,0))),vlookup($A954&amp;$B954,{'5) Release_Track'!$F:$F&amp;'5) Release_Track'!$G:$G,'5) Release_Track'!$H:$H},2,0), or(and(not(isblank($B954)),$B954=$B953,$A954&lt;&gt;$A953),and(not(isblank($A954)),$A954=$A953,$B954&lt;&gt;$B953)),"ID LISTS UNALIGNED",and($A954&lt;&gt;"",countif('5) Release_Track'!$F:$F,$A954)=0),"NO ISRC MATCH in Release_Track",and($B954&lt;&gt;"",countif('5) Release_Track'!$G:$G,$B954)=0),"NO CATALOG ID MATCH in Release_Track",iserror(vlookup($A954&amp;$B954,'5) Release_Track'!$F:$F&amp;'5) Release_Track'!$G:$G,1,0)),"NO ISRC-CATALOG ID pair MATCH in Release_Track" )</f>
        <v/>
      </c>
      <c r="D954" s="121" t="str">
        <f t="array" ref="D954">ifs(and(isblank($A954),isblank($B954)),"", not(iserror(vlookup($A954&amp;$B954,'5) Release_Track'!$F:$F&amp;'5) Release_Track'!$G:$G,1,0))),vlookup($A954&amp;$B954,{'5) Release_Track'!$F:$F&amp;'5) Release_Track'!$G:$G,'5) Release_Track'!$I:$I},2,0), or(and(not(isblank($B954)),$B954=$B953,$A954&lt;&gt;$A953),and(not(isblank($A954)),$A954=$A953,$B954&lt;&gt;$B953)),"ID LISTS UNALIGNED",and($A954&lt;&gt;"",countif('5) Release_Track'!$F:$F,$A954)=0),"NO ISRC MATCH in Release_Track",and($B954&lt;&gt;"",countif('5) Release_Track'!$G:$G,$B954)=0),"NO CATALOG ID MATCH in Release_Track",iserror(vlookup($A954&amp;$B954,'5) Release_Track'!$F:$F&amp;'5) Release_Track'!$G:$G,1,0)),"NO ISRC-CATALOG ID pair MATCH in Release_Track" )</f>
        <v/>
      </c>
      <c r="E954" s="125" t="str">
        <f t="array" ref="E954">ifs(and(isblank($A954),isblank($B954)),"", not(iserror(vlookup($A954&amp;$B954,'5) Release_Track'!$F:$F&amp;'5) Release_Track'!$G:$G,1,0))),vlookup($A954&amp;$B954,{'5) Release_Track'!$F:$F&amp;'5) Release_Track'!$G:$G,'5) Release_Track'!$J:$J},2,0), or(and(not(isblank($B954)),$B954=$B953,$A954&lt;&gt;$A953),and(not(isblank($A954)),$A954=$A953,$B954&lt;&gt;$B953)),"ID LISTS UNALIGNED",and($A954&lt;&gt;"",countif('5) Release_Track'!$F:$F,$A954)=0),"NO ISRC MATCH in Release_Track",and($B954&lt;&gt;"",countif('5) Release_Track'!$G:$G,$B954)=0),"NO CATALOG ID MATCH in Release_Track",iserror(vlookup($A954&amp;$B954,'5) Release_Track'!$F:$F&amp;'5) Release_Track'!$G:$G,1,0)),"NO ISRC-CATALOG ID pair MATCH in Release_Track" )</f>
        <v/>
      </c>
      <c r="F954" s="122"/>
      <c r="G954" s="99"/>
      <c r="H954" s="178"/>
      <c r="I954" s="121" t="str">
        <f t="shared" si="6"/>
        <v/>
      </c>
      <c r="J954" s="99"/>
      <c r="K954" s="99"/>
    </row>
    <row r="955">
      <c r="B955" s="103"/>
      <c r="C955" s="121" t="str">
        <f t="array" ref="C955">ifs(and(isblank($A955),isblank($B955)),"", not(iserror(vlookup($A955&amp;$B955,'5) Release_Track'!$F:$F&amp;'5) Release_Track'!$G:$G,1,0))),vlookup($A955&amp;$B955,{'5) Release_Track'!$F:$F&amp;'5) Release_Track'!$G:$G,'5) Release_Track'!$H:$H},2,0), or(and(not(isblank($B955)),$B955=$B954,$A955&lt;&gt;$A954),and(not(isblank($A955)),$A955=$A954,$B955&lt;&gt;$B954)),"ID LISTS UNALIGNED",and($A955&lt;&gt;"",countif('5) Release_Track'!$F:$F,$A955)=0),"NO ISRC MATCH in Release_Track",and($B955&lt;&gt;"",countif('5) Release_Track'!$G:$G,$B955)=0),"NO CATALOG ID MATCH in Release_Track",iserror(vlookup($A955&amp;$B955,'5) Release_Track'!$F:$F&amp;'5) Release_Track'!$G:$G,1,0)),"NO ISRC-CATALOG ID pair MATCH in Release_Track" )</f>
        <v/>
      </c>
      <c r="D955" s="121" t="str">
        <f t="array" ref="D955">ifs(and(isblank($A955),isblank($B955)),"", not(iserror(vlookup($A955&amp;$B955,'5) Release_Track'!$F:$F&amp;'5) Release_Track'!$G:$G,1,0))),vlookup($A955&amp;$B955,{'5) Release_Track'!$F:$F&amp;'5) Release_Track'!$G:$G,'5) Release_Track'!$I:$I},2,0), or(and(not(isblank($B955)),$B955=$B954,$A955&lt;&gt;$A954),and(not(isblank($A955)),$A955=$A954,$B955&lt;&gt;$B954)),"ID LISTS UNALIGNED",and($A955&lt;&gt;"",countif('5) Release_Track'!$F:$F,$A955)=0),"NO ISRC MATCH in Release_Track",and($B955&lt;&gt;"",countif('5) Release_Track'!$G:$G,$B955)=0),"NO CATALOG ID MATCH in Release_Track",iserror(vlookup($A955&amp;$B955,'5) Release_Track'!$F:$F&amp;'5) Release_Track'!$G:$G,1,0)),"NO ISRC-CATALOG ID pair MATCH in Release_Track" )</f>
        <v/>
      </c>
      <c r="E955" s="125" t="str">
        <f t="array" ref="E955">ifs(and(isblank($A955),isblank($B955)),"", not(iserror(vlookup($A955&amp;$B955,'5) Release_Track'!$F:$F&amp;'5) Release_Track'!$G:$G,1,0))),vlookup($A955&amp;$B955,{'5) Release_Track'!$F:$F&amp;'5) Release_Track'!$G:$G,'5) Release_Track'!$J:$J},2,0), or(and(not(isblank($B955)),$B955=$B954,$A955&lt;&gt;$A954),and(not(isblank($A955)),$A955=$A954,$B955&lt;&gt;$B954)),"ID LISTS UNALIGNED",and($A955&lt;&gt;"",countif('5) Release_Track'!$F:$F,$A955)=0),"NO ISRC MATCH in Release_Track",and($B955&lt;&gt;"",countif('5) Release_Track'!$G:$G,$B955)=0),"NO CATALOG ID MATCH in Release_Track",iserror(vlookup($A955&amp;$B955,'5) Release_Track'!$F:$F&amp;'5) Release_Track'!$G:$G,1,0)),"NO ISRC-CATALOG ID pair MATCH in Release_Track" )</f>
        <v/>
      </c>
      <c r="F955" s="122"/>
      <c r="G955" s="99"/>
      <c r="H955" s="178"/>
      <c r="I955" s="121" t="str">
        <f t="shared" si="6"/>
        <v/>
      </c>
      <c r="J955" s="99"/>
      <c r="K955" s="99"/>
    </row>
    <row r="956">
      <c r="B956" s="103"/>
      <c r="C956" s="121" t="str">
        <f t="array" ref="C956">ifs(and(isblank($A956),isblank($B956)),"", not(iserror(vlookup($A956&amp;$B956,'5) Release_Track'!$F:$F&amp;'5) Release_Track'!$G:$G,1,0))),vlookup($A956&amp;$B956,{'5) Release_Track'!$F:$F&amp;'5) Release_Track'!$G:$G,'5) Release_Track'!$H:$H},2,0), or(and(not(isblank($B956)),$B956=$B955,$A956&lt;&gt;$A955),and(not(isblank($A956)),$A956=$A955,$B956&lt;&gt;$B955)),"ID LISTS UNALIGNED",and($A956&lt;&gt;"",countif('5) Release_Track'!$F:$F,$A956)=0),"NO ISRC MATCH in Release_Track",and($B956&lt;&gt;"",countif('5) Release_Track'!$G:$G,$B956)=0),"NO CATALOG ID MATCH in Release_Track",iserror(vlookup($A956&amp;$B956,'5) Release_Track'!$F:$F&amp;'5) Release_Track'!$G:$G,1,0)),"NO ISRC-CATALOG ID pair MATCH in Release_Track" )</f>
        <v/>
      </c>
      <c r="D956" s="121" t="str">
        <f t="array" ref="D956">ifs(and(isblank($A956),isblank($B956)),"", not(iserror(vlookup($A956&amp;$B956,'5) Release_Track'!$F:$F&amp;'5) Release_Track'!$G:$G,1,0))),vlookup($A956&amp;$B956,{'5) Release_Track'!$F:$F&amp;'5) Release_Track'!$G:$G,'5) Release_Track'!$I:$I},2,0), or(and(not(isblank($B956)),$B956=$B955,$A956&lt;&gt;$A955),and(not(isblank($A956)),$A956=$A955,$B956&lt;&gt;$B955)),"ID LISTS UNALIGNED",and($A956&lt;&gt;"",countif('5) Release_Track'!$F:$F,$A956)=0),"NO ISRC MATCH in Release_Track",and($B956&lt;&gt;"",countif('5) Release_Track'!$G:$G,$B956)=0),"NO CATALOG ID MATCH in Release_Track",iserror(vlookup($A956&amp;$B956,'5) Release_Track'!$F:$F&amp;'5) Release_Track'!$G:$G,1,0)),"NO ISRC-CATALOG ID pair MATCH in Release_Track" )</f>
        <v/>
      </c>
      <c r="E956" s="125" t="str">
        <f t="array" ref="E956">ifs(and(isblank($A956),isblank($B956)),"", not(iserror(vlookup($A956&amp;$B956,'5) Release_Track'!$F:$F&amp;'5) Release_Track'!$G:$G,1,0))),vlookup($A956&amp;$B956,{'5) Release_Track'!$F:$F&amp;'5) Release_Track'!$G:$G,'5) Release_Track'!$J:$J},2,0), or(and(not(isblank($B956)),$B956=$B955,$A956&lt;&gt;$A955),and(not(isblank($A956)),$A956=$A955,$B956&lt;&gt;$B955)),"ID LISTS UNALIGNED",and($A956&lt;&gt;"",countif('5) Release_Track'!$F:$F,$A956)=0),"NO ISRC MATCH in Release_Track",and($B956&lt;&gt;"",countif('5) Release_Track'!$G:$G,$B956)=0),"NO CATALOG ID MATCH in Release_Track",iserror(vlookup($A956&amp;$B956,'5) Release_Track'!$F:$F&amp;'5) Release_Track'!$G:$G,1,0)),"NO ISRC-CATALOG ID pair MATCH in Release_Track" )</f>
        <v/>
      </c>
      <c r="F956" s="122"/>
      <c r="G956" s="99"/>
      <c r="H956" s="178"/>
      <c r="I956" s="121" t="str">
        <f t="shared" si="6"/>
        <v/>
      </c>
      <c r="J956" s="99"/>
      <c r="K956" s="99"/>
    </row>
    <row r="957">
      <c r="B957" s="103"/>
      <c r="C957" s="121" t="str">
        <f t="array" ref="C957">ifs(and(isblank($A957),isblank($B957)),"", not(iserror(vlookup($A957&amp;$B957,'5) Release_Track'!$F:$F&amp;'5) Release_Track'!$G:$G,1,0))),vlookup($A957&amp;$B957,{'5) Release_Track'!$F:$F&amp;'5) Release_Track'!$G:$G,'5) Release_Track'!$H:$H},2,0), or(and(not(isblank($B957)),$B957=$B956,$A957&lt;&gt;$A956),and(not(isblank($A957)),$A957=$A956,$B957&lt;&gt;$B956)),"ID LISTS UNALIGNED",and($A957&lt;&gt;"",countif('5) Release_Track'!$F:$F,$A957)=0),"NO ISRC MATCH in Release_Track",and($B957&lt;&gt;"",countif('5) Release_Track'!$G:$G,$B957)=0),"NO CATALOG ID MATCH in Release_Track",iserror(vlookup($A957&amp;$B957,'5) Release_Track'!$F:$F&amp;'5) Release_Track'!$G:$G,1,0)),"NO ISRC-CATALOG ID pair MATCH in Release_Track" )</f>
        <v/>
      </c>
      <c r="D957" s="121" t="str">
        <f t="array" ref="D957">ifs(and(isblank($A957),isblank($B957)),"", not(iserror(vlookup($A957&amp;$B957,'5) Release_Track'!$F:$F&amp;'5) Release_Track'!$G:$G,1,0))),vlookup($A957&amp;$B957,{'5) Release_Track'!$F:$F&amp;'5) Release_Track'!$G:$G,'5) Release_Track'!$I:$I},2,0), or(and(not(isblank($B957)),$B957=$B956,$A957&lt;&gt;$A956),and(not(isblank($A957)),$A957=$A956,$B957&lt;&gt;$B956)),"ID LISTS UNALIGNED",and($A957&lt;&gt;"",countif('5) Release_Track'!$F:$F,$A957)=0),"NO ISRC MATCH in Release_Track",and($B957&lt;&gt;"",countif('5) Release_Track'!$G:$G,$B957)=0),"NO CATALOG ID MATCH in Release_Track",iserror(vlookup($A957&amp;$B957,'5) Release_Track'!$F:$F&amp;'5) Release_Track'!$G:$G,1,0)),"NO ISRC-CATALOG ID pair MATCH in Release_Track" )</f>
        <v/>
      </c>
      <c r="E957" s="125" t="str">
        <f t="array" ref="E957">ifs(and(isblank($A957),isblank($B957)),"", not(iserror(vlookup($A957&amp;$B957,'5) Release_Track'!$F:$F&amp;'5) Release_Track'!$G:$G,1,0))),vlookup($A957&amp;$B957,{'5) Release_Track'!$F:$F&amp;'5) Release_Track'!$G:$G,'5) Release_Track'!$J:$J},2,0), or(and(not(isblank($B957)),$B957=$B956,$A957&lt;&gt;$A956),and(not(isblank($A957)),$A957=$A956,$B957&lt;&gt;$B956)),"ID LISTS UNALIGNED",and($A957&lt;&gt;"",countif('5) Release_Track'!$F:$F,$A957)=0),"NO ISRC MATCH in Release_Track",and($B957&lt;&gt;"",countif('5) Release_Track'!$G:$G,$B957)=0),"NO CATALOG ID MATCH in Release_Track",iserror(vlookup($A957&amp;$B957,'5) Release_Track'!$F:$F&amp;'5) Release_Track'!$G:$G,1,0)),"NO ISRC-CATALOG ID pair MATCH in Release_Track" )</f>
        <v/>
      </c>
      <c r="F957" s="122"/>
      <c r="G957" s="99"/>
      <c r="H957" s="178"/>
      <c r="I957" s="121" t="str">
        <f t="shared" si="6"/>
        <v/>
      </c>
      <c r="J957" s="99"/>
      <c r="K957" s="99"/>
    </row>
    <row r="958">
      <c r="B958" s="103"/>
      <c r="C958" s="121" t="str">
        <f t="array" ref="C958">ifs(and(isblank($A958),isblank($B958)),"", not(iserror(vlookup($A958&amp;$B958,'5) Release_Track'!$F:$F&amp;'5) Release_Track'!$G:$G,1,0))),vlookup($A958&amp;$B958,{'5) Release_Track'!$F:$F&amp;'5) Release_Track'!$G:$G,'5) Release_Track'!$H:$H},2,0), or(and(not(isblank($B958)),$B958=$B957,$A958&lt;&gt;$A957),and(not(isblank($A958)),$A958=$A957,$B958&lt;&gt;$B957)),"ID LISTS UNALIGNED",and($A958&lt;&gt;"",countif('5) Release_Track'!$F:$F,$A958)=0),"NO ISRC MATCH in Release_Track",and($B958&lt;&gt;"",countif('5) Release_Track'!$G:$G,$B958)=0),"NO CATALOG ID MATCH in Release_Track",iserror(vlookup($A958&amp;$B958,'5) Release_Track'!$F:$F&amp;'5) Release_Track'!$G:$G,1,0)),"NO ISRC-CATALOG ID pair MATCH in Release_Track" )</f>
        <v/>
      </c>
      <c r="D958" s="121" t="str">
        <f t="array" ref="D958">ifs(and(isblank($A958),isblank($B958)),"", not(iserror(vlookup($A958&amp;$B958,'5) Release_Track'!$F:$F&amp;'5) Release_Track'!$G:$G,1,0))),vlookup($A958&amp;$B958,{'5) Release_Track'!$F:$F&amp;'5) Release_Track'!$G:$G,'5) Release_Track'!$I:$I},2,0), or(and(not(isblank($B958)),$B958=$B957,$A958&lt;&gt;$A957),and(not(isblank($A958)),$A958=$A957,$B958&lt;&gt;$B957)),"ID LISTS UNALIGNED",and($A958&lt;&gt;"",countif('5) Release_Track'!$F:$F,$A958)=0),"NO ISRC MATCH in Release_Track",and($B958&lt;&gt;"",countif('5) Release_Track'!$G:$G,$B958)=0),"NO CATALOG ID MATCH in Release_Track",iserror(vlookup($A958&amp;$B958,'5) Release_Track'!$F:$F&amp;'5) Release_Track'!$G:$G,1,0)),"NO ISRC-CATALOG ID pair MATCH in Release_Track" )</f>
        <v/>
      </c>
      <c r="E958" s="125" t="str">
        <f t="array" ref="E958">ifs(and(isblank($A958),isblank($B958)),"", not(iserror(vlookup($A958&amp;$B958,'5) Release_Track'!$F:$F&amp;'5) Release_Track'!$G:$G,1,0))),vlookup($A958&amp;$B958,{'5) Release_Track'!$F:$F&amp;'5) Release_Track'!$G:$G,'5) Release_Track'!$J:$J},2,0), or(and(not(isblank($B958)),$B958=$B957,$A958&lt;&gt;$A957),and(not(isblank($A958)),$A958=$A957,$B958&lt;&gt;$B957)),"ID LISTS UNALIGNED",and($A958&lt;&gt;"",countif('5) Release_Track'!$F:$F,$A958)=0),"NO ISRC MATCH in Release_Track",and($B958&lt;&gt;"",countif('5) Release_Track'!$G:$G,$B958)=0),"NO CATALOG ID MATCH in Release_Track",iserror(vlookup($A958&amp;$B958,'5) Release_Track'!$F:$F&amp;'5) Release_Track'!$G:$G,1,0)),"NO ISRC-CATALOG ID pair MATCH in Release_Track" )</f>
        <v/>
      </c>
      <c r="F958" s="122"/>
      <c r="G958" s="99"/>
      <c r="H958" s="178"/>
      <c r="I958" s="121" t="str">
        <f t="shared" si="6"/>
        <v/>
      </c>
      <c r="J958" s="99"/>
      <c r="K958" s="99"/>
    </row>
    <row r="959">
      <c r="B959" s="103"/>
      <c r="C959" s="121" t="str">
        <f t="array" ref="C959">ifs(and(isblank($A959),isblank($B959)),"", not(iserror(vlookup($A959&amp;$B959,'5) Release_Track'!$F:$F&amp;'5) Release_Track'!$G:$G,1,0))),vlookup($A959&amp;$B959,{'5) Release_Track'!$F:$F&amp;'5) Release_Track'!$G:$G,'5) Release_Track'!$H:$H},2,0), or(and(not(isblank($B959)),$B959=$B958,$A959&lt;&gt;$A958),and(not(isblank($A959)),$A959=$A958,$B959&lt;&gt;$B958)),"ID LISTS UNALIGNED",and($A959&lt;&gt;"",countif('5) Release_Track'!$F:$F,$A959)=0),"NO ISRC MATCH in Release_Track",and($B959&lt;&gt;"",countif('5) Release_Track'!$G:$G,$B959)=0),"NO CATALOG ID MATCH in Release_Track",iserror(vlookup($A959&amp;$B959,'5) Release_Track'!$F:$F&amp;'5) Release_Track'!$G:$G,1,0)),"NO ISRC-CATALOG ID pair MATCH in Release_Track" )</f>
        <v/>
      </c>
      <c r="D959" s="121" t="str">
        <f t="array" ref="D959">ifs(and(isblank($A959),isblank($B959)),"", not(iserror(vlookup($A959&amp;$B959,'5) Release_Track'!$F:$F&amp;'5) Release_Track'!$G:$G,1,0))),vlookup($A959&amp;$B959,{'5) Release_Track'!$F:$F&amp;'5) Release_Track'!$G:$G,'5) Release_Track'!$I:$I},2,0), or(and(not(isblank($B959)),$B959=$B958,$A959&lt;&gt;$A958),and(not(isblank($A959)),$A959=$A958,$B959&lt;&gt;$B958)),"ID LISTS UNALIGNED",and($A959&lt;&gt;"",countif('5) Release_Track'!$F:$F,$A959)=0),"NO ISRC MATCH in Release_Track",and($B959&lt;&gt;"",countif('5) Release_Track'!$G:$G,$B959)=0),"NO CATALOG ID MATCH in Release_Track",iserror(vlookup($A959&amp;$B959,'5) Release_Track'!$F:$F&amp;'5) Release_Track'!$G:$G,1,0)),"NO ISRC-CATALOG ID pair MATCH in Release_Track" )</f>
        <v/>
      </c>
      <c r="E959" s="125" t="str">
        <f t="array" ref="E959">ifs(and(isblank($A959),isblank($B959)),"", not(iserror(vlookup($A959&amp;$B959,'5) Release_Track'!$F:$F&amp;'5) Release_Track'!$G:$G,1,0))),vlookup($A959&amp;$B959,{'5) Release_Track'!$F:$F&amp;'5) Release_Track'!$G:$G,'5) Release_Track'!$J:$J},2,0), or(and(not(isblank($B959)),$B959=$B958,$A959&lt;&gt;$A958),and(not(isblank($A959)),$A959=$A958,$B959&lt;&gt;$B958)),"ID LISTS UNALIGNED",and($A959&lt;&gt;"",countif('5) Release_Track'!$F:$F,$A959)=0),"NO ISRC MATCH in Release_Track",and($B959&lt;&gt;"",countif('5) Release_Track'!$G:$G,$B959)=0),"NO CATALOG ID MATCH in Release_Track",iserror(vlookup($A959&amp;$B959,'5) Release_Track'!$F:$F&amp;'5) Release_Track'!$G:$G,1,0)),"NO ISRC-CATALOG ID pair MATCH in Release_Track" )</f>
        <v/>
      </c>
      <c r="F959" s="122"/>
      <c r="G959" s="99"/>
      <c r="H959" s="178"/>
      <c r="I959" s="121" t="str">
        <f t="shared" si="6"/>
        <v/>
      </c>
      <c r="J959" s="99"/>
      <c r="K959" s="99"/>
    </row>
    <row r="960">
      <c r="B960" s="103"/>
      <c r="C960" s="121" t="str">
        <f t="array" ref="C960">ifs(and(isblank($A960),isblank($B960)),"", not(iserror(vlookup($A960&amp;$B960,'5) Release_Track'!$F:$F&amp;'5) Release_Track'!$G:$G,1,0))),vlookup($A960&amp;$B960,{'5) Release_Track'!$F:$F&amp;'5) Release_Track'!$G:$G,'5) Release_Track'!$H:$H},2,0), or(and(not(isblank($B960)),$B960=$B959,$A960&lt;&gt;$A959),and(not(isblank($A960)),$A960=$A959,$B960&lt;&gt;$B959)),"ID LISTS UNALIGNED",and($A960&lt;&gt;"",countif('5) Release_Track'!$F:$F,$A960)=0),"NO ISRC MATCH in Release_Track",and($B960&lt;&gt;"",countif('5) Release_Track'!$G:$G,$B960)=0),"NO CATALOG ID MATCH in Release_Track",iserror(vlookup($A960&amp;$B960,'5) Release_Track'!$F:$F&amp;'5) Release_Track'!$G:$G,1,0)),"NO ISRC-CATALOG ID pair MATCH in Release_Track" )</f>
        <v/>
      </c>
      <c r="D960" s="121" t="str">
        <f t="array" ref="D960">ifs(and(isblank($A960),isblank($B960)),"", not(iserror(vlookup($A960&amp;$B960,'5) Release_Track'!$F:$F&amp;'5) Release_Track'!$G:$G,1,0))),vlookup($A960&amp;$B960,{'5) Release_Track'!$F:$F&amp;'5) Release_Track'!$G:$G,'5) Release_Track'!$I:$I},2,0), or(and(not(isblank($B960)),$B960=$B959,$A960&lt;&gt;$A959),and(not(isblank($A960)),$A960=$A959,$B960&lt;&gt;$B959)),"ID LISTS UNALIGNED",and($A960&lt;&gt;"",countif('5) Release_Track'!$F:$F,$A960)=0),"NO ISRC MATCH in Release_Track",and($B960&lt;&gt;"",countif('5) Release_Track'!$G:$G,$B960)=0),"NO CATALOG ID MATCH in Release_Track",iserror(vlookup($A960&amp;$B960,'5) Release_Track'!$F:$F&amp;'5) Release_Track'!$G:$G,1,0)),"NO ISRC-CATALOG ID pair MATCH in Release_Track" )</f>
        <v/>
      </c>
      <c r="E960" s="125" t="str">
        <f t="array" ref="E960">ifs(and(isblank($A960),isblank($B960)),"", not(iserror(vlookup($A960&amp;$B960,'5) Release_Track'!$F:$F&amp;'5) Release_Track'!$G:$G,1,0))),vlookup($A960&amp;$B960,{'5) Release_Track'!$F:$F&amp;'5) Release_Track'!$G:$G,'5) Release_Track'!$J:$J},2,0), or(and(not(isblank($B960)),$B960=$B959,$A960&lt;&gt;$A959),and(not(isblank($A960)),$A960=$A959,$B960&lt;&gt;$B959)),"ID LISTS UNALIGNED",and($A960&lt;&gt;"",countif('5) Release_Track'!$F:$F,$A960)=0),"NO ISRC MATCH in Release_Track",and($B960&lt;&gt;"",countif('5) Release_Track'!$G:$G,$B960)=0),"NO CATALOG ID MATCH in Release_Track",iserror(vlookup($A960&amp;$B960,'5) Release_Track'!$F:$F&amp;'5) Release_Track'!$G:$G,1,0)),"NO ISRC-CATALOG ID pair MATCH in Release_Track" )</f>
        <v/>
      </c>
      <c r="F960" s="122"/>
      <c r="G960" s="99"/>
      <c r="H960" s="178"/>
      <c r="I960" s="121" t="str">
        <f t="shared" si="6"/>
        <v/>
      </c>
      <c r="J960" s="99"/>
      <c r="K960" s="99"/>
    </row>
    <row r="961">
      <c r="B961" s="103"/>
      <c r="C961" s="121" t="str">
        <f t="array" ref="C961">ifs(and(isblank($A961),isblank($B961)),"", not(iserror(vlookup($A961&amp;$B961,'5) Release_Track'!$F:$F&amp;'5) Release_Track'!$G:$G,1,0))),vlookup($A961&amp;$B961,{'5) Release_Track'!$F:$F&amp;'5) Release_Track'!$G:$G,'5) Release_Track'!$H:$H},2,0), or(and(not(isblank($B961)),$B961=$B960,$A961&lt;&gt;$A960),and(not(isblank($A961)),$A961=$A960,$B961&lt;&gt;$B960)),"ID LISTS UNALIGNED",and($A961&lt;&gt;"",countif('5) Release_Track'!$F:$F,$A961)=0),"NO ISRC MATCH in Release_Track",and($B961&lt;&gt;"",countif('5) Release_Track'!$G:$G,$B961)=0),"NO CATALOG ID MATCH in Release_Track",iserror(vlookup($A961&amp;$B961,'5) Release_Track'!$F:$F&amp;'5) Release_Track'!$G:$G,1,0)),"NO ISRC-CATALOG ID pair MATCH in Release_Track" )</f>
        <v/>
      </c>
      <c r="D961" s="121" t="str">
        <f t="array" ref="D961">ifs(and(isblank($A961),isblank($B961)),"", not(iserror(vlookup($A961&amp;$B961,'5) Release_Track'!$F:$F&amp;'5) Release_Track'!$G:$G,1,0))),vlookup($A961&amp;$B961,{'5) Release_Track'!$F:$F&amp;'5) Release_Track'!$G:$G,'5) Release_Track'!$I:$I},2,0), or(and(not(isblank($B961)),$B961=$B960,$A961&lt;&gt;$A960),and(not(isblank($A961)),$A961=$A960,$B961&lt;&gt;$B960)),"ID LISTS UNALIGNED",and($A961&lt;&gt;"",countif('5) Release_Track'!$F:$F,$A961)=0),"NO ISRC MATCH in Release_Track",and($B961&lt;&gt;"",countif('5) Release_Track'!$G:$G,$B961)=0),"NO CATALOG ID MATCH in Release_Track",iserror(vlookup($A961&amp;$B961,'5) Release_Track'!$F:$F&amp;'5) Release_Track'!$G:$G,1,0)),"NO ISRC-CATALOG ID pair MATCH in Release_Track" )</f>
        <v/>
      </c>
      <c r="E961" s="125" t="str">
        <f t="array" ref="E961">ifs(and(isblank($A961),isblank($B961)),"", not(iserror(vlookup($A961&amp;$B961,'5) Release_Track'!$F:$F&amp;'5) Release_Track'!$G:$G,1,0))),vlookup($A961&amp;$B961,{'5) Release_Track'!$F:$F&amp;'5) Release_Track'!$G:$G,'5) Release_Track'!$J:$J},2,0), or(and(not(isblank($B961)),$B961=$B960,$A961&lt;&gt;$A960),and(not(isblank($A961)),$A961=$A960,$B961&lt;&gt;$B960)),"ID LISTS UNALIGNED",and($A961&lt;&gt;"",countif('5) Release_Track'!$F:$F,$A961)=0),"NO ISRC MATCH in Release_Track",and($B961&lt;&gt;"",countif('5) Release_Track'!$G:$G,$B961)=0),"NO CATALOG ID MATCH in Release_Track",iserror(vlookup($A961&amp;$B961,'5) Release_Track'!$F:$F&amp;'5) Release_Track'!$G:$G,1,0)),"NO ISRC-CATALOG ID pair MATCH in Release_Track" )</f>
        <v/>
      </c>
      <c r="F961" s="122"/>
      <c r="G961" s="99"/>
      <c r="H961" s="178"/>
      <c r="I961" s="121" t="str">
        <f t="shared" si="6"/>
        <v/>
      </c>
      <c r="J961" s="99"/>
      <c r="K961" s="99"/>
    </row>
    <row r="962">
      <c r="B962" s="103"/>
      <c r="C962" s="121" t="str">
        <f t="array" ref="C962">ifs(and(isblank($A962),isblank($B962)),"", not(iserror(vlookup($A962&amp;$B962,'5) Release_Track'!$F:$F&amp;'5) Release_Track'!$G:$G,1,0))),vlookup($A962&amp;$B962,{'5) Release_Track'!$F:$F&amp;'5) Release_Track'!$G:$G,'5) Release_Track'!$H:$H},2,0), or(and(not(isblank($B962)),$B962=$B961,$A962&lt;&gt;$A961),and(not(isblank($A962)),$A962=$A961,$B962&lt;&gt;$B961)),"ID LISTS UNALIGNED",and($A962&lt;&gt;"",countif('5) Release_Track'!$F:$F,$A962)=0),"NO ISRC MATCH in Release_Track",and($B962&lt;&gt;"",countif('5) Release_Track'!$G:$G,$B962)=0),"NO CATALOG ID MATCH in Release_Track",iserror(vlookup($A962&amp;$B962,'5) Release_Track'!$F:$F&amp;'5) Release_Track'!$G:$G,1,0)),"NO ISRC-CATALOG ID pair MATCH in Release_Track" )</f>
        <v/>
      </c>
      <c r="D962" s="121" t="str">
        <f t="array" ref="D962">ifs(and(isblank($A962),isblank($B962)),"", not(iserror(vlookup($A962&amp;$B962,'5) Release_Track'!$F:$F&amp;'5) Release_Track'!$G:$G,1,0))),vlookup($A962&amp;$B962,{'5) Release_Track'!$F:$F&amp;'5) Release_Track'!$G:$G,'5) Release_Track'!$I:$I},2,0), or(and(not(isblank($B962)),$B962=$B961,$A962&lt;&gt;$A961),and(not(isblank($A962)),$A962=$A961,$B962&lt;&gt;$B961)),"ID LISTS UNALIGNED",and($A962&lt;&gt;"",countif('5) Release_Track'!$F:$F,$A962)=0),"NO ISRC MATCH in Release_Track",and($B962&lt;&gt;"",countif('5) Release_Track'!$G:$G,$B962)=0),"NO CATALOG ID MATCH in Release_Track",iserror(vlookup($A962&amp;$B962,'5) Release_Track'!$F:$F&amp;'5) Release_Track'!$G:$G,1,0)),"NO ISRC-CATALOG ID pair MATCH in Release_Track" )</f>
        <v/>
      </c>
      <c r="E962" s="125" t="str">
        <f t="array" ref="E962">ifs(and(isblank($A962),isblank($B962)),"", not(iserror(vlookup($A962&amp;$B962,'5) Release_Track'!$F:$F&amp;'5) Release_Track'!$G:$G,1,0))),vlookup($A962&amp;$B962,{'5) Release_Track'!$F:$F&amp;'5) Release_Track'!$G:$G,'5) Release_Track'!$J:$J},2,0), or(and(not(isblank($B962)),$B962=$B961,$A962&lt;&gt;$A961),and(not(isblank($A962)),$A962=$A961,$B962&lt;&gt;$B961)),"ID LISTS UNALIGNED",and($A962&lt;&gt;"",countif('5) Release_Track'!$F:$F,$A962)=0),"NO ISRC MATCH in Release_Track",and($B962&lt;&gt;"",countif('5) Release_Track'!$G:$G,$B962)=0),"NO CATALOG ID MATCH in Release_Track",iserror(vlookup($A962&amp;$B962,'5) Release_Track'!$F:$F&amp;'5) Release_Track'!$G:$G,1,0)),"NO ISRC-CATALOG ID pair MATCH in Release_Track" )</f>
        <v/>
      </c>
      <c r="F962" s="122"/>
      <c r="G962" s="99"/>
      <c r="H962" s="178"/>
      <c r="I962" s="121" t="str">
        <f t="shared" si="6"/>
        <v/>
      </c>
      <c r="J962" s="99"/>
      <c r="K962" s="99"/>
    </row>
    <row r="963">
      <c r="B963" s="103"/>
      <c r="C963" s="121" t="str">
        <f t="array" ref="C963">ifs(and(isblank($A963),isblank($B963)),"", not(iserror(vlookup($A963&amp;$B963,'5) Release_Track'!$F:$F&amp;'5) Release_Track'!$G:$G,1,0))),vlookup($A963&amp;$B963,{'5) Release_Track'!$F:$F&amp;'5) Release_Track'!$G:$G,'5) Release_Track'!$H:$H},2,0), or(and(not(isblank($B963)),$B963=$B962,$A963&lt;&gt;$A962),and(not(isblank($A963)),$A963=$A962,$B963&lt;&gt;$B962)),"ID LISTS UNALIGNED",and($A963&lt;&gt;"",countif('5) Release_Track'!$F:$F,$A963)=0),"NO ISRC MATCH in Release_Track",and($B963&lt;&gt;"",countif('5) Release_Track'!$G:$G,$B963)=0),"NO CATALOG ID MATCH in Release_Track",iserror(vlookup($A963&amp;$B963,'5) Release_Track'!$F:$F&amp;'5) Release_Track'!$G:$G,1,0)),"NO ISRC-CATALOG ID pair MATCH in Release_Track" )</f>
        <v/>
      </c>
      <c r="D963" s="121" t="str">
        <f t="array" ref="D963">ifs(and(isblank($A963),isblank($B963)),"", not(iserror(vlookup($A963&amp;$B963,'5) Release_Track'!$F:$F&amp;'5) Release_Track'!$G:$G,1,0))),vlookup($A963&amp;$B963,{'5) Release_Track'!$F:$F&amp;'5) Release_Track'!$G:$G,'5) Release_Track'!$I:$I},2,0), or(and(not(isblank($B963)),$B963=$B962,$A963&lt;&gt;$A962),and(not(isblank($A963)),$A963=$A962,$B963&lt;&gt;$B962)),"ID LISTS UNALIGNED",and($A963&lt;&gt;"",countif('5) Release_Track'!$F:$F,$A963)=0),"NO ISRC MATCH in Release_Track",and($B963&lt;&gt;"",countif('5) Release_Track'!$G:$G,$B963)=0),"NO CATALOG ID MATCH in Release_Track",iserror(vlookup($A963&amp;$B963,'5) Release_Track'!$F:$F&amp;'5) Release_Track'!$G:$G,1,0)),"NO ISRC-CATALOG ID pair MATCH in Release_Track" )</f>
        <v/>
      </c>
      <c r="E963" s="125" t="str">
        <f t="array" ref="E963">ifs(and(isblank($A963),isblank($B963)),"", not(iserror(vlookup($A963&amp;$B963,'5) Release_Track'!$F:$F&amp;'5) Release_Track'!$G:$G,1,0))),vlookup($A963&amp;$B963,{'5) Release_Track'!$F:$F&amp;'5) Release_Track'!$G:$G,'5) Release_Track'!$J:$J},2,0), or(and(not(isblank($B963)),$B963=$B962,$A963&lt;&gt;$A962),and(not(isblank($A963)),$A963=$A962,$B963&lt;&gt;$B962)),"ID LISTS UNALIGNED",and($A963&lt;&gt;"",countif('5) Release_Track'!$F:$F,$A963)=0),"NO ISRC MATCH in Release_Track",and($B963&lt;&gt;"",countif('5) Release_Track'!$G:$G,$B963)=0),"NO CATALOG ID MATCH in Release_Track",iserror(vlookup($A963&amp;$B963,'5) Release_Track'!$F:$F&amp;'5) Release_Track'!$G:$G,1,0)),"NO ISRC-CATALOG ID pair MATCH in Release_Track" )</f>
        <v/>
      </c>
      <c r="F963" s="122"/>
      <c r="G963" s="99"/>
      <c r="H963" s="178"/>
      <c r="I963" s="121" t="str">
        <f t="shared" si="6"/>
        <v/>
      </c>
      <c r="J963" s="99"/>
      <c r="K963" s="99"/>
    </row>
    <row r="964">
      <c r="B964" s="103"/>
      <c r="C964" s="121" t="str">
        <f t="array" ref="C964">ifs(and(isblank($A964),isblank($B964)),"", not(iserror(vlookup($A964&amp;$B964,'5) Release_Track'!$F:$F&amp;'5) Release_Track'!$G:$G,1,0))),vlookup($A964&amp;$B964,{'5) Release_Track'!$F:$F&amp;'5) Release_Track'!$G:$G,'5) Release_Track'!$H:$H},2,0), or(and(not(isblank($B964)),$B964=$B963,$A964&lt;&gt;$A963),and(not(isblank($A964)),$A964=$A963,$B964&lt;&gt;$B963)),"ID LISTS UNALIGNED",and($A964&lt;&gt;"",countif('5) Release_Track'!$F:$F,$A964)=0),"NO ISRC MATCH in Release_Track",and($B964&lt;&gt;"",countif('5) Release_Track'!$G:$G,$B964)=0),"NO CATALOG ID MATCH in Release_Track",iserror(vlookup($A964&amp;$B964,'5) Release_Track'!$F:$F&amp;'5) Release_Track'!$G:$G,1,0)),"NO ISRC-CATALOG ID pair MATCH in Release_Track" )</f>
        <v/>
      </c>
      <c r="D964" s="121" t="str">
        <f t="array" ref="D964">ifs(and(isblank($A964),isblank($B964)),"", not(iserror(vlookup($A964&amp;$B964,'5) Release_Track'!$F:$F&amp;'5) Release_Track'!$G:$G,1,0))),vlookup($A964&amp;$B964,{'5) Release_Track'!$F:$F&amp;'5) Release_Track'!$G:$G,'5) Release_Track'!$I:$I},2,0), or(and(not(isblank($B964)),$B964=$B963,$A964&lt;&gt;$A963),and(not(isblank($A964)),$A964=$A963,$B964&lt;&gt;$B963)),"ID LISTS UNALIGNED",and($A964&lt;&gt;"",countif('5) Release_Track'!$F:$F,$A964)=0),"NO ISRC MATCH in Release_Track",and($B964&lt;&gt;"",countif('5) Release_Track'!$G:$G,$B964)=0),"NO CATALOG ID MATCH in Release_Track",iserror(vlookup($A964&amp;$B964,'5) Release_Track'!$F:$F&amp;'5) Release_Track'!$G:$G,1,0)),"NO ISRC-CATALOG ID pair MATCH in Release_Track" )</f>
        <v/>
      </c>
      <c r="E964" s="125" t="str">
        <f t="array" ref="E964">ifs(and(isblank($A964),isblank($B964)),"", not(iserror(vlookup($A964&amp;$B964,'5) Release_Track'!$F:$F&amp;'5) Release_Track'!$G:$G,1,0))),vlookup($A964&amp;$B964,{'5) Release_Track'!$F:$F&amp;'5) Release_Track'!$G:$G,'5) Release_Track'!$J:$J},2,0), or(and(not(isblank($B964)),$B964=$B963,$A964&lt;&gt;$A963),and(not(isblank($A964)),$A964=$A963,$B964&lt;&gt;$B963)),"ID LISTS UNALIGNED",and($A964&lt;&gt;"",countif('5) Release_Track'!$F:$F,$A964)=0),"NO ISRC MATCH in Release_Track",and($B964&lt;&gt;"",countif('5) Release_Track'!$G:$G,$B964)=0),"NO CATALOG ID MATCH in Release_Track",iserror(vlookup($A964&amp;$B964,'5) Release_Track'!$F:$F&amp;'5) Release_Track'!$G:$G,1,0)),"NO ISRC-CATALOG ID pair MATCH in Release_Track" )</f>
        <v/>
      </c>
      <c r="F964" s="122"/>
      <c r="G964" s="99"/>
      <c r="H964" s="178"/>
      <c r="I964" s="121" t="str">
        <f t="shared" si="6"/>
        <v/>
      </c>
      <c r="J964" s="99"/>
      <c r="K964" s="99"/>
    </row>
    <row r="965">
      <c r="B965" s="103"/>
      <c r="C965" s="121" t="str">
        <f t="array" ref="C965">ifs(and(isblank($A965),isblank($B965)),"", not(iserror(vlookup($A965&amp;$B965,'5) Release_Track'!$F:$F&amp;'5) Release_Track'!$G:$G,1,0))),vlookup($A965&amp;$B965,{'5) Release_Track'!$F:$F&amp;'5) Release_Track'!$G:$G,'5) Release_Track'!$H:$H},2,0), or(and(not(isblank($B965)),$B965=$B964,$A965&lt;&gt;$A964),and(not(isblank($A965)),$A965=$A964,$B965&lt;&gt;$B964)),"ID LISTS UNALIGNED",and($A965&lt;&gt;"",countif('5) Release_Track'!$F:$F,$A965)=0),"NO ISRC MATCH in Release_Track",and($B965&lt;&gt;"",countif('5) Release_Track'!$G:$G,$B965)=0),"NO CATALOG ID MATCH in Release_Track",iserror(vlookup($A965&amp;$B965,'5) Release_Track'!$F:$F&amp;'5) Release_Track'!$G:$G,1,0)),"NO ISRC-CATALOG ID pair MATCH in Release_Track" )</f>
        <v/>
      </c>
      <c r="D965" s="121" t="str">
        <f t="array" ref="D965">ifs(and(isblank($A965),isblank($B965)),"", not(iserror(vlookup($A965&amp;$B965,'5) Release_Track'!$F:$F&amp;'5) Release_Track'!$G:$G,1,0))),vlookup($A965&amp;$B965,{'5) Release_Track'!$F:$F&amp;'5) Release_Track'!$G:$G,'5) Release_Track'!$I:$I},2,0), or(and(not(isblank($B965)),$B965=$B964,$A965&lt;&gt;$A964),and(not(isblank($A965)),$A965=$A964,$B965&lt;&gt;$B964)),"ID LISTS UNALIGNED",and($A965&lt;&gt;"",countif('5) Release_Track'!$F:$F,$A965)=0),"NO ISRC MATCH in Release_Track",and($B965&lt;&gt;"",countif('5) Release_Track'!$G:$G,$B965)=0),"NO CATALOG ID MATCH in Release_Track",iserror(vlookup($A965&amp;$B965,'5) Release_Track'!$F:$F&amp;'5) Release_Track'!$G:$G,1,0)),"NO ISRC-CATALOG ID pair MATCH in Release_Track" )</f>
        <v/>
      </c>
      <c r="E965" s="125" t="str">
        <f t="array" ref="E965">ifs(and(isblank($A965),isblank($B965)),"", not(iserror(vlookup($A965&amp;$B965,'5) Release_Track'!$F:$F&amp;'5) Release_Track'!$G:$G,1,0))),vlookup($A965&amp;$B965,{'5) Release_Track'!$F:$F&amp;'5) Release_Track'!$G:$G,'5) Release_Track'!$J:$J},2,0), or(and(not(isblank($B965)),$B965=$B964,$A965&lt;&gt;$A964),and(not(isblank($A965)),$A965=$A964,$B965&lt;&gt;$B964)),"ID LISTS UNALIGNED",and($A965&lt;&gt;"",countif('5) Release_Track'!$F:$F,$A965)=0),"NO ISRC MATCH in Release_Track",and($B965&lt;&gt;"",countif('5) Release_Track'!$G:$G,$B965)=0),"NO CATALOG ID MATCH in Release_Track",iserror(vlookup($A965&amp;$B965,'5) Release_Track'!$F:$F&amp;'5) Release_Track'!$G:$G,1,0)),"NO ISRC-CATALOG ID pair MATCH in Release_Track" )</f>
        <v/>
      </c>
      <c r="F965" s="122"/>
      <c r="G965" s="99"/>
      <c r="H965" s="178"/>
      <c r="I965" s="121" t="str">
        <f t="shared" si="6"/>
        <v/>
      </c>
      <c r="J965" s="99"/>
      <c r="K965" s="99"/>
    </row>
    <row r="966">
      <c r="B966" s="103"/>
      <c r="C966" s="121" t="str">
        <f t="array" ref="C966">ifs(and(isblank($A966),isblank($B966)),"", not(iserror(vlookup($A966&amp;$B966,'5) Release_Track'!$F:$F&amp;'5) Release_Track'!$G:$G,1,0))),vlookup($A966&amp;$B966,{'5) Release_Track'!$F:$F&amp;'5) Release_Track'!$G:$G,'5) Release_Track'!$H:$H},2,0), or(and(not(isblank($B966)),$B966=$B965,$A966&lt;&gt;$A965),and(not(isblank($A966)),$A966=$A965,$B966&lt;&gt;$B965)),"ID LISTS UNALIGNED",and($A966&lt;&gt;"",countif('5) Release_Track'!$F:$F,$A966)=0),"NO ISRC MATCH in Release_Track",and($B966&lt;&gt;"",countif('5) Release_Track'!$G:$G,$B966)=0),"NO CATALOG ID MATCH in Release_Track",iserror(vlookup($A966&amp;$B966,'5) Release_Track'!$F:$F&amp;'5) Release_Track'!$G:$G,1,0)),"NO ISRC-CATALOG ID pair MATCH in Release_Track" )</f>
        <v/>
      </c>
      <c r="D966" s="121" t="str">
        <f t="array" ref="D966">ifs(and(isblank($A966),isblank($B966)),"", not(iserror(vlookup($A966&amp;$B966,'5) Release_Track'!$F:$F&amp;'5) Release_Track'!$G:$G,1,0))),vlookup($A966&amp;$B966,{'5) Release_Track'!$F:$F&amp;'5) Release_Track'!$G:$G,'5) Release_Track'!$I:$I},2,0), or(and(not(isblank($B966)),$B966=$B965,$A966&lt;&gt;$A965),and(not(isblank($A966)),$A966=$A965,$B966&lt;&gt;$B965)),"ID LISTS UNALIGNED",and($A966&lt;&gt;"",countif('5) Release_Track'!$F:$F,$A966)=0),"NO ISRC MATCH in Release_Track",and($B966&lt;&gt;"",countif('5) Release_Track'!$G:$G,$B966)=0),"NO CATALOG ID MATCH in Release_Track",iserror(vlookup($A966&amp;$B966,'5) Release_Track'!$F:$F&amp;'5) Release_Track'!$G:$G,1,0)),"NO ISRC-CATALOG ID pair MATCH in Release_Track" )</f>
        <v/>
      </c>
      <c r="E966" s="125" t="str">
        <f t="array" ref="E966">ifs(and(isblank($A966),isblank($B966)),"", not(iserror(vlookup($A966&amp;$B966,'5) Release_Track'!$F:$F&amp;'5) Release_Track'!$G:$G,1,0))),vlookup($A966&amp;$B966,{'5) Release_Track'!$F:$F&amp;'5) Release_Track'!$G:$G,'5) Release_Track'!$J:$J},2,0), or(and(not(isblank($B966)),$B966=$B965,$A966&lt;&gt;$A965),and(not(isblank($A966)),$A966=$A965,$B966&lt;&gt;$B965)),"ID LISTS UNALIGNED",and($A966&lt;&gt;"",countif('5) Release_Track'!$F:$F,$A966)=0),"NO ISRC MATCH in Release_Track",and($B966&lt;&gt;"",countif('5) Release_Track'!$G:$G,$B966)=0),"NO CATALOG ID MATCH in Release_Track",iserror(vlookup($A966&amp;$B966,'5) Release_Track'!$F:$F&amp;'5) Release_Track'!$G:$G,1,0)),"NO ISRC-CATALOG ID pair MATCH in Release_Track" )</f>
        <v/>
      </c>
      <c r="F966" s="122"/>
      <c r="G966" s="99"/>
      <c r="H966" s="178"/>
      <c r="I966" s="121" t="str">
        <f t="shared" si="6"/>
        <v/>
      </c>
      <c r="J966" s="99"/>
      <c r="K966" s="99"/>
    </row>
    <row r="967">
      <c r="B967" s="103"/>
      <c r="C967" s="121" t="str">
        <f t="array" ref="C967">ifs(and(isblank($A967),isblank($B967)),"", not(iserror(vlookup($A967&amp;$B967,'5) Release_Track'!$F:$F&amp;'5) Release_Track'!$G:$G,1,0))),vlookup($A967&amp;$B967,{'5) Release_Track'!$F:$F&amp;'5) Release_Track'!$G:$G,'5) Release_Track'!$H:$H},2,0), or(and(not(isblank($B967)),$B967=$B966,$A967&lt;&gt;$A966),and(not(isblank($A967)),$A967=$A966,$B967&lt;&gt;$B966)),"ID LISTS UNALIGNED",and($A967&lt;&gt;"",countif('5) Release_Track'!$F:$F,$A967)=0),"NO ISRC MATCH in Release_Track",and($B967&lt;&gt;"",countif('5) Release_Track'!$G:$G,$B967)=0),"NO CATALOG ID MATCH in Release_Track",iserror(vlookup($A967&amp;$B967,'5) Release_Track'!$F:$F&amp;'5) Release_Track'!$G:$G,1,0)),"NO ISRC-CATALOG ID pair MATCH in Release_Track" )</f>
        <v/>
      </c>
      <c r="D967" s="121" t="str">
        <f t="array" ref="D967">ifs(and(isblank($A967),isblank($B967)),"", not(iserror(vlookup($A967&amp;$B967,'5) Release_Track'!$F:$F&amp;'5) Release_Track'!$G:$G,1,0))),vlookup($A967&amp;$B967,{'5) Release_Track'!$F:$F&amp;'5) Release_Track'!$G:$G,'5) Release_Track'!$I:$I},2,0), or(and(not(isblank($B967)),$B967=$B966,$A967&lt;&gt;$A966),and(not(isblank($A967)),$A967=$A966,$B967&lt;&gt;$B966)),"ID LISTS UNALIGNED",and($A967&lt;&gt;"",countif('5) Release_Track'!$F:$F,$A967)=0),"NO ISRC MATCH in Release_Track",and($B967&lt;&gt;"",countif('5) Release_Track'!$G:$G,$B967)=0),"NO CATALOG ID MATCH in Release_Track",iserror(vlookup($A967&amp;$B967,'5) Release_Track'!$F:$F&amp;'5) Release_Track'!$G:$G,1,0)),"NO ISRC-CATALOG ID pair MATCH in Release_Track" )</f>
        <v/>
      </c>
      <c r="E967" s="125" t="str">
        <f t="array" ref="E967">ifs(and(isblank($A967),isblank($B967)),"", not(iserror(vlookup($A967&amp;$B967,'5) Release_Track'!$F:$F&amp;'5) Release_Track'!$G:$G,1,0))),vlookup($A967&amp;$B967,{'5) Release_Track'!$F:$F&amp;'5) Release_Track'!$G:$G,'5) Release_Track'!$J:$J},2,0), or(and(not(isblank($B967)),$B967=$B966,$A967&lt;&gt;$A966),and(not(isblank($A967)),$A967=$A966,$B967&lt;&gt;$B966)),"ID LISTS UNALIGNED",and($A967&lt;&gt;"",countif('5) Release_Track'!$F:$F,$A967)=0),"NO ISRC MATCH in Release_Track",and($B967&lt;&gt;"",countif('5) Release_Track'!$G:$G,$B967)=0),"NO CATALOG ID MATCH in Release_Track",iserror(vlookup($A967&amp;$B967,'5) Release_Track'!$F:$F&amp;'5) Release_Track'!$G:$G,1,0)),"NO ISRC-CATALOG ID pair MATCH in Release_Track" )</f>
        <v/>
      </c>
      <c r="F967" s="122"/>
      <c r="G967" s="99"/>
      <c r="H967" s="178"/>
      <c r="I967" s="121" t="str">
        <f t="shared" si="6"/>
        <v/>
      </c>
      <c r="J967" s="99"/>
      <c r="K967" s="99"/>
    </row>
    <row r="968">
      <c r="B968" s="103"/>
      <c r="C968" s="121" t="str">
        <f t="array" ref="C968">ifs(and(isblank($A968),isblank($B968)),"", not(iserror(vlookup($A968&amp;$B968,'5) Release_Track'!$F:$F&amp;'5) Release_Track'!$G:$G,1,0))),vlookup($A968&amp;$B968,{'5) Release_Track'!$F:$F&amp;'5) Release_Track'!$G:$G,'5) Release_Track'!$H:$H},2,0), or(and(not(isblank($B968)),$B968=$B967,$A968&lt;&gt;$A967),and(not(isblank($A968)),$A968=$A967,$B968&lt;&gt;$B967)),"ID LISTS UNALIGNED",and($A968&lt;&gt;"",countif('5) Release_Track'!$F:$F,$A968)=0),"NO ISRC MATCH in Release_Track",and($B968&lt;&gt;"",countif('5) Release_Track'!$G:$G,$B968)=0),"NO CATALOG ID MATCH in Release_Track",iserror(vlookup($A968&amp;$B968,'5) Release_Track'!$F:$F&amp;'5) Release_Track'!$G:$G,1,0)),"NO ISRC-CATALOG ID pair MATCH in Release_Track" )</f>
        <v/>
      </c>
      <c r="D968" s="121" t="str">
        <f t="array" ref="D968">ifs(and(isblank($A968),isblank($B968)),"", not(iserror(vlookup($A968&amp;$B968,'5) Release_Track'!$F:$F&amp;'5) Release_Track'!$G:$G,1,0))),vlookup($A968&amp;$B968,{'5) Release_Track'!$F:$F&amp;'5) Release_Track'!$G:$G,'5) Release_Track'!$I:$I},2,0), or(and(not(isblank($B968)),$B968=$B967,$A968&lt;&gt;$A967),and(not(isblank($A968)),$A968=$A967,$B968&lt;&gt;$B967)),"ID LISTS UNALIGNED",and($A968&lt;&gt;"",countif('5) Release_Track'!$F:$F,$A968)=0),"NO ISRC MATCH in Release_Track",and($B968&lt;&gt;"",countif('5) Release_Track'!$G:$G,$B968)=0),"NO CATALOG ID MATCH in Release_Track",iserror(vlookup($A968&amp;$B968,'5) Release_Track'!$F:$F&amp;'5) Release_Track'!$G:$G,1,0)),"NO ISRC-CATALOG ID pair MATCH in Release_Track" )</f>
        <v/>
      </c>
      <c r="E968" s="125" t="str">
        <f t="array" ref="E968">ifs(and(isblank($A968),isblank($B968)),"", not(iserror(vlookup($A968&amp;$B968,'5) Release_Track'!$F:$F&amp;'5) Release_Track'!$G:$G,1,0))),vlookup($A968&amp;$B968,{'5) Release_Track'!$F:$F&amp;'5) Release_Track'!$G:$G,'5) Release_Track'!$J:$J},2,0), or(and(not(isblank($B968)),$B968=$B967,$A968&lt;&gt;$A967),and(not(isblank($A968)),$A968=$A967,$B968&lt;&gt;$B967)),"ID LISTS UNALIGNED",and($A968&lt;&gt;"",countif('5) Release_Track'!$F:$F,$A968)=0),"NO ISRC MATCH in Release_Track",and($B968&lt;&gt;"",countif('5) Release_Track'!$G:$G,$B968)=0),"NO CATALOG ID MATCH in Release_Track",iserror(vlookup($A968&amp;$B968,'5) Release_Track'!$F:$F&amp;'5) Release_Track'!$G:$G,1,0)),"NO ISRC-CATALOG ID pair MATCH in Release_Track" )</f>
        <v/>
      </c>
      <c r="F968" s="122"/>
      <c r="G968" s="99"/>
      <c r="H968" s="178"/>
      <c r="I968" s="121" t="str">
        <f t="shared" si="6"/>
        <v/>
      </c>
      <c r="J968" s="99"/>
      <c r="K968" s="99"/>
    </row>
    <row r="969">
      <c r="B969" s="103"/>
      <c r="C969" s="121" t="str">
        <f t="array" ref="C969">ifs(and(isblank($A969),isblank($B969)),"", not(iserror(vlookup($A969&amp;$B969,'5) Release_Track'!$F:$F&amp;'5) Release_Track'!$G:$G,1,0))),vlookup($A969&amp;$B969,{'5) Release_Track'!$F:$F&amp;'5) Release_Track'!$G:$G,'5) Release_Track'!$H:$H},2,0), or(and(not(isblank($B969)),$B969=$B968,$A969&lt;&gt;$A968),and(not(isblank($A969)),$A969=$A968,$B969&lt;&gt;$B968)),"ID LISTS UNALIGNED",and($A969&lt;&gt;"",countif('5) Release_Track'!$F:$F,$A969)=0),"NO ISRC MATCH in Release_Track",and($B969&lt;&gt;"",countif('5) Release_Track'!$G:$G,$B969)=0),"NO CATALOG ID MATCH in Release_Track",iserror(vlookup($A969&amp;$B969,'5) Release_Track'!$F:$F&amp;'5) Release_Track'!$G:$G,1,0)),"NO ISRC-CATALOG ID pair MATCH in Release_Track" )</f>
        <v/>
      </c>
      <c r="D969" s="121" t="str">
        <f t="array" ref="D969">ifs(and(isblank($A969),isblank($B969)),"", not(iserror(vlookup($A969&amp;$B969,'5) Release_Track'!$F:$F&amp;'5) Release_Track'!$G:$G,1,0))),vlookup($A969&amp;$B969,{'5) Release_Track'!$F:$F&amp;'5) Release_Track'!$G:$G,'5) Release_Track'!$I:$I},2,0), or(and(not(isblank($B969)),$B969=$B968,$A969&lt;&gt;$A968),and(not(isblank($A969)),$A969=$A968,$B969&lt;&gt;$B968)),"ID LISTS UNALIGNED",and($A969&lt;&gt;"",countif('5) Release_Track'!$F:$F,$A969)=0),"NO ISRC MATCH in Release_Track",and($B969&lt;&gt;"",countif('5) Release_Track'!$G:$G,$B969)=0),"NO CATALOG ID MATCH in Release_Track",iserror(vlookup($A969&amp;$B969,'5) Release_Track'!$F:$F&amp;'5) Release_Track'!$G:$G,1,0)),"NO ISRC-CATALOG ID pair MATCH in Release_Track" )</f>
        <v/>
      </c>
      <c r="E969" s="125" t="str">
        <f t="array" ref="E969">ifs(and(isblank($A969),isblank($B969)),"", not(iserror(vlookup($A969&amp;$B969,'5) Release_Track'!$F:$F&amp;'5) Release_Track'!$G:$G,1,0))),vlookup($A969&amp;$B969,{'5) Release_Track'!$F:$F&amp;'5) Release_Track'!$G:$G,'5) Release_Track'!$J:$J},2,0), or(and(not(isblank($B969)),$B969=$B968,$A969&lt;&gt;$A968),and(not(isblank($A969)),$A969=$A968,$B969&lt;&gt;$B968)),"ID LISTS UNALIGNED",and($A969&lt;&gt;"",countif('5) Release_Track'!$F:$F,$A969)=0),"NO ISRC MATCH in Release_Track",and($B969&lt;&gt;"",countif('5) Release_Track'!$G:$G,$B969)=0),"NO CATALOG ID MATCH in Release_Track",iserror(vlookup($A969&amp;$B969,'5) Release_Track'!$F:$F&amp;'5) Release_Track'!$G:$G,1,0)),"NO ISRC-CATALOG ID pair MATCH in Release_Track" )</f>
        <v/>
      </c>
      <c r="F969" s="122"/>
      <c r="G969" s="99"/>
      <c r="H969" s="178"/>
      <c r="I969" s="121" t="str">
        <f t="shared" si="6"/>
        <v/>
      </c>
      <c r="J969" s="99"/>
      <c r="K969" s="99"/>
    </row>
    <row r="970">
      <c r="B970" s="103"/>
      <c r="C970" s="121" t="str">
        <f t="array" ref="C970">ifs(and(isblank($A970),isblank($B970)),"", not(iserror(vlookup($A970&amp;$B970,'5) Release_Track'!$F:$F&amp;'5) Release_Track'!$G:$G,1,0))),vlookup($A970&amp;$B970,{'5) Release_Track'!$F:$F&amp;'5) Release_Track'!$G:$G,'5) Release_Track'!$H:$H},2,0), or(and(not(isblank($B970)),$B970=$B969,$A970&lt;&gt;$A969),and(not(isblank($A970)),$A970=$A969,$B970&lt;&gt;$B969)),"ID LISTS UNALIGNED",and($A970&lt;&gt;"",countif('5) Release_Track'!$F:$F,$A970)=0),"NO ISRC MATCH in Release_Track",and($B970&lt;&gt;"",countif('5) Release_Track'!$G:$G,$B970)=0),"NO CATALOG ID MATCH in Release_Track",iserror(vlookup($A970&amp;$B970,'5) Release_Track'!$F:$F&amp;'5) Release_Track'!$G:$G,1,0)),"NO ISRC-CATALOG ID pair MATCH in Release_Track" )</f>
        <v/>
      </c>
      <c r="D970" s="121" t="str">
        <f t="array" ref="D970">ifs(and(isblank($A970),isblank($B970)),"", not(iserror(vlookup($A970&amp;$B970,'5) Release_Track'!$F:$F&amp;'5) Release_Track'!$G:$G,1,0))),vlookup($A970&amp;$B970,{'5) Release_Track'!$F:$F&amp;'5) Release_Track'!$G:$G,'5) Release_Track'!$I:$I},2,0), or(and(not(isblank($B970)),$B970=$B969,$A970&lt;&gt;$A969),and(not(isblank($A970)),$A970=$A969,$B970&lt;&gt;$B969)),"ID LISTS UNALIGNED",and($A970&lt;&gt;"",countif('5) Release_Track'!$F:$F,$A970)=0),"NO ISRC MATCH in Release_Track",and($B970&lt;&gt;"",countif('5) Release_Track'!$G:$G,$B970)=0),"NO CATALOG ID MATCH in Release_Track",iserror(vlookup($A970&amp;$B970,'5) Release_Track'!$F:$F&amp;'5) Release_Track'!$G:$G,1,0)),"NO ISRC-CATALOG ID pair MATCH in Release_Track" )</f>
        <v/>
      </c>
      <c r="E970" s="125" t="str">
        <f t="array" ref="E970">ifs(and(isblank($A970),isblank($B970)),"", not(iserror(vlookup($A970&amp;$B970,'5) Release_Track'!$F:$F&amp;'5) Release_Track'!$G:$G,1,0))),vlookup($A970&amp;$B970,{'5) Release_Track'!$F:$F&amp;'5) Release_Track'!$G:$G,'5) Release_Track'!$J:$J},2,0), or(and(not(isblank($B970)),$B970=$B969,$A970&lt;&gt;$A969),and(not(isblank($A970)),$A970=$A969,$B970&lt;&gt;$B969)),"ID LISTS UNALIGNED",and($A970&lt;&gt;"",countif('5) Release_Track'!$F:$F,$A970)=0),"NO ISRC MATCH in Release_Track",and($B970&lt;&gt;"",countif('5) Release_Track'!$G:$G,$B970)=0),"NO CATALOG ID MATCH in Release_Track",iserror(vlookup($A970&amp;$B970,'5) Release_Track'!$F:$F&amp;'5) Release_Track'!$G:$G,1,0)),"NO ISRC-CATALOG ID pair MATCH in Release_Track" )</f>
        <v/>
      </c>
      <c r="F970" s="122"/>
      <c r="G970" s="99"/>
      <c r="H970" s="178"/>
      <c r="I970" s="121" t="str">
        <f t="shared" si="6"/>
        <v/>
      </c>
      <c r="J970" s="99"/>
      <c r="K970" s="99"/>
    </row>
    <row r="971">
      <c r="B971" s="103"/>
      <c r="C971" s="121" t="str">
        <f t="array" ref="C971">ifs(and(isblank($A971),isblank($B971)),"", not(iserror(vlookup($A971&amp;$B971,'5) Release_Track'!$F:$F&amp;'5) Release_Track'!$G:$G,1,0))),vlookup($A971&amp;$B971,{'5) Release_Track'!$F:$F&amp;'5) Release_Track'!$G:$G,'5) Release_Track'!$H:$H},2,0), or(and(not(isblank($B971)),$B971=$B970,$A971&lt;&gt;$A970),and(not(isblank($A971)),$A971=$A970,$B971&lt;&gt;$B970)),"ID LISTS UNALIGNED",and($A971&lt;&gt;"",countif('5) Release_Track'!$F:$F,$A971)=0),"NO ISRC MATCH in Release_Track",and($B971&lt;&gt;"",countif('5) Release_Track'!$G:$G,$B971)=0),"NO CATALOG ID MATCH in Release_Track",iserror(vlookup($A971&amp;$B971,'5) Release_Track'!$F:$F&amp;'5) Release_Track'!$G:$G,1,0)),"NO ISRC-CATALOG ID pair MATCH in Release_Track" )</f>
        <v/>
      </c>
      <c r="D971" s="121" t="str">
        <f t="array" ref="D971">ifs(and(isblank($A971),isblank($B971)),"", not(iserror(vlookup($A971&amp;$B971,'5) Release_Track'!$F:$F&amp;'5) Release_Track'!$G:$G,1,0))),vlookup($A971&amp;$B971,{'5) Release_Track'!$F:$F&amp;'5) Release_Track'!$G:$G,'5) Release_Track'!$I:$I},2,0), or(and(not(isblank($B971)),$B971=$B970,$A971&lt;&gt;$A970),and(not(isblank($A971)),$A971=$A970,$B971&lt;&gt;$B970)),"ID LISTS UNALIGNED",and($A971&lt;&gt;"",countif('5) Release_Track'!$F:$F,$A971)=0),"NO ISRC MATCH in Release_Track",and($B971&lt;&gt;"",countif('5) Release_Track'!$G:$G,$B971)=0),"NO CATALOG ID MATCH in Release_Track",iserror(vlookup($A971&amp;$B971,'5) Release_Track'!$F:$F&amp;'5) Release_Track'!$G:$G,1,0)),"NO ISRC-CATALOG ID pair MATCH in Release_Track" )</f>
        <v/>
      </c>
      <c r="E971" s="125" t="str">
        <f t="array" ref="E971">ifs(and(isblank($A971),isblank($B971)),"", not(iserror(vlookup($A971&amp;$B971,'5) Release_Track'!$F:$F&amp;'5) Release_Track'!$G:$G,1,0))),vlookup($A971&amp;$B971,{'5) Release_Track'!$F:$F&amp;'5) Release_Track'!$G:$G,'5) Release_Track'!$J:$J},2,0), or(and(not(isblank($B971)),$B971=$B970,$A971&lt;&gt;$A970),and(not(isblank($A971)),$A971=$A970,$B971&lt;&gt;$B970)),"ID LISTS UNALIGNED",and($A971&lt;&gt;"",countif('5) Release_Track'!$F:$F,$A971)=0),"NO ISRC MATCH in Release_Track",and($B971&lt;&gt;"",countif('5) Release_Track'!$G:$G,$B971)=0),"NO CATALOG ID MATCH in Release_Track",iserror(vlookup($A971&amp;$B971,'5) Release_Track'!$F:$F&amp;'5) Release_Track'!$G:$G,1,0)),"NO ISRC-CATALOG ID pair MATCH in Release_Track" )</f>
        <v/>
      </c>
      <c r="F971" s="122"/>
      <c r="G971" s="99"/>
      <c r="H971" s="178"/>
      <c r="I971" s="121" t="str">
        <f t="shared" si="6"/>
        <v/>
      </c>
      <c r="J971" s="99"/>
      <c r="K971" s="99"/>
    </row>
    <row r="972">
      <c r="B972" s="103"/>
      <c r="C972" s="121" t="str">
        <f t="array" ref="C972">ifs(and(isblank($A972),isblank($B972)),"", not(iserror(vlookup($A972&amp;$B972,'5) Release_Track'!$F:$F&amp;'5) Release_Track'!$G:$G,1,0))),vlookup($A972&amp;$B972,{'5) Release_Track'!$F:$F&amp;'5) Release_Track'!$G:$G,'5) Release_Track'!$H:$H},2,0), or(and(not(isblank($B972)),$B972=$B971,$A972&lt;&gt;$A971),and(not(isblank($A972)),$A972=$A971,$B972&lt;&gt;$B971)),"ID LISTS UNALIGNED",and($A972&lt;&gt;"",countif('5) Release_Track'!$F:$F,$A972)=0),"NO ISRC MATCH in Release_Track",and($B972&lt;&gt;"",countif('5) Release_Track'!$G:$G,$B972)=0),"NO CATALOG ID MATCH in Release_Track",iserror(vlookup($A972&amp;$B972,'5) Release_Track'!$F:$F&amp;'5) Release_Track'!$G:$G,1,0)),"NO ISRC-CATALOG ID pair MATCH in Release_Track" )</f>
        <v/>
      </c>
      <c r="D972" s="121" t="str">
        <f t="array" ref="D972">ifs(and(isblank($A972),isblank($B972)),"", not(iserror(vlookup($A972&amp;$B972,'5) Release_Track'!$F:$F&amp;'5) Release_Track'!$G:$G,1,0))),vlookup($A972&amp;$B972,{'5) Release_Track'!$F:$F&amp;'5) Release_Track'!$G:$G,'5) Release_Track'!$I:$I},2,0), or(and(not(isblank($B972)),$B972=$B971,$A972&lt;&gt;$A971),and(not(isblank($A972)),$A972=$A971,$B972&lt;&gt;$B971)),"ID LISTS UNALIGNED",and($A972&lt;&gt;"",countif('5) Release_Track'!$F:$F,$A972)=0),"NO ISRC MATCH in Release_Track",and($B972&lt;&gt;"",countif('5) Release_Track'!$G:$G,$B972)=0),"NO CATALOG ID MATCH in Release_Track",iserror(vlookup($A972&amp;$B972,'5) Release_Track'!$F:$F&amp;'5) Release_Track'!$G:$G,1,0)),"NO ISRC-CATALOG ID pair MATCH in Release_Track" )</f>
        <v/>
      </c>
      <c r="E972" s="125" t="str">
        <f t="array" ref="E972">ifs(and(isblank($A972),isblank($B972)),"", not(iserror(vlookup($A972&amp;$B972,'5) Release_Track'!$F:$F&amp;'5) Release_Track'!$G:$G,1,0))),vlookup($A972&amp;$B972,{'5) Release_Track'!$F:$F&amp;'5) Release_Track'!$G:$G,'5) Release_Track'!$J:$J},2,0), or(and(not(isblank($B972)),$B972=$B971,$A972&lt;&gt;$A971),and(not(isblank($A972)),$A972=$A971,$B972&lt;&gt;$B971)),"ID LISTS UNALIGNED",and($A972&lt;&gt;"",countif('5) Release_Track'!$F:$F,$A972)=0),"NO ISRC MATCH in Release_Track",and($B972&lt;&gt;"",countif('5) Release_Track'!$G:$G,$B972)=0),"NO CATALOG ID MATCH in Release_Track",iserror(vlookup($A972&amp;$B972,'5) Release_Track'!$F:$F&amp;'5) Release_Track'!$G:$G,1,0)),"NO ISRC-CATALOG ID pair MATCH in Release_Track" )</f>
        <v/>
      </c>
      <c r="F972" s="122"/>
      <c r="G972" s="99"/>
      <c r="H972" s="178"/>
      <c r="I972" s="121" t="str">
        <f t="shared" si="6"/>
        <v/>
      </c>
      <c r="J972" s="99"/>
      <c r="K972" s="99"/>
    </row>
    <row r="973">
      <c r="B973" s="103"/>
      <c r="C973" s="121" t="str">
        <f t="array" ref="C973">ifs(and(isblank($A973),isblank($B973)),"", not(iserror(vlookup($A973&amp;$B973,'5) Release_Track'!$F:$F&amp;'5) Release_Track'!$G:$G,1,0))),vlookup($A973&amp;$B973,{'5) Release_Track'!$F:$F&amp;'5) Release_Track'!$G:$G,'5) Release_Track'!$H:$H},2,0), or(and(not(isblank($B973)),$B973=$B972,$A973&lt;&gt;$A972),and(not(isblank($A973)),$A973=$A972,$B973&lt;&gt;$B972)),"ID LISTS UNALIGNED",and($A973&lt;&gt;"",countif('5) Release_Track'!$F:$F,$A973)=0),"NO ISRC MATCH in Release_Track",and($B973&lt;&gt;"",countif('5) Release_Track'!$G:$G,$B973)=0),"NO CATALOG ID MATCH in Release_Track",iserror(vlookup($A973&amp;$B973,'5) Release_Track'!$F:$F&amp;'5) Release_Track'!$G:$G,1,0)),"NO ISRC-CATALOG ID pair MATCH in Release_Track" )</f>
        <v/>
      </c>
      <c r="D973" s="121" t="str">
        <f t="array" ref="D973">ifs(and(isblank($A973),isblank($B973)),"", not(iserror(vlookup($A973&amp;$B973,'5) Release_Track'!$F:$F&amp;'5) Release_Track'!$G:$G,1,0))),vlookup($A973&amp;$B973,{'5) Release_Track'!$F:$F&amp;'5) Release_Track'!$G:$G,'5) Release_Track'!$I:$I},2,0), or(and(not(isblank($B973)),$B973=$B972,$A973&lt;&gt;$A972),and(not(isblank($A973)),$A973=$A972,$B973&lt;&gt;$B972)),"ID LISTS UNALIGNED",and($A973&lt;&gt;"",countif('5) Release_Track'!$F:$F,$A973)=0),"NO ISRC MATCH in Release_Track",and($B973&lt;&gt;"",countif('5) Release_Track'!$G:$G,$B973)=0),"NO CATALOG ID MATCH in Release_Track",iserror(vlookup($A973&amp;$B973,'5) Release_Track'!$F:$F&amp;'5) Release_Track'!$G:$G,1,0)),"NO ISRC-CATALOG ID pair MATCH in Release_Track" )</f>
        <v/>
      </c>
      <c r="E973" s="125" t="str">
        <f t="array" ref="E973">ifs(and(isblank($A973),isblank($B973)),"", not(iserror(vlookup($A973&amp;$B973,'5) Release_Track'!$F:$F&amp;'5) Release_Track'!$G:$G,1,0))),vlookup($A973&amp;$B973,{'5) Release_Track'!$F:$F&amp;'5) Release_Track'!$G:$G,'5) Release_Track'!$J:$J},2,0), or(and(not(isblank($B973)),$B973=$B972,$A973&lt;&gt;$A972),and(not(isblank($A973)),$A973=$A972,$B973&lt;&gt;$B972)),"ID LISTS UNALIGNED",and($A973&lt;&gt;"",countif('5) Release_Track'!$F:$F,$A973)=0),"NO ISRC MATCH in Release_Track",and($B973&lt;&gt;"",countif('5) Release_Track'!$G:$G,$B973)=0),"NO CATALOG ID MATCH in Release_Track",iserror(vlookup($A973&amp;$B973,'5) Release_Track'!$F:$F&amp;'5) Release_Track'!$G:$G,1,0)),"NO ISRC-CATALOG ID pair MATCH in Release_Track" )</f>
        <v/>
      </c>
      <c r="F973" s="122"/>
      <c r="G973" s="99"/>
      <c r="H973" s="178"/>
      <c r="I973" s="121" t="str">
        <f t="shared" si="6"/>
        <v/>
      </c>
      <c r="J973" s="99"/>
      <c r="K973" s="99"/>
    </row>
    <row r="974">
      <c r="B974" s="103"/>
      <c r="C974" s="121" t="str">
        <f t="array" ref="C974">ifs(and(isblank($A974),isblank($B974)),"", not(iserror(vlookup($A974&amp;$B974,'5) Release_Track'!$F:$F&amp;'5) Release_Track'!$G:$G,1,0))),vlookup($A974&amp;$B974,{'5) Release_Track'!$F:$F&amp;'5) Release_Track'!$G:$G,'5) Release_Track'!$H:$H},2,0), or(and(not(isblank($B974)),$B974=$B973,$A974&lt;&gt;$A973),and(not(isblank($A974)),$A974=$A973,$B974&lt;&gt;$B973)),"ID LISTS UNALIGNED",and($A974&lt;&gt;"",countif('5) Release_Track'!$F:$F,$A974)=0),"NO ISRC MATCH in Release_Track",and($B974&lt;&gt;"",countif('5) Release_Track'!$G:$G,$B974)=0),"NO CATALOG ID MATCH in Release_Track",iserror(vlookup($A974&amp;$B974,'5) Release_Track'!$F:$F&amp;'5) Release_Track'!$G:$G,1,0)),"NO ISRC-CATALOG ID pair MATCH in Release_Track" )</f>
        <v/>
      </c>
      <c r="D974" s="121" t="str">
        <f t="array" ref="D974">ifs(and(isblank($A974),isblank($B974)),"", not(iserror(vlookup($A974&amp;$B974,'5) Release_Track'!$F:$F&amp;'5) Release_Track'!$G:$G,1,0))),vlookup($A974&amp;$B974,{'5) Release_Track'!$F:$F&amp;'5) Release_Track'!$G:$G,'5) Release_Track'!$I:$I},2,0), or(and(not(isblank($B974)),$B974=$B973,$A974&lt;&gt;$A973),and(not(isblank($A974)),$A974=$A973,$B974&lt;&gt;$B973)),"ID LISTS UNALIGNED",and($A974&lt;&gt;"",countif('5) Release_Track'!$F:$F,$A974)=0),"NO ISRC MATCH in Release_Track",and($B974&lt;&gt;"",countif('5) Release_Track'!$G:$G,$B974)=0),"NO CATALOG ID MATCH in Release_Track",iserror(vlookup($A974&amp;$B974,'5) Release_Track'!$F:$F&amp;'5) Release_Track'!$G:$G,1,0)),"NO ISRC-CATALOG ID pair MATCH in Release_Track" )</f>
        <v/>
      </c>
      <c r="E974" s="125" t="str">
        <f t="array" ref="E974">ifs(and(isblank($A974),isblank($B974)),"", not(iserror(vlookup($A974&amp;$B974,'5) Release_Track'!$F:$F&amp;'5) Release_Track'!$G:$G,1,0))),vlookup($A974&amp;$B974,{'5) Release_Track'!$F:$F&amp;'5) Release_Track'!$G:$G,'5) Release_Track'!$J:$J},2,0), or(and(not(isblank($B974)),$B974=$B973,$A974&lt;&gt;$A973),and(not(isblank($A974)),$A974=$A973,$B974&lt;&gt;$B973)),"ID LISTS UNALIGNED",and($A974&lt;&gt;"",countif('5) Release_Track'!$F:$F,$A974)=0),"NO ISRC MATCH in Release_Track",and($B974&lt;&gt;"",countif('5) Release_Track'!$G:$G,$B974)=0),"NO CATALOG ID MATCH in Release_Track",iserror(vlookup($A974&amp;$B974,'5) Release_Track'!$F:$F&amp;'5) Release_Track'!$G:$G,1,0)),"NO ISRC-CATALOG ID pair MATCH in Release_Track" )</f>
        <v/>
      </c>
      <c r="F974" s="122"/>
      <c r="G974" s="99"/>
      <c r="H974" s="178"/>
      <c r="I974" s="121" t="str">
        <f t="shared" si="6"/>
        <v/>
      </c>
      <c r="J974" s="99"/>
      <c r="K974" s="99"/>
    </row>
    <row r="975">
      <c r="B975" s="103"/>
      <c r="C975" s="121" t="str">
        <f t="array" ref="C975">ifs(and(isblank($A975),isblank($B975)),"", not(iserror(vlookup($A975&amp;$B975,'5) Release_Track'!$F:$F&amp;'5) Release_Track'!$G:$G,1,0))),vlookup($A975&amp;$B975,{'5) Release_Track'!$F:$F&amp;'5) Release_Track'!$G:$G,'5) Release_Track'!$H:$H},2,0), or(and(not(isblank($B975)),$B975=$B974,$A975&lt;&gt;$A974),and(not(isblank($A975)),$A975=$A974,$B975&lt;&gt;$B974)),"ID LISTS UNALIGNED",and($A975&lt;&gt;"",countif('5) Release_Track'!$F:$F,$A975)=0),"NO ISRC MATCH in Release_Track",and($B975&lt;&gt;"",countif('5) Release_Track'!$G:$G,$B975)=0),"NO CATALOG ID MATCH in Release_Track",iserror(vlookup($A975&amp;$B975,'5) Release_Track'!$F:$F&amp;'5) Release_Track'!$G:$G,1,0)),"NO ISRC-CATALOG ID pair MATCH in Release_Track" )</f>
        <v/>
      </c>
      <c r="D975" s="121" t="str">
        <f t="array" ref="D975">ifs(and(isblank($A975),isblank($B975)),"", not(iserror(vlookup($A975&amp;$B975,'5) Release_Track'!$F:$F&amp;'5) Release_Track'!$G:$G,1,0))),vlookup($A975&amp;$B975,{'5) Release_Track'!$F:$F&amp;'5) Release_Track'!$G:$G,'5) Release_Track'!$I:$I},2,0), or(and(not(isblank($B975)),$B975=$B974,$A975&lt;&gt;$A974),and(not(isblank($A975)),$A975=$A974,$B975&lt;&gt;$B974)),"ID LISTS UNALIGNED",and($A975&lt;&gt;"",countif('5) Release_Track'!$F:$F,$A975)=0),"NO ISRC MATCH in Release_Track",and($B975&lt;&gt;"",countif('5) Release_Track'!$G:$G,$B975)=0),"NO CATALOG ID MATCH in Release_Track",iserror(vlookup($A975&amp;$B975,'5) Release_Track'!$F:$F&amp;'5) Release_Track'!$G:$G,1,0)),"NO ISRC-CATALOG ID pair MATCH in Release_Track" )</f>
        <v/>
      </c>
      <c r="E975" s="125" t="str">
        <f t="array" ref="E975">ifs(and(isblank($A975),isblank($B975)),"", not(iserror(vlookup($A975&amp;$B975,'5) Release_Track'!$F:$F&amp;'5) Release_Track'!$G:$G,1,0))),vlookup($A975&amp;$B975,{'5) Release_Track'!$F:$F&amp;'5) Release_Track'!$G:$G,'5) Release_Track'!$J:$J},2,0), or(and(not(isblank($B975)),$B975=$B974,$A975&lt;&gt;$A974),and(not(isblank($A975)),$A975=$A974,$B975&lt;&gt;$B974)),"ID LISTS UNALIGNED",and($A975&lt;&gt;"",countif('5) Release_Track'!$F:$F,$A975)=0),"NO ISRC MATCH in Release_Track",and($B975&lt;&gt;"",countif('5) Release_Track'!$G:$G,$B975)=0),"NO CATALOG ID MATCH in Release_Track",iserror(vlookup($A975&amp;$B975,'5) Release_Track'!$F:$F&amp;'5) Release_Track'!$G:$G,1,0)),"NO ISRC-CATALOG ID pair MATCH in Release_Track" )</f>
        <v/>
      </c>
      <c r="F975" s="122"/>
      <c r="G975" s="99"/>
      <c r="H975" s="178"/>
      <c r="I975" s="121" t="str">
        <f t="shared" si="6"/>
        <v/>
      </c>
      <c r="J975" s="99"/>
      <c r="K975" s="99"/>
    </row>
    <row r="976">
      <c r="B976" s="103"/>
      <c r="C976" s="121" t="str">
        <f t="array" ref="C976">ifs(and(isblank($A976),isblank($B976)),"", not(iserror(vlookup($A976&amp;$B976,'5) Release_Track'!$F:$F&amp;'5) Release_Track'!$G:$G,1,0))),vlookup($A976&amp;$B976,{'5) Release_Track'!$F:$F&amp;'5) Release_Track'!$G:$G,'5) Release_Track'!$H:$H},2,0), or(and(not(isblank($B976)),$B976=$B975,$A976&lt;&gt;$A975),and(not(isblank($A976)),$A976=$A975,$B976&lt;&gt;$B975)),"ID LISTS UNALIGNED",and($A976&lt;&gt;"",countif('5) Release_Track'!$F:$F,$A976)=0),"NO ISRC MATCH in Release_Track",and($B976&lt;&gt;"",countif('5) Release_Track'!$G:$G,$B976)=0),"NO CATALOG ID MATCH in Release_Track",iserror(vlookup($A976&amp;$B976,'5) Release_Track'!$F:$F&amp;'5) Release_Track'!$G:$G,1,0)),"NO ISRC-CATALOG ID pair MATCH in Release_Track" )</f>
        <v/>
      </c>
      <c r="D976" s="121" t="str">
        <f t="array" ref="D976">ifs(and(isblank($A976),isblank($B976)),"", not(iserror(vlookup($A976&amp;$B976,'5) Release_Track'!$F:$F&amp;'5) Release_Track'!$G:$G,1,0))),vlookup($A976&amp;$B976,{'5) Release_Track'!$F:$F&amp;'5) Release_Track'!$G:$G,'5) Release_Track'!$I:$I},2,0), or(and(not(isblank($B976)),$B976=$B975,$A976&lt;&gt;$A975),and(not(isblank($A976)),$A976=$A975,$B976&lt;&gt;$B975)),"ID LISTS UNALIGNED",and($A976&lt;&gt;"",countif('5) Release_Track'!$F:$F,$A976)=0),"NO ISRC MATCH in Release_Track",and($B976&lt;&gt;"",countif('5) Release_Track'!$G:$G,$B976)=0),"NO CATALOG ID MATCH in Release_Track",iserror(vlookup($A976&amp;$B976,'5) Release_Track'!$F:$F&amp;'5) Release_Track'!$G:$G,1,0)),"NO ISRC-CATALOG ID pair MATCH in Release_Track" )</f>
        <v/>
      </c>
      <c r="E976" s="125" t="str">
        <f t="array" ref="E976">ifs(and(isblank($A976),isblank($B976)),"", not(iserror(vlookup($A976&amp;$B976,'5) Release_Track'!$F:$F&amp;'5) Release_Track'!$G:$G,1,0))),vlookup($A976&amp;$B976,{'5) Release_Track'!$F:$F&amp;'5) Release_Track'!$G:$G,'5) Release_Track'!$J:$J},2,0), or(and(not(isblank($B976)),$B976=$B975,$A976&lt;&gt;$A975),and(not(isblank($A976)),$A976=$A975,$B976&lt;&gt;$B975)),"ID LISTS UNALIGNED",and($A976&lt;&gt;"",countif('5) Release_Track'!$F:$F,$A976)=0),"NO ISRC MATCH in Release_Track",and($B976&lt;&gt;"",countif('5) Release_Track'!$G:$G,$B976)=0),"NO CATALOG ID MATCH in Release_Track",iserror(vlookup($A976&amp;$B976,'5) Release_Track'!$F:$F&amp;'5) Release_Track'!$G:$G,1,0)),"NO ISRC-CATALOG ID pair MATCH in Release_Track" )</f>
        <v/>
      </c>
      <c r="F976" s="122"/>
      <c r="G976" s="99"/>
      <c r="H976" s="178"/>
      <c r="I976" s="121" t="str">
        <f t="shared" si="6"/>
        <v/>
      </c>
      <c r="J976" s="99"/>
      <c r="K976" s="99"/>
    </row>
    <row r="977">
      <c r="B977" s="103"/>
      <c r="C977" s="121" t="str">
        <f t="array" ref="C977">ifs(and(isblank($A977),isblank($B977)),"", not(iserror(vlookup($A977&amp;$B977,'5) Release_Track'!$F:$F&amp;'5) Release_Track'!$G:$G,1,0))),vlookup($A977&amp;$B977,{'5) Release_Track'!$F:$F&amp;'5) Release_Track'!$G:$G,'5) Release_Track'!$H:$H},2,0), or(and(not(isblank($B977)),$B977=$B976,$A977&lt;&gt;$A976),and(not(isblank($A977)),$A977=$A976,$B977&lt;&gt;$B976)),"ID LISTS UNALIGNED",and($A977&lt;&gt;"",countif('5) Release_Track'!$F:$F,$A977)=0),"NO ISRC MATCH in Release_Track",and($B977&lt;&gt;"",countif('5) Release_Track'!$G:$G,$B977)=0),"NO CATALOG ID MATCH in Release_Track",iserror(vlookup($A977&amp;$B977,'5) Release_Track'!$F:$F&amp;'5) Release_Track'!$G:$G,1,0)),"NO ISRC-CATALOG ID pair MATCH in Release_Track" )</f>
        <v/>
      </c>
      <c r="D977" s="121" t="str">
        <f t="array" ref="D977">ifs(and(isblank($A977),isblank($B977)),"", not(iserror(vlookup($A977&amp;$B977,'5) Release_Track'!$F:$F&amp;'5) Release_Track'!$G:$G,1,0))),vlookup($A977&amp;$B977,{'5) Release_Track'!$F:$F&amp;'5) Release_Track'!$G:$G,'5) Release_Track'!$I:$I},2,0), or(and(not(isblank($B977)),$B977=$B976,$A977&lt;&gt;$A976),and(not(isblank($A977)),$A977=$A976,$B977&lt;&gt;$B976)),"ID LISTS UNALIGNED",and($A977&lt;&gt;"",countif('5) Release_Track'!$F:$F,$A977)=0),"NO ISRC MATCH in Release_Track",and($B977&lt;&gt;"",countif('5) Release_Track'!$G:$G,$B977)=0),"NO CATALOG ID MATCH in Release_Track",iserror(vlookup($A977&amp;$B977,'5) Release_Track'!$F:$F&amp;'5) Release_Track'!$G:$G,1,0)),"NO ISRC-CATALOG ID pair MATCH in Release_Track" )</f>
        <v/>
      </c>
      <c r="E977" s="125" t="str">
        <f t="array" ref="E977">ifs(and(isblank($A977),isblank($B977)),"", not(iserror(vlookup($A977&amp;$B977,'5) Release_Track'!$F:$F&amp;'5) Release_Track'!$G:$G,1,0))),vlookup($A977&amp;$B977,{'5) Release_Track'!$F:$F&amp;'5) Release_Track'!$G:$G,'5) Release_Track'!$J:$J},2,0), or(and(not(isblank($B977)),$B977=$B976,$A977&lt;&gt;$A976),and(not(isblank($A977)),$A977=$A976,$B977&lt;&gt;$B976)),"ID LISTS UNALIGNED",and($A977&lt;&gt;"",countif('5) Release_Track'!$F:$F,$A977)=0),"NO ISRC MATCH in Release_Track",and($B977&lt;&gt;"",countif('5) Release_Track'!$G:$G,$B977)=0),"NO CATALOG ID MATCH in Release_Track",iserror(vlookup($A977&amp;$B977,'5) Release_Track'!$F:$F&amp;'5) Release_Track'!$G:$G,1,0)),"NO ISRC-CATALOG ID pair MATCH in Release_Track" )</f>
        <v/>
      </c>
      <c r="F977" s="122"/>
      <c r="G977" s="99"/>
      <c r="H977" s="178"/>
      <c r="I977" s="121" t="str">
        <f t="shared" si="6"/>
        <v/>
      </c>
      <c r="J977" s="99"/>
      <c r="K977" s="99"/>
    </row>
    <row r="978">
      <c r="B978" s="103"/>
      <c r="C978" s="121" t="str">
        <f t="array" ref="C978">ifs(and(isblank($A978),isblank($B978)),"", not(iserror(vlookup($A978&amp;$B978,'5) Release_Track'!$F:$F&amp;'5) Release_Track'!$G:$G,1,0))),vlookup($A978&amp;$B978,{'5) Release_Track'!$F:$F&amp;'5) Release_Track'!$G:$G,'5) Release_Track'!$H:$H},2,0), or(and(not(isblank($B978)),$B978=$B977,$A978&lt;&gt;$A977),and(not(isblank($A978)),$A978=$A977,$B978&lt;&gt;$B977)),"ID LISTS UNALIGNED",and($A978&lt;&gt;"",countif('5) Release_Track'!$F:$F,$A978)=0),"NO ISRC MATCH in Release_Track",and($B978&lt;&gt;"",countif('5) Release_Track'!$G:$G,$B978)=0),"NO CATALOG ID MATCH in Release_Track",iserror(vlookup($A978&amp;$B978,'5) Release_Track'!$F:$F&amp;'5) Release_Track'!$G:$G,1,0)),"NO ISRC-CATALOG ID pair MATCH in Release_Track" )</f>
        <v/>
      </c>
      <c r="D978" s="121" t="str">
        <f t="array" ref="D978">ifs(and(isblank($A978),isblank($B978)),"", not(iserror(vlookup($A978&amp;$B978,'5) Release_Track'!$F:$F&amp;'5) Release_Track'!$G:$G,1,0))),vlookup($A978&amp;$B978,{'5) Release_Track'!$F:$F&amp;'5) Release_Track'!$G:$G,'5) Release_Track'!$I:$I},2,0), or(and(not(isblank($B978)),$B978=$B977,$A978&lt;&gt;$A977),and(not(isblank($A978)),$A978=$A977,$B978&lt;&gt;$B977)),"ID LISTS UNALIGNED",and($A978&lt;&gt;"",countif('5) Release_Track'!$F:$F,$A978)=0),"NO ISRC MATCH in Release_Track",and($B978&lt;&gt;"",countif('5) Release_Track'!$G:$G,$B978)=0),"NO CATALOG ID MATCH in Release_Track",iserror(vlookup($A978&amp;$B978,'5) Release_Track'!$F:$F&amp;'5) Release_Track'!$G:$G,1,0)),"NO ISRC-CATALOG ID pair MATCH in Release_Track" )</f>
        <v/>
      </c>
      <c r="E978" s="125" t="str">
        <f t="array" ref="E978">ifs(and(isblank($A978),isblank($B978)),"", not(iserror(vlookup($A978&amp;$B978,'5) Release_Track'!$F:$F&amp;'5) Release_Track'!$G:$G,1,0))),vlookup($A978&amp;$B978,{'5) Release_Track'!$F:$F&amp;'5) Release_Track'!$G:$G,'5) Release_Track'!$J:$J},2,0), or(and(not(isblank($B978)),$B978=$B977,$A978&lt;&gt;$A977),and(not(isblank($A978)),$A978=$A977,$B978&lt;&gt;$B977)),"ID LISTS UNALIGNED",and($A978&lt;&gt;"",countif('5) Release_Track'!$F:$F,$A978)=0),"NO ISRC MATCH in Release_Track",and($B978&lt;&gt;"",countif('5) Release_Track'!$G:$G,$B978)=0),"NO CATALOG ID MATCH in Release_Track",iserror(vlookup($A978&amp;$B978,'5) Release_Track'!$F:$F&amp;'5) Release_Track'!$G:$G,1,0)),"NO ISRC-CATALOG ID pair MATCH in Release_Track" )</f>
        <v/>
      </c>
      <c r="F978" s="122"/>
      <c r="G978" s="99"/>
      <c r="H978" s="178"/>
      <c r="I978" s="121" t="str">
        <f t="shared" si="6"/>
        <v/>
      </c>
      <c r="J978" s="99"/>
      <c r="K978" s="99"/>
    </row>
    <row r="979">
      <c r="B979" s="103"/>
      <c r="C979" s="121" t="str">
        <f t="array" ref="C979">ifs(and(isblank($A979),isblank($B979)),"", not(iserror(vlookup($A979&amp;$B979,'5) Release_Track'!$F:$F&amp;'5) Release_Track'!$G:$G,1,0))),vlookup($A979&amp;$B979,{'5) Release_Track'!$F:$F&amp;'5) Release_Track'!$G:$G,'5) Release_Track'!$H:$H},2,0), or(and(not(isblank($B979)),$B979=$B978,$A979&lt;&gt;$A978),and(not(isblank($A979)),$A979=$A978,$B979&lt;&gt;$B978)),"ID LISTS UNALIGNED",and($A979&lt;&gt;"",countif('5) Release_Track'!$F:$F,$A979)=0),"NO ISRC MATCH in Release_Track",and($B979&lt;&gt;"",countif('5) Release_Track'!$G:$G,$B979)=0),"NO CATALOG ID MATCH in Release_Track",iserror(vlookup($A979&amp;$B979,'5) Release_Track'!$F:$F&amp;'5) Release_Track'!$G:$G,1,0)),"NO ISRC-CATALOG ID pair MATCH in Release_Track" )</f>
        <v/>
      </c>
      <c r="D979" s="121" t="str">
        <f t="array" ref="D979">ifs(and(isblank($A979),isblank($B979)),"", not(iserror(vlookup($A979&amp;$B979,'5) Release_Track'!$F:$F&amp;'5) Release_Track'!$G:$G,1,0))),vlookup($A979&amp;$B979,{'5) Release_Track'!$F:$F&amp;'5) Release_Track'!$G:$G,'5) Release_Track'!$I:$I},2,0), or(and(not(isblank($B979)),$B979=$B978,$A979&lt;&gt;$A978),and(not(isblank($A979)),$A979=$A978,$B979&lt;&gt;$B978)),"ID LISTS UNALIGNED",and($A979&lt;&gt;"",countif('5) Release_Track'!$F:$F,$A979)=0),"NO ISRC MATCH in Release_Track",and($B979&lt;&gt;"",countif('5) Release_Track'!$G:$G,$B979)=0),"NO CATALOG ID MATCH in Release_Track",iserror(vlookup($A979&amp;$B979,'5) Release_Track'!$F:$F&amp;'5) Release_Track'!$G:$G,1,0)),"NO ISRC-CATALOG ID pair MATCH in Release_Track" )</f>
        <v/>
      </c>
      <c r="E979" s="125" t="str">
        <f t="array" ref="E979">ifs(and(isblank($A979),isblank($B979)),"", not(iserror(vlookup($A979&amp;$B979,'5) Release_Track'!$F:$F&amp;'5) Release_Track'!$G:$G,1,0))),vlookup($A979&amp;$B979,{'5) Release_Track'!$F:$F&amp;'5) Release_Track'!$G:$G,'5) Release_Track'!$J:$J},2,0), or(and(not(isblank($B979)),$B979=$B978,$A979&lt;&gt;$A978),and(not(isblank($A979)),$A979=$A978,$B979&lt;&gt;$B978)),"ID LISTS UNALIGNED",and($A979&lt;&gt;"",countif('5) Release_Track'!$F:$F,$A979)=0),"NO ISRC MATCH in Release_Track",and($B979&lt;&gt;"",countif('5) Release_Track'!$G:$G,$B979)=0),"NO CATALOG ID MATCH in Release_Track",iserror(vlookup($A979&amp;$B979,'5) Release_Track'!$F:$F&amp;'5) Release_Track'!$G:$G,1,0)),"NO ISRC-CATALOG ID pair MATCH in Release_Track" )</f>
        <v/>
      </c>
      <c r="F979" s="122"/>
      <c r="G979" s="99"/>
      <c r="H979" s="178"/>
      <c r="I979" s="121" t="str">
        <f t="shared" si="6"/>
        <v/>
      </c>
      <c r="J979" s="99"/>
      <c r="K979" s="99"/>
    </row>
    <row r="980">
      <c r="B980" s="103"/>
      <c r="C980" s="121" t="str">
        <f t="array" ref="C980">ifs(and(isblank($A980),isblank($B980)),"", not(iserror(vlookup($A980&amp;$B980,'5) Release_Track'!$F:$F&amp;'5) Release_Track'!$G:$G,1,0))),vlookup($A980&amp;$B980,{'5) Release_Track'!$F:$F&amp;'5) Release_Track'!$G:$G,'5) Release_Track'!$H:$H},2,0), or(and(not(isblank($B980)),$B980=$B979,$A980&lt;&gt;$A979),and(not(isblank($A980)),$A980=$A979,$B980&lt;&gt;$B979)),"ID LISTS UNALIGNED",and($A980&lt;&gt;"",countif('5) Release_Track'!$F:$F,$A980)=0),"NO ISRC MATCH in Release_Track",and($B980&lt;&gt;"",countif('5) Release_Track'!$G:$G,$B980)=0),"NO CATALOG ID MATCH in Release_Track",iserror(vlookup($A980&amp;$B980,'5) Release_Track'!$F:$F&amp;'5) Release_Track'!$G:$G,1,0)),"NO ISRC-CATALOG ID pair MATCH in Release_Track" )</f>
        <v/>
      </c>
      <c r="D980" s="121" t="str">
        <f t="array" ref="D980">ifs(and(isblank($A980),isblank($B980)),"", not(iserror(vlookup($A980&amp;$B980,'5) Release_Track'!$F:$F&amp;'5) Release_Track'!$G:$G,1,0))),vlookup($A980&amp;$B980,{'5) Release_Track'!$F:$F&amp;'5) Release_Track'!$G:$G,'5) Release_Track'!$I:$I},2,0), or(and(not(isblank($B980)),$B980=$B979,$A980&lt;&gt;$A979),and(not(isblank($A980)),$A980=$A979,$B980&lt;&gt;$B979)),"ID LISTS UNALIGNED",and($A980&lt;&gt;"",countif('5) Release_Track'!$F:$F,$A980)=0),"NO ISRC MATCH in Release_Track",and($B980&lt;&gt;"",countif('5) Release_Track'!$G:$G,$B980)=0),"NO CATALOG ID MATCH in Release_Track",iserror(vlookup($A980&amp;$B980,'5) Release_Track'!$F:$F&amp;'5) Release_Track'!$G:$G,1,0)),"NO ISRC-CATALOG ID pair MATCH in Release_Track" )</f>
        <v/>
      </c>
      <c r="E980" s="125" t="str">
        <f t="array" ref="E980">ifs(and(isblank($A980),isblank($B980)),"", not(iserror(vlookup($A980&amp;$B980,'5) Release_Track'!$F:$F&amp;'5) Release_Track'!$G:$G,1,0))),vlookup($A980&amp;$B980,{'5) Release_Track'!$F:$F&amp;'5) Release_Track'!$G:$G,'5) Release_Track'!$J:$J},2,0), or(and(not(isblank($B980)),$B980=$B979,$A980&lt;&gt;$A979),and(not(isblank($A980)),$A980=$A979,$B980&lt;&gt;$B979)),"ID LISTS UNALIGNED",and($A980&lt;&gt;"",countif('5) Release_Track'!$F:$F,$A980)=0),"NO ISRC MATCH in Release_Track",and($B980&lt;&gt;"",countif('5) Release_Track'!$G:$G,$B980)=0),"NO CATALOG ID MATCH in Release_Track",iserror(vlookup($A980&amp;$B980,'5) Release_Track'!$F:$F&amp;'5) Release_Track'!$G:$G,1,0)),"NO ISRC-CATALOG ID pair MATCH in Release_Track" )</f>
        <v/>
      </c>
      <c r="F980" s="122"/>
      <c r="G980" s="99"/>
      <c r="H980" s="178"/>
      <c r="I980" s="121" t="str">
        <f t="shared" si="6"/>
        <v/>
      </c>
      <c r="J980" s="99"/>
      <c r="K980" s="99"/>
    </row>
    <row r="981">
      <c r="B981" s="103"/>
      <c r="C981" s="121" t="str">
        <f t="array" ref="C981">ifs(and(isblank($A981),isblank($B981)),"", not(iserror(vlookup($A981&amp;$B981,'5) Release_Track'!$F:$F&amp;'5) Release_Track'!$G:$G,1,0))),vlookup($A981&amp;$B981,{'5) Release_Track'!$F:$F&amp;'5) Release_Track'!$G:$G,'5) Release_Track'!$H:$H},2,0), or(and(not(isblank($B981)),$B981=$B980,$A981&lt;&gt;$A980),and(not(isblank($A981)),$A981=$A980,$B981&lt;&gt;$B980)),"ID LISTS UNALIGNED",and($A981&lt;&gt;"",countif('5) Release_Track'!$F:$F,$A981)=0),"NO ISRC MATCH in Release_Track",and($B981&lt;&gt;"",countif('5) Release_Track'!$G:$G,$B981)=0),"NO CATALOG ID MATCH in Release_Track",iserror(vlookup($A981&amp;$B981,'5) Release_Track'!$F:$F&amp;'5) Release_Track'!$G:$G,1,0)),"NO ISRC-CATALOG ID pair MATCH in Release_Track" )</f>
        <v/>
      </c>
      <c r="D981" s="121" t="str">
        <f t="array" ref="D981">ifs(and(isblank($A981),isblank($B981)),"", not(iserror(vlookup($A981&amp;$B981,'5) Release_Track'!$F:$F&amp;'5) Release_Track'!$G:$G,1,0))),vlookup($A981&amp;$B981,{'5) Release_Track'!$F:$F&amp;'5) Release_Track'!$G:$G,'5) Release_Track'!$I:$I},2,0), or(and(not(isblank($B981)),$B981=$B980,$A981&lt;&gt;$A980),and(not(isblank($A981)),$A981=$A980,$B981&lt;&gt;$B980)),"ID LISTS UNALIGNED",and($A981&lt;&gt;"",countif('5) Release_Track'!$F:$F,$A981)=0),"NO ISRC MATCH in Release_Track",and($B981&lt;&gt;"",countif('5) Release_Track'!$G:$G,$B981)=0),"NO CATALOG ID MATCH in Release_Track",iserror(vlookup($A981&amp;$B981,'5) Release_Track'!$F:$F&amp;'5) Release_Track'!$G:$G,1,0)),"NO ISRC-CATALOG ID pair MATCH in Release_Track" )</f>
        <v/>
      </c>
      <c r="E981" s="125" t="str">
        <f t="array" ref="E981">ifs(and(isblank($A981),isblank($B981)),"", not(iserror(vlookup($A981&amp;$B981,'5) Release_Track'!$F:$F&amp;'5) Release_Track'!$G:$G,1,0))),vlookup($A981&amp;$B981,{'5) Release_Track'!$F:$F&amp;'5) Release_Track'!$G:$G,'5) Release_Track'!$J:$J},2,0), or(and(not(isblank($B981)),$B981=$B980,$A981&lt;&gt;$A980),and(not(isblank($A981)),$A981=$A980,$B981&lt;&gt;$B980)),"ID LISTS UNALIGNED",and($A981&lt;&gt;"",countif('5) Release_Track'!$F:$F,$A981)=0),"NO ISRC MATCH in Release_Track",and($B981&lt;&gt;"",countif('5) Release_Track'!$G:$G,$B981)=0),"NO CATALOG ID MATCH in Release_Track",iserror(vlookup($A981&amp;$B981,'5) Release_Track'!$F:$F&amp;'5) Release_Track'!$G:$G,1,0)),"NO ISRC-CATALOG ID pair MATCH in Release_Track" )</f>
        <v/>
      </c>
      <c r="F981" s="122"/>
      <c r="G981" s="99"/>
      <c r="H981" s="178"/>
      <c r="I981" s="121" t="str">
        <f t="shared" si="6"/>
        <v/>
      </c>
      <c r="J981" s="99"/>
      <c r="K981" s="99"/>
    </row>
    <row r="982">
      <c r="B982" s="103"/>
      <c r="C982" s="121" t="str">
        <f t="array" ref="C982">ifs(and(isblank($A982),isblank($B982)),"", not(iserror(vlookup($A982&amp;$B982,'5) Release_Track'!$F:$F&amp;'5) Release_Track'!$G:$G,1,0))),vlookup($A982&amp;$B982,{'5) Release_Track'!$F:$F&amp;'5) Release_Track'!$G:$G,'5) Release_Track'!$H:$H},2,0), or(and(not(isblank($B982)),$B982=$B981,$A982&lt;&gt;$A981),and(not(isblank($A982)),$A982=$A981,$B982&lt;&gt;$B981)),"ID LISTS UNALIGNED",and($A982&lt;&gt;"",countif('5) Release_Track'!$F:$F,$A982)=0),"NO ISRC MATCH in Release_Track",and($B982&lt;&gt;"",countif('5) Release_Track'!$G:$G,$B982)=0),"NO CATALOG ID MATCH in Release_Track",iserror(vlookup($A982&amp;$B982,'5) Release_Track'!$F:$F&amp;'5) Release_Track'!$G:$G,1,0)),"NO ISRC-CATALOG ID pair MATCH in Release_Track" )</f>
        <v/>
      </c>
      <c r="D982" s="121" t="str">
        <f t="array" ref="D982">ifs(and(isblank($A982),isblank($B982)),"", not(iserror(vlookup($A982&amp;$B982,'5) Release_Track'!$F:$F&amp;'5) Release_Track'!$G:$G,1,0))),vlookup($A982&amp;$B982,{'5) Release_Track'!$F:$F&amp;'5) Release_Track'!$G:$G,'5) Release_Track'!$I:$I},2,0), or(and(not(isblank($B982)),$B982=$B981,$A982&lt;&gt;$A981),and(not(isblank($A982)),$A982=$A981,$B982&lt;&gt;$B981)),"ID LISTS UNALIGNED",and($A982&lt;&gt;"",countif('5) Release_Track'!$F:$F,$A982)=0),"NO ISRC MATCH in Release_Track",and($B982&lt;&gt;"",countif('5) Release_Track'!$G:$G,$B982)=0),"NO CATALOG ID MATCH in Release_Track",iserror(vlookup($A982&amp;$B982,'5) Release_Track'!$F:$F&amp;'5) Release_Track'!$G:$G,1,0)),"NO ISRC-CATALOG ID pair MATCH in Release_Track" )</f>
        <v/>
      </c>
      <c r="E982" s="125" t="str">
        <f t="array" ref="E982">ifs(and(isblank($A982),isblank($B982)),"", not(iserror(vlookup($A982&amp;$B982,'5) Release_Track'!$F:$F&amp;'5) Release_Track'!$G:$G,1,0))),vlookup($A982&amp;$B982,{'5) Release_Track'!$F:$F&amp;'5) Release_Track'!$G:$G,'5) Release_Track'!$J:$J},2,0), or(and(not(isblank($B982)),$B982=$B981,$A982&lt;&gt;$A981),and(not(isblank($A982)),$A982=$A981,$B982&lt;&gt;$B981)),"ID LISTS UNALIGNED",and($A982&lt;&gt;"",countif('5) Release_Track'!$F:$F,$A982)=0),"NO ISRC MATCH in Release_Track",and($B982&lt;&gt;"",countif('5) Release_Track'!$G:$G,$B982)=0),"NO CATALOG ID MATCH in Release_Track",iserror(vlookup($A982&amp;$B982,'5) Release_Track'!$F:$F&amp;'5) Release_Track'!$G:$G,1,0)),"NO ISRC-CATALOG ID pair MATCH in Release_Track" )</f>
        <v/>
      </c>
      <c r="F982" s="122"/>
      <c r="G982" s="99"/>
      <c r="H982" s="178"/>
      <c r="I982" s="121" t="str">
        <f t="shared" si="6"/>
        <v/>
      </c>
      <c r="J982" s="99"/>
      <c r="K982" s="99"/>
    </row>
    <row r="983">
      <c r="B983" s="103"/>
      <c r="C983" s="121" t="str">
        <f t="array" ref="C983">ifs(and(isblank($A983),isblank($B983)),"", not(iserror(vlookup($A983&amp;$B983,'5) Release_Track'!$F:$F&amp;'5) Release_Track'!$G:$G,1,0))),vlookup($A983&amp;$B983,{'5) Release_Track'!$F:$F&amp;'5) Release_Track'!$G:$G,'5) Release_Track'!$H:$H},2,0), or(and(not(isblank($B983)),$B983=$B982,$A983&lt;&gt;$A982),and(not(isblank($A983)),$A983=$A982,$B983&lt;&gt;$B982)),"ID LISTS UNALIGNED",and($A983&lt;&gt;"",countif('5) Release_Track'!$F:$F,$A983)=0),"NO ISRC MATCH in Release_Track",and($B983&lt;&gt;"",countif('5) Release_Track'!$G:$G,$B983)=0),"NO CATALOG ID MATCH in Release_Track",iserror(vlookup($A983&amp;$B983,'5) Release_Track'!$F:$F&amp;'5) Release_Track'!$G:$G,1,0)),"NO ISRC-CATALOG ID pair MATCH in Release_Track" )</f>
        <v/>
      </c>
      <c r="D983" s="121" t="str">
        <f t="array" ref="D983">ifs(and(isblank($A983),isblank($B983)),"", not(iserror(vlookup($A983&amp;$B983,'5) Release_Track'!$F:$F&amp;'5) Release_Track'!$G:$G,1,0))),vlookup($A983&amp;$B983,{'5) Release_Track'!$F:$F&amp;'5) Release_Track'!$G:$G,'5) Release_Track'!$I:$I},2,0), or(and(not(isblank($B983)),$B983=$B982,$A983&lt;&gt;$A982),and(not(isblank($A983)),$A983=$A982,$B983&lt;&gt;$B982)),"ID LISTS UNALIGNED",and($A983&lt;&gt;"",countif('5) Release_Track'!$F:$F,$A983)=0),"NO ISRC MATCH in Release_Track",and($B983&lt;&gt;"",countif('5) Release_Track'!$G:$G,$B983)=0),"NO CATALOG ID MATCH in Release_Track",iserror(vlookup($A983&amp;$B983,'5) Release_Track'!$F:$F&amp;'5) Release_Track'!$G:$G,1,0)),"NO ISRC-CATALOG ID pair MATCH in Release_Track" )</f>
        <v/>
      </c>
      <c r="E983" s="125" t="str">
        <f t="array" ref="E983">ifs(and(isblank($A983),isblank($B983)),"", not(iserror(vlookup($A983&amp;$B983,'5) Release_Track'!$F:$F&amp;'5) Release_Track'!$G:$G,1,0))),vlookup($A983&amp;$B983,{'5) Release_Track'!$F:$F&amp;'5) Release_Track'!$G:$G,'5) Release_Track'!$J:$J},2,0), or(and(not(isblank($B983)),$B983=$B982,$A983&lt;&gt;$A982),and(not(isblank($A983)),$A983=$A982,$B983&lt;&gt;$B982)),"ID LISTS UNALIGNED",and($A983&lt;&gt;"",countif('5) Release_Track'!$F:$F,$A983)=0),"NO ISRC MATCH in Release_Track",and($B983&lt;&gt;"",countif('5) Release_Track'!$G:$G,$B983)=0),"NO CATALOG ID MATCH in Release_Track",iserror(vlookup($A983&amp;$B983,'5) Release_Track'!$F:$F&amp;'5) Release_Track'!$G:$G,1,0)),"NO ISRC-CATALOG ID pair MATCH in Release_Track" )</f>
        <v/>
      </c>
      <c r="F983" s="122"/>
      <c r="G983" s="99"/>
      <c r="H983" s="178"/>
      <c r="I983" s="121" t="str">
        <f t="shared" si="6"/>
        <v/>
      </c>
      <c r="J983" s="99"/>
      <c r="K983" s="99"/>
    </row>
    <row r="984">
      <c r="B984" s="103"/>
      <c r="C984" s="121" t="str">
        <f t="array" ref="C984">ifs(and(isblank($A984),isblank($B984)),"", not(iserror(vlookup($A984&amp;$B984,'5) Release_Track'!$F:$F&amp;'5) Release_Track'!$G:$G,1,0))),vlookup($A984&amp;$B984,{'5) Release_Track'!$F:$F&amp;'5) Release_Track'!$G:$G,'5) Release_Track'!$H:$H},2,0), or(and(not(isblank($B984)),$B984=$B983,$A984&lt;&gt;$A983),and(not(isblank($A984)),$A984=$A983,$B984&lt;&gt;$B983)),"ID LISTS UNALIGNED",and($A984&lt;&gt;"",countif('5) Release_Track'!$F:$F,$A984)=0),"NO ISRC MATCH in Release_Track",and($B984&lt;&gt;"",countif('5) Release_Track'!$G:$G,$B984)=0),"NO CATALOG ID MATCH in Release_Track",iserror(vlookup($A984&amp;$B984,'5) Release_Track'!$F:$F&amp;'5) Release_Track'!$G:$G,1,0)),"NO ISRC-CATALOG ID pair MATCH in Release_Track" )</f>
        <v/>
      </c>
      <c r="D984" s="121" t="str">
        <f t="array" ref="D984">ifs(and(isblank($A984),isblank($B984)),"", not(iserror(vlookup($A984&amp;$B984,'5) Release_Track'!$F:$F&amp;'5) Release_Track'!$G:$G,1,0))),vlookup($A984&amp;$B984,{'5) Release_Track'!$F:$F&amp;'5) Release_Track'!$G:$G,'5) Release_Track'!$I:$I},2,0), or(and(not(isblank($B984)),$B984=$B983,$A984&lt;&gt;$A983),and(not(isblank($A984)),$A984=$A983,$B984&lt;&gt;$B983)),"ID LISTS UNALIGNED",and($A984&lt;&gt;"",countif('5) Release_Track'!$F:$F,$A984)=0),"NO ISRC MATCH in Release_Track",and($B984&lt;&gt;"",countif('5) Release_Track'!$G:$G,$B984)=0),"NO CATALOG ID MATCH in Release_Track",iserror(vlookup($A984&amp;$B984,'5) Release_Track'!$F:$F&amp;'5) Release_Track'!$G:$G,1,0)),"NO ISRC-CATALOG ID pair MATCH in Release_Track" )</f>
        <v/>
      </c>
      <c r="E984" s="125" t="str">
        <f t="array" ref="E984">ifs(and(isblank($A984),isblank($B984)),"", not(iserror(vlookup($A984&amp;$B984,'5) Release_Track'!$F:$F&amp;'5) Release_Track'!$G:$G,1,0))),vlookup($A984&amp;$B984,{'5) Release_Track'!$F:$F&amp;'5) Release_Track'!$G:$G,'5) Release_Track'!$J:$J},2,0), or(and(not(isblank($B984)),$B984=$B983,$A984&lt;&gt;$A983),and(not(isblank($A984)),$A984=$A983,$B984&lt;&gt;$B983)),"ID LISTS UNALIGNED",and($A984&lt;&gt;"",countif('5) Release_Track'!$F:$F,$A984)=0),"NO ISRC MATCH in Release_Track",and($B984&lt;&gt;"",countif('5) Release_Track'!$G:$G,$B984)=0),"NO CATALOG ID MATCH in Release_Track",iserror(vlookup($A984&amp;$B984,'5) Release_Track'!$F:$F&amp;'5) Release_Track'!$G:$G,1,0)),"NO ISRC-CATALOG ID pair MATCH in Release_Track" )</f>
        <v/>
      </c>
      <c r="F984" s="122"/>
      <c r="G984" s="99"/>
      <c r="H984" s="178"/>
      <c r="I984" s="121" t="str">
        <f t="shared" si="6"/>
        <v/>
      </c>
      <c r="J984" s="99"/>
      <c r="K984" s="99"/>
    </row>
    <row r="985">
      <c r="B985" s="103"/>
      <c r="C985" s="121" t="str">
        <f t="array" ref="C985">ifs(and(isblank($A985),isblank($B985)),"", not(iserror(vlookup($A985&amp;$B985,'5) Release_Track'!$F:$F&amp;'5) Release_Track'!$G:$G,1,0))),vlookup($A985&amp;$B985,{'5) Release_Track'!$F:$F&amp;'5) Release_Track'!$G:$G,'5) Release_Track'!$H:$H},2,0), or(and(not(isblank($B985)),$B985=$B984,$A985&lt;&gt;$A984),and(not(isblank($A985)),$A985=$A984,$B985&lt;&gt;$B984)),"ID LISTS UNALIGNED",and($A985&lt;&gt;"",countif('5) Release_Track'!$F:$F,$A985)=0),"NO ISRC MATCH in Release_Track",and($B985&lt;&gt;"",countif('5) Release_Track'!$G:$G,$B985)=0),"NO CATALOG ID MATCH in Release_Track",iserror(vlookup($A985&amp;$B985,'5) Release_Track'!$F:$F&amp;'5) Release_Track'!$G:$G,1,0)),"NO ISRC-CATALOG ID pair MATCH in Release_Track" )</f>
        <v/>
      </c>
      <c r="D985" s="121" t="str">
        <f t="array" ref="D985">ifs(and(isblank($A985),isblank($B985)),"", not(iserror(vlookup($A985&amp;$B985,'5) Release_Track'!$F:$F&amp;'5) Release_Track'!$G:$G,1,0))),vlookup($A985&amp;$B985,{'5) Release_Track'!$F:$F&amp;'5) Release_Track'!$G:$G,'5) Release_Track'!$I:$I},2,0), or(and(not(isblank($B985)),$B985=$B984,$A985&lt;&gt;$A984),and(not(isblank($A985)),$A985=$A984,$B985&lt;&gt;$B984)),"ID LISTS UNALIGNED",and($A985&lt;&gt;"",countif('5) Release_Track'!$F:$F,$A985)=0),"NO ISRC MATCH in Release_Track",and($B985&lt;&gt;"",countif('5) Release_Track'!$G:$G,$B985)=0),"NO CATALOG ID MATCH in Release_Track",iserror(vlookup($A985&amp;$B985,'5) Release_Track'!$F:$F&amp;'5) Release_Track'!$G:$G,1,0)),"NO ISRC-CATALOG ID pair MATCH in Release_Track" )</f>
        <v/>
      </c>
      <c r="E985" s="125" t="str">
        <f t="array" ref="E985">ifs(and(isblank($A985),isblank($B985)),"", not(iserror(vlookup($A985&amp;$B985,'5) Release_Track'!$F:$F&amp;'5) Release_Track'!$G:$G,1,0))),vlookup($A985&amp;$B985,{'5) Release_Track'!$F:$F&amp;'5) Release_Track'!$G:$G,'5) Release_Track'!$J:$J},2,0), or(and(not(isblank($B985)),$B985=$B984,$A985&lt;&gt;$A984),and(not(isblank($A985)),$A985=$A984,$B985&lt;&gt;$B984)),"ID LISTS UNALIGNED",and($A985&lt;&gt;"",countif('5) Release_Track'!$F:$F,$A985)=0),"NO ISRC MATCH in Release_Track",and($B985&lt;&gt;"",countif('5) Release_Track'!$G:$G,$B985)=0),"NO CATALOG ID MATCH in Release_Track",iserror(vlookup($A985&amp;$B985,'5) Release_Track'!$F:$F&amp;'5) Release_Track'!$G:$G,1,0)),"NO ISRC-CATALOG ID pair MATCH in Release_Track" )</f>
        <v/>
      </c>
      <c r="F985" s="122"/>
      <c r="G985" s="99"/>
      <c r="H985" s="178"/>
      <c r="I985" s="121" t="str">
        <f t="shared" si="6"/>
        <v/>
      </c>
      <c r="J985" s="99"/>
      <c r="K985" s="99"/>
    </row>
    <row r="986">
      <c r="B986" s="103"/>
      <c r="C986" s="121" t="str">
        <f t="array" ref="C986">ifs(and(isblank($A986),isblank($B986)),"", not(iserror(vlookup($A986&amp;$B986,'5) Release_Track'!$F:$F&amp;'5) Release_Track'!$G:$G,1,0))),vlookup($A986&amp;$B986,{'5) Release_Track'!$F:$F&amp;'5) Release_Track'!$G:$G,'5) Release_Track'!$H:$H},2,0), or(and(not(isblank($B986)),$B986=$B985,$A986&lt;&gt;$A985),and(not(isblank($A986)),$A986=$A985,$B986&lt;&gt;$B985)),"ID LISTS UNALIGNED",and($A986&lt;&gt;"",countif('5) Release_Track'!$F:$F,$A986)=0),"NO ISRC MATCH in Release_Track",and($B986&lt;&gt;"",countif('5) Release_Track'!$G:$G,$B986)=0),"NO CATALOG ID MATCH in Release_Track",iserror(vlookup($A986&amp;$B986,'5) Release_Track'!$F:$F&amp;'5) Release_Track'!$G:$G,1,0)),"NO ISRC-CATALOG ID pair MATCH in Release_Track" )</f>
        <v/>
      </c>
      <c r="D986" s="121" t="str">
        <f t="array" ref="D986">ifs(and(isblank($A986),isblank($B986)),"", not(iserror(vlookup($A986&amp;$B986,'5) Release_Track'!$F:$F&amp;'5) Release_Track'!$G:$G,1,0))),vlookup($A986&amp;$B986,{'5) Release_Track'!$F:$F&amp;'5) Release_Track'!$G:$G,'5) Release_Track'!$I:$I},2,0), or(and(not(isblank($B986)),$B986=$B985,$A986&lt;&gt;$A985),and(not(isblank($A986)),$A986=$A985,$B986&lt;&gt;$B985)),"ID LISTS UNALIGNED",and($A986&lt;&gt;"",countif('5) Release_Track'!$F:$F,$A986)=0),"NO ISRC MATCH in Release_Track",and($B986&lt;&gt;"",countif('5) Release_Track'!$G:$G,$B986)=0),"NO CATALOG ID MATCH in Release_Track",iserror(vlookup($A986&amp;$B986,'5) Release_Track'!$F:$F&amp;'5) Release_Track'!$G:$G,1,0)),"NO ISRC-CATALOG ID pair MATCH in Release_Track" )</f>
        <v/>
      </c>
      <c r="E986" s="125" t="str">
        <f t="array" ref="E986">ifs(and(isblank($A986),isblank($B986)),"", not(iserror(vlookup($A986&amp;$B986,'5) Release_Track'!$F:$F&amp;'5) Release_Track'!$G:$G,1,0))),vlookup($A986&amp;$B986,{'5) Release_Track'!$F:$F&amp;'5) Release_Track'!$G:$G,'5) Release_Track'!$J:$J},2,0), or(and(not(isblank($B986)),$B986=$B985,$A986&lt;&gt;$A985),and(not(isblank($A986)),$A986=$A985,$B986&lt;&gt;$B985)),"ID LISTS UNALIGNED",and($A986&lt;&gt;"",countif('5) Release_Track'!$F:$F,$A986)=0),"NO ISRC MATCH in Release_Track",and($B986&lt;&gt;"",countif('5) Release_Track'!$G:$G,$B986)=0),"NO CATALOG ID MATCH in Release_Track",iserror(vlookup($A986&amp;$B986,'5) Release_Track'!$F:$F&amp;'5) Release_Track'!$G:$G,1,0)),"NO ISRC-CATALOG ID pair MATCH in Release_Track" )</f>
        <v/>
      </c>
      <c r="F986" s="122"/>
      <c r="G986" s="99"/>
      <c r="H986" s="178"/>
      <c r="I986" s="121" t="str">
        <f t="shared" si="6"/>
        <v/>
      </c>
      <c r="J986" s="99"/>
      <c r="K986" s="99"/>
    </row>
    <row r="987">
      <c r="B987" s="103"/>
      <c r="C987" s="121" t="str">
        <f t="array" ref="C987">ifs(and(isblank($A987),isblank($B987)),"", not(iserror(vlookup($A987&amp;$B987,'5) Release_Track'!$F:$F&amp;'5) Release_Track'!$G:$G,1,0))),vlookup($A987&amp;$B987,{'5) Release_Track'!$F:$F&amp;'5) Release_Track'!$G:$G,'5) Release_Track'!$H:$H},2,0), or(and(not(isblank($B987)),$B987=$B986,$A987&lt;&gt;$A986),and(not(isblank($A987)),$A987=$A986,$B987&lt;&gt;$B986)),"ID LISTS UNALIGNED",and($A987&lt;&gt;"",countif('5) Release_Track'!$F:$F,$A987)=0),"NO ISRC MATCH in Release_Track",and($B987&lt;&gt;"",countif('5) Release_Track'!$G:$G,$B987)=0),"NO CATALOG ID MATCH in Release_Track",iserror(vlookup($A987&amp;$B987,'5) Release_Track'!$F:$F&amp;'5) Release_Track'!$G:$G,1,0)),"NO ISRC-CATALOG ID pair MATCH in Release_Track" )</f>
        <v/>
      </c>
      <c r="D987" s="121" t="str">
        <f t="array" ref="D987">ifs(and(isblank($A987),isblank($B987)),"", not(iserror(vlookup($A987&amp;$B987,'5) Release_Track'!$F:$F&amp;'5) Release_Track'!$G:$G,1,0))),vlookup($A987&amp;$B987,{'5) Release_Track'!$F:$F&amp;'5) Release_Track'!$G:$G,'5) Release_Track'!$I:$I},2,0), or(and(not(isblank($B987)),$B987=$B986,$A987&lt;&gt;$A986),and(not(isblank($A987)),$A987=$A986,$B987&lt;&gt;$B986)),"ID LISTS UNALIGNED",and($A987&lt;&gt;"",countif('5) Release_Track'!$F:$F,$A987)=0),"NO ISRC MATCH in Release_Track",and($B987&lt;&gt;"",countif('5) Release_Track'!$G:$G,$B987)=0),"NO CATALOG ID MATCH in Release_Track",iserror(vlookup($A987&amp;$B987,'5) Release_Track'!$F:$F&amp;'5) Release_Track'!$G:$G,1,0)),"NO ISRC-CATALOG ID pair MATCH in Release_Track" )</f>
        <v/>
      </c>
      <c r="E987" s="125" t="str">
        <f t="array" ref="E987">ifs(and(isblank($A987),isblank($B987)),"", not(iserror(vlookup($A987&amp;$B987,'5) Release_Track'!$F:$F&amp;'5) Release_Track'!$G:$G,1,0))),vlookup($A987&amp;$B987,{'5) Release_Track'!$F:$F&amp;'5) Release_Track'!$G:$G,'5) Release_Track'!$J:$J},2,0), or(and(not(isblank($B987)),$B987=$B986,$A987&lt;&gt;$A986),and(not(isblank($A987)),$A987=$A986,$B987&lt;&gt;$B986)),"ID LISTS UNALIGNED",and($A987&lt;&gt;"",countif('5) Release_Track'!$F:$F,$A987)=0),"NO ISRC MATCH in Release_Track",and($B987&lt;&gt;"",countif('5) Release_Track'!$G:$G,$B987)=0),"NO CATALOG ID MATCH in Release_Track",iserror(vlookup($A987&amp;$B987,'5) Release_Track'!$F:$F&amp;'5) Release_Track'!$G:$G,1,0)),"NO ISRC-CATALOG ID pair MATCH in Release_Track" )</f>
        <v/>
      </c>
      <c r="F987" s="122"/>
      <c r="G987" s="99"/>
      <c r="H987" s="178"/>
      <c r="I987" s="121" t="str">
        <f t="shared" si="6"/>
        <v/>
      </c>
      <c r="J987" s="99"/>
      <c r="K987" s="99"/>
    </row>
    <row r="988">
      <c r="B988" s="103"/>
      <c r="C988" s="121" t="str">
        <f t="array" ref="C988">ifs(and(isblank($A988),isblank($B988)),"", not(iserror(vlookup($A988&amp;$B988,'5) Release_Track'!$F:$F&amp;'5) Release_Track'!$G:$G,1,0))),vlookup($A988&amp;$B988,{'5) Release_Track'!$F:$F&amp;'5) Release_Track'!$G:$G,'5) Release_Track'!$H:$H},2,0), or(and(not(isblank($B988)),$B988=$B987,$A988&lt;&gt;$A987),and(not(isblank($A988)),$A988=$A987,$B988&lt;&gt;$B987)),"ID LISTS UNALIGNED",and($A988&lt;&gt;"",countif('5) Release_Track'!$F:$F,$A988)=0),"NO ISRC MATCH in Release_Track",and($B988&lt;&gt;"",countif('5) Release_Track'!$G:$G,$B988)=0),"NO CATALOG ID MATCH in Release_Track",iserror(vlookup($A988&amp;$B988,'5) Release_Track'!$F:$F&amp;'5) Release_Track'!$G:$G,1,0)),"NO ISRC-CATALOG ID pair MATCH in Release_Track" )</f>
        <v/>
      </c>
      <c r="D988" s="121" t="str">
        <f t="array" ref="D988">ifs(and(isblank($A988),isblank($B988)),"", not(iserror(vlookup($A988&amp;$B988,'5) Release_Track'!$F:$F&amp;'5) Release_Track'!$G:$G,1,0))),vlookup($A988&amp;$B988,{'5) Release_Track'!$F:$F&amp;'5) Release_Track'!$G:$G,'5) Release_Track'!$I:$I},2,0), or(and(not(isblank($B988)),$B988=$B987,$A988&lt;&gt;$A987),and(not(isblank($A988)),$A988=$A987,$B988&lt;&gt;$B987)),"ID LISTS UNALIGNED",and($A988&lt;&gt;"",countif('5) Release_Track'!$F:$F,$A988)=0),"NO ISRC MATCH in Release_Track",and($B988&lt;&gt;"",countif('5) Release_Track'!$G:$G,$B988)=0),"NO CATALOG ID MATCH in Release_Track",iserror(vlookup($A988&amp;$B988,'5) Release_Track'!$F:$F&amp;'5) Release_Track'!$G:$G,1,0)),"NO ISRC-CATALOG ID pair MATCH in Release_Track" )</f>
        <v/>
      </c>
      <c r="E988" s="125" t="str">
        <f t="array" ref="E988">ifs(and(isblank($A988),isblank($B988)),"", not(iserror(vlookup($A988&amp;$B988,'5) Release_Track'!$F:$F&amp;'5) Release_Track'!$G:$G,1,0))),vlookup($A988&amp;$B988,{'5) Release_Track'!$F:$F&amp;'5) Release_Track'!$G:$G,'5) Release_Track'!$J:$J},2,0), or(and(not(isblank($B988)),$B988=$B987,$A988&lt;&gt;$A987),and(not(isblank($A988)),$A988=$A987,$B988&lt;&gt;$B987)),"ID LISTS UNALIGNED",and($A988&lt;&gt;"",countif('5) Release_Track'!$F:$F,$A988)=0),"NO ISRC MATCH in Release_Track",and($B988&lt;&gt;"",countif('5) Release_Track'!$G:$G,$B988)=0),"NO CATALOG ID MATCH in Release_Track",iserror(vlookup($A988&amp;$B988,'5) Release_Track'!$F:$F&amp;'5) Release_Track'!$G:$G,1,0)),"NO ISRC-CATALOG ID pair MATCH in Release_Track" )</f>
        <v/>
      </c>
      <c r="F988" s="122"/>
      <c r="G988" s="99"/>
      <c r="H988" s="178"/>
      <c r="I988" s="121" t="str">
        <f t="shared" si="6"/>
        <v/>
      </c>
      <c r="J988" s="99"/>
      <c r="K988" s="99"/>
    </row>
    <row r="989">
      <c r="B989" s="103"/>
      <c r="C989" s="121" t="str">
        <f t="array" ref="C989">ifs(and(isblank($A989),isblank($B989)),"", not(iserror(vlookup($A989&amp;$B989,'5) Release_Track'!$F:$F&amp;'5) Release_Track'!$G:$G,1,0))),vlookup($A989&amp;$B989,{'5) Release_Track'!$F:$F&amp;'5) Release_Track'!$G:$G,'5) Release_Track'!$H:$H},2,0), or(and(not(isblank($B989)),$B989=$B988,$A989&lt;&gt;$A988),and(not(isblank($A989)),$A989=$A988,$B989&lt;&gt;$B988)),"ID LISTS UNALIGNED",and($A989&lt;&gt;"",countif('5) Release_Track'!$F:$F,$A989)=0),"NO ISRC MATCH in Release_Track",and($B989&lt;&gt;"",countif('5) Release_Track'!$G:$G,$B989)=0),"NO CATALOG ID MATCH in Release_Track",iserror(vlookup($A989&amp;$B989,'5) Release_Track'!$F:$F&amp;'5) Release_Track'!$G:$G,1,0)),"NO ISRC-CATALOG ID pair MATCH in Release_Track" )</f>
        <v/>
      </c>
      <c r="D989" s="121" t="str">
        <f t="array" ref="D989">ifs(and(isblank($A989),isblank($B989)),"", not(iserror(vlookup($A989&amp;$B989,'5) Release_Track'!$F:$F&amp;'5) Release_Track'!$G:$G,1,0))),vlookup($A989&amp;$B989,{'5) Release_Track'!$F:$F&amp;'5) Release_Track'!$G:$G,'5) Release_Track'!$I:$I},2,0), or(and(not(isblank($B989)),$B989=$B988,$A989&lt;&gt;$A988),and(not(isblank($A989)),$A989=$A988,$B989&lt;&gt;$B988)),"ID LISTS UNALIGNED",and($A989&lt;&gt;"",countif('5) Release_Track'!$F:$F,$A989)=0),"NO ISRC MATCH in Release_Track",and($B989&lt;&gt;"",countif('5) Release_Track'!$G:$G,$B989)=0),"NO CATALOG ID MATCH in Release_Track",iserror(vlookup($A989&amp;$B989,'5) Release_Track'!$F:$F&amp;'5) Release_Track'!$G:$G,1,0)),"NO ISRC-CATALOG ID pair MATCH in Release_Track" )</f>
        <v/>
      </c>
      <c r="E989" s="125" t="str">
        <f t="array" ref="E989">ifs(and(isblank($A989),isblank($B989)),"", not(iserror(vlookup($A989&amp;$B989,'5) Release_Track'!$F:$F&amp;'5) Release_Track'!$G:$G,1,0))),vlookup($A989&amp;$B989,{'5) Release_Track'!$F:$F&amp;'5) Release_Track'!$G:$G,'5) Release_Track'!$J:$J},2,0), or(and(not(isblank($B989)),$B989=$B988,$A989&lt;&gt;$A988),and(not(isblank($A989)),$A989=$A988,$B989&lt;&gt;$B988)),"ID LISTS UNALIGNED",and($A989&lt;&gt;"",countif('5) Release_Track'!$F:$F,$A989)=0),"NO ISRC MATCH in Release_Track",and($B989&lt;&gt;"",countif('5) Release_Track'!$G:$G,$B989)=0),"NO CATALOG ID MATCH in Release_Track",iserror(vlookup($A989&amp;$B989,'5) Release_Track'!$F:$F&amp;'5) Release_Track'!$G:$G,1,0)),"NO ISRC-CATALOG ID pair MATCH in Release_Track" )</f>
        <v/>
      </c>
      <c r="F989" s="122"/>
      <c r="G989" s="99"/>
      <c r="H989" s="178"/>
      <c r="I989" s="121" t="str">
        <f t="shared" si="6"/>
        <v/>
      </c>
      <c r="J989" s="99"/>
      <c r="K989" s="99"/>
    </row>
    <row r="990">
      <c r="B990" s="103"/>
      <c r="C990" s="121" t="str">
        <f t="array" ref="C990">ifs(and(isblank($A990),isblank($B990)),"", not(iserror(vlookup($A990&amp;$B990,'5) Release_Track'!$F:$F&amp;'5) Release_Track'!$G:$G,1,0))),vlookup($A990&amp;$B990,{'5) Release_Track'!$F:$F&amp;'5) Release_Track'!$G:$G,'5) Release_Track'!$H:$H},2,0), or(and(not(isblank($B990)),$B990=$B989,$A990&lt;&gt;$A989),and(not(isblank($A990)),$A990=$A989,$B990&lt;&gt;$B989)),"ID LISTS UNALIGNED",and($A990&lt;&gt;"",countif('5) Release_Track'!$F:$F,$A990)=0),"NO ISRC MATCH in Release_Track",and($B990&lt;&gt;"",countif('5) Release_Track'!$G:$G,$B990)=0),"NO CATALOG ID MATCH in Release_Track",iserror(vlookup($A990&amp;$B990,'5) Release_Track'!$F:$F&amp;'5) Release_Track'!$G:$G,1,0)),"NO ISRC-CATALOG ID pair MATCH in Release_Track" )</f>
        <v/>
      </c>
      <c r="D990" s="121" t="str">
        <f t="array" ref="D990">ifs(and(isblank($A990),isblank($B990)),"", not(iserror(vlookup($A990&amp;$B990,'5) Release_Track'!$F:$F&amp;'5) Release_Track'!$G:$G,1,0))),vlookup($A990&amp;$B990,{'5) Release_Track'!$F:$F&amp;'5) Release_Track'!$G:$G,'5) Release_Track'!$I:$I},2,0), or(and(not(isblank($B990)),$B990=$B989,$A990&lt;&gt;$A989),and(not(isblank($A990)),$A990=$A989,$B990&lt;&gt;$B989)),"ID LISTS UNALIGNED",and($A990&lt;&gt;"",countif('5) Release_Track'!$F:$F,$A990)=0),"NO ISRC MATCH in Release_Track",and($B990&lt;&gt;"",countif('5) Release_Track'!$G:$G,$B990)=0),"NO CATALOG ID MATCH in Release_Track",iserror(vlookup($A990&amp;$B990,'5) Release_Track'!$F:$F&amp;'5) Release_Track'!$G:$G,1,0)),"NO ISRC-CATALOG ID pair MATCH in Release_Track" )</f>
        <v/>
      </c>
      <c r="E990" s="125" t="str">
        <f t="array" ref="E990">ifs(and(isblank($A990),isblank($B990)),"", not(iserror(vlookup($A990&amp;$B990,'5) Release_Track'!$F:$F&amp;'5) Release_Track'!$G:$G,1,0))),vlookup($A990&amp;$B990,{'5) Release_Track'!$F:$F&amp;'5) Release_Track'!$G:$G,'5) Release_Track'!$J:$J},2,0), or(and(not(isblank($B990)),$B990=$B989,$A990&lt;&gt;$A989),and(not(isblank($A990)),$A990=$A989,$B990&lt;&gt;$B989)),"ID LISTS UNALIGNED",and($A990&lt;&gt;"",countif('5) Release_Track'!$F:$F,$A990)=0),"NO ISRC MATCH in Release_Track",and($B990&lt;&gt;"",countif('5) Release_Track'!$G:$G,$B990)=0),"NO CATALOG ID MATCH in Release_Track",iserror(vlookup($A990&amp;$B990,'5) Release_Track'!$F:$F&amp;'5) Release_Track'!$G:$G,1,0)),"NO ISRC-CATALOG ID pair MATCH in Release_Track" )</f>
        <v/>
      </c>
      <c r="F990" s="122"/>
      <c r="G990" s="99"/>
      <c r="H990" s="178"/>
      <c r="I990" s="121" t="str">
        <f t="shared" si="6"/>
        <v/>
      </c>
      <c r="J990" s="99"/>
      <c r="K990" s="99"/>
    </row>
    <row r="991">
      <c r="B991" s="103"/>
      <c r="C991" s="121" t="str">
        <f t="array" ref="C991">ifs(and(isblank($A991),isblank($B991)),"", not(iserror(vlookup($A991&amp;$B991,'5) Release_Track'!$F:$F&amp;'5) Release_Track'!$G:$G,1,0))),vlookup($A991&amp;$B991,{'5) Release_Track'!$F:$F&amp;'5) Release_Track'!$G:$G,'5) Release_Track'!$H:$H},2,0), or(and(not(isblank($B991)),$B991=$B990,$A991&lt;&gt;$A990),and(not(isblank($A991)),$A991=$A990,$B991&lt;&gt;$B990)),"ID LISTS UNALIGNED",and($A991&lt;&gt;"",countif('5) Release_Track'!$F:$F,$A991)=0),"NO ISRC MATCH in Release_Track",and($B991&lt;&gt;"",countif('5) Release_Track'!$G:$G,$B991)=0),"NO CATALOG ID MATCH in Release_Track",iserror(vlookup($A991&amp;$B991,'5) Release_Track'!$F:$F&amp;'5) Release_Track'!$G:$G,1,0)),"NO ISRC-CATALOG ID pair MATCH in Release_Track" )</f>
        <v/>
      </c>
      <c r="D991" s="121" t="str">
        <f t="array" ref="D991">ifs(and(isblank($A991),isblank($B991)),"", not(iserror(vlookup($A991&amp;$B991,'5) Release_Track'!$F:$F&amp;'5) Release_Track'!$G:$G,1,0))),vlookup($A991&amp;$B991,{'5) Release_Track'!$F:$F&amp;'5) Release_Track'!$G:$G,'5) Release_Track'!$I:$I},2,0), or(and(not(isblank($B991)),$B991=$B990,$A991&lt;&gt;$A990),and(not(isblank($A991)),$A991=$A990,$B991&lt;&gt;$B990)),"ID LISTS UNALIGNED",and($A991&lt;&gt;"",countif('5) Release_Track'!$F:$F,$A991)=0),"NO ISRC MATCH in Release_Track",and($B991&lt;&gt;"",countif('5) Release_Track'!$G:$G,$B991)=0),"NO CATALOG ID MATCH in Release_Track",iserror(vlookup($A991&amp;$B991,'5) Release_Track'!$F:$F&amp;'5) Release_Track'!$G:$G,1,0)),"NO ISRC-CATALOG ID pair MATCH in Release_Track" )</f>
        <v/>
      </c>
      <c r="E991" s="125" t="str">
        <f t="array" ref="E991">ifs(and(isblank($A991),isblank($B991)),"", not(iserror(vlookup($A991&amp;$B991,'5) Release_Track'!$F:$F&amp;'5) Release_Track'!$G:$G,1,0))),vlookup($A991&amp;$B991,{'5) Release_Track'!$F:$F&amp;'5) Release_Track'!$G:$G,'5) Release_Track'!$J:$J},2,0), or(and(not(isblank($B991)),$B991=$B990,$A991&lt;&gt;$A990),and(not(isblank($A991)),$A991=$A990,$B991&lt;&gt;$B990)),"ID LISTS UNALIGNED",and($A991&lt;&gt;"",countif('5) Release_Track'!$F:$F,$A991)=0),"NO ISRC MATCH in Release_Track",and($B991&lt;&gt;"",countif('5) Release_Track'!$G:$G,$B991)=0),"NO CATALOG ID MATCH in Release_Track",iserror(vlookup($A991&amp;$B991,'5) Release_Track'!$F:$F&amp;'5) Release_Track'!$G:$G,1,0)),"NO ISRC-CATALOG ID pair MATCH in Release_Track" )</f>
        <v/>
      </c>
      <c r="F991" s="122"/>
      <c r="G991" s="99"/>
      <c r="H991" s="178"/>
      <c r="I991" s="121" t="str">
        <f t="shared" si="6"/>
        <v/>
      </c>
      <c r="J991" s="99"/>
      <c r="K991" s="99"/>
    </row>
    <row r="992">
      <c r="B992" s="103"/>
      <c r="C992" s="121" t="str">
        <f t="array" ref="C992">ifs(and(isblank($A992),isblank($B992)),"", not(iserror(vlookup($A992&amp;$B992,'5) Release_Track'!$F:$F&amp;'5) Release_Track'!$G:$G,1,0))),vlookup($A992&amp;$B992,{'5) Release_Track'!$F:$F&amp;'5) Release_Track'!$G:$G,'5) Release_Track'!$H:$H},2,0), or(and(not(isblank($B992)),$B992=$B991,$A992&lt;&gt;$A991),and(not(isblank($A992)),$A992=$A991,$B992&lt;&gt;$B991)),"ID LISTS UNALIGNED",and($A992&lt;&gt;"",countif('5) Release_Track'!$F:$F,$A992)=0),"NO ISRC MATCH in Release_Track",and($B992&lt;&gt;"",countif('5) Release_Track'!$G:$G,$B992)=0),"NO CATALOG ID MATCH in Release_Track",iserror(vlookup($A992&amp;$B992,'5) Release_Track'!$F:$F&amp;'5) Release_Track'!$G:$G,1,0)),"NO ISRC-CATALOG ID pair MATCH in Release_Track" )</f>
        <v/>
      </c>
      <c r="D992" s="121" t="str">
        <f t="array" ref="D992">ifs(and(isblank($A992),isblank($B992)),"", not(iserror(vlookup($A992&amp;$B992,'5) Release_Track'!$F:$F&amp;'5) Release_Track'!$G:$G,1,0))),vlookup($A992&amp;$B992,{'5) Release_Track'!$F:$F&amp;'5) Release_Track'!$G:$G,'5) Release_Track'!$I:$I},2,0), or(and(not(isblank($B992)),$B992=$B991,$A992&lt;&gt;$A991),and(not(isblank($A992)),$A992=$A991,$B992&lt;&gt;$B991)),"ID LISTS UNALIGNED",and($A992&lt;&gt;"",countif('5) Release_Track'!$F:$F,$A992)=0),"NO ISRC MATCH in Release_Track",and($B992&lt;&gt;"",countif('5) Release_Track'!$G:$G,$B992)=0),"NO CATALOG ID MATCH in Release_Track",iserror(vlookup($A992&amp;$B992,'5) Release_Track'!$F:$F&amp;'5) Release_Track'!$G:$G,1,0)),"NO ISRC-CATALOG ID pair MATCH in Release_Track" )</f>
        <v/>
      </c>
      <c r="E992" s="125" t="str">
        <f t="array" ref="E992">ifs(and(isblank($A992),isblank($B992)),"", not(iserror(vlookup($A992&amp;$B992,'5) Release_Track'!$F:$F&amp;'5) Release_Track'!$G:$G,1,0))),vlookup($A992&amp;$B992,{'5) Release_Track'!$F:$F&amp;'5) Release_Track'!$G:$G,'5) Release_Track'!$J:$J},2,0), or(and(not(isblank($B992)),$B992=$B991,$A992&lt;&gt;$A991),and(not(isblank($A992)),$A992=$A991,$B992&lt;&gt;$B991)),"ID LISTS UNALIGNED",and($A992&lt;&gt;"",countif('5) Release_Track'!$F:$F,$A992)=0),"NO ISRC MATCH in Release_Track",and($B992&lt;&gt;"",countif('5) Release_Track'!$G:$G,$B992)=0),"NO CATALOG ID MATCH in Release_Track",iserror(vlookup($A992&amp;$B992,'5) Release_Track'!$F:$F&amp;'5) Release_Track'!$G:$G,1,0)),"NO ISRC-CATALOG ID pair MATCH in Release_Track" )</f>
        <v/>
      </c>
      <c r="F992" s="122"/>
      <c r="G992" s="99"/>
      <c r="H992" s="178"/>
      <c r="I992" s="121" t="str">
        <f t="shared" si="6"/>
        <v/>
      </c>
      <c r="J992" s="99"/>
      <c r="K992" s="99"/>
    </row>
    <row r="993">
      <c r="B993" s="103"/>
      <c r="C993" s="121" t="str">
        <f t="array" ref="C993">ifs(and(isblank($A993),isblank($B993)),"", not(iserror(vlookup($A993&amp;$B993,'5) Release_Track'!$F:$F&amp;'5) Release_Track'!$G:$G,1,0))),vlookup($A993&amp;$B993,{'5) Release_Track'!$F:$F&amp;'5) Release_Track'!$G:$G,'5) Release_Track'!$H:$H},2,0), or(and(not(isblank($B993)),$B993=$B992,$A993&lt;&gt;$A992),and(not(isblank($A993)),$A993=$A992,$B993&lt;&gt;$B992)),"ID LISTS UNALIGNED",and($A993&lt;&gt;"",countif('5) Release_Track'!$F:$F,$A993)=0),"NO ISRC MATCH in Release_Track",and($B993&lt;&gt;"",countif('5) Release_Track'!$G:$G,$B993)=0),"NO CATALOG ID MATCH in Release_Track",iserror(vlookup($A993&amp;$B993,'5) Release_Track'!$F:$F&amp;'5) Release_Track'!$G:$G,1,0)),"NO ISRC-CATALOG ID pair MATCH in Release_Track" )</f>
        <v/>
      </c>
      <c r="D993" s="121" t="str">
        <f t="array" ref="D993">ifs(and(isblank($A993),isblank($B993)),"", not(iserror(vlookup($A993&amp;$B993,'5) Release_Track'!$F:$F&amp;'5) Release_Track'!$G:$G,1,0))),vlookup($A993&amp;$B993,{'5) Release_Track'!$F:$F&amp;'5) Release_Track'!$G:$G,'5) Release_Track'!$I:$I},2,0), or(and(not(isblank($B993)),$B993=$B992,$A993&lt;&gt;$A992),and(not(isblank($A993)),$A993=$A992,$B993&lt;&gt;$B992)),"ID LISTS UNALIGNED",and($A993&lt;&gt;"",countif('5) Release_Track'!$F:$F,$A993)=0),"NO ISRC MATCH in Release_Track",and($B993&lt;&gt;"",countif('5) Release_Track'!$G:$G,$B993)=0),"NO CATALOG ID MATCH in Release_Track",iserror(vlookup($A993&amp;$B993,'5) Release_Track'!$F:$F&amp;'5) Release_Track'!$G:$G,1,0)),"NO ISRC-CATALOG ID pair MATCH in Release_Track" )</f>
        <v/>
      </c>
      <c r="E993" s="125" t="str">
        <f t="array" ref="E993">ifs(and(isblank($A993),isblank($B993)),"", not(iserror(vlookup($A993&amp;$B993,'5) Release_Track'!$F:$F&amp;'5) Release_Track'!$G:$G,1,0))),vlookup($A993&amp;$B993,{'5) Release_Track'!$F:$F&amp;'5) Release_Track'!$G:$G,'5) Release_Track'!$J:$J},2,0), or(and(not(isblank($B993)),$B993=$B992,$A993&lt;&gt;$A992),and(not(isblank($A993)),$A993=$A992,$B993&lt;&gt;$B992)),"ID LISTS UNALIGNED",and($A993&lt;&gt;"",countif('5) Release_Track'!$F:$F,$A993)=0),"NO ISRC MATCH in Release_Track",and($B993&lt;&gt;"",countif('5) Release_Track'!$G:$G,$B993)=0),"NO CATALOG ID MATCH in Release_Track",iserror(vlookup($A993&amp;$B993,'5) Release_Track'!$F:$F&amp;'5) Release_Track'!$G:$G,1,0)),"NO ISRC-CATALOG ID pair MATCH in Release_Track" )</f>
        <v/>
      </c>
      <c r="F993" s="122"/>
      <c r="G993" s="99"/>
      <c r="H993" s="178"/>
      <c r="I993" s="121" t="str">
        <f t="shared" si="6"/>
        <v/>
      </c>
      <c r="J993" s="99"/>
      <c r="K993" s="99"/>
    </row>
    <row r="994">
      <c r="B994" s="103"/>
      <c r="C994" s="121" t="str">
        <f t="array" ref="C994">ifs(and(isblank($A994),isblank($B994)),"", not(iserror(vlookup($A994&amp;$B994,'5) Release_Track'!$F:$F&amp;'5) Release_Track'!$G:$G,1,0))),vlookup($A994&amp;$B994,{'5) Release_Track'!$F:$F&amp;'5) Release_Track'!$G:$G,'5) Release_Track'!$H:$H},2,0), or(and(not(isblank($B994)),$B994=$B993,$A994&lt;&gt;$A993),and(not(isblank($A994)),$A994=$A993,$B994&lt;&gt;$B993)),"ID LISTS UNALIGNED",and($A994&lt;&gt;"",countif('5) Release_Track'!$F:$F,$A994)=0),"NO ISRC MATCH in Release_Track",and($B994&lt;&gt;"",countif('5) Release_Track'!$G:$G,$B994)=0),"NO CATALOG ID MATCH in Release_Track",iserror(vlookup($A994&amp;$B994,'5) Release_Track'!$F:$F&amp;'5) Release_Track'!$G:$G,1,0)),"NO ISRC-CATALOG ID pair MATCH in Release_Track" )</f>
        <v/>
      </c>
      <c r="D994" s="121" t="str">
        <f t="array" ref="D994">ifs(and(isblank($A994),isblank($B994)),"", not(iserror(vlookup($A994&amp;$B994,'5) Release_Track'!$F:$F&amp;'5) Release_Track'!$G:$G,1,0))),vlookup($A994&amp;$B994,{'5) Release_Track'!$F:$F&amp;'5) Release_Track'!$G:$G,'5) Release_Track'!$I:$I},2,0), or(and(not(isblank($B994)),$B994=$B993,$A994&lt;&gt;$A993),and(not(isblank($A994)),$A994=$A993,$B994&lt;&gt;$B993)),"ID LISTS UNALIGNED",and($A994&lt;&gt;"",countif('5) Release_Track'!$F:$F,$A994)=0),"NO ISRC MATCH in Release_Track",and($B994&lt;&gt;"",countif('5) Release_Track'!$G:$G,$B994)=0),"NO CATALOG ID MATCH in Release_Track",iserror(vlookup($A994&amp;$B994,'5) Release_Track'!$F:$F&amp;'5) Release_Track'!$G:$G,1,0)),"NO ISRC-CATALOG ID pair MATCH in Release_Track" )</f>
        <v/>
      </c>
      <c r="E994" s="125" t="str">
        <f t="array" ref="E994">ifs(and(isblank($A994),isblank($B994)),"", not(iserror(vlookup($A994&amp;$B994,'5) Release_Track'!$F:$F&amp;'5) Release_Track'!$G:$G,1,0))),vlookup($A994&amp;$B994,{'5) Release_Track'!$F:$F&amp;'5) Release_Track'!$G:$G,'5) Release_Track'!$J:$J},2,0), or(and(not(isblank($B994)),$B994=$B993,$A994&lt;&gt;$A993),and(not(isblank($A994)),$A994=$A993,$B994&lt;&gt;$B993)),"ID LISTS UNALIGNED",and($A994&lt;&gt;"",countif('5) Release_Track'!$F:$F,$A994)=0),"NO ISRC MATCH in Release_Track",and($B994&lt;&gt;"",countif('5) Release_Track'!$G:$G,$B994)=0),"NO CATALOG ID MATCH in Release_Track",iserror(vlookup($A994&amp;$B994,'5) Release_Track'!$F:$F&amp;'5) Release_Track'!$G:$G,1,0)),"NO ISRC-CATALOG ID pair MATCH in Release_Track" )</f>
        <v/>
      </c>
      <c r="F994" s="122"/>
      <c r="G994" s="99"/>
      <c r="H994" s="178"/>
      <c r="I994" s="121" t="str">
        <f t="shared" si="6"/>
        <v/>
      </c>
      <c r="J994" s="99"/>
      <c r="K994" s="99"/>
    </row>
    <row r="995">
      <c r="B995" s="103"/>
      <c r="C995" s="121" t="str">
        <f t="array" ref="C995">ifs(and(isblank($A995),isblank($B995)),"", not(iserror(vlookup($A995&amp;$B995,'5) Release_Track'!$F:$F&amp;'5) Release_Track'!$G:$G,1,0))),vlookup($A995&amp;$B995,{'5) Release_Track'!$F:$F&amp;'5) Release_Track'!$G:$G,'5) Release_Track'!$H:$H},2,0), or(and(not(isblank($B995)),$B995=$B994,$A995&lt;&gt;$A994),and(not(isblank($A995)),$A995=$A994,$B995&lt;&gt;$B994)),"ID LISTS UNALIGNED",and($A995&lt;&gt;"",countif('5) Release_Track'!$F:$F,$A995)=0),"NO ISRC MATCH in Release_Track",and($B995&lt;&gt;"",countif('5) Release_Track'!$G:$G,$B995)=0),"NO CATALOG ID MATCH in Release_Track",iserror(vlookup($A995&amp;$B995,'5) Release_Track'!$F:$F&amp;'5) Release_Track'!$G:$G,1,0)),"NO ISRC-CATALOG ID pair MATCH in Release_Track" )</f>
        <v/>
      </c>
      <c r="D995" s="121" t="str">
        <f t="array" ref="D995">ifs(and(isblank($A995),isblank($B995)),"", not(iserror(vlookup($A995&amp;$B995,'5) Release_Track'!$F:$F&amp;'5) Release_Track'!$G:$G,1,0))),vlookup($A995&amp;$B995,{'5) Release_Track'!$F:$F&amp;'5) Release_Track'!$G:$G,'5) Release_Track'!$I:$I},2,0), or(and(not(isblank($B995)),$B995=$B994,$A995&lt;&gt;$A994),and(not(isblank($A995)),$A995=$A994,$B995&lt;&gt;$B994)),"ID LISTS UNALIGNED",and($A995&lt;&gt;"",countif('5) Release_Track'!$F:$F,$A995)=0),"NO ISRC MATCH in Release_Track",and($B995&lt;&gt;"",countif('5) Release_Track'!$G:$G,$B995)=0),"NO CATALOG ID MATCH in Release_Track",iserror(vlookup($A995&amp;$B995,'5) Release_Track'!$F:$F&amp;'5) Release_Track'!$G:$G,1,0)),"NO ISRC-CATALOG ID pair MATCH in Release_Track" )</f>
        <v/>
      </c>
      <c r="E995" s="125" t="str">
        <f t="array" ref="E995">ifs(and(isblank($A995),isblank($B995)),"", not(iserror(vlookup($A995&amp;$B995,'5) Release_Track'!$F:$F&amp;'5) Release_Track'!$G:$G,1,0))),vlookup($A995&amp;$B995,{'5) Release_Track'!$F:$F&amp;'5) Release_Track'!$G:$G,'5) Release_Track'!$J:$J},2,0), or(and(not(isblank($B995)),$B995=$B994,$A995&lt;&gt;$A994),and(not(isblank($A995)),$A995=$A994,$B995&lt;&gt;$B994)),"ID LISTS UNALIGNED",and($A995&lt;&gt;"",countif('5) Release_Track'!$F:$F,$A995)=0),"NO ISRC MATCH in Release_Track",and($B995&lt;&gt;"",countif('5) Release_Track'!$G:$G,$B995)=0),"NO CATALOG ID MATCH in Release_Track",iserror(vlookup($A995&amp;$B995,'5) Release_Track'!$F:$F&amp;'5) Release_Track'!$G:$G,1,0)),"NO ISRC-CATALOG ID pair MATCH in Release_Track" )</f>
        <v/>
      </c>
      <c r="F995" s="122"/>
      <c r="G995" s="99"/>
      <c r="H995" s="178"/>
      <c r="I995" s="121" t="str">
        <f t="shared" si="6"/>
        <v/>
      </c>
      <c r="J995" s="99"/>
      <c r="K995" s="99"/>
    </row>
    <row r="996">
      <c r="B996" s="103"/>
      <c r="C996" s="121" t="str">
        <f t="array" ref="C996">ifs(and(isblank($A996),isblank($B996)),"", not(iserror(vlookup($A996&amp;$B996,'5) Release_Track'!$F:$F&amp;'5) Release_Track'!$G:$G,1,0))),vlookup($A996&amp;$B996,{'5) Release_Track'!$F:$F&amp;'5) Release_Track'!$G:$G,'5) Release_Track'!$H:$H},2,0), or(and(not(isblank($B996)),$B996=$B995,$A996&lt;&gt;$A995),and(not(isblank($A996)),$A996=$A995,$B996&lt;&gt;$B995)),"ID LISTS UNALIGNED",and($A996&lt;&gt;"",countif('5) Release_Track'!$F:$F,$A996)=0),"NO ISRC MATCH in Release_Track",and($B996&lt;&gt;"",countif('5) Release_Track'!$G:$G,$B996)=0),"NO CATALOG ID MATCH in Release_Track",iserror(vlookup($A996&amp;$B996,'5) Release_Track'!$F:$F&amp;'5) Release_Track'!$G:$G,1,0)),"NO ISRC-CATALOG ID pair MATCH in Release_Track" )</f>
        <v/>
      </c>
      <c r="D996" s="121" t="str">
        <f t="array" ref="D996">ifs(and(isblank($A996),isblank($B996)),"", not(iserror(vlookup($A996&amp;$B996,'5) Release_Track'!$F:$F&amp;'5) Release_Track'!$G:$G,1,0))),vlookup($A996&amp;$B996,{'5) Release_Track'!$F:$F&amp;'5) Release_Track'!$G:$G,'5) Release_Track'!$I:$I},2,0), or(and(not(isblank($B996)),$B996=$B995,$A996&lt;&gt;$A995),and(not(isblank($A996)),$A996=$A995,$B996&lt;&gt;$B995)),"ID LISTS UNALIGNED",and($A996&lt;&gt;"",countif('5) Release_Track'!$F:$F,$A996)=0),"NO ISRC MATCH in Release_Track",and($B996&lt;&gt;"",countif('5) Release_Track'!$G:$G,$B996)=0),"NO CATALOG ID MATCH in Release_Track",iserror(vlookup($A996&amp;$B996,'5) Release_Track'!$F:$F&amp;'5) Release_Track'!$G:$G,1,0)),"NO ISRC-CATALOG ID pair MATCH in Release_Track" )</f>
        <v/>
      </c>
      <c r="E996" s="125" t="str">
        <f t="array" ref="E996">ifs(and(isblank($A996),isblank($B996)),"", not(iserror(vlookup($A996&amp;$B996,'5) Release_Track'!$F:$F&amp;'5) Release_Track'!$G:$G,1,0))),vlookup($A996&amp;$B996,{'5) Release_Track'!$F:$F&amp;'5) Release_Track'!$G:$G,'5) Release_Track'!$J:$J},2,0), or(and(not(isblank($B996)),$B996=$B995,$A996&lt;&gt;$A995),and(not(isblank($A996)),$A996=$A995,$B996&lt;&gt;$B995)),"ID LISTS UNALIGNED",and($A996&lt;&gt;"",countif('5) Release_Track'!$F:$F,$A996)=0),"NO ISRC MATCH in Release_Track",and($B996&lt;&gt;"",countif('5) Release_Track'!$G:$G,$B996)=0),"NO CATALOG ID MATCH in Release_Track",iserror(vlookup($A996&amp;$B996,'5) Release_Track'!$F:$F&amp;'5) Release_Track'!$G:$G,1,0)),"NO ISRC-CATALOG ID pair MATCH in Release_Track" )</f>
        <v/>
      </c>
      <c r="F996" s="122"/>
      <c r="G996" s="99"/>
      <c r="H996" s="178"/>
      <c r="I996" s="121" t="str">
        <f t="shared" si="6"/>
        <v/>
      </c>
      <c r="J996" s="99"/>
      <c r="K996" s="99"/>
    </row>
    <row r="997">
      <c r="B997" s="103"/>
      <c r="C997" s="121"/>
      <c r="D997" s="121"/>
      <c r="E997" s="125" t="str">
        <f t="array" ref="E997">ifs(and(isblank($A997),isblank($B997)),"", not(iserror(vlookup($A997&amp;$B997,'5) Release_Track'!$F:$F&amp;'5) Release_Track'!$G:$G,1,0))),vlookup($A997&amp;$B997,{'5) Release_Track'!$F:$F&amp;'5) Release_Track'!$G:$G,'5) Release_Track'!$J:$J},2,0), or(and(not(isblank($B997)),$B997=$B996,$A997&lt;&gt;$A996),and(not(isblank($A997)),$A997=$A996,$B997&lt;&gt;$B996)),"ID LISTS UNALIGNED",and($A997&lt;&gt;"",countif('5) Release_Track'!$F:$F,$A997)=0),"NO ISRC MATCH in Release_Track",and($B997&lt;&gt;"",countif('5) Release_Track'!$G:$G,$B997)=0),"NO CATALOG ID MATCH in Release_Track",iserror(vlookup($A997&amp;$B997,'5) Release_Track'!$F:$F&amp;'5) Release_Track'!$G:$G,1,0)),"NO ISRC-CATALOG ID pair MATCH in Release_Track" )</f>
        <v/>
      </c>
      <c r="F997" s="122"/>
      <c r="G997" s="99"/>
      <c r="H997" s="178"/>
      <c r="I997" s="121"/>
      <c r="J997" s="99"/>
      <c r="K997" s="99"/>
    </row>
    <row r="998">
      <c r="B998" s="103"/>
      <c r="C998" s="121"/>
      <c r="D998" s="121"/>
      <c r="E998" s="125" t="str">
        <f t="array" ref="E998">ifs(and(isblank($A998),isblank($B998)),"", not(iserror(vlookup($A998&amp;$B998,'5) Release_Track'!$F:$F&amp;'5) Release_Track'!$G:$G,1,0))),vlookup($A998&amp;$B998,{'5) Release_Track'!$F:$F&amp;'5) Release_Track'!$G:$G,'5) Release_Track'!$J:$J},2,0), or(and(not(isblank($B998)),$B998=$B997,$A998&lt;&gt;$A997),and(not(isblank($A998)),$A998=$A997,$B998&lt;&gt;$B997)),"ID LISTS UNALIGNED",and($A998&lt;&gt;"",countif('5) Release_Track'!$F:$F,$A998)=0),"NO ISRC MATCH in Release_Track",and($B998&lt;&gt;"",countif('5) Release_Track'!$G:$G,$B998)=0),"NO CATALOG ID MATCH in Release_Track",iserror(vlookup($A998&amp;$B998,'5) Release_Track'!$F:$F&amp;'5) Release_Track'!$G:$G,1,0)),"NO ISRC-CATALOG ID pair MATCH in Release_Track" )</f>
        <v/>
      </c>
      <c r="F998" s="122"/>
      <c r="G998" s="99"/>
      <c r="H998" s="178"/>
      <c r="I998" s="121"/>
      <c r="J998" s="99"/>
      <c r="K998" s="99"/>
    </row>
    <row r="999">
      <c r="B999" s="103"/>
      <c r="C999" s="121"/>
      <c r="D999" s="121"/>
      <c r="E999" s="125" t="str">
        <f t="array" ref="E999">ifs(and(isblank($A999),isblank($B999)),"", not(iserror(vlookup($A999&amp;$B999,'5) Release_Track'!$F:$F&amp;'5) Release_Track'!$G:$G,1,0))),vlookup($A999&amp;$B999,{'5) Release_Track'!$F:$F&amp;'5) Release_Track'!$G:$G,'5) Release_Track'!$J:$J},2,0), or(and(not(isblank($B999)),$B999=$B998,$A999&lt;&gt;$A998),and(not(isblank($A999)),$A999=$A998,$B999&lt;&gt;$B998)),"ID LISTS UNALIGNED",and($A999&lt;&gt;"",countif('5) Release_Track'!$F:$F,$A999)=0),"NO ISRC MATCH in Release_Track",and($B999&lt;&gt;"",countif('5) Release_Track'!$G:$G,$B999)=0),"NO CATALOG ID MATCH in Release_Track",iserror(vlookup($A999&amp;$B999,'5) Release_Track'!$F:$F&amp;'5) Release_Track'!$G:$G,1,0)),"NO ISRC-CATALOG ID pair MATCH in Release_Track" )</f>
        <v/>
      </c>
      <c r="F999" s="122"/>
      <c r="G999" s="99"/>
      <c r="H999" s="178"/>
      <c r="I999" s="121"/>
      <c r="J999" s="99"/>
      <c r="K999" s="99"/>
    </row>
    <row r="1000">
      <c r="B1000" s="103"/>
      <c r="C1000" s="121"/>
      <c r="D1000" s="121"/>
      <c r="E1000" s="125" t="str">
        <f t="array" ref="E1000">ifs(and(isblank($A1000),isblank($B1000)),"", not(iserror(vlookup($A1000&amp;$B1000,'5) Release_Track'!$F:$F&amp;'5) Release_Track'!$G:$G,1,0))),vlookup($A1000&amp;$B1000,{'5) Release_Track'!$F:$F&amp;'5) Release_Track'!$G:$G,'5) Release_Track'!$J:$J},2,0), or(and(not(isblank($B1000)),$B1000=$B999,$A1000&lt;&gt;$A999),and(not(isblank($A1000)),$A1000=$A999,$B1000&lt;&gt;$B999)),"ID LISTS UNALIGNED",and($A1000&lt;&gt;"",countif('5) Release_Track'!$F:$F,$A1000)=0),"NO ISRC MATCH in Release_Track",and($B1000&lt;&gt;"",countif('5) Release_Track'!$G:$G,$B1000)=0),"NO CATALOG ID MATCH in Release_Track",iserror(vlookup($A1000&amp;$B1000,'5) Release_Track'!$F:$F&amp;'5) Release_Track'!$G:$G,1,0)),"NO ISRC-CATALOG ID pair MATCH in Release_Track" )</f>
        <v/>
      </c>
      <c r="F1000" s="122"/>
      <c r="G1000" s="99"/>
      <c r="H1000" s="178"/>
      <c r="I1000" s="121"/>
      <c r="J1000" s="99"/>
      <c r="K1000" s="99"/>
    </row>
    <row r="1001">
      <c r="B1001" s="103"/>
      <c r="C1001" s="121"/>
      <c r="D1001" s="121"/>
      <c r="E1001" s="125" t="str">
        <f t="array" ref="E1001">ifs(and(isblank($A1001),isblank($B1001)),"", not(iserror(vlookup($A1001&amp;$B1001,'5) Release_Track'!$F:$F&amp;'5) Release_Track'!$G:$G,1,0))),vlookup($A1001&amp;$B1001,{'5) Release_Track'!$F:$F&amp;'5) Release_Track'!$G:$G,'5) Release_Track'!$J:$J},2,0), or(and(not(isblank($B1001)),$B1001=$B1000,$A1001&lt;&gt;$A1000),and(not(isblank($A1001)),$A1001=$A1000,$B1001&lt;&gt;$B1000)),"ID LISTS UNALIGNED",and($A1001&lt;&gt;"",countif('5) Release_Track'!$F:$F,$A1001)=0),"NO ISRC MATCH in Release_Track",and($B1001&lt;&gt;"",countif('5) Release_Track'!$G:$G,$B1001)=0),"NO CATALOG ID MATCH in Release_Track",iserror(vlookup($A1001&amp;$B1001,'5) Release_Track'!$F:$F&amp;'5) Release_Track'!$G:$G,1,0)),"NO ISRC-CATALOG ID pair MATCH in Release_Track" )</f>
        <v/>
      </c>
      <c r="F1001" s="122"/>
      <c r="G1001" s="99"/>
      <c r="H1001" s="178"/>
      <c r="I1001" s="121"/>
      <c r="J1001" s="99"/>
      <c r="K1001" s="99"/>
    </row>
    <row r="1002">
      <c r="B1002" s="103"/>
      <c r="C1002" s="121"/>
      <c r="D1002" s="121"/>
      <c r="E1002" s="125" t="str">
        <f t="array" ref="E1002">ifs(and(isblank($A1002),isblank($B1002)),"", not(iserror(vlookup($A1002&amp;$B1002,'5) Release_Track'!$F:$F&amp;'5) Release_Track'!$G:$G,1,0))),vlookup($A1002&amp;$B1002,{'5) Release_Track'!$F:$F&amp;'5) Release_Track'!$G:$G,'5) Release_Track'!$J:$J},2,0), or(and(not(isblank($B1002)),$B1002=$B1001,$A1002&lt;&gt;$A1001),and(not(isblank($A1002)),$A1002=$A1001,$B1002&lt;&gt;$B1001)),"ID LISTS UNALIGNED",and($A1002&lt;&gt;"",countif('5) Release_Track'!$F:$F,$A1002)=0),"NO ISRC MATCH in Release_Track",and($B1002&lt;&gt;"",countif('5) Release_Track'!$G:$G,$B1002)=0),"NO CATALOG ID MATCH in Release_Track",iserror(vlookup($A1002&amp;$B1002,'5) Release_Track'!$F:$F&amp;'5) Release_Track'!$G:$G,1,0)),"NO ISRC-CATALOG ID pair MATCH in Release_Track" )</f>
        <v/>
      </c>
      <c r="F1002" s="122"/>
      <c r="G1002" s="99"/>
      <c r="H1002" s="178"/>
      <c r="I1002" s="121"/>
      <c r="J1002" s="99"/>
      <c r="K1002" s="99"/>
    </row>
    <row r="1003">
      <c r="B1003" s="103"/>
      <c r="C1003" s="121"/>
      <c r="D1003" s="121"/>
      <c r="E1003" s="125" t="str">
        <f t="array" ref="E1003">ifs(and(isblank($A1003),isblank($B1003)),"", not(iserror(vlookup($A1003&amp;$B1003,'5) Release_Track'!$F:$F&amp;'5) Release_Track'!$G:$G,1,0))),vlookup($A1003&amp;$B1003,{'5) Release_Track'!$F:$F&amp;'5) Release_Track'!$G:$G,'5) Release_Track'!$J:$J},2,0), or(and(not(isblank($B1003)),$B1003=$B1002,$A1003&lt;&gt;$A1002),and(not(isblank($A1003)),$A1003=$A1002,$B1003&lt;&gt;$B1002)),"ID LISTS UNALIGNED",and($A1003&lt;&gt;"",countif('5) Release_Track'!$F:$F,$A1003)=0),"NO ISRC MATCH in Release_Track",and($B1003&lt;&gt;"",countif('5) Release_Track'!$G:$G,$B1003)=0),"NO CATALOG ID MATCH in Release_Track",iserror(vlookup($A1003&amp;$B1003,'5) Release_Track'!$F:$F&amp;'5) Release_Track'!$G:$G,1,0)),"NO ISRC-CATALOG ID pair MATCH in Release_Track" )</f>
        <v/>
      </c>
      <c r="F1003" s="122"/>
      <c r="G1003" s="99"/>
      <c r="H1003" s="178"/>
      <c r="I1003" s="121"/>
      <c r="J1003" s="99"/>
      <c r="K1003" s="99"/>
    </row>
  </sheetData>
  <mergeCells count="1">
    <mergeCell ref="C4:E4"/>
  </mergeCells>
  <conditionalFormatting sqref="A1:B1 H1">
    <cfRule type="cellIs" dxfId="3" priority="1" operator="notEqual">
      <formula>0</formula>
    </cfRule>
  </conditionalFormatting>
  <conditionalFormatting sqref="I5:I1003">
    <cfRule type="cellIs" dxfId="1" priority="2" operator="equal">
      <formula>1</formula>
    </cfRule>
  </conditionalFormatting>
  <conditionalFormatting sqref="I5:I1003">
    <cfRule type="cellIs" dxfId="6" priority="3" operator="greaterThan">
      <formula>1</formula>
    </cfRule>
  </conditionalFormatting>
  <conditionalFormatting sqref="I5:I1003">
    <cfRule type="expression" dxfId="2" priority="4">
      <formula>or(and(I5&lt;1,I6&lt;&gt;"",C5&lt;&gt;C6),and(I5&lt;1,I6&lt;&gt;"",D5&lt;&gt;D6))</formula>
    </cfRule>
  </conditionalFormatting>
  <conditionalFormatting sqref="K5:K1003">
    <cfRule type="expression" dxfId="7" priority="5">
      <formula>and(J5="Published (managed by a publisher)",K5="")</formula>
    </cfRule>
  </conditionalFormatting>
  <conditionalFormatting sqref="K5:K1003">
    <cfRule type="expression" dxfId="8" priority="6">
      <formula>and(J5&lt;&gt;"Published (managed by a publisher)",K5&lt;&gt;"")</formula>
    </cfRule>
  </conditionalFormatting>
  <conditionalFormatting sqref="F5:F1003">
    <cfRule type="expression" dxfId="0" priority="7">
      <formula>or(and(or(not(isblank(A5)),not(isblank(B5))),isblank(F5)),and(not(isblank(F5)),iserror(match(F5,indirect("'7) Comp Contributor/Publisher lists'!a:a"),0))))</formula>
    </cfRule>
  </conditionalFormatting>
  <conditionalFormatting sqref="J5:J1003">
    <cfRule type="expression" dxfId="0" priority="8">
      <formula>or(and(isblank(J5),or(not(isblank(A5)),not(isblank(B5)))),and(not(isblank(J5)),iserror(match(J5,indirect("'Reference info'!o:o"),0))))</formula>
    </cfRule>
  </conditionalFormatting>
  <conditionalFormatting sqref="K5:K1003">
    <cfRule type="expression" dxfId="0" priority="9">
      <formula>and(not(isblank(K5)),iserror(match(K5,indirect("'7) Comp Contributor/Publisher lists'!G:G"),0)))</formula>
    </cfRule>
  </conditionalFormatting>
  <conditionalFormatting sqref="A5:A1003">
    <cfRule type="expression" dxfId="5" priority="10">
      <formula>and(A5&lt;&gt;"",B5&lt;&gt;"",countif(A:A,A5)&lt;&gt;countif(B:B,B5))</formula>
    </cfRule>
  </conditionalFormatting>
  <conditionalFormatting sqref="B5:B1003">
    <cfRule type="expression" dxfId="5" priority="11">
      <formula>and(A5&lt;&gt;"",B5&lt;&gt;"",countif(A:A,A5)&lt;&gt;countif(B:B,B5))</formula>
    </cfRule>
  </conditionalFormatting>
  <conditionalFormatting sqref="G5:G1003">
    <cfRule type="expression" dxfId="0" priority="12">
      <formula>and(not(isblank(G5)),iserror(match(G5,indirect("'Reference info'!q:q"),0)))</formula>
    </cfRule>
  </conditionalFormatting>
  <dataValidations>
    <dataValidation type="list" allowBlank="1" showInputMessage="1" showErrorMessage="1" prompt="select from list, start typing or drag" sqref="G5:G1003">
      <formula1>CompositionRole</formula1>
    </dataValidation>
    <dataValidation type="custom" allowBlank="1" showDropDown="1" showInputMessage="1" showErrorMessage="1" prompt="must contain 2 letters, 3 character minimum, 20 character maximum, alphanumeric ONLY (letter or number; no dashes, spaces, punctuation marks, etc.)" sqref="B5:B1003">
      <formula1>and(regexmatch(B5,"^[a-zA-Z0-9]*$"), len(B5)&gt;=3, len(B5)&lt;=20)</formula1>
    </dataValidation>
    <dataValidation type="list" allowBlank="1" showInputMessage="1" showErrorMessage="1" prompt="select from Comp Contributor list, start typing or drag" sqref="F5:F1003">
      <formula1>CompContributor</formula1>
    </dataValidation>
    <dataValidation type="custom" allowBlank="1" showDropDown="1" showInputMessage="1" showErrorMessage="1" prompt="Only positive numeric values up to 100%: max 2 decimals in Percent format, e.g. 33.34%; or max 4 decimals in Number format, e.g. 0.3334;" sqref="H5:H1003">
      <formula1>and(INT(H5*10000)=H5*10000,H5&gt;0,H5&lt;=1)</formula1>
    </dataValidation>
    <dataValidation type="list" allowBlank="1" showInputMessage="1" showErrorMessage="1" prompt="Fill out ONLY when 'Published (managed by a publisher)' selected for Publishing; select from Publisher list, start typing or drag" sqref="K5:K1003">
      <formula1>Publisher</formula1>
    </dataValidation>
    <dataValidation type="list" allowBlank="1" showInputMessage="1" showErrorMessage="1" prompt="Click and enter a value frselect from list, start typing or dragom range" sqref="J5:J1003">
      <formula1>Publishing</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0.0"/>
    <col customWidth="1" min="2" max="2" width="15.5"/>
    <col customWidth="1" min="3" max="3" width="28.75"/>
    <col customWidth="1" min="4" max="4" width="14.5"/>
    <col customWidth="1" min="5" max="5" width="10.75"/>
    <col customWidth="1" min="6" max="6" width="10.63"/>
    <col customWidth="1" min="7" max="7" width="12.5"/>
    <col customWidth="1" min="8" max="8" width="10.88"/>
    <col customWidth="1" min="9" max="9" width="8.25"/>
    <col customWidth="1" min="10" max="10" width="12.75"/>
    <col customWidth="1" min="11" max="11" width="9.5"/>
    <col customWidth="1" min="12" max="12" width="6.25"/>
    <col customWidth="1" min="13" max="13" width="26.63"/>
    <col customWidth="1" min="14" max="14" width="21.88"/>
    <col customWidth="1" min="15" max="15" width="8.38"/>
    <col customWidth="1" min="16" max="16" width="16.0"/>
    <col customWidth="1" min="17" max="17" width="12.13"/>
    <col customWidth="1" min="18" max="18" width="12.75"/>
    <col customWidth="1" min="19" max="19" width="9.75"/>
    <col customWidth="1" min="20" max="20" width="8.0"/>
    <col customWidth="1" min="21" max="21" width="9.5"/>
    <col customWidth="1" min="22" max="22" width="9.0"/>
    <col customWidth="1" min="23" max="23" width="12.5"/>
    <col customWidth="1" min="24" max="24" width="4.38"/>
    <col customWidth="1" min="25" max="25" width="8.38"/>
    <col customWidth="1" min="26" max="26" width="6.75"/>
    <col customWidth="1" min="30" max="30" width="11.0"/>
  </cols>
  <sheetData>
    <row r="1">
      <c r="A1" s="13">
        <f>IFERROR(__xludf.DUMMYFUNCTION("COUNTUNIQUE(A5:A1003)-'5) Release_Track'!F1"),0.0)</f>
        <v>0</v>
      </c>
      <c r="B1" s="13">
        <f>IFERROR(__xludf.DUMMYFUNCTION("COUNTUNIQUE(B5:B1003)-'5) Release_Track'!G1"),0.0)</f>
        <v>0</v>
      </c>
      <c r="C1" s="105" t="s">
        <v>314</v>
      </c>
      <c r="D1" s="106"/>
      <c r="E1" s="107" t="s">
        <v>26</v>
      </c>
      <c r="F1" s="170"/>
      <c r="G1" s="170"/>
      <c r="H1" s="179" t="s">
        <v>24</v>
      </c>
      <c r="I1" s="21"/>
      <c r="J1" s="21"/>
      <c r="K1" s="21"/>
      <c r="L1" s="21"/>
      <c r="N1" s="153"/>
    </row>
    <row r="2">
      <c r="A2" s="111" t="s">
        <v>573</v>
      </c>
      <c r="B2" s="112"/>
      <c r="C2" s="154"/>
      <c r="D2" s="154"/>
      <c r="E2" s="154"/>
      <c r="F2" s="154"/>
      <c r="G2" s="154"/>
      <c r="H2" s="154"/>
      <c r="I2" s="154"/>
      <c r="J2" s="154"/>
      <c r="K2" s="154"/>
      <c r="L2" s="154"/>
    </row>
    <row r="3">
      <c r="A3" s="132" t="s">
        <v>334</v>
      </c>
      <c r="B3" s="71" t="s">
        <v>335</v>
      </c>
      <c r="C3" s="155" t="s">
        <v>336</v>
      </c>
      <c r="D3" s="155" t="s">
        <v>337</v>
      </c>
      <c r="E3" s="114"/>
      <c r="F3" s="114"/>
      <c r="G3" s="180" t="s">
        <v>574</v>
      </c>
      <c r="H3" s="114"/>
      <c r="I3" s="114"/>
      <c r="J3" s="114"/>
      <c r="K3" s="114"/>
      <c r="L3" s="114"/>
    </row>
    <row r="4">
      <c r="A4" s="80" t="s">
        <v>540</v>
      </c>
      <c r="B4" s="156" t="s">
        <v>540</v>
      </c>
      <c r="C4" s="116" t="s">
        <v>541</v>
      </c>
      <c r="E4" s="139" t="s">
        <v>575</v>
      </c>
      <c r="F4" s="35" t="s">
        <v>576</v>
      </c>
      <c r="G4" s="35" t="s">
        <v>577</v>
      </c>
      <c r="H4" s="139" t="s">
        <v>578</v>
      </c>
      <c r="I4" s="139" t="s">
        <v>579</v>
      </c>
      <c r="J4" s="139" t="s">
        <v>580</v>
      </c>
      <c r="K4" s="139" t="s">
        <v>581</v>
      </c>
      <c r="L4" s="139" t="s">
        <v>582</v>
      </c>
      <c r="M4" s="49"/>
    </row>
    <row r="5">
      <c r="A5" s="51" t="s">
        <v>354</v>
      </c>
      <c r="B5" s="120"/>
      <c r="C5" s="121" t="str">
        <f t="array" ref="C5">ifs(and(isblank($A5),isblank($B5)),"", not(iserror(vlookup($A5&amp;$B5,'5) Release_Track'!$F:$F&amp;'5) Release_Track'!$G:$G,1,0))),vlookup($A5&amp;$B5,{'5) Release_Track'!$F:$F&amp;'5) Release_Track'!$G:$G,'5) Release_Track'!$H:$H},2,0), or(and(not(isblank($B5)),$B5=$B4,$A5&lt;&gt;$A4),and(not(isblank($A5)),$A5=$A4,$B5&lt;&gt;$B4)),"ID LISTS UNALIGNED",and($A5&lt;&gt;"",countif('5) Release_Track'!$F:$F,$A5)=0),"NO ISRC MATCH in Release_Track",and($B5&lt;&gt;"",countif('5) Release_Track'!$G:$G,$B5)=0),"NO CATALOG ID MATCH in Release_Track",iserror(vlookup($A5&amp;$B5,'5) Release_Track'!$F:$F&amp;'5) Release_Track'!$G:$G,1,0)),"NO ISRC-CATALOG ID pair MATCH in Release_Track" )</f>
        <v>Aakad (From "Bhalwan Singh" Soundtrack)</v>
      </c>
      <c r="D5" s="121" t="str">
        <f t="array" ref="D5">ifs(and(isblank($A5),isblank($B5)),"", not(iserror(vlookup($A5&amp;$B5,'5) Release_Track'!$F:$F&amp;'5) Release_Track'!$G:$G,1,0))),vlookup($A5&amp;$B5,{'5) Release_Track'!$F:$F&amp;'5) Release_Track'!$G:$G,'5) Release_Track'!$I:$I},2,0), or(and(not(isblank($B5)),$B5=$B4,$A5&lt;&gt;$A4),and(not(isblank($A5)),$A5=$A4,$B5&lt;&gt;$B4)),"ID LISTS UNALIGNED",and($A5&lt;&gt;"",countif('5) Release_Track'!$F:$F,$A5)=0),"NO ISRC MATCH in Release_Track",and($B5&lt;&gt;"",countif('5) Release_Track'!$G:$G,$B5)=0),"NO CATALOG ID MATCH in Release_Track",iserror(vlookup($A5&amp;$B5,'5) Release_Track'!$F:$F&amp;'5) Release_Track'!$G:$G,1,0)),"NO ISRC-CATALOG ID pair MATCH in Release_Track" )</f>
        <v/>
      </c>
      <c r="E5" s="142" t="b">
        <v>0</v>
      </c>
      <c r="F5" s="142" t="b">
        <v>0</v>
      </c>
      <c r="G5" s="142" t="b">
        <v>0</v>
      </c>
      <c r="H5" s="142" t="b">
        <v>0</v>
      </c>
      <c r="I5" s="142" t="b">
        <v>0</v>
      </c>
      <c r="J5" s="142" t="b">
        <v>0</v>
      </c>
      <c r="K5" s="142" t="b">
        <v>0</v>
      </c>
      <c r="L5" s="8" t="b">
        <v>1</v>
      </c>
      <c r="M5" s="49" t="s">
        <v>543</v>
      </c>
      <c r="O5" s="28"/>
      <c r="Q5" s="99" t="str">
        <f>VLOOKUP(A5,'5) Release_Track'!F:F,1,0)</f>
        <v>COL5K1701302</v>
      </c>
    </row>
    <row r="6">
      <c r="A6" s="51" t="s">
        <v>358</v>
      </c>
      <c r="B6" s="103"/>
      <c r="C6" s="121" t="str">
        <f t="array" ref="C6">ifs(and(isblank($A6),isblank($B6)),"", not(iserror(vlookup($A6&amp;$B6,'5) Release_Track'!$F:$F&amp;'5) Release_Track'!$G:$G,1,0))),vlookup($A6&amp;$B6,{'5) Release_Track'!$F:$F&amp;'5) Release_Track'!$G:$G,'5) Release_Track'!$H:$H},2,0), or(and(not(isblank($B6)),$B6=$B5,$A6&lt;&gt;$A5),and(not(isblank($A6)),$A6=$A5,$B6&lt;&gt;$B5)),"ID LISTS UNALIGNED",and($A6&lt;&gt;"",countif('5) Release_Track'!$F:$F,$A6)=0),"NO ISRC MATCH in Release_Track",and($B6&lt;&gt;"",countif('5) Release_Track'!$G:$G,$B6)=0),"NO CATALOG ID MATCH in Release_Track",iserror(vlookup($A6&amp;$B6,'5) Release_Track'!$F:$F&amp;'5) Release_Track'!$G:$G,1,0)),"NO ISRC-CATALOG ID pair MATCH in Release_Track" )</f>
        <v>Aisi Taisi (From "Golak Bugni Bank Te Batua" Soundtrack)</v>
      </c>
      <c r="D6" s="121" t="str">
        <f t="array" ref="D6">ifs(and(isblank($A6),isblank($B6)),"", not(iserror(vlookup($A6&amp;$B6,'5) Release_Track'!$F:$F&amp;'5) Release_Track'!$G:$G,1,0))),vlookup($A6&amp;$B6,{'5) Release_Track'!$F:$F&amp;'5) Release_Track'!$G:$G,'5) Release_Track'!$I:$I},2,0), or(and(not(isblank($B6)),$B6=$B5,$A6&lt;&gt;$A5),and(not(isblank($A6)),$A6=$A5,$B6&lt;&gt;$B5)),"ID LISTS UNALIGNED",and($A6&lt;&gt;"",countif('5) Release_Track'!$F:$F,$A6)=0),"NO ISRC MATCH in Release_Track",and($B6&lt;&gt;"",countif('5) Release_Track'!$G:$G,$B6)=0),"NO CATALOG ID MATCH in Release_Track",iserror(vlookup($A6&amp;$B6,'5) Release_Track'!$F:$F&amp;'5) Release_Track'!$G:$G,1,0)),"NO ISRC-CATALOG ID pair MATCH in Release_Track" )</f>
        <v/>
      </c>
      <c r="E6" s="142" t="b">
        <v>0</v>
      </c>
      <c r="F6" s="142" t="b">
        <v>0</v>
      </c>
      <c r="G6" s="142" t="b">
        <v>0</v>
      </c>
      <c r="H6" s="142" t="b">
        <v>0</v>
      </c>
      <c r="I6" s="142" t="b">
        <v>0</v>
      </c>
      <c r="J6" s="142" t="b">
        <v>0</v>
      </c>
      <c r="K6" s="142" t="b">
        <v>0</v>
      </c>
      <c r="L6" s="8" t="b">
        <v>1</v>
      </c>
      <c r="Q6" s="99" t="str">
        <f>VLOOKUP(A6,'5) Release_Track'!F:F,1,0)</f>
        <v>COL5K1701401</v>
      </c>
    </row>
    <row r="7">
      <c r="A7" s="51" t="s">
        <v>360</v>
      </c>
      <c r="B7" s="103"/>
      <c r="C7" s="121" t="str">
        <f t="array" ref="C7">ifs(and(isblank($A7),isblank($B7)),"", not(iserror(vlookup($A7&amp;$B7,'5) Release_Track'!$F:$F&amp;'5) Release_Track'!$G:$G,1,0))),vlookup($A7&amp;$B7,{'5) Release_Track'!$F:$F&amp;'5) Release_Track'!$G:$G,'5) Release_Track'!$H:$H},2,0), or(and(not(isblank($B7)),$B7=$B6,$A7&lt;&gt;$A6),and(not(isblank($A7)),$A7=$A6,$B7&lt;&gt;$B6)),"ID LISTS UNALIGNED",and($A7&lt;&gt;"",countif('5) Release_Track'!$F:$F,$A7)=0),"NO ISRC MATCH in Release_Track",and($B7&lt;&gt;"",countif('5) Release_Track'!$G:$G,$B7)=0),"NO CATALOG ID MATCH in Release_Track",iserror(vlookup($A7&amp;$B7,'5) Release_Track'!$F:$F&amp;'5) Release_Track'!$G:$G,1,0)),"NO ISRC-CATALOG ID pair MATCH in Release_Track" )</f>
        <v>Akhar - Female Version (From "Lahoriye" Soundtrack)</v>
      </c>
      <c r="D7" s="121" t="str">
        <f t="array" ref="D7">ifs(and(isblank($A7),isblank($B7)),"", not(iserror(vlookup($A7&amp;$B7,'5) Release_Track'!$F:$F&amp;'5) Release_Track'!$G:$G,1,0))),vlookup($A7&amp;$B7,{'5) Release_Track'!$F:$F&amp;'5) Release_Track'!$G:$G,'5) Release_Track'!$I:$I},2,0), or(and(not(isblank($B7)),$B7=$B6,$A7&lt;&gt;$A6),and(not(isblank($A7)),$A7=$A6,$B7&lt;&gt;$B6)),"ID LISTS UNALIGNED",and($A7&lt;&gt;"",countif('5) Release_Track'!$F:$F,$A7)=0),"NO ISRC MATCH in Release_Track",and($B7&lt;&gt;"",countif('5) Release_Track'!$G:$G,$B7)=0),"NO CATALOG ID MATCH in Release_Track",iserror(vlookup($A7&amp;$B7,'5) Release_Track'!$F:$F&amp;'5) Release_Track'!$G:$G,1,0)),"NO ISRC-CATALOG ID pair MATCH in Release_Track" )</f>
        <v/>
      </c>
      <c r="E7" s="142" t="b">
        <v>0</v>
      </c>
      <c r="F7" s="142" t="b">
        <v>0</v>
      </c>
      <c r="G7" s="142" t="b">
        <v>0</v>
      </c>
      <c r="H7" s="142" t="b">
        <v>0</v>
      </c>
      <c r="I7" s="142" t="b">
        <v>0</v>
      </c>
      <c r="J7" s="142" t="b">
        <v>0</v>
      </c>
      <c r="K7" s="142" t="b">
        <v>0</v>
      </c>
      <c r="L7" s="8" t="b">
        <v>1</v>
      </c>
      <c r="M7" s="28"/>
      <c r="N7" s="28"/>
      <c r="O7" s="28"/>
      <c r="P7" s="28"/>
      <c r="Q7" s="99" t="str">
        <f>VLOOKUP(A7,'5) Release_Track'!F:F,1,0)</f>
        <v>COL5K1701106</v>
      </c>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row>
    <row r="8">
      <c r="A8" s="51" t="s">
        <v>362</v>
      </c>
      <c r="B8" s="103"/>
      <c r="C8" s="121" t="str">
        <f t="array" ref="C8">ifs(and(isblank($A8),isblank($B8)),"", not(iserror(vlookup($A8&amp;$B8,'5) Release_Track'!$F:$F&amp;'5) Release_Track'!$G:$G,1,0))),vlookup($A8&amp;$B8,{'5) Release_Track'!$F:$F&amp;'5) Release_Track'!$G:$G,'5) Release_Track'!$H:$H},2,0), or(and(not(isblank($B8)),$B8=$B7,$A8&lt;&gt;$A7),and(not(isblank($A8)),$A8=$A7,$B8&lt;&gt;$B7)),"ID LISTS UNALIGNED",and($A8&lt;&gt;"",countif('5) Release_Track'!$F:$F,$A8)=0),"NO ISRC MATCH in Release_Track",and($B8&lt;&gt;"",countif('5) Release_Track'!$G:$G,$B8)=0),"NO CATALOG ID MATCH in Release_Track",iserror(vlookup($A8&amp;$B8,'5) Release_Track'!$F:$F&amp;'5) Release_Track'!$G:$G,1,0)),"NO ISRC-CATALOG ID pair MATCH in Release_Track" )</f>
        <v>Akhar (From "Lahoriye" Soundtrack)</v>
      </c>
      <c r="D8" s="121" t="str">
        <f t="array" ref="D8">ifs(and(isblank($A8),isblank($B8)),"", not(iserror(vlookup($A8&amp;$B8,'5) Release_Track'!$F:$F&amp;'5) Release_Track'!$G:$G,1,0))),vlookup($A8&amp;$B8,{'5) Release_Track'!$F:$F&amp;'5) Release_Track'!$G:$G,'5) Release_Track'!$I:$I},2,0), or(and(not(isblank($B8)),$B8=$B7,$A8&lt;&gt;$A7),and(not(isblank($A8)),$A8=$A7,$B8&lt;&gt;$B7)),"ID LISTS UNALIGNED",and($A8&lt;&gt;"",countif('5) Release_Track'!$F:$F,$A8)=0),"NO ISRC MATCH in Release_Track",and($B8&lt;&gt;"",countif('5) Release_Track'!$G:$G,$B8)=0),"NO CATALOG ID MATCH in Release_Track",iserror(vlookup($A8&amp;$B8,'5) Release_Track'!$F:$F&amp;'5) Release_Track'!$G:$G,1,0)),"NO ISRC-CATALOG ID pair MATCH in Release_Track" )</f>
        <v/>
      </c>
      <c r="E8" s="142" t="b">
        <v>0</v>
      </c>
      <c r="F8" s="142" t="b">
        <v>0</v>
      </c>
      <c r="G8" s="142" t="b">
        <v>0</v>
      </c>
      <c r="H8" s="142" t="b">
        <v>0</v>
      </c>
      <c r="I8" s="142" t="b">
        <v>0</v>
      </c>
      <c r="J8" s="142" t="b">
        <v>0</v>
      </c>
      <c r="K8" s="142" t="b">
        <v>0</v>
      </c>
      <c r="L8" s="8" t="b">
        <v>1</v>
      </c>
      <c r="M8" s="28"/>
      <c r="O8" s="151"/>
      <c r="P8" s="151"/>
      <c r="Q8" s="99" t="str">
        <f>VLOOKUP(A8,'5) Release_Track'!F:F,1,0)</f>
        <v>COL5K1701101</v>
      </c>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row>
    <row r="9">
      <c r="A9" s="51" t="s">
        <v>364</v>
      </c>
      <c r="B9" s="124"/>
      <c r="C9" s="121" t="str">
        <f t="array" ref="C9">ifs(and(isblank($A9),isblank($B9)),"", not(iserror(vlookup($A9&amp;$B9,'5) Release_Track'!$F:$F&amp;'5) Release_Track'!$G:$G,1,0))),vlookup($A9&amp;$B9,{'5) Release_Track'!$F:$F&amp;'5) Release_Track'!$G:$G,'5) Release_Track'!$H:$H},2,0), or(and(not(isblank($B9)),$B9=$B8,$A9&lt;&gt;$A8),and(not(isblank($A9)),$A9=$A8,$B9&lt;&gt;$B8)),"ID LISTS UNALIGNED",and($A9&lt;&gt;"",countif('5) Release_Track'!$F:$F,$A9)=0),"NO ISRC MATCH in Release_Track",and($B9&lt;&gt;"",countif('5) Release_Track'!$G:$G,$B9)=0),"NO CATALOG ID MATCH in Release_Track",iserror(vlookup($A9&amp;$B9,'5) Release_Track'!$F:$F&amp;'5) Release_Track'!$G:$G,1,0)),"NO ISRC-CATALOG ID pair MATCH in Release_Track" )</f>
        <v>Mil Ke Baithange</v>
      </c>
      <c r="D9" s="121" t="str">
        <f t="array" ref="D9">ifs(and(isblank($A9),isblank($B9)),"", not(iserror(vlookup($A9&amp;$B9,'5) Release_Track'!$F:$F&amp;'5) Release_Track'!$G:$G,1,0))),vlookup($A9&amp;$B9,{'5) Release_Track'!$F:$F&amp;'5) Release_Track'!$G:$G,'5) Release_Track'!$I:$I},2,0), or(and(not(isblank($B9)),$B9=$B8,$A9&lt;&gt;$A8),and(not(isblank($A9)),$A9=$A8,$B9&lt;&gt;$B8)),"ID LISTS UNALIGNED",and($A9&lt;&gt;"",countif('5) Release_Track'!$F:$F,$A9)=0),"NO ISRC MATCH in Release_Track",and($B9&lt;&gt;"",countif('5) Release_Track'!$G:$G,$B9)=0),"NO CATALOG ID MATCH in Release_Track",iserror(vlookup($A9&amp;$B9,'5) Release_Track'!$F:$F&amp;'5) Release_Track'!$G:$G,1,0)),"NO ISRC-CATALOG ID pair MATCH in Release_Track" )</f>
        <v/>
      </c>
      <c r="E9" s="142" t="b">
        <v>0</v>
      </c>
      <c r="F9" s="142" t="b">
        <v>0</v>
      </c>
      <c r="G9" s="142" t="b">
        <v>0</v>
      </c>
      <c r="H9" s="142" t="b">
        <v>0</v>
      </c>
      <c r="I9" s="142" t="b">
        <v>0</v>
      </c>
      <c r="J9" s="142" t="b">
        <v>0</v>
      </c>
      <c r="K9" s="142" t="b">
        <v>0</v>
      </c>
      <c r="L9" s="8" t="b">
        <v>1</v>
      </c>
      <c r="M9" s="28"/>
      <c r="N9" s="28"/>
      <c r="O9" s="28"/>
      <c r="Q9" s="99" t="str">
        <f>VLOOKUP(A9,'5) Release_Track'!F:F,1,0)</f>
        <v>COL5K1500304</v>
      </c>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row>
    <row r="10">
      <c r="A10" s="51" t="s">
        <v>367</v>
      </c>
      <c r="B10" s="124"/>
      <c r="C10" s="121" t="str">
        <f t="array" ref="C10">ifs(and(isblank($A10),isblank($B10)),"", not(iserror(vlookup($A10&amp;$B10,'5) Release_Track'!$F:$F&amp;'5) Release_Track'!$G:$G,1,0))),vlookup($A10&amp;$B10,{'5) Release_Track'!$F:$F&amp;'5) Release_Track'!$G:$G,'5) Release_Track'!$H:$H},2,0), or(and(not(isblank($B10)),$B10=$B9,$A10&lt;&gt;$A9),and(not(isblank($A10)),$A10=$A9,$B10&lt;&gt;$B9)),"ID LISTS UNALIGNED",and($A10&lt;&gt;"",countif('5) Release_Track'!$F:$F,$A10)=0),"NO ISRC MATCH in Release_Track",and($B10&lt;&gt;"",countif('5) Release_Track'!$G:$G,$B10)=0),"NO CATALOG ID MATCH in Release_Track",iserror(vlookup($A10&amp;$B10,'5) Release_Track'!$F:$F&amp;'5) Release_Track'!$G:$G,1,0)),"NO ISRC-CATALOG ID pair MATCH in Release_Track" )</f>
        <v>Kurta Suha</v>
      </c>
      <c r="D10" s="121" t="str">
        <f t="array" ref="D10">ifs(and(isblank($A10),isblank($B10)),"", not(iserror(vlookup($A10&amp;$B10,'5) Release_Track'!$F:$F&amp;'5) Release_Track'!$G:$G,1,0))),vlookup($A10&amp;$B10,{'5) Release_Track'!$F:$F&amp;'5) Release_Track'!$G:$G,'5) Release_Track'!$I:$I},2,0), or(and(not(isblank($B10)),$B10=$B9,$A10&lt;&gt;$A9),and(not(isblank($A10)),$A10=$A9,$B10&lt;&gt;$B9)),"ID LISTS UNALIGNED",and($A10&lt;&gt;"",countif('5) Release_Track'!$F:$F,$A10)=0),"NO ISRC MATCH in Release_Track",and($B10&lt;&gt;"",countif('5) Release_Track'!$G:$G,$B10)=0),"NO CATALOG ID MATCH in Release_Track",iserror(vlookup($A10&amp;$B10,'5) Release_Track'!$F:$F&amp;'5) Release_Track'!$G:$G,1,0)),"NO ISRC-CATALOG ID pair MATCH in Release_Track" )</f>
        <v/>
      </c>
      <c r="E10" s="142" t="b">
        <v>0</v>
      </c>
      <c r="F10" s="142" t="b">
        <v>0</v>
      </c>
      <c r="G10" s="142" t="b">
        <v>0</v>
      </c>
      <c r="H10" s="142" t="b">
        <v>0</v>
      </c>
      <c r="I10" s="142" t="b">
        <v>0</v>
      </c>
      <c r="J10" s="142" t="b">
        <v>0</v>
      </c>
      <c r="K10" s="142" t="b">
        <v>0</v>
      </c>
      <c r="L10" s="8" t="b">
        <v>1</v>
      </c>
      <c r="M10" s="28" t="s">
        <v>544</v>
      </c>
      <c r="O10" s="151"/>
      <c r="P10" s="28"/>
      <c r="Q10" s="99" t="str">
        <f>VLOOKUP(A10,'5) Release_Track'!F:F,1,0)</f>
        <v>COL5K1500301</v>
      </c>
      <c r="R10" s="151"/>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row>
    <row r="11">
      <c r="A11" s="51" t="s">
        <v>370</v>
      </c>
      <c r="B11" s="124"/>
      <c r="C11" s="121" t="str">
        <f t="array" ref="C11">ifs(and(isblank($A11),isblank($B11)),"", not(iserror(vlookup($A11&amp;$B11,'5) Release_Track'!$F:$F&amp;'5) Release_Track'!$G:$G,1,0))),vlookup($A11&amp;$B11,{'5) Release_Track'!$F:$F&amp;'5) Release_Track'!$G:$G,'5) Release_Track'!$H:$H},2,0), or(and(not(isblank($B11)),$B11=$B10,$A11&lt;&gt;$A10),and(not(isblank($A11)),$A11=$A10,$B11&lt;&gt;$B10)),"ID LISTS UNALIGNED",and($A11&lt;&gt;"",countif('5) Release_Track'!$F:$F,$A11)=0),"NO ISRC MATCH in Release_Track",and($B11&lt;&gt;"",countif('5) Release_Track'!$G:$G,$B11)=0),"NO CATALOG ID MATCH in Release_Track",iserror(vlookup($A11&amp;$B11,'5) Release_Track'!$F:$F&amp;'5) Release_Track'!$G:$G,1,0)),"NO ISRC-CATALOG ID pair MATCH in Release_Track" )</f>
        <v>Family Di Member</v>
      </c>
      <c r="D11" s="121" t="str">
        <f t="array" ref="D11">ifs(and(isblank($A11),isblank($B11)),"", not(iserror(vlookup($A11&amp;$B11,'5) Release_Track'!$F:$F&amp;'5) Release_Track'!$G:$G,1,0))),vlookup($A11&amp;$B11,{'5) Release_Track'!$F:$F&amp;'5) Release_Track'!$G:$G,'5) Release_Track'!$I:$I},2,0), or(and(not(isblank($B11)),$B11=$B10,$A11&lt;&gt;$A10),and(not(isblank($A11)),$A11=$A10,$B11&lt;&gt;$B10)),"ID LISTS UNALIGNED",and($A11&lt;&gt;"",countif('5) Release_Track'!$F:$F,$A11)=0),"NO ISRC MATCH in Release_Track",and($B11&lt;&gt;"",countif('5) Release_Track'!$G:$G,$B11)=0),"NO CATALOG ID MATCH in Release_Track",iserror(vlookup($A11&amp;$B11,'5) Release_Track'!$F:$F&amp;'5) Release_Track'!$G:$G,1,0)),"NO ISRC-CATALOG ID pair MATCH in Release_Track" )</f>
        <v/>
      </c>
      <c r="E11" s="142" t="b">
        <v>0</v>
      </c>
      <c r="F11" s="142" t="b">
        <v>0</v>
      </c>
      <c r="G11" s="142" t="b">
        <v>0</v>
      </c>
      <c r="H11" s="142" t="b">
        <v>0</v>
      </c>
      <c r="I11" s="142" t="b">
        <v>0</v>
      </c>
      <c r="J11" s="142" t="b">
        <v>0</v>
      </c>
      <c r="K11" s="142" t="b">
        <v>0</v>
      </c>
      <c r="L11" s="8" t="b">
        <v>1</v>
      </c>
      <c r="M11" s="28"/>
      <c r="P11" s="28"/>
      <c r="Q11" s="99" t="str">
        <f>VLOOKUP(A11,'5) Release_Track'!F:F,1,0)</f>
        <v>COL5K1500305</v>
      </c>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row>
    <row r="12">
      <c r="A12" s="51" t="s">
        <v>373</v>
      </c>
      <c r="B12" s="124"/>
      <c r="C12" s="121" t="str">
        <f t="array" ref="C12">ifs(and(isblank($A12),isblank($B12)),"", not(iserror(vlookup($A12&amp;$B12,'5) Release_Track'!$F:$F&amp;'5) Release_Track'!$G:$G,1,0))),vlookup($A12&amp;$B12,{'5) Release_Track'!$F:$F&amp;'5) Release_Track'!$G:$G,'5) Release_Track'!$H:$H},2,0), or(and(not(isblank($B12)),$B12=$B11,$A12&lt;&gt;$A11),and(not(isblank($A12)),$A12=$A11,$B12&lt;&gt;$B11)),"ID LISTS UNALIGNED",and($A12&lt;&gt;"",countif('5) Release_Track'!$F:$F,$A12)=0),"NO ISRC MATCH in Release_Track",and($B12&lt;&gt;"",countif('5) Release_Track'!$G:$G,$B12)=0),"NO CATALOG ID MATCH in Release_Track",iserror(vlookup($A12&amp;$B12,'5) Release_Track'!$F:$F&amp;'5) Release_Track'!$G:$G,1,0)),"NO ISRC-CATALOG ID pair MATCH in Release_Track" )</f>
        <v>Chete Kar Kar Ke</v>
      </c>
      <c r="D12" s="121" t="str">
        <f t="array" ref="D12">ifs(and(isblank($A12),isblank($B12)),"", not(iserror(vlookup($A12&amp;$B12,'5) Release_Track'!$F:$F&amp;'5) Release_Track'!$G:$G,1,0))),vlookup($A12&amp;$B12,{'5) Release_Track'!$F:$F&amp;'5) Release_Track'!$G:$G,'5) Release_Track'!$I:$I},2,0), or(and(not(isblank($B12)),$B12=$B11,$A12&lt;&gt;$A11),and(not(isblank($A12)),$A12=$A11,$B12&lt;&gt;$B11)),"ID LISTS UNALIGNED",and($A12&lt;&gt;"",countif('5) Release_Track'!$F:$F,$A12)=0),"NO ISRC MATCH in Release_Track",and($B12&lt;&gt;"",countif('5) Release_Track'!$G:$G,$B12)=0),"NO CATALOG ID MATCH in Release_Track",iserror(vlookup($A12&amp;$B12,'5) Release_Track'!$F:$F&amp;'5) Release_Track'!$G:$G,1,0)),"NO ISRC-CATALOG ID pair MATCH in Release_Track" )</f>
        <v/>
      </c>
      <c r="E12" s="142" t="b">
        <v>0</v>
      </c>
      <c r="F12" s="142" t="b">
        <v>0</v>
      </c>
      <c r="G12" s="142" t="b">
        <v>0</v>
      </c>
      <c r="H12" s="142" t="b">
        <v>0</v>
      </c>
      <c r="I12" s="142" t="b">
        <v>0</v>
      </c>
      <c r="J12" s="142" t="b">
        <v>0</v>
      </c>
      <c r="K12" s="142" t="b">
        <v>0</v>
      </c>
      <c r="L12" s="8" t="b">
        <v>1</v>
      </c>
      <c r="M12" s="28"/>
      <c r="N12" s="28"/>
      <c r="O12" s="28"/>
      <c r="P12" s="28"/>
      <c r="Q12" s="99" t="str">
        <f>VLOOKUP(A12,'5) Release_Track'!F:F,1,0)</f>
        <v>COL5K1500306</v>
      </c>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row>
    <row r="13">
      <c r="A13" s="51" t="s">
        <v>376</v>
      </c>
      <c r="B13" s="124"/>
      <c r="C13" s="121" t="str">
        <f t="array" ref="C13">ifs(and(isblank($A13),isblank($B13)),"", not(iserror(vlookup($A13&amp;$B13,'5) Release_Track'!$F:$F&amp;'5) Release_Track'!$G:$G,1,0))),vlookup($A13&amp;$B13,{'5) Release_Track'!$F:$F&amp;'5) Release_Track'!$G:$G,'5) Release_Track'!$H:$H},2,0), or(and(not(isblank($B13)),$B13=$B12,$A13&lt;&gt;$A12),and(not(isblank($A13)),$A13=$A12,$B13&lt;&gt;$B12)),"ID LISTS UNALIGNED",and($A13&lt;&gt;"",countif('5) Release_Track'!$F:$F,$A13)=0),"NO ISRC MATCH in Release_Track",and($B13&lt;&gt;"",countif('5) Release_Track'!$G:$G,$B13)=0),"NO CATALOG ID MATCH in Release_Track",iserror(vlookup($A13&amp;$B13,'5) Release_Track'!$F:$F&amp;'5) Release_Track'!$G:$G,1,0)),"NO ISRC-CATALOG ID pair MATCH in Release_Track" )</f>
        <v>Vanjhali Vaja</v>
      </c>
      <c r="D13" s="121" t="str">
        <f t="array" ref="D13">ifs(and(isblank($A13),isblank($B13)),"", not(iserror(vlookup($A13&amp;$B13,'5) Release_Track'!$F:$F&amp;'5) Release_Track'!$G:$G,1,0))),vlookup($A13&amp;$B13,{'5) Release_Track'!$F:$F&amp;'5) Release_Track'!$G:$G,'5) Release_Track'!$I:$I},2,0), or(and(not(isblank($B13)),$B13=$B12,$A13&lt;&gt;$A12),and(not(isblank($A13)),$A13=$A12,$B13&lt;&gt;$B12)),"ID LISTS UNALIGNED",and($A13&lt;&gt;"",countif('5) Release_Track'!$F:$F,$A13)=0),"NO ISRC MATCH in Release_Track",and($B13&lt;&gt;"",countif('5) Release_Track'!$G:$G,$B13)=0),"NO CATALOG ID MATCH in Release_Track",iserror(vlookup($A13&amp;$B13,'5) Release_Track'!$F:$F&amp;'5) Release_Track'!$G:$G,1,0)),"NO ISRC-CATALOG ID pair MATCH in Release_Track" )</f>
        <v/>
      </c>
      <c r="E13" s="142" t="b">
        <v>0</v>
      </c>
      <c r="F13" s="142" t="b">
        <v>0</v>
      </c>
      <c r="G13" s="142" t="b">
        <v>0</v>
      </c>
      <c r="H13" s="142" t="b">
        <v>0</v>
      </c>
      <c r="I13" s="142" t="b">
        <v>0</v>
      </c>
      <c r="J13" s="142" t="b">
        <v>0</v>
      </c>
      <c r="K13" s="142" t="b">
        <v>0</v>
      </c>
      <c r="L13" s="8" t="b">
        <v>1</v>
      </c>
      <c r="M13" s="28"/>
      <c r="N13" s="28"/>
      <c r="O13" s="28"/>
      <c r="P13" s="28"/>
      <c r="Q13" s="99" t="str">
        <f>VLOOKUP(A13,'5) Release_Track'!F:F,1,0)</f>
        <v>COL5K1500302</v>
      </c>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row>
    <row r="14">
      <c r="A14" s="51" t="s">
        <v>379</v>
      </c>
      <c r="B14" s="124"/>
      <c r="C14" s="121" t="str">
        <f t="array" ref="C14">ifs(and(isblank($A14),isblank($B14)),"", not(iserror(vlookup($A14&amp;$B14,'5) Release_Track'!$F:$F&amp;'5) Release_Track'!$G:$G,1,0))),vlookup($A14&amp;$B14,{'5) Release_Track'!$F:$F&amp;'5) Release_Track'!$G:$G,'5) Release_Track'!$H:$H},2,0), or(and(not(isblank($B14)),$B14=$B13,$A14&lt;&gt;$A13),and(not(isblank($A14)),$A14=$A13,$B14&lt;&gt;$B13)),"ID LISTS UNALIGNED",and($A14&lt;&gt;"",countif('5) Release_Track'!$F:$F,$A14)=0),"NO ISRC MATCH in Release_Track",and($B14&lt;&gt;"",countif('5) Release_Track'!$G:$G,$B14)=0),"NO CATALOG ID MATCH in Release_Track",iserror(vlookup($A14&amp;$B14,'5) Release_Track'!$F:$F&amp;'5) Release_Track'!$G:$G,1,0)),"NO ISRC-CATALOG ID pair MATCH in Release_Track" )</f>
        <v>Jind Mahi</v>
      </c>
      <c r="D14" s="121" t="str">
        <f t="array" ref="D14">ifs(and(isblank($A14),isblank($B14)),"", not(iserror(vlookup($A14&amp;$B14,'5) Release_Track'!$F:$F&amp;'5) Release_Track'!$G:$G,1,0))),vlookup($A14&amp;$B14,{'5) Release_Track'!$F:$F&amp;'5) Release_Track'!$G:$G,'5) Release_Track'!$I:$I},2,0), or(and(not(isblank($B14)),$B14=$B13,$A14&lt;&gt;$A13),and(not(isblank($A14)),$A14=$A13,$B14&lt;&gt;$B13)),"ID LISTS UNALIGNED",and($A14&lt;&gt;"",countif('5) Release_Track'!$F:$F,$A14)=0),"NO ISRC MATCH in Release_Track",and($B14&lt;&gt;"",countif('5) Release_Track'!$G:$G,$B14)=0),"NO CATALOG ID MATCH in Release_Track",iserror(vlookup($A14&amp;$B14,'5) Release_Track'!$F:$F&amp;'5) Release_Track'!$G:$G,1,0)),"NO ISRC-CATALOG ID pair MATCH in Release_Track" )</f>
        <v/>
      </c>
      <c r="E14" s="142" t="b">
        <v>0</v>
      </c>
      <c r="F14" s="142" t="b">
        <v>0</v>
      </c>
      <c r="G14" s="142" t="b">
        <v>0</v>
      </c>
      <c r="H14" s="142" t="b">
        <v>0</v>
      </c>
      <c r="I14" s="142" t="b">
        <v>0</v>
      </c>
      <c r="J14" s="142" t="b">
        <v>0</v>
      </c>
      <c r="K14" s="142" t="b">
        <v>0</v>
      </c>
      <c r="L14" s="8" t="b">
        <v>1</v>
      </c>
      <c r="M14" s="28"/>
      <c r="N14" s="28"/>
      <c r="O14" s="28"/>
      <c r="P14" s="28"/>
      <c r="Q14" s="99" t="str">
        <f>VLOOKUP(A14,'5) Release_Track'!F:F,1,0)</f>
        <v>COL5K1500303</v>
      </c>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row>
    <row r="15">
      <c r="A15" s="51" t="s">
        <v>382</v>
      </c>
      <c r="B15" s="124"/>
      <c r="C15" s="121" t="str">
        <f t="array" ref="C15">ifs(and(isblank($A15),isblank($B15)),"", not(iserror(vlookup($A15&amp;$B15,'5) Release_Track'!$F:$F&amp;'5) Release_Track'!$G:$G,1,0))),vlookup($A15&amp;$B15,{'5) Release_Track'!$F:$F&amp;'5) Release_Track'!$G:$G,'5) Release_Track'!$H:$H},2,0), or(and(not(isblank($B15)),$B15=$B14,$A15&lt;&gt;$A14),and(not(isblank($A15)),$A15=$A14,$B15&lt;&gt;$B14)),"ID LISTS UNALIGNED",and($A15&lt;&gt;"",countif('5) Release_Track'!$F:$F,$A15)=0),"NO ISRC MATCH in Release_Track",and($B15&lt;&gt;"",countif('5) Release_Track'!$G:$G,$B15)=0),"NO CATALOG ID MATCH in Release_Track",iserror(vlookup($A15&amp;$B15,'5) Release_Track'!$F:$F&amp;'5) Release_Track'!$G:$G,1,0)),"NO ISRC-CATALOG ID pair MATCH in Release_Track" )</f>
        <v>Angrej Tappe</v>
      </c>
      <c r="D15" s="121" t="str">
        <f t="array" ref="D15">ifs(and(isblank($A15),isblank($B15)),"", not(iserror(vlookup($A15&amp;$B15,'5) Release_Track'!$F:$F&amp;'5) Release_Track'!$G:$G,1,0))),vlookup($A15&amp;$B15,{'5) Release_Track'!$F:$F&amp;'5) Release_Track'!$G:$G,'5) Release_Track'!$I:$I},2,0), or(and(not(isblank($B15)),$B15=$B14,$A15&lt;&gt;$A14),and(not(isblank($A15)),$A15=$A14,$B15&lt;&gt;$B14)),"ID LISTS UNALIGNED",and($A15&lt;&gt;"",countif('5) Release_Track'!$F:$F,$A15)=0),"NO ISRC MATCH in Release_Track",and($B15&lt;&gt;"",countif('5) Release_Track'!$G:$G,$B15)=0),"NO CATALOG ID MATCH in Release_Track",iserror(vlookup($A15&amp;$B15,'5) Release_Track'!$F:$F&amp;'5) Release_Track'!$G:$G,1,0)),"NO ISRC-CATALOG ID pair MATCH in Release_Track" )</f>
        <v/>
      </c>
      <c r="E15" s="142" t="b">
        <v>0</v>
      </c>
      <c r="F15" s="142" t="b">
        <v>0</v>
      </c>
      <c r="G15" s="142" t="b">
        <v>0</v>
      </c>
      <c r="H15" s="142" t="b">
        <v>0</v>
      </c>
      <c r="I15" s="142" t="b">
        <v>0</v>
      </c>
      <c r="J15" s="142" t="b">
        <v>0</v>
      </c>
      <c r="K15" s="142" t="b">
        <v>0</v>
      </c>
      <c r="L15" s="8" t="b">
        <v>1</v>
      </c>
      <c r="M15" s="28"/>
      <c r="N15" s="28"/>
      <c r="O15" s="28"/>
      <c r="P15" s="28"/>
      <c r="Q15" s="99" t="str">
        <f>VLOOKUP(A15,'5) Release_Track'!F:F,1,0)</f>
        <v>COL5K1500307</v>
      </c>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row>
    <row r="16">
      <c r="A16" s="51" t="s">
        <v>385</v>
      </c>
      <c r="B16" s="124"/>
      <c r="C16" s="121" t="str">
        <f t="array" ref="C16">ifs(and(isblank($A16),isblank($B16)),"", not(iserror(vlookup($A16&amp;$B16,'5) Release_Track'!$F:$F&amp;'5) Release_Track'!$G:$G,1,0))),vlookup($A16&amp;$B16,{'5) Release_Track'!$F:$F&amp;'5) Release_Track'!$G:$G,'5) Release_Track'!$H:$H},2,0), or(and(not(isblank($B16)),$B16=$B15,$A16&lt;&gt;$A15),and(not(isblank($A16)),$A16=$A15,$B16&lt;&gt;$B15)),"ID LISTS UNALIGNED",and($A16&lt;&gt;"",countif('5) Release_Track'!$F:$F,$A16)=0),"NO ISRC MATCH in Release_Track",and($B16&lt;&gt;"",countif('5) Release_Track'!$G:$G,$B16)=0),"NO CATALOG ID MATCH in Release_Track",iserror(vlookup($A16&amp;$B16,'5) Release_Track'!$F:$F&amp;'5) Release_Track'!$G:$G,1,0)),"NO ISRC-CATALOG ID pair MATCH in Release_Track" )</f>
        <v>Bambukat (From "Bambukat" Soundtrack)</v>
      </c>
      <c r="D16" s="121" t="str">
        <f t="array" ref="D16">ifs(and(isblank($A16),isblank($B16)),"", not(iserror(vlookup($A16&amp;$B16,'5) Release_Track'!$F:$F&amp;'5) Release_Track'!$G:$G,1,0))),vlookup($A16&amp;$B16,{'5) Release_Track'!$F:$F&amp;'5) Release_Track'!$G:$G,'5) Release_Track'!$I:$I},2,0), or(and(not(isblank($B16)),$B16=$B15,$A16&lt;&gt;$A15),and(not(isblank($A16)),$A16=$A15,$B16&lt;&gt;$B15)),"ID LISTS UNALIGNED",and($A16&lt;&gt;"",countif('5) Release_Track'!$F:$F,$A16)=0),"NO ISRC MATCH in Release_Track",and($B16&lt;&gt;"",countif('5) Release_Track'!$G:$G,$B16)=0),"NO CATALOG ID MATCH in Release_Track",iserror(vlookup($A16&amp;$B16,'5) Release_Track'!$F:$F&amp;'5) Release_Track'!$G:$G,1,0)),"NO ISRC-CATALOG ID pair MATCH in Release_Track" )</f>
        <v/>
      </c>
      <c r="E16" s="142" t="b">
        <v>0</v>
      </c>
      <c r="F16" s="142" t="b">
        <v>0</v>
      </c>
      <c r="G16" s="142" t="b">
        <v>0</v>
      </c>
      <c r="H16" s="142" t="b">
        <v>0</v>
      </c>
      <c r="I16" s="142" t="b">
        <v>0</v>
      </c>
      <c r="J16" s="142" t="b">
        <v>0</v>
      </c>
      <c r="K16" s="142" t="b">
        <v>0</v>
      </c>
      <c r="L16" s="8" t="b">
        <v>1</v>
      </c>
      <c r="M16" s="28"/>
      <c r="O16" s="157"/>
      <c r="Q16" s="99" t="str">
        <f>VLOOKUP(A16,'5) Release_Track'!F:F,1,0)</f>
        <v>COL5K1600805</v>
      </c>
      <c r="R16" s="28"/>
      <c r="S16" s="28"/>
      <c r="T16" s="28"/>
      <c r="U16" s="28"/>
      <c r="V16" s="28"/>
      <c r="W16" s="28"/>
      <c r="X16" s="28"/>
      <c r="Y16" s="28"/>
      <c r="Z16" s="43"/>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row>
    <row r="17">
      <c r="A17" s="51" t="s">
        <v>387</v>
      </c>
      <c r="B17" s="103"/>
      <c r="C17" s="121" t="str">
        <f t="array" ref="C17">ifs(and(isblank($A17),isblank($B17)),"", not(iserror(vlookup($A17&amp;$B17,'5) Release_Track'!$F:$F&amp;'5) Release_Track'!$G:$G,1,0))),vlookup($A17&amp;$B17,{'5) Release_Track'!$F:$F&amp;'5) Release_Track'!$G:$G,'5) Release_Track'!$H:$H},2,0), or(and(not(isblank($B17)),$B17=$B16,$A17&lt;&gt;$A16),and(not(isblank($A17)),$A17=$A16,$B17&lt;&gt;$B16)),"ID LISTS UNALIGNED",and($A17&lt;&gt;"",countif('5) Release_Track'!$F:$F,$A17)=0),"NO ISRC MATCH in Release_Track",and($B17&lt;&gt;"",countif('5) Release_Track'!$G:$G,$B17)=0),"NO CATALOG ID MATCH in Release_Track",iserror(vlookup($A17&amp;$B17,'5) Release_Track'!$F:$F&amp;'5) Release_Track'!$G:$G,1,0)),"NO ISRC-CATALOG ID pair MATCH in Release_Track" )</f>
        <v>Chann Ve</v>
      </c>
      <c r="D17" s="121" t="str">
        <f t="array" ref="D17">ifs(and(isblank($A17),isblank($B17)),"", not(iserror(vlookup($A17&amp;$B17,'5) Release_Track'!$F:$F&amp;'5) Release_Track'!$G:$G,1,0))),vlookup($A17&amp;$B17,{'5) Release_Track'!$F:$F&amp;'5) Release_Track'!$G:$G,'5) Release_Track'!$I:$I},2,0), or(and(not(isblank($B17)),$B17=$B16,$A17&lt;&gt;$A16),and(not(isblank($A17)),$A17=$A16,$B17&lt;&gt;$B16)),"ID LISTS UNALIGNED",and($A17&lt;&gt;"",countif('5) Release_Track'!$F:$F,$A17)=0),"NO ISRC MATCH in Release_Track",and($B17&lt;&gt;"",countif('5) Release_Track'!$G:$G,$B17)=0),"NO CATALOG ID MATCH in Release_Track",iserror(vlookup($A17&amp;$B17,'5) Release_Track'!$F:$F&amp;'5) Release_Track'!$G:$G,1,0)),"NO ISRC-CATALOG ID pair MATCH in Release_Track" )</f>
        <v/>
      </c>
      <c r="E17" s="142" t="b">
        <v>0</v>
      </c>
      <c r="F17" s="142" t="b">
        <v>0</v>
      </c>
      <c r="G17" s="142" t="b">
        <v>0</v>
      </c>
      <c r="H17" s="142" t="b">
        <v>0</v>
      </c>
      <c r="I17" s="142" t="b">
        <v>0</v>
      </c>
      <c r="J17" s="142" t="b">
        <v>0</v>
      </c>
      <c r="K17" s="142" t="b">
        <v>0</v>
      </c>
      <c r="L17" s="8" t="b">
        <v>1</v>
      </c>
      <c r="O17" s="157"/>
      <c r="Q17" s="99" t="str">
        <f>VLOOKUP(A17,'5) Release_Track'!F:F,1,0)</f>
        <v>COL5K1701201</v>
      </c>
    </row>
    <row r="18">
      <c r="A18" s="51" t="s">
        <v>389</v>
      </c>
      <c r="B18" s="103"/>
      <c r="C18" s="121" t="str">
        <f t="array" ref="C18">ifs(and(isblank($A18),isblank($B18)),"", not(iserror(vlookup($A18&amp;$B18,'5) Release_Track'!$F:$F&amp;'5) Release_Track'!$G:$G,1,0))),vlookup($A18&amp;$B18,{'5) Release_Track'!$F:$F&amp;'5) Release_Track'!$G:$G,'5) Release_Track'!$H:$H},2,0), or(and(not(isblank($B18)),$B18=$B17,$A18&lt;&gt;$A17),and(not(isblank($A18)),$A18=$A17,$B18&lt;&gt;$B17)),"ID LISTS UNALIGNED",and($A18&lt;&gt;"",countif('5) Release_Track'!$F:$F,$A18)=0),"NO ISRC MATCH in Release_Track",and($B18&lt;&gt;"",countif('5) Release_Track'!$G:$G,$B18)=0),"NO CATALOG ID MATCH in Release_Track",iserror(vlookup($A18&amp;$B18,'5) Release_Track'!$F:$F&amp;'5) Release_Track'!$G:$G,1,0)),"NO ISRC-CATALOG ID pair MATCH in Release_Track" )</f>
        <v>Chunni (From "Lahoriye" Soundtrack)</v>
      </c>
      <c r="D18" s="121" t="str">
        <f t="array" ref="D18">ifs(and(isblank($A18),isblank($B18)),"", not(iserror(vlookup($A18&amp;$B18,'5) Release_Track'!$F:$F&amp;'5) Release_Track'!$G:$G,1,0))),vlookup($A18&amp;$B18,{'5) Release_Track'!$F:$F&amp;'5) Release_Track'!$G:$G,'5) Release_Track'!$I:$I},2,0), or(and(not(isblank($B18)),$B18=$B17,$A18&lt;&gt;$A17),and(not(isblank($A18)),$A18=$A17,$B18&lt;&gt;$B17)),"ID LISTS UNALIGNED",and($A18&lt;&gt;"",countif('5) Release_Track'!$F:$F,$A18)=0),"NO ISRC MATCH in Release_Track",and($B18&lt;&gt;"",countif('5) Release_Track'!$G:$G,$B18)=0),"NO CATALOG ID MATCH in Release_Track",iserror(vlookup($A18&amp;$B18,'5) Release_Track'!$F:$F&amp;'5) Release_Track'!$G:$G,1,0)),"NO ISRC-CATALOG ID pair MATCH in Release_Track" )</f>
        <v/>
      </c>
      <c r="E18" s="142" t="b">
        <v>0</v>
      </c>
      <c r="F18" s="142" t="b">
        <v>0</v>
      </c>
      <c r="G18" s="142" t="b">
        <v>0</v>
      </c>
      <c r="H18" s="142" t="b">
        <v>0</v>
      </c>
      <c r="I18" s="142" t="b">
        <v>0</v>
      </c>
      <c r="J18" s="142" t="b">
        <v>0</v>
      </c>
      <c r="K18" s="142" t="b">
        <v>0</v>
      </c>
      <c r="L18" s="8" t="b">
        <v>1</v>
      </c>
      <c r="O18" s="157"/>
      <c r="Q18" s="99" t="str">
        <f>VLOOKUP(A18,'5) Release_Track'!F:F,1,0)</f>
        <v>COL5K1701102</v>
      </c>
    </row>
    <row r="19">
      <c r="A19" s="51" t="s">
        <v>391</v>
      </c>
      <c r="B19" s="103"/>
      <c r="C19" s="121" t="str">
        <f t="array" ref="C19">ifs(and(isblank($A19),isblank($B19)),"", not(iserror(vlookup($A19&amp;$B19,'5) Release_Track'!$F:$F&amp;'5) Release_Track'!$G:$G,1,0))),vlookup($A19&amp;$B19,{'5) Release_Track'!$F:$F&amp;'5) Release_Track'!$G:$G,'5) Release_Track'!$H:$H},2,0), or(and(not(isblank($B19)),$B19=$B18,$A19&lt;&gt;$A18),and(not(isblank($A19)),$A19=$A18,$B19&lt;&gt;$B18)),"ID LISTS UNALIGNED",and($A19&lt;&gt;"",countif('5) Release_Track'!$F:$F,$A19)=0),"NO ISRC MATCH in Release_Track",and($B19&lt;&gt;"",countif('5) Release_Track'!$G:$G,$B19)=0),"NO CATALOG ID MATCH in Release_Track",iserror(vlookup($A19&amp;$B19,'5) Release_Track'!$F:$F&amp;'5) Release_Track'!$G:$G,1,0)),"NO ISRC-CATALOG ID pair MATCH in Release_Track" )</f>
        <v>Daana Paani - Title Song (From "Daana Paani" Soundtrack)</v>
      </c>
      <c r="D19" s="121" t="str">
        <f t="array" ref="D19">ifs(and(isblank($A19),isblank($B19)),"", not(iserror(vlookup($A19&amp;$B19,'5) Release_Track'!$F:$F&amp;'5) Release_Track'!$G:$G,1,0))),vlookup($A19&amp;$B19,{'5) Release_Track'!$F:$F&amp;'5) Release_Track'!$G:$G,'5) Release_Track'!$I:$I},2,0), or(and(not(isblank($B19)),$B19=$B18,$A19&lt;&gt;$A18),and(not(isblank($A19)),$A19=$A18,$B19&lt;&gt;$B18)),"ID LISTS UNALIGNED",and($A19&lt;&gt;"",countif('5) Release_Track'!$F:$F,$A19)=0),"NO ISRC MATCH in Release_Track",and($B19&lt;&gt;"",countif('5) Release_Track'!$G:$G,$B19)=0),"NO CATALOG ID MATCH in Release_Track",iserror(vlookup($A19&amp;$B19,'5) Release_Track'!$F:$F&amp;'5) Release_Track'!$G:$G,1,0)),"NO ISRC-CATALOG ID pair MATCH in Release_Track" )</f>
        <v/>
      </c>
      <c r="E19" s="142" t="b">
        <v>0</v>
      </c>
      <c r="F19" s="142" t="b">
        <v>0</v>
      </c>
      <c r="G19" s="142" t="b">
        <v>0</v>
      </c>
      <c r="H19" s="142" t="b">
        <v>0</v>
      </c>
      <c r="I19" s="142" t="b">
        <v>0</v>
      </c>
      <c r="J19" s="142" t="b">
        <v>0</v>
      </c>
      <c r="K19" s="142" t="b">
        <v>0</v>
      </c>
      <c r="L19" s="8" t="b">
        <v>1</v>
      </c>
      <c r="O19" s="157"/>
      <c r="Q19" s="99" t="str">
        <f>VLOOKUP(A19,'5) Release_Track'!F:F,1,0)</f>
        <v>COL5K1801999</v>
      </c>
    </row>
    <row r="20">
      <c r="A20" s="51" t="s">
        <v>393</v>
      </c>
      <c r="B20" s="103"/>
      <c r="C20" s="121" t="str">
        <f t="array" ref="C20">ifs(and(isblank($A20),isblank($B20)),"", not(iserror(vlookup($A20&amp;$B20,'5) Release_Track'!$F:$F&amp;'5) Release_Track'!$G:$G,1,0))),vlookup($A20&amp;$B20,{'5) Release_Track'!$F:$F&amp;'5) Release_Track'!$G:$G,'5) Release_Track'!$H:$H},2,0), or(and(not(isblank($B20)),$B20=$B19,$A20&lt;&gt;$A19),and(not(isblank($A20)),$A20=$A19,$B20&lt;&gt;$B19)),"ID LISTS UNALIGNED",and($A20&lt;&gt;"",countif('5) Release_Track'!$F:$F,$A20)=0),"NO ISRC MATCH in Release_Track",and($B20&lt;&gt;"",countif('5) Release_Track'!$G:$G,$B20)=0),"NO CATALOG ID MATCH in Release_Track",iserror(vlookup($A20&amp;$B20,'5) Release_Track'!$F:$F&amp;'5) Release_Track'!$G:$G,1,0)),"NO ISRC-CATALOG ID pair MATCH in Release_Track" )</f>
        <v>Daana Paani (From "Daana Paani" Soundtrack)</v>
      </c>
      <c r="D20" s="121" t="str">
        <f t="array" ref="D20">ifs(and(isblank($A20),isblank($B20)),"", not(iserror(vlookup($A20&amp;$B20,'5) Release_Track'!$F:$F&amp;'5) Release_Track'!$G:$G,1,0))),vlookup($A20&amp;$B20,{'5) Release_Track'!$F:$F&amp;'5) Release_Track'!$G:$G,'5) Release_Track'!$I:$I},2,0), or(and(not(isblank($B20)),$B20=$B19,$A20&lt;&gt;$A19),and(not(isblank($A20)),$A20=$A19,$B20&lt;&gt;$B19)),"ID LISTS UNALIGNED",and($A20&lt;&gt;"",countif('5) Release_Track'!$F:$F,$A20)=0),"NO ISRC MATCH in Release_Track",and($B20&lt;&gt;"",countif('5) Release_Track'!$G:$G,$B20)=0),"NO CATALOG ID MATCH in Release_Track",iserror(vlookup($A20&amp;$B20,'5) Release_Track'!$F:$F&amp;'5) Release_Track'!$G:$G,1,0)),"NO ISRC-CATALOG ID pair MATCH in Release_Track" )</f>
        <v/>
      </c>
      <c r="E20" s="142" t="b">
        <v>0</v>
      </c>
      <c r="F20" s="142" t="b">
        <v>0</v>
      </c>
      <c r="G20" s="142" t="b">
        <v>0</v>
      </c>
      <c r="H20" s="142" t="b">
        <v>0</v>
      </c>
      <c r="I20" s="142" t="b">
        <v>0</v>
      </c>
      <c r="J20" s="142" t="b">
        <v>0</v>
      </c>
      <c r="K20" s="142" t="b">
        <v>0</v>
      </c>
      <c r="L20" s="8" t="b">
        <v>1</v>
      </c>
      <c r="Q20" s="99" t="str">
        <f>VLOOKUP(A20,'5) Release_Track'!F:F,1,0)</f>
        <v>COL5K1801504</v>
      </c>
    </row>
    <row r="21">
      <c r="A21" s="51" t="s">
        <v>395</v>
      </c>
      <c r="B21" s="103"/>
      <c r="C21" s="121" t="str">
        <f t="array" ref="C21">ifs(and(isblank($A21),isblank($B21)),"", not(iserror(vlookup($A21&amp;$B21,'5) Release_Track'!$F:$F&amp;'5) Release_Track'!$G:$G,1,0))),vlookup($A21&amp;$B21,{'5) Release_Track'!$F:$F&amp;'5) Release_Track'!$G:$G,'5) Release_Track'!$H:$H},2,0), or(and(not(isblank($B21)),$B21=$B20,$A21&lt;&gt;$A20),and(not(isblank($A21)),$A21=$A20,$B21&lt;&gt;$B20)),"ID LISTS UNALIGNED",and($A21&lt;&gt;"",countif('5) Release_Track'!$F:$F,$A21)=0),"NO ISRC MATCH in Release_Track",and($B21&lt;&gt;"",countif('5) Release_Track'!$G:$G,$B21)=0),"NO CATALOG ID MATCH in Release_Track",iserror(vlookup($A21&amp;$B21,'5) Release_Track'!$F:$F&amp;'5) Release_Track'!$G:$G,1,0)),"NO ISRC-CATALOG ID pair MATCH in Release_Track" )</f>
        <v>Dil Di Dua (From "Bhalwan Singh" Soundtrack)</v>
      </c>
      <c r="D21" s="121" t="str">
        <f t="array" ref="D21">ifs(and(isblank($A21),isblank($B21)),"", not(iserror(vlookup($A21&amp;$B21,'5) Release_Track'!$F:$F&amp;'5) Release_Track'!$G:$G,1,0))),vlookup($A21&amp;$B21,{'5) Release_Track'!$F:$F&amp;'5) Release_Track'!$G:$G,'5) Release_Track'!$I:$I},2,0), or(and(not(isblank($B21)),$B21=$B20,$A21&lt;&gt;$A20),and(not(isblank($A21)),$A21=$A20,$B21&lt;&gt;$B20)),"ID LISTS UNALIGNED",and($A21&lt;&gt;"",countif('5) Release_Track'!$F:$F,$A21)=0),"NO ISRC MATCH in Release_Track",and($B21&lt;&gt;"",countif('5) Release_Track'!$G:$G,$B21)=0),"NO CATALOG ID MATCH in Release_Track",iserror(vlookup($A21&amp;$B21,'5) Release_Track'!$F:$F&amp;'5) Release_Track'!$G:$G,1,0)),"NO ISRC-CATALOG ID pair MATCH in Release_Track" )</f>
        <v/>
      </c>
      <c r="E21" s="142" t="b">
        <v>0</v>
      </c>
      <c r="F21" s="142" t="b">
        <v>0</v>
      </c>
      <c r="G21" s="142" t="b">
        <v>0</v>
      </c>
      <c r="H21" s="142" t="b">
        <v>0</v>
      </c>
      <c r="I21" s="142" t="b">
        <v>0</v>
      </c>
      <c r="J21" s="142" t="b">
        <v>0</v>
      </c>
      <c r="K21" s="142" t="b">
        <v>0</v>
      </c>
      <c r="L21" s="8" t="b">
        <v>1</v>
      </c>
      <c r="Q21" s="99" t="str">
        <f>VLOOKUP(A21,'5) Release_Track'!F:F,1,0)</f>
        <v>COL5K1701303</v>
      </c>
    </row>
    <row r="22">
      <c r="A22" s="51" t="s">
        <v>397</v>
      </c>
      <c r="B22" s="103"/>
      <c r="C22" s="121" t="str">
        <f t="array" ref="C22">ifs(and(isblank($A22),isblank($B22)),"", not(iserror(vlookup($A22&amp;$B22,'5) Release_Track'!$F:$F&amp;'5) Release_Track'!$G:$G,1,0))),vlookup($A22&amp;$B22,{'5) Release_Track'!$F:$F&amp;'5) Release_Track'!$G:$G,'5) Release_Track'!$H:$H},2,0), or(and(not(isblank($B22)),$B22=$B21,$A22&lt;&gt;$A21),and(not(isblank($A22)),$A22=$A21,$B22&lt;&gt;$B21)),"ID LISTS UNALIGNED",and($A22&lt;&gt;"",countif('5) Release_Track'!$F:$F,$A22)=0),"NO ISRC MATCH in Release_Track",and($B22&lt;&gt;"",countif('5) Release_Track'!$G:$G,$B22)=0),"NO CATALOG ID MATCH in Release_Track",iserror(vlookup($A22&amp;$B22,'5) Release_Track'!$F:$F&amp;'5) Release_Track'!$G:$G,1,0)),"NO ISRC-CATALOG ID pair MATCH in Release_Track" )</f>
        <v>Geetkariyan</v>
      </c>
      <c r="D22" s="121" t="str">
        <f t="array" ref="D22">ifs(and(isblank($A22),isblank($B22)),"", not(iserror(vlookup($A22&amp;$B22,'5) Release_Track'!$F:$F&amp;'5) Release_Track'!$G:$G,1,0))),vlookup($A22&amp;$B22,{'5) Release_Track'!$F:$F&amp;'5) Release_Track'!$G:$G,'5) Release_Track'!$I:$I},2,0), or(and(not(isblank($B22)),$B22=$B21,$A22&lt;&gt;$A21),and(not(isblank($A22)),$A22=$A21,$B22&lt;&gt;$B21)),"ID LISTS UNALIGNED",and($A22&lt;&gt;"",countif('5) Release_Track'!$F:$F,$A22)=0),"NO ISRC MATCH in Release_Track",and($B22&lt;&gt;"",countif('5) Release_Track'!$G:$G,$B22)=0),"NO CATALOG ID MATCH in Release_Track",iserror(vlookup($A22&amp;$B22,'5) Release_Track'!$F:$F&amp;'5) Release_Track'!$G:$G,1,0)),"NO ISRC-CATALOG ID pair MATCH in Release_Track" )</f>
        <v/>
      </c>
      <c r="E22" s="142" t="b">
        <v>0</v>
      </c>
      <c r="F22" s="142" t="b">
        <v>0</v>
      </c>
      <c r="G22" s="142" t="b">
        <v>0</v>
      </c>
      <c r="H22" s="142" t="b">
        <v>0</v>
      </c>
      <c r="I22" s="142" t="b">
        <v>0</v>
      </c>
      <c r="J22" s="142" t="b">
        <v>0</v>
      </c>
      <c r="K22" s="142" t="b">
        <v>0</v>
      </c>
      <c r="L22" s="8" t="b">
        <v>1</v>
      </c>
      <c r="Q22" s="99" t="str">
        <f>VLOOKUP(A22,'5) Release_Track'!F:F,1,0)</f>
        <v>COL5K1600901</v>
      </c>
    </row>
    <row r="23">
      <c r="A23" s="51" t="s">
        <v>413</v>
      </c>
      <c r="B23" s="103"/>
      <c r="C23" s="121" t="str">
        <f t="array" ref="C23">ifs(and(isblank($A23),isblank($B23)),"", not(iserror(vlookup($A23&amp;$B23,'5) Release_Track'!$F:$F&amp;'5) Release_Track'!$G:$G,1,0))),vlookup($A23&amp;$B23,{'5) Release_Track'!$F:$F&amp;'5) Release_Track'!$G:$G,'5) Release_Track'!$H:$H},2,0), or(and(not(isblank($B23)),$B23=$B22,$A23&lt;&gt;$A22),and(not(isblank($A23)),$A23=$A22,$B23&lt;&gt;$B22)),"ID LISTS UNALIGNED",and($A23&lt;&gt;"",countif('5) Release_Track'!$F:$F,$A23)=0),"NO ISRC MATCH in Release_Track",and($B23&lt;&gt;"",countif('5) Release_Track'!$G:$G,$B23)=0),"NO CATALOG ID MATCH in Release_Track",iserror(vlookup($A23&amp;$B23,'5) Release_Track'!$F:$F&amp;'5) Release_Track'!$G:$G,1,0)),"NO ISRC-CATALOG ID pair MATCH in Release_Track" )</f>
        <v>Heerey</v>
      </c>
      <c r="D23" s="121" t="str">
        <f t="array" ref="D23">ifs(and(isblank($A23),isblank($B23)),"", not(iserror(vlookup($A23&amp;$B23,'5) Release_Track'!$F:$F&amp;'5) Release_Track'!$G:$G,1,0))),vlookup($A23&amp;$B23,{'5) Release_Track'!$F:$F&amp;'5) Release_Track'!$G:$G,'5) Release_Track'!$I:$I},2,0), or(and(not(isblank($B23)),$B23=$B22,$A23&lt;&gt;$A22),and(not(isblank($A23)),$A23=$A22,$B23&lt;&gt;$B22)),"ID LISTS UNALIGNED",and($A23&lt;&gt;"",countif('5) Release_Track'!$F:$F,$A23)=0),"NO ISRC MATCH in Release_Track",and($B23&lt;&gt;"",countif('5) Release_Track'!$G:$G,$B23)=0),"NO CATALOG ID MATCH in Release_Track",iserror(vlookup($A23&amp;$B23,'5) Release_Track'!$F:$F&amp;'5) Release_Track'!$G:$G,1,0)),"NO ISRC-CATALOG ID pair MATCH in Release_Track" )</f>
        <v/>
      </c>
      <c r="E23" s="142" t="b">
        <v>0</v>
      </c>
      <c r="F23" s="142" t="b">
        <v>0</v>
      </c>
      <c r="G23" s="142" t="b">
        <v>0</v>
      </c>
      <c r="H23" s="142" t="b">
        <v>0</v>
      </c>
      <c r="I23" s="142" t="b">
        <v>0</v>
      </c>
      <c r="J23" s="142" t="b">
        <v>0</v>
      </c>
      <c r="K23" s="142" t="b">
        <v>0</v>
      </c>
      <c r="L23" s="8" t="b">
        <v>1</v>
      </c>
      <c r="Q23" s="99" t="str">
        <f>VLOOKUP(A23,'5) Release_Track'!F:F,1,0)</f>
        <v>COL5K1600601</v>
      </c>
    </row>
    <row r="24">
      <c r="A24" s="51" t="s">
        <v>399</v>
      </c>
      <c r="B24" s="103"/>
      <c r="C24" s="121" t="str">
        <f t="array" ref="C24">ifs(and(isblank($A24),isblank($B24)),"", not(iserror(vlookup($A24&amp;$B24,'5) Release_Track'!$F:$F&amp;'5) Release_Track'!$G:$G,1,0))),vlookup($A24&amp;$B24,{'5) Release_Track'!$F:$F&amp;'5) Release_Track'!$G:$G,'5) Release_Track'!$H:$H},2,0), or(and(not(isblank($B24)),$B24=$B23,$A24&lt;&gt;$A23),and(not(isblank($A24)),$A24=$A23,$B24&lt;&gt;$B23)),"ID LISTS UNALIGNED",and($A24&lt;&gt;"",countif('5) Release_Track'!$F:$F,$A24)=0),"NO ISRC MATCH in Release_Track",and($B24&lt;&gt;"",countif('5) Release_Track'!$G:$G,$B24)=0),"NO CATALOG ID MATCH in Release_Track",iserror(vlookup($A24&amp;$B24,'5) Release_Track'!$F:$F&amp;'5) Release_Track'!$G:$G,1,0)),"NO ISRC-CATALOG ID pair MATCH in Release_Track" )</f>
        <v>Janjhan (From "Lahoriye" Soundtrack)</v>
      </c>
      <c r="D24" s="121" t="str">
        <f t="array" ref="D24">ifs(and(isblank($A24),isblank($B24)),"", not(iserror(vlookup($A24&amp;$B24,'5) Release_Track'!$F:$F&amp;'5) Release_Track'!$G:$G,1,0))),vlookup($A24&amp;$B24,{'5) Release_Track'!$F:$F&amp;'5) Release_Track'!$G:$G,'5) Release_Track'!$I:$I},2,0), or(and(not(isblank($B24)),$B24=$B23,$A24&lt;&gt;$A23),and(not(isblank($A24)),$A24=$A23,$B24&lt;&gt;$B23)),"ID LISTS UNALIGNED",and($A24&lt;&gt;"",countif('5) Release_Track'!$F:$F,$A24)=0),"NO ISRC MATCH in Release_Track",and($B24&lt;&gt;"",countif('5) Release_Track'!$G:$G,$B24)=0),"NO CATALOG ID MATCH in Release_Track",iserror(vlookup($A24&amp;$B24,'5) Release_Track'!$F:$F&amp;'5) Release_Track'!$G:$G,1,0)),"NO ISRC-CATALOG ID pair MATCH in Release_Track" )</f>
        <v/>
      </c>
      <c r="E24" s="142" t="b">
        <v>0</v>
      </c>
      <c r="F24" s="142" t="b">
        <v>0</v>
      </c>
      <c r="G24" s="142" t="b">
        <v>0</v>
      </c>
      <c r="H24" s="142" t="b">
        <v>0</v>
      </c>
      <c r="I24" s="142" t="b">
        <v>0</v>
      </c>
      <c r="J24" s="142" t="b">
        <v>0</v>
      </c>
      <c r="K24" s="142" t="b">
        <v>0</v>
      </c>
      <c r="L24" s="8" t="b">
        <v>1</v>
      </c>
      <c r="Q24" s="99" t="str">
        <f>VLOOKUP(A24,'5) Release_Track'!F:F,1,0)</f>
        <v>COL5K1701103</v>
      </c>
    </row>
    <row r="25">
      <c r="A25" s="51" t="s">
        <v>401</v>
      </c>
      <c r="B25" s="103"/>
      <c r="C25" s="121" t="str">
        <f t="array" ref="C25">ifs(and(isblank($A25),isblank($B25)),"", not(iserror(vlookup($A25&amp;$B25,'5) Release_Track'!$F:$F&amp;'5) Release_Track'!$G:$G,1,0))),vlookup($A25&amp;$B25,{'5) Release_Track'!$F:$F&amp;'5) Release_Track'!$G:$G,'5) Release_Track'!$H:$H},2,0), or(and(not(isblank($B25)),$B25=$B24,$A25&lt;&gt;$A24),and(not(isblank($A25)),$A25=$A24,$B25&lt;&gt;$B24)),"ID LISTS UNALIGNED",and($A25&lt;&gt;"",countif('5) Release_Track'!$F:$F,$A25)=0),"NO ISRC MATCH in Release_Track",and($B25&lt;&gt;"",countif('5) Release_Track'!$G:$G,$B25)=0),"NO CATALOG ID MATCH in Release_Track",iserror(vlookup($A25&amp;$B25,'5) Release_Track'!$F:$F&amp;'5) Release_Track'!$G:$G,1,0)),"NO ISRC-CATALOG ID pair MATCH in Release_Track" )</f>
        <v>Jeeondean Ch (From "Lahoriye" Soundtrack)</v>
      </c>
      <c r="D25" s="121" t="str">
        <f t="array" ref="D25">ifs(and(isblank($A25),isblank($B25)),"", not(iserror(vlookup($A25&amp;$B25,'5) Release_Track'!$F:$F&amp;'5) Release_Track'!$G:$G,1,0))),vlookup($A25&amp;$B25,{'5) Release_Track'!$F:$F&amp;'5) Release_Track'!$G:$G,'5) Release_Track'!$I:$I},2,0), or(and(not(isblank($B25)),$B25=$B24,$A25&lt;&gt;$A24),and(not(isblank($A25)),$A25=$A24,$B25&lt;&gt;$B24)),"ID LISTS UNALIGNED",and($A25&lt;&gt;"",countif('5) Release_Track'!$F:$F,$A25)=0),"NO ISRC MATCH in Release_Track",and($B25&lt;&gt;"",countif('5) Release_Track'!$G:$G,$B25)=0),"NO CATALOG ID MATCH in Release_Track",iserror(vlookup($A25&amp;$B25,'5) Release_Track'!$F:$F&amp;'5) Release_Track'!$G:$G,1,0)),"NO ISRC-CATALOG ID pair MATCH in Release_Track" )</f>
        <v/>
      </c>
      <c r="E25" s="142" t="b">
        <v>0</v>
      </c>
      <c r="F25" s="142" t="b">
        <v>0</v>
      </c>
      <c r="G25" s="142" t="b">
        <v>0</v>
      </c>
      <c r="H25" s="142" t="b">
        <v>0</v>
      </c>
      <c r="I25" s="142" t="b">
        <v>0</v>
      </c>
      <c r="J25" s="142" t="b">
        <v>0</v>
      </c>
      <c r="K25" s="142" t="b">
        <v>0</v>
      </c>
      <c r="L25" s="8" t="b">
        <v>1</v>
      </c>
      <c r="Q25" s="99" t="str">
        <f>VLOOKUP(A25,'5) Release_Track'!F:F,1,0)</f>
        <v>COL5K1701104</v>
      </c>
    </row>
    <row r="26">
      <c r="A26" s="51" t="s">
        <v>403</v>
      </c>
      <c r="B26" s="103"/>
      <c r="C26" s="121" t="str">
        <f t="array" ref="C26">ifs(and(isblank($A26),isblank($B26)),"", not(iserror(vlookup($A26&amp;$B26,'5) Release_Track'!$F:$F&amp;'5) Release_Track'!$G:$G,1,0))),vlookup($A26&amp;$B26,{'5) Release_Track'!$F:$F&amp;'5) Release_Track'!$G:$G,'5) Release_Track'!$H:$H},2,0), or(and(not(isblank($B26)),$B26=$B25,$A26&lt;&gt;$A25),and(not(isblank($A26)),$A26=$A25,$B26&lt;&gt;$B25)),"ID LISTS UNALIGNED",and($A26&lt;&gt;"",countif('5) Release_Track'!$F:$F,$A26)=0),"NO ISRC MATCH in Release_Track",and($B26&lt;&gt;"",countif('5) Release_Track'!$G:$G,$B26)=0),"NO CATALOG ID MATCH in Release_Track",iserror(vlookup($A26&amp;$B26,'5) Release_Track'!$F:$F&amp;'5) Release_Track'!$G:$G,1,0)),"NO ISRC-CATALOG ID pair MATCH in Release_Track" )</f>
        <v>Jind (From "Bambukat" Soundtrack)</v>
      </c>
      <c r="D26" s="121" t="str">
        <f t="array" ref="D26">ifs(and(isblank($A26),isblank($B26)),"", not(iserror(vlookup($A26&amp;$B26,'5) Release_Track'!$F:$F&amp;'5) Release_Track'!$G:$G,1,0))),vlookup($A26&amp;$B26,{'5) Release_Track'!$F:$F&amp;'5) Release_Track'!$G:$G,'5) Release_Track'!$I:$I},2,0), or(and(not(isblank($B26)),$B26=$B25,$A26&lt;&gt;$A25),and(not(isblank($A26)),$A26=$A25,$B26&lt;&gt;$B25)),"ID LISTS UNALIGNED",and($A26&lt;&gt;"",countif('5) Release_Track'!$F:$F,$A26)=0),"NO ISRC MATCH in Release_Track",and($B26&lt;&gt;"",countif('5) Release_Track'!$G:$G,$B26)=0),"NO CATALOG ID MATCH in Release_Track",iserror(vlookup($A26&amp;$B26,'5) Release_Track'!$F:$F&amp;'5) Release_Track'!$G:$G,1,0)),"NO ISRC-CATALOG ID pair MATCH in Release_Track" )</f>
        <v/>
      </c>
      <c r="E26" s="142" t="b">
        <v>0</v>
      </c>
      <c r="F26" s="142" t="b">
        <v>0</v>
      </c>
      <c r="G26" s="142" t="b">
        <v>0</v>
      </c>
      <c r="H26" s="142" t="b">
        <v>0</v>
      </c>
      <c r="I26" s="142" t="b">
        <v>0</v>
      </c>
      <c r="J26" s="142" t="b">
        <v>0</v>
      </c>
      <c r="K26" s="142" t="b">
        <v>0</v>
      </c>
      <c r="L26" s="8" t="b">
        <v>1</v>
      </c>
      <c r="Q26" s="99" t="str">
        <f>VLOOKUP(A26,'5) Release_Track'!F:F,1,0)</f>
        <v>COL5K1600801</v>
      </c>
    </row>
    <row r="27">
      <c r="A27" s="51" t="s">
        <v>379</v>
      </c>
      <c r="B27" s="103"/>
      <c r="C27" s="121" t="str">
        <f t="array" ref="C27">ifs(and(isblank($A27),isblank($B27)),"", not(iserror(vlookup($A27&amp;$B27,'5) Release_Track'!$F:$F&amp;'5) Release_Track'!$G:$G,1,0))),vlookup($A27&amp;$B27,{'5) Release_Track'!$F:$F&amp;'5) Release_Track'!$G:$G,'5) Release_Track'!$H:$H},2,0), or(and(not(isblank($B27)),$B27=$B26,$A27&lt;&gt;$A26),and(not(isblank($A27)),$A27=$A26,$B27&lt;&gt;$B26)),"ID LISTS UNALIGNED",and($A27&lt;&gt;"",countif('5) Release_Track'!$F:$F,$A27)=0),"NO ISRC MATCH in Release_Track",and($B27&lt;&gt;"",countif('5) Release_Track'!$G:$G,$B27)=0),"NO CATALOG ID MATCH in Release_Track",iserror(vlookup($A27&amp;$B27,'5) Release_Track'!$F:$F&amp;'5) Release_Track'!$G:$G,1,0)),"NO ISRC-CATALOG ID pair MATCH in Release_Track" )</f>
        <v>Jind Mahi</v>
      </c>
      <c r="D27" s="121" t="str">
        <f t="array" ref="D27">ifs(and(isblank($A27),isblank($B27)),"", not(iserror(vlookup($A27&amp;$B27,'5) Release_Track'!$F:$F&amp;'5) Release_Track'!$G:$G,1,0))),vlookup($A27&amp;$B27,{'5) Release_Track'!$F:$F&amp;'5) Release_Track'!$G:$G,'5) Release_Track'!$I:$I},2,0), or(and(not(isblank($B27)),$B27=$B26,$A27&lt;&gt;$A26),and(not(isblank($A27)),$A27=$A26,$B27&lt;&gt;$B26)),"ID LISTS UNALIGNED",and($A27&lt;&gt;"",countif('5) Release_Track'!$F:$F,$A27)=0),"NO ISRC MATCH in Release_Track",and($B27&lt;&gt;"",countif('5) Release_Track'!$G:$G,$B27)=0),"NO CATALOG ID MATCH in Release_Track",iserror(vlookup($A27&amp;$B27,'5) Release_Track'!$F:$F&amp;'5) Release_Track'!$G:$G,1,0)),"NO ISRC-CATALOG ID pair MATCH in Release_Track" )</f>
        <v/>
      </c>
      <c r="E27" s="142" t="b">
        <v>0</v>
      </c>
      <c r="F27" s="142" t="b">
        <v>0</v>
      </c>
      <c r="G27" s="142" t="b">
        <v>0</v>
      </c>
      <c r="H27" s="142" t="b">
        <v>0</v>
      </c>
      <c r="I27" s="142" t="b">
        <v>0</v>
      </c>
      <c r="J27" s="142" t="b">
        <v>0</v>
      </c>
      <c r="K27" s="142" t="b">
        <v>0</v>
      </c>
      <c r="L27" s="8" t="b">
        <v>1</v>
      </c>
      <c r="Q27" s="99" t="str">
        <f>VLOOKUP(A27,'5) Release_Track'!F:F,1,0)</f>
        <v>COL5K1500303</v>
      </c>
    </row>
    <row r="28">
      <c r="A28" s="51" t="s">
        <v>405</v>
      </c>
      <c r="B28" s="103"/>
      <c r="C28" s="121" t="str">
        <f t="array" ref="C28">ifs(and(isblank($A28),isblank($B28)),"", not(iserror(vlookup($A28&amp;$B28,'5) Release_Track'!$F:$F&amp;'5) Release_Track'!$G:$G,1,0))),vlookup($A28&amp;$B28,{'5) Release_Track'!$F:$F&amp;'5) Release_Track'!$G:$G,'5) Release_Track'!$H:$H},2,0), or(and(not(isblank($B28)),$B28=$B27,$A28&lt;&gt;$A27),and(not(isblank($A28)),$A28=$A27,$B28&lt;&gt;$B27)),"ID LISTS UNALIGNED",and($A28&lt;&gt;"",countif('5) Release_Track'!$F:$F,$A28)=0),"NO ISRC MATCH in Release_Track",and($B28&lt;&gt;"",countif('5) Release_Track'!$G:$G,$B28)=0),"NO CATALOG ID MATCH in Release_Track",iserror(vlookup($A28&amp;$B28,'5) Release_Track'!$F:$F&amp;'5) Release_Track'!$G:$G,1,0)),"NO ISRC-CATALOG ID pair MATCH in Release_Track" )</f>
        <v>Kainthe Wala (From "Bambukat" Soundtrack)</v>
      </c>
      <c r="D28" s="121" t="str">
        <f t="array" ref="D28">ifs(and(isblank($A28),isblank($B28)),"", not(iserror(vlookup($A28&amp;$B28,'5) Release_Track'!$F:$F&amp;'5) Release_Track'!$G:$G,1,0))),vlookup($A28&amp;$B28,{'5) Release_Track'!$F:$F&amp;'5) Release_Track'!$G:$G,'5) Release_Track'!$I:$I},2,0), or(and(not(isblank($B28)),$B28=$B27,$A28&lt;&gt;$A27),and(not(isblank($A28)),$A28=$A27,$B28&lt;&gt;$B27)),"ID LISTS UNALIGNED",and($A28&lt;&gt;"",countif('5) Release_Track'!$F:$F,$A28)=0),"NO ISRC MATCH in Release_Track",and($B28&lt;&gt;"",countif('5) Release_Track'!$G:$G,$B28)=0),"NO CATALOG ID MATCH in Release_Track",iserror(vlookup($A28&amp;$B28,'5) Release_Track'!$F:$F&amp;'5) Release_Track'!$G:$G,1,0)),"NO ISRC-CATALOG ID pair MATCH in Release_Track" )</f>
        <v/>
      </c>
      <c r="E28" s="142" t="b">
        <v>0</v>
      </c>
      <c r="F28" s="142" t="b">
        <v>0</v>
      </c>
      <c r="G28" s="142" t="b">
        <v>0</v>
      </c>
      <c r="H28" s="142" t="b">
        <v>0</v>
      </c>
      <c r="I28" s="142" t="b">
        <v>0</v>
      </c>
      <c r="J28" s="142" t="b">
        <v>0</v>
      </c>
      <c r="K28" s="142" t="b">
        <v>0</v>
      </c>
      <c r="L28" s="8" t="b">
        <v>1</v>
      </c>
      <c r="Q28" s="99" t="str">
        <f>VLOOKUP(A28,'5) Release_Track'!F:F,1,0)</f>
        <v>COL5K1600802</v>
      </c>
    </row>
    <row r="29">
      <c r="A29" s="51" t="s">
        <v>407</v>
      </c>
      <c r="B29" s="103"/>
      <c r="C29" s="121" t="str">
        <f t="array" ref="C29">ifs(and(isblank($A29),isblank($B29)),"", not(iserror(vlookup($A29&amp;$B29,'5) Release_Track'!$F:$F&amp;'5) Release_Track'!$G:$G,1,0))),vlookup($A29&amp;$B29,{'5) Release_Track'!$F:$F&amp;'5) Release_Track'!$G:$G,'5) Release_Track'!$H:$H},2,0), or(and(not(isblank($B29)),$B29=$B28,$A29&lt;&gt;$A28),and(not(isblank($A29)),$A29=$A28,$B29&lt;&gt;$B28)),"ID LISTS UNALIGNED",and($A29&lt;&gt;"",countif('5) Release_Track'!$F:$F,$A29)=0),"NO ISRC MATCH in Release_Track",and($B29&lt;&gt;"",countif('5) Release_Track'!$G:$G,$B29)=0),"NO CATALOG ID MATCH in Release_Track",iserror(vlookup($A29&amp;$B29,'5) Release_Track'!$F:$F&amp;'5) Release_Track'!$G:$G,1,0)),"NO ISRC-CATALOG ID pair MATCH in Release_Track" )</f>
        <v>Kanda Kacheya Ne (From "Daana Paani" Soundtrack)</v>
      </c>
      <c r="D29" s="121" t="str">
        <f t="array" ref="D29">ifs(and(isblank($A29),isblank($B29)),"", not(iserror(vlookup($A29&amp;$B29,'5) Release_Track'!$F:$F&amp;'5) Release_Track'!$G:$G,1,0))),vlookup($A29&amp;$B29,{'5) Release_Track'!$F:$F&amp;'5) Release_Track'!$G:$G,'5) Release_Track'!$I:$I},2,0), or(and(not(isblank($B29)),$B29=$B28,$A29&lt;&gt;$A28),and(not(isblank($A29)),$A29=$A28,$B29&lt;&gt;$B28)),"ID LISTS UNALIGNED",and($A29&lt;&gt;"",countif('5) Release_Track'!$F:$F,$A29)=0),"NO ISRC MATCH in Release_Track",and($B29&lt;&gt;"",countif('5) Release_Track'!$G:$G,$B29)=0),"NO CATALOG ID MATCH in Release_Track",iserror(vlookup($A29&amp;$B29,'5) Release_Track'!$F:$F&amp;'5) Release_Track'!$G:$G,1,0)),"NO ISRC-CATALOG ID pair MATCH in Release_Track" )</f>
        <v/>
      </c>
      <c r="E29" s="142" t="b">
        <v>0</v>
      </c>
      <c r="F29" s="142" t="b">
        <v>0</v>
      </c>
      <c r="G29" s="142" t="b">
        <v>0</v>
      </c>
      <c r="H29" s="142" t="b">
        <v>0</v>
      </c>
      <c r="I29" s="142" t="b">
        <v>0</v>
      </c>
      <c r="J29" s="142" t="b">
        <v>0</v>
      </c>
      <c r="K29" s="142" t="b">
        <v>0</v>
      </c>
      <c r="L29" s="8" t="b">
        <v>1</v>
      </c>
      <c r="Q29" s="99" t="str">
        <f>VLOOKUP(A29,'5) Release_Track'!F:F,1,0)</f>
        <v>COL5K1801506</v>
      </c>
    </row>
    <row r="30">
      <c r="A30" s="51" t="s">
        <v>367</v>
      </c>
      <c r="B30" s="103"/>
      <c r="C30" s="121" t="str">
        <f t="array" ref="C30">ifs(and(isblank($A30),isblank($B30)),"", not(iserror(vlookup($A30&amp;$B30,'5) Release_Track'!$F:$F&amp;'5) Release_Track'!$G:$G,1,0))),vlookup($A30&amp;$B30,{'5) Release_Track'!$F:$F&amp;'5) Release_Track'!$G:$G,'5) Release_Track'!$H:$H},2,0), or(and(not(isblank($B30)),$B30=$B29,$A30&lt;&gt;$A29),and(not(isblank($A30)),$A30=$A29,$B30&lt;&gt;$B29)),"ID LISTS UNALIGNED",and($A30&lt;&gt;"",countif('5) Release_Track'!$F:$F,$A30)=0),"NO ISRC MATCH in Release_Track",and($B30&lt;&gt;"",countif('5) Release_Track'!$G:$G,$B30)=0),"NO CATALOG ID MATCH in Release_Track",iserror(vlookup($A30&amp;$B30,'5) Release_Track'!$F:$F&amp;'5) Release_Track'!$G:$G,1,0)),"NO ISRC-CATALOG ID pair MATCH in Release_Track" )</f>
        <v>Kurta Suha</v>
      </c>
      <c r="D30" s="121" t="str">
        <f t="array" ref="D30">ifs(and(isblank($A30),isblank($B30)),"", not(iserror(vlookup($A30&amp;$B30,'5) Release_Track'!$F:$F&amp;'5) Release_Track'!$G:$G,1,0))),vlookup($A30&amp;$B30,{'5) Release_Track'!$F:$F&amp;'5) Release_Track'!$G:$G,'5) Release_Track'!$I:$I},2,0), or(and(not(isblank($B30)),$B30=$B29,$A30&lt;&gt;$A29),and(not(isblank($A30)),$A30=$A29,$B30&lt;&gt;$B29)),"ID LISTS UNALIGNED",and($A30&lt;&gt;"",countif('5) Release_Track'!$F:$F,$A30)=0),"NO ISRC MATCH in Release_Track",and($B30&lt;&gt;"",countif('5) Release_Track'!$G:$G,$B30)=0),"NO CATALOG ID MATCH in Release_Track",iserror(vlookup($A30&amp;$B30,'5) Release_Track'!$F:$F&amp;'5) Release_Track'!$G:$G,1,0)),"NO ISRC-CATALOG ID pair MATCH in Release_Track" )</f>
        <v/>
      </c>
      <c r="E30" s="142" t="b">
        <v>0</v>
      </c>
      <c r="F30" s="142" t="b">
        <v>0</v>
      </c>
      <c r="G30" s="142" t="b">
        <v>0</v>
      </c>
      <c r="H30" s="142" t="b">
        <v>0</v>
      </c>
      <c r="I30" s="142" t="b">
        <v>0</v>
      </c>
      <c r="J30" s="142" t="b">
        <v>0</v>
      </c>
      <c r="K30" s="142" t="b">
        <v>0</v>
      </c>
      <c r="L30" s="8" t="b">
        <v>1</v>
      </c>
      <c r="Q30" s="99" t="str">
        <f>VLOOKUP(A30,'5) Release_Track'!F:F,1,0)</f>
        <v>COL5K1500301</v>
      </c>
    </row>
    <row r="31">
      <c r="A31" s="51" t="s">
        <v>387</v>
      </c>
      <c r="B31" s="103"/>
      <c r="C31" s="121" t="str">
        <f t="array" ref="C31">ifs(and(isblank($A31),isblank($B31)),"", not(iserror(vlookup($A31&amp;$B31,'5) Release_Track'!$F:$F&amp;'5) Release_Track'!$G:$G,1,0))),vlookup($A31&amp;$B31,{'5) Release_Track'!$F:$F&amp;'5) Release_Track'!$G:$G,'5) Release_Track'!$H:$H},2,0), or(and(not(isblank($B31)),$B31=$B30,$A31&lt;&gt;$A30),and(not(isblank($A31)),$A31=$A30,$B31&lt;&gt;$B30)),"ID LISTS UNALIGNED",and($A31&lt;&gt;"",countif('5) Release_Track'!$F:$F,$A31)=0),"NO ISRC MATCH in Release_Track",and($B31&lt;&gt;"",countif('5) Release_Track'!$G:$G,$B31)=0),"NO CATALOG ID MATCH in Release_Track",iserror(vlookup($A31&amp;$B31,'5) Release_Track'!$F:$F&amp;'5) Release_Track'!$G:$G,1,0)),"NO ISRC-CATALOG ID pair MATCH in Release_Track" )</f>
        <v>Chann Ve</v>
      </c>
      <c r="D31" s="121" t="str">
        <f t="array" ref="D31">ifs(and(isblank($A31),isblank($B31)),"", not(iserror(vlookup($A31&amp;$B31,'5) Release_Track'!$F:$F&amp;'5) Release_Track'!$G:$G,1,0))),vlookup($A31&amp;$B31,{'5) Release_Track'!$F:$F&amp;'5) Release_Track'!$G:$G,'5) Release_Track'!$I:$I},2,0), or(and(not(isblank($B31)),$B31=$B30,$A31&lt;&gt;$A30),and(not(isblank($A31)),$A31=$A30,$B31&lt;&gt;$B30)),"ID LISTS UNALIGNED",and($A31&lt;&gt;"",countif('5) Release_Track'!$F:$F,$A31)=0),"NO ISRC MATCH in Release_Track",and($B31&lt;&gt;"",countif('5) Release_Track'!$G:$G,$B31)=0),"NO CATALOG ID MATCH in Release_Track",iserror(vlookup($A31&amp;$B31,'5) Release_Track'!$F:$F&amp;'5) Release_Track'!$G:$G,1,0)),"NO ISRC-CATALOG ID pair MATCH in Release_Track" )</f>
        <v/>
      </c>
      <c r="E31" s="142" t="b">
        <v>0</v>
      </c>
      <c r="F31" s="142" t="b">
        <v>0</v>
      </c>
      <c r="G31" s="142" t="b">
        <v>0</v>
      </c>
      <c r="H31" s="142" t="b">
        <v>0</v>
      </c>
      <c r="I31" s="142" t="b">
        <v>0</v>
      </c>
      <c r="J31" s="142" t="b">
        <v>0</v>
      </c>
      <c r="K31" s="142" t="b">
        <v>0</v>
      </c>
      <c r="L31" s="8" t="b">
        <v>1</v>
      </c>
      <c r="Q31" s="99" t="str">
        <f>VLOOKUP(A31,'5) Release_Track'!F:F,1,0)</f>
        <v>COL5K1701201</v>
      </c>
    </row>
    <row r="32">
      <c r="A32" s="51" t="s">
        <v>409</v>
      </c>
      <c r="B32" s="103"/>
      <c r="C32" s="121" t="str">
        <f t="array" ref="C32">ifs(and(isblank($A32),isblank($B32)),"", not(iserror(vlookup($A32&amp;$B32,'5) Release_Track'!$F:$F&amp;'5) Release_Track'!$G:$G,1,0))),vlookup($A32&amp;$B32,{'5) Release_Track'!$F:$F&amp;'5) Release_Track'!$G:$G,'5) Release_Track'!$H:$H},2,0), or(and(not(isblank($B32)),$B32=$B31,$A32&lt;&gt;$A31),and(not(isblank($A32)),$A32=$A31,$B32&lt;&gt;$B31)),"ID LISTS UNALIGNED",and($A32&lt;&gt;"",countif('5) Release_Track'!$F:$F,$A32)=0),"NO ISRC MATCH in Release_Track",and($B32&lt;&gt;"",countif('5) Release_Track'!$G:$G,$B32)=0),"NO CATALOG ID MATCH in Release_Track",iserror(vlookup($A32&amp;$B32,'5) Release_Track'!$F:$F&amp;'5) Release_Track'!$G:$G,1,0)),"NO ISRC-CATALOG ID pair MATCH in Release_Track" )</f>
        <v>Lakh Vaari (From "Golak Bugni Bank Te Batua" Soundtrack)</v>
      </c>
      <c r="D32" s="121" t="str">
        <f t="array" ref="D32">ifs(and(isblank($A32),isblank($B32)),"", not(iserror(vlookup($A32&amp;$B32,'5) Release_Track'!$F:$F&amp;'5) Release_Track'!$G:$G,1,0))),vlookup($A32&amp;$B32,{'5) Release_Track'!$F:$F&amp;'5) Release_Track'!$G:$G,'5) Release_Track'!$I:$I},2,0), or(and(not(isblank($B32)),$B32=$B31,$A32&lt;&gt;$A31),and(not(isblank($A32)),$A32=$A31,$B32&lt;&gt;$B31)),"ID LISTS UNALIGNED",and($A32&lt;&gt;"",countif('5) Release_Track'!$F:$F,$A32)=0),"NO ISRC MATCH in Release_Track",and($B32&lt;&gt;"",countif('5) Release_Track'!$G:$G,$B32)=0),"NO CATALOG ID MATCH in Release_Track",iserror(vlookup($A32&amp;$B32,'5) Release_Track'!$F:$F&amp;'5) Release_Track'!$G:$G,1,0)),"NO ISRC-CATALOG ID pair MATCH in Release_Track" )</f>
        <v/>
      </c>
      <c r="E32" s="142" t="b">
        <v>0</v>
      </c>
      <c r="F32" s="142" t="b">
        <v>0</v>
      </c>
      <c r="G32" s="142" t="b">
        <v>0</v>
      </c>
      <c r="H32" s="142" t="b">
        <v>0</v>
      </c>
      <c r="I32" s="142" t="b">
        <v>0</v>
      </c>
      <c r="J32" s="142" t="b">
        <v>0</v>
      </c>
      <c r="K32" s="142" t="b">
        <v>0</v>
      </c>
      <c r="L32" s="8" t="b">
        <v>1</v>
      </c>
      <c r="Q32" s="99" t="str">
        <f>VLOOKUP(A32,'5) Release_Track'!F:F,1,0)</f>
        <v>COL5K1701403</v>
      </c>
    </row>
    <row r="33">
      <c r="A33" s="51" t="s">
        <v>411</v>
      </c>
      <c r="B33" s="120"/>
      <c r="C33" s="121" t="str">
        <f t="array" ref="C33">ifs(and(isblank($A33),isblank($B33)),"", not(iserror(vlookup($A33&amp;$B33,'5) Release_Track'!$F:$F&amp;'5) Release_Track'!$G:$G,1,0))),vlookup($A33&amp;$B33,{'5) Release_Track'!$F:$F&amp;'5) Release_Track'!$G:$G,'5) Release_Track'!$H:$H},2,0), or(and(not(isblank($B33)),$B33=$B32,$A33&lt;&gt;$A32),and(not(isblank($A33)),$A33=$A32,$B33&lt;&gt;$B32)),"ID LISTS UNALIGNED",and($A33&lt;&gt;"",countif('5) Release_Track'!$F:$F,$A33)=0),"NO ISRC MATCH in Release_Track",and($B33&lt;&gt;"",countif('5) Release_Track'!$G:$G,$B33)=0),"NO CATALOG ID MATCH in Release_Track",iserror(vlookup($A33&amp;$B33,'5) Release_Track'!$F:$F&amp;'5) Release_Track'!$G:$G,1,0)),"NO ISRC-CATALOG ID pair MATCH in Release_Track" )</f>
        <v>Langhe Paani (From "Bambukat" Soundtrack)</v>
      </c>
      <c r="D33" s="121" t="str">
        <f t="array" ref="D33">ifs(and(isblank($A33),isblank($B33)),"", not(iserror(vlookup($A33&amp;$B33,'5) Release_Track'!$F:$F&amp;'5) Release_Track'!$G:$G,1,0))),vlookup($A33&amp;$B33,{'5) Release_Track'!$F:$F&amp;'5) Release_Track'!$G:$G,'5) Release_Track'!$I:$I},2,0), or(and(not(isblank($B33)),$B33=$B32,$A33&lt;&gt;$A32),and(not(isblank($A33)),$A33=$A32,$B33&lt;&gt;$B32)),"ID LISTS UNALIGNED",and($A33&lt;&gt;"",countif('5) Release_Track'!$F:$F,$A33)=0),"NO ISRC MATCH in Release_Track",and($B33&lt;&gt;"",countif('5) Release_Track'!$G:$G,$B33)=0),"NO CATALOG ID MATCH in Release_Track",iserror(vlookup($A33&amp;$B33,'5) Release_Track'!$F:$F&amp;'5) Release_Track'!$G:$G,1,0)),"NO ISRC-CATALOG ID pair MATCH in Release_Track" )</f>
        <v/>
      </c>
      <c r="E33" s="142" t="b">
        <v>0</v>
      </c>
      <c r="F33" s="142" t="b">
        <v>0</v>
      </c>
      <c r="G33" s="142" t="b">
        <v>0</v>
      </c>
      <c r="H33" s="142" t="b">
        <v>0</v>
      </c>
      <c r="I33" s="142" t="b">
        <v>0</v>
      </c>
      <c r="J33" s="142" t="b">
        <v>0</v>
      </c>
      <c r="K33" s="142" t="b">
        <v>0</v>
      </c>
      <c r="L33" s="8" t="b">
        <v>1</v>
      </c>
      <c r="Q33" s="99" t="str">
        <f>VLOOKUP(A33,'5) Release_Track'!F:F,1,0)</f>
        <v>COL5K1600803</v>
      </c>
    </row>
    <row r="34">
      <c r="A34" s="51" t="s">
        <v>413</v>
      </c>
      <c r="B34" s="103"/>
      <c r="C34" s="121" t="str">
        <f t="array" ref="C34">ifs(and(isblank($A34),isblank($B34)),"", not(iserror(vlookup($A34&amp;$B34,'5) Release_Track'!$F:$F&amp;'5) Release_Track'!$G:$G,1,0))),vlookup($A34&amp;$B34,{'5) Release_Track'!$F:$F&amp;'5) Release_Track'!$G:$G,'5) Release_Track'!$H:$H},2,0), or(and(not(isblank($B34)),$B34=$B33,$A34&lt;&gt;$A33),and(not(isblank($A34)),$A34=$A33,$B34&lt;&gt;$B33)),"ID LISTS UNALIGNED",and($A34&lt;&gt;"",countif('5) Release_Track'!$F:$F,$A34)=0),"NO ISRC MATCH in Release_Track",and($B34&lt;&gt;"",countif('5) Release_Track'!$G:$G,$B34)=0),"NO CATALOG ID MATCH in Release_Track",iserror(vlookup($A34&amp;$B34,'5) Release_Track'!$F:$F&amp;'5) Release_Track'!$G:$G,1,0)),"NO ISRC-CATALOG ID pair MATCH in Release_Track" )</f>
        <v>Heerey</v>
      </c>
      <c r="D34" s="121" t="str">
        <f t="array" ref="D34">ifs(and(isblank($A34),isblank($B34)),"", not(iserror(vlookup($A34&amp;$B34,'5) Release_Track'!$F:$F&amp;'5) Release_Track'!$G:$G,1,0))),vlookup($A34&amp;$B34,{'5) Release_Track'!$F:$F&amp;'5) Release_Track'!$G:$G,'5) Release_Track'!$I:$I},2,0), or(and(not(isblank($B34)),$B34=$B33,$A34&lt;&gt;$A33),and(not(isblank($A34)),$A34=$A33,$B34&lt;&gt;$B33)),"ID LISTS UNALIGNED",and($A34&lt;&gt;"",countif('5) Release_Track'!$F:$F,$A34)=0),"NO ISRC MATCH in Release_Track",and($B34&lt;&gt;"",countif('5) Release_Track'!$G:$G,$B34)=0),"NO CATALOG ID MATCH in Release_Track",iserror(vlookup($A34&amp;$B34,'5) Release_Track'!$F:$F&amp;'5) Release_Track'!$G:$G,1,0)),"NO ISRC-CATALOG ID pair MATCH in Release_Track" )</f>
        <v/>
      </c>
      <c r="E34" s="142" t="b">
        <v>0</v>
      </c>
      <c r="F34" s="142" t="b">
        <v>0</v>
      </c>
      <c r="G34" s="142" t="b">
        <v>0</v>
      </c>
      <c r="H34" s="142" t="b">
        <v>0</v>
      </c>
      <c r="I34" s="142" t="b">
        <v>0</v>
      </c>
      <c r="J34" s="142" t="b">
        <v>0</v>
      </c>
      <c r="K34" s="142" t="b">
        <v>0</v>
      </c>
      <c r="L34" s="8" t="b">
        <v>1</v>
      </c>
      <c r="Q34" s="99" t="str">
        <f>VLOOKUP(A34,'5) Release_Track'!F:F,1,0)</f>
        <v>COL5K1600601</v>
      </c>
    </row>
    <row r="35">
      <c r="A35" s="51" t="s">
        <v>416</v>
      </c>
      <c r="B35" s="103"/>
      <c r="C35" s="121" t="str">
        <f t="array" ref="C35">ifs(and(isblank($A35),isblank($B35)),"", not(iserror(vlookup($A35&amp;$B35,'5) Release_Track'!$F:$F&amp;'5) Release_Track'!$G:$G,1,0))),vlookup($A35&amp;$B35,{'5) Release_Track'!$F:$F&amp;'5) Release_Track'!$G:$G,'5) Release_Track'!$H:$H},2,0), or(and(not(isblank($B35)),$B35=$B34,$A35&lt;&gt;$A34),and(not(isblank($A35)),$A35=$A34,$B35&lt;&gt;$B34)),"ID LISTS UNALIGNED",and($A35&lt;&gt;"",countif('5) Release_Track'!$F:$F,$A35)=0),"NO ISRC MATCH in Release_Track",and($B35&lt;&gt;"",countif('5) Release_Track'!$G:$G,$B35)=0),"NO CATALOG ID MATCH in Release_Track",iserror(vlookup($A35&amp;$B35,'5) Release_Track'!$F:$F&amp;'5) Release_Track'!$G:$G,1,0)),"NO ISRC-CATALOG ID pair MATCH in Release_Track" )</f>
        <v>Shaan Vakhri</v>
      </c>
      <c r="D35" s="121" t="str">
        <f t="array" ref="D35">ifs(and(isblank($A35),isblank($B35)),"", not(iserror(vlookup($A35&amp;$B35,'5) Release_Track'!$F:$F&amp;'5) Release_Track'!$G:$G,1,0))),vlookup($A35&amp;$B35,{'5) Release_Track'!$F:$F&amp;'5) Release_Track'!$G:$G,'5) Release_Track'!$I:$I},2,0), or(and(not(isblank($B35)),$B35=$B34,$A35&lt;&gt;$A34),and(not(isblank($A35)),$A35=$A34,$B35&lt;&gt;$B34)),"ID LISTS UNALIGNED",and($A35&lt;&gt;"",countif('5) Release_Track'!$F:$F,$A35)=0),"NO ISRC MATCH in Release_Track",and($B35&lt;&gt;"",countif('5) Release_Track'!$G:$G,$B35)=0),"NO CATALOG ID MATCH in Release_Track",iserror(vlookup($A35&amp;$B35,'5) Release_Track'!$F:$F&amp;'5) Release_Track'!$G:$G,1,0)),"NO ISRC-CATALOG ID pair MATCH in Release_Track" )</f>
        <v/>
      </c>
      <c r="E35" s="142" t="b">
        <v>0</v>
      </c>
      <c r="F35" s="142" t="b">
        <v>0</v>
      </c>
      <c r="G35" s="142" t="b">
        <v>0</v>
      </c>
      <c r="H35" s="142" t="b">
        <v>0</v>
      </c>
      <c r="I35" s="142" t="b">
        <v>0</v>
      </c>
      <c r="J35" s="142" t="b">
        <v>0</v>
      </c>
      <c r="K35" s="142" t="b">
        <v>0</v>
      </c>
      <c r="L35" s="8" t="b">
        <v>1</v>
      </c>
      <c r="Q35" s="99" t="str">
        <f>VLOOKUP(A35,'5) Release_Track'!F:F,1,0)</f>
        <v>COL5K1600602</v>
      </c>
    </row>
    <row r="36">
      <c r="A36" s="51" t="s">
        <v>419</v>
      </c>
      <c r="B36" s="103"/>
      <c r="C36" s="121" t="str">
        <f t="array" ref="C36">ifs(and(isblank($A36),isblank($B36)),"", not(iserror(vlookup($A36&amp;$B36,'5) Release_Track'!$F:$F&amp;'5) Release_Track'!$G:$G,1,0))),vlookup($A36&amp;$B36,{'5) Release_Track'!$F:$F&amp;'5) Release_Track'!$G:$G,'5) Release_Track'!$H:$H},2,0), or(and(not(isblank($B36)),$B36=$B35,$A36&lt;&gt;$A35),and(not(isblank($A36)),$A36=$A35,$B36&lt;&gt;$B35)),"ID LISTS UNALIGNED",and($A36&lt;&gt;"",countif('5) Release_Track'!$F:$F,$A36)=0),"NO ISRC MATCH in Release_Track",and($B36&lt;&gt;"",countif('5) Release_Track'!$G:$G,$B36)=0),"NO CATALOG ID MATCH in Release_Track",iserror(vlookup($A36&amp;$B36,'5) Release_Track'!$F:$F&amp;'5) Release_Track'!$G:$G,1,0)),"NO ISRC-CATALOG ID pair MATCH in Release_Track" )</f>
        <v>Zindagi</v>
      </c>
      <c r="D36" s="121" t="str">
        <f t="array" ref="D36">ifs(and(isblank($A36),isblank($B36)),"", not(iserror(vlookup($A36&amp;$B36,'5) Release_Track'!$F:$F&amp;'5) Release_Track'!$G:$G,1,0))),vlookup($A36&amp;$B36,{'5) Release_Track'!$F:$F&amp;'5) Release_Track'!$G:$G,'5) Release_Track'!$I:$I},2,0), or(and(not(isblank($B36)),$B36=$B35,$A36&lt;&gt;$A35),and(not(isblank($A36)),$A36=$A35,$B36&lt;&gt;$B35)),"ID LISTS UNALIGNED",and($A36&lt;&gt;"",countif('5) Release_Track'!$F:$F,$A36)=0),"NO ISRC MATCH in Release_Track",and($B36&lt;&gt;"",countif('5) Release_Track'!$G:$G,$B36)=0),"NO CATALOG ID MATCH in Release_Track",iserror(vlookup($A36&amp;$B36,'5) Release_Track'!$F:$F&amp;'5) Release_Track'!$G:$G,1,0)),"NO ISRC-CATALOG ID pair MATCH in Release_Track" )</f>
        <v/>
      </c>
      <c r="E36" s="142" t="b">
        <v>0</v>
      </c>
      <c r="F36" s="142" t="b">
        <v>0</v>
      </c>
      <c r="G36" s="142" t="b">
        <v>0</v>
      </c>
      <c r="H36" s="142" t="b">
        <v>0</v>
      </c>
      <c r="I36" s="142" t="b">
        <v>0</v>
      </c>
      <c r="J36" s="142" t="b">
        <v>0</v>
      </c>
      <c r="K36" s="142" t="b">
        <v>0</v>
      </c>
      <c r="L36" s="8" t="b">
        <v>1</v>
      </c>
      <c r="Q36" s="99" t="str">
        <f>VLOOKUP(A36,'5) Release_Track'!F:F,1,0)</f>
        <v>COL5K1600603</v>
      </c>
    </row>
    <row r="37">
      <c r="A37" s="51" t="s">
        <v>422</v>
      </c>
      <c r="B37" s="103"/>
      <c r="C37" s="121" t="str">
        <f t="array" ref="C37">ifs(and(isblank($A37),isblank($B37)),"", not(iserror(vlookup($A37&amp;$B37,'5) Release_Track'!$F:$F&amp;'5) Release_Track'!$G:$G,1,0))),vlookup($A37&amp;$B37,{'5) Release_Track'!$F:$F&amp;'5) Release_Track'!$G:$G,'5) Release_Track'!$H:$H},2,0), or(and(not(isblank($B37)),$B37=$B36,$A37&lt;&gt;$A36),and(not(isblank($A37)),$A37=$A36,$B37&lt;&gt;$B36)),"ID LISTS UNALIGNED",and($A37&lt;&gt;"",countif('5) Release_Track'!$F:$F,$A37)=0),"NO ISRC MATCH in Release_Track",and($B37&lt;&gt;"",countif('5) Release_Track'!$G:$G,$B37)=0),"NO CATALOG ID MATCH in Release_Track",iserror(vlookup($A37&amp;$B37,'5) Release_Track'!$F:$F&amp;'5) Release_Track'!$G:$G,1,0)),"NO ISRC-CATALOG ID pair MATCH in Release_Track" )</f>
        <v>Goriyan Bhavaan</v>
      </c>
      <c r="D37" s="121" t="str">
        <f t="array" ref="D37">ifs(and(isblank($A37),isblank($B37)),"", not(iserror(vlookup($A37&amp;$B37,'5) Release_Track'!$F:$F&amp;'5) Release_Track'!$G:$G,1,0))),vlookup($A37&amp;$B37,{'5) Release_Track'!$F:$F&amp;'5) Release_Track'!$G:$G,'5) Release_Track'!$I:$I},2,0), or(and(not(isblank($B37)),$B37=$B36,$A37&lt;&gt;$A36),and(not(isblank($A37)),$A37=$A36,$B37&lt;&gt;$B36)),"ID LISTS UNALIGNED",and($A37&lt;&gt;"",countif('5) Release_Track'!$F:$F,$A37)=0),"NO ISRC MATCH in Release_Track",and($B37&lt;&gt;"",countif('5) Release_Track'!$G:$G,$B37)=0),"NO CATALOG ID MATCH in Release_Track",iserror(vlookup($A37&amp;$B37,'5) Release_Track'!$F:$F&amp;'5) Release_Track'!$G:$G,1,0)),"NO ISRC-CATALOG ID pair MATCH in Release_Track" )</f>
        <v/>
      </c>
      <c r="E37" s="142" t="b">
        <v>0</v>
      </c>
      <c r="F37" s="142" t="b">
        <v>0</v>
      </c>
      <c r="G37" s="142" t="b">
        <v>0</v>
      </c>
      <c r="H37" s="142" t="b">
        <v>0</v>
      </c>
      <c r="I37" s="142" t="b">
        <v>0</v>
      </c>
      <c r="J37" s="142" t="b">
        <v>0</v>
      </c>
      <c r="K37" s="142" t="b">
        <v>0</v>
      </c>
      <c r="L37" s="8" t="b">
        <v>1</v>
      </c>
      <c r="Q37" s="99" t="str">
        <f>VLOOKUP(A37,'5) Release_Track'!F:F,1,0)</f>
        <v>COL5K1600604</v>
      </c>
    </row>
    <row r="38">
      <c r="A38" s="51" t="s">
        <v>425</v>
      </c>
      <c r="B38" s="103"/>
      <c r="C38" s="121" t="str">
        <f t="array" ref="C38">ifs(and(isblank($A38),isblank($B38)),"", not(iserror(vlookup($A38&amp;$B38,'5) Release_Track'!$F:$F&amp;'5) Release_Track'!$G:$G,1,0))),vlookup($A38&amp;$B38,{'5) Release_Track'!$F:$F&amp;'5) Release_Track'!$G:$G,'5) Release_Track'!$H:$H},2,0), or(and(not(isblank($B38)),$B38=$B37,$A38&lt;&gt;$A37),and(not(isblank($A38)),$A38=$A37,$B38&lt;&gt;$B37)),"ID LISTS UNALIGNED",and($A38&lt;&gt;"",countif('5) Release_Track'!$F:$F,$A38)=0),"NO ISRC MATCH in Release_Track",and($B38&lt;&gt;"",countif('5) Release_Track'!$G:$G,$B38)=0),"NO CATALOG ID MATCH in Release_Track",iserror(vlookup($A38&amp;$B38,'5) Release_Track'!$F:$F&amp;'5) Release_Track'!$G:$G,1,0)),"NO ISRC-CATALOG ID pair MATCH in Release_Track" )</f>
        <v>Akhiyan De Taare</v>
      </c>
      <c r="D38" s="121" t="str">
        <f t="array" ref="D38">ifs(and(isblank($A38),isblank($B38)),"", not(iserror(vlookup($A38&amp;$B38,'5) Release_Track'!$F:$F&amp;'5) Release_Track'!$G:$G,1,0))),vlookup($A38&amp;$B38,{'5) Release_Track'!$F:$F&amp;'5) Release_Track'!$G:$G,'5) Release_Track'!$I:$I},2,0), or(and(not(isblank($B38)),$B38=$B37,$A38&lt;&gt;$A37),and(not(isblank($A38)),$A38=$A37,$B38&lt;&gt;$B37)),"ID LISTS UNALIGNED",and($A38&lt;&gt;"",countif('5) Release_Track'!$F:$F,$A38)=0),"NO ISRC MATCH in Release_Track",and($B38&lt;&gt;"",countif('5) Release_Track'!$G:$G,$B38)=0),"NO CATALOG ID MATCH in Release_Track",iserror(vlookup($A38&amp;$B38,'5) Release_Track'!$F:$F&amp;'5) Release_Track'!$G:$G,1,0)),"NO ISRC-CATALOG ID pair MATCH in Release_Track" )</f>
        <v/>
      </c>
      <c r="E38" s="142" t="b">
        <v>0</v>
      </c>
      <c r="F38" s="142" t="b">
        <v>0</v>
      </c>
      <c r="G38" s="142" t="b">
        <v>0</v>
      </c>
      <c r="H38" s="142" t="b">
        <v>0</v>
      </c>
      <c r="I38" s="142" t="b">
        <v>0</v>
      </c>
      <c r="J38" s="142" t="b">
        <v>0</v>
      </c>
      <c r="K38" s="142" t="b">
        <v>0</v>
      </c>
      <c r="L38" s="8" t="b">
        <v>1</v>
      </c>
      <c r="Q38" s="99" t="str">
        <f>VLOOKUP(A38,'5) Release_Track'!F:F,1,0)</f>
        <v>COL5K1600605</v>
      </c>
    </row>
    <row r="39">
      <c r="A39" s="51" t="s">
        <v>428</v>
      </c>
      <c r="B39" s="103"/>
      <c r="C39" s="121" t="str">
        <f t="array" ref="C39">ifs(and(isblank($A39),isblank($B39)),"", not(iserror(vlookup($A39&amp;$B39,'5) Release_Track'!$F:$F&amp;'5) Release_Track'!$G:$G,1,0))),vlookup($A39&amp;$B39,{'5) Release_Track'!$F:$F&amp;'5) Release_Track'!$G:$G,'5) Release_Track'!$H:$H},2,0), or(and(not(isblank($B39)),$B39=$B38,$A39&lt;&gt;$A38),and(not(isblank($A39)),$A39=$A38,$B39&lt;&gt;$B38)),"ID LISTS UNALIGNED",and($A39&lt;&gt;"",countif('5) Release_Track'!$F:$F,$A39)=0),"NO ISRC MATCH in Release_Track",and($B39&lt;&gt;"",countif('5) Release_Track'!$G:$G,$B39)=0),"NO CATALOG ID MATCH in Release_Track",iserror(vlookup($A39&amp;$B39,'5) Release_Track'!$F:$F&amp;'5) Release_Track'!$G:$G,1,0)),"NO ISRC-CATALOG ID pair MATCH in Release_Track" )</f>
        <v>Dovein Nain</v>
      </c>
      <c r="D39" s="121" t="str">
        <f t="array" ref="D39">ifs(and(isblank($A39),isblank($B39)),"", not(iserror(vlookup($A39&amp;$B39,'5) Release_Track'!$F:$F&amp;'5) Release_Track'!$G:$G,1,0))),vlookup($A39&amp;$B39,{'5) Release_Track'!$F:$F&amp;'5) Release_Track'!$G:$G,'5) Release_Track'!$I:$I},2,0), or(and(not(isblank($B39)),$B39=$B38,$A39&lt;&gt;$A38),and(not(isblank($A39)),$A39=$A38,$B39&lt;&gt;$B38)),"ID LISTS UNALIGNED",and($A39&lt;&gt;"",countif('5) Release_Track'!$F:$F,$A39)=0),"NO ISRC MATCH in Release_Track",and($B39&lt;&gt;"",countif('5) Release_Track'!$G:$G,$B39)=0),"NO CATALOG ID MATCH in Release_Track",iserror(vlookup($A39&amp;$B39,'5) Release_Track'!$F:$F&amp;'5) Release_Track'!$G:$G,1,0)),"NO ISRC-CATALOG ID pair MATCH in Release_Track" )</f>
        <v/>
      </c>
      <c r="E39" s="142" t="b">
        <v>0</v>
      </c>
      <c r="F39" s="142" t="b">
        <v>0</v>
      </c>
      <c r="G39" s="142" t="b">
        <v>0</v>
      </c>
      <c r="H39" s="142" t="b">
        <v>0</v>
      </c>
      <c r="I39" s="142" t="b">
        <v>0</v>
      </c>
      <c r="J39" s="142" t="b">
        <v>0</v>
      </c>
      <c r="K39" s="142" t="b">
        <v>0</v>
      </c>
      <c r="L39" s="8" t="b">
        <v>1</v>
      </c>
      <c r="Q39" s="99" t="str">
        <f>VLOOKUP(A39,'5) Release_Track'!F:F,1,0)</f>
        <v>COL5K1600606</v>
      </c>
    </row>
    <row r="40">
      <c r="A40" s="51" t="s">
        <v>431</v>
      </c>
      <c r="B40" s="103"/>
      <c r="C40" s="121" t="str">
        <f t="array" ref="C40">ifs(and(isblank($A40),isblank($B40)),"", not(iserror(vlookup($A40&amp;$B40,'5) Release_Track'!$F:$F&amp;'5) Release_Track'!$G:$G,1,0))),vlookup($A40&amp;$B40,{'5) Release_Track'!$F:$F&amp;'5) Release_Track'!$G:$G,'5) Release_Track'!$H:$H},2,0), or(and(not(isblank($B40)),$B40=$B39,$A40&lt;&gt;$A39),and(not(isblank($A40)),$A40=$A39,$B40&lt;&gt;$B39)),"ID LISTS UNALIGNED",and($A40&lt;&gt;"",countif('5) Release_Track'!$F:$F,$A40)=0),"NO ISRC MATCH in Release_Track",and($B40&lt;&gt;"",countif('5) Release_Track'!$G:$G,$B40)=0),"NO CATALOG ID MATCH in Release_Track",iserror(vlookup($A40&amp;$B40,'5) Release_Track'!$F:$F&amp;'5) Release_Track'!$G:$G,1,0)),"NO ISRC-CATALOG ID pair MATCH in Release_Track" )</f>
        <v>Des</v>
      </c>
      <c r="D40" s="121" t="str">
        <f t="array" ref="D40">ifs(and(isblank($A40),isblank($B40)),"", not(iserror(vlookup($A40&amp;$B40,'5) Release_Track'!$F:$F&amp;'5) Release_Track'!$G:$G,1,0))),vlookup($A40&amp;$B40,{'5) Release_Track'!$F:$F&amp;'5) Release_Track'!$G:$G,'5) Release_Track'!$I:$I},2,0), or(and(not(isblank($B40)),$B40=$B39,$A40&lt;&gt;$A39),and(not(isblank($A40)),$A40=$A39,$B40&lt;&gt;$B39)),"ID LISTS UNALIGNED",and($A40&lt;&gt;"",countif('5) Release_Track'!$F:$F,$A40)=0),"NO ISRC MATCH in Release_Track",and($B40&lt;&gt;"",countif('5) Release_Track'!$G:$G,$B40)=0),"NO CATALOG ID MATCH in Release_Track",iserror(vlookup($A40&amp;$B40,'5) Release_Track'!$F:$F&amp;'5) Release_Track'!$G:$G,1,0)),"NO ISRC-CATALOG ID pair MATCH in Release_Track" )</f>
        <v/>
      </c>
      <c r="E40" s="142" t="b">
        <v>0</v>
      </c>
      <c r="F40" s="142" t="b">
        <v>0</v>
      </c>
      <c r="G40" s="142" t="b">
        <v>0</v>
      </c>
      <c r="H40" s="142" t="b">
        <v>0</v>
      </c>
      <c r="I40" s="142" t="b">
        <v>0</v>
      </c>
      <c r="J40" s="142" t="b">
        <v>0</v>
      </c>
      <c r="K40" s="142" t="b">
        <v>0</v>
      </c>
      <c r="L40" s="8" t="b">
        <v>1</v>
      </c>
      <c r="Q40" s="99" t="str">
        <f>VLOOKUP(A40,'5) Release_Track'!F:F,1,0)</f>
        <v>COL5K1600607</v>
      </c>
    </row>
    <row r="41">
      <c r="A41" s="51" t="s">
        <v>434</v>
      </c>
      <c r="B41" s="103"/>
      <c r="C41" s="121" t="str">
        <f t="array" ref="C41">ifs(and(isblank($A41),isblank($B41)),"", not(iserror(vlookup($A41&amp;$B41,'5) Release_Track'!$F:$F&amp;'5) Release_Track'!$G:$G,1,0))),vlookup($A41&amp;$B41,{'5) Release_Track'!$F:$F&amp;'5) Release_Track'!$G:$G,'5) Release_Track'!$H:$H},2,0), or(and(not(isblank($B41)),$B41=$B40,$A41&lt;&gt;$A40),and(not(isblank($A41)),$A41=$A40,$B41&lt;&gt;$B40)),"ID LISTS UNALIGNED",and($A41&lt;&gt;"",countif('5) Release_Track'!$F:$F,$A41)=0),"NO ISRC MATCH in Release_Track",and($B41&lt;&gt;"",countif('5) Release_Track'!$G:$G,$B41)=0),"NO CATALOG ID MATCH in Release_Track",iserror(vlookup($A41&amp;$B41,'5) Release_Track'!$F:$F&amp;'5) Release_Track'!$G:$G,1,0)),"NO ISRC-CATALOG ID pair MATCH in Release_Track" )</f>
        <v>Maavan (From "Daana Paani" Soundtrack)</v>
      </c>
      <c r="D41" s="121" t="str">
        <f t="array" ref="D41">ifs(and(isblank($A41),isblank($B41)),"", not(iserror(vlookup($A41&amp;$B41,'5) Release_Track'!$F:$F&amp;'5) Release_Track'!$G:$G,1,0))),vlookup($A41&amp;$B41,{'5) Release_Track'!$F:$F&amp;'5) Release_Track'!$G:$G,'5) Release_Track'!$I:$I},2,0), or(and(not(isblank($B41)),$B41=$B40,$A41&lt;&gt;$A40),and(not(isblank($A41)),$A41=$A40,$B41&lt;&gt;$B40)),"ID LISTS UNALIGNED",and($A41&lt;&gt;"",countif('5) Release_Track'!$F:$F,$A41)=0),"NO ISRC MATCH in Release_Track",and($B41&lt;&gt;"",countif('5) Release_Track'!$G:$G,$B41)=0),"NO CATALOG ID MATCH in Release_Track",iserror(vlookup($A41&amp;$B41,'5) Release_Track'!$F:$F&amp;'5) Release_Track'!$G:$G,1,0)),"NO ISRC-CATALOG ID pair MATCH in Release_Track" )</f>
        <v/>
      </c>
      <c r="E41" s="142" t="b">
        <v>0</v>
      </c>
      <c r="F41" s="142" t="b">
        <v>0</v>
      </c>
      <c r="G41" s="142" t="b">
        <v>0</v>
      </c>
      <c r="H41" s="142" t="b">
        <v>0</v>
      </c>
      <c r="I41" s="142" t="b">
        <v>0</v>
      </c>
      <c r="J41" s="142" t="b">
        <v>0</v>
      </c>
      <c r="K41" s="142" t="b">
        <v>0</v>
      </c>
      <c r="L41" s="8" t="b">
        <v>1</v>
      </c>
      <c r="Q41" s="99" t="str">
        <f>VLOOKUP(A41,'5) Release_Track'!F:F,1,0)</f>
        <v>COL5K1801501</v>
      </c>
    </row>
    <row r="42">
      <c r="A42" s="51" t="s">
        <v>436</v>
      </c>
      <c r="B42" s="103"/>
      <c r="C42" s="121" t="str">
        <f t="array" ref="C42">ifs(and(isblank($A42),isblank($B42)),"", not(iserror(vlookup($A42&amp;$B42,'5) Release_Track'!$F:$F&amp;'5) Release_Track'!$G:$G,1,0))),vlookup($A42&amp;$B42,{'5) Release_Track'!$F:$F&amp;'5) Release_Track'!$G:$G,'5) Release_Track'!$H:$H},2,0), or(and(not(isblank($B42)),$B42=$B41,$A42&lt;&gt;$A41),and(not(isblank($A42)),$A42=$A41,$B42&lt;&gt;$B41)),"ID LISTS UNALIGNED",and($A42&lt;&gt;"",countif('5) Release_Track'!$F:$F,$A42)=0),"NO ISRC MATCH in Release_Track",and($B42&lt;&gt;"",countif('5) Release_Track'!$G:$G,$B42)=0),"NO CATALOG ID MATCH in Release_Track",iserror(vlookup($A42&amp;$B42,'5) Release_Track'!$F:$F&amp;'5) Release_Track'!$G:$G,1,0)),"NO ISRC-CATALOG ID pair MATCH in Release_Track" )</f>
        <v>Manak Di Kali (From "Bhalwan Singh" Soundtrack) [with Jatinder Shah]</v>
      </c>
      <c r="D42" s="121" t="str">
        <f t="array" ref="D42">ifs(and(isblank($A42),isblank($B42)),"", not(iserror(vlookup($A42&amp;$B42,'5) Release_Track'!$F:$F&amp;'5) Release_Track'!$G:$G,1,0))),vlookup($A42&amp;$B42,{'5) Release_Track'!$F:$F&amp;'5) Release_Track'!$G:$G,'5) Release_Track'!$I:$I},2,0), or(and(not(isblank($B42)),$B42=$B41,$A42&lt;&gt;$A41),and(not(isblank($A42)),$A42=$A41,$B42&lt;&gt;$B41)),"ID LISTS UNALIGNED",and($A42&lt;&gt;"",countif('5) Release_Track'!$F:$F,$A42)=0),"NO ISRC MATCH in Release_Track",and($B42&lt;&gt;"",countif('5) Release_Track'!$G:$G,$B42)=0),"NO CATALOG ID MATCH in Release_Track",iserror(vlookup($A42&amp;$B42,'5) Release_Track'!$F:$F&amp;'5) Release_Track'!$G:$G,1,0)),"NO ISRC-CATALOG ID pair MATCH in Release_Track" )</f>
        <v/>
      </c>
      <c r="E42" s="142" t="b">
        <v>0</v>
      </c>
      <c r="F42" s="142" t="b">
        <v>0</v>
      </c>
      <c r="G42" s="142" t="b">
        <v>0</v>
      </c>
      <c r="H42" s="142" t="b">
        <v>0</v>
      </c>
      <c r="I42" s="142" t="b">
        <v>0</v>
      </c>
      <c r="J42" s="142" t="b">
        <v>0</v>
      </c>
      <c r="K42" s="142" t="b">
        <v>0</v>
      </c>
      <c r="L42" s="8" t="b">
        <v>1</v>
      </c>
      <c r="Q42" s="99" t="str">
        <f>VLOOKUP(A42,'5) Release_Track'!F:F,1,0)</f>
        <v>COL5K1701301</v>
      </c>
    </row>
    <row r="43">
      <c r="A43" s="51" t="s">
        <v>438</v>
      </c>
      <c r="B43" s="103"/>
      <c r="C43" s="121" t="str">
        <f t="array" ref="C43">ifs(and(isblank($A43),isblank($B43)),"", not(iserror(vlookup($A43&amp;$B43,'5) Release_Track'!$F:$F&amp;'5) Release_Track'!$G:$G,1,0))),vlookup($A43&amp;$B43,{'5) Release_Track'!$F:$F&amp;'5) Release_Track'!$G:$G,'5) Release_Track'!$H:$H},2,0), or(and(not(isblank($B43)),$B43=$B42,$A43&lt;&gt;$A42),and(not(isblank($A43)),$A43=$A42,$B43&lt;&gt;$B42)),"ID LISTS UNALIGNED",and($A43&lt;&gt;"",countif('5) Release_Track'!$F:$F,$A43)=0),"NO ISRC MATCH in Release_Track",and($B43&lt;&gt;"",countif('5) Release_Track'!$G:$G,$B43)=0),"NO CATALOG ID MATCH in Release_Track",iserror(vlookup($A43&amp;$B43,'5) Release_Track'!$F:$F&amp;'5) Release_Track'!$G:$G,1,0)),"NO ISRC-CATALOG ID pair MATCH in Release_Track" )</f>
        <v>Milne Di Rutt</v>
      </c>
      <c r="D43" s="121" t="str">
        <f t="array" ref="D43">ifs(and(isblank($A43),isblank($B43)),"", not(iserror(vlookup($A43&amp;$B43,'5) Release_Track'!$F:$F&amp;'5) Release_Track'!$G:$G,1,0))),vlookup($A43&amp;$B43,{'5) Release_Track'!$F:$F&amp;'5) Release_Track'!$G:$G,'5) Release_Track'!$I:$I},2,0), or(and(not(isblank($B43)),$B43=$B42,$A43&lt;&gt;$A42),and(not(isblank($A43)),$A43=$A42,$B43&lt;&gt;$B42)),"ID LISTS UNALIGNED",and($A43&lt;&gt;"",countif('5) Release_Track'!$F:$F,$A43)=0),"NO ISRC MATCH in Release_Track",and($B43&lt;&gt;"",countif('5) Release_Track'!$G:$G,$B43)=0),"NO CATALOG ID MATCH in Release_Track",iserror(vlookup($A43&amp;$B43,'5) Release_Track'!$F:$F&amp;'5) Release_Track'!$G:$G,1,0)),"NO ISRC-CATALOG ID pair MATCH in Release_Track" )</f>
        <v/>
      </c>
      <c r="E43" s="142" t="b">
        <v>0</v>
      </c>
      <c r="F43" s="142" t="b">
        <v>0</v>
      </c>
      <c r="G43" s="142" t="b">
        <v>0</v>
      </c>
      <c r="H43" s="142" t="b">
        <v>0</v>
      </c>
      <c r="I43" s="142" t="b">
        <v>0</v>
      </c>
      <c r="J43" s="142" t="b">
        <v>0</v>
      </c>
      <c r="K43" s="142" t="b">
        <v>0</v>
      </c>
      <c r="L43" s="8" t="b">
        <v>1</v>
      </c>
      <c r="Q43" s="99" t="str">
        <f>VLOOKUP(A43,'5) Release_Track'!F:F,1,0)</f>
        <v>COL5K1600701</v>
      </c>
    </row>
    <row r="44">
      <c r="A44" s="51" t="s">
        <v>440</v>
      </c>
      <c r="B44" s="103"/>
      <c r="C44" s="121" t="str">
        <f t="array" ref="C44">ifs(and(isblank($A44),isblank($B44)),"", not(iserror(vlookup($A44&amp;$B44,'5) Release_Track'!$F:$F&amp;'5) Release_Track'!$G:$G,1,0))),vlookup($A44&amp;$B44,{'5) Release_Track'!$F:$F&amp;'5) Release_Track'!$G:$G,'5) Release_Track'!$H:$H},2,0), or(and(not(isblank($B44)),$B44=$B43,$A44&lt;&gt;$A43),and(not(isblank($A44)),$A44=$A43,$B44&lt;&gt;$B43)),"ID LISTS UNALIGNED",and($A44&lt;&gt;"",countif('5) Release_Track'!$F:$F,$A44)=0),"NO ISRC MATCH in Release_Track",and($B44&lt;&gt;"",countif('5) Release_Track'!$G:$G,$B44)=0),"NO CATALOG ID MATCH in Release_Track",iserror(vlookup($A44&amp;$B44,'5) Release_Track'!$F:$F&amp;'5) Release_Track'!$G:$G,1,0)),"NO ISRC-CATALOG ID pair MATCH in Release_Track" )</f>
        <v>Noonh Labhni (From "Vekh Baraatan Challiyan" Soundtrack)</v>
      </c>
      <c r="D44" s="121" t="str">
        <f t="array" ref="D44">ifs(and(isblank($A44),isblank($B44)),"", not(iserror(vlookup($A44&amp;$B44,'5) Release_Track'!$F:$F&amp;'5) Release_Track'!$G:$G,1,0))),vlookup($A44&amp;$B44,{'5) Release_Track'!$F:$F&amp;'5) Release_Track'!$G:$G,'5) Release_Track'!$I:$I},2,0), or(and(not(isblank($B44)),$B44=$B43,$A44&lt;&gt;$A43),and(not(isblank($A44)),$A44=$A43,$B44&lt;&gt;$B43)),"ID LISTS UNALIGNED",and($A44&lt;&gt;"",countif('5) Release_Track'!$F:$F,$A44)=0),"NO ISRC MATCH in Release_Track",and($B44&lt;&gt;"",countif('5) Release_Track'!$G:$G,$B44)=0),"NO CATALOG ID MATCH in Release_Track",iserror(vlookup($A44&amp;$B44,'5) Release_Track'!$F:$F&amp;'5) Release_Track'!$G:$G,1,0)),"NO ISRC-CATALOG ID pair MATCH in Release_Track" )</f>
        <v/>
      </c>
      <c r="E44" s="142" t="b">
        <v>0</v>
      </c>
      <c r="F44" s="142" t="b">
        <v>0</v>
      </c>
      <c r="G44" s="142" t="b">
        <v>0</v>
      </c>
      <c r="H44" s="142" t="b">
        <v>0</v>
      </c>
      <c r="I44" s="142" t="b">
        <v>0</v>
      </c>
      <c r="J44" s="142" t="b">
        <v>0</v>
      </c>
      <c r="K44" s="142" t="b">
        <v>0</v>
      </c>
      <c r="L44" s="8" t="b">
        <v>1</v>
      </c>
      <c r="Q44" s="99" t="str">
        <f>VLOOKUP(A44,'5) Release_Track'!F:F,1,0)</f>
        <v>COL5K1701203</v>
      </c>
    </row>
    <row r="45">
      <c r="A45" s="51" t="s">
        <v>442</v>
      </c>
      <c r="B45" s="103"/>
      <c r="C45" s="121" t="str">
        <f t="array" ref="C45">ifs(and(isblank($A45),isblank($B45)),"", not(iserror(vlookup($A45&amp;$B45,'5) Release_Track'!$F:$F&amp;'5) Release_Track'!$G:$G,1,0))),vlookup($A45&amp;$B45,{'5) Release_Track'!$F:$F&amp;'5) Release_Track'!$G:$G,'5) Release_Track'!$H:$H},2,0), or(and(not(isblank($B45)),$B45=$B44,$A45&lt;&gt;$A44),and(not(isblank($A45)),$A45=$A44,$B45&lt;&gt;$B44)),"ID LISTS UNALIGNED",and($A45&lt;&gt;"",countif('5) Release_Track'!$F:$F,$A45)=0),"NO ISRC MATCH in Release_Track",and($B45&lt;&gt;"",countif('5) Release_Track'!$G:$G,$B45)=0),"NO CATALOG ID MATCH in Release_Track",iserror(vlookup($A45&amp;$B45,'5) Release_Track'!$F:$F&amp;'5) Release_Track'!$G:$G,1,0)),"NO ISRC-CATALOG ID pair MATCH in Release_Track" )</f>
        <v>Paani</v>
      </c>
      <c r="D45" s="121" t="str">
        <f t="array" ref="D45">ifs(and(isblank($A45),isblank($B45)),"", not(iserror(vlookup($A45&amp;$B45,'5) Release_Track'!$F:$F&amp;'5) Release_Track'!$G:$G,1,0))),vlookup($A45&amp;$B45,{'5) Release_Track'!$F:$F&amp;'5) Release_Track'!$G:$G,'5) Release_Track'!$I:$I},2,0), or(and(not(isblank($B45)),$B45=$B44,$A45&lt;&gt;$A44),and(not(isblank($A45)),$A45=$A44,$B45&lt;&gt;$B44)),"ID LISTS UNALIGNED",and($A45&lt;&gt;"",countif('5) Release_Track'!$F:$F,$A45)=0),"NO ISRC MATCH in Release_Track",and($B45&lt;&gt;"",countif('5) Release_Track'!$G:$G,$B45)=0),"NO CATALOG ID MATCH in Release_Track",iserror(vlookup($A45&amp;$B45,'5) Release_Track'!$F:$F&amp;'5) Release_Track'!$G:$G,1,0)),"NO ISRC-CATALOG ID pair MATCH in Release_Track" )</f>
        <v/>
      </c>
      <c r="E45" s="142" t="b">
        <v>0</v>
      </c>
      <c r="F45" s="142" t="b">
        <v>0</v>
      </c>
      <c r="G45" s="142" t="b">
        <v>0</v>
      </c>
      <c r="H45" s="142" t="b">
        <v>0</v>
      </c>
      <c r="I45" s="142" t="b">
        <v>0</v>
      </c>
      <c r="J45" s="142" t="b">
        <v>0</v>
      </c>
      <c r="K45" s="142" t="b">
        <v>0</v>
      </c>
      <c r="L45" s="8" t="b">
        <v>1</v>
      </c>
      <c r="Q45" s="99" t="str">
        <f>VLOOKUP(A45,'5) Release_Track'!F:F,1,0)</f>
        <v>COL5K1500401</v>
      </c>
    </row>
    <row r="46">
      <c r="A46" s="51" t="s">
        <v>444</v>
      </c>
      <c r="B46" s="103"/>
      <c r="C46" s="121" t="str">
        <f t="array" ref="C46">ifs(and(isblank($A46),isblank($B46)),"", not(iserror(vlookup($A46&amp;$B46,'5) Release_Track'!$F:$F&amp;'5) Release_Track'!$G:$G,1,0))),vlookup($A46&amp;$B46,{'5) Release_Track'!$F:$F&amp;'5) Release_Track'!$G:$G,'5) Release_Track'!$H:$H},2,0), or(and(not(isblank($B46)),$B46=$B45,$A46&lt;&gt;$A45),and(not(isblank($A46)),$A46=$A45,$B46&lt;&gt;$B45)),"ID LISTS UNALIGNED",and($A46&lt;&gt;"",countif('5) Release_Track'!$F:$F,$A46)=0),"NO ISRC MATCH in Release_Track",and($B46&lt;&gt;"",countif('5) Release_Track'!$G:$G,$B46)=0),"NO CATALOG ID MATCH in Release_Track",iserror(vlookup($A46&amp;$B46,'5) Release_Track'!$F:$F&amp;'5) Release_Track'!$G:$G,1,0)),"NO ISRC-CATALOG ID pair MATCH in Release_Track" )</f>
        <v>Paani Raavi Da (From "Lahoriye" Soundtrack)</v>
      </c>
      <c r="D46" s="121" t="str">
        <f t="array" ref="D46">ifs(and(isblank($A46),isblank($B46)),"", not(iserror(vlookup($A46&amp;$B46,'5) Release_Track'!$F:$F&amp;'5) Release_Track'!$G:$G,1,0))),vlookup($A46&amp;$B46,{'5) Release_Track'!$F:$F&amp;'5) Release_Track'!$G:$G,'5) Release_Track'!$I:$I},2,0), or(and(not(isblank($B46)),$B46=$B45,$A46&lt;&gt;$A45),and(not(isblank($A46)),$A46=$A45,$B46&lt;&gt;$B45)),"ID LISTS UNALIGNED",and($A46&lt;&gt;"",countif('5) Release_Track'!$F:$F,$A46)=0),"NO ISRC MATCH in Release_Track",and($B46&lt;&gt;"",countif('5) Release_Track'!$G:$G,$B46)=0),"NO CATALOG ID MATCH in Release_Track",iserror(vlookup($A46&amp;$B46,'5) Release_Track'!$F:$F&amp;'5) Release_Track'!$G:$G,1,0)),"NO ISRC-CATALOG ID pair MATCH in Release_Track" )</f>
        <v/>
      </c>
      <c r="E46" s="142" t="b">
        <v>0</v>
      </c>
      <c r="F46" s="142" t="b">
        <v>0</v>
      </c>
      <c r="G46" s="142" t="b">
        <v>0</v>
      </c>
      <c r="H46" s="142" t="b">
        <v>0</v>
      </c>
      <c r="I46" s="142" t="b">
        <v>0</v>
      </c>
      <c r="J46" s="142" t="b">
        <v>0</v>
      </c>
      <c r="K46" s="142" t="b">
        <v>0</v>
      </c>
      <c r="L46" s="8" t="b">
        <v>1</v>
      </c>
      <c r="Q46" s="99" t="str">
        <f>VLOOKUP(A46,'5) Release_Track'!F:F,1,0)</f>
        <v>COL5K1701105</v>
      </c>
    </row>
    <row r="47">
      <c r="A47" s="51" t="s">
        <v>446</v>
      </c>
      <c r="B47" s="103"/>
      <c r="C47" s="121" t="str">
        <f t="array" ref="C47">ifs(and(isblank($A47),isblank($B47)),"", not(iserror(vlookup($A47&amp;$B47,'5) Release_Track'!$F:$F&amp;'5) Release_Track'!$G:$G,1,0))),vlookup($A47&amp;$B47,{'5) Release_Track'!$F:$F&amp;'5) Release_Track'!$G:$G,'5) Release_Track'!$H:$H},2,0), or(and(not(isblank($B47)),$B47=$B46,$A47&lt;&gt;$A46),and(not(isblank($A47)),$A47=$A46,$B47&lt;&gt;$B46)),"ID LISTS UNALIGNED",and($A47&lt;&gt;"",countif('5) Release_Track'!$F:$F,$A47)=0),"NO ISRC MATCH in Release_Track",and($B47&lt;&gt;"",countif('5) Release_Track'!$G:$G,$B47)=0),"NO CATALOG ID MATCH in Release_Track",iserror(vlookup($A47&amp;$B47,'5) Release_Track'!$F:$F&amp;'5) Release_Track'!$G:$G,1,0)),"NO ISRC-CATALOG ID pair MATCH in Release_Track" )</f>
        <v>Phullan Di Vel (From "Golak Bugni Bank Te Batua" Soundtrack)</v>
      </c>
      <c r="D47" s="121" t="str">
        <f t="array" ref="D47">ifs(and(isblank($A47),isblank($B47)),"", not(iserror(vlookup($A47&amp;$B47,'5) Release_Track'!$F:$F&amp;'5) Release_Track'!$G:$G,1,0))),vlookup($A47&amp;$B47,{'5) Release_Track'!$F:$F&amp;'5) Release_Track'!$G:$G,'5) Release_Track'!$I:$I},2,0), or(and(not(isblank($B47)),$B47=$B46,$A47&lt;&gt;$A46),and(not(isblank($A47)),$A47=$A46,$B47&lt;&gt;$B46)),"ID LISTS UNALIGNED",and($A47&lt;&gt;"",countif('5) Release_Track'!$F:$F,$A47)=0),"NO ISRC MATCH in Release_Track",and($B47&lt;&gt;"",countif('5) Release_Track'!$G:$G,$B47)=0),"NO CATALOG ID MATCH in Release_Track",iserror(vlookup($A47&amp;$B47,'5) Release_Track'!$F:$F&amp;'5) Release_Track'!$G:$G,1,0)),"NO ISRC-CATALOG ID pair MATCH in Release_Track" )</f>
        <v/>
      </c>
      <c r="E47" s="142" t="b">
        <v>0</v>
      </c>
      <c r="F47" s="142" t="b">
        <v>0</v>
      </c>
      <c r="G47" s="142" t="b">
        <v>0</v>
      </c>
      <c r="H47" s="142" t="b">
        <v>0</v>
      </c>
      <c r="I47" s="142" t="b">
        <v>0</v>
      </c>
      <c r="J47" s="142" t="b">
        <v>0</v>
      </c>
      <c r="K47" s="142" t="b">
        <v>0</v>
      </c>
      <c r="L47" s="8" t="b">
        <v>1</v>
      </c>
      <c r="Q47" s="99" t="str">
        <f>VLOOKUP(A47,'5) Release_Track'!F:F,1,0)</f>
        <v>COL5K1701405</v>
      </c>
    </row>
    <row r="48">
      <c r="A48" s="51" t="s">
        <v>448</v>
      </c>
      <c r="B48" s="103"/>
      <c r="C48" s="121" t="str">
        <f t="array" ref="C48">ifs(and(isblank($A48),isblank($B48)),"", not(iserror(vlookup($A48&amp;$B48,'5) Release_Track'!$F:$F&amp;'5) Release_Track'!$G:$G,1,0))),vlookup($A48&amp;$B48,{'5) Release_Track'!$F:$F&amp;'5) Release_Track'!$G:$G,'5) Release_Track'!$H:$H},2,0), or(and(not(isblank($B48)),$B48=$B47,$A48&lt;&gt;$A47),and(not(isblank($A48)),$A48=$A47,$B48&lt;&gt;$B47)),"ID LISTS UNALIGNED",and($A48&lt;&gt;"",countif('5) Release_Track'!$F:$F,$A48)=0),"NO ISRC MATCH in Release_Track",and($B48&lt;&gt;"",countif('5) Release_Track'!$G:$G,$B48)=0),"NO CATALOG ID MATCH in Release_Track",iserror(vlookup($A48&amp;$B48,'5) Release_Track'!$F:$F&amp;'5) Release_Track'!$G:$G,1,0)),"NO ISRC-CATALOG ID pair MATCH in Release_Track" )</f>
        <v>Rabb Khair Kare (From "Daana Paani" Soundtrack)</v>
      </c>
      <c r="D48" s="121" t="str">
        <f t="array" ref="D48">ifs(and(isblank($A48),isblank($B48)),"", not(iserror(vlookup($A48&amp;$B48,'5) Release_Track'!$F:$F&amp;'5) Release_Track'!$G:$G,1,0))),vlookup($A48&amp;$B48,{'5) Release_Track'!$F:$F&amp;'5) Release_Track'!$G:$G,'5) Release_Track'!$I:$I},2,0), or(and(not(isblank($B48)),$B48=$B47,$A48&lt;&gt;$A47),and(not(isblank($A48)),$A48=$A47,$B48&lt;&gt;$B47)),"ID LISTS UNALIGNED",and($A48&lt;&gt;"",countif('5) Release_Track'!$F:$F,$A48)=0),"NO ISRC MATCH in Release_Track",and($B48&lt;&gt;"",countif('5) Release_Track'!$G:$G,$B48)=0),"NO CATALOG ID MATCH in Release_Track",iserror(vlookup($A48&amp;$B48,'5) Release_Track'!$F:$F&amp;'5) Release_Track'!$G:$G,1,0)),"NO ISRC-CATALOG ID pair MATCH in Release_Track" )</f>
        <v/>
      </c>
      <c r="E48" s="142" t="b">
        <v>0</v>
      </c>
      <c r="F48" s="142" t="b">
        <v>0</v>
      </c>
      <c r="G48" s="142" t="b">
        <v>0</v>
      </c>
      <c r="H48" s="142" t="b">
        <v>0</v>
      </c>
      <c r="I48" s="142" t="b">
        <v>0</v>
      </c>
      <c r="J48" s="142" t="b">
        <v>0</v>
      </c>
      <c r="K48" s="142" t="b">
        <v>0</v>
      </c>
      <c r="L48" s="8" t="b">
        <v>1</v>
      </c>
      <c r="Q48" s="99" t="str">
        <f>VLOOKUP(A48,'5) Release_Track'!F:F,1,0)</f>
        <v>COL5K1801502</v>
      </c>
    </row>
    <row r="49">
      <c r="A49" s="51" t="s">
        <v>450</v>
      </c>
      <c r="B49" s="103"/>
      <c r="C49" s="121" t="str">
        <f t="array" ref="C49">ifs(and(isblank($A49),isblank($B49)),"", not(iserror(vlookup($A49&amp;$B49,'5) Release_Track'!$F:$F&amp;'5) Release_Track'!$G:$G,1,0))),vlookup($A49&amp;$B49,{'5) Release_Track'!$F:$F&amp;'5) Release_Track'!$G:$G,'5) Release_Track'!$H:$H},2,0), or(and(not(isblank($B49)),$B49=$B48,$A49&lt;&gt;$A48),and(not(isblank($A49)),$A49=$A48,$B49&lt;&gt;$B48)),"ID LISTS UNALIGNED",and($A49&lt;&gt;"",countif('5) Release_Track'!$F:$F,$A49)=0),"NO ISRC MATCH in Release_Track",and($B49&lt;&gt;"",countif('5) Release_Track'!$G:$G,$B49)=0),"NO CATALOG ID MATCH in Release_Track",iserror(vlookup($A49&amp;$B49,'5) Release_Track'!$F:$F&amp;'5) Release_Track'!$G:$G,1,0)),"NO ISRC-CATALOG ID pair MATCH in Release_Track" )</f>
        <v>Rakhi Soneya Ve (From "Bambukat" Soundtrack)</v>
      </c>
      <c r="D49" s="121" t="str">
        <f t="array" ref="D49">ifs(and(isblank($A49),isblank($B49)),"", not(iserror(vlookup($A49&amp;$B49,'5) Release_Track'!$F:$F&amp;'5) Release_Track'!$G:$G,1,0))),vlookup($A49&amp;$B49,{'5) Release_Track'!$F:$F&amp;'5) Release_Track'!$G:$G,'5) Release_Track'!$I:$I},2,0), or(and(not(isblank($B49)),$B49=$B48,$A49&lt;&gt;$A48),and(not(isblank($A49)),$A49=$A48,$B49&lt;&gt;$B48)),"ID LISTS UNALIGNED",and($A49&lt;&gt;"",countif('5) Release_Track'!$F:$F,$A49)=0),"NO ISRC MATCH in Release_Track",and($B49&lt;&gt;"",countif('5) Release_Track'!$G:$G,$B49)=0),"NO CATALOG ID MATCH in Release_Track",iserror(vlookup($A49&amp;$B49,'5) Release_Track'!$F:$F&amp;'5) Release_Track'!$G:$G,1,0)),"NO ISRC-CATALOG ID pair MATCH in Release_Track" )</f>
        <v/>
      </c>
      <c r="E49" s="142" t="b">
        <v>0</v>
      </c>
      <c r="F49" s="142" t="b">
        <v>0</v>
      </c>
      <c r="G49" s="142" t="b">
        <v>0</v>
      </c>
      <c r="H49" s="142" t="b">
        <v>0</v>
      </c>
      <c r="I49" s="142" t="b">
        <v>0</v>
      </c>
      <c r="J49" s="142" t="b">
        <v>0</v>
      </c>
      <c r="K49" s="142" t="b">
        <v>0</v>
      </c>
      <c r="L49" s="8" t="b">
        <v>1</v>
      </c>
      <c r="Q49" s="99" t="str">
        <f>VLOOKUP(A49,'5) Release_Track'!F:F,1,0)</f>
        <v>COL5K1600804</v>
      </c>
    </row>
    <row r="50">
      <c r="A50" s="51" t="s">
        <v>452</v>
      </c>
      <c r="B50" s="103"/>
      <c r="C50" s="121" t="str">
        <f t="array" ref="C50">ifs(and(isblank($A50),isblank($B50)),"", not(iserror(vlookup($A50&amp;$B50,'5) Release_Track'!$F:$F&amp;'5) Release_Track'!$G:$G,1,0))),vlookup($A50&amp;$B50,{'5) Release_Track'!$F:$F&amp;'5) Release_Track'!$G:$G,'5) Release_Track'!$H:$H},2,0), or(and(not(isblank($B50)),$B50=$B49,$A50&lt;&gt;$A49),and(not(isblank($A50)),$A50=$A49,$B50&lt;&gt;$B49)),"ID LISTS UNALIGNED",and($A50&lt;&gt;"",countif('5) Release_Track'!$F:$F,$A50)=0),"NO ISRC MATCH in Release_Track",and($B50&lt;&gt;"",countif('5) Release_Track'!$G:$G,$B50)=0),"NO CATALOG ID MATCH in Release_Track",iserror(vlookup($A50&amp;$B50,'5) Release_Track'!$F:$F&amp;'5) Release_Track'!$G:$G,1,0)),"NO ISRC-CATALOG ID pair MATCH in Release_Track" )</f>
        <v>Rani (From "Bhalwan Singh" Soundtrack)</v>
      </c>
      <c r="D50" s="121" t="str">
        <f t="array" ref="D50">ifs(and(isblank($A50),isblank($B50)),"", not(iserror(vlookup($A50&amp;$B50,'5) Release_Track'!$F:$F&amp;'5) Release_Track'!$G:$G,1,0))),vlookup($A50&amp;$B50,{'5) Release_Track'!$F:$F&amp;'5) Release_Track'!$G:$G,'5) Release_Track'!$I:$I},2,0), or(and(not(isblank($B50)),$B50=$B49,$A50&lt;&gt;$A49),and(not(isblank($A50)),$A50=$A49,$B50&lt;&gt;$B49)),"ID LISTS UNALIGNED",and($A50&lt;&gt;"",countif('5) Release_Track'!$F:$F,$A50)=0),"NO ISRC MATCH in Release_Track",and($B50&lt;&gt;"",countif('5) Release_Track'!$G:$G,$B50)=0),"NO CATALOG ID MATCH in Release_Track",iserror(vlookup($A50&amp;$B50,'5) Release_Track'!$F:$F&amp;'5) Release_Track'!$G:$G,1,0)),"NO ISRC-CATALOG ID pair MATCH in Release_Track" )</f>
        <v/>
      </c>
      <c r="E50" s="142" t="b">
        <v>0</v>
      </c>
      <c r="F50" s="142" t="b">
        <v>0</v>
      </c>
      <c r="G50" s="142" t="b">
        <v>0</v>
      </c>
      <c r="H50" s="142" t="b">
        <v>0</v>
      </c>
      <c r="I50" s="142" t="b">
        <v>0</v>
      </c>
      <c r="J50" s="142" t="b">
        <v>0</v>
      </c>
      <c r="K50" s="142" t="b">
        <v>0</v>
      </c>
      <c r="L50" s="8" t="b">
        <v>1</v>
      </c>
      <c r="Q50" s="99" t="str">
        <f>VLOOKUP(A50,'5) Release_Track'!F:F,1,0)</f>
        <v>COL5K1701306</v>
      </c>
    </row>
    <row r="51">
      <c r="A51" s="51" t="s">
        <v>454</v>
      </c>
      <c r="B51" s="103"/>
      <c r="C51" s="121" t="str">
        <f t="array" ref="C51">ifs(and(isblank($A51),isblank($B51)),"", not(iserror(vlookup($A51&amp;$B51,'5) Release_Track'!$F:$F&amp;'5) Release_Track'!$G:$G,1,0))),vlookup($A51&amp;$B51,{'5) Release_Track'!$F:$F&amp;'5) Release_Track'!$G:$G,'5) Release_Track'!$H:$H},2,0), or(and(not(isblank($B51)),$B51=$B50,$A51&lt;&gt;$A50),and(not(isblank($A51)),$A51=$A50,$B51&lt;&gt;$B50)),"ID LISTS UNALIGNED",and($A51&lt;&gt;"",countif('5) Release_Track'!$F:$F,$A51)=0),"NO ISRC MATCH in Release_Track",and($B51&lt;&gt;"",countif('5) Release_Track'!$G:$G,$B51)=0),"NO CATALOG ID MATCH in Release_Track",iserror(vlookup($A51&amp;$B51,'5) Release_Track'!$F:$F&amp;'5) Release_Track'!$G:$G,1,0)),"NO ISRC-CATALOG ID pair MATCH in Release_Track" )</f>
        <v>Refugee (From "Daana Paani" Soundtrack)</v>
      </c>
      <c r="D51" s="121" t="str">
        <f t="array" ref="D51">ifs(and(isblank($A51),isblank($B51)),"", not(iserror(vlookup($A51&amp;$B51,'5) Release_Track'!$F:$F&amp;'5) Release_Track'!$G:$G,1,0))),vlookup($A51&amp;$B51,{'5) Release_Track'!$F:$F&amp;'5) Release_Track'!$G:$G,'5) Release_Track'!$I:$I},2,0), or(and(not(isblank($B51)),$B51=$B50,$A51&lt;&gt;$A50),and(not(isblank($A51)),$A51=$A50,$B51&lt;&gt;$B50)),"ID LISTS UNALIGNED",and($A51&lt;&gt;"",countif('5) Release_Track'!$F:$F,$A51)=0),"NO ISRC MATCH in Release_Track",and($B51&lt;&gt;"",countif('5) Release_Track'!$G:$G,$B51)=0),"NO CATALOG ID MATCH in Release_Track",iserror(vlookup($A51&amp;$B51,'5) Release_Track'!$F:$F&amp;'5) Release_Track'!$G:$G,1,0)),"NO ISRC-CATALOG ID pair MATCH in Release_Track" )</f>
        <v/>
      </c>
      <c r="E51" s="142" t="b">
        <v>0</v>
      </c>
      <c r="F51" s="142" t="b">
        <v>0</v>
      </c>
      <c r="G51" s="142" t="b">
        <v>0</v>
      </c>
      <c r="H51" s="142" t="b">
        <v>0</v>
      </c>
      <c r="I51" s="142" t="b">
        <v>0</v>
      </c>
      <c r="J51" s="142" t="b">
        <v>0</v>
      </c>
      <c r="K51" s="142" t="b">
        <v>0</v>
      </c>
      <c r="L51" s="8" t="b">
        <v>1</v>
      </c>
      <c r="Q51" s="99" t="str">
        <f>VLOOKUP(A51,'5) Release_Track'!F:F,1,0)</f>
        <v>COL5K1801503</v>
      </c>
    </row>
    <row r="52">
      <c r="A52" s="51" t="s">
        <v>456</v>
      </c>
      <c r="B52" s="103"/>
      <c r="C52" s="121" t="str">
        <f t="array" ref="C52">ifs(and(isblank($A52),isblank($B52)),"", not(iserror(vlookup($A52&amp;$B52,'5) Release_Track'!$F:$F&amp;'5) Release_Track'!$G:$G,1,0))),vlookup($A52&amp;$B52,{'5) Release_Track'!$F:$F&amp;'5) Release_Track'!$G:$G,'5) Release_Track'!$H:$H},2,0), or(and(not(isblank($B52)),$B52=$B51,$A52&lt;&gt;$A51),and(not(isblank($A52)),$A52=$A51,$B52&lt;&gt;$B51)),"ID LISTS UNALIGNED",and($A52&lt;&gt;"",countif('5) Release_Track'!$F:$F,$A52)=0),"NO ISRC MATCH in Release_Track",and($B52&lt;&gt;"",countif('5) Release_Track'!$G:$G,$B52)=0),"NO CATALOG ID MATCH in Release_Track",iserror(vlookup($A52&amp;$B52,'5) Release_Track'!$F:$F&amp;'5) Release_Track'!$G:$G,1,0)),"NO ISRC-CATALOG ID pair MATCH in Release_Track" )</f>
        <v>Saah (From "Lahoriye" Soundtrack)</v>
      </c>
      <c r="D52" s="121" t="str">
        <f t="array" ref="D52">ifs(and(isblank($A52),isblank($B52)),"", not(iserror(vlookup($A52&amp;$B52,'5) Release_Track'!$F:$F&amp;'5) Release_Track'!$G:$G,1,0))),vlookup($A52&amp;$B52,{'5) Release_Track'!$F:$F&amp;'5) Release_Track'!$G:$G,'5) Release_Track'!$I:$I},2,0), or(and(not(isblank($B52)),$B52=$B51,$A52&lt;&gt;$A51),and(not(isblank($A52)),$A52=$A51,$B52&lt;&gt;$B51)),"ID LISTS UNALIGNED",and($A52&lt;&gt;"",countif('5) Release_Track'!$F:$F,$A52)=0),"NO ISRC MATCH in Release_Track",and($B52&lt;&gt;"",countif('5) Release_Track'!$G:$G,$B52)=0),"NO CATALOG ID MATCH in Release_Track",iserror(vlookup($A52&amp;$B52,'5) Release_Track'!$F:$F&amp;'5) Release_Track'!$G:$G,1,0)),"NO ISRC-CATALOG ID pair MATCH in Release_Track" )</f>
        <v/>
      </c>
      <c r="E52" s="142" t="b">
        <v>0</v>
      </c>
      <c r="F52" s="142" t="b">
        <v>0</v>
      </c>
      <c r="G52" s="142" t="b">
        <v>0</v>
      </c>
      <c r="H52" s="142" t="b">
        <v>0</v>
      </c>
      <c r="I52" s="142" t="b">
        <v>0</v>
      </c>
      <c r="J52" s="142" t="b">
        <v>0</v>
      </c>
      <c r="K52" s="142" t="b">
        <v>0</v>
      </c>
      <c r="L52" s="8" t="b">
        <v>1</v>
      </c>
      <c r="Q52" s="99" t="str">
        <f>VLOOKUP(A52,'5) Release_Track'!F:F,1,0)</f>
        <v>COL5K1701107</v>
      </c>
    </row>
    <row r="53">
      <c r="A53" s="51" t="s">
        <v>458</v>
      </c>
      <c r="B53" s="103"/>
      <c r="C53" s="121" t="str">
        <f t="array" ref="C53">ifs(and(isblank($A53),isblank($B53)),"", not(iserror(vlookup($A53&amp;$B53,'5) Release_Track'!$F:$F&amp;'5) Release_Track'!$G:$G,1,0))),vlookup($A53&amp;$B53,{'5) Release_Track'!$F:$F&amp;'5) Release_Track'!$G:$G,'5) Release_Track'!$H:$H},2,0), or(and(not(isblank($B53)),$B53=$B52,$A53&lt;&gt;$A52),and(not(isblank($A53)),$A53=$A52,$B53&lt;&gt;$B52)),"ID LISTS UNALIGNED",and($A53&lt;&gt;"",countif('5) Release_Track'!$F:$F,$A53)=0),"NO ISRC MATCH in Release_Track",and($B53&lt;&gt;"",countif('5) Release_Track'!$G:$G,$B53)=0),"NO CATALOG ID MATCH in Release_Track",iserror(vlookup($A53&amp;$B53,'5) Release_Track'!$F:$F&amp;'5) Release_Track'!$G:$G,1,0)),"NO ISRC-CATALOG ID pair MATCH in Release_Track" )</f>
        <v>Sarkaare (From "Golak Bugni Bank Te Batua" Soundtrack)</v>
      </c>
      <c r="D53" s="121" t="str">
        <f t="array" ref="D53">ifs(and(isblank($A53),isblank($B53)),"", not(iserror(vlookup($A53&amp;$B53,'5) Release_Track'!$F:$F&amp;'5) Release_Track'!$G:$G,1,0))),vlookup($A53&amp;$B53,{'5) Release_Track'!$F:$F&amp;'5) Release_Track'!$G:$G,'5) Release_Track'!$I:$I},2,0), or(and(not(isblank($B53)),$B53=$B52,$A53&lt;&gt;$A52),and(not(isblank($A53)),$A53=$A52,$B53&lt;&gt;$B52)),"ID LISTS UNALIGNED",and($A53&lt;&gt;"",countif('5) Release_Track'!$F:$F,$A53)=0),"NO ISRC MATCH in Release_Track",and($B53&lt;&gt;"",countif('5) Release_Track'!$G:$G,$B53)=0),"NO CATALOG ID MATCH in Release_Track",iserror(vlookup($A53&amp;$B53,'5) Release_Track'!$F:$F&amp;'5) Release_Track'!$G:$G,1,0)),"NO ISRC-CATALOG ID pair MATCH in Release_Track" )</f>
        <v/>
      </c>
      <c r="E53" s="142" t="b">
        <v>0</v>
      </c>
      <c r="F53" s="142" t="b">
        <v>0</v>
      </c>
      <c r="G53" s="142" t="b">
        <v>0</v>
      </c>
      <c r="H53" s="142" t="b">
        <v>0</v>
      </c>
      <c r="I53" s="142" t="b">
        <v>0</v>
      </c>
      <c r="J53" s="142" t="b">
        <v>0</v>
      </c>
      <c r="K53" s="142" t="b">
        <v>0</v>
      </c>
      <c r="L53" s="8" t="b">
        <v>1</v>
      </c>
      <c r="Q53" s="99" t="str">
        <f>VLOOKUP(A53,'5) Release_Track'!F:F,1,0)</f>
        <v>COL5K1701406</v>
      </c>
    </row>
    <row r="54">
      <c r="A54" s="51" t="s">
        <v>460</v>
      </c>
      <c r="B54" s="103"/>
      <c r="C54" s="121" t="str">
        <f t="array" ref="C54">ifs(and(isblank($A54),isblank($B54)),"", not(iserror(vlookup($A54&amp;$B54,'5) Release_Track'!$F:$F&amp;'5) Release_Track'!$G:$G,1,0))),vlookup($A54&amp;$B54,{'5) Release_Track'!$F:$F&amp;'5) Release_Track'!$G:$G,'5) Release_Track'!$H:$H},2,0), or(and(not(isblank($B54)),$B54=$B53,$A54&lt;&gt;$A53),and(not(isblank($A54)),$A54=$A53,$B54&lt;&gt;$B53)),"ID LISTS UNALIGNED",and($A54&lt;&gt;"",countif('5) Release_Track'!$F:$F,$A54)=0),"NO ISRC MATCH in Release_Track",and($B54&lt;&gt;"",countif('5) Release_Track'!$G:$G,$B54)=0),"NO CATALOG ID MATCH in Release_Track",iserror(vlookup($A54&amp;$B54,'5) Release_Track'!$F:$F&amp;'5) Release_Track'!$G:$G,1,0)),"NO ISRC-CATALOG ID pair MATCH in Release_Track" )</f>
        <v>Selfie Photo (From "Golak Bugni Bank Te Batua" Soundtrack)</v>
      </c>
      <c r="D54" s="121" t="str">
        <f t="array" ref="D54">ifs(and(isblank($A54),isblank($B54)),"", not(iserror(vlookup($A54&amp;$B54,'5) Release_Track'!$F:$F&amp;'5) Release_Track'!$G:$G,1,0))),vlookup($A54&amp;$B54,{'5) Release_Track'!$F:$F&amp;'5) Release_Track'!$G:$G,'5) Release_Track'!$I:$I},2,0), or(and(not(isblank($B54)),$B54=$B53,$A54&lt;&gt;$A53),and(not(isblank($A54)),$A54=$A53,$B54&lt;&gt;$B53)),"ID LISTS UNALIGNED",and($A54&lt;&gt;"",countif('5) Release_Track'!$F:$F,$A54)=0),"NO ISRC MATCH in Release_Track",and($B54&lt;&gt;"",countif('5) Release_Track'!$G:$G,$B54)=0),"NO CATALOG ID MATCH in Release_Track",iserror(vlookup($A54&amp;$B54,'5) Release_Track'!$F:$F&amp;'5) Release_Track'!$G:$G,1,0)),"NO ISRC-CATALOG ID pair MATCH in Release_Track" )</f>
        <v/>
      </c>
      <c r="E54" s="142" t="b">
        <v>0</v>
      </c>
      <c r="F54" s="142" t="b">
        <v>0</v>
      </c>
      <c r="G54" s="142" t="b">
        <v>0</v>
      </c>
      <c r="H54" s="142" t="b">
        <v>0</v>
      </c>
      <c r="I54" s="142" t="b">
        <v>0</v>
      </c>
      <c r="J54" s="142" t="b">
        <v>0</v>
      </c>
      <c r="K54" s="142" t="b">
        <v>0</v>
      </c>
      <c r="L54" s="8" t="b">
        <v>1</v>
      </c>
      <c r="Q54" s="99" t="str">
        <f>VLOOKUP(A54,'5) Release_Track'!F:F,1,0)</f>
        <v>COL5K1701402</v>
      </c>
    </row>
    <row r="55">
      <c r="A55" s="51" t="s">
        <v>416</v>
      </c>
      <c r="B55" s="103"/>
      <c r="C55" s="121" t="str">
        <f t="array" ref="C55">ifs(and(isblank($A55),isblank($B55)),"", not(iserror(vlookup($A55&amp;$B55,'5) Release_Track'!$F:$F&amp;'5) Release_Track'!$G:$G,1,0))),vlookup($A55&amp;$B55,{'5) Release_Track'!$F:$F&amp;'5) Release_Track'!$G:$G,'5) Release_Track'!$H:$H},2,0), or(and(not(isblank($B55)),$B55=$B54,$A55&lt;&gt;$A54),and(not(isblank($A55)),$A55=$A54,$B55&lt;&gt;$B54)),"ID LISTS UNALIGNED",and($A55&lt;&gt;"",countif('5) Release_Track'!$F:$F,$A55)=0),"NO ISRC MATCH in Release_Track",and($B55&lt;&gt;"",countif('5) Release_Track'!$G:$G,$B55)=0),"NO CATALOG ID MATCH in Release_Track",iserror(vlookup($A55&amp;$B55,'5) Release_Track'!$F:$F&amp;'5) Release_Track'!$G:$G,1,0)),"NO ISRC-CATALOG ID pair MATCH in Release_Track" )</f>
        <v>Shaan Vakhri</v>
      </c>
      <c r="D55" s="121" t="str">
        <f t="array" ref="D55">ifs(and(isblank($A55),isblank($B55)),"", not(iserror(vlookup($A55&amp;$B55,'5) Release_Track'!$F:$F&amp;'5) Release_Track'!$G:$G,1,0))),vlookup($A55&amp;$B55,{'5) Release_Track'!$F:$F&amp;'5) Release_Track'!$G:$G,'5) Release_Track'!$I:$I},2,0), or(and(not(isblank($B55)),$B55=$B54,$A55&lt;&gt;$A54),and(not(isblank($A55)),$A55=$A54,$B55&lt;&gt;$B54)),"ID LISTS UNALIGNED",and($A55&lt;&gt;"",countif('5) Release_Track'!$F:$F,$A55)=0),"NO ISRC MATCH in Release_Track",and($B55&lt;&gt;"",countif('5) Release_Track'!$G:$G,$B55)=0),"NO CATALOG ID MATCH in Release_Track",iserror(vlookup($A55&amp;$B55,'5) Release_Track'!$F:$F&amp;'5) Release_Track'!$G:$G,1,0)),"NO ISRC-CATALOG ID pair MATCH in Release_Track" )</f>
        <v/>
      </c>
      <c r="E55" s="142" t="b">
        <v>0</v>
      </c>
      <c r="F55" s="142" t="b">
        <v>0</v>
      </c>
      <c r="G55" s="142" t="b">
        <v>0</v>
      </c>
      <c r="H55" s="142" t="b">
        <v>0</v>
      </c>
      <c r="I55" s="142" t="b">
        <v>0</v>
      </c>
      <c r="J55" s="142" t="b">
        <v>0</v>
      </c>
      <c r="K55" s="142" t="b">
        <v>0</v>
      </c>
      <c r="L55" s="8" t="b">
        <v>1</v>
      </c>
      <c r="Q55" s="99" t="str">
        <f>VLOOKUP(A55,'5) Release_Track'!F:F,1,0)</f>
        <v>COL5K1600602</v>
      </c>
    </row>
    <row r="56">
      <c r="A56" s="51" t="s">
        <v>462</v>
      </c>
      <c r="B56" s="103"/>
      <c r="C56" s="121" t="str">
        <f t="array" ref="C56">ifs(and(isblank($A56),isblank($B56)),"", not(iserror(vlookup($A56&amp;$B56,'5) Release_Track'!$F:$F&amp;'5) Release_Track'!$G:$G,1,0))),vlookup($A56&amp;$B56,{'5) Release_Track'!$F:$F&amp;'5) Release_Track'!$G:$G,'5) Release_Track'!$H:$H},2,0), or(and(not(isblank($B56)),$B56=$B55,$A56&lt;&gt;$A55),and(not(isblank($A56)),$A56=$A55,$B56&lt;&gt;$B55)),"ID LISTS UNALIGNED",and($A56&lt;&gt;"",countif('5) Release_Track'!$F:$F,$A56)=0),"NO ISRC MATCH in Release_Track",and($B56&lt;&gt;"",countif('5) Release_Track'!$G:$G,$B56)=0),"NO CATALOG ID MATCH in Release_Track",iserror(vlookup($A56&amp;$B56,'5) Release_Track'!$F:$F&amp;'5) Release_Track'!$G:$G,1,0)),"NO ISRC-CATALOG ID pair MATCH in Release_Track" )</f>
        <v>Sukh Da Saah (From "Vekh Baraatan Challiyan" Soundtrack)</v>
      </c>
      <c r="D56" s="121" t="str">
        <f t="array" ref="D56">ifs(and(isblank($A56),isblank($B56)),"", not(iserror(vlookup($A56&amp;$B56,'5) Release_Track'!$F:$F&amp;'5) Release_Track'!$G:$G,1,0))),vlookup($A56&amp;$B56,{'5) Release_Track'!$F:$F&amp;'5) Release_Track'!$G:$G,'5) Release_Track'!$I:$I},2,0), or(and(not(isblank($B56)),$B56=$B55,$A56&lt;&gt;$A55),and(not(isblank($A56)),$A56=$A55,$B56&lt;&gt;$B55)),"ID LISTS UNALIGNED",and($A56&lt;&gt;"",countif('5) Release_Track'!$F:$F,$A56)=0),"NO ISRC MATCH in Release_Track",and($B56&lt;&gt;"",countif('5) Release_Track'!$G:$G,$B56)=0),"NO CATALOG ID MATCH in Release_Track",iserror(vlookup($A56&amp;$B56,'5) Release_Track'!$F:$F&amp;'5) Release_Track'!$G:$G,1,0)),"NO ISRC-CATALOG ID pair MATCH in Release_Track" )</f>
        <v/>
      </c>
      <c r="E56" s="142" t="b">
        <v>0</v>
      </c>
      <c r="F56" s="142" t="b">
        <v>0</v>
      </c>
      <c r="G56" s="142" t="b">
        <v>0</v>
      </c>
      <c r="H56" s="142" t="b">
        <v>0</v>
      </c>
      <c r="I56" s="142" t="b">
        <v>0</v>
      </c>
      <c r="J56" s="142" t="b">
        <v>0</v>
      </c>
      <c r="K56" s="142" t="b">
        <v>0</v>
      </c>
      <c r="L56" s="8" t="b">
        <v>1</v>
      </c>
      <c r="Q56" s="99" t="str">
        <f>VLOOKUP(A56,'5) Release_Track'!F:F,1,0)</f>
        <v>COL5K1701202</v>
      </c>
    </row>
    <row r="57">
      <c r="A57" s="51" t="s">
        <v>464</v>
      </c>
      <c r="B57" s="103"/>
      <c r="C57" s="121" t="str">
        <f t="array" ref="C57">ifs(and(isblank($A57),isblank($B57)),"", not(iserror(vlookup($A57&amp;$B57,'5) Release_Track'!$F:$F&amp;'5) Release_Track'!$G:$G,1,0))),vlookup($A57&amp;$B57,{'5) Release_Track'!$F:$F&amp;'5) Release_Track'!$G:$G,'5) Release_Track'!$H:$H},2,0), or(and(not(isblank($B57)),$B57=$B56,$A57&lt;&gt;$A56),and(not(isblank($A57)),$A57=$A56,$B57&lt;&gt;$B56)),"ID LISTS UNALIGNED",and($A57&lt;&gt;"",countif('5) Release_Track'!$F:$F,$A57)=0),"NO ISRC MATCH in Release_Track",and($B57&lt;&gt;"",countif('5) Release_Track'!$G:$G,$B57)=0),"NO CATALOG ID MATCH in Release_Track",iserror(vlookup($A57&amp;$B57,'5) Release_Track'!$F:$F&amp;'5) Release_Track'!$G:$G,1,0)),"NO ISRC-CATALOG ID pair MATCH in Release_Track" )</f>
        <v>Sun Hawa Dya Bulleya (From "Bhalwan Singh" Soundtrack)</v>
      </c>
      <c r="D57" s="121" t="str">
        <f t="array" ref="D57">ifs(and(isblank($A57),isblank($B57)),"", not(iserror(vlookup($A57&amp;$B57,'5) Release_Track'!$F:$F&amp;'5) Release_Track'!$G:$G,1,0))),vlookup($A57&amp;$B57,{'5) Release_Track'!$F:$F&amp;'5) Release_Track'!$G:$G,'5) Release_Track'!$I:$I},2,0), or(and(not(isblank($B57)),$B57=$B56,$A57&lt;&gt;$A56),and(not(isblank($A57)),$A57=$A56,$B57&lt;&gt;$B56)),"ID LISTS UNALIGNED",and($A57&lt;&gt;"",countif('5) Release_Track'!$F:$F,$A57)=0),"NO ISRC MATCH in Release_Track",and($B57&lt;&gt;"",countif('5) Release_Track'!$G:$G,$B57)=0),"NO CATALOG ID MATCH in Release_Track",iserror(vlookup($A57&amp;$B57,'5) Release_Track'!$F:$F&amp;'5) Release_Track'!$G:$G,1,0)),"NO ISRC-CATALOG ID pair MATCH in Release_Track" )</f>
        <v/>
      </c>
      <c r="E57" s="142" t="b">
        <v>0</v>
      </c>
      <c r="F57" s="142" t="b">
        <v>0</v>
      </c>
      <c r="G57" s="142" t="b">
        <v>0</v>
      </c>
      <c r="H57" s="142" t="b">
        <v>0</v>
      </c>
      <c r="I57" s="142" t="b">
        <v>0</v>
      </c>
      <c r="J57" s="142" t="b">
        <v>0</v>
      </c>
      <c r="K57" s="142" t="b">
        <v>0</v>
      </c>
      <c r="L57" s="8" t="b">
        <v>1</v>
      </c>
      <c r="Q57" s="99" t="str">
        <f>VLOOKUP(A57,'5) Release_Track'!F:F,1,0)</f>
        <v>COL5K1701305</v>
      </c>
    </row>
    <row r="58">
      <c r="A58" s="51" t="s">
        <v>466</v>
      </c>
      <c r="B58" s="103"/>
      <c r="C58" s="121" t="str">
        <f t="array" ref="C58">ifs(and(isblank($A58),isblank($B58)),"", not(iserror(vlookup($A58&amp;$B58,'5) Release_Track'!$F:$F&amp;'5) Release_Track'!$G:$G,1,0))),vlookup($A58&amp;$B58,{'5) Release_Track'!$F:$F&amp;'5) Release_Track'!$G:$G,'5) Release_Track'!$H:$H},2,0), or(and(not(isblank($B58)),$B58=$B57,$A58&lt;&gt;$A57),and(not(isblank($A58)),$A58=$A57,$B58&lt;&gt;$B57)),"ID LISTS UNALIGNED",and($A58&lt;&gt;"",countif('5) Release_Track'!$F:$F,$A58)=0),"NO ISRC MATCH in Release_Track",and($B58&lt;&gt;"",countif('5) Release_Track'!$G:$G,$B58)=0),"NO CATALOG ID MATCH in Release_Track",iserror(vlookup($A58&amp;$B58,'5) Release_Track'!$F:$F&amp;'5) Release_Track'!$G:$G,1,0)),"NO ISRC-CATALOG ID pair MATCH in Release_Track" )</f>
        <v>Supna</v>
      </c>
      <c r="D58" s="121" t="str">
        <f t="array" ref="D58">ifs(and(isblank($A58),isblank($B58)),"", not(iserror(vlookup($A58&amp;$B58,'5) Release_Track'!$F:$F&amp;'5) Release_Track'!$G:$G,1,0))),vlookup($A58&amp;$B58,{'5) Release_Track'!$F:$F&amp;'5) Release_Track'!$G:$G,'5) Release_Track'!$I:$I},2,0), or(and(not(isblank($B58)),$B58=$B57,$A58&lt;&gt;$A57),and(not(isblank($A58)),$A58=$A57,$B58&lt;&gt;$B57)),"ID LISTS UNALIGNED",and($A58&lt;&gt;"",countif('5) Release_Track'!$F:$F,$A58)=0),"NO ISRC MATCH in Release_Track",and($B58&lt;&gt;"",countif('5) Release_Track'!$G:$G,$B58)=0),"NO CATALOG ID MATCH in Release_Track",iserror(vlookup($A58&amp;$B58,'5) Release_Track'!$F:$F&amp;'5) Release_Track'!$G:$G,1,0)),"NO ISRC-CATALOG ID pair MATCH in Release_Track" )</f>
        <v/>
      </c>
      <c r="E58" s="142" t="b">
        <v>0</v>
      </c>
      <c r="F58" s="142" t="b">
        <v>0</v>
      </c>
      <c r="G58" s="142" t="b">
        <v>0</v>
      </c>
      <c r="H58" s="142" t="b">
        <v>0</v>
      </c>
      <c r="I58" s="142" t="b">
        <v>0</v>
      </c>
      <c r="J58" s="142" t="b">
        <v>0</v>
      </c>
      <c r="K58" s="142" t="b">
        <v>0</v>
      </c>
      <c r="L58" s="8" t="b">
        <v>1</v>
      </c>
      <c r="Q58" s="99" t="str">
        <f>VLOOKUP(A58,'5) Release_Track'!F:F,1,0)</f>
        <v>COL5K1500501</v>
      </c>
    </row>
    <row r="59">
      <c r="A59" s="51" t="s">
        <v>468</v>
      </c>
      <c r="B59" s="103"/>
      <c r="C59" s="121" t="str">
        <f t="array" ref="C59">ifs(and(isblank($A59),isblank($B59)),"", not(iserror(vlookup($A59&amp;$B59,'5) Release_Track'!$F:$F&amp;'5) Release_Track'!$G:$G,1,0))),vlookup($A59&amp;$B59,{'5) Release_Track'!$F:$F&amp;'5) Release_Track'!$G:$G,'5) Release_Track'!$H:$H},2,0), or(and(not(isblank($B59)),$B59=$B58,$A59&lt;&gt;$A58),and(not(isblank($A59)),$A59=$A58,$B59&lt;&gt;$B58)),"ID LISTS UNALIGNED",and($A59&lt;&gt;"",countif('5) Release_Track'!$F:$F,$A59)=0),"NO ISRC MATCH in Release_Track",and($B59&lt;&gt;"",countif('5) Release_Track'!$G:$G,$B59)=0),"NO CATALOG ID MATCH in Release_Track",iserror(vlookup($A59&amp;$B59,'5) Release_Track'!$F:$F&amp;'5) Release_Track'!$G:$G,1,0)),"NO ISRC-CATALOG ID pair MATCH in Release_Track" )</f>
        <v>Tarakiyaan</v>
      </c>
      <c r="D59" s="121" t="str">
        <f t="array" ref="D59">ifs(and(isblank($A59),isblank($B59)),"", not(iserror(vlookup($A59&amp;$B59,'5) Release_Track'!$F:$F&amp;'5) Release_Track'!$G:$G,1,0))),vlookup($A59&amp;$B59,{'5) Release_Track'!$F:$F&amp;'5) Release_Track'!$G:$G,'5) Release_Track'!$I:$I},2,0), or(and(not(isblank($B59)),$B59=$B58,$A59&lt;&gt;$A58),and(not(isblank($A59)),$A59=$A58,$B59&lt;&gt;$B58)),"ID LISTS UNALIGNED",and($A59&lt;&gt;"",countif('5) Release_Track'!$F:$F,$A59)=0),"NO ISRC MATCH in Release_Track",and($B59&lt;&gt;"",countif('5) Release_Track'!$G:$G,$B59)=0),"NO CATALOG ID MATCH in Release_Track",iserror(vlookup($A59&amp;$B59,'5) Release_Track'!$F:$F&amp;'5) Release_Track'!$G:$G,1,0)),"NO ISRC-CATALOG ID pair MATCH in Release_Track" )</f>
        <v/>
      </c>
      <c r="E59" s="142" t="b">
        <v>0</v>
      </c>
      <c r="F59" s="142" t="b">
        <v>0</v>
      </c>
      <c r="G59" s="142" t="b">
        <v>0</v>
      </c>
      <c r="H59" s="142" t="b">
        <v>0</v>
      </c>
      <c r="I59" s="142" t="b">
        <v>0</v>
      </c>
      <c r="J59" s="142" t="b">
        <v>0</v>
      </c>
      <c r="K59" s="142" t="b">
        <v>0</v>
      </c>
      <c r="L59" s="8" t="b">
        <v>1</v>
      </c>
      <c r="Q59" s="99" t="str">
        <f>VLOOKUP(A59,'5) Release_Track'!F:F,1,0)</f>
        <v>COL5K1701001</v>
      </c>
    </row>
    <row r="60">
      <c r="A60" s="51" t="s">
        <v>470</v>
      </c>
      <c r="B60" s="103"/>
      <c r="C60" s="121" t="str">
        <f t="array" ref="C60">ifs(and(isblank($A60),isblank($B60)),"", not(iserror(vlookup($A60&amp;$B60,'5) Release_Track'!$F:$F&amp;'5) Release_Track'!$G:$G,1,0))),vlookup($A60&amp;$B60,{'5) Release_Track'!$F:$F&amp;'5) Release_Track'!$G:$G,'5) Release_Track'!$H:$H},2,0), or(and(not(isblank($B60)),$B60=$B59,$A60&lt;&gt;$A59),and(not(isblank($A60)),$A60=$A59,$B60&lt;&gt;$B59)),"ID LISTS UNALIGNED",and($A60&lt;&gt;"",countif('5) Release_Track'!$F:$F,$A60)=0),"NO ISRC MATCH in Release_Track",and($B60&lt;&gt;"",countif('5) Release_Track'!$G:$G,$B60)=0),"NO CATALOG ID MATCH in Release_Track",iserror(vlookup($A60&amp;$B60,'5) Release_Track'!$F:$F&amp;'5) Release_Track'!$G:$G,1,0)),"NO ISRC-CATALOG ID pair MATCH in Release_Track" )</f>
        <v>Tu Te Main (From "Golak Bugni Bank Te Batua" Soundtrack)</v>
      </c>
      <c r="D60" s="121" t="str">
        <f t="array" ref="D60">ifs(and(isblank($A60),isblank($B60)),"", not(iserror(vlookup($A60&amp;$B60,'5) Release_Track'!$F:$F&amp;'5) Release_Track'!$G:$G,1,0))),vlookup($A60&amp;$B60,{'5) Release_Track'!$F:$F&amp;'5) Release_Track'!$G:$G,'5) Release_Track'!$I:$I},2,0), or(and(not(isblank($B60)),$B60=$B59,$A60&lt;&gt;$A59),and(not(isblank($A60)),$A60=$A59,$B60&lt;&gt;$B59)),"ID LISTS UNALIGNED",and($A60&lt;&gt;"",countif('5) Release_Track'!$F:$F,$A60)=0),"NO ISRC MATCH in Release_Track",and($B60&lt;&gt;"",countif('5) Release_Track'!$G:$G,$B60)=0),"NO CATALOG ID MATCH in Release_Track",iserror(vlookup($A60&amp;$B60,'5) Release_Track'!$F:$F&amp;'5) Release_Track'!$G:$G,1,0)),"NO ISRC-CATALOG ID pair MATCH in Release_Track" )</f>
        <v/>
      </c>
      <c r="E60" s="142" t="b">
        <v>0</v>
      </c>
      <c r="F60" s="142" t="b">
        <v>0</v>
      </c>
      <c r="G60" s="142" t="b">
        <v>0</v>
      </c>
      <c r="H60" s="142" t="b">
        <v>0</v>
      </c>
      <c r="I60" s="142" t="b">
        <v>0</v>
      </c>
      <c r="J60" s="142" t="b">
        <v>0</v>
      </c>
      <c r="K60" s="142" t="b">
        <v>0</v>
      </c>
      <c r="L60" s="8" t="b">
        <v>1</v>
      </c>
      <c r="Q60" s="99" t="str">
        <f>VLOOKUP(A60,'5) Release_Track'!F:F,1,0)</f>
        <v>COL5K1701404</v>
      </c>
    </row>
    <row r="61">
      <c r="A61" s="51" t="s">
        <v>472</v>
      </c>
      <c r="B61" s="103"/>
      <c r="C61" s="121" t="str">
        <f t="array" ref="C61">ifs(and(isblank($A61),isblank($B61)),"", not(iserror(vlookup($A61&amp;$B61,'5) Release_Track'!$F:$F&amp;'5) Release_Track'!$G:$G,1,0))),vlookup($A61&amp;$B61,{'5) Release_Track'!$F:$F&amp;'5) Release_Track'!$G:$G,'5) Release_Track'!$H:$H},2,0), or(and(not(isblank($B61)),$B61=$B60,$A61&lt;&gt;$A60),and(not(isblank($A61)),$A61=$A60,$B61&lt;&gt;$B60)),"ID LISTS UNALIGNED",and($A61&lt;&gt;"",countif('5) Release_Track'!$F:$F,$A61)=0),"NO ISRC MATCH in Release_Track",and($B61&lt;&gt;"",countif('5) Release_Track'!$G:$G,$B61)=0),"NO CATALOG ID MATCH in Release_Track",iserror(vlookup($A61&amp;$B61,'5) Release_Track'!$F:$F&amp;'5) Release_Track'!$G:$G,1,0)),"NO ISRC-CATALOG ID pair MATCH in Release_Track" )</f>
        <v>Vaar (From "Bhalwan Singh" Soundtrack)</v>
      </c>
      <c r="D61" s="121" t="str">
        <f t="array" ref="D61">ifs(and(isblank($A61),isblank($B61)),"", not(iserror(vlookup($A61&amp;$B61,'5) Release_Track'!$F:$F&amp;'5) Release_Track'!$G:$G,1,0))),vlookup($A61&amp;$B61,{'5) Release_Track'!$F:$F&amp;'5) Release_Track'!$G:$G,'5) Release_Track'!$I:$I},2,0), or(and(not(isblank($B61)),$B61=$B60,$A61&lt;&gt;$A60),and(not(isblank($A61)),$A61=$A60,$B61&lt;&gt;$B60)),"ID LISTS UNALIGNED",and($A61&lt;&gt;"",countif('5) Release_Track'!$F:$F,$A61)=0),"NO ISRC MATCH in Release_Track",and($B61&lt;&gt;"",countif('5) Release_Track'!$G:$G,$B61)=0),"NO CATALOG ID MATCH in Release_Track",iserror(vlookup($A61&amp;$B61,'5) Release_Track'!$F:$F&amp;'5) Release_Track'!$G:$G,1,0)),"NO ISRC-CATALOG ID pair MATCH in Release_Track" )</f>
        <v/>
      </c>
      <c r="E61" s="142" t="b">
        <v>0</v>
      </c>
      <c r="F61" s="142" t="b">
        <v>0</v>
      </c>
      <c r="G61" s="142" t="b">
        <v>0</v>
      </c>
      <c r="H61" s="142" t="b">
        <v>0</v>
      </c>
      <c r="I61" s="142" t="b">
        <v>0</v>
      </c>
      <c r="J61" s="142" t="b">
        <v>0</v>
      </c>
      <c r="K61" s="142" t="b">
        <v>0</v>
      </c>
      <c r="L61" s="8" t="b">
        <v>1</v>
      </c>
      <c r="Q61" s="99" t="str">
        <f>VLOOKUP(A61,'5) Release_Track'!F:F,1,0)</f>
        <v>COL5K1701304</v>
      </c>
    </row>
    <row r="62">
      <c r="A62" s="51" t="s">
        <v>376</v>
      </c>
      <c r="B62" s="103"/>
      <c r="C62" s="121" t="str">
        <f t="array" ref="C62">ifs(and(isblank($A62),isblank($B62)),"", not(iserror(vlookup($A62&amp;$B62,'5) Release_Track'!$F:$F&amp;'5) Release_Track'!$G:$G,1,0))),vlookup($A62&amp;$B62,{'5) Release_Track'!$F:$F&amp;'5) Release_Track'!$G:$G,'5) Release_Track'!$H:$H},2,0), or(and(not(isblank($B62)),$B62=$B61,$A62&lt;&gt;$A61),and(not(isblank($A62)),$A62=$A61,$B62&lt;&gt;$B61)),"ID LISTS UNALIGNED",and($A62&lt;&gt;"",countif('5) Release_Track'!$F:$F,$A62)=0),"NO ISRC MATCH in Release_Track",and($B62&lt;&gt;"",countif('5) Release_Track'!$G:$G,$B62)=0),"NO CATALOG ID MATCH in Release_Track",iserror(vlookup($A62&amp;$B62,'5) Release_Track'!$F:$F&amp;'5) Release_Track'!$G:$G,1,0)),"NO ISRC-CATALOG ID pair MATCH in Release_Track" )</f>
        <v>Vanjhali Vaja</v>
      </c>
      <c r="D62" s="121" t="str">
        <f t="array" ref="D62">ifs(and(isblank($A62),isblank($B62)),"", not(iserror(vlookup($A62&amp;$B62,'5) Release_Track'!$F:$F&amp;'5) Release_Track'!$G:$G,1,0))),vlookup($A62&amp;$B62,{'5) Release_Track'!$F:$F&amp;'5) Release_Track'!$G:$G,'5) Release_Track'!$I:$I},2,0), or(and(not(isblank($B62)),$B62=$B61,$A62&lt;&gt;$A61),and(not(isblank($A62)),$A62=$A61,$B62&lt;&gt;$B61)),"ID LISTS UNALIGNED",and($A62&lt;&gt;"",countif('5) Release_Track'!$F:$F,$A62)=0),"NO ISRC MATCH in Release_Track",and($B62&lt;&gt;"",countif('5) Release_Track'!$G:$G,$B62)=0),"NO CATALOG ID MATCH in Release_Track",iserror(vlookup($A62&amp;$B62,'5) Release_Track'!$F:$F&amp;'5) Release_Track'!$G:$G,1,0)),"NO ISRC-CATALOG ID pair MATCH in Release_Track" )</f>
        <v/>
      </c>
      <c r="E62" s="142" t="b">
        <v>0</v>
      </c>
      <c r="F62" s="142" t="b">
        <v>0</v>
      </c>
      <c r="G62" s="142" t="b">
        <v>0</v>
      </c>
      <c r="H62" s="142" t="b">
        <v>0</v>
      </c>
      <c r="I62" s="142" t="b">
        <v>0</v>
      </c>
      <c r="J62" s="142" t="b">
        <v>0</v>
      </c>
      <c r="K62" s="142" t="b">
        <v>0</v>
      </c>
      <c r="L62" s="8" t="b">
        <v>1</v>
      </c>
      <c r="Q62" s="99" t="str">
        <f>VLOOKUP(A62,'5) Release_Track'!F:F,1,0)</f>
        <v>COL5K1500302</v>
      </c>
    </row>
    <row r="63">
      <c r="A63" s="51" t="s">
        <v>474</v>
      </c>
      <c r="B63" s="103"/>
      <c r="C63" s="121" t="str">
        <f t="array" ref="C63">ifs(and(isblank($A63),isblank($B63)),"", not(iserror(vlookup($A63&amp;$B63,'5) Release_Track'!$F:$F&amp;'5) Release_Track'!$G:$G,1,0))),vlookup($A63&amp;$B63,{'5) Release_Track'!$F:$F&amp;'5) Release_Track'!$G:$G,'5) Release_Track'!$H:$H},2,0), or(and(not(isblank($B63)),$B63=$B62,$A63&lt;&gt;$A62),and(not(isblank($A63)),$A63=$A62,$B63&lt;&gt;$B62)),"ID LISTS UNALIGNED",and($A63&lt;&gt;"",countif('5) Release_Track'!$F:$F,$A63)=0),"NO ISRC MATCH in Release_Track",and($B63&lt;&gt;"",countif('5) Release_Track'!$G:$G,$B63)=0),"NO CATALOG ID MATCH in Release_Track",iserror(vlookup($A63&amp;$B63,'5) Release_Track'!$F:$F&amp;'5) Release_Track'!$G:$G,1,0)),"NO ISRC-CATALOG ID pair MATCH in Release_Track" )</f>
        <v>Vekh Baraatan Challiyan - Title Song (From "Vekh Baraatan Challiyan" Soundtrack)</v>
      </c>
      <c r="D63" s="121" t="str">
        <f t="array" ref="D63">ifs(and(isblank($A63),isblank($B63)),"", not(iserror(vlookup($A63&amp;$B63,'5) Release_Track'!$F:$F&amp;'5) Release_Track'!$G:$G,1,0))),vlookup($A63&amp;$B63,{'5) Release_Track'!$F:$F&amp;'5) Release_Track'!$G:$G,'5) Release_Track'!$I:$I},2,0), or(and(not(isblank($B63)),$B63=$B62,$A63&lt;&gt;$A62),and(not(isblank($A63)),$A63=$A62,$B63&lt;&gt;$B62)),"ID LISTS UNALIGNED",and($A63&lt;&gt;"",countif('5) Release_Track'!$F:$F,$A63)=0),"NO ISRC MATCH in Release_Track",and($B63&lt;&gt;"",countif('5) Release_Track'!$G:$G,$B63)=0),"NO CATALOG ID MATCH in Release_Track",iserror(vlookup($A63&amp;$B63,'5) Release_Track'!$F:$F&amp;'5) Release_Track'!$G:$G,1,0)),"NO ISRC-CATALOG ID pair MATCH in Release_Track" )</f>
        <v/>
      </c>
      <c r="E63" s="142" t="b">
        <v>0</v>
      </c>
      <c r="F63" s="142" t="b">
        <v>0</v>
      </c>
      <c r="G63" s="142" t="b">
        <v>0</v>
      </c>
      <c r="H63" s="142" t="b">
        <v>0</v>
      </c>
      <c r="I63" s="142" t="b">
        <v>0</v>
      </c>
      <c r="J63" s="142" t="b">
        <v>0</v>
      </c>
      <c r="K63" s="142" t="b">
        <v>0</v>
      </c>
      <c r="L63" s="8" t="b">
        <v>1</v>
      </c>
      <c r="Q63" s="99" t="str">
        <f>VLOOKUP(A63,'5) Release_Track'!F:F,1,0)</f>
        <v>COL5K1701204</v>
      </c>
    </row>
    <row r="64">
      <c r="A64" s="51" t="s">
        <v>476</v>
      </c>
      <c r="B64" s="103"/>
      <c r="C64" s="121" t="str">
        <f t="array" ref="C64">ifs(and(isblank($A64),isblank($B64)),"", not(iserror(vlookup($A64&amp;$B64,'5) Release_Track'!$F:$F&amp;'5) Release_Track'!$G:$G,1,0))),vlookup($A64&amp;$B64,{'5) Release_Track'!$F:$F&amp;'5) Release_Track'!$G:$G,'5) Release_Track'!$H:$H},2,0), or(and(not(isblank($B64)),$B64=$B63,$A64&lt;&gt;$A63),and(not(isblank($A64)),$A64=$A63,$B64&lt;&gt;$B63)),"ID LISTS UNALIGNED",and($A64&lt;&gt;"",countif('5) Release_Track'!$F:$F,$A64)=0),"NO ISRC MATCH in Release_Track",and($B64&lt;&gt;"",countif('5) Release_Track'!$G:$G,$B64)=0),"NO CATALOG ID MATCH in Release_Track",iserror(vlookup($A64&amp;$B64,'5) Release_Track'!$F:$F&amp;'5) Release_Track'!$G:$G,1,0)),"NO ISRC-CATALOG ID pair MATCH in Release_Track" )</f>
        <v>Leekan (From "Ashke" Soundtrack)</v>
      </c>
      <c r="D64" s="121" t="str">
        <f t="array" ref="D64">ifs(and(isblank($A64),isblank($B64)),"", not(iserror(vlookup($A64&amp;$B64,'5) Release_Track'!$F:$F&amp;'5) Release_Track'!$G:$G,1,0))),vlookup($A64&amp;$B64,{'5) Release_Track'!$F:$F&amp;'5) Release_Track'!$G:$G,'5) Release_Track'!$I:$I},2,0), or(and(not(isblank($B64)),$B64=$B63,$A64&lt;&gt;$A63),and(not(isblank($A64)),$A64=$A63,$B64&lt;&gt;$B63)),"ID LISTS UNALIGNED",and($A64&lt;&gt;"",countif('5) Release_Track'!$F:$F,$A64)=0),"NO ISRC MATCH in Release_Track",and($B64&lt;&gt;"",countif('5) Release_Track'!$G:$G,$B64)=0),"NO CATALOG ID MATCH in Release_Track",iserror(vlookup($A64&amp;$B64,'5) Release_Track'!$F:$F&amp;'5) Release_Track'!$G:$G,1,0)),"NO ISRC-CATALOG ID pair MATCH in Release_Track" )</f>
        <v/>
      </c>
      <c r="E64" s="142" t="b">
        <v>0</v>
      </c>
      <c r="F64" s="142" t="b">
        <v>0</v>
      </c>
      <c r="G64" s="142" t="b">
        <v>0</v>
      </c>
      <c r="H64" s="142" t="b">
        <v>0</v>
      </c>
      <c r="I64" s="142" t="b">
        <v>0</v>
      </c>
      <c r="J64" s="142" t="b">
        <v>0</v>
      </c>
      <c r="K64" s="142" t="b">
        <v>0</v>
      </c>
      <c r="L64" s="8" t="b">
        <v>1</v>
      </c>
      <c r="Q64" s="99" t="str">
        <f>VLOOKUP(A64,'5) Release_Track'!F:F,1,0)</f>
        <v>COL5K1801602</v>
      </c>
    </row>
    <row r="65">
      <c r="A65" s="51" t="s">
        <v>478</v>
      </c>
      <c r="B65" s="103"/>
      <c r="C65" s="121" t="str">
        <f t="array" ref="C65">ifs(and(isblank($A65),isblank($B65)),"", not(iserror(vlookup($A65&amp;$B65,'5) Release_Track'!$F:$F&amp;'5) Release_Track'!$G:$G,1,0))),vlookup($A65&amp;$B65,{'5) Release_Track'!$F:$F&amp;'5) Release_Track'!$G:$G,'5) Release_Track'!$H:$H},2,0), or(and(not(isblank($B65)),$B65=$B64,$A65&lt;&gt;$A64),and(not(isblank($A65)),$A65=$A64,$B65&lt;&gt;$B64)),"ID LISTS UNALIGNED",and($A65&lt;&gt;"",countif('5) Release_Track'!$F:$F,$A65)=0),"NO ISRC MATCH in Release_Track",and($B65&lt;&gt;"",countif('5) Release_Track'!$G:$G,$B65)=0),"NO CATALOG ID MATCH in Release_Track",iserror(vlookup($A65&amp;$B65,'5) Release_Track'!$F:$F&amp;'5) Release_Track'!$G:$G,1,0)),"NO ISRC-CATALOG ID pair MATCH in Release_Track" )</f>
        <v>Handsome Jatta (From "Ashke" Soundtrack)</v>
      </c>
      <c r="D65" s="121" t="str">
        <f t="array" ref="D65">ifs(and(isblank($A65),isblank($B65)),"", not(iserror(vlookup($A65&amp;$B65,'5) Release_Track'!$F:$F&amp;'5) Release_Track'!$G:$G,1,0))),vlookup($A65&amp;$B65,{'5) Release_Track'!$F:$F&amp;'5) Release_Track'!$G:$G,'5) Release_Track'!$I:$I},2,0), or(and(not(isblank($B65)),$B65=$B64,$A65&lt;&gt;$A64),and(not(isblank($A65)),$A65=$A64,$B65&lt;&gt;$B64)),"ID LISTS UNALIGNED",and($A65&lt;&gt;"",countif('5) Release_Track'!$F:$F,$A65)=0),"NO ISRC MATCH in Release_Track",and($B65&lt;&gt;"",countif('5) Release_Track'!$G:$G,$B65)=0),"NO CATALOG ID MATCH in Release_Track",iserror(vlookup($A65&amp;$B65,'5) Release_Track'!$F:$F&amp;'5) Release_Track'!$G:$G,1,0)),"NO ISRC-CATALOG ID pair MATCH in Release_Track" )</f>
        <v/>
      </c>
      <c r="E65" s="142" t="b">
        <v>0</v>
      </c>
      <c r="F65" s="142" t="b">
        <v>0</v>
      </c>
      <c r="G65" s="142" t="b">
        <v>0</v>
      </c>
      <c r="H65" s="142" t="b">
        <v>0</v>
      </c>
      <c r="I65" s="142" t="b">
        <v>0</v>
      </c>
      <c r="J65" s="142" t="b">
        <v>0</v>
      </c>
      <c r="K65" s="142" t="b">
        <v>0</v>
      </c>
      <c r="L65" s="8" t="b">
        <v>1</v>
      </c>
      <c r="Q65" s="99" t="str">
        <f>VLOOKUP(A65,'5) Release_Track'!F:F,1,0)</f>
        <v>COL5K1801601</v>
      </c>
    </row>
    <row r="66">
      <c r="A66" s="51" t="s">
        <v>478</v>
      </c>
      <c r="B66" s="103"/>
      <c r="C66" s="121" t="str">
        <f t="array" ref="C66">ifs(and(isblank($A66),isblank($B66)),"", not(iserror(vlookup($A66&amp;$B66,'5) Release_Track'!$F:$F&amp;'5) Release_Track'!$G:$G,1,0))),vlookup($A66&amp;$B66,{'5) Release_Track'!$F:$F&amp;'5) Release_Track'!$G:$G,'5) Release_Track'!$H:$H},2,0), or(and(not(isblank($B66)),$B66=$B65,$A66&lt;&gt;$A65),and(not(isblank($A66)),$A66=$A65,$B66&lt;&gt;$B65)),"ID LISTS UNALIGNED",and($A66&lt;&gt;"",countif('5) Release_Track'!$F:$F,$A66)=0),"NO ISRC MATCH in Release_Track",and($B66&lt;&gt;"",countif('5) Release_Track'!$G:$G,$B66)=0),"NO CATALOG ID MATCH in Release_Track",iserror(vlookup($A66&amp;$B66,'5) Release_Track'!$F:$F&amp;'5) Release_Track'!$G:$G,1,0)),"NO ISRC-CATALOG ID pair MATCH in Release_Track" )</f>
        <v>Handsome Jatta (From "Ashke" Soundtrack)</v>
      </c>
      <c r="D66" s="121" t="str">
        <f t="array" ref="D66">ifs(and(isblank($A66),isblank($B66)),"", not(iserror(vlookup($A66&amp;$B66,'5) Release_Track'!$F:$F&amp;'5) Release_Track'!$G:$G,1,0))),vlookup($A66&amp;$B66,{'5) Release_Track'!$F:$F&amp;'5) Release_Track'!$G:$G,'5) Release_Track'!$I:$I},2,0), or(and(not(isblank($B66)),$B66=$B65,$A66&lt;&gt;$A65),and(not(isblank($A66)),$A66=$A65,$B66&lt;&gt;$B65)),"ID LISTS UNALIGNED",and($A66&lt;&gt;"",countif('5) Release_Track'!$F:$F,$A66)=0),"NO ISRC MATCH in Release_Track",and($B66&lt;&gt;"",countif('5) Release_Track'!$G:$G,$B66)=0),"NO CATALOG ID MATCH in Release_Track",iserror(vlookup($A66&amp;$B66,'5) Release_Track'!$F:$F&amp;'5) Release_Track'!$G:$G,1,0)),"NO ISRC-CATALOG ID pair MATCH in Release_Track" )</f>
        <v/>
      </c>
      <c r="E66" s="142" t="b">
        <v>0</v>
      </c>
      <c r="F66" s="142" t="b">
        <v>0</v>
      </c>
      <c r="G66" s="142" t="b">
        <v>0</v>
      </c>
      <c r="H66" s="142" t="b">
        <v>0</v>
      </c>
      <c r="I66" s="142" t="b">
        <v>0</v>
      </c>
      <c r="J66" s="142" t="b">
        <v>0</v>
      </c>
      <c r="K66" s="142" t="b">
        <v>0</v>
      </c>
      <c r="L66" s="8" t="b">
        <v>1</v>
      </c>
      <c r="Q66" s="99" t="str">
        <f>VLOOKUP(A66,'5) Release_Track'!F:F,1,0)</f>
        <v>COL5K1801601</v>
      </c>
    </row>
    <row r="67">
      <c r="A67" s="51" t="s">
        <v>480</v>
      </c>
      <c r="B67" s="103"/>
      <c r="C67" s="121" t="str">
        <f t="array" ref="C67">ifs(and(isblank($A67),isblank($B67)),"", not(iserror(vlookup($A67&amp;$B67,'5) Release_Track'!$F:$F&amp;'5) Release_Track'!$G:$G,1,0))),vlookup($A67&amp;$B67,{'5) Release_Track'!$F:$F&amp;'5) Release_Track'!$G:$G,'5) Release_Track'!$H:$H},2,0), or(and(not(isblank($B67)),$B67=$B66,$A67&lt;&gt;$A66),and(not(isblank($A67)),$A67=$A66,$B67&lt;&gt;$B66)),"ID LISTS UNALIGNED",and($A67&lt;&gt;"",countif('5) Release_Track'!$F:$F,$A67)=0),"NO ISRC MATCH in Release_Track",and($B67&lt;&gt;"",countif('5) Release_Track'!$G:$G,$B67)=0),"NO CATALOG ID MATCH in Release_Track",iserror(vlookup($A67&amp;$B67,'5) Release_Track'!$F:$F&amp;'5) Release_Track'!$G:$G,1,0)),"NO ISRC-CATALOG ID pair MATCH in Release_Track" )</f>
        <v>Bholepan (From "Ashke" Soundtrack)</v>
      </c>
      <c r="D67" s="121" t="str">
        <f t="array" ref="D67">ifs(and(isblank($A67),isblank($B67)),"", not(iserror(vlookup($A67&amp;$B67,'5) Release_Track'!$F:$F&amp;'5) Release_Track'!$G:$G,1,0))),vlookup($A67&amp;$B67,{'5) Release_Track'!$F:$F&amp;'5) Release_Track'!$G:$G,'5) Release_Track'!$I:$I},2,0), or(and(not(isblank($B67)),$B67=$B66,$A67&lt;&gt;$A66),and(not(isblank($A67)),$A67=$A66,$B67&lt;&gt;$B66)),"ID LISTS UNALIGNED",and($A67&lt;&gt;"",countif('5) Release_Track'!$F:$F,$A67)=0),"NO ISRC MATCH in Release_Track",and($B67&lt;&gt;"",countif('5) Release_Track'!$G:$G,$B67)=0),"NO CATALOG ID MATCH in Release_Track",iserror(vlookup($A67&amp;$B67,'5) Release_Track'!$F:$F&amp;'5) Release_Track'!$G:$G,1,0)),"NO ISRC-CATALOG ID pair MATCH in Release_Track" )</f>
        <v/>
      </c>
      <c r="E67" s="142" t="b">
        <v>0</v>
      </c>
      <c r="F67" s="142" t="b">
        <v>0</v>
      </c>
      <c r="G67" s="142" t="b">
        <v>0</v>
      </c>
      <c r="H67" s="142" t="b">
        <v>0</v>
      </c>
      <c r="I67" s="142" t="b">
        <v>0</v>
      </c>
      <c r="J67" s="142" t="b">
        <v>0</v>
      </c>
      <c r="K67" s="142" t="b">
        <v>0</v>
      </c>
      <c r="L67" s="8" t="b">
        <v>1</v>
      </c>
      <c r="Q67" s="99" t="str">
        <f>VLOOKUP(A67,'5) Release_Track'!F:F,1,0)</f>
        <v>COL5K1801605</v>
      </c>
    </row>
    <row r="68">
      <c r="A68" s="51" t="s">
        <v>482</v>
      </c>
      <c r="B68" s="103"/>
      <c r="C68" s="121" t="str">
        <f t="array" ref="C68">ifs(and(isblank($A68),isblank($B68)),"", not(iserror(vlookup($A68&amp;$B68,'5) Release_Track'!$F:$F&amp;'5) Release_Track'!$G:$G,1,0))),vlookup($A68&amp;$B68,{'5) Release_Track'!$F:$F&amp;'5) Release_Track'!$G:$G,'5) Release_Track'!$H:$H},2,0), or(and(not(isblank($B68)),$B68=$B67,$A68&lt;&gt;$A67),and(not(isblank($A68)),$A68=$A67,$B68&lt;&gt;$B67)),"ID LISTS UNALIGNED",and($A68&lt;&gt;"",countif('5) Release_Track'!$F:$F,$A68)=0),"NO ISRC MATCH in Release_Track",and($B68&lt;&gt;"",countif('5) Release_Track'!$G:$G,$B68)=0),"NO CATALOG ID MATCH in Release_Track",iserror(vlookup($A68&amp;$B68,'5) Release_Track'!$F:$F&amp;'5) Release_Track'!$G:$G,1,0)),"NO ISRC-CATALOG ID pair MATCH in Release_Track" )</f>
        <v>Eh Tanhayi</v>
      </c>
      <c r="D68" s="121" t="str">
        <f t="array" ref="D68">ifs(and(isblank($A68),isblank($B68)),"", not(iserror(vlookup($A68&amp;$B68,'5) Release_Track'!$F:$F&amp;'5) Release_Track'!$G:$G,1,0))),vlookup($A68&amp;$B68,{'5) Release_Track'!$F:$F&amp;'5) Release_Track'!$G:$G,'5) Release_Track'!$I:$I},2,0), or(and(not(isblank($B68)),$B68=$B67,$A68&lt;&gt;$A67),and(not(isblank($A68)),$A68=$A67,$B68&lt;&gt;$B67)),"ID LISTS UNALIGNED",and($A68&lt;&gt;"",countif('5) Release_Track'!$F:$F,$A68)=0),"NO ISRC MATCH in Release_Track",and($B68&lt;&gt;"",countif('5) Release_Track'!$G:$G,$B68)=0),"NO CATALOG ID MATCH in Release_Track",iserror(vlookup($A68&amp;$B68,'5) Release_Track'!$F:$F&amp;'5) Release_Track'!$G:$G,1,0)),"NO ISRC-CATALOG ID pair MATCH in Release_Track" )</f>
        <v/>
      </c>
      <c r="E68" s="142" t="b">
        <v>0</v>
      </c>
      <c r="F68" s="142" t="b">
        <v>0</v>
      </c>
      <c r="G68" s="142" t="b">
        <v>0</v>
      </c>
      <c r="H68" s="142" t="b">
        <v>0</v>
      </c>
      <c r="I68" s="142" t="b">
        <v>0</v>
      </c>
      <c r="J68" s="142" t="b">
        <v>0</v>
      </c>
      <c r="K68" s="142" t="b">
        <v>0</v>
      </c>
      <c r="L68" s="8" t="b">
        <v>1</v>
      </c>
      <c r="Q68" s="99" t="str">
        <f>VLOOKUP(A68,'5) Release_Track'!F:F,1,0)</f>
        <v>COL5K1801801</v>
      </c>
    </row>
    <row r="69">
      <c r="A69" s="51" t="s">
        <v>484</v>
      </c>
      <c r="B69" s="103"/>
      <c r="C69" s="121" t="str">
        <f t="array" ref="C69">ifs(and(isblank($A69),isblank($B69)),"", not(iserror(vlookup($A69&amp;$B69,'5) Release_Track'!$F:$F&amp;'5) Release_Track'!$G:$G,1,0))),vlookup($A69&amp;$B69,{'5) Release_Track'!$F:$F&amp;'5) Release_Track'!$G:$G,'5) Release_Track'!$H:$H},2,0), or(and(not(isblank($B69)),$B69=$B68,$A69&lt;&gt;$A68),and(not(isblank($A69)),$A69=$A68,$B69&lt;&gt;$B68)),"ID LISTS UNALIGNED",and($A69&lt;&gt;"",countif('5) Release_Track'!$F:$F,$A69)=0),"NO ISRC MATCH in Release_Track",and($B69&lt;&gt;"",countif('5) Release_Track'!$G:$G,$B69)=0),"NO CATALOG ID MATCH in Release_Track",iserror(vlookup($A69&amp;$B69,'5) Release_Track'!$F:$F&amp;'5) Release_Track'!$G:$G,1,0)),"NO ISRC-CATALOG ID pair MATCH in Release_Track" )</f>
        <v>Tere Naal Viahi</v>
      </c>
      <c r="D69" s="121" t="str">
        <f t="array" ref="D69">ifs(and(isblank($A69),isblank($B69)),"", not(iserror(vlookup($A69&amp;$B69,'5) Release_Track'!$F:$F&amp;'5) Release_Track'!$G:$G,1,0))),vlookup($A69&amp;$B69,{'5) Release_Track'!$F:$F&amp;'5) Release_Track'!$G:$G,'5) Release_Track'!$I:$I},2,0), or(and(not(isblank($B69)),$B69=$B68,$A69&lt;&gt;$A68),and(not(isblank($A69)),$A69=$A68,$B69&lt;&gt;$B68)),"ID LISTS UNALIGNED",and($A69&lt;&gt;"",countif('5) Release_Track'!$F:$F,$A69)=0),"NO ISRC MATCH in Release_Track",and($B69&lt;&gt;"",countif('5) Release_Track'!$G:$G,$B69)=0),"NO CATALOG ID MATCH in Release_Track",iserror(vlookup($A69&amp;$B69,'5) Release_Track'!$F:$F&amp;'5) Release_Track'!$G:$G,1,0)),"NO ISRC-CATALOG ID pair MATCH in Release_Track" )</f>
        <v/>
      </c>
      <c r="E69" s="142" t="b">
        <v>0</v>
      </c>
      <c r="F69" s="142" t="b">
        <v>0</v>
      </c>
      <c r="G69" s="142" t="b">
        <v>0</v>
      </c>
      <c r="H69" s="142" t="b">
        <v>0</v>
      </c>
      <c r="I69" s="142" t="b">
        <v>0</v>
      </c>
      <c r="J69" s="142" t="b">
        <v>0</v>
      </c>
      <c r="K69" s="142" t="b">
        <v>0</v>
      </c>
      <c r="L69" s="8" t="b">
        <v>1</v>
      </c>
      <c r="Q69" s="99" t="str">
        <f>VLOOKUP(A69,'5) Release_Track'!F:F,1,0)</f>
        <v>COL5K1801701</v>
      </c>
    </row>
    <row r="70">
      <c r="A70" s="51" t="s">
        <v>486</v>
      </c>
      <c r="B70" s="103"/>
      <c r="C70" s="121" t="str">
        <f t="array" ref="C70">ifs(and(isblank($A70),isblank($B70)),"", not(iserror(vlookup($A70&amp;$B70,'5) Release_Track'!$F:$F&amp;'5) Release_Track'!$G:$G,1,0))),vlookup($A70&amp;$B70,{'5) Release_Track'!$F:$F&amp;'5) Release_Track'!$G:$G,'5) Release_Track'!$H:$H},2,0), or(and(not(isblank($B70)),$B70=$B69,$A70&lt;&gt;$A69),and(not(isblank($A70)),$A70=$A69,$B70&lt;&gt;$B69)),"ID LISTS UNALIGNED",and($A70&lt;&gt;"",countif('5) Release_Track'!$F:$F,$A70)=0),"NO ISRC MATCH in Release_Track",and($B70&lt;&gt;"",countif('5) Release_Track'!$G:$G,$B70)=0),"NO CATALOG ID MATCH in Release_Track",iserror(vlookup($A70&amp;$B70,'5) Release_Track'!$F:$F&amp;'5) Release_Track'!$G:$G,1,0)),"NO ISRC-CATALOG ID pair MATCH in Release_Track" )</f>
        <v>Ashke - Title Song (From "Ashke" Soundtrack)</v>
      </c>
      <c r="D70" s="121" t="str">
        <f t="array" ref="D70">ifs(and(isblank($A70),isblank($B70)),"", not(iserror(vlookup($A70&amp;$B70,'5) Release_Track'!$F:$F&amp;'5) Release_Track'!$G:$G,1,0))),vlookup($A70&amp;$B70,{'5) Release_Track'!$F:$F&amp;'5) Release_Track'!$G:$G,'5) Release_Track'!$I:$I},2,0), or(and(not(isblank($B70)),$B70=$B69,$A70&lt;&gt;$A69),and(not(isblank($A70)),$A70=$A69,$B70&lt;&gt;$B69)),"ID LISTS UNALIGNED",and($A70&lt;&gt;"",countif('5) Release_Track'!$F:$F,$A70)=0),"NO ISRC MATCH in Release_Track",and($B70&lt;&gt;"",countif('5) Release_Track'!$G:$G,$B70)=0),"NO CATALOG ID MATCH in Release_Track",iserror(vlookup($A70&amp;$B70,'5) Release_Track'!$F:$F&amp;'5) Release_Track'!$G:$G,1,0)),"NO ISRC-CATALOG ID pair MATCH in Release_Track" )</f>
        <v/>
      </c>
      <c r="E70" s="142" t="b">
        <v>0</v>
      </c>
      <c r="F70" s="142" t="b">
        <v>0</v>
      </c>
      <c r="G70" s="142" t="b">
        <v>0</v>
      </c>
      <c r="H70" s="142" t="b">
        <v>0</v>
      </c>
      <c r="I70" s="142" t="b">
        <v>0</v>
      </c>
      <c r="J70" s="142" t="b">
        <v>0</v>
      </c>
      <c r="K70" s="142" t="b">
        <v>0</v>
      </c>
      <c r="L70" s="8" t="b">
        <v>1</v>
      </c>
      <c r="Q70" s="99" t="str">
        <f>VLOOKUP(A70,'5) Release_Track'!F:F,1,0)</f>
        <v>COL5K1801603</v>
      </c>
    </row>
    <row r="71">
      <c r="A71" s="51" t="s">
        <v>488</v>
      </c>
      <c r="B71" s="103"/>
      <c r="C71" s="121" t="str">
        <f t="array" ref="C71">ifs(and(isblank($A71),isblank($B71)),"", not(iserror(vlookup($A71&amp;$B71,'5) Release_Track'!$F:$F&amp;'5) Release_Track'!$G:$G,1,0))),vlookup($A71&amp;$B71,{'5) Release_Track'!$F:$F&amp;'5) Release_Track'!$G:$G,'5) Release_Track'!$H:$H},2,0), or(and(not(isblank($B71)),$B71=$B70,$A71&lt;&gt;$A70),and(not(isblank($A71)),$A71=$A70,$B71&lt;&gt;$B70)),"ID LISTS UNALIGNED",and($A71&lt;&gt;"",countif('5) Release_Track'!$F:$F,$A71)=0),"NO ISRC MATCH in Release_Track",and($B71&lt;&gt;"",countif('5) Release_Track'!$G:$G,$B71)=0),"NO CATALOG ID MATCH in Release_Track",iserror(vlookup($A71&amp;$B71,'5) Release_Track'!$F:$F&amp;'5) Release_Track'!$G:$G,1,0)),"NO ISRC-CATALOG ID pair MATCH in Release_Track" )</f>
        <v>Ashke Boliyan (From "Ashke" Soundtrack)</v>
      </c>
      <c r="D71" s="121" t="str">
        <f t="array" ref="D71">ifs(and(isblank($A71),isblank($B71)),"", not(iserror(vlookup($A71&amp;$B71,'5) Release_Track'!$F:$F&amp;'5) Release_Track'!$G:$G,1,0))),vlookup($A71&amp;$B71,{'5) Release_Track'!$F:$F&amp;'5) Release_Track'!$G:$G,'5) Release_Track'!$I:$I},2,0), or(and(not(isblank($B71)),$B71=$B70,$A71&lt;&gt;$A70),and(not(isblank($A71)),$A71=$A70,$B71&lt;&gt;$B70)),"ID LISTS UNALIGNED",and($A71&lt;&gt;"",countif('5) Release_Track'!$F:$F,$A71)=0),"NO ISRC MATCH in Release_Track",and($B71&lt;&gt;"",countif('5) Release_Track'!$G:$G,$B71)=0),"NO CATALOG ID MATCH in Release_Track",iserror(vlookup($A71&amp;$B71,'5) Release_Track'!$F:$F&amp;'5) Release_Track'!$G:$G,1,0)),"NO ISRC-CATALOG ID pair MATCH in Release_Track" )</f>
        <v/>
      </c>
      <c r="E71" s="142" t="b">
        <v>0</v>
      </c>
      <c r="F71" s="142" t="b">
        <v>0</v>
      </c>
      <c r="G71" s="142" t="b">
        <v>0</v>
      </c>
      <c r="H71" s="142" t="b">
        <v>0</v>
      </c>
      <c r="I71" s="142" t="b">
        <v>0</v>
      </c>
      <c r="J71" s="142" t="b">
        <v>0</v>
      </c>
      <c r="K71" s="142" t="b">
        <v>0</v>
      </c>
      <c r="L71" s="8" t="b">
        <v>1</v>
      </c>
      <c r="Q71" s="99" t="str">
        <f>VLOOKUP(A71,'5) Release_Track'!F:F,1,0)</f>
        <v>COL5K1801604</v>
      </c>
    </row>
    <row r="72">
      <c r="A72" s="51" t="s">
        <v>490</v>
      </c>
      <c r="B72" s="103"/>
      <c r="C72" s="121" t="str">
        <f t="array" ref="C72">ifs(and(isblank($A72),isblank($B72)),"", not(iserror(vlookup($A72&amp;$B72,'5) Release_Track'!$F:$F&amp;'5) Release_Track'!$G:$G,1,0))),vlookup($A72&amp;$B72,{'5) Release_Track'!$F:$F&amp;'5) Release_Track'!$G:$G,'5) Release_Track'!$H:$H},2,0), or(and(not(isblank($B72)),$B72=$B71,$A72&lt;&gt;$A71),and(not(isblank($A72)),$A72=$A71,$B72&lt;&gt;$B71)),"ID LISTS UNALIGNED",and($A72&lt;&gt;"",countif('5) Release_Track'!$F:$F,$A72)=0),"NO ISRC MATCH in Release_Track",and($B72&lt;&gt;"",countif('5) Release_Track'!$G:$G,$B72)=0),"NO CATALOG ID MATCH in Release_Track",iserror(vlookup($A72&amp;$B72,'5) Release_Track'!$F:$F&amp;'5) Release_Track'!$G:$G,1,0)),"NO ISRC-CATALOG ID pair MATCH in Release_Track" )</f>
        <v>Motion Poster Theme (From "Bhajjo Veero Ve" Soundtrack)</v>
      </c>
      <c r="D72" s="121" t="str">
        <f t="array" ref="D72">ifs(and(isblank($A72),isblank($B72)),"", not(iserror(vlookup($A72&amp;$B72,'5) Release_Track'!$F:$F&amp;'5) Release_Track'!$G:$G,1,0))),vlookup($A72&amp;$B72,{'5) Release_Track'!$F:$F&amp;'5) Release_Track'!$G:$G,'5) Release_Track'!$I:$I},2,0), or(and(not(isblank($B72)),$B72=$B71,$A72&lt;&gt;$A71),and(not(isblank($A72)),$A72=$A71,$B72&lt;&gt;$B71)),"ID LISTS UNALIGNED",and($A72&lt;&gt;"",countif('5) Release_Track'!$F:$F,$A72)=0),"NO ISRC MATCH in Release_Track",and($B72&lt;&gt;"",countif('5) Release_Track'!$G:$G,$B72)=0),"NO CATALOG ID MATCH in Release_Track",iserror(vlookup($A72&amp;$B72,'5) Release_Track'!$F:$F&amp;'5) Release_Track'!$G:$G,1,0)),"NO ISRC-CATALOG ID pair MATCH in Release_Track" )</f>
        <v/>
      </c>
      <c r="E72" s="142" t="b">
        <v>0</v>
      </c>
      <c r="F72" s="142" t="b">
        <v>0</v>
      </c>
      <c r="G72" s="142" t="b">
        <v>0</v>
      </c>
      <c r="H72" s="142" t="b">
        <v>0</v>
      </c>
      <c r="I72" s="142" t="b">
        <v>0</v>
      </c>
      <c r="J72" s="142" t="b">
        <v>0</v>
      </c>
      <c r="K72" s="142" t="b">
        <v>0</v>
      </c>
      <c r="L72" s="8" t="b">
        <v>1</v>
      </c>
      <c r="Q72" s="99" t="str">
        <f>VLOOKUP(A72,'5) Release_Track'!F:F,1,0)</f>
        <v>COL5K1801901</v>
      </c>
    </row>
    <row r="73">
      <c r="A73" s="51" t="s">
        <v>492</v>
      </c>
      <c r="B73" s="103"/>
      <c r="C73" s="121" t="str">
        <f t="array" ref="C73">ifs(and(isblank($A73),isblank($B73)),"", not(iserror(vlookup($A73&amp;$B73,'5) Release_Track'!$F:$F&amp;'5) Release_Track'!$G:$G,1,0))),vlookup($A73&amp;$B73,{'5) Release_Track'!$F:$F&amp;'5) Release_Track'!$G:$G,'5) Release_Track'!$H:$H},2,0), or(and(not(isblank($B73)),$B73=$B72,$A73&lt;&gt;$A72),and(not(isblank($A73)),$A73=$A72,$B73&lt;&gt;$B72)),"ID LISTS UNALIGNED",and($A73&lt;&gt;"",countif('5) Release_Track'!$F:$F,$A73)=0),"NO ISRC MATCH in Release_Track",and($B73&lt;&gt;"",countif('5) Release_Track'!$G:$G,$B73)=0),"NO CATALOG ID MATCH in Release_Track",iserror(vlookup($A73&amp;$B73,'5) Release_Track'!$F:$F&amp;'5) Release_Track'!$G:$G,1,0)),"NO ISRC-CATALOG ID pair MATCH in Release_Track" )</f>
        <v>Khyaal (From "Bhajjo Veero Ve" Soundtrack)</v>
      </c>
      <c r="D73" s="121" t="str">
        <f t="array" ref="D73">ifs(and(isblank($A73),isblank($B73)),"", not(iserror(vlookup($A73&amp;$B73,'5) Release_Track'!$F:$F&amp;'5) Release_Track'!$G:$G,1,0))),vlookup($A73&amp;$B73,{'5) Release_Track'!$F:$F&amp;'5) Release_Track'!$G:$G,'5) Release_Track'!$I:$I},2,0), or(and(not(isblank($B73)),$B73=$B72,$A73&lt;&gt;$A72),and(not(isblank($A73)),$A73=$A72,$B73&lt;&gt;$B72)),"ID LISTS UNALIGNED",and($A73&lt;&gt;"",countif('5) Release_Track'!$F:$F,$A73)=0),"NO ISRC MATCH in Release_Track",and($B73&lt;&gt;"",countif('5) Release_Track'!$G:$G,$B73)=0),"NO CATALOG ID MATCH in Release_Track",iserror(vlookup($A73&amp;$B73,'5) Release_Track'!$F:$F&amp;'5) Release_Track'!$G:$G,1,0)),"NO ISRC-CATALOG ID pair MATCH in Release_Track" )</f>
        <v/>
      </c>
      <c r="E73" s="142" t="b">
        <v>0</v>
      </c>
      <c r="F73" s="142" t="b">
        <v>0</v>
      </c>
      <c r="G73" s="142" t="b">
        <v>0</v>
      </c>
      <c r="H73" s="142" t="b">
        <v>0</v>
      </c>
      <c r="I73" s="142" t="b">
        <v>0</v>
      </c>
      <c r="J73" s="142" t="b">
        <v>0</v>
      </c>
      <c r="K73" s="142" t="b">
        <v>0</v>
      </c>
      <c r="L73" s="8" t="b">
        <v>1</v>
      </c>
      <c r="Q73" s="99" t="str">
        <f>VLOOKUP(A73,'5) Release_Track'!F:F,1,0)</f>
        <v>COL5K1801902</v>
      </c>
    </row>
    <row r="74">
      <c r="A74" s="51" t="s">
        <v>494</v>
      </c>
      <c r="B74" s="103"/>
      <c r="C74" s="121" t="str">
        <f t="array" ref="C74">ifs(and(isblank($A74),isblank($B74)),"", not(iserror(vlookup($A74&amp;$B74,'5) Release_Track'!$F:$F&amp;'5) Release_Track'!$G:$G,1,0))),vlookup($A74&amp;$B74,{'5) Release_Track'!$F:$F&amp;'5) Release_Track'!$G:$G,'5) Release_Track'!$H:$H},2,0), or(and(not(isblank($B74)),$B74=$B73,$A74&lt;&gt;$A73),and(not(isblank($A74)),$A74=$A73,$B74&lt;&gt;$B73)),"ID LISTS UNALIGNED",and($A74&lt;&gt;"",countif('5) Release_Track'!$F:$F,$A74)=0),"NO ISRC MATCH in Release_Track",and($B74&lt;&gt;"",countif('5) Release_Track'!$G:$G,$B74)=0),"NO CATALOG ID MATCH in Release_Track",iserror(vlookup($A74&amp;$B74,'5) Release_Track'!$F:$F&amp;'5) Release_Track'!$G:$G,1,0)),"NO ISRC-CATALOG ID pair MATCH in Release_Track" )</f>
        <v>Car Reebna Wali (From "Bhajjo Veero Ve" Soundtrack)</v>
      </c>
      <c r="D74" s="121" t="str">
        <f t="array" ref="D74">ifs(and(isblank($A74),isblank($B74)),"", not(iserror(vlookup($A74&amp;$B74,'5) Release_Track'!$F:$F&amp;'5) Release_Track'!$G:$G,1,0))),vlookup($A74&amp;$B74,{'5) Release_Track'!$F:$F&amp;'5) Release_Track'!$G:$G,'5) Release_Track'!$I:$I},2,0), or(and(not(isblank($B74)),$B74=$B73,$A74&lt;&gt;$A73),and(not(isblank($A74)),$A74=$A73,$B74&lt;&gt;$B73)),"ID LISTS UNALIGNED",and($A74&lt;&gt;"",countif('5) Release_Track'!$F:$F,$A74)=0),"NO ISRC MATCH in Release_Track",and($B74&lt;&gt;"",countif('5) Release_Track'!$G:$G,$B74)=0),"NO CATALOG ID MATCH in Release_Track",iserror(vlookup($A74&amp;$B74,'5) Release_Track'!$F:$F&amp;'5) Release_Track'!$G:$G,1,0)),"NO ISRC-CATALOG ID pair MATCH in Release_Track" )</f>
        <v/>
      </c>
      <c r="E74" s="142" t="b">
        <v>0</v>
      </c>
      <c r="F74" s="142" t="b">
        <v>0</v>
      </c>
      <c r="G74" s="142" t="b">
        <v>0</v>
      </c>
      <c r="H74" s="142" t="b">
        <v>0</v>
      </c>
      <c r="I74" s="142" t="b">
        <v>0</v>
      </c>
      <c r="J74" s="142" t="b">
        <v>0</v>
      </c>
      <c r="K74" s="142" t="b">
        <v>0</v>
      </c>
      <c r="L74" s="8" t="b">
        <v>1</v>
      </c>
      <c r="Q74" s="99" t="str">
        <f>VLOOKUP(A74,'5) Release_Track'!F:F,1,0)</f>
        <v>COL5K1801903</v>
      </c>
    </row>
    <row r="75">
      <c r="A75" s="51" t="s">
        <v>496</v>
      </c>
      <c r="B75" s="103"/>
      <c r="C75" s="121" t="str">
        <f t="array" ref="C75">ifs(and(isblank($A75),isblank($B75)),"", not(iserror(vlookup($A75&amp;$B75,'5) Release_Track'!$F:$F&amp;'5) Release_Track'!$G:$G,1,0))),vlookup($A75&amp;$B75,{'5) Release_Track'!$F:$F&amp;'5) Release_Track'!$G:$G,'5) Release_Track'!$H:$H},2,0), or(and(not(isblank($B75)),$B75=$B74,$A75&lt;&gt;$A74),and(not(isblank($A75)),$A75=$A74,$B75&lt;&gt;$B74)),"ID LISTS UNALIGNED",and($A75&lt;&gt;"",countif('5) Release_Track'!$F:$F,$A75)=0),"NO ISRC MATCH in Release_Track",and($B75&lt;&gt;"",countif('5) Release_Track'!$G:$G,$B75)=0),"NO CATALOG ID MATCH in Release_Track",iserror(vlookup($A75&amp;$B75,'5) Release_Track'!$F:$F&amp;'5) Release_Track'!$G:$G,1,0)),"NO ISRC-CATALOG ID pair MATCH in Release_Track" )</f>
        <v>Bhaggi Love</v>
      </c>
      <c r="D75" s="121" t="str">
        <f t="array" ref="D75">ifs(and(isblank($A75),isblank($B75)),"", not(iserror(vlookup($A75&amp;$B75,'5) Release_Track'!$F:$F&amp;'5) Release_Track'!$G:$G,1,0))),vlookup($A75&amp;$B75,{'5) Release_Track'!$F:$F&amp;'5) Release_Track'!$G:$G,'5) Release_Track'!$I:$I},2,0), or(and(not(isblank($B75)),$B75=$B74,$A75&lt;&gt;$A74),and(not(isblank($A75)),$A75=$A74,$B75&lt;&gt;$B74)),"ID LISTS UNALIGNED",and($A75&lt;&gt;"",countif('5) Release_Track'!$F:$F,$A75)=0),"NO ISRC MATCH in Release_Track",and($B75&lt;&gt;"",countif('5) Release_Track'!$G:$G,$B75)=0),"NO CATALOG ID MATCH in Release_Track",iserror(vlookup($A75&amp;$B75,'5) Release_Track'!$F:$F&amp;'5) Release_Track'!$G:$G,1,0)),"NO ISRC-CATALOG ID pair MATCH in Release_Track" )</f>
        <v/>
      </c>
      <c r="E75" s="142" t="b">
        <v>0</v>
      </c>
      <c r="F75" s="142" t="b">
        <v>0</v>
      </c>
      <c r="G75" s="142" t="b">
        <v>0</v>
      </c>
      <c r="H75" s="142" t="b">
        <v>0</v>
      </c>
      <c r="I75" s="142" t="b">
        <v>0</v>
      </c>
      <c r="J75" s="142" t="b">
        <v>0</v>
      </c>
      <c r="K75" s="142" t="b">
        <v>0</v>
      </c>
      <c r="L75" s="8" t="b">
        <v>1</v>
      </c>
      <c r="Q75" s="99" t="str">
        <f>VLOOKUP(A75,'5) Release_Track'!F:F,1,0)</f>
        <v>COL5K1802003</v>
      </c>
    </row>
    <row r="76">
      <c r="A76" s="51" t="s">
        <v>498</v>
      </c>
      <c r="B76" s="103"/>
      <c r="C76" s="121" t="str">
        <f t="array" ref="C76">ifs(and(isblank($A76),isblank($B76)),"", not(iserror(vlookup($A76&amp;$B76,'5) Release_Track'!$F:$F&amp;'5) Release_Track'!$G:$G,1,0))),vlookup($A76&amp;$B76,{'5) Release_Track'!$F:$F&amp;'5) Release_Track'!$G:$G,'5) Release_Track'!$H:$H},2,0), or(and(not(isblank($B76)),$B76=$B75,$A76&lt;&gt;$A75),and(not(isblank($A76)),$A76=$A75,$B76&lt;&gt;$B75)),"ID LISTS UNALIGNED",and($A76&lt;&gt;"",countif('5) Release_Track'!$F:$F,$A76)=0),"NO ISRC MATCH in Release_Track",and($B76&lt;&gt;"",countif('5) Release_Track'!$G:$G,$B76)=0),"NO CATALOG ID MATCH in Release_Track",iserror(vlookup($A76&amp;$B76,'5) Release_Track'!$F:$F&amp;'5) Release_Track'!$G:$G,1,0)),"NO ISRC-CATALOG ID pair MATCH in Release_Track" )</f>
        <v>Chunni Cho Asmaan (From "Bhajjo Veero Ve" Soundtrack)</v>
      </c>
      <c r="D76" s="121" t="str">
        <f t="array" ref="D76">ifs(and(isblank($A76),isblank($B76)),"", not(iserror(vlookup($A76&amp;$B76,'5) Release_Track'!$F:$F&amp;'5) Release_Track'!$G:$G,1,0))),vlookup($A76&amp;$B76,{'5) Release_Track'!$F:$F&amp;'5) Release_Track'!$G:$G,'5) Release_Track'!$I:$I},2,0), or(and(not(isblank($B76)),$B76=$B75,$A76&lt;&gt;$A75),and(not(isblank($A76)),$A76=$A75,$B76&lt;&gt;$B75)),"ID LISTS UNALIGNED",and($A76&lt;&gt;"",countif('5) Release_Track'!$F:$F,$A76)=0),"NO ISRC MATCH in Release_Track",and($B76&lt;&gt;"",countif('5) Release_Track'!$G:$G,$B76)=0),"NO CATALOG ID MATCH in Release_Track",iserror(vlookup($A76&amp;$B76,'5) Release_Track'!$F:$F&amp;'5) Release_Track'!$G:$G,1,0)),"NO ISRC-CATALOG ID pair MATCH in Release_Track" )</f>
        <v/>
      </c>
      <c r="E76" s="142" t="b">
        <v>0</v>
      </c>
      <c r="F76" s="142" t="b">
        <v>0</v>
      </c>
      <c r="G76" s="142" t="b">
        <v>0</v>
      </c>
      <c r="H76" s="142" t="b">
        <v>0</v>
      </c>
      <c r="I76" s="142" t="b">
        <v>0</v>
      </c>
      <c r="J76" s="142" t="b">
        <v>0</v>
      </c>
      <c r="K76" s="142" t="b">
        <v>0</v>
      </c>
      <c r="L76" s="8" t="b">
        <v>1</v>
      </c>
      <c r="Q76" s="99" t="str">
        <f>VLOOKUP(A76,'5) Release_Track'!F:F,1,0)</f>
        <v>COL5K1801904</v>
      </c>
    </row>
    <row r="77">
      <c r="A77" s="51" t="s">
        <v>500</v>
      </c>
      <c r="B77" s="103"/>
      <c r="C77" s="121" t="str">
        <f t="array" ref="C77">ifs(and(isblank($A77),isblank($B77)),"", not(iserror(vlookup($A77&amp;$B77,'5) Release_Track'!$F:$F&amp;'5) Release_Track'!$G:$G,1,0))),vlookup($A77&amp;$B77,{'5) Release_Track'!$F:$F&amp;'5) Release_Track'!$G:$G,'5) Release_Track'!$H:$H},2,0), or(and(not(isblank($B77)),$B77=$B76,$A77&lt;&gt;$A76),and(not(isblank($A77)),$A77=$A76,$B77&lt;&gt;$B76)),"ID LISTS UNALIGNED",and($A77&lt;&gt;"",countif('5) Release_Track'!$F:$F,$A77)=0),"NO ISRC MATCH in Release_Track",and($B77&lt;&gt;"",countif('5) Release_Track'!$G:$G,$B77)=0),"NO CATALOG ID MATCH in Release_Track",iserror(vlookup($A77&amp;$B77,'5) Release_Track'!$F:$F&amp;'5) Release_Track'!$G:$G,1,0)),"NO ISRC-CATALOG ID pair MATCH in Release_Track" )</f>
        <v>Lehnga (From "Bhajjo Veero Ve" Soundtrack)</v>
      </c>
      <c r="D77" s="121" t="str">
        <f t="array" ref="D77">ifs(and(isblank($A77),isblank($B77)),"", not(iserror(vlookup($A77&amp;$B77,'5) Release_Track'!$F:$F&amp;'5) Release_Track'!$G:$G,1,0))),vlookup($A77&amp;$B77,{'5) Release_Track'!$F:$F&amp;'5) Release_Track'!$G:$G,'5) Release_Track'!$I:$I},2,0), or(and(not(isblank($B77)),$B77=$B76,$A77&lt;&gt;$A76),and(not(isblank($A77)),$A77=$A76,$B77&lt;&gt;$B76)),"ID LISTS UNALIGNED",and($A77&lt;&gt;"",countif('5) Release_Track'!$F:$F,$A77)=0),"NO ISRC MATCH in Release_Track",and($B77&lt;&gt;"",countif('5) Release_Track'!$G:$G,$B77)=0),"NO CATALOG ID MATCH in Release_Track",iserror(vlookup($A77&amp;$B77,'5) Release_Track'!$F:$F&amp;'5) Release_Track'!$G:$G,1,0)),"NO ISRC-CATALOG ID pair MATCH in Release_Track" )</f>
        <v/>
      </c>
      <c r="E77" s="142" t="b">
        <v>0</v>
      </c>
      <c r="F77" s="142" t="b">
        <v>0</v>
      </c>
      <c r="G77" s="142" t="b">
        <v>0</v>
      </c>
      <c r="H77" s="142" t="b">
        <v>0</v>
      </c>
      <c r="I77" s="142" t="b">
        <v>0</v>
      </c>
      <c r="J77" s="142" t="b">
        <v>0</v>
      </c>
      <c r="K77" s="142" t="b">
        <v>0</v>
      </c>
      <c r="L77" s="8" t="b">
        <v>1</v>
      </c>
      <c r="Q77" s="99" t="str">
        <f>VLOOKUP(A77,'5) Release_Track'!F:F,1,0)</f>
        <v>COL5K1801905</v>
      </c>
    </row>
    <row r="78">
      <c r="A78" s="51" t="s">
        <v>502</v>
      </c>
      <c r="B78" s="103"/>
      <c r="C78" s="121" t="str">
        <f t="array" ref="C78">ifs(and(isblank($A78),isblank($B78)),"", not(iserror(vlookup($A78&amp;$B78,'5) Release_Track'!$F:$F&amp;'5) Release_Track'!$G:$G,1,0))),vlookup($A78&amp;$B78,{'5) Release_Track'!$F:$F&amp;'5) Release_Track'!$G:$G,'5) Release_Track'!$H:$H},2,0), or(and(not(isblank($B78)),$B78=$B77,$A78&lt;&gt;$A77),and(not(isblank($A78)),$A78=$A77,$B78&lt;&gt;$B77)),"ID LISTS UNALIGNED",and($A78&lt;&gt;"",countif('5) Release_Track'!$F:$F,$A78)=0),"NO ISRC MATCH in Release_Track",and($B78&lt;&gt;"",countif('5) Release_Track'!$G:$G,$B78)=0),"NO CATALOG ID MATCH in Release_Track",iserror(vlookup($A78&amp;$B78,'5) Release_Track'!$F:$F&amp;'5) Release_Track'!$G:$G,1,0)),"NO ISRC-CATALOG ID pair MATCH in Release_Track" )</f>
        <v>Darshan Mehnge (From "Laiye Je Yaarian" Soundtrack)</v>
      </c>
      <c r="D78" s="121" t="str">
        <f t="array" ref="D78">ifs(and(isblank($A78),isblank($B78)),"", not(iserror(vlookup($A78&amp;$B78,'5) Release_Track'!$F:$F&amp;'5) Release_Track'!$G:$G,1,0))),vlookup($A78&amp;$B78,{'5) Release_Track'!$F:$F&amp;'5) Release_Track'!$G:$G,'5) Release_Track'!$I:$I},2,0), or(and(not(isblank($B78)),$B78=$B77,$A78&lt;&gt;$A77),and(not(isblank($A78)),$A78=$A77,$B78&lt;&gt;$B77)),"ID LISTS UNALIGNED",and($A78&lt;&gt;"",countif('5) Release_Track'!$F:$F,$A78)=0),"NO ISRC MATCH in Release_Track",and($B78&lt;&gt;"",countif('5) Release_Track'!$G:$G,$B78)=0),"NO CATALOG ID MATCH in Release_Track",iserror(vlookup($A78&amp;$B78,'5) Release_Track'!$F:$F&amp;'5) Release_Track'!$G:$G,1,0)),"NO ISRC-CATALOG ID pair MATCH in Release_Track" )</f>
        <v/>
      </c>
      <c r="E78" s="142" t="b">
        <v>0</v>
      </c>
      <c r="F78" s="142" t="b">
        <v>0</v>
      </c>
      <c r="G78" s="142" t="b">
        <v>0</v>
      </c>
      <c r="H78" s="142" t="b">
        <v>0</v>
      </c>
      <c r="I78" s="142" t="b">
        <v>0</v>
      </c>
      <c r="J78" s="142" t="b">
        <v>0</v>
      </c>
      <c r="K78" s="142" t="b">
        <v>0</v>
      </c>
      <c r="L78" s="8" t="b">
        <v>1</v>
      </c>
      <c r="Q78" s="99" t="str">
        <f>VLOOKUP(A78,'5) Release_Track'!F:F,1,0)</f>
        <v>COL5K1902101</v>
      </c>
    </row>
    <row r="79">
      <c r="A79" s="51" t="s">
        <v>504</v>
      </c>
      <c r="B79" s="103"/>
      <c r="C79" s="121" t="str">
        <f t="array" ref="C79">ifs(and(isblank($A79),isblank($B79)),"", not(iserror(vlookup($A79&amp;$B79,'5) Release_Track'!$F:$F&amp;'5) Release_Track'!$G:$G,1,0))),vlookup($A79&amp;$B79,{'5) Release_Track'!$F:$F&amp;'5) Release_Track'!$G:$G,'5) Release_Track'!$H:$H},2,0), or(and(not(isblank($B79)),$B79=$B78,$A79&lt;&gt;$A78),and(not(isblank($A79)),$A79=$A78,$B79&lt;&gt;$B78)),"ID LISTS UNALIGNED",and($A79&lt;&gt;"",countif('5) Release_Track'!$F:$F,$A79)=0),"NO ISRC MATCH in Release_Track",and($B79&lt;&gt;"",countif('5) Release_Track'!$G:$G,$B79)=0),"NO CATALOG ID MATCH in Release_Track",iserror(vlookup($A79&amp;$B79,'5) Release_Track'!$F:$F&amp;'5) Release_Track'!$G:$G,1,0)),"NO ISRC-CATALOG ID pair MATCH in Release_Track" )</f>
        <v>Aah Ki Hoya (From "Laiye Je Yaarian" Soundtrack)</v>
      </c>
      <c r="D79" s="121" t="str">
        <f t="array" ref="D79">ifs(and(isblank($A79),isblank($B79)),"", not(iserror(vlookup($A79&amp;$B79,'5) Release_Track'!$F:$F&amp;'5) Release_Track'!$G:$G,1,0))),vlookup($A79&amp;$B79,{'5) Release_Track'!$F:$F&amp;'5) Release_Track'!$G:$G,'5) Release_Track'!$I:$I},2,0), or(and(not(isblank($B79)),$B79=$B78,$A79&lt;&gt;$A78),and(not(isblank($A79)),$A79=$A78,$B79&lt;&gt;$B78)),"ID LISTS UNALIGNED",and($A79&lt;&gt;"",countif('5) Release_Track'!$F:$F,$A79)=0),"NO ISRC MATCH in Release_Track",and($B79&lt;&gt;"",countif('5) Release_Track'!$G:$G,$B79)=0),"NO CATALOG ID MATCH in Release_Track",iserror(vlookup($A79&amp;$B79,'5) Release_Track'!$F:$F&amp;'5) Release_Track'!$G:$G,1,0)),"NO ISRC-CATALOG ID pair MATCH in Release_Track" )</f>
        <v/>
      </c>
      <c r="E79" s="142" t="b">
        <v>0</v>
      </c>
      <c r="F79" s="142" t="b">
        <v>0</v>
      </c>
      <c r="G79" s="142" t="b">
        <v>0</v>
      </c>
      <c r="H79" s="142" t="b">
        <v>0</v>
      </c>
      <c r="I79" s="142" t="b">
        <v>0</v>
      </c>
      <c r="J79" s="142" t="b">
        <v>0</v>
      </c>
      <c r="K79" s="142" t="b">
        <v>0</v>
      </c>
      <c r="L79" s="8" t="b">
        <v>1</v>
      </c>
      <c r="Q79" s="99" t="str">
        <f>VLOOKUP(A79,'5) Release_Track'!F:F,1,0)</f>
        <v>COL5K1902102</v>
      </c>
    </row>
    <row r="80">
      <c r="A80" s="51" t="s">
        <v>506</v>
      </c>
      <c r="B80" s="103"/>
      <c r="C80" s="121" t="str">
        <f t="array" ref="C80">ifs(and(isblank($A80),isblank($B80)),"", not(iserror(vlookup($A80&amp;$B80,'5) Release_Track'!$F:$F&amp;'5) Release_Track'!$G:$G,1,0))),vlookup($A80&amp;$B80,{'5) Release_Track'!$F:$F&amp;'5) Release_Track'!$G:$G,'5) Release_Track'!$H:$H},2,0), or(and(not(isblank($B80)),$B80=$B79,$A80&lt;&gt;$A79),and(not(isblank($A80)),$A80=$A79,$B80&lt;&gt;$B79)),"ID LISTS UNALIGNED",and($A80&lt;&gt;"",countif('5) Release_Track'!$F:$F,$A80)=0),"NO ISRC MATCH in Release_Track",and($B80&lt;&gt;"",countif('5) Release_Track'!$G:$G,$B80)=0),"NO CATALOG ID MATCH in Release_Track",iserror(vlookup($A80&amp;$B80,'5) Release_Track'!$F:$F&amp;'5) Release_Track'!$G:$G,1,0)),"NO ISRC-CATALOG ID pair MATCH in Release_Track" )</f>
        <v>Mathi Mathi (From "Laiye Je Yaarian" Soundtrack)</v>
      </c>
      <c r="D80" s="121" t="str">
        <f t="array" ref="D80">ifs(and(isblank($A80),isblank($B80)),"", not(iserror(vlookup($A80&amp;$B80,'5) Release_Track'!$F:$F&amp;'5) Release_Track'!$G:$G,1,0))),vlookup($A80&amp;$B80,{'5) Release_Track'!$F:$F&amp;'5) Release_Track'!$G:$G,'5) Release_Track'!$I:$I},2,0), or(and(not(isblank($B80)),$B80=$B79,$A80&lt;&gt;$A79),and(not(isblank($A80)),$A80=$A79,$B80&lt;&gt;$B79)),"ID LISTS UNALIGNED",and($A80&lt;&gt;"",countif('5) Release_Track'!$F:$F,$A80)=0),"NO ISRC MATCH in Release_Track",and($B80&lt;&gt;"",countif('5) Release_Track'!$G:$G,$B80)=0),"NO CATALOG ID MATCH in Release_Track",iserror(vlookup($A80&amp;$B80,'5) Release_Track'!$F:$F&amp;'5) Release_Track'!$G:$G,1,0)),"NO ISRC-CATALOG ID pair MATCH in Release_Track" )</f>
        <v/>
      </c>
      <c r="E80" s="142" t="b">
        <v>0</v>
      </c>
      <c r="F80" s="142" t="b">
        <v>0</v>
      </c>
      <c r="G80" s="142" t="b">
        <v>0</v>
      </c>
      <c r="H80" s="142" t="b">
        <v>0</v>
      </c>
      <c r="I80" s="142" t="b">
        <v>0</v>
      </c>
      <c r="J80" s="142" t="b">
        <v>0</v>
      </c>
      <c r="K80" s="142" t="b">
        <v>0</v>
      </c>
      <c r="L80" s="8" t="b">
        <v>1</v>
      </c>
      <c r="Q80" s="99" t="str">
        <f>VLOOKUP(A80,'5) Release_Track'!F:F,1,0)</f>
        <v>COL5K1902103</v>
      </c>
    </row>
    <row r="81">
      <c r="A81" s="51" t="s">
        <v>508</v>
      </c>
      <c r="B81" s="103"/>
      <c r="C81" s="121" t="str">
        <f t="array" ref="C81">ifs(and(isblank($A81),isblank($B81)),"", not(iserror(vlookup($A81&amp;$B81,'5) Release_Track'!$F:$F&amp;'5) Release_Track'!$G:$G,1,0))),vlookup($A81&amp;$B81,{'5) Release_Track'!$F:$F&amp;'5) Release_Track'!$G:$G,'5) Release_Track'!$H:$H},2,0), or(and(not(isblank($B81)),$B81=$B80,$A81&lt;&gt;$A80),and(not(isblank($A81)),$A81=$A80,$B81&lt;&gt;$B80)),"ID LISTS UNALIGNED",and($A81&lt;&gt;"",countif('5) Release_Track'!$F:$F,$A81)=0),"NO ISRC MATCH in Release_Track",and($B81&lt;&gt;"",countif('5) Release_Track'!$G:$G,$B81)=0),"NO CATALOG ID MATCH in Release_Track",iserror(vlookup($A81&amp;$B81,'5) Release_Track'!$F:$F&amp;'5) Release_Track'!$G:$G,1,0)),"NO ISRC-CATALOG ID pair MATCH in Release_Track" )</f>
        <v>Meri Aakad (From "Laiye Je Yaarian" Soundtrack)</v>
      </c>
      <c r="D81" s="121" t="str">
        <f t="array" ref="D81">ifs(and(isblank($A81),isblank($B81)),"", not(iserror(vlookup($A81&amp;$B81,'5) Release_Track'!$F:$F&amp;'5) Release_Track'!$G:$G,1,0))),vlookup($A81&amp;$B81,{'5) Release_Track'!$F:$F&amp;'5) Release_Track'!$G:$G,'5) Release_Track'!$I:$I},2,0), or(and(not(isblank($B81)),$B81=$B80,$A81&lt;&gt;$A80),and(not(isblank($A81)),$A81=$A80,$B81&lt;&gt;$B80)),"ID LISTS UNALIGNED",and($A81&lt;&gt;"",countif('5) Release_Track'!$F:$F,$A81)=0),"NO ISRC MATCH in Release_Track",and($B81&lt;&gt;"",countif('5) Release_Track'!$G:$G,$B81)=0),"NO CATALOG ID MATCH in Release_Track",iserror(vlookup($A81&amp;$B81,'5) Release_Track'!$F:$F&amp;'5) Release_Track'!$G:$G,1,0)),"NO ISRC-CATALOG ID pair MATCH in Release_Track" )</f>
        <v/>
      </c>
      <c r="E81" s="142" t="b">
        <v>0</v>
      </c>
      <c r="F81" s="142" t="b">
        <v>0</v>
      </c>
      <c r="G81" s="142" t="b">
        <v>0</v>
      </c>
      <c r="H81" s="142" t="b">
        <v>0</v>
      </c>
      <c r="I81" s="142" t="b">
        <v>0</v>
      </c>
      <c r="J81" s="142" t="b">
        <v>0</v>
      </c>
      <c r="K81" s="142" t="b">
        <v>0</v>
      </c>
      <c r="L81" s="8" t="b">
        <v>1</v>
      </c>
      <c r="Q81" s="99" t="str">
        <f>VLOOKUP(A81,'5) Release_Track'!F:F,1,0)</f>
        <v>COL5K1902104</v>
      </c>
    </row>
    <row r="82">
      <c r="A82" s="51" t="s">
        <v>510</v>
      </c>
      <c r="B82" s="103"/>
      <c r="C82" s="121" t="str">
        <f t="array" ref="C82">ifs(and(isblank($A82),isblank($B82)),"", not(iserror(vlookup($A82&amp;$B82,'5) Release_Track'!$F:$F&amp;'5) Release_Track'!$G:$G,1,0))),vlookup($A82&amp;$B82,{'5) Release_Track'!$F:$F&amp;'5) Release_Track'!$G:$G,'5) Release_Track'!$H:$H},2,0), or(and(not(isblank($B82)),$B82=$B81,$A82&lt;&gt;$A81),and(not(isblank($A82)),$A82=$A81,$B82&lt;&gt;$B81)),"ID LISTS UNALIGNED",and($A82&lt;&gt;"",countif('5) Release_Track'!$F:$F,$A82)=0),"NO ISRC MATCH in Release_Track",and($B82&lt;&gt;"",countif('5) Release_Track'!$G:$G,$B82)=0),"NO CATALOG ID MATCH in Release_Track",iserror(vlookup($A82&amp;$B82,'5) Release_Track'!$F:$F&amp;'5) Release_Track'!$G:$G,1,0)),"NO ISRC-CATALOG ID pair MATCH in Release_Track" )</f>
        <v>Dil Main Nahi Laona (From "Laiye Je Yaarian" Soundtrack)</v>
      </c>
      <c r="D82" s="121" t="str">
        <f t="array" ref="D82">ifs(and(isblank($A82),isblank($B82)),"", not(iserror(vlookup($A82&amp;$B82,'5) Release_Track'!$F:$F&amp;'5) Release_Track'!$G:$G,1,0))),vlookup($A82&amp;$B82,{'5) Release_Track'!$F:$F&amp;'5) Release_Track'!$G:$G,'5) Release_Track'!$I:$I},2,0), or(and(not(isblank($B82)),$B82=$B81,$A82&lt;&gt;$A81),and(not(isblank($A82)),$A82=$A81,$B82&lt;&gt;$B81)),"ID LISTS UNALIGNED",and($A82&lt;&gt;"",countif('5) Release_Track'!$F:$F,$A82)=0),"NO ISRC MATCH in Release_Track",and($B82&lt;&gt;"",countif('5) Release_Track'!$G:$G,$B82)=0),"NO CATALOG ID MATCH in Release_Track",iserror(vlookup($A82&amp;$B82,'5) Release_Track'!$F:$F&amp;'5) Release_Track'!$G:$G,1,0)),"NO ISRC-CATALOG ID pair MATCH in Release_Track" )</f>
        <v/>
      </c>
      <c r="E82" s="142" t="b">
        <v>0</v>
      </c>
      <c r="F82" s="142" t="b">
        <v>0</v>
      </c>
      <c r="G82" s="142" t="b">
        <v>0</v>
      </c>
      <c r="H82" s="142" t="b">
        <v>0</v>
      </c>
      <c r="I82" s="142" t="b">
        <v>0</v>
      </c>
      <c r="J82" s="142" t="b">
        <v>0</v>
      </c>
      <c r="K82" s="142" t="b">
        <v>0</v>
      </c>
      <c r="L82" s="8" t="b">
        <v>1</v>
      </c>
      <c r="Q82" s="99" t="str">
        <f>VLOOKUP(A82,'5) Release_Track'!F:F,1,0)</f>
        <v>COL5K1902105</v>
      </c>
    </row>
    <row r="83">
      <c r="A83" s="51" t="s">
        <v>512</v>
      </c>
      <c r="B83" s="103"/>
      <c r="C83" s="121" t="str">
        <f t="array" ref="C83">ifs(and(isblank($A83),isblank($B83)),"", not(iserror(vlookup($A83&amp;$B83,'5) Release_Track'!$F:$F&amp;'5) Release_Track'!$G:$G,1,0))),vlookup($A83&amp;$B83,{'5) Release_Track'!$F:$F&amp;'5) Release_Track'!$G:$G,'5) Release_Track'!$H:$H},2,0), or(and(not(isblank($B83)),$B83=$B82,$A83&lt;&gt;$A82),and(not(isblank($A83)),$A83=$A82,$B83&lt;&gt;$B82)),"ID LISTS UNALIGNED",and($A83&lt;&gt;"",countif('5) Release_Track'!$F:$F,$A83)=0),"NO ISRC MATCH in Release_Track",and($B83&lt;&gt;"",countif('5) Release_Track'!$G:$G,$B83)=0),"NO CATALOG ID MATCH in Release_Track",iserror(vlookup($A83&amp;$B83,'5) Release_Track'!$F:$F&amp;'5) Release_Track'!$G:$G,1,0)),"NO ISRC-CATALOG ID pair MATCH in Release_Track" )</f>
        <v>Dil Main Nahi Laona (From "Laiye Je Yaarian" Soundtrack)</v>
      </c>
      <c r="D83" s="121" t="str">
        <f t="array" ref="D83">ifs(and(isblank($A83),isblank($B83)),"", not(iserror(vlookup($A83&amp;$B83,'5) Release_Track'!$F:$F&amp;'5) Release_Track'!$G:$G,1,0))),vlookup($A83&amp;$B83,{'5) Release_Track'!$F:$F&amp;'5) Release_Track'!$G:$G,'5) Release_Track'!$I:$I},2,0), or(and(not(isblank($B83)),$B83=$B82,$A83&lt;&gt;$A82),and(not(isblank($A83)),$A83=$A82,$B83&lt;&gt;$B82)),"ID LISTS UNALIGNED",and($A83&lt;&gt;"",countif('5) Release_Track'!$F:$F,$A83)=0),"NO ISRC MATCH in Release_Track",and($B83&lt;&gt;"",countif('5) Release_Track'!$G:$G,$B83)=0),"NO CATALOG ID MATCH in Release_Track",iserror(vlookup($A83&amp;$B83,'5) Release_Track'!$F:$F&amp;'5) Release_Track'!$G:$G,1,0)),"NO ISRC-CATALOG ID pair MATCH in Release_Track" )</f>
        <v>Acoustic</v>
      </c>
      <c r="E83" s="142" t="b">
        <v>0</v>
      </c>
      <c r="F83" s="142" t="b">
        <v>0</v>
      </c>
      <c r="G83" s="142" t="b">
        <v>0</v>
      </c>
      <c r="H83" s="142" t="b">
        <v>0</v>
      </c>
      <c r="I83" s="142" t="b">
        <v>0</v>
      </c>
      <c r="J83" s="142" t="b">
        <v>0</v>
      </c>
      <c r="K83" s="142" t="b">
        <v>0</v>
      </c>
      <c r="L83" s="8" t="b">
        <v>1</v>
      </c>
      <c r="Q83" s="99" t="str">
        <f>VLOOKUP(A83,'5) Release_Track'!F:F,1,0)</f>
        <v>COL5K1902106</v>
      </c>
    </row>
    <row r="84">
      <c r="A84" s="51" t="s">
        <v>515</v>
      </c>
      <c r="B84" s="103"/>
      <c r="C84" s="121" t="str">
        <f t="array" ref="C84">ifs(and(isblank($A84),isblank($B84)),"", not(iserror(vlookup($A84&amp;$B84,'5) Release_Track'!$F:$F&amp;'5) Release_Track'!$G:$G,1,0))),vlookup($A84&amp;$B84,{'5) Release_Track'!$F:$F&amp;'5) Release_Track'!$G:$G,'5) Release_Track'!$H:$H},2,0), or(and(not(isblank($B84)),$B84=$B83,$A84&lt;&gt;$A83),and(not(isblank($A84)),$A84=$A83,$B84&lt;&gt;$B83)),"ID LISTS UNALIGNED",and($A84&lt;&gt;"",countif('5) Release_Track'!$F:$F,$A84)=0),"NO ISRC MATCH in Release_Track",and($B84&lt;&gt;"",countif('5) Release_Track'!$G:$G,$B84)=0),"NO CATALOG ID MATCH in Release_Track",iserror(vlookup($A84&amp;$B84,'5) Release_Track'!$F:$F&amp;'5) Release_Track'!$G:$G,1,0)),"NO ISRC-CATALOG ID pair MATCH in Release_Track" )</f>
        <v>U &amp; I (From "Laiye Je Yaarian" Soundtrack)</v>
      </c>
      <c r="D84" s="121" t="str">
        <f t="array" ref="D84">ifs(and(isblank($A84),isblank($B84)),"", not(iserror(vlookup($A84&amp;$B84,'5) Release_Track'!$F:$F&amp;'5) Release_Track'!$G:$G,1,0))),vlookup($A84&amp;$B84,{'5) Release_Track'!$F:$F&amp;'5) Release_Track'!$G:$G,'5) Release_Track'!$I:$I},2,0), or(and(not(isblank($B84)),$B84=$B83,$A84&lt;&gt;$A83),and(not(isblank($A84)),$A84=$A83,$B84&lt;&gt;$B83)),"ID LISTS UNALIGNED",and($A84&lt;&gt;"",countif('5) Release_Track'!$F:$F,$A84)=0),"NO ISRC MATCH in Release_Track",and($B84&lt;&gt;"",countif('5) Release_Track'!$G:$G,$B84)=0),"NO CATALOG ID MATCH in Release_Track",iserror(vlookup($A84&amp;$B84,'5) Release_Track'!$F:$F&amp;'5) Release_Track'!$G:$G,1,0)),"NO ISRC-CATALOG ID pair MATCH in Release_Track" )</f>
        <v/>
      </c>
      <c r="E84" s="142" t="b">
        <v>0</v>
      </c>
      <c r="F84" s="142" t="b">
        <v>0</v>
      </c>
      <c r="G84" s="142" t="b">
        <v>0</v>
      </c>
      <c r="H84" s="142" t="b">
        <v>0</v>
      </c>
      <c r="I84" s="142" t="b">
        <v>0</v>
      </c>
      <c r="J84" s="142" t="b">
        <v>0</v>
      </c>
      <c r="K84" s="142" t="b">
        <v>0</v>
      </c>
      <c r="L84" s="8" t="b">
        <v>1</v>
      </c>
      <c r="Q84" s="99" t="str">
        <f>VLOOKUP(A84,'5) Release_Track'!F:F,1,0)</f>
        <v>COL5K1902107</v>
      </c>
    </row>
    <row r="85">
      <c r="A85" s="51" t="s">
        <v>517</v>
      </c>
      <c r="B85" s="103"/>
      <c r="C85" s="121" t="str">
        <f t="array" ref="C85">ifs(and(isblank($A85),isblank($B85)),"", not(iserror(vlookup($A85&amp;$B85,'5) Release_Track'!$F:$F&amp;'5) Release_Track'!$G:$G,1,0))),vlookup($A85&amp;$B85,{'5) Release_Track'!$F:$F&amp;'5) Release_Track'!$G:$G,'5) Release_Track'!$H:$H},2,0), or(and(not(isblank($B85)),$B85=$B84,$A85&lt;&gt;$A84),and(not(isblank($A85)),$A85=$A84,$B85&lt;&gt;$B84)),"ID LISTS UNALIGNED",and($A85&lt;&gt;"",countif('5) Release_Track'!$F:$F,$A85)=0),"NO ISRC MATCH in Release_Track",and($B85&lt;&gt;"",countif('5) Release_Track'!$G:$G,$B85)=0),"NO CATALOG ID MATCH in Release_Track",iserror(vlookup($A85&amp;$B85,'5) Release_Track'!$F:$F&amp;'5) Release_Track'!$G:$G,1,0)),"NO ISRC-CATALOG ID pair MATCH in Release_Track" )</f>
        <v>Kurti De Mor (From "Laiye Je Yaarian" Soundtrack)</v>
      </c>
      <c r="D85" s="121" t="str">
        <f t="array" ref="D85">ifs(and(isblank($A85),isblank($B85)),"", not(iserror(vlookup($A85&amp;$B85,'5) Release_Track'!$F:$F&amp;'5) Release_Track'!$G:$G,1,0))),vlookup($A85&amp;$B85,{'5) Release_Track'!$F:$F&amp;'5) Release_Track'!$G:$G,'5) Release_Track'!$I:$I},2,0), or(and(not(isblank($B85)),$B85=$B84,$A85&lt;&gt;$A84),and(not(isblank($A85)),$A85=$A84,$B85&lt;&gt;$B84)),"ID LISTS UNALIGNED",and($A85&lt;&gt;"",countif('5) Release_Track'!$F:$F,$A85)=0),"NO ISRC MATCH in Release_Track",and($B85&lt;&gt;"",countif('5) Release_Track'!$G:$G,$B85)=0),"NO CATALOG ID MATCH in Release_Track",iserror(vlookup($A85&amp;$B85,'5) Release_Track'!$F:$F&amp;'5) Release_Track'!$G:$G,1,0)),"NO ISRC-CATALOG ID pair MATCH in Release_Track" )</f>
        <v/>
      </c>
      <c r="E85" s="142" t="b">
        <v>0</v>
      </c>
      <c r="F85" s="142" t="b">
        <v>0</v>
      </c>
      <c r="G85" s="142" t="b">
        <v>0</v>
      </c>
      <c r="H85" s="142" t="b">
        <v>0</v>
      </c>
      <c r="I85" s="142" t="b">
        <v>0</v>
      </c>
      <c r="J85" s="142" t="b">
        <v>0</v>
      </c>
      <c r="K85" s="142" t="b">
        <v>0</v>
      </c>
      <c r="L85" s="8" t="b">
        <v>1</v>
      </c>
      <c r="Q85" s="99" t="str">
        <f>VLOOKUP(A85,'5) Release_Track'!F:F,1,0)</f>
        <v>COL5K1902108</v>
      </c>
    </row>
    <row r="86">
      <c r="A86" s="51" t="s">
        <v>519</v>
      </c>
      <c r="B86" s="103"/>
      <c r="C86" s="121" t="str">
        <f t="array" ref="C86">ifs(and(isblank($A86),isblank($B86)),"", not(iserror(vlookup($A86&amp;$B86,'5) Release_Track'!$F:$F&amp;'5) Release_Track'!$G:$G,1,0))),vlookup($A86&amp;$B86,{'5) Release_Track'!$F:$F&amp;'5) Release_Track'!$G:$G,'5) Release_Track'!$H:$H},2,0), or(and(not(isblank($B86)),$B86=$B85,$A86&lt;&gt;$A85),and(not(isblank($A86)),$A86=$A85,$B86&lt;&gt;$B85)),"ID LISTS UNALIGNED",and($A86&lt;&gt;"",countif('5) Release_Track'!$F:$F,$A86)=0),"NO ISRC MATCH in Release_Track",and($B86&lt;&gt;"",countif('5) Release_Track'!$G:$G,$B86)=0),"NO CATALOG ID MATCH in Release_Track",iserror(vlookup($A86&amp;$B86,'5) Release_Track'!$F:$F&amp;'5) Release_Track'!$G:$G,1,0)),"NO ISRC-CATALOG ID pair MATCH in Release_Track" )</f>
        <v>Baddlan De Kaalje (From "Chal Mera Putt" Soundtrack)</v>
      </c>
      <c r="D86" s="121" t="str">
        <f t="array" ref="D86">ifs(and(isblank($A86),isblank($B86)),"", not(iserror(vlookup($A86&amp;$B86,'5) Release_Track'!$F:$F&amp;'5) Release_Track'!$G:$G,1,0))),vlookup($A86&amp;$B86,{'5) Release_Track'!$F:$F&amp;'5) Release_Track'!$G:$G,'5) Release_Track'!$I:$I},2,0), or(and(not(isblank($B86)),$B86=$B85,$A86&lt;&gt;$A85),and(not(isblank($A86)),$A86=$A85,$B86&lt;&gt;$B85)),"ID LISTS UNALIGNED",and($A86&lt;&gt;"",countif('5) Release_Track'!$F:$F,$A86)=0),"NO ISRC MATCH in Release_Track",and($B86&lt;&gt;"",countif('5) Release_Track'!$G:$G,$B86)=0),"NO CATALOG ID MATCH in Release_Track",iserror(vlookup($A86&amp;$B86,'5) Release_Track'!$F:$F&amp;'5) Release_Track'!$G:$G,1,0)),"NO ISRC-CATALOG ID pair MATCH in Release_Track" )</f>
        <v/>
      </c>
      <c r="E86" s="142" t="b">
        <v>0</v>
      </c>
      <c r="F86" s="142" t="b">
        <v>0</v>
      </c>
      <c r="G86" s="142" t="b">
        <v>0</v>
      </c>
      <c r="H86" s="142" t="b">
        <v>0</v>
      </c>
      <c r="I86" s="142" t="b">
        <v>0</v>
      </c>
      <c r="J86" s="142" t="b">
        <v>0</v>
      </c>
      <c r="K86" s="142" t="b">
        <v>0</v>
      </c>
      <c r="L86" s="8" t="b">
        <v>1</v>
      </c>
      <c r="Q86" s="99" t="str">
        <f>VLOOKUP(A86,'5) Release_Track'!F:F,1,0)</f>
        <v>COL5K1902201</v>
      </c>
    </row>
    <row r="87">
      <c r="A87" s="51" t="s">
        <v>521</v>
      </c>
      <c r="B87" s="103"/>
      <c r="C87" s="121" t="str">
        <f t="array" ref="C87">ifs(and(isblank($A87),isblank($B87)),"", not(iserror(vlookup($A87&amp;$B87,'5) Release_Track'!$F:$F&amp;'5) Release_Track'!$G:$G,1,0))),vlookup($A87&amp;$B87,{'5) Release_Track'!$F:$F&amp;'5) Release_Track'!$G:$G,'5) Release_Track'!$H:$H},2,0), or(and(not(isblank($B87)),$B87=$B86,$A87&lt;&gt;$A86),and(not(isblank($A87)),$A87=$A86,$B87&lt;&gt;$B86)),"ID LISTS UNALIGNED",and($A87&lt;&gt;"",countif('5) Release_Track'!$F:$F,$A87)=0),"NO ISRC MATCH in Release_Track",and($B87&lt;&gt;"",countif('5) Release_Track'!$G:$G,$B87)=0),"NO CATALOG ID MATCH in Release_Track",iserror(vlookup($A87&amp;$B87,'5) Release_Track'!$F:$F&amp;'5) Release_Track'!$G:$G,1,0)),"NO ISRC-CATALOG ID pair MATCH in Release_Track" )</f>
        <v>Chal Mera Putt - Title Track (From "Chal Mera Putt" Soundtrack)</v>
      </c>
      <c r="D87" s="121" t="str">
        <f t="array" ref="D87">ifs(and(isblank($A87),isblank($B87)),"", not(iserror(vlookup($A87&amp;$B87,'5) Release_Track'!$F:$F&amp;'5) Release_Track'!$G:$G,1,0))),vlookup($A87&amp;$B87,{'5) Release_Track'!$F:$F&amp;'5) Release_Track'!$G:$G,'5) Release_Track'!$I:$I},2,0), or(and(not(isblank($B87)),$B87=$B86,$A87&lt;&gt;$A86),and(not(isblank($A87)),$A87=$A86,$B87&lt;&gt;$B86)),"ID LISTS UNALIGNED",and($A87&lt;&gt;"",countif('5) Release_Track'!$F:$F,$A87)=0),"NO ISRC MATCH in Release_Track",and($B87&lt;&gt;"",countif('5) Release_Track'!$G:$G,$B87)=0),"NO CATALOG ID MATCH in Release_Track",iserror(vlookup($A87&amp;$B87,'5) Release_Track'!$F:$F&amp;'5) Release_Track'!$G:$G,1,0)),"NO ISRC-CATALOG ID pair MATCH in Release_Track" )</f>
        <v/>
      </c>
      <c r="E87" s="142" t="b">
        <v>0</v>
      </c>
      <c r="F87" s="142" t="b">
        <v>0</v>
      </c>
      <c r="G87" s="142" t="b">
        <v>0</v>
      </c>
      <c r="H87" s="142" t="b">
        <v>0</v>
      </c>
      <c r="I87" s="142" t="b">
        <v>0</v>
      </c>
      <c r="J87" s="142" t="b">
        <v>0</v>
      </c>
      <c r="K87" s="142" t="b">
        <v>0</v>
      </c>
      <c r="L87" s="8" t="b">
        <v>1</v>
      </c>
      <c r="Q87" s="99" t="str">
        <f>VLOOKUP(A87,'5) Release_Track'!F:F,1,0)</f>
        <v>COL5K1902202</v>
      </c>
    </row>
    <row r="88">
      <c r="A88" s="51" t="s">
        <v>523</v>
      </c>
      <c r="B88" s="103"/>
      <c r="C88" s="121" t="str">
        <f t="array" ref="C88">ifs(and(isblank($A88),isblank($B88)),"", not(iserror(vlookup($A88&amp;$B88,'5) Release_Track'!$F:$F&amp;'5) Release_Track'!$G:$G,1,0))),vlookup($A88&amp;$B88,{'5) Release_Track'!$F:$F&amp;'5) Release_Track'!$G:$G,'5) Release_Track'!$H:$H},2,0), or(and(not(isblank($B88)),$B88=$B87,$A88&lt;&gt;$A87),and(not(isblank($A88)),$A88=$A87,$B88&lt;&gt;$B87)),"ID LISTS UNALIGNED",and($A88&lt;&gt;"",countif('5) Release_Track'!$F:$F,$A88)=0),"NO ISRC MATCH in Release_Track",and($B88&lt;&gt;"",countif('5) Release_Track'!$G:$G,$B88)=0),"NO CATALOG ID MATCH in Release_Track",iserror(vlookup($A88&amp;$B88,'5) Release_Track'!$F:$F&amp;'5) Release_Track'!$G:$G,1,0)),"NO ISRC-CATALOG ID pair MATCH in Release_Track" )</f>
        <v>Aaban De Deson (From "Chal Mera Putt" Soundtrack)</v>
      </c>
      <c r="D88" s="121" t="str">
        <f t="array" ref="D88">ifs(and(isblank($A88),isblank($B88)),"", not(iserror(vlookup($A88&amp;$B88,'5) Release_Track'!$F:$F&amp;'5) Release_Track'!$G:$G,1,0))),vlookup($A88&amp;$B88,{'5) Release_Track'!$F:$F&amp;'5) Release_Track'!$G:$G,'5) Release_Track'!$I:$I},2,0), or(and(not(isblank($B88)),$B88=$B87,$A88&lt;&gt;$A87),and(not(isblank($A88)),$A88=$A87,$B88&lt;&gt;$B87)),"ID LISTS UNALIGNED",and($A88&lt;&gt;"",countif('5) Release_Track'!$F:$F,$A88)=0),"NO ISRC MATCH in Release_Track",and($B88&lt;&gt;"",countif('5) Release_Track'!$G:$G,$B88)=0),"NO CATALOG ID MATCH in Release_Track",iserror(vlookup($A88&amp;$B88,'5) Release_Track'!$F:$F&amp;'5) Release_Track'!$G:$G,1,0)),"NO ISRC-CATALOG ID pair MATCH in Release_Track" )</f>
        <v/>
      </c>
      <c r="E88" s="142" t="b">
        <v>0</v>
      </c>
      <c r="F88" s="142" t="b">
        <v>0</v>
      </c>
      <c r="G88" s="142" t="b">
        <v>0</v>
      </c>
      <c r="H88" s="142" t="b">
        <v>0</v>
      </c>
      <c r="I88" s="142" t="b">
        <v>0</v>
      </c>
      <c r="J88" s="142" t="b">
        <v>0</v>
      </c>
      <c r="K88" s="142" t="b">
        <v>0</v>
      </c>
      <c r="L88" s="8" t="b">
        <v>1</v>
      </c>
      <c r="Q88" s="99" t="str">
        <f>VLOOKUP(A88,'5) Release_Track'!F:F,1,0)</f>
        <v>COL5K1902203</v>
      </c>
    </row>
    <row r="89">
      <c r="A89" s="51" t="s">
        <v>525</v>
      </c>
      <c r="B89" s="103"/>
      <c r="C89" s="121" t="str">
        <f t="array" ref="C89">ifs(and(isblank($A89),isblank($B89)),"", not(iserror(vlookup($A89&amp;$B89,'5) Release_Track'!$F:$F&amp;'5) Release_Track'!$G:$G,1,0))),vlookup($A89&amp;$B89,{'5) Release_Track'!$F:$F&amp;'5) Release_Track'!$G:$G,'5) Release_Track'!$H:$H},2,0), or(and(not(isblank($B89)),$B89=$B88,$A89&lt;&gt;$A88),and(not(isblank($A89)),$A89=$A88,$B89&lt;&gt;$B88)),"ID LISTS UNALIGNED",and($A89&lt;&gt;"",countif('5) Release_Track'!$F:$F,$A89)=0),"NO ISRC MATCH in Release_Track",and($B89&lt;&gt;"",countif('5) Release_Track'!$G:$G,$B89)=0),"NO CATALOG ID MATCH in Release_Track",iserror(vlookup($A89&amp;$B89,'5) Release_Track'!$F:$F&amp;'5) Release_Track'!$G:$G,1,0)),"NO ISRC-CATALOG ID pair MATCH in Release_Track" )</f>
        <v>Shiftaan (From "Chal Mera Putt" Soundtrack)</v>
      </c>
      <c r="D89" s="121" t="str">
        <f t="array" ref="D89">ifs(and(isblank($A89),isblank($B89)),"", not(iserror(vlookup($A89&amp;$B89,'5) Release_Track'!$F:$F&amp;'5) Release_Track'!$G:$G,1,0))),vlookup($A89&amp;$B89,{'5) Release_Track'!$F:$F&amp;'5) Release_Track'!$G:$G,'5) Release_Track'!$I:$I},2,0), or(and(not(isblank($B89)),$B89=$B88,$A89&lt;&gt;$A88),and(not(isblank($A89)),$A89=$A88,$B89&lt;&gt;$B88)),"ID LISTS UNALIGNED",and($A89&lt;&gt;"",countif('5) Release_Track'!$F:$F,$A89)=0),"NO ISRC MATCH in Release_Track",and($B89&lt;&gt;"",countif('5) Release_Track'!$G:$G,$B89)=0),"NO CATALOG ID MATCH in Release_Track",iserror(vlookup($A89&amp;$B89,'5) Release_Track'!$F:$F&amp;'5) Release_Track'!$G:$G,1,0)),"NO ISRC-CATALOG ID pair MATCH in Release_Track" )</f>
        <v/>
      </c>
      <c r="E89" s="142" t="b">
        <v>0</v>
      </c>
      <c r="F89" s="142" t="b">
        <v>0</v>
      </c>
      <c r="G89" s="142" t="b">
        <v>0</v>
      </c>
      <c r="H89" s="142" t="b">
        <v>0</v>
      </c>
      <c r="I89" s="142" t="b">
        <v>0</v>
      </c>
      <c r="J89" s="142" t="b">
        <v>0</v>
      </c>
      <c r="K89" s="142" t="b">
        <v>0</v>
      </c>
      <c r="L89" s="8" t="b">
        <v>1</v>
      </c>
      <c r="Q89" s="99" t="str">
        <f>VLOOKUP(A89,'5) Release_Track'!F:F,1,0)</f>
        <v>COL5K1902204</v>
      </c>
    </row>
    <row r="90">
      <c r="A90" s="51" t="s">
        <v>527</v>
      </c>
      <c r="B90" s="103"/>
      <c r="C90" s="121" t="str">
        <f t="array" ref="C90">ifs(and(isblank($A90),isblank($B90)),"", not(iserror(vlookup($A90&amp;$B90,'5) Release_Track'!$F:$F&amp;'5) Release_Track'!$G:$G,1,0))),vlookup($A90&amp;$B90,{'5) Release_Track'!$F:$F&amp;'5) Release_Track'!$G:$G,'5) Release_Track'!$H:$H},2,0), or(and(not(isblank($B90)),$B90=$B89,$A90&lt;&gt;$A89),and(not(isblank($A90)),$A90=$A89,$B90&lt;&gt;$B89)),"ID LISTS UNALIGNED",and($A90&lt;&gt;"",countif('5) Release_Track'!$F:$F,$A90)=0),"NO ISRC MATCH in Release_Track",and($B90&lt;&gt;"",countif('5) Release_Track'!$G:$G,$B90)=0),"NO CATALOG ID MATCH in Release_Track",iserror(vlookup($A90&amp;$B90,'5) Release_Track'!$F:$F&amp;'5) Release_Track'!$G:$G,1,0)),"NO ISRC-CATALOG ID pair MATCH in Release_Track" )</f>
        <v>Gallan Na Changian (From "Chal Mera Putt" Soundtrack)</v>
      </c>
      <c r="D90" s="121" t="str">
        <f t="array" ref="D90">ifs(and(isblank($A90),isblank($B90)),"", not(iserror(vlookup($A90&amp;$B90,'5) Release_Track'!$F:$F&amp;'5) Release_Track'!$G:$G,1,0))),vlookup($A90&amp;$B90,{'5) Release_Track'!$F:$F&amp;'5) Release_Track'!$G:$G,'5) Release_Track'!$I:$I},2,0), or(and(not(isblank($B90)),$B90=$B89,$A90&lt;&gt;$A89),and(not(isblank($A90)),$A90=$A89,$B90&lt;&gt;$B89)),"ID LISTS UNALIGNED",and($A90&lt;&gt;"",countif('5) Release_Track'!$F:$F,$A90)=0),"NO ISRC MATCH in Release_Track",and($B90&lt;&gt;"",countif('5) Release_Track'!$G:$G,$B90)=0),"NO CATALOG ID MATCH in Release_Track",iserror(vlookup($A90&amp;$B90,'5) Release_Track'!$F:$F&amp;'5) Release_Track'!$G:$G,1,0)),"NO ISRC-CATALOG ID pair MATCH in Release_Track" )</f>
        <v/>
      </c>
      <c r="E90" s="142" t="b">
        <v>0</v>
      </c>
      <c r="F90" s="142" t="b">
        <v>0</v>
      </c>
      <c r="G90" s="142" t="b">
        <v>0</v>
      </c>
      <c r="H90" s="142" t="b">
        <v>0</v>
      </c>
      <c r="I90" s="142" t="b">
        <v>0</v>
      </c>
      <c r="J90" s="142" t="b">
        <v>0</v>
      </c>
      <c r="K90" s="142" t="b">
        <v>0</v>
      </c>
      <c r="L90" s="8" t="b">
        <v>1</v>
      </c>
      <c r="Q90" s="99" t="str">
        <f>VLOOKUP(A90,'5) Release_Track'!F:F,1,0)</f>
        <v>COL5K1902205</v>
      </c>
    </row>
    <row r="91">
      <c r="A91" s="51" t="s">
        <v>529</v>
      </c>
      <c r="B91" s="103"/>
      <c r="C91" s="121" t="str">
        <f t="array" ref="C91">ifs(and(isblank($A91),isblank($B91)),"", not(iserror(vlookup($A91&amp;$B91,'5) Release_Track'!$F:$F&amp;'5) Release_Track'!$G:$G,1,0))),vlookup($A91&amp;$B91,{'5) Release_Track'!$F:$F&amp;'5) Release_Track'!$G:$G,'5) Release_Track'!$H:$H},2,0), or(and(not(isblank($B91)),$B91=$B90,$A91&lt;&gt;$A90),and(not(isblank($A91)),$A91=$A90,$B91&lt;&gt;$B90)),"ID LISTS UNALIGNED",and($A91&lt;&gt;"",countif('5) Release_Track'!$F:$F,$A91)=0),"NO ISRC MATCH in Release_Track",and($B91&lt;&gt;"",countif('5) Release_Track'!$G:$G,$B91)=0),"NO CATALOG ID MATCH in Release_Track",iserror(vlookup($A91&amp;$B91,'5) Release_Track'!$F:$F&amp;'5) Release_Track'!$G:$G,1,0)),"NO ISRC-CATALOG ID pair MATCH in Release_Track" )</f>
        <v>Nanak Aadh Jugaadh Jiyo</v>
      </c>
      <c r="D91" s="121" t="str">
        <f t="array" ref="D91">ifs(and(isblank($A91),isblank($B91)),"", not(iserror(vlookup($A91&amp;$B91,'5) Release_Track'!$F:$F&amp;'5) Release_Track'!$G:$G,1,0))),vlookup($A91&amp;$B91,{'5) Release_Track'!$F:$F&amp;'5) Release_Track'!$G:$G,'5) Release_Track'!$I:$I},2,0), or(and(not(isblank($B91)),$B91=$B90,$A91&lt;&gt;$A90),and(not(isblank($A91)),$A91=$A90,$B91&lt;&gt;$B90)),"ID LISTS UNALIGNED",and($A91&lt;&gt;"",countif('5) Release_Track'!$F:$F,$A91)=0),"NO ISRC MATCH in Release_Track",and($B91&lt;&gt;"",countif('5) Release_Track'!$G:$G,$B91)=0),"NO CATALOG ID MATCH in Release_Track",iserror(vlookup($A91&amp;$B91,'5) Release_Track'!$F:$F&amp;'5) Release_Track'!$G:$G,1,0)),"NO ISRC-CATALOG ID pair MATCH in Release_Track" )</f>
        <v/>
      </c>
      <c r="E91" s="142" t="b">
        <v>0</v>
      </c>
      <c r="F91" s="142" t="b">
        <v>0</v>
      </c>
      <c r="G91" s="142" t="b">
        <v>0</v>
      </c>
      <c r="H91" s="142" t="b">
        <v>0</v>
      </c>
      <c r="I91" s="142" t="b">
        <v>0</v>
      </c>
      <c r="J91" s="142" t="b">
        <v>0</v>
      </c>
      <c r="K91" s="142" t="b">
        <v>0</v>
      </c>
      <c r="L91" s="8" t="b">
        <v>1</v>
      </c>
      <c r="Q91" s="99" t="str">
        <f>VLOOKUP(A91,'5) Release_Track'!F:F,1,0)</f>
        <v>COL5K1902301</v>
      </c>
    </row>
    <row r="92">
      <c r="A92" s="51" t="s">
        <v>531</v>
      </c>
      <c r="B92" s="103"/>
      <c r="C92" s="121" t="str">
        <f t="array" ref="C92">ifs(and(isblank($A92),isblank($B92)),"", not(iserror(vlookup($A92&amp;$B92,'5) Release_Track'!$F:$F&amp;'5) Release_Track'!$G:$G,1,0))),vlookup($A92&amp;$B92,{'5) Release_Track'!$F:$F&amp;'5) Release_Track'!$G:$G,'5) Release_Track'!$H:$H},2,0), or(and(not(isblank($B92)),$B92=#REF!,$A92&lt;&gt;#REF!),and(not(isblank($A92)),$A92=#REF!,$B92&lt;&gt;#REF!)),"ID LISTS UNALIGNED",and($A92&lt;&gt;"",countif('5) Release_Track'!$F:$F,$A92)=0),"NO ISRC MATCH in Release_Track",and($B92&lt;&gt;"",countif('5) Release_Track'!$G:$G,$B92)=0),"NO CATALOG ID MATCH in Release_Track",iserror(vlookup($A92&amp;$B92,'5) Release_Track'!$F:$F&amp;'5) Release_Track'!$G:$G,1,0)),"NO ISRC-CATALOG ID pair MATCH in Release_Track" )</f>
        <v>Boota Gaalan Kad Da Ae (From "Chal Mera Putt 2" Soundtrack)</v>
      </c>
      <c r="D92" s="121" t="str">
        <f t="array" ref="D92">ifs(and(isblank($A92),isblank($B92)),"", not(iserror(vlookup($A92&amp;$B92,'5) Release_Track'!$F:$F&amp;'5) Release_Track'!$G:$G,1,0))),vlookup($A92&amp;$B92,{'5) Release_Track'!$F:$F&amp;'5) Release_Track'!$G:$G,'5) Release_Track'!$I:$I},2,0), or(and(not(isblank($B92)),$B92=#REF!,$A92&lt;&gt;#REF!),and(not(isblank($A92)),$A92=#REF!,$B92&lt;&gt;#REF!)),"ID LISTS UNALIGNED",and($A92&lt;&gt;"",countif('5) Release_Track'!$F:$F,$A92)=0),"NO ISRC MATCH in Release_Track",and($B92&lt;&gt;"",countif('5) Release_Track'!$G:$G,$B92)=0),"NO CATALOG ID MATCH in Release_Track",iserror(vlookup($A92&amp;$B92,'5) Release_Track'!$F:$F&amp;'5) Release_Track'!$G:$G,1,0)),"NO ISRC-CATALOG ID pair MATCH in Release_Track" )</f>
        <v/>
      </c>
      <c r="E92" s="142" t="b">
        <v>0</v>
      </c>
      <c r="F92" s="142" t="b">
        <v>0</v>
      </c>
      <c r="G92" s="142" t="b">
        <v>0</v>
      </c>
      <c r="H92" s="142" t="b">
        <v>0</v>
      </c>
      <c r="I92" s="142" t="b">
        <v>0</v>
      </c>
      <c r="J92" s="142" t="b">
        <v>0</v>
      </c>
      <c r="K92" s="142" t="b">
        <v>0</v>
      </c>
      <c r="L92" s="8" t="b">
        <v>1</v>
      </c>
      <c r="Q92" s="99" t="str">
        <f>VLOOKUP(A92,'5) Release_Track'!F:F,1,0)</f>
        <v>COL5K2002901</v>
      </c>
    </row>
    <row r="93">
      <c r="A93" s="51" t="s">
        <v>533</v>
      </c>
      <c r="B93" s="103"/>
      <c r="C93" s="121" t="str">
        <f t="array" ref="C93">ifs(and(isblank($A93),isblank($B93)),"", not(iserror(vlookup($A93&amp;$B93,'5) Release_Track'!$F:$F&amp;'5) Release_Track'!$G:$G,1,0))),vlookup($A93&amp;$B93,{'5) Release_Track'!$F:$F&amp;'5) Release_Track'!$G:$G,'5) Release_Track'!$H:$H},2,0), or(and(not(isblank($B93)),$B93=$B92,$A93&lt;&gt;$A92),and(not(isblank($A93)),$A93=$A92,$B93&lt;&gt;$B92)),"ID LISTS UNALIGNED",and($A93&lt;&gt;"",countif('5) Release_Track'!$F:$F,$A93)=0),"NO ISRC MATCH in Release_Track",and($B93&lt;&gt;"",countif('5) Release_Track'!$G:$G,$B93)=0),"NO CATALOG ID MATCH in Release_Track",iserror(vlookup($A93&amp;$B93,'5) Release_Track'!$F:$F&amp;'5) Release_Track'!$G:$G,1,0)),"NO ISRC-CATALOG ID pair MATCH in Release_Track" )</f>
        <v>Majboori (From "Chal Mera Putt 2" Soundtrack)</v>
      </c>
      <c r="D93" s="121" t="str">
        <f t="array" ref="D93">ifs(and(isblank($A93),isblank($B93)),"", not(iserror(vlookup($A93&amp;$B93,'5) Release_Track'!$F:$F&amp;'5) Release_Track'!$G:$G,1,0))),vlookup($A93&amp;$B93,{'5) Release_Track'!$F:$F&amp;'5) Release_Track'!$G:$G,'5) Release_Track'!$I:$I},2,0), or(and(not(isblank($B93)),$B93=$B92,$A93&lt;&gt;$A92),and(not(isblank($A93)),$A93=$A92,$B93&lt;&gt;$B92)),"ID LISTS UNALIGNED",and($A93&lt;&gt;"",countif('5) Release_Track'!$F:$F,$A93)=0),"NO ISRC MATCH in Release_Track",and($B93&lt;&gt;"",countif('5) Release_Track'!$G:$G,$B93)=0),"NO CATALOG ID MATCH in Release_Track",iserror(vlookup($A93&amp;$B93,'5) Release_Track'!$F:$F&amp;'5) Release_Track'!$G:$G,1,0)),"NO ISRC-CATALOG ID pair MATCH in Release_Track" )</f>
        <v/>
      </c>
      <c r="E93" s="142" t="b">
        <v>0</v>
      </c>
      <c r="F93" s="142" t="b">
        <v>0</v>
      </c>
      <c r="G93" s="142" t="b">
        <v>0</v>
      </c>
      <c r="H93" s="142" t="b">
        <v>0</v>
      </c>
      <c r="I93" s="142" t="b">
        <v>0</v>
      </c>
      <c r="J93" s="142" t="b">
        <v>0</v>
      </c>
      <c r="K93" s="142" t="b">
        <v>0</v>
      </c>
      <c r="L93" s="8" t="b">
        <v>1</v>
      </c>
      <c r="Q93" s="99" t="str">
        <f>VLOOKUP(A93,'5) Release_Track'!F:F,1,0)</f>
        <v>COL5K2002802</v>
      </c>
    </row>
    <row r="94">
      <c r="A94" s="51" t="s">
        <v>535</v>
      </c>
      <c r="B94" s="103"/>
      <c r="C94" s="121" t="str">
        <f t="array" ref="C94">ifs(and(isblank($A94),isblank($B94)),"", not(iserror(vlookup($A94&amp;$B94,'5) Release_Track'!$F:$F&amp;'5) Release_Track'!$G:$G,1,0))),vlookup($A94&amp;$B94,{'5) Release_Track'!$F:$F&amp;'5) Release_Track'!$G:$G,'5) Release_Track'!$H:$H},2,0), or(and(not(isblank($B94)),$B94=$B93,$A94&lt;&gt;$A93),and(not(isblank($A94)),$A94=$A93,$B94&lt;&gt;$B93)),"ID LISTS UNALIGNED",and($A94&lt;&gt;"",countif('5) Release_Track'!$F:$F,$A94)=0),"NO ISRC MATCH in Release_Track",and($B94&lt;&gt;"",countif('5) Release_Track'!$G:$G,$B94)=0),"NO CATALOG ID MATCH in Release_Track",iserror(vlookup($A94&amp;$B94,'5) Release_Track'!$F:$F&amp;'5) Release_Track'!$G:$G,1,0)),"NO ISRC-CATALOG ID pair MATCH in Release_Track" )</f>
        <v>Majhe Wal Da (From "Chal Mera Putt 2" Soundtrack)</v>
      </c>
      <c r="D94" s="121" t="str">
        <f t="array" ref="D94">ifs(and(isblank($A94),isblank($B94)),"", not(iserror(vlookup($A94&amp;$B94,'5) Release_Track'!$F:$F&amp;'5) Release_Track'!$G:$G,1,0))),vlookup($A94&amp;$B94,{'5) Release_Track'!$F:$F&amp;'5) Release_Track'!$G:$G,'5) Release_Track'!$I:$I},2,0), or(and(not(isblank($B94)),$B94=$B93,$A94&lt;&gt;$A93),and(not(isblank($A94)),$A94=$A93,$B94&lt;&gt;$B93)),"ID LISTS UNALIGNED",and($A94&lt;&gt;"",countif('5) Release_Track'!$F:$F,$A94)=0),"NO ISRC MATCH in Release_Track",and($B94&lt;&gt;"",countif('5) Release_Track'!$G:$G,$B94)=0),"NO CATALOG ID MATCH in Release_Track",iserror(vlookup($A94&amp;$B94,'5) Release_Track'!$F:$F&amp;'5) Release_Track'!$G:$G,1,0)),"NO ISRC-CATALOG ID pair MATCH in Release_Track" )</f>
        <v/>
      </c>
      <c r="E94" s="142" t="b">
        <v>0</v>
      </c>
      <c r="F94" s="142" t="b">
        <v>0</v>
      </c>
      <c r="G94" s="142" t="b">
        <v>0</v>
      </c>
      <c r="H94" s="142" t="b">
        <v>0</v>
      </c>
      <c r="I94" s="142" t="b">
        <v>0</v>
      </c>
      <c r="J94" s="142" t="b">
        <v>0</v>
      </c>
      <c r="K94" s="142" t="b">
        <v>0</v>
      </c>
      <c r="L94" s="8" t="b">
        <v>1</v>
      </c>
      <c r="Q94" s="99" t="str">
        <f>VLOOKUP(A94,'5) Release_Track'!F:F,1,0)</f>
        <v>COL5K2002803</v>
      </c>
    </row>
    <row r="95">
      <c r="A95" s="51" t="s">
        <v>537</v>
      </c>
      <c r="B95" s="103"/>
      <c r="C95" s="121" t="str">
        <f t="array" ref="C95">ifs(and(isblank($A95),isblank($B95)),"", not(iserror(vlookup($A95&amp;$B95,'5) Release_Track'!$F:$F&amp;'5) Release_Track'!$G:$G,1,0))),vlookup($A95&amp;$B95,{'5) Release_Track'!$F:$F&amp;'5) Release_Track'!$G:$G,'5) Release_Track'!$H:$H},2,0), or(and(not(isblank($B95)),$B95=$B94,$A95&lt;&gt;$A94),and(not(isblank($A95)),$A95=$A94,$B95&lt;&gt;$B94)),"ID LISTS UNALIGNED",and($A95&lt;&gt;"",countif('5) Release_Track'!$F:$F,$A95)=0),"NO ISRC MATCH in Release_Track",and($B95&lt;&gt;"",countif('5) Release_Track'!$G:$G,$B95)=0),"NO CATALOG ID MATCH in Release_Track",iserror(vlookup($A95&amp;$B95,'5) Release_Track'!$F:$F&amp;'5) Release_Track'!$G:$G,1,0)),"NO ISRC-CATALOG ID pair MATCH in Release_Track" )</f>
        <v>Doubt</v>
      </c>
      <c r="D95" s="121" t="str">
        <f t="array" ref="D95">ifs(and(isblank($A95),isblank($B95)),"", not(iserror(vlookup($A95&amp;$B95,'5) Release_Track'!$F:$F&amp;'5) Release_Track'!$G:$G,1,0))),vlookup($A95&amp;$B95,{'5) Release_Track'!$F:$F&amp;'5) Release_Track'!$G:$G,'5) Release_Track'!$I:$I},2,0), or(and(not(isblank($B95)),$B95=$B94,$A95&lt;&gt;$A94),and(not(isblank($A95)),$A95=$A94,$B95&lt;&gt;$B94)),"ID LISTS UNALIGNED",and($A95&lt;&gt;"",countif('5) Release_Track'!$F:$F,$A95)=0),"NO ISRC MATCH in Release_Track",and($B95&lt;&gt;"",countif('5) Release_Track'!$G:$G,$B95)=0),"NO CATALOG ID MATCH in Release_Track",iserror(vlookup($A95&amp;$B95,'5) Release_Track'!$F:$F&amp;'5) Release_Track'!$G:$G,1,0)),"NO ISRC-CATALOG ID pair MATCH in Release_Track" )</f>
        <v/>
      </c>
      <c r="E95" s="142" t="b">
        <v>0</v>
      </c>
      <c r="F95" s="142" t="b">
        <v>0</v>
      </c>
      <c r="G95" s="142" t="b">
        <v>0</v>
      </c>
      <c r="H95" s="142" t="b">
        <v>0</v>
      </c>
      <c r="I95" s="142" t="b">
        <v>0</v>
      </c>
      <c r="J95" s="142" t="b">
        <v>0</v>
      </c>
      <c r="K95" s="142" t="b">
        <v>0</v>
      </c>
      <c r="L95" s="8" t="b">
        <v>1</v>
      </c>
      <c r="Q95" s="99" t="str">
        <f>VLOOKUP(A95,'5) Release_Track'!F:F,1,0)</f>
        <v>COL5K2003001</v>
      </c>
    </row>
    <row r="96">
      <c r="B96" s="103"/>
      <c r="C96" s="121" t="str">
        <f t="array" ref="C96">ifs(and(isblank($A96),isblank($B96)),"", not(iserror(vlookup($A96&amp;$B96,'5) Release_Track'!$F:$F&amp;'5) Release_Track'!$G:$G,1,0))),vlookup($A96&amp;$B96,{'5) Release_Track'!$F:$F&amp;'5) Release_Track'!$G:$G,'5) Release_Track'!$H:$H},2,0), or(and(not(isblank($B96)),$B96=$B95,$A96&lt;&gt;$A95),and(not(isblank($A96)),$A96=$A95,$B96&lt;&gt;$B95)),"ID LISTS UNALIGNED",and($A96&lt;&gt;"",countif('5) Release_Track'!$F:$F,$A96)=0),"NO ISRC MATCH in Release_Track",and($B96&lt;&gt;"",countif('5) Release_Track'!$G:$G,$B96)=0),"NO CATALOG ID MATCH in Release_Track",iserror(vlookup($A96&amp;$B96,'5) Release_Track'!$F:$F&amp;'5) Release_Track'!$G:$G,1,0)),"NO ISRC-CATALOG ID pair MATCH in Release_Track" )</f>
        <v/>
      </c>
      <c r="D96" s="121" t="str">
        <f t="array" ref="D96">ifs(and(isblank($A96),isblank($B96)),"", not(iserror(vlookup($A96&amp;$B96,'5) Release_Track'!$F:$F&amp;'5) Release_Track'!$G:$G,1,0))),vlookup($A96&amp;$B96,{'5) Release_Track'!$F:$F&amp;'5) Release_Track'!$G:$G,'5) Release_Track'!$I:$I},2,0), or(and(not(isblank($B96)),$B96=$B95,$A96&lt;&gt;$A95),and(not(isblank($A96)),$A96=$A95,$B96&lt;&gt;$B95)),"ID LISTS UNALIGNED",and($A96&lt;&gt;"",countif('5) Release_Track'!$F:$F,$A96)=0),"NO ISRC MATCH in Release_Track",and($B96&lt;&gt;"",countif('5) Release_Track'!$G:$G,$B96)=0),"NO CATALOG ID MATCH in Release_Track",iserror(vlookup($A96&amp;$B96,'5) Release_Track'!$F:$F&amp;'5) Release_Track'!$G:$G,1,0)),"NO ISRC-CATALOG ID pair MATCH in Release_Track" )</f>
        <v/>
      </c>
      <c r="E96" s="142" t="b">
        <v>0</v>
      </c>
      <c r="F96" s="142" t="b">
        <v>0</v>
      </c>
      <c r="G96" s="142" t="b">
        <v>0</v>
      </c>
      <c r="H96" s="142" t="b">
        <v>0</v>
      </c>
      <c r="I96" s="142" t="b">
        <v>0</v>
      </c>
      <c r="J96" s="142" t="b">
        <v>0</v>
      </c>
      <c r="K96" s="142" t="b">
        <v>0</v>
      </c>
      <c r="L96" s="8" t="b">
        <v>0</v>
      </c>
    </row>
    <row r="97">
      <c r="B97" s="103"/>
      <c r="C97" s="121" t="str">
        <f t="array" ref="C97">ifs(and(isblank($A97),isblank($B97)),"", not(iserror(vlookup($A97&amp;$B97,'5) Release_Track'!$F:$F&amp;'5) Release_Track'!$G:$G,1,0))),vlookup($A97&amp;$B97,{'5) Release_Track'!$F:$F&amp;'5) Release_Track'!$G:$G,'5) Release_Track'!$H:$H},2,0), or(and(not(isblank($B97)),$B97=$B96,$A97&lt;&gt;$A96),and(not(isblank($A97)),$A97=$A96,$B97&lt;&gt;$B96)),"ID LISTS UNALIGNED",and($A97&lt;&gt;"",countif('5) Release_Track'!$F:$F,$A97)=0),"NO ISRC MATCH in Release_Track",and($B97&lt;&gt;"",countif('5) Release_Track'!$G:$G,$B97)=0),"NO CATALOG ID MATCH in Release_Track",iserror(vlookup($A97&amp;$B97,'5) Release_Track'!$F:$F&amp;'5) Release_Track'!$G:$G,1,0)),"NO ISRC-CATALOG ID pair MATCH in Release_Track" )</f>
        <v/>
      </c>
      <c r="D97" s="121" t="str">
        <f t="array" ref="D97">ifs(and(isblank($A97),isblank($B97)),"", not(iserror(vlookup($A97&amp;$B97,'5) Release_Track'!$F:$F&amp;'5) Release_Track'!$G:$G,1,0))),vlookup($A97&amp;$B97,{'5) Release_Track'!$F:$F&amp;'5) Release_Track'!$G:$G,'5) Release_Track'!$I:$I},2,0), or(and(not(isblank($B97)),$B97=$B96,$A97&lt;&gt;$A96),and(not(isblank($A97)),$A97=$A96,$B97&lt;&gt;$B96)),"ID LISTS UNALIGNED",and($A97&lt;&gt;"",countif('5) Release_Track'!$F:$F,$A97)=0),"NO ISRC MATCH in Release_Track",and($B97&lt;&gt;"",countif('5) Release_Track'!$G:$G,$B97)=0),"NO CATALOG ID MATCH in Release_Track",iserror(vlookup($A97&amp;$B97,'5) Release_Track'!$F:$F&amp;'5) Release_Track'!$G:$G,1,0)),"NO ISRC-CATALOG ID pair MATCH in Release_Track" )</f>
        <v/>
      </c>
      <c r="E97" s="142" t="b">
        <v>0</v>
      </c>
      <c r="F97" s="142" t="b">
        <v>0</v>
      </c>
      <c r="G97" s="142" t="b">
        <v>0</v>
      </c>
      <c r="H97" s="142" t="b">
        <v>0</v>
      </c>
      <c r="I97" s="142" t="b">
        <v>0</v>
      </c>
      <c r="J97" s="142" t="b">
        <v>0</v>
      </c>
      <c r="K97" s="142" t="b">
        <v>0</v>
      </c>
      <c r="L97" s="8" t="b">
        <v>0</v>
      </c>
    </row>
    <row r="98">
      <c r="B98" s="103"/>
      <c r="C98" s="121" t="str">
        <f t="array" ref="C98">ifs(and(isblank($A98),isblank($B98)),"", not(iserror(vlookup($A98&amp;$B98,'5) Release_Track'!$F:$F&amp;'5) Release_Track'!$G:$G,1,0))),vlookup($A98&amp;$B98,{'5) Release_Track'!$F:$F&amp;'5) Release_Track'!$G:$G,'5) Release_Track'!$H:$H},2,0), or(and(not(isblank($B98)),$B98=$B97,$A98&lt;&gt;$A97),and(not(isblank($A98)),$A98=$A97,$B98&lt;&gt;$B97)),"ID LISTS UNALIGNED",and($A98&lt;&gt;"",countif('5) Release_Track'!$F:$F,$A98)=0),"NO ISRC MATCH in Release_Track",and($B98&lt;&gt;"",countif('5) Release_Track'!$G:$G,$B98)=0),"NO CATALOG ID MATCH in Release_Track",iserror(vlookup($A98&amp;$B98,'5) Release_Track'!$F:$F&amp;'5) Release_Track'!$G:$G,1,0)),"NO ISRC-CATALOG ID pair MATCH in Release_Track" )</f>
        <v/>
      </c>
      <c r="D98" s="121" t="str">
        <f t="array" ref="D98">ifs(and(isblank($A98),isblank($B98)),"", not(iserror(vlookup($A98&amp;$B98,'5) Release_Track'!$F:$F&amp;'5) Release_Track'!$G:$G,1,0))),vlookup($A98&amp;$B98,{'5) Release_Track'!$F:$F&amp;'5) Release_Track'!$G:$G,'5) Release_Track'!$I:$I},2,0), or(and(not(isblank($B98)),$B98=$B97,$A98&lt;&gt;$A97),and(not(isblank($A98)),$A98=$A97,$B98&lt;&gt;$B97)),"ID LISTS UNALIGNED",and($A98&lt;&gt;"",countif('5) Release_Track'!$F:$F,$A98)=0),"NO ISRC MATCH in Release_Track",and($B98&lt;&gt;"",countif('5) Release_Track'!$G:$G,$B98)=0),"NO CATALOG ID MATCH in Release_Track",iserror(vlookup($A98&amp;$B98,'5) Release_Track'!$F:$F&amp;'5) Release_Track'!$G:$G,1,0)),"NO ISRC-CATALOG ID pair MATCH in Release_Track" )</f>
        <v/>
      </c>
      <c r="E98" s="142" t="b">
        <v>0</v>
      </c>
      <c r="F98" s="142" t="b">
        <v>0</v>
      </c>
      <c r="G98" s="142" t="b">
        <v>0</v>
      </c>
      <c r="H98" s="142" t="b">
        <v>0</v>
      </c>
      <c r="I98" s="142" t="b">
        <v>0</v>
      </c>
      <c r="J98" s="142" t="b">
        <v>0</v>
      </c>
      <c r="K98" s="142" t="b">
        <v>0</v>
      </c>
      <c r="L98" s="8" t="b">
        <v>0</v>
      </c>
    </row>
    <row r="99">
      <c r="B99" s="103"/>
      <c r="C99" s="121" t="str">
        <f t="array" ref="C99">ifs(and(isblank($A99),isblank($B99)),"", not(iserror(vlookup($A99&amp;$B99,'5) Release_Track'!$F:$F&amp;'5) Release_Track'!$G:$G,1,0))),vlookup($A99&amp;$B99,{'5) Release_Track'!$F:$F&amp;'5) Release_Track'!$G:$G,'5) Release_Track'!$H:$H},2,0), or(and(not(isblank($B99)),$B99=$B98,$A99&lt;&gt;$A98),and(not(isblank($A99)),$A99=$A98,$B99&lt;&gt;$B98)),"ID LISTS UNALIGNED",and($A99&lt;&gt;"",countif('5) Release_Track'!$F:$F,$A99)=0),"NO ISRC MATCH in Release_Track",and($B99&lt;&gt;"",countif('5) Release_Track'!$G:$G,$B99)=0),"NO CATALOG ID MATCH in Release_Track",iserror(vlookup($A99&amp;$B99,'5) Release_Track'!$F:$F&amp;'5) Release_Track'!$G:$G,1,0)),"NO ISRC-CATALOG ID pair MATCH in Release_Track" )</f>
        <v/>
      </c>
      <c r="D99" s="121" t="str">
        <f t="array" ref="D99">ifs(and(isblank($A99),isblank($B99)),"", not(iserror(vlookup($A99&amp;$B99,'5) Release_Track'!$F:$F&amp;'5) Release_Track'!$G:$G,1,0))),vlookup($A99&amp;$B99,{'5) Release_Track'!$F:$F&amp;'5) Release_Track'!$G:$G,'5) Release_Track'!$I:$I},2,0), or(and(not(isblank($B99)),$B99=$B98,$A99&lt;&gt;$A98),and(not(isblank($A99)),$A99=$A98,$B99&lt;&gt;$B98)),"ID LISTS UNALIGNED",and($A99&lt;&gt;"",countif('5) Release_Track'!$F:$F,$A99)=0),"NO ISRC MATCH in Release_Track",and($B99&lt;&gt;"",countif('5) Release_Track'!$G:$G,$B99)=0),"NO CATALOG ID MATCH in Release_Track",iserror(vlookup($A99&amp;$B99,'5) Release_Track'!$F:$F&amp;'5) Release_Track'!$G:$G,1,0)),"NO ISRC-CATALOG ID pair MATCH in Release_Track" )</f>
        <v/>
      </c>
      <c r="E99" s="142" t="b">
        <v>0</v>
      </c>
      <c r="F99" s="142" t="b">
        <v>0</v>
      </c>
      <c r="G99" s="142" t="b">
        <v>0</v>
      </c>
      <c r="H99" s="142" t="b">
        <v>0</v>
      </c>
      <c r="I99" s="142" t="b">
        <v>0</v>
      </c>
      <c r="J99" s="142" t="b">
        <v>0</v>
      </c>
      <c r="K99" s="142" t="b">
        <v>0</v>
      </c>
      <c r="L99" s="8" t="b">
        <v>0</v>
      </c>
    </row>
    <row r="100">
      <c r="B100" s="103"/>
      <c r="C100" s="121" t="str">
        <f t="array" ref="C100">ifs(and(isblank($A100),isblank($B100)),"", not(iserror(vlookup($A100&amp;$B100,'5) Release_Track'!$F:$F&amp;'5) Release_Track'!$G:$G,1,0))),vlookup($A100&amp;$B100,{'5) Release_Track'!$F:$F&amp;'5) Release_Track'!$G:$G,'5) Release_Track'!$H:$H},2,0), or(and(not(isblank($B100)),$B100=$B99,$A100&lt;&gt;$A99),and(not(isblank($A100)),$A100=$A99,$B100&lt;&gt;$B99)),"ID LISTS UNALIGNED",and($A100&lt;&gt;"",countif('5) Release_Track'!$F:$F,$A100)=0),"NO ISRC MATCH in Release_Track",and($B100&lt;&gt;"",countif('5) Release_Track'!$G:$G,$B100)=0),"NO CATALOG ID MATCH in Release_Track",iserror(vlookup($A100&amp;$B100,'5) Release_Track'!$F:$F&amp;'5) Release_Track'!$G:$G,1,0)),"NO ISRC-CATALOG ID pair MATCH in Release_Track" )</f>
        <v/>
      </c>
      <c r="D100" s="121" t="str">
        <f t="array" ref="D100">ifs(and(isblank($A100),isblank($B100)),"", not(iserror(vlookup($A100&amp;$B100,'5) Release_Track'!$F:$F&amp;'5) Release_Track'!$G:$G,1,0))),vlookup($A100&amp;$B100,{'5) Release_Track'!$F:$F&amp;'5) Release_Track'!$G:$G,'5) Release_Track'!$I:$I},2,0), or(and(not(isblank($B100)),$B100=$B99,$A100&lt;&gt;$A99),and(not(isblank($A100)),$A100=$A99,$B100&lt;&gt;$B99)),"ID LISTS UNALIGNED",and($A100&lt;&gt;"",countif('5) Release_Track'!$F:$F,$A100)=0),"NO ISRC MATCH in Release_Track",and($B100&lt;&gt;"",countif('5) Release_Track'!$G:$G,$B100)=0),"NO CATALOG ID MATCH in Release_Track",iserror(vlookup($A100&amp;$B100,'5) Release_Track'!$F:$F&amp;'5) Release_Track'!$G:$G,1,0)),"NO ISRC-CATALOG ID pair MATCH in Release_Track" )</f>
        <v/>
      </c>
      <c r="E100" s="142" t="b">
        <v>0</v>
      </c>
      <c r="F100" s="142" t="b">
        <v>0</v>
      </c>
      <c r="G100" s="142" t="b">
        <v>0</v>
      </c>
      <c r="H100" s="142" t="b">
        <v>0</v>
      </c>
      <c r="I100" s="142" t="b">
        <v>0</v>
      </c>
      <c r="J100" s="142" t="b">
        <v>0</v>
      </c>
      <c r="K100" s="142" t="b">
        <v>0</v>
      </c>
      <c r="L100" s="8" t="b">
        <v>0</v>
      </c>
    </row>
    <row r="101">
      <c r="B101" s="103"/>
      <c r="C101" s="121" t="str">
        <f t="array" ref="C101">ifs(and(isblank($A101),isblank($B101)),"", not(iserror(vlookup($A101&amp;$B101,'5) Release_Track'!$F:$F&amp;'5) Release_Track'!$G:$G,1,0))),vlookup($A101&amp;$B101,{'5) Release_Track'!$F:$F&amp;'5) Release_Track'!$G:$G,'5) Release_Track'!$H:$H},2,0), or(and(not(isblank($B101)),$B101=$B100,$A101&lt;&gt;$A100),and(not(isblank($A101)),$A101=$A100,$B101&lt;&gt;$B100)),"ID LISTS UNALIGNED",and($A101&lt;&gt;"",countif('5) Release_Track'!$F:$F,$A101)=0),"NO ISRC MATCH in Release_Track",and($B101&lt;&gt;"",countif('5) Release_Track'!$G:$G,$B101)=0),"NO CATALOG ID MATCH in Release_Track",iserror(vlookup($A101&amp;$B101,'5) Release_Track'!$F:$F&amp;'5) Release_Track'!$G:$G,1,0)),"NO ISRC-CATALOG ID pair MATCH in Release_Track" )</f>
        <v/>
      </c>
      <c r="D101" s="121" t="str">
        <f t="array" ref="D101">ifs(and(isblank($A101),isblank($B101)),"", not(iserror(vlookup($A101&amp;$B101,'5) Release_Track'!$F:$F&amp;'5) Release_Track'!$G:$G,1,0))),vlookup($A101&amp;$B101,{'5) Release_Track'!$F:$F&amp;'5) Release_Track'!$G:$G,'5) Release_Track'!$I:$I},2,0), or(and(not(isblank($B101)),$B101=$B100,$A101&lt;&gt;$A100),and(not(isblank($A101)),$A101=$A100,$B101&lt;&gt;$B100)),"ID LISTS UNALIGNED",and($A101&lt;&gt;"",countif('5) Release_Track'!$F:$F,$A101)=0),"NO ISRC MATCH in Release_Track",and($B101&lt;&gt;"",countif('5) Release_Track'!$G:$G,$B101)=0),"NO CATALOG ID MATCH in Release_Track",iserror(vlookup($A101&amp;$B101,'5) Release_Track'!$F:$F&amp;'5) Release_Track'!$G:$G,1,0)),"NO ISRC-CATALOG ID pair MATCH in Release_Track" )</f>
        <v/>
      </c>
      <c r="E101" s="142" t="b">
        <v>0</v>
      </c>
      <c r="F101" s="142" t="b">
        <v>0</v>
      </c>
      <c r="G101" s="142" t="b">
        <v>0</v>
      </c>
      <c r="H101" s="142" t="b">
        <v>0</v>
      </c>
      <c r="I101" s="142" t="b">
        <v>0</v>
      </c>
      <c r="J101" s="142" t="b">
        <v>0</v>
      </c>
      <c r="K101" s="142" t="b">
        <v>0</v>
      </c>
      <c r="L101" s="8" t="b">
        <v>0</v>
      </c>
    </row>
    <row r="102">
      <c r="B102" s="103"/>
      <c r="C102" s="121" t="str">
        <f t="array" ref="C102">ifs(and(isblank($A102),isblank($B102)),"", not(iserror(vlookup($A102&amp;$B102,'5) Release_Track'!$F:$F&amp;'5) Release_Track'!$G:$G,1,0))),vlookup($A102&amp;$B102,{'5) Release_Track'!$F:$F&amp;'5) Release_Track'!$G:$G,'5) Release_Track'!$H:$H},2,0), or(and(not(isblank($B102)),$B102=$B101,$A102&lt;&gt;$A101),and(not(isblank($A102)),$A102=$A101,$B102&lt;&gt;$B101)),"ID LISTS UNALIGNED",and($A102&lt;&gt;"",countif('5) Release_Track'!$F:$F,$A102)=0),"NO ISRC MATCH in Release_Track",and($B102&lt;&gt;"",countif('5) Release_Track'!$G:$G,$B102)=0),"NO CATALOG ID MATCH in Release_Track",iserror(vlookup($A102&amp;$B102,'5) Release_Track'!$F:$F&amp;'5) Release_Track'!$G:$G,1,0)),"NO ISRC-CATALOG ID pair MATCH in Release_Track" )</f>
        <v/>
      </c>
      <c r="D102" s="121" t="str">
        <f t="array" ref="D102">ifs(and(isblank($A102),isblank($B102)),"", not(iserror(vlookup($A102&amp;$B102,'5) Release_Track'!$F:$F&amp;'5) Release_Track'!$G:$G,1,0))),vlookup($A102&amp;$B102,{'5) Release_Track'!$F:$F&amp;'5) Release_Track'!$G:$G,'5) Release_Track'!$I:$I},2,0), or(and(not(isblank($B102)),$B102=$B101,$A102&lt;&gt;$A101),and(not(isblank($A102)),$A102=$A101,$B102&lt;&gt;$B101)),"ID LISTS UNALIGNED",and($A102&lt;&gt;"",countif('5) Release_Track'!$F:$F,$A102)=0),"NO ISRC MATCH in Release_Track",and($B102&lt;&gt;"",countif('5) Release_Track'!$G:$G,$B102)=0),"NO CATALOG ID MATCH in Release_Track",iserror(vlookup($A102&amp;$B102,'5) Release_Track'!$F:$F&amp;'5) Release_Track'!$G:$G,1,0)),"NO ISRC-CATALOG ID pair MATCH in Release_Track" )</f>
        <v/>
      </c>
      <c r="E102" s="142" t="b">
        <v>0</v>
      </c>
      <c r="F102" s="142" t="b">
        <v>0</v>
      </c>
      <c r="G102" s="142" t="b">
        <v>0</v>
      </c>
      <c r="H102" s="142" t="b">
        <v>0</v>
      </c>
      <c r="I102" s="142" t="b">
        <v>0</v>
      </c>
      <c r="J102" s="142" t="b">
        <v>0</v>
      </c>
      <c r="K102" s="142" t="b">
        <v>0</v>
      </c>
      <c r="L102" s="8" t="b">
        <v>0</v>
      </c>
    </row>
    <row r="103">
      <c r="B103" s="103"/>
      <c r="C103" s="121" t="str">
        <f t="array" ref="C103">ifs(and(isblank($A103),isblank($B103)),"", not(iserror(vlookup($A103&amp;$B103,'5) Release_Track'!$F:$F&amp;'5) Release_Track'!$G:$G,1,0))),vlookup($A103&amp;$B103,{'5) Release_Track'!$F:$F&amp;'5) Release_Track'!$G:$G,'5) Release_Track'!$H:$H},2,0), or(and(not(isblank($B103)),$B103=$B102,$A103&lt;&gt;$A102),and(not(isblank($A103)),$A103=$A102,$B103&lt;&gt;$B102)),"ID LISTS UNALIGNED",and($A103&lt;&gt;"",countif('5) Release_Track'!$F:$F,$A103)=0),"NO ISRC MATCH in Release_Track",and($B103&lt;&gt;"",countif('5) Release_Track'!$G:$G,$B103)=0),"NO CATALOG ID MATCH in Release_Track",iserror(vlookup($A103&amp;$B103,'5) Release_Track'!$F:$F&amp;'5) Release_Track'!$G:$G,1,0)),"NO ISRC-CATALOG ID pair MATCH in Release_Track" )</f>
        <v/>
      </c>
      <c r="D103" s="121" t="str">
        <f t="array" ref="D103">ifs(and(isblank($A103),isblank($B103)),"", not(iserror(vlookup($A103&amp;$B103,'5) Release_Track'!$F:$F&amp;'5) Release_Track'!$G:$G,1,0))),vlookup($A103&amp;$B103,{'5) Release_Track'!$F:$F&amp;'5) Release_Track'!$G:$G,'5) Release_Track'!$I:$I},2,0), or(and(not(isblank($B103)),$B103=$B102,$A103&lt;&gt;$A102),and(not(isblank($A103)),$A103=$A102,$B103&lt;&gt;$B102)),"ID LISTS UNALIGNED",and($A103&lt;&gt;"",countif('5) Release_Track'!$F:$F,$A103)=0),"NO ISRC MATCH in Release_Track",and($B103&lt;&gt;"",countif('5) Release_Track'!$G:$G,$B103)=0),"NO CATALOG ID MATCH in Release_Track",iserror(vlookup($A103&amp;$B103,'5) Release_Track'!$F:$F&amp;'5) Release_Track'!$G:$G,1,0)),"NO ISRC-CATALOG ID pair MATCH in Release_Track" )</f>
        <v/>
      </c>
      <c r="E103" s="142" t="b">
        <v>0</v>
      </c>
      <c r="F103" s="142" t="b">
        <v>0</v>
      </c>
      <c r="G103" s="142" t="b">
        <v>0</v>
      </c>
      <c r="H103" s="142" t="b">
        <v>0</v>
      </c>
      <c r="I103" s="142" t="b">
        <v>0</v>
      </c>
      <c r="J103" s="142" t="b">
        <v>0</v>
      </c>
      <c r="K103" s="142" t="b">
        <v>0</v>
      </c>
      <c r="L103" s="8" t="b">
        <v>0</v>
      </c>
    </row>
    <row r="104">
      <c r="B104" s="103"/>
      <c r="C104" s="121" t="str">
        <f t="array" ref="C104">ifs(and(isblank($A104),isblank($B104)),"", not(iserror(vlookup($A104&amp;$B104,'5) Release_Track'!$F:$F&amp;'5) Release_Track'!$G:$G,1,0))),vlookup($A104&amp;$B104,{'5) Release_Track'!$F:$F&amp;'5) Release_Track'!$G:$G,'5) Release_Track'!$H:$H},2,0), or(and(not(isblank($B104)),$B104=$B103,$A104&lt;&gt;$A103),and(not(isblank($A104)),$A104=$A103,$B104&lt;&gt;$B103)),"ID LISTS UNALIGNED",and($A104&lt;&gt;"",countif('5) Release_Track'!$F:$F,$A104)=0),"NO ISRC MATCH in Release_Track",and($B104&lt;&gt;"",countif('5) Release_Track'!$G:$G,$B104)=0),"NO CATALOG ID MATCH in Release_Track",iserror(vlookup($A104&amp;$B104,'5) Release_Track'!$F:$F&amp;'5) Release_Track'!$G:$G,1,0)),"NO ISRC-CATALOG ID pair MATCH in Release_Track" )</f>
        <v/>
      </c>
      <c r="D104" s="121" t="str">
        <f t="array" ref="D104">ifs(and(isblank($A104),isblank($B104)),"", not(iserror(vlookup($A104&amp;$B104,'5) Release_Track'!$F:$F&amp;'5) Release_Track'!$G:$G,1,0))),vlookup($A104&amp;$B104,{'5) Release_Track'!$F:$F&amp;'5) Release_Track'!$G:$G,'5) Release_Track'!$I:$I},2,0), or(and(not(isblank($B104)),$B104=$B103,$A104&lt;&gt;$A103),and(not(isblank($A104)),$A104=$A103,$B104&lt;&gt;$B103)),"ID LISTS UNALIGNED",and($A104&lt;&gt;"",countif('5) Release_Track'!$F:$F,$A104)=0),"NO ISRC MATCH in Release_Track",and($B104&lt;&gt;"",countif('5) Release_Track'!$G:$G,$B104)=0),"NO CATALOG ID MATCH in Release_Track",iserror(vlookup($A104&amp;$B104,'5) Release_Track'!$F:$F&amp;'5) Release_Track'!$G:$G,1,0)),"NO ISRC-CATALOG ID pair MATCH in Release_Track" )</f>
        <v/>
      </c>
      <c r="E104" s="142" t="b">
        <v>0</v>
      </c>
      <c r="F104" s="142" t="b">
        <v>0</v>
      </c>
      <c r="G104" s="142" t="b">
        <v>0</v>
      </c>
      <c r="H104" s="142" t="b">
        <v>0</v>
      </c>
      <c r="I104" s="142" t="b">
        <v>0</v>
      </c>
      <c r="J104" s="142" t="b">
        <v>0</v>
      </c>
      <c r="K104" s="142" t="b">
        <v>0</v>
      </c>
      <c r="L104" s="8" t="b">
        <v>0</v>
      </c>
    </row>
    <row r="105">
      <c r="B105" s="103"/>
      <c r="C105" s="121" t="str">
        <f t="array" ref="C105">ifs(and(isblank($A105),isblank($B105)),"", not(iserror(vlookup($A105&amp;$B105,'5) Release_Track'!$F:$F&amp;'5) Release_Track'!$G:$G,1,0))),vlookup($A105&amp;$B105,{'5) Release_Track'!$F:$F&amp;'5) Release_Track'!$G:$G,'5) Release_Track'!$H:$H},2,0), or(and(not(isblank($B105)),$B105=$B104,$A105&lt;&gt;$A104),and(not(isblank($A105)),$A105=$A104,$B105&lt;&gt;$B104)),"ID LISTS UNALIGNED",and($A105&lt;&gt;"",countif('5) Release_Track'!$F:$F,$A105)=0),"NO ISRC MATCH in Release_Track",and($B105&lt;&gt;"",countif('5) Release_Track'!$G:$G,$B105)=0),"NO CATALOG ID MATCH in Release_Track",iserror(vlookup($A105&amp;$B105,'5) Release_Track'!$F:$F&amp;'5) Release_Track'!$G:$G,1,0)),"NO ISRC-CATALOG ID pair MATCH in Release_Track" )</f>
        <v/>
      </c>
      <c r="D105" s="121" t="str">
        <f t="array" ref="D105">ifs(and(isblank($A105),isblank($B105)),"", not(iserror(vlookup($A105&amp;$B105,'5) Release_Track'!$F:$F&amp;'5) Release_Track'!$G:$G,1,0))),vlookup($A105&amp;$B105,{'5) Release_Track'!$F:$F&amp;'5) Release_Track'!$G:$G,'5) Release_Track'!$I:$I},2,0), or(and(not(isblank($B105)),$B105=$B104,$A105&lt;&gt;$A104),and(not(isblank($A105)),$A105=$A104,$B105&lt;&gt;$B104)),"ID LISTS UNALIGNED",and($A105&lt;&gt;"",countif('5) Release_Track'!$F:$F,$A105)=0),"NO ISRC MATCH in Release_Track",and($B105&lt;&gt;"",countif('5) Release_Track'!$G:$G,$B105)=0),"NO CATALOG ID MATCH in Release_Track",iserror(vlookup($A105&amp;$B105,'5) Release_Track'!$F:$F&amp;'5) Release_Track'!$G:$G,1,0)),"NO ISRC-CATALOG ID pair MATCH in Release_Track" )</f>
        <v/>
      </c>
      <c r="E105" s="142" t="b">
        <v>0</v>
      </c>
      <c r="F105" s="142" t="b">
        <v>0</v>
      </c>
      <c r="G105" s="142" t="b">
        <v>0</v>
      </c>
      <c r="H105" s="142" t="b">
        <v>0</v>
      </c>
      <c r="I105" s="142" t="b">
        <v>0</v>
      </c>
      <c r="J105" s="142" t="b">
        <v>0</v>
      </c>
      <c r="K105" s="142" t="b">
        <v>0</v>
      </c>
      <c r="L105" s="8" t="b">
        <v>0</v>
      </c>
    </row>
    <row r="106">
      <c r="B106" s="103"/>
      <c r="C106" s="121" t="str">
        <f t="array" ref="C106">ifs(and(isblank($A106),isblank($B106)),"", not(iserror(vlookup($A106&amp;$B106,'5) Release_Track'!$F:$F&amp;'5) Release_Track'!$G:$G,1,0))),vlookup($A106&amp;$B106,{'5) Release_Track'!$F:$F&amp;'5) Release_Track'!$G:$G,'5) Release_Track'!$H:$H},2,0), or(and(not(isblank($B106)),$B106=$B105,$A106&lt;&gt;$A105),and(not(isblank($A106)),$A106=$A105,$B106&lt;&gt;$B105)),"ID LISTS UNALIGNED",and($A106&lt;&gt;"",countif('5) Release_Track'!$F:$F,$A106)=0),"NO ISRC MATCH in Release_Track",and($B106&lt;&gt;"",countif('5) Release_Track'!$G:$G,$B106)=0),"NO CATALOG ID MATCH in Release_Track",iserror(vlookup($A106&amp;$B106,'5) Release_Track'!$F:$F&amp;'5) Release_Track'!$G:$G,1,0)),"NO ISRC-CATALOG ID pair MATCH in Release_Track" )</f>
        <v/>
      </c>
      <c r="D106" s="121" t="str">
        <f t="array" ref="D106">ifs(and(isblank($A106),isblank($B106)),"", not(iserror(vlookup($A106&amp;$B106,'5) Release_Track'!$F:$F&amp;'5) Release_Track'!$G:$G,1,0))),vlookup($A106&amp;$B106,{'5) Release_Track'!$F:$F&amp;'5) Release_Track'!$G:$G,'5) Release_Track'!$I:$I},2,0), or(and(not(isblank($B106)),$B106=$B105,$A106&lt;&gt;$A105),and(not(isblank($A106)),$A106=$A105,$B106&lt;&gt;$B105)),"ID LISTS UNALIGNED",and($A106&lt;&gt;"",countif('5) Release_Track'!$F:$F,$A106)=0),"NO ISRC MATCH in Release_Track",and($B106&lt;&gt;"",countif('5) Release_Track'!$G:$G,$B106)=0),"NO CATALOG ID MATCH in Release_Track",iserror(vlookup($A106&amp;$B106,'5) Release_Track'!$F:$F&amp;'5) Release_Track'!$G:$G,1,0)),"NO ISRC-CATALOG ID pair MATCH in Release_Track" )</f>
        <v/>
      </c>
      <c r="E106" s="142" t="b">
        <v>0</v>
      </c>
      <c r="F106" s="142" t="b">
        <v>0</v>
      </c>
      <c r="G106" s="142" t="b">
        <v>0</v>
      </c>
      <c r="H106" s="142" t="b">
        <v>0</v>
      </c>
      <c r="I106" s="142" t="b">
        <v>0</v>
      </c>
      <c r="J106" s="142" t="b">
        <v>0</v>
      </c>
      <c r="K106" s="142" t="b">
        <v>0</v>
      </c>
      <c r="L106" s="8" t="b">
        <v>0</v>
      </c>
    </row>
    <row r="107">
      <c r="B107" s="103"/>
      <c r="C107" s="121" t="str">
        <f t="array" ref="C107">ifs(and(isblank($A107),isblank($B107)),"", not(iserror(vlookup($A107&amp;$B107,'5) Release_Track'!$F:$F&amp;'5) Release_Track'!$G:$G,1,0))),vlookup($A107&amp;$B107,{'5) Release_Track'!$F:$F&amp;'5) Release_Track'!$G:$G,'5) Release_Track'!$H:$H},2,0), or(and(not(isblank($B107)),$B107=$B106,$A107&lt;&gt;$A106),and(not(isblank($A107)),$A107=$A106,$B107&lt;&gt;$B106)),"ID LISTS UNALIGNED",and($A107&lt;&gt;"",countif('5) Release_Track'!$F:$F,$A107)=0),"NO ISRC MATCH in Release_Track",and($B107&lt;&gt;"",countif('5) Release_Track'!$G:$G,$B107)=0),"NO CATALOG ID MATCH in Release_Track",iserror(vlookup($A107&amp;$B107,'5) Release_Track'!$F:$F&amp;'5) Release_Track'!$G:$G,1,0)),"NO ISRC-CATALOG ID pair MATCH in Release_Track" )</f>
        <v/>
      </c>
      <c r="D107" s="121" t="str">
        <f t="array" ref="D107">ifs(and(isblank($A107),isblank($B107)),"", not(iserror(vlookup($A107&amp;$B107,'5) Release_Track'!$F:$F&amp;'5) Release_Track'!$G:$G,1,0))),vlookup($A107&amp;$B107,{'5) Release_Track'!$F:$F&amp;'5) Release_Track'!$G:$G,'5) Release_Track'!$I:$I},2,0), or(and(not(isblank($B107)),$B107=$B106,$A107&lt;&gt;$A106),and(not(isblank($A107)),$A107=$A106,$B107&lt;&gt;$B106)),"ID LISTS UNALIGNED",and($A107&lt;&gt;"",countif('5) Release_Track'!$F:$F,$A107)=0),"NO ISRC MATCH in Release_Track",and($B107&lt;&gt;"",countif('5) Release_Track'!$G:$G,$B107)=0),"NO CATALOG ID MATCH in Release_Track",iserror(vlookup($A107&amp;$B107,'5) Release_Track'!$F:$F&amp;'5) Release_Track'!$G:$G,1,0)),"NO ISRC-CATALOG ID pair MATCH in Release_Track" )</f>
        <v/>
      </c>
      <c r="E107" s="142" t="b">
        <v>0</v>
      </c>
      <c r="F107" s="142" t="b">
        <v>0</v>
      </c>
      <c r="G107" s="142" t="b">
        <v>0</v>
      </c>
      <c r="H107" s="142" t="b">
        <v>0</v>
      </c>
      <c r="I107" s="142" t="b">
        <v>0</v>
      </c>
      <c r="J107" s="142" t="b">
        <v>0</v>
      </c>
      <c r="K107" s="142" t="b">
        <v>0</v>
      </c>
      <c r="L107" s="8" t="b">
        <v>0</v>
      </c>
    </row>
    <row r="108">
      <c r="B108" s="103"/>
      <c r="C108" s="121" t="str">
        <f t="array" ref="C108">ifs(and(isblank($A108),isblank($B108)),"", not(iserror(vlookup($A108&amp;$B108,'5) Release_Track'!$F:$F&amp;'5) Release_Track'!$G:$G,1,0))),vlookup($A108&amp;$B108,{'5) Release_Track'!$F:$F&amp;'5) Release_Track'!$G:$G,'5) Release_Track'!$H:$H},2,0), or(and(not(isblank($B108)),$B108=$B107,$A108&lt;&gt;$A107),and(not(isblank($A108)),$A108=$A107,$B108&lt;&gt;$B107)),"ID LISTS UNALIGNED",and($A108&lt;&gt;"",countif('5) Release_Track'!$F:$F,$A108)=0),"NO ISRC MATCH in Release_Track",and($B108&lt;&gt;"",countif('5) Release_Track'!$G:$G,$B108)=0),"NO CATALOG ID MATCH in Release_Track",iserror(vlookup($A108&amp;$B108,'5) Release_Track'!$F:$F&amp;'5) Release_Track'!$G:$G,1,0)),"NO ISRC-CATALOG ID pair MATCH in Release_Track" )</f>
        <v/>
      </c>
      <c r="D108" s="121" t="str">
        <f t="array" ref="D108">ifs(and(isblank($A108),isblank($B108)),"", not(iserror(vlookup($A108&amp;$B108,'5) Release_Track'!$F:$F&amp;'5) Release_Track'!$G:$G,1,0))),vlookup($A108&amp;$B108,{'5) Release_Track'!$F:$F&amp;'5) Release_Track'!$G:$G,'5) Release_Track'!$I:$I},2,0), or(and(not(isblank($B108)),$B108=$B107,$A108&lt;&gt;$A107),and(not(isblank($A108)),$A108=$A107,$B108&lt;&gt;$B107)),"ID LISTS UNALIGNED",and($A108&lt;&gt;"",countif('5) Release_Track'!$F:$F,$A108)=0),"NO ISRC MATCH in Release_Track",and($B108&lt;&gt;"",countif('5) Release_Track'!$G:$G,$B108)=0),"NO CATALOG ID MATCH in Release_Track",iserror(vlookup($A108&amp;$B108,'5) Release_Track'!$F:$F&amp;'5) Release_Track'!$G:$G,1,0)),"NO ISRC-CATALOG ID pair MATCH in Release_Track" )</f>
        <v/>
      </c>
      <c r="E108" s="142" t="b">
        <v>0</v>
      </c>
      <c r="F108" s="142" t="b">
        <v>0</v>
      </c>
      <c r="G108" s="142" t="b">
        <v>0</v>
      </c>
      <c r="H108" s="142" t="b">
        <v>0</v>
      </c>
      <c r="I108" s="142" t="b">
        <v>0</v>
      </c>
      <c r="J108" s="142" t="b">
        <v>0</v>
      </c>
      <c r="K108" s="142" t="b">
        <v>0</v>
      </c>
      <c r="L108" s="8" t="b">
        <v>0</v>
      </c>
    </row>
    <row r="109">
      <c r="B109" s="103"/>
      <c r="C109" s="121" t="str">
        <f t="array" ref="C109">ifs(and(isblank($A109),isblank($B109)),"", not(iserror(vlookup($A109&amp;$B109,'5) Release_Track'!$F:$F&amp;'5) Release_Track'!$G:$G,1,0))),vlookup($A109&amp;$B109,{'5) Release_Track'!$F:$F&amp;'5) Release_Track'!$G:$G,'5) Release_Track'!$H:$H},2,0), or(and(not(isblank($B109)),$B109=$B108,$A109&lt;&gt;$A108),and(not(isblank($A109)),$A109=$A108,$B109&lt;&gt;$B108)),"ID LISTS UNALIGNED",and($A109&lt;&gt;"",countif('5) Release_Track'!$F:$F,$A109)=0),"NO ISRC MATCH in Release_Track",and($B109&lt;&gt;"",countif('5) Release_Track'!$G:$G,$B109)=0),"NO CATALOG ID MATCH in Release_Track",iserror(vlookup($A109&amp;$B109,'5) Release_Track'!$F:$F&amp;'5) Release_Track'!$G:$G,1,0)),"NO ISRC-CATALOG ID pair MATCH in Release_Track" )</f>
        <v/>
      </c>
      <c r="D109" s="121" t="str">
        <f t="array" ref="D109">ifs(and(isblank($A109),isblank($B109)),"", not(iserror(vlookup($A109&amp;$B109,'5) Release_Track'!$F:$F&amp;'5) Release_Track'!$G:$G,1,0))),vlookup($A109&amp;$B109,{'5) Release_Track'!$F:$F&amp;'5) Release_Track'!$G:$G,'5) Release_Track'!$I:$I},2,0), or(and(not(isblank($B109)),$B109=$B108,$A109&lt;&gt;$A108),and(not(isblank($A109)),$A109=$A108,$B109&lt;&gt;$B108)),"ID LISTS UNALIGNED",and($A109&lt;&gt;"",countif('5) Release_Track'!$F:$F,$A109)=0),"NO ISRC MATCH in Release_Track",and($B109&lt;&gt;"",countif('5) Release_Track'!$G:$G,$B109)=0),"NO CATALOG ID MATCH in Release_Track",iserror(vlookup($A109&amp;$B109,'5) Release_Track'!$F:$F&amp;'5) Release_Track'!$G:$G,1,0)),"NO ISRC-CATALOG ID pair MATCH in Release_Track" )</f>
        <v/>
      </c>
      <c r="E109" s="142" t="b">
        <v>0</v>
      </c>
      <c r="F109" s="142" t="b">
        <v>0</v>
      </c>
      <c r="G109" s="142" t="b">
        <v>0</v>
      </c>
      <c r="H109" s="142" t="b">
        <v>0</v>
      </c>
      <c r="I109" s="142" t="b">
        <v>0</v>
      </c>
      <c r="J109" s="142" t="b">
        <v>0</v>
      </c>
      <c r="K109" s="142" t="b">
        <v>0</v>
      </c>
      <c r="L109" s="8" t="b">
        <v>0</v>
      </c>
    </row>
    <row r="110">
      <c r="B110" s="103"/>
      <c r="C110" s="121" t="str">
        <f t="array" ref="C110">ifs(and(isblank($A110),isblank($B110)),"", not(iserror(vlookup($A110&amp;$B110,'5) Release_Track'!$F:$F&amp;'5) Release_Track'!$G:$G,1,0))),vlookup($A110&amp;$B110,{'5) Release_Track'!$F:$F&amp;'5) Release_Track'!$G:$G,'5) Release_Track'!$H:$H},2,0), or(and(not(isblank($B110)),$B110=$B109,$A110&lt;&gt;$A109),and(not(isblank($A110)),$A110=$A109,$B110&lt;&gt;$B109)),"ID LISTS UNALIGNED",and($A110&lt;&gt;"",countif('5) Release_Track'!$F:$F,$A110)=0),"NO ISRC MATCH in Release_Track",and($B110&lt;&gt;"",countif('5) Release_Track'!$G:$G,$B110)=0),"NO CATALOG ID MATCH in Release_Track",iserror(vlookup($A110&amp;$B110,'5) Release_Track'!$F:$F&amp;'5) Release_Track'!$G:$G,1,0)),"NO ISRC-CATALOG ID pair MATCH in Release_Track" )</f>
        <v/>
      </c>
      <c r="D110" s="121" t="str">
        <f t="array" ref="D110">ifs(and(isblank($A110),isblank($B110)),"", not(iserror(vlookup($A110&amp;$B110,'5) Release_Track'!$F:$F&amp;'5) Release_Track'!$G:$G,1,0))),vlookup($A110&amp;$B110,{'5) Release_Track'!$F:$F&amp;'5) Release_Track'!$G:$G,'5) Release_Track'!$I:$I},2,0), or(and(not(isblank($B110)),$B110=$B109,$A110&lt;&gt;$A109),and(not(isblank($A110)),$A110=$A109,$B110&lt;&gt;$B109)),"ID LISTS UNALIGNED",and($A110&lt;&gt;"",countif('5) Release_Track'!$F:$F,$A110)=0),"NO ISRC MATCH in Release_Track",and($B110&lt;&gt;"",countif('5) Release_Track'!$G:$G,$B110)=0),"NO CATALOG ID MATCH in Release_Track",iserror(vlookup($A110&amp;$B110,'5) Release_Track'!$F:$F&amp;'5) Release_Track'!$G:$G,1,0)),"NO ISRC-CATALOG ID pair MATCH in Release_Track" )</f>
        <v/>
      </c>
      <c r="E110" s="142" t="b">
        <v>0</v>
      </c>
      <c r="F110" s="142" t="b">
        <v>0</v>
      </c>
      <c r="G110" s="142" t="b">
        <v>0</v>
      </c>
      <c r="H110" s="142" t="b">
        <v>0</v>
      </c>
      <c r="I110" s="142" t="b">
        <v>0</v>
      </c>
      <c r="J110" s="142" t="b">
        <v>0</v>
      </c>
      <c r="K110" s="142" t="b">
        <v>0</v>
      </c>
      <c r="L110" s="8" t="b">
        <v>0</v>
      </c>
    </row>
    <row r="111">
      <c r="B111" s="103"/>
      <c r="C111" s="121" t="str">
        <f t="array" ref="C111">ifs(and(isblank($A111),isblank($B111)),"", not(iserror(vlookup($A111&amp;$B111,'5) Release_Track'!$F:$F&amp;'5) Release_Track'!$G:$G,1,0))),vlookup($A111&amp;$B111,{'5) Release_Track'!$F:$F&amp;'5) Release_Track'!$G:$G,'5) Release_Track'!$H:$H},2,0), or(and(not(isblank($B111)),$B111=$B110,$A111&lt;&gt;$A110),and(not(isblank($A111)),$A111=$A110,$B111&lt;&gt;$B110)),"ID LISTS UNALIGNED",and($A111&lt;&gt;"",countif('5) Release_Track'!$F:$F,$A111)=0),"NO ISRC MATCH in Release_Track",and($B111&lt;&gt;"",countif('5) Release_Track'!$G:$G,$B111)=0),"NO CATALOG ID MATCH in Release_Track",iserror(vlookup($A111&amp;$B111,'5) Release_Track'!$F:$F&amp;'5) Release_Track'!$G:$G,1,0)),"NO ISRC-CATALOG ID pair MATCH in Release_Track" )</f>
        <v/>
      </c>
      <c r="D111" s="121" t="str">
        <f t="array" ref="D111">ifs(and(isblank($A111),isblank($B111)),"", not(iserror(vlookup($A111&amp;$B111,'5) Release_Track'!$F:$F&amp;'5) Release_Track'!$G:$G,1,0))),vlookup($A111&amp;$B111,{'5) Release_Track'!$F:$F&amp;'5) Release_Track'!$G:$G,'5) Release_Track'!$I:$I},2,0), or(and(not(isblank($B111)),$B111=$B110,$A111&lt;&gt;$A110),and(not(isblank($A111)),$A111=$A110,$B111&lt;&gt;$B110)),"ID LISTS UNALIGNED",and($A111&lt;&gt;"",countif('5) Release_Track'!$F:$F,$A111)=0),"NO ISRC MATCH in Release_Track",and($B111&lt;&gt;"",countif('5) Release_Track'!$G:$G,$B111)=0),"NO CATALOG ID MATCH in Release_Track",iserror(vlookup($A111&amp;$B111,'5) Release_Track'!$F:$F&amp;'5) Release_Track'!$G:$G,1,0)),"NO ISRC-CATALOG ID pair MATCH in Release_Track" )</f>
        <v/>
      </c>
      <c r="E111" s="142" t="b">
        <v>0</v>
      </c>
      <c r="F111" s="142" t="b">
        <v>0</v>
      </c>
      <c r="G111" s="142" t="b">
        <v>0</v>
      </c>
      <c r="H111" s="142" t="b">
        <v>0</v>
      </c>
      <c r="I111" s="142" t="b">
        <v>0</v>
      </c>
      <c r="J111" s="142" t="b">
        <v>0</v>
      </c>
      <c r="K111" s="142" t="b">
        <v>0</v>
      </c>
      <c r="L111" s="8" t="b">
        <v>0</v>
      </c>
    </row>
    <row r="112">
      <c r="B112" s="103"/>
      <c r="C112" s="121" t="str">
        <f t="array" ref="C112">ifs(and(isblank($A112),isblank($B112)),"", not(iserror(vlookup($A112&amp;$B112,'5) Release_Track'!$F:$F&amp;'5) Release_Track'!$G:$G,1,0))),vlookup($A112&amp;$B112,{'5) Release_Track'!$F:$F&amp;'5) Release_Track'!$G:$G,'5) Release_Track'!$H:$H},2,0), or(and(not(isblank($B112)),$B112=$B111,$A112&lt;&gt;$A111),and(not(isblank($A112)),$A112=$A111,$B112&lt;&gt;$B111)),"ID LISTS UNALIGNED",and($A112&lt;&gt;"",countif('5) Release_Track'!$F:$F,$A112)=0),"NO ISRC MATCH in Release_Track",and($B112&lt;&gt;"",countif('5) Release_Track'!$G:$G,$B112)=0),"NO CATALOG ID MATCH in Release_Track",iserror(vlookup($A112&amp;$B112,'5) Release_Track'!$F:$F&amp;'5) Release_Track'!$G:$G,1,0)),"NO ISRC-CATALOG ID pair MATCH in Release_Track" )</f>
        <v/>
      </c>
      <c r="D112" s="121" t="str">
        <f t="array" ref="D112">ifs(and(isblank($A112),isblank($B112)),"", not(iserror(vlookup($A112&amp;$B112,'5) Release_Track'!$F:$F&amp;'5) Release_Track'!$G:$G,1,0))),vlookup($A112&amp;$B112,{'5) Release_Track'!$F:$F&amp;'5) Release_Track'!$G:$G,'5) Release_Track'!$I:$I},2,0), or(and(not(isblank($B112)),$B112=$B111,$A112&lt;&gt;$A111),and(not(isblank($A112)),$A112=$A111,$B112&lt;&gt;$B111)),"ID LISTS UNALIGNED",and($A112&lt;&gt;"",countif('5) Release_Track'!$F:$F,$A112)=0),"NO ISRC MATCH in Release_Track",and($B112&lt;&gt;"",countif('5) Release_Track'!$G:$G,$B112)=0),"NO CATALOG ID MATCH in Release_Track",iserror(vlookup($A112&amp;$B112,'5) Release_Track'!$F:$F&amp;'5) Release_Track'!$G:$G,1,0)),"NO ISRC-CATALOG ID pair MATCH in Release_Track" )</f>
        <v/>
      </c>
      <c r="E112" s="142" t="b">
        <v>0</v>
      </c>
      <c r="F112" s="142" t="b">
        <v>0</v>
      </c>
      <c r="G112" s="142" t="b">
        <v>0</v>
      </c>
      <c r="H112" s="142" t="b">
        <v>0</v>
      </c>
      <c r="I112" s="142" t="b">
        <v>0</v>
      </c>
      <c r="J112" s="142" t="b">
        <v>0</v>
      </c>
      <c r="K112" s="142" t="b">
        <v>0</v>
      </c>
      <c r="L112" s="8" t="b">
        <v>0</v>
      </c>
    </row>
    <row r="113">
      <c r="B113" s="103"/>
      <c r="C113" s="121" t="str">
        <f t="array" ref="C113">ifs(and(isblank($A113),isblank($B113)),"", not(iserror(vlookup($A113&amp;$B113,'5) Release_Track'!$F:$F&amp;'5) Release_Track'!$G:$G,1,0))),vlookup($A113&amp;$B113,{'5) Release_Track'!$F:$F&amp;'5) Release_Track'!$G:$G,'5) Release_Track'!$H:$H},2,0), or(and(not(isblank($B113)),$B113=$B112,$A113&lt;&gt;$A112),and(not(isblank($A113)),$A113=$A112,$B113&lt;&gt;$B112)),"ID LISTS UNALIGNED",and($A113&lt;&gt;"",countif('5) Release_Track'!$F:$F,$A113)=0),"NO ISRC MATCH in Release_Track",and($B113&lt;&gt;"",countif('5) Release_Track'!$G:$G,$B113)=0),"NO CATALOG ID MATCH in Release_Track",iserror(vlookup($A113&amp;$B113,'5) Release_Track'!$F:$F&amp;'5) Release_Track'!$G:$G,1,0)),"NO ISRC-CATALOG ID pair MATCH in Release_Track" )</f>
        <v/>
      </c>
      <c r="D113" s="121" t="str">
        <f t="array" ref="D113">ifs(and(isblank($A113),isblank($B113)),"", not(iserror(vlookup($A113&amp;$B113,'5) Release_Track'!$F:$F&amp;'5) Release_Track'!$G:$G,1,0))),vlookup($A113&amp;$B113,{'5) Release_Track'!$F:$F&amp;'5) Release_Track'!$G:$G,'5) Release_Track'!$I:$I},2,0), or(and(not(isblank($B113)),$B113=$B112,$A113&lt;&gt;$A112),and(not(isblank($A113)),$A113=$A112,$B113&lt;&gt;$B112)),"ID LISTS UNALIGNED",and($A113&lt;&gt;"",countif('5) Release_Track'!$F:$F,$A113)=0),"NO ISRC MATCH in Release_Track",and($B113&lt;&gt;"",countif('5) Release_Track'!$G:$G,$B113)=0),"NO CATALOG ID MATCH in Release_Track",iserror(vlookup($A113&amp;$B113,'5) Release_Track'!$F:$F&amp;'5) Release_Track'!$G:$G,1,0)),"NO ISRC-CATALOG ID pair MATCH in Release_Track" )</f>
        <v/>
      </c>
      <c r="E113" s="142" t="b">
        <v>0</v>
      </c>
      <c r="F113" s="142" t="b">
        <v>0</v>
      </c>
      <c r="G113" s="142" t="b">
        <v>0</v>
      </c>
      <c r="H113" s="142" t="b">
        <v>0</v>
      </c>
      <c r="I113" s="142" t="b">
        <v>0</v>
      </c>
      <c r="J113" s="142" t="b">
        <v>0</v>
      </c>
      <c r="K113" s="142" t="b">
        <v>0</v>
      </c>
      <c r="L113" s="8" t="b">
        <v>0</v>
      </c>
    </row>
    <row r="114">
      <c r="B114" s="103"/>
      <c r="C114" s="121" t="str">
        <f t="array" ref="C114">ifs(and(isblank($A114),isblank($B114)),"", not(iserror(vlookup($A114&amp;$B114,'5) Release_Track'!$F:$F&amp;'5) Release_Track'!$G:$G,1,0))),vlookup($A114&amp;$B114,{'5) Release_Track'!$F:$F&amp;'5) Release_Track'!$G:$G,'5) Release_Track'!$H:$H},2,0), or(and(not(isblank($B114)),$B114=$B113,$A114&lt;&gt;$A113),and(not(isblank($A114)),$A114=$A113,$B114&lt;&gt;$B113)),"ID LISTS UNALIGNED",and($A114&lt;&gt;"",countif('5) Release_Track'!$F:$F,$A114)=0),"NO ISRC MATCH in Release_Track",and($B114&lt;&gt;"",countif('5) Release_Track'!$G:$G,$B114)=0),"NO CATALOG ID MATCH in Release_Track",iserror(vlookup($A114&amp;$B114,'5) Release_Track'!$F:$F&amp;'5) Release_Track'!$G:$G,1,0)),"NO ISRC-CATALOG ID pair MATCH in Release_Track" )</f>
        <v/>
      </c>
      <c r="D114" s="121" t="str">
        <f t="array" ref="D114">ifs(and(isblank($A114),isblank($B114)),"", not(iserror(vlookup($A114&amp;$B114,'5) Release_Track'!$F:$F&amp;'5) Release_Track'!$G:$G,1,0))),vlookup($A114&amp;$B114,{'5) Release_Track'!$F:$F&amp;'5) Release_Track'!$G:$G,'5) Release_Track'!$I:$I},2,0), or(and(not(isblank($B114)),$B114=$B113,$A114&lt;&gt;$A113),and(not(isblank($A114)),$A114=$A113,$B114&lt;&gt;$B113)),"ID LISTS UNALIGNED",and($A114&lt;&gt;"",countif('5) Release_Track'!$F:$F,$A114)=0),"NO ISRC MATCH in Release_Track",and($B114&lt;&gt;"",countif('5) Release_Track'!$G:$G,$B114)=0),"NO CATALOG ID MATCH in Release_Track",iserror(vlookup($A114&amp;$B114,'5) Release_Track'!$F:$F&amp;'5) Release_Track'!$G:$G,1,0)),"NO ISRC-CATALOG ID pair MATCH in Release_Track" )</f>
        <v/>
      </c>
      <c r="E114" s="142" t="b">
        <v>0</v>
      </c>
      <c r="F114" s="142" t="b">
        <v>0</v>
      </c>
      <c r="G114" s="142" t="b">
        <v>0</v>
      </c>
      <c r="H114" s="142" t="b">
        <v>0</v>
      </c>
      <c r="I114" s="142" t="b">
        <v>0</v>
      </c>
      <c r="J114" s="142" t="b">
        <v>0</v>
      </c>
      <c r="K114" s="142" t="b">
        <v>0</v>
      </c>
      <c r="L114" s="8" t="b">
        <v>0</v>
      </c>
    </row>
    <row r="115">
      <c r="B115" s="103"/>
      <c r="C115" s="121" t="str">
        <f t="array" ref="C115">ifs(and(isblank($A115),isblank($B115)),"", not(iserror(vlookup($A115&amp;$B115,'5) Release_Track'!$F:$F&amp;'5) Release_Track'!$G:$G,1,0))),vlookup($A115&amp;$B115,{'5) Release_Track'!$F:$F&amp;'5) Release_Track'!$G:$G,'5) Release_Track'!$H:$H},2,0), or(and(not(isblank($B115)),$B115=$B114,$A115&lt;&gt;$A114),and(not(isblank($A115)),$A115=$A114,$B115&lt;&gt;$B114)),"ID LISTS UNALIGNED",and($A115&lt;&gt;"",countif('5) Release_Track'!$F:$F,$A115)=0),"NO ISRC MATCH in Release_Track",and($B115&lt;&gt;"",countif('5) Release_Track'!$G:$G,$B115)=0),"NO CATALOG ID MATCH in Release_Track",iserror(vlookup($A115&amp;$B115,'5) Release_Track'!$F:$F&amp;'5) Release_Track'!$G:$G,1,0)),"NO ISRC-CATALOG ID pair MATCH in Release_Track" )</f>
        <v/>
      </c>
      <c r="D115" s="121" t="str">
        <f t="array" ref="D115">ifs(and(isblank($A115),isblank($B115)),"", not(iserror(vlookup($A115&amp;$B115,'5) Release_Track'!$F:$F&amp;'5) Release_Track'!$G:$G,1,0))),vlookup($A115&amp;$B115,{'5) Release_Track'!$F:$F&amp;'5) Release_Track'!$G:$G,'5) Release_Track'!$I:$I},2,0), or(and(not(isblank($B115)),$B115=$B114,$A115&lt;&gt;$A114),and(not(isblank($A115)),$A115=$A114,$B115&lt;&gt;$B114)),"ID LISTS UNALIGNED",and($A115&lt;&gt;"",countif('5) Release_Track'!$F:$F,$A115)=0),"NO ISRC MATCH in Release_Track",and($B115&lt;&gt;"",countif('5) Release_Track'!$G:$G,$B115)=0),"NO CATALOG ID MATCH in Release_Track",iserror(vlookup($A115&amp;$B115,'5) Release_Track'!$F:$F&amp;'5) Release_Track'!$G:$G,1,0)),"NO ISRC-CATALOG ID pair MATCH in Release_Track" )</f>
        <v/>
      </c>
      <c r="E115" s="142" t="b">
        <v>0</v>
      </c>
      <c r="F115" s="142" t="b">
        <v>0</v>
      </c>
      <c r="G115" s="142" t="b">
        <v>0</v>
      </c>
      <c r="H115" s="142" t="b">
        <v>0</v>
      </c>
      <c r="I115" s="142" t="b">
        <v>0</v>
      </c>
      <c r="J115" s="142" t="b">
        <v>0</v>
      </c>
      <c r="K115" s="142" t="b">
        <v>0</v>
      </c>
      <c r="L115" s="8" t="b">
        <v>0</v>
      </c>
    </row>
    <row r="116">
      <c r="B116" s="103"/>
      <c r="C116" s="121" t="str">
        <f t="array" ref="C116">ifs(and(isblank($A116),isblank($B116)),"", not(iserror(vlookup($A116&amp;$B116,'5) Release_Track'!$F:$F&amp;'5) Release_Track'!$G:$G,1,0))),vlookup($A116&amp;$B116,{'5) Release_Track'!$F:$F&amp;'5) Release_Track'!$G:$G,'5) Release_Track'!$H:$H},2,0), or(and(not(isblank($B116)),$B116=$B115,$A116&lt;&gt;$A115),and(not(isblank($A116)),$A116=$A115,$B116&lt;&gt;$B115)),"ID LISTS UNALIGNED",and($A116&lt;&gt;"",countif('5) Release_Track'!$F:$F,$A116)=0),"NO ISRC MATCH in Release_Track",and($B116&lt;&gt;"",countif('5) Release_Track'!$G:$G,$B116)=0),"NO CATALOG ID MATCH in Release_Track",iserror(vlookup($A116&amp;$B116,'5) Release_Track'!$F:$F&amp;'5) Release_Track'!$G:$G,1,0)),"NO ISRC-CATALOG ID pair MATCH in Release_Track" )</f>
        <v/>
      </c>
      <c r="D116" s="121" t="str">
        <f t="array" ref="D116">ifs(and(isblank($A116),isblank($B116)),"", not(iserror(vlookup($A116&amp;$B116,'5) Release_Track'!$F:$F&amp;'5) Release_Track'!$G:$G,1,0))),vlookup($A116&amp;$B116,{'5) Release_Track'!$F:$F&amp;'5) Release_Track'!$G:$G,'5) Release_Track'!$I:$I},2,0), or(and(not(isblank($B116)),$B116=$B115,$A116&lt;&gt;$A115),and(not(isblank($A116)),$A116=$A115,$B116&lt;&gt;$B115)),"ID LISTS UNALIGNED",and($A116&lt;&gt;"",countif('5) Release_Track'!$F:$F,$A116)=0),"NO ISRC MATCH in Release_Track",and($B116&lt;&gt;"",countif('5) Release_Track'!$G:$G,$B116)=0),"NO CATALOG ID MATCH in Release_Track",iserror(vlookup($A116&amp;$B116,'5) Release_Track'!$F:$F&amp;'5) Release_Track'!$G:$G,1,0)),"NO ISRC-CATALOG ID pair MATCH in Release_Track" )</f>
        <v/>
      </c>
      <c r="E116" s="142" t="b">
        <v>0</v>
      </c>
      <c r="F116" s="142" t="b">
        <v>0</v>
      </c>
      <c r="G116" s="142" t="b">
        <v>0</v>
      </c>
      <c r="H116" s="142" t="b">
        <v>0</v>
      </c>
      <c r="I116" s="142" t="b">
        <v>0</v>
      </c>
      <c r="J116" s="142" t="b">
        <v>0</v>
      </c>
      <c r="K116" s="142" t="b">
        <v>0</v>
      </c>
      <c r="L116" s="8" t="b">
        <v>0</v>
      </c>
    </row>
    <row r="117">
      <c r="B117" s="103"/>
      <c r="C117" s="121" t="str">
        <f t="array" ref="C117">ifs(and(isblank($A117),isblank($B117)),"", not(iserror(vlookup($A117&amp;$B117,'5) Release_Track'!$F:$F&amp;'5) Release_Track'!$G:$G,1,0))),vlookup($A117&amp;$B117,{'5) Release_Track'!$F:$F&amp;'5) Release_Track'!$G:$G,'5) Release_Track'!$H:$H},2,0), or(and(not(isblank($B117)),$B117=$B116,$A117&lt;&gt;$A116),and(not(isblank($A117)),$A117=$A116,$B117&lt;&gt;$B116)),"ID LISTS UNALIGNED",and($A117&lt;&gt;"",countif('5) Release_Track'!$F:$F,$A117)=0),"NO ISRC MATCH in Release_Track",and($B117&lt;&gt;"",countif('5) Release_Track'!$G:$G,$B117)=0),"NO CATALOG ID MATCH in Release_Track",iserror(vlookup($A117&amp;$B117,'5) Release_Track'!$F:$F&amp;'5) Release_Track'!$G:$G,1,0)),"NO ISRC-CATALOG ID pair MATCH in Release_Track" )</f>
        <v/>
      </c>
      <c r="D117" s="121" t="str">
        <f t="array" ref="D117">ifs(and(isblank($A117),isblank($B117)),"", not(iserror(vlookup($A117&amp;$B117,'5) Release_Track'!$F:$F&amp;'5) Release_Track'!$G:$G,1,0))),vlookup($A117&amp;$B117,{'5) Release_Track'!$F:$F&amp;'5) Release_Track'!$G:$G,'5) Release_Track'!$I:$I},2,0), or(and(not(isblank($B117)),$B117=$B116,$A117&lt;&gt;$A116),and(not(isblank($A117)),$A117=$A116,$B117&lt;&gt;$B116)),"ID LISTS UNALIGNED",and($A117&lt;&gt;"",countif('5) Release_Track'!$F:$F,$A117)=0),"NO ISRC MATCH in Release_Track",and($B117&lt;&gt;"",countif('5) Release_Track'!$G:$G,$B117)=0),"NO CATALOG ID MATCH in Release_Track",iserror(vlookup($A117&amp;$B117,'5) Release_Track'!$F:$F&amp;'5) Release_Track'!$G:$G,1,0)),"NO ISRC-CATALOG ID pair MATCH in Release_Track" )</f>
        <v/>
      </c>
      <c r="E117" s="142" t="b">
        <v>0</v>
      </c>
      <c r="F117" s="142" t="b">
        <v>0</v>
      </c>
      <c r="G117" s="142" t="b">
        <v>0</v>
      </c>
      <c r="H117" s="142" t="b">
        <v>0</v>
      </c>
      <c r="I117" s="142" t="b">
        <v>0</v>
      </c>
      <c r="J117" s="142" t="b">
        <v>0</v>
      </c>
      <c r="K117" s="142" t="b">
        <v>0</v>
      </c>
      <c r="L117" s="8" t="b">
        <v>0</v>
      </c>
    </row>
    <row r="118">
      <c r="B118" s="103"/>
      <c r="C118" s="121" t="str">
        <f t="array" ref="C118">ifs(and(isblank($A118),isblank($B118)),"", not(iserror(vlookup($A118&amp;$B118,'5) Release_Track'!$F:$F&amp;'5) Release_Track'!$G:$G,1,0))),vlookup($A118&amp;$B118,{'5) Release_Track'!$F:$F&amp;'5) Release_Track'!$G:$G,'5) Release_Track'!$H:$H},2,0), or(and(not(isblank($B118)),$B118=$B117,$A118&lt;&gt;$A117),and(not(isblank($A118)),$A118=$A117,$B118&lt;&gt;$B117)),"ID LISTS UNALIGNED",and($A118&lt;&gt;"",countif('5) Release_Track'!$F:$F,$A118)=0),"NO ISRC MATCH in Release_Track",and($B118&lt;&gt;"",countif('5) Release_Track'!$G:$G,$B118)=0),"NO CATALOG ID MATCH in Release_Track",iserror(vlookup($A118&amp;$B118,'5) Release_Track'!$F:$F&amp;'5) Release_Track'!$G:$G,1,0)),"NO ISRC-CATALOG ID pair MATCH in Release_Track" )</f>
        <v/>
      </c>
      <c r="D118" s="121" t="str">
        <f t="array" ref="D118">ifs(and(isblank($A118),isblank($B118)),"", not(iserror(vlookup($A118&amp;$B118,'5) Release_Track'!$F:$F&amp;'5) Release_Track'!$G:$G,1,0))),vlookup($A118&amp;$B118,{'5) Release_Track'!$F:$F&amp;'5) Release_Track'!$G:$G,'5) Release_Track'!$I:$I},2,0), or(and(not(isblank($B118)),$B118=$B117,$A118&lt;&gt;$A117),and(not(isblank($A118)),$A118=$A117,$B118&lt;&gt;$B117)),"ID LISTS UNALIGNED",and($A118&lt;&gt;"",countif('5) Release_Track'!$F:$F,$A118)=0),"NO ISRC MATCH in Release_Track",and($B118&lt;&gt;"",countif('5) Release_Track'!$G:$G,$B118)=0),"NO CATALOG ID MATCH in Release_Track",iserror(vlookup($A118&amp;$B118,'5) Release_Track'!$F:$F&amp;'5) Release_Track'!$G:$G,1,0)),"NO ISRC-CATALOG ID pair MATCH in Release_Track" )</f>
        <v/>
      </c>
      <c r="E118" s="142" t="b">
        <v>0</v>
      </c>
      <c r="F118" s="142" t="b">
        <v>0</v>
      </c>
      <c r="G118" s="142" t="b">
        <v>0</v>
      </c>
      <c r="H118" s="142" t="b">
        <v>0</v>
      </c>
      <c r="I118" s="142" t="b">
        <v>0</v>
      </c>
      <c r="J118" s="142" t="b">
        <v>0</v>
      </c>
      <c r="K118" s="142" t="b">
        <v>0</v>
      </c>
      <c r="L118" s="8" t="b">
        <v>0</v>
      </c>
    </row>
    <row r="119">
      <c r="B119" s="103"/>
      <c r="C119" s="121" t="str">
        <f t="array" ref="C119">ifs(and(isblank($A119),isblank($B119)),"", not(iserror(vlookup($A119&amp;$B119,'5) Release_Track'!$F:$F&amp;'5) Release_Track'!$G:$G,1,0))),vlookup($A119&amp;$B119,{'5) Release_Track'!$F:$F&amp;'5) Release_Track'!$G:$G,'5) Release_Track'!$H:$H},2,0), or(and(not(isblank($B119)),$B119=$B118,$A119&lt;&gt;$A118),and(not(isblank($A119)),$A119=$A118,$B119&lt;&gt;$B118)),"ID LISTS UNALIGNED",and($A119&lt;&gt;"",countif('5) Release_Track'!$F:$F,$A119)=0),"NO ISRC MATCH in Release_Track",and($B119&lt;&gt;"",countif('5) Release_Track'!$G:$G,$B119)=0),"NO CATALOG ID MATCH in Release_Track",iserror(vlookup($A119&amp;$B119,'5) Release_Track'!$F:$F&amp;'5) Release_Track'!$G:$G,1,0)),"NO ISRC-CATALOG ID pair MATCH in Release_Track" )</f>
        <v/>
      </c>
      <c r="D119" s="121" t="str">
        <f t="array" ref="D119">ifs(and(isblank($A119),isblank($B119)),"", not(iserror(vlookup($A119&amp;$B119,'5) Release_Track'!$F:$F&amp;'5) Release_Track'!$G:$G,1,0))),vlookup($A119&amp;$B119,{'5) Release_Track'!$F:$F&amp;'5) Release_Track'!$G:$G,'5) Release_Track'!$I:$I},2,0), or(and(not(isblank($B119)),$B119=$B118,$A119&lt;&gt;$A118),and(not(isblank($A119)),$A119=$A118,$B119&lt;&gt;$B118)),"ID LISTS UNALIGNED",and($A119&lt;&gt;"",countif('5) Release_Track'!$F:$F,$A119)=0),"NO ISRC MATCH in Release_Track",and($B119&lt;&gt;"",countif('5) Release_Track'!$G:$G,$B119)=0),"NO CATALOG ID MATCH in Release_Track",iserror(vlookup($A119&amp;$B119,'5) Release_Track'!$F:$F&amp;'5) Release_Track'!$G:$G,1,0)),"NO ISRC-CATALOG ID pair MATCH in Release_Track" )</f>
        <v/>
      </c>
      <c r="E119" s="142" t="b">
        <v>0</v>
      </c>
      <c r="F119" s="142" t="b">
        <v>0</v>
      </c>
      <c r="G119" s="142" t="b">
        <v>0</v>
      </c>
      <c r="H119" s="142" t="b">
        <v>0</v>
      </c>
      <c r="I119" s="142" t="b">
        <v>0</v>
      </c>
      <c r="J119" s="142" t="b">
        <v>0</v>
      </c>
      <c r="K119" s="142" t="b">
        <v>0</v>
      </c>
      <c r="L119" s="8" t="b">
        <v>0</v>
      </c>
    </row>
    <row r="120">
      <c r="B120" s="103"/>
      <c r="C120" s="121" t="str">
        <f t="array" ref="C120">ifs(and(isblank($A120),isblank($B120)),"", not(iserror(vlookup($A120&amp;$B120,'5) Release_Track'!$F:$F&amp;'5) Release_Track'!$G:$G,1,0))),vlookup($A120&amp;$B120,{'5) Release_Track'!$F:$F&amp;'5) Release_Track'!$G:$G,'5) Release_Track'!$H:$H},2,0), or(and(not(isblank($B120)),$B120=$B119,$A120&lt;&gt;$A119),and(not(isblank($A120)),$A120=$A119,$B120&lt;&gt;$B119)),"ID LISTS UNALIGNED",and($A120&lt;&gt;"",countif('5) Release_Track'!$F:$F,$A120)=0),"NO ISRC MATCH in Release_Track",and($B120&lt;&gt;"",countif('5) Release_Track'!$G:$G,$B120)=0),"NO CATALOG ID MATCH in Release_Track",iserror(vlookup($A120&amp;$B120,'5) Release_Track'!$F:$F&amp;'5) Release_Track'!$G:$G,1,0)),"NO ISRC-CATALOG ID pair MATCH in Release_Track" )</f>
        <v/>
      </c>
      <c r="D120" s="121" t="str">
        <f t="array" ref="D120">ifs(and(isblank($A120),isblank($B120)),"", not(iserror(vlookup($A120&amp;$B120,'5) Release_Track'!$F:$F&amp;'5) Release_Track'!$G:$G,1,0))),vlookup($A120&amp;$B120,{'5) Release_Track'!$F:$F&amp;'5) Release_Track'!$G:$G,'5) Release_Track'!$I:$I},2,0), or(and(not(isblank($B120)),$B120=$B119,$A120&lt;&gt;$A119),and(not(isblank($A120)),$A120=$A119,$B120&lt;&gt;$B119)),"ID LISTS UNALIGNED",and($A120&lt;&gt;"",countif('5) Release_Track'!$F:$F,$A120)=0),"NO ISRC MATCH in Release_Track",and($B120&lt;&gt;"",countif('5) Release_Track'!$G:$G,$B120)=0),"NO CATALOG ID MATCH in Release_Track",iserror(vlookup($A120&amp;$B120,'5) Release_Track'!$F:$F&amp;'5) Release_Track'!$G:$G,1,0)),"NO ISRC-CATALOG ID pair MATCH in Release_Track" )</f>
        <v/>
      </c>
      <c r="E120" s="142" t="b">
        <v>0</v>
      </c>
      <c r="F120" s="142" t="b">
        <v>0</v>
      </c>
      <c r="G120" s="142" t="b">
        <v>0</v>
      </c>
      <c r="H120" s="142" t="b">
        <v>0</v>
      </c>
      <c r="I120" s="142" t="b">
        <v>0</v>
      </c>
      <c r="J120" s="142" t="b">
        <v>0</v>
      </c>
      <c r="K120" s="142" t="b">
        <v>0</v>
      </c>
      <c r="L120" s="8" t="b">
        <v>0</v>
      </c>
    </row>
    <row r="121">
      <c r="B121" s="103"/>
      <c r="C121" s="121" t="str">
        <f t="array" ref="C121">ifs(and(isblank($A121),isblank($B121)),"", not(iserror(vlookup($A121&amp;$B121,'5) Release_Track'!$F:$F&amp;'5) Release_Track'!$G:$G,1,0))),vlookup($A121&amp;$B121,{'5) Release_Track'!$F:$F&amp;'5) Release_Track'!$G:$G,'5) Release_Track'!$H:$H},2,0), or(and(not(isblank($B121)),$B121=$B120,$A121&lt;&gt;$A120),and(not(isblank($A121)),$A121=$A120,$B121&lt;&gt;$B120)),"ID LISTS UNALIGNED",and($A121&lt;&gt;"",countif('5) Release_Track'!$F:$F,$A121)=0),"NO ISRC MATCH in Release_Track",and($B121&lt;&gt;"",countif('5) Release_Track'!$G:$G,$B121)=0),"NO CATALOG ID MATCH in Release_Track",iserror(vlookup($A121&amp;$B121,'5) Release_Track'!$F:$F&amp;'5) Release_Track'!$G:$G,1,0)),"NO ISRC-CATALOG ID pair MATCH in Release_Track" )</f>
        <v/>
      </c>
      <c r="D121" s="121" t="str">
        <f t="array" ref="D121">ifs(and(isblank($A121),isblank($B121)),"", not(iserror(vlookup($A121&amp;$B121,'5) Release_Track'!$F:$F&amp;'5) Release_Track'!$G:$G,1,0))),vlookup($A121&amp;$B121,{'5) Release_Track'!$F:$F&amp;'5) Release_Track'!$G:$G,'5) Release_Track'!$I:$I},2,0), or(and(not(isblank($B121)),$B121=$B120,$A121&lt;&gt;$A120),and(not(isblank($A121)),$A121=$A120,$B121&lt;&gt;$B120)),"ID LISTS UNALIGNED",and($A121&lt;&gt;"",countif('5) Release_Track'!$F:$F,$A121)=0),"NO ISRC MATCH in Release_Track",and($B121&lt;&gt;"",countif('5) Release_Track'!$G:$G,$B121)=0),"NO CATALOG ID MATCH in Release_Track",iserror(vlookup($A121&amp;$B121,'5) Release_Track'!$F:$F&amp;'5) Release_Track'!$G:$G,1,0)),"NO ISRC-CATALOG ID pair MATCH in Release_Track" )</f>
        <v/>
      </c>
      <c r="E121" s="142" t="b">
        <v>0</v>
      </c>
      <c r="F121" s="142" t="b">
        <v>0</v>
      </c>
      <c r="G121" s="142" t="b">
        <v>0</v>
      </c>
      <c r="H121" s="142" t="b">
        <v>0</v>
      </c>
      <c r="I121" s="142" t="b">
        <v>0</v>
      </c>
      <c r="J121" s="142" t="b">
        <v>0</v>
      </c>
      <c r="K121" s="142" t="b">
        <v>0</v>
      </c>
      <c r="L121" s="8" t="b">
        <v>0</v>
      </c>
    </row>
    <row r="122">
      <c r="B122" s="103"/>
      <c r="C122" s="121" t="str">
        <f t="array" ref="C122">ifs(and(isblank($A122),isblank($B122)),"", not(iserror(vlookup($A122&amp;$B122,'5) Release_Track'!$F:$F&amp;'5) Release_Track'!$G:$G,1,0))),vlookup($A122&amp;$B122,{'5) Release_Track'!$F:$F&amp;'5) Release_Track'!$G:$G,'5) Release_Track'!$H:$H},2,0), or(and(not(isblank($B122)),$B122=$B121,$A122&lt;&gt;$A121),and(not(isblank($A122)),$A122=$A121,$B122&lt;&gt;$B121)),"ID LISTS UNALIGNED",and($A122&lt;&gt;"",countif('5) Release_Track'!$F:$F,$A122)=0),"NO ISRC MATCH in Release_Track",and($B122&lt;&gt;"",countif('5) Release_Track'!$G:$G,$B122)=0),"NO CATALOG ID MATCH in Release_Track",iserror(vlookup($A122&amp;$B122,'5) Release_Track'!$F:$F&amp;'5) Release_Track'!$G:$G,1,0)),"NO ISRC-CATALOG ID pair MATCH in Release_Track" )</f>
        <v/>
      </c>
      <c r="D122" s="121" t="str">
        <f t="array" ref="D122">ifs(and(isblank($A122),isblank($B122)),"", not(iserror(vlookup($A122&amp;$B122,'5) Release_Track'!$F:$F&amp;'5) Release_Track'!$G:$G,1,0))),vlookup($A122&amp;$B122,{'5) Release_Track'!$F:$F&amp;'5) Release_Track'!$G:$G,'5) Release_Track'!$I:$I},2,0), or(and(not(isblank($B122)),$B122=$B121,$A122&lt;&gt;$A121),and(not(isblank($A122)),$A122=$A121,$B122&lt;&gt;$B121)),"ID LISTS UNALIGNED",and($A122&lt;&gt;"",countif('5) Release_Track'!$F:$F,$A122)=0),"NO ISRC MATCH in Release_Track",and($B122&lt;&gt;"",countif('5) Release_Track'!$G:$G,$B122)=0),"NO CATALOG ID MATCH in Release_Track",iserror(vlookup($A122&amp;$B122,'5) Release_Track'!$F:$F&amp;'5) Release_Track'!$G:$G,1,0)),"NO ISRC-CATALOG ID pair MATCH in Release_Track" )</f>
        <v/>
      </c>
      <c r="E122" s="142" t="b">
        <v>0</v>
      </c>
      <c r="F122" s="142" t="b">
        <v>0</v>
      </c>
      <c r="G122" s="142" t="b">
        <v>0</v>
      </c>
      <c r="H122" s="142" t="b">
        <v>0</v>
      </c>
      <c r="I122" s="142" t="b">
        <v>0</v>
      </c>
      <c r="J122" s="142" t="b">
        <v>0</v>
      </c>
      <c r="K122" s="142" t="b">
        <v>0</v>
      </c>
      <c r="L122" s="8" t="b">
        <v>0</v>
      </c>
    </row>
    <row r="123">
      <c r="B123" s="103"/>
      <c r="C123" s="121" t="str">
        <f t="array" ref="C123">ifs(and(isblank($A123),isblank($B123)),"", not(iserror(vlookup($A123&amp;$B123,'5) Release_Track'!$F:$F&amp;'5) Release_Track'!$G:$G,1,0))),vlookup($A123&amp;$B123,{'5) Release_Track'!$F:$F&amp;'5) Release_Track'!$G:$G,'5) Release_Track'!$H:$H},2,0), or(and(not(isblank($B123)),$B123=$B122,$A123&lt;&gt;$A122),and(not(isblank($A123)),$A123=$A122,$B123&lt;&gt;$B122)),"ID LISTS UNALIGNED",and($A123&lt;&gt;"",countif('5) Release_Track'!$F:$F,$A123)=0),"NO ISRC MATCH in Release_Track",and($B123&lt;&gt;"",countif('5) Release_Track'!$G:$G,$B123)=0),"NO CATALOG ID MATCH in Release_Track",iserror(vlookup($A123&amp;$B123,'5) Release_Track'!$F:$F&amp;'5) Release_Track'!$G:$G,1,0)),"NO ISRC-CATALOG ID pair MATCH in Release_Track" )</f>
        <v/>
      </c>
      <c r="D123" s="121" t="str">
        <f t="array" ref="D123">ifs(and(isblank($A123),isblank($B123)),"", not(iserror(vlookup($A123&amp;$B123,'5) Release_Track'!$F:$F&amp;'5) Release_Track'!$G:$G,1,0))),vlookup($A123&amp;$B123,{'5) Release_Track'!$F:$F&amp;'5) Release_Track'!$G:$G,'5) Release_Track'!$I:$I},2,0), or(and(not(isblank($B123)),$B123=$B122,$A123&lt;&gt;$A122),and(not(isblank($A123)),$A123=$A122,$B123&lt;&gt;$B122)),"ID LISTS UNALIGNED",and($A123&lt;&gt;"",countif('5) Release_Track'!$F:$F,$A123)=0),"NO ISRC MATCH in Release_Track",and($B123&lt;&gt;"",countif('5) Release_Track'!$G:$G,$B123)=0),"NO CATALOG ID MATCH in Release_Track",iserror(vlookup($A123&amp;$B123,'5) Release_Track'!$F:$F&amp;'5) Release_Track'!$G:$G,1,0)),"NO ISRC-CATALOG ID pair MATCH in Release_Track" )</f>
        <v/>
      </c>
      <c r="E123" s="142" t="b">
        <v>0</v>
      </c>
      <c r="F123" s="142" t="b">
        <v>0</v>
      </c>
      <c r="G123" s="142" t="b">
        <v>0</v>
      </c>
      <c r="H123" s="142" t="b">
        <v>0</v>
      </c>
      <c r="I123" s="142" t="b">
        <v>0</v>
      </c>
      <c r="J123" s="142" t="b">
        <v>0</v>
      </c>
      <c r="K123" s="142" t="b">
        <v>0</v>
      </c>
      <c r="L123" s="8" t="b">
        <v>0</v>
      </c>
    </row>
    <row r="124">
      <c r="B124" s="103"/>
      <c r="C124" s="121" t="str">
        <f t="array" ref="C124">ifs(and(isblank($A124),isblank($B124)),"", not(iserror(vlookup($A124&amp;$B124,'5) Release_Track'!$F:$F&amp;'5) Release_Track'!$G:$G,1,0))),vlookup($A124&amp;$B124,{'5) Release_Track'!$F:$F&amp;'5) Release_Track'!$G:$G,'5) Release_Track'!$H:$H},2,0), or(and(not(isblank($B124)),$B124=$B123,$A124&lt;&gt;$A123),and(not(isblank($A124)),$A124=$A123,$B124&lt;&gt;$B123)),"ID LISTS UNALIGNED",and($A124&lt;&gt;"",countif('5) Release_Track'!$F:$F,$A124)=0),"NO ISRC MATCH in Release_Track",and($B124&lt;&gt;"",countif('5) Release_Track'!$G:$G,$B124)=0),"NO CATALOG ID MATCH in Release_Track",iserror(vlookup($A124&amp;$B124,'5) Release_Track'!$F:$F&amp;'5) Release_Track'!$G:$G,1,0)),"NO ISRC-CATALOG ID pair MATCH in Release_Track" )</f>
        <v/>
      </c>
      <c r="D124" s="121" t="str">
        <f t="array" ref="D124">ifs(and(isblank($A124),isblank($B124)),"", not(iserror(vlookup($A124&amp;$B124,'5) Release_Track'!$F:$F&amp;'5) Release_Track'!$G:$G,1,0))),vlookup($A124&amp;$B124,{'5) Release_Track'!$F:$F&amp;'5) Release_Track'!$G:$G,'5) Release_Track'!$I:$I},2,0), or(and(not(isblank($B124)),$B124=$B123,$A124&lt;&gt;$A123),and(not(isblank($A124)),$A124=$A123,$B124&lt;&gt;$B123)),"ID LISTS UNALIGNED",and($A124&lt;&gt;"",countif('5) Release_Track'!$F:$F,$A124)=0),"NO ISRC MATCH in Release_Track",and($B124&lt;&gt;"",countif('5) Release_Track'!$G:$G,$B124)=0),"NO CATALOG ID MATCH in Release_Track",iserror(vlookup($A124&amp;$B124,'5) Release_Track'!$F:$F&amp;'5) Release_Track'!$G:$G,1,0)),"NO ISRC-CATALOG ID pair MATCH in Release_Track" )</f>
        <v/>
      </c>
      <c r="E124" s="142" t="b">
        <v>0</v>
      </c>
      <c r="F124" s="142" t="b">
        <v>0</v>
      </c>
      <c r="G124" s="142" t="b">
        <v>0</v>
      </c>
      <c r="H124" s="142" t="b">
        <v>0</v>
      </c>
      <c r="I124" s="142" t="b">
        <v>0</v>
      </c>
      <c r="J124" s="142" t="b">
        <v>0</v>
      </c>
      <c r="K124" s="142" t="b">
        <v>0</v>
      </c>
      <c r="L124" s="8" t="b">
        <v>0</v>
      </c>
    </row>
    <row r="125">
      <c r="B125" s="103"/>
      <c r="C125" s="121" t="str">
        <f t="array" ref="C125">ifs(and(isblank($A125),isblank($B125)),"", not(iserror(vlookup($A125&amp;$B125,'5) Release_Track'!$F:$F&amp;'5) Release_Track'!$G:$G,1,0))),vlookup($A125&amp;$B125,{'5) Release_Track'!$F:$F&amp;'5) Release_Track'!$G:$G,'5) Release_Track'!$H:$H},2,0), or(and(not(isblank($B125)),$B125=$B124,$A125&lt;&gt;$A124),and(not(isblank($A125)),$A125=$A124,$B125&lt;&gt;$B124)),"ID LISTS UNALIGNED",and($A125&lt;&gt;"",countif('5) Release_Track'!$F:$F,$A125)=0),"NO ISRC MATCH in Release_Track",and($B125&lt;&gt;"",countif('5) Release_Track'!$G:$G,$B125)=0),"NO CATALOG ID MATCH in Release_Track",iserror(vlookup($A125&amp;$B125,'5) Release_Track'!$F:$F&amp;'5) Release_Track'!$G:$G,1,0)),"NO ISRC-CATALOG ID pair MATCH in Release_Track" )</f>
        <v/>
      </c>
      <c r="D125" s="121" t="str">
        <f t="array" ref="D125">ifs(and(isblank($A125),isblank($B125)),"", not(iserror(vlookup($A125&amp;$B125,'5) Release_Track'!$F:$F&amp;'5) Release_Track'!$G:$G,1,0))),vlookup($A125&amp;$B125,{'5) Release_Track'!$F:$F&amp;'5) Release_Track'!$G:$G,'5) Release_Track'!$I:$I},2,0), or(and(not(isblank($B125)),$B125=$B124,$A125&lt;&gt;$A124),and(not(isblank($A125)),$A125=$A124,$B125&lt;&gt;$B124)),"ID LISTS UNALIGNED",and($A125&lt;&gt;"",countif('5) Release_Track'!$F:$F,$A125)=0),"NO ISRC MATCH in Release_Track",and($B125&lt;&gt;"",countif('5) Release_Track'!$G:$G,$B125)=0),"NO CATALOG ID MATCH in Release_Track",iserror(vlookup($A125&amp;$B125,'5) Release_Track'!$F:$F&amp;'5) Release_Track'!$G:$G,1,0)),"NO ISRC-CATALOG ID pair MATCH in Release_Track" )</f>
        <v/>
      </c>
      <c r="E125" s="142" t="b">
        <v>0</v>
      </c>
      <c r="F125" s="142" t="b">
        <v>0</v>
      </c>
      <c r="G125" s="142" t="b">
        <v>0</v>
      </c>
      <c r="H125" s="142" t="b">
        <v>0</v>
      </c>
      <c r="I125" s="142" t="b">
        <v>0</v>
      </c>
      <c r="J125" s="142" t="b">
        <v>0</v>
      </c>
      <c r="K125" s="142" t="b">
        <v>0</v>
      </c>
      <c r="L125" s="8" t="b">
        <v>0</v>
      </c>
    </row>
    <row r="126">
      <c r="B126" s="103"/>
      <c r="C126" s="121" t="str">
        <f t="array" ref="C126">ifs(and(isblank($A126),isblank($B126)),"", not(iserror(vlookup($A126&amp;$B126,'5) Release_Track'!$F:$F&amp;'5) Release_Track'!$G:$G,1,0))),vlookup($A126&amp;$B126,{'5) Release_Track'!$F:$F&amp;'5) Release_Track'!$G:$G,'5) Release_Track'!$H:$H},2,0), or(and(not(isblank($B126)),$B126=$B125,$A126&lt;&gt;$A125),and(not(isblank($A126)),$A126=$A125,$B126&lt;&gt;$B125)),"ID LISTS UNALIGNED",and($A126&lt;&gt;"",countif('5) Release_Track'!$F:$F,$A126)=0),"NO ISRC MATCH in Release_Track",and($B126&lt;&gt;"",countif('5) Release_Track'!$G:$G,$B126)=0),"NO CATALOG ID MATCH in Release_Track",iserror(vlookup($A126&amp;$B126,'5) Release_Track'!$F:$F&amp;'5) Release_Track'!$G:$G,1,0)),"NO ISRC-CATALOG ID pair MATCH in Release_Track" )</f>
        <v/>
      </c>
      <c r="D126" s="121" t="str">
        <f t="array" ref="D126">ifs(and(isblank($A126),isblank($B126)),"", not(iserror(vlookup($A126&amp;$B126,'5) Release_Track'!$F:$F&amp;'5) Release_Track'!$G:$G,1,0))),vlookup($A126&amp;$B126,{'5) Release_Track'!$F:$F&amp;'5) Release_Track'!$G:$G,'5) Release_Track'!$I:$I},2,0), or(and(not(isblank($B126)),$B126=$B125,$A126&lt;&gt;$A125),and(not(isblank($A126)),$A126=$A125,$B126&lt;&gt;$B125)),"ID LISTS UNALIGNED",and($A126&lt;&gt;"",countif('5) Release_Track'!$F:$F,$A126)=0),"NO ISRC MATCH in Release_Track",and($B126&lt;&gt;"",countif('5) Release_Track'!$G:$G,$B126)=0),"NO CATALOG ID MATCH in Release_Track",iserror(vlookup($A126&amp;$B126,'5) Release_Track'!$F:$F&amp;'5) Release_Track'!$G:$G,1,0)),"NO ISRC-CATALOG ID pair MATCH in Release_Track" )</f>
        <v/>
      </c>
      <c r="E126" s="142" t="b">
        <v>0</v>
      </c>
      <c r="F126" s="142" t="b">
        <v>0</v>
      </c>
      <c r="G126" s="142" t="b">
        <v>0</v>
      </c>
      <c r="H126" s="142" t="b">
        <v>0</v>
      </c>
      <c r="I126" s="142" t="b">
        <v>0</v>
      </c>
      <c r="J126" s="142" t="b">
        <v>0</v>
      </c>
      <c r="K126" s="142" t="b">
        <v>0</v>
      </c>
      <c r="L126" s="8" t="b">
        <v>0</v>
      </c>
    </row>
    <row r="127">
      <c r="B127" s="103"/>
      <c r="C127" s="121" t="str">
        <f t="array" ref="C127">ifs(and(isblank($A127),isblank($B127)),"", not(iserror(vlookup($A127&amp;$B127,'5) Release_Track'!$F:$F&amp;'5) Release_Track'!$G:$G,1,0))),vlookup($A127&amp;$B127,{'5) Release_Track'!$F:$F&amp;'5) Release_Track'!$G:$G,'5) Release_Track'!$H:$H},2,0), or(and(not(isblank($B127)),$B127=$B126,$A127&lt;&gt;$A126),and(not(isblank($A127)),$A127=$A126,$B127&lt;&gt;$B126)),"ID LISTS UNALIGNED",and($A127&lt;&gt;"",countif('5) Release_Track'!$F:$F,$A127)=0),"NO ISRC MATCH in Release_Track",and($B127&lt;&gt;"",countif('5) Release_Track'!$G:$G,$B127)=0),"NO CATALOG ID MATCH in Release_Track",iserror(vlookup($A127&amp;$B127,'5) Release_Track'!$F:$F&amp;'5) Release_Track'!$G:$G,1,0)),"NO ISRC-CATALOG ID pair MATCH in Release_Track" )</f>
        <v/>
      </c>
      <c r="D127" s="121" t="str">
        <f t="array" ref="D127">ifs(and(isblank($A127),isblank($B127)),"", not(iserror(vlookup($A127&amp;$B127,'5) Release_Track'!$F:$F&amp;'5) Release_Track'!$G:$G,1,0))),vlookup($A127&amp;$B127,{'5) Release_Track'!$F:$F&amp;'5) Release_Track'!$G:$G,'5) Release_Track'!$I:$I},2,0), or(and(not(isblank($B127)),$B127=$B126,$A127&lt;&gt;$A126),and(not(isblank($A127)),$A127=$A126,$B127&lt;&gt;$B126)),"ID LISTS UNALIGNED",and($A127&lt;&gt;"",countif('5) Release_Track'!$F:$F,$A127)=0),"NO ISRC MATCH in Release_Track",and($B127&lt;&gt;"",countif('5) Release_Track'!$G:$G,$B127)=0),"NO CATALOG ID MATCH in Release_Track",iserror(vlookup($A127&amp;$B127,'5) Release_Track'!$F:$F&amp;'5) Release_Track'!$G:$G,1,0)),"NO ISRC-CATALOG ID pair MATCH in Release_Track" )</f>
        <v/>
      </c>
      <c r="E127" s="142" t="b">
        <v>0</v>
      </c>
      <c r="F127" s="142" t="b">
        <v>0</v>
      </c>
      <c r="G127" s="142" t="b">
        <v>0</v>
      </c>
      <c r="H127" s="142" t="b">
        <v>0</v>
      </c>
      <c r="I127" s="142" t="b">
        <v>0</v>
      </c>
      <c r="J127" s="142" t="b">
        <v>0</v>
      </c>
      <c r="K127" s="142" t="b">
        <v>0</v>
      </c>
      <c r="L127" s="8" t="b">
        <v>0</v>
      </c>
    </row>
    <row r="128">
      <c r="B128" s="103"/>
      <c r="C128" s="121" t="str">
        <f t="array" ref="C128">ifs(and(isblank($A128),isblank($B128)),"", not(iserror(vlookup($A128&amp;$B128,'5) Release_Track'!$F:$F&amp;'5) Release_Track'!$G:$G,1,0))),vlookup($A128&amp;$B128,{'5) Release_Track'!$F:$F&amp;'5) Release_Track'!$G:$G,'5) Release_Track'!$H:$H},2,0), or(and(not(isblank($B128)),$B128=$B127,$A128&lt;&gt;$A127),and(not(isblank($A128)),$A128=$A127,$B128&lt;&gt;$B127)),"ID LISTS UNALIGNED",and($A128&lt;&gt;"",countif('5) Release_Track'!$F:$F,$A128)=0),"NO ISRC MATCH in Release_Track",and($B128&lt;&gt;"",countif('5) Release_Track'!$G:$G,$B128)=0),"NO CATALOG ID MATCH in Release_Track",iserror(vlookup($A128&amp;$B128,'5) Release_Track'!$F:$F&amp;'5) Release_Track'!$G:$G,1,0)),"NO ISRC-CATALOG ID pair MATCH in Release_Track" )</f>
        <v/>
      </c>
      <c r="D128" s="121" t="str">
        <f t="array" ref="D128">ifs(and(isblank($A128),isblank($B128)),"", not(iserror(vlookup($A128&amp;$B128,'5) Release_Track'!$F:$F&amp;'5) Release_Track'!$G:$G,1,0))),vlookup($A128&amp;$B128,{'5) Release_Track'!$F:$F&amp;'5) Release_Track'!$G:$G,'5) Release_Track'!$I:$I},2,0), or(and(not(isblank($B128)),$B128=$B127,$A128&lt;&gt;$A127),and(not(isblank($A128)),$A128=$A127,$B128&lt;&gt;$B127)),"ID LISTS UNALIGNED",and($A128&lt;&gt;"",countif('5) Release_Track'!$F:$F,$A128)=0),"NO ISRC MATCH in Release_Track",and($B128&lt;&gt;"",countif('5) Release_Track'!$G:$G,$B128)=0),"NO CATALOG ID MATCH in Release_Track",iserror(vlookup($A128&amp;$B128,'5) Release_Track'!$F:$F&amp;'5) Release_Track'!$G:$G,1,0)),"NO ISRC-CATALOG ID pair MATCH in Release_Track" )</f>
        <v/>
      </c>
      <c r="E128" s="142" t="b">
        <v>0</v>
      </c>
      <c r="F128" s="142" t="b">
        <v>0</v>
      </c>
      <c r="G128" s="142" t="b">
        <v>0</v>
      </c>
      <c r="H128" s="142" t="b">
        <v>0</v>
      </c>
      <c r="I128" s="142" t="b">
        <v>0</v>
      </c>
      <c r="J128" s="142" t="b">
        <v>0</v>
      </c>
      <c r="K128" s="142" t="b">
        <v>0</v>
      </c>
      <c r="L128" s="8" t="b">
        <v>0</v>
      </c>
    </row>
    <row r="129">
      <c r="B129" s="103"/>
      <c r="C129" s="121" t="str">
        <f t="array" ref="C129">ifs(and(isblank($A129),isblank($B129)),"", not(iserror(vlookup($A129&amp;$B129,'5) Release_Track'!$F:$F&amp;'5) Release_Track'!$G:$G,1,0))),vlookup($A129&amp;$B129,{'5) Release_Track'!$F:$F&amp;'5) Release_Track'!$G:$G,'5) Release_Track'!$H:$H},2,0), or(and(not(isblank($B129)),$B129=$B128,$A129&lt;&gt;$A128),and(not(isblank($A129)),$A129=$A128,$B129&lt;&gt;$B128)),"ID LISTS UNALIGNED",and($A129&lt;&gt;"",countif('5) Release_Track'!$F:$F,$A129)=0),"NO ISRC MATCH in Release_Track",and($B129&lt;&gt;"",countif('5) Release_Track'!$G:$G,$B129)=0),"NO CATALOG ID MATCH in Release_Track",iserror(vlookup($A129&amp;$B129,'5) Release_Track'!$F:$F&amp;'5) Release_Track'!$G:$G,1,0)),"NO ISRC-CATALOG ID pair MATCH in Release_Track" )</f>
        <v/>
      </c>
      <c r="D129" s="121" t="str">
        <f t="array" ref="D129">ifs(and(isblank($A129),isblank($B129)),"", not(iserror(vlookup($A129&amp;$B129,'5) Release_Track'!$F:$F&amp;'5) Release_Track'!$G:$G,1,0))),vlookup($A129&amp;$B129,{'5) Release_Track'!$F:$F&amp;'5) Release_Track'!$G:$G,'5) Release_Track'!$I:$I},2,0), or(and(not(isblank($B129)),$B129=$B128,$A129&lt;&gt;$A128),and(not(isblank($A129)),$A129=$A128,$B129&lt;&gt;$B128)),"ID LISTS UNALIGNED",and($A129&lt;&gt;"",countif('5) Release_Track'!$F:$F,$A129)=0),"NO ISRC MATCH in Release_Track",and($B129&lt;&gt;"",countif('5) Release_Track'!$G:$G,$B129)=0),"NO CATALOG ID MATCH in Release_Track",iserror(vlookup($A129&amp;$B129,'5) Release_Track'!$F:$F&amp;'5) Release_Track'!$G:$G,1,0)),"NO ISRC-CATALOG ID pair MATCH in Release_Track" )</f>
        <v/>
      </c>
      <c r="E129" s="142" t="b">
        <v>0</v>
      </c>
      <c r="F129" s="142" t="b">
        <v>0</v>
      </c>
      <c r="G129" s="142" t="b">
        <v>0</v>
      </c>
      <c r="H129" s="142" t="b">
        <v>0</v>
      </c>
      <c r="I129" s="142" t="b">
        <v>0</v>
      </c>
      <c r="J129" s="142" t="b">
        <v>0</v>
      </c>
      <c r="K129" s="142" t="b">
        <v>0</v>
      </c>
      <c r="L129" s="8" t="b">
        <v>0</v>
      </c>
    </row>
    <row r="130">
      <c r="B130" s="103"/>
      <c r="C130" s="121" t="str">
        <f t="array" ref="C130">ifs(and(isblank($A130),isblank($B130)),"", not(iserror(vlookup($A130&amp;$B130,'5) Release_Track'!$F:$F&amp;'5) Release_Track'!$G:$G,1,0))),vlookup($A130&amp;$B130,{'5) Release_Track'!$F:$F&amp;'5) Release_Track'!$G:$G,'5) Release_Track'!$H:$H},2,0), or(and(not(isblank($B130)),$B130=$B129,$A130&lt;&gt;$A129),and(not(isblank($A130)),$A130=$A129,$B130&lt;&gt;$B129)),"ID LISTS UNALIGNED",and($A130&lt;&gt;"",countif('5) Release_Track'!$F:$F,$A130)=0),"NO ISRC MATCH in Release_Track",and($B130&lt;&gt;"",countif('5) Release_Track'!$G:$G,$B130)=0),"NO CATALOG ID MATCH in Release_Track",iserror(vlookup($A130&amp;$B130,'5) Release_Track'!$F:$F&amp;'5) Release_Track'!$G:$G,1,0)),"NO ISRC-CATALOG ID pair MATCH in Release_Track" )</f>
        <v/>
      </c>
      <c r="D130" s="121" t="str">
        <f t="array" ref="D130">ifs(and(isblank($A130),isblank($B130)),"", not(iserror(vlookup($A130&amp;$B130,'5) Release_Track'!$F:$F&amp;'5) Release_Track'!$G:$G,1,0))),vlookup($A130&amp;$B130,{'5) Release_Track'!$F:$F&amp;'5) Release_Track'!$G:$G,'5) Release_Track'!$I:$I},2,0), or(and(not(isblank($B130)),$B130=$B129,$A130&lt;&gt;$A129),and(not(isblank($A130)),$A130=$A129,$B130&lt;&gt;$B129)),"ID LISTS UNALIGNED",and($A130&lt;&gt;"",countif('5) Release_Track'!$F:$F,$A130)=0),"NO ISRC MATCH in Release_Track",and($B130&lt;&gt;"",countif('5) Release_Track'!$G:$G,$B130)=0),"NO CATALOG ID MATCH in Release_Track",iserror(vlookup($A130&amp;$B130,'5) Release_Track'!$F:$F&amp;'5) Release_Track'!$G:$G,1,0)),"NO ISRC-CATALOG ID pair MATCH in Release_Track" )</f>
        <v/>
      </c>
      <c r="E130" s="142" t="b">
        <v>0</v>
      </c>
      <c r="F130" s="142" t="b">
        <v>0</v>
      </c>
      <c r="G130" s="142" t="b">
        <v>0</v>
      </c>
      <c r="H130" s="142" t="b">
        <v>0</v>
      </c>
      <c r="I130" s="142" t="b">
        <v>0</v>
      </c>
      <c r="J130" s="142" t="b">
        <v>0</v>
      </c>
      <c r="K130" s="142" t="b">
        <v>0</v>
      </c>
      <c r="L130" s="8" t="b">
        <v>0</v>
      </c>
    </row>
    <row r="131">
      <c r="B131" s="103"/>
      <c r="C131" s="121" t="str">
        <f t="array" ref="C131">ifs(and(isblank($A131),isblank($B131)),"", not(iserror(vlookup($A131&amp;$B131,'5) Release_Track'!$F:$F&amp;'5) Release_Track'!$G:$G,1,0))),vlookup($A131&amp;$B131,{'5) Release_Track'!$F:$F&amp;'5) Release_Track'!$G:$G,'5) Release_Track'!$H:$H},2,0), or(and(not(isblank($B131)),$B131=$B130,$A131&lt;&gt;$A130),and(not(isblank($A131)),$A131=$A130,$B131&lt;&gt;$B130)),"ID LISTS UNALIGNED",and($A131&lt;&gt;"",countif('5) Release_Track'!$F:$F,$A131)=0),"NO ISRC MATCH in Release_Track",and($B131&lt;&gt;"",countif('5) Release_Track'!$G:$G,$B131)=0),"NO CATALOG ID MATCH in Release_Track",iserror(vlookup($A131&amp;$B131,'5) Release_Track'!$F:$F&amp;'5) Release_Track'!$G:$G,1,0)),"NO ISRC-CATALOG ID pair MATCH in Release_Track" )</f>
        <v/>
      </c>
      <c r="D131" s="121" t="str">
        <f t="array" ref="D131">ifs(and(isblank($A131),isblank($B131)),"", not(iserror(vlookup($A131&amp;$B131,'5) Release_Track'!$F:$F&amp;'5) Release_Track'!$G:$G,1,0))),vlookup($A131&amp;$B131,{'5) Release_Track'!$F:$F&amp;'5) Release_Track'!$G:$G,'5) Release_Track'!$I:$I},2,0), or(and(not(isblank($B131)),$B131=$B130,$A131&lt;&gt;$A130),and(not(isblank($A131)),$A131=$A130,$B131&lt;&gt;$B130)),"ID LISTS UNALIGNED",and($A131&lt;&gt;"",countif('5) Release_Track'!$F:$F,$A131)=0),"NO ISRC MATCH in Release_Track",and($B131&lt;&gt;"",countif('5) Release_Track'!$G:$G,$B131)=0),"NO CATALOG ID MATCH in Release_Track",iserror(vlookup($A131&amp;$B131,'5) Release_Track'!$F:$F&amp;'5) Release_Track'!$G:$G,1,0)),"NO ISRC-CATALOG ID pair MATCH in Release_Track" )</f>
        <v/>
      </c>
      <c r="E131" s="142" t="b">
        <v>0</v>
      </c>
      <c r="F131" s="142" t="b">
        <v>0</v>
      </c>
      <c r="G131" s="142" t="b">
        <v>0</v>
      </c>
      <c r="H131" s="142" t="b">
        <v>0</v>
      </c>
      <c r="I131" s="142" t="b">
        <v>0</v>
      </c>
      <c r="J131" s="142" t="b">
        <v>0</v>
      </c>
      <c r="K131" s="142" t="b">
        <v>0</v>
      </c>
      <c r="L131" s="8" t="b">
        <v>0</v>
      </c>
    </row>
    <row r="132">
      <c r="B132" s="103"/>
      <c r="C132" s="121" t="str">
        <f t="array" ref="C132">ifs(and(isblank($A132),isblank($B132)),"", not(iserror(vlookup($A132&amp;$B132,'5) Release_Track'!$F:$F&amp;'5) Release_Track'!$G:$G,1,0))),vlookup($A132&amp;$B132,{'5) Release_Track'!$F:$F&amp;'5) Release_Track'!$G:$G,'5) Release_Track'!$H:$H},2,0), or(and(not(isblank($B132)),$B132=$B131,$A132&lt;&gt;$A131),and(not(isblank($A132)),$A132=$A131,$B132&lt;&gt;$B131)),"ID LISTS UNALIGNED",and($A132&lt;&gt;"",countif('5) Release_Track'!$F:$F,$A132)=0),"NO ISRC MATCH in Release_Track",and($B132&lt;&gt;"",countif('5) Release_Track'!$G:$G,$B132)=0),"NO CATALOG ID MATCH in Release_Track",iserror(vlookup($A132&amp;$B132,'5) Release_Track'!$F:$F&amp;'5) Release_Track'!$G:$G,1,0)),"NO ISRC-CATALOG ID pair MATCH in Release_Track" )</f>
        <v/>
      </c>
      <c r="D132" s="121" t="str">
        <f t="array" ref="D132">ifs(and(isblank($A132),isblank($B132)),"", not(iserror(vlookup($A132&amp;$B132,'5) Release_Track'!$F:$F&amp;'5) Release_Track'!$G:$G,1,0))),vlookup($A132&amp;$B132,{'5) Release_Track'!$F:$F&amp;'5) Release_Track'!$G:$G,'5) Release_Track'!$I:$I},2,0), or(and(not(isblank($B132)),$B132=$B131,$A132&lt;&gt;$A131),and(not(isblank($A132)),$A132=$A131,$B132&lt;&gt;$B131)),"ID LISTS UNALIGNED",and($A132&lt;&gt;"",countif('5) Release_Track'!$F:$F,$A132)=0),"NO ISRC MATCH in Release_Track",and($B132&lt;&gt;"",countif('5) Release_Track'!$G:$G,$B132)=0),"NO CATALOG ID MATCH in Release_Track",iserror(vlookup($A132&amp;$B132,'5) Release_Track'!$F:$F&amp;'5) Release_Track'!$G:$G,1,0)),"NO ISRC-CATALOG ID pair MATCH in Release_Track" )</f>
        <v/>
      </c>
      <c r="E132" s="142" t="b">
        <v>0</v>
      </c>
      <c r="F132" s="142" t="b">
        <v>0</v>
      </c>
      <c r="G132" s="142" t="b">
        <v>0</v>
      </c>
      <c r="H132" s="142" t="b">
        <v>0</v>
      </c>
      <c r="I132" s="142" t="b">
        <v>0</v>
      </c>
      <c r="J132" s="142" t="b">
        <v>0</v>
      </c>
      <c r="K132" s="142" t="b">
        <v>0</v>
      </c>
      <c r="L132" s="8" t="b">
        <v>0</v>
      </c>
    </row>
    <row r="133">
      <c r="B133" s="103"/>
      <c r="C133" s="121" t="str">
        <f t="array" ref="C133">ifs(and(isblank($A133),isblank($B133)),"", not(iserror(vlookup($A133&amp;$B133,'5) Release_Track'!$F:$F&amp;'5) Release_Track'!$G:$G,1,0))),vlookup($A133&amp;$B133,{'5) Release_Track'!$F:$F&amp;'5) Release_Track'!$G:$G,'5) Release_Track'!$H:$H},2,0), or(and(not(isblank($B133)),$B133=$B132,$A133&lt;&gt;$A132),and(not(isblank($A133)),$A133=$A132,$B133&lt;&gt;$B132)),"ID LISTS UNALIGNED",and($A133&lt;&gt;"",countif('5) Release_Track'!$F:$F,$A133)=0),"NO ISRC MATCH in Release_Track",and($B133&lt;&gt;"",countif('5) Release_Track'!$G:$G,$B133)=0),"NO CATALOG ID MATCH in Release_Track",iserror(vlookup($A133&amp;$B133,'5) Release_Track'!$F:$F&amp;'5) Release_Track'!$G:$G,1,0)),"NO ISRC-CATALOG ID pair MATCH in Release_Track" )</f>
        <v/>
      </c>
      <c r="D133" s="121" t="str">
        <f t="array" ref="D133">ifs(and(isblank($A133),isblank($B133)),"", not(iserror(vlookup($A133&amp;$B133,'5) Release_Track'!$F:$F&amp;'5) Release_Track'!$G:$G,1,0))),vlookup($A133&amp;$B133,{'5) Release_Track'!$F:$F&amp;'5) Release_Track'!$G:$G,'5) Release_Track'!$I:$I},2,0), or(and(not(isblank($B133)),$B133=$B132,$A133&lt;&gt;$A132),and(not(isblank($A133)),$A133=$A132,$B133&lt;&gt;$B132)),"ID LISTS UNALIGNED",and($A133&lt;&gt;"",countif('5) Release_Track'!$F:$F,$A133)=0),"NO ISRC MATCH in Release_Track",and($B133&lt;&gt;"",countif('5) Release_Track'!$G:$G,$B133)=0),"NO CATALOG ID MATCH in Release_Track",iserror(vlookup($A133&amp;$B133,'5) Release_Track'!$F:$F&amp;'5) Release_Track'!$G:$G,1,0)),"NO ISRC-CATALOG ID pair MATCH in Release_Track" )</f>
        <v/>
      </c>
      <c r="E133" s="142" t="b">
        <v>0</v>
      </c>
      <c r="F133" s="142" t="b">
        <v>0</v>
      </c>
      <c r="G133" s="142" t="b">
        <v>0</v>
      </c>
      <c r="H133" s="142" t="b">
        <v>0</v>
      </c>
      <c r="I133" s="142" t="b">
        <v>0</v>
      </c>
      <c r="J133" s="142" t="b">
        <v>0</v>
      </c>
      <c r="K133" s="142" t="b">
        <v>0</v>
      </c>
      <c r="L133" s="8" t="b">
        <v>0</v>
      </c>
    </row>
    <row r="134">
      <c r="B134" s="103"/>
      <c r="C134" s="121" t="str">
        <f t="array" ref="C134">ifs(and(isblank($A134),isblank($B134)),"", not(iserror(vlookup($A134&amp;$B134,'5) Release_Track'!$F:$F&amp;'5) Release_Track'!$G:$G,1,0))),vlookup($A134&amp;$B134,{'5) Release_Track'!$F:$F&amp;'5) Release_Track'!$G:$G,'5) Release_Track'!$H:$H},2,0), or(and(not(isblank($B134)),$B134=$B133,$A134&lt;&gt;$A133),and(not(isblank($A134)),$A134=$A133,$B134&lt;&gt;$B133)),"ID LISTS UNALIGNED",and($A134&lt;&gt;"",countif('5) Release_Track'!$F:$F,$A134)=0),"NO ISRC MATCH in Release_Track",and($B134&lt;&gt;"",countif('5) Release_Track'!$G:$G,$B134)=0),"NO CATALOG ID MATCH in Release_Track",iserror(vlookup($A134&amp;$B134,'5) Release_Track'!$F:$F&amp;'5) Release_Track'!$G:$G,1,0)),"NO ISRC-CATALOG ID pair MATCH in Release_Track" )</f>
        <v/>
      </c>
      <c r="D134" s="121" t="str">
        <f t="array" ref="D134">ifs(and(isblank($A134),isblank($B134)),"", not(iserror(vlookup($A134&amp;$B134,'5) Release_Track'!$F:$F&amp;'5) Release_Track'!$G:$G,1,0))),vlookup($A134&amp;$B134,{'5) Release_Track'!$F:$F&amp;'5) Release_Track'!$G:$G,'5) Release_Track'!$I:$I},2,0), or(and(not(isblank($B134)),$B134=$B133,$A134&lt;&gt;$A133),and(not(isblank($A134)),$A134=$A133,$B134&lt;&gt;$B133)),"ID LISTS UNALIGNED",and($A134&lt;&gt;"",countif('5) Release_Track'!$F:$F,$A134)=0),"NO ISRC MATCH in Release_Track",and($B134&lt;&gt;"",countif('5) Release_Track'!$G:$G,$B134)=0),"NO CATALOG ID MATCH in Release_Track",iserror(vlookup($A134&amp;$B134,'5) Release_Track'!$F:$F&amp;'5) Release_Track'!$G:$G,1,0)),"NO ISRC-CATALOG ID pair MATCH in Release_Track" )</f>
        <v/>
      </c>
      <c r="E134" s="142" t="b">
        <v>0</v>
      </c>
      <c r="F134" s="142" t="b">
        <v>0</v>
      </c>
      <c r="G134" s="142" t="b">
        <v>0</v>
      </c>
      <c r="H134" s="142" t="b">
        <v>0</v>
      </c>
      <c r="I134" s="142" t="b">
        <v>0</v>
      </c>
      <c r="J134" s="142" t="b">
        <v>0</v>
      </c>
      <c r="K134" s="142" t="b">
        <v>0</v>
      </c>
      <c r="L134" s="8" t="b">
        <v>0</v>
      </c>
    </row>
    <row r="135">
      <c r="B135" s="103"/>
      <c r="C135" s="121" t="str">
        <f t="array" ref="C135">ifs(and(isblank($A135),isblank($B135)),"", not(iserror(vlookup($A135&amp;$B135,'5) Release_Track'!$F:$F&amp;'5) Release_Track'!$G:$G,1,0))),vlookup($A135&amp;$B135,{'5) Release_Track'!$F:$F&amp;'5) Release_Track'!$G:$G,'5) Release_Track'!$H:$H},2,0), or(and(not(isblank($B135)),$B135=$B134,$A135&lt;&gt;$A134),and(not(isblank($A135)),$A135=$A134,$B135&lt;&gt;$B134)),"ID LISTS UNALIGNED",and($A135&lt;&gt;"",countif('5) Release_Track'!$F:$F,$A135)=0),"NO ISRC MATCH in Release_Track",and($B135&lt;&gt;"",countif('5) Release_Track'!$G:$G,$B135)=0),"NO CATALOG ID MATCH in Release_Track",iserror(vlookup($A135&amp;$B135,'5) Release_Track'!$F:$F&amp;'5) Release_Track'!$G:$G,1,0)),"NO ISRC-CATALOG ID pair MATCH in Release_Track" )</f>
        <v/>
      </c>
      <c r="D135" s="121" t="str">
        <f t="array" ref="D135">ifs(and(isblank($A135),isblank($B135)),"", not(iserror(vlookup($A135&amp;$B135,'5) Release_Track'!$F:$F&amp;'5) Release_Track'!$G:$G,1,0))),vlookup($A135&amp;$B135,{'5) Release_Track'!$F:$F&amp;'5) Release_Track'!$G:$G,'5) Release_Track'!$I:$I},2,0), or(and(not(isblank($B135)),$B135=$B134,$A135&lt;&gt;$A134),and(not(isblank($A135)),$A135=$A134,$B135&lt;&gt;$B134)),"ID LISTS UNALIGNED",and($A135&lt;&gt;"",countif('5) Release_Track'!$F:$F,$A135)=0),"NO ISRC MATCH in Release_Track",and($B135&lt;&gt;"",countif('5) Release_Track'!$G:$G,$B135)=0),"NO CATALOG ID MATCH in Release_Track",iserror(vlookup($A135&amp;$B135,'5) Release_Track'!$F:$F&amp;'5) Release_Track'!$G:$G,1,0)),"NO ISRC-CATALOG ID pair MATCH in Release_Track" )</f>
        <v/>
      </c>
      <c r="E135" s="142" t="b">
        <v>0</v>
      </c>
      <c r="F135" s="142" t="b">
        <v>0</v>
      </c>
      <c r="G135" s="142" t="b">
        <v>0</v>
      </c>
      <c r="H135" s="142" t="b">
        <v>0</v>
      </c>
      <c r="I135" s="142" t="b">
        <v>0</v>
      </c>
      <c r="J135" s="142" t="b">
        <v>0</v>
      </c>
      <c r="K135" s="142" t="b">
        <v>0</v>
      </c>
      <c r="L135" s="8" t="b">
        <v>0</v>
      </c>
    </row>
    <row r="136">
      <c r="B136" s="103"/>
      <c r="C136" s="121" t="str">
        <f t="array" ref="C136">ifs(and(isblank($A136),isblank($B136)),"", not(iserror(vlookup($A136&amp;$B136,'5) Release_Track'!$F:$F&amp;'5) Release_Track'!$G:$G,1,0))),vlookup($A136&amp;$B136,{'5) Release_Track'!$F:$F&amp;'5) Release_Track'!$G:$G,'5) Release_Track'!$H:$H},2,0), or(and(not(isblank($B136)),$B136=$B135,$A136&lt;&gt;$A135),and(not(isblank($A136)),$A136=$A135,$B136&lt;&gt;$B135)),"ID LISTS UNALIGNED",and($A136&lt;&gt;"",countif('5) Release_Track'!$F:$F,$A136)=0),"NO ISRC MATCH in Release_Track",and($B136&lt;&gt;"",countif('5) Release_Track'!$G:$G,$B136)=0),"NO CATALOG ID MATCH in Release_Track",iserror(vlookup($A136&amp;$B136,'5) Release_Track'!$F:$F&amp;'5) Release_Track'!$G:$G,1,0)),"NO ISRC-CATALOG ID pair MATCH in Release_Track" )</f>
        <v/>
      </c>
      <c r="D136" s="121" t="str">
        <f t="array" ref="D136">ifs(and(isblank($A136),isblank($B136)),"", not(iserror(vlookup($A136&amp;$B136,'5) Release_Track'!$F:$F&amp;'5) Release_Track'!$G:$G,1,0))),vlookup($A136&amp;$B136,{'5) Release_Track'!$F:$F&amp;'5) Release_Track'!$G:$G,'5) Release_Track'!$I:$I},2,0), or(and(not(isblank($B136)),$B136=$B135,$A136&lt;&gt;$A135),and(not(isblank($A136)),$A136=$A135,$B136&lt;&gt;$B135)),"ID LISTS UNALIGNED",and($A136&lt;&gt;"",countif('5) Release_Track'!$F:$F,$A136)=0),"NO ISRC MATCH in Release_Track",and($B136&lt;&gt;"",countif('5) Release_Track'!$G:$G,$B136)=0),"NO CATALOG ID MATCH in Release_Track",iserror(vlookup($A136&amp;$B136,'5) Release_Track'!$F:$F&amp;'5) Release_Track'!$G:$G,1,0)),"NO ISRC-CATALOG ID pair MATCH in Release_Track" )</f>
        <v/>
      </c>
      <c r="E136" s="142" t="b">
        <v>0</v>
      </c>
      <c r="F136" s="142" t="b">
        <v>0</v>
      </c>
      <c r="G136" s="142" t="b">
        <v>0</v>
      </c>
      <c r="H136" s="142" t="b">
        <v>0</v>
      </c>
      <c r="I136" s="142" t="b">
        <v>0</v>
      </c>
      <c r="J136" s="142" t="b">
        <v>0</v>
      </c>
      <c r="K136" s="142" t="b">
        <v>0</v>
      </c>
      <c r="L136" s="8" t="b">
        <v>0</v>
      </c>
    </row>
    <row r="137">
      <c r="B137" s="103"/>
      <c r="C137" s="121" t="str">
        <f t="array" ref="C137">ifs(and(isblank($A137),isblank($B137)),"", not(iserror(vlookup($A137&amp;$B137,'5) Release_Track'!$F:$F&amp;'5) Release_Track'!$G:$G,1,0))),vlookup($A137&amp;$B137,{'5) Release_Track'!$F:$F&amp;'5) Release_Track'!$G:$G,'5) Release_Track'!$H:$H},2,0), or(and(not(isblank($B137)),$B137=$B136,$A137&lt;&gt;$A136),and(not(isblank($A137)),$A137=$A136,$B137&lt;&gt;$B136)),"ID LISTS UNALIGNED",and($A137&lt;&gt;"",countif('5) Release_Track'!$F:$F,$A137)=0),"NO ISRC MATCH in Release_Track",and($B137&lt;&gt;"",countif('5) Release_Track'!$G:$G,$B137)=0),"NO CATALOG ID MATCH in Release_Track",iserror(vlookup($A137&amp;$B137,'5) Release_Track'!$F:$F&amp;'5) Release_Track'!$G:$G,1,0)),"NO ISRC-CATALOG ID pair MATCH in Release_Track" )</f>
        <v/>
      </c>
      <c r="D137" s="121" t="str">
        <f t="array" ref="D137">ifs(and(isblank($A137),isblank($B137)),"", not(iserror(vlookup($A137&amp;$B137,'5) Release_Track'!$F:$F&amp;'5) Release_Track'!$G:$G,1,0))),vlookup($A137&amp;$B137,{'5) Release_Track'!$F:$F&amp;'5) Release_Track'!$G:$G,'5) Release_Track'!$I:$I},2,0), or(and(not(isblank($B137)),$B137=$B136,$A137&lt;&gt;$A136),and(not(isblank($A137)),$A137=$A136,$B137&lt;&gt;$B136)),"ID LISTS UNALIGNED",and($A137&lt;&gt;"",countif('5) Release_Track'!$F:$F,$A137)=0),"NO ISRC MATCH in Release_Track",and($B137&lt;&gt;"",countif('5) Release_Track'!$G:$G,$B137)=0),"NO CATALOG ID MATCH in Release_Track",iserror(vlookup($A137&amp;$B137,'5) Release_Track'!$F:$F&amp;'5) Release_Track'!$G:$G,1,0)),"NO ISRC-CATALOG ID pair MATCH in Release_Track" )</f>
        <v/>
      </c>
      <c r="E137" s="142" t="b">
        <v>0</v>
      </c>
      <c r="F137" s="142" t="b">
        <v>0</v>
      </c>
      <c r="G137" s="142" t="b">
        <v>0</v>
      </c>
      <c r="H137" s="142" t="b">
        <v>0</v>
      </c>
      <c r="I137" s="142" t="b">
        <v>0</v>
      </c>
      <c r="J137" s="142" t="b">
        <v>0</v>
      </c>
      <c r="K137" s="142" t="b">
        <v>0</v>
      </c>
      <c r="L137" s="8" t="b">
        <v>0</v>
      </c>
    </row>
    <row r="138">
      <c r="B138" s="103"/>
      <c r="C138" s="121" t="str">
        <f t="array" ref="C138">ifs(and(isblank($A138),isblank($B138)),"", not(iserror(vlookup($A138&amp;$B138,'5) Release_Track'!$F:$F&amp;'5) Release_Track'!$G:$G,1,0))),vlookup($A138&amp;$B138,{'5) Release_Track'!$F:$F&amp;'5) Release_Track'!$G:$G,'5) Release_Track'!$H:$H},2,0), or(and(not(isblank($B138)),$B138=$B137,$A138&lt;&gt;$A137),and(not(isblank($A138)),$A138=$A137,$B138&lt;&gt;$B137)),"ID LISTS UNALIGNED",and($A138&lt;&gt;"",countif('5) Release_Track'!$F:$F,$A138)=0),"NO ISRC MATCH in Release_Track",and($B138&lt;&gt;"",countif('5) Release_Track'!$G:$G,$B138)=0),"NO CATALOG ID MATCH in Release_Track",iserror(vlookup($A138&amp;$B138,'5) Release_Track'!$F:$F&amp;'5) Release_Track'!$G:$G,1,0)),"NO ISRC-CATALOG ID pair MATCH in Release_Track" )</f>
        <v/>
      </c>
      <c r="D138" s="121" t="str">
        <f t="array" ref="D138">ifs(and(isblank($A138),isblank($B138)),"", not(iserror(vlookup($A138&amp;$B138,'5) Release_Track'!$F:$F&amp;'5) Release_Track'!$G:$G,1,0))),vlookup($A138&amp;$B138,{'5) Release_Track'!$F:$F&amp;'5) Release_Track'!$G:$G,'5) Release_Track'!$I:$I},2,0), or(and(not(isblank($B138)),$B138=$B137,$A138&lt;&gt;$A137),and(not(isblank($A138)),$A138=$A137,$B138&lt;&gt;$B137)),"ID LISTS UNALIGNED",and($A138&lt;&gt;"",countif('5) Release_Track'!$F:$F,$A138)=0),"NO ISRC MATCH in Release_Track",and($B138&lt;&gt;"",countif('5) Release_Track'!$G:$G,$B138)=0),"NO CATALOG ID MATCH in Release_Track",iserror(vlookup($A138&amp;$B138,'5) Release_Track'!$F:$F&amp;'5) Release_Track'!$G:$G,1,0)),"NO ISRC-CATALOG ID pair MATCH in Release_Track" )</f>
        <v/>
      </c>
      <c r="E138" s="142" t="b">
        <v>0</v>
      </c>
      <c r="F138" s="142" t="b">
        <v>0</v>
      </c>
      <c r="G138" s="142" t="b">
        <v>0</v>
      </c>
      <c r="H138" s="142" t="b">
        <v>0</v>
      </c>
      <c r="I138" s="142" t="b">
        <v>0</v>
      </c>
      <c r="J138" s="142" t="b">
        <v>0</v>
      </c>
      <c r="K138" s="142" t="b">
        <v>0</v>
      </c>
      <c r="L138" s="8" t="b">
        <v>0</v>
      </c>
    </row>
    <row r="139">
      <c r="B139" s="103"/>
      <c r="C139" s="121" t="str">
        <f t="array" ref="C139">ifs(and(isblank($A139),isblank($B139)),"", not(iserror(vlookup($A139&amp;$B139,'5) Release_Track'!$F:$F&amp;'5) Release_Track'!$G:$G,1,0))),vlookup($A139&amp;$B139,{'5) Release_Track'!$F:$F&amp;'5) Release_Track'!$G:$G,'5) Release_Track'!$H:$H},2,0), or(and(not(isblank($B139)),$B139=$B138,$A139&lt;&gt;$A138),and(not(isblank($A139)),$A139=$A138,$B139&lt;&gt;$B138)),"ID LISTS UNALIGNED",and($A139&lt;&gt;"",countif('5) Release_Track'!$F:$F,$A139)=0),"NO ISRC MATCH in Release_Track",and($B139&lt;&gt;"",countif('5) Release_Track'!$G:$G,$B139)=0),"NO CATALOG ID MATCH in Release_Track",iserror(vlookup($A139&amp;$B139,'5) Release_Track'!$F:$F&amp;'5) Release_Track'!$G:$G,1,0)),"NO ISRC-CATALOG ID pair MATCH in Release_Track" )</f>
        <v/>
      </c>
      <c r="D139" s="121" t="str">
        <f t="array" ref="D139">ifs(and(isblank($A139),isblank($B139)),"", not(iserror(vlookup($A139&amp;$B139,'5) Release_Track'!$F:$F&amp;'5) Release_Track'!$G:$G,1,0))),vlookup($A139&amp;$B139,{'5) Release_Track'!$F:$F&amp;'5) Release_Track'!$G:$G,'5) Release_Track'!$I:$I},2,0), or(and(not(isblank($B139)),$B139=$B138,$A139&lt;&gt;$A138),and(not(isblank($A139)),$A139=$A138,$B139&lt;&gt;$B138)),"ID LISTS UNALIGNED",and($A139&lt;&gt;"",countif('5) Release_Track'!$F:$F,$A139)=0),"NO ISRC MATCH in Release_Track",and($B139&lt;&gt;"",countif('5) Release_Track'!$G:$G,$B139)=0),"NO CATALOG ID MATCH in Release_Track",iserror(vlookup($A139&amp;$B139,'5) Release_Track'!$F:$F&amp;'5) Release_Track'!$G:$G,1,0)),"NO ISRC-CATALOG ID pair MATCH in Release_Track" )</f>
        <v/>
      </c>
      <c r="E139" s="142" t="b">
        <v>0</v>
      </c>
      <c r="F139" s="142" t="b">
        <v>0</v>
      </c>
      <c r="G139" s="142" t="b">
        <v>0</v>
      </c>
      <c r="H139" s="142" t="b">
        <v>0</v>
      </c>
      <c r="I139" s="142" t="b">
        <v>0</v>
      </c>
      <c r="J139" s="142" t="b">
        <v>0</v>
      </c>
      <c r="K139" s="142" t="b">
        <v>0</v>
      </c>
      <c r="L139" s="8" t="b">
        <v>0</v>
      </c>
    </row>
    <row r="140">
      <c r="B140" s="103"/>
      <c r="C140" s="121" t="str">
        <f t="array" ref="C140">ifs(and(isblank($A140),isblank($B140)),"", not(iserror(vlookup($A140&amp;$B140,'5) Release_Track'!$F:$F&amp;'5) Release_Track'!$G:$G,1,0))),vlookup($A140&amp;$B140,{'5) Release_Track'!$F:$F&amp;'5) Release_Track'!$G:$G,'5) Release_Track'!$H:$H},2,0), or(and(not(isblank($B140)),$B140=$B139,$A140&lt;&gt;$A139),and(not(isblank($A140)),$A140=$A139,$B140&lt;&gt;$B139)),"ID LISTS UNALIGNED",and($A140&lt;&gt;"",countif('5) Release_Track'!$F:$F,$A140)=0),"NO ISRC MATCH in Release_Track",and($B140&lt;&gt;"",countif('5) Release_Track'!$G:$G,$B140)=0),"NO CATALOG ID MATCH in Release_Track",iserror(vlookup($A140&amp;$B140,'5) Release_Track'!$F:$F&amp;'5) Release_Track'!$G:$G,1,0)),"NO ISRC-CATALOG ID pair MATCH in Release_Track" )</f>
        <v/>
      </c>
      <c r="D140" s="121" t="str">
        <f t="array" ref="D140">ifs(and(isblank($A140),isblank($B140)),"", not(iserror(vlookup($A140&amp;$B140,'5) Release_Track'!$F:$F&amp;'5) Release_Track'!$G:$G,1,0))),vlookup($A140&amp;$B140,{'5) Release_Track'!$F:$F&amp;'5) Release_Track'!$G:$G,'5) Release_Track'!$I:$I},2,0), or(and(not(isblank($B140)),$B140=$B139,$A140&lt;&gt;$A139),and(not(isblank($A140)),$A140=$A139,$B140&lt;&gt;$B139)),"ID LISTS UNALIGNED",and($A140&lt;&gt;"",countif('5) Release_Track'!$F:$F,$A140)=0),"NO ISRC MATCH in Release_Track",and($B140&lt;&gt;"",countif('5) Release_Track'!$G:$G,$B140)=0),"NO CATALOG ID MATCH in Release_Track",iserror(vlookup($A140&amp;$B140,'5) Release_Track'!$F:$F&amp;'5) Release_Track'!$G:$G,1,0)),"NO ISRC-CATALOG ID pair MATCH in Release_Track" )</f>
        <v/>
      </c>
      <c r="E140" s="142" t="b">
        <v>0</v>
      </c>
      <c r="F140" s="142" t="b">
        <v>0</v>
      </c>
      <c r="G140" s="142" t="b">
        <v>0</v>
      </c>
      <c r="H140" s="142" t="b">
        <v>0</v>
      </c>
      <c r="I140" s="142" t="b">
        <v>0</v>
      </c>
      <c r="J140" s="142" t="b">
        <v>0</v>
      </c>
      <c r="K140" s="142" t="b">
        <v>0</v>
      </c>
      <c r="L140" s="8" t="b">
        <v>0</v>
      </c>
    </row>
    <row r="141">
      <c r="B141" s="103"/>
      <c r="C141" s="121" t="str">
        <f t="array" ref="C141">ifs(and(isblank($A141),isblank($B141)),"", not(iserror(vlookup($A141&amp;$B141,'5) Release_Track'!$F:$F&amp;'5) Release_Track'!$G:$G,1,0))),vlookup($A141&amp;$B141,{'5) Release_Track'!$F:$F&amp;'5) Release_Track'!$G:$G,'5) Release_Track'!$H:$H},2,0), or(and(not(isblank($B141)),$B141=$B140,$A141&lt;&gt;$A140),and(not(isblank($A141)),$A141=$A140,$B141&lt;&gt;$B140)),"ID LISTS UNALIGNED",and($A141&lt;&gt;"",countif('5) Release_Track'!$F:$F,$A141)=0),"NO ISRC MATCH in Release_Track",and($B141&lt;&gt;"",countif('5) Release_Track'!$G:$G,$B141)=0),"NO CATALOG ID MATCH in Release_Track",iserror(vlookup($A141&amp;$B141,'5) Release_Track'!$F:$F&amp;'5) Release_Track'!$G:$G,1,0)),"NO ISRC-CATALOG ID pair MATCH in Release_Track" )</f>
        <v/>
      </c>
      <c r="D141" s="121" t="str">
        <f t="array" ref="D141">ifs(and(isblank($A141),isblank($B141)),"", not(iserror(vlookup($A141&amp;$B141,'5) Release_Track'!$F:$F&amp;'5) Release_Track'!$G:$G,1,0))),vlookup($A141&amp;$B141,{'5) Release_Track'!$F:$F&amp;'5) Release_Track'!$G:$G,'5) Release_Track'!$I:$I},2,0), or(and(not(isblank($B141)),$B141=$B140,$A141&lt;&gt;$A140),and(not(isblank($A141)),$A141=$A140,$B141&lt;&gt;$B140)),"ID LISTS UNALIGNED",and($A141&lt;&gt;"",countif('5) Release_Track'!$F:$F,$A141)=0),"NO ISRC MATCH in Release_Track",and($B141&lt;&gt;"",countif('5) Release_Track'!$G:$G,$B141)=0),"NO CATALOG ID MATCH in Release_Track",iserror(vlookup($A141&amp;$B141,'5) Release_Track'!$F:$F&amp;'5) Release_Track'!$G:$G,1,0)),"NO ISRC-CATALOG ID pair MATCH in Release_Track" )</f>
        <v/>
      </c>
      <c r="E141" s="142" t="b">
        <v>0</v>
      </c>
      <c r="F141" s="142" t="b">
        <v>0</v>
      </c>
      <c r="G141" s="142" t="b">
        <v>0</v>
      </c>
      <c r="H141" s="142" t="b">
        <v>0</v>
      </c>
      <c r="I141" s="142" t="b">
        <v>0</v>
      </c>
      <c r="J141" s="142" t="b">
        <v>0</v>
      </c>
      <c r="K141" s="142" t="b">
        <v>0</v>
      </c>
      <c r="L141" s="8" t="b">
        <v>0</v>
      </c>
    </row>
    <row r="142">
      <c r="B142" s="103"/>
      <c r="C142" s="121" t="str">
        <f t="array" ref="C142">ifs(and(isblank($A142),isblank($B142)),"", not(iserror(vlookup($A142&amp;$B142,'5) Release_Track'!$F:$F&amp;'5) Release_Track'!$G:$G,1,0))),vlookup($A142&amp;$B142,{'5) Release_Track'!$F:$F&amp;'5) Release_Track'!$G:$G,'5) Release_Track'!$H:$H},2,0), or(and(not(isblank($B142)),$B142=$B141,$A142&lt;&gt;$A141),and(not(isblank($A142)),$A142=$A141,$B142&lt;&gt;$B141)),"ID LISTS UNALIGNED",and($A142&lt;&gt;"",countif('5) Release_Track'!$F:$F,$A142)=0),"NO ISRC MATCH in Release_Track",and($B142&lt;&gt;"",countif('5) Release_Track'!$G:$G,$B142)=0),"NO CATALOG ID MATCH in Release_Track",iserror(vlookup($A142&amp;$B142,'5) Release_Track'!$F:$F&amp;'5) Release_Track'!$G:$G,1,0)),"NO ISRC-CATALOG ID pair MATCH in Release_Track" )</f>
        <v/>
      </c>
      <c r="D142" s="121" t="str">
        <f t="array" ref="D142">ifs(and(isblank($A142),isblank($B142)),"", not(iserror(vlookup($A142&amp;$B142,'5) Release_Track'!$F:$F&amp;'5) Release_Track'!$G:$G,1,0))),vlookup($A142&amp;$B142,{'5) Release_Track'!$F:$F&amp;'5) Release_Track'!$G:$G,'5) Release_Track'!$I:$I},2,0), or(and(not(isblank($B142)),$B142=$B141,$A142&lt;&gt;$A141),and(not(isblank($A142)),$A142=$A141,$B142&lt;&gt;$B141)),"ID LISTS UNALIGNED",and($A142&lt;&gt;"",countif('5) Release_Track'!$F:$F,$A142)=0),"NO ISRC MATCH in Release_Track",and($B142&lt;&gt;"",countif('5) Release_Track'!$G:$G,$B142)=0),"NO CATALOG ID MATCH in Release_Track",iserror(vlookup($A142&amp;$B142,'5) Release_Track'!$F:$F&amp;'5) Release_Track'!$G:$G,1,0)),"NO ISRC-CATALOG ID pair MATCH in Release_Track" )</f>
        <v/>
      </c>
      <c r="E142" s="142" t="b">
        <v>0</v>
      </c>
      <c r="F142" s="142" t="b">
        <v>0</v>
      </c>
      <c r="G142" s="142" t="b">
        <v>0</v>
      </c>
      <c r="H142" s="142" t="b">
        <v>0</v>
      </c>
      <c r="I142" s="142" t="b">
        <v>0</v>
      </c>
      <c r="J142" s="142" t="b">
        <v>0</v>
      </c>
      <c r="K142" s="142" t="b">
        <v>0</v>
      </c>
      <c r="L142" s="8" t="b">
        <v>0</v>
      </c>
    </row>
    <row r="143">
      <c r="B143" s="103"/>
      <c r="C143" s="121" t="str">
        <f t="array" ref="C143">ifs(and(isblank($A143),isblank($B143)),"", not(iserror(vlookup($A143&amp;$B143,'5) Release_Track'!$F:$F&amp;'5) Release_Track'!$G:$G,1,0))),vlookup($A143&amp;$B143,{'5) Release_Track'!$F:$F&amp;'5) Release_Track'!$G:$G,'5) Release_Track'!$H:$H},2,0), or(and(not(isblank($B143)),$B143=$B142,$A143&lt;&gt;$A142),and(not(isblank($A143)),$A143=$A142,$B143&lt;&gt;$B142)),"ID LISTS UNALIGNED",and($A143&lt;&gt;"",countif('5) Release_Track'!$F:$F,$A143)=0),"NO ISRC MATCH in Release_Track",and($B143&lt;&gt;"",countif('5) Release_Track'!$G:$G,$B143)=0),"NO CATALOG ID MATCH in Release_Track",iserror(vlookup($A143&amp;$B143,'5) Release_Track'!$F:$F&amp;'5) Release_Track'!$G:$G,1,0)),"NO ISRC-CATALOG ID pair MATCH in Release_Track" )</f>
        <v/>
      </c>
      <c r="D143" s="121" t="str">
        <f t="array" ref="D143">ifs(and(isblank($A143),isblank($B143)),"", not(iserror(vlookup($A143&amp;$B143,'5) Release_Track'!$F:$F&amp;'5) Release_Track'!$G:$G,1,0))),vlookup($A143&amp;$B143,{'5) Release_Track'!$F:$F&amp;'5) Release_Track'!$G:$G,'5) Release_Track'!$I:$I},2,0), or(and(not(isblank($B143)),$B143=$B142,$A143&lt;&gt;$A142),and(not(isblank($A143)),$A143=$A142,$B143&lt;&gt;$B142)),"ID LISTS UNALIGNED",and($A143&lt;&gt;"",countif('5) Release_Track'!$F:$F,$A143)=0),"NO ISRC MATCH in Release_Track",and($B143&lt;&gt;"",countif('5) Release_Track'!$G:$G,$B143)=0),"NO CATALOG ID MATCH in Release_Track",iserror(vlookup($A143&amp;$B143,'5) Release_Track'!$F:$F&amp;'5) Release_Track'!$G:$G,1,0)),"NO ISRC-CATALOG ID pair MATCH in Release_Track" )</f>
        <v/>
      </c>
      <c r="E143" s="142" t="b">
        <v>0</v>
      </c>
      <c r="F143" s="142" t="b">
        <v>0</v>
      </c>
      <c r="G143" s="142" t="b">
        <v>0</v>
      </c>
      <c r="H143" s="142" t="b">
        <v>0</v>
      </c>
      <c r="I143" s="142" t="b">
        <v>0</v>
      </c>
      <c r="J143" s="142" t="b">
        <v>0</v>
      </c>
      <c r="K143" s="142" t="b">
        <v>0</v>
      </c>
      <c r="L143" s="8" t="b">
        <v>0</v>
      </c>
    </row>
    <row r="144">
      <c r="B144" s="103"/>
      <c r="C144" s="121" t="str">
        <f t="array" ref="C144">ifs(and(isblank($A144),isblank($B144)),"", not(iserror(vlookup($A144&amp;$B144,'5) Release_Track'!$F:$F&amp;'5) Release_Track'!$G:$G,1,0))),vlookup($A144&amp;$B144,{'5) Release_Track'!$F:$F&amp;'5) Release_Track'!$G:$G,'5) Release_Track'!$H:$H},2,0), or(and(not(isblank($B144)),$B144=$B143,$A144&lt;&gt;$A143),and(not(isblank($A144)),$A144=$A143,$B144&lt;&gt;$B143)),"ID LISTS UNALIGNED",and($A144&lt;&gt;"",countif('5) Release_Track'!$F:$F,$A144)=0),"NO ISRC MATCH in Release_Track",and($B144&lt;&gt;"",countif('5) Release_Track'!$G:$G,$B144)=0),"NO CATALOG ID MATCH in Release_Track",iserror(vlookup($A144&amp;$B144,'5) Release_Track'!$F:$F&amp;'5) Release_Track'!$G:$G,1,0)),"NO ISRC-CATALOG ID pair MATCH in Release_Track" )</f>
        <v/>
      </c>
      <c r="D144" s="121" t="str">
        <f t="array" ref="D144">ifs(and(isblank($A144),isblank($B144)),"", not(iserror(vlookup($A144&amp;$B144,'5) Release_Track'!$F:$F&amp;'5) Release_Track'!$G:$G,1,0))),vlookup($A144&amp;$B144,{'5) Release_Track'!$F:$F&amp;'5) Release_Track'!$G:$G,'5) Release_Track'!$I:$I},2,0), or(and(not(isblank($B144)),$B144=$B143,$A144&lt;&gt;$A143),and(not(isblank($A144)),$A144=$A143,$B144&lt;&gt;$B143)),"ID LISTS UNALIGNED",and($A144&lt;&gt;"",countif('5) Release_Track'!$F:$F,$A144)=0),"NO ISRC MATCH in Release_Track",and($B144&lt;&gt;"",countif('5) Release_Track'!$G:$G,$B144)=0),"NO CATALOG ID MATCH in Release_Track",iserror(vlookup($A144&amp;$B144,'5) Release_Track'!$F:$F&amp;'5) Release_Track'!$G:$G,1,0)),"NO ISRC-CATALOG ID pair MATCH in Release_Track" )</f>
        <v/>
      </c>
      <c r="E144" s="142" t="b">
        <v>0</v>
      </c>
      <c r="F144" s="142" t="b">
        <v>0</v>
      </c>
      <c r="G144" s="142" t="b">
        <v>0</v>
      </c>
      <c r="H144" s="142" t="b">
        <v>0</v>
      </c>
      <c r="I144" s="142" t="b">
        <v>0</v>
      </c>
      <c r="J144" s="142" t="b">
        <v>0</v>
      </c>
      <c r="K144" s="142" t="b">
        <v>0</v>
      </c>
      <c r="L144" s="8" t="b">
        <v>0</v>
      </c>
    </row>
    <row r="145">
      <c r="B145" s="103"/>
      <c r="C145" s="121" t="str">
        <f t="array" ref="C145">ifs(and(isblank($A145),isblank($B145)),"", not(iserror(vlookup($A145&amp;$B145,'5) Release_Track'!$F:$F&amp;'5) Release_Track'!$G:$G,1,0))),vlookup($A145&amp;$B145,{'5) Release_Track'!$F:$F&amp;'5) Release_Track'!$G:$G,'5) Release_Track'!$H:$H},2,0), or(and(not(isblank($B145)),$B145=$B144,$A145&lt;&gt;$A144),and(not(isblank($A145)),$A145=$A144,$B145&lt;&gt;$B144)),"ID LISTS UNALIGNED",and($A145&lt;&gt;"",countif('5) Release_Track'!$F:$F,$A145)=0),"NO ISRC MATCH in Release_Track",and($B145&lt;&gt;"",countif('5) Release_Track'!$G:$G,$B145)=0),"NO CATALOG ID MATCH in Release_Track",iserror(vlookup($A145&amp;$B145,'5) Release_Track'!$F:$F&amp;'5) Release_Track'!$G:$G,1,0)),"NO ISRC-CATALOG ID pair MATCH in Release_Track" )</f>
        <v/>
      </c>
      <c r="D145" s="121" t="str">
        <f t="array" ref="D145">ifs(and(isblank($A145),isblank($B145)),"", not(iserror(vlookup($A145&amp;$B145,'5) Release_Track'!$F:$F&amp;'5) Release_Track'!$G:$G,1,0))),vlookup($A145&amp;$B145,{'5) Release_Track'!$F:$F&amp;'5) Release_Track'!$G:$G,'5) Release_Track'!$I:$I},2,0), or(and(not(isblank($B145)),$B145=$B144,$A145&lt;&gt;$A144),and(not(isblank($A145)),$A145=$A144,$B145&lt;&gt;$B144)),"ID LISTS UNALIGNED",and($A145&lt;&gt;"",countif('5) Release_Track'!$F:$F,$A145)=0),"NO ISRC MATCH in Release_Track",and($B145&lt;&gt;"",countif('5) Release_Track'!$G:$G,$B145)=0),"NO CATALOG ID MATCH in Release_Track",iserror(vlookup($A145&amp;$B145,'5) Release_Track'!$F:$F&amp;'5) Release_Track'!$G:$G,1,0)),"NO ISRC-CATALOG ID pair MATCH in Release_Track" )</f>
        <v/>
      </c>
      <c r="E145" s="142" t="b">
        <v>0</v>
      </c>
      <c r="F145" s="142" t="b">
        <v>0</v>
      </c>
      <c r="G145" s="142" t="b">
        <v>0</v>
      </c>
      <c r="H145" s="142" t="b">
        <v>0</v>
      </c>
      <c r="I145" s="142" t="b">
        <v>0</v>
      </c>
      <c r="J145" s="142" t="b">
        <v>0</v>
      </c>
      <c r="K145" s="142" t="b">
        <v>0</v>
      </c>
      <c r="L145" s="8" t="b">
        <v>0</v>
      </c>
    </row>
    <row r="146">
      <c r="B146" s="103"/>
      <c r="C146" s="121" t="str">
        <f t="array" ref="C146">ifs(and(isblank($A146),isblank($B146)),"", not(iserror(vlookup($A146&amp;$B146,'5) Release_Track'!$F:$F&amp;'5) Release_Track'!$G:$G,1,0))),vlookup($A146&amp;$B146,{'5) Release_Track'!$F:$F&amp;'5) Release_Track'!$G:$G,'5) Release_Track'!$H:$H},2,0), or(and(not(isblank($B146)),$B146=$B145,$A146&lt;&gt;$A145),and(not(isblank($A146)),$A146=$A145,$B146&lt;&gt;$B145)),"ID LISTS UNALIGNED",and($A146&lt;&gt;"",countif('5) Release_Track'!$F:$F,$A146)=0),"NO ISRC MATCH in Release_Track",and($B146&lt;&gt;"",countif('5) Release_Track'!$G:$G,$B146)=0),"NO CATALOG ID MATCH in Release_Track",iserror(vlookup($A146&amp;$B146,'5) Release_Track'!$F:$F&amp;'5) Release_Track'!$G:$G,1,0)),"NO ISRC-CATALOG ID pair MATCH in Release_Track" )</f>
        <v/>
      </c>
      <c r="D146" s="121" t="str">
        <f t="array" ref="D146">ifs(and(isblank($A146),isblank($B146)),"", not(iserror(vlookup($A146&amp;$B146,'5) Release_Track'!$F:$F&amp;'5) Release_Track'!$G:$G,1,0))),vlookup($A146&amp;$B146,{'5) Release_Track'!$F:$F&amp;'5) Release_Track'!$G:$G,'5) Release_Track'!$I:$I},2,0), or(and(not(isblank($B146)),$B146=$B145,$A146&lt;&gt;$A145),and(not(isblank($A146)),$A146=$A145,$B146&lt;&gt;$B145)),"ID LISTS UNALIGNED",and($A146&lt;&gt;"",countif('5) Release_Track'!$F:$F,$A146)=0),"NO ISRC MATCH in Release_Track",and($B146&lt;&gt;"",countif('5) Release_Track'!$G:$G,$B146)=0),"NO CATALOG ID MATCH in Release_Track",iserror(vlookup($A146&amp;$B146,'5) Release_Track'!$F:$F&amp;'5) Release_Track'!$G:$G,1,0)),"NO ISRC-CATALOG ID pair MATCH in Release_Track" )</f>
        <v/>
      </c>
      <c r="E146" s="142" t="b">
        <v>0</v>
      </c>
      <c r="F146" s="142" t="b">
        <v>0</v>
      </c>
      <c r="G146" s="142" t="b">
        <v>0</v>
      </c>
      <c r="H146" s="142" t="b">
        <v>0</v>
      </c>
      <c r="I146" s="142" t="b">
        <v>0</v>
      </c>
      <c r="J146" s="142" t="b">
        <v>0</v>
      </c>
      <c r="K146" s="142" t="b">
        <v>0</v>
      </c>
      <c r="L146" s="8" t="b">
        <v>0</v>
      </c>
    </row>
    <row r="147">
      <c r="B147" s="103"/>
      <c r="C147" s="121" t="str">
        <f t="array" ref="C147">ifs(and(isblank($A147),isblank($B147)),"", not(iserror(vlookup($A147&amp;$B147,'5) Release_Track'!$F:$F&amp;'5) Release_Track'!$G:$G,1,0))),vlookup($A147&amp;$B147,{'5) Release_Track'!$F:$F&amp;'5) Release_Track'!$G:$G,'5) Release_Track'!$H:$H},2,0), or(and(not(isblank($B147)),$B147=$B146,$A147&lt;&gt;$A146),and(not(isblank($A147)),$A147=$A146,$B147&lt;&gt;$B146)),"ID LISTS UNALIGNED",and($A147&lt;&gt;"",countif('5) Release_Track'!$F:$F,$A147)=0),"NO ISRC MATCH in Release_Track",and($B147&lt;&gt;"",countif('5) Release_Track'!$G:$G,$B147)=0),"NO CATALOG ID MATCH in Release_Track",iserror(vlookup($A147&amp;$B147,'5) Release_Track'!$F:$F&amp;'5) Release_Track'!$G:$G,1,0)),"NO ISRC-CATALOG ID pair MATCH in Release_Track" )</f>
        <v/>
      </c>
      <c r="D147" s="121" t="str">
        <f t="array" ref="D147">ifs(and(isblank($A147),isblank($B147)),"", not(iserror(vlookup($A147&amp;$B147,'5) Release_Track'!$F:$F&amp;'5) Release_Track'!$G:$G,1,0))),vlookup($A147&amp;$B147,{'5) Release_Track'!$F:$F&amp;'5) Release_Track'!$G:$G,'5) Release_Track'!$I:$I},2,0), or(and(not(isblank($B147)),$B147=$B146,$A147&lt;&gt;$A146),and(not(isblank($A147)),$A147=$A146,$B147&lt;&gt;$B146)),"ID LISTS UNALIGNED",and($A147&lt;&gt;"",countif('5) Release_Track'!$F:$F,$A147)=0),"NO ISRC MATCH in Release_Track",and($B147&lt;&gt;"",countif('5) Release_Track'!$G:$G,$B147)=0),"NO CATALOG ID MATCH in Release_Track",iserror(vlookup($A147&amp;$B147,'5) Release_Track'!$F:$F&amp;'5) Release_Track'!$G:$G,1,0)),"NO ISRC-CATALOG ID pair MATCH in Release_Track" )</f>
        <v/>
      </c>
      <c r="E147" s="142" t="b">
        <v>0</v>
      </c>
      <c r="F147" s="142" t="b">
        <v>0</v>
      </c>
      <c r="G147" s="142" t="b">
        <v>0</v>
      </c>
      <c r="H147" s="142" t="b">
        <v>0</v>
      </c>
      <c r="I147" s="142" t="b">
        <v>0</v>
      </c>
      <c r="J147" s="142" t="b">
        <v>0</v>
      </c>
      <c r="K147" s="142" t="b">
        <v>0</v>
      </c>
      <c r="L147" s="8" t="b">
        <v>0</v>
      </c>
    </row>
    <row r="148">
      <c r="B148" s="103"/>
      <c r="C148" s="121" t="str">
        <f t="array" ref="C148">ifs(and(isblank($A148),isblank($B148)),"", not(iserror(vlookup($A148&amp;$B148,'5) Release_Track'!$F:$F&amp;'5) Release_Track'!$G:$G,1,0))),vlookup($A148&amp;$B148,{'5) Release_Track'!$F:$F&amp;'5) Release_Track'!$G:$G,'5) Release_Track'!$H:$H},2,0), or(and(not(isblank($B148)),$B148=$B147,$A148&lt;&gt;$A147),and(not(isblank($A148)),$A148=$A147,$B148&lt;&gt;$B147)),"ID LISTS UNALIGNED",and($A148&lt;&gt;"",countif('5) Release_Track'!$F:$F,$A148)=0),"NO ISRC MATCH in Release_Track",and($B148&lt;&gt;"",countif('5) Release_Track'!$G:$G,$B148)=0),"NO CATALOG ID MATCH in Release_Track",iserror(vlookup($A148&amp;$B148,'5) Release_Track'!$F:$F&amp;'5) Release_Track'!$G:$G,1,0)),"NO ISRC-CATALOG ID pair MATCH in Release_Track" )</f>
        <v/>
      </c>
      <c r="D148" s="121" t="str">
        <f t="array" ref="D148">ifs(and(isblank($A148),isblank($B148)),"", not(iserror(vlookup($A148&amp;$B148,'5) Release_Track'!$F:$F&amp;'5) Release_Track'!$G:$G,1,0))),vlookup($A148&amp;$B148,{'5) Release_Track'!$F:$F&amp;'5) Release_Track'!$G:$G,'5) Release_Track'!$I:$I},2,0), or(and(not(isblank($B148)),$B148=$B147,$A148&lt;&gt;$A147),and(not(isblank($A148)),$A148=$A147,$B148&lt;&gt;$B147)),"ID LISTS UNALIGNED",and($A148&lt;&gt;"",countif('5) Release_Track'!$F:$F,$A148)=0),"NO ISRC MATCH in Release_Track",and($B148&lt;&gt;"",countif('5) Release_Track'!$G:$G,$B148)=0),"NO CATALOG ID MATCH in Release_Track",iserror(vlookup($A148&amp;$B148,'5) Release_Track'!$F:$F&amp;'5) Release_Track'!$G:$G,1,0)),"NO ISRC-CATALOG ID pair MATCH in Release_Track" )</f>
        <v/>
      </c>
      <c r="E148" s="142" t="b">
        <v>0</v>
      </c>
      <c r="F148" s="142" t="b">
        <v>0</v>
      </c>
      <c r="G148" s="142" t="b">
        <v>0</v>
      </c>
      <c r="H148" s="142" t="b">
        <v>0</v>
      </c>
      <c r="I148" s="142" t="b">
        <v>0</v>
      </c>
      <c r="J148" s="142" t="b">
        <v>0</v>
      </c>
      <c r="K148" s="142" t="b">
        <v>0</v>
      </c>
      <c r="L148" s="8" t="b">
        <v>0</v>
      </c>
    </row>
    <row r="149">
      <c r="B149" s="103"/>
      <c r="C149" s="121" t="str">
        <f t="array" ref="C149">ifs(and(isblank($A149),isblank($B149)),"", not(iserror(vlookup($A149&amp;$B149,'5) Release_Track'!$F:$F&amp;'5) Release_Track'!$G:$G,1,0))),vlookup($A149&amp;$B149,{'5) Release_Track'!$F:$F&amp;'5) Release_Track'!$G:$G,'5) Release_Track'!$H:$H},2,0), or(and(not(isblank($B149)),$B149=$B148,$A149&lt;&gt;$A148),and(not(isblank($A149)),$A149=$A148,$B149&lt;&gt;$B148)),"ID LISTS UNALIGNED",and($A149&lt;&gt;"",countif('5) Release_Track'!$F:$F,$A149)=0),"NO ISRC MATCH in Release_Track",and($B149&lt;&gt;"",countif('5) Release_Track'!$G:$G,$B149)=0),"NO CATALOG ID MATCH in Release_Track",iserror(vlookup($A149&amp;$B149,'5) Release_Track'!$F:$F&amp;'5) Release_Track'!$G:$G,1,0)),"NO ISRC-CATALOG ID pair MATCH in Release_Track" )</f>
        <v/>
      </c>
      <c r="D149" s="121" t="str">
        <f t="array" ref="D149">ifs(and(isblank($A149),isblank($B149)),"", not(iserror(vlookup($A149&amp;$B149,'5) Release_Track'!$F:$F&amp;'5) Release_Track'!$G:$G,1,0))),vlookup($A149&amp;$B149,{'5) Release_Track'!$F:$F&amp;'5) Release_Track'!$G:$G,'5) Release_Track'!$I:$I},2,0), or(and(not(isblank($B149)),$B149=$B148,$A149&lt;&gt;$A148),and(not(isblank($A149)),$A149=$A148,$B149&lt;&gt;$B148)),"ID LISTS UNALIGNED",and($A149&lt;&gt;"",countif('5) Release_Track'!$F:$F,$A149)=0),"NO ISRC MATCH in Release_Track",and($B149&lt;&gt;"",countif('5) Release_Track'!$G:$G,$B149)=0),"NO CATALOG ID MATCH in Release_Track",iserror(vlookup($A149&amp;$B149,'5) Release_Track'!$F:$F&amp;'5) Release_Track'!$G:$G,1,0)),"NO ISRC-CATALOG ID pair MATCH in Release_Track" )</f>
        <v/>
      </c>
      <c r="E149" s="142" t="b">
        <v>0</v>
      </c>
      <c r="F149" s="142" t="b">
        <v>0</v>
      </c>
      <c r="G149" s="142" t="b">
        <v>0</v>
      </c>
      <c r="H149" s="142" t="b">
        <v>0</v>
      </c>
      <c r="I149" s="142" t="b">
        <v>0</v>
      </c>
      <c r="J149" s="142" t="b">
        <v>0</v>
      </c>
      <c r="K149" s="142" t="b">
        <v>0</v>
      </c>
      <c r="L149" s="8" t="b">
        <v>0</v>
      </c>
    </row>
    <row r="150">
      <c r="B150" s="103"/>
      <c r="C150" s="121" t="str">
        <f t="array" ref="C150">ifs(and(isblank($A150),isblank($B150)),"", not(iserror(vlookup($A150&amp;$B150,'5) Release_Track'!$F:$F&amp;'5) Release_Track'!$G:$G,1,0))),vlookup($A150&amp;$B150,{'5) Release_Track'!$F:$F&amp;'5) Release_Track'!$G:$G,'5) Release_Track'!$H:$H},2,0), or(and(not(isblank($B150)),$B150=$B149,$A150&lt;&gt;$A149),and(not(isblank($A150)),$A150=$A149,$B150&lt;&gt;$B149)),"ID LISTS UNALIGNED",and($A150&lt;&gt;"",countif('5) Release_Track'!$F:$F,$A150)=0),"NO ISRC MATCH in Release_Track",and($B150&lt;&gt;"",countif('5) Release_Track'!$G:$G,$B150)=0),"NO CATALOG ID MATCH in Release_Track",iserror(vlookup($A150&amp;$B150,'5) Release_Track'!$F:$F&amp;'5) Release_Track'!$G:$G,1,0)),"NO ISRC-CATALOG ID pair MATCH in Release_Track" )</f>
        <v/>
      </c>
      <c r="D150" s="121" t="str">
        <f t="array" ref="D150">ifs(and(isblank($A150),isblank($B150)),"", not(iserror(vlookup($A150&amp;$B150,'5) Release_Track'!$F:$F&amp;'5) Release_Track'!$G:$G,1,0))),vlookup($A150&amp;$B150,{'5) Release_Track'!$F:$F&amp;'5) Release_Track'!$G:$G,'5) Release_Track'!$I:$I},2,0), or(and(not(isblank($B150)),$B150=$B149,$A150&lt;&gt;$A149),and(not(isblank($A150)),$A150=$A149,$B150&lt;&gt;$B149)),"ID LISTS UNALIGNED",and($A150&lt;&gt;"",countif('5) Release_Track'!$F:$F,$A150)=0),"NO ISRC MATCH in Release_Track",and($B150&lt;&gt;"",countif('5) Release_Track'!$G:$G,$B150)=0),"NO CATALOG ID MATCH in Release_Track",iserror(vlookup($A150&amp;$B150,'5) Release_Track'!$F:$F&amp;'5) Release_Track'!$G:$G,1,0)),"NO ISRC-CATALOG ID pair MATCH in Release_Track" )</f>
        <v/>
      </c>
      <c r="E150" s="142" t="b">
        <v>0</v>
      </c>
      <c r="F150" s="142" t="b">
        <v>0</v>
      </c>
      <c r="G150" s="142" t="b">
        <v>0</v>
      </c>
      <c r="H150" s="142" t="b">
        <v>0</v>
      </c>
      <c r="I150" s="142" t="b">
        <v>0</v>
      </c>
      <c r="J150" s="142" t="b">
        <v>0</v>
      </c>
      <c r="K150" s="142" t="b">
        <v>0</v>
      </c>
      <c r="L150" s="8" t="b">
        <v>0</v>
      </c>
    </row>
    <row r="151">
      <c r="B151" s="103"/>
      <c r="C151" s="121" t="str">
        <f t="array" ref="C151">ifs(and(isblank($A151),isblank($B151)),"", not(iserror(vlookup($A151&amp;$B151,'5) Release_Track'!$F:$F&amp;'5) Release_Track'!$G:$G,1,0))),vlookup($A151&amp;$B151,{'5) Release_Track'!$F:$F&amp;'5) Release_Track'!$G:$G,'5) Release_Track'!$H:$H},2,0), or(and(not(isblank($B151)),$B151=$B150,$A151&lt;&gt;$A150),and(not(isblank($A151)),$A151=$A150,$B151&lt;&gt;$B150)),"ID LISTS UNALIGNED",and($A151&lt;&gt;"",countif('5) Release_Track'!$F:$F,$A151)=0),"NO ISRC MATCH in Release_Track",and($B151&lt;&gt;"",countif('5) Release_Track'!$G:$G,$B151)=0),"NO CATALOG ID MATCH in Release_Track",iserror(vlookup($A151&amp;$B151,'5) Release_Track'!$F:$F&amp;'5) Release_Track'!$G:$G,1,0)),"NO ISRC-CATALOG ID pair MATCH in Release_Track" )</f>
        <v/>
      </c>
      <c r="D151" s="121" t="str">
        <f t="array" ref="D151">ifs(and(isblank($A151),isblank($B151)),"", not(iserror(vlookup($A151&amp;$B151,'5) Release_Track'!$F:$F&amp;'5) Release_Track'!$G:$G,1,0))),vlookup($A151&amp;$B151,{'5) Release_Track'!$F:$F&amp;'5) Release_Track'!$G:$G,'5) Release_Track'!$I:$I},2,0), or(and(not(isblank($B151)),$B151=$B150,$A151&lt;&gt;$A150),and(not(isblank($A151)),$A151=$A150,$B151&lt;&gt;$B150)),"ID LISTS UNALIGNED",and($A151&lt;&gt;"",countif('5) Release_Track'!$F:$F,$A151)=0),"NO ISRC MATCH in Release_Track",and($B151&lt;&gt;"",countif('5) Release_Track'!$G:$G,$B151)=0),"NO CATALOG ID MATCH in Release_Track",iserror(vlookup($A151&amp;$B151,'5) Release_Track'!$F:$F&amp;'5) Release_Track'!$G:$G,1,0)),"NO ISRC-CATALOG ID pair MATCH in Release_Track" )</f>
        <v/>
      </c>
      <c r="E151" s="142" t="b">
        <v>0</v>
      </c>
      <c r="F151" s="142" t="b">
        <v>0</v>
      </c>
      <c r="G151" s="142" t="b">
        <v>0</v>
      </c>
      <c r="H151" s="142" t="b">
        <v>0</v>
      </c>
      <c r="I151" s="142" t="b">
        <v>0</v>
      </c>
      <c r="J151" s="142" t="b">
        <v>0</v>
      </c>
      <c r="K151" s="142" t="b">
        <v>0</v>
      </c>
      <c r="L151" s="8" t="b">
        <v>0</v>
      </c>
    </row>
    <row r="152">
      <c r="B152" s="103"/>
      <c r="C152" s="121" t="str">
        <f t="array" ref="C152">ifs(and(isblank($A152),isblank($B152)),"", not(iserror(vlookup($A152&amp;$B152,'5) Release_Track'!$F:$F&amp;'5) Release_Track'!$G:$G,1,0))),vlookup($A152&amp;$B152,{'5) Release_Track'!$F:$F&amp;'5) Release_Track'!$G:$G,'5) Release_Track'!$H:$H},2,0), or(and(not(isblank($B152)),$B152=$B151,$A152&lt;&gt;$A151),and(not(isblank($A152)),$A152=$A151,$B152&lt;&gt;$B151)),"ID LISTS UNALIGNED",and($A152&lt;&gt;"",countif('5) Release_Track'!$F:$F,$A152)=0),"NO ISRC MATCH in Release_Track",and($B152&lt;&gt;"",countif('5) Release_Track'!$G:$G,$B152)=0),"NO CATALOG ID MATCH in Release_Track",iserror(vlookup($A152&amp;$B152,'5) Release_Track'!$F:$F&amp;'5) Release_Track'!$G:$G,1,0)),"NO ISRC-CATALOG ID pair MATCH in Release_Track" )</f>
        <v/>
      </c>
      <c r="D152" s="121" t="str">
        <f t="array" ref="D152">ifs(and(isblank($A152),isblank($B152)),"", not(iserror(vlookup($A152&amp;$B152,'5) Release_Track'!$F:$F&amp;'5) Release_Track'!$G:$G,1,0))),vlookup($A152&amp;$B152,{'5) Release_Track'!$F:$F&amp;'5) Release_Track'!$G:$G,'5) Release_Track'!$I:$I},2,0), or(and(not(isblank($B152)),$B152=$B151,$A152&lt;&gt;$A151),and(not(isblank($A152)),$A152=$A151,$B152&lt;&gt;$B151)),"ID LISTS UNALIGNED",and($A152&lt;&gt;"",countif('5) Release_Track'!$F:$F,$A152)=0),"NO ISRC MATCH in Release_Track",and($B152&lt;&gt;"",countif('5) Release_Track'!$G:$G,$B152)=0),"NO CATALOG ID MATCH in Release_Track",iserror(vlookup($A152&amp;$B152,'5) Release_Track'!$F:$F&amp;'5) Release_Track'!$G:$G,1,0)),"NO ISRC-CATALOG ID pair MATCH in Release_Track" )</f>
        <v/>
      </c>
      <c r="E152" s="142" t="b">
        <v>0</v>
      </c>
      <c r="F152" s="142" t="b">
        <v>0</v>
      </c>
      <c r="G152" s="142" t="b">
        <v>0</v>
      </c>
      <c r="H152" s="142" t="b">
        <v>0</v>
      </c>
      <c r="I152" s="142" t="b">
        <v>0</v>
      </c>
      <c r="J152" s="142" t="b">
        <v>0</v>
      </c>
      <c r="K152" s="142" t="b">
        <v>0</v>
      </c>
      <c r="L152" s="8" t="b">
        <v>0</v>
      </c>
    </row>
    <row r="153">
      <c r="B153" s="103"/>
      <c r="C153" s="121" t="str">
        <f t="array" ref="C153">ifs(and(isblank($A153),isblank($B153)),"", not(iserror(vlookup($A153&amp;$B153,'5) Release_Track'!$F:$F&amp;'5) Release_Track'!$G:$G,1,0))),vlookup($A153&amp;$B153,{'5) Release_Track'!$F:$F&amp;'5) Release_Track'!$G:$G,'5) Release_Track'!$H:$H},2,0), or(and(not(isblank($B153)),$B153=$B152,$A153&lt;&gt;$A152),and(not(isblank($A153)),$A153=$A152,$B153&lt;&gt;$B152)),"ID LISTS UNALIGNED",and($A153&lt;&gt;"",countif('5) Release_Track'!$F:$F,$A153)=0),"NO ISRC MATCH in Release_Track",and($B153&lt;&gt;"",countif('5) Release_Track'!$G:$G,$B153)=0),"NO CATALOG ID MATCH in Release_Track",iserror(vlookup($A153&amp;$B153,'5) Release_Track'!$F:$F&amp;'5) Release_Track'!$G:$G,1,0)),"NO ISRC-CATALOG ID pair MATCH in Release_Track" )</f>
        <v/>
      </c>
      <c r="D153" s="121" t="str">
        <f t="array" ref="D153">ifs(and(isblank($A153),isblank($B153)),"", not(iserror(vlookup($A153&amp;$B153,'5) Release_Track'!$F:$F&amp;'5) Release_Track'!$G:$G,1,0))),vlookup($A153&amp;$B153,{'5) Release_Track'!$F:$F&amp;'5) Release_Track'!$G:$G,'5) Release_Track'!$I:$I},2,0), or(and(not(isblank($B153)),$B153=$B152,$A153&lt;&gt;$A152),and(not(isblank($A153)),$A153=$A152,$B153&lt;&gt;$B152)),"ID LISTS UNALIGNED",and($A153&lt;&gt;"",countif('5) Release_Track'!$F:$F,$A153)=0),"NO ISRC MATCH in Release_Track",and($B153&lt;&gt;"",countif('5) Release_Track'!$G:$G,$B153)=0),"NO CATALOG ID MATCH in Release_Track",iserror(vlookup($A153&amp;$B153,'5) Release_Track'!$F:$F&amp;'5) Release_Track'!$G:$G,1,0)),"NO ISRC-CATALOG ID pair MATCH in Release_Track" )</f>
        <v/>
      </c>
      <c r="E153" s="142" t="b">
        <v>0</v>
      </c>
      <c r="F153" s="142" t="b">
        <v>0</v>
      </c>
      <c r="G153" s="142" t="b">
        <v>0</v>
      </c>
      <c r="H153" s="142" t="b">
        <v>0</v>
      </c>
      <c r="I153" s="142" t="b">
        <v>0</v>
      </c>
      <c r="J153" s="142" t="b">
        <v>0</v>
      </c>
      <c r="K153" s="142" t="b">
        <v>0</v>
      </c>
      <c r="L153" s="8" t="b">
        <v>0</v>
      </c>
    </row>
    <row r="154">
      <c r="B154" s="103"/>
      <c r="C154" s="121" t="str">
        <f t="array" ref="C154">ifs(and(isblank($A154),isblank($B154)),"", not(iserror(vlookup($A154&amp;$B154,'5) Release_Track'!$F:$F&amp;'5) Release_Track'!$G:$G,1,0))),vlookup($A154&amp;$B154,{'5) Release_Track'!$F:$F&amp;'5) Release_Track'!$G:$G,'5) Release_Track'!$H:$H},2,0), or(and(not(isblank($B154)),$B154=$B153,$A154&lt;&gt;$A153),and(not(isblank($A154)),$A154=$A153,$B154&lt;&gt;$B153)),"ID LISTS UNALIGNED",and($A154&lt;&gt;"",countif('5) Release_Track'!$F:$F,$A154)=0),"NO ISRC MATCH in Release_Track",and($B154&lt;&gt;"",countif('5) Release_Track'!$G:$G,$B154)=0),"NO CATALOG ID MATCH in Release_Track",iserror(vlookup($A154&amp;$B154,'5) Release_Track'!$F:$F&amp;'5) Release_Track'!$G:$G,1,0)),"NO ISRC-CATALOG ID pair MATCH in Release_Track" )</f>
        <v/>
      </c>
      <c r="D154" s="121" t="str">
        <f t="array" ref="D154">ifs(and(isblank($A154),isblank($B154)),"", not(iserror(vlookup($A154&amp;$B154,'5) Release_Track'!$F:$F&amp;'5) Release_Track'!$G:$G,1,0))),vlookup($A154&amp;$B154,{'5) Release_Track'!$F:$F&amp;'5) Release_Track'!$G:$G,'5) Release_Track'!$I:$I},2,0), or(and(not(isblank($B154)),$B154=$B153,$A154&lt;&gt;$A153),and(not(isblank($A154)),$A154=$A153,$B154&lt;&gt;$B153)),"ID LISTS UNALIGNED",and($A154&lt;&gt;"",countif('5) Release_Track'!$F:$F,$A154)=0),"NO ISRC MATCH in Release_Track",and($B154&lt;&gt;"",countif('5) Release_Track'!$G:$G,$B154)=0),"NO CATALOG ID MATCH in Release_Track",iserror(vlookup($A154&amp;$B154,'5) Release_Track'!$F:$F&amp;'5) Release_Track'!$G:$G,1,0)),"NO ISRC-CATALOG ID pair MATCH in Release_Track" )</f>
        <v/>
      </c>
      <c r="E154" s="142" t="b">
        <v>0</v>
      </c>
      <c r="F154" s="142" t="b">
        <v>0</v>
      </c>
      <c r="G154" s="142" t="b">
        <v>0</v>
      </c>
      <c r="H154" s="142" t="b">
        <v>0</v>
      </c>
      <c r="I154" s="142" t="b">
        <v>0</v>
      </c>
      <c r="J154" s="142" t="b">
        <v>0</v>
      </c>
      <c r="K154" s="142" t="b">
        <v>0</v>
      </c>
      <c r="L154" s="8" t="b">
        <v>0</v>
      </c>
    </row>
    <row r="155">
      <c r="B155" s="103"/>
      <c r="C155" s="121" t="str">
        <f t="array" ref="C155">ifs(and(isblank($A155),isblank($B155)),"", not(iserror(vlookup($A155&amp;$B155,'5) Release_Track'!$F:$F&amp;'5) Release_Track'!$G:$G,1,0))),vlookup($A155&amp;$B155,{'5) Release_Track'!$F:$F&amp;'5) Release_Track'!$G:$G,'5) Release_Track'!$H:$H},2,0), or(and(not(isblank($B155)),$B155=$B154,$A155&lt;&gt;$A154),and(not(isblank($A155)),$A155=$A154,$B155&lt;&gt;$B154)),"ID LISTS UNALIGNED",and($A155&lt;&gt;"",countif('5) Release_Track'!$F:$F,$A155)=0),"NO ISRC MATCH in Release_Track",and($B155&lt;&gt;"",countif('5) Release_Track'!$G:$G,$B155)=0),"NO CATALOG ID MATCH in Release_Track",iserror(vlookup($A155&amp;$B155,'5) Release_Track'!$F:$F&amp;'5) Release_Track'!$G:$G,1,0)),"NO ISRC-CATALOG ID pair MATCH in Release_Track" )</f>
        <v/>
      </c>
      <c r="D155" s="121" t="str">
        <f t="array" ref="D155">ifs(and(isblank($A155),isblank($B155)),"", not(iserror(vlookup($A155&amp;$B155,'5) Release_Track'!$F:$F&amp;'5) Release_Track'!$G:$G,1,0))),vlookup($A155&amp;$B155,{'5) Release_Track'!$F:$F&amp;'5) Release_Track'!$G:$G,'5) Release_Track'!$I:$I},2,0), or(and(not(isblank($B155)),$B155=$B154,$A155&lt;&gt;$A154),and(not(isblank($A155)),$A155=$A154,$B155&lt;&gt;$B154)),"ID LISTS UNALIGNED",and($A155&lt;&gt;"",countif('5) Release_Track'!$F:$F,$A155)=0),"NO ISRC MATCH in Release_Track",and($B155&lt;&gt;"",countif('5) Release_Track'!$G:$G,$B155)=0),"NO CATALOG ID MATCH in Release_Track",iserror(vlookup($A155&amp;$B155,'5) Release_Track'!$F:$F&amp;'5) Release_Track'!$G:$G,1,0)),"NO ISRC-CATALOG ID pair MATCH in Release_Track" )</f>
        <v/>
      </c>
      <c r="E155" s="142" t="b">
        <v>0</v>
      </c>
      <c r="F155" s="142" t="b">
        <v>0</v>
      </c>
      <c r="G155" s="142" t="b">
        <v>0</v>
      </c>
      <c r="H155" s="142" t="b">
        <v>0</v>
      </c>
      <c r="I155" s="142" t="b">
        <v>0</v>
      </c>
      <c r="J155" s="142" t="b">
        <v>0</v>
      </c>
      <c r="K155" s="142" t="b">
        <v>0</v>
      </c>
      <c r="L155" s="8" t="b">
        <v>0</v>
      </c>
    </row>
    <row r="156">
      <c r="B156" s="103"/>
      <c r="C156" s="121" t="str">
        <f t="array" ref="C156">ifs(and(isblank($A156),isblank($B156)),"", not(iserror(vlookup($A156&amp;$B156,'5) Release_Track'!$F:$F&amp;'5) Release_Track'!$G:$G,1,0))),vlookup($A156&amp;$B156,{'5) Release_Track'!$F:$F&amp;'5) Release_Track'!$G:$G,'5) Release_Track'!$H:$H},2,0), or(and(not(isblank($B156)),$B156=$B155,$A156&lt;&gt;$A155),and(not(isblank($A156)),$A156=$A155,$B156&lt;&gt;$B155)),"ID LISTS UNALIGNED",and($A156&lt;&gt;"",countif('5) Release_Track'!$F:$F,$A156)=0),"NO ISRC MATCH in Release_Track",and($B156&lt;&gt;"",countif('5) Release_Track'!$G:$G,$B156)=0),"NO CATALOG ID MATCH in Release_Track",iserror(vlookup($A156&amp;$B156,'5) Release_Track'!$F:$F&amp;'5) Release_Track'!$G:$G,1,0)),"NO ISRC-CATALOG ID pair MATCH in Release_Track" )</f>
        <v/>
      </c>
      <c r="D156" s="121" t="str">
        <f t="array" ref="D156">ifs(and(isblank($A156),isblank($B156)),"", not(iserror(vlookup($A156&amp;$B156,'5) Release_Track'!$F:$F&amp;'5) Release_Track'!$G:$G,1,0))),vlookup($A156&amp;$B156,{'5) Release_Track'!$F:$F&amp;'5) Release_Track'!$G:$G,'5) Release_Track'!$I:$I},2,0), or(and(not(isblank($B156)),$B156=$B155,$A156&lt;&gt;$A155),and(not(isblank($A156)),$A156=$A155,$B156&lt;&gt;$B155)),"ID LISTS UNALIGNED",and($A156&lt;&gt;"",countif('5) Release_Track'!$F:$F,$A156)=0),"NO ISRC MATCH in Release_Track",and($B156&lt;&gt;"",countif('5) Release_Track'!$G:$G,$B156)=0),"NO CATALOG ID MATCH in Release_Track",iserror(vlookup($A156&amp;$B156,'5) Release_Track'!$F:$F&amp;'5) Release_Track'!$G:$G,1,0)),"NO ISRC-CATALOG ID pair MATCH in Release_Track" )</f>
        <v/>
      </c>
      <c r="E156" s="142" t="b">
        <v>0</v>
      </c>
      <c r="F156" s="142" t="b">
        <v>0</v>
      </c>
      <c r="G156" s="142" t="b">
        <v>0</v>
      </c>
      <c r="H156" s="142" t="b">
        <v>0</v>
      </c>
      <c r="I156" s="142" t="b">
        <v>0</v>
      </c>
      <c r="J156" s="142" t="b">
        <v>0</v>
      </c>
      <c r="K156" s="142" t="b">
        <v>0</v>
      </c>
      <c r="L156" s="8" t="b">
        <v>0</v>
      </c>
    </row>
    <row r="157">
      <c r="B157" s="103"/>
      <c r="C157" s="121" t="str">
        <f t="array" ref="C157">ifs(and(isblank($A157),isblank($B157)),"", not(iserror(vlookup($A157&amp;$B157,'5) Release_Track'!$F:$F&amp;'5) Release_Track'!$G:$G,1,0))),vlookup($A157&amp;$B157,{'5) Release_Track'!$F:$F&amp;'5) Release_Track'!$G:$G,'5) Release_Track'!$H:$H},2,0), or(and(not(isblank($B157)),$B157=$B156,$A157&lt;&gt;$A156),and(not(isblank($A157)),$A157=$A156,$B157&lt;&gt;$B156)),"ID LISTS UNALIGNED",and($A157&lt;&gt;"",countif('5) Release_Track'!$F:$F,$A157)=0),"NO ISRC MATCH in Release_Track",and($B157&lt;&gt;"",countif('5) Release_Track'!$G:$G,$B157)=0),"NO CATALOG ID MATCH in Release_Track",iserror(vlookup($A157&amp;$B157,'5) Release_Track'!$F:$F&amp;'5) Release_Track'!$G:$G,1,0)),"NO ISRC-CATALOG ID pair MATCH in Release_Track" )</f>
        <v/>
      </c>
      <c r="D157" s="121" t="str">
        <f t="array" ref="D157">ifs(and(isblank($A157),isblank($B157)),"", not(iserror(vlookup($A157&amp;$B157,'5) Release_Track'!$F:$F&amp;'5) Release_Track'!$G:$G,1,0))),vlookup($A157&amp;$B157,{'5) Release_Track'!$F:$F&amp;'5) Release_Track'!$G:$G,'5) Release_Track'!$I:$I},2,0), or(and(not(isblank($B157)),$B157=$B156,$A157&lt;&gt;$A156),and(not(isblank($A157)),$A157=$A156,$B157&lt;&gt;$B156)),"ID LISTS UNALIGNED",and($A157&lt;&gt;"",countif('5) Release_Track'!$F:$F,$A157)=0),"NO ISRC MATCH in Release_Track",and($B157&lt;&gt;"",countif('5) Release_Track'!$G:$G,$B157)=0),"NO CATALOG ID MATCH in Release_Track",iserror(vlookup($A157&amp;$B157,'5) Release_Track'!$F:$F&amp;'5) Release_Track'!$G:$G,1,0)),"NO ISRC-CATALOG ID pair MATCH in Release_Track" )</f>
        <v/>
      </c>
      <c r="E157" s="142" t="b">
        <v>0</v>
      </c>
      <c r="F157" s="142" t="b">
        <v>0</v>
      </c>
      <c r="G157" s="142" t="b">
        <v>0</v>
      </c>
      <c r="H157" s="142" t="b">
        <v>0</v>
      </c>
      <c r="I157" s="142" t="b">
        <v>0</v>
      </c>
      <c r="J157" s="142" t="b">
        <v>0</v>
      </c>
      <c r="K157" s="142" t="b">
        <v>0</v>
      </c>
      <c r="L157" s="8" t="b">
        <v>0</v>
      </c>
    </row>
    <row r="158">
      <c r="B158" s="103"/>
      <c r="C158" s="121" t="str">
        <f t="array" ref="C158">ifs(and(isblank($A158),isblank($B158)),"", not(iserror(vlookup($A158&amp;$B158,'5) Release_Track'!$F:$F&amp;'5) Release_Track'!$G:$G,1,0))),vlookup($A158&amp;$B158,{'5) Release_Track'!$F:$F&amp;'5) Release_Track'!$G:$G,'5) Release_Track'!$H:$H},2,0), or(and(not(isblank($B158)),$B158=$B157,$A158&lt;&gt;$A157),and(not(isblank($A158)),$A158=$A157,$B158&lt;&gt;$B157)),"ID LISTS UNALIGNED",and($A158&lt;&gt;"",countif('5) Release_Track'!$F:$F,$A158)=0),"NO ISRC MATCH in Release_Track",and($B158&lt;&gt;"",countif('5) Release_Track'!$G:$G,$B158)=0),"NO CATALOG ID MATCH in Release_Track",iserror(vlookup($A158&amp;$B158,'5) Release_Track'!$F:$F&amp;'5) Release_Track'!$G:$G,1,0)),"NO ISRC-CATALOG ID pair MATCH in Release_Track" )</f>
        <v/>
      </c>
      <c r="D158" s="121" t="str">
        <f t="array" ref="D158">ifs(and(isblank($A158),isblank($B158)),"", not(iserror(vlookup($A158&amp;$B158,'5) Release_Track'!$F:$F&amp;'5) Release_Track'!$G:$G,1,0))),vlookup($A158&amp;$B158,{'5) Release_Track'!$F:$F&amp;'5) Release_Track'!$G:$G,'5) Release_Track'!$I:$I},2,0), or(and(not(isblank($B158)),$B158=$B157,$A158&lt;&gt;$A157),and(not(isblank($A158)),$A158=$A157,$B158&lt;&gt;$B157)),"ID LISTS UNALIGNED",and($A158&lt;&gt;"",countif('5) Release_Track'!$F:$F,$A158)=0),"NO ISRC MATCH in Release_Track",and($B158&lt;&gt;"",countif('5) Release_Track'!$G:$G,$B158)=0),"NO CATALOG ID MATCH in Release_Track",iserror(vlookup($A158&amp;$B158,'5) Release_Track'!$F:$F&amp;'5) Release_Track'!$G:$G,1,0)),"NO ISRC-CATALOG ID pair MATCH in Release_Track" )</f>
        <v/>
      </c>
      <c r="E158" s="142" t="b">
        <v>0</v>
      </c>
      <c r="F158" s="142" t="b">
        <v>0</v>
      </c>
      <c r="G158" s="142" t="b">
        <v>0</v>
      </c>
      <c r="H158" s="142" t="b">
        <v>0</v>
      </c>
      <c r="I158" s="142" t="b">
        <v>0</v>
      </c>
      <c r="J158" s="142" t="b">
        <v>0</v>
      </c>
      <c r="K158" s="142" t="b">
        <v>0</v>
      </c>
      <c r="L158" s="8" t="b">
        <v>0</v>
      </c>
    </row>
    <row r="159">
      <c r="B159" s="103"/>
      <c r="C159" s="121" t="str">
        <f t="array" ref="C159">ifs(and(isblank($A159),isblank($B159)),"", not(iserror(vlookup($A159&amp;$B159,'5) Release_Track'!$F:$F&amp;'5) Release_Track'!$G:$G,1,0))),vlookup($A159&amp;$B159,{'5) Release_Track'!$F:$F&amp;'5) Release_Track'!$G:$G,'5) Release_Track'!$H:$H},2,0), or(and(not(isblank($B159)),$B159=$B158,$A159&lt;&gt;$A158),and(not(isblank($A159)),$A159=$A158,$B159&lt;&gt;$B158)),"ID LISTS UNALIGNED",and($A159&lt;&gt;"",countif('5) Release_Track'!$F:$F,$A159)=0),"NO ISRC MATCH in Release_Track",and($B159&lt;&gt;"",countif('5) Release_Track'!$G:$G,$B159)=0),"NO CATALOG ID MATCH in Release_Track",iserror(vlookup($A159&amp;$B159,'5) Release_Track'!$F:$F&amp;'5) Release_Track'!$G:$G,1,0)),"NO ISRC-CATALOG ID pair MATCH in Release_Track" )</f>
        <v/>
      </c>
      <c r="D159" s="121" t="str">
        <f t="array" ref="D159">ifs(and(isblank($A159),isblank($B159)),"", not(iserror(vlookup($A159&amp;$B159,'5) Release_Track'!$F:$F&amp;'5) Release_Track'!$G:$G,1,0))),vlookup($A159&amp;$B159,{'5) Release_Track'!$F:$F&amp;'5) Release_Track'!$G:$G,'5) Release_Track'!$I:$I},2,0), or(and(not(isblank($B159)),$B159=$B158,$A159&lt;&gt;$A158),and(not(isblank($A159)),$A159=$A158,$B159&lt;&gt;$B158)),"ID LISTS UNALIGNED",and($A159&lt;&gt;"",countif('5) Release_Track'!$F:$F,$A159)=0),"NO ISRC MATCH in Release_Track",and($B159&lt;&gt;"",countif('5) Release_Track'!$G:$G,$B159)=0),"NO CATALOG ID MATCH in Release_Track",iserror(vlookup($A159&amp;$B159,'5) Release_Track'!$F:$F&amp;'5) Release_Track'!$G:$G,1,0)),"NO ISRC-CATALOG ID pair MATCH in Release_Track" )</f>
        <v/>
      </c>
      <c r="E159" s="142" t="b">
        <v>0</v>
      </c>
      <c r="F159" s="142" t="b">
        <v>0</v>
      </c>
      <c r="G159" s="142" t="b">
        <v>0</v>
      </c>
      <c r="H159" s="142" t="b">
        <v>0</v>
      </c>
      <c r="I159" s="142" t="b">
        <v>0</v>
      </c>
      <c r="J159" s="142" t="b">
        <v>0</v>
      </c>
      <c r="K159" s="142" t="b">
        <v>0</v>
      </c>
      <c r="L159" s="8" t="b">
        <v>0</v>
      </c>
    </row>
    <row r="160">
      <c r="B160" s="103"/>
      <c r="C160" s="121" t="str">
        <f t="array" ref="C160">ifs(and(isblank($A160),isblank($B160)),"", not(iserror(vlookup($A160&amp;$B160,'5) Release_Track'!$F:$F&amp;'5) Release_Track'!$G:$G,1,0))),vlookup($A160&amp;$B160,{'5) Release_Track'!$F:$F&amp;'5) Release_Track'!$G:$G,'5) Release_Track'!$H:$H},2,0), or(and(not(isblank($B160)),$B160=$B159,$A160&lt;&gt;$A159),and(not(isblank($A160)),$A160=$A159,$B160&lt;&gt;$B159)),"ID LISTS UNALIGNED",and($A160&lt;&gt;"",countif('5) Release_Track'!$F:$F,$A160)=0),"NO ISRC MATCH in Release_Track",and($B160&lt;&gt;"",countif('5) Release_Track'!$G:$G,$B160)=0),"NO CATALOG ID MATCH in Release_Track",iserror(vlookup($A160&amp;$B160,'5) Release_Track'!$F:$F&amp;'5) Release_Track'!$G:$G,1,0)),"NO ISRC-CATALOG ID pair MATCH in Release_Track" )</f>
        <v/>
      </c>
      <c r="D160" s="121" t="str">
        <f t="array" ref="D160">ifs(and(isblank($A160),isblank($B160)),"", not(iserror(vlookup($A160&amp;$B160,'5) Release_Track'!$F:$F&amp;'5) Release_Track'!$G:$G,1,0))),vlookup($A160&amp;$B160,{'5) Release_Track'!$F:$F&amp;'5) Release_Track'!$G:$G,'5) Release_Track'!$I:$I},2,0), or(and(not(isblank($B160)),$B160=$B159,$A160&lt;&gt;$A159),and(not(isblank($A160)),$A160=$A159,$B160&lt;&gt;$B159)),"ID LISTS UNALIGNED",and($A160&lt;&gt;"",countif('5) Release_Track'!$F:$F,$A160)=0),"NO ISRC MATCH in Release_Track",and($B160&lt;&gt;"",countif('5) Release_Track'!$G:$G,$B160)=0),"NO CATALOG ID MATCH in Release_Track",iserror(vlookup($A160&amp;$B160,'5) Release_Track'!$F:$F&amp;'5) Release_Track'!$G:$G,1,0)),"NO ISRC-CATALOG ID pair MATCH in Release_Track" )</f>
        <v/>
      </c>
      <c r="E160" s="142" t="b">
        <v>0</v>
      </c>
      <c r="F160" s="142" t="b">
        <v>0</v>
      </c>
      <c r="G160" s="142" t="b">
        <v>0</v>
      </c>
      <c r="H160" s="142" t="b">
        <v>0</v>
      </c>
      <c r="I160" s="142" t="b">
        <v>0</v>
      </c>
      <c r="J160" s="142" t="b">
        <v>0</v>
      </c>
      <c r="K160" s="142" t="b">
        <v>0</v>
      </c>
      <c r="L160" s="8" t="b">
        <v>0</v>
      </c>
    </row>
    <row r="161">
      <c r="B161" s="103"/>
      <c r="C161" s="121" t="str">
        <f t="array" ref="C161">ifs(and(isblank($A161),isblank($B161)),"", not(iserror(vlookup($A161&amp;$B161,'5) Release_Track'!$F:$F&amp;'5) Release_Track'!$G:$G,1,0))),vlookup($A161&amp;$B161,{'5) Release_Track'!$F:$F&amp;'5) Release_Track'!$G:$G,'5) Release_Track'!$H:$H},2,0), or(and(not(isblank($B161)),$B161=$B160,$A161&lt;&gt;$A160),and(not(isblank($A161)),$A161=$A160,$B161&lt;&gt;$B160)),"ID LISTS UNALIGNED",and($A161&lt;&gt;"",countif('5) Release_Track'!$F:$F,$A161)=0),"NO ISRC MATCH in Release_Track",and($B161&lt;&gt;"",countif('5) Release_Track'!$G:$G,$B161)=0),"NO CATALOG ID MATCH in Release_Track",iserror(vlookup($A161&amp;$B161,'5) Release_Track'!$F:$F&amp;'5) Release_Track'!$G:$G,1,0)),"NO ISRC-CATALOG ID pair MATCH in Release_Track" )</f>
        <v/>
      </c>
      <c r="D161" s="121" t="str">
        <f t="array" ref="D161">ifs(and(isblank($A161),isblank($B161)),"", not(iserror(vlookup($A161&amp;$B161,'5) Release_Track'!$F:$F&amp;'5) Release_Track'!$G:$G,1,0))),vlookup($A161&amp;$B161,{'5) Release_Track'!$F:$F&amp;'5) Release_Track'!$G:$G,'5) Release_Track'!$I:$I},2,0), or(and(not(isblank($B161)),$B161=$B160,$A161&lt;&gt;$A160),and(not(isblank($A161)),$A161=$A160,$B161&lt;&gt;$B160)),"ID LISTS UNALIGNED",and($A161&lt;&gt;"",countif('5) Release_Track'!$F:$F,$A161)=0),"NO ISRC MATCH in Release_Track",and($B161&lt;&gt;"",countif('5) Release_Track'!$G:$G,$B161)=0),"NO CATALOG ID MATCH in Release_Track",iserror(vlookup($A161&amp;$B161,'5) Release_Track'!$F:$F&amp;'5) Release_Track'!$G:$G,1,0)),"NO ISRC-CATALOG ID pair MATCH in Release_Track" )</f>
        <v/>
      </c>
      <c r="E161" s="142" t="b">
        <v>0</v>
      </c>
      <c r="F161" s="142" t="b">
        <v>0</v>
      </c>
      <c r="G161" s="142" t="b">
        <v>0</v>
      </c>
      <c r="H161" s="142" t="b">
        <v>0</v>
      </c>
      <c r="I161" s="142" t="b">
        <v>0</v>
      </c>
      <c r="J161" s="142" t="b">
        <v>0</v>
      </c>
      <c r="K161" s="142" t="b">
        <v>0</v>
      </c>
      <c r="L161" s="8" t="b">
        <v>0</v>
      </c>
    </row>
    <row r="162">
      <c r="B162" s="103"/>
      <c r="C162" s="121" t="str">
        <f t="array" ref="C162">ifs(and(isblank($A162),isblank($B162)),"", not(iserror(vlookup($A162&amp;$B162,'5) Release_Track'!$F:$F&amp;'5) Release_Track'!$G:$G,1,0))),vlookup($A162&amp;$B162,{'5) Release_Track'!$F:$F&amp;'5) Release_Track'!$G:$G,'5) Release_Track'!$H:$H},2,0), or(and(not(isblank($B162)),$B162=$B161,$A162&lt;&gt;$A161),and(not(isblank($A162)),$A162=$A161,$B162&lt;&gt;$B161)),"ID LISTS UNALIGNED",and($A162&lt;&gt;"",countif('5) Release_Track'!$F:$F,$A162)=0),"NO ISRC MATCH in Release_Track",and($B162&lt;&gt;"",countif('5) Release_Track'!$G:$G,$B162)=0),"NO CATALOG ID MATCH in Release_Track",iserror(vlookup($A162&amp;$B162,'5) Release_Track'!$F:$F&amp;'5) Release_Track'!$G:$G,1,0)),"NO ISRC-CATALOG ID pair MATCH in Release_Track" )</f>
        <v/>
      </c>
      <c r="D162" s="121" t="str">
        <f t="array" ref="D162">ifs(and(isblank($A162),isblank($B162)),"", not(iserror(vlookup($A162&amp;$B162,'5) Release_Track'!$F:$F&amp;'5) Release_Track'!$G:$G,1,0))),vlookup($A162&amp;$B162,{'5) Release_Track'!$F:$F&amp;'5) Release_Track'!$G:$G,'5) Release_Track'!$I:$I},2,0), or(and(not(isblank($B162)),$B162=$B161,$A162&lt;&gt;$A161),and(not(isblank($A162)),$A162=$A161,$B162&lt;&gt;$B161)),"ID LISTS UNALIGNED",and($A162&lt;&gt;"",countif('5) Release_Track'!$F:$F,$A162)=0),"NO ISRC MATCH in Release_Track",and($B162&lt;&gt;"",countif('5) Release_Track'!$G:$G,$B162)=0),"NO CATALOG ID MATCH in Release_Track",iserror(vlookup($A162&amp;$B162,'5) Release_Track'!$F:$F&amp;'5) Release_Track'!$G:$G,1,0)),"NO ISRC-CATALOG ID pair MATCH in Release_Track" )</f>
        <v/>
      </c>
      <c r="E162" s="142" t="b">
        <v>0</v>
      </c>
      <c r="F162" s="142" t="b">
        <v>0</v>
      </c>
      <c r="G162" s="142" t="b">
        <v>0</v>
      </c>
      <c r="H162" s="142" t="b">
        <v>0</v>
      </c>
      <c r="I162" s="142" t="b">
        <v>0</v>
      </c>
      <c r="J162" s="142" t="b">
        <v>0</v>
      </c>
      <c r="K162" s="142" t="b">
        <v>0</v>
      </c>
      <c r="L162" s="8" t="b">
        <v>0</v>
      </c>
    </row>
    <row r="163">
      <c r="B163" s="103"/>
      <c r="C163" s="121" t="str">
        <f t="array" ref="C163">ifs(and(isblank($A163),isblank($B163)),"", not(iserror(vlookup($A163&amp;$B163,'5) Release_Track'!$F:$F&amp;'5) Release_Track'!$G:$G,1,0))),vlookup($A163&amp;$B163,{'5) Release_Track'!$F:$F&amp;'5) Release_Track'!$G:$G,'5) Release_Track'!$H:$H},2,0), or(and(not(isblank($B163)),$B163=$B162,$A163&lt;&gt;$A162),and(not(isblank($A163)),$A163=$A162,$B163&lt;&gt;$B162)),"ID LISTS UNALIGNED",and($A163&lt;&gt;"",countif('5) Release_Track'!$F:$F,$A163)=0),"NO ISRC MATCH in Release_Track",and($B163&lt;&gt;"",countif('5) Release_Track'!$G:$G,$B163)=0),"NO CATALOG ID MATCH in Release_Track",iserror(vlookup($A163&amp;$B163,'5) Release_Track'!$F:$F&amp;'5) Release_Track'!$G:$G,1,0)),"NO ISRC-CATALOG ID pair MATCH in Release_Track" )</f>
        <v/>
      </c>
      <c r="D163" s="121" t="str">
        <f t="array" ref="D163">ifs(and(isblank($A163),isblank($B163)),"", not(iserror(vlookup($A163&amp;$B163,'5) Release_Track'!$F:$F&amp;'5) Release_Track'!$G:$G,1,0))),vlookup($A163&amp;$B163,{'5) Release_Track'!$F:$F&amp;'5) Release_Track'!$G:$G,'5) Release_Track'!$I:$I},2,0), or(and(not(isblank($B163)),$B163=$B162,$A163&lt;&gt;$A162),and(not(isblank($A163)),$A163=$A162,$B163&lt;&gt;$B162)),"ID LISTS UNALIGNED",and($A163&lt;&gt;"",countif('5) Release_Track'!$F:$F,$A163)=0),"NO ISRC MATCH in Release_Track",and($B163&lt;&gt;"",countif('5) Release_Track'!$G:$G,$B163)=0),"NO CATALOG ID MATCH in Release_Track",iserror(vlookup($A163&amp;$B163,'5) Release_Track'!$F:$F&amp;'5) Release_Track'!$G:$G,1,0)),"NO ISRC-CATALOG ID pair MATCH in Release_Track" )</f>
        <v/>
      </c>
      <c r="E163" s="142" t="b">
        <v>0</v>
      </c>
      <c r="F163" s="142" t="b">
        <v>0</v>
      </c>
      <c r="G163" s="142" t="b">
        <v>0</v>
      </c>
      <c r="H163" s="142" t="b">
        <v>0</v>
      </c>
      <c r="I163" s="142" t="b">
        <v>0</v>
      </c>
      <c r="J163" s="142" t="b">
        <v>0</v>
      </c>
      <c r="K163" s="142" t="b">
        <v>0</v>
      </c>
      <c r="L163" s="8" t="b">
        <v>0</v>
      </c>
    </row>
    <row r="164">
      <c r="B164" s="103"/>
      <c r="C164" s="121" t="str">
        <f t="array" ref="C164">ifs(and(isblank($A164),isblank($B164)),"", not(iserror(vlookup($A164&amp;$B164,'5) Release_Track'!$F:$F&amp;'5) Release_Track'!$G:$G,1,0))),vlookup($A164&amp;$B164,{'5) Release_Track'!$F:$F&amp;'5) Release_Track'!$G:$G,'5) Release_Track'!$H:$H},2,0), or(and(not(isblank($B164)),$B164=$B163,$A164&lt;&gt;$A163),and(not(isblank($A164)),$A164=$A163,$B164&lt;&gt;$B163)),"ID LISTS UNALIGNED",and($A164&lt;&gt;"",countif('5) Release_Track'!$F:$F,$A164)=0),"NO ISRC MATCH in Release_Track",and($B164&lt;&gt;"",countif('5) Release_Track'!$G:$G,$B164)=0),"NO CATALOG ID MATCH in Release_Track",iserror(vlookup($A164&amp;$B164,'5) Release_Track'!$F:$F&amp;'5) Release_Track'!$G:$G,1,0)),"NO ISRC-CATALOG ID pair MATCH in Release_Track" )</f>
        <v/>
      </c>
      <c r="D164" s="121" t="str">
        <f t="array" ref="D164">ifs(and(isblank($A164),isblank($B164)),"", not(iserror(vlookup($A164&amp;$B164,'5) Release_Track'!$F:$F&amp;'5) Release_Track'!$G:$G,1,0))),vlookup($A164&amp;$B164,{'5) Release_Track'!$F:$F&amp;'5) Release_Track'!$G:$G,'5) Release_Track'!$I:$I},2,0), or(and(not(isblank($B164)),$B164=$B163,$A164&lt;&gt;$A163),and(not(isblank($A164)),$A164=$A163,$B164&lt;&gt;$B163)),"ID LISTS UNALIGNED",and($A164&lt;&gt;"",countif('5) Release_Track'!$F:$F,$A164)=0),"NO ISRC MATCH in Release_Track",and($B164&lt;&gt;"",countif('5) Release_Track'!$G:$G,$B164)=0),"NO CATALOG ID MATCH in Release_Track",iserror(vlookup($A164&amp;$B164,'5) Release_Track'!$F:$F&amp;'5) Release_Track'!$G:$G,1,0)),"NO ISRC-CATALOG ID pair MATCH in Release_Track" )</f>
        <v/>
      </c>
      <c r="E164" s="142" t="b">
        <v>0</v>
      </c>
      <c r="F164" s="142" t="b">
        <v>0</v>
      </c>
      <c r="G164" s="142" t="b">
        <v>0</v>
      </c>
      <c r="H164" s="142" t="b">
        <v>0</v>
      </c>
      <c r="I164" s="142" t="b">
        <v>0</v>
      </c>
      <c r="J164" s="142" t="b">
        <v>0</v>
      </c>
      <c r="K164" s="142" t="b">
        <v>0</v>
      </c>
      <c r="L164" s="8" t="b">
        <v>0</v>
      </c>
    </row>
    <row r="165">
      <c r="B165" s="103"/>
      <c r="C165" s="121" t="str">
        <f t="array" ref="C165">ifs(and(isblank($A165),isblank($B165)),"", not(iserror(vlookup($A165&amp;$B165,'5) Release_Track'!$F:$F&amp;'5) Release_Track'!$G:$G,1,0))),vlookup($A165&amp;$B165,{'5) Release_Track'!$F:$F&amp;'5) Release_Track'!$G:$G,'5) Release_Track'!$H:$H},2,0), or(and(not(isblank($B165)),$B165=$B164,$A165&lt;&gt;$A164),and(not(isblank($A165)),$A165=$A164,$B165&lt;&gt;$B164)),"ID LISTS UNALIGNED",and($A165&lt;&gt;"",countif('5) Release_Track'!$F:$F,$A165)=0),"NO ISRC MATCH in Release_Track",and($B165&lt;&gt;"",countif('5) Release_Track'!$G:$G,$B165)=0),"NO CATALOG ID MATCH in Release_Track",iserror(vlookup($A165&amp;$B165,'5) Release_Track'!$F:$F&amp;'5) Release_Track'!$G:$G,1,0)),"NO ISRC-CATALOG ID pair MATCH in Release_Track" )</f>
        <v/>
      </c>
      <c r="D165" s="121" t="str">
        <f t="array" ref="D165">ifs(and(isblank($A165),isblank($B165)),"", not(iserror(vlookup($A165&amp;$B165,'5) Release_Track'!$F:$F&amp;'5) Release_Track'!$G:$G,1,0))),vlookup($A165&amp;$B165,{'5) Release_Track'!$F:$F&amp;'5) Release_Track'!$G:$G,'5) Release_Track'!$I:$I},2,0), or(and(not(isblank($B165)),$B165=$B164,$A165&lt;&gt;$A164),and(not(isblank($A165)),$A165=$A164,$B165&lt;&gt;$B164)),"ID LISTS UNALIGNED",and($A165&lt;&gt;"",countif('5) Release_Track'!$F:$F,$A165)=0),"NO ISRC MATCH in Release_Track",and($B165&lt;&gt;"",countif('5) Release_Track'!$G:$G,$B165)=0),"NO CATALOG ID MATCH in Release_Track",iserror(vlookup($A165&amp;$B165,'5) Release_Track'!$F:$F&amp;'5) Release_Track'!$G:$G,1,0)),"NO ISRC-CATALOG ID pair MATCH in Release_Track" )</f>
        <v/>
      </c>
      <c r="E165" s="142" t="b">
        <v>0</v>
      </c>
      <c r="F165" s="142" t="b">
        <v>0</v>
      </c>
      <c r="G165" s="142" t="b">
        <v>0</v>
      </c>
      <c r="H165" s="142" t="b">
        <v>0</v>
      </c>
      <c r="I165" s="142" t="b">
        <v>0</v>
      </c>
      <c r="J165" s="142" t="b">
        <v>0</v>
      </c>
      <c r="K165" s="142" t="b">
        <v>0</v>
      </c>
      <c r="L165" s="8" t="b">
        <v>0</v>
      </c>
    </row>
    <row r="166">
      <c r="B166" s="103"/>
      <c r="C166" s="121" t="str">
        <f t="array" ref="C166">ifs(and(isblank($A166),isblank($B166)),"", not(iserror(vlookup($A166&amp;$B166,'5) Release_Track'!$F:$F&amp;'5) Release_Track'!$G:$G,1,0))),vlookup($A166&amp;$B166,{'5) Release_Track'!$F:$F&amp;'5) Release_Track'!$G:$G,'5) Release_Track'!$H:$H},2,0), or(and(not(isblank($B166)),$B166=$B165,$A166&lt;&gt;$A165),and(not(isblank($A166)),$A166=$A165,$B166&lt;&gt;$B165)),"ID LISTS UNALIGNED",and($A166&lt;&gt;"",countif('5) Release_Track'!$F:$F,$A166)=0),"NO ISRC MATCH in Release_Track",and($B166&lt;&gt;"",countif('5) Release_Track'!$G:$G,$B166)=0),"NO CATALOG ID MATCH in Release_Track",iserror(vlookup($A166&amp;$B166,'5) Release_Track'!$F:$F&amp;'5) Release_Track'!$G:$G,1,0)),"NO ISRC-CATALOG ID pair MATCH in Release_Track" )</f>
        <v/>
      </c>
      <c r="D166" s="121" t="str">
        <f t="array" ref="D166">ifs(and(isblank($A166),isblank($B166)),"", not(iserror(vlookup($A166&amp;$B166,'5) Release_Track'!$F:$F&amp;'5) Release_Track'!$G:$G,1,0))),vlookup($A166&amp;$B166,{'5) Release_Track'!$F:$F&amp;'5) Release_Track'!$G:$G,'5) Release_Track'!$I:$I},2,0), or(and(not(isblank($B166)),$B166=$B165,$A166&lt;&gt;$A165),and(not(isblank($A166)),$A166=$A165,$B166&lt;&gt;$B165)),"ID LISTS UNALIGNED",and($A166&lt;&gt;"",countif('5) Release_Track'!$F:$F,$A166)=0),"NO ISRC MATCH in Release_Track",and($B166&lt;&gt;"",countif('5) Release_Track'!$G:$G,$B166)=0),"NO CATALOG ID MATCH in Release_Track",iserror(vlookup($A166&amp;$B166,'5) Release_Track'!$F:$F&amp;'5) Release_Track'!$G:$G,1,0)),"NO ISRC-CATALOG ID pair MATCH in Release_Track" )</f>
        <v/>
      </c>
      <c r="E166" s="142" t="b">
        <v>0</v>
      </c>
      <c r="F166" s="142" t="b">
        <v>0</v>
      </c>
      <c r="G166" s="142" t="b">
        <v>0</v>
      </c>
      <c r="H166" s="142" t="b">
        <v>0</v>
      </c>
      <c r="I166" s="142" t="b">
        <v>0</v>
      </c>
      <c r="J166" s="142" t="b">
        <v>0</v>
      </c>
      <c r="K166" s="142" t="b">
        <v>0</v>
      </c>
      <c r="L166" s="8" t="b">
        <v>0</v>
      </c>
    </row>
    <row r="167">
      <c r="B167" s="103"/>
      <c r="C167" s="121" t="str">
        <f t="array" ref="C167">ifs(and(isblank($A167),isblank($B167)),"", not(iserror(vlookup($A167&amp;$B167,'5) Release_Track'!$F:$F&amp;'5) Release_Track'!$G:$G,1,0))),vlookup($A167&amp;$B167,{'5) Release_Track'!$F:$F&amp;'5) Release_Track'!$G:$G,'5) Release_Track'!$H:$H},2,0), or(and(not(isblank($B167)),$B167=$B166,$A167&lt;&gt;$A166),and(not(isblank($A167)),$A167=$A166,$B167&lt;&gt;$B166)),"ID LISTS UNALIGNED",and($A167&lt;&gt;"",countif('5) Release_Track'!$F:$F,$A167)=0),"NO ISRC MATCH in Release_Track",and($B167&lt;&gt;"",countif('5) Release_Track'!$G:$G,$B167)=0),"NO CATALOG ID MATCH in Release_Track",iserror(vlookup($A167&amp;$B167,'5) Release_Track'!$F:$F&amp;'5) Release_Track'!$G:$G,1,0)),"NO ISRC-CATALOG ID pair MATCH in Release_Track" )</f>
        <v/>
      </c>
      <c r="D167" s="121" t="str">
        <f t="array" ref="D167">ifs(and(isblank($A167),isblank($B167)),"", not(iserror(vlookup($A167&amp;$B167,'5) Release_Track'!$F:$F&amp;'5) Release_Track'!$G:$G,1,0))),vlookup($A167&amp;$B167,{'5) Release_Track'!$F:$F&amp;'5) Release_Track'!$G:$G,'5) Release_Track'!$I:$I},2,0), or(and(not(isblank($B167)),$B167=$B166,$A167&lt;&gt;$A166),and(not(isblank($A167)),$A167=$A166,$B167&lt;&gt;$B166)),"ID LISTS UNALIGNED",and($A167&lt;&gt;"",countif('5) Release_Track'!$F:$F,$A167)=0),"NO ISRC MATCH in Release_Track",and($B167&lt;&gt;"",countif('5) Release_Track'!$G:$G,$B167)=0),"NO CATALOG ID MATCH in Release_Track",iserror(vlookup($A167&amp;$B167,'5) Release_Track'!$F:$F&amp;'5) Release_Track'!$G:$G,1,0)),"NO ISRC-CATALOG ID pair MATCH in Release_Track" )</f>
        <v/>
      </c>
      <c r="E167" s="142" t="b">
        <v>0</v>
      </c>
      <c r="F167" s="142" t="b">
        <v>0</v>
      </c>
      <c r="G167" s="142" t="b">
        <v>0</v>
      </c>
      <c r="H167" s="142" t="b">
        <v>0</v>
      </c>
      <c r="I167" s="142" t="b">
        <v>0</v>
      </c>
      <c r="J167" s="142" t="b">
        <v>0</v>
      </c>
      <c r="K167" s="142" t="b">
        <v>0</v>
      </c>
      <c r="L167" s="8" t="b">
        <v>0</v>
      </c>
    </row>
    <row r="168">
      <c r="B168" s="103"/>
      <c r="C168" s="121" t="str">
        <f t="array" ref="C168">ifs(and(isblank($A168),isblank($B168)),"", not(iserror(vlookup($A168&amp;$B168,'5) Release_Track'!$F:$F&amp;'5) Release_Track'!$G:$G,1,0))),vlookup($A168&amp;$B168,{'5) Release_Track'!$F:$F&amp;'5) Release_Track'!$G:$G,'5) Release_Track'!$H:$H},2,0), or(and(not(isblank($B168)),$B168=$B167,$A168&lt;&gt;$A167),and(not(isblank($A168)),$A168=$A167,$B168&lt;&gt;$B167)),"ID LISTS UNALIGNED",and($A168&lt;&gt;"",countif('5) Release_Track'!$F:$F,$A168)=0),"NO ISRC MATCH in Release_Track",and($B168&lt;&gt;"",countif('5) Release_Track'!$G:$G,$B168)=0),"NO CATALOG ID MATCH in Release_Track",iserror(vlookup($A168&amp;$B168,'5) Release_Track'!$F:$F&amp;'5) Release_Track'!$G:$G,1,0)),"NO ISRC-CATALOG ID pair MATCH in Release_Track" )</f>
        <v/>
      </c>
      <c r="D168" s="121" t="str">
        <f t="array" ref="D168">ifs(and(isblank($A168),isblank($B168)),"", not(iserror(vlookup($A168&amp;$B168,'5) Release_Track'!$F:$F&amp;'5) Release_Track'!$G:$G,1,0))),vlookup($A168&amp;$B168,{'5) Release_Track'!$F:$F&amp;'5) Release_Track'!$G:$G,'5) Release_Track'!$I:$I},2,0), or(and(not(isblank($B168)),$B168=$B167,$A168&lt;&gt;$A167),and(not(isblank($A168)),$A168=$A167,$B168&lt;&gt;$B167)),"ID LISTS UNALIGNED",and($A168&lt;&gt;"",countif('5) Release_Track'!$F:$F,$A168)=0),"NO ISRC MATCH in Release_Track",and($B168&lt;&gt;"",countif('5) Release_Track'!$G:$G,$B168)=0),"NO CATALOG ID MATCH in Release_Track",iserror(vlookup($A168&amp;$B168,'5) Release_Track'!$F:$F&amp;'5) Release_Track'!$G:$G,1,0)),"NO ISRC-CATALOG ID pair MATCH in Release_Track" )</f>
        <v/>
      </c>
      <c r="E168" s="142" t="b">
        <v>0</v>
      </c>
      <c r="F168" s="142" t="b">
        <v>0</v>
      </c>
      <c r="G168" s="142" t="b">
        <v>0</v>
      </c>
      <c r="H168" s="142" t="b">
        <v>0</v>
      </c>
      <c r="I168" s="142" t="b">
        <v>0</v>
      </c>
      <c r="J168" s="142" t="b">
        <v>0</v>
      </c>
      <c r="K168" s="142" t="b">
        <v>0</v>
      </c>
      <c r="L168" s="8" t="b">
        <v>0</v>
      </c>
    </row>
    <row r="169">
      <c r="B169" s="103"/>
      <c r="C169" s="121" t="str">
        <f t="array" ref="C169">ifs(and(isblank($A169),isblank($B169)),"", not(iserror(vlookup($A169&amp;$B169,'5) Release_Track'!$F:$F&amp;'5) Release_Track'!$G:$G,1,0))),vlookup($A169&amp;$B169,{'5) Release_Track'!$F:$F&amp;'5) Release_Track'!$G:$G,'5) Release_Track'!$H:$H},2,0), or(and(not(isblank($B169)),$B169=$B168,$A169&lt;&gt;$A168),and(not(isblank($A169)),$A169=$A168,$B169&lt;&gt;$B168)),"ID LISTS UNALIGNED",and($A169&lt;&gt;"",countif('5) Release_Track'!$F:$F,$A169)=0),"NO ISRC MATCH in Release_Track",and($B169&lt;&gt;"",countif('5) Release_Track'!$G:$G,$B169)=0),"NO CATALOG ID MATCH in Release_Track",iserror(vlookup($A169&amp;$B169,'5) Release_Track'!$F:$F&amp;'5) Release_Track'!$G:$G,1,0)),"NO ISRC-CATALOG ID pair MATCH in Release_Track" )</f>
        <v/>
      </c>
      <c r="D169" s="121" t="str">
        <f t="array" ref="D169">ifs(and(isblank($A169),isblank($B169)),"", not(iserror(vlookup($A169&amp;$B169,'5) Release_Track'!$F:$F&amp;'5) Release_Track'!$G:$G,1,0))),vlookup($A169&amp;$B169,{'5) Release_Track'!$F:$F&amp;'5) Release_Track'!$G:$G,'5) Release_Track'!$I:$I},2,0), or(and(not(isblank($B169)),$B169=$B168,$A169&lt;&gt;$A168),and(not(isblank($A169)),$A169=$A168,$B169&lt;&gt;$B168)),"ID LISTS UNALIGNED",and($A169&lt;&gt;"",countif('5) Release_Track'!$F:$F,$A169)=0),"NO ISRC MATCH in Release_Track",and($B169&lt;&gt;"",countif('5) Release_Track'!$G:$G,$B169)=0),"NO CATALOG ID MATCH in Release_Track",iserror(vlookup($A169&amp;$B169,'5) Release_Track'!$F:$F&amp;'5) Release_Track'!$G:$G,1,0)),"NO ISRC-CATALOG ID pair MATCH in Release_Track" )</f>
        <v/>
      </c>
      <c r="E169" s="142" t="b">
        <v>0</v>
      </c>
      <c r="F169" s="142" t="b">
        <v>0</v>
      </c>
      <c r="G169" s="142" t="b">
        <v>0</v>
      </c>
      <c r="H169" s="142" t="b">
        <v>0</v>
      </c>
      <c r="I169" s="142" t="b">
        <v>0</v>
      </c>
      <c r="J169" s="142" t="b">
        <v>0</v>
      </c>
      <c r="K169" s="142" t="b">
        <v>0</v>
      </c>
      <c r="L169" s="8" t="b">
        <v>0</v>
      </c>
    </row>
    <row r="170">
      <c r="B170" s="103"/>
      <c r="C170" s="121" t="str">
        <f t="array" ref="C170">ifs(and(isblank($A170),isblank($B170)),"", not(iserror(vlookup($A170&amp;$B170,'5) Release_Track'!$F:$F&amp;'5) Release_Track'!$G:$G,1,0))),vlookup($A170&amp;$B170,{'5) Release_Track'!$F:$F&amp;'5) Release_Track'!$G:$G,'5) Release_Track'!$H:$H},2,0), or(and(not(isblank($B170)),$B170=$B169,$A170&lt;&gt;$A169),and(not(isblank($A170)),$A170=$A169,$B170&lt;&gt;$B169)),"ID LISTS UNALIGNED",and($A170&lt;&gt;"",countif('5) Release_Track'!$F:$F,$A170)=0),"NO ISRC MATCH in Release_Track",and($B170&lt;&gt;"",countif('5) Release_Track'!$G:$G,$B170)=0),"NO CATALOG ID MATCH in Release_Track",iserror(vlookup($A170&amp;$B170,'5) Release_Track'!$F:$F&amp;'5) Release_Track'!$G:$G,1,0)),"NO ISRC-CATALOG ID pair MATCH in Release_Track" )</f>
        <v/>
      </c>
      <c r="D170" s="121" t="str">
        <f t="array" ref="D170">ifs(and(isblank($A170),isblank($B170)),"", not(iserror(vlookup($A170&amp;$B170,'5) Release_Track'!$F:$F&amp;'5) Release_Track'!$G:$G,1,0))),vlookup($A170&amp;$B170,{'5) Release_Track'!$F:$F&amp;'5) Release_Track'!$G:$G,'5) Release_Track'!$I:$I},2,0), or(and(not(isblank($B170)),$B170=$B169,$A170&lt;&gt;$A169),and(not(isblank($A170)),$A170=$A169,$B170&lt;&gt;$B169)),"ID LISTS UNALIGNED",and($A170&lt;&gt;"",countif('5) Release_Track'!$F:$F,$A170)=0),"NO ISRC MATCH in Release_Track",and($B170&lt;&gt;"",countif('5) Release_Track'!$G:$G,$B170)=0),"NO CATALOG ID MATCH in Release_Track",iserror(vlookup($A170&amp;$B170,'5) Release_Track'!$F:$F&amp;'5) Release_Track'!$G:$G,1,0)),"NO ISRC-CATALOG ID pair MATCH in Release_Track" )</f>
        <v/>
      </c>
      <c r="E170" s="142" t="b">
        <v>0</v>
      </c>
      <c r="F170" s="142" t="b">
        <v>0</v>
      </c>
      <c r="G170" s="142" t="b">
        <v>0</v>
      </c>
      <c r="H170" s="142" t="b">
        <v>0</v>
      </c>
      <c r="I170" s="142" t="b">
        <v>0</v>
      </c>
      <c r="J170" s="142" t="b">
        <v>0</v>
      </c>
      <c r="K170" s="142" t="b">
        <v>0</v>
      </c>
      <c r="L170" s="8" t="b">
        <v>0</v>
      </c>
    </row>
    <row r="171">
      <c r="B171" s="103"/>
      <c r="C171" s="121" t="str">
        <f t="array" ref="C171">ifs(and(isblank($A171),isblank($B171)),"", not(iserror(vlookup($A171&amp;$B171,'5) Release_Track'!$F:$F&amp;'5) Release_Track'!$G:$G,1,0))),vlookup($A171&amp;$B171,{'5) Release_Track'!$F:$F&amp;'5) Release_Track'!$G:$G,'5) Release_Track'!$H:$H},2,0), or(and(not(isblank($B171)),$B171=$B170,$A171&lt;&gt;$A170),and(not(isblank($A171)),$A171=$A170,$B171&lt;&gt;$B170)),"ID LISTS UNALIGNED",and($A171&lt;&gt;"",countif('5) Release_Track'!$F:$F,$A171)=0),"NO ISRC MATCH in Release_Track",and($B171&lt;&gt;"",countif('5) Release_Track'!$G:$G,$B171)=0),"NO CATALOG ID MATCH in Release_Track",iserror(vlookup($A171&amp;$B171,'5) Release_Track'!$F:$F&amp;'5) Release_Track'!$G:$G,1,0)),"NO ISRC-CATALOG ID pair MATCH in Release_Track" )</f>
        <v/>
      </c>
      <c r="D171" s="121" t="str">
        <f t="array" ref="D171">ifs(and(isblank($A171),isblank($B171)),"", not(iserror(vlookup($A171&amp;$B171,'5) Release_Track'!$F:$F&amp;'5) Release_Track'!$G:$G,1,0))),vlookup($A171&amp;$B171,{'5) Release_Track'!$F:$F&amp;'5) Release_Track'!$G:$G,'5) Release_Track'!$I:$I},2,0), or(and(not(isblank($B171)),$B171=$B170,$A171&lt;&gt;$A170),and(not(isblank($A171)),$A171=$A170,$B171&lt;&gt;$B170)),"ID LISTS UNALIGNED",and($A171&lt;&gt;"",countif('5) Release_Track'!$F:$F,$A171)=0),"NO ISRC MATCH in Release_Track",and($B171&lt;&gt;"",countif('5) Release_Track'!$G:$G,$B171)=0),"NO CATALOG ID MATCH in Release_Track",iserror(vlookup($A171&amp;$B171,'5) Release_Track'!$F:$F&amp;'5) Release_Track'!$G:$G,1,0)),"NO ISRC-CATALOG ID pair MATCH in Release_Track" )</f>
        <v/>
      </c>
      <c r="E171" s="142" t="b">
        <v>0</v>
      </c>
      <c r="F171" s="142" t="b">
        <v>0</v>
      </c>
      <c r="G171" s="142" t="b">
        <v>0</v>
      </c>
      <c r="H171" s="142" t="b">
        <v>0</v>
      </c>
      <c r="I171" s="142" t="b">
        <v>0</v>
      </c>
      <c r="J171" s="142" t="b">
        <v>0</v>
      </c>
      <c r="K171" s="142" t="b">
        <v>0</v>
      </c>
      <c r="L171" s="8" t="b">
        <v>0</v>
      </c>
    </row>
    <row r="172">
      <c r="B172" s="103"/>
      <c r="C172" s="121" t="str">
        <f t="array" ref="C172">ifs(and(isblank($A172),isblank($B172)),"", not(iserror(vlookup($A172&amp;$B172,'5) Release_Track'!$F:$F&amp;'5) Release_Track'!$G:$G,1,0))),vlookup($A172&amp;$B172,{'5) Release_Track'!$F:$F&amp;'5) Release_Track'!$G:$G,'5) Release_Track'!$H:$H},2,0), or(and(not(isblank($B172)),$B172=$B171,$A172&lt;&gt;$A171),and(not(isblank($A172)),$A172=$A171,$B172&lt;&gt;$B171)),"ID LISTS UNALIGNED",and($A172&lt;&gt;"",countif('5) Release_Track'!$F:$F,$A172)=0),"NO ISRC MATCH in Release_Track",and($B172&lt;&gt;"",countif('5) Release_Track'!$G:$G,$B172)=0),"NO CATALOG ID MATCH in Release_Track",iserror(vlookup($A172&amp;$B172,'5) Release_Track'!$F:$F&amp;'5) Release_Track'!$G:$G,1,0)),"NO ISRC-CATALOG ID pair MATCH in Release_Track" )</f>
        <v/>
      </c>
      <c r="D172" s="121" t="str">
        <f t="array" ref="D172">ifs(and(isblank($A172),isblank($B172)),"", not(iserror(vlookup($A172&amp;$B172,'5) Release_Track'!$F:$F&amp;'5) Release_Track'!$G:$G,1,0))),vlookup($A172&amp;$B172,{'5) Release_Track'!$F:$F&amp;'5) Release_Track'!$G:$G,'5) Release_Track'!$I:$I},2,0), or(and(not(isblank($B172)),$B172=$B171,$A172&lt;&gt;$A171),and(not(isblank($A172)),$A172=$A171,$B172&lt;&gt;$B171)),"ID LISTS UNALIGNED",and($A172&lt;&gt;"",countif('5) Release_Track'!$F:$F,$A172)=0),"NO ISRC MATCH in Release_Track",and($B172&lt;&gt;"",countif('5) Release_Track'!$G:$G,$B172)=0),"NO CATALOG ID MATCH in Release_Track",iserror(vlookup($A172&amp;$B172,'5) Release_Track'!$F:$F&amp;'5) Release_Track'!$G:$G,1,0)),"NO ISRC-CATALOG ID pair MATCH in Release_Track" )</f>
        <v/>
      </c>
      <c r="E172" s="142" t="b">
        <v>0</v>
      </c>
      <c r="F172" s="142" t="b">
        <v>0</v>
      </c>
      <c r="G172" s="142" t="b">
        <v>0</v>
      </c>
      <c r="H172" s="142" t="b">
        <v>0</v>
      </c>
      <c r="I172" s="142" t="b">
        <v>0</v>
      </c>
      <c r="J172" s="142" t="b">
        <v>0</v>
      </c>
      <c r="K172" s="142" t="b">
        <v>0</v>
      </c>
      <c r="L172" s="8" t="b">
        <v>0</v>
      </c>
    </row>
    <row r="173">
      <c r="B173" s="103"/>
      <c r="C173" s="121" t="str">
        <f t="array" ref="C173">ifs(and(isblank($A173),isblank($B173)),"", not(iserror(vlookup($A173&amp;$B173,'5) Release_Track'!$F:$F&amp;'5) Release_Track'!$G:$G,1,0))),vlookup($A173&amp;$B173,{'5) Release_Track'!$F:$F&amp;'5) Release_Track'!$G:$G,'5) Release_Track'!$H:$H},2,0), or(and(not(isblank($B173)),$B173=$B172,$A173&lt;&gt;$A172),and(not(isblank($A173)),$A173=$A172,$B173&lt;&gt;$B172)),"ID LISTS UNALIGNED",and($A173&lt;&gt;"",countif('5) Release_Track'!$F:$F,$A173)=0),"NO ISRC MATCH in Release_Track",and($B173&lt;&gt;"",countif('5) Release_Track'!$G:$G,$B173)=0),"NO CATALOG ID MATCH in Release_Track",iserror(vlookup($A173&amp;$B173,'5) Release_Track'!$F:$F&amp;'5) Release_Track'!$G:$G,1,0)),"NO ISRC-CATALOG ID pair MATCH in Release_Track" )</f>
        <v/>
      </c>
      <c r="D173" s="121" t="str">
        <f t="array" ref="D173">ifs(and(isblank($A173),isblank($B173)),"", not(iserror(vlookup($A173&amp;$B173,'5) Release_Track'!$F:$F&amp;'5) Release_Track'!$G:$G,1,0))),vlookup($A173&amp;$B173,{'5) Release_Track'!$F:$F&amp;'5) Release_Track'!$G:$G,'5) Release_Track'!$I:$I},2,0), or(and(not(isblank($B173)),$B173=$B172,$A173&lt;&gt;$A172),and(not(isblank($A173)),$A173=$A172,$B173&lt;&gt;$B172)),"ID LISTS UNALIGNED",and($A173&lt;&gt;"",countif('5) Release_Track'!$F:$F,$A173)=0),"NO ISRC MATCH in Release_Track",and($B173&lt;&gt;"",countif('5) Release_Track'!$G:$G,$B173)=0),"NO CATALOG ID MATCH in Release_Track",iserror(vlookup($A173&amp;$B173,'5) Release_Track'!$F:$F&amp;'5) Release_Track'!$G:$G,1,0)),"NO ISRC-CATALOG ID pair MATCH in Release_Track" )</f>
        <v/>
      </c>
      <c r="E173" s="142" t="b">
        <v>0</v>
      </c>
      <c r="F173" s="142" t="b">
        <v>0</v>
      </c>
      <c r="G173" s="142" t="b">
        <v>0</v>
      </c>
      <c r="H173" s="142" t="b">
        <v>0</v>
      </c>
      <c r="I173" s="142" t="b">
        <v>0</v>
      </c>
      <c r="J173" s="142" t="b">
        <v>0</v>
      </c>
      <c r="K173" s="142" t="b">
        <v>0</v>
      </c>
      <c r="L173" s="8" t="b">
        <v>0</v>
      </c>
    </row>
    <row r="174">
      <c r="B174" s="103"/>
      <c r="C174" s="121" t="str">
        <f t="array" ref="C174">ifs(and(isblank($A174),isblank($B174)),"", not(iserror(vlookup($A174&amp;$B174,'5) Release_Track'!$F:$F&amp;'5) Release_Track'!$G:$G,1,0))),vlookup($A174&amp;$B174,{'5) Release_Track'!$F:$F&amp;'5) Release_Track'!$G:$G,'5) Release_Track'!$H:$H},2,0), or(and(not(isblank($B174)),$B174=$B173,$A174&lt;&gt;$A173),and(not(isblank($A174)),$A174=$A173,$B174&lt;&gt;$B173)),"ID LISTS UNALIGNED",and($A174&lt;&gt;"",countif('5) Release_Track'!$F:$F,$A174)=0),"NO ISRC MATCH in Release_Track",and($B174&lt;&gt;"",countif('5) Release_Track'!$G:$G,$B174)=0),"NO CATALOG ID MATCH in Release_Track",iserror(vlookup($A174&amp;$B174,'5) Release_Track'!$F:$F&amp;'5) Release_Track'!$G:$G,1,0)),"NO ISRC-CATALOG ID pair MATCH in Release_Track" )</f>
        <v/>
      </c>
      <c r="D174" s="121" t="str">
        <f t="array" ref="D174">ifs(and(isblank($A174),isblank($B174)),"", not(iserror(vlookup($A174&amp;$B174,'5) Release_Track'!$F:$F&amp;'5) Release_Track'!$G:$G,1,0))),vlookup($A174&amp;$B174,{'5) Release_Track'!$F:$F&amp;'5) Release_Track'!$G:$G,'5) Release_Track'!$I:$I},2,0), or(and(not(isblank($B174)),$B174=$B173,$A174&lt;&gt;$A173),and(not(isblank($A174)),$A174=$A173,$B174&lt;&gt;$B173)),"ID LISTS UNALIGNED",and($A174&lt;&gt;"",countif('5) Release_Track'!$F:$F,$A174)=0),"NO ISRC MATCH in Release_Track",and($B174&lt;&gt;"",countif('5) Release_Track'!$G:$G,$B174)=0),"NO CATALOG ID MATCH in Release_Track",iserror(vlookup($A174&amp;$B174,'5) Release_Track'!$F:$F&amp;'5) Release_Track'!$G:$G,1,0)),"NO ISRC-CATALOG ID pair MATCH in Release_Track" )</f>
        <v/>
      </c>
      <c r="E174" s="142" t="b">
        <v>0</v>
      </c>
      <c r="F174" s="142" t="b">
        <v>0</v>
      </c>
      <c r="G174" s="142" t="b">
        <v>0</v>
      </c>
      <c r="H174" s="142" t="b">
        <v>0</v>
      </c>
      <c r="I174" s="142" t="b">
        <v>0</v>
      </c>
      <c r="J174" s="142" t="b">
        <v>0</v>
      </c>
      <c r="K174" s="142" t="b">
        <v>0</v>
      </c>
      <c r="L174" s="8" t="b">
        <v>0</v>
      </c>
    </row>
    <row r="175">
      <c r="B175" s="103"/>
      <c r="C175" s="121" t="str">
        <f t="array" ref="C175">ifs(and(isblank($A175),isblank($B175)),"", not(iserror(vlookup($A175&amp;$B175,'5) Release_Track'!$F:$F&amp;'5) Release_Track'!$G:$G,1,0))),vlookup($A175&amp;$B175,{'5) Release_Track'!$F:$F&amp;'5) Release_Track'!$G:$G,'5) Release_Track'!$H:$H},2,0), or(and(not(isblank($B175)),$B175=$B174,$A175&lt;&gt;$A174),and(not(isblank($A175)),$A175=$A174,$B175&lt;&gt;$B174)),"ID LISTS UNALIGNED",and($A175&lt;&gt;"",countif('5) Release_Track'!$F:$F,$A175)=0),"NO ISRC MATCH in Release_Track",and($B175&lt;&gt;"",countif('5) Release_Track'!$G:$G,$B175)=0),"NO CATALOG ID MATCH in Release_Track",iserror(vlookup($A175&amp;$B175,'5) Release_Track'!$F:$F&amp;'5) Release_Track'!$G:$G,1,0)),"NO ISRC-CATALOG ID pair MATCH in Release_Track" )</f>
        <v/>
      </c>
      <c r="D175" s="121" t="str">
        <f t="array" ref="D175">ifs(and(isblank($A175),isblank($B175)),"", not(iserror(vlookup($A175&amp;$B175,'5) Release_Track'!$F:$F&amp;'5) Release_Track'!$G:$G,1,0))),vlookup($A175&amp;$B175,{'5) Release_Track'!$F:$F&amp;'5) Release_Track'!$G:$G,'5) Release_Track'!$I:$I},2,0), or(and(not(isblank($B175)),$B175=$B174,$A175&lt;&gt;$A174),and(not(isblank($A175)),$A175=$A174,$B175&lt;&gt;$B174)),"ID LISTS UNALIGNED",and($A175&lt;&gt;"",countif('5) Release_Track'!$F:$F,$A175)=0),"NO ISRC MATCH in Release_Track",and($B175&lt;&gt;"",countif('5) Release_Track'!$G:$G,$B175)=0),"NO CATALOG ID MATCH in Release_Track",iserror(vlookup($A175&amp;$B175,'5) Release_Track'!$F:$F&amp;'5) Release_Track'!$G:$G,1,0)),"NO ISRC-CATALOG ID pair MATCH in Release_Track" )</f>
        <v/>
      </c>
      <c r="E175" s="142" t="b">
        <v>0</v>
      </c>
      <c r="F175" s="142" t="b">
        <v>0</v>
      </c>
      <c r="G175" s="142" t="b">
        <v>0</v>
      </c>
      <c r="H175" s="142" t="b">
        <v>0</v>
      </c>
      <c r="I175" s="142" t="b">
        <v>0</v>
      </c>
      <c r="J175" s="142" t="b">
        <v>0</v>
      </c>
      <c r="K175" s="142" t="b">
        <v>0</v>
      </c>
      <c r="L175" s="8" t="b">
        <v>0</v>
      </c>
    </row>
    <row r="176">
      <c r="B176" s="103"/>
      <c r="C176" s="121" t="str">
        <f t="array" ref="C176">ifs(and(isblank($A176),isblank($B176)),"", not(iserror(vlookup($A176&amp;$B176,'5) Release_Track'!$F:$F&amp;'5) Release_Track'!$G:$G,1,0))),vlookup($A176&amp;$B176,{'5) Release_Track'!$F:$F&amp;'5) Release_Track'!$G:$G,'5) Release_Track'!$H:$H},2,0), or(and(not(isblank($B176)),$B176=$B175,$A176&lt;&gt;$A175),and(not(isblank($A176)),$A176=$A175,$B176&lt;&gt;$B175)),"ID LISTS UNALIGNED",and($A176&lt;&gt;"",countif('5) Release_Track'!$F:$F,$A176)=0),"NO ISRC MATCH in Release_Track",and($B176&lt;&gt;"",countif('5) Release_Track'!$G:$G,$B176)=0),"NO CATALOG ID MATCH in Release_Track",iserror(vlookup($A176&amp;$B176,'5) Release_Track'!$F:$F&amp;'5) Release_Track'!$G:$G,1,0)),"NO ISRC-CATALOG ID pair MATCH in Release_Track" )</f>
        <v/>
      </c>
      <c r="D176" s="121" t="str">
        <f t="array" ref="D176">ifs(and(isblank($A176),isblank($B176)),"", not(iserror(vlookup($A176&amp;$B176,'5) Release_Track'!$F:$F&amp;'5) Release_Track'!$G:$G,1,0))),vlookup($A176&amp;$B176,{'5) Release_Track'!$F:$F&amp;'5) Release_Track'!$G:$G,'5) Release_Track'!$I:$I},2,0), or(and(not(isblank($B176)),$B176=$B175,$A176&lt;&gt;$A175),and(not(isblank($A176)),$A176=$A175,$B176&lt;&gt;$B175)),"ID LISTS UNALIGNED",and($A176&lt;&gt;"",countif('5) Release_Track'!$F:$F,$A176)=0),"NO ISRC MATCH in Release_Track",and($B176&lt;&gt;"",countif('5) Release_Track'!$G:$G,$B176)=0),"NO CATALOG ID MATCH in Release_Track",iserror(vlookup($A176&amp;$B176,'5) Release_Track'!$F:$F&amp;'5) Release_Track'!$G:$G,1,0)),"NO ISRC-CATALOG ID pair MATCH in Release_Track" )</f>
        <v/>
      </c>
      <c r="E176" s="142" t="b">
        <v>0</v>
      </c>
      <c r="F176" s="142" t="b">
        <v>0</v>
      </c>
      <c r="G176" s="142" t="b">
        <v>0</v>
      </c>
      <c r="H176" s="142" t="b">
        <v>0</v>
      </c>
      <c r="I176" s="142" t="b">
        <v>0</v>
      </c>
      <c r="J176" s="142" t="b">
        <v>0</v>
      </c>
      <c r="K176" s="142" t="b">
        <v>0</v>
      </c>
      <c r="L176" s="8" t="b">
        <v>0</v>
      </c>
    </row>
    <row r="177">
      <c r="B177" s="103"/>
      <c r="C177" s="121" t="str">
        <f t="array" ref="C177">ifs(and(isblank($A177),isblank($B177)),"", not(iserror(vlookup($A177&amp;$B177,'5) Release_Track'!$F:$F&amp;'5) Release_Track'!$G:$G,1,0))),vlookup($A177&amp;$B177,{'5) Release_Track'!$F:$F&amp;'5) Release_Track'!$G:$G,'5) Release_Track'!$H:$H},2,0), or(and(not(isblank($B177)),$B177=$B176,$A177&lt;&gt;$A176),and(not(isblank($A177)),$A177=$A176,$B177&lt;&gt;$B176)),"ID LISTS UNALIGNED",and($A177&lt;&gt;"",countif('5) Release_Track'!$F:$F,$A177)=0),"NO ISRC MATCH in Release_Track",and($B177&lt;&gt;"",countif('5) Release_Track'!$G:$G,$B177)=0),"NO CATALOG ID MATCH in Release_Track",iserror(vlookup($A177&amp;$B177,'5) Release_Track'!$F:$F&amp;'5) Release_Track'!$G:$G,1,0)),"NO ISRC-CATALOG ID pair MATCH in Release_Track" )</f>
        <v/>
      </c>
      <c r="D177" s="121" t="str">
        <f t="array" ref="D177">ifs(and(isblank($A177),isblank($B177)),"", not(iserror(vlookup($A177&amp;$B177,'5) Release_Track'!$F:$F&amp;'5) Release_Track'!$G:$G,1,0))),vlookup($A177&amp;$B177,{'5) Release_Track'!$F:$F&amp;'5) Release_Track'!$G:$G,'5) Release_Track'!$I:$I},2,0), or(and(not(isblank($B177)),$B177=$B176,$A177&lt;&gt;$A176),and(not(isblank($A177)),$A177=$A176,$B177&lt;&gt;$B176)),"ID LISTS UNALIGNED",and($A177&lt;&gt;"",countif('5) Release_Track'!$F:$F,$A177)=0),"NO ISRC MATCH in Release_Track",and($B177&lt;&gt;"",countif('5) Release_Track'!$G:$G,$B177)=0),"NO CATALOG ID MATCH in Release_Track",iserror(vlookup($A177&amp;$B177,'5) Release_Track'!$F:$F&amp;'5) Release_Track'!$G:$G,1,0)),"NO ISRC-CATALOG ID pair MATCH in Release_Track" )</f>
        <v/>
      </c>
      <c r="E177" s="142" t="b">
        <v>0</v>
      </c>
      <c r="F177" s="142" t="b">
        <v>0</v>
      </c>
      <c r="G177" s="142" t="b">
        <v>0</v>
      </c>
      <c r="H177" s="142" t="b">
        <v>0</v>
      </c>
      <c r="I177" s="142" t="b">
        <v>0</v>
      </c>
      <c r="J177" s="142" t="b">
        <v>0</v>
      </c>
      <c r="K177" s="142" t="b">
        <v>0</v>
      </c>
      <c r="L177" s="8" t="b">
        <v>0</v>
      </c>
    </row>
    <row r="178">
      <c r="B178" s="103"/>
      <c r="C178" s="121" t="str">
        <f t="array" ref="C178">ifs(and(isblank($A178),isblank($B178)),"", not(iserror(vlookup($A178&amp;$B178,'5) Release_Track'!$F:$F&amp;'5) Release_Track'!$G:$G,1,0))),vlookup($A178&amp;$B178,{'5) Release_Track'!$F:$F&amp;'5) Release_Track'!$G:$G,'5) Release_Track'!$H:$H},2,0), or(and(not(isblank($B178)),$B178=$B177,$A178&lt;&gt;$A177),and(not(isblank($A178)),$A178=$A177,$B178&lt;&gt;$B177)),"ID LISTS UNALIGNED",and($A178&lt;&gt;"",countif('5) Release_Track'!$F:$F,$A178)=0),"NO ISRC MATCH in Release_Track",and($B178&lt;&gt;"",countif('5) Release_Track'!$G:$G,$B178)=0),"NO CATALOG ID MATCH in Release_Track",iserror(vlookup($A178&amp;$B178,'5) Release_Track'!$F:$F&amp;'5) Release_Track'!$G:$G,1,0)),"NO ISRC-CATALOG ID pair MATCH in Release_Track" )</f>
        <v/>
      </c>
      <c r="D178" s="121" t="str">
        <f t="array" ref="D178">ifs(and(isblank($A178),isblank($B178)),"", not(iserror(vlookup($A178&amp;$B178,'5) Release_Track'!$F:$F&amp;'5) Release_Track'!$G:$G,1,0))),vlookup($A178&amp;$B178,{'5) Release_Track'!$F:$F&amp;'5) Release_Track'!$G:$G,'5) Release_Track'!$I:$I},2,0), or(and(not(isblank($B178)),$B178=$B177,$A178&lt;&gt;$A177),and(not(isblank($A178)),$A178=$A177,$B178&lt;&gt;$B177)),"ID LISTS UNALIGNED",and($A178&lt;&gt;"",countif('5) Release_Track'!$F:$F,$A178)=0),"NO ISRC MATCH in Release_Track",and($B178&lt;&gt;"",countif('5) Release_Track'!$G:$G,$B178)=0),"NO CATALOG ID MATCH in Release_Track",iserror(vlookup($A178&amp;$B178,'5) Release_Track'!$F:$F&amp;'5) Release_Track'!$G:$G,1,0)),"NO ISRC-CATALOG ID pair MATCH in Release_Track" )</f>
        <v/>
      </c>
      <c r="E178" s="142" t="b">
        <v>0</v>
      </c>
      <c r="F178" s="142" t="b">
        <v>0</v>
      </c>
      <c r="G178" s="142" t="b">
        <v>0</v>
      </c>
      <c r="H178" s="142" t="b">
        <v>0</v>
      </c>
      <c r="I178" s="142" t="b">
        <v>0</v>
      </c>
      <c r="J178" s="142" t="b">
        <v>0</v>
      </c>
      <c r="K178" s="142" t="b">
        <v>0</v>
      </c>
      <c r="L178" s="8" t="b">
        <v>0</v>
      </c>
    </row>
    <row r="179">
      <c r="B179" s="103"/>
      <c r="C179" s="121" t="str">
        <f t="array" ref="C179">ifs(and(isblank($A179),isblank($B179)),"", not(iserror(vlookup($A179&amp;$B179,'5) Release_Track'!$F:$F&amp;'5) Release_Track'!$G:$G,1,0))),vlookup($A179&amp;$B179,{'5) Release_Track'!$F:$F&amp;'5) Release_Track'!$G:$G,'5) Release_Track'!$H:$H},2,0), or(and(not(isblank($B179)),$B179=$B178,$A179&lt;&gt;$A178),and(not(isblank($A179)),$A179=$A178,$B179&lt;&gt;$B178)),"ID LISTS UNALIGNED",and($A179&lt;&gt;"",countif('5) Release_Track'!$F:$F,$A179)=0),"NO ISRC MATCH in Release_Track",and($B179&lt;&gt;"",countif('5) Release_Track'!$G:$G,$B179)=0),"NO CATALOG ID MATCH in Release_Track",iserror(vlookup($A179&amp;$B179,'5) Release_Track'!$F:$F&amp;'5) Release_Track'!$G:$G,1,0)),"NO ISRC-CATALOG ID pair MATCH in Release_Track" )</f>
        <v/>
      </c>
      <c r="D179" s="121" t="str">
        <f t="array" ref="D179">ifs(and(isblank($A179),isblank($B179)),"", not(iserror(vlookup($A179&amp;$B179,'5) Release_Track'!$F:$F&amp;'5) Release_Track'!$G:$G,1,0))),vlookup($A179&amp;$B179,{'5) Release_Track'!$F:$F&amp;'5) Release_Track'!$G:$G,'5) Release_Track'!$I:$I},2,0), or(and(not(isblank($B179)),$B179=$B178,$A179&lt;&gt;$A178),and(not(isblank($A179)),$A179=$A178,$B179&lt;&gt;$B178)),"ID LISTS UNALIGNED",and($A179&lt;&gt;"",countif('5) Release_Track'!$F:$F,$A179)=0),"NO ISRC MATCH in Release_Track",and($B179&lt;&gt;"",countif('5) Release_Track'!$G:$G,$B179)=0),"NO CATALOG ID MATCH in Release_Track",iserror(vlookup($A179&amp;$B179,'5) Release_Track'!$F:$F&amp;'5) Release_Track'!$G:$G,1,0)),"NO ISRC-CATALOG ID pair MATCH in Release_Track" )</f>
        <v/>
      </c>
      <c r="E179" s="142" t="b">
        <v>0</v>
      </c>
      <c r="F179" s="142" t="b">
        <v>0</v>
      </c>
      <c r="G179" s="142" t="b">
        <v>0</v>
      </c>
      <c r="H179" s="142" t="b">
        <v>0</v>
      </c>
      <c r="I179" s="142" t="b">
        <v>0</v>
      </c>
      <c r="J179" s="142" t="b">
        <v>0</v>
      </c>
      <c r="K179" s="142" t="b">
        <v>0</v>
      </c>
      <c r="L179" s="8" t="b">
        <v>0</v>
      </c>
    </row>
    <row r="180">
      <c r="B180" s="103"/>
      <c r="C180" s="121" t="str">
        <f t="array" ref="C180">ifs(and(isblank($A180),isblank($B180)),"", not(iserror(vlookup($A180&amp;$B180,'5) Release_Track'!$F:$F&amp;'5) Release_Track'!$G:$G,1,0))),vlookup($A180&amp;$B180,{'5) Release_Track'!$F:$F&amp;'5) Release_Track'!$G:$G,'5) Release_Track'!$H:$H},2,0), or(and(not(isblank($B180)),$B180=$B179,$A180&lt;&gt;$A179),and(not(isblank($A180)),$A180=$A179,$B180&lt;&gt;$B179)),"ID LISTS UNALIGNED",and($A180&lt;&gt;"",countif('5) Release_Track'!$F:$F,$A180)=0),"NO ISRC MATCH in Release_Track",and($B180&lt;&gt;"",countif('5) Release_Track'!$G:$G,$B180)=0),"NO CATALOG ID MATCH in Release_Track",iserror(vlookup($A180&amp;$B180,'5) Release_Track'!$F:$F&amp;'5) Release_Track'!$G:$G,1,0)),"NO ISRC-CATALOG ID pair MATCH in Release_Track" )</f>
        <v/>
      </c>
      <c r="D180" s="121" t="str">
        <f t="array" ref="D180">ifs(and(isblank($A180),isblank($B180)),"", not(iserror(vlookup($A180&amp;$B180,'5) Release_Track'!$F:$F&amp;'5) Release_Track'!$G:$G,1,0))),vlookup($A180&amp;$B180,{'5) Release_Track'!$F:$F&amp;'5) Release_Track'!$G:$G,'5) Release_Track'!$I:$I},2,0), or(and(not(isblank($B180)),$B180=$B179,$A180&lt;&gt;$A179),and(not(isblank($A180)),$A180=$A179,$B180&lt;&gt;$B179)),"ID LISTS UNALIGNED",and($A180&lt;&gt;"",countif('5) Release_Track'!$F:$F,$A180)=0),"NO ISRC MATCH in Release_Track",and($B180&lt;&gt;"",countif('5) Release_Track'!$G:$G,$B180)=0),"NO CATALOG ID MATCH in Release_Track",iserror(vlookup($A180&amp;$B180,'5) Release_Track'!$F:$F&amp;'5) Release_Track'!$G:$G,1,0)),"NO ISRC-CATALOG ID pair MATCH in Release_Track" )</f>
        <v/>
      </c>
      <c r="E180" s="142" t="b">
        <v>0</v>
      </c>
      <c r="F180" s="142" t="b">
        <v>0</v>
      </c>
      <c r="G180" s="142" t="b">
        <v>0</v>
      </c>
      <c r="H180" s="142" t="b">
        <v>0</v>
      </c>
      <c r="I180" s="142" t="b">
        <v>0</v>
      </c>
      <c r="J180" s="142" t="b">
        <v>0</v>
      </c>
      <c r="K180" s="142" t="b">
        <v>0</v>
      </c>
      <c r="L180" s="8" t="b">
        <v>0</v>
      </c>
    </row>
    <row r="181">
      <c r="B181" s="103"/>
      <c r="C181" s="121" t="str">
        <f t="array" ref="C181">ifs(and(isblank($A181),isblank($B181)),"", not(iserror(vlookup($A181&amp;$B181,'5) Release_Track'!$F:$F&amp;'5) Release_Track'!$G:$G,1,0))),vlookup($A181&amp;$B181,{'5) Release_Track'!$F:$F&amp;'5) Release_Track'!$G:$G,'5) Release_Track'!$H:$H},2,0), or(and(not(isblank($B181)),$B181=$B180,$A181&lt;&gt;$A180),and(not(isblank($A181)),$A181=$A180,$B181&lt;&gt;$B180)),"ID LISTS UNALIGNED",and($A181&lt;&gt;"",countif('5) Release_Track'!$F:$F,$A181)=0),"NO ISRC MATCH in Release_Track",and($B181&lt;&gt;"",countif('5) Release_Track'!$G:$G,$B181)=0),"NO CATALOG ID MATCH in Release_Track",iserror(vlookup($A181&amp;$B181,'5) Release_Track'!$F:$F&amp;'5) Release_Track'!$G:$G,1,0)),"NO ISRC-CATALOG ID pair MATCH in Release_Track" )</f>
        <v/>
      </c>
      <c r="D181" s="121" t="str">
        <f t="array" ref="D181">ifs(and(isblank($A181),isblank($B181)),"", not(iserror(vlookup($A181&amp;$B181,'5) Release_Track'!$F:$F&amp;'5) Release_Track'!$G:$G,1,0))),vlookup($A181&amp;$B181,{'5) Release_Track'!$F:$F&amp;'5) Release_Track'!$G:$G,'5) Release_Track'!$I:$I},2,0), or(and(not(isblank($B181)),$B181=$B180,$A181&lt;&gt;$A180),and(not(isblank($A181)),$A181=$A180,$B181&lt;&gt;$B180)),"ID LISTS UNALIGNED",and($A181&lt;&gt;"",countif('5) Release_Track'!$F:$F,$A181)=0),"NO ISRC MATCH in Release_Track",and($B181&lt;&gt;"",countif('5) Release_Track'!$G:$G,$B181)=0),"NO CATALOG ID MATCH in Release_Track",iserror(vlookup($A181&amp;$B181,'5) Release_Track'!$F:$F&amp;'5) Release_Track'!$G:$G,1,0)),"NO ISRC-CATALOG ID pair MATCH in Release_Track" )</f>
        <v/>
      </c>
      <c r="E181" s="142" t="b">
        <v>0</v>
      </c>
      <c r="F181" s="142" t="b">
        <v>0</v>
      </c>
      <c r="G181" s="142" t="b">
        <v>0</v>
      </c>
      <c r="H181" s="142" t="b">
        <v>0</v>
      </c>
      <c r="I181" s="142" t="b">
        <v>0</v>
      </c>
      <c r="J181" s="142" t="b">
        <v>0</v>
      </c>
      <c r="K181" s="142" t="b">
        <v>0</v>
      </c>
      <c r="L181" s="8" t="b">
        <v>0</v>
      </c>
    </row>
    <row r="182">
      <c r="B182" s="103"/>
      <c r="C182" s="121" t="str">
        <f t="array" ref="C182">ifs(and(isblank($A182),isblank($B182)),"", not(iserror(vlookup($A182&amp;$B182,'5) Release_Track'!$F:$F&amp;'5) Release_Track'!$G:$G,1,0))),vlookup($A182&amp;$B182,{'5) Release_Track'!$F:$F&amp;'5) Release_Track'!$G:$G,'5) Release_Track'!$H:$H},2,0), or(and(not(isblank($B182)),$B182=$B181,$A182&lt;&gt;$A181),and(not(isblank($A182)),$A182=$A181,$B182&lt;&gt;$B181)),"ID LISTS UNALIGNED",and($A182&lt;&gt;"",countif('5) Release_Track'!$F:$F,$A182)=0),"NO ISRC MATCH in Release_Track",and($B182&lt;&gt;"",countif('5) Release_Track'!$G:$G,$B182)=0),"NO CATALOG ID MATCH in Release_Track",iserror(vlookup($A182&amp;$B182,'5) Release_Track'!$F:$F&amp;'5) Release_Track'!$G:$G,1,0)),"NO ISRC-CATALOG ID pair MATCH in Release_Track" )</f>
        <v/>
      </c>
      <c r="D182" s="121" t="str">
        <f t="array" ref="D182">ifs(and(isblank($A182),isblank($B182)),"", not(iserror(vlookup($A182&amp;$B182,'5) Release_Track'!$F:$F&amp;'5) Release_Track'!$G:$G,1,0))),vlookup($A182&amp;$B182,{'5) Release_Track'!$F:$F&amp;'5) Release_Track'!$G:$G,'5) Release_Track'!$I:$I},2,0), or(and(not(isblank($B182)),$B182=$B181,$A182&lt;&gt;$A181),and(not(isblank($A182)),$A182=$A181,$B182&lt;&gt;$B181)),"ID LISTS UNALIGNED",and($A182&lt;&gt;"",countif('5) Release_Track'!$F:$F,$A182)=0),"NO ISRC MATCH in Release_Track",and($B182&lt;&gt;"",countif('5) Release_Track'!$G:$G,$B182)=0),"NO CATALOG ID MATCH in Release_Track",iserror(vlookup($A182&amp;$B182,'5) Release_Track'!$F:$F&amp;'5) Release_Track'!$G:$G,1,0)),"NO ISRC-CATALOG ID pair MATCH in Release_Track" )</f>
        <v/>
      </c>
      <c r="E182" s="142" t="b">
        <v>0</v>
      </c>
      <c r="F182" s="142" t="b">
        <v>0</v>
      </c>
      <c r="G182" s="142" t="b">
        <v>0</v>
      </c>
      <c r="H182" s="142" t="b">
        <v>0</v>
      </c>
      <c r="I182" s="142" t="b">
        <v>0</v>
      </c>
      <c r="J182" s="142" t="b">
        <v>0</v>
      </c>
      <c r="K182" s="142" t="b">
        <v>0</v>
      </c>
      <c r="L182" s="8" t="b">
        <v>0</v>
      </c>
    </row>
    <row r="183">
      <c r="B183" s="103"/>
      <c r="C183" s="121" t="str">
        <f t="array" ref="C183">ifs(and(isblank($A183),isblank($B183)),"", not(iserror(vlookup($A183&amp;$B183,'5) Release_Track'!$F:$F&amp;'5) Release_Track'!$G:$G,1,0))),vlookup($A183&amp;$B183,{'5) Release_Track'!$F:$F&amp;'5) Release_Track'!$G:$G,'5) Release_Track'!$H:$H},2,0), or(and(not(isblank($B183)),$B183=$B182,$A183&lt;&gt;$A182),and(not(isblank($A183)),$A183=$A182,$B183&lt;&gt;$B182)),"ID LISTS UNALIGNED",and($A183&lt;&gt;"",countif('5) Release_Track'!$F:$F,$A183)=0),"NO ISRC MATCH in Release_Track",and($B183&lt;&gt;"",countif('5) Release_Track'!$G:$G,$B183)=0),"NO CATALOG ID MATCH in Release_Track",iserror(vlookup($A183&amp;$B183,'5) Release_Track'!$F:$F&amp;'5) Release_Track'!$G:$G,1,0)),"NO ISRC-CATALOG ID pair MATCH in Release_Track" )</f>
        <v/>
      </c>
      <c r="D183" s="121" t="str">
        <f t="array" ref="D183">ifs(and(isblank($A183),isblank($B183)),"", not(iserror(vlookup($A183&amp;$B183,'5) Release_Track'!$F:$F&amp;'5) Release_Track'!$G:$G,1,0))),vlookup($A183&amp;$B183,{'5) Release_Track'!$F:$F&amp;'5) Release_Track'!$G:$G,'5) Release_Track'!$I:$I},2,0), or(and(not(isblank($B183)),$B183=$B182,$A183&lt;&gt;$A182),and(not(isblank($A183)),$A183=$A182,$B183&lt;&gt;$B182)),"ID LISTS UNALIGNED",and($A183&lt;&gt;"",countif('5) Release_Track'!$F:$F,$A183)=0),"NO ISRC MATCH in Release_Track",and($B183&lt;&gt;"",countif('5) Release_Track'!$G:$G,$B183)=0),"NO CATALOG ID MATCH in Release_Track",iserror(vlookup($A183&amp;$B183,'5) Release_Track'!$F:$F&amp;'5) Release_Track'!$G:$G,1,0)),"NO ISRC-CATALOG ID pair MATCH in Release_Track" )</f>
        <v/>
      </c>
      <c r="E183" s="142" t="b">
        <v>0</v>
      </c>
      <c r="F183" s="142" t="b">
        <v>0</v>
      </c>
      <c r="G183" s="142" t="b">
        <v>0</v>
      </c>
      <c r="H183" s="142" t="b">
        <v>0</v>
      </c>
      <c r="I183" s="142" t="b">
        <v>0</v>
      </c>
      <c r="J183" s="142" t="b">
        <v>0</v>
      </c>
      <c r="K183" s="142" t="b">
        <v>0</v>
      </c>
      <c r="L183" s="8" t="b">
        <v>0</v>
      </c>
    </row>
    <row r="184">
      <c r="B184" s="103"/>
      <c r="C184" s="121" t="str">
        <f t="array" ref="C184">ifs(and(isblank($A184),isblank($B184)),"", not(iserror(vlookup($A184&amp;$B184,'5) Release_Track'!$F:$F&amp;'5) Release_Track'!$G:$G,1,0))),vlookup($A184&amp;$B184,{'5) Release_Track'!$F:$F&amp;'5) Release_Track'!$G:$G,'5) Release_Track'!$H:$H},2,0), or(and(not(isblank($B184)),$B184=$B183,$A184&lt;&gt;$A183),and(not(isblank($A184)),$A184=$A183,$B184&lt;&gt;$B183)),"ID LISTS UNALIGNED",and($A184&lt;&gt;"",countif('5) Release_Track'!$F:$F,$A184)=0),"NO ISRC MATCH in Release_Track",and($B184&lt;&gt;"",countif('5) Release_Track'!$G:$G,$B184)=0),"NO CATALOG ID MATCH in Release_Track",iserror(vlookup($A184&amp;$B184,'5) Release_Track'!$F:$F&amp;'5) Release_Track'!$G:$G,1,0)),"NO ISRC-CATALOG ID pair MATCH in Release_Track" )</f>
        <v/>
      </c>
      <c r="D184" s="121" t="str">
        <f t="array" ref="D184">ifs(and(isblank($A184),isblank($B184)),"", not(iserror(vlookup($A184&amp;$B184,'5) Release_Track'!$F:$F&amp;'5) Release_Track'!$G:$G,1,0))),vlookup($A184&amp;$B184,{'5) Release_Track'!$F:$F&amp;'5) Release_Track'!$G:$G,'5) Release_Track'!$I:$I},2,0), or(and(not(isblank($B184)),$B184=$B183,$A184&lt;&gt;$A183),and(not(isblank($A184)),$A184=$A183,$B184&lt;&gt;$B183)),"ID LISTS UNALIGNED",and($A184&lt;&gt;"",countif('5) Release_Track'!$F:$F,$A184)=0),"NO ISRC MATCH in Release_Track",and($B184&lt;&gt;"",countif('5) Release_Track'!$G:$G,$B184)=0),"NO CATALOG ID MATCH in Release_Track",iserror(vlookup($A184&amp;$B184,'5) Release_Track'!$F:$F&amp;'5) Release_Track'!$G:$G,1,0)),"NO ISRC-CATALOG ID pair MATCH in Release_Track" )</f>
        <v/>
      </c>
      <c r="E184" s="142" t="b">
        <v>0</v>
      </c>
      <c r="F184" s="142" t="b">
        <v>0</v>
      </c>
      <c r="G184" s="142" t="b">
        <v>0</v>
      </c>
      <c r="H184" s="142" t="b">
        <v>0</v>
      </c>
      <c r="I184" s="142" t="b">
        <v>0</v>
      </c>
      <c r="J184" s="142" t="b">
        <v>0</v>
      </c>
      <c r="K184" s="142" t="b">
        <v>0</v>
      </c>
      <c r="L184" s="8" t="b">
        <v>0</v>
      </c>
    </row>
    <row r="185">
      <c r="B185" s="103"/>
      <c r="C185" s="121" t="str">
        <f t="array" ref="C185">ifs(and(isblank($A185),isblank($B185)),"", not(iserror(vlookup($A185&amp;$B185,'5) Release_Track'!$F:$F&amp;'5) Release_Track'!$G:$G,1,0))),vlookup($A185&amp;$B185,{'5) Release_Track'!$F:$F&amp;'5) Release_Track'!$G:$G,'5) Release_Track'!$H:$H},2,0), or(and(not(isblank($B185)),$B185=$B184,$A185&lt;&gt;$A184),and(not(isblank($A185)),$A185=$A184,$B185&lt;&gt;$B184)),"ID LISTS UNALIGNED",and($A185&lt;&gt;"",countif('5) Release_Track'!$F:$F,$A185)=0),"NO ISRC MATCH in Release_Track",and($B185&lt;&gt;"",countif('5) Release_Track'!$G:$G,$B185)=0),"NO CATALOG ID MATCH in Release_Track",iserror(vlookup($A185&amp;$B185,'5) Release_Track'!$F:$F&amp;'5) Release_Track'!$G:$G,1,0)),"NO ISRC-CATALOG ID pair MATCH in Release_Track" )</f>
        <v/>
      </c>
      <c r="D185" s="121" t="str">
        <f t="array" ref="D185">ifs(and(isblank($A185),isblank($B185)),"", not(iserror(vlookup($A185&amp;$B185,'5) Release_Track'!$F:$F&amp;'5) Release_Track'!$G:$G,1,0))),vlookup($A185&amp;$B185,{'5) Release_Track'!$F:$F&amp;'5) Release_Track'!$G:$G,'5) Release_Track'!$I:$I},2,0), or(and(not(isblank($B185)),$B185=$B184,$A185&lt;&gt;$A184),and(not(isblank($A185)),$A185=$A184,$B185&lt;&gt;$B184)),"ID LISTS UNALIGNED",and($A185&lt;&gt;"",countif('5) Release_Track'!$F:$F,$A185)=0),"NO ISRC MATCH in Release_Track",and($B185&lt;&gt;"",countif('5) Release_Track'!$G:$G,$B185)=0),"NO CATALOG ID MATCH in Release_Track",iserror(vlookup($A185&amp;$B185,'5) Release_Track'!$F:$F&amp;'5) Release_Track'!$G:$G,1,0)),"NO ISRC-CATALOG ID pair MATCH in Release_Track" )</f>
        <v/>
      </c>
      <c r="E185" s="142" t="b">
        <v>0</v>
      </c>
      <c r="F185" s="142" t="b">
        <v>0</v>
      </c>
      <c r="G185" s="142" t="b">
        <v>0</v>
      </c>
      <c r="H185" s="142" t="b">
        <v>0</v>
      </c>
      <c r="I185" s="142" t="b">
        <v>0</v>
      </c>
      <c r="J185" s="142" t="b">
        <v>0</v>
      </c>
      <c r="K185" s="142" t="b">
        <v>0</v>
      </c>
      <c r="L185" s="8" t="b">
        <v>0</v>
      </c>
    </row>
    <row r="186">
      <c r="B186" s="103"/>
      <c r="C186" s="121" t="str">
        <f t="array" ref="C186">ifs(and(isblank($A186),isblank($B186)),"", not(iserror(vlookup($A186&amp;$B186,'5) Release_Track'!$F:$F&amp;'5) Release_Track'!$G:$G,1,0))),vlookup($A186&amp;$B186,{'5) Release_Track'!$F:$F&amp;'5) Release_Track'!$G:$G,'5) Release_Track'!$H:$H},2,0), or(and(not(isblank($B186)),$B186=$B185,$A186&lt;&gt;$A185),and(not(isblank($A186)),$A186=$A185,$B186&lt;&gt;$B185)),"ID LISTS UNALIGNED",and($A186&lt;&gt;"",countif('5) Release_Track'!$F:$F,$A186)=0),"NO ISRC MATCH in Release_Track",and($B186&lt;&gt;"",countif('5) Release_Track'!$G:$G,$B186)=0),"NO CATALOG ID MATCH in Release_Track",iserror(vlookup($A186&amp;$B186,'5) Release_Track'!$F:$F&amp;'5) Release_Track'!$G:$G,1,0)),"NO ISRC-CATALOG ID pair MATCH in Release_Track" )</f>
        <v/>
      </c>
      <c r="D186" s="121" t="str">
        <f t="array" ref="D186">ifs(and(isblank($A186),isblank($B186)),"", not(iserror(vlookup($A186&amp;$B186,'5) Release_Track'!$F:$F&amp;'5) Release_Track'!$G:$G,1,0))),vlookup($A186&amp;$B186,{'5) Release_Track'!$F:$F&amp;'5) Release_Track'!$G:$G,'5) Release_Track'!$I:$I},2,0), or(and(not(isblank($B186)),$B186=$B185,$A186&lt;&gt;$A185),and(not(isblank($A186)),$A186=$A185,$B186&lt;&gt;$B185)),"ID LISTS UNALIGNED",and($A186&lt;&gt;"",countif('5) Release_Track'!$F:$F,$A186)=0),"NO ISRC MATCH in Release_Track",and($B186&lt;&gt;"",countif('5) Release_Track'!$G:$G,$B186)=0),"NO CATALOG ID MATCH in Release_Track",iserror(vlookup($A186&amp;$B186,'5) Release_Track'!$F:$F&amp;'5) Release_Track'!$G:$G,1,0)),"NO ISRC-CATALOG ID pair MATCH in Release_Track" )</f>
        <v/>
      </c>
      <c r="E186" s="142" t="b">
        <v>0</v>
      </c>
      <c r="F186" s="142" t="b">
        <v>0</v>
      </c>
      <c r="G186" s="142" t="b">
        <v>0</v>
      </c>
      <c r="H186" s="142" t="b">
        <v>0</v>
      </c>
      <c r="I186" s="142" t="b">
        <v>0</v>
      </c>
      <c r="J186" s="142" t="b">
        <v>0</v>
      </c>
      <c r="K186" s="142" t="b">
        <v>0</v>
      </c>
      <c r="L186" s="8" t="b">
        <v>0</v>
      </c>
    </row>
    <row r="187">
      <c r="B187" s="103"/>
      <c r="C187" s="121" t="str">
        <f t="array" ref="C187">ifs(and(isblank($A187),isblank($B187)),"", not(iserror(vlookup($A187&amp;$B187,'5) Release_Track'!$F:$F&amp;'5) Release_Track'!$G:$G,1,0))),vlookup($A187&amp;$B187,{'5) Release_Track'!$F:$F&amp;'5) Release_Track'!$G:$G,'5) Release_Track'!$H:$H},2,0), or(and(not(isblank($B187)),$B187=$B186,$A187&lt;&gt;$A186),and(not(isblank($A187)),$A187=$A186,$B187&lt;&gt;$B186)),"ID LISTS UNALIGNED",and($A187&lt;&gt;"",countif('5) Release_Track'!$F:$F,$A187)=0),"NO ISRC MATCH in Release_Track",and($B187&lt;&gt;"",countif('5) Release_Track'!$G:$G,$B187)=0),"NO CATALOG ID MATCH in Release_Track",iserror(vlookup($A187&amp;$B187,'5) Release_Track'!$F:$F&amp;'5) Release_Track'!$G:$G,1,0)),"NO ISRC-CATALOG ID pair MATCH in Release_Track" )</f>
        <v/>
      </c>
      <c r="D187" s="121" t="str">
        <f t="array" ref="D187">ifs(and(isblank($A187),isblank($B187)),"", not(iserror(vlookup($A187&amp;$B187,'5) Release_Track'!$F:$F&amp;'5) Release_Track'!$G:$G,1,0))),vlookup($A187&amp;$B187,{'5) Release_Track'!$F:$F&amp;'5) Release_Track'!$G:$G,'5) Release_Track'!$I:$I},2,0), or(and(not(isblank($B187)),$B187=$B186,$A187&lt;&gt;$A186),and(not(isblank($A187)),$A187=$A186,$B187&lt;&gt;$B186)),"ID LISTS UNALIGNED",and($A187&lt;&gt;"",countif('5) Release_Track'!$F:$F,$A187)=0),"NO ISRC MATCH in Release_Track",and($B187&lt;&gt;"",countif('5) Release_Track'!$G:$G,$B187)=0),"NO CATALOG ID MATCH in Release_Track",iserror(vlookup($A187&amp;$B187,'5) Release_Track'!$F:$F&amp;'5) Release_Track'!$G:$G,1,0)),"NO ISRC-CATALOG ID pair MATCH in Release_Track" )</f>
        <v/>
      </c>
      <c r="E187" s="142" t="b">
        <v>0</v>
      </c>
      <c r="F187" s="142" t="b">
        <v>0</v>
      </c>
      <c r="G187" s="142" t="b">
        <v>0</v>
      </c>
      <c r="H187" s="142" t="b">
        <v>0</v>
      </c>
      <c r="I187" s="142" t="b">
        <v>0</v>
      </c>
      <c r="J187" s="142" t="b">
        <v>0</v>
      </c>
      <c r="K187" s="142" t="b">
        <v>0</v>
      </c>
      <c r="L187" s="8" t="b">
        <v>0</v>
      </c>
    </row>
    <row r="188">
      <c r="B188" s="103"/>
      <c r="C188" s="121" t="str">
        <f t="array" ref="C188">ifs(and(isblank($A188),isblank($B188)),"", not(iserror(vlookup($A188&amp;$B188,'5) Release_Track'!$F:$F&amp;'5) Release_Track'!$G:$G,1,0))),vlookup($A188&amp;$B188,{'5) Release_Track'!$F:$F&amp;'5) Release_Track'!$G:$G,'5) Release_Track'!$H:$H},2,0), or(and(not(isblank($B188)),$B188=$B187,$A188&lt;&gt;$A187),and(not(isblank($A188)),$A188=$A187,$B188&lt;&gt;$B187)),"ID LISTS UNALIGNED",and($A188&lt;&gt;"",countif('5) Release_Track'!$F:$F,$A188)=0),"NO ISRC MATCH in Release_Track",and($B188&lt;&gt;"",countif('5) Release_Track'!$G:$G,$B188)=0),"NO CATALOG ID MATCH in Release_Track",iserror(vlookup($A188&amp;$B188,'5) Release_Track'!$F:$F&amp;'5) Release_Track'!$G:$G,1,0)),"NO ISRC-CATALOG ID pair MATCH in Release_Track" )</f>
        <v/>
      </c>
      <c r="D188" s="121" t="str">
        <f t="array" ref="D188">ifs(and(isblank($A188),isblank($B188)),"", not(iserror(vlookup($A188&amp;$B188,'5) Release_Track'!$F:$F&amp;'5) Release_Track'!$G:$G,1,0))),vlookup($A188&amp;$B188,{'5) Release_Track'!$F:$F&amp;'5) Release_Track'!$G:$G,'5) Release_Track'!$I:$I},2,0), or(and(not(isblank($B188)),$B188=$B187,$A188&lt;&gt;$A187),and(not(isblank($A188)),$A188=$A187,$B188&lt;&gt;$B187)),"ID LISTS UNALIGNED",and($A188&lt;&gt;"",countif('5) Release_Track'!$F:$F,$A188)=0),"NO ISRC MATCH in Release_Track",and($B188&lt;&gt;"",countif('5) Release_Track'!$G:$G,$B188)=0),"NO CATALOG ID MATCH in Release_Track",iserror(vlookup($A188&amp;$B188,'5) Release_Track'!$F:$F&amp;'5) Release_Track'!$G:$G,1,0)),"NO ISRC-CATALOG ID pair MATCH in Release_Track" )</f>
        <v/>
      </c>
      <c r="E188" s="142" t="b">
        <v>0</v>
      </c>
      <c r="F188" s="142" t="b">
        <v>0</v>
      </c>
      <c r="G188" s="142" t="b">
        <v>0</v>
      </c>
      <c r="H188" s="142" t="b">
        <v>0</v>
      </c>
      <c r="I188" s="142" t="b">
        <v>0</v>
      </c>
      <c r="J188" s="142" t="b">
        <v>0</v>
      </c>
      <c r="K188" s="142" t="b">
        <v>0</v>
      </c>
      <c r="L188" s="8" t="b">
        <v>0</v>
      </c>
    </row>
    <row r="189">
      <c r="B189" s="103"/>
      <c r="C189" s="121" t="str">
        <f t="array" ref="C189">ifs(and(isblank($A189),isblank($B189)),"", not(iserror(vlookup($A189&amp;$B189,'5) Release_Track'!$F:$F&amp;'5) Release_Track'!$G:$G,1,0))),vlookup($A189&amp;$B189,{'5) Release_Track'!$F:$F&amp;'5) Release_Track'!$G:$G,'5) Release_Track'!$H:$H},2,0), or(and(not(isblank($B189)),$B189=$B188,$A189&lt;&gt;$A188),and(not(isblank($A189)),$A189=$A188,$B189&lt;&gt;$B188)),"ID LISTS UNALIGNED",and($A189&lt;&gt;"",countif('5) Release_Track'!$F:$F,$A189)=0),"NO ISRC MATCH in Release_Track",and($B189&lt;&gt;"",countif('5) Release_Track'!$G:$G,$B189)=0),"NO CATALOG ID MATCH in Release_Track",iserror(vlookup($A189&amp;$B189,'5) Release_Track'!$F:$F&amp;'5) Release_Track'!$G:$G,1,0)),"NO ISRC-CATALOG ID pair MATCH in Release_Track" )</f>
        <v/>
      </c>
      <c r="D189" s="121" t="str">
        <f t="array" ref="D189">ifs(and(isblank($A189),isblank($B189)),"", not(iserror(vlookup($A189&amp;$B189,'5) Release_Track'!$F:$F&amp;'5) Release_Track'!$G:$G,1,0))),vlookup($A189&amp;$B189,{'5) Release_Track'!$F:$F&amp;'5) Release_Track'!$G:$G,'5) Release_Track'!$I:$I},2,0), or(and(not(isblank($B189)),$B189=$B188,$A189&lt;&gt;$A188),and(not(isblank($A189)),$A189=$A188,$B189&lt;&gt;$B188)),"ID LISTS UNALIGNED",and($A189&lt;&gt;"",countif('5) Release_Track'!$F:$F,$A189)=0),"NO ISRC MATCH in Release_Track",and($B189&lt;&gt;"",countif('5) Release_Track'!$G:$G,$B189)=0),"NO CATALOG ID MATCH in Release_Track",iserror(vlookup($A189&amp;$B189,'5) Release_Track'!$F:$F&amp;'5) Release_Track'!$G:$G,1,0)),"NO ISRC-CATALOG ID pair MATCH in Release_Track" )</f>
        <v/>
      </c>
      <c r="E189" s="142" t="b">
        <v>0</v>
      </c>
      <c r="F189" s="142" t="b">
        <v>0</v>
      </c>
      <c r="G189" s="142" t="b">
        <v>0</v>
      </c>
      <c r="H189" s="142" t="b">
        <v>0</v>
      </c>
      <c r="I189" s="142" t="b">
        <v>0</v>
      </c>
      <c r="J189" s="142" t="b">
        <v>0</v>
      </c>
      <c r="K189" s="142" t="b">
        <v>0</v>
      </c>
      <c r="L189" s="8" t="b">
        <v>0</v>
      </c>
    </row>
    <row r="190">
      <c r="B190" s="103"/>
      <c r="C190" s="121" t="str">
        <f t="array" ref="C190">ifs(and(isblank($A190),isblank($B190)),"", not(iserror(vlookup($A190&amp;$B190,'5) Release_Track'!$F:$F&amp;'5) Release_Track'!$G:$G,1,0))),vlookup($A190&amp;$B190,{'5) Release_Track'!$F:$F&amp;'5) Release_Track'!$G:$G,'5) Release_Track'!$H:$H},2,0), or(and(not(isblank($B190)),$B190=$B189,$A190&lt;&gt;$A189),and(not(isblank($A190)),$A190=$A189,$B190&lt;&gt;$B189)),"ID LISTS UNALIGNED",and($A190&lt;&gt;"",countif('5) Release_Track'!$F:$F,$A190)=0),"NO ISRC MATCH in Release_Track",and($B190&lt;&gt;"",countif('5) Release_Track'!$G:$G,$B190)=0),"NO CATALOG ID MATCH in Release_Track",iserror(vlookup($A190&amp;$B190,'5) Release_Track'!$F:$F&amp;'5) Release_Track'!$G:$G,1,0)),"NO ISRC-CATALOG ID pair MATCH in Release_Track" )</f>
        <v/>
      </c>
      <c r="D190" s="121" t="str">
        <f t="array" ref="D190">ifs(and(isblank($A190),isblank($B190)),"", not(iserror(vlookup($A190&amp;$B190,'5) Release_Track'!$F:$F&amp;'5) Release_Track'!$G:$G,1,0))),vlookup($A190&amp;$B190,{'5) Release_Track'!$F:$F&amp;'5) Release_Track'!$G:$G,'5) Release_Track'!$I:$I},2,0), or(and(not(isblank($B190)),$B190=$B189,$A190&lt;&gt;$A189),and(not(isblank($A190)),$A190=$A189,$B190&lt;&gt;$B189)),"ID LISTS UNALIGNED",and($A190&lt;&gt;"",countif('5) Release_Track'!$F:$F,$A190)=0),"NO ISRC MATCH in Release_Track",and($B190&lt;&gt;"",countif('5) Release_Track'!$G:$G,$B190)=0),"NO CATALOG ID MATCH in Release_Track",iserror(vlookup($A190&amp;$B190,'5) Release_Track'!$F:$F&amp;'5) Release_Track'!$G:$G,1,0)),"NO ISRC-CATALOG ID pair MATCH in Release_Track" )</f>
        <v/>
      </c>
      <c r="E190" s="142" t="b">
        <v>0</v>
      </c>
      <c r="F190" s="142" t="b">
        <v>0</v>
      </c>
      <c r="G190" s="142" t="b">
        <v>0</v>
      </c>
      <c r="H190" s="142" t="b">
        <v>0</v>
      </c>
      <c r="I190" s="142" t="b">
        <v>0</v>
      </c>
      <c r="J190" s="142" t="b">
        <v>0</v>
      </c>
      <c r="K190" s="142" t="b">
        <v>0</v>
      </c>
      <c r="L190" s="8" t="b">
        <v>0</v>
      </c>
    </row>
    <row r="191">
      <c r="B191" s="103"/>
      <c r="C191" s="121" t="str">
        <f t="array" ref="C191">ifs(and(isblank($A191),isblank($B191)),"", not(iserror(vlookup($A191&amp;$B191,'5) Release_Track'!$F:$F&amp;'5) Release_Track'!$G:$G,1,0))),vlookup($A191&amp;$B191,{'5) Release_Track'!$F:$F&amp;'5) Release_Track'!$G:$G,'5) Release_Track'!$H:$H},2,0), or(and(not(isblank($B191)),$B191=$B190,$A191&lt;&gt;$A190),and(not(isblank($A191)),$A191=$A190,$B191&lt;&gt;$B190)),"ID LISTS UNALIGNED",and($A191&lt;&gt;"",countif('5) Release_Track'!$F:$F,$A191)=0),"NO ISRC MATCH in Release_Track",and($B191&lt;&gt;"",countif('5) Release_Track'!$G:$G,$B191)=0),"NO CATALOG ID MATCH in Release_Track",iserror(vlookup($A191&amp;$B191,'5) Release_Track'!$F:$F&amp;'5) Release_Track'!$G:$G,1,0)),"NO ISRC-CATALOG ID pair MATCH in Release_Track" )</f>
        <v/>
      </c>
      <c r="D191" s="121" t="str">
        <f t="array" ref="D191">ifs(and(isblank($A191),isblank($B191)),"", not(iserror(vlookup($A191&amp;$B191,'5) Release_Track'!$F:$F&amp;'5) Release_Track'!$G:$G,1,0))),vlookup($A191&amp;$B191,{'5) Release_Track'!$F:$F&amp;'5) Release_Track'!$G:$G,'5) Release_Track'!$I:$I},2,0), or(and(not(isblank($B191)),$B191=$B190,$A191&lt;&gt;$A190),and(not(isblank($A191)),$A191=$A190,$B191&lt;&gt;$B190)),"ID LISTS UNALIGNED",and($A191&lt;&gt;"",countif('5) Release_Track'!$F:$F,$A191)=0),"NO ISRC MATCH in Release_Track",and($B191&lt;&gt;"",countif('5) Release_Track'!$G:$G,$B191)=0),"NO CATALOG ID MATCH in Release_Track",iserror(vlookup($A191&amp;$B191,'5) Release_Track'!$F:$F&amp;'5) Release_Track'!$G:$G,1,0)),"NO ISRC-CATALOG ID pair MATCH in Release_Track" )</f>
        <v/>
      </c>
      <c r="E191" s="142" t="b">
        <v>0</v>
      </c>
      <c r="F191" s="142" t="b">
        <v>0</v>
      </c>
      <c r="G191" s="142" t="b">
        <v>0</v>
      </c>
      <c r="H191" s="142" t="b">
        <v>0</v>
      </c>
      <c r="I191" s="142" t="b">
        <v>0</v>
      </c>
      <c r="J191" s="142" t="b">
        <v>0</v>
      </c>
      <c r="K191" s="142" t="b">
        <v>0</v>
      </c>
      <c r="L191" s="8" t="b">
        <v>0</v>
      </c>
    </row>
    <row r="192">
      <c r="B192" s="103"/>
      <c r="C192" s="121" t="str">
        <f t="array" ref="C192">ifs(and(isblank($A192),isblank($B192)),"", not(iserror(vlookup($A192&amp;$B192,'5) Release_Track'!$F:$F&amp;'5) Release_Track'!$G:$G,1,0))),vlookup($A192&amp;$B192,{'5) Release_Track'!$F:$F&amp;'5) Release_Track'!$G:$G,'5) Release_Track'!$H:$H},2,0), or(and(not(isblank($B192)),$B192=$B191,$A192&lt;&gt;$A191),and(not(isblank($A192)),$A192=$A191,$B192&lt;&gt;$B191)),"ID LISTS UNALIGNED",and($A192&lt;&gt;"",countif('5) Release_Track'!$F:$F,$A192)=0),"NO ISRC MATCH in Release_Track",and($B192&lt;&gt;"",countif('5) Release_Track'!$G:$G,$B192)=0),"NO CATALOG ID MATCH in Release_Track",iserror(vlookup($A192&amp;$B192,'5) Release_Track'!$F:$F&amp;'5) Release_Track'!$G:$G,1,0)),"NO ISRC-CATALOG ID pair MATCH in Release_Track" )</f>
        <v/>
      </c>
      <c r="D192" s="121" t="str">
        <f t="array" ref="D192">ifs(and(isblank($A192),isblank($B192)),"", not(iserror(vlookup($A192&amp;$B192,'5) Release_Track'!$F:$F&amp;'5) Release_Track'!$G:$G,1,0))),vlookup($A192&amp;$B192,{'5) Release_Track'!$F:$F&amp;'5) Release_Track'!$G:$G,'5) Release_Track'!$I:$I},2,0), or(and(not(isblank($B192)),$B192=$B191,$A192&lt;&gt;$A191),and(not(isblank($A192)),$A192=$A191,$B192&lt;&gt;$B191)),"ID LISTS UNALIGNED",and($A192&lt;&gt;"",countif('5) Release_Track'!$F:$F,$A192)=0),"NO ISRC MATCH in Release_Track",and($B192&lt;&gt;"",countif('5) Release_Track'!$G:$G,$B192)=0),"NO CATALOG ID MATCH in Release_Track",iserror(vlookup($A192&amp;$B192,'5) Release_Track'!$F:$F&amp;'5) Release_Track'!$G:$G,1,0)),"NO ISRC-CATALOG ID pair MATCH in Release_Track" )</f>
        <v/>
      </c>
      <c r="E192" s="142" t="b">
        <v>0</v>
      </c>
      <c r="F192" s="142" t="b">
        <v>0</v>
      </c>
      <c r="G192" s="142" t="b">
        <v>0</v>
      </c>
      <c r="H192" s="142" t="b">
        <v>0</v>
      </c>
      <c r="I192" s="142" t="b">
        <v>0</v>
      </c>
      <c r="J192" s="142" t="b">
        <v>0</v>
      </c>
      <c r="K192" s="142" t="b">
        <v>0</v>
      </c>
      <c r="L192" s="8" t="b">
        <v>0</v>
      </c>
    </row>
    <row r="193">
      <c r="B193" s="103"/>
      <c r="C193" s="121" t="str">
        <f t="array" ref="C193">ifs(and(isblank($A193),isblank($B193)),"", not(iserror(vlookup($A193&amp;$B193,'5) Release_Track'!$F:$F&amp;'5) Release_Track'!$G:$G,1,0))),vlookup($A193&amp;$B193,{'5) Release_Track'!$F:$F&amp;'5) Release_Track'!$G:$G,'5) Release_Track'!$H:$H},2,0), or(and(not(isblank($B193)),$B193=$B192,$A193&lt;&gt;$A192),and(not(isblank($A193)),$A193=$A192,$B193&lt;&gt;$B192)),"ID LISTS UNALIGNED",and($A193&lt;&gt;"",countif('5) Release_Track'!$F:$F,$A193)=0),"NO ISRC MATCH in Release_Track",and($B193&lt;&gt;"",countif('5) Release_Track'!$G:$G,$B193)=0),"NO CATALOG ID MATCH in Release_Track",iserror(vlookup($A193&amp;$B193,'5) Release_Track'!$F:$F&amp;'5) Release_Track'!$G:$G,1,0)),"NO ISRC-CATALOG ID pair MATCH in Release_Track" )</f>
        <v/>
      </c>
      <c r="D193" s="121" t="str">
        <f t="array" ref="D193">ifs(and(isblank($A193),isblank($B193)),"", not(iserror(vlookup($A193&amp;$B193,'5) Release_Track'!$F:$F&amp;'5) Release_Track'!$G:$G,1,0))),vlookup($A193&amp;$B193,{'5) Release_Track'!$F:$F&amp;'5) Release_Track'!$G:$G,'5) Release_Track'!$I:$I},2,0), or(and(not(isblank($B193)),$B193=$B192,$A193&lt;&gt;$A192),and(not(isblank($A193)),$A193=$A192,$B193&lt;&gt;$B192)),"ID LISTS UNALIGNED",and($A193&lt;&gt;"",countif('5) Release_Track'!$F:$F,$A193)=0),"NO ISRC MATCH in Release_Track",and($B193&lt;&gt;"",countif('5) Release_Track'!$G:$G,$B193)=0),"NO CATALOG ID MATCH in Release_Track",iserror(vlookup($A193&amp;$B193,'5) Release_Track'!$F:$F&amp;'5) Release_Track'!$G:$G,1,0)),"NO ISRC-CATALOG ID pair MATCH in Release_Track" )</f>
        <v/>
      </c>
      <c r="E193" s="142" t="b">
        <v>0</v>
      </c>
      <c r="F193" s="142" t="b">
        <v>0</v>
      </c>
      <c r="G193" s="142" t="b">
        <v>0</v>
      </c>
      <c r="H193" s="142" t="b">
        <v>0</v>
      </c>
      <c r="I193" s="142" t="b">
        <v>0</v>
      </c>
      <c r="J193" s="142" t="b">
        <v>0</v>
      </c>
      <c r="K193" s="142" t="b">
        <v>0</v>
      </c>
      <c r="L193" s="8" t="b">
        <v>0</v>
      </c>
    </row>
    <row r="194">
      <c r="B194" s="103"/>
      <c r="C194" s="121" t="str">
        <f t="array" ref="C194">ifs(and(isblank($A194),isblank($B194)),"", not(iserror(vlookup($A194&amp;$B194,'5) Release_Track'!$F:$F&amp;'5) Release_Track'!$G:$G,1,0))),vlookup($A194&amp;$B194,{'5) Release_Track'!$F:$F&amp;'5) Release_Track'!$G:$G,'5) Release_Track'!$H:$H},2,0), or(and(not(isblank($B194)),$B194=$B193,$A194&lt;&gt;$A193),and(not(isblank($A194)),$A194=$A193,$B194&lt;&gt;$B193)),"ID LISTS UNALIGNED",and($A194&lt;&gt;"",countif('5) Release_Track'!$F:$F,$A194)=0),"NO ISRC MATCH in Release_Track",and($B194&lt;&gt;"",countif('5) Release_Track'!$G:$G,$B194)=0),"NO CATALOG ID MATCH in Release_Track",iserror(vlookup($A194&amp;$B194,'5) Release_Track'!$F:$F&amp;'5) Release_Track'!$G:$G,1,0)),"NO ISRC-CATALOG ID pair MATCH in Release_Track" )</f>
        <v/>
      </c>
      <c r="D194" s="121" t="str">
        <f t="array" ref="D194">ifs(and(isblank($A194),isblank($B194)),"", not(iserror(vlookup($A194&amp;$B194,'5) Release_Track'!$F:$F&amp;'5) Release_Track'!$G:$G,1,0))),vlookup($A194&amp;$B194,{'5) Release_Track'!$F:$F&amp;'5) Release_Track'!$G:$G,'5) Release_Track'!$I:$I},2,0), or(and(not(isblank($B194)),$B194=$B193,$A194&lt;&gt;$A193),and(not(isblank($A194)),$A194=$A193,$B194&lt;&gt;$B193)),"ID LISTS UNALIGNED",and($A194&lt;&gt;"",countif('5) Release_Track'!$F:$F,$A194)=0),"NO ISRC MATCH in Release_Track",and($B194&lt;&gt;"",countif('5) Release_Track'!$G:$G,$B194)=0),"NO CATALOG ID MATCH in Release_Track",iserror(vlookup($A194&amp;$B194,'5) Release_Track'!$F:$F&amp;'5) Release_Track'!$G:$G,1,0)),"NO ISRC-CATALOG ID pair MATCH in Release_Track" )</f>
        <v/>
      </c>
      <c r="E194" s="142" t="b">
        <v>0</v>
      </c>
      <c r="F194" s="142" t="b">
        <v>0</v>
      </c>
      <c r="G194" s="142" t="b">
        <v>0</v>
      </c>
      <c r="H194" s="142" t="b">
        <v>0</v>
      </c>
      <c r="I194" s="142" t="b">
        <v>0</v>
      </c>
      <c r="J194" s="142" t="b">
        <v>0</v>
      </c>
      <c r="K194" s="142" t="b">
        <v>0</v>
      </c>
      <c r="L194" s="8" t="b">
        <v>0</v>
      </c>
    </row>
    <row r="195">
      <c r="B195" s="103"/>
      <c r="C195" s="121" t="str">
        <f t="array" ref="C195">ifs(and(isblank($A195),isblank($B195)),"", not(iserror(vlookup($A195&amp;$B195,'5) Release_Track'!$F:$F&amp;'5) Release_Track'!$G:$G,1,0))),vlookup($A195&amp;$B195,{'5) Release_Track'!$F:$F&amp;'5) Release_Track'!$G:$G,'5) Release_Track'!$H:$H},2,0), or(and(not(isblank($B195)),$B195=$B194,$A195&lt;&gt;$A194),and(not(isblank($A195)),$A195=$A194,$B195&lt;&gt;$B194)),"ID LISTS UNALIGNED",and($A195&lt;&gt;"",countif('5) Release_Track'!$F:$F,$A195)=0),"NO ISRC MATCH in Release_Track",and($B195&lt;&gt;"",countif('5) Release_Track'!$G:$G,$B195)=0),"NO CATALOG ID MATCH in Release_Track",iserror(vlookup($A195&amp;$B195,'5) Release_Track'!$F:$F&amp;'5) Release_Track'!$G:$G,1,0)),"NO ISRC-CATALOG ID pair MATCH in Release_Track" )</f>
        <v/>
      </c>
      <c r="D195" s="121" t="str">
        <f t="array" ref="D195">ifs(and(isblank($A195),isblank($B195)),"", not(iserror(vlookup($A195&amp;$B195,'5) Release_Track'!$F:$F&amp;'5) Release_Track'!$G:$G,1,0))),vlookup($A195&amp;$B195,{'5) Release_Track'!$F:$F&amp;'5) Release_Track'!$G:$G,'5) Release_Track'!$I:$I},2,0), or(and(not(isblank($B195)),$B195=$B194,$A195&lt;&gt;$A194),and(not(isblank($A195)),$A195=$A194,$B195&lt;&gt;$B194)),"ID LISTS UNALIGNED",and($A195&lt;&gt;"",countif('5) Release_Track'!$F:$F,$A195)=0),"NO ISRC MATCH in Release_Track",and($B195&lt;&gt;"",countif('5) Release_Track'!$G:$G,$B195)=0),"NO CATALOG ID MATCH in Release_Track",iserror(vlookup($A195&amp;$B195,'5) Release_Track'!$F:$F&amp;'5) Release_Track'!$G:$G,1,0)),"NO ISRC-CATALOG ID pair MATCH in Release_Track" )</f>
        <v/>
      </c>
      <c r="E195" s="142" t="b">
        <v>0</v>
      </c>
      <c r="F195" s="142" t="b">
        <v>0</v>
      </c>
      <c r="G195" s="142" t="b">
        <v>0</v>
      </c>
      <c r="H195" s="142" t="b">
        <v>0</v>
      </c>
      <c r="I195" s="142" t="b">
        <v>0</v>
      </c>
      <c r="J195" s="142" t="b">
        <v>0</v>
      </c>
      <c r="K195" s="142" t="b">
        <v>0</v>
      </c>
      <c r="L195" s="8" t="b">
        <v>0</v>
      </c>
    </row>
    <row r="196">
      <c r="B196" s="103"/>
      <c r="C196" s="121" t="str">
        <f t="array" ref="C196">ifs(and(isblank($A196),isblank($B196)),"", not(iserror(vlookup($A196&amp;$B196,'5) Release_Track'!$F:$F&amp;'5) Release_Track'!$G:$G,1,0))),vlookup($A196&amp;$B196,{'5) Release_Track'!$F:$F&amp;'5) Release_Track'!$G:$G,'5) Release_Track'!$H:$H},2,0), or(and(not(isblank($B196)),$B196=$B195,$A196&lt;&gt;$A195),and(not(isblank($A196)),$A196=$A195,$B196&lt;&gt;$B195)),"ID LISTS UNALIGNED",and($A196&lt;&gt;"",countif('5) Release_Track'!$F:$F,$A196)=0),"NO ISRC MATCH in Release_Track",and($B196&lt;&gt;"",countif('5) Release_Track'!$G:$G,$B196)=0),"NO CATALOG ID MATCH in Release_Track",iserror(vlookup($A196&amp;$B196,'5) Release_Track'!$F:$F&amp;'5) Release_Track'!$G:$G,1,0)),"NO ISRC-CATALOG ID pair MATCH in Release_Track" )</f>
        <v/>
      </c>
      <c r="D196" s="121" t="str">
        <f t="array" ref="D196">ifs(and(isblank($A196),isblank($B196)),"", not(iserror(vlookup($A196&amp;$B196,'5) Release_Track'!$F:$F&amp;'5) Release_Track'!$G:$G,1,0))),vlookup($A196&amp;$B196,{'5) Release_Track'!$F:$F&amp;'5) Release_Track'!$G:$G,'5) Release_Track'!$I:$I},2,0), or(and(not(isblank($B196)),$B196=$B195,$A196&lt;&gt;$A195),and(not(isblank($A196)),$A196=$A195,$B196&lt;&gt;$B195)),"ID LISTS UNALIGNED",and($A196&lt;&gt;"",countif('5) Release_Track'!$F:$F,$A196)=0),"NO ISRC MATCH in Release_Track",and($B196&lt;&gt;"",countif('5) Release_Track'!$G:$G,$B196)=0),"NO CATALOG ID MATCH in Release_Track",iserror(vlookup($A196&amp;$B196,'5) Release_Track'!$F:$F&amp;'5) Release_Track'!$G:$G,1,0)),"NO ISRC-CATALOG ID pair MATCH in Release_Track" )</f>
        <v/>
      </c>
      <c r="E196" s="142" t="b">
        <v>0</v>
      </c>
      <c r="F196" s="142" t="b">
        <v>0</v>
      </c>
      <c r="G196" s="142" t="b">
        <v>0</v>
      </c>
      <c r="H196" s="142" t="b">
        <v>0</v>
      </c>
      <c r="I196" s="142" t="b">
        <v>0</v>
      </c>
      <c r="J196" s="142" t="b">
        <v>0</v>
      </c>
      <c r="K196" s="142" t="b">
        <v>0</v>
      </c>
      <c r="L196" s="8" t="b">
        <v>0</v>
      </c>
    </row>
    <row r="197">
      <c r="B197" s="103"/>
      <c r="C197" s="121" t="str">
        <f t="array" ref="C197">ifs(and(isblank($A197),isblank($B197)),"", not(iserror(vlookup($A197&amp;$B197,'5) Release_Track'!$F:$F&amp;'5) Release_Track'!$G:$G,1,0))),vlookup($A197&amp;$B197,{'5) Release_Track'!$F:$F&amp;'5) Release_Track'!$G:$G,'5) Release_Track'!$H:$H},2,0), or(and(not(isblank($B197)),$B197=$B196,$A197&lt;&gt;$A196),and(not(isblank($A197)),$A197=$A196,$B197&lt;&gt;$B196)),"ID LISTS UNALIGNED",and($A197&lt;&gt;"",countif('5) Release_Track'!$F:$F,$A197)=0),"NO ISRC MATCH in Release_Track",and($B197&lt;&gt;"",countif('5) Release_Track'!$G:$G,$B197)=0),"NO CATALOG ID MATCH in Release_Track",iserror(vlookup($A197&amp;$B197,'5) Release_Track'!$F:$F&amp;'5) Release_Track'!$G:$G,1,0)),"NO ISRC-CATALOG ID pair MATCH in Release_Track" )</f>
        <v/>
      </c>
      <c r="D197" s="121" t="str">
        <f t="array" ref="D197">ifs(and(isblank($A197),isblank($B197)),"", not(iserror(vlookup($A197&amp;$B197,'5) Release_Track'!$F:$F&amp;'5) Release_Track'!$G:$G,1,0))),vlookup($A197&amp;$B197,{'5) Release_Track'!$F:$F&amp;'5) Release_Track'!$G:$G,'5) Release_Track'!$I:$I},2,0), or(and(not(isblank($B197)),$B197=$B196,$A197&lt;&gt;$A196),and(not(isblank($A197)),$A197=$A196,$B197&lt;&gt;$B196)),"ID LISTS UNALIGNED",and($A197&lt;&gt;"",countif('5) Release_Track'!$F:$F,$A197)=0),"NO ISRC MATCH in Release_Track",and($B197&lt;&gt;"",countif('5) Release_Track'!$G:$G,$B197)=0),"NO CATALOG ID MATCH in Release_Track",iserror(vlookup($A197&amp;$B197,'5) Release_Track'!$F:$F&amp;'5) Release_Track'!$G:$G,1,0)),"NO ISRC-CATALOG ID pair MATCH in Release_Track" )</f>
        <v/>
      </c>
      <c r="E197" s="142" t="b">
        <v>0</v>
      </c>
      <c r="F197" s="142" t="b">
        <v>0</v>
      </c>
      <c r="G197" s="142" t="b">
        <v>0</v>
      </c>
      <c r="H197" s="142" t="b">
        <v>0</v>
      </c>
      <c r="I197" s="142" t="b">
        <v>0</v>
      </c>
      <c r="J197" s="142" t="b">
        <v>0</v>
      </c>
      <c r="K197" s="142" t="b">
        <v>0</v>
      </c>
      <c r="L197" s="8" t="b">
        <v>0</v>
      </c>
    </row>
    <row r="198">
      <c r="B198" s="103"/>
      <c r="C198" s="121" t="str">
        <f t="array" ref="C198">ifs(and(isblank($A198),isblank($B198)),"", not(iserror(vlookup($A198&amp;$B198,'5) Release_Track'!$F:$F&amp;'5) Release_Track'!$G:$G,1,0))),vlookup($A198&amp;$B198,{'5) Release_Track'!$F:$F&amp;'5) Release_Track'!$G:$G,'5) Release_Track'!$H:$H},2,0), or(and(not(isblank($B198)),$B198=$B197,$A198&lt;&gt;$A197),and(not(isblank($A198)),$A198=$A197,$B198&lt;&gt;$B197)),"ID LISTS UNALIGNED",and($A198&lt;&gt;"",countif('5) Release_Track'!$F:$F,$A198)=0),"NO ISRC MATCH in Release_Track",and($B198&lt;&gt;"",countif('5) Release_Track'!$G:$G,$B198)=0),"NO CATALOG ID MATCH in Release_Track",iserror(vlookup($A198&amp;$B198,'5) Release_Track'!$F:$F&amp;'5) Release_Track'!$G:$G,1,0)),"NO ISRC-CATALOG ID pair MATCH in Release_Track" )</f>
        <v/>
      </c>
      <c r="D198" s="121" t="str">
        <f t="array" ref="D198">ifs(and(isblank($A198),isblank($B198)),"", not(iserror(vlookup($A198&amp;$B198,'5) Release_Track'!$F:$F&amp;'5) Release_Track'!$G:$G,1,0))),vlookup($A198&amp;$B198,{'5) Release_Track'!$F:$F&amp;'5) Release_Track'!$G:$G,'5) Release_Track'!$I:$I},2,0), or(and(not(isblank($B198)),$B198=$B197,$A198&lt;&gt;$A197),and(not(isblank($A198)),$A198=$A197,$B198&lt;&gt;$B197)),"ID LISTS UNALIGNED",and($A198&lt;&gt;"",countif('5) Release_Track'!$F:$F,$A198)=0),"NO ISRC MATCH in Release_Track",and($B198&lt;&gt;"",countif('5) Release_Track'!$G:$G,$B198)=0),"NO CATALOG ID MATCH in Release_Track",iserror(vlookup($A198&amp;$B198,'5) Release_Track'!$F:$F&amp;'5) Release_Track'!$G:$G,1,0)),"NO ISRC-CATALOG ID pair MATCH in Release_Track" )</f>
        <v/>
      </c>
      <c r="E198" s="142" t="b">
        <v>0</v>
      </c>
      <c r="F198" s="142" t="b">
        <v>0</v>
      </c>
      <c r="G198" s="142" t="b">
        <v>0</v>
      </c>
      <c r="H198" s="142" t="b">
        <v>0</v>
      </c>
      <c r="I198" s="142" t="b">
        <v>0</v>
      </c>
      <c r="J198" s="142" t="b">
        <v>0</v>
      </c>
      <c r="K198" s="142" t="b">
        <v>0</v>
      </c>
      <c r="L198" s="8" t="b">
        <v>0</v>
      </c>
    </row>
    <row r="199">
      <c r="B199" s="103"/>
      <c r="C199" s="121" t="str">
        <f t="array" ref="C199">ifs(and(isblank($A199),isblank($B199)),"", not(iserror(vlookup($A199&amp;$B199,'5) Release_Track'!$F:$F&amp;'5) Release_Track'!$G:$G,1,0))),vlookup($A199&amp;$B199,{'5) Release_Track'!$F:$F&amp;'5) Release_Track'!$G:$G,'5) Release_Track'!$H:$H},2,0), or(and(not(isblank($B199)),$B199=$B198,$A199&lt;&gt;$A198),and(not(isblank($A199)),$A199=$A198,$B199&lt;&gt;$B198)),"ID LISTS UNALIGNED",and($A199&lt;&gt;"",countif('5) Release_Track'!$F:$F,$A199)=0),"NO ISRC MATCH in Release_Track",and($B199&lt;&gt;"",countif('5) Release_Track'!$G:$G,$B199)=0),"NO CATALOG ID MATCH in Release_Track",iserror(vlookup($A199&amp;$B199,'5) Release_Track'!$F:$F&amp;'5) Release_Track'!$G:$G,1,0)),"NO ISRC-CATALOG ID pair MATCH in Release_Track" )</f>
        <v/>
      </c>
      <c r="D199" s="121" t="str">
        <f t="array" ref="D199">ifs(and(isblank($A199),isblank($B199)),"", not(iserror(vlookup($A199&amp;$B199,'5) Release_Track'!$F:$F&amp;'5) Release_Track'!$G:$G,1,0))),vlookup($A199&amp;$B199,{'5) Release_Track'!$F:$F&amp;'5) Release_Track'!$G:$G,'5) Release_Track'!$I:$I},2,0), or(and(not(isblank($B199)),$B199=$B198,$A199&lt;&gt;$A198),and(not(isblank($A199)),$A199=$A198,$B199&lt;&gt;$B198)),"ID LISTS UNALIGNED",and($A199&lt;&gt;"",countif('5) Release_Track'!$F:$F,$A199)=0),"NO ISRC MATCH in Release_Track",and($B199&lt;&gt;"",countif('5) Release_Track'!$G:$G,$B199)=0),"NO CATALOG ID MATCH in Release_Track",iserror(vlookup($A199&amp;$B199,'5) Release_Track'!$F:$F&amp;'5) Release_Track'!$G:$G,1,0)),"NO ISRC-CATALOG ID pair MATCH in Release_Track" )</f>
        <v/>
      </c>
      <c r="E199" s="142" t="b">
        <v>0</v>
      </c>
      <c r="F199" s="142" t="b">
        <v>0</v>
      </c>
      <c r="G199" s="142" t="b">
        <v>0</v>
      </c>
      <c r="H199" s="142" t="b">
        <v>0</v>
      </c>
      <c r="I199" s="142" t="b">
        <v>0</v>
      </c>
      <c r="J199" s="142" t="b">
        <v>0</v>
      </c>
      <c r="K199" s="142" t="b">
        <v>0</v>
      </c>
      <c r="L199" s="8" t="b">
        <v>0</v>
      </c>
    </row>
    <row r="200">
      <c r="B200" s="103"/>
      <c r="C200" s="121" t="str">
        <f t="array" ref="C200">ifs(and(isblank($A200),isblank($B200)),"", not(iserror(vlookup($A200&amp;$B200,'5) Release_Track'!$F:$F&amp;'5) Release_Track'!$G:$G,1,0))),vlookup($A200&amp;$B200,{'5) Release_Track'!$F:$F&amp;'5) Release_Track'!$G:$G,'5) Release_Track'!$H:$H},2,0), or(and(not(isblank($B200)),$B200=$B199,$A200&lt;&gt;$A199),and(not(isblank($A200)),$A200=$A199,$B200&lt;&gt;$B199)),"ID LISTS UNALIGNED",and($A200&lt;&gt;"",countif('5) Release_Track'!$F:$F,$A200)=0),"NO ISRC MATCH in Release_Track",and($B200&lt;&gt;"",countif('5) Release_Track'!$G:$G,$B200)=0),"NO CATALOG ID MATCH in Release_Track",iserror(vlookup($A200&amp;$B200,'5) Release_Track'!$F:$F&amp;'5) Release_Track'!$G:$G,1,0)),"NO ISRC-CATALOG ID pair MATCH in Release_Track" )</f>
        <v/>
      </c>
      <c r="D200" s="121" t="str">
        <f t="array" ref="D200">ifs(and(isblank($A200),isblank($B200)),"", not(iserror(vlookup($A200&amp;$B200,'5) Release_Track'!$F:$F&amp;'5) Release_Track'!$G:$G,1,0))),vlookup($A200&amp;$B200,{'5) Release_Track'!$F:$F&amp;'5) Release_Track'!$G:$G,'5) Release_Track'!$I:$I},2,0), or(and(not(isblank($B200)),$B200=$B199,$A200&lt;&gt;$A199),and(not(isblank($A200)),$A200=$A199,$B200&lt;&gt;$B199)),"ID LISTS UNALIGNED",and($A200&lt;&gt;"",countif('5) Release_Track'!$F:$F,$A200)=0),"NO ISRC MATCH in Release_Track",and($B200&lt;&gt;"",countif('5) Release_Track'!$G:$G,$B200)=0),"NO CATALOG ID MATCH in Release_Track",iserror(vlookup($A200&amp;$B200,'5) Release_Track'!$F:$F&amp;'5) Release_Track'!$G:$G,1,0)),"NO ISRC-CATALOG ID pair MATCH in Release_Track" )</f>
        <v/>
      </c>
      <c r="E200" s="142" t="b">
        <v>0</v>
      </c>
      <c r="F200" s="142" t="b">
        <v>0</v>
      </c>
      <c r="G200" s="142" t="b">
        <v>0</v>
      </c>
      <c r="H200" s="142" t="b">
        <v>0</v>
      </c>
      <c r="I200" s="142" t="b">
        <v>0</v>
      </c>
      <c r="J200" s="142" t="b">
        <v>0</v>
      </c>
      <c r="K200" s="142" t="b">
        <v>0</v>
      </c>
      <c r="L200" s="8" t="b">
        <v>0</v>
      </c>
    </row>
    <row r="201">
      <c r="B201" s="103"/>
      <c r="C201" s="121" t="str">
        <f t="array" ref="C201">ifs(and(isblank($A201),isblank($B201)),"", not(iserror(vlookup($A201&amp;$B201,'5) Release_Track'!$F:$F&amp;'5) Release_Track'!$G:$G,1,0))),vlookup($A201&amp;$B201,{'5) Release_Track'!$F:$F&amp;'5) Release_Track'!$G:$G,'5) Release_Track'!$H:$H},2,0), or(and(not(isblank($B201)),$B201=$B200,$A201&lt;&gt;$A200),and(not(isblank($A201)),$A201=$A200,$B201&lt;&gt;$B200)),"ID LISTS UNALIGNED",and($A201&lt;&gt;"",countif('5) Release_Track'!$F:$F,$A201)=0),"NO ISRC MATCH in Release_Track",and($B201&lt;&gt;"",countif('5) Release_Track'!$G:$G,$B201)=0),"NO CATALOG ID MATCH in Release_Track",iserror(vlookup($A201&amp;$B201,'5) Release_Track'!$F:$F&amp;'5) Release_Track'!$G:$G,1,0)),"NO ISRC-CATALOG ID pair MATCH in Release_Track" )</f>
        <v/>
      </c>
      <c r="D201" s="121" t="str">
        <f t="array" ref="D201">ifs(and(isblank($A201),isblank($B201)),"", not(iserror(vlookup($A201&amp;$B201,'5) Release_Track'!$F:$F&amp;'5) Release_Track'!$G:$G,1,0))),vlookup($A201&amp;$B201,{'5) Release_Track'!$F:$F&amp;'5) Release_Track'!$G:$G,'5) Release_Track'!$I:$I},2,0), or(and(not(isblank($B201)),$B201=$B200,$A201&lt;&gt;$A200),and(not(isblank($A201)),$A201=$A200,$B201&lt;&gt;$B200)),"ID LISTS UNALIGNED",and($A201&lt;&gt;"",countif('5) Release_Track'!$F:$F,$A201)=0),"NO ISRC MATCH in Release_Track",and($B201&lt;&gt;"",countif('5) Release_Track'!$G:$G,$B201)=0),"NO CATALOG ID MATCH in Release_Track",iserror(vlookup($A201&amp;$B201,'5) Release_Track'!$F:$F&amp;'5) Release_Track'!$G:$G,1,0)),"NO ISRC-CATALOG ID pair MATCH in Release_Track" )</f>
        <v/>
      </c>
      <c r="E201" s="142" t="b">
        <v>0</v>
      </c>
      <c r="F201" s="142" t="b">
        <v>0</v>
      </c>
      <c r="G201" s="142" t="b">
        <v>0</v>
      </c>
      <c r="H201" s="142" t="b">
        <v>0</v>
      </c>
      <c r="I201" s="142" t="b">
        <v>0</v>
      </c>
      <c r="J201" s="142" t="b">
        <v>0</v>
      </c>
      <c r="K201" s="142" t="b">
        <v>0</v>
      </c>
      <c r="L201" s="8" t="b">
        <v>0</v>
      </c>
    </row>
    <row r="202">
      <c r="B202" s="103"/>
      <c r="C202" s="121" t="str">
        <f t="array" ref="C202">ifs(and(isblank($A202),isblank($B202)),"", not(iserror(vlookup($A202&amp;$B202,'5) Release_Track'!$F:$F&amp;'5) Release_Track'!$G:$G,1,0))),vlookup($A202&amp;$B202,{'5) Release_Track'!$F:$F&amp;'5) Release_Track'!$G:$G,'5) Release_Track'!$H:$H},2,0), or(and(not(isblank($B202)),$B202=$B201,$A202&lt;&gt;$A201),and(not(isblank($A202)),$A202=$A201,$B202&lt;&gt;$B201)),"ID LISTS UNALIGNED",and($A202&lt;&gt;"",countif('5) Release_Track'!$F:$F,$A202)=0),"NO ISRC MATCH in Release_Track",and($B202&lt;&gt;"",countif('5) Release_Track'!$G:$G,$B202)=0),"NO CATALOG ID MATCH in Release_Track",iserror(vlookup($A202&amp;$B202,'5) Release_Track'!$F:$F&amp;'5) Release_Track'!$G:$G,1,0)),"NO ISRC-CATALOG ID pair MATCH in Release_Track" )</f>
        <v/>
      </c>
      <c r="D202" s="121" t="str">
        <f t="array" ref="D202">ifs(and(isblank($A202),isblank($B202)),"", not(iserror(vlookup($A202&amp;$B202,'5) Release_Track'!$F:$F&amp;'5) Release_Track'!$G:$G,1,0))),vlookup($A202&amp;$B202,{'5) Release_Track'!$F:$F&amp;'5) Release_Track'!$G:$G,'5) Release_Track'!$I:$I},2,0), or(and(not(isblank($B202)),$B202=$B201,$A202&lt;&gt;$A201),and(not(isblank($A202)),$A202=$A201,$B202&lt;&gt;$B201)),"ID LISTS UNALIGNED",and($A202&lt;&gt;"",countif('5) Release_Track'!$F:$F,$A202)=0),"NO ISRC MATCH in Release_Track",and($B202&lt;&gt;"",countif('5) Release_Track'!$G:$G,$B202)=0),"NO CATALOG ID MATCH in Release_Track",iserror(vlookup($A202&amp;$B202,'5) Release_Track'!$F:$F&amp;'5) Release_Track'!$G:$G,1,0)),"NO ISRC-CATALOG ID pair MATCH in Release_Track" )</f>
        <v/>
      </c>
      <c r="E202" s="142" t="b">
        <v>0</v>
      </c>
      <c r="F202" s="142" t="b">
        <v>0</v>
      </c>
      <c r="G202" s="142" t="b">
        <v>0</v>
      </c>
      <c r="H202" s="142" t="b">
        <v>0</v>
      </c>
      <c r="I202" s="142" t="b">
        <v>0</v>
      </c>
      <c r="J202" s="142" t="b">
        <v>0</v>
      </c>
      <c r="K202" s="142" t="b">
        <v>0</v>
      </c>
      <c r="L202" s="8" t="b">
        <v>0</v>
      </c>
    </row>
    <row r="203">
      <c r="B203" s="103"/>
      <c r="C203" s="121" t="str">
        <f t="array" ref="C203">ifs(and(isblank($A203),isblank($B203)),"", not(iserror(vlookup($A203&amp;$B203,'5) Release_Track'!$F:$F&amp;'5) Release_Track'!$G:$G,1,0))),vlookup($A203&amp;$B203,{'5) Release_Track'!$F:$F&amp;'5) Release_Track'!$G:$G,'5) Release_Track'!$H:$H},2,0), or(and(not(isblank($B203)),$B203=$B202,$A203&lt;&gt;$A202),and(not(isblank($A203)),$A203=$A202,$B203&lt;&gt;$B202)),"ID LISTS UNALIGNED",and($A203&lt;&gt;"",countif('5) Release_Track'!$F:$F,$A203)=0),"NO ISRC MATCH in Release_Track",and($B203&lt;&gt;"",countif('5) Release_Track'!$G:$G,$B203)=0),"NO CATALOG ID MATCH in Release_Track",iserror(vlookup($A203&amp;$B203,'5) Release_Track'!$F:$F&amp;'5) Release_Track'!$G:$G,1,0)),"NO ISRC-CATALOG ID pair MATCH in Release_Track" )</f>
        <v/>
      </c>
      <c r="D203" s="121" t="str">
        <f t="array" ref="D203">ifs(and(isblank($A203),isblank($B203)),"", not(iserror(vlookup($A203&amp;$B203,'5) Release_Track'!$F:$F&amp;'5) Release_Track'!$G:$G,1,0))),vlookup($A203&amp;$B203,{'5) Release_Track'!$F:$F&amp;'5) Release_Track'!$G:$G,'5) Release_Track'!$I:$I},2,0), or(and(not(isblank($B203)),$B203=$B202,$A203&lt;&gt;$A202),and(not(isblank($A203)),$A203=$A202,$B203&lt;&gt;$B202)),"ID LISTS UNALIGNED",and($A203&lt;&gt;"",countif('5) Release_Track'!$F:$F,$A203)=0),"NO ISRC MATCH in Release_Track",and($B203&lt;&gt;"",countif('5) Release_Track'!$G:$G,$B203)=0),"NO CATALOG ID MATCH in Release_Track",iserror(vlookup($A203&amp;$B203,'5) Release_Track'!$F:$F&amp;'5) Release_Track'!$G:$G,1,0)),"NO ISRC-CATALOG ID pair MATCH in Release_Track" )</f>
        <v/>
      </c>
      <c r="E203" s="142" t="b">
        <v>0</v>
      </c>
      <c r="F203" s="142" t="b">
        <v>0</v>
      </c>
      <c r="G203" s="142" t="b">
        <v>0</v>
      </c>
      <c r="H203" s="142" t="b">
        <v>0</v>
      </c>
      <c r="I203" s="142" t="b">
        <v>0</v>
      </c>
      <c r="J203" s="142" t="b">
        <v>0</v>
      </c>
      <c r="K203" s="142" t="b">
        <v>0</v>
      </c>
      <c r="L203" s="8" t="b">
        <v>0</v>
      </c>
    </row>
    <row r="204">
      <c r="B204" s="103"/>
      <c r="C204" s="121" t="str">
        <f t="array" ref="C204">ifs(and(isblank($A204),isblank($B204)),"", not(iserror(vlookup($A204&amp;$B204,'5) Release_Track'!$F:$F&amp;'5) Release_Track'!$G:$G,1,0))),vlookup($A204&amp;$B204,{'5) Release_Track'!$F:$F&amp;'5) Release_Track'!$G:$G,'5) Release_Track'!$H:$H},2,0), or(and(not(isblank($B204)),$B204=$B203,$A204&lt;&gt;$A203),and(not(isblank($A204)),$A204=$A203,$B204&lt;&gt;$B203)),"ID LISTS UNALIGNED",and($A204&lt;&gt;"",countif('5) Release_Track'!$F:$F,$A204)=0),"NO ISRC MATCH in Release_Track",and($B204&lt;&gt;"",countif('5) Release_Track'!$G:$G,$B204)=0),"NO CATALOG ID MATCH in Release_Track",iserror(vlookup($A204&amp;$B204,'5) Release_Track'!$F:$F&amp;'5) Release_Track'!$G:$G,1,0)),"NO ISRC-CATALOG ID pair MATCH in Release_Track" )</f>
        <v/>
      </c>
      <c r="D204" s="121" t="str">
        <f t="array" ref="D204">ifs(and(isblank($A204),isblank($B204)),"", not(iserror(vlookup($A204&amp;$B204,'5) Release_Track'!$F:$F&amp;'5) Release_Track'!$G:$G,1,0))),vlookup($A204&amp;$B204,{'5) Release_Track'!$F:$F&amp;'5) Release_Track'!$G:$G,'5) Release_Track'!$I:$I},2,0), or(and(not(isblank($B204)),$B204=$B203,$A204&lt;&gt;$A203),and(not(isblank($A204)),$A204=$A203,$B204&lt;&gt;$B203)),"ID LISTS UNALIGNED",and($A204&lt;&gt;"",countif('5) Release_Track'!$F:$F,$A204)=0),"NO ISRC MATCH in Release_Track",and($B204&lt;&gt;"",countif('5) Release_Track'!$G:$G,$B204)=0),"NO CATALOG ID MATCH in Release_Track",iserror(vlookup($A204&amp;$B204,'5) Release_Track'!$F:$F&amp;'5) Release_Track'!$G:$G,1,0)),"NO ISRC-CATALOG ID pair MATCH in Release_Track" )</f>
        <v/>
      </c>
      <c r="E204" s="142" t="b">
        <v>0</v>
      </c>
      <c r="F204" s="142" t="b">
        <v>0</v>
      </c>
      <c r="G204" s="142" t="b">
        <v>0</v>
      </c>
      <c r="H204" s="142" t="b">
        <v>0</v>
      </c>
      <c r="I204" s="142" t="b">
        <v>0</v>
      </c>
      <c r="J204" s="142" t="b">
        <v>0</v>
      </c>
      <c r="K204" s="142" t="b">
        <v>0</v>
      </c>
      <c r="L204" s="8" t="b">
        <v>0</v>
      </c>
    </row>
    <row r="205">
      <c r="B205" s="103"/>
      <c r="C205" s="121" t="str">
        <f t="array" ref="C205">ifs(and(isblank($A205),isblank($B205)),"", not(iserror(vlookup($A205&amp;$B205,'5) Release_Track'!$F:$F&amp;'5) Release_Track'!$G:$G,1,0))),vlookup($A205&amp;$B205,{'5) Release_Track'!$F:$F&amp;'5) Release_Track'!$G:$G,'5) Release_Track'!$H:$H},2,0), or(and(not(isblank($B205)),$B205=$B204,$A205&lt;&gt;$A204),and(not(isblank($A205)),$A205=$A204,$B205&lt;&gt;$B204)),"ID LISTS UNALIGNED",and($A205&lt;&gt;"",countif('5) Release_Track'!$F:$F,$A205)=0),"NO ISRC MATCH in Release_Track",and($B205&lt;&gt;"",countif('5) Release_Track'!$G:$G,$B205)=0),"NO CATALOG ID MATCH in Release_Track",iserror(vlookup($A205&amp;$B205,'5) Release_Track'!$F:$F&amp;'5) Release_Track'!$G:$G,1,0)),"NO ISRC-CATALOG ID pair MATCH in Release_Track" )</f>
        <v/>
      </c>
      <c r="D205" s="121" t="str">
        <f t="array" ref="D205">ifs(and(isblank($A205),isblank($B205)),"", not(iserror(vlookup($A205&amp;$B205,'5) Release_Track'!$F:$F&amp;'5) Release_Track'!$G:$G,1,0))),vlookup($A205&amp;$B205,{'5) Release_Track'!$F:$F&amp;'5) Release_Track'!$G:$G,'5) Release_Track'!$I:$I},2,0), or(and(not(isblank($B205)),$B205=$B204,$A205&lt;&gt;$A204),and(not(isblank($A205)),$A205=$A204,$B205&lt;&gt;$B204)),"ID LISTS UNALIGNED",and($A205&lt;&gt;"",countif('5) Release_Track'!$F:$F,$A205)=0),"NO ISRC MATCH in Release_Track",and($B205&lt;&gt;"",countif('5) Release_Track'!$G:$G,$B205)=0),"NO CATALOG ID MATCH in Release_Track",iserror(vlookup($A205&amp;$B205,'5) Release_Track'!$F:$F&amp;'5) Release_Track'!$G:$G,1,0)),"NO ISRC-CATALOG ID pair MATCH in Release_Track" )</f>
        <v/>
      </c>
      <c r="E205" s="142" t="b">
        <v>0</v>
      </c>
      <c r="F205" s="142" t="b">
        <v>0</v>
      </c>
      <c r="G205" s="142" t="b">
        <v>0</v>
      </c>
      <c r="H205" s="142" t="b">
        <v>0</v>
      </c>
      <c r="I205" s="142" t="b">
        <v>0</v>
      </c>
      <c r="J205" s="142" t="b">
        <v>0</v>
      </c>
      <c r="K205" s="142" t="b">
        <v>0</v>
      </c>
      <c r="L205" s="8" t="b">
        <v>0</v>
      </c>
    </row>
    <row r="206">
      <c r="B206" s="103"/>
      <c r="C206" s="121" t="str">
        <f t="array" ref="C206">ifs(and(isblank($A206),isblank($B206)),"", not(iserror(vlookup($A206&amp;$B206,'5) Release_Track'!$F:$F&amp;'5) Release_Track'!$G:$G,1,0))),vlookup($A206&amp;$B206,{'5) Release_Track'!$F:$F&amp;'5) Release_Track'!$G:$G,'5) Release_Track'!$H:$H},2,0), or(and(not(isblank($B206)),$B206=$B205,$A206&lt;&gt;$A205),and(not(isblank($A206)),$A206=$A205,$B206&lt;&gt;$B205)),"ID LISTS UNALIGNED",and($A206&lt;&gt;"",countif('5) Release_Track'!$F:$F,$A206)=0),"NO ISRC MATCH in Release_Track",and($B206&lt;&gt;"",countif('5) Release_Track'!$G:$G,$B206)=0),"NO CATALOG ID MATCH in Release_Track",iserror(vlookup($A206&amp;$B206,'5) Release_Track'!$F:$F&amp;'5) Release_Track'!$G:$G,1,0)),"NO ISRC-CATALOG ID pair MATCH in Release_Track" )</f>
        <v/>
      </c>
      <c r="D206" s="121" t="str">
        <f t="array" ref="D206">ifs(and(isblank($A206),isblank($B206)),"", not(iserror(vlookup($A206&amp;$B206,'5) Release_Track'!$F:$F&amp;'5) Release_Track'!$G:$G,1,0))),vlookup($A206&amp;$B206,{'5) Release_Track'!$F:$F&amp;'5) Release_Track'!$G:$G,'5) Release_Track'!$I:$I},2,0), or(and(not(isblank($B206)),$B206=$B205,$A206&lt;&gt;$A205),and(not(isblank($A206)),$A206=$A205,$B206&lt;&gt;$B205)),"ID LISTS UNALIGNED",and($A206&lt;&gt;"",countif('5) Release_Track'!$F:$F,$A206)=0),"NO ISRC MATCH in Release_Track",and($B206&lt;&gt;"",countif('5) Release_Track'!$G:$G,$B206)=0),"NO CATALOG ID MATCH in Release_Track",iserror(vlookup($A206&amp;$B206,'5) Release_Track'!$F:$F&amp;'5) Release_Track'!$G:$G,1,0)),"NO ISRC-CATALOG ID pair MATCH in Release_Track" )</f>
        <v/>
      </c>
      <c r="E206" s="142" t="b">
        <v>0</v>
      </c>
      <c r="F206" s="142" t="b">
        <v>0</v>
      </c>
      <c r="G206" s="142" t="b">
        <v>0</v>
      </c>
      <c r="H206" s="142" t="b">
        <v>0</v>
      </c>
      <c r="I206" s="142" t="b">
        <v>0</v>
      </c>
      <c r="J206" s="142" t="b">
        <v>0</v>
      </c>
      <c r="K206" s="142" t="b">
        <v>0</v>
      </c>
      <c r="L206" s="8" t="b">
        <v>0</v>
      </c>
    </row>
    <row r="207">
      <c r="B207" s="103"/>
      <c r="C207" s="121" t="str">
        <f t="array" ref="C207">ifs(and(isblank($A207),isblank($B207)),"", not(iserror(vlookup($A207&amp;$B207,'5) Release_Track'!$F:$F&amp;'5) Release_Track'!$G:$G,1,0))),vlookup($A207&amp;$B207,{'5) Release_Track'!$F:$F&amp;'5) Release_Track'!$G:$G,'5) Release_Track'!$H:$H},2,0), or(and(not(isblank($B207)),$B207=$B206,$A207&lt;&gt;$A206),and(not(isblank($A207)),$A207=$A206,$B207&lt;&gt;$B206)),"ID LISTS UNALIGNED",and($A207&lt;&gt;"",countif('5) Release_Track'!$F:$F,$A207)=0),"NO ISRC MATCH in Release_Track",and($B207&lt;&gt;"",countif('5) Release_Track'!$G:$G,$B207)=0),"NO CATALOG ID MATCH in Release_Track",iserror(vlookup($A207&amp;$B207,'5) Release_Track'!$F:$F&amp;'5) Release_Track'!$G:$G,1,0)),"NO ISRC-CATALOG ID pair MATCH in Release_Track" )</f>
        <v/>
      </c>
      <c r="D207" s="121" t="str">
        <f t="array" ref="D207">ifs(and(isblank($A207),isblank($B207)),"", not(iserror(vlookup($A207&amp;$B207,'5) Release_Track'!$F:$F&amp;'5) Release_Track'!$G:$G,1,0))),vlookup($A207&amp;$B207,{'5) Release_Track'!$F:$F&amp;'5) Release_Track'!$G:$G,'5) Release_Track'!$I:$I},2,0), or(and(not(isblank($B207)),$B207=$B206,$A207&lt;&gt;$A206),and(not(isblank($A207)),$A207=$A206,$B207&lt;&gt;$B206)),"ID LISTS UNALIGNED",and($A207&lt;&gt;"",countif('5) Release_Track'!$F:$F,$A207)=0),"NO ISRC MATCH in Release_Track",and($B207&lt;&gt;"",countif('5) Release_Track'!$G:$G,$B207)=0),"NO CATALOG ID MATCH in Release_Track",iserror(vlookup($A207&amp;$B207,'5) Release_Track'!$F:$F&amp;'5) Release_Track'!$G:$G,1,0)),"NO ISRC-CATALOG ID pair MATCH in Release_Track" )</f>
        <v/>
      </c>
      <c r="E207" s="142" t="b">
        <v>0</v>
      </c>
      <c r="F207" s="142" t="b">
        <v>0</v>
      </c>
      <c r="G207" s="142" t="b">
        <v>0</v>
      </c>
      <c r="H207" s="142" t="b">
        <v>0</v>
      </c>
      <c r="I207" s="142" t="b">
        <v>0</v>
      </c>
      <c r="J207" s="142" t="b">
        <v>0</v>
      </c>
      <c r="K207" s="142" t="b">
        <v>0</v>
      </c>
      <c r="L207" s="8" t="b">
        <v>0</v>
      </c>
    </row>
    <row r="208">
      <c r="B208" s="103"/>
      <c r="C208" s="121" t="str">
        <f t="array" ref="C208">ifs(and(isblank($A208),isblank($B208)),"", not(iserror(vlookup($A208&amp;$B208,'5) Release_Track'!$F:$F&amp;'5) Release_Track'!$G:$G,1,0))),vlookup($A208&amp;$B208,{'5) Release_Track'!$F:$F&amp;'5) Release_Track'!$G:$G,'5) Release_Track'!$H:$H},2,0), or(and(not(isblank($B208)),$B208=$B207,$A208&lt;&gt;$A207),and(not(isblank($A208)),$A208=$A207,$B208&lt;&gt;$B207)),"ID LISTS UNALIGNED",and($A208&lt;&gt;"",countif('5) Release_Track'!$F:$F,$A208)=0),"NO ISRC MATCH in Release_Track",and($B208&lt;&gt;"",countif('5) Release_Track'!$G:$G,$B208)=0),"NO CATALOG ID MATCH in Release_Track",iserror(vlookup($A208&amp;$B208,'5) Release_Track'!$F:$F&amp;'5) Release_Track'!$G:$G,1,0)),"NO ISRC-CATALOG ID pair MATCH in Release_Track" )</f>
        <v/>
      </c>
      <c r="D208" s="121" t="str">
        <f t="array" ref="D208">ifs(and(isblank($A208),isblank($B208)),"", not(iserror(vlookup($A208&amp;$B208,'5) Release_Track'!$F:$F&amp;'5) Release_Track'!$G:$G,1,0))),vlookup($A208&amp;$B208,{'5) Release_Track'!$F:$F&amp;'5) Release_Track'!$G:$G,'5) Release_Track'!$I:$I},2,0), or(and(not(isblank($B208)),$B208=$B207,$A208&lt;&gt;$A207),and(not(isblank($A208)),$A208=$A207,$B208&lt;&gt;$B207)),"ID LISTS UNALIGNED",and($A208&lt;&gt;"",countif('5) Release_Track'!$F:$F,$A208)=0),"NO ISRC MATCH in Release_Track",and($B208&lt;&gt;"",countif('5) Release_Track'!$G:$G,$B208)=0),"NO CATALOG ID MATCH in Release_Track",iserror(vlookup($A208&amp;$B208,'5) Release_Track'!$F:$F&amp;'5) Release_Track'!$G:$G,1,0)),"NO ISRC-CATALOG ID pair MATCH in Release_Track" )</f>
        <v/>
      </c>
      <c r="E208" s="142" t="b">
        <v>0</v>
      </c>
      <c r="F208" s="142" t="b">
        <v>0</v>
      </c>
      <c r="G208" s="142" t="b">
        <v>0</v>
      </c>
      <c r="H208" s="142" t="b">
        <v>0</v>
      </c>
      <c r="I208" s="142" t="b">
        <v>0</v>
      </c>
      <c r="J208" s="142" t="b">
        <v>0</v>
      </c>
      <c r="K208" s="142" t="b">
        <v>0</v>
      </c>
      <c r="L208" s="8" t="b">
        <v>0</v>
      </c>
    </row>
    <row r="209">
      <c r="B209" s="103"/>
      <c r="C209" s="121" t="str">
        <f t="array" ref="C209">ifs(and(isblank($A209),isblank($B209)),"", not(iserror(vlookup($A209&amp;$B209,'5) Release_Track'!$F:$F&amp;'5) Release_Track'!$G:$G,1,0))),vlookup($A209&amp;$B209,{'5) Release_Track'!$F:$F&amp;'5) Release_Track'!$G:$G,'5) Release_Track'!$H:$H},2,0), or(and(not(isblank($B209)),$B209=$B208,$A209&lt;&gt;$A208),and(not(isblank($A209)),$A209=$A208,$B209&lt;&gt;$B208)),"ID LISTS UNALIGNED",and($A209&lt;&gt;"",countif('5) Release_Track'!$F:$F,$A209)=0),"NO ISRC MATCH in Release_Track",and($B209&lt;&gt;"",countif('5) Release_Track'!$G:$G,$B209)=0),"NO CATALOG ID MATCH in Release_Track",iserror(vlookup($A209&amp;$B209,'5) Release_Track'!$F:$F&amp;'5) Release_Track'!$G:$G,1,0)),"NO ISRC-CATALOG ID pair MATCH in Release_Track" )</f>
        <v/>
      </c>
      <c r="D209" s="121" t="str">
        <f t="array" ref="D209">ifs(and(isblank($A209),isblank($B209)),"", not(iserror(vlookup($A209&amp;$B209,'5) Release_Track'!$F:$F&amp;'5) Release_Track'!$G:$G,1,0))),vlookup($A209&amp;$B209,{'5) Release_Track'!$F:$F&amp;'5) Release_Track'!$G:$G,'5) Release_Track'!$I:$I},2,0), or(and(not(isblank($B209)),$B209=$B208,$A209&lt;&gt;$A208),and(not(isblank($A209)),$A209=$A208,$B209&lt;&gt;$B208)),"ID LISTS UNALIGNED",and($A209&lt;&gt;"",countif('5) Release_Track'!$F:$F,$A209)=0),"NO ISRC MATCH in Release_Track",and($B209&lt;&gt;"",countif('5) Release_Track'!$G:$G,$B209)=0),"NO CATALOG ID MATCH in Release_Track",iserror(vlookup($A209&amp;$B209,'5) Release_Track'!$F:$F&amp;'5) Release_Track'!$G:$G,1,0)),"NO ISRC-CATALOG ID pair MATCH in Release_Track" )</f>
        <v/>
      </c>
      <c r="E209" s="142" t="b">
        <v>0</v>
      </c>
      <c r="F209" s="142" t="b">
        <v>0</v>
      </c>
      <c r="G209" s="142" t="b">
        <v>0</v>
      </c>
      <c r="H209" s="142" t="b">
        <v>0</v>
      </c>
      <c r="I209" s="142" t="b">
        <v>0</v>
      </c>
      <c r="J209" s="142" t="b">
        <v>0</v>
      </c>
      <c r="K209" s="142" t="b">
        <v>0</v>
      </c>
      <c r="L209" s="8" t="b">
        <v>0</v>
      </c>
    </row>
    <row r="210">
      <c r="B210" s="103"/>
      <c r="C210" s="121" t="str">
        <f t="array" ref="C210">ifs(and(isblank($A210),isblank($B210)),"", not(iserror(vlookup($A210&amp;$B210,'5) Release_Track'!$F:$F&amp;'5) Release_Track'!$G:$G,1,0))),vlookup($A210&amp;$B210,{'5) Release_Track'!$F:$F&amp;'5) Release_Track'!$G:$G,'5) Release_Track'!$H:$H},2,0), or(and(not(isblank($B210)),$B210=$B209,$A210&lt;&gt;$A209),and(not(isblank($A210)),$A210=$A209,$B210&lt;&gt;$B209)),"ID LISTS UNALIGNED",and($A210&lt;&gt;"",countif('5) Release_Track'!$F:$F,$A210)=0),"NO ISRC MATCH in Release_Track",and($B210&lt;&gt;"",countif('5) Release_Track'!$G:$G,$B210)=0),"NO CATALOG ID MATCH in Release_Track",iserror(vlookup($A210&amp;$B210,'5) Release_Track'!$F:$F&amp;'5) Release_Track'!$G:$G,1,0)),"NO ISRC-CATALOG ID pair MATCH in Release_Track" )</f>
        <v/>
      </c>
      <c r="D210" s="121" t="str">
        <f t="array" ref="D210">ifs(and(isblank($A210),isblank($B210)),"", not(iserror(vlookup($A210&amp;$B210,'5) Release_Track'!$F:$F&amp;'5) Release_Track'!$G:$G,1,0))),vlookup($A210&amp;$B210,{'5) Release_Track'!$F:$F&amp;'5) Release_Track'!$G:$G,'5) Release_Track'!$I:$I},2,0), or(and(not(isblank($B210)),$B210=$B209,$A210&lt;&gt;$A209),and(not(isblank($A210)),$A210=$A209,$B210&lt;&gt;$B209)),"ID LISTS UNALIGNED",and($A210&lt;&gt;"",countif('5) Release_Track'!$F:$F,$A210)=0),"NO ISRC MATCH in Release_Track",and($B210&lt;&gt;"",countif('5) Release_Track'!$G:$G,$B210)=0),"NO CATALOG ID MATCH in Release_Track",iserror(vlookup($A210&amp;$B210,'5) Release_Track'!$F:$F&amp;'5) Release_Track'!$G:$G,1,0)),"NO ISRC-CATALOG ID pair MATCH in Release_Track" )</f>
        <v/>
      </c>
      <c r="E210" s="142" t="b">
        <v>0</v>
      </c>
      <c r="F210" s="142" t="b">
        <v>0</v>
      </c>
      <c r="G210" s="142" t="b">
        <v>0</v>
      </c>
      <c r="H210" s="142" t="b">
        <v>0</v>
      </c>
      <c r="I210" s="142" t="b">
        <v>0</v>
      </c>
      <c r="J210" s="142" t="b">
        <v>0</v>
      </c>
      <c r="K210" s="142" t="b">
        <v>0</v>
      </c>
      <c r="L210" s="8" t="b">
        <v>0</v>
      </c>
    </row>
    <row r="211">
      <c r="B211" s="103"/>
      <c r="C211" s="121" t="str">
        <f t="array" ref="C211">ifs(and(isblank($A211),isblank($B211)),"", not(iserror(vlookup($A211&amp;$B211,'5) Release_Track'!$F:$F&amp;'5) Release_Track'!$G:$G,1,0))),vlookup($A211&amp;$B211,{'5) Release_Track'!$F:$F&amp;'5) Release_Track'!$G:$G,'5) Release_Track'!$H:$H},2,0), or(and(not(isblank($B211)),$B211=$B210,$A211&lt;&gt;$A210),and(not(isblank($A211)),$A211=$A210,$B211&lt;&gt;$B210)),"ID LISTS UNALIGNED",and($A211&lt;&gt;"",countif('5) Release_Track'!$F:$F,$A211)=0),"NO ISRC MATCH in Release_Track",and($B211&lt;&gt;"",countif('5) Release_Track'!$G:$G,$B211)=0),"NO CATALOG ID MATCH in Release_Track",iserror(vlookup($A211&amp;$B211,'5) Release_Track'!$F:$F&amp;'5) Release_Track'!$G:$G,1,0)),"NO ISRC-CATALOG ID pair MATCH in Release_Track" )</f>
        <v/>
      </c>
      <c r="D211" s="121" t="str">
        <f t="array" ref="D211">ifs(and(isblank($A211),isblank($B211)),"", not(iserror(vlookup($A211&amp;$B211,'5) Release_Track'!$F:$F&amp;'5) Release_Track'!$G:$G,1,0))),vlookup($A211&amp;$B211,{'5) Release_Track'!$F:$F&amp;'5) Release_Track'!$G:$G,'5) Release_Track'!$I:$I},2,0), or(and(not(isblank($B211)),$B211=$B210,$A211&lt;&gt;$A210),and(not(isblank($A211)),$A211=$A210,$B211&lt;&gt;$B210)),"ID LISTS UNALIGNED",and($A211&lt;&gt;"",countif('5) Release_Track'!$F:$F,$A211)=0),"NO ISRC MATCH in Release_Track",and($B211&lt;&gt;"",countif('5) Release_Track'!$G:$G,$B211)=0),"NO CATALOG ID MATCH in Release_Track",iserror(vlookup($A211&amp;$B211,'5) Release_Track'!$F:$F&amp;'5) Release_Track'!$G:$G,1,0)),"NO ISRC-CATALOG ID pair MATCH in Release_Track" )</f>
        <v/>
      </c>
      <c r="E211" s="142" t="b">
        <v>0</v>
      </c>
      <c r="F211" s="142" t="b">
        <v>0</v>
      </c>
      <c r="G211" s="142" t="b">
        <v>0</v>
      </c>
      <c r="H211" s="142" t="b">
        <v>0</v>
      </c>
      <c r="I211" s="142" t="b">
        <v>0</v>
      </c>
      <c r="J211" s="142" t="b">
        <v>0</v>
      </c>
      <c r="K211" s="142" t="b">
        <v>0</v>
      </c>
      <c r="L211" s="8" t="b">
        <v>0</v>
      </c>
    </row>
    <row r="212">
      <c r="B212" s="103"/>
      <c r="C212" s="121" t="str">
        <f t="array" ref="C212">ifs(and(isblank($A212),isblank($B212)),"", not(iserror(vlookup($A212&amp;$B212,'5) Release_Track'!$F:$F&amp;'5) Release_Track'!$G:$G,1,0))),vlookup($A212&amp;$B212,{'5) Release_Track'!$F:$F&amp;'5) Release_Track'!$G:$G,'5) Release_Track'!$H:$H},2,0), or(and(not(isblank($B212)),$B212=$B211,$A212&lt;&gt;$A211),and(not(isblank($A212)),$A212=$A211,$B212&lt;&gt;$B211)),"ID LISTS UNALIGNED",and($A212&lt;&gt;"",countif('5) Release_Track'!$F:$F,$A212)=0),"NO ISRC MATCH in Release_Track",and($B212&lt;&gt;"",countif('5) Release_Track'!$G:$G,$B212)=0),"NO CATALOG ID MATCH in Release_Track",iserror(vlookup($A212&amp;$B212,'5) Release_Track'!$F:$F&amp;'5) Release_Track'!$G:$G,1,0)),"NO ISRC-CATALOG ID pair MATCH in Release_Track" )</f>
        <v/>
      </c>
      <c r="D212" s="121" t="str">
        <f t="array" ref="D212">ifs(and(isblank($A212),isblank($B212)),"", not(iserror(vlookup($A212&amp;$B212,'5) Release_Track'!$F:$F&amp;'5) Release_Track'!$G:$G,1,0))),vlookup($A212&amp;$B212,{'5) Release_Track'!$F:$F&amp;'5) Release_Track'!$G:$G,'5) Release_Track'!$I:$I},2,0), or(and(not(isblank($B212)),$B212=$B211,$A212&lt;&gt;$A211),and(not(isblank($A212)),$A212=$A211,$B212&lt;&gt;$B211)),"ID LISTS UNALIGNED",and($A212&lt;&gt;"",countif('5) Release_Track'!$F:$F,$A212)=0),"NO ISRC MATCH in Release_Track",and($B212&lt;&gt;"",countif('5) Release_Track'!$G:$G,$B212)=0),"NO CATALOG ID MATCH in Release_Track",iserror(vlookup($A212&amp;$B212,'5) Release_Track'!$F:$F&amp;'5) Release_Track'!$G:$G,1,0)),"NO ISRC-CATALOG ID pair MATCH in Release_Track" )</f>
        <v/>
      </c>
      <c r="E212" s="142" t="b">
        <v>0</v>
      </c>
      <c r="F212" s="142" t="b">
        <v>0</v>
      </c>
      <c r="G212" s="142" t="b">
        <v>0</v>
      </c>
      <c r="H212" s="142" t="b">
        <v>0</v>
      </c>
      <c r="I212" s="142" t="b">
        <v>0</v>
      </c>
      <c r="J212" s="142" t="b">
        <v>0</v>
      </c>
      <c r="K212" s="142" t="b">
        <v>0</v>
      </c>
      <c r="L212" s="8" t="b">
        <v>0</v>
      </c>
    </row>
    <row r="213">
      <c r="B213" s="103"/>
      <c r="C213" s="121" t="str">
        <f t="array" ref="C213">ifs(and(isblank($A213),isblank($B213)),"", not(iserror(vlookup($A213&amp;$B213,'5) Release_Track'!$F:$F&amp;'5) Release_Track'!$G:$G,1,0))),vlookup($A213&amp;$B213,{'5) Release_Track'!$F:$F&amp;'5) Release_Track'!$G:$G,'5) Release_Track'!$H:$H},2,0), or(and(not(isblank($B213)),$B213=$B212,$A213&lt;&gt;$A212),and(not(isblank($A213)),$A213=$A212,$B213&lt;&gt;$B212)),"ID LISTS UNALIGNED",and($A213&lt;&gt;"",countif('5) Release_Track'!$F:$F,$A213)=0),"NO ISRC MATCH in Release_Track",and($B213&lt;&gt;"",countif('5) Release_Track'!$G:$G,$B213)=0),"NO CATALOG ID MATCH in Release_Track",iserror(vlookup($A213&amp;$B213,'5) Release_Track'!$F:$F&amp;'5) Release_Track'!$G:$G,1,0)),"NO ISRC-CATALOG ID pair MATCH in Release_Track" )</f>
        <v/>
      </c>
      <c r="D213" s="121" t="str">
        <f t="array" ref="D213">ifs(and(isblank($A213),isblank($B213)),"", not(iserror(vlookup($A213&amp;$B213,'5) Release_Track'!$F:$F&amp;'5) Release_Track'!$G:$G,1,0))),vlookup($A213&amp;$B213,{'5) Release_Track'!$F:$F&amp;'5) Release_Track'!$G:$G,'5) Release_Track'!$I:$I},2,0), or(and(not(isblank($B213)),$B213=$B212,$A213&lt;&gt;$A212),and(not(isblank($A213)),$A213=$A212,$B213&lt;&gt;$B212)),"ID LISTS UNALIGNED",and($A213&lt;&gt;"",countif('5) Release_Track'!$F:$F,$A213)=0),"NO ISRC MATCH in Release_Track",and($B213&lt;&gt;"",countif('5) Release_Track'!$G:$G,$B213)=0),"NO CATALOG ID MATCH in Release_Track",iserror(vlookup($A213&amp;$B213,'5) Release_Track'!$F:$F&amp;'5) Release_Track'!$G:$G,1,0)),"NO ISRC-CATALOG ID pair MATCH in Release_Track" )</f>
        <v/>
      </c>
      <c r="E213" s="142" t="b">
        <v>0</v>
      </c>
      <c r="F213" s="142" t="b">
        <v>0</v>
      </c>
      <c r="G213" s="142" t="b">
        <v>0</v>
      </c>
      <c r="H213" s="142" t="b">
        <v>0</v>
      </c>
      <c r="I213" s="142" t="b">
        <v>0</v>
      </c>
      <c r="J213" s="142" t="b">
        <v>0</v>
      </c>
      <c r="K213" s="142" t="b">
        <v>0</v>
      </c>
      <c r="L213" s="8" t="b">
        <v>0</v>
      </c>
    </row>
    <row r="214">
      <c r="B214" s="103"/>
      <c r="C214" s="121" t="str">
        <f t="array" ref="C214">ifs(and(isblank($A214),isblank($B214)),"", not(iserror(vlookup($A214&amp;$B214,'5) Release_Track'!$F:$F&amp;'5) Release_Track'!$G:$G,1,0))),vlookup($A214&amp;$B214,{'5) Release_Track'!$F:$F&amp;'5) Release_Track'!$G:$G,'5) Release_Track'!$H:$H},2,0), or(and(not(isblank($B214)),$B214=$B213,$A214&lt;&gt;$A213),and(not(isblank($A214)),$A214=$A213,$B214&lt;&gt;$B213)),"ID LISTS UNALIGNED",and($A214&lt;&gt;"",countif('5) Release_Track'!$F:$F,$A214)=0),"NO ISRC MATCH in Release_Track",and($B214&lt;&gt;"",countif('5) Release_Track'!$G:$G,$B214)=0),"NO CATALOG ID MATCH in Release_Track",iserror(vlookup($A214&amp;$B214,'5) Release_Track'!$F:$F&amp;'5) Release_Track'!$G:$G,1,0)),"NO ISRC-CATALOG ID pair MATCH in Release_Track" )</f>
        <v/>
      </c>
      <c r="D214" s="121" t="str">
        <f t="array" ref="D214">ifs(and(isblank($A214),isblank($B214)),"", not(iserror(vlookup($A214&amp;$B214,'5) Release_Track'!$F:$F&amp;'5) Release_Track'!$G:$G,1,0))),vlookup($A214&amp;$B214,{'5) Release_Track'!$F:$F&amp;'5) Release_Track'!$G:$G,'5) Release_Track'!$I:$I},2,0), or(and(not(isblank($B214)),$B214=$B213,$A214&lt;&gt;$A213),and(not(isblank($A214)),$A214=$A213,$B214&lt;&gt;$B213)),"ID LISTS UNALIGNED",and($A214&lt;&gt;"",countif('5) Release_Track'!$F:$F,$A214)=0),"NO ISRC MATCH in Release_Track",and($B214&lt;&gt;"",countif('5) Release_Track'!$G:$G,$B214)=0),"NO CATALOG ID MATCH in Release_Track",iserror(vlookup($A214&amp;$B214,'5) Release_Track'!$F:$F&amp;'5) Release_Track'!$G:$G,1,0)),"NO ISRC-CATALOG ID pair MATCH in Release_Track" )</f>
        <v/>
      </c>
      <c r="E214" s="142" t="b">
        <v>0</v>
      </c>
      <c r="F214" s="142" t="b">
        <v>0</v>
      </c>
      <c r="G214" s="142" t="b">
        <v>0</v>
      </c>
      <c r="H214" s="142" t="b">
        <v>0</v>
      </c>
      <c r="I214" s="142" t="b">
        <v>0</v>
      </c>
      <c r="J214" s="142" t="b">
        <v>0</v>
      </c>
      <c r="K214" s="142" t="b">
        <v>0</v>
      </c>
      <c r="L214" s="8" t="b">
        <v>0</v>
      </c>
    </row>
    <row r="215">
      <c r="B215" s="103"/>
      <c r="C215" s="121" t="str">
        <f t="array" ref="C215">ifs(and(isblank($A215),isblank($B215)),"", not(iserror(vlookup($A215&amp;$B215,'5) Release_Track'!$F:$F&amp;'5) Release_Track'!$G:$G,1,0))),vlookup($A215&amp;$B215,{'5) Release_Track'!$F:$F&amp;'5) Release_Track'!$G:$G,'5) Release_Track'!$H:$H},2,0), or(and(not(isblank($B215)),$B215=$B214,$A215&lt;&gt;$A214),and(not(isblank($A215)),$A215=$A214,$B215&lt;&gt;$B214)),"ID LISTS UNALIGNED",and($A215&lt;&gt;"",countif('5) Release_Track'!$F:$F,$A215)=0),"NO ISRC MATCH in Release_Track",and($B215&lt;&gt;"",countif('5) Release_Track'!$G:$G,$B215)=0),"NO CATALOG ID MATCH in Release_Track",iserror(vlookup($A215&amp;$B215,'5) Release_Track'!$F:$F&amp;'5) Release_Track'!$G:$G,1,0)),"NO ISRC-CATALOG ID pair MATCH in Release_Track" )</f>
        <v/>
      </c>
      <c r="D215" s="121" t="str">
        <f t="array" ref="D215">ifs(and(isblank($A215),isblank($B215)),"", not(iserror(vlookup($A215&amp;$B215,'5) Release_Track'!$F:$F&amp;'5) Release_Track'!$G:$G,1,0))),vlookup($A215&amp;$B215,{'5) Release_Track'!$F:$F&amp;'5) Release_Track'!$G:$G,'5) Release_Track'!$I:$I},2,0), or(and(not(isblank($B215)),$B215=$B214,$A215&lt;&gt;$A214),and(not(isblank($A215)),$A215=$A214,$B215&lt;&gt;$B214)),"ID LISTS UNALIGNED",and($A215&lt;&gt;"",countif('5) Release_Track'!$F:$F,$A215)=0),"NO ISRC MATCH in Release_Track",and($B215&lt;&gt;"",countif('5) Release_Track'!$G:$G,$B215)=0),"NO CATALOG ID MATCH in Release_Track",iserror(vlookup($A215&amp;$B215,'5) Release_Track'!$F:$F&amp;'5) Release_Track'!$G:$G,1,0)),"NO ISRC-CATALOG ID pair MATCH in Release_Track" )</f>
        <v/>
      </c>
      <c r="E215" s="142" t="b">
        <v>0</v>
      </c>
      <c r="F215" s="142" t="b">
        <v>0</v>
      </c>
      <c r="G215" s="142" t="b">
        <v>0</v>
      </c>
      <c r="H215" s="142" t="b">
        <v>0</v>
      </c>
      <c r="I215" s="142" t="b">
        <v>0</v>
      </c>
      <c r="J215" s="142" t="b">
        <v>0</v>
      </c>
      <c r="K215" s="142" t="b">
        <v>0</v>
      </c>
      <c r="L215" s="8" t="b">
        <v>0</v>
      </c>
    </row>
    <row r="216">
      <c r="B216" s="103"/>
      <c r="C216" s="121" t="str">
        <f t="array" ref="C216">ifs(and(isblank($A216),isblank($B216)),"", not(iserror(vlookup($A216&amp;$B216,'5) Release_Track'!$F:$F&amp;'5) Release_Track'!$G:$G,1,0))),vlookup($A216&amp;$B216,{'5) Release_Track'!$F:$F&amp;'5) Release_Track'!$G:$G,'5) Release_Track'!$H:$H},2,0), or(and(not(isblank($B216)),$B216=$B215,$A216&lt;&gt;$A215),and(not(isblank($A216)),$A216=$A215,$B216&lt;&gt;$B215)),"ID LISTS UNALIGNED",and($A216&lt;&gt;"",countif('5) Release_Track'!$F:$F,$A216)=0),"NO ISRC MATCH in Release_Track",and($B216&lt;&gt;"",countif('5) Release_Track'!$G:$G,$B216)=0),"NO CATALOG ID MATCH in Release_Track",iserror(vlookup($A216&amp;$B216,'5) Release_Track'!$F:$F&amp;'5) Release_Track'!$G:$G,1,0)),"NO ISRC-CATALOG ID pair MATCH in Release_Track" )</f>
        <v/>
      </c>
      <c r="D216" s="121" t="str">
        <f t="array" ref="D216">ifs(and(isblank($A216),isblank($B216)),"", not(iserror(vlookup($A216&amp;$B216,'5) Release_Track'!$F:$F&amp;'5) Release_Track'!$G:$G,1,0))),vlookup($A216&amp;$B216,{'5) Release_Track'!$F:$F&amp;'5) Release_Track'!$G:$G,'5) Release_Track'!$I:$I},2,0), or(and(not(isblank($B216)),$B216=$B215,$A216&lt;&gt;$A215),and(not(isblank($A216)),$A216=$A215,$B216&lt;&gt;$B215)),"ID LISTS UNALIGNED",and($A216&lt;&gt;"",countif('5) Release_Track'!$F:$F,$A216)=0),"NO ISRC MATCH in Release_Track",and($B216&lt;&gt;"",countif('5) Release_Track'!$G:$G,$B216)=0),"NO CATALOG ID MATCH in Release_Track",iserror(vlookup($A216&amp;$B216,'5) Release_Track'!$F:$F&amp;'5) Release_Track'!$G:$G,1,0)),"NO ISRC-CATALOG ID pair MATCH in Release_Track" )</f>
        <v/>
      </c>
      <c r="E216" s="142" t="b">
        <v>0</v>
      </c>
      <c r="F216" s="142" t="b">
        <v>0</v>
      </c>
      <c r="G216" s="142" t="b">
        <v>0</v>
      </c>
      <c r="H216" s="142" t="b">
        <v>0</v>
      </c>
      <c r="I216" s="142" t="b">
        <v>0</v>
      </c>
      <c r="J216" s="142" t="b">
        <v>0</v>
      </c>
      <c r="K216" s="142" t="b">
        <v>0</v>
      </c>
      <c r="L216" s="8" t="b">
        <v>0</v>
      </c>
    </row>
    <row r="217">
      <c r="B217" s="103"/>
      <c r="C217" s="121" t="str">
        <f t="array" ref="C217">ifs(and(isblank($A217),isblank($B217)),"", not(iserror(vlookup($A217&amp;$B217,'5) Release_Track'!$F:$F&amp;'5) Release_Track'!$G:$G,1,0))),vlookup($A217&amp;$B217,{'5) Release_Track'!$F:$F&amp;'5) Release_Track'!$G:$G,'5) Release_Track'!$H:$H},2,0), or(and(not(isblank($B217)),$B217=$B216,$A217&lt;&gt;$A216),and(not(isblank($A217)),$A217=$A216,$B217&lt;&gt;$B216)),"ID LISTS UNALIGNED",and($A217&lt;&gt;"",countif('5) Release_Track'!$F:$F,$A217)=0),"NO ISRC MATCH in Release_Track",and($B217&lt;&gt;"",countif('5) Release_Track'!$G:$G,$B217)=0),"NO CATALOG ID MATCH in Release_Track",iserror(vlookup($A217&amp;$B217,'5) Release_Track'!$F:$F&amp;'5) Release_Track'!$G:$G,1,0)),"NO ISRC-CATALOG ID pair MATCH in Release_Track" )</f>
        <v/>
      </c>
      <c r="D217" s="121" t="str">
        <f t="array" ref="D217">ifs(and(isblank($A217),isblank($B217)),"", not(iserror(vlookup($A217&amp;$B217,'5) Release_Track'!$F:$F&amp;'5) Release_Track'!$G:$G,1,0))),vlookup($A217&amp;$B217,{'5) Release_Track'!$F:$F&amp;'5) Release_Track'!$G:$G,'5) Release_Track'!$I:$I},2,0), or(and(not(isblank($B217)),$B217=$B216,$A217&lt;&gt;$A216),and(not(isblank($A217)),$A217=$A216,$B217&lt;&gt;$B216)),"ID LISTS UNALIGNED",and($A217&lt;&gt;"",countif('5) Release_Track'!$F:$F,$A217)=0),"NO ISRC MATCH in Release_Track",and($B217&lt;&gt;"",countif('5) Release_Track'!$G:$G,$B217)=0),"NO CATALOG ID MATCH in Release_Track",iserror(vlookup($A217&amp;$B217,'5) Release_Track'!$F:$F&amp;'5) Release_Track'!$G:$G,1,0)),"NO ISRC-CATALOG ID pair MATCH in Release_Track" )</f>
        <v/>
      </c>
      <c r="E217" s="142" t="b">
        <v>0</v>
      </c>
      <c r="F217" s="142" t="b">
        <v>0</v>
      </c>
      <c r="G217" s="142" t="b">
        <v>0</v>
      </c>
      <c r="H217" s="142" t="b">
        <v>0</v>
      </c>
      <c r="I217" s="142" t="b">
        <v>0</v>
      </c>
      <c r="J217" s="142" t="b">
        <v>0</v>
      </c>
      <c r="K217" s="142" t="b">
        <v>0</v>
      </c>
      <c r="L217" s="8" t="b">
        <v>0</v>
      </c>
    </row>
    <row r="218">
      <c r="B218" s="103"/>
      <c r="C218" s="121" t="str">
        <f t="array" ref="C218">ifs(and(isblank($A218),isblank($B218)),"", not(iserror(vlookup($A218&amp;$B218,'5) Release_Track'!$F:$F&amp;'5) Release_Track'!$G:$G,1,0))),vlookup($A218&amp;$B218,{'5) Release_Track'!$F:$F&amp;'5) Release_Track'!$G:$G,'5) Release_Track'!$H:$H},2,0), or(and(not(isblank($B218)),$B218=$B217,$A218&lt;&gt;$A217),and(not(isblank($A218)),$A218=$A217,$B218&lt;&gt;$B217)),"ID LISTS UNALIGNED",and($A218&lt;&gt;"",countif('5) Release_Track'!$F:$F,$A218)=0),"NO ISRC MATCH in Release_Track",and($B218&lt;&gt;"",countif('5) Release_Track'!$G:$G,$B218)=0),"NO CATALOG ID MATCH in Release_Track",iserror(vlookup($A218&amp;$B218,'5) Release_Track'!$F:$F&amp;'5) Release_Track'!$G:$G,1,0)),"NO ISRC-CATALOG ID pair MATCH in Release_Track" )</f>
        <v/>
      </c>
      <c r="D218" s="121" t="str">
        <f t="array" ref="D218">ifs(and(isblank($A218),isblank($B218)),"", not(iserror(vlookup($A218&amp;$B218,'5) Release_Track'!$F:$F&amp;'5) Release_Track'!$G:$G,1,0))),vlookup($A218&amp;$B218,{'5) Release_Track'!$F:$F&amp;'5) Release_Track'!$G:$G,'5) Release_Track'!$I:$I},2,0), or(and(not(isblank($B218)),$B218=$B217,$A218&lt;&gt;$A217),and(not(isblank($A218)),$A218=$A217,$B218&lt;&gt;$B217)),"ID LISTS UNALIGNED",and($A218&lt;&gt;"",countif('5) Release_Track'!$F:$F,$A218)=0),"NO ISRC MATCH in Release_Track",and($B218&lt;&gt;"",countif('5) Release_Track'!$G:$G,$B218)=0),"NO CATALOG ID MATCH in Release_Track",iserror(vlookup($A218&amp;$B218,'5) Release_Track'!$F:$F&amp;'5) Release_Track'!$G:$G,1,0)),"NO ISRC-CATALOG ID pair MATCH in Release_Track" )</f>
        <v/>
      </c>
      <c r="E218" s="142" t="b">
        <v>0</v>
      </c>
      <c r="F218" s="142" t="b">
        <v>0</v>
      </c>
      <c r="G218" s="142" t="b">
        <v>0</v>
      </c>
      <c r="H218" s="142" t="b">
        <v>0</v>
      </c>
      <c r="I218" s="142" t="b">
        <v>0</v>
      </c>
      <c r="J218" s="142" t="b">
        <v>0</v>
      </c>
      <c r="K218" s="142" t="b">
        <v>0</v>
      </c>
      <c r="L218" s="8" t="b">
        <v>0</v>
      </c>
    </row>
    <row r="219">
      <c r="B219" s="103"/>
      <c r="C219" s="121" t="str">
        <f t="array" ref="C219">ifs(and(isblank($A219),isblank($B219)),"", not(iserror(vlookup($A219&amp;$B219,'5) Release_Track'!$F:$F&amp;'5) Release_Track'!$G:$G,1,0))),vlookup($A219&amp;$B219,{'5) Release_Track'!$F:$F&amp;'5) Release_Track'!$G:$G,'5) Release_Track'!$H:$H},2,0), or(and(not(isblank($B219)),$B219=$B218,$A219&lt;&gt;$A218),and(not(isblank($A219)),$A219=$A218,$B219&lt;&gt;$B218)),"ID LISTS UNALIGNED",and($A219&lt;&gt;"",countif('5) Release_Track'!$F:$F,$A219)=0),"NO ISRC MATCH in Release_Track",and($B219&lt;&gt;"",countif('5) Release_Track'!$G:$G,$B219)=0),"NO CATALOG ID MATCH in Release_Track",iserror(vlookup($A219&amp;$B219,'5) Release_Track'!$F:$F&amp;'5) Release_Track'!$G:$G,1,0)),"NO ISRC-CATALOG ID pair MATCH in Release_Track" )</f>
        <v/>
      </c>
      <c r="D219" s="121" t="str">
        <f t="array" ref="D219">ifs(and(isblank($A219),isblank($B219)),"", not(iserror(vlookup($A219&amp;$B219,'5) Release_Track'!$F:$F&amp;'5) Release_Track'!$G:$G,1,0))),vlookup($A219&amp;$B219,{'5) Release_Track'!$F:$F&amp;'5) Release_Track'!$G:$G,'5) Release_Track'!$I:$I},2,0), or(and(not(isblank($B219)),$B219=$B218,$A219&lt;&gt;$A218),and(not(isblank($A219)),$A219=$A218,$B219&lt;&gt;$B218)),"ID LISTS UNALIGNED",and($A219&lt;&gt;"",countif('5) Release_Track'!$F:$F,$A219)=0),"NO ISRC MATCH in Release_Track",and($B219&lt;&gt;"",countif('5) Release_Track'!$G:$G,$B219)=0),"NO CATALOG ID MATCH in Release_Track",iserror(vlookup($A219&amp;$B219,'5) Release_Track'!$F:$F&amp;'5) Release_Track'!$G:$G,1,0)),"NO ISRC-CATALOG ID pair MATCH in Release_Track" )</f>
        <v/>
      </c>
      <c r="E219" s="142" t="b">
        <v>0</v>
      </c>
      <c r="F219" s="142" t="b">
        <v>0</v>
      </c>
      <c r="G219" s="142" t="b">
        <v>0</v>
      </c>
      <c r="H219" s="142" t="b">
        <v>0</v>
      </c>
      <c r="I219" s="142" t="b">
        <v>0</v>
      </c>
      <c r="J219" s="142" t="b">
        <v>0</v>
      </c>
      <c r="K219" s="142" t="b">
        <v>0</v>
      </c>
      <c r="L219" s="8" t="b">
        <v>0</v>
      </c>
    </row>
    <row r="220">
      <c r="B220" s="103"/>
      <c r="C220" s="121" t="str">
        <f t="array" ref="C220">ifs(and(isblank($A220),isblank($B220)),"", not(iserror(vlookup($A220&amp;$B220,'5) Release_Track'!$F:$F&amp;'5) Release_Track'!$G:$G,1,0))),vlookup($A220&amp;$B220,{'5) Release_Track'!$F:$F&amp;'5) Release_Track'!$G:$G,'5) Release_Track'!$H:$H},2,0), or(and(not(isblank($B220)),$B220=$B219,$A220&lt;&gt;$A219),and(not(isblank($A220)),$A220=$A219,$B220&lt;&gt;$B219)),"ID LISTS UNALIGNED",and($A220&lt;&gt;"",countif('5) Release_Track'!$F:$F,$A220)=0),"NO ISRC MATCH in Release_Track",and($B220&lt;&gt;"",countif('5) Release_Track'!$G:$G,$B220)=0),"NO CATALOG ID MATCH in Release_Track",iserror(vlookup($A220&amp;$B220,'5) Release_Track'!$F:$F&amp;'5) Release_Track'!$G:$G,1,0)),"NO ISRC-CATALOG ID pair MATCH in Release_Track" )</f>
        <v/>
      </c>
      <c r="D220" s="121" t="str">
        <f t="array" ref="D220">ifs(and(isblank($A220),isblank($B220)),"", not(iserror(vlookup($A220&amp;$B220,'5) Release_Track'!$F:$F&amp;'5) Release_Track'!$G:$G,1,0))),vlookup($A220&amp;$B220,{'5) Release_Track'!$F:$F&amp;'5) Release_Track'!$G:$G,'5) Release_Track'!$I:$I},2,0), or(and(not(isblank($B220)),$B220=$B219,$A220&lt;&gt;$A219),and(not(isblank($A220)),$A220=$A219,$B220&lt;&gt;$B219)),"ID LISTS UNALIGNED",and($A220&lt;&gt;"",countif('5) Release_Track'!$F:$F,$A220)=0),"NO ISRC MATCH in Release_Track",and($B220&lt;&gt;"",countif('5) Release_Track'!$G:$G,$B220)=0),"NO CATALOG ID MATCH in Release_Track",iserror(vlookup($A220&amp;$B220,'5) Release_Track'!$F:$F&amp;'5) Release_Track'!$G:$G,1,0)),"NO ISRC-CATALOG ID pair MATCH in Release_Track" )</f>
        <v/>
      </c>
      <c r="E220" s="142" t="b">
        <v>0</v>
      </c>
      <c r="F220" s="142" t="b">
        <v>0</v>
      </c>
      <c r="G220" s="142" t="b">
        <v>0</v>
      </c>
      <c r="H220" s="142" t="b">
        <v>0</v>
      </c>
      <c r="I220" s="142" t="b">
        <v>0</v>
      </c>
      <c r="J220" s="142" t="b">
        <v>0</v>
      </c>
      <c r="K220" s="142" t="b">
        <v>0</v>
      </c>
      <c r="L220" s="8" t="b">
        <v>0</v>
      </c>
    </row>
    <row r="221">
      <c r="B221" s="103"/>
      <c r="C221" s="121" t="str">
        <f t="array" ref="C221">ifs(and(isblank($A221),isblank($B221)),"", not(iserror(vlookup($A221&amp;$B221,'5) Release_Track'!$F:$F&amp;'5) Release_Track'!$G:$G,1,0))),vlookup($A221&amp;$B221,{'5) Release_Track'!$F:$F&amp;'5) Release_Track'!$G:$G,'5) Release_Track'!$H:$H},2,0), or(and(not(isblank($B221)),$B221=$B220,$A221&lt;&gt;$A220),and(not(isblank($A221)),$A221=$A220,$B221&lt;&gt;$B220)),"ID LISTS UNALIGNED",and($A221&lt;&gt;"",countif('5) Release_Track'!$F:$F,$A221)=0),"NO ISRC MATCH in Release_Track",and($B221&lt;&gt;"",countif('5) Release_Track'!$G:$G,$B221)=0),"NO CATALOG ID MATCH in Release_Track",iserror(vlookup($A221&amp;$B221,'5) Release_Track'!$F:$F&amp;'5) Release_Track'!$G:$G,1,0)),"NO ISRC-CATALOG ID pair MATCH in Release_Track" )</f>
        <v/>
      </c>
      <c r="D221" s="121" t="str">
        <f t="array" ref="D221">ifs(and(isblank($A221),isblank($B221)),"", not(iserror(vlookup($A221&amp;$B221,'5) Release_Track'!$F:$F&amp;'5) Release_Track'!$G:$G,1,0))),vlookup($A221&amp;$B221,{'5) Release_Track'!$F:$F&amp;'5) Release_Track'!$G:$G,'5) Release_Track'!$I:$I},2,0), or(and(not(isblank($B221)),$B221=$B220,$A221&lt;&gt;$A220),and(not(isblank($A221)),$A221=$A220,$B221&lt;&gt;$B220)),"ID LISTS UNALIGNED",and($A221&lt;&gt;"",countif('5) Release_Track'!$F:$F,$A221)=0),"NO ISRC MATCH in Release_Track",and($B221&lt;&gt;"",countif('5) Release_Track'!$G:$G,$B221)=0),"NO CATALOG ID MATCH in Release_Track",iserror(vlookup($A221&amp;$B221,'5) Release_Track'!$F:$F&amp;'5) Release_Track'!$G:$G,1,0)),"NO ISRC-CATALOG ID pair MATCH in Release_Track" )</f>
        <v/>
      </c>
      <c r="E221" s="142" t="b">
        <v>0</v>
      </c>
      <c r="F221" s="142" t="b">
        <v>0</v>
      </c>
      <c r="G221" s="142" t="b">
        <v>0</v>
      </c>
      <c r="H221" s="142" t="b">
        <v>0</v>
      </c>
      <c r="I221" s="142" t="b">
        <v>0</v>
      </c>
      <c r="J221" s="142" t="b">
        <v>0</v>
      </c>
      <c r="K221" s="142" t="b">
        <v>0</v>
      </c>
      <c r="L221" s="8" t="b">
        <v>0</v>
      </c>
    </row>
    <row r="222">
      <c r="B222" s="103"/>
      <c r="C222" s="121" t="str">
        <f t="array" ref="C222">ifs(and(isblank($A222),isblank($B222)),"", not(iserror(vlookup($A222&amp;$B222,'5) Release_Track'!$F:$F&amp;'5) Release_Track'!$G:$G,1,0))),vlookup($A222&amp;$B222,{'5) Release_Track'!$F:$F&amp;'5) Release_Track'!$G:$G,'5) Release_Track'!$H:$H},2,0), or(and(not(isblank($B222)),$B222=$B221,$A222&lt;&gt;$A221),and(not(isblank($A222)),$A222=$A221,$B222&lt;&gt;$B221)),"ID LISTS UNALIGNED",and($A222&lt;&gt;"",countif('5) Release_Track'!$F:$F,$A222)=0),"NO ISRC MATCH in Release_Track",and($B222&lt;&gt;"",countif('5) Release_Track'!$G:$G,$B222)=0),"NO CATALOG ID MATCH in Release_Track",iserror(vlookup($A222&amp;$B222,'5) Release_Track'!$F:$F&amp;'5) Release_Track'!$G:$G,1,0)),"NO ISRC-CATALOG ID pair MATCH in Release_Track" )</f>
        <v/>
      </c>
      <c r="D222" s="121" t="str">
        <f t="array" ref="D222">ifs(and(isblank($A222),isblank($B222)),"", not(iserror(vlookup($A222&amp;$B222,'5) Release_Track'!$F:$F&amp;'5) Release_Track'!$G:$G,1,0))),vlookup($A222&amp;$B222,{'5) Release_Track'!$F:$F&amp;'5) Release_Track'!$G:$G,'5) Release_Track'!$I:$I},2,0), or(and(not(isblank($B222)),$B222=$B221,$A222&lt;&gt;$A221),and(not(isblank($A222)),$A222=$A221,$B222&lt;&gt;$B221)),"ID LISTS UNALIGNED",and($A222&lt;&gt;"",countif('5) Release_Track'!$F:$F,$A222)=0),"NO ISRC MATCH in Release_Track",and($B222&lt;&gt;"",countif('5) Release_Track'!$G:$G,$B222)=0),"NO CATALOG ID MATCH in Release_Track",iserror(vlookup($A222&amp;$B222,'5) Release_Track'!$F:$F&amp;'5) Release_Track'!$G:$G,1,0)),"NO ISRC-CATALOG ID pair MATCH in Release_Track" )</f>
        <v/>
      </c>
      <c r="E222" s="142" t="b">
        <v>0</v>
      </c>
      <c r="F222" s="142" t="b">
        <v>0</v>
      </c>
      <c r="G222" s="142" t="b">
        <v>0</v>
      </c>
      <c r="H222" s="142" t="b">
        <v>0</v>
      </c>
      <c r="I222" s="142" t="b">
        <v>0</v>
      </c>
      <c r="J222" s="142" t="b">
        <v>0</v>
      </c>
      <c r="K222" s="142" t="b">
        <v>0</v>
      </c>
      <c r="L222" s="8" t="b">
        <v>0</v>
      </c>
    </row>
    <row r="223">
      <c r="B223" s="103"/>
      <c r="C223" s="121" t="str">
        <f t="array" ref="C223">ifs(and(isblank($A223),isblank($B223)),"", not(iserror(vlookup($A223&amp;$B223,'5) Release_Track'!$F:$F&amp;'5) Release_Track'!$G:$G,1,0))),vlookup($A223&amp;$B223,{'5) Release_Track'!$F:$F&amp;'5) Release_Track'!$G:$G,'5) Release_Track'!$H:$H},2,0), or(and(not(isblank($B223)),$B223=$B222,$A223&lt;&gt;$A222),and(not(isblank($A223)),$A223=$A222,$B223&lt;&gt;$B222)),"ID LISTS UNALIGNED",and($A223&lt;&gt;"",countif('5) Release_Track'!$F:$F,$A223)=0),"NO ISRC MATCH in Release_Track",and($B223&lt;&gt;"",countif('5) Release_Track'!$G:$G,$B223)=0),"NO CATALOG ID MATCH in Release_Track",iserror(vlookup($A223&amp;$B223,'5) Release_Track'!$F:$F&amp;'5) Release_Track'!$G:$G,1,0)),"NO ISRC-CATALOG ID pair MATCH in Release_Track" )</f>
        <v/>
      </c>
      <c r="D223" s="121" t="str">
        <f t="array" ref="D223">ifs(and(isblank($A223),isblank($B223)),"", not(iserror(vlookup($A223&amp;$B223,'5) Release_Track'!$F:$F&amp;'5) Release_Track'!$G:$G,1,0))),vlookup($A223&amp;$B223,{'5) Release_Track'!$F:$F&amp;'5) Release_Track'!$G:$G,'5) Release_Track'!$I:$I},2,0), or(and(not(isblank($B223)),$B223=$B222,$A223&lt;&gt;$A222),and(not(isblank($A223)),$A223=$A222,$B223&lt;&gt;$B222)),"ID LISTS UNALIGNED",and($A223&lt;&gt;"",countif('5) Release_Track'!$F:$F,$A223)=0),"NO ISRC MATCH in Release_Track",and($B223&lt;&gt;"",countif('5) Release_Track'!$G:$G,$B223)=0),"NO CATALOG ID MATCH in Release_Track",iserror(vlookup($A223&amp;$B223,'5) Release_Track'!$F:$F&amp;'5) Release_Track'!$G:$G,1,0)),"NO ISRC-CATALOG ID pair MATCH in Release_Track" )</f>
        <v/>
      </c>
      <c r="E223" s="142" t="b">
        <v>0</v>
      </c>
      <c r="F223" s="142" t="b">
        <v>0</v>
      </c>
      <c r="G223" s="142" t="b">
        <v>0</v>
      </c>
      <c r="H223" s="142" t="b">
        <v>0</v>
      </c>
      <c r="I223" s="142" t="b">
        <v>0</v>
      </c>
      <c r="J223" s="142" t="b">
        <v>0</v>
      </c>
      <c r="K223" s="142" t="b">
        <v>0</v>
      </c>
      <c r="L223" s="8" t="b">
        <v>0</v>
      </c>
    </row>
    <row r="224">
      <c r="B224" s="103"/>
      <c r="C224" s="121" t="str">
        <f t="array" ref="C224">ifs(and(isblank($A224),isblank($B224)),"", not(iserror(vlookup($A224&amp;$B224,'5) Release_Track'!$F:$F&amp;'5) Release_Track'!$G:$G,1,0))),vlookup($A224&amp;$B224,{'5) Release_Track'!$F:$F&amp;'5) Release_Track'!$G:$G,'5) Release_Track'!$H:$H},2,0), or(and(not(isblank($B224)),$B224=$B223,$A224&lt;&gt;$A223),and(not(isblank($A224)),$A224=$A223,$B224&lt;&gt;$B223)),"ID LISTS UNALIGNED",and($A224&lt;&gt;"",countif('5) Release_Track'!$F:$F,$A224)=0),"NO ISRC MATCH in Release_Track",and($B224&lt;&gt;"",countif('5) Release_Track'!$G:$G,$B224)=0),"NO CATALOG ID MATCH in Release_Track",iserror(vlookup($A224&amp;$B224,'5) Release_Track'!$F:$F&amp;'5) Release_Track'!$G:$G,1,0)),"NO ISRC-CATALOG ID pair MATCH in Release_Track" )</f>
        <v/>
      </c>
      <c r="D224" s="121" t="str">
        <f t="array" ref="D224">ifs(and(isblank($A224),isblank($B224)),"", not(iserror(vlookup($A224&amp;$B224,'5) Release_Track'!$F:$F&amp;'5) Release_Track'!$G:$G,1,0))),vlookup($A224&amp;$B224,{'5) Release_Track'!$F:$F&amp;'5) Release_Track'!$G:$G,'5) Release_Track'!$I:$I},2,0), or(and(not(isblank($B224)),$B224=$B223,$A224&lt;&gt;$A223),and(not(isblank($A224)),$A224=$A223,$B224&lt;&gt;$B223)),"ID LISTS UNALIGNED",and($A224&lt;&gt;"",countif('5) Release_Track'!$F:$F,$A224)=0),"NO ISRC MATCH in Release_Track",and($B224&lt;&gt;"",countif('5) Release_Track'!$G:$G,$B224)=0),"NO CATALOG ID MATCH in Release_Track",iserror(vlookup($A224&amp;$B224,'5) Release_Track'!$F:$F&amp;'5) Release_Track'!$G:$G,1,0)),"NO ISRC-CATALOG ID pair MATCH in Release_Track" )</f>
        <v/>
      </c>
      <c r="E224" s="142" t="b">
        <v>0</v>
      </c>
      <c r="F224" s="142" t="b">
        <v>0</v>
      </c>
      <c r="G224" s="142" t="b">
        <v>0</v>
      </c>
      <c r="H224" s="142" t="b">
        <v>0</v>
      </c>
      <c r="I224" s="142" t="b">
        <v>0</v>
      </c>
      <c r="J224" s="142" t="b">
        <v>0</v>
      </c>
      <c r="K224" s="142" t="b">
        <v>0</v>
      </c>
      <c r="L224" s="8" t="b">
        <v>0</v>
      </c>
    </row>
    <row r="225">
      <c r="B225" s="103"/>
      <c r="C225" s="121" t="str">
        <f t="array" ref="C225">ifs(and(isblank($A225),isblank($B225)),"", not(iserror(vlookup($A225&amp;$B225,'5) Release_Track'!$F:$F&amp;'5) Release_Track'!$G:$G,1,0))),vlookup($A225&amp;$B225,{'5) Release_Track'!$F:$F&amp;'5) Release_Track'!$G:$G,'5) Release_Track'!$H:$H},2,0), or(and(not(isblank($B225)),$B225=$B224,$A225&lt;&gt;$A224),and(not(isblank($A225)),$A225=$A224,$B225&lt;&gt;$B224)),"ID LISTS UNALIGNED",and($A225&lt;&gt;"",countif('5) Release_Track'!$F:$F,$A225)=0),"NO ISRC MATCH in Release_Track",and($B225&lt;&gt;"",countif('5) Release_Track'!$G:$G,$B225)=0),"NO CATALOG ID MATCH in Release_Track",iserror(vlookup($A225&amp;$B225,'5) Release_Track'!$F:$F&amp;'5) Release_Track'!$G:$G,1,0)),"NO ISRC-CATALOG ID pair MATCH in Release_Track" )</f>
        <v/>
      </c>
      <c r="D225" s="121" t="str">
        <f t="array" ref="D225">ifs(and(isblank($A225),isblank($B225)),"", not(iserror(vlookup($A225&amp;$B225,'5) Release_Track'!$F:$F&amp;'5) Release_Track'!$G:$G,1,0))),vlookup($A225&amp;$B225,{'5) Release_Track'!$F:$F&amp;'5) Release_Track'!$G:$G,'5) Release_Track'!$I:$I},2,0), or(and(not(isblank($B225)),$B225=$B224,$A225&lt;&gt;$A224),and(not(isblank($A225)),$A225=$A224,$B225&lt;&gt;$B224)),"ID LISTS UNALIGNED",and($A225&lt;&gt;"",countif('5) Release_Track'!$F:$F,$A225)=0),"NO ISRC MATCH in Release_Track",and($B225&lt;&gt;"",countif('5) Release_Track'!$G:$G,$B225)=0),"NO CATALOG ID MATCH in Release_Track",iserror(vlookup($A225&amp;$B225,'5) Release_Track'!$F:$F&amp;'5) Release_Track'!$G:$G,1,0)),"NO ISRC-CATALOG ID pair MATCH in Release_Track" )</f>
        <v/>
      </c>
      <c r="E225" s="142" t="b">
        <v>0</v>
      </c>
      <c r="F225" s="142" t="b">
        <v>0</v>
      </c>
      <c r="G225" s="142" t="b">
        <v>0</v>
      </c>
      <c r="H225" s="142" t="b">
        <v>0</v>
      </c>
      <c r="I225" s="142" t="b">
        <v>0</v>
      </c>
      <c r="J225" s="142" t="b">
        <v>0</v>
      </c>
      <c r="K225" s="142" t="b">
        <v>0</v>
      </c>
      <c r="L225" s="8" t="b">
        <v>0</v>
      </c>
    </row>
    <row r="226">
      <c r="B226" s="103"/>
      <c r="C226" s="121" t="str">
        <f t="array" ref="C226">ifs(and(isblank($A226),isblank($B226)),"", not(iserror(vlookup($A226&amp;$B226,'5) Release_Track'!$F:$F&amp;'5) Release_Track'!$G:$G,1,0))),vlookup($A226&amp;$B226,{'5) Release_Track'!$F:$F&amp;'5) Release_Track'!$G:$G,'5) Release_Track'!$H:$H},2,0), or(and(not(isblank($B226)),$B226=$B225,$A226&lt;&gt;$A225),and(not(isblank($A226)),$A226=$A225,$B226&lt;&gt;$B225)),"ID LISTS UNALIGNED",and($A226&lt;&gt;"",countif('5) Release_Track'!$F:$F,$A226)=0),"NO ISRC MATCH in Release_Track",and($B226&lt;&gt;"",countif('5) Release_Track'!$G:$G,$B226)=0),"NO CATALOG ID MATCH in Release_Track",iserror(vlookup($A226&amp;$B226,'5) Release_Track'!$F:$F&amp;'5) Release_Track'!$G:$G,1,0)),"NO ISRC-CATALOG ID pair MATCH in Release_Track" )</f>
        <v/>
      </c>
      <c r="D226" s="121" t="str">
        <f t="array" ref="D226">ifs(and(isblank($A226),isblank($B226)),"", not(iserror(vlookup($A226&amp;$B226,'5) Release_Track'!$F:$F&amp;'5) Release_Track'!$G:$G,1,0))),vlookup($A226&amp;$B226,{'5) Release_Track'!$F:$F&amp;'5) Release_Track'!$G:$G,'5) Release_Track'!$I:$I},2,0), or(and(not(isblank($B226)),$B226=$B225,$A226&lt;&gt;$A225),and(not(isblank($A226)),$A226=$A225,$B226&lt;&gt;$B225)),"ID LISTS UNALIGNED",and($A226&lt;&gt;"",countif('5) Release_Track'!$F:$F,$A226)=0),"NO ISRC MATCH in Release_Track",and($B226&lt;&gt;"",countif('5) Release_Track'!$G:$G,$B226)=0),"NO CATALOG ID MATCH in Release_Track",iserror(vlookup($A226&amp;$B226,'5) Release_Track'!$F:$F&amp;'5) Release_Track'!$G:$G,1,0)),"NO ISRC-CATALOG ID pair MATCH in Release_Track" )</f>
        <v/>
      </c>
      <c r="E226" s="142" t="b">
        <v>0</v>
      </c>
      <c r="F226" s="142" t="b">
        <v>0</v>
      </c>
      <c r="G226" s="142" t="b">
        <v>0</v>
      </c>
      <c r="H226" s="142" t="b">
        <v>0</v>
      </c>
      <c r="I226" s="142" t="b">
        <v>0</v>
      </c>
      <c r="J226" s="142" t="b">
        <v>0</v>
      </c>
      <c r="K226" s="142" t="b">
        <v>0</v>
      </c>
      <c r="L226" s="8" t="b">
        <v>0</v>
      </c>
    </row>
    <row r="227">
      <c r="B227" s="103"/>
      <c r="C227" s="121" t="str">
        <f t="array" ref="C227">ifs(and(isblank($A227),isblank($B227)),"", not(iserror(vlookup($A227&amp;$B227,'5) Release_Track'!$F:$F&amp;'5) Release_Track'!$G:$G,1,0))),vlookup($A227&amp;$B227,{'5) Release_Track'!$F:$F&amp;'5) Release_Track'!$G:$G,'5) Release_Track'!$H:$H},2,0), or(and(not(isblank($B227)),$B227=$B226,$A227&lt;&gt;$A226),and(not(isblank($A227)),$A227=$A226,$B227&lt;&gt;$B226)),"ID LISTS UNALIGNED",and($A227&lt;&gt;"",countif('5) Release_Track'!$F:$F,$A227)=0),"NO ISRC MATCH in Release_Track",and($B227&lt;&gt;"",countif('5) Release_Track'!$G:$G,$B227)=0),"NO CATALOG ID MATCH in Release_Track",iserror(vlookup($A227&amp;$B227,'5) Release_Track'!$F:$F&amp;'5) Release_Track'!$G:$G,1,0)),"NO ISRC-CATALOG ID pair MATCH in Release_Track" )</f>
        <v/>
      </c>
      <c r="D227" s="121" t="str">
        <f t="array" ref="D227">ifs(and(isblank($A227),isblank($B227)),"", not(iserror(vlookup($A227&amp;$B227,'5) Release_Track'!$F:$F&amp;'5) Release_Track'!$G:$G,1,0))),vlookup($A227&amp;$B227,{'5) Release_Track'!$F:$F&amp;'5) Release_Track'!$G:$G,'5) Release_Track'!$I:$I},2,0), or(and(not(isblank($B227)),$B227=$B226,$A227&lt;&gt;$A226),and(not(isblank($A227)),$A227=$A226,$B227&lt;&gt;$B226)),"ID LISTS UNALIGNED",and($A227&lt;&gt;"",countif('5) Release_Track'!$F:$F,$A227)=0),"NO ISRC MATCH in Release_Track",and($B227&lt;&gt;"",countif('5) Release_Track'!$G:$G,$B227)=0),"NO CATALOG ID MATCH in Release_Track",iserror(vlookup($A227&amp;$B227,'5) Release_Track'!$F:$F&amp;'5) Release_Track'!$G:$G,1,0)),"NO ISRC-CATALOG ID pair MATCH in Release_Track" )</f>
        <v/>
      </c>
      <c r="E227" s="142" t="b">
        <v>0</v>
      </c>
      <c r="F227" s="142" t="b">
        <v>0</v>
      </c>
      <c r="G227" s="142" t="b">
        <v>0</v>
      </c>
      <c r="H227" s="142" t="b">
        <v>0</v>
      </c>
      <c r="I227" s="142" t="b">
        <v>0</v>
      </c>
      <c r="J227" s="142" t="b">
        <v>0</v>
      </c>
      <c r="K227" s="142" t="b">
        <v>0</v>
      </c>
      <c r="L227" s="8" t="b">
        <v>0</v>
      </c>
    </row>
    <row r="228">
      <c r="B228" s="103"/>
      <c r="C228" s="121" t="str">
        <f t="array" ref="C228">ifs(and(isblank($A228),isblank($B228)),"", not(iserror(vlookup($A228&amp;$B228,'5) Release_Track'!$F:$F&amp;'5) Release_Track'!$G:$G,1,0))),vlookup($A228&amp;$B228,{'5) Release_Track'!$F:$F&amp;'5) Release_Track'!$G:$G,'5) Release_Track'!$H:$H},2,0), or(and(not(isblank($B228)),$B228=$B227,$A228&lt;&gt;$A227),and(not(isblank($A228)),$A228=$A227,$B228&lt;&gt;$B227)),"ID LISTS UNALIGNED",and($A228&lt;&gt;"",countif('5) Release_Track'!$F:$F,$A228)=0),"NO ISRC MATCH in Release_Track",and($B228&lt;&gt;"",countif('5) Release_Track'!$G:$G,$B228)=0),"NO CATALOG ID MATCH in Release_Track",iserror(vlookup($A228&amp;$B228,'5) Release_Track'!$F:$F&amp;'5) Release_Track'!$G:$G,1,0)),"NO ISRC-CATALOG ID pair MATCH in Release_Track" )</f>
        <v/>
      </c>
      <c r="D228" s="121" t="str">
        <f t="array" ref="D228">ifs(and(isblank($A228),isblank($B228)),"", not(iserror(vlookup($A228&amp;$B228,'5) Release_Track'!$F:$F&amp;'5) Release_Track'!$G:$G,1,0))),vlookup($A228&amp;$B228,{'5) Release_Track'!$F:$F&amp;'5) Release_Track'!$G:$G,'5) Release_Track'!$I:$I},2,0), or(and(not(isblank($B228)),$B228=$B227,$A228&lt;&gt;$A227),and(not(isblank($A228)),$A228=$A227,$B228&lt;&gt;$B227)),"ID LISTS UNALIGNED",and($A228&lt;&gt;"",countif('5) Release_Track'!$F:$F,$A228)=0),"NO ISRC MATCH in Release_Track",and($B228&lt;&gt;"",countif('5) Release_Track'!$G:$G,$B228)=0),"NO CATALOG ID MATCH in Release_Track",iserror(vlookup($A228&amp;$B228,'5) Release_Track'!$F:$F&amp;'5) Release_Track'!$G:$G,1,0)),"NO ISRC-CATALOG ID pair MATCH in Release_Track" )</f>
        <v/>
      </c>
      <c r="E228" s="142" t="b">
        <v>0</v>
      </c>
      <c r="F228" s="142" t="b">
        <v>0</v>
      </c>
      <c r="G228" s="142" t="b">
        <v>0</v>
      </c>
      <c r="H228" s="142" t="b">
        <v>0</v>
      </c>
      <c r="I228" s="142" t="b">
        <v>0</v>
      </c>
      <c r="J228" s="142" t="b">
        <v>0</v>
      </c>
      <c r="K228" s="142" t="b">
        <v>0</v>
      </c>
      <c r="L228" s="8" t="b">
        <v>0</v>
      </c>
    </row>
    <row r="229">
      <c r="B229" s="103"/>
      <c r="C229" s="121" t="str">
        <f t="array" ref="C229">ifs(and(isblank($A229),isblank($B229)),"", not(iserror(vlookup($A229&amp;$B229,'5) Release_Track'!$F:$F&amp;'5) Release_Track'!$G:$G,1,0))),vlookup($A229&amp;$B229,{'5) Release_Track'!$F:$F&amp;'5) Release_Track'!$G:$G,'5) Release_Track'!$H:$H},2,0), or(and(not(isblank($B229)),$B229=$B228,$A229&lt;&gt;$A228),and(not(isblank($A229)),$A229=$A228,$B229&lt;&gt;$B228)),"ID LISTS UNALIGNED",and($A229&lt;&gt;"",countif('5) Release_Track'!$F:$F,$A229)=0),"NO ISRC MATCH in Release_Track",and($B229&lt;&gt;"",countif('5) Release_Track'!$G:$G,$B229)=0),"NO CATALOG ID MATCH in Release_Track",iserror(vlookup($A229&amp;$B229,'5) Release_Track'!$F:$F&amp;'5) Release_Track'!$G:$G,1,0)),"NO ISRC-CATALOG ID pair MATCH in Release_Track" )</f>
        <v/>
      </c>
      <c r="D229" s="121" t="str">
        <f t="array" ref="D229">ifs(and(isblank($A229),isblank($B229)),"", not(iserror(vlookup($A229&amp;$B229,'5) Release_Track'!$F:$F&amp;'5) Release_Track'!$G:$G,1,0))),vlookup($A229&amp;$B229,{'5) Release_Track'!$F:$F&amp;'5) Release_Track'!$G:$G,'5) Release_Track'!$I:$I},2,0), or(and(not(isblank($B229)),$B229=$B228,$A229&lt;&gt;$A228),and(not(isblank($A229)),$A229=$A228,$B229&lt;&gt;$B228)),"ID LISTS UNALIGNED",and($A229&lt;&gt;"",countif('5) Release_Track'!$F:$F,$A229)=0),"NO ISRC MATCH in Release_Track",and($B229&lt;&gt;"",countif('5) Release_Track'!$G:$G,$B229)=0),"NO CATALOG ID MATCH in Release_Track",iserror(vlookup($A229&amp;$B229,'5) Release_Track'!$F:$F&amp;'5) Release_Track'!$G:$G,1,0)),"NO ISRC-CATALOG ID pair MATCH in Release_Track" )</f>
        <v/>
      </c>
      <c r="E229" s="142" t="b">
        <v>0</v>
      </c>
      <c r="F229" s="142" t="b">
        <v>0</v>
      </c>
      <c r="G229" s="142" t="b">
        <v>0</v>
      </c>
      <c r="H229" s="142" t="b">
        <v>0</v>
      </c>
      <c r="I229" s="142" t="b">
        <v>0</v>
      </c>
      <c r="J229" s="142" t="b">
        <v>0</v>
      </c>
      <c r="K229" s="142" t="b">
        <v>0</v>
      </c>
      <c r="L229" s="8" t="b">
        <v>0</v>
      </c>
    </row>
    <row r="230">
      <c r="B230" s="103"/>
      <c r="C230" s="121" t="str">
        <f t="array" ref="C230">ifs(and(isblank($A230),isblank($B230)),"", not(iserror(vlookup($A230&amp;$B230,'5) Release_Track'!$F:$F&amp;'5) Release_Track'!$G:$G,1,0))),vlookup($A230&amp;$B230,{'5) Release_Track'!$F:$F&amp;'5) Release_Track'!$G:$G,'5) Release_Track'!$H:$H},2,0), or(and(not(isblank($B230)),$B230=$B229,$A230&lt;&gt;$A229),and(not(isblank($A230)),$A230=$A229,$B230&lt;&gt;$B229)),"ID LISTS UNALIGNED",and($A230&lt;&gt;"",countif('5) Release_Track'!$F:$F,$A230)=0),"NO ISRC MATCH in Release_Track",and($B230&lt;&gt;"",countif('5) Release_Track'!$G:$G,$B230)=0),"NO CATALOG ID MATCH in Release_Track",iserror(vlookup($A230&amp;$B230,'5) Release_Track'!$F:$F&amp;'5) Release_Track'!$G:$G,1,0)),"NO ISRC-CATALOG ID pair MATCH in Release_Track" )</f>
        <v/>
      </c>
      <c r="D230" s="121" t="str">
        <f t="array" ref="D230">ifs(and(isblank($A230),isblank($B230)),"", not(iserror(vlookup($A230&amp;$B230,'5) Release_Track'!$F:$F&amp;'5) Release_Track'!$G:$G,1,0))),vlookup($A230&amp;$B230,{'5) Release_Track'!$F:$F&amp;'5) Release_Track'!$G:$G,'5) Release_Track'!$I:$I},2,0), or(and(not(isblank($B230)),$B230=$B229,$A230&lt;&gt;$A229),and(not(isblank($A230)),$A230=$A229,$B230&lt;&gt;$B229)),"ID LISTS UNALIGNED",and($A230&lt;&gt;"",countif('5) Release_Track'!$F:$F,$A230)=0),"NO ISRC MATCH in Release_Track",and($B230&lt;&gt;"",countif('5) Release_Track'!$G:$G,$B230)=0),"NO CATALOG ID MATCH in Release_Track",iserror(vlookup($A230&amp;$B230,'5) Release_Track'!$F:$F&amp;'5) Release_Track'!$G:$G,1,0)),"NO ISRC-CATALOG ID pair MATCH in Release_Track" )</f>
        <v/>
      </c>
      <c r="E230" s="142" t="b">
        <v>0</v>
      </c>
      <c r="F230" s="142" t="b">
        <v>0</v>
      </c>
      <c r="G230" s="142" t="b">
        <v>0</v>
      </c>
      <c r="H230" s="142" t="b">
        <v>0</v>
      </c>
      <c r="I230" s="142" t="b">
        <v>0</v>
      </c>
      <c r="J230" s="142" t="b">
        <v>0</v>
      </c>
      <c r="K230" s="142" t="b">
        <v>0</v>
      </c>
      <c r="L230" s="8" t="b">
        <v>0</v>
      </c>
    </row>
    <row r="231">
      <c r="B231" s="103"/>
      <c r="C231" s="121" t="str">
        <f t="array" ref="C231">ifs(and(isblank($A231),isblank($B231)),"", not(iserror(vlookup($A231&amp;$B231,'5) Release_Track'!$F:$F&amp;'5) Release_Track'!$G:$G,1,0))),vlookup($A231&amp;$B231,{'5) Release_Track'!$F:$F&amp;'5) Release_Track'!$G:$G,'5) Release_Track'!$H:$H},2,0), or(and(not(isblank($B231)),$B231=$B230,$A231&lt;&gt;$A230),and(not(isblank($A231)),$A231=$A230,$B231&lt;&gt;$B230)),"ID LISTS UNALIGNED",and($A231&lt;&gt;"",countif('5) Release_Track'!$F:$F,$A231)=0),"NO ISRC MATCH in Release_Track",and($B231&lt;&gt;"",countif('5) Release_Track'!$G:$G,$B231)=0),"NO CATALOG ID MATCH in Release_Track",iserror(vlookup($A231&amp;$B231,'5) Release_Track'!$F:$F&amp;'5) Release_Track'!$G:$G,1,0)),"NO ISRC-CATALOG ID pair MATCH in Release_Track" )</f>
        <v/>
      </c>
      <c r="D231" s="121" t="str">
        <f t="array" ref="D231">ifs(and(isblank($A231),isblank($B231)),"", not(iserror(vlookup($A231&amp;$B231,'5) Release_Track'!$F:$F&amp;'5) Release_Track'!$G:$G,1,0))),vlookup($A231&amp;$B231,{'5) Release_Track'!$F:$F&amp;'5) Release_Track'!$G:$G,'5) Release_Track'!$I:$I},2,0), or(and(not(isblank($B231)),$B231=$B230,$A231&lt;&gt;$A230),and(not(isblank($A231)),$A231=$A230,$B231&lt;&gt;$B230)),"ID LISTS UNALIGNED",and($A231&lt;&gt;"",countif('5) Release_Track'!$F:$F,$A231)=0),"NO ISRC MATCH in Release_Track",and($B231&lt;&gt;"",countif('5) Release_Track'!$G:$G,$B231)=0),"NO CATALOG ID MATCH in Release_Track",iserror(vlookup($A231&amp;$B231,'5) Release_Track'!$F:$F&amp;'5) Release_Track'!$G:$G,1,0)),"NO ISRC-CATALOG ID pair MATCH in Release_Track" )</f>
        <v/>
      </c>
      <c r="E231" s="142" t="b">
        <v>0</v>
      </c>
      <c r="F231" s="142" t="b">
        <v>0</v>
      </c>
      <c r="G231" s="142" t="b">
        <v>0</v>
      </c>
      <c r="H231" s="142" t="b">
        <v>0</v>
      </c>
      <c r="I231" s="142" t="b">
        <v>0</v>
      </c>
      <c r="J231" s="142" t="b">
        <v>0</v>
      </c>
      <c r="K231" s="142" t="b">
        <v>0</v>
      </c>
      <c r="L231" s="8" t="b">
        <v>0</v>
      </c>
    </row>
    <row r="232">
      <c r="B232" s="103"/>
      <c r="C232" s="121" t="str">
        <f t="array" ref="C232">ifs(and(isblank($A232),isblank($B232)),"", not(iserror(vlookup($A232&amp;$B232,'5) Release_Track'!$F:$F&amp;'5) Release_Track'!$G:$G,1,0))),vlookup($A232&amp;$B232,{'5) Release_Track'!$F:$F&amp;'5) Release_Track'!$G:$G,'5) Release_Track'!$H:$H},2,0), or(and(not(isblank($B232)),$B232=$B231,$A232&lt;&gt;$A231),and(not(isblank($A232)),$A232=$A231,$B232&lt;&gt;$B231)),"ID LISTS UNALIGNED",and($A232&lt;&gt;"",countif('5) Release_Track'!$F:$F,$A232)=0),"NO ISRC MATCH in Release_Track",and($B232&lt;&gt;"",countif('5) Release_Track'!$G:$G,$B232)=0),"NO CATALOG ID MATCH in Release_Track",iserror(vlookup($A232&amp;$B232,'5) Release_Track'!$F:$F&amp;'5) Release_Track'!$G:$G,1,0)),"NO ISRC-CATALOG ID pair MATCH in Release_Track" )</f>
        <v/>
      </c>
      <c r="D232" s="121" t="str">
        <f t="array" ref="D232">ifs(and(isblank($A232),isblank($B232)),"", not(iserror(vlookup($A232&amp;$B232,'5) Release_Track'!$F:$F&amp;'5) Release_Track'!$G:$G,1,0))),vlookup($A232&amp;$B232,{'5) Release_Track'!$F:$F&amp;'5) Release_Track'!$G:$G,'5) Release_Track'!$I:$I},2,0), or(and(not(isblank($B232)),$B232=$B231,$A232&lt;&gt;$A231),and(not(isblank($A232)),$A232=$A231,$B232&lt;&gt;$B231)),"ID LISTS UNALIGNED",and($A232&lt;&gt;"",countif('5) Release_Track'!$F:$F,$A232)=0),"NO ISRC MATCH in Release_Track",and($B232&lt;&gt;"",countif('5) Release_Track'!$G:$G,$B232)=0),"NO CATALOG ID MATCH in Release_Track",iserror(vlookup($A232&amp;$B232,'5) Release_Track'!$F:$F&amp;'5) Release_Track'!$G:$G,1,0)),"NO ISRC-CATALOG ID pair MATCH in Release_Track" )</f>
        <v/>
      </c>
      <c r="E232" s="142" t="b">
        <v>0</v>
      </c>
      <c r="F232" s="142" t="b">
        <v>0</v>
      </c>
      <c r="G232" s="142" t="b">
        <v>0</v>
      </c>
      <c r="H232" s="142" t="b">
        <v>0</v>
      </c>
      <c r="I232" s="142" t="b">
        <v>0</v>
      </c>
      <c r="J232" s="142" t="b">
        <v>0</v>
      </c>
      <c r="K232" s="142" t="b">
        <v>0</v>
      </c>
      <c r="L232" s="8" t="b">
        <v>0</v>
      </c>
    </row>
    <row r="233">
      <c r="B233" s="103"/>
      <c r="C233" s="121" t="str">
        <f t="array" ref="C233">ifs(and(isblank($A233),isblank($B233)),"", not(iserror(vlookup($A233&amp;$B233,'5) Release_Track'!$F:$F&amp;'5) Release_Track'!$G:$G,1,0))),vlookup($A233&amp;$B233,{'5) Release_Track'!$F:$F&amp;'5) Release_Track'!$G:$G,'5) Release_Track'!$H:$H},2,0), or(and(not(isblank($B233)),$B233=$B232,$A233&lt;&gt;$A232),and(not(isblank($A233)),$A233=$A232,$B233&lt;&gt;$B232)),"ID LISTS UNALIGNED",and($A233&lt;&gt;"",countif('5) Release_Track'!$F:$F,$A233)=0),"NO ISRC MATCH in Release_Track",and($B233&lt;&gt;"",countif('5) Release_Track'!$G:$G,$B233)=0),"NO CATALOG ID MATCH in Release_Track",iserror(vlookup($A233&amp;$B233,'5) Release_Track'!$F:$F&amp;'5) Release_Track'!$G:$G,1,0)),"NO ISRC-CATALOG ID pair MATCH in Release_Track" )</f>
        <v/>
      </c>
      <c r="D233" s="121" t="str">
        <f t="array" ref="D233">ifs(and(isblank($A233),isblank($B233)),"", not(iserror(vlookup($A233&amp;$B233,'5) Release_Track'!$F:$F&amp;'5) Release_Track'!$G:$G,1,0))),vlookup($A233&amp;$B233,{'5) Release_Track'!$F:$F&amp;'5) Release_Track'!$G:$G,'5) Release_Track'!$I:$I},2,0), or(and(not(isblank($B233)),$B233=$B232,$A233&lt;&gt;$A232),and(not(isblank($A233)),$A233=$A232,$B233&lt;&gt;$B232)),"ID LISTS UNALIGNED",and($A233&lt;&gt;"",countif('5) Release_Track'!$F:$F,$A233)=0),"NO ISRC MATCH in Release_Track",and($B233&lt;&gt;"",countif('5) Release_Track'!$G:$G,$B233)=0),"NO CATALOG ID MATCH in Release_Track",iserror(vlookup($A233&amp;$B233,'5) Release_Track'!$F:$F&amp;'5) Release_Track'!$G:$G,1,0)),"NO ISRC-CATALOG ID pair MATCH in Release_Track" )</f>
        <v/>
      </c>
      <c r="E233" s="142" t="b">
        <v>0</v>
      </c>
      <c r="F233" s="142" t="b">
        <v>0</v>
      </c>
      <c r="G233" s="142" t="b">
        <v>0</v>
      </c>
      <c r="H233" s="142" t="b">
        <v>0</v>
      </c>
      <c r="I233" s="142" t="b">
        <v>0</v>
      </c>
      <c r="J233" s="142" t="b">
        <v>0</v>
      </c>
      <c r="K233" s="142" t="b">
        <v>0</v>
      </c>
      <c r="L233" s="8" t="b">
        <v>0</v>
      </c>
    </row>
    <row r="234">
      <c r="B234" s="103"/>
      <c r="C234" s="121" t="str">
        <f t="array" ref="C234">ifs(and(isblank($A234),isblank($B234)),"", not(iserror(vlookup($A234&amp;$B234,'5) Release_Track'!$F:$F&amp;'5) Release_Track'!$G:$G,1,0))),vlookup($A234&amp;$B234,{'5) Release_Track'!$F:$F&amp;'5) Release_Track'!$G:$G,'5) Release_Track'!$H:$H},2,0), or(and(not(isblank($B234)),$B234=$B233,$A234&lt;&gt;$A233),and(not(isblank($A234)),$A234=$A233,$B234&lt;&gt;$B233)),"ID LISTS UNALIGNED",and($A234&lt;&gt;"",countif('5) Release_Track'!$F:$F,$A234)=0),"NO ISRC MATCH in Release_Track",and($B234&lt;&gt;"",countif('5) Release_Track'!$G:$G,$B234)=0),"NO CATALOG ID MATCH in Release_Track",iserror(vlookup($A234&amp;$B234,'5) Release_Track'!$F:$F&amp;'5) Release_Track'!$G:$G,1,0)),"NO ISRC-CATALOG ID pair MATCH in Release_Track" )</f>
        <v/>
      </c>
      <c r="D234" s="121" t="str">
        <f t="array" ref="D234">ifs(and(isblank($A234),isblank($B234)),"", not(iserror(vlookup($A234&amp;$B234,'5) Release_Track'!$F:$F&amp;'5) Release_Track'!$G:$G,1,0))),vlookup($A234&amp;$B234,{'5) Release_Track'!$F:$F&amp;'5) Release_Track'!$G:$G,'5) Release_Track'!$I:$I},2,0), or(and(not(isblank($B234)),$B234=$B233,$A234&lt;&gt;$A233),and(not(isblank($A234)),$A234=$A233,$B234&lt;&gt;$B233)),"ID LISTS UNALIGNED",and($A234&lt;&gt;"",countif('5) Release_Track'!$F:$F,$A234)=0),"NO ISRC MATCH in Release_Track",and($B234&lt;&gt;"",countif('5) Release_Track'!$G:$G,$B234)=0),"NO CATALOG ID MATCH in Release_Track",iserror(vlookup($A234&amp;$B234,'5) Release_Track'!$F:$F&amp;'5) Release_Track'!$G:$G,1,0)),"NO ISRC-CATALOG ID pair MATCH in Release_Track" )</f>
        <v/>
      </c>
      <c r="E234" s="142" t="b">
        <v>0</v>
      </c>
      <c r="F234" s="142" t="b">
        <v>0</v>
      </c>
      <c r="G234" s="142" t="b">
        <v>0</v>
      </c>
      <c r="H234" s="142" t="b">
        <v>0</v>
      </c>
      <c r="I234" s="142" t="b">
        <v>0</v>
      </c>
      <c r="J234" s="142" t="b">
        <v>0</v>
      </c>
      <c r="K234" s="142" t="b">
        <v>0</v>
      </c>
      <c r="L234" s="8" t="b">
        <v>0</v>
      </c>
    </row>
    <row r="235">
      <c r="B235" s="103"/>
      <c r="C235" s="121" t="str">
        <f t="array" ref="C235">ifs(and(isblank($A235),isblank($B235)),"", not(iserror(vlookup($A235&amp;$B235,'5) Release_Track'!$F:$F&amp;'5) Release_Track'!$G:$G,1,0))),vlookup($A235&amp;$B235,{'5) Release_Track'!$F:$F&amp;'5) Release_Track'!$G:$G,'5) Release_Track'!$H:$H},2,0), or(and(not(isblank($B235)),$B235=$B234,$A235&lt;&gt;$A234),and(not(isblank($A235)),$A235=$A234,$B235&lt;&gt;$B234)),"ID LISTS UNALIGNED",and($A235&lt;&gt;"",countif('5) Release_Track'!$F:$F,$A235)=0),"NO ISRC MATCH in Release_Track",and($B235&lt;&gt;"",countif('5) Release_Track'!$G:$G,$B235)=0),"NO CATALOG ID MATCH in Release_Track",iserror(vlookup($A235&amp;$B235,'5) Release_Track'!$F:$F&amp;'5) Release_Track'!$G:$G,1,0)),"NO ISRC-CATALOG ID pair MATCH in Release_Track" )</f>
        <v/>
      </c>
      <c r="D235" s="121" t="str">
        <f t="array" ref="D235">ifs(and(isblank($A235),isblank($B235)),"", not(iserror(vlookup($A235&amp;$B235,'5) Release_Track'!$F:$F&amp;'5) Release_Track'!$G:$G,1,0))),vlookup($A235&amp;$B235,{'5) Release_Track'!$F:$F&amp;'5) Release_Track'!$G:$G,'5) Release_Track'!$I:$I},2,0), or(and(not(isblank($B235)),$B235=$B234,$A235&lt;&gt;$A234),and(not(isblank($A235)),$A235=$A234,$B235&lt;&gt;$B234)),"ID LISTS UNALIGNED",and($A235&lt;&gt;"",countif('5) Release_Track'!$F:$F,$A235)=0),"NO ISRC MATCH in Release_Track",and($B235&lt;&gt;"",countif('5) Release_Track'!$G:$G,$B235)=0),"NO CATALOG ID MATCH in Release_Track",iserror(vlookup($A235&amp;$B235,'5) Release_Track'!$F:$F&amp;'5) Release_Track'!$G:$G,1,0)),"NO ISRC-CATALOG ID pair MATCH in Release_Track" )</f>
        <v/>
      </c>
      <c r="E235" s="142" t="b">
        <v>0</v>
      </c>
      <c r="F235" s="142" t="b">
        <v>0</v>
      </c>
      <c r="G235" s="142" t="b">
        <v>0</v>
      </c>
      <c r="H235" s="142" t="b">
        <v>0</v>
      </c>
      <c r="I235" s="142" t="b">
        <v>0</v>
      </c>
      <c r="J235" s="142" t="b">
        <v>0</v>
      </c>
      <c r="K235" s="142" t="b">
        <v>0</v>
      </c>
      <c r="L235" s="8" t="b">
        <v>0</v>
      </c>
    </row>
    <row r="236">
      <c r="B236" s="103"/>
      <c r="C236" s="121" t="str">
        <f t="array" ref="C236">ifs(and(isblank($A236),isblank($B236)),"", not(iserror(vlookup($A236&amp;$B236,'5) Release_Track'!$F:$F&amp;'5) Release_Track'!$G:$G,1,0))),vlookup($A236&amp;$B236,{'5) Release_Track'!$F:$F&amp;'5) Release_Track'!$G:$G,'5) Release_Track'!$H:$H},2,0), or(and(not(isblank($B236)),$B236=$B235,$A236&lt;&gt;$A235),and(not(isblank($A236)),$A236=$A235,$B236&lt;&gt;$B235)),"ID LISTS UNALIGNED",and($A236&lt;&gt;"",countif('5) Release_Track'!$F:$F,$A236)=0),"NO ISRC MATCH in Release_Track",and($B236&lt;&gt;"",countif('5) Release_Track'!$G:$G,$B236)=0),"NO CATALOG ID MATCH in Release_Track",iserror(vlookup($A236&amp;$B236,'5) Release_Track'!$F:$F&amp;'5) Release_Track'!$G:$G,1,0)),"NO ISRC-CATALOG ID pair MATCH in Release_Track" )</f>
        <v/>
      </c>
      <c r="D236" s="121" t="str">
        <f t="array" ref="D236">ifs(and(isblank($A236),isblank($B236)),"", not(iserror(vlookup($A236&amp;$B236,'5) Release_Track'!$F:$F&amp;'5) Release_Track'!$G:$G,1,0))),vlookup($A236&amp;$B236,{'5) Release_Track'!$F:$F&amp;'5) Release_Track'!$G:$G,'5) Release_Track'!$I:$I},2,0), or(and(not(isblank($B236)),$B236=$B235,$A236&lt;&gt;$A235),and(not(isblank($A236)),$A236=$A235,$B236&lt;&gt;$B235)),"ID LISTS UNALIGNED",and($A236&lt;&gt;"",countif('5) Release_Track'!$F:$F,$A236)=0),"NO ISRC MATCH in Release_Track",and($B236&lt;&gt;"",countif('5) Release_Track'!$G:$G,$B236)=0),"NO CATALOG ID MATCH in Release_Track",iserror(vlookup($A236&amp;$B236,'5) Release_Track'!$F:$F&amp;'5) Release_Track'!$G:$G,1,0)),"NO ISRC-CATALOG ID pair MATCH in Release_Track" )</f>
        <v/>
      </c>
      <c r="E236" s="142" t="b">
        <v>0</v>
      </c>
      <c r="F236" s="142" t="b">
        <v>0</v>
      </c>
      <c r="G236" s="142" t="b">
        <v>0</v>
      </c>
      <c r="H236" s="142" t="b">
        <v>0</v>
      </c>
      <c r="I236" s="142" t="b">
        <v>0</v>
      </c>
      <c r="J236" s="142" t="b">
        <v>0</v>
      </c>
      <c r="K236" s="142" t="b">
        <v>0</v>
      </c>
      <c r="L236" s="8" t="b">
        <v>0</v>
      </c>
    </row>
    <row r="237">
      <c r="B237" s="103"/>
      <c r="C237" s="121" t="str">
        <f t="array" ref="C237">ifs(and(isblank($A237),isblank($B237)),"", not(iserror(vlookup($A237&amp;$B237,'5) Release_Track'!$F:$F&amp;'5) Release_Track'!$G:$G,1,0))),vlookup($A237&amp;$B237,{'5) Release_Track'!$F:$F&amp;'5) Release_Track'!$G:$G,'5) Release_Track'!$H:$H},2,0), or(and(not(isblank($B237)),$B237=$B236,$A237&lt;&gt;$A236),and(not(isblank($A237)),$A237=$A236,$B237&lt;&gt;$B236)),"ID LISTS UNALIGNED",and($A237&lt;&gt;"",countif('5) Release_Track'!$F:$F,$A237)=0),"NO ISRC MATCH in Release_Track",and($B237&lt;&gt;"",countif('5) Release_Track'!$G:$G,$B237)=0),"NO CATALOG ID MATCH in Release_Track",iserror(vlookup($A237&amp;$B237,'5) Release_Track'!$F:$F&amp;'5) Release_Track'!$G:$G,1,0)),"NO ISRC-CATALOG ID pair MATCH in Release_Track" )</f>
        <v/>
      </c>
      <c r="D237" s="121" t="str">
        <f t="array" ref="D237">ifs(and(isblank($A237),isblank($B237)),"", not(iserror(vlookup($A237&amp;$B237,'5) Release_Track'!$F:$F&amp;'5) Release_Track'!$G:$G,1,0))),vlookup($A237&amp;$B237,{'5) Release_Track'!$F:$F&amp;'5) Release_Track'!$G:$G,'5) Release_Track'!$I:$I},2,0), or(and(not(isblank($B237)),$B237=$B236,$A237&lt;&gt;$A236),and(not(isblank($A237)),$A237=$A236,$B237&lt;&gt;$B236)),"ID LISTS UNALIGNED",and($A237&lt;&gt;"",countif('5) Release_Track'!$F:$F,$A237)=0),"NO ISRC MATCH in Release_Track",and($B237&lt;&gt;"",countif('5) Release_Track'!$G:$G,$B237)=0),"NO CATALOG ID MATCH in Release_Track",iserror(vlookup($A237&amp;$B237,'5) Release_Track'!$F:$F&amp;'5) Release_Track'!$G:$G,1,0)),"NO ISRC-CATALOG ID pair MATCH in Release_Track" )</f>
        <v/>
      </c>
      <c r="E237" s="142" t="b">
        <v>0</v>
      </c>
      <c r="F237" s="142" t="b">
        <v>0</v>
      </c>
      <c r="G237" s="142" t="b">
        <v>0</v>
      </c>
      <c r="H237" s="142" t="b">
        <v>0</v>
      </c>
      <c r="I237" s="142" t="b">
        <v>0</v>
      </c>
      <c r="J237" s="142" t="b">
        <v>0</v>
      </c>
      <c r="K237" s="142" t="b">
        <v>0</v>
      </c>
      <c r="L237" s="8" t="b">
        <v>0</v>
      </c>
    </row>
    <row r="238">
      <c r="B238" s="103"/>
      <c r="C238" s="121" t="str">
        <f t="array" ref="C238">ifs(and(isblank($A238),isblank($B238)),"", not(iserror(vlookup($A238&amp;$B238,'5) Release_Track'!$F:$F&amp;'5) Release_Track'!$G:$G,1,0))),vlookup($A238&amp;$B238,{'5) Release_Track'!$F:$F&amp;'5) Release_Track'!$G:$G,'5) Release_Track'!$H:$H},2,0), or(and(not(isblank($B238)),$B238=$B237,$A238&lt;&gt;$A237),and(not(isblank($A238)),$A238=$A237,$B238&lt;&gt;$B237)),"ID LISTS UNALIGNED",and($A238&lt;&gt;"",countif('5) Release_Track'!$F:$F,$A238)=0),"NO ISRC MATCH in Release_Track",and($B238&lt;&gt;"",countif('5) Release_Track'!$G:$G,$B238)=0),"NO CATALOG ID MATCH in Release_Track",iserror(vlookup($A238&amp;$B238,'5) Release_Track'!$F:$F&amp;'5) Release_Track'!$G:$G,1,0)),"NO ISRC-CATALOG ID pair MATCH in Release_Track" )</f>
        <v/>
      </c>
      <c r="D238" s="121" t="str">
        <f t="array" ref="D238">ifs(and(isblank($A238),isblank($B238)),"", not(iserror(vlookup($A238&amp;$B238,'5) Release_Track'!$F:$F&amp;'5) Release_Track'!$G:$G,1,0))),vlookup($A238&amp;$B238,{'5) Release_Track'!$F:$F&amp;'5) Release_Track'!$G:$G,'5) Release_Track'!$I:$I},2,0), or(and(not(isblank($B238)),$B238=$B237,$A238&lt;&gt;$A237),and(not(isblank($A238)),$A238=$A237,$B238&lt;&gt;$B237)),"ID LISTS UNALIGNED",and($A238&lt;&gt;"",countif('5) Release_Track'!$F:$F,$A238)=0),"NO ISRC MATCH in Release_Track",and($B238&lt;&gt;"",countif('5) Release_Track'!$G:$G,$B238)=0),"NO CATALOG ID MATCH in Release_Track",iserror(vlookup($A238&amp;$B238,'5) Release_Track'!$F:$F&amp;'5) Release_Track'!$G:$G,1,0)),"NO ISRC-CATALOG ID pair MATCH in Release_Track" )</f>
        <v/>
      </c>
      <c r="E238" s="142" t="b">
        <v>0</v>
      </c>
      <c r="F238" s="142" t="b">
        <v>0</v>
      </c>
      <c r="G238" s="142" t="b">
        <v>0</v>
      </c>
      <c r="H238" s="142" t="b">
        <v>0</v>
      </c>
      <c r="I238" s="142" t="b">
        <v>0</v>
      </c>
      <c r="J238" s="142" t="b">
        <v>0</v>
      </c>
      <c r="K238" s="142" t="b">
        <v>0</v>
      </c>
      <c r="L238" s="8" t="b">
        <v>0</v>
      </c>
    </row>
    <row r="239">
      <c r="B239" s="103"/>
      <c r="C239" s="121" t="str">
        <f t="array" ref="C239">ifs(and(isblank($A239),isblank($B239)),"", not(iserror(vlookup($A239&amp;$B239,'5) Release_Track'!$F:$F&amp;'5) Release_Track'!$G:$G,1,0))),vlookup($A239&amp;$B239,{'5) Release_Track'!$F:$F&amp;'5) Release_Track'!$G:$G,'5) Release_Track'!$H:$H},2,0), or(and(not(isblank($B239)),$B239=$B238,$A239&lt;&gt;$A238),and(not(isblank($A239)),$A239=$A238,$B239&lt;&gt;$B238)),"ID LISTS UNALIGNED",and($A239&lt;&gt;"",countif('5) Release_Track'!$F:$F,$A239)=0),"NO ISRC MATCH in Release_Track",and($B239&lt;&gt;"",countif('5) Release_Track'!$G:$G,$B239)=0),"NO CATALOG ID MATCH in Release_Track",iserror(vlookup($A239&amp;$B239,'5) Release_Track'!$F:$F&amp;'5) Release_Track'!$G:$G,1,0)),"NO ISRC-CATALOG ID pair MATCH in Release_Track" )</f>
        <v/>
      </c>
      <c r="D239" s="121" t="str">
        <f t="array" ref="D239">ifs(and(isblank($A239),isblank($B239)),"", not(iserror(vlookup($A239&amp;$B239,'5) Release_Track'!$F:$F&amp;'5) Release_Track'!$G:$G,1,0))),vlookup($A239&amp;$B239,{'5) Release_Track'!$F:$F&amp;'5) Release_Track'!$G:$G,'5) Release_Track'!$I:$I},2,0), or(and(not(isblank($B239)),$B239=$B238,$A239&lt;&gt;$A238),and(not(isblank($A239)),$A239=$A238,$B239&lt;&gt;$B238)),"ID LISTS UNALIGNED",and($A239&lt;&gt;"",countif('5) Release_Track'!$F:$F,$A239)=0),"NO ISRC MATCH in Release_Track",and($B239&lt;&gt;"",countif('5) Release_Track'!$G:$G,$B239)=0),"NO CATALOG ID MATCH in Release_Track",iserror(vlookup($A239&amp;$B239,'5) Release_Track'!$F:$F&amp;'5) Release_Track'!$G:$G,1,0)),"NO ISRC-CATALOG ID pair MATCH in Release_Track" )</f>
        <v/>
      </c>
      <c r="E239" s="142" t="b">
        <v>0</v>
      </c>
      <c r="F239" s="142" t="b">
        <v>0</v>
      </c>
      <c r="G239" s="142" t="b">
        <v>0</v>
      </c>
      <c r="H239" s="142" t="b">
        <v>0</v>
      </c>
      <c r="I239" s="142" t="b">
        <v>0</v>
      </c>
      <c r="J239" s="142" t="b">
        <v>0</v>
      </c>
      <c r="K239" s="142" t="b">
        <v>0</v>
      </c>
      <c r="L239" s="8" t="b">
        <v>0</v>
      </c>
    </row>
    <row r="240">
      <c r="B240" s="103"/>
      <c r="C240" s="121" t="str">
        <f t="array" ref="C240">ifs(and(isblank($A240),isblank($B240)),"", not(iserror(vlookup($A240&amp;$B240,'5) Release_Track'!$F:$F&amp;'5) Release_Track'!$G:$G,1,0))),vlookup($A240&amp;$B240,{'5) Release_Track'!$F:$F&amp;'5) Release_Track'!$G:$G,'5) Release_Track'!$H:$H},2,0), or(and(not(isblank($B240)),$B240=$B239,$A240&lt;&gt;$A239),and(not(isblank($A240)),$A240=$A239,$B240&lt;&gt;$B239)),"ID LISTS UNALIGNED",and($A240&lt;&gt;"",countif('5) Release_Track'!$F:$F,$A240)=0),"NO ISRC MATCH in Release_Track",and($B240&lt;&gt;"",countif('5) Release_Track'!$G:$G,$B240)=0),"NO CATALOG ID MATCH in Release_Track",iserror(vlookup($A240&amp;$B240,'5) Release_Track'!$F:$F&amp;'5) Release_Track'!$G:$G,1,0)),"NO ISRC-CATALOG ID pair MATCH in Release_Track" )</f>
        <v/>
      </c>
      <c r="D240" s="121" t="str">
        <f t="array" ref="D240">ifs(and(isblank($A240),isblank($B240)),"", not(iserror(vlookup($A240&amp;$B240,'5) Release_Track'!$F:$F&amp;'5) Release_Track'!$G:$G,1,0))),vlookup($A240&amp;$B240,{'5) Release_Track'!$F:$F&amp;'5) Release_Track'!$G:$G,'5) Release_Track'!$I:$I},2,0), or(and(not(isblank($B240)),$B240=$B239,$A240&lt;&gt;$A239),and(not(isblank($A240)),$A240=$A239,$B240&lt;&gt;$B239)),"ID LISTS UNALIGNED",and($A240&lt;&gt;"",countif('5) Release_Track'!$F:$F,$A240)=0),"NO ISRC MATCH in Release_Track",and($B240&lt;&gt;"",countif('5) Release_Track'!$G:$G,$B240)=0),"NO CATALOG ID MATCH in Release_Track",iserror(vlookup($A240&amp;$B240,'5) Release_Track'!$F:$F&amp;'5) Release_Track'!$G:$G,1,0)),"NO ISRC-CATALOG ID pair MATCH in Release_Track" )</f>
        <v/>
      </c>
      <c r="E240" s="142" t="b">
        <v>0</v>
      </c>
      <c r="F240" s="142" t="b">
        <v>0</v>
      </c>
      <c r="G240" s="142" t="b">
        <v>0</v>
      </c>
      <c r="H240" s="142" t="b">
        <v>0</v>
      </c>
      <c r="I240" s="142" t="b">
        <v>0</v>
      </c>
      <c r="J240" s="142" t="b">
        <v>0</v>
      </c>
      <c r="K240" s="142" t="b">
        <v>0</v>
      </c>
      <c r="L240" s="8" t="b">
        <v>0</v>
      </c>
    </row>
    <row r="241">
      <c r="B241" s="103"/>
      <c r="C241" s="121" t="str">
        <f t="array" ref="C241">ifs(and(isblank($A241),isblank($B241)),"", not(iserror(vlookup($A241&amp;$B241,'5) Release_Track'!$F:$F&amp;'5) Release_Track'!$G:$G,1,0))),vlookup($A241&amp;$B241,{'5) Release_Track'!$F:$F&amp;'5) Release_Track'!$G:$G,'5) Release_Track'!$H:$H},2,0), or(and(not(isblank($B241)),$B241=$B240,$A241&lt;&gt;$A240),and(not(isblank($A241)),$A241=$A240,$B241&lt;&gt;$B240)),"ID LISTS UNALIGNED",and($A241&lt;&gt;"",countif('5) Release_Track'!$F:$F,$A241)=0),"NO ISRC MATCH in Release_Track",and($B241&lt;&gt;"",countif('5) Release_Track'!$G:$G,$B241)=0),"NO CATALOG ID MATCH in Release_Track",iserror(vlookup($A241&amp;$B241,'5) Release_Track'!$F:$F&amp;'5) Release_Track'!$G:$G,1,0)),"NO ISRC-CATALOG ID pair MATCH in Release_Track" )</f>
        <v/>
      </c>
      <c r="D241" s="121" t="str">
        <f t="array" ref="D241">ifs(and(isblank($A241),isblank($B241)),"", not(iserror(vlookup($A241&amp;$B241,'5) Release_Track'!$F:$F&amp;'5) Release_Track'!$G:$G,1,0))),vlookup($A241&amp;$B241,{'5) Release_Track'!$F:$F&amp;'5) Release_Track'!$G:$G,'5) Release_Track'!$I:$I},2,0), or(and(not(isblank($B241)),$B241=$B240,$A241&lt;&gt;$A240),and(not(isblank($A241)),$A241=$A240,$B241&lt;&gt;$B240)),"ID LISTS UNALIGNED",and($A241&lt;&gt;"",countif('5) Release_Track'!$F:$F,$A241)=0),"NO ISRC MATCH in Release_Track",and($B241&lt;&gt;"",countif('5) Release_Track'!$G:$G,$B241)=0),"NO CATALOG ID MATCH in Release_Track",iserror(vlookup($A241&amp;$B241,'5) Release_Track'!$F:$F&amp;'5) Release_Track'!$G:$G,1,0)),"NO ISRC-CATALOG ID pair MATCH in Release_Track" )</f>
        <v/>
      </c>
      <c r="E241" s="142" t="b">
        <v>0</v>
      </c>
      <c r="F241" s="142" t="b">
        <v>0</v>
      </c>
      <c r="G241" s="142" t="b">
        <v>0</v>
      </c>
      <c r="H241" s="142" t="b">
        <v>0</v>
      </c>
      <c r="I241" s="142" t="b">
        <v>0</v>
      </c>
      <c r="J241" s="142" t="b">
        <v>0</v>
      </c>
      <c r="K241" s="142" t="b">
        <v>0</v>
      </c>
      <c r="L241" s="8" t="b">
        <v>0</v>
      </c>
    </row>
    <row r="242">
      <c r="B242" s="103"/>
      <c r="C242" s="121" t="str">
        <f t="array" ref="C242">ifs(and(isblank($A242),isblank($B242)),"", not(iserror(vlookup($A242&amp;$B242,'5) Release_Track'!$F:$F&amp;'5) Release_Track'!$G:$G,1,0))),vlookup($A242&amp;$B242,{'5) Release_Track'!$F:$F&amp;'5) Release_Track'!$G:$G,'5) Release_Track'!$H:$H},2,0), or(and(not(isblank($B242)),$B242=$B241,$A242&lt;&gt;$A241),and(not(isblank($A242)),$A242=$A241,$B242&lt;&gt;$B241)),"ID LISTS UNALIGNED",and($A242&lt;&gt;"",countif('5) Release_Track'!$F:$F,$A242)=0),"NO ISRC MATCH in Release_Track",and($B242&lt;&gt;"",countif('5) Release_Track'!$G:$G,$B242)=0),"NO CATALOG ID MATCH in Release_Track",iserror(vlookup($A242&amp;$B242,'5) Release_Track'!$F:$F&amp;'5) Release_Track'!$G:$G,1,0)),"NO ISRC-CATALOG ID pair MATCH in Release_Track" )</f>
        <v/>
      </c>
      <c r="D242" s="121" t="str">
        <f t="array" ref="D242">ifs(and(isblank($A242),isblank($B242)),"", not(iserror(vlookup($A242&amp;$B242,'5) Release_Track'!$F:$F&amp;'5) Release_Track'!$G:$G,1,0))),vlookup($A242&amp;$B242,{'5) Release_Track'!$F:$F&amp;'5) Release_Track'!$G:$G,'5) Release_Track'!$I:$I},2,0), or(and(not(isblank($B242)),$B242=$B241,$A242&lt;&gt;$A241),and(not(isblank($A242)),$A242=$A241,$B242&lt;&gt;$B241)),"ID LISTS UNALIGNED",and($A242&lt;&gt;"",countif('5) Release_Track'!$F:$F,$A242)=0),"NO ISRC MATCH in Release_Track",and($B242&lt;&gt;"",countif('5) Release_Track'!$G:$G,$B242)=0),"NO CATALOG ID MATCH in Release_Track",iserror(vlookup($A242&amp;$B242,'5) Release_Track'!$F:$F&amp;'5) Release_Track'!$G:$G,1,0)),"NO ISRC-CATALOG ID pair MATCH in Release_Track" )</f>
        <v/>
      </c>
      <c r="E242" s="142" t="b">
        <v>0</v>
      </c>
      <c r="F242" s="142" t="b">
        <v>0</v>
      </c>
      <c r="G242" s="142" t="b">
        <v>0</v>
      </c>
      <c r="H242" s="142" t="b">
        <v>0</v>
      </c>
      <c r="I242" s="142" t="b">
        <v>0</v>
      </c>
      <c r="J242" s="142" t="b">
        <v>0</v>
      </c>
      <c r="K242" s="142" t="b">
        <v>0</v>
      </c>
      <c r="L242" s="8" t="b">
        <v>0</v>
      </c>
    </row>
    <row r="243">
      <c r="B243" s="103"/>
      <c r="C243" s="121" t="str">
        <f t="array" ref="C243">ifs(and(isblank($A243),isblank($B243)),"", not(iserror(vlookup($A243&amp;$B243,'5) Release_Track'!$F:$F&amp;'5) Release_Track'!$G:$G,1,0))),vlookup($A243&amp;$B243,{'5) Release_Track'!$F:$F&amp;'5) Release_Track'!$G:$G,'5) Release_Track'!$H:$H},2,0), or(and(not(isblank($B243)),$B243=$B242,$A243&lt;&gt;$A242),and(not(isblank($A243)),$A243=$A242,$B243&lt;&gt;$B242)),"ID LISTS UNALIGNED",and($A243&lt;&gt;"",countif('5) Release_Track'!$F:$F,$A243)=0),"NO ISRC MATCH in Release_Track",and($B243&lt;&gt;"",countif('5) Release_Track'!$G:$G,$B243)=0),"NO CATALOG ID MATCH in Release_Track",iserror(vlookup($A243&amp;$B243,'5) Release_Track'!$F:$F&amp;'5) Release_Track'!$G:$G,1,0)),"NO ISRC-CATALOG ID pair MATCH in Release_Track" )</f>
        <v/>
      </c>
      <c r="D243" s="121" t="str">
        <f t="array" ref="D243">ifs(and(isblank($A243),isblank($B243)),"", not(iserror(vlookup($A243&amp;$B243,'5) Release_Track'!$F:$F&amp;'5) Release_Track'!$G:$G,1,0))),vlookup($A243&amp;$B243,{'5) Release_Track'!$F:$F&amp;'5) Release_Track'!$G:$G,'5) Release_Track'!$I:$I},2,0), or(and(not(isblank($B243)),$B243=$B242,$A243&lt;&gt;$A242),and(not(isblank($A243)),$A243=$A242,$B243&lt;&gt;$B242)),"ID LISTS UNALIGNED",and($A243&lt;&gt;"",countif('5) Release_Track'!$F:$F,$A243)=0),"NO ISRC MATCH in Release_Track",and($B243&lt;&gt;"",countif('5) Release_Track'!$G:$G,$B243)=0),"NO CATALOG ID MATCH in Release_Track",iserror(vlookup($A243&amp;$B243,'5) Release_Track'!$F:$F&amp;'5) Release_Track'!$G:$G,1,0)),"NO ISRC-CATALOG ID pair MATCH in Release_Track" )</f>
        <v/>
      </c>
      <c r="E243" s="142" t="b">
        <v>0</v>
      </c>
      <c r="F243" s="142" t="b">
        <v>0</v>
      </c>
      <c r="G243" s="142" t="b">
        <v>0</v>
      </c>
      <c r="H243" s="142" t="b">
        <v>0</v>
      </c>
      <c r="I243" s="142" t="b">
        <v>0</v>
      </c>
      <c r="J243" s="142" t="b">
        <v>0</v>
      </c>
      <c r="K243" s="142" t="b">
        <v>0</v>
      </c>
      <c r="L243" s="8" t="b">
        <v>0</v>
      </c>
    </row>
    <row r="244">
      <c r="B244" s="103"/>
      <c r="C244" s="121" t="str">
        <f t="array" ref="C244">ifs(and(isblank($A244),isblank($B244)),"", not(iserror(vlookup($A244&amp;$B244,'5) Release_Track'!$F:$F&amp;'5) Release_Track'!$G:$G,1,0))),vlookup($A244&amp;$B244,{'5) Release_Track'!$F:$F&amp;'5) Release_Track'!$G:$G,'5) Release_Track'!$H:$H},2,0), or(and(not(isblank($B244)),$B244=$B243,$A244&lt;&gt;$A243),and(not(isblank($A244)),$A244=$A243,$B244&lt;&gt;$B243)),"ID LISTS UNALIGNED",and($A244&lt;&gt;"",countif('5) Release_Track'!$F:$F,$A244)=0),"NO ISRC MATCH in Release_Track",and($B244&lt;&gt;"",countif('5) Release_Track'!$G:$G,$B244)=0),"NO CATALOG ID MATCH in Release_Track",iserror(vlookup($A244&amp;$B244,'5) Release_Track'!$F:$F&amp;'5) Release_Track'!$G:$G,1,0)),"NO ISRC-CATALOG ID pair MATCH in Release_Track" )</f>
        <v/>
      </c>
      <c r="D244" s="121" t="str">
        <f t="array" ref="D244">ifs(and(isblank($A244),isblank($B244)),"", not(iserror(vlookup($A244&amp;$B244,'5) Release_Track'!$F:$F&amp;'5) Release_Track'!$G:$G,1,0))),vlookup($A244&amp;$B244,{'5) Release_Track'!$F:$F&amp;'5) Release_Track'!$G:$G,'5) Release_Track'!$I:$I},2,0), or(and(not(isblank($B244)),$B244=$B243,$A244&lt;&gt;$A243),and(not(isblank($A244)),$A244=$A243,$B244&lt;&gt;$B243)),"ID LISTS UNALIGNED",and($A244&lt;&gt;"",countif('5) Release_Track'!$F:$F,$A244)=0),"NO ISRC MATCH in Release_Track",and($B244&lt;&gt;"",countif('5) Release_Track'!$G:$G,$B244)=0),"NO CATALOG ID MATCH in Release_Track",iserror(vlookup($A244&amp;$B244,'5) Release_Track'!$F:$F&amp;'5) Release_Track'!$G:$G,1,0)),"NO ISRC-CATALOG ID pair MATCH in Release_Track" )</f>
        <v/>
      </c>
      <c r="E244" s="142" t="b">
        <v>0</v>
      </c>
      <c r="F244" s="142" t="b">
        <v>0</v>
      </c>
      <c r="G244" s="142" t="b">
        <v>0</v>
      </c>
      <c r="H244" s="142" t="b">
        <v>0</v>
      </c>
      <c r="I244" s="142" t="b">
        <v>0</v>
      </c>
      <c r="J244" s="142" t="b">
        <v>0</v>
      </c>
      <c r="K244" s="142" t="b">
        <v>0</v>
      </c>
      <c r="L244" s="8" t="b">
        <v>0</v>
      </c>
    </row>
    <row r="245">
      <c r="B245" s="103"/>
      <c r="C245" s="121" t="str">
        <f t="array" ref="C245">ifs(and(isblank($A245),isblank($B245)),"", not(iserror(vlookup($A245&amp;$B245,'5) Release_Track'!$F:$F&amp;'5) Release_Track'!$G:$G,1,0))),vlookup($A245&amp;$B245,{'5) Release_Track'!$F:$F&amp;'5) Release_Track'!$G:$G,'5) Release_Track'!$H:$H},2,0), or(and(not(isblank($B245)),$B245=$B244,$A245&lt;&gt;$A244),and(not(isblank($A245)),$A245=$A244,$B245&lt;&gt;$B244)),"ID LISTS UNALIGNED",and($A245&lt;&gt;"",countif('5) Release_Track'!$F:$F,$A245)=0),"NO ISRC MATCH in Release_Track",and($B245&lt;&gt;"",countif('5) Release_Track'!$G:$G,$B245)=0),"NO CATALOG ID MATCH in Release_Track",iserror(vlookup($A245&amp;$B245,'5) Release_Track'!$F:$F&amp;'5) Release_Track'!$G:$G,1,0)),"NO ISRC-CATALOG ID pair MATCH in Release_Track" )</f>
        <v/>
      </c>
      <c r="D245" s="121" t="str">
        <f t="array" ref="D245">ifs(and(isblank($A245),isblank($B245)),"", not(iserror(vlookup($A245&amp;$B245,'5) Release_Track'!$F:$F&amp;'5) Release_Track'!$G:$G,1,0))),vlookup($A245&amp;$B245,{'5) Release_Track'!$F:$F&amp;'5) Release_Track'!$G:$G,'5) Release_Track'!$I:$I},2,0), or(and(not(isblank($B245)),$B245=$B244,$A245&lt;&gt;$A244),and(not(isblank($A245)),$A245=$A244,$B245&lt;&gt;$B244)),"ID LISTS UNALIGNED",and($A245&lt;&gt;"",countif('5) Release_Track'!$F:$F,$A245)=0),"NO ISRC MATCH in Release_Track",and($B245&lt;&gt;"",countif('5) Release_Track'!$G:$G,$B245)=0),"NO CATALOG ID MATCH in Release_Track",iserror(vlookup($A245&amp;$B245,'5) Release_Track'!$F:$F&amp;'5) Release_Track'!$G:$G,1,0)),"NO ISRC-CATALOG ID pair MATCH in Release_Track" )</f>
        <v/>
      </c>
      <c r="E245" s="142" t="b">
        <v>0</v>
      </c>
      <c r="F245" s="142" t="b">
        <v>0</v>
      </c>
      <c r="G245" s="142" t="b">
        <v>0</v>
      </c>
      <c r="H245" s="142" t="b">
        <v>0</v>
      </c>
      <c r="I245" s="142" t="b">
        <v>0</v>
      </c>
      <c r="J245" s="142" t="b">
        <v>0</v>
      </c>
      <c r="K245" s="142" t="b">
        <v>0</v>
      </c>
      <c r="L245" s="8" t="b">
        <v>0</v>
      </c>
    </row>
    <row r="246">
      <c r="B246" s="103"/>
      <c r="C246" s="121" t="str">
        <f t="array" ref="C246">ifs(and(isblank($A246),isblank($B246)),"", not(iserror(vlookup($A246&amp;$B246,'5) Release_Track'!$F:$F&amp;'5) Release_Track'!$G:$G,1,0))),vlookup($A246&amp;$B246,{'5) Release_Track'!$F:$F&amp;'5) Release_Track'!$G:$G,'5) Release_Track'!$H:$H},2,0), or(and(not(isblank($B246)),$B246=$B245,$A246&lt;&gt;$A245),and(not(isblank($A246)),$A246=$A245,$B246&lt;&gt;$B245)),"ID LISTS UNALIGNED",and($A246&lt;&gt;"",countif('5) Release_Track'!$F:$F,$A246)=0),"NO ISRC MATCH in Release_Track",and($B246&lt;&gt;"",countif('5) Release_Track'!$G:$G,$B246)=0),"NO CATALOG ID MATCH in Release_Track",iserror(vlookup($A246&amp;$B246,'5) Release_Track'!$F:$F&amp;'5) Release_Track'!$G:$G,1,0)),"NO ISRC-CATALOG ID pair MATCH in Release_Track" )</f>
        <v/>
      </c>
      <c r="D246" s="121" t="str">
        <f t="array" ref="D246">ifs(and(isblank($A246),isblank($B246)),"", not(iserror(vlookup($A246&amp;$B246,'5) Release_Track'!$F:$F&amp;'5) Release_Track'!$G:$G,1,0))),vlookup($A246&amp;$B246,{'5) Release_Track'!$F:$F&amp;'5) Release_Track'!$G:$G,'5) Release_Track'!$I:$I},2,0), or(and(not(isblank($B246)),$B246=$B245,$A246&lt;&gt;$A245),and(not(isblank($A246)),$A246=$A245,$B246&lt;&gt;$B245)),"ID LISTS UNALIGNED",and($A246&lt;&gt;"",countif('5) Release_Track'!$F:$F,$A246)=0),"NO ISRC MATCH in Release_Track",and($B246&lt;&gt;"",countif('5) Release_Track'!$G:$G,$B246)=0),"NO CATALOG ID MATCH in Release_Track",iserror(vlookup($A246&amp;$B246,'5) Release_Track'!$F:$F&amp;'5) Release_Track'!$G:$G,1,0)),"NO ISRC-CATALOG ID pair MATCH in Release_Track" )</f>
        <v/>
      </c>
      <c r="E246" s="142" t="b">
        <v>0</v>
      </c>
      <c r="F246" s="142" t="b">
        <v>0</v>
      </c>
      <c r="G246" s="142" t="b">
        <v>0</v>
      </c>
      <c r="H246" s="142" t="b">
        <v>0</v>
      </c>
      <c r="I246" s="142" t="b">
        <v>0</v>
      </c>
      <c r="J246" s="142" t="b">
        <v>0</v>
      </c>
      <c r="K246" s="142" t="b">
        <v>0</v>
      </c>
      <c r="L246" s="8" t="b">
        <v>0</v>
      </c>
    </row>
    <row r="247">
      <c r="B247" s="103"/>
      <c r="C247" s="121" t="str">
        <f t="array" ref="C247">ifs(and(isblank($A247),isblank($B247)),"", not(iserror(vlookup($A247&amp;$B247,'5) Release_Track'!$F:$F&amp;'5) Release_Track'!$G:$G,1,0))),vlookup($A247&amp;$B247,{'5) Release_Track'!$F:$F&amp;'5) Release_Track'!$G:$G,'5) Release_Track'!$H:$H},2,0), or(and(not(isblank($B247)),$B247=$B246,$A247&lt;&gt;$A246),and(not(isblank($A247)),$A247=$A246,$B247&lt;&gt;$B246)),"ID LISTS UNALIGNED",and($A247&lt;&gt;"",countif('5) Release_Track'!$F:$F,$A247)=0),"NO ISRC MATCH in Release_Track",and($B247&lt;&gt;"",countif('5) Release_Track'!$G:$G,$B247)=0),"NO CATALOG ID MATCH in Release_Track",iserror(vlookup($A247&amp;$B247,'5) Release_Track'!$F:$F&amp;'5) Release_Track'!$G:$G,1,0)),"NO ISRC-CATALOG ID pair MATCH in Release_Track" )</f>
        <v/>
      </c>
      <c r="D247" s="121" t="str">
        <f t="array" ref="D247">ifs(and(isblank($A247),isblank($B247)),"", not(iserror(vlookup($A247&amp;$B247,'5) Release_Track'!$F:$F&amp;'5) Release_Track'!$G:$G,1,0))),vlookup($A247&amp;$B247,{'5) Release_Track'!$F:$F&amp;'5) Release_Track'!$G:$G,'5) Release_Track'!$I:$I},2,0), or(and(not(isblank($B247)),$B247=$B246,$A247&lt;&gt;$A246),and(not(isblank($A247)),$A247=$A246,$B247&lt;&gt;$B246)),"ID LISTS UNALIGNED",and($A247&lt;&gt;"",countif('5) Release_Track'!$F:$F,$A247)=0),"NO ISRC MATCH in Release_Track",and($B247&lt;&gt;"",countif('5) Release_Track'!$G:$G,$B247)=0),"NO CATALOG ID MATCH in Release_Track",iserror(vlookup($A247&amp;$B247,'5) Release_Track'!$F:$F&amp;'5) Release_Track'!$G:$G,1,0)),"NO ISRC-CATALOG ID pair MATCH in Release_Track" )</f>
        <v/>
      </c>
      <c r="E247" s="142" t="b">
        <v>0</v>
      </c>
      <c r="F247" s="142" t="b">
        <v>0</v>
      </c>
      <c r="G247" s="142" t="b">
        <v>0</v>
      </c>
      <c r="H247" s="142" t="b">
        <v>0</v>
      </c>
      <c r="I247" s="142" t="b">
        <v>0</v>
      </c>
      <c r="J247" s="142" t="b">
        <v>0</v>
      </c>
      <c r="K247" s="142" t="b">
        <v>0</v>
      </c>
      <c r="L247" s="8" t="b">
        <v>0</v>
      </c>
    </row>
    <row r="248">
      <c r="B248" s="103"/>
      <c r="C248" s="121" t="str">
        <f t="array" ref="C248">ifs(and(isblank($A248),isblank($B248)),"", not(iserror(vlookup($A248&amp;$B248,'5) Release_Track'!$F:$F&amp;'5) Release_Track'!$G:$G,1,0))),vlookup($A248&amp;$B248,{'5) Release_Track'!$F:$F&amp;'5) Release_Track'!$G:$G,'5) Release_Track'!$H:$H},2,0), or(and(not(isblank($B248)),$B248=$B247,$A248&lt;&gt;$A247),and(not(isblank($A248)),$A248=$A247,$B248&lt;&gt;$B247)),"ID LISTS UNALIGNED",and($A248&lt;&gt;"",countif('5) Release_Track'!$F:$F,$A248)=0),"NO ISRC MATCH in Release_Track",and($B248&lt;&gt;"",countif('5) Release_Track'!$G:$G,$B248)=0),"NO CATALOG ID MATCH in Release_Track",iserror(vlookup($A248&amp;$B248,'5) Release_Track'!$F:$F&amp;'5) Release_Track'!$G:$G,1,0)),"NO ISRC-CATALOG ID pair MATCH in Release_Track" )</f>
        <v/>
      </c>
      <c r="D248" s="121" t="str">
        <f t="array" ref="D248">ifs(and(isblank($A248),isblank($B248)),"", not(iserror(vlookup($A248&amp;$B248,'5) Release_Track'!$F:$F&amp;'5) Release_Track'!$G:$G,1,0))),vlookup($A248&amp;$B248,{'5) Release_Track'!$F:$F&amp;'5) Release_Track'!$G:$G,'5) Release_Track'!$I:$I},2,0), or(and(not(isblank($B248)),$B248=$B247,$A248&lt;&gt;$A247),and(not(isblank($A248)),$A248=$A247,$B248&lt;&gt;$B247)),"ID LISTS UNALIGNED",and($A248&lt;&gt;"",countif('5) Release_Track'!$F:$F,$A248)=0),"NO ISRC MATCH in Release_Track",and($B248&lt;&gt;"",countif('5) Release_Track'!$G:$G,$B248)=0),"NO CATALOG ID MATCH in Release_Track",iserror(vlookup($A248&amp;$B248,'5) Release_Track'!$F:$F&amp;'5) Release_Track'!$G:$G,1,0)),"NO ISRC-CATALOG ID pair MATCH in Release_Track" )</f>
        <v/>
      </c>
      <c r="E248" s="142" t="b">
        <v>0</v>
      </c>
      <c r="F248" s="142" t="b">
        <v>0</v>
      </c>
      <c r="G248" s="142" t="b">
        <v>0</v>
      </c>
      <c r="H248" s="142" t="b">
        <v>0</v>
      </c>
      <c r="I248" s="142" t="b">
        <v>0</v>
      </c>
      <c r="J248" s="142" t="b">
        <v>0</v>
      </c>
      <c r="K248" s="142" t="b">
        <v>0</v>
      </c>
      <c r="L248" s="8" t="b">
        <v>0</v>
      </c>
    </row>
    <row r="249">
      <c r="B249" s="103"/>
      <c r="C249" s="121" t="str">
        <f t="array" ref="C249">ifs(and(isblank($A249),isblank($B249)),"", not(iserror(vlookup($A249&amp;$B249,'5) Release_Track'!$F:$F&amp;'5) Release_Track'!$G:$G,1,0))),vlookup($A249&amp;$B249,{'5) Release_Track'!$F:$F&amp;'5) Release_Track'!$G:$G,'5) Release_Track'!$H:$H},2,0), or(and(not(isblank($B249)),$B249=$B248,$A249&lt;&gt;$A248),and(not(isblank($A249)),$A249=$A248,$B249&lt;&gt;$B248)),"ID LISTS UNALIGNED",and($A249&lt;&gt;"",countif('5) Release_Track'!$F:$F,$A249)=0),"NO ISRC MATCH in Release_Track",and($B249&lt;&gt;"",countif('5) Release_Track'!$G:$G,$B249)=0),"NO CATALOG ID MATCH in Release_Track",iserror(vlookup($A249&amp;$B249,'5) Release_Track'!$F:$F&amp;'5) Release_Track'!$G:$G,1,0)),"NO ISRC-CATALOG ID pair MATCH in Release_Track" )</f>
        <v/>
      </c>
      <c r="D249" s="121" t="str">
        <f t="array" ref="D249">ifs(and(isblank($A249),isblank($B249)),"", not(iserror(vlookup($A249&amp;$B249,'5) Release_Track'!$F:$F&amp;'5) Release_Track'!$G:$G,1,0))),vlookup($A249&amp;$B249,{'5) Release_Track'!$F:$F&amp;'5) Release_Track'!$G:$G,'5) Release_Track'!$I:$I},2,0), or(and(not(isblank($B249)),$B249=$B248,$A249&lt;&gt;$A248),and(not(isblank($A249)),$A249=$A248,$B249&lt;&gt;$B248)),"ID LISTS UNALIGNED",and($A249&lt;&gt;"",countif('5) Release_Track'!$F:$F,$A249)=0),"NO ISRC MATCH in Release_Track",and($B249&lt;&gt;"",countif('5) Release_Track'!$G:$G,$B249)=0),"NO CATALOG ID MATCH in Release_Track",iserror(vlookup($A249&amp;$B249,'5) Release_Track'!$F:$F&amp;'5) Release_Track'!$G:$G,1,0)),"NO ISRC-CATALOG ID pair MATCH in Release_Track" )</f>
        <v/>
      </c>
      <c r="E249" s="142" t="b">
        <v>0</v>
      </c>
      <c r="F249" s="142" t="b">
        <v>0</v>
      </c>
      <c r="G249" s="142" t="b">
        <v>0</v>
      </c>
      <c r="H249" s="142" t="b">
        <v>0</v>
      </c>
      <c r="I249" s="142" t="b">
        <v>0</v>
      </c>
      <c r="J249" s="142" t="b">
        <v>0</v>
      </c>
      <c r="K249" s="142" t="b">
        <v>0</v>
      </c>
      <c r="L249" s="8" t="b">
        <v>0</v>
      </c>
    </row>
    <row r="250">
      <c r="B250" s="103"/>
      <c r="C250" s="121" t="str">
        <f t="array" ref="C250">ifs(and(isblank($A250),isblank($B250)),"", not(iserror(vlookup($A250&amp;$B250,'5) Release_Track'!$F:$F&amp;'5) Release_Track'!$G:$G,1,0))),vlookup($A250&amp;$B250,{'5) Release_Track'!$F:$F&amp;'5) Release_Track'!$G:$G,'5) Release_Track'!$H:$H},2,0), or(and(not(isblank($B250)),$B250=$B249,$A250&lt;&gt;$A249),and(not(isblank($A250)),$A250=$A249,$B250&lt;&gt;$B249)),"ID LISTS UNALIGNED",and($A250&lt;&gt;"",countif('5) Release_Track'!$F:$F,$A250)=0),"NO ISRC MATCH in Release_Track",and($B250&lt;&gt;"",countif('5) Release_Track'!$G:$G,$B250)=0),"NO CATALOG ID MATCH in Release_Track",iserror(vlookup($A250&amp;$B250,'5) Release_Track'!$F:$F&amp;'5) Release_Track'!$G:$G,1,0)),"NO ISRC-CATALOG ID pair MATCH in Release_Track" )</f>
        <v/>
      </c>
      <c r="D250" s="121" t="str">
        <f t="array" ref="D250">ifs(and(isblank($A250),isblank($B250)),"", not(iserror(vlookup($A250&amp;$B250,'5) Release_Track'!$F:$F&amp;'5) Release_Track'!$G:$G,1,0))),vlookup($A250&amp;$B250,{'5) Release_Track'!$F:$F&amp;'5) Release_Track'!$G:$G,'5) Release_Track'!$I:$I},2,0), or(and(not(isblank($B250)),$B250=$B249,$A250&lt;&gt;$A249),and(not(isblank($A250)),$A250=$A249,$B250&lt;&gt;$B249)),"ID LISTS UNALIGNED",and($A250&lt;&gt;"",countif('5) Release_Track'!$F:$F,$A250)=0),"NO ISRC MATCH in Release_Track",and($B250&lt;&gt;"",countif('5) Release_Track'!$G:$G,$B250)=0),"NO CATALOG ID MATCH in Release_Track",iserror(vlookup($A250&amp;$B250,'5) Release_Track'!$F:$F&amp;'5) Release_Track'!$G:$G,1,0)),"NO ISRC-CATALOG ID pair MATCH in Release_Track" )</f>
        <v/>
      </c>
      <c r="E250" s="142" t="b">
        <v>0</v>
      </c>
      <c r="F250" s="142" t="b">
        <v>0</v>
      </c>
      <c r="G250" s="142" t="b">
        <v>0</v>
      </c>
      <c r="H250" s="142" t="b">
        <v>0</v>
      </c>
      <c r="I250" s="142" t="b">
        <v>0</v>
      </c>
      <c r="J250" s="142" t="b">
        <v>0</v>
      </c>
      <c r="K250" s="142" t="b">
        <v>0</v>
      </c>
      <c r="L250" s="8" t="b">
        <v>0</v>
      </c>
    </row>
    <row r="251">
      <c r="B251" s="103"/>
      <c r="C251" s="121" t="str">
        <f t="array" ref="C251">ifs(and(isblank($A251),isblank($B251)),"", not(iserror(vlookup($A251&amp;$B251,'5) Release_Track'!$F:$F&amp;'5) Release_Track'!$G:$G,1,0))),vlookup($A251&amp;$B251,{'5) Release_Track'!$F:$F&amp;'5) Release_Track'!$G:$G,'5) Release_Track'!$H:$H},2,0), or(and(not(isblank($B251)),$B251=$B250,$A251&lt;&gt;$A250),and(not(isblank($A251)),$A251=$A250,$B251&lt;&gt;$B250)),"ID LISTS UNALIGNED",and($A251&lt;&gt;"",countif('5) Release_Track'!$F:$F,$A251)=0),"NO ISRC MATCH in Release_Track",and($B251&lt;&gt;"",countif('5) Release_Track'!$G:$G,$B251)=0),"NO CATALOG ID MATCH in Release_Track",iserror(vlookup($A251&amp;$B251,'5) Release_Track'!$F:$F&amp;'5) Release_Track'!$G:$G,1,0)),"NO ISRC-CATALOG ID pair MATCH in Release_Track" )</f>
        <v/>
      </c>
      <c r="D251" s="121" t="str">
        <f t="array" ref="D251">ifs(and(isblank($A251),isblank($B251)),"", not(iserror(vlookup($A251&amp;$B251,'5) Release_Track'!$F:$F&amp;'5) Release_Track'!$G:$G,1,0))),vlookup($A251&amp;$B251,{'5) Release_Track'!$F:$F&amp;'5) Release_Track'!$G:$G,'5) Release_Track'!$I:$I},2,0), or(and(not(isblank($B251)),$B251=$B250,$A251&lt;&gt;$A250),and(not(isblank($A251)),$A251=$A250,$B251&lt;&gt;$B250)),"ID LISTS UNALIGNED",and($A251&lt;&gt;"",countif('5) Release_Track'!$F:$F,$A251)=0),"NO ISRC MATCH in Release_Track",and($B251&lt;&gt;"",countif('5) Release_Track'!$G:$G,$B251)=0),"NO CATALOG ID MATCH in Release_Track",iserror(vlookup($A251&amp;$B251,'5) Release_Track'!$F:$F&amp;'5) Release_Track'!$G:$G,1,0)),"NO ISRC-CATALOG ID pair MATCH in Release_Track" )</f>
        <v/>
      </c>
      <c r="E251" s="142" t="b">
        <v>0</v>
      </c>
      <c r="F251" s="142" t="b">
        <v>0</v>
      </c>
      <c r="G251" s="142" t="b">
        <v>0</v>
      </c>
      <c r="H251" s="142" t="b">
        <v>0</v>
      </c>
      <c r="I251" s="142" t="b">
        <v>0</v>
      </c>
      <c r="J251" s="142" t="b">
        <v>0</v>
      </c>
      <c r="K251" s="142" t="b">
        <v>0</v>
      </c>
      <c r="L251" s="8" t="b">
        <v>0</v>
      </c>
    </row>
    <row r="252">
      <c r="B252" s="103"/>
      <c r="C252" s="121" t="str">
        <f t="array" ref="C252">ifs(and(isblank($A252),isblank($B252)),"", not(iserror(vlookup($A252&amp;$B252,'5) Release_Track'!$F:$F&amp;'5) Release_Track'!$G:$G,1,0))),vlookup($A252&amp;$B252,{'5) Release_Track'!$F:$F&amp;'5) Release_Track'!$G:$G,'5) Release_Track'!$H:$H},2,0), or(and(not(isblank($B252)),$B252=$B251,$A252&lt;&gt;$A251),and(not(isblank($A252)),$A252=$A251,$B252&lt;&gt;$B251)),"ID LISTS UNALIGNED",and($A252&lt;&gt;"",countif('5) Release_Track'!$F:$F,$A252)=0),"NO ISRC MATCH in Release_Track",and($B252&lt;&gt;"",countif('5) Release_Track'!$G:$G,$B252)=0),"NO CATALOG ID MATCH in Release_Track",iserror(vlookup($A252&amp;$B252,'5) Release_Track'!$F:$F&amp;'5) Release_Track'!$G:$G,1,0)),"NO ISRC-CATALOG ID pair MATCH in Release_Track" )</f>
        <v/>
      </c>
      <c r="D252" s="121" t="str">
        <f t="array" ref="D252">ifs(and(isblank($A252),isblank($B252)),"", not(iserror(vlookup($A252&amp;$B252,'5) Release_Track'!$F:$F&amp;'5) Release_Track'!$G:$G,1,0))),vlookup($A252&amp;$B252,{'5) Release_Track'!$F:$F&amp;'5) Release_Track'!$G:$G,'5) Release_Track'!$I:$I},2,0), or(and(not(isblank($B252)),$B252=$B251,$A252&lt;&gt;$A251),and(not(isblank($A252)),$A252=$A251,$B252&lt;&gt;$B251)),"ID LISTS UNALIGNED",and($A252&lt;&gt;"",countif('5) Release_Track'!$F:$F,$A252)=0),"NO ISRC MATCH in Release_Track",and($B252&lt;&gt;"",countif('5) Release_Track'!$G:$G,$B252)=0),"NO CATALOG ID MATCH in Release_Track",iserror(vlookup($A252&amp;$B252,'5) Release_Track'!$F:$F&amp;'5) Release_Track'!$G:$G,1,0)),"NO ISRC-CATALOG ID pair MATCH in Release_Track" )</f>
        <v/>
      </c>
      <c r="E252" s="142" t="b">
        <v>0</v>
      </c>
      <c r="F252" s="142" t="b">
        <v>0</v>
      </c>
      <c r="G252" s="142" t="b">
        <v>0</v>
      </c>
      <c r="H252" s="142" t="b">
        <v>0</v>
      </c>
      <c r="I252" s="142" t="b">
        <v>0</v>
      </c>
      <c r="J252" s="142" t="b">
        <v>0</v>
      </c>
      <c r="K252" s="142" t="b">
        <v>0</v>
      </c>
      <c r="L252" s="8" t="b">
        <v>0</v>
      </c>
    </row>
    <row r="253">
      <c r="B253" s="103"/>
      <c r="C253" s="121" t="str">
        <f t="array" ref="C253">ifs(and(isblank($A253),isblank($B253)),"", not(iserror(vlookup($A253&amp;$B253,'5) Release_Track'!$F:$F&amp;'5) Release_Track'!$G:$G,1,0))),vlookup($A253&amp;$B253,{'5) Release_Track'!$F:$F&amp;'5) Release_Track'!$G:$G,'5) Release_Track'!$H:$H},2,0), or(and(not(isblank($B253)),$B253=$B252,$A253&lt;&gt;$A252),and(not(isblank($A253)),$A253=$A252,$B253&lt;&gt;$B252)),"ID LISTS UNALIGNED",and($A253&lt;&gt;"",countif('5) Release_Track'!$F:$F,$A253)=0),"NO ISRC MATCH in Release_Track",and($B253&lt;&gt;"",countif('5) Release_Track'!$G:$G,$B253)=0),"NO CATALOG ID MATCH in Release_Track",iserror(vlookup($A253&amp;$B253,'5) Release_Track'!$F:$F&amp;'5) Release_Track'!$G:$G,1,0)),"NO ISRC-CATALOG ID pair MATCH in Release_Track" )</f>
        <v/>
      </c>
      <c r="D253" s="121" t="str">
        <f t="array" ref="D253">ifs(and(isblank($A253),isblank($B253)),"", not(iserror(vlookup($A253&amp;$B253,'5) Release_Track'!$F:$F&amp;'5) Release_Track'!$G:$G,1,0))),vlookup($A253&amp;$B253,{'5) Release_Track'!$F:$F&amp;'5) Release_Track'!$G:$G,'5) Release_Track'!$I:$I},2,0), or(and(not(isblank($B253)),$B253=$B252,$A253&lt;&gt;$A252),and(not(isblank($A253)),$A253=$A252,$B253&lt;&gt;$B252)),"ID LISTS UNALIGNED",and($A253&lt;&gt;"",countif('5) Release_Track'!$F:$F,$A253)=0),"NO ISRC MATCH in Release_Track",and($B253&lt;&gt;"",countif('5) Release_Track'!$G:$G,$B253)=0),"NO CATALOG ID MATCH in Release_Track",iserror(vlookup($A253&amp;$B253,'5) Release_Track'!$F:$F&amp;'5) Release_Track'!$G:$G,1,0)),"NO ISRC-CATALOG ID pair MATCH in Release_Track" )</f>
        <v/>
      </c>
      <c r="E253" s="142" t="b">
        <v>0</v>
      </c>
      <c r="F253" s="142" t="b">
        <v>0</v>
      </c>
      <c r="G253" s="142" t="b">
        <v>0</v>
      </c>
      <c r="H253" s="142" t="b">
        <v>0</v>
      </c>
      <c r="I253" s="142" t="b">
        <v>0</v>
      </c>
      <c r="J253" s="142" t="b">
        <v>0</v>
      </c>
      <c r="K253" s="142" t="b">
        <v>0</v>
      </c>
      <c r="L253" s="8" t="b">
        <v>0</v>
      </c>
    </row>
    <row r="254">
      <c r="B254" s="103"/>
      <c r="C254" s="121" t="str">
        <f t="array" ref="C254">ifs(and(isblank($A254),isblank($B254)),"", not(iserror(vlookup($A254&amp;$B254,'5) Release_Track'!$F:$F&amp;'5) Release_Track'!$G:$G,1,0))),vlookup($A254&amp;$B254,{'5) Release_Track'!$F:$F&amp;'5) Release_Track'!$G:$G,'5) Release_Track'!$H:$H},2,0), or(and(not(isblank($B254)),$B254=$B253,$A254&lt;&gt;$A253),and(not(isblank($A254)),$A254=$A253,$B254&lt;&gt;$B253)),"ID LISTS UNALIGNED",and($A254&lt;&gt;"",countif('5) Release_Track'!$F:$F,$A254)=0),"NO ISRC MATCH in Release_Track",and($B254&lt;&gt;"",countif('5) Release_Track'!$G:$G,$B254)=0),"NO CATALOG ID MATCH in Release_Track",iserror(vlookup($A254&amp;$B254,'5) Release_Track'!$F:$F&amp;'5) Release_Track'!$G:$G,1,0)),"NO ISRC-CATALOG ID pair MATCH in Release_Track" )</f>
        <v/>
      </c>
      <c r="D254" s="121" t="str">
        <f t="array" ref="D254">ifs(and(isblank($A254),isblank($B254)),"", not(iserror(vlookup($A254&amp;$B254,'5) Release_Track'!$F:$F&amp;'5) Release_Track'!$G:$G,1,0))),vlookup($A254&amp;$B254,{'5) Release_Track'!$F:$F&amp;'5) Release_Track'!$G:$G,'5) Release_Track'!$I:$I},2,0), or(and(not(isblank($B254)),$B254=$B253,$A254&lt;&gt;$A253),and(not(isblank($A254)),$A254=$A253,$B254&lt;&gt;$B253)),"ID LISTS UNALIGNED",and($A254&lt;&gt;"",countif('5) Release_Track'!$F:$F,$A254)=0),"NO ISRC MATCH in Release_Track",and($B254&lt;&gt;"",countif('5) Release_Track'!$G:$G,$B254)=0),"NO CATALOG ID MATCH in Release_Track",iserror(vlookup($A254&amp;$B254,'5) Release_Track'!$F:$F&amp;'5) Release_Track'!$G:$G,1,0)),"NO ISRC-CATALOG ID pair MATCH in Release_Track" )</f>
        <v/>
      </c>
      <c r="E254" s="142" t="b">
        <v>0</v>
      </c>
      <c r="F254" s="142" t="b">
        <v>0</v>
      </c>
      <c r="G254" s="142" t="b">
        <v>0</v>
      </c>
      <c r="H254" s="142" t="b">
        <v>0</v>
      </c>
      <c r="I254" s="142" t="b">
        <v>0</v>
      </c>
      <c r="J254" s="142" t="b">
        <v>0</v>
      </c>
      <c r="K254" s="142" t="b">
        <v>0</v>
      </c>
      <c r="L254" s="8" t="b">
        <v>0</v>
      </c>
    </row>
    <row r="255">
      <c r="B255" s="103"/>
      <c r="C255" s="121" t="str">
        <f t="array" ref="C255">ifs(and(isblank($A255),isblank($B255)),"", not(iserror(vlookup($A255&amp;$B255,'5) Release_Track'!$F:$F&amp;'5) Release_Track'!$G:$G,1,0))),vlookup($A255&amp;$B255,{'5) Release_Track'!$F:$F&amp;'5) Release_Track'!$G:$G,'5) Release_Track'!$H:$H},2,0), or(and(not(isblank($B255)),$B255=$B254,$A255&lt;&gt;$A254),and(not(isblank($A255)),$A255=$A254,$B255&lt;&gt;$B254)),"ID LISTS UNALIGNED",and($A255&lt;&gt;"",countif('5) Release_Track'!$F:$F,$A255)=0),"NO ISRC MATCH in Release_Track",and($B255&lt;&gt;"",countif('5) Release_Track'!$G:$G,$B255)=0),"NO CATALOG ID MATCH in Release_Track",iserror(vlookup($A255&amp;$B255,'5) Release_Track'!$F:$F&amp;'5) Release_Track'!$G:$G,1,0)),"NO ISRC-CATALOG ID pair MATCH in Release_Track" )</f>
        <v/>
      </c>
      <c r="D255" s="121" t="str">
        <f t="array" ref="D255">ifs(and(isblank($A255),isblank($B255)),"", not(iserror(vlookup($A255&amp;$B255,'5) Release_Track'!$F:$F&amp;'5) Release_Track'!$G:$G,1,0))),vlookup($A255&amp;$B255,{'5) Release_Track'!$F:$F&amp;'5) Release_Track'!$G:$G,'5) Release_Track'!$I:$I},2,0), or(and(not(isblank($B255)),$B255=$B254,$A255&lt;&gt;$A254),and(not(isblank($A255)),$A255=$A254,$B255&lt;&gt;$B254)),"ID LISTS UNALIGNED",and($A255&lt;&gt;"",countif('5) Release_Track'!$F:$F,$A255)=0),"NO ISRC MATCH in Release_Track",and($B255&lt;&gt;"",countif('5) Release_Track'!$G:$G,$B255)=0),"NO CATALOG ID MATCH in Release_Track",iserror(vlookup($A255&amp;$B255,'5) Release_Track'!$F:$F&amp;'5) Release_Track'!$G:$G,1,0)),"NO ISRC-CATALOG ID pair MATCH in Release_Track" )</f>
        <v/>
      </c>
      <c r="E255" s="142" t="b">
        <v>0</v>
      </c>
      <c r="F255" s="142" t="b">
        <v>0</v>
      </c>
      <c r="G255" s="142" t="b">
        <v>0</v>
      </c>
      <c r="H255" s="142" t="b">
        <v>0</v>
      </c>
      <c r="I255" s="142" t="b">
        <v>0</v>
      </c>
      <c r="J255" s="142" t="b">
        <v>0</v>
      </c>
      <c r="K255" s="142" t="b">
        <v>0</v>
      </c>
      <c r="L255" s="8" t="b">
        <v>0</v>
      </c>
    </row>
    <row r="256">
      <c r="B256" s="103"/>
      <c r="C256" s="121" t="str">
        <f t="array" ref="C256">ifs(and(isblank($A256),isblank($B256)),"", not(iserror(vlookup($A256&amp;$B256,'5) Release_Track'!$F:$F&amp;'5) Release_Track'!$G:$G,1,0))),vlookup($A256&amp;$B256,{'5) Release_Track'!$F:$F&amp;'5) Release_Track'!$G:$G,'5) Release_Track'!$H:$H},2,0), or(and(not(isblank($B256)),$B256=$B255,$A256&lt;&gt;$A255),and(not(isblank($A256)),$A256=$A255,$B256&lt;&gt;$B255)),"ID LISTS UNALIGNED",and($A256&lt;&gt;"",countif('5) Release_Track'!$F:$F,$A256)=0),"NO ISRC MATCH in Release_Track",and($B256&lt;&gt;"",countif('5) Release_Track'!$G:$G,$B256)=0),"NO CATALOG ID MATCH in Release_Track",iserror(vlookup($A256&amp;$B256,'5) Release_Track'!$F:$F&amp;'5) Release_Track'!$G:$G,1,0)),"NO ISRC-CATALOG ID pair MATCH in Release_Track" )</f>
        <v/>
      </c>
      <c r="D256" s="121" t="str">
        <f t="array" ref="D256">ifs(and(isblank($A256),isblank($B256)),"", not(iserror(vlookup($A256&amp;$B256,'5) Release_Track'!$F:$F&amp;'5) Release_Track'!$G:$G,1,0))),vlookup($A256&amp;$B256,{'5) Release_Track'!$F:$F&amp;'5) Release_Track'!$G:$G,'5) Release_Track'!$I:$I},2,0), or(and(not(isblank($B256)),$B256=$B255,$A256&lt;&gt;$A255),and(not(isblank($A256)),$A256=$A255,$B256&lt;&gt;$B255)),"ID LISTS UNALIGNED",and($A256&lt;&gt;"",countif('5) Release_Track'!$F:$F,$A256)=0),"NO ISRC MATCH in Release_Track",and($B256&lt;&gt;"",countif('5) Release_Track'!$G:$G,$B256)=0),"NO CATALOG ID MATCH in Release_Track",iserror(vlookup($A256&amp;$B256,'5) Release_Track'!$F:$F&amp;'5) Release_Track'!$G:$G,1,0)),"NO ISRC-CATALOG ID pair MATCH in Release_Track" )</f>
        <v/>
      </c>
      <c r="E256" s="142" t="b">
        <v>0</v>
      </c>
      <c r="F256" s="142" t="b">
        <v>0</v>
      </c>
      <c r="G256" s="142" t="b">
        <v>0</v>
      </c>
      <c r="H256" s="142" t="b">
        <v>0</v>
      </c>
      <c r="I256" s="142" t="b">
        <v>0</v>
      </c>
      <c r="J256" s="142" t="b">
        <v>0</v>
      </c>
      <c r="K256" s="142" t="b">
        <v>0</v>
      </c>
      <c r="L256" s="8" t="b">
        <v>0</v>
      </c>
    </row>
    <row r="257">
      <c r="B257" s="103"/>
      <c r="C257" s="121" t="str">
        <f t="array" ref="C257">ifs(and(isblank($A257),isblank($B257)),"", not(iserror(vlookup($A257&amp;$B257,'5) Release_Track'!$F:$F&amp;'5) Release_Track'!$G:$G,1,0))),vlookup($A257&amp;$B257,{'5) Release_Track'!$F:$F&amp;'5) Release_Track'!$G:$G,'5) Release_Track'!$H:$H},2,0), or(and(not(isblank($B257)),$B257=$B256,$A257&lt;&gt;$A256),and(not(isblank($A257)),$A257=$A256,$B257&lt;&gt;$B256)),"ID LISTS UNALIGNED",and($A257&lt;&gt;"",countif('5) Release_Track'!$F:$F,$A257)=0),"NO ISRC MATCH in Release_Track",and($B257&lt;&gt;"",countif('5) Release_Track'!$G:$G,$B257)=0),"NO CATALOG ID MATCH in Release_Track",iserror(vlookup($A257&amp;$B257,'5) Release_Track'!$F:$F&amp;'5) Release_Track'!$G:$G,1,0)),"NO ISRC-CATALOG ID pair MATCH in Release_Track" )</f>
        <v/>
      </c>
      <c r="D257" s="121" t="str">
        <f t="array" ref="D257">ifs(and(isblank($A257),isblank($B257)),"", not(iserror(vlookup($A257&amp;$B257,'5) Release_Track'!$F:$F&amp;'5) Release_Track'!$G:$G,1,0))),vlookup($A257&amp;$B257,{'5) Release_Track'!$F:$F&amp;'5) Release_Track'!$G:$G,'5) Release_Track'!$I:$I},2,0), or(and(not(isblank($B257)),$B257=$B256,$A257&lt;&gt;$A256),and(not(isblank($A257)),$A257=$A256,$B257&lt;&gt;$B256)),"ID LISTS UNALIGNED",and($A257&lt;&gt;"",countif('5) Release_Track'!$F:$F,$A257)=0),"NO ISRC MATCH in Release_Track",and($B257&lt;&gt;"",countif('5) Release_Track'!$G:$G,$B257)=0),"NO CATALOG ID MATCH in Release_Track",iserror(vlookup($A257&amp;$B257,'5) Release_Track'!$F:$F&amp;'5) Release_Track'!$G:$G,1,0)),"NO ISRC-CATALOG ID pair MATCH in Release_Track" )</f>
        <v/>
      </c>
      <c r="E257" s="142" t="b">
        <v>0</v>
      </c>
      <c r="F257" s="142" t="b">
        <v>0</v>
      </c>
      <c r="G257" s="142" t="b">
        <v>0</v>
      </c>
      <c r="H257" s="142" t="b">
        <v>0</v>
      </c>
      <c r="I257" s="142" t="b">
        <v>0</v>
      </c>
      <c r="J257" s="142" t="b">
        <v>0</v>
      </c>
      <c r="K257" s="142" t="b">
        <v>0</v>
      </c>
      <c r="L257" s="8" t="b">
        <v>0</v>
      </c>
    </row>
    <row r="258">
      <c r="B258" s="103"/>
      <c r="C258" s="121" t="str">
        <f t="array" ref="C258">ifs(and(isblank($A258),isblank($B258)),"", not(iserror(vlookup($A258&amp;$B258,'5) Release_Track'!$F:$F&amp;'5) Release_Track'!$G:$G,1,0))),vlookup($A258&amp;$B258,{'5) Release_Track'!$F:$F&amp;'5) Release_Track'!$G:$G,'5) Release_Track'!$H:$H},2,0), or(and(not(isblank($B258)),$B258=$B257,$A258&lt;&gt;$A257),and(not(isblank($A258)),$A258=$A257,$B258&lt;&gt;$B257)),"ID LISTS UNALIGNED",and($A258&lt;&gt;"",countif('5) Release_Track'!$F:$F,$A258)=0),"NO ISRC MATCH in Release_Track",and($B258&lt;&gt;"",countif('5) Release_Track'!$G:$G,$B258)=0),"NO CATALOG ID MATCH in Release_Track",iserror(vlookup($A258&amp;$B258,'5) Release_Track'!$F:$F&amp;'5) Release_Track'!$G:$G,1,0)),"NO ISRC-CATALOG ID pair MATCH in Release_Track" )</f>
        <v/>
      </c>
      <c r="D258" s="121" t="str">
        <f t="array" ref="D258">ifs(and(isblank($A258),isblank($B258)),"", not(iserror(vlookup($A258&amp;$B258,'5) Release_Track'!$F:$F&amp;'5) Release_Track'!$G:$G,1,0))),vlookup($A258&amp;$B258,{'5) Release_Track'!$F:$F&amp;'5) Release_Track'!$G:$G,'5) Release_Track'!$I:$I},2,0), or(and(not(isblank($B258)),$B258=$B257,$A258&lt;&gt;$A257),and(not(isblank($A258)),$A258=$A257,$B258&lt;&gt;$B257)),"ID LISTS UNALIGNED",and($A258&lt;&gt;"",countif('5) Release_Track'!$F:$F,$A258)=0),"NO ISRC MATCH in Release_Track",and($B258&lt;&gt;"",countif('5) Release_Track'!$G:$G,$B258)=0),"NO CATALOG ID MATCH in Release_Track",iserror(vlookup($A258&amp;$B258,'5) Release_Track'!$F:$F&amp;'5) Release_Track'!$G:$G,1,0)),"NO ISRC-CATALOG ID pair MATCH in Release_Track" )</f>
        <v/>
      </c>
      <c r="E258" s="142" t="b">
        <v>0</v>
      </c>
      <c r="F258" s="142" t="b">
        <v>0</v>
      </c>
      <c r="G258" s="142" t="b">
        <v>0</v>
      </c>
      <c r="H258" s="142" t="b">
        <v>0</v>
      </c>
      <c r="I258" s="142" t="b">
        <v>0</v>
      </c>
      <c r="J258" s="142" t="b">
        <v>0</v>
      </c>
      <c r="K258" s="142" t="b">
        <v>0</v>
      </c>
      <c r="L258" s="8" t="b">
        <v>0</v>
      </c>
    </row>
    <row r="259">
      <c r="B259" s="103"/>
      <c r="C259" s="121" t="str">
        <f t="array" ref="C259">ifs(and(isblank($A259),isblank($B259)),"", not(iserror(vlookup($A259&amp;$B259,'5) Release_Track'!$F:$F&amp;'5) Release_Track'!$G:$G,1,0))),vlookup($A259&amp;$B259,{'5) Release_Track'!$F:$F&amp;'5) Release_Track'!$G:$G,'5) Release_Track'!$H:$H},2,0), or(and(not(isblank($B259)),$B259=$B258,$A259&lt;&gt;$A258),and(not(isblank($A259)),$A259=$A258,$B259&lt;&gt;$B258)),"ID LISTS UNALIGNED",and($A259&lt;&gt;"",countif('5) Release_Track'!$F:$F,$A259)=0),"NO ISRC MATCH in Release_Track",and($B259&lt;&gt;"",countif('5) Release_Track'!$G:$G,$B259)=0),"NO CATALOG ID MATCH in Release_Track",iserror(vlookup($A259&amp;$B259,'5) Release_Track'!$F:$F&amp;'5) Release_Track'!$G:$G,1,0)),"NO ISRC-CATALOG ID pair MATCH in Release_Track" )</f>
        <v/>
      </c>
      <c r="D259" s="121" t="str">
        <f t="array" ref="D259">ifs(and(isblank($A259),isblank($B259)),"", not(iserror(vlookup($A259&amp;$B259,'5) Release_Track'!$F:$F&amp;'5) Release_Track'!$G:$G,1,0))),vlookup($A259&amp;$B259,{'5) Release_Track'!$F:$F&amp;'5) Release_Track'!$G:$G,'5) Release_Track'!$I:$I},2,0), or(and(not(isblank($B259)),$B259=$B258,$A259&lt;&gt;$A258),and(not(isblank($A259)),$A259=$A258,$B259&lt;&gt;$B258)),"ID LISTS UNALIGNED",and($A259&lt;&gt;"",countif('5) Release_Track'!$F:$F,$A259)=0),"NO ISRC MATCH in Release_Track",and($B259&lt;&gt;"",countif('5) Release_Track'!$G:$G,$B259)=0),"NO CATALOG ID MATCH in Release_Track",iserror(vlookup($A259&amp;$B259,'5) Release_Track'!$F:$F&amp;'5) Release_Track'!$G:$G,1,0)),"NO ISRC-CATALOG ID pair MATCH in Release_Track" )</f>
        <v/>
      </c>
      <c r="E259" s="142" t="b">
        <v>0</v>
      </c>
      <c r="F259" s="142" t="b">
        <v>0</v>
      </c>
      <c r="G259" s="142" t="b">
        <v>0</v>
      </c>
      <c r="H259" s="142" t="b">
        <v>0</v>
      </c>
      <c r="I259" s="142" t="b">
        <v>0</v>
      </c>
      <c r="J259" s="142" t="b">
        <v>0</v>
      </c>
      <c r="K259" s="142" t="b">
        <v>0</v>
      </c>
      <c r="L259" s="8" t="b">
        <v>0</v>
      </c>
    </row>
    <row r="260">
      <c r="B260" s="103"/>
      <c r="C260" s="121" t="str">
        <f t="array" ref="C260">ifs(and(isblank($A260),isblank($B260)),"", not(iserror(vlookup($A260&amp;$B260,'5) Release_Track'!$F:$F&amp;'5) Release_Track'!$G:$G,1,0))),vlookup($A260&amp;$B260,{'5) Release_Track'!$F:$F&amp;'5) Release_Track'!$G:$G,'5) Release_Track'!$H:$H},2,0), or(and(not(isblank($B260)),$B260=$B259,$A260&lt;&gt;$A259),and(not(isblank($A260)),$A260=$A259,$B260&lt;&gt;$B259)),"ID LISTS UNALIGNED",and($A260&lt;&gt;"",countif('5) Release_Track'!$F:$F,$A260)=0),"NO ISRC MATCH in Release_Track",and($B260&lt;&gt;"",countif('5) Release_Track'!$G:$G,$B260)=0),"NO CATALOG ID MATCH in Release_Track",iserror(vlookup($A260&amp;$B260,'5) Release_Track'!$F:$F&amp;'5) Release_Track'!$G:$G,1,0)),"NO ISRC-CATALOG ID pair MATCH in Release_Track" )</f>
        <v/>
      </c>
      <c r="D260" s="121" t="str">
        <f t="array" ref="D260">ifs(and(isblank($A260),isblank($B260)),"", not(iserror(vlookup($A260&amp;$B260,'5) Release_Track'!$F:$F&amp;'5) Release_Track'!$G:$G,1,0))),vlookup($A260&amp;$B260,{'5) Release_Track'!$F:$F&amp;'5) Release_Track'!$G:$G,'5) Release_Track'!$I:$I},2,0), or(and(not(isblank($B260)),$B260=$B259,$A260&lt;&gt;$A259),and(not(isblank($A260)),$A260=$A259,$B260&lt;&gt;$B259)),"ID LISTS UNALIGNED",and($A260&lt;&gt;"",countif('5) Release_Track'!$F:$F,$A260)=0),"NO ISRC MATCH in Release_Track",and($B260&lt;&gt;"",countif('5) Release_Track'!$G:$G,$B260)=0),"NO CATALOG ID MATCH in Release_Track",iserror(vlookup($A260&amp;$B260,'5) Release_Track'!$F:$F&amp;'5) Release_Track'!$G:$G,1,0)),"NO ISRC-CATALOG ID pair MATCH in Release_Track" )</f>
        <v/>
      </c>
      <c r="E260" s="142" t="b">
        <v>0</v>
      </c>
      <c r="F260" s="142" t="b">
        <v>0</v>
      </c>
      <c r="G260" s="142" t="b">
        <v>0</v>
      </c>
      <c r="H260" s="142" t="b">
        <v>0</v>
      </c>
      <c r="I260" s="142" t="b">
        <v>0</v>
      </c>
      <c r="J260" s="142" t="b">
        <v>0</v>
      </c>
      <c r="K260" s="142" t="b">
        <v>0</v>
      </c>
      <c r="L260" s="8" t="b">
        <v>0</v>
      </c>
    </row>
    <row r="261">
      <c r="B261" s="103"/>
      <c r="C261" s="121" t="str">
        <f t="array" ref="C261">ifs(and(isblank($A261),isblank($B261)),"", not(iserror(vlookup($A261&amp;$B261,'5) Release_Track'!$F:$F&amp;'5) Release_Track'!$G:$G,1,0))),vlookup($A261&amp;$B261,{'5) Release_Track'!$F:$F&amp;'5) Release_Track'!$G:$G,'5) Release_Track'!$H:$H},2,0), or(and(not(isblank($B261)),$B261=$B260,$A261&lt;&gt;$A260),and(not(isblank($A261)),$A261=$A260,$B261&lt;&gt;$B260)),"ID LISTS UNALIGNED",and($A261&lt;&gt;"",countif('5) Release_Track'!$F:$F,$A261)=0),"NO ISRC MATCH in Release_Track",and($B261&lt;&gt;"",countif('5) Release_Track'!$G:$G,$B261)=0),"NO CATALOG ID MATCH in Release_Track",iserror(vlookup($A261&amp;$B261,'5) Release_Track'!$F:$F&amp;'5) Release_Track'!$G:$G,1,0)),"NO ISRC-CATALOG ID pair MATCH in Release_Track" )</f>
        <v/>
      </c>
      <c r="D261" s="121" t="str">
        <f t="array" ref="D261">ifs(and(isblank($A261),isblank($B261)),"", not(iserror(vlookup($A261&amp;$B261,'5) Release_Track'!$F:$F&amp;'5) Release_Track'!$G:$G,1,0))),vlookup($A261&amp;$B261,{'5) Release_Track'!$F:$F&amp;'5) Release_Track'!$G:$G,'5) Release_Track'!$I:$I},2,0), or(and(not(isblank($B261)),$B261=$B260,$A261&lt;&gt;$A260),and(not(isblank($A261)),$A261=$A260,$B261&lt;&gt;$B260)),"ID LISTS UNALIGNED",and($A261&lt;&gt;"",countif('5) Release_Track'!$F:$F,$A261)=0),"NO ISRC MATCH in Release_Track",and($B261&lt;&gt;"",countif('5) Release_Track'!$G:$G,$B261)=0),"NO CATALOG ID MATCH in Release_Track",iserror(vlookup($A261&amp;$B261,'5) Release_Track'!$F:$F&amp;'5) Release_Track'!$G:$G,1,0)),"NO ISRC-CATALOG ID pair MATCH in Release_Track" )</f>
        <v/>
      </c>
      <c r="E261" s="142" t="b">
        <v>0</v>
      </c>
      <c r="F261" s="142" t="b">
        <v>0</v>
      </c>
      <c r="G261" s="142" t="b">
        <v>0</v>
      </c>
      <c r="H261" s="142" t="b">
        <v>0</v>
      </c>
      <c r="I261" s="142" t="b">
        <v>0</v>
      </c>
      <c r="J261" s="142" t="b">
        <v>0</v>
      </c>
      <c r="K261" s="142" t="b">
        <v>0</v>
      </c>
      <c r="L261" s="8" t="b">
        <v>0</v>
      </c>
    </row>
    <row r="262">
      <c r="B262" s="103"/>
      <c r="C262" s="121" t="str">
        <f t="array" ref="C262">ifs(and(isblank($A262),isblank($B262)),"", not(iserror(vlookup($A262&amp;$B262,'5) Release_Track'!$F:$F&amp;'5) Release_Track'!$G:$G,1,0))),vlookup($A262&amp;$B262,{'5) Release_Track'!$F:$F&amp;'5) Release_Track'!$G:$G,'5) Release_Track'!$H:$H},2,0), or(and(not(isblank($B262)),$B262=$B261,$A262&lt;&gt;$A261),and(not(isblank($A262)),$A262=$A261,$B262&lt;&gt;$B261)),"ID LISTS UNALIGNED",and($A262&lt;&gt;"",countif('5) Release_Track'!$F:$F,$A262)=0),"NO ISRC MATCH in Release_Track",and($B262&lt;&gt;"",countif('5) Release_Track'!$G:$G,$B262)=0),"NO CATALOG ID MATCH in Release_Track",iserror(vlookup($A262&amp;$B262,'5) Release_Track'!$F:$F&amp;'5) Release_Track'!$G:$G,1,0)),"NO ISRC-CATALOG ID pair MATCH in Release_Track" )</f>
        <v/>
      </c>
      <c r="D262" s="121" t="str">
        <f t="array" ref="D262">ifs(and(isblank($A262),isblank($B262)),"", not(iserror(vlookup($A262&amp;$B262,'5) Release_Track'!$F:$F&amp;'5) Release_Track'!$G:$G,1,0))),vlookup($A262&amp;$B262,{'5) Release_Track'!$F:$F&amp;'5) Release_Track'!$G:$G,'5) Release_Track'!$I:$I},2,0), or(and(not(isblank($B262)),$B262=$B261,$A262&lt;&gt;$A261),and(not(isblank($A262)),$A262=$A261,$B262&lt;&gt;$B261)),"ID LISTS UNALIGNED",and($A262&lt;&gt;"",countif('5) Release_Track'!$F:$F,$A262)=0),"NO ISRC MATCH in Release_Track",and($B262&lt;&gt;"",countif('5) Release_Track'!$G:$G,$B262)=0),"NO CATALOG ID MATCH in Release_Track",iserror(vlookup($A262&amp;$B262,'5) Release_Track'!$F:$F&amp;'5) Release_Track'!$G:$G,1,0)),"NO ISRC-CATALOG ID pair MATCH in Release_Track" )</f>
        <v/>
      </c>
      <c r="E262" s="142" t="b">
        <v>0</v>
      </c>
      <c r="F262" s="142" t="b">
        <v>0</v>
      </c>
      <c r="G262" s="142" t="b">
        <v>0</v>
      </c>
      <c r="H262" s="142" t="b">
        <v>0</v>
      </c>
      <c r="I262" s="142" t="b">
        <v>0</v>
      </c>
      <c r="J262" s="142" t="b">
        <v>0</v>
      </c>
      <c r="K262" s="142" t="b">
        <v>0</v>
      </c>
      <c r="L262" s="8" t="b">
        <v>0</v>
      </c>
    </row>
    <row r="263">
      <c r="B263" s="103"/>
      <c r="C263" s="121" t="str">
        <f t="array" ref="C263">ifs(and(isblank($A263),isblank($B263)),"", not(iserror(vlookup($A263&amp;$B263,'5) Release_Track'!$F:$F&amp;'5) Release_Track'!$G:$G,1,0))),vlookup($A263&amp;$B263,{'5) Release_Track'!$F:$F&amp;'5) Release_Track'!$G:$G,'5) Release_Track'!$H:$H},2,0), or(and(not(isblank($B263)),$B263=$B262,$A263&lt;&gt;$A262),and(not(isblank($A263)),$A263=$A262,$B263&lt;&gt;$B262)),"ID LISTS UNALIGNED",and($A263&lt;&gt;"",countif('5) Release_Track'!$F:$F,$A263)=0),"NO ISRC MATCH in Release_Track",and($B263&lt;&gt;"",countif('5) Release_Track'!$G:$G,$B263)=0),"NO CATALOG ID MATCH in Release_Track",iserror(vlookup($A263&amp;$B263,'5) Release_Track'!$F:$F&amp;'5) Release_Track'!$G:$G,1,0)),"NO ISRC-CATALOG ID pair MATCH in Release_Track" )</f>
        <v/>
      </c>
      <c r="D263" s="121" t="str">
        <f t="array" ref="D263">ifs(and(isblank($A263),isblank($B263)),"", not(iserror(vlookup($A263&amp;$B263,'5) Release_Track'!$F:$F&amp;'5) Release_Track'!$G:$G,1,0))),vlookup($A263&amp;$B263,{'5) Release_Track'!$F:$F&amp;'5) Release_Track'!$G:$G,'5) Release_Track'!$I:$I},2,0), or(and(not(isblank($B263)),$B263=$B262,$A263&lt;&gt;$A262),and(not(isblank($A263)),$A263=$A262,$B263&lt;&gt;$B262)),"ID LISTS UNALIGNED",and($A263&lt;&gt;"",countif('5) Release_Track'!$F:$F,$A263)=0),"NO ISRC MATCH in Release_Track",and($B263&lt;&gt;"",countif('5) Release_Track'!$G:$G,$B263)=0),"NO CATALOG ID MATCH in Release_Track",iserror(vlookup($A263&amp;$B263,'5) Release_Track'!$F:$F&amp;'5) Release_Track'!$G:$G,1,0)),"NO ISRC-CATALOG ID pair MATCH in Release_Track" )</f>
        <v/>
      </c>
      <c r="E263" s="142" t="b">
        <v>0</v>
      </c>
      <c r="F263" s="142" t="b">
        <v>0</v>
      </c>
      <c r="G263" s="142" t="b">
        <v>0</v>
      </c>
      <c r="H263" s="142" t="b">
        <v>0</v>
      </c>
      <c r="I263" s="142" t="b">
        <v>0</v>
      </c>
      <c r="J263" s="142" t="b">
        <v>0</v>
      </c>
      <c r="K263" s="142" t="b">
        <v>0</v>
      </c>
      <c r="L263" s="8" t="b">
        <v>0</v>
      </c>
    </row>
    <row r="264">
      <c r="B264" s="103"/>
      <c r="C264" s="121" t="str">
        <f t="array" ref="C264">ifs(and(isblank($A264),isblank($B264)),"", not(iserror(vlookup($A264&amp;$B264,'5) Release_Track'!$F:$F&amp;'5) Release_Track'!$G:$G,1,0))),vlookup($A264&amp;$B264,{'5) Release_Track'!$F:$F&amp;'5) Release_Track'!$G:$G,'5) Release_Track'!$H:$H},2,0), or(and(not(isblank($B264)),$B264=$B263,$A264&lt;&gt;$A263),and(not(isblank($A264)),$A264=$A263,$B264&lt;&gt;$B263)),"ID LISTS UNALIGNED",and($A264&lt;&gt;"",countif('5) Release_Track'!$F:$F,$A264)=0),"NO ISRC MATCH in Release_Track",and($B264&lt;&gt;"",countif('5) Release_Track'!$G:$G,$B264)=0),"NO CATALOG ID MATCH in Release_Track",iserror(vlookup($A264&amp;$B264,'5) Release_Track'!$F:$F&amp;'5) Release_Track'!$G:$G,1,0)),"NO ISRC-CATALOG ID pair MATCH in Release_Track" )</f>
        <v/>
      </c>
      <c r="D264" s="121" t="str">
        <f t="array" ref="D264">ifs(and(isblank($A264),isblank($B264)),"", not(iserror(vlookup($A264&amp;$B264,'5) Release_Track'!$F:$F&amp;'5) Release_Track'!$G:$G,1,0))),vlookup($A264&amp;$B264,{'5) Release_Track'!$F:$F&amp;'5) Release_Track'!$G:$G,'5) Release_Track'!$I:$I},2,0), or(and(not(isblank($B264)),$B264=$B263,$A264&lt;&gt;$A263),and(not(isblank($A264)),$A264=$A263,$B264&lt;&gt;$B263)),"ID LISTS UNALIGNED",and($A264&lt;&gt;"",countif('5) Release_Track'!$F:$F,$A264)=0),"NO ISRC MATCH in Release_Track",and($B264&lt;&gt;"",countif('5) Release_Track'!$G:$G,$B264)=0),"NO CATALOG ID MATCH in Release_Track",iserror(vlookup($A264&amp;$B264,'5) Release_Track'!$F:$F&amp;'5) Release_Track'!$G:$G,1,0)),"NO ISRC-CATALOG ID pair MATCH in Release_Track" )</f>
        <v/>
      </c>
      <c r="E264" s="142" t="b">
        <v>0</v>
      </c>
      <c r="F264" s="142" t="b">
        <v>0</v>
      </c>
      <c r="G264" s="142" t="b">
        <v>0</v>
      </c>
      <c r="H264" s="142" t="b">
        <v>0</v>
      </c>
      <c r="I264" s="142" t="b">
        <v>0</v>
      </c>
      <c r="J264" s="142" t="b">
        <v>0</v>
      </c>
      <c r="K264" s="142" t="b">
        <v>0</v>
      </c>
      <c r="L264" s="8" t="b">
        <v>0</v>
      </c>
    </row>
    <row r="265">
      <c r="B265" s="103"/>
      <c r="C265" s="121" t="str">
        <f t="array" ref="C265">ifs(and(isblank($A265),isblank($B265)),"", not(iserror(vlookup($A265&amp;$B265,'5) Release_Track'!$F:$F&amp;'5) Release_Track'!$G:$G,1,0))),vlookup($A265&amp;$B265,{'5) Release_Track'!$F:$F&amp;'5) Release_Track'!$G:$G,'5) Release_Track'!$H:$H},2,0), or(and(not(isblank($B265)),$B265=$B264,$A265&lt;&gt;$A264),and(not(isblank($A265)),$A265=$A264,$B265&lt;&gt;$B264)),"ID LISTS UNALIGNED",and($A265&lt;&gt;"",countif('5) Release_Track'!$F:$F,$A265)=0),"NO ISRC MATCH in Release_Track",and($B265&lt;&gt;"",countif('5) Release_Track'!$G:$G,$B265)=0),"NO CATALOG ID MATCH in Release_Track",iserror(vlookup($A265&amp;$B265,'5) Release_Track'!$F:$F&amp;'5) Release_Track'!$G:$G,1,0)),"NO ISRC-CATALOG ID pair MATCH in Release_Track" )</f>
        <v/>
      </c>
      <c r="D265" s="121" t="str">
        <f t="array" ref="D265">ifs(and(isblank($A265),isblank($B265)),"", not(iserror(vlookup($A265&amp;$B265,'5) Release_Track'!$F:$F&amp;'5) Release_Track'!$G:$G,1,0))),vlookup($A265&amp;$B265,{'5) Release_Track'!$F:$F&amp;'5) Release_Track'!$G:$G,'5) Release_Track'!$I:$I},2,0), or(and(not(isblank($B265)),$B265=$B264,$A265&lt;&gt;$A264),and(not(isblank($A265)),$A265=$A264,$B265&lt;&gt;$B264)),"ID LISTS UNALIGNED",and($A265&lt;&gt;"",countif('5) Release_Track'!$F:$F,$A265)=0),"NO ISRC MATCH in Release_Track",and($B265&lt;&gt;"",countif('5) Release_Track'!$G:$G,$B265)=0),"NO CATALOG ID MATCH in Release_Track",iserror(vlookup($A265&amp;$B265,'5) Release_Track'!$F:$F&amp;'5) Release_Track'!$G:$G,1,0)),"NO ISRC-CATALOG ID pair MATCH in Release_Track" )</f>
        <v/>
      </c>
      <c r="E265" s="142" t="b">
        <v>0</v>
      </c>
      <c r="F265" s="142" t="b">
        <v>0</v>
      </c>
      <c r="G265" s="142" t="b">
        <v>0</v>
      </c>
      <c r="H265" s="142" t="b">
        <v>0</v>
      </c>
      <c r="I265" s="142" t="b">
        <v>0</v>
      </c>
      <c r="J265" s="142" t="b">
        <v>0</v>
      </c>
      <c r="K265" s="142" t="b">
        <v>0</v>
      </c>
      <c r="L265" s="8" t="b">
        <v>0</v>
      </c>
    </row>
    <row r="266">
      <c r="B266" s="103"/>
      <c r="C266" s="121" t="str">
        <f t="array" ref="C266">ifs(and(isblank($A266),isblank($B266)),"", not(iserror(vlookup($A266&amp;$B266,'5) Release_Track'!$F:$F&amp;'5) Release_Track'!$G:$G,1,0))),vlookup($A266&amp;$B266,{'5) Release_Track'!$F:$F&amp;'5) Release_Track'!$G:$G,'5) Release_Track'!$H:$H},2,0), or(and(not(isblank($B266)),$B266=$B265,$A266&lt;&gt;$A265),and(not(isblank($A266)),$A266=$A265,$B266&lt;&gt;$B265)),"ID LISTS UNALIGNED",and($A266&lt;&gt;"",countif('5) Release_Track'!$F:$F,$A266)=0),"NO ISRC MATCH in Release_Track",and($B266&lt;&gt;"",countif('5) Release_Track'!$G:$G,$B266)=0),"NO CATALOG ID MATCH in Release_Track",iserror(vlookup($A266&amp;$B266,'5) Release_Track'!$F:$F&amp;'5) Release_Track'!$G:$G,1,0)),"NO ISRC-CATALOG ID pair MATCH in Release_Track" )</f>
        <v/>
      </c>
      <c r="D266" s="121" t="str">
        <f t="array" ref="D266">ifs(and(isblank($A266),isblank($B266)),"", not(iserror(vlookup($A266&amp;$B266,'5) Release_Track'!$F:$F&amp;'5) Release_Track'!$G:$G,1,0))),vlookup($A266&amp;$B266,{'5) Release_Track'!$F:$F&amp;'5) Release_Track'!$G:$G,'5) Release_Track'!$I:$I},2,0), or(and(not(isblank($B266)),$B266=$B265,$A266&lt;&gt;$A265),and(not(isblank($A266)),$A266=$A265,$B266&lt;&gt;$B265)),"ID LISTS UNALIGNED",and($A266&lt;&gt;"",countif('5) Release_Track'!$F:$F,$A266)=0),"NO ISRC MATCH in Release_Track",and($B266&lt;&gt;"",countif('5) Release_Track'!$G:$G,$B266)=0),"NO CATALOG ID MATCH in Release_Track",iserror(vlookup($A266&amp;$B266,'5) Release_Track'!$F:$F&amp;'5) Release_Track'!$G:$G,1,0)),"NO ISRC-CATALOG ID pair MATCH in Release_Track" )</f>
        <v/>
      </c>
      <c r="E266" s="142" t="b">
        <v>0</v>
      </c>
      <c r="F266" s="142" t="b">
        <v>0</v>
      </c>
      <c r="G266" s="142" t="b">
        <v>0</v>
      </c>
      <c r="H266" s="142" t="b">
        <v>0</v>
      </c>
      <c r="I266" s="142" t="b">
        <v>0</v>
      </c>
      <c r="J266" s="142" t="b">
        <v>0</v>
      </c>
      <c r="K266" s="142" t="b">
        <v>0</v>
      </c>
      <c r="L266" s="8" t="b">
        <v>0</v>
      </c>
    </row>
    <row r="267">
      <c r="B267" s="103"/>
      <c r="C267" s="121" t="str">
        <f t="array" ref="C267">ifs(and(isblank($A267),isblank($B267)),"", not(iserror(vlookup($A267&amp;$B267,'5) Release_Track'!$F:$F&amp;'5) Release_Track'!$G:$G,1,0))),vlookup($A267&amp;$B267,{'5) Release_Track'!$F:$F&amp;'5) Release_Track'!$G:$G,'5) Release_Track'!$H:$H},2,0), or(and(not(isblank($B267)),$B267=$B266,$A267&lt;&gt;$A266),and(not(isblank($A267)),$A267=$A266,$B267&lt;&gt;$B266)),"ID LISTS UNALIGNED",and($A267&lt;&gt;"",countif('5) Release_Track'!$F:$F,$A267)=0),"NO ISRC MATCH in Release_Track",and($B267&lt;&gt;"",countif('5) Release_Track'!$G:$G,$B267)=0),"NO CATALOG ID MATCH in Release_Track",iserror(vlookup($A267&amp;$B267,'5) Release_Track'!$F:$F&amp;'5) Release_Track'!$G:$G,1,0)),"NO ISRC-CATALOG ID pair MATCH in Release_Track" )</f>
        <v/>
      </c>
      <c r="D267" s="121" t="str">
        <f t="array" ref="D267">ifs(and(isblank($A267),isblank($B267)),"", not(iserror(vlookup($A267&amp;$B267,'5) Release_Track'!$F:$F&amp;'5) Release_Track'!$G:$G,1,0))),vlookup($A267&amp;$B267,{'5) Release_Track'!$F:$F&amp;'5) Release_Track'!$G:$G,'5) Release_Track'!$I:$I},2,0), or(and(not(isblank($B267)),$B267=$B266,$A267&lt;&gt;$A266),and(not(isblank($A267)),$A267=$A266,$B267&lt;&gt;$B266)),"ID LISTS UNALIGNED",and($A267&lt;&gt;"",countif('5) Release_Track'!$F:$F,$A267)=0),"NO ISRC MATCH in Release_Track",and($B267&lt;&gt;"",countif('5) Release_Track'!$G:$G,$B267)=0),"NO CATALOG ID MATCH in Release_Track",iserror(vlookup($A267&amp;$B267,'5) Release_Track'!$F:$F&amp;'5) Release_Track'!$G:$G,1,0)),"NO ISRC-CATALOG ID pair MATCH in Release_Track" )</f>
        <v/>
      </c>
      <c r="E267" s="142" t="b">
        <v>0</v>
      </c>
      <c r="F267" s="142" t="b">
        <v>0</v>
      </c>
      <c r="G267" s="142" t="b">
        <v>0</v>
      </c>
      <c r="H267" s="142" t="b">
        <v>0</v>
      </c>
      <c r="I267" s="142" t="b">
        <v>0</v>
      </c>
      <c r="J267" s="142" t="b">
        <v>0</v>
      </c>
      <c r="K267" s="142" t="b">
        <v>0</v>
      </c>
      <c r="L267" s="8" t="b">
        <v>0</v>
      </c>
    </row>
    <row r="268">
      <c r="B268" s="103"/>
      <c r="C268" s="121" t="str">
        <f t="array" ref="C268">ifs(and(isblank($A268),isblank($B268)),"", not(iserror(vlookup($A268&amp;$B268,'5) Release_Track'!$F:$F&amp;'5) Release_Track'!$G:$G,1,0))),vlookup($A268&amp;$B268,{'5) Release_Track'!$F:$F&amp;'5) Release_Track'!$G:$G,'5) Release_Track'!$H:$H},2,0), or(and(not(isblank($B268)),$B268=$B267,$A268&lt;&gt;$A267),and(not(isblank($A268)),$A268=$A267,$B268&lt;&gt;$B267)),"ID LISTS UNALIGNED",and($A268&lt;&gt;"",countif('5) Release_Track'!$F:$F,$A268)=0),"NO ISRC MATCH in Release_Track",and($B268&lt;&gt;"",countif('5) Release_Track'!$G:$G,$B268)=0),"NO CATALOG ID MATCH in Release_Track",iserror(vlookup($A268&amp;$B268,'5) Release_Track'!$F:$F&amp;'5) Release_Track'!$G:$G,1,0)),"NO ISRC-CATALOG ID pair MATCH in Release_Track" )</f>
        <v/>
      </c>
      <c r="D268" s="121" t="str">
        <f t="array" ref="D268">ifs(and(isblank($A268),isblank($B268)),"", not(iserror(vlookup($A268&amp;$B268,'5) Release_Track'!$F:$F&amp;'5) Release_Track'!$G:$G,1,0))),vlookup($A268&amp;$B268,{'5) Release_Track'!$F:$F&amp;'5) Release_Track'!$G:$G,'5) Release_Track'!$I:$I},2,0), or(and(not(isblank($B268)),$B268=$B267,$A268&lt;&gt;$A267),and(not(isblank($A268)),$A268=$A267,$B268&lt;&gt;$B267)),"ID LISTS UNALIGNED",and($A268&lt;&gt;"",countif('5) Release_Track'!$F:$F,$A268)=0),"NO ISRC MATCH in Release_Track",and($B268&lt;&gt;"",countif('5) Release_Track'!$G:$G,$B268)=0),"NO CATALOG ID MATCH in Release_Track",iserror(vlookup($A268&amp;$B268,'5) Release_Track'!$F:$F&amp;'5) Release_Track'!$G:$G,1,0)),"NO ISRC-CATALOG ID pair MATCH in Release_Track" )</f>
        <v/>
      </c>
      <c r="E268" s="142" t="b">
        <v>0</v>
      </c>
      <c r="F268" s="142" t="b">
        <v>0</v>
      </c>
      <c r="G268" s="142" t="b">
        <v>0</v>
      </c>
      <c r="H268" s="142" t="b">
        <v>0</v>
      </c>
      <c r="I268" s="142" t="b">
        <v>0</v>
      </c>
      <c r="J268" s="142" t="b">
        <v>0</v>
      </c>
      <c r="K268" s="142" t="b">
        <v>0</v>
      </c>
      <c r="L268" s="8" t="b">
        <v>0</v>
      </c>
    </row>
    <row r="269">
      <c r="B269" s="103"/>
      <c r="C269" s="121" t="str">
        <f t="array" ref="C269">ifs(and(isblank($A269),isblank($B269)),"", not(iserror(vlookup($A269&amp;$B269,'5) Release_Track'!$F:$F&amp;'5) Release_Track'!$G:$G,1,0))),vlookup($A269&amp;$B269,{'5) Release_Track'!$F:$F&amp;'5) Release_Track'!$G:$G,'5) Release_Track'!$H:$H},2,0), or(and(not(isblank($B269)),$B269=$B268,$A269&lt;&gt;$A268),and(not(isblank($A269)),$A269=$A268,$B269&lt;&gt;$B268)),"ID LISTS UNALIGNED",and($A269&lt;&gt;"",countif('5) Release_Track'!$F:$F,$A269)=0),"NO ISRC MATCH in Release_Track",and($B269&lt;&gt;"",countif('5) Release_Track'!$G:$G,$B269)=0),"NO CATALOG ID MATCH in Release_Track",iserror(vlookup($A269&amp;$B269,'5) Release_Track'!$F:$F&amp;'5) Release_Track'!$G:$G,1,0)),"NO ISRC-CATALOG ID pair MATCH in Release_Track" )</f>
        <v/>
      </c>
      <c r="D269" s="121" t="str">
        <f t="array" ref="D269">ifs(and(isblank($A269),isblank($B269)),"", not(iserror(vlookup($A269&amp;$B269,'5) Release_Track'!$F:$F&amp;'5) Release_Track'!$G:$G,1,0))),vlookup($A269&amp;$B269,{'5) Release_Track'!$F:$F&amp;'5) Release_Track'!$G:$G,'5) Release_Track'!$I:$I},2,0), or(and(not(isblank($B269)),$B269=$B268,$A269&lt;&gt;$A268),and(not(isblank($A269)),$A269=$A268,$B269&lt;&gt;$B268)),"ID LISTS UNALIGNED",and($A269&lt;&gt;"",countif('5) Release_Track'!$F:$F,$A269)=0),"NO ISRC MATCH in Release_Track",and($B269&lt;&gt;"",countif('5) Release_Track'!$G:$G,$B269)=0),"NO CATALOG ID MATCH in Release_Track",iserror(vlookup($A269&amp;$B269,'5) Release_Track'!$F:$F&amp;'5) Release_Track'!$G:$G,1,0)),"NO ISRC-CATALOG ID pair MATCH in Release_Track" )</f>
        <v/>
      </c>
      <c r="E269" s="142" t="b">
        <v>0</v>
      </c>
      <c r="F269" s="142" t="b">
        <v>0</v>
      </c>
      <c r="G269" s="142" t="b">
        <v>0</v>
      </c>
      <c r="H269" s="142" t="b">
        <v>0</v>
      </c>
      <c r="I269" s="142" t="b">
        <v>0</v>
      </c>
      <c r="J269" s="142" t="b">
        <v>0</v>
      </c>
      <c r="K269" s="142" t="b">
        <v>0</v>
      </c>
      <c r="L269" s="8" t="b">
        <v>0</v>
      </c>
    </row>
    <row r="270">
      <c r="B270" s="103"/>
      <c r="C270" s="121" t="str">
        <f t="array" ref="C270">ifs(and(isblank($A270),isblank($B270)),"", not(iserror(vlookup($A270&amp;$B270,'5) Release_Track'!$F:$F&amp;'5) Release_Track'!$G:$G,1,0))),vlookup($A270&amp;$B270,{'5) Release_Track'!$F:$F&amp;'5) Release_Track'!$G:$G,'5) Release_Track'!$H:$H},2,0), or(and(not(isblank($B270)),$B270=$B269,$A270&lt;&gt;$A269),and(not(isblank($A270)),$A270=$A269,$B270&lt;&gt;$B269)),"ID LISTS UNALIGNED",and($A270&lt;&gt;"",countif('5) Release_Track'!$F:$F,$A270)=0),"NO ISRC MATCH in Release_Track",and($B270&lt;&gt;"",countif('5) Release_Track'!$G:$G,$B270)=0),"NO CATALOG ID MATCH in Release_Track",iserror(vlookup($A270&amp;$B270,'5) Release_Track'!$F:$F&amp;'5) Release_Track'!$G:$G,1,0)),"NO ISRC-CATALOG ID pair MATCH in Release_Track" )</f>
        <v/>
      </c>
      <c r="D270" s="121" t="str">
        <f t="array" ref="D270">ifs(and(isblank($A270),isblank($B270)),"", not(iserror(vlookup($A270&amp;$B270,'5) Release_Track'!$F:$F&amp;'5) Release_Track'!$G:$G,1,0))),vlookup($A270&amp;$B270,{'5) Release_Track'!$F:$F&amp;'5) Release_Track'!$G:$G,'5) Release_Track'!$I:$I},2,0), or(and(not(isblank($B270)),$B270=$B269,$A270&lt;&gt;$A269),and(not(isblank($A270)),$A270=$A269,$B270&lt;&gt;$B269)),"ID LISTS UNALIGNED",and($A270&lt;&gt;"",countif('5) Release_Track'!$F:$F,$A270)=0),"NO ISRC MATCH in Release_Track",and($B270&lt;&gt;"",countif('5) Release_Track'!$G:$G,$B270)=0),"NO CATALOG ID MATCH in Release_Track",iserror(vlookup($A270&amp;$B270,'5) Release_Track'!$F:$F&amp;'5) Release_Track'!$G:$G,1,0)),"NO ISRC-CATALOG ID pair MATCH in Release_Track" )</f>
        <v/>
      </c>
      <c r="E270" s="142" t="b">
        <v>0</v>
      </c>
      <c r="F270" s="142" t="b">
        <v>0</v>
      </c>
      <c r="G270" s="142" t="b">
        <v>0</v>
      </c>
      <c r="H270" s="142" t="b">
        <v>0</v>
      </c>
      <c r="I270" s="142" t="b">
        <v>0</v>
      </c>
      <c r="J270" s="142" t="b">
        <v>0</v>
      </c>
      <c r="K270" s="142" t="b">
        <v>0</v>
      </c>
      <c r="L270" s="8" t="b">
        <v>0</v>
      </c>
    </row>
    <row r="271">
      <c r="B271" s="103"/>
      <c r="C271" s="121" t="str">
        <f t="array" ref="C271">ifs(and(isblank($A271),isblank($B271)),"", not(iserror(vlookup($A271&amp;$B271,'5) Release_Track'!$F:$F&amp;'5) Release_Track'!$G:$G,1,0))),vlookup($A271&amp;$B271,{'5) Release_Track'!$F:$F&amp;'5) Release_Track'!$G:$G,'5) Release_Track'!$H:$H},2,0), or(and(not(isblank($B271)),$B271=$B270,$A271&lt;&gt;$A270),and(not(isblank($A271)),$A271=$A270,$B271&lt;&gt;$B270)),"ID LISTS UNALIGNED",and($A271&lt;&gt;"",countif('5) Release_Track'!$F:$F,$A271)=0),"NO ISRC MATCH in Release_Track",and($B271&lt;&gt;"",countif('5) Release_Track'!$G:$G,$B271)=0),"NO CATALOG ID MATCH in Release_Track",iserror(vlookup($A271&amp;$B271,'5) Release_Track'!$F:$F&amp;'5) Release_Track'!$G:$G,1,0)),"NO ISRC-CATALOG ID pair MATCH in Release_Track" )</f>
        <v/>
      </c>
      <c r="D271" s="121" t="str">
        <f t="array" ref="D271">ifs(and(isblank($A271),isblank($B271)),"", not(iserror(vlookup($A271&amp;$B271,'5) Release_Track'!$F:$F&amp;'5) Release_Track'!$G:$G,1,0))),vlookup($A271&amp;$B271,{'5) Release_Track'!$F:$F&amp;'5) Release_Track'!$G:$G,'5) Release_Track'!$I:$I},2,0), or(and(not(isblank($B271)),$B271=$B270,$A271&lt;&gt;$A270),and(not(isblank($A271)),$A271=$A270,$B271&lt;&gt;$B270)),"ID LISTS UNALIGNED",and($A271&lt;&gt;"",countif('5) Release_Track'!$F:$F,$A271)=0),"NO ISRC MATCH in Release_Track",and($B271&lt;&gt;"",countif('5) Release_Track'!$G:$G,$B271)=0),"NO CATALOG ID MATCH in Release_Track",iserror(vlookup($A271&amp;$B271,'5) Release_Track'!$F:$F&amp;'5) Release_Track'!$G:$G,1,0)),"NO ISRC-CATALOG ID pair MATCH in Release_Track" )</f>
        <v/>
      </c>
      <c r="E271" s="142" t="b">
        <v>0</v>
      </c>
      <c r="F271" s="142" t="b">
        <v>0</v>
      </c>
      <c r="G271" s="142" t="b">
        <v>0</v>
      </c>
      <c r="H271" s="142" t="b">
        <v>0</v>
      </c>
      <c r="I271" s="142" t="b">
        <v>0</v>
      </c>
      <c r="J271" s="142" t="b">
        <v>0</v>
      </c>
      <c r="K271" s="142" t="b">
        <v>0</v>
      </c>
      <c r="L271" s="8" t="b">
        <v>0</v>
      </c>
    </row>
    <row r="272">
      <c r="B272" s="103"/>
      <c r="C272" s="121" t="str">
        <f t="array" ref="C272">ifs(and(isblank($A272),isblank($B272)),"", not(iserror(vlookup($A272&amp;$B272,'5) Release_Track'!$F:$F&amp;'5) Release_Track'!$G:$G,1,0))),vlookup($A272&amp;$B272,{'5) Release_Track'!$F:$F&amp;'5) Release_Track'!$G:$G,'5) Release_Track'!$H:$H},2,0), or(and(not(isblank($B272)),$B272=$B271,$A272&lt;&gt;$A271),and(not(isblank($A272)),$A272=$A271,$B272&lt;&gt;$B271)),"ID LISTS UNALIGNED",and($A272&lt;&gt;"",countif('5) Release_Track'!$F:$F,$A272)=0),"NO ISRC MATCH in Release_Track",and($B272&lt;&gt;"",countif('5) Release_Track'!$G:$G,$B272)=0),"NO CATALOG ID MATCH in Release_Track",iserror(vlookup($A272&amp;$B272,'5) Release_Track'!$F:$F&amp;'5) Release_Track'!$G:$G,1,0)),"NO ISRC-CATALOG ID pair MATCH in Release_Track" )</f>
        <v/>
      </c>
      <c r="D272" s="121" t="str">
        <f t="array" ref="D272">ifs(and(isblank($A272),isblank($B272)),"", not(iserror(vlookup($A272&amp;$B272,'5) Release_Track'!$F:$F&amp;'5) Release_Track'!$G:$G,1,0))),vlookup($A272&amp;$B272,{'5) Release_Track'!$F:$F&amp;'5) Release_Track'!$G:$G,'5) Release_Track'!$I:$I},2,0), or(and(not(isblank($B272)),$B272=$B271,$A272&lt;&gt;$A271),and(not(isblank($A272)),$A272=$A271,$B272&lt;&gt;$B271)),"ID LISTS UNALIGNED",and($A272&lt;&gt;"",countif('5) Release_Track'!$F:$F,$A272)=0),"NO ISRC MATCH in Release_Track",and($B272&lt;&gt;"",countif('5) Release_Track'!$G:$G,$B272)=0),"NO CATALOG ID MATCH in Release_Track",iserror(vlookup($A272&amp;$B272,'5) Release_Track'!$F:$F&amp;'5) Release_Track'!$G:$G,1,0)),"NO ISRC-CATALOG ID pair MATCH in Release_Track" )</f>
        <v/>
      </c>
      <c r="E272" s="142" t="b">
        <v>0</v>
      </c>
      <c r="F272" s="142" t="b">
        <v>0</v>
      </c>
      <c r="G272" s="142" t="b">
        <v>0</v>
      </c>
      <c r="H272" s="142" t="b">
        <v>0</v>
      </c>
      <c r="I272" s="142" t="b">
        <v>0</v>
      </c>
      <c r="J272" s="142" t="b">
        <v>0</v>
      </c>
      <c r="K272" s="142" t="b">
        <v>0</v>
      </c>
      <c r="L272" s="8" t="b">
        <v>0</v>
      </c>
    </row>
    <row r="273">
      <c r="B273" s="103"/>
      <c r="C273" s="121" t="str">
        <f t="array" ref="C273">ifs(and(isblank($A273),isblank($B273)),"", not(iserror(vlookup($A273&amp;$B273,'5) Release_Track'!$F:$F&amp;'5) Release_Track'!$G:$G,1,0))),vlookup($A273&amp;$B273,{'5) Release_Track'!$F:$F&amp;'5) Release_Track'!$G:$G,'5) Release_Track'!$H:$H},2,0), or(and(not(isblank($B273)),$B273=$B272,$A273&lt;&gt;$A272),and(not(isblank($A273)),$A273=$A272,$B273&lt;&gt;$B272)),"ID LISTS UNALIGNED",and($A273&lt;&gt;"",countif('5) Release_Track'!$F:$F,$A273)=0),"NO ISRC MATCH in Release_Track",and($B273&lt;&gt;"",countif('5) Release_Track'!$G:$G,$B273)=0),"NO CATALOG ID MATCH in Release_Track",iserror(vlookup($A273&amp;$B273,'5) Release_Track'!$F:$F&amp;'5) Release_Track'!$G:$G,1,0)),"NO ISRC-CATALOG ID pair MATCH in Release_Track" )</f>
        <v/>
      </c>
      <c r="D273" s="121" t="str">
        <f t="array" ref="D273">ifs(and(isblank($A273),isblank($B273)),"", not(iserror(vlookup($A273&amp;$B273,'5) Release_Track'!$F:$F&amp;'5) Release_Track'!$G:$G,1,0))),vlookup($A273&amp;$B273,{'5) Release_Track'!$F:$F&amp;'5) Release_Track'!$G:$G,'5) Release_Track'!$I:$I},2,0), or(and(not(isblank($B273)),$B273=$B272,$A273&lt;&gt;$A272),and(not(isblank($A273)),$A273=$A272,$B273&lt;&gt;$B272)),"ID LISTS UNALIGNED",and($A273&lt;&gt;"",countif('5) Release_Track'!$F:$F,$A273)=0),"NO ISRC MATCH in Release_Track",and($B273&lt;&gt;"",countif('5) Release_Track'!$G:$G,$B273)=0),"NO CATALOG ID MATCH in Release_Track",iserror(vlookup($A273&amp;$B273,'5) Release_Track'!$F:$F&amp;'5) Release_Track'!$G:$G,1,0)),"NO ISRC-CATALOG ID pair MATCH in Release_Track" )</f>
        <v/>
      </c>
      <c r="E273" s="142" t="b">
        <v>0</v>
      </c>
      <c r="F273" s="142" t="b">
        <v>0</v>
      </c>
      <c r="G273" s="142" t="b">
        <v>0</v>
      </c>
      <c r="H273" s="142" t="b">
        <v>0</v>
      </c>
      <c r="I273" s="142" t="b">
        <v>0</v>
      </c>
      <c r="J273" s="142" t="b">
        <v>0</v>
      </c>
      <c r="K273" s="142" t="b">
        <v>0</v>
      </c>
      <c r="L273" s="8" t="b">
        <v>0</v>
      </c>
    </row>
    <row r="274">
      <c r="B274" s="103"/>
      <c r="C274" s="121" t="str">
        <f t="array" ref="C274">ifs(and(isblank($A274),isblank($B274)),"", not(iserror(vlookup($A274&amp;$B274,'5) Release_Track'!$F:$F&amp;'5) Release_Track'!$G:$G,1,0))),vlookup($A274&amp;$B274,{'5) Release_Track'!$F:$F&amp;'5) Release_Track'!$G:$G,'5) Release_Track'!$H:$H},2,0), or(and(not(isblank($B274)),$B274=$B273,$A274&lt;&gt;$A273),and(not(isblank($A274)),$A274=$A273,$B274&lt;&gt;$B273)),"ID LISTS UNALIGNED",and($A274&lt;&gt;"",countif('5) Release_Track'!$F:$F,$A274)=0),"NO ISRC MATCH in Release_Track",and($B274&lt;&gt;"",countif('5) Release_Track'!$G:$G,$B274)=0),"NO CATALOG ID MATCH in Release_Track",iserror(vlookup($A274&amp;$B274,'5) Release_Track'!$F:$F&amp;'5) Release_Track'!$G:$G,1,0)),"NO ISRC-CATALOG ID pair MATCH in Release_Track" )</f>
        <v/>
      </c>
      <c r="D274" s="121" t="str">
        <f t="array" ref="D274">ifs(and(isblank($A274),isblank($B274)),"", not(iserror(vlookup($A274&amp;$B274,'5) Release_Track'!$F:$F&amp;'5) Release_Track'!$G:$G,1,0))),vlookup($A274&amp;$B274,{'5) Release_Track'!$F:$F&amp;'5) Release_Track'!$G:$G,'5) Release_Track'!$I:$I},2,0), or(and(not(isblank($B274)),$B274=$B273,$A274&lt;&gt;$A273),and(not(isblank($A274)),$A274=$A273,$B274&lt;&gt;$B273)),"ID LISTS UNALIGNED",and($A274&lt;&gt;"",countif('5) Release_Track'!$F:$F,$A274)=0),"NO ISRC MATCH in Release_Track",and($B274&lt;&gt;"",countif('5) Release_Track'!$G:$G,$B274)=0),"NO CATALOG ID MATCH in Release_Track",iserror(vlookup($A274&amp;$B274,'5) Release_Track'!$F:$F&amp;'5) Release_Track'!$G:$G,1,0)),"NO ISRC-CATALOG ID pair MATCH in Release_Track" )</f>
        <v/>
      </c>
      <c r="E274" s="142" t="b">
        <v>0</v>
      </c>
      <c r="F274" s="142" t="b">
        <v>0</v>
      </c>
      <c r="G274" s="142" t="b">
        <v>0</v>
      </c>
      <c r="H274" s="142" t="b">
        <v>0</v>
      </c>
      <c r="I274" s="142" t="b">
        <v>0</v>
      </c>
      <c r="J274" s="142" t="b">
        <v>0</v>
      </c>
      <c r="K274" s="142" t="b">
        <v>0</v>
      </c>
      <c r="L274" s="8" t="b">
        <v>0</v>
      </c>
    </row>
    <row r="275">
      <c r="B275" s="103"/>
      <c r="C275" s="121" t="str">
        <f t="array" ref="C275">ifs(and(isblank($A275),isblank($B275)),"", not(iserror(vlookup($A275&amp;$B275,'5) Release_Track'!$F:$F&amp;'5) Release_Track'!$G:$G,1,0))),vlookup($A275&amp;$B275,{'5) Release_Track'!$F:$F&amp;'5) Release_Track'!$G:$G,'5) Release_Track'!$H:$H},2,0), or(and(not(isblank($B275)),$B275=$B274,$A275&lt;&gt;$A274),and(not(isblank($A275)),$A275=$A274,$B275&lt;&gt;$B274)),"ID LISTS UNALIGNED",and($A275&lt;&gt;"",countif('5) Release_Track'!$F:$F,$A275)=0),"NO ISRC MATCH in Release_Track",and($B275&lt;&gt;"",countif('5) Release_Track'!$G:$G,$B275)=0),"NO CATALOG ID MATCH in Release_Track",iserror(vlookup($A275&amp;$B275,'5) Release_Track'!$F:$F&amp;'5) Release_Track'!$G:$G,1,0)),"NO ISRC-CATALOG ID pair MATCH in Release_Track" )</f>
        <v/>
      </c>
      <c r="D275" s="121" t="str">
        <f t="array" ref="D275">ifs(and(isblank($A275),isblank($B275)),"", not(iserror(vlookup($A275&amp;$B275,'5) Release_Track'!$F:$F&amp;'5) Release_Track'!$G:$G,1,0))),vlookup($A275&amp;$B275,{'5) Release_Track'!$F:$F&amp;'5) Release_Track'!$G:$G,'5) Release_Track'!$I:$I},2,0), or(and(not(isblank($B275)),$B275=$B274,$A275&lt;&gt;$A274),and(not(isblank($A275)),$A275=$A274,$B275&lt;&gt;$B274)),"ID LISTS UNALIGNED",and($A275&lt;&gt;"",countif('5) Release_Track'!$F:$F,$A275)=0),"NO ISRC MATCH in Release_Track",and($B275&lt;&gt;"",countif('5) Release_Track'!$G:$G,$B275)=0),"NO CATALOG ID MATCH in Release_Track",iserror(vlookup($A275&amp;$B275,'5) Release_Track'!$F:$F&amp;'5) Release_Track'!$G:$G,1,0)),"NO ISRC-CATALOG ID pair MATCH in Release_Track" )</f>
        <v/>
      </c>
      <c r="E275" s="142" t="b">
        <v>0</v>
      </c>
      <c r="F275" s="142" t="b">
        <v>0</v>
      </c>
      <c r="G275" s="142" t="b">
        <v>0</v>
      </c>
      <c r="H275" s="142" t="b">
        <v>0</v>
      </c>
      <c r="I275" s="142" t="b">
        <v>0</v>
      </c>
      <c r="J275" s="142" t="b">
        <v>0</v>
      </c>
      <c r="K275" s="142" t="b">
        <v>0</v>
      </c>
      <c r="L275" s="8" t="b">
        <v>0</v>
      </c>
    </row>
    <row r="276">
      <c r="B276" s="103"/>
      <c r="C276" s="121" t="str">
        <f t="array" ref="C276">ifs(and(isblank($A276),isblank($B276)),"", not(iserror(vlookup($A276&amp;$B276,'5) Release_Track'!$F:$F&amp;'5) Release_Track'!$G:$G,1,0))),vlookup($A276&amp;$B276,{'5) Release_Track'!$F:$F&amp;'5) Release_Track'!$G:$G,'5) Release_Track'!$H:$H},2,0), or(and(not(isblank($B276)),$B276=$B275,$A276&lt;&gt;$A275),and(not(isblank($A276)),$A276=$A275,$B276&lt;&gt;$B275)),"ID LISTS UNALIGNED",and($A276&lt;&gt;"",countif('5) Release_Track'!$F:$F,$A276)=0),"NO ISRC MATCH in Release_Track",and($B276&lt;&gt;"",countif('5) Release_Track'!$G:$G,$B276)=0),"NO CATALOG ID MATCH in Release_Track",iserror(vlookup($A276&amp;$B276,'5) Release_Track'!$F:$F&amp;'5) Release_Track'!$G:$G,1,0)),"NO ISRC-CATALOG ID pair MATCH in Release_Track" )</f>
        <v/>
      </c>
      <c r="D276" s="121" t="str">
        <f t="array" ref="D276">ifs(and(isblank($A276),isblank($B276)),"", not(iserror(vlookup($A276&amp;$B276,'5) Release_Track'!$F:$F&amp;'5) Release_Track'!$G:$G,1,0))),vlookup($A276&amp;$B276,{'5) Release_Track'!$F:$F&amp;'5) Release_Track'!$G:$G,'5) Release_Track'!$I:$I},2,0), or(and(not(isblank($B276)),$B276=$B275,$A276&lt;&gt;$A275),and(not(isblank($A276)),$A276=$A275,$B276&lt;&gt;$B275)),"ID LISTS UNALIGNED",and($A276&lt;&gt;"",countif('5) Release_Track'!$F:$F,$A276)=0),"NO ISRC MATCH in Release_Track",and($B276&lt;&gt;"",countif('5) Release_Track'!$G:$G,$B276)=0),"NO CATALOG ID MATCH in Release_Track",iserror(vlookup($A276&amp;$B276,'5) Release_Track'!$F:$F&amp;'5) Release_Track'!$G:$G,1,0)),"NO ISRC-CATALOG ID pair MATCH in Release_Track" )</f>
        <v/>
      </c>
      <c r="E276" s="142" t="b">
        <v>0</v>
      </c>
      <c r="F276" s="142" t="b">
        <v>0</v>
      </c>
      <c r="G276" s="142" t="b">
        <v>0</v>
      </c>
      <c r="H276" s="142" t="b">
        <v>0</v>
      </c>
      <c r="I276" s="142" t="b">
        <v>0</v>
      </c>
      <c r="J276" s="142" t="b">
        <v>0</v>
      </c>
      <c r="K276" s="142" t="b">
        <v>0</v>
      </c>
      <c r="L276" s="8" t="b">
        <v>0</v>
      </c>
    </row>
    <row r="277">
      <c r="B277" s="103"/>
      <c r="C277" s="121" t="str">
        <f t="array" ref="C277">ifs(and(isblank($A277),isblank($B277)),"", not(iserror(vlookup($A277&amp;$B277,'5) Release_Track'!$F:$F&amp;'5) Release_Track'!$G:$G,1,0))),vlookup($A277&amp;$B277,{'5) Release_Track'!$F:$F&amp;'5) Release_Track'!$G:$G,'5) Release_Track'!$H:$H},2,0), or(and(not(isblank($B277)),$B277=$B276,$A277&lt;&gt;$A276),and(not(isblank($A277)),$A277=$A276,$B277&lt;&gt;$B276)),"ID LISTS UNALIGNED",and($A277&lt;&gt;"",countif('5) Release_Track'!$F:$F,$A277)=0),"NO ISRC MATCH in Release_Track",and($B277&lt;&gt;"",countif('5) Release_Track'!$G:$G,$B277)=0),"NO CATALOG ID MATCH in Release_Track",iserror(vlookup($A277&amp;$B277,'5) Release_Track'!$F:$F&amp;'5) Release_Track'!$G:$G,1,0)),"NO ISRC-CATALOG ID pair MATCH in Release_Track" )</f>
        <v/>
      </c>
      <c r="D277" s="121" t="str">
        <f t="array" ref="D277">ifs(and(isblank($A277),isblank($B277)),"", not(iserror(vlookup($A277&amp;$B277,'5) Release_Track'!$F:$F&amp;'5) Release_Track'!$G:$G,1,0))),vlookup($A277&amp;$B277,{'5) Release_Track'!$F:$F&amp;'5) Release_Track'!$G:$G,'5) Release_Track'!$I:$I},2,0), or(and(not(isblank($B277)),$B277=$B276,$A277&lt;&gt;$A276),and(not(isblank($A277)),$A277=$A276,$B277&lt;&gt;$B276)),"ID LISTS UNALIGNED",and($A277&lt;&gt;"",countif('5) Release_Track'!$F:$F,$A277)=0),"NO ISRC MATCH in Release_Track",and($B277&lt;&gt;"",countif('5) Release_Track'!$G:$G,$B277)=0),"NO CATALOG ID MATCH in Release_Track",iserror(vlookup($A277&amp;$B277,'5) Release_Track'!$F:$F&amp;'5) Release_Track'!$G:$G,1,0)),"NO ISRC-CATALOG ID pair MATCH in Release_Track" )</f>
        <v/>
      </c>
      <c r="E277" s="142" t="b">
        <v>0</v>
      </c>
      <c r="F277" s="142" t="b">
        <v>0</v>
      </c>
      <c r="G277" s="142" t="b">
        <v>0</v>
      </c>
      <c r="H277" s="142" t="b">
        <v>0</v>
      </c>
      <c r="I277" s="142" t="b">
        <v>0</v>
      </c>
      <c r="J277" s="142" t="b">
        <v>0</v>
      </c>
      <c r="K277" s="142" t="b">
        <v>0</v>
      </c>
      <c r="L277" s="8" t="b">
        <v>0</v>
      </c>
    </row>
    <row r="278">
      <c r="B278" s="103"/>
      <c r="C278" s="121" t="str">
        <f t="array" ref="C278">ifs(and(isblank($A278),isblank($B278)),"", not(iserror(vlookup($A278&amp;$B278,'5) Release_Track'!$F:$F&amp;'5) Release_Track'!$G:$G,1,0))),vlookup($A278&amp;$B278,{'5) Release_Track'!$F:$F&amp;'5) Release_Track'!$G:$G,'5) Release_Track'!$H:$H},2,0), or(and(not(isblank($B278)),$B278=$B277,$A278&lt;&gt;$A277),and(not(isblank($A278)),$A278=$A277,$B278&lt;&gt;$B277)),"ID LISTS UNALIGNED",and($A278&lt;&gt;"",countif('5) Release_Track'!$F:$F,$A278)=0),"NO ISRC MATCH in Release_Track",and($B278&lt;&gt;"",countif('5) Release_Track'!$G:$G,$B278)=0),"NO CATALOG ID MATCH in Release_Track",iserror(vlookup($A278&amp;$B278,'5) Release_Track'!$F:$F&amp;'5) Release_Track'!$G:$G,1,0)),"NO ISRC-CATALOG ID pair MATCH in Release_Track" )</f>
        <v/>
      </c>
      <c r="D278" s="121" t="str">
        <f t="array" ref="D278">ifs(and(isblank($A278),isblank($B278)),"", not(iserror(vlookup($A278&amp;$B278,'5) Release_Track'!$F:$F&amp;'5) Release_Track'!$G:$G,1,0))),vlookup($A278&amp;$B278,{'5) Release_Track'!$F:$F&amp;'5) Release_Track'!$G:$G,'5) Release_Track'!$I:$I},2,0), or(and(not(isblank($B278)),$B278=$B277,$A278&lt;&gt;$A277),and(not(isblank($A278)),$A278=$A277,$B278&lt;&gt;$B277)),"ID LISTS UNALIGNED",and($A278&lt;&gt;"",countif('5) Release_Track'!$F:$F,$A278)=0),"NO ISRC MATCH in Release_Track",and($B278&lt;&gt;"",countif('5) Release_Track'!$G:$G,$B278)=0),"NO CATALOG ID MATCH in Release_Track",iserror(vlookup($A278&amp;$B278,'5) Release_Track'!$F:$F&amp;'5) Release_Track'!$G:$G,1,0)),"NO ISRC-CATALOG ID pair MATCH in Release_Track" )</f>
        <v/>
      </c>
      <c r="E278" s="142" t="b">
        <v>0</v>
      </c>
      <c r="F278" s="142" t="b">
        <v>0</v>
      </c>
      <c r="G278" s="142" t="b">
        <v>0</v>
      </c>
      <c r="H278" s="142" t="b">
        <v>0</v>
      </c>
      <c r="I278" s="142" t="b">
        <v>0</v>
      </c>
      <c r="J278" s="142" t="b">
        <v>0</v>
      </c>
      <c r="K278" s="142" t="b">
        <v>0</v>
      </c>
      <c r="L278" s="8" t="b">
        <v>0</v>
      </c>
    </row>
    <row r="279">
      <c r="B279" s="103"/>
      <c r="C279" s="121" t="str">
        <f t="array" ref="C279">ifs(and(isblank($A279),isblank($B279)),"", not(iserror(vlookup($A279&amp;$B279,'5) Release_Track'!$F:$F&amp;'5) Release_Track'!$G:$G,1,0))),vlookup($A279&amp;$B279,{'5) Release_Track'!$F:$F&amp;'5) Release_Track'!$G:$G,'5) Release_Track'!$H:$H},2,0), or(and(not(isblank($B279)),$B279=$B278,$A279&lt;&gt;$A278),and(not(isblank($A279)),$A279=$A278,$B279&lt;&gt;$B278)),"ID LISTS UNALIGNED",and($A279&lt;&gt;"",countif('5) Release_Track'!$F:$F,$A279)=0),"NO ISRC MATCH in Release_Track",and($B279&lt;&gt;"",countif('5) Release_Track'!$G:$G,$B279)=0),"NO CATALOG ID MATCH in Release_Track",iserror(vlookup($A279&amp;$B279,'5) Release_Track'!$F:$F&amp;'5) Release_Track'!$G:$G,1,0)),"NO ISRC-CATALOG ID pair MATCH in Release_Track" )</f>
        <v/>
      </c>
      <c r="D279" s="121" t="str">
        <f t="array" ref="D279">ifs(and(isblank($A279),isblank($B279)),"", not(iserror(vlookup($A279&amp;$B279,'5) Release_Track'!$F:$F&amp;'5) Release_Track'!$G:$G,1,0))),vlookup($A279&amp;$B279,{'5) Release_Track'!$F:$F&amp;'5) Release_Track'!$G:$G,'5) Release_Track'!$I:$I},2,0), or(and(not(isblank($B279)),$B279=$B278,$A279&lt;&gt;$A278),and(not(isblank($A279)),$A279=$A278,$B279&lt;&gt;$B278)),"ID LISTS UNALIGNED",and($A279&lt;&gt;"",countif('5) Release_Track'!$F:$F,$A279)=0),"NO ISRC MATCH in Release_Track",and($B279&lt;&gt;"",countif('5) Release_Track'!$G:$G,$B279)=0),"NO CATALOG ID MATCH in Release_Track",iserror(vlookup($A279&amp;$B279,'5) Release_Track'!$F:$F&amp;'5) Release_Track'!$G:$G,1,0)),"NO ISRC-CATALOG ID pair MATCH in Release_Track" )</f>
        <v/>
      </c>
      <c r="E279" s="142" t="b">
        <v>0</v>
      </c>
      <c r="F279" s="142" t="b">
        <v>0</v>
      </c>
      <c r="G279" s="142" t="b">
        <v>0</v>
      </c>
      <c r="H279" s="142" t="b">
        <v>0</v>
      </c>
      <c r="I279" s="142" t="b">
        <v>0</v>
      </c>
      <c r="J279" s="142" t="b">
        <v>0</v>
      </c>
      <c r="K279" s="142" t="b">
        <v>0</v>
      </c>
      <c r="L279" s="8" t="b">
        <v>0</v>
      </c>
    </row>
    <row r="280">
      <c r="B280" s="103"/>
      <c r="C280" s="121" t="str">
        <f t="array" ref="C280">ifs(and(isblank($A280),isblank($B280)),"", not(iserror(vlookup($A280&amp;$B280,'5) Release_Track'!$F:$F&amp;'5) Release_Track'!$G:$G,1,0))),vlookup($A280&amp;$B280,{'5) Release_Track'!$F:$F&amp;'5) Release_Track'!$G:$G,'5) Release_Track'!$H:$H},2,0), or(and(not(isblank($B280)),$B280=$B279,$A280&lt;&gt;$A279),and(not(isblank($A280)),$A280=$A279,$B280&lt;&gt;$B279)),"ID LISTS UNALIGNED",and($A280&lt;&gt;"",countif('5) Release_Track'!$F:$F,$A280)=0),"NO ISRC MATCH in Release_Track",and($B280&lt;&gt;"",countif('5) Release_Track'!$G:$G,$B280)=0),"NO CATALOG ID MATCH in Release_Track",iserror(vlookup($A280&amp;$B280,'5) Release_Track'!$F:$F&amp;'5) Release_Track'!$G:$G,1,0)),"NO ISRC-CATALOG ID pair MATCH in Release_Track" )</f>
        <v/>
      </c>
      <c r="D280" s="121" t="str">
        <f t="array" ref="D280">ifs(and(isblank($A280),isblank($B280)),"", not(iserror(vlookup($A280&amp;$B280,'5) Release_Track'!$F:$F&amp;'5) Release_Track'!$G:$G,1,0))),vlookup($A280&amp;$B280,{'5) Release_Track'!$F:$F&amp;'5) Release_Track'!$G:$G,'5) Release_Track'!$I:$I},2,0), or(and(not(isblank($B280)),$B280=$B279,$A280&lt;&gt;$A279),and(not(isblank($A280)),$A280=$A279,$B280&lt;&gt;$B279)),"ID LISTS UNALIGNED",and($A280&lt;&gt;"",countif('5) Release_Track'!$F:$F,$A280)=0),"NO ISRC MATCH in Release_Track",and($B280&lt;&gt;"",countif('5) Release_Track'!$G:$G,$B280)=0),"NO CATALOG ID MATCH in Release_Track",iserror(vlookup($A280&amp;$B280,'5) Release_Track'!$F:$F&amp;'5) Release_Track'!$G:$G,1,0)),"NO ISRC-CATALOG ID pair MATCH in Release_Track" )</f>
        <v/>
      </c>
      <c r="E280" s="142" t="b">
        <v>0</v>
      </c>
      <c r="F280" s="142" t="b">
        <v>0</v>
      </c>
      <c r="G280" s="142" t="b">
        <v>0</v>
      </c>
      <c r="H280" s="142" t="b">
        <v>0</v>
      </c>
      <c r="I280" s="142" t="b">
        <v>0</v>
      </c>
      <c r="J280" s="142" t="b">
        <v>0</v>
      </c>
      <c r="K280" s="142" t="b">
        <v>0</v>
      </c>
      <c r="L280" s="8" t="b">
        <v>0</v>
      </c>
    </row>
    <row r="281">
      <c r="B281" s="103"/>
      <c r="C281" s="121" t="str">
        <f t="array" ref="C281">ifs(and(isblank($A281),isblank($B281)),"", not(iserror(vlookup($A281&amp;$B281,'5) Release_Track'!$F:$F&amp;'5) Release_Track'!$G:$G,1,0))),vlookup($A281&amp;$B281,{'5) Release_Track'!$F:$F&amp;'5) Release_Track'!$G:$G,'5) Release_Track'!$H:$H},2,0), or(and(not(isblank($B281)),$B281=$B280,$A281&lt;&gt;$A280),and(not(isblank($A281)),$A281=$A280,$B281&lt;&gt;$B280)),"ID LISTS UNALIGNED",and($A281&lt;&gt;"",countif('5) Release_Track'!$F:$F,$A281)=0),"NO ISRC MATCH in Release_Track",and($B281&lt;&gt;"",countif('5) Release_Track'!$G:$G,$B281)=0),"NO CATALOG ID MATCH in Release_Track",iserror(vlookup($A281&amp;$B281,'5) Release_Track'!$F:$F&amp;'5) Release_Track'!$G:$G,1,0)),"NO ISRC-CATALOG ID pair MATCH in Release_Track" )</f>
        <v/>
      </c>
      <c r="D281" s="121" t="str">
        <f t="array" ref="D281">ifs(and(isblank($A281),isblank($B281)),"", not(iserror(vlookup($A281&amp;$B281,'5) Release_Track'!$F:$F&amp;'5) Release_Track'!$G:$G,1,0))),vlookup($A281&amp;$B281,{'5) Release_Track'!$F:$F&amp;'5) Release_Track'!$G:$G,'5) Release_Track'!$I:$I},2,0), or(and(not(isblank($B281)),$B281=$B280,$A281&lt;&gt;$A280),and(not(isblank($A281)),$A281=$A280,$B281&lt;&gt;$B280)),"ID LISTS UNALIGNED",and($A281&lt;&gt;"",countif('5) Release_Track'!$F:$F,$A281)=0),"NO ISRC MATCH in Release_Track",and($B281&lt;&gt;"",countif('5) Release_Track'!$G:$G,$B281)=0),"NO CATALOG ID MATCH in Release_Track",iserror(vlookup($A281&amp;$B281,'5) Release_Track'!$F:$F&amp;'5) Release_Track'!$G:$G,1,0)),"NO ISRC-CATALOG ID pair MATCH in Release_Track" )</f>
        <v/>
      </c>
      <c r="E281" s="142" t="b">
        <v>0</v>
      </c>
      <c r="F281" s="142" t="b">
        <v>0</v>
      </c>
      <c r="G281" s="142" t="b">
        <v>0</v>
      </c>
      <c r="H281" s="142" t="b">
        <v>0</v>
      </c>
      <c r="I281" s="142" t="b">
        <v>0</v>
      </c>
      <c r="J281" s="142" t="b">
        <v>0</v>
      </c>
      <c r="K281" s="142" t="b">
        <v>0</v>
      </c>
      <c r="L281" s="8" t="b">
        <v>0</v>
      </c>
    </row>
    <row r="282">
      <c r="B282" s="103"/>
      <c r="C282" s="121" t="str">
        <f t="array" ref="C282">ifs(and(isblank($A282),isblank($B282)),"", not(iserror(vlookup($A282&amp;$B282,'5) Release_Track'!$F:$F&amp;'5) Release_Track'!$G:$G,1,0))),vlookup($A282&amp;$B282,{'5) Release_Track'!$F:$F&amp;'5) Release_Track'!$G:$G,'5) Release_Track'!$H:$H},2,0), or(and(not(isblank($B282)),$B282=$B281,$A282&lt;&gt;$A281),and(not(isblank($A282)),$A282=$A281,$B282&lt;&gt;$B281)),"ID LISTS UNALIGNED",and($A282&lt;&gt;"",countif('5) Release_Track'!$F:$F,$A282)=0),"NO ISRC MATCH in Release_Track",and($B282&lt;&gt;"",countif('5) Release_Track'!$G:$G,$B282)=0),"NO CATALOG ID MATCH in Release_Track",iserror(vlookup($A282&amp;$B282,'5) Release_Track'!$F:$F&amp;'5) Release_Track'!$G:$G,1,0)),"NO ISRC-CATALOG ID pair MATCH in Release_Track" )</f>
        <v/>
      </c>
      <c r="D282" s="121" t="str">
        <f t="array" ref="D282">ifs(and(isblank($A282),isblank($B282)),"", not(iserror(vlookup($A282&amp;$B282,'5) Release_Track'!$F:$F&amp;'5) Release_Track'!$G:$G,1,0))),vlookup($A282&amp;$B282,{'5) Release_Track'!$F:$F&amp;'5) Release_Track'!$G:$G,'5) Release_Track'!$I:$I},2,0), or(and(not(isblank($B282)),$B282=$B281,$A282&lt;&gt;$A281),and(not(isblank($A282)),$A282=$A281,$B282&lt;&gt;$B281)),"ID LISTS UNALIGNED",and($A282&lt;&gt;"",countif('5) Release_Track'!$F:$F,$A282)=0),"NO ISRC MATCH in Release_Track",and($B282&lt;&gt;"",countif('5) Release_Track'!$G:$G,$B282)=0),"NO CATALOG ID MATCH in Release_Track",iserror(vlookup($A282&amp;$B282,'5) Release_Track'!$F:$F&amp;'5) Release_Track'!$G:$G,1,0)),"NO ISRC-CATALOG ID pair MATCH in Release_Track" )</f>
        <v/>
      </c>
      <c r="E282" s="142" t="b">
        <v>0</v>
      </c>
      <c r="F282" s="142" t="b">
        <v>0</v>
      </c>
      <c r="G282" s="142" t="b">
        <v>0</v>
      </c>
      <c r="H282" s="142" t="b">
        <v>0</v>
      </c>
      <c r="I282" s="142" t="b">
        <v>0</v>
      </c>
      <c r="J282" s="142" t="b">
        <v>0</v>
      </c>
      <c r="K282" s="142" t="b">
        <v>0</v>
      </c>
      <c r="L282" s="8" t="b">
        <v>0</v>
      </c>
    </row>
    <row r="283">
      <c r="B283" s="103"/>
      <c r="C283" s="121" t="str">
        <f t="array" ref="C283">ifs(and(isblank($A283),isblank($B283)),"", not(iserror(vlookup($A283&amp;$B283,'5) Release_Track'!$F:$F&amp;'5) Release_Track'!$G:$G,1,0))),vlookup($A283&amp;$B283,{'5) Release_Track'!$F:$F&amp;'5) Release_Track'!$G:$G,'5) Release_Track'!$H:$H},2,0), or(and(not(isblank($B283)),$B283=$B282,$A283&lt;&gt;$A282),and(not(isblank($A283)),$A283=$A282,$B283&lt;&gt;$B282)),"ID LISTS UNALIGNED",and($A283&lt;&gt;"",countif('5) Release_Track'!$F:$F,$A283)=0),"NO ISRC MATCH in Release_Track",and($B283&lt;&gt;"",countif('5) Release_Track'!$G:$G,$B283)=0),"NO CATALOG ID MATCH in Release_Track",iserror(vlookup($A283&amp;$B283,'5) Release_Track'!$F:$F&amp;'5) Release_Track'!$G:$G,1,0)),"NO ISRC-CATALOG ID pair MATCH in Release_Track" )</f>
        <v/>
      </c>
      <c r="D283" s="121" t="str">
        <f t="array" ref="D283">ifs(and(isblank($A283),isblank($B283)),"", not(iserror(vlookup($A283&amp;$B283,'5) Release_Track'!$F:$F&amp;'5) Release_Track'!$G:$G,1,0))),vlookup($A283&amp;$B283,{'5) Release_Track'!$F:$F&amp;'5) Release_Track'!$G:$G,'5) Release_Track'!$I:$I},2,0), or(and(not(isblank($B283)),$B283=$B282,$A283&lt;&gt;$A282),and(not(isblank($A283)),$A283=$A282,$B283&lt;&gt;$B282)),"ID LISTS UNALIGNED",and($A283&lt;&gt;"",countif('5) Release_Track'!$F:$F,$A283)=0),"NO ISRC MATCH in Release_Track",and($B283&lt;&gt;"",countif('5) Release_Track'!$G:$G,$B283)=0),"NO CATALOG ID MATCH in Release_Track",iserror(vlookup($A283&amp;$B283,'5) Release_Track'!$F:$F&amp;'5) Release_Track'!$G:$G,1,0)),"NO ISRC-CATALOG ID pair MATCH in Release_Track" )</f>
        <v/>
      </c>
      <c r="E283" s="142" t="b">
        <v>0</v>
      </c>
      <c r="F283" s="142" t="b">
        <v>0</v>
      </c>
      <c r="G283" s="142" t="b">
        <v>0</v>
      </c>
      <c r="H283" s="142" t="b">
        <v>0</v>
      </c>
      <c r="I283" s="142" t="b">
        <v>0</v>
      </c>
      <c r="J283" s="142" t="b">
        <v>0</v>
      </c>
      <c r="K283" s="142" t="b">
        <v>0</v>
      </c>
      <c r="L283" s="8" t="b">
        <v>0</v>
      </c>
    </row>
    <row r="284">
      <c r="B284" s="103"/>
      <c r="C284" s="121" t="str">
        <f t="array" ref="C284">ifs(and(isblank($A284),isblank($B284)),"", not(iserror(vlookup($A284&amp;$B284,'5) Release_Track'!$F:$F&amp;'5) Release_Track'!$G:$G,1,0))),vlookup($A284&amp;$B284,{'5) Release_Track'!$F:$F&amp;'5) Release_Track'!$G:$G,'5) Release_Track'!$H:$H},2,0), or(and(not(isblank($B284)),$B284=$B283,$A284&lt;&gt;$A283),and(not(isblank($A284)),$A284=$A283,$B284&lt;&gt;$B283)),"ID LISTS UNALIGNED",and($A284&lt;&gt;"",countif('5) Release_Track'!$F:$F,$A284)=0),"NO ISRC MATCH in Release_Track",and($B284&lt;&gt;"",countif('5) Release_Track'!$G:$G,$B284)=0),"NO CATALOG ID MATCH in Release_Track",iserror(vlookup($A284&amp;$B284,'5) Release_Track'!$F:$F&amp;'5) Release_Track'!$G:$G,1,0)),"NO ISRC-CATALOG ID pair MATCH in Release_Track" )</f>
        <v/>
      </c>
      <c r="D284" s="121" t="str">
        <f t="array" ref="D284">ifs(and(isblank($A284),isblank($B284)),"", not(iserror(vlookup($A284&amp;$B284,'5) Release_Track'!$F:$F&amp;'5) Release_Track'!$G:$G,1,0))),vlookup($A284&amp;$B284,{'5) Release_Track'!$F:$F&amp;'5) Release_Track'!$G:$G,'5) Release_Track'!$I:$I},2,0), or(and(not(isblank($B284)),$B284=$B283,$A284&lt;&gt;$A283),and(not(isblank($A284)),$A284=$A283,$B284&lt;&gt;$B283)),"ID LISTS UNALIGNED",and($A284&lt;&gt;"",countif('5) Release_Track'!$F:$F,$A284)=0),"NO ISRC MATCH in Release_Track",and($B284&lt;&gt;"",countif('5) Release_Track'!$G:$G,$B284)=0),"NO CATALOG ID MATCH in Release_Track",iserror(vlookup($A284&amp;$B284,'5) Release_Track'!$F:$F&amp;'5) Release_Track'!$G:$G,1,0)),"NO ISRC-CATALOG ID pair MATCH in Release_Track" )</f>
        <v/>
      </c>
      <c r="E284" s="142" t="b">
        <v>0</v>
      </c>
      <c r="F284" s="142" t="b">
        <v>0</v>
      </c>
      <c r="G284" s="142" t="b">
        <v>0</v>
      </c>
      <c r="H284" s="142" t="b">
        <v>0</v>
      </c>
      <c r="I284" s="142" t="b">
        <v>0</v>
      </c>
      <c r="J284" s="142" t="b">
        <v>0</v>
      </c>
      <c r="K284" s="142" t="b">
        <v>0</v>
      </c>
      <c r="L284" s="8" t="b">
        <v>0</v>
      </c>
    </row>
    <row r="285">
      <c r="B285" s="103"/>
      <c r="C285" s="121" t="str">
        <f t="array" ref="C285">ifs(and(isblank($A285),isblank($B285)),"", not(iserror(vlookup($A285&amp;$B285,'5) Release_Track'!$F:$F&amp;'5) Release_Track'!$G:$G,1,0))),vlookup($A285&amp;$B285,{'5) Release_Track'!$F:$F&amp;'5) Release_Track'!$G:$G,'5) Release_Track'!$H:$H},2,0), or(and(not(isblank($B285)),$B285=$B284,$A285&lt;&gt;$A284),and(not(isblank($A285)),$A285=$A284,$B285&lt;&gt;$B284)),"ID LISTS UNALIGNED",and($A285&lt;&gt;"",countif('5) Release_Track'!$F:$F,$A285)=0),"NO ISRC MATCH in Release_Track",and($B285&lt;&gt;"",countif('5) Release_Track'!$G:$G,$B285)=0),"NO CATALOG ID MATCH in Release_Track",iserror(vlookup($A285&amp;$B285,'5) Release_Track'!$F:$F&amp;'5) Release_Track'!$G:$G,1,0)),"NO ISRC-CATALOG ID pair MATCH in Release_Track" )</f>
        <v/>
      </c>
      <c r="D285" s="121" t="str">
        <f t="array" ref="D285">ifs(and(isblank($A285),isblank($B285)),"", not(iserror(vlookup($A285&amp;$B285,'5) Release_Track'!$F:$F&amp;'5) Release_Track'!$G:$G,1,0))),vlookup($A285&amp;$B285,{'5) Release_Track'!$F:$F&amp;'5) Release_Track'!$G:$G,'5) Release_Track'!$I:$I},2,0), or(and(not(isblank($B285)),$B285=$B284,$A285&lt;&gt;$A284),and(not(isblank($A285)),$A285=$A284,$B285&lt;&gt;$B284)),"ID LISTS UNALIGNED",and($A285&lt;&gt;"",countif('5) Release_Track'!$F:$F,$A285)=0),"NO ISRC MATCH in Release_Track",and($B285&lt;&gt;"",countif('5) Release_Track'!$G:$G,$B285)=0),"NO CATALOG ID MATCH in Release_Track",iserror(vlookup($A285&amp;$B285,'5) Release_Track'!$F:$F&amp;'5) Release_Track'!$G:$G,1,0)),"NO ISRC-CATALOG ID pair MATCH in Release_Track" )</f>
        <v/>
      </c>
      <c r="E285" s="142" t="b">
        <v>0</v>
      </c>
      <c r="F285" s="142" t="b">
        <v>0</v>
      </c>
      <c r="G285" s="142" t="b">
        <v>0</v>
      </c>
      <c r="H285" s="142" t="b">
        <v>0</v>
      </c>
      <c r="I285" s="142" t="b">
        <v>0</v>
      </c>
      <c r="J285" s="142" t="b">
        <v>0</v>
      </c>
      <c r="K285" s="142" t="b">
        <v>0</v>
      </c>
      <c r="L285" s="8" t="b">
        <v>0</v>
      </c>
    </row>
    <row r="286">
      <c r="B286" s="103"/>
      <c r="C286" s="121" t="str">
        <f t="array" ref="C286">ifs(and(isblank($A286),isblank($B286)),"", not(iserror(vlookup($A286&amp;$B286,'5) Release_Track'!$F:$F&amp;'5) Release_Track'!$G:$G,1,0))),vlookup($A286&amp;$B286,{'5) Release_Track'!$F:$F&amp;'5) Release_Track'!$G:$G,'5) Release_Track'!$H:$H},2,0), or(and(not(isblank($B286)),$B286=$B285,$A286&lt;&gt;$A285),and(not(isblank($A286)),$A286=$A285,$B286&lt;&gt;$B285)),"ID LISTS UNALIGNED",and($A286&lt;&gt;"",countif('5) Release_Track'!$F:$F,$A286)=0),"NO ISRC MATCH in Release_Track",and($B286&lt;&gt;"",countif('5) Release_Track'!$G:$G,$B286)=0),"NO CATALOG ID MATCH in Release_Track",iserror(vlookup($A286&amp;$B286,'5) Release_Track'!$F:$F&amp;'5) Release_Track'!$G:$G,1,0)),"NO ISRC-CATALOG ID pair MATCH in Release_Track" )</f>
        <v/>
      </c>
      <c r="D286" s="121" t="str">
        <f t="array" ref="D286">ifs(and(isblank($A286),isblank($B286)),"", not(iserror(vlookup($A286&amp;$B286,'5) Release_Track'!$F:$F&amp;'5) Release_Track'!$G:$G,1,0))),vlookup($A286&amp;$B286,{'5) Release_Track'!$F:$F&amp;'5) Release_Track'!$G:$G,'5) Release_Track'!$I:$I},2,0), or(and(not(isblank($B286)),$B286=$B285,$A286&lt;&gt;$A285),and(not(isblank($A286)),$A286=$A285,$B286&lt;&gt;$B285)),"ID LISTS UNALIGNED",and($A286&lt;&gt;"",countif('5) Release_Track'!$F:$F,$A286)=0),"NO ISRC MATCH in Release_Track",and($B286&lt;&gt;"",countif('5) Release_Track'!$G:$G,$B286)=0),"NO CATALOG ID MATCH in Release_Track",iserror(vlookup($A286&amp;$B286,'5) Release_Track'!$F:$F&amp;'5) Release_Track'!$G:$G,1,0)),"NO ISRC-CATALOG ID pair MATCH in Release_Track" )</f>
        <v/>
      </c>
      <c r="E286" s="142" t="b">
        <v>0</v>
      </c>
      <c r="F286" s="142" t="b">
        <v>0</v>
      </c>
      <c r="G286" s="142" t="b">
        <v>0</v>
      </c>
      <c r="H286" s="142" t="b">
        <v>0</v>
      </c>
      <c r="I286" s="142" t="b">
        <v>0</v>
      </c>
      <c r="J286" s="142" t="b">
        <v>0</v>
      </c>
      <c r="K286" s="142" t="b">
        <v>0</v>
      </c>
      <c r="L286" s="8" t="b">
        <v>0</v>
      </c>
    </row>
    <row r="287">
      <c r="B287" s="103"/>
      <c r="C287" s="121" t="str">
        <f t="array" ref="C287">ifs(and(isblank($A287),isblank($B287)),"", not(iserror(vlookup($A287&amp;$B287,'5) Release_Track'!$F:$F&amp;'5) Release_Track'!$G:$G,1,0))),vlookup($A287&amp;$B287,{'5) Release_Track'!$F:$F&amp;'5) Release_Track'!$G:$G,'5) Release_Track'!$H:$H},2,0), or(and(not(isblank($B287)),$B287=$B286,$A287&lt;&gt;$A286),and(not(isblank($A287)),$A287=$A286,$B287&lt;&gt;$B286)),"ID LISTS UNALIGNED",and($A287&lt;&gt;"",countif('5) Release_Track'!$F:$F,$A287)=0),"NO ISRC MATCH in Release_Track",and($B287&lt;&gt;"",countif('5) Release_Track'!$G:$G,$B287)=0),"NO CATALOG ID MATCH in Release_Track",iserror(vlookup($A287&amp;$B287,'5) Release_Track'!$F:$F&amp;'5) Release_Track'!$G:$G,1,0)),"NO ISRC-CATALOG ID pair MATCH in Release_Track" )</f>
        <v/>
      </c>
      <c r="D287" s="121" t="str">
        <f t="array" ref="D287">ifs(and(isblank($A287),isblank($B287)),"", not(iserror(vlookup($A287&amp;$B287,'5) Release_Track'!$F:$F&amp;'5) Release_Track'!$G:$G,1,0))),vlookup($A287&amp;$B287,{'5) Release_Track'!$F:$F&amp;'5) Release_Track'!$G:$G,'5) Release_Track'!$I:$I},2,0), or(and(not(isblank($B287)),$B287=$B286,$A287&lt;&gt;$A286),and(not(isblank($A287)),$A287=$A286,$B287&lt;&gt;$B286)),"ID LISTS UNALIGNED",and($A287&lt;&gt;"",countif('5) Release_Track'!$F:$F,$A287)=0),"NO ISRC MATCH in Release_Track",and($B287&lt;&gt;"",countif('5) Release_Track'!$G:$G,$B287)=0),"NO CATALOG ID MATCH in Release_Track",iserror(vlookup($A287&amp;$B287,'5) Release_Track'!$F:$F&amp;'5) Release_Track'!$G:$G,1,0)),"NO ISRC-CATALOG ID pair MATCH in Release_Track" )</f>
        <v/>
      </c>
      <c r="E287" s="142" t="b">
        <v>0</v>
      </c>
      <c r="F287" s="142" t="b">
        <v>0</v>
      </c>
      <c r="G287" s="142" t="b">
        <v>0</v>
      </c>
      <c r="H287" s="142" t="b">
        <v>0</v>
      </c>
      <c r="I287" s="142" t="b">
        <v>0</v>
      </c>
      <c r="J287" s="142" t="b">
        <v>0</v>
      </c>
      <c r="K287" s="142" t="b">
        <v>0</v>
      </c>
      <c r="L287" s="8" t="b">
        <v>0</v>
      </c>
    </row>
    <row r="288">
      <c r="B288" s="103"/>
      <c r="C288" s="121" t="str">
        <f t="array" ref="C288">ifs(and(isblank($A288),isblank($B288)),"", not(iserror(vlookup($A288&amp;$B288,'5) Release_Track'!$F:$F&amp;'5) Release_Track'!$G:$G,1,0))),vlookup($A288&amp;$B288,{'5) Release_Track'!$F:$F&amp;'5) Release_Track'!$G:$G,'5) Release_Track'!$H:$H},2,0), or(and(not(isblank($B288)),$B288=$B287,$A288&lt;&gt;$A287),and(not(isblank($A288)),$A288=$A287,$B288&lt;&gt;$B287)),"ID LISTS UNALIGNED",and($A288&lt;&gt;"",countif('5) Release_Track'!$F:$F,$A288)=0),"NO ISRC MATCH in Release_Track",and($B288&lt;&gt;"",countif('5) Release_Track'!$G:$G,$B288)=0),"NO CATALOG ID MATCH in Release_Track",iserror(vlookup($A288&amp;$B288,'5) Release_Track'!$F:$F&amp;'5) Release_Track'!$G:$G,1,0)),"NO ISRC-CATALOG ID pair MATCH in Release_Track" )</f>
        <v/>
      </c>
      <c r="D288" s="121" t="str">
        <f t="array" ref="D288">ifs(and(isblank($A288),isblank($B288)),"", not(iserror(vlookup($A288&amp;$B288,'5) Release_Track'!$F:$F&amp;'5) Release_Track'!$G:$G,1,0))),vlookup($A288&amp;$B288,{'5) Release_Track'!$F:$F&amp;'5) Release_Track'!$G:$G,'5) Release_Track'!$I:$I},2,0), or(and(not(isblank($B288)),$B288=$B287,$A288&lt;&gt;$A287),and(not(isblank($A288)),$A288=$A287,$B288&lt;&gt;$B287)),"ID LISTS UNALIGNED",and($A288&lt;&gt;"",countif('5) Release_Track'!$F:$F,$A288)=0),"NO ISRC MATCH in Release_Track",and($B288&lt;&gt;"",countif('5) Release_Track'!$G:$G,$B288)=0),"NO CATALOG ID MATCH in Release_Track",iserror(vlookup($A288&amp;$B288,'5) Release_Track'!$F:$F&amp;'5) Release_Track'!$G:$G,1,0)),"NO ISRC-CATALOG ID pair MATCH in Release_Track" )</f>
        <v/>
      </c>
      <c r="E288" s="142" t="b">
        <v>0</v>
      </c>
      <c r="F288" s="142" t="b">
        <v>0</v>
      </c>
      <c r="G288" s="142" t="b">
        <v>0</v>
      </c>
      <c r="H288" s="142" t="b">
        <v>0</v>
      </c>
      <c r="I288" s="142" t="b">
        <v>0</v>
      </c>
      <c r="J288" s="142" t="b">
        <v>0</v>
      </c>
      <c r="K288" s="142" t="b">
        <v>0</v>
      </c>
      <c r="L288" s="8" t="b">
        <v>0</v>
      </c>
    </row>
    <row r="289">
      <c r="B289" s="103"/>
      <c r="C289" s="121" t="str">
        <f t="array" ref="C289">ifs(and(isblank($A289),isblank($B289)),"", not(iserror(vlookup($A289&amp;$B289,'5) Release_Track'!$F:$F&amp;'5) Release_Track'!$G:$G,1,0))),vlookup($A289&amp;$B289,{'5) Release_Track'!$F:$F&amp;'5) Release_Track'!$G:$G,'5) Release_Track'!$H:$H},2,0), or(and(not(isblank($B289)),$B289=$B288,$A289&lt;&gt;$A288),and(not(isblank($A289)),$A289=$A288,$B289&lt;&gt;$B288)),"ID LISTS UNALIGNED",and($A289&lt;&gt;"",countif('5) Release_Track'!$F:$F,$A289)=0),"NO ISRC MATCH in Release_Track",and($B289&lt;&gt;"",countif('5) Release_Track'!$G:$G,$B289)=0),"NO CATALOG ID MATCH in Release_Track",iserror(vlookup($A289&amp;$B289,'5) Release_Track'!$F:$F&amp;'5) Release_Track'!$G:$G,1,0)),"NO ISRC-CATALOG ID pair MATCH in Release_Track" )</f>
        <v/>
      </c>
      <c r="D289" s="121" t="str">
        <f t="array" ref="D289">ifs(and(isblank($A289),isblank($B289)),"", not(iserror(vlookup($A289&amp;$B289,'5) Release_Track'!$F:$F&amp;'5) Release_Track'!$G:$G,1,0))),vlookup($A289&amp;$B289,{'5) Release_Track'!$F:$F&amp;'5) Release_Track'!$G:$G,'5) Release_Track'!$I:$I},2,0), or(and(not(isblank($B289)),$B289=$B288,$A289&lt;&gt;$A288),and(not(isblank($A289)),$A289=$A288,$B289&lt;&gt;$B288)),"ID LISTS UNALIGNED",and($A289&lt;&gt;"",countif('5) Release_Track'!$F:$F,$A289)=0),"NO ISRC MATCH in Release_Track",and($B289&lt;&gt;"",countif('5) Release_Track'!$G:$G,$B289)=0),"NO CATALOG ID MATCH in Release_Track",iserror(vlookup($A289&amp;$B289,'5) Release_Track'!$F:$F&amp;'5) Release_Track'!$G:$G,1,0)),"NO ISRC-CATALOG ID pair MATCH in Release_Track" )</f>
        <v/>
      </c>
      <c r="E289" s="142" t="b">
        <v>0</v>
      </c>
      <c r="F289" s="142" t="b">
        <v>0</v>
      </c>
      <c r="G289" s="142" t="b">
        <v>0</v>
      </c>
      <c r="H289" s="142" t="b">
        <v>0</v>
      </c>
      <c r="I289" s="142" t="b">
        <v>0</v>
      </c>
      <c r="J289" s="142" t="b">
        <v>0</v>
      </c>
      <c r="K289" s="142" t="b">
        <v>0</v>
      </c>
      <c r="L289" s="8" t="b">
        <v>0</v>
      </c>
    </row>
    <row r="290">
      <c r="B290" s="103"/>
      <c r="C290" s="121" t="str">
        <f t="array" ref="C290">ifs(and(isblank($A290),isblank($B290)),"", not(iserror(vlookup($A290&amp;$B290,'5) Release_Track'!$F:$F&amp;'5) Release_Track'!$G:$G,1,0))),vlookup($A290&amp;$B290,{'5) Release_Track'!$F:$F&amp;'5) Release_Track'!$G:$G,'5) Release_Track'!$H:$H},2,0), or(and(not(isblank($B290)),$B290=$B289,$A290&lt;&gt;$A289),and(not(isblank($A290)),$A290=$A289,$B290&lt;&gt;$B289)),"ID LISTS UNALIGNED",and($A290&lt;&gt;"",countif('5) Release_Track'!$F:$F,$A290)=0),"NO ISRC MATCH in Release_Track",and($B290&lt;&gt;"",countif('5) Release_Track'!$G:$G,$B290)=0),"NO CATALOG ID MATCH in Release_Track",iserror(vlookup($A290&amp;$B290,'5) Release_Track'!$F:$F&amp;'5) Release_Track'!$G:$G,1,0)),"NO ISRC-CATALOG ID pair MATCH in Release_Track" )</f>
        <v/>
      </c>
      <c r="D290" s="121" t="str">
        <f t="array" ref="D290">ifs(and(isblank($A290),isblank($B290)),"", not(iserror(vlookup($A290&amp;$B290,'5) Release_Track'!$F:$F&amp;'5) Release_Track'!$G:$G,1,0))),vlookup($A290&amp;$B290,{'5) Release_Track'!$F:$F&amp;'5) Release_Track'!$G:$G,'5) Release_Track'!$I:$I},2,0), or(and(not(isblank($B290)),$B290=$B289,$A290&lt;&gt;$A289),and(not(isblank($A290)),$A290=$A289,$B290&lt;&gt;$B289)),"ID LISTS UNALIGNED",and($A290&lt;&gt;"",countif('5) Release_Track'!$F:$F,$A290)=0),"NO ISRC MATCH in Release_Track",and($B290&lt;&gt;"",countif('5) Release_Track'!$G:$G,$B290)=0),"NO CATALOG ID MATCH in Release_Track",iserror(vlookup($A290&amp;$B290,'5) Release_Track'!$F:$F&amp;'5) Release_Track'!$G:$G,1,0)),"NO ISRC-CATALOG ID pair MATCH in Release_Track" )</f>
        <v/>
      </c>
      <c r="E290" s="142" t="b">
        <v>0</v>
      </c>
      <c r="F290" s="142" t="b">
        <v>0</v>
      </c>
      <c r="G290" s="142" t="b">
        <v>0</v>
      </c>
      <c r="H290" s="142" t="b">
        <v>0</v>
      </c>
      <c r="I290" s="142" t="b">
        <v>0</v>
      </c>
      <c r="J290" s="142" t="b">
        <v>0</v>
      </c>
      <c r="K290" s="142" t="b">
        <v>0</v>
      </c>
      <c r="L290" s="8" t="b">
        <v>0</v>
      </c>
    </row>
    <row r="291">
      <c r="B291" s="103"/>
      <c r="C291" s="121" t="str">
        <f t="array" ref="C291">ifs(and(isblank($A291),isblank($B291)),"", not(iserror(vlookup($A291&amp;$B291,'5) Release_Track'!$F:$F&amp;'5) Release_Track'!$G:$G,1,0))),vlookup($A291&amp;$B291,{'5) Release_Track'!$F:$F&amp;'5) Release_Track'!$G:$G,'5) Release_Track'!$H:$H},2,0), or(and(not(isblank($B291)),$B291=$B290,$A291&lt;&gt;$A290),and(not(isblank($A291)),$A291=$A290,$B291&lt;&gt;$B290)),"ID LISTS UNALIGNED",and($A291&lt;&gt;"",countif('5) Release_Track'!$F:$F,$A291)=0),"NO ISRC MATCH in Release_Track",and($B291&lt;&gt;"",countif('5) Release_Track'!$G:$G,$B291)=0),"NO CATALOG ID MATCH in Release_Track",iserror(vlookup($A291&amp;$B291,'5) Release_Track'!$F:$F&amp;'5) Release_Track'!$G:$G,1,0)),"NO ISRC-CATALOG ID pair MATCH in Release_Track" )</f>
        <v/>
      </c>
      <c r="D291" s="121" t="str">
        <f t="array" ref="D291">ifs(and(isblank($A291),isblank($B291)),"", not(iserror(vlookup($A291&amp;$B291,'5) Release_Track'!$F:$F&amp;'5) Release_Track'!$G:$G,1,0))),vlookup($A291&amp;$B291,{'5) Release_Track'!$F:$F&amp;'5) Release_Track'!$G:$G,'5) Release_Track'!$I:$I},2,0), or(and(not(isblank($B291)),$B291=$B290,$A291&lt;&gt;$A290),and(not(isblank($A291)),$A291=$A290,$B291&lt;&gt;$B290)),"ID LISTS UNALIGNED",and($A291&lt;&gt;"",countif('5) Release_Track'!$F:$F,$A291)=0),"NO ISRC MATCH in Release_Track",and($B291&lt;&gt;"",countif('5) Release_Track'!$G:$G,$B291)=0),"NO CATALOG ID MATCH in Release_Track",iserror(vlookup($A291&amp;$B291,'5) Release_Track'!$F:$F&amp;'5) Release_Track'!$G:$G,1,0)),"NO ISRC-CATALOG ID pair MATCH in Release_Track" )</f>
        <v/>
      </c>
      <c r="E291" s="142" t="b">
        <v>0</v>
      </c>
      <c r="F291" s="142" t="b">
        <v>0</v>
      </c>
      <c r="G291" s="142" t="b">
        <v>0</v>
      </c>
      <c r="H291" s="142" t="b">
        <v>0</v>
      </c>
      <c r="I291" s="142" t="b">
        <v>0</v>
      </c>
      <c r="J291" s="142" t="b">
        <v>0</v>
      </c>
      <c r="K291" s="142" t="b">
        <v>0</v>
      </c>
      <c r="L291" s="8" t="b">
        <v>0</v>
      </c>
    </row>
    <row r="292">
      <c r="B292" s="103"/>
      <c r="C292" s="121" t="str">
        <f t="array" ref="C292">ifs(and(isblank($A292),isblank($B292)),"", not(iserror(vlookup($A292&amp;$B292,'5) Release_Track'!$F:$F&amp;'5) Release_Track'!$G:$G,1,0))),vlookup($A292&amp;$B292,{'5) Release_Track'!$F:$F&amp;'5) Release_Track'!$G:$G,'5) Release_Track'!$H:$H},2,0), or(and(not(isblank($B292)),$B292=$B291,$A292&lt;&gt;$A291),and(not(isblank($A292)),$A292=$A291,$B292&lt;&gt;$B291)),"ID LISTS UNALIGNED",and($A292&lt;&gt;"",countif('5) Release_Track'!$F:$F,$A292)=0),"NO ISRC MATCH in Release_Track",and($B292&lt;&gt;"",countif('5) Release_Track'!$G:$G,$B292)=0),"NO CATALOG ID MATCH in Release_Track",iserror(vlookup($A292&amp;$B292,'5) Release_Track'!$F:$F&amp;'5) Release_Track'!$G:$G,1,0)),"NO ISRC-CATALOG ID pair MATCH in Release_Track" )</f>
        <v/>
      </c>
      <c r="D292" s="121" t="str">
        <f t="array" ref="D292">ifs(and(isblank($A292),isblank($B292)),"", not(iserror(vlookup($A292&amp;$B292,'5) Release_Track'!$F:$F&amp;'5) Release_Track'!$G:$G,1,0))),vlookup($A292&amp;$B292,{'5) Release_Track'!$F:$F&amp;'5) Release_Track'!$G:$G,'5) Release_Track'!$I:$I},2,0), or(and(not(isblank($B292)),$B292=$B291,$A292&lt;&gt;$A291),and(not(isblank($A292)),$A292=$A291,$B292&lt;&gt;$B291)),"ID LISTS UNALIGNED",and($A292&lt;&gt;"",countif('5) Release_Track'!$F:$F,$A292)=0),"NO ISRC MATCH in Release_Track",and($B292&lt;&gt;"",countif('5) Release_Track'!$G:$G,$B292)=0),"NO CATALOG ID MATCH in Release_Track",iserror(vlookup($A292&amp;$B292,'5) Release_Track'!$F:$F&amp;'5) Release_Track'!$G:$G,1,0)),"NO ISRC-CATALOG ID pair MATCH in Release_Track" )</f>
        <v/>
      </c>
      <c r="E292" s="142" t="b">
        <v>0</v>
      </c>
      <c r="F292" s="142" t="b">
        <v>0</v>
      </c>
      <c r="G292" s="142" t="b">
        <v>0</v>
      </c>
      <c r="H292" s="142" t="b">
        <v>0</v>
      </c>
      <c r="I292" s="142" t="b">
        <v>0</v>
      </c>
      <c r="J292" s="142" t="b">
        <v>0</v>
      </c>
      <c r="K292" s="142" t="b">
        <v>0</v>
      </c>
      <c r="L292" s="8" t="b">
        <v>0</v>
      </c>
    </row>
    <row r="293">
      <c r="B293" s="103"/>
      <c r="C293" s="121" t="str">
        <f t="array" ref="C293">ifs(and(isblank($A293),isblank($B293)),"", not(iserror(vlookup($A293&amp;$B293,'5) Release_Track'!$F:$F&amp;'5) Release_Track'!$G:$G,1,0))),vlookup($A293&amp;$B293,{'5) Release_Track'!$F:$F&amp;'5) Release_Track'!$G:$G,'5) Release_Track'!$H:$H},2,0), or(and(not(isblank($B293)),$B293=$B292,$A293&lt;&gt;$A292),and(not(isblank($A293)),$A293=$A292,$B293&lt;&gt;$B292)),"ID LISTS UNALIGNED",and($A293&lt;&gt;"",countif('5) Release_Track'!$F:$F,$A293)=0),"NO ISRC MATCH in Release_Track",and($B293&lt;&gt;"",countif('5) Release_Track'!$G:$G,$B293)=0),"NO CATALOG ID MATCH in Release_Track",iserror(vlookup($A293&amp;$B293,'5) Release_Track'!$F:$F&amp;'5) Release_Track'!$G:$G,1,0)),"NO ISRC-CATALOG ID pair MATCH in Release_Track" )</f>
        <v/>
      </c>
      <c r="D293" s="121" t="str">
        <f t="array" ref="D293">ifs(and(isblank($A293),isblank($B293)),"", not(iserror(vlookup($A293&amp;$B293,'5) Release_Track'!$F:$F&amp;'5) Release_Track'!$G:$G,1,0))),vlookup($A293&amp;$B293,{'5) Release_Track'!$F:$F&amp;'5) Release_Track'!$G:$G,'5) Release_Track'!$I:$I},2,0), or(and(not(isblank($B293)),$B293=$B292,$A293&lt;&gt;$A292),and(not(isblank($A293)),$A293=$A292,$B293&lt;&gt;$B292)),"ID LISTS UNALIGNED",and($A293&lt;&gt;"",countif('5) Release_Track'!$F:$F,$A293)=0),"NO ISRC MATCH in Release_Track",and($B293&lt;&gt;"",countif('5) Release_Track'!$G:$G,$B293)=0),"NO CATALOG ID MATCH in Release_Track",iserror(vlookup($A293&amp;$B293,'5) Release_Track'!$F:$F&amp;'5) Release_Track'!$G:$G,1,0)),"NO ISRC-CATALOG ID pair MATCH in Release_Track" )</f>
        <v/>
      </c>
      <c r="E293" s="142" t="b">
        <v>0</v>
      </c>
      <c r="F293" s="142" t="b">
        <v>0</v>
      </c>
      <c r="G293" s="142" t="b">
        <v>0</v>
      </c>
      <c r="H293" s="142" t="b">
        <v>0</v>
      </c>
      <c r="I293" s="142" t="b">
        <v>0</v>
      </c>
      <c r="J293" s="142" t="b">
        <v>0</v>
      </c>
      <c r="K293" s="142" t="b">
        <v>0</v>
      </c>
      <c r="L293" s="8" t="b">
        <v>0</v>
      </c>
    </row>
    <row r="294">
      <c r="B294" s="103"/>
      <c r="C294" s="121" t="str">
        <f t="array" ref="C294">ifs(and(isblank($A294),isblank($B294)),"", not(iserror(vlookup($A294&amp;$B294,'5) Release_Track'!$F:$F&amp;'5) Release_Track'!$G:$G,1,0))),vlookup($A294&amp;$B294,{'5) Release_Track'!$F:$F&amp;'5) Release_Track'!$G:$G,'5) Release_Track'!$H:$H},2,0), or(and(not(isblank($B294)),$B294=$B293,$A294&lt;&gt;$A293),and(not(isblank($A294)),$A294=$A293,$B294&lt;&gt;$B293)),"ID LISTS UNALIGNED",and($A294&lt;&gt;"",countif('5) Release_Track'!$F:$F,$A294)=0),"NO ISRC MATCH in Release_Track",and($B294&lt;&gt;"",countif('5) Release_Track'!$G:$G,$B294)=0),"NO CATALOG ID MATCH in Release_Track",iserror(vlookup($A294&amp;$B294,'5) Release_Track'!$F:$F&amp;'5) Release_Track'!$G:$G,1,0)),"NO ISRC-CATALOG ID pair MATCH in Release_Track" )</f>
        <v/>
      </c>
      <c r="D294" s="121" t="str">
        <f t="array" ref="D294">ifs(and(isblank($A294),isblank($B294)),"", not(iserror(vlookup($A294&amp;$B294,'5) Release_Track'!$F:$F&amp;'5) Release_Track'!$G:$G,1,0))),vlookup($A294&amp;$B294,{'5) Release_Track'!$F:$F&amp;'5) Release_Track'!$G:$G,'5) Release_Track'!$I:$I},2,0), or(and(not(isblank($B294)),$B294=$B293,$A294&lt;&gt;$A293),and(not(isblank($A294)),$A294=$A293,$B294&lt;&gt;$B293)),"ID LISTS UNALIGNED",and($A294&lt;&gt;"",countif('5) Release_Track'!$F:$F,$A294)=0),"NO ISRC MATCH in Release_Track",and($B294&lt;&gt;"",countif('5) Release_Track'!$G:$G,$B294)=0),"NO CATALOG ID MATCH in Release_Track",iserror(vlookup($A294&amp;$B294,'5) Release_Track'!$F:$F&amp;'5) Release_Track'!$G:$G,1,0)),"NO ISRC-CATALOG ID pair MATCH in Release_Track" )</f>
        <v/>
      </c>
      <c r="E294" s="142" t="b">
        <v>0</v>
      </c>
      <c r="F294" s="142" t="b">
        <v>0</v>
      </c>
      <c r="G294" s="142" t="b">
        <v>0</v>
      </c>
      <c r="H294" s="142" t="b">
        <v>0</v>
      </c>
      <c r="I294" s="142" t="b">
        <v>0</v>
      </c>
      <c r="J294" s="142" t="b">
        <v>0</v>
      </c>
      <c r="K294" s="142" t="b">
        <v>0</v>
      </c>
      <c r="L294" s="8" t="b">
        <v>0</v>
      </c>
    </row>
    <row r="295">
      <c r="B295" s="103"/>
      <c r="C295" s="121" t="str">
        <f t="array" ref="C295">ifs(and(isblank($A295),isblank($B295)),"", not(iserror(vlookup($A295&amp;$B295,'5) Release_Track'!$F:$F&amp;'5) Release_Track'!$G:$G,1,0))),vlookup($A295&amp;$B295,{'5) Release_Track'!$F:$F&amp;'5) Release_Track'!$G:$G,'5) Release_Track'!$H:$H},2,0), or(and(not(isblank($B295)),$B295=$B294,$A295&lt;&gt;$A294),and(not(isblank($A295)),$A295=$A294,$B295&lt;&gt;$B294)),"ID LISTS UNALIGNED",and($A295&lt;&gt;"",countif('5) Release_Track'!$F:$F,$A295)=0),"NO ISRC MATCH in Release_Track",and($B295&lt;&gt;"",countif('5) Release_Track'!$G:$G,$B295)=0),"NO CATALOG ID MATCH in Release_Track",iserror(vlookup($A295&amp;$B295,'5) Release_Track'!$F:$F&amp;'5) Release_Track'!$G:$G,1,0)),"NO ISRC-CATALOG ID pair MATCH in Release_Track" )</f>
        <v/>
      </c>
      <c r="D295" s="121" t="str">
        <f t="array" ref="D295">ifs(and(isblank($A295),isblank($B295)),"", not(iserror(vlookup($A295&amp;$B295,'5) Release_Track'!$F:$F&amp;'5) Release_Track'!$G:$G,1,0))),vlookup($A295&amp;$B295,{'5) Release_Track'!$F:$F&amp;'5) Release_Track'!$G:$G,'5) Release_Track'!$I:$I},2,0), or(and(not(isblank($B295)),$B295=$B294,$A295&lt;&gt;$A294),and(not(isblank($A295)),$A295=$A294,$B295&lt;&gt;$B294)),"ID LISTS UNALIGNED",and($A295&lt;&gt;"",countif('5) Release_Track'!$F:$F,$A295)=0),"NO ISRC MATCH in Release_Track",and($B295&lt;&gt;"",countif('5) Release_Track'!$G:$G,$B295)=0),"NO CATALOG ID MATCH in Release_Track",iserror(vlookup($A295&amp;$B295,'5) Release_Track'!$F:$F&amp;'5) Release_Track'!$G:$G,1,0)),"NO ISRC-CATALOG ID pair MATCH in Release_Track" )</f>
        <v/>
      </c>
      <c r="E295" s="142" t="b">
        <v>0</v>
      </c>
      <c r="F295" s="142" t="b">
        <v>0</v>
      </c>
      <c r="G295" s="142" t="b">
        <v>0</v>
      </c>
      <c r="H295" s="142" t="b">
        <v>0</v>
      </c>
      <c r="I295" s="142" t="b">
        <v>0</v>
      </c>
      <c r="J295" s="142" t="b">
        <v>0</v>
      </c>
      <c r="K295" s="142" t="b">
        <v>0</v>
      </c>
      <c r="L295" s="8" t="b">
        <v>0</v>
      </c>
    </row>
    <row r="296">
      <c r="B296" s="103"/>
      <c r="C296" s="121" t="str">
        <f t="array" ref="C296">ifs(and(isblank($A296),isblank($B296)),"", not(iserror(vlookup($A296&amp;$B296,'5) Release_Track'!$F:$F&amp;'5) Release_Track'!$G:$G,1,0))),vlookup($A296&amp;$B296,{'5) Release_Track'!$F:$F&amp;'5) Release_Track'!$G:$G,'5) Release_Track'!$H:$H},2,0), or(and(not(isblank($B296)),$B296=$B295,$A296&lt;&gt;$A295),and(not(isblank($A296)),$A296=$A295,$B296&lt;&gt;$B295)),"ID LISTS UNALIGNED",and($A296&lt;&gt;"",countif('5) Release_Track'!$F:$F,$A296)=0),"NO ISRC MATCH in Release_Track",and($B296&lt;&gt;"",countif('5) Release_Track'!$G:$G,$B296)=0),"NO CATALOG ID MATCH in Release_Track",iserror(vlookup($A296&amp;$B296,'5) Release_Track'!$F:$F&amp;'5) Release_Track'!$G:$G,1,0)),"NO ISRC-CATALOG ID pair MATCH in Release_Track" )</f>
        <v/>
      </c>
      <c r="D296" s="121" t="str">
        <f t="array" ref="D296">ifs(and(isblank($A296),isblank($B296)),"", not(iserror(vlookup($A296&amp;$B296,'5) Release_Track'!$F:$F&amp;'5) Release_Track'!$G:$G,1,0))),vlookup($A296&amp;$B296,{'5) Release_Track'!$F:$F&amp;'5) Release_Track'!$G:$G,'5) Release_Track'!$I:$I},2,0), or(and(not(isblank($B296)),$B296=$B295,$A296&lt;&gt;$A295),and(not(isblank($A296)),$A296=$A295,$B296&lt;&gt;$B295)),"ID LISTS UNALIGNED",and($A296&lt;&gt;"",countif('5) Release_Track'!$F:$F,$A296)=0),"NO ISRC MATCH in Release_Track",and($B296&lt;&gt;"",countif('5) Release_Track'!$G:$G,$B296)=0),"NO CATALOG ID MATCH in Release_Track",iserror(vlookup($A296&amp;$B296,'5) Release_Track'!$F:$F&amp;'5) Release_Track'!$G:$G,1,0)),"NO ISRC-CATALOG ID pair MATCH in Release_Track" )</f>
        <v/>
      </c>
      <c r="E296" s="142" t="b">
        <v>0</v>
      </c>
      <c r="F296" s="142" t="b">
        <v>0</v>
      </c>
      <c r="G296" s="142" t="b">
        <v>0</v>
      </c>
      <c r="H296" s="142" t="b">
        <v>0</v>
      </c>
      <c r="I296" s="142" t="b">
        <v>0</v>
      </c>
      <c r="J296" s="142" t="b">
        <v>0</v>
      </c>
      <c r="K296" s="142" t="b">
        <v>0</v>
      </c>
      <c r="L296" s="8" t="b">
        <v>0</v>
      </c>
    </row>
    <row r="297">
      <c r="B297" s="103"/>
      <c r="C297" s="121" t="str">
        <f t="array" ref="C297">ifs(and(isblank($A297),isblank($B297)),"", not(iserror(vlookup($A297&amp;$B297,'5) Release_Track'!$F:$F&amp;'5) Release_Track'!$G:$G,1,0))),vlookup($A297&amp;$B297,{'5) Release_Track'!$F:$F&amp;'5) Release_Track'!$G:$G,'5) Release_Track'!$H:$H},2,0), or(and(not(isblank($B297)),$B297=$B296,$A297&lt;&gt;$A296),and(not(isblank($A297)),$A297=$A296,$B297&lt;&gt;$B296)),"ID LISTS UNALIGNED",and($A297&lt;&gt;"",countif('5) Release_Track'!$F:$F,$A297)=0),"NO ISRC MATCH in Release_Track",and($B297&lt;&gt;"",countif('5) Release_Track'!$G:$G,$B297)=0),"NO CATALOG ID MATCH in Release_Track",iserror(vlookup($A297&amp;$B297,'5) Release_Track'!$F:$F&amp;'5) Release_Track'!$G:$G,1,0)),"NO ISRC-CATALOG ID pair MATCH in Release_Track" )</f>
        <v/>
      </c>
      <c r="D297" s="121" t="str">
        <f t="array" ref="D297">ifs(and(isblank($A297),isblank($B297)),"", not(iserror(vlookup($A297&amp;$B297,'5) Release_Track'!$F:$F&amp;'5) Release_Track'!$G:$G,1,0))),vlookup($A297&amp;$B297,{'5) Release_Track'!$F:$F&amp;'5) Release_Track'!$G:$G,'5) Release_Track'!$I:$I},2,0), or(and(not(isblank($B297)),$B297=$B296,$A297&lt;&gt;$A296),and(not(isblank($A297)),$A297=$A296,$B297&lt;&gt;$B296)),"ID LISTS UNALIGNED",and($A297&lt;&gt;"",countif('5) Release_Track'!$F:$F,$A297)=0),"NO ISRC MATCH in Release_Track",and($B297&lt;&gt;"",countif('5) Release_Track'!$G:$G,$B297)=0),"NO CATALOG ID MATCH in Release_Track",iserror(vlookup($A297&amp;$B297,'5) Release_Track'!$F:$F&amp;'5) Release_Track'!$G:$G,1,0)),"NO ISRC-CATALOG ID pair MATCH in Release_Track" )</f>
        <v/>
      </c>
      <c r="E297" s="142" t="b">
        <v>0</v>
      </c>
      <c r="F297" s="142" t="b">
        <v>0</v>
      </c>
      <c r="G297" s="142" t="b">
        <v>0</v>
      </c>
      <c r="H297" s="142" t="b">
        <v>0</v>
      </c>
      <c r="I297" s="142" t="b">
        <v>0</v>
      </c>
      <c r="J297" s="142" t="b">
        <v>0</v>
      </c>
      <c r="K297" s="142" t="b">
        <v>0</v>
      </c>
      <c r="L297" s="8" t="b">
        <v>0</v>
      </c>
    </row>
    <row r="298">
      <c r="B298" s="103"/>
      <c r="C298" s="121" t="str">
        <f t="array" ref="C298">ifs(and(isblank($A298),isblank($B298)),"", not(iserror(vlookup($A298&amp;$B298,'5) Release_Track'!$F:$F&amp;'5) Release_Track'!$G:$G,1,0))),vlookup($A298&amp;$B298,{'5) Release_Track'!$F:$F&amp;'5) Release_Track'!$G:$G,'5) Release_Track'!$H:$H},2,0), or(and(not(isblank($B298)),$B298=$B297,$A298&lt;&gt;$A297),and(not(isblank($A298)),$A298=$A297,$B298&lt;&gt;$B297)),"ID LISTS UNALIGNED",and($A298&lt;&gt;"",countif('5) Release_Track'!$F:$F,$A298)=0),"NO ISRC MATCH in Release_Track",and($B298&lt;&gt;"",countif('5) Release_Track'!$G:$G,$B298)=0),"NO CATALOG ID MATCH in Release_Track",iserror(vlookup($A298&amp;$B298,'5) Release_Track'!$F:$F&amp;'5) Release_Track'!$G:$G,1,0)),"NO ISRC-CATALOG ID pair MATCH in Release_Track" )</f>
        <v/>
      </c>
      <c r="D298" s="121" t="str">
        <f t="array" ref="D298">ifs(and(isblank($A298),isblank($B298)),"", not(iserror(vlookup($A298&amp;$B298,'5) Release_Track'!$F:$F&amp;'5) Release_Track'!$G:$G,1,0))),vlookup($A298&amp;$B298,{'5) Release_Track'!$F:$F&amp;'5) Release_Track'!$G:$G,'5) Release_Track'!$I:$I},2,0), or(and(not(isblank($B298)),$B298=$B297,$A298&lt;&gt;$A297),and(not(isblank($A298)),$A298=$A297,$B298&lt;&gt;$B297)),"ID LISTS UNALIGNED",and($A298&lt;&gt;"",countif('5) Release_Track'!$F:$F,$A298)=0),"NO ISRC MATCH in Release_Track",and($B298&lt;&gt;"",countif('5) Release_Track'!$G:$G,$B298)=0),"NO CATALOG ID MATCH in Release_Track",iserror(vlookup($A298&amp;$B298,'5) Release_Track'!$F:$F&amp;'5) Release_Track'!$G:$G,1,0)),"NO ISRC-CATALOG ID pair MATCH in Release_Track" )</f>
        <v/>
      </c>
      <c r="E298" s="142" t="b">
        <v>0</v>
      </c>
      <c r="F298" s="142" t="b">
        <v>0</v>
      </c>
      <c r="G298" s="142" t="b">
        <v>0</v>
      </c>
      <c r="H298" s="142" t="b">
        <v>0</v>
      </c>
      <c r="I298" s="142" t="b">
        <v>0</v>
      </c>
      <c r="J298" s="142" t="b">
        <v>0</v>
      </c>
      <c r="K298" s="142" t="b">
        <v>0</v>
      </c>
      <c r="L298" s="8" t="b">
        <v>0</v>
      </c>
    </row>
    <row r="299">
      <c r="B299" s="103"/>
      <c r="C299" s="121" t="str">
        <f t="array" ref="C299">ifs(and(isblank($A299),isblank($B299)),"", not(iserror(vlookup($A299&amp;$B299,'5) Release_Track'!$F:$F&amp;'5) Release_Track'!$G:$G,1,0))),vlookup($A299&amp;$B299,{'5) Release_Track'!$F:$F&amp;'5) Release_Track'!$G:$G,'5) Release_Track'!$H:$H},2,0), or(and(not(isblank($B299)),$B299=$B298,$A299&lt;&gt;$A298),and(not(isblank($A299)),$A299=$A298,$B299&lt;&gt;$B298)),"ID LISTS UNALIGNED",and($A299&lt;&gt;"",countif('5) Release_Track'!$F:$F,$A299)=0),"NO ISRC MATCH in Release_Track",and($B299&lt;&gt;"",countif('5) Release_Track'!$G:$G,$B299)=0),"NO CATALOG ID MATCH in Release_Track",iserror(vlookup($A299&amp;$B299,'5) Release_Track'!$F:$F&amp;'5) Release_Track'!$G:$G,1,0)),"NO ISRC-CATALOG ID pair MATCH in Release_Track" )</f>
        <v/>
      </c>
      <c r="D299" s="121" t="str">
        <f t="array" ref="D299">ifs(and(isblank($A299),isblank($B299)),"", not(iserror(vlookup($A299&amp;$B299,'5) Release_Track'!$F:$F&amp;'5) Release_Track'!$G:$G,1,0))),vlookup($A299&amp;$B299,{'5) Release_Track'!$F:$F&amp;'5) Release_Track'!$G:$G,'5) Release_Track'!$I:$I},2,0), or(and(not(isblank($B299)),$B299=$B298,$A299&lt;&gt;$A298),and(not(isblank($A299)),$A299=$A298,$B299&lt;&gt;$B298)),"ID LISTS UNALIGNED",and($A299&lt;&gt;"",countif('5) Release_Track'!$F:$F,$A299)=0),"NO ISRC MATCH in Release_Track",and($B299&lt;&gt;"",countif('5) Release_Track'!$G:$G,$B299)=0),"NO CATALOG ID MATCH in Release_Track",iserror(vlookup($A299&amp;$B299,'5) Release_Track'!$F:$F&amp;'5) Release_Track'!$G:$G,1,0)),"NO ISRC-CATALOG ID pair MATCH in Release_Track" )</f>
        <v/>
      </c>
      <c r="E299" s="142" t="b">
        <v>0</v>
      </c>
      <c r="F299" s="142" t="b">
        <v>0</v>
      </c>
      <c r="G299" s="142" t="b">
        <v>0</v>
      </c>
      <c r="H299" s="142" t="b">
        <v>0</v>
      </c>
      <c r="I299" s="142" t="b">
        <v>0</v>
      </c>
      <c r="J299" s="142" t="b">
        <v>0</v>
      </c>
      <c r="K299" s="142" t="b">
        <v>0</v>
      </c>
      <c r="L299" s="8" t="b">
        <v>0</v>
      </c>
    </row>
    <row r="300">
      <c r="B300" s="103"/>
      <c r="C300" s="121" t="str">
        <f t="array" ref="C300">ifs(and(isblank($A300),isblank($B300)),"", not(iserror(vlookup($A300&amp;$B300,'5) Release_Track'!$F:$F&amp;'5) Release_Track'!$G:$G,1,0))),vlookup($A300&amp;$B300,{'5) Release_Track'!$F:$F&amp;'5) Release_Track'!$G:$G,'5) Release_Track'!$H:$H},2,0), or(and(not(isblank($B300)),$B300=$B299,$A300&lt;&gt;$A299),and(not(isblank($A300)),$A300=$A299,$B300&lt;&gt;$B299)),"ID LISTS UNALIGNED",and($A300&lt;&gt;"",countif('5) Release_Track'!$F:$F,$A300)=0),"NO ISRC MATCH in Release_Track",and($B300&lt;&gt;"",countif('5) Release_Track'!$G:$G,$B300)=0),"NO CATALOG ID MATCH in Release_Track",iserror(vlookup($A300&amp;$B300,'5) Release_Track'!$F:$F&amp;'5) Release_Track'!$G:$G,1,0)),"NO ISRC-CATALOG ID pair MATCH in Release_Track" )</f>
        <v/>
      </c>
      <c r="D300" s="121" t="str">
        <f t="array" ref="D300">ifs(and(isblank($A300),isblank($B300)),"", not(iserror(vlookup($A300&amp;$B300,'5) Release_Track'!$F:$F&amp;'5) Release_Track'!$G:$G,1,0))),vlookup($A300&amp;$B300,{'5) Release_Track'!$F:$F&amp;'5) Release_Track'!$G:$G,'5) Release_Track'!$I:$I},2,0), or(and(not(isblank($B300)),$B300=$B299,$A300&lt;&gt;$A299),and(not(isblank($A300)),$A300=$A299,$B300&lt;&gt;$B299)),"ID LISTS UNALIGNED",and($A300&lt;&gt;"",countif('5) Release_Track'!$F:$F,$A300)=0),"NO ISRC MATCH in Release_Track",and($B300&lt;&gt;"",countif('5) Release_Track'!$G:$G,$B300)=0),"NO CATALOG ID MATCH in Release_Track",iserror(vlookup($A300&amp;$B300,'5) Release_Track'!$F:$F&amp;'5) Release_Track'!$G:$G,1,0)),"NO ISRC-CATALOG ID pair MATCH in Release_Track" )</f>
        <v/>
      </c>
      <c r="E300" s="142" t="b">
        <v>0</v>
      </c>
      <c r="F300" s="142" t="b">
        <v>0</v>
      </c>
      <c r="G300" s="142" t="b">
        <v>0</v>
      </c>
      <c r="H300" s="142" t="b">
        <v>0</v>
      </c>
      <c r="I300" s="142" t="b">
        <v>0</v>
      </c>
      <c r="J300" s="142" t="b">
        <v>0</v>
      </c>
      <c r="K300" s="142" t="b">
        <v>0</v>
      </c>
      <c r="L300" s="8" t="b">
        <v>0</v>
      </c>
    </row>
    <row r="301">
      <c r="B301" s="103"/>
      <c r="C301" s="121" t="str">
        <f t="array" ref="C301">ifs(and(isblank($A301),isblank($B301)),"", not(iserror(vlookup($A301&amp;$B301,'5) Release_Track'!$F:$F&amp;'5) Release_Track'!$G:$G,1,0))),vlookup($A301&amp;$B301,{'5) Release_Track'!$F:$F&amp;'5) Release_Track'!$G:$G,'5) Release_Track'!$H:$H},2,0), or(and(not(isblank($B301)),$B301=$B300,$A301&lt;&gt;$A300),and(not(isblank($A301)),$A301=$A300,$B301&lt;&gt;$B300)),"ID LISTS UNALIGNED",and($A301&lt;&gt;"",countif('5) Release_Track'!$F:$F,$A301)=0),"NO ISRC MATCH in Release_Track",and($B301&lt;&gt;"",countif('5) Release_Track'!$G:$G,$B301)=0),"NO CATALOG ID MATCH in Release_Track",iserror(vlookup($A301&amp;$B301,'5) Release_Track'!$F:$F&amp;'5) Release_Track'!$G:$G,1,0)),"NO ISRC-CATALOG ID pair MATCH in Release_Track" )</f>
        <v/>
      </c>
      <c r="D301" s="121" t="str">
        <f t="array" ref="D301">ifs(and(isblank($A301),isblank($B301)),"", not(iserror(vlookup($A301&amp;$B301,'5) Release_Track'!$F:$F&amp;'5) Release_Track'!$G:$G,1,0))),vlookup($A301&amp;$B301,{'5) Release_Track'!$F:$F&amp;'5) Release_Track'!$G:$G,'5) Release_Track'!$I:$I},2,0), or(and(not(isblank($B301)),$B301=$B300,$A301&lt;&gt;$A300),and(not(isblank($A301)),$A301=$A300,$B301&lt;&gt;$B300)),"ID LISTS UNALIGNED",and($A301&lt;&gt;"",countif('5) Release_Track'!$F:$F,$A301)=0),"NO ISRC MATCH in Release_Track",and($B301&lt;&gt;"",countif('5) Release_Track'!$G:$G,$B301)=0),"NO CATALOG ID MATCH in Release_Track",iserror(vlookup($A301&amp;$B301,'5) Release_Track'!$F:$F&amp;'5) Release_Track'!$G:$G,1,0)),"NO ISRC-CATALOG ID pair MATCH in Release_Track" )</f>
        <v/>
      </c>
      <c r="E301" s="142" t="b">
        <v>0</v>
      </c>
      <c r="F301" s="142" t="b">
        <v>0</v>
      </c>
      <c r="G301" s="142" t="b">
        <v>0</v>
      </c>
      <c r="H301" s="142" t="b">
        <v>0</v>
      </c>
      <c r="I301" s="142" t="b">
        <v>0</v>
      </c>
      <c r="J301" s="142" t="b">
        <v>0</v>
      </c>
      <c r="K301" s="142" t="b">
        <v>0</v>
      </c>
      <c r="L301" s="8" t="b">
        <v>0</v>
      </c>
    </row>
    <row r="302">
      <c r="B302" s="103"/>
      <c r="C302" s="121" t="str">
        <f t="array" ref="C302">ifs(and(isblank($A302),isblank($B302)),"", not(iserror(vlookup($A302&amp;$B302,'5) Release_Track'!$F:$F&amp;'5) Release_Track'!$G:$G,1,0))),vlookup($A302&amp;$B302,{'5) Release_Track'!$F:$F&amp;'5) Release_Track'!$G:$G,'5) Release_Track'!$H:$H},2,0), or(and(not(isblank($B302)),$B302=$B301,$A302&lt;&gt;$A301),and(not(isblank($A302)),$A302=$A301,$B302&lt;&gt;$B301)),"ID LISTS UNALIGNED",and($A302&lt;&gt;"",countif('5) Release_Track'!$F:$F,$A302)=0),"NO ISRC MATCH in Release_Track",and($B302&lt;&gt;"",countif('5) Release_Track'!$G:$G,$B302)=0),"NO CATALOG ID MATCH in Release_Track",iserror(vlookup($A302&amp;$B302,'5) Release_Track'!$F:$F&amp;'5) Release_Track'!$G:$G,1,0)),"NO ISRC-CATALOG ID pair MATCH in Release_Track" )</f>
        <v/>
      </c>
      <c r="D302" s="121" t="str">
        <f t="array" ref="D302">ifs(and(isblank($A302),isblank($B302)),"", not(iserror(vlookup($A302&amp;$B302,'5) Release_Track'!$F:$F&amp;'5) Release_Track'!$G:$G,1,0))),vlookup($A302&amp;$B302,{'5) Release_Track'!$F:$F&amp;'5) Release_Track'!$G:$G,'5) Release_Track'!$I:$I},2,0), or(and(not(isblank($B302)),$B302=$B301,$A302&lt;&gt;$A301),and(not(isblank($A302)),$A302=$A301,$B302&lt;&gt;$B301)),"ID LISTS UNALIGNED",and($A302&lt;&gt;"",countif('5) Release_Track'!$F:$F,$A302)=0),"NO ISRC MATCH in Release_Track",and($B302&lt;&gt;"",countif('5) Release_Track'!$G:$G,$B302)=0),"NO CATALOG ID MATCH in Release_Track",iserror(vlookup($A302&amp;$B302,'5) Release_Track'!$F:$F&amp;'5) Release_Track'!$G:$G,1,0)),"NO ISRC-CATALOG ID pair MATCH in Release_Track" )</f>
        <v/>
      </c>
      <c r="E302" s="142" t="b">
        <v>0</v>
      </c>
      <c r="F302" s="142" t="b">
        <v>0</v>
      </c>
      <c r="G302" s="142" t="b">
        <v>0</v>
      </c>
      <c r="H302" s="142" t="b">
        <v>0</v>
      </c>
      <c r="I302" s="142" t="b">
        <v>0</v>
      </c>
      <c r="J302" s="142" t="b">
        <v>0</v>
      </c>
      <c r="K302" s="142" t="b">
        <v>0</v>
      </c>
      <c r="L302" s="8" t="b">
        <v>0</v>
      </c>
    </row>
    <row r="303">
      <c r="B303" s="103"/>
      <c r="C303" s="121" t="str">
        <f t="array" ref="C303">ifs(and(isblank($A303),isblank($B303)),"", not(iserror(vlookup($A303&amp;$B303,'5) Release_Track'!$F:$F&amp;'5) Release_Track'!$G:$G,1,0))),vlookup($A303&amp;$B303,{'5) Release_Track'!$F:$F&amp;'5) Release_Track'!$G:$G,'5) Release_Track'!$H:$H},2,0), or(and(not(isblank($B303)),$B303=$B302,$A303&lt;&gt;$A302),and(not(isblank($A303)),$A303=$A302,$B303&lt;&gt;$B302)),"ID LISTS UNALIGNED",and($A303&lt;&gt;"",countif('5) Release_Track'!$F:$F,$A303)=0),"NO ISRC MATCH in Release_Track",and($B303&lt;&gt;"",countif('5) Release_Track'!$G:$G,$B303)=0),"NO CATALOG ID MATCH in Release_Track",iserror(vlookup($A303&amp;$B303,'5) Release_Track'!$F:$F&amp;'5) Release_Track'!$G:$G,1,0)),"NO ISRC-CATALOG ID pair MATCH in Release_Track" )</f>
        <v/>
      </c>
      <c r="D303" s="121" t="str">
        <f t="array" ref="D303">ifs(and(isblank($A303),isblank($B303)),"", not(iserror(vlookup($A303&amp;$B303,'5) Release_Track'!$F:$F&amp;'5) Release_Track'!$G:$G,1,0))),vlookup($A303&amp;$B303,{'5) Release_Track'!$F:$F&amp;'5) Release_Track'!$G:$G,'5) Release_Track'!$I:$I},2,0), or(and(not(isblank($B303)),$B303=$B302,$A303&lt;&gt;$A302),and(not(isblank($A303)),$A303=$A302,$B303&lt;&gt;$B302)),"ID LISTS UNALIGNED",and($A303&lt;&gt;"",countif('5) Release_Track'!$F:$F,$A303)=0),"NO ISRC MATCH in Release_Track",and($B303&lt;&gt;"",countif('5) Release_Track'!$G:$G,$B303)=0),"NO CATALOG ID MATCH in Release_Track",iserror(vlookup($A303&amp;$B303,'5) Release_Track'!$F:$F&amp;'5) Release_Track'!$G:$G,1,0)),"NO ISRC-CATALOG ID pair MATCH in Release_Track" )</f>
        <v/>
      </c>
      <c r="E303" s="142" t="b">
        <v>0</v>
      </c>
      <c r="F303" s="142" t="b">
        <v>0</v>
      </c>
      <c r="G303" s="142" t="b">
        <v>0</v>
      </c>
      <c r="H303" s="142" t="b">
        <v>0</v>
      </c>
      <c r="I303" s="142" t="b">
        <v>0</v>
      </c>
      <c r="J303" s="142" t="b">
        <v>0</v>
      </c>
      <c r="K303" s="142" t="b">
        <v>0</v>
      </c>
      <c r="L303" s="8" t="b">
        <v>0</v>
      </c>
    </row>
    <row r="304">
      <c r="B304" s="103"/>
      <c r="C304" s="121" t="str">
        <f t="array" ref="C304">ifs(and(isblank($A304),isblank($B304)),"", not(iserror(vlookup($A304&amp;$B304,'5) Release_Track'!$F:$F&amp;'5) Release_Track'!$G:$G,1,0))),vlookup($A304&amp;$B304,{'5) Release_Track'!$F:$F&amp;'5) Release_Track'!$G:$G,'5) Release_Track'!$H:$H},2,0), or(and(not(isblank($B304)),$B304=$B303,$A304&lt;&gt;$A303),and(not(isblank($A304)),$A304=$A303,$B304&lt;&gt;$B303)),"ID LISTS UNALIGNED",and($A304&lt;&gt;"",countif('5) Release_Track'!$F:$F,$A304)=0),"NO ISRC MATCH in Release_Track",and($B304&lt;&gt;"",countif('5) Release_Track'!$G:$G,$B304)=0),"NO CATALOG ID MATCH in Release_Track",iserror(vlookup($A304&amp;$B304,'5) Release_Track'!$F:$F&amp;'5) Release_Track'!$G:$G,1,0)),"NO ISRC-CATALOG ID pair MATCH in Release_Track" )</f>
        <v/>
      </c>
      <c r="D304" s="121" t="str">
        <f t="array" ref="D304">ifs(and(isblank($A304),isblank($B304)),"", not(iserror(vlookup($A304&amp;$B304,'5) Release_Track'!$F:$F&amp;'5) Release_Track'!$G:$G,1,0))),vlookup($A304&amp;$B304,{'5) Release_Track'!$F:$F&amp;'5) Release_Track'!$G:$G,'5) Release_Track'!$I:$I},2,0), or(and(not(isblank($B304)),$B304=$B303,$A304&lt;&gt;$A303),and(not(isblank($A304)),$A304=$A303,$B304&lt;&gt;$B303)),"ID LISTS UNALIGNED",and($A304&lt;&gt;"",countif('5) Release_Track'!$F:$F,$A304)=0),"NO ISRC MATCH in Release_Track",and($B304&lt;&gt;"",countif('5) Release_Track'!$G:$G,$B304)=0),"NO CATALOG ID MATCH in Release_Track",iserror(vlookup($A304&amp;$B304,'5) Release_Track'!$F:$F&amp;'5) Release_Track'!$G:$G,1,0)),"NO ISRC-CATALOG ID pair MATCH in Release_Track" )</f>
        <v/>
      </c>
      <c r="E304" s="142" t="b">
        <v>0</v>
      </c>
      <c r="F304" s="142" t="b">
        <v>0</v>
      </c>
      <c r="G304" s="142" t="b">
        <v>0</v>
      </c>
      <c r="H304" s="142" t="b">
        <v>0</v>
      </c>
      <c r="I304" s="142" t="b">
        <v>0</v>
      </c>
      <c r="J304" s="142" t="b">
        <v>0</v>
      </c>
      <c r="K304" s="142" t="b">
        <v>0</v>
      </c>
      <c r="L304" s="8" t="b">
        <v>0</v>
      </c>
    </row>
    <row r="305">
      <c r="B305" s="103"/>
      <c r="C305" s="121" t="str">
        <f t="array" ref="C305">ifs(and(isblank($A305),isblank($B305)),"", not(iserror(vlookup($A305&amp;$B305,'5) Release_Track'!$F:$F&amp;'5) Release_Track'!$G:$G,1,0))),vlookup($A305&amp;$B305,{'5) Release_Track'!$F:$F&amp;'5) Release_Track'!$G:$G,'5) Release_Track'!$H:$H},2,0), or(and(not(isblank($B305)),$B305=$B304,$A305&lt;&gt;$A304),and(not(isblank($A305)),$A305=$A304,$B305&lt;&gt;$B304)),"ID LISTS UNALIGNED",and($A305&lt;&gt;"",countif('5) Release_Track'!$F:$F,$A305)=0),"NO ISRC MATCH in Release_Track",and($B305&lt;&gt;"",countif('5) Release_Track'!$G:$G,$B305)=0),"NO CATALOG ID MATCH in Release_Track",iserror(vlookup($A305&amp;$B305,'5) Release_Track'!$F:$F&amp;'5) Release_Track'!$G:$G,1,0)),"NO ISRC-CATALOG ID pair MATCH in Release_Track" )</f>
        <v/>
      </c>
      <c r="D305" s="121" t="str">
        <f t="array" ref="D305">ifs(and(isblank($A305),isblank($B305)),"", not(iserror(vlookup($A305&amp;$B305,'5) Release_Track'!$F:$F&amp;'5) Release_Track'!$G:$G,1,0))),vlookup($A305&amp;$B305,{'5) Release_Track'!$F:$F&amp;'5) Release_Track'!$G:$G,'5) Release_Track'!$I:$I},2,0), or(and(not(isblank($B305)),$B305=$B304,$A305&lt;&gt;$A304),and(not(isblank($A305)),$A305=$A304,$B305&lt;&gt;$B304)),"ID LISTS UNALIGNED",and($A305&lt;&gt;"",countif('5) Release_Track'!$F:$F,$A305)=0),"NO ISRC MATCH in Release_Track",and($B305&lt;&gt;"",countif('5) Release_Track'!$G:$G,$B305)=0),"NO CATALOG ID MATCH in Release_Track",iserror(vlookup($A305&amp;$B305,'5) Release_Track'!$F:$F&amp;'5) Release_Track'!$G:$G,1,0)),"NO ISRC-CATALOG ID pair MATCH in Release_Track" )</f>
        <v/>
      </c>
      <c r="E305" s="142" t="b">
        <v>0</v>
      </c>
      <c r="F305" s="142" t="b">
        <v>0</v>
      </c>
      <c r="G305" s="142" t="b">
        <v>0</v>
      </c>
      <c r="H305" s="142" t="b">
        <v>0</v>
      </c>
      <c r="I305" s="142" t="b">
        <v>0</v>
      </c>
      <c r="J305" s="142" t="b">
        <v>0</v>
      </c>
      <c r="K305" s="142" t="b">
        <v>0</v>
      </c>
      <c r="L305" s="8" t="b">
        <v>0</v>
      </c>
    </row>
    <row r="306">
      <c r="B306" s="103"/>
      <c r="C306" s="121" t="str">
        <f t="array" ref="C306">ifs(and(isblank($A306),isblank($B306)),"", not(iserror(vlookup($A306&amp;$B306,'5) Release_Track'!$F:$F&amp;'5) Release_Track'!$G:$G,1,0))),vlookup($A306&amp;$B306,{'5) Release_Track'!$F:$F&amp;'5) Release_Track'!$G:$G,'5) Release_Track'!$H:$H},2,0), or(and(not(isblank($B306)),$B306=$B305,$A306&lt;&gt;$A305),and(not(isblank($A306)),$A306=$A305,$B306&lt;&gt;$B305)),"ID LISTS UNALIGNED",and($A306&lt;&gt;"",countif('5) Release_Track'!$F:$F,$A306)=0),"NO ISRC MATCH in Release_Track",and($B306&lt;&gt;"",countif('5) Release_Track'!$G:$G,$B306)=0),"NO CATALOG ID MATCH in Release_Track",iserror(vlookup($A306&amp;$B306,'5) Release_Track'!$F:$F&amp;'5) Release_Track'!$G:$G,1,0)),"NO ISRC-CATALOG ID pair MATCH in Release_Track" )</f>
        <v/>
      </c>
      <c r="D306" s="121" t="str">
        <f t="array" ref="D306">ifs(and(isblank($A306),isblank($B306)),"", not(iserror(vlookup($A306&amp;$B306,'5) Release_Track'!$F:$F&amp;'5) Release_Track'!$G:$G,1,0))),vlookup($A306&amp;$B306,{'5) Release_Track'!$F:$F&amp;'5) Release_Track'!$G:$G,'5) Release_Track'!$I:$I},2,0), or(and(not(isblank($B306)),$B306=$B305,$A306&lt;&gt;$A305),and(not(isblank($A306)),$A306=$A305,$B306&lt;&gt;$B305)),"ID LISTS UNALIGNED",and($A306&lt;&gt;"",countif('5) Release_Track'!$F:$F,$A306)=0),"NO ISRC MATCH in Release_Track",and($B306&lt;&gt;"",countif('5) Release_Track'!$G:$G,$B306)=0),"NO CATALOG ID MATCH in Release_Track",iserror(vlookup($A306&amp;$B306,'5) Release_Track'!$F:$F&amp;'5) Release_Track'!$G:$G,1,0)),"NO ISRC-CATALOG ID pair MATCH in Release_Track" )</f>
        <v/>
      </c>
      <c r="E306" s="142" t="b">
        <v>0</v>
      </c>
      <c r="F306" s="142" t="b">
        <v>0</v>
      </c>
      <c r="G306" s="142" t="b">
        <v>0</v>
      </c>
      <c r="H306" s="142" t="b">
        <v>0</v>
      </c>
      <c r="I306" s="142" t="b">
        <v>0</v>
      </c>
      <c r="J306" s="142" t="b">
        <v>0</v>
      </c>
      <c r="K306" s="142" t="b">
        <v>0</v>
      </c>
      <c r="L306" s="8" t="b">
        <v>0</v>
      </c>
    </row>
    <row r="307">
      <c r="B307" s="103"/>
      <c r="C307" s="121" t="str">
        <f t="array" ref="C307">ifs(and(isblank($A307),isblank($B307)),"", not(iserror(vlookup($A307&amp;$B307,'5) Release_Track'!$F:$F&amp;'5) Release_Track'!$G:$G,1,0))),vlookup($A307&amp;$B307,{'5) Release_Track'!$F:$F&amp;'5) Release_Track'!$G:$G,'5) Release_Track'!$H:$H},2,0), or(and(not(isblank($B307)),$B307=$B306,$A307&lt;&gt;$A306),and(not(isblank($A307)),$A307=$A306,$B307&lt;&gt;$B306)),"ID LISTS UNALIGNED",and($A307&lt;&gt;"",countif('5) Release_Track'!$F:$F,$A307)=0),"NO ISRC MATCH in Release_Track",and($B307&lt;&gt;"",countif('5) Release_Track'!$G:$G,$B307)=0),"NO CATALOG ID MATCH in Release_Track",iserror(vlookup($A307&amp;$B307,'5) Release_Track'!$F:$F&amp;'5) Release_Track'!$G:$G,1,0)),"NO ISRC-CATALOG ID pair MATCH in Release_Track" )</f>
        <v/>
      </c>
      <c r="D307" s="121" t="str">
        <f t="array" ref="D307">ifs(and(isblank($A307),isblank($B307)),"", not(iserror(vlookup($A307&amp;$B307,'5) Release_Track'!$F:$F&amp;'5) Release_Track'!$G:$G,1,0))),vlookup($A307&amp;$B307,{'5) Release_Track'!$F:$F&amp;'5) Release_Track'!$G:$G,'5) Release_Track'!$I:$I},2,0), or(and(not(isblank($B307)),$B307=$B306,$A307&lt;&gt;$A306),and(not(isblank($A307)),$A307=$A306,$B307&lt;&gt;$B306)),"ID LISTS UNALIGNED",and($A307&lt;&gt;"",countif('5) Release_Track'!$F:$F,$A307)=0),"NO ISRC MATCH in Release_Track",and($B307&lt;&gt;"",countif('5) Release_Track'!$G:$G,$B307)=0),"NO CATALOG ID MATCH in Release_Track",iserror(vlookup($A307&amp;$B307,'5) Release_Track'!$F:$F&amp;'5) Release_Track'!$G:$G,1,0)),"NO ISRC-CATALOG ID pair MATCH in Release_Track" )</f>
        <v/>
      </c>
      <c r="E307" s="142" t="b">
        <v>0</v>
      </c>
      <c r="F307" s="142" t="b">
        <v>0</v>
      </c>
      <c r="G307" s="142" t="b">
        <v>0</v>
      </c>
      <c r="H307" s="142" t="b">
        <v>0</v>
      </c>
      <c r="I307" s="142" t="b">
        <v>0</v>
      </c>
      <c r="J307" s="142" t="b">
        <v>0</v>
      </c>
      <c r="K307" s="142" t="b">
        <v>0</v>
      </c>
      <c r="L307" s="8" t="b">
        <v>0</v>
      </c>
    </row>
    <row r="308">
      <c r="B308" s="103"/>
      <c r="C308" s="121" t="str">
        <f t="array" ref="C308">ifs(and(isblank($A308),isblank($B308)),"", not(iserror(vlookup($A308&amp;$B308,'5) Release_Track'!$F:$F&amp;'5) Release_Track'!$G:$G,1,0))),vlookup($A308&amp;$B308,{'5) Release_Track'!$F:$F&amp;'5) Release_Track'!$G:$G,'5) Release_Track'!$H:$H},2,0), or(and(not(isblank($B308)),$B308=$B307,$A308&lt;&gt;$A307),and(not(isblank($A308)),$A308=$A307,$B308&lt;&gt;$B307)),"ID LISTS UNALIGNED",and($A308&lt;&gt;"",countif('5) Release_Track'!$F:$F,$A308)=0),"NO ISRC MATCH in Release_Track",and($B308&lt;&gt;"",countif('5) Release_Track'!$G:$G,$B308)=0),"NO CATALOG ID MATCH in Release_Track",iserror(vlookup($A308&amp;$B308,'5) Release_Track'!$F:$F&amp;'5) Release_Track'!$G:$G,1,0)),"NO ISRC-CATALOG ID pair MATCH in Release_Track" )</f>
        <v/>
      </c>
      <c r="D308" s="121" t="str">
        <f t="array" ref="D308">ifs(and(isblank($A308),isblank($B308)),"", not(iserror(vlookup($A308&amp;$B308,'5) Release_Track'!$F:$F&amp;'5) Release_Track'!$G:$G,1,0))),vlookup($A308&amp;$B308,{'5) Release_Track'!$F:$F&amp;'5) Release_Track'!$G:$G,'5) Release_Track'!$I:$I},2,0), or(and(not(isblank($B308)),$B308=$B307,$A308&lt;&gt;$A307),and(not(isblank($A308)),$A308=$A307,$B308&lt;&gt;$B307)),"ID LISTS UNALIGNED",and($A308&lt;&gt;"",countif('5) Release_Track'!$F:$F,$A308)=0),"NO ISRC MATCH in Release_Track",and($B308&lt;&gt;"",countif('5) Release_Track'!$G:$G,$B308)=0),"NO CATALOG ID MATCH in Release_Track",iserror(vlookup($A308&amp;$B308,'5) Release_Track'!$F:$F&amp;'5) Release_Track'!$G:$G,1,0)),"NO ISRC-CATALOG ID pair MATCH in Release_Track" )</f>
        <v/>
      </c>
      <c r="E308" s="142" t="b">
        <v>0</v>
      </c>
      <c r="F308" s="142" t="b">
        <v>0</v>
      </c>
      <c r="G308" s="142" t="b">
        <v>0</v>
      </c>
      <c r="H308" s="142" t="b">
        <v>0</v>
      </c>
      <c r="I308" s="142" t="b">
        <v>0</v>
      </c>
      <c r="J308" s="142" t="b">
        <v>0</v>
      </c>
      <c r="K308" s="142" t="b">
        <v>0</v>
      </c>
      <c r="L308" s="8" t="b">
        <v>0</v>
      </c>
    </row>
    <row r="309">
      <c r="B309" s="103"/>
      <c r="C309" s="121" t="str">
        <f t="array" ref="C309">ifs(and(isblank($A309),isblank($B309)),"", not(iserror(vlookup($A309&amp;$B309,'5) Release_Track'!$F:$F&amp;'5) Release_Track'!$G:$G,1,0))),vlookup($A309&amp;$B309,{'5) Release_Track'!$F:$F&amp;'5) Release_Track'!$G:$G,'5) Release_Track'!$H:$H},2,0), or(and(not(isblank($B309)),$B309=$B308,$A309&lt;&gt;$A308),and(not(isblank($A309)),$A309=$A308,$B309&lt;&gt;$B308)),"ID LISTS UNALIGNED",and($A309&lt;&gt;"",countif('5) Release_Track'!$F:$F,$A309)=0),"NO ISRC MATCH in Release_Track",and($B309&lt;&gt;"",countif('5) Release_Track'!$G:$G,$B309)=0),"NO CATALOG ID MATCH in Release_Track",iserror(vlookup($A309&amp;$B309,'5) Release_Track'!$F:$F&amp;'5) Release_Track'!$G:$G,1,0)),"NO ISRC-CATALOG ID pair MATCH in Release_Track" )</f>
        <v/>
      </c>
      <c r="D309" s="121" t="str">
        <f t="array" ref="D309">ifs(and(isblank($A309),isblank($B309)),"", not(iserror(vlookup($A309&amp;$B309,'5) Release_Track'!$F:$F&amp;'5) Release_Track'!$G:$G,1,0))),vlookup($A309&amp;$B309,{'5) Release_Track'!$F:$F&amp;'5) Release_Track'!$G:$G,'5) Release_Track'!$I:$I},2,0), or(and(not(isblank($B309)),$B309=$B308,$A309&lt;&gt;$A308),and(not(isblank($A309)),$A309=$A308,$B309&lt;&gt;$B308)),"ID LISTS UNALIGNED",and($A309&lt;&gt;"",countif('5) Release_Track'!$F:$F,$A309)=0),"NO ISRC MATCH in Release_Track",and($B309&lt;&gt;"",countif('5) Release_Track'!$G:$G,$B309)=0),"NO CATALOG ID MATCH in Release_Track",iserror(vlookup($A309&amp;$B309,'5) Release_Track'!$F:$F&amp;'5) Release_Track'!$G:$G,1,0)),"NO ISRC-CATALOG ID pair MATCH in Release_Track" )</f>
        <v/>
      </c>
      <c r="E309" s="142" t="b">
        <v>0</v>
      </c>
      <c r="F309" s="142" t="b">
        <v>0</v>
      </c>
      <c r="G309" s="142" t="b">
        <v>0</v>
      </c>
      <c r="H309" s="142" t="b">
        <v>0</v>
      </c>
      <c r="I309" s="142" t="b">
        <v>0</v>
      </c>
      <c r="J309" s="142" t="b">
        <v>0</v>
      </c>
      <c r="K309" s="142" t="b">
        <v>0</v>
      </c>
      <c r="L309" s="8" t="b">
        <v>0</v>
      </c>
    </row>
    <row r="310">
      <c r="B310" s="103"/>
      <c r="C310" s="121" t="str">
        <f t="array" ref="C310">ifs(and(isblank($A310),isblank($B310)),"", not(iserror(vlookup($A310&amp;$B310,'5) Release_Track'!$F:$F&amp;'5) Release_Track'!$G:$G,1,0))),vlookup($A310&amp;$B310,{'5) Release_Track'!$F:$F&amp;'5) Release_Track'!$G:$G,'5) Release_Track'!$H:$H},2,0), or(and(not(isblank($B310)),$B310=$B309,$A310&lt;&gt;$A309),and(not(isblank($A310)),$A310=$A309,$B310&lt;&gt;$B309)),"ID LISTS UNALIGNED",and($A310&lt;&gt;"",countif('5) Release_Track'!$F:$F,$A310)=0),"NO ISRC MATCH in Release_Track",and($B310&lt;&gt;"",countif('5) Release_Track'!$G:$G,$B310)=0),"NO CATALOG ID MATCH in Release_Track",iserror(vlookup($A310&amp;$B310,'5) Release_Track'!$F:$F&amp;'5) Release_Track'!$G:$G,1,0)),"NO ISRC-CATALOG ID pair MATCH in Release_Track" )</f>
        <v/>
      </c>
      <c r="D310" s="121" t="str">
        <f t="array" ref="D310">ifs(and(isblank($A310),isblank($B310)),"", not(iserror(vlookup($A310&amp;$B310,'5) Release_Track'!$F:$F&amp;'5) Release_Track'!$G:$G,1,0))),vlookup($A310&amp;$B310,{'5) Release_Track'!$F:$F&amp;'5) Release_Track'!$G:$G,'5) Release_Track'!$I:$I},2,0), or(and(not(isblank($B310)),$B310=$B309,$A310&lt;&gt;$A309),and(not(isblank($A310)),$A310=$A309,$B310&lt;&gt;$B309)),"ID LISTS UNALIGNED",and($A310&lt;&gt;"",countif('5) Release_Track'!$F:$F,$A310)=0),"NO ISRC MATCH in Release_Track",and($B310&lt;&gt;"",countif('5) Release_Track'!$G:$G,$B310)=0),"NO CATALOG ID MATCH in Release_Track",iserror(vlookup($A310&amp;$B310,'5) Release_Track'!$F:$F&amp;'5) Release_Track'!$G:$G,1,0)),"NO ISRC-CATALOG ID pair MATCH in Release_Track" )</f>
        <v/>
      </c>
      <c r="E310" s="142" t="b">
        <v>0</v>
      </c>
      <c r="F310" s="142" t="b">
        <v>0</v>
      </c>
      <c r="G310" s="142" t="b">
        <v>0</v>
      </c>
      <c r="H310" s="142" t="b">
        <v>0</v>
      </c>
      <c r="I310" s="142" t="b">
        <v>0</v>
      </c>
      <c r="J310" s="142" t="b">
        <v>0</v>
      </c>
      <c r="K310" s="142" t="b">
        <v>0</v>
      </c>
      <c r="L310" s="8" t="b">
        <v>0</v>
      </c>
    </row>
    <row r="311">
      <c r="B311" s="103"/>
      <c r="C311" s="121" t="str">
        <f t="array" ref="C311">ifs(and(isblank($A311),isblank($B311)),"", not(iserror(vlookup($A311&amp;$B311,'5) Release_Track'!$F:$F&amp;'5) Release_Track'!$G:$G,1,0))),vlookup($A311&amp;$B311,{'5) Release_Track'!$F:$F&amp;'5) Release_Track'!$G:$G,'5) Release_Track'!$H:$H},2,0), or(and(not(isblank($B311)),$B311=$B310,$A311&lt;&gt;$A310),and(not(isblank($A311)),$A311=$A310,$B311&lt;&gt;$B310)),"ID LISTS UNALIGNED",and($A311&lt;&gt;"",countif('5) Release_Track'!$F:$F,$A311)=0),"NO ISRC MATCH in Release_Track",and($B311&lt;&gt;"",countif('5) Release_Track'!$G:$G,$B311)=0),"NO CATALOG ID MATCH in Release_Track",iserror(vlookup($A311&amp;$B311,'5) Release_Track'!$F:$F&amp;'5) Release_Track'!$G:$G,1,0)),"NO ISRC-CATALOG ID pair MATCH in Release_Track" )</f>
        <v/>
      </c>
      <c r="D311" s="121" t="str">
        <f t="array" ref="D311">ifs(and(isblank($A311),isblank($B311)),"", not(iserror(vlookup($A311&amp;$B311,'5) Release_Track'!$F:$F&amp;'5) Release_Track'!$G:$G,1,0))),vlookup($A311&amp;$B311,{'5) Release_Track'!$F:$F&amp;'5) Release_Track'!$G:$G,'5) Release_Track'!$I:$I},2,0), or(and(not(isblank($B311)),$B311=$B310,$A311&lt;&gt;$A310),and(not(isblank($A311)),$A311=$A310,$B311&lt;&gt;$B310)),"ID LISTS UNALIGNED",and($A311&lt;&gt;"",countif('5) Release_Track'!$F:$F,$A311)=0),"NO ISRC MATCH in Release_Track",and($B311&lt;&gt;"",countif('5) Release_Track'!$G:$G,$B311)=0),"NO CATALOG ID MATCH in Release_Track",iserror(vlookup($A311&amp;$B311,'5) Release_Track'!$F:$F&amp;'5) Release_Track'!$G:$G,1,0)),"NO ISRC-CATALOG ID pair MATCH in Release_Track" )</f>
        <v/>
      </c>
      <c r="E311" s="142" t="b">
        <v>0</v>
      </c>
      <c r="F311" s="142" t="b">
        <v>0</v>
      </c>
      <c r="G311" s="142" t="b">
        <v>0</v>
      </c>
      <c r="H311" s="142" t="b">
        <v>0</v>
      </c>
      <c r="I311" s="142" t="b">
        <v>0</v>
      </c>
      <c r="J311" s="142" t="b">
        <v>0</v>
      </c>
      <c r="K311" s="142" t="b">
        <v>0</v>
      </c>
      <c r="L311" s="8" t="b">
        <v>0</v>
      </c>
    </row>
    <row r="312">
      <c r="B312" s="103"/>
      <c r="C312" s="121" t="str">
        <f t="array" ref="C312">ifs(and(isblank($A312),isblank($B312)),"", not(iserror(vlookup($A312&amp;$B312,'5) Release_Track'!$F:$F&amp;'5) Release_Track'!$G:$G,1,0))),vlookup($A312&amp;$B312,{'5) Release_Track'!$F:$F&amp;'5) Release_Track'!$G:$G,'5) Release_Track'!$H:$H},2,0), or(and(not(isblank($B312)),$B312=$B311,$A312&lt;&gt;$A311),and(not(isblank($A312)),$A312=$A311,$B312&lt;&gt;$B311)),"ID LISTS UNALIGNED",and($A312&lt;&gt;"",countif('5) Release_Track'!$F:$F,$A312)=0),"NO ISRC MATCH in Release_Track",and($B312&lt;&gt;"",countif('5) Release_Track'!$G:$G,$B312)=0),"NO CATALOG ID MATCH in Release_Track",iserror(vlookup($A312&amp;$B312,'5) Release_Track'!$F:$F&amp;'5) Release_Track'!$G:$G,1,0)),"NO ISRC-CATALOG ID pair MATCH in Release_Track" )</f>
        <v/>
      </c>
      <c r="D312" s="121" t="str">
        <f t="array" ref="D312">ifs(and(isblank($A312),isblank($B312)),"", not(iserror(vlookup($A312&amp;$B312,'5) Release_Track'!$F:$F&amp;'5) Release_Track'!$G:$G,1,0))),vlookup($A312&amp;$B312,{'5) Release_Track'!$F:$F&amp;'5) Release_Track'!$G:$G,'5) Release_Track'!$I:$I},2,0), or(and(not(isblank($B312)),$B312=$B311,$A312&lt;&gt;$A311),and(not(isblank($A312)),$A312=$A311,$B312&lt;&gt;$B311)),"ID LISTS UNALIGNED",and($A312&lt;&gt;"",countif('5) Release_Track'!$F:$F,$A312)=0),"NO ISRC MATCH in Release_Track",and($B312&lt;&gt;"",countif('5) Release_Track'!$G:$G,$B312)=0),"NO CATALOG ID MATCH in Release_Track",iserror(vlookup($A312&amp;$B312,'5) Release_Track'!$F:$F&amp;'5) Release_Track'!$G:$G,1,0)),"NO ISRC-CATALOG ID pair MATCH in Release_Track" )</f>
        <v/>
      </c>
      <c r="E312" s="142" t="b">
        <v>0</v>
      </c>
      <c r="F312" s="142" t="b">
        <v>0</v>
      </c>
      <c r="G312" s="142" t="b">
        <v>0</v>
      </c>
      <c r="H312" s="142" t="b">
        <v>0</v>
      </c>
      <c r="I312" s="142" t="b">
        <v>0</v>
      </c>
      <c r="J312" s="142" t="b">
        <v>0</v>
      </c>
      <c r="K312" s="142" t="b">
        <v>0</v>
      </c>
      <c r="L312" s="8" t="b">
        <v>0</v>
      </c>
    </row>
    <row r="313">
      <c r="B313" s="103"/>
      <c r="C313" s="121" t="str">
        <f t="array" ref="C313">ifs(and(isblank($A313),isblank($B313)),"", not(iserror(vlookup($A313&amp;$B313,'5) Release_Track'!$F:$F&amp;'5) Release_Track'!$G:$G,1,0))),vlookup($A313&amp;$B313,{'5) Release_Track'!$F:$F&amp;'5) Release_Track'!$G:$G,'5) Release_Track'!$H:$H},2,0), or(and(not(isblank($B313)),$B313=$B312,$A313&lt;&gt;$A312),and(not(isblank($A313)),$A313=$A312,$B313&lt;&gt;$B312)),"ID LISTS UNALIGNED",and($A313&lt;&gt;"",countif('5) Release_Track'!$F:$F,$A313)=0),"NO ISRC MATCH in Release_Track",and($B313&lt;&gt;"",countif('5) Release_Track'!$G:$G,$B313)=0),"NO CATALOG ID MATCH in Release_Track",iserror(vlookup($A313&amp;$B313,'5) Release_Track'!$F:$F&amp;'5) Release_Track'!$G:$G,1,0)),"NO ISRC-CATALOG ID pair MATCH in Release_Track" )</f>
        <v/>
      </c>
      <c r="D313" s="121" t="str">
        <f t="array" ref="D313">ifs(and(isblank($A313),isblank($B313)),"", not(iserror(vlookup($A313&amp;$B313,'5) Release_Track'!$F:$F&amp;'5) Release_Track'!$G:$G,1,0))),vlookup($A313&amp;$B313,{'5) Release_Track'!$F:$F&amp;'5) Release_Track'!$G:$G,'5) Release_Track'!$I:$I},2,0), or(and(not(isblank($B313)),$B313=$B312,$A313&lt;&gt;$A312),and(not(isblank($A313)),$A313=$A312,$B313&lt;&gt;$B312)),"ID LISTS UNALIGNED",and($A313&lt;&gt;"",countif('5) Release_Track'!$F:$F,$A313)=0),"NO ISRC MATCH in Release_Track",and($B313&lt;&gt;"",countif('5) Release_Track'!$G:$G,$B313)=0),"NO CATALOG ID MATCH in Release_Track",iserror(vlookup($A313&amp;$B313,'5) Release_Track'!$F:$F&amp;'5) Release_Track'!$G:$G,1,0)),"NO ISRC-CATALOG ID pair MATCH in Release_Track" )</f>
        <v/>
      </c>
      <c r="E313" s="142" t="b">
        <v>0</v>
      </c>
      <c r="F313" s="142" t="b">
        <v>0</v>
      </c>
      <c r="G313" s="142" t="b">
        <v>0</v>
      </c>
      <c r="H313" s="142" t="b">
        <v>0</v>
      </c>
      <c r="I313" s="142" t="b">
        <v>0</v>
      </c>
      <c r="J313" s="142" t="b">
        <v>0</v>
      </c>
      <c r="K313" s="142" t="b">
        <v>0</v>
      </c>
      <c r="L313" s="8" t="b">
        <v>0</v>
      </c>
    </row>
    <row r="314">
      <c r="B314" s="103"/>
      <c r="C314" s="121" t="str">
        <f t="array" ref="C314">ifs(and(isblank($A314),isblank($B314)),"", not(iserror(vlookup($A314&amp;$B314,'5) Release_Track'!$F:$F&amp;'5) Release_Track'!$G:$G,1,0))),vlookup($A314&amp;$B314,{'5) Release_Track'!$F:$F&amp;'5) Release_Track'!$G:$G,'5) Release_Track'!$H:$H},2,0), or(and(not(isblank($B314)),$B314=$B313,$A314&lt;&gt;$A313),and(not(isblank($A314)),$A314=$A313,$B314&lt;&gt;$B313)),"ID LISTS UNALIGNED",and($A314&lt;&gt;"",countif('5) Release_Track'!$F:$F,$A314)=0),"NO ISRC MATCH in Release_Track",and($B314&lt;&gt;"",countif('5) Release_Track'!$G:$G,$B314)=0),"NO CATALOG ID MATCH in Release_Track",iserror(vlookup($A314&amp;$B314,'5) Release_Track'!$F:$F&amp;'5) Release_Track'!$G:$G,1,0)),"NO ISRC-CATALOG ID pair MATCH in Release_Track" )</f>
        <v/>
      </c>
      <c r="D314" s="121" t="str">
        <f t="array" ref="D314">ifs(and(isblank($A314),isblank($B314)),"", not(iserror(vlookup($A314&amp;$B314,'5) Release_Track'!$F:$F&amp;'5) Release_Track'!$G:$G,1,0))),vlookup($A314&amp;$B314,{'5) Release_Track'!$F:$F&amp;'5) Release_Track'!$G:$G,'5) Release_Track'!$I:$I},2,0), or(and(not(isblank($B314)),$B314=$B313,$A314&lt;&gt;$A313),and(not(isblank($A314)),$A314=$A313,$B314&lt;&gt;$B313)),"ID LISTS UNALIGNED",and($A314&lt;&gt;"",countif('5) Release_Track'!$F:$F,$A314)=0),"NO ISRC MATCH in Release_Track",and($B314&lt;&gt;"",countif('5) Release_Track'!$G:$G,$B314)=0),"NO CATALOG ID MATCH in Release_Track",iserror(vlookup($A314&amp;$B314,'5) Release_Track'!$F:$F&amp;'5) Release_Track'!$G:$G,1,0)),"NO ISRC-CATALOG ID pair MATCH in Release_Track" )</f>
        <v/>
      </c>
      <c r="E314" s="142" t="b">
        <v>0</v>
      </c>
      <c r="F314" s="142" t="b">
        <v>0</v>
      </c>
      <c r="G314" s="142" t="b">
        <v>0</v>
      </c>
      <c r="H314" s="142" t="b">
        <v>0</v>
      </c>
      <c r="I314" s="142" t="b">
        <v>0</v>
      </c>
      <c r="J314" s="142" t="b">
        <v>0</v>
      </c>
      <c r="K314" s="142" t="b">
        <v>0</v>
      </c>
      <c r="L314" s="8" t="b">
        <v>0</v>
      </c>
    </row>
    <row r="315">
      <c r="B315" s="103"/>
      <c r="C315" s="121" t="str">
        <f t="array" ref="C315">ifs(and(isblank($A315),isblank($B315)),"", not(iserror(vlookup($A315&amp;$B315,'5) Release_Track'!$F:$F&amp;'5) Release_Track'!$G:$G,1,0))),vlookup($A315&amp;$B315,{'5) Release_Track'!$F:$F&amp;'5) Release_Track'!$G:$G,'5) Release_Track'!$H:$H},2,0), or(and(not(isblank($B315)),$B315=$B314,$A315&lt;&gt;$A314),and(not(isblank($A315)),$A315=$A314,$B315&lt;&gt;$B314)),"ID LISTS UNALIGNED",and($A315&lt;&gt;"",countif('5) Release_Track'!$F:$F,$A315)=0),"NO ISRC MATCH in Release_Track",and($B315&lt;&gt;"",countif('5) Release_Track'!$G:$G,$B315)=0),"NO CATALOG ID MATCH in Release_Track",iserror(vlookup($A315&amp;$B315,'5) Release_Track'!$F:$F&amp;'5) Release_Track'!$G:$G,1,0)),"NO ISRC-CATALOG ID pair MATCH in Release_Track" )</f>
        <v/>
      </c>
      <c r="D315" s="121" t="str">
        <f t="array" ref="D315">ifs(and(isblank($A315),isblank($B315)),"", not(iserror(vlookup($A315&amp;$B315,'5) Release_Track'!$F:$F&amp;'5) Release_Track'!$G:$G,1,0))),vlookup($A315&amp;$B315,{'5) Release_Track'!$F:$F&amp;'5) Release_Track'!$G:$G,'5) Release_Track'!$I:$I},2,0), or(and(not(isblank($B315)),$B315=$B314,$A315&lt;&gt;$A314),and(not(isblank($A315)),$A315=$A314,$B315&lt;&gt;$B314)),"ID LISTS UNALIGNED",and($A315&lt;&gt;"",countif('5) Release_Track'!$F:$F,$A315)=0),"NO ISRC MATCH in Release_Track",and($B315&lt;&gt;"",countif('5) Release_Track'!$G:$G,$B315)=0),"NO CATALOG ID MATCH in Release_Track",iserror(vlookup($A315&amp;$B315,'5) Release_Track'!$F:$F&amp;'5) Release_Track'!$G:$G,1,0)),"NO ISRC-CATALOG ID pair MATCH in Release_Track" )</f>
        <v/>
      </c>
      <c r="E315" s="142" t="b">
        <v>0</v>
      </c>
      <c r="F315" s="142" t="b">
        <v>0</v>
      </c>
      <c r="G315" s="142" t="b">
        <v>0</v>
      </c>
      <c r="H315" s="142" t="b">
        <v>0</v>
      </c>
      <c r="I315" s="142" t="b">
        <v>0</v>
      </c>
      <c r="J315" s="142" t="b">
        <v>0</v>
      </c>
      <c r="K315" s="142" t="b">
        <v>0</v>
      </c>
      <c r="L315" s="8" t="b">
        <v>0</v>
      </c>
    </row>
    <row r="316">
      <c r="B316" s="103"/>
      <c r="C316" s="121" t="str">
        <f t="array" ref="C316">ifs(and(isblank($A316),isblank($B316)),"", not(iserror(vlookup($A316&amp;$B316,'5) Release_Track'!$F:$F&amp;'5) Release_Track'!$G:$G,1,0))),vlookup($A316&amp;$B316,{'5) Release_Track'!$F:$F&amp;'5) Release_Track'!$G:$G,'5) Release_Track'!$H:$H},2,0), or(and(not(isblank($B316)),$B316=$B315,$A316&lt;&gt;$A315),and(not(isblank($A316)),$A316=$A315,$B316&lt;&gt;$B315)),"ID LISTS UNALIGNED",and($A316&lt;&gt;"",countif('5) Release_Track'!$F:$F,$A316)=0),"NO ISRC MATCH in Release_Track",and($B316&lt;&gt;"",countif('5) Release_Track'!$G:$G,$B316)=0),"NO CATALOG ID MATCH in Release_Track",iserror(vlookup($A316&amp;$B316,'5) Release_Track'!$F:$F&amp;'5) Release_Track'!$G:$G,1,0)),"NO ISRC-CATALOG ID pair MATCH in Release_Track" )</f>
        <v/>
      </c>
      <c r="D316" s="121" t="str">
        <f t="array" ref="D316">ifs(and(isblank($A316),isblank($B316)),"", not(iserror(vlookup($A316&amp;$B316,'5) Release_Track'!$F:$F&amp;'5) Release_Track'!$G:$G,1,0))),vlookup($A316&amp;$B316,{'5) Release_Track'!$F:$F&amp;'5) Release_Track'!$G:$G,'5) Release_Track'!$I:$I},2,0), or(and(not(isblank($B316)),$B316=$B315,$A316&lt;&gt;$A315),and(not(isblank($A316)),$A316=$A315,$B316&lt;&gt;$B315)),"ID LISTS UNALIGNED",and($A316&lt;&gt;"",countif('5) Release_Track'!$F:$F,$A316)=0),"NO ISRC MATCH in Release_Track",and($B316&lt;&gt;"",countif('5) Release_Track'!$G:$G,$B316)=0),"NO CATALOG ID MATCH in Release_Track",iserror(vlookup($A316&amp;$B316,'5) Release_Track'!$F:$F&amp;'5) Release_Track'!$G:$G,1,0)),"NO ISRC-CATALOG ID pair MATCH in Release_Track" )</f>
        <v/>
      </c>
      <c r="E316" s="142" t="b">
        <v>0</v>
      </c>
      <c r="F316" s="142" t="b">
        <v>0</v>
      </c>
      <c r="G316" s="142" t="b">
        <v>0</v>
      </c>
      <c r="H316" s="142" t="b">
        <v>0</v>
      </c>
      <c r="I316" s="142" t="b">
        <v>0</v>
      </c>
      <c r="J316" s="142" t="b">
        <v>0</v>
      </c>
      <c r="K316" s="142" t="b">
        <v>0</v>
      </c>
      <c r="L316" s="8" t="b">
        <v>0</v>
      </c>
    </row>
    <row r="317">
      <c r="B317" s="103"/>
      <c r="C317" s="121" t="str">
        <f t="array" ref="C317">ifs(and(isblank($A317),isblank($B317)),"", not(iserror(vlookup($A317&amp;$B317,'5) Release_Track'!$F:$F&amp;'5) Release_Track'!$G:$G,1,0))),vlookup($A317&amp;$B317,{'5) Release_Track'!$F:$F&amp;'5) Release_Track'!$G:$G,'5) Release_Track'!$H:$H},2,0), or(and(not(isblank($B317)),$B317=$B316,$A317&lt;&gt;$A316),and(not(isblank($A317)),$A317=$A316,$B317&lt;&gt;$B316)),"ID LISTS UNALIGNED",and($A317&lt;&gt;"",countif('5) Release_Track'!$F:$F,$A317)=0),"NO ISRC MATCH in Release_Track",and($B317&lt;&gt;"",countif('5) Release_Track'!$G:$G,$B317)=0),"NO CATALOG ID MATCH in Release_Track",iserror(vlookup($A317&amp;$B317,'5) Release_Track'!$F:$F&amp;'5) Release_Track'!$G:$G,1,0)),"NO ISRC-CATALOG ID pair MATCH in Release_Track" )</f>
        <v/>
      </c>
      <c r="D317" s="121" t="str">
        <f t="array" ref="D317">ifs(and(isblank($A317),isblank($B317)),"", not(iserror(vlookup($A317&amp;$B317,'5) Release_Track'!$F:$F&amp;'5) Release_Track'!$G:$G,1,0))),vlookup($A317&amp;$B317,{'5) Release_Track'!$F:$F&amp;'5) Release_Track'!$G:$G,'5) Release_Track'!$I:$I},2,0), or(and(not(isblank($B317)),$B317=$B316,$A317&lt;&gt;$A316),and(not(isblank($A317)),$A317=$A316,$B317&lt;&gt;$B316)),"ID LISTS UNALIGNED",and($A317&lt;&gt;"",countif('5) Release_Track'!$F:$F,$A317)=0),"NO ISRC MATCH in Release_Track",and($B317&lt;&gt;"",countif('5) Release_Track'!$G:$G,$B317)=0),"NO CATALOG ID MATCH in Release_Track",iserror(vlookup($A317&amp;$B317,'5) Release_Track'!$F:$F&amp;'5) Release_Track'!$G:$G,1,0)),"NO ISRC-CATALOG ID pair MATCH in Release_Track" )</f>
        <v/>
      </c>
      <c r="E317" s="142" t="b">
        <v>0</v>
      </c>
      <c r="F317" s="142" t="b">
        <v>0</v>
      </c>
      <c r="G317" s="142" t="b">
        <v>0</v>
      </c>
      <c r="H317" s="142" t="b">
        <v>0</v>
      </c>
      <c r="I317" s="142" t="b">
        <v>0</v>
      </c>
      <c r="J317" s="142" t="b">
        <v>0</v>
      </c>
      <c r="K317" s="142" t="b">
        <v>0</v>
      </c>
      <c r="L317" s="8" t="b">
        <v>0</v>
      </c>
    </row>
    <row r="318">
      <c r="B318" s="103"/>
      <c r="C318" s="121" t="str">
        <f t="array" ref="C318">ifs(and(isblank($A318),isblank($B318)),"", not(iserror(vlookup($A318&amp;$B318,'5) Release_Track'!$F:$F&amp;'5) Release_Track'!$G:$G,1,0))),vlookup($A318&amp;$B318,{'5) Release_Track'!$F:$F&amp;'5) Release_Track'!$G:$G,'5) Release_Track'!$H:$H},2,0), or(and(not(isblank($B318)),$B318=$B317,$A318&lt;&gt;$A317),and(not(isblank($A318)),$A318=$A317,$B318&lt;&gt;$B317)),"ID LISTS UNALIGNED",and($A318&lt;&gt;"",countif('5) Release_Track'!$F:$F,$A318)=0),"NO ISRC MATCH in Release_Track",and($B318&lt;&gt;"",countif('5) Release_Track'!$G:$G,$B318)=0),"NO CATALOG ID MATCH in Release_Track",iserror(vlookup($A318&amp;$B318,'5) Release_Track'!$F:$F&amp;'5) Release_Track'!$G:$G,1,0)),"NO ISRC-CATALOG ID pair MATCH in Release_Track" )</f>
        <v/>
      </c>
      <c r="D318" s="121" t="str">
        <f t="array" ref="D318">ifs(and(isblank($A318),isblank($B318)),"", not(iserror(vlookup($A318&amp;$B318,'5) Release_Track'!$F:$F&amp;'5) Release_Track'!$G:$G,1,0))),vlookup($A318&amp;$B318,{'5) Release_Track'!$F:$F&amp;'5) Release_Track'!$G:$G,'5) Release_Track'!$I:$I},2,0), or(and(not(isblank($B318)),$B318=$B317,$A318&lt;&gt;$A317),and(not(isblank($A318)),$A318=$A317,$B318&lt;&gt;$B317)),"ID LISTS UNALIGNED",and($A318&lt;&gt;"",countif('5) Release_Track'!$F:$F,$A318)=0),"NO ISRC MATCH in Release_Track",and($B318&lt;&gt;"",countif('5) Release_Track'!$G:$G,$B318)=0),"NO CATALOG ID MATCH in Release_Track",iserror(vlookup($A318&amp;$B318,'5) Release_Track'!$F:$F&amp;'5) Release_Track'!$G:$G,1,0)),"NO ISRC-CATALOG ID pair MATCH in Release_Track" )</f>
        <v/>
      </c>
      <c r="E318" s="142" t="b">
        <v>0</v>
      </c>
      <c r="F318" s="142" t="b">
        <v>0</v>
      </c>
      <c r="G318" s="142" t="b">
        <v>0</v>
      </c>
      <c r="H318" s="142" t="b">
        <v>0</v>
      </c>
      <c r="I318" s="142" t="b">
        <v>0</v>
      </c>
      <c r="J318" s="142" t="b">
        <v>0</v>
      </c>
      <c r="K318" s="142" t="b">
        <v>0</v>
      </c>
      <c r="L318" s="8" t="b">
        <v>0</v>
      </c>
    </row>
    <row r="319">
      <c r="B319" s="103"/>
      <c r="C319" s="121" t="str">
        <f t="array" ref="C319">ifs(and(isblank($A319),isblank($B319)),"", not(iserror(vlookup($A319&amp;$B319,'5) Release_Track'!$F:$F&amp;'5) Release_Track'!$G:$G,1,0))),vlookup($A319&amp;$B319,{'5) Release_Track'!$F:$F&amp;'5) Release_Track'!$G:$G,'5) Release_Track'!$H:$H},2,0), or(and(not(isblank($B319)),$B319=$B318,$A319&lt;&gt;$A318),and(not(isblank($A319)),$A319=$A318,$B319&lt;&gt;$B318)),"ID LISTS UNALIGNED",and($A319&lt;&gt;"",countif('5) Release_Track'!$F:$F,$A319)=0),"NO ISRC MATCH in Release_Track",and($B319&lt;&gt;"",countif('5) Release_Track'!$G:$G,$B319)=0),"NO CATALOG ID MATCH in Release_Track",iserror(vlookup($A319&amp;$B319,'5) Release_Track'!$F:$F&amp;'5) Release_Track'!$G:$G,1,0)),"NO ISRC-CATALOG ID pair MATCH in Release_Track" )</f>
        <v/>
      </c>
      <c r="D319" s="121" t="str">
        <f t="array" ref="D319">ifs(and(isblank($A319),isblank($B319)),"", not(iserror(vlookup($A319&amp;$B319,'5) Release_Track'!$F:$F&amp;'5) Release_Track'!$G:$G,1,0))),vlookup($A319&amp;$B319,{'5) Release_Track'!$F:$F&amp;'5) Release_Track'!$G:$G,'5) Release_Track'!$I:$I},2,0), or(and(not(isblank($B319)),$B319=$B318,$A319&lt;&gt;$A318),and(not(isblank($A319)),$A319=$A318,$B319&lt;&gt;$B318)),"ID LISTS UNALIGNED",and($A319&lt;&gt;"",countif('5) Release_Track'!$F:$F,$A319)=0),"NO ISRC MATCH in Release_Track",and($B319&lt;&gt;"",countif('5) Release_Track'!$G:$G,$B319)=0),"NO CATALOG ID MATCH in Release_Track",iserror(vlookup($A319&amp;$B319,'5) Release_Track'!$F:$F&amp;'5) Release_Track'!$G:$G,1,0)),"NO ISRC-CATALOG ID pair MATCH in Release_Track" )</f>
        <v/>
      </c>
      <c r="E319" s="142" t="b">
        <v>0</v>
      </c>
      <c r="F319" s="142" t="b">
        <v>0</v>
      </c>
      <c r="G319" s="142" t="b">
        <v>0</v>
      </c>
      <c r="H319" s="142" t="b">
        <v>0</v>
      </c>
      <c r="I319" s="142" t="b">
        <v>0</v>
      </c>
      <c r="J319" s="142" t="b">
        <v>0</v>
      </c>
      <c r="K319" s="142" t="b">
        <v>0</v>
      </c>
      <c r="L319" s="8" t="b">
        <v>0</v>
      </c>
    </row>
    <row r="320">
      <c r="B320" s="103"/>
      <c r="C320" s="121" t="str">
        <f t="array" ref="C320">ifs(and(isblank($A320),isblank($B320)),"", not(iserror(vlookup($A320&amp;$B320,'5) Release_Track'!$F:$F&amp;'5) Release_Track'!$G:$G,1,0))),vlookup($A320&amp;$B320,{'5) Release_Track'!$F:$F&amp;'5) Release_Track'!$G:$G,'5) Release_Track'!$H:$H},2,0), or(and(not(isblank($B320)),$B320=$B319,$A320&lt;&gt;$A319),and(not(isblank($A320)),$A320=$A319,$B320&lt;&gt;$B319)),"ID LISTS UNALIGNED",and($A320&lt;&gt;"",countif('5) Release_Track'!$F:$F,$A320)=0),"NO ISRC MATCH in Release_Track",and($B320&lt;&gt;"",countif('5) Release_Track'!$G:$G,$B320)=0),"NO CATALOG ID MATCH in Release_Track",iserror(vlookup($A320&amp;$B320,'5) Release_Track'!$F:$F&amp;'5) Release_Track'!$G:$G,1,0)),"NO ISRC-CATALOG ID pair MATCH in Release_Track" )</f>
        <v/>
      </c>
      <c r="D320" s="121" t="str">
        <f t="array" ref="D320">ifs(and(isblank($A320),isblank($B320)),"", not(iserror(vlookup($A320&amp;$B320,'5) Release_Track'!$F:$F&amp;'5) Release_Track'!$G:$G,1,0))),vlookup($A320&amp;$B320,{'5) Release_Track'!$F:$F&amp;'5) Release_Track'!$G:$G,'5) Release_Track'!$I:$I},2,0), or(and(not(isblank($B320)),$B320=$B319,$A320&lt;&gt;$A319),and(not(isblank($A320)),$A320=$A319,$B320&lt;&gt;$B319)),"ID LISTS UNALIGNED",and($A320&lt;&gt;"",countif('5) Release_Track'!$F:$F,$A320)=0),"NO ISRC MATCH in Release_Track",and($B320&lt;&gt;"",countif('5) Release_Track'!$G:$G,$B320)=0),"NO CATALOG ID MATCH in Release_Track",iserror(vlookup($A320&amp;$B320,'5) Release_Track'!$F:$F&amp;'5) Release_Track'!$G:$G,1,0)),"NO ISRC-CATALOG ID pair MATCH in Release_Track" )</f>
        <v/>
      </c>
      <c r="E320" s="142" t="b">
        <v>0</v>
      </c>
      <c r="F320" s="142" t="b">
        <v>0</v>
      </c>
      <c r="G320" s="142" t="b">
        <v>0</v>
      </c>
      <c r="H320" s="142" t="b">
        <v>0</v>
      </c>
      <c r="I320" s="142" t="b">
        <v>0</v>
      </c>
      <c r="J320" s="142" t="b">
        <v>0</v>
      </c>
      <c r="K320" s="142" t="b">
        <v>0</v>
      </c>
      <c r="L320" s="8" t="b">
        <v>0</v>
      </c>
    </row>
    <row r="321">
      <c r="B321" s="103"/>
      <c r="C321" s="121" t="str">
        <f t="array" ref="C321">ifs(and(isblank($A321),isblank($B321)),"", not(iserror(vlookup($A321&amp;$B321,'5) Release_Track'!$F:$F&amp;'5) Release_Track'!$G:$G,1,0))),vlookup($A321&amp;$B321,{'5) Release_Track'!$F:$F&amp;'5) Release_Track'!$G:$G,'5) Release_Track'!$H:$H},2,0), or(and(not(isblank($B321)),$B321=$B320,$A321&lt;&gt;$A320),and(not(isblank($A321)),$A321=$A320,$B321&lt;&gt;$B320)),"ID LISTS UNALIGNED",and($A321&lt;&gt;"",countif('5) Release_Track'!$F:$F,$A321)=0),"NO ISRC MATCH in Release_Track",and($B321&lt;&gt;"",countif('5) Release_Track'!$G:$G,$B321)=0),"NO CATALOG ID MATCH in Release_Track",iserror(vlookup($A321&amp;$B321,'5) Release_Track'!$F:$F&amp;'5) Release_Track'!$G:$G,1,0)),"NO ISRC-CATALOG ID pair MATCH in Release_Track" )</f>
        <v/>
      </c>
      <c r="D321" s="121" t="str">
        <f t="array" ref="D321">ifs(and(isblank($A321),isblank($B321)),"", not(iserror(vlookup($A321&amp;$B321,'5) Release_Track'!$F:$F&amp;'5) Release_Track'!$G:$G,1,0))),vlookup($A321&amp;$B321,{'5) Release_Track'!$F:$F&amp;'5) Release_Track'!$G:$G,'5) Release_Track'!$I:$I},2,0), or(and(not(isblank($B321)),$B321=$B320,$A321&lt;&gt;$A320),and(not(isblank($A321)),$A321=$A320,$B321&lt;&gt;$B320)),"ID LISTS UNALIGNED",and($A321&lt;&gt;"",countif('5) Release_Track'!$F:$F,$A321)=0),"NO ISRC MATCH in Release_Track",and($B321&lt;&gt;"",countif('5) Release_Track'!$G:$G,$B321)=0),"NO CATALOG ID MATCH in Release_Track",iserror(vlookup($A321&amp;$B321,'5) Release_Track'!$F:$F&amp;'5) Release_Track'!$G:$G,1,0)),"NO ISRC-CATALOG ID pair MATCH in Release_Track" )</f>
        <v/>
      </c>
      <c r="E321" s="142" t="b">
        <v>0</v>
      </c>
      <c r="F321" s="142" t="b">
        <v>0</v>
      </c>
      <c r="G321" s="142" t="b">
        <v>0</v>
      </c>
      <c r="H321" s="142" t="b">
        <v>0</v>
      </c>
      <c r="I321" s="142" t="b">
        <v>0</v>
      </c>
      <c r="J321" s="142" t="b">
        <v>0</v>
      </c>
      <c r="K321" s="142" t="b">
        <v>0</v>
      </c>
      <c r="L321" s="8" t="b">
        <v>0</v>
      </c>
    </row>
    <row r="322">
      <c r="B322" s="103"/>
      <c r="C322" s="121" t="str">
        <f t="array" ref="C322">ifs(and(isblank($A322),isblank($B322)),"", not(iserror(vlookup($A322&amp;$B322,'5) Release_Track'!$F:$F&amp;'5) Release_Track'!$G:$G,1,0))),vlookup($A322&amp;$B322,{'5) Release_Track'!$F:$F&amp;'5) Release_Track'!$G:$G,'5) Release_Track'!$H:$H},2,0), or(and(not(isblank($B322)),$B322=$B321,$A322&lt;&gt;$A321),and(not(isblank($A322)),$A322=$A321,$B322&lt;&gt;$B321)),"ID LISTS UNALIGNED",and($A322&lt;&gt;"",countif('5) Release_Track'!$F:$F,$A322)=0),"NO ISRC MATCH in Release_Track",and($B322&lt;&gt;"",countif('5) Release_Track'!$G:$G,$B322)=0),"NO CATALOG ID MATCH in Release_Track",iserror(vlookup($A322&amp;$B322,'5) Release_Track'!$F:$F&amp;'5) Release_Track'!$G:$G,1,0)),"NO ISRC-CATALOG ID pair MATCH in Release_Track" )</f>
        <v/>
      </c>
      <c r="D322" s="121" t="str">
        <f t="array" ref="D322">ifs(and(isblank($A322),isblank($B322)),"", not(iserror(vlookup($A322&amp;$B322,'5) Release_Track'!$F:$F&amp;'5) Release_Track'!$G:$G,1,0))),vlookup($A322&amp;$B322,{'5) Release_Track'!$F:$F&amp;'5) Release_Track'!$G:$G,'5) Release_Track'!$I:$I},2,0), or(and(not(isblank($B322)),$B322=$B321,$A322&lt;&gt;$A321),and(not(isblank($A322)),$A322=$A321,$B322&lt;&gt;$B321)),"ID LISTS UNALIGNED",and($A322&lt;&gt;"",countif('5) Release_Track'!$F:$F,$A322)=0),"NO ISRC MATCH in Release_Track",and($B322&lt;&gt;"",countif('5) Release_Track'!$G:$G,$B322)=0),"NO CATALOG ID MATCH in Release_Track",iserror(vlookup($A322&amp;$B322,'5) Release_Track'!$F:$F&amp;'5) Release_Track'!$G:$G,1,0)),"NO ISRC-CATALOG ID pair MATCH in Release_Track" )</f>
        <v/>
      </c>
      <c r="E322" s="142" t="b">
        <v>0</v>
      </c>
      <c r="F322" s="142" t="b">
        <v>0</v>
      </c>
      <c r="G322" s="142" t="b">
        <v>0</v>
      </c>
      <c r="H322" s="142" t="b">
        <v>0</v>
      </c>
      <c r="I322" s="142" t="b">
        <v>0</v>
      </c>
      <c r="J322" s="142" t="b">
        <v>0</v>
      </c>
      <c r="K322" s="142" t="b">
        <v>0</v>
      </c>
      <c r="L322" s="8" t="b">
        <v>0</v>
      </c>
    </row>
    <row r="323">
      <c r="B323" s="103"/>
      <c r="C323" s="121" t="str">
        <f t="array" ref="C323">ifs(and(isblank($A323),isblank($B323)),"", not(iserror(vlookup($A323&amp;$B323,'5) Release_Track'!$F:$F&amp;'5) Release_Track'!$G:$G,1,0))),vlookup($A323&amp;$B323,{'5) Release_Track'!$F:$F&amp;'5) Release_Track'!$G:$G,'5) Release_Track'!$H:$H},2,0), or(and(not(isblank($B323)),$B323=$B322,$A323&lt;&gt;$A322),and(not(isblank($A323)),$A323=$A322,$B323&lt;&gt;$B322)),"ID LISTS UNALIGNED",and($A323&lt;&gt;"",countif('5) Release_Track'!$F:$F,$A323)=0),"NO ISRC MATCH in Release_Track",and($B323&lt;&gt;"",countif('5) Release_Track'!$G:$G,$B323)=0),"NO CATALOG ID MATCH in Release_Track",iserror(vlookup($A323&amp;$B323,'5) Release_Track'!$F:$F&amp;'5) Release_Track'!$G:$G,1,0)),"NO ISRC-CATALOG ID pair MATCH in Release_Track" )</f>
        <v/>
      </c>
      <c r="D323" s="121" t="str">
        <f t="array" ref="D323">ifs(and(isblank($A323),isblank($B323)),"", not(iserror(vlookup($A323&amp;$B323,'5) Release_Track'!$F:$F&amp;'5) Release_Track'!$G:$G,1,0))),vlookup($A323&amp;$B323,{'5) Release_Track'!$F:$F&amp;'5) Release_Track'!$G:$G,'5) Release_Track'!$I:$I},2,0), or(and(not(isblank($B323)),$B323=$B322,$A323&lt;&gt;$A322),and(not(isblank($A323)),$A323=$A322,$B323&lt;&gt;$B322)),"ID LISTS UNALIGNED",and($A323&lt;&gt;"",countif('5) Release_Track'!$F:$F,$A323)=0),"NO ISRC MATCH in Release_Track",and($B323&lt;&gt;"",countif('5) Release_Track'!$G:$G,$B323)=0),"NO CATALOG ID MATCH in Release_Track",iserror(vlookup($A323&amp;$B323,'5) Release_Track'!$F:$F&amp;'5) Release_Track'!$G:$G,1,0)),"NO ISRC-CATALOG ID pair MATCH in Release_Track" )</f>
        <v/>
      </c>
      <c r="E323" s="142" t="b">
        <v>0</v>
      </c>
      <c r="F323" s="142" t="b">
        <v>0</v>
      </c>
      <c r="G323" s="142" t="b">
        <v>0</v>
      </c>
      <c r="H323" s="142" t="b">
        <v>0</v>
      </c>
      <c r="I323" s="142" t="b">
        <v>0</v>
      </c>
      <c r="J323" s="142" t="b">
        <v>0</v>
      </c>
      <c r="K323" s="142" t="b">
        <v>0</v>
      </c>
      <c r="L323" s="8" t="b">
        <v>0</v>
      </c>
    </row>
    <row r="324">
      <c r="B324" s="103"/>
      <c r="C324" s="121" t="str">
        <f t="array" ref="C324">ifs(and(isblank($A324),isblank($B324)),"", not(iserror(vlookup($A324&amp;$B324,'5) Release_Track'!$F:$F&amp;'5) Release_Track'!$G:$G,1,0))),vlookup($A324&amp;$B324,{'5) Release_Track'!$F:$F&amp;'5) Release_Track'!$G:$G,'5) Release_Track'!$H:$H},2,0), or(and(not(isblank($B324)),$B324=$B323,$A324&lt;&gt;$A323),and(not(isblank($A324)),$A324=$A323,$B324&lt;&gt;$B323)),"ID LISTS UNALIGNED",and($A324&lt;&gt;"",countif('5) Release_Track'!$F:$F,$A324)=0),"NO ISRC MATCH in Release_Track",and($B324&lt;&gt;"",countif('5) Release_Track'!$G:$G,$B324)=0),"NO CATALOG ID MATCH in Release_Track",iserror(vlookup($A324&amp;$B324,'5) Release_Track'!$F:$F&amp;'5) Release_Track'!$G:$G,1,0)),"NO ISRC-CATALOG ID pair MATCH in Release_Track" )</f>
        <v/>
      </c>
      <c r="D324" s="121" t="str">
        <f t="array" ref="D324">ifs(and(isblank($A324),isblank($B324)),"", not(iserror(vlookup($A324&amp;$B324,'5) Release_Track'!$F:$F&amp;'5) Release_Track'!$G:$G,1,0))),vlookup($A324&amp;$B324,{'5) Release_Track'!$F:$F&amp;'5) Release_Track'!$G:$G,'5) Release_Track'!$I:$I},2,0), or(and(not(isblank($B324)),$B324=$B323,$A324&lt;&gt;$A323),and(not(isblank($A324)),$A324=$A323,$B324&lt;&gt;$B323)),"ID LISTS UNALIGNED",and($A324&lt;&gt;"",countif('5) Release_Track'!$F:$F,$A324)=0),"NO ISRC MATCH in Release_Track",and($B324&lt;&gt;"",countif('5) Release_Track'!$G:$G,$B324)=0),"NO CATALOG ID MATCH in Release_Track",iserror(vlookup($A324&amp;$B324,'5) Release_Track'!$F:$F&amp;'5) Release_Track'!$G:$G,1,0)),"NO ISRC-CATALOG ID pair MATCH in Release_Track" )</f>
        <v/>
      </c>
      <c r="E324" s="142" t="b">
        <v>0</v>
      </c>
      <c r="F324" s="142" t="b">
        <v>0</v>
      </c>
      <c r="G324" s="142" t="b">
        <v>0</v>
      </c>
      <c r="H324" s="142" t="b">
        <v>0</v>
      </c>
      <c r="I324" s="142" t="b">
        <v>0</v>
      </c>
      <c r="J324" s="142" t="b">
        <v>0</v>
      </c>
      <c r="K324" s="142" t="b">
        <v>0</v>
      </c>
      <c r="L324" s="8" t="b">
        <v>0</v>
      </c>
    </row>
    <row r="325">
      <c r="B325" s="103"/>
      <c r="C325" s="121" t="str">
        <f t="array" ref="C325">ifs(and(isblank($A325),isblank($B325)),"", not(iserror(vlookup($A325&amp;$B325,'5) Release_Track'!$F:$F&amp;'5) Release_Track'!$G:$G,1,0))),vlookup($A325&amp;$B325,{'5) Release_Track'!$F:$F&amp;'5) Release_Track'!$G:$G,'5) Release_Track'!$H:$H},2,0), or(and(not(isblank($B325)),$B325=$B324,$A325&lt;&gt;$A324),and(not(isblank($A325)),$A325=$A324,$B325&lt;&gt;$B324)),"ID LISTS UNALIGNED",and($A325&lt;&gt;"",countif('5) Release_Track'!$F:$F,$A325)=0),"NO ISRC MATCH in Release_Track",and($B325&lt;&gt;"",countif('5) Release_Track'!$G:$G,$B325)=0),"NO CATALOG ID MATCH in Release_Track",iserror(vlookup($A325&amp;$B325,'5) Release_Track'!$F:$F&amp;'5) Release_Track'!$G:$G,1,0)),"NO ISRC-CATALOG ID pair MATCH in Release_Track" )</f>
        <v/>
      </c>
      <c r="D325" s="121" t="str">
        <f t="array" ref="D325">ifs(and(isblank($A325),isblank($B325)),"", not(iserror(vlookup($A325&amp;$B325,'5) Release_Track'!$F:$F&amp;'5) Release_Track'!$G:$G,1,0))),vlookup($A325&amp;$B325,{'5) Release_Track'!$F:$F&amp;'5) Release_Track'!$G:$G,'5) Release_Track'!$I:$I},2,0), or(and(not(isblank($B325)),$B325=$B324,$A325&lt;&gt;$A324),and(not(isblank($A325)),$A325=$A324,$B325&lt;&gt;$B324)),"ID LISTS UNALIGNED",and($A325&lt;&gt;"",countif('5) Release_Track'!$F:$F,$A325)=0),"NO ISRC MATCH in Release_Track",and($B325&lt;&gt;"",countif('5) Release_Track'!$G:$G,$B325)=0),"NO CATALOG ID MATCH in Release_Track",iserror(vlookup($A325&amp;$B325,'5) Release_Track'!$F:$F&amp;'5) Release_Track'!$G:$G,1,0)),"NO ISRC-CATALOG ID pair MATCH in Release_Track" )</f>
        <v/>
      </c>
      <c r="E325" s="142" t="b">
        <v>0</v>
      </c>
      <c r="F325" s="142" t="b">
        <v>0</v>
      </c>
      <c r="G325" s="142" t="b">
        <v>0</v>
      </c>
      <c r="H325" s="142" t="b">
        <v>0</v>
      </c>
      <c r="I325" s="142" t="b">
        <v>0</v>
      </c>
      <c r="J325" s="142" t="b">
        <v>0</v>
      </c>
      <c r="K325" s="142" t="b">
        <v>0</v>
      </c>
      <c r="L325" s="8" t="b">
        <v>0</v>
      </c>
    </row>
    <row r="326">
      <c r="B326" s="103"/>
      <c r="C326" s="121" t="str">
        <f t="array" ref="C326">ifs(and(isblank($A326),isblank($B326)),"", not(iserror(vlookup($A326&amp;$B326,'5) Release_Track'!$F:$F&amp;'5) Release_Track'!$G:$G,1,0))),vlookup($A326&amp;$B326,{'5) Release_Track'!$F:$F&amp;'5) Release_Track'!$G:$G,'5) Release_Track'!$H:$H},2,0), or(and(not(isblank($B326)),$B326=$B325,$A326&lt;&gt;$A325),and(not(isblank($A326)),$A326=$A325,$B326&lt;&gt;$B325)),"ID LISTS UNALIGNED",and($A326&lt;&gt;"",countif('5) Release_Track'!$F:$F,$A326)=0),"NO ISRC MATCH in Release_Track",and($B326&lt;&gt;"",countif('5) Release_Track'!$G:$G,$B326)=0),"NO CATALOG ID MATCH in Release_Track",iserror(vlookup($A326&amp;$B326,'5) Release_Track'!$F:$F&amp;'5) Release_Track'!$G:$G,1,0)),"NO ISRC-CATALOG ID pair MATCH in Release_Track" )</f>
        <v/>
      </c>
      <c r="D326" s="121" t="str">
        <f t="array" ref="D326">ifs(and(isblank($A326),isblank($B326)),"", not(iserror(vlookup($A326&amp;$B326,'5) Release_Track'!$F:$F&amp;'5) Release_Track'!$G:$G,1,0))),vlookup($A326&amp;$B326,{'5) Release_Track'!$F:$F&amp;'5) Release_Track'!$G:$G,'5) Release_Track'!$I:$I},2,0), or(and(not(isblank($B326)),$B326=$B325,$A326&lt;&gt;$A325),and(not(isblank($A326)),$A326=$A325,$B326&lt;&gt;$B325)),"ID LISTS UNALIGNED",and($A326&lt;&gt;"",countif('5) Release_Track'!$F:$F,$A326)=0),"NO ISRC MATCH in Release_Track",and($B326&lt;&gt;"",countif('5) Release_Track'!$G:$G,$B326)=0),"NO CATALOG ID MATCH in Release_Track",iserror(vlookup($A326&amp;$B326,'5) Release_Track'!$F:$F&amp;'5) Release_Track'!$G:$G,1,0)),"NO ISRC-CATALOG ID pair MATCH in Release_Track" )</f>
        <v/>
      </c>
      <c r="E326" s="142" t="b">
        <v>0</v>
      </c>
      <c r="F326" s="142" t="b">
        <v>0</v>
      </c>
      <c r="G326" s="142" t="b">
        <v>0</v>
      </c>
      <c r="H326" s="142" t="b">
        <v>0</v>
      </c>
      <c r="I326" s="142" t="b">
        <v>0</v>
      </c>
      <c r="J326" s="142" t="b">
        <v>0</v>
      </c>
      <c r="K326" s="142" t="b">
        <v>0</v>
      </c>
      <c r="L326" s="8" t="b">
        <v>0</v>
      </c>
    </row>
    <row r="327">
      <c r="B327" s="103"/>
      <c r="C327" s="121" t="str">
        <f t="array" ref="C327">ifs(and(isblank($A327),isblank($B327)),"", not(iserror(vlookup($A327&amp;$B327,'5) Release_Track'!$F:$F&amp;'5) Release_Track'!$G:$G,1,0))),vlookup($A327&amp;$B327,{'5) Release_Track'!$F:$F&amp;'5) Release_Track'!$G:$G,'5) Release_Track'!$H:$H},2,0), or(and(not(isblank($B327)),$B327=$B326,$A327&lt;&gt;$A326),and(not(isblank($A327)),$A327=$A326,$B327&lt;&gt;$B326)),"ID LISTS UNALIGNED",and($A327&lt;&gt;"",countif('5) Release_Track'!$F:$F,$A327)=0),"NO ISRC MATCH in Release_Track",and($B327&lt;&gt;"",countif('5) Release_Track'!$G:$G,$B327)=0),"NO CATALOG ID MATCH in Release_Track",iserror(vlookup($A327&amp;$B327,'5) Release_Track'!$F:$F&amp;'5) Release_Track'!$G:$G,1,0)),"NO ISRC-CATALOG ID pair MATCH in Release_Track" )</f>
        <v/>
      </c>
      <c r="D327" s="121" t="str">
        <f t="array" ref="D327">ifs(and(isblank($A327),isblank($B327)),"", not(iserror(vlookup($A327&amp;$B327,'5) Release_Track'!$F:$F&amp;'5) Release_Track'!$G:$G,1,0))),vlookup($A327&amp;$B327,{'5) Release_Track'!$F:$F&amp;'5) Release_Track'!$G:$G,'5) Release_Track'!$I:$I},2,0), or(and(not(isblank($B327)),$B327=$B326,$A327&lt;&gt;$A326),and(not(isblank($A327)),$A327=$A326,$B327&lt;&gt;$B326)),"ID LISTS UNALIGNED",and($A327&lt;&gt;"",countif('5) Release_Track'!$F:$F,$A327)=0),"NO ISRC MATCH in Release_Track",and($B327&lt;&gt;"",countif('5) Release_Track'!$G:$G,$B327)=0),"NO CATALOG ID MATCH in Release_Track",iserror(vlookup($A327&amp;$B327,'5) Release_Track'!$F:$F&amp;'5) Release_Track'!$G:$G,1,0)),"NO ISRC-CATALOG ID pair MATCH in Release_Track" )</f>
        <v/>
      </c>
      <c r="E327" s="142" t="b">
        <v>0</v>
      </c>
      <c r="F327" s="142" t="b">
        <v>0</v>
      </c>
      <c r="G327" s="142" t="b">
        <v>0</v>
      </c>
      <c r="H327" s="142" t="b">
        <v>0</v>
      </c>
      <c r="I327" s="142" t="b">
        <v>0</v>
      </c>
      <c r="J327" s="142" t="b">
        <v>0</v>
      </c>
      <c r="K327" s="142" t="b">
        <v>0</v>
      </c>
      <c r="L327" s="8" t="b">
        <v>0</v>
      </c>
    </row>
    <row r="328">
      <c r="B328" s="103"/>
      <c r="C328" s="121" t="str">
        <f t="array" ref="C328">ifs(and(isblank($A328),isblank($B328)),"", not(iserror(vlookup($A328&amp;$B328,'5) Release_Track'!$F:$F&amp;'5) Release_Track'!$G:$G,1,0))),vlookup($A328&amp;$B328,{'5) Release_Track'!$F:$F&amp;'5) Release_Track'!$G:$G,'5) Release_Track'!$H:$H},2,0), or(and(not(isblank($B328)),$B328=$B327,$A328&lt;&gt;$A327),and(not(isblank($A328)),$A328=$A327,$B328&lt;&gt;$B327)),"ID LISTS UNALIGNED",and($A328&lt;&gt;"",countif('5) Release_Track'!$F:$F,$A328)=0),"NO ISRC MATCH in Release_Track",and($B328&lt;&gt;"",countif('5) Release_Track'!$G:$G,$B328)=0),"NO CATALOG ID MATCH in Release_Track",iserror(vlookup($A328&amp;$B328,'5) Release_Track'!$F:$F&amp;'5) Release_Track'!$G:$G,1,0)),"NO ISRC-CATALOG ID pair MATCH in Release_Track" )</f>
        <v/>
      </c>
      <c r="D328" s="121" t="str">
        <f t="array" ref="D328">ifs(and(isblank($A328),isblank($B328)),"", not(iserror(vlookup($A328&amp;$B328,'5) Release_Track'!$F:$F&amp;'5) Release_Track'!$G:$G,1,0))),vlookup($A328&amp;$B328,{'5) Release_Track'!$F:$F&amp;'5) Release_Track'!$G:$G,'5) Release_Track'!$I:$I},2,0), or(and(not(isblank($B328)),$B328=$B327,$A328&lt;&gt;$A327),and(not(isblank($A328)),$A328=$A327,$B328&lt;&gt;$B327)),"ID LISTS UNALIGNED",and($A328&lt;&gt;"",countif('5) Release_Track'!$F:$F,$A328)=0),"NO ISRC MATCH in Release_Track",and($B328&lt;&gt;"",countif('5) Release_Track'!$G:$G,$B328)=0),"NO CATALOG ID MATCH in Release_Track",iserror(vlookup($A328&amp;$B328,'5) Release_Track'!$F:$F&amp;'5) Release_Track'!$G:$G,1,0)),"NO ISRC-CATALOG ID pair MATCH in Release_Track" )</f>
        <v/>
      </c>
      <c r="E328" s="142" t="b">
        <v>0</v>
      </c>
      <c r="F328" s="142" t="b">
        <v>0</v>
      </c>
      <c r="G328" s="142" t="b">
        <v>0</v>
      </c>
      <c r="H328" s="142" t="b">
        <v>0</v>
      </c>
      <c r="I328" s="142" t="b">
        <v>0</v>
      </c>
      <c r="J328" s="142" t="b">
        <v>0</v>
      </c>
      <c r="K328" s="142" t="b">
        <v>0</v>
      </c>
      <c r="L328" s="8" t="b">
        <v>0</v>
      </c>
    </row>
    <row r="329">
      <c r="B329" s="103"/>
      <c r="C329" s="121" t="str">
        <f t="array" ref="C329">ifs(and(isblank($A329),isblank($B329)),"", not(iserror(vlookup($A329&amp;$B329,'5) Release_Track'!$F:$F&amp;'5) Release_Track'!$G:$G,1,0))),vlookup($A329&amp;$B329,{'5) Release_Track'!$F:$F&amp;'5) Release_Track'!$G:$G,'5) Release_Track'!$H:$H},2,0), or(and(not(isblank($B329)),$B329=$B328,$A329&lt;&gt;$A328),and(not(isblank($A329)),$A329=$A328,$B329&lt;&gt;$B328)),"ID LISTS UNALIGNED",and($A329&lt;&gt;"",countif('5) Release_Track'!$F:$F,$A329)=0),"NO ISRC MATCH in Release_Track",and($B329&lt;&gt;"",countif('5) Release_Track'!$G:$G,$B329)=0),"NO CATALOG ID MATCH in Release_Track",iserror(vlookup($A329&amp;$B329,'5) Release_Track'!$F:$F&amp;'5) Release_Track'!$G:$G,1,0)),"NO ISRC-CATALOG ID pair MATCH in Release_Track" )</f>
        <v/>
      </c>
      <c r="D329" s="121" t="str">
        <f t="array" ref="D329">ifs(and(isblank($A329),isblank($B329)),"", not(iserror(vlookup($A329&amp;$B329,'5) Release_Track'!$F:$F&amp;'5) Release_Track'!$G:$G,1,0))),vlookup($A329&amp;$B329,{'5) Release_Track'!$F:$F&amp;'5) Release_Track'!$G:$G,'5) Release_Track'!$I:$I},2,0), or(and(not(isblank($B329)),$B329=$B328,$A329&lt;&gt;$A328),and(not(isblank($A329)),$A329=$A328,$B329&lt;&gt;$B328)),"ID LISTS UNALIGNED",and($A329&lt;&gt;"",countif('5) Release_Track'!$F:$F,$A329)=0),"NO ISRC MATCH in Release_Track",and($B329&lt;&gt;"",countif('5) Release_Track'!$G:$G,$B329)=0),"NO CATALOG ID MATCH in Release_Track",iserror(vlookup($A329&amp;$B329,'5) Release_Track'!$F:$F&amp;'5) Release_Track'!$G:$G,1,0)),"NO ISRC-CATALOG ID pair MATCH in Release_Track" )</f>
        <v/>
      </c>
      <c r="E329" s="142" t="b">
        <v>0</v>
      </c>
      <c r="F329" s="142" t="b">
        <v>0</v>
      </c>
      <c r="G329" s="142" t="b">
        <v>0</v>
      </c>
      <c r="H329" s="142" t="b">
        <v>0</v>
      </c>
      <c r="I329" s="142" t="b">
        <v>0</v>
      </c>
      <c r="J329" s="142" t="b">
        <v>0</v>
      </c>
      <c r="K329" s="142" t="b">
        <v>0</v>
      </c>
      <c r="L329" s="8" t="b">
        <v>0</v>
      </c>
    </row>
    <row r="330">
      <c r="B330" s="103"/>
      <c r="C330" s="121" t="str">
        <f t="array" ref="C330">ifs(and(isblank($A330),isblank($B330)),"", not(iserror(vlookup($A330&amp;$B330,'5) Release_Track'!$F:$F&amp;'5) Release_Track'!$G:$G,1,0))),vlookup($A330&amp;$B330,{'5) Release_Track'!$F:$F&amp;'5) Release_Track'!$G:$G,'5) Release_Track'!$H:$H},2,0), or(and(not(isblank($B330)),$B330=$B329,$A330&lt;&gt;$A329),and(not(isblank($A330)),$A330=$A329,$B330&lt;&gt;$B329)),"ID LISTS UNALIGNED",and($A330&lt;&gt;"",countif('5) Release_Track'!$F:$F,$A330)=0),"NO ISRC MATCH in Release_Track",and($B330&lt;&gt;"",countif('5) Release_Track'!$G:$G,$B330)=0),"NO CATALOG ID MATCH in Release_Track",iserror(vlookup($A330&amp;$B330,'5) Release_Track'!$F:$F&amp;'5) Release_Track'!$G:$G,1,0)),"NO ISRC-CATALOG ID pair MATCH in Release_Track" )</f>
        <v/>
      </c>
      <c r="D330" s="121" t="str">
        <f t="array" ref="D330">ifs(and(isblank($A330),isblank($B330)),"", not(iserror(vlookup($A330&amp;$B330,'5) Release_Track'!$F:$F&amp;'5) Release_Track'!$G:$G,1,0))),vlookup($A330&amp;$B330,{'5) Release_Track'!$F:$F&amp;'5) Release_Track'!$G:$G,'5) Release_Track'!$I:$I},2,0), or(and(not(isblank($B330)),$B330=$B329,$A330&lt;&gt;$A329),and(not(isblank($A330)),$A330=$A329,$B330&lt;&gt;$B329)),"ID LISTS UNALIGNED",and($A330&lt;&gt;"",countif('5) Release_Track'!$F:$F,$A330)=0),"NO ISRC MATCH in Release_Track",and($B330&lt;&gt;"",countif('5) Release_Track'!$G:$G,$B330)=0),"NO CATALOG ID MATCH in Release_Track",iserror(vlookup($A330&amp;$B330,'5) Release_Track'!$F:$F&amp;'5) Release_Track'!$G:$G,1,0)),"NO ISRC-CATALOG ID pair MATCH in Release_Track" )</f>
        <v/>
      </c>
      <c r="E330" s="142" t="b">
        <v>0</v>
      </c>
      <c r="F330" s="142" t="b">
        <v>0</v>
      </c>
      <c r="G330" s="142" t="b">
        <v>0</v>
      </c>
      <c r="H330" s="142" t="b">
        <v>0</v>
      </c>
      <c r="I330" s="142" t="b">
        <v>0</v>
      </c>
      <c r="J330" s="142" t="b">
        <v>0</v>
      </c>
      <c r="K330" s="142" t="b">
        <v>0</v>
      </c>
      <c r="L330" s="8" t="b">
        <v>0</v>
      </c>
    </row>
    <row r="331">
      <c r="B331" s="103"/>
      <c r="C331" s="121" t="str">
        <f t="array" ref="C331">ifs(and(isblank($A331),isblank($B331)),"", not(iserror(vlookup($A331&amp;$B331,'5) Release_Track'!$F:$F&amp;'5) Release_Track'!$G:$G,1,0))),vlookup($A331&amp;$B331,{'5) Release_Track'!$F:$F&amp;'5) Release_Track'!$G:$G,'5) Release_Track'!$H:$H},2,0), or(and(not(isblank($B331)),$B331=$B330,$A331&lt;&gt;$A330),and(not(isblank($A331)),$A331=$A330,$B331&lt;&gt;$B330)),"ID LISTS UNALIGNED",and($A331&lt;&gt;"",countif('5) Release_Track'!$F:$F,$A331)=0),"NO ISRC MATCH in Release_Track",and($B331&lt;&gt;"",countif('5) Release_Track'!$G:$G,$B331)=0),"NO CATALOG ID MATCH in Release_Track",iserror(vlookup($A331&amp;$B331,'5) Release_Track'!$F:$F&amp;'5) Release_Track'!$G:$G,1,0)),"NO ISRC-CATALOG ID pair MATCH in Release_Track" )</f>
        <v/>
      </c>
      <c r="D331" s="121" t="str">
        <f t="array" ref="D331">ifs(and(isblank($A331),isblank($B331)),"", not(iserror(vlookup($A331&amp;$B331,'5) Release_Track'!$F:$F&amp;'5) Release_Track'!$G:$G,1,0))),vlookup($A331&amp;$B331,{'5) Release_Track'!$F:$F&amp;'5) Release_Track'!$G:$G,'5) Release_Track'!$I:$I},2,0), or(and(not(isblank($B331)),$B331=$B330,$A331&lt;&gt;$A330),and(not(isblank($A331)),$A331=$A330,$B331&lt;&gt;$B330)),"ID LISTS UNALIGNED",and($A331&lt;&gt;"",countif('5) Release_Track'!$F:$F,$A331)=0),"NO ISRC MATCH in Release_Track",and($B331&lt;&gt;"",countif('5) Release_Track'!$G:$G,$B331)=0),"NO CATALOG ID MATCH in Release_Track",iserror(vlookup($A331&amp;$B331,'5) Release_Track'!$F:$F&amp;'5) Release_Track'!$G:$G,1,0)),"NO ISRC-CATALOG ID pair MATCH in Release_Track" )</f>
        <v/>
      </c>
      <c r="E331" s="142" t="b">
        <v>0</v>
      </c>
      <c r="F331" s="142" t="b">
        <v>0</v>
      </c>
      <c r="G331" s="142" t="b">
        <v>0</v>
      </c>
      <c r="H331" s="142" t="b">
        <v>0</v>
      </c>
      <c r="I331" s="142" t="b">
        <v>0</v>
      </c>
      <c r="J331" s="142" t="b">
        <v>0</v>
      </c>
      <c r="K331" s="142" t="b">
        <v>0</v>
      </c>
      <c r="L331" s="8" t="b">
        <v>0</v>
      </c>
    </row>
    <row r="332">
      <c r="B332" s="103"/>
      <c r="C332" s="121" t="str">
        <f t="array" ref="C332">ifs(and(isblank($A332),isblank($B332)),"", not(iserror(vlookup($A332&amp;$B332,'5) Release_Track'!$F:$F&amp;'5) Release_Track'!$G:$G,1,0))),vlookup($A332&amp;$B332,{'5) Release_Track'!$F:$F&amp;'5) Release_Track'!$G:$G,'5) Release_Track'!$H:$H},2,0), or(and(not(isblank($B332)),$B332=$B331,$A332&lt;&gt;$A331),and(not(isblank($A332)),$A332=$A331,$B332&lt;&gt;$B331)),"ID LISTS UNALIGNED",and($A332&lt;&gt;"",countif('5) Release_Track'!$F:$F,$A332)=0),"NO ISRC MATCH in Release_Track",and($B332&lt;&gt;"",countif('5) Release_Track'!$G:$G,$B332)=0),"NO CATALOG ID MATCH in Release_Track",iserror(vlookup($A332&amp;$B332,'5) Release_Track'!$F:$F&amp;'5) Release_Track'!$G:$G,1,0)),"NO ISRC-CATALOG ID pair MATCH in Release_Track" )</f>
        <v/>
      </c>
      <c r="D332" s="121" t="str">
        <f t="array" ref="D332">ifs(and(isblank($A332),isblank($B332)),"", not(iserror(vlookup($A332&amp;$B332,'5) Release_Track'!$F:$F&amp;'5) Release_Track'!$G:$G,1,0))),vlookup($A332&amp;$B332,{'5) Release_Track'!$F:$F&amp;'5) Release_Track'!$G:$G,'5) Release_Track'!$I:$I},2,0), or(and(not(isblank($B332)),$B332=$B331,$A332&lt;&gt;$A331),and(not(isblank($A332)),$A332=$A331,$B332&lt;&gt;$B331)),"ID LISTS UNALIGNED",and($A332&lt;&gt;"",countif('5) Release_Track'!$F:$F,$A332)=0),"NO ISRC MATCH in Release_Track",and($B332&lt;&gt;"",countif('5) Release_Track'!$G:$G,$B332)=0),"NO CATALOG ID MATCH in Release_Track",iserror(vlookup($A332&amp;$B332,'5) Release_Track'!$F:$F&amp;'5) Release_Track'!$G:$G,1,0)),"NO ISRC-CATALOG ID pair MATCH in Release_Track" )</f>
        <v/>
      </c>
      <c r="E332" s="142" t="b">
        <v>0</v>
      </c>
      <c r="F332" s="142" t="b">
        <v>0</v>
      </c>
      <c r="G332" s="142" t="b">
        <v>0</v>
      </c>
      <c r="H332" s="142" t="b">
        <v>0</v>
      </c>
      <c r="I332" s="142" t="b">
        <v>0</v>
      </c>
      <c r="J332" s="142" t="b">
        <v>0</v>
      </c>
      <c r="K332" s="142" t="b">
        <v>0</v>
      </c>
      <c r="L332" s="8" t="b">
        <v>0</v>
      </c>
    </row>
    <row r="333">
      <c r="B333" s="103"/>
      <c r="C333" s="121" t="str">
        <f t="array" ref="C333">ifs(and(isblank($A333),isblank($B333)),"", not(iserror(vlookup($A333&amp;$B333,'5) Release_Track'!$F:$F&amp;'5) Release_Track'!$G:$G,1,0))),vlookup($A333&amp;$B333,{'5) Release_Track'!$F:$F&amp;'5) Release_Track'!$G:$G,'5) Release_Track'!$H:$H},2,0), or(and(not(isblank($B333)),$B333=$B332,$A333&lt;&gt;$A332),and(not(isblank($A333)),$A333=$A332,$B333&lt;&gt;$B332)),"ID LISTS UNALIGNED",and($A333&lt;&gt;"",countif('5) Release_Track'!$F:$F,$A333)=0),"NO ISRC MATCH in Release_Track",and($B333&lt;&gt;"",countif('5) Release_Track'!$G:$G,$B333)=0),"NO CATALOG ID MATCH in Release_Track",iserror(vlookup($A333&amp;$B333,'5) Release_Track'!$F:$F&amp;'5) Release_Track'!$G:$G,1,0)),"NO ISRC-CATALOG ID pair MATCH in Release_Track" )</f>
        <v/>
      </c>
      <c r="D333" s="121" t="str">
        <f t="array" ref="D333">ifs(and(isblank($A333),isblank($B333)),"", not(iserror(vlookup($A333&amp;$B333,'5) Release_Track'!$F:$F&amp;'5) Release_Track'!$G:$G,1,0))),vlookup($A333&amp;$B333,{'5) Release_Track'!$F:$F&amp;'5) Release_Track'!$G:$G,'5) Release_Track'!$I:$I},2,0), or(and(not(isblank($B333)),$B333=$B332,$A333&lt;&gt;$A332),and(not(isblank($A333)),$A333=$A332,$B333&lt;&gt;$B332)),"ID LISTS UNALIGNED",and($A333&lt;&gt;"",countif('5) Release_Track'!$F:$F,$A333)=0),"NO ISRC MATCH in Release_Track",and($B333&lt;&gt;"",countif('5) Release_Track'!$G:$G,$B333)=0),"NO CATALOG ID MATCH in Release_Track",iserror(vlookup($A333&amp;$B333,'5) Release_Track'!$F:$F&amp;'5) Release_Track'!$G:$G,1,0)),"NO ISRC-CATALOG ID pair MATCH in Release_Track" )</f>
        <v/>
      </c>
      <c r="E333" s="142" t="b">
        <v>0</v>
      </c>
      <c r="F333" s="142" t="b">
        <v>0</v>
      </c>
      <c r="G333" s="142" t="b">
        <v>0</v>
      </c>
      <c r="H333" s="142" t="b">
        <v>0</v>
      </c>
      <c r="I333" s="142" t="b">
        <v>0</v>
      </c>
      <c r="J333" s="142" t="b">
        <v>0</v>
      </c>
      <c r="K333" s="142" t="b">
        <v>0</v>
      </c>
      <c r="L333" s="8" t="b">
        <v>0</v>
      </c>
    </row>
    <row r="334">
      <c r="B334" s="103"/>
      <c r="C334" s="121" t="str">
        <f t="array" ref="C334">ifs(and(isblank($A334),isblank($B334)),"", not(iserror(vlookup($A334&amp;$B334,'5) Release_Track'!$F:$F&amp;'5) Release_Track'!$G:$G,1,0))),vlookup($A334&amp;$B334,{'5) Release_Track'!$F:$F&amp;'5) Release_Track'!$G:$G,'5) Release_Track'!$H:$H},2,0), or(and(not(isblank($B334)),$B334=$B333,$A334&lt;&gt;$A333),and(not(isblank($A334)),$A334=$A333,$B334&lt;&gt;$B333)),"ID LISTS UNALIGNED",and($A334&lt;&gt;"",countif('5) Release_Track'!$F:$F,$A334)=0),"NO ISRC MATCH in Release_Track",and($B334&lt;&gt;"",countif('5) Release_Track'!$G:$G,$B334)=0),"NO CATALOG ID MATCH in Release_Track",iserror(vlookup($A334&amp;$B334,'5) Release_Track'!$F:$F&amp;'5) Release_Track'!$G:$G,1,0)),"NO ISRC-CATALOG ID pair MATCH in Release_Track" )</f>
        <v/>
      </c>
      <c r="D334" s="121" t="str">
        <f t="array" ref="D334">ifs(and(isblank($A334),isblank($B334)),"", not(iserror(vlookup($A334&amp;$B334,'5) Release_Track'!$F:$F&amp;'5) Release_Track'!$G:$G,1,0))),vlookup($A334&amp;$B334,{'5) Release_Track'!$F:$F&amp;'5) Release_Track'!$G:$G,'5) Release_Track'!$I:$I},2,0), or(and(not(isblank($B334)),$B334=$B333,$A334&lt;&gt;$A333),and(not(isblank($A334)),$A334=$A333,$B334&lt;&gt;$B333)),"ID LISTS UNALIGNED",and($A334&lt;&gt;"",countif('5) Release_Track'!$F:$F,$A334)=0),"NO ISRC MATCH in Release_Track",and($B334&lt;&gt;"",countif('5) Release_Track'!$G:$G,$B334)=0),"NO CATALOG ID MATCH in Release_Track",iserror(vlookup($A334&amp;$B334,'5) Release_Track'!$F:$F&amp;'5) Release_Track'!$G:$G,1,0)),"NO ISRC-CATALOG ID pair MATCH in Release_Track" )</f>
        <v/>
      </c>
      <c r="E334" s="142" t="b">
        <v>0</v>
      </c>
      <c r="F334" s="142" t="b">
        <v>0</v>
      </c>
      <c r="G334" s="142" t="b">
        <v>0</v>
      </c>
      <c r="H334" s="142" t="b">
        <v>0</v>
      </c>
      <c r="I334" s="142" t="b">
        <v>0</v>
      </c>
      <c r="J334" s="142" t="b">
        <v>0</v>
      </c>
      <c r="K334" s="142" t="b">
        <v>0</v>
      </c>
      <c r="L334" s="8" t="b">
        <v>0</v>
      </c>
    </row>
    <row r="335">
      <c r="B335" s="103"/>
      <c r="C335" s="121" t="str">
        <f t="array" ref="C335">ifs(and(isblank($A335),isblank($B335)),"", not(iserror(vlookup($A335&amp;$B335,'5) Release_Track'!$F:$F&amp;'5) Release_Track'!$G:$G,1,0))),vlookup($A335&amp;$B335,{'5) Release_Track'!$F:$F&amp;'5) Release_Track'!$G:$G,'5) Release_Track'!$H:$H},2,0), or(and(not(isblank($B335)),$B335=$B334,$A335&lt;&gt;$A334),and(not(isblank($A335)),$A335=$A334,$B335&lt;&gt;$B334)),"ID LISTS UNALIGNED",and($A335&lt;&gt;"",countif('5) Release_Track'!$F:$F,$A335)=0),"NO ISRC MATCH in Release_Track",and($B335&lt;&gt;"",countif('5) Release_Track'!$G:$G,$B335)=0),"NO CATALOG ID MATCH in Release_Track",iserror(vlookup($A335&amp;$B335,'5) Release_Track'!$F:$F&amp;'5) Release_Track'!$G:$G,1,0)),"NO ISRC-CATALOG ID pair MATCH in Release_Track" )</f>
        <v/>
      </c>
      <c r="D335" s="121" t="str">
        <f t="array" ref="D335">ifs(and(isblank($A335),isblank($B335)),"", not(iserror(vlookup($A335&amp;$B335,'5) Release_Track'!$F:$F&amp;'5) Release_Track'!$G:$G,1,0))),vlookup($A335&amp;$B335,{'5) Release_Track'!$F:$F&amp;'5) Release_Track'!$G:$G,'5) Release_Track'!$I:$I},2,0), or(and(not(isblank($B335)),$B335=$B334,$A335&lt;&gt;$A334),and(not(isblank($A335)),$A335=$A334,$B335&lt;&gt;$B334)),"ID LISTS UNALIGNED",and($A335&lt;&gt;"",countif('5) Release_Track'!$F:$F,$A335)=0),"NO ISRC MATCH in Release_Track",and($B335&lt;&gt;"",countif('5) Release_Track'!$G:$G,$B335)=0),"NO CATALOG ID MATCH in Release_Track",iserror(vlookup($A335&amp;$B335,'5) Release_Track'!$F:$F&amp;'5) Release_Track'!$G:$G,1,0)),"NO ISRC-CATALOG ID pair MATCH in Release_Track" )</f>
        <v/>
      </c>
      <c r="E335" s="142" t="b">
        <v>0</v>
      </c>
      <c r="F335" s="142" t="b">
        <v>0</v>
      </c>
      <c r="G335" s="142" t="b">
        <v>0</v>
      </c>
      <c r="H335" s="142" t="b">
        <v>0</v>
      </c>
      <c r="I335" s="142" t="b">
        <v>0</v>
      </c>
      <c r="J335" s="142" t="b">
        <v>0</v>
      </c>
      <c r="K335" s="142" t="b">
        <v>0</v>
      </c>
      <c r="L335" s="8" t="b">
        <v>0</v>
      </c>
    </row>
    <row r="336">
      <c r="B336" s="103"/>
      <c r="C336" s="121" t="str">
        <f t="array" ref="C336">ifs(and(isblank($A336),isblank($B336)),"", not(iserror(vlookup($A336&amp;$B336,'5) Release_Track'!$F:$F&amp;'5) Release_Track'!$G:$G,1,0))),vlookup($A336&amp;$B336,{'5) Release_Track'!$F:$F&amp;'5) Release_Track'!$G:$G,'5) Release_Track'!$H:$H},2,0), or(and(not(isblank($B336)),$B336=$B335,$A336&lt;&gt;$A335),and(not(isblank($A336)),$A336=$A335,$B336&lt;&gt;$B335)),"ID LISTS UNALIGNED",and($A336&lt;&gt;"",countif('5) Release_Track'!$F:$F,$A336)=0),"NO ISRC MATCH in Release_Track",and($B336&lt;&gt;"",countif('5) Release_Track'!$G:$G,$B336)=0),"NO CATALOG ID MATCH in Release_Track",iserror(vlookup($A336&amp;$B336,'5) Release_Track'!$F:$F&amp;'5) Release_Track'!$G:$G,1,0)),"NO ISRC-CATALOG ID pair MATCH in Release_Track" )</f>
        <v/>
      </c>
      <c r="D336" s="121" t="str">
        <f t="array" ref="D336">ifs(and(isblank($A336),isblank($B336)),"", not(iserror(vlookup($A336&amp;$B336,'5) Release_Track'!$F:$F&amp;'5) Release_Track'!$G:$G,1,0))),vlookup($A336&amp;$B336,{'5) Release_Track'!$F:$F&amp;'5) Release_Track'!$G:$G,'5) Release_Track'!$I:$I},2,0), or(and(not(isblank($B336)),$B336=$B335,$A336&lt;&gt;$A335),and(not(isblank($A336)),$A336=$A335,$B336&lt;&gt;$B335)),"ID LISTS UNALIGNED",and($A336&lt;&gt;"",countif('5) Release_Track'!$F:$F,$A336)=0),"NO ISRC MATCH in Release_Track",and($B336&lt;&gt;"",countif('5) Release_Track'!$G:$G,$B336)=0),"NO CATALOG ID MATCH in Release_Track",iserror(vlookup($A336&amp;$B336,'5) Release_Track'!$F:$F&amp;'5) Release_Track'!$G:$G,1,0)),"NO ISRC-CATALOG ID pair MATCH in Release_Track" )</f>
        <v/>
      </c>
      <c r="E336" s="142" t="b">
        <v>0</v>
      </c>
      <c r="F336" s="142" t="b">
        <v>0</v>
      </c>
      <c r="G336" s="142" t="b">
        <v>0</v>
      </c>
      <c r="H336" s="142" t="b">
        <v>0</v>
      </c>
      <c r="I336" s="142" t="b">
        <v>0</v>
      </c>
      <c r="J336" s="142" t="b">
        <v>0</v>
      </c>
      <c r="K336" s="142" t="b">
        <v>0</v>
      </c>
      <c r="L336" s="8" t="b">
        <v>0</v>
      </c>
    </row>
    <row r="337">
      <c r="B337" s="103"/>
      <c r="C337" s="121" t="str">
        <f t="array" ref="C337">ifs(and(isblank($A337),isblank($B337)),"", not(iserror(vlookup($A337&amp;$B337,'5) Release_Track'!$F:$F&amp;'5) Release_Track'!$G:$G,1,0))),vlookup($A337&amp;$B337,{'5) Release_Track'!$F:$F&amp;'5) Release_Track'!$G:$G,'5) Release_Track'!$H:$H},2,0), or(and(not(isblank($B337)),$B337=$B336,$A337&lt;&gt;$A336),and(not(isblank($A337)),$A337=$A336,$B337&lt;&gt;$B336)),"ID LISTS UNALIGNED",and($A337&lt;&gt;"",countif('5) Release_Track'!$F:$F,$A337)=0),"NO ISRC MATCH in Release_Track",and($B337&lt;&gt;"",countif('5) Release_Track'!$G:$G,$B337)=0),"NO CATALOG ID MATCH in Release_Track",iserror(vlookup($A337&amp;$B337,'5) Release_Track'!$F:$F&amp;'5) Release_Track'!$G:$G,1,0)),"NO ISRC-CATALOG ID pair MATCH in Release_Track" )</f>
        <v/>
      </c>
      <c r="D337" s="121" t="str">
        <f t="array" ref="D337">ifs(and(isblank($A337),isblank($B337)),"", not(iserror(vlookup($A337&amp;$B337,'5) Release_Track'!$F:$F&amp;'5) Release_Track'!$G:$G,1,0))),vlookup($A337&amp;$B337,{'5) Release_Track'!$F:$F&amp;'5) Release_Track'!$G:$G,'5) Release_Track'!$I:$I},2,0), or(and(not(isblank($B337)),$B337=$B336,$A337&lt;&gt;$A336),and(not(isblank($A337)),$A337=$A336,$B337&lt;&gt;$B336)),"ID LISTS UNALIGNED",and($A337&lt;&gt;"",countif('5) Release_Track'!$F:$F,$A337)=0),"NO ISRC MATCH in Release_Track",and($B337&lt;&gt;"",countif('5) Release_Track'!$G:$G,$B337)=0),"NO CATALOG ID MATCH in Release_Track",iserror(vlookup($A337&amp;$B337,'5) Release_Track'!$F:$F&amp;'5) Release_Track'!$G:$G,1,0)),"NO ISRC-CATALOG ID pair MATCH in Release_Track" )</f>
        <v/>
      </c>
      <c r="E337" s="142" t="b">
        <v>0</v>
      </c>
      <c r="F337" s="142" t="b">
        <v>0</v>
      </c>
      <c r="G337" s="142" t="b">
        <v>0</v>
      </c>
      <c r="H337" s="142" t="b">
        <v>0</v>
      </c>
      <c r="I337" s="142" t="b">
        <v>0</v>
      </c>
      <c r="J337" s="142" t="b">
        <v>0</v>
      </c>
      <c r="K337" s="142" t="b">
        <v>0</v>
      </c>
      <c r="L337" s="8" t="b">
        <v>0</v>
      </c>
    </row>
    <row r="338">
      <c r="B338" s="103"/>
      <c r="C338" s="121" t="str">
        <f t="array" ref="C338">ifs(and(isblank($A338),isblank($B338)),"", not(iserror(vlookup($A338&amp;$B338,'5) Release_Track'!$F:$F&amp;'5) Release_Track'!$G:$G,1,0))),vlookup($A338&amp;$B338,{'5) Release_Track'!$F:$F&amp;'5) Release_Track'!$G:$G,'5) Release_Track'!$H:$H},2,0), or(and(not(isblank($B338)),$B338=$B337,$A338&lt;&gt;$A337),and(not(isblank($A338)),$A338=$A337,$B338&lt;&gt;$B337)),"ID LISTS UNALIGNED",and($A338&lt;&gt;"",countif('5) Release_Track'!$F:$F,$A338)=0),"NO ISRC MATCH in Release_Track",and($B338&lt;&gt;"",countif('5) Release_Track'!$G:$G,$B338)=0),"NO CATALOG ID MATCH in Release_Track",iserror(vlookup($A338&amp;$B338,'5) Release_Track'!$F:$F&amp;'5) Release_Track'!$G:$G,1,0)),"NO ISRC-CATALOG ID pair MATCH in Release_Track" )</f>
        <v/>
      </c>
      <c r="D338" s="121" t="str">
        <f t="array" ref="D338">ifs(and(isblank($A338),isblank($B338)),"", not(iserror(vlookup($A338&amp;$B338,'5) Release_Track'!$F:$F&amp;'5) Release_Track'!$G:$G,1,0))),vlookup($A338&amp;$B338,{'5) Release_Track'!$F:$F&amp;'5) Release_Track'!$G:$G,'5) Release_Track'!$I:$I},2,0), or(and(not(isblank($B338)),$B338=$B337,$A338&lt;&gt;$A337),and(not(isblank($A338)),$A338=$A337,$B338&lt;&gt;$B337)),"ID LISTS UNALIGNED",and($A338&lt;&gt;"",countif('5) Release_Track'!$F:$F,$A338)=0),"NO ISRC MATCH in Release_Track",and($B338&lt;&gt;"",countif('5) Release_Track'!$G:$G,$B338)=0),"NO CATALOG ID MATCH in Release_Track",iserror(vlookup($A338&amp;$B338,'5) Release_Track'!$F:$F&amp;'5) Release_Track'!$G:$G,1,0)),"NO ISRC-CATALOG ID pair MATCH in Release_Track" )</f>
        <v/>
      </c>
      <c r="E338" s="142" t="b">
        <v>0</v>
      </c>
      <c r="F338" s="142" t="b">
        <v>0</v>
      </c>
      <c r="G338" s="142" t="b">
        <v>0</v>
      </c>
      <c r="H338" s="142" t="b">
        <v>0</v>
      </c>
      <c r="I338" s="142" t="b">
        <v>0</v>
      </c>
      <c r="J338" s="142" t="b">
        <v>0</v>
      </c>
      <c r="K338" s="142" t="b">
        <v>0</v>
      </c>
      <c r="L338" s="8" t="b">
        <v>0</v>
      </c>
    </row>
    <row r="339">
      <c r="B339" s="103"/>
      <c r="C339" s="121" t="str">
        <f t="array" ref="C339">ifs(and(isblank($A339),isblank($B339)),"", not(iserror(vlookup($A339&amp;$B339,'5) Release_Track'!$F:$F&amp;'5) Release_Track'!$G:$G,1,0))),vlookup($A339&amp;$B339,{'5) Release_Track'!$F:$F&amp;'5) Release_Track'!$G:$G,'5) Release_Track'!$H:$H},2,0), or(and(not(isblank($B339)),$B339=$B338,$A339&lt;&gt;$A338),and(not(isblank($A339)),$A339=$A338,$B339&lt;&gt;$B338)),"ID LISTS UNALIGNED",and($A339&lt;&gt;"",countif('5) Release_Track'!$F:$F,$A339)=0),"NO ISRC MATCH in Release_Track",and($B339&lt;&gt;"",countif('5) Release_Track'!$G:$G,$B339)=0),"NO CATALOG ID MATCH in Release_Track",iserror(vlookup($A339&amp;$B339,'5) Release_Track'!$F:$F&amp;'5) Release_Track'!$G:$G,1,0)),"NO ISRC-CATALOG ID pair MATCH in Release_Track" )</f>
        <v/>
      </c>
      <c r="D339" s="121" t="str">
        <f t="array" ref="D339">ifs(and(isblank($A339),isblank($B339)),"", not(iserror(vlookup($A339&amp;$B339,'5) Release_Track'!$F:$F&amp;'5) Release_Track'!$G:$G,1,0))),vlookup($A339&amp;$B339,{'5) Release_Track'!$F:$F&amp;'5) Release_Track'!$G:$G,'5) Release_Track'!$I:$I},2,0), or(and(not(isblank($B339)),$B339=$B338,$A339&lt;&gt;$A338),and(not(isblank($A339)),$A339=$A338,$B339&lt;&gt;$B338)),"ID LISTS UNALIGNED",and($A339&lt;&gt;"",countif('5) Release_Track'!$F:$F,$A339)=0),"NO ISRC MATCH in Release_Track",and($B339&lt;&gt;"",countif('5) Release_Track'!$G:$G,$B339)=0),"NO CATALOG ID MATCH in Release_Track",iserror(vlookup($A339&amp;$B339,'5) Release_Track'!$F:$F&amp;'5) Release_Track'!$G:$G,1,0)),"NO ISRC-CATALOG ID pair MATCH in Release_Track" )</f>
        <v/>
      </c>
      <c r="E339" s="142" t="b">
        <v>0</v>
      </c>
      <c r="F339" s="142" t="b">
        <v>0</v>
      </c>
      <c r="G339" s="142" t="b">
        <v>0</v>
      </c>
      <c r="H339" s="142" t="b">
        <v>0</v>
      </c>
      <c r="I339" s="142" t="b">
        <v>0</v>
      </c>
      <c r="J339" s="142" t="b">
        <v>0</v>
      </c>
      <c r="K339" s="142" t="b">
        <v>0</v>
      </c>
      <c r="L339" s="8" t="b">
        <v>0</v>
      </c>
    </row>
    <row r="340">
      <c r="B340" s="103"/>
      <c r="C340" s="121" t="str">
        <f t="array" ref="C340">ifs(and(isblank($A340),isblank($B340)),"", not(iserror(vlookup($A340&amp;$B340,'5) Release_Track'!$F:$F&amp;'5) Release_Track'!$G:$G,1,0))),vlookup($A340&amp;$B340,{'5) Release_Track'!$F:$F&amp;'5) Release_Track'!$G:$G,'5) Release_Track'!$H:$H},2,0), or(and(not(isblank($B340)),$B340=$B339,$A340&lt;&gt;$A339),and(not(isblank($A340)),$A340=$A339,$B340&lt;&gt;$B339)),"ID LISTS UNALIGNED",and($A340&lt;&gt;"",countif('5) Release_Track'!$F:$F,$A340)=0),"NO ISRC MATCH in Release_Track",and($B340&lt;&gt;"",countif('5) Release_Track'!$G:$G,$B340)=0),"NO CATALOG ID MATCH in Release_Track",iserror(vlookup($A340&amp;$B340,'5) Release_Track'!$F:$F&amp;'5) Release_Track'!$G:$G,1,0)),"NO ISRC-CATALOG ID pair MATCH in Release_Track" )</f>
        <v/>
      </c>
      <c r="D340" s="121" t="str">
        <f t="array" ref="D340">ifs(and(isblank($A340),isblank($B340)),"", not(iserror(vlookup($A340&amp;$B340,'5) Release_Track'!$F:$F&amp;'5) Release_Track'!$G:$G,1,0))),vlookup($A340&amp;$B340,{'5) Release_Track'!$F:$F&amp;'5) Release_Track'!$G:$G,'5) Release_Track'!$I:$I},2,0), or(and(not(isblank($B340)),$B340=$B339,$A340&lt;&gt;$A339),and(not(isblank($A340)),$A340=$A339,$B340&lt;&gt;$B339)),"ID LISTS UNALIGNED",and($A340&lt;&gt;"",countif('5) Release_Track'!$F:$F,$A340)=0),"NO ISRC MATCH in Release_Track",and($B340&lt;&gt;"",countif('5) Release_Track'!$G:$G,$B340)=0),"NO CATALOG ID MATCH in Release_Track",iserror(vlookup($A340&amp;$B340,'5) Release_Track'!$F:$F&amp;'5) Release_Track'!$G:$G,1,0)),"NO ISRC-CATALOG ID pair MATCH in Release_Track" )</f>
        <v/>
      </c>
      <c r="E340" s="142" t="b">
        <v>0</v>
      </c>
      <c r="F340" s="142" t="b">
        <v>0</v>
      </c>
      <c r="G340" s="142" t="b">
        <v>0</v>
      </c>
      <c r="H340" s="142" t="b">
        <v>0</v>
      </c>
      <c r="I340" s="142" t="b">
        <v>0</v>
      </c>
      <c r="J340" s="142" t="b">
        <v>0</v>
      </c>
      <c r="K340" s="142" t="b">
        <v>0</v>
      </c>
      <c r="L340" s="8" t="b">
        <v>0</v>
      </c>
    </row>
    <row r="341">
      <c r="B341" s="103"/>
      <c r="C341" s="121" t="str">
        <f t="array" ref="C341">ifs(and(isblank($A341),isblank($B341)),"", not(iserror(vlookup($A341&amp;$B341,'5) Release_Track'!$F:$F&amp;'5) Release_Track'!$G:$G,1,0))),vlookup($A341&amp;$B341,{'5) Release_Track'!$F:$F&amp;'5) Release_Track'!$G:$G,'5) Release_Track'!$H:$H},2,0), or(and(not(isblank($B341)),$B341=$B340,$A341&lt;&gt;$A340),and(not(isblank($A341)),$A341=$A340,$B341&lt;&gt;$B340)),"ID LISTS UNALIGNED",and($A341&lt;&gt;"",countif('5) Release_Track'!$F:$F,$A341)=0),"NO ISRC MATCH in Release_Track",and($B341&lt;&gt;"",countif('5) Release_Track'!$G:$G,$B341)=0),"NO CATALOG ID MATCH in Release_Track",iserror(vlookup($A341&amp;$B341,'5) Release_Track'!$F:$F&amp;'5) Release_Track'!$G:$G,1,0)),"NO ISRC-CATALOG ID pair MATCH in Release_Track" )</f>
        <v/>
      </c>
      <c r="D341" s="121" t="str">
        <f t="array" ref="D341">ifs(and(isblank($A341),isblank($B341)),"", not(iserror(vlookup($A341&amp;$B341,'5) Release_Track'!$F:$F&amp;'5) Release_Track'!$G:$G,1,0))),vlookup($A341&amp;$B341,{'5) Release_Track'!$F:$F&amp;'5) Release_Track'!$G:$G,'5) Release_Track'!$I:$I},2,0), or(and(not(isblank($B341)),$B341=$B340,$A341&lt;&gt;$A340),and(not(isblank($A341)),$A341=$A340,$B341&lt;&gt;$B340)),"ID LISTS UNALIGNED",and($A341&lt;&gt;"",countif('5) Release_Track'!$F:$F,$A341)=0),"NO ISRC MATCH in Release_Track",and($B341&lt;&gt;"",countif('5) Release_Track'!$G:$G,$B341)=0),"NO CATALOG ID MATCH in Release_Track",iserror(vlookup($A341&amp;$B341,'5) Release_Track'!$F:$F&amp;'5) Release_Track'!$G:$G,1,0)),"NO ISRC-CATALOG ID pair MATCH in Release_Track" )</f>
        <v/>
      </c>
      <c r="E341" s="142" t="b">
        <v>0</v>
      </c>
      <c r="F341" s="142" t="b">
        <v>0</v>
      </c>
      <c r="G341" s="142" t="b">
        <v>0</v>
      </c>
      <c r="H341" s="142" t="b">
        <v>0</v>
      </c>
      <c r="I341" s="142" t="b">
        <v>0</v>
      </c>
      <c r="J341" s="142" t="b">
        <v>0</v>
      </c>
      <c r="K341" s="142" t="b">
        <v>0</v>
      </c>
      <c r="L341" s="8" t="b">
        <v>0</v>
      </c>
    </row>
    <row r="342">
      <c r="B342" s="103"/>
      <c r="C342" s="121" t="str">
        <f t="array" ref="C342">ifs(and(isblank($A342),isblank($B342)),"", not(iserror(vlookup($A342&amp;$B342,'5) Release_Track'!$F:$F&amp;'5) Release_Track'!$G:$G,1,0))),vlookup($A342&amp;$B342,{'5) Release_Track'!$F:$F&amp;'5) Release_Track'!$G:$G,'5) Release_Track'!$H:$H},2,0), or(and(not(isblank($B342)),$B342=$B341,$A342&lt;&gt;$A341),and(not(isblank($A342)),$A342=$A341,$B342&lt;&gt;$B341)),"ID LISTS UNALIGNED",and($A342&lt;&gt;"",countif('5) Release_Track'!$F:$F,$A342)=0),"NO ISRC MATCH in Release_Track",and($B342&lt;&gt;"",countif('5) Release_Track'!$G:$G,$B342)=0),"NO CATALOG ID MATCH in Release_Track",iserror(vlookup($A342&amp;$B342,'5) Release_Track'!$F:$F&amp;'5) Release_Track'!$G:$G,1,0)),"NO ISRC-CATALOG ID pair MATCH in Release_Track" )</f>
        <v/>
      </c>
      <c r="D342" s="121" t="str">
        <f t="array" ref="D342">ifs(and(isblank($A342),isblank($B342)),"", not(iserror(vlookup($A342&amp;$B342,'5) Release_Track'!$F:$F&amp;'5) Release_Track'!$G:$G,1,0))),vlookup($A342&amp;$B342,{'5) Release_Track'!$F:$F&amp;'5) Release_Track'!$G:$G,'5) Release_Track'!$I:$I},2,0), or(and(not(isblank($B342)),$B342=$B341,$A342&lt;&gt;$A341),and(not(isblank($A342)),$A342=$A341,$B342&lt;&gt;$B341)),"ID LISTS UNALIGNED",and($A342&lt;&gt;"",countif('5) Release_Track'!$F:$F,$A342)=0),"NO ISRC MATCH in Release_Track",and($B342&lt;&gt;"",countif('5) Release_Track'!$G:$G,$B342)=0),"NO CATALOG ID MATCH in Release_Track",iserror(vlookup($A342&amp;$B342,'5) Release_Track'!$F:$F&amp;'5) Release_Track'!$G:$G,1,0)),"NO ISRC-CATALOG ID pair MATCH in Release_Track" )</f>
        <v/>
      </c>
      <c r="E342" s="142" t="b">
        <v>0</v>
      </c>
      <c r="F342" s="142" t="b">
        <v>0</v>
      </c>
      <c r="G342" s="142" t="b">
        <v>0</v>
      </c>
      <c r="H342" s="142" t="b">
        <v>0</v>
      </c>
      <c r="I342" s="142" t="b">
        <v>0</v>
      </c>
      <c r="J342" s="142" t="b">
        <v>0</v>
      </c>
      <c r="K342" s="142" t="b">
        <v>0</v>
      </c>
      <c r="L342" s="8" t="b">
        <v>0</v>
      </c>
    </row>
    <row r="343">
      <c r="B343" s="103"/>
      <c r="C343" s="121" t="str">
        <f t="array" ref="C343">ifs(and(isblank($A343),isblank($B343)),"", not(iserror(vlookup($A343&amp;$B343,'5) Release_Track'!$F:$F&amp;'5) Release_Track'!$G:$G,1,0))),vlookup($A343&amp;$B343,{'5) Release_Track'!$F:$F&amp;'5) Release_Track'!$G:$G,'5) Release_Track'!$H:$H},2,0), or(and(not(isblank($B343)),$B343=$B342,$A343&lt;&gt;$A342),and(not(isblank($A343)),$A343=$A342,$B343&lt;&gt;$B342)),"ID LISTS UNALIGNED",and($A343&lt;&gt;"",countif('5) Release_Track'!$F:$F,$A343)=0),"NO ISRC MATCH in Release_Track",and($B343&lt;&gt;"",countif('5) Release_Track'!$G:$G,$B343)=0),"NO CATALOG ID MATCH in Release_Track",iserror(vlookup($A343&amp;$B343,'5) Release_Track'!$F:$F&amp;'5) Release_Track'!$G:$G,1,0)),"NO ISRC-CATALOG ID pair MATCH in Release_Track" )</f>
        <v/>
      </c>
      <c r="D343" s="121" t="str">
        <f t="array" ref="D343">ifs(and(isblank($A343),isblank($B343)),"", not(iserror(vlookup($A343&amp;$B343,'5) Release_Track'!$F:$F&amp;'5) Release_Track'!$G:$G,1,0))),vlookup($A343&amp;$B343,{'5) Release_Track'!$F:$F&amp;'5) Release_Track'!$G:$G,'5) Release_Track'!$I:$I},2,0), or(and(not(isblank($B343)),$B343=$B342,$A343&lt;&gt;$A342),and(not(isblank($A343)),$A343=$A342,$B343&lt;&gt;$B342)),"ID LISTS UNALIGNED",and($A343&lt;&gt;"",countif('5) Release_Track'!$F:$F,$A343)=0),"NO ISRC MATCH in Release_Track",and($B343&lt;&gt;"",countif('5) Release_Track'!$G:$G,$B343)=0),"NO CATALOG ID MATCH in Release_Track",iserror(vlookup($A343&amp;$B343,'5) Release_Track'!$F:$F&amp;'5) Release_Track'!$G:$G,1,0)),"NO ISRC-CATALOG ID pair MATCH in Release_Track" )</f>
        <v/>
      </c>
      <c r="E343" s="142" t="b">
        <v>0</v>
      </c>
      <c r="F343" s="142" t="b">
        <v>0</v>
      </c>
      <c r="G343" s="142" t="b">
        <v>0</v>
      </c>
      <c r="H343" s="142" t="b">
        <v>0</v>
      </c>
      <c r="I343" s="142" t="b">
        <v>0</v>
      </c>
      <c r="J343" s="142" t="b">
        <v>0</v>
      </c>
      <c r="K343" s="142" t="b">
        <v>0</v>
      </c>
      <c r="L343" s="8" t="b">
        <v>0</v>
      </c>
    </row>
    <row r="344">
      <c r="B344" s="103"/>
      <c r="C344" s="121" t="str">
        <f t="array" ref="C344">ifs(and(isblank($A344),isblank($B344)),"", not(iserror(vlookup($A344&amp;$B344,'5) Release_Track'!$F:$F&amp;'5) Release_Track'!$G:$G,1,0))),vlookup($A344&amp;$B344,{'5) Release_Track'!$F:$F&amp;'5) Release_Track'!$G:$G,'5) Release_Track'!$H:$H},2,0), or(and(not(isblank($B344)),$B344=$B343,$A344&lt;&gt;$A343),and(not(isblank($A344)),$A344=$A343,$B344&lt;&gt;$B343)),"ID LISTS UNALIGNED",and($A344&lt;&gt;"",countif('5) Release_Track'!$F:$F,$A344)=0),"NO ISRC MATCH in Release_Track",and($B344&lt;&gt;"",countif('5) Release_Track'!$G:$G,$B344)=0),"NO CATALOG ID MATCH in Release_Track",iserror(vlookup($A344&amp;$B344,'5) Release_Track'!$F:$F&amp;'5) Release_Track'!$G:$G,1,0)),"NO ISRC-CATALOG ID pair MATCH in Release_Track" )</f>
        <v/>
      </c>
      <c r="D344" s="121" t="str">
        <f t="array" ref="D344">ifs(and(isblank($A344),isblank($B344)),"", not(iserror(vlookup($A344&amp;$B344,'5) Release_Track'!$F:$F&amp;'5) Release_Track'!$G:$G,1,0))),vlookup($A344&amp;$B344,{'5) Release_Track'!$F:$F&amp;'5) Release_Track'!$G:$G,'5) Release_Track'!$I:$I},2,0), or(and(not(isblank($B344)),$B344=$B343,$A344&lt;&gt;$A343),and(not(isblank($A344)),$A344=$A343,$B344&lt;&gt;$B343)),"ID LISTS UNALIGNED",and($A344&lt;&gt;"",countif('5) Release_Track'!$F:$F,$A344)=0),"NO ISRC MATCH in Release_Track",and($B344&lt;&gt;"",countif('5) Release_Track'!$G:$G,$B344)=0),"NO CATALOG ID MATCH in Release_Track",iserror(vlookup($A344&amp;$B344,'5) Release_Track'!$F:$F&amp;'5) Release_Track'!$G:$G,1,0)),"NO ISRC-CATALOG ID pair MATCH in Release_Track" )</f>
        <v/>
      </c>
      <c r="E344" s="142" t="b">
        <v>0</v>
      </c>
      <c r="F344" s="142" t="b">
        <v>0</v>
      </c>
      <c r="G344" s="142" t="b">
        <v>0</v>
      </c>
      <c r="H344" s="142" t="b">
        <v>0</v>
      </c>
      <c r="I344" s="142" t="b">
        <v>0</v>
      </c>
      <c r="J344" s="142" t="b">
        <v>0</v>
      </c>
      <c r="K344" s="142" t="b">
        <v>0</v>
      </c>
      <c r="L344" s="8" t="b">
        <v>0</v>
      </c>
    </row>
    <row r="345">
      <c r="B345" s="103"/>
      <c r="C345" s="121" t="str">
        <f t="array" ref="C345">ifs(and(isblank($A345),isblank($B345)),"", not(iserror(vlookup($A345&amp;$B345,'5) Release_Track'!$F:$F&amp;'5) Release_Track'!$G:$G,1,0))),vlookup($A345&amp;$B345,{'5) Release_Track'!$F:$F&amp;'5) Release_Track'!$G:$G,'5) Release_Track'!$H:$H},2,0), or(and(not(isblank($B345)),$B345=$B344,$A345&lt;&gt;$A344),and(not(isblank($A345)),$A345=$A344,$B345&lt;&gt;$B344)),"ID LISTS UNALIGNED",and($A345&lt;&gt;"",countif('5) Release_Track'!$F:$F,$A345)=0),"NO ISRC MATCH in Release_Track",and($B345&lt;&gt;"",countif('5) Release_Track'!$G:$G,$B345)=0),"NO CATALOG ID MATCH in Release_Track",iserror(vlookup($A345&amp;$B345,'5) Release_Track'!$F:$F&amp;'5) Release_Track'!$G:$G,1,0)),"NO ISRC-CATALOG ID pair MATCH in Release_Track" )</f>
        <v/>
      </c>
      <c r="D345" s="121" t="str">
        <f t="array" ref="D345">ifs(and(isblank($A345),isblank($B345)),"", not(iserror(vlookup($A345&amp;$B345,'5) Release_Track'!$F:$F&amp;'5) Release_Track'!$G:$G,1,0))),vlookup($A345&amp;$B345,{'5) Release_Track'!$F:$F&amp;'5) Release_Track'!$G:$G,'5) Release_Track'!$I:$I},2,0), or(and(not(isblank($B345)),$B345=$B344,$A345&lt;&gt;$A344),and(not(isblank($A345)),$A345=$A344,$B345&lt;&gt;$B344)),"ID LISTS UNALIGNED",and($A345&lt;&gt;"",countif('5) Release_Track'!$F:$F,$A345)=0),"NO ISRC MATCH in Release_Track",and($B345&lt;&gt;"",countif('5) Release_Track'!$G:$G,$B345)=0),"NO CATALOG ID MATCH in Release_Track",iserror(vlookup($A345&amp;$B345,'5) Release_Track'!$F:$F&amp;'5) Release_Track'!$G:$G,1,0)),"NO ISRC-CATALOG ID pair MATCH in Release_Track" )</f>
        <v/>
      </c>
      <c r="E345" s="142" t="b">
        <v>0</v>
      </c>
      <c r="F345" s="142" t="b">
        <v>0</v>
      </c>
      <c r="G345" s="142" t="b">
        <v>0</v>
      </c>
      <c r="H345" s="142" t="b">
        <v>0</v>
      </c>
      <c r="I345" s="142" t="b">
        <v>0</v>
      </c>
      <c r="J345" s="142" t="b">
        <v>0</v>
      </c>
      <c r="K345" s="142" t="b">
        <v>0</v>
      </c>
      <c r="L345" s="8" t="b">
        <v>0</v>
      </c>
    </row>
    <row r="346">
      <c r="B346" s="103"/>
      <c r="C346" s="121" t="str">
        <f t="array" ref="C346">ifs(and(isblank($A346),isblank($B346)),"", not(iserror(vlookup($A346&amp;$B346,'5) Release_Track'!$F:$F&amp;'5) Release_Track'!$G:$G,1,0))),vlookup($A346&amp;$B346,{'5) Release_Track'!$F:$F&amp;'5) Release_Track'!$G:$G,'5) Release_Track'!$H:$H},2,0), or(and(not(isblank($B346)),$B346=$B345,$A346&lt;&gt;$A345),and(not(isblank($A346)),$A346=$A345,$B346&lt;&gt;$B345)),"ID LISTS UNALIGNED",and($A346&lt;&gt;"",countif('5) Release_Track'!$F:$F,$A346)=0),"NO ISRC MATCH in Release_Track",and($B346&lt;&gt;"",countif('5) Release_Track'!$G:$G,$B346)=0),"NO CATALOG ID MATCH in Release_Track",iserror(vlookup($A346&amp;$B346,'5) Release_Track'!$F:$F&amp;'5) Release_Track'!$G:$G,1,0)),"NO ISRC-CATALOG ID pair MATCH in Release_Track" )</f>
        <v/>
      </c>
      <c r="D346" s="121" t="str">
        <f t="array" ref="D346">ifs(and(isblank($A346),isblank($B346)),"", not(iserror(vlookup($A346&amp;$B346,'5) Release_Track'!$F:$F&amp;'5) Release_Track'!$G:$G,1,0))),vlookup($A346&amp;$B346,{'5) Release_Track'!$F:$F&amp;'5) Release_Track'!$G:$G,'5) Release_Track'!$I:$I},2,0), or(and(not(isblank($B346)),$B346=$B345,$A346&lt;&gt;$A345),and(not(isblank($A346)),$A346=$A345,$B346&lt;&gt;$B345)),"ID LISTS UNALIGNED",and($A346&lt;&gt;"",countif('5) Release_Track'!$F:$F,$A346)=0),"NO ISRC MATCH in Release_Track",and($B346&lt;&gt;"",countif('5) Release_Track'!$G:$G,$B346)=0),"NO CATALOG ID MATCH in Release_Track",iserror(vlookup($A346&amp;$B346,'5) Release_Track'!$F:$F&amp;'5) Release_Track'!$G:$G,1,0)),"NO ISRC-CATALOG ID pair MATCH in Release_Track" )</f>
        <v/>
      </c>
      <c r="E346" s="142" t="b">
        <v>0</v>
      </c>
      <c r="F346" s="142" t="b">
        <v>0</v>
      </c>
      <c r="G346" s="142" t="b">
        <v>0</v>
      </c>
      <c r="H346" s="142" t="b">
        <v>0</v>
      </c>
      <c r="I346" s="142" t="b">
        <v>0</v>
      </c>
      <c r="J346" s="142" t="b">
        <v>0</v>
      </c>
      <c r="K346" s="142" t="b">
        <v>0</v>
      </c>
      <c r="L346" s="8" t="b">
        <v>0</v>
      </c>
    </row>
    <row r="347">
      <c r="B347" s="103"/>
      <c r="C347" s="121" t="str">
        <f t="array" ref="C347">ifs(and(isblank($A347),isblank($B347)),"", not(iserror(vlookup($A347&amp;$B347,'5) Release_Track'!$F:$F&amp;'5) Release_Track'!$G:$G,1,0))),vlookup($A347&amp;$B347,{'5) Release_Track'!$F:$F&amp;'5) Release_Track'!$G:$G,'5) Release_Track'!$H:$H},2,0), or(and(not(isblank($B347)),$B347=$B346,$A347&lt;&gt;$A346),and(not(isblank($A347)),$A347=$A346,$B347&lt;&gt;$B346)),"ID LISTS UNALIGNED",and($A347&lt;&gt;"",countif('5) Release_Track'!$F:$F,$A347)=0),"NO ISRC MATCH in Release_Track",and($B347&lt;&gt;"",countif('5) Release_Track'!$G:$G,$B347)=0),"NO CATALOG ID MATCH in Release_Track",iserror(vlookup($A347&amp;$B347,'5) Release_Track'!$F:$F&amp;'5) Release_Track'!$G:$G,1,0)),"NO ISRC-CATALOG ID pair MATCH in Release_Track" )</f>
        <v/>
      </c>
      <c r="D347" s="121" t="str">
        <f t="array" ref="D347">ifs(and(isblank($A347),isblank($B347)),"", not(iserror(vlookup($A347&amp;$B347,'5) Release_Track'!$F:$F&amp;'5) Release_Track'!$G:$G,1,0))),vlookup($A347&amp;$B347,{'5) Release_Track'!$F:$F&amp;'5) Release_Track'!$G:$G,'5) Release_Track'!$I:$I},2,0), or(and(not(isblank($B347)),$B347=$B346,$A347&lt;&gt;$A346),and(not(isblank($A347)),$A347=$A346,$B347&lt;&gt;$B346)),"ID LISTS UNALIGNED",and($A347&lt;&gt;"",countif('5) Release_Track'!$F:$F,$A347)=0),"NO ISRC MATCH in Release_Track",and($B347&lt;&gt;"",countif('5) Release_Track'!$G:$G,$B347)=0),"NO CATALOG ID MATCH in Release_Track",iserror(vlookup($A347&amp;$B347,'5) Release_Track'!$F:$F&amp;'5) Release_Track'!$G:$G,1,0)),"NO ISRC-CATALOG ID pair MATCH in Release_Track" )</f>
        <v/>
      </c>
      <c r="E347" s="142" t="b">
        <v>0</v>
      </c>
      <c r="F347" s="142" t="b">
        <v>0</v>
      </c>
      <c r="G347" s="142" t="b">
        <v>0</v>
      </c>
      <c r="H347" s="142" t="b">
        <v>0</v>
      </c>
      <c r="I347" s="142" t="b">
        <v>0</v>
      </c>
      <c r="J347" s="142" t="b">
        <v>0</v>
      </c>
      <c r="K347" s="142" t="b">
        <v>0</v>
      </c>
      <c r="L347" s="8" t="b">
        <v>0</v>
      </c>
    </row>
    <row r="348">
      <c r="B348" s="103"/>
      <c r="C348" s="121" t="str">
        <f t="array" ref="C348">ifs(and(isblank($A348),isblank($B348)),"", not(iserror(vlookup($A348&amp;$B348,'5) Release_Track'!$F:$F&amp;'5) Release_Track'!$G:$G,1,0))),vlookup($A348&amp;$B348,{'5) Release_Track'!$F:$F&amp;'5) Release_Track'!$G:$G,'5) Release_Track'!$H:$H},2,0), or(and(not(isblank($B348)),$B348=$B347,$A348&lt;&gt;$A347),and(not(isblank($A348)),$A348=$A347,$B348&lt;&gt;$B347)),"ID LISTS UNALIGNED",and($A348&lt;&gt;"",countif('5) Release_Track'!$F:$F,$A348)=0),"NO ISRC MATCH in Release_Track",and($B348&lt;&gt;"",countif('5) Release_Track'!$G:$G,$B348)=0),"NO CATALOG ID MATCH in Release_Track",iserror(vlookup($A348&amp;$B348,'5) Release_Track'!$F:$F&amp;'5) Release_Track'!$G:$G,1,0)),"NO ISRC-CATALOG ID pair MATCH in Release_Track" )</f>
        <v/>
      </c>
      <c r="D348" s="121" t="str">
        <f t="array" ref="D348">ifs(and(isblank($A348),isblank($B348)),"", not(iserror(vlookup($A348&amp;$B348,'5) Release_Track'!$F:$F&amp;'5) Release_Track'!$G:$G,1,0))),vlookup($A348&amp;$B348,{'5) Release_Track'!$F:$F&amp;'5) Release_Track'!$G:$G,'5) Release_Track'!$I:$I},2,0), or(and(not(isblank($B348)),$B348=$B347,$A348&lt;&gt;$A347),and(not(isblank($A348)),$A348=$A347,$B348&lt;&gt;$B347)),"ID LISTS UNALIGNED",and($A348&lt;&gt;"",countif('5) Release_Track'!$F:$F,$A348)=0),"NO ISRC MATCH in Release_Track",and($B348&lt;&gt;"",countif('5) Release_Track'!$G:$G,$B348)=0),"NO CATALOG ID MATCH in Release_Track",iserror(vlookup($A348&amp;$B348,'5) Release_Track'!$F:$F&amp;'5) Release_Track'!$G:$G,1,0)),"NO ISRC-CATALOG ID pair MATCH in Release_Track" )</f>
        <v/>
      </c>
      <c r="E348" s="142" t="b">
        <v>0</v>
      </c>
      <c r="F348" s="142" t="b">
        <v>0</v>
      </c>
      <c r="G348" s="142" t="b">
        <v>0</v>
      </c>
      <c r="H348" s="142" t="b">
        <v>0</v>
      </c>
      <c r="I348" s="142" t="b">
        <v>0</v>
      </c>
      <c r="J348" s="142" t="b">
        <v>0</v>
      </c>
      <c r="K348" s="142" t="b">
        <v>0</v>
      </c>
      <c r="L348" s="8" t="b">
        <v>0</v>
      </c>
    </row>
    <row r="349">
      <c r="B349" s="103"/>
      <c r="C349" s="121" t="str">
        <f t="array" ref="C349">ifs(and(isblank($A349),isblank($B349)),"", not(iserror(vlookup($A349&amp;$B349,'5) Release_Track'!$F:$F&amp;'5) Release_Track'!$G:$G,1,0))),vlookup($A349&amp;$B349,{'5) Release_Track'!$F:$F&amp;'5) Release_Track'!$G:$G,'5) Release_Track'!$H:$H},2,0), or(and(not(isblank($B349)),$B349=$B348,$A349&lt;&gt;$A348),and(not(isblank($A349)),$A349=$A348,$B349&lt;&gt;$B348)),"ID LISTS UNALIGNED",and($A349&lt;&gt;"",countif('5) Release_Track'!$F:$F,$A349)=0),"NO ISRC MATCH in Release_Track",and($B349&lt;&gt;"",countif('5) Release_Track'!$G:$G,$B349)=0),"NO CATALOG ID MATCH in Release_Track",iserror(vlookup($A349&amp;$B349,'5) Release_Track'!$F:$F&amp;'5) Release_Track'!$G:$G,1,0)),"NO ISRC-CATALOG ID pair MATCH in Release_Track" )</f>
        <v/>
      </c>
      <c r="D349" s="121" t="str">
        <f t="array" ref="D349">ifs(and(isblank($A349),isblank($B349)),"", not(iserror(vlookup($A349&amp;$B349,'5) Release_Track'!$F:$F&amp;'5) Release_Track'!$G:$G,1,0))),vlookup($A349&amp;$B349,{'5) Release_Track'!$F:$F&amp;'5) Release_Track'!$G:$G,'5) Release_Track'!$I:$I},2,0), or(and(not(isblank($B349)),$B349=$B348,$A349&lt;&gt;$A348),and(not(isblank($A349)),$A349=$A348,$B349&lt;&gt;$B348)),"ID LISTS UNALIGNED",and($A349&lt;&gt;"",countif('5) Release_Track'!$F:$F,$A349)=0),"NO ISRC MATCH in Release_Track",and($B349&lt;&gt;"",countif('5) Release_Track'!$G:$G,$B349)=0),"NO CATALOG ID MATCH in Release_Track",iserror(vlookup($A349&amp;$B349,'5) Release_Track'!$F:$F&amp;'5) Release_Track'!$G:$G,1,0)),"NO ISRC-CATALOG ID pair MATCH in Release_Track" )</f>
        <v/>
      </c>
      <c r="E349" s="142" t="b">
        <v>0</v>
      </c>
      <c r="F349" s="142" t="b">
        <v>0</v>
      </c>
      <c r="G349" s="142" t="b">
        <v>0</v>
      </c>
      <c r="H349" s="142" t="b">
        <v>0</v>
      </c>
      <c r="I349" s="142" t="b">
        <v>0</v>
      </c>
      <c r="J349" s="142" t="b">
        <v>0</v>
      </c>
      <c r="K349" s="142" t="b">
        <v>0</v>
      </c>
      <c r="L349" s="8" t="b">
        <v>0</v>
      </c>
    </row>
    <row r="350">
      <c r="B350" s="103"/>
      <c r="C350" s="121" t="str">
        <f t="array" ref="C350">ifs(and(isblank($A350),isblank($B350)),"", not(iserror(vlookup($A350&amp;$B350,'5) Release_Track'!$F:$F&amp;'5) Release_Track'!$G:$G,1,0))),vlookup($A350&amp;$B350,{'5) Release_Track'!$F:$F&amp;'5) Release_Track'!$G:$G,'5) Release_Track'!$H:$H},2,0), or(and(not(isblank($B350)),$B350=$B349,$A350&lt;&gt;$A349),and(not(isblank($A350)),$A350=$A349,$B350&lt;&gt;$B349)),"ID LISTS UNALIGNED",and($A350&lt;&gt;"",countif('5) Release_Track'!$F:$F,$A350)=0),"NO ISRC MATCH in Release_Track",and($B350&lt;&gt;"",countif('5) Release_Track'!$G:$G,$B350)=0),"NO CATALOG ID MATCH in Release_Track",iserror(vlookup($A350&amp;$B350,'5) Release_Track'!$F:$F&amp;'5) Release_Track'!$G:$G,1,0)),"NO ISRC-CATALOG ID pair MATCH in Release_Track" )</f>
        <v/>
      </c>
      <c r="D350" s="121" t="str">
        <f t="array" ref="D350">ifs(and(isblank($A350),isblank($B350)),"", not(iserror(vlookup($A350&amp;$B350,'5) Release_Track'!$F:$F&amp;'5) Release_Track'!$G:$G,1,0))),vlookup($A350&amp;$B350,{'5) Release_Track'!$F:$F&amp;'5) Release_Track'!$G:$G,'5) Release_Track'!$I:$I},2,0), or(and(not(isblank($B350)),$B350=$B349,$A350&lt;&gt;$A349),and(not(isblank($A350)),$A350=$A349,$B350&lt;&gt;$B349)),"ID LISTS UNALIGNED",and($A350&lt;&gt;"",countif('5) Release_Track'!$F:$F,$A350)=0),"NO ISRC MATCH in Release_Track",and($B350&lt;&gt;"",countif('5) Release_Track'!$G:$G,$B350)=0),"NO CATALOG ID MATCH in Release_Track",iserror(vlookup($A350&amp;$B350,'5) Release_Track'!$F:$F&amp;'5) Release_Track'!$G:$G,1,0)),"NO ISRC-CATALOG ID pair MATCH in Release_Track" )</f>
        <v/>
      </c>
      <c r="E350" s="142" t="b">
        <v>0</v>
      </c>
      <c r="F350" s="142" t="b">
        <v>0</v>
      </c>
      <c r="G350" s="142" t="b">
        <v>0</v>
      </c>
      <c r="H350" s="142" t="b">
        <v>0</v>
      </c>
      <c r="I350" s="142" t="b">
        <v>0</v>
      </c>
      <c r="J350" s="142" t="b">
        <v>0</v>
      </c>
      <c r="K350" s="142" t="b">
        <v>0</v>
      </c>
      <c r="L350" s="8" t="b">
        <v>0</v>
      </c>
    </row>
    <row r="351">
      <c r="B351" s="103"/>
      <c r="C351" s="121" t="str">
        <f t="array" ref="C351">ifs(and(isblank($A351),isblank($B351)),"", not(iserror(vlookup($A351&amp;$B351,'5) Release_Track'!$F:$F&amp;'5) Release_Track'!$G:$G,1,0))),vlookup($A351&amp;$B351,{'5) Release_Track'!$F:$F&amp;'5) Release_Track'!$G:$G,'5) Release_Track'!$H:$H},2,0), or(and(not(isblank($B351)),$B351=$B350,$A351&lt;&gt;$A350),and(not(isblank($A351)),$A351=$A350,$B351&lt;&gt;$B350)),"ID LISTS UNALIGNED",and($A351&lt;&gt;"",countif('5) Release_Track'!$F:$F,$A351)=0),"NO ISRC MATCH in Release_Track",and($B351&lt;&gt;"",countif('5) Release_Track'!$G:$G,$B351)=0),"NO CATALOG ID MATCH in Release_Track",iserror(vlookup($A351&amp;$B351,'5) Release_Track'!$F:$F&amp;'5) Release_Track'!$G:$G,1,0)),"NO ISRC-CATALOG ID pair MATCH in Release_Track" )</f>
        <v/>
      </c>
      <c r="D351" s="121" t="str">
        <f t="array" ref="D351">ifs(and(isblank($A351),isblank($B351)),"", not(iserror(vlookup($A351&amp;$B351,'5) Release_Track'!$F:$F&amp;'5) Release_Track'!$G:$G,1,0))),vlookup($A351&amp;$B351,{'5) Release_Track'!$F:$F&amp;'5) Release_Track'!$G:$G,'5) Release_Track'!$I:$I},2,0), or(and(not(isblank($B351)),$B351=$B350,$A351&lt;&gt;$A350),and(not(isblank($A351)),$A351=$A350,$B351&lt;&gt;$B350)),"ID LISTS UNALIGNED",and($A351&lt;&gt;"",countif('5) Release_Track'!$F:$F,$A351)=0),"NO ISRC MATCH in Release_Track",and($B351&lt;&gt;"",countif('5) Release_Track'!$G:$G,$B351)=0),"NO CATALOG ID MATCH in Release_Track",iserror(vlookup($A351&amp;$B351,'5) Release_Track'!$F:$F&amp;'5) Release_Track'!$G:$G,1,0)),"NO ISRC-CATALOG ID pair MATCH in Release_Track" )</f>
        <v/>
      </c>
      <c r="E351" s="142" t="b">
        <v>0</v>
      </c>
      <c r="F351" s="142" t="b">
        <v>0</v>
      </c>
      <c r="G351" s="142" t="b">
        <v>0</v>
      </c>
      <c r="H351" s="142" t="b">
        <v>0</v>
      </c>
      <c r="I351" s="142" t="b">
        <v>0</v>
      </c>
      <c r="J351" s="142" t="b">
        <v>0</v>
      </c>
      <c r="K351" s="142" t="b">
        <v>0</v>
      </c>
      <c r="L351" s="8" t="b">
        <v>0</v>
      </c>
    </row>
    <row r="352">
      <c r="B352" s="103"/>
      <c r="C352" s="121" t="str">
        <f t="array" ref="C352">ifs(and(isblank($A352),isblank($B352)),"", not(iserror(vlookup($A352&amp;$B352,'5) Release_Track'!$F:$F&amp;'5) Release_Track'!$G:$G,1,0))),vlookup($A352&amp;$B352,{'5) Release_Track'!$F:$F&amp;'5) Release_Track'!$G:$G,'5) Release_Track'!$H:$H},2,0), or(and(not(isblank($B352)),$B352=$B351,$A352&lt;&gt;$A351),and(not(isblank($A352)),$A352=$A351,$B352&lt;&gt;$B351)),"ID LISTS UNALIGNED",and($A352&lt;&gt;"",countif('5) Release_Track'!$F:$F,$A352)=0),"NO ISRC MATCH in Release_Track",and($B352&lt;&gt;"",countif('5) Release_Track'!$G:$G,$B352)=0),"NO CATALOG ID MATCH in Release_Track",iserror(vlookup($A352&amp;$B352,'5) Release_Track'!$F:$F&amp;'5) Release_Track'!$G:$G,1,0)),"NO ISRC-CATALOG ID pair MATCH in Release_Track" )</f>
        <v/>
      </c>
      <c r="D352" s="121" t="str">
        <f t="array" ref="D352">ifs(and(isblank($A352),isblank($B352)),"", not(iserror(vlookup($A352&amp;$B352,'5) Release_Track'!$F:$F&amp;'5) Release_Track'!$G:$G,1,0))),vlookup($A352&amp;$B352,{'5) Release_Track'!$F:$F&amp;'5) Release_Track'!$G:$G,'5) Release_Track'!$I:$I},2,0), or(and(not(isblank($B352)),$B352=$B351,$A352&lt;&gt;$A351),and(not(isblank($A352)),$A352=$A351,$B352&lt;&gt;$B351)),"ID LISTS UNALIGNED",and($A352&lt;&gt;"",countif('5) Release_Track'!$F:$F,$A352)=0),"NO ISRC MATCH in Release_Track",and($B352&lt;&gt;"",countif('5) Release_Track'!$G:$G,$B352)=0),"NO CATALOG ID MATCH in Release_Track",iserror(vlookup($A352&amp;$B352,'5) Release_Track'!$F:$F&amp;'5) Release_Track'!$G:$G,1,0)),"NO ISRC-CATALOG ID pair MATCH in Release_Track" )</f>
        <v/>
      </c>
      <c r="E352" s="142" t="b">
        <v>0</v>
      </c>
      <c r="F352" s="142" t="b">
        <v>0</v>
      </c>
      <c r="G352" s="142" t="b">
        <v>0</v>
      </c>
      <c r="H352" s="142" t="b">
        <v>0</v>
      </c>
      <c r="I352" s="142" t="b">
        <v>0</v>
      </c>
      <c r="J352" s="142" t="b">
        <v>0</v>
      </c>
      <c r="K352" s="142" t="b">
        <v>0</v>
      </c>
      <c r="L352" s="8" t="b">
        <v>0</v>
      </c>
    </row>
    <row r="353">
      <c r="B353" s="103"/>
      <c r="C353" s="121" t="str">
        <f t="array" ref="C353">ifs(and(isblank($A353),isblank($B353)),"", not(iserror(vlookup($A353&amp;$B353,'5) Release_Track'!$F:$F&amp;'5) Release_Track'!$G:$G,1,0))),vlookup($A353&amp;$B353,{'5) Release_Track'!$F:$F&amp;'5) Release_Track'!$G:$G,'5) Release_Track'!$H:$H},2,0), or(and(not(isblank($B353)),$B353=$B352,$A353&lt;&gt;$A352),and(not(isblank($A353)),$A353=$A352,$B353&lt;&gt;$B352)),"ID LISTS UNALIGNED",and($A353&lt;&gt;"",countif('5) Release_Track'!$F:$F,$A353)=0),"NO ISRC MATCH in Release_Track",and($B353&lt;&gt;"",countif('5) Release_Track'!$G:$G,$B353)=0),"NO CATALOG ID MATCH in Release_Track",iserror(vlookup($A353&amp;$B353,'5) Release_Track'!$F:$F&amp;'5) Release_Track'!$G:$G,1,0)),"NO ISRC-CATALOG ID pair MATCH in Release_Track" )</f>
        <v/>
      </c>
      <c r="D353" s="121" t="str">
        <f t="array" ref="D353">ifs(and(isblank($A353),isblank($B353)),"", not(iserror(vlookup($A353&amp;$B353,'5) Release_Track'!$F:$F&amp;'5) Release_Track'!$G:$G,1,0))),vlookup($A353&amp;$B353,{'5) Release_Track'!$F:$F&amp;'5) Release_Track'!$G:$G,'5) Release_Track'!$I:$I},2,0), or(and(not(isblank($B353)),$B353=$B352,$A353&lt;&gt;$A352),and(not(isblank($A353)),$A353=$A352,$B353&lt;&gt;$B352)),"ID LISTS UNALIGNED",and($A353&lt;&gt;"",countif('5) Release_Track'!$F:$F,$A353)=0),"NO ISRC MATCH in Release_Track",and($B353&lt;&gt;"",countif('5) Release_Track'!$G:$G,$B353)=0),"NO CATALOG ID MATCH in Release_Track",iserror(vlookup($A353&amp;$B353,'5) Release_Track'!$F:$F&amp;'5) Release_Track'!$G:$G,1,0)),"NO ISRC-CATALOG ID pair MATCH in Release_Track" )</f>
        <v/>
      </c>
      <c r="E353" s="142" t="b">
        <v>0</v>
      </c>
      <c r="F353" s="142" t="b">
        <v>0</v>
      </c>
      <c r="G353" s="142" t="b">
        <v>0</v>
      </c>
      <c r="H353" s="142" t="b">
        <v>0</v>
      </c>
      <c r="I353" s="142" t="b">
        <v>0</v>
      </c>
      <c r="J353" s="142" t="b">
        <v>0</v>
      </c>
      <c r="K353" s="142" t="b">
        <v>0</v>
      </c>
      <c r="L353" s="8" t="b">
        <v>0</v>
      </c>
    </row>
    <row r="354">
      <c r="B354" s="103"/>
      <c r="C354" s="121" t="str">
        <f t="array" ref="C354">ifs(and(isblank($A354),isblank($B354)),"", not(iserror(vlookup($A354&amp;$B354,'5) Release_Track'!$F:$F&amp;'5) Release_Track'!$G:$G,1,0))),vlookup($A354&amp;$B354,{'5) Release_Track'!$F:$F&amp;'5) Release_Track'!$G:$G,'5) Release_Track'!$H:$H},2,0), or(and(not(isblank($B354)),$B354=$B353,$A354&lt;&gt;$A353),and(not(isblank($A354)),$A354=$A353,$B354&lt;&gt;$B353)),"ID LISTS UNALIGNED",and($A354&lt;&gt;"",countif('5) Release_Track'!$F:$F,$A354)=0),"NO ISRC MATCH in Release_Track",and($B354&lt;&gt;"",countif('5) Release_Track'!$G:$G,$B354)=0),"NO CATALOG ID MATCH in Release_Track",iserror(vlookup($A354&amp;$B354,'5) Release_Track'!$F:$F&amp;'5) Release_Track'!$G:$G,1,0)),"NO ISRC-CATALOG ID pair MATCH in Release_Track" )</f>
        <v/>
      </c>
      <c r="D354" s="121" t="str">
        <f t="array" ref="D354">ifs(and(isblank($A354),isblank($B354)),"", not(iserror(vlookup($A354&amp;$B354,'5) Release_Track'!$F:$F&amp;'5) Release_Track'!$G:$G,1,0))),vlookup($A354&amp;$B354,{'5) Release_Track'!$F:$F&amp;'5) Release_Track'!$G:$G,'5) Release_Track'!$I:$I},2,0), or(and(not(isblank($B354)),$B354=$B353,$A354&lt;&gt;$A353),and(not(isblank($A354)),$A354=$A353,$B354&lt;&gt;$B353)),"ID LISTS UNALIGNED",and($A354&lt;&gt;"",countif('5) Release_Track'!$F:$F,$A354)=0),"NO ISRC MATCH in Release_Track",and($B354&lt;&gt;"",countif('5) Release_Track'!$G:$G,$B354)=0),"NO CATALOG ID MATCH in Release_Track",iserror(vlookup($A354&amp;$B354,'5) Release_Track'!$F:$F&amp;'5) Release_Track'!$G:$G,1,0)),"NO ISRC-CATALOG ID pair MATCH in Release_Track" )</f>
        <v/>
      </c>
      <c r="E354" s="142" t="b">
        <v>0</v>
      </c>
      <c r="F354" s="142" t="b">
        <v>0</v>
      </c>
      <c r="G354" s="142" t="b">
        <v>0</v>
      </c>
      <c r="H354" s="142" t="b">
        <v>0</v>
      </c>
      <c r="I354" s="142" t="b">
        <v>0</v>
      </c>
      <c r="J354" s="142" t="b">
        <v>0</v>
      </c>
      <c r="K354" s="142" t="b">
        <v>0</v>
      </c>
      <c r="L354" s="8" t="b">
        <v>0</v>
      </c>
    </row>
    <row r="355">
      <c r="B355" s="103"/>
      <c r="C355" s="121" t="str">
        <f t="array" ref="C355">ifs(and(isblank($A355),isblank($B355)),"", not(iserror(vlookup($A355&amp;$B355,'5) Release_Track'!$F:$F&amp;'5) Release_Track'!$G:$G,1,0))),vlookup($A355&amp;$B355,{'5) Release_Track'!$F:$F&amp;'5) Release_Track'!$G:$G,'5) Release_Track'!$H:$H},2,0), or(and(not(isblank($B355)),$B355=$B354,$A355&lt;&gt;$A354),and(not(isblank($A355)),$A355=$A354,$B355&lt;&gt;$B354)),"ID LISTS UNALIGNED",and($A355&lt;&gt;"",countif('5) Release_Track'!$F:$F,$A355)=0),"NO ISRC MATCH in Release_Track",and($B355&lt;&gt;"",countif('5) Release_Track'!$G:$G,$B355)=0),"NO CATALOG ID MATCH in Release_Track",iserror(vlookup($A355&amp;$B355,'5) Release_Track'!$F:$F&amp;'5) Release_Track'!$G:$G,1,0)),"NO ISRC-CATALOG ID pair MATCH in Release_Track" )</f>
        <v/>
      </c>
      <c r="D355" s="121" t="str">
        <f t="array" ref="D355">ifs(and(isblank($A355),isblank($B355)),"", not(iserror(vlookup($A355&amp;$B355,'5) Release_Track'!$F:$F&amp;'5) Release_Track'!$G:$G,1,0))),vlookup($A355&amp;$B355,{'5) Release_Track'!$F:$F&amp;'5) Release_Track'!$G:$G,'5) Release_Track'!$I:$I},2,0), or(and(not(isblank($B355)),$B355=$B354,$A355&lt;&gt;$A354),and(not(isblank($A355)),$A355=$A354,$B355&lt;&gt;$B354)),"ID LISTS UNALIGNED",and($A355&lt;&gt;"",countif('5) Release_Track'!$F:$F,$A355)=0),"NO ISRC MATCH in Release_Track",and($B355&lt;&gt;"",countif('5) Release_Track'!$G:$G,$B355)=0),"NO CATALOG ID MATCH in Release_Track",iserror(vlookup($A355&amp;$B355,'5) Release_Track'!$F:$F&amp;'5) Release_Track'!$G:$G,1,0)),"NO ISRC-CATALOG ID pair MATCH in Release_Track" )</f>
        <v/>
      </c>
      <c r="E355" s="142" t="b">
        <v>0</v>
      </c>
      <c r="F355" s="142" t="b">
        <v>0</v>
      </c>
      <c r="G355" s="142" t="b">
        <v>0</v>
      </c>
      <c r="H355" s="142" t="b">
        <v>0</v>
      </c>
      <c r="I355" s="142" t="b">
        <v>0</v>
      </c>
      <c r="J355" s="142" t="b">
        <v>0</v>
      </c>
      <c r="K355" s="142" t="b">
        <v>0</v>
      </c>
      <c r="L355" s="8" t="b">
        <v>0</v>
      </c>
    </row>
    <row r="356">
      <c r="B356" s="103"/>
      <c r="C356" s="121" t="str">
        <f t="array" ref="C356">ifs(and(isblank($A356),isblank($B356)),"", not(iserror(vlookup($A356&amp;$B356,'5) Release_Track'!$F:$F&amp;'5) Release_Track'!$G:$G,1,0))),vlookup($A356&amp;$B356,{'5) Release_Track'!$F:$F&amp;'5) Release_Track'!$G:$G,'5) Release_Track'!$H:$H},2,0), or(and(not(isblank($B356)),$B356=$B355,$A356&lt;&gt;$A355),and(not(isblank($A356)),$A356=$A355,$B356&lt;&gt;$B355)),"ID LISTS UNALIGNED",and($A356&lt;&gt;"",countif('5) Release_Track'!$F:$F,$A356)=0),"NO ISRC MATCH in Release_Track",and($B356&lt;&gt;"",countif('5) Release_Track'!$G:$G,$B356)=0),"NO CATALOG ID MATCH in Release_Track",iserror(vlookup($A356&amp;$B356,'5) Release_Track'!$F:$F&amp;'5) Release_Track'!$G:$G,1,0)),"NO ISRC-CATALOG ID pair MATCH in Release_Track" )</f>
        <v/>
      </c>
      <c r="D356" s="121" t="str">
        <f t="array" ref="D356">ifs(and(isblank($A356),isblank($B356)),"", not(iserror(vlookup($A356&amp;$B356,'5) Release_Track'!$F:$F&amp;'5) Release_Track'!$G:$G,1,0))),vlookup($A356&amp;$B356,{'5) Release_Track'!$F:$F&amp;'5) Release_Track'!$G:$G,'5) Release_Track'!$I:$I},2,0), or(and(not(isblank($B356)),$B356=$B355,$A356&lt;&gt;$A355),and(not(isblank($A356)),$A356=$A355,$B356&lt;&gt;$B355)),"ID LISTS UNALIGNED",and($A356&lt;&gt;"",countif('5) Release_Track'!$F:$F,$A356)=0),"NO ISRC MATCH in Release_Track",and($B356&lt;&gt;"",countif('5) Release_Track'!$G:$G,$B356)=0),"NO CATALOG ID MATCH in Release_Track",iserror(vlookup($A356&amp;$B356,'5) Release_Track'!$F:$F&amp;'5) Release_Track'!$G:$G,1,0)),"NO ISRC-CATALOG ID pair MATCH in Release_Track" )</f>
        <v/>
      </c>
      <c r="E356" s="142" t="b">
        <v>0</v>
      </c>
      <c r="F356" s="142" t="b">
        <v>0</v>
      </c>
      <c r="G356" s="142" t="b">
        <v>0</v>
      </c>
      <c r="H356" s="142" t="b">
        <v>0</v>
      </c>
      <c r="I356" s="142" t="b">
        <v>0</v>
      </c>
      <c r="J356" s="142" t="b">
        <v>0</v>
      </c>
      <c r="K356" s="142" t="b">
        <v>0</v>
      </c>
      <c r="L356" s="8" t="b">
        <v>0</v>
      </c>
    </row>
    <row r="357">
      <c r="B357" s="103"/>
      <c r="C357" s="121" t="str">
        <f t="array" ref="C357">ifs(and(isblank($A357),isblank($B357)),"", not(iserror(vlookup($A357&amp;$B357,'5) Release_Track'!$F:$F&amp;'5) Release_Track'!$G:$G,1,0))),vlookup($A357&amp;$B357,{'5) Release_Track'!$F:$F&amp;'5) Release_Track'!$G:$G,'5) Release_Track'!$H:$H},2,0), or(and(not(isblank($B357)),$B357=$B356,$A357&lt;&gt;$A356),and(not(isblank($A357)),$A357=$A356,$B357&lt;&gt;$B356)),"ID LISTS UNALIGNED",and($A357&lt;&gt;"",countif('5) Release_Track'!$F:$F,$A357)=0),"NO ISRC MATCH in Release_Track",and($B357&lt;&gt;"",countif('5) Release_Track'!$G:$G,$B357)=0),"NO CATALOG ID MATCH in Release_Track",iserror(vlookup($A357&amp;$B357,'5) Release_Track'!$F:$F&amp;'5) Release_Track'!$G:$G,1,0)),"NO ISRC-CATALOG ID pair MATCH in Release_Track" )</f>
        <v/>
      </c>
      <c r="D357" s="121" t="str">
        <f t="array" ref="D357">ifs(and(isblank($A357),isblank($B357)),"", not(iserror(vlookup($A357&amp;$B357,'5) Release_Track'!$F:$F&amp;'5) Release_Track'!$G:$G,1,0))),vlookup($A357&amp;$B357,{'5) Release_Track'!$F:$F&amp;'5) Release_Track'!$G:$G,'5) Release_Track'!$I:$I},2,0), or(and(not(isblank($B357)),$B357=$B356,$A357&lt;&gt;$A356),and(not(isblank($A357)),$A357=$A356,$B357&lt;&gt;$B356)),"ID LISTS UNALIGNED",and($A357&lt;&gt;"",countif('5) Release_Track'!$F:$F,$A357)=0),"NO ISRC MATCH in Release_Track",and($B357&lt;&gt;"",countif('5) Release_Track'!$G:$G,$B357)=0),"NO CATALOG ID MATCH in Release_Track",iserror(vlookup($A357&amp;$B357,'5) Release_Track'!$F:$F&amp;'5) Release_Track'!$G:$G,1,0)),"NO ISRC-CATALOG ID pair MATCH in Release_Track" )</f>
        <v/>
      </c>
      <c r="E357" s="142" t="b">
        <v>0</v>
      </c>
      <c r="F357" s="142" t="b">
        <v>0</v>
      </c>
      <c r="G357" s="142" t="b">
        <v>0</v>
      </c>
      <c r="H357" s="142" t="b">
        <v>0</v>
      </c>
      <c r="I357" s="142" t="b">
        <v>0</v>
      </c>
      <c r="J357" s="142" t="b">
        <v>0</v>
      </c>
      <c r="K357" s="142" t="b">
        <v>0</v>
      </c>
      <c r="L357" s="8" t="b">
        <v>0</v>
      </c>
    </row>
    <row r="358">
      <c r="B358" s="103"/>
      <c r="C358" s="121" t="str">
        <f t="array" ref="C358">ifs(and(isblank($A358),isblank($B358)),"", not(iserror(vlookup($A358&amp;$B358,'5) Release_Track'!$F:$F&amp;'5) Release_Track'!$G:$G,1,0))),vlookup($A358&amp;$B358,{'5) Release_Track'!$F:$F&amp;'5) Release_Track'!$G:$G,'5) Release_Track'!$H:$H},2,0), or(and(not(isblank($B358)),$B358=$B357,$A358&lt;&gt;$A357),and(not(isblank($A358)),$A358=$A357,$B358&lt;&gt;$B357)),"ID LISTS UNALIGNED",and($A358&lt;&gt;"",countif('5) Release_Track'!$F:$F,$A358)=0),"NO ISRC MATCH in Release_Track",and($B358&lt;&gt;"",countif('5) Release_Track'!$G:$G,$B358)=0),"NO CATALOG ID MATCH in Release_Track",iserror(vlookup($A358&amp;$B358,'5) Release_Track'!$F:$F&amp;'5) Release_Track'!$G:$G,1,0)),"NO ISRC-CATALOG ID pair MATCH in Release_Track" )</f>
        <v/>
      </c>
      <c r="D358" s="121" t="str">
        <f t="array" ref="D358">ifs(and(isblank($A358),isblank($B358)),"", not(iserror(vlookup($A358&amp;$B358,'5) Release_Track'!$F:$F&amp;'5) Release_Track'!$G:$G,1,0))),vlookup($A358&amp;$B358,{'5) Release_Track'!$F:$F&amp;'5) Release_Track'!$G:$G,'5) Release_Track'!$I:$I},2,0), or(and(not(isblank($B358)),$B358=$B357,$A358&lt;&gt;$A357),and(not(isblank($A358)),$A358=$A357,$B358&lt;&gt;$B357)),"ID LISTS UNALIGNED",and($A358&lt;&gt;"",countif('5) Release_Track'!$F:$F,$A358)=0),"NO ISRC MATCH in Release_Track",and($B358&lt;&gt;"",countif('5) Release_Track'!$G:$G,$B358)=0),"NO CATALOG ID MATCH in Release_Track",iserror(vlookup($A358&amp;$B358,'5) Release_Track'!$F:$F&amp;'5) Release_Track'!$G:$G,1,0)),"NO ISRC-CATALOG ID pair MATCH in Release_Track" )</f>
        <v/>
      </c>
      <c r="E358" s="142" t="b">
        <v>0</v>
      </c>
      <c r="F358" s="142" t="b">
        <v>0</v>
      </c>
      <c r="G358" s="142" t="b">
        <v>0</v>
      </c>
      <c r="H358" s="142" t="b">
        <v>0</v>
      </c>
      <c r="I358" s="142" t="b">
        <v>0</v>
      </c>
      <c r="J358" s="142" t="b">
        <v>0</v>
      </c>
      <c r="K358" s="142" t="b">
        <v>0</v>
      </c>
      <c r="L358" s="8" t="b">
        <v>0</v>
      </c>
    </row>
    <row r="359">
      <c r="B359" s="103"/>
      <c r="C359" s="121" t="str">
        <f t="array" ref="C359">ifs(and(isblank($A359),isblank($B359)),"", not(iserror(vlookup($A359&amp;$B359,'5) Release_Track'!$F:$F&amp;'5) Release_Track'!$G:$G,1,0))),vlookup($A359&amp;$B359,{'5) Release_Track'!$F:$F&amp;'5) Release_Track'!$G:$G,'5) Release_Track'!$H:$H},2,0), or(and(not(isblank($B359)),$B359=$B358,$A359&lt;&gt;$A358),and(not(isblank($A359)),$A359=$A358,$B359&lt;&gt;$B358)),"ID LISTS UNALIGNED",and($A359&lt;&gt;"",countif('5) Release_Track'!$F:$F,$A359)=0),"NO ISRC MATCH in Release_Track",and($B359&lt;&gt;"",countif('5) Release_Track'!$G:$G,$B359)=0),"NO CATALOG ID MATCH in Release_Track",iserror(vlookup($A359&amp;$B359,'5) Release_Track'!$F:$F&amp;'5) Release_Track'!$G:$G,1,0)),"NO ISRC-CATALOG ID pair MATCH in Release_Track" )</f>
        <v/>
      </c>
      <c r="D359" s="121" t="str">
        <f t="array" ref="D359">ifs(and(isblank($A359),isblank($B359)),"", not(iserror(vlookup($A359&amp;$B359,'5) Release_Track'!$F:$F&amp;'5) Release_Track'!$G:$G,1,0))),vlookup($A359&amp;$B359,{'5) Release_Track'!$F:$F&amp;'5) Release_Track'!$G:$G,'5) Release_Track'!$I:$I},2,0), or(and(not(isblank($B359)),$B359=$B358,$A359&lt;&gt;$A358),and(not(isblank($A359)),$A359=$A358,$B359&lt;&gt;$B358)),"ID LISTS UNALIGNED",and($A359&lt;&gt;"",countif('5) Release_Track'!$F:$F,$A359)=0),"NO ISRC MATCH in Release_Track",and($B359&lt;&gt;"",countif('5) Release_Track'!$G:$G,$B359)=0),"NO CATALOG ID MATCH in Release_Track",iserror(vlookup($A359&amp;$B359,'5) Release_Track'!$F:$F&amp;'5) Release_Track'!$G:$G,1,0)),"NO ISRC-CATALOG ID pair MATCH in Release_Track" )</f>
        <v/>
      </c>
      <c r="E359" s="142" t="b">
        <v>0</v>
      </c>
      <c r="F359" s="142" t="b">
        <v>0</v>
      </c>
      <c r="G359" s="142" t="b">
        <v>0</v>
      </c>
      <c r="H359" s="142" t="b">
        <v>0</v>
      </c>
      <c r="I359" s="142" t="b">
        <v>0</v>
      </c>
      <c r="J359" s="142" t="b">
        <v>0</v>
      </c>
      <c r="K359" s="142" t="b">
        <v>0</v>
      </c>
      <c r="L359" s="8" t="b">
        <v>0</v>
      </c>
    </row>
    <row r="360">
      <c r="B360" s="103"/>
      <c r="C360" s="121" t="str">
        <f t="array" ref="C360">ifs(and(isblank($A360),isblank($B360)),"", not(iserror(vlookup($A360&amp;$B360,'5) Release_Track'!$F:$F&amp;'5) Release_Track'!$G:$G,1,0))),vlookup($A360&amp;$B360,{'5) Release_Track'!$F:$F&amp;'5) Release_Track'!$G:$G,'5) Release_Track'!$H:$H},2,0), or(and(not(isblank($B360)),$B360=$B359,$A360&lt;&gt;$A359),and(not(isblank($A360)),$A360=$A359,$B360&lt;&gt;$B359)),"ID LISTS UNALIGNED",and($A360&lt;&gt;"",countif('5) Release_Track'!$F:$F,$A360)=0),"NO ISRC MATCH in Release_Track",and($B360&lt;&gt;"",countif('5) Release_Track'!$G:$G,$B360)=0),"NO CATALOG ID MATCH in Release_Track",iserror(vlookup($A360&amp;$B360,'5) Release_Track'!$F:$F&amp;'5) Release_Track'!$G:$G,1,0)),"NO ISRC-CATALOG ID pair MATCH in Release_Track" )</f>
        <v/>
      </c>
      <c r="D360" s="121" t="str">
        <f t="array" ref="D360">ifs(and(isblank($A360),isblank($B360)),"", not(iserror(vlookup($A360&amp;$B360,'5) Release_Track'!$F:$F&amp;'5) Release_Track'!$G:$G,1,0))),vlookup($A360&amp;$B360,{'5) Release_Track'!$F:$F&amp;'5) Release_Track'!$G:$G,'5) Release_Track'!$I:$I},2,0), or(and(not(isblank($B360)),$B360=$B359,$A360&lt;&gt;$A359),and(not(isblank($A360)),$A360=$A359,$B360&lt;&gt;$B359)),"ID LISTS UNALIGNED",and($A360&lt;&gt;"",countif('5) Release_Track'!$F:$F,$A360)=0),"NO ISRC MATCH in Release_Track",and($B360&lt;&gt;"",countif('5) Release_Track'!$G:$G,$B360)=0),"NO CATALOG ID MATCH in Release_Track",iserror(vlookup($A360&amp;$B360,'5) Release_Track'!$F:$F&amp;'5) Release_Track'!$G:$G,1,0)),"NO ISRC-CATALOG ID pair MATCH in Release_Track" )</f>
        <v/>
      </c>
      <c r="E360" s="142" t="b">
        <v>0</v>
      </c>
      <c r="F360" s="142" t="b">
        <v>0</v>
      </c>
      <c r="G360" s="142" t="b">
        <v>0</v>
      </c>
      <c r="H360" s="142" t="b">
        <v>0</v>
      </c>
      <c r="I360" s="142" t="b">
        <v>0</v>
      </c>
      <c r="J360" s="142" t="b">
        <v>0</v>
      </c>
      <c r="K360" s="142" t="b">
        <v>0</v>
      </c>
      <c r="L360" s="8" t="b">
        <v>0</v>
      </c>
    </row>
    <row r="361">
      <c r="B361" s="103"/>
      <c r="C361" s="121" t="str">
        <f t="array" ref="C361">ifs(and(isblank($A361),isblank($B361)),"", not(iserror(vlookup($A361&amp;$B361,'5) Release_Track'!$F:$F&amp;'5) Release_Track'!$G:$G,1,0))),vlookup($A361&amp;$B361,{'5) Release_Track'!$F:$F&amp;'5) Release_Track'!$G:$G,'5) Release_Track'!$H:$H},2,0), or(and(not(isblank($B361)),$B361=$B360,$A361&lt;&gt;$A360),and(not(isblank($A361)),$A361=$A360,$B361&lt;&gt;$B360)),"ID LISTS UNALIGNED",and($A361&lt;&gt;"",countif('5) Release_Track'!$F:$F,$A361)=0),"NO ISRC MATCH in Release_Track",and($B361&lt;&gt;"",countif('5) Release_Track'!$G:$G,$B361)=0),"NO CATALOG ID MATCH in Release_Track",iserror(vlookup($A361&amp;$B361,'5) Release_Track'!$F:$F&amp;'5) Release_Track'!$G:$G,1,0)),"NO ISRC-CATALOG ID pair MATCH in Release_Track" )</f>
        <v/>
      </c>
      <c r="D361" s="121" t="str">
        <f t="array" ref="D361">ifs(and(isblank($A361),isblank($B361)),"", not(iserror(vlookup($A361&amp;$B361,'5) Release_Track'!$F:$F&amp;'5) Release_Track'!$G:$G,1,0))),vlookup($A361&amp;$B361,{'5) Release_Track'!$F:$F&amp;'5) Release_Track'!$G:$G,'5) Release_Track'!$I:$I},2,0), or(and(not(isblank($B361)),$B361=$B360,$A361&lt;&gt;$A360),and(not(isblank($A361)),$A361=$A360,$B361&lt;&gt;$B360)),"ID LISTS UNALIGNED",and($A361&lt;&gt;"",countif('5) Release_Track'!$F:$F,$A361)=0),"NO ISRC MATCH in Release_Track",and($B361&lt;&gt;"",countif('5) Release_Track'!$G:$G,$B361)=0),"NO CATALOG ID MATCH in Release_Track",iserror(vlookup($A361&amp;$B361,'5) Release_Track'!$F:$F&amp;'5) Release_Track'!$G:$G,1,0)),"NO ISRC-CATALOG ID pair MATCH in Release_Track" )</f>
        <v/>
      </c>
      <c r="E361" s="142" t="b">
        <v>0</v>
      </c>
      <c r="F361" s="142" t="b">
        <v>0</v>
      </c>
      <c r="G361" s="142" t="b">
        <v>0</v>
      </c>
      <c r="H361" s="142" t="b">
        <v>0</v>
      </c>
      <c r="I361" s="142" t="b">
        <v>0</v>
      </c>
      <c r="J361" s="142" t="b">
        <v>0</v>
      </c>
      <c r="K361" s="142" t="b">
        <v>0</v>
      </c>
      <c r="L361" s="8" t="b">
        <v>0</v>
      </c>
    </row>
    <row r="362">
      <c r="B362" s="103"/>
      <c r="C362" s="121" t="str">
        <f t="array" ref="C362">ifs(and(isblank($A362),isblank($B362)),"", not(iserror(vlookup($A362&amp;$B362,'5) Release_Track'!$F:$F&amp;'5) Release_Track'!$G:$G,1,0))),vlookup($A362&amp;$B362,{'5) Release_Track'!$F:$F&amp;'5) Release_Track'!$G:$G,'5) Release_Track'!$H:$H},2,0), or(and(not(isblank($B362)),$B362=$B361,$A362&lt;&gt;$A361),and(not(isblank($A362)),$A362=$A361,$B362&lt;&gt;$B361)),"ID LISTS UNALIGNED",and($A362&lt;&gt;"",countif('5) Release_Track'!$F:$F,$A362)=0),"NO ISRC MATCH in Release_Track",and($B362&lt;&gt;"",countif('5) Release_Track'!$G:$G,$B362)=0),"NO CATALOG ID MATCH in Release_Track",iserror(vlookup($A362&amp;$B362,'5) Release_Track'!$F:$F&amp;'5) Release_Track'!$G:$G,1,0)),"NO ISRC-CATALOG ID pair MATCH in Release_Track" )</f>
        <v/>
      </c>
      <c r="D362" s="121" t="str">
        <f t="array" ref="D362">ifs(and(isblank($A362),isblank($B362)),"", not(iserror(vlookup($A362&amp;$B362,'5) Release_Track'!$F:$F&amp;'5) Release_Track'!$G:$G,1,0))),vlookup($A362&amp;$B362,{'5) Release_Track'!$F:$F&amp;'5) Release_Track'!$G:$G,'5) Release_Track'!$I:$I},2,0), or(and(not(isblank($B362)),$B362=$B361,$A362&lt;&gt;$A361),and(not(isblank($A362)),$A362=$A361,$B362&lt;&gt;$B361)),"ID LISTS UNALIGNED",and($A362&lt;&gt;"",countif('5) Release_Track'!$F:$F,$A362)=0),"NO ISRC MATCH in Release_Track",and($B362&lt;&gt;"",countif('5) Release_Track'!$G:$G,$B362)=0),"NO CATALOG ID MATCH in Release_Track",iserror(vlookup($A362&amp;$B362,'5) Release_Track'!$F:$F&amp;'5) Release_Track'!$G:$G,1,0)),"NO ISRC-CATALOG ID pair MATCH in Release_Track" )</f>
        <v/>
      </c>
      <c r="E362" s="142" t="b">
        <v>0</v>
      </c>
      <c r="F362" s="142" t="b">
        <v>0</v>
      </c>
      <c r="G362" s="142" t="b">
        <v>0</v>
      </c>
      <c r="H362" s="142" t="b">
        <v>0</v>
      </c>
      <c r="I362" s="142" t="b">
        <v>0</v>
      </c>
      <c r="J362" s="142" t="b">
        <v>0</v>
      </c>
      <c r="K362" s="142" t="b">
        <v>0</v>
      </c>
      <c r="L362" s="8" t="b">
        <v>0</v>
      </c>
    </row>
    <row r="363">
      <c r="B363" s="103"/>
      <c r="C363" s="121" t="str">
        <f t="array" ref="C363">ifs(and(isblank($A363),isblank($B363)),"", not(iserror(vlookup($A363&amp;$B363,'5) Release_Track'!$F:$F&amp;'5) Release_Track'!$G:$G,1,0))),vlookup($A363&amp;$B363,{'5) Release_Track'!$F:$F&amp;'5) Release_Track'!$G:$G,'5) Release_Track'!$H:$H},2,0), or(and(not(isblank($B363)),$B363=$B362,$A363&lt;&gt;$A362),and(not(isblank($A363)),$A363=$A362,$B363&lt;&gt;$B362)),"ID LISTS UNALIGNED",and($A363&lt;&gt;"",countif('5) Release_Track'!$F:$F,$A363)=0),"NO ISRC MATCH in Release_Track",and($B363&lt;&gt;"",countif('5) Release_Track'!$G:$G,$B363)=0),"NO CATALOG ID MATCH in Release_Track",iserror(vlookup($A363&amp;$B363,'5) Release_Track'!$F:$F&amp;'5) Release_Track'!$G:$G,1,0)),"NO ISRC-CATALOG ID pair MATCH in Release_Track" )</f>
        <v/>
      </c>
      <c r="D363" s="121" t="str">
        <f t="array" ref="D363">ifs(and(isblank($A363),isblank($B363)),"", not(iserror(vlookup($A363&amp;$B363,'5) Release_Track'!$F:$F&amp;'5) Release_Track'!$G:$G,1,0))),vlookup($A363&amp;$B363,{'5) Release_Track'!$F:$F&amp;'5) Release_Track'!$G:$G,'5) Release_Track'!$I:$I},2,0), or(and(not(isblank($B363)),$B363=$B362,$A363&lt;&gt;$A362),and(not(isblank($A363)),$A363=$A362,$B363&lt;&gt;$B362)),"ID LISTS UNALIGNED",and($A363&lt;&gt;"",countif('5) Release_Track'!$F:$F,$A363)=0),"NO ISRC MATCH in Release_Track",and($B363&lt;&gt;"",countif('5) Release_Track'!$G:$G,$B363)=0),"NO CATALOG ID MATCH in Release_Track",iserror(vlookup($A363&amp;$B363,'5) Release_Track'!$F:$F&amp;'5) Release_Track'!$G:$G,1,0)),"NO ISRC-CATALOG ID pair MATCH in Release_Track" )</f>
        <v/>
      </c>
      <c r="E363" s="142" t="b">
        <v>0</v>
      </c>
      <c r="F363" s="142" t="b">
        <v>0</v>
      </c>
      <c r="G363" s="142" t="b">
        <v>0</v>
      </c>
      <c r="H363" s="142" t="b">
        <v>0</v>
      </c>
      <c r="I363" s="142" t="b">
        <v>0</v>
      </c>
      <c r="J363" s="142" t="b">
        <v>0</v>
      </c>
      <c r="K363" s="142" t="b">
        <v>0</v>
      </c>
      <c r="L363" s="8" t="b">
        <v>0</v>
      </c>
    </row>
    <row r="364">
      <c r="B364" s="103"/>
      <c r="C364" s="121" t="str">
        <f t="array" ref="C364">ifs(and(isblank($A364),isblank($B364)),"", not(iserror(vlookup($A364&amp;$B364,'5) Release_Track'!$F:$F&amp;'5) Release_Track'!$G:$G,1,0))),vlookup($A364&amp;$B364,{'5) Release_Track'!$F:$F&amp;'5) Release_Track'!$G:$G,'5) Release_Track'!$H:$H},2,0), or(and(not(isblank($B364)),$B364=$B363,$A364&lt;&gt;$A363),and(not(isblank($A364)),$A364=$A363,$B364&lt;&gt;$B363)),"ID LISTS UNALIGNED",and($A364&lt;&gt;"",countif('5) Release_Track'!$F:$F,$A364)=0),"NO ISRC MATCH in Release_Track",and($B364&lt;&gt;"",countif('5) Release_Track'!$G:$G,$B364)=0),"NO CATALOG ID MATCH in Release_Track",iserror(vlookup($A364&amp;$B364,'5) Release_Track'!$F:$F&amp;'5) Release_Track'!$G:$G,1,0)),"NO ISRC-CATALOG ID pair MATCH in Release_Track" )</f>
        <v/>
      </c>
      <c r="D364" s="121" t="str">
        <f t="array" ref="D364">ifs(and(isblank($A364),isblank($B364)),"", not(iserror(vlookup($A364&amp;$B364,'5) Release_Track'!$F:$F&amp;'5) Release_Track'!$G:$G,1,0))),vlookup($A364&amp;$B364,{'5) Release_Track'!$F:$F&amp;'5) Release_Track'!$G:$G,'5) Release_Track'!$I:$I},2,0), or(and(not(isblank($B364)),$B364=$B363,$A364&lt;&gt;$A363),and(not(isblank($A364)),$A364=$A363,$B364&lt;&gt;$B363)),"ID LISTS UNALIGNED",and($A364&lt;&gt;"",countif('5) Release_Track'!$F:$F,$A364)=0),"NO ISRC MATCH in Release_Track",and($B364&lt;&gt;"",countif('5) Release_Track'!$G:$G,$B364)=0),"NO CATALOG ID MATCH in Release_Track",iserror(vlookup($A364&amp;$B364,'5) Release_Track'!$F:$F&amp;'5) Release_Track'!$G:$G,1,0)),"NO ISRC-CATALOG ID pair MATCH in Release_Track" )</f>
        <v/>
      </c>
      <c r="E364" s="142" t="b">
        <v>0</v>
      </c>
      <c r="F364" s="142" t="b">
        <v>0</v>
      </c>
      <c r="G364" s="142" t="b">
        <v>0</v>
      </c>
      <c r="H364" s="142" t="b">
        <v>0</v>
      </c>
      <c r="I364" s="142" t="b">
        <v>0</v>
      </c>
      <c r="J364" s="142" t="b">
        <v>0</v>
      </c>
      <c r="K364" s="142" t="b">
        <v>0</v>
      </c>
      <c r="L364" s="8" t="b">
        <v>0</v>
      </c>
    </row>
    <row r="365">
      <c r="B365" s="103"/>
      <c r="C365" s="121" t="str">
        <f t="array" ref="C365">ifs(and(isblank($A365),isblank($B365)),"", not(iserror(vlookup($A365&amp;$B365,'5) Release_Track'!$F:$F&amp;'5) Release_Track'!$G:$G,1,0))),vlookup($A365&amp;$B365,{'5) Release_Track'!$F:$F&amp;'5) Release_Track'!$G:$G,'5) Release_Track'!$H:$H},2,0), or(and(not(isblank($B365)),$B365=$B364,$A365&lt;&gt;$A364),and(not(isblank($A365)),$A365=$A364,$B365&lt;&gt;$B364)),"ID LISTS UNALIGNED",and($A365&lt;&gt;"",countif('5) Release_Track'!$F:$F,$A365)=0),"NO ISRC MATCH in Release_Track",and($B365&lt;&gt;"",countif('5) Release_Track'!$G:$G,$B365)=0),"NO CATALOG ID MATCH in Release_Track",iserror(vlookup($A365&amp;$B365,'5) Release_Track'!$F:$F&amp;'5) Release_Track'!$G:$G,1,0)),"NO ISRC-CATALOG ID pair MATCH in Release_Track" )</f>
        <v/>
      </c>
      <c r="D365" s="121" t="str">
        <f t="array" ref="D365">ifs(and(isblank($A365),isblank($B365)),"", not(iserror(vlookup($A365&amp;$B365,'5) Release_Track'!$F:$F&amp;'5) Release_Track'!$G:$G,1,0))),vlookup($A365&amp;$B365,{'5) Release_Track'!$F:$F&amp;'5) Release_Track'!$G:$G,'5) Release_Track'!$I:$I},2,0), or(and(not(isblank($B365)),$B365=$B364,$A365&lt;&gt;$A364),and(not(isblank($A365)),$A365=$A364,$B365&lt;&gt;$B364)),"ID LISTS UNALIGNED",and($A365&lt;&gt;"",countif('5) Release_Track'!$F:$F,$A365)=0),"NO ISRC MATCH in Release_Track",and($B365&lt;&gt;"",countif('5) Release_Track'!$G:$G,$B365)=0),"NO CATALOG ID MATCH in Release_Track",iserror(vlookup($A365&amp;$B365,'5) Release_Track'!$F:$F&amp;'5) Release_Track'!$G:$G,1,0)),"NO ISRC-CATALOG ID pair MATCH in Release_Track" )</f>
        <v/>
      </c>
      <c r="E365" s="142" t="b">
        <v>0</v>
      </c>
      <c r="F365" s="142" t="b">
        <v>0</v>
      </c>
      <c r="G365" s="142" t="b">
        <v>0</v>
      </c>
      <c r="H365" s="142" t="b">
        <v>0</v>
      </c>
      <c r="I365" s="142" t="b">
        <v>0</v>
      </c>
      <c r="J365" s="142" t="b">
        <v>0</v>
      </c>
      <c r="K365" s="142" t="b">
        <v>0</v>
      </c>
      <c r="L365" s="8" t="b">
        <v>0</v>
      </c>
    </row>
    <row r="366">
      <c r="B366" s="103"/>
      <c r="C366" s="121" t="str">
        <f t="array" ref="C366">ifs(and(isblank($A366),isblank($B366)),"", not(iserror(vlookup($A366&amp;$B366,'5) Release_Track'!$F:$F&amp;'5) Release_Track'!$G:$G,1,0))),vlookup($A366&amp;$B366,{'5) Release_Track'!$F:$F&amp;'5) Release_Track'!$G:$G,'5) Release_Track'!$H:$H},2,0), or(and(not(isblank($B366)),$B366=$B365,$A366&lt;&gt;$A365),and(not(isblank($A366)),$A366=$A365,$B366&lt;&gt;$B365)),"ID LISTS UNALIGNED",and($A366&lt;&gt;"",countif('5) Release_Track'!$F:$F,$A366)=0),"NO ISRC MATCH in Release_Track",and($B366&lt;&gt;"",countif('5) Release_Track'!$G:$G,$B366)=0),"NO CATALOG ID MATCH in Release_Track",iserror(vlookup($A366&amp;$B366,'5) Release_Track'!$F:$F&amp;'5) Release_Track'!$G:$G,1,0)),"NO ISRC-CATALOG ID pair MATCH in Release_Track" )</f>
        <v/>
      </c>
      <c r="D366" s="121" t="str">
        <f t="array" ref="D366">ifs(and(isblank($A366),isblank($B366)),"", not(iserror(vlookup($A366&amp;$B366,'5) Release_Track'!$F:$F&amp;'5) Release_Track'!$G:$G,1,0))),vlookup($A366&amp;$B366,{'5) Release_Track'!$F:$F&amp;'5) Release_Track'!$G:$G,'5) Release_Track'!$I:$I},2,0), or(and(not(isblank($B366)),$B366=$B365,$A366&lt;&gt;$A365),and(not(isblank($A366)),$A366=$A365,$B366&lt;&gt;$B365)),"ID LISTS UNALIGNED",and($A366&lt;&gt;"",countif('5) Release_Track'!$F:$F,$A366)=0),"NO ISRC MATCH in Release_Track",and($B366&lt;&gt;"",countif('5) Release_Track'!$G:$G,$B366)=0),"NO CATALOG ID MATCH in Release_Track",iserror(vlookup($A366&amp;$B366,'5) Release_Track'!$F:$F&amp;'5) Release_Track'!$G:$G,1,0)),"NO ISRC-CATALOG ID pair MATCH in Release_Track" )</f>
        <v/>
      </c>
      <c r="E366" s="142" t="b">
        <v>0</v>
      </c>
      <c r="F366" s="142" t="b">
        <v>0</v>
      </c>
      <c r="G366" s="142" t="b">
        <v>0</v>
      </c>
      <c r="H366" s="142" t="b">
        <v>0</v>
      </c>
      <c r="I366" s="142" t="b">
        <v>0</v>
      </c>
      <c r="J366" s="142" t="b">
        <v>0</v>
      </c>
      <c r="K366" s="142" t="b">
        <v>0</v>
      </c>
      <c r="L366" s="8" t="b">
        <v>0</v>
      </c>
    </row>
    <row r="367">
      <c r="B367" s="103"/>
      <c r="C367" s="121" t="str">
        <f t="array" ref="C367">ifs(and(isblank($A367),isblank($B367)),"", not(iserror(vlookup($A367&amp;$B367,'5) Release_Track'!$F:$F&amp;'5) Release_Track'!$G:$G,1,0))),vlookup($A367&amp;$B367,{'5) Release_Track'!$F:$F&amp;'5) Release_Track'!$G:$G,'5) Release_Track'!$H:$H},2,0), or(and(not(isblank($B367)),$B367=$B366,$A367&lt;&gt;$A366),and(not(isblank($A367)),$A367=$A366,$B367&lt;&gt;$B366)),"ID LISTS UNALIGNED",and($A367&lt;&gt;"",countif('5) Release_Track'!$F:$F,$A367)=0),"NO ISRC MATCH in Release_Track",and($B367&lt;&gt;"",countif('5) Release_Track'!$G:$G,$B367)=0),"NO CATALOG ID MATCH in Release_Track",iserror(vlookup($A367&amp;$B367,'5) Release_Track'!$F:$F&amp;'5) Release_Track'!$G:$G,1,0)),"NO ISRC-CATALOG ID pair MATCH in Release_Track" )</f>
        <v/>
      </c>
      <c r="D367" s="121" t="str">
        <f t="array" ref="D367">ifs(and(isblank($A367),isblank($B367)),"", not(iserror(vlookup($A367&amp;$B367,'5) Release_Track'!$F:$F&amp;'5) Release_Track'!$G:$G,1,0))),vlookup($A367&amp;$B367,{'5) Release_Track'!$F:$F&amp;'5) Release_Track'!$G:$G,'5) Release_Track'!$I:$I},2,0), or(and(not(isblank($B367)),$B367=$B366,$A367&lt;&gt;$A366),and(not(isblank($A367)),$A367=$A366,$B367&lt;&gt;$B366)),"ID LISTS UNALIGNED",and($A367&lt;&gt;"",countif('5) Release_Track'!$F:$F,$A367)=0),"NO ISRC MATCH in Release_Track",and($B367&lt;&gt;"",countif('5) Release_Track'!$G:$G,$B367)=0),"NO CATALOG ID MATCH in Release_Track",iserror(vlookup($A367&amp;$B367,'5) Release_Track'!$F:$F&amp;'5) Release_Track'!$G:$G,1,0)),"NO ISRC-CATALOG ID pair MATCH in Release_Track" )</f>
        <v/>
      </c>
      <c r="E367" s="142" t="b">
        <v>0</v>
      </c>
      <c r="F367" s="142" t="b">
        <v>0</v>
      </c>
      <c r="G367" s="142" t="b">
        <v>0</v>
      </c>
      <c r="H367" s="142" t="b">
        <v>0</v>
      </c>
      <c r="I367" s="142" t="b">
        <v>0</v>
      </c>
      <c r="J367" s="142" t="b">
        <v>0</v>
      </c>
      <c r="K367" s="142" t="b">
        <v>0</v>
      </c>
      <c r="L367" s="8" t="b">
        <v>0</v>
      </c>
    </row>
    <row r="368">
      <c r="B368" s="103"/>
      <c r="C368" s="121" t="str">
        <f t="array" ref="C368">ifs(and(isblank($A368),isblank($B368)),"", not(iserror(vlookup($A368&amp;$B368,'5) Release_Track'!$F:$F&amp;'5) Release_Track'!$G:$G,1,0))),vlookup($A368&amp;$B368,{'5) Release_Track'!$F:$F&amp;'5) Release_Track'!$G:$G,'5) Release_Track'!$H:$H},2,0), or(and(not(isblank($B368)),$B368=$B367,$A368&lt;&gt;$A367),and(not(isblank($A368)),$A368=$A367,$B368&lt;&gt;$B367)),"ID LISTS UNALIGNED",and($A368&lt;&gt;"",countif('5) Release_Track'!$F:$F,$A368)=0),"NO ISRC MATCH in Release_Track",and($B368&lt;&gt;"",countif('5) Release_Track'!$G:$G,$B368)=0),"NO CATALOG ID MATCH in Release_Track",iserror(vlookup($A368&amp;$B368,'5) Release_Track'!$F:$F&amp;'5) Release_Track'!$G:$G,1,0)),"NO ISRC-CATALOG ID pair MATCH in Release_Track" )</f>
        <v/>
      </c>
      <c r="D368" s="121" t="str">
        <f t="array" ref="D368">ifs(and(isblank($A368),isblank($B368)),"", not(iserror(vlookup($A368&amp;$B368,'5) Release_Track'!$F:$F&amp;'5) Release_Track'!$G:$G,1,0))),vlookup($A368&amp;$B368,{'5) Release_Track'!$F:$F&amp;'5) Release_Track'!$G:$G,'5) Release_Track'!$I:$I},2,0), or(and(not(isblank($B368)),$B368=$B367,$A368&lt;&gt;$A367),and(not(isblank($A368)),$A368=$A367,$B368&lt;&gt;$B367)),"ID LISTS UNALIGNED",and($A368&lt;&gt;"",countif('5) Release_Track'!$F:$F,$A368)=0),"NO ISRC MATCH in Release_Track",and($B368&lt;&gt;"",countif('5) Release_Track'!$G:$G,$B368)=0),"NO CATALOG ID MATCH in Release_Track",iserror(vlookup($A368&amp;$B368,'5) Release_Track'!$F:$F&amp;'5) Release_Track'!$G:$G,1,0)),"NO ISRC-CATALOG ID pair MATCH in Release_Track" )</f>
        <v/>
      </c>
      <c r="E368" s="142" t="b">
        <v>0</v>
      </c>
      <c r="F368" s="142" t="b">
        <v>0</v>
      </c>
      <c r="G368" s="142" t="b">
        <v>0</v>
      </c>
      <c r="H368" s="142" t="b">
        <v>0</v>
      </c>
      <c r="I368" s="142" t="b">
        <v>0</v>
      </c>
      <c r="J368" s="142" t="b">
        <v>0</v>
      </c>
      <c r="K368" s="142" t="b">
        <v>0</v>
      </c>
      <c r="L368" s="8" t="b">
        <v>0</v>
      </c>
    </row>
    <row r="369">
      <c r="B369" s="103"/>
      <c r="C369" s="121" t="str">
        <f t="array" ref="C369">ifs(and(isblank($A369),isblank($B369)),"", not(iserror(vlookup($A369&amp;$B369,'5) Release_Track'!$F:$F&amp;'5) Release_Track'!$G:$G,1,0))),vlookup($A369&amp;$B369,{'5) Release_Track'!$F:$F&amp;'5) Release_Track'!$G:$G,'5) Release_Track'!$H:$H},2,0), or(and(not(isblank($B369)),$B369=$B368,$A369&lt;&gt;$A368),and(not(isblank($A369)),$A369=$A368,$B369&lt;&gt;$B368)),"ID LISTS UNALIGNED",and($A369&lt;&gt;"",countif('5) Release_Track'!$F:$F,$A369)=0),"NO ISRC MATCH in Release_Track",and($B369&lt;&gt;"",countif('5) Release_Track'!$G:$G,$B369)=0),"NO CATALOG ID MATCH in Release_Track",iserror(vlookup($A369&amp;$B369,'5) Release_Track'!$F:$F&amp;'5) Release_Track'!$G:$G,1,0)),"NO ISRC-CATALOG ID pair MATCH in Release_Track" )</f>
        <v/>
      </c>
      <c r="D369" s="121" t="str">
        <f t="array" ref="D369">ifs(and(isblank($A369),isblank($B369)),"", not(iserror(vlookup($A369&amp;$B369,'5) Release_Track'!$F:$F&amp;'5) Release_Track'!$G:$G,1,0))),vlookup($A369&amp;$B369,{'5) Release_Track'!$F:$F&amp;'5) Release_Track'!$G:$G,'5) Release_Track'!$I:$I},2,0), or(and(not(isblank($B369)),$B369=$B368,$A369&lt;&gt;$A368),and(not(isblank($A369)),$A369=$A368,$B369&lt;&gt;$B368)),"ID LISTS UNALIGNED",and($A369&lt;&gt;"",countif('5) Release_Track'!$F:$F,$A369)=0),"NO ISRC MATCH in Release_Track",and($B369&lt;&gt;"",countif('5) Release_Track'!$G:$G,$B369)=0),"NO CATALOG ID MATCH in Release_Track",iserror(vlookup($A369&amp;$B369,'5) Release_Track'!$F:$F&amp;'5) Release_Track'!$G:$G,1,0)),"NO ISRC-CATALOG ID pair MATCH in Release_Track" )</f>
        <v/>
      </c>
      <c r="E369" s="142" t="b">
        <v>0</v>
      </c>
      <c r="F369" s="142" t="b">
        <v>0</v>
      </c>
      <c r="G369" s="142" t="b">
        <v>0</v>
      </c>
      <c r="H369" s="142" t="b">
        <v>0</v>
      </c>
      <c r="I369" s="142" t="b">
        <v>0</v>
      </c>
      <c r="J369" s="142" t="b">
        <v>0</v>
      </c>
      <c r="K369" s="142" t="b">
        <v>0</v>
      </c>
      <c r="L369" s="8" t="b">
        <v>0</v>
      </c>
    </row>
    <row r="370">
      <c r="B370" s="103"/>
      <c r="C370" s="121" t="str">
        <f t="array" ref="C370">ifs(and(isblank($A370),isblank($B370)),"", not(iserror(vlookup($A370&amp;$B370,'5) Release_Track'!$F:$F&amp;'5) Release_Track'!$G:$G,1,0))),vlookup($A370&amp;$B370,{'5) Release_Track'!$F:$F&amp;'5) Release_Track'!$G:$G,'5) Release_Track'!$H:$H},2,0), or(and(not(isblank($B370)),$B370=$B369,$A370&lt;&gt;$A369),and(not(isblank($A370)),$A370=$A369,$B370&lt;&gt;$B369)),"ID LISTS UNALIGNED",and($A370&lt;&gt;"",countif('5) Release_Track'!$F:$F,$A370)=0),"NO ISRC MATCH in Release_Track",and($B370&lt;&gt;"",countif('5) Release_Track'!$G:$G,$B370)=0),"NO CATALOG ID MATCH in Release_Track",iserror(vlookup($A370&amp;$B370,'5) Release_Track'!$F:$F&amp;'5) Release_Track'!$G:$G,1,0)),"NO ISRC-CATALOG ID pair MATCH in Release_Track" )</f>
        <v/>
      </c>
      <c r="D370" s="121" t="str">
        <f t="array" ref="D370">ifs(and(isblank($A370),isblank($B370)),"", not(iserror(vlookup($A370&amp;$B370,'5) Release_Track'!$F:$F&amp;'5) Release_Track'!$G:$G,1,0))),vlookup($A370&amp;$B370,{'5) Release_Track'!$F:$F&amp;'5) Release_Track'!$G:$G,'5) Release_Track'!$I:$I},2,0), or(and(not(isblank($B370)),$B370=$B369,$A370&lt;&gt;$A369),and(not(isblank($A370)),$A370=$A369,$B370&lt;&gt;$B369)),"ID LISTS UNALIGNED",and($A370&lt;&gt;"",countif('5) Release_Track'!$F:$F,$A370)=0),"NO ISRC MATCH in Release_Track",and($B370&lt;&gt;"",countif('5) Release_Track'!$G:$G,$B370)=0),"NO CATALOG ID MATCH in Release_Track",iserror(vlookup($A370&amp;$B370,'5) Release_Track'!$F:$F&amp;'5) Release_Track'!$G:$G,1,0)),"NO ISRC-CATALOG ID pair MATCH in Release_Track" )</f>
        <v/>
      </c>
      <c r="E370" s="142" t="b">
        <v>0</v>
      </c>
      <c r="F370" s="142" t="b">
        <v>0</v>
      </c>
      <c r="G370" s="142" t="b">
        <v>0</v>
      </c>
      <c r="H370" s="142" t="b">
        <v>0</v>
      </c>
      <c r="I370" s="142" t="b">
        <v>0</v>
      </c>
      <c r="J370" s="142" t="b">
        <v>0</v>
      </c>
      <c r="K370" s="142" t="b">
        <v>0</v>
      </c>
      <c r="L370" s="8" t="b">
        <v>0</v>
      </c>
    </row>
    <row r="371">
      <c r="B371" s="103"/>
      <c r="C371" s="121" t="str">
        <f t="array" ref="C371">ifs(and(isblank($A371),isblank($B371)),"", not(iserror(vlookup($A371&amp;$B371,'5) Release_Track'!$F:$F&amp;'5) Release_Track'!$G:$G,1,0))),vlookup($A371&amp;$B371,{'5) Release_Track'!$F:$F&amp;'5) Release_Track'!$G:$G,'5) Release_Track'!$H:$H},2,0), or(and(not(isblank($B371)),$B371=$B370,$A371&lt;&gt;$A370),and(not(isblank($A371)),$A371=$A370,$B371&lt;&gt;$B370)),"ID LISTS UNALIGNED",and($A371&lt;&gt;"",countif('5) Release_Track'!$F:$F,$A371)=0),"NO ISRC MATCH in Release_Track",and($B371&lt;&gt;"",countif('5) Release_Track'!$G:$G,$B371)=0),"NO CATALOG ID MATCH in Release_Track",iserror(vlookup($A371&amp;$B371,'5) Release_Track'!$F:$F&amp;'5) Release_Track'!$G:$G,1,0)),"NO ISRC-CATALOG ID pair MATCH in Release_Track" )</f>
        <v/>
      </c>
      <c r="D371" s="121" t="str">
        <f t="array" ref="D371">ifs(and(isblank($A371),isblank($B371)),"", not(iserror(vlookup($A371&amp;$B371,'5) Release_Track'!$F:$F&amp;'5) Release_Track'!$G:$G,1,0))),vlookup($A371&amp;$B371,{'5) Release_Track'!$F:$F&amp;'5) Release_Track'!$G:$G,'5) Release_Track'!$I:$I},2,0), or(and(not(isblank($B371)),$B371=$B370,$A371&lt;&gt;$A370),and(not(isblank($A371)),$A371=$A370,$B371&lt;&gt;$B370)),"ID LISTS UNALIGNED",and($A371&lt;&gt;"",countif('5) Release_Track'!$F:$F,$A371)=0),"NO ISRC MATCH in Release_Track",and($B371&lt;&gt;"",countif('5) Release_Track'!$G:$G,$B371)=0),"NO CATALOG ID MATCH in Release_Track",iserror(vlookup($A371&amp;$B371,'5) Release_Track'!$F:$F&amp;'5) Release_Track'!$G:$G,1,0)),"NO ISRC-CATALOG ID pair MATCH in Release_Track" )</f>
        <v/>
      </c>
      <c r="E371" s="142" t="b">
        <v>0</v>
      </c>
      <c r="F371" s="142" t="b">
        <v>0</v>
      </c>
      <c r="G371" s="142" t="b">
        <v>0</v>
      </c>
      <c r="H371" s="142" t="b">
        <v>0</v>
      </c>
      <c r="I371" s="142" t="b">
        <v>0</v>
      </c>
      <c r="J371" s="142" t="b">
        <v>0</v>
      </c>
      <c r="K371" s="142" t="b">
        <v>0</v>
      </c>
      <c r="L371" s="8" t="b">
        <v>0</v>
      </c>
    </row>
    <row r="372">
      <c r="B372" s="103"/>
      <c r="C372" s="121" t="str">
        <f t="array" ref="C372">ifs(and(isblank($A372),isblank($B372)),"", not(iserror(vlookup($A372&amp;$B372,'5) Release_Track'!$F:$F&amp;'5) Release_Track'!$G:$G,1,0))),vlookup($A372&amp;$B372,{'5) Release_Track'!$F:$F&amp;'5) Release_Track'!$G:$G,'5) Release_Track'!$H:$H},2,0), or(and(not(isblank($B372)),$B372=$B371,$A372&lt;&gt;$A371),and(not(isblank($A372)),$A372=$A371,$B372&lt;&gt;$B371)),"ID LISTS UNALIGNED",and($A372&lt;&gt;"",countif('5) Release_Track'!$F:$F,$A372)=0),"NO ISRC MATCH in Release_Track",and($B372&lt;&gt;"",countif('5) Release_Track'!$G:$G,$B372)=0),"NO CATALOG ID MATCH in Release_Track",iserror(vlookup($A372&amp;$B372,'5) Release_Track'!$F:$F&amp;'5) Release_Track'!$G:$G,1,0)),"NO ISRC-CATALOG ID pair MATCH in Release_Track" )</f>
        <v/>
      </c>
      <c r="D372" s="121" t="str">
        <f t="array" ref="D372">ifs(and(isblank($A372),isblank($B372)),"", not(iserror(vlookup($A372&amp;$B372,'5) Release_Track'!$F:$F&amp;'5) Release_Track'!$G:$G,1,0))),vlookup($A372&amp;$B372,{'5) Release_Track'!$F:$F&amp;'5) Release_Track'!$G:$G,'5) Release_Track'!$I:$I},2,0), or(and(not(isblank($B372)),$B372=$B371,$A372&lt;&gt;$A371),and(not(isblank($A372)),$A372=$A371,$B372&lt;&gt;$B371)),"ID LISTS UNALIGNED",and($A372&lt;&gt;"",countif('5) Release_Track'!$F:$F,$A372)=0),"NO ISRC MATCH in Release_Track",and($B372&lt;&gt;"",countif('5) Release_Track'!$G:$G,$B372)=0),"NO CATALOG ID MATCH in Release_Track",iserror(vlookup($A372&amp;$B372,'5) Release_Track'!$F:$F&amp;'5) Release_Track'!$G:$G,1,0)),"NO ISRC-CATALOG ID pair MATCH in Release_Track" )</f>
        <v/>
      </c>
      <c r="E372" s="142" t="b">
        <v>0</v>
      </c>
      <c r="F372" s="142" t="b">
        <v>0</v>
      </c>
      <c r="G372" s="142" t="b">
        <v>0</v>
      </c>
      <c r="H372" s="142" t="b">
        <v>0</v>
      </c>
      <c r="I372" s="142" t="b">
        <v>0</v>
      </c>
      <c r="J372" s="142" t="b">
        <v>0</v>
      </c>
      <c r="K372" s="142" t="b">
        <v>0</v>
      </c>
      <c r="L372" s="8" t="b">
        <v>0</v>
      </c>
    </row>
    <row r="373">
      <c r="B373" s="103"/>
      <c r="C373" s="121" t="str">
        <f t="array" ref="C373">ifs(and(isblank($A373),isblank($B373)),"", not(iserror(vlookup($A373&amp;$B373,'5) Release_Track'!$F:$F&amp;'5) Release_Track'!$G:$G,1,0))),vlookup($A373&amp;$B373,{'5) Release_Track'!$F:$F&amp;'5) Release_Track'!$G:$G,'5) Release_Track'!$H:$H},2,0), or(and(not(isblank($B373)),$B373=$B372,$A373&lt;&gt;$A372),and(not(isblank($A373)),$A373=$A372,$B373&lt;&gt;$B372)),"ID LISTS UNALIGNED",and($A373&lt;&gt;"",countif('5) Release_Track'!$F:$F,$A373)=0),"NO ISRC MATCH in Release_Track",and($B373&lt;&gt;"",countif('5) Release_Track'!$G:$G,$B373)=0),"NO CATALOG ID MATCH in Release_Track",iserror(vlookup($A373&amp;$B373,'5) Release_Track'!$F:$F&amp;'5) Release_Track'!$G:$G,1,0)),"NO ISRC-CATALOG ID pair MATCH in Release_Track" )</f>
        <v/>
      </c>
      <c r="D373" s="121" t="str">
        <f t="array" ref="D373">ifs(and(isblank($A373),isblank($B373)),"", not(iserror(vlookup($A373&amp;$B373,'5) Release_Track'!$F:$F&amp;'5) Release_Track'!$G:$G,1,0))),vlookup($A373&amp;$B373,{'5) Release_Track'!$F:$F&amp;'5) Release_Track'!$G:$G,'5) Release_Track'!$I:$I},2,0), or(and(not(isblank($B373)),$B373=$B372,$A373&lt;&gt;$A372),and(not(isblank($A373)),$A373=$A372,$B373&lt;&gt;$B372)),"ID LISTS UNALIGNED",and($A373&lt;&gt;"",countif('5) Release_Track'!$F:$F,$A373)=0),"NO ISRC MATCH in Release_Track",and($B373&lt;&gt;"",countif('5) Release_Track'!$G:$G,$B373)=0),"NO CATALOG ID MATCH in Release_Track",iserror(vlookup($A373&amp;$B373,'5) Release_Track'!$F:$F&amp;'5) Release_Track'!$G:$G,1,0)),"NO ISRC-CATALOG ID pair MATCH in Release_Track" )</f>
        <v/>
      </c>
      <c r="E373" s="142" t="b">
        <v>0</v>
      </c>
      <c r="F373" s="142" t="b">
        <v>0</v>
      </c>
      <c r="G373" s="142" t="b">
        <v>0</v>
      </c>
      <c r="H373" s="142" t="b">
        <v>0</v>
      </c>
      <c r="I373" s="142" t="b">
        <v>0</v>
      </c>
      <c r="J373" s="142" t="b">
        <v>0</v>
      </c>
      <c r="K373" s="142" t="b">
        <v>0</v>
      </c>
      <c r="L373" s="8" t="b">
        <v>0</v>
      </c>
    </row>
    <row r="374">
      <c r="B374" s="103"/>
      <c r="C374" s="121" t="str">
        <f t="array" ref="C374">ifs(and(isblank($A374),isblank($B374)),"", not(iserror(vlookup($A374&amp;$B374,'5) Release_Track'!$F:$F&amp;'5) Release_Track'!$G:$G,1,0))),vlookup($A374&amp;$B374,{'5) Release_Track'!$F:$F&amp;'5) Release_Track'!$G:$G,'5) Release_Track'!$H:$H},2,0), or(and(not(isblank($B374)),$B374=$B373,$A374&lt;&gt;$A373),and(not(isblank($A374)),$A374=$A373,$B374&lt;&gt;$B373)),"ID LISTS UNALIGNED",and($A374&lt;&gt;"",countif('5) Release_Track'!$F:$F,$A374)=0),"NO ISRC MATCH in Release_Track",and($B374&lt;&gt;"",countif('5) Release_Track'!$G:$G,$B374)=0),"NO CATALOG ID MATCH in Release_Track",iserror(vlookup($A374&amp;$B374,'5) Release_Track'!$F:$F&amp;'5) Release_Track'!$G:$G,1,0)),"NO ISRC-CATALOG ID pair MATCH in Release_Track" )</f>
        <v/>
      </c>
      <c r="D374" s="121" t="str">
        <f t="array" ref="D374">ifs(and(isblank($A374),isblank($B374)),"", not(iserror(vlookup($A374&amp;$B374,'5) Release_Track'!$F:$F&amp;'5) Release_Track'!$G:$G,1,0))),vlookup($A374&amp;$B374,{'5) Release_Track'!$F:$F&amp;'5) Release_Track'!$G:$G,'5) Release_Track'!$I:$I},2,0), or(and(not(isblank($B374)),$B374=$B373,$A374&lt;&gt;$A373),and(not(isblank($A374)),$A374=$A373,$B374&lt;&gt;$B373)),"ID LISTS UNALIGNED",and($A374&lt;&gt;"",countif('5) Release_Track'!$F:$F,$A374)=0),"NO ISRC MATCH in Release_Track",and($B374&lt;&gt;"",countif('5) Release_Track'!$G:$G,$B374)=0),"NO CATALOG ID MATCH in Release_Track",iserror(vlookup($A374&amp;$B374,'5) Release_Track'!$F:$F&amp;'5) Release_Track'!$G:$G,1,0)),"NO ISRC-CATALOG ID pair MATCH in Release_Track" )</f>
        <v/>
      </c>
      <c r="E374" s="142" t="b">
        <v>0</v>
      </c>
      <c r="F374" s="142" t="b">
        <v>0</v>
      </c>
      <c r="G374" s="142" t="b">
        <v>0</v>
      </c>
      <c r="H374" s="142" t="b">
        <v>0</v>
      </c>
      <c r="I374" s="142" t="b">
        <v>0</v>
      </c>
      <c r="J374" s="142" t="b">
        <v>0</v>
      </c>
      <c r="K374" s="142" t="b">
        <v>0</v>
      </c>
      <c r="L374" s="8" t="b">
        <v>0</v>
      </c>
    </row>
    <row r="375">
      <c r="B375" s="103"/>
      <c r="C375" s="121" t="str">
        <f t="array" ref="C375">ifs(and(isblank($A375),isblank($B375)),"", not(iserror(vlookup($A375&amp;$B375,'5) Release_Track'!$F:$F&amp;'5) Release_Track'!$G:$G,1,0))),vlookup($A375&amp;$B375,{'5) Release_Track'!$F:$F&amp;'5) Release_Track'!$G:$G,'5) Release_Track'!$H:$H},2,0), or(and(not(isblank($B375)),$B375=$B374,$A375&lt;&gt;$A374),and(not(isblank($A375)),$A375=$A374,$B375&lt;&gt;$B374)),"ID LISTS UNALIGNED",and($A375&lt;&gt;"",countif('5) Release_Track'!$F:$F,$A375)=0),"NO ISRC MATCH in Release_Track",and($B375&lt;&gt;"",countif('5) Release_Track'!$G:$G,$B375)=0),"NO CATALOG ID MATCH in Release_Track",iserror(vlookup($A375&amp;$B375,'5) Release_Track'!$F:$F&amp;'5) Release_Track'!$G:$G,1,0)),"NO ISRC-CATALOG ID pair MATCH in Release_Track" )</f>
        <v/>
      </c>
      <c r="D375" s="121" t="str">
        <f t="array" ref="D375">ifs(and(isblank($A375),isblank($B375)),"", not(iserror(vlookup($A375&amp;$B375,'5) Release_Track'!$F:$F&amp;'5) Release_Track'!$G:$G,1,0))),vlookup($A375&amp;$B375,{'5) Release_Track'!$F:$F&amp;'5) Release_Track'!$G:$G,'5) Release_Track'!$I:$I},2,0), or(and(not(isblank($B375)),$B375=$B374,$A375&lt;&gt;$A374),and(not(isblank($A375)),$A375=$A374,$B375&lt;&gt;$B374)),"ID LISTS UNALIGNED",and($A375&lt;&gt;"",countif('5) Release_Track'!$F:$F,$A375)=0),"NO ISRC MATCH in Release_Track",and($B375&lt;&gt;"",countif('5) Release_Track'!$G:$G,$B375)=0),"NO CATALOG ID MATCH in Release_Track",iserror(vlookup($A375&amp;$B375,'5) Release_Track'!$F:$F&amp;'5) Release_Track'!$G:$G,1,0)),"NO ISRC-CATALOG ID pair MATCH in Release_Track" )</f>
        <v/>
      </c>
      <c r="E375" s="142" t="b">
        <v>0</v>
      </c>
      <c r="F375" s="142" t="b">
        <v>0</v>
      </c>
      <c r="G375" s="142" t="b">
        <v>0</v>
      </c>
      <c r="H375" s="142" t="b">
        <v>0</v>
      </c>
      <c r="I375" s="142" t="b">
        <v>0</v>
      </c>
      <c r="J375" s="142" t="b">
        <v>0</v>
      </c>
      <c r="K375" s="142" t="b">
        <v>0</v>
      </c>
      <c r="L375" s="8" t="b">
        <v>0</v>
      </c>
    </row>
    <row r="376">
      <c r="B376" s="103"/>
      <c r="C376" s="121" t="str">
        <f t="array" ref="C376">ifs(and(isblank($A376),isblank($B376)),"", not(iserror(vlookup($A376&amp;$B376,'5) Release_Track'!$F:$F&amp;'5) Release_Track'!$G:$G,1,0))),vlookup($A376&amp;$B376,{'5) Release_Track'!$F:$F&amp;'5) Release_Track'!$G:$G,'5) Release_Track'!$H:$H},2,0), or(and(not(isblank($B376)),$B376=$B375,$A376&lt;&gt;$A375),and(not(isblank($A376)),$A376=$A375,$B376&lt;&gt;$B375)),"ID LISTS UNALIGNED",and($A376&lt;&gt;"",countif('5) Release_Track'!$F:$F,$A376)=0),"NO ISRC MATCH in Release_Track",and($B376&lt;&gt;"",countif('5) Release_Track'!$G:$G,$B376)=0),"NO CATALOG ID MATCH in Release_Track",iserror(vlookup($A376&amp;$B376,'5) Release_Track'!$F:$F&amp;'5) Release_Track'!$G:$G,1,0)),"NO ISRC-CATALOG ID pair MATCH in Release_Track" )</f>
        <v/>
      </c>
      <c r="D376" s="121" t="str">
        <f t="array" ref="D376">ifs(and(isblank($A376),isblank($B376)),"", not(iserror(vlookup($A376&amp;$B376,'5) Release_Track'!$F:$F&amp;'5) Release_Track'!$G:$G,1,0))),vlookup($A376&amp;$B376,{'5) Release_Track'!$F:$F&amp;'5) Release_Track'!$G:$G,'5) Release_Track'!$I:$I},2,0), or(and(not(isblank($B376)),$B376=$B375,$A376&lt;&gt;$A375),and(not(isblank($A376)),$A376=$A375,$B376&lt;&gt;$B375)),"ID LISTS UNALIGNED",and($A376&lt;&gt;"",countif('5) Release_Track'!$F:$F,$A376)=0),"NO ISRC MATCH in Release_Track",and($B376&lt;&gt;"",countif('5) Release_Track'!$G:$G,$B376)=0),"NO CATALOG ID MATCH in Release_Track",iserror(vlookup($A376&amp;$B376,'5) Release_Track'!$F:$F&amp;'5) Release_Track'!$G:$G,1,0)),"NO ISRC-CATALOG ID pair MATCH in Release_Track" )</f>
        <v/>
      </c>
      <c r="E376" s="142" t="b">
        <v>0</v>
      </c>
      <c r="F376" s="142" t="b">
        <v>0</v>
      </c>
      <c r="G376" s="142" t="b">
        <v>0</v>
      </c>
      <c r="H376" s="142" t="b">
        <v>0</v>
      </c>
      <c r="I376" s="142" t="b">
        <v>0</v>
      </c>
      <c r="J376" s="142" t="b">
        <v>0</v>
      </c>
      <c r="K376" s="142" t="b">
        <v>0</v>
      </c>
      <c r="L376" s="8" t="b">
        <v>0</v>
      </c>
    </row>
    <row r="377">
      <c r="B377" s="103"/>
      <c r="C377" s="121" t="str">
        <f t="array" ref="C377">ifs(and(isblank($A377),isblank($B377)),"", not(iserror(vlookup($A377&amp;$B377,'5) Release_Track'!$F:$F&amp;'5) Release_Track'!$G:$G,1,0))),vlookup($A377&amp;$B377,{'5) Release_Track'!$F:$F&amp;'5) Release_Track'!$G:$G,'5) Release_Track'!$H:$H},2,0), or(and(not(isblank($B377)),$B377=$B376,$A377&lt;&gt;$A376),and(not(isblank($A377)),$A377=$A376,$B377&lt;&gt;$B376)),"ID LISTS UNALIGNED",and($A377&lt;&gt;"",countif('5) Release_Track'!$F:$F,$A377)=0),"NO ISRC MATCH in Release_Track",and($B377&lt;&gt;"",countif('5) Release_Track'!$G:$G,$B377)=0),"NO CATALOG ID MATCH in Release_Track",iserror(vlookup($A377&amp;$B377,'5) Release_Track'!$F:$F&amp;'5) Release_Track'!$G:$G,1,0)),"NO ISRC-CATALOG ID pair MATCH in Release_Track" )</f>
        <v/>
      </c>
      <c r="D377" s="121" t="str">
        <f t="array" ref="D377">ifs(and(isblank($A377),isblank($B377)),"", not(iserror(vlookup($A377&amp;$B377,'5) Release_Track'!$F:$F&amp;'5) Release_Track'!$G:$G,1,0))),vlookup($A377&amp;$B377,{'5) Release_Track'!$F:$F&amp;'5) Release_Track'!$G:$G,'5) Release_Track'!$I:$I},2,0), or(and(not(isblank($B377)),$B377=$B376,$A377&lt;&gt;$A376),and(not(isblank($A377)),$A377=$A376,$B377&lt;&gt;$B376)),"ID LISTS UNALIGNED",and($A377&lt;&gt;"",countif('5) Release_Track'!$F:$F,$A377)=0),"NO ISRC MATCH in Release_Track",and($B377&lt;&gt;"",countif('5) Release_Track'!$G:$G,$B377)=0),"NO CATALOG ID MATCH in Release_Track",iserror(vlookup($A377&amp;$B377,'5) Release_Track'!$F:$F&amp;'5) Release_Track'!$G:$G,1,0)),"NO ISRC-CATALOG ID pair MATCH in Release_Track" )</f>
        <v/>
      </c>
      <c r="E377" s="142" t="b">
        <v>0</v>
      </c>
      <c r="F377" s="142" t="b">
        <v>0</v>
      </c>
      <c r="G377" s="142" t="b">
        <v>0</v>
      </c>
      <c r="H377" s="142" t="b">
        <v>0</v>
      </c>
      <c r="I377" s="142" t="b">
        <v>0</v>
      </c>
      <c r="J377" s="142" t="b">
        <v>0</v>
      </c>
      <c r="K377" s="142" t="b">
        <v>0</v>
      </c>
      <c r="L377" s="8" t="b">
        <v>0</v>
      </c>
    </row>
    <row r="378">
      <c r="B378" s="103"/>
      <c r="C378" s="121" t="str">
        <f t="array" ref="C378">ifs(and(isblank($A378),isblank($B378)),"", not(iserror(vlookup($A378&amp;$B378,'5) Release_Track'!$F:$F&amp;'5) Release_Track'!$G:$G,1,0))),vlookup($A378&amp;$B378,{'5) Release_Track'!$F:$F&amp;'5) Release_Track'!$G:$G,'5) Release_Track'!$H:$H},2,0), or(and(not(isblank($B378)),$B378=$B377,$A378&lt;&gt;$A377),and(not(isblank($A378)),$A378=$A377,$B378&lt;&gt;$B377)),"ID LISTS UNALIGNED",and($A378&lt;&gt;"",countif('5) Release_Track'!$F:$F,$A378)=0),"NO ISRC MATCH in Release_Track",and($B378&lt;&gt;"",countif('5) Release_Track'!$G:$G,$B378)=0),"NO CATALOG ID MATCH in Release_Track",iserror(vlookup($A378&amp;$B378,'5) Release_Track'!$F:$F&amp;'5) Release_Track'!$G:$G,1,0)),"NO ISRC-CATALOG ID pair MATCH in Release_Track" )</f>
        <v/>
      </c>
      <c r="D378" s="121" t="str">
        <f t="array" ref="D378">ifs(and(isblank($A378),isblank($B378)),"", not(iserror(vlookup($A378&amp;$B378,'5) Release_Track'!$F:$F&amp;'5) Release_Track'!$G:$G,1,0))),vlookup($A378&amp;$B378,{'5) Release_Track'!$F:$F&amp;'5) Release_Track'!$G:$G,'5) Release_Track'!$I:$I},2,0), or(and(not(isblank($B378)),$B378=$B377,$A378&lt;&gt;$A377),and(not(isblank($A378)),$A378=$A377,$B378&lt;&gt;$B377)),"ID LISTS UNALIGNED",and($A378&lt;&gt;"",countif('5) Release_Track'!$F:$F,$A378)=0),"NO ISRC MATCH in Release_Track",and($B378&lt;&gt;"",countif('5) Release_Track'!$G:$G,$B378)=0),"NO CATALOG ID MATCH in Release_Track",iserror(vlookup($A378&amp;$B378,'5) Release_Track'!$F:$F&amp;'5) Release_Track'!$G:$G,1,0)),"NO ISRC-CATALOG ID pair MATCH in Release_Track" )</f>
        <v/>
      </c>
      <c r="E378" s="142" t="b">
        <v>0</v>
      </c>
      <c r="F378" s="142" t="b">
        <v>0</v>
      </c>
      <c r="G378" s="142" t="b">
        <v>0</v>
      </c>
      <c r="H378" s="142" t="b">
        <v>0</v>
      </c>
      <c r="I378" s="142" t="b">
        <v>0</v>
      </c>
      <c r="J378" s="142" t="b">
        <v>0</v>
      </c>
      <c r="K378" s="142" t="b">
        <v>0</v>
      </c>
      <c r="L378" s="8" t="b">
        <v>0</v>
      </c>
    </row>
    <row r="379">
      <c r="B379" s="103"/>
      <c r="C379" s="121" t="str">
        <f t="array" ref="C379">ifs(and(isblank($A379),isblank($B379)),"", not(iserror(vlookup($A379&amp;$B379,'5) Release_Track'!$F:$F&amp;'5) Release_Track'!$G:$G,1,0))),vlookup($A379&amp;$B379,{'5) Release_Track'!$F:$F&amp;'5) Release_Track'!$G:$G,'5) Release_Track'!$H:$H},2,0), or(and(not(isblank($B379)),$B379=$B378,$A379&lt;&gt;$A378),and(not(isblank($A379)),$A379=$A378,$B379&lt;&gt;$B378)),"ID LISTS UNALIGNED",and($A379&lt;&gt;"",countif('5) Release_Track'!$F:$F,$A379)=0),"NO ISRC MATCH in Release_Track",and($B379&lt;&gt;"",countif('5) Release_Track'!$G:$G,$B379)=0),"NO CATALOG ID MATCH in Release_Track",iserror(vlookup($A379&amp;$B379,'5) Release_Track'!$F:$F&amp;'5) Release_Track'!$G:$G,1,0)),"NO ISRC-CATALOG ID pair MATCH in Release_Track" )</f>
        <v/>
      </c>
      <c r="D379" s="121" t="str">
        <f t="array" ref="D379">ifs(and(isblank($A379),isblank($B379)),"", not(iserror(vlookup($A379&amp;$B379,'5) Release_Track'!$F:$F&amp;'5) Release_Track'!$G:$G,1,0))),vlookup($A379&amp;$B379,{'5) Release_Track'!$F:$F&amp;'5) Release_Track'!$G:$G,'5) Release_Track'!$I:$I},2,0), or(and(not(isblank($B379)),$B379=$B378,$A379&lt;&gt;$A378),and(not(isblank($A379)),$A379=$A378,$B379&lt;&gt;$B378)),"ID LISTS UNALIGNED",and($A379&lt;&gt;"",countif('5) Release_Track'!$F:$F,$A379)=0),"NO ISRC MATCH in Release_Track",and($B379&lt;&gt;"",countif('5) Release_Track'!$G:$G,$B379)=0),"NO CATALOG ID MATCH in Release_Track",iserror(vlookup($A379&amp;$B379,'5) Release_Track'!$F:$F&amp;'5) Release_Track'!$G:$G,1,0)),"NO ISRC-CATALOG ID pair MATCH in Release_Track" )</f>
        <v/>
      </c>
      <c r="E379" s="142" t="b">
        <v>0</v>
      </c>
      <c r="F379" s="142" t="b">
        <v>0</v>
      </c>
      <c r="G379" s="142" t="b">
        <v>0</v>
      </c>
      <c r="H379" s="142" t="b">
        <v>0</v>
      </c>
      <c r="I379" s="142" t="b">
        <v>0</v>
      </c>
      <c r="J379" s="142" t="b">
        <v>0</v>
      </c>
      <c r="K379" s="142" t="b">
        <v>0</v>
      </c>
      <c r="L379" s="8" t="b">
        <v>0</v>
      </c>
    </row>
    <row r="380">
      <c r="B380" s="103"/>
      <c r="C380" s="121" t="str">
        <f t="array" ref="C380">ifs(and(isblank($A380),isblank($B380)),"", not(iserror(vlookup($A380&amp;$B380,'5) Release_Track'!$F:$F&amp;'5) Release_Track'!$G:$G,1,0))),vlookup($A380&amp;$B380,{'5) Release_Track'!$F:$F&amp;'5) Release_Track'!$G:$G,'5) Release_Track'!$H:$H},2,0), or(and(not(isblank($B380)),$B380=$B379,$A380&lt;&gt;$A379),and(not(isblank($A380)),$A380=$A379,$B380&lt;&gt;$B379)),"ID LISTS UNALIGNED",and($A380&lt;&gt;"",countif('5) Release_Track'!$F:$F,$A380)=0),"NO ISRC MATCH in Release_Track",and($B380&lt;&gt;"",countif('5) Release_Track'!$G:$G,$B380)=0),"NO CATALOG ID MATCH in Release_Track",iserror(vlookup($A380&amp;$B380,'5) Release_Track'!$F:$F&amp;'5) Release_Track'!$G:$G,1,0)),"NO ISRC-CATALOG ID pair MATCH in Release_Track" )</f>
        <v/>
      </c>
      <c r="D380" s="121" t="str">
        <f t="array" ref="D380">ifs(and(isblank($A380),isblank($B380)),"", not(iserror(vlookup($A380&amp;$B380,'5) Release_Track'!$F:$F&amp;'5) Release_Track'!$G:$G,1,0))),vlookup($A380&amp;$B380,{'5) Release_Track'!$F:$F&amp;'5) Release_Track'!$G:$G,'5) Release_Track'!$I:$I},2,0), or(and(not(isblank($B380)),$B380=$B379,$A380&lt;&gt;$A379),and(not(isblank($A380)),$A380=$A379,$B380&lt;&gt;$B379)),"ID LISTS UNALIGNED",and($A380&lt;&gt;"",countif('5) Release_Track'!$F:$F,$A380)=0),"NO ISRC MATCH in Release_Track",and($B380&lt;&gt;"",countif('5) Release_Track'!$G:$G,$B380)=0),"NO CATALOG ID MATCH in Release_Track",iserror(vlookup($A380&amp;$B380,'5) Release_Track'!$F:$F&amp;'5) Release_Track'!$G:$G,1,0)),"NO ISRC-CATALOG ID pair MATCH in Release_Track" )</f>
        <v/>
      </c>
      <c r="E380" s="142" t="b">
        <v>0</v>
      </c>
      <c r="F380" s="142" t="b">
        <v>0</v>
      </c>
      <c r="G380" s="142" t="b">
        <v>0</v>
      </c>
      <c r="H380" s="142" t="b">
        <v>0</v>
      </c>
      <c r="I380" s="142" t="b">
        <v>0</v>
      </c>
      <c r="J380" s="142" t="b">
        <v>0</v>
      </c>
      <c r="K380" s="142" t="b">
        <v>0</v>
      </c>
      <c r="L380" s="8" t="b">
        <v>0</v>
      </c>
    </row>
    <row r="381">
      <c r="B381" s="103"/>
      <c r="C381" s="121" t="str">
        <f t="array" ref="C381">ifs(and(isblank($A381),isblank($B381)),"", not(iserror(vlookup($A381&amp;$B381,'5) Release_Track'!$F:$F&amp;'5) Release_Track'!$G:$G,1,0))),vlookup($A381&amp;$B381,{'5) Release_Track'!$F:$F&amp;'5) Release_Track'!$G:$G,'5) Release_Track'!$H:$H},2,0), or(and(not(isblank($B381)),$B381=$B380,$A381&lt;&gt;$A380),and(not(isblank($A381)),$A381=$A380,$B381&lt;&gt;$B380)),"ID LISTS UNALIGNED",and($A381&lt;&gt;"",countif('5) Release_Track'!$F:$F,$A381)=0),"NO ISRC MATCH in Release_Track",and($B381&lt;&gt;"",countif('5) Release_Track'!$G:$G,$B381)=0),"NO CATALOG ID MATCH in Release_Track",iserror(vlookup($A381&amp;$B381,'5) Release_Track'!$F:$F&amp;'5) Release_Track'!$G:$G,1,0)),"NO ISRC-CATALOG ID pair MATCH in Release_Track" )</f>
        <v/>
      </c>
      <c r="D381" s="121" t="str">
        <f t="array" ref="D381">ifs(and(isblank($A381),isblank($B381)),"", not(iserror(vlookup($A381&amp;$B381,'5) Release_Track'!$F:$F&amp;'5) Release_Track'!$G:$G,1,0))),vlookup($A381&amp;$B381,{'5) Release_Track'!$F:$F&amp;'5) Release_Track'!$G:$G,'5) Release_Track'!$I:$I},2,0), or(and(not(isblank($B381)),$B381=$B380,$A381&lt;&gt;$A380),and(not(isblank($A381)),$A381=$A380,$B381&lt;&gt;$B380)),"ID LISTS UNALIGNED",and($A381&lt;&gt;"",countif('5) Release_Track'!$F:$F,$A381)=0),"NO ISRC MATCH in Release_Track",and($B381&lt;&gt;"",countif('5) Release_Track'!$G:$G,$B381)=0),"NO CATALOG ID MATCH in Release_Track",iserror(vlookup($A381&amp;$B381,'5) Release_Track'!$F:$F&amp;'5) Release_Track'!$G:$G,1,0)),"NO ISRC-CATALOG ID pair MATCH in Release_Track" )</f>
        <v/>
      </c>
      <c r="E381" s="142" t="b">
        <v>0</v>
      </c>
      <c r="F381" s="142" t="b">
        <v>0</v>
      </c>
      <c r="G381" s="142" t="b">
        <v>0</v>
      </c>
      <c r="H381" s="142" t="b">
        <v>0</v>
      </c>
      <c r="I381" s="142" t="b">
        <v>0</v>
      </c>
      <c r="J381" s="142" t="b">
        <v>0</v>
      </c>
      <c r="K381" s="142" t="b">
        <v>0</v>
      </c>
      <c r="L381" s="8" t="b">
        <v>0</v>
      </c>
    </row>
    <row r="382">
      <c r="B382" s="103"/>
      <c r="C382" s="121" t="str">
        <f t="array" ref="C382">ifs(and(isblank($A382),isblank($B382)),"", not(iserror(vlookup($A382&amp;$B382,'5) Release_Track'!$F:$F&amp;'5) Release_Track'!$G:$G,1,0))),vlookup($A382&amp;$B382,{'5) Release_Track'!$F:$F&amp;'5) Release_Track'!$G:$G,'5) Release_Track'!$H:$H},2,0), or(and(not(isblank($B382)),$B382=$B381,$A382&lt;&gt;$A381),and(not(isblank($A382)),$A382=$A381,$B382&lt;&gt;$B381)),"ID LISTS UNALIGNED",and($A382&lt;&gt;"",countif('5) Release_Track'!$F:$F,$A382)=0),"NO ISRC MATCH in Release_Track",and($B382&lt;&gt;"",countif('5) Release_Track'!$G:$G,$B382)=0),"NO CATALOG ID MATCH in Release_Track",iserror(vlookup($A382&amp;$B382,'5) Release_Track'!$F:$F&amp;'5) Release_Track'!$G:$G,1,0)),"NO ISRC-CATALOG ID pair MATCH in Release_Track" )</f>
        <v/>
      </c>
      <c r="D382" s="121" t="str">
        <f t="array" ref="D382">ifs(and(isblank($A382),isblank($B382)),"", not(iserror(vlookup($A382&amp;$B382,'5) Release_Track'!$F:$F&amp;'5) Release_Track'!$G:$G,1,0))),vlookup($A382&amp;$B382,{'5) Release_Track'!$F:$F&amp;'5) Release_Track'!$G:$G,'5) Release_Track'!$I:$I},2,0), or(and(not(isblank($B382)),$B382=$B381,$A382&lt;&gt;$A381),and(not(isblank($A382)),$A382=$A381,$B382&lt;&gt;$B381)),"ID LISTS UNALIGNED",and($A382&lt;&gt;"",countif('5) Release_Track'!$F:$F,$A382)=0),"NO ISRC MATCH in Release_Track",and($B382&lt;&gt;"",countif('5) Release_Track'!$G:$G,$B382)=0),"NO CATALOG ID MATCH in Release_Track",iserror(vlookup($A382&amp;$B382,'5) Release_Track'!$F:$F&amp;'5) Release_Track'!$G:$G,1,0)),"NO ISRC-CATALOG ID pair MATCH in Release_Track" )</f>
        <v/>
      </c>
      <c r="E382" s="142" t="b">
        <v>0</v>
      </c>
      <c r="F382" s="142" t="b">
        <v>0</v>
      </c>
      <c r="G382" s="142" t="b">
        <v>0</v>
      </c>
      <c r="H382" s="142" t="b">
        <v>0</v>
      </c>
      <c r="I382" s="142" t="b">
        <v>0</v>
      </c>
      <c r="J382" s="142" t="b">
        <v>0</v>
      </c>
      <c r="K382" s="142" t="b">
        <v>0</v>
      </c>
      <c r="L382" s="8" t="b">
        <v>0</v>
      </c>
    </row>
    <row r="383">
      <c r="B383" s="103"/>
      <c r="C383" s="121" t="str">
        <f t="array" ref="C383">ifs(and(isblank($A383),isblank($B383)),"", not(iserror(vlookup($A383&amp;$B383,'5) Release_Track'!$F:$F&amp;'5) Release_Track'!$G:$G,1,0))),vlookup($A383&amp;$B383,{'5) Release_Track'!$F:$F&amp;'5) Release_Track'!$G:$G,'5) Release_Track'!$H:$H},2,0), or(and(not(isblank($B383)),$B383=$B382,$A383&lt;&gt;$A382),and(not(isblank($A383)),$A383=$A382,$B383&lt;&gt;$B382)),"ID LISTS UNALIGNED",and($A383&lt;&gt;"",countif('5) Release_Track'!$F:$F,$A383)=0),"NO ISRC MATCH in Release_Track",and($B383&lt;&gt;"",countif('5) Release_Track'!$G:$G,$B383)=0),"NO CATALOG ID MATCH in Release_Track",iserror(vlookup($A383&amp;$B383,'5) Release_Track'!$F:$F&amp;'5) Release_Track'!$G:$G,1,0)),"NO ISRC-CATALOG ID pair MATCH in Release_Track" )</f>
        <v/>
      </c>
      <c r="D383" s="121" t="str">
        <f t="array" ref="D383">ifs(and(isblank($A383),isblank($B383)),"", not(iserror(vlookup($A383&amp;$B383,'5) Release_Track'!$F:$F&amp;'5) Release_Track'!$G:$G,1,0))),vlookup($A383&amp;$B383,{'5) Release_Track'!$F:$F&amp;'5) Release_Track'!$G:$G,'5) Release_Track'!$I:$I},2,0), or(and(not(isblank($B383)),$B383=$B382,$A383&lt;&gt;$A382),and(not(isblank($A383)),$A383=$A382,$B383&lt;&gt;$B382)),"ID LISTS UNALIGNED",and($A383&lt;&gt;"",countif('5) Release_Track'!$F:$F,$A383)=0),"NO ISRC MATCH in Release_Track",and($B383&lt;&gt;"",countif('5) Release_Track'!$G:$G,$B383)=0),"NO CATALOG ID MATCH in Release_Track",iserror(vlookup($A383&amp;$B383,'5) Release_Track'!$F:$F&amp;'5) Release_Track'!$G:$G,1,0)),"NO ISRC-CATALOG ID pair MATCH in Release_Track" )</f>
        <v/>
      </c>
      <c r="E383" s="142" t="b">
        <v>0</v>
      </c>
      <c r="F383" s="142" t="b">
        <v>0</v>
      </c>
      <c r="G383" s="142" t="b">
        <v>0</v>
      </c>
      <c r="H383" s="142" t="b">
        <v>0</v>
      </c>
      <c r="I383" s="142" t="b">
        <v>0</v>
      </c>
      <c r="J383" s="142" t="b">
        <v>0</v>
      </c>
      <c r="K383" s="142" t="b">
        <v>0</v>
      </c>
      <c r="L383" s="8" t="b">
        <v>0</v>
      </c>
    </row>
    <row r="384">
      <c r="B384" s="103"/>
      <c r="C384" s="121" t="str">
        <f t="array" ref="C384">ifs(and(isblank($A384),isblank($B384)),"", not(iserror(vlookup($A384&amp;$B384,'5) Release_Track'!$F:$F&amp;'5) Release_Track'!$G:$G,1,0))),vlookup($A384&amp;$B384,{'5) Release_Track'!$F:$F&amp;'5) Release_Track'!$G:$G,'5) Release_Track'!$H:$H},2,0), or(and(not(isblank($B384)),$B384=$B383,$A384&lt;&gt;$A383),and(not(isblank($A384)),$A384=$A383,$B384&lt;&gt;$B383)),"ID LISTS UNALIGNED",and($A384&lt;&gt;"",countif('5) Release_Track'!$F:$F,$A384)=0),"NO ISRC MATCH in Release_Track",and($B384&lt;&gt;"",countif('5) Release_Track'!$G:$G,$B384)=0),"NO CATALOG ID MATCH in Release_Track",iserror(vlookup($A384&amp;$B384,'5) Release_Track'!$F:$F&amp;'5) Release_Track'!$G:$G,1,0)),"NO ISRC-CATALOG ID pair MATCH in Release_Track" )</f>
        <v/>
      </c>
      <c r="D384" s="121" t="str">
        <f t="array" ref="D384">ifs(and(isblank($A384),isblank($B384)),"", not(iserror(vlookup($A384&amp;$B384,'5) Release_Track'!$F:$F&amp;'5) Release_Track'!$G:$G,1,0))),vlookup($A384&amp;$B384,{'5) Release_Track'!$F:$F&amp;'5) Release_Track'!$G:$G,'5) Release_Track'!$I:$I},2,0), or(and(not(isblank($B384)),$B384=$B383,$A384&lt;&gt;$A383),and(not(isblank($A384)),$A384=$A383,$B384&lt;&gt;$B383)),"ID LISTS UNALIGNED",and($A384&lt;&gt;"",countif('5) Release_Track'!$F:$F,$A384)=0),"NO ISRC MATCH in Release_Track",and($B384&lt;&gt;"",countif('5) Release_Track'!$G:$G,$B384)=0),"NO CATALOG ID MATCH in Release_Track",iserror(vlookup($A384&amp;$B384,'5) Release_Track'!$F:$F&amp;'5) Release_Track'!$G:$G,1,0)),"NO ISRC-CATALOG ID pair MATCH in Release_Track" )</f>
        <v/>
      </c>
      <c r="E384" s="142" t="b">
        <v>0</v>
      </c>
      <c r="F384" s="142" t="b">
        <v>0</v>
      </c>
      <c r="G384" s="142" t="b">
        <v>0</v>
      </c>
      <c r="H384" s="142" t="b">
        <v>0</v>
      </c>
      <c r="I384" s="142" t="b">
        <v>0</v>
      </c>
      <c r="J384" s="142" t="b">
        <v>0</v>
      </c>
      <c r="K384" s="142" t="b">
        <v>0</v>
      </c>
      <c r="L384" s="8" t="b">
        <v>0</v>
      </c>
    </row>
    <row r="385">
      <c r="B385" s="103"/>
      <c r="C385" s="121" t="str">
        <f t="array" ref="C385">ifs(and(isblank($A385),isblank($B385)),"", not(iserror(vlookup($A385&amp;$B385,'5) Release_Track'!$F:$F&amp;'5) Release_Track'!$G:$G,1,0))),vlookup($A385&amp;$B385,{'5) Release_Track'!$F:$F&amp;'5) Release_Track'!$G:$G,'5) Release_Track'!$H:$H},2,0), or(and(not(isblank($B385)),$B385=$B384,$A385&lt;&gt;$A384),and(not(isblank($A385)),$A385=$A384,$B385&lt;&gt;$B384)),"ID LISTS UNALIGNED",and($A385&lt;&gt;"",countif('5) Release_Track'!$F:$F,$A385)=0),"NO ISRC MATCH in Release_Track",and($B385&lt;&gt;"",countif('5) Release_Track'!$G:$G,$B385)=0),"NO CATALOG ID MATCH in Release_Track",iserror(vlookup($A385&amp;$B385,'5) Release_Track'!$F:$F&amp;'5) Release_Track'!$G:$G,1,0)),"NO ISRC-CATALOG ID pair MATCH in Release_Track" )</f>
        <v/>
      </c>
      <c r="D385" s="121" t="str">
        <f t="array" ref="D385">ifs(and(isblank($A385),isblank($B385)),"", not(iserror(vlookup($A385&amp;$B385,'5) Release_Track'!$F:$F&amp;'5) Release_Track'!$G:$G,1,0))),vlookup($A385&amp;$B385,{'5) Release_Track'!$F:$F&amp;'5) Release_Track'!$G:$G,'5) Release_Track'!$I:$I},2,0), or(and(not(isblank($B385)),$B385=$B384,$A385&lt;&gt;$A384),and(not(isblank($A385)),$A385=$A384,$B385&lt;&gt;$B384)),"ID LISTS UNALIGNED",and($A385&lt;&gt;"",countif('5) Release_Track'!$F:$F,$A385)=0),"NO ISRC MATCH in Release_Track",and($B385&lt;&gt;"",countif('5) Release_Track'!$G:$G,$B385)=0),"NO CATALOG ID MATCH in Release_Track",iserror(vlookup($A385&amp;$B385,'5) Release_Track'!$F:$F&amp;'5) Release_Track'!$G:$G,1,0)),"NO ISRC-CATALOG ID pair MATCH in Release_Track" )</f>
        <v/>
      </c>
      <c r="E385" s="142" t="b">
        <v>0</v>
      </c>
      <c r="F385" s="142" t="b">
        <v>0</v>
      </c>
      <c r="G385" s="142" t="b">
        <v>0</v>
      </c>
      <c r="H385" s="142" t="b">
        <v>0</v>
      </c>
      <c r="I385" s="142" t="b">
        <v>0</v>
      </c>
      <c r="J385" s="142" t="b">
        <v>0</v>
      </c>
      <c r="K385" s="142" t="b">
        <v>0</v>
      </c>
      <c r="L385" s="8" t="b">
        <v>0</v>
      </c>
    </row>
    <row r="386">
      <c r="B386" s="103"/>
      <c r="C386" s="121" t="str">
        <f t="array" ref="C386">ifs(and(isblank($A386),isblank($B386)),"", not(iserror(vlookup($A386&amp;$B386,'5) Release_Track'!$F:$F&amp;'5) Release_Track'!$G:$G,1,0))),vlookup($A386&amp;$B386,{'5) Release_Track'!$F:$F&amp;'5) Release_Track'!$G:$G,'5) Release_Track'!$H:$H},2,0), or(and(not(isblank($B386)),$B386=$B385,$A386&lt;&gt;$A385),and(not(isblank($A386)),$A386=$A385,$B386&lt;&gt;$B385)),"ID LISTS UNALIGNED",and($A386&lt;&gt;"",countif('5) Release_Track'!$F:$F,$A386)=0),"NO ISRC MATCH in Release_Track",and($B386&lt;&gt;"",countif('5) Release_Track'!$G:$G,$B386)=0),"NO CATALOG ID MATCH in Release_Track",iserror(vlookup($A386&amp;$B386,'5) Release_Track'!$F:$F&amp;'5) Release_Track'!$G:$G,1,0)),"NO ISRC-CATALOG ID pair MATCH in Release_Track" )</f>
        <v/>
      </c>
      <c r="D386" s="121" t="str">
        <f t="array" ref="D386">ifs(and(isblank($A386),isblank($B386)),"", not(iserror(vlookup($A386&amp;$B386,'5) Release_Track'!$F:$F&amp;'5) Release_Track'!$G:$G,1,0))),vlookup($A386&amp;$B386,{'5) Release_Track'!$F:$F&amp;'5) Release_Track'!$G:$G,'5) Release_Track'!$I:$I},2,0), or(and(not(isblank($B386)),$B386=$B385,$A386&lt;&gt;$A385),and(not(isblank($A386)),$A386=$A385,$B386&lt;&gt;$B385)),"ID LISTS UNALIGNED",and($A386&lt;&gt;"",countif('5) Release_Track'!$F:$F,$A386)=0),"NO ISRC MATCH in Release_Track",and($B386&lt;&gt;"",countif('5) Release_Track'!$G:$G,$B386)=0),"NO CATALOG ID MATCH in Release_Track",iserror(vlookup($A386&amp;$B386,'5) Release_Track'!$F:$F&amp;'5) Release_Track'!$G:$G,1,0)),"NO ISRC-CATALOG ID pair MATCH in Release_Track" )</f>
        <v/>
      </c>
      <c r="E386" s="142" t="b">
        <v>0</v>
      </c>
      <c r="F386" s="142" t="b">
        <v>0</v>
      </c>
      <c r="G386" s="142" t="b">
        <v>0</v>
      </c>
      <c r="H386" s="142" t="b">
        <v>0</v>
      </c>
      <c r="I386" s="142" t="b">
        <v>0</v>
      </c>
      <c r="J386" s="142" t="b">
        <v>0</v>
      </c>
      <c r="K386" s="142" t="b">
        <v>0</v>
      </c>
      <c r="L386" s="8" t="b">
        <v>0</v>
      </c>
    </row>
    <row r="387">
      <c r="B387" s="103"/>
      <c r="C387" s="121" t="str">
        <f t="array" ref="C387">ifs(and(isblank($A387),isblank($B387)),"", not(iserror(vlookup($A387&amp;$B387,'5) Release_Track'!$F:$F&amp;'5) Release_Track'!$G:$G,1,0))),vlookup($A387&amp;$B387,{'5) Release_Track'!$F:$F&amp;'5) Release_Track'!$G:$G,'5) Release_Track'!$H:$H},2,0), or(and(not(isblank($B387)),$B387=$B386,$A387&lt;&gt;$A386),and(not(isblank($A387)),$A387=$A386,$B387&lt;&gt;$B386)),"ID LISTS UNALIGNED",and($A387&lt;&gt;"",countif('5) Release_Track'!$F:$F,$A387)=0),"NO ISRC MATCH in Release_Track",and($B387&lt;&gt;"",countif('5) Release_Track'!$G:$G,$B387)=0),"NO CATALOG ID MATCH in Release_Track",iserror(vlookup($A387&amp;$B387,'5) Release_Track'!$F:$F&amp;'5) Release_Track'!$G:$G,1,0)),"NO ISRC-CATALOG ID pair MATCH in Release_Track" )</f>
        <v/>
      </c>
      <c r="D387" s="121" t="str">
        <f t="array" ref="D387">ifs(and(isblank($A387),isblank($B387)),"", not(iserror(vlookup($A387&amp;$B387,'5) Release_Track'!$F:$F&amp;'5) Release_Track'!$G:$G,1,0))),vlookup($A387&amp;$B387,{'5) Release_Track'!$F:$F&amp;'5) Release_Track'!$G:$G,'5) Release_Track'!$I:$I},2,0), or(and(not(isblank($B387)),$B387=$B386,$A387&lt;&gt;$A386),and(not(isblank($A387)),$A387=$A386,$B387&lt;&gt;$B386)),"ID LISTS UNALIGNED",and($A387&lt;&gt;"",countif('5) Release_Track'!$F:$F,$A387)=0),"NO ISRC MATCH in Release_Track",and($B387&lt;&gt;"",countif('5) Release_Track'!$G:$G,$B387)=0),"NO CATALOG ID MATCH in Release_Track",iserror(vlookup($A387&amp;$B387,'5) Release_Track'!$F:$F&amp;'5) Release_Track'!$G:$G,1,0)),"NO ISRC-CATALOG ID pair MATCH in Release_Track" )</f>
        <v/>
      </c>
      <c r="E387" s="142" t="b">
        <v>0</v>
      </c>
      <c r="F387" s="142" t="b">
        <v>0</v>
      </c>
      <c r="G387" s="142" t="b">
        <v>0</v>
      </c>
      <c r="H387" s="142" t="b">
        <v>0</v>
      </c>
      <c r="I387" s="142" t="b">
        <v>0</v>
      </c>
      <c r="J387" s="142" t="b">
        <v>0</v>
      </c>
      <c r="K387" s="142" t="b">
        <v>0</v>
      </c>
      <c r="L387" s="8" t="b">
        <v>0</v>
      </c>
    </row>
    <row r="388">
      <c r="B388" s="103"/>
      <c r="C388" s="121" t="str">
        <f t="array" ref="C388">ifs(and(isblank($A388),isblank($B388)),"", not(iserror(vlookup($A388&amp;$B388,'5) Release_Track'!$F:$F&amp;'5) Release_Track'!$G:$G,1,0))),vlookup($A388&amp;$B388,{'5) Release_Track'!$F:$F&amp;'5) Release_Track'!$G:$G,'5) Release_Track'!$H:$H},2,0), or(and(not(isblank($B388)),$B388=$B387,$A388&lt;&gt;$A387),and(not(isblank($A388)),$A388=$A387,$B388&lt;&gt;$B387)),"ID LISTS UNALIGNED",and($A388&lt;&gt;"",countif('5) Release_Track'!$F:$F,$A388)=0),"NO ISRC MATCH in Release_Track",and($B388&lt;&gt;"",countif('5) Release_Track'!$G:$G,$B388)=0),"NO CATALOG ID MATCH in Release_Track",iserror(vlookup($A388&amp;$B388,'5) Release_Track'!$F:$F&amp;'5) Release_Track'!$G:$G,1,0)),"NO ISRC-CATALOG ID pair MATCH in Release_Track" )</f>
        <v/>
      </c>
      <c r="D388" s="121" t="str">
        <f t="array" ref="D388">ifs(and(isblank($A388),isblank($B388)),"", not(iserror(vlookup($A388&amp;$B388,'5) Release_Track'!$F:$F&amp;'5) Release_Track'!$G:$G,1,0))),vlookup($A388&amp;$B388,{'5) Release_Track'!$F:$F&amp;'5) Release_Track'!$G:$G,'5) Release_Track'!$I:$I},2,0), or(and(not(isblank($B388)),$B388=$B387,$A388&lt;&gt;$A387),and(not(isblank($A388)),$A388=$A387,$B388&lt;&gt;$B387)),"ID LISTS UNALIGNED",and($A388&lt;&gt;"",countif('5) Release_Track'!$F:$F,$A388)=0),"NO ISRC MATCH in Release_Track",and($B388&lt;&gt;"",countif('5) Release_Track'!$G:$G,$B388)=0),"NO CATALOG ID MATCH in Release_Track",iserror(vlookup($A388&amp;$B388,'5) Release_Track'!$F:$F&amp;'5) Release_Track'!$G:$G,1,0)),"NO ISRC-CATALOG ID pair MATCH in Release_Track" )</f>
        <v/>
      </c>
      <c r="E388" s="142" t="b">
        <v>0</v>
      </c>
      <c r="F388" s="142" t="b">
        <v>0</v>
      </c>
      <c r="G388" s="142" t="b">
        <v>0</v>
      </c>
      <c r="H388" s="142" t="b">
        <v>0</v>
      </c>
      <c r="I388" s="142" t="b">
        <v>0</v>
      </c>
      <c r="J388" s="142" t="b">
        <v>0</v>
      </c>
      <c r="K388" s="142" t="b">
        <v>0</v>
      </c>
      <c r="L388" s="8" t="b">
        <v>0</v>
      </c>
    </row>
    <row r="389">
      <c r="B389" s="103"/>
      <c r="C389" s="121" t="str">
        <f t="array" ref="C389">ifs(and(isblank($A389),isblank($B389)),"", not(iserror(vlookup($A389&amp;$B389,'5) Release_Track'!$F:$F&amp;'5) Release_Track'!$G:$G,1,0))),vlookup($A389&amp;$B389,{'5) Release_Track'!$F:$F&amp;'5) Release_Track'!$G:$G,'5) Release_Track'!$H:$H},2,0), or(and(not(isblank($B389)),$B389=$B388,$A389&lt;&gt;$A388),and(not(isblank($A389)),$A389=$A388,$B389&lt;&gt;$B388)),"ID LISTS UNALIGNED",and($A389&lt;&gt;"",countif('5) Release_Track'!$F:$F,$A389)=0),"NO ISRC MATCH in Release_Track",and($B389&lt;&gt;"",countif('5) Release_Track'!$G:$G,$B389)=0),"NO CATALOG ID MATCH in Release_Track",iserror(vlookup($A389&amp;$B389,'5) Release_Track'!$F:$F&amp;'5) Release_Track'!$G:$G,1,0)),"NO ISRC-CATALOG ID pair MATCH in Release_Track" )</f>
        <v/>
      </c>
      <c r="D389" s="121" t="str">
        <f t="array" ref="D389">ifs(and(isblank($A389),isblank($B389)),"", not(iserror(vlookup($A389&amp;$B389,'5) Release_Track'!$F:$F&amp;'5) Release_Track'!$G:$G,1,0))),vlookup($A389&amp;$B389,{'5) Release_Track'!$F:$F&amp;'5) Release_Track'!$G:$G,'5) Release_Track'!$I:$I},2,0), or(and(not(isblank($B389)),$B389=$B388,$A389&lt;&gt;$A388),and(not(isblank($A389)),$A389=$A388,$B389&lt;&gt;$B388)),"ID LISTS UNALIGNED",and($A389&lt;&gt;"",countif('5) Release_Track'!$F:$F,$A389)=0),"NO ISRC MATCH in Release_Track",and($B389&lt;&gt;"",countif('5) Release_Track'!$G:$G,$B389)=0),"NO CATALOG ID MATCH in Release_Track",iserror(vlookup($A389&amp;$B389,'5) Release_Track'!$F:$F&amp;'5) Release_Track'!$G:$G,1,0)),"NO ISRC-CATALOG ID pair MATCH in Release_Track" )</f>
        <v/>
      </c>
      <c r="E389" s="142" t="b">
        <v>0</v>
      </c>
      <c r="F389" s="142" t="b">
        <v>0</v>
      </c>
      <c r="G389" s="142" t="b">
        <v>0</v>
      </c>
      <c r="H389" s="142" t="b">
        <v>0</v>
      </c>
      <c r="I389" s="142" t="b">
        <v>0</v>
      </c>
      <c r="J389" s="142" t="b">
        <v>0</v>
      </c>
      <c r="K389" s="142" t="b">
        <v>0</v>
      </c>
      <c r="L389" s="8" t="b">
        <v>0</v>
      </c>
    </row>
    <row r="390">
      <c r="B390" s="103"/>
      <c r="C390" s="121" t="str">
        <f t="array" ref="C390">ifs(and(isblank($A390),isblank($B390)),"", not(iserror(vlookup($A390&amp;$B390,'5) Release_Track'!$F:$F&amp;'5) Release_Track'!$G:$G,1,0))),vlookup($A390&amp;$B390,{'5) Release_Track'!$F:$F&amp;'5) Release_Track'!$G:$G,'5) Release_Track'!$H:$H},2,0), or(and(not(isblank($B390)),$B390=$B389,$A390&lt;&gt;$A389),and(not(isblank($A390)),$A390=$A389,$B390&lt;&gt;$B389)),"ID LISTS UNALIGNED",and($A390&lt;&gt;"",countif('5) Release_Track'!$F:$F,$A390)=0),"NO ISRC MATCH in Release_Track",and($B390&lt;&gt;"",countif('5) Release_Track'!$G:$G,$B390)=0),"NO CATALOG ID MATCH in Release_Track",iserror(vlookup($A390&amp;$B390,'5) Release_Track'!$F:$F&amp;'5) Release_Track'!$G:$G,1,0)),"NO ISRC-CATALOG ID pair MATCH in Release_Track" )</f>
        <v/>
      </c>
      <c r="D390" s="121" t="str">
        <f t="array" ref="D390">ifs(and(isblank($A390),isblank($B390)),"", not(iserror(vlookup($A390&amp;$B390,'5) Release_Track'!$F:$F&amp;'5) Release_Track'!$G:$G,1,0))),vlookup($A390&amp;$B390,{'5) Release_Track'!$F:$F&amp;'5) Release_Track'!$G:$G,'5) Release_Track'!$I:$I},2,0), or(and(not(isblank($B390)),$B390=$B389,$A390&lt;&gt;$A389),and(not(isblank($A390)),$A390=$A389,$B390&lt;&gt;$B389)),"ID LISTS UNALIGNED",and($A390&lt;&gt;"",countif('5) Release_Track'!$F:$F,$A390)=0),"NO ISRC MATCH in Release_Track",and($B390&lt;&gt;"",countif('5) Release_Track'!$G:$G,$B390)=0),"NO CATALOG ID MATCH in Release_Track",iserror(vlookup($A390&amp;$B390,'5) Release_Track'!$F:$F&amp;'5) Release_Track'!$G:$G,1,0)),"NO ISRC-CATALOG ID pair MATCH in Release_Track" )</f>
        <v/>
      </c>
      <c r="E390" s="142" t="b">
        <v>0</v>
      </c>
      <c r="F390" s="142" t="b">
        <v>0</v>
      </c>
      <c r="G390" s="142" t="b">
        <v>0</v>
      </c>
      <c r="H390" s="142" t="b">
        <v>0</v>
      </c>
      <c r="I390" s="142" t="b">
        <v>0</v>
      </c>
      <c r="J390" s="142" t="b">
        <v>0</v>
      </c>
      <c r="K390" s="142" t="b">
        <v>0</v>
      </c>
      <c r="L390" s="8" t="b">
        <v>0</v>
      </c>
    </row>
    <row r="391">
      <c r="B391" s="103"/>
      <c r="C391" s="121" t="str">
        <f t="array" ref="C391">ifs(and(isblank($A391),isblank($B391)),"", not(iserror(vlookup($A391&amp;$B391,'5) Release_Track'!$F:$F&amp;'5) Release_Track'!$G:$G,1,0))),vlookup($A391&amp;$B391,{'5) Release_Track'!$F:$F&amp;'5) Release_Track'!$G:$G,'5) Release_Track'!$H:$H},2,0), or(and(not(isblank($B391)),$B391=$B390,$A391&lt;&gt;$A390),and(not(isblank($A391)),$A391=$A390,$B391&lt;&gt;$B390)),"ID LISTS UNALIGNED",and($A391&lt;&gt;"",countif('5) Release_Track'!$F:$F,$A391)=0),"NO ISRC MATCH in Release_Track",and($B391&lt;&gt;"",countif('5) Release_Track'!$G:$G,$B391)=0),"NO CATALOG ID MATCH in Release_Track",iserror(vlookup($A391&amp;$B391,'5) Release_Track'!$F:$F&amp;'5) Release_Track'!$G:$G,1,0)),"NO ISRC-CATALOG ID pair MATCH in Release_Track" )</f>
        <v/>
      </c>
      <c r="D391" s="121" t="str">
        <f t="array" ref="D391">ifs(and(isblank($A391),isblank($B391)),"", not(iserror(vlookup($A391&amp;$B391,'5) Release_Track'!$F:$F&amp;'5) Release_Track'!$G:$G,1,0))),vlookup($A391&amp;$B391,{'5) Release_Track'!$F:$F&amp;'5) Release_Track'!$G:$G,'5) Release_Track'!$I:$I},2,0), or(and(not(isblank($B391)),$B391=$B390,$A391&lt;&gt;$A390),and(not(isblank($A391)),$A391=$A390,$B391&lt;&gt;$B390)),"ID LISTS UNALIGNED",and($A391&lt;&gt;"",countif('5) Release_Track'!$F:$F,$A391)=0),"NO ISRC MATCH in Release_Track",and($B391&lt;&gt;"",countif('5) Release_Track'!$G:$G,$B391)=0),"NO CATALOG ID MATCH in Release_Track",iserror(vlookup($A391&amp;$B391,'5) Release_Track'!$F:$F&amp;'5) Release_Track'!$G:$G,1,0)),"NO ISRC-CATALOG ID pair MATCH in Release_Track" )</f>
        <v/>
      </c>
      <c r="E391" s="142" t="b">
        <v>0</v>
      </c>
      <c r="F391" s="142" t="b">
        <v>0</v>
      </c>
      <c r="G391" s="142" t="b">
        <v>0</v>
      </c>
      <c r="H391" s="142" t="b">
        <v>0</v>
      </c>
      <c r="I391" s="142" t="b">
        <v>0</v>
      </c>
      <c r="J391" s="142" t="b">
        <v>0</v>
      </c>
      <c r="K391" s="142" t="b">
        <v>0</v>
      </c>
      <c r="L391" s="8" t="b">
        <v>0</v>
      </c>
    </row>
    <row r="392">
      <c r="B392" s="103"/>
      <c r="C392" s="121" t="str">
        <f t="array" ref="C392">ifs(and(isblank($A392),isblank($B392)),"", not(iserror(vlookup($A392&amp;$B392,'5) Release_Track'!$F:$F&amp;'5) Release_Track'!$G:$G,1,0))),vlookup($A392&amp;$B392,{'5) Release_Track'!$F:$F&amp;'5) Release_Track'!$G:$G,'5) Release_Track'!$H:$H},2,0), or(and(not(isblank($B392)),$B392=$B391,$A392&lt;&gt;$A391),and(not(isblank($A392)),$A392=$A391,$B392&lt;&gt;$B391)),"ID LISTS UNALIGNED",and($A392&lt;&gt;"",countif('5) Release_Track'!$F:$F,$A392)=0),"NO ISRC MATCH in Release_Track",and($B392&lt;&gt;"",countif('5) Release_Track'!$G:$G,$B392)=0),"NO CATALOG ID MATCH in Release_Track",iserror(vlookup($A392&amp;$B392,'5) Release_Track'!$F:$F&amp;'5) Release_Track'!$G:$G,1,0)),"NO ISRC-CATALOG ID pair MATCH in Release_Track" )</f>
        <v/>
      </c>
      <c r="D392" s="121" t="str">
        <f t="array" ref="D392">ifs(and(isblank($A392),isblank($B392)),"", not(iserror(vlookup($A392&amp;$B392,'5) Release_Track'!$F:$F&amp;'5) Release_Track'!$G:$G,1,0))),vlookup($A392&amp;$B392,{'5) Release_Track'!$F:$F&amp;'5) Release_Track'!$G:$G,'5) Release_Track'!$I:$I},2,0), or(and(not(isblank($B392)),$B392=$B391,$A392&lt;&gt;$A391),and(not(isblank($A392)),$A392=$A391,$B392&lt;&gt;$B391)),"ID LISTS UNALIGNED",and($A392&lt;&gt;"",countif('5) Release_Track'!$F:$F,$A392)=0),"NO ISRC MATCH in Release_Track",and($B392&lt;&gt;"",countif('5) Release_Track'!$G:$G,$B392)=0),"NO CATALOG ID MATCH in Release_Track",iserror(vlookup($A392&amp;$B392,'5) Release_Track'!$F:$F&amp;'5) Release_Track'!$G:$G,1,0)),"NO ISRC-CATALOG ID pair MATCH in Release_Track" )</f>
        <v/>
      </c>
      <c r="E392" s="142" t="b">
        <v>0</v>
      </c>
      <c r="F392" s="142" t="b">
        <v>0</v>
      </c>
      <c r="G392" s="142" t="b">
        <v>0</v>
      </c>
      <c r="H392" s="142" t="b">
        <v>0</v>
      </c>
      <c r="I392" s="142" t="b">
        <v>0</v>
      </c>
      <c r="J392" s="142" t="b">
        <v>0</v>
      </c>
      <c r="K392" s="142" t="b">
        <v>0</v>
      </c>
      <c r="L392" s="8" t="b">
        <v>0</v>
      </c>
    </row>
    <row r="393">
      <c r="B393" s="103"/>
      <c r="C393" s="121" t="str">
        <f t="array" ref="C393">ifs(and(isblank($A393),isblank($B393)),"", not(iserror(vlookup($A393&amp;$B393,'5) Release_Track'!$F:$F&amp;'5) Release_Track'!$G:$G,1,0))),vlookup($A393&amp;$B393,{'5) Release_Track'!$F:$F&amp;'5) Release_Track'!$G:$G,'5) Release_Track'!$H:$H},2,0), or(and(not(isblank($B393)),$B393=$B392,$A393&lt;&gt;$A392),and(not(isblank($A393)),$A393=$A392,$B393&lt;&gt;$B392)),"ID LISTS UNALIGNED",and($A393&lt;&gt;"",countif('5) Release_Track'!$F:$F,$A393)=0),"NO ISRC MATCH in Release_Track",and($B393&lt;&gt;"",countif('5) Release_Track'!$G:$G,$B393)=0),"NO CATALOG ID MATCH in Release_Track",iserror(vlookup($A393&amp;$B393,'5) Release_Track'!$F:$F&amp;'5) Release_Track'!$G:$G,1,0)),"NO ISRC-CATALOG ID pair MATCH in Release_Track" )</f>
        <v/>
      </c>
      <c r="D393" s="121" t="str">
        <f t="array" ref="D393">ifs(and(isblank($A393),isblank($B393)),"", not(iserror(vlookup($A393&amp;$B393,'5) Release_Track'!$F:$F&amp;'5) Release_Track'!$G:$G,1,0))),vlookup($A393&amp;$B393,{'5) Release_Track'!$F:$F&amp;'5) Release_Track'!$G:$G,'5) Release_Track'!$I:$I},2,0), or(and(not(isblank($B393)),$B393=$B392,$A393&lt;&gt;$A392),and(not(isblank($A393)),$A393=$A392,$B393&lt;&gt;$B392)),"ID LISTS UNALIGNED",and($A393&lt;&gt;"",countif('5) Release_Track'!$F:$F,$A393)=0),"NO ISRC MATCH in Release_Track",and($B393&lt;&gt;"",countif('5) Release_Track'!$G:$G,$B393)=0),"NO CATALOG ID MATCH in Release_Track",iserror(vlookup($A393&amp;$B393,'5) Release_Track'!$F:$F&amp;'5) Release_Track'!$G:$G,1,0)),"NO ISRC-CATALOG ID pair MATCH in Release_Track" )</f>
        <v/>
      </c>
      <c r="E393" s="142" t="b">
        <v>0</v>
      </c>
      <c r="F393" s="142" t="b">
        <v>0</v>
      </c>
      <c r="G393" s="142" t="b">
        <v>0</v>
      </c>
      <c r="H393" s="142" t="b">
        <v>0</v>
      </c>
      <c r="I393" s="142" t="b">
        <v>0</v>
      </c>
      <c r="J393" s="142" t="b">
        <v>0</v>
      </c>
      <c r="K393" s="142" t="b">
        <v>0</v>
      </c>
      <c r="L393" s="8" t="b">
        <v>0</v>
      </c>
    </row>
    <row r="394">
      <c r="B394" s="103"/>
      <c r="C394" s="121" t="str">
        <f t="array" ref="C394">ifs(and(isblank($A394),isblank($B394)),"", not(iserror(vlookup($A394&amp;$B394,'5) Release_Track'!$F:$F&amp;'5) Release_Track'!$G:$G,1,0))),vlookup($A394&amp;$B394,{'5) Release_Track'!$F:$F&amp;'5) Release_Track'!$G:$G,'5) Release_Track'!$H:$H},2,0), or(and(not(isblank($B394)),$B394=$B393,$A394&lt;&gt;$A393),and(not(isblank($A394)),$A394=$A393,$B394&lt;&gt;$B393)),"ID LISTS UNALIGNED",and($A394&lt;&gt;"",countif('5) Release_Track'!$F:$F,$A394)=0),"NO ISRC MATCH in Release_Track",and($B394&lt;&gt;"",countif('5) Release_Track'!$G:$G,$B394)=0),"NO CATALOG ID MATCH in Release_Track",iserror(vlookup($A394&amp;$B394,'5) Release_Track'!$F:$F&amp;'5) Release_Track'!$G:$G,1,0)),"NO ISRC-CATALOG ID pair MATCH in Release_Track" )</f>
        <v/>
      </c>
      <c r="D394" s="121" t="str">
        <f t="array" ref="D394">ifs(and(isblank($A394),isblank($B394)),"", not(iserror(vlookup($A394&amp;$B394,'5) Release_Track'!$F:$F&amp;'5) Release_Track'!$G:$G,1,0))),vlookup($A394&amp;$B394,{'5) Release_Track'!$F:$F&amp;'5) Release_Track'!$G:$G,'5) Release_Track'!$I:$I},2,0), or(and(not(isblank($B394)),$B394=$B393,$A394&lt;&gt;$A393),and(not(isblank($A394)),$A394=$A393,$B394&lt;&gt;$B393)),"ID LISTS UNALIGNED",and($A394&lt;&gt;"",countif('5) Release_Track'!$F:$F,$A394)=0),"NO ISRC MATCH in Release_Track",and($B394&lt;&gt;"",countif('5) Release_Track'!$G:$G,$B394)=0),"NO CATALOG ID MATCH in Release_Track",iserror(vlookup($A394&amp;$B394,'5) Release_Track'!$F:$F&amp;'5) Release_Track'!$G:$G,1,0)),"NO ISRC-CATALOG ID pair MATCH in Release_Track" )</f>
        <v/>
      </c>
      <c r="E394" s="142" t="b">
        <v>0</v>
      </c>
      <c r="F394" s="142" t="b">
        <v>0</v>
      </c>
      <c r="G394" s="142" t="b">
        <v>0</v>
      </c>
      <c r="H394" s="142" t="b">
        <v>0</v>
      </c>
      <c r="I394" s="142" t="b">
        <v>0</v>
      </c>
      <c r="J394" s="142" t="b">
        <v>0</v>
      </c>
      <c r="K394" s="142" t="b">
        <v>0</v>
      </c>
      <c r="L394" s="8" t="b">
        <v>0</v>
      </c>
    </row>
    <row r="395">
      <c r="B395" s="103"/>
      <c r="C395" s="121" t="str">
        <f t="array" ref="C395">ifs(and(isblank($A395),isblank($B395)),"", not(iserror(vlookup($A395&amp;$B395,'5) Release_Track'!$F:$F&amp;'5) Release_Track'!$G:$G,1,0))),vlookup($A395&amp;$B395,{'5) Release_Track'!$F:$F&amp;'5) Release_Track'!$G:$G,'5) Release_Track'!$H:$H},2,0), or(and(not(isblank($B395)),$B395=$B394,$A395&lt;&gt;$A394),and(not(isblank($A395)),$A395=$A394,$B395&lt;&gt;$B394)),"ID LISTS UNALIGNED",and($A395&lt;&gt;"",countif('5) Release_Track'!$F:$F,$A395)=0),"NO ISRC MATCH in Release_Track",and($B395&lt;&gt;"",countif('5) Release_Track'!$G:$G,$B395)=0),"NO CATALOG ID MATCH in Release_Track",iserror(vlookup($A395&amp;$B395,'5) Release_Track'!$F:$F&amp;'5) Release_Track'!$G:$G,1,0)),"NO ISRC-CATALOG ID pair MATCH in Release_Track" )</f>
        <v/>
      </c>
      <c r="D395" s="121" t="str">
        <f t="array" ref="D395">ifs(and(isblank($A395),isblank($B395)),"", not(iserror(vlookup($A395&amp;$B395,'5) Release_Track'!$F:$F&amp;'5) Release_Track'!$G:$G,1,0))),vlookup($A395&amp;$B395,{'5) Release_Track'!$F:$F&amp;'5) Release_Track'!$G:$G,'5) Release_Track'!$I:$I},2,0), or(and(not(isblank($B395)),$B395=$B394,$A395&lt;&gt;$A394),and(not(isblank($A395)),$A395=$A394,$B395&lt;&gt;$B394)),"ID LISTS UNALIGNED",and($A395&lt;&gt;"",countif('5) Release_Track'!$F:$F,$A395)=0),"NO ISRC MATCH in Release_Track",and($B395&lt;&gt;"",countif('5) Release_Track'!$G:$G,$B395)=0),"NO CATALOG ID MATCH in Release_Track",iserror(vlookup($A395&amp;$B395,'5) Release_Track'!$F:$F&amp;'5) Release_Track'!$G:$G,1,0)),"NO ISRC-CATALOG ID pair MATCH in Release_Track" )</f>
        <v/>
      </c>
      <c r="E395" s="142" t="b">
        <v>0</v>
      </c>
      <c r="F395" s="142" t="b">
        <v>0</v>
      </c>
      <c r="G395" s="142" t="b">
        <v>0</v>
      </c>
      <c r="H395" s="142" t="b">
        <v>0</v>
      </c>
      <c r="I395" s="142" t="b">
        <v>0</v>
      </c>
      <c r="J395" s="142" t="b">
        <v>0</v>
      </c>
      <c r="K395" s="142" t="b">
        <v>0</v>
      </c>
      <c r="L395" s="8" t="b">
        <v>0</v>
      </c>
    </row>
    <row r="396">
      <c r="B396" s="103"/>
      <c r="C396" s="121" t="str">
        <f t="array" ref="C396">ifs(and(isblank($A396),isblank($B396)),"", not(iserror(vlookup($A396&amp;$B396,'5) Release_Track'!$F:$F&amp;'5) Release_Track'!$G:$G,1,0))),vlookup($A396&amp;$B396,{'5) Release_Track'!$F:$F&amp;'5) Release_Track'!$G:$G,'5) Release_Track'!$H:$H},2,0), or(and(not(isblank($B396)),$B396=$B395,$A396&lt;&gt;$A395),and(not(isblank($A396)),$A396=$A395,$B396&lt;&gt;$B395)),"ID LISTS UNALIGNED",and($A396&lt;&gt;"",countif('5) Release_Track'!$F:$F,$A396)=0),"NO ISRC MATCH in Release_Track",and($B396&lt;&gt;"",countif('5) Release_Track'!$G:$G,$B396)=0),"NO CATALOG ID MATCH in Release_Track",iserror(vlookup($A396&amp;$B396,'5) Release_Track'!$F:$F&amp;'5) Release_Track'!$G:$G,1,0)),"NO ISRC-CATALOG ID pair MATCH in Release_Track" )</f>
        <v/>
      </c>
      <c r="D396" s="121" t="str">
        <f t="array" ref="D396">ifs(and(isblank($A396),isblank($B396)),"", not(iserror(vlookup($A396&amp;$B396,'5) Release_Track'!$F:$F&amp;'5) Release_Track'!$G:$G,1,0))),vlookup($A396&amp;$B396,{'5) Release_Track'!$F:$F&amp;'5) Release_Track'!$G:$G,'5) Release_Track'!$I:$I},2,0), or(and(not(isblank($B396)),$B396=$B395,$A396&lt;&gt;$A395),and(not(isblank($A396)),$A396=$A395,$B396&lt;&gt;$B395)),"ID LISTS UNALIGNED",and($A396&lt;&gt;"",countif('5) Release_Track'!$F:$F,$A396)=0),"NO ISRC MATCH in Release_Track",and($B396&lt;&gt;"",countif('5) Release_Track'!$G:$G,$B396)=0),"NO CATALOG ID MATCH in Release_Track",iserror(vlookup($A396&amp;$B396,'5) Release_Track'!$F:$F&amp;'5) Release_Track'!$G:$G,1,0)),"NO ISRC-CATALOG ID pair MATCH in Release_Track" )</f>
        <v/>
      </c>
      <c r="E396" s="142" t="b">
        <v>0</v>
      </c>
      <c r="F396" s="142" t="b">
        <v>0</v>
      </c>
      <c r="G396" s="142" t="b">
        <v>0</v>
      </c>
      <c r="H396" s="142" t="b">
        <v>0</v>
      </c>
      <c r="I396" s="142" t="b">
        <v>0</v>
      </c>
      <c r="J396" s="142" t="b">
        <v>0</v>
      </c>
      <c r="K396" s="142" t="b">
        <v>0</v>
      </c>
      <c r="L396" s="8" t="b">
        <v>0</v>
      </c>
    </row>
    <row r="397">
      <c r="B397" s="103"/>
      <c r="C397" s="121" t="str">
        <f t="array" ref="C397">ifs(and(isblank($A397),isblank($B397)),"", not(iserror(vlookup($A397&amp;$B397,'5) Release_Track'!$F:$F&amp;'5) Release_Track'!$G:$G,1,0))),vlookup($A397&amp;$B397,{'5) Release_Track'!$F:$F&amp;'5) Release_Track'!$G:$G,'5) Release_Track'!$H:$H},2,0), or(and(not(isblank($B397)),$B397=$B396,$A397&lt;&gt;$A396),and(not(isblank($A397)),$A397=$A396,$B397&lt;&gt;$B396)),"ID LISTS UNALIGNED",and($A397&lt;&gt;"",countif('5) Release_Track'!$F:$F,$A397)=0),"NO ISRC MATCH in Release_Track",and($B397&lt;&gt;"",countif('5) Release_Track'!$G:$G,$B397)=0),"NO CATALOG ID MATCH in Release_Track",iserror(vlookup($A397&amp;$B397,'5) Release_Track'!$F:$F&amp;'5) Release_Track'!$G:$G,1,0)),"NO ISRC-CATALOG ID pair MATCH in Release_Track" )</f>
        <v/>
      </c>
      <c r="D397" s="121" t="str">
        <f t="array" ref="D397">ifs(and(isblank($A397),isblank($B397)),"", not(iserror(vlookup($A397&amp;$B397,'5) Release_Track'!$F:$F&amp;'5) Release_Track'!$G:$G,1,0))),vlookup($A397&amp;$B397,{'5) Release_Track'!$F:$F&amp;'5) Release_Track'!$G:$G,'5) Release_Track'!$I:$I},2,0), or(and(not(isblank($B397)),$B397=$B396,$A397&lt;&gt;$A396),and(not(isblank($A397)),$A397=$A396,$B397&lt;&gt;$B396)),"ID LISTS UNALIGNED",and($A397&lt;&gt;"",countif('5) Release_Track'!$F:$F,$A397)=0),"NO ISRC MATCH in Release_Track",and($B397&lt;&gt;"",countif('5) Release_Track'!$G:$G,$B397)=0),"NO CATALOG ID MATCH in Release_Track",iserror(vlookup($A397&amp;$B397,'5) Release_Track'!$F:$F&amp;'5) Release_Track'!$G:$G,1,0)),"NO ISRC-CATALOG ID pair MATCH in Release_Track" )</f>
        <v/>
      </c>
      <c r="E397" s="142" t="b">
        <v>0</v>
      </c>
      <c r="F397" s="142" t="b">
        <v>0</v>
      </c>
      <c r="G397" s="142" t="b">
        <v>0</v>
      </c>
      <c r="H397" s="142" t="b">
        <v>0</v>
      </c>
      <c r="I397" s="142" t="b">
        <v>0</v>
      </c>
      <c r="J397" s="142" t="b">
        <v>0</v>
      </c>
      <c r="K397" s="142" t="b">
        <v>0</v>
      </c>
      <c r="L397" s="8" t="b">
        <v>0</v>
      </c>
    </row>
    <row r="398">
      <c r="B398" s="103"/>
      <c r="C398" s="121" t="str">
        <f t="array" ref="C398">ifs(and(isblank($A398),isblank($B398)),"", not(iserror(vlookup($A398&amp;$B398,'5) Release_Track'!$F:$F&amp;'5) Release_Track'!$G:$G,1,0))),vlookup($A398&amp;$B398,{'5) Release_Track'!$F:$F&amp;'5) Release_Track'!$G:$G,'5) Release_Track'!$H:$H},2,0), or(and(not(isblank($B398)),$B398=$B397,$A398&lt;&gt;$A397),and(not(isblank($A398)),$A398=$A397,$B398&lt;&gt;$B397)),"ID LISTS UNALIGNED",and($A398&lt;&gt;"",countif('5) Release_Track'!$F:$F,$A398)=0),"NO ISRC MATCH in Release_Track",and($B398&lt;&gt;"",countif('5) Release_Track'!$G:$G,$B398)=0),"NO CATALOG ID MATCH in Release_Track",iserror(vlookup($A398&amp;$B398,'5) Release_Track'!$F:$F&amp;'5) Release_Track'!$G:$G,1,0)),"NO ISRC-CATALOG ID pair MATCH in Release_Track" )</f>
        <v/>
      </c>
      <c r="D398" s="121" t="str">
        <f t="array" ref="D398">ifs(and(isblank($A398),isblank($B398)),"", not(iserror(vlookup($A398&amp;$B398,'5) Release_Track'!$F:$F&amp;'5) Release_Track'!$G:$G,1,0))),vlookup($A398&amp;$B398,{'5) Release_Track'!$F:$F&amp;'5) Release_Track'!$G:$G,'5) Release_Track'!$I:$I},2,0), or(and(not(isblank($B398)),$B398=$B397,$A398&lt;&gt;$A397),and(not(isblank($A398)),$A398=$A397,$B398&lt;&gt;$B397)),"ID LISTS UNALIGNED",and($A398&lt;&gt;"",countif('5) Release_Track'!$F:$F,$A398)=0),"NO ISRC MATCH in Release_Track",and($B398&lt;&gt;"",countif('5) Release_Track'!$G:$G,$B398)=0),"NO CATALOG ID MATCH in Release_Track",iserror(vlookup($A398&amp;$B398,'5) Release_Track'!$F:$F&amp;'5) Release_Track'!$G:$G,1,0)),"NO ISRC-CATALOG ID pair MATCH in Release_Track" )</f>
        <v/>
      </c>
      <c r="E398" s="142" t="b">
        <v>0</v>
      </c>
      <c r="F398" s="142" t="b">
        <v>0</v>
      </c>
      <c r="G398" s="142" t="b">
        <v>0</v>
      </c>
      <c r="H398" s="142" t="b">
        <v>0</v>
      </c>
      <c r="I398" s="142" t="b">
        <v>0</v>
      </c>
      <c r="J398" s="142" t="b">
        <v>0</v>
      </c>
      <c r="K398" s="142" t="b">
        <v>0</v>
      </c>
      <c r="L398" s="8" t="b">
        <v>0</v>
      </c>
    </row>
    <row r="399">
      <c r="B399" s="103"/>
      <c r="C399" s="121" t="str">
        <f t="array" ref="C399">ifs(and(isblank($A399),isblank($B399)),"", not(iserror(vlookup($A399&amp;$B399,'5) Release_Track'!$F:$F&amp;'5) Release_Track'!$G:$G,1,0))),vlookup($A399&amp;$B399,{'5) Release_Track'!$F:$F&amp;'5) Release_Track'!$G:$G,'5) Release_Track'!$H:$H},2,0), or(and(not(isblank($B399)),$B399=$B398,$A399&lt;&gt;$A398),and(not(isblank($A399)),$A399=$A398,$B399&lt;&gt;$B398)),"ID LISTS UNALIGNED",and($A399&lt;&gt;"",countif('5) Release_Track'!$F:$F,$A399)=0),"NO ISRC MATCH in Release_Track",and($B399&lt;&gt;"",countif('5) Release_Track'!$G:$G,$B399)=0),"NO CATALOG ID MATCH in Release_Track",iserror(vlookup($A399&amp;$B399,'5) Release_Track'!$F:$F&amp;'5) Release_Track'!$G:$G,1,0)),"NO ISRC-CATALOG ID pair MATCH in Release_Track" )</f>
        <v/>
      </c>
      <c r="D399" s="121" t="str">
        <f t="array" ref="D399">ifs(and(isblank($A399),isblank($B399)),"", not(iserror(vlookup($A399&amp;$B399,'5) Release_Track'!$F:$F&amp;'5) Release_Track'!$G:$G,1,0))),vlookup($A399&amp;$B399,{'5) Release_Track'!$F:$F&amp;'5) Release_Track'!$G:$G,'5) Release_Track'!$I:$I},2,0), or(and(not(isblank($B399)),$B399=$B398,$A399&lt;&gt;$A398),and(not(isblank($A399)),$A399=$A398,$B399&lt;&gt;$B398)),"ID LISTS UNALIGNED",and($A399&lt;&gt;"",countif('5) Release_Track'!$F:$F,$A399)=0),"NO ISRC MATCH in Release_Track",and($B399&lt;&gt;"",countif('5) Release_Track'!$G:$G,$B399)=0),"NO CATALOG ID MATCH in Release_Track",iserror(vlookup($A399&amp;$B399,'5) Release_Track'!$F:$F&amp;'5) Release_Track'!$G:$G,1,0)),"NO ISRC-CATALOG ID pair MATCH in Release_Track" )</f>
        <v/>
      </c>
      <c r="E399" s="142" t="b">
        <v>0</v>
      </c>
      <c r="F399" s="142" t="b">
        <v>0</v>
      </c>
      <c r="G399" s="142" t="b">
        <v>0</v>
      </c>
      <c r="H399" s="142" t="b">
        <v>0</v>
      </c>
      <c r="I399" s="142" t="b">
        <v>0</v>
      </c>
      <c r="J399" s="142" t="b">
        <v>0</v>
      </c>
      <c r="K399" s="142" t="b">
        <v>0</v>
      </c>
      <c r="L399" s="8" t="b">
        <v>0</v>
      </c>
    </row>
    <row r="400">
      <c r="B400" s="103"/>
      <c r="C400" s="121" t="str">
        <f t="array" ref="C400">ifs(and(isblank($A400),isblank($B400)),"", not(iserror(vlookup($A400&amp;$B400,'5) Release_Track'!$F:$F&amp;'5) Release_Track'!$G:$G,1,0))),vlookup($A400&amp;$B400,{'5) Release_Track'!$F:$F&amp;'5) Release_Track'!$G:$G,'5) Release_Track'!$H:$H},2,0), or(and(not(isblank($B400)),$B400=$B399,$A400&lt;&gt;$A399),and(not(isblank($A400)),$A400=$A399,$B400&lt;&gt;$B399)),"ID LISTS UNALIGNED",and($A400&lt;&gt;"",countif('5) Release_Track'!$F:$F,$A400)=0),"NO ISRC MATCH in Release_Track",and($B400&lt;&gt;"",countif('5) Release_Track'!$G:$G,$B400)=0),"NO CATALOG ID MATCH in Release_Track",iserror(vlookup($A400&amp;$B400,'5) Release_Track'!$F:$F&amp;'5) Release_Track'!$G:$G,1,0)),"NO ISRC-CATALOG ID pair MATCH in Release_Track" )</f>
        <v/>
      </c>
      <c r="D400" s="121" t="str">
        <f t="array" ref="D400">ifs(and(isblank($A400),isblank($B400)),"", not(iserror(vlookup($A400&amp;$B400,'5) Release_Track'!$F:$F&amp;'5) Release_Track'!$G:$G,1,0))),vlookup($A400&amp;$B400,{'5) Release_Track'!$F:$F&amp;'5) Release_Track'!$G:$G,'5) Release_Track'!$I:$I},2,0), or(and(not(isblank($B400)),$B400=$B399,$A400&lt;&gt;$A399),and(not(isblank($A400)),$A400=$A399,$B400&lt;&gt;$B399)),"ID LISTS UNALIGNED",and($A400&lt;&gt;"",countif('5) Release_Track'!$F:$F,$A400)=0),"NO ISRC MATCH in Release_Track",and($B400&lt;&gt;"",countif('5) Release_Track'!$G:$G,$B400)=0),"NO CATALOG ID MATCH in Release_Track",iserror(vlookup($A400&amp;$B400,'5) Release_Track'!$F:$F&amp;'5) Release_Track'!$G:$G,1,0)),"NO ISRC-CATALOG ID pair MATCH in Release_Track" )</f>
        <v/>
      </c>
      <c r="E400" s="142" t="b">
        <v>0</v>
      </c>
      <c r="F400" s="142" t="b">
        <v>0</v>
      </c>
      <c r="G400" s="142" t="b">
        <v>0</v>
      </c>
      <c r="H400" s="142" t="b">
        <v>0</v>
      </c>
      <c r="I400" s="142" t="b">
        <v>0</v>
      </c>
      <c r="J400" s="142" t="b">
        <v>0</v>
      </c>
      <c r="K400" s="142" t="b">
        <v>0</v>
      </c>
      <c r="L400" s="8" t="b">
        <v>0</v>
      </c>
    </row>
    <row r="401">
      <c r="B401" s="103"/>
      <c r="C401" s="121" t="str">
        <f t="array" ref="C401">ifs(and(isblank($A401),isblank($B401)),"", not(iserror(vlookup($A401&amp;$B401,'5) Release_Track'!$F:$F&amp;'5) Release_Track'!$G:$G,1,0))),vlookup($A401&amp;$B401,{'5) Release_Track'!$F:$F&amp;'5) Release_Track'!$G:$G,'5) Release_Track'!$H:$H},2,0), or(and(not(isblank($B401)),$B401=$B400,$A401&lt;&gt;$A400),and(not(isblank($A401)),$A401=$A400,$B401&lt;&gt;$B400)),"ID LISTS UNALIGNED",and($A401&lt;&gt;"",countif('5) Release_Track'!$F:$F,$A401)=0),"NO ISRC MATCH in Release_Track",and($B401&lt;&gt;"",countif('5) Release_Track'!$G:$G,$B401)=0),"NO CATALOG ID MATCH in Release_Track",iserror(vlookup($A401&amp;$B401,'5) Release_Track'!$F:$F&amp;'5) Release_Track'!$G:$G,1,0)),"NO ISRC-CATALOG ID pair MATCH in Release_Track" )</f>
        <v/>
      </c>
      <c r="D401" s="121" t="str">
        <f t="array" ref="D401">ifs(and(isblank($A401),isblank($B401)),"", not(iserror(vlookup($A401&amp;$B401,'5) Release_Track'!$F:$F&amp;'5) Release_Track'!$G:$G,1,0))),vlookup($A401&amp;$B401,{'5) Release_Track'!$F:$F&amp;'5) Release_Track'!$G:$G,'5) Release_Track'!$I:$I},2,0), or(and(not(isblank($B401)),$B401=$B400,$A401&lt;&gt;$A400),and(not(isblank($A401)),$A401=$A400,$B401&lt;&gt;$B400)),"ID LISTS UNALIGNED",and($A401&lt;&gt;"",countif('5) Release_Track'!$F:$F,$A401)=0),"NO ISRC MATCH in Release_Track",and($B401&lt;&gt;"",countif('5) Release_Track'!$G:$G,$B401)=0),"NO CATALOG ID MATCH in Release_Track",iserror(vlookup($A401&amp;$B401,'5) Release_Track'!$F:$F&amp;'5) Release_Track'!$G:$G,1,0)),"NO ISRC-CATALOG ID pair MATCH in Release_Track" )</f>
        <v/>
      </c>
      <c r="E401" s="142" t="b">
        <v>0</v>
      </c>
      <c r="F401" s="142" t="b">
        <v>0</v>
      </c>
      <c r="G401" s="142" t="b">
        <v>0</v>
      </c>
      <c r="H401" s="142" t="b">
        <v>0</v>
      </c>
      <c r="I401" s="142" t="b">
        <v>0</v>
      </c>
      <c r="J401" s="142" t="b">
        <v>0</v>
      </c>
      <c r="K401" s="142" t="b">
        <v>0</v>
      </c>
      <c r="L401" s="8" t="b">
        <v>0</v>
      </c>
    </row>
    <row r="402">
      <c r="B402" s="103"/>
      <c r="C402" s="121" t="str">
        <f t="array" ref="C402">ifs(and(isblank($A402),isblank($B402)),"", not(iserror(vlookup($A402&amp;$B402,'5) Release_Track'!$F:$F&amp;'5) Release_Track'!$G:$G,1,0))),vlookup($A402&amp;$B402,{'5) Release_Track'!$F:$F&amp;'5) Release_Track'!$G:$G,'5) Release_Track'!$H:$H},2,0), or(and(not(isblank($B402)),$B402=$B401,$A402&lt;&gt;$A401),and(not(isblank($A402)),$A402=$A401,$B402&lt;&gt;$B401)),"ID LISTS UNALIGNED",and($A402&lt;&gt;"",countif('5) Release_Track'!$F:$F,$A402)=0),"NO ISRC MATCH in Release_Track",and($B402&lt;&gt;"",countif('5) Release_Track'!$G:$G,$B402)=0),"NO CATALOG ID MATCH in Release_Track",iserror(vlookup($A402&amp;$B402,'5) Release_Track'!$F:$F&amp;'5) Release_Track'!$G:$G,1,0)),"NO ISRC-CATALOG ID pair MATCH in Release_Track" )</f>
        <v/>
      </c>
      <c r="D402" s="121" t="str">
        <f t="array" ref="D402">ifs(and(isblank($A402),isblank($B402)),"", not(iserror(vlookup($A402&amp;$B402,'5) Release_Track'!$F:$F&amp;'5) Release_Track'!$G:$G,1,0))),vlookup($A402&amp;$B402,{'5) Release_Track'!$F:$F&amp;'5) Release_Track'!$G:$G,'5) Release_Track'!$I:$I},2,0), or(and(not(isblank($B402)),$B402=$B401,$A402&lt;&gt;$A401),and(not(isblank($A402)),$A402=$A401,$B402&lt;&gt;$B401)),"ID LISTS UNALIGNED",and($A402&lt;&gt;"",countif('5) Release_Track'!$F:$F,$A402)=0),"NO ISRC MATCH in Release_Track",and($B402&lt;&gt;"",countif('5) Release_Track'!$G:$G,$B402)=0),"NO CATALOG ID MATCH in Release_Track",iserror(vlookup($A402&amp;$B402,'5) Release_Track'!$F:$F&amp;'5) Release_Track'!$G:$G,1,0)),"NO ISRC-CATALOG ID pair MATCH in Release_Track" )</f>
        <v/>
      </c>
      <c r="E402" s="142" t="b">
        <v>0</v>
      </c>
      <c r="F402" s="142" t="b">
        <v>0</v>
      </c>
      <c r="G402" s="142" t="b">
        <v>0</v>
      </c>
      <c r="H402" s="142" t="b">
        <v>0</v>
      </c>
      <c r="I402" s="142" t="b">
        <v>0</v>
      </c>
      <c r="J402" s="142" t="b">
        <v>0</v>
      </c>
      <c r="K402" s="142" t="b">
        <v>0</v>
      </c>
      <c r="L402" s="8" t="b">
        <v>0</v>
      </c>
    </row>
    <row r="403">
      <c r="B403" s="103"/>
      <c r="C403" s="121" t="str">
        <f t="array" ref="C403">ifs(and(isblank($A403),isblank($B403)),"", not(iserror(vlookup($A403&amp;$B403,'5) Release_Track'!$F:$F&amp;'5) Release_Track'!$G:$G,1,0))),vlookup($A403&amp;$B403,{'5) Release_Track'!$F:$F&amp;'5) Release_Track'!$G:$G,'5) Release_Track'!$H:$H},2,0), or(and(not(isblank($B403)),$B403=$B402,$A403&lt;&gt;$A402),and(not(isblank($A403)),$A403=$A402,$B403&lt;&gt;$B402)),"ID LISTS UNALIGNED",and($A403&lt;&gt;"",countif('5) Release_Track'!$F:$F,$A403)=0),"NO ISRC MATCH in Release_Track",and($B403&lt;&gt;"",countif('5) Release_Track'!$G:$G,$B403)=0),"NO CATALOG ID MATCH in Release_Track",iserror(vlookup($A403&amp;$B403,'5) Release_Track'!$F:$F&amp;'5) Release_Track'!$G:$G,1,0)),"NO ISRC-CATALOG ID pair MATCH in Release_Track" )</f>
        <v/>
      </c>
      <c r="D403" s="121" t="str">
        <f t="array" ref="D403">ifs(and(isblank($A403),isblank($B403)),"", not(iserror(vlookup($A403&amp;$B403,'5) Release_Track'!$F:$F&amp;'5) Release_Track'!$G:$G,1,0))),vlookup($A403&amp;$B403,{'5) Release_Track'!$F:$F&amp;'5) Release_Track'!$G:$G,'5) Release_Track'!$I:$I},2,0), or(and(not(isblank($B403)),$B403=$B402,$A403&lt;&gt;$A402),and(not(isblank($A403)),$A403=$A402,$B403&lt;&gt;$B402)),"ID LISTS UNALIGNED",and($A403&lt;&gt;"",countif('5) Release_Track'!$F:$F,$A403)=0),"NO ISRC MATCH in Release_Track",and($B403&lt;&gt;"",countif('5) Release_Track'!$G:$G,$B403)=0),"NO CATALOG ID MATCH in Release_Track",iserror(vlookup($A403&amp;$B403,'5) Release_Track'!$F:$F&amp;'5) Release_Track'!$G:$G,1,0)),"NO ISRC-CATALOG ID pair MATCH in Release_Track" )</f>
        <v/>
      </c>
      <c r="E403" s="142" t="b">
        <v>0</v>
      </c>
      <c r="F403" s="142" t="b">
        <v>0</v>
      </c>
      <c r="G403" s="142" t="b">
        <v>0</v>
      </c>
      <c r="H403" s="142" t="b">
        <v>0</v>
      </c>
      <c r="I403" s="142" t="b">
        <v>0</v>
      </c>
      <c r="J403" s="142" t="b">
        <v>0</v>
      </c>
      <c r="K403" s="142" t="b">
        <v>0</v>
      </c>
      <c r="L403" s="8" t="b">
        <v>0</v>
      </c>
    </row>
    <row r="404">
      <c r="B404" s="103"/>
      <c r="C404" s="121" t="str">
        <f t="array" ref="C404">ifs(and(isblank($A404),isblank($B404)),"", not(iserror(vlookup($A404&amp;$B404,'5) Release_Track'!$F:$F&amp;'5) Release_Track'!$G:$G,1,0))),vlookup($A404&amp;$B404,{'5) Release_Track'!$F:$F&amp;'5) Release_Track'!$G:$G,'5) Release_Track'!$H:$H},2,0), or(and(not(isblank($B404)),$B404=$B403,$A404&lt;&gt;$A403),and(not(isblank($A404)),$A404=$A403,$B404&lt;&gt;$B403)),"ID LISTS UNALIGNED",and($A404&lt;&gt;"",countif('5) Release_Track'!$F:$F,$A404)=0),"NO ISRC MATCH in Release_Track",and($B404&lt;&gt;"",countif('5) Release_Track'!$G:$G,$B404)=0),"NO CATALOG ID MATCH in Release_Track",iserror(vlookup($A404&amp;$B404,'5) Release_Track'!$F:$F&amp;'5) Release_Track'!$G:$G,1,0)),"NO ISRC-CATALOG ID pair MATCH in Release_Track" )</f>
        <v/>
      </c>
      <c r="D404" s="121" t="str">
        <f t="array" ref="D404">ifs(and(isblank($A404),isblank($B404)),"", not(iserror(vlookup($A404&amp;$B404,'5) Release_Track'!$F:$F&amp;'5) Release_Track'!$G:$G,1,0))),vlookup($A404&amp;$B404,{'5) Release_Track'!$F:$F&amp;'5) Release_Track'!$G:$G,'5) Release_Track'!$I:$I},2,0), or(and(not(isblank($B404)),$B404=$B403,$A404&lt;&gt;$A403),and(not(isblank($A404)),$A404=$A403,$B404&lt;&gt;$B403)),"ID LISTS UNALIGNED",and($A404&lt;&gt;"",countif('5) Release_Track'!$F:$F,$A404)=0),"NO ISRC MATCH in Release_Track",and($B404&lt;&gt;"",countif('5) Release_Track'!$G:$G,$B404)=0),"NO CATALOG ID MATCH in Release_Track",iserror(vlookup($A404&amp;$B404,'5) Release_Track'!$F:$F&amp;'5) Release_Track'!$G:$G,1,0)),"NO ISRC-CATALOG ID pair MATCH in Release_Track" )</f>
        <v/>
      </c>
      <c r="E404" s="142" t="b">
        <v>0</v>
      </c>
      <c r="F404" s="142" t="b">
        <v>0</v>
      </c>
      <c r="G404" s="142" t="b">
        <v>0</v>
      </c>
      <c r="H404" s="142" t="b">
        <v>0</v>
      </c>
      <c r="I404" s="142" t="b">
        <v>0</v>
      </c>
      <c r="J404" s="142" t="b">
        <v>0</v>
      </c>
      <c r="K404" s="142" t="b">
        <v>0</v>
      </c>
      <c r="L404" s="8" t="b">
        <v>0</v>
      </c>
    </row>
    <row r="405">
      <c r="B405" s="103"/>
      <c r="C405" s="121" t="str">
        <f t="array" ref="C405">ifs(and(isblank($A405),isblank($B405)),"", not(iserror(vlookup($A405&amp;$B405,'5) Release_Track'!$F:$F&amp;'5) Release_Track'!$G:$G,1,0))),vlookup($A405&amp;$B405,{'5) Release_Track'!$F:$F&amp;'5) Release_Track'!$G:$G,'5) Release_Track'!$H:$H},2,0), or(and(not(isblank($B405)),$B405=$B404,$A405&lt;&gt;$A404),and(not(isblank($A405)),$A405=$A404,$B405&lt;&gt;$B404)),"ID LISTS UNALIGNED",and($A405&lt;&gt;"",countif('5) Release_Track'!$F:$F,$A405)=0),"NO ISRC MATCH in Release_Track",and($B405&lt;&gt;"",countif('5) Release_Track'!$G:$G,$B405)=0),"NO CATALOG ID MATCH in Release_Track",iserror(vlookup($A405&amp;$B405,'5) Release_Track'!$F:$F&amp;'5) Release_Track'!$G:$G,1,0)),"NO ISRC-CATALOG ID pair MATCH in Release_Track" )</f>
        <v/>
      </c>
      <c r="D405" s="121" t="str">
        <f t="array" ref="D405">ifs(and(isblank($A405),isblank($B405)),"", not(iserror(vlookup($A405&amp;$B405,'5) Release_Track'!$F:$F&amp;'5) Release_Track'!$G:$G,1,0))),vlookup($A405&amp;$B405,{'5) Release_Track'!$F:$F&amp;'5) Release_Track'!$G:$G,'5) Release_Track'!$I:$I},2,0), or(and(not(isblank($B405)),$B405=$B404,$A405&lt;&gt;$A404),and(not(isblank($A405)),$A405=$A404,$B405&lt;&gt;$B404)),"ID LISTS UNALIGNED",and($A405&lt;&gt;"",countif('5) Release_Track'!$F:$F,$A405)=0),"NO ISRC MATCH in Release_Track",and($B405&lt;&gt;"",countif('5) Release_Track'!$G:$G,$B405)=0),"NO CATALOG ID MATCH in Release_Track",iserror(vlookup($A405&amp;$B405,'5) Release_Track'!$F:$F&amp;'5) Release_Track'!$G:$G,1,0)),"NO ISRC-CATALOG ID pair MATCH in Release_Track" )</f>
        <v/>
      </c>
      <c r="E405" s="142" t="b">
        <v>0</v>
      </c>
      <c r="F405" s="142" t="b">
        <v>0</v>
      </c>
      <c r="G405" s="142" t="b">
        <v>0</v>
      </c>
      <c r="H405" s="142" t="b">
        <v>0</v>
      </c>
      <c r="I405" s="142" t="b">
        <v>0</v>
      </c>
      <c r="J405" s="142" t="b">
        <v>0</v>
      </c>
      <c r="K405" s="142" t="b">
        <v>0</v>
      </c>
      <c r="L405" s="8" t="b">
        <v>0</v>
      </c>
    </row>
    <row r="406">
      <c r="B406" s="103"/>
      <c r="C406" s="121" t="str">
        <f t="array" ref="C406">ifs(and(isblank($A406),isblank($B406)),"", not(iserror(vlookup($A406&amp;$B406,'5) Release_Track'!$F:$F&amp;'5) Release_Track'!$G:$G,1,0))),vlookup($A406&amp;$B406,{'5) Release_Track'!$F:$F&amp;'5) Release_Track'!$G:$G,'5) Release_Track'!$H:$H},2,0), or(and(not(isblank($B406)),$B406=$B405,$A406&lt;&gt;$A405),and(not(isblank($A406)),$A406=$A405,$B406&lt;&gt;$B405)),"ID LISTS UNALIGNED",and($A406&lt;&gt;"",countif('5) Release_Track'!$F:$F,$A406)=0),"NO ISRC MATCH in Release_Track",and($B406&lt;&gt;"",countif('5) Release_Track'!$G:$G,$B406)=0),"NO CATALOG ID MATCH in Release_Track",iserror(vlookup($A406&amp;$B406,'5) Release_Track'!$F:$F&amp;'5) Release_Track'!$G:$G,1,0)),"NO ISRC-CATALOG ID pair MATCH in Release_Track" )</f>
        <v/>
      </c>
      <c r="D406" s="121" t="str">
        <f t="array" ref="D406">ifs(and(isblank($A406),isblank($B406)),"", not(iserror(vlookup($A406&amp;$B406,'5) Release_Track'!$F:$F&amp;'5) Release_Track'!$G:$G,1,0))),vlookup($A406&amp;$B406,{'5) Release_Track'!$F:$F&amp;'5) Release_Track'!$G:$G,'5) Release_Track'!$I:$I},2,0), or(and(not(isblank($B406)),$B406=$B405,$A406&lt;&gt;$A405),and(not(isblank($A406)),$A406=$A405,$B406&lt;&gt;$B405)),"ID LISTS UNALIGNED",and($A406&lt;&gt;"",countif('5) Release_Track'!$F:$F,$A406)=0),"NO ISRC MATCH in Release_Track",and($B406&lt;&gt;"",countif('5) Release_Track'!$G:$G,$B406)=0),"NO CATALOG ID MATCH in Release_Track",iserror(vlookup($A406&amp;$B406,'5) Release_Track'!$F:$F&amp;'5) Release_Track'!$G:$G,1,0)),"NO ISRC-CATALOG ID pair MATCH in Release_Track" )</f>
        <v/>
      </c>
      <c r="E406" s="142" t="b">
        <v>0</v>
      </c>
      <c r="F406" s="142" t="b">
        <v>0</v>
      </c>
      <c r="G406" s="142" t="b">
        <v>0</v>
      </c>
      <c r="H406" s="142" t="b">
        <v>0</v>
      </c>
      <c r="I406" s="142" t="b">
        <v>0</v>
      </c>
      <c r="J406" s="142" t="b">
        <v>0</v>
      </c>
      <c r="K406" s="142" t="b">
        <v>0</v>
      </c>
      <c r="L406" s="8" t="b">
        <v>0</v>
      </c>
    </row>
    <row r="407">
      <c r="B407" s="103"/>
      <c r="C407" s="121" t="str">
        <f t="array" ref="C407">ifs(and(isblank($A407),isblank($B407)),"", not(iserror(vlookup($A407&amp;$B407,'5) Release_Track'!$F:$F&amp;'5) Release_Track'!$G:$G,1,0))),vlookup($A407&amp;$B407,{'5) Release_Track'!$F:$F&amp;'5) Release_Track'!$G:$G,'5) Release_Track'!$H:$H},2,0), or(and(not(isblank($B407)),$B407=$B406,$A407&lt;&gt;$A406),and(not(isblank($A407)),$A407=$A406,$B407&lt;&gt;$B406)),"ID LISTS UNALIGNED",and($A407&lt;&gt;"",countif('5) Release_Track'!$F:$F,$A407)=0),"NO ISRC MATCH in Release_Track",and($B407&lt;&gt;"",countif('5) Release_Track'!$G:$G,$B407)=0),"NO CATALOG ID MATCH in Release_Track",iserror(vlookup($A407&amp;$B407,'5) Release_Track'!$F:$F&amp;'5) Release_Track'!$G:$G,1,0)),"NO ISRC-CATALOG ID pair MATCH in Release_Track" )</f>
        <v/>
      </c>
      <c r="D407" s="121" t="str">
        <f t="array" ref="D407">ifs(and(isblank($A407),isblank($B407)),"", not(iserror(vlookup($A407&amp;$B407,'5) Release_Track'!$F:$F&amp;'5) Release_Track'!$G:$G,1,0))),vlookup($A407&amp;$B407,{'5) Release_Track'!$F:$F&amp;'5) Release_Track'!$G:$G,'5) Release_Track'!$I:$I},2,0), or(and(not(isblank($B407)),$B407=$B406,$A407&lt;&gt;$A406),and(not(isblank($A407)),$A407=$A406,$B407&lt;&gt;$B406)),"ID LISTS UNALIGNED",and($A407&lt;&gt;"",countif('5) Release_Track'!$F:$F,$A407)=0),"NO ISRC MATCH in Release_Track",and($B407&lt;&gt;"",countif('5) Release_Track'!$G:$G,$B407)=0),"NO CATALOG ID MATCH in Release_Track",iserror(vlookup($A407&amp;$B407,'5) Release_Track'!$F:$F&amp;'5) Release_Track'!$G:$G,1,0)),"NO ISRC-CATALOG ID pair MATCH in Release_Track" )</f>
        <v/>
      </c>
      <c r="E407" s="142" t="b">
        <v>0</v>
      </c>
      <c r="F407" s="142" t="b">
        <v>0</v>
      </c>
      <c r="G407" s="142" t="b">
        <v>0</v>
      </c>
      <c r="H407" s="142" t="b">
        <v>0</v>
      </c>
      <c r="I407" s="142" t="b">
        <v>0</v>
      </c>
      <c r="J407" s="142" t="b">
        <v>0</v>
      </c>
      <c r="K407" s="142" t="b">
        <v>0</v>
      </c>
      <c r="L407" s="8" t="b">
        <v>0</v>
      </c>
    </row>
    <row r="408">
      <c r="B408" s="103"/>
      <c r="C408" s="121" t="str">
        <f t="array" ref="C408">ifs(and(isblank($A408),isblank($B408)),"", not(iserror(vlookup($A408&amp;$B408,'5) Release_Track'!$F:$F&amp;'5) Release_Track'!$G:$G,1,0))),vlookup($A408&amp;$B408,{'5) Release_Track'!$F:$F&amp;'5) Release_Track'!$G:$G,'5) Release_Track'!$H:$H},2,0), or(and(not(isblank($B408)),$B408=$B407,$A408&lt;&gt;$A407),and(not(isblank($A408)),$A408=$A407,$B408&lt;&gt;$B407)),"ID LISTS UNALIGNED",and($A408&lt;&gt;"",countif('5) Release_Track'!$F:$F,$A408)=0),"NO ISRC MATCH in Release_Track",and($B408&lt;&gt;"",countif('5) Release_Track'!$G:$G,$B408)=0),"NO CATALOG ID MATCH in Release_Track",iserror(vlookup($A408&amp;$B408,'5) Release_Track'!$F:$F&amp;'5) Release_Track'!$G:$G,1,0)),"NO ISRC-CATALOG ID pair MATCH in Release_Track" )</f>
        <v/>
      </c>
      <c r="D408" s="121" t="str">
        <f t="array" ref="D408">ifs(and(isblank($A408),isblank($B408)),"", not(iserror(vlookup($A408&amp;$B408,'5) Release_Track'!$F:$F&amp;'5) Release_Track'!$G:$G,1,0))),vlookup($A408&amp;$B408,{'5) Release_Track'!$F:$F&amp;'5) Release_Track'!$G:$G,'5) Release_Track'!$I:$I},2,0), or(and(not(isblank($B408)),$B408=$B407,$A408&lt;&gt;$A407),and(not(isblank($A408)),$A408=$A407,$B408&lt;&gt;$B407)),"ID LISTS UNALIGNED",and($A408&lt;&gt;"",countif('5) Release_Track'!$F:$F,$A408)=0),"NO ISRC MATCH in Release_Track",and($B408&lt;&gt;"",countif('5) Release_Track'!$G:$G,$B408)=0),"NO CATALOG ID MATCH in Release_Track",iserror(vlookup($A408&amp;$B408,'5) Release_Track'!$F:$F&amp;'5) Release_Track'!$G:$G,1,0)),"NO ISRC-CATALOG ID pair MATCH in Release_Track" )</f>
        <v/>
      </c>
      <c r="E408" s="142" t="b">
        <v>0</v>
      </c>
      <c r="F408" s="142" t="b">
        <v>0</v>
      </c>
      <c r="G408" s="142" t="b">
        <v>0</v>
      </c>
      <c r="H408" s="142" t="b">
        <v>0</v>
      </c>
      <c r="I408" s="142" t="b">
        <v>0</v>
      </c>
      <c r="J408" s="142" t="b">
        <v>0</v>
      </c>
      <c r="K408" s="142" t="b">
        <v>0</v>
      </c>
      <c r="L408" s="8" t="b">
        <v>0</v>
      </c>
    </row>
    <row r="409">
      <c r="B409" s="103"/>
      <c r="C409" s="121" t="str">
        <f t="array" ref="C409">ifs(and(isblank($A409),isblank($B409)),"", not(iserror(vlookup($A409&amp;$B409,'5) Release_Track'!$F:$F&amp;'5) Release_Track'!$G:$G,1,0))),vlookup($A409&amp;$B409,{'5) Release_Track'!$F:$F&amp;'5) Release_Track'!$G:$G,'5) Release_Track'!$H:$H},2,0), or(and(not(isblank($B409)),$B409=$B408,$A409&lt;&gt;$A408),and(not(isblank($A409)),$A409=$A408,$B409&lt;&gt;$B408)),"ID LISTS UNALIGNED",and($A409&lt;&gt;"",countif('5) Release_Track'!$F:$F,$A409)=0),"NO ISRC MATCH in Release_Track",and($B409&lt;&gt;"",countif('5) Release_Track'!$G:$G,$B409)=0),"NO CATALOG ID MATCH in Release_Track",iserror(vlookup($A409&amp;$B409,'5) Release_Track'!$F:$F&amp;'5) Release_Track'!$G:$G,1,0)),"NO ISRC-CATALOG ID pair MATCH in Release_Track" )</f>
        <v/>
      </c>
      <c r="D409" s="121" t="str">
        <f t="array" ref="D409">ifs(and(isblank($A409),isblank($B409)),"", not(iserror(vlookup($A409&amp;$B409,'5) Release_Track'!$F:$F&amp;'5) Release_Track'!$G:$G,1,0))),vlookup($A409&amp;$B409,{'5) Release_Track'!$F:$F&amp;'5) Release_Track'!$G:$G,'5) Release_Track'!$I:$I},2,0), or(and(not(isblank($B409)),$B409=$B408,$A409&lt;&gt;$A408),and(not(isblank($A409)),$A409=$A408,$B409&lt;&gt;$B408)),"ID LISTS UNALIGNED",and($A409&lt;&gt;"",countif('5) Release_Track'!$F:$F,$A409)=0),"NO ISRC MATCH in Release_Track",and($B409&lt;&gt;"",countif('5) Release_Track'!$G:$G,$B409)=0),"NO CATALOG ID MATCH in Release_Track",iserror(vlookup($A409&amp;$B409,'5) Release_Track'!$F:$F&amp;'5) Release_Track'!$G:$G,1,0)),"NO ISRC-CATALOG ID pair MATCH in Release_Track" )</f>
        <v/>
      </c>
      <c r="E409" s="142" t="b">
        <v>0</v>
      </c>
      <c r="F409" s="142" t="b">
        <v>0</v>
      </c>
      <c r="G409" s="142" t="b">
        <v>0</v>
      </c>
      <c r="H409" s="142" t="b">
        <v>0</v>
      </c>
      <c r="I409" s="142" t="b">
        <v>0</v>
      </c>
      <c r="J409" s="142" t="b">
        <v>0</v>
      </c>
      <c r="K409" s="142" t="b">
        <v>0</v>
      </c>
      <c r="L409" s="8" t="b">
        <v>0</v>
      </c>
    </row>
    <row r="410">
      <c r="B410" s="103"/>
      <c r="C410" s="121" t="str">
        <f t="array" ref="C410">ifs(and(isblank($A410),isblank($B410)),"", not(iserror(vlookup($A410&amp;$B410,'5) Release_Track'!$F:$F&amp;'5) Release_Track'!$G:$G,1,0))),vlookup($A410&amp;$B410,{'5) Release_Track'!$F:$F&amp;'5) Release_Track'!$G:$G,'5) Release_Track'!$H:$H},2,0), or(and(not(isblank($B410)),$B410=$B409,$A410&lt;&gt;$A409),and(not(isblank($A410)),$A410=$A409,$B410&lt;&gt;$B409)),"ID LISTS UNALIGNED",and($A410&lt;&gt;"",countif('5) Release_Track'!$F:$F,$A410)=0),"NO ISRC MATCH in Release_Track",and($B410&lt;&gt;"",countif('5) Release_Track'!$G:$G,$B410)=0),"NO CATALOG ID MATCH in Release_Track",iserror(vlookup($A410&amp;$B410,'5) Release_Track'!$F:$F&amp;'5) Release_Track'!$G:$G,1,0)),"NO ISRC-CATALOG ID pair MATCH in Release_Track" )</f>
        <v/>
      </c>
      <c r="D410" s="121" t="str">
        <f t="array" ref="D410">ifs(and(isblank($A410),isblank($B410)),"", not(iserror(vlookup($A410&amp;$B410,'5) Release_Track'!$F:$F&amp;'5) Release_Track'!$G:$G,1,0))),vlookup($A410&amp;$B410,{'5) Release_Track'!$F:$F&amp;'5) Release_Track'!$G:$G,'5) Release_Track'!$I:$I},2,0), or(and(not(isblank($B410)),$B410=$B409,$A410&lt;&gt;$A409),and(not(isblank($A410)),$A410=$A409,$B410&lt;&gt;$B409)),"ID LISTS UNALIGNED",and($A410&lt;&gt;"",countif('5) Release_Track'!$F:$F,$A410)=0),"NO ISRC MATCH in Release_Track",and($B410&lt;&gt;"",countif('5) Release_Track'!$G:$G,$B410)=0),"NO CATALOG ID MATCH in Release_Track",iserror(vlookup($A410&amp;$B410,'5) Release_Track'!$F:$F&amp;'5) Release_Track'!$G:$G,1,0)),"NO ISRC-CATALOG ID pair MATCH in Release_Track" )</f>
        <v/>
      </c>
      <c r="E410" s="142" t="b">
        <v>0</v>
      </c>
      <c r="F410" s="142" t="b">
        <v>0</v>
      </c>
      <c r="G410" s="142" t="b">
        <v>0</v>
      </c>
      <c r="H410" s="142" t="b">
        <v>0</v>
      </c>
      <c r="I410" s="142" t="b">
        <v>0</v>
      </c>
      <c r="J410" s="142" t="b">
        <v>0</v>
      </c>
      <c r="K410" s="142" t="b">
        <v>0</v>
      </c>
      <c r="L410" s="8" t="b">
        <v>0</v>
      </c>
    </row>
    <row r="411">
      <c r="B411" s="103"/>
      <c r="C411" s="121" t="str">
        <f t="array" ref="C411">ifs(and(isblank($A411),isblank($B411)),"", not(iserror(vlookup($A411&amp;$B411,'5) Release_Track'!$F:$F&amp;'5) Release_Track'!$G:$G,1,0))),vlookup($A411&amp;$B411,{'5) Release_Track'!$F:$F&amp;'5) Release_Track'!$G:$G,'5) Release_Track'!$H:$H},2,0), or(and(not(isblank($B411)),$B411=$B410,$A411&lt;&gt;$A410),and(not(isblank($A411)),$A411=$A410,$B411&lt;&gt;$B410)),"ID LISTS UNALIGNED",and($A411&lt;&gt;"",countif('5) Release_Track'!$F:$F,$A411)=0),"NO ISRC MATCH in Release_Track",and($B411&lt;&gt;"",countif('5) Release_Track'!$G:$G,$B411)=0),"NO CATALOG ID MATCH in Release_Track",iserror(vlookup($A411&amp;$B411,'5) Release_Track'!$F:$F&amp;'5) Release_Track'!$G:$G,1,0)),"NO ISRC-CATALOG ID pair MATCH in Release_Track" )</f>
        <v/>
      </c>
      <c r="D411" s="121" t="str">
        <f t="array" ref="D411">ifs(and(isblank($A411),isblank($B411)),"", not(iserror(vlookup($A411&amp;$B411,'5) Release_Track'!$F:$F&amp;'5) Release_Track'!$G:$G,1,0))),vlookup($A411&amp;$B411,{'5) Release_Track'!$F:$F&amp;'5) Release_Track'!$G:$G,'5) Release_Track'!$I:$I},2,0), or(and(not(isblank($B411)),$B411=$B410,$A411&lt;&gt;$A410),and(not(isblank($A411)),$A411=$A410,$B411&lt;&gt;$B410)),"ID LISTS UNALIGNED",and($A411&lt;&gt;"",countif('5) Release_Track'!$F:$F,$A411)=0),"NO ISRC MATCH in Release_Track",and($B411&lt;&gt;"",countif('5) Release_Track'!$G:$G,$B411)=0),"NO CATALOG ID MATCH in Release_Track",iserror(vlookup($A411&amp;$B411,'5) Release_Track'!$F:$F&amp;'5) Release_Track'!$G:$G,1,0)),"NO ISRC-CATALOG ID pair MATCH in Release_Track" )</f>
        <v/>
      </c>
      <c r="E411" s="142" t="b">
        <v>0</v>
      </c>
      <c r="F411" s="142" t="b">
        <v>0</v>
      </c>
      <c r="G411" s="142" t="b">
        <v>0</v>
      </c>
      <c r="H411" s="142" t="b">
        <v>0</v>
      </c>
      <c r="I411" s="142" t="b">
        <v>0</v>
      </c>
      <c r="J411" s="142" t="b">
        <v>0</v>
      </c>
      <c r="K411" s="142" t="b">
        <v>0</v>
      </c>
      <c r="L411" s="8" t="b">
        <v>0</v>
      </c>
    </row>
    <row r="412">
      <c r="B412" s="103"/>
      <c r="C412" s="121" t="str">
        <f t="array" ref="C412">ifs(and(isblank($A412),isblank($B412)),"", not(iserror(vlookup($A412&amp;$B412,'5) Release_Track'!$F:$F&amp;'5) Release_Track'!$G:$G,1,0))),vlookup($A412&amp;$B412,{'5) Release_Track'!$F:$F&amp;'5) Release_Track'!$G:$G,'5) Release_Track'!$H:$H},2,0), or(and(not(isblank($B412)),$B412=$B411,$A412&lt;&gt;$A411),and(not(isblank($A412)),$A412=$A411,$B412&lt;&gt;$B411)),"ID LISTS UNALIGNED",and($A412&lt;&gt;"",countif('5) Release_Track'!$F:$F,$A412)=0),"NO ISRC MATCH in Release_Track",and($B412&lt;&gt;"",countif('5) Release_Track'!$G:$G,$B412)=0),"NO CATALOG ID MATCH in Release_Track",iserror(vlookup($A412&amp;$B412,'5) Release_Track'!$F:$F&amp;'5) Release_Track'!$G:$G,1,0)),"NO ISRC-CATALOG ID pair MATCH in Release_Track" )</f>
        <v/>
      </c>
      <c r="D412" s="121" t="str">
        <f t="array" ref="D412">ifs(and(isblank($A412),isblank($B412)),"", not(iserror(vlookup($A412&amp;$B412,'5) Release_Track'!$F:$F&amp;'5) Release_Track'!$G:$G,1,0))),vlookup($A412&amp;$B412,{'5) Release_Track'!$F:$F&amp;'5) Release_Track'!$G:$G,'5) Release_Track'!$I:$I},2,0), or(and(not(isblank($B412)),$B412=$B411,$A412&lt;&gt;$A411),and(not(isblank($A412)),$A412=$A411,$B412&lt;&gt;$B411)),"ID LISTS UNALIGNED",and($A412&lt;&gt;"",countif('5) Release_Track'!$F:$F,$A412)=0),"NO ISRC MATCH in Release_Track",and($B412&lt;&gt;"",countif('5) Release_Track'!$G:$G,$B412)=0),"NO CATALOG ID MATCH in Release_Track",iserror(vlookup($A412&amp;$B412,'5) Release_Track'!$F:$F&amp;'5) Release_Track'!$G:$G,1,0)),"NO ISRC-CATALOG ID pair MATCH in Release_Track" )</f>
        <v/>
      </c>
      <c r="E412" s="142" t="b">
        <v>0</v>
      </c>
      <c r="F412" s="142" t="b">
        <v>0</v>
      </c>
      <c r="G412" s="142" t="b">
        <v>0</v>
      </c>
      <c r="H412" s="142" t="b">
        <v>0</v>
      </c>
      <c r="I412" s="142" t="b">
        <v>0</v>
      </c>
      <c r="J412" s="142" t="b">
        <v>0</v>
      </c>
      <c r="K412" s="142" t="b">
        <v>0</v>
      </c>
      <c r="L412" s="8" t="b">
        <v>0</v>
      </c>
    </row>
    <row r="413">
      <c r="B413" s="103"/>
      <c r="C413" s="121" t="str">
        <f t="array" ref="C413">ifs(and(isblank($A413),isblank($B413)),"", not(iserror(vlookup($A413&amp;$B413,'5) Release_Track'!$F:$F&amp;'5) Release_Track'!$G:$G,1,0))),vlookup($A413&amp;$B413,{'5) Release_Track'!$F:$F&amp;'5) Release_Track'!$G:$G,'5) Release_Track'!$H:$H},2,0), or(and(not(isblank($B413)),$B413=$B412,$A413&lt;&gt;$A412),and(not(isblank($A413)),$A413=$A412,$B413&lt;&gt;$B412)),"ID LISTS UNALIGNED",and($A413&lt;&gt;"",countif('5) Release_Track'!$F:$F,$A413)=0),"NO ISRC MATCH in Release_Track",and($B413&lt;&gt;"",countif('5) Release_Track'!$G:$G,$B413)=0),"NO CATALOG ID MATCH in Release_Track",iserror(vlookup($A413&amp;$B413,'5) Release_Track'!$F:$F&amp;'5) Release_Track'!$G:$G,1,0)),"NO ISRC-CATALOG ID pair MATCH in Release_Track" )</f>
        <v/>
      </c>
      <c r="D413" s="121" t="str">
        <f t="array" ref="D413">ifs(and(isblank($A413),isblank($B413)),"", not(iserror(vlookup($A413&amp;$B413,'5) Release_Track'!$F:$F&amp;'5) Release_Track'!$G:$G,1,0))),vlookup($A413&amp;$B413,{'5) Release_Track'!$F:$F&amp;'5) Release_Track'!$G:$G,'5) Release_Track'!$I:$I},2,0), or(and(not(isblank($B413)),$B413=$B412,$A413&lt;&gt;$A412),and(not(isblank($A413)),$A413=$A412,$B413&lt;&gt;$B412)),"ID LISTS UNALIGNED",and($A413&lt;&gt;"",countif('5) Release_Track'!$F:$F,$A413)=0),"NO ISRC MATCH in Release_Track",and($B413&lt;&gt;"",countif('5) Release_Track'!$G:$G,$B413)=0),"NO CATALOG ID MATCH in Release_Track",iserror(vlookup($A413&amp;$B413,'5) Release_Track'!$F:$F&amp;'5) Release_Track'!$G:$G,1,0)),"NO ISRC-CATALOG ID pair MATCH in Release_Track" )</f>
        <v/>
      </c>
      <c r="E413" s="142" t="b">
        <v>0</v>
      </c>
      <c r="F413" s="142" t="b">
        <v>0</v>
      </c>
      <c r="G413" s="142" t="b">
        <v>0</v>
      </c>
      <c r="H413" s="142" t="b">
        <v>0</v>
      </c>
      <c r="I413" s="142" t="b">
        <v>0</v>
      </c>
      <c r="J413" s="142" t="b">
        <v>0</v>
      </c>
      <c r="K413" s="142" t="b">
        <v>0</v>
      </c>
      <c r="L413" s="8" t="b">
        <v>0</v>
      </c>
    </row>
    <row r="414">
      <c r="B414" s="103"/>
      <c r="C414" s="121" t="str">
        <f t="array" ref="C414">ifs(and(isblank($A414),isblank($B414)),"", not(iserror(vlookup($A414&amp;$B414,'5) Release_Track'!$F:$F&amp;'5) Release_Track'!$G:$G,1,0))),vlookup($A414&amp;$B414,{'5) Release_Track'!$F:$F&amp;'5) Release_Track'!$G:$G,'5) Release_Track'!$H:$H},2,0), or(and(not(isblank($B414)),$B414=$B413,$A414&lt;&gt;$A413),and(not(isblank($A414)),$A414=$A413,$B414&lt;&gt;$B413)),"ID LISTS UNALIGNED",and($A414&lt;&gt;"",countif('5) Release_Track'!$F:$F,$A414)=0),"NO ISRC MATCH in Release_Track",and($B414&lt;&gt;"",countif('5) Release_Track'!$G:$G,$B414)=0),"NO CATALOG ID MATCH in Release_Track",iserror(vlookup($A414&amp;$B414,'5) Release_Track'!$F:$F&amp;'5) Release_Track'!$G:$G,1,0)),"NO ISRC-CATALOG ID pair MATCH in Release_Track" )</f>
        <v/>
      </c>
      <c r="D414" s="121" t="str">
        <f t="array" ref="D414">ifs(and(isblank($A414),isblank($B414)),"", not(iserror(vlookup($A414&amp;$B414,'5) Release_Track'!$F:$F&amp;'5) Release_Track'!$G:$G,1,0))),vlookup($A414&amp;$B414,{'5) Release_Track'!$F:$F&amp;'5) Release_Track'!$G:$G,'5) Release_Track'!$I:$I},2,0), or(and(not(isblank($B414)),$B414=$B413,$A414&lt;&gt;$A413),and(not(isblank($A414)),$A414=$A413,$B414&lt;&gt;$B413)),"ID LISTS UNALIGNED",and($A414&lt;&gt;"",countif('5) Release_Track'!$F:$F,$A414)=0),"NO ISRC MATCH in Release_Track",and($B414&lt;&gt;"",countif('5) Release_Track'!$G:$G,$B414)=0),"NO CATALOG ID MATCH in Release_Track",iserror(vlookup($A414&amp;$B414,'5) Release_Track'!$F:$F&amp;'5) Release_Track'!$G:$G,1,0)),"NO ISRC-CATALOG ID pair MATCH in Release_Track" )</f>
        <v/>
      </c>
      <c r="E414" s="142" t="b">
        <v>0</v>
      </c>
      <c r="F414" s="142" t="b">
        <v>0</v>
      </c>
      <c r="G414" s="142" t="b">
        <v>0</v>
      </c>
      <c r="H414" s="142" t="b">
        <v>0</v>
      </c>
      <c r="I414" s="142" t="b">
        <v>0</v>
      </c>
      <c r="J414" s="142" t="b">
        <v>0</v>
      </c>
      <c r="K414" s="142" t="b">
        <v>0</v>
      </c>
      <c r="L414" s="8" t="b">
        <v>0</v>
      </c>
    </row>
    <row r="415">
      <c r="B415" s="103"/>
      <c r="C415" s="121" t="str">
        <f t="array" ref="C415">ifs(and(isblank($A415),isblank($B415)),"", not(iserror(vlookup($A415&amp;$B415,'5) Release_Track'!$F:$F&amp;'5) Release_Track'!$G:$G,1,0))),vlookup($A415&amp;$B415,{'5) Release_Track'!$F:$F&amp;'5) Release_Track'!$G:$G,'5) Release_Track'!$H:$H},2,0), or(and(not(isblank($B415)),$B415=$B414,$A415&lt;&gt;$A414),and(not(isblank($A415)),$A415=$A414,$B415&lt;&gt;$B414)),"ID LISTS UNALIGNED",and($A415&lt;&gt;"",countif('5) Release_Track'!$F:$F,$A415)=0),"NO ISRC MATCH in Release_Track",and($B415&lt;&gt;"",countif('5) Release_Track'!$G:$G,$B415)=0),"NO CATALOG ID MATCH in Release_Track",iserror(vlookup($A415&amp;$B415,'5) Release_Track'!$F:$F&amp;'5) Release_Track'!$G:$G,1,0)),"NO ISRC-CATALOG ID pair MATCH in Release_Track" )</f>
        <v/>
      </c>
      <c r="D415" s="121" t="str">
        <f t="array" ref="D415">ifs(and(isblank($A415),isblank($B415)),"", not(iserror(vlookup($A415&amp;$B415,'5) Release_Track'!$F:$F&amp;'5) Release_Track'!$G:$G,1,0))),vlookup($A415&amp;$B415,{'5) Release_Track'!$F:$F&amp;'5) Release_Track'!$G:$G,'5) Release_Track'!$I:$I},2,0), or(and(not(isblank($B415)),$B415=$B414,$A415&lt;&gt;$A414),and(not(isblank($A415)),$A415=$A414,$B415&lt;&gt;$B414)),"ID LISTS UNALIGNED",and($A415&lt;&gt;"",countif('5) Release_Track'!$F:$F,$A415)=0),"NO ISRC MATCH in Release_Track",and($B415&lt;&gt;"",countif('5) Release_Track'!$G:$G,$B415)=0),"NO CATALOG ID MATCH in Release_Track",iserror(vlookup($A415&amp;$B415,'5) Release_Track'!$F:$F&amp;'5) Release_Track'!$G:$G,1,0)),"NO ISRC-CATALOG ID pair MATCH in Release_Track" )</f>
        <v/>
      </c>
      <c r="E415" s="142" t="b">
        <v>0</v>
      </c>
      <c r="F415" s="142" t="b">
        <v>0</v>
      </c>
      <c r="G415" s="142" t="b">
        <v>0</v>
      </c>
      <c r="H415" s="142" t="b">
        <v>0</v>
      </c>
      <c r="I415" s="142" t="b">
        <v>0</v>
      </c>
      <c r="J415" s="142" t="b">
        <v>0</v>
      </c>
      <c r="K415" s="142" t="b">
        <v>0</v>
      </c>
      <c r="L415" s="8" t="b">
        <v>0</v>
      </c>
    </row>
    <row r="416">
      <c r="B416" s="103"/>
      <c r="C416" s="121" t="str">
        <f t="array" ref="C416">ifs(and(isblank($A416),isblank($B416)),"", not(iserror(vlookup($A416&amp;$B416,'5) Release_Track'!$F:$F&amp;'5) Release_Track'!$G:$G,1,0))),vlookup($A416&amp;$B416,{'5) Release_Track'!$F:$F&amp;'5) Release_Track'!$G:$G,'5) Release_Track'!$H:$H},2,0), or(and(not(isblank($B416)),$B416=$B415,$A416&lt;&gt;$A415),and(not(isblank($A416)),$A416=$A415,$B416&lt;&gt;$B415)),"ID LISTS UNALIGNED",and($A416&lt;&gt;"",countif('5) Release_Track'!$F:$F,$A416)=0),"NO ISRC MATCH in Release_Track",and($B416&lt;&gt;"",countif('5) Release_Track'!$G:$G,$B416)=0),"NO CATALOG ID MATCH in Release_Track",iserror(vlookup($A416&amp;$B416,'5) Release_Track'!$F:$F&amp;'5) Release_Track'!$G:$G,1,0)),"NO ISRC-CATALOG ID pair MATCH in Release_Track" )</f>
        <v/>
      </c>
      <c r="D416" s="121" t="str">
        <f t="array" ref="D416">ifs(and(isblank($A416),isblank($B416)),"", not(iserror(vlookup($A416&amp;$B416,'5) Release_Track'!$F:$F&amp;'5) Release_Track'!$G:$G,1,0))),vlookup($A416&amp;$B416,{'5) Release_Track'!$F:$F&amp;'5) Release_Track'!$G:$G,'5) Release_Track'!$I:$I},2,0), or(and(not(isblank($B416)),$B416=$B415,$A416&lt;&gt;$A415),and(not(isblank($A416)),$A416=$A415,$B416&lt;&gt;$B415)),"ID LISTS UNALIGNED",and($A416&lt;&gt;"",countif('5) Release_Track'!$F:$F,$A416)=0),"NO ISRC MATCH in Release_Track",and($B416&lt;&gt;"",countif('5) Release_Track'!$G:$G,$B416)=0),"NO CATALOG ID MATCH in Release_Track",iserror(vlookup($A416&amp;$B416,'5) Release_Track'!$F:$F&amp;'5) Release_Track'!$G:$G,1,0)),"NO ISRC-CATALOG ID pair MATCH in Release_Track" )</f>
        <v/>
      </c>
      <c r="E416" s="142" t="b">
        <v>0</v>
      </c>
      <c r="F416" s="142" t="b">
        <v>0</v>
      </c>
      <c r="G416" s="142" t="b">
        <v>0</v>
      </c>
      <c r="H416" s="142" t="b">
        <v>0</v>
      </c>
      <c r="I416" s="142" t="b">
        <v>0</v>
      </c>
      <c r="J416" s="142" t="b">
        <v>0</v>
      </c>
      <c r="K416" s="142" t="b">
        <v>0</v>
      </c>
      <c r="L416" s="8" t="b">
        <v>0</v>
      </c>
    </row>
    <row r="417">
      <c r="B417" s="103"/>
      <c r="C417" s="121" t="str">
        <f t="array" ref="C417">ifs(and(isblank($A417),isblank($B417)),"", not(iserror(vlookup($A417&amp;$B417,'5) Release_Track'!$F:$F&amp;'5) Release_Track'!$G:$G,1,0))),vlookup($A417&amp;$B417,{'5) Release_Track'!$F:$F&amp;'5) Release_Track'!$G:$G,'5) Release_Track'!$H:$H},2,0), or(and(not(isblank($B417)),$B417=$B416,$A417&lt;&gt;$A416),and(not(isblank($A417)),$A417=$A416,$B417&lt;&gt;$B416)),"ID LISTS UNALIGNED",and($A417&lt;&gt;"",countif('5) Release_Track'!$F:$F,$A417)=0),"NO ISRC MATCH in Release_Track",and($B417&lt;&gt;"",countif('5) Release_Track'!$G:$G,$B417)=0),"NO CATALOG ID MATCH in Release_Track",iserror(vlookup($A417&amp;$B417,'5) Release_Track'!$F:$F&amp;'5) Release_Track'!$G:$G,1,0)),"NO ISRC-CATALOG ID pair MATCH in Release_Track" )</f>
        <v/>
      </c>
      <c r="D417" s="121" t="str">
        <f t="array" ref="D417">ifs(and(isblank($A417),isblank($B417)),"", not(iserror(vlookup($A417&amp;$B417,'5) Release_Track'!$F:$F&amp;'5) Release_Track'!$G:$G,1,0))),vlookup($A417&amp;$B417,{'5) Release_Track'!$F:$F&amp;'5) Release_Track'!$G:$G,'5) Release_Track'!$I:$I},2,0), or(and(not(isblank($B417)),$B417=$B416,$A417&lt;&gt;$A416),and(not(isblank($A417)),$A417=$A416,$B417&lt;&gt;$B416)),"ID LISTS UNALIGNED",and($A417&lt;&gt;"",countif('5) Release_Track'!$F:$F,$A417)=0),"NO ISRC MATCH in Release_Track",and($B417&lt;&gt;"",countif('5) Release_Track'!$G:$G,$B417)=0),"NO CATALOG ID MATCH in Release_Track",iserror(vlookup($A417&amp;$B417,'5) Release_Track'!$F:$F&amp;'5) Release_Track'!$G:$G,1,0)),"NO ISRC-CATALOG ID pair MATCH in Release_Track" )</f>
        <v/>
      </c>
      <c r="E417" s="142" t="b">
        <v>0</v>
      </c>
      <c r="F417" s="142" t="b">
        <v>0</v>
      </c>
      <c r="G417" s="142" t="b">
        <v>0</v>
      </c>
      <c r="H417" s="142" t="b">
        <v>0</v>
      </c>
      <c r="I417" s="142" t="b">
        <v>0</v>
      </c>
      <c r="J417" s="142" t="b">
        <v>0</v>
      </c>
      <c r="K417" s="142" t="b">
        <v>0</v>
      </c>
      <c r="L417" s="8" t="b">
        <v>0</v>
      </c>
    </row>
    <row r="418">
      <c r="B418" s="103"/>
      <c r="C418" s="121" t="str">
        <f t="array" ref="C418">ifs(and(isblank($A418),isblank($B418)),"", not(iserror(vlookup($A418&amp;$B418,'5) Release_Track'!$F:$F&amp;'5) Release_Track'!$G:$G,1,0))),vlookup($A418&amp;$B418,{'5) Release_Track'!$F:$F&amp;'5) Release_Track'!$G:$G,'5) Release_Track'!$H:$H},2,0), or(and(not(isblank($B418)),$B418=$B417,$A418&lt;&gt;$A417),and(not(isblank($A418)),$A418=$A417,$B418&lt;&gt;$B417)),"ID LISTS UNALIGNED",and($A418&lt;&gt;"",countif('5) Release_Track'!$F:$F,$A418)=0),"NO ISRC MATCH in Release_Track",and($B418&lt;&gt;"",countif('5) Release_Track'!$G:$G,$B418)=0),"NO CATALOG ID MATCH in Release_Track",iserror(vlookup($A418&amp;$B418,'5) Release_Track'!$F:$F&amp;'5) Release_Track'!$G:$G,1,0)),"NO ISRC-CATALOG ID pair MATCH in Release_Track" )</f>
        <v/>
      </c>
      <c r="D418" s="121" t="str">
        <f t="array" ref="D418">ifs(and(isblank($A418),isblank($B418)),"", not(iserror(vlookup($A418&amp;$B418,'5) Release_Track'!$F:$F&amp;'5) Release_Track'!$G:$G,1,0))),vlookup($A418&amp;$B418,{'5) Release_Track'!$F:$F&amp;'5) Release_Track'!$G:$G,'5) Release_Track'!$I:$I},2,0), or(and(not(isblank($B418)),$B418=$B417,$A418&lt;&gt;$A417),and(not(isblank($A418)),$A418=$A417,$B418&lt;&gt;$B417)),"ID LISTS UNALIGNED",and($A418&lt;&gt;"",countif('5) Release_Track'!$F:$F,$A418)=0),"NO ISRC MATCH in Release_Track",and($B418&lt;&gt;"",countif('5) Release_Track'!$G:$G,$B418)=0),"NO CATALOG ID MATCH in Release_Track",iserror(vlookup($A418&amp;$B418,'5) Release_Track'!$F:$F&amp;'5) Release_Track'!$G:$G,1,0)),"NO ISRC-CATALOG ID pair MATCH in Release_Track" )</f>
        <v/>
      </c>
      <c r="E418" s="142" t="b">
        <v>0</v>
      </c>
      <c r="F418" s="142" t="b">
        <v>0</v>
      </c>
      <c r="G418" s="142" t="b">
        <v>0</v>
      </c>
      <c r="H418" s="142" t="b">
        <v>0</v>
      </c>
      <c r="I418" s="142" t="b">
        <v>0</v>
      </c>
      <c r="J418" s="142" t="b">
        <v>0</v>
      </c>
      <c r="K418" s="142" t="b">
        <v>0</v>
      </c>
      <c r="L418" s="8" t="b">
        <v>0</v>
      </c>
    </row>
    <row r="419">
      <c r="B419" s="103"/>
      <c r="C419" s="121" t="str">
        <f t="array" ref="C419">ifs(and(isblank($A419),isblank($B419)),"", not(iserror(vlookup($A419&amp;$B419,'5) Release_Track'!$F:$F&amp;'5) Release_Track'!$G:$G,1,0))),vlookup($A419&amp;$B419,{'5) Release_Track'!$F:$F&amp;'5) Release_Track'!$G:$G,'5) Release_Track'!$H:$H},2,0), or(and(not(isblank($B419)),$B419=$B418,$A419&lt;&gt;$A418),and(not(isblank($A419)),$A419=$A418,$B419&lt;&gt;$B418)),"ID LISTS UNALIGNED",and($A419&lt;&gt;"",countif('5) Release_Track'!$F:$F,$A419)=0),"NO ISRC MATCH in Release_Track",and($B419&lt;&gt;"",countif('5) Release_Track'!$G:$G,$B419)=0),"NO CATALOG ID MATCH in Release_Track",iserror(vlookup($A419&amp;$B419,'5) Release_Track'!$F:$F&amp;'5) Release_Track'!$G:$G,1,0)),"NO ISRC-CATALOG ID pair MATCH in Release_Track" )</f>
        <v/>
      </c>
      <c r="D419" s="121" t="str">
        <f t="array" ref="D419">ifs(and(isblank($A419),isblank($B419)),"", not(iserror(vlookup($A419&amp;$B419,'5) Release_Track'!$F:$F&amp;'5) Release_Track'!$G:$G,1,0))),vlookup($A419&amp;$B419,{'5) Release_Track'!$F:$F&amp;'5) Release_Track'!$G:$G,'5) Release_Track'!$I:$I},2,0), or(and(not(isblank($B419)),$B419=$B418,$A419&lt;&gt;$A418),and(not(isblank($A419)),$A419=$A418,$B419&lt;&gt;$B418)),"ID LISTS UNALIGNED",and($A419&lt;&gt;"",countif('5) Release_Track'!$F:$F,$A419)=0),"NO ISRC MATCH in Release_Track",and($B419&lt;&gt;"",countif('5) Release_Track'!$G:$G,$B419)=0),"NO CATALOG ID MATCH in Release_Track",iserror(vlookup($A419&amp;$B419,'5) Release_Track'!$F:$F&amp;'5) Release_Track'!$G:$G,1,0)),"NO ISRC-CATALOG ID pair MATCH in Release_Track" )</f>
        <v/>
      </c>
      <c r="E419" s="142" t="b">
        <v>0</v>
      </c>
      <c r="F419" s="142" t="b">
        <v>0</v>
      </c>
      <c r="G419" s="142" t="b">
        <v>0</v>
      </c>
      <c r="H419" s="142" t="b">
        <v>0</v>
      </c>
      <c r="I419" s="142" t="b">
        <v>0</v>
      </c>
      <c r="J419" s="142" t="b">
        <v>0</v>
      </c>
      <c r="K419" s="142" t="b">
        <v>0</v>
      </c>
      <c r="L419" s="8" t="b">
        <v>0</v>
      </c>
    </row>
    <row r="420">
      <c r="B420" s="103"/>
      <c r="C420" s="121" t="str">
        <f t="array" ref="C420">ifs(and(isblank($A420),isblank($B420)),"", not(iserror(vlookup($A420&amp;$B420,'5) Release_Track'!$F:$F&amp;'5) Release_Track'!$G:$G,1,0))),vlookup($A420&amp;$B420,{'5) Release_Track'!$F:$F&amp;'5) Release_Track'!$G:$G,'5) Release_Track'!$H:$H},2,0), or(and(not(isblank($B420)),$B420=$B419,$A420&lt;&gt;$A419),and(not(isblank($A420)),$A420=$A419,$B420&lt;&gt;$B419)),"ID LISTS UNALIGNED",and($A420&lt;&gt;"",countif('5) Release_Track'!$F:$F,$A420)=0),"NO ISRC MATCH in Release_Track",and($B420&lt;&gt;"",countif('5) Release_Track'!$G:$G,$B420)=0),"NO CATALOG ID MATCH in Release_Track",iserror(vlookup($A420&amp;$B420,'5) Release_Track'!$F:$F&amp;'5) Release_Track'!$G:$G,1,0)),"NO ISRC-CATALOG ID pair MATCH in Release_Track" )</f>
        <v/>
      </c>
      <c r="D420" s="121" t="str">
        <f t="array" ref="D420">ifs(and(isblank($A420),isblank($B420)),"", not(iserror(vlookup($A420&amp;$B420,'5) Release_Track'!$F:$F&amp;'5) Release_Track'!$G:$G,1,0))),vlookup($A420&amp;$B420,{'5) Release_Track'!$F:$F&amp;'5) Release_Track'!$G:$G,'5) Release_Track'!$I:$I},2,0), or(and(not(isblank($B420)),$B420=$B419,$A420&lt;&gt;$A419),and(not(isblank($A420)),$A420=$A419,$B420&lt;&gt;$B419)),"ID LISTS UNALIGNED",and($A420&lt;&gt;"",countif('5) Release_Track'!$F:$F,$A420)=0),"NO ISRC MATCH in Release_Track",and($B420&lt;&gt;"",countif('5) Release_Track'!$G:$G,$B420)=0),"NO CATALOG ID MATCH in Release_Track",iserror(vlookup($A420&amp;$B420,'5) Release_Track'!$F:$F&amp;'5) Release_Track'!$G:$G,1,0)),"NO ISRC-CATALOG ID pair MATCH in Release_Track" )</f>
        <v/>
      </c>
      <c r="E420" s="142" t="b">
        <v>0</v>
      </c>
      <c r="F420" s="142" t="b">
        <v>0</v>
      </c>
      <c r="G420" s="142" t="b">
        <v>0</v>
      </c>
      <c r="H420" s="142" t="b">
        <v>0</v>
      </c>
      <c r="I420" s="142" t="b">
        <v>0</v>
      </c>
      <c r="J420" s="142" t="b">
        <v>0</v>
      </c>
      <c r="K420" s="142" t="b">
        <v>0</v>
      </c>
      <c r="L420" s="8" t="b">
        <v>0</v>
      </c>
    </row>
    <row r="421">
      <c r="B421" s="103"/>
      <c r="C421" s="121" t="str">
        <f t="array" ref="C421">ifs(and(isblank($A421),isblank($B421)),"", not(iserror(vlookup($A421&amp;$B421,'5) Release_Track'!$F:$F&amp;'5) Release_Track'!$G:$G,1,0))),vlookup($A421&amp;$B421,{'5) Release_Track'!$F:$F&amp;'5) Release_Track'!$G:$G,'5) Release_Track'!$H:$H},2,0), or(and(not(isblank($B421)),$B421=$B420,$A421&lt;&gt;$A420),and(not(isblank($A421)),$A421=$A420,$B421&lt;&gt;$B420)),"ID LISTS UNALIGNED",and($A421&lt;&gt;"",countif('5) Release_Track'!$F:$F,$A421)=0),"NO ISRC MATCH in Release_Track",and($B421&lt;&gt;"",countif('5) Release_Track'!$G:$G,$B421)=0),"NO CATALOG ID MATCH in Release_Track",iserror(vlookup($A421&amp;$B421,'5) Release_Track'!$F:$F&amp;'5) Release_Track'!$G:$G,1,0)),"NO ISRC-CATALOG ID pair MATCH in Release_Track" )</f>
        <v/>
      </c>
      <c r="D421" s="121" t="str">
        <f t="array" ref="D421">ifs(and(isblank($A421),isblank($B421)),"", not(iserror(vlookup($A421&amp;$B421,'5) Release_Track'!$F:$F&amp;'5) Release_Track'!$G:$G,1,0))),vlookup($A421&amp;$B421,{'5) Release_Track'!$F:$F&amp;'5) Release_Track'!$G:$G,'5) Release_Track'!$I:$I},2,0), or(and(not(isblank($B421)),$B421=$B420,$A421&lt;&gt;$A420),and(not(isblank($A421)),$A421=$A420,$B421&lt;&gt;$B420)),"ID LISTS UNALIGNED",and($A421&lt;&gt;"",countif('5) Release_Track'!$F:$F,$A421)=0),"NO ISRC MATCH in Release_Track",and($B421&lt;&gt;"",countif('5) Release_Track'!$G:$G,$B421)=0),"NO CATALOG ID MATCH in Release_Track",iserror(vlookup($A421&amp;$B421,'5) Release_Track'!$F:$F&amp;'5) Release_Track'!$G:$G,1,0)),"NO ISRC-CATALOG ID pair MATCH in Release_Track" )</f>
        <v/>
      </c>
      <c r="E421" s="142" t="b">
        <v>0</v>
      </c>
      <c r="F421" s="142" t="b">
        <v>0</v>
      </c>
      <c r="G421" s="142" t="b">
        <v>0</v>
      </c>
      <c r="H421" s="142" t="b">
        <v>0</v>
      </c>
      <c r="I421" s="142" t="b">
        <v>0</v>
      </c>
      <c r="J421" s="142" t="b">
        <v>0</v>
      </c>
      <c r="K421" s="142" t="b">
        <v>0</v>
      </c>
      <c r="L421" s="8" t="b">
        <v>0</v>
      </c>
    </row>
    <row r="422">
      <c r="B422" s="103"/>
      <c r="C422" s="121" t="str">
        <f t="array" ref="C422">ifs(and(isblank($A422),isblank($B422)),"", not(iserror(vlookup($A422&amp;$B422,'5) Release_Track'!$F:$F&amp;'5) Release_Track'!$G:$G,1,0))),vlookup($A422&amp;$B422,{'5) Release_Track'!$F:$F&amp;'5) Release_Track'!$G:$G,'5) Release_Track'!$H:$H},2,0), or(and(not(isblank($B422)),$B422=$B421,$A422&lt;&gt;$A421),and(not(isblank($A422)),$A422=$A421,$B422&lt;&gt;$B421)),"ID LISTS UNALIGNED",and($A422&lt;&gt;"",countif('5) Release_Track'!$F:$F,$A422)=0),"NO ISRC MATCH in Release_Track",and($B422&lt;&gt;"",countif('5) Release_Track'!$G:$G,$B422)=0),"NO CATALOG ID MATCH in Release_Track",iserror(vlookup($A422&amp;$B422,'5) Release_Track'!$F:$F&amp;'5) Release_Track'!$G:$G,1,0)),"NO ISRC-CATALOG ID pair MATCH in Release_Track" )</f>
        <v/>
      </c>
      <c r="D422" s="121" t="str">
        <f t="array" ref="D422">ifs(and(isblank($A422),isblank($B422)),"", not(iserror(vlookup($A422&amp;$B422,'5) Release_Track'!$F:$F&amp;'5) Release_Track'!$G:$G,1,0))),vlookup($A422&amp;$B422,{'5) Release_Track'!$F:$F&amp;'5) Release_Track'!$G:$G,'5) Release_Track'!$I:$I},2,0), or(and(not(isblank($B422)),$B422=$B421,$A422&lt;&gt;$A421),and(not(isblank($A422)),$A422=$A421,$B422&lt;&gt;$B421)),"ID LISTS UNALIGNED",and($A422&lt;&gt;"",countif('5) Release_Track'!$F:$F,$A422)=0),"NO ISRC MATCH in Release_Track",and($B422&lt;&gt;"",countif('5) Release_Track'!$G:$G,$B422)=0),"NO CATALOG ID MATCH in Release_Track",iserror(vlookup($A422&amp;$B422,'5) Release_Track'!$F:$F&amp;'5) Release_Track'!$G:$G,1,0)),"NO ISRC-CATALOG ID pair MATCH in Release_Track" )</f>
        <v/>
      </c>
      <c r="E422" s="142" t="b">
        <v>0</v>
      </c>
      <c r="F422" s="142" t="b">
        <v>0</v>
      </c>
      <c r="G422" s="142" t="b">
        <v>0</v>
      </c>
      <c r="H422" s="142" t="b">
        <v>0</v>
      </c>
      <c r="I422" s="142" t="b">
        <v>0</v>
      </c>
      <c r="J422" s="142" t="b">
        <v>0</v>
      </c>
      <c r="K422" s="142" t="b">
        <v>0</v>
      </c>
      <c r="L422" s="8" t="b">
        <v>0</v>
      </c>
    </row>
    <row r="423">
      <c r="B423" s="103"/>
      <c r="C423" s="121" t="str">
        <f t="array" ref="C423">ifs(and(isblank($A423),isblank($B423)),"", not(iserror(vlookup($A423&amp;$B423,'5) Release_Track'!$F:$F&amp;'5) Release_Track'!$G:$G,1,0))),vlookup($A423&amp;$B423,{'5) Release_Track'!$F:$F&amp;'5) Release_Track'!$G:$G,'5) Release_Track'!$H:$H},2,0), or(and(not(isblank($B423)),$B423=$B422,$A423&lt;&gt;$A422),and(not(isblank($A423)),$A423=$A422,$B423&lt;&gt;$B422)),"ID LISTS UNALIGNED",and($A423&lt;&gt;"",countif('5) Release_Track'!$F:$F,$A423)=0),"NO ISRC MATCH in Release_Track",and($B423&lt;&gt;"",countif('5) Release_Track'!$G:$G,$B423)=0),"NO CATALOG ID MATCH in Release_Track",iserror(vlookup($A423&amp;$B423,'5) Release_Track'!$F:$F&amp;'5) Release_Track'!$G:$G,1,0)),"NO ISRC-CATALOG ID pair MATCH in Release_Track" )</f>
        <v/>
      </c>
      <c r="D423" s="121" t="str">
        <f t="array" ref="D423">ifs(and(isblank($A423),isblank($B423)),"", not(iserror(vlookup($A423&amp;$B423,'5) Release_Track'!$F:$F&amp;'5) Release_Track'!$G:$G,1,0))),vlookup($A423&amp;$B423,{'5) Release_Track'!$F:$F&amp;'5) Release_Track'!$G:$G,'5) Release_Track'!$I:$I},2,0), or(and(not(isblank($B423)),$B423=$B422,$A423&lt;&gt;$A422),and(not(isblank($A423)),$A423=$A422,$B423&lt;&gt;$B422)),"ID LISTS UNALIGNED",and($A423&lt;&gt;"",countif('5) Release_Track'!$F:$F,$A423)=0),"NO ISRC MATCH in Release_Track",and($B423&lt;&gt;"",countif('5) Release_Track'!$G:$G,$B423)=0),"NO CATALOG ID MATCH in Release_Track",iserror(vlookup($A423&amp;$B423,'5) Release_Track'!$F:$F&amp;'5) Release_Track'!$G:$G,1,0)),"NO ISRC-CATALOG ID pair MATCH in Release_Track" )</f>
        <v/>
      </c>
      <c r="E423" s="142" t="b">
        <v>0</v>
      </c>
      <c r="F423" s="142" t="b">
        <v>0</v>
      </c>
      <c r="G423" s="142" t="b">
        <v>0</v>
      </c>
      <c r="H423" s="142" t="b">
        <v>0</v>
      </c>
      <c r="I423" s="142" t="b">
        <v>0</v>
      </c>
      <c r="J423" s="142" t="b">
        <v>0</v>
      </c>
      <c r="K423" s="142" t="b">
        <v>0</v>
      </c>
      <c r="L423" s="8" t="b">
        <v>0</v>
      </c>
    </row>
    <row r="424">
      <c r="B424" s="103"/>
      <c r="C424" s="121" t="str">
        <f t="array" ref="C424">ifs(and(isblank($A424),isblank($B424)),"", not(iserror(vlookup($A424&amp;$B424,'5) Release_Track'!$F:$F&amp;'5) Release_Track'!$G:$G,1,0))),vlookup($A424&amp;$B424,{'5) Release_Track'!$F:$F&amp;'5) Release_Track'!$G:$G,'5) Release_Track'!$H:$H},2,0), or(and(not(isblank($B424)),$B424=$B423,$A424&lt;&gt;$A423),and(not(isblank($A424)),$A424=$A423,$B424&lt;&gt;$B423)),"ID LISTS UNALIGNED",and($A424&lt;&gt;"",countif('5) Release_Track'!$F:$F,$A424)=0),"NO ISRC MATCH in Release_Track",and($B424&lt;&gt;"",countif('5) Release_Track'!$G:$G,$B424)=0),"NO CATALOG ID MATCH in Release_Track",iserror(vlookup($A424&amp;$B424,'5) Release_Track'!$F:$F&amp;'5) Release_Track'!$G:$G,1,0)),"NO ISRC-CATALOG ID pair MATCH in Release_Track" )</f>
        <v/>
      </c>
      <c r="D424" s="121" t="str">
        <f t="array" ref="D424">ifs(and(isblank($A424),isblank($B424)),"", not(iserror(vlookup($A424&amp;$B424,'5) Release_Track'!$F:$F&amp;'5) Release_Track'!$G:$G,1,0))),vlookup($A424&amp;$B424,{'5) Release_Track'!$F:$F&amp;'5) Release_Track'!$G:$G,'5) Release_Track'!$I:$I},2,0), or(and(not(isblank($B424)),$B424=$B423,$A424&lt;&gt;$A423),and(not(isblank($A424)),$A424=$A423,$B424&lt;&gt;$B423)),"ID LISTS UNALIGNED",and($A424&lt;&gt;"",countif('5) Release_Track'!$F:$F,$A424)=0),"NO ISRC MATCH in Release_Track",and($B424&lt;&gt;"",countif('5) Release_Track'!$G:$G,$B424)=0),"NO CATALOG ID MATCH in Release_Track",iserror(vlookup($A424&amp;$B424,'5) Release_Track'!$F:$F&amp;'5) Release_Track'!$G:$G,1,0)),"NO ISRC-CATALOG ID pair MATCH in Release_Track" )</f>
        <v/>
      </c>
      <c r="E424" s="142" t="b">
        <v>0</v>
      </c>
      <c r="F424" s="142" t="b">
        <v>0</v>
      </c>
      <c r="G424" s="142" t="b">
        <v>0</v>
      </c>
      <c r="H424" s="142" t="b">
        <v>0</v>
      </c>
      <c r="I424" s="142" t="b">
        <v>0</v>
      </c>
      <c r="J424" s="142" t="b">
        <v>0</v>
      </c>
      <c r="K424" s="142" t="b">
        <v>0</v>
      </c>
      <c r="L424" s="8" t="b">
        <v>0</v>
      </c>
    </row>
    <row r="425">
      <c r="B425" s="103"/>
      <c r="C425" s="121" t="str">
        <f t="array" ref="C425">ifs(and(isblank($A425),isblank($B425)),"", not(iserror(vlookup($A425&amp;$B425,'5) Release_Track'!$F:$F&amp;'5) Release_Track'!$G:$G,1,0))),vlookup($A425&amp;$B425,{'5) Release_Track'!$F:$F&amp;'5) Release_Track'!$G:$G,'5) Release_Track'!$H:$H},2,0), or(and(not(isblank($B425)),$B425=$B424,$A425&lt;&gt;$A424),and(not(isblank($A425)),$A425=$A424,$B425&lt;&gt;$B424)),"ID LISTS UNALIGNED",and($A425&lt;&gt;"",countif('5) Release_Track'!$F:$F,$A425)=0),"NO ISRC MATCH in Release_Track",and($B425&lt;&gt;"",countif('5) Release_Track'!$G:$G,$B425)=0),"NO CATALOG ID MATCH in Release_Track",iserror(vlookup($A425&amp;$B425,'5) Release_Track'!$F:$F&amp;'5) Release_Track'!$G:$G,1,0)),"NO ISRC-CATALOG ID pair MATCH in Release_Track" )</f>
        <v/>
      </c>
      <c r="D425" s="121" t="str">
        <f t="array" ref="D425">ifs(and(isblank($A425),isblank($B425)),"", not(iserror(vlookup($A425&amp;$B425,'5) Release_Track'!$F:$F&amp;'5) Release_Track'!$G:$G,1,0))),vlookup($A425&amp;$B425,{'5) Release_Track'!$F:$F&amp;'5) Release_Track'!$G:$G,'5) Release_Track'!$I:$I},2,0), or(and(not(isblank($B425)),$B425=$B424,$A425&lt;&gt;$A424),and(not(isblank($A425)),$A425=$A424,$B425&lt;&gt;$B424)),"ID LISTS UNALIGNED",and($A425&lt;&gt;"",countif('5) Release_Track'!$F:$F,$A425)=0),"NO ISRC MATCH in Release_Track",and($B425&lt;&gt;"",countif('5) Release_Track'!$G:$G,$B425)=0),"NO CATALOG ID MATCH in Release_Track",iserror(vlookup($A425&amp;$B425,'5) Release_Track'!$F:$F&amp;'5) Release_Track'!$G:$G,1,0)),"NO ISRC-CATALOG ID pair MATCH in Release_Track" )</f>
        <v/>
      </c>
      <c r="E425" s="142" t="b">
        <v>0</v>
      </c>
      <c r="F425" s="142" t="b">
        <v>0</v>
      </c>
      <c r="G425" s="142" t="b">
        <v>0</v>
      </c>
      <c r="H425" s="142" t="b">
        <v>0</v>
      </c>
      <c r="I425" s="142" t="b">
        <v>0</v>
      </c>
      <c r="J425" s="142" t="b">
        <v>0</v>
      </c>
      <c r="K425" s="142" t="b">
        <v>0</v>
      </c>
      <c r="L425" s="8" t="b">
        <v>0</v>
      </c>
    </row>
    <row r="426">
      <c r="B426" s="103"/>
      <c r="C426" s="121" t="str">
        <f t="array" ref="C426">ifs(and(isblank($A426),isblank($B426)),"", not(iserror(vlookup($A426&amp;$B426,'5) Release_Track'!$F:$F&amp;'5) Release_Track'!$G:$G,1,0))),vlookup($A426&amp;$B426,{'5) Release_Track'!$F:$F&amp;'5) Release_Track'!$G:$G,'5) Release_Track'!$H:$H},2,0), or(and(not(isblank($B426)),$B426=$B425,$A426&lt;&gt;$A425),and(not(isblank($A426)),$A426=$A425,$B426&lt;&gt;$B425)),"ID LISTS UNALIGNED",and($A426&lt;&gt;"",countif('5) Release_Track'!$F:$F,$A426)=0),"NO ISRC MATCH in Release_Track",and($B426&lt;&gt;"",countif('5) Release_Track'!$G:$G,$B426)=0),"NO CATALOG ID MATCH in Release_Track",iserror(vlookup($A426&amp;$B426,'5) Release_Track'!$F:$F&amp;'5) Release_Track'!$G:$G,1,0)),"NO ISRC-CATALOG ID pair MATCH in Release_Track" )</f>
        <v/>
      </c>
      <c r="D426" s="121" t="str">
        <f t="array" ref="D426">ifs(and(isblank($A426),isblank($B426)),"", not(iserror(vlookup($A426&amp;$B426,'5) Release_Track'!$F:$F&amp;'5) Release_Track'!$G:$G,1,0))),vlookup($A426&amp;$B426,{'5) Release_Track'!$F:$F&amp;'5) Release_Track'!$G:$G,'5) Release_Track'!$I:$I},2,0), or(and(not(isblank($B426)),$B426=$B425,$A426&lt;&gt;$A425),and(not(isblank($A426)),$A426=$A425,$B426&lt;&gt;$B425)),"ID LISTS UNALIGNED",and($A426&lt;&gt;"",countif('5) Release_Track'!$F:$F,$A426)=0),"NO ISRC MATCH in Release_Track",and($B426&lt;&gt;"",countif('5) Release_Track'!$G:$G,$B426)=0),"NO CATALOG ID MATCH in Release_Track",iserror(vlookup($A426&amp;$B426,'5) Release_Track'!$F:$F&amp;'5) Release_Track'!$G:$G,1,0)),"NO ISRC-CATALOG ID pair MATCH in Release_Track" )</f>
        <v/>
      </c>
      <c r="E426" s="142" t="b">
        <v>0</v>
      </c>
      <c r="F426" s="142" t="b">
        <v>0</v>
      </c>
      <c r="G426" s="142" t="b">
        <v>0</v>
      </c>
      <c r="H426" s="142" t="b">
        <v>0</v>
      </c>
      <c r="I426" s="142" t="b">
        <v>0</v>
      </c>
      <c r="J426" s="142" t="b">
        <v>0</v>
      </c>
      <c r="K426" s="142" t="b">
        <v>0</v>
      </c>
      <c r="L426" s="8" t="b">
        <v>0</v>
      </c>
    </row>
    <row r="427">
      <c r="B427" s="103"/>
      <c r="C427" s="121" t="str">
        <f t="array" ref="C427">ifs(and(isblank($A427),isblank($B427)),"", not(iserror(vlookup($A427&amp;$B427,'5) Release_Track'!$F:$F&amp;'5) Release_Track'!$G:$G,1,0))),vlookup($A427&amp;$B427,{'5) Release_Track'!$F:$F&amp;'5) Release_Track'!$G:$G,'5) Release_Track'!$H:$H},2,0), or(and(not(isblank($B427)),$B427=$B426,$A427&lt;&gt;$A426),and(not(isblank($A427)),$A427=$A426,$B427&lt;&gt;$B426)),"ID LISTS UNALIGNED",and($A427&lt;&gt;"",countif('5) Release_Track'!$F:$F,$A427)=0),"NO ISRC MATCH in Release_Track",and($B427&lt;&gt;"",countif('5) Release_Track'!$G:$G,$B427)=0),"NO CATALOG ID MATCH in Release_Track",iserror(vlookup($A427&amp;$B427,'5) Release_Track'!$F:$F&amp;'5) Release_Track'!$G:$G,1,0)),"NO ISRC-CATALOG ID pair MATCH in Release_Track" )</f>
        <v/>
      </c>
      <c r="D427" s="121" t="str">
        <f t="array" ref="D427">ifs(and(isblank($A427),isblank($B427)),"", not(iserror(vlookup($A427&amp;$B427,'5) Release_Track'!$F:$F&amp;'5) Release_Track'!$G:$G,1,0))),vlookup($A427&amp;$B427,{'5) Release_Track'!$F:$F&amp;'5) Release_Track'!$G:$G,'5) Release_Track'!$I:$I},2,0), or(and(not(isblank($B427)),$B427=$B426,$A427&lt;&gt;$A426),and(not(isblank($A427)),$A427=$A426,$B427&lt;&gt;$B426)),"ID LISTS UNALIGNED",and($A427&lt;&gt;"",countif('5) Release_Track'!$F:$F,$A427)=0),"NO ISRC MATCH in Release_Track",and($B427&lt;&gt;"",countif('5) Release_Track'!$G:$G,$B427)=0),"NO CATALOG ID MATCH in Release_Track",iserror(vlookup($A427&amp;$B427,'5) Release_Track'!$F:$F&amp;'5) Release_Track'!$G:$G,1,0)),"NO ISRC-CATALOG ID pair MATCH in Release_Track" )</f>
        <v/>
      </c>
      <c r="E427" s="142" t="b">
        <v>0</v>
      </c>
      <c r="F427" s="142" t="b">
        <v>0</v>
      </c>
      <c r="G427" s="142" t="b">
        <v>0</v>
      </c>
      <c r="H427" s="142" t="b">
        <v>0</v>
      </c>
      <c r="I427" s="142" t="b">
        <v>0</v>
      </c>
      <c r="J427" s="142" t="b">
        <v>0</v>
      </c>
      <c r="K427" s="142" t="b">
        <v>0</v>
      </c>
      <c r="L427" s="8" t="b">
        <v>0</v>
      </c>
    </row>
    <row r="428">
      <c r="B428" s="103"/>
      <c r="C428" s="121" t="str">
        <f t="array" ref="C428">ifs(and(isblank($A428),isblank($B428)),"", not(iserror(vlookup($A428&amp;$B428,'5) Release_Track'!$F:$F&amp;'5) Release_Track'!$G:$G,1,0))),vlookup($A428&amp;$B428,{'5) Release_Track'!$F:$F&amp;'5) Release_Track'!$G:$G,'5) Release_Track'!$H:$H},2,0), or(and(not(isblank($B428)),$B428=$B427,$A428&lt;&gt;$A427),and(not(isblank($A428)),$A428=$A427,$B428&lt;&gt;$B427)),"ID LISTS UNALIGNED",and($A428&lt;&gt;"",countif('5) Release_Track'!$F:$F,$A428)=0),"NO ISRC MATCH in Release_Track",and($B428&lt;&gt;"",countif('5) Release_Track'!$G:$G,$B428)=0),"NO CATALOG ID MATCH in Release_Track",iserror(vlookup($A428&amp;$B428,'5) Release_Track'!$F:$F&amp;'5) Release_Track'!$G:$G,1,0)),"NO ISRC-CATALOG ID pair MATCH in Release_Track" )</f>
        <v/>
      </c>
      <c r="D428" s="121" t="str">
        <f t="array" ref="D428">ifs(and(isblank($A428),isblank($B428)),"", not(iserror(vlookup($A428&amp;$B428,'5) Release_Track'!$F:$F&amp;'5) Release_Track'!$G:$G,1,0))),vlookup($A428&amp;$B428,{'5) Release_Track'!$F:$F&amp;'5) Release_Track'!$G:$G,'5) Release_Track'!$I:$I},2,0), or(and(not(isblank($B428)),$B428=$B427,$A428&lt;&gt;$A427),and(not(isblank($A428)),$A428=$A427,$B428&lt;&gt;$B427)),"ID LISTS UNALIGNED",and($A428&lt;&gt;"",countif('5) Release_Track'!$F:$F,$A428)=0),"NO ISRC MATCH in Release_Track",and($B428&lt;&gt;"",countif('5) Release_Track'!$G:$G,$B428)=0),"NO CATALOG ID MATCH in Release_Track",iserror(vlookup($A428&amp;$B428,'5) Release_Track'!$F:$F&amp;'5) Release_Track'!$G:$G,1,0)),"NO ISRC-CATALOG ID pair MATCH in Release_Track" )</f>
        <v/>
      </c>
      <c r="E428" s="142" t="b">
        <v>0</v>
      </c>
      <c r="F428" s="142" t="b">
        <v>0</v>
      </c>
      <c r="G428" s="142" t="b">
        <v>0</v>
      </c>
      <c r="H428" s="142" t="b">
        <v>0</v>
      </c>
      <c r="I428" s="142" t="b">
        <v>0</v>
      </c>
      <c r="J428" s="142" t="b">
        <v>0</v>
      </c>
      <c r="K428" s="142" t="b">
        <v>0</v>
      </c>
      <c r="L428" s="8" t="b">
        <v>0</v>
      </c>
    </row>
    <row r="429">
      <c r="B429" s="103"/>
      <c r="C429" s="121" t="str">
        <f t="array" ref="C429">ifs(and(isblank($A429),isblank($B429)),"", not(iserror(vlookup($A429&amp;$B429,'5) Release_Track'!$F:$F&amp;'5) Release_Track'!$G:$G,1,0))),vlookup($A429&amp;$B429,{'5) Release_Track'!$F:$F&amp;'5) Release_Track'!$G:$G,'5) Release_Track'!$H:$H},2,0), or(and(not(isblank($B429)),$B429=$B428,$A429&lt;&gt;$A428),and(not(isblank($A429)),$A429=$A428,$B429&lt;&gt;$B428)),"ID LISTS UNALIGNED",and($A429&lt;&gt;"",countif('5) Release_Track'!$F:$F,$A429)=0),"NO ISRC MATCH in Release_Track",and($B429&lt;&gt;"",countif('5) Release_Track'!$G:$G,$B429)=0),"NO CATALOG ID MATCH in Release_Track",iserror(vlookup($A429&amp;$B429,'5) Release_Track'!$F:$F&amp;'5) Release_Track'!$G:$G,1,0)),"NO ISRC-CATALOG ID pair MATCH in Release_Track" )</f>
        <v/>
      </c>
      <c r="D429" s="121" t="str">
        <f t="array" ref="D429">ifs(and(isblank($A429),isblank($B429)),"", not(iserror(vlookup($A429&amp;$B429,'5) Release_Track'!$F:$F&amp;'5) Release_Track'!$G:$G,1,0))),vlookup($A429&amp;$B429,{'5) Release_Track'!$F:$F&amp;'5) Release_Track'!$G:$G,'5) Release_Track'!$I:$I},2,0), or(and(not(isblank($B429)),$B429=$B428,$A429&lt;&gt;$A428),and(not(isblank($A429)),$A429=$A428,$B429&lt;&gt;$B428)),"ID LISTS UNALIGNED",and($A429&lt;&gt;"",countif('5) Release_Track'!$F:$F,$A429)=0),"NO ISRC MATCH in Release_Track",and($B429&lt;&gt;"",countif('5) Release_Track'!$G:$G,$B429)=0),"NO CATALOG ID MATCH in Release_Track",iserror(vlookup($A429&amp;$B429,'5) Release_Track'!$F:$F&amp;'5) Release_Track'!$G:$G,1,0)),"NO ISRC-CATALOG ID pair MATCH in Release_Track" )</f>
        <v/>
      </c>
      <c r="E429" s="142" t="b">
        <v>0</v>
      </c>
      <c r="F429" s="142" t="b">
        <v>0</v>
      </c>
      <c r="G429" s="142" t="b">
        <v>0</v>
      </c>
      <c r="H429" s="142" t="b">
        <v>0</v>
      </c>
      <c r="I429" s="142" t="b">
        <v>0</v>
      </c>
      <c r="J429" s="142" t="b">
        <v>0</v>
      </c>
      <c r="K429" s="142" t="b">
        <v>0</v>
      </c>
      <c r="L429" s="8" t="b">
        <v>0</v>
      </c>
    </row>
    <row r="430">
      <c r="B430" s="103"/>
      <c r="C430" s="121" t="str">
        <f t="array" ref="C430">ifs(and(isblank($A430),isblank($B430)),"", not(iserror(vlookup($A430&amp;$B430,'5) Release_Track'!$F:$F&amp;'5) Release_Track'!$G:$G,1,0))),vlookup($A430&amp;$B430,{'5) Release_Track'!$F:$F&amp;'5) Release_Track'!$G:$G,'5) Release_Track'!$H:$H},2,0), or(and(not(isblank($B430)),$B430=$B429,$A430&lt;&gt;$A429),and(not(isblank($A430)),$A430=$A429,$B430&lt;&gt;$B429)),"ID LISTS UNALIGNED",and($A430&lt;&gt;"",countif('5) Release_Track'!$F:$F,$A430)=0),"NO ISRC MATCH in Release_Track",and($B430&lt;&gt;"",countif('5) Release_Track'!$G:$G,$B430)=0),"NO CATALOG ID MATCH in Release_Track",iserror(vlookup($A430&amp;$B430,'5) Release_Track'!$F:$F&amp;'5) Release_Track'!$G:$G,1,0)),"NO ISRC-CATALOG ID pair MATCH in Release_Track" )</f>
        <v/>
      </c>
      <c r="D430" s="121" t="str">
        <f t="array" ref="D430">ifs(and(isblank($A430),isblank($B430)),"", not(iserror(vlookup($A430&amp;$B430,'5) Release_Track'!$F:$F&amp;'5) Release_Track'!$G:$G,1,0))),vlookup($A430&amp;$B430,{'5) Release_Track'!$F:$F&amp;'5) Release_Track'!$G:$G,'5) Release_Track'!$I:$I},2,0), or(and(not(isblank($B430)),$B430=$B429,$A430&lt;&gt;$A429),and(not(isblank($A430)),$A430=$A429,$B430&lt;&gt;$B429)),"ID LISTS UNALIGNED",and($A430&lt;&gt;"",countif('5) Release_Track'!$F:$F,$A430)=0),"NO ISRC MATCH in Release_Track",and($B430&lt;&gt;"",countif('5) Release_Track'!$G:$G,$B430)=0),"NO CATALOG ID MATCH in Release_Track",iserror(vlookup($A430&amp;$B430,'5) Release_Track'!$F:$F&amp;'5) Release_Track'!$G:$G,1,0)),"NO ISRC-CATALOG ID pair MATCH in Release_Track" )</f>
        <v/>
      </c>
      <c r="E430" s="142" t="b">
        <v>0</v>
      </c>
      <c r="F430" s="142" t="b">
        <v>0</v>
      </c>
      <c r="G430" s="142" t="b">
        <v>0</v>
      </c>
      <c r="H430" s="142" t="b">
        <v>0</v>
      </c>
      <c r="I430" s="142" t="b">
        <v>0</v>
      </c>
      <c r="J430" s="142" t="b">
        <v>0</v>
      </c>
      <c r="K430" s="142" t="b">
        <v>0</v>
      </c>
      <c r="L430" s="8" t="b">
        <v>0</v>
      </c>
    </row>
    <row r="431">
      <c r="B431" s="103"/>
      <c r="C431" s="121" t="str">
        <f t="array" ref="C431">ifs(and(isblank($A431),isblank($B431)),"", not(iserror(vlookup($A431&amp;$B431,'5) Release_Track'!$F:$F&amp;'5) Release_Track'!$G:$G,1,0))),vlookup($A431&amp;$B431,{'5) Release_Track'!$F:$F&amp;'5) Release_Track'!$G:$G,'5) Release_Track'!$H:$H},2,0), or(and(not(isblank($B431)),$B431=$B430,$A431&lt;&gt;$A430),and(not(isblank($A431)),$A431=$A430,$B431&lt;&gt;$B430)),"ID LISTS UNALIGNED",and($A431&lt;&gt;"",countif('5) Release_Track'!$F:$F,$A431)=0),"NO ISRC MATCH in Release_Track",and($B431&lt;&gt;"",countif('5) Release_Track'!$G:$G,$B431)=0),"NO CATALOG ID MATCH in Release_Track",iserror(vlookup($A431&amp;$B431,'5) Release_Track'!$F:$F&amp;'5) Release_Track'!$G:$G,1,0)),"NO ISRC-CATALOG ID pair MATCH in Release_Track" )</f>
        <v/>
      </c>
      <c r="D431" s="121" t="str">
        <f t="array" ref="D431">ifs(and(isblank($A431),isblank($B431)),"", not(iserror(vlookup($A431&amp;$B431,'5) Release_Track'!$F:$F&amp;'5) Release_Track'!$G:$G,1,0))),vlookup($A431&amp;$B431,{'5) Release_Track'!$F:$F&amp;'5) Release_Track'!$G:$G,'5) Release_Track'!$I:$I},2,0), or(and(not(isblank($B431)),$B431=$B430,$A431&lt;&gt;$A430),and(not(isblank($A431)),$A431=$A430,$B431&lt;&gt;$B430)),"ID LISTS UNALIGNED",and($A431&lt;&gt;"",countif('5) Release_Track'!$F:$F,$A431)=0),"NO ISRC MATCH in Release_Track",and($B431&lt;&gt;"",countif('5) Release_Track'!$G:$G,$B431)=0),"NO CATALOG ID MATCH in Release_Track",iserror(vlookup($A431&amp;$B431,'5) Release_Track'!$F:$F&amp;'5) Release_Track'!$G:$G,1,0)),"NO ISRC-CATALOG ID pair MATCH in Release_Track" )</f>
        <v/>
      </c>
      <c r="E431" s="142" t="b">
        <v>0</v>
      </c>
      <c r="F431" s="142" t="b">
        <v>0</v>
      </c>
      <c r="G431" s="142" t="b">
        <v>0</v>
      </c>
      <c r="H431" s="142" t="b">
        <v>0</v>
      </c>
      <c r="I431" s="142" t="b">
        <v>0</v>
      </c>
      <c r="J431" s="142" t="b">
        <v>0</v>
      </c>
      <c r="K431" s="142" t="b">
        <v>0</v>
      </c>
      <c r="L431" s="8" t="b">
        <v>0</v>
      </c>
    </row>
    <row r="432">
      <c r="B432" s="103"/>
      <c r="C432" s="121" t="str">
        <f t="array" ref="C432">ifs(and(isblank($A432),isblank($B432)),"", not(iserror(vlookup($A432&amp;$B432,'5) Release_Track'!$F:$F&amp;'5) Release_Track'!$G:$G,1,0))),vlookup($A432&amp;$B432,{'5) Release_Track'!$F:$F&amp;'5) Release_Track'!$G:$G,'5) Release_Track'!$H:$H},2,0), or(and(not(isblank($B432)),$B432=$B431,$A432&lt;&gt;$A431),and(not(isblank($A432)),$A432=$A431,$B432&lt;&gt;$B431)),"ID LISTS UNALIGNED",and($A432&lt;&gt;"",countif('5) Release_Track'!$F:$F,$A432)=0),"NO ISRC MATCH in Release_Track",and($B432&lt;&gt;"",countif('5) Release_Track'!$G:$G,$B432)=0),"NO CATALOG ID MATCH in Release_Track",iserror(vlookup($A432&amp;$B432,'5) Release_Track'!$F:$F&amp;'5) Release_Track'!$G:$G,1,0)),"NO ISRC-CATALOG ID pair MATCH in Release_Track" )</f>
        <v/>
      </c>
      <c r="D432" s="121" t="str">
        <f t="array" ref="D432">ifs(and(isblank($A432),isblank($B432)),"", not(iserror(vlookup($A432&amp;$B432,'5) Release_Track'!$F:$F&amp;'5) Release_Track'!$G:$G,1,0))),vlookup($A432&amp;$B432,{'5) Release_Track'!$F:$F&amp;'5) Release_Track'!$G:$G,'5) Release_Track'!$I:$I},2,0), or(and(not(isblank($B432)),$B432=$B431,$A432&lt;&gt;$A431),and(not(isblank($A432)),$A432=$A431,$B432&lt;&gt;$B431)),"ID LISTS UNALIGNED",and($A432&lt;&gt;"",countif('5) Release_Track'!$F:$F,$A432)=0),"NO ISRC MATCH in Release_Track",and($B432&lt;&gt;"",countif('5) Release_Track'!$G:$G,$B432)=0),"NO CATALOG ID MATCH in Release_Track",iserror(vlookup($A432&amp;$B432,'5) Release_Track'!$F:$F&amp;'5) Release_Track'!$G:$G,1,0)),"NO ISRC-CATALOG ID pair MATCH in Release_Track" )</f>
        <v/>
      </c>
      <c r="E432" s="142" t="b">
        <v>0</v>
      </c>
      <c r="F432" s="142" t="b">
        <v>0</v>
      </c>
      <c r="G432" s="142" t="b">
        <v>0</v>
      </c>
      <c r="H432" s="142" t="b">
        <v>0</v>
      </c>
      <c r="I432" s="142" t="b">
        <v>0</v>
      </c>
      <c r="J432" s="142" t="b">
        <v>0</v>
      </c>
      <c r="K432" s="142" t="b">
        <v>0</v>
      </c>
      <c r="L432" s="8" t="b">
        <v>0</v>
      </c>
    </row>
    <row r="433">
      <c r="B433" s="103"/>
      <c r="C433" s="121" t="str">
        <f t="array" ref="C433">ifs(and(isblank($A433),isblank($B433)),"", not(iserror(vlookup($A433&amp;$B433,'5) Release_Track'!$F:$F&amp;'5) Release_Track'!$G:$G,1,0))),vlookup($A433&amp;$B433,{'5) Release_Track'!$F:$F&amp;'5) Release_Track'!$G:$G,'5) Release_Track'!$H:$H},2,0), or(and(not(isblank($B433)),$B433=$B432,$A433&lt;&gt;$A432),and(not(isblank($A433)),$A433=$A432,$B433&lt;&gt;$B432)),"ID LISTS UNALIGNED",and($A433&lt;&gt;"",countif('5) Release_Track'!$F:$F,$A433)=0),"NO ISRC MATCH in Release_Track",and($B433&lt;&gt;"",countif('5) Release_Track'!$G:$G,$B433)=0),"NO CATALOG ID MATCH in Release_Track",iserror(vlookup($A433&amp;$B433,'5) Release_Track'!$F:$F&amp;'5) Release_Track'!$G:$G,1,0)),"NO ISRC-CATALOG ID pair MATCH in Release_Track" )</f>
        <v/>
      </c>
      <c r="D433" s="121" t="str">
        <f t="array" ref="D433">ifs(and(isblank($A433),isblank($B433)),"", not(iserror(vlookup($A433&amp;$B433,'5) Release_Track'!$F:$F&amp;'5) Release_Track'!$G:$G,1,0))),vlookup($A433&amp;$B433,{'5) Release_Track'!$F:$F&amp;'5) Release_Track'!$G:$G,'5) Release_Track'!$I:$I},2,0), or(and(not(isblank($B433)),$B433=$B432,$A433&lt;&gt;$A432),and(not(isblank($A433)),$A433=$A432,$B433&lt;&gt;$B432)),"ID LISTS UNALIGNED",and($A433&lt;&gt;"",countif('5) Release_Track'!$F:$F,$A433)=0),"NO ISRC MATCH in Release_Track",and($B433&lt;&gt;"",countif('5) Release_Track'!$G:$G,$B433)=0),"NO CATALOG ID MATCH in Release_Track",iserror(vlookup($A433&amp;$B433,'5) Release_Track'!$F:$F&amp;'5) Release_Track'!$G:$G,1,0)),"NO ISRC-CATALOG ID pair MATCH in Release_Track" )</f>
        <v/>
      </c>
      <c r="E433" s="142" t="b">
        <v>0</v>
      </c>
      <c r="F433" s="142" t="b">
        <v>0</v>
      </c>
      <c r="G433" s="142" t="b">
        <v>0</v>
      </c>
      <c r="H433" s="142" t="b">
        <v>0</v>
      </c>
      <c r="I433" s="142" t="b">
        <v>0</v>
      </c>
      <c r="J433" s="142" t="b">
        <v>0</v>
      </c>
      <c r="K433" s="142" t="b">
        <v>0</v>
      </c>
      <c r="L433" s="8" t="b">
        <v>0</v>
      </c>
    </row>
    <row r="434">
      <c r="B434" s="103"/>
      <c r="C434" s="121" t="str">
        <f t="array" ref="C434">ifs(and(isblank($A434),isblank($B434)),"", not(iserror(vlookup($A434&amp;$B434,'5) Release_Track'!$F:$F&amp;'5) Release_Track'!$G:$G,1,0))),vlookup($A434&amp;$B434,{'5) Release_Track'!$F:$F&amp;'5) Release_Track'!$G:$G,'5) Release_Track'!$H:$H},2,0), or(and(not(isblank($B434)),$B434=$B433,$A434&lt;&gt;$A433),and(not(isblank($A434)),$A434=$A433,$B434&lt;&gt;$B433)),"ID LISTS UNALIGNED",and($A434&lt;&gt;"",countif('5) Release_Track'!$F:$F,$A434)=0),"NO ISRC MATCH in Release_Track",and($B434&lt;&gt;"",countif('5) Release_Track'!$G:$G,$B434)=0),"NO CATALOG ID MATCH in Release_Track",iserror(vlookup($A434&amp;$B434,'5) Release_Track'!$F:$F&amp;'5) Release_Track'!$G:$G,1,0)),"NO ISRC-CATALOG ID pair MATCH in Release_Track" )</f>
        <v/>
      </c>
      <c r="D434" s="121" t="str">
        <f t="array" ref="D434">ifs(and(isblank($A434),isblank($B434)),"", not(iserror(vlookup($A434&amp;$B434,'5) Release_Track'!$F:$F&amp;'5) Release_Track'!$G:$G,1,0))),vlookup($A434&amp;$B434,{'5) Release_Track'!$F:$F&amp;'5) Release_Track'!$G:$G,'5) Release_Track'!$I:$I},2,0), or(and(not(isblank($B434)),$B434=$B433,$A434&lt;&gt;$A433),and(not(isblank($A434)),$A434=$A433,$B434&lt;&gt;$B433)),"ID LISTS UNALIGNED",and($A434&lt;&gt;"",countif('5) Release_Track'!$F:$F,$A434)=0),"NO ISRC MATCH in Release_Track",and($B434&lt;&gt;"",countif('5) Release_Track'!$G:$G,$B434)=0),"NO CATALOG ID MATCH in Release_Track",iserror(vlookup($A434&amp;$B434,'5) Release_Track'!$F:$F&amp;'5) Release_Track'!$G:$G,1,0)),"NO ISRC-CATALOG ID pair MATCH in Release_Track" )</f>
        <v/>
      </c>
      <c r="E434" s="142" t="b">
        <v>0</v>
      </c>
      <c r="F434" s="142" t="b">
        <v>0</v>
      </c>
      <c r="G434" s="142" t="b">
        <v>0</v>
      </c>
      <c r="H434" s="142" t="b">
        <v>0</v>
      </c>
      <c r="I434" s="142" t="b">
        <v>0</v>
      </c>
      <c r="J434" s="142" t="b">
        <v>0</v>
      </c>
      <c r="K434" s="142" t="b">
        <v>0</v>
      </c>
      <c r="L434" s="8" t="b">
        <v>0</v>
      </c>
    </row>
    <row r="435">
      <c r="B435" s="103"/>
      <c r="C435" s="121" t="str">
        <f t="array" ref="C435">ifs(and(isblank($A435),isblank($B435)),"", not(iserror(vlookup($A435&amp;$B435,'5) Release_Track'!$F:$F&amp;'5) Release_Track'!$G:$G,1,0))),vlookup($A435&amp;$B435,{'5) Release_Track'!$F:$F&amp;'5) Release_Track'!$G:$G,'5) Release_Track'!$H:$H},2,0), or(and(not(isblank($B435)),$B435=$B434,$A435&lt;&gt;$A434),and(not(isblank($A435)),$A435=$A434,$B435&lt;&gt;$B434)),"ID LISTS UNALIGNED",and($A435&lt;&gt;"",countif('5) Release_Track'!$F:$F,$A435)=0),"NO ISRC MATCH in Release_Track",and($B435&lt;&gt;"",countif('5) Release_Track'!$G:$G,$B435)=0),"NO CATALOG ID MATCH in Release_Track",iserror(vlookup($A435&amp;$B435,'5) Release_Track'!$F:$F&amp;'5) Release_Track'!$G:$G,1,0)),"NO ISRC-CATALOG ID pair MATCH in Release_Track" )</f>
        <v/>
      </c>
      <c r="D435" s="121" t="str">
        <f t="array" ref="D435">ifs(and(isblank($A435),isblank($B435)),"", not(iserror(vlookup($A435&amp;$B435,'5) Release_Track'!$F:$F&amp;'5) Release_Track'!$G:$G,1,0))),vlookup($A435&amp;$B435,{'5) Release_Track'!$F:$F&amp;'5) Release_Track'!$G:$G,'5) Release_Track'!$I:$I},2,0), or(and(not(isblank($B435)),$B435=$B434,$A435&lt;&gt;$A434),and(not(isblank($A435)),$A435=$A434,$B435&lt;&gt;$B434)),"ID LISTS UNALIGNED",and($A435&lt;&gt;"",countif('5) Release_Track'!$F:$F,$A435)=0),"NO ISRC MATCH in Release_Track",and($B435&lt;&gt;"",countif('5) Release_Track'!$G:$G,$B435)=0),"NO CATALOG ID MATCH in Release_Track",iserror(vlookup($A435&amp;$B435,'5) Release_Track'!$F:$F&amp;'5) Release_Track'!$G:$G,1,0)),"NO ISRC-CATALOG ID pair MATCH in Release_Track" )</f>
        <v/>
      </c>
      <c r="E435" s="142" t="b">
        <v>0</v>
      </c>
      <c r="F435" s="142" t="b">
        <v>0</v>
      </c>
      <c r="G435" s="142" t="b">
        <v>0</v>
      </c>
      <c r="H435" s="142" t="b">
        <v>0</v>
      </c>
      <c r="I435" s="142" t="b">
        <v>0</v>
      </c>
      <c r="J435" s="142" t="b">
        <v>0</v>
      </c>
      <c r="K435" s="142" t="b">
        <v>0</v>
      </c>
      <c r="L435" s="8" t="b">
        <v>0</v>
      </c>
    </row>
    <row r="436">
      <c r="B436" s="103"/>
      <c r="C436" s="121" t="str">
        <f t="array" ref="C436">ifs(and(isblank($A436),isblank($B436)),"", not(iserror(vlookup($A436&amp;$B436,'5) Release_Track'!$F:$F&amp;'5) Release_Track'!$G:$G,1,0))),vlookup($A436&amp;$B436,{'5) Release_Track'!$F:$F&amp;'5) Release_Track'!$G:$G,'5) Release_Track'!$H:$H},2,0), or(and(not(isblank($B436)),$B436=$B435,$A436&lt;&gt;$A435),and(not(isblank($A436)),$A436=$A435,$B436&lt;&gt;$B435)),"ID LISTS UNALIGNED",and($A436&lt;&gt;"",countif('5) Release_Track'!$F:$F,$A436)=0),"NO ISRC MATCH in Release_Track",and($B436&lt;&gt;"",countif('5) Release_Track'!$G:$G,$B436)=0),"NO CATALOG ID MATCH in Release_Track",iserror(vlookup($A436&amp;$B436,'5) Release_Track'!$F:$F&amp;'5) Release_Track'!$G:$G,1,0)),"NO ISRC-CATALOG ID pair MATCH in Release_Track" )</f>
        <v/>
      </c>
      <c r="D436" s="121" t="str">
        <f t="array" ref="D436">ifs(and(isblank($A436),isblank($B436)),"", not(iserror(vlookup($A436&amp;$B436,'5) Release_Track'!$F:$F&amp;'5) Release_Track'!$G:$G,1,0))),vlookup($A436&amp;$B436,{'5) Release_Track'!$F:$F&amp;'5) Release_Track'!$G:$G,'5) Release_Track'!$I:$I},2,0), or(and(not(isblank($B436)),$B436=$B435,$A436&lt;&gt;$A435),and(not(isblank($A436)),$A436=$A435,$B436&lt;&gt;$B435)),"ID LISTS UNALIGNED",and($A436&lt;&gt;"",countif('5) Release_Track'!$F:$F,$A436)=0),"NO ISRC MATCH in Release_Track",and($B436&lt;&gt;"",countif('5) Release_Track'!$G:$G,$B436)=0),"NO CATALOG ID MATCH in Release_Track",iserror(vlookup($A436&amp;$B436,'5) Release_Track'!$F:$F&amp;'5) Release_Track'!$G:$G,1,0)),"NO ISRC-CATALOG ID pair MATCH in Release_Track" )</f>
        <v/>
      </c>
      <c r="E436" s="142" t="b">
        <v>0</v>
      </c>
      <c r="F436" s="142" t="b">
        <v>0</v>
      </c>
      <c r="G436" s="142" t="b">
        <v>0</v>
      </c>
      <c r="H436" s="142" t="b">
        <v>0</v>
      </c>
      <c r="I436" s="142" t="b">
        <v>0</v>
      </c>
      <c r="J436" s="142" t="b">
        <v>0</v>
      </c>
      <c r="K436" s="142" t="b">
        <v>0</v>
      </c>
      <c r="L436" s="8" t="b">
        <v>0</v>
      </c>
    </row>
    <row r="437">
      <c r="B437" s="103"/>
      <c r="C437" s="121" t="str">
        <f t="array" ref="C437">ifs(and(isblank($A437),isblank($B437)),"", not(iserror(vlookup($A437&amp;$B437,'5) Release_Track'!$F:$F&amp;'5) Release_Track'!$G:$G,1,0))),vlookup($A437&amp;$B437,{'5) Release_Track'!$F:$F&amp;'5) Release_Track'!$G:$G,'5) Release_Track'!$H:$H},2,0), or(and(not(isblank($B437)),$B437=$B436,$A437&lt;&gt;$A436),and(not(isblank($A437)),$A437=$A436,$B437&lt;&gt;$B436)),"ID LISTS UNALIGNED",and($A437&lt;&gt;"",countif('5) Release_Track'!$F:$F,$A437)=0),"NO ISRC MATCH in Release_Track",and($B437&lt;&gt;"",countif('5) Release_Track'!$G:$G,$B437)=0),"NO CATALOG ID MATCH in Release_Track",iserror(vlookup($A437&amp;$B437,'5) Release_Track'!$F:$F&amp;'5) Release_Track'!$G:$G,1,0)),"NO ISRC-CATALOG ID pair MATCH in Release_Track" )</f>
        <v/>
      </c>
      <c r="D437" s="121" t="str">
        <f t="array" ref="D437">ifs(and(isblank($A437),isblank($B437)),"", not(iserror(vlookup($A437&amp;$B437,'5) Release_Track'!$F:$F&amp;'5) Release_Track'!$G:$G,1,0))),vlookup($A437&amp;$B437,{'5) Release_Track'!$F:$F&amp;'5) Release_Track'!$G:$G,'5) Release_Track'!$I:$I},2,0), or(and(not(isblank($B437)),$B437=$B436,$A437&lt;&gt;$A436),and(not(isblank($A437)),$A437=$A436,$B437&lt;&gt;$B436)),"ID LISTS UNALIGNED",and($A437&lt;&gt;"",countif('5) Release_Track'!$F:$F,$A437)=0),"NO ISRC MATCH in Release_Track",and($B437&lt;&gt;"",countif('5) Release_Track'!$G:$G,$B437)=0),"NO CATALOG ID MATCH in Release_Track",iserror(vlookup($A437&amp;$B437,'5) Release_Track'!$F:$F&amp;'5) Release_Track'!$G:$G,1,0)),"NO ISRC-CATALOG ID pair MATCH in Release_Track" )</f>
        <v/>
      </c>
      <c r="E437" s="142" t="b">
        <v>0</v>
      </c>
      <c r="F437" s="142" t="b">
        <v>0</v>
      </c>
      <c r="G437" s="142" t="b">
        <v>0</v>
      </c>
      <c r="H437" s="142" t="b">
        <v>0</v>
      </c>
      <c r="I437" s="142" t="b">
        <v>0</v>
      </c>
      <c r="J437" s="142" t="b">
        <v>0</v>
      </c>
      <c r="K437" s="142" t="b">
        <v>0</v>
      </c>
      <c r="L437" s="8" t="b">
        <v>0</v>
      </c>
    </row>
    <row r="438">
      <c r="B438" s="103"/>
      <c r="C438" s="121" t="str">
        <f t="array" ref="C438">ifs(and(isblank($A438),isblank($B438)),"", not(iserror(vlookup($A438&amp;$B438,'5) Release_Track'!$F:$F&amp;'5) Release_Track'!$G:$G,1,0))),vlookup($A438&amp;$B438,{'5) Release_Track'!$F:$F&amp;'5) Release_Track'!$G:$G,'5) Release_Track'!$H:$H},2,0), or(and(not(isblank($B438)),$B438=$B437,$A438&lt;&gt;$A437),and(not(isblank($A438)),$A438=$A437,$B438&lt;&gt;$B437)),"ID LISTS UNALIGNED",and($A438&lt;&gt;"",countif('5) Release_Track'!$F:$F,$A438)=0),"NO ISRC MATCH in Release_Track",and($B438&lt;&gt;"",countif('5) Release_Track'!$G:$G,$B438)=0),"NO CATALOG ID MATCH in Release_Track",iserror(vlookup($A438&amp;$B438,'5) Release_Track'!$F:$F&amp;'5) Release_Track'!$G:$G,1,0)),"NO ISRC-CATALOG ID pair MATCH in Release_Track" )</f>
        <v/>
      </c>
      <c r="D438" s="121" t="str">
        <f t="array" ref="D438">ifs(and(isblank($A438),isblank($B438)),"", not(iserror(vlookup($A438&amp;$B438,'5) Release_Track'!$F:$F&amp;'5) Release_Track'!$G:$G,1,0))),vlookup($A438&amp;$B438,{'5) Release_Track'!$F:$F&amp;'5) Release_Track'!$G:$G,'5) Release_Track'!$I:$I},2,0), or(and(not(isblank($B438)),$B438=$B437,$A438&lt;&gt;$A437),and(not(isblank($A438)),$A438=$A437,$B438&lt;&gt;$B437)),"ID LISTS UNALIGNED",and($A438&lt;&gt;"",countif('5) Release_Track'!$F:$F,$A438)=0),"NO ISRC MATCH in Release_Track",and($B438&lt;&gt;"",countif('5) Release_Track'!$G:$G,$B438)=0),"NO CATALOG ID MATCH in Release_Track",iserror(vlookup($A438&amp;$B438,'5) Release_Track'!$F:$F&amp;'5) Release_Track'!$G:$G,1,0)),"NO ISRC-CATALOG ID pair MATCH in Release_Track" )</f>
        <v/>
      </c>
      <c r="E438" s="142" t="b">
        <v>0</v>
      </c>
      <c r="F438" s="142" t="b">
        <v>0</v>
      </c>
      <c r="G438" s="142" t="b">
        <v>0</v>
      </c>
      <c r="H438" s="142" t="b">
        <v>0</v>
      </c>
      <c r="I438" s="142" t="b">
        <v>0</v>
      </c>
      <c r="J438" s="142" t="b">
        <v>0</v>
      </c>
      <c r="K438" s="142" t="b">
        <v>0</v>
      </c>
      <c r="L438" s="8" t="b">
        <v>0</v>
      </c>
    </row>
    <row r="439">
      <c r="B439" s="103"/>
      <c r="C439" s="121" t="str">
        <f t="array" ref="C439">ifs(and(isblank($A439),isblank($B439)),"", not(iserror(vlookup($A439&amp;$B439,'5) Release_Track'!$F:$F&amp;'5) Release_Track'!$G:$G,1,0))),vlookup($A439&amp;$B439,{'5) Release_Track'!$F:$F&amp;'5) Release_Track'!$G:$G,'5) Release_Track'!$H:$H},2,0), or(and(not(isblank($B439)),$B439=$B438,$A439&lt;&gt;$A438),and(not(isblank($A439)),$A439=$A438,$B439&lt;&gt;$B438)),"ID LISTS UNALIGNED",and($A439&lt;&gt;"",countif('5) Release_Track'!$F:$F,$A439)=0),"NO ISRC MATCH in Release_Track",and($B439&lt;&gt;"",countif('5) Release_Track'!$G:$G,$B439)=0),"NO CATALOG ID MATCH in Release_Track",iserror(vlookup($A439&amp;$B439,'5) Release_Track'!$F:$F&amp;'5) Release_Track'!$G:$G,1,0)),"NO ISRC-CATALOG ID pair MATCH in Release_Track" )</f>
        <v/>
      </c>
      <c r="D439" s="121" t="str">
        <f t="array" ref="D439">ifs(and(isblank($A439),isblank($B439)),"", not(iserror(vlookup($A439&amp;$B439,'5) Release_Track'!$F:$F&amp;'5) Release_Track'!$G:$G,1,0))),vlookup($A439&amp;$B439,{'5) Release_Track'!$F:$F&amp;'5) Release_Track'!$G:$G,'5) Release_Track'!$I:$I},2,0), or(and(not(isblank($B439)),$B439=$B438,$A439&lt;&gt;$A438),and(not(isblank($A439)),$A439=$A438,$B439&lt;&gt;$B438)),"ID LISTS UNALIGNED",and($A439&lt;&gt;"",countif('5) Release_Track'!$F:$F,$A439)=0),"NO ISRC MATCH in Release_Track",and($B439&lt;&gt;"",countif('5) Release_Track'!$G:$G,$B439)=0),"NO CATALOG ID MATCH in Release_Track",iserror(vlookup($A439&amp;$B439,'5) Release_Track'!$F:$F&amp;'5) Release_Track'!$G:$G,1,0)),"NO ISRC-CATALOG ID pair MATCH in Release_Track" )</f>
        <v/>
      </c>
      <c r="E439" s="142" t="b">
        <v>0</v>
      </c>
      <c r="F439" s="142" t="b">
        <v>0</v>
      </c>
      <c r="G439" s="142" t="b">
        <v>0</v>
      </c>
      <c r="H439" s="142" t="b">
        <v>0</v>
      </c>
      <c r="I439" s="142" t="b">
        <v>0</v>
      </c>
      <c r="J439" s="142" t="b">
        <v>0</v>
      </c>
      <c r="K439" s="142" t="b">
        <v>0</v>
      </c>
      <c r="L439" s="8" t="b">
        <v>0</v>
      </c>
    </row>
    <row r="440">
      <c r="B440" s="103"/>
      <c r="C440" s="121" t="str">
        <f t="array" ref="C440">ifs(and(isblank($A440),isblank($B440)),"", not(iserror(vlookup($A440&amp;$B440,'5) Release_Track'!$F:$F&amp;'5) Release_Track'!$G:$G,1,0))),vlookup($A440&amp;$B440,{'5) Release_Track'!$F:$F&amp;'5) Release_Track'!$G:$G,'5) Release_Track'!$H:$H},2,0), or(and(not(isblank($B440)),$B440=$B439,$A440&lt;&gt;$A439),and(not(isblank($A440)),$A440=$A439,$B440&lt;&gt;$B439)),"ID LISTS UNALIGNED",and($A440&lt;&gt;"",countif('5) Release_Track'!$F:$F,$A440)=0),"NO ISRC MATCH in Release_Track",and($B440&lt;&gt;"",countif('5) Release_Track'!$G:$G,$B440)=0),"NO CATALOG ID MATCH in Release_Track",iserror(vlookup($A440&amp;$B440,'5) Release_Track'!$F:$F&amp;'5) Release_Track'!$G:$G,1,0)),"NO ISRC-CATALOG ID pair MATCH in Release_Track" )</f>
        <v/>
      </c>
      <c r="D440" s="121" t="str">
        <f t="array" ref="D440">ifs(and(isblank($A440),isblank($B440)),"", not(iserror(vlookup($A440&amp;$B440,'5) Release_Track'!$F:$F&amp;'5) Release_Track'!$G:$G,1,0))),vlookup($A440&amp;$B440,{'5) Release_Track'!$F:$F&amp;'5) Release_Track'!$G:$G,'5) Release_Track'!$I:$I},2,0), or(and(not(isblank($B440)),$B440=$B439,$A440&lt;&gt;$A439),and(not(isblank($A440)),$A440=$A439,$B440&lt;&gt;$B439)),"ID LISTS UNALIGNED",and($A440&lt;&gt;"",countif('5) Release_Track'!$F:$F,$A440)=0),"NO ISRC MATCH in Release_Track",and($B440&lt;&gt;"",countif('5) Release_Track'!$G:$G,$B440)=0),"NO CATALOG ID MATCH in Release_Track",iserror(vlookup($A440&amp;$B440,'5) Release_Track'!$F:$F&amp;'5) Release_Track'!$G:$G,1,0)),"NO ISRC-CATALOG ID pair MATCH in Release_Track" )</f>
        <v/>
      </c>
      <c r="E440" s="142" t="b">
        <v>0</v>
      </c>
      <c r="F440" s="142" t="b">
        <v>0</v>
      </c>
      <c r="G440" s="142" t="b">
        <v>0</v>
      </c>
      <c r="H440" s="142" t="b">
        <v>0</v>
      </c>
      <c r="I440" s="142" t="b">
        <v>0</v>
      </c>
      <c r="J440" s="142" t="b">
        <v>0</v>
      </c>
      <c r="K440" s="142" t="b">
        <v>0</v>
      </c>
      <c r="L440" s="8" t="b">
        <v>0</v>
      </c>
    </row>
    <row r="441">
      <c r="B441" s="103"/>
      <c r="C441" s="121" t="str">
        <f t="array" ref="C441">ifs(and(isblank($A441),isblank($B441)),"", not(iserror(vlookup($A441&amp;$B441,'5) Release_Track'!$F:$F&amp;'5) Release_Track'!$G:$G,1,0))),vlookup($A441&amp;$B441,{'5) Release_Track'!$F:$F&amp;'5) Release_Track'!$G:$G,'5) Release_Track'!$H:$H},2,0), or(and(not(isblank($B441)),$B441=$B440,$A441&lt;&gt;$A440),and(not(isblank($A441)),$A441=$A440,$B441&lt;&gt;$B440)),"ID LISTS UNALIGNED",and($A441&lt;&gt;"",countif('5) Release_Track'!$F:$F,$A441)=0),"NO ISRC MATCH in Release_Track",and($B441&lt;&gt;"",countif('5) Release_Track'!$G:$G,$B441)=0),"NO CATALOG ID MATCH in Release_Track",iserror(vlookup($A441&amp;$B441,'5) Release_Track'!$F:$F&amp;'5) Release_Track'!$G:$G,1,0)),"NO ISRC-CATALOG ID pair MATCH in Release_Track" )</f>
        <v/>
      </c>
      <c r="D441" s="121" t="str">
        <f t="array" ref="D441">ifs(and(isblank($A441),isblank($B441)),"", not(iserror(vlookup($A441&amp;$B441,'5) Release_Track'!$F:$F&amp;'5) Release_Track'!$G:$G,1,0))),vlookup($A441&amp;$B441,{'5) Release_Track'!$F:$F&amp;'5) Release_Track'!$G:$G,'5) Release_Track'!$I:$I},2,0), or(and(not(isblank($B441)),$B441=$B440,$A441&lt;&gt;$A440),and(not(isblank($A441)),$A441=$A440,$B441&lt;&gt;$B440)),"ID LISTS UNALIGNED",and($A441&lt;&gt;"",countif('5) Release_Track'!$F:$F,$A441)=0),"NO ISRC MATCH in Release_Track",and($B441&lt;&gt;"",countif('5) Release_Track'!$G:$G,$B441)=0),"NO CATALOG ID MATCH in Release_Track",iserror(vlookup($A441&amp;$B441,'5) Release_Track'!$F:$F&amp;'5) Release_Track'!$G:$G,1,0)),"NO ISRC-CATALOG ID pair MATCH in Release_Track" )</f>
        <v/>
      </c>
      <c r="E441" s="142" t="b">
        <v>0</v>
      </c>
      <c r="F441" s="142" t="b">
        <v>0</v>
      </c>
      <c r="G441" s="142" t="b">
        <v>0</v>
      </c>
      <c r="H441" s="142" t="b">
        <v>0</v>
      </c>
      <c r="I441" s="142" t="b">
        <v>0</v>
      </c>
      <c r="J441" s="142" t="b">
        <v>0</v>
      </c>
      <c r="K441" s="142" t="b">
        <v>0</v>
      </c>
      <c r="L441" s="8" t="b">
        <v>0</v>
      </c>
    </row>
    <row r="442">
      <c r="B442" s="103"/>
      <c r="C442" s="121" t="str">
        <f t="array" ref="C442">ifs(and(isblank($A442),isblank($B442)),"", not(iserror(vlookup($A442&amp;$B442,'5) Release_Track'!$F:$F&amp;'5) Release_Track'!$G:$G,1,0))),vlookup($A442&amp;$B442,{'5) Release_Track'!$F:$F&amp;'5) Release_Track'!$G:$G,'5) Release_Track'!$H:$H},2,0), or(and(not(isblank($B442)),$B442=$B441,$A442&lt;&gt;$A441),and(not(isblank($A442)),$A442=$A441,$B442&lt;&gt;$B441)),"ID LISTS UNALIGNED",and($A442&lt;&gt;"",countif('5) Release_Track'!$F:$F,$A442)=0),"NO ISRC MATCH in Release_Track",and($B442&lt;&gt;"",countif('5) Release_Track'!$G:$G,$B442)=0),"NO CATALOG ID MATCH in Release_Track",iserror(vlookup($A442&amp;$B442,'5) Release_Track'!$F:$F&amp;'5) Release_Track'!$G:$G,1,0)),"NO ISRC-CATALOG ID pair MATCH in Release_Track" )</f>
        <v/>
      </c>
      <c r="D442" s="121" t="str">
        <f t="array" ref="D442">ifs(and(isblank($A442),isblank($B442)),"", not(iserror(vlookup($A442&amp;$B442,'5) Release_Track'!$F:$F&amp;'5) Release_Track'!$G:$G,1,0))),vlookup($A442&amp;$B442,{'5) Release_Track'!$F:$F&amp;'5) Release_Track'!$G:$G,'5) Release_Track'!$I:$I},2,0), or(and(not(isblank($B442)),$B442=$B441,$A442&lt;&gt;$A441),and(not(isblank($A442)),$A442=$A441,$B442&lt;&gt;$B441)),"ID LISTS UNALIGNED",and($A442&lt;&gt;"",countif('5) Release_Track'!$F:$F,$A442)=0),"NO ISRC MATCH in Release_Track",and($B442&lt;&gt;"",countif('5) Release_Track'!$G:$G,$B442)=0),"NO CATALOG ID MATCH in Release_Track",iserror(vlookup($A442&amp;$B442,'5) Release_Track'!$F:$F&amp;'5) Release_Track'!$G:$G,1,0)),"NO ISRC-CATALOG ID pair MATCH in Release_Track" )</f>
        <v/>
      </c>
      <c r="E442" s="142" t="b">
        <v>0</v>
      </c>
      <c r="F442" s="142" t="b">
        <v>0</v>
      </c>
      <c r="G442" s="142" t="b">
        <v>0</v>
      </c>
      <c r="H442" s="142" t="b">
        <v>0</v>
      </c>
      <c r="I442" s="142" t="b">
        <v>0</v>
      </c>
      <c r="J442" s="142" t="b">
        <v>0</v>
      </c>
      <c r="K442" s="142" t="b">
        <v>0</v>
      </c>
      <c r="L442" s="8" t="b">
        <v>0</v>
      </c>
    </row>
    <row r="443">
      <c r="B443" s="103"/>
      <c r="C443" s="121" t="str">
        <f t="array" ref="C443">ifs(and(isblank($A443),isblank($B443)),"", not(iserror(vlookup($A443&amp;$B443,'5) Release_Track'!$F:$F&amp;'5) Release_Track'!$G:$G,1,0))),vlookup($A443&amp;$B443,{'5) Release_Track'!$F:$F&amp;'5) Release_Track'!$G:$G,'5) Release_Track'!$H:$H},2,0), or(and(not(isblank($B443)),$B443=$B442,$A443&lt;&gt;$A442),and(not(isblank($A443)),$A443=$A442,$B443&lt;&gt;$B442)),"ID LISTS UNALIGNED",and($A443&lt;&gt;"",countif('5) Release_Track'!$F:$F,$A443)=0),"NO ISRC MATCH in Release_Track",and($B443&lt;&gt;"",countif('5) Release_Track'!$G:$G,$B443)=0),"NO CATALOG ID MATCH in Release_Track",iserror(vlookup($A443&amp;$B443,'5) Release_Track'!$F:$F&amp;'5) Release_Track'!$G:$G,1,0)),"NO ISRC-CATALOG ID pair MATCH in Release_Track" )</f>
        <v/>
      </c>
      <c r="D443" s="121" t="str">
        <f t="array" ref="D443">ifs(and(isblank($A443),isblank($B443)),"", not(iserror(vlookup($A443&amp;$B443,'5) Release_Track'!$F:$F&amp;'5) Release_Track'!$G:$G,1,0))),vlookup($A443&amp;$B443,{'5) Release_Track'!$F:$F&amp;'5) Release_Track'!$G:$G,'5) Release_Track'!$I:$I},2,0), or(and(not(isblank($B443)),$B443=$B442,$A443&lt;&gt;$A442),and(not(isblank($A443)),$A443=$A442,$B443&lt;&gt;$B442)),"ID LISTS UNALIGNED",and($A443&lt;&gt;"",countif('5) Release_Track'!$F:$F,$A443)=0),"NO ISRC MATCH in Release_Track",and($B443&lt;&gt;"",countif('5) Release_Track'!$G:$G,$B443)=0),"NO CATALOG ID MATCH in Release_Track",iserror(vlookup($A443&amp;$B443,'5) Release_Track'!$F:$F&amp;'5) Release_Track'!$G:$G,1,0)),"NO ISRC-CATALOG ID pair MATCH in Release_Track" )</f>
        <v/>
      </c>
      <c r="E443" s="142" t="b">
        <v>0</v>
      </c>
      <c r="F443" s="142" t="b">
        <v>0</v>
      </c>
      <c r="G443" s="142" t="b">
        <v>0</v>
      </c>
      <c r="H443" s="142" t="b">
        <v>0</v>
      </c>
      <c r="I443" s="142" t="b">
        <v>0</v>
      </c>
      <c r="J443" s="142" t="b">
        <v>0</v>
      </c>
      <c r="K443" s="142" t="b">
        <v>0</v>
      </c>
      <c r="L443" s="8" t="b">
        <v>0</v>
      </c>
    </row>
    <row r="444">
      <c r="B444" s="103"/>
      <c r="C444" s="121" t="str">
        <f t="array" ref="C444">ifs(and(isblank($A444),isblank($B444)),"", not(iserror(vlookup($A444&amp;$B444,'5) Release_Track'!$F:$F&amp;'5) Release_Track'!$G:$G,1,0))),vlookup($A444&amp;$B444,{'5) Release_Track'!$F:$F&amp;'5) Release_Track'!$G:$G,'5) Release_Track'!$H:$H},2,0), or(and(not(isblank($B444)),$B444=$B443,$A444&lt;&gt;$A443),and(not(isblank($A444)),$A444=$A443,$B444&lt;&gt;$B443)),"ID LISTS UNALIGNED",and($A444&lt;&gt;"",countif('5) Release_Track'!$F:$F,$A444)=0),"NO ISRC MATCH in Release_Track",and($B444&lt;&gt;"",countif('5) Release_Track'!$G:$G,$B444)=0),"NO CATALOG ID MATCH in Release_Track",iserror(vlookup($A444&amp;$B444,'5) Release_Track'!$F:$F&amp;'5) Release_Track'!$G:$G,1,0)),"NO ISRC-CATALOG ID pair MATCH in Release_Track" )</f>
        <v/>
      </c>
      <c r="D444" s="121" t="str">
        <f t="array" ref="D444">ifs(and(isblank($A444),isblank($B444)),"", not(iserror(vlookup($A444&amp;$B444,'5) Release_Track'!$F:$F&amp;'5) Release_Track'!$G:$G,1,0))),vlookup($A444&amp;$B444,{'5) Release_Track'!$F:$F&amp;'5) Release_Track'!$G:$G,'5) Release_Track'!$I:$I},2,0), or(and(not(isblank($B444)),$B444=$B443,$A444&lt;&gt;$A443),and(not(isblank($A444)),$A444=$A443,$B444&lt;&gt;$B443)),"ID LISTS UNALIGNED",and($A444&lt;&gt;"",countif('5) Release_Track'!$F:$F,$A444)=0),"NO ISRC MATCH in Release_Track",and($B444&lt;&gt;"",countif('5) Release_Track'!$G:$G,$B444)=0),"NO CATALOG ID MATCH in Release_Track",iserror(vlookup($A444&amp;$B444,'5) Release_Track'!$F:$F&amp;'5) Release_Track'!$G:$G,1,0)),"NO ISRC-CATALOG ID pair MATCH in Release_Track" )</f>
        <v/>
      </c>
      <c r="E444" s="142" t="b">
        <v>0</v>
      </c>
      <c r="F444" s="142" t="b">
        <v>0</v>
      </c>
      <c r="G444" s="142" t="b">
        <v>0</v>
      </c>
      <c r="H444" s="142" t="b">
        <v>0</v>
      </c>
      <c r="I444" s="142" t="b">
        <v>0</v>
      </c>
      <c r="J444" s="142" t="b">
        <v>0</v>
      </c>
      <c r="K444" s="142" t="b">
        <v>0</v>
      </c>
      <c r="L444" s="8" t="b">
        <v>0</v>
      </c>
    </row>
    <row r="445">
      <c r="B445" s="103"/>
      <c r="C445" s="121" t="str">
        <f t="array" ref="C445">ifs(and(isblank($A445),isblank($B445)),"", not(iserror(vlookup($A445&amp;$B445,'5) Release_Track'!$F:$F&amp;'5) Release_Track'!$G:$G,1,0))),vlookup($A445&amp;$B445,{'5) Release_Track'!$F:$F&amp;'5) Release_Track'!$G:$G,'5) Release_Track'!$H:$H},2,0), or(and(not(isblank($B445)),$B445=$B444,$A445&lt;&gt;$A444),and(not(isblank($A445)),$A445=$A444,$B445&lt;&gt;$B444)),"ID LISTS UNALIGNED",and($A445&lt;&gt;"",countif('5) Release_Track'!$F:$F,$A445)=0),"NO ISRC MATCH in Release_Track",and($B445&lt;&gt;"",countif('5) Release_Track'!$G:$G,$B445)=0),"NO CATALOG ID MATCH in Release_Track",iserror(vlookup($A445&amp;$B445,'5) Release_Track'!$F:$F&amp;'5) Release_Track'!$G:$G,1,0)),"NO ISRC-CATALOG ID pair MATCH in Release_Track" )</f>
        <v/>
      </c>
      <c r="D445" s="121" t="str">
        <f t="array" ref="D445">ifs(and(isblank($A445),isblank($B445)),"", not(iserror(vlookup($A445&amp;$B445,'5) Release_Track'!$F:$F&amp;'5) Release_Track'!$G:$G,1,0))),vlookup($A445&amp;$B445,{'5) Release_Track'!$F:$F&amp;'5) Release_Track'!$G:$G,'5) Release_Track'!$I:$I},2,0), or(and(not(isblank($B445)),$B445=$B444,$A445&lt;&gt;$A444),and(not(isblank($A445)),$A445=$A444,$B445&lt;&gt;$B444)),"ID LISTS UNALIGNED",and($A445&lt;&gt;"",countif('5) Release_Track'!$F:$F,$A445)=0),"NO ISRC MATCH in Release_Track",and($B445&lt;&gt;"",countif('5) Release_Track'!$G:$G,$B445)=0),"NO CATALOG ID MATCH in Release_Track",iserror(vlookup($A445&amp;$B445,'5) Release_Track'!$F:$F&amp;'5) Release_Track'!$G:$G,1,0)),"NO ISRC-CATALOG ID pair MATCH in Release_Track" )</f>
        <v/>
      </c>
      <c r="E445" s="142" t="b">
        <v>0</v>
      </c>
      <c r="F445" s="142" t="b">
        <v>0</v>
      </c>
      <c r="G445" s="142" t="b">
        <v>0</v>
      </c>
      <c r="H445" s="142" t="b">
        <v>0</v>
      </c>
      <c r="I445" s="142" t="b">
        <v>0</v>
      </c>
      <c r="J445" s="142" t="b">
        <v>0</v>
      </c>
      <c r="K445" s="142" t="b">
        <v>0</v>
      </c>
      <c r="L445" s="8" t="b">
        <v>0</v>
      </c>
    </row>
    <row r="446">
      <c r="B446" s="103"/>
      <c r="C446" s="121" t="str">
        <f t="array" ref="C446">ifs(and(isblank($A446),isblank($B446)),"", not(iserror(vlookup($A446&amp;$B446,'5) Release_Track'!$F:$F&amp;'5) Release_Track'!$G:$G,1,0))),vlookup($A446&amp;$B446,{'5) Release_Track'!$F:$F&amp;'5) Release_Track'!$G:$G,'5) Release_Track'!$H:$H},2,0), or(and(not(isblank($B446)),$B446=$B445,$A446&lt;&gt;$A445),and(not(isblank($A446)),$A446=$A445,$B446&lt;&gt;$B445)),"ID LISTS UNALIGNED",and($A446&lt;&gt;"",countif('5) Release_Track'!$F:$F,$A446)=0),"NO ISRC MATCH in Release_Track",and($B446&lt;&gt;"",countif('5) Release_Track'!$G:$G,$B446)=0),"NO CATALOG ID MATCH in Release_Track",iserror(vlookup($A446&amp;$B446,'5) Release_Track'!$F:$F&amp;'5) Release_Track'!$G:$G,1,0)),"NO ISRC-CATALOG ID pair MATCH in Release_Track" )</f>
        <v/>
      </c>
      <c r="D446" s="121" t="str">
        <f t="array" ref="D446">ifs(and(isblank($A446),isblank($B446)),"", not(iserror(vlookup($A446&amp;$B446,'5) Release_Track'!$F:$F&amp;'5) Release_Track'!$G:$G,1,0))),vlookup($A446&amp;$B446,{'5) Release_Track'!$F:$F&amp;'5) Release_Track'!$G:$G,'5) Release_Track'!$I:$I},2,0), or(and(not(isblank($B446)),$B446=$B445,$A446&lt;&gt;$A445),and(not(isblank($A446)),$A446=$A445,$B446&lt;&gt;$B445)),"ID LISTS UNALIGNED",and($A446&lt;&gt;"",countif('5) Release_Track'!$F:$F,$A446)=0),"NO ISRC MATCH in Release_Track",and($B446&lt;&gt;"",countif('5) Release_Track'!$G:$G,$B446)=0),"NO CATALOG ID MATCH in Release_Track",iserror(vlookup($A446&amp;$B446,'5) Release_Track'!$F:$F&amp;'5) Release_Track'!$G:$G,1,0)),"NO ISRC-CATALOG ID pair MATCH in Release_Track" )</f>
        <v/>
      </c>
      <c r="E446" s="142" t="b">
        <v>0</v>
      </c>
      <c r="F446" s="142" t="b">
        <v>0</v>
      </c>
      <c r="G446" s="142" t="b">
        <v>0</v>
      </c>
      <c r="H446" s="142" t="b">
        <v>0</v>
      </c>
      <c r="I446" s="142" t="b">
        <v>0</v>
      </c>
      <c r="J446" s="142" t="b">
        <v>0</v>
      </c>
      <c r="K446" s="142" t="b">
        <v>0</v>
      </c>
      <c r="L446" s="8" t="b">
        <v>0</v>
      </c>
    </row>
    <row r="447">
      <c r="B447" s="103"/>
      <c r="C447" s="121" t="str">
        <f t="array" ref="C447">ifs(and(isblank($A447),isblank($B447)),"", not(iserror(vlookup($A447&amp;$B447,'5) Release_Track'!$F:$F&amp;'5) Release_Track'!$G:$G,1,0))),vlookup($A447&amp;$B447,{'5) Release_Track'!$F:$F&amp;'5) Release_Track'!$G:$G,'5) Release_Track'!$H:$H},2,0), or(and(not(isblank($B447)),$B447=$B446,$A447&lt;&gt;$A446),and(not(isblank($A447)),$A447=$A446,$B447&lt;&gt;$B446)),"ID LISTS UNALIGNED",and($A447&lt;&gt;"",countif('5) Release_Track'!$F:$F,$A447)=0),"NO ISRC MATCH in Release_Track",and($B447&lt;&gt;"",countif('5) Release_Track'!$G:$G,$B447)=0),"NO CATALOG ID MATCH in Release_Track",iserror(vlookup($A447&amp;$B447,'5) Release_Track'!$F:$F&amp;'5) Release_Track'!$G:$G,1,0)),"NO ISRC-CATALOG ID pair MATCH in Release_Track" )</f>
        <v/>
      </c>
      <c r="D447" s="121" t="str">
        <f t="array" ref="D447">ifs(and(isblank($A447),isblank($B447)),"", not(iserror(vlookup($A447&amp;$B447,'5) Release_Track'!$F:$F&amp;'5) Release_Track'!$G:$G,1,0))),vlookup($A447&amp;$B447,{'5) Release_Track'!$F:$F&amp;'5) Release_Track'!$G:$G,'5) Release_Track'!$I:$I},2,0), or(and(not(isblank($B447)),$B447=$B446,$A447&lt;&gt;$A446),and(not(isblank($A447)),$A447=$A446,$B447&lt;&gt;$B446)),"ID LISTS UNALIGNED",and($A447&lt;&gt;"",countif('5) Release_Track'!$F:$F,$A447)=0),"NO ISRC MATCH in Release_Track",and($B447&lt;&gt;"",countif('5) Release_Track'!$G:$G,$B447)=0),"NO CATALOG ID MATCH in Release_Track",iserror(vlookup($A447&amp;$B447,'5) Release_Track'!$F:$F&amp;'5) Release_Track'!$G:$G,1,0)),"NO ISRC-CATALOG ID pair MATCH in Release_Track" )</f>
        <v/>
      </c>
      <c r="E447" s="142" t="b">
        <v>0</v>
      </c>
      <c r="F447" s="142" t="b">
        <v>0</v>
      </c>
      <c r="G447" s="142" t="b">
        <v>0</v>
      </c>
      <c r="H447" s="142" t="b">
        <v>0</v>
      </c>
      <c r="I447" s="142" t="b">
        <v>0</v>
      </c>
      <c r="J447" s="142" t="b">
        <v>0</v>
      </c>
      <c r="K447" s="142" t="b">
        <v>0</v>
      </c>
      <c r="L447" s="8" t="b">
        <v>0</v>
      </c>
    </row>
    <row r="448">
      <c r="B448" s="103"/>
      <c r="C448" s="121" t="str">
        <f t="array" ref="C448">ifs(and(isblank($A448),isblank($B448)),"", not(iserror(vlookup($A448&amp;$B448,'5) Release_Track'!$F:$F&amp;'5) Release_Track'!$G:$G,1,0))),vlookup($A448&amp;$B448,{'5) Release_Track'!$F:$F&amp;'5) Release_Track'!$G:$G,'5) Release_Track'!$H:$H},2,0), or(and(not(isblank($B448)),$B448=$B447,$A448&lt;&gt;$A447),and(not(isblank($A448)),$A448=$A447,$B448&lt;&gt;$B447)),"ID LISTS UNALIGNED",and($A448&lt;&gt;"",countif('5) Release_Track'!$F:$F,$A448)=0),"NO ISRC MATCH in Release_Track",and($B448&lt;&gt;"",countif('5) Release_Track'!$G:$G,$B448)=0),"NO CATALOG ID MATCH in Release_Track",iserror(vlookup($A448&amp;$B448,'5) Release_Track'!$F:$F&amp;'5) Release_Track'!$G:$G,1,0)),"NO ISRC-CATALOG ID pair MATCH in Release_Track" )</f>
        <v/>
      </c>
      <c r="D448" s="121" t="str">
        <f t="array" ref="D448">ifs(and(isblank($A448),isblank($B448)),"", not(iserror(vlookup($A448&amp;$B448,'5) Release_Track'!$F:$F&amp;'5) Release_Track'!$G:$G,1,0))),vlookup($A448&amp;$B448,{'5) Release_Track'!$F:$F&amp;'5) Release_Track'!$G:$G,'5) Release_Track'!$I:$I},2,0), or(and(not(isblank($B448)),$B448=$B447,$A448&lt;&gt;$A447),and(not(isblank($A448)),$A448=$A447,$B448&lt;&gt;$B447)),"ID LISTS UNALIGNED",and($A448&lt;&gt;"",countif('5) Release_Track'!$F:$F,$A448)=0),"NO ISRC MATCH in Release_Track",and($B448&lt;&gt;"",countif('5) Release_Track'!$G:$G,$B448)=0),"NO CATALOG ID MATCH in Release_Track",iserror(vlookup($A448&amp;$B448,'5) Release_Track'!$F:$F&amp;'5) Release_Track'!$G:$G,1,0)),"NO ISRC-CATALOG ID pair MATCH in Release_Track" )</f>
        <v/>
      </c>
      <c r="E448" s="142" t="b">
        <v>0</v>
      </c>
      <c r="F448" s="142" t="b">
        <v>0</v>
      </c>
      <c r="G448" s="142" t="b">
        <v>0</v>
      </c>
      <c r="H448" s="142" t="b">
        <v>0</v>
      </c>
      <c r="I448" s="142" t="b">
        <v>0</v>
      </c>
      <c r="J448" s="142" t="b">
        <v>0</v>
      </c>
      <c r="K448" s="142" t="b">
        <v>0</v>
      </c>
      <c r="L448" s="8" t="b">
        <v>0</v>
      </c>
    </row>
    <row r="449">
      <c r="B449" s="103"/>
      <c r="C449" s="121" t="str">
        <f t="array" ref="C449">ifs(and(isblank($A449),isblank($B449)),"", not(iserror(vlookup($A449&amp;$B449,'5) Release_Track'!$F:$F&amp;'5) Release_Track'!$G:$G,1,0))),vlookup($A449&amp;$B449,{'5) Release_Track'!$F:$F&amp;'5) Release_Track'!$G:$G,'5) Release_Track'!$H:$H},2,0), or(and(not(isblank($B449)),$B449=$B448,$A449&lt;&gt;$A448),and(not(isblank($A449)),$A449=$A448,$B449&lt;&gt;$B448)),"ID LISTS UNALIGNED",and($A449&lt;&gt;"",countif('5) Release_Track'!$F:$F,$A449)=0),"NO ISRC MATCH in Release_Track",and($B449&lt;&gt;"",countif('5) Release_Track'!$G:$G,$B449)=0),"NO CATALOG ID MATCH in Release_Track",iserror(vlookup($A449&amp;$B449,'5) Release_Track'!$F:$F&amp;'5) Release_Track'!$G:$G,1,0)),"NO ISRC-CATALOG ID pair MATCH in Release_Track" )</f>
        <v/>
      </c>
      <c r="D449" s="121" t="str">
        <f t="array" ref="D449">ifs(and(isblank($A449),isblank($B449)),"", not(iserror(vlookup($A449&amp;$B449,'5) Release_Track'!$F:$F&amp;'5) Release_Track'!$G:$G,1,0))),vlookup($A449&amp;$B449,{'5) Release_Track'!$F:$F&amp;'5) Release_Track'!$G:$G,'5) Release_Track'!$I:$I},2,0), or(and(not(isblank($B449)),$B449=$B448,$A449&lt;&gt;$A448),and(not(isblank($A449)),$A449=$A448,$B449&lt;&gt;$B448)),"ID LISTS UNALIGNED",and($A449&lt;&gt;"",countif('5) Release_Track'!$F:$F,$A449)=0),"NO ISRC MATCH in Release_Track",and($B449&lt;&gt;"",countif('5) Release_Track'!$G:$G,$B449)=0),"NO CATALOG ID MATCH in Release_Track",iserror(vlookup($A449&amp;$B449,'5) Release_Track'!$F:$F&amp;'5) Release_Track'!$G:$G,1,0)),"NO ISRC-CATALOG ID pair MATCH in Release_Track" )</f>
        <v/>
      </c>
      <c r="E449" s="142" t="b">
        <v>0</v>
      </c>
      <c r="F449" s="142" t="b">
        <v>0</v>
      </c>
      <c r="G449" s="142" t="b">
        <v>0</v>
      </c>
      <c r="H449" s="142" t="b">
        <v>0</v>
      </c>
      <c r="I449" s="142" t="b">
        <v>0</v>
      </c>
      <c r="J449" s="142" t="b">
        <v>0</v>
      </c>
      <c r="K449" s="142" t="b">
        <v>0</v>
      </c>
      <c r="L449" s="8" t="b">
        <v>0</v>
      </c>
    </row>
    <row r="450">
      <c r="B450" s="103"/>
      <c r="C450" s="121" t="str">
        <f t="array" ref="C450">ifs(and(isblank($A450),isblank($B450)),"", not(iserror(vlookup($A450&amp;$B450,'5) Release_Track'!$F:$F&amp;'5) Release_Track'!$G:$G,1,0))),vlookup($A450&amp;$B450,{'5) Release_Track'!$F:$F&amp;'5) Release_Track'!$G:$G,'5) Release_Track'!$H:$H},2,0), or(and(not(isblank($B450)),$B450=$B449,$A450&lt;&gt;$A449),and(not(isblank($A450)),$A450=$A449,$B450&lt;&gt;$B449)),"ID LISTS UNALIGNED",and($A450&lt;&gt;"",countif('5) Release_Track'!$F:$F,$A450)=0),"NO ISRC MATCH in Release_Track",and($B450&lt;&gt;"",countif('5) Release_Track'!$G:$G,$B450)=0),"NO CATALOG ID MATCH in Release_Track",iserror(vlookup($A450&amp;$B450,'5) Release_Track'!$F:$F&amp;'5) Release_Track'!$G:$G,1,0)),"NO ISRC-CATALOG ID pair MATCH in Release_Track" )</f>
        <v/>
      </c>
      <c r="D450" s="121" t="str">
        <f t="array" ref="D450">ifs(and(isblank($A450),isblank($B450)),"", not(iserror(vlookup($A450&amp;$B450,'5) Release_Track'!$F:$F&amp;'5) Release_Track'!$G:$G,1,0))),vlookup($A450&amp;$B450,{'5) Release_Track'!$F:$F&amp;'5) Release_Track'!$G:$G,'5) Release_Track'!$I:$I},2,0), or(and(not(isblank($B450)),$B450=$B449,$A450&lt;&gt;$A449),and(not(isblank($A450)),$A450=$A449,$B450&lt;&gt;$B449)),"ID LISTS UNALIGNED",and($A450&lt;&gt;"",countif('5) Release_Track'!$F:$F,$A450)=0),"NO ISRC MATCH in Release_Track",and($B450&lt;&gt;"",countif('5) Release_Track'!$G:$G,$B450)=0),"NO CATALOG ID MATCH in Release_Track",iserror(vlookup($A450&amp;$B450,'5) Release_Track'!$F:$F&amp;'5) Release_Track'!$G:$G,1,0)),"NO ISRC-CATALOG ID pair MATCH in Release_Track" )</f>
        <v/>
      </c>
      <c r="E450" s="142" t="b">
        <v>0</v>
      </c>
      <c r="F450" s="142" t="b">
        <v>0</v>
      </c>
      <c r="G450" s="142" t="b">
        <v>0</v>
      </c>
      <c r="H450" s="142" t="b">
        <v>0</v>
      </c>
      <c r="I450" s="142" t="b">
        <v>0</v>
      </c>
      <c r="J450" s="142" t="b">
        <v>0</v>
      </c>
      <c r="K450" s="142" t="b">
        <v>0</v>
      </c>
      <c r="L450" s="8" t="b">
        <v>0</v>
      </c>
    </row>
    <row r="451">
      <c r="B451" s="103"/>
      <c r="C451" s="121" t="str">
        <f t="array" ref="C451">ifs(and(isblank($A451),isblank($B451)),"", not(iserror(vlookup($A451&amp;$B451,'5) Release_Track'!$F:$F&amp;'5) Release_Track'!$G:$G,1,0))),vlookup($A451&amp;$B451,{'5) Release_Track'!$F:$F&amp;'5) Release_Track'!$G:$G,'5) Release_Track'!$H:$H},2,0), or(and(not(isblank($B451)),$B451=$B450,$A451&lt;&gt;$A450),and(not(isblank($A451)),$A451=$A450,$B451&lt;&gt;$B450)),"ID LISTS UNALIGNED",and($A451&lt;&gt;"",countif('5) Release_Track'!$F:$F,$A451)=0),"NO ISRC MATCH in Release_Track",and($B451&lt;&gt;"",countif('5) Release_Track'!$G:$G,$B451)=0),"NO CATALOG ID MATCH in Release_Track",iserror(vlookup($A451&amp;$B451,'5) Release_Track'!$F:$F&amp;'5) Release_Track'!$G:$G,1,0)),"NO ISRC-CATALOG ID pair MATCH in Release_Track" )</f>
        <v/>
      </c>
      <c r="D451" s="121" t="str">
        <f t="array" ref="D451">ifs(and(isblank($A451),isblank($B451)),"", not(iserror(vlookup($A451&amp;$B451,'5) Release_Track'!$F:$F&amp;'5) Release_Track'!$G:$G,1,0))),vlookup($A451&amp;$B451,{'5) Release_Track'!$F:$F&amp;'5) Release_Track'!$G:$G,'5) Release_Track'!$I:$I},2,0), or(and(not(isblank($B451)),$B451=$B450,$A451&lt;&gt;$A450),and(not(isblank($A451)),$A451=$A450,$B451&lt;&gt;$B450)),"ID LISTS UNALIGNED",and($A451&lt;&gt;"",countif('5) Release_Track'!$F:$F,$A451)=0),"NO ISRC MATCH in Release_Track",and($B451&lt;&gt;"",countif('5) Release_Track'!$G:$G,$B451)=0),"NO CATALOG ID MATCH in Release_Track",iserror(vlookup($A451&amp;$B451,'5) Release_Track'!$F:$F&amp;'5) Release_Track'!$G:$G,1,0)),"NO ISRC-CATALOG ID pair MATCH in Release_Track" )</f>
        <v/>
      </c>
      <c r="E451" s="142" t="b">
        <v>0</v>
      </c>
      <c r="F451" s="142" t="b">
        <v>0</v>
      </c>
      <c r="G451" s="142" t="b">
        <v>0</v>
      </c>
      <c r="H451" s="142" t="b">
        <v>0</v>
      </c>
      <c r="I451" s="142" t="b">
        <v>0</v>
      </c>
      <c r="J451" s="142" t="b">
        <v>0</v>
      </c>
      <c r="K451" s="142" t="b">
        <v>0</v>
      </c>
      <c r="L451" s="8" t="b">
        <v>0</v>
      </c>
    </row>
    <row r="452">
      <c r="B452" s="103"/>
      <c r="C452" s="121" t="str">
        <f t="array" ref="C452">ifs(and(isblank($A452),isblank($B452)),"", not(iserror(vlookup($A452&amp;$B452,'5) Release_Track'!$F:$F&amp;'5) Release_Track'!$G:$G,1,0))),vlookup($A452&amp;$B452,{'5) Release_Track'!$F:$F&amp;'5) Release_Track'!$G:$G,'5) Release_Track'!$H:$H},2,0), or(and(not(isblank($B452)),$B452=$B451,$A452&lt;&gt;$A451),and(not(isblank($A452)),$A452=$A451,$B452&lt;&gt;$B451)),"ID LISTS UNALIGNED",and($A452&lt;&gt;"",countif('5) Release_Track'!$F:$F,$A452)=0),"NO ISRC MATCH in Release_Track",and($B452&lt;&gt;"",countif('5) Release_Track'!$G:$G,$B452)=0),"NO CATALOG ID MATCH in Release_Track",iserror(vlookup($A452&amp;$B452,'5) Release_Track'!$F:$F&amp;'5) Release_Track'!$G:$G,1,0)),"NO ISRC-CATALOG ID pair MATCH in Release_Track" )</f>
        <v/>
      </c>
      <c r="D452" s="121" t="str">
        <f t="array" ref="D452">ifs(and(isblank($A452),isblank($B452)),"", not(iserror(vlookup($A452&amp;$B452,'5) Release_Track'!$F:$F&amp;'5) Release_Track'!$G:$G,1,0))),vlookup($A452&amp;$B452,{'5) Release_Track'!$F:$F&amp;'5) Release_Track'!$G:$G,'5) Release_Track'!$I:$I},2,0), or(and(not(isblank($B452)),$B452=$B451,$A452&lt;&gt;$A451),and(not(isblank($A452)),$A452=$A451,$B452&lt;&gt;$B451)),"ID LISTS UNALIGNED",and($A452&lt;&gt;"",countif('5) Release_Track'!$F:$F,$A452)=0),"NO ISRC MATCH in Release_Track",and($B452&lt;&gt;"",countif('5) Release_Track'!$G:$G,$B452)=0),"NO CATALOG ID MATCH in Release_Track",iserror(vlookup($A452&amp;$B452,'5) Release_Track'!$F:$F&amp;'5) Release_Track'!$G:$G,1,0)),"NO ISRC-CATALOG ID pair MATCH in Release_Track" )</f>
        <v/>
      </c>
      <c r="E452" s="142" t="b">
        <v>0</v>
      </c>
      <c r="F452" s="142" t="b">
        <v>0</v>
      </c>
      <c r="G452" s="142" t="b">
        <v>0</v>
      </c>
      <c r="H452" s="142" t="b">
        <v>0</v>
      </c>
      <c r="I452" s="142" t="b">
        <v>0</v>
      </c>
      <c r="J452" s="142" t="b">
        <v>0</v>
      </c>
      <c r="K452" s="142" t="b">
        <v>0</v>
      </c>
      <c r="L452" s="8" t="b">
        <v>0</v>
      </c>
    </row>
    <row r="453">
      <c r="B453" s="103"/>
      <c r="C453" s="121" t="str">
        <f t="array" ref="C453">ifs(and(isblank($A453),isblank($B453)),"", not(iserror(vlookup($A453&amp;$B453,'5) Release_Track'!$F:$F&amp;'5) Release_Track'!$G:$G,1,0))),vlookup($A453&amp;$B453,{'5) Release_Track'!$F:$F&amp;'5) Release_Track'!$G:$G,'5) Release_Track'!$H:$H},2,0), or(and(not(isblank($B453)),$B453=$B452,$A453&lt;&gt;$A452),and(not(isblank($A453)),$A453=$A452,$B453&lt;&gt;$B452)),"ID LISTS UNALIGNED",and($A453&lt;&gt;"",countif('5) Release_Track'!$F:$F,$A453)=0),"NO ISRC MATCH in Release_Track",and($B453&lt;&gt;"",countif('5) Release_Track'!$G:$G,$B453)=0),"NO CATALOG ID MATCH in Release_Track",iserror(vlookup($A453&amp;$B453,'5) Release_Track'!$F:$F&amp;'5) Release_Track'!$G:$G,1,0)),"NO ISRC-CATALOG ID pair MATCH in Release_Track" )</f>
        <v/>
      </c>
      <c r="D453" s="121" t="str">
        <f t="array" ref="D453">ifs(and(isblank($A453),isblank($B453)),"", not(iserror(vlookup($A453&amp;$B453,'5) Release_Track'!$F:$F&amp;'5) Release_Track'!$G:$G,1,0))),vlookup($A453&amp;$B453,{'5) Release_Track'!$F:$F&amp;'5) Release_Track'!$G:$G,'5) Release_Track'!$I:$I},2,0), or(and(not(isblank($B453)),$B453=$B452,$A453&lt;&gt;$A452),and(not(isblank($A453)),$A453=$A452,$B453&lt;&gt;$B452)),"ID LISTS UNALIGNED",and($A453&lt;&gt;"",countif('5) Release_Track'!$F:$F,$A453)=0),"NO ISRC MATCH in Release_Track",and($B453&lt;&gt;"",countif('5) Release_Track'!$G:$G,$B453)=0),"NO CATALOG ID MATCH in Release_Track",iserror(vlookup($A453&amp;$B453,'5) Release_Track'!$F:$F&amp;'5) Release_Track'!$G:$G,1,0)),"NO ISRC-CATALOG ID pair MATCH in Release_Track" )</f>
        <v/>
      </c>
      <c r="E453" s="142" t="b">
        <v>0</v>
      </c>
      <c r="F453" s="142" t="b">
        <v>0</v>
      </c>
      <c r="G453" s="142" t="b">
        <v>0</v>
      </c>
      <c r="H453" s="142" t="b">
        <v>0</v>
      </c>
      <c r="I453" s="142" t="b">
        <v>0</v>
      </c>
      <c r="J453" s="142" t="b">
        <v>0</v>
      </c>
      <c r="K453" s="142" t="b">
        <v>0</v>
      </c>
      <c r="L453" s="8" t="b">
        <v>0</v>
      </c>
    </row>
    <row r="454">
      <c r="B454" s="103"/>
      <c r="C454" s="121" t="str">
        <f t="array" ref="C454">ifs(and(isblank($A454),isblank($B454)),"", not(iserror(vlookup($A454&amp;$B454,'5) Release_Track'!$F:$F&amp;'5) Release_Track'!$G:$G,1,0))),vlookup($A454&amp;$B454,{'5) Release_Track'!$F:$F&amp;'5) Release_Track'!$G:$G,'5) Release_Track'!$H:$H},2,0), or(and(not(isblank($B454)),$B454=$B453,$A454&lt;&gt;$A453),and(not(isblank($A454)),$A454=$A453,$B454&lt;&gt;$B453)),"ID LISTS UNALIGNED",and($A454&lt;&gt;"",countif('5) Release_Track'!$F:$F,$A454)=0),"NO ISRC MATCH in Release_Track",and($B454&lt;&gt;"",countif('5) Release_Track'!$G:$G,$B454)=0),"NO CATALOG ID MATCH in Release_Track",iserror(vlookup($A454&amp;$B454,'5) Release_Track'!$F:$F&amp;'5) Release_Track'!$G:$G,1,0)),"NO ISRC-CATALOG ID pair MATCH in Release_Track" )</f>
        <v/>
      </c>
      <c r="D454" s="121" t="str">
        <f t="array" ref="D454">ifs(and(isblank($A454),isblank($B454)),"", not(iserror(vlookup($A454&amp;$B454,'5) Release_Track'!$F:$F&amp;'5) Release_Track'!$G:$G,1,0))),vlookup($A454&amp;$B454,{'5) Release_Track'!$F:$F&amp;'5) Release_Track'!$G:$G,'5) Release_Track'!$I:$I},2,0), or(and(not(isblank($B454)),$B454=$B453,$A454&lt;&gt;$A453),and(not(isblank($A454)),$A454=$A453,$B454&lt;&gt;$B453)),"ID LISTS UNALIGNED",and($A454&lt;&gt;"",countif('5) Release_Track'!$F:$F,$A454)=0),"NO ISRC MATCH in Release_Track",and($B454&lt;&gt;"",countif('5) Release_Track'!$G:$G,$B454)=0),"NO CATALOG ID MATCH in Release_Track",iserror(vlookup($A454&amp;$B454,'5) Release_Track'!$F:$F&amp;'5) Release_Track'!$G:$G,1,0)),"NO ISRC-CATALOG ID pair MATCH in Release_Track" )</f>
        <v/>
      </c>
      <c r="E454" s="142" t="b">
        <v>0</v>
      </c>
      <c r="F454" s="142" t="b">
        <v>0</v>
      </c>
      <c r="G454" s="142" t="b">
        <v>0</v>
      </c>
      <c r="H454" s="142" t="b">
        <v>0</v>
      </c>
      <c r="I454" s="142" t="b">
        <v>0</v>
      </c>
      <c r="J454" s="142" t="b">
        <v>0</v>
      </c>
      <c r="K454" s="142" t="b">
        <v>0</v>
      </c>
      <c r="L454" s="8" t="b">
        <v>0</v>
      </c>
    </row>
    <row r="455">
      <c r="B455" s="103"/>
      <c r="C455" s="121" t="str">
        <f t="array" ref="C455">ifs(and(isblank($A455),isblank($B455)),"", not(iserror(vlookup($A455&amp;$B455,'5) Release_Track'!$F:$F&amp;'5) Release_Track'!$G:$G,1,0))),vlookup($A455&amp;$B455,{'5) Release_Track'!$F:$F&amp;'5) Release_Track'!$G:$G,'5) Release_Track'!$H:$H},2,0), or(and(not(isblank($B455)),$B455=$B454,$A455&lt;&gt;$A454),and(not(isblank($A455)),$A455=$A454,$B455&lt;&gt;$B454)),"ID LISTS UNALIGNED",and($A455&lt;&gt;"",countif('5) Release_Track'!$F:$F,$A455)=0),"NO ISRC MATCH in Release_Track",and($B455&lt;&gt;"",countif('5) Release_Track'!$G:$G,$B455)=0),"NO CATALOG ID MATCH in Release_Track",iserror(vlookup($A455&amp;$B455,'5) Release_Track'!$F:$F&amp;'5) Release_Track'!$G:$G,1,0)),"NO ISRC-CATALOG ID pair MATCH in Release_Track" )</f>
        <v/>
      </c>
      <c r="D455" s="121" t="str">
        <f t="array" ref="D455">ifs(and(isblank($A455),isblank($B455)),"", not(iserror(vlookup($A455&amp;$B455,'5) Release_Track'!$F:$F&amp;'5) Release_Track'!$G:$G,1,0))),vlookup($A455&amp;$B455,{'5) Release_Track'!$F:$F&amp;'5) Release_Track'!$G:$G,'5) Release_Track'!$I:$I},2,0), or(and(not(isblank($B455)),$B455=$B454,$A455&lt;&gt;$A454),and(not(isblank($A455)),$A455=$A454,$B455&lt;&gt;$B454)),"ID LISTS UNALIGNED",and($A455&lt;&gt;"",countif('5) Release_Track'!$F:$F,$A455)=0),"NO ISRC MATCH in Release_Track",and($B455&lt;&gt;"",countif('5) Release_Track'!$G:$G,$B455)=0),"NO CATALOG ID MATCH in Release_Track",iserror(vlookup($A455&amp;$B455,'5) Release_Track'!$F:$F&amp;'5) Release_Track'!$G:$G,1,0)),"NO ISRC-CATALOG ID pair MATCH in Release_Track" )</f>
        <v/>
      </c>
      <c r="E455" s="142" t="b">
        <v>0</v>
      </c>
      <c r="F455" s="142" t="b">
        <v>0</v>
      </c>
      <c r="G455" s="142" t="b">
        <v>0</v>
      </c>
      <c r="H455" s="142" t="b">
        <v>0</v>
      </c>
      <c r="I455" s="142" t="b">
        <v>0</v>
      </c>
      <c r="J455" s="142" t="b">
        <v>0</v>
      </c>
      <c r="K455" s="142" t="b">
        <v>0</v>
      </c>
      <c r="L455" s="8" t="b">
        <v>0</v>
      </c>
    </row>
    <row r="456">
      <c r="B456" s="103"/>
      <c r="C456" s="121" t="str">
        <f t="array" ref="C456">ifs(and(isblank($A456),isblank($B456)),"", not(iserror(vlookup($A456&amp;$B456,'5) Release_Track'!$F:$F&amp;'5) Release_Track'!$G:$G,1,0))),vlookup($A456&amp;$B456,{'5) Release_Track'!$F:$F&amp;'5) Release_Track'!$G:$G,'5) Release_Track'!$H:$H},2,0), or(and(not(isblank($B456)),$B456=$B455,$A456&lt;&gt;$A455),and(not(isblank($A456)),$A456=$A455,$B456&lt;&gt;$B455)),"ID LISTS UNALIGNED",and($A456&lt;&gt;"",countif('5) Release_Track'!$F:$F,$A456)=0),"NO ISRC MATCH in Release_Track",and($B456&lt;&gt;"",countif('5) Release_Track'!$G:$G,$B456)=0),"NO CATALOG ID MATCH in Release_Track",iserror(vlookup($A456&amp;$B456,'5) Release_Track'!$F:$F&amp;'5) Release_Track'!$G:$G,1,0)),"NO ISRC-CATALOG ID pair MATCH in Release_Track" )</f>
        <v/>
      </c>
      <c r="D456" s="121" t="str">
        <f t="array" ref="D456">ifs(and(isblank($A456),isblank($B456)),"", not(iserror(vlookup($A456&amp;$B456,'5) Release_Track'!$F:$F&amp;'5) Release_Track'!$G:$G,1,0))),vlookup($A456&amp;$B456,{'5) Release_Track'!$F:$F&amp;'5) Release_Track'!$G:$G,'5) Release_Track'!$I:$I},2,0), or(and(not(isblank($B456)),$B456=$B455,$A456&lt;&gt;$A455),and(not(isblank($A456)),$A456=$A455,$B456&lt;&gt;$B455)),"ID LISTS UNALIGNED",and($A456&lt;&gt;"",countif('5) Release_Track'!$F:$F,$A456)=0),"NO ISRC MATCH in Release_Track",and($B456&lt;&gt;"",countif('5) Release_Track'!$G:$G,$B456)=0),"NO CATALOG ID MATCH in Release_Track",iserror(vlookup($A456&amp;$B456,'5) Release_Track'!$F:$F&amp;'5) Release_Track'!$G:$G,1,0)),"NO ISRC-CATALOG ID pair MATCH in Release_Track" )</f>
        <v/>
      </c>
      <c r="E456" s="142" t="b">
        <v>0</v>
      </c>
      <c r="F456" s="142" t="b">
        <v>0</v>
      </c>
      <c r="G456" s="142" t="b">
        <v>0</v>
      </c>
      <c r="H456" s="142" t="b">
        <v>0</v>
      </c>
      <c r="I456" s="142" t="b">
        <v>0</v>
      </c>
      <c r="J456" s="142" t="b">
        <v>0</v>
      </c>
      <c r="K456" s="142" t="b">
        <v>0</v>
      </c>
      <c r="L456" s="8" t="b">
        <v>0</v>
      </c>
    </row>
    <row r="457">
      <c r="B457" s="103"/>
      <c r="C457" s="121" t="str">
        <f t="array" ref="C457">ifs(and(isblank($A457),isblank($B457)),"", not(iserror(vlookup($A457&amp;$B457,'5) Release_Track'!$F:$F&amp;'5) Release_Track'!$G:$G,1,0))),vlookup($A457&amp;$B457,{'5) Release_Track'!$F:$F&amp;'5) Release_Track'!$G:$G,'5) Release_Track'!$H:$H},2,0), or(and(not(isblank($B457)),$B457=$B456,$A457&lt;&gt;$A456),and(not(isblank($A457)),$A457=$A456,$B457&lt;&gt;$B456)),"ID LISTS UNALIGNED",and($A457&lt;&gt;"",countif('5) Release_Track'!$F:$F,$A457)=0),"NO ISRC MATCH in Release_Track",and($B457&lt;&gt;"",countif('5) Release_Track'!$G:$G,$B457)=0),"NO CATALOG ID MATCH in Release_Track",iserror(vlookup($A457&amp;$B457,'5) Release_Track'!$F:$F&amp;'5) Release_Track'!$G:$G,1,0)),"NO ISRC-CATALOG ID pair MATCH in Release_Track" )</f>
        <v/>
      </c>
      <c r="D457" s="121" t="str">
        <f t="array" ref="D457">ifs(and(isblank($A457),isblank($B457)),"", not(iserror(vlookup($A457&amp;$B457,'5) Release_Track'!$F:$F&amp;'5) Release_Track'!$G:$G,1,0))),vlookup($A457&amp;$B457,{'5) Release_Track'!$F:$F&amp;'5) Release_Track'!$G:$G,'5) Release_Track'!$I:$I},2,0), or(and(not(isblank($B457)),$B457=$B456,$A457&lt;&gt;$A456),and(not(isblank($A457)),$A457=$A456,$B457&lt;&gt;$B456)),"ID LISTS UNALIGNED",and($A457&lt;&gt;"",countif('5) Release_Track'!$F:$F,$A457)=0),"NO ISRC MATCH in Release_Track",and($B457&lt;&gt;"",countif('5) Release_Track'!$G:$G,$B457)=0),"NO CATALOG ID MATCH in Release_Track",iserror(vlookup($A457&amp;$B457,'5) Release_Track'!$F:$F&amp;'5) Release_Track'!$G:$G,1,0)),"NO ISRC-CATALOG ID pair MATCH in Release_Track" )</f>
        <v/>
      </c>
      <c r="E457" s="142" t="b">
        <v>0</v>
      </c>
      <c r="F457" s="142" t="b">
        <v>0</v>
      </c>
      <c r="G457" s="142" t="b">
        <v>0</v>
      </c>
      <c r="H457" s="142" t="b">
        <v>0</v>
      </c>
      <c r="I457" s="142" t="b">
        <v>0</v>
      </c>
      <c r="J457" s="142" t="b">
        <v>0</v>
      </c>
      <c r="K457" s="142" t="b">
        <v>0</v>
      </c>
      <c r="L457" s="8" t="b">
        <v>0</v>
      </c>
    </row>
    <row r="458">
      <c r="B458" s="103"/>
      <c r="C458" s="121" t="str">
        <f t="array" ref="C458">ifs(and(isblank($A458),isblank($B458)),"", not(iserror(vlookup($A458&amp;$B458,'5) Release_Track'!$F:$F&amp;'5) Release_Track'!$G:$G,1,0))),vlookup($A458&amp;$B458,{'5) Release_Track'!$F:$F&amp;'5) Release_Track'!$G:$G,'5) Release_Track'!$H:$H},2,0), or(and(not(isblank($B458)),$B458=$B457,$A458&lt;&gt;$A457),and(not(isblank($A458)),$A458=$A457,$B458&lt;&gt;$B457)),"ID LISTS UNALIGNED",and($A458&lt;&gt;"",countif('5) Release_Track'!$F:$F,$A458)=0),"NO ISRC MATCH in Release_Track",and($B458&lt;&gt;"",countif('5) Release_Track'!$G:$G,$B458)=0),"NO CATALOG ID MATCH in Release_Track",iserror(vlookup($A458&amp;$B458,'5) Release_Track'!$F:$F&amp;'5) Release_Track'!$G:$G,1,0)),"NO ISRC-CATALOG ID pair MATCH in Release_Track" )</f>
        <v/>
      </c>
      <c r="D458" s="121" t="str">
        <f t="array" ref="D458">ifs(and(isblank($A458),isblank($B458)),"", not(iserror(vlookup($A458&amp;$B458,'5) Release_Track'!$F:$F&amp;'5) Release_Track'!$G:$G,1,0))),vlookup($A458&amp;$B458,{'5) Release_Track'!$F:$F&amp;'5) Release_Track'!$G:$G,'5) Release_Track'!$I:$I},2,0), or(and(not(isblank($B458)),$B458=$B457,$A458&lt;&gt;$A457),and(not(isblank($A458)),$A458=$A457,$B458&lt;&gt;$B457)),"ID LISTS UNALIGNED",and($A458&lt;&gt;"",countif('5) Release_Track'!$F:$F,$A458)=0),"NO ISRC MATCH in Release_Track",and($B458&lt;&gt;"",countif('5) Release_Track'!$G:$G,$B458)=0),"NO CATALOG ID MATCH in Release_Track",iserror(vlookup($A458&amp;$B458,'5) Release_Track'!$F:$F&amp;'5) Release_Track'!$G:$G,1,0)),"NO ISRC-CATALOG ID pair MATCH in Release_Track" )</f>
        <v/>
      </c>
      <c r="E458" s="142" t="b">
        <v>0</v>
      </c>
      <c r="F458" s="142" t="b">
        <v>0</v>
      </c>
      <c r="G458" s="142" t="b">
        <v>0</v>
      </c>
      <c r="H458" s="142" t="b">
        <v>0</v>
      </c>
      <c r="I458" s="142" t="b">
        <v>0</v>
      </c>
      <c r="J458" s="142" t="b">
        <v>0</v>
      </c>
      <c r="K458" s="142" t="b">
        <v>0</v>
      </c>
      <c r="L458" s="8" t="b">
        <v>0</v>
      </c>
    </row>
    <row r="459">
      <c r="B459" s="103"/>
      <c r="C459" s="121" t="str">
        <f t="array" ref="C459">ifs(and(isblank($A459),isblank($B459)),"", not(iserror(vlookup($A459&amp;$B459,'5) Release_Track'!$F:$F&amp;'5) Release_Track'!$G:$G,1,0))),vlookup($A459&amp;$B459,{'5) Release_Track'!$F:$F&amp;'5) Release_Track'!$G:$G,'5) Release_Track'!$H:$H},2,0), or(and(not(isblank($B459)),$B459=$B458,$A459&lt;&gt;$A458),and(not(isblank($A459)),$A459=$A458,$B459&lt;&gt;$B458)),"ID LISTS UNALIGNED",and($A459&lt;&gt;"",countif('5) Release_Track'!$F:$F,$A459)=0),"NO ISRC MATCH in Release_Track",and($B459&lt;&gt;"",countif('5) Release_Track'!$G:$G,$B459)=0),"NO CATALOG ID MATCH in Release_Track",iserror(vlookup($A459&amp;$B459,'5) Release_Track'!$F:$F&amp;'5) Release_Track'!$G:$G,1,0)),"NO ISRC-CATALOG ID pair MATCH in Release_Track" )</f>
        <v/>
      </c>
      <c r="D459" s="121" t="str">
        <f t="array" ref="D459">ifs(and(isblank($A459),isblank($B459)),"", not(iserror(vlookup($A459&amp;$B459,'5) Release_Track'!$F:$F&amp;'5) Release_Track'!$G:$G,1,0))),vlookup($A459&amp;$B459,{'5) Release_Track'!$F:$F&amp;'5) Release_Track'!$G:$G,'5) Release_Track'!$I:$I},2,0), or(and(not(isblank($B459)),$B459=$B458,$A459&lt;&gt;$A458),and(not(isblank($A459)),$A459=$A458,$B459&lt;&gt;$B458)),"ID LISTS UNALIGNED",and($A459&lt;&gt;"",countif('5) Release_Track'!$F:$F,$A459)=0),"NO ISRC MATCH in Release_Track",and($B459&lt;&gt;"",countif('5) Release_Track'!$G:$G,$B459)=0),"NO CATALOG ID MATCH in Release_Track",iserror(vlookup($A459&amp;$B459,'5) Release_Track'!$F:$F&amp;'5) Release_Track'!$G:$G,1,0)),"NO ISRC-CATALOG ID pair MATCH in Release_Track" )</f>
        <v/>
      </c>
      <c r="E459" s="142" t="b">
        <v>0</v>
      </c>
      <c r="F459" s="142" t="b">
        <v>0</v>
      </c>
      <c r="G459" s="142" t="b">
        <v>0</v>
      </c>
      <c r="H459" s="142" t="b">
        <v>0</v>
      </c>
      <c r="I459" s="142" t="b">
        <v>0</v>
      </c>
      <c r="J459" s="142" t="b">
        <v>0</v>
      </c>
      <c r="K459" s="142" t="b">
        <v>0</v>
      </c>
      <c r="L459" s="8" t="b">
        <v>0</v>
      </c>
    </row>
    <row r="460">
      <c r="B460" s="103"/>
      <c r="C460" s="121" t="str">
        <f t="array" ref="C460">ifs(and(isblank($A460),isblank($B460)),"", not(iserror(vlookup($A460&amp;$B460,'5) Release_Track'!$F:$F&amp;'5) Release_Track'!$G:$G,1,0))),vlookup($A460&amp;$B460,{'5) Release_Track'!$F:$F&amp;'5) Release_Track'!$G:$G,'5) Release_Track'!$H:$H},2,0), or(and(not(isblank($B460)),$B460=$B459,$A460&lt;&gt;$A459),and(not(isblank($A460)),$A460=$A459,$B460&lt;&gt;$B459)),"ID LISTS UNALIGNED",and($A460&lt;&gt;"",countif('5) Release_Track'!$F:$F,$A460)=0),"NO ISRC MATCH in Release_Track",and($B460&lt;&gt;"",countif('5) Release_Track'!$G:$G,$B460)=0),"NO CATALOG ID MATCH in Release_Track",iserror(vlookup($A460&amp;$B460,'5) Release_Track'!$F:$F&amp;'5) Release_Track'!$G:$G,1,0)),"NO ISRC-CATALOG ID pair MATCH in Release_Track" )</f>
        <v/>
      </c>
      <c r="D460" s="121" t="str">
        <f t="array" ref="D460">ifs(and(isblank($A460),isblank($B460)),"", not(iserror(vlookup($A460&amp;$B460,'5) Release_Track'!$F:$F&amp;'5) Release_Track'!$G:$G,1,0))),vlookup($A460&amp;$B460,{'5) Release_Track'!$F:$F&amp;'5) Release_Track'!$G:$G,'5) Release_Track'!$I:$I},2,0), or(and(not(isblank($B460)),$B460=$B459,$A460&lt;&gt;$A459),and(not(isblank($A460)),$A460=$A459,$B460&lt;&gt;$B459)),"ID LISTS UNALIGNED",and($A460&lt;&gt;"",countif('5) Release_Track'!$F:$F,$A460)=0),"NO ISRC MATCH in Release_Track",and($B460&lt;&gt;"",countif('5) Release_Track'!$G:$G,$B460)=0),"NO CATALOG ID MATCH in Release_Track",iserror(vlookup($A460&amp;$B460,'5) Release_Track'!$F:$F&amp;'5) Release_Track'!$G:$G,1,0)),"NO ISRC-CATALOG ID pair MATCH in Release_Track" )</f>
        <v/>
      </c>
      <c r="E460" s="142" t="b">
        <v>0</v>
      </c>
      <c r="F460" s="142" t="b">
        <v>0</v>
      </c>
      <c r="G460" s="142" t="b">
        <v>0</v>
      </c>
      <c r="H460" s="142" t="b">
        <v>0</v>
      </c>
      <c r="I460" s="142" t="b">
        <v>0</v>
      </c>
      <c r="J460" s="142" t="b">
        <v>0</v>
      </c>
      <c r="K460" s="142" t="b">
        <v>0</v>
      </c>
      <c r="L460" s="8" t="b">
        <v>0</v>
      </c>
    </row>
    <row r="461">
      <c r="B461" s="103"/>
      <c r="C461" s="121" t="str">
        <f t="array" ref="C461">ifs(and(isblank($A461),isblank($B461)),"", not(iserror(vlookup($A461&amp;$B461,'5) Release_Track'!$F:$F&amp;'5) Release_Track'!$G:$G,1,0))),vlookup($A461&amp;$B461,{'5) Release_Track'!$F:$F&amp;'5) Release_Track'!$G:$G,'5) Release_Track'!$H:$H},2,0), or(and(not(isblank($B461)),$B461=$B460,$A461&lt;&gt;$A460),and(not(isblank($A461)),$A461=$A460,$B461&lt;&gt;$B460)),"ID LISTS UNALIGNED",and($A461&lt;&gt;"",countif('5) Release_Track'!$F:$F,$A461)=0),"NO ISRC MATCH in Release_Track",and($B461&lt;&gt;"",countif('5) Release_Track'!$G:$G,$B461)=0),"NO CATALOG ID MATCH in Release_Track",iserror(vlookup($A461&amp;$B461,'5) Release_Track'!$F:$F&amp;'5) Release_Track'!$G:$G,1,0)),"NO ISRC-CATALOG ID pair MATCH in Release_Track" )</f>
        <v/>
      </c>
      <c r="D461" s="121" t="str">
        <f t="array" ref="D461">ifs(and(isblank($A461),isblank($B461)),"", not(iserror(vlookup($A461&amp;$B461,'5) Release_Track'!$F:$F&amp;'5) Release_Track'!$G:$G,1,0))),vlookup($A461&amp;$B461,{'5) Release_Track'!$F:$F&amp;'5) Release_Track'!$G:$G,'5) Release_Track'!$I:$I},2,0), or(and(not(isblank($B461)),$B461=$B460,$A461&lt;&gt;$A460),and(not(isblank($A461)),$A461=$A460,$B461&lt;&gt;$B460)),"ID LISTS UNALIGNED",and($A461&lt;&gt;"",countif('5) Release_Track'!$F:$F,$A461)=0),"NO ISRC MATCH in Release_Track",and($B461&lt;&gt;"",countif('5) Release_Track'!$G:$G,$B461)=0),"NO CATALOG ID MATCH in Release_Track",iserror(vlookup($A461&amp;$B461,'5) Release_Track'!$F:$F&amp;'5) Release_Track'!$G:$G,1,0)),"NO ISRC-CATALOG ID pair MATCH in Release_Track" )</f>
        <v/>
      </c>
      <c r="E461" s="142" t="b">
        <v>0</v>
      </c>
      <c r="F461" s="142" t="b">
        <v>0</v>
      </c>
      <c r="G461" s="142" t="b">
        <v>0</v>
      </c>
      <c r="H461" s="142" t="b">
        <v>0</v>
      </c>
      <c r="I461" s="142" t="b">
        <v>0</v>
      </c>
      <c r="J461" s="142" t="b">
        <v>0</v>
      </c>
      <c r="K461" s="142" t="b">
        <v>0</v>
      </c>
      <c r="L461" s="8" t="b">
        <v>0</v>
      </c>
    </row>
    <row r="462">
      <c r="B462" s="103"/>
      <c r="C462" s="121" t="str">
        <f t="array" ref="C462">ifs(and(isblank($A462),isblank($B462)),"", not(iserror(vlookup($A462&amp;$B462,'5) Release_Track'!$F:$F&amp;'5) Release_Track'!$G:$G,1,0))),vlookup($A462&amp;$B462,{'5) Release_Track'!$F:$F&amp;'5) Release_Track'!$G:$G,'5) Release_Track'!$H:$H},2,0), or(and(not(isblank($B462)),$B462=$B461,$A462&lt;&gt;$A461),and(not(isblank($A462)),$A462=$A461,$B462&lt;&gt;$B461)),"ID LISTS UNALIGNED",and($A462&lt;&gt;"",countif('5) Release_Track'!$F:$F,$A462)=0),"NO ISRC MATCH in Release_Track",and($B462&lt;&gt;"",countif('5) Release_Track'!$G:$G,$B462)=0),"NO CATALOG ID MATCH in Release_Track",iserror(vlookup($A462&amp;$B462,'5) Release_Track'!$F:$F&amp;'5) Release_Track'!$G:$G,1,0)),"NO ISRC-CATALOG ID pair MATCH in Release_Track" )</f>
        <v/>
      </c>
      <c r="D462" s="121" t="str">
        <f t="array" ref="D462">ifs(and(isblank($A462),isblank($B462)),"", not(iserror(vlookup($A462&amp;$B462,'5) Release_Track'!$F:$F&amp;'5) Release_Track'!$G:$G,1,0))),vlookup($A462&amp;$B462,{'5) Release_Track'!$F:$F&amp;'5) Release_Track'!$G:$G,'5) Release_Track'!$I:$I},2,0), or(and(not(isblank($B462)),$B462=$B461,$A462&lt;&gt;$A461),and(not(isblank($A462)),$A462=$A461,$B462&lt;&gt;$B461)),"ID LISTS UNALIGNED",and($A462&lt;&gt;"",countif('5) Release_Track'!$F:$F,$A462)=0),"NO ISRC MATCH in Release_Track",and($B462&lt;&gt;"",countif('5) Release_Track'!$G:$G,$B462)=0),"NO CATALOG ID MATCH in Release_Track",iserror(vlookup($A462&amp;$B462,'5) Release_Track'!$F:$F&amp;'5) Release_Track'!$G:$G,1,0)),"NO ISRC-CATALOG ID pair MATCH in Release_Track" )</f>
        <v/>
      </c>
      <c r="E462" s="142" t="b">
        <v>0</v>
      </c>
      <c r="F462" s="142" t="b">
        <v>0</v>
      </c>
      <c r="G462" s="142" t="b">
        <v>0</v>
      </c>
      <c r="H462" s="142" t="b">
        <v>0</v>
      </c>
      <c r="I462" s="142" t="b">
        <v>0</v>
      </c>
      <c r="J462" s="142" t="b">
        <v>0</v>
      </c>
      <c r="K462" s="142" t="b">
        <v>0</v>
      </c>
      <c r="L462" s="8" t="b">
        <v>0</v>
      </c>
    </row>
    <row r="463">
      <c r="B463" s="103"/>
      <c r="C463" s="121" t="str">
        <f t="array" ref="C463">ifs(and(isblank($A463),isblank($B463)),"", not(iserror(vlookup($A463&amp;$B463,'5) Release_Track'!$F:$F&amp;'5) Release_Track'!$G:$G,1,0))),vlookup($A463&amp;$B463,{'5) Release_Track'!$F:$F&amp;'5) Release_Track'!$G:$G,'5) Release_Track'!$H:$H},2,0), or(and(not(isblank($B463)),$B463=$B462,$A463&lt;&gt;$A462),and(not(isblank($A463)),$A463=$A462,$B463&lt;&gt;$B462)),"ID LISTS UNALIGNED",and($A463&lt;&gt;"",countif('5) Release_Track'!$F:$F,$A463)=0),"NO ISRC MATCH in Release_Track",and($B463&lt;&gt;"",countif('5) Release_Track'!$G:$G,$B463)=0),"NO CATALOG ID MATCH in Release_Track",iserror(vlookup($A463&amp;$B463,'5) Release_Track'!$F:$F&amp;'5) Release_Track'!$G:$G,1,0)),"NO ISRC-CATALOG ID pair MATCH in Release_Track" )</f>
        <v/>
      </c>
      <c r="D463" s="121" t="str">
        <f t="array" ref="D463">ifs(and(isblank($A463),isblank($B463)),"", not(iserror(vlookup($A463&amp;$B463,'5) Release_Track'!$F:$F&amp;'5) Release_Track'!$G:$G,1,0))),vlookup($A463&amp;$B463,{'5) Release_Track'!$F:$F&amp;'5) Release_Track'!$G:$G,'5) Release_Track'!$I:$I},2,0), or(and(not(isblank($B463)),$B463=$B462,$A463&lt;&gt;$A462),and(not(isblank($A463)),$A463=$A462,$B463&lt;&gt;$B462)),"ID LISTS UNALIGNED",and($A463&lt;&gt;"",countif('5) Release_Track'!$F:$F,$A463)=0),"NO ISRC MATCH in Release_Track",and($B463&lt;&gt;"",countif('5) Release_Track'!$G:$G,$B463)=0),"NO CATALOG ID MATCH in Release_Track",iserror(vlookup($A463&amp;$B463,'5) Release_Track'!$F:$F&amp;'5) Release_Track'!$G:$G,1,0)),"NO ISRC-CATALOG ID pair MATCH in Release_Track" )</f>
        <v/>
      </c>
      <c r="E463" s="142" t="b">
        <v>0</v>
      </c>
      <c r="F463" s="142" t="b">
        <v>0</v>
      </c>
      <c r="G463" s="142" t="b">
        <v>0</v>
      </c>
      <c r="H463" s="142" t="b">
        <v>0</v>
      </c>
      <c r="I463" s="142" t="b">
        <v>0</v>
      </c>
      <c r="J463" s="142" t="b">
        <v>0</v>
      </c>
      <c r="K463" s="142" t="b">
        <v>0</v>
      </c>
      <c r="L463" s="8" t="b">
        <v>0</v>
      </c>
    </row>
    <row r="464">
      <c r="B464" s="103"/>
      <c r="C464" s="121" t="str">
        <f t="array" ref="C464">ifs(and(isblank($A464),isblank($B464)),"", not(iserror(vlookup($A464&amp;$B464,'5) Release_Track'!$F:$F&amp;'5) Release_Track'!$G:$G,1,0))),vlookup($A464&amp;$B464,{'5) Release_Track'!$F:$F&amp;'5) Release_Track'!$G:$G,'5) Release_Track'!$H:$H},2,0), or(and(not(isblank($B464)),$B464=$B463,$A464&lt;&gt;$A463),and(not(isblank($A464)),$A464=$A463,$B464&lt;&gt;$B463)),"ID LISTS UNALIGNED",and($A464&lt;&gt;"",countif('5) Release_Track'!$F:$F,$A464)=0),"NO ISRC MATCH in Release_Track",and($B464&lt;&gt;"",countif('5) Release_Track'!$G:$G,$B464)=0),"NO CATALOG ID MATCH in Release_Track",iserror(vlookup($A464&amp;$B464,'5) Release_Track'!$F:$F&amp;'5) Release_Track'!$G:$G,1,0)),"NO ISRC-CATALOG ID pair MATCH in Release_Track" )</f>
        <v/>
      </c>
      <c r="D464" s="121" t="str">
        <f t="array" ref="D464">ifs(and(isblank($A464),isblank($B464)),"", not(iserror(vlookup($A464&amp;$B464,'5) Release_Track'!$F:$F&amp;'5) Release_Track'!$G:$G,1,0))),vlookup($A464&amp;$B464,{'5) Release_Track'!$F:$F&amp;'5) Release_Track'!$G:$G,'5) Release_Track'!$I:$I},2,0), or(and(not(isblank($B464)),$B464=$B463,$A464&lt;&gt;$A463),and(not(isblank($A464)),$A464=$A463,$B464&lt;&gt;$B463)),"ID LISTS UNALIGNED",and($A464&lt;&gt;"",countif('5) Release_Track'!$F:$F,$A464)=0),"NO ISRC MATCH in Release_Track",and($B464&lt;&gt;"",countif('5) Release_Track'!$G:$G,$B464)=0),"NO CATALOG ID MATCH in Release_Track",iserror(vlookup($A464&amp;$B464,'5) Release_Track'!$F:$F&amp;'5) Release_Track'!$G:$G,1,0)),"NO ISRC-CATALOG ID pair MATCH in Release_Track" )</f>
        <v/>
      </c>
      <c r="E464" s="142" t="b">
        <v>0</v>
      </c>
      <c r="F464" s="142" t="b">
        <v>0</v>
      </c>
      <c r="G464" s="142" t="b">
        <v>0</v>
      </c>
      <c r="H464" s="142" t="b">
        <v>0</v>
      </c>
      <c r="I464" s="142" t="b">
        <v>0</v>
      </c>
      <c r="J464" s="142" t="b">
        <v>0</v>
      </c>
      <c r="K464" s="142" t="b">
        <v>0</v>
      </c>
      <c r="L464" s="8" t="b">
        <v>0</v>
      </c>
    </row>
    <row r="465">
      <c r="B465" s="103"/>
      <c r="C465" s="121" t="str">
        <f t="array" ref="C465">ifs(and(isblank($A465),isblank($B465)),"", not(iserror(vlookup($A465&amp;$B465,'5) Release_Track'!$F:$F&amp;'5) Release_Track'!$G:$G,1,0))),vlookup($A465&amp;$B465,{'5) Release_Track'!$F:$F&amp;'5) Release_Track'!$G:$G,'5) Release_Track'!$H:$H},2,0), or(and(not(isblank($B465)),$B465=$B464,$A465&lt;&gt;$A464),and(not(isblank($A465)),$A465=$A464,$B465&lt;&gt;$B464)),"ID LISTS UNALIGNED",and($A465&lt;&gt;"",countif('5) Release_Track'!$F:$F,$A465)=0),"NO ISRC MATCH in Release_Track",and($B465&lt;&gt;"",countif('5) Release_Track'!$G:$G,$B465)=0),"NO CATALOG ID MATCH in Release_Track",iserror(vlookup($A465&amp;$B465,'5) Release_Track'!$F:$F&amp;'5) Release_Track'!$G:$G,1,0)),"NO ISRC-CATALOG ID pair MATCH in Release_Track" )</f>
        <v/>
      </c>
      <c r="D465" s="121" t="str">
        <f t="array" ref="D465">ifs(and(isblank($A465),isblank($B465)),"", not(iserror(vlookup($A465&amp;$B465,'5) Release_Track'!$F:$F&amp;'5) Release_Track'!$G:$G,1,0))),vlookup($A465&amp;$B465,{'5) Release_Track'!$F:$F&amp;'5) Release_Track'!$G:$G,'5) Release_Track'!$I:$I},2,0), or(and(not(isblank($B465)),$B465=$B464,$A465&lt;&gt;$A464),and(not(isblank($A465)),$A465=$A464,$B465&lt;&gt;$B464)),"ID LISTS UNALIGNED",and($A465&lt;&gt;"",countif('5) Release_Track'!$F:$F,$A465)=0),"NO ISRC MATCH in Release_Track",and($B465&lt;&gt;"",countif('5) Release_Track'!$G:$G,$B465)=0),"NO CATALOG ID MATCH in Release_Track",iserror(vlookup($A465&amp;$B465,'5) Release_Track'!$F:$F&amp;'5) Release_Track'!$G:$G,1,0)),"NO ISRC-CATALOG ID pair MATCH in Release_Track" )</f>
        <v/>
      </c>
      <c r="E465" s="142" t="b">
        <v>0</v>
      </c>
      <c r="F465" s="142" t="b">
        <v>0</v>
      </c>
      <c r="G465" s="142" t="b">
        <v>0</v>
      </c>
      <c r="H465" s="142" t="b">
        <v>0</v>
      </c>
      <c r="I465" s="142" t="b">
        <v>0</v>
      </c>
      <c r="J465" s="142" t="b">
        <v>0</v>
      </c>
      <c r="K465" s="142" t="b">
        <v>0</v>
      </c>
      <c r="L465" s="8" t="b">
        <v>0</v>
      </c>
    </row>
    <row r="466">
      <c r="B466" s="103"/>
      <c r="C466" s="121" t="str">
        <f t="array" ref="C466">ifs(and(isblank($A466),isblank($B466)),"", not(iserror(vlookup($A466&amp;$B466,'5) Release_Track'!$F:$F&amp;'5) Release_Track'!$G:$G,1,0))),vlookup($A466&amp;$B466,{'5) Release_Track'!$F:$F&amp;'5) Release_Track'!$G:$G,'5) Release_Track'!$H:$H},2,0), or(and(not(isblank($B466)),$B466=$B465,$A466&lt;&gt;$A465),and(not(isblank($A466)),$A466=$A465,$B466&lt;&gt;$B465)),"ID LISTS UNALIGNED",and($A466&lt;&gt;"",countif('5) Release_Track'!$F:$F,$A466)=0),"NO ISRC MATCH in Release_Track",and($B466&lt;&gt;"",countif('5) Release_Track'!$G:$G,$B466)=0),"NO CATALOG ID MATCH in Release_Track",iserror(vlookup($A466&amp;$B466,'5) Release_Track'!$F:$F&amp;'5) Release_Track'!$G:$G,1,0)),"NO ISRC-CATALOG ID pair MATCH in Release_Track" )</f>
        <v/>
      </c>
      <c r="D466" s="121" t="str">
        <f t="array" ref="D466">ifs(and(isblank($A466),isblank($B466)),"", not(iserror(vlookup($A466&amp;$B466,'5) Release_Track'!$F:$F&amp;'5) Release_Track'!$G:$G,1,0))),vlookup($A466&amp;$B466,{'5) Release_Track'!$F:$F&amp;'5) Release_Track'!$G:$G,'5) Release_Track'!$I:$I},2,0), or(and(not(isblank($B466)),$B466=$B465,$A466&lt;&gt;$A465),and(not(isblank($A466)),$A466=$A465,$B466&lt;&gt;$B465)),"ID LISTS UNALIGNED",and($A466&lt;&gt;"",countif('5) Release_Track'!$F:$F,$A466)=0),"NO ISRC MATCH in Release_Track",and($B466&lt;&gt;"",countif('5) Release_Track'!$G:$G,$B466)=0),"NO CATALOG ID MATCH in Release_Track",iserror(vlookup($A466&amp;$B466,'5) Release_Track'!$F:$F&amp;'5) Release_Track'!$G:$G,1,0)),"NO ISRC-CATALOG ID pair MATCH in Release_Track" )</f>
        <v/>
      </c>
      <c r="E466" s="142" t="b">
        <v>0</v>
      </c>
      <c r="F466" s="142" t="b">
        <v>0</v>
      </c>
      <c r="G466" s="142" t="b">
        <v>0</v>
      </c>
      <c r="H466" s="142" t="b">
        <v>0</v>
      </c>
      <c r="I466" s="142" t="b">
        <v>0</v>
      </c>
      <c r="J466" s="142" t="b">
        <v>0</v>
      </c>
      <c r="K466" s="142" t="b">
        <v>0</v>
      </c>
      <c r="L466" s="8" t="b">
        <v>0</v>
      </c>
    </row>
    <row r="467">
      <c r="B467" s="103"/>
      <c r="C467" s="121" t="str">
        <f t="array" ref="C467">ifs(and(isblank($A467),isblank($B467)),"", not(iserror(vlookup($A467&amp;$B467,'5) Release_Track'!$F:$F&amp;'5) Release_Track'!$G:$G,1,0))),vlookup($A467&amp;$B467,{'5) Release_Track'!$F:$F&amp;'5) Release_Track'!$G:$G,'5) Release_Track'!$H:$H},2,0), or(and(not(isblank($B467)),$B467=$B466,$A467&lt;&gt;$A466),and(not(isblank($A467)),$A467=$A466,$B467&lt;&gt;$B466)),"ID LISTS UNALIGNED",and($A467&lt;&gt;"",countif('5) Release_Track'!$F:$F,$A467)=0),"NO ISRC MATCH in Release_Track",and($B467&lt;&gt;"",countif('5) Release_Track'!$G:$G,$B467)=0),"NO CATALOG ID MATCH in Release_Track",iserror(vlookup($A467&amp;$B467,'5) Release_Track'!$F:$F&amp;'5) Release_Track'!$G:$G,1,0)),"NO ISRC-CATALOG ID pair MATCH in Release_Track" )</f>
        <v/>
      </c>
      <c r="D467" s="121" t="str">
        <f t="array" ref="D467">ifs(and(isblank($A467),isblank($B467)),"", not(iserror(vlookup($A467&amp;$B467,'5) Release_Track'!$F:$F&amp;'5) Release_Track'!$G:$G,1,0))),vlookup($A467&amp;$B467,{'5) Release_Track'!$F:$F&amp;'5) Release_Track'!$G:$G,'5) Release_Track'!$I:$I},2,0), or(and(not(isblank($B467)),$B467=$B466,$A467&lt;&gt;$A466),and(not(isblank($A467)),$A467=$A466,$B467&lt;&gt;$B466)),"ID LISTS UNALIGNED",and($A467&lt;&gt;"",countif('5) Release_Track'!$F:$F,$A467)=0),"NO ISRC MATCH in Release_Track",and($B467&lt;&gt;"",countif('5) Release_Track'!$G:$G,$B467)=0),"NO CATALOG ID MATCH in Release_Track",iserror(vlookup($A467&amp;$B467,'5) Release_Track'!$F:$F&amp;'5) Release_Track'!$G:$G,1,0)),"NO ISRC-CATALOG ID pair MATCH in Release_Track" )</f>
        <v/>
      </c>
      <c r="E467" s="142" t="b">
        <v>0</v>
      </c>
      <c r="F467" s="142" t="b">
        <v>0</v>
      </c>
      <c r="G467" s="142" t="b">
        <v>0</v>
      </c>
      <c r="H467" s="142" t="b">
        <v>0</v>
      </c>
      <c r="I467" s="142" t="b">
        <v>0</v>
      </c>
      <c r="J467" s="142" t="b">
        <v>0</v>
      </c>
      <c r="K467" s="142" t="b">
        <v>0</v>
      </c>
      <c r="L467" s="8" t="b">
        <v>0</v>
      </c>
    </row>
    <row r="468">
      <c r="B468" s="103"/>
      <c r="C468" s="121" t="str">
        <f t="array" ref="C468">ifs(and(isblank($A468),isblank($B468)),"", not(iserror(vlookup($A468&amp;$B468,'5) Release_Track'!$F:$F&amp;'5) Release_Track'!$G:$G,1,0))),vlookup($A468&amp;$B468,{'5) Release_Track'!$F:$F&amp;'5) Release_Track'!$G:$G,'5) Release_Track'!$H:$H},2,0), or(and(not(isblank($B468)),$B468=$B467,$A468&lt;&gt;$A467),and(not(isblank($A468)),$A468=$A467,$B468&lt;&gt;$B467)),"ID LISTS UNALIGNED",and($A468&lt;&gt;"",countif('5) Release_Track'!$F:$F,$A468)=0),"NO ISRC MATCH in Release_Track",and($B468&lt;&gt;"",countif('5) Release_Track'!$G:$G,$B468)=0),"NO CATALOG ID MATCH in Release_Track",iserror(vlookup($A468&amp;$B468,'5) Release_Track'!$F:$F&amp;'5) Release_Track'!$G:$G,1,0)),"NO ISRC-CATALOG ID pair MATCH in Release_Track" )</f>
        <v/>
      </c>
      <c r="D468" s="121" t="str">
        <f t="array" ref="D468">ifs(and(isblank($A468),isblank($B468)),"", not(iserror(vlookup($A468&amp;$B468,'5) Release_Track'!$F:$F&amp;'5) Release_Track'!$G:$G,1,0))),vlookup($A468&amp;$B468,{'5) Release_Track'!$F:$F&amp;'5) Release_Track'!$G:$G,'5) Release_Track'!$I:$I},2,0), or(and(not(isblank($B468)),$B468=$B467,$A468&lt;&gt;$A467),and(not(isblank($A468)),$A468=$A467,$B468&lt;&gt;$B467)),"ID LISTS UNALIGNED",and($A468&lt;&gt;"",countif('5) Release_Track'!$F:$F,$A468)=0),"NO ISRC MATCH in Release_Track",and($B468&lt;&gt;"",countif('5) Release_Track'!$G:$G,$B468)=0),"NO CATALOG ID MATCH in Release_Track",iserror(vlookup($A468&amp;$B468,'5) Release_Track'!$F:$F&amp;'5) Release_Track'!$G:$G,1,0)),"NO ISRC-CATALOG ID pair MATCH in Release_Track" )</f>
        <v/>
      </c>
      <c r="E468" s="142" t="b">
        <v>0</v>
      </c>
      <c r="F468" s="142" t="b">
        <v>0</v>
      </c>
      <c r="G468" s="142" t="b">
        <v>0</v>
      </c>
      <c r="H468" s="142" t="b">
        <v>0</v>
      </c>
      <c r="I468" s="142" t="b">
        <v>0</v>
      </c>
      <c r="J468" s="142" t="b">
        <v>0</v>
      </c>
      <c r="K468" s="142" t="b">
        <v>0</v>
      </c>
      <c r="L468" s="8" t="b">
        <v>0</v>
      </c>
    </row>
    <row r="469">
      <c r="B469" s="103"/>
      <c r="C469" s="121" t="str">
        <f t="array" ref="C469">ifs(and(isblank($A469),isblank($B469)),"", not(iserror(vlookup($A469&amp;$B469,'5) Release_Track'!$F:$F&amp;'5) Release_Track'!$G:$G,1,0))),vlookup($A469&amp;$B469,{'5) Release_Track'!$F:$F&amp;'5) Release_Track'!$G:$G,'5) Release_Track'!$H:$H},2,0), or(and(not(isblank($B469)),$B469=$B468,$A469&lt;&gt;$A468),and(not(isblank($A469)),$A469=$A468,$B469&lt;&gt;$B468)),"ID LISTS UNALIGNED",and($A469&lt;&gt;"",countif('5) Release_Track'!$F:$F,$A469)=0),"NO ISRC MATCH in Release_Track",and($B469&lt;&gt;"",countif('5) Release_Track'!$G:$G,$B469)=0),"NO CATALOG ID MATCH in Release_Track",iserror(vlookup($A469&amp;$B469,'5) Release_Track'!$F:$F&amp;'5) Release_Track'!$G:$G,1,0)),"NO ISRC-CATALOG ID pair MATCH in Release_Track" )</f>
        <v/>
      </c>
      <c r="D469" s="121" t="str">
        <f t="array" ref="D469">ifs(and(isblank($A469),isblank($B469)),"", not(iserror(vlookup($A469&amp;$B469,'5) Release_Track'!$F:$F&amp;'5) Release_Track'!$G:$G,1,0))),vlookup($A469&amp;$B469,{'5) Release_Track'!$F:$F&amp;'5) Release_Track'!$G:$G,'5) Release_Track'!$I:$I},2,0), or(and(not(isblank($B469)),$B469=$B468,$A469&lt;&gt;$A468),and(not(isblank($A469)),$A469=$A468,$B469&lt;&gt;$B468)),"ID LISTS UNALIGNED",and($A469&lt;&gt;"",countif('5) Release_Track'!$F:$F,$A469)=0),"NO ISRC MATCH in Release_Track",and($B469&lt;&gt;"",countif('5) Release_Track'!$G:$G,$B469)=0),"NO CATALOG ID MATCH in Release_Track",iserror(vlookup($A469&amp;$B469,'5) Release_Track'!$F:$F&amp;'5) Release_Track'!$G:$G,1,0)),"NO ISRC-CATALOG ID pair MATCH in Release_Track" )</f>
        <v/>
      </c>
      <c r="E469" s="142" t="b">
        <v>0</v>
      </c>
      <c r="F469" s="142" t="b">
        <v>0</v>
      </c>
      <c r="G469" s="142" t="b">
        <v>0</v>
      </c>
      <c r="H469" s="142" t="b">
        <v>0</v>
      </c>
      <c r="I469" s="142" t="b">
        <v>0</v>
      </c>
      <c r="J469" s="142" t="b">
        <v>0</v>
      </c>
      <c r="K469" s="142" t="b">
        <v>0</v>
      </c>
      <c r="L469" s="8" t="b">
        <v>0</v>
      </c>
    </row>
    <row r="470">
      <c r="B470" s="103"/>
      <c r="C470" s="121" t="str">
        <f t="array" ref="C470">ifs(and(isblank($A470),isblank($B470)),"", not(iserror(vlookup($A470&amp;$B470,'5) Release_Track'!$F:$F&amp;'5) Release_Track'!$G:$G,1,0))),vlookup($A470&amp;$B470,{'5) Release_Track'!$F:$F&amp;'5) Release_Track'!$G:$G,'5) Release_Track'!$H:$H},2,0), or(and(not(isblank($B470)),$B470=$B469,$A470&lt;&gt;$A469),and(not(isblank($A470)),$A470=$A469,$B470&lt;&gt;$B469)),"ID LISTS UNALIGNED",and($A470&lt;&gt;"",countif('5) Release_Track'!$F:$F,$A470)=0),"NO ISRC MATCH in Release_Track",and($B470&lt;&gt;"",countif('5) Release_Track'!$G:$G,$B470)=0),"NO CATALOG ID MATCH in Release_Track",iserror(vlookup($A470&amp;$B470,'5) Release_Track'!$F:$F&amp;'5) Release_Track'!$G:$G,1,0)),"NO ISRC-CATALOG ID pair MATCH in Release_Track" )</f>
        <v/>
      </c>
      <c r="D470" s="121" t="str">
        <f t="array" ref="D470">ifs(and(isblank($A470),isblank($B470)),"", not(iserror(vlookup($A470&amp;$B470,'5) Release_Track'!$F:$F&amp;'5) Release_Track'!$G:$G,1,0))),vlookup($A470&amp;$B470,{'5) Release_Track'!$F:$F&amp;'5) Release_Track'!$G:$G,'5) Release_Track'!$I:$I},2,0), or(and(not(isblank($B470)),$B470=$B469,$A470&lt;&gt;$A469),and(not(isblank($A470)),$A470=$A469,$B470&lt;&gt;$B469)),"ID LISTS UNALIGNED",and($A470&lt;&gt;"",countif('5) Release_Track'!$F:$F,$A470)=0),"NO ISRC MATCH in Release_Track",and($B470&lt;&gt;"",countif('5) Release_Track'!$G:$G,$B470)=0),"NO CATALOG ID MATCH in Release_Track",iserror(vlookup($A470&amp;$B470,'5) Release_Track'!$F:$F&amp;'5) Release_Track'!$G:$G,1,0)),"NO ISRC-CATALOG ID pair MATCH in Release_Track" )</f>
        <v/>
      </c>
      <c r="E470" s="142" t="b">
        <v>0</v>
      </c>
      <c r="F470" s="142" t="b">
        <v>0</v>
      </c>
      <c r="G470" s="142" t="b">
        <v>0</v>
      </c>
      <c r="H470" s="142" t="b">
        <v>0</v>
      </c>
      <c r="I470" s="142" t="b">
        <v>0</v>
      </c>
      <c r="J470" s="142" t="b">
        <v>0</v>
      </c>
      <c r="K470" s="142" t="b">
        <v>0</v>
      </c>
      <c r="L470" s="8" t="b">
        <v>0</v>
      </c>
    </row>
    <row r="471">
      <c r="B471" s="103"/>
      <c r="C471" s="121" t="str">
        <f t="array" ref="C471">ifs(and(isblank($A471),isblank($B471)),"", not(iserror(vlookup($A471&amp;$B471,'5) Release_Track'!$F:$F&amp;'5) Release_Track'!$G:$G,1,0))),vlookup($A471&amp;$B471,{'5) Release_Track'!$F:$F&amp;'5) Release_Track'!$G:$G,'5) Release_Track'!$H:$H},2,0), or(and(not(isblank($B471)),$B471=$B470,$A471&lt;&gt;$A470),and(not(isblank($A471)),$A471=$A470,$B471&lt;&gt;$B470)),"ID LISTS UNALIGNED",and($A471&lt;&gt;"",countif('5) Release_Track'!$F:$F,$A471)=0),"NO ISRC MATCH in Release_Track",and($B471&lt;&gt;"",countif('5) Release_Track'!$G:$G,$B471)=0),"NO CATALOG ID MATCH in Release_Track",iserror(vlookup($A471&amp;$B471,'5) Release_Track'!$F:$F&amp;'5) Release_Track'!$G:$G,1,0)),"NO ISRC-CATALOG ID pair MATCH in Release_Track" )</f>
        <v/>
      </c>
      <c r="D471" s="121" t="str">
        <f t="array" ref="D471">ifs(and(isblank($A471),isblank($B471)),"", not(iserror(vlookup($A471&amp;$B471,'5) Release_Track'!$F:$F&amp;'5) Release_Track'!$G:$G,1,0))),vlookup($A471&amp;$B471,{'5) Release_Track'!$F:$F&amp;'5) Release_Track'!$G:$G,'5) Release_Track'!$I:$I},2,0), or(and(not(isblank($B471)),$B471=$B470,$A471&lt;&gt;$A470),and(not(isblank($A471)),$A471=$A470,$B471&lt;&gt;$B470)),"ID LISTS UNALIGNED",and($A471&lt;&gt;"",countif('5) Release_Track'!$F:$F,$A471)=0),"NO ISRC MATCH in Release_Track",and($B471&lt;&gt;"",countif('5) Release_Track'!$G:$G,$B471)=0),"NO CATALOG ID MATCH in Release_Track",iserror(vlookup($A471&amp;$B471,'5) Release_Track'!$F:$F&amp;'5) Release_Track'!$G:$G,1,0)),"NO ISRC-CATALOG ID pair MATCH in Release_Track" )</f>
        <v/>
      </c>
      <c r="E471" s="142" t="b">
        <v>0</v>
      </c>
      <c r="F471" s="142" t="b">
        <v>0</v>
      </c>
      <c r="G471" s="142" t="b">
        <v>0</v>
      </c>
      <c r="H471" s="142" t="b">
        <v>0</v>
      </c>
      <c r="I471" s="142" t="b">
        <v>0</v>
      </c>
      <c r="J471" s="142" t="b">
        <v>0</v>
      </c>
      <c r="K471" s="142" t="b">
        <v>0</v>
      </c>
      <c r="L471" s="8" t="b">
        <v>0</v>
      </c>
    </row>
    <row r="472">
      <c r="B472" s="103"/>
      <c r="C472" s="121" t="str">
        <f t="array" ref="C472">ifs(and(isblank($A472),isblank($B472)),"", not(iserror(vlookup($A472&amp;$B472,'5) Release_Track'!$F:$F&amp;'5) Release_Track'!$G:$G,1,0))),vlookup($A472&amp;$B472,{'5) Release_Track'!$F:$F&amp;'5) Release_Track'!$G:$G,'5) Release_Track'!$H:$H},2,0), or(and(not(isblank($B472)),$B472=$B471,$A472&lt;&gt;$A471),and(not(isblank($A472)),$A472=$A471,$B472&lt;&gt;$B471)),"ID LISTS UNALIGNED",and($A472&lt;&gt;"",countif('5) Release_Track'!$F:$F,$A472)=0),"NO ISRC MATCH in Release_Track",and($B472&lt;&gt;"",countif('5) Release_Track'!$G:$G,$B472)=0),"NO CATALOG ID MATCH in Release_Track",iserror(vlookup($A472&amp;$B472,'5) Release_Track'!$F:$F&amp;'5) Release_Track'!$G:$G,1,0)),"NO ISRC-CATALOG ID pair MATCH in Release_Track" )</f>
        <v/>
      </c>
      <c r="D472" s="121" t="str">
        <f t="array" ref="D472">ifs(and(isblank($A472),isblank($B472)),"", not(iserror(vlookup($A472&amp;$B472,'5) Release_Track'!$F:$F&amp;'5) Release_Track'!$G:$G,1,0))),vlookup($A472&amp;$B472,{'5) Release_Track'!$F:$F&amp;'5) Release_Track'!$G:$G,'5) Release_Track'!$I:$I},2,0), or(and(not(isblank($B472)),$B472=$B471,$A472&lt;&gt;$A471),and(not(isblank($A472)),$A472=$A471,$B472&lt;&gt;$B471)),"ID LISTS UNALIGNED",and($A472&lt;&gt;"",countif('5) Release_Track'!$F:$F,$A472)=0),"NO ISRC MATCH in Release_Track",and($B472&lt;&gt;"",countif('5) Release_Track'!$G:$G,$B472)=0),"NO CATALOG ID MATCH in Release_Track",iserror(vlookup($A472&amp;$B472,'5) Release_Track'!$F:$F&amp;'5) Release_Track'!$G:$G,1,0)),"NO ISRC-CATALOG ID pair MATCH in Release_Track" )</f>
        <v/>
      </c>
      <c r="E472" s="142" t="b">
        <v>0</v>
      </c>
      <c r="F472" s="142" t="b">
        <v>0</v>
      </c>
      <c r="G472" s="142" t="b">
        <v>0</v>
      </c>
      <c r="H472" s="142" t="b">
        <v>0</v>
      </c>
      <c r="I472" s="142" t="b">
        <v>0</v>
      </c>
      <c r="J472" s="142" t="b">
        <v>0</v>
      </c>
      <c r="K472" s="142" t="b">
        <v>0</v>
      </c>
      <c r="L472" s="8" t="b">
        <v>0</v>
      </c>
    </row>
    <row r="473">
      <c r="B473" s="103"/>
      <c r="C473" s="121" t="str">
        <f t="array" ref="C473">ifs(and(isblank($A473),isblank($B473)),"", not(iserror(vlookup($A473&amp;$B473,'5) Release_Track'!$F:$F&amp;'5) Release_Track'!$G:$G,1,0))),vlookup($A473&amp;$B473,{'5) Release_Track'!$F:$F&amp;'5) Release_Track'!$G:$G,'5) Release_Track'!$H:$H},2,0), or(and(not(isblank($B473)),$B473=$B472,$A473&lt;&gt;$A472),and(not(isblank($A473)),$A473=$A472,$B473&lt;&gt;$B472)),"ID LISTS UNALIGNED",and($A473&lt;&gt;"",countif('5) Release_Track'!$F:$F,$A473)=0),"NO ISRC MATCH in Release_Track",and($B473&lt;&gt;"",countif('5) Release_Track'!$G:$G,$B473)=0),"NO CATALOG ID MATCH in Release_Track",iserror(vlookup($A473&amp;$B473,'5) Release_Track'!$F:$F&amp;'5) Release_Track'!$G:$G,1,0)),"NO ISRC-CATALOG ID pair MATCH in Release_Track" )</f>
        <v/>
      </c>
      <c r="D473" s="121" t="str">
        <f t="array" ref="D473">ifs(and(isblank($A473),isblank($B473)),"", not(iserror(vlookup($A473&amp;$B473,'5) Release_Track'!$F:$F&amp;'5) Release_Track'!$G:$G,1,0))),vlookup($A473&amp;$B473,{'5) Release_Track'!$F:$F&amp;'5) Release_Track'!$G:$G,'5) Release_Track'!$I:$I},2,0), or(and(not(isblank($B473)),$B473=$B472,$A473&lt;&gt;$A472),and(not(isblank($A473)),$A473=$A472,$B473&lt;&gt;$B472)),"ID LISTS UNALIGNED",and($A473&lt;&gt;"",countif('5) Release_Track'!$F:$F,$A473)=0),"NO ISRC MATCH in Release_Track",and($B473&lt;&gt;"",countif('5) Release_Track'!$G:$G,$B473)=0),"NO CATALOG ID MATCH in Release_Track",iserror(vlookup($A473&amp;$B473,'5) Release_Track'!$F:$F&amp;'5) Release_Track'!$G:$G,1,0)),"NO ISRC-CATALOG ID pair MATCH in Release_Track" )</f>
        <v/>
      </c>
      <c r="E473" s="142" t="b">
        <v>0</v>
      </c>
      <c r="F473" s="142" t="b">
        <v>0</v>
      </c>
      <c r="G473" s="142" t="b">
        <v>0</v>
      </c>
      <c r="H473" s="142" t="b">
        <v>0</v>
      </c>
      <c r="I473" s="142" t="b">
        <v>0</v>
      </c>
      <c r="J473" s="142" t="b">
        <v>0</v>
      </c>
      <c r="K473" s="142" t="b">
        <v>0</v>
      </c>
      <c r="L473" s="8" t="b">
        <v>0</v>
      </c>
    </row>
    <row r="474">
      <c r="B474" s="103"/>
      <c r="C474" s="121" t="str">
        <f t="array" ref="C474">ifs(and(isblank($A474),isblank($B474)),"", not(iserror(vlookup($A474&amp;$B474,'5) Release_Track'!$F:$F&amp;'5) Release_Track'!$G:$G,1,0))),vlookup($A474&amp;$B474,{'5) Release_Track'!$F:$F&amp;'5) Release_Track'!$G:$G,'5) Release_Track'!$H:$H},2,0), or(and(not(isblank($B474)),$B474=$B473,$A474&lt;&gt;$A473),and(not(isblank($A474)),$A474=$A473,$B474&lt;&gt;$B473)),"ID LISTS UNALIGNED",and($A474&lt;&gt;"",countif('5) Release_Track'!$F:$F,$A474)=0),"NO ISRC MATCH in Release_Track",and($B474&lt;&gt;"",countif('5) Release_Track'!$G:$G,$B474)=0),"NO CATALOG ID MATCH in Release_Track",iserror(vlookup($A474&amp;$B474,'5) Release_Track'!$F:$F&amp;'5) Release_Track'!$G:$G,1,0)),"NO ISRC-CATALOG ID pair MATCH in Release_Track" )</f>
        <v/>
      </c>
      <c r="D474" s="121" t="str">
        <f t="array" ref="D474">ifs(and(isblank($A474),isblank($B474)),"", not(iserror(vlookup($A474&amp;$B474,'5) Release_Track'!$F:$F&amp;'5) Release_Track'!$G:$G,1,0))),vlookup($A474&amp;$B474,{'5) Release_Track'!$F:$F&amp;'5) Release_Track'!$G:$G,'5) Release_Track'!$I:$I},2,0), or(and(not(isblank($B474)),$B474=$B473,$A474&lt;&gt;$A473),and(not(isblank($A474)),$A474=$A473,$B474&lt;&gt;$B473)),"ID LISTS UNALIGNED",and($A474&lt;&gt;"",countif('5) Release_Track'!$F:$F,$A474)=0),"NO ISRC MATCH in Release_Track",and($B474&lt;&gt;"",countif('5) Release_Track'!$G:$G,$B474)=0),"NO CATALOG ID MATCH in Release_Track",iserror(vlookup($A474&amp;$B474,'5) Release_Track'!$F:$F&amp;'5) Release_Track'!$G:$G,1,0)),"NO ISRC-CATALOG ID pair MATCH in Release_Track" )</f>
        <v/>
      </c>
      <c r="E474" s="142" t="b">
        <v>0</v>
      </c>
      <c r="F474" s="142" t="b">
        <v>0</v>
      </c>
      <c r="G474" s="142" t="b">
        <v>0</v>
      </c>
      <c r="H474" s="142" t="b">
        <v>0</v>
      </c>
      <c r="I474" s="142" t="b">
        <v>0</v>
      </c>
      <c r="J474" s="142" t="b">
        <v>0</v>
      </c>
      <c r="K474" s="142" t="b">
        <v>0</v>
      </c>
      <c r="L474" s="8" t="b">
        <v>0</v>
      </c>
    </row>
    <row r="475">
      <c r="B475" s="103"/>
      <c r="C475" s="121" t="str">
        <f t="array" ref="C475">ifs(and(isblank($A475),isblank($B475)),"", not(iserror(vlookup($A475&amp;$B475,'5) Release_Track'!$F:$F&amp;'5) Release_Track'!$G:$G,1,0))),vlookup($A475&amp;$B475,{'5) Release_Track'!$F:$F&amp;'5) Release_Track'!$G:$G,'5) Release_Track'!$H:$H},2,0), or(and(not(isblank($B475)),$B475=$B474,$A475&lt;&gt;$A474),and(not(isblank($A475)),$A475=$A474,$B475&lt;&gt;$B474)),"ID LISTS UNALIGNED",and($A475&lt;&gt;"",countif('5) Release_Track'!$F:$F,$A475)=0),"NO ISRC MATCH in Release_Track",and($B475&lt;&gt;"",countif('5) Release_Track'!$G:$G,$B475)=0),"NO CATALOG ID MATCH in Release_Track",iserror(vlookup($A475&amp;$B475,'5) Release_Track'!$F:$F&amp;'5) Release_Track'!$G:$G,1,0)),"NO ISRC-CATALOG ID pair MATCH in Release_Track" )</f>
        <v/>
      </c>
      <c r="D475" s="121" t="str">
        <f t="array" ref="D475">ifs(and(isblank($A475),isblank($B475)),"", not(iserror(vlookup($A475&amp;$B475,'5) Release_Track'!$F:$F&amp;'5) Release_Track'!$G:$G,1,0))),vlookup($A475&amp;$B475,{'5) Release_Track'!$F:$F&amp;'5) Release_Track'!$G:$G,'5) Release_Track'!$I:$I},2,0), or(and(not(isblank($B475)),$B475=$B474,$A475&lt;&gt;$A474),and(not(isblank($A475)),$A475=$A474,$B475&lt;&gt;$B474)),"ID LISTS UNALIGNED",and($A475&lt;&gt;"",countif('5) Release_Track'!$F:$F,$A475)=0),"NO ISRC MATCH in Release_Track",and($B475&lt;&gt;"",countif('5) Release_Track'!$G:$G,$B475)=0),"NO CATALOG ID MATCH in Release_Track",iserror(vlookup($A475&amp;$B475,'5) Release_Track'!$F:$F&amp;'5) Release_Track'!$G:$G,1,0)),"NO ISRC-CATALOG ID pair MATCH in Release_Track" )</f>
        <v/>
      </c>
      <c r="E475" s="142" t="b">
        <v>0</v>
      </c>
      <c r="F475" s="142" t="b">
        <v>0</v>
      </c>
      <c r="G475" s="142" t="b">
        <v>0</v>
      </c>
      <c r="H475" s="142" t="b">
        <v>0</v>
      </c>
      <c r="I475" s="142" t="b">
        <v>0</v>
      </c>
      <c r="J475" s="142" t="b">
        <v>0</v>
      </c>
      <c r="K475" s="142" t="b">
        <v>0</v>
      </c>
      <c r="L475" s="8" t="b">
        <v>0</v>
      </c>
    </row>
    <row r="476">
      <c r="B476" s="103"/>
      <c r="C476" s="121" t="str">
        <f t="array" ref="C476">ifs(and(isblank($A476),isblank($B476)),"", not(iserror(vlookup($A476&amp;$B476,'5) Release_Track'!$F:$F&amp;'5) Release_Track'!$G:$G,1,0))),vlookup($A476&amp;$B476,{'5) Release_Track'!$F:$F&amp;'5) Release_Track'!$G:$G,'5) Release_Track'!$H:$H},2,0), or(and(not(isblank($B476)),$B476=$B475,$A476&lt;&gt;$A475),and(not(isblank($A476)),$A476=$A475,$B476&lt;&gt;$B475)),"ID LISTS UNALIGNED",and($A476&lt;&gt;"",countif('5) Release_Track'!$F:$F,$A476)=0),"NO ISRC MATCH in Release_Track",and($B476&lt;&gt;"",countif('5) Release_Track'!$G:$G,$B476)=0),"NO CATALOG ID MATCH in Release_Track",iserror(vlookup($A476&amp;$B476,'5) Release_Track'!$F:$F&amp;'5) Release_Track'!$G:$G,1,0)),"NO ISRC-CATALOG ID pair MATCH in Release_Track" )</f>
        <v/>
      </c>
      <c r="D476" s="121" t="str">
        <f t="array" ref="D476">ifs(and(isblank($A476),isblank($B476)),"", not(iserror(vlookup($A476&amp;$B476,'5) Release_Track'!$F:$F&amp;'5) Release_Track'!$G:$G,1,0))),vlookup($A476&amp;$B476,{'5) Release_Track'!$F:$F&amp;'5) Release_Track'!$G:$G,'5) Release_Track'!$I:$I},2,0), or(and(not(isblank($B476)),$B476=$B475,$A476&lt;&gt;$A475),and(not(isblank($A476)),$A476=$A475,$B476&lt;&gt;$B475)),"ID LISTS UNALIGNED",and($A476&lt;&gt;"",countif('5) Release_Track'!$F:$F,$A476)=0),"NO ISRC MATCH in Release_Track",and($B476&lt;&gt;"",countif('5) Release_Track'!$G:$G,$B476)=0),"NO CATALOG ID MATCH in Release_Track",iserror(vlookup($A476&amp;$B476,'5) Release_Track'!$F:$F&amp;'5) Release_Track'!$G:$G,1,0)),"NO ISRC-CATALOG ID pair MATCH in Release_Track" )</f>
        <v/>
      </c>
      <c r="E476" s="142" t="b">
        <v>0</v>
      </c>
      <c r="F476" s="142" t="b">
        <v>0</v>
      </c>
      <c r="G476" s="142" t="b">
        <v>0</v>
      </c>
      <c r="H476" s="142" t="b">
        <v>0</v>
      </c>
      <c r="I476" s="142" t="b">
        <v>0</v>
      </c>
      <c r="J476" s="142" t="b">
        <v>0</v>
      </c>
      <c r="K476" s="142" t="b">
        <v>0</v>
      </c>
      <c r="L476" s="8" t="b">
        <v>0</v>
      </c>
    </row>
    <row r="477">
      <c r="B477" s="103"/>
      <c r="C477" s="121" t="str">
        <f t="array" ref="C477">ifs(and(isblank($A477),isblank($B477)),"", not(iserror(vlookup($A477&amp;$B477,'5) Release_Track'!$F:$F&amp;'5) Release_Track'!$G:$G,1,0))),vlookup($A477&amp;$B477,{'5) Release_Track'!$F:$F&amp;'5) Release_Track'!$G:$G,'5) Release_Track'!$H:$H},2,0), or(and(not(isblank($B477)),$B477=$B476,$A477&lt;&gt;$A476),and(not(isblank($A477)),$A477=$A476,$B477&lt;&gt;$B476)),"ID LISTS UNALIGNED",and($A477&lt;&gt;"",countif('5) Release_Track'!$F:$F,$A477)=0),"NO ISRC MATCH in Release_Track",and($B477&lt;&gt;"",countif('5) Release_Track'!$G:$G,$B477)=0),"NO CATALOG ID MATCH in Release_Track",iserror(vlookup($A477&amp;$B477,'5) Release_Track'!$F:$F&amp;'5) Release_Track'!$G:$G,1,0)),"NO ISRC-CATALOG ID pair MATCH in Release_Track" )</f>
        <v/>
      </c>
      <c r="D477" s="121" t="str">
        <f t="array" ref="D477">ifs(and(isblank($A477),isblank($B477)),"", not(iserror(vlookup($A477&amp;$B477,'5) Release_Track'!$F:$F&amp;'5) Release_Track'!$G:$G,1,0))),vlookup($A477&amp;$B477,{'5) Release_Track'!$F:$F&amp;'5) Release_Track'!$G:$G,'5) Release_Track'!$I:$I},2,0), or(and(not(isblank($B477)),$B477=$B476,$A477&lt;&gt;$A476),and(not(isblank($A477)),$A477=$A476,$B477&lt;&gt;$B476)),"ID LISTS UNALIGNED",and($A477&lt;&gt;"",countif('5) Release_Track'!$F:$F,$A477)=0),"NO ISRC MATCH in Release_Track",and($B477&lt;&gt;"",countif('5) Release_Track'!$G:$G,$B477)=0),"NO CATALOG ID MATCH in Release_Track",iserror(vlookup($A477&amp;$B477,'5) Release_Track'!$F:$F&amp;'5) Release_Track'!$G:$G,1,0)),"NO ISRC-CATALOG ID pair MATCH in Release_Track" )</f>
        <v/>
      </c>
      <c r="E477" s="142" t="b">
        <v>0</v>
      </c>
      <c r="F477" s="142" t="b">
        <v>0</v>
      </c>
      <c r="G477" s="142" t="b">
        <v>0</v>
      </c>
      <c r="H477" s="142" t="b">
        <v>0</v>
      </c>
      <c r="I477" s="142" t="b">
        <v>0</v>
      </c>
      <c r="J477" s="142" t="b">
        <v>0</v>
      </c>
      <c r="K477" s="142" t="b">
        <v>0</v>
      </c>
      <c r="L477" s="8" t="b">
        <v>0</v>
      </c>
    </row>
    <row r="478">
      <c r="B478" s="103"/>
      <c r="C478" s="121" t="str">
        <f t="array" ref="C478">ifs(and(isblank($A478),isblank($B478)),"", not(iserror(vlookup($A478&amp;$B478,'5) Release_Track'!$F:$F&amp;'5) Release_Track'!$G:$G,1,0))),vlookup($A478&amp;$B478,{'5) Release_Track'!$F:$F&amp;'5) Release_Track'!$G:$G,'5) Release_Track'!$H:$H},2,0), or(and(not(isblank($B478)),$B478=$B477,$A478&lt;&gt;$A477),and(not(isblank($A478)),$A478=$A477,$B478&lt;&gt;$B477)),"ID LISTS UNALIGNED",and($A478&lt;&gt;"",countif('5) Release_Track'!$F:$F,$A478)=0),"NO ISRC MATCH in Release_Track",and($B478&lt;&gt;"",countif('5) Release_Track'!$G:$G,$B478)=0),"NO CATALOG ID MATCH in Release_Track",iserror(vlookup($A478&amp;$B478,'5) Release_Track'!$F:$F&amp;'5) Release_Track'!$G:$G,1,0)),"NO ISRC-CATALOG ID pair MATCH in Release_Track" )</f>
        <v/>
      </c>
      <c r="D478" s="121" t="str">
        <f t="array" ref="D478">ifs(and(isblank($A478),isblank($B478)),"", not(iserror(vlookup($A478&amp;$B478,'5) Release_Track'!$F:$F&amp;'5) Release_Track'!$G:$G,1,0))),vlookup($A478&amp;$B478,{'5) Release_Track'!$F:$F&amp;'5) Release_Track'!$G:$G,'5) Release_Track'!$I:$I},2,0), or(and(not(isblank($B478)),$B478=$B477,$A478&lt;&gt;$A477),and(not(isblank($A478)),$A478=$A477,$B478&lt;&gt;$B477)),"ID LISTS UNALIGNED",and($A478&lt;&gt;"",countif('5) Release_Track'!$F:$F,$A478)=0),"NO ISRC MATCH in Release_Track",and($B478&lt;&gt;"",countif('5) Release_Track'!$G:$G,$B478)=0),"NO CATALOG ID MATCH in Release_Track",iserror(vlookup($A478&amp;$B478,'5) Release_Track'!$F:$F&amp;'5) Release_Track'!$G:$G,1,0)),"NO ISRC-CATALOG ID pair MATCH in Release_Track" )</f>
        <v/>
      </c>
      <c r="E478" s="142" t="b">
        <v>0</v>
      </c>
      <c r="F478" s="142" t="b">
        <v>0</v>
      </c>
      <c r="G478" s="142" t="b">
        <v>0</v>
      </c>
      <c r="H478" s="142" t="b">
        <v>0</v>
      </c>
      <c r="I478" s="142" t="b">
        <v>0</v>
      </c>
      <c r="J478" s="142" t="b">
        <v>0</v>
      </c>
      <c r="K478" s="142" t="b">
        <v>0</v>
      </c>
      <c r="L478" s="8" t="b">
        <v>0</v>
      </c>
    </row>
    <row r="479">
      <c r="B479" s="103"/>
      <c r="C479" s="121" t="str">
        <f t="array" ref="C479">ifs(and(isblank($A479),isblank($B479)),"", not(iserror(vlookup($A479&amp;$B479,'5) Release_Track'!$F:$F&amp;'5) Release_Track'!$G:$G,1,0))),vlookup($A479&amp;$B479,{'5) Release_Track'!$F:$F&amp;'5) Release_Track'!$G:$G,'5) Release_Track'!$H:$H},2,0), or(and(not(isblank($B479)),$B479=$B478,$A479&lt;&gt;$A478),and(not(isblank($A479)),$A479=$A478,$B479&lt;&gt;$B478)),"ID LISTS UNALIGNED",and($A479&lt;&gt;"",countif('5) Release_Track'!$F:$F,$A479)=0),"NO ISRC MATCH in Release_Track",and($B479&lt;&gt;"",countif('5) Release_Track'!$G:$G,$B479)=0),"NO CATALOG ID MATCH in Release_Track",iserror(vlookup($A479&amp;$B479,'5) Release_Track'!$F:$F&amp;'5) Release_Track'!$G:$G,1,0)),"NO ISRC-CATALOG ID pair MATCH in Release_Track" )</f>
        <v/>
      </c>
      <c r="D479" s="121" t="str">
        <f t="array" ref="D479">ifs(and(isblank($A479),isblank($B479)),"", not(iserror(vlookup($A479&amp;$B479,'5) Release_Track'!$F:$F&amp;'5) Release_Track'!$G:$G,1,0))),vlookup($A479&amp;$B479,{'5) Release_Track'!$F:$F&amp;'5) Release_Track'!$G:$G,'5) Release_Track'!$I:$I},2,0), or(and(not(isblank($B479)),$B479=$B478,$A479&lt;&gt;$A478),and(not(isblank($A479)),$A479=$A478,$B479&lt;&gt;$B478)),"ID LISTS UNALIGNED",and($A479&lt;&gt;"",countif('5) Release_Track'!$F:$F,$A479)=0),"NO ISRC MATCH in Release_Track",and($B479&lt;&gt;"",countif('5) Release_Track'!$G:$G,$B479)=0),"NO CATALOG ID MATCH in Release_Track",iserror(vlookup($A479&amp;$B479,'5) Release_Track'!$F:$F&amp;'5) Release_Track'!$G:$G,1,0)),"NO ISRC-CATALOG ID pair MATCH in Release_Track" )</f>
        <v/>
      </c>
      <c r="E479" s="142" t="b">
        <v>0</v>
      </c>
      <c r="F479" s="142" t="b">
        <v>0</v>
      </c>
      <c r="G479" s="142" t="b">
        <v>0</v>
      </c>
      <c r="H479" s="142" t="b">
        <v>0</v>
      </c>
      <c r="I479" s="142" t="b">
        <v>0</v>
      </c>
      <c r="J479" s="142" t="b">
        <v>0</v>
      </c>
      <c r="K479" s="142" t="b">
        <v>0</v>
      </c>
      <c r="L479" s="8" t="b">
        <v>0</v>
      </c>
    </row>
    <row r="480">
      <c r="B480" s="103"/>
      <c r="C480" s="121" t="str">
        <f t="array" ref="C480">ifs(and(isblank($A480),isblank($B480)),"", not(iserror(vlookup($A480&amp;$B480,'5) Release_Track'!$F:$F&amp;'5) Release_Track'!$G:$G,1,0))),vlookup($A480&amp;$B480,{'5) Release_Track'!$F:$F&amp;'5) Release_Track'!$G:$G,'5) Release_Track'!$H:$H},2,0), or(and(not(isblank($B480)),$B480=$B479,$A480&lt;&gt;$A479),and(not(isblank($A480)),$A480=$A479,$B480&lt;&gt;$B479)),"ID LISTS UNALIGNED",and($A480&lt;&gt;"",countif('5) Release_Track'!$F:$F,$A480)=0),"NO ISRC MATCH in Release_Track",and($B480&lt;&gt;"",countif('5) Release_Track'!$G:$G,$B480)=0),"NO CATALOG ID MATCH in Release_Track",iserror(vlookup($A480&amp;$B480,'5) Release_Track'!$F:$F&amp;'5) Release_Track'!$G:$G,1,0)),"NO ISRC-CATALOG ID pair MATCH in Release_Track" )</f>
        <v/>
      </c>
      <c r="D480" s="121" t="str">
        <f t="array" ref="D480">ifs(and(isblank($A480),isblank($B480)),"", not(iserror(vlookup($A480&amp;$B480,'5) Release_Track'!$F:$F&amp;'5) Release_Track'!$G:$G,1,0))),vlookup($A480&amp;$B480,{'5) Release_Track'!$F:$F&amp;'5) Release_Track'!$G:$G,'5) Release_Track'!$I:$I},2,0), or(and(not(isblank($B480)),$B480=$B479,$A480&lt;&gt;$A479),and(not(isblank($A480)),$A480=$A479,$B480&lt;&gt;$B479)),"ID LISTS UNALIGNED",and($A480&lt;&gt;"",countif('5) Release_Track'!$F:$F,$A480)=0),"NO ISRC MATCH in Release_Track",and($B480&lt;&gt;"",countif('5) Release_Track'!$G:$G,$B480)=0),"NO CATALOG ID MATCH in Release_Track",iserror(vlookup($A480&amp;$B480,'5) Release_Track'!$F:$F&amp;'5) Release_Track'!$G:$G,1,0)),"NO ISRC-CATALOG ID pair MATCH in Release_Track" )</f>
        <v/>
      </c>
      <c r="E480" s="142" t="b">
        <v>0</v>
      </c>
      <c r="F480" s="142" t="b">
        <v>0</v>
      </c>
      <c r="G480" s="142" t="b">
        <v>0</v>
      </c>
      <c r="H480" s="142" t="b">
        <v>0</v>
      </c>
      <c r="I480" s="142" t="b">
        <v>0</v>
      </c>
      <c r="J480" s="142" t="b">
        <v>0</v>
      </c>
      <c r="K480" s="142" t="b">
        <v>0</v>
      </c>
      <c r="L480" s="8" t="b">
        <v>0</v>
      </c>
    </row>
    <row r="481">
      <c r="B481" s="103"/>
      <c r="C481" s="121" t="str">
        <f t="array" ref="C481">ifs(and(isblank($A481),isblank($B481)),"", not(iserror(vlookup($A481&amp;$B481,'5) Release_Track'!$F:$F&amp;'5) Release_Track'!$G:$G,1,0))),vlookup($A481&amp;$B481,{'5) Release_Track'!$F:$F&amp;'5) Release_Track'!$G:$G,'5) Release_Track'!$H:$H},2,0), or(and(not(isblank($B481)),$B481=$B480,$A481&lt;&gt;$A480),and(not(isblank($A481)),$A481=$A480,$B481&lt;&gt;$B480)),"ID LISTS UNALIGNED",and($A481&lt;&gt;"",countif('5) Release_Track'!$F:$F,$A481)=0),"NO ISRC MATCH in Release_Track",and($B481&lt;&gt;"",countif('5) Release_Track'!$G:$G,$B481)=0),"NO CATALOG ID MATCH in Release_Track",iserror(vlookup($A481&amp;$B481,'5) Release_Track'!$F:$F&amp;'5) Release_Track'!$G:$G,1,0)),"NO ISRC-CATALOG ID pair MATCH in Release_Track" )</f>
        <v/>
      </c>
      <c r="D481" s="121" t="str">
        <f t="array" ref="D481">ifs(and(isblank($A481),isblank($B481)),"", not(iserror(vlookup($A481&amp;$B481,'5) Release_Track'!$F:$F&amp;'5) Release_Track'!$G:$G,1,0))),vlookup($A481&amp;$B481,{'5) Release_Track'!$F:$F&amp;'5) Release_Track'!$G:$G,'5) Release_Track'!$I:$I},2,0), or(and(not(isblank($B481)),$B481=$B480,$A481&lt;&gt;$A480),and(not(isblank($A481)),$A481=$A480,$B481&lt;&gt;$B480)),"ID LISTS UNALIGNED",and($A481&lt;&gt;"",countif('5) Release_Track'!$F:$F,$A481)=0),"NO ISRC MATCH in Release_Track",and($B481&lt;&gt;"",countif('5) Release_Track'!$G:$G,$B481)=0),"NO CATALOG ID MATCH in Release_Track",iserror(vlookup($A481&amp;$B481,'5) Release_Track'!$F:$F&amp;'5) Release_Track'!$G:$G,1,0)),"NO ISRC-CATALOG ID pair MATCH in Release_Track" )</f>
        <v/>
      </c>
      <c r="E481" s="142" t="b">
        <v>0</v>
      </c>
      <c r="F481" s="142" t="b">
        <v>0</v>
      </c>
      <c r="G481" s="142" t="b">
        <v>0</v>
      </c>
      <c r="H481" s="142" t="b">
        <v>0</v>
      </c>
      <c r="I481" s="142" t="b">
        <v>0</v>
      </c>
      <c r="J481" s="142" t="b">
        <v>0</v>
      </c>
      <c r="K481" s="142" t="b">
        <v>0</v>
      </c>
      <c r="L481" s="8" t="b">
        <v>0</v>
      </c>
    </row>
    <row r="482">
      <c r="B482" s="103"/>
      <c r="C482" s="121" t="str">
        <f t="array" ref="C482">ifs(and(isblank($A482),isblank($B482)),"", not(iserror(vlookup($A482&amp;$B482,'5) Release_Track'!$F:$F&amp;'5) Release_Track'!$G:$G,1,0))),vlookup($A482&amp;$B482,{'5) Release_Track'!$F:$F&amp;'5) Release_Track'!$G:$G,'5) Release_Track'!$H:$H},2,0), or(and(not(isblank($B482)),$B482=$B481,$A482&lt;&gt;$A481),and(not(isblank($A482)),$A482=$A481,$B482&lt;&gt;$B481)),"ID LISTS UNALIGNED",and($A482&lt;&gt;"",countif('5) Release_Track'!$F:$F,$A482)=0),"NO ISRC MATCH in Release_Track",and($B482&lt;&gt;"",countif('5) Release_Track'!$G:$G,$B482)=0),"NO CATALOG ID MATCH in Release_Track",iserror(vlookup($A482&amp;$B482,'5) Release_Track'!$F:$F&amp;'5) Release_Track'!$G:$G,1,0)),"NO ISRC-CATALOG ID pair MATCH in Release_Track" )</f>
        <v/>
      </c>
      <c r="D482" s="121" t="str">
        <f t="array" ref="D482">ifs(and(isblank($A482),isblank($B482)),"", not(iserror(vlookup($A482&amp;$B482,'5) Release_Track'!$F:$F&amp;'5) Release_Track'!$G:$G,1,0))),vlookup($A482&amp;$B482,{'5) Release_Track'!$F:$F&amp;'5) Release_Track'!$G:$G,'5) Release_Track'!$I:$I},2,0), or(and(not(isblank($B482)),$B482=$B481,$A482&lt;&gt;$A481),and(not(isblank($A482)),$A482=$A481,$B482&lt;&gt;$B481)),"ID LISTS UNALIGNED",and($A482&lt;&gt;"",countif('5) Release_Track'!$F:$F,$A482)=0),"NO ISRC MATCH in Release_Track",and($B482&lt;&gt;"",countif('5) Release_Track'!$G:$G,$B482)=0),"NO CATALOG ID MATCH in Release_Track",iserror(vlookup($A482&amp;$B482,'5) Release_Track'!$F:$F&amp;'5) Release_Track'!$G:$G,1,0)),"NO ISRC-CATALOG ID pair MATCH in Release_Track" )</f>
        <v/>
      </c>
      <c r="E482" s="142" t="b">
        <v>0</v>
      </c>
      <c r="F482" s="142" t="b">
        <v>0</v>
      </c>
      <c r="G482" s="142" t="b">
        <v>0</v>
      </c>
      <c r="H482" s="142" t="b">
        <v>0</v>
      </c>
      <c r="I482" s="142" t="b">
        <v>0</v>
      </c>
      <c r="J482" s="142" t="b">
        <v>0</v>
      </c>
      <c r="K482" s="142" t="b">
        <v>0</v>
      </c>
      <c r="L482" s="8" t="b">
        <v>0</v>
      </c>
    </row>
    <row r="483">
      <c r="B483" s="103"/>
      <c r="C483" s="121" t="str">
        <f t="array" ref="C483">ifs(and(isblank($A483),isblank($B483)),"", not(iserror(vlookup($A483&amp;$B483,'5) Release_Track'!$F:$F&amp;'5) Release_Track'!$G:$G,1,0))),vlookup($A483&amp;$B483,{'5) Release_Track'!$F:$F&amp;'5) Release_Track'!$G:$G,'5) Release_Track'!$H:$H},2,0), or(and(not(isblank($B483)),$B483=$B482,$A483&lt;&gt;$A482),and(not(isblank($A483)),$A483=$A482,$B483&lt;&gt;$B482)),"ID LISTS UNALIGNED",and($A483&lt;&gt;"",countif('5) Release_Track'!$F:$F,$A483)=0),"NO ISRC MATCH in Release_Track",and($B483&lt;&gt;"",countif('5) Release_Track'!$G:$G,$B483)=0),"NO CATALOG ID MATCH in Release_Track",iserror(vlookup($A483&amp;$B483,'5) Release_Track'!$F:$F&amp;'5) Release_Track'!$G:$G,1,0)),"NO ISRC-CATALOG ID pair MATCH in Release_Track" )</f>
        <v/>
      </c>
      <c r="D483" s="121" t="str">
        <f t="array" ref="D483">ifs(and(isblank($A483),isblank($B483)),"", not(iserror(vlookup($A483&amp;$B483,'5) Release_Track'!$F:$F&amp;'5) Release_Track'!$G:$G,1,0))),vlookup($A483&amp;$B483,{'5) Release_Track'!$F:$F&amp;'5) Release_Track'!$G:$G,'5) Release_Track'!$I:$I},2,0), or(and(not(isblank($B483)),$B483=$B482,$A483&lt;&gt;$A482),and(not(isblank($A483)),$A483=$A482,$B483&lt;&gt;$B482)),"ID LISTS UNALIGNED",and($A483&lt;&gt;"",countif('5) Release_Track'!$F:$F,$A483)=0),"NO ISRC MATCH in Release_Track",and($B483&lt;&gt;"",countif('5) Release_Track'!$G:$G,$B483)=0),"NO CATALOG ID MATCH in Release_Track",iserror(vlookup($A483&amp;$B483,'5) Release_Track'!$F:$F&amp;'5) Release_Track'!$G:$G,1,0)),"NO ISRC-CATALOG ID pair MATCH in Release_Track" )</f>
        <v/>
      </c>
      <c r="E483" s="142" t="b">
        <v>0</v>
      </c>
      <c r="F483" s="142" t="b">
        <v>0</v>
      </c>
      <c r="G483" s="142" t="b">
        <v>0</v>
      </c>
      <c r="H483" s="142" t="b">
        <v>0</v>
      </c>
      <c r="I483" s="142" t="b">
        <v>0</v>
      </c>
      <c r="J483" s="142" t="b">
        <v>0</v>
      </c>
      <c r="K483" s="142" t="b">
        <v>0</v>
      </c>
      <c r="L483" s="8" t="b">
        <v>0</v>
      </c>
    </row>
    <row r="484">
      <c r="B484" s="103"/>
      <c r="C484" s="121" t="str">
        <f t="array" ref="C484">ifs(and(isblank($A484),isblank($B484)),"", not(iserror(vlookup($A484&amp;$B484,'5) Release_Track'!$F:$F&amp;'5) Release_Track'!$G:$G,1,0))),vlookup($A484&amp;$B484,{'5) Release_Track'!$F:$F&amp;'5) Release_Track'!$G:$G,'5) Release_Track'!$H:$H},2,0), or(and(not(isblank($B484)),$B484=$B483,$A484&lt;&gt;$A483),and(not(isblank($A484)),$A484=$A483,$B484&lt;&gt;$B483)),"ID LISTS UNALIGNED",and($A484&lt;&gt;"",countif('5) Release_Track'!$F:$F,$A484)=0),"NO ISRC MATCH in Release_Track",and($B484&lt;&gt;"",countif('5) Release_Track'!$G:$G,$B484)=0),"NO CATALOG ID MATCH in Release_Track",iserror(vlookup($A484&amp;$B484,'5) Release_Track'!$F:$F&amp;'5) Release_Track'!$G:$G,1,0)),"NO ISRC-CATALOG ID pair MATCH in Release_Track" )</f>
        <v/>
      </c>
      <c r="D484" s="121" t="str">
        <f t="array" ref="D484">ifs(and(isblank($A484),isblank($B484)),"", not(iserror(vlookup($A484&amp;$B484,'5) Release_Track'!$F:$F&amp;'5) Release_Track'!$G:$G,1,0))),vlookup($A484&amp;$B484,{'5) Release_Track'!$F:$F&amp;'5) Release_Track'!$G:$G,'5) Release_Track'!$I:$I},2,0), or(and(not(isblank($B484)),$B484=$B483,$A484&lt;&gt;$A483),and(not(isblank($A484)),$A484=$A483,$B484&lt;&gt;$B483)),"ID LISTS UNALIGNED",and($A484&lt;&gt;"",countif('5) Release_Track'!$F:$F,$A484)=0),"NO ISRC MATCH in Release_Track",and($B484&lt;&gt;"",countif('5) Release_Track'!$G:$G,$B484)=0),"NO CATALOG ID MATCH in Release_Track",iserror(vlookup($A484&amp;$B484,'5) Release_Track'!$F:$F&amp;'5) Release_Track'!$G:$G,1,0)),"NO ISRC-CATALOG ID pair MATCH in Release_Track" )</f>
        <v/>
      </c>
      <c r="E484" s="142" t="b">
        <v>0</v>
      </c>
      <c r="F484" s="142" t="b">
        <v>0</v>
      </c>
      <c r="G484" s="142" t="b">
        <v>0</v>
      </c>
      <c r="H484" s="142" t="b">
        <v>0</v>
      </c>
      <c r="I484" s="142" t="b">
        <v>0</v>
      </c>
      <c r="J484" s="142" t="b">
        <v>0</v>
      </c>
      <c r="K484" s="142" t="b">
        <v>0</v>
      </c>
      <c r="L484" s="8" t="b">
        <v>0</v>
      </c>
    </row>
    <row r="485">
      <c r="B485" s="103"/>
      <c r="C485" s="121" t="str">
        <f t="array" ref="C485">ifs(and(isblank($A485),isblank($B485)),"", not(iserror(vlookup($A485&amp;$B485,'5) Release_Track'!$F:$F&amp;'5) Release_Track'!$G:$G,1,0))),vlookup($A485&amp;$B485,{'5) Release_Track'!$F:$F&amp;'5) Release_Track'!$G:$G,'5) Release_Track'!$H:$H},2,0), or(and(not(isblank($B485)),$B485=$B484,$A485&lt;&gt;$A484),and(not(isblank($A485)),$A485=$A484,$B485&lt;&gt;$B484)),"ID LISTS UNALIGNED",and($A485&lt;&gt;"",countif('5) Release_Track'!$F:$F,$A485)=0),"NO ISRC MATCH in Release_Track",and($B485&lt;&gt;"",countif('5) Release_Track'!$G:$G,$B485)=0),"NO CATALOG ID MATCH in Release_Track",iserror(vlookup($A485&amp;$B485,'5) Release_Track'!$F:$F&amp;'5) Release_Track'!$G:$G,1,0)),"NO ISRC-CATALOG ID pair MATCH in Release_Track" )</f>
        <v/>
      </c>
      <c r="D485" s="121" t="str">
        <f t="array" ref="D485">ifs(and(isblank($A485),isblank($B485)),"", not(iserror(vlookup($A485&amp;$B485,'5) Release_Track'!$F:$F&amp;'5) Release_Track'!$G:$G,1,0))),vlookup($A485&amp;$B485,{'5) Release_Track'!$F:$F&amp;'5) Release_Track'!$G:$G,'5) Release_Track'!$I:$I},2,0), or(and(not(isblank($B485)),$B485=$B484,$A485&lt;&gt;$A484),and(not(isblank($A485)),$A485=$A484,$B485&lt;&gt;$B484)),"ID LISTS UNALIGNED",and($A485&lt;&gt;"",countif('5) Release_Track'!$F:$F,$A485)=0),"NO ISRC MATCH in Release_Track",and($B485&lt;&gt;"",countif('5) Release_Track'!$G:$G,$B485)=0),"NO CATALOG ID MATCH in Release_Track",iserror(vlookup($A485&amp;$B485,'5) Release_Track'!$F:$F&amp;'5) Release_Track'!$G:$G,1,0)),"NO ISRC-CATALOG ID pair MATCH in Release_Track" )</f>
        <v/>
      </c>
      <c r="E485" s="142" t="b">
        <v>0</v>
      </c>
      <c r="F485" s="142" t="b">
        <v>0</v>
      </c>
      <c r="G485" s="142" t="b">
        <v>0</v>
      </c>
      <c r="H485" s="142" t="b">
        <v>0</v>
      </c>
      <c r="I485" s="142" t="b">
        <v>0</v>
      </c>
      <c r="J485" s="142" t="b">
        <v>0</v>
      </c>
      <c r="K485" s="142" t="b">
        <v>0</v>
      </c>
      <c r="L485" s="8" t="b">
        <v>0</v>
      </c>
    </row>
    <row r="486">
      <c r="B486" s="103"/>
      <c r="C486" s="121" t="str">
        <f t="array" ref="C486">ifs(and(isblank($A486),isblank($B486)),"", not(iserror(vlookup($A486&amp;$B486,'5) Release_Track'!$F:$F&amp;'5) Release_Track'!$G:$G,1,0))),vlookup($A486&amp;$B486,{'5) Release_Track'!$F:$F&amp;'5) Release_Track'!$G:$G,'5) Release_Track'!$H:$H},2,0), or(and(not(isblank($B486)),$B486=$B485,$A486&lt;&gt;$A485),and(not(isblank($A486)),$A486=$A485,$B486&lt;&gt;$B485)),"ID LISTS UNALIGNED",and($A486&lt;&gt;"",countif('5) Release_Track'!$F:$F,$A486)=0),"NO ISRC MATCH in Release_Track",and($B486&lt;&gt;"",countif('5) Release_Track'!$G:$G,$B486)=0),"NO CATALOG ID MATCH in Release_Track",iserror(vlookup($A486&amp;$B486,'5) Release_Track'!$F:$F&amp;'5) Release_Track'!$G:$G,1,0)),"NO ISRC-CATALOG ID pair MATCH in Release_Track" )</f>
        <v/>
      </c>
      <c r="D486" s="121" t="str">
        <f t="array" ref="D486">ifs(and(isblank($A486),isblank($B486)),"", not(iserror(vlookup($A486&amp;$B486,'5) Release_Track'!$F:$F&amp;'5) Release_Track'!$G:$G,1,0))),vlookup($A486&amp;$B486,{'5) Release_Track'!$F:$F&amp;'5) Release_Track'!$G:$G,'5) Release_Track'!$I:$I},2,0), or(and(not(isblank($B486)),$B486=$B485,$A486&lt;&gt;$A485),and(not(isblank($A486)),$A486=$A485,$B486&lt;&gt;$B485)),"ID LISTS UNALIGNED",and($A486&lt;&gt;"",countif('5) Release_Track'!$F:$F,$A486)=0),"NO ISRC MATCH in Release_Track",and($B486&lt;&gt;"",countif('5) Release_Track'!$G:$G,$B486)=0),"NO CATALOG ID MATCH in Release_Track",iserror(vlookup($A486&amp;$B486,'5) Release_Track'!$F:$F&amp;'5) Release_Track'!$G:$G,1,0)),"NO ISRC-CATALOG ID pair MATCH in Release_Track" )</f>
        <v/>
      </c>
      <c r="E486" s="142" t="b">
        <v>0</v>
      </c>
      <c r="F486" s="142" t="b">
        <v>0</v>
      </c>
      <c r="G486" s="142" t="b">
        <v>0</v>
      </c>
      <c r="H486" s="142" t="b">
        <v>0</v>
      </c>
      <c r="I486" s="142" t="b">
        <v>0</v>
      </c>
      <c r="J486" s="142" t="b">
        <v>0</v>
      </c>
      <c r="K486" s="142" t="b">
        <v>0</v>
      </c>
      <c r="L486" s="8" t="b">
        <v>0</v>
      </c>
    </row>
    <row r="487">
      <c r="B487" s="103"/>
      <c r="C487" s="121" t="str">
        <f t="array" ref="C487">ifs(and(isblank($A487),isblank($B487)),"", not(iserror(vlookup($A487&amp;$B487,'5) Release_Track'!$F:$F&amp;'5) Release_Track'!$G:$G,1,0))),vlookup($A487&amp;$B487,{'5) Release_Track'!$F:$F&amp;'5) Release_Track'!$G:$G,'5) Release_Track'!$H:$H},2,0), or(and(not(isblank($B487)),$B487=$B486,$A487&lt;&gt;$A486),and(not(isblank($A487)),$A487=$A486,$B487&lt;&gt;$B486)),"ID LISTS UNALIGNED",and($A487&lt;&gt;"",countif('5) Release_Track'!$F:$F,$A487)=0),"NO ISRC MATCH in Release_Track",and($B487&lt;&gt;"",countif('5) Release_Track'!$G:$G,$B487)=0),"NO CATALOG ID MATCH in Release_Track",iserror(vlookup($A487&amp;$B487,'5) Release_Track'!$F:$F&amp;'5) Release_Track'!$G:$G,1,0)),"NO ISRC-CATALOG ID pair MATCH in Release_Track" )</f>
        <v/>
      </c>
      <c r="D487" s="121" t="str">
        <f t="array" ref="D487">ifs(and(isblank($A487),isblank($B487)),"", not(iserror(vlookup($A487&amp;$B487,'5) Release_Track'!$F:$F&amp;'5) Release_Track'!$G:$G,1,0))),vlookup($A487&amp;$B487,{'5) Release_Track'!$F:$F&amp;'5) Release_Track'!$G:$G,'5) Release_Track'!$I:$I},2,0), or(and(not(isblank($B487)),$B487=$B486,$A487&lt;&gt;$A486),and(not(isblank($A487)),$A487=$A486,$B487&lt;&gt;$B486)),"ID LISTS UNALIGNED",and($A487&lt;&gt;"",countif('5) Release_Track'!$F:$F,$A487)=0),"NO ISRC MATCH in Release_Track",and($B487&lt;&gt;"",countif('5) Release_Track'!$G:$G,$B487)=0),"NO CATALOG ID MATCH in Release_Track",iserror(vlookup($A487&amp;$B487,'5) Release_Track'!$F:$F&amp;'5) Release_Track'!$G:$G,1,0)),"NO ISRC-CATALOG ID pair MATCH in Release_Track" )</f>
        <v/>
      </c>
      <c r="E487" s="142" t="b">
        <v>0</v>
      </c>
      <c r="F487" s="142" t="b">
        <v>0</v>
      </c>
      <c r="G487" s="142" t="b">
        <v>0</v>
      </c>
      <c r="H487" s="142" t="b">
        <v>0</v>
      </c>
      <c r="I487" s="142" t="b">
        <v>0</v>
      </c>
      <c r="J487" s="142" t="b">
        <v>0</v>
      </c>
      <c r="K487" s="142" t="b">
        <v>0</v>
      </c>
      <c r="L487" s="8" t="b">
        <v>0</v>
      </c>
    </row>
    <row r="488">
      <c r="B488" s="103"/>
      <c r="C488" s="121" t="str">
        <f t="array" ref="C488">ifs(and(isblank($A488),isblank($B488)),"", not(iserror(vlookup($A488&amp;$B488,'5) Release_Track'!$F:$F&amp;'5) Release_Track'!$G:$G,1,0))),vlookup($A488&amp;$B488,{'5) Release_Track'!$F:$F&amp;'5) Release_Track'!$G:$G,'5) Release_Track'!$H:$H},2,0), or(and(not(isblank($B488)),$B488=$B487,$A488&lt;&gt;$A487),and(not(isblank($A488)),$A488=$A487,$B488&lt;&gt;$B487)),"ID LISTS UNALIGNED",and($A488&lt;&gt;"",countif('5) Release_Track'!$F:$F,$A488)=0),"NO ISRC MATCH in Release_Track",and($B488&lt;&gt;"",countif('5) Release_Track'!$G:$G,$B488)=0),"NO CATALOG ID MATCH in Release_Track",iserror(vlookup($A488&amp;$B488,'5) Release_Track'!$F:$F&amp;'5) Release_Track'!$G:$G,1,0)),"NO ISRC-CATALOG ID pair MATCH in Release_Track" )</f>
        <v/>
      </c>
      <c r="D488" s="121" t="str">
        <f t="array" ref="D488">ifs(and(isblank($A488),isblank($B488)),"", not(iserror(vlookup($A488&amp;$B488,'5) Release_Track'!$F:$F&amp;'5) Release_Track'!$G:$G,1,0))),vlookup($A488&amp;$B488,{'5) Release_Track'!$F:$F&amp;'5) Release_Track'!$G:$G,'5) Release_Track'!$I:$I},2,0), or(and(not(isblank($B488)),$B488=$B487,$A488&lt;&gt;$A487),and(not(isblank($A488)),$A488=$A487,$B488&lt;&gt;$B487)),"ID LISTS UNALIGNED",and($A488&lt;&gt;"",countif('5) Release_Track'!$F:$F,$A488)=0),"NO ISRC MATCH in Release_Track",and($B488&lt;&gt;"",countif('5) Release_Track'!$G:$G,$B488)=0),"NO CATALOG ID MATCH in Release_Track",iserror(vlookup($A488&amp;$B488,'5) Release_Track'!$F:$F&amp;'5) Release_Track'!$G:$G,1,0)),"NO ISRC-CATALOG ID pair MATCH in Release_Track" )</f>
        <v/>
      </c>
      <c r="E488" s="142" t="b">
        <v>0</v>
      </c>
      <c r="F488" s="142" t="b">
        <v>0</v>
      </c>
      <c r="G488" s="142" t="b">
        <v>0</v>
      </c>
      <c r="H488" s="142" t="b">
        <v>0</v>
      </c>
      <c r="I488" s="142" t="b">
        <v>0</v>
      </c>
      <c r="J488" s="142" t="b">
        <v>0</v>
      </c>
      <c r="K488" s="142" t="b">
        <v>0</v>
      </c>
      <c r="L488" s="8" t="b">
        <v>0</v>
      </c>
    </row>
    <row r="489">
      <c r="B489" s="103"/>
      <c r="C489" s="121" t="str">
        <f t="array" ref="C489">ifs(and(isblank($A489),isblank($B489)),"", not(iserror(vlookup($A489&amp;$B489,'5) Release_Track'!$F:$F&amp;'5) Release_Track'!$G:$G,1,0))),vlookup($A489&amp;$B489,{'5) Release_Track'!$F:$F&amp;'5) Release_Track'!$G:$G,'5) Release_Track'!$H:$H},2,0), or(and(not(isblank($B489)),$B489=$B488,$A489&lt;&gt;$A488),and(not(isblank($A489)),$A489=$A488,$B489&lt;&gt;$B488)),"ID LISTS UNALIGNED",and($A489&lt;&gt;"",countif('5) Release_Track'!$F:$F,$A489)=0),"NO ISRC MATCH in Release_Track",and($B489&lt;&gt;"",countif('5) Release_Track'!$G:$G,$B489)=0),"NO CATALOG ID MATCH in Release_Track",iserror(vlookup($A489&amp;$B489,'5) Release_Track'!$F:$F&amp;'5) Release_Track'!$G:$G,1,0)),"NO ISRC-CATALOG ID pair MATCH in Release_Track" )</f>
        <v/>
      </c>
      <c r="D489" s="121" t="str">
        <f t="array" ref="D489">ifs(and(isblank($A489),isblank($B489)),"", not(iserror(vlookup($A489&amp;$B489,'5) Release_Track'!$F:$F&amp;'5) Release_Track'!$G:$G,1,0))),vlookup($A489&amp;$B489,{'5) Release_Track'!$F:$F&amp;'5) Release_Track'!$G:$G,'5) Release_Track'!$I:$I},2,0), or(and(not(isblank($B489)),$B489=$B488,$A489&lt;&gt;$A488),and(not(isblank($A489)),$A489=$A488,$B489&lt;&gt;$B488)),"ID LISTS UNALIGNED",and($A489&lt;&gt;"",countif('5) Release_Track'!$F:$F,$A489)=0),"NO ISRC MATCH in Release_Track",and($B489&lt;&gt;"",countif('5) Release_Track'!$G:$G,$B489)=0),"NO CATALOG ID MATCH in Release_Track",iserror(vlookup($A489&amp;$B489,'5) Release_Track'!$F:$F&amp;'5) Release_Track'!$G:$G,1,0)),"NO ISRC-CATALOG ID pair MATCH in Release_Track" )</f>
        <v/>
      </c>
      <c r="E489" s="142" t="b">
        <v>0</v>
      </c>
      <c r="F489" s="142" t="b">
        <v>0</v>
      </c>
      <c r="G489" s="142" t="b">
        <v>0</v>
      </c>
      <c r="H489" s="142" t="b">
        <v>0</v>
      </c>
      <c r="I489" s="142" t="b">
        <v>0</v>
      </c>
      <c r="J489" s="142" t="b">
        <v>0</v>
      </c>
      <c r="K489" s="142" t="b">
        <v>0</v>
      </c>
      <c r="L489" s="8" t="b">
        <v>0</v>
      </c>
    </row>
    <row r="490">
      <c r="B490" s="103"/>
      <c r="C490" s="121" t="str">
        <f t="array" ref="C490">ifs(and(isblank($A490),isblank($B490)),"", not(iserror(vlookup($A490&amp;$B490,'5) Release_Track'!$F:$F&amp;'5) Release_Track'!$G:$G,1,0))),vlookup($A490&amp;$B490,{'5) Release_Track'!$F:$F&amp;'5) Release_Track'!$G:$G,'5) Release_Track'!$H:$H},2,0), or(and(not(isblank($B490)),$B490=$B489,$A490&lt;&gt;$A489),and(not(isblank($A490)),$A490=$A489,$B490&lt;&gt;$B489)),"ID LISTS UNALIGNED",and($A490&lt;&gt;"",countif('5) Release_Track'!$F:$F,$A490)=0),"NO ISRC MATCH in Release_Track",and($B490&lt;&gt;"",countif('5) Release_Track'!$G:$G,$B490)=0),"NO CATALOG ID MATCH in Release_Track",iserror(vlookup($A490&amp;$B490,'5) Release_Track'!$F:$F&amp;'5) Release_Track'!$G:$G,1,0)),"NO ISRC-CATALOG ID pair MATCH in Release_Track" )</f>
        <v/>
      </c>
      <c r="D490" s="121" t="str">
        <f t="array" ref="D490">ifs(and(isblank($A490),isblank($B490)),"", not(iserror(vlookup($A490&amp;$B490,'5) Release_Track'!$F:$F&amp;'5) Release_Track'!$G:$G,1,0))),vlookup($A490&amp;$B490,{'5) Release_Track'!$F:$F&amp;'5) Release_Track'!$G:$G,'5) Release_Track'!$I:$I},2,0), or(and(not(isblank($B490)),$B490=$B489,$A490&lt;&gt;$A489),and(not(isblank($A490)),$A490=$A489,$B490&lt;&gt;$B489)),"ID LISTS UNALIGNED",and($A490&lt;&gt;"",countif('5) Release_Track'!$F:$F,$A490)=0),"NO ISRC MATCH in Release_Track",and($B490&lt;&gt;"",countif('5) Release_Track'!$G:$G,$B490)=0),"NO CATALOG ID MATCH in Release_Track",iserror(vlookup($A490&amp;$B490,'5) Release_Track'!$F:$F&amp;'5) Release_Track'!$G:$G,1,0)),"NO ISRC-CATALOG ID pair MATCH in Release_Track" )</f>
        <v/>
      </c>
      <c r="E490" s="142" t="b">
        <v>0</v>
      </c>
      <c r="F490" s="142" t="b">
        <v>0</v>
      </c>
      <c r="G490" s="142" t="b">
        <v>0</v>
      </c>
      <c r="H490" s="142" t="b">
        <v>0</v>
      </c>
      <c r="I490" s="142" t="b">
        <v>0</v>
      </c>
      <c r="J490" s="142" t="b">
        <v>0</v>
      </c>
      <c r="K490" s="142" t="b">
        <v>0</v>
      </c>
      <c r="L490" s="8" t="b">
        <v>0</v>
      </c>
    </row>
    <row r="491">
      <c r="B491" s="103"/>
      <c r="C491" s="121" t="str">
        <f t="array" ref="C491">ifs(and(isblank($A491),isblank($B491)),"", not(iserror(vlookup($A491&amp;$B491,'5) Release_Track'!$F:$F&amp;'5) Release_Track'!$G:$G,1,0))),vlookup($A491&amp;$B491,{'5) Release_Track'!$F:$F&amp;'5) Release_Track'!$G:$G,'5) Release_Track'!$H:$H},2,0), or(and(not(isblank($B491)),$B491=$B490,$A491&lt;&gt;$A490),and(not(isblank($A491)),$A491=$A490,$B491&lt;&gt;$B490)),"ID LISTS UNALIGNED",and($A491&lt;&gt;"",countif('5) Release_Track'!$F:$F,$A491)=0),"NO ISRC MATCH in Release_Track",and($B491&lt;&gt;"",countif('5) Release_Track'!$G:$G,$B491)=0),"NO CATALOG ID MATCH in Release_Track",iserror(vlookup($A491&amp;$B491,'5) Release_Track'!$F:$F&amp;'5) Release_Track'!$G:$G,1,0)),"NO ISRC-CATALOG ID pair MATCH in Release_Track" )</f>
        <v/>
      </c>
      <c r="D491" s="121" t="str">
        <f t="array" ref="D491">ifs(and(isblank($A491),isblank($B491)),"", not(iserror(vlookup($A491&amp;$B491,'5) Release_Track'!$F:$F&amp;'5) Release_Track'!$G:$G,1,0))),vlookup($A491&amp;$B491,{'5) Release_Track'!$F:$F&amp;'5) Release_Track'!$G:$G,'5) Release_Track'!$I:$I},2,0), or(and(not(isblank($B491)),$B491=$B490,$A491&lt;&gt;$A490),and(not(isblank($A491)),$A491=$A490,$B491&lt;&gt;$B490)),"ID LISTS UNALIGNED",and($A491&lt;&gt;"",countif('5) Release_Track'!$F:$F,$A491)=0),"NO ISRC MATCH in Release_Track",and($B491&lt;&gt;"",countif('5) Release_Track'!$G:$G,$B491)=0),"NO CATALOG ID MATCH in Release_Track",iserror(vlookup($A491&amp;$B491,'5) Release_Track'!$F:$F&amp;'5) Release_Track'!$G:$G,1,0)),"NO ISRC-CATALOG ID pair MATCH in Release_Track" )</f>
        <v/>
      </c>
      <c r="E491" s="142" t="b">
        <v>0</v>
      </c>
      <c r="F491" s="142" t="b">
        <v>0</v>
      </c>
      <c r="G491" s="142" t="b">
        <v>0</v>
      </c>
      <c r="H491" s="142" t="b">
        <v>0</v>
      </c>
      <c r="I491" s="142" t="b">
        <v>0</v>
      </c>
      <c r="J491" s="142" t="b">
        <v>0</v>
      </c>
      <c r="K491" s="142" t="b">
        <v>0</v>
      </c>
      <c r="L491" s="8" t="b">
        <v>0</v>
      </c>
    </row>
    <row r="492">
      <c r="B492" s="103"/>
      <c r="C492" s="121" t="str">
        <f t="array" ref="C492">ifs(and(isblank($A492),isblank($B492)),"", not(iserror(vlookup($A492&amp;$B492,'5) Release_Track'!$F:$F&amp;'5) Release_Track'!$G:$G,1,0))),vlookup($A492&amp;$B492,{'5) Release_Track'!$F:$F&amp;'5) Release_Track'!$G:$G,'5) Release_Track'!$H:$H},2,0), or(and(not(isblank($B492)),$B492=$B491,$A492&lt;&gt;$A491),and(not(isblank($A492)),$A492=$A491,$B492&lt;&gt;$B491)),"ID LISTS UNALIGNED",and($A492&lt;&gt;"",countif('5) Release_Track'!$F:$F,$A492)=0),"NO ISRC MATCH in Release_Track",and($B492&lt;&gt;"",countif('5) Release_Track'!$G:$G,$B492)=0),"NO CATALOG ID MATCH in Release_Track",iserror(vlookup($A492&amp;$B492,'5) Release_Track'!$F:$F&amp;'5) Release_Track'!$G:$G,1,0)),"NO ISRC-CATALOG ID pair MATCH in Release_Track" )</f>
        <v/>
      </c>
      <c r="D492" s="121" t="str">
        <f t="array" ref="D492">ifs(and(isblank($A492),isblank($B492)),"", not(iserror(vlookup($A492&amp;$B492,'5) Release_Track'!$F:$F&amp;'5) Release_Track'!$G:$G,1,0))),vlookup($A492&amp;$B492,{'5) Release_Track'!$F:$F&amp;'5) Release_Track'!$G:$G,'5) Release_Track'!$I:$I},2,0), or(and(not(isblank($B492)),$B492=$B491,$A492&lt;&gt;$A491),and(not(isblank($A492)),$A492=$A491,$B492&lt;&gt;$B491)),"ID LISTS UNALIGNED",and($A492&lt;&gt;"",countif('5) Release_Track'!$F:$F,$A492)=0),"NO ISRC MATCH in Release_Track",and($B492&lt;&gt;"",countif('5) Release_Track'!$G:$G,$B492)=0),"NO CATALOG ID MATCH in Release_Track",iserror(vlookup($A492&amp;$B492,'5) Release_Track'!$F:$F&amp;'5) Release_Track'!$G:$G,1,0)),"NO ISRC-CATALOG ID pair MATCH in Release_Track" )</f>
        <v/>
      </c>
      <c r="E492" s="142" t="b">
        <v>0</v>
      </c>
      <c r="F492" s="142" t="b">
        <v>0</v>
      </c>
      <c r="G492" s="142" t="b">
        <v>0</v>
      </c>
      <c r="H492" s="142" t="b">
        <v>0</v>
      </c>
      <c r="I492" s="142" t="b">
        <v>0</v>
      </c>
      <c r="J492" s="142" t="b">
        <v>0</v>
      </c>
      <c r="K492" s="142" t="b">
        <v>0</v>
      </c>
      <c r="L492" s="8" t="b">
        <v>0</v>
      </c>
    </row>
    <row r="493">
      <c r="B493" s="103"/>
      <c r="C493" s="121" t="str">
        <f t="array" ref="C493">ifs(and(isblank($A493),isblank($B493)),"", not(iserror(vlookup($A493&amp;$B493,'5) Release_Track'!$F:$F&amp;'5) Release_Track'!$G:$G,1,0))),vlookup($A493&amp;$B493,{'5) Release_Track'!$F:$F&amp;'5) Release_Track'!$G:$G,'5) Release_Track'!$H:$H},2,0), or(and(not(isblank($B493)),$B493=$B492,$A493&lt;&gt;$A492),and(not(isblank($A493)),$A493=$A492,$B493&lt;&gt;$B492)),"ID LISTS UNALIGNED",and($A493&lt;&gt;"",countif('5) Release_Track'!$F:$F,$A493)=0),"NO ISRC MATCH in Release_Track",and($B493&lt;&gt;"",countif('5) Release_Track'!$G:$G,$B493)=0),"NO CATALOG ID MATCH in Release_Track",iserror(vlookup($A493&amp;$B493,'5) Release_Track'!$F:$F&amp;'5) Release_Track'!$G:$G,1,0)),"NO ISRC-CATALOG ID pair MATCH in Release_Track" )</f>
        <v/>
      </c>
      <c r="D493" s="121" t="str">
        <f t="array" ref="D493">ifs(and(isblank($A493),isblank($B493)),"", not(iserror(vlookup($A493&amp;$B493,'5) Release_Track'!$F:$F&amp;'5) Release_Track'!$G:$G,1,0))),vlookup($A493&amp;$B493,{'5) Release_Track'!$F:$F&amp;'5) Release_Track'!$G:$G,'5) Release_Track'!$I:$I},2,0), or(and(not(isblank($B493)),$B493=$B492,$A493&lt;&gt;$A492),and(not(isblank($A493)),$A493=$A492,$B493&lt;&gt;$B492)),"ID LISTS UNALIGNED",and($A493&lt;&gt;"",countif('5) Release_Track'!$F:$F,$A493)=0),"NO ISRC MATCH in Release_Track",and($B493&lt;&gt;"",countif('5) Release_Track'!$G:$G,$B493)=0),"NO CATALOG ID MATCH in Release_Track",iserror(vlookup($A493&amp;$B493,'5) Release_Track'!$F:$F&amp;'5) Release_Track'!$G:$G,1,0)),"NO ISRC-CATALOG ID pair MATCH in Release_Track" )</f>
        <v/>
      </c>
      <c r="E493" s="142" t="b">
        <v>0</v>
      </c>
      <c r="F493" s="142" t="b">
        <v>0</v>
      </c>
      <c r="G493" s="142" t="b">
        <v>0</v>
      </c>
      <c r="H493" s="142" t="b">
        <v>0</v>
      </c>
      <c r="I493" s="142" t="b">
        <v>0</v>
      </c>
      <c r="J493" s="142" t="b">
        <v>0</v>
      </c>
      <c r="K493" s="142" t="b">
        <v>0</v>
      </c>
      <c r="L493" s="8" t="b">
        <v>0</v>
      </c>
    </row>
    <row r="494">
      <c r="B494" s="103"/>
      <c r="C494" s="121" t="str">
        <f t="array" ref="C494">ifs(and(isblank($A494),isblank($B494)),"", not(iserror(vlookup($A494&amp;$B494,'5) Release_Track'!$F:$F&amp;'5) Release_Track'!$G:$G,1,0))),vlookup($A494&amp;$B494,{'5) Release_Track'!$F:$F&amp;'5) Release_Track'!$G:$G,'5) Release_Track'!$H:$H},2,0), or(and(not(isblank($B494)),$B494=$B493,$A494&lt;&gt;$A493),and(not(isblank($A494)),$A494=$A493,$B494&lt;&gt;$B493)),"ID LISTS UNALIGNED",and($A494&lt;&gt;"",countif('5) Release_Track'!$F:$F,$A494)=0),"NO ISRC MATCH in Release_Track",and($B494&lt;&gt;"",countif('5) Release_Track'!$G:$G,$B494)=0),"NO CATALOG ID MATCH in Release_Track",iserror(vlookup($A494&amp;$B494,'5) Release_Track'!$F:$F&amp;'5) Release_Track'!$G:$G,1,0)),"NO ISRC-CATALOG ID pair MATCH in Release_Track" )</f>
        <v/>
      </c>
      <c r="D494" s="121" t="str">
        <f t="array" ref="D494">ifs(and(isblank($A494),isblank($B494)),"", not(iserror(vlookup($A494&amp;$B494,'5) Release_Track'!$F:$F&amp;'5) Release_Track'!$G:$G,1,0))),vlookup($A494&amp;$B494,{'5) Release_Track'!$F:$F&amp;'5) Release_Track'!$G:$G,'5) Release_Track'!$I:$I},2,0), or(and(not(isblank($B494)),$B494=$B493,$A494&lt;&gt;$A493),and(not(isblank($A494)),$A494=$A493,$B494&lt;&gt;$B493)),"ID LISTS UNALIGNED",and($A494&lt;&gt;"",countif('5) Release_Track'!$F:$F,$A494)=0),"NO ISRC MATCH in Release_Track",and($B494&lt;&gt;"",countif('5) Release_Track'!$G:$G,$B494)=0),"NO CATALOG ID MATCH in Release_Track",iserror(vlookup($A494&amp;$B494,'5) Release_Track'!$F:$F&amp;'5) Release_Track'!$G:$G,1,0)),"NO ISRC-CATALOG ID pair MATCH in Release_Track" )</f>
        <v/>
      </c>
      <c r="E494" s="142" t="b">
        <v>0</v>
      </c>
      <c r="F494" s="142" t="b">
        <v>0</v>
      </c>
      <c r="G494" s="142" t="b">
        <v>0</v>
      </c>
      <c r="H494" s="142" t="b">
        <v>0</v>
      </c>
      <c r="I494" s="142" t="b">
        <v>0</v>
      </c>
      <c r="J494" s="142" t="b">
        <v>0</v>
      </c>
      <c r="K494" s="142" t="b">
        <v>0</v>
      </c>
      <c r="L494" s="8" t="b">
        <v>0</v>
      </c>
    </row>
    <row r="495">
      <c r="B495" s="103"/>
      <c r="C495" s="121" t="str">
        <f t="array" ref="C495">ifs(and(isblank($A495),isblank($B495)),"", not(iserror(vlookup($A495&amp;$B495,'5) Release_Track'!$F:$F&amp;'5) Release_Track'!$G:$G,1,0))),vlookup($A495&amp;$B495,{'5) Release_Track'!$F:$F&amp;'5) Release_Track'!$G:$G,'5) Release_Track'!$H:$H},2,0), or(and(not(isblank($B495)),$B495=$B494,$A495&lt;&gt;$A494),and(not(isblank($A495)),$A495=$A494,$B495&lt;&gt;$B494)),"ID LISTS UNALIGNED",and($A495&lt;&gt;"",countif('5) Release_Track'!$F:$F,$A495)=0),"NO ISRC MATCH in Release_Track",and($B495&lt;&gt;"",countif('5) Release_Track'!$G:$G,$B495)=0),"NO CATALOG ID MATCH in Release_Track",iserror(vlookup($A495&amp;$B495,'5) Release_Track'!$F:$F&amp;'5) Release_Track'!$G:$G,1,0)),"NO ISRC-CATALOG ID pair MATCH in Release_Track" )</f>
        <v/>
      </c>
      <c r="D495" s="121" t="str">
        <f t="array" ref="D495">ifs(and(isblank($A495),isblank($B495)),"", not(iserror(vlookup($A495&amp;$B495,'5) Release_Track'!$F:$F&amp;'5) Release_Track'!$G:$G,1,0))),vlookup($A495&amp;$B495,{'5) Release_Track'!$F:$F&amp;'5) Release_Track'!$G:$G,'5) Release_Track'!$I:$I},2,0), or(and(not(isblank($B495)),$B495=$B494,$A495&lt;&gt;$A494),and(not(isblank($A495)),$A495=$A494,$B495&lt;&gt;$B494)),"ID LISTS UNALIGNED",and($A495&lt;&gt;"",countif('5) Release_Track'!$F:$F,$A495)=0),"NO ISRC MATCH in Release_Track",and($B495&lt;&gt;"",countif('5) Release_Track'!$G:$G,$B495)=0),"NO CATALOG ID MATCH in Release_Track",iserror(vlookup($A495&amp;$B495,'5) Release_Track'!$F:$F&amp;'5) Release_Track'!$G:$G,1,0)),"NO ISRC-CATALOG ID pair MATCH in Release_Track" )</f>
        <v/>
      </c>
      <c r="E495" s="142" t="b">
        <v>0</v>
      </c>
      <c r="F495" s="142" t="b">
        <v>0</v>
      </c>
      <c r="G495" s="142" t="b">
        <v>0</v>
      </c>
      <c r="H495" s="142" t="b">
        <v>0</v>
      </c>
      <c r="I495" s="142" t="b">
        <v>0</v>
      </c>
      <c r="J495" s="142" t="b">
        <v>0</v>
      </c>
      <c r="K495" s="142" t="b">
        <v>0</v>
      </c>
      <c r="L495" s="8" t="b">
        <v>0</v>
      </c>
    </row>
    <row r="496">
      <c r="B496" s="103"/>
      <c r="C496" s="121" t="str">
        <f t="array" ref="C496">ifs(and(isblank($A496),isblank($B496)),"", not(iserror(vlookup($A496&amp;$B496,'5) Release_Track'!$F:$F&amp;'5) Release_Track'!$G:$G,1,0))),vlookup($A496&amp;$B496,{'5) Release_Track'!$F:$F&amp;'5) Release_Track'!$G:$G,'5) Release_Track'!$H:$H},2,0), or(and(not(isblank($B496)),$B496=$B495,$A496&lt;&gt;$A495),and(not(isblank($A496)),$A496=$A495,$B496&lt;&gt;$B495)),"ID LISTS UNALIGNED",and($A496&lt;&gt;"",countif('5) Release_Track'!$F:$F,$A496)=0),"NO ISRC MATCH in Release_Track",and($B496&lt;&gt;"",countif('5) Release_Track'!$G:$G,$B496)=0),"NO CATALOG ID MATCH in Release_Track",iserror(vlookup($A496&amp;$B496,'5) Release_Track'!$F:$F&amp;'5) Release_Track'!$G:$G,1,0)),"NO ISRC-CATALOG ID pair MATCH in Release_Track" )</f>
        <v/>
      </c>
      <c r="D496" s="121" t="str">
        <f t="array" ref="D496">ifs(and(isblank($A496),isblank($B496)),"", not(iserror(vlookup($A496&amp;$B496,'5) Release_Track'!$F:$F&amp;'5) Release_Track'!$G:$G,1,0))),vlookup($A496&amp;$B496,{'5) Release_Track'!$F:$F&amp;'5) Release_Track'!$G:$G,'5) Release_Track'!$I:$I},2,0), or(and(not(isblank($B496)),$B496=$B495,$A496&lt;&gt;$A495),and(not(isblank($A496)),$A496=$A495,$B496&lt;&gt;$B495)),"ID LISTS UNALIGNED",and($A496&lt;&gt;"",countif('5) Release_Track'!$F:$F,$A496)=0),"NO ISRC MATCH in Release_Track",and($B496&lt;&gt;"",countif('5) Release_Track'!$G:$G,$B496)=0),"NO CATALOG ID MATCH in Release_Track",iserror(vlookup($A496&amp;$B496,'5) Release_Track'!$F:$F&amp;'5) Release_Track'!$G:$G,1,0)),"NO ISRC-CATALOG ID pair MATCH in Release_Track" )</f>
        <v/>
      </c>
      <c r="E496" s="142" t="b">
        <v>0</v>
      </c>
      <c r="F496" s="142" t="b">
        <v>0</v>
      </c>
      <c r="G496" s="142" t="b">
        <v>0</v>
      </c>
      <c r="H496" s="142" t="b">
        <v>0</v>
      </c>
      <c r="I496" s="142" t="b">
        <v>0</v>
      </c>
      <c r="J496" s="142" t="b">
        <v>0</v>
      </c>
      <c r="K496" s="142" t="b">
        <v>0</v>
      </c>
      <c r="L496" s="8" t="b">
        <v>0</v>
      </c>
    </row>
    <row r="497">
      <c r="B497" s="103"/>
      <c r="C497" s="121" t="str">
        <f t="array" ref="C497">ifs(and(isblank($A497),isblank($B497)),"", not(iserror(vlookup($A497&amp;$B497,'5) Release_Track'!$F:$F&amp;'5) Release_Track'!$G:$G,1,0))),vlookup($A497&amp;$B497,{'5) Release_Track'!$F:$F&amp;'5) Release_Track'!$G:$G,'5) Release_Track'!$H:$H},2,0), or(and(not(isblank($B497)),$B497=$B496,$A497&lt;&gt;$A496),and(not(isblank($A497)),$A497=$A496,$B497&lt;&gt;$B496)),"ID LISTS UNALIGNED",and($A497&lt;&gt;"",countif('5) Release_Track'!$F:$F,$A497)=0),"NO ISRC MATCH in Release_Track",and($B497&lt;&gt;"",countif('5) Release_Track'!$G:$G,$B497)=0),"NO CATALOG ID MATCH in Release_Track",iserror(vlookup($A497&amp;$B497,'5) Release_Track'!$F:$F&amp;'5) Release_Track'!$G:$G,1,0)),"NO ISRC-CATALOG ID pair MATCH in Release_Track" )</f>
        <v/>
      </c>
      <c r="D497" s="121" t="str">
        <f t="array" ref="D497">ifs(and(isblank($A497),isblank($B497)),"", not(iserror(vlookup($A497&amp;$B497,'5) Release_Track'!$F:$F&amp;'5) Release_Track'!$G:$G,1,0))),vlookup($A497&amp;$B497,{'5) Release_Track'!$F:$F&amp;'5) Release_Track'!$G:$G,'5) Release_Track'!$I:$I},2,0), or(and(not(isblank($B497)),$B497=$B496,$A497&lt;&gt;$A496),and(not(isblank($A497)),$A497=$A496,$B497&lt;&gt;$B496)),"ID LISTS UNALIGNED",and($A497&lt;&gt;"",countif('5) Release_Track'!$F:$F,$A497)=0),"NO ISRC MATCH in Release_Track",and($B497&lt;&gt;"",countif('5) Release_Track'!$G:$G,$B497)=0),"NO CATALOG ID MATCH in Release_Track",iserror(vlookup($A497&amp;$B497,'5) Release_Track'!$F:$F&amp;'5) Release_Track'!$G:$G,1,0)),"NO ISRC-CATALOG ID pair MATCH in Release_Track" )</f>
        <v/>
      </c>
      <c r="E497" s="142" t="b">
        <v>0</v>
      </c>
      <c r="F497" s="142" t="b">
        <v>0</v>
      </c>
      <c r="G497" s="142" t="b">
        <v>0</v>
      </c>
      <c r="H497" s="142" t="b">
        <v>0</v>
      </c>
      <c r="I497" s="142" t="b">
        <v>0</v>
      </c>
      <c r="J497" s="142" t="b">
        <v>0</v>
      </c>
      <c r="K497" s="142" t="b">
        <v>0</v>
      </c>
      <c r="L497" s="8" t="b">
        <v>0</v>
      </c>
    </row>
    <row r="498">
      <c r="B498" s="103"/>
      <c r="C498" s="121" t="str">
        <f t="array" ref="C498">ifs(and(isblank($A498),isblank($B498)),"", not(iserror(vlookup($A498&amp;$B498,'5) Release_Track'!$F:$F&amp;'5) Release_Track'!$G:$G,1,0))),vlookup($A498&amp;$B498,{'5) Release_Track'!$F:$F&amp;'5) Release_Track'!$G:$G,'5) Release_Track'!$H:$H},2,0), or(and(not(isblank($B498)),$B498=$B497,$A498&lt;&gt;$A497),and(not(isblank($A498)),$A498=$A497,$B498&lt;&gt;$B497)),"ID LISTS UNALIGNED",and($A498&lt;&gt;"",countif('5) Release_Track'!$F:$F,$A498)=0),"NO ISRC MATCH in Release_Track",and($B498&lt;&gt;"",countif('5) Release_Track'!$G:$G,$B498)=0),"NO CATALOG ID MATCH in Release_Track",iserror(vlookup($A498&amp;$B498,'5) Release_Track'!$F:$F&amp;'5) Release_Track'!$G:$G,1,0)),"NO ISRC-CATALOG ID pair MATCH in Release_Track" )</f>
        <v/>
      </c>
      <c r="D498" s="121" t="str">
        <f t="array" ref="D498">ifs(and(isblank($A498),isblank($B498)),"", not(iserror(vlookup($A498&amp;$B498,'5) Release_Track'!$F:$F&amp;'5) Release_Track'!$G:$G,1,0))),vlookup($A498&amp;$B498,{'5) Release_Track'!$F:$F&amp;'5) Release_Track'!$G:$G,'5) Release_Track'!$I:$I},2,0), or(and(not(isblank($B498)),$B498=$B497,$A498&lt;&gt;$A497),and(not(isblank($A498)),$A498=$A497,$B498&lt;&gt;$B497)),"ID LISTS UNALIGNED",and($A498&lt;&gt;"",countif('5) Release_Track'!$F:$F,$A498)=0),"NO ISRC MATCH in Release_Track",and($B498&lt;&gt;"",countif('5) Release_Track'!$G:$G,$B498)=0),"NO CATALOG ID MATCH in Release_Track",iserror(vlookup($A498&amp;$B498,'5) Release_Track'!$F:$F&amp;'5) Release_Track'!$G:$G,1,0)),"NO ISRC-CATALOG ID pair MATCH in Release_Track" )</f>
        <v/>
      </c>
      <c r="E498" s="142" t="b">
        <v>0</v>
      </c>
      <c r="F498" s="142" t="b">
        <v>0</v>
      </c>
      <c r="G498" s="142" t="b">
        <v>0</v>
      </c>
      <c r="H498" s="142" t="b">
        <v>0</v>
      </c>
      <c r="I498" s="142" t="b">
        <v>0</v>
      </c>
      <c r="J498" s="142" t="b">
        <v>0</v>
      </c>
      <c r="K498" s="142" t="b">
        <v>0</v>
      </c>
      <c r="L498" s="8" t="b">
        <v>0</v>
      </c>
    </row>
    <row r="499">
      <c r="B499" s="103"/>
      <c r="C499" s="121" t="str">
        <f t="array" ref="C499">ifs(and(isblank($A499),isblank($B499)),"", not(iserror(vlookup($A499&amp;$B499,'5) Release_Track'!$F:$F&amp;'5) Release_Track'!$G:$G,1,0))),vlookup($A499&amp;$B499,{'5) Release_Track'!$F:$F&amp;'5) Release_Track'!$G:$G,'5) Release_Track'!$H:$H},2,0), or(and(not(isblank($B499)),$B499=$B498,$A499&lt;&gt;$A498),and(not(isblank($A499)),$A499=$A498,$B499&lt;&gt;$B498)),"ID LISTS UNALIGNED",and($A499&lt;&gt;"",countif('5) Release_Track'!$F:$F,$A499)=0),"NO ISRC MATCH in Release_Track",and($B499&lt;&gt;"",countif('5) Release_Track'!$G:$G,$B499)=0),"NO CATALOG ID MATCH in Release_Track",iserror(vlookup($A499&amp;$B499,'5) Release_Track'!$F:$F&amp;'5) Release_Track'!$G:$G,1,0)),"NO ISRC-CATALOG ID pair MATCH in Release_Track" )</f>
        <v/>
      </c>
      <c r="D499" s="121" t="str">
        <f t="array" ref="D499">ifs(and(isblank($A499),isblank($B499)),"", not(iserror(vlookup($A499&amp;$B499,'5) Release_Track'!$F:$F&amp;'5) Release_Track'!$G:$G,1,0))),vlookup($A499&amp;$B499,{'5) Release_Track'!$F:$F&amp;'5) Release_Track'!$G:$G,'5) Release_Track'!$I:$I},2,0), or(and(not(isblank($B499)),$B499=$B498,$A499&lt;&gt;$A498),and(not(isblank($A499)),$A499=$A498,$B499&lt;&gt;$B498)),"ID LISTS UNALIGNED",and($A499&lt;&gt;"",countif('5) Release_Track'!$F:$F,$A499)=0),"NO ISRC MATCH in Release_Track",and($B499&lt;&gt;"",countif('5) Release_Track'!$G:$G,$B499)=0),"NO CATALOG ID MATCH in Release_Track",iserror(vlookup($A499&amp;$B499,'5) Release_Track'!$F:$F&amp;'5) Release_Track'!$G:$G,1,0)),"NO ISRC-CATALOG ID pair MATCH in Release_Track" )</f>
        <v/>
      </c>
      <c r="E499" s="142" t="b">
        <v>0</v>
      </c>
      <c r="F499" s="142" t="b">
        <v>0</v>
      </c>
      <c r="G499" s="142" t="b">
        <v>0</v>
      </c>
      <c r="H499" s="142" t="b">
        <v>0</v>
      </c>
      <c r="I499" s="142" t="b">
        <v>0</v>
      </c>
      <c r="J499" s="142" t="b">
        <v>0</v>
      </c>
      <c r="K499" s="142" t="b">
        <v>0</v>
      </c>
      <c r="L499" s="8" t="b">
        <v>0</v>
      </c>
    </row>
    <row r="500">
      <c r="B500" s="103"/>
      <c r="C500" s="121" t="str">
        <f t="array" ref="C500">ifs(and(isblank($A500),isblank($B500)),"", not(iserror(vlookup($A500&amp;$B500,'5) Release_Track'!$F:$F&amp;'5) Release_Track'!$G:$G,1,0))),vlookup($A500&amp;$B500,{'5) Release_Track'!$F:$F&amp;'5) Release_Track'!$G:$G,'5) Release_Track'!$H:$H},2,0), or(and(not(isblank($B500)),$B500=$B499,$A500&lt;&gt;$A499),and(not(isblank($A500)),$A500=$A499,$B500&lt;&gt;$B499)),"ID LISTS UNALIGNED",and($A500&lt;&gt;"",countif('5) Release_Track'!$F:$F,$A500)=0),"NO ISRC MATCH in Release_Track",and($B500&lt;&gt;"",countif('5) Release_Track'!$G:$G,$B500)=0),"NO CATALOG ID MATCH in Release_Track",iserror(vlookup($A500&amp;$B500,'5) Release_Track'!$F:$F&amp;'5) Release_Track'!$G:$G,1,0)),"NO ISRC-CATALOG ID pair MATCH in Release_Track" )</f>
        <v/>
      </c>
      <c r="D500" s="121" t="str">
        <f t="array" ref="D500">ifs(and(isblank($A500),isblank($B500)),"", not(iserror(vlookup($A500&amp;$B500,'5) Release_Track'!$F:$F&amp;'5) Release_Track'!$G:$G,1,0))),vlookup($A500&amp;$B500,{'5) Release_Track'!$F:$F&amp;'5) Release_Track'!$G:$G,'5) Release_Track'!$I:$I},2,0), or(and(not(isblank($B500)),$B500=$B499,$A500&lt;&gt;$A499),and(not(isblank($A500)),$A500=$A499,$B500&lt;&gt;$B499)),"ID LISTS UNALIGNED",and($A500&lt;&gt;"",countif('5) Release_Track'!$F:$F,$A500)=0),"NO ISRC MATCH in Release_Track",and($B500&lt;&gt;"",countif('5) Release_Track'!$G:$G,$B500)=0),"NO CATALOG ID MATCH in Release_Track",iserror(vlookup($A500&amp;$B500,'5) Release_Track'!$F:$F&amp;'5) Release_Track'!$G:$G,1,0)),"NO ISRC-CATALOG ID pair MATCH in Release_Track" )</f>
        <v/>
      </c>
      <c r="E500" s="142" t="b">
        <v>0</v>
      </c>
      <c r="F500" s="142" t="b">
        <v>0</v>
      </c>
      <c r="G500" s="142" t="b">
        <v>0</v>
      </c>
      <c r="H500" s="142" t="b">
        <v>0</v>
      </c>
      <c r="I500" s="142" t="b">
        <v>0</v>
      </c>
      <c r="J500" s="142" t="b">
        <v>0</v>
      </c>
      <c r="K500" s="142" t="b">
        <v>0</v>
      </c>
      <c r="L500" s="8" t="b">
        <v>0</v>
      </c>
    </row>
    <row r="501">
      <c r="B501" s="103"/>
      <c r="C501" s="121" t="str">
        <f t="array" ref="C501">ifs(and(isblank($A501),isblank($B501)),"", not(iserror(vlookup($A501&amp;$B501,'5) Release_Track'!$F:$F&amp;'5) Release_Track'!$G:$G,1,0))),vlookup($A501&amp;$B501,{'5) Release_Track'!$F:$F&amp;'5) Release_Track'!$G:$G,'5) Release_Track'!$H:$H},2,0), or(and(not(isblank($B501)),$B501=$B500,$A501&lt;&gt;$A500),and(not(isblank($A501)),$A501=$A500,$B501&lt;&gt;$B500)),"ID LISTS UNALIGNED",and($A501&lt;&gt;"",countif('5) Release_Track'!$F:$F,$A501)=0),"NO ISRC MATCH in Release_Track",and($B501&lt;&gt;"",countif('5) Release_Track'!$G:$G,$B501)=0),"NO CATALOG ID MATCH in Release_Track",iserror(vlookup($A501&amp;$B501,'5) Release_Track'!$F:$F&amp;'5) Release_Track'!$G:$G,1,0)),"NO ISRC-CATALOG ID pair MATCH in Release_Track" )</f>
        <v/>
      </c>
      <c r="D501" s="121" t="str">
        <f t="array" ref="D501">ifs(and(isblank($A501),isblank($B501)),"", not(iserror(vlookup($A501&amp;$B501,'5) Release_Track'!$F:$F&amp;'5) Release_Track'!$G:$G,1,0))),vlookup($A501&amp;$B501,{'5) Release_Track'!$F:$F&amp;'5) Release_Track'!$G:$G,'5) Release_Track'!$I:$I},2,0), or(and(not(isblank($B501)),$B501=$B500,$A501&lt;&gt;$A500),and(not(isblank($A501)),$A501=$A500,$B501&lt;&gt;$B500)),"ID LISTS UNALIGNED",and($A501&lt;&gt;"",countif('5) Release_Track'!$F:$F,$A501)=0),"NO ISRC MATCH in Release_Track",and($B501&lt;&gt;"",countif('5) Release_Track'!$G:$G,$B501)=0),"NO CATALOG ID MATCH in Release_Track",iserror(vlookup($A501&amp;$B501,'5) Release_Track'!$F:$F&amp;'5) Release_Track'!$G:$G,1,0)),"NO ISRC-CATALOG ID pair MATCH in Release_Track" )</f>
        <v/>
      </c>
      <c r="E501" s="142" t="b">
        <v>0</v>
      </c>
      <c r="F501" s="142" t="b">
        <v>0</v>
      </c>
      <c r="G501" s="142" t="b">
        <v>0</v>
      </c>
      <c r="H501" s="142" t="b">
        <v>0</v>
      </c>
      <c r="I501" s="142" t="b">
        <v>0</v>
      </c>
      <c r="J501" s="142" t="b">
        <v>0</v>
      </c>
      <c r="K501" s="142" t="b">
        <v>0</v>
      </c>
      <c r="L501" s="8" t="b">
        <v>0</v>
      </c>
    </row>
    <row r="502">
      <c r="B502" s="103"/>
      <c r="C502" s="121" t="str">
        <f t="array" ref="C502">ifs(and(isblank($A502),isblank($B502)),"", not(iserror(vlookup($A502&amp;$B502,'5) Release_Track'!$F:$F&amp;'5) Release_Track'!$G:$G,1,0))),vlookup($A502&amp;$B502,{'5) Release_Track'!$F:$F&amp;'5) Release_Track'!$G:$G,'5) Release_Track'!$H:$H},2,0), or(and(not(isblank($B502)),$B502=$B501,$A502&lt;&gt;$A501),and(not(isblank($A502)),$A502=$A501,$B502&lt;&gt;$B501)),"ID LISTS UNALIGNED",and($A502&lt;&gt;"",countif('5) Release_Track'!$F:$F,$A502)=0),"NO ISRC MATCH in Release_Track",and($B502&lt;&gt;"",countif('5) Release_Track'!$G:$G,$B502)=0),"NO CATALOG ID MATCH in Release_Track",iserror(vlookup($A502&amp;$B502,'5) Release_Track'!$F:$F&amp;'5) Release_Track'!$G:$G,1,0)),"NO ISRC-CATALOG ID pair MATCH in Release_Track" )</f>
        <v/>
      </c>
      <c r="D502" s="121" t="str">
        <f t="array" ref="D502">ifs(and(isblank($A502),isblank($B502)),"", not(iserror(vlookup($A502&amp;$B502,'5) Release_Track'!$F:$F&amp;'5) Release_Track'!$G:$G,1,0))),vlookup($A502&amp;$B502,{'5) Release_Track'!$F:$F&amp;'5) Release_Track'!$G:$G,'5) Release_Track'!$I:$I},2,0), or(and(not(isblank($B502)),$B502=$B501,$A502&lt;&gt;$A501),and(not(isblank($A502)),$A502=$A501,$B502&lt;&gt;$B501)),"ID LISTS UNALIGNED",and($A502&lt;&gt;"",countif('5) Release_Track'!$F:$F,$A502)=0),"NO ISRC MATCH in Release_Track",and($B502&lt;&gt;"",countif('5) Release_Track'!$G:$G,$B502)=0),"NO CATALOG ID MATCH in Release_Track",iserror(vlookup($A502&amp;$B502,'5) Release_Track'!$F:$F&amp;'5) Release_Track'!$G:$G,1,0)),"NO ISRC-CATALOG ID pair MATCH in Release_Track" )</f>
        <v/>
      </c>
      <c r="E502" s="142" t="b">
        <v>0</v>
      </c>
      <c r="F502" s="142" t="b">
        <v>0</v>
      </c>
      <c r="G502" s="142" t="b">
        <v>0</v>
      </c>
      <c r="H502" s="142" t="b">
        <v>0</v>
      </c>
      <c r="I502" s="142" t="b">
        <v>0</v>
      </c>
      <c r="J502" s="142" t="b">
        <v>0</v>
      </c>
      <c r="K502" s="142" t="b">
        <v>0</v>
      </c>
      <c r="L502" s="8" t="b">
        <v>0</v>
      </c>
    </row>
    <row r="503">
      <c r="B503" s="103"/>
      <c r="C503" s="121" t="str">
        <f t="array" ref="C503">ifs(and(isblank($A503),isblank($B503)),"", not(iserror(vlookup($A503&amp;$B503,'5) Release_Track'!$F:$F&amp;'5) Release_Track'!$G:$G,1,0))),vlookup($A503&amp;$B503,{'5) Release_Track'!$F:$F&amp;'5) Release_Track'!$G:$G,'5) Release_Track'!$H:$H},2,0), or(and(not(isblank($B503)),$B503=$B502,$A503&lt;&gt;$A502),and(not(isblank($A503)),$A503=$A502,$B503&lt;&gt;$B502)),"ID LISTS UNALIGNED",and($A503&lt;&gt;"",countif('5) Release_Track'!$F:$F,$A503)=0),"NO ISRC MATCH in Release_Track",and($B503&lt;&gt;"",countif('5) Release_Track'!$G:$G,$B503)=0),"NO CATALOG ID MATCH in Release_Track",iserror(vlookup($A503&amp;$B503,'5) Release_Track'!$F:$F&amp;'5) Release_Track'!$G:$G,1,0)),"NO ISRC-CATALOG ID pair MATCH in Release_Track" )</f>
        <v/>
      </c>
      <c r="D503" s="121" t="str">
        <f t="array" ref="D503">ifs(and(isblank($A503),isblank($B503)),"", not(iserror(vlookup($A503&amp;$B503,'5) Release_Track'!$F:$F&amp;'5) Release_Track'!$G:$G,1,0))),vlookup($A503&amp;$B503,{'5) Release_Track'!$F:$F&amp;'5) Release_Track'!$G:$G,'5) Release_Track'!$I:$I},2,0), or(and(not(isblank($B503)),$B503=$B502,$A503&lt;&gt;$A502),and(not(isblank($A503)),$A503=$A502,$B503&lt;&gt;$B502)),"ID LISTS UNALIGNED",and($A503&lt;&gt;"",countif('5) Release_Track'!$F:$F,$A503)=0),"NO ISRC MATCH in Release_Track",and($B503&lt;&gt;"",countif('5) Release_Track'!$G:$G,$B503)=0),"NO CATALOG ID MATCH in Release_Track",iserror(vlookup($A503&amp;$B503,'5) Release_Track'!$F:$F&amp;'5) Release_Track'!$G:$G,1,0)),"NO ISRC-CATALOG ID pair MATCH in Release_Track" )</f>
        <v/>
      </c>
      <c r="E503" s="142" t="b">
        <v>0</v>
      </c>
      <c r="F503" s="142" t="b">
        <v>0</v>
      </c>
      <c r="G503" s="142" t="b">
        <v>0</v>
      </c>
      <c r="H503" s="142" t="b">
        <v>0</v>
      </c>
      <c r="I503" s="142" t="b">
        <v>0</v>
      </c>
      <c r="J503" s="142" t="b">
        <v>0</v>
      </c>
      <c r="K503" s="142" t="b">
        <v>0</v>
      </c>
      <c r="L503" s="8" t="b">
        <v>0</v>
      </c>
    </row>
    <row r="504">
      <c r="B504" s="103"/>
      <c r="C504" s="121" t="str">
        <f t="array" ref="C504">ifs(and(isblank($A504),isblank($B504)),"", not(iserror(vlookup($A504&amp;$B504,'5) Release_Track'!$F:$F&amp;'5) Release_Track'!$G:$G,1,0))),vlookup($A504&amp;$B504,{'5) Release_Track'!$F:$F&amp;'5) Release_Track'!$G:$G,'5) Release_Track'!$H:$H},2,0), or(and(not(isblank($B504)),$B504=$B503,$A504&lt;&gt;$A503),and(not(isblank($A504)),$A504=$A503,$B504&lt;&gt;$B503)),"ID LISTS UNALIGNED",and($A504&lt;&gt;"",countif('5) Release_Track'!$F:$F,$A504)=0),"NO ISRC MATCH in Release_Track",and($B504&lt;&gt;"",countif('5) Release_Track'!$G:$G,$B504)=0),"NO CATALOG ID MATCH in Release_Track",iserror(vlookup($A504&amp;$B504,'5) Release_Track'!$F:$F&amp;'5) Release_Track'!$G:$G,1,0)),"NO ISRC-CATALOG ID pair MATCH in Release_Track" )</f>
        <v/>
      </c>
      <c r="D504" s="121" t="str">
        <f t="array" ref="D504">ifs(and(isblank($A504),isblank($B504)),"", not(iserror(vlookup($A504&amp;$B504,'5) Release_Track'!$F:$F&amp;'5) Release_Track'!$G:$G,1,0))),vlookup($A504&amp;$B504,{'5) Release_Track'!$F:$F&amp;'5) Release_Track'!$G:$G,'5) Release_Track'!$I:$I},2,0), or(and(not(isblank($B504)),$B504=$B503,$A504&lt;&gt;$A503),and(not(isblank($A504)),$A504=$A503,$B504&lt;&gt;$B503)),"ID LISTS UNALIGNED",and($A504&lt;&gt;"",countif('5) Release_Track'!$F:$F,$A504)=0),"NO ISRC MATCH in Release_Track",and($B504&lt;&gt;"",countif('5) Release_Track'!$G:$G,$B504)=0),"NO CATALOG ID MATCH in Release_Track",iserror(vlookup($A504&amp;$B504,'5) Release_Track'!$F:$F&amp;'5) Release_Track'!$G:$G,1,0)),"NO ISRC-CATALOG ID pair MATCH in Release_Track" )</f>
        <v/>
      </c>
      <c r="E504" s="142" t="b">
        <v>0</v>
      </c>
      <c r="F504" s="142" t="b">
        <v>0</v>
      </c>
      <c r="G504" s="142" t="b">
        <v>0</v>
      </c>
      <c r="H504" s="142" t="b">
        <v>0</v>
      </c>
      <c r="I504" s="142" t="b">
        <v>0</v>
      </c>
      <c r="J504" s="142" t="b">
        <v>0</v>
      </c>
      <c r="K504" s="142" t="b">
        <v>0</v>
      </c>
      <c r="L504" s="8" t="b">
        <v>0</v>
      </c>
    </row>
    <row r="505">
      <c r="B505" s="103"/>
      <c r="C505" s="121" t="str">
        <f t="array" ref="C505">ifs(and(isblank($A505),isblank($B505)),"", not(iserror(vlookup($A505&amp;$B505,'5) Release_Track'!$F:$F&amp;'5) Release_Track'!$G:$G,1,0))),vlookup($A505&amp;$B505,{'5) Release_Track'!$F:$F&amp;'5) Release_Track'!$G:$G,'5) Release_Track'!$H:$H},2,0), or(and(not(isblank($B505)),$B505=$B504,$A505&lt;&gt;$A504),and(not(isblank($A505)),$A505=$A504,$B505&lt;&gt;$B504)),"ID LISTS UNALIGNED",and($A505&lt;&gt;"",countif('5) Release_Track'!$F:$F,$A505)=0),"NO ISRC MATCH in Release_Track",and($B505&lt;&gt;"",countif('5) Release_Track'!$G:$G,$B505)=0),"NO CATALOG ID MATCH in Release_Track",iserror(vlookup($A505&amp;$B505,'5) Release_Track'!$F:$F&amp;'5) Release_Track'!$G:$G,1,0)),"NO ISRC-CATALOG ID pair MATCH in Release_Track" )</f>
        <v/>
      </c>
      <c r="D505" s="121" t="str">
        <f t="array" ref="D505">ifs(and(isblank($A505),isblank($B505)),"", not(iserror(vlookup($A505&amp;$B505,'5) Release_Track'!$F:$F&amp;'5) Release_Track'!$G:$G,1,0))),vlookup($A505&amp;$B505,{'5) Release_Track'!$F:$F&amp;'5) Release_Track'!$G:$G,'5) Release_Track'!$I:$I},2,0), or(and(not(isblank($B505)),$B505=$B504,$A505&lt;&gt;$A504),and(not(isblank($A505)),$A505=$A504,$B505&lt;&gt;$B504)),"ID LISTS UNALIGNED",and($A505&lt;&gt;"",countif('5) Release_Track'!$F:$F,$A505)=0),"NO ISRC MATCH in Release_Track",and($B505&lt;&gt;"",countif('5) Release_Track'!$G:$G,$B505)=0),"NO CATALOG ID MATCH in Release_Track",iserror(vlookup($A505&amp;$B505,'5) Release_Track'!$F:$F&amp;'5) Release_Track'!$G:$G,1,0)),"NO ISRC-CATALOG ID pair MATCH in Release_Track" )</f>
        <v/>
      </c>
      <c r="E505" s="142" t="b">
        <v>0</v>
      </c>
      <c r="F505" s="142" t="b">
        <v>0</v>
      </c>
      <c r="G505" s="142" t="b">
        <v>0</v>
      </c>
      <c r="H505" s="142" t="b">
        <v>0</v>
      </c>
      <c r="I505" s="142" t="b">
        <v>0</v>
      </c>
      <c r="J505" s="142" t="b">
        <v>0</v>
      </c>
      <c r="K505" s="142" t="b">
        <v>0</v>
      </c>
      <c r="L505" s="8" t="b">
        <v>0</v>
      </c>
    </row>
    <row r="506">
      <c r="B506" s="103"/>
      <c r="C506" s="121" t="str">
        <f t="array" ref="C506">ifs(and(isblank($A506),isblank($B506)),"", not(iserror(vlookup($A506&amp;$B506,'5) Release_Track'!$F:$F&amp;'5) Release_Track'!$G:$G,1,0))),vlookup($A506&amp;$B506,{'5) Release_Track'!$F:$F&amp;'5) Release_Track'!$G:$G,'5) Release_Track'!$H:$H},2,0), or(and(not(isblank($B506)),$B506=$B505,$A506&lt;&gt;$A505),and(not(isblank($A506)),$A506=$A505,$B506&lt;&gt;$B505)),"ID LISTS UNALIGNED",and($A506&lt;&gt;"",countif('5) Release_Track'!$F:$F,$A506)=0),"NO ISRC MATCH in Release_Track",and($B506&lt;&gt;"",countif('5) Release_Track'!$G:$G,$B506)=0),"NO CATALOG ID MATCH in Release_Track",iserror(vlookup($A506&amp;$B506,'5) Release_Track'!$F:$F&amp;'5) Release_Track'!$G:$G,1,0)),"NO ISRC-CATALOG ID pair MATCH in Release_Track" )</f>
        <v/>
      </c>
      <c r="D506" s="121" t="str">
        <f t="array" ref="D506">ifs(and(isblank($A506),isblank($B506)),"", not(iserror(vlookup($A506&amp;$B506,'5) Release_Track'!$F:$F&amp;'5) Release_Track'!$G:$G,1,0))),vlookup($A506&amp;$B506,{'5) Release_Track'!$F:$F&amp;'5) Release_Track'!$G:$G,'5) Release_Track'!$I:$I},2,0), or(and(not(isblank($B506)),$B506=$B505,$A506&lt;&gt;$A505),and(not(isblank($A506)),$A506=$A505,$B506&lt;&gt;$B505)),"ID LISTS UNALIGNED",and($A506&lt;&gt;"",countif('5) Release_Track'!$F:$F,$A506)=0),"NO ISRC MATCH in Release_Track",and($B506&lt;&gt;"",countif('5) Release_Track'!$G:$G,$B506)=0),"NO CATALOG ID MATCH in Release_Track",iserror(vlookup($A506&amp;$B506,'5) Release_Track'!$F:$F&amp;'5) Release_Track'!$G:$G,1,0)),"NO ISRC-CATALOG ID pair MATCH in Release_Track" )</f>
        <v/>
      </c>
      <c r="E506" s="142" t="b">
        <v>0</v>
      </c>
      <c r="F506" s="142" t="b">
        <v>0</v>
      </c>
      <c r="G506" s="142" t="b">
        <v>0</v>
      </c>
      <c r="H506" s="142" t="b">
        <v>0</v>
      </c>
      <c r="I506" s="142" t="b">
        <v>0</v>
      </c>
      <c r="J506" s="142" t="b">
        <v>0</v>
      </c>
      <c r="K506" s="142" t="b">
        <v>0</v>
      </c>
      <c r="L506" s="8" t="b">
        <v>0</v>
      </c>
    </row>
    <row r="507">
      <c r="B507" s="103"/>
      <c r="C507" s="121" t="str">
        <f t="array" ref="C507">ifs(and(isblank($A507),isblank($B507)),"", not(iserror(vlookup($A507&amp;$B507,'5) Release_Track'!$F:$F&amp;'5) Release_Track'!$G:$G,1,0))),vlookup($A507&amp;$B507,{'5) Release_Track'!$F:$F&amp;'5) Release_Track'!$G:$G,'5) Release_Track'!$H:$H},2,0), or(and(not(isblank($B507)),$B507=$B506,$A507&lt;&gt;$A506),and(not(isblank($A507)),$A507=$A506,$B507&lt;&gt;$B506)),"ID LISTS UNALIGNED",and($A507&lt;&gt;"",countif('5) Release_Track'!$F:$F,$A507)=0),"NO ISRC MATCH in Release_Track",and($B507&lt;&gt;"",countif('5) Release_Track'!$G:$G,$B507)=0),"NO CATALOG ID MATCH in Release_Track",iserror(vlookup($A507&amp;$B507,'5) Release_Track'!$F:$F&amp;'5) Release_Track'!$G:$G,1,0)),"NO ISRC-CATALOG ID pair MATCH in Release_Track" )</f>
        <v/>
      </c>
      <c r="D507" s="121" t="str">
        <f t="array" ref="D507">ifs(and(isblank($A507),isblank($B507)),"", not(iserror(vlookup($A507&amp;$B507,'5) Release_Track'!$F:$F&amp;'5) Release_Track'!$G:$G,1,0))),vlookup($A507&amp;$B507,{'5) Release_Track'!$F:$F&amp;'5) Release_Track'!$G:$G,'5) Release_Track'!$I:$I},2,0), or(and(not(isblank($B507)),$B507=$B506,$A507&lt;&gt;$A506),and(not(isblank($A507)),$A507=$A506,$B507&lt;&gt;$B506)),"ID LISTS UNALIGNED",and($A507&lt;&gt;"",countif('5) Release_Track'!$F:$F,$A507)=0),"NO ISRC MATCH in Release_Track",and($B507&lt;&gt;"",countif('5) Release_Track'!$G:$G,$B507)=0),"NO CATALOG ID MATCH in Release_Track",iserror(vlookup($A507&amp;$B507,'5) Release_Track'!$F:$F&amp;'5) Release_Track'!$G:$G,1,0)),"NO ISRC-CATALOG ID pair MATCH in Release_Track" )</f>
        <v/>
      </c>
      <c r="E507" s="142" t="b">
        <v>0</v>
      </c>
      <c r="F507" s="142" t="b">
        <v>0</v>
      </c>
      <c r="G507" s="142" t="b">
        <v>0</v>
      </c>
      <c r="H507" s="142" t="b">
        <v>0</v>
      </c>
      <c r="I507" s="142" t="b">
        <v>0</v>
      </c>
      <c r="J507" s="142" t="b">
        <v>0</v>
      </c>
      <c r="K507" s="142" t="b">
        <v>0</v>
      </c>
      <c r="L507" s="8" t="b">
        <v>0</v>
      </c>
    </row>
    <row r="508">
      <c r="B508" s="103"/>
      <c r="C508" s="121" t="str">
        <f t="array" ref="C508">ifs(and(isblank($A508),isblank($B508)),"", not(iserror(vlookup($A508&amp;$B508,'5) Release_Track'!$F:$F&amp;'5) Release_Track'!$G:$G,1,0))),vlookup($A508&amp;$B508,{'5) Release_Track'!$F:$F&amp;'5) Release_Track'!$G:$G,'5) Release_Track'!$H:$H},2,0), or(and(not(isblank($B508)),$B508=$B507,$A508&lt;&gt;$A507),and(not(isblank($A508)),$A508=$A507,$B508&lt;&gt;$B507)),"ID LISTS UNALIGNED",and($A508&lt;&gt;"",countif('5) Release_Track'!$F:$F,$A508)=0),"NO ISRC MATCH in Release_Track",and($B508&lt;&gt;"",countif('5) Release_Track'!$G:$G,$B508)=0),"NO CATALOG ID MATCH in Release_Track",iserror(vlookup($A508&amp;$B508,'5) Release_Track'!$F:$F&amp;'5) Release_Track'!$G:$G,1,0)),"NO ISRC-CATALOG ID pair MATCH in Release_Track" )</f>
        <v/>
      </c>
      <c r="D508" s="121" t="str">
        <f t="array" ref="D508">ifs(and(isblank($A508),isblank($B508)),"", not(iserror(vlookup($A508&amp;$B508,'5) Release_Track'!$F:$F&amp;'5) Release_Track'!$G:$G,1,0))),vlookup($A508&amp;$B508,{'5) Release_Track'!$F:$F&amp;'5) Release_Track'!$G:$G,'5) Release_Track'!$I:$I},2,0), or(and(not(isblank($B508)),$B508=$B507,$A508&lt;&gt;$A507),and(not(isblank($A508)),$A508=$A507,$B508&lt;&gt;$B507)),"ID LISTS UNALIGNED",and($A508&lt;&gt;"",countif('5) Release_Track'!$F:$F,$A508)=0),"NO ISRC MATCH in Release_Track",and($B508&lt;&gt;"",countif('5) Release_Track'!$G:$G,$B508)=0),"NO CATALOG ID MATCH in Release_Track",iserror(vlookup($A508&amp;$B508,'5) Release_Track'!$F:$F&amp;'5) Release_Track'!$G:$G,1,0)),"NO ISRC-CATALOG ID pair MATCH in Release_Track" )</f>
        <v/>
      </c>
      <c r="E508" s="142" t="b">
        <v>0</v>
      </c>
      <c r="F508" s="142" t="b">
        <v>0</v>
      </c>
      <c r="G508" s="142" t="b">
        <v>0</v>
      </c>
      <c r="H508" s="142" t="b">
        <v>0</v>
      </c>
      <c r="I508" s="142" t="b">
        <v>0</v>
      </c>
      <c r="J508" s="142" t="b">
        <v>0</v>
      </c>
      <c r="K508" s="142" t="b">
        <v>0</v>
      </c>
      <c r="L508" s="8" t="b">
        <v>0</v>
      </c>
    </row>
    <row r="509">
      <c r="B509" s="103"/>
      <c r="C509" s="121" t="str">
        <f t="array" ref="C509">ifs(and(isblank($A509),isblank($B509)),"", not(iserror(vlookup($A509&amp;$B509,'5) Release_Track'!$F:$F&amp;'5) Release_Track'!$G:$G,1,0))),vlookup($A509&amp;$B509,{'5) Release_Track'!$F:$F&amp;'5) Release_Track'!$G:$G,'5) Release_Track'!$H:$H},2,0), or(and(not(isblank($B509)),$B509=$B508,$A509&lt;&gt;$A508),and(not(isblank($A509)),$A509=$A508,$B509&lt;&gt;$B508)),"ID LISTS UNALIGNED",and($A509&lt;&gt;"",countif('5) Release_Track'!$F:$F,$A509)=0),"NO ISRC MATCH in Release_Track",and($B509&lt;&gt;"",countif('5) Release_Track'!$G:$G,$B509)=0),"NO CATALOG ID MATCH in Release_Track",iserror(vlookup($A509&amp;$B509,'5) Release_Track'!$F:$F&amp;'5) Release_Track'!$G:$G,1,0)),"NO ISRC-CATALOG ID pair MATCH in Release_Track" )</f>
        <v/>
      </c>
      <c r="D509" s="121" t="str">
        <f t="array" ref="D509">ifs(and(isblank($A509),isblank($B509)),"", not(iserror(vlookup($A509&amp;$B509,'5) Release_Track'!$F:$F&amp;'5) Release_Track'!$G:$G,1,0))),vlookup($A509&amp;$B509,{'5) Release_Track'!$F:$F&amp;'5) Release_Track'!$G:$G,'5) Release_Track'!$I:$I},2,0), or(and(not(isblank($B509)),$B509=$B508,$A509&lt;&gt;$A508),and(not(isblank($A509)),$A509=$A508,$B509&lt;&gt;$B508)),"ID LISTS UNALIGNED",and($A509&lt;&gt;"",countif('5) Release_Track'!$F:$F,$A509)=0),"NO ISRC MATCH in Release_Track",and($B509&lt;&gt;"",countif('5) Release_Track'!$G:$G,$B509)=0),"NO CATALOG ID MATCH in Release_Track",iserror(vlookup($A509&amp;$B509,'5) Release_Track'!$F:$F&amp;'5) Release_Track'!$G:$G,1,0)),"NO ISRC-CATALOG ID pair MATCH in Release_Track" )</f>
        <v/>
      </c>
      <c r="E509" s="142" t="b">
        <v>0</v>
      </c>
      <c r="F509" s="142" t="b">
        <v>0</v>
      </c>
      <c r="G509" s="142" t="b">
        <v>0</v>
      </c>
      <c r="H509" s="142" t="b">
        <v>0</v>
      </c>
      <c r="I509" s="142" t="b">
        <v>0</v>
      </c>
      <c r="J509" s="142" t="b">
        <v>0</v>
      </c>
      <c r="K509" s="142" t="b">
        <v>0</v>
      </c>
      <c r="L509" s="8" t="b">
        <v>0</v>
      </c>
    </row>
    <row r="510">
      <c r="B510" s="103"/>
      <c r="C510" s="121" t="str">
        <f t="array" ref="C510">ifs(and(isblank($A510),isblank($B510)),"", not(iserror(vlookup($A510&amp;$B510,'5) Release_Track'!$F:$F&amp;'5) Release_Track'!$G:$G,1,0))),vlookup($A510&amp;$B510,{'5) Release_Track'!$F:$F&amp;'5) Release_Track'!$G:$G,'5) Release_Track'!$H:$H},2,0), or(and(not(isblank($B510)),$B510=$B509,$A510&lt;&gt;$A509),and(not(isblank($A510)),$A510=$A509,$B510&lt;&gt;$B509)),"ID LISTS UNALIGNED",and($A510&lt;&gt;"",countif('5) Release_Track'!$F:$F,$A510)=0),"NO ISRC MATCH in Release_Track",and($B510&lt;&gt;"",countif('5) Release_Track'!$G:$G,$B510)=0),"NO CATALOG ID MATCH in Release_Track",iserror(vlookup($A510&amp;$B510,'5) Release_Track'!$F:$F&amp;'5) Release_Track'!$G:$G,1,0)),"NO ISRC-CATALOG ID pair MATCH in Release_Track" )</f>
        <v/>
      </c>
      <c r="D510" s="121" t="str">
        <f t="array" ref="D510">ifs(and(isblank($A510),isblank($B510)),"", not(iserror(vlookup($A510&amp;$B510,'5) Release_Track'!$F:$F&amp;'5) Release_Track'!$G:$G,1,0))),vlookup($A510&amp;$B510,{'5) Release_Track'!$F:$F&amp;'5) Release_Track'!$G:$G,'5) Release_Track'!$I:$I},2,0), or(and(not(isblank($B510)),$B510=$B509,$A510&lt;&gt;$A509),and(not(isblank($A510)),$A510=$A509,$B510&lt;&gt;$B509)),"ID LISTS UNALIGNED",and($A510&lt;&gt;"",countif('5) Release_Track'!$F:$F,$A510)=0),"NO ISRC MATCH in Release_Track",and($B510&lt;&gt;"",countif('5) Release_Track'!$G:$G,$B510)=0),"NO CATALOG ID MATCH in Release_Track",iserror(vlookup($A510&amp;$B510,'5) Release_Track'!$F:$F&amp;'5) Release_Track'!$G:$G,1,0)),"NO ISRC-CATALOG ID pair MATCH in Release_Track" )</f>
        <v/>
      </c>
      <c r="E510" s="142" t="b">
        <v>0</v>
      </c>
      <c r="F510" s="142" t="b">
        <v>0</v>
      </c>
      <c r="G510" s="142" t="b">
        <v>0</v>
      </c>
      <c r="H510" s="142" t="b">
        <v>0</v>
      </c>
      <c r="I510" s="142" t="b">
        <v>0</v>
      </c>
      <c r="J510" s="142" t="b">
        <v>0</v>
      </c>
      <c r="K510" s="142" t="b">
        <v>0</v>
      </c>
      <c r="L510" s="8" t="b">
        <v>0</v>
      </c>
    </row>
    <row r="511">
      <c r="B511" s="103"/>
      <c r="C511" s="121" t="str">
        <f t="array" ref="C511">ifs(and(isblank($A511),isblank($B511)),"", not(iserror(vlookup($A511&amp;$B511,'5) Release_Track'!$F:$F&amp;'5) Release_Track'!$G:$G,1,0))),vlookup($A511&amp;$B511,{'5) Release_Track'!$F:$F&amp;'5) Release_Track'!$G:$G,'5) Release_Track'!$H:$H},2,0), or(and(not(isblank($B511)),$B511=$B510,$A511&lt;&gt;$A510),and(not(isblank($A511)),$A511=$A510,$B511&lt;&gt;$B510)),"ID LISTS UNALIGNED",and($A511&lt;&gt;"",countif('5) Release_Track'!$F:$F,$A511)=0),"NO ISRC MATCH in Release_Track",and($B511&lt;&gt;"",countif('5) Release_Track'!$G:$G,$B511)=0),"NO CATALOG ID MATCH in Release_Track",iserror(vlookup($A511&amp;$B511,'5) Release_Track'!$F:$F&amp;'5) Release_Track'!$G:$G,1,0)),"NO ISRC-CATALOG ID pair MATCH in Release_Track" )</f>
        <v/>
      </c>
      <c r="D511" s="121" t="str">
        <f t="array" ref="D511">ifs(and(isblank($A511),isblank($B511)),"", not(iserror(vlookup($A511&amp;$B511,'5) Release_Track'!$F:$F&amp;'5) Release_Track'!$G:$G,1,0))),vlookup($A511&amp;$B511,{'5) Release_Track'!$F:$F&amp;'5) Release_Track'!$G:$G,'5) Release_Track'!$I:$I},2,0), or(and(not(isblank($B511)),$B511=$B510,$A511&lt;&gt;$A510),and(not(isblank($A511)),$A511=$A510,$B511&lt;&gt;$B510)),"ID LISTS UNALIGNED",and($A511&lt;&gt;"",countif('5) Release_Track'!$F:$F,$A511)=0),"NO ISRC MATCH in Release_Track",and($B511&lt;&gt;"",countif('5) Release_Track'!$G:$G,$B511)=0),"NO CATALOG ID MATCH in Release_Track",iserror(vlookup($A511&amp;$B511,'5) Release_Track'!$F:$F&amp;'5) Release_Track'!$G:$G,1,0)),"NO ISRC-CATALOG ID pair MATCH in Release_Track" )</f>
        <v/>
      </c>
      <c r="E511" s="142" t="b">
        <v>0</v>
      </c>
      <c r="F511" s="142" t="b">
        <v>0</v>
      </c>
      <c r="G511" s="142" t="b">
        <v>0</v>
      </c>
      <c r="H511" s="142" t="b">
        <v>0</v>
      </c>
      <c r="I511" s="142" t="b">
        <v>0</v>
      </c>
      <c r="J511" s="142" t="b">
        <v>0</v>
      </c>
      <c r="K511" s="142" t="b">
        <v>0</v>
      </c>
      <c r="L511" s="8" t="b">
        <v>0</v>
      </c>
    </row>
    <row r="512">
      <c r="B512" s="103"/>
      <c r="C512" s="121" t="str">
        <f t="array" ref="C512">ifs(and(isblank($A512),isblank($B512)),"", not(iserror(vlookup($A512&amp;$B512,'5) Release_Track'!$F:$F&amp;'5) Release_Track'!$G:$G,1,0))),vlookup($A512&amp;$B512,{'5) Release_Track'!$F:$F&amp;'5) Release_Track'!$G:$G,'5) Release_Track'!$H:$H},2,0), or(and(not(isblank($B512)),$B512=$B511,$A512&lt;&gt;$A511),and(not(isblank($A512)),$A512=$A511,$B512&lt;&gt;$B511)),"ID LISTS UNALIGNED",and($A512&lt;&gt;"",countif('5) Release_Track'!$F:$F,$A512)=0),"NO ISRC MATCH in Release_Track",and($B512&lt;&gt;"",countif('5) Release_Track'!$G:$G,$B512)=0),"NO CATALOG ID MATCH in Release_Track",iserror(vlookup($A512&amp;$B512,'5) Release_Track'!$F:$F&amp;'5) Release_Track'!$G:$G,1,0)),"NO ISRC-CATALOG ID pair MATCH in Release_Track" )</f>
        <v/>
      </c>
      <c r="D512" s="121" t="str">
        <f t="array" ref="D512">ifs(and(isblank($A512),isblank($B512)),"", not(iserror(vlookup($A512&amp;$B512,'5) Release_Track'!$F:$F&amp;'5) Release_Track'!$G:$G,1,0))),vlookup($A512&amp;$B512,{'5) Release_Track'!$F:$F&amp;'5) Release_Track'!$G:$G,'5) Release_Track'!$I:$I},2,0), or(and(not(isblank($B512)),$B512=$B511,$A512&lt;&gt;$A511),and(not(isblank($A512)),$A512=$A511,$B512&lt;&gt;$B511)),"ID LISTS UNALIGNED",and($A512&lt;&gt;"",countif('5) Release_Track'!$F:$F,$A512)=0),"NO ISRC MATCH in Release_Track",and($B512&lt;&gt;"",countif('5) Release_Track'!$G:$G,$B512)=0),"NO CATALOG ID MATCH in Release_Track",iserror(vlookup($A512&amp;$B512,'5) Release_Track'!$F:$F&amp;'5) Release_Track'!$G:$G,1,0)),"NO ISRC-CATALOG ID pair MATCH in Release_Track" )</f>
        <v/>
      </c>
      <c r="E512" s="142" t="b">
        <v>0</v>
      </c>
      <c r="F512" s="142" t="b">
        <v>0</v>
      </c>
      <c r="G512" s="142" t="b">
        <v>0</v>
      </c>
      <c r="H512" s="142" t="b">
        <v>0</v>
      </c>
      <c r="I512" s="142" t="b">
        <v>0</v>
      </c>
      <c r="J512" s="142" t="b">
        <v>0</v>
      </c>
      <c r="K512" s="142" t="b">
        <v>0</v>
      </c>
      <c r="L512" s="8" t="b">
        <v>0</v>
      </c>
    </row>
    <row r="513">
      <c r="B513" s="103"/>
      <c r="C513" s="121" t="str">
        <f t="array" ref="C513">ifs(and(isblank($A513),isblank($B513)),"", not(iserror(vlookup($A513&amp;$B513,'5) Release_Track'!$F:$F&amp;'5) Release_Track'!$G:$G,1,0))),vlookup($A513&amp;$B513,{'5) Release_Track'!$F:$F&amp;'5) Release_Track'!$G:$G,'5) Release_Track'!$H:$H},2,0), or(and(not(isblank($B513)),$B513=$B512,$A513&lt;&gt;$A512),and(not(isblank($A513)),$A513=$A512,$B513&lt;&gt;$B512)),"ID LISTS UNALIGNED",and($A513&lt;&gt;"",countif('5) Release_Track'!$F:$F,$A513)=0),"NO ISRC MATCH in Release_Track",and($B513&lt;&gt;"",countif('5) Release_Track'!$G:$G,$B513)=0),"NO CATALOG ID MATCH in Release_Track",iserror(vlookup($A513&amp;$B513,'5) Release_Track'!$F:$F&amp;'5) Release_Track'!$G:$G,1,0)),"NO ISRC-CATALOG ID pair MATCH in Release_Track" )</f>
        <v/>
      </c>
      <c r="D513" s="121" t="str">
        <f t="array" ref="D513">ifs(and(isblank($A513),isblank($B513)),"", not(iserror(vlookup($A513&amp;$B513,'5) Release_Track'!$F:$F&amp;'5) Release_Track'!$G:$G,1,0))),vlookup($A513&amp;$B513,{'5) Release_Track'!$F:$F&amp;'5) Release_Track'!$G:$G,'5) Release_Track'!$I:$I},2,0), or(and(not(isblank($B513)),$B513=$B512,$A513&lt;&gt;$A512),and(not(isblank($A513)),$A513=$A512,$B513&lt;&gt;$B512)),"ID LISTS UNALIGNED",and($A513&lt;&gt;"",countif('5) Release_Track'!$F:$F,$A513)=0),"NO ISRC MATCH in Release_Track",and($B513&lt;&gt;"",countif('5) Release_Track'!$G:$G,$B513)=0),"NO CATALOG ID MATCH in Release_Track",iserror(vlookup($A513&amp;$B513,'5) Release_Track'!$F:$F&amp;'5) Release_Track'!$G:$G,1,0)),"NO ISRC-CATALOG ID pair MATCH in Release_Track" )</f>
        <v/>
      </c>
      <c r="E513" s="142" t="b">
        <v>0</v>
      </c>
      <c r="F513" s="142" t="b">
        <v>0</v>
      </c>
      <c r="G513" s="142" t="b">
        <v>0</v>
      </c>
      <c r="H513" s="142" t="b">
        <v>0</v>
      </c>
      <c r="I513" s="142" t="b">
        <v>0</v>
      </c>
      <c r="J513" s="142" t="b">
        <v>0</v>
      </c>
      <c r="K513" s="142" t="b">
        <v>0</v>
      </c>
      <c r="L513" s="8" t="b">
        <v>0</v>
      </c>
    </row>
    <row r="514">
      <c r="B514" s="103"/>
      <c r="C514" s="121" t="str">
        <f t="array" ref="C514">ifs(and(isblank($A514),isblank($B514)),"", not(iserror(vlookup($A514&amp;$B514,'5) Release_Track'!$F:$F&amp;'5) Release_Track'!$G:$G,1,0))),vlookup($A514&amp;$B514,{'5) Release_Track'!$F:$F&amp;'5) Release_Track'!$G:$G,'5) Release_Track'!$H:$H},2,0), or(and(not(isblank($B514)),$B514=$B513,$A514&lt;&gt;$A513),and(not(isblank($A514)),$A514=$A513,$B514&lt;&gt;$B513)),"ID LISTS UNALIGNED",and($A514&lt;&gt;"",countif('5) Release_Track'!$F:$F,$A514)=0),"NO ISRC MATCH in Release_Track",and($B514&lt;&gt;"",countif('5) Release_Track'!$G:$G,$B514)=0),"NO CATALOG ID MATCH in Release_Track",iserror(vlookup($A514&amp;$B514,'5) Release_Track'!$F:$F&amp;'5) Release_Track'!$G:$G,1,0)),"NO ISRC-CATALOG ID pair MATCH in Release_Track" )</f>
        <v/>
      </c>
      <c r="D514" s="121" t="str">
        <f t="array" ref="D514">ifs(and(isblank($A514),isblank($B514)),"", not(iserror(vlookup($A514&amp;$B514,'5) Release_Track'!$F:$F&amp;'5) Release_Track'!$G:$G,1,0))),vlookup($A514&amp;$B514,{'5) Release_Track'!$F:$F&amp;'5) Release_Track'!$G:$G,'5) Release_Track'!$I:$I},2,0), or(and(not(isblank($B514)),$B514=$B513,$A514&lt;&gt;$A513),and(not(isblank($A514)),$A514=$A513,$B514&lt;&gt;$B513)),"ID LISTS UNALIGNED",and($A514&lt;&gt;"",countif('5) Release_Track'!$F:$F,$A514)=0),"NO ISRC MATCH in Release_Track",and($B514&lt;&gt;"",countif('5) Release_Track'!$G:$G,$B514)=0),"NO CATALOG ID MATCH in Release_Track",iserror(vlookup($A514&amp;$B514,'5) Release_Track'!$F:$F&amp;'5) Release_Track'!$G:$G,1,0)),"NO ISRC-CATALOG ID pair MATCH in Release_Track" )</f>
        <v/>
      </c>
      <c r="E514" s="142" t="b">
        <v>0</v>
      </c>
      <c r="F514" s="142" t="b">
        <v>0</v>
      </c>
      <c r="G514" s="142" t="b">
        <v>0</v>
      </c>
      <c r="H514" s="142" t="b">
        <v>0</v>
      </c>
      <c r="I514" s="142" t="b">
        <v>0</v>
      </c>
      <c r="J514" s="142" t="b">
        <v>0</v>
      </c>
      <c r="K514" s="142" t="b">
        <v>0</v>
      </c>
      <c r="L514" s="8" t="b">
        <v>0</v>
      </c>
    </row>
    <row r="515">
      <c r="B515" s="103"/>
      <c r="C515" s="121" t="str">
        <f t="array" ref="C515">ifs(and(isblank($A515),isblank($B515)),"", not(iserror(vlookup($A515&amp;$B515,'5) Release_Track'!$F:$F&amp;'5) Release_Track'!$G:$G,1,0))),vlookup($A515&amp;$B515,{'5) Release_Track'!$F:$F&amp;'5) Release_Track'!$G:$G,'5) Release_Track'!$H:$H},2,0), or(and(not(isblank($B515)),$B515=$B514,$A515&lt;&gt;$A514),and(not(isblank($A515)),$A515=$A514,$B515&lt;&gt;$B514)),"ID LISTS UNALIGNED",and($A515&lt;&gt;"",countif('5) Release_Track'!$F:$F,$A515)=0),"NO ISRC MATCH in Release_Track",and($B515&lt;&gt;"",countif('5) Release_Track'!$G:$G,$B515)=0),"NO CATALOG ID MATCH in Release_Track",iserror(vlookup($A515&amp;$B515,'5) Release_Track'!$F:$F&amp;'5) Release_Track'!$G:$G,1,0)),"NO ISRC-CATALOG ID pair MATCH in Release_Track" )</f>
        <v/>
      </c>
      <c r="D515" s="121" t="str">
        <f t="array" ref="D515">ifs(and(isblank($A515),isblank($B515)),"", not(iserror(vlookup($A515&amp;$B515,'5) Release_Track'!$F:$F&amp;'5) Release_Track'!$G:$G,1,0))),vlookup($A515&amp;$B515,{'5) Release_Track'!$F:$F&amp;'5) Release_Track'!$G:$G,'5) Release_Track'!$I:$I},2,0), or(and(not(isblank($B515)),$B515=$B514,$A515&lt;&gt;$A514),and(not(isblank($A515)),$A515=$A514,$B515&lt;&gt;$B514)),"ID LISTS UNALIGNED",and($A515&lt;&gt;"",countif('5) Release_Track'!$F:$F,$A515)=0),"NO ISRC MATCH in Release_Track",and($B515&lt;&gt;"",countif('5) Release_Track'!$G:$G,$B515)=0),"NO CATALOG ID MATCH in Release_Track",iserror(vlookup($A515&amp;$B515,'5) Release_Track'!$F:$F&amp;'5) Release_Track'!$G:$G,1,0)),"NO ISRC-CATALOG ID pair MATCH in Release_Track" )</f>
        <v/>
      </c>
      <c r="E515" s="142" t="b">
        <v>0</v>
      </c>
      <c r="F515" s="142" t="b">
        <v>0</v>
      </c>
      <c r="G515" s="142" t="b">
        <v>0</v>
      </c>
      <c r="H515" s="142" t="b">
        <v>0</v>
      </c>
      <c r="I515" s="142" t="b">
        <v>0</v>
      </c>
      <c r="J515" s="142" t="b">
        <v>0</v>
      </c>
      <c r="K515" s="142" t="b">
        <v>0</v>
      </c>
      <c r="L515" s="8" t="b">
        <v>0</v>
      </c>
    </row>
    <row r="516">
      <c r="B516" s="103"/>
      <c r="C516" s="121" t="str">
        <f t="array" ref="C516">ifs(and(isblank($A516),isblank($B516)),"", not(iserror(vlookup($A516&amp;$B516,'5) Release_Track'!$F:$F&amp;'5) Release_Track'!$G:$G,1,0))),vlookup($A516&amp;$B516,{'5) Release_Track'!$F:$F&amp;'5) Release_Track'!$G:$G,'5) Release_Track'!$H:$H},2,0), or(and(not(isblank($B516)),$B516=$B515,$A516&lt;&gt;$A515),and(not(isblank($A516)),$A516=$A515,$B516&lt;&gt;$B515)),"ID LISTS UNALIGNED",and($A516&lt;&gt;"",countif('5) Release_Track'!$F:$F,$A516)=0),"NO ISRC MATCH in Release_Track",and($B516&lt;&gt;"",countif('5) Release_Track'!$G:$G,$B516)=0),"NO CATALOG ID MATCH in Release_Track",iserror(vlookup($A516&amp;$B516,'5) Release_Track'!$F:$F&amp;'5) Release_Track'!$G:$G,1,0)),"NO ISRC-CATALOG ID pair MATCH in Release_Track" )</f>
        <v/>
      </c>
      <c r="D516" s="121" t="str">
        <f t="array" ref="D516">ifs(and(isblank($A516),isblank($B516)),"", not(iserror(vlookup($A516&amp;$B516,'5) Release_Track'!$F:$F&amp;'5) Release_Track'!$G:$G,1,0))),vlookup($A516&amp;$B516,{'5) Release_Track'!$F:$F&amp;'5) Release_Track'!$G:$G,'5) Release_Track'!$I:$I},2,0), or(and(not(isblank($B516)),$B516=$B515,$A516&lt;&gt;$A515),and(not(isblank($A516)),$A516=$A515,$B516&lt;&gt;$B515)),"ID LISTS UNALIGNED",and($A516&lt;&gt;"",countif('5) Release_Track'!$F:$F,$A516)=0),"NO ISRC MATCH in Release_Track",and($B516&lt;&gt;"",countif('5) Release_Track'!$G:$G,$B516)=0),"NO CATALOG ID MATCH in Release_Track",iserror(vlookup($A516&amp;$B516,'5) Release_Track'!$F:$F&amp;'5) Release_Track'!$G:$G,1,0)),"NO ISRC-CATALOG ID pair MATCH in Release_Track" )</f>
        <v/>
      </c>
      <c r="E516" s="142" t="b">
        <v>0</v>
      </c>
      <c r="F516" s="142" t="b">
        <v>0</v>
      </c>
      <c r="G516" s="142" t="b">
        <v>0</v>
      </c>
      <c r="H516" s="142" t="b">
        <v>0</v>
      </c>
      <c r="I516" s="142" t="b">
        <v>0</v>
      </c>
      <c r="J516" s="142" t="b">
        <v>0</v>
      </c>
      <c r="K516" s="142" t="b">
        <v>0</v>
      </c>
      <c r="L516" s="8" t="b">
        <v>0</v>
      </c>
    </row>
    <row r="517">
      <c r="B517" s="103"/>
      <c r="C517" s="121" t="str">
        <f t="array" ref="C517">ifs(and(isblank($A517),isblank($B517)),"", not(iserror(vlookup($A517&amp;$B517,'5) Release_Track'!$F:$F&amp;'5) Release_Track'!$G:$G,1,0))),vlookup($A517&amp;$B517,{'5) Release_Track'!$F:$F&amp;'5) Release_Track'!$G:$G,'5) Release_Track'!$H:$H},2,0), or(and(not(isblank($B517)),$B517=$B516,$A517&lt;&gt;$A516),and(not(isblank($A517)),$A517=$A516,$B517&lt;&gt;$B516)),"ID LISTS UNALIGNED",and($A517&lt;&gt;"",countif('5) Release_Track'!$F:$F,$A517)=0),"NO ISRC MATCH in Release_Track",and($B517&lt;&gt;"",countif('5) Release_Track'!$G:$G,$B517)=0),"NO CATALOG ID MATCH in Release_Track",iserror(vlookup($A517&amp;$B517,'5) Release_Track'!$F:$F&amp;'5) Release_Track'!$G:$G,1,0)),"NO ISRC-CATALOG ID pair MATCH in Release_Track" )</f>
        <v/>
      </c>
      <c r="D517" s="121" t="str">
        <f t="array" ref="D517">ifs(and(isblank($A517),isblank($B517)),"", not(iserror(vlookup($A517&amp;$B517,'5) Release_Track'!$F:$F&amp;'5) Release_Track'!$G:$G,1,0))),vlookup($A517&amp;$B517,{'5) Release_Track'!$F:$F&amp;'5) Release_Track'!$G:$G,'5) Release_Track'!$I:$I},2,0), or(and(not(isblank($B517)),$B517=$B516,$A517&lt;&gt;$A516),and(not(isblank($A517)),$A517=$A516,$B517&lt;&gt;$B516)),"ID LISTS UNALIGNED",and($A517&lt;&gt;"",countif('5) Release_Track'!$F:$F,$A517)=0),"NO ISRC MATCH in Release_Track",and($B517&lt;&gt;"",countif('5) Release_Track'!$G:$G,$B517)=0),"NO CATALOG ID MATCH in Release_Track",iserror(vlookup($A517&amp;$B517,'5) Release_Track'!$F:$F&amp;'5) Release_Track'!$G:$G,1,0)),"NO ISRC-CATALOG ID pair MATCH in Release_Track" )</f>
        <v/>
      </c>
      <c r="E517" s="142" t="b">
        <v>0</v>
      </c>
      <c r="F517" s="142" t="b">
        <v>0</v>
      </c>
      <c r="G517" s="142" t="b">
        <v>0</v>
      </c>
      <c r="H517" s="142" t="b">
        <v>0</v>
      </c>
      <c r="I517" s="142" t="b">
        <v>0</v>
      </c>
      <c r="J517" s="142" t="b">
        <v>0</v>
      </c>
      <c r="K517" s="142" t="b">
        <v>0</v>
      </c>
      <c r="L517" s="8" t="b">
        <v>0</v>
      </c>
    </row>
    <row r="518">
      <c r="B518" s="103"/>
      <c r="C518" s="121" t="str">
        <f t="array" ref="C518">ifs(and(isblank($A518),isblank($B518)),"", not(iserror(vlookup($A518&amp;$B518,'5) Release_Track'!$F:$F&amp;'5) Release_Track'!$G:$G,1,0))),vlookup($A518&amp;$B518,{'5) Release_Track'!$F:$F&amp;'5) Release_Track'!$G:$G,'5) Release_Track'!$H:$H},2,0), or(and(not(isblank($B518)),$B518=$B517,$A518&lt;&gt;$A517),and(not(isblank($A518)),$A518=$A517,$B518&lt;&gt;$B517)),"ID LISTS UNALIGNED",and($A518&lt;&gt;"",countif('5) Release_Track'!$F:$F,$A518)=0),"NO ISRC MATCH in Release_Track",and($B518&lt;&gt;"",countif('5) Release_Track'!$G:$G,$B518)=0),"NO CATALOG ID MATCH in Release_Track",iserror(vlookup($A518&amp;$B518,'5) Release_Track'!$F:$F&amp;'5) Release_Track'!$G:$G,1,0)),"NO ISRC-CATALOG ID pair MATCH in Release_Track" )</f>
        <v/>
      </c>
      <c r="D518" s="121" t="str">
        <f t="array" ref="D518">ifs(and(isblank($A518),isblank($B518)),"", not(iserror(vlookup($A518&amp;$B518,'5) Release_Track'!$F:$F&amp;'5) Release_Track'!$G:$G,1,0))),vlookup($A518&amp;$B518,{'5) Release_Track'!$F:$F&amp;'5) Release_Track'!$G:$G,'5) Release_Track'!$I:$I},2,0), or(and(not(isblank($B518)),$B518=$B517,$A518&lt;&gt;$A517),and(not(isblank($A518)),$A518=$A517,$B518&lt;&gt;$B517)),"ID LISTS UNALIGNED",and($A518&lt;&gt;"",countif('5) Release_Track'!$F:$F,$A518)=0),"NO ISRC MATCH in Release_Track",and($B518&lt;&gt;"",countif('5) Release_Track'!$G:$G,$B518)=0),"NO CATALOG ID MATCH in Release_Track",iserror(vlookup($A518&amp;$B518,'5) Release_Track'!$F:$F&amp;'5) Release_Track'!$G:$G,1,0)),"NO ISRC-CATALOG ID pair MATCH in Release_Track" )</f>
        <v/>
      </c>
      <c r="E518" s="142" t="b">
        <v>0</v>
      </c>
      <c r="F518" s="142" t="b">
        <v>0</v>
      </c>
      <c r="G518" s="142" t="b">
        <v>0</v>
      </c>
      <c r="H518" s="142" t="b">
        <v>0</v>
      </c>
      <c r="I518" s="142" t="b">
        <v>0</v>
      </c>
      <c r="J518" s="142" t="b">
        <v>0</v>
      </c>
      <c r="K518" s="142" t="b">
        <v>0</v>
      </c>
      <c r="L518" s="8" t="b">
        <v>0</v>
      </c>
    </row>
    <row r="519">
      <c r="B519" s="103"/>
      <c r="C519" s="121" t="str">
        <f t="array" ref="C519">ifs(and(isblank($A519),isblank($B519)),"", not(iserror(vlookup($A519&amp;$B519,'5) Release_Track'!$F:$F&amp;'5) Release_Track'!$G:$G,1,0))),vlookup($A519&amp;$B519,{'5) Release_Track'!$F:$F&amp;'5) Release_Track'!$G:$G,'5) Release_Track'!$H:$H},2,0), or(and(not(isblank($B519)),$B519=$B518,$A519&lt;&gt;$A518),and(not(isblank($A519)),$A519=$A518,$B519&lt;&gt;$B518)),"ID LISTS UNALIGNED",and($A519&lt;&gt;"",countif('5) Release_Track'!$F:$F,$A519)=0),"NO ISRC MATCH in Release_Track",and($B519&lt;&gt;"",countif('5) Release_Track'!$G:$G,$B519)=0),"NO CATALOG ID MATCH in Release_Track",iserror(vlookup($A519&amp;$B519,'5) Release_Track'!$F:$F&amp;'5) Release_Track'!$G:$G,1,0)),"NO ISRC-CATALOG ID pair MATCH in Release_Track" )</f>
        <v/>
      </c>
      <c r="D519" s="121" t="str">
        <f t="array" ref="D519">ifs(and(isblank($A519),isblank($B519)),"", not(iserror(vlookup($A519&amp;$B519,'5) Release_Track'!$F:$F&amp;'5) Release_Track'!$G:$G,1,0))),vlookup($A519&amp;$B519,{'5) Release_Track'!$F:$F&amp;'5) Release_Track'!$G:$G,'5) Release_Track'!$I:$I},2,0), or(and(not(isblank($B519)),$B519=$B518,$A519&lt;&gt;$A518),and(not(isblank($A519)),$A519=$A518,$B519&lt;&gt;$B518)),"ID LISTS UNALIGNED",and($A519&lt;&gt;"",countif('5) Release_Track'!$F:$F,$A519)=0),"NO ISRC MATCH in Release_Track",and($B519&lt;&gt;"",countif('5) Release_Track'!$G:$G,$B519)=0),"NO CATALOG ID MATCH in Release_Track",iserror(vlookup($A519&amp;$B519,'5) Release_Track'!$F:$F&amp;'5) Release_Track'!$G:$G,1,0)),"NO ISRC-CATALOG ID pair MATCH in Release_Track" )</f>
        <v/>
      </c>
      <c r="E519" s="142" t="b">
        <v>0</v>
      </c>
      <c r="F519" s="142" t="b">
        <v>0</v>
      </c>
      <c r="G519" s="142" t="b">
        <v>0</v>
      </c>
      <c r="H519" s="142" t="b">
        <v>0</v>
      </c>
      <c r="I519" s="142" t="b">
        <v>0</v>
      </c>
      <c r="J519" s="142" t="b">
        <v>0</v>
      </c>
      <c r="K519" s="142" t="b">
        <v>0</v>
      </c>
      <c r="L519" s="8" t="b">
        <v>0</v>
      </c>
    </row>
    <row r="520">
      <c r="B520" s="103"/>
      <c r="C520" s="121" t="str">
        <f t="array" ref="C520">ifs(and(isblank($A520),isblank($B520)),"", not(iserror(vlookup($A520&amp;$B520,'5) Release_Track'!$F:$F&amp;'5) Release_Track'!$G:$G,1,0))),vlookup($A520&amp;$B520,{'5) Release_Track'!$F:$F&amp;'5) Release_Track'!$G:$G,'5) Release_Track'!$H:$H},2,0), or(and(not(isblank($B520)),$B520=$B519,$A520&lt;&gt;$A519),and(not(isblank($A520)),$A520=$A519,$B520&lt;&gt;$B519)),"ID LISTS UNALIGNED",and($A520&lt;&gt;"",countif('5) Release_Track'!$F:$F,$A520)=0),"NO ISRC MATCH in Release_Track",and($B520&lt;&gt;"",countif('5) Release_Track'!$G:$G,$B520)=0),"NO CATALOG ID MATCH in Release_Track",iserror(vlookup($A520&amp;$B520,'5) Release_Track'!$F:$F&amp;'5) Release_Track'!$G:$G,1,0)),"NO ISRC-CATALOG ID pair MATCH in Release_Track" )</f>
        <v/>
      </c>
      <c r="D520" s="121" t="str">
        <f t="array" ref="D520">ifs(and(isblank($A520),isblank($B520)),"", not(iserror(vlookup($A520&amp;$B520,'5) Release_Track'!$F:$F&amp;'5) Release_Track'!$G:$G,1,0))),vlookup($A520&amp;$B520,{'5) Release_Track'!$F:$F&amp;'5) Release_Track'!$G:$G,'5) Release_Track'!$I:$I},2,0), or(and(not(isblank($B520)),$B520=$B519,$A520&lt;&gt;$A519),and(not(isblank($A520)),$A520=$A519,$B520&lt;&gt;$B519)),"ID LISTS UNALIGNED",and($A520&lt;&gt;"",countif('5) Release_Track'!$F:$F,$A520)=0),"NO ISRC MATCH in Release_Track",and($B520&lt;&gt;"",countif('5) Release_Track'!$G:$G,$B520)=0),"NO CATALOG ID MATCH in Release_Track",iserror(vlookup($A520&amp;$B520,'5) Release_Track'!$F:$F&amp;'5) Release_Track'!$G:$G,1,0)),"NO ISRC-CATALOG ID pair MATCH in Release_Track" )</f>
        <v/>
      </c>
      <c r="E520" s="142" t="b">
        <v>0</v>
      </c>
      <c r="F520" s="142" t="b">
        <v>0</v>
      </c>
      <c r="G520" s="142" t="b">
        <v>0</v>
      </c>
      <c r="H520" s="142" t="b">
        <v>0</v>
      </c>
      <c r="I520" s="142" t="b">
        <v>0</v>
      </c>
      <c r="J520" s="142" t="b">
        <v>0</v>
      </c>
      <c r="K520" s="142" t="b">
        <v>0</v>
      </c>
      <c r="L520" s="8" t="b">
        <v>0</v>
      </c>
    </row>
    <row r="521">
      <c r="B521" s="103"/>
      <c r="C521" s="121" t="str">
        <f t="array" ref="C521">ifs(and(isblank($A521),isblank($B521)),"", not(iserror(vlookup($A521&amp;$B521,'5) Release_Track'!$F:$F&amp;'5) Release_Track'!$G:$G,1,0))),vlookup($A521&amp;$B521,{'5) Release_Track'!$F:$F&amp;'5) Release_Track'!$G:$G,'5) Release_Track'!$H:$H},2,0), or(and(not(isblank($B521)),$B521=$B520,$A521&lt;&gt;$A520),and(not(isblank($A521)),$A521=$A520,$B521&lt;&gt;$B520)),"ID LISTS UNALIGNED",and($A521&lt;&gt;"",countif('5) Release_Track'!$F:$F,$A521)=0),"NO ISRC MATCH in Release_Track",and($B521&lt;&gt;"",countif('5) Release_Track'!$G:$G,$B521)=0),"NO CATALOG ID MATCH in Release_Track",iserror(vlookup($A521&amp;$B521,'5) Release_Track'!$F:$F&amp;'5) Release_Track'!$G:$G,1,0)),"NO ISRC-CATALOG ID pair MATCH in Release_Track" )</f>
        <v/>
      </c>
      <c r="D521" s="121" t="str">
        <f t="array" ref="D521">ifs(and(isblank($A521),isblank($B521)),"", not(iserror(vlookup($A521&amp;$B521,'5) Release_Track'!$F:$F&amp;'5) Release_Track'!$G:$G,1,0))),vlookup($A521&amp;$B521,{'5) Release_Track'!$F:$F&amp;'5) Release_Track'!$G:$G,'5) Release_Track'!$I:$I},2,0), or(and(not(isblank($B521)),$B521=$B520,$A521&lt;&gt;$A520),and(not(isblank($A521)),$A521=$A520,$B521&lt;&gt;$B520)),"ID LISTS UNALIGNED",and($A521&lt;&gt;"",countif('5) Release_Track'!$F:$F,$A521)=0),"NO ISRC MATCH in Release_Track",and($B521&lt;&gt;"",countif('5) Release_Track'!$G:$G,$B521)=0),"NO CATALOG ID MATCH in Release_Track",iserror(vlookup($A521&amp;$B521,'5) Release_Track'!$F:$F&amp;'5) Release_Track'!$G:$G,1,0)),"NO ISRC-CATALOG ID pair MATCH in Release_Track" )</f>
        <v/>
      </c>
      <c r="E521" s="142" t="b">
        <v>0</v>
      </c>
      <c r="F521" s="142" t="b">
        <v>0</v>
      </c>
      <c r="G521" s="142" t="b">
        <v>0</v>
      </c>
      <c r="H521" s="142" t="b">
        <v>0</v>
      </c>
      <c r="I521" s="142" t="b">
        <v>0</v>
      </c>
      <c r="J521" s="142" t="b">
        <v>0</v>
      </c>
      <c r="K521" s="142" t="b">
        <v>0</v>
      </c>
      <c r="L521" s="8" t="b">
        <v>0</v>
      </c>
    </row>
    <row r="522">
      <c r="B522" s="103"/>
      <c r="C522" s="121" t="str">
        <f t="array" ref="C522">ifs(and(isblank($A522),isblank($B522)),"", not(iserror(vlookup($A522&amp;$B522,'5) Release_Track'!$F:$F&amp;'5) Release_Track'!$G:$G,1,0))),vlookup($A522&amp;$B522,{'5) Release_Track'!$F:$F&amp;'5) Release_Track'!$G:$G,'5) Release_Track'!$H:$H},2,0), or(and(not(isblank($B522)),$B522=$B521,$A522&lt;&gt;$A521),and(not(isblank($A522)),$A522=$A521,$B522&lt;&gt;$B521)),"ID LISTS UNALIGNED",and($A522&lt;&gt;"",countif('5) Release_Track'!$F:$F,$A522)=0),"NO ISRC MATCH in Release_Track",and($B522&lt;&gt;"",countif('5) Release_Track'!$G:$G,$B522)=0),"NO CATALOG ID MATCH in Release_Track",iserror(vlookup($A522&amp;$B522,'5) Release_Track'!$F:$F&amp;'5) Release_Track'!$G:$G,1,0)),"NO ISRC-CATALOG ID pair MATCH in Release_Track" )</f>
        <v/>
      </c>
      <c r="D522" s="121" t="str">
        <f t="array" ref="D522">ifs(and(isblank($A522),isblank($B522)),"", not(iserror(vlookup($A522&amp;$B522,'5) Release_Track'!$F:$F&amp;'5) Release_Track'!$G:$G,1,0))),vlookup($A522&amp;$B522,{'5) Release_Track'!$F:$F&amp;'5) Release_Track'!$G:$G,'5) Release_Track'!$I:$I},2,0), or(and(not(isblank($B522)),$B522=$B521,$A522&lt;&gt;$A521),and(not(isblank($A522)),$A522=$A521,$B522&lt;&gt;$B521)),"ID LISTS UNALIGNED",and($A522&lt;&gt;"",countif('5) Release_Track'!$F:$F,$A522)=0),"NO ISRC MATCH in Release_Track",and($B522&lt;&gt;"",countif('5) Release_Track'!$G:$G,$B522)=0),"NO CATALOG ID MATCH in Release_Track",iserror(vlookup($A522&amp;$B522,'5) Release_Track'!$F:$F&amp;'5) Release_Track'!$G:$G,1,0)),"NO ISRC-CATALOG ID pair MATCH in Release_Track" )</f>
        <v/>
      </c>
      <c r="E522" s="142" t="b">
        <v>0</v>
      </c>
      <c r="F522" s="142" t="b">
        <v>0</v>
      </c>
      <c r="G522" s="142" t="b">
        <v>0</v>
      </c>
      <c r="H522" s="142" t="b">
        <v>0</v>
      </c>
      <c r="I522" s="142" t="b">
        <v>0</v>
      </c>
      <c r="J522" s="142" t="b">
        <v>0</v>
      </c>
      <c r="K522" s="142" t="b">
        <v>0</v>
      </c>
      <c r="L522" s="8" t="b">
        <v>0</v>
      </c>
    </row>
    <row r="523">
      <c r="B523" s="103"/>
      <c r="C523" s="121" t="str">
        <f t="array" ref="C523">ifs(and(isblank($A523),isblank($B523)),"", not(iserror(vlookup($A523&amp;$B523,'5) Release_Track'!$F:$F&amp;'5) Release_Track'!$G:$G,1,0))),vlookup($A523&amp;$B523,{'5) Release_Track'!$F:$F&amp;'5) Release_Track'!$G:$G,'5) Release_Track'!$H:$H},2,0), or(and(not(isblank($B523)),$B523=$B522,$A523&lt;&gt;$A522),and(not(isblank($A523)),$A523=$A522,$B523&lt;&gt;$B522)),"ID LISTS UNALIGNED",and($A523&lt;&gt;"",countif('5) Release_Track'!$F:$F,$A523)=0),"NO ISRC MATCH in Release_Track",and($B523&lt;&gt;"",countif('5) Release_Track'!$G:$G,$B523)=0),"NO CATALOG ID MATCH in Release_Track",iserror(vlookup($A523&amp;$B523,'5) Release_Track'!$F:$F&amp;'5) Release_Track'!$G:$G,1,0)),"NO ISRC-CATALOG ID pair MATCH in Release_Track" )</f>
        <v/>
      </c>
      <c r="D523" s="121" t="str">
        <f t="array" ref="D523">ifs(and(isblank($A523),isblank($B523)),"", not(iserror(vlookup($A523&amp;$B523,'5) Release_Track'!$F:$F&amp;'5) Release_Track'!$G:$G,1,0))),vlookup($A523&amp;$B523,{'5) Release_Track'!$F:$F&amp;'5) Release_Track'!$G:$G,'5) Release_Track'!$I:$I},2,0), or(and(not(isblank($B523)),$B523=$B522,$A523&lt;&gt;$A522),and(not(isblank($A523)),$A523=$A522,$B523&lt;&gt;$B522)),"ID LISTS UNALIGNED",and($A523&lt;&gt;"",countif('5) Release_Track'!$F:$F,$A523)=0),"NO ISRC MATCH in Release_Track",and($B523&lt;&gt;"",countif('5) Release_Track'!$G:$G,$B523)=0),"NO CATALOG ID MATCH in Release_Track",iserror(vlookup($A523&amp;$B523,'5) Release_Track'!$F:$F&amp;'5) Release_Track'!$G:$G,1,0)),"NO ISRC-CATALOG ID pair MATCH in Release_Track" )</f>
        <v/>
      </c>
      <c r="E523" s="142" t="b">
        <v>0</v>
      </c>
      <c r="F523" s="142" t="b">
        <v>0</v>
      </c>
      <c r="G523" s="142" t="b">
        <v>0</v>
      </c>
      <c r="H523" s="142" t="b">
        <v>0</v>
      </c>
      <c r="I523" s="142" t="b">
        <v>0</v>
      </c>
      <c r="J523" s="142" t="b">
        <v>0</v>
      </c>
      <c r="K523" s="142" t="b">
        <v>0</v>
      </c>
      <c r="L523" s="8" t="b">
        <v>0</v>
      </c>
    </row>
    <row r="524">
      <c r="B524" s="103"/>
      <c r="C524" s="121" t="str">
        <f t="array" ref="C524">ifs(and(isblank($A524),isblank($B524)),"", not(iserror(vlookup($A524&amp;$B524,'5) Release_Track'!$F:$F&amp;'5) Release_Track'!$G:$G,1,0))),vlookup($A524&amp;$B524,{'5) Release_Track'!$F:$F&amp;'5) Release_Track'!$G:$G,'5) Release_Track'!$H:$H},2,0), or(and(not(isblank($B524)),$B524=$B523,$A524&lt;&gt;$A523),and(not(isblank($A524)),$A524=$A523,$B524&lt;&gt;$B523)),"ID LISTS UNALIGNED",and($A524&lt;&gt;"",countif('5) Release_Track'!$F:$F,$A524)=0),"NO ISRC MATCH in Release_Track",and($B524&lt;&gt;"",countif('5) Release_Track'!$G:$G,$B524)=0),"NO CATALOG ID MATCH in Release_Track",iserror(vlookup($A524&amp;$B524,'5) Release_Track'!$F:$F&amp;'5) Release_Track'!$G:$G,1,0)),"NO ISRC-CATALOG ID pair MATCH in Release_Track" )</f>
        <v/>
      </c>
      <c r="D524" s="121" t="str">
        <f t="array" ref="D524">ifs(and(isblank($A524),isblank($B524)),"", not(iserror(vlookup($A524&amp;$B524,'5) Release_Track'!$F:$F&amp;'5) Release_Track'!$G:$G,1,0))),vlookup($A524&amp;$B524,{'5) Release_Track'!$F:$F&amp;'5) Release_Track'!$G:$G,'5) Release_Track'!$I:$I},2,0), or(and(not(isblank($B524)),$B524=$B523,$A524&lt;&gt;$A523),and(not(isblank($A524)),$A524=$A523,$B524&lt;&gt;$B523)),"ID LISTS UNALIGNED",and($A524&lt;&gt;"",countif('5) Release_Track'!$F:$F,$A524)=0),"NO ISRC MATCH in Release_Track",and($B524&lt;&gt;"",countif('5) Release_Track'!$G:$G,$B524)=0),"NO CATALOG ID MATCH in Release_Track",iserror(vlookup($A524&amp;$B524,'5) Release_Track'!$F:$F&amp;'5) Release_Track'!$G:$G,1,0)),"NO ISRC-CATALOG ID pair MATCH in Release_Track" )</f>
        <v/>
      </c>
      <c r="E524" s="142" t="b">
        <v>0</v>
      </c>
      <c r="F524" s="142" t="b">
        <v>0</v>
      </c>
      <c r="G524" s="142" t="b">
        <v>0</v>
      </c>
      <c r="H524" s="142" t="b">
        <v>0</v>
      </c>
      <c r="I524" s="142" t="b">
        <v>0</v>
      </c>
      <c r="J524" s="142" t="b">
        <v>0</v>
      </c>
      <c r="K524" s="142" t="b">
        <v>0</v>
      </c>
      <c r="L524" s="8" t="b">
        <v>0</v>
      </c>
    </row>
    <row r="525">
      <c r="B525" s="103"/>
      <c r="C525" s="121" t="str">
        <f t="array" ref="C525">ifs(and(isblank($A525),isblank($B525)),"", not(iserror(vlookup($A525&amp;$B525,'5) Release_Track'!$F:$F&amp;'5) Release_Track'!$G:$G,1,0))),vlookup($A525&amp;$B525,{'5) Release_Track'!$F:$F&amp;'5) Release_Track'!$G:$G,'5) Release_Track'!$H:$H},2,0), or(and(not(isblank($B525)),$B525=$B524,$A525&lt;&gt;$A524),and(not(isblank($A525)),$A525=$A524,$B525&lt;&gt;$B524)),"ID LISTS UNALIGNED",and($A525&lt;&gt;"",countif('5) Release_Track'!$F:$F,$A525)=0),"NO ISRC MATCH in Release_Track",and($B525&lt;&gt;"",countif('5) Release_Track'!$G:$G,$B525)=0),"NO CATALOG ID MATCH in Release_Track",iserror(vlookup($A525&amp;$B525,'5) Release_Track'!$F:$F&amp;'5) Release_Track'!$G:$G,1,0)),"NO ISRC-CATALOG ID pair MATCH in Release_Track" )</f>
        <v/>
      </c>
      <c r="D525" s="121" t="str">
        <f t="array" ref="D525">ifs(and(isblank($A525),isblank($B525)),"", not(iserror(vlookup($A525&amp;$B525,'5) Release_Track'!$F:$F&amp;'5) Release_Track'!$G:$G,1,0))),vlookup($A525&amp;$B525,{'5) Release_Track'!$F:$F&amp;'5) Release_Track'!$G:$G,'5) Release_Track'!$I:$I},2,0), or(and(not(isblank($B525)),$B525=$B524,$A525&lt;&gt;$A524),and(not(isblank($A525)),$A525=$A524,$B525&lt;&gt;$B524)),"ID LISTS UNALIGNED",and($A525&lt;&gt;"",countif('5) Release_Track'!$F:$F,$A525)=0),"NO ISRC MATCH in Release_Track",and($B525&lt;&gt;"",countif('5) Release_Track'!$G:$G,$B525)=0),"NO CATALOG ID MATCH in Release_Track",iserror(vlookup($A525&amp;$B525,'5) Release_Track'!$F:$F&amp;'5) Release_Track'!$G:$G,1,0)),"NO ISRC-CATALOG ID pair MATCH in Release_Track" )</f>
        <v/>
      </c>
      <c r="E525" s="142" t="b">
        <v>0</v>
      </c>
      <c r="F525" s="142" t="b">
        <v>0</v>
      </c>
      <c r="G525" s="142" t="b">
        <v>0</v>
      </c>
      <c r="H525" s="142" t="b">
        <v>0</v>
      </c>
      <c r="I525" s="142" t="b">
        <v>0</v>
      </c>
      <c r="J525" s="142" t="b">
        <v>0</v>
      </c>
      <c r="K525" s="142" t="b">
        <v>0</v>
      </c>
      <c r="L525" s="8" t="b">
        <v>0</v>
      </c>
    </row>
    <row r="526">
      <c r="B526" s="103"/>
      <c r="C526" s="121" t="str">
        <f t="array" ref="C526">ifs(and(isblank($A526),isblank($B526)),"", not(iserror(vlookup($A526&amp;$B526,'5) Release_Track'!$F:$F&amp;'5) Release_Track'!$G:$G,1,0))),vlookup($A526&amp;$B526,{'5) Release_Track'!$F:$F&amp;'5) Release_Track'!$G:$G,'5) Release_Track'!$H:$H},2,0), or(and(not(isblank($B526)),$B526=$B525,$A526&lt;&gt;$A525),and(not(isblank($A526)),$A526=$A525,$B526&lt;&gt;$B525)),"ID LISTS UNALIGNED",and($A526&lt;&gt;"",countif('5) Release_Track'!$F:$F,$A526)=0),"NO ISRC MATCH in Release_Track",and($B526&lt;&gt;"",countif('5) Release_Track'!$G:$G,$B526)=0),"NO CATALOG ID MATCH in Release_Track",iserror(vlookup($A526&amp;$B526,'5) Release_Track'!$F:$F&amp;'5) Release_Track'!$G:$G,1,0)),"NO ISRC-CATALOG ID pair MATCH in Release_Track" )</f>
        <v/>
      </c>
      <c r="D526" s="121" t="str">
        <f t="array" ref="D526">ifs(and(isblank($A526),isblank($B526)),"", not(iserror(vlookup($A526&amp;$B526,'5) Release_Track'!$F:$F&amp;'5) Release_Track'!$G:$G,1,0))),vlookup($A526&amp;$B526,{'5) Release_Track'!$F:$F&amp;'5) Release_Track'!$G:$G,'5) Release_Track'!$I:$I},2,0), or(and(not(isblank($B526)),$B526=$B525,$A526&lt;&gt;$A525),and(not(isblank($A526)),$A526=$A525,$B526&lt;&gt;$B525)),"ID LISTS UNALIGNED",and($A526&lt;&gt;"",countif('5) Release_Track'!$F:$F,$A526)=0),"NO ISRC MATCH in Release_Track",and($B526&lt;&gt;"",countif('5) Release_Track'!$G:$G,$B526)=0),"NO CATALOG ID MATCH in Release_Track",iserror(vlookup($A526&amp;$B526,'5) Release_Track'!$F:$F&amp;'5) Release_Track'!$G:$G,1,0)),"NO ISRC-CATALOG ID pair MATCH in Release_Track" )</f>
        <v/>
      </c>
      <c r="E526" s="142" t="b">
        <v>0</v>
      </c>
      <c r="F526" s="142" t="b">
        <v>0</v>
      </c>
      <c r="G526" s="142" t="b">
        <v>0</v>
      </c>
      <c r="H526" s="142" t="b">
        <v>0</v>
      </c>
      <c r="I526" s="142" t="b">
        <v>0</v>
      </c>
      <c r="J526" s="142" t="b">
        <v>0</v>
      </c>
      <c r="K526" s="142" t="b">
        <v>0</v>
      </c>
      <c r="L526" s="8" t="b">
        <v>0</v>
      </c>
    </row>
    <row r="527">
      <c r="B527" s="103"/>
      <c r="C527" s="121" t="str">
        <f t="array" ref="C527">ifs(and(isblank($A527),isblank($B527)),"", not(iserror(vlookup($A527&amp;$B527,'5) Release_Track'!$F:$F&amp;'5) Release_Track'!$G:$G,1,0))),vlookup($A527&amp;$B527,{'5) Release_Track'!$F:$F&amp;'5) Release_Track'!$G:$G,'5) Release_Track'!$H:$H},2,0), or(and(not(isblank($B527)),$B527=$B526,$A527&lt;&gt;$A526),and(not(isblank($A527)),$A527=$A526,$B527&lt;&gt;$B526)),"ID LISTS UNALIGNED",and($A527&lt;&gt;"",countif('5) Release_Track'!$F:$F,$A527)=0),"NO ISRC MATCH in Release_Track",and($B527&lt;&gt;"",countif('5) Release_Track'!$G:$G,$B527)=0),"NO CATALOG ID MATCH in Release_Track",iserror(vlookup($A527&amp;$B527,'5) Release_Track'!$F:$F&amp;'5) Release_Track'!$G:$G,1,0)),"NO ISRC-CATALOG ID pair MATCH in Release_Track" )</f>
        <v/>
      </c>
      <c r="D527" s="121" t="str">
        <f t="array" ref="D527">ifs(and(isblank($A527),isblank($B527)),"", not(iserror(vlookup($A527&amp;$B527,'5) Release_Track'!$F:$F&amp;'5) Release_Track'!$G:$G,1,0))),vlookup($A527&amp;$B527,{'5) Release_Track'!$F:$F&amp;'5) Release_Track'!$G:$G,'5) Release_Track'!$I:$I},2,0), or(and(not(isblank($B527)),$B527=$B526,$A527&lt;&gt;$A526),and(not(isblank($A527)),$A527=$A526,$B527&lt;&gt;$B526)),"ID LISTS UNALIGNED",and($A527&lt;&gt;"",countif('5) Release_Track'!$F:$F,$A527)=0),"NO ISRC MATCH in Release_Track",and($B527&lt;&gt;"",countif('5) Release_Track'!$G:$G,$B527)=0),"NO CATALOG ID MATCH in Release_Track",iserror(vlookup($A527&amp;$B527,'5) Release_Track'!$F:$F&amp;'5) Release_Track'!$G:$G,1,0)),"NO ISRC-CATALOG ID pair MATCH in Release_Track" )</f>
        <v/>
      </c>
      <c r="E527" s="142" t="b">
        <v>0</v>
      </c>
      <c r="F527" s="142" t="b">
        <v>0</v>
      </c>
      <c r="G527" s="142" t="b">
        <v>0</v>
      </c>
      <c r="H527" s="142" t="b">
        <v>0</v>
      </c>
      <c r="I527" s="142" t="b">
        <v>0</v>
      </c>
      <c r="J527" s="142" t="b">
        <v>0</v>
      </c>
      <c r="K527" s="142" t="b">
        <v>0</v>
      </c>
      <c r="L527" s="8" t="b">
        <v>0</v>
      </c>
    </row>
    <row r="528">
      <c r="B528" s="103"/>
      <c r="C528" s="121" t="str">
        <f t="array" ref="C528">ifs(and(isblank($A528),isblank($B528)),"", not(iserror(vlookup($A528&amp;$B528,'5) Release_Track'!$F:$F&amp;'5) Release_Track'!$G:$G,1,0))),vlookup($A528&amp;$B528,{'5) Release_Track'!$F:$F&amp;'5) Release_Track'!$G:$G,'5) Release_Track'!$H:$H},2,0), or(and(not(isblank($B528)),$B528=$B527,$A528&lt;&gt;$A527),and(not(isblank($A528)),$A528=$A527,$B528&lt;&gt;$B527)),"ID LISTS UNALIGNED",and($A528&lt;&gt;"",countif('5) Release_Track'!$F:$F,$A528)=0),"NO ISRC MATCH in Release_Track",and($B528&lt;&gt;"",countif('5) Release_Track'!$G:$G,$B528)=0),"NO CATALOG ID MATCH in Release_Track",iserror(vlookup($A528&amp;$B528,'5) Release_Track'!$F:$F&amp;'5) Release_Track'!$G:$G,1,0)),"NO ISRC-CATALOG ID pair MATCH in Release_Track" )</f>
        <v/>
      </c>
      <c r="D528" s="121" t="str">
        <f t="array" ref="D528">ifs(and(isblank($A528),isblank($B528)),"", not(iserror(vlookup($A528&amp;$B528,'5) Release_Track'!$F:$F&amp;'5) Release_Track'!$G:$G,1,0))),vlookup($A528&amp;$B528,{'5) Release_Track'!$F:$F&amp;'5) Release_Track'!$G:$G,'5) Release_Track'!$I:$I},2,0), or(and(not(isblank($B528)),$B528=$B527,$A528&lt;&gt;$A527),and(not(isblank($A528)),$A528=$A527,$B528&lt;&gt;$B527)),"ID LISTS UNALIGNED",and($A528&lt;&gt;"",countif('5) Release_Track'!$F:$F,$A528)=0),"NO ISRC MATCH in Release_Track",and($B528&lt;&gt;"",countif('5) Release_Track'!$G:$G,$B528)=0),"NO CATALOG ID MATCH in Release_Track",iserror(vlookup($A528&amp;$B528,'5) Release_Track'!$F:$F&amp;'5) Release_Track'!$G:$G,1,0)),"NO ISRC-CATALOG ID pair MATCH in Release_Track" )</f>
        <v/>
      </c>
      <c r="E528" s="142" t="b">
        <v>0</v>
      </c>
      <c r="F528" s="142" t="b">
        <v>0</v>
      </c>
      <c r="G528" s="142" t="b">
        <v>0</v>
      </c>
      <c r="H528" s="142" t="b">
        <v>0</v>
      </c>
      <c r="I528" s="142" t="b">
        <v>0</v>
      </c>
      <c r="J528" s="142" t="b">
        <v>0</v>
      </c>
      <c r="K528" s="142" t="b">
        <v>0</v>
      </c>
      <c r="L528" s="8" t="b">
        <v>0</v>
      </c>
    </row>
    <row r="529">
      <c r="B529" s="103"/>
      <c r="C529" s="121" t="str">
        <f t="array" ref="C529">ifs(and(isblank($A529),isblank($B529)),"", not(iserror(vlookup($A529&amp;$B529,'5) Release_Track'!$F:$F&amp;'5) Release_Track'!$G:$G,1,0))),vlookup($A529&amp;$B529,{'5) Release_Track'!$F:$F&amp;'5) Release_Track'!$G:$G,'5) Release_Track'!$H:$H},2,0), or(and(not(isblank($B529)),$B529=$B528,$A529&lt;&gt;$A528),and(not(isblank($A529)),$A529=$A528,$B529&lt;&gt;$B528)),"ID LISTS UNALIGNED",and($A529&lt;&gt;"",countif('5) Release_Track'!$F:$F,$A529)=0),"NO ISRC MATCH in Release_Track",and($B529&lt;&gt;"",countif('5) Release_Track'!$G:$G,$B529)=0),"NO CATALOG ID MATCH in Release_Track",iserror(vlookup($A529&amp;$B529,'5) Release_Track'!$F:$F&amp;'5) Release_Track'!$G:$G,1,0)),"NO ISRC-CATALOG ID pair MATCH in Release_Track" )</f>
        <v/>
      </c>
      <c r="D529" s="121" t="str">
        <f t="array" ref="D529">ifs(and(isblank($A529),isblank($B529)),"", not(iserror(vlookup($A529&amp;$B529,'5) Release_Track'!$F:$F&amp;'5) Release_Track'!$G:$G,1,0))),vlookup($A529&amp;$B529,{'5) Release_Track'!$F:$F&amp;'5) Release_Track'!$G:$G,'5) Release_Track'!$I:$I},2,0), or(and(not(isblank($B529)),$B529=$B528,$A529&lt;&gt;$A528),and(not(isblank($A529)),$A529=$A528,$B529&lt;&gt;$B528)),"ID LISTS UNALIGNED",and($A529&lt;&gt;"",countif('5) Release_Track'!$F:$F,$A529)=0),"NO ISRC MATCH in Release_Track",and($B529&lt;&gt;"",countif('5) Release_Track'!$G:$G,$B529)=0),"NO CATALOG ID MATCH in Release_Track",iserror(vlookup($A529&amp;$B529,'5) Release_Track'!$F:$F&amp;'5) Release_Track'!$G:$G,1,0)),"NO ISRC-CATALOG ID pair MATCH in Release_Track" )</f>
        <v/>
      </c>
      <c r="E529" s="142" t="b">
        <v>0</v>
      </c>
      <c r="F529" s="142" t="b">
        <v>0</v>
      </c>
      <c r="G529" s="142" t="b">
        <v>0</v>
      </c>
      <c r="H529" s="142" t="b">
        <v>0</v>
      </c>
      <c r="I529" s="142" t="b">
        <v>0</v>
      </c>
      <c r="J529" s="142" t="b">
        <v>0</v>
      </c>
      <c r="K529" s="142" t="b">
        <v>0</v>
      </c>
      <c r="L529" s="8" t="b">
        <v>0</v>
      </c>
    </row>
    <row r="530">
      <c r="B530" s="103"/>
      <c r="C530" s="121" t="str">
        <f t="array" ref="C530">ifs(and(isblank($A530),isblank($B530)),"", not(iserror(vlookup($A530&amp;$B530,'5) Release_Track'!$F:$F&amp;'5) Release_Track'!$G:$G,1,0))),vlookup($A530&amp;$B530,{'5) Release_Track'!$F:$F&amp;'5) Release_Track'!$G:$G,'5) Release_Track'!$H:$H},2,0), or(and(not(isblank($B530)),$B530=$B529,$A530&lt;&gt;$A529),and(not(isblank($A530)),$A530=$A529,$B530&lt;&gt;$B529)),"ID LISTS UNALIGNED",and($A530&lt;&gt;"",countif('5) Release_Track'!$F:$F,$A530)=0),"NO ISRC MATCH in Release_Track",and($B530&lt;&gt;"",countif('5) Release_Track'!$G:$G,$B530)=0),"NO CATALOG ID MATCH in Release_Track",iserror(vlookup($A530&amp;$B530,'5) Release_Track'!$F:$F&amp;'5) Release_Track'!$G:$G,1,0)),"NO ISRC-CATALOG ID pair MATCH in Release_Track" )</f>
        <v/>
      </c>
      <c r="D530" s="121" t="str">
        <f t="array" ref="D530">ifs(and(isblank($A530),isblank($B530)),"", not(iserror(vlookup($A530&amp;$B530,'5) Release_Track'!$F:$F&amp;'5) Release_Track'!$G:$G,1,0))),vlookup($A530&amp;$B530,{'5) Release_Track'!$F:$F&amp;'5) Release_Track'!$G:$G,'5) Release_Track'!$I:$I},2,0), or(and(not(isblank($B530)),$B530=$B529,$A530&lt;&gt;$A529),and(not(isblank($A530)),$A530=$A529,$B530&lt;&gt;$B529)),"ID LISTS UNALIGNED",and($A530&lt;&gt;"",countif('5) Release_Track'!$F:$F,$A530)=0),"NO ISRC MATCH in Release_Track",and($B530&lt;&gt;"",countif('5) Release_Track'!$G:$G,$B530)=0),"NO CATALOG ID MATCH in Release_Track",iserror(vlookup($A530&amp;$B530,'5) Release_Track'!$F:$F&amp;'5) Release_Track'!$G:$G,1,0)),"NO ISRC-CATALOG ID pair MATCH in Release_Track" )</f>
        <v/>
      </c>
      <c r="E530" s="142" t="b">
        <v>0</v>
      </c>
      <c r="F530" s="142" t="b">
        <v>0</v>
      </c>
      <c r="G530" s="142" t="b">
        <v>0</v>
      </c>
      <c r="H530" s="142" t="b">
        <v>0</v>
      </c>
      <c r="I530" s="142" t="b">
        <v>0</v>
      </c>
      <c r="J530" s="142" t="b">
        <v>0</v>
      </c>
      <c r="K530" s="142" t="b">
        <v>0</v>
      </c>
      <c r="L530" s="8" t="b">
        <v>0</v>
      </c>
    </row>
    <row r="531">
      <c r="B531" s="103"/>
      <c r="C531" s="121" t="str">
        <f t="array" ref="C531">ifs(and(isblank($A531),isblank($B531)),"", not(iserror(vlookup($A531&amp;$B531,'5) Release_Track'!$F:$F&amp;'5) Release_Track'!$G:$G,1,0))),vlookup($A531&amp;$B531,{'5) Release_Track'!$F:$F&amp;'5) Release_Track'!$G:$G,'5) Release_Track'!$H:$H},2,0), or(and(not(isblank($B531)),$B531=$B530,$A531&lt;&gt;$A530),and(not(isblank($A531)),$A531=$A530,$B531&lt;&gt;$B530)),"ID LISTS UNALIGNED",and($A531&lt;&gt;"",countif('5) Release_Track'!$F:$F,$A531)=0),"NO ISRC MATCH in Release_Track",and($B531&lt;&gt;"",countif('5) Release_Track'!$G:$G,$B531)=0),"NO CATALOG ID MATCH in Release_Track",iserror(vlookup($A531&amp;$B531,'5) Release_Track'!$F:$F&amp;'5) Release_Track'!$G:$G,1,0)),"NO ISRC-CATALOG ID pair MATCH in Release_Track" )</f>
        <v/>
      </c>
      <c r="D531" s="121" t="str">
        <f t="array" ref="D531">ifs(and(isblank($A531),isblank($B531)),"", not(iserror(vlookup($A531&amp;$B531,'5) Release_Track'!$F:$F&amp;'5) Release_Track'!$G:$G,1,0))),vlookup($A531&amp;$B531,{'5) Release_Track'!$F:$F&amp;'5) Release_Track'!$G:$G,'5) Release_Track'!$I:$I},2,0), or(and(not(isblank($B531)),$B531=$B530,$A531&lt;&gt;$A530),and(not(isblank($A531)),$A531=$A530,$B531&lt;&gt;$B530)),"ID LISTS UNALIGNED",and($A531&lt;&gt;"",countif('5) Release_Track'!$F:$F,$A531)=0),"NO ISRC MATCH in Release_Track",and($B531&lt;&gt;"",countif('5) Release_Track'!$G:$G,$B531)=0),"NO CATALOG ID MATCH in Release_Track",iserror(vlookup($A531&amp;$B531,'5) Release_Track'!$F:$F&amp;'5) Release_Track'!$G:$G,1,0)),"NO ISRC-CATALOG ID pair MATCH in Release_Track" )</f>
        <v/>
      </c>
      <c r="E531" s="142" t="b">
        <v>0</v>
      </c>
      <c r="F531" s="142" t="b">
        <v>0</v>
      </c>
      <c r="G531" s="142" t="b">
        <v>0</v>
      </c>
      <c r="H531" s="142" t="b">
        <v>0</v>
      </c>
      <c r="I531" s="142" t="b">
        <v>0</v>
      </c>
      <c r="J531" s="142" t="b">
        <v>0</v>
      </c>
      <c r="K531" s="142" t="b">
        <v>0</v>
      </c>
      <c r="L531" s="8" t="b">
        <v>0</v>
      </c>
    </row>
    <row r="532">
      <c r="B532" s="103"/>
      <c r="C532" s="121" t="str">
        <f t="array" ref="C532">ifs(and(isblank($A532),isblank($B532)),"", not(iserror(vlookup($A532&amp;$B532,'5) Release_Track'!$F:$F&amp;'5) Release_Track'!$G:$G,1,0))),vlookup($A532&amp;$B532,{'5) Release_Track'!$F:$F&amp;'5) Release_Track'!$G:$G,'5) Release_Track'!$H:$H},2,0), or(and(not(isblank($B532)),$B532=$B531,$A532&lt;&gt;$A531),and(not(isblank($A532)),$A532=$A531,$B532&lt;&gt;$B531)),"ID LISTS UNALIGNED",and($A532&lt;&gt;"",countif('5) Release_Track'!$F:$F,$A532)=0),"NO ISRC MATCH in Release_Track",and($B532&lt;&gt;"",countif('5) Release_Track'!$G:$G,$B532)=0),"NO CATALOG ID MATCH in Release_Track",iserror(vlookup($A532&amp;$B532,'5) Release_Track'!$F:$F&amp;'5) Release_Track'!$G:$G,1,0)),"NO ISRC-CATALOG ID pair MATCH in Release_Track" )</f>
        <v/>
      </c>
      <c r="D532" s="121" t="str">
        <f t="array" ref="D532">ifs(and(isblank($A532),isblank($B532)),"", not(iserror(vlookup($A532&amp;$B532,'5) Release_Track'!$F:$F&amp;'5) Release_Track'!$G:$G,1,0))),vlookup($A532&amp;$B532,{'5) Release_Track'!$F:$F&amp;'5) Release_Track'!$G:$G,'5) Release_Track'!$I:$I},2,0), or(and(not(isblank($B532)),$B532=$B531,$A532&lt;&gt;$A531),and(not(isblank($A532)),$A532=$A531,$B532&lt;&gt;$B531)),"ID LISTS UNALIGNED",and($A532&lt;&gt;"",countif('5) Release_Track'!$F:$F,$A532)=0),"NO ISRC MATCH in Release_Track",and($B532&lt;&gt;"",countif('5) Release_Track'!$G:$G,$B532)=0),"NO CATALOG ID MATCH in Release_Track",iserror(vlookup($A532&amp;$B532,'5) Release_Track'!$F:$F&amp;'5) Release_Track'!$G:$G,1,0)),"NO ISRC-CATALOG ID pair MATCH in Release_Track" )</f>
        <v/>
      </c>
      <c r="E532" s="142" t="b">
        <v>0</v>
      </c>
      <c r="F532" s="142" t="b">
        <v>0</v>
      </c>
      <c r="G532" s="142" t="b">
        <v>0</v>
      </c>
      <c r="H532" s="142" t="b">
        <v>0</v>
      </c>
      <c r="I532" s="142" t="b">
        <v>0</v>
      </c>
      <c r="J532" s="142" t="b">
        <v>0</v>
      </c>
      <c r="K532" s="142" t="b">
        <v>0</v>
      </c>
      <c r="L532" s="8" t="b">
        <v>0</v>
      </c>
    </row>
    <row r="533">
      <c r="B533" s="103"/>
      <c r="C533" s="121" t="str">
        <f t="array" ref="C533">ifs(and(isblank($A533),isblank($B533)),"", not(iserror(vlookup($A533&amp;$B533,'5) Release_Track'!$F:$F&amp;'5) Release_Track'!$G:$G,1,0))),vlookup($A533&amp;$B533,{'5) Release_Track'!$F:$F&amp;'5) Release_Track'!$G:$G,'5) Release_Track'!$H:$H},2,0), or(and(not(isblank($B533)),$B533=$B532,$A533&lt;&gt;$A532),and(not(isblank($A533)),$A533=$A532,$B533&lt;&gt;$B532)),"ID LISTS UNALIGNED",and($A533&lt;&gt;"",countif('5) Release_Track'!$F:$F,$A533)=0),"NO ISRC MATCH in Release_Track",and($B533&lt;&gt;"",countif('5) Release_Track'!$G:$G,$B533)=0),"NO CATALOG ID MATCH in Release_Track",iserror(vlookup($A533&amp;$B533,'5) Release_Track'!$F:$F&amp;'5) Release_Track'!$G:$G,1,0)),"NO ISRC-CATALOG ID pair MATCH in Release_Track" )</f>
        <v/>
      </c>
      <c r="D533" s="121" t="str">
        <f t="array" ref="D533">ifs(and(isblank($A533),isblank($B533)),"", not(iserror(vlookup($A533&amp;$B533,'5) Release_Track'!$F:$F&amp;'5) Release_Track'!$G:$G,1,0))),vlookup($A533&amp;$B533,{'5) Release_Track'!$F:$F&amp;'5) Release_Track'!$G:$G,'5) Release_Track'!$I:$I},2,0), or(and(not(isblank($B533)),$B533=$B532,$A533&lt;&gt;$A532),and(not(isblank($A533)),$A533=$A532,$B533&lt;&gt;$B532)),"ID LISTS UNALIGNED",and($A533&lt;&gt;"",countif('5) Release_Track'!$F:$F,$A533)=0),"NO ISRC MATCH in Release_Track",and($B533&lt;&gt;"",countif('5) Release_Track'!$G:$G,$B533)=0),"NO CATALOG ID MATCH in Release_Track",iserror(vlookup($A533&amp;$B533,'5) Release_Track'!$F:$F&amp;'5) Release_Track'!$G:$G,1,0)),"NO ISRC-CATALOG ID pair MATCH in Release_Track" )</f>
        <v/>
      </c>
      <c r="E533" s="142" t="b">
        <v>0</v>
      </c>
      <c r="F533" s="142" t="b">
        <v>0</v>
      </c>
      <c r="G533" s="142" t="b">
        <v>0</v>
      </c>
      <c r="H533" s="142" t="b">
        <v>0</v>
      </c>
      <c r="I533" s="142" t="b">
        <v>0</v>
      </c>
      <c r="J533" s="142" t="b">
        <v>0</v>
      </c>
      <c r="K533" s="142" t="b">
        <v>0</v>
      </c>
      <c r="L533" s="8" t="b">
        <v>0</v>
      </c>
    </row>
    <row r="534">
      <c r="B534" s="103"/>
      <c r="C534" s="121" t="str">
        <f t="array" ref="C534">ifs(and(isblank($A534),isblank($B534)),"", not(iserror(vlookup($A534&amp;$B534,'5) Release_Track'!$F:$F&amp;'5) Release_Track'!$G:$G,1,0))),vlookup($A534&amp;$B534,{'5) Release_Track'!$F:$F&amp;'5) Release_Track'!$G:$G,'5) Release_Track'!$H:$H},2,0), or(and(not(isblank($B534)),$B534=$B533,$A534&lt;&gt;$A533),and(not(isblank($A534)),$A534=$A533,$B534&lt;&gt;$B533)),"ID LISTS UNALIGNED",and($A534&lt;&gt;"",countif('5) Release_Track'!$F:$F,$A534)=0),"NO ISRC MATCH in Release_Track",and($B534&lt;&gt;"",countif('5) Release_Track'!$G:$G,$B534)=0),"NO CATALOG ID MATCH in Release_Track",iserror(vlookup($A534&amp;$B534,'5) Release_Track'!$F:$F&amp;'5) Release_Track'!$G:$G,1,0)),"NO ISRC-CATALOG ID pair MATCH in Release_Track" )</f>
        <v/>
      </c>
      <c r="D534" s="121" t="str">
        <f t="array" ref="D534">ifs(and(isblank($A534),isblank($B534)),"", not(iserror(vlookup($A534&amp;$B534,'5) Release_Track'!$F:$F&amp;'5) Release_Track'!$G:$G,1,0))),vlookup($A534&amp;$B534,{'5) Release_Track'!$F:$F&amp;'5) Release_Track'!$G:$G,'5) Release_Track'!$I:$I},2,0), or(and(not(isblank($B534)),$B534=$B533,$A534&lt;&gt;$A533),and(not(isblank($A534)),$A534=$A533,$B534&lt;&gt;$B533)),"ID LISTS UNALIGNED",and($A534&lt;&gt;"",countif('5) Release_Track'!$F:$F,$A534)=0),"NO ISRC MATCH in Release_Track",and($B534&lt;&gt;"",countif('5) Release_Track'!$G:$G,$B534)=0),"NO CATALOG ID MATCH in Release_Track",iserror(vlookup($A534&amp;$B534,'5) Release_Track'!$F:$F&amp;'5) Release_Track'!$G:$G,1,0)),"NO ISRC-CATALOG ID pair MATCH in Release_Track" )</f>
        <v/>
      </c>
      <c r="E534" s="142" t="b">
        <v>0</v>
      </c>
      <c r="F534" s="142" t="b">
        <v>0</v>
      </c>
      <c r="G534" s="142" t="b">
        <v>0</v>
      </c>
      <c r="H534" s="142" t="b">
        <v>0</v>
      </c>
      <c r="I534" s="142" t="b">
        <v>0</v>
      </c>
      <c r="J534" s="142" t="b">
        <v>0</v>
      </c>
      <c r="K534" s="142" t="b">
        <v>0</v>
      </c>
      <c r="L534" s="8" t="b">
        <v>0</v>
      </c>
    </row>
    <row r="535">
      <c r="B535" s="103"/>
      <c r="C535" s="121" t="str">
        <f t="array" ref="C535">ifs(and(isblank($A535),isblank($B535)),"", not(iserror(vlookup($A535&amp;$B535,'5) Release_Track'!$F:$F&amp;'5) Release_Track'!$G:$G,1,0))),vlookup($A535&amp;$B535,{'5) Release_Track'!$F:$F&amp;'5) Release_Track'!$G:$G,'5) Release_Track'!$H:$H},2,0), or(and(not(isblank($B535)),$B535=$B534,$A535&lt;&gt;$A534),and(not(isblank($A535)),$A535=$A534,$B535&lt;&gt;$B534)),"ID LISTS UNALIGNED",and($A535&lt;&gt;"",countif('5) Release_Track'!$F:$F,$A535)=0),"NO ISRC MATCH in Release_Track",and($B535&lt;&gt;"",countif('5) Release_Track'!$G:$G,$B535)=0),"NO CATALOG ID MATCH in Release_Track",iserror(vlookup($A535&amp;$B535,'5) Release_Track'!$F:$F&amp;'5) Release_Track'!$G:$G,1,0)),"NO ISRC-CATALOG ID pair MATCH in Release_Track" )</f>
        <v/>
      </c>
      <c r="D535" s="121" t="str">
        <f t="array" ref="D535">ifs(and(isblank($A535),isblank($B535)),"", not(iserror(vlookup($A535&amp;$B535,'5) Release_Track'!$F:$F&amp;'5) Release_Track'!$G:$G,1,0))),vlookup($A535&amp;$B535,{'5) Release_Track'!$F:$F&amp;'5) Release_Track'!$G:$G,'5) Release_Track'!$I:$I},2,0), or(and(not(isblank($B535)),$B535=$B534,$A535&lt;&gt;$A534),and(not(isblank($A535)),$A535=$A534,$B535&lt;&gt;$B534)),"ID LISTS UNALIGNED",and($A535&lt;&gt;"",countif('5) Release_Track'!$F:$F,$A535)=0),"NO ISRC MATCH in Release_Track",and($B535&lt;&gt;"",countif('5) Release_Track'!$G:$G,$B535)=0),"NO CATALOG ID MATCH in Release_Track",iserror(vlookup($A535&amp;$B535,'5) Release_Track'!$F:$F&amp;'5) Release_Track'!$G:$G,1,0)),"NO ISRC-CATALOG ID pair MATCH in Release_Track" )</f>
        <v/>
      </c>
      <c r="E535" s="142" t="b">
        <v>0</v>
      </c>
      <c r="F535" s="142" t="b">
        <v>0</v>
      </c>
      <c r="G535" s="142" t="b">
        <v>0</v>
      </c>
      <c r="H535" s="142" t="b">
        <v>0</v>
      </c>
      <c r="I535" s="142" t="b">
        <v>0</v>
      </c>
      <c r="J535" s="142" t="b">
        <v>0</v>
      </c>
      <c r="K535" s="142" t="b">
        <v>0</v>
      </c>
      <c r="L535" s="8" t="b">
        <v>0</v>
      </c>
    </row>
    <row r="536">
      <c r="B536" s="103"/>
      <c r="C536" s="121" t="str">
        <f t="array" ref="C536">ifs(and(isblank($A536),isblank($B536)),"", not(iserror(vlookup($A536&amp;$B536,'5) Release_Track'!$F:$F&amp;'5) Release_Track'!$G:$G,1,0))),vlookup($A536&amp;$B536,{'5) Release_Track'!$F:$F&amp;'5) Release_Track'!$G:$G,'5) Release_Track'!$H:$H},2,0), or(and(not(isblank($B536)),$B536=$B535,$A536&lt;&gt;$A535),and(not(isblank($A536)),$A536=$A535,$B536&lt;&gt;$B535)),"ID LISTS UNALIGNED",and($A536&lt;&gt;"",countif('5) Release_Track'!$F:$F,$A536)=0),"NO ISRC MATCH in Release_Track",and($B536&lt;&gt;"",countif('5) Release_Track'!$G:$G,$B536)=0),"NO CATALOG ID MATCH in Release_Track",iserror(vlookup($A536&amp;$B536,'5) Release_Track'!$F:$F&amp;'5) Release_Track'!$G:$G,1,0)),"NO ISRC-CATALOG ID pair MATCH in Release_Track" )</f>
        <v/>
      </c>
      <c r="D536" s="121" t="str">
        <f t="array" ref="D536">ifs(and(isblank($A536),isblank($B536)),"", not(iserror(vlookup($A536&amp;$B536,'5) Release_Track'!$F:$F&amp;'5) Release_Track'!$G:$G,1,0))),vlookup($A536&amp;$B536,{'5) Release_Track'!$F:$F&amp;'5) Release_Track'!$G:$G,'5) Release_Track'!$I:$I},2,0), or(and(not(isblank($B536)),$B536=$B535,$A536&lt;&gt;$A535),and(not(isblank($A536)),$A536=$A535,$B536&lt;&gt;$B535)),"ID LISTS UNALIGNED",and($A536&lt;&gt;"",countif('5) Release_Track'!$F:$F,$A536)=0),"NO ISRC MATCH in Release_Track",and($B536&lt;&gt;"",countif('5) Release_Track'!$G:$G,$B536)=0),"NO CATALOG ID MATCH in Release_Track",iserror(vlookup($A536&amp;$B536,'5) Release_Track'!$F:$F&amp;'5) Release_Track'!$G:$G,1,0)),"NO ISRC-CATALOG ID pair MATCH in Release_Track" )</f>
        <v/>
      </c>
      <c r="E536" s="142" t="b">
        <v>0</v>
      </c>
      <c r="F536" s="142" t="b">
        <v>0</v>
      </c>
      <c r="G536" s="142" t="b">
        <v>0</v>
      </c>
      <c r="H536" s="142" t="b">
        <v>0</v>
      </c>
      <c r="I536" s="142" t="b">
        <v>0</v>
      </c>
      <c r="J536" s="142" t="b">
        <v>0</v>
      </c>
      <c r="K536" s="142" t="b">
        <v>0</v>
      </c>
      <c r="L536" s="8" t="b">
        <v>0</v>
      </c>
    </row>
    <row r="537">
      <c r="B537" s="103"/>
      <c r="C537" s="121" t="str">
        <f t="array" ref="C537">ifs(and(isblank($A537),isblank($B537)),"", not(iserror(vlookup($A537&amp;$B537,'5) Release_Track'!$F:$F&amp;'5) Release_Track'!$G:$G,1,0))),vlookup($A537&amp;$B537,{'5) Release_Track'!$F:$F&amp;'5) Release_Track'!$G:$G,'5) Release_Track'!$H:$H},2,0), or(and(not(isblank($B537)),$B537=$B536,$A537&lt;&gt;$A536),and(not(isblank($A537)),$A537=$A536,$B537&lt;&gt;$B536)),"ID LISTS UNALIGNED",and($A537&lt;&gt;"",countif('5) Release_Track'!$F:$F,$A537)=0),"NO ISRC MATCH in Release_Track",and($B537&lt;&gt;"",countif('5) Release_Track'!$G:$G,$B537)=0),"NO CATALOG ID MATCH in Release_Track",iserror(vlookup($A537&amp;$B537,'5) Release_Track'!$F:$F&amp;'5) Release_Track'!$G:$G,1,0)),"NO ISRC-CATALOG ID pair MATCH in Release_Track" )</f>
        <v/>
      </c>
      <c r="D537" s="121" t="str">
        <f t="array" ref="D537">ifs(and(isblank($A537),isblank($B537)),"", not(iserror(vlookup($A537&amp;$B537,'5) Release_Track'!$F:$F&amp;'5) Release_Track'!$G:$G,1,0))),vlookup($A537&amp;$B537,{'5) Release_Track'!$F:$F&amp;'5) Release_Track'!$G:$G,'5) Release_Track'!$I:$I},2,0), or(and(not(isblank($B537)),$B537=$B536,$A537&lt;&gt;$A536),and(not(isblank($A537)),$A537=$A536,$B537&lt;&gt;$B536)),"ID LISTS UNALIGNED",and($A537&lt;&gt;"",countif('5) Release_Track'!$F:$F,$A537)=0),"NO ISRC MATCH in Release_Track",and($B537&lt;&gt;"",countif('5) Release_Track'!$G:$G,$B537)=0),"NO CATALOG ID MATCH in Release_Track",iserror(vlookup($A537&amp;$B537,'5) Release_Track'!$F:$F&amp;'5) Release_Track'!$G:$G,1,0)),"NO ISRC-CATALOG ID pair MATCH in Release_Track" )</f>
        <v/>
      </c>
      <c r="E537" s="142" t="b">
        <v>0</v>
      </c>
      <c r="F537" s="142" t="b">
        <v>0</v>
      </c>
      <c r="G537" s="142" t="b">
        <v>0</v>
      </c>
      <c r="H537" s="142" t="b">
        <v>0</v>
      </c>
      <c r="I537" s="142" t="b">
        <v>0</v>
      </c>
      <c r="J537" s="142" t="b">
        <v>0</v>
      </c>
      <c r="K537" s="142" t="b">
        <v>0</v>
      </c>
      <c r="L537" s="8" t="b">
        <v>0</v>
      </c>
    </row>
    <row r="538">
      <c r="B538" s="103"/>
      <c r="C538" s="121" t="str">
        <f t="array" ref="C538">ifs(and(isblank($A538),isblank($B538)),"", not(iserror(vlookup($A538&amp;$B538,'5) Release_Track'!$F:$F&amp;'5) Release_Track'!$G:$G,1,0))),vlookup($A538&amp;$B538,{'5) Release_Track'!$F:$F&amp;'5) Release_Track'!$G:$G,'5) Release_Track'!$H:$H},2,0), or(and(not(isblank($B538)),$B538=$B537,$A538&lt;&gt;$A537),and(not(isblank($A538)),$A538=$A537,$B538&lt;&gt;$B537)),"ID LISTS UNALIGNED",and($A538&lt;&gt;"",countif('5) Release_Track'!$F:$F,$A538)=0),"NO ISRC MATCH in Release_Track",and($B538&lt;&gt;"",countif('5) Release_Track'!$G:$G,$B538)=0),"NO CATALOG ID MATCH in Release_Track",iserror(vlookup($A538&amp;$B538,'5) Release_Track'!$F:$F&amp;'5) Release_Track'!$G:$G,1,0)),"NO ISRC-CATALOG ID pair MATCH in Release_Track" )</f>
        <v/>
      </c>
      <c r="D538" s="121" t="str">
        <f t="array" ref="D538">ifs(and(isblank($A538),isblank($B538)),"", not(iserror(vlookup($A538&amp;$B538,'5) Release_Track'!$F:$F&amp;'5) Release_Track'!$G:$G,1,0))),vlookup($A538&amp;$B538,{'5) Release_Track'!$F:$F&amp;'5) Release_Track'!$G:$G,'5) Release_Track'!$I:$I},2,0), or(and(not(isblank($B538)),$B538=$B537,$A538&lt;&gt;$A537),and(not(isblank($A538)),$A538=$A537,$B538&lt;&gt;$B537)),"ID LISTS UNALIGNED",and($A538&lt;&gt;"",countif('5) Release_Track'!$F:$F,$A538)=0),"NO ISRC MATCH in Release_Track",and($B538&lt;&gt;"",countif('5) Release_Track'!$G:$G,$B538)=0),"NO CATALOG ID MATCH in Release_Track",iserror(vlookup($A538&amp;$B538,'5) Release_Track'!$F:$F&amp;'5) Release_Track'!$G:$G,1,0)),"NO ISRC-CATALOG ID pair MATCH in Release_Track" )</f>
        <v/>
      </c>
      <c r="E538" s="142" t="b">
        <v>0</v>
      </c>
      <c r="F538" s="142" t="b">
        <v>0</v>
      </c>
      <c r="G538" s="142" t="b">
        <v>0</v>
      </c>
      <c r="H538" s="142" t="b">
        <v>0</v>
      </c>
      <c r="I538" s="142" t="b">
        <v>0</v>
      </c>
      <c r="J538" s="142" t="b">
        <v>0</v>
      </c>
      <c r="K538" s="142" t="b">
        <v>0</v>
      </c>
      <c r="L538" s="8" t="b">
        <v>0</v>
      </c>
    </row>
    <row r="539">
      <c r="B539" s="103"/>
      <c r="C539" s="121" t="str">
        <f t="array" ref="C539">ifs(and(isblank($A539),isblank($B539)),"", not(iserror(vlookup($A539&amp;$B539,'5) Release_Track'!$F:$F&amp;'5) Release_Track'!$G:$G,1,0))),vlookup($A539&amp;$B539,{'5) Release_Track'!$F:$F&amp;'5) Release_Track'!$G:$G,'5) Release_Track'!$H:$H},2,0), or(and(not(isblank($B539)),$B539=$B538,$A539&lt;&gt;$A538),and(not(isblank($A539)),$A539=$A538,$B539&lt;&gt;$B538)),"ID LISTS UNALIGNED",and($A539&lt;&gt;"",countif('5) Release_Track'!$F:$F,$A539)=0),"NO ISRC MATCH in Release_Track",and($B539&lt;&gt;"",countif('5) Release_Track'!$G:$G,$B539)=0),"NO CATALOG ID MATCH in Release_Track",iserror(vlookup($A539&amp;$B539,'5) Release_Track'!$F:$F&amp;'5) Release_Track'!$G:$G,1,0)),"NO ISRC-CATALOG ID pair MATCH in Release_Track" )</f>
        <v/>
      </c>
      <c r="D539" s="121" t="str">
        <f t="array" ref="D539">ifs(and(isblank($A539),isblank($B539)),"", not(iserror(vlookup($A539&amp;$B539,'5) Release_Track'!$F:$F&amp;'5) Release_Track'!$G:$G,1,0))),vlookup($A539&amp;$B539,{'5) Release_Track'!$F:$F&amp;'5) Release_Track'!$G:$G,'5) Release_Track'!$I:$I},2,0), or(and(not(isblank($B539)),$B539=$B538,$A539&lt;&gt;$A538),and(not(isblank($A539)),$A539=$A538,$B539&lt;&gt;$B538)),"ID LISTS UNALIGNED",and($A539&lt;&gt;"",countif('5) Release_Track'!$F:$F,$A539)=0),"NO ISRC MATCH in Release_Track",and($B539&lt;&gt;"",countif('5) Release_Track'!$G:$G,$B539)=0),"NO CATALOG ID MATCH in Release_Track",iserror(vlookup($A539&amp;$B539,'5) Release_Track'!$F:$F&amp;'5) Release_Track'!$G:$G,1,0)),"NO ISRC-CATALOG ID pair MATCH in Release_Track" )</f>
        <v/>
      </c>
      <c r="E539" s="142" t="b">
        <v>0</v>
      </c>
      <c r="F539" s="142" t="b">
        <v>0</v>
      </c>
      <c r="G539" s="142" t="b">
        <v>0</v>
      </c>
      <c r="H539" s="142" t="b">
        <v>0</v>
      </c>
      <c r="I539" s="142" t="b">
        <v>0</v>
      </c>
      <c r="J539" s="142" t="b">
        <v>0</v>
      </c>
      <c r="K539" s="142" t="b">
        <v>0</v>
      </c>
      <c r="L539" s="8" t="b">
        <v>0</v>
      </c>
    </row>
    <row r="540">
      <c r="B540" s="103"/>
      <c r="C540" s="121" t="str">
        <f t="array" ref="C540">ifs(and(isblank($A540),isblank($B540)),"", not(iserror(vlookup($A540&amp;$B540,'5) Release_Track'!$F:$F&amp;'5) Release_Track'!$G:$G,1,0))),vlookup($A540&amp;$B540,{'5) Release_Track'!$F:$F&amp;'5) Release_Track'!$G:$G,'5) Release_Track'!$H:$H},2,0), or(and(not(isblank($B540)),$B540=$B539,$A540&lt;&gt;$A539),and(not(isblank($A540)),$A540=$A539,$B540&lt;&gt;$B539)),"ID LISTS UNALIGNED",and($A540&lt;&gt;"",countif('5) Release_Track'!$F:$F,$A540)=0),"NO ISRC MATCH in Release_Track",and($B540&lt;&gt;"",countif('5) Release_Track'!$G:$G,$B540)=0),"NO CATALOG ID MATCH in Release_Track",iserror(vlookup($A540&amp;$B540,'5) Release_Track'!$F:$F&amp;'5) Release_Track'!$G:$G,1,0)),"NO ISRC-CATALOG ID pair MATCH in Release_Track" )</f>
        <v/>
      </c>
      <c r="D540" s="121" t="str">
        <f t="array" ref="D540">ifs(and(isblank($A540),isblank($B540)),"", not(iserror(vlookup($A540&amp;$B540,'5) Release_Track'!$F:$F&amp;'5) Release_Track'!$G:$G,1,0))),vlookup($A540&amp;$B540,{'5) Release_Track'!$F:$F&amp;'5) Release_Track'!$G:$G,'5) Release_Track'!$I:$I},2,0), or(and(not(isblank($B540)),$B540=$B539,$A540&lt;&gt;$A539),and(not(isblank($A540)),$A540=$A539,$B540&lt;&gt;$B539)),"ID LISTS UNALIGNED",and($A540&lt;&gt;"",countif('5) Release_Track'!$F:$F,$A540)=0),"NO ISRC MATCH in Release_Track",and($B540&lt;&gt;"",countif('5) Release_Track'!$G:$G,$B540)=0),"NO CATALOG ID MATCH in Release_Track",iserror(vlookup($A540&amp;$B540,'5) Release_Track'!$F:$F&amp;'5) Release_Track'!$G:$G,1,0)),"NO ISRC-CATALOG ID pair MATCH in Release_Track" )</f>
        <v/>
      </c>
      <c r="E540" s="142" t="b">
        <v>0</v>
      </c>
      <c r="F540" s="142" t="b">
        <v>0</v>
      </c>
      <c r="G540" s="142" t="b">
        <v>0</v>
      </c>
      <c r="H540" s="142" t="b">
        <v>0</v>
      </c>
      <c r="I540" s="142" t="b">
        <v>0</v>
      </c>
      <c r="J540" s="142" t="b">
        <v>0</v>
      </c>
      <c r="K540" s="142" t="b">
        <v>0</v>
      </c>
      <c r="L540" s="8" t="b">
        <v>0</v>
      </c>
    </row>
    <row r="541">
      <c r="B541" s="103"/>
      <c r="C541" s="121" t="str">
        <f t="array" ref="C541">ifs(and(isblank($A541),isblank($B541)),"", not(iserror(vlookup($A541&amp;$B541,'5) Release_Track'!$F:$F&amp;'5) Release_Track'!$G:$G,1,0))),vlookup($A541&amp;$B541,{'5) Release_Track'!$F:$F&amp;'5) Release_Track'!$G:$G,'5) Release_Track'!$H:$H},2,0), or(and(not(isblank($B541)),$B541=$B540,$A541&lt;&gt;$A540),and(not(isblank($A541)),$A541=$A540,$B541&lt;&gt;$B540)),"ID LISTS UNALIGNED",and($A541&lt;&gt;"",countif('5) Release_Track'!$F:$F,$A541)=0),"NO ISRC MATCH in Release_Track",and($B541&lt;&gt;"",countif('5) Release_Track'!$G:$G,$B541)=0),"NO CATALOG ID MATCH in Release_Track",iserror(vlookup($A541&amp;$B541,'5) Release_Track'!$F:$F&amp;'5) Release_Track'!$G:$G,1,0)),"NO ISRC-CATALOG ID pair MATCH in Release_Track" )</f>
        <v/>
      </c>
      <c r="D541" s="121" t="str">
        <f t="array" ref="D541">ifs(and(isblank($A541),isblank($B541)),"", not(iserror(vlookup($A541&amp;$B541,'5) Release_Track'!$F:$F&amp;'5) Release_Track'!$G:$G,1,0))),vlookup($A541&amp;$B541,{'5) Release_Track'!$F:$F&amp;'5) Release_Track'!$G:$G,'5) Release_Track'!$I:$I},2,0), or(and(not(isblank($B541)),$B541=$B540,$A541&lt;&gt;$A540),and(not(isblank($A541)),$A541=$A540,$B541&lt;&gt;$B540)),"ID LISTS UNALIGNED",and($A541&lt;&gt;"",countif('5) Release_Track'!$F:$F,$A541)=0),"NO ISRC MATCH in Release_Track",and($B541&lt;&gt;"",countif('5) Release_Track'!$G:$G,$B541)=0),"NO CATALOG ID MATCH in Release_Track",iserror(vlookup($A541&amp;$B541,'5) Release_Track'!$F:$F&amp;'5) Release_Track'!$G:$G,1,0)),"NO ISRC-CATALOG ID pair MATCH in Release_Track" )</f>
        <v/>
      </c>
      <c r="E541" s="142" t="b">
        <v>0</v>
      </c>
      <c r="F541" s="142" t="b">
        <v>0</v>
      </c>
      <c r="G541" s="142" t="b">
        <v>0</v>
      </c>
      <c r="H541" s="142" t="b">
        <v>0</v>
      </c>
      <c r="I541" s="142" t="b">
        <v>0</v>
      </c>
      <c r="J541" s="142" t="b">
        <v>0</v>
      </c>
      <c r="K541" s="142" t="b">
        <v>0</v>
      </c>
      <c r="L541" s="8" t="b">
        <v>0</v>
      </c>
    </row>
    <row r="542">
      <c r="B542" s="103"/>
      <c r="C542" s="121" t="str">
        <f t="array" ref="C542">ifs(and(isblank($A542),isblank($B542)),"", not(iserror(vlookup($A542&amp;$B542,'5) Release_Track'!$F:$F&amp;'5) Release_Track'!$G:$G,1,0))),vlookup($A542&amp;$B542,{'5) Release_Track'!$F:$F&amp;'5) Release_Track'!$G:$G,'5) Release_Track'!$H:$H},2,0), or(and(not(isblank($B542)),$B542=$B541,$A542&lt;&gt;$A541),and(not(isblank($A542)),$A542=$A541,$B542&lt;&gt;$B541)),"ID LISTS UNALIGNED",and($A542&lt;&gt;"",countif('5) Release_Track'!$F:$F,$A542)=0),"NO ISRC MATCH in Release_Track",and($B542&lt;&gt;"",countif('5) Release_Track'!$G:$G,$B542)=0),"NO CATALOG ID MATCH in Release_Track",iserror(vlookup($A542&amp;$B542,'5) Release_Track'!$F:$F&amp;'5) Release_Track'!$G:$G,1,0)),"NO ISRC-CATALOG ID pair MATCH in Release_Track" )</f>
        <v/>
      </c>
      <c r="D542" s="121" t="str">
        <f t="array" ref="D542">ifs(and(isblank($A542),isblank($B542)),"", not(iserror(vlookup($A542&amp;$B542,'5) Release_Track'!$F:$F&amp;'5) Release_Track'!$G:$G,1,0))),vlookup($A542&amp;$B542,{'5) Release_Track'!$F:$F&amp;'5) Release_Track'!$G:$G,'5) Release_Track'!$I:$I},2,0), or(and(not(isblank($B542)),$B542=$B541,$A542&lt;&gt;$A541),and(not(isblank($A542)),$A542=$A541,$B542&lt;&gt;$B541)),"ID LISTS UNALIGNED",and($A542&lt;&gt;"",countif('5) Release_Track'!$F:$F,$A542)=0),"NO ISRC MATCH in Release_Track",and($B542&lt;&gt;"",countif('5) Release_Track'!$G:$G,$B542)=0),"NO CATALOG ID MATCH in Release_Track",iserror(vlookup($A542&amp;$B542,'5) Release_Track'!$F:$F&amp;'5) Release_Track'!$G:$G,1,0)),"NO ISRC-CATALOG ID pair MATCH in Release_Track" )</f>
        <v/>
      </c>
      <c r="E542" s="142" t="b">
        <v>0</v>
      </c>
      <c r="F542" s="142" t="b">
        <v>0</v>
      </c>
      <c r="G542" s="142" t="b">
        <v>0</v>
      </c>
      <c r="H542" s="142" t="b">
        <v>0</v>
      </c>
      <c r="I542" s="142" t="b">
        <v>0</v>
      </c>
      <c r="J542" s="142" t="b">
        <v>0</v>
      </c>
      <c r="K542" s="142" t="b">
        <v>0</v>
      </c>
      <c r="L542" s="8" t="b">
        <v>0</v>
      </c>
    </row>
    <row r="543">
      <c r="B543" s="103"/>
      <c r="C543" s="121" t="str">
        <f t="array" ref="C543">ifs(and(isblank($A543),isblank($B543)),"", not(iserror(vlookup($A543&amp;$B543,'5) Release_Track'!$F:$F&amp;'5) Release_Track'!$G:$G,1,0))),vlookup($A543&amp;$B543,{'5) Release_Track'!$F:$F&amp;'5) Release_Track'!$G:$G,'5) Release_Track'!$H:$H},2,0), or(and(not(isblank($B543)),$B543=$B542,$A543&lt;&gt;$A542),and(not(isblank($A543)),$A543=$A542,$B543&lt;&gt;$B542)),"ID LISTS UNALIGNED",and($A543&lt;&gt;"",countif('5) Release_Track'!$F:$F,$A543)=0),"NO ISRC MATCH in Release_Track",and($B543&lt;&gt;"",countif('5) Release_Track'!$G:$G,$B543)=0),"NO CATALOG ID MATCH in Release_Track",iserror(vlookup($A543&amp;$B543,'5) Release_Track'!$F:$F&amp;'5) Release_Track'!$G:$G,1,0)),"NO ISRC-CATALOG ID pair MATCH in Release_Track" )</f>
        <v/>
      </c>
      <c r="D543" s="121" t="str">
        <f t="array" ref="D543">ifs(and(isblank($A543),isblank($B543)),"", not(iserror(vlookup($A543&amp;$B543,'5) Release_Track'!$F:$F&amp;'5) Release_Track'!$G:$G,1,0))),vlookup($A543&amp;$B543,{'5) Release_Track'!$F:$F&amp;'5) Release_Track'!$G:$G,'5) Release_Track'!$I:$I},2,0), or(and(not(isblank($B543)),$B543=$B542,$A543&lt;&gt;$A542),and(not(isblank($A543)),$A543=$A542,$B543&lt;&gt;$B542)),"ID LISTS UNALIGNED",and($A543&lt;&gt;"",countif('5) Release_Track'!$F:$F,$A543)=0),"NO ISRC MATCH in Release_Track",and($B543&lt;&gt;"",countif('5) Release_Track'!$G:$G,$B543)=0),"NO CATALOG ID MATCH in Release_Track",iserror(vlookup($A543&amp;$B543,'5) Release_Track'!$F:$F&amp;'5) Release_Track'!$G:$G,1,0)),"NO ISRC-CATALOG ID pair MATCH in Release_Track" )</f>
        <v/>
      </c>
      <c r="E543" s="142" t="b">
        <v>0</v>
      </c>
      <c r="F543" s="142" t="b">
        <v>0</v>
      </c>
      <c r="G543" s="142" t="b">
        <v>0</v>
      </c>
      <c r="H543" s="142" t="b">
        <v>0</v>
      </c>
      <c r="I543" s="142" t="b">
        <v>0</v>
      </c>
      <c r="J543" s="142" t="b">
        <v>0</v>
      </c>
      <c r="K543" s="142" t="b">
        <v>0</v>
      </c>
      <c r="L543" s="8" t="b">
        <v>0</v>
      </c>
    </row>
    <row r="544">
      <c r="B544" s="103"/>
      <c r="C544" s="121" t="str">
        <f t="array" ref="C544">ifs(and(isblank($A544),isblank($B544)),"", not(iserror(vlookup($A544&amp;$B544,'5) Release_Track'!$F:$F&amp;'5) Release_Track'!$G:$G,1,0))),vlookup($A544&amp;$B544,{'5) Release_Track'!$F:$F&amp;'5) Release_Track'!$G:$G,'5) Release_Track'!$H:$H},2,0), or(and(not(isblank($B544)),$B544=$B543,$A544&lt;&gt;$A543),and(not(isblank($A544)),$A544=$A543,$B544&lt;&gt;$B543)),"ID LISTS UNALIGNED",and($A544&lt;&gt;"",countif('5) Release_Track'!$F:$F,$A544)=0),"NO ISRC MATCH in Release_Track",and($B544&lt;&gt;"",countif('5) Release_Track'!$G:$G,$B544)=0),"NO CATALOG ID MATCH in Release_Track",iserror(vlookup($A544&amp;$B544,'5) Release_Track'!$F:$F&amp;'5) Release_Track'!$G:$G,1,0)),"NO ISRC-CATALOG ID pair MATCH in Release_Track" )</f>
        <v/>
      </c>
      <c r="D544" s="121" t="str">
        <f t="array" ref="D544">ifs(and(isblank($A544),isblank($B544)),"", not(iserror(vlookup($A544&amp;$B544,'5) Release_Track'!$F:$F&amp;'5) Release_Track'!$G:$G,1,0))),vlookup($A544&amp;$B544,{'5) Release_Track'!$F:$F&amp;'5) Release_Track'!$G:$G,'5) Release_Track'!$I:$I},2,0), or(and(not(isblank($B544)),$B544=$B543,$A544&lt;&gt;$A543),and(not(isblank($A544)),$A544=$A543,$B544&lt;&gt;$B543)),"ID LISTS UNALIGNED",and($A544&lt;&gt;"",countif('5) Release_Track'!$F:$F,$A544)=0),"NO ISRC MATCH in Release_Track",and($B544&lt;&gt;"",countif('5) Release_Track'!$G:$G,$B544)=0),"NO CATALOG ID MATCH in Release_Track",iserror(vlookup($A544&amp;$B544,'5) Release_Track'!$F:$F&amp;'5) Release_Track'!$G:$G,1,0)),"NO ISRC-CATALOG ID pair MATCH in Release_Track" )</f>
        <v/>
      </c>
      <c r="E544" s="142" t="b">
        <v>0</v>
      </c>
      <c r="F544" s="142" t="b">
        <v>0</v>
      </c>
      <c r="G544" s="142" t="b">
        <v>0</v>
      </c>
      <c r="H544" s="142" t="b">
        <v>0</v>
      </c>
      <c r="I544" s="142" t="b">
        <v>0</v>
      </c>
      <c r="J544" s="142" t="b">
        <v>0</v>
      </c>
      <c r="K544" s="142" t="b">
        <v>0</v>
      </c>
      <c r="L544" s="8" t="b">
        <v>0</v>
      </c>
    </row>
    <row r="545">
      <c r="B545" s="103"/>
      <c r="C545" s="121" t="str">
        <f t="array" ref="C545">ifs(and(isblank($A545),isblank($B545)),"", not(iserror(vlookup($A545&amp;$B545,'5) Release_Track'!$F:$F&amp;'5) Release_Track'!$G:$G,1,0))),vlookup($A545&amp;$B545,{'5) Release_Track'!$F:$F&amp;'5) Release_Track'!$G:$G,'5) Release_Track'!$H:$H},2,0), or(and(not(isblank($B545)),$B545=$B544,$A545&lt;&gt;$A544),and(not(isblank($A545)),$A545=$A544,$B545&lt;&gt;$B544)),"ID LISTS UNALIGNED",and($A545&lt;&gt;"",countif('5) Release_Track'!$F:$F,$A545)=0),"NO ISRC MATCH in Release_Track",and($B545&lt;&gt;"",countif('5) Release_Track'!$G:$G,$B545)=0),"NO CATALOG ID MATCH in Release_Track",iserror(vlookup($A545&amp;$B545,'5) Release_Track'!$F:$F&amp;'5) Release_Track'!$G:$G,1,0)),"NO ISRC-CATALOG ID pair MATCH in Release_Track" )</f>
        <v/>
      </c>
      <c r="D545" s="121" t="str">
        <f t="array" ref="D545">ifs(and(isblank($A545),isblank($B545)),"", not(iserror(vlookup($A545&amp;$B545,'5) Release_Track'!$F:$F&amp;'5) Release_Track'!$G:$G,1,0))),vlookup($A545&amp;$B545,{'5) Release_Track'!$F:$F&amp;'5) Release_Track'!$G:$G,'5) Release_Track'!$I:$I},2,0), or(and(not(isblank($B545)),$B545=$B544,$A545&lt;&gt;$A544),and(not(isblank($A545)),$A545=$A544,$B545&lt;&gt;$B544)),"ID LISTS UNALIGNED",and($A545&lt;&gt;"",countif('5) Release_Track'!$F:$F,$A545)=0),"NO ISRC MATCH in Release_Track",and($B545&lt;&gt;"",countif('5) Release_Track'!$G:$G,$B545)=0),"NO CATALOG ID MATCH in Release_Track",iserror(vlookup($A545&amp;$B545,'5) Release_Track'!$F:$F&amp;'5) Release_Track'!$G:$G,1,0)),"NO ISRC-CATALOG ID pair MATCH in Release_Track" )</f>
        <v/>
      </c>
      <c r="E545" s="142" t="b">
        <v>0</v>
      </c>
      <c r="F545" s="142" t="b">
        <v>0</v>
      </c>
      <c r="G545" s="142" t="b">
        <v>0</v>
      </c>
      <c r="H545" s="142" t="b">
        <v>0</v>
      </c>
      <c r="I545" s="142" t="b">
        <v>0</v>
      </c>
      <c r="J545" s="142" t="b">
        <v>0</v>
      </c>
      <c r="K545" s="142" t="b">
        <v>0</v>
      </c>
      <c r="L545" s="8" t="b">
        <v>0</v>
      </c>
    </row>
    <row r="546">
      <c r="B546" s="103"/>
      <c r="C546" s="121" t="str">
        <f t="array" ref="C546">ifs(and(isblank($A546),isblank($B546)),"", not(iserror(vlookup($A546&amp;$B546,'5) Release_Track'!$F:$F&amp;'5) Release_Track'!$G:$G,1,0))),vlookup($A546&amp;$B546,{'5) Release_Track'!$F:$F&amp;'5) Release_Track'!$G:$G,'5) Release_Track'!$H:$H},2,0), or(and(not(isblank($B546)),$B546=$B545,$A546&lt;&gt;$A545),and(not(isblank($A546)),$A546=$A545,$B546&lt;&gt;$B545)),"ID LISTS UNALIGNED",and($A546&lt;&gt;"",countif('5) Release_Track'!$F:$F,$A546)=0),"NO ISRC MATCH in Release_Track",and($B546&lt;&gt;"",countif('5) Release_Track'!$G:$G,$B546)=0),"NO CATALOG ID MATCH in Release_Track",iserror(vlookup($A546&amp;$B546,'5) Release_Track'!$F:$F&amp;'5) Release_Track'!$G:$G,1,0)),"NO ISRC-CATALOG ID pair MATCH in Release_Track" )</f>
        <v/>
      </c>
      <c r="D546" s="121" t="str">
        <f t="array" ref="D546">ifs(and(isblank($A546),isblank($B546)),"", not(iserror(vlookup($A546&amp;$B546,'5) Release_Track'!$F:$F&amp;'5) Release_Track'!$G:$G,1,0))),vlookup($A546&amp;$B546,{'5) Release_Track'!$F:$F&amp;'5) Release_Track'!$G:$G,'5) Release_Track'!$I:$I},2,0), or(and(not(isblank($B546)),$B546=$B545,$A546&lt;&gt;$A545),and(not(isblank($A546)),$A546=$A545,$B546&lt;&gt;$B545)),"ID LISTS UNALIGNED",and($A546&lt;&gt;"",countif('5) Release_Track'!$F:$F,$A546)=0),"NO ISRC MATCH in Release_Track",and($B546&lt;&gt;"",countif('5) Release_Track'!$G:$G,$B546)=0),"NO CATALOG ID MATCH in Release_Track",iserror(vlookup($A546&amp;$B546,'5) Release_Track'!$F:$F&amp;'5) Release_Track'!$G:$G,1,0)),"NO ISRC-CATALOG ID pair MATCH in Release_Track" )</f>
        <v/>
      </c>
      <c r="E546" s="142" t="b">
        <v>0</v>
      </c>
      <c r="F546" s="142" t="b">
        <v>0</v>
      </c>
      <c r="G546" s="142" t="b">
        <v>0</v>
      </c>
      <c r="H546" s="142" t="b">
        <v>0</v>
      </c>
      <c r="I546" s="142" t="b">
        <v>0</v>
      </c>
      <c r="J546" s="142" t="b">
        <v>0</v>
      </c>
      <c r="K546" s="142" t="b">
        <v>0</v>
      </c>
      <c r="L546" s="8" t="b">
        <v>0</v>
      </c>
    </row>
    <row r="547">
      <c r="B547" s="103"/>
      <c r="C547" s="121" t="str">
        <f t="array" ref="C547">ifs(and(isblank($A547),isblank($B547)),"", not(iserror(vlookup($A547&amp;$B547,'5) Release_Track'!$F:$F&amp;'5) Release_Track'!$G:$G,1,0))),vlookup($A547&amp;$B547,{'5) Release_Track'!$F:$F&amp;'5) Release_Track'!$G:$G,'5) Release_Track'!$H:$H},2,0), or(and(not(isblank($B547)),$B547=$B546,$A547&lt;&gt;$A546),and(not(isblank($A547)),$A547=$A546,$B547&lt;&gt;$B546)),"ID LISTS UNALIGNED",and($A547&lt;&gt;"",countif('5) Release_Track'!$F:$F,$A547)=0),"NO ISRC MATCH in Release_Track",and($B547&lt;&gt;"",countif('5) Release_Track'!$G:$G,$B547)=0),"NO CATALOG ID MATCH in Release_Track",iserror(vlookup($A547&amp;$B547,'5) Release_Track'!$F:$F&amp;'5) Release_Track'!$G:$G,1,0)),"NO ISRC-CATALOG ID pair MATCH in Release_Track" )</f>
        <v/>
      </c>
      <c r="D547" s="121" t="str">
        <f t="array" ref="D547">ifs(and(isblank($A547),isblank($B547)),"", not(iserror(vlookup($A547&amp;$B547,'5) Release_Track'!$F:$F&amp;'5) Release_Track'!$G:$G,1,0))),vlookup($A547&amp;$B547,{'5) Release_Track'!$F:$F&amp;'5) Release_Track'!$G:$G,'5) Release_Track'!$I:$I},2,0), or(and(not(isblank($B547)),$B547=$B546,$A547&lt;&gt;$A546),and(not(isblank($A547)),$A547=$A546,$B547&lt;&gt;$B546)),"ID LISTS UNALIGNED",and($A547&lt;&gt;"",countif('5) Release_Track'!$F:$F,$A547)=0),"NO ISRC MATCH in Release_Track",and($B547&lt;&gt;"",countif('5) Release_Track'!$G:$G,$B547)=0),"NO CATALOG ID MATCH in Release_Track",iserror(vlookup($A547&amp;$B547,'5) Release_Track'!$F:$F&amp;'5) Release_Track'!$G:$G,1,0)),"NO ISRC-CATALOG ID pair MATCH in Release_Track" )</f>
        <v/>
      </c>
      <c r="E547" s="142" t="b">
        <v>0</v>
      </c>
      <c r="F547" s="142" t="b">
        <v>0</v>
      </c>
      <c r="G547" s="142" t="b">
        <v>0</v>
      </c>
      <c r="H547" s="142" t="b">
        <v>0</v>
      </c>
      <c r="I547" s="142" t="b">
        <v>0</v>
      </c>
      <c r="J547" s="142" t="b">
        <v>0</v>
      </c>
      <c r="K547" s="142" t="b">
        <v>0</v>
      </c>
      <c r="L547" s="8" t="b">
        <v>0</v>
      </c>
    </row>
    <row r="548">
      <c r="B548" s="103"/>
      <c r="C548" s="121" t="str">
        <f t="array" ref="C548">ifs(and(isblank($A548),isblank($B548)),"", not(iserror(vlookup($A548&amp;$B548,'5) Release_Track'!$F:$F&amp;'5) Release_Track'!$G:$G,1,0))),vlookup($A548&amp;$B548,{'5) Release_Track'!$F:$F&amp;'5) Release_Track'!$G:$G,'5) Release_Track'!$H:$H},2,0), or(and(not(isblank($B548)),$B548=$B547,$A548&lt;&gt;$A547),and(not(isblank($A548)),$A548=$A547,$B548&lt;&gt;$B547)),"ID LISTS UNALIGNED",and($A548&lt;&gt;"",countif('5) Release_Track'!$F:$F,$A548)=0),"NO ISRC MATCH in Release_Track",and($B548&lt;&gt;"",countif('5) Release_Track'!$G:$G,$B548)=0),"NO CATALOG ID MATCH in Release_Track",iserror(vlookup($A548&amp;$B548,'5) Release_Track'!$F:$F&amp;'5) Release_Track'!$G:$G,1,0)),"NO ISRC-CATALOG ID pair MATCH in Release_Track" )</f>
        <v/>
      </c>
      <c r="D548" s="121" t="str">
        <f t="array" ref="D548">ifs(and(isblank($A548),isblank($B548)),"", not(iserror(vlookup($A548&amp;$B548,'5) Release_Track'!$F:$F&amp;'5) Release_Track'!$G:$G,1,0))),vlookup($A548&amp;$B548,{'5) Release_Track'!$F:$F&amp;'5) Release_Track'!$G:$G,'5) Release_Track'!$I:$I},2,0), or(and(not(isblank($B548)),$B548=$B547,$A548&lt;&gt;$A547),and(not(isblank($A548)),$A548=$A547,$B548&lt;&gt;$B547)),"ID LISTS UNALIGNED",and($A548&lt;&gt;"",countif('5) Release_Track'!$F:$F,$A548)=0),"NO ISRC MATCH in Release_Track",and($B548&lt;&gt;"",countif('5) Release_Track'!$G:$G,$B548)=0),"NO CATALOG ID MATCH in Release_Track",iserror(vlookup($A548&amp;$B548,'5) Release_Track'!$F:$F&amp;'5) Release_Track'!$G:$G,1,0)),"NO ISRC-CATALOG ID pair MATCH in Release_Track" )</f>
        <v/>
      </c>
      <c r="E548" s="142" t="b">
        <v>0</v>
      </c>
      <c r="F548" s="142" t="b">
        <v>0</v>
      </c>
      <c r="G548" s="142" t="b">
        <v>0</v>
      </c>
      <c r="H548" s="142" t="b">
        <v>0</v>
      </c>
      <c r="I548" s="142" t="b">
        <v>0</v>
      </c>
      <c r="J548" s="142" t="b">
        <v>0</v>
      </c>
      <c r="K548" s="142" t="b">
        <v>0</v>
      </c>
      <c r="L548" s="8" t="b">
        <v>0</v>
      </c>
    </row>
    <row r="549">
      <c r="B549" s="103"/>
      <c r="C549" s="121" t="str">
        <f t="array" ref="C549">ifs(and(isblank($A549),isblank($B549)),"", not(iserror(vlookup($A549&amp;$B549,'5) Release_Track'!$F:$F&amp;'5) Release_Track'!$G:$G,1,0))),vlookup($A549&amp;$B549,{'5) Release_Track'!$F:$F&amp;'5) Release_Track'!$G:$G,'5) Release_Track'!$H:$H},2,0), or(and(not(isblank($B549)),$B549=$B548,$A549&lt;&gt;$A548),and(not(isblank($A549)),$A549=$A548,$B549&lt;&gt;$B548)),"ID LISTS UNALIGNED",and($A549&lt;&gt;"",countif('5) Release_Track'!$F:$F,$A549)=0),"NO ISRC MATCH in Release_Track",and($B549&lt;&gt;"",countif('5) Release_Track'!$G:$G,$B549)=0),"NO CATALOG ID MATCH in Release_Track",iserror(vlookup($A549&amp;$B549,'5) Release_Track'!$F:$F&amp;'5) Release_Track'!$G:$G,1,0)),"NO ISRC-CATALOG ID pair MATCH in Release_Track" )</f>
        <v/>
      </c>
      <c r="D549" s="121" t="str">
        <f t="array" ref="D549">ifs(and(isblank($A549),isblank($B549)),"", not(iserror(vlookup($A549&amp;$B549,'5) Release_Track'!$F:$F&amp;'5) Release_Track'!$G:$G,1,0))),vlookup($A549&amp;$B549,{'5) Release_Track'!$F:$F&amp;'5) Release_Track'!$G:$G,'5) Release_Track'!$I:$I},2,0), or(and(not(isblank($B549)),$B549=$B548,$A549&lt;&gt;$A548),and(not(isblank($A549)),$A549=$A548,$B549&lt;&gt;$B548)),"ID LISTS UNALIGNED",and($A549&lt;&gt;"",countif('5) Release_Track'!$F:$F,$A549)=0),"NO ISRC MATCH in Release_Track",and($B549&lt;&gt;"",countif('5) Release_Track'!$G:$G,$B549)=0),"NO CATALOG ID MATCH in Release_Track",iserror(vlookup($A549&amp;$B549,'5) Release_Track'!$F:$F&amp;'5) Release_Track'!$G:$G,1,0)),"NO ISRC-CATALOG ID pair MATCH in Release_Track" )</f>
        <v/>
      </c>
      <c r="E549" s="142" t="b">
        <v>0</v>
      </c>
      <c r="F549" s="142" t="b">
        <v>0</v>
      </c>
      <c r="G549" s="142" t="b">
        <v>0</v>
      </c>
      <c r="H549" s="142" t="b">
        <v>0</v>
      </c>
      <c r="I549" s="142" t="b">
        <v>0</v>
      </c>
      <c r="J549" s="142" t="b">
        <v>0</v>
      </c>
      <c r="K549" s="142" t="b">
        <v>0</v>
      </c>
      <c r="L549" s="8" t="b">
        <v>0</v>
      </c>
    </row>
    <row r="550">
      <c r="B550" s="103"/>
      <c r="C550" s="121" t="str">
        <f t="array" ref="C550">ifs(and(isblank($A550),isblank($B550)),"", not(iserror(vlookup($A550&amp;$B550,'5) Release_Track'!$F:$F&amp;'5) Release_Track'!$G:$G,1,0))),vlookup($A550&amp;$B550,{'5) Release_Track'!$F:$F&amp;'5) Release_Track'!$G:$G,'5) Release_Track'!$H:$H},2,0), or(and(not(isblank($B550)),$B550=$B549,$A550&lt;&gt;$A549),and(not(isblank($A550)),$A550=$A549,$B550&lt;&gt;$B549)),"ID LISTS UNALIGNED",and($A550&lt;&gt;"",countif('5) Release_Track'!$F:$F,$A550)=0),"NO ISRC MATCH in Release_Track",and($B550&lt;&gt;"",countif('5) Release_Track'!$G:$G,$B550)=0),"NO CATALOG ID MATCH in Release_Track",iserror(vlookup($A550&amp;$B550,'5) Release_Track'!$F:$F&amp;'5) Release_Track'!$G:$G,1,0)),"NO ISRC-CATALOG ID pair MATCH in Release_Track" )</f>
        <v/>
      </c>
      <c r="D550" s="121" t="str">
        <f t="array" ref="D550">ifs(and(isblank($A550),isblank($B550)),"", not(iserror(vlookup($A550&amp;$B550,'5) Release_Track'!$F:$F&amp;'5) Release_Track'!$G:$G,1,0))),vlookup($A550&amp;$B550,{'5) Release_Track'!$F:$F&amp;'5) Release_Track'!$G:$G,'5) Release_Track'!$I:$I},2,0), or(and(not(isblank($B550)),$B550=$B549,$A550&lt;&gt;$A549),and(not(isblank($A550)),$A550=$A549,$B550&lt;&gt;$B549)),"ID LISTS UNALIGNED",and($A550&lt;&gt;"",countif('5) Release_Track'!$F:$F,$A550)=0),"NO ISRC MATCH in Release_Track",and($B550&lt;&gt;"",countif('5) Release_Track'!$G:$G,$B550)=0),"NO CATALOG ID MATCH in Release_Track",iserror(vlookup($A550&amp;$B550,'5) Release_Track'!$F:$F&amp;'5) Release_Track'!$G:$G,1,0)),"NO ISRC-CATALOG ID pair MATCH in Release_Track" )</f>
        <v/>
      </c>
      <c r="E550" s="142" t="b">
        <v>0</v>
      </c>
      <c r="F550" s="142" t="b">
        <v>0</v>
      </c>
      <c r="G550" s="142" t="b">
        <v>0</v>
      </c>
      <c r="H550" s="142" t="b">
        <v>0</v>
      </c>
      <c r="I550" s="142" t="b">
        <v>0</v>
      </c>
      <c r="J550" s="142" t="b">
        <v>0</v>
      </c>
      <c r="K550" s="142" t="b">
        <v>0</v>
      </c>
      <c r="L550" s="8" t="b">
        <v>0</v>
      </c>
    </row>
    <row r="551">
      <c r="B551" s="103"/>
      <c r="C551" s="121" t="str">
        <f t="array" ref="C551">ifs(and(isblank($A551),isblank($B551)),"", not(iserror(vlookup($A551&amp;$B551,'5) Release_Track'!$F:$F&amp;'5) Release_Track'!$G:$G,1,0))),vlookup($A551&amp;$B551,{'5) Release_Track'!$F:$F&amp;'5) Release_Track'!$G:$G,'5) Release_Track'!$H:$H},2,0), or(and(not(isblank($B551)),$B551=$B550,$A551&lt;&gt;$A550),and(not(isblank($A551)),$A551=$A550,$B551&lt;&gt;$B550)),"ID LISTS UNALIGNED",and($A551&lt;&gt;"",countif('5) Release_Track'!$F:$F,$A551)=0),"NO ISRC MATCH in Release_Track",and($B551&lt;&gt;"",countif('5) Release_Track'!$G:$G,$B551)=0),"NO CATALOG ID MATCH in Release_Track",iserror(vlookup($A551&amp;$B551,'5) Release_Track'!$F:$F&amp;'5) Release_Track'!$G:$G,1,0)),"NO ISRC-CATALOG ID pair MATCH in Release_Track" )</f>
        <v/>
      </c>
      <c r="D551" s="121" t="str">
        <f t="array" ref="D551">ifs(and(isblank($A551),isblank($B551)),"", not(iserror(vlookup($A551&amp;$B551,'5) Release_Track'!$F:$F&amp;'5) Release_Track'!$G:$G,1,0))),vlookup($A551&amp;$B551,{'5) Release_Track'!$F:$F&amp;'5) Release_Track'!$G:$G,'5) Release_Track'!$I:$I},2,0), or(and(not(isblank($B551)),$B551=$B550,$A551&lt;&gt;$A550),and(not(isblank($A551)),$A551=$A550,$B551&lt;&gt;$B550)),"ID LISTS UNALIGNED",and($A551&lt;&gt;"",countif('5) Release_Track'!$F:$F,$A551)=0),"NO ISRC MATCH in Release_Track",and($B551&lt;&gt;"",countif('5) Release_Track'!$G:$G,$B551)=0),"NO CATALOG ID MATCH in Release_Track",iserror(vlookup($A551&amp;$B551,'5) Release_Track'!$F:$F&amp;'5) Release_Track'!$G:$G,1,0)),"NO ISRC-CATALOG ID pair MATCH in Release_Track" )</f>
        <v/>
      </c>
      <c r="E551" s="142" t="b">
        <v>0</v>
      </c>
      <c r="F551" s="142" t="b">
        <v>0</v>
      </c>
      <c r="G551" s="142" t="b">
        <v>0</v>
      </c>
      <c r="H551" s="142" t="b">
        <v>0</v>
      </c>
      <c r="I551" s="142" t="b">
        <v>0</v>
      </c>
      <c r="J551" s="142" t="b">
        <v>0</v>
      </c>
      <c r="K551" s="142" t="b">
        <v>0</v>
      </c>
      <c r="L551" s="8" t="b">
        <v>0</v>
      </c>
    </row>
    <row r="552">
      <c r="B552" s="103"/>
      <c r="C552" s="121" t="str">
        <f t="array" ref="C552">ifs(and(isblank($A552),isblank($B552)),"", not(iserror(vlookup($A552&amp;$B552,'5) Release_Track'!$F:$F&amp;'5) Release_Track'!$G:$G,1,0))),vlookup($A552&amp;$B552,{'5) Release_Track'!$F:$F&amp;'5) Release_Track'!$G:$G,'5) Release_Track'!$H:$H},2,0), or(and(not(isblank($B552)),$B552=$B551,$A552&lt;&gt;$A551),and(not(isblank($A552)),$A552=$A551,$B552&lt;&gt;$B551)),"ID LISTS UNALIGNED",and($A552&lt;&gt;"",countif('5) Release_Track'!$F:$F,$A552)=0),"NO ISRC MATCH in Release_Track",and($B552&lt;&gt;"",countif('5) Release_Track'!$G:$G,$B552)=0),"NO CATALOG ID MATCH in Release_Track",iserror(vlookup($A552&amp;$B552,'5) Release_Track'!$F:$F&amp;'5) Release_Track'!$G:$G,1,0)),"NO ISRC-CATALOG ID pair MATCH in Release_Track" )</f>
        <v/>
      </c>
      <c r="D552" s="121" t="str">
        <f t="array" ref="D552">ifs(and(isblank($A552),isblank($B552)),"", not(iserror(vlookup($A552&amp;$B552,'5) Release_Track'!$F:$F&amp;'5) Release_Track'!$G:$G,1,0))),vlookup($A552&amp;$B552,{'5) Release_Track'!$F:$F&amp;'5) Release_Track'!$G:$G,'5) Release_Track'!$I:$I},2,0), or(and(not(isblank($B552)),$B552=$B551,$A552&lt;&gt;$A551),and(not(isblank($A552)),$A552=$A551,$B552&lt;&gt;$B551)),"ID LISTS UNALIGNED",and($A552&lt;&gt;"",countif('5) Release_Track'!$F:$F,$A552)=0),"NO ISRC MATCH in Release_Track",and($B552&lt;&gt;"",countif('5) Release_Track'!$G:$G,$B552)=0),"NO CATALOG ID MATCH in Release_Track",iserror(vlookup($A552&amp;$B552,'5) Release_Track'!$F:$F&amp;'5) Release_Track'!$G:$G,1,0)),"NO ISRC-CATALOG ID pair MATCH in Release_Track" )</f>
        <v/>
      </c>
      <c r="E552" s="142" t="b">
        <v>0</v>
      </c>
      <c r="F552" s="142" t="b">
        <v>0</v>
      </c>
      <c r="G552" s="142" t="b">
        <v>0</v>
      </c>
      <c r="H552" s="142" t="b">
        <v>0</v>
      </c>
      <c r="I552" s="142" t="b">
        <v>0</v>
      </c>
      <c r="J552" s="142" t="b">
        <v>0</v>
      </c>
      <c r="K552" s="142" t="b">
        <v>0</v>
      </c>
      <c r="L552" s="8" t="b">
        <v>0</v>
      </c>
    </row>
    <row r="553">
      <c r="B553" s="103"/>
      <c r="C553" s="121" t="str">
        <f t="array" ref="C553">ifs(and(isblank($A553),isblank($B553)),"", not(iserror(vlookup($A553&amp;$B553,'5) Release_Track'!$F:$F&amp;'5) Release_Track'!$G:$G,1,0))),vlookup($A553&amp;$B553,{'5) Release_Track'!$F:$F&amp;'5) Release_Track'!$G:$G,'5) Release_Track'!$H:$H},2,0), or(and(not(isblank($B553)),$B553=$B552,$A553&lt;&gt;$A552),and(not(isblank($A553)),$A553=$A552,$B553&lt;&gt;$B552)),"ID LISTS UNALIGNED",and($A553&lt;&gt;"",countif('5) Release_Track'!$F:$F,$A553)=0),"NO ISRC MATCH in Release_Track",and($B553&lt;&gt;"",countif('5) Release_Track'!$G:$G,$B553)=0),"NO CATALOG ID MATCH in Release_Track",iserror(vlookup($A553&amp;$B553,'5) Release_Track'!$F:$F&amp;'5) Release_Track'!$G:$G,1,0)),"NO ISRC-CATALOG ID pair MATCH in Release_Track" )</f>
        <v/>
      </c>
      <c r="D553" s="121" t="str">
        <f t="array" ref="D553">ifs(and(isblank($A553),isblank($B553)),"", not(iserror(vlookup($A553&amp;$B553,'5) Release_Track'!$F:$F&amp;'5) Release_Track'!$G:$G,1,0))),vlookup($A553&amp;$B553,{'5) Release_Track'!$F:$F&amp;'5) Release_Track'!$G:$G,'5) Release_Track'!$I:$I},2,0), or(and(not(isblank($B553)),$B553=$B552,$A553&lt;&gt;$A552),and(not(isblank($A553)),$A553=$A552,$B553&lt;&gt;$B552)),"ID LISTS UNALIGNED",and($A553&lt;&gt;"",countif('5) Release_Track'!$F:$F,$A553)=0),"NO ISRC MATCH in Release_Track",and($B553&lt;&gt;"",countif('5) Release_Track'!$G:$G,$B553)=0),"NO CATALOG ID MATCH in Release_Track",iserror(vlookup($A553&amp;$B553,'5) Release_Track'!$F:$F&amp;'5) Release_Track'!$G:$G,1,0)),"NO ISRC-CATALOG ID pair MATCH in Release_Track" )</f>
        <v/>
      </c>
      <c r="E553" s="142" t="b">
        <v>0</v>
      </c>
      <c r="F553" s="142" t="b">
        <v>0</v>
      </c>
      <c r="G553" s="142" t="b">
        <v>0</v>
      </c>
      <c r="H553" s="142" t="b">
        <v>0</v>
      </c>
      <c r="I553" s="142" t="b">
        <v>0</v>
      </c>
      <c r="J553" s="142" t="b">
        <v>0</v>
      </c>
      <c r="K553" s="142" t="b">
        <v>0</v>
      </c>
      <c r="L553" s="8" t="b">
        <v>0</v>
      </c>
    </row>
    <row r="554">
      <c r="B554" s="103"/>
      <c r="C554" s="121" t="str">
        <f t="array" ref="C554">ifs(and(isblank($A554),isblank($B554)),"", not(iserror(vlookup($A554&amp;$B554,'5) Release_Track'!$F:$F&amp;'5) Release_Track'!$G:$G,1,0))),vlookup($A554&amp;$B554,{'5) Release_Track'!$F:$F&amp;'5) Release_Track'!$G:$G,'5) Release_Track'!$H:$H},2,0), or(and(not(isblank($B554)),$B554=$B553,$A554&lt;&gt;$A553),and(not(isblank($A554)),$A554=$A553,$B554&lt;&gt;$B553)),"ID LISTS UNALIGNED",and($A554&lt;&gt;"",countif('5) Release_Track'!$F:$F,$A554)=0),"NO ISRC MATCH in Release_Track",and($B554&lt;&gt;"",countif('5) Release_Track'!$G:$G,$B554)=0),"NO CATALOG ID MATCH in Release_Track",iserror(vlookup($A554&amp;$B554,'5) Release_Track'!$F:$F&amp;'5) Release_Track'!$G:$G,1,0)),"NO ISRC-CATALOG ID pair MATCH in Release_Track" )</f>
        <v/>
      </c>
      <c r="D554" s="121" t="str">
        <f t="array" ref="D554">ifs(and(isblank($A554),isblank($B554)),"", not(iserror(vlookup($A554&amp;$B554,'5) Release_Track'!$F:$F&amp;'5) Release_Track'!$G:$G,1,0))),vlookup($A554&amp;$B554,{'5) Release_Track'!$F:$F&amp;'5) Release_Track'!$G:$G,'5) Release_Track'!$I:$I},2,0), or(and(not(isblank($B554)),$B554=$B553,$A554&lt;&gt;$A553),and(not(isblank($A554)),$A554=$A553,$B554&lt;&gt;$B553)),"ID LISTS UNALIGNED",and($A554&lt;&gt;"",countif('5) Release_Track'!$F:$F,$A554)=0),"NO ISRC MATCH in Release_Track",and($B554&lt;&gt;"",countif('5) Release_Track'!$G:$G,$B554)=0),"NO CATALOG ID MATCH in Release_Track",iserror(vlookup($A554&amp;$B554,'5) Release_Track'!$F:$F&amp;'5) Release_Track'!$G:$G,1,0)),"NO ISRC-CATALOG ID pair MATCH in Release_Track" )</f>
        <v/>
      </c>
      <c r="E554" s="142" t="b">
        <v>0</v>
      </c>
      <c r="F554" s="142" t="b">
        <v>0</v>
      </c>
      <c r="G554" s="142" t="b">
        <v>0</v>
      </c>
      <c r="H554" s="142" t="b">
        <v>0</v>
      </c>
      <c r="I554" s="142" t="b">
        <v>0</v>
      </c>
      <c r="J554" s="142" t="b">
        <v>0</v>
      </c>
      <c r="K554" s="142" t="b">
        <v>0</v>
      </c>
      <c r="L554" s="8" t="b">
        <v>0</v>
      </c>
    </row>
    <row r="555">
      <c r="B555" s="103"/>
      <c r="C555" s="121" t="str">
        <f t="array" ref="C555">ifs(and(isblank($A555),isblank($B555)),"", not(iserror(vlookup($A555&amp;$B555,'5) Release_Track'!$F:$F&amp;'5) Release_Track'!$G:$G,1,0))),vlookup($A555&amp;$B555,{'5) Release_Track'!$F:$F&amp;'5) Release_Track'!$G:$G,'5) Release_Track'!$H:$H},2,0), or(and(not(isblank($B555)),$B555=$B554,$A555&lt;&gt;$A554),and(not(isblank($A555)),$A555=$A554,$B555&lt;&gt;$B554)),"ID LISTS UNALIGNED",and($A555&lt;&gt;"",countif('5) Release_Track'!$F:$F,$A555)=0),"NO ISRC MATCH in Release_Track",and($B555&lt;&gt;"",countif('5) Release_Track'!$G:$G,$B555)=0),"NO CATALOG ID MATCH in Release_Track",iserror(vlookup($A555&amp;$B555,'5) Release_Track'!$F:$F&amp;'5) Release_Track'!$G:$G,1,0)),"NO ISRC-CATALOG ID pair MATCH in Release_Track" )</f>
        <v/>
      </c>
      <c r="D555" s="121" t="str">
        <f t="array" ref="D555">ifs(and(isblank($A555),isblank($B555)),"", not(iserror(vlookup($A555&amp;$B555,'5) Release_Track'!$F:$F&amp;'5) Release_Track'!$G:$G,1,0))),vlookup($A555&amp;$B555,{'5) Release_Track'!$F:$F&amp;'5) Release_Track'!$G:$G,'5) Release_Track'!$I:$I},2,0), or(and(not(isblank($B555)),$B555=$B554,$A555&lt;&gt;$A554),and(not(isblank($A555)),$A555=$A554,$B555&lt;&gt;$B554)),"ID LISTS UNALIGNED",and($A555&lt;&gt;"",countif('5) Release_Track'!$F:$F,$A555)=0),"NO ISRC MATCH in Release_Track",and($B555&lt;&gt;"",countif('5) Release_Track'!$G:$G,$B555)=0),"NO CATALOG ID MATCH in Release_Track",iserror(vlookup($A555&amp;$B555,'5) Release_Track'!$F:$F&amp;'5) Release_Track'!$G:$G,1,0)),"NO ISRC-CATALOG ID pair MATCH in Release_Track" )</f>
        <v/>
      </c>
      <c r="E555" s="142" t="b">
        <v>0</v>
      </c>
      <c r="F555" s="142" t="b">
        <v>0</v>
      </c>
      <c r="G555" s="142" t="b">
        <v>0</v>
      </c>
      <c r="H555" s="142" t="b">
        <v>0</v>
      </c>
      <c r="I555" s="142" t="b">
        <v>0</v>
      </c>
      <c r="J555" s="142" t="b">
        <v>0</v>
      </c>
      <c r="K555" s="142" t="b">
        <v>0</v>
      </c>
      <c r="L555" s="8" t="b">
        <v>0</v>
      </c>
    </row>
    <row r="556">
      <c r="B556" s="103"/>
      <c r="C556" s="121" t="str">
        <f t="array" ref="C556">ifs(and(isblank($A556),isblank($B556)),"", not(iserror(vlookup($A556&amp;$B556,'5) Release_Track'!$F:$F&amp;'5) Release_Track'!$G:$G,1,0))),vlookup($A556&amp;$B556,{'5) Release_Track'!$F:$F&amp;'5) Release_Track'!$G:$G,'5) Release_Track'!$H:$H},2,0), or(and(not(isblank($B556)),$B556=$B555,$A556&lt;&gt;$A555),and(not(isblank($A556)),$A556=$A555,$B556&lt;&gt;$B555)),"ID LISTS UNALIGNED",and($A556&lt;&gt;"",countif('5) Release_Track'!$F:$F,$A556)=0),"NO ISRC MATCH in Release_Track",and($B556&lt;&gt;"",countif('5) Release_Track'!$G:$G,$B556)=0),"NO CATALOG ID MATCH in Release_Track",iserror(vlookup($A556&amp;$B556,'5) Release_Track'!$F:$F&amp;'5) Release_Track'!$G:$G,1,0)),"NO ISRC-CATALOG ID pair MATCH in Release_Track" )</f>
        <v/>
      </c>
      <c r="D556" s="121" t="str">
        <f t="array" ref="D556">ifs(and(isblank($A556),isblank($B556)),"", not(iserror(vlookup($A556&amp;$B556,'5) Release_Track'!$F:$F&amp;'5) Release_Track'!$G:$G,1,0))),vlookup($A556&amp;$B556,{'5) Release_Track'!$F:$F&amp;'5) Release_Track'!$G:$G,'5) Release_Track'!$I:$I},2,0), or(and(not(isblank($B556)),$B556=$B555,$A556&lt;&gt;$A555),and(not(isblank($A556)),$A556=$A555,$B556&lt;&gt;$B555)),"ID LISTS UNALIGNED",and($A556&lt;&gt;"",countif('5) Release_Track'!$F:$F,$A556)=0),"NO ISRC MATCH in Release_Track",and($B556&lt;&gt;"",countif('5) Release_Track'!$G:$G,$B556)=0),"NO CATALOG ID MATCH in Release_Track",iserror(vlookup($A556&amp;$B556,'5) Release_Track'!$F:$F&amp;'5) Release_Track'!$G:$G,1,0)),"NO ISRC-CATALOG ID pair MATCH in Release_Track" )</f>
        <v/>
      </c>
      <c r="E556" s="142" t="b">
        <v>0</v>
      </c>
      <c r="F556" s="142" t="b">
        <v>0</v>
      </c>
      <c r="G556" s="142" t="b">
        <v>0</v>
      </c>
      <c r="H556" s="142" t="b">
        <v>0</v>
      </c>
      <c r="I556" s="142" t="b">
        <v>0</v>
      </c>
      <c r="J556" s="142" t="b">
        <v>0</v>
      </c>
      <c r="K556" s="142" t="b">
        <v>0</v>
      </c>
      <c r="L556" s="8" t="b">
        <v>0</v>
      </c>
    </row>
    <row r="557">
      <c r="B557" s="103"/>
      <c r="C557" s="121" t="str">
        <f t="array" ref="C557">ifs(and(isblank($A557),isblank($B557)),"", not(iserror(vlookup($A557&amp;$B557,'5) Release_Track'!$F:$F&amp;'5) Release_Track'!$G:$G,1,0))),vlookup($A557&amp;$B557,{'5) Release_Track'!$F:$F&amp;'5) Release_Track'!$G:$G,'5) Release_Track'!$H:$H},2,0), or(and(not(isblank($B557)),$B557=$B556,$A557&lt;&gt;$A556),and(not(isblank($A557)),$A557=$A556,$B557&lt;&gt;$B556)),"ID LISTS UNALIGNED",and($A557&lt;&gt;"",countif('5) Release_Track'!$F:$F,$A557)=0),"NO ISRC MATCH in Release_Track",and($B557&lt;&gt;"",countif('5) Release_Track'!$G:$G,$B557)=0),"NO CATALOG ID MATCH in Release_Track",iserror(vlookup($A557&amp;$B557,'5) Release_Track'!$F:$F&amp;'5) Release_Track'!$G:$G,1,0)),"NO ISRC-CATALOG ID pair MATCH in Release_Track" )</f>
        <v/>
      </c>
      <c r="D557" s="121" t="str">
        <f t="array" ref="D557">ifs(and(isblank($A557),isblank($B557)),"", not(iserror(vlookup($A557&amp;$B557,'5) Release_Track'!$F:$F&amp;'5) Release_Track'!$G:$G,1,0))),vlookup($A557&amp;$B557,{'5) Release_Track'!$F:$F&amp;'5) Release_Track'!$G:$G,'5) Release_Track'!$I:$I},2,0), or(and(not(isblank($B557)),$B557=$B556,$A557&lt;&gt;$A556),and(not(isblank($A557)),$A557=$A556,$B557&lt;&gt;$B556)),"ID LISTS UNALIGNED",and($A557&lt;&gt;"",countif('5) Release_Track'!$F:$F,$A557)=0),"NO ISRC MATCH in Release_Track",and($B557&lt;&gt;"",countif('5) Release_Track'!$G:$G,$B557)=0),"NO CATALOG ID MATCH in Release_Track",iserror(vlookup($A557&amp;$B557,'5) Release_Track'!$F:$F&amp;'5) Release_Track'!$G:$G,1,0)),"NO ISRC-CATALOG ID pair MATCH in Release_Track" )</f>
        <v/>
      </c>
      <c r="E557" s="142" t="b">
        <v>0</v>
      </c>
      <c r="F557" s="142" t="b">
        <v>0</v>
      </c>
      <c r="G557" s="142" t="b">
        <v>0</v>
      </c>
      <c r="H557" s="142" t="b">
        <v>0</v>
      </c>
      <c r="I557" s="142" t="b">
        <v>0</v>
      </c>
      <c r="J557" s="142" t="b">
        <v>0</v>
      </c>
      <c r="K557" s="142" t="b">
        <v>0</v>
      </c>
      <c r="L557" s="8" t="b">
        <v>0</v>
      </c>
    </row>
    <row r="558">
      <c r="B558" s="103"/>
      <c r="C558" s="121" t="str">
        <f t="array" ref="C558">ifs(and(isblank($A558),isblank($B558)),"", not(iserror(vlookup($A558&amp;$B558,'5) Release_Track'!$F:$F&amp;'5) Release_Track'!$G:$G,1,0))),vlookup($A558&amp;$B558,{'5) Release_Track'!$F:$F&amp;'5) Release_Track'!$G:$G,'5) Release_Track'!$H:$H},2,0), or(and(not(isblank($B558)),$B558=$B557,$A558&lt;&gt;$A557),and(not(isblank($A558)),$A558=$A557,$B558&lt;&gt;$B557)),"ID LISTS UNALIGNED",and($A558&lt;&gt;"",countif('5) Release_Track'!$F:$F,$A558)=0),"NO ISRC MATCH in Release_Track",and($B558&lt;&gt;"",countif('5) Release_Track'!$G:$G,$B558)=0),"NO CATALOG ID MATCH in Release_Track",iserror(vlookup($A558&amp;$B558,'5) Release_Track'!$F:$F&amp;'5) Release_Track'!$G:$G,1,0)),"NO ISRC-CATALOG ID pair MATCH in Release_Track" )</f>
        <v/>
      </c>
      <c r="D558" s="121" t="str">
        <f t="array" ref="D558">ifs(and(isblank($A558),isblank($B558)),"", not(iserror(vlookup($A558&amp;$B558,'5) Release_Track'!$F:$F&amp;'5) Release_Track'!$G:$G,1,0))),vlookup($A558&amp;$B558,{'5) Release_Track'!$F:$F&amp;'5) Release_Track'!$G:$G,'5) Release_Track'!$I:$I},2,0), or(and(not(isblank($B558)),$B558=$B557,$A558&lt;&gt;$A557),and(not(isblank($A558)),$A558=$A557,$B558&lt;&gt;$B557)),"ID LISTS UNALIGNED",and($A558&lt;&gt;"",countif('5) Release_Track'!$F:$F,$A558)=0),"NO ISRC MATCH in Release_Track",and($B558&lt;&gt;"",countif('5) Release_Track'!$G:$G,$B558)=0),"NO CATALOG ID MATCH in Release_Track",iserror(vlookup($A558&amp;$B558,'5) Release_Track'!$F:$F&amp;'5) Release_Track'!$G:$G,1,0)),"NO ISRC-CATALOG ID pair MATCH in Release_Track" )</f>
        <v/>
      </c>
      <c r="E558" s="142" t="b">
        <v>0</v>
      </c>
      <c r="F558" s="142" t="b">
        <v>0</v>
      </c>
      <c r="G558" s="142" t="b">
        <v>0</v>
      </c>
      <c r="H558" s="142" t="b">
        <v>0</v>
      </c>
      <c r="I558" s="142" t="b">
        <v>0</v>
      </c>
      <c r="J558" s="142" t="b">
        <v>0</v>
      </c>
      <c r="K558" s="142" t="b">
        <v>0</v>
      </c>
      <c r="L558" s="8" t="b">
        <v>0</v>
      </c>
    </row>
    <row r="559">
      <c r="B559" s="103"/>
      <c r="C559" s="121" t="str">
        <f t="array" ref="C559">ifs(and(isblank($A559),isblank($B559)),"", not(iserror(vlookup($A559&amp;$B559,'5) Release_Track'!$F:$F&amp;'5) Release_Track'!$G:$G,1,0))),vlookup($A559&amp;$B559,{'5) Release_Track'!$F:$F&amp;'5) Release_Track'!$G:$G,'5) Release_Track'!$H:$H},2,0), or(and(not(isblank($B559)),$B559=$B558,$A559&lt;&gt;$A558),and(not(isblank($A559)),$A559=$A558,$B559&lt;&gt;$B558)),"ID LISTS UNALIGNED",and($A559&lt;&gt;"",countif('5) Release_Track'!$F:$F,$A559)=0),"NO ISRC MATCH in Release_Track",and($B559&lt;&gt;"",countif('5) Release_Track'!$G:$G,$B559)=0),"NO CATALOG ID MATCH in Release_Track",iserror(vlookup($A559&amp;$B559,'5) Release_Track'!$F:$F&amp;'5) Release_Track'!$G:$G,1,0)),"NO ISRC-CATALOG ID pair MATCH in Release_Track" )</f>
        <v/>
      </c>
      <c r="D559" s="121" t="str">
        <f t="array" ref="D559">ifs(and(isblank($A559),isblank($B559)),"", not(iserror(vlookup($A559&amp;$B559,'5) Release_Track'!$F:$F&amp;'5) Release_Track'!$G:$G,1,0))),vlookup($A559&amp;$B559,{'5) Release_Track'!$F:$F&amp;'5) Release_Track'!$G:$G,'5) Release_Track'!$I:$I},2,0), or(and(not(isblank($B559)),$B559=$B558,$A559&lt;&gt;$A558),and(not(isblank($A559)),$A559=$A558,$B559&lt;&gt;$B558)),"ID LISTS UNALIGNED",and($A559&lt;&gt;"",countif('5) Release_Track'!$F:$F,$A559)=0),"NO ISRC MATCH in Release_Track",and($B559&lt;&gt;"",countif('5) Release_Track'!$G:$G,$B559)=0),"NO CATALOG ID MATCH in Release_Track",iserror(vlookup($A559&amp;$B559,'5) Release_Track'!$F:$F&amp;'5) Release_Track'!$G:$G,1,0)),"NO ISRC-CATALOG ID pair MATCH in Release_Track" )</f>
        <v/>
      </c>
      <c r="E559" s="142" t="b">
        <v>0</v>
      </c>
      <c r="F559" s="142" t="b">
        <v>0</v>
      </c>
      <c r="G559" s="142" t="b">
        <v>0</v>
      </c>
      <c r="H559" s="142" t="b">
        <v>0</v>
      </c>
      <c r="I559" s="142" t="b">
        <v>0</v>
      </c>
      <c r="J559" s="142" t="b">
        <v>0</v>
      </c>
      <c r="K559" s="142" t="b">
        <v>0</v>
      </c>
      <c r="L559" s="8" t="b">
        <v>0</v>
      </c>
    </row>
    <row r="560">
      <c r="B560" s="103"/>
      <c r="C560" s="121" t="str">
        <f t="array" ref="C560">ifs(and(isblank($A560),isblank($B560)),"", not(iserror(vlookup($A560&amp;$B560,'5) Release_Track'!$F:$F&amp;'5) Release_Track'!$G:$G,1,0))),vlookup($A560&amp;$B560,{'5) Release_Track'!$F:$F&amp;'5) Release_Track'!$G:$G,'5) Release_Track'!$H:$H},2,0), or(and(not(isblank($B560)),$B560=$B559,$A560&lt;&gt;$A559),and(not(isblank($A560)),$A560=$A559,$B560&lt;&gt;$B559)),"ID LISTS UNALIGNED",and($A560&lt;&gt;"",countif('5) Release_Track'!$F:$F,$A560)=0),"NO ISRC MATCH in Release_Track",and($B560&lt;&gt;"",countif('5) Release_Track'!$G:$G,$B560)=0),"NO CATALOG ID MATCH in Release_Track",iserror(vlookup($A560&amp;$B560,'5) Release_Track'!$F:$F&amp;'5) Release_Track'!$G:$G,1,0)),"NO ISRC-CATALOG ID pair MATCH in Release_Track" )</f>
        <v/>
      </c>
      <c r="D560" s="121" t="str">
        <f t="array" ref="D560">ifs(and(isblank($A560),isblank($B560)),"", not(iserror(vlookup($A560&amp;$B560,'5) Release_Track'!$F:$F&amp;'5) Release_Track'!$G:$G,1,0))),vlookup($A560&amp;$B560,{'5) Release_Track'!$F:$F&amp;'5) Release_Track'!$G:$G,'5) Release_Track'!$I:$I},2,0), or(and(not(isblank($B560)),$B560=$B559,$A560&lt;&gt;$A559),and(not(isblank($A560)),$A560=$A559,$B560&lt;&gt;$B559)),"ID LISTS UNALIGNED",and($A560&lt;&gt;"",countif('5) Release_Track'!$F:$F,$A560)=0),"NO ISRC MATCH in Release_Track",and($B560&lt;&gt;"",countif('5) Release_Track'!$G:$G,$B560)=0),"NO CATALOG ID MATCH in Release_Track",iserror(vlookup($A560&amp;$B560,'5) Release_Track'!$F:$F&amp;'5) Release_Track'!$G:$G,1,0)),"NO ISRC-CATALOG ID pair MATCH in Release_Track" )</f>
        <v/>
      </c>
      <c r="E560" s="142" t="b">
        <v>0</v>
      </c>
      <c r="F560" s="142" t="b">
        <v>0</v>
      </c>
      <c r="G560" s="142" t="b">
        <v>0</v>
      </c>
      <c r="H560" s="142" t="b">
        <v>0</v>
      </c>
      <c r="I560" s="142" t="b">
        <v>0</v>
      </c>
      <c r="J560" s="142" t="b">
        <v>0</v>
      </c>
      <c r="K560" s="142" t="b">
        <v>0</v>
      </c>
      <c r="L560" s="8" t="b">
        <v>0</v>
      </c>
    </row>
    <row r="561">
      <c r="B561" s="103"/>
      <c r="C561" s="121" t="str">
        <f t="array" ref="C561">ifs(and(isblank($A561),isblank($B561)),"", not(iserror(vlookup($A561&amp;$B561,'5) Release_Track'!$F:$F&amp;'5) Release_Track'!$G:$G,1,0))),vlookup($A561&amp;$B561,{'5) Release_Track'!$F:$F&amp;'5) Release_Track'!$G:$G,'5) Release_Track'!$H:$H},2,0), or(and(not(isblank($B561)),$B561=$B560,$A561&lt;&gt;$A560),and(not(isblank($A561)),$A561=$A560,$B561&lt;&gt;$B560)),"ID LISTS UNALIGNED",and($A561&lt;&gt;"",countif('5) Release_Track'!$F:$F,$A561)=0),"NO ISRC MATCH in Release_Track",and($B561&lt;&gt;"",countif('5) Release_Track'!$G:$G,$B561)=0),"NO CATALOG ID MATCH in Release_Track",iserror(vlookup($A561&amp;$B561,'5) Release_Track'!$F:$F&amp;'5) Release_Track'!$G:$G,1,0)),"NO ISRC-CATALOG ID pair MATCH in Release_Track" )</f>
        <v/>
      </c>
      <c r="D561" s="121" t="str">
        <f t="array" ref="D561">ifs(and(isblank($A561),isblank($B561)),"", not(iserror(vlookup($A561&amp;$B561,'5) Release_Track'!$F:$F&amp;'5) Release_Track'!$G:$G,1,0))),vlookup($A561&amp;$B561,{'5) Release_Track'!$F:$F&amp;'5) Release_Track'!$G:$G,'5) Release_Track'!$I:$I},2,0), or(and(not(isblank($B561)),$B561=$B560,$A561&lt;&gt;$A560),and(not(isblank($A561)),$A561=$A560,$B561&lt;&gt;$B560)),"ID LISTS UNALIGNED",and($A561&lt;&gt;"",countif('5) Release_Track'!$F:$F,$A561)=0),"NO ISRC MATCH in Release_Track",and($B561&lt;&gt;"",countif('5) Release_Track'!$G:$G,$B561)=0),"NO CATALOG ID MATCH in Release_Track",iserror(vlookup($A561&amp;$B561,'5) Release_Track'!$F:$F&amp;'5) Release_Track'!$G:$G,1,0)),"NO ISRC-CATALOG ID pair MATCH in Release_Track" )</f>
        <v/>
      </c>
      <c r="E561" s="142" t="b">
        <v>0</v>
      </c>
      <c r="F561" s="142" t="b">
        <v>0</v>
      </c>
      <c r="G561" s="142" t="b">
        <v>0</v>
      </c>
      <c r="H561" s="142" t="b">
        <v>0</v>
      </c>
      <c r="I561" s="142" t="b">
        <v>0</v>
      </c>
      <c r="J561" s="142" t="b">
        <v>0</v>
      </c>
      <c r="K561" s="142" t="b">
        <v>0</v>
      </c>
      <c r="L561" s="8" t="b">
        <v>0</v>
      </c>
    </row>
    <row r="562">
      <c r="B562" s="103"/>
      <c r="C562" s="121" t="str">
        <f t="array" ref="C562">ifs(and(isblank($A562),isblank($B562)),"", not(iserror(vlookup($A562&amp;$B562,'5) Release_Track'!$F:$F&amp;'5) Release_Track'!$G:$G,1,0))),vlookup($A562&amp;$B562,{'5) Release_Track'!$F:$F&amp;'5) Release_Track'!$G:$G,'5) Release_Track'!$H:$H},2,0), or(and(not(isblank($B562)),$B562=$B561,$A562&lt;&gt;$A561),and(not(isblank($A562)),$A562=$A561,$B562&lt;&gt;$B561)),"ID LISTS UNALIGNED",and($A562&lt;&gt;"",countif('5) Release_Track'!$F:$F,$A562)=0),"NO ISRC MATCH in Release_Track",and($B562&lt;&gt;"",countif('5) Release_Track'!$G:$G,$B562)=0),"NO CATALOG ID MATCH in Release_Track",iserror(vlookup($A562&amp;$B562,'5) Release_Track'!$F:$F&amp;'5) Release_Track'!$G:$G,1,0)),"NO ISRC-CATALOG ID pair MATCH in Release_Track" )</f>
        <v/>
      </c>
      <c r="D562" s="121" t="str">
        <f t="array" ref="D562">ifs(and(isblank($A562),isblank($B562)),"", not(iserror(vlookup($A562&amp;$B562,'5) Release_Track'!$F:$F&amp;'5) Release_Track'!$G:$G,1,0))),vlookup($A562&amp;$B562,{'5) Release_Track'!$F:$F&amp;'5) Release_Track'!$G:$G,'5) Release_Track'!$I:$I},2,0), or(and(not(isblank($B562)),$B562=$B561,$A562&lt;&gt;$A561),and(not(isblank($A562)),$A562=$A561,$B562&lt;&gt;$B561)),"ID LISTS UNALIGNED",and($A562&lt;&gt;"",countif('5) Release_Track'!$F:$F,$A562)=0),"NO ISRC MATCH in Release_Track",and($B562&lt;&gt;"",countif('5) Release_Track'!$G:$G,$B562)=0),"NO CATALOG ID MATCH in Release_Track",iserror(vlookup($A562&amp;$B562,'5) Release_Track'!$F:$F&amp;'5) Release_Track'!$G:$G,1,0)),"NO ISRC-CATALOG ID pair MATCH in Release_Track" )</f>
        <v/>
      </c>
      <c r="E562" s="142" t="b">
        <v>0</v>
      </c>
      <c r="F562" s="142" t="b">
        <v>0</v>
      </c>
      <c r="G562" s="142" t="b">
        <v>0</v>
      </c>
      <c r="H562" s="142" t="b">
        <v>0</v>
      </c>
      <c r="I562" s="142" t="b">
        <v>0</v>
      </c>
      <c r="J562" s="142" t="b">
        <v>0</v>
      </c>
      <c r="K562" s="142" t="b">
        <v>0</v>
      </c>
      <c r="L562" s="8" t="b">
        <v>0</v>
      </c>
    </row>
    <row r="563">
      <c r="B563" s="103"/>
      <c r="C563" s="121" t="str">
        <f t="array" ref="C563">ifs(and(isblank($A563),isblank($B563)),"", not(iserror(vlookup($A563&amp;$B563,'5) Release_Track'!$F:$F&amp;'5) Release_Track'!$G:$G,1,0))),vlookup($A563&amp;$B563,{'5) Release_Track'!$F:$F&amp;'5) Release_Track'!$G:$G,'5) Release_Track'!$H:$H},2,0), or(and(not(isblank($B563)),$B563=$B562,$A563&lt;&gt;$A562),and(not(isblank($A563)),$A563=$A562,$B563&lt;&gt;$B562)),"ID LISTS UNALIGNED",and($A563&lt;&gt;"",countif('5) Release_Track'!$F:$F,$A563)=0),"NO ISRC MATCH in Release_Track",and($B563&lt;&gt;"",countif('5) Release_Track'!$G:$G,$B563)=0),"NO CATALOG ID MATCH in Release_Track",iserror(vlookup($A563&amp;$B563,'5) Release_Track'!$F:$F&amp;'5) Release_Track'!$G:$G,1,0)),"NO ISRC-CATALOG ID pair MATCH in Release_Track" )</f>
        <v/>
      </c>
      <c r="D563" s="121" t="str">
        <f t="array" ref="D563">ifs(and(isblank($A563),isblank($B563)),"", not(iserror(vlookup($A563&amp;$B563,'5) Release_Track'!$F:$F&amp;'5) Release_Track'!$G:$G,1,0))),vlookup($A563&amp;$B563,{'5) Release_Track'!$F:$F&amp;'5) Release_Track'!$G:$G,'5) Release_Track'!$I:$I},2,0), or(and(not(isblank($B563)),$B563=$B562,$A563&lt;&gt;$A562),and(not(isblank($A563)),$A563=$A562,$B563&lt;&gt;$B562)),"ID LISTS UNALIGNED",and($A563&lt;&gt;"",countif('5) Release_Track'!$F:$F,$A563)=0),"NO ISRC MATCH in Release_Track",and($B563&lt;&gt;"",countif('5) Release_Track'!$G:$G,$B563)=0),"NO CATALOG ID MATCH in Release_Track",iserror(vlookup($A563&amp;$B563,'5) Release_Track'!$F:$F&amp;'5) Release_Track'!$G:$G,1,0)),"NO ISRC-CATALOG ID pair MATCH in Release_Track" )</f>
        <v/>
      </c>
      <c r="E563" s="142" t="b">
        <v>0</v>
      </c>
      <c r="F563" s="142" t="b">
        <v>0</v>
      </c>
      <c r="G563" s="142" t="b">
        <v>0</v>
      </c>
      <c r="H563" s="142" t="b">
        <v>0</v>
      </c>
      <c r="I563" s="142" t="b">
        <v>0</v>
      </c>
      <c r="J563" s="142" t="b">
        <v>0</v>
      </c>
      <c r="K563" s="142" t="b">
        <v>0</v>
      </c>
      <c r="L563" s="8" t="b">
        <v>0</v>
      </c>
    </row>
    <row r="564">
      <c r="B564" s="103"/>
      <c r="C564" s="121" t="str">
        <f t="array" ref="C564">ifs(and(isblank($A564),isblank($B564)),"", not(iserror(vlookup($A564&amp;$B564,'5) Release_Track'!$F:$F&amp;'5) Release_Track'!$G:$G,1,0))),vlookup($A564&amp;$B564,{'5) Release_Track'!$F:$F&amp;'5) Release_Track'!$G:$G,'5) Release_Track'!$H:$H},2,0), or(and(not(isblank($B564)),$B564=$B563,$A564&lt;&gt;$A563),and(not(isblank($A564)),$A564=$A563,$B564&lt;&gt;$B563)),"ID LISTS UNALIGNED",and($A564&lt;&gt;"",countif('5) Release_Track'!$F:$F,$A564)=0),"NO ISRC MATCH in Release_Track",and($B564&lt;&gt;"",countif('5) Release_Track'!$G:$G,$B564)=0),"NO CATALOG ID MATCH in Release_Track",iserror(vlookup($A564&amp;$B564,'5) Release_Track'!$F:$F&amp;'5) Release_Track'!$G:$G,1,0)),"NO ISRC-CATALOG ID pair MATCH in Release_Track" )</f>
        <v/>
      </c>
      <c r="D564" s="121" t="str">
        <f t="array" ref="D564">ifs(and(isblank($A564),isblank($B564)),"", not(iserror(vlookup($A564&amp;$B564,'5) Release_Track'!$F:$F&amp;'5) Release_Track'!$G:$G,1,0))),vlookup($A564&amp;$B564,{'5) Release_Track'!$F:$F&amp;'5) Release_Track'!$G:$G,'5) Release_Track'!$I:$I},2,0), or(and(not(isblank($B564)),$B564=$B563,$A564&lt;&gt;$A563),and(not(isblank($A564)),$A564=$A563,$B564&lt;&gt;$B563)),"ID LISTS UNALIGNED",and($A564&lt;&gt;"",countif('5) Release_Track'!$F:$F,$A564)=0),"NO ISRC MATCH in Release_Track",and($B564&lt;&gt;"",countif('5) Release_Track'!$G:$G,$B564)=0),"NO CATALOG ID MATCH in Release_Track",iserror(vlookup($A564&amp;$B564,'5) Release_Track'!$F:$F&amp;'5) Release_Track'!$G:$G,1,0)),"NO ISRC-CATALOG ID pair MATCH in Release_Track" )</f>
        <v/>
      </c>
      <c r="E564" s="142" t="b">
        <v>0</v>
      </c>
      <c r="F564" s="142" t="b">
        <v>0</v>
      </c>
      <c r="G564" s="142" t="b">
        <v>0</v>
      </c>
      <c r="H564" s="142" t="b">
        <v>0</v>
      </c>
      <c r="I564" s="142" t="b">
        <v>0</v>
      </c>
      <c r="J564" s="142" t="b">
        <v>0</v>
      </c>
      <c r="K564" s="142" t="b">
        <v>0</v>
      </c>
      <c r="L564" s="8" t="b">
        <v>0</v>
      </c>
    </row>
    <row r="565">
      <c r="B565" s="103"/>
      <c r="C565" s="121" t="str">
        <f t="array" ref="C565">ifs(and(isblank($A565),isblank($B565)),"", not(iserror(vlookup($A565&amp;$B565,'5) Release_Track'!$F:$F&amp;'5) Release_Track'!$G:$G,1,0))),vlookup($A565&amp;$B565,{'5) Release_Track'!$F:$F&amp;'5) Release_Track'!$G:$G,'5) Release_Track'!$H:$H},2,0), or(and(not(isblank($B565)),$B565=$B564,$A565&lt;&gt;$A564),and(not(isblank($A565)),$A565=$A564,$B565&lt;&gt;$B564)),"ID LISTS UNALIGNED",and($A565&lt;&gt;"",countif('5) Release_Track'!$F:$F,$A565)=0),"NO ISRC MATCH in Release_Track",and($B565&lt;&gt;"",countif('5) Release_Track'!$G:$G,$B565)=0),"NO CATALOG ID MATCH in Release_Track",iserror(vlookup($A565&amp;$B565,'5) Release_Track'!$F:$F&amp;'5) Release_Track'!$G:$G,1,0)),"NO ISRC-CATALOG ID pair MATCH in Release_Track" )</f>
        <v/>
      </c>
      <c r="D565" s="121" t="str">
        <f t="array" ref="D565">ifs(and(isblank($A565),isblank($B565)),"", not(iserror(vlookup($A565&amp;$B565,'5) Release_Track'!$F:$F&amp;'5) Release_Track'!$G:$G,1,0))),vlookup($A565&amp;$B565,{'5) Release_Track'!$F:$F&amp;'5) Release_Track'!$G:$G,'5) Release_Track'!$I:$I},2,0), or(and(not(isblank($B565)),$B565=$B564,$A565&lt;&gt;$A564),and(not(isblank($A565)),$A565=$A564,$B565&lt;&gt;$B564)),"ID LISTS UNALIGNED",and($A565&lt;&gt;"",countif('5) Release_Track'!$F:$F,$A565)=0),"NO ISRC MATCH in Release_Track",and($B565&lt;&gt;"",countif('5) Release_Track'!$G:$G,$B565)=0),"NO CATALOG ID MATCH in Release_Track",iserror(vlookup($A565&amp;$B565,'5) Release_Track'!$F:$F&amp;'5) Release_Track'!$G:$G,1,0)),"NO ISRC-CATALOG ID pair MATCH in Release_Track" )</f>
        <v/>
      </c>
      <c r="E565" s="142" t="b">
        <v>0</v>
      </c>
      <c r="F565" s="142" t="b">
        <v>0</v>
      </c>
      <c r="G565" s="142" t="b">
        <v>0</v>
      </c>
      <c r="H565" s="142" t="b">
        <v>0</v>
      </c>
      <c r="I565" s="142" t="b">
        <v>0</v>
      </c>
      <c r="J565" s="142" t="b">
        <v>0</v>
      </c>
      <c r="K565" s="142" t="b">
        <v>0</v>
      </c>
      <c r="L565" s="8" t="b">
        <v>0</v>
      </c>
    </row>
    <row r="566">
      <c r="B566" s="103"/>
      <c r="C566" s="121" t="str">
        <f t="array" ref="C566">ifs(and(isblank($A566),isblank($B566)),"", not(iserror(vlookup($A566&amp;$B566,'5) Release_Track'!$F:$F&amp;'5) Release_Track'!$G:$G,1,0))),vlookup($A566&amp;$B566,{'5) Release_Track'!$F:$F&amp;'5) Release_Track'!$G:$G,'5) Release_Track'!$H:$H},2,0), or(and(not(isblank($B566)),$B566=$B565,$A566&lt;&gt;$A565),and(not(isblank($A566)),$A566=$A565,$B566&lt;&gt;$B565)),"ID LISTS UNALIGNED",and($A566&lt;&gt;"",countif('5) Release_Track'!$F:$F,$A566)=0),"NO ISRC MATCH in Release_Track",and($B566&lt;&gt;"",countif('5) Release_Track'!$G:$G,$B566)=0),"NO CATALOG ID MATCH in Release_Track",iserror(vlookup($A566&amp;$B566,'5) Release_Track'!$F:$F&amp;'5) Release_Track'!$G:$G,1,0)),"NO ISRC-CATALOG ID pair MATCH in Release_Track" )</f>
        <v/>
      </c>
      <c r="D566" s="121" t="str">
        <f t="array" ref="D566">ifs(and(isblank($A566),isblank($B566)),"", not(iserror(vlookup($A566&amp;$B566,'5) Release_Track'!$F:$F&amp;'5) Release_Track'!$G:$G,1,0))),vlookup($A566&amp;$B566,{'5) Release_Track'!$F:$F&amp;'5) Release_Track'!$G:$G,'5) Release_Track'!$I:$I},2,0), or(and(not(isblank($B566)),$B566=$B565,$A566&lt;&gt;$A565),and(not(isblank($A566)),$A566=$A565,$B566&lt;&gt;$B565)),"ID LISTS UNALIGNED",and($A566&lt;&gt;"",countif('5) Release_Track'!$F:$F,$A566)=0),"NO ISRC MATCH in Release_Track",and($B566&lt;&gt;"",countif('5) Release_Track'!$G:$G,$B566)=0),"NO CATALOG ID MATCH in Release_Track",iserror(vlookup($A566&amp;$B566,'5) Release_Track'!$F:$F&amp;'5) Release_Track'!$G:$G,1,0)),"NO ISRC-CATALOG ID pair MATCH in Release_Track" )</f>
        <v/>
      </c>
      <c r="E566" s="142" t="b">
        <v>0</v>
      </c>
      <c r="F566" s="142" t="b">
        <v>0</v>
      </c>
      <c r="G566" s="142" t="b">
        <v>0</v>
      </c>
      <c r="H566" s="142" t="b">
        <v>0</v>
      </c>
      <c r="I566" s="142" t="b">
        <v>0</v>
      </c>
      <c r="J566" s="142" t="b">
        <v>0</v>
      </c>
      <c r="K566" s="142" t="b">
        <v>0</v>
      </c>
      <c r="L566" s="8" t="b">
        <v>0</v>
      </c>
    </row>
    <row r="567">
      <c r="B567" s="103"/>
      <c r="C567" s="121" t="str">
        <f t="array" ref="C567">ifs(and(isblank($A567),isblank($B567)),"", not(iserror(vlookup($A567&amp;$B567,'5) Release_Track'!$F:$F&amp;'5) Release_Track'!$G:$G,1,0))),vlookup($A567&amp;$B567,{'5) Release_Track'!$F:$F&amp;'5) Release_Track'!$G:$G,'5) Release_Track'!$H:$H},2,0), or(and(not(isblank($B567)),$B567=$B566,$A567&lt;&gt;$A566),and(not(isblank($A567)),$A567=$A566,$B567&lt;&gt;$B566)),"ID LISTS UNALIGNED",and($A567&lt;&gt;"",countif('5) Release_Track'!$F:$F,$A567)=0),"NO ISRC MATCH in Release_Track",and($B567&lt;&gt;"",countif('5) Release_Track'!$G:$G,$B567)=0),"NO CATALOG ID MATCH in Release_Track",iserror(vlookup($A567&amp;$B567,'5) Release_Track'!$F:$F&amp;'5) Release_Track'!$G:$G,1,0)),"NO ISRC-CATALOG ID pair MATCH in Release_Track" )</f>
        <v/>
      </c>
      <c r="D567" s="121" t="str">
        <f t="array" ref="D567">ifs(and(isblank($A567),isblank($B567)),"", not(iserror(vlookup($A567&amp;$B567,'5) Release_Track'!$F:$F&amp;'5) Release_Track'!$G:$G,1,0))),vlookup($A567&amp;$B567,{'5) Release_Track'!$F:$F&amp;'5) Release_Track'!$G:$G,'5) Release_Track'!$I:$I},2,0), or(and(not(isblank($B567)),$B567=$B566,$A567&lt;&gt;$A566),and(not(isblank($A567)),$A567=$A566,$B567&lt;&gt;$B566)),"ID LISTS UNALIGNED",and($A567&lt;&gt;"",countif('5) Release_Track'!$F:$F,$A567)=0),"NO ISRC MATCH in Release_Track",and($B567&lt;&gt;"",countif('5) Release_Track'!$G:$G,$B567)=0),"NO CATALOG ID MATCH in Release_Track",iserror(vlookup($A567&amp;$B567,'5) Release_Track'!$F:$F&amp;'5) Release_Track'!$G:$G,1,0)),"NO ISRC-CATALOG ID pair MATCH in Release_Track" )</f>
        <v/>
      </c>
      <c r="E567" s="142" t="b">
        <v>0</v>
      </c>
      <c r="F567" s="142" t="b">
        <v>0</v>
      </c>
      <c r="G567" s="142" t="b">
        <v>0</v>
      </c>
      <c r="H567" s="142" t="b">
        <v>0</v>
      </c>
      <c r="I567" s="142" t="b">
        <v>0</v>
      </c>
      <c r="J567" s="142" t="b">
        <v>0</v>
      </c>
      <c r="K567" s="142" t="b">
        <v>0</v>
      </c>
      <c r="L567" s="8" t="b">
        <v>0</v>
      </c>
    </row>
    <row r="568">
      <c r="B568" s="103"/>
      <c r="C568" s="121" t="str">
        <f t="array" ref="C568">ifs(and(isblank($A568),isblank($B568)),"", not(iserror(vlookup($A568&amp;$B568,'5) Release_Track'!$F:$F&amp;'5) Release_Track'!$G:$G,1,0))),vlookup($A568&amp;$B568,{'5) Release_Track'!$F:$F&amp;'5) Release_Track'!$G:$G,'5) Release_Track'!$H:$H},2,0), or(and(not(isblank($B568)),$B568=$B567,$A568&lt;&gt;$A567),and(not(isblank($A568)),$A568=$A567,$B568&lt;&gt;$B567)),"ID LISTS UNALIGNED",and($A568&lt;&gt;"",countif('5) Release_Track'!$F:$F,$A568)=0),"NO ISRC MATCH in Release_Track",and($B568&lt;&gt;"",countif('5) Release_Track'!$G:$G,$B568)=0),"NO CATALOG ID MATCH in Release_Track",iserror(vlookup($A568&amp;$B568,'5) Release_Track'!$F:$F&amp;'5) Release_Track'!$G:$G,1,0)),"NO ISRC-CATALOG ID pair MATCH in Release_Track" )</f>
        <v/>
      </c>
      <c r="D568" s="121" t="str">
        <f t="array" ref="D568">ifs(and(isblank($A568),isblank($B568)),"", not(iserror(vlookup($A568&amp;$B568,'5) Release_Track'!$F:$F&amp;'5) Release_Track'!$G:$G,1,0))),vlookup($A568&amp;$B568,{'5) Release_Track'!$F:$F&amp;'5) Release_Track'!$G:$G,'5) Release_Track'!$I:$I},2,0), or(and(not(isblank($B568)),$B568=$B567,$A568&lt;&gt;$A567),and(not(isblank($A568)),$A568=$A567,$B568&lt;&gt;$B567)),"ID LISTS UNALIGNED",and($A568&lt;&gt;"",countif('5) Release_Track'!$F:$F,$A568)=0),"NO ISRC MATCH in Release_Track",and($B568&lt;&gt;"",countif('5) Release_Track'!$G:$G,$B568)=0),"NO CATALOG ID MATCH in Release_Track",iserror(vlookup($A568&amp;$B568,'5) Release_Track'!$F:$F&amp;'5) Release_Track'!$G:$G,1,0)),"NO ISRC-CATALOG ID pair MATCH in Release_Track" )</f>
        <v/>
      </c>
      <c r="E568" s="142" t="b">
        <v>0</v>
      </c>
      <c r="F568" s="142" t="b">
        <v>0</v>
      </c>
      <c r="G568" s="142" t="b">
        <v>0</v>
      </c>
      <c r="H568" s="142" t="b">
        <v>0</v>
      </c>
      <c r="I568" s="142" t="b">
        <v>0</v>
      </c>
      <c r="J568" s="142" t="b">
        <v>0</v>
      </c>
      <c r="K568" s="142" t="b">
        <v>0</v>
      </c>
      <c r="L568" s="8" t="b">
        <v>0</v>
      </c>
    </row>
    <row r="569">
      <c r="B569" s="103"/>
      <c r="C569" s="121" t="str">
        <f t="array" ref="C569">ifs(and(isblank($A569),isblank($B569)),"", not(iserror(vlookup($A569&amp;$B569,'5) Release_Track'!$F:$F&amp;'5) Release_Track'!$G:$G,1,0))),vlookup($A569&amp;$B569,{'5) Release_Track'!$F:$F&amp;'5) Release_Track'!$G:$G,'5) Release_Track'!$H:$H},2,0), or(and(not(isblank($B569)),$B569=$B568,$A569&lt;&gt;$A568),and(not(isblank($A569)),$A569=$A568,$B569&lt;&gt;$B568)),"ID LISTS UNALIGNED",and($A569&lt;&gt;"",countif('5) Release_Track'!$F:$F,$A569)=0),"NO ISRC MATCH in Release_Track",and($B569&lt;&gt;"",countif('5) Release_Track'!$G:$G,$B569)=0),"NO CATALOG ID MATCH in Release_Track",iserror(vlookup($A569&amp;$B569,'5) Release_Track'!$F:$F&amp;'5) Release_Track'!$G:$G,1,0)),"NO ISRC-CATALOG ID pair MATCH in Release_Track" )</f>
        <v/>
      </c>
      <c r="D569" s="121" t="str">
        <f t="array" ref="D569">ifs(and(isblank($A569),isblank($B569)),"", not(iserror(vlookup($A569&amp;$B569,'5) Release_Track'!$F:$F&amp;'5) Release_Track'!$G:$G,1,0))),vlookup($A569&amp;$B569,{'5) Release_Track'!$F:$F&amp;'5) Release_Track'!$G:$G,'5) Release_Track'!$I:$I},2,0), or(and(not(isblank($B569)),$B569=$B568,$A569&lt;&gt;$A568),and(not(isblank($A569)),$A569=$A568,$B569&lt;&gt;$B568)),"ID LISTS UNALIGNED",and($A569&lt;&gt;"",countif('5) Release_Track'!$F:$F,$A569)=0),"NO ISRC MATCH in Release_Track",and($B569&lt;&gt;"",countif('5) Release_Track'!$G:$G,$B569)=0),"NO CATALOG ID MATCH in Release_Track",iserror(vlookup($A569&amp;$B569,'5) Release_Track'!$F:$F&amp;'5) Release_Track'!$G:$G,1,0)),"NO ISRC-CATALOG ID pair MATCH in Release_Track" )</f>
        <v/>
      </c>
      <c r="E569" s="142" t="b">
        <v>0</v>
      </c>
      <c r="F569" s="142" t="b">
        <v>0</v>
      </c>
      <c r="G569" s="142" t="b">
        <v>0</v>
      </c>
      <c r="H569" s="142" t="b">
        <v>0</v>
      </c>
      <c r="I569" s="142" t="b">
        <v>0</v>
      </c>
      <c r="J569" s="142" t="b">
        <v>0</v>
      </c>
      <c r="K569" s="142" t="b">
        <v>0</v>
      </c>
      <c r="L569" s="8" t="b">
        <v>0</v>
      </c>
    </row>
    <row r="570">
      <c r="B570" s="103"/>
      <c r="C570" s="121" t="str">
        <f t="array" ref="C570">ifs(and(isblank($A570),isblank($B570)),"", not(iserror(vlookup($A570&amp;$B570,'5) Release_Track'!$F:$F&amp;'5) Release_Track'!$G:$G,1,0))),vlookup($A570&amp;$B570,{'5) Release_Track'!$F:$F&amp;'5) Release_Track'!$G:$G,'5) Release_Track'!$H:$H},2,0), or(and(not(isblank($B570)),$B570=$B569,$A570&lt;&gt;$A569),and(not(isblank($A570)),$A570=$A569,$B570&lt;&gt;$B569)),"ID LISTS UNALIGNED",and($A570&lt;&gt;"",countif('5) Release_Track'!$F:$F,$A570)=0),"NO ISRC MATCH in Release_Track",and($B570&lt;&gt;"",countif('5) Release_Track'!$G:$G,$B570)=0),"NO CATALOG ID MATCH in Release_Track",iserror(vlookup($A570&amp;$B570,'5) Release_Track'!$F:$F&amp;'5) Release_Track'!$G:$G,1,0)),"NO ISRC-CATALOG ID pair MATCH in Release_Track" )</f>
        <v/>
      </c>
      <c r="D570" s="121" t="str">
        <f t="array" ref="D570">ifs(and(isblank($A570),isblank($B570)),"", not(iserror(vlookup($A570&amp;$B570,'5) Release_Track'!$F:$F&amp;'5) Release_Track'!$G:$G,1,0))),vlookup($A570&amp;$B570,{'5) Release_Track'!$F:$F&amp;'5) Release_Track'!$G:$G,'5) Release_Track'!$I:$I},2,0), or(and(not(isblank($B570)),$B570=$B569,$A570&lt;&gt;$A569),and(not(isblank($A570)),$A570=$A569,$B570&lt;&gt;$B569)),"ID LISTS UNALIGNED",and($A570&lt;&gt;"",countif('5) Release_Track'!$F:$F,$A570)=0),"NO ISRC MATCH in Release_Track",and($B570&lt;&gt;"",countif('5) Release_Track'!$G:$G,$B570)=0),"NO CATALOG ID MATCH in Release_Track",iserror(vlookup($A570&amp;$B570,'5) Release_Track'!$F:$F&amp;'5) Release_Track'!$G:$G,1,0)),"NO ISRC-CATALOG ID pair MATCH in Release_Track" )</f>
        <v/>
      </c>
      <c r="E570" s="142" t="b">
        <v>0</v>
      </c>
      <c r="F570" s="142" t="b">
        <v>0</v>
      </c>
      <c r="G570" s="142" t="b">
        <v>0</v>
      </c>
      <c r="H570" s="142" t="b">
        <v>0</v>
      </c>
      <c r="I570" s="142" t="b">
        <v>0</v>
      </c>
      <c r="J570" s="142" t="b">
        <v>0</v>
      </c>
      <c r="K570" s="142" t="b">
        <v>0</v>
      </c>
      <c r="L570" s="8" t="b">
        <v>0</v>
      </c>
    </row>
    <row r="571">
      <c r="B571" s="103"/>
      <c r="C571" s="121" t="str">
        <f t="array" ref="C571">ifs(and(isblank($A571),isblank($B571)),"", not(iserror(vlookup($A571&amp;$B571,'5) Release_Track'!$F:$F&amp;'5) Release_Track'!$G:$G,1,0))),vlookup($A571&amp;$B571,{'5) Release_Track'!$F:$F&amp;'5) Release_Track'!$G:$G,'5) Release_Track'!$H:$H},2,0), or(and(not(isblank($B571)),$B571=$B570,$A571&lt;&gt;$A570),and(not(isblank($A571)),$A571=$A570,$B571&lt;&gt;$B570)),"ID LISTS UNALIGNED",and($A571&lt;&gt;"",countif('5) Release_Track'!$F:$F,$A571)=0),"NO ISRC MATCH in Release_Track",and($B571&lt;&gt;"",countif('5) Release_Track'!$G:$G,$B571)=0),"NO CATALOG ID MATCH in Release_Track",iserror(vlookup($A571&amp;$B571,'5) Release_Track'!$F:$F&amp;'5) Release_Track'!$G:$G,1,0)),"NO ISRC-CATALOG ID pair MATCH in Release_Track" )</f>
        <v/>
      </c>
      <c r="D571" s="121" t="str">
        <f t="array" ref="D571">ifs(and(isblank($A571),isblank($B571)),"", not(iserror(vlookup($A571&amp;$B571,'5) Release_Track'!$F:$F&amp;'5) Release_Track'!$G:$G,1,0))),vlookup($A571&amp;$B571,{'5) Release_Track'!$F:$F&amp;'5) Release_Track'!$G:$G,'5) Release_Track'!$I:$I},2,0), or(and(not(isblank($B571)),$B571=$B570,$A571&lt;&gt;$A570),and(not(isblank($A571)),$A571=$A570,$B571&lt;&gt;$B570)),"ID LISTS UNALIGNED",and($A571&lt;&gt;"",countif('5) Release_Track'!$F:$F,$A571)=0),"NO ISRC MATCH in Release_Track",and($B571&lt;&gt;"",countif('5) Release_Track'!$G:$G,$B571)=0),"NO CATALOG ID MATCH in Release_Track",iserror(vlookup($A571&amp;$B571,'5) Release_Track'!$F:$F&amp;'5) Release_Track'!$G:$G,1,0)),"NO ISRC-CATALOG ID pair MATCH in Release_Track" )</f>
        <v/>
      </c>
      <c r="E571" s="142" t="b">
        <v>0</v>
      </c>
      <c r="F571" s="142" t="b">
        <v>0</v>
      </c>
      <c r="G571" s="142" t="b">
        <v>0</v>
      </c>
      <c r="H571" s="142" t="b">
        <v>0</v>
      </c>
      <c r="I571" s="142" t="b">
        <v>0</v>
      </c>
      <c r="J571" s="142" t="b">
        <v>0</v>
      </c>
      <c r="K571" s="142" t="b">
        <v>0</v>
      </c>
      <c r="L571" s="8" t="b">
        <v>0</v>
      </c>
    </row>
    <row r="572">
      <c r="B572" s="103"/>
      <c r="C572" s="121" t="str">
        <f t="array" ref="C572">ifs(and(isblank($A572),isblank($B572)),"", not(iserror(vlookup($A572&amp;$B572,'5) Release_Track'!$F:$F&amp;'5) Release_Track'!$G:$G,1,0))),vlookup($A572&amp;$B572,{'5) Release_Track'!$F:$F&amp;'5) Release_Track'!$G:$G,'5) Release_Track'!$H:$H},2,0), or(and(not(isblank($B572)),$B572=$B571,$A572&lt;&gt;$A571),and(not(isblank($A572)),$A572=$A571,$B572&lt;&gt;$B571)),"ID LISTS UNALIGNED",and($A572&lt;&gt;"",countif('5) Release_Track'!$F:$F,$A572)=0),"NO ISRC MATCH in Release_Track",and($B572&lt;&gt;"",countif('5) Release_Track'!$G:$G,$B572)=0),"NO CATALOG ID MATCH in Release_Track",iserror(vlookup($A572&amp;$B572,'5) Release_Track'!$F:$F&amp;'5) Release_Track'!$G:$G,1,0)),"NO ISRC-CATALOG ID pair MATCH in Release_Track" )</f>
        <v/>
      </c>
      <c r="D572" s="121" t="str">
        <f t="array" ref="D572">ifs(and(isblank($A572),isblank($B572)),"", not(iserror(vlookup($A572&amp;$B572,'5) Release_Track'!$F:$F&amp;'5) Release_Track'!$G:$G,1,0))),vlookup($A572&amp;$B572,{'5) Release_Track'!$F:$F&amp;'5) Release_Track'!$G:$G,'5) Release_Track'!$I:$I},2,0), or(and(not(isblank($B572)),$B572=$B571,$A572&lt;&gt;$A571),and(not(isblank($A572)),$A572=$A571,$B572&lt;&gt;$B571)),"ID LISTS UNALIGNED",and($A572&lt;&gt;"",countif('5) Release_Track'!$F:$F,$A572)=0),"NO ISRC MATCH in Release_Track",and($B572&lt;&gt;"",countif('5) Release_Track'!$G:$G,$B572)=0),"NO CATALOG ID MATCH in Release_Track",iserror(vlookup($A572&amp;$B572,'5) Release_Track'!$F:$F&amp;'5) Release_Track'!$G:$G,1,0)),"NO ISRC-CATALOG ID pair MATCH in Release_Track" )</f>
        <v/>
      </c>
      <c r="E572" s="142" t="b">
        <v>0</v>
      </c>
      <c r="F572" s="142" t="b">
        <v>0</v>
      </c>
      <c r="G572" s="142" t="b">
        <v>0</v>
      </c>
      <c r="H572" s="142" t="b">
        <v>0</v>
      </c>
      <c r="I572" s="142" t="b">
        <v>0</v>
      </c>
      <c r="J572" s="142" t="b">
        <v>0</v>
      </c>
      <c r="K572" s="142" t="b">
        <v>0</v>
      </c>
      <c r="L572" s="8" t="b">
        <v>0</v>
      </c>
    </row>
    <row r="573">
      <c r="B573" s="103"/>
      <c r="C573" s="121" t="str">
        <f t="array" ref="C573">ifs(and(isblank($A573),isblank($B573)),"", not(iserror(vlookup($A573&amp;$B573,'5) Release_Track'!$F:$F&amp;'5) Release_Track'!$G:$G,1,0))),vlookup($A573&amp;$B573,{'5) Release_Track'!$F:$F&amp;'5) Release_Track'!$G:$G,'5) Release_Track'!$H:$H},2,0), or(and(not(isblank($B573)),$B573=$B572,$A573&lt;&gt;$A572),and(not(isblank($A573)),$A573=$A572,$B573&lt;&gt;$B572)),"ID LISTS UNALIGNED",and($A573&lt;&gt;"",countif('5) Release_Track'!$F:$F,$A573)=0),"NO ISRC MATCH in Release_Track",and($B573&lt;&gt;"",countif('5) Release_Track'!$G:$G,$B573)=0),"NO CATALOG ID MATCH in Release_Track",iserror(vlookup($A573&amp;$B573,'5) Release_Track'!$F:$F&amp;'5) Release_Track'!$G:$G,1,0)),"NO ISRC-CATALOG ID pair MATCH in Release_Track" )</f>
        <v/>
      </c>
      <c r="D573" s="121" t="str">
        <f t="array" ref="D573">ifs(and(isblank($A573),isblank($B573)),"", not(iserror(vlookup($A573&amp;$B573,'5) Release_Track'!$F:$F&amp;'5) Release_Track'!$G:$G,1,0))),vlookup($A573&amp;$B573,{'5) Release_Track'!$F:$F&amp;'5) Release_Track'!$G:$G,'5) Release_Track'!$I:$I},2,0), or(and(not(isblank($B573)),$B573=$B572,$A573&lt;&gt;$A572),and(not(isblank($A573)),$A573=$A572,$B573&lt;&gt;$B572)),"ID LISTS UNALIGNED",and($A573&lt;&gt;"",countif('5) Release_Track'!$F:$F,$A573)=0),"NO ISRC MATCH in Release_Track",and($B573&lt;&gt;"",countif('5) Release_Track'!$G:$G,$B573)=0),"NO CATALOG ID MATCH in Release_Track",iserror(vlookup($A573&amp;$B573,'5) Release_Track'!$F:$F&amp;'5) Release_Track'!$G:$G,1,0)),"NO ISRC-CATALOG ID pair MATCH in Release_Track" )</f>
        <v/>
      </c>
      <c r="E573" s="142" t="b">
        <v>0</v>
      </c>
      <c r="F573" s="142" t="b">
        <v>0</v>
      </c>
      <c r="G573" s="142" t="b">
        <v>0</v>
      </c>
      <c r="H573" s="142" t="b">
        <v>0</v>
      </c>
      <c r="I573" s="142" t="b">
        <v>0</v>
      </c>
      <c r="J573" s="142" t="b">
        <v>0</v>
      </c>
      <c r="K573" s="142" t="b">
        <v>0</v>
      </c>
      <c r="L573" s="8" t="b">
        <v>0</v>
      </c>
    </row>
    <row r="574">
      <c r="B574" s="103"/>
      <c r="C574" s="121" t="str">
        <f t="array" ref="C574">ifs(and(isblank($A574),isblank($B574)),"", not(iserror(vlookup($A574&amp;$B574,'5) Release_Track'!$F:$F&amp;'5) Release_Track'!$G:$G,1,0))),vlookup($A574&amp;$B574,{'5) Release_Track'!$F:$F&amp;'5) Release_Track'!$G:$G,'5) Release_Track'!$H:$H},2,0), or(and(not(isblank($B574)),$B574=$B573,$A574&lt;&gt;$A573),and(not(isblank($A574)),$A574=$A573,$B574&lt;&gt;$B573)),"ID LISTS UNALIGNED",and($A574&lt;&gt;"",countif('5) Release_Track'!$F:$F,$A574)=0),"NO ISRC MATCH in Release_Track",and($B574&lt;&gt;"",countif('5) Release_Track'!$G:$G,$B574)=0),"NO CATALOG ID MATCH in Release_Track",iserror(vlookup($A574&amp;$B574,'5) Release_Track'!$F:$F&amp;'5) Release_Track'!$G:$G,1,0)),"NO ISRC-CATALOG ID pair MATCH in Release_Track" )</f>
        <v/>
      </c>
      <c r="D574" s="121" t="str">
        <f t="array" ref="D574">ifs(and(isblank($A574),isblank($B574)),"", not(iserror(vlookup($A574&amp;$B574,'5) Release_Track'!$F:$F&amp;'5) Release_Track'!$G:$G,1,0))),vlookup($A574&amp;$B574,{'5) Release_Track'!$F:$F&amp;'5) Release_Track'!$G:$G,'5) Release_Track'!$I:$I},2,0), or(and(not(isblank($B574)),$B574=$B573,$A574&lt;&gt;$A573),and(not(isblank($A574)),$A574=$A573,$B574&lt;&gt;$B573)),"ID LISTS UNALIGNED",and($A574&lt;&gt;"",countif('5) Release_Track'!$F:$F,$A574)=0),"NO ISRC MATCH in Release_Track",and($B574&lt;&gt;"",countif('5) Release_Track'!$G:$G,$B574)=0),"NO CATALOG ID MATCH in Release_Track",iserror(vlookup($A574&amp;$B574,'5) Release_Track'!$F:$F&amp;'5) Release_Track'!$G:$G,1,0)),"NO ISRC-CATALOG ID pair MATCH in Release_Track" )</f>
        <v/>
      </c>
      <c r="E574" s="142" t="b">
        <v>0</v>
      </c>
      <c r="F574" s="142" t="b">
        <v>0</v>
      </c>
      <c r="G574" s="142" t="b">
        <v>0</v>
      </c>
      <c r="H574" s="142" t="b">
        <v>0</v>
      </c>
      <c r="I574" s="142" t="b">
        <v>0</v>
      </c>
      <c r="J574" s="142" t="b">
        <v>0</v>
      </c>
      <c r="K574" s="142" t="b">
        <v>0</v>
      </c>
      <c r="L574" s="8" t="b">
        <v>0</v>
      </c>
    </row>
    <row r="575">
      <c r="B575" s="103"/>
      <c r="C575" s="121" t="str">
        <f t="array" ref="C575">ifs(and(isblank($A575),isblank($B575)),"", not(iserror(vlookup($A575&amp;$B575,'5) Release_Track'!$F:$F&amp;'5) Release_Track'!$G:$G,1,0))),vlookup($A575&amp;$B575,{'5) Release_Track'!$F:$F&amp;'5) Release_Track'!$G:$G,'5) Release_Track'!$H:$H},2,0), or(and(not(isblank($B575)),$B575=$B574,$A575&lt;&gt;$A574),and(not(isblank($A575)),$A575=$A574,$B575&lt;&gt;$B574)),"ID LISTS UNALIGNED",and($A575&lt;&gt;"",countif('5) Release_Track'!$F:$F,$A575)=0),"NO ISRC MATCH in Release_Track",and($B575&lt;&gt;"",countif('5) Release_Track'!$G:$G,$B575)=0),"NO CATALOG ID MATCH in Release_Track",iserror(vlookup($A575&amp;$B575,'5) Release_Track'!$F:$F&amp;'5) Release_Track'!$G:$G,1,0)),"NO ISRC-CATALOG ID pair MATCH in Release_Track" )</f>
        <v/>
      </c>
      <c r="D575" s="121" t="str">
        <f t="array" ref="D575">ifs(and(isblank($A575),isblank($B575)),"", not(iserror(vlookup($A575&amp;$B575,'5) Release_Track'!$F:$F&amp;'5) Release_Track'!$G:$G,1,0))),vlookup($A575&amp;$B575,{'5) Release_Track'!$F:$F&amp;'5) Release_Track'!$G:$G,'5) Release_Track'!$I:$I},2,0), or(and(not(isblank($B575)),$B575=$B574,$A575&lt;&gt;$A574),and(not(isblank($A575)),$A575=$A574,$B575&lt;&gt;$B574)),"ID LISTS UNALIGNED",and($A575&lt;&gt;"",countif('5) Release_Track'!$F:$F,$A575)=0),"NO ISRC MATCH in Release_Track",and($B575&lt;&gt;"",countif('5) Release_Track'!$G:$G,$B575)=0),"NO CATALOG ID MATCH in Release_Track",iserror(vlookup($A575&amp;$B575,'5) Release_Track'!$F:$F&amp;'5) Release_Track'!$G:$G,1,0)),"NO ISRC-CATALOG ID pair MATCH in Release_Track" )</f>
        <v/>
      </c>
      <c r="E575" s="142" t="b">
        <v>0</v>
      </c>
      <c r="F575" s="142" t="b">
        <v>0</v>
      </c>
      <c r="G575" s="142" t="b">
        <v>0</v>
      </c>
      <c r="H575" s="142" t="b">
        <v>0</v>
      </c>
      <c r="I575" s="142" t="b">
        <v>0</v>
      </c>
      <c r="J575" s="142" t="b">
        <v>0</v>
      </c>
      <c r="K575" s="142" t="b">
        <v>0</v>
      </c>
      <c r="L575" s="8" t="b">
        <v>0</v>
      </c>
    </row>
    <row r="576">
      <c r="B576" s="103"/>
      <c r="C576" s="121" t="str">
        <f t="array" ref="C576">ifs(and(isblank($A576),isblank($B576)),"", not(iserror(vlookup($A576&amp;$B576,'5) Release_Track'!$F:$F&amp;'5) Release_Track'!$G:$G,1,0))),vlookup($A576&amp;$B576,{'5) Release_Track'!$F:$F&amp;'5) Release_Track'!$G:$G,'5) Release_Track'!$H:$H},2,0), or(and(not(isblank($B576)),$B576=$B575,$A576&lt;&gt;$A575),and(not(isblank($A576)),$A576=$A575,$B576&lt;&gt;$B575)),"ID LISTS UNALIGNED",and($A576&lt;&gt;"",countif('5) Release_Track'!$F:$F,$A576)=0),"NO ISRC MATCH in Release_Track",and($B576&lt;&gt;"",countif('5) Release_Track'!$G:$G,$B576)=0),"NO CATALOG ID MATCH in Release_Track",iserror(vlookup($A576&amp;$B576,'5) Release_Track'!$F:$F&amp;'5) Release_Track'!$G:$G,1,0)),"NO ISRC-CATALOG ID pair MATCH in Release_Track" )</f>
        <v/>
      </c>
      <c r="D576" s="121" t="str">
        <f t="array" ref="D576">ifs(and(isblank($A576),isblank($B576)),"", not(iserror(vlookup($A576&amp;$B576,'5) Release_Track'!$F:$F&amp;'5) Release_Track'!$G:$G,1,0))),vlookup($A576&amp;$B576,{'5) Release_Track'!$F:$F&amp;'5) Release_Track'!$G:$G,'5) Release_Track'!$I:$I},2,0), or(and(not(isblank($B576)),$B576=$B575,$A576&lt;&gt;$A575),and(not(isblank($A576)),$A576=$A575,$B576&lt;&gt;$B575)),"ID LISTS UNALIGNED",and($A576&lt;&gt;"",countif('5) Release_Track'!$F:$F,$A576)=0),"NO ISRC MATCH in Release_Track",and($B576&lt;&gt;"",countif('5) Release_Track'!$G:$G,$B576)=0),"NO CATALOG ID MATCH in Release_Track",iserror(vlookup($A576&amp;$B576,'5) Release_Track'!$F:$F&amp;'5) Release_Track'!$G:$G,1,0)),"NO ISRC-CATALOG ID pair MATCH in Release_Track" )</f>
        <v/>
      </c>
      <c r="E576" s="142" t="b">
        <v>0</v>
      </c>
      <c r="F576" s="142" t="b">
        <v>0</v>
      </c>
      <c r="G576" s="142" t="b">
        <v>0</v>
      </c>
      <c r="H576" s="142" t="b">
        <v>0</v>
      </c>
      <c r="I576" s="142" t="b">
        <v>0</v>
      </c>
      <c r="J576" s="142" t="b">
        <v>0</v>
      </c>
      <c r="K576" s="142" t="b">
        <v>0</v>
      </c>
      <c r="L576" s="8" t="b">
        <v>0</v>
      </c>
    </row>
    <row r="577">
      <c r="B577" s="103"/>
      <c r="C577" s="121" t="str">
        <f t="array" ref="C577">ifs(and(isblank($A577),isblank($B577)),"", not(iserror(vlookup($A577&amp;$B577,'5) Release_Track'!$F:$F&amp;'5) Release_Track'!$G:$G,1,0))),vlookup($A577&amp;$B577,{'5) Release_Track'!$F:$F&amp;'5) Release_Track'!$G:$G,'5) Release_Track'!$H:$H},2,0), or(and(not(isblank($B577)),$B577=$B576,$A577&lt;&gt;$A576),and(not(isblank($A577)),$A577=$A576,$B577&lt;&gt;$B576)),"ID LISTS UNALIGNED",and($A577&lt;&gt;"",countif('5) Release_Track'!$F:$F,$A577)=0),"NO ISRC MATCH in Release_Track",and($B577&lt;&gt;"",countif('5) Release_Track'!$G:$G,$B577)=0),"NO CATALOG ID MATCH in Release_Track",iserror(vlookup($A577&amp;$B577,'5) Release_Track'!$F:$F&amp;'5) Release_Track'!$G:$G,1,0)),"NO ISRC-CATALOG ID pair MATCH in Release_Track" )</f>
        <v/>
      </c>
      <c r="D577" s="121" t="str">
        <f t="array" ref="D577">ifs(and(isblank($A577),isblank($B577)),"", not(iserror(vlookup($A577&amp;$B577,'5) Release_Track'!$F:$F&amp;'5) Release_Track'!$G:$G,1,0))),vlookup($A577&amp;$B577,{'5) Release_Track'!$F:$F&amp;'5) Release_Track'!$G:$G,'5) Release_Track'!$I:$I},2,0), or(and(not(isblank($B577)),$B577=$B576,$A577&lt;&gt;$A576),and(not(isblank($A577)),$A577=$A576,$B577&lt;&gt;$B576)),"ID LISTS UNALIGNED",and($A577&lt;&gt;"",countif('5) Release_Track'!$F:$F,$A577)=0),"NO ISRC MATCH in Release_Track",and($B577&lt;&gt;"",countif('5) Release_Track'!$G:$G,$B577)=0),"NO CATALOG ID MATCH in Release_Track",iserror(vlookup($A577&amp;$B577,'5) Release_Track'!$F:$F&amp;'5) Release_Track'!$G:$G,1,0)),"NO ISRC-CATALOG ID pair MATCH in Release_Track" )</f>
        <v/>
      </c>
      <c r="E577" s="142" t="b">
        <v>0</v>
      </c>
      <c r="F577" s="142" t="b">
        <v>0</v>
      </c>
      <c r="G577" s="142" t="b">
        <v>0</v>
      </c>
      <c r="H577" s="142" t="b">
        <v>0</v>
      </c>
      <c r="I577" s="142" t="b">
        <v>0</v>
      </c>
      <c r="J577" s="142" t="b">
        <v>0</v>
      </c>
      <c r="K577" s="142" t="b">
        <v>0</v>
      </c>
      <c r="L577" s="8" t="b">
        <v>0</v>
      </c>
    </row>
    <row r="578">
      <c r="B578" s="103"/>
      <c r="C578" s="121" t="str">
        <f t="array" ref="C578">ifs(and(isblank($A578),isblank($B578)),"", not(iserror(vlookup($A578&amp;$B578,'5) Release_Track'!$F:$F&amp;'5) Release_Track'!$G:$G,1,0))),vlookup($A578&amp;$B578,{'5) Release_Track'!$F:$F&amp;'5) Release_Track'!$G:$G,'5) Release_Track'!$H:$H},2,0), or(and(not(isblank($B578)),$B578=$B577,$A578&lt;&gt;$A577),and(not(isblank($A578)),$A578=$A577,$B578&lt;&gt;$B577)),"ID LISTS UNALIGNED",and($A578&lt;&gt;"",countif('5) Release_Track'!$F:$F,$A578)=0),"NO ISRC MATCH in Release_Track",and($B578&lt;&gt;"",countif('5) Release_Track'!$G:$G,$B578)=0),"NO CATALOG ID MATCH in Release_Track",iserror(vlookup($A578&amp;$B578,'5) Release_Track'!$F:$F&amp;'5) Release_Track'!$G:$G,1,0)),"NO ISRC-CATALOG ID pair MATCH in Release_Track" )</f>
        <v/>
      </c>
      <c r="D578" s="121" t="str">
        <f t="array" ref="D578">ifs(and(isblank($A578),isblank($B578)),"", not(iserror(vlookup($A578&amp;$B578,'5) Release_Track'!$F:$F&amp;'5) Release_Track'!$G:$G,1,0))),vlookup($A578&amp;$B578,{'5) Release_Track'!$F:$F&amp;'5) Release_Track'!$G:$G,'5) Release_Track'!$I:$I},2,0), or(and(not(isblank($B578)),$B578=$B577,$A578&lt;&gt;$A577),and(not(isblank($A578)),$A578=$A577,$B578&lt;&gt;$B577)),"ID LISTS UNALIGNED",and($A578&lt;&gt;"",countif('5) Release_Track'!$F:$F,$A578)=0),"NO ISRC MATCH in Release_Track",and($B578&lt;&gt;"",countif('5) Release_Track'!$G:$G,$B578)=0),"NO CATALOG ID MATCH in Release_Track",iserror(vlookup($A578&amp;$B578,'5) Release_Track'!$F:$F&amp;'5) Release_Track'!$G:$G,1,0)),"NO ISRC-CATALOG ID pair MATCH in Release_Track" )</f>
        <v/>
      </c>
      <c r="E578" s="142" t="b">
        <v>0</v>
      </c>
      <c r="F578" s="142" t="b">
        <v>0</v>
      </c>
      <c r="G578" s="142" t="b">
        <v>0</v>
      </c>
      <c r="H578" s="142" t="b">
        <v>0</v>
      </c>
      <c r="I578" s="142" t="b">
        <v>0</v>
      </c>
      <c r="J578" s="142" t="b">
        <v>0</v>
      </c>
      <c r="K578" s="142" t="b">
        <v>0</v>
      </c>
      <c r="L578" s="8" t="b">
        <v>0</v>
      </c>
    </row>
    <row r="579">
      <c r="B579" s="103"/>
      <c r="C579" s="121" t="str">
        <f t="array" ref="C579">ifs(and(isblank($A579),isblank($B579)),"", not(iserror(vlookup($A579&amp;$B579,'5) Release_Track'!$F:$F&amp;'5) Release_Track'!$G:$G,1,0))),vlookup($A579&amp;$B579,{'5) Release_Track'!$F:$F&amp;'5) Release_Track'!$G:$G,'5) Release_Track'!$H:$H},2,0), or(and(not(isblank($B579)),$B579=$B578,$A579&lt;&gt;$A578),and(not(isblank($A579)),$A579=$A578,$B579&lt;&gt;$B578)),"ID LISTS UNALIGNED",and($A579&lt;&gt;"",countif('5) Release_Track'!$F:$F,$A579)=0),"NO ISRC MATCH in Release_Track",and($B579&lt;&gt;"",countif('5) Release_Track'!$G:$G,$B579)=0),"NO CATALOG ID MATCH in Release_Track",iserror(vlookup($A579&amp;$B579,'5) Release_Track'!$F:$F&amp;'5) Release_Track'!$G:$G,1,0)),"NO ISRC-CATALOG ID pair MATCH in Release_Track" )</f>
        <v/>
      </c>
      <c r="D579" s="121" t="str">
        <f t="array" ref="D579">ifs(and(isblank($A579),isblank($B579)),"", not(iserror(vlookup($A579&amp;$B579,'5) Release_Track'!$F:$F&amp;'5) Release_Track'!$G:$G,1,0))),vlookup($A579&amp;$B579,{'5) Release_Track'!$F:$F&amp;'5) Release_Track'!$G:$G,'5) Release_Track'!$I:$I},2,0), or(and(not(isblank($B579)),$B579=$B578,$A579&lt;&gt;$A578),and(not(isblank($A579)),$A579=$A578,$B579&lt;&gt;$B578)),"ID LISTS UNALIGNED",and($A579&lt;&gt;"",countif('5) Release_Track'!$F:$F,$A579)=0),"NO ISRC MATCH in Release_Track",and($B579&lt;&gt;"",countif('5) Release_Track'!$G:$G,$B579)=0),"NO CATALOG ID MATCH in Release_Track",iserror(vlookup($A579&amp;$B579,'5) Release_Track'!$F:$F&amp;'5) Release_Track'!$G:$G,1,0)),"NO ISRC-CATALOG ID pair MATCH in Release_Track" )</f>
        <v/>
      </c>
      <c r="E579" s="142" t="b">
        <v>0</v>
      </c>
      <c r="F579" s="142" t="b">
        <v>0</v>
      </c>
      <c r="G579" s="142" t="b">
        <v>0</v>
      </c>
      <c r="H579" s="142" t="b">
        <v>0</v>
      </c>
      <c r="I579" s="142" t="b">
        <v>0</v>
      </c>
      <c r="J579" s="142" t="b">
        <v>0</v>
      </c>
      <c r="K579" s="142" t="b">
        <v>0</v>
      </c>
      <c r="L579" s="8" t="b">
        <v>0</v>
      </c>
    </row>
    <row r="580">
      <c r="B580" s="103"/>
      <c r="C580" s="121" t="str">
        <f t="array" ref="C580">ifs(and(isblank($A580),isblank($B580)),"", not(iserror(vlookup($A580&amp;$B580,'5) Release_Track'!$F:$F&amp;'5) Release_Track'!$G:$G,1,0))),vlookup($A580&amp;$B580,{'5) Release_Track'!$F:$F&amp;'5) Release_Track'!$G:$G,'5) Release_Track'!$H:$H},2,0), or(and(not(isblank($B580)),$B580=$B579,$A580&lt;&gt;$A579),and(not(isblank($A580)),$A580=$A579,$B580&lt;&gt;$B579)),"ID LISTS UNALIGNED",and($A580&lt;&gt;"",countif('5) Release_Track'!$F:$F,$A580)=0),"NO ISRC MATCH in Release_Track",and($B580&lt;&gt;"",countif('5) Release_Track'!$G:$G,$B580)=0),"NO CATALOG ID MATCH in Release_Track",iserror(vlookup($A580&amp;$B580,'5) Release_Track'!$F:$F&amp;'5) Release_Track'!$G:$G,1,0)),"NO ISRC-CATALOG ID pair MATCH in Release_Track" )</f>
        <v/>
      </c>
      <c r="D580" s="121" t="str">
        <f t="array" ref="D580">ifs(and(isblank($A580),isblank($B580)),"", not(iserror(vlookup($A580&amp;$B580,'5) Release_Track'!$F:$F&amp;'5) Release_Track'!$G:$G,1,0))),vlookup($A580&amp;$B580,{'5) Release_Track'!$F:$F&amp;'5) Release_Track'!$G:$G,'5) Release_Track'!$I:$I},2,0), or(and(not(isblank($B580)),$B580=$B579,$A580&lt;&gt;$A579),and(not(isblank($A580)),$A580=$A579,$B580&lt;&gt;$B579)),"ID LISTS UNALIGNED",and($A580&lt;&gt;"",countif('5) Release_Track'!$F:$F,$A580)=0),"NO ISRC MATCH in Release_Track",and($B580&lt;&gt;"",countif('5) Release_Track'!$G:$G,$B580)=0),"NO CATALOG ID MATCH in Release_Track",iserror(vlookup($A580&amp;$B580,'5) Release_Track'!$F:$F&amp;'5) Release_Track'!$G:$G,1,0)),"NO ISRC-CATALOG ID pair MATCH in Release_Track" )</f>
        <v/>
      </c>
      <c r="E580" s="142" t="b">
        <v>0</v>
      </c>
      <c r="F580" s="142" t="b">
        <v>0</v>
      </c>
      <c r="G580" s="142" t="b">
        <v>0</v>
      </c>
      <c r="H580" s="142" t="b">
        <v>0</v>
      </c>
      <c r="I580" s="142" t="b">
        <v>0</v>
      </c>
      <c r="J580" s="142" t="b">
        <v>0</v>
      </c>
      <c r="K580" s="142" t="b">
        <v>0</v>
      </c>
      <c r="L580" s="8" t="b">
        <v>0</v>
      </c>
    </row>
    <row r="581">
      <c r="B581" s="103"/>
      <c r="C581" s="121" t="str">
        <f t="array" ref="C581">ifs(and(isblank($A581),isblank($B581)),"", not(iserror(vlookup($A581&amp;$B581,'5) Release_Track'!$F:$F&amp;'5) Release_Track'!$G:$G,1,0))),vlookup($A581&amp;$B581,{'5) Release_Track'!$F:$F&amp;'5) Release_Track'!$G:$G,'5) Release_Track'!$H:$H},2,0), or(and(not(isblank($B581)),$B581=$B580,$A581&lt;&gt;$A580),and(not(isblank($A581)),$A581=$A580,$B581&lt;&gt;$B580)),"ID LISTS UNALIGNED",and($A581&lt;&gt;"",countif('5) Release_Track'!$F:$F,$A581)=0),"NO ISRC MATCH in Release_Track",and($B581&lt;&gt;"",countif('5) Release_Track'!$G:$G,$B581)=0),"NO CATALOG ID MATCH in Release_Track",iserror(vlookup($A581&amp;$B581,'5) Release_Track'!$F:$F&amp;'5) Release_Track'!$G:$G,1,0)),"NO ISRC-CATALOG ID pair MATCH in Release_Track" )</f>
        <v/>
      </c>
      <c r="D581" s="121" t="str">
        <f t="array" ref="D581">ifs(and(isblank($A581),isblank($B581)),"", not(iserror(vlookup($A581&amp;$B581,'5) Release_Track'!$F:$F&amp;'5) Release_Track'!$G:$G,1,0))),vlookup($A581&amp;$B581,{'5) Release_Track'!$F:$F&amp;'5) Release_Track'!$G:$G,'5) Release_Track'!$I:$I},2,0), or(and(not(isblank($B581)),$B581=$B580,$A581&lt;&gt;$A580),and(not(isblank($A581)),$A581=$A580,$B581&lt;&gt;$B580)),"ID LISTS UNALIGNED",and($A581&lt;&gt;"",countif('5) Release_Track'!$F:$F,$A581)=0),"NO ISRC MATCH in Release_Track",and($B581&lt;&gt;"",countif('5) Release_Track'!$G:$G,$B581)=0),"NO CATALOG ID MATCH in Release_Track",iserror(vlookup($A581&amp;$B581,'5) Release_Track'!$F:$F&amp;'5) Release_Track'!$G:$G,1,0)),"NO ISRC-CATALOG ID pair MATCH in Release_Track" )</f>
        <v/>
      </c>
      <c r="E581" s="142" t="b">
        <v>0</v>
      </c>
      <c r="F581" s="142" t="b">
        <v>0</v>
      </c>
      <c r="G581" s="142" t="b">
        <v>0</v>
      </c>
      <c r="H581" s="142" t="b">
        <v>0</v>
      </c>
      <c r="I581" s="142" t="b">
        <v>0</v>
      </c>
      <c r="J581" s="142" t="b">
        <v>0</v>
      </c>
      <c r="K581" s="142" t="b">
        <v>0</v>
      </c>
      <c r="L581" s="8" t="b">
        <v>0</v>
      </c>
    </row>
    <row r="582">
      <c r="B582" s="103"/>
      <c r="C582" s="121" t="str">
        <f t="array" ref="C582">ifs(and(isblank($A582),isblank($B582)),"", not(iserror(vlookup($A582&amp;$B582,'5) Release_Track'!$F:$F&amp;'5) Release_Track'!$G:$G,1,0))),vlookup($A582&amp;$B582,{'5) Release_Track'!$F:$F&amp;'5) Release_Track'!$G:$G,'5) Release_Track'!$H:$H},2,0), or(and(not(isblank($B582)),$B582=$B581,$A582&lt;&gt;$A581),and(not(isblank($A582)),$A582=$A581,$B582&lt;&gt;$B581)),"ID LISTS UNALIGNED",and($A582&lt;&gt;"",countif('5) Release_Track'!$F:$F,$A582)=0),"NO ISRC MATCH in Release_Track",and($B582&lt;&gt;"",countif('5) Release_Track'!$G:$G,$B582)=0),"NO CATALOG ID MATCH in Release_Track",iserror(vlookup($A582&amp;$B582,'5) Release_Track'!$F:$F&amp;'5) Release_Track'!$G:$G,1,0)),"NO ISRC-CATALOG ID pair MATCH in Release_Track" )</f>
        <v/>
      </c>
      <c r="D582" s="121" t="str">
        <f t="array" ref="D582">ifs(and(isblank($A582),isblank($B582)),"", not(iserror(vlookup($A582&amp;$B582,'5) Release_Track'!$F:$F&amp;'5) Release_Track'!$G:$G,1,0))),vlookup($A582&amp;$B582,{'5) Release_Track'!$F:$F&amp;'5) Release_Track'!$G:$G,'5) Release_Track'!$I:$I},2,0), or(and(not(isblank($B582)),$B582=$B581,$A582&lt;&gt;$A581),and(not(isblank($A582)),$A582=$A581,$B582&lt;&gt;$B581)),"ID LISTS UNALIGNED",and($A582&lt;&gt;"",countif('5) Release_Track'!$F:$F,$A582)=0),"NO ISRC MATCH in Release_Track",and($B582&lt;&gt;"",countif('5) Release_Track'!$G:$G,$B582)=0),"NO CATALOG ID MATCH in Release_Track",iserror(vlookup($A582&amp;$B582,'5) Release_Track'!$F:$F&amp;'5) Release_Track'!$G:$G,1,0)),"NO ISRC-CATALOG ID pair MATCH in Release_Track" )</f>
        <v/>
      </c>
      <c r="E582" s="142" t="b">
        <v>0</v>
      </c>
      <c r="F582" s="142" t="b">
        <v>0</v>
      </c>
      <c r="G582" s="142" t="b">
        <v>0</v>
      </c>
      <c r="H582" s="142" t="b">
        <v>0</v>
      </c>
      <c r="I582" s="142" t="b">
        <v>0</v>
      </c>
      <c r="J582" s="142" t="b">
        <v>0</v>
      </c>
      <c r="K582" s="142" t="b">
        <v>0</v>
      </c>
      <c r="L582" s="8" t="b">
        <v>0</v>
      </c>
    </row>
    <row r="583">
      <c r="B583" s="103"/>
      <c r="C583" s="121" t="str">
        <f t="array" ref="C583">ifs(and(isblank($A583),isblank($B583)),"", not(iserror(vlookup($A583&amp;$B583,'5) Release_Track'!$F:$F&amp;'5) Release_Track'!$G:$G,1,0))),vlookup($A583&amp;$B583,{'5) Release_Track'!$F:$F&amp;'5) Release_Track'!$G:$G,'5) Release_Track'!$H:$H},2,0), or(and(not(isblank($B583)),$B583=$B582,$A583&lt;&gt;$A582),and(not(isblank($A583)),$A583=$A582,$B583&lt;&gt;$B582)),"ID LISTS UNALIGNED",and($A583&lt;&gt;"",countif('5) Release_Track'!$F:$F,$A583)=0),"NO ISRC MATCH in Release_Track",and($B583&lt;&gt;"",countif('5) Release_Track'!$G:$G,$B583)=0),"NO CATALOG ID MATCH in Release_Track",iserror(vlookup($A583&amp;$B583,'5) Release_Track'!$F:$F&amp;'5) Release_Track'!$G:$G,1,0)),"NO ISRC-CATALOG ID pair MATCH in Release_Track" )</f>
        <v/>
      </c>
      <c r="D583" s="121" t="str">
        <f t="array" ref="D583">ifs(and(isblank($A583),isblank($B583)),"", not(iserror(vlookup($A583&amp;$B583,'5) Release_Track'!$F:$F&amp;'5) Release_Track'!$G:$G,1,0))),vlookup($A583&amp;$B583,{'5) Release_Track'!$F:$F&amp;'5) Release_Track'!$G:$G,'5) Release_Track'!$I:$I},2,0), or(and(not(isblank($B583)),$B583=$B582,$A583&lt;&gt;$A582),and(not(isblank($A583)),$A583=$A582,$B583&lt;&gt;$B582)),"ID LISTS UNALIGNED",and($A583&lt;&gt;"",countif('5) Release_Track'!$F:$F,$A583)=0),"NO ISRC MATCH in Release_Track",and($B583&lt;&gt;"",countif('5) Release_Track'!$G:$G,$B583)=0),"NO CATALOG ID MATCH in Release_Track",iserror(vlookup($A583&amp;$B583,'5) Release_Track'!$F:$F&amp;'5) Release_Track'!$G:$G,1,0)),"NO ISRC-CATALOG ID pair MATCH in Release_Track" )</f>
        <v/>
      </c>
      <c r="E583" s="142" t="b">
        <v>0</v>
      </c>
      <c r="F583" s="142" t="b">
        <v>0</v>
      </c>
      <c r="G583" s="142" t="b">
        <v>0</v>
      </c>
      <c r="H583" s="142" t="b">
        <v>0</v>
      </c>
      <c r="I583" s="142" t="b">
        <v>0</v>
      </c>
      <c r="J583" s="142" t="b">
        <v>0</v>
      </c>
      <c r="K583" s="142" t="b">
        <v>0</v>
      </c>
      <c r="L583" s="8" t="b">
        <v>0</v>
      </c>
    </row>
    <row r="584">
      <c r="B584" s="103"/>
      <c r="C584" s="121" t="str">
        <f t="array" ref="C584">ifs(and(isblank($A584),isblank($B584)),"", not(iserror(vlookup($A584&amp;$B584,'5) Release_Track'!$F:$F&amp;'5) Release_Track'!$G:$G,1,0))),vlookup($A584&amp;$B584,{'5) Release_Track'!$F:$F&amp;'5) Release_Track'!$G:$G,'5) Release_Track'!$H:$H},2,0), or(and(not(isblank($B584)),$B584=$B583,$A584&lt;&gt;$A583),and(not(isblank($A584)),$A584=$A583,$B584&lt;&gt;$B583)),"ID LISTS UNALIGNED",and($A584&lt;&gt;"",countif('5) Release_Track'!$F:$F,$A584)=0),"NO ISRC MATCH in Release_Track",and($B584&lt;&gt;"",countif('5) Release_Track'!$G:$G,$B584)=0),"NO CATALOG ID MATCH in Release_Track",iserror(vlookup($A584&amp;$B584,'5) Release_Track'!$F:$F&amp;'5) Release_Track'!$G:$G,1,0)),"NO ISRC-CATALOG ID pair MATCH in Release_Track" )</f>
        <v/>
      </c>
      <c r="D584" s="121" t="str">
        <f t="array" ref="D584">ifs(and(isblank($A584),isblank($B584)),"", not(iserror(vlookup($A584&amp;$B584,'5) Release_Track'!$F:$F&amp;'5) Release_Track'!$G:$G,1,0))),vlookup($A584&amp;$B584,{'5) Release_Track'!$F:$F&amp;'5) Release_Track'!$G:$G,'5) Release_Track'!$I:$I},2,0), or(and(not(isblank($B584)),$B584=$B583,$A584&lt;&gt;$A583),and(not(isblank($A584)),$A584=$A583,$B584&lt;&gt;$B583)),"ID LISTS UNALIGNED",and($A584&lt;&gt;"",countif('5) Release_Track'!$F:$F,$A584)=0),"NO ISRC MATCH in Release_Track",and($B584&lt;&gt;"",countif('5) Release_Track'!$G:$G,$B584)=0),"NO CATALOG ID MATCH in Release_Track",iserror(vlookup($A584&amp;$B584,'5) Release_Track'!$F:$F&amp;'5) Release_Track'!$G:$G,1,0)),"NO ISRC-CATALOG ID pair MATCH in Release_Track" )</f>
        <v/>
      </c>
      <c r="E584" s="142" t="b">
        <v>0</v>
      </c>
      <c r="F584" s="142" t="b">
        <v>0</v>
      </c>
      <c r="G584" s="142" t="b">
        <v>0</v>
      </c>
      <c r="H584" s="142" t="b">
        <v>0</v>
      </c>
      <c r="I584" s="142" t="b">
        <v>0</v>
      </c>
      <c r="J584" s="142" t="b">
        <v>0</v>
      </c>
      <c r="K584" s="142" t="b">
        <v>0</v>
      </c>
      <c r="L584" s="8" t="b">
        <v>0</v>
      </c>
    </row>
    <row r="585">
      <c r="B585" s="103"/>
      <c r="C585" s="121" t="str">
        <f t="array" ref="C585">ifs(and(isblank($A585),isblank($B585)),"", not(iserror(vlookup($A585&amp;$B585,'5) Release_Track'!$F:$F&amp;'5) Release_Track'!$G:$G,1,0))),vlookup($A585&amp;$B585,{'5) Release_Track'!$F:$F&amp;'5) Release_Track'!$G:$G,'5) Release_Track'!$H:$H},2,0), or(and(not(isblank($B585)),$B585=$B584,$A585&lt;&gt;$A584),and(not(isblank($A585)),$A585=$A584,$B585&lt;&gt;$B584)),"ID LISTS UNALIGNED",and($A585&lt;&gt;"",countif('5) Release_Track'!$F:$F,$A585)=0),"NO ISRC MATCH in Release_Track",and($B585&lt;&gt;"",countif('5) Release_Track'!$G:$G,$B585)=0),"NO CATALOG ID MATCH in Release_Track",iserror(vlookup($A585&amp;$B585,'5) Release_Track'!$F:$F&amp;'5) Release_Track'!$G:$G,1,0)),"NO ISRC-CATALOG ID pair MATCH in Release_Track" )</f>
        <v/>
      </c>
      <c r="D585" s="121" t="str">
        <f t="array" ref="D585">ifs(and(isblank($A585),isblank($B585)),"", not(iserror(vlookup($A585&amp;$B585,'5) Release_Track'!$F:$F&amp;'5) Release_Track'!$G:$G,1,0))),vlookup($A585&amp;$B585,{'5) Release_Track'!$F:$F&amp;'5) Release_Track'!$G:$G,'5) Release_Track'!$I:$I},2,0), or(and(not(isblank($B585)),$B585=$B584,$A585&lt;&gt;$A584),and(not(isblank($A585)),$A585=$A584,$B585&lt;&gt;$B584)),"ID LISTS UNALIGNED",and($A585&lt;&gt;"",countif('5) Release_Track'!$F:$F,$A585)=0),"NO ISRC MATCH in Release_Track",and($B585&lt;&gt;"",countif('5) Release_Track'!$G:$G,$B585)=0),"NO CATALOG ID MATCH in Release_Track",iserror(vlookup($A585&amp;$B585,'5) Release_Track'!$F:$F&amp;'5) Release_Track'!$G:$G,1,0)),"NO ISRC-CATALOG ID pair MATCH in Release_Track" )</f>
        <v/>
      </c>
      <c r="E585" s="142" t="b">
        <v>0</v>
      </c>
      <c r="F585" s="142" t="b">
        <v>0</v>
      </c>
      <c r="G585" s="142" t="b">
        <v>0</v>
      </c>
      <c r="H585" s="142" t="b">
        <v>0</v>
      </c>
      <c r="I585" s="142" t="b">
        <v>0</v>
      </c>
      <c r="J585" s="142" t="b">
        <v>0</v>
      </c>
      <c r="K585" s="142" t="b">
        <v>0</v>
      </c>
      <c r="L585" s="8" t="b">
        <v>0</v>
      </c>
    </row>
    <row r="586">
      <c r="B586" s="103"/>
      <c r="C586" s="121" t="str">
        <f t="array" ref="C586">ifs(and(isblank($A586),isblank($B586)),"", not(iserror(vlookup($A586&amp;$B586,'5) Release_Track'!$F:$F&amp;'5) Release_Track'!$G:$G,1,0))),vlookup($A586&amp;$B586,{'5) Release_Track'!$F:$F&amp;'5) Release_Track'!$G:$G,'5) Release_Track'!$H:$H},2,0), or(and(not(isblank($B586)),$B586=$B585,$A586&lt;&gt;$A585),and(not(isblank($A586)),$A586=$A585,$B586&lt;&gt;$B585)),"ID LISTS UNALIGNED",and($A586&lt;&gt;"",countif('5) Release_Track'!$F:$F,$A586)=0),"NO ISRC MATCH in Release_Track",and($B586&lt;&gt;"",countif('5) Release_Track'!$G:$G,$B586)=0),"NO CATALOG ID MATCH in Release_Track",iserror(vlookup($A586&amp;$B586,'5) Release_Track'!$F:$F&amp;'5) Release_Track'!$G:$G,1,0)),"NO ISRC-CATALOG ID pair MATCH in Release_Track" )</f>
        <v/>
      </c>
      <c r="D586" s="121" t="str">
        <f t="array" ref="D586">ifs(and(isblank($A586),isblank($B586)),"", not(iserror(vlookup($A586&amp;$B586,'5) Release_Track'!$F:$F&amp;'5) Release_Track'!$G:$G,1,0))),vlookup($A586&amp;$B586,{'5) Release_Track'!$F:$F&amp;'5) Release_Track'!$G:$G,'5) Release_Track'!$I:$I},2,0), or(and(not(isblank($B586)),$B586=$B585,$A586&lt;&gt;$A585),and(not(isblank($A586)),$A586=$A585,$B586&lt;&gt;$B585)),"ID LISTS UNALIGNED",and($A586&lt;&gt;"",countif('5) Release_Track'!$F:$F,$A586)=0),"NO ISRC MATCH in Release_Track",and($B586&lt;&gt;"",countif('5) Release_Track'!$G:$G,$B586)=0),"NO CATALOG ID MATCH in Release_Track",iserror(vlookup($A586&amp;$B586,'5) Release_Track'!$F:$F&amp;'5) Release_Track'!$G:$G,1,0)),"NO ISRC-CATALOG ID pair MATCH in Release_Track" )</f>
        <v/>
      </c>
      <c r="E586" s="142" t="b">
        <v>0</v>
      </c>
      <c r="F586" s="142" t="b">
        <v>0</v>
      </c>
      <c r="G586" s="142" t="b">
        <v>0</v>
      </c>
      <c r="H586" s="142" t="b">
        <v>0</v>
      </c>
      <c r="I586" s="142" t="b">
        <v>0</v>
      </c>
      <c r="J586" s="142" t="b">
        <v>0</v>
      </c>
      <c r="K586" s="142" t="b">
        <v>0</v>
      </c>
      <c r="L586" s="8" t="b">
        <v>0</v>
      </c>
    </row>
    <row r="587">
      <c r="B587" s="103"/>
      <c r="C587" s="121" t="str">
        <f t="array" ref="C587">ifs(and(isblank($A587),isblank($B587)),"", not(iserror(vlookup($A587&amp;$B587,'5) Release_Track'!$F:$F&amp;'5) Release_Track'!$G:$G,1,0))),vlookup($A587&amp;$B587,{'5) Release_Track'!$F:$F&amp;'5) Release_Track'!$G:$G,'5) Release_Track'!$H:$H},2,0), or(and(not(isblank($B587)),$B587=$B586,$A587&lt;&gt;$A586),and(not(isblank($A587)),$A587=$A586,$B587&lt;&gt;$B586)),"ID LISTS UNALIGNED",and($A587&lt;&gt;"",countif('5) Release_Track'!$F:$F,$A587)=0),"NO ISRC MATCH in Release_Track",and($B587&lt;&gt;"",countif('5) Release_Track'!$G:$G,$B587)=0),"NO CATALOG ID MATCH in Release_Track",iserror(vlookup($A587&amp;$B587,'5) Release_Track'!$F:$F&amp;'5) Release_Track'!$G:$G,1,0)),"NO ISRC-CATALOG ID pair MATCH in Release_Track" )</f>
        <v/>
      </c>
      <c r="D587" s="121" t="str">
        <f t="array" ref="D587">ifs(and(isblank($A587),isblank($B587)),"", not(iserror(vlookup($A587&amp;$B587,'5) Release_Track'!$F:$F&amp;'5) Release_Track'!$G:$G,1,0))),vlookup($A587&amp;$B587,{'5) Release_Track'!$F:$F&amp;'5) Release_Track'!$G:$G,'5) Release_Track'!$I:$I},2,0), or(and(not(isblank($B587)),$B587=$B586,$A587&lt;&gt;$A586),and(not(isblank($A587)),$A587=$A586,$B587&lt;&gt;$B586)),"ID LISTS UNALIGNED",and($A587&lt;&gt;"",countif('5) Release_Track'!$F:$F,$A587)=0),"NO ISRC MATCH in Release_Track",and($B587&lt;&gt;"",countif('5) Release_Track'!$G:$G,$B587)=0),"NO CATALOG ID MATCH in Release_Track",iserror(vlookup($A587&amp;$B587,'5) Release_Track'!$F:$F&amp;'5) Release_Track'!$G:$G,1,0)),"NO ISRC-CATALOG ID pair MATCH in Release_Track" )</f>
        <v/>
      </c>
      <c r="E587" s="142" t="b">
        <v>0</v>
      </c>
      <c r="F587" s="142" t="b">
        <v>0</v>
      </c>
      <c r="G587" s="142" t="b">
        <v>0</v>
      </c>
      <c r="H587" s="142" t="b">
        <v>0</v>
      </c>
      <c r="I587" s="142" t="b">
        <v>0</v>
      </c>
      <c r="J587" s="142" t="b">
        <v>0</v>
      </c>
      <c r="K587" s="142" t="b">
        <v>0</v>
      </c>
      <c r="L587" s="8" t="b">
        <v>0</v>
      </c>
    </row>
    <row r="588">
      <c r="B588" s="103"/>
      <c r="C588" s="121" t="str">
        <f t="array" ref="C588">ifs(and(isblank($A588),isblank($B588)),"", not(iserror(vlookup($A588&amp;$B588,'5) Release_Track'!$F:$F&amp;'5) Release_Track'!$G:$G,1,0))),vlookup($A588&amp;$B588,{'5) Release_Track'!$F:$F&amp;'5) Release_Track'!$G:$G,'5) Release_Track'!$H:$H},2,0), or(and(not(isblank($B588)),$B588=$B587,$A588&lt;&gt;$A587),and(not(isblank($A588)),$A588=$A587,$B588&lt;&gt;$B587)),"ID LISTS UNALIGNED",and($A588&lt;&gt;"",countif('5) Release_Track'!$F:$F,$A588)=0),"NO ISRC MATCH in Release_Track",and($B588&lt;&gt;"",countif('5) Release_Track'!$G:$G,$B588)=0),"NO CATALOG ID MATCH in Release_Track",iserror(vlookup($A588&amp;$B588,'5) Release_Track'!$F:$F&amp;'5) Release_Track'!$G:$G,1,0)),"NO ISRC-CATALOG ID pair MATCH in Release_Track" )</f>
        <v/>
      </c>
      <c r="D588" s="121" t="str">
        <f t="array" ref="D588">ifs(and(isblank($A588),isblank($B588)),"", not(iserror(vlookup($A588&amp;$B588,'5) Release_Track'!$F:$F&amp;'5) Release_Track'!$G:$G,1,0))),vlookup($A588&amp;$B588,{'5) Release_Track'!$F:$F&amp;'5) Release_Track'!$G:$G,'5) Release_Track'!$I:$I},2,0), or(and(not(isblank($B588)),$B588=$B587,$A588&lt;&gt;$A587),and(not(isblank($A588)),$A588=$A587,$B588&lt;&gt;$B587)),"ID LISTS UNALIGNED",and($A588&lt;&gt;"",countif('5) Release_Track'!$F:$F,$A588)=0),"NO ISRC MATCH in Release_Track",and($B588&lt;&gt;"",countif('5) Release_Track'!$G:$G,$B588)=0),"NO CATALOG ID MATCH in Release_Track",iserror(vlookup($A588&amp;$B588,'5) Release_Track'!$F:$F&amp;'5) Release_Track'!$G:$G,1,0)),"NO ISRC-CATALOG ID pair MATCH in Release_Track" )</f>
        <v/>
      </c>
      <c r="E588" s="142" t="b">
        <v>0</v>
      </c>
      <c r="F588" s="142" t="b">
        <v>0</v>
      </c>
      <c r="G588" s="142" t="b">
        <v>0</v>
      </c>
      <c r="H588" s="142" t="b">
        <v>0</v>
      </c>
      <c r="I588" s="142" t="b">
        <v>0</v>
      </c>
      <c r="J588" s="142" t="b">
        <v>0</v>
      </c>
      <c r="K588" s="142" t="b">
        <v>0</v>
      </c>
      <c r="L588" s="8" t="b">
        <v>0</v>
      </c>
    </row>
    <row r="589">
      <c r="B589" s="103"/>
      <c r="C589" s="121" t="str">
        <f t="array" ref="C589">ifs(and(isblank($A589),isblank($B589)),"", not(iserror(vlookup($A589&amp;$B589,'5) Release_Track'!$F:$F&amp;'5) Release_Track'!$G:$G,1,0))),vlookup($A589&amp;$B589,{'5) Release_Track'!$F:$F&amp;'5) Release_Track'!$G:$G,'5) Release_Track'!$H:$H},2,0), or(and(not(isblank($B589)),$B589=$B588,$A589&lt;&gt;$A588),and(not(isblank($A589)),$A589=$A588,$B589&lt;&gt;$B588)),"ID LISTS UNALIGNED",and($A589&lt;&gt;"",countif('5) Release_Track'!$F:$F,$A589)=0),"NO ISRC MATCH in Release_Track",and($B589&lt;&gt;"",countif('5) Release_Track'!$G:$G,$B589)=0),"NO CATALOG ID MATCH in Release_Track",iserror(vlookup($A589&amp;$B589,'5) Release_Track'!$F:$F&amp;'5) Release_Track'!$G:$G,1,0)),"NO ISRC-CATALOG ID pair MATCH in Release_Track" )</f>
        <v/>
      </c>
      <c r="D589" s="121" t="str">
        <f t="array" ref="D589">ifs(and(isblank($A589),isblank($B589)),"", not(iserror(vlookup($A589&amp;$B589,'5) Release_Track'!$F:$F&amp;'5) Release_Track'!$G:$G,1,0))),vlookup($A589&amp;$B589,{'5) Release_Track'!$F:$F&amp;'5) Release_Track'!$G:$G,'5) Release_Track'!$I:$I},2,0), or(and(not(isblank($B589)),$B589=$B588,$A589&lt;&gt;$A588),and(not(isblank($A589)),$A589=$A588,$B589&lt;&gt;$B588)),"ID LISTS UNALIGNED",and($A589&lt;&gt;"",countif('5) Release_Track'!$F:$F,$A589)=0),"NO ISRC MATCH in Release_Track",and($B589&lt;&gt;"",countif('5) Release_Track'!$G:$G,$B589)=0),"NO CATALOG ID MATCH in Release_Track",iserror(vlookup($A589&amp;$B589,'5) Release_Track'!$F:$F&amp;'5) Release_Track'!$G:$G,1,0)),"NO ISRC-CATALOG ID pair MATCH in Release_Track" )</f>
        <v/>
      </c>
      <c r="E589" s="142" t="b">
        <v>0</v>
      </c>
      <c r="F589" s="142" t="b">
        <v>0</v>
      </c>
      <c r="G589" s="142" t="b">
        <v>0</v>
      </c>
      <c r="H589" s="142" t="b">
        <v>0</v>
      </c>
      <c r="I589" s="142" t="b">
        <v>0</v>
      </c>
      <c r="J589" s="142" t="b">
        <v>0</v>
      </c>
      <c r="K589" s="142" t="b">
        <v>0</v>
      </c>
      <c r="L589" s="8" t="b">
        <v>0</v>
      </c>
    </row>
    <row r="590">
      <c r="B590" s="103"/>
      <c r="C590" s="121" t="str">
        <f t="array" ref="C590">ifs(and(isblank($A590),isblank($B590)),"", not(iserror(vlookup($A590&amp;$B590,'5) Release_Track'!$F:$F&amp;'5) Release_Track'!$G:$G,1,0))),vlookup($A590&amp;$B590,{'5) Release_Track'!$F:$F&amp;'5) Release_Track'!$G:$G,'5) Release_Track'!$H:$H},2,0), or(and(not(isblank($B590)),$B590=$B589,$A590&lt;&gt;$A589),and(not(isblank($A590)),$A590=$A589,$B590&lt;&gt;$B589)),"ID LISTS UNALIGNED",and($A590&lt;&gt;"",countif('5) Release_Track'!$F:$F,$A590)=0),"NO ISRC MATCH in Release_Track",and($B590&lt;&gt;"",countif('5) Release_Track'!$G:$G,$B590)=0),"NO CATALOG ID MATCH in Release_Track",iserror(vlookup($A590&amp;$B590,'5) Release_Track'!$F:$F&amp;'5) Release_Track'!$G:$G,1,0)),"NO ISRC-CATALOG ID pair MATCH in Release_Track" )</f>
        <v/>
      </c>
      <c r="D590" s="121" t="str">
        <f t="array" ref="D590">ifs(and(isblank($A590),isblank($B590)),"", not(iserror(vlookup($A590&amp;$B590,'5) Release_Track'!$F:$F&amp;'5) Release_Track'!$G:$G,1,0))),vlookup($A590&amp;$B590,{'5) Release_Track'!$F:$F&amp;'5) Release_Track'!$G:$G,'5) Release_Track'!$I:$I},2,0), or(and(not(isblank($B590)),$B590=$B589,$A590&lt;&gt;$A589),and(not(isblank($A590)),$A590=$A589,$B590&lt;&gt;$B589)),"ID LISTS UNALIGNED",and($A590&lt;&gt;"",countif('5) Release_Track'!$F:$F,$A590)=0),"NO ISRC MATCH in Release_Track",and($B590&lt;&gt;"",countif('5) Release_Track'!$G:$G,$B590)=0),"NO CATALOG ID MATCH in Release_Track",iserror(vlookup($A590&amp;$B590,'5) Release_Track'!$F:$F&amp;'5) Release_Track'!$G:$G,1,0)),"NO ISRC-CATALOG ID pair MATCH in Release_Track" )</f>
        <v/>
      </c>
      <c r="E590" s="142" t="b">
        <v>0</v>
      </c>
      <c r="F590" s="142" t="b">
        <v>0</v>
      </c>
      <c r="G590" s="142" t="b">
        <v>0</v>
      </c>
      <c r="H590" s="142" t="b">
        <v>0</v>
      </c>
      <c r="I590" s="142" t="b">
        <v>0</v>
      </c>
      <c r="J590" s="142" t="b">
        <v>0</v>
      </c>
      <c r="K590" s="142" t="b">
        <v>0</v>
      </c>
      <c r="L590" s="8" t="b">
        <v>0</v>
      </c>
    </row>
    <row r="591">
      <c r="B591" s="103"/>
      <c r="C591" s="121" t="str">
        <f t="array" ref="C591">ifs(and(isblank($A591),isblank($B591)),"", not(iserror(vlookup($A591&amp;$B591,'5) Release_Track'!$F:$F&amp;'5) Release_Track'!$G:$G,1,0))),vlookup($A591&amp;$B591,{'5) Release_Track'!$F:$F&amp;'5) Release_Track'!$G:$G,'5) Release_Track'!$H:$H},2,0), or(and(not(isblank($B591)),$B591=$B590,$A591&lt;&gt;$A590),and(not(isblank($A591)),$A591=$A590,$B591&lt;&gt;$B590)),"ID LISTS UNALIGNED",and($A591&lt;&gt;"",countif('5) Release_Track'!$F:$F,$A591)=0),"NO ISRC MATCH in Release_Track",and($B591&lt;&gt;"",countif('5) Release_Track'!$G:$G,$B591)=0),"NO CATALOG ID MATCH in Release_Track",iserror(vlookup($A591&amp;$B591,'5) Release_Track'!$F:$F&amp;'5) Release_Track'!$G:$G,1,0)),"NO ISRC-CATALOG ID pair MATCH in Release_Track" )</f>
        <v/>
      </c>
      <c r="D591" s="121" t="str">
        <f t="array" ref="D591">ifs(and(isblank($A591),isblank($B591)),"", not(iserror(vlookup($A591&amp;$B591,'5) Release_Track'!$F:$F&amp;'5) Release_Track'!$G:$G,1,0))),vlookup($A591&amp;$B591,{'5) Release_Track'!$F:$F&amp;'5) Release_Track'!$G:$G,'5) Release_Track'!$I:$I},2,0), or(and(not(isblank($B591)),$B591=$B590,$A591&lt;&gt;$A590),and(not(isblank($A591)),$A591=$A590,$B591&lt;&gt;$B590)),"ID LISTS UNALIGNED",and($A591&lt;&gt;"",countif('5) Release_Track'!$F:$F,$A591)=0),"NO ISRC MATCH in Release_Track",and($B591&lt;&gt;"",countif('5) Release_Track'!$G:$G,$B591)=0),"NO CATALOG ID MATCH in Release_Track",iserror(vlookup($A591&amp;$B591,'5) Release_Track'!$F:$F&amp;'5) Release_Track'!$G:$G,1,0)),"NO ISRC-CATALOG ID pair MATCH in Release_Track" )</f>
        <v/>
      </c>
      <c r="E591" s="142" t="b">
        <v>0</v>
      </c>
      <c r="F591" s="142" t="b">
        <v>0</v>
      </c>
      <c r="G591" s="142" t="b">
        <v>0</v>
      </c>
      <c r="H591" s="142" t="b">
        <v>0</v>
      </c>
      <c r="I591" s="142" t="b">
        <v>0</v>
      </c>
      <c r="J591" s="142" t="b">
        <v>0</v>
      </c>
      <c r="K591" s="142" t="b">
        <v>0</v>
      </c>
      <c r="L591" s="8" t="b">
        <v>0</v>
      </c>
    </row>
    <row r="592">
      <c r="B592" s="103"/>
      <c r="C592" s="121" t="str">
        <f t="array" ref="C592">ifs(and(isblank($A592),isblank($B592)),"", not(iserror(vlookup($A592&amp;$B592,'5) Release_Track'!$F:$F&amp;'5) Release_Track'!$G:$G,1,0))),vlookup($A592&amp;$B592,{'5) Release_Track'!$F:$F&amp;'5) Release_Track'!$G:$G,'5) Release_Track'!$H:$H},2,0), or(and(not(isblank($B592)),$B592=$B591,$A592&lt;&gt;$A591),and(not(isblank($A592)),$A592=$A591,$B592&lt;&gt;$B591)),"ID LISTS UNALIGNED",and($A592&lt;&gt;"",countif('5) Release_Track'!$F:$F,$A592)=0),"NO ISRC MATCH in Release_Track",and($B592&lt;&gt;"",countif('5) Release_Track'!$G:$G,$B592)=0),"NO CATALOG ID MATCH in Release_Track",iserror(vlookup($A592&amp;$B592,'5) Release_Track'!$F:$F&amp;'5) Release_Track'!$G:$G,1,0)),"NO ISRC-CATALOG ID pair MATCH in Release_Track" )</f>
        <v/>
      </c>
      <c r="D592" s="121" t="str">
        <f t="array" ref="D592">ifs(and(isblank($A592),isblank($B592)),"", not(iserror(vlookup($A592&amp;$B592,'5) Release_Track'!$F:$F&amp;'5) Release_Track'!$G:$G,1,0))),vlookup($A592&amp;$B592,{'5) Release_Track'!$F:$F&amp;'5) Release_Track'!$G:$G,'5) Release_Track'!$I:$I},2,0), or(and(not(isblank($B592)),$B592=$B591,$A592&lt;&gt;$A591),and(not(isblank($A592)),$A592=$A591,$B592&lt;&gt;$B591)),"ID LISTS UNALIGNED",and($A592&lt;&gt;"",countif('5) Release_Track'!$F:$F,$A592)=0),"NO ISRC MATCH in Release_Track",and($B592&lt;&gt;"",countif('5) Release_Track'!$G:$G,$B592)=0),"NO CATALOG ID MATCH in Release_Track",iserror(vlookup($A592&amp;$B592,'5) Release_Track'!$F:$F&amp;'5) Release_Track'!$G:$G,1,0)),"NO ISRC-CATALOG ID pair MATCH in Release_Track" )</f>
        <v/>
      </c>
      <c r="E592" s="142" t="b">
        <v>0</v>
      </c>
      <c r="F592" s="142" t="b">
        <v>0</v>
      </c>
      <c r="G592" s="142" t="b">
        <v>0</v>
      </c>
      <c r="H592" s="142" t="b">
        <v>0</v>
      </c>
      <c r="I592" s="142" t="b">
        <v>0</v>
      </c>
      <c r="J592" s="142" t="b">
        <v>0</v>
      </c>
      <c r="K592" s="142" t="b">
        <v>0</v>
      </c>
      <c r="L592" s="8" t="b">
        <v>0</v>
      </c>
    </row>
    <row r="593">
      <c r="B593" s="103"/>
      <c r="C593" s="121" t="str">
        <f t="array" ref="C593">ifs(and(isblank($A593),isblank($B593)),"", not(iserror(vlookup($A593&amp;$B593,'5) Release_Track'!$F:$F&amp;'5) Release_Track'!$G:$G,1,0))),vlookup($A593&amp;$B593,{'5) Release_Track'!$F:$F&amp;'5) Release_Track'!$G:$G,'5) Release_Track'!$H:$H},2,0), or(and(not(isblank($B593)),$B593=$B592,$A593&lt;&gt;$A592),and(not(isblank($A593)),$A593=$A592,$B593&lt;&gt;$B592)),"ID LISTS UNALIGNED",and($A593&lt;&gt;"",countif('5) Release_Track'!$F:$F,$A593)=0),"NO ISRC MATCH in Release_Track",and($B593&lt;&gt;"",countif('5) Release_Track'!$G:$G,$B593)=0),"NO CATALOG ID MATCH in Release_Track",iserror(vlookup($A593&amp;$B593,'5) Release_Track'!$F:$F&amp;'5) Release_Track'!$G:$G,1,0)),"NO ISRC-CATALOG ID pair MATCH in Release_Track" )</f>
        <v/>
      </c>
      <c r="D593" s="121" t="str">
        <f t="array" ref="D593">ifs(and(isblank($A593),isblank($B593)),"", not(iserror(vlookup($A593&amp;$B593,'5) Release_Track'!$F:$F&amp;'5) Release_Track'!$G:$G,1,0))),vlookup($A593&amp;$B593,{'5) Release_Track'!$F:$F&amp;'5) Release_Track'!$G:$G,'5) Release_Track'!$I:$I},2,0), or(and(not(isblank($B593)),$B593=$B592,$A593&lt;&gt;$A592),and(not(isblank($A593)),$A593=$A592,$B593&lt;&gt;$B592)),"ID LISTS UNALIGNED",and($A593&lt;&gt;"",countif('5) Release_Track'!$F:$F,$A593)=0),"NO ISRC MATCH in Release_Track",and($B593&lt;&gt;"",countif('5) Release_Track'!$G:$G,$B593)=0),"NO CATALOG ID MATCH in Release_Track",iserror(vlookup($A593&amp;$B593,'5) Release_Track'!$F:$F&amp;'5) Release_Track'!$G:$G,1,0)),"NO ISRC-CATALOG ID pair MATCH in Release_Track" )</f>
        <v/>
      </c>
      <c r="E593" s="142" t="b">
        <v>0</v>
      </c>
      <c r="F593" s="142" t="b">
        <v>0</v>
      </c>
      <c r="G593" s="142" t="b">
        <v>0</v>
      </c>
      <c r="H593" s="142" t="b">
        <v>0</v>
      </c>
      <c r="I593" s="142" t="b">
        <v>0</v>
      </c>
      <c r="J593" s="142" t="b">
        <v>0</v>
      </c>
      <c r="K593" s="142" t="b">
        <v>0</v>
      </c>
      <c r="L593" s="8" t="b">
        <v>0</v>
      </c>
    </row>
    <row r="594">
      <c r="B594" s="103"/>
      <c r="C594" s="121" t="str">
        <f t="array" ref="C594">ifs(and(isblank($A594),isblank($B594)),"", not(iserror(vlookup($A594&amp;$B594,'5) Release_Track'!$F:$F&amp;'5) Release_Track'!$G:$G,1,0))),vlookup($A594&amp;$B594,{'5) Release_Track'!$F:$F&amp;'5) Release_Track'!$G:$G,'5) Release_Track'!$H:$H},2,0), or(and(not(isblank($B594)),$B594=$B593,$A594&lt;&gt;$A593),and(not(isblank($A594)),$A594=$A593,$B594&lt;&gt;$B593)),"ID LISTS UNALIGNED",and($A594&lt;&gt;"",countif('5) Release_Track'!$F:$F,$A594)=0),"NO ISRC MATCH in Release_Track",and($B594&lt;&gt;"",countif('5) Release_Track'!$G:$G,$B594)=0),"NO CATALOG ID MATCH in Release_Track",iserror(vlookup($A594&amp;$B594,'5) Release_Track'!$F:$F&amp;'5) Release_Track'!$G:$G,1,0)),"NO ISRC-CATALOG ID pair MATCH in Release_Track" )</f>
        <v/>
      </c>
      <c r="D594" s="121" t="str">
        <f t="array" ref="D594">ifs(and(isblank($A594),isblank($B594)),"", not(iserror(vlookup($A594&amp;$B594,'5) Release_Track'!$F:$F&amp;'5) Release_Track'!$G:$G,1,0))),vlookup($A594&amp;$B594,{'5) Release_Track'!$F:$F&amp;'5) Release_Track'!$G:$G,'5) Release_Track'!$I:$I},2,0), or(and(not(isblank($B594)),$B594=$B593,$A594&lt;&gt;$A593),and(not(isblank($A594)),$A594=$A593,$B594&lt;&gt;$B593)),"ID LISTS UNALIGNED",and($A594&lt;&gt;"",countif('5) Release_Track'!$F:$F,$A594)=0),"NO ISRC MATCH in Release_Track",and($B594&lt;&gt;"",countif('5) Release_Track'!$G:$G,$B594)=0),"NO CATALOG ID MATCH in Release_Track",iserror(vlookup($A594&amp;$B594,'5) Release_Track'!$F:$F&amp;'5) Release_Track'!$G:$G,1,0)),"NO ISRC-CATALOG ID pair MATCH in Release_Track" )</f>
        <v/>
      </c>
      <c r="E594" s="142" t="b">
        <v>0</v>
      </c>
      <c r="F594" s="142" t="b">
        <v>0</v>
      </c>
      <c r="G594" s="142" t="b">
        <v>0</v>
      </c>
      <c r="H594" s="142" t="b">
        <v>0</v>
      </c>
      <c r="I594" s="142" t="b">
        <v>0</v>
      </c>
      <c r="J594" s="142" t="b">
        <v>0</v>
      </c>
      <c r="K594" s="142" t="b">
        <v>0</v>
      </c>
      <c r="L594" s="8" t="b">
        <v>0</v>
      </c>
    </row>
    <row r="595">
      <c r="B595" s="103"/>
      <c r="C595" s="121" t="str">
        <f t="array" ref="C595">ifs(and(isblank($A595),isblank($B595)),"", not(iserror(vlookup($A595&amp;$B595,'5) Release_Track'!$F:$F&amp;'5) Release_Track'!$G:$G,1,0))),vlookup($A595&amp;$B595,{'5) Release_Track'!$F:$F&amp;'5) Release_Track'!$G:$G,'5) Release_Track'!$H:$H},2,0), or(and(not(isblank($B595)),$B595=$B594,$A595&lt;&gt;$A594),and(not(isblank($A595)),$A595=$A594,$B595&lt;&gt;$B594)),"ID LISTS UNALIGNED",and($A595&lt;&gt;"",countif('5) Release_Track'!$F:$F,$A595)=0),"NO ISRC MATCH in Release_Track",and($B595&lt;&gt;"",countif('5) Release_Track'!$G:$G,$B595)=0),"NO CATALOG ID MATCH in Release_Track",iserror(vlookup($A595&amp;$B595,'5) Release_Track'!$F:$F&amp;'5) Release_Track'!$G:$G,1,0)),"NO ISRC-CATALOG ID pair MATCH in Release_Track" )</f>
        <v/>
      </c>
      <c r="D595" s="121" t="str">
        <f t="array" ref="D595">ifs(and(isblank($A595),isblank($B595)),"", not(iserror(vlookup($A595&amp;$B595,'5) Release_Track'!$F:$F&amp;'5) Release_Track'!$G:$G,1,0))),vlookup($A595&amp;$B595,{'5) Release_Track'!$F:$F&amp;'5) Release_Track'!$G:$G,'5) Release_Track'!$I:$I},2,0), or(and(not(isblank($B595)),$B595=$B594,$A595&lt;&gt;$A594),and(not(isblank($A595)),$A595=$A594,$B595&lt;&gt;$B594)),"ID LISTS UNALIGNED",and($A595&lt;&gt;"",countif('5) Release_Track'!$F:$F,$A595)=0),"NO ISRC MATCH in Release_Track",and($B595&lt;&gt;"",countif('5) Release_Track'!$G:$G,$B595)=0),"NO CATALOG ID MATCH in Release_Track",iserror(vlookup($A595&amp;$B595,'5) Release_Track'!$F:$F&amp;'5) Release_Track'!$G:$G,1,0)),"NO ISRC-CATALOG ID pair MATCH in Release_Track" )</f>
        <v/>
      </c>
      <c r="E595" s="142" t="b">
        <v>0</v>
      </c>
      <c r="F595" s="142" t="b">
        <v>0</v>
      </c>
      <c r="G595" s="142" t="b">
        <v>0</v>
      </c>
      <c r="H595" s="142" t="b">
        <v>0</v>
      </c>
      <c r="I595" s="142" t="b">
        <v>0</v>
      </c>
      <c r="J595" s="142" t="b">
        <v>0</v>
      </c>
      <c r="K595" s="142" t="b">
        <v>0</v>
      </c>
      <c r="L595" s="8" t="b">
        <v>0</v>
      </c>
    </row>
    <row r="596">
      <c r="B596" s="103"/>
      <c r="C596" s="121" t="str">
        <f t="array" ref="C596">ifs(and(isblank($A596),isblank($B596)),"", not(iserror(vlookup($A596&amp;$B596,'5) Release_Track'!$F:$F&amp;'5) Release_Track'!$G:$G,1,0))),vlookup($A596&amp;$B596,{'5) Release_Track'!$F:$F&amp;'5) Release_Track'!$G:$G,'5) Release_Track'!$H:$H},2,0), or(and(not(isblank($B596)),$B596=$B595,$A596&lt;&gt;$A595),and(not(isblank($A596)),$A596=$A595,$B596&lt;&gt;$B595)),"ID LISTS UNALIGNED",and($A596&lt;&gt;"",countif('5) Release_Track'!$F:$F,$A596)=0),"NO ISRC MATCH in Release_Track",and($B596&lt;&gt;"",countif('5) Release_Track'!$G:$G,$B596)=0),"NO CATALOG ID MATCH in Release_Track",iserror(vlookup($A596&amp;$B596,'5) Release_Track'!$F:$F&amp;'5) Release_Track'!$G:$G,1,0)),"NO ISRC-CATALOG ID pair MATCH in Release_Track" )</f>
        <v/>
      </c>
      <c r="D596" s="121" t="str">
        <f t="array" ref="D596">ifs(and(isblank($A596),isblank($B596)),"", not(iserror(vlookup($A596&amp;$B596,'5) Release_Track'!$F:$F&amp;'5) Release_Track'!$G:$G,1,0))),vlookup($A596&amp;$B596,{'5) Release_Track'!$F:$F&amp;'5) Release_Track'!$G:$G,'5) Release_Track'!$I:$I},2,0), or(and(not(isblank($B596)),$B596=$B595,$A596&lt;&gt;$A595),and(not(isblank($A596)),$A596=$A595,$B596&lt;&gt;$B595)),"ID LISTS UNALIGNED",and($A596&lt;&gt;"",countif('5) Release_Track'!$F:$F,$A596)=0),"NO ISRC MATCH in Release_Track",and($B596&lt;&gt;"",countif('5) Release_Track'!$G:$G,$B596)=0),"NO CATALOG ID MATCH in Release_Track",iserror(vlookup($A596&amp;$B596,'5) Release_Track'!$F:$F&amp;'5) Release_Track'!$G:$G,1,0)),"NO ISRC-CATALOG ID pair MATCH in Release_Track" )</f>
        <v/>
      </c>
      <c r="E596" s="142" t="b">
        <v>0</v>
      </c>
      <c r="F596" s="142" t="b">
        <v>0</v>
      </c>
      <c r="G596" s="142" t="b">
        <v>0</v>
      </c>
      <c r="H596" s="142" t="b">
        <v>0</v>
      </c>
      <c r="I596" s="142" t="b">
        <v>0</v>
      </c>
      <c r="J596" s="142" t="b">
        <v>0</v>
      </c>
      <c r="K596" s="142" t="b">
        <v>0</v>
      </c>
      <c r="L596" s="8" t="b">
        <v>0</v>
      </c>
    </row>
    <row r="597">
      <c r="B597" s="103"/>
      <c r="C597" s="121" t="str">
        <f t="array" ref="C597">ifs(and(isblank($A597),isblank($B597)),"", not(iserror(vlookup($A597&amp;$B597,'5) Release_Track'!$F:$F&amp;'5) Release_Track'!$G:$G,1,0))),vlookup($A597&amp;$B597,{'5) Release_Track'!$F:$F&amp;'5) Release_Track'!$G:$G,'5) Release_Track'!$H:$H},2,0), or(and(not(isblank($B597)),$B597=$B596,$A597&lt;&gt;$A596),and(not(isblank($A597)),$A597=$A596,$B597&lt;&gt;$B596)),"ID LISTS UNALIGNED",and($A597&lt;&gt;"",countif('5) Release_Track'!$F:$F,$A597)=0),"NO ISRC MATCH in Release_Track",and($B597&lt;&gt;"",countif('5) Release_Track'!$G:$G,$B597)=0),"NO CATALOG ID MATCH in Release_Track",iserror(vlookup($A597&amp;$B597,'5) Release_Track'!$F:$F&amp;'5) Release_Track'!$G:$G,1,0)),"NO ISRC-CATALOG ID pair MATCH in Release_Track" )</f>
        <v/>
      </c>
      <c r="D597" s="121" t="str">
        <f t="array" ref="D597">ifs(and(isblank($A597),isblank($B597)),"", not(iserror(vlookup($A597&amp;$B597,'5) Release_Track'!$F:$F&amp;'5) Release_Track'!$G:$G,1,0))),vlookup($A597&amp;$B597,{'5) Release_Track'!$F:$F&amp;'5) Release_Track'!$G:$G,'5) Release_Track'!$I:$I},2,0), or(and(not(isblank($B597)),$B597=$B596,$A597&lt;&gt;$A596),and(not(isblank($A597)),$A597=$A596,$B597&lt;&gt;$B596)),"ID LISTS UNALIGNED",and($A597&lt;&gt;"",countif('5) Release_Track'!$F:$F,$A597)=0),"NO ISRC MATCH in Release_Track",and($B597&lt;&gt;"",countif('5) Release_Track'!$G:$G,$B597)=0),"NO CATALOG ID MATCH in Release_Track",iserror(vlookup($A597&amp;$B597,'5) Release_Track'!$F:$F&amp;'5) Release_Track'!$G:$G,1,0)),"NO ISRC-CATALOG ID pair MATCH in Release_Track" )</f>
        <v/>
      </c>
      <c r="E597" s="142" t="b">
        <v>0</v>
      </c>
      <c r="F597" s="142" t="b">
        <v>0</v>
      </c>
      <c r="G597" s="142" t="b">
        <v>0</v>
      </c>
      <c r="H597" s="142" t="b">
        <v>0</v>
      </c>
      <c r="I597" s="142" t="b">
        <v>0</v>
      </c>
      <c r="J597" s="142" t="b">
        <v>0</v>
      </c>
      <c r="K597" s="142" t="b">
        <v>0</v>
      </c>
      <c r="L597" s="8" t="b">
        <v>0</v>
      </c>
    </row>
    <row r="598">
      <c r="B598" s="103"/>
      <c r="C598" s="121" t="str">
        <f t="array" ref="C598">ifs(and(isblank($A598),isblank($B598)),"", not(iserror(vlookup($A598&amp;$B598,'5) Release_Track'!$F:$F&amp;'5) Release_Track'!$G:$G,1,0))),vlookup($A598&amp;$B598,{'5) Release_Track'!$F:$F&amp;'5) Release_Track'!$G:$G,'5) Release_Track'!$H:$H},2,0), or(and(not(isblank($B598)),$B598=$B597,$A598&lt;&gt;$A597),and(not(isblank($A598)),$A598=$A597,$B598&lt;&gt;$B597)),"ID LISTS UNALIGNED",and($A598&lt;&gt;"",countif('5) Release_Track'!$F:$F,$A598)=0),"NO ISRC MATCH in Release_Track",and($B598&lt;&gt;"",countif('5) Release_Track'!$G:$G,$B598)=0),"NO CATALOG ID MATCH in Release_Track",iserror(vlookup($A598&amp;$B598,'5) Release_Track'!$F:$F&amp;'5) Release_Track'!$G:$G,1,0)),"NO ISRC-CATALOG ID pair MATCH in Release_Track" )</f>
        <v/>
      </c>
      <c r="D598" s="121" t="str">
        <f t="array" ref="D598">ifs(and(isblank($A598),isblank($B598)),"", not(iserror(vlookup($A598&amp;$B598,'5) Release_Track'!$F:$F&amp;'5) Release_Track'!$G:$G,1,0))),vlookup($A598&amp;$B598,{'5) Release_Track'!$F:$F&amp;'5) Release_Track'!$G:$G,'5) Release_Track'!$I:$I},2,0), or(and(not(isblank($B598)),$B598=$B597,$A598&lt;&gt;$A597),and(not(isblank($A598)),$A598=$A597,$B598&lt;&gt;$B597)),"ID LISTS UNALIGNED",and($A598&lt;&gt;"",countif('5) Release_Track'!$F:$F,$A598)=0),"NO ISRC MATCH in Release_Track",and($B598&lt;&gt;"",countif('5) Release_Track'!$G:$G,$B598)=0),"NO CATALOG ID MATCH in Release_Track",iserror(vlookup($A598&amp;$B598,'5) Release_Track'!$F:$F&amp;'5) Release_Track'!$G:$G,1,0)),"NO ISRC-CATALOG ID pair MATCH in Release_Track" )</f>
        <v/>
      </c>
      <c r="E598" s="142" t="b">
        <v>0</v>
      </c>
      <c r="F598" s="142" t="b">
        <v>0</v>
      </c>
      <c r="G598" s="142" t="b">
        <v>0</v>
      </c>
      <c r="H598" s="142" t="b">
        <v>0</v>
      </c>
      <c r="I598" s="142" t="b">
        <v>0</v>
      </c>
      <c r="J598" s="142" t="b">
        <v>0</v>
      </c>
      <c r="K598" s="142" t="b">
        <v>0</v>
      </c>
      <c r="L598" s="8" t="b">
        <v>0</v>
      </c>
    </row>
    <row r="599">
      <c r="B599" s="103"/>
      <c r="C599" s="121" t="str">
        <f t="array" ref="C599">ifs(and(isblank($A599),isblank($B599)),"", not(iserror(vlookup($A599&amp;$B599,'5) Release_Track'!$F:$F&amp;'5) Release_Track'!$G:$G,1,0))),vlookup($A599&amp;$B599,{'5) Release_Track'!$F:$F&amp;'5) Release_Track'!$G:$G,'5) Release_Track'!$H:$H},2,0), or(and(not(isblank($B599)),$B599=$B598,$A599&lt;&gt;$A598),and(not(isblank($A599)),$A599=$A598,$B599&lt;&gt;$B598)),"ID LISTS UNALIGNED",and($A599&lt;&gt;"",countif('5) Release_Track'!$F:$F,$A599)=0),"NO ISRC MATCH in Release_Track",and($B599&lt;&gt;"",countif('5) Release_Track'!$G:$G,$B599)=0),"NO CATALOG ID MATCH in Release_Track",iserror(vlookup($A599&amp;$B599,'5) Release_Track'!$F:$F&amp;'5) Release_Track'!$G:$G,1,0)),"NO ISRC-CATALOG ID pair MATCH in Release_Track" )</f>
        <v/>
      </c>
      <c r="D599" s="121" t="str">
        <f t="array" ref="D599">ifs(and(isblank($A599),isblank($B599)),"", not(iserror(vlookup($A599&amp;$B599,'5) Release_Track'!$F:$F&amp;'5) Release_Track'!$G:$G,1,0))),vlookup($A599&amp;$B599,{'5) Release_Track'!$F:$F&amp;'5) Release_Track'!$G:$G,'5) Release_Track'!$I:$I},2,0), or(and(not(isblank($B599)),$B599=$B598,$A599&lt;&gt;$A598),and(not(isblank($A599)),$A599=$A598,$B599&lt;&gt;$B598)),"ID LISTS UNALIGNED",and($A599&lt;&gt;"",countif('5) Release_Track'!$F:$F,$A599)=0),"NO ISRC MATCH in Release_Track",and($B599&lt;&gt;"",countif('5) Release_Track'!$G:$G,$B599)=0),"NO CATALOG ID MATCH in Release_Track",iserror(vlookup($A599&amp;$B599,'5) Release_Track'!$F:$F&amp;'5) Release_Track'!$G:$G,1,0)),"NO ISRC-CATALOG ID pair MATCH in Release_Track" )</f>
        <v/>
      </c>
      <c r="E599" s="142" t="b">
        <v>0</v>
      </c>
      <c r="F599" s="142" t="b">
        <v>0</v>
      </c>
      <c r="G599" s="142" t="b">
        <v>0</v>
      </c>
      <c r="H599" s="142" t="b">
        <v>0</v>
      </c>
      <c r="I599" s="142" t="b">
        <v>0</v>
      </c>
      <c r="J599" s="142" t="b">
        <v>0</v>
      </c>
      <c r="K599" s="142" t="b">
        <v>0</v>
      </c>
      <c r="L599" s="8" t="b">
        <v>0</v>
      </c>
    </row>
    <row r="600">
      <c r="B600" s="103"/>
      <c r="C600" s="121" t="str">
        <f t="array" ref="C600">ifs(and(isblank($A600),isblank($B600)),"", not(iserror(vlookup($A600&amp;$B600,'5) Release_Track'!$F:$F&amp;'5) Release_Track'!$G:$G,1,0))),vlookup($A600&amp;$B600,{'5) Release_Track'!$F:$F&amp;'5) Release_Track'!$G:$G,'5) Release_Track'!$H:$H},2,0), or(and(not(isblank($B600)),$B600=$B599,$A600&lt;&gt;$A599),and(not(isblank($A600)),$A600=$A599,$B600&lt;&gt;$B599)),"ID LISTS UNALIGNED",and($A600&lt;&gt;"",countif('5) Release_Track'!$F:$F,$A600)=0),"NO ISRC MATCH in Release_Track",and($B600&lt;&gt;"",countif('5) Release_Track'!$G:$G,$B600)=0),"NO CATALOG ID MATCH in Release_Track",iserror(vlookup($A600&amp;$B600,'5) Release_Track'!$F:$F&amp;'5) Release_Track'!$G:$G,1,0)),"NO ISRC-CATALOG ID pair MATCH in Release_Track" )</f>
        <v/>
      </c>
      <c r="D600" s="121" t="str">
        <f t="array" ref="D600">ifs(and(isblank($A600),isblank($B600)),"", not(iserror(vlookup($A600&amp;$B600,'5) Release_Track'!$F:$F&amp;'5) Release_Track'!$G:$G,1,0))),vlookup($A600&amp;$B600,{'5) Release_Track'!$F:$F&amp;'5) Release_Track'!$G:$G,'5) Release_Track'!$I:$I},2,0), or(and(not(isblank($B600)),$B600=$B599,$A600&lt;&gt;$A599),and(not(isblank($A600)),$A600=$A599,$B600&lt;&gt;$B599)),"ID LISTS UNALIGNED",and($A600&lt;&gt;"",countif('5) Release_Track'!$F:$F,$A600)=0),"NO ISRC MATCH in Release_Track",and($B600&lt;&gt;"",countif('5) Release_Track'!$G:$G,$B600)=0),"NO CATALOG ID MATCH in Release_Track",iserror(vlookup($A600&amp;$B600,'5) Release_Track'!$F:$F&amp;'5) Release_Track'!$G:$G,1,0)),"NO ISRC-CATALOG ID pair MATCH in Release_Track" )</f>
        <v/>
      </c>
      <c r="E600" s="142" t="b">
        <v>0</v>
      </c>
      <c r="F600" s="142" t="b">
        <v>0</v>
      </c>
      <c r="G600" s="142" t="b">
        <v>0</v>
      </c>
      <c r="H600" s="142" t="b">
        <v>0</v>
      </c>
      <c r="I600" s="142" t="b">
        <v>0</v>
      </c>
      <c r="J600" s="142" t="b">
        <v>0</v>
      </c>
      <c r="K600" s="142" t="b">
        <v>0</v>
      </c>
      <c r="L600" s="8" t="b">
        <v>0</v>
      </c>
    </row>
    <row r="601">
      <c r="B601" s="103"/>
      <c r="C601" s="121" t="str">
        <f t="array" ref="C601">ifs(and(isblank($A601),isblank($B601)),"", not(iserror(vlookup($A601&amp;$B601,'5) Release_Track'!$F:$F&amp;'5) Release_Track'!$G:$G,1,0))),vlookup($A601&amp;$B601,{'5) Release_Track'!$F:$F&amp;'5) Release_Track'!$G:$G,'5) Release_Track'!$H:$H},2,0), or(and(not(isblank($B601)),$B601=$B600,$A601&lt;&gt;$A600),and(not(isblank($A601)),$A601=$A600,$B601&lt;&gt;$B600)),"ID LISTS UNALIGNED",and($A601&lt;&gt;"",countif('5) Release_Track'!$F:$F,$A601)=0),"NO ISRC MATCH in Release_Track",and($B601&lt;&gt;"",countif('5) Release_Track'!$G:$G,$B601)=0),"NO CATALOG ID MATCH in Release_Track",iserror(vlookup($A601&amp;$B601,'5) Release_Track'!$F:$F&amp;'5) Release_Track'!$G:$G,1,0)),"NO ISRC-CATALOG ID pair MATCH in Release_Track" )</f>
        <v/>
      </c>
      <c r="D601" s="121" t="str">
        <f t="array" ref="D601">ifs(and(isblank($A601),isblank($B601)),"", not(iserror(vlookup($A601&amp;$B601,'5) Release_Track'!$F:$F&amp;'5) Release_Track'!$G:$G,1,0))),vlookup($A601&amp;$B601,{'5) Release_Track'!$F:$F&amp;'5) Release_Track'!$G:$G,'5) Release_Track'!$I:$I},2,0), or(and(not(isblank($B601)),$B601=$B600,$A601&lt;&gt;$A600),and(not(isblank($A601)),$A601=$A600,$B601&lt;&gt;$B600)),"ID LISTS UNALIGNED",and($A601&lt;&gt;"",countif('5) Release_Track'!$F:$F,$A601)=0),"NO ISRC MATCH in Release_Track",and($B601&lt;&gt;"",countif('5) Release_Track'!$G:$G,$B601)=0),"NO CATALOG ID MATCH in Release_Track",iserror(vlookup($A601&amp;$B601,'5) Release_Track'!$F:$F&amp;'5) Release_Track'!$G:$G,1,0)),"NO ISRC-CATALOG ID pair MATCH in Release_Track" )</f>
        <v/>
      </c>
      <c r="E601" s="142" t="b">
        <v>0</v>
      </c>
      <c r="F601" s="142" t="b">
        <v>0</v>
      </c>
      <c r="G601" s="142" t="b">
        <v>0</v>
      </c>
      <c r="H601" s="142" t="b">
        <v>0</v>
      </c>
      <c r="I601" s="142" t="b">
        <v>0</v>
      </c>
      <c r="J601" s="142" t="b">
        <v>0</v>
      </c>
      <c r="K601" s="142" t="b">
        <v>0</v>
      </c>
      <c r="L601" s="8" t="b">
        <v>0</v>
      </c>
    </row>
    <row r="602">
      <c r="B602" s="103"/>
      <c r="C602" s="121" t="str">
        <f t="array" ref="C602">ifs(and(isblank($A602),isblank($B602)),"", not(iserror(vlookup($A602&amp;$B602,'5) Release_Track'!$F:$F&amp;'5) Release_Track'!$G:$G,1,0))),vlookup($A602&amp;$B602,{'5) Release_Track'!$F:$F&amp;'5) Release_Track'!$G:$G,'5) Release_Track'!$H:$H},2,0), or(and(not(isblank($B602)),$B602=$B601,$A602&lt;&gt;$A601),and(not(isblank($A602)),$A602=$A601,$B602&lt;&gt;$B601)),"ID LISTS UNALIGNED",and($A602&lt;&gt;"",countif('5) Release_Track'!$F:$F,$A602)=0),"NO ISRC MATCH in Release_Track",and($B602&lt;&gt;"",countif('5) Release_Track'!$G:$G,$B602)=0),"NO CATALOG ID MATCH in Release_Track",iserror(vlookup($A602&amp;$B602,'5) Release_Track'!$F:$F&amp;'5) Release_Track'!$G:$G,1,0)),"NO ISRC-CATALOG ID pair MATCH in Release_Track" )</f>
        <v/>
      </c>
      <c r="D602" s="121" t="str">
        <f t="array" ref="D602">ifs(and(isblank($A602),isblank($B602)),"", not(iserror(vlookup($A602&amp;$B602,'5) Release_Track'!$F:$F&amp;'5) Release_Track'!$G:$G,1,0))),vlookup($A602&amp;$B602,{'5) Release_Track'!$F:$F&amp;'5) Release_Track'!$G:$G,'5) Release_Track'!$I:$I},2,0), or(and(not(isblank($B602)),$B602=$B601,$A602&lt;&gt;$A601),and(not(isblank($A602)),$A602=$A601,$B602&lt;&gt;$B601)),"ID LISTS UNALIGNED",and($A602&lt;&gt;"",countif('5) Release_Track'!$F:$F,$A602)=0),"NO ISRC MATCH in Release_Track",and($B602&lt;&gt;"",countif('5) Release_Track'!$G:$G,$B602)=0),"NO CATALOG ID MATCH in Release_Track",iserror(vlookup($A602&amp;$B602,'5) Release_Track'!$F:$F&amp;'5) Release_Track'!$G:$G,1,0)),"NO ISRC-CATALOG ID pair MATCH in Release_Track" )</f>
        <v/>
      </c>
      <c r="E602" s="142" t="b">
        <v>0</v>
      </c>
      <c r="F602" s="142" t="b">
        <v>0</v>
      </c>
      <c r="G602" s="142" t="b">
        <v>0</v>
      </c>
      <c r="H602" s="142" t="b">
        <v>0</v>
      </c>
      <c r="I602" s="142" t="b">
        <v>0</v>
      </c>
      <c r="J602" s="142" t="b">
        <v>0</v>
      </c>
      <c r="K602" s="142" t="b">
        <v>0</v>
      </c>
      <c r="L602" s="8" t="b">
        <v>0</v>
      </c>
    </row>
    <row r="603">
      <c r="B603" s="103"/>
      <c r="C603" s="121" t="str">
        <f t="array" ref="C603">ifs(and(isblank($A603),isblank($B603)),"", not(iserror(vlookup($A603&amp;$B603,'5) Release_Track'!$F:$F&amp;'5) Release_Track'!$G:$G,1,0))),vlookup($A603&amp;$B603,{'5) Release_Track'!$F:$F&amp;'5) Release_Track'!$G:$G,'5) Release_Track'!$H:$H},2,0), or(and(not(isblank($B603)),$B603=$B602,$A603&lt;&gt;$A602),and(not(isblank($A603)),$A603=$A602,$B603&lt;&gt;$B602)),"ID LISTS UNALIGNED",and($A603&lt;&gt;"",countif('5) Release_Track'!$F:$F,$A603)=0),"NO ISRC MATCH in Release_Track",and($B603&lt;&gt;"",countif('5) Release_Track'!$G:$G,$B603)=0),"NO CATALOG ID MATCH in Release_Track",iserror(vlookup($A603&amp;$B603,'5) Release_Track'!$F:$F&amp;'5) Release_Track'!$G:$G,1,0)),"NO ISRC-CATALOG ID pair MATCH in Release_Track" )</f>
        <v/>
      </c>
      <c r="D603" s="121" t="str">
        <f t="array" ref="D603">ifs(and(isblank($A603),isblank($B603)),"", not(iserror(vlookup($A603&amp;$B603,'5) Release_Track'!$F:$F&amp;'5) Release_Track'!$G:$G,1,0))),vlookup($A603&amp;$B603,{'5) Release_Track'!$F:$F&amp;'5) Release_Track'!$G:$G,'5) Release_Track'!$I:$I},2,0), or(and(not(isblank($B603)),$B603=$B602,$A603&lt;&gt;$A602),and(not(isblank($A603)),$A603=$A602,$B603&lt;&gt;$B602)),"ID LISTS UNALIGNED",and($A603&lt;&gt;"",countif('5) Release_Track'!$F:$F,$A603)=0),"NO ISRC MATCH in Release_Track",and($B603&lt;&gt;"",countif('5) Release_Track'!$G:$G,$B603)=0),"NO CATALOG ID MATCH in Release_Track",iserror(vlookup($A603&amp;$B603,'5) Release_Track'!$F:$F&amp;'5) Release_Track'!$G:$G,1,0)),"NO ISRC-CATALOG ID pair MATCH in Release_Track" )</f>
        <v/>
      </c>
      <c r="E603" s="142" t="b">
        <v>0</v>
      </c>
      <c r="F603" s="142" t="b">
        <v>0</v>
      </c>
      <c r="G603" s="142" t="b">
        <v>0</v>
      </c>
      <c r="H603" s="142" t="b">
        <v>0</v>
      </c>
      <c r="I603" s="142" t="b">
        <v>0</v>
      </c>
      <c r="J603" s="142" t="b">
        <v>0</v>
      </c>
      <c r="K603" s="142" t="b">
        <v>0</v>
      </c>
      <c r="L603" s="8" t="b">
        <v>0</v>
      </c>
    </row>
    <row r="604">
      <c r="B604" s="103"/>
      <c r="C604" s="121" t="str">
        <f t="array" ref="C604">ifs(and(isblank($A604),isblank($B604)),"", not(iserror(vlookup($A604&amp;$B604,'5) Release_Track'!$F:$F&amp;'5) Release_Track'!$G:$G,1,0))),vlookup($A604&amp;$B604,{'5) Release_Track'!$F:$F&amp;'5) Release_Track'!$G:$G,'5) Release_Track'!$H:$H},2,0), or(and(not(isblank($B604)),$B604=$B603,$A604&lt;&gt;$A603),and(not(isblank($A604)),$A604=$A603,$B604&lt;&gt;$B603)),"ID LISTS UNALIGNED",and($A604&lt;&gt;"",countif('5) Release_Track'!$F:$F,$A604)=0),"NO ISRC MATCH in Release_Track",and($B604&lt;&gt;"",countif('5) Release_Track'!$G:$G,$B604)=0),"NO CATALOG ID MATCH in Release_Track",iserror(vlookup($A604&amp;$B604,'5) Release_Track'!$F:$F&amp;'5) Release_Track'!$G:$G,1,0)),"NO ISRC-CATALOG ID pair MATCH in Release_Track" )</f>
        <v/>
      </c>
      <c r="D604" s="121" t="str">
        <f t="array" ref="D604">ifs(and(isblank($A604),isblank($B604)),"", not(iserror(vlookup($A604&amp;$B604,'5) Release_Track'!$F:$F&amp;'5) Release_Track'!$G:$G,1,0))),vlookup($A604&amp;$B604,{'5) Release_Track'!$F:$F&amp;'5) Release_Track'!$G:$G,'5) Release_Track'!$I:$I},2,0), or(and(not(isblank($B604)),$B604=$B603,$A604&lt;&gt;$A603),and(not(isblank($A604)),$A604=$A603,$B604&lt;&gt;$B603)),"ID LISTS UNALIGNED",and($A604&lt;&gt;"",countif('5) Release_Track'!$F:$F,$A604)=0),"NO ISRC MATCH in Release_Track",and($B604&lt;&gt;"",countif('5) Release_Track'!$G:$G,$B604)=0),"NO CATALOG ID MATCH in Release_Track",iserror(vlookup($A604&amp;$B604,'5) Release_Track'!$F:$F&amp;'5) Release_Track'!$G:$G,1,0)),"NO ISRC-CATALOG ID pair MATCH in Release_Track" )</f>
        <v/>
      </c>
      <c r="E604" s="142" t="b">
        <v>0</v>
      </c>
      <c r="F604" s="142" t="b">
        <v>0</v>
      </c>
      <c r="G604" s="142" t="b">
        <v>0</v>
      </c>
      <c r="H604" s="142" t="b">
        <v>0</v>
      </c>
      <c r="I604" s="142" t="b">
        <v>0</v>
      </c>
      <c r="J604" s="142" t="b">
        <v>0</v>
      </c>
      <c r="K604" s="142" t="b">
        <v>0</v>
      </c>
      <c r="L604" s="8" t="b">
        <v>0</v>
      </c>
    </row>
    <row r="605">
      <c r="B605" s="103"/>
      <c r="C605" s="121" t="str">
        <f t="array" ref="C605">ifs(and(isblank($A605),isblank($B605)),"", not(iserror(vlookup($A605&amp;$B605,'5) Release_Track'!$F:$F&amp;'5) Release_Track'!$G:$G,1,0))),vlookup($A605&amp;$B605,{'5) Release_Track'!$F:$F&amp;'5) Release_Track'!$G:$G,'5) Release_Track'!$H:$H},2,0), or(and(not(isblank($B605)),$B605=$B604,$A605&lt;&gt;$A604),and(not(isblank($A605)),$A605=$A604,$B605&lt;&gt;$B604)),"ID LISTS UNALIGNED",and($A605&lt;&gt;"",countif('5) Release_Track'!$F:$F,$A605)=0),"NO ISRC MATCH in Release_Track",and($B605&lt;&gt;"",countif('5) Release_Track'!$G:$G,$B605)=0),"NO CATALOG ID MATCH in Release_Track",iserror(vlookup($A605&amp;$B605,'5) Release_Track'!$F:$F&amp;'5) Release_Track'!$G:$G,1,0)),"NO ISRC-CATALOG ID pair MATCH in Release_Track" )</f>
        <v/>
      </c>
      <c r="D605" s="121" t="str">
        <f t="array" ref="D605">ifs(and(isblank($A605),isblank($B605)),"", not(iserror(vlookup($A605&amp;$B605,'5) Release_Track'!$F:$F&amp;'5) Release_Track'!$G:$G,1,0))),vlookup($A605&amp;$B605,{'5) Release_Track'!$F:$F&amp;'5) Release_Track'!$G:$G,'5) Release_Track'!$I:$I},2,0), or(and(not(isblank($B605)),$B605=$B604,$A605&lt;&gt;$A604),and(not(isblank($A605)),$A605=$A604,$B605&lt;&gt;$B604)),"ID LISTS UNALIGNED",and($A605&lt;&gt;"",countif('5) Release_Track'!$F:$F,$A605)=0),"NO ISRC MATCH in Release_Track",and($B605&lt;&gt;"",countif('5) Release_Track'!$G:$G,$B605)=0),"NO CATALOG ID MATCH in Release_Track",iserror(vlookup($A605&amp;$B605,'5) Release_Track'!$F:$F&amp;'5) Release_Track'!$G:$G,1,0)),"NO ISRC-CATALOG ID pair MATCH in Release_Track" )</f>
        <v/>
      </c>
      <c r="E605" s="142" t="b">
        <v>0</v>
      </c>
      <c r="F605" s="142" t="b">
        <v>0</v>
      </c>
      <c r="G605" s="142" t="b">
        <v>0</v>
      </c>
      <c r="H605" s="142" t="b">
        <v>0</v>
      </c>
      <c r="I605" s="142" t="b">
        <v>0</v>
      </c>
      <c r="J605" s="142" t="b">
        <v>0</v>
      </c>
      <c r="K605" s="142" t="b">
        <v>0</v>
      </c>
      <c r="L605" s="8" t="b">
        <v>0</v>
      </c>
    </row>
    <row r="606">
      <c r="B606" s="103"/>
      <c r="C606" s="121" t="str">
        <f t="array" ref="C606">ifs(and(isblank($A606),isblank($B606)),"", not(iserror(vlookup($A606&amp;$B606,'5) Release_Track'!$F:$F&amp;'5) Release_Track'!$G:$G,1,0))),vlookup($A606&amp;$B606,{'5) Release_Track'!$F:$F&amp;'5) Release_Track'!$G:$G,'5) Release_Track'!$H:$H},2,0), or(and(not(isblank($B606)),$B606=$B605,$A606&lt;&gt;$A605),and(not(isblank($A606)),$A606=$A605,$B606&lt;&gt;$B605)),"ID LISTS UNALIGNED",and($A606&lt;&gt;"",countif('5) Release_Track'!$F:$F,$A606)=0),"NO ISRC MATCH in Release_Track",and($B606&lt;&gt;"",countif('5) Release_Track'!$G:$G,$B606)=0),"NO CATALOG ID MATCH in Release_Track",iserror(vlookup($A606&amp;$B606,'5) Release_Track'!$F:$F&amp;'5) Release_Track'!$G:$G,1,0)),"NO ISRC-CATALOG ID pair MATCH in Release_Track" )</f>
        <v/>
      </c>
      <c r="D606" s="121" t="str">
        <f t="array" ref="D606">ifs(and(isblank($A606),isblank($B606)),"", not(iserror(vlookup($A606&amp;$B606,'5) Release_Track'!$F:$F&amp;'5) Release_Track'!$G:$G,1,0))),vlookup($A606&amp;$B606,{'5) Release_Track'!$F:$F&amp;'5) Release_Track'!$G:$G,'5) Release_Track'!$I:$I},2,0), or(and(not(isblank($B606)),$B606=$B605,$A606&lt;&gt;$A605),and(not(isblank($A606)),$A606=$A605,$B606&lt;&gt;$B605)),"ID LISTS UNALIGNED",and($A606&lt;&gt;"",countif('5) Release_Track'!$F:$F,$A606)=0),"NO ISRC MATCH in Release_Track",and($B606&lt;&gt;"",countif('5) Release_Track'!$G:$G,$B606)=0),"NO CATALOG ID MATCH in Release_Track",iserror(vlookup($A606&amp;$B606,'5) Release_Track'!$F:$F&amp;'5) Release_Track'!$G:$G,1,0)),"NO ISRC-CATALOG ID pair MATCH in Release_Track" )</f>
        <v/>
      </c>
      <c r="E606" s="142" t="b">
        <v>0</v>
      </c>
      <c r="F606" s="142" t="b">
        <v>0</v>
      </c>
      <c r="G606" s="142" t="b">
        <v>0</v>
      </c>
      <c r="H606" s="142" t="b">
        <v>0</v>
      </c>
      <c r="I606" s="142" t="b">
        <v>0</v>
      </c>
      <c r="J606" s="142" t="b">
        <v>0</v>
      </c>
      <c r="K606" s="142" t="b">
        <v>0</v>
      </c>
      <c r="L606" s="8" t="b">
        <v>0</v>
      </c>
    </row>
    <row r="607">
      <c r="B607" s="103"/>
      <c r="C607" s="121" t="str">
        <f t="array" ref="C607">ifs(and(isblank($A607),isblank($B607)),"", not(iserror(vlookup($A607&amp;$B607,'5) Release_Track'!$F:$F&amp;'5) Release_Track'!$G:$G,1,0))),vlookup($A607&amp;$B607,{'5) Release_Track'!$F:$F&amp;'5) Release_Track'!$G:$G,'5) Release_Track'!$H:$H},2,0), or(and(not(isblank($B607)),$B607=$B606,$A607&lt;&gt;$A606),and(not(isblank($A607)),$A607=$A606,$B607&lt;&gt;$B606)),"ID LISTS UNALIGNED",and($A607&lt;&gt;"",countif('5) Release_Track'!$F:$F,$A607)=0),"NO ISRC MATCH in Release_Track",and($B607&lt;&gt;"",countif('5) Release_Track'!$G:$G,$B607)=0),"NO CATALOG ID MATCH in Release_Track",iserror(vlookup($A607&amp;$B607,'5) Release_Track'!$F:$F&amp;'5) Release_Track'!$G:$G,1,0)),"NO ISRC-CATALOG ID pair MATCH in Release_Track" )</f>
        <v/>
      </c>
      <c r="D607" s="121" t="str">
        <f t="array" ref="D607">ifs(and(isblank($A607),isblank($B607)),"", not(iserror(vlookup($A607&amp;$B607,'5) Release_Track'!$F:$F&amp;'5) Release_Track'!$G:$G,1,0))),vlookup($A607&amp;$B607,{'5) Release_Track'!$F:$F&amp;'5) Release_Track'!$G:$G,'5) Release_Track'!$I:$I},2,0), or(and(not(isblank($B607)),$B607=$B606,$A607&lt;&gt;$A606),and(not(isblank($A607)),$A607=$A606,$B607&lt;&gt;$B606)),"ID LISTS UNALIGNED",and($A607&lt;&gt;"",countif('5) Release_Track'!$F:$F,$A607)=0),"NO ISRC MATCH in Release_Track",and($B607&lt;&gt;"",countif('5) Release_Track'!$G:$G,$B607)=0),"NO CATALOG ID MATCH in Release_Track",iserror(vlookup($A607&amp;$B607,'5) Release_Track'!$F:$F&amp;'5) Release_Track'!$G:$G,1,0)),"NO ISRC-CATALOG ID pair MATCH in Release_Track" )</f>
        <v/>
      </c>
      <c r="E607" s="142" t="b">
        <v>0</v>
      </c>
      <c r="F607" s="142" t="b">
        <v>0</v>
      </c>
      <c r="G607" s="142" t="b">
        <v>0</v>
      </c>
      <c r="H607" s="142" t="b">
        <v>0</v>
      </c>
      <c r="I607" s="142" t="b">
        <v>0</v>
      </c>
      <c r="J607" s="142" t="b">
        <v>0</v>
      </c>
      <c r="K607" s="142" t="b">
        <v>0</v>
      </c>
      <c r="L607" s="8" t="b">
        <v>0</v>
      </c>
    </row>
    <row r="608">
      <c r="B608" s="103"/>
      <c r="C608" s="121" t="str">
        <f t="array" ref="C608">ifs(and(isblank($A608),isblank($B608)),"", not(iserror(vlookup($A608&amp;$B608,'5) Release_Track'!$F:$F&amp;'5) Release_Track'!$G:$G,1,0))),vlookup($A608&amp;$B608,{'5) Release_Track'!$F:$F&amp;'5) Release_Track'!$G:$G,'5) Release_Track'!$H:$H},2,0), or(and(not(isblank($B608)),$B608=$B607,$A608&lt;&gt;$A607),and(not(isblank($A608)),$A608=$A607,$B608&lt;&gt;$B607)),"ID LISTS UNALIGNED",and($A608&lt;&gt;"",countif('5) Release_Track'!$F:$F,$A608)=0),"NO ISRC MATCH in Release_Track",and($B608&lt;&gt;"",countif('5) Release_Track'!$G:$G,$B608)=0),"NO CATALOG ID MATCH in Release_Track",iserror(vlookup($A608&amp;$B608,'5) Release_Track'!$F:$F&amp;'5) Release_Track'!$G:$G,1,0)),"NO ISRC-CATALOG ID pair MATCH in Release_Track" )</f>
        <v/>
      </c>
      <c r="D608" s="121" t="str">
        <f t="array" ref="D608">ifs(and(isblank($A608),isblank($B608)),"", not(iserror(vlookup($A608&amp;$B608,'5) Release_Track'!$F:$F&amp;'5) Release_Track'!$G:$G,1,0))),vlookup($A608&amp;$B608,{'5) Release_Track'!$F:$F&amp;'5) Release_Track'!$G:$G,'5) Release_Track'!$I:$I},2,0), or(and(not(isblank($B608)),$B608=$B607,$A608&lt;&gt;$A607),and(not(isblank($A608)),$A608=$A607,$B608&lt;&gt;$B607)),"ID LISTS UNALIGNED",and($A608&lt;&gt;"",countif('5) Release_Track'!$F:$F,$A608)=0),"NO ISRC MATCH in Release_Track",and($B608&lt;&gt;"",countif('5) Release_Track'!$G:$G,$B608)=0),"NO CATALOG ID MATCH in Release_Track",iserror(vlookup($A608&amp;$B608,'5) Release_Track'!$F:$F&amp;'5) Release_Track'!$G:$G,1,0)),"NO ISRC-CATALOG ID pair MATCH in Release_Track" )</f>
        <v/>
      </c>
      <c r="E608" s="142" t="b">
        <v>0</v>
      </c>
      <c r="F608" s="142" t="b">
        <v>0</v>
      </c>
      <c r="G608" s="142" t="b">
        <v>0</v>
      </c>
      <c r="H608" s="142" t="b">
        <v>0</v>
      </c>
      <c r="I608" s="142" t="b">
        <v>0</v>
      </c>
      <c r="J608" s="142" t="b">
        <v>0</v>
      </c>
      <c r="K608" s="142" t="b">
        <v>0</v>
      </c>
      <c r="L608" s="8" t="b">
        <v>0</v>
      </c>
    </row>
    <row r="609">
      <c r="B609" s="103"/>
      <c r="C609" s="121" t="str">
        <f t="array" ref="C609">ifs(and(isblank($A609),isblank($B609)),"", not(iserror(vlookup($A609&amp;$B609,'5) Release_Track'!$F:$F&amp;'5) Release_Track'!$G:$G,1,0))),vlookup($A609&amp;$B609,{'5) Release_Track'!$F:$F&amp;'5) Release_Track'!$G:$G,'5) Release_Track'!$H:$H},2,0), or(and(not(isblank($B609)),$B609=$B608,$A609&lt;&gt;$A608),and(not(isblank($A609)),$A609=$A608,$B609&lt;&gt;$B608)),"ID LISTS UNALIGNED",and($A609&lt;&gt;"",countif('5) Release_Track'!$F:$F,$A609)=0),"NO ISRC MATCH in Release_Track",and($B609&lt;&gt;"",countif('5) Release_Track'!$G:$G,$B609)=0),"NO CATALOG ID MATCH in Release_Track",iserror(vlookup($A609&amp;$B609,'5) Release_Track'!$F:$F&amp;'5) Release_Track'!$G:$G,1,0)),"NO ISRC-CATALOG ID pair MATCH in Release_Track" )</f>
        <v/>
      </c>
      <c r="D609" s="121" t="str">
        <f t="array" ref="D609">ifs(and(isblank($A609),isblank($B609)),"", not(iserror(vlookup($A609&amp;$B609,'5) Release_Track'!$F:$F&amp;'5) Release_Track'!$G:$G,1,0))),vlookup($A609&amp;$B609,{'5) Release_Track'!$F:$F&amp;'5) Release_Track'!$G:$G,'5) Release_Track'!$I:$I},2,0), or(and(not(isblank($B609)),$B609=$B608,$A609&lt;&gt;$A608),and(not(isblank($A609)),$A609=$A608,$B609&lt;&gt;$B608)),"ID LISTS UNALIGNED",and($A609&lt;&gt;"",countif('5) Release_Track'!$F:$F,$A609)=0),"NO ISRC MATCH in Release_Track",and($B609&lt;&gt;"",countif('5) Release_Track'!$G:$G,$B609)=0),"NO CATALOG ID MATCH in Release_Track",iserror(vlookup($A609&amp;$B609,'5) Release_Track'!$F:$F&amp;'5) Release_Track'!$G:$G,1,0)),"NO ISRC-CATALOG ID pair MATCH in Release_Track" )</f>
        <v/>
      </c>
      <c r="E609" s="142" t="b">
        <v>0</v>
      </c>
      <c r="F609" s="142" t="b">
        <v>0</v>
      </c>
      <c r="G609" s="142" t="b">
        <v>0</v>
      </c>
      <c r="H609" s="142" t="b">
        <v>0</v>
      </c>
      <c r="I609" s="142" t="b">
        <v>0</v>
      </c>
      <c r="J609" s="142" t="b">
        <v>0</v>
      </c>
      <c r="K609" s="142" t="b">
        <v>0</v>
      </c>
      <c r="L609" s="8" t="b">
        <v>0</v>
      </c>
    </row>
    <row r="610">
      <c r="B610" s="103"/>
      <c r="C610" s="121" t="str">
        <f t="array" ref="C610">ifs(and(isblank($A610),isblank($B610)),"", not(iserror(vlookup($A610&amp;$B610,'5) Release_Track'!$F:$F&amp;'5) Release_Track'!$G:$G,1,0))),vlookup($A610&amp;$B610,{'5) Release_Track'!$F:$F&amp;'5) Release_Track'!$G:$G,'5) Release_Track'!$H:$H},2,0), or(and(not(isblank($B610)),$B610=$B609,$A610&lt;&gt;$A609),and(not(isblank($A610)),$A610=$A609,$B610&lt;&gt;$B609)),"ID LISTS UNALIGNED",and($A610&lt;&gt;"",countif('5) Release_Track'!$F:$F,$A610)=0),"NO ISRC MATCH in Release_Track",and($B610&lt;&gt;"",countif('5) Release_Track'!$G:$G,$B610)=0),"NO CATALOG ID MATCH in Release_Track",iserror(vlookup($A610&amp;$B610,'5) Release_Track'!$F:$F&amp;'5) Release_Track'!$G:$G,1,0)),"NO ISRC-CATALOG ID pair MATCH in Release_Track" )</f>
        <v/>
      </c>
      <c r="D610" s="121" t="str">
        <f t="array" ref="D610">ifs(and(isblank($A610),isblank($B610)),"", not(iserror(vlookup($A610&amp;$B610,'5) Release_Track'!$F:$F&amp;'5) Release_Track'!$G:$G,1,0))),vlookup($A610&amp;$B610,{'5) Release_Track'!$F:$F&amp;'5) Release_Track'!$G:$G,'5) Release_Track'!$I:$I},2,0), or(and(not(isblank($B610)),$B610=$B609,$A610&lt;&gt;$A609),and(not(isblank($A610)),$A610=$A609,$B610&lt;&gt;$B609)),"ID LISTS UNALIGNED",and($A610&lt;&gt;"",countif('5) Release_Track'!$F:$F,$A610)=0),"NO ISRC MATCH in Release_Track",and($B610&lt;&gt;"",countif('5) Release_Track'!$G:$G,$B610)=0),"NO CATALOG ID MATCH in Release_Track",iserror(vlookup($A610&amp;$B610,'5) Release_Track'!$F:$F&amp;'5) Release_Track'!$G:$G,1,0)),"NO ISRC-CATALOG ID pair MATCH in Release_Track" )</f>
        <v/>
      </c>
      <c r="E610" s="142" t="b">
        <v>0</v>
      </c>
      <c r="F610" s="142" t="b">
        <v>0</v>
      </c>
      <c r="G610" s="142" t="b">
        <v>0</v>
      </c>
      <c r="H610" s="142" t="b">
        <v>0</v>
      </c>
      <c r="I610" s="142" t="b">
        <v>0</v>
      </c>
      <c r="J610" s="142" t="b">
        <v>0</v>
      </c>
      <c r="K610" s="142" t="b">
        <v>0</v>
      </c>
      <c r="L610" s="8" t="b">
        <v>0</v>
      </c>
    </row>
    <row r="611">
      <c r="B611" s="103"/>
      <c r="C611" s="121" t="str">
        <f t="array" ref="C611">ifs(and(isblank($A611),isblank($B611)),"", not(iserror(vlookup($A611&amp;$B611,'5) Release_Track'!$F:$F&amp;'5) Release_Track'!$G:$G,1,0))),vlookup($A611&amp;$B611,{'5) Release_Track'!$F:$F&amp;'5) Release_Track'!$G:$G,'5) Release_Track'!$H:$H},2,0), or(and(not(isblank($B611)),$B611=$B610,$A611&lt;&gt;$A610),and(not(isblank($A611)),$A611=$A610,$B611&lt;&gt;$B610)),"ID LISTS UNALIGNED",and($A611&lt;&gt;"",countif('5) Release_Track'!$F:$F,$A611)=0),"NO ISRC MATCH in Release_Track",and($B611&lt;&gt;"",countif('5) Release_Track'!$G:$G,$B611)=0),"NO CATALOG ID MATCH in Release_Track",iserror(vlookup($A611&amp;$B611,'5) Release_Track'!$F:$F&amp;'5) Release_Track'!$G:$G,1,0)),"NO ISRC-CATALOG ID pair MATCH in Release_Track" )</f>
        <v/>
      </c>
      <c r="D611" s="121" t="str">
        <f t="array" ref="D611">ifs(and(isblank($A611),isblank($B611)),"", not(iserror(vlookup($A611&amp;$B611,'5) Release_Track'!$F:$F&amp;'5) Release_Track'!$G:$G,1,0))),vlookup($A611&amp;$B611,{'5) Release_Track'!$F:$F&amp;'5) Release_Track'!$G:$G,'5) Release_Track'!$I:$I},2,0), or(and(not(isblank($B611)),$B611=$B610,$A611&lt;&gt;$A610),and(not(isblank($A611)),$A611=$A610,$B611&lt;&gt;$B610)),"ID LISTS UNALIGNED",and($A611&lt;&gt;"",countif('5) Release_Track'!$F:$F,$A611)=0),"NO ISRC MATCH in Release_Track",and($B611&lt;&gt;"",countif('5) Release_Track'!$G:$G,$B611)=0),"NO CATALOG ID MATCH in Release_Track",iserror(vlookup($A611&amp;$B611,'5) Release_Track'!$F:$F&amp;'5) Release_Track'!$G:$G,1,0)),"NO ISRC-CATALOG ID pair MATCH in Release_Track" )</f>
        <v/>
      </c>
      <c r="E611" s="142" t="b">
        <v>0</v>
      </c>
      <c r="F611" s="142" t="b">
        <v>0</v>
      </c>
      <c r="G611" s="142" t="b">
        <v>0</v>
      </c>
      <c r="H611" s="142" t="b">
        <v>0</v>
      </c>
      <c r="I611" s="142" t="b">
        <v>0</v>
      </c>
      <c r="J611" s="142" t="b">
        <v>0</v>
      </c>
      <c r="K611" s="142" t="b">
        <v>0</v>
      </c>
      <c r="L611" s="8" t="b">
        <v>0</v>
      </c>
    </row>
    <row r="612">
      <c r="B612" s="103"/>
      <c r="C612" s="121" t="str">
        <f t="array" ref="C612">ifs(and(isblank($A612),isblank($B612)),"", not(iserror(vlookup($A612&amp;$B612,'5) Release_Track'!$F:$F&amp;'5) Release_Track'!$G:$G,1,0))),vlookup($A612&amp;$B612,{'5) Release_Track'!$F:$F&amp;'5) Release_Track'!$G:$G,'5) Release_Track'!$H:$H},2,0), or(and(not(isblank($B612)),$B612=$B611,$A612&lt;&gt;$A611),and(not(isblank($A612)),$A612=$A611,$B612&lt;&gt;$B611)),"ID LISTS UNALIGNED",and($A612&lt;&gt;"",countif('5) Release_Track'!$F:$F,$A612)=0),"NO ISRC MATCH in Release_Track",and($B612&lt;&gt;"",countif('5) Release_Track'!$G:$G,$B612)=0),"NO CATALOG ID MATCH in Release_Track",iserror(vlookup($A612&amp;$B612,'5) Release_Track'!$F:$F&amp;'5) Release_Track'!$G:$G,1,0)),"NO ISRC-CATALOG ID pair MATCH in Release_Track" )</f>
        <v/>
      </c>
      <c r="D612" s="121" t="str">
        <f t="array" ref="D612">ifs(and(isblank($A612),isblank($B612)),"", not(iserror(vlookup($A612&amp;$B612,'5) Release_Track'!$F:$F&amp;'5) Release_Track'!$G:$G,1,0))),vlookup($A612&amp;$B612,{'5) Release_Track'!$F:$F&amp;'5) Release_Track'!$G:$G,'5) Release_Track'!$I:$I},2,0), or(and(not(isblank($B612)),$B612=$B611,$A612&lt;&gt;$A611),and(not(isblank($A612)),$A612=$A611,$B612&lt;&gt;$B611)),"ID LISTS UNALIGNED",and($A612&lt;&gt;"",countif('5) Release_Track'!$F:$F,$A612)=0),"NO ISRC MATCH in Release_Track",and($B612&lt;&gt;"",countif('5) Release_Track'!$G:$G,$B612)=0),"NO CATALOG ID MATCH in Release_Track",iserror(vlookup($A612&amp;$B612,'5) Release_Track'!$F:$F&amp;'5) Release_Track'!$G:$G,1,0)),"NO ISRC-CATALOG ID pair MATCH in Release_Track" )</f>
        <v/>
      </c>
      <c r="E612" s="142" t="b">
        <v>0</v>
      </c>
      <c r="F612" s="142" t="b">
        <v>0</v>
      </c>
      <c r="G612" s="142" t="b">
        <v>0</v>
      </c>
      <c r="H612" s="142" t="b">
        <v>0</v>
      </c>
      <c r="I612" s="142" t="b">
        <v>0</v>
      </c>
      <c r="J612" s="142" t="b">
        <v>0</v>
      </c>
      <c r="K612" s="142" t="b">
        <v>0</v>
      </c>
      <c r="L612" s="8" t="b">
        <v>0</v>
      </c>
    </row>
    <row r="613">
      <c r="B613" s="103"/>
      <c r="C613" s="121" t="str">
        <f t="array" ref="C613">ifs(and(isblank($A613),isblank($B613)),"", not(iserror(vlookup($A613&amp;$B613,'5) Release_Track'!$F:$F&amp;'5) Release_Track'!$G:$G,1,0))),vlookup($A613&amp;$B613,{'5) Release_Track'!$F:$F&amp;'5) Release_Track'!$G:$G,'5) Release_Track'!$H:$H},2,0), or(and(not(isblank($B613)),$B613=$B612,$A613&lt;&gt;$A612),and(not(isblank($A613)),$A613=$A612,$B613&lt;&gt;$B612)),"ID LISTS UNALIGNED",and($A613&lt;&gt;"",countif('5) Release_Track'!$F:$F,$A613)=0),"NO ISRC MATCH in Release_Track",and($B613&lt;&gt;"",countif('5) Release_Track'!$G:$G,$B613)=0),"NO CATALOG ID MATCH in Release_Track",iserror(vlookup($A613&amp;$B613,'5) Release_Track'!$F:$F&amp;'5) Release_Track'!$G:$G,1,0)),"NO ISRC-CATALOG ID pair MATCH in Release_Track" )</f>
        <v/>
      </c>
      <c r="D613" s="121" t="str">
        <f t="array" ref="D613">ifs(and(isblank($A613),isblank($B613)),"", not(iserror(vlookup($A613&amp;$B613,'5) Release_Track'!$F:$F&amp;'5) Release_Track'!$G:$G,1,0))),vlookup($A613&amp;$B613,{'5) Release_Track'!$F:$F&amp;'5) Release_Track'!$G:$G,'5) Release_Track'!$I:$I},2,0), or(and(not(isblank($B613)),$B613=$B612,$A613&lt;&gt;$A612),and(not(isblank($A613)),$A613=$A612,$B613&lt;&gt;$B612)),"ID LISTS UNALIGNED",and($A613&lt;&gt;"",countif('5) Release_Track'!$F:$F,$A613)=0),"NO ISRC MATCH in Release_Track",and($B613&lt;&gt;"",countif('5) Release_Track'!$G:$G,$B613)=0),"NO CATALOG ID MATCH in Release_Track",iserror(vlookup($A613&amp;$B613,'5) Release_Track'!$F:$F&amp;'5) Release_Track'!$G:$G,1,0)),"NO ISRC-CATALOG ID pair MATCH in Release_Track" )</f>
        <v/>
      </c>
      <c r="E613" s="142" t="b">
        <v>0</v>
      </c>
      <c r="F613" s="142" t="b">
        <v>0</v>
      </c>
      <c r="G613" s="142" t="b">
        <v>0</v>
      </c>
      <c r="H613" s="142" t="b">
        <v>0</v>
      </c>
      <c r="I613" s="142" t="b">
        <v>0</v>
      </c>
      <c r="J613" s="142" t="b">
        <v>0</v>
      </c>
      <c r="K613" s="142" t="b">
        <v>0</v>
      </c>
      <c r="L613" s="8" t="b">
        <v>0</v>
      </c>
    </row>
    <row r="614">
      <c r="B614" s="103"/>
      <c r="C614" s="121" t="str">
        <f t="array" ref="C614">ifs(and(isblank($A614),isblank($B614)),"", not(iserror(vlookup($A614&amp;$B614,'5) Release_Track'!$F:$F&amp;'5) Release_Track'!$G:$G,1,0))),vlookup($A614&amp;$B614,{'5) Release_Track'!$F:$F&amp;'5) Release_Track'!$G:$G,'5) Release_Track'!$H:$H},2,0), or(and(not(isblank($B614)),$B614=$B613,$A614&lt;&gt;$A613),and(not(isblank($A614)),$A614=$A613,$B614&lt;&gt;$B613)),"ID LISTS UNALIGNED",and($A614&lt;&gt;"",countif('5) Release_Track'!$F:$F,$A614)=0),"NO ISRC MATCH in Release_Track",and($B614&lt;&gt;"",countif('5) Release_Track'!$G:$G,$B614)=0),"NO CATALOG ID MATCH in Release_Track",iserror(vlookup($A614&amp;$B614,'5) Release_Track'!$F:$F&amp;'5) Release_Track'!$G:$G,1,0)),"NO ISRC-CATALOG ID pair MATCH in Release_Track" )</f>
        <v/>
      </c>
      <c r="D614" s="121" t="str">
        <f t="array" ref="D614">ifs(and(isblank($A614),isblank($B614)),"", not(iserror(vlookup($A614&amp;$B614,'5) Release_Track'!$F:$F&amp;'5) Release_Track'!$G:$G,1,0))),vlookup($A614&amp;$B614,{'5) Release_Track'!$F:$F&amp;'5) Release_Track'!$G:$G,'5) Release_Track'!$I:$I},2,0), or(and(not(isblank($B614)),$B614=$B613,$A614&lt;&gt;$A613),and(not(isblank($A614)),$A614=$A613,$B614&lt;&gt;$B613)),"ID LISTS UNALIGNED",and($A614&lt;&gt;"",countif('5) Release_Track'!$F:$F,$A614)=0),"NO ISRC MATCH in Release_Track",and($B614&lt;&gt;"",countif('5) Release_Track'!$G:$G,$B614)=0),"NO CATALOG ID MATCH in Release_Track",iserror(vlookup($A614&amp;$B614,'5) Release_Track'!$F:$F&amp;'5) Release_Track'!$G:$G,1,0)),"NO ISRC-CATALOG ID pair MATCH in Release_Track" )</f>
        <v/>
      </c>
      <c r="E614" s="142" t="b">
        <v>0</v>
      </c>
      <c r="F614" s="142" t="b">
        <v>0</v>
      </c>
      <c r="G614" s="142" t="b">
        <v>0</v>
      </c>
      <c r="H614" s="142" t="b">
        <v>0</v>
      </c>
      <c r="I614" s="142" t="b">
        <v>0</v>
      </c>
      <c r="J614" s="142" t="b">
        <v>0</v>
      </c>
      <c r="K614" s="142" t="b">
        <v>0</v>
      </c>
      <c r="L614" s="8" t="b">
        <v>0</v>
      </c>
    </row>
    <row r="615">
      <c r="B615" s="103"/>
      <c r="C615" s="121" t="str">
        <f t="array" ref="C615">ifs(and(isblank($A615),isblank($B615)),"", not(iserror(vlookup($A615&amp;$B615,'5) Release_Track'!$F:$F&amp;'5) Release_Track'!$G:$G,1,0))),vlookup($A615&amp;$B615,{'5) Release_Track'!$F:$F&amp;'5) Release_Track'!$G:$G,'5) Release_Track'!$H:$H},2,0), or(and(not(isblank($B615)),$B615=$B614,$A615&lt;&gt;$A614),and(not(isblank($A615)),$A615=$A614,$B615&lt;&gt;$B614)),"ID LISTS UNALIGNED",and($A615&lt;&gt;"",countif('5) Release_Track'!$F:$F,$A615)=0),"NO ISRC MATCH in Release_Track",and($B615&lt;&gt;"",countif('5) Release_Track'!$G:$G,$B615)=0),"NO CATALOG ID MATCH in Release_Track",iserror(vlookup($A615&amp;$B615,'5) Release_Track'!$F:$F&amp;'5) Release_Track'!$G:$G,1,0)),"NO ISRC-CATALOG ID pair MATCH in Release_Track" )</f>
        <v/>
      </c>
      <c r="D615" s="121" t="str">
        <f t="array" ref="D615">ifs(and(isblank($A615),isblank($B615)),"", not(iserror(vlookup($A615&amp;$B615,'5) Release_Track'!$F:$F&amp;'5) Release_Track'!$G:$G,1,0))),vlookup($A615&amp;$B615,{'5) Release_Track'!$F:$F&amp;'5) Release_Track'!$G:$G,'5) Release_Track'!$I:$I},2,0), or(and(not(isblank($B615)),$B615=$B614,$A615&lt;&gt;$A614),and(not(isblank($A615)),$A615=$A614,$B615&lt;&gt;$B614)),"ID LISTS UNALIGNED",and($A615&lt;&gt;"",countif('5) Release_Track'!$F:$F,$A615)=0),"NO ISRC MATCH in Release_Track",and($B615&lt;&gt;"",countif('5) Release_Track'!$G:$G,$B615)=0),"NO CATALOG ID MATCH in Release_Track",iserror(vlookup($A615&amp;$B615,'5) Release_Track'!$F:$F&amp;'5) Release_Track'!$G:$G,1,0)),"NO ISRC-CATALOG ID pair MATCH in Release_Track" )</f>
        <v/>
      </c>
      <c r="E615" s="142" t="b">
        <v>0</v>
      </c>
      <c r="F615" s="142" t="b">
        <v>0</v>
      </c>
      <c r="G615" s="142" t="b">
        <v>0</v>
      </c>
      <c r="H615" s="142" t="b">
        <v>0</v>
      </c>
      <c r="I615" s="142" t="b">
        <v>0</v>
      </c>
      <c r="J615" s="142" t="b">
        <v>0</v>
      </c>
      <c r="K615" s="142" t="b">
        <v>0</v>
      </c>
      <c r="L615" s="8" t="b">
        <v>0</v>
      </c>
    </row>
    <row r="616">
      <c r="B616" s="103"/>
      <c r="C616" s="121" t="str">
        <f t="array" ref="C616">ifs(and(isblank($A616),isblank($B616)),"", not(iserror(vlookup($A616&amp;$B616,'5) Release_Track'!$F:$F&amp;'5) Release_Track'!$G:$G,1,0))),vlookup($A616&amp;$B616,{'5) Release_Track'!$F:$F&amp;'5) Release_Track'!$G:$G,'5) Release_Track'!$H:$H},2,0), or(and(not(isblank($B616)),$B616=$B615,$A616&lt;&gt;$A615),and(not(isblank($A616)),$A616=$A615,$B616&lt;&gt;$B615)),"ID LISTS UNALIGNED",and($A616&lt;&gt;"",countif('5) Release_Track'!$F:$F,$A616)=0),"NO ISRC MATCH in Release_Track",and($B616&lt;&gt;"",countif('5) Release_Track'!$G:$G,$B616)=0),"NO CATALOG ID MATCH in Release_Track",iserror(vlookup($A616&amp;$B616,'5) Release_Track'!$F:$F&amp;'5) Release_Track'!$G:$G,1,0)),"NO ISRC-CATALOG ID pair MATCH in Release_Track" )</f>
        <v/>
      </c>
      <c r="D616" s="121" t="str">
        <f t="array" ref="D616">ifs(and(isblank($A616),isblank($B616)),"", not(iserror(vlookup($A616&amp;$B616,'5) Release_Track'!$F:$F&amp;'5) Release_Track'!$G:$G,1,0))),vlookup($A616&amp;$B616,{'5) Release_Track'!$F:$F&amp;'5) Release_Track'!$G:$G,'5) Release_Track'!$I:$I},2,0), or(and(not(isblank($B616)),$B616=$B615,$A616&lt;&gt;$A615),and(not(isblank($A616)),$A616=$A615,$B616&lt;&gt;$B615)),"ID LISTS UNALIGNED",and($A616&lt;&gt;"",countif('5) Release_Track'!$F:$F,$A616)=0),"NO ISRC MATCH in Release_Track",and($B616&lt;&gt;"",countif('5) Release_Track'!$G:$G,$B616)=0),"NO CATALOG ID MATCH in Release_Track",iserror(vlookup($A616&amp;$B616,'5) Release_Track'!$F:$F&amp;'5) Release_Track'!$G:$G,1,0)),"NO ISRC-CATALOG ID pair MATCH in Release_Track" )</f>
        <v/>
      </c>
      <c r="E616" s="142" t="b">
        <v>0</v>
      </c>
      <c r="F616" s="142" t="b">
        <v>0</v>
      </c>
      <c r="G616" s="142" t="b">
        <v>0</v>
      </c>
      <c r="H616" s="142" t="b">
        <v>0</v>
      </c>
      <c r="I616" s="142" t="b">
        <v>0</v>
      </c>
      <c r="J616" s="142" t="b">
        <v>0</v>
      </c>
      <c r="K616" s="142" t="b">
        <v>0</v>
      </c>
      <c r="L616" s="8" t="b">
        <v>0</v>
      </c>
    </row>
    <row r="617">
      <c r="B617" s="103"/>
      <c r="C617" s="121" t="str">
        <f t="array" ref="C617">ifs(and(isblank($A617),isblank($B617)),"", not(iserror(vlookup($A617&amp;$B617,'5) Release_Track'!$F:$F&amp;'5) Release_Track'!$G:$G,1,0))),vlookup($A617&amp;$B617,{'5) Release_Track'!$F:$F&amp;'5) Release_Track'!$G:$G,'5) Release_Track'!$H:$H},2,0), or(and(not(isblank($B617)),$B617=$B616,$A617&lt;&gt;$A616),and(not(isblank($A617)),$A617=$A616,$B617&lt;&gt;$B616)),"ID LISTS UNALIGNED",and($A617&lt;&gt;"",countif('5) Release_Track'!$F:$F,$A617)=0),"NO ISRC MATCH in Release_Track",and($B617&lt;&gt;"",countif('5) Release_Track'!$G:$G,$B617)=0),"NO CATALOG ID MATCH in Release_Track",iserror(vlookup($A617&amp;$B617,'5) Release_Track'!$F:$F&amp;'5) Release_Track'!$G:$G,1,0)),"NO ISRC-CATALOG ID pair MATCH in Release_Track" )</f>
        <v/>
      </c>
      <c r="D617" s="121" t="str">
        <f t="array" ref="D617">ifs(and(isblank($A617),isblank($B617)),"", not(iserror(vlookup($A617&amp;$B617,'5) Release_Track'!$F:$F&amp;'5) Release_Track'!$G:$G,1,0))),vlookup($A617&amp;$B617,{'5) Release_Track'!$F:$F&amp;'5) Release_Track'!$G:$G,'5) Release_Track'!$I:$I},2,0), or(and(not(isblank($B617)),$B617=$B616,$A617&lt;&gt;$A616),and(not(isblank($A617)),$A617=$A616,$B617&lt;&gt;$B616)),"ID LISTS UNALIGNED",and($A617&lt;&gt;"",countif('5) Release_Track'!$F:$F,$A617)=0),"NO ISRC MATCH in Release_Track",and($B617&lt;&gt;"",countif('5) Release_Track'!$G:$G,$B617)=0),"NO CATALOG ID MATCH in Release_Track",iserror(vlookup($A617&amp;$B617,'5) Release_Track'!$F:$F&amp;'5) Release_Track'!$G:$G,1,0)),"NO ISRC-CATALOG ID pair MATCH in Release_Track" )</f>
        <v/>
      </c>
      <c r="E617" s="142" t="b">
        <v>0</v>
      </c>
      <c r="F617" s="142" t="b">
        <v>0</v>
      </c>
      <c r="G617" s="142" t="b">
        <v>0</v>
      </c>
      <c r="H617" s="142" t="b">
        <v>0</v>
      </c>
      <c r="I617" s="142" t="b">
        <v>0</v>
      </c>
      <c r="J617" s="142" t="b">
        <v>0</v>
      </c>
      <c r="K617" s="142" t="b">
        <v>0</v>
      </c>
      <c r="L617" s="8" t="b">
        <v>0</v>
      </c>
    </row>
    <row r="618">
      <c r="B618" s="103"/>
      <c r="C618" s="121" t="str">
        <f t="array" ref="C618">ifs(and(isblank($A618),isblank($B618)),"", not(iserror(vlookup($A618&amp;$B618,'5) Release_Track'!$F:$F&amp;'5) Release_Track'!$G:$G,1,0))),vlookup($A618&amp;$B618,{'5) Release_Track'!$F:$F&amp;'5) Release_Track'!$G:$G,'5) Release_Track'!$H:$H},2,0), or(and(not(isblank($B618)),$B618=$B617,$A618&lt;&gt;$A617),and(not(isblank($A618)),$A618=$A617,$B618&lt;&gt;$B617)),"ID LISTS UNALIGNED",and($A618&lt;&gt;"",countif('5) Release_Track'!$F:$F,$A618)=0),"NO ISRC MATCH in Release_Track",and($B618&lt;&gt;"",countif('5) Release_Track'!$G:$G,$B618)=0),"NO CATALOG ID MATCH in Release_Track",iserror(vlookup($A618&amp;$B618,'5) Release_Track'!$F:$F&amp;'5) Release_Track'!$G:$G,1,0)),"NO ISRC-CATALOG ID pair MATCH in Release_Track" )</f>
        <v/>
      </c>
      <c r="D618" s="121" t="str">
        <f t="array" ref="D618">ifs(and(isblank($A618),isblank($B618)),"", not(iserror(vlookup($A618&amp;$B618,'5) Release_Track'!$F:$F&amp;'5) Release_Track'!$G:$G,1,0))),vlookup($A618&amp;$B618,{'5) Release_Track'!$F:$F&amp;'5) Release_Track'!$G:$G,'5) Release_Track'!$I:$I},2,0), or(and(not(isblank($B618)),$B618=$B617,$A618&lt;&gt;$A617),and(not(isblank($A618)),$A618=$A617,$B618&lt;&gt;$B617)),"ID LISTS UNALIGNED",and($A618&lt;&gt;"",countif('5) Release_Track'!$F:$F,$A618)=0),"NO ISRC MATCH in Release_Track",and($B618&lt;&gt;"",countif('5) Release_Track'!$G:$G,$B618)=0),"NO CATALOG ID MATCH in Release_Track",iserror(vlookup($A618&amp;$B618,'5) Release_Track'!$F:$F&amp;'5) Release_Track'!$G:$G,1,0)),"NO ISRC-CATALOG ID pair MATCH in Release_Track" )</f>
        <v/>
      </c>
      <c r="E618" s="142" t="b">
        <v>0</v>
      </c>
      <c r="F618" s="142" t="b">
        <v>0</v>
      </c>
      <c r="G618" s="142" t="b">
        <v>0</v>
      </c>
      <c r="H618" s="142" t="b">
        <v>0</v>
      </c>
      <c r="I618" s="142" t="b">
        <v>0</v>
      </c>
      <c r="J618" s="142" t="b">
        <v>0</v>
      </c>
      <c r="K618" s="142" t="b">
        <v>0</v>
      </c>
      <c r="L618" s="8" t="b">
        <v>0</v>
      </c>
    </row>
    <row r="619">
      <c r="B619" s="103"/>
      <c r="C619" s="121" t="str">
        <f t="array" ref="C619">ifs(and(isblank($A619),isblank($B619)),"", not(iserror(vlookup($A619&amp;$B619,'5) Release_Track'!$F:$F&amp;'5) Release_Track'!$G:$G,1,0))),vlookup($A619&amp;$B619,{'5) Release_Track'!$F:$F&amp;'5) Release_Track'!$G:$G,'5) Release_Track'!$H:$H},2,0), or(and(not(isblank($B619)),$B619=$B618,$A619&lt;&gt;$A618),and(not(isblank($A619)),$A619=$A618,$B619&lt;&gt;$B618)),"ID LISTS UNALIGNED",and($A619&lt;&gt;"",countif('5) Release_Track'!$F:$F,$A619)=0),"NO ISRC MATCH in Release_Track",and($B619&lt;&gt;"",countif('5) Release_Track'!$G:$G,$B619)=0),"NO CATALOG ID MATCH in Release_Track",iserror(vlookup($A619&amp;$B619,'5) Release_Track'!$F:$F&amp;'5) Release_Track'!$G:$G,1,0)),"NO ISRC-CATALOG ID pair MATCH in Release_Track" )</f>
        <v/>
      </c>
      <c r="D619" s="121" t="str">
        <f t="array" ref="D619">ifs(and(isblank($A619),isblank($B619)),"", not(iserror(vlookup($A619&amp;$B619,'5) Release_Track'!$F:$F&amp;'5) Release_Track'!$G:$G,1,0))),vlookup($A619&amp;$B619,{'5) Release_Track'!$F:$F&amp;'5) Release_Track'!$G:$G,'5) Release_Track'!$I:$I},2,0), or(and(not(isblank($B619)),$B619=$B618,$A619&lt;&gt;$A618),and(not(isblank($A619)),$A619=$A618,$B619&lt;&gt;$B618)),"ID LISTS UNALIGNED",and($A619&lt;&gt;"",countif('5) Release_Track'!$F:$F,$A619)=0),"NO ISRC MATCH in Release_Track",and($B619&lt;&gt;"",countif('5) Release_Track'!$G:$G,$B619)=0),"NO CATALOG ID MATCH in Release_Track",iserror(vlookup($A619&amp;$B619,'5) Release_Track'!$F:$F&amp;'5) Release_Track'!$G:$G,1,0)),"NO ISRC-CATALOG ID pair MATCH in Release_Track" )</f>
        <v/>
      </c>
      <c r="E619" s="142" t="b">
        <v>0</v>
      </c>
      <c r="F619" s="142" t="b">
        <v>0</v>
      </c>
      <c r="G619" s="142" t="b">
        <v>0</v>
      </c>
      <c r="H619" s="142" t="b">
        <v>0</v>
      </c>
      <c r="I619" s="142" t="b">
        <v>0</v>
      </c>
      <c r="J619" s="142" t="b">
        <v>0</v>
      </c>
      <c r="K619" s="142" t="b">
        <v>0</v>
      </c>
      <c r="L619" s="8" t="b">
        <v>0</v>
      </c>
    </row>
    <row r="620">
      <c r="B620" s="103"/>
      <c r="C620" s="121" t="str">
        <f t="array" ref="C620">ifs(and(isblank($A620),isblank($B620)),"", not(iserror(vlookup($A620&amp;$B620,'5) Release_Track'!$F:$F&amp;'5) Release_Track'!$G:$G,1,0))),vlookup($A620&amp;$B620,{'5) Release_Track'!$F:$F&amp;'5) Release_Track'!$G:$G,'5) Release_Track'!$H:$H},2,0), or(and(not(isblank($B620)),$B620=$B619,$A620&lt;&gt;$A619),and(not(isblank($A620)),$A620=$A619,$B620&lt;&gt;$B619)),"ID LISTS UNALIGNED",and($A620&lt;&gt;"",countif('5) Release_Track'!$F:$F,$A620)=0),"NO ISRC MATCH in Release_Track",and($B620&lt;&gt;"",countif('5) Release_Track'!$G:$G,$B620)=0),"NO CATALOG ID MATCH in Release_Track",iserror(vlookup($A620&amp;$B620,'5) Release_Track'!$F:$F&amp;'5) Release_Track'!$G:$G,1,0)),"NO ISRC-CATALOG ID pair MATCH in Release_Track" )</f>
        <v/>
      </c>
      <c r="D620" s="121" t="str">
        <f t="array" ref="D620">ifs(and(isblank($A620),isblank($B620)),"", not(iserror(vlookup($A620&amp;$B620,'5) Release_Track'!$F:$F&amp;'5) Release_Track'!$G:$G,1,0))),vlookup($A620&amp;$B620,{'5) Release_Track'!$F:$F&amp;'5) Release_Track'!$G:$G,'5) Release_Track'!$I:$I},2,0), or(and(not(isblank($B620)),$B620=$B619,$A620&lt;&gt;$A619),and(not(isblank($A620)),$A620=$A619,$B620&lt;&gt;$B619)),"ID LISTS UNALIGNED",and($A620&lt;&gt;"",countif('5) Release_Track'!$F:$F,$A620)=0),"NO ISRC MATCH in Release_Track",and($B620&lt;&gt;"",countif('5) Release_Track'!$G:$G,$B620)=0),"NO CATALOG ID MATCH in Release_Track",iserror(vlookup($A620&amp;$B620,'5) Release_Track'!$F:$F&amp;'5) Release_Track'!$G:$G,1,0)),"NO ISRC-CATALOG ID pair MATCH in Release_Track" )</f>
        <v/>
      </c>
      <c r="E620" s="142" t="b">
        <v>0</v>
      </c>
      <c r="F620" s="142" t="b">
        <v>0</v>
      </c>
      <c r="G620" s="142" t="b">
        <v>0</v>
      </c>
      <c r="H620" s="142" t="b">
        <v>0</v>
      </c>
      <c r="I620" s="142" t="b">
        <v>0</v>
      </c>
      <c r="J620" s="142" t="b">
        <v>0</v>
      </c>
      <c r="K620" s="142" t="b">
        <v>0</v>
      </c>
      <c r="L620" s="8" t="b">
        <v>0</v>
      </c>
    </row>
    <row r="621">
      <c r="B621" s="103"/>
      <c r="C621" s="121" t="str">
        <f t="array" ref="C621">ifs(and(isblank($A621),isblank($B621)),"", not(iserror(vlookup($A621&amp;$B621,'5) Release_Track'!$F:$F&amp;'5) Release_Track'!$G:$G,1,0))),vlookup($A621&amp;$B621,{'5) Release_Track'!$F:$F&amp;'5) Release_Track'!$G:$G,'5) Release_Track'!$H:$H},2,0), or(and(not(isblank($B621)),$B621=$B620,$A621&lt;&gt;$A620),and(not(isblank($A621)),$A621=$A620,$B621&lt;&gt;$B620)),"ID LISTS UNALIGNED",and($A621&lt;&gt;"",countif('5) Release_Track'!$F:$F,$A621)=0),"NO ISRC MATCH in Release_Track",and($B621&lt;&gt;"",countif('5) Release_Track'!$G:$G,$B621)=0),"NO CATALOG ID MATCH in Release_Track",iserror(vlookup($A621&amp;$B621,'5) Release_Track'!$F:$F&amp;'5) Release_Track'!$G:$G,1,0)),"NO ISRC-CATALOG ID pair MATCH in Release_Track" )</f>
        <v/>
      </c>
      <c r="D621" s="121" t="str">
        <f t="array" ref="D621">ifs(and(isblank($A621),isblank($B621)),"", not(iserror(vlookup($A621&amp;$B621,'5) Release_Track'!$F:$F&amp;'5) Release_Track'!$G:$G,1,0))),vlookup($A621&amp;$B621,{'5) Release_Track'!$F:$F&amp;'5) Release_Track'!$G:$G,'5) Release_Track'!$I:$I},2,0), or(and(not(isblank($B621)),$B621=$B620,$A621&lt;&gt;$A620),and(not(isblank($A621)),$A621=$A620,$B621&lt;&gt;$B620)),"ID LISTS UNALIGNED",and($A621&lt;&gt;"",countif('5) Release_Track'!$F:$F,$A621)=0),"NO ISRC MATCH in Release_Track",and($B621&lt;&gt;"",countif('5) Release_Track'!$G:$G,$B621)=0),"NO CATALOG ID MATCH in Release_Track",iserror(vlookup($A621&amp;$B621,'5) Release_Track'!$F:$F&amp;'5) Release_Track'!$G:$G,1,0)),"NO ISRC-CATALOG ID pair MATCH in Release_Track" )</f>
        <v/>
      </c>
      <c r="E621" s="142" t="b">
        <v>0</v>
      </c>
      <c r="F621" s="142" t="b">
        <v>0</v>
      </c>
      <c r="G621" s="142" t="b">
        <v>0</v>
      </c>
      <c r="H621" s="142" t="b">
        <v>0</v>
      </c>
      <c r="I621" s="142" t="b">
        <v>0</v>
      </c>
      <c r="J621" s="142" t="b">
        <v>0</v>
      </c>
      <c r="K621" s="142" t="b">
        <v>0</v>
      </c>
      <c r="L621" s="8" t="b">
        <v>0</v>
      </c>
    </row>
    <row r="622">
      <c r="B622" s="103"/>
      <c r="C622" s="121" t="str">
        <f t="array" ref="C622">ifs(and(isblank($A622),isblank($B622)),"", not(iserror(vlookup($A622&amp;$B622,'5) Release_Track'!$F:$F&amp;'5) Release_Track'!$G:$G,1,0))),vlookup($A622&amp;$B622,{'5) Release_Track'!$F:$F&amp;'5) Release_Track'!$G:$G,'5) Release_Track'!$H:$H},2,0), or(and(not(isblank($B622)),$B622=$B621,$A622&lt;&gt;$A621),and(not(isblank($A622)),$A622=$A621,$B622&lt;&gt;$B621)),"ID LISTS UNALIGNED",and($A622&lt;&gt;"",countif('5) Release_Track'!$F:$F,$A622)=0),"NO ISRC MATCH in Release_Track",and($B622&lt;&gt;"",countif('5) Release_Track'!$G:$G,$B622)=0),"NO CATALOG ID MATCH in Release_Track",iserror(vlookup($A622&amp;$B622,'5) Release_Track'!$F:$F&amp;'5) Release_Track'!$G:$G,1,0)),"NO ISRC-CATALOG ID pair MATCH in Release_Track" )</f>
        <v/>
      </c>
      <c r="D622" s="121" t="str">
        <f t="array" ref="D622">ifs(and(isblank($A622),isblank($B622)),"", not(iserror(vlookup($A622&amp;$B622,'5) Release_Track'!$F:$F&amp;'5) Release_Track'!$G:$G,1,0))),vlookup($A622&amp;$B622,{'5) Release_Track'!$F:$F&amp;'5) Release_Track'!$G:$G,'5) Release_Track'!$I:$I},2,0), or(and(not(isblank($B622)),$B622=$B621,$A622&lt;&gt;$A621),and(not(isblank($A622)),$A622=$A621,$B622&lt;&gt;$B621)),"ID LISTS UNALIGNED",and($A622&lt;&gt;"",countif('5) Release_Track'!$F:$F,$A622)=0),"NO ISRC MATCH in Release_Track",and($B622&lt;&gt;"",countif('5) Release_Track'!$G:$G,$B622)=0),"NO CATALOG ID MATCH in Release_Track",iserror(vlookup($A622&amp;$B622,'5) Release_Track'!$F:$F&amp;'5) Release_Track'!$G:$G,1,0)),"NO ISRC-CATALOG ID pair MATCH in Release_Track" )</f>
        <v/>
      </c>
      <c r="E622" s="142" t="b">
        <v>0</v>
      </c>
      <c r="F622" s="142" t="b">
        <v>0</v>
      </c>
      <c r="G622" s="142" t="b">
        <v>0</v>
      </c>
      <c r="H622" s="142" t="b">
        <v>0</v>
      </c>
      <c r="I622" s="142" t="b">
        <v>0</v>
      </c>
      <c r="J622" s="142" t="b">
        <v>0</v>
      </c>
      <c r="K622" s="142" t="b">
        <v>0</v>
      </c>
      <c r="L622" s="8" t="b">
        <v>0</v>
      </c>
    </row>
    <row r="623">
      <c r="B623" s="103"/>
      <c r="C623" s="121" t="str">
        <f t="array" ref="C623">ifs(and(isblank($A623),isblank($B623)),"", not(iserror(vlookup($A623&amp;$B623,'5) Release_Track'!$F:$F&amp;'5) Release_Track'!$G:$G,1,0))),vlookup($A623&amp;$B623,{'5) Release_Track'!$F:$F&amp;'5) Release_Track'!$G:$G,'5) Release_Track'!$H:$H},2,0), or(and(not(isblank($B623)),$B623=$B622,$A623&lt;&gt;$A622),and(not(isblank($A623)),$A623=$A622,$B623&lt;&gt;$B622)),"ID LISTS UNALIGNED",and($A623&lt;&gt;"",countif('5) Release_Track'!$F:$F,$A623)=0),"NO ISRC MATCH in Release_Track",and($B623&lt;&gt;"",countif('5) Release_Track'!$G:$G,$B623)=0),"NO CATALOG ID MATCH in Release_Track",iserror(vlookup($A623&amp;$B623,'5) Release_Track'!$F:$F&amp;'5) Release_Track'!$G:$G,1,0)),"NO ISRC-CATALOG ID pair MATCH in Release_Track" )</f>
        <v/>
      </c>
      <c r="D623" s="121" t="str">
        <f t="array" ref="D623">ifs(and(isblank($A623),isblank($B623)),"", not(iserror(vlookup($A623&amp;$B623,'5) Release_Track'!$F:$F&amp;'5) Release_Track'!$G:$G,1,0))),vlookup($A623&amp;$B623,{'5) Release_Track'!$F:$F&amp;'5) Release_Track'!$G:$G,'5) Release_Track'!$I:$I},2,0), or(and(not(isblank($B623)),$B623=$B622,$A623&lt;&gt;$A622),and(not(isblank($A623)),$A623=$A622,$B623&lt;&gt;$B622)),"ID LISTS UNALIGNED",and($A623&lt;&gt;"",countif('5) Release_Track'!$F:$F,$A623)=0),"NO ISRC MATCH in Release_Track",and($B623&lt;&gt;"",countif('5) Release_Track'!$G:$G,$B623)=0),"NO CATALOG ID MATCH in Release_Track",iserror(vlookup($A623&amp;$B623,'5) Release_Track'!$F:$F&amp;'5) Release_Track'!$G:$G,1,0)),"NO ISRC-CATALOG ID pair MATCH in Release_Track" )</f>
        <v/>
      </c>
      <c r="E623" s="142" t="b">
        <v>0</v>
      </c>
      <c r="F623" s="142" t="b">
        <v>0</v>
      </c>
      <c r="G623" s="142" t="b">
        <v>0</v>
      </c>
      <c r="H623" s="142" t="b">
        <v>0</v>
      </c>
      <c r="I623" s="142" t="b">
        <v>0</v>
      </c>
      <c r="J623" s="142" t="b">
        <v>0</v>
      </c>
      <c r="K623" s="142" t="b">
        <v>0</v>
      </c>
      <c r="L623" s="8" t="b">
        <v>0</v>
      </c>
    </row>
    <row r="624">
      <c r="B624" s="103"/>
      <c r="C624" s="121" t="str">
        <f t="array" ref="C624">ifs(and(isblank($A624),isblank($B624)),"", not(iserror(vlookup($A624&amp;$B624,'5) Release_Track'!$F:$F&amp;'5) Release_Track'!$G:$G,1,0))),vlookup($A624&amp;$B624,{'5) Release_Track'!$F:$F&amp;'5) Release_Track'!$G:$G,'5) Release_Track'!$H:$H},2,0), or(and(not(isblank($B624)),$B624=$B623,$A624&lt;&gt;$A623),and(not(isblank($A624)),$A624=$A623,$B624&lt;&gt;$B623)),"ID LISTS UNALIGNED",and($A624&lt;&gt;"",countif('5) Release_Track'!$F:$F,$A624)=0),"NO ISRC MATCH in Release_Track",and($B624&lt;&gt;"",countif('5) Release_Track'!$G:$G,$B624)=0),"NO CATALOG ID MATCH in Release_Track",iserror(vlookup($A624&amp;$B624,'5) Release_Track'!$F:$F&amp;'5) Release_Track'!$G:$G,1,0)),"NO ISRC-CATALOG ID pair MATCH in Release_Track" )</f>
        <v/>
      </c>
      <c r="D624" s="121" t="str">
        <f t="array" ref="D624">ifs(and(isblank($A624),isblank($B624)),"", not(iserror(vlookup($A624&amp;$B624,'5) Release_Track'!$F:$F&amp;'5) Release_Track'!$G:$G,1,0))),vlookup($A624&amp;$B624,{'5) Release_Track'!$F:$F&amp;'5) Release_Track'!$G:$G,'5) Release_Track'!$I:$I},2,0), or(and(not(isblank($B624)),$B624=$B623,$A624&lt;&gt;$A623),and(not(isblank($A624)),$A624=$A623,$B624&lt;&gt;$B623)),"ID LISTS UNALIGNED",and($A624&lt;&gt;"",countif('5) Release_Track'!$F:$F,$A624)=0),"NO ISRC MATCH in Release_Track",and($B624&lt;&gt;"",countif('5) Release_Track'!$G:$G,$B624)=0),"NO CATALOG ID MATCH in Release_Track",iserror(vlookup($A624&amp;$B624,'5) Release_Track'!$F:$F&amp;'5) Release_Track'!$G:$G,1,0)),"NO ISRC-CATALOG ID pair MATCH in Release_Track" )</f>
        <v/>
      </c>
      <c r="E624" s="142" t="b">
        <v>0</v>
      </c>
      <c r="F624" s="142" t="b">
        <v>0</v>
      </c>
      <c r="G624" s="142" t="b">
        <v>0</v>
      </c>
      <c r="H624" s="142" t="b">
        <v>0</v>
      </c>
      <c r="I624" s="142" t="b">
        <v>0</v>
      </c>
      <c r="J624" s="142" t="b">
        <v>0</v>
      </c>
      <c r="K624" s="142" t="b">
        <v>0</v>
      </c>
      <c r="L624" s="8" t="b">
        <v>0</v>
      </c>
    </row>
    <row r="625">
      <c r="B625" s="103"/>
      <c r="C625" s="121" t="str">
        <f t="array" ref="C625">ifs(and(isblank($A625),isblank($B625)),"", not(iserror(vlookup($A625&amp;$B625,'5) Release_Track'!$F:$F&amp;'5) Release_Track'!$G:$G,1,0))),vlookup($A625&amp;$B625,{'5) Release_Track'!$F:$F&amp;'5) Release_Track'!$G:$G,'5) Release_Track'!$H:$H},2,0), or(and(not(isblank($B625)),$B625=$B624,$A625&lt;&gt;$A624),and(not(isblank($A625)),$A625=$A624,$B625&lt;&gt;$B624)),"ID LISTS UNALIGNED",and($A625&lt;&gt;"",countif('5) Release_Track'!$F:$F,$A625)=0),"NO ISRC MATCH in Release_Track",and($B625&lt;&gt;"",countif('5) Release_Track'!$G:$G,$B625)=0),"NO CATALOG ID MATCH in Release_Track",iserror(vlookup($A625&amp;$B625,'5) Release_Track'!$F:$F&amp;'5) Release_Track'!$G:$G,1,0)),"NO ISRC-CATALOG ID pair MATCH in Release_Track" )</f>
        <v/>
      </c>
      <c r="D625" s="121" t="str">
        <f t="array" ref="D625">ifs(and(isblank($A625),isblank($B625)),"", not(iserror(vlookup($A625&amp;$B625,'5) Release_Track'!$F:$F&amp;'5) Release_Track'!$G:$G,1,0))),vlookup($A625&amp;$B625,{'5) Release_Track'!$F:$F&amp;'5) Release_Track'!$G:$G,'5) Release_Track'!$I:$I},2,0), or(and(not(isblank($B625)),$B625=$B624,$A625&lt;&gt;$A624),and(not(isblank($A625)),$A625=$A624,$B625&lt;&gt;$B624)),"ID LISTS UNALIGNED",and($A625&lt;&gt;"",countif('5) Release_Track'!$F:$F,$A625)=0),"NO ISRC MATCH in Release_Track",and($B625&lt;&gt;"",countif('5) Release_Track'!$G:$G,$B625)=0),"NO CATALOG ID MATCH in Release_Track",iserror(vlookup($A625&amp;$B625,'5) Release_Track'!$F:$F&amp;'5) Release_Track'!$G:$G,1,0)),"NO ISRC-CATALOG ID pair MATCH in Release_Track" )</f>
        <v/>
      </c>
      <c r="E625" s="142" t="b">
        <v>0</v>
      </c>
      <c r="F625" s="142" t="b">
        <v>0</v>
      </c>
      <c r="G625" s="142" t="b">
        <v>0</v>
      </c>
      <c r="H625" s="142" t="b">
        <v>0</v>
      </c>
      <c r="I625" s="142" t="b">
        <v>0</v>
      </c>
      <c r="J625" s="142" t="b">
        <v>0</v>
      </c>
      <c r="K625" s="142" t="b">
        <v>0</v>
      </c>
      <c r="L625" s="8" t="b">
        <v>0</v>
      </c>
    </row>
    <row r="626">
      <c r="B626" s="103"/>
      <c r="C626" s="121" t="str">
        <f t="array" ref="C626">ifs(and(isblank($A626),isblank($B626)),"", not(iserror(vlookup($A626&amp;$B626,'5) Release_Track'!$F:$F&amp;'5) Release_Track'!$G:$G,1,0))),vlookup($A626&amp;$B626,{'5) Release_Track'!$F:$F&amp;'5) Release_Track'!$G:$G,'5) Release_Track'!$H:$H},2,0), or(and(not(isblank($B626)),$B626=$B625,$A626&lt;&gt;$A625),and(not(isblank($A626)),$A626=$A625,$B626&lt;&gt;$B625)),"ID LISTS UNALIGNED",and($A626&lt;&gt;"",countif('5) Release_Track'!$F:$F,$A626)=0),"NO ISRC MATCH in Release_Track",and($B626&lt;&gt;"",countif('5) Release_Track'!$G:$G,$B626)=0),"NO CATALOG ID MATCH in Release_Track",iserror(vlookup($A626&amp;$B626,'5) Release_Track'!$F:$F&amp;'5) Release_Track'!$G:$G,1,0)),"NO ISRC-CATALOG ID pair MATCH in Release_Track" )</f>
        <v/>
      </c>
      <c r="D626" s="121" t="str">
        <f t="array" ref="D626">ifs(and(isblank($A626),isblank($B626)),"", not(iserror(vlookup($A626&amp;$B626,'5) Release_Track'!$F:$F&amp;'5) Release_Track'!$G:$G,1,0))),vlookup($A626&amp;$B626,{'5) Release_Track'!$F:$F&amp;'5) Release_Track'!$G:$G,'5) Release_Track'!$I:$I},2,0), or(and(not(isblank($B626)),$B626=$B625,$A626&lt;&gt;$A625),and(not(isblank($A626)),$A626=$A625,$B626&lt;&gt;$B625)),"ID LISTS UNALIGNED",and($A626&lt;&gt;"",countif('5) Release_Track'!$F:$F,$A626)=0),"NO ISRC MATCH in Release_Track",and($B626&lt;&gt;"",countif('5) Release_Track'!$G:$G,$B626)=0),"NO CATALOG ID MATCH in Release_Track",iserror(vlookup($A626&amp;$B626,'5) Release_Track'!$F:$F&amp;'5) Release_Track'!$G:$G,1,0)),"NO ISRC-CATALOG ID pair MATCH in Release_Track" )</f>
        <v/>
      </c>
      <c r="E626" s="142" t="b">
        <v>0</v>
      </c>
      <c r="F626" s="142" t="b">
        <v>0</v>
      </c>
      <c r="G626" s="142" t="b">
        <v>0</v>
      </c>
      <c r="H626" s="142" t="b">
        <v>0</v>
      </c>
      <c r="I626" s="142" t="b">
        <v>0</v>
      </c>
      <c r="J626" s="142" t="b">
        <v>0</v>
      </c>
      <c r="K626" s="142" t="b">
        <v>0</v>
      </c>
      <c r="L626" s="8" t="b">
        <v>0</v>
      </c>
    </row>
    <row r="627">
      <c r="B627" s="103"/>
      <c r="C627" s="121" t="str">
        <f t="array" ref="C627">ifs(and(isblank($A627),isblank($B627)),"", not(iserror(vlookup($A627&amp;$B627,'5) Release_Track'!$F:$F&amp;'5) Release_Track'!$G:$G,1,0))),vlookup($A627&amp;$B627,{'5) Release_Track'!$F:$F&amp;'5) Release_Track'!$G:$G,'5) Release_Track'!$H:$H},2,0), or(and(not(isblank($B627)),$B627=$B626,$A627&lt;&gt;$A626),and(not(isblank($A627)),$A627=$A626,$B627&lt;&gt;$B626)),"ID LISTS UNALIGNED",and($A627&lt;&gt;"",countif('5) Release_Track'!$F:$F,$A627)=0),"NO ISRC MATCH in Release_Track",and($B627&lt;&gt;"",countif('5) Release_Track'!$G:$G,$B627)=0),"NO CATALOG ID MATCH in Release_Track",iserror(vlookup($A627&amp;$B627,'5) Release_Track'!$F:$F&amp;'5) Release_Track'!$G:$G,1,0)),"NO ISRC-CATALOG ID pair MATCH in Release_Track" )</f>
        <v/>
      </c>
      <c r="D627" s="121" t="str">
        <f t="array" ref="D627">ifs(and(isblank($A627),isblank($B627)),"", not(iserror(vlookup($A627&amp;$B627,'5) Release_Track'!$F:$F&amp;'5) Release_Track'!$G:$G,1,0))),vlookup($A627&amp;$B627,{'5) Release_Track'!$F:$F&amp;'5) Release_Track'!$G:$G,'5) Release_Track'!$I:$I},2,0), or(and(not(isblank($B627)),$B627=$B626,$A627&lt;&gt;$A626),and(not(isblank($A627)),$A627=$A626,$B627&lt;&gt;$B626)),"ID LISTS UNALIGNED",and($A627&lt;&gt;"",countif('5) Release_Track'!$F:$F,$A627)=0),"NO ISRC MATCH in Release_Track",and($B627&lt;&gt;"",countif('5) Release_Track'!$G:$G,$B627)=0),"NO CATALOG ID MATCH in Release_Track",iserror(vlookup($A627&amp;$B627,'5) Release_Track'!$F:$F&amp;'5) Release_Track'!$G:$G,1,0)),"NO ISRC-CATALOG ID pair MATCH in Release_Track" )</f>
        <v/>
      </c>
      <c r="E627" s="142" t="b">
        <v>0</v>
      </c>
      <c r="F627" s="142" t="b">
        <v>0</v>
      </c>
      <c r="G627" s="142" t="b">
        <v>0</v>
      </c>
      <c r="H627" s="142" t="b">
        <v>0</v>
      </c>
      <c r="I627" s="142" t="b">
        <v>0</v>
      </c>
      <c r="J627" s="142" t="b">
        <v>0</v>
      </c>
      <c r="K627" s="142" t="b">
        <v>0</v>
      </c>
      <c r="L627" s="8" t="b">
        <v>0</v>
      </c>
    </row>
    <row r="628">
      <c r="B628" s="103"/>
      <c r="C628" s="121" t="str">
        <f t="array" ref="C628">ifs(and(isblank($A628),isblank($B628)),"", not(iserror(vlookup($A628&amp;$B628,'5) Release_Track'!$F:$F&amp;'5) Release_Track'!$G:$G,1,0))),vlookup($A628&amp;$B628,{'5) Release_Track'!$F:$F&amp;'5) Release_Track'!$G:$G,'5) Release_Track'!$H:$H},2,0), or(and(not(isblank($B628)),$B628=$B627,$A628&lt;&gt;$A627),and(not(isblank($A628)),$A628=$A627,$B628&lt;&gt;$B627)),"ID LISTS UNALIGNED",and($A628&lt;&gt;"",countif('5) Release_Track'!$F:$F,$A628)=0),"NO ISRC MATCH in Release_Track",and($B628&lt;&gt;"",countif('5) Release_Track'!$G:$G,$B628)=0),"NO CATALOG ID MATCH in Release_Track",iserror(vlookup($A628&amp;$B628,'5) Release_Track'!$F:$F&amp;'5) Release_Track'!$G:$G,1,0)),"NO ISRC-CATALOG ID pair MATCH in Release_Track" )</f>
        <v/>
      </c>
      <c r="D628" s="121" t="str">
        <f t="array" ref="D628">ifs(and(isblank($A628),isblank($B628)),"", not(iserror(vlookup($A628&amp;$B628,'5) Release_Track'!$F:$F&amp;'5) Release_Track'!$G:$G,1,0))),vlookup($A628&amp;$B628,{'5) Release_Track'!$F:$F&amp;'5) Release_Track'!$G:$G,'5) Release_Track'!$I:$I},2,0), or(and(not(isblank($B628)),$B628=$B627,$A628&lt;&gt;$A627),and(not(isblank($A628)),$A628=$A627,$B628&lt;&gt;$B627)),"ID LISTS UNALIGNED",and($A628&lt;&gt;"",countif('5) Release_Track'!$F:$F,$A628)=0),"NO ISRC MATCH in Release_Track",and($B628&lt;&gt;"",countif('5) Release_Track'!$G:$G,$B628)=0),"NO CATALOG ID MATCH in Release_Track",iserror(vlookup($A628&amp;$B628,'5) Release_Track'!$F:$F&amp;'5) Release_Track'!$G:$G,1,0)),"NO ISRC-CATALOG ID pair MATCH in Release_Track" )</f>
        <v/>
      </c>
      <c r="E628" s="142" t="b">
        <v>0</v>
      </c>
      <c r="F628" s="142" t="b">
        <v>0</v>
      </c>
      <c r="G628" s="142" t="b">
        <v>0</v>
      </c>
      <c r="H628" s="142" t="b">
        <v>0</v>
      </c>
      <c r="I628" s="142" t="b">
        <v>0</v>
      </c>
      <c r="J628" s="142" t="b">
        <v>0</v>
      </c>
      <c r="K628" s="142" t="b">
        <v>0</v>
      </c>
      <c r="L628" s="8" t="b">
        <v>0</v>
      </c>
    </row>
    <row r="629">
      <c r="B629" s="103"/>
      <c r="C629" s="121" t="str">
        <f t="array" ref="C629">ifs(and(isblank($A629),isblank($B629)),"", not(iserror(vlookup($A629&amp;$B629,'5) Release_Track'!$F:$F&amp;'5) Release_Track'!$G:$G,1,0))),vlookup($A629&amp;$B629,{'5) Release_Track'!$F:$F&amp;'5) Release_Track'!$G:$G,'5) Release_Track'!$H:$H},2,0), or(and(not(isblank($B629)),$B629=$B628,$A629&lt;&gt;$A628),and(not(isblank($A629)),$A629=$A628,$B629&lt;&gt;$B628)),"ID LISTS UNALIGNED",and($A629&lt;&gt;"",countif('5) Release_Track'!$F:$F,$A629)=0),"NO ISRC MATCH in Release_Track",and($B629&lt;&gt;"",countif('5) Release_Track'!$G:$G,$B629)=0),"NO CATALOG ID MATCH in Release_Track",iserror(vlookup($A629&amp;$B629,'5) Release_Track'!$F:$F&amp;'5) Release_Track'!$G:$G,1,0)),"NO ISRC-CATALOG ID pair MATCH in Release_Track" )</f>
        <v/>
      </c>
      <c r="D629" s="121" t="str">
        <f t="array" ref="D629">ifs(and(isblank($A629),isblank($B629)),"", not(iserror(vlookup($A629&amp;$B629,'5) Release_Track'!$F:$F&amp;'5) Release_Track'!$G:$G,1,0))),vlookup($A629&amp;$B629,{'5) Release_Track'!$F:$F&amp;'5) Release_Track'!$G:$G,'5) Release_Track'!$I:$I},2,0), or(and(not(isblank($B629)),$B629=$B628,$A629&lt;&gt;$A628),and(not(isblank($A629)),$A629=$A628,$B629&lt;&gt;$B628)),"ID LISTS UNALIGNED",and($A629&lt;&gt;"",countif('5) Release_Track'!$F:$F,$A629)=0),"NO ISRC MATCH in Release_Track",and($B629&lt;&gt;"",countif('5) Release_Track'!$G:$G,$B629)=0),"NO CATALOG ID MATCH in Release_Track",iserror(vlookup($A629&amp;$B629,'5) Release_Track'!$F:$F&amp;'5) Release_Track'!$G:$G,1,0)),"NO ISRC-CATALOG ID pair MATCH in Release_Track" )</f>
        <v/>
      </c>
      <c r="E629" s="142" t="b">
        <v>0</v>
      </c>
      <c r="F629" s="142" t="b">
        <v>0</v>
      </c>
      <c r="G629" s="142" t="b">
        <v>0</v>
      </c>
      <c r="H629" s="142" t="b">
        <v>0</v>
      </c>
      <c r="I629" s="142" t="b">
        <v>0</v>
      </c>
      <c r="J629" s="142" t="b">
        <v>0</v>
      </c>
      <c r="K629" s="142" t="b">
        <v>0</v>
      </c>
      <c r="L629" s="8" t="b">
        <v>0</v>
      </c>
    </row>
    <row r="630">
      <c r="B630" s="103"/>
      <c r="C630" s="121" t="str">
        <f t="array" ref="C630">ifs(and(isblank($A630),isblank($B630)),"", not(iserror(vlookup($A630&amp;$B630,'5) Release_Track'!$F:$F&amp;'5) Release_Track'!$G:$G,1,0))),vlookup($A630&amp;$B630,{'5) Release_Track'!$F:$F&amp;'5) Release_Track'!$G:$G,'5) Release_Track'!$H:$H},2,0), or(and(not(isblank($B630)),$B630=$B629,$A630&lt;&gt;$A629),and(not(isblank($A630)),$A630=$A629,$B630&lt;&gt;$B629)),"ID LISTS UNALIGNED",and($A630&lt;&gt;"",countif('5) Release_Track'!$F:$F,$A630)=0),"NO ISRC MATCH in Release_Track",and($B630&lt;&gt;"",countif('5) Release_Track'!$G:$G,$B630)=0),"NO CATALOG ID MATCH in Release_Track",iserror(vlookup($A630&amp;$B630,'5) Release_Track'!$F:$F&amp;'5) Release_Track'!$G:$G,1,0)),"NO ISRC-CATALOG ID pair MATCH in Release_Track" )</f>
        <v/>
      </c>
      <c r="D630" s="121" t="str">
        <f t="array" ref="D630">ifs(and(isblank($A630),isblank($B630)),"", not(iserror(vlookup($A630&amp;$B630,'5) Release_Track'!$F:$F&amp;'5) Release_Track'!$G:$G,1,0))),vlookup($A630&amp;$B630,{'5) Release_Track'!$F:$F&amp;'5) Release_Track'!$G:$G,'5) Release_Track'!$I:$I},2,0), or(and(not(isblank($B630)),$B630=$B629,$A630&lt;&gt;$A629),and(not(isblank($A630)),$A630=$A629,$B630&lt;&gt;$B629)),"ID LISTS UNALIGNED",and($A630&lt;&gt;"",countif('5) Release_Track'!$F:$F,$A630)=0),"NO ISRC MATCH in Release_Track",and($B630&lt;&gt;"",countif('5) Release_Track'!$G:$G,$B630)=0),"NO CATALOG ID MATCH in Release_Track",iserror(vlookup($A630&amp;$B630,'5) Release_Track'!$F:$F&amp;'5) Release_Track'!$G:$G,1,0)),"NO ISRC-CATALOG ID pair MATCH in Release_Track" )</f>
        <v/>
      </c>
      <c r="E630" s="142" t="b">
        <v>0</v>
      </c>
      <c r="F630" s="142" t="b">
        <v>0</v>
      </c>
      <c r="G630" s="142" t="b">
        <v>0</v>
      </c>
      <c r="H630" s="142" t="b">
        <v>0</v>
      </c>
      <c r="I630" s="142" t="b">
        <v>0</v>
      </c>
      <c r="J630" s="142" t="b">
        <v>0</v>
      </c>
      <c r="K630" s="142" t="b">
        <v>0</v>
      </c>
      <c r="L630" s="8" t="b">
        <v>0</v>
      </c>
    </row>
    <row r="631">
      <c r="B631" s="103"/>
      <c r="C631" s="121" t="str">
        <f t="array" ref="C631">ifs(and(isblank($A631),isblank($B631)),"", not(iserror(vlookup($A631&amp;$B631,'5) Release_Track'!$F:$F&amp;'5) Release_Track'!$G:$G,1,0))),vlookup($A631&amp;$B631,{'5) Release_Track'!$F:$F&amp;'5) Release_Track'!$G:$G,'5) Release_Track'!$H:$H},2,0), or(and(not(isblank($B631)),$B631=$B630,$A631&lt;&gt;$A630),and(not(isblank($A631)),$A631=$A630,$B631&lt;&gt;$B630)),"ID LISTS UNALIGNED",and($A631&lt;&gt;"",countif('5) Release_Track'!$F:$F,$A631)=0),"NO ISRC MATCH in Release_Track",and($B631&lt;&gt;"",countif('5) Release_Track'!$G:$G,$B631)=0),"NO CATALOG ID MATCH in Release_Track",iserror(vlookup($A631&amp;$B631,'5) Release_Track'!$F:$F&amp;'5) Release_Track'!$G:$G,1,0)),"NO ISRC-CATALOG ID pair MATCH in Release_Track" )</f>
        <v/>
      </c>
      <c r="D631" s="121" t="str">
        <f t="array" ref="D631">ifs(and(isblank($A631),isblank($B631)),"", not(iserror(vlookup($A631&amp;$B631,'5) Release_Track'!$F:$F&amp;'5) Release_Track'!$G:$G,1,0))),vlookup($A631&amp;$B631,{'5) Release_Track'!$F:$F&amp;'5) Release_Track'!$G:$G,'5) Release_Track'!$I:$I},2,0), or(and(not(isblank($B631)),$B631=$B630,$A631&lt;&gt;$A630),and(not(isblank($A631)),$A631=$A630,$B631&lt;&gt;$B630)),"ID LISTS UNALIGNED",and($A631&lt;&gt;"",countif('5) Release_Track'!$F:$F,$A631)=0),"NO ISRC MATCH in Release_Track",and($B631&lt;&gt;"",countif('5) Release_Track'!$G:$G,$B631)=0),"NO CATALOG ID MATCH in Release_Track",iserror(vlookup($A631&amp;$B631,'5) Release_Track'!$F:$F&amp;'5) Release_Track'!$G:$G,1,0)),"NO ISRC-CATALOG ID pair MATCH in Release_Track" )</f>
        <v/>
      </c>
      <c r="E631" s="142" t="b">
        <v>0</v>
      </c>
      <c r="F631" s="142" t="b">
        <v>0</v>
      </c>
      <c r="G631" s="142" t="b">
        <v>0</v>
      </c>
      <c r="H631" s="142" t="b">
        <v>0</v>
      </c>
      <c r="I631" s="142" t="b">
        <v>0</v>
      </c>
      <c r="J631" s="142" t="b">
        <v>0</v>
      </c>
      <c r="K631" s="142" t="b">
        <v>0</v>
      </c>
      <c r="L631" s="8" t="b">
        <v>0</v>
      </c>
    </row>
    <row r="632">
      <c r="B632" s="103"/>
      <c r="C632" s="121" t="str">
        <f t="array" ref="C632">ifs(and(isblank($A632),isblank($B632)),"", not(iserror(vlookup($A632&amp;$B632,'5) Release_Track'!$F:$F&amp;'5) Release_Track'!$G:$G,1,0))),vlookup($A632&amp;$B632,{'5) Release_Track'!$F:$F&amp;'5) Release_Track'!$G:$G,'5) Release_Track'!$H:$H},2,0), or(and(not(isblank($B632)),$B632=$B631,$A632&lt;&gt;$A631),and(not(isblank($A632)),$A632=$A631,$B632&lt;&gt;$B631)),"ID LISTS UNALIGNED",and($A632&lt;&gt;"",countif('5) Release_Track'!$F:$F,$A632)=0),"NO ISRC MATCH in Release_Track",and($B632&lt;&gt;"",countif('5) Release_Track'!$G:$G,$B632)=0),"NO CATALOG ID MATCH in Release_Track",iserror(vlookup($A632&amp;$B632,'5) Release_Track'!$F:$F&amp;'5) Release_Track'!$G:$G,1,0)),"NO ISRC-CATALOG ID pair MATCH in Release_Track" )</f>
        <v/>
      </c>
      <c r="D632" s="121" t="str">
        <f t="array" ref="D632">ifs(and(isblank($A632),isblank($B632)),"", not(iserror(vlookup($A632&amp;$B632,'5) Release_Track'!$F:$F&amp;'5) Release_Track'!$G:$G,1,0))),vlookup($A632&amp;$B632,{'5) Release_Track'!$F:$F&amp;'5) Release_Track'!$G:$G,'5) Release_Track'!$I:$I},2,0), or(and(not(isblank($B632)),$B632=$B631,$A632&lt;&gt;$A631),and(not(isblank($A632)),$A632=$A631,$B632&lt;&gt;$B631)),"ID LISTS UNALIGNED",and($A632&lt;&gt;"",countif('5) Release_Track'!$F:$F,$A632)=0),"NO ISRC MATCH in Release_Track",and($B632&lt;&gt;"",countif('5) Release_Track'!$G:$G,$B632)=0),"NO CATALOG ID MATCH in Release_Track",iserror(vlookup($A632&amp;$B632,'5) Release_Track'!$F:$F&amp;'5) Release_Track'!$G:$G,1,0)),"NO ISRC-CATALOG ID pair MATCH in Release_Track" )</f>
        <v/>
      </c>
      <c r="E632" s="142" t="b">
        <v>0</v>
      </c>
      <c r="F632" s="142" t="b">
        <v>0</v>
      </c>
      <c r="G632" s="142" t="b">
        <v>0</v>
      </c>
      <c r="H632" s="142" t="b">
        <v>0</v>
      </c>
      <c r="I632" s="142" t="b">
        <v>0</v>
      </c>
      <c r="J632" s="142" t="b">
        <v>0</v>
      </c>
      <c r="K632" s="142" t="b">
        <v>0</v>
      </c>
      <c r="L632" s="8" t="b">
        <v>0</v>
      </c>
    </row>
    <row r="633">
      <c r="B633" s="103"/>
      <c r="C633" s="121" t="str">
        <f t="array" ref="C633">ifs(and(isblank($A633),isblank($B633)),"", not(iserror(vlookup($A633&amp;$B633,'5) Release_Track'!$F:$F&amp;'5) Release_Track'!$G:$G,1,0))),vlookup($A633&amp;$B633,{'5) Release_Track'!$F:$F&amp;'5) Release_Track'!$G:$G,'5) Release_Track'!$H:$H},2,0), or(and(not(isblank($B633)),$B633=$B632,$A633&lt;&gt;$A632),and(not(isblank($A633)),$A633=$A632,$B633&lt;&gt;$B632)),"ID LISTS UNALIGNED",and($A633&lt;&gt;"",countif('5) Release_Track'!$F:$F,$A633)=0),"NO ISRC MATCH in Release_Track",and($B633&lt;&gt;"",countif('5) Release_Track'!$G:$G,$B633)=0),"NO CATALOG ID MATCH in Release_Track",iserror(vlookup($A633&amp;$B633,'5) Release_Track'!$F:$F&amp;'5) Release_Track'!$G:$G,1,0)),"NO ISRC-CATALOG ID pair MATCH in Release_Track" )</f>
        <v/>
      </c>
      <c r="D633" s="121" t="str">
        <f t="array" ref="D633">ifs(and(isblank($A633),isblank($B633)),"", not(iserror(vlookup($A633&amp;$B633,'5) Release_Track'!$F:$F&amp;'5) Release_Track'!$G:$G,1,0))),vlookup($A633&amp;$B633,{'5) Release_Track'!$F:$F&amp;'5) Release_Track'!$G:$G,'5) Release_Track'!$I:$I},2,0), or(and(not(isblank($B633)),$B633=$B632,$A633&lt;&gt;$A632),and(not(isblank($A633)),$A633=$A632,$B633&lt;&gt;$B632)),"ID LISTS UNALIGNED",and($A633&lt;&gt;"",countif('5) Release_Track'!$F:$F,$A633)=0),"NO ISRC MATCH in Release_Track",and($B633&lt;&gt;"",countif('5) Release_Track'!$G:$G,$B633)=0),"NO CATALOG ID MATCH in Release_Track",iserror(vlookup($A633&amp;$B633,'5) Release_Track'!$F:$F&amp;'5) Release_Track'!$G:$G,1,0)),"NO ISRC-CATALOG ID pair MATCH in Release_Track" )</f>
        <v/>
      </c>
      <c r="E633" s="142" t="b">
        <v>0</v>
      </c>
      <c r="F633" s="142" t="b">
        <v>0</v>
      </c>
      <c r="G633" s="142" t="b">
        <v>0</v>
      </c>
      <c r="H633" s="142" t="b">
        <v>0</v>
      </c>
      <c r="I633" s="142" t="b">
        <v>0</v>
      </c>
      <c r="J633" s="142" t="b">
        <v>0</v>
      </c>
      <c r="K633" s="142" t="b">
        <v>0</v>
      </c>
      <c r="L633" s="8" t="b">
        <v>0</v>
      </c>
    </row>
    <row r="634">
      <c r="B634" s="103"/>
      <c r="C634" s="121" t="str">
        <f t="array" ref="C634">ifs(and(isblank($A634),isblank($B634)),"", not(iserror(vlookup($A634&amp;$B634,'5) Release_Track'!$F:$F&amp;'5) Release_Track'!$G:$G,1,0))),vlookup($A634&amp;$B634,{'5) Release_Track'!$F:$F&amp;'5) Release_Track'!$G:$G,'5) Release_Track'!$H:$H},2,0), or(and(not(isblank($B634)),$B634=$B633,$A634&lt;&gt;$A633),and(not(isblank($A634)),$A634=$A633,$B634&lt;&gt;$B633)),"ID LISTS UNALIGNED",and($A634&lt;&gt;"",countif('5) Release_Track'!$F:$F,$A634)=0),"NO ISRC MATCH in Release_Track",and($B634&lt;&gt;"",countif('5) Release_Track'!$G:$G,$B634)=0),"NO CATALOG ID MATCH in Release_Track",iserror(vlookup($A634&amp;$B634,'5) Release_Track'!$F:$F&amp;'5) Release_Track'!$G:$G,1,0)),"NO ISRC-CATALOG ID pair MATCH in Release_Track" )</f>
        <v/>
      </c>
      <c r="D634" s="121" t="str">
        <f t="array" ref="D634">ifs(and(isblank($A634),isblank($B634)),"", not(iserror(vlookup($A634&amp;$B634,'5) Release_Track'!$F:$F&amp;'5) Release_Track'!$G:$G,1,0))),vlookup($A634&amp;$B634,{'5) Release_Track'!$F:$F&amp;'5) Release_Track'!$G:$G,'5) Release_Track'!$I:$I},2,0), or(and(not(isblank($B634)),$B634=$B633,$A634&lt;&gt;$A633),and(not(isblank($A634)),$A634=$A633,$B634&lt;&gt;$B633)),"ID LISTS UNALIGNED",and($A634&lt;&gt;"",countif('5) Release_Track'!$F:$F,$A634)=0),"NO ISRC MATCH in Release_Track",and($B634&lt;&gt;"",countif('5) Release_Track'!$G:$G,$B634)=0),"NO CATALOG ID MATCH in Release_Track",iserror(vlookup($A634&amp;$B634,'5) Release_Track'!$F:$F&amp;'5) Release_Track'!$G:$G,1,0)),"NO ISRC-CATALOG ID pair MATCH in Release_Track" )</f>
        <v/>
      </c>
      <c r="E634" s="142" t="b">
        <v>0</v>
      </c>
      <c r="F634" s="142" t="b">
        <v>0</v>
      </c>
      <c r="G634" s="142" t="b">
        <v>0</v>
      </c>
      <c r="H634" s="142" t="b">
        <v>0</v>
      </c>
      <c r="I634" s="142" t="b">
        <v>0</v>
      </c>
      <c r="J634" s="142" t="b">
        <v>0</v>
      </c>
      <c r="K634" s="142" t="b">
        <v>0</v>
      </c>
      <c r="L634" s="8" t="b">
        <v>0</v>
      </c>
    </row>
    <row r="635">
      <c r="B635" s="103"/>
      <c r="C635" s="121" t="str">
        <f t="array" ref="C635">ifs(and(isblank($A635),isblank($B635)),"", not(iserror(vlookup($A635&amp;$B635,'5) Release_Track'!$F:$F&amp;'5) Release_Track'!$G:$G,1,0))),vlookup($A635&amp;$B635,{'5) Release_Track'!$F:$F&amp;'5) Release_Track'!$G:$G,'5) Release_Track'!$H:$H},2,0), or(and(not(isblank($B635)),$B635=$B634,$A635&lt;&gt;$A634),and(not(isblank($A635)),$A635=$A634,$B635&lt;&gt;$B634)),"ID LISTS UNALIGNED",and($A635&lt;&gt;"",countif('5) Release_Track'!$F:$F,$A635)=0),"NO ISRC MATCH in Release_Track",and($B635&lt;&gt;"",countif('5) Release_Track'!$G:$G,$B635)=0),"NO CATALOG ID MATCH in Release_Track",iserror(vlookup($A635&amp;$B635,'5) Release_Track'!$F:$F&amp;'5) Release_Track'!$G:$G,1,0)),"NO ISRC-CATALOG ID pair MATCH in Release_Track" )</f>
        <v/>
      </c>
      <c r="D635" s="121" t="str">
        <f t="array" ref="D635">ifs(and(isblank($A635),isblank($B635)),"", not(iserror(vlookup($A635&amp;$B635,'5) Release_Track'!$F:$F&amp;'5) Release_Track'!$G:$G,1,0))),vlookup($A635&amp;$B635,{'5) Release_Track'!$F:$F&amp;'5) Release_Track'!$G:$G,'5) Release_Track'!$I:$I},2,0), or(and(not(isblank($B635)),$B635=$B634,$A635&lt;&gt;$A634),and(not(isblank($A635)),$A635=$A634,$B635&lt;&gt;$B634)),"ID LISTS UNALIGNED",and($A635&lt;&gt;"",countif('5) Release_Track'!$F:$F,$A635)=0),"NO ISRC MATCH in Release_Track",and($B635&lt;&gt;"",countif('5) Release_Track'!$G:$G,$B635)=0),"NO CATALOG ID MATCH in Release_Track",iserror(vlookup($A635&amp;$B635,'5) Release_Track'!$F:$F&amp;'5) Release_Track'!$G:$G,1,0)),"NO ISRC-CATALOG ID pair MATCH in Release_Track" )</f>
        <v/>
      </c>
      <c r="E635" s="142" t="b">
        <v>0</v>
      </c>
      <c r="F635" s="142" t="b">
        <v>0</v>
      </c>
      <c r="G635" s="142" t="b">
        <v>0</v>
      </c>
      <c r="H635" s="142" t="b">
        <v>0</v>
      </c>
      <c r="I635" s="142" t="b">
        <v>0</v>
      </c>
      <c r="J635" s="142" t="b">
        <v>0</v>
      </c>
      <c r="K635" s="142" t="b">
        <v>0</v>
      </c>
      <c r="L635" s="8" t="b">
        <v>0</v>
      </c>
    </row>
    <row r="636">
      <c r="B636" s="103"/>
      <c r="C636" s="121" t="str">
        <f t="array" ref="C636">ifs(and(isblank($A636),isblank($B636)),"", not(iserror(vlookup($A636&amp;$B636,'5) Release_Track'!$F:$F&amp;'5) Release_Track'!$G:$G,1,0))),vlookup($A636&amp;$B636,{'5) Release_Track'!$F:$F&amp;'5) Release_Track'!$G:$G,'5) Release_Track'!$H:$H},2,0), or(and(not(isblank($B636)),$B636=$B635,$A636&lt;&gt;$A635),and(not(isblank($A636)),$A636=$A635,$B636&lt;&gt;$B635)),"ID LISTS UNALIGNED",and($A636&lt;&gt;"",countif('5) Release_Track'!$F:$F,$A636)=0),"NO ISRC MATCH in Release_Track",and($B636&lt;&gt;"",countif('5) Release_Track'!$G:$G,$B636)=0),"NO CATALOG ID MATCH in Release_Track",iserror(vlookup($A636&amp;$B636,'5) Release_Track'!$F:$F&amp;'5) Release_Track'!$G:$G,1,0)),"NO ISRC-CATALOG ID pair MATCH in Release_Track" )</f>
        <v/>
      </c>
      <c r="D636" s="121" t="str">
        <f t="array" ref="D636">ifs(and(isblank($A636),isblank($B636)),"", not(iserror(vlookup($A636&amp;$B636,'5) Release_Track'!$F:$F&amp;'5) Release_Track'!$G:$G,1,0))),vlookup($A636&amp;$B636,{'5) Release_Track'!$F:$F&amp;'5) Release_Track'!$G:$G,'5) Release_Track'!$I:$I},2,0), or(and(not(isblank($B636)),$B636=$B635,$A636&lt;&gt;$A635),and(not(isblank($A636)),$A636=$A635,$B636&lt;&gt;$B635)),"ID LISTS UNALIGNED",and($A636&lt;&gt;"",countif('5) Release_Track'!$F:$F,$A636)=0),"NO ISRC MATCH in Release_Track",and($B636&lt;&gt;"",countif('5) Release_Track'!$G:$G,$B636)=0),"NO CATALOG ID MATCH in Release_Track",iserror(vlookup($A636&amp;$B636,'5) Release_Track'!$F:$F&amp;'5) Release_Track'!$G:$G,1,0)),"NO ISRC-CATALOG ID pair MATCH in Release_Track" )</f>
        <v/>
      </c>
      <c r="E636" s="142" t="b">
        <v>0</v>
      </c>
      <c r="F636" s="142" t="b">
        <v>0</v>
      </c>
      <c r="G636" s="142" t="b">
        <v>0</v>
      </c>
      <c r="H636" s="142" t="b">
        <v>0</v>
      </c>
      <c r="I636" s="142" t="b">
        <v>0</v>
      </c>
      <c r="J636" s="142" t="b">
        <v>0</v>
      </c>
      <c r="K636" s="142" t="b">
        <v>0</v>
      </c>
      <c r="L636" s="8" t="b">
        <v>0</v>
      </c>
    </row>
    <row r="637">
      <c r="B637" s="103"/>
      <c r="C637" s="121" t="str">
        <f t="array" ref="C637">ifs(and(isblank($A637),isblank($B637)),"", not(iserror(vlookup($A637&amp;$B637,'5) Release_Track'!$F:$F&amp;'5) Release_Track'!$G:$G,1,0))),vlookup($A637&amp;$B637,{'5) Release_Track'!$F:$F&amp;'5) Release_Track'!$G:$G,'5) Release_Track'!$H:$H},2,0), or(and(not(isblank($B637)),$B637=$B636,$A637&lt;&gt;$A636),and(not(isblank($A637)),$A637=$A636,$B637&lt;&gt;$B636)),"ID LISTS UNALIGNED",and($A637&lt;&gt;"",countif('5) Release_Track'!$F:$F,$A637)=0),"NO ISRC MATCH in Release_Track",and($B637&lt;&gt;"",countif('5) Release_Track'!$G:$G,$B637)=0),"NO CATALOG ID MATCH in Release_Track",iserror(vlookup($A637&amp;$B637,'5) Release_Track'!$F:$F&amp;'5) Release_Track'!$G:$G,1,0)),"NO ISRC-CATALOG ID pair MATCH in Release_Track" )</f>
        <v/>
      </c>
      <c r="D637" s="121" t="str">
        <f t="array" ref="D637">ifs(and(isblank($A637),isblank($B637)),"", not(iserror(vlookup($A637&amp;$B637,'5) Release_Track'!$F:$F&amp;'5) Release_Track'!$G:$G,1,0))),vlookup($A637&amp;$B637,{'5) Release_Track'!$F:$F&amp;'5) Release_Track'!$G:$G,'5) Release_Track'!$I:$I},2,0), or(and(not(isblank($B637)),$B637=$B636,$A637&lt;&gt;$A636),and(not(isblank($A637)),$A637=$A636,$B637&lt;&gt;$B636)),"ID LISTS UNALIGNED",and($A637&lt;&gt;"",countif('5) Release_Track'!$F:$F,$A637)=0),"NO ISRC MATCH in Release_Track",and($B637&lt;&gt;"",countif('5) Release_Track'!$G:$G,$B637)=0),"NO CATALOG ID MATCH in Release_Track",iserror(vlookup($A637&amp;$B637,'5) Release_Track'!$F:$F&amp;'5) Release_Track'!$G:$G,1,0)),"NO ISRC-CATALOG ID pair MATCH in Release_Track" )</f>
        <v/>
      </c>
      <c r="E637" s="142" t="b">
        <v>0</v>
      </c>
      <c r="F637" s="142" t="b">
        <v>0</v>
      </c>
      <c r="G637" s="142" t="b">
        <v>0</v>
      </c>
      <c r="H637" s="142" t="b">
        <v>0</v>
      </c>
      <c r="I637" s="142" t="b">
        <v>0</v>
      </c>
      <c r="J637" s="142" t="b">
        <v>0</v>
      </c>
      <c r="K637" s="142" t="b">
        <v>0</v>
      </c>
      <c r="L637" s="8" t="b">
        <v>0</v>
      </c>
    </row>
    <row r="638">
      <c r="B638" s="103"/>
      <c r="C638" s="121" t="str">
        <f t="array" ref="C638">ifs(and(isblank($A638),isblank($B638)),"", not(iserror(vlookup($A638&amp;$B638,'5) Release_Track'!$F:$F&amp;'5) Release_Track'!$G:$G,1,0))),vlookup($A638&amp;$B638,{'5) Release_Track'!$F:$F&amp;'5) Release_Track'!$G:$G,'5) Release_Track'!$H:$H},2,0), or(and(not(isblank($B638)),$B638=$B637,$A638&lt;&gt;$A637),and(not(isblank($A638)),$A638=$A637,$B638&lt;&gt;$B637)),"ID LISTS UNALIGNED",and($A638&lt;&gt;"",countif('5) Release_Track'!$F:$F,$A638)=0),"NO ISRC MATCH in Release_Track",and($B638&lt;&gt;"",countif('5) Release_Track'!$G:$G,$B638)=0),"NO CATALOG ID MATCH in Release_Track",iserror(vlookup($A638&amp;$B638,'5) Release_Track'!$F:$F&amp;'5) Release_Track'!$G:$G,1,0)),"NO ISRC-CATALOG ID pair MATCH in Release_Track" )</f>
        <v/>
      </c>
      <c r="D638" s="121" t="str">
        <f t="array" ref="D638">ifs(and(isblank($A638),isblank($B638)),"", not(iserror(vlookup($A638&amp;$B638,'5) Release_Track'!$F:$F&amp;'5) Release_Track'!$G:$G,1,0))),vlookup($A638&amp;$B638,{'5) Release_Track'!$F:$F&amp;'5) Release_Track'!$G:$G,'5) Release_Track'!$I:$I},2,0), or(and(not(isblank($B638)),$B638=$B637,$A638&lt;&gt;$A637),and(not(isblank($A638)),$A638=$A637,$B638&lt;&gt;$B637)),"ID LISTS UNALIGNED",and($A638&lt;&gt;"",countif('5) Release_Track'!$F:$F,$A638)=0),"NO ISRC MATCH in Release_Track",and($B638&lt;&gt;"",countif('5) Release_Track'!$G:$G,$B638)=0),"NO CATALOG ID MATCH in Release_Track",iserror(vlookup($A638&amp;$B638,'5) Release_Track'!$F:$F&amp;'5) Release_Track'!$G:$G,1,0)),"NO ISRC-CATALOG ID pair MATCH in Release_Track" )</f>
        <v/>
      </c>
      <c r="E638" s="142" t="b">
        <v>0</v>
      </c>
      <c r="F638" s="142" t="b">
        <v>0</v>
      </c>
      <c r="G638" s="142" t="b">
        <v>0</v>
      </c>
      <c r="H638" s="142" t="b">
        <v>0</v>
      </c>
      <c r="I638" s="142" t="b">
        <v>0</v>
      </c>
      <c r="J638" s="142" t="b">
        <v>0</v>
      </c>
      <c r="K638" s="142" t="b">
        <v>0</v>
      </c>
      <c r="L638" s="8" t="b">
        <v>0</v>
      </c>
    </row>
    <row r="639">
      <c r="B639" s="103"/>
      <c r="C639" s="121" t="str">
        <f t="array" ref="C639">ifs(and(isblank($A639),isblank($B639)),"", not(iserror(vlookup($A639&amp;$B639,'5) Release_Track'!$F:$F&amp;'5) Release_Track'!$G:$G,1,0))),vlookup($A639&amp;$B639,{'5) Release_Track'!$F:$F&amp;'5) Release_Track'!$G:$G,'5) Release_Track'!$H:$H},2,0), or(and(not(isblank($B639)),$B639=$B638,$A639&lt;&gt;$A638),and(not(isblank($A639)),$A639=$A638,$B639&lt;&gt;$B638)),"ID LISTS UNALIGNED",and($A639&lt;&gt;"",countif('5) Release_Track'!$F:$F,$A639)=0),"NO ISRC MATCH in Release_Track",and($B639&lt;&gt;"",countif('5) Release_Track'!$G:$G,$B639)=0),"NO CATALOG ID MATCH in Release_Track",iserror(vlookup($A639&amp;$B639,'5) Release_Track'!$F:$F&amp;'5) Release_Track'!$G:$G,1,0)),"NO ISRC-CATALOG ID pair MATCH in Release_Track" )</f>
        <v/>
      </c>
      <c r="D639" s="121" t="str">
        <f t="array" ref="D639">ifs(and(isblank($A639),isblank($B639)),"", not(iserror(vlookup($A639&amp;$B639,'5) Release_Track'!$F:$F&amp;'5) Release_Track'!$G:$G,1,0))),vlookup($A639&amp;$B639,{'5) Release_Track'!$F:$F&amp;'5) Release_Track'!$G:$G,'5) Release_Track'!$I:$I},2,0), or(and(not(isblank($B639)),$B639=$B638,$A639&lt;&gt;$A638),and(not(isblank($A639)),$A639=$A638,$B639&lt;&gt;$B638)),"ID LISTS UNALIGNED",and($A639&lt;&gt;"",countif('5) Release_Track'!$F:$F,$A639)=0),"NO ISRC MATCH in Release_Track",and($B639&lt;&gt;"",countif('5) Release_Track'!$G:$G,$B639)=0),"NO CATALOG ID MATCH in Release_Track",iserror(vlookup($A639&amp;$B639,'5) Release_Track'!$F:$F&amp;'5) Release_Track'!$G:$G,1,0)),"NO ISRC-CATALOG ID pair MATCH in Release_Track" )</f>
        <v/>
      </c>
      <c r="E639" s="142" t="b">
        <v>0</v>
      </c>
      <c r="F639" s="142" t="b">
        <v>0</v>
      </c>
      <c r="G639" s="142" t="b">
        <v>0</v>
      </c>
      <c r="H639" s="142" t="b">
        <v>0</v>
      </c>
      <c r="I639" s="142" t="b">
        <v>0</v>
      </c>
      <c r="J639" s="142" t="b">
        <v>0</v>
      </c>
      <c r="K639" s="142" t="b">
        <v>0</v>
      </c>
      <c r="L639" s="8" t="b">
        <v>0</v>
      </c>
    </row>
    <row r="640">
      <c r="B640" s="103"/>
      <c r="C640" s="121" t="str">
        <f t="array" ref="C640">ifs(and(isblank($A640),isblank($B640)),"", not(iserror(vlookup($A640&amp;$B640,'5) Release_Track'!$F:$F&amp;'5) Release_Track'!$G:$G,1,0))),vlookup($A640&amp;$B640,{'5) Release_Track'!$F:$F&amp;'5) Release_Track'!$G:$G,'5) Release_Track'!$H:$H},2,0), or(and(not(isblank($B640)),$B640=$B639,$A640&lt;&gt;$A639),and(not(isblank($A640)),$A640=$A639,$B640&lt;&gt;$B639)),"ID LISTS UNALIGNED",and($A640&lt;&gt;"",countif('5) Release_Track'!$F:$F,$A640)=0),"NO ISRC MATCH in Release_Track",and($B640&lt;&gt;"",countif('5) Release_Track'!$G:$G,$B640)=0),"NO CATALOG ID MATCH in Release_Track",iserror(vlookup($A640&amp;$B640,'5) Release_Track'!$F:$F&amp;'5) Release_Track'!$G:$G,1,0)),"NO ISRC-CATALOG ID pair MATCH in Release_Track" )</f>
        <v/>
      </c>
      <c r="D640" s="121" t="str">
        <f t="array" ref="D640">ifs(and(isblank($A640),isblank($B640)),"", not(iserror(vlookup($A640&amp;$B640,'5) Release_Track'!$F:$F&amp;'5) Release_Track'!$G:$G,1,0))),vlookup($A640&amp;$B640,{'5) Release_Track'!$F:$F&amp;'5) Release_Track'!$G:$G,'5) Release_Track'!$I:$I},2,0), or(and(not(isblank($B640)),$B640=$B639,$A640&lt;&gt;$A639),and(not(isblank($A640)),$A640=$A639,$B640&lt;&gt;$B639)),"ID LISTS UNALIGNED",and($A640&lt;&gt;"",countif('5) Release_Track'!$F:$F,$A640)=0),"NO ISRC MATCH in Release_Track",and($B640&lt;&gt;"",countif('5) Release_Track'!$G:$G,$B640)=0),"NO CATALOG ID MATCH in Release_Track",iserror(vlookup($A640&amp;$B640,'5) Release_Track'!$F:$F&amp;'5) Release_Track'!$G:$G,1,0)),"NO ISRC-CATALOG ID pair MATCH in Release_Track" )</f>
        <v/>
      </c>
      <c r="E640" s="142" t="b">
        <v>0</v>
      </c>
      <c r="F640" s="142" t="b">
        <v>0</v>
      </c>
      <c r="G640" s="142" t="b">
        <v>0</v>
      </c>
      <c r="H640" s="142" t="b">
        <v>0</v>
      </c>
      <c r="I640" s="142" t="b">
        <v>0</v>
      </c>
      <c r="J640" s="142" t="b">
        <v>0</v>
      </c>
      <c r="K640" s="142" t="b">
        <v>0</v>
      </c>
      <c r="L640" s="8" t="b">
        <v>0</v>
      </c>
    </row>
    <row r="641">
      <c r="B641" s="103"/>
      <c r="C641" s="121" t="str">
        <f t="array" ref="C641">ifs(and(isblank($A641),isblank($B641)),"", not(iserror(vlookup($A641&amp;$B641,'5) Release_Track'!$F:$F&amp;'5) Release_Track'!$G:$G,1,0))),vlookup($A641&amp;$B641,{'5) Release_Track'!$F:$F&amp;'5) Release_Track'!$G:$G,'5) Release_Track'!$H:$H},2,0), or(and(not(isblank($B641)),$B641=$B640,$A641&lt;&gt;$A640),and(not(isblank($A641)),$A641=$A640,$B641&lt;&gt;$B640)),"ID LISTS UNALIGNED",and($A641&lt;&gt;"",countif('5) Release_Track'!$F:$F,$A641)=0),"NO ISRC MATCH in Release_Track",and($B641&lt;&gt;"",countif('5) Release_Track'!$G:$G,$B641)=0),"NO CATALOG ID MATCH in Release_Track",iserror(vlookup($A641&amp;$B641,'5) Release_Track'!$F:$F&amp;'5) Release_Track'!$G:$G,1,0)),"NO ISRC-CATALOG ID pair MATCH in Release_Track" )</f>
        <v/>
      </c>
      <c r="D641" s="121" t="str">
        <f t="array" ref="D641">ifs(and(isblank($A641),isblank($B641)),"", not(iserror(vlookup($A641&amp;$B641,'5) Release_Track'!$F:$F&amp;'5) Release_Track'!$G:$G,1,0))),vlookup($A641&amp;$B641,{'5) Release_Track'!$F:$F&amp;'5) Release_Track'!$G:$G,'5) Release_Track'!$I:$I},2,0), or(and(not(isblank($B641)),$B641=$B640,$A641&lt;&gt;$A640),and(not(isblank($A641)),$A641=$A640,$B641&lt;&gt;$B640)),"ID LISTS UNALIGNED",and($A641&lt;&gt;"",countif('5) Release_Track'!$F:$F,$A641)=0),"NO ISRC MATCH in Release_Track",and($B641&lt;&gt;"",countif('5) Release_Track'!$G:$G,$B641)=0),"NO CATALOG ID MATCH in Release_Track",iserror(vlookup($A641&amp;$B641,'5) Release_Track'!$F:$F&amp;'5) Release_Track'!$G:$G,1,0)),"NO ISRC-CATALOG ID pair MATCH in Release_Track" )</f>
        <v/>
      </c>
      <c r="E641" s="142" t="b">
        <v>0</v>
      </c>
      <c r="F641" s="142" t="b">
        <v>0</v>
      </c>
      <c r="G641" s="142" t="b">
        <v>0</v>
      </c>
      <c r="H641" s="142" t="b">
        <v>0</v>
      </c>
      <c r="I641" s="142" t="b">
        <v>0</v>
      </c>
      <c r="J641" s="142" t="b">
        <v>0</v>
      </c>
      <c r="K641" s="142" t="b">
        <v>0</v>
      </c>
      <c r="L641" s="8" t="b">
        <v>0</v>
      </c>
    </row>
    <row r="642">
      <c r="B642" s="103"/>
      <c r="C642" s="121" t="str">
        <f t="array" ref="C642">ifs(and(isblank($A642),isblank($B642)),"", not(iserror(vlookup($A642&amp;$B642,'5) Release_Track'!$F:$F&amp;'5) Release_Track'!$G:$G,1,0))),vlookup($A642&amp;$B642,{'5) Release_Track'!$F:$F&amp;'5) Release_Track'!$G:$G,'5) Release_Track'!$H:$H},2,0), or(and(not(isblank($B642)),$B642=$B641,$A642&lt;&gt;$A641),and(not(isblank($A642)),$A642=$A641,$B642&lt;&gt;$B641)),"ID LISTS UNALIGNED",and($A642&lt;&gt;"",countif('5) Release_Track'!$F:$F,$A642)=0),"NO ISRC MATCH in Release_Track",and($B642&lt;&gt;"",countif('5) Release_Track'!$G:$G,$B642)=0),"NO CATALOG ID MATCH in Release_Track",iserror(vlookup($A642&amp;$B642,'5) Release_Track'!$F:$F&amp;'5) Release_Track'!$G:$G,1,0)),"NO ISRC-CATALOG ID pair MATCH in Release_Track" )</f>
        <v/>
      </c>
      <c r="D642" s="121" t="str">
        <f t="array" ref="D642">ifs(and(isblank($A642),isblank($B642)),"", not(iserror(vlookup($A642&amp;$B642,'5) Release_Track'!$F:$F&amp;'5) Release_Track'!$G:$G,1,0))),vlookup($A642&amp;$B642,{'5) Release_Track'!$F:$F&amp;'5) Release_Track'!$G:$G,'5) Release_Track'!$I:$I},2,0), or(and(not(isblank($B642)),$B642=$B641,$A642&lt;&gt;$A641),and(not(isblank($A642)),$A642=$A641,$B642&lt;&gt;$B641)),"ID LISTS UNALIGNED",and($A642&lt;&gt;"",countif('5) Release_Track'!$F:$F,$A642)=0),"NO ISRC MATCH in Release_Track",and($B642&lt;&gt;"",countif('5) Release_Track'!$G:$G,$B642)=0),"NO CATALOG ID MATCH in Release_Track",iserror(vlookup($A642&amp;$B642,'5) Release_Track'!$F:$F&amp;'5) Release_Track'!$G:$G,1,0)),"NO ISRC-CATALOG ID pair MATCH in Release_Track" )</f>
        <v/>
      </c>
      <c r="E642" s="142" t="b">
        <v>0</v>
      </c>
      <c r="F642" s="142" t="b">
        <v>0</v>
      </c>
      <c r="G642" s="142" t="b">
        <v>0</v>
      </c>
      <c r="H642" s="142" t="b">
        <v>0</v>
      </c>
      <c r="I642" s="142" t="b">
        <v>0</v>
      </c>
      <c r="J642" s="142" t="b">
        <v>0</v>
      </c>
      <c r="K642" s="142" t="b">
        <v>0</v>
      </c>
      <c r="L642" s="8" t="b">
        <v>0</v>
      </c>
    </row>
    <row r="643">
      <c r="B643" s="103"/>
      <c r="C643" s="121" t="str">
        <f t="array" ref="C643">ifs(and(isblank($A643),isblank($B643)),"", not(iserror(vlookup($A643&amp;$B643,'5) Release_Track'!$F:$F&amp;'5) Release_Track'!$G:$G,1,0))),vlookup($A643&amp;$B643,{'5) Release_Track'!$F:$F&amp;'5) Release_Track'!$G:$G,'5) Release_Track'!$H:$H},2,0), or(and(not(isblank($B643)),$B643=$B642,$A643&lt;&gt;$A642),and(not(isblank($A643)),$A643=$A642,$B643&lt;&gt;$B642)),"ID LISTS UNALIGNED",and($A643&lt;&gt;"",countif('5) Release_Track'!$F:$F,$A643)=0),"NO ISRC MATCH in Release_Track",and($B643&lt;&gt;"",countif('5) Release_Track'!$G:$G,$B643)=0),"NO CATALOG ID MATCH in Release_Track",iserror(vlookup($A643&amp;$B643,'5) Release_Track'!$F:$F&amp;'5) Release_Track'!$G:$G,1,0)),"NO ISRC-CATALOG ID pair MATCH in Release_Track" )</f>
        <v/>
      </c>
      <c r="D643" s="121" t="str">
        <f t="array" ref="D643">ifs(and(isblank($A643),isblank($B643)),"", not(iserror(vlookup($A643&amp;$B643,'5) Release_Track'!$F:$F&amp;'5) Release_Track'!$G:$G,1,0))),vlookup($A643&amp;$B643,{'5) Release_Track'!$F:$F&amp;'5) Release_Track'!$G:$G,'5) Release_Track'!$I:$I},2,0), or(and(not(isblank($B643)),$B643=$B642,$A643&lt;&gt;$A642),and(not(isblank($A643)),$A643=$A642,$B643&lt;&gt;$B642)),"ID LISTS UNALIGNED",and($A643&lt;&gt;"",countif('5) Release_Track'!$F:$F,$A643)=0),"NO ISRC MATCH in Release_Track",and($B643&lt;&gt;"",countif('5) Release_Track'!$G:$G,$B643)=0),"NO CATALOG ID MATCH in Release_Track",iserror(vlookup($A643&amp;$B643,'5) Release_Track'!$F:$F&amp;'5) Release_Track'!$G:$G,1,0)),"NO ISRC-CATALOG ID pair MATCH in Release_Track" )</f>
        <v/>
      </c>
      <c r="E643" s="142" t="b">
        <v>0</v>
      </c>
      <c r="F643" s="142" t="b">
        <v>0</v>
      </c>
      <c r="G643" s="142" t="b">
        <v>0</v>
      </c>
      <c r="H643" s="142" t="b">
        <v>0</v>
      </c>
      <c r="I643" s="142" t="b">
        <v>0</v>
      </c>
      <c r="J643" s="142" t="b">
        <v>0</v>
      </c>
      <c r="K643" s="142" t="b">
        <v>0</v>
      </c>
      <c r="L643" s="8" t="b">
        <v>0</v>
      </c>
    </row>
    <row r="644">
      <c r="B644" s="103"/>
      <c r="C644" s="121" t="str">
        <f t="array" ref="C644">ifs(and(isblank($A644),isblank($B644)),"", not(iserror(vlookup($A644&amp;$B644,'5) Release_Track'!$F:$F&amp;'5) Release_Track'!$G:$G,1,0))),vlookup($A644&amp;$B644,{'5) Release_Track'!$F:$F&amp;'5) Release_Track'!$G:$G,'5) Release_Track'!$H:$H},2,0), or(and(not(isblank($B644)),$B644=$B643,$A644&lt;&gt;$A643),and(not(isblank($A644)),$A644=$A643,$B644&lt;&gt;$B643)),"ID LISTS UNALIGNED",and($A644&lt;&gt;"",countif('5) Release_Track'!$F:$F,$A644)=0),"NO ISRC MATCH in Release_Track",and($B644&lt;&gt;"",countif('5) Release_Track'!$G:$G,$B644)=0),"NO CATALOG ID MATCH in Release_Track",iserror(vlookup($A644&amp;$B644,'5) Release_Track'!$F:$F&amp;'5) Release_Track'!$G:$G,1,0)),"NO ISRC-CATALOG ID pair MATCH in Release_Track" )</f>
        <v/>
      </c>
      <c r="D644" s="121" t="str">
        <f t="array" ref="D644">ifs(and(isblank($A644),isblank($B644)),"", not(iserror(vlookup($A644&amp;$B644,'5) Release_Track'!$F:$F&amp;'5) Release_Track'!$G:$G,1,0))),vlookup($A644&amp;$B644,{'5) Release_Track'!$F:$F&amp;'5) Release_Track'!$G:$G,'5) Release_Track'!$I:$I},2,0), or(and(not(isblank($B644)),$B644=$B643,$A644&lt;&gt;$A643),and(not(isblank($A644)),$A644=$A643,$B644&lt;&gt;$B643)),"ID LISTS UNALIGNED",and($A644&lt;&gt;"",countif('5) Release_Track'!$F:$F,$A644)=0),"NO ISRC MATCH in Release_Track",and($B644&lt;&gt;"",countif('5) Release_Track'!$G:$G,$B644)=0),"NO CATALOG ID MATCH in Release_Track",iserror(vlookup($A644&amp;$B644,'5) Release_Track'!$F:$F&amp;'5) Release_Track'!$G:$G,1,0)),"NO ISRC-CATALOG ID pair MATCH in Release_Track" )</f>
        <v/>
      </c>
      <c r="E644" s="142" t="b">
        <v>0</v>
      </c>
      <c r="F644" s="142" t="b">
        <v>0</v>
      </c>
      <c r="G644" s="142" t="b">
        <v>0</v>
      </c>
      <c r="H644" s="142" t="b">
        <v>0</v>
      </c>
      <c r="I644" s="142" t="b">
        <v>0</v>
      </c>
      <c r="J644" s="142" t="b">
        <v>0</v>
      </c>
      <c r="K644" s="142" t="b">
        <v>0</v>
      </c>
      <c r="L644" s="8" t="b">
        <v>0</v>
      </c>
    </row>
    <row r="645">
      <c r="B645" s="103"/>
      <c r="C645" s="121" t="str">
        <f t="array" ref="C645">ifs(and(isblank($A645),isblank($B645)),"", not(iserror(vlookup($A645&amp;$B645,'5) Release_Track'!$F:$F&amp;'5) Release_Track'!$G:$G,1,0))),vlookup($A645&amp;$B645,{'5) Release_Track'!$F:$F&amp;'5) Release_Track'!$G:$G,'5) Release_Track'!$H:$H},2,0), or(and(not(isblank($B645)),$B645=$B644,$A645&lt;&gt;$A644),and(not(isblank($A645)),$A645=$A644,$B645&lt;&gt;$B644)),"ID LISTS UNALIGNED",and($A645&lt;&gt;"",countif('5) Release_Track'!$F:$F,$A645)=0),"NO ISRC MATCH in Release_Track",and($B645&lt;&gt;"",countif('5) Release_Track'!$G:$G,$B645)=0),"NO CATALOG ID MATCH in Release_Track",iserror(vlookup($A645&amp;$B645,'5) Release_Track'!$F:$F&amp;'5) Release_Track'!$G:$G,1,0)),"NO ISRC-CATALOG ID pair MATCH in Release_Track" )</f>
        <v/>
      </c>
      <c r="D645" s="121" t="str">
        <f t="array" ref="D645">ifs(and(isblank($A645),isblank($B645)),"", not(iserror(vlookup($A645&amp;$B645,'5) Release_Track'!$F:$F&amp;'5) Release_Track'!$G:$G,1,0))),vlookup($A645&amp;$B645,{'5) Release_Track'!$F:$F&amp;'5) Release_Track'!$G:$G,'5) Release_Track'!$I:$I},2,0), or(and(not(isblank($B645)),$B645=$B644,$A645&lt;&gt;$A644),and(not(isblank($A645)),$A645=$A644,$B645&lt;&gt;$B644)),"ID LISTS UNALIGNED",and($A645&lt;&gt;"",countif('5) Release_Track'!$F:$F,$A645)=0),"NO ISRC MATCH in Release_Track",and($B645&lt;&gt;"",countif('5) Release_Track'!$G:$G,$B645)=0),"NO CATALOG ID MATCH in Release_Track",iserror(vlookup($A645&amp;$B645,'5) Release_Track'!$F:$F&amp;'5) Release_Track'!$G:$G,1,0)),"NO ISRC-CATALOG ID pair MATCH in Release_Track" )</f>
        <v/>
      </c>
      <c r="E645" s="142" t="b">
        <v>0</v>
      </c>
      <c r="F645" s="142" t="b">
        <v>0</v>
      </c>
      <c r="G645" s="142" t="b">
        <v>0</v>
      </c>
      <c r="H645" s="142" t="b">
        <v>0</v>
      </c>
      <c r="I645" s="142" t="b">
        <v>0</v>
      </c>
      <c r="J645" s="142" t="b">
        <v>0</v>
      </c>
      <c r="K645" s="142" t="b">
        <v>0</v>
      </c>
      <c r="L645" s="8" t="b">
        <v>0</v>
      </c>
    </row>
    <row r="646">
      <c r="B646" s="103"/>
      <c r="C646" s="121" t="str">
        <f t="array" ref="C646">ifs(and(isblank($A646),isblank($B646)),"", not(iserror(vlookup($A646&amp;$B646,'5) Release_Track'!$F:$F&amp;'5) Release_Track'!$G:$G,1,0))),vlookup($A646&amp;$B646,{'5) Release_Track'!$F:$F&amp;'5) Release_Track'!$G:$G,'5) Release_Track'!$H:$H},2,0), or(and(not(isblank($B646)),$B646=$B645,$A646&lt;&gt;$A645),and(not(isblank($A646)),$A646=$A645,$B646&lt;&gt;$B645)),"ID LISTS UNALIGNED",and($A646&lt;&gt;"",countif('5) Release_Track'!$F:$F,$A646)=0),"NO ISRC MATCH in Release_Track",and($B646&lt;&gt;"",countif('5) Release_Track'!$G:$G,$B646)=0),"NO CATALOG ID MATCH in Release_Track",iserror(vlookup($A646&amp;$B646,'5) Release_Track'!$F:$F&amp;'5) Release_Track'!$G:$G,1,0)),"NO ISRC-CATALOG ID pair MATCH in Release_Track" )</f>
        <v/>
      </c>
      <c r="D646" s="121" t="str">
        <f t="array" ref="D646">ifs(and(isblank($A646),isblank($B646)),"", not(iserror(vlookup($A646&amp;$B646,'5) Release_Track'!$F:$F&amp;'5) Release_Track'!$G:$G,1,0))),vlookup($A646&amp;$B646,{'5) Release_Track'!$F:$F&amp;'5) Release_Track'!$G:$G,'5) Release_Track'!$I:$I},2,0), or(and(not(isblank($B646)),$B646=$B645,$A646&lt;&gt;$A645),and(not(isblank($A646)),$A646=$A645,$B646&lt;&gt;$B645)),"ID LISTS UNALIGNED",and($A646&lt;&gt;"",countif('5) Release_Track'!$F:$F,$A646)=0),"NO ISRC MATCH in Release_Track",and($B646&lt;&gt;"",countif('5) Release_Track'!$G:$G,$B646)=0),"NO CATALOG ID MATCH in Release_Track",iserror(vlookup($A646&amp;$B646,'5) Release_Track'!$F:$F&amp;'5) Release_Track'!$G:$G,1,0)),"NO ISRC-CATALOG ID pair MATCH in Release_Track" )</f>
        <v/>
      </c>
      <c r="E646" s="142" t="b">
        <v>0</v>
      </c>
      <c r="F646" s="142" t="b">
        <v>0</v>
      </c>
      <c r="G646" s="142" t="b">
        <v>0</v>
      </c>
      <c r="H646" s="142" t="b">
        <v>0</v>
      </c>
      <c r="I646" s="142" t="b">
        <v>0</v>
      </c>
      <c r="J646" s="142" t="b">
        <v>0</v>
      </c>
      <c r="K646" s="142" t="b">
        <v>0</v>
      </c>
      <c r="L646" s="8" t="b">
        <v>0</v>
      </c>
    </row>
    <row r="647">
      <c r="B647" s="103"/>
      <c r="C647" s="121" t="str">
        <f t="array" ref="C647">ifs(and(isblank($A647),isblank($B647)),"", not(iserror(vlookup($A647&amp;$B647,'5) Release_Track'!$F:$F&amp;'5) Release_Track'!$G:$G,1,0))),vlookup($A647&amp;$B647,{'5) Release_Track'!$F:$F&amp;'5) Release_Track'!$G:$G,'5) Release_Track'!$H:$H},2,0), or(and(not(isblank($B647)),$B647=$B646,$A647&lt;&gt;$A646),and(not(isblank($A647)),$A647=$A646,$B647&lt;&gt;$B646)),"ID LISTS UNALIGNED",and($A647&lt;&gt;"",countif('5) Release_Track'!$F:$F,$A647)=0),"NO ISRC MATCH in Release_Track",and($B647&lt;&gt;"",countif('5) Release_Track'!$G:$G,$B647)=0),"NO CATALOG ID MATCH in Release_Track",iserror(vlookup($A647&amp;$B647,'5) Release_Track'!$F:$F&amp;'5) Release_Track'!$G:$G,1,0)),"NO ISRC-CATALOG ID pair MATCH in Release_Track" )</f>
        <v/>
      </c>
      <c r="D647" s="121" t="str">
        <f t="array" ref="D647">ifs(and(isblank($A647),isblank($B647)),"", not(iserror(vlookup($A647&amp;$B647,'5) Release_Track'!$F:$F&amp;'5) Release_Track'!$G:$G,1,0))),vlookup($A647&amp;$B647,{'5) Release_Track'!$F:$F&amp;'5) Release_Track'!$G:$G,'5) Release_Track'!$I:$I},2,0), or(and(not(isblank($B647)),$B647=$B646,$A647&lt;&gt;$A646),and(not(isblank($A647)),$A647=$A646,$B647&lt;&gt;$B646)),"ID LISTS UNALIGNED",and($A647&lt;&gt;"",countif('5) Release_Track'!$F:$F,$A647)=0),"NO ISRC MATCH in Release_Track",and($B647&lt;&gt;"",countif('5) Release_Track'!$G:$G,$B647)=0),"NO CATALOG ID MATCH in Release_Track",iserror(vlookup($A647&amp;$B647,'5) Release_Track'!$F:$F&amp;'5) Release_Track'!$G:$G,1,0)),"NO ISRC-CATALOG ID pair MATCH in Release_Track" )</f>
        <v/>
      </c>
      <c r="E647" s="142" t="b">
        <v>0</v>
      </c>
      <c r="F647" s="142" t="b">
        <v>0</v>
      </c>
      <c r="G647" s="142" t="b">
        <v>0</v>
      </c>
      <c r="H647" s="142" t="b">
        <v>0</v>
      </c>
      <c r="I647" s="142" t="b">
        <v>0</v>
      </c>
      <c r="J647" s="142" t="b">
        <v>0</v>
      </c>
      <c r="K647" s="142" t="b">
        <v>0</v>
      </c>
      <c r="L647" s="8" t="b">
        <v>0</v>
      </c>
    </row>
    <row r="648">
      <c r="B648" s="103"/>
      <c r="C648" s="121" t="str">
        <f t="array" ref="C648">ifs(and(isblank($A648),isblank($B648)),"", not(iserror(vlookup($A648&amp;$B648,'5) Release_Track'!$F:$F&amp;'5) Release_Track'!$G:$G,1,0))),vlookup($A648&amp;$B648,{'5) Release_Track'!$F:$F&amp;'5) Release_Track'!$G:$G,'5) Release_Track'!$H:$H},2,0), or(and(not(isblank($B648)),$B648=$B647,$A648&lt;&gt;$A647),and(not(isblank($A648)),$A648=$A647,$B648&lt;&gt;$B647)),"ID LISTS UNALIGNED",and($A648&lt;&gt;"",countif('5) Release_Track'!$F:$F,$A648)=0),"NO ISRC MATCH in Release_Track",and($B648&lt;&gt;"",countif('5) Release_Track'!$G:$G,$B648)=0),"NO CATALOG ID MATCH in Release_Track",iserror(vlookup($A648&amp;$B648,'5) Release_Track'!$F:$F&amp;'5) Release_Track'!$G:$G,1,0)),"NO ISRC-CATALOG ID pair MATCH in Release_Track" )</f>
        <v/>
      </c>
      <c r="D648" s="121" t="str">
        <f t="array" ref="D648">ifs(and(isblank($A648),isblank($B648)),"", not(iserror(vlookup($A648&amp;$B648,'5) Release_Track'!$F:$F&amp;'5) Release_Track'!$G:$G,1,0))),vlookup($A648&amp;$B648,{'5) Release_Track'!$F:$F&amp;'5) Release_Track'!$G:$G,'5) Release_Track'!$I:$I},2,0), or(and(not(isblank($B648)),$B648=$B647,$A648&lt;&gt;$A647),and(not(isblank($A648)),$A648=$A647,$B648&lt;&gt;$B647)),"ID LISTS UNALIGNED",and($A648&lt;&gt;"",countif('5) Release_Track'!$F:$F,$A648)=0),"NO ISRC MATCH in Release_Track",and($B648&lt;&gt;"",countif('5) Release_Track'!$G:$G,$B648)=0),"NO CATALOG ID MATCH in Release_Track",iserror(vlookup($A648&amp;$B648,'5) Release_Track'!$F:$F&amp;'5) Release_Track'!$G:$G,1,0)),"NO ISRC-CATALOG ID pair MATCH in Release_Track" )</f>
        <v/>
      </c>
      <c r="E648" s="142" t="b">
        <v>0</v>
      </c>
      <c r="F648" s="142" t="b">
        <v>0</v>
      </c>
      <c r="G648" s="142" t="b">
        <v>0</v>
      </c>
      <c r="H648" s="142" t="b">
        <v>0</v>
      </c>
      <c r="I648" s="142" t="b">
        <v>0</v>
      </c>
      <c r="J648" s="142" t="b">
        <v>0</v>
      </c>
      <c r="K648" s="142" t="b">
        <v>0</v>
      </c>
      <c r="L648" s="8" t="b">
        <v>0</v>
      </c>
    </row>
    <row r="649">
      <c r="B649" s="103"/>
      <c r="C649" s="121" t="str">
        <f t="array" ref="C649">ifs(and(isblank($A649),isblank($B649)),"", not(iserror(vlookup($A649&amp;$B649,'5) Release_Track'!$F:$F&amp;'5) Release_Track'!$G:$G,1,0))),vlookup($A649&amp;$B649,{'5) Release_Track'!$F:$F&amp;'5) Release_Track'!$G:$G,'5) Release_Track'!$H:$H},2,0), or(and(not(isblank($B649)),$B649=$B648,$A649&lt;&gt;$A648),and(not(isblank($A649)),$A649=$A648,$B649&lt;&gt;$B648)),"ID LISTS UNALIGNED",and($A649&lt;&gt;"",countif('5) Release_Track'!$F:$F,$A649)=0),"NO ISRC MATCH in Release_Track",and($B649&lt;&gt;"",countif('5) Release_Track'!$G:$G,$B649)=0),"NO CATALOG ID MATCH in Release_Track",iserror(vlookup($A649&amp;$B649,'5) Release_Track'!$F:$F&amp;'5) Release_Track'!$G:$G,1,0)),"NO ISRC-CATALOG ID pair MATCH in Release_Track" )</f>
        <v/>
      </c>
      <c r="D649" s="121" t="str">
        <f t="array" ref="D649">ifs(and(isblank($A649),isblank($B649)),"", not(iserror(vlookup($A649&amp;$B649,'5) Release_Track'!$F:$F&amp;'5) Release_Track'!$G:$G,1,0))),vlookup($A649&amp;$B649,{'5) Release_Track'!$F:$F&amp;'5) Release_Track'!$G:$G,'5) Release_Track'!$I:$I},2,0), or(and(not(isblank($B649)),$B649=$B648,$A649&lt;&gt;$A648),and(not(isblank($A649)),$A649=$A648,$B649&lt;&gt;$B648)),"ID LISTS UNALIGNED",and($A649&lt;&gt;"",countif('5) Release_Track'!$F:$F,$A649)=0),"NO ISRC MATCH in Release_Track",and($B649&lt;&gt;"",countif('5) Release_Track'!$G:$G,$B649)=0),"NO CATALOG ID MATCH in Release_Track",iserror(vlookup($A649&amp;$B649,'5) Release_Track'!$F:$F&amp;'5) Release_Track'!$G:$G,1,0)),"NO ISRC-CATALOG ID pair MATCH in Release_Track" )</f>
        <v/>
      </c>
      <c r="E649" s="142" t="b">
        <v>0</v>
      </c>
      <c r="F649" s="142" t="b">
        <v>0</v>
      </c>
      <c r="G649" s="142" t="b">
        <v>0</v>
      </c>
      <c r="H649" s="142" t="b">
        <v>0</v>
      </c>
      <c r="I649" s="142" t="b">
        <v>0</v>
      </c>
      <c r="J649" s="142" t="b">
        <v>0</v>
      </c>
      <c r="K649" s="142" t="b">
        <v>0</v>
      </c>
      <c r="L649" s="8" t="b">
        <v>0</v>
      </c>
    </row>
    <row r="650">
      <c r="B650" s="103"/>
      <c r="C650" s="121" t="str">
        <f t="array" ref="C650">ifs(and(isblank($A650),isblank($B650)),"", not(iserror(vlookup($A650&amp;$B650,'5) Release_Track'!$F:$F&amp;'5) Release_Track'!$G:$G,1,0))),vlookup($A650&amp;$B650,{'5) Release_Track'!$F:$F&amp;'5) Release_Track'!$G:$G,'5) Release_Track'!$H:$H},2,0), or(and(not(isblank($B650)),$B650=$B649,$A650&lt;&gt;$A649),and(not(isblank($A650)),$A650=$A649,$B650&lt;&gt;$B649)),"ID LISTS UNALIGNED",and($A650&lt;&gt;"",countif('5) Release_Track'!$F:$F,$A650)=0),"NO ISRC MATCH in Release_Track",and($B650&lt;&gt;"",countif('5) Release_Track'!$G:$G,$B650)=0),"NO CATALOG ID MATCH in Release_Track",iserror(vlookup($A650&amp;$B650,'5) Release_Track'!$F:$F&amp;'5) Release_Track'!$G:$G,1,0)),"NO ISRC-CATALOG ID pair MATCH in Release_Track" )</f>
        <v/>
      </c>
      <c r="D650" s="121" t="str">
        <f t="array" ref="D650">ifs(and(isblank($A650),isblank($B650)),"", not(iserror(vlookup($A650&amp;$B650,'5) Release_Track'!$F:$F&amp;'5) Release_Track'!$G:$G,1,0))),vlookup($A650&amp;$B650,{'5) Release_Track'!$F:$F&amp;'5) Release_Track'!$G:$G,'5) Release_Track'!$I:$I},2,0), or(and(not(isblank($B650)),$B650=$B649,$A650&lt;&gt;$A649),and(not(isblank($A650)),$A650=$A649,$B650&lt;&gt;$B649)),"ID LISTS UNALIGNED",and($A650&lt;&gt;"",countif('5) Release_Track'!$F:$F,$A650)=0),"NO ISRC MATCH in Release_Track",and($B650&lt;&gt;"",countif('5) Release_Track'!$G:$G,$B650)=0),"NO CATALOG ID MATCH in Release_Track",iserror(vlookup($A650&amp;$B650,'5) Release_Track'!$F:$F&amp;'5) Release_Track'!$G:$G,1,0)),"NO ISRC-CATALOG ID pair MATCH in Release_Track" )</f>
        <v/>
      </c>
      <c r="E650" s="142" t="b">
        <v>0</v>
      </c>
      <c r="F650" s="142" t="b">
        <v>0</v>
      </c>
      <c r="G650" s="142" t="b">
        <v>0</v>
      </c>
      <c r="H650" s="142" t="b">
        <v>0</v>
      </c>
      <c r="I650" s="142" t="b">
        <v>0</v>
      </c>
      <c r="J650" s="142" t="b">
        <v>0</v>
      </c>
      <c r="K650" s="142" t="b">
        <v>0</v>
      </c>
      <c r="L650" s="8" t="b">
        <v>0</v>
      </c>
    </row>
    <row r="651">
      <c r="B651" s="103"/>
      <c r="C651" s="121" t="str">
        <f t="array" ref="C651">ifs(and(isblank($A651),isblank($B651)),"", not(iserror(vlookup($A651&amp;$B651,'5) Release_Track'!$F:$F&amp;'5) Release_Track'!$G:$G,1,0))),vlookup($A651&amp;$B651,{'5) Release_Track'!$F:$F&amp;'5) Release_Track'!$G:$G,'5) Release_Track'!$H:$H},2,0), or(and(not(isblank($B651)),$B651=$B650,$A651&lt;&gt;$A650),and(not(isblank($A651)),$A651=$A650,$B651&lt;&gt;$B650)),"ID LISTS UNALIGNED",and($A651&lt;&gt;"",countif('5) Release_Track'!$F:$F,$A651)=0),"NO ISRC MATCH in Release_Track",and($B651&lt;&gt;"",countif('5) Release_Track'!$G:$G,$B651)=0),"NO CATALOG ID MATCH in Release_Track",iserror(vlookup($A651&amp;$B651,'5) Release_Track'!$F:$F&amp;'5) Release_Track'!$G:$G,1,0)),"NO ISRC-CATALOG ID pair MATCH in Release_Track" )</f>
        <v/>
      </c>
      <c r="D651" s="121" t="str">
        <f t="array" ref="D651">ifs(and(isblank($A651),isblank($B651)),"", not(iserror(vlookup($A651&amp;$B651,'5) Release_Track'!$F:$F&amp;'5) Release_Track'!$G:$G,1,0))),vlookup($A651&amp;$B651,{'5) Release_Track'!$F:$F&amp;'5) Release_Track'!$G:$G,'5) Release_Track'!$I:$I},2,0), or(and(not(isblank($B651)),$B651=$B650,$A651&lt;&gt;$A650),and(not(isblank($A651)),$A651=$A650,$B651&lt;&gt;$B650)),"ID LISTS UNALIGNED",and($A651&lt;&gt;"",countif('5) Release_Track'!$F:$F,$A651)=0),"NO ISRC MATCH in Release_Track",and($B651&lt;&gt;"",countif('5) Release_Track'!$G:$G,$B651)=0),"NO CATALOG ID MATCH in Release_Track",iserror(vlookup($A651&amp;$B651,'5) Release_Track'!$F:$F&amp;'5) Release_Track'!$G:$G,1,0)),"NO ISRC-CATALOG ID pair MATCH in Release_Track" )</f>
        <v/>
      </c>
      <c r="E651" s="142" t="b">
        <v>0</v>
      </c>
      <c r="F651" s="142" t="b">
        <v>0</v>
      </c>
      <c r="G651" s="142" t="b">
        <v>0</v>
      </c>
      <c r="H651" s="142" t="b">
        <v>0</v>
      </c>
      <c r="I651" s="142" t="b">
        <v>0</v>
      </c>
      <c r="J651" s="142" t="b">
        <v>0</v>
      </c>
      <c r="K651" s="142" t="b">
        <v>0</v>
      </c>
      <c r="L651" s="8" t="b">
        <v>0</v>
      </c>
    </row>
    <row r="652">
      <c r="B652" s="103"/>
      <c r="C652" s="121" t="str">
        <f t="array" ref="C652">ifs(and(isblank($A652),isblank($B652)),"", not(iserror(vlookup($A652&amp;$B652,'5) Release_Track'!$F:$F&amp;'5) Release_Track'!$G:$G,1,0))),vlookup($A652&amp;$B652,{'5) Release_Track'!$F:$F&amp;'5) Release_Track'!$G:$G,'5) Release_Track'!$H:$H},2,0), or(and(not(isblank($B652)),$B652=$B651,$A652&lt;&gt;$A651),and(not(isblank($A652)),$A652=$A651,$B652&lt;&gt;$B651)),"ID LISTS UNALIGNED",and($A652&lt;&gt;"",countif('5) Release_Track'!$F:$F,$A652)=0),"NO ISRC MATCH in Release_Track",and($B652&lt;&gt;"",countif('5) Release_Track'!$G:$G,$B652)=0),"NO CATALOG ID MATCH in Release_Track",iserror(vlookup($A652&amp;$B652,'5) Release_Track'!$F:$F&amp;'5) Release_Track'!$G:$G,1,0)),"NO ISRC-CATALOG ID pair MATCH in Release_Track" )</f>
        <v/>
      </c>
      <c r="D652" s="121" t="str">
        <f t="array" ref="D652">ifs(and(isblank($A652),isblank($B652)),"", not(iserror(vlookup($A652&amp;$B652,'5) Release_Track'!$F:$F&amp;'5) Release_Track'!$G:$G,1,0))),vlookup($A652&amp;$B652,{'5) Release_Track'!$F:$F&amp;'5) Release_Track'!$G:$G,'5) Release_Track'!$I:$I},2,0), or(and(not(isblank($B652)),$B652=$B651,$A652&lt;&gt;$A651),and(not(isblank($A652)),$A652=$A651,$B652&lt;&gt;$B651)),"ID LISTS UNALIGNED",and($A652&lt;&gt;"",countif('5) Release_Track'!$F:$F,$A652)=0),"NO ISRC MATCH in Release_Track",and($B652&lt;&gt;"",countif('5) Release_Track'!$G:$G,$B652)=0),"NO CATALOG ID MATCH in Release_Track",iserror(vlookup($A652&amp;$B652,'5) Release_Track'!$F:$F&amp;'5) Release_Track'!$G:$G,1,0)),"NO ISRC-CATALOG ID pair MATCH in Release_Track" )</f>
        <v/>
      </c>
      <c r="E652" s="142" t="b">
        <v>0</v>
      </c>
      <c r="F652" s="142" t="b">
        <v>0</v>
      </c>
      <c r="G652" s="142" t="b">
        <v>0</v>
      </c>
      <c r="H652" s="142" t="b">
        <v>0</v>
      </c>
      <c r="I652" s="142" t="b">
        <v>0</v>
      </c>
      <c r="J652" s="142" t="b">
        <v>0</v>
      </c>
      <c r="K652" s="142" t="b">
        <v>0</v>
      </c>
      <c r="L652" s="8" t="b">
        <v>0</v>
      </c>
    </row>
    <row r="653">
      <c r="B653" s="103"/>
      <c r="C653" s="121" t="str">
        <f t="array" ref="C653">ifs(and(isblank($A653),isblank($B653)),"", not(iserror(vlookup($A653&amp;$B653,'5) Release_Track'!$F:$F&amp;'5) Release_Track'!$G:$G,1,0))),vlookup($A653&amp;$B653,{'5) Release_Track'!$F:$F&amp;'5) Release_Track'!$G:$G,'5) Release_Track'!$H:$H},2,0), or(and(not(isblank($B653)),$B653=$B652,$A653&lt;&gt;$A652),and(not(isblank($A653)),$A653=$A652,$B653&lt;&gt;$B652)),"ID LISTS UNALIGNED",and($A653&lt;&gt;"",countif('5) Release_Track'!$F:$F,$A653)=0),"NO ISRC MATCH in Release_Track",and($B653&lt;&gt;"",countif('5) Release_Track'!$G:$G,$B653)=0),"NO CATALOG ID MATCH in Release_Track",iserror(vlookup($A653&amp;$B653,'5) Release_Track'!$F:$F&amp;'5) Release_Track'!$G:$G,1,0)),"NO ISRC-CATALOG ID pair MATCH in Release_Track" )</f>
        <v/>
      </c>
      <c r="D653" s="121" t="str">
        <f t="array" ref="D653">ifs(and(isblank($A653),isblank($B653)),"", not(iserror(vlookup($A653&amp;$B653,'5) Release_Track'!$F:$F&amp;'5) Release_Track'!$G:$G,1,0))),vlookup($A653&amp;$B653,{'5) Release_Track'!$F:$F&amp;'5) Release_Track'!$G:$G,'5) Release_Track'!$I:$I},2,0), or(and(not(isblank($B653)),$B653=$B652,$A653&lt;&gt;$A652),and(not(isblank($A653)),$A653=$A652,$B653&lt;&gt;$B652)),"ID LISTS UNALIGNED",and($A653&lt;&gt;"",countif('5) Release_Track'!$F:$F,$A653)=0),"NO ISRC MATCH in Release_Track",and($B653&lt;&gt;"",countif('5) Release_Track'!$G:$G,$B653)=0),"NO CATALOG ID MATCH in Release_Track",iserror(vlookup($A653&amp;$B653,'5) Release_Track'!$F:$F&amp;'5) Release_Track'!$G:$G,1,0)),"NO ISRC-CATALOG ID pair MATCH in Release_Track" )</f>
        <v/>
      </c>
      <c r="E653" s="142" t="b">
        <v>0</v>
      </c>
      <c r="F653" s="142" t="b">
        <v>0</v>
      </c>
      <c r="G653" s="142" t="b">
        <v>0</v>
      </c>
      <c r="H653" s="142" t="b">
        <v>0</v>
      </c>
      <c r="I653" s="142" t="b">
        <v>0</v>
      </c>
      <c r="J653" s="142" t="b">
        <v>0</v>
      </c>
      <c r="K653" s="142" t="b">
        <v>0</v>
      </c>
      <c r="L653" s="8" t="b">
        <v>0</v>
      </c>
    </row>
    <row r="654">
      <c r="B654" s="103"/>
      <c r="C654" s="121" t="str">
        <f t="array" ref="C654">ifs(and(isblank($A654),isblank($B654)),"", not(iserror(vlookup($A654&amp;$B654,'5) Release_Track'!$F:$F&amp;'5) Release_Track'!$G:$G,1,0))),vlookup($A654&amp;$B654,{'5) Release_Track'!$F:$F&amp;'5) Release_Track'!$G:$G,'5) Release_Track'!$H:$H},2,0), or(and(not(isblank($B654)),$B654=$B653,$A654&lt;&gt;$A653),and(not(isblank($A654)),$A654=$A653,$B654&lt;&gt;$B653)),"ID LISTS UNALIGNED",and($A654&lt;&gt;"",countif('5) Release_Track'!$F:$F,$A654)=0),"NO ISRC MATCH in Release_Track",and($B654&lt;&gt;"",countif('5) Release_Track'!$G:$G,$B654)=0),"NO CATALOG ID MATCH in Release_Track",iserror(vlookup($A654&amp;$B654,'5) Release_Track'!$F:$F&amp;'5) Release_Track'!$G:$G,1,0)),"NO ISRC-CATALOG ID pair MATCH in Release_Track" )</f>
        <v/>
      </c>
      <c r="D654" s="121" t="str">
        <f t="array" ref="D654">ifs(and(isblank($A654),isblank($B654)),"", not(iserror(vlookup($A654&amp;$B654,'5) Release_Track'!$F:$F&amp;'5) Release_Track'!$G:$G,1,0))),vlookup($A654&amp;$B654,{'5) Release_Track'!$F:$F&amp;'5) Release_Track'!$G:$G,'5) Release_Track'!$I:$I},2,0), or(and(not(isblank($B654)),$B654=$B653,$A654&lt;&gt;$A653),and(not(isblank($A654)),$A654=$A653,$B654&lt;&gt;$B653)),"ID LISTS UNALIGNED",and($A654&lt;&gt;"",countif('5) Release_Track'!$F:$F,$A654)=0),"NO ISRC MATCH in Release_Track",and($B654&lt;&gt;"",countif('5) Release_Track'!$G:$G,$B654)=0),"NO CATALOG ID MATCH in Release_Track",iserror(vlookup($A654&amp;$B654,'5) Release_Track'!$F:$F&amp;'5) Release_Track'!$G:$G,1,0)),"NO ISRC-CATALOG ID pair MATCH in Release_Track" )</f>
        <v/>
      </c>
      <c r="E654" s="142" t="b">
        <v>0</v>
      </c>
      <c r="F654" s="142" t="b">
        <v>0</v>
      </c>
      <c r="G654" s="142" t="b">
        <v>0</v>
      </c>
      <c r="H654" s="142" t="b">
        <v>0</v>
      </c>
      <c r="I654" s="142" t="b">
        <v>0</v>
      </c>
      <c r="J654" s="142" t="b">
        <v>0</v>
      </c>
      <c r="K654" s="142" t="b">
        <v>0</v>
      </c>
      <c r="L654" s="8" t="b">
        <v>0</v>
      </c>
    </row>
    <row r="655">
      <c r="B655" s="103"/>
      <c r="C655" s="121" t="str">
        <f t="array" ref="C655">ifs(and(isblank($A655),isblank($B655)),"", not(iserror(vlookup($A655&amp;$B655,'5) Release_Track'!$F:$F&amp;'5) Release_Track'!$G:$G,1,0))),vlookup($A655&amp;$B655,{'5) Release_Track'!$F:$F&amp;'5) Release_Track'!$G:$G,'5) Release_Track'!$H:$H},2,0), or(and(not(isblank($B655)),$B655=$B654,$A655&lt;&gt;$A654),and(not(isblank($A655)),$A655=$A654,$B655&lt;&gt;$B654)),"ID LISTS UNALIGNED",and($A655&lt;&gt;"",countif('5) Release_Track'!$F:$F,$A655)=0),"NO ISRC MATCH in Release_Track",and($B655&lt;&gt;"",countif('5) Release_Track'!$G:$G,$B655)=0),"NO CATALOG ID MATCH in Release_Track",iserror(vlookup($A655&amp;$B655,'5) Release_Track'!$F:$F&amp;'5) Release_Track'!$G:$G,1,0)),"NO ISRC-CATALOG ID pair MATCH in Release_Track" )</f>
        <v/>
      </c>
      <c r="D655" s="121" t="str">
        <f t="array" ref="D655">ifs(and(isblank($A655),isblank($B655)),"", not(iserror(vlookup($A655&amp;$B655,'5) Release_Track'!$F:$F&amp;'5) Release_Track'!$G:$G,1,0))),vlookup($A655&amp;$B655,{'5) Release_Track'!$F:$F&amp;'5) Release_Track'!$G:$G,'5) Release_Track'!$I:$I},2,0), or(and(not(isblank($B655)),$B655=$B654,$A655&lt;&gt;$A654),and(not(isblank($A655)),$A655=$A654,$B655&lt;&gt;$B654)),"ID LISTS UNALIGNED",and($A655&lt;&gt;"",countif('5) Release_Track'!$F:$F,$A655)=0),"NO ISRC MATCH in Release_Track",and($B655&lt;&gt;"",countif('5) Release_Track'!$G:$G,$B655)=0),"NO CATALOG ID MATCH in Release_Track",iserror(vlookup($A655&amp;$B655,'5) Release_Track'!$F:$F&amp;'5) Release_Track'!$G:$G,1,0)),"NO ISRC-CATALOG ID pair MATCH in Release_Track" )</f>
        <v/>
      </c>
      <c r="E655" s="142" t="b">
        <v>0</v>
      </c>
      <c r="F655" s="142" t="b">
        <v>0</v>
      </c>
      <c r="G655" s="142" t="b">
        <v>0</v>
      </c>
      <c r="H655" s="142" t="b">
        <v>0</v>
      </c>
      <c r="I655" s="142" t="b">
        <v>0</v>
      </c>
      <c r="J655" s="142" t="b">
        <v>0</v>
      </c>
      <c r="K655" s="142" t="b">
        <v>0</v>
      </c>
      <c r="L655" s="8" t="b">
        <v>0</v>
      </c>
    </row>
    <row r="656">
      <c r="B656" s="103"/>
      <c r="C656" s="121" t="str">
        <f t="array" ref="C656">ifs(and(isblank($A656),isblank($B656)),"", not(iserror(vlookup($A656&amp;$B656,'5) Release_Track'!$F:$F&amp;'5) Release_Track'!$G:$G,1,0))),vlookup($A656&amp;$B656,{'5) Release_Track'!$F:$F&amp;'5) Release_Track'!$G:$G,'5) Release_Track'!$H:$H},2,0), or(and(not(isblank($B656)),$B656=$B655,$A656&lt;&gt;$A655),and(not(isblank($A656)),$A656=$A655,$B656&lt;&gt;$B655)),"ID LISTS UNALIGNED",and($A656&lt;&gt;"",countif('5) Release_Track'!$F:$F,$A656)=0),"NO ISRC MATCH in Release_Track",and($B656&lt;&gt;"",countif('5) Release_Track'!$G:$G,$B656)=0),"NO CATALOG ID MATCH in Release_Track",iserror(vlookup($A656&amp;$B656,'5) Release_Track'!$F:$F&amp;'5) Release_Track'!$G:$G,1,0)),"NO ISRC-CATALOG ID pair MATCH in Release_Track" )</f>
        <v/>
      </c>
      <c r="D656" s="121" t="str">
        <f t="array" ref="D656">ifs(and(isblank($A656),isblank($B656)),"", not(iserror(vlookup($A656&amp;$B656,'5) Release_Track'!$F:$F&amp;'5) Release_Track'!$G:$G,1,0))),vlookup($A656&amp;$B656,{'5) Release_Track'!$F:$F&amp;'5) Release_Track'!$G:$G,'5) Release_Track'!$I:$I},2,0), or(and(not(isblank($B656)),$B656=$B655,$A656&lt;&gt;$A655),and(not(isblank($A656)),$A656=$A655,$B656&lt;&gt;$B655)),"ID LISTS UNALIGNED",and($A656&lt;&gt;"",countif('5) Release_Track'!$F:$F,$A656)=0),"NO ISRC MATCH in Release_Track",and($B656&lt;&gt;"",countif('5) Release_Track'!$G:$G,$B656)=0),"NO CATALOG ID MATCH in Release_Track",iserror(vlookup($A656&amp;$B656,'5) Release_Track'!$F:$F&amp;'5) Release_Track'!$G:$G,1,0)),"NO ISRC-CATALOG ID pair MATCH in Release_Track" )</f>
        <v/>
      </c>
      <c r="E656" s="142" t="b">
        <v>0</v>
      </c>
      <c r="F656" s="142" t="b">
        <v>0</v>
      </c>
      <c r="G656" s="142" t="b">
        <v>0</v>
      </c>
      <c r="H656" s="142" t="b">
        <v>0</v>
      </c>
      <c r="I656" s="142" t="b">
        <v>0</v>
      </c>
      <c r="J656" s="142" t="b">
        <v>0</v>
      </c>
      <c r="K656" s="142" t="b">
        <v>0</v>
      </c>
      <c r="L656" s="8" t="b">
        <v>0</v>
      </c>
    </row>
    <row r="657">
      <c r="B657" s="103"/>
      <c r="C657" s="121" t="str">
        <f t="array" ref="C657">ifs(and(isblank($A657),isblank($B657)),"", not(iserror(vlookup($A657&amp;$B657,'5) Release_Track'!$F:$F&amp;'5) Release_Track'!$G:$G,1,0))),vlookup($A657&amp;$B657,{'5) Release_Track'!$F:$F&amp;'5) Release_Track'!$G:$G,'5) Release_Track'!$H:$H},2,0), or(and(not(isblank($B657)),$B657=$B656,$A657&lt;&gt;$A656),and(not(isblank($A657)),$A657=$A656,$B657&lt;&gt;$B656)),"ID LISTS UNALIGNED",and($A657&lt;&gt;"",countif('5) Release_Track'!$F:$F,$A657)=0),"NO ISRC MATCH in Release_Track",and($B657&lt;&gt;"",countif('5) Release_Track'!$G:$G,$B657)=0),"NO CATALOG ID MATCH in Release_Track",iserror(vlookup($A657&amp;$B657,'5) Release_Track'!$F:$F&amp;'5) Release_Track'!$G:$G,1,0)),"NO ISRC-CATALOG ID pair MATCH in Release_Track" )</f>
        <v/>
      </c>
      <c r="D657" s="121" t="str">
        <f t="array" ref="D657">ifs(and(isblank($A657),isblank($B657)),"", not(iserror(vlookup($A657&amp;$B657,'5) Release_Track'!$F:$F&amp;'5) Release_Track'!$G:$G,1,0))),vlookup($A657&amp;$B657,{'5) Release_Track'!$F:$F&amp;'5) Release_Track'!$G:$G,'5) Release_Track'!$I:$I},2,0), or(and(not(isblank($B657)),$B657=$B656,$A657&lt;&gt;$A656),and(not(isblank($A657)),$A657=$A656,$B657&lt;&gt;$B656)),"ID LISTS UNALIGNED",and($A657&lt;&gt;"",countif('5) Release_Track'!$F:$F,$A657)=0),"NO ISRC MATCH in Release_Track",and($B657&lt;&gt;"",countif('5) Release_Track'!$G:$G,$B657)=0),"NO CATALOG ID MATCH in Release_Track",iserror(vlookup($A657&amp;$B657,'5) Release_Track'!$F:$F&amp;'5) Release_Track'!$G:$G,1,0)),"NO ISRC-CATALOG ID pair MATCH in Release_Track" )</f>
        <v/>
      </c>
      <c r="E657" s="142" t="b">
        <v>0</v>
      </c>
      <c r="F657" s="142" t="b">
        <v>0</v>
      </c>
      <c r="G657" s="142" t="b">
        <v>0</v>
      </c>
      <c r="H657" s="142" t="b">
        <v>0</v>
      </c>
      <c r="I657" s="142" t="b">
        <v>0</v>
      </c>
      <c r="J657" s="142" t="b">
        <v>0</v>
      </c>
      <c r="K657" s="142" t="b">
        <v>0</v>
      </c>
      <c r="L657" s="8" t="b">
        <v>0</v>
      </c>
    </row>
    <row r="658">
      <c r="B658" s="103"/>
      <c r="C658" s="121" t="str">
        <f t="array" ref="C658">ifs(and(isblank($A658),isblank($B658)),"", not(iserror(vlookup($A658&amp;$B658,'5) Release_Track'!$F:$F&amp;'5) Release_Track'!$G:$G,1,0))),vlookup($A658&amp;$B658,{'5) Release_Track'!$F:$F&amp;'5) Release_Track'!$G:$G,'5) Release_Track'!$H:$H},2,0), or(and(not(isblank($B658)),$B658=$B657,$A658&lt;&gt;$A657),and(not(isblank($A658)),$A658=$A657,$B658&lt;&gt;$B657)),"ID LISTS UNALIGNED",and($A658&lt;&gt;"",countif('5) Release_Track'!$F:$F,$A658)=0),"NO ISRC MATCH in Release_Track",and($B658&lt;&gt;"",countif('5) Release_Track'!$G:$G,$B658)=0),"NO CATALOG ID MATCH in Release_Track",iserror(vlookup($A658&amp;$B658,'5) Release_Track'!$F:$F&amp;'5) Release_Track'!$G:$G,1,0)),"NO ISRC-CATALOG ID pair MATCH in Release_Track" )</f>
        <v/>
      </c>
      <c r="D658" s="121" t="str">
        <f t="array" ref="D658">ifs(and(isblank($A658),isblank($B658)),"", not(iserror(vlookup($A658&amp;$B658,'5) Release_Track'!$F:$F&amp;'5) Release_Track'!$G:$G,1,0))),vlookup($A658&amp;$B658,{'5) Release_Track'!$F:$F&amp;'5) Release_Track'!$G:$G,'5) Release_Track'!$I:$I},2,0), or(and(not(isblank($B658)),$B658=$B657,$A658&lt;&gt;$A657),and(not(isblank($A658)),$A658=$A657,$B658&lt;&gt;$B657)),"ID LISTS UNALIGNED",and($A658&lt;&gt;"",countif('5) Release_Track'!$F:$F,$A658)=0),"NO ISRC MATCH in Release_Track",and($B658&lt;&gt;"",countif('5) Release_Track'!$G:$G,$B658)=0),"NO CATALOG ID MATCH in Release_Track",iserror(vlookup($A658&amp;$B658,'5) Release_Track'!$F:$F&amp;'5) Release_Track'!$G:$G,1,0)),"NO ISRC-CATALOG ID pair MATCH in Release_Track" )</f>
        <v/>
      </c>
      <c r="E658" s="142" t="b">
        <v>0</v>
      </c>
      <c r="F658" s="142" t="b">
        <v>0</v>
      </c>
      <c r="G658" s="142" t="b">
        <v>0</v>
      </c>
      <c r="H658" s="142" t="b">
        <v>0</v>
      </c>
      <c r="I658" s="142" t="b">
        <v>0</v>
      </c>
      <c r="J658" s="142" t="b">
        <v>0</v>
      </c>
      <c r="K658" s="142" t="b">
        <v>0</v>
      </c>
      <c r="L658" s="8" t="b">
        <v>0</v>
      </c>
    </row>
    <row r="659">
      <c r="B659" s="103"/>
      <c r="C659" s="121" t="str">
        <f t="array" ref="C659">ifs(and(isblank($A659),isblank($B659)),"", not(iserror(vlookup($A659&amp;$B659,'5) Release_Track'!$F:$F&amp;'5) Release_Track'!$G:$G,1,0))),vlookup($A659&amp;$B659,{'5) Release_Track'!$F:$F&amp;'5) Release_Track'!$G:$G,'5) Release_Track'!$H:$H},2,0), or(and(not(isblank($B659)),$B659=$B658,$A659&lt;&gt;$A658),and(not(isblank($A659)),$A659=$A658,$B659&lt;&gt;$B658)),"ID LISTS UNALIGNED",and($A659&lt;&gt;"",countif('5) Release_Track'!$F:$F,$A659)=0),"NO ISRC MATCH in Release_Track",and($B659&lt;&gt;"",countif('5) Release_Track'!$G:$G,$B659)=0),"NO CATALOG ID MATCH in Release_Track",iserror(vlookup($A659&amp;$B659,'5) Release_Track'!$F:$F&amp;'5) Release_Track'!$G:$G,1,0)),"NO ISRC-CATALOG ID pair MATCH in Release_Track" )</f>
        <v/>
      </c>
      <c r="D659" s="121" t="str">
        <f t="array" ref="D659">ifs(and(isblank($A659),isblank($B659)),"", not(iserror(vlookup($A659&amp;$B659,'5) Release_Track'!$F:$F&amp;'5) Release_Track'!$G:$G,1,0))),vlookup($A659&amp;$B659,{'5) Release_Track'!$F:$F&amp;'5) Release_Track'!$G:$G,'5) Release_Track'!$I:$I},2,0), or(and(not(isblank($B659)),$B659=$B658,$A659&lt;&gt;$A658),and(not(isblank($A659)),$A659=$A658,$B659&lt;&gt;$B658)),"ID LISTS UNALIGNED",and($A659&lt;&gt;"",countif('5) Release_Track'!$F:$F,$A659)=0),"NO ISRC MATCH in Release_Track",and($B659&lt;&gt;"",countif('5) Release_Track'!$G:$G,$B659)=0),"NO CATALOG ID MATCH in Release_Track",iserror(vlookup($A659&amp;$B659,'5) Release_Track'!$F:$F&amp;'5) Release_Track'!$G:$G,1,0)),"NO ISRC-CATALOG ID pair MATCH in Release_Track" )</f>
        <v/>
      </c>
      <c r="E659" s="142" t="b">
        <v>0</v>
      </c>
      <c r="F659" s="142" t="b">
        <v>0</v>
      </c>
      <c r="G659" s="142" t="b">
        <v>0</v>
      </c>
      <c r="H659" s="142" t="b">
        <v>0</v>
      </c>
      <c r="I659" s="142" t="b">
        <v>0</v>
      </c>
      <c r="J659" s="142" t="b">
        <v>0</v>
      </c>
      <c r="K659" s="142" t="b">
        <v>0</v>
      </c>
      <c r="L659" s="8" t="b">
        <v>0</v>
      </c>
    </row>
    <row r="660">
      <c r="B660" s="103"/>
      <c r="C660" s="121" t="str">
        <f t="array" ref="C660">ifs(and(isblank($A660),isblank($B660)),"", not(iserror(vlookup($A660&amp;$B660,'5) Release_Track'!$F:$F&amp;'5) Release_Track'!$G:$G,1,0))),vlookup($A660&amp;$B660,{'5) Release_Track'!$F:$F&amp;'5) Release_Track'!$G:$G,'5) Release_Track'!$H:$H},2,0), or(and(not(isblank($B660)),$B660=$B659,$A660&lt;&gt;$A659),and(not(isblank($A660)),$A660=$A659,$B660&lt;&gt;$B659)),"ID LISTS UNALIGNED",and($A660&lt;&gt;"",countif('5) Release_Track'!$F:$F,$A660)=0),"NO ISRC MATCH in Release_Track",and($B660&lt;&gt;"",countif('5) Release_Track'!$G:$G,$B660)=0),"NO CATALOG ID MATCH in Release_Track",iserror(vlookup($A660&amp;$B660,'5) Release_Track'!$F:$F&amp;'5) Release_Track'!$G:$G,1,0)),"NO ISRC-CATALOG ID pair MATCH in Release_Track" )</f>
        <v/>
      </c>
      <c r="D660" s="121" t="str">
        <f t="array" ref="D660">ifs(and(isblank($A660),isblank($B660)),"", not(iserror(vlookup($A660&amp;$B660,'5) Release_Track'!$F:$F&amp;'5) Release_Track'!$G:$G,1,0))),vlookup($A660&amp;$B660,{'5) Release_Track'!$F:$F&amp;'5) Release_Track'!$G:$G,'5) Release_Track'!$I:$I},2,0), or(and(not(isblank($B660)),$B660=$B659,$A660&lt;&gt;$A659),and(not(isblank($A660)),$A660=$A659,$B660&lt;&gt;$B659)),"ID LISTS UNALIGNED",and($A660&lt;&gt;"",countif('5) Release_Track'!$F:$F,$A660)=0),"NO ISRC MATCH in Release_Track",and($B660&lt;&gt;"",countif('5) Release_Track'!$G:$G,$B660)=0),"NO CATALOG ID MATCH in Release_Track",iserror(vlookup($A660&amp;$B660,'5) Release_Track'!$F:$F&amp;'5) Release_Track'!$G:$G,1,0)),"NO ISRC-CATALOG ID pair MATCH in Release_Track" )</f>
        <v/>
      </c>
      <c r="E660" s="142" t="b">
        <v>0</v>
      </c>
      <c r="F660" s="142" t="b">
        <v>0</v>
      </c>
      <c r="G660" s="142" t="b">
        <v>0</v>
      </c>
      <c r="H660" s="142" t="b">
        <v>0</v>
      </c>
      <c r="I660" s="142" t="b">
        <v>0</v>
      </c>
      <c r="J660" s="142" t="b">
        <v>0</v>
      </c>
      <c r="K660" s="142" t="b">
        <v>0</v>
      </c>
      <c r="L660" s="8" t="b">
        <v>0</v>
      </c>
    </row>
    <row r="661">
      <c r="B661" s="103"/>
      <c r="C661" s="121" t="str">
        <f t="array" ref="C661">ifs(and(isblank($A661),isblank($B661)),"", not(iserror(vlookup($A661&amp;$B661,'5) Release_Track'!$F:$F&amp;'5) Release_Track'!$G:$G,1,0))),vlookup($A661&amp;$B661,{'5) Release_Track'!$F:$F&amp;'5) Release_Track'!$G:$G,'5) Release_Track'!$H:$H},2,0), or(and(not(isblank($B661)),$B661=$B660,$A661&lt;&gt;$A660),and(not(isblank($A661)),$A661=$A660,$B661&lt;&gt;$B660)),"ID LISTS UNALIGNED",and($A661&lt;&gt;"",countif('5) Release_Track'!$F:$F,$A661)=0),"NO ISRC MATCH in Release_Track",and($B661&lt;&gt;"",countif('5) Release_Track'!$G:$G,$B661)=0),"NO CATALOG ID MATCH in Release_Track",iserror(vlookup($A661&amp;$B661,'5) Release_Track'!$F:$F&amp;'5) Release_Track'!$G:$G,1,0)),"NO ISRC-CATALOG ID pair MATCH in Release_Track" )</f>
        <v/>
      </c>
      <c r="D661" s="121" t="str">
        <f t="array" ref="D661">ifs(and(isblank($A661),isblank($B661)),"", not(iserror(vlookup($A661&amp;$B661,'5) Release_Track'!$F:$F&amp;'5) Release_Track'!$G:$G,1,0))),vlookup($A661&amp;$B661,{'5) Release_Track'!$F:$F&amp;'5) Release_Track'!$G:$G,'5) Release_Track'!$I:$I},2,0), or(and(not(isblank($B661)),$B661=$B660,$A661&lt;&gt;$A660),and(not(isblank($A661)),$A661=$A660,$B661&lt;&gt;$B660)),"ID LISTS UNALIGNED",and($A661&lt;&gt;"",countif('5) Release_Track'!$F:$F,$A661)=0),"NO ISRC MATCH in Release_Track",and($B661&lt;&gt;"",countif('5) Release_Track'!$G:$G,$B661)=0),"NO CATALOG ID MATCH in Release_Track",iserror(vlookup($A661&amp;$B661,'5) Release_Track'!$F:$F&amp;'5) Release_Track'!$G:$G,1,0)),"NO ISRC-CATALOG ID pair MATCH in Release_Track" )</f>
        <v/>
      </c>
      <c r="E661" s="142" t="b">
        <v>0</v>
      </c>
      <c r="F661" s="142" t="b">
        <v>0</v>
      </c>
      <c r="G661" s="142" t="b">
        <v>0</v>
      </c>
      <c r="H661" s="142" t="b">
        <v>0</v>
      </c>
      <c r="I661" s="142" t="b">
        <v>0</v>
      </c>
      <c r="J661" s="142" t="b">
        <v>0</v>
      </c>
      <c r="K661" s="142" t="b">
        <v>0</v>
      </c>
      <c r="L661" s="8" t="b">
        <v>0</v>
      </c>
    </row>
    <row r="662">
      <c r="B662" s="103"/>
      <c r="C662" s="121" t="str">
        <f t="array" ref="C662">ifs(and(isblank($A662),isblank($B662)),"", not(iserror(vlookup($A662&amp;$B662,'5) Release_Track'!$F:$F&amp;'5) Release_Track'!$G:$G,1,0))),vlookup($A662&amp;$B662,{'5) Release_Track'!$F:$F&amp;'5) Release_Track'!$G:$G,'5) Release_Track'!$H:$H},2,0), or(and(not(isblank($B662)),$B662=$B661,$A662&lt;&gt;$A661),and(not(isblank($A662)),$A662=$A661,$B662&lt;&gt;$B661)),"ID LISTS UNALIGNED",and($A662&lt;&gt;"",countif('5) Release_Track'!$F:$F,$A662)=0),"NO ISRC MATCH in Release_Track",and($B662&lt;&gt;"",countif('5) Release_Track'!$G:$G,$B662)=0),"NO CATALOG ID MATCH in Release_Track",iserror(vlookup($A662&amp;$B662,'5) Release_Track'!$F:$F&amp;'5) Release_Track'!$G:$G,1,0)),"NO ISRC-CATALOG ID pair MATCH in Release_Track" )</f>
        <v/>
      </c>
      <c r="D662" s="121" t="str">
        <f t="array" ref="D662">ifs(and(isblank($A662),isblank($B662)),"", not(iserror(vlookup($A662&amp;$B662,'5) Release_Track'!$F:$F&amp;'5) Release_Track'!$G:$G,1,0))),vlookup($A662&amp;$B662,{'5) Release_Track'!$F:$F&amp;'5) Release_Track'!$G:$G,'5) Release_Track'!$I:$I},2,0), or(and(not(isblank($B662)),$B662=$B661,$A662&lt;&gt;$A661),and(not(isblank($A662)),$A662=$A661,$B662&lt;&gt;$B661)),"ID LISTS UNALIGNED",and($A662&lt;&gt;"",countif('5) Release_Track'!$F:$F,$A662)=0),"NO ISRC MATCH in Release_Track",and($B662&lt;&gt;"",countif('5) Release_Track'!$G:$G,$B662)=0),"NO CATALOG ID MATCH in Release_Track",iserror(vlookup($A662&amp;$B662,'5) Release_Track'!$F:$F&amp;'5) Release_Track'!$G:$G,1,0)),"NO ISRC-CATALOG ID pair MATCH in Release_Track" )</f>
        <v/>
      </c>
      <c r="E662" s="142" t="b">
        <v>0</v>
      </c>
      <c r="F662" s="142" t="b">
        <v>0</v>
      </c>
      <c r="G662" s="142" t="b">
        <v>0</v>
      </c>
      <c r="H662" s="142" t="b">
        <v>0</v>
      </c>
      <c r="I662" s="142" t="b">
        <v>0</v>
      </c>
      <c r="J662" s="142" t="b">
        <v>0</v>
      </c>
      <c r="K662" s="142" t="b">
        <v>0</v>
      </c>
      <c r="L662" s="8" t="b">
        <v>0</v>
      </c>
    </row>
    <row r="663">
      <c r="B663" s="103"/>
      <c r="C663" s="121" t="str">
        <f t="array" ref="C663">ifs(and(isblank($A663),isblank($B663)),"", not(iserror(vlookup($A663&amp;$B663,'5) Release_Track'!$F:$F&amp;'5) Release_Track'!$G:$G,1,0))),vlookup($A663&amp;$B663,{'5) Release_Track'!$F:$F&amp;'5) Release_Track'!$G:$G,'5) Release_Track'!$H:$H},2,0), or(and(not(isblank($B663)),$B663=$B662,$A663&lt;&gt;$A662),and(not(isblank($A663)),$A663=$A662,$B663&lt;&gt;$B662)),"ID LISTS UNALIGNED",and($A663&lt;&gt;"",countif('5) Release_Track'!$F:$F,$A663)=0),"NO ISRC MATCH in Release_Track",and($B663&lt;&gt;"",countif('5) Release_Track'!$G:$G,$B663)=0),"NO CATALOG ID MATCH in Release_Track",iserror(vlookup($A663&amp;$B663,'5) Release_Track'!$F:$F&amp;'5) Release_Track'!$G:$G,1,0)),"NO ISRC-CATALOG ID pair MATCH in Release_Track" )</f>
        <v/>
      </c>
      <c r="D663" s="121" t="str">
        <f t="array" ref="D663">ifs(and(isblank($A663),isblank($B663)),"", not(iserror(vlookup($A663&amp;$B663,'5) Release_Track'!$F:$F&amp;'5) Release_Track'!$G:$G,1,0))),vlookup($A663&amp;$B663,{'5) Release_Track'!$F:$F&amp;'5) Release_Track'!$G:$G,'5) Release_Track'!$I:$I},2,0), or(and(not(isblank($B663)),$B663=$B662,$A663&lt;&gt;$A662),and(not(isblank($A663)),$A663=$A662,$B663&lt;&gt;$B662)),"ID LISTS UNALIGNED",and($A663&lt;&gt;"",countif('5) Release_Track'!$F:$F,$A663)=0),"NO ISRC MATCH in Release_Track",and($B663&lt;&gt;"",countif('5) Release_Track'!$G:$G,$B663)=0),"NO CATALOG ID MATCH in Release_Track",iserror(vlookup($A663&amp;$B663,'5) Release_Track'!$F:$F&amp;'5) Release_Track'!$G:$G,1,0)),"NO ISRC-CATALOG ID pair MATCH in Release_Track" )</f>
        <v/>
      </c>
      <c r="E663" s="142" t="b">
        <v>0</v>
      </c>
      <c r="F663" s="142" t="b">
        <v>0</v>
      </c>
      <c r="G663" s="142" t="b">
        <v>0</v>
      </c>
      <c r="H663" s="142" t="b">
        <v>0</v>
      </c>
      <c r="I663" s="142" t="b">
        <v>0</v>
      </c>
      <c r="J663" s="142" t="b">
        <v>0</v>
      </c>
      <c r="K663" s="142" t="b">
        <v>0</v>
      </c>
      <c r="L663" s="8" t="b">
        <v>0</v>
      </c>
    </row>
    <row r="664">
      <c r="B664" s="103"/>
      <c r="C664" s="121" t="str">
        <f t="array" ref="C664">ifs(and(isblank($A664),isblank($B664)),"", not(iserror(vlookup($A664&amp;$B664,'5) Release_Track'!$F:$F&amp;'5) Release_Track'!$G:$G,1,0))),vlookup($A664&amp;$B664,{'5) Release_Track'!$F:$F&amp;'5) Release_Track'!$G:$G,'5) Release_Track'!$H:$H},2,0), or(and(not(isblank($B664)),$B664=$B663,$A664&lt;&gt;$A663),and(not(isblank($A664)),$A664=$A663,$B664&lt;&gt;$B663)),"ID LISTS UNALIGNED",and($A664&lt;&gt;"",countif('5) Release_Track'!$F:$F,$A664)=0),"NO ISRC MATCH in Release_Track",and($B664&lt;&gt;"",countif('5) Release_Track'!$G:$G,$B664)=0),"NO CATALOG ID MATCH in Release_Track",iserror(vlookup($A664&amp;$B664,'5) Release_Track'!$F:$F&amp;'5) Release_Track'!$G:$G,1,0)),"NO ISRC-CATALOG ID pair MATCH in Release_Track" )</f>
        <v/>
      </c>
      <c r="D664" s="121" t="str">
        <f t="array" ref="D664">ifs(and(isblank($A664),isblank($B664)),"", not(iserror(vlookup($A664&amp;$B664,'5) Release_Track'!$F:$F&amp;'5) Release_Track'!$G:$G,1,0))),vlookup($A664&amp;$B664,{'5) Release_Track'!$F:$F&amp;'5) Release_Track'!$G:$G,'5) Release_Track'!$I:$I},2,0), or(and(not(isblank($B664)),$B664=$B663,$A664&lt;&gt;$A663),and(not(isblank($A664)),$A664=$A663,$B664&lt;&gt;$B663)),"ID LISTS UNALIGNED",and($A664&lt;&gt;"",countif('5) Release_Track'!$F:$F,$A664)=0),"NO ISRC MATCH in Release_Track",and($B664&lt;&gt;"",countif('5) Release_Track'!$G:$G,$B664)=0),"NO CATALOG ID MATCH in Release_Track",iserror(vlookup($A664&amp;$B664,'5) Release_Track'!$F:$F&amp;'5) Release_Track'!$G:$G,1,0)),"NO ISRC-CATALOG ID pair MATCH in Release_Track" )</f>
        <v/>
      </c>
      <c r="E664" s="142" t="b">
        <v>0</v>
      </c>
      <c r="F664" s="142" t="b">
        <v>0</v>
      </c>
      <c r="G664" s="142" t="b">
        <v>0</v>
      </c>
      <c r="H664" s="142" t="b">
        <v>0</v>
      </c>
      <c r="I664" s="142" t="b">
        <v>0</v>
      </c>
      <c r="J664" s="142" t="b">
        <v>0</v>
      </c>
      <c r="K664" s="142" t="b">
        <v>0</v>
      </c>
      <c r="L664" s="8" t="b">
        <v>0</v>
      </c>
    </row>
    <row r="665">
      <c r="B665" s="103"/>
      <c r="C665" s="121" t="str">
        <f t="array" ref="C665">ifs(and(isblank($A665),isblank($B665)),"", not(iserror(vlookup($A665&amp;$B665,'5) Release_Track'!$F:$F&amp;'5) Release_Track'!$G:$G,1,0))),vlookup($A665&amp;$B665,{'5) Release_Track'!$F:$F&amp;'5) Release_Track'!$G:$G,'5) Release_Track'!$H:$H},2,0), or(and(not(isblank($B665)),$B665=$B664,$A665&lt;&gt;$A664),and(not(isblank($A665)),$A665=$A664,$B665&lt;&gt;$B664)),"ID LISTS UNALIGNED",and($A665&lt;&gt;"",countif('5) Release_Track'!$F:$F,$A665)=0),"NO ISRC MATCH in Release_Track",and($B665&lt;&gt;"",countif('5) Release_Track'!$G:$G,$B665)=0),"NO CATALOG ID MATCH in Release_Track",iserror(vlookup($A665&amp;$B665,'5) Release_Track'!$F:$F&amp;'5) Release_Track'!$G:$G,1,0)),"NO ISRC-CATALOG ID pair MATCH in Release_Track" )</f>
        <v/>
      </c>
      <c r="D665" s="121" t="str">
        <f t="array" ref="D665">ifs(and(isblank($A665),isblank($B665)),"", not(iserror(vlookup($A665&amp;$B665,'5) Release_Track'!$F:$F&amp;'5) Release_Track'!$G:$G,1,0))),vlookup($A665&amp;$B665,{'5) Release_Track'!$F:$F&amp;'5) Release_Track'!$G:$G,'5) Release_Track'!$I:$I},2,0), or(and(not(isblank($B665)),$B665=$B664,$A665&lt;&gt;$A664),and(not(isblank($A665)),$A665=$A664,$B665&lt;&gt;$B664)),"ID LISTS UNALIGNED",and($A665&lt;&gt;"",countif('5) Release_Track'!$F:$F,$A665)=0),"NO ISRC MATCH in Release_Track",and($B665&lt;&gt;"",countif('5) Release_Track'!$G:$G,$B665)=0),"NO CATALOG ID MATCH in Release_Track",iserror(vlookup($A665&amp;$B665,'5) Release_Track'!$F:$F&amp;'5) Release_Track'!$G:$G,1,0)),"NO ISRC-CATALOG ID pair MATCH in Release_Track" )</f>
        <v/>
      </c>
      <c r="E665" s="142" t="b">
        <v>0</v>
      </c>
      <c r="F665" s="142" t="b">
        <v>0</v>
      </c>
      <c r="G665" s="142" t="b">
        <v>0</v>
      </c>
      <c r="H665" s="142" t="b">
        <v>0</v>
      </c>
      <c r="I665" s="142" t="b">
        <v>0</v>
      </c>
      <c r="J665" s="142" t="b">
        <v>0</v>
      </c>
      <c r="K665" s="142" t="b">
        <v>0</v>
      </c>
      <c r="L665" s="8" t="b">
        <v>0</v>
      </c>
    </row>
    <row r="666">
      <c r="B666" s="103"/>
      <c r="C666" s="121" t="str">
        <f t="array" ref="C666">ifs(and(isblank($A666),isblank($B666)),"", not(iserror(vlookup($A666&amp;$B666,'5) Release_Track'!$F:$F&amp;'5) Release_Track'!$G:$G,1,0))),vlookup($A666&amp;$B666,{'5) Release_Track'!$F:$F&amp;'5) Release_Track'!$G:$G,'5) Release_Track'!$H:$H},2,0), or(and(not(isblank($B666)),$B666=$B665,$A666&lt;&gt;$A665),and(not(isblank($A666)),$A666=$A665,$B666&lt;&gt;$B665)),"ID LISTS UNALIGNED",and($A666&lt;&gt;"",countif('5) Release_Track'!$F:$F,$A666)=0),"NO ISRC MATCH in Release_Track",and($B666&lt;&gt;"",countif('5) Release_Track'!$G:$G,$B666)=0),"NO CATALOG ID MATCH in Release_Track",iserror(vlookup($A666&amp;$B666,'5) Release_Track'!$F:$F&amp;'5) Release_Track'!$G:$G,1,0)),"NO ISRC-CATALOG ID pair MATCH in Release_Track" )</f>
        <v/>
      </c>
      <c r="D666" s="121" t="str">
        <f t="array" ref="D666">ifs(and(isblank($A666),isblank($B666)),"", not(iserror(vlookup($A666&amp;$B666,'5) Release_Track'!$F:$F&amp;'5) Release_Track'!$G:$G,1,0))),vlookup($A666&amp;$B666,{'5) Release_Track'!$F:$F&amp;'5) Release_Track'!$G:$G,'5) Release_Track'!$I:$I},2,0), or(and(not(isblank($B666)),$B666=$B665,$A666&lt;&gt;$A665),and(not(isblank($A666)),$A666=$A665,$B666&lt;&gt;$B665)),"ID LISTS UNALIGNED",and($A666&lt;&gt;"",countif('5) Release_Track'!$F:$F,$A666)=0),"NO ISRC MATCH in Release_Track",and($B666&lt;&gt;"",countif('5) Release_Track'!$G:$G,$B666)=0),"NO CATALOG ID MATCH in Release_Track",iserror(vlookup($A666&amp;$B666,'5) Release_Track'!$F:$F&amp;'5) Release_Track'!$G:$G,1,0)),"NO ISRC-CATALOG ID pair MATCH in Release_Track" )</f>
        <v/>
      </c>
      <c r="E666" s="142" t="b">
        <v>0</v>
      </c>
      <c r="F666" s="142" t="b">
        <v>0</v>
      </c>
      <c r="G666" s="142" t="b">
        <v>0</v>
      </c>
      <c r="H666" s="142" t="b">
        <v>0</v>
      </c>
      <c r="I666" s="142" t="b">
        <v>0</v>
      </c>
      <c r="J666" s="142" t="b">
        <v>0</v>
      </c>
      <c r="K666" s="142" t="b">
        <v>0</v>
      </c>
      <c r="L666" s="8" t="b">
        <v>0</v>
      </c>
    </row>
    <row r="667">
      <c r="B667" s="103"/>
      <c r="C667" s="121" t="str">
        <f t="array" ref="C667">ifs(and(isblank($A667),isblank($B667)),"", not(iserror(vlookup($A667&amp;$B667,'5) Release_Track'!$F:$F&amp;'5) Release_Track'!$G:$G,1,0))),vlookup($A667&amp;$B667,{'5) Release_Track'!$F:$F&amp;'5) Release_Track'!$G:$G,'5) Release_Track'!$H:$H},2,0), or(and(not(isblank($B667)),$B667=$B666,$A667&lt;&gt;$A666),and(not(isblank($A667)),$A667=$A666,$B667&lt;&gt;$B666)),"ID LISTS UNALIGNED",and($A667&lt;&gt;"",countif('5) Release_Track'!$F:$F,$A667)=0),"NO ISRC MATCH in Release_Track",and($B667&lt;&gt;"",countif('5) Release_Track'!$G:$G,$B667)=0),"NO CATALOG ID MATCH in Release_Track",iserror(vlookup($A667&amp;$B667,'5) Release_Track'!$F:$F&amp;'5) Release_Track'!$G:$G,1,0)),"NO ISRC-CATALOG ID pair MATCH in Release_Track" )</f>
        <v/>
      </c>
      <c r="D667" s="121" t="str">
        <f t="array" ref="D667">ifs(and(isblank($A667),isblank($B667)),"", not(iserror(vlookup($A667&amp;$B667,'5) Release_Track'!$F:$F&amp;'5) Release_Track'!$G:$G,1,0))),vlookup($A667&amp;$B667,{'5) Release_Track'!$F:$F&amp;'5) Release_Track'!$G:$G,'5) Release_Track'!$I:$I},2,0), or(and(not(isblank($B667)),$B667=$B666,$A667&lt;&gt;$A666),and(not(isblank($A667)),$A667=$A666,$B667&lt;&gt;$B666)),"ID LISTS UNALIGNED",and($A667&lt;&gt;"",countif('5) Release_Track'!$F:$F,$A667)=0),"NO ISRC MATCH in Release_Track",and($B667&lt;&gt;"",countif('5) Release_Track'!$G:$G,$B667)=0),"NO CATALOG ID MATCH in Release_Track",iserror(vlookup($A667&amp;$B667,'5) Release_Track'!$F:$F&amp;'5) Release_Track'!$G:$G,1,0)),"NO ISRC-CATALOG ID pair MATCH in Release_Track" )</f>
        <v/>
      </c>
      <c r="E667" s="142" t="b">
        <v>0</v>
      </c>
      <c r="F667" s="142" t="b">
        <v>0</v>
      </c>
      <c r="G667" s="142" t="b">
        <v>0</v>
      </c>
      <c r="H667" s="142" t="b">
        <v>0</v>
      </c>
      <c r="I667" s="142" t="b">
        <v>0</v>
      </c>
      <c r="J667" s="142" t="b">
        <v>0</v>
      </c>
      <c r="K667" s="142" t="b">
        <v>0</v>
      </c>
      <c r="L667" s="8" t="b">
        <v>0</v>
      </c>
    </row>
    <row r="668">
      <c r="B668" s="103"/>
      <c r="C668" s="121" t="str">
        <f t="array" ref="C668">ifs(and(isblank($A668),isblank($B668)),"", not(iserror(vlookup($A668&amp;$B668,'5) Release_Track'!$F:$F&amp;'5) Release_Track'!$G:$G,1,0))),vlookup($A668&amp;$B668,{'5) Release_Track'!$F:$F&amp;'5) Release_Track'!$G:$G,'5) Release_Track'!$H:$H},2,0), or(and(not(isblank($B668)),$B668=$B667,$A668&lt;&gt;$A667),and(not(isblank($A668)),$A668=$A667,$B668&lt;&gt;$B667)),"ID LISTS UNALIGNED",and($A668&lt;&gt;"",countif('5) Release_Track'!$F:$F,$A668)=0),"NO ISRC MATCH in Release_Track",and($B668&lt;&gt;"",countif('5) Release_Track'!$G:$G,$B668)=0),"NO CATALOG ID MATCH in Release_Track",iserror(vlookup($A668&amp;$B668,'5) Release_Track'!$F:$F&amp;'5) Release_Track'!$G:$G,1,0)),"NO ISRC-CATALOG ID pair MATCH in Release_Track" )</f>
        <v/>
      </c>
      <c r="D668" s="121" t="str">
        <f t="array" ref="D668">ifs(and(isblank($A668),isblank($B668)),"", not(iserror(vlookup($A668&amp;$B668,'5) Release_Track'!$F:$F&amp;'5) Release_Track'!$G:$G,1,0))),vlookup($A668&amp;$B668,{'5) Release_Track'!$F:$F&amp;'5) Release_Track'!$G:$G,'5) Release_Track'!$I:$I},2,0), or(and(not(isblank($B668)),$B668=$B667,$A668&lt;&gt;$A667),and(not(isblank($A668)),$A668=$A667,$B668&lt;&gt;$B667)),"ID LISTS UNALIGNED",and($A668&lt;&gt;"",countif('5) Release_Track'!$F:$F,$A668)=0),"NO ISRC MATCH in Release_Track",and($B668&lt;&gt;"",countif('5) Release_Track'!$G:$G,$B668)=0),"NO CATALOG ID MATCH in Release_Track",iserror(vlookup($A668&amp;$B668,'5) Release_Track'!$F:$F&amp;'5) Release_Track'!$G:$G,1,0)),"NO ISRC-CATALOG ID pair MATCH in Release_Track" )</f>
        <v/>
      </c>
      <c r="E668" s="142" t="b">
        <v>0</v>
      </c>
      <c r="F668" s="142" t="b">
        <v>0</v>
      </c>
      <c r="G668" s="142" t="b">
        <v>0</v>
      </c>
      <c r="H668" s="142" t="b">
        <v>0</v>
      </c>
      <c r="I668" s="142" t="b">
        <v>0</v>
      </c>
      <c r="J668" s="142" t="b">
        <v>0</v>
      </c>
      <c r="K668" s="142" t="b">
        <v>0</v>
      </c>
      <c r="L668" s="8" t="b">
        <v>0</v>
      </c>
    </row>
    <row r="669">
      <c r="B669" s="103"/>
      <c r="C669" s="121" t="str">
        <f t="array" ref="C669">ifs(and(isblank($A669),isblank($B669)),"", not(iserror(vlookup($A669&amp;$B669,'5) Release_Track'!$F:$F&amp;'5) Release_Track'!$G:$G,1,0))),vlookup($A669&amp;$B669,{'5) Release_Track'!$F:$F&amp;'5) Release_Track'!$G:$G,'5) Release_Track'!$H:$H},2,0), or(and(not(isblank($B669)),$B669=$B668,$A669&lt;&gt;$A668),and(not(isblank($A669)),$A669=$A668,$B669&lt;&gt;$B668)),"ID LISTS UNALIGNED",and($A669&lt;&gt;"",countif('5) Release_Track'!$F:$F,$A669)=0),"NO ISRC MATCH in Release_Track",and($B669&lt;&gt;"",countif('5) Release_Track'!$G:$G,$B669)=0),"NO CATALOG ID MATCH in Release_Track",iserror(vlookup($A669&amp;$B669,'5) Release_Track'!$F:$F&amp;'5) Release_Track'!$G:$G,1,0)),"NO ISRC-CATALOG ID pair MATCH in Release_Track" )</f>
        <v/>
      </c>
      <c r="D669" s="121" t="str">
        <f t="array" ref="D669">ifs(and(isblank($A669),isblank($B669)),"", not(iserror(vlookup($A669&amp;$B669,'5) Release_Track'!$F:$F&amp;'5) Release_Track'!$G:$G,1,0))),vlookup($A669&amp;$B669,{'5) Release_Track'!$F:$F&amp;'5) Release_Track'!$G:$G,'5) Release_Track'!$I:$I},2,0), or(and(not(isblank($B669)),$B669=$B668,$A669&lt;&gt;$A668),and(not(isblank($A669)),$A669=$A668,$B669&lt;&gt;$B668)),"ID LISTS UNALIGNED",and($A669&lt;&gt;"",countif('5) Release_Track'!$F:$F,$A669)=0),"NO ISRC MATCH in Release_Track",and($B669&lt;&gt;"",countif('5) Release_Track'!$G:$G,$B669)=0),"NO CATALOG ID MATCH in Release_Track",iserror(vlookup($A669&amp;$B669,'5) Release_Track'!$F:$F&amp;'5) Release_Track'!$G:$G,1,0)),"NO ISRC-CATALOG ID pair MATCH in Release_Track" )</f>
        <v/>
      </c>
      <c r="E669" s="142" t="b">
        <v>0</v>
      </c>
      <c r="F669" s="142" t="b">
        <v>0</v>
      </c>
      <c r="G669" s="142" t="b">
        <v>0</v>
      </c>
      <c r="H669" s="142" t="b">
        <v>0</v>
      </c>
      <c r="I669" s="142" t="b">
        <v>0</v>
      </c>
      <c r="J669" s="142" t="b">
        <v>0</v>
      </c>
      <c r="K669" s="142" t="b">
        <v>0</v>
      </c>
      <c r="L669" s="8" t="b">
        <v>0</v>
      </c>
    </row>
    <row r="670">
      <c r="B670" s="103"/>
      <c r="C670" s="121" t="str">
        <f t="array" ref="C670">ifs(and(isblank($A670),isblank($B670)),"", not(iserror(vlookup($A670&amp;$B670,'5) Release_Track'!$F:$F&amp;'5) Release_Track'!$G:$G,1,0))),vlookup($A670&amp;$B670,{'5) Release_Track'!$F:$F&amp;'5) Release_Track'!$G:$G,'5) Release_Track'!$H:$H},2,0), or(and(not(isblank($B670)),$B670=$B669,$A670&lt;&gt;$A669),and(not(isblank($A670)),$A670=$A669,$B670&lt;&gt;$B669)),"ID LISTS UNALIGNED",and($A670&lt;&gt;"",countif('5) Release_Track'!$F:$F,$A670)=0),"NO ISRC MATCH in Release_Track",and($B670&lt;&gt;"",countif('5) Release_Track'!$G:$G,$B670)=0),"NO CATALOG ID MATCH in Release_Track",iserror(vlookup($A670&amp;$B670,'5) Release_Track'!$F:$F&amp;'5) Release_Track'!$G:$G,1,0)),"NO ISRC-CATALOG ID pair MATCH in Release_Track" )</f>
        <v/>
      </c>
      <c r="D670" s="121" t="str">
        <f t="array" ref="D670">ifs(and(isblank($A670),isblank($B670)),"", not(iserror(vlookup($A670&amp;$B670,'5) Release_Track'!$F:$F&amp;'5) Release_Track'!$G:$G,1,0))),vlookup($A670&amp;$B670,{'5) Release_Track'!$F:$F&amp;'5) Release_Track'!$G:$G,'5) Release_Track'!$I:$I},2,0), or(and(not(isblank($B670)),$B670=$B669,$A670&lt;&gt;$A669),and(not(isblank($A670)),$A670=$A669,$B670&lt;&gt;$B669)),"ID LISTS UNALIGNED",and($A670&lt;&gt;"",countif('5) Release_Track'!$F:$F,$A670)=0),"NO ISRC MATCH in Release_Track",and($B670&lt;&gt;"",countif('5) Release_Track'!$G:$G,$B670)=0),"NO CATALOG ID MATCH in Release_Track",iserror(vlookup($A670&amp;$B670,'5) Release_Track'!$F:$F&amp;'5) Release_Track'!$G:$G,1,0)),"NO ISRC-CATALOG ID pair MATCH in Release_Track" )</f>
        <v/>
      </c>
      <c r="E670" s="142" t="b">
        <v>0</v>
      </c>
      <c r="F670" s="142" t="b">
        <v>0</v>
      </c>
      <c r="G670" s="142" t="b">
        <v>0</v>
      </c>
      <c r="H670" s="142" t="b">
        <v>0</v>
      </c>
      <c r="I670" s="142" t="b">
        <v>0</v>
      </c>
      <c r="J670" s="142" t="b">
        <v>0</v>
      </c>
      <c r="K670" s="142" t="b">
        <v>0</v>
      </c>
      <c r="L670" s="8" t="b">
        <v>0</v>
      </c>
    </row>
    <row r="671">
      <c r="B671" s="103"/>
      <c r="C671" s="121" t="str">
        <f t="array" ref="C671">ifs(and(isblank($A671),isblank($B671)),"", not(iserror(vlookup($A671&amp;$B671,'5) Release_Track'!$F:$F&amp;'5) Release_Track'!$G:$G,1,0))),vlookup($A671&amp;$B671,{'5) Release_Track'!$F:$F&amp;'5) Release_Track'!$G:$G,'5) Release_Track'!$H:$H},2,0), or(and(not(isblank($B671)),$B671=$B670,$A671&lt;&gt;$A670),and(not(isblank($A671)),$A671=$A670,$B671&lt;&gt;$B670)),"ID LISTS UNALIGNED",and($A671&lt;&gt;"",countif('5) Release_Track'!$F:$F,$A671)=0),"NO ISRC MATCH in Release_Track",and($B671&lt;&gt;"",countif('5) Release_Track'!$G:$G,$B671)=0),"NO CATALOG ID MATCH in Release_Track",iserror(vlookup($A671&amp;$B671,'5) Release_Track'!$F:$F&amp;'5) Release_Track'!$G:$G,1,0)),"NO ISRC-CATALOG ID pair MATCH in Release_Track" )</f>
        <v/>
      </c>
      <c r="D671" s="121" t="str">
        <f t="array" ref="D671">ifs(and(isblank($A671),isblank($B671)),"", not(iserror(vlookup($A671&amp;$B671,'5) Release_Track'!$F:$F&amp;'5) Release_Track'!$G:$G,1,0))),vlookup($A671&amp;$B671,{'5) Release_Track'!$F:$F&amp;'5) Release_Track'!$G:$G,'5) Release_Track'!$I:$I},2,0), or(and(not(isblank($B671)),$B671=$B670,$A671&lt;&gt;$A670),and(not(isblank($A671)),$A671=$A670,$B671&lt;&gt;$B670)),"ID LISTS UNALIGNED",and($A671&lt;&gt;"",countif('5) Release_Track'!$F:$F,$A671)=0),"NO ISRC MATCH in Release_Track",and($B671&lt;&gt;"",countif('5) Release_Track'!$G:$G,$B671)=0),"NO CATALOG ID MATCH in Release_Track",iserror(vlookup($A671&amp;$B671,'5) Release_Track'!$F:$F&amp;'5) Release_Track'!$G:$G,1,0)),"NO ISRC-CATALOG ID pair MATCH in Release_Track" )</f>
        <v/>
      </c>
      <c r="E671" s="142" t="b">
        <v>0</v>
      </c>
      <c r="F671" s="142" t="b">
        <v>0</v>
      </c>
      <c r="G671" s="142" t="b">
        <v>0</v>
      </c>
      <c r="H671" s="142" t="b">
        <v>0</v>
      </c>
      <c r="I671" s="142" t="b">
        <v>0</v>
      </c>
      <c r="J671" s="142" t="b">
        <v>0</v>
      </c>
      <c r="K671" s="142" t="b">
        <v>0</v>
      </c>
      <c r="L671" s="8" t="b">
        <v>0</v>
      </c>
    </row>
    <row r="672">
      <c r="B672" s="103"/>
      <c r="C672" s="121" t="str">
        <f t="array" ref="C672">ifs(and(isblank($A672),isblank($B672)),"", not(iserror(vlookup($A672&amp;$B672,'5) Release_Track'!$F:$F&amp;'5) Release_Track'!$G:$G,1,0))),vlookup($A672&amp;$B672,{'5) Release_Track'!$F:$F&amp;'5) Release_Track'!$G:$G,'5) Release_Track'!$H:$H},2,0), or(and(not(isblank($B672)),$B672=$B671,$A672&lt;&gt;$A671),and(not(isblank($A672)),$A672=$A671,$B672&lt;&gt;$B671)),"ID LISTS UNALIGNED",and($A672&lt;&gt;"",countif('5) Release_Track'!$F:$F,$A672)=0),"NO ISRC MATCH in Release_Track",and($B672&lt;&gt;"",countif('5) Release_Track'!$G:$G,$B672)=0),"NO CATALOG ID MATCH in Release_Track",iserror(vlookup($A672&amp;$B672,'5) Release_Track'!$F:$F&amp;'5) Release_Track'!$G:$G,1,0)),"NO ISRC-CATALOG ID pair MATCH in Release_Track" )</f>
        <v/>
      </c>
      <c r="D672" s="121" t="str">
        <f t="array" ref="D672">ifs(and(isblank($A672),isblank($B672)),"", not(iserror(vlookup($A672&amp;$B672,'5) Release_Track'!$F:$F&amp;'5) Release_Track'!$G:$G,1,0))),vlookup($A672&amp;$B672,{'5) Release_Track'!$F:$F&amp;'5) Release_Track'!$G:$G,'5) Release_Track'!$I:$I},2,0), or(and(not(isblank($B672)),$B672=$B671,$A672&lt;&gt;$A671),and(not(isblank($A672)),$A672=$A671,$B672&lt;&gt;$B671)),"ID LISTS UNALIGNED",and($A672&lt;&gt;"",countif('5) Release_Track'!$F:$F,$A672)=0),"NO ISRC MATCH in Release_Track",and($B672&lt;&gt;"",countif('5) Release_Track'!$G:$G,$B672)=0),"NO CATALOG ID MATCH in Release_Track",iserror(vlookup($A672&amp;$B672,'5) Release_Track'!$F:$F&amp;'5) Release_Track'!$G:$G,1,0)),"NO ISRC-CATALOG ID pair MATCH in Release_Track" )</f>
        <v/>
      </c>
      <c r="E672" s="142" t="b">
        <v>0</v>
      </c>
      <c r="F672" s="142" t="b">
        <v>0</v>
      </c>
      <c r="G672" s="142" t="b">
        <v>0</v>
      </c>
      <c r="H672" s="142" t="b">
        <v>0</v>
      </c>
      <c r="I672" s="142" t="b">
        <v>0</v>
      </c>
      <c r="J672" s="142" t="b">
        <v>0</v>
      </c>
      <c r="K672" s="142" t="b">
        <v>0</v>
      </c>
      <c r="L672" s="8" t="b">
        <v>0</v>
      </c>
    </row>
    <row r="673">
      <c r="B673" s="103"/>
      <c r="C673" s="121" t="str">
        <f t="array" ref="C673">ifs(and(isblank($A673),isblank($B673)),"", not(iserror(vlookup($A673&amp;$B673,'5) Release_Track'!$F:$F&amp;'5) Release_Track'!$G:$G,1,0))),vlookup($A673&amp;$B673,{'5) Release_Track'!$F:$F&amp;'5) Release_Track'!$G:$G,'5) Release_Track'!$H:$H},2,0), or(and(not(isblank($B673)),$B673=$B672,$A673&lt;&gt;$A672),and(not(isblank($A673)),$A673=$A672,$B673&lt;&gt;$B672)),"ID LISTS UNALIGNED",and($A673&lt;&gt;"",countif('5) Release_Track'!$F:$F,$A673)=0),"NO ISRC MATCH in Release_Track",and($B673&lt;&gt;"",countif('5) Release_Track'!$G:$G,$B673)=0),"NO CATALOG ID MATCH in Release_Track",iserror(vlookup($A673&amp;$B673,'5) Release_Track'!$F:$F&amp;'5) Release_Track'!$G:$G,1,0)),"NO ISRC-CATALOG ID pair MATCH in Release_Track" )</f>
        <v/>
      </c>
      <c r="D673" s="121" t="str">
        <f t="array" ref="D673">ifs(and(isblank($A673),isblank($B673)),"", not(iserror(vlookup($A673&amp;$B673,'5) Release_Track'!$F:$F&amp;'5) Release_Track'!$G:$G,1,0))),vlookup($A673&amp;$B673,{'5) Release_Track'!$F:$F&amp;'5) Release_Track'!$G:$G,'5) Release_Track'!$I:$I},2,0), or(and(not(isblank($B673)),$B673=$B672,$A673&lt;&gt;$A672),and(not(isblank($A673)),$A673=$A672,$B673&lt;&gt;$B672)),"ID LISTS UNALIGNED",and($A673&lt;&gt;"",countif('5) Release_Track'!$F:$F,$A673)=0),"NO ISRC MATCH in Release_Track",and($B673&lt;&gt;"",countif('5) Release_Track'!$G:$G,$B673)=0),"NO CATALOG ID MATCH in Release_Track",iserror(vlookup($A673&amp;$B673,'5) Release_Track'!$F:$F&amp;'5) Release_Track'!$G:$G,1,0)),"NO ISRC-CATALOG ID pair MATCH in Release_Track" )</f>
        <v/>
      </c>
      <c r="E673" s="142" t="b">
        <v>0</v>
      </c>
      <c r="F673" s="142" t="b">
        <v>0</v>
      </c>
      <c r="G673" s="142" t="b">
        <v>0</v>
      </c>
      <c r="H673" s="142" t="b">
        <v>0</v>
      </c>
      <c r="I673" s="142" t="b">
        <v>0</v>
      </c>
      <c r="J673" s="142" t="b">
        <v>0</v>
      </c>
      <c r="K673" s="142" t="b">
        <v>0</v>
      </c>
      <c r="L673" s="8" t="b">
        <v>0</v>
      </c>
    </row>
    <row r="674">
      <c r="B674" s="103"/>
      <c r="C674" s="121" t="str">
        <f t="array" ref="C674">ifs(and(isblank($A674),isblank($B674)),"", not(iserror(vlookup($A674&amp;$B674,'5) Release_Track'!$F:$F&amp;'5) Release_Track'!$G:$G,1,0))),vlookup($A674&amp;$B674,{'5) Release_Track'!$F:$F&amp;'5) Release_Track'!$G:$G,'5) Release_Track'!$H:$H},2,0), or(and(not(isblank($B674)),$B674=$B673,$A674&lt;&gt;$A673),and(not(isblank($A674)),$A674=$A673,$B674&lt;&gt;$B673)),"ID LISTS UNALIGNED",and($A674&lt;&gt;"",countif('5) Release_Track'!$F:$F,$A674)=0),"NO ISRC MATCH in Release_Track",and($B674&lt;&gt;"",countif('5) Release_Track'!$G:$G,$B674)=0),"NO CATALOG ID MATCH in Release_Track",iserror(vlookup($A674&amp;$B674,'5) Release_Track'!$F:$F&amp;'5) Release_Track'!$G:$G,1,0)),"NO ISRC-CATALOG ID pair MATCH in Release_Track" )</f>
        <v/>
      </c>
      <c r="D674" s="121" t="str">
        <f t="array" ref="D674">ifs(and(isblank($A674),isblank($B674)),"", not(iserror(vlookup($A674&amp;$B674,'5) Release_Track'!$F:$F&amp;'5) Release_Track'!$G:$G,1,0))),vlookup($A674&amp;$B674,{'5) Release_Track'!$F:$F&amp;'5) Release_Track'!$G:$G,'5) Release_Track'!$I:$I},2,0), or(and(not(isblank($B674)),$B674=$B673,$A674&lt;&gt;$A673),and(not(isblank($A674)),$A674=$A673,$B674&lt;&gt;$B673)),"ID LISTS UNALIGNED",and($A674&lt;&gt;"",countif('5) Release_Track'!$F:$F,$A674)=0),"NO ISRC MATCH in Release_Track",and($B674&lt;&gt;"",countif('5) Release_Track'!$G:$G,$B674)=0),"NO CATALOG ID MATCH in Release_Track",iserror(vlookup($A674&amp;$B674,'5) Release_Track'!$F:$F&amp;'5) Release_Track'!$G:$G,1,0)),"NO ISRC-CATALOG ID pair MATCH in Release_Track" )</f>
        <v/>
      </c>
      <c r="E674" s="142" t="b">
        <v>0</v>
      </c>
      <c r="F674" s="142" t="b">
        <v>0</v>
      </c>
      <c r="G674" s="142" t="b">
        <v>0</v>
      </c>
      <c r="H674" s="142" t="b">
        <v>0</v>
      </c>
      <c r="I674" s="142" t="b">
        <v>0</v>
      </c>
      <c r="J674" s="142" t="b">
        <v>0</v>
      </c>
      <c r="K674" s="142" t="b">
        <v>0</v>
      </c>
      <c r="L674" s="8" t="b">
        <v>0</v>
      </c>
    </row>
    <row r="675">
      <c r="B675" s="103"/>
      <c r="C675" s="121" t="str">
        <f t="array" ref="C675">ifs(and(isblank($A675),isblank($B675)),"", not(iserror(vlookup($A675&amp;$B675,'5) Release_Track'!$F:$F&amp;'5) Release_Track'!$G:$G,1,0))),vlookup($A675&amp;$B675,{'5) Release_Track'!$F:$F&amp;'5) Release_Track'!$G:$G,'5) Release_Track'!$H:$H},2,0), or(and(not(isblank($B675)),$B675=$B674,$A675&lt;&gt;$A674),and(not(isblank($A675)),$A675=$A674,$B675&lt;&gt;$B674)),"ID LISTS UNALIGNED",and($A675&lt;&gt;"",countif('5) Release_Track'!$F:$F,$A675)=0),"NO ISRC MATCH in Release_Track",and($B675&lt;&gt;"",countif('5) Release_Track'!$G:$G,$B675)=0),"NO CATALOG ID MATCH in Release_Track",iserror(vlookup($A675&amp;$B675,'5) Release_Track'!$F:$F&amp;'5) Release_Track'!$G:$G,1,0)),"NO ISRC-CATALOG ID pair MATCH in Release_Track" )</f>
        <v/>
      </c>
      <c r="D675" s="121" t="str">
        <f t="array" ref="D675">ifs(and(isblank($A675),isblank($B675)),"", not(iserror(vlookup($A675&amp;$B675,'5) Release_Track'!$F:$F&amp;'5) Release_Track'!$G:$G,1,0))),vlookup($A675&amp;$B675,{'5) Release_Track'!$F:$F&amp;'5) Release_Track'!$G:$G,'5) Release_Track'!$I:$I},2,0), or(and(not(isblank($B675)),$B675=$B674,$A675&lt;&gt;$A674),and(not(isblank($A675)),$A675=$A674,$B675&lt;&gt;$B674)),"ID LISTS UNALIGNED",and($A675&lt;&gt;"",countif('5) Release_Track'!$F:$F,$A675)=0),"NO ISRC MATCH in Release_Track",and($B675&lt;&gt;"",countif('5) Release_Track'!$G:$G,$B675)=0),"NO CATALOG ID MATCH in Release_Track",iserror(vlookup($A675&amp;$B675,'5) Release_Track'!$F:$F&amp;'5) Release_Track'!$G:$G,1,0)),"NO ISRC-CATALOG ID pair MATCH in Release_Track" )</f>
        <v/>
      </c>
      <c r="E675" s="142" t="b">
        <v>0</v>
      </c>
      <c r="F675" s="142" t="b">
        <v>0</v>
      </c>
      <c r="G675" s="142" t="b">
        <v>0</v>
      </c>
      <c r="H675" s="142" t="b">
        <v>0</v>
      </c>
      <c r="I675" s="142" t="b">
        <v>0</v>
      </c>
      <c r="J675" s="142" t="b">
        <v>0</v>
      </c>
      <c r="K675" s="142" t="b">
        <v>0</v>
      </c>
      <c r="L675" s="8" t="b">
        <v>0</v>
      </c>
    </row>
    <row r="676">
      <c r="B676" s="103"/>
      <c r="C676" s="121" t="str">
        <f t="array" ref="C676">ifs(and(isblank($A676),isblank($B676)),"", not(iserror(vlookup($A676&amp;$B676,'5) Release_Track'!$F:$F&amp;'5) Release_Track'!$G:$G,1,0))),vlookup($A676&amp;$B676,{'5) Release_Track'!$F:$F&amp;'5) Release_Track'!$G:$G,'5) Release_Track'!$H:$H},2,0), or(and(not(isblank($B676)),$B676=$B675,$A676&lt;&gt;$A675),and(not(isblank($A676)),$A676=$A675,$B676&lt;&gt;$B675)),"ID LISTS UNALIGNED",and($A676&lt;&gt;"",countif('5) Release_Track'!$F:$F,$A676)=0),"NO ISRC MATCH in Release_Track",and($B676&lt;&gt;"",countif('5) Release_Track'!$G:$G,$B676)=0),"NO CATALOG ID MATCH in Release_Track",iserror(vlookup($A676&amp;$B676,'5) Release_Track'!$F:$F&amp;'5) Release_Track'!$G:$G,1,0)),"NO ISRC-CATALOG ID pair MATCH in Release_Track" )</f>
        <v/>
      </c>
      <c r="D676" s="121" t="str">
        <f t="array" ref="D676">ifs(and(isblank($A676),isblank($B676)),"", not(iserror(vlookup($A676&amp;$B676,'5) Release_Track'!$F:$F&amp;'5) Release_Track'!$G:$G,1,0))),vlookup($A676&amp;$B676,{'5) Release_Track'!$F:$F&amp;'5) Release_Track'!$G:$G,'5) Release_Track'!$I:$I},2,0), or(and(not(isblank($B676)),$B676=$B675,$A676&lt;&gt;$A675),and(not(isblank($A676)),$A676=$A675,$B676&lt;&gt;$B675)),"ID LISTS UNALIGNED",and($A676&lt;&gt;"",countif('5) Release_Track'!$F:$F,$A676)=0),"NO ISRC MATCH in Release_Track",and($B676&lt;&gt;"",countif('5) Release_Track'!$G:$G,$B676)=0),"NO CATALOG ID MATCH in Release_Track",iserror(vlookup($A676&amp;$B676,'5) Release_Track'!$F:$F&amp;'5) Release_Track'!$G:$G,1,0)),"NO ISRC-CATALOG ID pair MATCH in Release_Track" )</f>
        <v/>
      </c>
      <c r="E676" s="142" t="b">
        <v>0</v>
      </c>
      <c r="F676" s="142" t="b">
        <v>0</v>
      </c>
      <c r="G676" s="142" t="b">
        <v>0</v>
      </c>
      <c r="H676" s="142" t="b">
        <v>0</v>
      </c>
      <c r="I676" s="142" t="b">
        <v>0</v>
      </c>
      <c r="J676" s="142" t="b">
        <v>0</v>
      </c>
      <c r="K676" s="142" t="b">
        <v>0</v>
      </c>
      <c r="L676" s="8" t="b">
        <v>0</v>
      </c>
    </row>
    <row r="677">
      <c r="B677" s="103"/>
      <c r="C677" s="121" t="str">
        <f t="array" ref="C677">ifs(and(isblank($A677),isblank($B677)),"", not(iserror(vlookup($A677&amp;$B677,'5) Release_Track'!$F:$F&amp;'5) Release_Track'!$G:$G,1,0))),vlookup($A677&amp;$B677,{'5) Release_Track'!$F:$F&amp;'5) Release_Track'!$G:$G,'5) Release_Track'!$H:$H},2,0), or(and(not(isblank($B677)),$B677=$B676,$A677&lt;&gt;$A676),and(not(isblank($A677)),$A677=$A676,$B677&lt;&gt;$B676)),"ID LISTS UNALIGNED",and($A677&lt;&gt;"",countif('5) Release_Track'!$F:$F,$A677)=0),"NO ISRC MATCH in Release_Track",and($B677&lt;&gt;"",countif('5) Release_Track'!$G:$G,$B677)=0),"NO CATALOG ID MATCH in Release_Track",iserror(vlookup($A677&amp;$B677,'5) Release_Track'!$F:$F&amp;'5) Release_Track'!$G:$G,1,0)),"NO ISRC-CATALOG ID pair MATCH in Release_Track" )</f>
        <v/>
      </c>
      <c r="D677" s="121" t="str">
        <f t="array" ref="D677">ifs(and(isblank($A677),isblank($B677)),"", not(iserror(vlookup($A677&amp;$B677,'5) Release_Track'!$F:$F&amp;'5) Release_Track'!$G:$G,1,0))),vlookup($A677&amp;$B677,{'5) Release_Track'!$F:$F&amp;'5) Release_Track'!$G:$G,'5) Release_Track'!$I:$I},2,0), or(and(not(isblank($B677)),$B677=$B676,$A677&lt;&gt;$A676),and(not(isblank($A677)),$A677=$A676,$B677&lt;&gt;$B676)),"ID LISTS UNALIGNED",and($A677&lt;&gt;"",countif('5) Release_Track'!$F:$F,$A677)=0),"NO ISRC MATCH in Release_Track",and($B677&lt;&gt;"",countif('5) Release_Track'!$G:$G,$B677)=0),"NO CATALOG ID MATCH in Release_Track",iserror(vlookup($A677&amp;$B677,'5) Release_Track'!$F:$F&amp;'5) Release_Track'!$G:$G,1,0)),"NO ISRC-CATALOG ID pair MATCH in Release_Track" )</f>
        <v/>
      </c>
      <c r="E677" s="142" t="b">
        <v>0</v>
      </c>
      <c r="F677" s="142" t="b">
        <v>0</v>
      </c>
      <c r="G677" s="142" t="b">
        <v>0</v>
      </c>
      <c r="H677" s="142" t="b">
        <v>0</v>
      </c>
      <c r="I677" s="142" t="b">
        <v>0</v>
      </c>
      <c r="J677" s="142" t="b">
        <v>0</v>
      </c>
      <c r="K677" s="142" t="b">
        <v>0</v>
      </c>
      <c r="L677" s="8" t="b">
        <v>0</v>
      </c>
    </row>
    <row r="678">
      <c r="B678" s="103"/>
      <c r="C678" s="121" t="str">
        <f t="array" ref="C678">ifs(and(isblank($A678),isblank($B678)),"", not(iserror(vlookup($A678&amp;$B678,'5) Release_Track'!$F:$F&amp;'5) Release_Track'!$G:$G,1,0))),vlookup($A678&amp;$B678,{'5) Release_Track'!$F:$F&amp;'5) Release_Track'!$G:$G,'5) Release_Track'!$H:$H},2,0), or(and(not(isblank($B678)),$B678=$B677,$A678&lt;&gt;$A677),and(not(isblank($A678)),$A678=$A677,$B678&lt;&gt;$B677)),"ID LISTS UNALIGNED",and($A678&lt;&gt;"",countif('5) Release_Track'!$F:$F,$A678)=0),"NO ISRC MATCH in Release_Track",and($B678&lt;&gt;"",countif('5) Release_Track'!$G:$G,$B678)=0),"NO CATALOG ID MATCH in Release_Track",iserror(vlookup($A678&amp;$B678,'5) Release_Track'!$F:$F&amp;'5) Release_Track'!$G:$G,1,0)),"NO ISRC-CATALOG ID pair MATCH in Release_Track" )</f>
        <v/>
      </c>
      <c r="D678" s="121" t="str">
        <f t="array" ref="D678">ifs(and(isblank($A678),isblank($B678)),"", not(iserror(vlookup($A678&amp;$B678,'5) Release_Track'!$F:$F&amp;'5) Release_Track'!$G:$G,1,0))),vlookup($A678&amp;$B678,{'5) Release_Track'!$F:$F&amp;'5) Release_Track'!$G:$G,'5) Release_Track'!$I:$I},2,0), or(and(not(isblank($B678)),$B678=$B677,$A678&lt;&gt;$A677),and(not(isblank($A678)),$A678=$A677,$B678&lt;&gt;$B677)),"ID LISTS UNALIGNED",and($A678&lt;&gt;"",countif('5) Release_Track'!$F:$F,$A678)=0),"NO ISRC MATCH in Release_Track",and($B678&lt;&gt;"",countif('5) Release_Track'!$G:$G,$B678)=0),"NO CATALOG ID MATCH in Release_Track",iserror(vlookup($A678&amp;$B678,'5) Release_Track'!$F:$F&amp;'5) Release_Track'!$G:$G,1,0)),"NO ISRC-CATALOG ID pair MATCH in Release_Track" )</f>
        <v/>
      </c>
      <c r="E678" s="142" t="b">
        <v>0</v>
      </c>
      <c r="F678" s="142" t="b">
        <v>0</v>
      </c>
      <c r="G678" s="142" t="b">
        <v>0</v>
      </c>
      <c r="H678" s="142" t="b">
        <v>0</v>
      </c>
      <c r="I678" s="142" t="b">
        <v>0</v>
      </c>
      <c r="J678" s="142" t="b">
        <v>0</v>
      </c>
      <c r="K678" s="142" t="b">
        <v>0</v>
      </c>
      <c r="L678" s="8" t="b">
        <v>0</v>
      </c>
    </row>
    <row r="679">
      <c r="B679" s="103"/>
      <c r="C679" s="121" t="str">
        <f t="array" ref="C679">ifs(and(isblank($A679),isblank($B679)),"", not(iserror(vlookup($A679&amp;$B679,'5) Release_Track'!$F:$F&amp;'5) Release_Track'!$G:$G,1,0))),vlookup($A679&amp;$B679,{'5) Release_Track'!$F:$F&amp;'5) Release_Track'!$G:$G,'5) Release_Track'!$H:$H},2,0), or(and(not(isblank($B679)),$B679=$B678,$A679&lt;&gt;$A678),and(not(isblank($A679)),$A679=$A678,$B679&lt;&gt;$B678)),"ID LISTS UNALIGNED",and($A679&lt;&gt;"",countif('5) Release_Track'!$F:$F,$A679)=0),"NO ISRC MATCH in Release_Track",and($B679&lt;&gt;"",countif('5) Release_Track'!$G:$G,$B679)=0),"NO CATALOG ID MATCH in Release_Track",iserror(vlookup($A679&amp;$B679,'5) Release_Track'!$F:$F&amp;'5) Release_Track'!$G:$G,1,0)),"NO ISRC-CATALOG ID pair MATCH in Release_Track" )</f>
        <v/>
      </c>
      <c r="D679" s="121" t="str">
        <f t="array" ref="D679">ifs(and(isblank($A679),isblank($B679)),"", not(iserror(vlookup($A679&amp;$B679,'5) Release_Track'!$F:$F&amp;'5) Release_Track'!$G:$G,1,0))),vlookup($A679&amp;$B679,{'5) Release_Track'!$F:$F&amp;'5) Release_Track'!$G:$G,'5) Release_Track'!$I:$I},2,0), or(and(not(isblank($B679)),$B679=$B678,$A679&lt;&gt;$A678),and(not(isblank($A679)),$A679=$A678,$B679&lt;&gt;$B678)),"ID LISTS UNALIGNED",and($A679&lt;&gt;"",countif('5) Release_Track'!$F:$F,$A679)=0),"NO ISRC MATCH in Release_Track",and($B679&lt;&gt;"",countif('5) Release_Track'!$G:$G,$B679)=0),"NO CATALOG ID MATCH in Release_Track",iserror(vlookup($A679&amp;$B679,'5) Release_Track'!$F:$F&amp;'5) Release_Track'!$G:$G,1,0)),"NO ISRC-CATALOG ID pair MATCH in Release_Track" )</f>
        <v/>
      </c>
      <c r="E679" s="142" t="b">
        <v>0</v>
      </c>
      <c r="F679" s="142" t="b">
        <v>0</v>
      </c>
      <c r="G679" s="142" t="b">
        <v>0</v>
      </c>
      <c r="H679" s="142" t="b">
        <v>0</v>
      </c>
      <c r="I679" s="142" t="b">
        <v>0</v>
      </c>
      <c r="J679" s="142" t="b">
        <v>0</v>
      </c>
      <c r="K679" s="142" t="b">
        <v>0</v>
      </c>
      <c r="L679" s="8" t="b">
        <v>0</v>
      </c>
    </row>
    <row r="680">
      <c r="B680" s="103"/>
      <c r="C680" s="121" t="str">
        <f t="array" ref="C680">ifs(and(isblank($A680),isblank($B680)),"", not(iserror(vlookup($A680&amp;$B680,'5) Release_Track'!$F:$F&amp;'5) Release_Track'!$G:$G,1,0))),vlookup($A680&amp;$B680,{'5) Release_Track'!$F:$F&amp;'5) Release_Track'!$G:$G,'5) Release_Track'!$H:$H},2,0), or(and(not(isblank($B680)),$B680=$B679,$A680&lt;&gt;$A679),and(not(isblank($A680)),$A680=$A679,$B680&lt;&gt;$B679)),"ID LISTS UNALIGNED",and($A680&lt;&gt;"",countif('5) Release_Track'!$F:$F,$A680)=0),"NO ISRC MATCH in Release_Track",and($B680&lt;&gt;"",countif('5) Release_Track'!$G:$G,$B680)=0),"NO CATALOG ID MATCH in Release_Track",iserror(vlookup($A680&amp;$B680,'5) Release_Track'!$F:$F&amp;'5) Release_Track'!$G:$G,1,0)),"NO ISRC-CATALOG ID pair MATCH in Release_Track" )</f>
        <v/>
      </c>
      <c r="D680" s="121" t="str">
        <f t="array" ref="D680">ifs(and(isblank($A680),isblank($B680)),"", not(iserror(vlookup($A680&amp;$B680,'5) Release_Track'!$F:$F&amp;'5) Release_Track'!$G:$G,1,0))),vlookup($A680&amp;$B680,{'5) Release_Track'!$F:$F&amp;'5) Release_Track'!$G:$G,'5) Release_Track'!$I:$I},2,0), or(and(not(isblank($B680)),$B680=$B679,$A680&lt;&gt;$A679),and(not(isblank($A680)),$A680=$A679,$B680&lt;&gt;$B679)),"ID LISTS UNALIGNED",and($A680&lt;&gt;"",countif('5) Release_Track'!$F:$F,$A680)=0),"NO ISRC MATCH in Release_Track",and($B680&lt;&gt;"",countif('5) Release_Track'!$G:$G,$B680)=0),"NO CATALOG ID MATCH in Release_Track",iserror(vlookup($A680&amp;$B680,'5) Release_Track'!$F:$F&amp;'5) Release_Track'!$G:$G,1,0)),"NO ISRC-CATALOG ID pair MATCH in Release_Track" )</f>
        <v/>
      </c>
      <c r="E680" s="142" t="b">
        <v>0</v>
      </c>
      <c r="F680" s="142" t="b">
        <v>0</v>
      </c>
      <c r="G680" s="142" t="b">
        <v>0</v>
      </c>
      <c r="H680" s="142" t="b">
        <v>0</v>
      </c>
      <c r="I680" s="142" t="b">
        <v>0</v>
      </c>
      <c r="J680" s="142" t="b">
        <v>0</v>
      </c>
      <c r="K680" s="142" t="b">
        <v>0</v>
      </c>
      <c r="L680" s="8" t="b">
        <v>0</v>
      </c>
    </row>
    <row r="681">
      <c r="B681" s="103"/>
      <c r="C681" s="121" t="str">
        <f t="array" ref="C681">ifs(and(isblank($A681),isblank($B681)),"", not(iserror(vlookup($A681&amp;$B681,'5) Release_Track'!$F:$F&amp;'5) Release_Track'!$G:$G,1,0))),vlookup($A681&amp;$B681,{'5) Release_Track'!$F:$F&amp;'5) Release_Track'!$G:$G,'5) Release_Track'!$H:$H},2,0), or(and(not(isblank($B681)),$B681=$B680,$A681&lt;&gt;$A680),and(not(isblank($A681)),$A681=$A680,$B681&lt;&gt;$B680)),"ID LISTS UNALIGNED",and($A681&lt;&gt;"",countif('5) Release_Track'!$F:$F,$A681)=0),"NO ISRC MATCH in Release_Track",and($B681&lt;&gt;"",countif('5) Release_Track'!$G:$G,$B681)=0),"NO CATALOG ID MATCH in Release_Track",iserror(vlookup($A681&amp;$B681,'5) Release_Track'!$F:$F&amp;'5) Release_Track'!$G:$G,1,0)),"NO ISRC-CATALOG ID pair MATCH in Release_Track" )</f>
        <v/>
      </c>
      <c r="D681" s="121" t="str">
        <f t="array" ref="D681">ifs(and(isblank($A681),isblank($B681)),"", not(iserror(vlookup($A681&amp;$B681,'5) Release_Track'!$F:$F&amp;'5) Release_Track'!$G:$G,1,0))),vlookup($A681&amp;$B681,{'5) Release_Track'!$F:$F&amp;'5) Release_Track'!$G:$G,'5) Release_Track'!$I:$I},2,0), or(and(not(isblank($B681)),$B681=$B680,$A681&lt;&gt;$A680),and(not(isblank($A681)),$A681=$A680,$B681&lt;&gt;$B680)),"ID LISTS UNALIGNED",and($A681&lt;&gt;"",countif('5) Release_Track'!$F:$F,$A681)=0),"NO ISRC MATCH in Release_Track",and($B681&lt;&gt;"",countif('5) Release_Track'!$G:$G,$B681)=0),"NO CATALOG ID MATCH in Release_Track",iserror(vlookup($A681&amp;$B681,'5) Release_Track'!$F:$F&amp;'5) Release_Track'!$G:$G,1,0)),"NO ISRC-CATALOG ID pair MATCH in Release_Track" )</f>
        <v/>
      </c>
      <c r="E681" s="142" t="b">
        <v>0</v>
      </c>
      <c r="F681" s="142" t="b">
        <v>0</v>
      </c>
      <c r="G681" s="142" t="b">
        <v>0</v>
      </c>
      <c r="H681" s="142" t="b">
        <v>0</v>
      </c>
      <c r="I681" s="142" t="b">
        <v>0</v>
      </c>
      <c r="J681" s="142" t="b">
        <v>0</v>
      </c>
      <c r="K681" s="142" t="b">
        <v>0</v>
      </c>
      <c r="L681" s="8" t="b">
        <v>0</v>
      </c>
    </row>
    <row r="682">
      <c r="B682" s="103"/>
      <c r="C682" s="121" t="str">
        <f t="array" ref="C682">ifs(and(isblank($A682),isblank($B682)),"", not(iserror(vlookup($A682&amp;$B682,'5) Release_Track'!$F:$F&amp;'5) Release_Track'!$G:$G,1,0))),vlookup($A682&amp;$B682,{'5) Release_Track'!$F:$F&amp;'5) Release_Track'!$G:$G,'5) Release_Track'!$H:$H},2,0), or(and(not(isblank($B682)),$B682=$B681,$A682&lt;&gt;$A681),and(not(isblank($A682)),$A682=$A681,$B682&lt;&gt;$B681)),"ID LISTS UNALIGNED",and($A682&lt;&gt;"",countif('5) Release_Track'!$F:$F,$A682)=0),"NO ISRC MATCH in Release_Track",and($B682&lt;&gt;"",countif('5) Release_Track'!$G:$G,$B682)=0),"NO CATALOG ID MATCH in Release_Track",iserror(vlookup($A682&amp;$B682,'5) Release_Track'!$F:$F&amp;'5) Release_Track'!$G:$G,1,0)),"NO ISRC-CATALOG ID pair MATCH in Release_Track" )</f>
        <v/>
      </c>
      <c r="D682" s="121" t="str">
        <f t="array" ref="D682">ifs(and(isblank($A682),isblank($B682)),"", not(iserror(vlookup($A682&amp;$B682,'5) Release_Track'!$F:$F&amp;'5) Release_Track'!$G:$G,1,0))),vlookup($A682&amp;$B682,{'5) Release_Track'!$F:$F&amp;'5) Release_Track'!$G:$G,'5) Release_Track'!$I:$I},2,0), or(and(not(isblank($B682)),$B682=$B681,$A682&lt;&gt;$A681),and(not(isblank($A682)),$A682=$A681,$B682&lt;&gt;$B681)),"ID LISTS UNALIGNED",and($A682&lt;&gt;"",countif('5) Release_Track'!$F:$F,$A682)=0),"NO ISRC MATCH in Release_Track",and($B682&lt;&gt;"",countif('5) Release_Track'!$G:$G,$B682)=0),"NO CATALOG ID MATCH in Release_Track",iserror(vlookup($A682&amp;$B682,'5) Release_Track'!$F:$F&amp;'5) Release_Track'!$G:$G,1,0)),"NO ISRC-CATALOG ID pair MATCH in Release_Track" )</f>
        <v/>
      </c>
      <c r="E682" s="142" t="b">
        <v>0</v>
      </c>
      <c r="F682" s="142" t="b">
        <v>0</v>
      </c>
      <c r="G682" s="142" t="b">
        <v>0</v>
      </c>
      <c r="H682" s="142" t="b">
        <v>0</v>
      </c>
      <c r="I682" s="142" t="b">
        <v>0</v>
      </c>
      <c r="J682" s="142" t="b">
        <v>0</v>
      </c>
      <c r="K682" s="142" t="b">
        <v>0</v>
      </c>
      <c r="L682" s="8" t="b">
        <v>0</v>
      </c>
    </row>
    <row r="683">
      <c r="B683" s="103"/>
      <c r="C683" s="121" t="str">
        <f t="array" ref="C683">ifs(and(isblank($A683),isblank($B683)),"", not(iserror(vlookup($A683&amp;$B683,'5) Release_Track'!$F:$F&amp;'5) Release_Track'!$G:$G,1,0))),vlookup($A683&amp;$B683,{'5) Release_Track'!$F:$F&amp;'5) Release_Track'!$G:$G,'5) Release_Track'!$H:$H},2,0), or(and(not(isblank($B683)),$B683=$B682,$A683&lt;&gt;$A682),and(not(isblank($A683)),$A683=$A682,$B683&lt;&gt;$B682)),"ID LISTS UNALIGNED",and($A683&lt;&gt;"",countif('5) Release_Track'!$F:$F,$A683)=0),"NO ISRC MATCH in Release_Track",and($B683&lt;&gt;"",countif('5) Release_Track'!$G:$G,$B683)=0),"NO CATALOG ID MATCH in Release_Track",iserror(vlookup($A683&amp;$B683,'5) Release_Track'!$F:$F&amp;'5) Release_Track'!$G:$G,1,0)),"NO ISRC-CATALOG ID pair MATCH in Release_Track" )</f>
        <v/>
      </c>
      <c r="D683" s="121" t="str">
        <f t="array" ref="D683">ifs(and(isblank($A683),isblank($B683)),"", not(iserror(vlookup($A683&amp;$B683,'5) Release_Track'!$F:$F&amp;'5) Release_Track'!$G:$G,1,0))),vlookup($A683&amp;$B683,{'5) Release_Track'!$F:$F&amp;'5) Release_Track'!$G:$G,'5) Release_Track'!$I:$I},2,0), or(and(not(isblank($B683)),$B683=$B682,$A683&lt;&gt;$A682),and(not(isblank($A683)),$A683=$A682,$B683&lt;&gt;$B682)),"ID LISTS UNALIGNED",and($A683&lt;&gt;"",countif('5) Release_Track'!$F:$F,$A683)=0),"NO ISRC MATCH in Release_Track",and($B683&lt;&gt;"",countif('5) Release_Track'!$G:$G,$B683)=0),"NO CATALOG ID MATCH in Release_Track",iserror(vlookup($A683&amp;$B683,'5) Release_Track'!$F:$F&amp;'5) Release_Track'!$G:$G,1,0)),"NO ISRC-CATALOG ID pair MATCH in Release_Track" )</f>
        <v/>
      </c>
      <c r="E683" s="142" t="b">
        <v>0</v>
      </c>
      <c r="F683" s="142" t="b">
        <v>0</v>
      </c>
      <c r="G683" s="142" t="b">
        <v>0</v>
      </c>
      <c r="H683" s="142" t="b">
        <v>0</v>
      </c>
      <c r="I683" s="142" t="b">
        <v>0</v>
      </c>
      <c r="J683" s="142" t="b">
        <v>0</v>
      </c>
      <c r="K683" s="142" t="b">
        <v>0</v>
      </c>
      <c r="L683" s="8" t="b">
        <v>0</v>
      </c>
    </row>
    <row r="684">
      <c r="B684" s="103"/>
      <c r="C684" s="121" t="str">
        <f t="array" ref="C684">ifs(and(isblank($A684),isblank($B684)),"", not(iserror(vlookup($A684&amp;$B684,'5) Release_Track'!$F:$F&amp;'5) Release_Track'!$G:$G,1,0))),vlookup($A684&amp;$B684,{'5) Release_Track'!$F:$F&amp;'5) Release_Track'!$G:$G,'5) Release_Track'!$H:$H},2,0), or(and(not(isblank($B684)),$B684=$B683,$A684&lt;&gt;$A683),and(not(isblank($A684)),$A684=$A683,$B684&lt;&gt;$B683)),"ID LISTS UNALIGNED",and($A684&lt;&gt;"",countif('5) Release_Track'!$F:$F,$A684)=0),"NO ISRC MATCH in Release_Track",and($B684&lt;&gt;"",countif('5) Release_Track'!$G:$G,$B684)=0),"NO CATALOG ID MATCH in Release_Track",iserror(vlookup($A684&amp;$B684,'5) Release_Track'!$F:$F&amp;'5) Release_Track'!$G:$G,1,0)),"NO ISRC-CATALOG ID pair MATCH in Release_Track" )</f>
        <v/>
      </c>
      <c r="D684" s="121" t="str">
        <f t="array" ref="D684">ifs(and(isblank($A684),isblank($B684)),"", not(iserror(vlookup($A684&amp;$B684,'5) Release_Track'!$F:$F&amp;'5) Release_Track'!$G:$G,1,0))),vlookup($A684&amp;$B684,{'5) Release_Track'!$F:$F&amp;'5) Release_Track'!$G:$G,'5) Release_Track'!$I:$I},2,0), or(and(not(isblank($B684)),$B684=$B683,$A684&lt;&gt;$A683),and(not(isblank($A684)),$A684=$A683,$B684&lt;&gt;$B683)),"ID LISTS UNALIGNED",and($A684&lt;&gt;"",countif('5) Release_Track'!$F:$F,$A684)=0),"NO ISRC MATCH in Release_Track",and($B684&lt;&gt;"",countif('5) Release_Track'!$G:$G,$B684)=0),"NO CATALOG ID MATCH in Release_Track",iserror(vlookup($A684&amp;$B684,'5) Release_Track'!$F:$F&amp;'5) Release_Track'!$G:$G,1,0)),"NO ISRC-CATALOG ID pair MATCH in Release_Track" )</f>
        <v/>
      </c>
      <c r="E684" s="142" t="b">
        <v>0</v>
      </c>
      <c r="F684" s="142" t="b">
        <v>0</v>
      </c>
      <c r="G684" s="142" t="b">
        <v>0</v>
      </c>
      <c r="H684" s="142" t="b">
        <v>0</v>
      </c>
      <c r="I684" s="142" t="b">
        <v>0</v>
      </c>
      <c r="J684" s="142" t="b">
        <v>0</v>
      </c>
      <c r="K684" s="142" t="b">
        <v>0</v>
      </c>
      <c r="L684" s="8" t="b">
        <v>0</v>
      </c>
    </row>
    <row r="685">
      <c r="B685" s="103"/>
      <c r="C685" s="121" t="str">
        <f t="array" ref="C685">ifs(and(isblank($A685),isblank($B685)),"", not(iserror(vlookup($A685&amp;$B685,'5) Release_Track'!$F:$F&amp;'5) Release_Track'!$G:$G,1,0))),vlookup($A685&amp;$B685,{'5) Release_Track'!$F:$F&amp;'5) Release_Track'!$G:$G,'5) Release_Track'!$H:$H},2,0), or(and(not(isblank($B685)),$B685=$B684,$A685&lt;&gt;$A684),and(not(isblank($A685)),$A685=$A684,$B685&lt;&gt;$B684)),"ID LISTS UNALIGNED",and($A685&lt;&gt;"",countif('5) Release_Track'!$F:$F,$A685)=0),"NO ISRC MATCH in Release_Track",and($B685&lt;&gt;"",countif('5) Release_Track'!$G:$G,$B685)=0),"NO CATALOG ID MATCH in Release_Track",iserror(vlookup($A685&amp;$B685,'5) Release_Track'!$F:$F&amp;'5) Release_Track'!$G:$G,1,0)),"NO ISRC-CATALOG ID pair MATCH in Release_Track" )</f>
        <v/>
      </c>
      <c r="D685" s="121" t="str">
        <f t="array" ref="D685">ifs(and(isblank($A685),isblank($B685)),"", not(iserror(vlookup($A685&amp;$B685,'5) Release_Track'!$F:$F&amp;'5) Release_Track'!$G:$G,1,0))),vlookup($A685&amp;$B685,{'5) Release_Track'!$F:$F&amp;'5) Release_Track'!$G:$G,'5) Release_Track'!$I:$I},2,0), or(and(not(isblank($B685)),$B685=$B684,$A685&lt;&gt;$A684),and(not(isblank($A685)),$A685=$A684,$B685&lt;&gt;$B684)),"ID LISTS UNALIGNED",and($A685&lt;&gt;"",countif('5) Release_Track'!$F:$F,$A685)=0),"NO ISRC MATCH in Release_Track",and($B685&lt;&gt;"",countif('5) Release_Track'!$G:$G,$B685)=0),"NO CATALOG ID MATCH in Release_Track",iserror(vlookup($A685&amp;$B685,'5) Release_Track'!$F:$F&amp;'5) Release_Track'!$G:$G,1,0)),"NO ISRC-CATALOG ID pair MATCH in Release_Track" )</f>
        <v/>
      </c>
      <c r="E685" s="142" t="b">
        <v>0</v>
      </c>
      <c r="F685" s="142" t="b">
        <v>0</v>
      </c>
      <c r="G685" s="142" t="b">
        <v>0</v>
      </c>
      <c r="H685" s="142" t="b">
        <v>0</v>
      </c>
      <c r="I685" s="142" t="b">
        <v>0</v>
      </c>
      <c r="J685" s="142" t="b">
        <v>0</v>
      </c>
      <c r="K685" s="142" t="b">
        <v>0</v>
      </c>
      <c r="L685" s="8" t="b">
        <v>0</v>
      </c>
    </row>
    <row r="686">
      <c r="B686" s="103"/>
      <c r="C686" s="121" t="str">
        <f t="array" ref="C686">ifs(and(isblank($A686),isblank($B686)),"", not(iserror(vlookup($A686&amp;$B686,'5) Release_Track'!$F:$F&amp;'5) Release_Track'!$G:$G,1,0))),vlookup($A686&amp;$B686,{'5) Release_Track'!$F:$F&amp;'5) Release_Track'!$G:$G,'5) Release_Track'!$H:$H},2,0), or(and(not(isblank($B686)),$B686=$B685,$A686&lt;&gt;$A685),and(not(isblank($A686)),$A686=$A685,$B686&lt;&gt;$B685)),"ID LISTS UNALIGNED",and($A686&lt;&gt;"",countif('5) Release_Track'!$F:$F,$A686)=0),"NO ISRC MATCH in Release_Track",and($B686&lt;&gt;"",countif('5) Release_Track'!$G:$G,$B686)=0),"NO CATALOG ID MATCH in Release_Track",iserror(vlookup($A686&amp;$B686,'5) Release_Track'!$F:$F&amp;'5) Release_Track'!$G:$G,1,0)),"NO ISRC-CATALOG ID pair MATCH in Release_Track" )</f>
        <v/>
      </c>
      <c r="D686" s="121" t="str">
        <f t="array" ref="D686">ifs(and(isblank($A686),isblank($B686)),"", not(iserror(vlookup($A686&amp;$B686,'5) Release_Track'!$F:$F&amp;'5) Release_Track'!$G:$G,1,0))),vlookup($A686&amp;$B686,{'5) Release_Track'!$F:$F&amp;'5) Release_Track'!$G:$G,'5) Release_Track'!$I:$I},2,0), or(and(not(isblank($B686)),$B686=$B685,$A686&lt;&gt;$A685),and(not(isblank($A686)),$A686=$A685,$B686&lt;&gt;$B685)),"ID LISTS UNALIGNED",and($A686&lt;&gt;"",countif('5) Release_Track'!$F:$F,$A686)=0),"NO ISRC MATCH in Release_Track",and($B686&lt;&gt;"",countif('5) Release_Track'!$G:$G,$B686)=0),"NO CATALOG ID MATCH in Release_Track",iserror(vlookup($A686&amp;$B686,'5) Release_Track'!$F:$F&amp;'5) Release_Track'!$G:$G,1,0)),"NO ISRC-CATALOG ID pair MATCH in Release_Track" )</f>
        <v/>
      </c>
      <c r="E686" s="142" t="b">
        <v>0</v>
      </c>
      <c r="F686" s="142" t="b">
        <v>0</v>
      </c>
      <c r="G686" s="142" t="b">
        <v>0</v>
      </c>
      <c r="H686" s="142" t="b">
        <v>0</v>
      </c>
      <c r="I686" s="142" t="b">
        <v>0</v>
      </c>
      <c r="J686" s="142" t="b">
        <v>0</v>
      </c>
      <c r="K686" s="142" t="b">
        <v>0</v>
      </c>
      <c r="L686" s="8" t="b">
        <v>0</v>
      </c>
    </row>
    <row r="687">
      <c r="B687" s="103"/>
      <c r="C687" s="121" t="str">
        <f t="array" ref="C687">ifs(and(isblank($A687),isblank($B687)),"", not(iserror(vlookup($A687&amp;$B687,'5) Release_Track'!$F:$F&amp;'5) Release_Track'!$G:$G,1,0))),vlookup($A687&amp;$B687,{'5) Release_Track'!$F:$F&amp;'5) Release_Track'!$G:$G,'5) Release_Track'!$H:$H},2,0), or(and(not(isblank($B687)),$B687=$B686,$A687&lt;&gt;$A686),and(not(isblank($A687)),$A687=$A686,$B687&lt;&gt;$B686)),"ID LISTS UNALIGNED",and($A687&lt;&gt;"",countif('5) Release_Track'!$F:$F,$A687)=0),"NO ISRC MATCH in Release_Track",and($B687&lt;&gt;"",countif('5) Release_Track'!$G:$G,$B687)=0),"NO CATALOG ID MATCH in Release_Track",iserror(vlookup($A687&amp;$B687,'5) Release_Track'!$F:$F&amp;'5) Release_Track'!$G:$G,1,0)),"NO ISRC-CATALOG ID pair MATCH in Release_Track" )</f>
        <v/>
      </c>
      <c r="D687" s="121" t="str">
        <f t="array" ref="D687">ifs(and(isblank($A687),isblank($B687)),"", not(iserror(vlookup($A687&amp;$B687,'5) Release_Track'!$F:$F&amp;'5) Release_Track'!$G:$G,1,0))),vlookup($A687&amp;$B687,{'5) Release_Track'!$F:$F&amp;'5) Release_Track'!$G:$G,'5) Release_Track'!$I:$I},2,0), or(and(not(isblank($B687)),$B687=$B686,$A687&lt;&gt;$A686),and(not(isblank($A687)),$A687=$A686,$B687&lt;&gt;$B686)),"ID LISTS UNALIGNED",and($A687&lt;&gt;"",countif('5) Release_Track'!$F:$F,$A687)=0),"NO ISRC MATCH in Release_Track",and($B687&lt;&gt;"",countif('5) Release_Track'!$G:$G,$B687)=0),"NO CATALOG ID MATCH in Release_Track",iserror(vlookup($A687&amp;$B687,'5) Release_Track'!$F:$F&amp;'5) Release_Track'!$G:$G,1,0)),"NO ISRC-CATALOG ID pair MATCH in Release_Track" )</f>
        <v/>
      </c>
      <c r="E687" s="142" t="b">
        <v>0</v>
      </c>
      <c r="F687" s="142" t="b">
        <v>0</v>
      </c>
      <c r="G687" s="142" t="b">
        <v>0</v>
      </c>
      <c r="H687" s="142" t="b">
        <v>0</v>
      </c>
      <c r="I687" s="142" t="b">
        <v>0</v>
      </c>
      <c r="J687" s="142" t="b">
        <v>0</v>
      </c>
      <c r="K687" s="142" t="b">
        <v>0</v>
      </c>
      <c r="L687" s="8" t="b">
        <v>0</v>
      </c>
    </row>
    <row r="688">
      <c r="B688" s="103"/>
      <c r="C688" s="121" t="str">
        <f t="array" ref="C688">ifs(and(isblank($A688),isblank($B688)),"", not(iserror(vlookup($A688&amp;$B688,'5) Release_Track'!$F:$F&amp;'5) Release_Track'!$G:$G,1,0))),vlookup($A688&amp;$B688,{'5) Release_Track'!$F:$F&amp;'5) Release_Track'!$G:$G,'5) Release_Track'!$H:$H},2,0), or(and(not(isblank($B688)),$B688=$B687,$A688&lt;&gt;$A687),and(not(isblank($A688)),$A688=$A687,$B688&lt;&gt;$B687)),"ID LISTS UNALIGNED",and($A688&lt;&gt;"",countif('5) Release_Track'!$F:$F,$A688)=0),"NO ISRC MATCH in Release_Track",and($B688&lt;&gt;"",countif('5) Release_Track'!$G:$G,$B688)=0),"NO CATALOG ID MATCH in Release_Track",iserror(vlookup($A688&amp;$B688,'5) Release_Track'!$F:$F&amp;'5) Release_Track'!$G:$G,1,0)),"NO ISRC-CATALOG ID pair MATCH in Release_Track" )</f>
        <v/>
      </c>
      <c r="D688" s="121" t="str">
        <f t="array" ref="D688">ifs(and(isblank($A688),isblank($B688)),"", not(iserror(vlookup($A688&amp;$B688,'5) Release_Track'!$F:$F&amp;'5) Release_Track'!$G:$G,1,0))),vlookup($A688&amp;$B688,{'5) Release_Track'!$F:$F&amp;'5) Release_Track'!$G:$G,'5) Release_Track'!$I:$I},2,0), or(and(not(isblank($B688)),$B688=$B687,$A688&lt;&gt;$A687),and(not(isblank($A688)),$A688=$A687,$B688&lt;&gt;$B687)),"ID LISTS UNALIGNED",and($A688&lt;&gt;"",countif('5) Release_Track'!$F:$F,$A688)=0),"NO ISRC MATCH in Release_Track",and($B688&lt;&gt;"",countif('5) Release_Track'!$G:$G,$B688)=0),"NO CATALOG ID MATCH in Release_Track",iserror(vlookup($A688&amp;$B688,'5) Release_Track'!$F:$F&amp;'5) Release_Track'!$G:$G,1,0)),"NO ISRC-CATALOG ID pair MATCH in Release_Track" )</f>
        <v/>
      </c>
      <c r="E688" s="142" t="b">
        <v>0</v>
      </c>
      <c r="F688" s="142" t="b">
        <v>0</v>
      </c>
      <c r="G688" s="142" t="b">
        <v>0</v>
      </c>
      <c r="H688" s="142" t="b">
        <v>0</v>
      </c>
      <c r="I688" s="142" t="b">
        <v>0</v>
      </c>
      <c r="J688" s="142" t="b">
        <v>0</v>
      </c>
      <c r="K688" s="142" t="b">
        <v>0</v>
      </c>
      <c r="L688" s="8" t="b">
        <v>0</v>
      </c>
    </row>
    <row r="689">
      <c r="B689" s="103"/>
      <c r="C689" s="121" t="str">
        <f t="array" ref="C689">ifs(and(isblank($A689),isblank($B689)),"", not(iserror(vlookup($A689&amp;$B689,'5) Release_Track'!$F:$F&amp;'5) Release_Track'!$G:$G,1,0))),vlookup($A689&amp;$B689,{'5) Release_Track'!$F:$F&amp;'5) Release_Track'!$G:$G,'5) Release_Track'!$H:$H},2,0), or(and(not(isblank($B689)),$B689=$B688,$A689&lt;&gt;$A688),and(not(isblank($A689)),$A689=$A688,$B689&lt;&gt;$B688)),"ID LISTS UNALIGNED",and($A689&lt;&gt;"",countif('5) Release_Track'!$F:$F,$A689)=0),"NO ISRC MATCH in Release_Track",and($B689&lt;&gt;"",countif('5) Release_Track'!$G:$G,$B689)=0),"NO CATALOG ID MATCH in Release_Track",iserror(vlookup($A689&amp;$B689,'5) Release_Track'!$F:$F&amp;'5) Release_Track'!$G:$G,1,0)),"NO ISRC-CATALOG ID pair MATCH in Release_Track" )</f>
        <v/>
      </c>
      <c r="D689" s="121" t="str">
        <f t="array" ref="D689">ifs(and(isblank($A689),isblank($B689)),"", not(iserror(vlookup($A689&amp;$B689,'5) Release_Track'!$F:$F&amp;'5) Release_Track'!$G:$G,1,0))),vlookup($A689&amp;$B689,{'5) Release_Track'!$F:$F&amp;'5) Release_Track'!$G:$G,'5) Release_Track'!$I:$I},2,0), or(and(not(isblank($B689)),$B689=$B688,$A689&lt;&gt;$A688),and(not(isblank($A689)),$A689=$A688,$B689&lt;&gt;$B688)),"ID LISTS UNALIGNED",and($A689&lt;&gt;"",countif('5) Release_Track'!$F:$F,$A689)=0),"NO ISRC MATCH in Release_Track",and($B689&lt;&gt;"",countif('5) Release_Track'!$G:$G,$B689)=0),"NO CATALOG ID MATCH in Release_Track",iserror(vlookup($A689&amp;$B689,'5) Release_Track'!$F:$F&amp;'5) Release_Track'!$G:$G,1,0)),"NO ISRC-CATALOG ID pair MATCH in Release_Track" )</f>
        <v/>
      </c>
      <c r="E689" s="142" t="b">
        <v>0</v>
      </c>
      <c r="F689" s="142" t="b">
        <v>0</v>
      </c>
      <c r="G689" s="142" t="b">
        <v>0</v>
      </c>
      <c r="H689" s="142" t="b">
        <v>0</v>
      </c>
      <c r="I689" s="142" t="b">
        <v>0</v>
      </c>
      <c r="J689" s="142" t="b">
        <v>0</v>
      </c>
      <c r="K689" s="142" t="b">
        <v>0</v>
      </c>
      <c r="L689" s="8" t="b">
        <v>0</v>
      </c>
    </row>
    <row r="690">
      <c r="B690" s="103"/>
      <c r="C690" s="121" t="str">
        <f t="array" ref="C690">ifs(and(isblank($A690),isblank($B690)),"", not(iserror(vlookup($A690&amp;$B690,'5) Release_Track'!$F:$F&amp;'5) Release_Track'!$G:$G,1,0))),vlookup($A690&amp;$B690,{'5) Release_Track'!$F:$F&amp;'5) Release_Track'!$G:$G,'5) Release_Track'!$H:$H},2,0), or(and(not(isblank($B690)),$B690=$B689,$A690&lt;&gt;$A689),and(not(isblank($A690)),$A690=$A689,$B690&lt;&gt;$B689)),"ID LISTS UNALIGNED",and($A690&lt;&gt;"",countif('5) Release_Track'!$F:$F,$A690)=0),"NO ISRC MATCH in Release_Track",and($B690&lt;&gt;"",countif('5) Release_Track'!$G:$G,$B690)=0),"NO CATALOG ID MATCH in Release_Track",iserror(vlookup($A690&amp;$B690,'5) Release_Track'!$F:$F&amp;'5) Release_Track'!$G:$G,1,0)),"NO ISRC-CATALOG ID pair MATCH in Release_Track" )</f>
        <v/>
      </c>
      <c r="D690" s="121" t="str">
        <f t="array" ref="D690">ifs(and(isblank($A690),isblank($B690)),"", not(iserror(vlookup($A690&amp;$B690,'5) Release_Track'!$F:$F&amp;'5) Release_Track'!$G:$G,1,0))),vlookup($A690&amp;$B690,{'5) Release_Track'!$F:$F&amp;'5) Release_Track'!$G:$G,'5) Release_Track'!$I:$I},2,0), or(and(not(isblank($B690)),$B690=$B689,$A690&lt;&gt;$A689),and(not(isblank($A690)),$A690=$A689,$B690&lt;&gt;$B689)),"ID LISTS UNALIGNED",and($A690&lt;&gt;"",countif('5) Release_Track'!$F:$F,$A690)=0),"NO ISRC MATCH in Release_Track",and($B690&lt;&gt;"",countif('5) Release_Track'!$G:$G,$B690)=0),"NO CATALOG ID MATCH in Release_Track",iserror(vlookup($A690&amp;$B690,'5) Release_Track'!$F:$F&amp;'5) Release_Track'!$G:$G,1,0)),"NO ISRC-CATALOG ID pair MATCH in Release_Track" )</f>
        <v/>
      </c>
      <c r="E690" s="142" t="b">
        <v>0</v>
      </c>
      <c r="F690" s="142" t="b">
        <v>0</v>
      </c>
      <c r="G690" s="142" t="b">
        <v>0</v>
      </c>
      <c r="H690" s="142" t="b">
        <v>0</v>
      </c>
      <c r="I690" s="142" t="b">
        <v>0</v>
      </c>
      <c r="J690" s="142" t="b">
        <v>0</v>
      </c>
      <c r="K690" s="142" t="b">
        <v>0</v>
      </c>
      <c r="L690" s="8" t="b">
        <v>0</v>
      </c>
    </row>
    <row r="691">
      <c r="B691" s="103"/>
      <c r="C691" s="121" t="str">
        <f t="array" ref="C691">ifs(and(isblank($A691),isblank($B691)),"", not(iserror(vlookup($A691&amp;$B691,'5) Release_Track'!$F:$F&amp;'5) Release_Track'!$G:$G,1,0))),vlookup($A691&amp;$B691,{'5) Release_Track'!$F:$F&amp;'5) Release_Track'!$G:$G,'5) Release_Track'!$H:$H},2,0), or(and(not(isblank($B691)),$B691=$B690,$A691&lt;&gt;$A690),and(not(isblank($A691)),$A691=$A690,$B691&lt;&gt;$B690)),"ID LISTS UNALIGNED",and($A691&lt;&gt;"",countif('5) Release_Track'!$F:$F,$A691)=0),"NO ISRC MATCH in Release_Track",and($B691&lt;&gt;"",countif('5) Release_Track'!$G:$G,$B691)=0),"NO CATALOG ID MATCH in Release_Track",iserror(vlookup($A691&amp;$B691,'5) Release_Track'!$F:$F&amp;'5) Release_Track'!$G:$G,1,0)),"NO ISRC-CATALOG ID pair MATCH in Release_Track" )</f>
        <v/>
      </c>
      <c r="D691" s="121" t="str">
        <f t="array" ref="D691">ifs(and(isblank($A691),isblank($B691)),"", not(iserror(vlookup($A691&amp;$B691,'5) Release_Track'!$F:$F&amp;'5) Release_Track'!$G:$G,1,0))),vlookup($A691&amp;$B691,{'5) Release_Track'!$F:$F&amp;'5) Release_Track'!$G:$G,'5) Release_Track'!$I:$I},2,0), or(and(not(isblank($B691)),$B691=$B690,$A691&lt;&gt;$A690),and(not(isblank($A691)),$A691=$A690,$B691&lt;&gt;$B690)),"ID LISTS UNALIGNED",and($A691&lt;&gt;"",countif('5) Release_Track'!$F:$F,$A691)=0),"NO ISRC MATCH in Release_Track",and($B691&lt;&gt;"",countif('5) Release_Track'!$G:$G,$B691)=0),"NO CATALOG ID MATCH in Release_Track",iserror(vlookup($A691&amp;$B691,'5) Release_Track'!$F:$F&amp;'5) Release_Track'!$G:$G,1,0)),"NO ISRC-CATALOG ID pair MATCH in Release_Track" )</f>
        <v/>
      </c>
      <c r="E691" s="142" t="b">
        <v>0</v>
      </c>
      <c r="F691" s="142" t="b">
        <v>0</v>
      </c>
      <c r="G691" s="142" t="b">
        <v>0</v>
      </c>
      <c r="H691" s="142" t="b">
        <v>0</v>
      </c>
      <c r="I691" s="142" t="b">
        <v>0</v>
      </c>
      <c r="J691" s="142" t="b">
        <v>0</v>
      </c>
      <c r="K691" s="142" t="b">
        <v>0</v>
      </c>
      <c r="L691" s="8" t="b">
        <v>0</v>
      </c>
    </row>
    <row r="692">
      <c r="B692" s="103"/>
      <c r="C692" s="121" t="str">
        <f t="array" ref="C692">ifs(and(isblank($A692),isblank($B692)),"", not(iserror(vlookup($A692&amp;$B692,'5) Release_Track'!$F:$F&amp;'5) Release_Track'!$G:$G,1,0))),vlookup($A692&amp;$B692,{'5) Release_Track'!$F:$F&amp;'5) Release_Track'!$G:$G,'5) Release_Track'!$H:$H},2,0), or(and(not(isblank($B692)),$B692=$B691,$A692&lt;&gt;$A691),and(not(isblank($A692)),$A692=$A691,$B692&lt;&gt;$B691)),"ID LISTS UNALIGNED",and($A692&lt;&gt;"",countif('5) Release_Track'!$F:$F,$A692)=0),"NO ISRC MATCH in Release_Track",and($B692&lt;&gt;"",countif('5) Release_Track'!$G:$G,$B692)=0),"NO CATALOG ID MATCH in Release_Track",iserror(vlookup($A692&amp;$B692,'5) Release_Track'!$F:$F&amp;'5) Release_Track'!$G:$G,1,0)),"NO ISRC-CATALOG ID pair MATCH in Release_Track" )</f>
        <v/>
      </c>
      <c r="D692" s="121" t="str">
        <f t="array" ref="D692">ifs(and(isblank($A692),isblank($B692)),"", not(iserror(vlookup($A692&amp;$B692,'5) Release_Track'!$F:$F&amp;'5) Release_Track'!$G:$G,1,0))),vlookup($A692&amp;$B692,{'5) Release_Track'!$F:$F&amp;'5) Release_Track'!$G:$G,'5) Release_Track'!$I:$I},2,0), or(and(not(isblank($B692)),$B692=$B691,$A692&lt;&gt;$A691),and(not(isblank($A692)),$A692=$A691,$B692&lt;&gt;$B691)),"ID LISTS UNALIGNED",and($A692&lt;&gt;"",countif('5) Release_Track'!$F:$F,$A692)=0),"NO ISRC MATCH in Release_Track",and($B692&lt;&gt;"",countif('5) Release_Track'!$G:$G,$B692)=0),"NO CATALOG ID MATCH in Release_Track",iserror(vlookup($A692&amp;$B692,'5) Release_Track'!$F:$F&amp;'5) Release_Track'!$G:$G,1,0)),"NO ISRC-CATALOG ID pair MATCH in Release_Track" )</f>
        <v/>
      </c>
      <c r="E692" s="142" t="b">
        <v>0</v>
      </c>
      <c r="F692" s="142" t="b">
        <v>0</v>
      </c>
      <c r="G692" s="142" t="b">
        <v>0</v>
      </c>
      <c r="H692" s="142" t="b">
        <v>0</v>
      </c>
      <c r="I692" s="142" t="b">
        <v>0</v>
      </c>
      <c r="J692" s="142" t="b">
        <v>0</v>
      </c>
      <c r="K692" s="142" t="b">
        <v>0</v>
      </c>
      <c r="L692" s="8" t="b">
        <v>0</v>
      </c>
    </row>
    <row r="693">
      <c r="B693" s="103"/>
      <c r="C693" s="121" t="str">
        <f t="array" ref="C693">ifs(and(isblank($A693),isblank($B693)),"", not(iserror(vlookup($A693&amp;$B693,'5) Release_Track'!$F:$F&amp;'5) Release_Track'!$G:$G,1,0))),vlookup($A693&amp;$B693,{'5) Release_Track'!$F:$F&amp;'5) Release_Track'!$G:$G,'5) Release_Track'!$H:$H},2,0), or(and(not(isblank($B693)),$B693=$B692,$A693&lt;&gt;$A692),and(not(isblank($A693)),$A693=$A692,$B693&lt;&gt;$B692)),"ID LISTS UNALIGNED",and($A693&lt;&gt;"",countif('5) Release_Track'!$F:$F,$A693)=0),"NO ISRC MATCH in Release_Track",and($B693&lt;&gt;"",countif('5) Release_Track'!$G:$G,$B693)=0),"NO CATALOG ID MATCH in Release_Track",iserror(vlookup($A693&amp;$B693,'5) Release_Track'!$F:$F&amp;'5) Release_Track'!$G:$G,1,0)),"NO ISRC-CATALOG ID pair MATCH in Release_Track" )</f>
        <v/>
      </c>
      <c r="D693" s="121" t="str">
        <f t="array" ref="D693">ifs(and(isblank($A693),isblank($B693)),"", not(iserror(vlookup($A693&amp;$B693,'5) Release_Track'!$F:$F&amp;'5) Release_Track'!$G:$G,1,0))),vlookup($A693&amp;$B693,{'5) Release_Track'!$F:$F&amp;'5) Release_Track'!$G:$G,'5) Release_Track'!$I:$I},2,0), or(and(not(isblank($B693)),$B693=$B692,$A693&lt;&gt;$A692),and(not(isblank($A693)),$A693=$A692,$B693&lt;&gt;$B692)),"ID LISTS UNALIGNED",and($A693&lt;&gt;"",countif('5) Release_Track'!$F:$F,$A693)=0),"NO ISRC MATCH in Release_Track",and($B693&lt;&gt;"",countif('5) Release_Track'!$G:$G,$B693)=0),"NO CATALOG ID MATCH in Release_Track",iserror(vlookup($A693&amp;$B693,'5) Release_Track'!$F:$F&amp;'5) Release_Track'!$G:$G,1,0)),"NO ISRC-CATALOG ID pair MATCH in Release_Track" )</f>
        <v/>
      </c>
      <c r="E693" s="142" t="b">
        <v>0</v>
      </c>
      <c r="F693" s="142" t="b">
        <v>0</v>
      </c>
      <c r="G693" s="142" t="b">
        <v>0</v>
      </c>
      <c r="H693" s="142" t="b">
        <v>0</v>
      </c>
      <c r="I693" s="142" t="b">
        <v>0</v>
      </c>
      <c r="J693" s="142" t="b">
        <v>0</v>
      </c>
      <c r="K693" s="142" t="b">
        <v>0</v>
      </c>
      <c r="L693" s="8" t="b">
        <v>0</v>
      </c>
    </row>
    <row r="694">
      <c r="B694" s="103"/>
      <c r="C694" s="121" t="str">
        <f t="array" ref="C694">ifs(and(isblank($A694),isblank($B694)),"", not(iserror(vlookup($A694&amp;$B694,'5) Release_Track'!$F:$F&amp;'5) Release_Track'!$G:$G,1,0))),vlookup($A694&amp;$B694,{'5) Release_Track'!$F:$F&amp;'5) Release_Track'!$G:$G,'5) Release_Track'!$H:$H},2,0), or(and(not(isblank($B694)),$B694=$B693,$A694&lt;&gt;$A693),and(not(isblank($A694)),$A694=$A693,$B694&lt;&gt;$B693)),"ID LISTS UNALIGNED",and($A694&lt;&gt;"",countif('5) Release_Track'!$F:$F,$A694)=0),"NO ISRC MATCH in Release_Track",and($B694&lt;&gt;"",countif('5) Release_Track'!$G:$G,$B694)=0),"NO CATALOG ID MATCH in Release_Track",iserror(vlookup($A694&amp;$B694,'5) Release_Track'!$F:$F&amp;'5) Release_Track'!$G:$G,1,0)),"NO ISRC-CATALOG ID pair MATCH in Release_Track" )</f>
        <v/>
      </c>
      <c r="D694" s="121" t="str">
        <f t="array" ref="D694">ifs(and(isblank($A694),isblank($B694)),"", not(iserror(vlookup($A694&amp;$B694,'5) Release_Track'!$F:$F&amp;'5) Release_Track'!$G:$G,1,0))),vlookup($A694&amp;$B694,{'5) Release_Track'!$F:$F&amp;'5) Release_Track'!$G:$G,'5) Release_Track'!$I:$I},2,0), or(and(not(isblank($B694)),$B694=$B693,$A694&lt;&gt;$A693),and(not(isblank($A694)),$A694=$A693,$B694&lt;&gt;$B693)),"ID LISTS UNALIGNED",and($A694&lt;&gt;"",countif('5) Release_Track'!$F:$F,$A694)=0),"NO ISRC MATCH in Release_Track",and($B694&lt;&gt;"",countif('5) Release_Track'!$G:$G,$B694)=0),"NO CATALOG ID MATCH in Release_Track",iserror(vlookup($A694&amp;$B694,'5) Release_Track'!$F:$F&amp;'5) Release_Track'!$G:$G,1,0)),"NO ISRC-CATALOG ID pair MATCH in Release_Track" )</f>
        <v/>
      </c>
      <c r="E694" s="142" t="b">
        <v>0</v>
      </c>
      <c r="F694" s="142" t="b">
        <v>0</v>
      </c>
      <c r="G694" s="142" t="b">
        <v>0</v>
      </c>
      <c r="H694" s="142" t="b">
        <v>0</v>
      </c>
      <c r="I694" s="142" t="b">
        <v>0</v>
      </c>
      <c r="J694" s="142" t="b">
        <v>0</v>
      </c>
      <c r="K694" s="142" t="b">
        <v>0</v>
      </c>
      <c r="L694" s="8" t="b">
        <v>0</v>
      </c>
    </row>
    <row r="695">
      <c r="B695" s="103"/>
      <c r="C695" s="121" t="str">
        <f t="array" ref="C695">ifs(and(isblank($A695),isblank($B695)),"", not(iserror(vlookup($A695&amp;$B695,'5) Release_Track'!$F:$F&amp;'5) Release_Track'!$G:$G,1,0))),vlookup($A695&amp;$B695,{'5) Release_Track'!$F:$F&amp;'5) Release_Track'!$G:$G,'5) Release_Track'!$H:$H},2,0), or(and(not(isblank($B695)),$B695=$B694,$A695&lt;&gt;$A694),and(not(isblank($A695)),$A695=$A694,$B695&lt;&gt;$B694)),"ID LISTS UNALIGNED",and($A695&lt;&gt;"",countif('5) Release_Track'!$F:$F,$A695)=0),"NO ISRC MATCH in Release_Track",and($B695&lt;&gt;"",countif('5) Release_Track'!$G:$G,$B695)=0),"NO CATALOG ID MATCH in Release_Track",iserror(vlookup($A695&amp;$B695,'5) Release_Track'!$F:$F&amp;'5) Release_Track'!$G:$G,1,0)),"NO ISRC-CATALOG ID pair MATCH in Release_Track" )</f>
        <v/>
      </c>
      <c r="D695" s="121" t="str">
        <f t="array" ref="D695">ifs(and(isblank($A695),isblank($B695)),"", not(iserror(vlookup($A695&amp;$B695,'5) Release_Track'!$F:$F&amp;'5) Release_Track'!$G:$G,1,0))),vlookup($A695&amp;$B695,{'5) Release_Track'!$F:$F&amp;'5) Release_Track'!$G:$G,'5) Release_Track'!$I:$I},2,0), or(and(not(isblank($B695)),$B695=$B694,$A695&lt;&gt;$A694),and(not(isblank($A695)),$A695=$A694,$B695&lt;&gt;$B694)),"ID LISTS UNALIGNED",and($A695&lt;&gt;"",countif('5) Release_Track'!$F:$F,$A695)=0),"NO ISRC MATCH in Release_Track",and($B695&lt;&gt;"",countif('5) Release_Track'!$G:$G,$B695)=0),"NO CATALOG ID MATCH in Release_Track",iserror(vlookup($A695&amp;$B695,'5) Release_Track'!$F:$F&amp;'5) Release_Track'!$G:$G,1,0)),"NO ISRC-CATALOG ID pair MATCH in Release_Track" )</f>
        <v/>
      </c>
      <c r="E695" s="142" t="b">
        <v>0</v>
      </c>
      <c r="F695" s="142" t="b">
        <v>0</v>
      </c>
      <c r="G695" s="142" t="b">
        <v>0</v>
      </c>
      <c r="H695" s="142" t="b">
        <v>0</v>
      </c>
      <c r="I695" s="142" t="b">
        <v>0</v>
      </c>
      <c r="J695" s="142" t="b">
        <v>0</v>
      </c>
      <c r="K695" s="142" t="b">
        <v>0</v>
      </c>
      <c r="L695" s="8" t="b">
        <v>0</v>
      </c>
    </row>
    <row r="696">
      <c r="B696" s="103"/>
      <c r="C696" s="121" t="str">
        <f t="array" ref="C696">ifs(and(isblank($A696),isblank($B696)),"", not(iserror(vlookup($A696&amp;$B696,'5) Release_Track'!$F:$F&amp;'5) Release_Track'!$G:$G,1,0))),vlookup($A696&amp;$B696,{'5) Release_Track'!$F:$F&amp;'5) Release_Track'!$G:$G,'5) Release_Track'!$H:$H},2,0), or(and(not(isblank($B696)),$B696=$B695,$A696&lt;&gt;$A695),and(not(isblank($A696)),$A696=$A695,$B696&lt;&gt;$B695)),"ID LISTS UNALIGNED",and($A696&lt;&gt;"",countif('5) Release_Track'!$F:$F,$A696)=0),"NO ISRC MATCH in Release_Track",and($B696&lt;&gt;"",countif('5) Release_Track'!$G:$G,$B696)=0),"NO CATALOG ID MATCH in Release_Track",iserror(vlookup($A696&amp;$B696,'5) Release_Track'!$F:$F&amp;'5) Release_Track'!$G:$G,1,0)),"NO ISRC-CATALOG ID pair MATCH in Release_Track" )</f>
        <v/>
      </c>
      <c r="D696" s="121" t="str">
        <f t="array" ref="D696">ifs(and(isblank($A696),isblank($B696)),"", not(iserror(vlookup($A696&amp;$B696,'5) Release_Track'!$F:$F&amp;'5) Release_Track'!$G:$G,1,0))),vlookup($A696&amp;$B696,{'5) Release_Track'!$F:$F&amp;'5) Release_Track'!$G:$G,'5) Release_Track'!$I:$I},2,0), or(and(not(isblank($B696)),$B696=$B695,$A696&lt;&gt;$A695),and(not(isblank($A696)),$A696=$A695,$B696&lt;&gt;$B695)),"ID LISTS UNALIGNED",and($A696&lt;&gt;"",countif('5) Release_Track'!$F:$F,$A696)=0),"NO ISRC MATCH in Release_Track",and($B696&lt;&gt;"",countif('5) Release_Track'!$G:$G,$B696)=0),"NO CATALOG ID MATCH in Release_Track",iserror(vlookup($A696&amp;$B696,'5) Release_Track'!$F:$F&amp;'5) Release_Track'!$G:$G,1,0)),"NO ISRC-CATALOG ID pair MATCH in Release_Track" )</f>
        <v/>
      </c>
      <c r="E696" s="142" t="b">
        <v>0</v>
      </c>
      <c r="F696" s="142" t="b">
        <v>0</v>
      </c>
      <c r="G696" s="142" t="b">
        <v>0</v>
      </c>
      <c r="H696" s="142" t="b">
        <v>0</v>
      </c>
      <c r="I696" s="142" t="b">
        <v>0</v>
      </c>
      <c r="J696" s="142" t="b">
        <v>0</v>
      </c>
      <c r="K696" s="142" t="b">
        <v>0</v>
      </c>
      <c r="L696" s="8" t="b">
        <v>0</v>
      </c>
    </row>
    <row r="697">
      <c r="B697" s="103"/>
      <c r="C697" s="121" t="str">
        <f t="array" ref="C697">ifs(and(isblank($A697),isblank($B697)),"", not(iserror(vlookup($A697&amp;$B697,'5) Release_Track'!$F:$F&amp;'5) Release_Track'!$G:$G,1,0))),vlookup($A697&amp;$B697,{'5) Release_Track'!$F:$F&amp;'5) Release_Track'!$G:$G,'5) Release_Track'!$H:$H},2,0), or(and(not(isblank($B697)),$B697=$B696,$A697&lt;&gt;$A696),and(not(isblank($A697)),$A697=$A696,$B697&lt;&gt;$B696)),"ID LISTS UNALIGNED",and($A697&lt;&gt;"",countif('5) Release_Track'!$F:$F,$A697)=0),"NO ISRC MATCH in Release_Track",and($B697&lt;&gt;"",countif('5) Release_Track'!$G:$G,$B697)=0),"NO CATALOG ID MATCH in Release_Track",iserror(vlookup($A697&amp;$B697,'5) Release_Track'!$F:$F&amp;'5) Release_Track'!$G:$G,1,0)),"NO ISRC-CATALOG ID pair MATCH in Release_Track" )</f>
        <v/>
      </c>
      <c r="D697" s="121" t="str">
        <f t="array" ref="D697">ifs(and(isblank($A697),isblank($B697)),"", not(iserror(vlookup($A697&amp;$B697,'5) Release_Track'!$F:$F&amp;'5) Release_Track'!$G:$G,1,0))),vlookup($A697&amp;$B697,{'5) Release_Track'!$F:$F&amp;'5) Release_Track'!$G:$G,'5) Release_Track'!$I:$I},2,0), or(and(not(isblank($B697)),$B697=$B696,$A697&lt;&gt;$A696),and(not(isblank($A697)),$A697=$A696,$B697&lt;&gt;$B696)),"ID LISTS UNALIGNED",and($A697&lt;&gt;"",countif('5) Release_Track'!$F:$F,$A697)=0),"NO ISRC MATCH in Release_Track",and($B697&lt;&gt;"",countif('5) Release_Track'!$G:$G,$B697)=0),"NO CATALOG ID MATCH in Release_Track",iserror(vlookup($A697&amp;$B697,'5) Release_Track'!$F:$F&amp;'5) Release_Track'!$G:$G,1,0)),"NO ISRC-CATALOG ID pair MATCH in Release_Track" )</f>
        <v/>
      </c>
      <c r="E697" s="142" t="b">
        <v>0</v>
      </c>
      <c r="F697" s="142" t="b">
        <v>0</v>
      </c>
      <c r="G697" s="142" t="b">
        <v>0</v>
      </c>
      <c r="H697" s="142" t="b">
        <v>0</v>
      </c>
      <c r="I697" s="142" t="b">
        <v>0</v>
      </c>
      <c r="J697" s="142" t="b">
        <v>0</v>
      </c>
      <c r="K697" s="142" t="b">
        <v>0</v>
      </c>
      <c r="L697" s="8" t="b">
        <v>0</v>
      </c>
    </row>
    <row r="698">
      <c r="B698" s="103"/>
      <c r="C698" s="121" t="str">
        <f t="array" ref="C698">ifs(and(isblank($A698),isblank($B698)),"", not(iserror(vlookup($A698&amp;$B698,'5) Release_Track'!$F:$F&amp;'5) Release_Track'!$G:$G,1,0))),vlookup($A698&amp;$B698,{'5) Release_Track'!$F:$F&amp;'5) Release_Track'!$G:$G,'5) Release_Track'!$H:$H},2,0), or(and(not(isblank($B698)),$B698=$B697,$A698&lt;&gt;$A697),and(not(isblank($A698)),$A698=$A697,$B698&lt;&gt;$B697)),"ID LISTS UNALIGNED",and($A698&lt;&gt;"",countif('5) Release_Track'!$F:$F,$A698)=0),"NO ISRC MATCH in Release_Track",and($B698&lt;&gt;"",countif('5) Release_Track'!$G:$G,$B698)=0),"NO CATALOG ID MATCH in Release_Track",iserror(vlookup($A698&amp;$B698,'5) Release_Track'!$F:$F&amp;'5) Release_Track'!$G:$G,1,0)),"NO ISRC-CATALOG ID pair MATCH in Release_Track" )</f>
        <v/>
      </c>
      <c r="D698" s="121" t="str">
        <f t="array" ref="D698">ifs(and(isblank($A698),isblank($B698)),"", not(iserror(vlookup($A698&amp;$B698,'5) Release_Track'!$F:$F&amp;'5) Release_Track'!$G:$G,1,0))),vlookup($A698&amp;$B698,{'5) Release_Track'!$F:$F&amp;'5) Release_Track'!$G:$G,'5) Release_Track'!$I:$I},2,0), or(and(not(isblank($B698)),$B698=$B697,$A698&lt;&gt;$A697),and(not(isblank($A698)),$A698=$A697,$B698&lt;&gt;$B697)),"ID LISTS UNALIGNED",and($A698&lt;&gt;"",countif('5) Release_Track'!$F:$F,$A698)=0),"NO ISRC MATCH in Release_Track",and($B698&lt;&gt;"",countif('5) Release_Track'!$G:$G,$B698)=0),"NO CATALOG ID MATCH in Release_Track",iserror(vlookup($A698&amp;$B698,'5) Release_Track'!$F:$F&amp;'5) Release_Track'!$G:$G,1,0)),"NO ISRC-CATALOG ID pair MATCH in Release_Track" )</f>
        <v/>
      </c>
      <c r="E698" s="142" t="b">
        <v>0</v>
      </c>
      <c r="F698" s="142" t="b">
        <v>0</v>
      </c>
      <c r="G698" s="142" t="b">
        <v>0</v>
      </c>
      <c r="H698" s="142" t="b">
        <v>0</v>
      </c>
      <c r="I698" s="142" t="b">
        <v>0</v>
      </c>
      <c r="J698" s="142" t="b">
        <v>0</v>
      </c>
      <c r="K698" s="142" t="b">
        <v>0</v>
      </c>
      <c r="L698" s="8" t="b">
        <v>0</v>
      </c>
    </row>
    <row r="699">
      <c r="B699" s="103"/>
      <c r="C699" s="121" t="str">
        <f t="array" ref="C699">ifs(and(isblank($A699),isblank($B699)),"", not(iserror(vlookup($A699&amp;$B699,'5) Release_Track'!$F:$F&amp;'5) Release_Track'!$G:$G,1,0))),vlookup($A699&amp;$B699,{'5) Release_Track'!$F:$F&amp;'5) Release_Track'!$G:$G,'5) Release_Track'!$H:$H},2,0), or(and(not(isblank($B699)),$B699=$B698,$A699&lt;&gt;$A698),and(not(isblank($A699)),$A699=$A698,$B699&lt;&gt;$B698)),"ID LISTS UNALIGNED",and($A699&lt;&gt;"",countif('5) Release_Track'!$F:$F,$A699)=0),"NO ISRC MATCH in Release_Track",and($B699&lt;&gt;"",countif('5) Release_Track'!$G:$G,$B699)=0),"NO CATALOG ID MATCH in Release_Track",iserror(vlookup($A699&amp;$B699,'5) Release_Track'!$F:$F&amp;'5) Release_Track'!$G:$G,1,0)),"NO ISRC-CATALOG ID pair MATCH in Release_Track" )</f>
        <v/>
      </c>
      <c r="D699" s="121" t="str">
        <f t="array" ref="D699">ifs(and(isblank($A699),isblank($B699)),"", not(iserror(vlookup($A699&amp;$B699,'5) Release_Track'!$F:$F&amp;'5) Release_Track'!$G:$G,1,0))),vlookup($A699&amp;$B699,{'5) Release_Track'!$F:$F&amp;'5) Release_Track'!$G:$G,'5) Release_Track'!$I:$I},2,0), or(and(not(isblank($B699)),$B699=$B698,$A699&lt;&gt;$A698),and(not(isblank($A699)),$A699=$A698,$B699&lt;&gt;$B698)),"ID LISTS UNALIGNED",and($A699&lt;&gt;"",countif('5) Release_Track'!$F:$F,$A699)=0),"NO ISRC MATCH in Release_Track",and($B699&lt;&gt;"",countif('5) Release_Track'!$G:$G,$B699)=0),"NO CATALOG ID MATCH in Release_Track",iserror(vlookup($A699&amp;$B699,'5) Release_Track'!$F:$F&amp;'5) Release_Track'!$G:$G,1,0)),"NO ISRC-CATALOG ID pair MATCH in Release_Track" )</f>
        <v/>
      </c>
      <c r="E699" s="142" t="b">
        <v>0</v>
      </c>
      <c r="F699" s="142" t="b">
        <v>0</v>
      </c>
      <c r="G699" s="142" t="b">
        <v>0</v>
      </c>
      <c r="H699" s="142" t="b">
        <v>0</v>
      </c>
      <c r="I699" s="142" t="b">
        <v>0</v>
      </c>
      <c r="J699" s="142" t="b">
        <v>0</v>
      </c>
      <c r="K699" s="142" t="b">
        <v>0</v>
      </c>
      <c r="L699" s="8" t="b">
        <v>0</v>
      </c>
    </row>
    <row r="700">
      <c r="B700" s="103"/>
      <c r="C700" s="121" t="str">
        <f t="array" ref="C700">ifs(and(isblank($A700),isblank($B700)),"", not(iserror(vlookup($A700&amp;$B700,'5) Release_Track'!$F:$F&amp;'5) Release_Track'!$G:$G,1,0))),vlookup($A700&amp;$B700,{'5) Release_Track'!$F:$F&amp;'5) Release_Track'!$G:$G,'5) Release_Track'!$H:$H},2,0), or(and(not(isblank($B700)),$B700=$B699,$A700&lt;&gt;$A699),and(not(isblank($A700)),$A700=$A699,$B700&lt;&gt;$B699)),"ID LISTS UNALIGNED",and($A700&lt;&gt;"",countif('5) Release_Track'!$F:$F,$A700)=0),"NO ISRC MATCH in Release_Track",and($B700&lt;&gt;"",countif('5) Release_Track'!$G:$G,$B700)=0),"NO CATALOG ID MATCH in Release_Track",iserror(vlookup($A700&amp;$B700,'5) Release_Track'!$F:$F&amp;'5) Release_Track'!$G:$G,1,0)),"NO ISRC-CATALOG ID pair MATCH in Release_Track" )</f>
        <v/>
      </c>
      <c r="D700" s="121" t="str">
        <f t="array" ref="D700">ifs(and(isblank($A700),isblank($B700)),"", not(iserror(vlookup($A700&amp;$B700,'5) Release_Track'!$F:$F&amp;'5) Release_Track'!$G:$G,1,0))),vlookup($A700&amp;$B700,{'5) Release_Track'!$F:$F&amp;'5) Release_Track'!$G:$G,'5) Release_Track'!$I:$I},2,0), or(and(not(isblank($B700)),$B700=$B699,$A700&lt;&gt;$A699),and(not(isblank($A700)),$A700=$A699,$B700&lt;&gt;$B699)),"ID LISTS UNALIGNED",and($A700&lt;&gt;"",countif('5) Release_Track'!$F:$F,$A700)=0),"NO ISRC MATCH in Release_Track",and($B700&lt;&gt;"",countif('5) Release_Track'!$G:$G,$B700)=0),"NO CATALOG ID MATCH in Release_Track",iserror(vlookup($A700&amp;$B700,'5) Release_Track'!$F:$F&amp;'5) Release_Track'!$G:$G,1,0)),"NO ISRC-CATALOG ID pair MATCH in Release_Track" )</f>
        <v/>
      </c>
      <c r="E700" s="142" t="b">
        <v>0</v>
      </c>
      <c r="F700" s="142" t="b">
        <v>0</v>
      </c>
      <c r="G700" s="142" t="b">
        <v>0</v>
      </c>
      <c r="H700" s="142" t="b">
        <v>0</v>
      </c>
      <c r="I700" s="142" t="b">
        <v>0</v>
      </c>
      <c r="J700" s="142" t="b">
        <v>0</v>
      </c>
      <c r="K700" s="142" t="b">
        <v>0</v>
      </c>
      <c r="L700" s="8" t="b">
        <v>0</v>
      </c>
    </row>
    <row r="701">
      <c r="B701" s="103"/>
      <c r="C701" s="121" t="str">
        <f t="array" ref="C701">ifs(and(isblank($A701),isblank($B701)),"", not(iserror(vlookup($A701&amp;$B701,'5) Release_Track'!$F:$F&amp;'5) Release_Track'!$G:$G,1,0))),vlookup($A701&amp;$B701,{'5) Release_Track'!$F:$F&amp;'5) Release_Track'!$G:$G,'5) Release_Track'!$H:$H},2,0), or(and(not(isblank($B701)),$B701=$B700,$A701&lt;&gt;$A700),and(not(isblank($A701)),$A701=$A700,$B701&lt;&gt;$B700)),"ID LISTS UNALIGNED",and($A701&lt;&gt;"",countif('5) Release_Track'!$F:$F,$A701)=0),"NO ISRC MATCH in Release_Track",and($B701&lt;&gt;"",countif('5) Release_Track'!$G:$G,$B701)=0),"NO CATALOG ID MATCH in Release_Track",iserror(vlookup($A701&amp;$B701,'5) Release_Track'!$F:$F&amp;'5) Release_Track'!$G:$G,1,0)),"NO ISRC-CATALOG ID pair MATCH in Release_Track" )</f>
        <v/>
      </c>
      <c r="D701" s="121" t="str">
        <f t="array" ref="D701">ifs(and(isblank($A701),isblank($B701)),"", not(iserror(vlookup($A701&amp;$B701,'5) Release_Track'!$F:$F&amp;'5) Release_Track'!$G:$G,1,0))),vlookup($A701&amp;$B701,{'5) Release_Track'!$F:$F&amp;'5) Release_Track'!$G:$G,'5) Release_Track'!$I:$I},2,0), or(and(not(isblank($B701)),$B701=$B700,$A701&lt;&gt;$A700),and(not(isblank($A701)),$A701=$A700,$B701&lt;&gt;$B700)),"ID LISTS UNALIGNED",and($A701&lt;&gt;"",countif('5) Release_Track'!$F:$F,$A701)=0),"NO ISRC MATCH in Release_Track",and($B701&lt;&gt;"",countif('5) Release_Track'!$G:$G,$B701)=0),"NO CATALOG ID MATCH in Release_Track",iserror(vlookup($A701&amp;$B701,'5) Release_Track'!$F:$F&amp;'5) Release_Track'!$G:$G,1,0)),"NO ISRC-CATALOG ID pair MATCH in Release_Track" )</f>
        <v/>
      </c>
      <c r="E701" s="142" t="b">
        <v>0</v>
      </c>
      <c r="F701" s="142" t="b">
        <v>0</v>
      </c>
      <c r="G701" s="142" t="b">
        <v>0</v>
      </c>
      <c r="H701" s="142" t="b">
        <v>0</v>
      </c>
      <c r="I701" s="142" t="b">
        <v>0</v>
      </c>
      <c r="J701" s="142" t="b">
        <v>0</v>
      </c>
      <c r="K701" s="142" t="b">
        <v>0</v>
      </c>
      <c r="L701" s="8" t="b">
        <v>0</v>
      </c>
    </row>
    <row r="702">
      <c r="B702" s="103"/>
      <c r="C702" s="121" t="str">
        <f t="array" ref="C702">ifs(and(isblank($A702),isblank($B702)),"", not(iserror(vlookup($A702&amp;$B702,'5) Release_Track'!$F:$F&amp;'5) Release_Track'!$G:$G,1,0))),vlookup($A702&amp;$B702,{'5) Release_Track'!$F:$F&amp;'5) Release_Track'!$G:$G,'5) Release_Track'!$H:$H},2,0), or(and(not(isblank($B702)),$B702=$B701,$A702&lt;&gt;$A701),and(not(isblank($A702)),$A702=$A701,$B702&lt;&gt;$B701)),"ID LISTS UNALIGNED",and($A702&lt;&gt;"",countif('5) Release_Track'!$F:$F,$A702)=0),"NO ISRC MATCH in Release_Track",and($B702&lt;&gt;"",countif('5) Release_Track'!$G:$G,$B702)=0),"NO CATALOG ID MATCH in Release_Track",iserror(vlookup($A702&amp;$B702,'5) Release_Track'!$F:$F&amp;'5) Release_Track'!$G:$G,1,0)),"NO ISRC-CATALOG ID pair MATCH in Release_Track" )</f>
        <v/>
      </c>
      <c r="D702" s="121" t="str">
        <f t="array" ref="D702">ifs(and(isblank($A702),isblank($B702)),"", not(iserror(vlookup($A702&amp;$B702,'5) Release_Track'!$F:$F&amp;'5) Release_Track'!$G:$G,1,0))),vlookup($A702&amp;$B702,{'5) Release_Track'!$F:$F&amp;'5) Release_Track'!$G:$G,'5) Release_Track'!$I:$I},2,0), or(and(not(isblank($B702)),$B702=$B701,$A702&lt;&gt;$A701),and(not(isblank($A702)),$A702=$A701,$B702&lt;&gt;$B701)),"ID LISTS UNALIGNED",and($A702&lt;&gt;"",countif('5) Release_Track'!$F:$F,$A702)=0),"NO ISRC MATCH in Release_Track",and($B702&lt;&gt;"",countif('5) Release_Track'!$G:$G,$B702)=0),"NO CATALOG ID MATCH in Release_Track",iserror(vlookup($A702&amp;$B702,'5) Release_Track'!$F:$F&amp;'5) Release_Track'!$G:$G,1,0)),"NO ISRC-CATALOG ID pair MATCH in Release_Track" )</f>
        <v/>
      </c>
      <c r="E702" s="142" t="b">
        <v>0</v>
      </c>
      <c r="F702" s="142" t="b">
        <v>0</v>
      </c>
      <c r="G702" s="142" t="b">
        <v>0</v>
      </c>
      <c r="H702" s="142" t="b">
        <v>0</v>
      </c>
      <c r="I702" s="142" t="b">
        <v>0</v>
      </c>
      <c r="J702" s="142" t="b">
        <v>0</v>
      </c>
      <c r="K702" s="142" t="b">
        <v>0</v>
      </c>
      <c r="L702" s="8" t="b">
        <v>0</v>
      </c>
    </row>
    <row r="703">
      <c r="B703" s="103"/>
      <c r="C703" s="121" t="str">
        <f t="array" ref="C703">ifs(and(isblank($A703),isblank($B703)),"", not(iserror(vlookup($A703&amp;$B703,'5) Release_Track'!$F:$F&amp;'5) Release_Track'!$G:$G,1,0))),vlookup($A703&amp;$B703,{'5) Release_Track'!$F:$F&amp;'5) Release_Track'!$G:$G,'5) Release_Track'!$H:$H},2,0), or(and(not(isblank($B703)),$B703=$B702,$A703&lt;&gt;$A702),and(not(isblank($A703)),$A703=$A702,$B703&lt;&gt;$B702)),"ID LISTS UNALIGNED",and($A703&lt;&gt;"",countif('5) Release_Track'!$F:$F,$A703)=0),"NO ISRC MATCH in Release_Track",and($B703&lt;&gt;"",countif('5) Release_Track'!$G:$G,$B703)=0),"NO CATALOG ID MATCH in Release_Track",iserror(vlookup($A703&amp;$B703,'5) Release_Track'!$F:$F&amp;'5) Release_Track'!$G:$G,1,0)),"NO ISRC-CATALOG ID pair MATCH in Release_Track" )</f>
        <v/>
      </c>
      <c r="D703" s="121" t="str">
        <f t="array" ref="D703">ifs(and(isblank($A703),isblank($B703)),"", not(iserror(vlookup($A703&amp;$B703,'5) Release_Track'!$F:$F&amp;'5) Release_Track'!$G:$G,1,0))),vlookup($A703&amp;$B703,{'5) Release_Track'!$F:$F&amp;'5) Release_Track'!$G:$G,'5) Release_Track'!$I:$I},2,0), or(and(not(isblank($B703)),$B703=$B702,$A703&lt;&gt;$A702),and(not(isblank($A703)),$A703=$A702,$B703&lt;&gt;$B702)),"ID LISTS UNALIGNED",and($A703&lt;&gt;"",countif('5) Release_Track'!$F:$F,$A703)=0),"NO ISRC MATCH in Release_Track",and($B703&lt;&gt;"",countif('5) Release_Track'!$G:$G,$B703)=0),"NO CATALOG ID MATCH in Release_Track",iserror(vlookup($A703&amp;$B703,'5) Release_Track'!$F:$F&amp;'5) Release_Track'!$G:$G,1,0)),"NO ISRC-CATALOG ID pair MATCH in Release_Track" )</f>
        <v/>
      </c>
      <c r="E703" s="142" t="b">
        <v>0</v>
      </c>
      <c r="F703" s="142" t="b">
        <v>0</v>
      </c>
      <c r="G703" s="142" t="b">
        <v>0</v>
      </c>
      <c r="H703" s="142" t="b">
        <v>0</v>
      </c>
      <c r="I703" s="142" t="b">
        <v>0</v>
      </c>
      <c r="J703" s="142" t="b">
        <v>0</v>
      </c>
      <c r="K703" s="142" t="b">
        <v>0</v>
      </c>
      <c r="L703" s="8" t="b">
        <v>0</v>
      </c>
    </row>
    <row r="704">
      <c r="B704" s="103"/>
      <c r="C704" s="121" t="str">
        <f t="array" ref="C704">ifs(and(isblank($A704),isblank($B704)),"", not(iserror(vlookup($A704&amp;$B704,'5) Release_Track'!$F:$F&amp;'5) Release_Track'!$G:$G,1,0))),vlookup($A704&amp;$B704,{'5) Release_Track'!$F:$F&amp;'5) Release_Track'!$G:$G,'5) Release_Track'!$H:$H},2,0), or(and(not(isblank($B704)),$B704=$B703,$A704&lt;&gt;$A703),and(not(isblank($A704)),$A704=$A703,$B704&lt;&gt;$B703)),"ID LISTS UNALIGNED",and($A704&lt;&gt;"",countif('5) Release_Track'!$F:$F,$A704)=0),"NO ISRC MATCH in Release_Track",and($B704&lt;&gt;"",countif('5) Release_Track'!$G:$G,$B704)=0),"NO CATALOG ID MATCH in Release_Track",iserror(vlookup($A704&amp;$B704,'5) Release_Track'!$F:$F&amp;'5) Release_Track'!$G:$G,1,0)),"NO ISRC-CATALOG ID pair MATCH in Release_Track" )</f>
        <v/>
      </c>
      <c r="D704" s="121" t="str">
        <f t="array" ref="D704">ifs(and(isblank($A704),isblank($B704)),"", not(iserror(vlookup($A704&amp;$B704,'5) Release_Track'!$F:$F&amp;'5) Release_Track'!$G:$G,1,0))),vlookup($A704&amp;$B704,{'5) Release_Track'!$F:$F&amp;'5) Release_Track'!$G:$G,'5) Release_Track'!$I:$I},2,0), or(and(not(isblank($B704)),$B704=$B703,$A704&lt;&gt;$A703),and(not(isblank($A704)),$A704=$A703,$B704&lt;&gt;$B703)),"ID LISTS UNALIGNED",and($A704&lt;&gt;"",countif('5) Release_Track'!$F:$F,$A704)=0),"NO ISRC MATCH in Release_Track",and($B704&lt;&gt;"",countif('5) Release_Track'!$G:$G,$B704)=0),"NO CATALOG ID MATCH in Release_Track",iserror(vlookup($A704&amp;$B704,'5) Release_Track'!$F:$F&amp;'5) Release_Track'!$G:$G,1,0)),"NO ISRC-CATALOG ID pair MATCH in Release_Track" )</f>
        <v/>
      </c>
      <c r="E704" s="142" t="b">
        <v>0</v>
      </c>
      <c r="F704" s="142" t="b">
        <v>0</v>
      </c>
      <c r="G704" s="142" t="b">
        <v>0</v>
      </c>
      <c r="H704" s="142" t="b">
        <v>0</v>
      </c>
      <c r="I704" s="142" t="b">
        <v>0</v>
      </c>
      <c r="J704" s="142" t="b">
        <v>0</v>
      </c>
      <c r="K704" s="142" t="b">
        <v>0</v>
      </c>
      <c r="L704" s="8" t="b">
        <v>0</v>
      </c>
    </row>
    <row r="705">
      <c r="B705" s="103"/>
      <c r="C705" s="121" t="str">
        <f t="array" ref="C705">ifs(and(isblank($A705),isblank($B705)),"", not(iserror(vlookup($A705&amp;$B705,'5) Release_Track'!$F:$F&amp;'5) Release_Track'!$G:$G,1,0))),vlookup($A705&amp;$B705,{'5) Release_Track'!$F:$F&amp;'5) Release_Track'!$G:$G,'5) Release_Track'!$H:$H},2,0), or(and(not(isblank($B705)),$B705=$B704,$A705&lt;&gt;$A704),and(not(isblank($A705)),$A705=$A704,$B705&lt;&gt;$B704)),"ID LISTS UNALIGNED",and($A705&lt;&gt;"",countif('5) Release_Track'!$F:$F,$A705)=0),"NO ISRC MATCH in Release_Track",and($B705&lt;&gt;"",countif('5) Release_Track'!$G:$G,$B705)=0),"NO CATALOG ID MATCH in Release_Track",iserror(vlookup($A705&amp;$B705,'5) Release_Track'!$F:$F&amp;'5) Release_Track'!$G:$G,1,0)),"NO ISRC-CATALOG ID pair MATCH in Release_Track" )</f>
        <v/>
      </c>
      <c r="D705" s="121" t="str">
        <f t="array" ref="D705">ifs(and(isblank($A705),isblank($B705)),"", not(iserror(vlookup($A705&amp;$B705,'5) Release_Track'!$F:$F&amp;'5) Release_Track'!$G:$G,1,0))),vlookup($A705&amp;$B705,{'5) Release_Track'!$F:$F&amp;'5) Release_Track'!$G:$G,'5) Release_Track'!$I:$I},2,0), or(and(not(isblank($B705)),$B705=$B704,$A705&lt;&gt;$A704),and(not(isblank($A705)),$A705=$A704,$B705&lt;&gt;$B704)),"ID LISTS UNALIGNED",and($A705&lt;&gt;"",countif('5) Release_Track'!$F:$F,$A705)=0),"NO ISRC MATCH in Release_Track",and($B705&lt;&gt;"",countif('5) Release_Track'!$G:$G,$B705)=0),"NO CATALOG ID MATCH in Release_Track",iserror(vlookup($A705&amp;$B705,'5) Release_Track'!$F:$F&amp;'5) Release_Track'!$G:$G,1,0)),"NO ISRC-CATALOG ID pair MATCH in Release_Track" )</f>
        <v/>
      </c>
      <c r="E705" s="142" t="b">
        <v>0</v>
      </c>
      <c r="F705" s="142" t="b">
        <v>0</v>
      </c>
      <c r="G705" s="142" t="b">
        <v>0</v>
      </c>
      <c r="H705" s="142" t="b">
        <v>0</v>
      </c>
      <c r="I705" s="142" t="b">
        <v>0</v>
      </c>
      <c r="J705" s="142" t="b">
        <v>0</v>
      </c>
      <c r="K705" s="142" t="b">
        <v>0</v>
      </c>
      <c r="L705" s="8" t="b">
        <v>0</v>
      </c>
    </row>
    <row r="706">
      <c r="B706" s="103"/>
      <c r="C706" s="121" t="str">
        <f t="array" ref="C706">ifs(and(isblank($A706),isblank($B706)),"", not(iserror(vlookup($A706&amp;$B706,'5) Release_Track'!$F:$F&amp;'5) Release_Track'!$G:$G,1,0))),vlookup($A706&amp;$B706,{'5) Release_Track'!$F:$F&amp;'5) Release_Track'!$G:$G,'5) Release_Track'!$H:$H},2,0), or(and(not(isblank($B706)),$B706=$B705,$A706&lt;&gt;$A705),and(not(isblank($A706)),$A706=$A705,$B706&lt;&gt;$B705)),"ID LISTS UNALIGNED",and($A706&lt;&gt;"",countif('5) Release_Track'!$F:$F,$A706)=0),"NO ISRC MATCH in Release_Track",and($B706&lt;&gt;"",countif('5) Release_Track'!$G:$G,$B706)=0),"NO CATALOG ID MATCH in Release_Track",iserror(vlookup($A706&amp;$B706,'5) Release_Track'!$F:$F&amp;'5) Release_Track'!$G:$G,1,0)),"NO ISRC-CATALOG ID pair MATCH in Release_Track" )</f>
        <v/>
      </c>
      <c r="D706" s="121" t="str">
        <f t="array" ref="D706">ifs(and(isblank($A706),isblank($B706)),"", not(iserror(vlookup($A706&amp;$B706,'5) Release_Track'!$F:$F&amp;'5) Release_Track'!$G:$G,1,0))),vlookup($A706&amp;$B706,{'5) Release_Track'!$F:$F&amp;'5) Release_Track'!$G:$G,'5) Release_Track'!$I:$I},2,0), or(and(not(isblank($B706)),$B706=$B705,$A706&lt;&gt;$A705),and(not(isblank($A706)),$A706=$A705,$B706&lt;&gt;$B705)),"ID LISTS UNALIGNED",and($A706&lt;&gt;"",countif('5) Release_Track'!$F:$F,$A706)=0),"NO ISRC MATCH in Release_Track",and($B706&lt;&gt;"",countif('5) Release_Track'!$G:$G,$B706)=0),"NO CATALOG ID MATCH in Release_Track",iserror(vlookup($A706&amp;$B706,'5) Release_Track'!$F:$F&amp;'5) Release_Track'!$G:$G,1,0)),"NO ISRC-CATALOG ID pair MATCH in Release_Track" )</f>
        <v/>
      </c>
      <c r="E706" s="142" t="b">
        <v>0</v>
      </c>
      <c r="F706" s="142" t="b">
        <v>0</v>
      </c>
      <c r="G706" s="142" t="b">
        <v>0</v>
      </c>
      <c r="H706" s="142" t="b">
        <v>0</v>
      </c>
      <c r="I706" s="142" t="b">
        <v>0</v>
      </c>
      <c r="J706" s="142" t="b">
        <v>0</v>
      </c>
      <c r="K706" s="142" t="b">
        <v>0</v>
      </c>
      <c r="L706" s="8" t="b">
        <v>0</v>
      </c>
    </row>
    <row r="707">
      <c r="B707" s="103"/>
      <c r="C707" s="121" t="str">
        <f t="array" ref="C707">ifs(and(isblank($A707),isblank($B707)),"", not(iserror(vlookup($A707&amp;$B707,'5) Release_Track'!$F:$F&amp;'5) Release_Track'!$G:$G,1,0))),vlookup($A707&amp;$B707,{'5) Release_Track'!$F:$F&amp;'5) Release_Track'!$G:$G,'5) Release_Track'!$H:$H},2,0), or(and(not(isblank($B707)),$B707=$B706,$A707&lt;&gt;$A706),and(not(isblank($A707)),$A707=$A706,$B707&lt;&gt;$B706)),"ID LISTS UNALIGNED",and($A707&lt;&gt;"",countif('5) Release_Track'!$F:$F,$A707)=0),"NO ISRC MATCH in Release_Track",and($B707&lt;&gt;"",countif('5) Release_Track'!$G:$G,$B707)=0),"NO CATALOG ID MATCH in Release_Track",iserror(vlookup($A707&amp;$B707,'5) Release_Track'!$F:$F&amp;'5) Release_Track'!$G:$G,1,0)),"NO ISRC-CATALOG ID pair MATCH in Release_Track" )</f>
        <v/>
      </c>
      <c r="D707" s="121" t="str">
        <f t="array" ref="D707">ifs(and(isblank($A707),isblank($B707)),"", not(iserror(vlookup($A707&amp;$B707,'5) Release_Track'!$F:$F&amp;'5) Release_Track'!$G:$G,1,0))),vlookup($A707&amp;$B707,{'5) Release_Track'!$F:$F&amp;'5) Release_Track'!$G:$G,'5) Release_Track'!$I:$I},2,0), or(and(not(isblank($B707)),$B707=$B706,$A707&lt;&gt;$A706),and(not(isblank($A707)),$A707=$A706,$B707&lt;&gt;$B706)),"ID LISTS UNALIGNED",and($A707&lt;&gt;"",countif('5) Release_Track'!$F:$F,$A707)=0),"NO ISRC MATCH in Release_Track",and($B707&lt;&gt;"",countif('5) Release_Track'!$G:$G,$B707)=0),"NO CATALOG ID MATCH in Release_Track",iserror(vlookup($A707&amp;$B707,'5) Release_Track'!$F:$F&amp;'5) Release_Track'!$G:$G,1,0)),"NO ISRC-CATALOG ID pair MATCH in Release_Track" )</f>
        <v/>
      </c>
      <c r="E707" s="142" t="b">
        <v>0</v>
      </c>
      <c r="F707" s="142" t="b">
        <v>0</v>
      </c>
      <c r="G707" s="142" t="b">
        <v>0</v>
      </c>
      <c r="H707" s="142" t="b">
        <v>0</v>
      </c>
      <c r="I707" s="142" t="b">
        <v>0</v>
      </c>
      <c r="J707" s="142" t="b">
        <v>0</v>
      </c>
      <c r="K707" s="142" t="b">
        <v>0</v>
      </c>
      <c r="L707" s="8" t="b">
        <v>0</v>
      </c>
    </row>
    <row r="708">
      <c r="B708" s="103"/>
      <c r="C708" s="121" t="str">
        <f t="array" ref="C708">ifs(and(isblank($A708),isblank($B708)),"", not(iserror(vlookup($A708&amp;$B708,'5) Release_Track'!$F:$F&amp;'5) Release_Track'!$G:$G,1,0))),vlookup($A708&amp;$B708,{'5) Release_Track'!$F:$F&amp;'5) Release_Track'!$G:$G,'5) Release_Track'!$H:$H},2,0), or(and(not(isblank($B708)),$B708=$B707,$A708&lt;&gt;$A707),and(not(isblank($A708)),$A708=$A707,$B708&lt;&gt;$B707)),"ID LISTS UNALIGNED",and($A708&lt;&gt;"",countif('5) Release_Track'!$F:$F,$A708)=0),"NO ISRC MATCH in Release_Track",and($B708&lt;&gt;"",countif('5) Release_Track'!$G:$G,$B708)=0),"NO CATALOG ID MATCH in Release_Track",iserror(vlookup($A708&amp;$B708,'5) Release_Track'!$F:$F&amp;'5) Release_Track'!$G:$G,1,0)),"NO ISRC-CATALOG ID pair MATCH in Release_Track" )</f>
        <v/>
      </c>
      <c r="D708" s="121" t="str">
        <f t="array" ref="D708">ifs(and(isblank($A708),isblank($B708)),"", not(iserror(vlookup($A708&amp;$B708,'5) Release_Track'!$F:$F&amp;'5) Release_Track'!$G:$G,1,0))),vlookup($A708&amp;$B708,{'5) Release_Track'!$F:$F&amp;'5) Release_Track'!$G:$G,'5) Release_Track'!$I:$I},2,0), or(and(not(isblank($B708)),$B708=$B707,$A708&lt;&gt;$A707),and(not(isblank($A708)),$A708=$A707,$B708&lt;&gt;$B707)),"ID LISTS UNALIGNED",and($A708&lt;&gt;"",countif('5) Release_Track'!$F:$F,$A708)=0),"NO ISRC MATCH in Release_Track",and($B708&lt;&gt;"",countif('5) Release_Track'!$G:$G,$B708)=0),"NO CATALOG ID MATCH in Release_Track",iserror(vlookup($A708&amp;$B708,'5) Release_Track'!$F:$F&amp;'5) Release_Track'!$G:$G,1,0)),"NO ISRC-CATALOG ID pair MATCH in Release_Track" )</f>
        <v/>
      </c>
      <c r="E708" s="142" t="b">
        <v>0</v>
      </c>
      <c r="F708" s="142" t="b">
        <v>0</v>
      </c>
      <c r="G708" s="142" t="b">
        <v>0</v>
      </c>
      <c r="H708" s="142" t="b">
        <v>0</v>
      </c>
      <c r="I708" s="142" t="b">
        <v>0</v>
      </c>
      <c r="J708" s="142" t="b">
        <v>0</v>
      </c>
      <c r="K708" s="142" t="b">
        <v>0</v>
      </c>
      <c r="L708" s="8" t="b">
        <v>0</v>
      </c>
    </row>
    <row r="709">
      <c r="B709" s="103"/>
      <c r="C709" s="121" t="str">
        <f t="array" ref="C709">ifs(and(isblank($A709),isblank($B709)),"", not(iserror(vlookup($A709&amp;$B709,'5) Release_Track'!$F:$F&amp;'5) Release_Track'!$G:$G,1,0))),vlookup($A709&amp;$B709,{'5) Release_Track'!$F:$F&amp;'5) Release_Track'!$G:$G,'5) Release_Track'!$H:$H},2,0), or(and(not(isblank($B709)),$B709=$B708,$A709&lt;&gt;$A708),and(not(isblank($A709)),$A709=$A708,$B709&lt;&gt;$B708)),"ID LISTS UNALIGNED",and($A709&lt;&gt;"",countif('5) Release_Track'!$F:$F,$A709)=0),"NO ISRC MATCH in Release_Track",and($B709&lt;&gt;"",countif('5) Release_Track'!$G:$G,$B709)=0),"NO CATALOG ID MATCH in Release_Track",iserror(vlookup($A709&amp;$B709,'5) Release_Track'!$F:$F&amp;'5) Release_Track'!$G:$G,1,0)),"NO ISRC-CATALOG ID pair MATCH in Release_Track" )</f>
        <v/>
      </c>
      <c r="D709" s="121" t="str">
        <f t="array" ref="D709">ifs(and(isblank($A709),isblank($B709)),"", not(iserror(vlookup($A709&amp;$B709,'5) Release_Track'!$F:$F&amp;'5) Release_Track'!$G:$G,1,0))),vlookup($A709&amp;$B709,{'5) Release_Track'!$F:$F&amp;'5) Release_Track'!$G:$G,'5) Release_Track'!$I:$I},2,0), or(and(not(isblank($B709)),$B709=$B708,$A709&lt;&gt;$A708),and(not(isblank($A709)),$A709=$A708,$B709&lt;&gt;$B708)),"ID LISTS UNALIGNED",and($A709&lt;&gt;"",countif('5) Release_Track'!$F:$F,$A709)=0),"NO ISRC MATCH in Release_Track",and($B709&lt;&gt;"",countif('5) Release_Track'!$G:$G,$B709)=0),"NO CATALOG ID MATCH in Release_Track",iserror(vlookup($A709&amp;$B709,'5) Release_Track'!$F:$F&amp;'5) Release_Track'!$G:$G,1,0)),"NO ISRC-CATALOG ID pair MATCH in Release_Track" )</f>
        <v/>
      </c>
      <c r="E709" s="142" t="b">
        <v>0</v>
      </c>
      <c r="F709" s="142" t="b">
        <v>0</v>
      </c>
      <c r="G709" s="142" t="b">
        <v>0</v>
      </c>
      <c r="H709" s="142" t="b">
        <v>0</v>
      </c>
      <c r="I709" s="142" t="b">
        <v>0</v>
      </c>
      <c r="J709" s="142" t="b">
        <v>0</v>
      </c>
      <c r="K709" s="142" t="b">
        <v>0</v>
      </c>
      <c r="L709" s="8" t="b">
        <v>0</v>
      </c>
    </row>
    <row r="710">
      <c r="B710" s="103"/>
      <c r="C710" s="121" t="str">
        <f t="array" ref="C710">ifs(and(isblank($A710),isblank($B710)),"", not(iserror(vlookup($A710&amp;$B710,'5) Release_Track'!$F:$F&amp;'5) Release_Track'!$G:$G,1,0))),vlookup($A710&amp;$B710,{'5) Release_Track'!$F:$F&amp;'5) Release_Track'!$G:$G,'5) Release_Track'!$H:$H},2,0), or(and(not(isblank($B710)),$B710=$B709,$A710&lt;&gt;$A709),and(not(isblank($A710)),$A710=$A709,$B710&lt;&gt;$B709)),"ID LISTS UNALIGNED",and($A710&lt;&gt;"",countif('5) Release_Track'!$F:$F,$A710)=0),"NO ISRC MATCH in Release_Track",and($B710&lt;&gt;"",countif('5) Release_Track'!$G:$G,$B710)=0),"NO CATALOG ID MATCH in Release_Track",iserror(vlookup($A710&amp;$B710,'5) Release_Track'!$F:$F&amp;'5) Release_Track'!$G:$G,1,0)),"NO ISRC-CATALOG ID pair MATCH in Release_Track" )</f>
        <v/>
      </c>
      <c r="D710" s="121" t="str">
        <f t="array" ref="D710">ifs(and(isblank($A710),isblank($B710)),"", not(iserror(vlookup($A710&amp;$B710,'5) Release_Track'!$F:$F&amp;'5) Release_Track'!$G:$G,1,0))),vlookup($A710&amp;$B710,{'5) Release_Track'!$F:$F&amp;'5) Release_Track'!$G:$G,'5) Release_Track'!$I:$I},2,0), or(and(not(isblank($B710)),$B710=$B709,$A710&lt;&gt;$A709),and(not(isblank($A710)),$A710=$A709,$B710&lt;&gt;$B709)),"ID LISTS UNALIGNED",and($A710&lt;&gt;"",countif('5) Release_Track'!$F:$F,$A710)=0),"NO ISRC MATCH in Release_Track",and($B710&lt;&gt;"",countif('5) Release_Track'!$G:$G,$B710)=0),"NO CATALOG ID MATCH in Release_Track",iserror(vlookup($A710&amp;$B710,'5) Release_Track'!$F:$F&amp;'5) Release_Track'!$G:$G,1,0)),"NO ISRC-CATALOG ID pair MATCH in Release_Track" )</f>
        <v/>
      </c>
      <c r="E710" s="142" t="b">
        <v>0</v>
      </c>
      <c r="F710" s="142" t="b">
        <v>0</v>
      </c>
      <c r="G710" s="142" t="b">
        <v>0</v>
      </c>
      <c r="H710" s="142" t="b">
        <v>0</v>
      </c>
      <c r="I710" s="142" t="b">
        <v>0</v>
      </c>
      <c r="J710" s="142" t="b">
        <v>0</v>
      </c>
      <c r="K710" s="142" t="b">
        <v>0</v>
      </c>
      <c r="L710" s="8" t="b">
        <v>0</v>
      </c>
    </row>
    <row r="711">
      <c r="B711" s="103"/>
      <c r="C711" s="121" t="str">
        <f t="array" ref="C711">ifs(and(isblank($A711),isblank($B711)),"", not(iserror(vlookup($A711&amp;$B711,'5) Release_Track'!$F:$F&amp;'5) Release_Track'!$G:$G,1,0))),vlookup($A711&amp;$B711,{'5) Release_Track'!$F:$F&amp;'5) Release_Track'!$G:$G,'5) Release_Track'!$H:$H},2,0), or(and(not(isblank($B711)),$B711=$B710,$A711&lt;&gt;$A710),and(not(isblank($A711)),$A711=$A710,$B711&lt;&gt;$B710)),"ID LISTS UNALIGNED",and($A711&lt;&gt;"",countif('5) Release_Track'!$F:$F,$A711)=0),"NO ISRC MATCH in Release_Track",and($B711&lt;&gt;"",countif('5) Release_Track'!$G:$G,$B711)=0),"NO CATALOG ID MATCH in Release_Track",iserror(vlookup($A711&amp;$B711,'5) Release_Track'!$F:$F&amp;'5) Release_Track'!$G:$G,1,0)),"NO ISRC-CATALOG ID pair MATCH in Release_Track" )</f>
        <v/>
      </c>
      <c r="D711" s="121" t="str">
        <f t="array" ref="D711">ifs(and(isblank($A711),isblank($B711)),"", not(iserror(vlookup($A711&amp;$B711,'5) Release_Track'!$F:$F&amp;'5) Release_Track'!$G:$G,1,0))),vlookup($A711&amp;$B711,{'5) Release_Track'!$F:$F&amp;'5) Release_Track'!$G:$G,'5) Release_Track'!$I:$I},2,0), or(and(not(isblank($B711)),$B711=$B710,$A711&lt;&gt;$A710),and(not(isblank($A711)),$A711=$A710,$B711&lt;&gt;$B710)),"ID LISTS UNALIGNED",and($A711&lt;&gt;"",countif('5) Release_Track'!$F:$F,$A711)=0),"NO ISRC MATCH in Release_Track",and($B711&lt;&gt;"",countif('5) Release_Track'!$G:$G,$B711)=0),"NO CATALOG ID MATCH in Release_Track",iserror(vlookup($A711&amp;$B711,'5) Release_Track'!$F:$F&amp;'5) Release_Track'!$G:$G,1,0)),"NO ISRC-CATALOG ID pair MATCH in Release_Track" )</f>
        <v/>
      </c>
      <c r="E711" s="142" t="b">
        <v>0</v>
      </c>
      <c r="F711" s="142" t="b">
        <v>0</v>
      </c>
      <c r="G711" s="142" t="b">
        <v>0</v>
      </c>
      <c r="H711" s="142" t="b">
        <v>0</v>
      </c>
      <c r="I711" s="142" t="b">
        <v>0</v>
      </c>
      <c r="J711" s="142" t="b">
        <v>0</v>
      </c>
      <c r="K711" s="142" t="b">
        <v>0</v>
      </c>
      <c r="L711" s="8" t="b">
        <v>0</v>
      </c>
    </row>
    <row r="712">
      <c r="B712" s="103"/>
      <c r="C712" s="121" t="str">
        <f t="array" ref="C712">ifs(and(isblank($A712),isblank($B712)),"", not(iserror(vlookup($A712&amp;$B712,'5) Release_Track'!$F:$F&amp;'5) Release_Track'!$G:$G,1,0))),vlookup($A712&amp;$B712,{'5) Release_Track'!$F:$F&amp;'5) Release_Track'!$G:$G,'5) Release_Track'!$H:$H},2,0), or(and(not(isblank($B712)),$B712=$B711,$A712&lt;&gt;$A711),and(not(isblank($A712)),$A712=$A711,$B712&lt;&gt;$B711)),"ID LISTS UNALIGNED",and($A712&lt;&gt;"",countif('5) Release_Track'!$F:$F,$A712)=0),"NO ISRC MATCH in Release_Track",and($B712&lt;&gt;"",countif('5) Release_Track'!$G:$G,$B712)=0),"NO CATALOG ID MATCH in Release_Track",iserror(vlookup($A712&amp;$B712,'5) Release_Track'!$F:$F&amp;'5) Release_Track'!$G:$G,1,0)),"NO ISRC-CATALOG ID pair MATCH in Release_Track" )</f>
        <v/>
      </c>
      <c r="D712" s="121" t="str">
        <f t="array" ref="D712">ifs(and(isblank($A712),isblank($B712)),"", not(iserror(vlookup($A712&amp;$B712,'5) Release_Track'!$F:$F&amp;'5) Release_Track'!$G:$G,1,0))),vlookup($A712&amp;$B712,{'5) Release_Track'!$F:$F&amp;'5) Release_Track'!$G:$G,'5) Release_Track'!$I:$I},2,0), or(and(not(isblank($B712)),$B712=$B711,$A712&lt;&gt;$A711),and(not(isblank($A712)),$A712=$A711,$B712&lt;&gt;$B711)),"ID LISTS UNALIGNED",and($A712&lt;&gt;"",countif('5) Release_Track'!$F:$F,$A712)=0),"NO ISRC MATCH in Release_Track",and($B712&lt;&gt;"",countif('5) Release_Track'!$G:$G,$B712)=0),"NO CATALOG ID MATCH in Release_Track",iserror(vlookup($A712&amp;$B712,'5) Release_Track'!$F:$F&amp;'5) Release_Track'!$G:$G,1,0)),"NO ISRC-CATALOG ID pair MATCH in Release_Track" )</f>
        <v/>
      </c>
      <c r="E712" s="142" t="b">
        <v>0</v>
      </c>
      <c r="F712" s="142" t="b">
        <v>0</v>
      </c>
      <c r="G712" s="142" t="b">
        <v>0</v>
      </c>
      <c r="H712" s="142" t="b">
        <v>0</v>
      </c>
      <c r="I712" s="142" t="b">
        <v>0</v>
      </c>
      <c r="J712" s="142" t="b">
        <v>0</v>
      </c>
      <c r="K712" s="142" t="b">
        <v>0</v>
      </c>
      <c r="L712" s="8" t="b">
        <v>0</v>
      </c>
    </row>
    <row r="713">
      <c r="B713" s="103"/>
      <c r="C713" s="121" t="str">
        <f t="array" ref="C713">ifs(and(isblank($A713),isblank($B713)),"", not(iserror(vlookup($A713&amp;$B713,'5) Release_Track'!$F:$F&amp;'5) Release_Track'!$G:$G,1,0))),vlookup($A713&amp;$B713,{'5) Release_Track'!$F:$F&amp;'5) Release_Track'!$G:$G,'5) Release_Track'!$H:$H},2,0), or(and(not(isblank($B713)),$B713=$B712,$A713&lt;&gt;$A712),and(not(isblank($A713)),$A713=$A712,$B713&lt;&gt;$B712)),"ID LISTS UNALIGNED",and($A713&lt;&gt;"",countif('5) Release_Track'!$F:$F,$A713)=0),"NO ISRC MATCH in Release_Track",and($B713&lt;&gt;"",countif('5) Release_Track'!$G:$G,$B713)=0),"NO CATALOG ID MATCH in Release_Track",iserror(vlookup($A713&amp;$B713,'5) Release_Track'!$F:$F&amp;'5) Release_Track'!$G:$G,1,0)),"NO ISRC-CATALOG ID pair MATCH in Release_Track" )</f>
        <v/>
      </c>
      <c r="D713" s="121" t="str">
        <f t="array" ref="D713">ifs(and(isblank($A713),isblank($B713)),"", not(iserror(vlookup($A713&amp;$B713,'5) Release_Track'!$F:$F&amp;'5) Release_Track'!$G:$G,1,0))),vlookup($A713&amp;$B713,{'5) Release_Track'!$F:$F&amp;'5) Release_Track'!$G:$G,'5) Release_Track'!$I:$I},2,0), or(and(not(isblank($B713)),$B713=$B712,$A713&lt;&gt;$A712),and(not(isblank($A713)),$A713=$A712,$B713&lt;&gt;$B712)),"ID LISTS UNALIGNED",and($A713&lt;&gt;"",countif('5) Release_Track'!$F:$F,$A713)=0),"NO ISRC MATCH in Release_Track",and($B713&lt;&gt;"",countif('5) Release_Track'!$G:$G,$B713)=0),"NO CATALOG ID MATCH in Release_Track",iserror(vlookup($A713&amp;$B713,'5) Release_Track'!$F:$F&amp;'5) Release_Track'!$G:$G,1,0)),"NO ISRC-CATALOG ID pair MATCH in Release_Track" )</f>
        <v/>
      </c>
      <c r="E713" s="142" t="b">
        <v>0</v>
      </c>
      <c r="F713" s="142" t="b">
        <v>0</v>
      </c>
      <c r="G713" s="142" t="b">
        <v>0</v>
      </c>
      <c r="H713" s="142" t="b">
        <v>0</v>
      </c>
      <c r="I713" s="142" t="b">
        <v>0</v>
      </c>
      <c r="J713" s="142" t="b">
        <v>0</v>
      </c>
      <c r="K713" s="142" t="b">
        <v>0</v>
      </c>
      <c r="L713" s="8" t="b">
        <v>0</v>
      </c>
    </row>
    <row r="714">
      <c r="B714" s="103"/>
      <c r="C714" s="121" t="str">
        <f t="array" ref="C714">ifs(and(isblank($A714),isblank($B714)),"", not(iserror(vlookup($A714&amp;$B714,'5) Release_Track'!$F:$F&amp;'5) Release_Track'!$G:$G,1,0))),vlookup($A714&amp;$B714,{'5) Release_Track'!$F:$F&amp;'5) Release_Track'!$G:$G,'5) Release_Track'!$H:$H},2,0), or(and(not(isblank($B714)),$B714=$B713,$A714&lt;&gt;$A713),and(not(isblank($A714)),$A714=$A713,$B714&lt;&gt;$B713)),"ID LISTS UNALIGNED",and($A714&lt;&gt;"",countif('5) Release_Track'!$F:$F,$A714)=0),"NO ISRC MATCH in Release_Track",and($B714&lt;&gt;"",countif('5) Release_Track'!$G:$G,$B714)=0),"NO CATALOG ID MATCH in Release_Track",iserror(vlookup($A714&amp;$B714,'5) Release_Track'!$F:$F&amp;'5) Release_Track'!$G:$G,1,0)),"NO ISRC-CATALOG ID pair MATCH in Release_Track" )</f>
        <v/>
      </c>
      <c r="D714" s="121" t="str">
        <f t="array" ref="D714">ifs(and(isblank($A714),isblank($B714)),"", not(iserror(vlookup($A714&amp;$B714,'5) Release_Track'!$F:$F&amp;'5) Release_Track'!$G:$G,1,0))),vlookup($A714&amp;$B714,{'5) Release_Track'!$F:$F&amp;'5) Release_Track'!$G:$G,'5) Release_Track'!$I:$I},2,0), or(and(not(isblank($B714)),$B714=$B713,$A714&lt;&gt;$A713),and(not(isblank($A714)),$A714=$A713,$B714&lt;&gt;$B713)),"ID LISTS UNALIGNED",and($A714&lt;&gt;"",countif('5) Release_Track'!$F:$F,$A714)=0),"NO ISRC MATCH in Release_Track",and($B714&lt;&gt;"",countif('5) Release_Track'!$G:$G,$B714)=0),"NO CATALOG ID MATCH in Release_Track",iserror(vlookup($A714&amp;$B714,'5) Release_Track'!$F:$F&amp;'5) Release_Track'!$G:$G,1,0)),"NO ISRC-CATALOG ID pair MATCH in Release_Track" )</f>
        <v/>
      </c>
      <c r="E714" s="142" t="b">
        <v>0</v>
      </c>
      <c r="F714" s="142" t="b">
        <v>0</v>
      </c>
      <c r="G714" s="142" t="b">
        <v>0</v>
      </c>
      <c r="H714" s="142" t="b">
        <v>0</v>
      </c>
      <c r="I714" s="142" t="b">
        <v>0</v>
      </c>
      <c r="J714" s="142" t="b">
        <v>0</v>
      </c>
      <c r="K714" s="142" t="b">
        <v>0</v>
      </c>
      <c r="L714" s="8" t="b">
        <v>0</v>
      </c>
    </row>
    <row r="715">
      <c r="B715" s="103"/>
      <c r="C715" s="121" t="str">
        <f t="array" ref="C715">ifs(and(isblank($A715),isblank($B715)),"", not(iserror(vlookup($A715&amp;$B715,'5) Release_Track'!$F:$F&amp;'5) Release_Track'!$G:$G,1,0))),vlookup($A715&amp;$B715,{'5) Release_Track'!$F:$F&amp;'5) Release_Track'!$G:$G,'5) Release_Track'!$H:$H},2,0), or(and(not(isblank($B715)),$B715=$B714,$A715&lt;&gt;$A714),and(not(isblank($A715)),$A715=$A714,$B715&lt;&gt;$B714)),"ID LISTS UNALIGNED",and($A715&lt;&gt;"",countif('5) Release_Track'!$F:$F,$A715)=0),"NO ISRC MATCH in Release_Track",and($B715&lt;&gt;"",countif('5) Release_Track'!$G:$G,$B715)=0),"NO CATALOG ID MATCH in Release_Track",iserror(vlookup($A715&amp;$B715,'5) Release_Track'!$F:$F&amp;'5) Release_Track'!$G:$G,1,0)),"NO ISRC-CATALOG ID pair MATCH in Release_Track" )</f>
        <v/>
      </c>
      <c r="D715" s="121" t="str">
        <f t="array" ref="D715">ifs(and(isblank($A715),isblank($B715)),"", not(iserror(vlookup($A715&amp;$B715,'5) Release_Track'!$F:$F&amp;'5) Release_Track'!$G:$G,1,0))),vlookup($A715&amp;$B715,{'5) Release_Track'!$F:$F&amp;'5) Release_Track'!$G:$G,'5) Release_Track'!$I:$I},2,0), or(and(not(isblank($B715)),$B715=$B714,$A715&lt;&gt;$A714),and(not(isblank($A715)),$A715=$A714,$B715&lt;&gt;$B714)),"ID LISTS UNALIGNED",and($A715&lt;&gt;"",countif('5) Release_Track'!$F:$F,$A715)=0),"NO ISRC MATCH in Release_Track",and($B715&lt;&gt;"",countif('5) Release_Track'!$G:$G,$B715)=0),"NO CATALOG ID MATCH in Release_Track",iserror(vlookup($A715&amp;$B715,'5) Release_Track'!$F:$F&amp;'5) Release_Track'!$G:$G,1,0)),"NO ISRC-CATALOG ID pair MATCH in Release_Track" )</f>
        <v/>
      </c>
      <c r="E715" s="142" t="b">
        <v>0</v>
      </c>
      <c r="F715" s="142" t="b">
        <v>0</v>
      </c>
      <c r="G715" s="142" t="b">
        <v>0</v>
      </c>
      <c r="H715" s="142" t="b">
        <v>0</v>
      </c>
      <c r="I715" s="142" t="b">
        <v>0</v>
      </c>
      <c r="J715" s="142" t="b">
        <v>0</v>
      </c>
      <c r="K715" s="142" t="b">
        <v>0</v>
      </c>
      <c r="L715" s="8" t="b">
        <v>0</v>
      </c>
    </row>
    <row r="716">
      <c r="B716" s="103"/>
      <c r="C716" s="121" t="str">
        <f t="array" ref="C716">ifs(and(isblank($A716),isblank($B716)),"", not(iserror(vlookup($A716&amp;$B716,'5) Release_Track'!$F:$F&amp;'5) Release_Track'!$G:$G,1,0))),vlookup($A716&amp;$B716,{'5) Release_Track'!$F:$F&amp;'5) Release_Track'!$G:$G,'5) Release_Track'!$H:$H},2,0), or(and(not(isblank($B716)),$B716=$B715,$A716&lt;&gt;$A715),and(not(isblank($A716)),$A716=$A715,$B716&lt;&gt;$B715)),"ID LISTS UNALIGNED",and($A716&lt;&gt;"",countif('5) Release_Track'!$F:$F,$A716)=0),"NO ISRC MATCH in Release_Track",and($B716&lt;&gt;"",countif('5) Release_Track'!$G:$G,$B716)=0),"NO CATALOG ID MATCH in Release_Track",iserror(vlookup($A716&amp;$B716,'5) Release_Track'!$F:$F&amp;'5) Release_Track'!$G:$G,1,0)),"NO ISRC-CATALOG ID pair MATCH in Release_Track" )</f>
        <v/>
      </c>
      <c r="D716" s="121" t="str">
        <f t="array" ref="D716">ifs(and(isblank($A716),isblank($B716)),"", not(iserror(vlookup($A716&amp;$B716,'5) Release_Track'!$F:$F&amp;'5) Release_Track'!$G:$G,1,0))),vlookup($A716&amp;$B716,{'5) Release_Track'!$F:$F&amp;'5) Release_Track'!$G:$G,'5) Release_Track'!$I:$I},2,0), or(and(not(isblank($B716)),$B716=$B715,$A716&lt;&gt;$A715),and(not(isblank($A716)),$A716=$A715,$B716&lt;&gt;$B715)),"ID LISTS UNALIGNED",and($A716&lt;&gt;"",countif('5) Release_Track'!$F:$F,$A716)=0),"NO ISRC MATCH in Release_Track",and($B716&lt;&gt;"",countif('5) Release_Track'!$G:$G,$B716)=0),"NO CATALOG ID MATCH in Release_Track",iserror(vlookup($A716&amp;$B716,'5) Release_Track'!$F:$F&amp;'5) Release_Track'!$G:$G,1,0)),"NO ISRC-CATALOG ID pair MATCH in Release_Track" )</f>
        <v/>
      </c>
      <c r="E716" s="142" t="b">
        <v>0</v>
      </c>
      <c r="F716" s="142" t="b">
        <v>0</v>
      </c>
      <c r="G716" s="142" t="b">
        <v>0</v>
      </c>
      <c r="H716" s="142" t="b">
        <v>0</v>
      </c>
      <c r="I716" s="142" t="b">
        <v>0</v>
      </c>
      <c r="J716" s="142" t="b">
        <v>0</v>
      </c>
      <c r="K716" s="142" t="b">
        <v>0</v>
      </c>
      <c r="L716" s="8" t="b">
        <v>0</v>
      </c>
    </row>
    <row r="717">
      <c r="B717" s="103"/>
      <c r="C717" s="121" t="str">
        <f t="array" ref="C717">ifs(and(isblank($A717),isblank($B717)),"", not(iserror(vlookup($A717&amp;$B717,'5) Release_Track'!$F:$F&amp;'5) Release_Track'!$G:$G,1,0))),vlookup($A717&amp;$B717,{'5) Release_Track'!$F:$F&amp;'5) Release_Track'!$G:$G,'5) Release_Track'!$H:$H},2,0), or(and(not(isblank($B717)),$B717=$B716,$A717&lt;&gt;$A716),and(not(isblank($A717)),$A717=$A716,$B717&lt;&gt;$B716)),"ID LISTS UNALIGNED",and($A717&lt;&gt;"",countif('5) Release_Track'!$F:$F,$A717)=0),"NO ISRC MATCH in Release_Track",and($B717&lt;&gt;"",countif('5) Release_Track'!$G:$G,$B717)=0),"NO CATALOG ID MATCH in Release_Track",iserror(vlookup($A717&amp;$B717,'5) Release_Track'!$F:$F&amp;'5) Release_Track'!$G:$G,1,0)),"NO ISRC-CATALOG ID pair MATCH in Release_Track" )</f>
        <v/>
      </c>
      <c r="D717" s="121" t="str">
        <f t="array" ref="D717">ifs(and(isblank($A717),isblank($B717)),"", not(iserror(vlookup($A717&amp;$B717,'5) Release_Track'!$F:$F&amp;'5) Release_Track'!$G:$G,1,0))),vlookup($A717&amp;$B717,{'5) Release_Track'!$F:$F&amp;'5) Release_Track'!$G:$G,'5) Release_Track'!$I:$I},2,0), or(and(not(isblank($B717)),$B717=$B716,$A717&lt;&gt;$A716),and(not(isblank($A717)),$A717=$A716,$B717&lt;&gt;$B716)),"ID LISTS UNALIGNED",and($A717&lt;&gt;"",countif('5) Release_Track'!$F:$F,$A717)=0),"NO ISRC MATCH in Release_Track",and($B717&lt;&gt;"",countif('5) Release_Track'!$G:$G,$B717)=0),"NO CATALOG ID MATCH in Release_Track",iserror(vlookup($A717&amp;$B717,'5) Release_Track'!$F:$F&amp;'5) Release_Track'!$G:$G,1,0)),"NO ISRC-CATALOG ID pair MATCH in Release_Track" )</f>
        <v/>
      </c>
      <c r="E717" s="142" t="b">
        <v>0</v>
      </c>
      <c r="F717" s="142" t="b">
        <v>0</v>
      </c>
      <c r="G717" s="142" t="b">
        <v>0</v>
      </c>
      <c r="H717" s="142" t="b">
        <v>0</v>
      </c>
      <c r="I717" s="142" t="b">
        <v>0</v>
      </c>
      <c r="J717" s="142" t="b">
        <v>0</v>
      </c>
      <c r="K717" s="142" t="b">
        <v>0</v>
      </c>
      <c r="L717" s="8" t="b">
        <v>0</v>
      </c>
    </row>
    <row r="718">
      <c r="B718" s="103"/>
      <c r="C718" s="121" t="str">
        <f t="array" ref="C718">ifs(and(isblank($A718),isblank($B718)),"", not(iserror(vlookup($A718&amp;$B718,'5) Release_Track'!$F:$F&amp;'5) Release_Track'!$G:$G,1,0))),vlookup($A718&amp;$B718,{'5) Release_Track'!$F:$F&amp;'5) Release_Track'!$G:$G,'5) Release_Track'!$H:$H},2,0), or(and(not(isblank($B718)),$B718=$B717,$A718&lt;&gt;$A717),and(not(isblank($A718)),$A718=$A717,$B718&lt;&gt;$B717)),"ID LISTS UNALIGNED",and($A718&lt;&gt;"",countif('5) Release_Track'!$F:$F,$A718)=0),"NO ISRC MATCH in Release_Track",and($B718&lt;&gt;"",countif('5) Release_Track'!$G:$G,$B718)=0),"NO CATALOG ID MATCH in Release_Track",iserror(vlookup($A718&amp;$B718,'5) Release_Track'!$F:$F&amp;'5) Release_Track'!$G:$G,1,0)),"NO ISRC-CATALOG ID pair MATCH in Release_Track" )</f>
        <v/>
      </c>
      <c r="D718" s="121" t="str">
        <f t="array" ref="D718">ifs(and(isblank($A718),isblank($B718)),"", not(iserror(vlookup($A718&amp;$B718,'5) Release_Track'!$F:$F&amp;'5) Release_Track'!$G:$G,1,0))),vlookup($A718&amp;$B718,{'5) Release_Track'!$F:$F&amp;'5) Release_Track'!$G:$G,'5) Release_Track'!$I:$I},2,0), or(and(not(isblank($B718)),$B718=$B717,$A718&lt;&gt;$A717),and(not(isblank($A718)),$A718=$A717,$B718&lt;&gt;$B717)),"ID LISTS UNALIGNED",and($A718&lt;&gt;"",countif('5) Release_Track'!$F:$F,$A718)=0),"NO ISRC MATCH in Release_Track",and($B718&lt;&gt;"",countif('5) Release_Track'!$G:$G,$B718)=0),"NO CATALOG ID MATCH in Release_Track",iserror(vlookup($A718&amp;$B718,'5) Release_Track'!$F:$F&amp;'5) Release_Track'!$G:$G,1,0)),"NO ISRC-CATALOG ID pair MATCH in Release_Track" )</f>
        <v/>
      </c>
      <c r="E718" s="142" t="b">
        <v>0</v>
      </c>
      <c r="F718" s="142" t="b">
        <v>0</v>
      </c>
      <c r="G718" s="142" t="b">
        <v>0</v>
      </c>
      <c r="H718" s="142" t="b">
        <v>0</v>
      </c>
      <c r="I718" s="142" t="b">
        <v>0</v>
      </c>
      <c r="J718" s="142" t="b">
        <v>0</v>
      </c>
      <c r="K718" s="142" t="b">
        <v>0</v>
      </c>
      <c r="L718" s="8" t="b">
        <v>0</v>
      </c>
    </row>
    <row r="719">
      <c r="B719" s="103"/>
      <c r="C719" s="121" t="str">
        <f t="array" ref="C719">ifs(and(isblank($A719),isblank($B719)),"", not(iserror(vlookup($A719&amp;$B719,'5) Release_Track'!$F:$F&amp;'5) Release_Track'!$G:$G,1,0))),vlookup($A719&amp;$B719,{'5) Release_Track'!$F:$F&amp;'5) Release_Track'!$G:$G,'5) Release_Track'!$H:$H},2,0), or(and(not(isblank($B719)),$B719=$B718,$A719&lt;&gt;$A718),and(not(isblank($A719)),$A719=$A718,$B719&lt;&gt;$B718)),"ID LISTS UNALIGNED",and($A719&lt;&gt;"",countif('5) Release_Track'!$F:$F,$A719)=0),"NO ISRC MATCH in Release_Track",and($B719&lt;&gt;"",countif('5) Release_Track'!$G:$G,$B719)=0),"NO CATALOG ID MATCH in Release_Track",iserror(vlookup($A719&amp;$B719,'5) Release_Track'!$F:$F&amp;'5) Release_Track'!$G:$G,1,0)),"NO ISRC-CATALOG ID pair MATCH in Release_Track" )</f>
        <v/>
      </c>
      <c r="D719" s="121" t="str">
        <f t="array" ref="D719">ifs(and(isblank($A719),isblank($B719)),"", not(iserror(vlookup($A719&amp;$B719,'5) Release_Track'!$F:$F&amp;'5) Release_Track'!$G:$G,1,0))),vlookup($A719&amp;$B719,{'5) Release_Track'!$F:$F&amp;'5) Release_Track'!$G:$G,'5) Release_Track'!$I:$I},2,0), or(and(not(isblank($B719)),$B719=$B718,$A719&lt;&gt;$A718),and(not(isblank($A719)),$A719=$A718,$B719&lt;&gt;$B718)),"ID LISTS UNALIGNED",and($A719&lt;&gt;"",countif('5) Release_Track'!$F:$F,$A719)=0),"NO ISRC MATCH in Release_Track",and($B719&lt;&gt;"",countif('5) Release_Track'!$G:$G,$B719)=0),"NO CATALOG ID MATCH in Release_Track",iserror(vlookup($A719&amp;$B719,'5) Release_Track'!$F:$F&amp;'5) Release_Track'!$G:$G,1,0)),"NO ISRC-CATALOG ID pair MATCH in Release_Track" )</f>
        <v/>
      </c>
      <c r="E719" s="142" t="b">
        <v>0</v>
      </c>
      <c r="F719" s="142" t="b">
        <v>0</v>
      </c>
      <c r="G719" s="142" t="b">
        <v>0</v>
      </c>
      <c r="H719" s="142" t="b">
        <v>0</v>
      </c>
      <c r="I719" s="142" t="b">
        <v>0</v>
      </c>
      <c r="J719" s="142" t="b">
        <v>0</v>
      </c>
      <c r="K719" s="142" t="b">
        <v>0</v>
      </c>
      <c r="L719" s="8" t="b">
        <v>0</v>
      </c>
    </row>
    <row r="720">
      <c r="B720" s="103"/>
      <c r="C720" s="121" t="str">
        <f t="array" ref="C720">ifs(and(isblank($A720),isblank($B720)),"", not(iserror(vlookup($A720&amp;$B720,'5) Release_Track'!$F:$F&amp;'5) Release_Track'!$G:$G,1,0))),vlookup($A720&amp;$B720,{'5) Release_Track'!$F:$F&amp;'5) Release_Track'!$G:$G,'5) Release_Track'!$H:$H},2,0), or(and(not(isblank($B720)),$B720=$B719,$A720&lt;&gt;$A719),and(not(isblank($A720)),$A720=$A719,$B720&lt;&gt;$B719)),"ID LISTS UNALIGNED",and($A720&lt;&gt;"",countif('5) Release_Track'!$F:$F,$A720)=0),"NO ISRC MATCH in Release_Track",and($B720&lt;&gt;"",countif('5) Release_Track'!$G:$G,$B720)=0),"NO CATALOG ID MATCH in Release_Track",iserror(vlookup($A720&amp;$B720,'5) Release_Track'!$F:$F&amp;'5) Release_Track'!$G:$G,1,0)),"NO ISRC-CATALOG ID pair MATCH in Release_Track" )</f>
        <v/>
      </c>
      <c r="D720" s="121" t="str">
        <f t="array" ref="D720">ifs(and(isblank($A720),isblank($B720)),"", not(iserror(vlookup($A720&amp;$B720,'5) Release_Track'!$F:$F&amp;'5) Release_Track'!$G:$G,1,0))),vlookup($A720&amp;$B720,{'5) Release_Track'!$F:$F&amp;'5) Release_Track'!$G:$G,'5) Release_Track'!$I:$I},2,0), or(and(not(isblank($B720)),$B720=$B719,$A720&lt;&gt;$A719),and(not(isblank($A720)),$A720=$A719,$B720&lt;&gt;$B719)),"ID LISTS UNALIGNED",and($A720&lt;&gt;"",countif('5) Release_Track'!$F:$F,$A720)=0),"NO ISRC MATCH in Release_Track",and($B720&lt;&gt;"",countif('5) Release_Track'!$G:$G,$B720)=0),"NO CATALOG ID MATCH in Release_Track",iserror(vlookup($A720&amp;$B720,'5) Release_Track'!$F:$F&amp;'5) Release_Track'!$G:$G,1,0)),"NO ISRC-CATALOG ID pair MATCH in Release_Track" )</f>
        <v/>
      </c>
      <c r="E720" s="142" t="b">
        <v>0</v>
      </c>
      <c r="F720" s="142" t="b">
        <v>0</v>
      </c>
      <c r="G720" s="142" t="b">
        <v>0</v>
      </c>
      <c r="H720" s="142" t="b">
        <v>0</v>
      </c>
      <c r="I720" s="142" t="b">
        <v>0</v>
      </c>
      <c r="J720" s="142" t="b">
        <v>0</v>
      </c>
      <c r="K720" s="142" t="b">
        <v>0</v>
      </c>
      <c r="L720" s="8" t="b">
        <v>0</v>
      </c>
    </row>
    <row r="721">
      <c r="B721" s="103"/>
      <c r="C721" s="121" t="str">
        <f t="array" ref="C721">ifs(and(isblank($A721),isblank($B721)),"", not(iserror(vlookup($A721&amp;$B721,'5) Release_Track'!$F:$F&amp;'5) Release_Track'!$G:$G,1,0))),vlookup($A721&amp;$B721,{'5) Release_Track'!$F:$F&amp;'5) Release_Track'!$G:$G,'5) Release_Track'!$H:$H},2,0), or(and(not(isblank($B721)),$B721=$B720,$A721&lt;&gt;$A720),and(not(isblank($A721)),$A721=$A720,$B721&lt;&gt;$B720)),"ID LISTS UNALIGNED",and($A721&lt;&gt;"",countif('5) Release_Track'!$F:$F,$A721)=0),"NO ISRC MATCH in Release_Track",and($B721&lt;&gt;"",countif('5) Release_Track'!$G:$G,$B721)=0),"NO CATALOG ID MATCH in Release_Track",iserror(vlookup($A721&amp;$B721,'5) Release_Track'!$F:$F&amp;'5) Release_Track'!$G:$G,1,0)),"NO ISRC-CATALOG ID pair MATCH in Release_Track" )</f>
        <v/>
      </c>
      <c r="D721" s="121" t="str">
        <f t="array" ref="D721">ifs(and(isblank($A721),isblank($B721)),"", not(iserror(vlookup($A721&amp;$B721,'5) Release_Track'!$F:$F&amp;'5) Release_Track'!$G:$G,1,0))),vlookup($A721&amp;$B721,{'5) Release_Track'!$F:$F&amp;'5) Release_Track'!$G:$G,'5) Release_Track'!$I:$I},2,0), or(and(not(isblank($B721)),$B721=$B720,$A721&lt;&gt;$A720),and(not(isblank($A721)),$A721=$A720,$B721&lt;&gt;$B720)),"ID LISTS UNALIGNED",and($A721&lt;&gt;"",countif('5) Release_Track'!$F:$F,$A721)=0),"NO ISRC MATCH in Release_Track",and($B721&lt;&gt;"",countif('5) Release_Track'!$G:$G,$B721)=0),"NO CATALOG ID MATCH in Release_Track",iserror(vlookup($A721&amp;$B721,'5) Release_Track'!$F:$F&amp;'5) Release_Track'!$G:$G,1,0)),"NO ISRC-CATALOG ID pair MATCH in Release_Track" )</f>
        <v/>
      </c>
      <c r="E721" s="142" t="b">
        <v>0</v>
      </c>
      <c r="F721" s="142" t="b">
        <v>0</v>
      </c>
      <c r="G721" s="142" t="b">
        <v>0</v>
      </c>
      <c r="H721" s="142" t="b">
        <v>0</v>
      </c>
      <c r="I721" s="142" t="b">
        <v>0</v>
      </c>
      <c r="J721" s="142" t="b">
        <v>0</v>
      </c>
      <c r="K721" s="142" t="b">
        <v>0</v>
      </c>
      <c r="L721" s="8" t="b">
        <v>0</v>
      </c>
    </row>
    <row r="722">
      <c r="B722" s="103"/>
      <c r="C722" s="121" t="str">
        <f t="array" ref="C722">ifs(and(isblank($A722),isblank($B722)),"", not(iserror(vlookup($A722&amp;$B722,'5) Release_Track'!$F:$F&amp;'5) Release_Track'!$G:$G,1,0))),vlookup($A722&amp;$B722,{'5) Release_Track'!$F:$F&amp;'5) Release_Track'!$G:$G,'5) Release_Track'!$H:$H},2,0), or(and(not(isblank($B722)),$B722=$B721,$A722&lt;&gt;$A721),and(not(isblank($A722)),$A722=$A721,$B722&lt;&gt;$B721)),"ID LISTS UNALIGNED",and($A722&lt;&gt;"",countif('5) Release_Track'!$F:$F,$A722)=0),"NO ISRC MATCH in Release_Track",and($B722&lt;&gt;"",countif('5) Release_Track'!$G:$G,$B722)=0),"NO CATALOG ID MATCH in Release_Track",iserror(vlookup($A722&amp;$B722,'5) Release_Track'!$F:$F&amp;'5) Release_Track'!$G:$G,1,0)),"NO ISRC-CATALOG ID pair MATCH in Release_Track" )</f>
        <v/>
      </c>
      <c r="D722" s="121" t="str">
        <f t="array" ref="D722">ifs(and(isblank($A722),isblank($B722)),"", not(iserror(vlookup($A722&amp;$B722,'5) Release_Track'!$F:$F&amp;'5) Release_Track'!$G:$G,1,0))),vlookup($A722&amp;$B722,{'5) Release_Track'!$F:$F&amp;'5) Release_Track'!$G:$G,'5) Release_Track'!$I:$I},2,0), or(and(not(isblank($B722)),$B722=$B721,$A722&lt;&gt;$A721),and(not(isblank($A722)),$A722=$A721,$B722&lt;&gt;$B721)),"ID LISTS UNALIGNED",and($A722&lt;&gt;"",countif('5) Release_Track'!$F:$F,$A722)=0),"NO ISRC MATCH in Release_Track",and($B722&lt;&gt;"",countif('5) Release_Track'!$G:$G,$B722)=0),"NO CATALOG ID MATCH in Release_Track",iserror(vlookup($A722&amp;$B722,'5) Release_Track'!$F:$F&amp;'5) Release_Track'!$G:$G,1,0)),"NO ISRC-CATALOG ID pair MATCH in Release_Track" )</f>
        <v/>
      </c>
      <c r="E722" s="142" t="b">
        <v>0</v>
      </c>
      <c r="F722" s="142" t="b">
        <v>0</v>
      </c>
      <c r="G722" s="142" t="b">
        <v>0</v>
      </c>
      <c r="H722" s="142" t="b">
        <v>0</v>
      </c>
      <c r="I722" s="142" t="b">
        <v>0</v>
      </c>
      <c r="J722" s="142" t="b">
        <v>0</v>
      </c>
      <c r="K722" s="142" t="b">
        <v>0</v>
      </c>
      <c r="L722" s="8" t="b">
        <v>0</v>
      </c>
    </row>
    <row r="723">
      <c r="B723" s="103"/>
      <c r="C723" s="121" t="str">
        <f t="array" ref="C723">ifs(and(isblank($A723),isblank($B723)),"", not(iserror(vlookup($A723&amp;$B723,'5) Release_Track'!$F:$F&amp;'5) Release_Track'!$G:$G,1,0))),vlookup($A723&amp;$B723,{'5) Release_Track'!$F:$F&amp;'5) Release_Track'!$G:$G,'5) Release_Track'!$H:$H},2,0), or(and(not(isblank($B723)),$B723=$B722,$A723&lt;&gt;$A722),and(not(isblank($A723)),$A723=$A722,$B723&lt;&gt;$B722)),"ID LISTS UNALIGNED",and($A723&lt;&gt;"",countif('5) Release_Track'!$F:$F,$A723)=0),"NO ISRC MATCH in Release_Track",and($B723&lt;&gt;"",countif('5) Release_Track'!$G:$G,$B723)=0),"NO CATALOG ID MATCH in Release_Track",iserror(vlookup($A723&amp;$B723,'5) Release_Track'!$F:$F&amp;'5) Release_Track'!$G:$G,1,0)),"NO ISRC-CATALOG ID pair MATCH in Release_Track" )</f>
        <v/>
      </c>
      <c r="D723" s="121" t="str">
        <f t="array" ref="D723">ifs(and(isblank($A723),isblank($B723)),"", not(iserror(vlookup($A723&amp;$B723,'5) Release_Track'!$F:$F&amp;'5) Release_Track'!$G:$G,1,0))),vlookup($A723&amp;$B723,{'5) Release_Track'!$F:$F&amp;'5) Release_Track'!$G:$G,'5) Release_Track'!$I:$I},2,0), or(and(not(isblank($B723)),$B723=$B722,$A723&lt;&gt;$A722),and(not(isblank($A723)),$A723=$A722,$B723&lt;&gt;$B722)),"ID LISTS UNALIGNED",and($A723&lt;&gt;"",countif('5) Release_Track'!$F:$F,$A723)=0),"NO ISRC MATCH in Release_Track",and($B723&lt;&gt;"",countif('5) Release_Track'!$G:$G,$B723)=0),"NO CATALOG ID MATCH in Release_Track",iserror(vlookup($A723&amp;$B723,'5) Release_Track'!$F:$F&amp;'5) Release_Track'!$G:$G,1,0)),"NO ISRC-CATALOG ID pair MATCH in Release_Track" )</f>
        <v/>
      </c>
      <c r="E723" s="142" t="b">
        <v>0</v>
      </c>
      <c r="F723" s="142" t="b">
        <v>0</v>
      </c>
      <c r="G723" s="142" t="b">
        <v>0</v>
      </c>
      <c r="H723" s="142" t="b">
        <v>0</v>
      </c>
      <c r="I723" s="142" t="b">
        <v>0</v>
      </c>
      <c r="J723" s="142" t="b">
        <v>0</v>
      </c>
      <c r="K723" s="142" t="b">
        <v>0</v>
      </c>
      <c r="L723" s="8" t="b">
        <v>0</v>
      </c>
    </row>
    <row r="724">
      <c r="B724" s="103"/>
      <c r="C724" s="121" t="str">
        <f t="array" ref="C724">ifs(and(isblank($A724),isblank($B724)),"", not(iserror(vlookup($A724&amp;$B724,'5) Release_Track'!$F:$F&amp;'5) Release_Track'!$G:$G,1,0))),vlookup($A724&amp;$B724,{'5) Release_Track'!$F:$F&amp;'5) Release_Track'!$G:$G,'5) Release_Track'!$H:$H},2,0), or(and(not(isblank($B724)),$B724=$B723,$A724&lt;&gt;$A723),and(not(isblank($A724)),$A724=$A723,$B724&lt;&gt;$B723)),"ID LISTS UNALIGNED",and($A724&lt;&gt;"",countif('5) Release_Track'!$F:$F,$A724)=0),"NO ISRC MATCH in Release_Track",and($B724&lt;&gt;"",countif('5) Release_Track'!$G:$G,$B724)=0),"NO CATALOG ID MATCH in Release_Track",iserror(vlookup($A724&amp;$B724,'5) Release_Track'!$F:$F&amp;'5) Release_Track'!$G:$G,1,0)),"NO ISRC-CATALOG ID pair MATCH in Release_Track" )</f>
        <v/>
      </c>
      <c r="D724" s="121" t="str">
        <f t="array" ref="D724">ifs(and(isblank($A724),isblank($B724)),"", not(iserror(vlookup($A724&amp;$B724,'5) Release_Track'!$F:$F&amp;'5) Release_Track'!$G:$G,1,0))),vlookup($A724&amp;$B724,{'5) Release_Track'!$F:$F&amp;'5) Release_Track'!$G:$G,'5) Release_Track'!$I:$I},2,0), or(and(not(isblank($B724)),$B724=$B723,$A724&lt;&gt;$A723),and(not(isblank($A724)),$A724=$A723,$B724&lt;&gt;$B723)),"ID LISTS UNALIGNED",and($A724&lt;&gt;"",countif('5) Release_Track'!$F:$F,$A724)=0),"NO ISRC MATCH in Release_Track",and($B724&lt;&gt;"",countif('5) Release_Track'!$G:$G,$B724)=0),"NO CATALOG ID MATCH in Release_Track",iserror(vlookup($A724&amp;$B724,'5) Release_Track'!$F:$F&amp;'5) Release_Track'!$G:$G,1,0)),"NO ISRC-CATALOG ID pair MATCH in Release_Track" )</f>
        <v/>
      </c>
      <c r="E724" s="142" t="b">
        <v>0</v>
      </c>
      <c r="F724" s="142" t="b">
        <v>0</v>
      </c>
      <c r="G724" s="142" t="b">
        <v>0</v>
      </c>
      <c r="H724" s="142" t="b">
        <v>0</v>
      </c>
      <c r="I724" s="142" t="b">
        <v>0</v>
      </c>
      <c r="J724" s="142" t="b">
        <v>0</v>
      </c>
      <c r="K724" s="142" t="b">
        <v>0</v>
      </c>
      <c r="L724" s="8" t="b">
        <v>0</v>
      </c>
    </row>
    <row r="725">
      <c r="B725" s="103"/>
      <c r="C725" s="121" t="str">
        <f t="array" ref="C725">ifs(and(isblank($A725),isblank($B725)),"", not(iserror(vlookup($A725&amp;$B725,'5) Release_Track'!$F:$F&amp;'5) Release_Track'!$G:$G,1,0))),vlookup($A725&amp;$B725,{'5) Release_Track'!$F:$F&amp;'5) Release_Track'!$G:$G,'5) Release_Track'!$H:$H},2,0), or(and(not(isblank($B725)),$B725=$B724,$A725&lt;&gt;$A724),and(not(isblank($A725)),$A725=$A724,$B725&lt;&gt;$B724)),"ID LISTS UNALIGNED",and($A725&lt;&gt;"",countif('5) Release_Track'!$F:$F,$A725)=0),"NO ISRC MATCH in Release_Track",and($B725&lt;&gt;"",countif('5) Release_Track'!$G:$G,$B725)=0),"NO CATALOG ID MATCH in Release_Track",iserror(vlookup($A725&amp;$B725,'5) Release_Track'!$F:$F&amp;'5) Release_Track'!$G:$G,1,0)),"NO ISRC-CATALOG ID pair MATCH in Release_Track" )</f>
        <v/>
      </c>
      <c r="D725" s="121" t="str">
        <f t="array" ref="D725">ifs(and(isblank($A725),isblank($B725)),"", not(iserror(vlookup($A725&amp;$B725,'5) Release_Track'!$F:$F&amp;'5) Release_Track'!$G:$G,1,0))),vlookup($A725&amp;$B725,{'5) Release_Track'!$F:$F&amp;'5) Release_Track'!$G:$G,'5) Release_Track'!$I:$I},2,0), or(and(not(isblank($B725)),$B725=$B724,$A725&lt;&gt;$A724),and(not(isblank($A725)),$A725=$A724,$B725&lt;&gt;$B724)),"ID LISTS UNALIGNED",and($A725&lt;&gt;"",countif('5) Release_Track'!$F:$F,$A725)=0),"NO ISRC MATCH in Release_Track",and($B725&lt;&gt;"",countif('5) Release_Track'!$G:$G,$B725)=0),"NO CATALOG ID MATCH in Release_Track",iserror(vlookup($A725&amp;$B725,'5) Release_Track'!$F:$F&amp;'5) Release_Track'!$G:$G,1,0)),"NO ISRC-CATALOG ID pair MATCH in Release_Track" )</f>
        <v/>
      </c>
      <c r="E725" s="142" t="b">
        <v>0</v>
      </c>
      <c r="F725" s="142" t="b">
        <v>0</v>
      </c>
      <c r="G725" s="142" t="b">
        <v>0</v>
      </c>
      <c r="H725" s="142" t="b">
        <v>0</v>
      </c>
      <c r="I725" s="142" t="b">
        <v>0</v>
      </c>
      <c r="J725" s="142" t="b">
        <v>0</v>
      </c>
      <c r="K725" s="142" t="b">
        <v>0</v>
      </c>
      <c r="L725" s="8" t="b">
        <v>0</v>
      </c>
    </row>
    <row r="726">
      <c r="B726" s="103"/>
      <c r="C726" s="121" t="str">
        <f t="array" ref="C726">ifs(and(isblank($A726),isblank($B726)),"", not(iserror(vlookup($A726&amp;$B726,'5) Release_Track'!$F:$F&amp;'5) Release_Track'!$G:$G,1,0))),vlookup($A726&amp;$B726,{'5) Release_Track'!$F:$F&amp;'5) Release_Track'!$G:$G,'5) Release_Track'!$H:$H},2,0), or(and(not(isblank($B726)),$B726=$B725,$A726&lt;&gt;$A725),and(not(isblank($A726)),$A726=$A725,$B726&lt;&gt;$B725)),"ID LISTS UNALIGNED",and($A726&lt;&gt;"",countif('5) Release_Track'!$F:$F,$A726)=0),"NO ISRC MATCH in Release_Track",and($B726&lt;&gt;"",countif('5) Release_Track'!$G:$G,$B726)=0),"NO CATALOG ID MATCH in Release_Track",iserror(vlookup($A726&amp;$B726,'5) Release_Track'!$F:$F&amp;'5) Release_Track'!$G:$G,1,0)),"NO ISRC-CATALOG ID pair MATCH in Release_Track" )</f>
        <v/>
      </c>
      <c r="D726" s="121" t="str">
        <f t="array" ref="D726">ifs(and(isblank($A726),isblank($B726)),"", not(iserror(vlookup($A726&amp;$B726,'5) Release_Track'!$F:$F&amp;'5) Release_Track'!$G:$G,1,0))),vlookup($A726&amp;$B726,{'5) Release_Track'!$F:$F&amp;'5) Release_Track'!$G:$G,'5) Release_Track'!$I:$I},2,0), or(and(not(isblank($B726)),$B726=$B725,$A726&lt;&gt;$A725),and(not(isblank($A726)),$A726=$A725,$B726&lt;&gt;$B725)),"ID LISTS UNALIGNED",and($A726&lt;&gt;"",countif('5) Release_Track'!$F:$F,$A726)=0),"NO ISRC MATCH in Release_Track",and($B726&lt;&gt;"",countif('5) Release_Track'!$G:$G,$B726)=0),"NO CATALOG ID MATCH in Release_Track",iserror(vlookup($A726&amp;$B726,'5) Release_Track'!$F:$F&amp;'5) Release_Track'!$G:$G,1,0)),"NO ISRC-CATALOG ID pair MATCH in Release_Track" )</f>
        <v/>
      </c>
      <c r="E726" s="142" t="b">
        <v>0</v>
      </c>
      <c r="F726" s="142" t="b">
        <v>0</v>
      </c>
      <c r="G726" s="142" t="b">
        <v>0</v>
      </c>
      <c r="H726" s="142" t="b">
        <v>0</v>
      </c>
      <c r="I726" s="142" t="b">
        <v>0</v>
      </c>
      <c r="J726" s="142" t="b">
        <v>0</v>
      </c>
      <c r="K726" s="142" t="b">
        <v>0</v>
      </c>
      <c r="L726" s="8" t="b">
        <v>0</v>
      </c>
    </row>
    <row r="727">
      <c r="B727" s="103"/>
      <c r="C727" s="121" t="str">
        <f t="array" ref="C727">ifs(and(isblank($A727),isblank($B727)),"", not(iserror(vlookup($A727&amp;$B727,'5) Release_Track'!$F:$F&amp;'5) Release_Track'!$G:$G,1,0))),vlookup($A727&amp;$B727,{'5) Release_Track'!$F:$F&amp;'5) Release_Track'!$G:$G,'5) Release_Track'!$H:$H},2,0), or(and(not(isblank($B727)),$B727=$B726,$A727&lt;&gt;$A726),and(not(isblank($A727)),$A727=$A726,$B727&lt;&gt;$B726)),"ID LISTS UNALIGNED",and($A727&lt;&gt;"",countif('5) Release_Track'!$F:$F,$A727)=0),"NO ISRC MATCH in Release_Track",and($B727&lt;&gt;"",countif('5) Release_Track'!$G:$G,$B727)=0),"NO CATALOG ID MATCH in Release_Track",iserror(vlookup($A727&amp;$B727,'5) Release_Track'!$F:$F&amp;'5) Release_Track'!$G:$G,1,0)),"NO ISRC-CATALOG ID pair MATCH in Release_Track" )</f>
        <v/>
      </c>
      <c r="D727" s="121" t="str">
        <f t="array" ref="D727">ifs(and(isblank($A727),isblank($B727)),"", not(iserror(vlookup($A727&amp;$B727,'5) Release_Track'!$F:$F&amp;'5) Release_Track'!$G:$G,1,0))),vlookup($A727&amp;$B727,{'5) Release_Track'!$F:$F&amp;'5) Release_Track'!$G:$G,'5) Release_Track'!$I:$I},2,0), or(and(not(isblank($B727)),$B727=$B726,$A727&lt;&gt;$A726),and(not(isblank($A727)),$A727=$A726,$B727&lt;&gt;$B726)),"ID LISTS UNALIGNED",and($A727&lt;&gt;"",countif('5) Release_Track'!$F:$F,$A727)=0),"NO ISRC MATCH in Release_Track",and($B727&lt;&gt;"",countif('5) Release_Track'!$G:$G,$B727)=0),"NO CATALOG ID MATCH in Release_Track",iserror(vlookup($A727&amp;$B727,'5) Release_Track'!$F:$F&amp;'5) Release_Track'!$G:$G,1,0)),"NO ISRC-CATALOG ID pair MATCH in Release_Track" )</f>
        <v/>
      </c>
      <c r="E727" s="142" t="b">
        <v>0</v>
      </c>
      <c r="F727" s="142" t="b">
        <v>0</v>
      </c>
      <c r="G727" s="142" t="b">
        <v>0</v>
      </c>
      <c r="H727" s="142" t="b">
        <v>0</v>
      </c>
      <c r="I727" s="142" t="b">
        <v>0</v>
      </c>
      <c r="J727" s="142" t="b">
        <v>0</v>
      </c>
      <c r="K727" s="142" t="b">
        <v>0</v>
      </c>
      <c r="L727" s="8" t="b">
        <v>0</v>
      </c>
    </row>
    <row r="728">
      <c r="B728" s="103"/>
      <c r="C728" s="121" t="str">
        <f t="array" ref="C728">ifs(and(isblank($A728),isblank($B728)),"", not(iserror(vlookup($A728&amp;$B728,'5) Release_Track'!$F:$F&amp;'5) Release_Track'!$G:$G,1,0))),vlookup($A728&amp;$B728,{'5) Release_Track'!$F:$F&amp;'5) Release_Track'!$G:$G,'5) Release_Track'!$H:$H},2,0), or(and(not(isblank($B728)),$B728=$B727,$A728&lt;&gt;$A727),and(not(isblank($A728)),$A728=$A727,$B728&lt;&gt;$B727)),"ID LISTS UNALIGNED",and($A728&lt;&gt;"",countif('5) Release_Track'!$F:$F,$A728)=0),"NO ISRC MATCH in Release_Track",and($B728&lt;&gt;"",countif('5) Release_Track'!$G:$G,$B728)=0),"NO CATALOG ID MATCH in Release_Track",iserror(vlookup($A728&amp;$B728,'5) Release_Track'!$F:$F&amp;'5) Release_Track'!$G:$G,1,0)),"NO ISRC-CATALOG ID pair MATCH in Release_Track" )</f>
        <v/>
      </c>
      <c r="D728" s="121" t="str">
        <f t="array" ref="D728">ifs(and(isblank($A728),isblank($B728)),"", not(iserror(vlookup($A728&amp;$B728,'5) Release_Track'!$F:$F&amp;'5) Release_Track'!$G:$G,1,0))),vlookup($A728&amp;$B728,{'5) Release_Track'!$F:$F&amp;'5) Release_Track'!$G:$G,'5) Release_Track'!$I:$I},2,0), or(and(not(isblank($B728)),$B728=$B727,$A728&lt;&gt;$A727),and(not(isblank($A728)),$A728=$A727,$B728&lt;&gt;$B727)),"ID LISTS UNALIGNED",and($A728&lt;&gt;"",countif('5) Release_Track'!$F:$F,$A728)=0),"NO ISRC MATCH in Release_Track",and($B728&lt;&gt;"",countif('5) Release_Track'!$G:$G,$B728)=0),"NO CATALOG ID MATCH in Release_Track",iserror(vlookup($A728&amp;$B728,'5) Release_Track'!$F:$F&amp;'5) Release_Track'!$G:$G,1,0)),"NO ISRC-CATALOG ID pair MATCH in Release_Track" )</f>
        <v/>
      </c>
      <c r="E728" s="142" t="b">
        <v>0</v>
      </c>
      <c r="F728" s="142" t="b">
        <v>0</v>
      </c>
      <c r="G728" s="142" t="b">
        <v>0</v>
      </c>
      <c r="H728" s="142" t="b">
        <v>0</v>
      </c>
      <c r="I728" s="142" t="b">
        <v>0</v>
      </c>
      <c r="J728" s="142" t="b">
        <v>0</v>
      </c>
      <c r="K728" s="142" t="b">
        <v>0</v>
      </c>
      <c r="L728" s="8" t="b">
        <v>0</v>
      </c>
    </row>
    <row r="729">
      <c r="B729" s="103"/>
      <c r="C729" s="121" t="str">
        <f t="array" ref="C729">ifs(and(isblank($A729),isblank($B729)),"", not(iserror(vlookup($A729&amp;$B729,'5) Release_Track'!$F:$F&amp;'5) Release_Track'!$G:$G,1,0))),vlookup($A729&amp;$B729,{'5) Release_Track'!$F:$F&amp;'5) Release_Track'!$G:$G,'5) Release_Track'!$H:$H},2,0), or(and(not(isblank($B729)),$B729=$B728,$A729&lt;&gt;$A728),and(not(isblank($A729)),$A729=$A728,$B729&lt;&gt;$B728)),"ID LISTS UNALIGNED",and($A729&lt;&gt;"",countif('5) Release_Track'!$F:$F,$A729)=0),"NO ISRC MATCH in Release_Track",and($B729&lt;&gt;"",countif('5) Release_Track'!$G:$G,$B729)=0),"NO CATALOG ID MATCH in Release_Track",iserror(vlookup($A729&amp;$B729,'5) Release_Track'!$F:$F&amp;'5) Release_Track'!$G:$G,1,0)),"NO ISRC-CATALOG ID pair MATCH in Release_Track" )</f>
        <v/>
      </c>
      <c r="D729" s="121" t="str">
        <f t="array" ref="D729">ifs(and(isblank($A729),isblank($B729)),"", not(iserror(vlookup($A729&amp;$B729,'5) Release_Track'!$F:$F&amp;'5) Release_Track'!$G:$G,1,0))),vlookup($A729&amp;$B729,{'5) Release_Track'!$F:$F&amp;'5) Release_Track'!$G:$G,'5) Release_Track'!$I:$I},2,0), or(and(not(isblank($B729)),$B729=$B728,$A729&lt;&gt;$A728),and(not(isblank($A729)),$A729=$A728,$B729&lt;&gt;$B728)),"ID LISTS UNALIGNED",and($A729&lt;&gt;"",countif('5) Release_Track'!$F:$F,$A729)=0),"NO ISRC MATCH in Release_Track",and($B729&lt;&gt;"",countif('5) Release_Track'!$G:$G,$B729)=0),"NO CATALOG ID MATCH in Release_Track",iserror(vlookup($A729&amp;$B729,'5) Release_Track'!$F:$F&amp;'5) Release_Track'!$G:$G,1,0)),"NO ISRC-CATALOG ID pair MATCH in Release_Track" )</f>
        <v/>
      </c>
      <c r="E729" s="142" t="b">
        <v>0</v>
      </c>
      <c r="F729" s="142" t="b">
        <v>0</v>
      </c>
      <c r="G729" s="142" t="b">
        <v>0</v>
      </c>
      <c r="H729" s="142" t="b">
        <v>0</v>
      </c>
      <c r="I729" s="142" t="b">
        <v>0</v>
      </c>
      <c r="J729" s="142" t="b">
        <v>0</v>
      </c>
      <c r="K729" s="142" t="b">
        <v>0</v>
      </c>
      <c r="L729" s="8" t="b">
        <v>0</v>
      </c>
    </row>
    <row r="730">
      <c r="B730" s="103"/>
      <c r="C730" s="121" t="str">
        <f t="array" ref="C730">ifs(and(isblank($A730),isblank($B730)),"", not(iserror(vlookup($A730&amp;$B730,'5) Release_Track'!$F:$F&amp;'5) Release_Track'!$G:$G,1,0))),vlookup($A730&amp;$B730,{'5) Release_Track'!$F:$F&amp;'5) Release_Track'!$G:$G,'5) Release_Track'!$H:$H},2,0), or(and(not(isblank($B730)),$B730=$B729,$A730&lt;&gt;$A729),and(not(isblank($A730)),$A730=$A729,$B730&lt;&gt;$B729)),"ID LISTS UNALIGNED",and($A730&lt;&gt;"",countif('5) Release_Track'!$F:$F,$A730)=0),"NO ISRC MATCH in Release_Track",and($B730&lt;&gt;"",countif('5) Release_Track'!$G:$G,$B730)=0),"NO CATALOG ID MATCH in Release_Track",iserror(vlookup($A730&amp;$B730,'5) Release_Track'!$F:$F&amp;'5) Release_Track'!$G:$G,1,0)),"NO ISRC-CATALOG ID pair MATCH in Release_Track" )</f>
        <v/>
      </c>
      <c r="D730" s="121" t="str">
        <f t="array" ref="D730">ifs(and(isblank($A730),isblank($B730)),"", not(iserror(vlookup($A730&amp;$B730,'5) Release_Track'!$F:$F&amp;'5) Release_Track'!$G:$G,1,0))),vlookup($A730&amp;$B730,{'5) Release_Track'!$F:$F&amp;'5) Release_Track'!$G:$G,'5) Release_Track'!$I:$I},2,0), or(and(not(isblank($B730)),$B730=$B729,$A730&lt;&gt;$A729),and(not(isblank($A730)),$A730=$A729,$B730&lt;&gt;$B729)),"ID LISTS UNALIGNED",and($A730&lt;&gt;"",countif('5) Release_Track'!$F:$F,$A730)=0),"NO ISRC MATCH in Release_Track",and($B730&lt;&gt;"",countif('5) Release_Track'!$G:$G,$B730)=0),"NO CATALOG ID MATCH in Release_Track",iserror(vlookup($A730&amp;$B730,'5) Release_Track'!$F:$F&amp;'5) Release_Track'!$G:$G,1,0)),"NO ISRC-CATALOG ID pair MATCH in Release_Track" )</f>
        <v/>
      </c>
      <c r="E730" s="142" t="b">
        <v>0</v>
      </c>
      <c r="F730" s="142" t="b">
        <v>0</v>
      </c>
      <c r="G730" s="142" t="b">
        <v>0</v>
      </c>
      <c r="H730" s="142" t="b">
        <v>0</v>
      </c>
      <c r="I730" s="142" t="b">
        <v>0</v>
      </c>
      <c r="J730" s="142" t="b">
        <v>0</v>
      </c>
      <c r="K730" s="142" t="b">
        <v>0</v>
      </c>
      <c r="L730" s="8" t="b">
        <v>0</v>
      </c>
    </row>
    <row r="731">
      <c r="B731" s="103"/>
      <c r="C731" s="121" t="str">
        <f t="array" ref="C731">ifs(and(isblank($A731),isblank($B731)),"", not(iserror(vlookup($A731&amp;$B731,'5) Release_Track'!$F:$F&amp;'5) Release_Track'!$G:$G,1,0))),vlookup($A731&amp;$B731,{'5) Release_Track'!$F:$F&amp;'5) Release_Track'!$G:$G,'5) Release_Track'!$H:$H},2,0), or(and(not(isblank($B731)),$B731=$B730,$A731&lt;&gt;$A730),and(not(isblank($A731)),$A731=$A730,$B731&lt;&gt;$B730)),"ID LISTS UNALIGNED",and($A731&lt;&gt;"",countif('5) Release_Track'!$F:$F,$A731)=0),"NO ISRC MATCH in Release_Track",and($B731&lt;&gt;"",countif('5) Release_Track'!$G:$G,$B731)=0),"NO CATALOG ID MATCH in Release_Track",iserror(vlookup($A731&amp;$B731,'5) Release_Track'!$F:$F&amp;'5) Release_Track'!$G:$G,1,0)),"NO ISRC-CATALOG ID pair MATCH in Release_Track" )</f>
        <v/>
      </c>
      <c r="D731" s="121" t="str">
        <f t="array" ref="D731">ifs(and(isblank($A731),isblank($B731)),"", not(iserror(vlookup($A731&amp;$B731,'5) Release_Track'!$F:$F&amp;'5) Release_Track'!$G:$G,1,0))),vlookup($A731&amp;$B731,{'5) Release_Track'!$F:$F&amp;'5) Release_Track'!$G:$G,'5) Release_Track'!$I:$I},2,0), or(and(not(isblank($B731)),$B731=$B730,$A731&lt;&gt;$A730),and(not(isblank($A731)),$A731=$A730,$B731&lt;&gt;$B730)),"ID LISTS UNALIGNED",and($A731&lt;&gt;"",countif('5) Release_Track'!$F:$F,$A731)=0),"NO ISRC MATCH in Release_Track",and($B731&lt;&gt;"",countif('5) Release_Track'!$G:$G,$B731)=0),"NO CATALOG ID MATCH in Release_Track",iserror(vlookup($A731&amp;$B731,'5) Release_Track'!$F:$F&amp;'5) Release_Track'!$G:$G,1,0)),"NO ISRC-CATALOG ID pair MATCH in Release_Track" )</f>
        <v/>
      </c>
      <c r="E731" s="142" t="b">
        <v>0</v>
      </c>
      <c r="F731" s="142" t="b">
        <v>0</v>
      </c>
      <c r="G731" s="142" t="b">
        <v>0</v>
      </c>
      <c r="H731" s="142" t="b">
        <v>0</v>
      </c>
      <c r="I731" s="142" t="b">
        <v>0</v>
      </c>
      <c r="J731" s="142" t="b">
        <v>0</v>
      </c>
      <c r="K731" s="142" t="b">
        <v>0</v>
      </c>
      <c r="L731" s="8" t="b">
        <v>0</v>
      </c>
    </row>
    <row r="732">
      <c r="B732" s="103"/>
      <c r="C732" s="121" t="str">
        <f t="array" ref="C732">ifs(and(isblank($A732),isblank($B732)),"", not(iserror(vlookup($A732&amp;$B732,'5) Release_Track'!$F:$F&amp;'5) Release_Track'!$G:$G,1,0))),vlookup($A732&amp;$B732,{'5) Release_Track'!$F:$F&amp;'5) Release_Track'!$G:$G,'5) Release_Track'!$H:$H},2,0), or(and(not(isblank($B732)),$B732=$B731,$A732&lt;&gt;$A731),and(not(isblank($A732)),$A732=$A731,$B732&lt;&gt;$B731)),"ID LISTS UNALIGNED",and($A732&lt;&gt;"",countif('5) Release_Track'!$F:$F,$A732)=0),"NO ISRC MATCH in Release_Track",and($B732&lt;&gt;"",countif('5) Release_Track'!$G:$G,$B732)=0),"NO CATALOG ID MATCH in Release_Track",iserror(vlookup($A732&amp;$B732,'5) Release_Track'!$F:$F&amp;'5) Release_Track'!$G:$G,1,0)),"NO ISRC-CATALOG ID pair MATCH in Release_Track" )</f>
        <v/>
      </c>
      <c r="D732" s="121" t="str">
        <f t="array" ref="D732">ifs(and(isblank($A732),isblank($B732)),"", not(iserror(vlookup($A732&amp;$B732,'5) Release_Track'!$F:$F&amp;'5) Release_Track'!$G:$G,1,0))),vlookup($A732&amp;$B732,{'5) Release_Track'!$F:$F&amp;'5) Release_Track'!$G:$G,'5) Release_Track'!$I:$I},2,0), or(and(not(isblank($B732)),$B732=$B731,$A732&lt;&gt;$A731),and(not(isblank($A732)),$A732=$A731,$B732&lt;&gt;$B731)),"ID LISTS UNALIGNED",and($A732&lt;&gt;"",countif('5) Release_Track'!$F:$F,$A732)=0),"NO ISRC MATCH in Release_Track",and($B732&lt;&gt;"",countif('5) Release_Track'!$G:$G,$B732)=0),"NO CATALOG ID MATCH in Release_Track",iserror(vlookup($A732&amp;$B732,'5) Release_Track'!$F:$F&amp;'5) Release_Track'!$G:$G,1,0)),"NO ISRC-CATALOG ID pair MATCH in Release_Track" )</f>
        <v/>
      </c>
      <c r="E732" s="142" t="b">
        <v>0</v>
      </c>
      <c r="F732" s="142" t="b">
        <v>0</v>
      </c>
      <c r="G732" s="142" t="b">
        <v>0</v>
      </c>
      <c r="H732" s="142" t="b">
        <v>0</v>
      </c>
      <c r="I732" s="142" t="b">
        <v>0</v>
      </c>
      <c r="J732" s="142" t="b">
        <v>0</v>
      </c>
      <c r="K732" s="142" t="b">
        <v>0</v>
      </c>
      <c r="L732" s="8" t="b">
        <v>0</v>
      </c>
    </row>
    <row r="733">
      <c r="B733" s="103"/>
      <c r="C733" s="121" t="str">
        <f t="array" ref="C733">ifs(and(isblank($A733),isblank($B733)),"", not(iserror(vlookup($A733&amp;$B733,'5) Release_Track'!$F:$F&amp;'5) Release_Track'!$G:$G,1,0))),vlookup($A733&amp;$B733,{'5) Release_Track'!$F:$F&amp;'5) Release_Track'!$G:$G,'5) Release_Track'!$H:$H},2,0), or(and(not(isblank($B733)),$B733=$B732,$A733&lt;&gt;$A732),and(not(isblank($A733)),$A733=$A732,$B733&lt;&gt;$B732)),"ID LISTS UNALIGNED",and($A733&lt;&gt;"",countif('5) Release_Track'!$F:$F,$A733)=0),"NO ISRC MATCH in Release_Track",and($B733&lt;&gt;"",countif('5) Release_Track'!$G:$G,$B733)=0),"NO CATALOG ID MATCH in Release_Track",iserror(vlookup($A733&amp;$B733,'5) Release_Track'!$F:$F&amp;'5) Release_Track'!$G:$G,1,0)),"NO ISRC-CATALOG ID pair MATCH in Release_Track" )</f>
        <v/>
      </c>
      <c r="D733" s="121" t="str">
        <f t="array" ref="D733">ifs(and(isblank($A733),isblank($B733)),"", not(iserror(vlookup($A733&amp;$B733,'5) Release_Track'!$F:$F&amp;'5) Release_Track'!$G:$G,1,0))),vlookup($A733&amp;$B733,{'5) Release_Track'!$F:$F&amp;'5) Release_Track'!$G:$G,'5) Release_Track'!$I:$I},2,0), or(and(not(isblank($B733)),$B733=$B732,$A733&lt;&gt;$A732),and(not(isblank($A733)),$A733=$A732,$B733&lt;&gt;$B732)),"ID LISTS UNALIGNED",and($A733&lt;&gt;"",countif('5) Release_Track'!$F:$F,$A733)=0),"NO ISRC MATCH in Release_Track",and($B733&lt;&gt;"",countif('5) Release_Track'!$G:$G,$B733)=0),"NO CATALOG ID MATCH in Release_Track",iserror(vlookup($A733&amp;$B733,'5) Release_Track'!$F:$F&amp;'5) Release_Track'!$G:$G,1,0)),"NO ISRC-CATALOG ID pair MATCH in Release_Track" )</f>
        <v/>
      </c>
      <c r="E733" s="142" t="b">
        <v>0</v>
      </c>
      <c r="F733" s="142" t="b">
        <v>0</v>
      </c>
      <c r="G733" s="142" t="b">
        <v>0</v>
      </c>
      <c r="H733" s="142" t="b">
        <v>0</v>
      </c>
      <c r="I733" s="142" t="b">
        <v>0</v>
      </c>
      <c r="J733" s="142" t="b">
        <v>0</v>
      </c>
      <c r="K733" s="142" t="b">
        <v>0</v>
      </c>
      <c r="L733" s="8" t="b">
        <v>0</v>
      </c>
    </row>
    <row r="734">
      <c r="B734" s="103"/>
      <c r="C734" s="121" t="str">
        <f t="array" ref="C734">ifs(and(isblank($A734),isblank($B734)),"", not(iserror(vlookup($A734&amp;$B734,'5) Release_Track'!$F:$F&amp;'5) Release_Track'!$G:$G,1,0))),vlookup($A734&amp;$B734,{'5) Release_Track'!$F:$F&amp;'5) Release_Track'!$G:$G,'5) Release_Track'!$H:$H},2,0), or(and(not(isblank($B734)),$B734=$B733,$A734&lt;&gt;$A733),and(not(isblank($A734)),$A734=$A733,$B734&lt;&gt;$B733)),"ID LISTS UNALIGNED",and($A734&lt;&gt;"",countif('5) Release_Track'!$F:$F,$A734)=0),"NO ISRC MATCH in Release_Track",and($B734&lt;&gt;"",countif('5) Release_Track'!$G:$G,$B734)=0),"NO CATALOG ID MATCH in Release_Track",iserror(vlookup($A734&amp;$B734,'5) Release_Track'!$F:$F&amp;'5) Release_Track'!$G:$G,1,0)),"NO ISRC-CATALOG ID pair MATCH in Release_Track" )</f>
        <v/>
      </c>
      <c r="D734" s="121" t="str">
        <f t="array" ref="D734">ifs(and(isblank($A734),isblank($B734)),"", not(iserror(vlookup($A734&amp;$B734,'5) Release_Track'!$F:$F&amp;'5) Release_Track'!$G:$G,1,0))),vlookup($A734&amp;$B734,{'5) Release_Track'!$F:$F&amp;'5) Release_Track'!$G:$G,'5) Release_Track'!$I:$I},2,0), or(and(not(isblank($B734)),$B734=$B733,$A734&lt;&gt;$A733),and(not(isblank($A734)),$A734=$A733,$B734&lt;&gt;$B733)),"ID LISTS UNALIGNED",and($A734&lt;&gt;"",countif('5) Release_Track'!$F:$F,$A734)=0),"NO ISRC MATCH in Release_Track",and($B734&lt;&gt;"",countif('5) Release_Track'!$G:$G,$B734)=0),"NO CATALOG ID MATCH in Release_Track",iserror(vlookup($A734&amp;$B734,'5) Release_Track'!$F:$F&amp;'5) Release_Track'!$G:$G,1,0)),"NO ISRC-CATALOG ID pair MATCH in Release_Track" )</f>
        <v/>
      </c>
      <c r="E734" s="142" t="b">
        <v>0</v>
      </c>
      <c r="F734" s="142" t="b">
        <v>0</v>
      </c>
      <c r="G734" s="142" t="b">
        <v>0</v>
      </c>
      <c r="H734" s="142" t="b">
        <v>0</v>
      </c>
      <c r="I734" s="142" t="b">
        <v>0</v>
      </c>
      <c r="J734" s="142" t="b">
        <v>0</v>
      </c>
      <c r="K734" s="142" t="b">
        <v>0</v>
      </c>
      <c r="L734" s="8" t="b">
        <v>0</v>
      </c>
    </row>
    <row r="735">
      <c r="B735" s="103"/>
      <c r="C735" s="121" t="str">
        <f t="array" ref="C735">ifs(and(isblank($A735),isblank($B735)),"", not(iserror(vlookup($A735&amp;$B735,'5) Release_Track'!$F:$F&amp;'5) Release_Track'!$G:$G,1,0))),vlookup($A735&amp;$B735,{'5) Release_Track'!$F:$F&amp;'5) Release_Track'!$G:$G,'5) Release_Track'!$H:$H},2,0), or(and(not(isblank($B735)),$B735=$B734,$A735&lt;&gt;$A734),and(not(isblank($A735)),$A735=$A734,$B735&lt;&gt;$B734)),"ID LISTS UNALIGNED",and($A735&lt;&gt;"",countif('5) Release_Track'!$F:$F,$A735)=0),"NO ISRC MATCH in Release_Track",and($B735&lt;&gt;"",countif('5) Release_Track'!$G:$G,$B735)=0),"NO CATALOG ID MATCH in Release_Track",iserror(vlookup($A735&amp;$B735,'5) Release_Track'!$F:$F&amp;'5) Release_Track'!$G:$G,1,0)),"NO ISRC-CATALOG ID pair MATCH in Release_Track" )</f>
        <v/>
      </c>
      <c r="D735" s="121" t="str">
        <f t="array" ref="D735">ifs(and(isblank($A735),isblank($B735)),"", not(iserror(vlookup($A735&amp;$B735,'5) Release_Track'!$F:$F&amp;'5) Release_Track'!$G:$G,1,0))),vlookup($A735&amp;$B735,{'5) Release_Track'!$F:$F&amp;'5) Release_Track'!$G:$G,'5) Release_Track'!$I:$I},2,0), or(and(not(isblank($B735)),$B735=$B734,$A735&lt;&gt;$A734),and(not(isblank($A735)),$A735=$A734,$B735&lt;&gt;$B734)),"ID LISTS UNALIGNED",and($A735&lt;&gt;"",countif('5) Release_Track'!$F:$F,$A735)=0),"NO ISRC MATCH in Release_Track",and($B735&lt;&gt;"",countif('5) Release_Track'!$G:$G,$B735)=0),"NO CATALOG ID MATCH in Release_Track",iserror(vlookup($A735&amp;$B735,'5) Release_Track'!$F:$F&amp;'5) Release_Track'!$G:$G,1,0)),"NO ISRC-CATALOG ID pair MATCH in Release_Track" )</f>
        <v/>
      </c>
      <c r="E735" s="142" t="b">
        <v>0</v>
      </c>
      <c r="F735" s="142" t="b">
        <v>0</v>
      </c>
      <c r="G735" s="142" t="b">
        <v>0</v>
      </c>
      <c r="H735" s="142" t="b">
        <v>0</v>
      </c>
      <c r="I735" s="142" t="b">
        <v>0</v>
      </c>
      <c r="J735" s="142" t="b">
        <v>0</v>
      </c>
      <c r="K735" s="142" t="b">
        <v>0</v>
      </c>
      <c r="L735" s="8" t="b">
        <v>0</v>
      </c>
    </row>
    <row r="736">
      <c r="B736" s="103"/>
      <c r="C736" s="121" t="str">
        <f t="array" ref="C736">ifs(and(isblank($A736),isblank($B736)),"", not(iserror(vlookup($A736&amp;$B736,'5) Release_Track'!$F:$F&amp;'5) Release_Track'!$G:$G,1,0))),vlookup($A736&amp;$B736,{'5) Release_Track'!$F:$F&amp;'5) Release_Track'!$G:$G,'5) Release_Track'!$H:$H},2,0), or(and(not(isblank($B736)),$B736=$B735,$A736&lt;&gt;$A735),and(not(isblank($A736)),$A736=$A735,$B736&lt;&gt;$B735)),"ID LISTS UNALIGNED",and($A736&lt;&gt;"",countif('5) Release_Track'!$F:$F,$A736)=0),"NO ISRC MATCH in Release_Track",and($B736&lt;&gt;"",countif('5) Release_Track'!$G:$G,$B736)=0),"NO CATALOG ID MATCH in Release_Track",iserror(vlookup($A736&amp;$B736,'5) Release_Track'!$F:$F&amp;'5) Release_Track'!$G:$G,1,0)),"NO ISRC-CATALOG ID pair MATCH in Release_Track" )</f>
        <v/>
      </c>
      <c r="D736" s="121" t="str">
        <f t="array" ref="D736">ifs(and(isblank($A736),isblank($B736)),"", not(iserror(vlookup($A736&amp;$B736,'5) Release_Track'!$F:$F&amp;'5) Release_Track'!$G:$G,1,0))),vlookup($A736&amp;$B736,{'5) Release_Track'!$F:$F&amp;'5) Release_Track'!$G:$G,'5) Release_Track'!$I:$I},2,0), or(and(not(isblank($B736)),$B736=$B735,$A736&lt;&gt;$A735),and(not(isblank($A736)),$A736=$A735,$B736&lt;&gt;$B735)),"ID LISTS UNALIGNED",and($A736&lt;&gt;"",countif('5) Release_Track'!$F:$F,$A736)=0),"NO ISRC MATCH in Release_Track",and($B736&lt;&gt;"",countif('5) Release_Track'!$G:$G,$B736)=0),"NO CATALOG ID MATCH in Release_Track",iserror(vlookup($A736&amp;$B736,'5) Release_Track'!$F:$F&amp;'5) Release_Track'!$G:$G,1,0)),"NO ISRC-CATALOG ID pair MATCH in Release_Track" )</f>
        <v/>
      </c>
      <c r="E736" s="142" t="b">
        <v>0</v>
      </c>
      <c r="F736" s="142" t="b">
        <v>0</v>
      </c>
      <c r="G736" s="142" t="b">
        <v>0</v>
      </c>
      <c r="H736" s="142" t="b">
        <v>0</v>
      </c>
      <c r="I736" s="142" t="b">
        <v>0</v>
      </c>
      <c r="J736" s="142" t="b">
        <v>0</v>
      </c>
      <c r="K736" s="142" t="b">
        <v>0</v>
      </c>
      <c r="L736" s="8" t="b">
        <v>0</v>
      </c>
    </row>
    <row r="737">
      <c r="B737" s="103"/>
      <c r="C737" s="121" t="str">
        <f t="array" ref="C737">ifs(and(isblank($A737),isblank($B737)),"", not(iserror(vlookup($A737&amp;$B737,'5) Release_Track'!$F:$F&amp;'5) Release_Track'!$G:$G,1,0))),vlookup($A737&amp;$B737,{'5) Release_Track'!$F:$F&amp;'5) Release_Track'!$G:$G,'5) Release_Track'!$H:$H},2,0), or(and(not(isblank($B737)),$B737=$B736,$A737&lt;&gt;$A736),and(not(isblank($A737)),$A737=$A736,$B737&lt;&gt;$B736)),"ID LISTS UNALIGNED",and($A737&lt;&gt;"",countif('5) Release_Track'!$F:$F,$A737)=0),"NO ISRC MATCH in Release_Track",and($B737&lt;&gt;"",countif('5) Release_Track'!$G:$G,$B737)=0),"NO CATALOG ID MATCH in Release_Track",iserror(vlookup($A737&amp;$B737,'5) Release_Track'!$F:$F&amp;'5) Release_Track'!$G:$G,1,0)),"NO ISRC-CATALOG ID pair MATCH in Release_Track" )</f>
        <v/>
      </c>
      <c r="D737" s="121" t="str">
        <f t="array" ref="D737">ifs(and(isblank($A737),isblank($B737)),"", not(iserror(vlookup($A737&amp;$B737,'5) Release_Track'!$F:$F&amp;'5) Release_Track'!$G:$G,1,0))),vlookup($A737&amp;$B737,{'5) Release_Track'!$F:$F&amp;'5) Release_Track'!$G:$G,'5) Release_Track'!$I:$I},2,0), or(and(not(isblank($B737)),$B737=$B736,$A737&lt;&gt;$A736),and(not(isblank($A737)),$A737=$A736,$B737&lt;&gt;$B736)),"ID LISTS UNALIGNED",and($A737&lt;&gt;"",countif('5) Release_Track'!$F:$F,$A737)=0),"NO ISRC MATCH in Release_Track",and($B737&lt;&gt;"",countif('5) Release_Track'!$G:$G,$B737)=0),"NO CATALOG ID MATCH in Release_Track",iserror(vlookup($A737&amp;$B737,'5) Release_Track'!$F:$F&amp;'5) Release_Track'!$G:$G,1,0)),"NO ISRC-CATALOG ID pair MATCH in Release_Track" )</f>
        <v/>
      </c>
      <c r="E737" s="142" t="b">
        <v>0</v>
      </c>
      <c r="F737" s="142" t="b">
        <v>0</v>
      </c>
      <c r="G737" s="142" t="b">
        <v>0</v>
      </c>
      <c r="H737" s="142" t="b">
        <v>0</v>
      </c>
      <c r="I737" s="142" t="b">
        <v>0</v>
      </c>
      <c r="J737" s="142" t="b">
        <v>0</v>
      </c>
      <c r="K737" s="142" t="b">
        <v>0</v>
      </c>
      <c r="L737" s="8" t="b">
        <v>0</v>
      </c>
    </row>
    <row r="738">
      <c r="B738" s="103"/>
      <c r="C738" s="121" t="str">
        <f t="array" ref="C738">ifs(and(isblank($A738),isblank($B738)),"", not(iserror(vlookup($A738&amp;$B738,'5) Release_Track'!$F:$F&amp;'5) Release_Track'!$G:$G,1,0))),vlookup($A738&amp;$B738,{'5) Release_Track'!$F:$F&amp;'5) Release_Track'!$G:$G,'5) Release_Track'!$H:$H},2,0), or(and(not(isblank($B738)),$B738=$B737,$A738&lt;&gt;$A737),and(not(isblank($A738)),$A738=$A737,$B738&lt;&gt;$B737)),"ID LISTS UNALIGNED",and($A738&lt;&gt;"",countif('5) Release_Track'!$F:$F,$A738)=0),"NO ISRC MATCH in Release_Track",and($B738&lt;&gt;"",countif('5) Release_Track'!$G:$G,$B738)=0),"NO CATALOG ID MATCH in Release_Track",iserror(vlookup($A738&amp;$B738,'5) Release_Track'!$F:$F&amp;'5) Release_Track'!$G:$G,1,0)),"NO ISRC-CATALOG ID pair MATCH in Release_Track" )</f>
        <v/>
      </c>
      <c r="D738" s="121" t="str">
        <f t="array" ref="D738">ifs(and(isblank($A738),isblank($B738)),"", not(iserror(vlookup($A738&amp;$B738,'5) Release_Track'!$F:$F&amp;'5) Release_Track'!$G:$G,1,0))),vlookup($A738&amp;$B738,{'5) Release_Track'!$F:$F&amp;'5) Release_Track'!$G:$G,'5) Release_Track'!$I:$I},2,0), or(and(not(isblank($B738)),$B738=$B737,$A738&lt;&gt;$A737),and(not(isblank($A738)),$A738=$A737,$B738&lt;&gt;$B737)),"ID LISTS UNALIGNED",and($A738&lt;&gt;"",countif('5) Release_Track'!$F:$F,$A738)=0),"NO ISRC MATCH in Release_Track",and($B738&lt;&gt;"",countif('5) Release_Track'!$G:$G,$B738)=0),"NO CATALOG ID MATCH in Release_Track",iserror(vlookup($A738&amp;$B738,'5) Release_Track'!$F:$F&amp;'5) Release_Track'!$G:$G,1,0)),"NO ISRC-CATALOG ID pair MATCH in Release_Track" )</f>
        <v/>
      </c>
      <c r="E738" s="142" t="b">
        <v>0</v>
      </c>
      <c r="F738" s="142" t="b">
        <v>0</v>
      </c>
      <c r="G738" s="142" t="b">
        <v>0</v>
      </c>
      <c r="H738" s="142" t="b">
        <v>0</v>
      </c>
      <c r="I738" s="142" t="b">
        <v>0</v>
      </c>
      <c r="J738" s="142" t="b">
        <v>0</v>
      </c>
      <c r="K738" s="142" t="b">
        <v>0</v>
      </c>
      <c r="L738" s="8" t="b">
        <v>0</v>
      </c>
    </row>
    <row r="739">
      <c r="B739" s="103"/>
      <c r="C739" s="121" t="str">
        <f t="array" ref="C739">ifs(and(isblank($A739),isblank($B739)),"", not(iserror(vlookup($A739&amp;$B739,'5) Release_Track'!$F:$F&amp;'5) Release_Track'!$G:$G,1,0))),vlookup($A739&amp;$B739,{'5) Release_Track'!$F:$F&amp;'5) Release_Track'!$G:$G,'5) Release_Track'!$H:$H},2,0), or(and(not(isblank($B739)),$B739=$B738,$A739&lt;&gt;$A738),and(not(isblank($A739)),$A739=$A738,$B739&lt;&gt;$B738)),"ID LISTS UNALIGNED",and($A739&lt;&gt;"",countif('5) Release_Track'!$F:$F,$A739)=0),"NO ISRC MATCH in Release_Track",and($B739&lt;&gt;"",countif('5) Release_Track'!$G:$G,$B739)=0),"NO CATALOG ID MATCH in Release_Track",iserror(vlookup($A739&amp;$B739,'5) Release_Track'!$F:$F&amp;'5) Release_Track'!$G:$G,1,0)),"NO ISRC-CATALOG ID pair MATCH in Release_Track" )</f>
        <v/>
      </c>
      <c r="D739" s="121" t="str">
        <f t="array" ref="D739">ifs(and(isblank($A739),isblank($B739)),"", not(iserror(vlookup($A739&amp;$B739,'5) Release_Track'!$F:$F&amp;'5) Release_Track'!$G:$G,1,0))),vlookup($A739&amp;$B739,{'5) Release_Track'!$F:$F&amp;'5) Release_Track'!$G:$G,'5) Release_Track'!$I:$I},2,0), or(and(not(isblank($B739)),$B739=$B738,$A739&lt;&gt;$A738),and(not(isblank($A739)),$A739=$A738,$B739&lt;&gt;$B738)),"ID LISTS UNALIGNED",and($A739&lt;&gt;"",countif('5) Release_Track'!$F:$F,$A739)=0),"NO ISRC MATCH in Release_Track",and($B739&lt;&gt;"",countif('5) Release_Track'!$G:$G,$B739)=0),"NO CATALOG ID MATCH in Release_Track",iserror(vlookup($A739&amp;$B739,'5) Release_Track'!$F:$F&amp;'5) Release_Track'!$G:$G,1,0)),"NO ISRC-CATALOG ID pair MATCH in Release_Track" )</f>
        <v/>
      </c>
      <c r="E739" s="142" t="b">
        <v>0</v>
      </c>
      <c r="F739" s="142" t="b">
        <v>0</v>
      </c>
      <c r="G739" s="142" t="b">
        <v>0</v>
      </c>
      <c r="H739" s="142" t="b">
        <v>0</v>
      </c>
      <c r="I739" s="142" t="b">
        <v>0</v>
      </c>
      <c r="J739" s="142" t="b">
        <v>0</v>
      </c>
      <c r="K739" s="142" t="b">
        <v>0</v>
      </c>
      <c r="L739" s="8" t="b">
        <v>0</v>
      </c>
    </row>
    <row r="740">
      <c r="B740" s="103"/>
      <c r="C740" s="121" t="str">
        <f t="array" ref="C740">ifs(and(isblank($A740),isblank($B740)),"", not(iserror(vlookup($A740&amp;$B740,'5) Release_Track'!$F:$F&amp;'5) Release_Track'!$G:$G,1,0))),vlookup($A740&amp;$B740,{'5) Release_Track'!$F:$F&amp;'5) Release_Track'!$G:$G,'5) Release_Track'!$H:$H},2,0), or(and(not(isblank($B740)),$B740=$B739,$A740&lt;&gt;$A739),and(not(isblank($A740)),$A740=$A739,$B740&lt;&gt;$B739)),"ID LISTS UNALIGNED",and($A740&lt;&gt;"",countif('5) Release_Track'!$F:$F,$A740)=0),"NO ISRC MATCH in Release_Track",and($B740&lt;&gt;"",countif('5) Release_Track'!$G:$G,$B740)=0),"NO CATALOG ID MATCH in Release_Track",iserror(vlookup($A740&amp;$B740,'5) Release_Track'!$F:$F&amp;'5) Release_Track'!$G:$G,1,0)),"NO ISRC-CATALOG ID pair MATCH in Release_Track" )</f>
        <v/>
      </c>
      <c r="D740" s="121" t="str">
        <f t="array" ref="D740">ifs(and(isblank($A740),isblank($B740)),"", not(iserror(vlookup($A740&amp;$B740,'5) Release_Track'!$F:$F&amp;'5) Release_Track'!$G:$G,1,0))),vlookup($A740&amp;$B740,{'5) Release_Track'!$F:$F&amp;'5) Release_Track'!$G:$G,'5) Release_Track'!$I:$I},2,0), or(and(not(isblank($B740)),$B740=$B739,$A740&lt;&gt;$A739),and(not(isblank($A740)),$A740=$A739,$B740&lt;&gt;$B739)),"ID LISTS UNALIGNED",and($A740&lt;&gt;"",countif('5) Release_Track'!$F:$F,$A740)=0),"NO ISRC MATCH in Release_Track",and($B740&lt;&gt;"",countif('5) Release_Track'!$G:$G,$B740)=0),"NO CATALOG ID MATCH in Release_Track",iserror(vlookup($A740&amp;$B740,'5) Release_Track'!$F:$F&amp;'5) Release_Track'!$G:$G,1,0)),"NO ISRC-CATALOG ID pair MATCH in Release_Track" )</f>
        <v/>
      </c>
      <c r="E740" s="142" t="b">
        <v>0</v>
      </c>
      <c r="F740" s="142" t="b">
        <v>0</v>
      </c>
      <c r="G740" s="142" t="b">
        <v>0</v>
      </c>
      <c r="H740" s="142" t="b">
        <v>0</v>
      </c>
      <c r="I740" s="142" t="b">
        <v>0</v>
      </c>
      <c r="J740" s="142" t="b">
        <v>0</v>
      </c>
      <c r="K740" s="142" t="b">
        <v>0</v>
      </c>
      <c r="L740" s="8" t="b">
        <v>0</v>
      </c>
    </row>
    <row r="741">
      <c r="B741" s="103"/>
      <c r="C741" s="121" t="str">
        <f t="array" ref="C741">ifs(and(isblank($A741),isblank($B741)),"", not(iserror(vlookup($A741&amp;$B741,'5) Release_Track'!$F:$F&amp;'5) Release_Track'!$G:$G,1,0))),vlookup($A741&amp;$B741,{'5) Release_Track'!$F:$F&amp;'5) Release_Track'!$G:$G,'5) Release_Track'!$H:$H},2,0), or(and(not(isblank($B741)),$B741=$B740,$A741&lt;&gt;$A740),and(not(isblank($A741)),$A741=$A740,$B741&lt;&gt;$B740)),"ID LISTS UNALIGNED",and($A741&lt;&gt;"",countif('5) Release_Track'!$F:$F,$A741)=0),"NO ISRC MATCH in Release_Track",and($B741&lt;&gt;"",countif('5) Release_Track'!$G:$G,$B741)=0),"NO CATALOG ID MATCH in Release_Track",iserror(vlookup($A741&amp;$B741,'5) Release_Track'!$F:$F&amp;'5) Release_Track'!$G:$G,1,0)),"NO ISRC-CATALOG ID pair MATCH in Release_Track" )</f>
        <v/>
      </c>
      <c r="D741" s="121" t="str">
        <f t="array" ref="D741">ifs(and(isblank($A741),isblank($B741)),"", not(iserror(vlookup($A741&amp;$B741,'5) Release_Track'!$F:$F&amp;'5) Release_Track'!$G:$G,1,0))),vlookup($A741&amp;$B741,{'5) Release_Track'!$F:$F&amp;'5) Release_Track'!$G:$G,'5) Release_Track'!$I:$I},2,0), or(and(not(isblank($B741)),$B741=$B740,$A741&lt;&gt;$A740),and(not(isblank($A741)),$A741=$A740,$B741&lt;&gt;$B740)),"ID LISTS UNALIGNED",and($A741&lt;&gt;"",countif('5) Release_Track'!$F:$F,$A741)=0),"NO ISRC MATCH in Release_Track",and($B741&lt;&gt;"",countif('5) Release_Track'!$G:$G,$B741)=0),"NO CATALOG ID MATCH in Release_Track",iserror(vlookup($A741&amp;$B741,'5) Release_Track'!$F:$F&amp;'5) Release_Track'!$G:$G,1,0)),"NO ISRC-CATALOG ID pair MATCH in Release_Track" )</f>
        <v/>
      </c>
      <c r="E741" s="142" t="b">
        <v>0</v>
      </c>
      <c r="F741" s="142" t="b">
        <v>0</v>
      </c>
      <c r="G741" s="142" t="b">
        <v>0</v>
      </c>
      <c r="H741" s="142" t="b">
        <v>0</v>
      </c>
      <c r="I741" s="142" t="b">
        <v>0</v>
      </c>
      <c r="J741" s="142" t="b">
        <v>0</v>
      </c>
      <c r="K741" s="142" t="b">
        <v>0</v>
      </c>
      <c r="L741" s="8" t="b">
        <v>0</v>
      </c>
    </row>
    <row r="742">
      <c r="B742" s="103"/>
      <c r="C742" s="121" t="str">
        <f t="array" ref="C742">ifs(and(isblank($A742),isblank($B742)),"", not(iserror(vlookup($A742&amp;$B742,'5) Release_Track'!$F:$F&amp;'5) Release_Track'!$G:$G,1,0))),vlookup($A742&amp;$B742,{'5) Release_Track'!$F:$F&amp;'5) Release_Track'!$G:$G,'5) Release_Track'!$H:$H},2,0), or(and(not(isblank($B742)),$B742=$B741,$A742&lt;&gt;$A741),and(not(isblank($A742)),$A742=$A741,$B742&lt;&gt;$B741)),"ID LISTS UNALIGNED",and($A742&lt;&gt;"",countif('5) Release_Track'!$F:$F,$A742)=0),"NO ISRC MATCH in Release_Track",and($B742&lt;&gt;"",countif('5) Release_Track'!$G:$G,$B742)=0),"NO CATALOG ID MATCH in Release_Track",iserror(vlookup($A742&amp;$B742,'5) Release_Track'!$F:$F&amp;'5) Release_Track'!$G:$G,1,0)),"NO ISRC-CATALOG ID pair MATCH in Release_Track" )</f>
        <v/>
      </c>
      <c r="D742" s="121" t="str">
        <f t="array" ref="D742">ifs(and(isblank($A742),isblank($B742)),"", not(iserror(vlookup($A742&amp;$B742,'5) Release_Track'!$F:$F&amp;'5) Release_Track'!$G:$G,1,0))),vlookup($A742&amp;$B742,{'5) Release_Track'!$F:$F&amp;'5) Release_Track'!$G:$G,'5) Release_Track'!$I:$I},2,0), or(and(not(isblank($B742)),$B742=$B741,$A742&lt;&gt;$A741),and(not(isblank($A742)),$A742=$A741,$B742&lt;&gt;$B741)),"ID LISTS UNALIGNED",and($A742&lt;&gt;"",countif('5) Release_Track'!$F:$F,$A742)=0),"NO ISRC MATCH in Release_Track",and($B742&lt;&gt;"",countif('5) Release_Track'!$G:$G,$B742)=0),"NO CATALOG ID MATCH in Release_Track",iserror(vlookup($A742&amp;$B742,'5) Release_Track'!$F:$F&amp;'5) Release_Track'!$G:$G,1,0)),"NO ISRC-CATALOG ID pair MATCH in Release_Track" )</f>
        <v/>
      </c>
      <c r="E742" s="142" t="b">
        <v>0</v>
      </c>
      <c r="F742" s="142" t="b">
        <v>0</v>
      </c>
      <c r="G742" s="142" t="b">
        <v>0</v>
      </c>
      <c r="H742" s="142" t="b">
        <v>0</v>
      </c>
      <c r="I742" s="142" t="b">
        <v>0</v>
      </c>
      <c r="J742" s="142" t="b">
        <v>0</v>
      </c>
      <c r="K742" s="142" t="b">
        <v>0</v>
      </c>
      <c r="L742" s="8" t="b">
        <v>0</v>
      </c>
    </row>
    <row r="743">
      <c r="B743" s="103"/>
      <c r="C743" s="121" t="str">
        <f t="array" ref="C743">ifs(and(isblank($A743),isblank($B743)),"", not(iserror(vlookup($A743&amp;$B743,'5) Release_Track'!$F:$F&amp;'5) Release_Track'!$G:$G,1,0))),vlookup($A743&amp;$B743,{'5) Release_Track'!$F:$F&amp;'5) Release_Track'!$G:$G,'5) Release_Track'!$H:$H},2,0), or(and(not(isblank($B743)),$B743=$B742,$A743&lt;&gt;$A742),and(not(isblank($A743)),$A743=$A742,$B743&lt;&gt;$B742)),"ID LISTS UNALIGNED",and($A743&lt;&gt;"",countif('5) Release_Track'!$F:$F,$A743)=0),"NO ISRC MATCH in Release_Track",and($B743&lt;&gt;"",countif('5) Release_Track'!$G:$G,$B743)=0),"NO CATALOG ID MATCH in Release_Track",iserror(vlookup($A743&amp;$B743,'5) Release_Track'!$F:$F&amp;'5) Release_Track'!$G:$G,1,0)),"NO ISRC-CATALOG ID pair MATCH in Release_Track" )</f>
        <v/>
      </c>
      <c r="D743" s="121" t="str">
        <f t="array" ref="D743">ifs(and(isblank($A743),isblank($B743)),"", not(iserror(vlookup($A743&amp;$B743,'5) Release_Track'!$F:$F&amp;'5) Release_Track'!$G:$G,1,0))),vlookup($A743&amp;$B743,{'5) Release_Track'!$F:$F&amp;'5) Release_Track'!$G:$G,'5) Release_Track'!$I:$I},2,0), or(and(not(isblank($B743)),$B743=$B742,$A743&lt;&gt;$A742),and(not(isblank($A743)),$A743=$A742,$B743&lt;&gt;$B742)),"ID LISTS UNALIGNED",and($A743&lt;&gt;"",countif('5) Release_Track'!$F:$F,$A743)=0),"NO ISRC MATCH in Release_Track",and($B743&lt;&gt;"",countif('5) Release_Track'!$G:$G,$B743)=0),"NO CATALOG ID MATCH in Release_Track",iserror(vlookup($A743&amp;$B743,'5) Release_Track'!$F:$F&amp;'5) Release_Track'!$G:$G,1,0)),"NO ISRC-CATALOG ID pair MATCH in Release_Track" )</f>
        <v/>
      </c>
      <c r="E743" s="142" t="b">
        <v>0</v>
      </c>
      <c r="F743" s="142" t="b">
        <v>0</v>
      </c>
      <c r="G743" s="142" t="b">
        <v>0</v>
      </c>
      <c r="H743" s="142" t="b">
        <v>0</v>
      </c>
      <c r="I743" s="142" t="b">
        <v>0</v>
      </c>
      <c r="J743" s="142" t="b">
        <v>0</v>
      </c>
      <c r="K743" s="142" t="b">
        <v>0</v>
      </c>
      <c r="L743" s="8" t="b">
        <v>0</v>
      </c>
    </row>
    <row r="744">
      <c r="B744" s="103"/>
      <c r="C744" s="121" t="str">
        <f t="array" ref="C744">ifs(and(isblank($A744),isblank($B744)),"", not(iserror(vlookup($A744&amp;$B744,'5) Release_Track'!$F:$F&amp;'5) Release_Track'!$G:$G,1,0))),vlookup($A744&amp;$B744,{'5) Release_Track'!$F:$F&amp;'5) Release_Track'!$G:$G,'5) Release_Track'!$H:$H},2,0), or(and(not(isblank($B744)),$B744=$B743,$A744&lt;&gt;$A743),and(not(isblank($A744)),$A744=$A743,$B744&lt;&gt;$B743)),"ID LISTS UNALIGNED",and($A744&lt;&gt;"",countif('5) Release_Track'!$F:$F,$A744)=0),"NO ISRC MATCH in Release_Track",and($B744&lt;&gt;"",countif('5) Release_Track'!$G:$G,$B744)=0),"NO CATALOG ID MATCH in Release_Track",iserror(vlookup($A744&amp;$B744,'5) Release_Track'!$F:$F&amp;'5) Release_Track'!$G:$G,1,0)),"NO ISRC-CATALOG ID pair MATCH in Release_Track" )</f>
        <v/>
      </c>
      <c r="D744" s="121" t="str">
        <f t="array" ref="D744">ifs(and(isblank($A744),isblank($B744)),"", not(iserror(vlookup($A744&amp;$B744,'5) Release_Track'!$F:$F&amp;'5) Release_Track'!$G:$G,1,0))),vlookup($A744&amp;$B744,{'5) Release_Track'!$F:$F&amp;'5) Release_Track'!$G:$G,'5) Release_Track'!$I:$I},2,0), or(and(not(isblank($B744)),$B744=$B743,$A744&lt;&gt;$A743),and(not(isblank($A744)),$A744=$A743,$B744&lt;&gt;$B743)),"ID LISTS UNALIGNED",and($A744&lt;&gt;"",countif('5) Release_Track'!$F:$F,$A744)=0),"NO ISRC MATCH in Release_Track",and($B744&lt;&gt;"",countif('5) Release_Track'!$G:$G,$B744)=0),"NO CATALOG ID MATCH in Release_Track",iserror(vlookup($A744&amp;$B744,'5) Release_Track'!$F:$F&amp;'5) Release_Track'!$G:$G,1,0)),"NO ISRC-CATALOG ID pair MATCH in Release_Track" )</f>
        <v/>
      </c>
      <c r="E744" s="142" t="b">
        <v>0</v>
      </c>
      <c r="F744" s="142" t="b">
        <v>0</v>
      </c>
      <c r="G744" s="142" t="b">
        <v>0</v>
      </c>
      <c r="H744" s="142" t="b">
        <v>0</v>
      </c>
      <c r="I744" s="142" t="b">
        <v>0</v>
      </c>
      <c r="J744" s="142" t="b">
        <v>0</v>
      </c>
      <c r="K744" s="142" t="b">
        <v>0</v>
      </c>
      <c r="L744" s="8" t="b">
        <v>0</v>
      </c>
    </row>
    <row r="745">
      <c r="B745" s="103"/>
      <c r="C745" s="121" t="str">
        <f t="array" ref="C745">ifs(and(isblank($A745),isblank($B745)),"", not(iserror(vlookup($A745&amp;$B745,'5) Release_Track'!$F:$F&amp;'5) Release_Track'!$G:$G,1,0))),vlookup($A745&amp;$B745,{'5) Release_Track'!$F:$F&amp;'5) Release_Track'!$G:$G,'5) Release_Track'!$H:$H},2,0), or(and(not(isblank($B745)),$B745=$B744,$A745&lt;&gt;$A744),and(not(isblank($A745)),$A745=$A744,$B745&lt;&gt;$B744)),"ID LISTS UNALIGNED",and($A745&lt;&gt;"",countif('5) Release_Track'!$F:$F,$A745)=0),"NO ISRC MATCH in Release_Track",and($B745&lt;&gt;"",countif('5) Release_Track'!$G:$G,$B745)=0),"NO CATALOG ID MATCH in Release_Track",iserror(vlookup($A745&amp;$B745,'5) Release_Track'!$F:$F&amp;'5) Release_Track'!$G:$G,1,0)),"NO ISRC-CATALOG ID pair MATCH in Release_Track" )</f>
        <v/>
      </c>
      <c r="D745" s="121" t="str">
        <f t="array" ref="D745">ifs(and(isblank($A745),isblank($B745)),"", not(iserror(vlookup($A745&amp;$B745,'5) Release_Track'!$F:$F&amp;'5) Release_Track'!$G:$G,1,0))),vlookup($A745&amp;$B745,{'5) Release_Track'!$F:$F&amp;'5) Release_Track'!$G:$G,'5) Release_Track'!$I:$I},2,0), or(and(not(isblank($B745)),$B745=$B744,$A745&lt;&gt;$A744),and(not(isblank($A745)),$A745=$A744,$B745&lt;&gt;$B744)),"ID LISTS UNALIGNED",and($A745&lt;&gt;"",countif('5) Release_Track'!$F:$F,$A745)=0),"NO ISRC MATCH in Release_Track",and($B745&lt;&gt;"",countif('5) Release_Track'!$G:$G,$B745)=0),"NO CATALOG ID MATCH in Release_Track",iserror(vlookup($A745&amp;$B745,'5) Release_Track'!$F:$F&amp;'5) Release_Track'!$G:$G,1,0)),"NO ISRC-CATALOG ID pair MATCH in Release_Track" )</f>
        <v/>
      </c>
      <c r="E745" s="142" t="b">
        <v>0</v>
      </c>
      <c r="F745" s="142" t="b">
        <v>0</v>
      </c>
      <c r="G745" s="142" t="b">
        <v>0</v>
      </c>
      <c r="H745" s="142" t="b">
        <v>0</v>
      </c>
      <c r="I745" s="142" t="b">
        <v>0</v>
      </c>
      <c r="J745" s="142" t="b">
        <v>0</v>
      </c>
      <c r="K745" s="142" t="b">
        <v>0</v>
      </c>
      <c r="L745" s="8" t="b">
        <v>0</v>
      </c>
    </row>
    <row r="746">
      <c r="B746" s="103"/>
      <c r="C746" s="121" t="str">
        <f t="array" ref="C746">ifs(and(isblank($A746),isblank($B746)),"", not(iserror(vlookup($A746&amp;$B746,'5) Release_Track'!$F:$F&amp;'5) Release_Track'!$G:$G,1,0))),vlookup($A746&amp;$B746,{'5) Release_Track'!$F:$F&amp;'5) Release_Track'!$G:$G,'5) Release_Track'!$H:$H},2,0), or(and(not(isblank($B746)),$B746=$B745,$A746&lt;&gt;$A745),and(not(isblank($A746)),$A746=$A745,$B746&lt;&gt;$B745)),"ID LISTS UNALIGNED",and($A746&lt;&gt;"",countif('5) Release_Track'!$F:$F,$A746)=0),"NO ISRC MATCH in Release_Track",and($B746&lt;&gt;"",countif('5) Release_Track'!$G:$G,$B746)=0),"NO CATALOG ID MATCH in Release_Track",iserror(vlookup($A746&amp;$B746,'5) Release_Track'!$F:$F&amp;'5) Release_Track'!$G:$G,1,0)),"NO ISRC-CATALOG ID pair MATCH in Release_Track" )</f>
        <v/>
      </c>
      <c r="D746" s="121" t="str">
        <f t="array" ref="D746">ifs(and(isblank($A746),isblank($B746)),"", not(iserror(vlookup($A746&amp;$B746,'5) Release_Track'!$F:$F&amp;'5) Release_Track'!$G:$G,1,0))),vlookup($A746&amp;$B746,{'5) Release_Track'!$F:$F&amp;'5) Release_Track'!$G:$G,'5) Release_Track'!$I:$I},2,0), or(and(not(isblank($B746)),$B746=$B745,$A746&lt;&gt;$A745),and(not(isblank($A746)),$A746=$A745,$B746&lt;&gt;$B745)),"ID LISTS UNALIGNED",and($A746&lt;&gt;"",countif('5) Release_Track'!$F:$F,$A746)=0),"NO ISRC MATCH in Release_Track",and($B746&lt;&gt;"",countif('5) Release_Track'!$G:$G,$B746)=0),"NO CATALOG ID MATCH in Release_Track",iserror(vlookup($A746&amp;$B746,'5) Release_Track'!$F:$F&amp;'5) Release_Track'!$G:$G,1,0)),"NO ISRC-CATALOG ID pair MATCH in Release_Track" )</f>
        <v/>
      </c>
      <c r="E746" s="142" t="b">
        <v>0</v>
      </c>
      <c r="F746" s="142" t="b">
        <v>0</v>
      </c>
      <c r="G746" s="142" t="b">
        <v>0</v>
      </c>
      <c r="H746" s="142" t="b">
        <v>0</v>
      </c>
      <c r="I746" s="142" t="b">
        <v>0</v>
      </c>
      <c r="J746" s="142" t="b">
        <v>0</v>
      </c>
      <c r="K746" s="142" t="b">
        <v>0</v>
      </c>
      <c r="L746" s="8" t="b">
        <v>0</v>
      </c>
    </row>
    <row r="747">
      <c r="B747" s="103"/>
      <c r="C747" s="121" t="str">
        <f t="array" ref="C747">ifs(and(isblank($A747),isblank($B747)),"", not(iserror(vlookup($A747&amp;$B747,'5) Release_Track'!$F:$F&amp;'5) Release_Track'!$G:$G,1,0))),vlookup($A747&amp;$B747,{'5) Release_Track'!$F:$F&amp;'5) Release_Track'!$G:$G,'5) Release_Track'!$H:$H},2,0), or(and(not(isblank($B747)),$B747=$B746,$A747&lt;&gt;$A746),and(not(isblank($A747)),$A747=$A746,$B747&lt;&gt;$B746)),"ID LISTS UNALIGNED",and($A747&lt;&gt;"",countif('5) Release_Track'!$F:$F,$A747)=0),"NO ISRC MATCH in Release_Track",and($B747&lt;&gt;"",countif('5) Release_Track'!$G:$G,$B747)=0),"NO CATALOG ID MATCH in Release_Track",iserror(vlookup($A747&amp;$B747,'5) Release_Track'!$F:$F&amp;'5) Release_Track'!$G:$G,1,0)),"NO ISRC-CATALOG ID pair MATCH in Release_Track" )</f>
        <v/>
      </c>
      <c r="D747" s="121" t="str">
        <f t="array" ref="D747">ifs(and(isblank($A747),isblank($B747)),"", not(iserror(vlookup($A747&amp;$B747,'5) Release_Track'!$F:$F&amp;'5) Release_Track'!$G:$G,1,0))),vlookup($A747&amp;$B747,{'5) Release_Track'!$F:$F&amp;'5) Release_Track'!$G:$G,'5) Release_Track'!$I:$I},2,0), or(and(not(isblank($B747)),$B747=$B746,$A747&lt;&gt;$A746),and(not(isblank($A747)),$A747=$A746,$B747&lt;&gt;$B746)),"ID LISTS UNALIGNED",and($A747&lt;&gt;"",countif('5) Release_Track'!$F:$F,$A747)=0),"NO ISRC MATCH in Release_Track",and($B747&lt;&gt;"",countif('5) Release_Track'!$G:$G,$B747)=0),"NO CATALOG ID MATCH in Release_Track",iserror(vlookup($A747&amp;$B747,'5) Release_Track'!$F:$F&amp;'5) Release_Track'!$G:$G,1,0)),"NO ISRC-CATALOG ID pair MATCH in Release_Track" )</f>
        <v/>
      </c>
      <c r="E747" s="142" t="b">
        <v>0</v>
      </c>
      <c r="F747" s="142" t="b">
        <v>0</v>
      </c>
      <c r="G747" s="142" t="b">
        <v>0</v>
      </c>
      <c r="H747" s="142" t="b">
        <v>0</v>
      </c>
      <c r="I747" s="142" t="b">
        <v>0</v>
      </c>
      <c r="J747" s="142" t="b">
        <v>0</v>
      </c>
      <c r="K747" s="142" t="b">
        <v>0</v>
      </c>
      <c r="L747" s="8" t="b">
        <v>0</v>
      </c>
    </row>
    <row r="748">
      <c r="B748" s="103"/>
      <c r="C748" s="121" t="str">
        <f t="array" ref="C748">ifs(and(isblank($A748),isblank($B748)),"", not(iserror(vlookup($A748&amp;$B748,'5) Release_Track'!$F:$F&amp;'5) Release_Track'!$G:$G,1,0))),vlookup($A748&amp;$B748,{'5) Release_Track'!$F:$F&amp;'5) Release_Track'!$G:$G,'5) Release_Track'!$H:$H},2,0), or(and(not(isblank($B748)),$B748=$B747,$A748&lt;&gt;$A747),and(not(isblank($A748)),$A748=$A747,$B748&lt;&gt;$B747)),"ID LISTS UNALIGNED",and($A748&lt;&gt;"",countif('5) Release_Track'!$F:$F,$A748)=0),"NO ISRC MATCH in Release_Track",and($B748&lt;&gt;"",countif('5) Release_Track'!$G:$G,$B748)=0),"NO CATALOG ID MATCH in Release_Track",iserror(vlookup($A748&amp;$B748,'5) Release_Track'!$F:$F&amp;'5) Release_Track'!$G:$G,1,0)),"NO ISRC-CATALOG ID pair MATCH in Release_Track" )</f>
        <v/>
      </c>
      <c r="D748" s="121" t="str">
        <f t="array" ref="D748">ifs(and(isblank($A748),isblank($B748)),"", not(iserror(vlookup($A748&amp;$B748,'5) Release_Track'!$F:$F&amp;'5) Release_Track'!$G:$G,1,0))),vlookup($A748&amp;$B748,{'5) Release_Track'!$F:$F&amp;'5) Release_Track'!$G:$G,'5) Release_Track'!$I:$I},2,0), or(and(not(isblank($B748)),$B748=$B747,$A748&lt;&gt;$A747),and(not(isblank($A748)),$A748=$A747,$B748&lt;&gt;$B747)),"ID LISTS UNALIGNED",and($A748&lt;&gt;"",countif('5) Release_Track'!$F:$F,$A748)=0),"NO ISRC MATCH in Release_Track",and($B748&lt;&gt;"",countif('5) Release_Track'!$G:$G,$B748)=0),"NO CATALOG ID MATCH in Release_Track",iserror(vlookup($A748&amp;$B748,'5) Release_Track'!$F:$F&amp;'5) Release_Track'!$G:$G,1,0)),"NO ISRC-CATALOG ID pair MATCH in Release_Track" )</f>
        <v/>
      </c>
      <c r="E748" s="142" t="b">
        <v>0</v>
      </c>
      <c r="F748" s="142" t="b">
        <v>0</v>
      </c>
      <c r="G748" s="142" t="b">
        <v>0</v>
      </c>
      <c r="H748" s="142" t="b">
        <v>0</v>
      </c>
      <c r="I748" s="142" t="b">
        <v>0</v>
      </c>
      <c r="J748" s="142" t="b">
        <v>0</v>
      </c>
      <c r="K748" s="142" t="b">
        <v>0</v>
      </c>
      <c r="L748" s="8" t="b">
        <v>0</v>
      </c>
    </row>
    <row r="749">
      <c r="B749" s="103"/>
      <c r="C749" s="121" t="str">
        <f t="array" ref="C749">ifs(and(isblank($A749),isblank($B749)),"", not(iserror(vlookup($A749&amp;$B749,'5) Release_Track'!$F:$F&amp;'5) Release_Track'!$G:$G,1,0))),vlookup($A749&amp;$B749,{'5) Release_Track'!$F:$F&amp;'5) Release_Track'!$G:$G,'5) Release_Track'!$H:$H},2,0), or(and(not(isblank($B749)),$B749=$B748,$A749&lt;&gt;$A748),and(not(isblank($A749)),$A749=$A748,$B749&lt;&gt;$B748)),"ID LISTS UNALIGNED",and($A749&lt;&gt;"",countif('5) Release_Track'!$F:$F,$A749)=0),"NO ISRC MATCH in Release_Track",and($B749&lt;&gt;"",countif('5) Release_Track'!$G:$G,$B749)=0),"NO CATALOG ID MATCH in Release_Track",iserror(vlookup($A749&amp;$B749,'5) Release_Track'!$F:$F&amp;'5) Release_Track'!$G:$G,1,0)),"NO ISRC-CATALOG ID pair MATCH in Release_Track" )</f>
        <v/>
      </c>
      <c r="D749" s="121" t="str">
        <f t="array" ref="D749">ifs(and(isblank($A749),isblank($B749)),"", not(iserror(vlookup($A749&amp;$B749,'5) Release_Track'!$F:$F&amp;'5) Release_Track'!$G:$G,1,0))),vlookup($A749&amp;$B749,{'5) Release_Track'!$F:$F&amp;'5) Release_Track'!$G:$G,'5) Release_Track'!$I:$I},2,0), or(and(not(isblank($B749)),$B749=$B748,$A749&lt;&gt;$A748),and(not(isblank($A749)),$A749=$A748,$B749&lt;&gt;$B748)),"ID LISTS UNALIGNED",and($A749&lt;&gt;"",countif('5) Release_Track'!$F:$F,$A749)=0),"NO ISRC MATCH in Release_Track",and($B749&lt;&gt;"",countif('5) Release_Track'!$G:$G,$B749)=0),"NO CATALOG ID MATCH in Release_Track",iserror(vlookup($A749&amp;$B749,'5) Release_Track'!$F:$F&amp;'5) Release_Track'!$G:$G,1,0)),"NO ISRC-CATALOG ID pair MATCH in Release_Track" )</f>
        <v/>
      </c>
      <c r="E749" s="142" t="b">
        <v>0</v>
      </c>
      <c r="F749" s="142" t="b">
        <v>0</v>
      </c>
      <c r="G749" s="142" t="b">
        <v>0</v>
      </c>
      <c r="H749" s="142" t="b">
        <v>0</v>
      </c>
      <c r="I749" s="142" t="b">
        <v>0</v>
      </c>
      <c r="J749" s="142" t="b">
        <v>0</v>
      </c>
      <c r="K749" s="142" t="b">
        <v>0</v>
      </c>
      <c r="L749" s="8" t="b">
        <v>0</v>
      </c>
    </row>
    <row r="750">
      <c r="B750" s="103"/>
      <c r="C750" s="121" t="str">
        <f t="array" ref="C750">ifs(and(isblank($A750),isblank($B750)),"", not(iserror(vlookup($A750&amp;$B750,'5) Release_Track'!$F:$F&amp;'5) Release_Track'!$G:$G,1,0))),vlookup($A750&amp;$B750,{'5) Release_Track'!$F:$F&amp;'5) Release_Track'!$G:$G,'5) Release_Track'!$H:$H},2,0), or(and(not(isblank($B750)),$B750=$B749,$A750&lt;&gt;$A749),and(not(isblank($A750)),$A750=$A749,$B750&lt;&gt;$B749)),"ID LISTS UNALIGNED",and($A750&lt;&gt;"",countif('5) Release_Track'!$F:$F,$A750)=0),"NO ISRC MATCH in Release_Track",and($B750&lt;&gt;"",countif('5) Release_Track'!$G:$G,$B750)=0),"NO CATALOG ID MATCH in Release_Track",iserror(vlookup($A750&amp;$B750,'5) Release_Track'!$F:$F&amp;'5) Release_Track'!$G:$G,1,0)),"NO ISRC-CATALOG ID pair MATCH in Release_Track" )</f>
        <v/>
      </c>
      <c r="D750" s="121" t="str">
        <f t="array" ref="D750">ifs(and(isblank($A750),isblank($B750)),"", not(iserror(vlookup($A750&amp;$B750,'5) Release_Track'!$F:$F&amp;'5) Release_Track'!$G:$G,1,0))),vlookup($A750&amp;$B750,{'5) Release_Track'!$F:$F&amp;'5) Release_Track'!$G:$G,'5) Release_Track'!$I:$I},2,0), or(and(not(isblank($B750)),$B750=$B749,$A750&lt;&gt;$A749),and(not(isblank($A750)),$A750=$A749,$B750&lt;&gt;$B749)),"ID LISTS UNALIGNED",and($A750&lt;&gt;"",countif('5) Release_Track'!$F:$F,$A750)=0),"NO ISRC MATCH in Release_Track",and($B750&lt;&gt;"",countif('5) Release_Track'!$G:$G,$B750)=0),"NO CATALOG ID MATCH in Release_Track",iserror(vlookup($A750&amp;$B750,'5) Release_Track'!$F:$F&amp;'5) Release_Track'!$G:$G,1,0)),"NO ISRC-CATALOG ID pair MATCH in Release_Track" )</f>
        <v/>
      </c>
      <c r="E750" s="142" t="b">
        <v>0</v>
      </c>
      <c r="F750" s="142" t="b">
        <v>0</v>
      </c>
      <c r="G750" s="142" t="b">
        <v>0</v>
      </c>
      <c r="H750" s="142" t="b">
        <v>0</v>
      </c>
      <c r="I750" s="142" t="b">
        <v>0</v>
      </c>
      <c r="J750" s="142" t="b">
        <v>0</v>
      </c>
      <c r="K750" s="142" t="b">
        <v>0</v>
      </c>
      <c r="L750" s="8" t="b">
        <v>0</v>
      </c>
    </row>
    <row r="751">
      <c r="B751" s="103"/>
      <c r="C751" s="121" t="str">
        <f t="array" ref="C751">ifs(and(isblank($A751),isblank($B751)),"", not(iserror(vlookup($A751&amp;$B751,'5) Release_Track'!$F:$F&amp;'5) Release_Track'!$G:$G,1,0))),vlookup($A751&amp;$B751,{'5) Release_Track'!$F:$F&amp;'5) Release_Track'!$G:$G,'5) Release_Track'!$H:$H},2,0), or(and(not(isblank($B751)),$B751=$B750,$A751&lt;&gt;$A750),and(not(isblank($A751)),$A751=$A750,$B751&lt;&gt;$B750)),"ID LISTS UNALIGNED",and($A751&lt;&gt;"",countif('5) Release_Track'!$F:$F,$A751)=0),"NO ISRC MATCH in Release_Track",and($B751&lt;&gt;"",countif('5) Release_Track'!$G:$G,$B751)=0),"NO CATALOG ID MATCH in Release_Track",iserror(vlookup($A751&amp;$B751,'5) Release_Track'!$F:$F&amp;'5) Release_Track'!$G:$G,1,0)),"NO ISRC-CATALOG ID pair MATCH in Release_Track" )</f>
        <v/>
      </c>
      <c r="D751" s="121" t="str">
        <f t="array" ref="D751">ifs(and(isblank($A751),isblank($B751)),"", not(iserror(vlookup($A751&amp;$B751,'5) Release_Track'!$F:$F&amp;'5) Release_Track'!$G:$G,1,0))),vlookup($A751&amp;$B751,{'5) Release_Track'!$F:$F&amp;'5) Release_Track'!$G:$G,'5) Release_Track'!$I:$I},2,0), or(and(not(isblank($B751)),$B751=$B750,$A751&lt;&gt;$A750),and(not(isblank($A751)),$A751=$A750,$B751&lt;&gt;$B750)),"ID LISTS UNALIGNED",and($A751&lt;&gt;"",countif('5) Release_Track'!$F:$F,$A751)=0),"NO ISRC MATCH in Release_Track",and($B751&lt;&gt;"",countif('5) Release_Track'!$G:$G,$B751)=0),"NO CATALOG ID MATCH in Release_Track",iserror(vlookup($A751&amp;$B751,'5) Release_Track'!$F:$F&amp;'5) Release_Track'!$G:$G,1,0)),"NO ISRC-CATALOG ID pair MATCH in Release_Track" )</f>
        <v/>
      </c>
      <c r="E751" s="142" t="b">
        <v>0</v>
      </c>
      <c r="F751" s="142" t="b">
        <v>0</v>
      </c>
      <c r="G751" s="142" t="b">
        <v>0</v>
      </c>
      <c r="H751" s="142" t="b">
        <v>0</v>
      </c>
      <c r="I751" s="142" t="b">
        <v>0</v>
      </c>
      <c r="J751" s="142" t="b">
        <v>0</v>
      </c>
      <c r="K751" s="142" t="b">
        <v>0</v>
      </c>
      <c r="L751" s="8" t="b">
        <v>0</v>
      </c>
    </row>
    <row r="752">
      <c r="B752" s="103"/>
      <c r="C752" s="121" t="str">
        <f t="array" ref="C752">ifs(and(isblank($A752),isblank($B752)),"", not(iserror(vlookup($A752&amp;$B752,'5) Release_Track'!$F:$F&amp;'5) Release_Track'!$G:$G,1,0))),vlookup($A752&amp;$B752,{'5) Release_Track'!$F:$F&amp;'5) Release_Track'!$G:$G,'5) Release_Track'!$H:$H},2,0), or(and(not(isblank($B752)),$B752=$B751,$A752&lt;&gt;$A751),and(not(isblank($A752)),$A752=$A751,$B752&lt;&gt;$B751)),"ID LISTS UNALIGNED",and($A752&lt;&gt;"",countif('5) Release_Track'!$F:$F,$A752)=0),"NO ISRC MATCH in Release_Track",and($B752&lt;&gt;"",countif('5) Release_Track'!$G:$G,$B752)=0),"NO CATALOG ID MATCH in Release_Track",iserror(vlookup($A752&amp;$B752,'5) Release_Track'!$F:$F&amp;'5) Release_Track'!$G:$G,1,0)),"NO ISRC-CATALOG ID pair MATCH in Release_Track" )</f>
        <v/>
      </c>
      <c r="D752" s="121" t="str">
        <f t="array" ref="D752">ifs(and(isblank($A752),isblank($B752)),"", not(iserror(vlookup($A752&amp;$B752,'5) Release_Track'!$F:$F&amp;'5) Release_Track'!$G:$G,1,0))),vlookup($A752&amp;$B752,{'5) Release_Track'!$F:$F&amp;'5) Release_Track'!$G:$G,'5) Release_Track'!$I:$I},2,0), or(and(not(isblank($B752)),$B752=$B751,$A752&lt;&gt;$A751),and(not(isblank($A752)),$A752=$A751,$B752&lt;&gt;$B751)),"ID LISTS UNALIGNED",and($A752&lt;&gt;"",countif('5) Release_Track'!$F:$F,$A752)=0),"NO ISRC MATCH in Release_Track",and($B752&lt;&gt;"",countif('5) Release_Track'!$G:$G,$B752)=0),"NO CATALOG ID MATCH in Release_Track",iserror(vlookup($A752&amp;$B752,'5) Release_Track'!$F:$F&amp;'5) Release_Track'!$G:$G,1,0)),"NO ISRC-CATALOG ID pair MATCH in Release_Track" )</f>
        <v/>
      </c>
      <c r="E752" s="142" t="b">
        <v>0</v>
      </c>
      <c r="F752" s="142" t="b">
        <v>0</v>
      </c>
      <c r="G752" s="142" t="b">
        <v>0</v>
      </c>
      <c r="H752" s="142" t="b">
        <v>0</v>
      </c>
      <c r="I752" s="142" t="b">
        <v>0</v>
      </c>
      <c r="J752" s="142" t="b">
        <v>0</v>
      </c>
      <c r="K752" s="142" t="b">
        <v>0</v>
      </c>
      <c r="L752" s="8" t="b">
        <v>0</v>
      </c>
    </row>
    <row r="753">
      <c r="B753" s="103"/>
      <c r="C753" s="121" t="str">
        <f t="array" ref="C753">ifs(and(isblank($A753),isblank($B753)),"", not(iserror(vlookup($A753&amp;$B753,'5) Release_Track'!$F:$F&amp;'5) Release_Track'!$G:$G,1,0))),vlookup($A753&amp;$B753,{'5) Release_Track'!$F:$F&amp;'5) Release_Track'!$G:$G,'5) Release_Track'!$H:$H},2,0), or(and(not(isblank($B753)),$B753=$B752,$A753&lt;&gt;$A752),and(not(isblank($A753)),$A753=$A752,$B753&lt;&gt;$B752)),"ID LISTS UNALIGNED",and($A753&lt;&gt;"",countif('5) Release_Track'!$F:$F,$A753)=0),"NO ISRC MATCH in Release_Track",and($B753&lt;&gt;"",countif('5) Release_Track'!$G:$G,$B753)=0),"NO CATALOG ID MATCH in Release_Track",iserror(vlookup($A753&amp;$B753,'5) Release_Track'!$F:$F&amp;'5) Release_Track'!$G:$G,1,0)),"NO ISRC-CATALOG ID pair MATCH in Release_Track" )</f>
        <v/>
      </c>
      <c r="D753" s="121" t="str">
        <f t="array" ref="D753">ifs(and(isblank($A753),isblank($B753)),"", not(iserror(vlookup($A753&amp;$B753,'5) Release_Track'!$F:$F&amp;'5) Release_Track'!$G:$G,1,0))),vlookup($A753&amp;$B753,{'5) Release_Track'!$F:$F&amp;'5) Release_Track'!$G:$G,'5) Release_Track'!$I:$I},2,0), or(and(not(isblank($B753)),$B753=$B752,$A753&lt;&gt;$A752),and(not(isblank($A753)),$A753=$A752,$B753&lt;&gt;$B752)),"ID LISTS UNALIGNED",and($A753&lt;&gt;"",countif('5) Release_Track'!$F:$F,$A753)=0),"NO ISRC MATCH in Release_Track",and($B753&lt;&gt;"",countif('5) Release_Track'!$G:$G,$B753)=0),"NO CATALOG ID MATCH in Release_Track",iserror(vlookup($A753&amp;$B753,'5) Release_Track'!$F:$F&amp;'5) Release_Track'!$G:$G,1,0)),"NO ISRC-CATALOG ID pair MATCH in Release_Track" )</f>
        <v/>
      </c>
      <c r="E753" s="142" t="b">
        <v>0</v>
      </c>
      <c r="F753" s="142" t="b">
        <v>0</v>
      </c>
      <c r="G753" s="142" t="b">
        <v>0</v>
      </c>
      <c r="H753" s="142" t="b">
        <v>0</v>
      </c>
      <c r="I753" s="142" t="b">
        <v>0</v>
      </c>
      <c r="J753" s="142" t="b">
        <v>0</v>
      </c>
      <c r="K753" s="142" t="b">
        <v>0</v>
      </c>
      <c r="L753" s="8" t="b">
        <v>0</v>
      </c>
    </row>
    <row r="754">
      <c r="B754" s="103"/>
      <c r="C754" s="121" t="str">
        <f t="array" ref="C754">ifs(and(isblank($A754),isblank($B754)),"", not(iserror(vlookup($A754&amp;$B754,'5) Release_Track'!$F:$F&amp;'5) Release_Track'!$G:$G,1,0))),vlookup($A754&amp;$B754,{'5) Release_Track'!$F:$F&amp;'5) Release_Track'!$G:$G,'5) Release_Track'!$H:$H},2,0), or(and(not(isblank($B754)),$B754=$B753,$A754&lt;&gt;$A753),and(not(isblank($A754)),$A754=$A753,$B754&lt;&gt;$B753)),"ID LISTS UNALIGNED",and($A754&lt;&gt;"",countif('5) Release_Track'!$F:$F,$A754)=0),"NO ISRC MATCH in Release_Track",and($B754&lt;&gt;"",countif('5) Release_Track'!$G:$G,$B754)=0),"NO CATALOG ID MATCH in Release_Track",iserror(vlookup($A754&amp;$B754,'5) Release_Track'!$F:$F&amp;'5) Release_Track'!$G:$G,1,0)),"NO ISRC-CATALOG ID pair MATCH in Release_Track" )</f>
        <v/>
      </c>
      <c r="D754" s="121" t="str">
        <f t="array" ref="D754">ifs(and(isblank($A754),isblank($B754)),"", not(iserror(vlookup($A754&amp;$B754,'5) Release_Track'!$F:$F&amp;'5) Release_Track'!$G:$G,1,0))),vlookup($A754&amp;$B754,{'5) Release_Track'!$F:$F&amp;'5) Release_Track'!$G:$G,'5) Release_Track'!$I:$I},2,0), or(and(not(isblank($B754)),$B754=$B753,$A754&lt;&gt;$A753),and(not(isblank($A754)),$A754=$A753,$B754&lt;&gt;$B753)),"ID LISTS UNALIGNED",and($A754&lt;&gt;"",countif('5) Release_Track'!$F:$F,$A754)=0),"NO ISRC MATCH in Release_Track",and($B754&lt;&gt;"",countif('5) Release_Track'!$G:$G,$B754)=0),"NO CATALOG ID MATCH in Release_Track",iserror(vlookup($A754&amp;$B754,'5) Release_Track'!$F:$F&amp;'5) Release_Track'!$G:$G,1,0)),"NO ISRC-CATALOG ID pair MATCH in Release_Track" )</f>
        <v/>
      </c>
      <c r="E754" s="142" t="b">
        <v>0</v>
      </c>
      <c r="F754" s="142" t="b">
        <v>0</v>
      </c>
      <c r="G754" s="142" t="b">
        <v>0</v>
      </c>
      <c r="H754" s="142" t="b">
        <v>0</v>
      </c>
      <c r="I754" s="142" t="b">
        <v>0</v>
      </c>
      <c r="J754" s="142" t="b">
        <v>0</v>
      </c>
      <c r="K754" s="142" t="b">
        <v>0</v>
      </c>
      <c r="L754" s="8" t="b">
        <v>0</v>
      </c>
    </row>
    <row r="755">
      <c r="B755" s="103"/>
      <c r="C755" s="121" t="str">
        <f t="array" ref="C755">ifs(and(isblank($A755),isblank($B755)),"", not(iserror(vlookup($A755&amp;$B755,'5) Release_Track'!$F:$F&amp;'5) Release_Track'!$G:$G,1,0))),vlookup($A755&amp;$B755,{'5) Release_Track'!$F:$F&amp;'5) Release_Track'!$G:$G,'5) Release_Track'!$H:$H},2,0), or(and(not(isblank($B755)),$B755=$B754,$A755&lt;&gt;$A754),and(not(isblank($A755)),$A755=$A754,$B755&lt;&gt;$B754)),"ID LISTS UNALIGNED",and($A755&lt;&gt;"",countif('5) Release_Track'!$F:$F,$A755)=0),"NO ISRC MATCH in Release_Track",and($B755&lt;&gt;"",countif('5) Release_Track'!$G:$G,$B755)=0),"NO CATALOG ID MATCH in Release_Track",iserror(vlookup($A755&amp;$B755,'5) Release_Track'!$F:$F&amp;'5) Release_Track'!$G:$G,1,0)),"NO ISRC-CATALOG ID pair MATCH in Release_Track" )</f>
        <v/>
      </c>
      <c r="D755" s="121" t="str">
        <f t="array" ref="D755">ifs(and(isblank($A755),isblank($B755)),"", not(iserror(vlookup($A755&amp;$B755,'5) Release_Track'!$F:$F&amp;'5) Release_Track'!$G:$G,1,0))),vlookup($A755&amp;$B755,{'5) Release_Track'!$F:$F&amp;'5) Release_Track'!$G:$G,'5) Release_Track'!$I:$I},2,0), or(and(not(isblank($B755)),$B755=$B754,$A755&lt;&gt;$A754),and(not(isblank($A755)),$A755=$A754,$B755&lt;&gt;$B754)),"ID LISTS UNALIGNED",and($A755&lt;&gt;"",countif('5) Release_Track'!$F:$F,$A755)=0),"NO ISRC MATCH in Release_Track",and($B755&lt;&gt;"",countif('5) Release_Track'!$G:$G,$B755)=0),"NO CATALOG ID MATCH in Release_Track",iserror(vlookup($A755&amp;$B755,'5) Release_Track'!$F:$F&amp;'5) Release_Track'!$G:$G,1,0)),"NO ISRC-CATALOG ID pair MATCH in Release_Track" )</f>
        <v/>
      </c>
      <c r="E755" s="142" t="b">
        <v>0</v>
      </c>
      <c r="F755" s="142" t="b">
        <v>0</v>
      </c>
      <c r="G755" s="142" t="b">
        <v>0</v>
      </c>
      <c r="H755" s="142" t="b">
        <v>0</v>
      </c>
      <c r="I755" s="142" t="b">
        <v>0</v>
      </c>
      <c r="J755" s="142" t="b">
        <v>0</v>
      </c>
      <c r="K755" s="142" t="b">
        <v>0</v>
      </c>
      <c r="L755" s="8" t="b">
        <v>0</v>
      </c>
    </row>
    <row r="756">
      <c r="B756" s="103"/>
      <c r="C756" s="121" t="str">
        <f t="array" ref="C756">ifs(and(isblank($A756),isblank($B756)),"", not(iserror(vlookup($A756&amp;$B756,'5) Release_Track'!$F:$F&amp;'5) Release_Track'!$G:$G,1,0))),vlookup($A756&amp;$B756,{'5) Release_Track'!$F:$F&amp;'5) Release_Track'!$G:$G,'5) Release_Track'!$H:$H},2,0), or(and(not(isblank($B756)),$B756=$B755,$A756&lt;&gt;$A755),and(not(isblank($A756)),$A756=$A755,$B756&lt;&gt;$B755)),"ID LISTS UNALIGNED",and($A756&lt;&gt;"",countif('5) Release_Track'!$F:$F,$A756)=0),"NO ISRC MATCH in Release_Track",and($B756&lt;&gt;"",countif('5) Release_Track'!$G:$G,$B756)=0),"NO CATALOG ID MATCH in Release_Track",iserror(vlookup($A756&amp;$B756,'5) Release_Track'!$F:$F&amp;'5) Release_Track'!$G:$G,1,0)),"NO ISRC-CATALOG ID pair MATCH in Release_Track" )</f>
        <v/>
      </c>
      <c r="D756" s="121" t="str">
        <f t="array" ref="D756">ifs(and(isblank($A756),isblank($B756)),"", not(iserror(vlookup($A756&amp;$B756,'5) Release_Track'!$F:$F&amp;'5) Release_Track'!$G:$G,1,0))),vlookup($A756&amp;$B756,{'5) Release_Track'!$F:$F&amp;'5) Release_Track'!$G:$G,'5) Release_Track'!$I:$I},2,0), or(and(not(isblank($B756)),$B756=$B755,$A756&lt;&gt;$A755),and(not(isblank($A756)),$A756=$A755,$B756&lt;&gt;$B755)),"ID LISTS UNALIGNED",and($A756&lt;&gt;"",countif('5) Release_Track'!$F:$F,$A756)=0),"NO ISRC MATCH in Release_Track",and($B756&lt;&gt;"",countif('5) Release_Track'!$G:$G,$B756)=0),"NO CATALOG ID MATCH in Release_Track",iserror(vlookup($A756&amp;$B756,'5) Release_Track'!$F:$F&amp;'5) Release_Track'!$G:$G,1,0)),"NO ISRC-CATALOG ID pair MATCH in Release_Track" )</f>
        <v/>
      </c>
      <c r="E756" s="142" t="b">
        <v>0</v>
      </c>
      <c r="F756" s="142" t="b">
        <v>0</v>
      </c>
      <c r="G756" s="142" t="b">
        <v>0</v>
      </c>
      <c r="H756" s="142" t="b">
        <v>0</v>
      </c>
      <c r="I756" s="142" t="b">
        <v>0</v>
      </c>
      <c r="J756" s="142" t="b">
        <v>0</v>
      </c>
      <c r="K756" s="142" t="b">
        <v>0</v>
      </c>
      <c r="L756" s="8" t="b">
        <v>0</v>
      </c>
    </row>
    <row r="757">
      <c r="B757" s="103"/>
      <c r="C757" s="121" t="str">
        <f t="array" ref="C757">ifs(and(isblank($A757),isblank($B757)),"", not(iserror(vlookup($A757&amp;$B757,'5) Release_Track'!$F:$F&amp;'5) Release_Track'!$G:$G,1,0))),vlookup($A757&amp;$B757,{'5) Release_Track'!$F:$F&amp;'5) Release_Track'!$G:$G,'5) Release_Track'!$H:$H},2,0), or(and(not(isblank($B757)),$B757=$B756,$A757&lt;&gt;$A756),and(not(isblank($A757)),$A757=$A756,$B757&lt;&gt;$B756)),"ID LISTS UNALIGNED",and($A757&lt;&gt;"",countif('5) Release_Track'!$F:$F,$A757)=0),"NO ISRC MATCH in Release_Track",and($B757&lt;&gt;"",countif('5) Release_Track'!$G:$G,$B757)=0),"NO CATALOG ID MATCH in Release_Track",iserror(vlookup($A757&amp;$B757,'5) Release_Track'!$F:$F&amp;'5) Release_Track'!$G:$G,1,0)),"NO ISRC-CATALOG ID pair MATCH in Release_Track" )</f>
        <v/>
      </c>
      <c r="D757" s="121" t="str">
        <f t="array" ref="D757">ifs(and(isblank($A757),isblank($B757)),"", not(iserror(vlookup($A757&amp;$B757,'5) Release_Track'!$F:$F&amp;'5) Release_Track'!$G:$G,1,0))),vlookup($A757&amp;$B757,{'5) Release_Track'!$F:$F&amp;'5) Release_Track'!$G:$G,'5) Release_Track'!$I:$I},2,0), or(and(not(isblank($B757)),$B757=$B756,$A757&lt;&gt;$A756),and(not(isblank($A757)),$A757=$A756,$B757&lt;&gt;$B756)),"ID LISTS UNALIGNED",and($A757&lt;&gt;"",countif('5) Release_Track'!$F:$F,$A757)=0),"NO ISRC MATCH in Release_Track",and($B757&lt;&gt;"",countif('5) Release_Track'!$G:$G,$B757)=0),"NO CATALOG ID MATCH in Release_Track",iserror(vlookup($A757&amp;$B757,'5) Release_Track'!$F:$F&amp;'5) Release_Track'!$G:$G,1,0)),"NO ISRC-CATALOG ID pair MATCH in Release_Track" )</f>
        <v/>
      </c>
      <c r="E757" s="142" t="b">
        <v>0</v>
      </c>
      <c r="F757" s="142" t="b">
        <v>0</v>
      </c>
      <c r="G757" s="142" t="b">
        <v>0</v>
      </c>
      <c r="H757" s="142" t="b">
        <v>0</v>
      </c>
      <c r="I757" s="142" t="b">
        <v>0</v>
      </c>
      <c r="J757" s="142" t="b">
        <v>0</v>
      </c>
      <c r="K757" s="142" t="b">
        <v>0</v>
      </c>
      <c r="L757" s="8" t="b">
        <v>0</v>
      </c>
    </row>
    <row r="758">
      <c r="B758" s="103"/>
      <c r="C758" s="121" t="str">
        <f t="array" ref="C758">ifs(and(isblank($A758),isblank($B758)),"", not(iserror(vlookup($A758&amp;$B758,'5) Release_Track'!$F:$F&amp;'5) Release_Track'!$G:$G,1,0))),vlookup($A758&amp;$B758,{'5) Release_Track'!$F:$F&amp;'5) Release_Track'!$G:$G,'5) Release_Track'!$H:$H},2,0), or(and(not(isblank($B758)),$B758=$B757,$A758&lt;&gt;$A757),and(not(isblank($A758)),$A758=$A757,$B758&lt;&gt;$B757)),"ID LISTS UNALIGNED",and($A758&lt;&gt;"",countif('5) Release_Track'!$F:$F,$A758)=0),"NO ISRC MATCH in Release_Track",and($B758&lt;&gt;"",countif('5) Release_Track'!$G:$G,$B758)=0),"NO CATALOG ID MATCH in Release_Track",iserror(vlookup($A758&amp;$B758,'5) Release_Track'!$F:$F&amp;'5) Release_Track'!$G:$G,1,0)),"NO ISRC-CATALOG ID pair MATCH in Release_Track" )</f>
        <v/>
      </c>
      <c r="D758" s="121" t="str">
        <f t="array" ref="D758">ifs(and(isblank($A758),isblank($B758)),"", not(iserror(vlookup($A758&amp;$B758,'5) Release_Track'!$F:$F&amp;'5) Release_Track'!$G:$G,1,0))),vlookup($A758&amp;$B758,{'5) Release_Track'!$F:$F&amp;'5) Release_Track'!$G:$G,'5) Release_Track'!$I:$I},2,0), or(and(not(isblank($B758)),$B758=$B757,$A758&lt;&gt;$A757),and(not(isblank($A758)),$A758=$A757,$B758&lt;&gt;$B757)),"ID LISTS UNALIGNED",and($A758&lt;&gt;"",countif('5) Release_Track'!$F:$F,$A758)=0),"NO ISRC MATCH in Release_Track",and($B758&lt;&gt;"",countif('5) Release_Track'!$G:$G,$B758)=0),"NO CATALOG ID MATCH in Release_Track",iserror(vlookup($A758&amp;$B758,'5) Release_Track'!$F:$F&amp;'5) Release_Track'!$G:$G,1,0)),"NO ISRC-CATALOG ID pair MATCH in Release_Track" )</f>
        <v/>
      </c>
      <c r="E758" s="142" t="b">
        <v>0</v>
      </c>
      <c r="F758" s="142" t="b">
        <v>0</v>
      </c>
      <c r="G758" s="142" t="b">
        <v>0</v>
      </c>
      <c r="H758" s="142" t="b">
        <v>0</v>
      </c>
      <c r="I758" s="142" t="b">
        <v>0</v>
      </c>
      <c r="J758" s="142" t="b">
        <v>0</v>
      </c>
      <c r="K758" s="142" t="b">
        <v>0</v>
      </c>
      <c r="L758" s="8" t="b">
        <v>0</v>
      </c>
    </row>
    <row r="759">
      <c r="B759" s="103"/>
      <c r="C759" s="121" t="str">
        <f t="array" ref="C759">ifs(and(isblank($A759),isblank($B759)),"", not(iserror(vlookup($A759&amp;$B759,'5) Release_Track'!$F:$F&amp;'5) Release_Track'!$G:$G,1,0))),vlookup($A759&amp;$B759,{'5) Release_Track'!$F:$F&amp;'5) Release_Track'!$G:$G,'5) Release_Track'!$H:$H},2,0), or(and(not(isblank($B759)),$B759=$B758,$A759&lt;&gt;$A758),and(not(isblank($A759)),$A759=$A758,$B759&lt;&gt;$B758)),"ID LISTS UNALIGNED",and($A759&lt;&gt;"",countif('5) Release_Track'!$F:$F,$A759)=0),"NO ISRC MATCH in Release_Track",and($B759&lt;&gt;"",countif('5) Release_Track'!$G:$G,$B759)=0),"NO CATALOG ID MATCH in Release_Track",iserror(vlookup($A759&amp;$B759,'5) Release_Track'!$F:$F&amp;'5) Release_Track'!$G:$G,1,0)),"NO ISRC-CATALOG ID pair MATCH in Release_Track" )</f>
        <v/>
      </c>
      <c r="D759" s="121" t="str">
        <f t="array" ref="D759">ifs(and(isblank($A759),isblank($B759)),"", not(iserror(vlookup($A759&amp;$B759,'5) Release_Track'!$F:$F&amp;'5) Release_Track'!$G:$G,1,0))),vlookup($A759&amp;$B759,{'5) Release_Track'!$F:$F&amp;'5) Release_Track'!$G:$G,'5) Release_Track'!$I:$I},2,0), or(and(not(isblank($B759)),$B759=$B758,$A759&lt;&gt;$A758),and(not(isblank($A759)),$A759=$A758,$B759&lt;&gt;$B758)),"ID LISTS UNALIGNED",and($A759&lt;&gt;"",countif('5) Release_Track'!$F:$F,$A759)=0),"NO ISRC MATCH in Release_Track",and($B759&lt;&gt;"",countif('5) Release_Track'!$G:$G,$B759)=0),"NO CATALOG ID MATCH in Release_Track",iserror(vlookup($A759&amp;$B759,'5) Release_Track'!$F:$F&amp;'5) Release_Track'!$G:$G,1,0)),"NO ISRC-CATALOG ID pair MATCH in Release_Track" )</f>
        <v/>
      </c>
      <c r="E759" s="142" t="b">
        <v>0</v>
      </c>
      <c r="F759" s="142" t="b">
        <v>0</v>
      </c>
      <c r="G759" s="142" t="b">
        <v>0</v>
      </c>
      <c r="H759" s="142" t="b">
        <v>0</v>
      </c>
      <c r="I759" s="142" t="b">
        <v>0</v>
      </c>
      <c r="J759" s="142" t="b">
        <v>0</v>
      </c>
      <c r="K759" s="142" t="b">
        <v>0</v>
      </c>
      <c r="L759" s="8" t="b">
        <v>0</v>
      </c>
    </row>
    <row r="760">
      <c r="B760" s="103"/>
      <c r="C760" s="121" t="str">
        <f t="array" ref="C760">ifs(and(isblank($A760),isblank($B760)),"", not(iserror(vlookup($A760&amp;$B760,'5) Release_Track'!$F:$F&amp;'5) Release_Track'!$G:$G,1,0))),vlookup($A760&amp;$B760,{'5) Release_Track'!$F:$F&amp;'5) Release_Track'!$G:$G,'5) Release_Track'!$H:$H},2,0), or(and(not(isblank($B760)),$B760=$B759,$A760&lt;&gt;$A759),and(not(isblank($A760)),$A760=$A759,$B760&lt;&gt;$B759)),"ID LISTS UNALIGNED",and($A760&lt;&gt;"",countif('5) Release_Track'!$F:$F,$A760)=0),"NO ISRC MATCH in Release_Track",and($B760&lt;&gt;"",countif('5) Release_Track'!$G:$G,$B760)=0),"NO CATALOG ID MATCH in Release_Track",iserror(vlookup($A760&amp;$B760,'5) Release_Track'!$F:$F&amp;'5) Release_Track'!$G:$G,1,0)),"NO ISRC-CATALOG ID pair MATCH in Release_Track" )</f>
        <v/>
      </c>
      <c r="D760" s="121" t="str">
        <f t="array" ref="D760">ifs(and(isblank($A760),isblank($B760)),"", not(iserror(vlookup($A760&amp;$B760,'5) Release_Track'!$F:$F&amp;'5) Release_Track'!$G:$G,1,0))),vlookup($A760&amp;$B760,{'5) Release_Track'!$F:$F&amp;'5) Release_Track'!$G:$G,'5) Release_Track'!$I:$I},2,0), or(and(not(isblank($B760)),$B760=$B759,$A760&lt;&gt;$A759),and(not(isblank($A760)),$A760=$A759,$B760&lt;&gt;$B759)),"ID LISTS UNALIGNED",and($A760&lt;&gt;"",countif('5) Release_Track'!$F:$F,$A760)=0),"NO ISRC MATCH in Release_Track",and($B760&lt;&gt;"",countif('5) Release_Track'!$G:$G,$B760)=0),"NO CATALOG ID MATCH in Release_Track",iserror(vlookup($A760&amp;$B760,'5) Release_Track'!$F:$F&amp;'5) Release_Track'!$G:$G,1,0)),"NO ISRC-CATALOG ID pair MATCH in Release_Track" )</f>
        <v/>
      </c>
      <c r="E760" s="142" t="b">
        <v>0</v>
      </c>
      <c r="F760" s="142" t="b">
        <v>0</v>
      </c>
      <c r="G760" s="142" t="b">
        <v>0</v>
      </c>
      <c r="H760" s="142" t="b">
        <v>0</v>
      </c>
      <c r="I760" s="142" t="b">
        <v>0</v>
      </c>
      <c r="J760" s="142" t="b">
        <v>0</v>
      </c>
      <c r="K760" s="142" t="b">
        <v>0</v>
      </c>
      <c r="L760" s="8" t="b">
        <v>0</v>
      </c>
    </row>
    <row r="761">
      <c r="B761" s="103"/>
      <c r="C761" s="121" t="str">
        <f t="array" ref="C761">ifs(and(isblank($A761),isblank($B761)),"", not(iserror(vlookup($A761&amp;$B761,'5) Release_Track'!$F:$F&amp;'5) Release_Track'!$G:$G,1,0))),vlookup($A761&amp;$B761,{'5) Release_Track'!$F:$F&amp;'5) Release_Track'!$G:$G,'5) Release_Track'!$H:$H},2,0), or(and(not(isblank($B761)),$B761=$B760,$A761&lt;&gt;$A760),and(not(isblank($A761)),$A761=$A760,$B761&lt;&gt;$B760)),"ID LISTS UNALIGNED",and($A761&lt;&gt;"",countif('5) Release_Track'!$F:$F,$A761)=0),"NO ISRC MATCH in Release_Track",and($B761&lt;&gt;"",countif('5) Release_Track'!$G:$G,$B761)=0),"NO CATALOG ID MATCH in Release_Track",iserror(vlookup($A761&amp;$B761,'5) Release_Track'!$F:$F&amp;'5) Release_Track'!$G:$G,1,0)),"NO ISRC-CATALOG ID pair MATCH in Release_Track" )</f>
        <v/>
      </c>
      <c r="D761" s="121" t="str">
        <f t="array" ref="D761">ifs(and(isblank($A761),isblank($B761)),"", not(iserror(vlookup($A761&amp;$B761,'5) Release_Track'!$F:$F&amp;'5) Release_Track'!$G:$G,1,0))),vlookup($A761&amp;$B761,{'5) Release_Track'!$F:$F&amp;'5) Release_Track'!$G:$G,'5) Release_Track'!$I:$I},2,0), or(and(not(isblank($B761)),$B761=$B760,$A761&lt;&gt;$A760),and(not(isblank($A761)),$A761=$A760,$B761&lt;&gt;$B760)),"ID LISTS UNALIGNED",and($A761&lt;&gt;"",countif('5) Release_Track'!$F:$F,$A761)=0),"NO ISRC MATCH in Release_Track",and($B761&lt;&gt;"",countif('5) Release_Track'!$G:$G,$B761)=0),"NO CATALOG ID MATCH in Release_Track",iserror(vlookup($A761&amp;$B761,'5) Release_Track'!$F:$F&amp;'5) Release_Track'!$G:$G,1,0)),"NO ISRC-CATALOG ID pair MATCH in Release_Track" )</f>
        <v/>
      </c>
      <c r="E761" s="142" t="b">
        <v>0</v>
      </c>
      <c r="F761" s="142" t="b">
        <v>0</v>
      </c>
      <c r="G761" s="142" t="b">
        <v>0</v>
      </c>
      <c r="H761" s="142" t="b">
        <v>0</v>
      </c>
      <c r="I761" s="142" t="b">
        <v>0</v>
      </c>
      <c r="J761" s="142" t="b">
        <v>0</v>
      </c>
      <c r="K761" s="142" t="b">
        <v>0</v>
      </c>
      <c r="L761" s="8" t="b">
        <v>0</v>
      </c>
    </row>
    <row r="762">
      <c r="B762" s="103"/>
      <c r="C762" s="121" t="str">
        <f t="array" ref="C762">ifs(and(isblank($A762),isblank($B762)),"", not(iserror(vlookup($A762&amp;$B762,'5) Release_Track'!$F:$F&amp;'5) Release_Track'!$G:$G,1,0))),vlookup($A762&amp;$B762,{'5) Release_Track'!$F:$F&amp;'5) Release_Track'!$G:$G,'5) Release_Track'!$H:$H},2,0), or(and(not(isblank($B762)),$B762=$B761,$A762&lt;&gt;$A761),and(not(isblank($A762)),$A762=$A761,$B762&lt;&gt;$B761)),"ID LISTS UNALIGNED",and($A762&lt;&gt;"",countif('5) Release_Track'!$F:$F,$A762)=0),"NO ISRC MATCH in Release_Track",and($B762&lt;&gt;"",countif('5) Release_Track'!$G:$G,$B762)=0),"NO CATALOG ID MATCH in Release_Track",iserror(vlookup($A762&amp;$B762,'5) Release_Track'!$F:$F&amp;'5) Release_Track'!$G:$G,1,0)),"NO ISRC-CATALOG ID pair MATCH in Release_Track" )</f>
        <v/>
      </c>
      <c r="D762" s="121" t="str">
        <f t="array" ref="D762">ifs(and(isblank($A762),isblank($B762)),"", not(iserror(vlookup($A762&amp;$B762,'5) Release_Track'!$F:$F&amp;'5) Release_Track'!$G:$G,1,0))),vlookup($A762&amp;$B762,{'5) Release_Track'!$F:$F&amp;'5) Release_Track'!$G:$G,'5) Release_Track'!$I:$I},2,0), or(and(not(isblank($B762)),$B762=$B761,$A762&lt;&gt;$A761),and(not(isblank($A762)),$A762=$A761,$B762&lt;&gt;$B761)),"ID LISTS UNALIGNED",and($A762&lt;&gt;"",countif('5) Release_Track'!$F:$F,$A762)=0),"NO ISRC MATCH in Release_Track",and($B762&lt;&gt;"",countif('5) Release_Track'!$G:$G,$B762)=0),"NO CATALOG ID MATCH in Release_Track",iserror(vlookup($A762&amp;$B762,'5) Release_Track'!$F:$F&amp;'5) Release_Track'!$G:$G,1,0)),"NO ISRC-CATALOG ID pair MATCH in Release_Track" )</f>
        <v/>
      </c>
      <c r="E762" s="142" t="b">
        <v>0</v>
      </c>
      <c r="F762" s="142" t="b">
        <v>0</v>
      </c>
      <c r="G762" s="142" t="b">
        <v>0</v>
      </c>
      <c r="H762" s="142" t="b">
        <v>0</v>
      </c>
      <c r="I762" s="142" t="b">
        <v>0</v>
      </c>
      <c r="J762" s="142" t="b">
        <v>0</v>
      </c>
      <c r="K762" s="142" t="b">
        <v>0</v>
      </c>
      <c r="L762" s="8" t="b">
        <v>0</v>
      </c>
    </row>
    <row r="763">
      <c r="B763" s="103"/>
      <c r="C763" s="121" t="str">
        <f t="array" ref="C763">ifs(and(isblank($A763),isblank($B763)),"", not(iserror(vlookup($A763&amp;$B763,'5) Release_Track'!$F:$F&amp;'5) Release_Track'!$G:$G,1,0))),vlookup($A763&amp;$B763,{'5) Release_Track'!$F:$F&amp;'5) Release_Track'!$G:$G,'5) Release_Track'!$H:$H},2,0), or(and(not(isblank($B763)),$B763=$B762,$A763&lt;&gt;$A762),and(not(isblank($A763)),$A763=$A762,$B763&lt;&gt;$B762)),"ID LISTS UNALIGNED",and($A763&lt;&gt;"",countif('5) Release_Track'!$F:$F,$A763)=0),"NO ISRC MATCH in Release_Track",and($B763&lt;&gt;"",countif('5) Release_Track'!$G:$G,$B763)=0),"NO CATALOG ID MATCH in Release_Track",iserror(vlookup($A763&amp;$B763,'5) Release_Track'!$F:$F&amp;'5) Release_Track'!$G:$G,1,0)),"NO ISRC-CATALOG ID pair MATCH in Release_Track" )</f>
        <v/>
      </c>
      <c r="D763" s="121" t="str">
        <f t="array" ref="D763">ifs(and(isblank($A763),isblank($B763)),"", not(iserror(vlookup($A763&amp;$B763,'5) Release_Track'!$F:$F&amp;'5) Release_Track'!$G:$G,1,0))),vlookup($A763&amp;$B763,{'5) Release_Track'!$F:$F&amp;'5) Release_Track'!$G:$G,'5) Release_Track'!$I:$I},2,0), or(and(not(isblank($B763)),$B763=$B762,$A763&lt;&gt;$A762),and(not(isblank($A763)),$A763=$A762,$B763&lt;&gt;$B762)),"ID LISTS UNALIGNED",and($A763&lt;&gt;"",countif('5) Release_Track'!$F:$F,$A763)=0),"NO ISRC MATCH in Release_Track",and($B763&lt;&gt;"",countif('5) Release_Track'!$G:$G,$B763)=0),"NO CATALOG ID MATCH in Release_Track",iserror(vlookup($A763&amp;$B763,'5) Release_Track'!$F:$F&amp;'5) Release_Track'!$G:$G,1,0)),"NO ISRC-CATALOG ID pair MATCH in Release_Track" )</f>
        <v/>
      </c>
      <c r="E763" s="142" t="b">
        <v>0</v>
      </c>
      <c r="F763" s="142" t="b">
        <v>0</v>
      </c>
      <c r="G763" s="142" t="b">
        <v>0</v>
      </c>
      <c r="H763" s="142" t="b">
        <v>0</v>
      </c>
      <c r="I763" s="142" t="b">
        <v>0</v>
      </c>
      <c r="J763" s="142" t="b">
        <v>0</v>
      </c>
      <c r="K763" s="142" t="b">
        <v>0</v>
      </c>
      <c r="L763" s="8" t="b">
        <v>0</v>
      </c>
    </row>
    <row r="764">
      <c r="B764" s="103"/>
      <c r="C764" s="121" t="str">
        <f t="array" ref="C764">ifs(and(isblank($A764),isblank($B764)),"", not(iserror(vlookup($A764&amp;$B764,'5) Release_Track'!$F:$F&amp;'5) Release_Track'!$G:$G,1,0))),vlookup($A764&amp;$B764,{'5) Release_Track'!$F:$F&amp;'5) Release_Track'!$G:$G,'5) Release_Track'!$H:$H},2,0), or(and(not(isblank($B764)),$B764=$B763,$A764&lt;&gt;$A763),and(not(isblank($A764)),$A764=$A763,$B764&lt;&gt;$B763)),"ID LISTS UNALIGNED",and($A764&lt;&gt;"",countif('5) Release_Track'!$F:$F,$A764)=0),"NO ISRC MATCH in Release_Track",and($B764&lt;&gt;"",countif('5) Release_Track'!$G:$G,$B764)=0),"NO CATALOG ID MATCH in Release_Track",iserror(vlookup($A764&amp;$B764,'5) Release_Track'!$F:$F&amp;'5) Release_Track'!$G:$G,1,0)),"NO ISRC-CATALOG ID pair MATCH in Release_Track" )</f>
        <v/>
      </c>
      <c r="D764" s="121" t="str">
        <f t="array" ref="D764">ifs(and(isblank($A764),isblank($B764)),"", not(iserror(vlookup($A764&amp;$B764,'5) Release_Track'!$F:$F&amp;'5) Release_Track'!$G:$G,1,0))),vlookup($A764&amp;$B764,{'5) Release_Track'!$F:$F&amp;'5) Release_Track'!$G:$G,'5) Release_Track'!$I:$I},2,0), or(and(not(isblank($B764)),$B764=$B763,$A764&lt;&gt;$A763),and(not(isblank($A764)),$A764=$A763,$B764&lt;&gt;$B763)),"ID LISTS UNALIGNED",and($A764&lt;&gt;"",countif('5) Release_Track'!$F:$F,$A764)=0),"NO ISRC MATCH in Release_Track",and($B764&lt;&gt;"",countif('5) Release_Track'!$G:$G,$B764)=0),"NO CATALOG ID MATCH in Release_Track",iserror(vlookup($A764&amp;$B764,'5) Release_Track'!$F:$F&amp;'5) Release_Track'!$G:$G,1,0)),"NO ISRC-CATALOG ID pair MATCH in Release_Track" )</f>
        <v/>
      </c>
      <c r="E764" s="142" t="b">
        <v>0</v>
      </c>
      <c r="F764" s="142" t="b">
        <v>0</v>
      </c>
      <c r="G764" s="142" t="b">
        <v>0</v>
      </c>
      <c r="H764" s="142" t="b">
        <v>0</v>
      </c>
      <c r="I764" s="142" t="b">
        <v>0</v>
      </c>
      <c r="J764" s="142" t="b">
        <v>0</v>
      </c>
      <c r="K764" s="142" t="b">
        <v>0</v>
      </c>
      <c r="L764" s="8" t="b">
        <v>0</v>
      </c>
    </row>
    <row r="765">
      <c r="B765" s="103"/>
      <c r="C765" s="121" t="str">
        <f t="array" ref="C765">ifs(and(isblank($A765),isblank($B765)),"", not(iserror(vlookup($A765&amp;$B765,'5) Release_Track'!$F:$F&amp;'5) Release_Track'!$G:$G,1,0))),vlookup($A765&amp;$B765,{'5) Release_Track'!$F:$F&amp;'5) Release_Track'!$G:$G,'5) Release_Track'!$H:$H},2,0), or(and(not(isblank($B765)),$B765=$B764,$A765&lt;&gt;$A764),and(not(isblank($A765)),$A765=$A764,$B765&lt;&gt;$B764)),"ID LISTS UNALIGNED",and($A765&lt;&gt;"",countif('5) Release_Track'!$F:$F,$A765)=0),"NO ISRC MATCH in Release_Track",and($B765&lt;&gt;"",countif('5) Release_Track'!$G:$G,$B765)=0),"NO CATALOG ID MATCH in Release_Track",iserror(vlookup($A765&amp;$B765,'5) Release_Track'!$F:$F&amp;'5) Release_Track'!$G:$G,1,0)),"NO ISRC-CATALOG ID pair MATCH in Release_Track" )</f>
        <v/>
      </c>
      <c r="D765" s="121" t="str">
        <f t="array" ref="D765">ifs(and(isblank($A765),isblank($B765)),"", not(iserror(vlookup($A765&amp;$B765,'5) Release_Track'!$F:$F&amp;'5) Release_Track'!$G:$G,1,0))),vlookup($A765&amp;$B765,{'5) Release_Track'!$F:$F&amp;'5) Release_Track'!$G:$G,'5) Release_Track'!$I:$I},2,0), or(and(not(isblank($B765)),$B765=$B764,$A765&lt;&gt;$A764),and(not(isblank($A765)),$A765=$A764,$B765&lt;&gt;$B764)),"ID LISTS UNALIGNED",and($A765&lt;&gt;"",countif('5) Release_Track'!$F:$F,$A765)=0),"NO ISRC MATCH in Release_Track",and($B765&lt;&gt;"",countif('5) Release_Track'!$G:$G,$B765)=0),"NO CATALOG ID MATCH in Release_Track",iserror(vlookup($A765&amp;$B765,'5) Release_Track'!$F:$F&amp;'5) Release_Track'!$G:$G,1,0)),"NO ISRC-CATALOG ID pair MATCH in Release_Track" )</f>
        <v/>
      </c>
      <c r="E765" s="142" t="b">
        <v>0</v>
      </c>
      <c r="F765" s="142" t="b">
        <v>0</v>
      </c>
      <c r="G765" s="142" t="b">
        <v>0</v>
      </c>
      <c r="H765" s="142" t="b">
        <v>0</v>
      </c>
      <c r="I765" s="142" t="b">
        <v>0</v>
      </c>
      <c r="J765" s="142" t="b">
        <v>0</v>
      </c>
      <c r="K765" s="142" t="b">
        <v>0</v>
      </c>
      <c r="L765" s="8" t="b">
        <v>0</v>
      </c>
    </row>
    <row r="766">
      <c r="B766" s="103"/>
      <c r="C766" s="121" t="str">
        <f t="array" ref="C766">ifs(and(isblank($A766),isblank($B766)),"", not(iserror(vlookup($A766&amp;$B766,'5) Release_Track'!$F:$F&amp;'5) Release_Track'!$G:$G,1,0))),vlookup($A766&amp;$B766,{'5) Release_Track'!$F:$F&amp;'5) Release_Track'!$G:$G,'5) Release_Track'!$H:$H},2,0), or(and(not(isblank($B766)),$B766=$B765,$A766&lt;&gt;$A765),and(not(isblank($A766)),$A766=$A765,$B766&lt;&gt;$B765)),"ID LISTS UNALIGNED",and($A766&lt;&gt;"",countif('5) Release_Track'!$F:$F,$A766)=0),"NO ISRC MATCH in Release_Track",and($B766&lt;&gt;"",countif('5) Release_Track'!$G:$G,$B766)=0),"NO CATALOG ID MATCH in Release_Track",iserror(vlookup($A766&amp;$B766,'5) Release_Track'!$F:$F&amp;'5) Release_Track'!$G:$G,1,0)),"NO ISRC-CATALOG ID pair MATCH in Release_Track" )</f>
        <v/>
      </c>
      <c r="D766" s="121" t="str">
        <f t="array" ref="D766">ifs(and(isblank($A766),isblank($B766)),"", not(iserror(vlookup($A766&amp;$B766,'5) Release_Track'!$F:$F&amp;'5) Release_Track'!$G:$G,1,0))),vlookup($A766&amp;$B766,{'5) Release_Track'!$F:$F&amp;'5) Release_Track'!$G:$G,'5) Release_Track'!$I:$I},2,0), or(and(not(isblank($B766)),$B766=$B765,$A766&lt;&gt;$A765),and(not(isblank($A766)),$A766=$A765,$B766&lt;&gt;$B765)),"ID LISTS UNALIGNED",and($A766&lt;&gt;"",countif('5) Release_Track'!$F:$F,$A766)=0),"NO ISRC MATCH in Release_Track",and($B766&lt;&gt;"",countif('5) Release_Track'!$G:$G,$B766)=0),"NO CATALOG ID MATCH in Release_Track",iserror(vlookup($A766&amp;$B766,'5) Release_Track'!$F:$F&amp;'5) Release_Track'!$G:$G,1,0)),"NO ISRC-CATALOG ID pair MATCH in Release_Track" )</f>
        <v/>
      </c>
      <c r="E766" s="142" t="b">
        <v>0</v>
      </c>
      <c r="F766" s="142" t="b">
        <v>0</v>
      </c>
      <c r="G766" s="142" t="b">
        <v>0</v>
      </c>
      <c r="H766" s="142" t="b">
        <v>0</v>
      </c>
      <c r="I766" s="142" t="b">
        <v>0</v>
      </c>
      <c r="J766" s="142" t="b">
        <v>0</v>
      </c>
      <c r="K766" s="142" t="b">
        <v>0</v>
      </c>
      <c r="L766" s="8" t="b">
        <v>0</v>
      </c>
    </row>
    <row r="767">
      <c r="B767" s="103"/>
      <c r="C767" s="121" t="str">
        <f t="array" ref="C767">ifs(and(isblank($A767),isblank($B767)),"", not(iserror(vlookup($A767&amp;$B767,'5) Release_Track'!$F:$F&amp;'5) Release_Track'!$G:$G,1,0))),vlookup($A767&amp;$B767,{'5) Release_Track'!$F:$F&amp;'5) Release_Track'!$G:$G,'5) Release_Track'!$H:$H},2,0), or(and(not(isblank($B767)),$B767=$B766,$A767&lt;&gt;$A766),and(not(isblank($A767)),$A767=$A766,$B767&lt;&gt;$B766)),"ID LISTS UNALIGNED",and($A767&lt;&gt;"",countif('5) Release_Track'!$F:$F,$A767)=0),"NO ISRC MATCH in Release_Track",and($B767&lt;&gt;"",countif('5) Release_Track'!$G:$G,$B767)=0),"NO CATALOG ID MATCH in Release_Track",iserror(vlookup($A767&amp;$B767,'5) Release_Track'!$F:$F&amp;'5) Release_Track'!$G:$G,1,0)),"NO ISRC-CATALOG ID pair MATCH in Release_Track" )</f>
        <v/>
      </c>
      <c r="D767" s="121" t="str">
        <f t="array" ref="D767">ifs(and(isblank($A767),isblank($B767)),"", not(iserror(vlookup($A767&amp;$B767,'5) Release_Track'!$F:$F&amp;'5) Release_Track'!$G:$G,1,0))),vlookup($A767&amp;$B767,{'5) Release_Track'!$F:$F&amp;'5) Release_Track'!$G:$G,'5) Release_Track'!$I:$I},2,0), or(and(not(isblank($B767)),$B767=$B766,$A767&lt;&gt;$A766),and(not(isblank($A767)),$A767=$A766,$B767&lt;&gt;$B766)),"ID LISTS UNALIGNED",and($A767&lt;&gt;"",countif('5) Release_Track'!$F:$F,$A767)=0),"NO ISRC MATCH in Release_Track",and($B767&lt;&gt;"",countif('5) Release_Track'!$G:$G,$B767)=0),"NO CATALOG ID MATCH in Release_Track",iserror(vlookup($A767&amp;$B767,'5) Release_Track'!$F:$F&amp;'5) Release_Track'!$G:$G,1,0)),"NO ISRC-CATALOG ID pair MATCH in Release_Track" )</f>
        <v/>
      </c>
      <c r="E767" s="142" t="b">
        <v>0</v>
      </c>
      <c r="F767" s="142" t="b">
        <v>0</v>
      </c>
      <c r="G767" s="142" t="b">
        <v>0</v>
      </c>
      <c r="H767" s="142" t="b">
        <v>0</v>
      </c>
      <c r="I767" s="142" t="b">
        <v>0</v>
      </c>
      <c r="J767" s="142" t="b">
        <v>0</v>
      </c>
      <c r="K767" s="142" t="b">
        <v>0</v>
      </c>
      <c r="L767" s="8" t="b">
        <v>0</v>
      </c>
    </row>
    <row r="768">
      <c r="B768" s="103"/>
      <c r="C768" s="121" t="str">
        <f t="array" ref="C768">ifs(and(isblank($A768),isblank($B768)),"", not(iserror(vlookup($A768&amp;$B768,'5) Release_Track'!$F:$F&amp;'5) Release_Track'!$G:$G,1,0))),vlookup($A768&amp;$B768,{'5) Release_Track'!$F:$F&amp;'5) Release_Track'!$G:$G,'5) Release_Track'!$H:$H},2,0), or(and(not(isblank($B768)),$B768=$B767,$A768&lt;&gt;$A767),and(not(isblank($A768)),$A768=$A767,$B768&lt;&gt;$B767)),"ID LISTS UNALIGNED",and($A768&lt;&gt;"",countif('5) Release_Track'!$F:$F,$A768)=0),"NO ISRC MATCH in Release_Track",and($B768&lt;&gt;"",countif('5) Release_Track'!$G:$G,$B768)=0),"NO CATALOG ID MATCH in Release_Track",iserror(vlookup($A768&amp;$B768,'5) Release_Track'!$F:$F&amp;'5) Release_Track'!$G:$G,1,0)),"NO ISRC-CATALOG ID pair MATCH in Release_Track" )</f>
        <v/>
      </c>
      <c r="D768" s="121" t="str">
        <f t="array" ref="D768">ifs(and(isblank($A768),isblank($B768)),"", not(iserror(vlookup($A768&amp;$B768,'5) Release_Track'!$F:$F&amp;'5) Release_Track'!$G:$G,1,0))),vlookup($A768&amp;$B768,{'5) Release_Track'!$F:$F&amp;'5) Release_Track'!$G:$G,'5) Release_Track'!$I:$I},2,0), or(and(not(isblank($B768)),$B768=$B767,$A768&lt;&gt;$A767),and(not(isblank($A768)),$A768=$A767,$B768&lt;&gt;$B767)),"ID LISTS UNALIGNED",and($A768&lt;&gt;"",countif('5) Release_Track'!$F:$F,$A768)=0),"NO ISRC MATCH in Release_Track",and($B768&lt;&gt;"",countif('5) Release_Track'!$G:$G,$B768)=0),"NO CATALOG ID MATCH in Release_Track",iserror(vlookup($A768&amp;$B768,'5) Release_Track'!$F:$F&amp;'5) Release_Track'!$G:$G,1,0)),"NO ISRC-CATALOG ID pair MATCH in Release_Track" )</f>
        <v/>
      </c>
      <c r="E768" s="142" t="b">
        <v>0</v>
      </c>
      <c r="F768" s="142" t="b">
        <v>0</v>
      </c>
      <c r="G768" s="142" t="b">
        <v>0</v>
      </c>
      <c r="H768" s="142" t="b">
        <v>0</v>
      </c>
      <c r="I768" s="142" t="b">
        <v>0</v>
      </c>
      <c r="J768" s="142" t="b">
        <v>0</v>
      </c>
      <c r="K768" s="142" t="b">
        <v>0</v>
      </c>
      <c r="L768" s="8" t="b">
        <v>0</v>
      </c>
    </row>
    <row r="769">
      <c r="B769" s="103"/>
      <c r="C769" s="121" t="str">
        <f t="array" ref="C769">ifs(and(isblank($A769),isblank($B769)),"", not(iserror(vlookup($A769&amp;$B769,'5) Release_Track'!$F:$F&amp;'5) Release_Track'!$G:$G,1,0))),vlookup($A769&amp;$B769,{'5) Release_Track'!$F:$F&amp;'5) Release_Track'!$G:$G,'5) Release_Track'!$H:$H},2,0), or(and(not(isblank($B769)),$B769=$B768,$A769&lt;&gt;$A768),and(not(isblank($A769)),$A769=$A768,$B769&lt;&gt;$B768)),"ID LISTS UNALIGNED",and($A769&lt;&gt;"",countif('5) Release_Track'!$F:$F,$A769)=0),"NO ISRC MATCH in Release_Track",and($B769&lt;&gt;"",countif('5) Release_Track'!$G:$G,$B769)=0),"NO CATALOG ID MATCH in Release_Track",iserror(vlookup($A769&amp;$B769,'5) Release_Track'!$F:$F&amp;'5) Release_Track'!$G:$G,1,0)),"NO ISRC-CATALOG ID pair MATCH in Release_Track" )</f>
        <v/>
      </c>
      <c r="D769" s="121" t="str">
        <f t="array" ref="D769">ifs(and(isblank($A769),isblank($B769)),"", not(iserror(vlookup($A769&amp;$B769,'5) Release_Track'!$F:$F&amp;'5) Release_Track'!$G:$G,1,0))),vlookup($A769&amp;$B769,{'5) Release_Track'!$F:$F&amp;'5) Release_Track'!$G:$G,'5) Release_Track'!$I:$I},2,0), or(and(not(isblank($B769)),$B769=$B768,$A769&lt;&gt;$A768),and(not(isblank($A769)),$A769=$A768,$B769&lt;&gt;$B768)),"ID LISTS UNALIGNED",and($A769&lt;&gt;"",countif('5) Release_Track'!$F:$F,$A769)=0),"NO ISRC MATCH in Release_Track",and($B769&lt;&gt;"",countif('5) Release_Track'!$G:$G,$B769)=0),"NO CATALOG ID MATCH in Release_Track",iserror(vlookup($A769&amp;$B769,'5) Release_Track'!$F:$F&amp;'5) Release_Track'!$G:$G,1,0)),"NO ISRC-CATALOG ID pair MATCH in Release_Track" )</f>
        <v/>
      </c>
      <c r="E769" s="142" t="b">
        <v>0</v>
      </c>
      <c r="F769" s="142" t="b">
        <v>0</v>
      </c>
      <c r="G769" s="142" t="b">
        <v>0</v>
      </c>
      <c r="H769" s="142" t="b">
        <v>0</v>
      </c>
      <c r="I769" s="142" t="b">
        <v>0</v>
      </c>
      <c r="J769" s="142" t="b">
        <v>0</v>
      </c>
      <c r="K769" s="142" t="b">
        <v>0</v>
      </c>
      <c r="L769" s="8" t="b">
        <v>0</v>
      </c>
    </row>
    <row r="770">
      <c r="B770" s="103"/>
      <c r="C770" s="121" t="str">
        <f t="array" ref="C770">ifs(and(isblank($A770),isblank($B770)),"", not(iserror(vlookup($A770&amp;$B770,'5) Release_Track'!$F:$F&amp;'5) Release_Track'!$G:$G,1,0))),vlookup($A770&amp;$B770,{'5) Release_Track'!$F:$F&amp;'5) Release_Track'!$G:$G,'5) Release_Track'!$H:$H},2,0), or(and(not(isblank($B770)),$B770=$B769,$A770&lt;&gt;$A769),and(not(isblank($A770)),$A770=$A769,$B770&lt;&gt;$B769)),"ID LISTS UNALIGNED",and($A770&lt;&gt;"",countif('5) Release_Track'!$F:$F,$A770)=0),"NO ISRC MATCH in Release_Track",and($B770&lt;&gt;"",countif('5) Release_Track'!$G:$G,$B770)=0),"NO CATALOG ID MATCH in Release_Track",iserror(vlookup($A770&amp;$B770,'5) Release_Track'!$F:$F&amp;'5) Release_Track'!$G:$G,1,0)),"NO ISRC-CATALOG ID pair MATCH in Release_Track" )</f>
        <v/>
      </c>
      <c r="D770" s="121" t="str">
        <f t="array" ref="D770">ifs(and(isblank($A770),isblank($B770)),"", not(iserror(vlookup($A770&amp;$B770,'5) Release_Track'!$F:$F&amp;'5) Release_Track'!$G:$G,1,0))),vlookup($A770&amp;$B770,{'5) Release_Track'!$F:$F&amp;'5) Release_Track'!$G:$G,'5) Release_Track'!$I:$I},2,0), or(and(not(isblank($B770)),$B770=$B769,$A770&lt;&gt;$A769),and(not(isblank($A770)),$A770=$A769,$B770&lt;&gt;$B769)),"ID LISTS UNALIGNED",and($A770&lt;&gt;"",countif('5) Release_Track'!$F:$F,$A770)=0),"NO ISRC MATCH in Release_Track",and($B770&lt;&gt;"",countif('5) Release_Track'!$G:$G,$B770)=0),"NO CATALOG ID MATCH in Release_Track",iserror(vlookup($A770&amp;$B770,'5) Release_Track'!$F:$F&amp;'5) Release_Track'!$G:$G,1,0)),"NO ISRC-CATALOG ID pair MATCH in Release_Track" )</f>
        <v/>
      </c>
      <c r="E770" s="142" t="b">
        <v>0</v>
      </c>
      <c r="F770" s="142" t="b">
        <v>0</v>
      </c>
      <c r="G770" s="142" t="b">
        <v>0</v>
      </c>
      <c r="H770" s="142" t="b">
        <v>0</v>
      </c>
      <c r="I770" s="142" t="b">
        <v>0</v>
      </c>
      <c r="J770" s="142" t="b">
        <v>0</v>
      </c>
      <c r="K770" s="142" t="b">
        <v>0</v>
      </c>
      <c r="L770" s="8" t="b">
        <v>0</v>
      </c>
    </row>
    <row r="771">
      <c r="B771" s="103"/>
      <c r="C771" s="121" t="str">
        <f t="array" ref="C771">ifs(and(isblank($A771),isblank($B771)),"", not(iserror(vlookup($A771&amp;$B771,'5) Release_Track'!$F:$F&amp;'5) Release_Track'!$G:$G,1,0))),vlookup($A771&amp;$B771,{'5) Release_Track'!$F:$F&amp;'5) Release_Track'!$G:$G,'5) Release_Track'!$H:$H},2,0), or(and(not(isblank($B771)),$B771=$B770,$A771&lt;&gt;$A770),and(not(isblank($A771)),$A771=$A770,$B771&lt;&gt;$B770)),"ID LISTS UNALIGNED",and($A771&lt;&gt;"",countif('5) Release_Track'!$F:$F,$A771)=0),"NO ISRC MATCH in Release_Track",and($B771&lt;&gt;"",countif('5) Release_Track'!$G:$G,$B771)=0),"NO CATALOG ID MATCH in Release_Track",iserror(vlookup($A771&amp;$B771,'5) Release_Track'!$F:$F&amp;'5) Release_Track'!$G:$G,1,0)),"NO ISRC-CATALOG ID pair MATCH in Release_Track" )</f>
        <v/>
      </c>
      <c r="D771" s="121" t="str">
        <f t="array" ref="D771">ifs(and(isblank($A771),isblank($B771)),"", not(iserror(vlookup($A771&amp;$B771,'5) Release_Track'!$F:$F&amp;'5) Release_Track'!$G:$G,1,0))),vlookup($A771&amp;$B771,{'5) Release_Track'!$F:$F&amp;'5) Release_Track'!$G:$G,'5) Release_Track'!$I:$I},2,0), or(and(not(isblank($B771)),$B771=$B770,$A771&lt;&gt;$A770),and(not(isblank($A771)),$A771=$A770,$B771&lt;&gt;$B770)),"ID LISTS UNALIGNED",and($A771&lt;&gt;"",countif('5) Release_Track'!$F:$F,$A771)=0),"NO ISRC MATCH in Release_Track",and($B771&lt;&gt;"",countif('5) Release_Track'!$G:$G,$B771)=0),"NO CATALOG ID MATCH in Release_Track",iserror(vlookup($A771&amp;$B771,'5) Release_Track'!$F:$F&amp;'5) Release_Track'!$G:$G,1,0)),"NO ISRC-CATALOG ID pair MATCH in Release_Track" )</f>
        <v/>
      </c>
      <c r="E771" s="142" t="b">
        <v>0</v>
      </c>
      <c r="F771" s="142" t="b">
        <v>0</v>
      </c>
      <c r="G771" s="142" t="b">
        <v>0</v>
      </c>
      <c r="H771" s="142" t="b">
        <v>0</v>
      </c>
      <c r="I771" s="142" t="b">
        <v>0</v>
      </c>
      <c r="J771" s="142" t="b">
        <v>0</v>
      </c>
      <c r="K771" s="142" t="b">
        <v>0</v>
      </c>
      <c r="L771" s="8" t="b">
        <v>0</v>
      </c>
    </row>
    <row r="772">
      <c r="B772" s="103"/>
      <c r="C772" s="121" t="str">
        <f t="array" ref="C772">ifs(and(isblank($A772),isblank($B772)),"", not(iserror(vlookup($A772&amp;$B772,'5) Release_Track'!$F:$F&amp;'5) Release_Track'!$G:$G,1,0))),vlookup($A772&amp;$B772,{'5) Release_Track'!$F:$F&amp;'5) Release_Track'!$G:$G,'5) Release_Track'!$H:$H},2,0), or(and(not(isblank($B772)),$B772=$B771,$A772&lt;&gt;$A771),and(not(isblank($A772)),$A772=$A771,$B772&lt;&gt;$B771)),"ID LISTS UNALIGNED",and($A772&lt;&gt;"",countif('5) Release_Track'!$F:$F,$A772)=0),"NO ISRC MATCH in Release_Track",and($B772&lt;&gt;"",countif('5) Release_Track'!$G:$G,$B772)=0),"NO CATALOG ID MATCH in Release_Track",iserror(vlookup($A772&amp;$B772,'5) Release_Track'!$F:$F&amp;'5) Release_Track'!$G:$G,1,0)),"NO ISRC-CATALOG ID pair MATCH in Release_Track" )</f>
        <v/>
      </c>
      <c r="D772" s="121" t="str">
        <f t="array" ref="D772">ifs(and(isblank($A772),isblank($B772)),"", not(iserror(vlookup($A772&amp;$B772,'5) Release_Track'!$F:$F&amp;'5) Release_Track'!$G:$G,1,0))),vlookup($A772&amp;$B772,{'5) Release_Track'!$F:$F&amp;'5) Release_Track'!$G:$G,'5) Release_Track'!$I:$I},2,0), or(and(not(isblank($B772)),$B772=$B771,$A772&lt;&gt;$A771),and(not(isblank($A772)),$A772=$A771,$B772&lt;&gt;$B771)),"ID LISTS UNALIGNED",and($A772&lt;&gt;"",countif('5) Release_Track'!$F:$F,$A772)=0),"NO ISRC MATCH in Release_Track",and($B772&lt;&gt;"",countif('5) Release_Track'!$G:$G,$B772)=0),"NO CATALOG ID MATCH in Release_Track",iserror(vlookup($A772&amp;$B772,'5) Release_Track'!$F:$F&amp;'5) Release_Track'!$G:$G,1,0)),"NO ISRC-CATALOG ID pair MATCH in Release_Track" )</f>
        <v/>
      </c>
      <c r="E772" s="142" t="b">
        <v>0</v>
      </c>
      <c r="F772" s="142" t="b">
        <v>0</v>
      </c>
      <c r="G772" s="142" t="b">
        <v>0</v>
      </c>
      <c r="H772" s="142" t="b">
        <v>0</v>
      </c>
      <c r="I772" s="142" t="b">
        <v>0</v>
      </c>
      <c r="J772" s="142" t="b">
        <v>0</v>
      </c>
      <c r="K772" s="142" t="b">
        <v>0</v>
      </c>
      <c r="L772" s="8" t="b">
        <v>0</v>
      </c>
    </row>
    <row r="773">
      <c r="B773" s="103"/>
      <c r="C773" s="121" t="str">
        <f t="array" ref="C773">ifs(and(isblank($A773),isblank($B773)),"", not(iserror(vlookup($A773&amp;$B773,'5) Release_Track'!$F:$F&amp;'5) Release_Track'!$G:$G,1,0))),vlookup($A773&amp;$B773,{'5) Release_Track'!$F:$F&amp;'5) Release_Track'!$G:$G,'5) Release_Track'!$H:$H},2,0), or(and(not(isblank($B773)),$B773=$B772,$A773&lt;&gt;$A772),and(not(isblank($A773)),$A773=$A772,$B773&lt;&gt;$B772)),"ID LISTS UNALIGNED",and($A773&lt;&gt;"",countif('5) Release_Track'!$F:$F,$A773)=0),"NO ISRC MATCH in Release_Track",and($B773&lt;&gt;"",countif('5) Release_Track'!$G:$G,$B773)=0),"NO CATALOG ID MATCH in Release_Track",iserror(vlookup($A773&amp;$B773,'5) Release_Track'!$F:$F&amp;'5) Release_Track'!$G:$G,1,0)),"NO ISRC-CATALOG ID pair MATCH in Release_Track" )</f>
        <v/>
      </c>
      <c r="D773" s="121" t="str">
        <f t="array" ref="D773">ifs(and(isblank($A773),isblank($B773)),"", not(iserror(vlookup($A773&amp;$B773,'5) Release_Track'!$F:$F&amp;'5) Release_Track'!$G:$G,1,0))),vlookup($A773&amp;$B773,{'5) Release_Track'!$F:$F&amp;'5) Release_Track'!$G:$G,'5) Release_Track'!$I:$I},2,0), or(and(not(isblank($B773)),$B773=$B772,$A773&lt;&gt;$A772),and(not(isblank($A773)),$A773=$A772,$B773&lt;&gt;$B772)),"ID LISTS UNALIGNED",and($A773&lt;&gt;"",countif('5) Release_Track'!$F:$F,$A773)=0),"NO ISRC MATCH in Release_Track",and($B773&lt;&gt;"",countif('5) Release_Track'!$G:$G,$B773)=0),"NO CATALOG ID MATCH in Release_Track",iserror(vlookup($A773&amp;$B773,'5) Release_Track'!$F:$F&amp;'5) Release_Track'!$G:$G,1,0)),"NO ISRC-CATALOG ID pair MATCH in Release_Track" )</f>
        <v/>
      </c>
      <c r="E773" s="142" t="b">
        <v>0</v>
      </c>
      <c r="F773" s="142" t="b">
        <v>0</v>
      </c>
      <c r="G773" s="142" t="b">
        <v>0</v>
      </c>
      <c r="H773" s="142" t="b">
        <v>0</v>
      </c>
      <c r="I773" s="142" t="b">
        <v>0</v>
      </c>
      <c r="J773" s="142" t="b">
        <v>0</v>
      </c>
      <c r="K773" s="142" t="b">
        <v>0</v>
      </c>
      <c r="L773" s="8" t="b">
        <v>0</v>
      </c>
    </row>
    <row r="774">
      <c r="B774" s="103"/>
      <c r="C774" s="121" t="str">
        <f t="array" ref="C774">ifs(and(isblank($A774),isblank($B774)),"", not(iserror(vlookup($A774&amp;$B774,'5) Release_Track'!$F:$F&amp;'5) Release_Track'!$G:$G,1,0))),vlookup($A774&amp;$B774,{'5) Release_Track'!$F:$F&amp;'5) Release_Track'!$G:$G,'5) Release_Track'!$H:$H},2,0), or(and(not(isblank($B774)),$B774=$B773,$A774&lt;&gt;$A773),and(not(isblank($A774)),$A774=$A773,$B774&lt;&gt;$B773)),"ID LISTS UNALIGNED",and($A774&lt;&gt;"",countif('5) Release_Track'!$F:$F,$A774)=0),"NO ISRC MATCH in Release_Track",and($B774&lt;&gt;"",countif('5) Release_Track'!$G:$G,$B774)=0),"NO CATALOG ID MATCH in Release_Track",iserror(vlookup($A774&amp;$B774,'5) Release_Track'!$F:$F&amp;'5) Release_Track'!$G:$G,1,0)),"NO ISRC-CATALOG ID pair MATCH in Release_Track" )</f>
        <v/>
      </c>
      <c r="D774" s="121" t="str">
        <f t="array" ref="D774">ifs(and(isblank($A774),isblank($B774)),"", not(iserror(vlookup($A774&amp;$B774,'5) Release_Track'!$F:$F&amp;'5) Release_Track'!$G:$G,1,0))),vlookup($A774&amp;$B774,{'5) Release_Track'!$F:$F&amp;'5) Release_Track'!$G:$G,'5) Release_Track'!$I:$I},2,0), or(and(not(isblank($B774)),$B774=$B773,$A774&lt;&gt;$A773),and(not(isblank($A774)),$A774=$A773,$B774&lt;&gt;$B773)),"ID LISTS UNALIGNED",and($A774&lt;&gt;"",countif('5) Release_Track'!$F:$F,$A774)=0),"NO ISRC MATCH in Release_Track",and($B774&lt;&gt;"",countif('5) Release_Track'!$G:$G,$B774)=0),"NO CATALOG ID MATCH in Release_Track",iserror(vlookup($A774&amp;$B774,'5) Release_Track'!$F:$F&amp;'5) Release_Track'!$G:$G,1,0)),"NO ISRC-CATALOG ID pair MATCH in Release_Track" )</f>
        <v/>
      </c>
      <c r="E774" s="142" t="b">
        <v>0</v>
      </c>
      <c r="F774" s="142" t="b">
        <v>0</v>
      </c>
      <c r="G774" s="142" t="b">
        <v>0</v>
      </c>
      <c r="H774" s="142" t="b">
        <v>0</v>
      </c>
      <c r="I774" s="142" t="b">
        <v>0</v>
      </c>
      <c r="J774" s="142" t="b">
        <v>0</v>
      </c>
      <c r="K774" s="142" t="b">
        <v>0</v>
      </c>
      <c r="L774" s="8" t="b">
        <v>0</v>
      </c>
    </row>
    <row r="775">
      <c r="B775" s="103"/>
      <c r="C775" s="121" t="str">
        <f t="array" ref="C775">ifs(and(isblank($A775),isblank($B775)),"", not(iserror(vlookup($A775&amp;$B775,'5) Release_Track'!$F:$F&amp;'5) Release_Track'!$G:$G,1,0))),vlookup($A775&amp;$B775,{'5) Release_Track'!$F:$F&amp;'5) Release_Track'!$G:$G,'5) Release_Track'!$H:$H},2,0), or(and(not(isblank($B775)),$B775=$B774,$A775&lt;&gt;$A774),and(not(isblank($A775)),$A775=$A774,$B775&lt;&gt;$B774)),"ID LISTS UNALIGNED",and($A775&lt;&gt;"",countif('5) Release_Track'!$F:$F,$A775)=0),"NO ISRC MATCH in Release_Track",and($B775&lt;&gt;"",countif('5) Release_Track'!$G:$G,$B775)=0),"NO CATALOG ID MATCH in Release_Track",iserror(vlookup($A775&amp;$B775,'5) Release_Track'!$F:$F&amp;'5) Release_Track'!$G:$G,1,0)),"NO ISRC-CATALOG ID pair MATCH in Release_Track" )</f>
        <v/>
      </c>
      <c r="D775" s="121" t="str">
        <f t="array" ref="D775">ifs(and(isblank($A775),isblank($B775)),"", not(iserror(vlookup($A775&amp;$B775,'5) Release_Track'!$F:$F&amp;'5) Release_Track'!$G:$G,1,0))),vlookup($A775&amp;$B775,{'5) Release_Track'!$F:$F&amp;'5) Release_Track'!$G:$G,'5) Release_Track'!$I:$I},2,0), or(and(not(isblank($B775)),$B775=$B774,$A775&lt;&gt;$A774),and(not(isblank($A775)),$A775=$A774,$B775&lt;&gt;$B774)),"ID LISTS UNALIGNED",and($A775&lt;&gt;"",countif('5) Release_Track'!$F:$F,$A775)=0),"NO ISRC MATCH in Release_Track",and($B775&lt;&gt;"",countif('5) Release_Track'!$G:$G,$B775)=0),"NO CATALOG ID MATCH in Release_Track",iserror(vlookup($A775&amp;$B775,'5) Release_Track'!$F:$F&amp;'5) Release_Track'!$G:$G,1,0)),"NO ISRC-CATALOG ID pair MATCH in Release_Track" )</f>
        <v/>
      </c>
      <c r="E775" s="142" t="b">
        <v>0</v>
      </c>
      <c r="F775" s="142" t="b">
        <v>0</v>
      </c>
      <c r="G775" s="142" t="b">
        <v>0</v>
      </c>
      <c r="H775" s="142" t="b">
        <v>0</v>
      </c>
      <c r="I775" s="142" t="b">
        <v>0</v>
      </c>
      <c r="J775" s="142" t="b">
        <v>0</v>
      </c>
      <c r="K775" s="142" t="b">
        <v>0</v>
      </c>
      <c r="L775" s="8" t="b">
        <v>0</v>
      </c>
    </row>
    <row r="776">
      <c r="B776" s="103"/>
      <c r="C776" s="121" t="str">
        <f t="array" ref="C776">ifs(and(isblank($A776),isblank($B776)),"", not(iserror(vlookup($A776&amp;$B776,'5) Release_Track'!$F:$F&amp;'5) Release_Track'!$G:$G,1,0))),vlookup($A776&amp;$B776,{'5) Release_Track'!$F:$F&amp;'5) Release_Track'!$G:$G,'5) Release_Track'!$H:$H},2,0), or(and(not(isblank($B776)),$B776=$B775,$A776&lt;&gt;$A775),and(not(isblank($A776)),$A776=$A775,$B776&lt;&gt;$B775)),"ID LISTS UNALIGNED",and($A776&lt;&gt;"",countif('5) Release_Track'!$F:$F,$A776)=0),"NO ISRC MATCH in Release_Track",and($B776&lt;&gt;"",countif('5) Release_Track'!$G:$G,$B776)=0),"NO CATALOG ID MATCH in Release_Track",iserror(vlookup($A776&amp;$B776,'5) Release_Track'!$F:$F&amp;'5) Release_Track'!$G:$G,1,0)),"NO ISRC-CATALOG ID pair MATCH in Release_Track" )</f>
        <v/>
      </c>
      <c r="D776" s="121" t="str">
        <f t="array" ref="D776">ifs(and(isblank($A776),isblank($B776)),"", not(iserror(vlookup($A776&amp;$B776,'5) Release_Track'!$F:$F&amp;'5) Release_Track'!$G:$G,1,0))),vlookup($A776&amp;$B776,{'5) Release_Track'!$F:$F&amp;'5) Release_Track'!$G:$G,'5) Release_Track'!$I:$I},2,0), or(and(not(isblank($B776)),$B776=$B775,$A776&lt;&gt;$A775),and(not(isblank($A776)),$A776=$A775,$B776&lt;&gt;$B775)),"ID LISTS UNALIGNED",and($A776&lt;&gt;"",countif('5) Release_Track'!$F:$F,$A776)=0),"NO ISRC MATCH in Release_Track",and($B776&lt;&gt;"",countif('5) Release_Track'!$G:$G,$B776)=0),"NO CATALOG ID MATCH in Release_Track",iserror(vlookup($A776&amp;$B776,'5) Release_Track'!$F:$F&amp;'5) Release_Track'!$G:$G,1,0)),"NO ISRC-CATALOG ID pair MATCH in Release_Track" )</f>
        <v/>
      </c>
      <c r="E776" s="142" t="b">
        <v>0</v>
      </c>
      <c r="F776" s="142" t="b">
        <v>0</v>
      </c>
      <c r="G776" s="142" t="b">
        <v>0</v>
      </c>
      <c r="H776" s="142" t="b">
        <v>0</v>
      </c>
      <c r="I776" s="142" t="b">
        <v>0</v>
      </c>
      <c r="J776" s="142" t="b">
        <v>0</v>
      </c>
      <c r="K776" s="142" t="b">
        <v>0</v>
      </c>
      <c r="L776" s="8" t="b">
        <v>0</v>
      </c>
    </row>
    <row r="777">
      <c r="B777" s="103"/>
      <c r="C777" s="121" t="str">
        <f t="array" ref="C777">ifs(and(isblank($A777),isblank($B777)),"", not(iserror(vlookup($A777&amp;$B777,'5) Release_Track'!$F:$F&amp;'5) Release_Track'!$G:$G,1,0))),vlookup($A777&amp;$B777,{'5) Release_Track'!$F:$F&amp;'5) Release_Track'!$G:$G,'5) Release_Track'!$H:$H},2,0), or(and(not(isblank($B777)),$B777=$B776,$A777&lt;&gt;$A776),and(not(isblank($A777)),$A777=$A776,$B777&lt;&gt;$B776)),"ID LISTS UNALIGNED",and($A777&lt;&gt;"",countif('5) Release_Track'!$F:$F,$A777)=0),"NO ISRC MATCH in Release_Track",and($B777&lt;&gt;"",countif('5) Release_Track'!$G:$G,$B777)=0),"NO CATALOG ID MATCH in Release_Track",iserror(vlookup($A777&amp;$B777,'5) Release_Track'!$F:$F&amp;'5) Release_Track'!$G:$G,1,0)),"NO ISRC-CATALOG ID pair MATCH in Release_Track" )</f>
        <v/>
      </c>
      <c r="D777" s="121" t="str">
        <f t="array" ref="D777">ifs(and(isblank($A777),isblank($B777)),"", not(iserror(vlookup($A777&amp;$B777,'5) Release_Track'!$F:$F&amp;'5) Release_Track'!$G:$G,1,0))),vlookup($A777&amp;$B777,{'5) Release_Track'!$F:$F&amp;'5) Release_Track'!$G:$G,'5) Release_Track'!$I:$I},2,0), or(and(not(isblank($B777)),$B777=$B776,$A777&lt;&gt;$A776),and(not(isblank($A777)),$A777=$A776,$B777&lt;&gt;$B776)),"ID LISTS UNALIGNED",and($A777&lt;&gt;"",countif('5) Release_Track'!$F:$F,$A777)=0),"NO ISRC MATCH in Release_Track",and($B777&lt;&gt;"",countif('5) Release_Track'!$G:$G,$B777)=0),"NO CATALOG ID MATCH in Release_Track",iserror(vlookup($A777&amp;$B777,'5) Release_Track'!$F:$F&amp;'5) Release_Track'!$G:$G,1,0)),"NO ISRC-CATALOG ID pair MATCH in Release_Track" )</f>
        <v/>
      </c>
      <c r="E777" s="142" t="b">
        <v>0</v>
      </c>
      <c r="F777" s="142" t="b">
        <v>0</v>
      </c>
      <c r="G777" s="142" t="b">
        <v>0</v>
      </c>
      <c r="H777" s="142" t="b">
        <v>0</v>
      </c>
      <c r="I777" s="142" t="b">
        <v>0</v>
      </c>
      <c r="J777" s="142" t="b">
        <v>0</v>
      </c>
      <c r="K777" s="142" t="b">
        <v>0</v>
      </c>
      <c r="L777" s="8" t="b">
        <v>0</v>
      </c>
    </row>
    <row r="778">
      <c r="B778" s="103"/>
      <c r="C778" s="121" t="str">
        <f t="array" ref="C778">ifs(and(isblank($A778),isblank($B778)),"", not(iserror(vlookup($A778&amp;$B778,'5) Release_Track'!$F:$F&amp;'5) Release_Track'!$G:$G,1,0))),vlookup($A778&amp;$B778,{'5) Release_Track'!$F:$F&amp;'5) Release_Track'!$G:$G,'5) Release_Track'!$H:$H},2,0), or(and(not(isblank($B778)),$B778=$B777,$A778&lt;&gt;$A777),and(not(isblank($A778)),$A778=$A777,$B778&lt;&gt;$B777)),"ID LISTS UNALIGNED",and($A778&lt;&gt;"",countif('5) Release_Track'!$F:$F,$A778)=0),"NO ISRC MATCH in Release_Track",and($B778&lt;&gt;"",countif('5) Release_Track'!$G:$G,$B778)=0),"NO CATALOG ID MATCH in Release_Track",iserror(vlookup($A778&amp;$B778,'5) Release_Track'!$F:$F&amp;'5) Release_Track'!$G:$G,1,0)),"NO ISRC-CATALOG ID pair MATCH in Release_Track" )</f>
        <v/>
      </c>
      <c r="D778" s="121" t="str">
        <f t="array" ref="D778">ifs(and(isblank($A778),isblank($B778)),"", not(iserror(vlookup($A778&amp;$B778,'5) Release_Track'!$F:$F&amp;'5) Release_Track'!$G:$G,1,0))),vlookup($A778&amp;$B778,{'5) Release_Track'!$F:$F&amp;'5) Release_Track'!$G:$G,'5) Release_Track'!$I:$I},2,0), or(and(not(isblank($B778)),$B778=$B777,$A778&lt;&gt;$A777),and(not(isblank($A778)),$A778=$A777,$B778&lt;&gt;$B777)),"ID LISTS UNALIGNED",and($A778&lt;&gt;"",countif('5) Release_Track'!$F:$F,$A778)=0),"NO ISRC MATCH in Release_Track",and($B778&lt;&gt;"",countif('5) Release_Track'!$G:$G,$B778)=0),"NO CATALOG ID MATCH in Release_Track",iserror(vlookup($A778&amp;$B778,'5) Release_Track'!$F:$F&amp;'5) Release_Track'!$G:$G,1,0)),"NO ISRC-CATALOG ID pair MATCH in Release_Track" )</f>
        <v/>
      </c>
      <c r="E778" s="142" t="b">
        <v>0</v>
      </c>
      <c r="F778" s="142" t="b">
        <v>0</v>
      </c>
      <c r="G778" s="142" t="b">
        <v>0</v>
      </c>
      <c r="H778" s="142" t="b">
        <v>0</v>
      </c>
      <c r="I778" s="142" t="b">
        <v>0</v>
      </c>
      <c r="J778" s="142" t="b">
        <v>0</v>
      </c>
      <c r="K778" s="142" t="b">
        <v>0</v>
      </c>
      <c r="L778" s="8" t="b">
        <v>0</v>
      </c>
    </row>
    <row r="779">
      <c r="B779" s="103"/>
      <c r="C779" s="121" t="str">
        <f t="array" ref="C779">ifs(and(isblank($A779),isblank($B779)),"", not(iserror(vlookup($A779&amp;$B779,'5) Release_Track'!$F:$F&amp;'5) Release_Track'!$G:$G,1,0))),vlookup($A779&amp;$B779,{'5) Release_Track'!$F:$F&amp;'5) Release_Track'!$G:$G,'5) Release_Track'!$H:$H},2,0), or(and(not(isblank($B779)),$B779=$B778,$A779&lt;&gt;$A778),and(not(isblank($A779)),$A779=$A778,$B779&lt;&gt;$B778)),"ID LISTS UNALIGNED",and($A779&lt;&gt;"",countif('5) Release_Track'!$F:$F,$A779)=0),"NO ISRC MATCH in Release_Track",and($B779&lt;&gt;"",countif('5) Release_Track'!$G:$G,$B779)=0),"NO CATALOG ID MATCH in Release_Track",iserror(vlookup($A779&amp;$B779,'5) Release_Track'!$F:$F&amp;'5) Release_Track'!$G:$G,1,0)),"NO ISRC-CATALOG ID pair MATCH in Release_Track" )</f>
        <v/>
      </c>
      <c r="D779" s="121" t="str">
        <f t="array" ref="D779">ifs(and(isblank($A779),isblank($B779)),"", not(iserror(vlookup($A779&amp;$B779,'5) Release_Track'!$F:$F&amp;'5) Release_Track'!$G:$G,1,0))),vlookup($A779&amp;$B779,{'5) Release_Track'!$F:$F&amp;'5) Release_Track'!$G:$G,'5) Release_Track'!$I:$I},2,0), or(and(not(isblank($B779)),$B779=$B778,$A779&lt;&gt;$A778),and(not(isblank($A779)),$A779=$A778,$B779&lt;&gt;$B778)),"ID LISTS UNALIGNED",and($A779&lt;&gt;"",countif('5) Release_Track'!$F:$F,$A779)=0),"NO ISRC MATCH in Release_Track",and($B779&lt;&gt;"",countif('5) Release_Track'!$G:$G,$B779)=0),"NO CATALOG ID MATCH in Release_Track",iserror(vlookup($A779&amp;$B779,'5) Release_Track'!$F:$F&amp;'5) Release_Track'!$G:$G,1,0)),"NO ISRC-CATALOG ID pair MATCH in Release_Track" )</f>
        <v/>
      </c>
      <c r="E779" s="142" t="b">
        <v>0</v>
      </c>
      <c r="F779" s="142" t="b">
        <v>0</v>
      </c>
      <c r="G779" s="142" t="b">
        <v>0</v>
      </c>
      <c r="H779" s="142" t="b">
        <v>0</v>
      </c>
      <c r="I779" s="142" t="b">
        <v>0</v>
      </c>
      <c r="J779" s="142" t="b">
        <v>0</v>
      </c>
      <c r="K779" s="142" t="b">
        <v>0</v>
      </c>
      <c r="L779" s="8" t="b">
        <v>0</v>
      </c>
    </row>
    <row r="780">
      <c r="B780" s="103"/>
      <c r="C780" s="121" t="str">
        <f t="array" ref="C780">ifs(and(isblank($A780),isblank($B780)),"", not(iserror(vlookup($A780&amp;$B780,'5) Release_Track'!$F:$F&amp;'5) Release_Track'!$G:$G,1,0))),vlookup($A780&amp;$B780,{'5) Release_Track'!$F:$F&amp;'5) Release_Track'!$G:$G,'5) Release_Track'!$H:$H},2,0), or(and(not(isblank($B780)),$B780=$B779,$A780&lt;&gt;$A779),and(not(isblank($A780)),$A780=$A779,$B780&lt;&gt;$B779)),"ID LISTS UNALIGNED",and($A780&lt;&gt;"",countif('5) Release_Track'!$F:$F,$A780)=0),"NO ISRC MATCH in Release_Track",and($B780&lt;&gt;"",countif('5) Release_Track'!$G:$G,$B780)=0),"NO CATALOG ID MATCH in Release_Track",iserror(vlookup($A780&amp;$B780,'5) Release_Track'!$F:$F&amp;'5) Release_Track'!$G:$G,1,0)),"NO ISRC-CATALOG ID pair MATCH in Release_Track" )</f>
        <v/>
      </c>
      <c r="D780" s="121" t="str">
        <f t="array" ref="D780">ifs(and(isblank($A780),isblank($B780)),"", not(iserror(vlookup($A780&amp;$B780,'5) Release_Track'!$F:$F&amp;'5) Release_Track'!$G:$G,1,0))),vlookup($A780&amp;$B780,{'5) Release_Track'!$F:$F&amp;'5) Release_Track'!$G:$G,'5) Release_Track'!$I:$I},2,0), or(and(not(isblank($B780)),$B780=$B779,$A780&lt;&gt;$A779),and(not(isblank($A780)),$A780=$A779,$B780&lt;&gt;$B779)),"ID LISTS UNALIGNED",and($A780&lt;&gt;"",countif('5) Release_Track'!$F:$F,$A780)=0),"NO ISRC MATCH in Release_Track",and($B780&lt;&gt;"",countif('5) Release_Track'!$G:$G,$B780)=0),"NO CATALOG ID MATCH in Release_Track",iserror(vlookup($A780&amp;$B780,'5) Release_Track'!$F:$F&amp;'5) Release_Track'!$G:$G,1,0)),"NO ISRC-CATALOG ID pair MATCH in Release_Track" )</f>
        <v/>
      </c>
      <c r="E780" s="142" t="b">
        <v>0</v>
      </c>
      <c r="F780" s="142" t="b">
        <v>0</v>
      </c>
      <c r="G780" s="142" t="b">
        <v>0</v>
      </c>
      <c r="H780" s="142" t="b">
        <v>0</v>
      </c>
      <c r="I780" s="142" t="b">
        <v>0</v>
      </c>
      <c r="J780" s="142" t="b">
        <v>0</v>
      </c>
      <c r="K780" s="142" t="b">
        <v>0</v>
      </c>
      <c r="L780" s="8" t="b">
        <v>0</v>
      </c>
    </row>
    <row r="781">
      <c r="B781" s="103"/>
      <c r="C781" s="121" t="str">
        <f t="array" ref="C781">ifs(and(isblank($A781),isblank($B781)),"", not(iserror(vlookup($A781&amp;$B781,'5) Release_Track'!$F:$F&amp;'5) Release_Track'!$G:$G,1,0))),vlookup($A781&amp;$B781,{'5) Release_Track'!$F:$F&amp;'5) Release_Track'!$G:$G,'5) Release_Track'!$H:$H},2,0), or(and(not(isblank($B781)),$B781=$B780,$A781&lt;&gt;$A780),and(not(isblank($A781)),$A781=$A780,$B781&lt;&gt;$B780)),"ID LISTS UNALIGNED",and($A781&lt;&gt;"",countif('5) Release_Track'!$F:$F,$A781)=0),"NO ISRC MATCH in Release_Track",and($B781&lt;&gt;"",countif('5) Release_Track'!$G:$G,$B781)=0),"NO CATALOG ID MATCH in Release_Track",iserror(vlookup($A781&amp;$B781,'5) Release_Track'!$F:$F&amp;'5) Release_Track'!$G:$G,1,0)),"NO ISRC-CATALOG ID pair MATCH in Release_Track" )</f>
        <v/>
      </c>
      <c r="D781" s="121" t="str">
        <f t="array" ref="D781">ifs(and(isblank($A781),isblank($B781)),"", not(iserror(vlookup($A781&amp;$B781,'5) Release_Track'!$F:$F&amp;'5) Release_Track'!$G:$G,1,0))),vlookup($A781&amp;$B781,{'5) Release_Track'!$F:$F&amp;'5) Release_Track'!$G:$G,'5) Release_Track'!$I:$I},2,0), or(and(not(isblank($B781)),$B781=$B780,$A781&lt;&gt;$A780),and(not(isblank($A781)),$A781=$A780,$B781&lt;&gt;$B780)),"ID LISTS UNALIGNED",and($A781&lt;&gt;"",countif('5) Release_Track'!$F:$F,$A781)=0),"NO ISRC MATCH in Release_Track",and($B781&lt;&gt;"",countif('5) Release_Track'!$G:$G,$B781)=0),"NO CATALOG ID MATCH in Release_Track",iserror(vlookup($A781&amp;$B781,'5) Release_Track'!$F:$F&amp;'5) Release_Track'!$G:$G,1,0)),"NO ISRC-CATALOG ID pair MATCH in Release_Track" )</f>
        <v/>
      </c>
      <c r="E781" s="142" t="b">
        <v>0</v>
      </c>
      <c r="F781" s="142" t="b">
        <v>0</v>
      </c>
      <c r="G781" s="142" t="b">
        <v>0</v>
      </c>
      <c r="H781" s="142" t="b">
        <v>0</v>
      </c>
      <c r="I781" s="142" t="b">
        <v>0</v>
      </c>
      <c r="J781" s="142" t="b">
        <v>0</v>
      </c>
      <c r="K781" s="142" t="b">
        <v>0</v>
      </c>
      <c r="L781" s="8" t="b">
        <v>0</v>
      </c>
    </row>
    <row r="782">
      <c r="B782" s="103"/>
      <c r="C782" s="121" t="str">
        <f t="array" ref="C782">ifs(and(isblank($A782),isblank($B782)),"", not(iserror(vlookup($A782&amp;$B782,'5) Release_Track'!$F:$F&amp;'5) Release_Track'!$G:$G,1,0))),vlookup($A782&amp;$B782,{'5) Release_Track'!$F:$F&amp;'5) Release_Track'!$G:$G,'5) Release_Track'!$H:$H},2,0), or(and(not(isblank($B782)),$B782=$B781,$A782&lt;&gt;$A781),and(not(isblank($A782)),$A782=$A781,$B782&lt;&gt;$B781)),"ID LISTS UNALIGNED",and($A782&lt;&gt;"",countif('5) Release_Track'!$F:$F,$A782)=0),"NO ISRC MATCH in Release_Track",and($B782&lt;&gt;"",countif('5) Release_Track'!$G:$G,$B782)=0),"NO CATALOG ID MATCH in Release_Track",iserror(vlookup($A782&amp;$B782,'5) Release_Track'!$F:$F&amp;'5) Release_Track'!$G:$G,1,0)),"NO ISRC-CATALOG ID pair MATCH in Release_Track" )</f>
        <v/>
      </c>
      <c r="D782" s="121" t="str">
        <f t="array" ref="D782">ifs(and(isblank($A782),isblank($B782)),"", not(iserror(vlookup($A782&amp;$B782,'5) Release_Track'!$F:$F&amp;'5) Release_Track'!$G:$G,1,0))),vlookup($A782&amp;$B782,{'5) Release_Track'!$F:$F&amp;'5) Release_Track'!$G:$G,'5) Release_Track'!$I:$I},2,0), or(and(not(isblank($B782)),$B782=$B781,$A782&lt;&gt;$A781),and(not(isblank($A782)),$A782=$A781,$B782&lt;&gt;$B781)),"ID LISTS UNALIGNED",and($A782&lt;&gt;"",countif('5) Release_Track'!$F:$F,$A782)=0),"NO ISRC MATCH in Release_Track",and($B782&lt;&gt;"",countif('5) Release_Track'!$G:$G,$B782)=0),"NO CATALOG ID MATCH in Release_Track",iserror(vlookup($A782&amp;$B782,'5) Release_Track'!$F:$F&amp;'5) Release_Track'!$G:$G,1,0)),"NO ISRC-CATALOG ID pair MATCH in Release_Track" )</f>
        <v/>
      </c>
      <c r="E782" s="142" t="b">
        <v>0</v>
      </c>
      <c r="F782" s="142" t="b">
        <v>0</v>
      </c>
      <c r="G782" s="142" t="b">
        <v>0</v>
      </c>
      <c r="H782" s="142" t="b">
        <v>0</v>
      </c>
      <c r="I782" s="142" t="b">
        <v>0</v>
      </c>
      <c r="J782" s="142" t="b">
        <v>0</v>
      </c>
      <c r="K782" s="142" t="b">
        <v>0</v>
      </c>
      <c r="L782" s="8" t="b">
        <v>0</v>
      </c>
    </row>
    <row r="783">
      <c r="B783" s="103"/>
      <c r="C783" s="121" t="str">
        <f t="array" ref="C783">ifs(and(isblank($A783),isblank($B783)),"", not(iserror(vlookup($A783&amp;$B783,'5) Release_Track'!$F:$F&amp;'5) Release_Track'!$G:$G,1,0))),vlookup($A783&amp;$B783,{'5) Release_Track'!$F:$F&amp;'5) Release_Track'!$G:$G,'5) Release_Track'!$H:$H},2,0), or(and(not(isblank($B783)),$B783=$B782,$A783&lt;&gt;$A782),and(not(isblank($A783)),$A783=$A782,$B783&lt;&gt;$B782)),"ID LISTS UNALIGNED",and($A783&lt;&gt;"",countif('5) Release_Track'!$F:$F,$A783)=0),"NO ISRC MATCH in Release_Track",and($B783&lt;&gt;"",countif('5) Release_Track'!$G:$G,$B783)=0),"NO CATALOG ID MATCH in Release_Track",iserror(vlookup($A783&amp;$B783,'5) Release_Track'!$F:$F&amp;'5) Release_Track'!$G:$G,1,0)),"NO ISRC-CATALOG ID pair MATCH in Release_Track" )</f>
        <v/>
      </c>
      <c r="D783" s="121" t="str">
        <f t="array" ref="D783">ifs(and(isblank($A783),isblank($B783)),"", not(iserror(vlookup($A783&amp;$B783,'5) Release_Track'!$F:$F&amp;'5) Release_Track'!$G:$G,1,0))),vlookup($A783&amp;$B783,{'5) Release_Track'!$F:$F&amp;'5) Release_Track'!$G:$G,'5) Release_Track'!$I:$I},2,0), or(and(not(isblank($B783)),$B783=$B782,$A783&lt;&gt;$A782),and(not(isblank($A783)),$A783=$A782,$B783&lt;&gt;$B782)),"ID LISTS UNALIGNED",and($A783&lt;&gt;"",countif('5) Release_Track'!$F:$F,$A783)=0),"NO ISRC MATCH in Release_Track",and($B783&lt;&gt;"",countif('5) Release_Track'!$G:$G,$B783)=0),"NO CATALOG ID MATCH in Release_Track",iserror(vlookup($A783&amp;$B783,'5) Release_Track'!$F:$F&amp;'5) Release_Track'!$G:$G,1,0)),"NO ISRC-CATALOG ID pair MATCH in Release_Track" )</f>
        <v/>
      </c>
      <c r="E783" s="142" t="b">
        <v>0</v>
      </c>
      <c r="F783" s="142" t="b">
        <v>0</v>
      </c>
      <c r="G783" s="142" t="b">
        <v>0</v>
      </c>
      <c r="H783" s="142" t="b">
        <v>0</v>
      </c>
      <c r="I783" s="142" t="b">
        <v>0</v>
      </c>
      <c r="J783" s="142" t="b">
        <v>0</v>
      </c>
      <c r="K783" s="142" t="b">
        <v>0</v>
      </c>
      <c r="L783" s="8" t="b">
        <v>0</v>
      </c>
    </row>
    <row r="784">
      <c r="B784" s="103"/>
      <c r="C784" s="121" t="str">
        <f t="array" ref="C784">ifs(and(isblank($A784),isblank($B784)),"", not(iserror(vlookup($A784&amp;$B784,'5) Release_Track'!$F:$F&amp;'5) Release_Track'!$G:$G,1,0))),vlookup($A784&amp;$B784,{'5) Release_Track'!$F:$F&amp;'5) Release_Track'!$G:$G,'5) Release_Track'!$H:$H},2,0), or(and(not(isblank($B784)),$B784=$B783,$A784&lt;&gt;$A783),and(not(isblank($A784)),$A784=$A783,$B784&lt;&gt;$B783)),"ID LISTS UNALIGNED",and($A784&lt;&gt;"",countif('5) Release_Track'!$F:$F,$A784)=0),"NO ISRC MATCH in Release_Track",and($B784&lt;&gt;"",countif('5) Release_Track'!$G:$G,$B784)=0),"NO CATALOG ID MATCH in Release_Track",iserror(vlookup($A784&amp;$B784,'5) Release_Track'!$F:$F&amp;'5) Release_Track'!$G:$G,1,0)),"NO ISRC-CATALOG ID pair MATCH in Release_Track" )</f>
        <v/>
      </c>
      <c r="D784" s="121" t="str">
        <f t="array" ref="D784">ifs(and(isblank($A784),isblank($B784)),"", not(iserror(vlookup($A784&amp;$B784,'5) Release_Track'!$F:$F&amp;'5) Release_Track'!$G:$G,1,0))),vlookup($A784&amp;$B784,{'5) Release_Track'!$F:$F&amp;'5) Release_Track'!$G:$G,'5) Release_Track'!$I:$I},2,0), or(and(not(isblank($B784)),$B784=$B783,$A784&lt;&gt;$A783),and(not(isblank($A784)),$A784=$A783,$B784&lt;&gt;$B783)),"ID LISTS UNALIGNED",and($A784&lt;&gt;"",countif('5) Release_Track'!$F:$F,$A784)=0),"NO ISRC MATCH in Release_Track",and($B784&lt;&gt;"",countif('5) Release_Track'!$G:$G,$B784)=0),"NO CATALOG ID MATCH in Release_Track",iserror(vlookup($A784&amp;$B784,'5) Release_Track'!$F:$F&amp;'5) Release_Track'!$G:$G,1,0)),"NO ISRC-CATALOG ID pair MATCH in Release_Track" )</f>
        <v/>
      </c>
      <c r="E784" s="142" t="b">
        <v>0</v>
      </c>
      <c r="F784" s="142" t="b">
        <v>0</v>
      </c>
      <c r="G784" s="142" t="b">
        <v>0</v>
      </c>
      <c r="H784" s="142" t="b">
        <v>0</v>
      </c>
      <c r="I784" s="142" t="b">
        <v>0</v>
      </c>
      <c r="J784" s="142" t="b">
        <v>0</v>
      </c>
      <c r="K784" s="142" t="b">
        <v>0</v>
      </c>
      <c r="L784" s="8" t="b">
        <v>0</v>
      </c>
    </row>
    <row r="785">
      <c r="B785" s="103"/>
      <c r="C785" s="121" t="str">
        <f t="array" ref="C785">ifs(and(isblank($A785),isblank($B785)),"", not(iserror(vlookup($A785&amp;$B785,'5) Release_Track'!$F:$F&amp;'5) Release_Track'!$G:$G,1,0))),vlookup($A785&amp;$B785,{'5) Release_Track'!$F:$F&amp;'5) Release_Track'!$G:$G,'5) Release_Track'!$H:$H},2,0), or(and(not(isblank($B785)),$B785=$B784,$A785&lt;&gt;$A784),and(not(isblank($A785)),$A785=$A784,$B785&lt;&gt;$B784)),"ID LISTS UNALIGNED",and($A785&lt;&gt;"",countif('5) Release_Track'!$F:$F,$A785)=0),"NO ISRC MATCH in Release_Track",and($B785&lt;&gt;"",countif('5) Release_Track'!$G:$G,$B785)=0),"NO CATALOG ID MATCH in Release_Track",iserror(vlookup($A785&amp;$B785,'5) Release_Track'!$F:$F&amp;'5) Release_Track'!$G:$G,1,0)),"NO ISRC-CATALOG ID pair MATCH in Release_Track" )</f>
        <v/>
      </c>
      <c r="D785" s="121" t="str">
        <f t="array" ref="D785">ifs(and(isblank($A785),isblank($B785)),"", not(iserror(vlookup($A785&amp;$B785,'5) Release_Track'!$F:$F&amp;'5) Release_Track'!$G:$G,1,0))),vlookup($A785&amp;$B785,{'5) Release_Track'!$F:$F&amp;'5) Release_Track'!$G:$G,'5) Release_Track'!$I:$I},2,0), or(and(not(isblank($B785)),$B785=$B784,$A785&lt;&gt;$A784),and(not(isblank($A785)),$A785=$A784,$B785&lt;&gt;$B784)),"ID LISTS UNALIGNED",and($A785&lt;&gt;"",countif('5) Release_Track'!$F:$F,$A785)=0),"NO ISRC MATCH in Release_Track",and($B785&lt;&gt;"",countif('5) Release_Track'!$G:$G,$B785)=0),"NO CATALOG ID MATCH in Release_Track",iserror(vlookup($A785&amp;$B785,'5) Release_Track'!$F:$F&amp;'5) Release_Track'!$G:$G,1,0)),"NO ISRC-CATALOG ID pair MATCH in Release_Track" )</f>
        <v/>
      </c>
      <c r="E785" s="142" t="b">
        <v>0</v>
      </c>
      <c r="F785" s="142" t="b">
        <v>0</v>
      </c>
      <c r="G785" s="142" t="b">
        <v>0</v>
      </c>
      <c r="H785" s="142" t="b">
        <v>0</v>
      </c>
      <c r="I785" s="142" t="b">
        <v>0</v>
      </c>
      <c r="J785" s="142" t="b">
        <v>0</v>
      </c>
      <c r="K785" s="142" t="b">
        <v>0</v>
      </c>
      <c r="L785" s="8" t="b">
        <v>0</v>
      </c>
    </row>
    <row r="786">
      <c r="B786" s="103"/>
      <c r="C786" s="121" t="str">
        <f t="array" ref="C786">ifs(and(isblank($A786),isblank($B786)),"", not(iserror(vlookup($A786&amp;$B786,'5) Release_Track'!$F:$F&amp;'5) Release_Track'!$G:$G,1,0))),vlookup($A786&amp;$B786,{'5) Release_Track'!$F:$F&amp;'5) Release_Track'!$G:$G,'5) Release_Track'!$H:$H},2,0), or(and(not(isblank($B786)),$B786=$B785,$A786&lt;&gt;$A785),and(not(isblank($A786)),$A786=$A785,$B786&lt;&gt;$B785)),"ID LISTS UNALIGNED",and($A786&lt;&gt;"",countif('5) Release_Track'!$F:$F,$A786)=0),"NO ISRC MATCH in Release_Track",and($B786&lt;&gt;"",countif('5) Release_Track'!$G:$G,$B786)=0),"NO CATALOG ID MATCH in Release_Track",iserror(vlookup($A786&amp;$B786,'5) Release_Track'!$F:$F&amp;'5) Release_Track'!$G:$G,1,0)),"NO ISRC-CATALOG ID pair MATCH in Release_Track" )</f>
        <v/>
      </c>
      <c r="D786" s="121" t="str">
        <f t="array" ref="D786">ifs(and(isblank($A786),isblank($B786)),"", not(iserror(vlookup($A786&amp;$B786,'5) Release_Track'!$F:$F&amp;'5) Release_Track'!$G:$G,1,0))),vlookup($A786&amp;$B786,{'5) Release_Track'!$F:$F&amp;'5) Release_Track'!$G:$G,'5) Release_Track'!$I:$I},2,0), or(and(not(isblank($B786)),$B786=$B785,$A786&lt;&gt;$A785),and(not(isblank($A786)),$A786=$A785,$B786&lt;&gt;$B785)),"ID LISTS UNALIGNED",and($A786&lt;&gt;"",countif('5) Release_Track'!$F:$F,$A786)=0),"NO ISRC MATCH in Release_Track",and($B786&lt;&gt;"",countif('5) Release_Track'!$G:$G,$B786)=0),"NO CATALOG ID MATCH in Release_Track",iserror(vlookup($A786&amp;$B786,'5) Release_Track'!$F:$F&amp;'5) Release_Track'!$G:$G,1,0)),"NO ISRC-CATALOG ID pair MATCH in Release_Track" )</f>
        <v/>
      </c>
      <c r="E786" s="142" t="b">
        <v>0</v>
      </c>
      <c r="F786" s="142" t="b">
        <v>0</v>
      </c>
      <c r="G786" s="142" t="b">
        <v>0</v>
      </c>
      <c r="H786" s="142" t="b">
        <v>0</v>
      </c>
      <c r="I786" s="142" t="b">
        <v>0</v>
      </c>
      <c r="J786" s="142" t="b">
        <v>0</v>
      </c>
      <c r="K786" s="142" t="b">
        <v>0</v>
      </c>
      <c r="L786" s="8" t="b">
        <v>0</v>
      </c>
    </row>
    <row r="787">
      <c r="B787" s="103"/>
      <c r="C787" s="121" t="str">
        <f t="array" ref="C787">ifs(and(isblank($A787),isblank($B787)),"", not(iserror(vlookup($A787&amp;$B787,'5) Release_Track'!$F:$F&amp;'5) Release_Track'!$G:$G,1,0))),vlookup($A787&amp;$B787,{'5) Release_Track'!$F:$F&amp;'5) Release_Track'!$G:$G,'5) Release_Track'!$H:$H},2,0), or(and(not(isblank($B787)),$B787=$B786,$A787&lt;&gt;$A786),and(not(isblank($A787)),$A787=$A786,$B787&lt;&gt;$B786)),"ID LISTS UNALIGNED",and($A787&lt;&gt;"",countif('5) Release_Track'!$F:$F,$A787)=0),"NO ISRC MATCH in Release_Track",and($B787&lt;&gt;"",countif('5) Release_Track'!$G:$G,$B787)=0),"NO CATALOG ID MATCH in Release_Track",iserror(vlookup($A787&amp;$B787,'5) Release_Track'!$F:$F&amp;'5) Release_Track'!$G:$G,1,0)),"NO ISRC-CATALOG ID pair MATCH in Release_Track" )</f>
        <v/>
      </c>
      <c r="D787" s="121" t="str">
        <f t="array" ref="D787">ifs(and(isblank($A787),isblank($B787)),"", not(iserror(vlookup($A787&amp;$B787,'5) Release_Track'!$F:$F&amp;'5) Release_Track'!$G:$G,1,0))),vlookup($A787&amp;$B787,{'5) Release_Track'!$F:$F&amp;'5) Release_Track'!$G:$G,'5) Release_Track'!$I:$I},2,0), or(and(not(isblank($B787)),$B787=$B786,$A787&lt;&gt;$A786),and(not(isblank($A787)),$A787=$A786,$B787&lt;&gt;$B786)),"ID LISTS UNALIGNED",and($A787&lt;&gt;"",countif('5) Release_Track'!$F:$F,$A787)=0),"NO ISRC MATCH in Release_Track",and($B787&lt;&gt;"",countif('5) Release_Track'!$G:$G,$B787)=0),"NO CATALOG ID MATCH in Release_Track",iserror(vlookup($A787&amp;$B787,'5) Release_Track'!$F:$F&amp;'5) Release_Track'!$G:$G,1,0)),"NO ISRC-CATALOG ID pair MATCH in Release_Track" )</f>
        <v/>
      </c>
      <c r="E787" s="142" t="b">
        <v>0</v>
      </c>
      <c r="F787" s="142" t="b">
        <v>0</v>
      </c>
      <c r="G787" s="142" t="b">
        <v>0</v>
      </c>
      <c r="H787" s="142" t="b">
        <v>0</v>
      </c>
      <c r="I787" s="142" t="b">
        <v>0</v>
      </c>
      <c r="J787" s="142" t="b">
        <v>0</v>
      </c>
      <c r="K787" s="142" t="b">
        <v>0</v>
      </c>
      <c r="L787" s="8" t="b">
        <v>0</v>
      </c>
    </row>
    <row r="788">
      <c r="B788" s="103"/>
      <c r="C788" s="121" t="str">
        <f t="array" ref="C788">ifs(and(isblank($A788),isblank($B788)),"", not(iserror(vlookup($A788&amp;$B788,'5) Release_Track'!$F:$F&amp;'5) Release_Track'!$G:$G,1,0))),vlookup($A788&amp;$B788,{'5) Release_Track'!$F:$F&amp;'5) Release_Track'!$G:$G,'5) Release_Track'!$H:$H},2,0), or(and(not(isblank($B788)),$B788=$B787,$A788&lt;&gt;$A787),and(not(isblank($A788)),$A788=$A787,$B788&lt;&gt;$B787)),"ID LISTS UNALIGNED",and($A788&lt;&gt;"",countif('5) Release_Track'!$F:$F,$A788)=0),"NO ISRC MATCH in Release_Track",and($B788&lt;&gt;"",countif('5) Release_Track'!$G:$G,$B788)=0),"NO CATALOG ID MATCH in Release_Track",iserror(vlookup($A788&amp;$B788,'5) Release_Track'!$F:$F&amp;'5) Release_Track'!$G:$G,1,0)),"NO ISRC-CATALOG ID pair MATCH in Release_Track" )</f>
        <v/>
      </c>
      <c r="D788" s="121" t="str">
        <f t="array" ref="D788">ifs(and(isblank($A788),isblank($B788)),"", not(iserror(vlookup($A788&amp;$B788,'5) Release_Track'!$F:$F&amp;'5) Release_Track'!$G:$G,1,0))),vlookup($A788&amp;$B788,{'5) Release_Track'!$F:$F&amp;'5) Release_Track'!$G:$G,'5) Release_Track'!$I:$I},2,0), or(and(not(isblank($B788)),$B788=$B787,$A788&lt;&gt;$A787),and(not(isblank($A788)),$A788=$A787,$B788&lt;&gt;$B787)),"ID LISTS UNALIGNED",and($A788&lt;&gt;"",countif('5) Release_Track'!$F:$F,$A788)=0),"NO ISRC MATCH in Release_Track",and($B788&lt;&gt;"",countif('5) Release_Track'!$G:$G,$B788)=0),"NO CATALOG ID MATCH in Release_Track",iserror(vlookup($A788&amp;$B788,'5) Release_Track'!$F:$F&amp;'5) Release_Track'!$G:$G,1,0)),"NO ISRC-CATALOG ID pair MATCH in Release_Track" )</f>
        <v/>
      </c>
      <c r="E788" s="142" t="b">
        <v>0</v>
      </c>
      <c r="F788" s="142" t="b">
        <v>0</v>
      </c>
      <c r="G788" s="142" t="b">
        <v>0</v>
      </c>
      <c r="H788" s="142" t="b">
        <v>0</v>
      </c>
      <c r="I788" s="142" t="b">
        <v>0</v>
      </c>
      <c r="J788" s="142" t="b">
        <v>0</v>
      </c>
      <c r="K788" s="142" t="b">
        <v>0</v>
      </c>
      <c r="L788" s="8" t="b">
        <v>0</v>
      </c>
    </row>
    <row r="789">
      <c r="B789" s="103"/>
      <c r="C789" s="121" t="str">
        <f t="array" ref="C789">ifs(and(isblank($A789),isblank($B789)),"", not(iserror(vlookup($A789&amp;$B789,'5) Release_Track'!$F:$F&amp;'5) Release_Track'!$G:$G,1,0))),vlookup($A789&amp;$B789,{'5) Release_Track'!$F:$F&amp;'5) Release_Track'!$G:$G,'5) Release_Track'!$H:$H},2,0), or(and(not(isblank($B789)),$B789=$B788,$A789&lt;&gt;$A788),and(not(isblank($A789)),$A789=$A788,$B789&lt;&gt;$B788)),"ID LISTS UNALIGNED",and($A789&lt;&gt;"",countif('5) Release_Track'!$F:$F,$A789)=0),"NO ISRC MATCH in Release_Track",and($B789&lt;&gt;"",countif('5) Release_Track'!$G:$G,$B789)=0),"NO CATALOG ID MATCH in Release_Track",iserror(vlookup($A789&amp;$B789,'5) Release_Track'!$F:$F&amp;'5) Release_Track'!$G:$G,1,0)),"NO ISRC-CATALOG ID pair MATCH in Release_Track" )</f>
        <v/>
      </c>
      <c r="D789" s="121" t="str">
        <f t="array" ref="D789">ifs(and(isblank($A789),isblank($B789)),"", not(iserror(vlookup($A789&amp;$B789,'5) Release_Track'!$F:$F&amp;'5) Release_Track'!$G:$G,1,0))),vlookup($A789&amp;$B789,{'5) Release_Track'!$F:$F&amp;'5) Release_Track'!$G:$G,'5) Release_Track'!$I:$I},2,0), or(and(not(isblank($B789)),$B789=$B788,$A789&lt;&gt;$A788),and(not(isblank($A789)),$A789=$A788,$B789&lt;&gt;$B788)),"ID LISTS UNALIGNED",and($A789&lt;&gt;"",countif('5) Release_Track'!$F:$F,$A789)=0),"NO ISRC MATCH in Release_Track",and($B789&lt;&gt;"",countif('5) Release_Track'!$G:$G,$B789)=0),"NO CATALOG ID MATCH in Release_Track",iserror(vlookup($A789&amp;$B789,'5) Release_Track'!$F:$F&amp;'5) Release_Track'!$G:$G,1,0)),"NO ISRC-CATALOG ID pair MATCH in Release_Track" )</f>
        <v/>
      </c>
      <c r="E789" s="142" t="b">
        <v>0</v>
      </c>
      <c r="F789" s="142" t="b">
        <v>0</v>
      </c>
      <c r="G789" s="142" t="b">
        <v>0</v>
      </c>
      <c r="H789" s="142" t="b">
        <v>0</v>
      </c>
      <c r="I789" s="142" t="b">
        <v>0</v>
      </c>
      <c r="J789" s="142" t="b">
        <v>0</v>
      </c>
      <c r="K789" s="142" t="b">
        <v>0</v>
      </c>
      <c r="L789" s="8" t="b">
        <v>0</v>
      </c>
    </row>
    <row r="790">
      <c r="B790" s="103"/>
      <c r="C790" s="121" t="str">
        <f t="array" ref="C790">ifs(and(isblank($A790),isblank($B790)),"", not(iserror(vlookup($A790&amp;$B790,'5) Release_Track'!$F:$F&amp;'5) Release_Track'!$G:$G,1,0))),vlookup($A790&amp;$B790,{'5) Release_Track'!$F:$F&amp;'5) Release_Track'!$G:$G,'5) Release_Track'!$H:$H},2,0), or(and(not(isblank($B790)),$B790=$B789,$A790&lt;&gt;$A789),and(not(isblank($A790)),$A790=$A789,$B790&lt;&gt;$B789)),"ID LISTS UNALIGNED",and($A790&lt;&gt;"",countif('5) Release_Track'!$F:$F,$A790)=0),"NO ISRC MATCH in Release_Track",and($B790&lt;&gt;"",countif('5) Release_Track'!$G:$G,$B790)=0),"NO CATALOG ID MATCH in Release_Track",iserror(vlookup($A790&amp;$B790,'5) Release_Track'!$F:$F&amp;'5) Release_Track'!$G:$G,1,0)),"NO ISRC-CATALOG ID pair MATCH in Release_Track" )</f>
        <v/>
      </c>
      <c r="D790" s="121" t="str">
        <f t="array" ref="D790">ifs(and(isblank($A790),isblank($B790)),"", not(iserror(vlookup($A790&amp;$B790,'5) Release_Track'!$F:$F&amp;'5) Release_Track'!$G:$G,1,0))),vlookup($A790&amp;$B790,{'5) Release_Track'!$F:$F&amp;'5) Release_Track'!$G:$G,'5) Release_Track'!$I:$I},2,0), or(and(not(isblank($B790)),$B790=$B789,$A790&lt;&gt;$A789),and(not(isblank($A790)),$A790=$A789,$B790&lt;&gt;$B789)),"ID LISTS UNALIGNED",and($A790&lt;&gt;"",countif('5) Release_Track'!$F:$F,$A790)=0),"NO ISRC MATCH in Release_Track",and($B790&lt;&gt;"",countif('5) Release_Track'!$G:$G,$B790)=0),"NO CATALOG ID MATCH in Release_Track",iserror(vlookup($A790&amp;$B790,'5) Release_Track'!$F:$F&amp;'5) Release_Track'!$G:$G,1,0)),"NO ISRC-CATALOG ID pair MATCH in Release_Track" )</f>
        <v/>
      </c>
      <c r="E790" s="142" t="b">
        <v>0</v>
      </c>
      <c r="F790" s="142" t="b">
        <v>0</v>
      </c>
      <c r="G790" s="142" t="b">
        <v>0</v>
      </c>
      <c r="H790" s="142" t="b">
        <v>0</v>
      </c>
      <c r="I790" s="142" t="b">
        <v>0</v>
      </c>
      <c r="J790" s="142" t="b">
        <v>0</v>
      </c>
      <c r="K790" s="142" t="b">
        <v>0</v>
      </c>
      <c r="L790" s="8" t="b">
        <v>0</v>
      </c>
    </row>
    <row r="791">
      <c r="B791" s="103"/>
      <c r="C791" s="121" t="str">
        <f t="array" ref="C791">ifs(and(isblank($A791),isblank($B791)),"", not(iserror(vlookup($A791&amp;$B791,'5) Release_Track'!$F:$F&amp;'5) Release_Track'!$G:$G,1,0))),vlookup($A791&amp;$B791,{'5) Release_Track'!$F:$F&amp;'5) Release_Track'!$G:$G,'5) Release_Track'!$H:$H},2,0), or(and(not(isblank($B791)),$B791=$B790,$A791&lt;&gt;$A790),and(not(isblank($A791)),$A791=$A790,$B791&lt;&gt;$B790)),"ID LISTS UNALIGNED",and($A791&lt;&gt;"",countif('5) Release_Track'!$F:$F,$A791)=0),"NO ISRC MATCH in Release_Track",and($B791&lt;&gt;"",countif('5) Release_Track'!$G:$G,$B791)=0),"NO CATALOG ID MATCH in Release_Track",iserror(vlookup($A791&amp;$B791,'5) Release_Track'!$F:$F&amp;'5) Release_Track'!$G:$G,1,0)),"NO ISRC-CATALOG ID pair MATCH in Release_Track" )</f>
        <v/>
      </c>
      <c r="D791" s="121" t="str">
        <f t="array" ref="D791">ifs(and(isblank($A791),isblank($B791)),"", not(iserror(vlookup($A791&amp;$B791,'5) Release_Track'!$F:$F&amp;'5) Release_Track'!$G:$G,1,0))),vlookup($A791&amp;$B791,{'5) Release_Track'!$F:$F&amp;'5) Release_Track'!$G:$G,'5) Release_Track'!$I:$I},2,0), or(and(not(isblank($B791)),$B791=$B790,$A791&lt;&gt;$A790),and(not(isblank($A791)),$A791=$A790,$B791&lt;&gt;$B790)),"ID LISTS UNALIGNED",and($A791&lt;&gt;"",countif('5) Release_Track'!$F:$F,$A791)=0),"NO ISRC MATCH in Release_Track",and($B791&lt;&gt;"",countif('5) Release_Track'!$G:$G,$B791)=0),"NO CATALOG ID MATCH in Release_Track",iserror(vlookup($A791&amp;$B791,'5) Release_Track'!$F:$F&amp;'5) Release_Track'!$G:$G,1,0)),"NO ISRC-CATALOG ID pair MATCH in Release_Track" )</f>
        <v/>
      </c>
      <c r="E791" s="142" t="b">
        <v>0</v>
      </c>
      <c r="F791" s="142" t="b">
        <v>0</v>
      </c>
      <c r="G791" s="142" t="b">
        <v>0</v>
      </c>
      <c r="H791" s="142" t="b">
        <v>0</v>
      </c>
      <c r="I791" s="142" t="b">
        <v>0</v>
      </c>
      <c r="J791" s="142" t="b">
        <v>0</v>
      </c>
      <c r="K791" s="142" t="b">
        <v>0</v>
      </c>
      <c r="L791" s="8" t="b">
        <v>0</v>
      </c>
    </row>
    <row r="792">
      <c r="B792" s="103"/>
      <c r="C792" s="121" t="str">
        <f t="array" ref="C792">ifs(and(isblank($A792),isblank($B792)),"", not(iserror(vlookup($A792&amp;$B792,'5) Release_Track'!$F:$F&amp;'5) Release_Track'!$G:$G,1,0))),vlookup($A792&amp;$B792,{'5) Release_Track'!$F:$F&amp;'5) Release_Track'!$G:$G,'5) Release_Track'!$H:$H},2,0), or(and(not(isblank($B792)),$B792=$B791,$A792&lt;&gt;$A791),and(not(isblank($A792)),$A792=$A791,$B792&lt;&gt;$B791)),"ID LISTS UNALIGNED",and($A792&lt;&gt;"",countif('5) Release_Track'!$F:$F,$A792)=0),"NO ISRC MATCH in Release_Track",and($B792&lt;&gt;"",countif('5) Release_Track'!$G:$G,$B792)=0),"NO CATALOG ID MATCH in Release_Track",iserror(vlookup($A792&amp;$B792,'5) Release_Track'!$F:$F&amp;'5) Release_Track'!$G:$G,1,0)),"NO ISRC-CATALOG ID pair MATCH in Release_Track" )</f>
        <v/>
      </c>
      <c r="D792" s="121" t="str">
        <f t="array" ref="D792">ifs(and(isblank($A792),isblank($B792)),"", not(iserror(vlookup($A792&amp;$B792,'5) Release_Track'!$F:$F&amp;'5) Release_Track'!$G:$G,1,0))),vlookup($A792&amp;$B792,{'5) Release_Track'!$F:$F&amp;'5) Release_Track'!$G:$G,'5) Release_Track'!$I:$I},2,0), or(and(not(isblank($B792)),$B792=$B791,$A792&lt;&gt;$A791),and(not(isblank($A792)),$A792=$A791,$B792&lt;&gt;$B791)),"ID LISTS UNALIGNED",and($A792&lt;&gt;"",countif('5) Release_Track'!$F:$F,$A792)=0),"NO ISRC MATCH in Release_Track",and($B792&lt;&gt;"",countif('5) Release_Track'!$G:$G,$B792)=0),"NO CATALOG ID MATCH in Release_Track",iserror(vlookup($A792&amp;$B792,'5) Release_Track'!$F:$F&amp;'5) Release_Track'!$G:$G,1,0)),"NO ISRC-CATALOG ID pair MATCH in Release_Track" )</f>
        <v/>
      </c>
      <c r="E792" s="142" t="b">
        <v>0</v>
      </c>
      <c r="F792" s="142" t="b">
        <v>0</v>
      </c>
      <c r="G792" s="142" t="b">
        <v>0</v>
      </c>
      <c r="H792" s="142" t="b">
        <v>0</v>
      </c>
      <c r="I792" s="142" t="b">
        <v>0</v>
      </c>
      <c r="J792" s="142" t="b">
        <v>0</v>
      </c>
      <c r="K792" s="142" t="b">
        <v>0</v>
      </c>
      <c r="L792" s="8" t="b">
        <v>0</v>
      </c>
    </row>
    <row r="793">
      <c r="B793" s="103"/>
      <c r="C793" s="121" t="str">
        <f t="array" ref="C793">ifs(and(isblank($A793),isblank($B793)),"", not(iserror(vlookup($A793&amp;$B793,'5) Release_Track'!$F:$F&amp;'5) Release_Track'!$G:$G,1,0))),vlookup($A793&amp;$B793,{'5) Release_Track'!$F:$F&amp;'5) Release_Track'!$G:$G,'5) Release_Track'!$H:$H},2,0), or(and(not(isblank($B793)),$B793=$B792,$A793&lt;&gt;$A792),and(not(isblank($A793)),$A793=$A792,$B793&lt;&gt;$B792)),"ID LISTS UNALIGNED",and($A793&lt;&gt;"",countif('5) Release_Track'!$F:$F,$A793)=0),"NO ISRC MATCH in Release_Track",and($B793&lt;&gt;"",countif('5) Release_Track'!$G:$G,$B793)=0),"NO CATALOG ID MATCH in Release_Track",iserror(vlookup($A793&amp;$B793,'5) Release_Track'!$F:$F&amp;'5) Release_Track'!$G:$G,1,0)),"NO ISRC-CATALOG ID pair MATCH in Release_Track" )</f>
        <v/>
      </c>
      <c r="D793" s="121" t="str">
        <f t="array" ref="D793">ifs(and(isblank($A793),isblank($B793)),"", not(iserror(vlookup($A793&amp;$B793,'5) Release_Track'!$F:$F&amp;'5) Release_Track'!$G:$G,1,0))),vlookup($A793&amp;$B793,{'5) Release_Track'!$F:$F&amp;'5) Release_Track'!$G:$G,'5) Release_Track'!$I:$I},2,0), or(and(not(isblank($B793)),$B793=$B792,$A793&lt;&gt;$A792),and(not(isblank($A793)),$A793=$A792,$B793&lt;&gt;$B792)),"ID LISTS UNALIGNED",and($A793&lt;&gt;"",countif('5) Release_Track'!$F:$F,$A793)=0),"NO ISRC MATCH in Release_Track",and($B793&lt;&gt;"",countif('5) Release_Track'!$G:$G,$B793)=0),"NO CATALOG ID MATCH in Release_Track",iserror(vlookup($A793&amp;$B793,'5) Release_Track'!$F:$F&amp;'5) Release_Track'!$G:$G,1,0)),"NO ISRC-CATALOG ID pair MATCH in Release_Track" )</f>
        <v/>
      </c>
      <c r="E793" s="142" t="b">
        <v>0</v>
      </c>
      <c r="F793" s="142" t="b">
        <v>0</v>
      </c>
      <c r="G793" s="142" t="b">
        <v>0</v>
      </c>
      <c r="H793" s="142" t="b">
        <v>0</v>
      </c>
      <c r="I793" s="142" t="b">
        <v>0</v>
      </c>
      <c r="J793" s="142" t="b">
        <v>0</v>
      </c>
      <c r="K793" s="142" t="b">
        <v>0</v>
      </c>
      <c r="L793" s="8" t="b">
        <v>0</v>
      </c>
    </row>
    <row r="794">
      <c r="B794" s="103"/>
      <c r="C794" s="121" t="str">
        <f t="array" ref="C794">ifs(and(isblank($A794),isblank($B794)),"", not(iserror(vlookup($A794&amp;$B794,'5) Release_Track'!$F:$F&amp;'5) Release_Track'!$G:$G,1,0))),vlookup($A794&amp;$B794,{'5) Release_Track'!$F:$F&amp;'5) Release_Track'!$G:$G,'5) Release_Track'!$H:$H},2,0), or(and(not(isblank($B794)),$B794=$B793,$A794&lt;&gt;$A793),and(not(isblank($A794)),$A794=$A793,$B794&lt;&gt;$B793)),"ID LISTS UNALIGNED",and($A794&lt;&gt;"",countif('5) Release_Track'!$F:$F,$A794)=0),"NO ISRC MATCH in Release_Track",and($B794&lt;&gt;"",countif('5) Release_Track'!$G:$G,$B794)=0),"NO CATALOG ID MATCH in Release_Track",iserror(vlookup($A794&amp;$B794,'5) Release_Track'!$F:$F&amp;'5) Release_Track'!$G:$G,1,0)),"NO ISRC-CATALOG ID pair MATCH in Release_Track" )</f>
        <v/>
      </c>
      <c r="D794" s="121" t="str">
        <f t="array" ref="D794">ifs(and(isblank($A794),isblank($B794)),"", not(iserror(vlookup($A794&amp;$B794,'5) Release_Track'!$F:$F&amp;'5) Release_Track'!$G:$G,1,0))),vlookup($A794&amp;$B794,{'5) Release_Track'!$F:$F&amp;'5) Release_Track'!$G:$G,'5) Release_Track'!$I:$I},2,0), or(and(not(isblank($B794)),$B794=$B793,$A794&lt;&gt;$A793),and(not(isblank($A794)),$A794=$A793,$B794&lt;&gt;$B793)),"ID LISTS UNALIGNED",and($A794&lt;&gt;"",countif('5) Release_Track'!$F:$F,$A794)=0),"NO ISRC MATCH in Release_Track",and($B794&lt;&gt;"",countif('5) Release_Track'!$G:$G,$B794)=0),"NO CATALOG ID MATCH in Release_Track",iserror(vlookup($A794&amp;$B794,'5) Release_Track'!$F:$F&amp;'5) Release_Track'!$G:$G,1,0)),"NO ISRC-CATALOG ID pair MATCH in Release_Track" )</f>
        <v/>
      </c>
      <c r="E794" s="142" t="b">
        <v>0</v>
      </c>
      <c r="F794" s="142" t="b">
        <v>0</v>
      </c>
      <c r="G794" s="142" t="b">
        <v>0</v>
      </c>
      <c r="H794" s="142" t="b">
        <v>0</v>
      </c>
      <c r="I794" s="142" t="b">
        <v>0</v>
      </c>
      <c r="J794" s="142" t="b">
        <v>0</v>
      </c>
      <c r="K794" s="142" t="b">
        <v>0</v>
      </c>
      <c r="L794" s="8" t="b">
        <v>0</v>
      </c>
    </row>
    <row r="795">
      <c r="B795" s="103"/>
      <c r="C795" s="121" t="str">
        <f t="array" ref="C795">ifs(and(isblank($A795),isblank($B795)),"", not(iserror(vlookup($A795&amp;$B795,'5) Release_Track'!$F:$F&amp;'5) Release_Track'!$G:$G,1,0))),vlookup($A795&amp;$B795,{'5) Release_Track'!$F:$F&amp;'5) Release_Track'!$G:$G,'5) Release_Track'!$H:$H},2,0), or(and(not(isblank($B795)),$B795=$B794,$A795&lt;&gt;$A794),and(not(isblank($A795)),$A795=$A794,$B795&lt;&gt;$B794)),"ID LISTS UNALIGNED",and($A795&lt;&gt;"",countif('5) Release_Track'!$F:$F,$A795)=0),"NO ISRC MATCH in Release_Track",and($B795&lt;&gt;"",countif('5) Release_Track'!$G:$G,$B795)=0),"NO CATALOG ID MATCH in Release_Track",iserror(vlookup($A795&amp;$B795,'5) Release_Track'!$F:$F&amp;'5) Release_Track'!$G:$G,1,0)),"NO ISRC-CATALOG ID pair MATCH in Release_Track" )</f>
        <v/>
      </c>
      <c r="D795" s="121" t="str">
        <f t="array" ref="D795">ifs(and(isblank($A795),isblank($B795)),"", not(iserror(vlookup($A795&amp;$B795,'5) Release_Track'!$F:$F&amp;'5) Release_Track'!$G:$G,1,0))),vlookup($A795&amp;$B795,{'5) Release_Track'!$F:$F&amp;'5) Release_Track'!$G:$G,'5) Release_Track'!$I:$I},2,0), or(and(not(isblank($B795)),$B795=$B794,$A795&lt;&gt;$A794),and(not(isblank($A795)),$A795=$A794,$B795&lt;&gt;$B794)),"ID LISTS UNALIGNED",and($A795&lt;&gt;"",countif('5) Release_Track'!$F:$F,$A795)=0),"NO ISRC MATCH in Release_Track",and($B795&lt;&gt;"",countif('5) Release_Track'!$G:$G,$B795)=0),"NO CATALOG ID MATCH in Release_Track",iserror(vlookup($A795&amp;$B795,'5) Release_Track'!$F:$F&amp;'5) Release_Track'!$G:$G,1,0)),"NO ISRC-CATALOG ID pair MATCH in Release_Track" )</f>
        <v/>
      </c>
      <c r="E795" s="142" t="b">
        <v>0</v>
      </c>
      <c r="F795" s="142" t="b">
        <v>0</v>
      </c>
      <c r="G795" s="142" t="b">
        <v>0</v>
      </c>
      <c r="H795" s="142" t="b">
        <v>0</v>
      </c>
      <c r="I795" s="142" t="b">
        <v>0</v>
      </c>
      <c r="J795" s="142" t="b">
        <v>0</v>
      </c>
      <c r="K795" s="142" t="b">
        <v>0</v>
      </c>
      <c r="L795" s="8" t="b">
        <v>0</v>
      </c>
    </row>
    <row r="796">
      <c r="B796" s="103"/>
      <c r="C796" s="121" t="str">
        <f t="array" ref="C796">ifs(and(isblank($A796),isblank($B796)),"", not(iserror(vlookup($A796&amp;$B796,'5) Release_Track'!$F:$F&amp;'5) Release_Track'!$G:$G,1,0))),vlookup($A796&amp;$B796,{'5) Release_Track'!$F:$F&amp;'5) Release_Track'!$G:$G,'5) Release_Track'!$H:$H},2,0), or(and(not(isblank($B796)),$B796=$B795,$A796&lt;&gt;$A795),and(not(isblank($A796)),$A796=$A795,$B796&lt;&gt;$B795)),"ID LISTS UNALIGNED",and($A796&lt;&gt;"",countif('5) Release_Track'!$F:$F,$A796)=0),"NO ISRC MATCH in Release_Track",and($B796&lt;&gt;"",countif('5) Release_Track'!$G:$G,$B796)=0),"NO CATALOG ID MATCH in Release_Track",iserror(vlookup($A796&amp;$B796,'5) Release_Track'!$F:$F&amp;'5) Release_Track'!$G:$G,1,0)),"NO ISRC-CATALOG ID pair MATCH in Release_Track" )</f>
        <v/>
      </c>
      <c r="D796" s="121" t="str">
        <f t="array" ref="D796">ifs(and(isblank($A796),isblank($B796)),"", not(iserror(vlookup($A796&amp;$B796,'5) Release_Track'!$F:$F&amp;'5) Release_Track'!$G:$G,1,0))),vlookup($A796&amp;$B796,{'5) Release_Track'!$F:$F&amp;'5) Release_Track'!$G:$G,'5) Release_Track'!$I:$I},2,0), or(and(not(isblank($B796)),$B796=$B795,$A796&lt;&gt;$A795),and(not(isblank($A796)),$A796=$A795,$B796&lt;&gt;$B795)),"ID LISTS UNALIGNED",and($A796&lt;&gt;"",countif('5) Release_Track'!$F:$F,$A796)=0),"NO ISRC MATCH in Release_Track",and($B796&lt;&gt;"",countif('5) Release_Track'!$G:$G,$B796)=0),"NO CATALOG ID MATCH in Release_Track",iserror(vlookup($A796&amp;$B796,'5) Release_Track'!$F:$F&amp;'5) Release_Track'!$G:$G,1,0)),"NO ISRC-CATALOG ID pair MATCH in Release_Track" )</f>
        <v/>
      </c>
      <c r="E796" s="142" t="b">
        <v>0</v>
      </c>
      <c r="F796" s="142" t="b">
        <v>0</v>
      </c>
      <c r="G796" s="142" t="b">
        <v>0</v>
      </c>
      <c r="H796" s="142" t="b">
        <v>0</v>
      </c>
      <c r="I796" s="142" t="b">
        <v>0</v>
      </c>
      <c r="J796" s="142" t="b">
        <v>0</v>
      </c>
      <c r="K796" s="142" t="b">
        <v>0</v>
      </c>
      <c r="L796" s="8" t="b">
        <v>0</v>
      </c>
    </row>
    <row r="797">
      <c r="B797" s="103"/>
      <c r="C797" s="121" t="str">
        <f t="array" ref="C797">ifs(and(isblank($A797),isblank($B797)),"", not(iserror(vlookup($A797&amp;$B797,'5) Release_Track'!$F:$F&amp;'5) Release_Track'!$G:$G,1,0))),vlookup($A797&amp;$B797,{'5) Release_Track'!$F:$F&amp;'5) Release_Track'!$G:$G,'5) Release_Track'!$H:$H},2,0), or(and(not(isblank($B797)),$B797=$B796,$A797&lt;&gt;$A796),and(not(isblank($A797)),$A797=$A796,$B797&lt;&gt;$B796)),"ID LISTS UNALIGNED",and($A797&lt;&gt;"",countif('5) Release_Track'!$F:$F,$A797)=0),"NO ISRC MATCH in Release_Track",and($B797&lt;&gt;"",countif('5) Release_Track'!$G:$G,$B797)=0),"NO CATALOG ID MATCH in Release_Track",iserror(vlookup($A797&amp;$B797,'5) Release_Track'!$F:$F&amp;'5) Release_Track'!$G:$G,1,0)),"NO ISRC-CATALOG ID pair MATCH in Release_Track" )</f>
        <v/>
      </c>
      <c r="D797" s="121" t="str">
        <f t="array" ref="D797">ifs(and(isblank($A797),isblank($B797)),"", not(iserror(vlookup($A797&amp;$B797,'5) Release_Track'!$F:$F&amp;'5) Release_Track'!$G:$G,1,0))),vlookup($A797&amp;$B797,{'5) Release_Track'!$F:$F&amp;'5) Release_Track'!$G:$G,'5) Release_Track'!$I:$I},2,0), or(and(not(isblank($B797)),$B797=$B796,$A797&lt;&gt;$A796),and(not(isblank($A797)),$A797=$A796,$B797&lt;&gt;$B796)),"ID LISTS UNALIGNED",and($A797&lt;&gt;"",countif('5) Release_Track'!$F:$F,$A797)=0),"NO ISRC MATCH in Release_Track",and($B797&lt;&gt;"",countif('5) Release_Track'!$G:$G,$B797)=0),"NO CATALOG ID MATCH in Release_Track",iserror(vlookup($A797&amp;$B797,'5) Release_Track'!$F:$F&amp;'5) Release_Track'!$G:$G,1,0)),"NO ISRC-CATALOG ID pair MATCH in Release_Track" )</f>
        <v/>
      </c>
      <c r="E797" s="142" t="b">
        <v>0</v>
      </c>
      <c r="F797" s="142" t="b">
        <v>0</v>
      </c>
      <c r="G797" s="142" t="b">
        <v>0</v>
      </c>
      <c r="H797" s="142" t="b">
        <v>0</v>
      </c>
      <c r="I797" s="142" t="b">
        <v>0</v>
      </c>
      <c r="J797" s="142" t="b">
        <v>0</v>
      </c>
      <c r="K797" s="142" t="b">
        <v>0</v>
      </c>
      <c r="L797" s="8" t="b">
        <v>0</v>
      </c>
    </row>
    <row r="798">
      <c r="B798" s="103"/>
      <c r="C798" s="121" t="str">
        <f t="array" ref="C798">ifs(and(isblank($A798),isblank($B798)),"", not(iserror(vlookup($A798&amp;$B798,'5) Release_Track'!$F:$F&amp;'5) Release_Track'!$G:$G,1,0))),vlookup($A798&amp;$B798,{'5) Release_Track'!$F:$F&amp;'5) Release_Track'!$G:$G,'5) Release_Track'!$H:$H},2,0), or(and(not(isblank($B798)),$B798=$B797,$A798&lt;&gt;$A797),and(not(isblank($A798)),$A798=$A797,$B798&lt;&gt;$B797)),"ID LISTS UNALIGNED",and($A798&lt;&gt;"",countif('5) Release_Track'!$F:$F,$A798)=0),"NO ISRC MATCH in Release_Track",and($B798&lt;&gt;"",countif('5) Release_Track'!$G:$G,$B798)=0),"NO CATALOG ID MATCH in Release_Track",iserror(vlookup($A798&amp;$B798,'5) Release_Track'!$F:$F&amp;'5) Release_Track'!$G:$G,1,0)),"NO ISRC-CATALOG ID pair MATCH in Release_Track" )</f>
        <v/>
      </c>
      <c r="D798" s="121" t="str">
        <f t="array" ref="D798">ifs(and(isblank($A798),isblank($B798)),"", not(iserror(vlookup($A798&amp;$B798,'5) Release_Track'!$F:$F&amp;'5) Release_Track'!$G:$G,1,0))),vlookup($A798&amp;$B798,{'5) Release_Track'!$F:$F&amp;'5) Release_Track'!$G:$G,'5) Release_Track'!$I:$I},2,0), or(and(not(isblank($B798)),$B798=$B797,$A798&lt;&gt;$A797),and(not(isblank($A798)),$A798=$A797,$B798&lt;&gt;$B797)),"ID LISTS UNALIGNED",and($A798&lt;&gt;"",countif('5) Release_Track'!$F:$F,$A798)=0),"NO ISRC MATCH in Release_Track",and($B798&lt;&gt;"",countif('5) Release_Track'!$G:$G,$B798)=0),"NO CATALOG ID MATCH in Release_Track",iserror(vlookup($A798&amp;$B798,'5) Release_Track'!$F:$F&amp;'5) Release_Track'!$G:$G,1,0)),"NO ISRC-CATALOG ID pair MATCH in Release_Track" )</f>
        <v/>
      </c>
      <c r="E798" s="142" t="b">
        <v>0</v>
      </c>
      <c r="F798" s="142" t="b">
        <v>0</v>
      </c>
      <c r="G798" s="142" t="b">
        <v>0</v>
      </c>
      <c r="H798" s="142" t="b">
        <v>0</v>
      </c>
      <c r="I798" s="142" t="b">
        <v>0</v>
      </c>
      <c r="J798" s="142" t="b">
        <v>0</v>
      </c>
      <c r="K798" s="142" t="b">
        <v>0</v>
      </c>
      <c r="L798" s="8" t="b">
        <v>0</v>
      </c>
    </row>
    <row r="799">
      <c r="B799" s="103"/>
      <c r="C799" s="121" t="str">
        <f t="array" ref="C799">ifs(and(isblank($A799),isblank($B799)),"", not(iserror(vlookup($A799&amp;$B799,'5) Release_Track'!$F:$F&amp;'5) Release_Track'!$G:$G,1,0))),vlookup($A799&amp;$B799,{'5) Release_Track'!$F:$F&amp;'5) Release_Track'!$G:$G,'5) Release_Track'!$H:$H},2,0), or(and(not(isblank($B799)),$B799=$B798,$A799&lt;&gt;$A798),and(not(isblank($A799)),$A799=$A798,$B799&lt;&gt;$B798)),"ID LISTS UNALIGNED",and($A799&lt;&gt;"",countif('5) Release_Track'!$F:$F,$A799)=0),"NO ISRC MATCH in Release_Track",and($B799&lt;&gt;"",countif('5) Release_Track'!$G:$G,$B799)=0),"NO CATALOG ID MATCH in Release_Track",iserror(vlookup($A799&amp;$B799,'5) Release_Track'!$F:$F&amp;'5) Release_Track'!$G:$G,1,0)),"NO ISRC-CATALOG ID pair MATCH in Release_Track" )</f>
        <v/>
      </c>
      <c r="D799" s="121" t="str">
        <f t="array" ref="D799">ifs(and(isblank($A799),isblank($B799)),"", not(iserror(vlookup($A799&amp;$B799,'5) Release_Track'!$F:$F&amp;'5) Release_Track'!$G:$G,1,0))),vlookup($A799&amp;$B799,{'5) Release_Track'!$F:$F&amp;'5) Release_Track'!$G:$G,'5) Release_Track'!$I:$I},2,0), or(and(not(isblank($B799)),$B799=$B798,$A799&lt;&gt;$A798),and(not(isblank($A799)),$A799=$A798,$B799&lt;&gt;$B798)),"ID LISTS UNALIGNED",and($A799&lt;&gt;"",countif('5) Release_Track'!$F:$F,$A799)=0),"NO ISRC MATCH in Release_Track",and($B799&lt;&gt;"",countif('5) Release_Track'!$G:$G,$B799)=0),"NO CATALOG ID MATCH in Release_Track",iserror(vlookup($A799&amp;$B799,'5) Release_Track'!$F:$F&amp;'5) Release_Track'!$G:$G,1,0)),"NO ISRC-CATALOG ID pair MATCH in Release_Track" )</f>
        <v/>
      </c>
      <c r="E799" s="142" t="b">
        <v>0</v>
      </c>
      <c r="F799" s="142" t="b">
        <v>0</v>
      </c>
      <c r="G799" s="142" t="b">
        <v>0</v>
      </c>
      <c r="H799" s="142" t="b">
        <v>0</v>
      </c>
      <c r="I799" s="142" t="b">
        <v>0</v>
      </c>
      <c r="J799" s="142" t="b">
        <v>0</v>
      </c>
      <c r="K799" s="142" t="b">
        <v>0</v>
      </c>
      <c r="L799" s="8" t="b">
        <v>0</v>
      </c>
    </row>
    <row r="800">
      <c r="B800" s="103"/>
      <c r="C800" s="121" t="str">
        <f t="array" ref="C800">ifs(and(isblank($A800),isblank($B800)),"", not(iserror(vlookup($A800&amp;$B800,'5) Release_Track'!$F:$F&amp;'5) Release_Track'!$G:$G,1,0))),vlookup($A800&amp;$B800,{'5) Release_Track'!$F:$F&amp;'5) Release_Track'!$G:$G,'5) Release_Track'!$H:$H},2,0), or(and(not(isblank($B800)),$B800=$B799,$A800&lt;&gt;$A799),and(not(isblank($A800)),$A800=$A799,$B800&lt;&gt;$B799)),"ID LISTS UNALIGNED",and($A800&lt;&gt;"",countif('5) Release_Track'!$F:$F,$A800)=0),"NO ISRC MATCH in Release_Track",and($B800&lt;&gt;"",countif('5) Release_Track'!$G:$G,$B800)=0),"NO CATALOG ID MATCH in Release_Track",iserror(vlookup($A800&amp;$B800,'5) Release_Track'!$F:$F&amp;'5) Release_Track'!$G:$G,1,0)),"NO ISRC-CATALOG ID pair MATCH in Release_Track" )</f>
        <v/>
      </c>
      <c r="D800" s="121" t="str">
        <f t="array" ref="D800">ifs(and(isblank($A800),isblank($B800)),"", not(iserror(vlookup($A800&amp;$B800,'5) Release_Track'!$F:$F&amp;'5) Release_Track'!$G:$G,1,0))),vlookup($A800&amp;$B800,{'5) Release_Track'!$F:$F&amp;'5) Release_Track'!$G:$G,'5) Release_Track'!$I:$I},2,0), or(and(not(isblank($B800)),$B800=$B799,$A800&lt;&gt;$A799),and(not(isblank($A800)),$A800=$A799,$B800&lt;&gt;$B799)),"ID LISTS UNALIGNED",and($A800&lt;&gt;"",countif('5) Release_Track'!$F:$F,$A800)=0),"NO ISRC MATCH in Release_Track",and($B800&lt;&gt;"",countif('5) Release_Track'!$G:$G,$B800)=0),"NO CATALOG ID MATCH in Release_Track",iserror(vlookup($A800&amp;$B800,'5) Release_Track'!$F:$F&amp;'5) Release_Track'!$G:$G,1,0)),"NO ISRC-CATALOG ID pair MATCH in Release_Track" )</f>
        <v/>
      </c>
      <c r="E800" s="142" t="b">
        <v>0</v>
      </c>
      <c r="F800" s="142" t="b">
        <v>0</v>
      </c>
      <c r="G800" s="142" t="b">
        <v>0</v>
      </c>
      <c r="H800" s="142" t="b">
        <v>0</v>
      </c>
      <c r="I800" s="142" t="b">
        <v>0</v>
      </c>
      <c r="J800" s="142" t="b">
        <v>0</v>
      </c>
      <c r="K800" s="142" t="b">
        <v>0</v>
      </c>
      <c r="L800" s="8" t="b">
        <v>0</v>
      </c>
    </row>
    <row r="801">
      <c r="B801" s="103"/>
      <c r="C801" s="121" t="str">
        <f t="array" ref="C801">ifs(and(isblank($A801),isblank($B801)),"", not(iserror(vlookup($A801&amp;$B801,'5) Release_Track'!$F:$F&amp;'5) Release_Track'!$G:$G,1,0))),vlookup($A801&amp;$B801,{'5) Release_Track'!$F:$F&amp;'5) Release_Track'!$G:$G,'5) Release_Track'!$H:$H},2,0), or(and(not(isblank($B801)),$B801=$B800,$A801&lt;&gt;$A800),and(not(isblank($A801)),$A801=$A800,$B801&lt;&gt;$B800)),"ID LISTS UNALIGNED",and($A801&lt;&gt;"",countif('5) Release_Track'!$F:$F,$A801)=0),"NO ISRC MATCH in Release_Track",and($B801&lt;&gt;"",countif('5) Release_Track'!$G:$G,$B801)=0),"NO CATALOG ID MATCH in Release_Track",iserror(vlookup($A801&amp;$B801,'5) Release_Track'!$F:$F&amp;'5) Release_Track'!$G:$G,1,0)),"NO ISRC-CATALOG ID pair MATCH in Release_Track" )</f>
        <v/>
      </c>
      <c r="D801" s="121" t="str">
        <f t="array" ref="D801">ifs(and(isblank($A801),isblank($B801)),"", not(iserror(vlookup($A801&amp;$B801,'5) Release_Track'!$F:$F&amp;'5) Release_Track'!$G:$G,1,0))),vlookup($A801&amp;$B801,{'5) Release_Track'!$F:$F&amp;'5) Release_Track'!$G:$G,'5) Release_Track'!$I:$I},2,0), or(and(not(isblank($B801)),$B801=$B800,$A801&lt;&gt;$A800),and(not(isblank($A801)),$A801=$A800,$B801&lt;&gt;$B800)),"ID LISTS UNALIGNED",and($A801&lt;&gt;"",countif('5) Release_Track'!$F:$F,$A801)=0),"NO ISRC MATCH in Release_Track",and($B801&lt;&gt;"",countif('5) Release_Track'!$G:$G,$B801)=0),"NO CATALOG ID MATCH in Release_Track",iserror(vlookup($A801&amp;$B801,'5) Release_Track'!$F:$F&amp;'5) Release_Track'!$G:$G,1,0)),"NO ISRC-CATALOG ID pair MATCH in Release_Track" )</f>
        <v/>
      </c>
      <c r="E801" s="142" t="b">
        <v>0</v>
      </c>
      <c r="F801" s="142" t="b">
        <v>0</v>
      </c>
      <c r="G801" s="142" t="b">
        <v>0</v>
      </c>
      <c r="H801" s="142" t="b">
        <v>0</v>
      </c>
      <c r="I801" s="142" t="b">
        <v>0</v>
      </c>
      <c r="J801" s="142" t="b">
        <v>0</v>
      </c>
      <c r="K801" s="142" t="b">
        <v>0</v>
      </c>
      <c r="L801" s="8" t="b">
        <v>0</v>
      </c>
    </row>
    <row r="802">
      <c r="B802" s="103"/>
      <c r="C802" s="121" t="str">
        <f t="array" ref="C802">ifs(and(isblank($A802),isblank($B802)),"", not(iserror(vlookup($A802&amp;$B802,'5) Release_Track'!$F:$F&amp;'5) Release_Track'!$G:$G,1,0))),vlookup($A802&amp;$B802,{'5) Release_Track'!$F:$F&amp;'5) Release_Track'!$G:$G,'5) Release_Track'!$H:$H},2,0), or(and(not(isblank($B802)),$B802=$B801,$A802&lt;&gt;$A801),and(not(isblank($A802)),$A802=$A801,$B802&lt;&gt;$B801)),"ID LISTS UNALIGNED",and($A802&lt;&gt;"",countif('5) Release_Track'!$F:$F,$A802)=0),"NO ISRC MATCH in Release_Track",and($B802&lt;&gt;"",countif('5) Release_Track'!$G:$G,$B802)=0),"NO CATALOG ID MATCH in Release_Track",iserror(vlookup($A802&amp;$B802,'5) Release_Track'!$F:$F&amp;'5) Release_Track'!$G:$G,1,0)),"NO ISRC-CATALOG ID pair MATCH in Release_Track" )</f>
        <v/>
      </c>
      <c r="D802" s="121" t="str">
        <f t="array" ref="D802">ifs(and(isblank($A802),isblank($B802)),"", not(iserror(vlookup($A802&amp;$B802,'5) Release_Track'!$F:$F&amp;'5) Release_Track'!$G:$G,1,0))),vlookup($A802&amp;$B802,{'5) Release_Track'!$F:$F&amp;'5) Release_Track'!$G:$G,'5) Release_Track'!$I:$I},2,0), or(and(not(isblank($B802)),$B802=$B801,$A802&lt;&gt;$A801),and(not(isblank($A802)),$A802=$A801,$B802&lt;&gt;$B801)),"ID LISTS UNALIGNED",and($A802&lt;&gt;"",countif('5) Release_Track'!$F:$F,$A802)=0),"NO ISRC MATCH in Release_Track",and($B802&lt;&gt;"",countif('5) Release_Track'!$G:$G,$B802)=0),"NO CATALOG ID MATCH in Release_Track",iserror(vlookup($A802&amp;$B802,'5) Release_Track'!$F:$F&amp;'5) Release_Track'!$G:$G,1,0)),"NO ISRC-CATALOG ID pair MATCH in Release_Track" )</f>
        <v/>
      </c>
      <c r="E802" s="142" t="b">
        <v>0</v>
      </c>
      <c r="F802" s="142" t="b">
        <v>0</v>
      </c>
      <c r="G802" s="142" t="b">
        <v>0</v>
      </c>
      <c r="H802" s="142" t="b">
        <v>0</v>
      </c>
      <c r="I802" s="142" t="b">
        <v>0</v>
      </c>
      <c r="J802" s="142" t="b">
        <v>0</v>
      </c>
      <c r="K802" s="142" t="b">
        <v>0</v>
      </c>
      <c r="L802" s="8" t="b">
        <v>0</v>
      </c>
    </row>
    <row r="803">
      <c r="B803" s="103"/>
      <c r="C803" s="121" t="str">
        <f t="array" ref="C803">ifs(and(isblank($A803),isblank($B803)),"", not(iserror(vlookup($A803&amp;$B803,'5) Release_Track'!$F:$F&amp;'5) Release_Track'!$G:$G,1,0))),vlookup($A803&amp;$B803,{'5) Release_Track'!$F:$F&amp;'5) Release_Track'!$G:$G,'5) Release_Track'!$H:$H},2,0), or(and(not(isblank($B803)),$B803=$B802,$A803&lt;&gt;$A802),and(not(isblank($A803)),$A803=$A802,$B803&lt;&gt;$B802)),"ID LISTS UNALIGNED",and($A803&lt;&gt;"",countif('5) Release_Track'!$F:$F,$A803)=0),"NO ISRC MATCH in Release_Track",and($B803&lt;&gt;"",countif('5) Release_Track'!$G:$G,$B803)=0),"NO CATALOG ID MATCH in Release_Track",iserror(vlookup($A803&amp;$B803,'5) Release_Track'!$F:$F&amp;'5) Release_Track'!$G:$G,1,0)),"NO ISRC-CATALOG ID pair MATCH in Release_Track" )</f>
        <v/>
      </c>
      <c r="D803" s="121" t="str">
        <f t="array" ref="D803">ifs(and(isblank($A803),isblank($B803)),"", not(iserror(vlookup($A803&amp;$B803,'5) Release_Track'!$F:$F&amp;'5) Release_Track'!$G:$G,1,0))),vlookup($A803&amp;$B803,{'5) Release_Track'!$F:$F&amp;'5) Release_Track'!$G:$G,'5) Release_Track'!$I:$I},2,0), or(and(not(isblank($B803)),$B803=$B802,$A803&lt;&gt;$A802),and(not(isblank($A803)),$A803=$A802,$B803&lt;&gt;$B802)),"ID LISTS UNALIGNED",and($A803&lt;&gt;"",countif('5) Release_Track'!$F:$F,$A803)=0),"NO ISRC MATCH in Release_Track",and($B803&lt;&gt;"",countif('5) Release_Track'!$G:$G,$B803)=0),"NO CATALOG ID MATCH in Release_Track",iserror(vlookup($A803&amp;$B803,'5) Release_Track'!$F:$F&amp;'5) Release_Track'!$G:$G,1,0)),"NO ISRC-CATALOG ID pair MATCH in Release_Track" )</f>
        <v/>
      </c>
      <c r="E803" s="142" t="b">
        <v>0</v>
      </c>
      <c r="F803" s="142" t="b">
        <v>0</v>
      </c>
      <c r="G803" s="142" t="b">
        <v>0</v>
      </c>
      <c r="H803" s="142" t="b">
        <v>0</v>
      </c>
      <c r="I803" s="142" t="b">
        <v>0</v>
      </c>
      <c r="J803" s="142" t="b">
        <v>0</v>
      </c>
      <c r="K803" s="142" t="b">
        <v>0</v>
      </c>
      <c r="L803" s="8" t="b">
        <v>0</v>
      </c>
    </row>
    <row r="804">
      <c r="B804" s="103"/>
      <c r="C804" s="121" t="str">
        <f t="array" ref="C804">ifs(and(isblank($A804),isblank($B804)),"", not(iserror(vlookup($A804&amp;$B804,'5) Release_Track'!$F:$F&amp;'5) Release_Track'!$G:$G,1,0))),vlookup($A804&amp;$B804,{'5) Release_Track'!$F:$F&amp;'5) Release_Track'!$G:$G,'5) Release_Track'!$H:$H},2,0), or(and(not(isblank($B804)),$B804=$B803,$A804&lt;&gt;$A803),and(not(isblank($A804)),$A804=$A803,$B804&lt;&gt;$B803)),"ID LISTS UNALIGNED",and($A804&lt;&gt;"",countif('5) Release_Track'!$F:$F,$A804)=0),"NO ISRC MATCH in Release_Track",and($B804&lt;&gt;"",countif('5) Release_Track'!$G:$G,$B804)=0),"NO CATALOG ID MATCH in Release_Track",iserror(vlookup($A804&amp;$B804,'5) Release_Track'!$F:$F&amp;'5) Release_Track'!$G:$G,1,0)),"NO ISRC-CATALOG ID pair MATCH in Release_Track" )</f>
        <v/>
      </c>
      <c r="D804" s="121" t="str">
        <f t="array" ref="D804">ifs(and(isblank($A804),isblank($B804)),"", not(iserror(vlookup($A804&amp;$B804,'5) Release_Track'!$F:$F&amp;'5) Release_Track'!$G:$G,1,0))),vlookup($A804&amp;$B804,{'5) Release_Track'!$F:$F&amp;'5) Release_Track'!$G:$G,'5) Release_Track'!$I:$I},2,0), or(and(not(isblank($B804)),$B804=$B803,$A804&lt;&gt;$A803),and(not(isblank($A804)),$A804=$A803,$B804&lt;&gt;$B803)),"ID LISTS UNALIGNED",and($A804&lt;&gt;"",countif('5) Release_Track'!$F:$F,$A804)=0),"NO ISRC MATCH in Release_Track",and($B804&lt;&gt;"",countif('5) Release_Track'!$G:$G,$B804)=0),"NO CATALOG ID MATCH in Release_Track",iserror(vlookup($A804&amp;$B804,'5) Release_Track'!$F:$F&amp;'5) Release_Track'!$G:$G,1,0)),"NO ISRC-CATALOG ID pair MATCH in Release_Track" )</f>
        <v/>
      </c>
      <c r="E804" s="142" t="b">
        <v>0</v>
      </c>
      <c r="F804" s="142" t="b">
        <v>0</v>
      </c>
      <c r="G804" s="142" t="b">
        <v>0</v>
      </c>
      <c r="H804" s="142" t="b">
        <v>0</v>
      </c>
      <c r="I804" s="142" t="b">
        <v>0</v>
      </c>
      <c r="J804" s="142" t="b">
        <v>0</v>
      </c>
      <c r="K804" s="142" t="b">
        <v>0</v>
      </c>
      <c r="L804" s="8" t="b">
        <v>0</v>
      </c>
    </row>
    <row r="805">
      <c r="B805" s="103"/>
      <c r="C805" s="121" t="str">
        <f t="array" ref="C805">ifs(and(isblank($A805),isblank($B805)),"", not(iserror(vlookup($A805&amp;$B805,'5) Release_Track'!$F:$F&amp;'5) Release_Track'!$G:$G,1,0))),vlookup($A805&amp;$B805,{'5) Release_Track'!$F:$F&amp;'5) Release_Track'!$G:$G,'5) Release_Track'!$H:$H},2,0), or(and(not(isblank($B805)),$B805=$B804,$A805&lt;&gt;$A804),and(not(isblank($A805)),$A805=$A804,$B805&lt;&gt;$B804)),"ID LISTS UNALIGNED",and($A805&lt;&gt;"",countif('5) Release_Track'!$F:$F,$A805)=0),"NO ISRC MATCH in Release_Track",and($B805&lt;&gt;"",countif('5) Release_Track'!$G:$G,$B805)=0),"NO CATALOG ID MATCH in Release_Track",iserror(vlookup($A805&amp;$B805,'5) Release_Track'!$F:$F&amp;'5) Release_Track'!$G:$G,1,0)),"NO ISRC-CATALOG ID pair MATCH in Release_Track" )</f>
        <v/>
      </c>
      <c r="D805" s="121" t="str">
        <f t="array" ref="D805">ifs(and(isblank($A805),isblank($B805)),"", not(iserror(vlookup($A805&amp;$B805,'5) Release_Track'!$F:$F&amp;'5) Release_Track'!$G:$G,1,0))),vlookup($A805&amp;$B805,{'5) Release_Track'!$F:$F&amp;'5) Release_Track'!$G:$G,'5) Release_Track'!$I:$I},2,0), or(and(not(isblank($B805)),$B805=$B804,$A805&lt;&gt;$A804),and(not(isblank($A805)),$A805=$A804,$B805&lt;&gt;$B804)),"ID LISTS UNALIGNED",and($A805&lt;&gt;"",countif('5) Release_Track'!$F:$F,$A805)=0),"NO ISRC MATCH in Release_Track",and($B805&lt;&gt;"",countif('5) Release_Track'!$G:$G,$B805)=0),"NO CATALOG ID MATCH in Release_Track",iserror(vlookup($A805&amp;$B805,'5) Release_Track'!$F:$F&amp;'5) Release_Track'!$G:$G,1,0)),"NO ISRC-CATALOG ID pair MATCH in Release_Track" )</f>
        <v/>
      </c>
      <c r="E805" s="142" t="b">
        <v>0</v>
      </c>
      <c r="F805" s="142" t="b">
        <v>0</v>
      </c>
      <c r="G805" s="142" t="b">
        <v>0</v>
      </c>
      <c r="H805" s="142" t="b">
        <v>0</v>
      </c>
      <c r="I805" s="142" t="b">
        <v>0</v>
      </c>
      <c r="J805" s="142" t="b">
        <v>0</v>
      </c>
      <c r="K805" s="142" t="b">
        <v>0</v>
      </c>
      <c r="L805" s="8" t="b">
        <v>0</v>
      </c>
    </row>
    <row r="806">
      <c r="B806" s="103"/>
      <c r="C806" s="121" t="str">
        <f t="array" ref="C806">ifs(and(isblank($A806),isblank($B806)),"", not(iserror(vlookup($A806&amp;$B806,'5) Release_Track'!$F:$F&amp;'5) Release_Track'!$G:$G,1,0))),vlookup($A806&amp;$B806,{'5) Release_Track'!$F:$F&amp;'5) Release_Track'!$G:$G,'5) Release_Track'!$H:$H},2,0), or(and(not(isblank($B806)),$B806=$B805,$A806&lt;&gt;$A805),and(not(isblank($A806)),$A806=$A805,$B806&lt;&gt;$B805)),"ID LISTS UNALIGNED",and($A806&lt;&gt;"",countif('5) Release_Track'!$F:$F,$A806)=0),"NO ISRC MATCH in Release_Track",and($B806&lt;&gt;"",countif('5) Release_Track'!$G:$G,$B806)=0),"NO CATALOG ID MATCH in Release_Track",iserror(vlookup($A806&amp;$B806,'5) Release_Track'!$F:$F&amp;'5) Release_Track'!$G:$G,1,0)),"NO ISRC-CATALOG ID pair MATCH in Release_Track" )</f>
        <v/>
      </c>
      <c r="D806" s="121" t="str">
        <f t="array" ref="D806">ifs(and(isblank($A806),isblank($B806)),"", not(iserror(vlookup($A806&amp;$B806,'5) Release_Track'!$F:$F&amp;'5) Release_Track'!$G:$G,1,0))),vlookup($A806&amp;$B806,{'5) Release_Track'!$F:$F&amp;'5) Release_Track'!$G:$G,'5) Release_Track'!$I:$I},2,0), or(and(not(isblank($B806)),$B806=$B805,$A806&lt;&gt;$A805),and(not(isblank($A806)),$A806=$A805,$B806&lt;&gt;$B805)),"ID LISTS UNALIGNED",and($A806&lt;&gt;"",countif('5) Release_Track'!$F:$F,$A806)=0),"NO ISRC MATCH in Release_Track",and($B806&lt;&gt;"",countif('5) Release_Track'!$G:$G,$B806)=0),"NO CATALOG ID MATCH in Release_Track",iserror(vlookup($A806&amp;$B806,'5) Release_Track'!$F:$F&amp;'5) Release_Track'!$G:$G,1,0)),"NO ISRC-CATALOG ID pair MATCH in Release_Track" )</f>
        <v/>
      </c>
      <c r="E806" s="142" t="b">
        <v>0</v>
      </c>
      <c r="F806" s="142" t="b">
        <v>0</v>
      </c>
      <c r="G806" s="142" t="b">
        <v>0</v>
      </c>
      <c r="H806" s="142" t="b">
        <v>0</v>
      </c>
      <c r="I806" s="142" t="b">
        <v>0</v>
      </c>
      <c r="J806" s="142" t="b">
        <v>0</v>
      </c>
      <c r="K806" s="142" t="b">
        <v>0</v>
      </c>
      <c r="L806" s="8" t="b">
        <v>0</v>
      </c>
    </row>
    <row r="807">
      <c r="B807" s="103"/>
      <c r="C807" s="121" t="str">
        <f t="array" ref="C807">ifs(and(isblank($A807),isblank($B807)),"", not(iserror(vlookup($A807&amp;$B807,'5) Release_Track'!$F:$F&amp;'5) Release_Track'!$G:$G,1,0))),vlookup($A807&amp;$B807,{'5) Release_Track'!$F:$F&amp;'5) Release_Track'!$G:$G,'5) Release_Track'!$H:$H},2,0), or(and(not(isblank($B807)),$B807=$B806,$A807&lt;&gt;$A806),and(not(isblank($A807)),$A807=$A806,$B807&lt;&gt;$B806)),"ID LISTS UNALIGNED",and($A807&lt;&gt;"",countif('5) Release_Track'!$F:$F,$A807)=0),"NO ISRC MATCH in Release_Track",and($B807&lt;&gt;"",countif('5) Release_Track'!$G:$G,$B807)=0),"NO CATALOG ID MATCH in Release_Track",iserror(vlookup($A807&amp;$B807,'5) Release_Track'!$F:$F&amp;'5) Release_Track'!$G:$G,1,0)),"NO ISRC-CATALOG ID pair MATCH in Release_Track" )</f>
        <v/>
      </c>
      <c r="D807" s="121" t="str">
        <f t="array" ref="D807">ifs(and(isblank($A807),isblank($B807)),"", not(iserror(vlookup($A807&amp;$B807,'5) Release_Track'!$F:$F&amp;'5) Release_Track'!$G:$G,1,0))),vlookup($A807&amp;$B807,{'5) Release_Track'!$F:$F&amp;'5) Release_Track'!$G:$G,'5) Release_Track'!$I:$I},2,0), or(and(not(isblank($B807)),$B807=$B806,$A807&lt;&gt;$A806),and(not(isblank($A807)),$A807=$A806,$B807&lt;&gt;$B806)),"ID LISTS UNALIGNED",and($A807&lt;&gt;"",countif('5) Release_Track'!$F:$F,$A807)=0),"NO ISRC MATCH in Release_Track",and($B807&lt;&gt;"",countif('5) Release_Track'!$G:$G,$B807)=0),"NO CATALOG ID MATCH in Release_Track",iserror(vlookup($A807&amp;$B807,'5) Release_Track'!$F:$F&amp;'5) Release_Track'!$G:$G,1,0)),"NO ISRC-CATALOG ID pair MATCH in Release_Track" )</f>
        <v/>
      </c>
      <c r="E807" s="142" t="b">
        <v>0</v>
      </c>
      <c r="F807" s="142" t="b">
        <v>0</v>
      </c>
      <c r="G807" s="142" t="b">
        <v>0</v>
      </c>
      <c r="H807" s="142" t="b">
        <v>0</v>
      </c>
      <c r="I807" s="142" t="b">
        <v>0</v>
      </c>
      <c r="J807" s="142" t="b">
        <v>0</v>
      </c>
      <c r="K807" s="142" t="b">
        <v>0</v>
      </c>
      <c r="L807" s="8" t="b">
        <v>0</v>
      </c>
    </row>
    <row r="808">
      <c r="B808" s="103"/>
      <c r="C808" s="121" t="str">
        <f t="array" ref="C808">ifs(and(isblank($A808),isblank($B808)),"", not(iserror(vlookup($A808&amp;$B808,'5) Release_Track'!$F:$F&amp;'5) Release_Track'!$G:$G,1,0))),vlookup($A808&amp;$B808,{'5) Release_Track'!$F:$F&amp;'5) Release_Track'!$G:$G,'5) Release_Track'!$H:$H},2,0), or(and(not(isblank($B808)),$B808=$B807,$A808&lt;&gt;$A807),and(not(isblank($A808)),$A808=$A807,$B808&lt;&gt;$B807)),"ID LISTS UNALIGNED",and($A808&lt;&gt;"",countif('5) Release_Track'!$F:$F,$A808)=0),"NO ISRC MATCH in Release_Track",and($B808&lt;&gt;"",countif('5) Release_Track'!$G:$G,$B808)=0),"NO CATALOG ID MATCH in Release_Track",iserror(vlookup($A808&amp;$B808,'5) Release_Track'!$F:$F&amp;'5) Release_Track'!$G:$G,1,0)),"NO ISRC-CATALOG ID pair MATCH in Release_Track" )</f>
        <v/>
      </c>
      <c r="D808" s="121" t="str">
        <f t="array" ref="D808">ifs(and(isblank($A808),isblank($B808)),"", not(iserror(vlookup($A808&amp;$B808,'5) Release_Track'!$F:$F&amp;'5) Release_Track'!$G:$G,1,0))),vlookup($A808&amp;$B808,{'5) Release_Track'!$F:$F&amp;'5) Release_Track'!$G:$G,'5) Release_Track'!$I:$I},2,0), or(and(not(isblank($B808)),$B808=$B807,$A808&lt;&gt;$A807),and(not(isblank($A808)),$A808=$A807,$B808&lt;&gt;$B807)),"ID LISTS UNALIGNED",and($A808&lt;&gt;"",countif('5) Release_Track'!$F:$F,$A808)=0),"NO ISRC MATCH in Release_Track",and($B808&lt;&gt;"",countif('5) Release_Track'!$G:$G,$B808)=0),"NO CATALOG ID MATCH in Release_Track",iserror(vlookup($A808&amp;$B808,'5) Release_Track'!$F:$F&amp;'5) Release_Track'!$G:$G,1,0)),"NO ISRC-CATALOG ID pair MATCH in Release_Track" )</f>
        <v/>
      </c>
      <c r="E808" s="142" t="b">
        <v>0</v>
      </c>
      <c r="F808" s="142" t="b">
        <v>0</v>
      </c>
      <c r="G808" s="142" t="b">
        <v>0</v>
      </c>
      <c r="H808" s="142" t="b">
        <v>0</v>
      </c>
      <c r="I808" s="142" t="b">
        <v>0</v>
      </c>
      <c r="J808" s="142" t="b">
        <v>0</v>
      </c>
      <c r="K808" s="142" t="b">
        <v>0</v>
      </c>
      <c r="L808" s="8" t="b">
        <v>0</v>
      </c>
    </row>
    <row r="809">
      <c r="B809" s="103"/>
      <c r="C809" s="121" t="str">
        <f t="array" ref="C809">ifs(and(isblank($A809),isblank($B809)),"", not(iserror(vlookup($A809&amp;$B809,'5) Release_Track'!$F:$F&amp;'5) Release_Track'!$G:$G,1,0))),vlookup($A809&amp;$B809,{'5) Release_Track'!$F:$F&amp;'5) Release_Track'!$G:$G,'5) Release_Track'!$H:$H},2,0), or(and(not(isblank($B809)),$B809=$B808,$A809&lt;&gt;$A808),and(not(isblank($A809)),$A809=$A808,$B809&lt;&gt;$B808)),"ID LISTS UNALIGNED",and($A809&lt;&gt;"",countif('5) Release_Track'!$F:$F,$A809)=0),"NO ISRC MATCH in Release_Track",and($B809&lt;&gt;"",countif('5) Release_Track'!$G:$G,$B809)=0),"NO CATALOG ID MATCH in Release_Track",iserror(vlookup($A809&amp;$B809,'5) Release_Track'!$F:$F&amp;'5) Release_Track'!$G:$G,1,0)),"NO ISRC-CATALOG ID pair MATCH in Release_Track" )</f>
        <v/>
      </c>
      <c r="D809" s="121" t="str">
        <f t="array" ref="D809">ifs(and(isblank($A809),isblank($B809)),"", not(iserror(vlookup($A809&amp;$B809,'5) Release_Track'!$F:$F&amp;'5) Release_Track'!$G:$G,1,0))),vlookup($A809&amp;$B809,{'5) Release_Track'!$F:$F&amp;'5) Release_Track'!$G:$G,'5) Release_Track'!$I:$I},2,0), or(and(not(isblank($B809)),$B809=$B808,$A809&lt;&gt;$A808),and(not(isblank($A809)),$A809=$A808,$B809&lt;&gt;$B808)),"ID LISTS UNALIGNED",and($A809&lt;&gt;"",countif('5) Release_Track'!$F:$F,$A809)=0),"NO ISRC MATCH in Release_Track",and($B809&lt;&gt;"",countif('5) Release_Track'!$G:$G,$B809)=0),"NO CATALOG ID MATCH in Release_Track",iserror(vlookup($A809&amp;$B809,'5) Release_Track'!$F:$F&amp;'5) Release_Track'!$G:$G,1,0)),"NO ISRC-CATALOG ID pair MATCH in Release_Track" )</f>
        <v/>
      </c>
      <c r="E809" s="142" t="b">
        <v>0</v>
      </c>
      <c r="F809" s="142" t="b">
        <v>0</v>
      </c>
      <c r="G809" s="142" t="b">
        <v>0</v>
      </c>
      <c r="H809" s="142" t="b">
        <v>0</v>
      </c>
      <c r="I809" s="142" t="b">
        <v>0</v>
      </c>
      <c r="J809" s="142" t="b">
        <v>0</v>
      </c>
      <c r="K809" s="142" t="b">
        <v>0</v>
      </c>
      <c r="L809" s="8" t="b">
        <v>0</v>
      </c>
    </row>
    <row r="810">
      <c r="B810" s="103"/>
      <c r="C810" s="121" t="str">
        <f t="array" ref="C810">ifs(and(isblank($A810),isblank($B810)),"", not(iserror(vlookup($A810&amp;$B810,'5) Release_Track'!$F:$F&amp;'5) Release_Track'!$G:$G,1,0))),vlookup($A810&amp;$B810,{'5) Release_Track'!$F:$F&amp;'5) Release_Track'!$G:$G,'5) Release_Track'!$H:$H},2,0), or(and(not(isblank($B810)),$B810=$B809,$A810&lt;&gt;$A809),and(not(isblank($A810)),$A810=$A809,$B810&lt;&gt;$B809)),"ID LISTS UNALIGNED",and($A810&lt;&gt;"",countif('5) Release_Track'!$F:$F,$A810)=0),"NO ISRC MATCH in Release_Track",and($B810&lt;&gt;"",countif('5) Release_Track'!$G:$G,$B810)=0),"NO CATALOG ID MATCH in Release_Track",iserror(vlookup($A810&amp;$B810,'5) Release_Track'!$F:$F&amp;'5) Release_Track'!$G:$G,1,0)),"NO ISRC-CATALOG ID pair MATCH in Release_Track" )</f>
        <v/>
      </c>
      <c r="D810" s="121" t="str">
        <f t="array" ref="D810">ifs(and(isblank($A810),isblank($B810)),"", not(iserror(vlookup($A810&amp;$B810,'5) Release_Track'!$F:$F&amp;'5) Release_Track'!$G:$G,1,0))),vlookup($A810&amp;$B810,{'5) Release_Track'!$F:$F&amp;'5) Release_Track'!$G:$G,'5) Release_Track'!$I:$I},2,0), or(and(not(isblank($B810)),$B810=$B809,$A810&lt;&gt;$A809),and(not(isblank($A810)),$A810=$A809,$B810&lt;&gt;$B809)),"ID LISTS UNALIGNED",and($A810&lt;&gt;"",countif('5) Release_Track'!$F:$F,$A810)=0),"NO ISRC MATCH in Release_Track",and($B810&lt;&gt;"",countif('5) Release_Track'!$G:$G,$B810)=0),"NO CATALOG ID MATCH in Release_Track",iserror(vlookup($A810&amp;$B810,'5) Release_Track'!$F:$F&amp;'5) Release_Track'!$G:$G,1,0)),"NO ISRC-CATALOG ID pair MATCH in Release_Track" )</f>
        <v/>
      </c>
      <c r="E810" s="142" t="b">
        <v>0</v>
      </c>
      <c r="F810" s="142" t="b">
        <v>0</v>
      </c>
      <c r="G810" s="142" t="b">
        <v>0</v>
      </c>
      <c r="H810" s="142" t="b">
        <v>0</v>
      </c>
      <c r="I810" s="142" t="b">
        <v>0</v>
      </c>
      <c r="J810" s="142" t="b">
        <v>0</v>
      </c>
      <c r="K810" s="142" t="b">
        <v>0</v>
      </c>
      <c r="L810" s="8" t="b">
        <v>0</v>
      </c>
    </row>
    <row r="811">
      <c r="B811" s="103"/>
      <c r="C811" s="121" t="str">
        <f t="array" ref="C811">ifs(and(isblank($A811),isblank($B811)),"", not(iserror(vlookup($A811&amp;$B811,'5) Release_Track'!$F:$F&amp;'5) Release_Track'!$G:$G,1,0))),vlookup($A811&amp;$B811,{'5) Release_Track'!$F:$F&amp;'5) Release_Track'!$G:$G,'5) Release_Track'!$H:$H},2,0), or(and(not(isblank($B811)),$B811=$B810,$A811&lt;&gt;$A810),and(not(isblank($A811)),$A811=$A810,$B811&lt;&gt;$B810)),"ID LISTS UNALIGNED",and($A811&lt;&gt;"",countif('5) Release_Track'!$F:$F,$A811)=0),"NO ISRC MATCH in Release_Track",and($B811&lt;&gt;"",countif('5) Release_Track'!$G:$G,$B811)=0),"NO CATALOG ID MATCH in Release_Track",iserror(vlookup($A811&amp;$B811,'5) Release_Track'!$F:$F&amp;'5) Release_Track'!$G:$G,1,0)),"NO ISRC-CATALOG ID pair MATCH in Release_Track" )</f>
        <v/>
      </c>
      <c r="D811" s="121" t="str">
        <f t="array" ref="D811">ifs(and(isblank($A811),isblank($B811)),"", not(iserror(vlookup($A811&amp;$B811,'5) Release_Track'!$F:$F&amp;'5) Release_Track'!$G:$G,1,0))),vlookup($A811&amp;$B811,{'5) Release_Track'!$F:$F&amp;'5) Release_Track'!$G:$G,'5) Release_Track'!$I:$I},2,0), or(and(not(isblank($B811)),$B811=$B810,$A811&lt;&gt;$A810),and(not(isblank($A811)),$A811=$A810,$B811&lt;&gt;$B810)),"ID LISTS UNALIGNED",and($A811&lt;&gt;"",countif('5) Release_Track'!$F:$F,$A811)=0),"NO ISRC MATCH in Release_Track",and($B811&lt;&gt;"",countif('5) Release_Track'!$G:$G,$B811)=0),"NO CATALOG ID MATCH in Release_Track",iserror(vlookup($A811&amp;$B811,'5) Release_Track'!$F:$F&amp;'5) Release_Track'!$G:$G,1,0)),"NO ISRC-CATALOG ID pair MATCH in Release_Track" )</f>
        <v/>
      </c>
      <c r="E811" s="142" t="b">
        <v>0</v>
      </c>
      <c r="F811" s="142" t="b">
        <v>0</v>
      </c>
      <c r="G811" s="142" t="b">
        <v>0</v>
      </c>
      <c r="H811" s="142" t="b">
        <v>0</v>
      </c>
      <c r="I811" s="142" t="b">
        <v>0</v>
      </c>
      <c r="J811" s="142" t="b">
        <v>0</v>
      </c>
      <c r="K811" s="142" t="b">
        <v>0</v>
      </c>
      <c r="L811" s="8" t="b">
        <v>0</v>
      </c>
    </row>
    <row r="812">
      <c r="B812" s="103"/>
      <c r="C812" s="121" t="str">
        <f t="array" ref="C812">ifs(and(isblank($A812),isblank($B812)),"", not(iserror(vlookup($A812&amp;$B812,'5) Release_Track'!$F:$F&amp;'5) Release_Track'!$G:$G,1,0))),vlookup($A812&amp;$B812,{'5) Release_Track'!$F:$F&amp;'5) Release_Track'!$G:$G,'5) Release_Track'!$H:$H},2,0), or(and(not(isblank($B812)),$B812=$B811,$A812&lt;&gt;$A811),and(not(isblank($A812)),$A812=$A811,$B812&lt;&gt;$B811)),"ID LISTS UNALIGNED",and($A812&lt;&gt;"",countif('5) Release_Track'!$F:$F,$A812)=0),"NO ISRC MATCH in Release_Track",and($B812&lt;&gt;"",countif('5) Release_Track'!$G:$G,$B812)=0),"NO CATALOG ID MATCH in Release_Track",iserror(vlookup($A812&amp;$B812,'5) Release_Track'!$F:$F&amp;'5) Release_Track'!$G:$G,1,0)),"NO ISRC-CATALOG ID pair MATCH in Release_Track" )</f>
        <v/>
      </c>
      <c r="D812" s="121" t="str">
        <f t="array" ref="D812">ifs(and(isblank($A812),isblank($B812)),"", not(iserror(vlookup($A812&amp;$B812,'5) Release_Track'!$F:$F&amp;'5) Release_Track'!$G:$G,1,0))),vlookup($A812&amp;$B812,{'5) Release_Track'!$F:$F&amp;'5) Release_Track'!$G:$G,'5) Release_Track'!$I:$I},2,0), or(and(not(isblank($B812)),$B812=$B811,$A812&lt;&gt;$A811),and(not(isblank($A812)),$A812=$A811,$B812&lt;&gt;$B811)),"ID LISTS UNALIGNED",and($A812&lt;&gt;"",countif('5) Release_Track'!$F:$F,$A812)=0),"NO ISRC MATCH in Release_Track",and($B812&lt;&gt;"",countif('5) Release_Track'!$G:$G,$B812)=0),"NO CATALOG ID MATCH in Release_Track",iserror(vlookup($A812&amp;$B812,'5) Release_Track'!$F:$F&amp;'5) Release_Track'!$G:$G,1,0)),"NO ISRC-CATALOG ID pair MATCH in Release_Track" )</f>
        <v/>
      </c>
      <c r="E812" s="142" t="b">
        <v>0</v>
      </c>
      <c r="F812" s="142" t="b">
        <v>0</v>
      </c>
      <c r="G812" s="142" t="b">
        <v>0</v>
      </c>
      <c r="H812" s="142" t="b">
        <v>0</v>
      </c>
      <c r="I812" s="142" t="b">
        <v>0</v>
      </c>
      <c r="J812" s="142" t="b">
        <v>0</v>
      </c>
      <c r="K812" s="142" t="b">
        <v>0</v>
      </c>
      <c r="L812" s="8" t="b">
        <v>0</v>
      </c>
    </row>
    <row r="813">
      <c r="B813" s="103"/>
      <c r="C813" s="121" t="str">
        <f t="array" ref="C813">ifs(and(isblank($A813),isblank($B813)),"", not(iserror(vlookup($A813&amp;$B813,'5) Release_Track'!$F:$F&amp;'5) Release_Track'!$G:$G,1,0))),vlookup($A813&amp;$B813,{'5) Release_Track'!$F:$F&amp;'5) Release_Track'!$G:$G,'5) Release_Track'!$H:$H},2,0), or(and(not(isblank($B813)),$B813=$B812,$A813&lt;&gt;$A812),and(not(isblank($A813)),$A813=$A812,$B813&lt;&gt;$B812)),"ID LISTS UNALIGNED",and($A813&lt;&gt;"",countif('5) Release_Track'!$F:$F,$A813)=0),"NO ISRC MATCH in Release_Track",and($B813&lt;&gt;"",countif('5) Release_Track'!$G:$G,$B813)=0),"NO CATALOG ID MATCH in Release_Track",iserror(vlookup($A813&amp;$B813,'5) Release_Track'!$F:$F&amp;'5) Release_Track'!$G:$G,1,0)),"NO ISRC-CATALOG ID pair MATCH in Release_Track" )</f>
        <v/>
      </c>
      <c r="D813" s="121" t="str">
        <f t="array" ref="D813">ifs(and(isblank($A813),isblank($B813)),"", not(iserror(vlookup($A813&amp;$B813,'5) Release_Track'!$F:$F&amp;'5) Release_Track'!$G:$G,1,0))),vlookup($A813&amp;$B813,{'5) Release_Track'!$F:$F&amp;'5) Release_Track'!$G:$G,'5) Release_Track'!$I:$I},2,0), or(and(not(isblank($B813)),$B813=$B812,$A813&lt;&gt;$A812),and(not(isblank($A813)),$A813=$A812,$B813&lt;&gt;$B812)),"ID LISTS UNALIGNED",and($A813&lt;&gt;"",countif('5) Release_Track'!$F:$F,$A813)=0),"NO ISRC MATCH in Release_Track",and($B813&lt;&gt;"",countif('5) Release_Track'!$G:$G,$B813)=0),"NO CATALOG ID MATCH in Release_Track",iserror(vlookup($A813&amp;$B813,'5) Release_Track'!$F:$F&amp;'5) Release_Track'!$G:$G,1,0)),"NO ISRC-CATALOG ID pair MATCH in Release_Track" )</f>
        <v/>
      </c>
      <c r="E813" s="142" t="b">
        <v>0</v>
      </c>
      <c r="F813" s="142" t="b">
        <v>0</v>
      </c>
      <c r="G813" s="142" t="b">
        <v>0</v>
      </c>
      <c r="H813" s="142" t="b">
        <v>0</v>
      </c>
      <c r="I813" s="142" t="b">
        <v>0</v>
      </c>
      <c r="J813" s="142" t="b">
        <v>0</v>
      </c>
      <c r="K813" s="142" t="b">
        <v>0</v>
      </c>
      <c r="L813" s="8" t="b">
        <v>0</v>
      </c>
    </row>
    <row r="814">
      <c r="B814" s="103"/>
      <c r="C814" s="121" t="str">
        <f t="array" ref="C814">ifs(and(isblank($A814),isblank($B814)),"", not(iserror(vlookup($A814&amp;$B814,'5) Release_Track'!$F:$F&amp;'5) Release_Track'!$G:$G,1,0))),vlookup($A814&amp;$B814,{'5) Release_Track'!$F:$F&amp;'5) Release_Track'!$G:$G,'5) Release_Track'!$H:$H},2,0), or(and(not(isblank($B814)),$B814=$B813,$A814&lt;&gt;$A813),and(not(isblank($A814)),$A814=$A813,$B814&lt;&gt;$B813)),"ID LISTS UNALIGNED",and($A814&lt;&gt;"",countif('5) Release_Track'!$F:$F,$A814)=0),"NO ISRC MATCH in Release_Track",and($B814&lt;&gt;"",countif('5) Release_Track'!$G:$G,$B814)=0),"NO CATALOG ID MATCH in Release_Track",iserror(vlookup($A814&amp;$B814,'5) Release_Track'!$F:$F&amp;'5) Release_Track'!$G:$G,1,0)),"NO ISRC-CATALOG ID pair MATCH in Release_Track" )</f>
        <v/>
      </c>
      <c r="D814" s="121" t="str">
        <f t="array" ref="D814">ifs(and(isblank($A814),isblank($B814)),"", not(iserror(vlookup($A814&amp;$B814,'5) Release_Track'!$F:$F&amp;'5) Release_Track'!$G:$G,1,0))),vlookup($A814&amp;$B814,{'5) Release_Track'!$F:$F&amp;'5) Release_Track'!$G:$G,'5) Release_Track'!$I:$I},2,0), or(and(not(isblank($B814)),$B814=$B813,$A814&lt;&gt;$A813),and(not(isblank($A814)),$A814=$A813,$B814&lt;&gt;$B813)),"ID LISTS UNALIGNED",and($A814&lt;&gt;"",countif('5) Release_Track'!$F:$F,$A814)=0),"NO ISRC MATCH in Release_Track",and($B814&lt;&gt;"",countif('5) Release_Track'!$G:$G,$B814)=0),"NO CATALOG ID MATCH in Release_Track",iserror(vlookup($A814&amp;$B814,'5) Release_Track'!$F:$F&amp;'5) Release_Track'!$G:$G,1,0)),"NO ISRC-CATALOG ID pair MATCH in Release_Track" )</f>
        <v/>
      </c>
      <c r="E814" s="142" t="b">
        <v>0</v>
      </c>
      <c r="F814" s="142" t="b">
        <v>0</v>
      </c>
      <c r="G814" s="142" t="b">
        <v>0</v>
      </c>
      <c r="H814" s="142" t="b">
        <v>0</v>
      </c>
      <c r="I814" s="142" t="b">
        <v>0</v>
      </c>
      <c r="J814" s="142" t="b">
        <v>0</v>
      </c>
      <c r="K814" s="142" t="b">
        <v>0</v>
      </c>
      <c r="L814" s="8" t="b">
        <v>0</v>
      </c>
    </row>
    <row r="815">
      <c r="B815" s="103"/>
      <c r="C815" s="121" t="str">
        <f t="array" ref="C815">ifs(and(isblank($A815),isblank($B815)),"", not(iserror(vlookup($A815&amp;$B815,'5) Release_Track'!$F:$F&amp;'5) Release_Track'!$G:$G,1,0))),vlookup($A815&amp;$B815,{'5) Release_Track'!$F:$F&amp;'5) Release_Track'!$G:$G,'5) Release_Track'!$H:$H},2,0), or(and(not(isblank($B815)),$B815=$B814,$A815&lt;&gt;$A814),and(not(isblank($A815)),$A815=$A814,$B815&lt;&gt;$B814)),"ID LISTS UNALIGNED",and($A815&lt;&gt;"",countif('5) Release_Track'!$F:$F,$A815)=0),"NO ISRC MATCH in Release_Track",and($B815&lt;&gt;"",countif('5) Release_Track'!$G:$G,$B815)=0),"NO CATALOG ID MATCH in Release_Track",iserror(vlookup($A815&amp;$B815,'5) Release_Track'!$F:$F&amp;'5) Release_Track'!$G:$G,1,0)),"NO ISRC-CATALOG ID pair MATCH in Release_Track" )</f>
        <v/>
      </c>
      <c r="D815" s="121" t="str">
        <f t="array" ref="D815">ifs(and(isblank($A815),isblank($B815)),"", not(iserror(vlookup($A815&amp;$B815,'5) Release_Track'!$F:$F&amp;'5) Release_Track'!$G:$G,1,0))),vlookup($A815&amp;$B815,{'5) Release_Track'!$F:$F&amp;'5) Release_Track'!$G:$G,'5) Release_Track'!$I:$I},2,0), or(and(not(isblank($B815)),$B815=$B814,$A815&lt;&gt;$A814),and(not(isblank($A815)),$A815=$A814,$B815&lt;&gt;$B814)),"ID LISTS UNALIGNED",and($A815&lt;&gt;"",countif('5) Release_Track'!$F:$F,$A815)=0),"NO ISRC MATCH in Release_Track",and($B815&lt;&gt;"",countif('5) Release_Track'!$G:$G,$B815)=0),"NO CATALOG ID MATCH in Release_Track",iserror(vlookup($A815&amp;$B815,'5) Release_Track'!$F:$F&amp;'5) Release_Track'!$G:$G,1,0)),"NO ISRC-CATALOG ID pair MATCH in Release_Track" )</f>
        <v/>
      </c>
      <c r="E815" s="142" t="b">
        <v>0</v>
      </c>
      <c r="F815" s="142" t="b">
        <v>0</v>
      </c>
      <c r="G815" s="142" t="b">
        <v>0</v>
      </c>
      <c r="H815" s="142" t="b">
        <v>0</v>
      </c>
      <c r="I815" s="142" t="b">
        <v>0</v>
      </c>
      <c r="J815" s="142" t="b">
        <v>0</v>
      </c>
      <c r="K815" s="142" t="b">
        <v>0</v>
      </c>
      <c r="L815" s="8" t="b">
        <v>0</v>
      </c>
    </row>
    <row r="816">
      <c r="B816" s="103"/>
      <c r="C816" s="121" t="str">
        <f t="array" ref="C816">ifs(and(isblank($A816),isblank($B816)),"", not(iserror(vlookup($A816&amp;$B816,'5) Release_Track'!$F:$F&amp;'5) Release_Track'!$G:$G,1,0))),vlookup($A816&amp;$B816,{'5) Release_Track'!$F:$F&amp;'5) Release_Track'!$G:$G,'5) Release_Track'!$H:$H},2,0), or(and(not(isblank($B816)),$B816=$B815,$A816&lt;&gt;$A815),and(not(isblank($A816)),$A816=$A815,$B816&lt;&gt;$B815)),"ID LISTS UNALIGNED",and($A816&lt;&gt;"",countif('5) Release_Track'!$F:$F,$A816)=0),"NO ISRC MATCH in Release_Track",and($B816&lt;&gt;"",countif('5) Release_Track'!$G:$G,$B816)=0),"NO CATALOG ID MATCH in Release_Track",iserror(vlookup($A816&amp;$B816,'5) Release_Track'!$F:$F&amp;'5) Release_Track'!$G:$G,1,0)),"NO ISRC-CATALOG ID pair MATCH in Release_Track" )</f>
        <v/>
      </c>
      <c r="D816" s="121" t="str">
        <f t="array" ref="D816">ifs(and(isblank($A816),isblank($B816)),"", not(iserror(vlookup($A816&amp;$B816,'5) Release_Track'!$F:$F&amp;'5) Release_Track'!$G:$G,1,0))),vlookup($A816&amp;$B816,{'5) Release_Track'!$F:$F&amp;'5) Release_Track'!$G:$G,'5) Release_Track'!$I:$I},2,0), or(and(not(isblank($B816)),$B816=$B815,$A816&lt;&gt;$A815),and(not(isblank($A816)),$A816=$A815,$B816&lt;&gt;$B815)),"ID LISTS UNALIGNED",and($A816&lt;&gt;"",countif('5) Release_Track'!$F:$F,$A816)=0),"NO ISRC MATCH in Release_Track",and($B816&lt;&gt;"",countif('5) Release_Track'!$G:$G,$B816)=0),"NO CATALOG ID MATCH in Release_Track",iserror(vlookup($A816&amp;$B816,'5) Release_Track'!$F:$F&amp;'5) Release_Track'!$G:$G,1,0)),"NO ISRC-CATALOG ID pair MATCH in Release_Track" )</f>
        <v/>
      </c>
      <c r="E816" s="142" t="b">
        <v>0</v>
      </c>
      <c r="F816" s="142" t="b">
        <v>0</v>
      </c>
      <c r="G816" s="142" t="b">
        <v>0</v>
      </c>
      <c r="H816" s="142" t="b">
        <v>0</v>
      </c>
      <c r="I816" s="142" t="b">
        <v>0</v>
      </c>
      <c r="J816" s="142" t="b">
        <v>0</v>
      </c>
      <c r="K816" s="142" t="b">
        <v>0</v>
      </c>
      <c r="L816" s="8" t="b">
        <v>0</v>
      </c>
    </row>
    <row r="817">
      <c r="B817" s="103"/>
      <c r="C817" s="121" t="str">
        <f t="array" ref="C817">ifs(and(isblank($A817),isblank($B817)),"", not(iserror(vlookup($A817&amp;$B817,'5) Release_Track'!$F:$F&amp;'5) Release_Track'!$G:$G,1,0))),vlookup($A817&amp;$B817,{'5) Release_Track'!$F:$F&amp;'5) Release_Track'!$G:$G,'5) Release_Track'!$H:$H},2,0), or(and(not(isblank($B817)),$B817=$B816,$A817&lt;&gt;$A816),and(not(isblank($A817)),$A817=$A816,$B817&lt;&gt;$B816)),"ID LISTS UNALIGNED",and($A817&lt;&gt;"",countif('5) Release_Track'!$F:$F,$A817)=0),"NO ISRC MATCH in Release_Track",and($B817&lt;&gt;"",countif('5) Release_Track'!$G:$G,$B817)=0),"NO CATALOG ID MATCH in Release_Track",iserror(vlookup($A817&amp;$B817,'5) Release_Track'!$F:$F&amp;'5) Release_Track'!$G:$G,1,0)),"NO ISRC-CATALOG ID pair MATCH in Release_Track" )</f>
        <v/>
      </c>
      <c r="D817" s="121" t="str">
        <f t="array" ref="D817">ifs(and(isblank($A817),isblank($B817)),"", not(iserror(vlookup($A817&amp;$B817,'5) Release_Track'!$F:$F&amp;'5) Release_Track'!$G:$G,1,0))),vlookup($A817&amp;$B817,{'5) Release_Track'!$F:$F&amp;'5) Release_Track'!$G:$G,'5) Release_Track'!$I:$I},2,0), or(and(not(isblank($B817)),$B817=$B816,$A817&lt;&gt;$A816),and(not(isblank($A817)),$A817=$A816,$B817&lt;&gt;$B816)),"ID LISTS UNALIGNED",and($A817&lt;&gt;"",countif('5) Release_Track'!$F:$F,$A817)=0),"NO ISRC MATCH in Release_Track",and($B817&lt;&gt;"",countif('5) Release_Track'!$G:$G,$B817)=0),"NO CATALOG ID MATCH in Release_Track",iserror(vlookup($A817&amp;$B817,'5) Release_Track'!$F:$F&amp;'5) Release_Track'!$G:$G,1,0)),"NO ISRC-CATALOG ID pair MATCH in Release_Track" )</f>
        <v/>
      </c>
      <c r="E817" s="142" t="b">
        <v>0</v>
      </c>
      <c r="F817" s="142" t="b">
        <v>0</v>
      </c>
      <c r="G817" s="142" t="b">
        <v>0</v>
      </c>
      <c r="H817" s="142" t="b">
        <v>0</v>
      </c>
      <c r="I817" s="142" t="b">
        <v>0</v>
      </c>
      <c r="J817" s="142" t="b">
        <v>0</v>
      </c>
      <c r="K817" s="142" t="b">
        <v>0</v>
      </c>
      <c r="L817" s="8" t="b">
        <v>0</v>
      </c>
    </row>
    <row r="818">
      <c r="B818" s="103"/>
      <c r="C818" s="121" t="str">
        <f t="array" ref="C818">ifs(and(isblank($A818),isblank($B818)),"", not(iserror(vlookup($A818&amp;$B818,'5) Release_Track'!$F:$F&amp;'5) Release_Track'!$G:$G,1,0))),vlookup($A818&amp;$B818,{'5) Release_Track'!$F:$F&amp;'5) Release_Track'!$G:$G,'5) Release_Track'!$H:$H},2,0), or(and(not(isblank($B818)),$B818=$B817,$A818&lt;&gt;$A817),and(not(isblank($A818)),$A818=$A817,$B818&lt;&gt;$B817)),"ID LISTS UNALIGNED",and($A818&lt;&gt;"",countif('5) Release_Track'!$F:$F,$A818)=0),"NO ISRC MATCH in Release_Track",and($B818&lt;&gt;"",countif('5) Release_Track'!$G:$G,$B818)=0),"NO CATALOG ID MATCH in Release_Track",iserror(vlookup($A818&amp;$B818,'5) Release_Track'!$F:$F&amp;'5) Release_Track'!$G:$G,1,0)),"NO ISRC-CATALOG ID pair MATCH in Release_Track" )</f>
        <v/>
      </c>
      <c r="D818" s="121" t="str">
        <f t="array" ref="D818">ifs(and(isblank($A818),isblank($B818)),"", not(iserror(vlookup($A818&amp;$B818,'5) Release_Track'!$F:$F&amp;'5) Release_Track'!$G:$G,1,0))),vlookup($A818&amp;$B818,{'5) Release_Track'!$F:$F&amp;'5) Release_Track'!$G:$G,'5) Release_Track'!$I:$I},2,0), or(and(not(isblank($B818)),$B818=$B817,$A818&lt;&gt;$A817),and(not(isblank($A818)),$A818=$A817,$B818&lt;&gt;$B817)),"ID LISTS UNALIGNED",and($A818&lt;&gt;"",countif('5) Release_Track'!$F:$F,$A818)=0),"NO ISRC MATCH in Release_Track",and($B818&lt;&gt;"",countif('5) Release_Track'!$G:$G,$B818)=0),"NO CATALOG ID MATCH in Release_Track",iserror(vlookup($A818&amp;$B818,'5) Release_Track'!$F:$F&amp;'5) Release_Track'!$G:$G,1,0)),"NO ISRC-CATALOG ID pair MATCH in Release_Track" )</f>
        <v/>
      </c>
      <c r="E818" s="142" t="b">
        <v>0</v>
      </c>
      <c r="F818" s="142" t="b">
        <v>0</v>
      </c>
      <c r="G818" s="142" t="b">
        <v>0</v>
      </c>
      <c r="H818" s="142" t="b">
        <v>0</v>
      </c>
      <c r="I818" s="142" t="b">
        <v>0</v>
      </c>
      <c r="J818" s="142" t="b">
        <v>0</v>
      </c>
      <c r="K818" s="142" t="b">
        <v>0</v>
      </c>
      <c r="L818" s="8" t="b">
        <v>0</v>
      </c>
    </row>
    <row r="819">
      <c r="B819" s="103"/>
      <c r="C819" s="121" t="str">
        <f t="array" ref="C819">ifs(and(isblank($A819),isblank($B819)),"", not(iserror(vlookup($A819&amp;$B819,'5) Release_Track'!$F:$F&amp;'5) Release_Track'!$G:$G,1,0))),vlookup($A819&amp;$B819,{'5) Release_Track'!$F:$F&amp;'5) Release_Track'!$G:$G,'5) Release_Track'!$H:$H},2,0), or(and(not(isblank($B819)),$B819=$B818,$A819&lt;&gt;$A818),and(not(isblank($A819)),$A819=$A818,$B819&lt;&gt;$B818)),"ID LISTS UNALIGNED",and($A819&lt;&gt;"",countif('5) Release_Track'!$F:$F,$A819)=0),"NO ISRC MATCH in Release_Track",and($B819&lt;&gt;"",countif('5) Release_Track'!$G:$G,$B819)=0),"NO CATALOG ID MATCH in Release_Track",iserror(vlookup($A819&amp;$B819,'5) Release_Track'!$F:$F&amp;'5) Release_Track'!$G:$G,1,0)),"NO ISRC-CATALOG ID pair MATCH in Release_Track" )</f>
        <v/>
      </c>
      <c r="D819" s="121" t="str">
        <f t="array" ref="D819">ifs(and(isblank($A819),isblank($B819)),"", not(iserror(vlookup($A819&amp;$B819,'5) Release_Track'!$F:$F&amp;'5) Release_Track'!$G:$G,1,0))),vlookup($A819&amp;$B819,{'5) Release_Track'!$F:$F&amp;'5) Release_Track'!$G:$G,'5) Release_Track'!$I:$I},2,0), or(and(not(isblank($B819)),$B819=$B818,$A819&lt;&gt;$A818),and(not(isblank($A819)),$A819=$A818,$B819&lt;&gt;$B818)),"ID LISTS UNALIGNED",and($A819&lt;&gt;"",countif('5) Release_Track'!$F:$F,$A819)=0),"NO ISRC MATCH in Release_Track",and($B819&lt;&gt;"",countif('5) Release_Track'!$G:$G,$B819)=0),"NO CATALOG ID MATCH in Release_Track",iserror(vlookup($A819&amp;$B819,'5) Release_Track'!$F:$F&amp;'5) Release_Track'!$G:$G,1,0)),"NO ISRC-CATALOG ID pair MATCH in Release_Track" )</f>
        <v/>
      </c>
      <c r="E819" s="142" t="b">
        <v>0</v>
      </c>
      <c r="F819" s="142" t="b">
        <v>0</v>
      </c>
      <c r="G819" s="142" t="b">
        <v>0</v>
      </c>
      <c r="H819" s="142" t="b">
        <v>0</v>
      </c>
      <c r="I819" s="142" t="b">
        <v>0</v>
      </c>
      <c r="J819" s="142" t="b">
        <v>0</v>
      </c>
      <c r="K819" s="142" t="b">
        <v>0</v>
      </c>
      <c r="L819" s="8" t="b">
        <v>0</v>
      </c>
    </row>
    <row r="820">
      <c r="B820" s="103"/>
      <c r="C820" s="121" t="str">
        <f t="array" ref="C820">ifs(and(isblank($A820),isblank($B820)),"", not(iserror(vlookup($A820&amp;$B820,'5) Release_Track'!$F:$F&amp;'5) Release_Track'!$G:$G,1,0))),vlookup($A820&amp;$B820,{'5) Release_Track'!$F:$F&amp;'5) Release_Track'!$G:$G,'5) Release_Track'!$H:$H},2,0), or(and(not(isblank($B820)),$B820=$B819,$A820&lt;&gt;$A819),and(not(isblank($A820)),$A820=$A819,$B820&lt;&gt;$B819)),"ID LISTS UNALIGNED",and($A820&lt;&gt;"",countif('5) Release_Track'!$F:$F,$A820)=0),"NO ISRC MATCH in Release_Track",and($B820&lt;&gt;"",countif('5) Release_Track'!$G:$G,$B820)=0),"NO CATALOG ID MATCH in Release_Track",iserror(vlookup($A820&amp;$B820,'5) Release_Track'!$F:$F&amp;'5) Release_Track'!$G:$G,1,0)),"NO ISRC-CATALOG ID pair MATCH in Release_Track" )</f>
        <v/>
      </c>
      <c r="D820" s="121" t="str">
        <f t="array" ref="D820">ifs(and(isblank($A820),isblank($B820)),"", not(iserror(vlookup($A820&amp;$B820,'5) Release_Track'!$F:$F&amp;'5) Release_Track'!$G:$G,1,0))),vlookup($A820&amp;$B820,{'5) Release_Track'!$F:$F&amp;'5) Release_Track'!$G:$G,'5) Release_Track'!$I:$I},2,0), or(and(not(isblank($B820)),$B820=$B819,$A820&lt;&gt;$A819),and(not(isblank($A820)),$A820=$A819,$B820&lt;&gt;$B819)),"ID LISTS UNALIGNED",and($A820&lt;&gt;"",countif('5) Release_Track'!$F:$F,$A820)=0),"NO ISRC MATCH in Release_Track",and($B820&lt;&gt;"",countif('5) Release_Track'!$G:$G,$B820)=0),"NO CATALOG ID MATCH in Release_Track",iserror(vlookup($A820&amp;$B820,'5) Release_Track'!$F:$F&amp;'5) Release_Track'!$G:$G,1,0)),"NO ISRC-CATALOG ID pair MATCH in Release_Track" )</f>
        <v/>
      </c>
      <c r="E820" s="142" t="b">
        <v>0</v>
      </c>
      <c r="F820" s="142" t="b">
        <v>0</v>
      </c>
      <c r="G820" s="142" t="b">
        <v>0</v>
      </c>
      <c r="H820" s="142" t="b">
        <v>0</v>
      </c>
      <c r="I820" s="142" t="b">
        <v>0</v>
      </c>
      <c r="J820" s="142" t="b">
        <v>0</v>
      </c>
      <c r="K820" s="142" t="b">
        <v>0</v>
      </c>
      <c r="L820" s="8" t="b">
        <v>0</v>
      </c>
    </row>
    <row r="821">
      <c r="B821" s="103"/>
      <c r="C821" s="121" t="str">
        <f t="array" ref="C821">ifs(and(isblank($A821),isblank($B821)),"", not(iserror(vlookup($A821&amp;$B821,'5) Release_Track'!$F:$F&amp;'5) Release_Track'!$G:$G,1,0))),vlookup($A821&amp;$B821,{'5) Release_Track'!$F:$F&amp;'5) Release_Track'!$G:$G,'5) Release_Track'!$H:$H},2,0), or(and(not(isblank($B821)),$B821=$B820,$A821&lt;&gt;$A820),and(not(isblank($A821)),$A821=$A820,$B821&lt;&gt;$B820)),"ID LISTS UNALIGNED",and($A821&lt;&gt;"",countif('5) Release_Track'!$F:$F,$A821)=0),"NO ISRC MATCH in Release_Track",and($B821&lt;&gt;"",countif('5) Release_Track'!$G:$G,$B821)=0),"NO CATALOG ID MATCH in Release_Track",iserror(vlookup($A821&amp;$B821,'5) Release_Track'!$F:$F&amp;'5) Release_Track'!$G:$G,1,0)),"NO ISRC-CATALOG ID pair MATCH in Release_Track" )</f>
        <v/>
      </c>
      <c r="D821" s="121" t="str">
        <f t="array" ref="D821">ifs(and(isblank($A821),isblank($B821)),"", not(iserror(vlookup($A821&amp;$B821,'5) Release_Track'!$F:$F&amp;'5) Release_Track'!$G:$G,1,0))),vlookup($A821&amp;$B821,{'5) Release_Track'!$F:$F&amp;'5) Release_Track'!$G:$G,'5) Release_Track'!$I:$I},2,0), or(and(not(isblank($B821)),$B821=$B820,$A821&lt;&gt;$A820),and(not(isblank($A821)),$A821=$A820,$B821&lt;&gt;$B820)),"ID LISTS UNALIGNED",and($A821&lt;&gt;"",countif('5) Release_Track'!$F:$F,$A821)=0),"NO ISRC MATCH in Release_Track",and($B821&lt;&gt;"",countif('5) Release_Track'!$G:$G,$B821)=0),"NO CATALOG ID MATCH in Release_Track",iserror(vlookup($A821&amp;$B821,'5) Release_Track'!$F:$F&amp;'5) Release_Track'!$G:$G,1,0)),"NO ISRC-CATALOG ID pair MATCH in Release_Track" )</f>
        <v/>
      </c>
      <c r="E821" s="142" t="b">
        <v>0</v>
      </c>
      <c r="F821" s="142" t="b">
        <v>0</v>
      </c>
      <c r="G821" s="142" t="b">
        <v>0</v>
      </c>
      <c r="H821" s="142" t="b">
        <v>0</v>
      </c>
      <c r="I821" s="142" t="b">
        <v>0</v>
      </c>
      <c r="J821" s="142" t="b">
        <v>0</v>
      </c>
      <c r="K821" s="142" t="b">
        <v>0</v>
      </c>
      <c r="L821" s="8" t="b">
        <v>0</v>
      </c>
    </row>
    <row r="822">
      <c r="B822" s="103"/>
      <c r="C822" s="121" t="str">
        <f t="array" ref="C822">ifs(and(isblank($A822),isblank($B822)),"", not(iserror(vlookup($A822&amp;$B822,'5) Release_Track'!$F:$F&amp;'5) Release_Track'!$G:$G,1,0))),vlookup($A822&amp;$B822,{'5) Release_Track'!$F:$F&amp;'5) Release_Track'!$G:$G,'5) Release_Track'!$H:$H},2,0), or(and(not(isblank($B822)),$B822=$B821,$A822&lt;&gt;$A821),and(not(isblank($A822)),$A822=$A821,$B822&lt;&gt;$B821)),"ID LISTS UNALIGNED",and($A822&lt;&gt;"",countif('5) Release_Track'!$F:$F,$A822)=0),"NO ISRC MATCH in Release_Track",and($B822&lt;&gt;"",countif('5) Release_Track'!$G:$G,$B822)=0),"NO CATALOG ID MATCH in Release_Track",iserror(vlookup($A822&amp;$B822,'5) Release_Track'!$F:$F&amp;'5) Release_Track'!$G:$G,1,0)),"NO ISRC-CATALOG ID pair MATCH in Release_Track" )</f>
        <v/>
      </c>
      <c r="D822" s="121" t="str">
        <f t="array" ref="D822">ifs(and(isblank($A822),isblank($B822)),"", not(iserror(vlookup($A822&amp;$B822,'5) Release_Track'!$F:$F&amp;'5) Release_Track'!$G:$G,1,0))),vlookup($A822&amp;$B822,{'5) Release_Track'!$F:$F&amp;'5) Release_Track'!$G:$G,'5) Release_Track'!$I:$I},2,0), or(and(not(isblank($B822)),$B822=$B821,$A822&lt;&gt;$A821),and(not(isblank($A822)),$A822=$A821,$B822&lt;&gt;$B821)),"ID LISTS UNALIGNED",and($A822&lt;&gt;"",countif('5) Release_Track'!$F:$F,$A822)=0),"NO ISRC MATCH in Release_Track",and($B822&lt;&gt;"",countif('5) Release_Track'!$G:$G,$B822)=0),"NO CATALOG ID MATCH in Release_Track",iserror(vlookup($A822&amp;$B822,'5) Release_Track'!$F:$F&amp;'5) Release_Track'!$G:$G,1,0)),"NO ISRC-CATALOG ID pair MATCH in Release_Track" )</f>
        <v/>
      </c>
      <c r="E822" s="142" t="b">
        <v>0</v>
      </c>
      <c r="F822" s="142" t="b">
        <v>0</v>
      </c>
      <c r="G822" s="142" t="b">
        <v>0</v>
      </c>
      <c r="H822" s="142" t="b">
        <v>0</v>
      </c>
      <c r="I822" s="142" t="b">
        <v>0</v>
      </c>
      <c r="J822" s="142" t="b">
        <v>0</v>
      </c>
      <c r="K822" s="142" t="b">
        <v>0</v>
      </c>
      <c r="L822" s="8" t="b">
        <v>0</v>
      </c>
    </row>
    <row r="823">
      <c r="B823" s="103"/>
      <c r="C823" s="121" t="str">
        <f t="array" ref="C823">ifs(and(isblank($A823),isblank($B823)),"", not(iserror(vlookup($A823&amp;$B823,'5) Release_Track'!$F:$F&amp;'5) Release_Track'!$G:$G,1,0))),vlookup($A823&amp;$B823,{'5) Release_Track'!$F:$F&amp;'5) Release_Track'!$G:$G,'5) Release_Track'!$H:$H},2,0), or(and(not(isblank($B823)),$B823=$B822,$A823&lt;&gt;$A822),and(not(isblank($A823)),$A823=$A822,$B823&lt;&gt;$B822)),"ID LISTS UNALIGNED",and($A823&lt;&gt;"",countif('5) Release_Track'!$F:$F,$A823)=0),"NO ISRC MATCH in Release_Track",and($B823&lt;&gt;"",countif('5) Release_Track'!$G:$G,$B823)=0),"NO CATALOG ID MATCH in Release_Track",iserror(vlookup($A823&amp;$B823,'5) Release_Track'!$F:$F&amp;'5) Release_Track'!$G:$G,1,0)),"NO ISRC-CATALOG ID pair MATCH in Release_Track" )</f>
        <v/>
      </c>
      <c r="D823" s="121" t="str">
        <f t="array" ref="D823">ifs(and(isblank($A823),isblank($B823)),"", not(iserror(vlookup($A823&amp;$B823,'5) Release_Track'!$F:$F&amp;'5) Release_Track'!$G:$G,1,0))),vlookup($A823&amp;$B823,{'5) Release_Track'!$F:$F&amp;'5) Release_Track'!$G:$G,'5) Release_Track'!$I:$I},2,0), or(and(not(isblank($B823)),$B823=$B822,$A823&lt;&gt;$A822),and(not(isblank($A823)),$A823=$A822,$B823&lt;&gt;$B822)),"ID LISTS UNALIGNED",and($A823&lt;&gt;"",countif('5) Release_Track'!$F:$F,$A823)=0),"NO ISRC MATCH in Release_Track",and($B823&lt;&gt;"",countif('5) Release_Track'!$G:$G,$B823)=0),"NO CATALOG ID MATCH in Release_Track",iserror(vlookup($A823&amp;$B823,'5) Release_Track'!$F:$F&amp;'5) Release_Track'!$G:$G,1,0)),"NO ISRC-CATALOG ID pair MATCH in Release_Track" )</f>
        <v/>
      </c>
      <c r="E823" s="142" t="b">
        <v>0</v>
      </c>
      <c r="F823" s="142" t="b">
        <v>0</v>
      </c>
      <c r="G823" s="142" t="b">
        <v>0</v>
      </c>
      <c r="H823" s="142" t="b">
        <v>0</v>
      </c>
      <c r="I823" s="142" t="b">
        <v>0</v>
      </c>
      <c r="J823" s="142" t="b">
        <v>0</v>
      </c>
      <c r="K823" s="142" t="b">
        <v>0</v>
      </c>
      <c r="L823" s="8" t="b">
        <v>0</v>
      </c>
    </row>
    <row r="824">
      <c r="B824" s="103"/>
      <c r="C824" s="121" t="str">
        <f t="array" ref="C824">ifs(and(isblank($A824),isblank($B824)),"", not(iserror(vlookup($A824&amp;$B824,'5) Release_Track'!$F:$F&amp;'5) Release_Track'!$G:$G,1,0))),vlookup($A824&amp;$B824,{'5) Release_Track'!$F:$F&amp;'5) Release_Track'!$G:$G,'5) Release_Track'!$H:$H},2,0), or(and(not(isblank($B824)),$B824=$B823,$A824&lt;&gt;$A823),and(not(isblank($A824)),$A824=$A823,$B824&lt;&gt;$B823)),"ID LISTS UNALIGNED",and($A824&lt;&gt;"",countif('5) Release_Track'!$F:$F,$A824)=0),"NO ISRC MATCH in Release_Track",and($B824&lt;&gt;"",countif('5) Release_Track'!$G:$G,$B824)=0),"NO CATALOG ID MATCH in Release_Track",iserror(vlookup($A824&amp;$B824,'5) Release_Track'!$F:$F&amp;'5) Release_Track'!$G:$G,1,0)),"NO ISRC-CATALOG ID pair MATCH in Release_Track" )</f>
        <v/>
      </c>
      <c r="D824" s="121" t="str">
        <f t="array" ref="D824">ifs(and(isblank($A824),isblank($B824)),"", not(iserror(vlookup($A824&amp;$B824,'5) Release_Track'!$F:$F&amp;'5) Release_Track'!$G:$G,1,0))),vlookup($A824&amp;$B824,{'5) Release_Track'!$F:$F&amp;'5) Release_Track'!$G:$G,'5) Release_Track'!$I:$I},2,0), or(and(not(isblank($B824)),$B824=$B823,$A824&lt;&gt;$A823),and(not(isblank($A824)),$A824=$A823,$B824&lt;&gt;$B823)),"ID LISTS UNALIGNED",and($A824&lt;&gt;"",countif('5) Release_Track'!$F:$F,$A824)=0),"NO ISRC MATCH in Release_Track",and($B824&lt;&gt;"",countif('5) Release_Track'!$G:$G,$B824)=0),"NO CATALOG ID MATCH in Release_Track",iserror(vlookup($A824&amp;$B824,'5) Release_Track'!$F:$F&amp;'5) Release_Track'!$G:$G,1,0)),"NO ISRC-CATALOG ID pair MATCH in Release_Track" )</f>
        <v/>
      </c>
      <c r="E824" s="142" t="b">
        <v>0</v>
      </c>
      <c r="F824" s="142" t="b">
        <v>0</v>
      </c>
      <c r="G824" s="142" t="b">
        <v>0</v>
      </c>
      <c r="H824" s="142" t="b">
        <v>0</v>
      </c>
      <c r="I824" s="142" t="b">
        <v>0</v>
      </c>
      <c r="J824" s="142" t="b">
        <v>0</v>
      </c>
      <c r="K824" s="142" t="b">
        <v>0</v>
      </c>
      <c r="L824" s="8" t="b">
        <v>0</v>
      </c>
    </row>
    <row r="825">
      <c r="B825" s="103"/>
      <c r="C825" s="121" t="str">
        <f t="array" ref="C825">ifs(and(isblank($A825),isblank($B825)),"", not(iserror(vlookup($A825&amp;$B825,'5) Release_Track'!$F:$F&amp;'5) Release_Track'!$G:$G,1,0))),vlookup($A825&amp;$B825,{'5) Release_Track'!$F:$F&amp;'5) Release_Track'!$G:$G,'5) Release_Track'!$H:$H},2,0), or(and(not(isblank($B825)),$B825=$B824,$A825&lt;&gt;$A824),and(not(isblank($A825)),$A825=$A824,$B825&lt;&gt;$B824)),"ID LISTS UNALIGNED",and($A825&lt;&gt;"",countif('5) Release_Track'!$F:$F,$A825)=0),"NO ISRC MATCH in Release_Track",and($B825&lt;&gt;"",countif('5) Release_Track'!$G:$G,$B825)=0),"NO CATALOG ID MATCH in Release_Track",iserror(vlookup($A825&amp;$B825,'5) Release_Track'!$F:$F&amp;'5) Release_Track'!$G:$G,1,0)),"NO ISRC-CATALOG ID pair MATCH in Release_Track" )</f>
        <v/>
      </c>
      <c r="D825" s="121" t="str">
        <f t="array" ref="D825">ifs(and(isblank($A825),isblank($B825)),"", not(iserror(vlookup($A825&amp;$B825,'5) Release_Track'!$F:$F&amp;'5) Release_Track'!$G:$G,1,0))),vlookup($A825&amp;$B825,{'5) Release_Track'!$F:$F&amp;'5) Release_Track'!$G:$G,'5) Release_Track'!$I:$I},2,0), or(and(not(isblank($B825)),$B825=$B824,$A825&lt;&gt;$A824),and(not(isblank($A825)),$A825=$A824,$B825&lt;&gt;$B824)),"ID LISTS UNALIGNED",and($A825&lt;&gt;"",countif('5) Release_Track'!$F:$F,$A825)=0),"NO ISRC MATCH in Release_Track",and($B825&lt;&gt;"",countif('5) Release_Track'!$G:$G,$B825)=0),"NO CATALOG ID MATCH in Release_Track",iserror(vlookup($A825&amp;$B825,'5) Release_Track'!$F:$F&amp;'5) Release_Track'!$G:$G,1,0)),"NO ISRC-CATALOG ID pair MATCH in Release_Track" )</f>
        <v/>
      </c>
      <c r="E825" s="142" t="b">
        <v>0</v>
      </c>
      <c r="F825" s="142" t="b">
        <v>0</v>
      </c>
      <c r="G825" s="142" t="b">
        <v>0</v>
      </c>
      <c r="H825" s="142" t="b">
        <v>0</v>
      </c>
      <c r="I825" s="142" t="b">
        <v>0</v>
      </c>
      <c r="J825" s="142" t="b">
        <v>0</v>
      </c>
      <c r="K825" s="142" t="b">
        <v>0</v>
      </c>
      <c r="L825" s="8" t="b">
        <v>0</v>
      </c>
    </row>
    <row r="826">
      <c r="B826" s="103"/>
      <c r="C826" s="121" t="str">
        <f t="array" ref="C826">ifs(and(isblank($A826),isblank($B826)),"", not(iserror(vlookup($A826&amp;$B826,'5) Release_Track'!$F:$F&amp;'5) Release_Track'!$G:$G,1,0))),vlookup($A826&amp;$B826,{'5) Release_Track'!$F:$F&amp;'5) Release_Track'!$G:$G,'5) Release_Track'!$H:$H},2,0), or(and(not(isblank($B826)),$B826=$B825,$A826&lt;&gt;$A825),and(not(isblank($A826)),$A826=$A825,$B826&lt;&gt;$B825)),"ID LISTS UNALIGNED",and($A826&lt;&gt;"",countif('5) Release_Track'!$F:$F,$A826)=0),"NO ISRC MATCH in Release_Track",and($B826&lt;&gt;"",countif('5) Release_Track'!$G:$G,$B826)=0),"NO CATALOG ID MATCH in Release_Track",iserror(vlookup($A826&amp;$B826,'5) Release_Track'!$F:$F&amp;'5) Release_Track'!$G:$G,1,0)),"NO ISRC-CATALOG ID pair MATCH in Release_Track" )</f>
        <v/>
      </c>
      <c r="D826" s="121" t="str">
        <f t="array" ref="D826">ifs(and(isblank($A826),isblank($B826)),"", not(iserror(vlookup($A826&amp;$B826,'5) Release_Track'!$F:$F&amp;'5) Release_Track'!$G:$G,1,0))),vlookup($A826&amp;$B826,{'5) Release_Track'!$F:$F&amp;'5) Release_Track'!$G:$G,'5) Release_Track'!$I:$I},2,0), or(and(not(isblank($B826)),$B826=$B825,$A826&lt;&gt;$A825),and(not(isblank($A826)),$A826=$A825,$B826&lt;&gt;$B825)),"ID LISTS UNALIGNED",and($A826&lt;&gt;"",countif('5) Release_Track'!$F:$F,$A826)=0),"NO ISRC MATCH in Release_Track",and($B826&lt;&gt;"",countif('5) Release_Track'!$G:$G,$B826)=0),"NO CATALOG ID MATCH in Release_Track",iserror(vlookup($A826&amp;$B826,'5) Release_Track'!$F:$F&amp;'5) Release_Track'!$G:$G,1,0)),"NO ISRC-CATALOG ID pair MATCH in Release_Track" )</f>
        <v/>
      </c>
      <c r="E826" s="142" t="b">
        <v>0</v>
      </c>
      <c r="F826" s="142" t="b">
        <v>0</v>
      </c>
      <c r="G826" s="142" t="b">
        <v>0</v>
      </c>
      <c r="H826" s="142" t="b">
        <v>0</v>
      </c>
      <c r="I826" s="142" t="b">
        <v>0</v>
      </c>
      <c r="J826" s="142" t="b">
        <v>0</v>
      </c>
      <c r="K826" s="142" t="b">
        <v>0</v>
      </c>
      <c r="L826" s="8" t="b">
        <v>0</v>
      </c>
    </row>
    <row r="827">
      <c r="B827" s="103"/>
      <c r="C827" s="121" t="str">
        <f t="array" ref="C827">ifs(and(isblank($A827),isblank($B827)),"", not(iserror(vlookup($A827&amp;$B827,'5) Release_Track'!$F:$F&amp;'5) Release_Track'!$G:$G,1,0))),vlookup($A827&amp;$B827,{'5) Release_Track'!$F:$F&amp;'5) Release_Track'!$G:$G,'5) Release_Track'!$H:$H},2,0), or(and(not(isblank($B827)),$B827=$B826,$A827&lt;&gt;$A826),and(not(isblank($A827)),$A827=$A826,$B827&lt;&gt;$B826)),"ID LISTS UNALIGNED",and($A827&lt;&gt;"",countif('5) Release_Track'!$F:$F,$A827)=0),"NO ISRC MATCH in Release_Track",and($B827&lt;&gt;"",countif('5) Release_Track'!$G:$G,$B827)=0),"NO CATALOG ID MATCH in Release_Track",iserror(vlookup($A827&amp;$B827,'5) Release_Track'!$F:$F&amp;'5) Release_Track'!$G:$G,1,0)),"NO ISRC-CATALOG ID pair MATCH in Release_Track" )</f>
        <v/>
      </c>
      <c r="D827" s="121" t="str">
        <f t="array" ref="D827">ifs(and(isblank($A827),isblank($B827)),"", not(iserror(vlookup($A827&amp;$B827,'5) Release_Track'!$F:$F&amp;'5) Release_Track'!$G:$G,1,0))),vlookup($A827&amp;$B827,{'5) Release_Track'!$F:$F&amp;'5) Release_Track'!$G:$G,'5) Release_Track'!$I:$I},2,0), or(and(not(isblank($B827)),$B827=$B826,$A827&lt;&gt;$A826),and(not(isblank($A827)),$A827=$A826,$B827&lt;&gt;$B826)),"ID LISTS UNALIGNED",and($A827&lt;&gt;"",countif('5) Release_Track'!$F:$F,$A827)=0),"NO ISRC MATCH in Release_Track",and($B827&lt;&gt;"",countif('5) Release_Track'!$G:$G,$B827)=0),"NO CATALOG ID MATCH in Release_Track",iserror(vlookup($A827&amp;$B827,'5) Release_Track'!$F:$F&amp;'5) Release_Track'!$G:$G,1,0)),"NO ISRC-CATALOG ID pair MATCH in Release_Track" )</f>
        <v/>
      </c>
      <c r="E827" s="142" t="b">
        <v>0</v>
      </c>
      <c r="F827" s="142" t="b">
        <v>0</v>
      </c>
      <c r="G827" s="142" t="b">
        <v>0</v>
      </c>
      <c r="H827" s="142" t="b">
        <v>0</v>
      </c>
      <c r="I827" s="142" t="b">
        <v>0</v>
      </c>
      <c r="J827" s="142" t="b">
        <v>0</v>
      </c>
      <c r="K827" s="142" t="b">
        <v>0</v>
      </c>
      <c r="L827" s="8" t="b">
        <v>0</v>
      </c>
    </row>
    <row r="828">
      <c r="B828" s="103"/>
      <c r="C828" s="121" t="str">
        <f t="array" ref="C828">ifs(and(isblank($A828),isblank($B828)),"", not(iserror(vlookup($A828&amp;$B828,'5) Release_Track'!$F:$F&amp;'5) Release_Track'!$G:$G,1,0))),vlookup($A828&amp;$B828,{'5) Release_Track'!$F:$F&amp;'5) Release_Track'!$G:$G,'5) Release_Track'!$H:$H},2,0), or(and(not(isblank($B828)),$B828=$B827,$A828&lt;&gt;$A827),and(not(isblank($A828)),$A828=$A827,$B828&lt;&gt;$B827)),"ID LISTS UNALIGNED",and($A828&lt;&gt;"",countif('5) Release_Track'!$F:$F,$A828)=0),"NO ISRC MATCH in Release_Track",and($B828&lt;&gt;"",countif('5) Release_Track'!$G:$G,$B828)=0),"NO CATALOG ID MATCH in Release_Track",iserror(vlookup($A828&amp;$B828,'5) Release_Track'!$F:$F&amp;'5) Release_Track'!$G:$G,1,0)),"NO ISRC-CATALOG ID pair MATCH in Release_Track" )</f>
        <v/>
      </c>
      <c r="D828" s="121" t="str">
        <f t="array" ref="D828">ifs(and(isblank($A828),isblank($B828)),"", not(iserror(vlookup($A828&amp;$B828,'5) Release_Track'!$F:$F&amp;'5) Release_Track'!$G:$G,1,0))),vlookup($A828&amp;$B828,{'5) Release_Track'!$F:$F&amp;'5) Release_Track'!$G:$G,'5) Release_Track'!$I:$I},2,0), or(and(not(isblank($B828)),$B828=$B827,$A828&lt;&gt;$A827),and(not(isblank($A828)),$A828=$A827,$B828&lt;&gt;$B827)),"ID LISTS UNALIGNED",and($A828&lt;&gt;"",countif('5) Release_Track'!$F:$F,$A828)=0),"NO ISRC MATCH in Release_Track",and($B828&lt;&gt;"",countif('5) Release_Track'!$G:$G,$B828)=0),"NO CATALOG ID MATCH in Release_Track",iserror(vlookup($A828&amp;$B828,'5) Release_Track'!$F:$F&amp;'5) Release_Track'!$G:$G,1,0)),"NO ISRC-CATALOG ID pair MATCH in Release_Track" )</f>
        <v/>
      </c>
      <c r="E828" s="142" t="b">
        <v>0</v>
      </c>
      <c r="F828" s="142" t="b">
        <v>0</v>
      </c>
      <c r="G828" s="142" t="b">
        <v>0</v>
      </c>
      <c r="H828" s="142" t="b">
        <v>0</v>
      </c>
      <c r="I828" s="142" t="b">
        <v>0</v>
      </c>
      <c r="J828" s="142" t="b">
        <v>0</v>
      </c>
      <c r="K828" s="142" t="b">
        <v>0</v>
      </c>
      <c r="L828" s="8" t="b">
        <v>0</v>
      </c>
    </row>
    <row r="829">
      <c r="B829" s="103"/>
      <c r="C829" s="121" t="str">
        <f t="array" ref="C829">ifs(and(isblank($A829),isblank($B829)),"", not(iserror(vlookup($A829&amp;$B829,'5) Release_Track'!$F:$F&amp;'5) Release_Track'!$G:$G,1,0))),vlookup($A829&amp;$B829,{'5) Release_Track'!$F:$F&amp;'5) Release_Track'!$G:$G,'5) Release_Track'!$H:$H},2,0), or(and(not(isblank($B829)),$B829=$B828,$A829&lt;&gt;$A828),and(not(isblank($A829)),$A829=$A828,$B829&lt;&gt;$B828)),"ID LISTS UNALIGNED",and($A829&lt;&gt;"",countif('5) Release_Track'!$F:$F,$A829)=0),"NO ISRC MATCH in Release_Track",and($B829&lt;&gt;"",countif('5) Release_Track'!$G:$G,$B829)=0),"NO CATALOG ID MATCH in Release_Track",iserror(vlookup($A829&amp;$B829,'5) Release_Track'!$F:$F&amp;'5) Release_Track'!$G:$G,1,0)),"NO ISRC-CATALOG ID pair MATCH in Release_Track" )</f>
        <v/>
      </c>
      <c r="D829" s="121" t="str">
        <f t="array" ref="D829">ifs(and(isblank($A829),isblank($B829)),"", not(iserror(vlookup($A829&amp;$B829,'5) Release_Track'!$F:$F&amp;'5) Release_Track'!$G:$G,1,0))),vlookup($A829&amp;$B829,{'5) Release_Track'!$F:$F&amp;'5) Release_Track'!$G:$G,'5) Release_Track'!$I:$I},2,0), or(and(not(isblank($B829)),$B829=$B828,$A829&lt;&gt;$A828),and(not(isblank($A829)),$A829=$A828,$B829&lt;&gt;$B828)),"ID LISTS UNALIGNED",and($A829&lt;&gt;"",countif('5) Release_Track'!$F:$F,$A829)=0),"NO ISRC MATCH in Release_Track",and($B829&lt;&gt;"",countif('5) Release_Track'!$G:$G,$B829)=0),"NO CATALOG ID MATCH in Release_Track",iserror(vlookup($A829&amp;$B829,'5) Release_Track'!$F:$F&amp;'5) Release_Track'!$G:$G,1,0)),"NO ISRC-CATALOG ID pair MATCH in Release_Track" )</f>
        <v/>
      </c>
      <c r="E829" s="142" t="b">
        <v>0</v>
      </c>
      <c r="F829" s="142" t="b">
        <v>0</v>
      </c>
      <c r="G829" s="142" t="b">
        <v>0</v>
      </c>
      <c r="H829" s="142" t="b">
        <v>0</v>
      </c>
      <c r="I829" s="142" t="b">
        <v>0</v>
      </c>
      <c r="J829" s="142" t="b">
        <v>0</v>
      </c>
      <c r="K829" s="142" t="b">
        <v>0</v>
      </c>
      <c r="L829" s="8" t="b">
        <v>0</v>
      </c>
    </row>
    <row r="830">
      <c r="B830" s="103"/>
      <c r="C830" s="121" t="str">
        <f t="array" ref="C830">ifs(and(isblank($A830),isblank($B830)),"", not(iserror(vlookup($A830&amp;$B830,'5) Release_Track'!$F:$F&amp;'5) Release_Track'!$G:$G,1,0))),vlookup($A830&amp;$B830,{'5) Release_Track'!$F:$F&amp;'5) Release_Track'!$G:$G,'5) Release_Track'!$H:$H},2,0), or(and(not(isblank($B830)),$B830=$B829,$A830&lt;&gt;$A829),and(not(isblank($A830)),$A830=$A829,$B830&lt;&gt;$B829)),"ID LISTS UNALIGNED",and($A830&lt;&gt;"",countif('5) Release_Track'!$F:$F,$A830)=0),"NO ISRC MATCH in Release_Track",and($B830&lt;&gt;"",countif('5) Release_Track'!$G:$G,$B830)=0),"NO CATALOG ID MATCH in Release_Track",iserror(vlookup($A830&amp;$B830,'5) Release_Track'!$F:$F&amp;'5) Release_Track'!$G:$G,1,0)),"NO ISRC-CATALOG ID pair MATCH in Release_Track" )</f>
        <v/>
      </c>
      <c r="D830" s="121" t="str">
        <f t="array" ref="D830">ifs(and(isblank($A830),isblank($B830)),"", not(iserror(vlookup($A830&amp;$B830,'5) Release_Track'!$F:$F&amp;'5) Release_Track'!$G:$G,1,0))),vlookup($A830&amp;$B830,{'5) Release_Track'!$F:$F&amp;'5) Release_Track'!$G:$G,'5) Release_Track'!$I:$I},2,0), or(and(not(isblank($B830)),$B830=$B829,$A830&lt;&gt;$A829),and(not(isblank($A830)),$A830=$A829,$B830&lt;&gt;$B829)),"ID LISTS UNALIGNED",and($A830&lt;&gt;"",countif('5) Release_Track'!$F:$F,$A830)=0),"NO ISRC MATCH in Release_Track",and($B830&lt;&gt;"",countif('5) Release_Track'!$G:$G,$B830)=0),"NO CATALOG ID MATCH in Release_Track",iserror(vlookup($A830&amp;$B830,'5) Release_Track'!$F:$F&amp;'5) Release_Track'!$G:$G,1,0)),"NO ISRC-CATALOG ID pair MATCH in Release_Track" )</f>
        <v/>
      </c>
      <c r="E830" s="142" t="b">
        <v>0</v>
      </c>
      <c r="F830" s="142" t="b">
        <v>0</v>
      </c>
      <c r="G830" s="142" t="b">
        <v>0</v>
      </c>
      <c r="H830" s="142" t="b">
        <v>0</v>
      </c>
      <c r="I830" s="142" t="b">
        <v>0</v>
      </c>
      <c r="J830" s="142" t="b">
        <v>0</v>
      </c>
      <c r="K830" s="142" t="b">
        <v>0</v>
      </c>
      <c r="L830" s="8" t="b">
        <v>0</v>
      </c>
    </row>
    <row r="831">
      <c r="B831" s="103"/>
      <c r="C831" s="121" t="str">
        <f t="array" ref="C831">ifs(and(isblank($A831),isblank($B831)),"", not(iserror(vlookup($A831&amp;$B831,'5) Release_Track'!$F:$F&amp;'5) Release_Track'!$G:$G,1,0))),vlookup($A831&amp;$B831,{'5) Release_Track'!$F:$F&amp;'5) Release_Track'!$G:$G,'5) Release_Track'!$H:$H},2,0), or(and(not(isblank($B831)),$B831=$B830,$A831&lt;&gt;$A830),and(not(isblank($A831)),$A831=$A830,$B831&lt;&gt;$B830)),"ID LISTS UNALIGNED",and($A831&lt;&gt;"",countif('5) Release_Track'!$F:$F,$A831)=0),"NO ISRC MATCH in Release_Track",and($B831&lt;&gt;"",countif('5) Release_Track'!$G:$G,$B831)=0),"NO CATALOG ID MATCH in Release_Track",iserror(vlookup($A831&amp;$B831,'5) Release_Track'!$F:$F&amp;'5) Release_Track'!$G:$G,1,0)),"NO ISRC-CATALOG ID pair MATCH in Release_Track" )</f>
        <v/>
      </c>
      <c r="D831" s="121" t="str">
        <f t="array" ref="D831">ifs(and(isblank($A831),isblank($B831)),"", not(iserror(vlookup($A831&amp;$B831,'5) Release_Track'!$F:$F&amp;'5) Release_Track'!$G:$G,1,0))),vlookup($A831&amp;$B831,{'5) Release_Track'!$F:$F&amp;'5) Release_Track'!$G:$G,'5) Release_Track'!$I:$I},2,0), or(and(not(isblank($B831)),$B831=$B830,$A831&lt;&gt;$A830),and(not(isblank($A831)),$A831=$A830,$B831&lt;&gt;$B830)),"ID LISTS UNALIGNED",and($A831&lt;&gt;"",countif('5) Release_Track'!$F:$F,$A831)=0),"NO ISRC MATCH in Release_Track",and($B831&lt;&gt;"",countif('5) Release_Track'!$G:$G,$B831)=0),"NO CATALOG ID MATCH in Release_Track",iserror(vlookup($A831&amp;$B831,'5) Release_Track'!$F:$F&amp;'5) Release_Track'!$G:$G,1,0)),"NO ISRC-CATALOG ID pair MATCH in Release_Track" )</f>
        <v/>
      </c>
      <c r="E831" s="142" t="b">
        <v>0</v>
      </c>
      <c r="F831" s="142" t="b">
        <v>0</v>
      </c>
      <c r="G831" s="142" t="b">
        <v>0</v>
      </c>
      <c r="H831" s="142" t="b">
        <v>0</v>
      </c>
      <c r="I831" s="142" t="b">
        <v>0</v>
      </c>
      <c r="J831" s="142" t="b">
        <v>0</v>
      </c>
      <c r="K831" s="142" t="b">
        <v>0</v>
      </c>
      <c r="L831" s="8" t="b">
        <v>0</v>
      </c>
    </row>
    <row r="832">
      <c r="B832" s="103"/>
      <c r="C832" s="121" t="str">
        <f t="array" ref="C832">ifs(and(isblank($A832),isblank($B832)),"", not(iserror(vlookup($A832&amp;$B832,'5) Release_Track'!$F:$F&amp;'5) Release_Track'!$G:$G,1,0))),vlookup($A832&amp;$B832,{'5) Release_Track'!$F:$F&amp;'5) Release_Track'!$G:$G,'5) Release_Track'!$H:$H},2,0), or(and(not(isblank($B832)),$B832=$B831,$A832&lt;&gt;$A831),and(not(isblank($A832)),$A832=$A831,$B832&lt;&gt;$B831)),"ID LISTS UNALIGNED",and($A832&lt;&gt;"",countif('5) Release_Track'!$F:$F,$A832)=0),"NO ISRC MATCH in Release_Track",and($B832&lt;&gt;"",countif('5) Release_Track'!$G:$G,$B832)=0),"NO CATALOG ID MATCH in Release_Track",iserror(vlookup($A832&amp;$B832,'5) Release_Track'!$F:$F&amp;'5) Release_Track'!$G:$G,1,0)),"NO ISRC-CATALOG ID pair MATCH in Release_Track" )</f>
        <v/>
      </c>
      <c r="D832" s="121" t="str">
        <f t="array" ref="D832">ifs(and(isblank($A832),isblank($B832)),"", not(iserror(vlookup($A832&amp;$B832,'5) Release_Track'!$F:$F&amp;'5) Release_Track'!$G:$G,1,0))),vlookup($A832&amp;$B832,{'5) Release_Track'!$F:$F&amp;'5) Release_Track'!$G:$G,'5) Release_Track'!$I:$I},2,0), or(and(not(isblank($B832)),$B832=$B831,$A832&lt;&gt;$A831),and(not(isblank($A832)),$A832=$A831,$B832&lt;&gt;$B831)),"ID LISTS UNALIGNED",and($A832&lt;&gt;"",countif('5) Release_Track'!$F:$F,$A832)=0),"NO ISRC MATCH in Release_Track",and($B832&lt;&gt;"",countif('5) Release_Track'!$G:$G,$B832)=0),"NO CATALOG ID MATCH in Release_Track",iserror(vlookup($A832&amp;$B832,'5) Release_Track'!$F:$F&amp;'5) Release_Track'!$G:$G,1,0)),"NO ISRC-CATALOG ID pair MATCH in Release_Track" )</f>
        <v/>
      </c>
      <c r="E832" s="142" t="b">
        <v>0</v>
      </c>
      <c r="F832" s="142" t="b">
        <v>0</v>
      </c>
      <c r="G832" s="142" t="b">
        <v>0</v>
      </c>
      <c r="H832" s="142" t="b">
        <v>0</v>
      </c>
      <c r="I832" s="142" t="b">
        <v>0</v>
      </c>
      <c r="J832" s="142" t="b">
        <v>0</v>
      </c>
      <c r="K832" s="142" t="b">
        <v>0</v>
      </c>
      <c r="L832" s="8" t="b">
        <v>0</v>
      </c>
    </row>
    <row r="833">
      <c r="B833" s="103"/>
      <c r="C833" s="121" t="str">
        <f t="array" ref="C833">ifs(and(isblank($A833),isblank($B833)),"", not(iserror(vlookup($A833&amp;$B833,'5) Release_Track'!$F:$F&amp;'5) Release_Track'!$G:$G,1,0))),vlookup($A833&amp;$B833,{'5) Release_Track'!$F:$F&amp;'5) Release_Track'!$G:$G,'5) Release_Track'!$H:$H},2,0), or(and(not(isblank($B833)),$B833=$B832,$A833&lt;&gt;$A832),and(not(isblank($A833)),$A833=$A832,$B833&lt;&gt;$B832)),"ID LISTS UNALIGNED",and($A833&lt;&gt;"",countif('5) Release_Track'!$F:$F,$A833)=0),"NO ISRC MATCH in Release_Track",and($B833&lt;&gt;"",countif('5) Release_Track'!$G:$G,$B833)=0),"NO CATALOG ID MATCH in Release_Track",iserror(vlookup($A833&amp;$B833,'5) Release_Track'!$F:$F&amp;'5) Release_Track'!$G:$G,1,0)),"NO ISRC-CATALOG ID pair MATCH in Release_Track" )</f>
        <v/>
      </c>
      <c r="D833" s="121" t="str">
        <f t="array" ref="D833">ifs(and(isblank($A833),isblank($B833)),"", not(iserror(vlookup($A833&amp;$B833,'5) Release_Track'!$F:$F&amp;'5) Release_Track'!$G:$G,1,0))),vlookup($A833&amp;$B833,{'5) Release_Track'!$F:$F&amp;'5) Release_Track'!$G:$G,'5) Release_Track'!$I:$I},2,0), or(and(not(isblank($B833)),$B833=$B832,$A833&lt;&gt;$A832),and(not(isblank($A833)),$A833=$A832,$B833&lt;&gt;$B832)),"ID LISTS UNALIGNED",and($A833&lt;&gt;"",countif('5) Release_Track'!$F:$F,$A833)=0),"NO ISRC MATCH in Release_Track",and($B833&lt;&gt;"",countif('5) Release_Track'!$G:$G,$B833)=0),"NO CATALOG ID MATCH in Release_Track",iserror(vlookup($A833&amp;$B833,'5) Release_Track'!$F:$F&amp;'5) Release_Track'!$G:$G,1,0)),"NO ISRC-CATALOG ID pair MATCH in Release_Track" )</f>
        <v/>
      </c>
      <c r="E833" s="142" t="b">
        <v>0</v>
      </c>
      <c r="F833" s="142" t="b">
        <v>0</v>
      </c>
      <c r="G833" s="142" t="b">
        <v>0</v>
      </c>
      <c r="H833" s="142" t="b">
        <v>0</v>
      </c>
      <c r="I833" s="142" t="b">
        <v>0</v>
      </c>
      <c r="J833" s="142" t="b">
        <v>0</v>
      </c>
      <c r="K833" s="142" t="b">
        <v>0</v>
      </c>
      <c r="L833" s="8" t="b">
        <v>0</v>
      </c>
    </row>
    <row r="834">
      <c r="B834" s="103"/>
      <c r="C834" s="121" t="str">
        <f t="array" ref="C834">ifs(and(isblank($A834),isblank($B834)),"", not(iserror(vlookup($A834&amp;$B834,'5) Release_Track'!$F:$F&amp;'5) Release_Track'!$G:$G,1,0))),vlookup($A834&amp;$B834,{'5) Release_Track'!$F:$F&amp;'5) Release_Track'!$G:$G,'5) Release_Track'!$H:$H},2,0), or(and(not(isblank($B834)),$B834=$B833,$A834&lt;&gt;$A833),and(not(isblank($A834)),$A834=$A833,$B834&lt;&gt;$B833)),"ID LISTS UNALIGNED",and($A834&lt;&gt;"",countif('5) Release_Track'!$F:$F,$A834)=0),"NO ISRC MATCH in Release_Track",and($B834&lt;&gt;"",countif('5) Release_Track'!$G:$G,$B834)=0),"NO CATALOG ID MATCH in Release_Track",iserror(vlookup($A834&amp;$B834,'5) Release_Track'!$F:$F&amp;'5) Release_Track'!$G:$G,1,0)),"NO ISRC-CATALOG ID pair MATCH in Release_Track" )</f>
        <v/>
      </c>
      <c r="D834" s="121" t="str">
        <f t="array" ref="D834">ifs(and(isblank($A834),isblank($B834)),"", not(iserror(vlookup($A834&amp;$B834,'5) Release_Track'!$F:$F&amp;'5) Release_Track'!$G:$G,1,0))),vlookup($A834&amp;$B834,{'5) Release_Track'!$F:$F&amp;'5) Release_Track'!$G:$G,'5) Release_Track'!$I:$I},2,0), or(and(not(isblank($B834)),$B834=$B833,$A834&lt;&gt;$A833),and(not(isblank($A834)),$A834=$A833,$B834&lt;&gt;$B833)),"ID LISTS UNALIGNED",and($A834&lt;&gt;"",countif('5) Release_Track'!$F:$F,$A834)=0),"NO ISRC MATCH in Release_Track",and($B834&lt;&gt;"",countif('5) Release_Track'!$G:$G,$B834)=0),"NO CATALOG ID MATCH in Release_Track",iserror(vlookup($A834&amp;$B834,'5) Release_Track'!$F:$F&amp;'5) Release_Track'!$G:$G,1,0)),"NO ISRC-CATALOG ID pair MATCH in Release_Track" )</f>
        <v/>
      </c>
      <c r="E834" s="142" t="b">
        <v>0</v>
      </c>
      <c r="F834" s="142" t="b">
        <v>0</v>
      </c>
      <c r="G834" s="142" t="b">
        <v>0</v>
      </c>
      <c r="H834" s="142" t="b">
        <v>0</v>
      </c>
      <c r="I834" s="142" t="b">
        <v>0</v>
      </c>
      <c r="J834" s="142" t="b">
        <v>0</v>
      </c>
      <c r="K834" s="142" t="b">
        <v>0</v>
      </c>
      <c r="L834" s="8" t="b">
        <v>0</v>
      </c>
    </row>
    <row r="835">
      <c r="B835" s="103"/>
      <c r="C835" s="121" t="str">
        <f t="array" ref="C835">ifs(and(isblank($A835),isblank($B835)),"", not(iserror(vlookup($A835&amp;$B835,'5) Release_Track'!$F:$F&amp;'5) Release_Track'!$G:$G,1,0))),vlookup($A835&amp;$B835,{'5) Release_Track'!$F:$F&amp;'5) Release_Track'!$G:$G,'5) Release_Track'!$H:$H},2,0), or(and(not(isblank($B835)),$B835=$B834,$A835&lt;&gt;$A834),and(not(isblank($A835)),$A835=$A834,$B835&lt;&gt;$B834)),"ID LISTS UNALIGNED",and($A835&lt;&gt;"",countif('5) Release_Track'!$F:$F,$A835)=0),"NO ISRC MATCH in Release_Track",and($B835&lt;&gt;"",countif('5) Release_Track'!$G:$G,$B835)=0),"NO CATALOG ID MATCH in Release_Track",iserror(vlookup($A835&amp;$B835,'5) Release_Track'!$F:$F&amp;'5) Release_Track'!$G:$G,1,0)),"NO ISRC-CATALOG ID pair MATCH in Release_Track" )</f>
        <v/>
      </c>
      <c r="D835" s="121" t="str">
        <f t="array" ref="D835">ifs(and(isblank($A835),isblank($B835)),"", not(iserror(vlookup($A835&amp;$B835,'5) Release_Track'!$F:$F&amp;'5) Release_Track'!$G:$G,1,0))),vlookup($A835&amp;$B835,{'5) Release_Track'!$F:$F&amp;'5) Release_Track'!$G:$G,'5) Release_Track'!$I:$I},2,0), or(and(not(isblank($B835)),$B835=$B834,$A835&lt;&gt;$A834),and(not(isblank($A835)),$A835=$A834,$B835&lt;&gt;$B834)),"ID LISTS UNALIGNED",and($A835&lt;&gt;"",countif('5) Release_Track'!$F:$F,$A835)=0),"NO ISRC MATCH in Release_Track",and($B835&lt;&gt;"",countif('5) Release_Track'!$G:$G,$B835)=0),"NO CATALOG ID MATCH in Release_Track",iserror(vlookup($A835&amp;$B835,'5) Release_Track'!$F:$F&amp;'5) Release_Track'!$G:$G,1,0)),"NO ISRC-CATALOG ID pair MATCH in Release_Track" )</f>
        <v/>
      </c>
      <c r="E835" s="142" t="b">
        <v>0</v>
      </c>
      <c r="F835" s="142" t="b">
        <v>0</v>
      </c>
      <c r="G835" s="142" t="b">
        <v>0</v>
      </c>
      <c r="H835" s="142" t="b">
        <v>0</v>
      </c>
      <c r="I835" s="142" t="b">
        <v>0</v>
      </c>
      <c r="J835" s="142" t="b">
        <v>0</v>
      </c>
      <c r="K835" s="142" t="b">
        <v>0</v>
      </c>
      <c r="L835" s="8" t="b">
        <v>0</v>
      </c>
    </row>
    <row r="836">
      <c r="B836" s="103"/>
      <c r="C836" s="121" t="str">
        <f t="array" ref="C836">ifs(and(isblank($A836),isblank($B836)),"", not(iserror(vlookup($A836&amp;$B836,'5) Release_Track'!$F:$F&amp;'5) Release_Track'!$G:$G,1,0))),vlookup($A836&amp;$B836,{'5) Release_Track'!$F:$F&amp;'5) Release_Track'!$G:$G,'5) Release_Track'!$H:$H},2,0), or(and(not(isblank($B836)),$B836=$B835,$A836&lt;&gt;$A835),and(not(isblank($A836)),$A836=$A835,$B836&lt;&gt;$B835)),"ID LISTS UNALIGNED",and($A836&lt;&gt;"",countif('5) Release_Track'!$F:$F,$A836)=0),"NO ISRC MATCH in Release_Track",and($B836&lt;&gt;"",countif('5) Release_Track'!$G:$G,$B836)=0),"NO CATALOG ID MATCH in Release_Track",iserror(vlookup($A836&amp;$B836,'5) Release_Track'!$F:$F&amp;'5) Release_Track'!$G:$G,1,0)),"NO ISRC-CATALOG ID pair MATCH in Release_Track" )</f>
        <v/>
      </c>
      <c r="D836" s="121" t="str">
        <f t="array" ref="D836">ifs(and(isblank($A836),isblank($B836)),"", not(iserror(vlookup($A836&amp;$B836,'5) Release_Track'!$F:$F&amp;'5) Release_Track'!$G:$G,1,0))),vlookup($A836&amp;$B836,{'5) Release_Track'!$F:$F&amp;'5) Release_Track'!$G:$G,'5) Release_Track'!$I:$I},2,0), or(and(not(isblank($B836)),$B836=$B835,$A836&lt;&gt;$A835),and(not(isblank($A836)),$A836=$A835,$B836&lt;&gt;$B835)),"ID LISTS UNALIGNED",and($A836&lt;&gt;"",countif('5) Release_Track'!$F:$F,$A836)=0),"NO ISRC MATCH in Release_Track",and($B836&lt;&gt;"",countif('5) Release_Track'!$G:$G,$B836)=0),"NO CATALOG ID MATCH in Release_Track",iserror(vlookup($A836&amp;$B836,'5) Release_Track'!$F:$F&amp;'5) Release_Track'!$G:$G,1,0)),"NO ISRC-CATALOG ID pair MATCH in Release_Track" )</f>
        <v/>
      </c>
      <c r="E836" s="142" t="b">
        <v>0</v>
      </c>
      <c r="F836" s="142" t="b">
        <v>0</v>
      </c>
      <c r="G836" s="142" t="b">
        <v>0</v>
      </c>
      <c r="H836" s="142" t="b">
        <v>0</v>
      </c>
      <c r="I836" s="142" t="b">
        <v>0</v>
      </c>
      <c r="J836" s="142" t="b">
        <v>0</v>
      </c>
      <c r="K836" s="142" t="b">
        <v>0</v>
      </c>
      <c r="L836" s="8" t="b">
        <v>0</v>
      </c>
    </row>
    <row r="837">
      <c r="B837" s="103"/>
      <c r="C837" s="121" t="str">
        <f t="array" ref="C837">ifs(and(isblank($A837),isblank($B837)),"", not(iserror(vlookup($A837&amp;$B837,'5) Release_Track'!$F:$F&amp;'5) Release_Track'!$G:$G,1,0))),vlookup($A837&amp;$B837,{'5) Release_Track'!$F:$F&amp;'5) Release_Track'!$G:$G,'5) Release_Track'!$H:$H},2,0), or(and(not(isblank($B837)),$B837=$B836,$A837&lt;&gt;$A836),and(not(isblank($A837)),$A837=$A836,$B837&lt;&gt;$B836)),"ID LISTS UNALIGNED",and($A837&lt;&gt;"",countif('5) Release_Track'!$F:$F,$A837)=0),"NO ISRC MATCH in Release_Track",and($B837&lt;&gt;"",countif('5) Release_Track'!$G:$G,$B837)=0),"NO CATALOG ID MATCH in Release_Track",iserror(vlookup($A837&amp;$B837,'5) Release_Track'!$F:$F&amp;'5) Release_Track'!$G:$G,1,0)),"NO ISRC-CATALOG ID pair MATCH in Release_Track" )</f>
        <v/>
      </c>
      <c r="D837" s="121" t="str">
        <f t="array" ref="D837">ifs(and(isblank($A837),isblank($B837)),"", not(iserror(vlookup($A837&amp;$B837,'5) Release_Track'!$F:$F&amp;'5) Release_Track'!$G:$G,1,0))),vlookup($A837&amp;$B837,{'5) Release_Track'!$F:$F&amp;'5) Release_Track'!$G:$G,'5) Release_Track'!$I:$I},2,0), or(and(not(isblank($B837)),$B837=$B836,$A837&lt;&gt;$A836),and(not(isblank($A837)),$A837=$A836,$B837&lt;&gt;$B836)),"ID LISTS UNALIGNED",and($A837&lt;&gt;"",countif('5) Release_Track'!$F:$F,$A837)=0),"NO ISRC MATCH in Release_Track",and($B837&lt;&gt;"",countif('5) Release_Track'!$G:$G,$B837)=0),"NO CATALOG ID MATCH in Release_Track",iserror(vlookup($A837&amp;$B837,'5) Release_Track'!$F:$F&amp;'5) Release_Track'!$G:$G,1,0)),"NO ISRC-CATALOG ID pair MATCH in Release_Track" )</f>
        <v/>
      </c>
      <c r="E837" s="142" t="b">
        <v>0</v>
      </c>
      <c r="F837" s="142" t="b">
        <v>0</v>
      </c>
      <c r="G837" s="142" t="b">
        <v>0</v>
      </c>
      <c r="H837" s="142" t="b">
        <v>0</v>
      </c>
      <c r="I837" s="142" t="b">
        <v>0</v>
      </c>
      <c r="J837" s="142" t="b">
        <v>0</v>
      </c>
      <c r="K837" s="142" t="b">
        <v>0</v>
      </c>
      <c r="L837" s="8" t="b">
        <v>0</v>
      </c>
    </row>
    <row r="838">
      <c r="B838" s="103"/>
      <c r="C838" s="121" t="str">
        <f t="array" ref="C838">ifs(and(isblank($A838),isblank($B838)),"", not(iserror(vlookup($A838&amp;$B838,'5) Release_Track'!$F:$F&amp;'5) Release_Track'!$G:$G,1,0))),vlookup($A838&amp;$B838,{'5) Release_Track'!$F:$F&amp;'5) Release_Track'!$G:$G,'5) Release_Track'!$H:$H},2,0), or(and(not(isblank($B838)),$B838=$B837,$A838&lt;&gt;$A837),and(not(isblank($A838)),$A838=$A837,$B838&lt;&gt;$B837)),"ID LISTS UNALIGNED",and($A838&lt;&gt;"",countif('5) Release_Track'!$F:$F,$A838)=0),"NO ISRC MATCH in Release_Track",and($B838&lt;&gt;"",countif('5) Release_Track'!$G:$G,$B838)=0),"NO CATALOG ID MATCH in Release_Track",iserror(vlookup($A838&amp;$B838,'5) Release_Track'!$F:$F&amp;'5) Release_Track'!$G:$G,1,0)),"NO ISRC-CATALOG ID pair MATCH in Release_Track" )</f>
        <v/>
      </c>
      <c r="D838" s="121" t="str">
        <f t="array" ref="D838">ifs(and(isblank($A838),isblank($B838)),"", not(iserror(vlookup($A838&amp;$B838,'5) Release_Track'!$F:$F&amp;'5) Release_Track'!$G:$G,1,0))),vlookup($A838&amp;$B838,{'5) Release_Track'!$F:$F&amp;'5) Release_Track'!$G:$G,'5) Release_Track'!$I:$I},2,0), or(and(not(isblank($B838)),$B838=$B837,$A838&lt;&gt;$A837),and(not(isblank($A838)),$A838=$A837,$B838&lt;&gt;$B837)),"ID LISTS UNALIGNED",and($A838&lt;&gt;"",countif('5) Release_Track'!$F:$F,$A838)=0),"NO ISRC MATCH in Release_Track",and($B838&lt;&gt;"",countif('5) Release_Track'!$G:$G,$B838)=0),"NO CATALOG ID MATCH in Release_Track",iserror(vlookup($A838&amp;$B838,'5) Release_Track'!$F:$F&amp;'5) Release_Track'!$G:$G,1,0)),"NO ISRC-CATALOG ID pair MATCH in Release_Track" )</f>
        <v/>
      </c>
      <c r="E838" s="142" t="b">
        <v>0</v>
      </c>
      <c r="F838" s="142" t="b">
        <v>0</v>
      </c>
      <c r="G838" s="142" t="b">
        <v>0</v>
      </c>
      <c r="H838" s="142" t="b">
        <v>0</v>
      </c>
      <c r="I838" s="142" t="b">
        <v>0</v>
      </c>
      <c r="J838" s="142" t="b">
        <v>0</v>
      </c>
      <c r="K838" s="142" t="b">
        <v>0</v>
      </c>
      <c r="L838" s="8" t="b">
        <v>0</v>
      </c>
    </row>
    <row r="839">
      <c r="B839" s="103"/>
      <c r="C839" s="121" t="str">
        <f t="array" ref="C839">ifs(and(isblank($A839),isblank($B839)),"", not(iserror(vlookup($A839&amp;$B839,'5) Release_Track'!$F:$F&amp;'5) Release_Track'!$G:$G,1,0))),vlookup($A839&amp;$B839,{'5) Release_Track'!$F:$F&amp;'5) Release_Track'!$G:$G,'5) Release_Track'!$H:$H},2,0), or(and(not(isblank($B839)),$B839=$B838,$A839&lt;&gt;$A838),and(not(isblank($A839)),$A839=$A838,$B839&lt;&gt;$B838)),"ID LISTS UNALIGNED",and($A839&lt;&gt;"",countif('5) Release_Track'!$F:$F,$A839)=0),"NO ISRC MATCH in Release_Track",and($B839&lt;&gt;"",countif('5) Release_Track'!$G:$G,$B839)=0),"NO CATALOG ID MATCH in Release_Track",iserror(vlookup($A839&amp;$B839,'5) Release_Track'!$F:$F&amp;'5) Release_Track'!$G:$G,1,0)),"NO ISRC-CATALOG ID pair MATCH in Release_Track" )</f>
        <v/>
      </c>
      <c r="D839" s="121" t="str">
        <f t="array" ref="D839">ifs(and(isblank($A839),isblank($B839)),"", not(iserror(vlookup($A839&amp;$B839,'5) Release_Track'!$F:$F&amp;'5) Release_Track'!$G:$G,1,0))),vlookup($A839&amp;$B839,{'5) Release_Track'!$F:$F&amp;'5) Release_Track'!$G:$G,'5) Release_Track'!$I:$I},2,0), or(and(not(isblank($B839)),$B839=$B838,$A839&lt;&gt;$A838),and(not(isblank($A839)),$A839=$A838,$B839&lt;&gt;$B838)),"ID LISTS UNALIGNED",and($A839&lt;&gt;"",countif('5) Release_Track'!$F:$F,$A839)=0),"NO ISRC MATCH in Release_Track",and($B839&lt;&gt;"",countif('5) Release_Track'!$G:$G,$B839)=0),"NO CATALOG ID MATCH in Release_Track",iserror(vlookup($A839&amp;$B839,'5) Release_Track'!$F:$F&amp;'5) Release_Track'!$G:$G,1,0)),"NO ISRC-CATALOG ID pair MATCH in Release_Track" )</f>
        <v/>
      </c>
      <c r="E839" s="142" t="b">
        <v>0</v>
      </c>
      <c r="F839" s="142" t="b">
        <v>0</v>
      </c>
      <c r="G839" s="142" t="b">
        <v>0</v>
      </c>
      <c r="H839" s="142" t="b">
        <v>0</v>
      </c>
      <c r="I839" s="142" t="b">
        <v>0</v>
      </c>
      <c r="J839" s="142" t="b">
        <v>0</v>
      </c>
      <c r="K839" s="142" t="b">
        <v>0</v>
      </c>
      <c r="L839" s="8" t="b">
        <v>0</v>
      </c>
    </row>
    <row r="840">
      <c r="B840" s="103"/>
      <c r="C840" s="121" t="str">
        <f t="array" ref="C840">ifs(and(isblank($A840),isblank($B840)),"", not(iserror(vlookup($A840&amp;$B840,'5) Release_Track'!$F:$F&amp;'5) Release_Track'!$G:$G,1,0))),vlookup($A840&amp;$B840,{'5) Release_Track'!$F:$F&amp;'5) Release_Track'!$G:$G,'5) Release_Track'!$H:$H},2,0), or(and(not(isblank($B840)),$B840=$B839,$A840&lt;&gt;$A839),and(not(isblank($A840)),$A840=$A839,$B840&lt;&gt;$B839)),"ID LISTS UNALIGNED",and($A840&lt;&gt;"",countif('5) Release_Track'!$F:$F,$A840)=0),"NO ISRC MATCH in Release_Track",and($B840&lt;&gt;"",countif('5) Release_Track'!$G:$G,$B840)=0),"NO CATALOG ID MATCH in Release_Track",iserror(vlookup($A840&amp;$B840,'5) Release_Track'!$F:$F&amp;'5) Release_Track'!$G:$G,1,0)),"NO ISRC-CATALOG ID pair MATCH in Release_Track" )</f>
        <v/>
      </c>
      <c r="D840" s="121" t="str">
        <f t="array" ref="D840">ifs(and(isblank($A840),isblank($B840)),"", not(iserror(vlookup($A840&amp;$B840,'5) Release_Track'!$F:$F&amp;'5) Release_Track'!$G:$G,1,0))),vlookup($A840&amp;$B840,{'5) Release_Track'!$F:$F&amp;'5) Release_Track'!$G:$G,'5) Release_Track'!$I:$I},2,0), or(and(not(isblank($B840)),$B840=$B839,$A840&lt;&gt;$A839),and(not(isblank($A840)),$A840=$A839,$B840&lt;&gt;$B839)),"ID LISTS UNALIGNED",and($A840&lt;&gt;"",countif('5) Release_Track'!$F:$F,$A840)=0),"NO ISRC MATCH in Release_Track",and($B840&lt;&gt;"",countif('5) Release_Track'!$G:$G,$B840)=0),"NO CATALOG ID MATCH in Release_Track",iserror(vlookup($A840&amp;$B840,'5) Release_Track'!$F:$F&amp;'5) Release_Track'!$G:$G,1,0)),"NO ISRC-CATALOG ID pair MATCH in Release_Track" )</f>
        <v/>
      </c>
      <c r="E840" s="142" t="b">
        <v>0</v>
      </c>
      <c r="F840" s="142" t="b">
        <v>0</v>
      </c>
      <c r="G840" s="142" t="b">
        <v>0</v>
      </c>
      <c r="H840" s="142" t="b">
        <v>0</v>
      </c>
      <c r="I840" s="142" t="b">
        <v>0</v>
      </c>
      <c r="J840" s="142" t="b">
        <v>0</v>
      </c>
      <c r="K840" s="142" t="b">
        <v>0</v>
      </c>
      <c r="L840" s="8" t="b">
        <v>0</v>
      </c>
    </row>
    <row r="841">
      <c r="B841" s="103"/>
      <c r="C841" s="121" t="str">
        <f t="array" ref="C841">ifs(and(isblank($A841),isblank($B841)),"", not(iserror(vlookup($A841&amp;$B841,'5) Release_Track'!$F:$F&amp;'5) Release_Track'!$G:$G,1,0))),vlookup($A841&amp;$B841,{'5) Release_Track'!$F:$F&amp;'5) Release_Track'!$G:$G,'5) Release_Track'!$H:$H},2,0), or(and(not(isblank($B841)),$B841=$B840,$A841&lt;&gt;$A840),and(not(isblank($A841)),$A841=$A840,$B841&lt;&gt;$B840)),"ID LISTS UNALIGNED",and($A841&lt;&gt;"",countif('5) Release_Track'!$F:$F,$A841)=0),"NO ISRC MATCH in Release_Track",and($B841&lt;&gt;"",countif('5) Release_Track'!$G:$G,$B841)=0),"NO CATALOG ID MATCH in Release_Track",iserror(vlookup($A841&amp;$B841,'5) Release_Track'!$F:$F&amp;'5) Release_Track'!$G:$G,1,0)),"NO ISRC-CATALOG ID pair MATCH in Release_Track" )</f>
        <v/>
      </c>
      <c r="D841" s="121" t="str">
        <f t="array" ref="D841">ifs(and(isblank($A841),isblank($B841)),"", not(iserror(vlookup($A841&amp;$B841,'5) Release_Track'!$F:$F&amp;'5) Release_Track'!$G:$G,1,0))),vlookup($A841&amp;$B841,{'5) Release_Track'!$F:$F&amp;'5) Release_Track'!$G:$G,'5) Release_Track'!$I:$I},2,0), or(and(not(isblank($B841)),$B841=$B840,$A841&lt;&gt;$A840),and(not(isblank($A841)),$A841=$A840,$B841&lt;&gt;$B840)),"ID LISTS UNALIGNED",and($A841&lt;&gt;"",countif('5) Release_Track'!$F:$F,$A841)=0),"NO ISRC MATCH in Release_Track",and($B841&lt;&gt;"",countif('5) Release_Track'!$G:$G,$B841)=0),"NO CATALOG ID MATCH in Release_Track",iserror(vlookup($A841&amp;$B841,'5) Release_Track'!$F:$F&amp;'5) Release_Track'!$G:$G,1,0)),"NO ISRC-CATALOG ID pair MATCH in Release_Track" )</f>
        <v/>
      </c>
      <c r="E841" s="142" t="b">
        <v>0</v>
      </c>
      <c r="F841" s="142" t="b">
        <v>0</v>
      </c>
      <c r="G841" s="142" t="b">
        <v>0</v>
      </c>
      <c r="H841" s="142" t="b">
        <v>0</v>
      </c>
      <c r="I841" s="142" t="b">
        <v>0</v>
      </c>
      <c r="J841" s="142" t="b">
        <v>0</v>
      </c>
      <c r="K841" s="142" t="b">
        <v>0</v>
      </c>
      <c r="L841" s="8" t="b">
        <v>0</v>
      </c>
    </row>
    <row r="842">
      <c r="B842" s="103"/>
      <c r="C842" s="121" t="str">
        <f t="array" ref="C842">ifs(and(isblank($A842),isblank($B842)),"", not(iserror(vlookup($A842&amp;$B842,'5) Release_Track'!$F:$F&amp;'5) Release_Track'!$G:$G,1,0))),vlookup($A842&amp;$B842,{'5) Release_Track'!$F:$F&amp;'5) Release_Track'!$G:$G,'5) Release_Track'!$H:$H},2,0), or(and(not(isblank($B842)),$B842=$B841,$A842&lt;&gt;$A841),and(not(isblank($A842)),$A842=$A841,$B842&lt;&gt;$B841)),"ID LISTS UNALIGNED",and($A842&lt;&gt;"",countif('5) Release_Track'!$F:$F,$A842)=0),"NO ISRC MATCH in Release_Track",and($B842&lt;&gt;"",countif('5) Release_Track'!$G:$G,$B842)=0),"NO CATALOG ID MATCH in Release_Track",iserror(vlookup($A842&amp;$B842,'5) Release_Track'!$F:$F&amp;'5) Release_Track'!$G:$G,1,0)),"NO ISRC-CATALOG ID pair MATCH in Release_Track" )</f>
        <v/>
      </c>
      <c r="D842" s="121" t="str">
        <f t="array" ref="D842">ifs(and(isblank($A842),isblank($B842)),"", not(iserror(vlookup($A842&amp;$B842,'5) Release_Track'!$F:$F&amp;'5) Release_Track'!$G:$G,1,0))),vlookup($A842&amp;$B842,{'5) Release_Track'!$F:$F&amp;'5) Release_Track'!$G:$G,'5) Release_Track'!$I:$I},2,0), or(and(not(isblank($B842)),$B842=$B841,$A842&lt;&gt;$A841),and(not(isblank($A842)),$A842=$A841,$B842&lt;&gt;$B841)),"ID LISTS UNALIGNED",and($A842&lt;&gt;"",countif('5) Release_Track'!$F:$F,$A842)=0),"NO ISRC MATCH in Release_Track",and($B842&lt;&gt;"",countif('5) Release_Track'!$G:$G,$B842)=0),"NO CATALOG ID MATCH in Release_Track",iserror(vlookup($A842&amp;$B842,'5) Release_Track'!$F:$F&amp;'5) Release_Track'!$G:$G,1,0)),"NO ISRC-CATALOG ID pair MATCH in Release_Track" )</f>
        <v/>
      </c>
      <c r="E842" s="142" t="b">
        <v>0</v>
      </c>
      <c r="F842" s="142" t="b">
        <v>0</v>
      </c>
      <c r="G842" s="142" t="b">
        <v>0</v>
      </c>
      <c r="H842" s="142" t="b">
        <v>0</v>
      </c>
      <c r="I842" s="142" t="b">
        <v>0</v>
      </c>
      <c r="J842" s="142" t="b">
        <v>0</v>
      </c>
      <c r="K842" s="142" t="b">
        <v>0</v>
      </c>
      <c r="L842" s="8" t="b">
        <v>0</v>
      </c>
    </row>
    <row r="843">
      <c r="B843" s="103"/>
      <c r="C843" s="121" t="str">
        <f t="array" ref="C843">ifs(and(isblank($A843),isblank($B843)),"", not(iserror(vlookup($A843&amp;$B843,'5) Release_Track'!$F:$F&amp;'5) Release_Track'!$G:$G,1,0))),vlookup($A843&amp;$B843,{'5) Release_Track'!$F:$F&amp;'5) Release_Track'!$G:$G,'5) Release_Track'!$H:$H},2,0), or(and(not(isblank($B843)),$B843=$B842,$A843&lt;&gt;$A842),and(not(isblank($A843)),$A843=$A842,$B843&lt;&gt;$B842)),"ID LISTS UNALIGNED",and($A843&lt;&gt;"",countif('5) Release_Track'!$F:$F,$A843)=0),"NO ISRC MATCH in Release_Track",and($B843&lt;&gt;"",countif('5) Release_Track'!$G:$G,$B843)=0),"NO CATALOG ID MATCH in Release_Track",iserror(vlookup($A843&amp;$B843,'5) Release_Track'!$F:$F&amp;'5) Release_Track'!$G:$G,1,0)),"NO ISRC-CATALOG ID pair MATCH in Release_Track" )</f>
        <v/>
      </c>
      <c r="D843" s="121" t="str">
        <f t="array" ref="D843">ifs(and(isblank($A843),isblank($B843)),"", not(iserror(vlookup($A843&amp;$B843,'5) Release_Track'!$F:$F&amp;'5) Release_Track'!$G:$G,1,0))),vlookup($A843&amp;$B843,{'5) Release_Track'!$F:$F&amp;'5) Release_Track'!$G:$G,'5) Release_Track'!$I:$I},2,0), or(and(not(isblank($B843)),$B843=$B842,$A843&lt;&gt;$A842),and(not(isblank($A843)),$A843=$A842,$B843&lt;&gt;$B842)),"ID LISTS UNALIGNED",and($A843&lt;&gt;"",countif('5) Release_Track'!$F:$F,$A843)=0),"NO ISRC MATCH in Release_Track",and($B843&lt;&gt;"",countif('5) Release_Track'!$G:$G,$B843)=0),"NO CATALOG ID MATCH in Release_Track",iserror(vlookup($A843&amp;$B843,'5) Release_Track'!$F:$F&amp;'5) Release_Track'!$G:$G,1,0)),"NO ISRC-CATALOG ID pair MATCH in Release_Track" )</f>
        <v/>
      </c>
      <c r="E843" s="142" t="b">
        <v>0</v>
      </c>
      <c r="F843" s="142" t="b">
        <v>0</v>
      </c>
      <c r="G843" s="142" t="b">
        <v>0</v>
      </c>
      <c r="H843" s="142" t="b">
        <v>0</v>
      </c>
      <c r="I843" s="142" t="b">
        <v>0</v>
      </c>
      <c r="J843" s="142" t="b">
        <v>0</v>
      </c>
      <c r="K843" s="142" t="b">
        <v>0</v>
      </c>
      <c r="L843" s="8" t="b">
        <v>0</v>
      </c>
    </row>
    <row r="844">
      <c r="B844" s="103"/>
      <c r="C844" s="121" t="str">
        <f t="array" ref="C844">ifs(and(isblank($A844),isblank($B844)),"", not(iserror(vlookup($A844&amp;$B844,'5) Release_Track'!$F:$F&amp;'5) Release_Track'!$G:$G,1,0))),vlookup($A844&amp;$B844,{'5) Release_Track'!$F:$F&amp;'5) Release_Track'!$G:$G,'5) Release_Track'!$H:$H},2,0), or(and(not(isblank($B844)),$B844=$B843,$A844&lt;&gt;$A843),and(not(isblank($A844)),$A844=$A843,$B844&lt;&gt;$B843)),"ID LISTS UNALIGNED",and($A844&lt;&gt;"",countif('5) Release_Track'!$F:$F,$A844)=0),"NO ISRC MATCH in Release_Track",and($B844&lt;&gt;"",countif('5) Release_Track'!$G:$G,$B844)=0),"NO CATALOG ID MATCH in Release_Track",iserror(vlookup($A844&amp;$B844,'5) Release_Track'!$F:$F&amp;'5) Release_Track'!$G:$G,1,0)),"NO ISRC-CATALOG ID pair MATCH in Release_Track" )</f>
        <v/>
      </c>
      <c r="D844" s="121" t="str">
        <f t="array" ref="D844">ifs(and(isblank($A844),isblank($B844)),"", not(iserror(vlookup($A844&amp;$B844,'5) Release_Track'!$F:$F&amp;'5) Release_Track'!$G:$G,1,0))),vlookup($A844&amp;$B844,{'5) Release_Track'!$F:$F&amp;'5) Release_Track'!$G:$G,'5) Release_Track'!$I:$I},2,0), or(and(not(isblank($B844)),$B844=$B843,$A844&lt;&gt;$A843),and(not(isblank($A844)),$A844=$A843,$B844&lt;&gt;$B843)),"ID LISTS UNALIGNED",and($A844&lt;&gt;"",countif('5) Release_Track'!$F:$F,$A844)=0),"NO ISRC MATCH in Release_Track",and($B844&lt;&gt;"",countif('5) Release_Track'!$G:$G,$B844)=0),"NO CATALOG ID MATCH in Release_Track",iserror(vlookup($A844&amp;$B844,'5) Release_Track'!$F:$F&amp;'5) Release_Track'!$G:$G,1,0)),"NO ISRC-CATALOG ID pair MATCH in Release_Track" )</f>
        <v/>
      </c>
      <c r="E844" s="142" t="b">
        <v>0</v>
      </c>
      <c r="F844" s="142" t="b">
        <v>0</v>
      </c>
      <c r="G844" s="142" t="b">
        <v>0</v>
      </c>
      <c r="H844" s="142" t="b">
        <v>0</v>
      </c>
      <c r="I844" s="142" t="b">
        <v>0</v>
      </c>
      <c r="J844" s="142" t="b">
        <v>0</v>
      </c>
      <c r="K844" s="142" t="b">
        <v>0</v>
      </c>
      <c r="L844" s="8" t="b">
        <v>0</v>
      </c>
    </row>
    <row r="845">
      <c r="B845" s="103"/>
      <c r="C845" s="121" t="str">
        <f t="array" ref="C845">ifs(and(isblank($A845),isblank($B845)),"", not(iserror(vlookup($A845&amp;$B845,'5) Release_Track'!$F:$F&amp;'5) Release_Track'!$G:$G,1,0))),vlookup($A845&amp;$B845,{'5) Release_Track'!$F:$F&amp;'5) Release_Track'!$G:$G,'5) Release_Track'!$H:$H},2,0), or(and(not(isblank($B845)),$B845=$B844,$A845&lt;&gt;$A844),and(not(isblank($A845)),$A845=$A844,$B845&lt;&gt;$B844)),"ID LISTS UNALIGNED",and($A845&lt;&gt;"",countif('5) Release_Track'!$F:$F,$A845)=0),"NO ISRC MATCH in Release_Track",and($B845&lt;&gt;"",countif('5) Release_Track'!$G:$G,$B845)=0),"NO CATALOG ID MATCH in Release_Track",iserror(vlookup($A845&amp;$B845,'5) Release_Track'!$F:$F&amp;'5) Release_Track'!$G:$G,1,0)),"NO ISRC-CATALOG ID pair MATCH in Release_Track" )</f>
        <v/>
      </c>
      <c r="D845" s="121" t="str">
        <f t="array" ref="D845">ifs(and(isblank($A845),isblank($B845)),"", not(iserror(vlookup($A845&amp;$B845,'5) Release_Track'!$F:$F&amp;'5) Release_Track'!$G:$G,1,0))),vlookup($A845&amp;$B845,{'5) Release_Track'!$F:$F&amp;'5) Release_Track'!$G:$G,'5) Release_Track'!$I:$I},2,0), or(and(not(isblank($B845)),$B845=$B844,$A845&lt;&gt;$A844),and(not(isblank($A845)),$A845=$A844,$B845&lt;&gt;$B844)),"ID LISTS UNALIGNED",and($A845&lt;&gt;"",countif('5) Release_Track'!$F:$F,$A845)=0),"NO ISRC MATCH in Release_Track",and($B845&lt;&gt;"",countif('5) Release_Track'!$G:$G,$B845)=0),"NO CATALOG ID MATCH in Release_Track",iserror(vlookup($A845&amp;$B845,'5) Release_Track'!$F:$F&amp;'5) Release_Track'!$G:$G,1,0)),"NO ISRC-CATALOG ID pair MATCH in Release_Track" )</f>
        <v/>
      </c>
      <c r="E845" s="142" t="b">
        <v>0</v>
      </c>
      <c r="F845" s="142" t="b">
        <v>0</v>
      </c>
      <c r="G845" s="142" t="b">
        <v>0</v>
      </c>
      <c r="H845" s="142" t="b">
        <v>0</v>
      </c>
      <c r="I845" s="142" t="b">
        <v>0</v>
      </c>
      <c r="J845" s="142" t="b">
        <v>0</v>
      </c>
      <c r="K845" s="142" t="b">
        <v>0</v>
      </c>
      <c r="L845" s="8" t="b">
        <v>0</v>
      </c>
    </row>
    <row r="846">
      <c r="B846" s="103"/>
      <c r="C846" s="121" t="str">
        <f t="array" ref="C846">ifs(and(isblank($A846),isblank($B846)),"", not(iserror(vlookup($A846&amp;$B846,'5) Release_Track'!$F:$F&amp;'5) Release_Track'!$G:$G,1,0))),vlookup($A846&amp;$B846,{'5) Release_Track'!$F:$F&amp;'5) Release_Track'!$G:$G,'5) Release_Track'!$H:$H},2,0), or(and(not(isblank($B846)),$B846=$B845,$A846&lt;&gt;$A845),and(not(isblank($A846)),$A846=$A845,$B846&lt;&gt;$B845)),"ID LISTS UNALIGNED",and($A846&lt;&gt;"",countif('5) Release_Track'!$F:$F,$A846)=0),"NO ISRC MATCH in Release_Track",and($B846&lt;&gt;"",countif('5) Release_Track'!$G:$G,$B846)=0),"NO CATALOG ID MATCH in Release_Track",iserror(vlookup($A846&amp;$B846,'5) Release_Track'!$F:$F&amp;'5) Release_Track'!$G:$G,1,0)),"NO ISRC-CATALOG ID pair MATCH in Release_Track" )</f>
        <v/>
      </c>
      <c r="D846" s="121" t="str">
        <f t="array" ref="D846">ifs(and(isblank($A846),isblank($B846)),"", not(iserror(vlookup($A846&amp;$B846,'5) Release_Track'!$F:$F&amp;'5) Release_Track'!$G:$G,1,0))),vlookup($A846&amp;$B846,{'5) Release_Track'!$F:$F&amp;'5) Release_Track'!$G:$G,'5) Release_Track'!$I:$I},2,0), or(and(not(isblank($B846)),$B846=$B845,$A846&lt;&gt;$A845),and(not(isblank($A846)),$A846=$A845,$B846&lt;&gt;$B845)),"ID LISTS UNALIGNED",and($A846&lt;&gt;"",countif('5) Release_Track'!$F:$F,$A846)=0),"NO ISRC MATCH in Release_Track",and($B846&lt;&gt;"",countif('5) Release_Track'!$G:$G,$B846)=0),"NO CATALOG ID MATCH in Release_Track",iserror(vlookup($A846&amp;$B846,'5) Release_Track'!$F:$F&amp;'5) Release_Track'!$G:$G,1,0)),"NO ISRC-CATALOG ID pair MATCH in Release_Track" )</f>
        <v/>
      </c>
      <c r="E846" s="142" t="b">
        <v>0</v>
      </c>
      <c r="F846" s="142" t="b">
        <v>0</v>
      </c>
      <c r="G846" s="142" t="b">
        <v>0</v>
      </c>
      <c r="H846" s="142" t="b">
        <v>0</v>
      </c>
      <c r="I846" s="142" t="b">
        <v>0</v>
      </c>
      <c r="J846" s="142" t="b">
        <v>0</v>
      </c>
      <c r="K846" s="142" t="b">
        <v>0</v>
      </c>
      <c r="L846" s="8" t="b">
        <v>0</v>
      </c>
    </row>
    <row r="847">
      <c r="B847" s="103"/>
      <c r="C847" s="121" t="str">
        <f t="array" ref="C847">ifs(and(isblank($A847),isblank($B847)),"", not(iserror(vlookup($A847&amp;$B847,'5) Release_Track'!$F:$F&amp;'5) Release_Track'!$G:$G,1,0))),vlookup($A847&amp;$B847,{'5) Release_Track'!$F:$F&amp;'5) Release_Track'!$G:$G,'5) Release_Track'!$H:$H},2,0), or(and(not(isblank($B847)),$B847=$B846,$A847&lt;&gt;$A846),and(not(isblank($A847)),$A847=$A846,$B847&lt;&gt;$B846)),"ID LISTS UNALIGNED",and($A847&lt;&gt;"",countif('5) Release_Track'!$F:$F,$A847)=0),"NO ISRC MATCH in Release_Track",and($B847&lt;&gt;"",countif('5) Release_Track'!$G:$G,$B847)=0),"NO CATALOG ID MATCH in Release_Track",iserror(vlookup($A847&amp;$B847,'5) Release_Track'!$F:$F&amp;'5) Release_Track'!$G:$G,1,0)),"NO ISRC-CATALOG ID pair MATCH in Release_Track" )</f>
        <v/>
      </c>
      <c r="D847" s="121" t="str">
        <f t="array" ref="D847">ifs(and(isblank($A847),isblank($B847)),"", not(iserror(vlookup($A847&amp;$B847,'5) Release_Track'!$F:$F&amp;'5) Release_Track'!$G:$G,1,0))),vlookup($A847&amp;$B847,{'5) Release_Track'!$F:$F&amp;'5) Release_Track'!$G:$G,'5) Release_Track'!$I:$I},2,0), or(and(not(isblank($B847)),$B847=$B846,$A847&lt;&gt;$A846),and(not(isblank($A847)),$A847=$A846,$B847&lt;&gt;$B846)),"ID LISTS UNALIGNED",and($A847&lt;&gt;"",countif('5) Release_Track'!$F:$F,$A847)=0),"NO ISRC MATCH in Release_Track",and($B847&lt;&gt;"",countif('5) Release_Track'!$G:$G,$B847)=0),"NO CATALOG ID MATCH in Release_Track",iserror(vlookup($A847&amp;$B847,'5) Release_Track'!$F:$F&amp;'5) Release_Track'!$G:$G,1,0)),"NO ISRC-CATALOG ID pair MATCH in Release_Track" )</f>
        <v/>
      </c>
      <c r="E847" s="142" t="b">
        <v>0</v>
      </c>
      <c r="F847" s="142" t="b">
        <v>0</v>
      </c>
      <c r="G847" s="142" t="b">
        <v>0</v>
      </c>
      <c r="H847" s="142" t="b">
        <v>0</v>
      </c>
      <c r="I847" s="142" t="b">
        <v>0</v>
      </c>
      <c r="J847" s="142" t="b">
        <v>0</v>
      </c>
      <c r="K847" s="142" t="b">
        <v>0</v>
      </c>
      <c r="L847" s="8" t="b">
        <v>0</v>
      </c>
    </row>
    <row r="848">
      <c r="B848" s="103"/>
      <c r="C848" s="121" t="str">
        <f t="array" ref="C848">ifs(and(isblank($A848),isblank($B848)),"", not(iserror(vlookup($A848&amp;$B848,'5) Release_Track'!$F:$F&amp;'5) Release_Track'!$G:$G,1,0))),vlookup($A848&amp;$B848,{'5) Release_Track'!$F:$F&amp;'5) Release_Track'!$G:$G,'5) Release_Track'!$H:$H},2,0), or(and(not(isblank($B848)),$B848=$B847,$A848&lt;&gt;$A847),and(not(isblank($A848)),$A848=$A847,$B848&lt;&gt;$B847)),"ID LISTS UNALIGNED",and($A848&lt;&gt;"",countif('5) Release_Track'!$F:$F,$A848)=0),"NO ISRC MATCH in Release_Track",and($B848&lt;&gt;"",countif('5) Release_Track'!$G:$G,$B848)=0),"NO CATALOG ID MATCH in Release_Track",iserror(vlookup($A848&amp;$B848,'5) Release_Track'!$F:$F&amp;'5) Release_Track'!$G:$G,1,0)),"NO ISRC-CATALOG ID pair MATCH in Release_Track" )</f>
        <v/>
      </c>
      <c r="D848" s="121" t="str">
        <f t="array" ref="D848">ifs(and(isblank($A848),isblank($B848)),"", not(iserror(vlookup($A848&amp;$B848,'5) Release_Track'!$F:$F&amp;'5) Release_Track'!$G:$G,1,0))),vlookup($A848&amp;$B848,{'5) Release_Track'!$F:$F&amp;'5) Release_Track'!$G:$G,'5) Release_Track'!$I:$I},2,0), or(and(not(isblank($B848)),$B848=$B847,$A848&lt;&gt;$A847),and(not(isblank($A848)),$A848=$A847,$B848&lt;&gt;$B847)),"ID LISTS UNALIGNED",and($A848&lt;&gt;"",countif('5) Release_Track'!$F:$F,$A848)=0),"NO ISRC MATCH in Release_Track",and($B848&lt;&gt;"",countif('5) Release_Track'!$G:$G,$B848)=0),"NO CATALOG ID MATCH in Release_Track",iserror(vlookup($A848&amp;$B848,'5) Release_Track'!$F:$F&amp;'5) Release_Track'!$G:$G,1,0)),"NO ISRC-CATALOG ID pair MATCH in Release_Track" )</f>
        <v/>
      </c>
      <c r="E848" s="142" t="b">
        <v>0</v>
      </c>
      <c r="F848" s="142" t="b">
        <v>0</v>
      </c>
      <c r="G848" s="142" t="b">
        <v>0</v>
      </c>
      <c r="H848" s="142" t="b">
        <v>0</v>
      </c>
      <c r="I848" s="142" t="b">
        <v>0</v>
      </c>
      <c r="J848" s="142" t="b">
        <v>0</v>
      </c>
      <c r="K848" s="142" t="b">
        <v>0</v>
      </c>
      <c r="L848" s="8" t="b">
        <v>0</v>
      </c>
    </row>
    <row r="849">
      <c r="B849" s="103"/>
      <c r="C849" s="121" t="str">
        <f t="array" ref="C849">ifs(and(isblank($A849),isblank($B849)),"", not(iserror(vlookup($A849&amp;$B849,'5) Release_Track'!$F:$F&amp;'5) Release_Track'!$G:$G,1,0))),vlookup($A849&amp;$B849,{'5) Release_Track'!$F:$F&amp;'5) Release_Track'!$G:$G,'5) Release_Track'!$H:$H},2,0), or(and(not(isblank($B849)),$B849=$B848,$A849&lt;&gt;$A848),and(not(isblank($A849)),$A849=$A848,$B849&lt;&gt;$B848)),"ID LISTS UNALIGNED",and($A849&lt;&gt;"",countif('5) Release_Track'!$F:$F,$A849)=0),"NO ISRC MATCH in Release_Track",and($B849&lt;&gt;"",countif('5) Release_Track'!$G:$G,$B849)=0),"NO CATALOG ID MATCH in Release_Track",iserror(vlookup($A849&amp;$B849,'5) Release_Track'!$F:$F&amp;'5) Release_Track'!$G:$G,1,0)),"NO ISRC-CATALOG ID pair MATCH in Release_Track" )</f>
        <v/>
      </c>
      <c r="D849" s="121" t="str">
        <f t="array" ref="D849">ifs(and(isblank($A849),isblank($B849)),"", not(iserror(vlookup($A849&amp;$B849,'5) Release_Track'!$F:$F&amp;'5) Release_Track'!$G:$G,1,0))),vlookup($A849&amp;$B849,{'5) Release_Track'!$F:$F&amp;'5) Release_Track'!$G:$G,'5) Release_Track'!$I:$I},2,0), or(and(not(isblank($B849)),$B849=$B848,$A849&lt;&gt;$A848),and(not(isblank($A849)),$A849=$A848,$B849&lt;&gt;$B848)),"ID LISTS UNALIGNED",and($A849&lt;&gt;"",countif('5) Release_Track'!$F:$F,$A849)=0),"NO ISRC MATCH in Release_Track",and($B849&lt;&gt;"",countif('5) Release_Track'!$G:$G,$B849)=0),"NO CATALOG ID MATCH in Release_Track",iserror(vlookup($A849&amp;$B849,'5) Release_Track'!$F:$F&amp;'5) Release_Track'!$G:$G,1,0)),"NO ISRC-CATALOG ID pair MATCH in Release_Track" )</f>
        <v/>
      </c>
      <c r="E849" s="142" t="b">
        <v>0</v>
      </c>
      <c r="F849" s="142" t="b">
        <v>0</v>
      </c>
      <c r="G849" s="142" t="b">
        <v>0</v>
      </c>
      <c r="H849" s="142" t="b">
        <v>0</v>
      </c>
      <c r="I849" s="142" t="b">
        <v>0</v>
      </c>
      <c r="J849" s="142" t="b">
        <v>0</v>
      </c>
      <c r="K849" s="142" t="b">
        <v>0</v>
      </c>
      <c r="L849" s="8" t="b">
        <v>0</v>
      </c>
    </row>
    <row r="850">
      <c r="B850" s="103"/>
      <c r="C850" s="121" t="str">
        <f t="array" ref="C850">ifs(and(isblank($A850),isblank($B850)),"", not(iserror(vlookup($A850&amp;$B850,'5) Release_Track'!$F:$F&amp;'5) Release_Track'!$G:$G,1,0))),vlookup($A850&amp;$B850,{'5) Release_Track'!$F:$F&amp;'5) Release_Track'!$G:$G,'5) Release_Track'!$H:$H},2,0), or(and(not(isblank($B850)),$B850=$B849,$A850&lt;&gt;$A849),and(not(isblank($A850)),$A850=$A849,$B850&lt;&gt;$B849)),"ID LISTS UNALIGNED",and($A850&lt;&gt;"",countif('5) Release_Track'!$F:$F,$A850)=0),"NO ISRC MATCH in Release_Track",and($B850&lt;&gt;"",countif('5) Release_Track'!$G:$G,$B850)=0),"NO CATALOG ID MATCH in Release_Track",iserror(vlookup($A850&amp;$B850,'5) Release_Track'!$F:$F&amp;'5) Release_Track'!$G:$G,1,0)),"NO ISRC-CATALOG ID pair MATCH in Release_Track" )</f>
        <v/>
      </c>
      <c r="D850" s="121" t="str">
        <f t="array" ref="D850">ifs(and(isblank($A850),isblank($B850)),"", not(iserror(vlookup($A850&amp;$B850,'5) Release_Track'!$F:$F&amp;'5) Release_Track'!$G:$G,1,0))),vlookup($A850&amp;$B850,{'5) Release_Track'!$F:$F&amp;'5) Release_Track'!$G:$G,'5) Release_Track'!$I:$I},2,0), or(and(not(isblank($B850)),$B850=$B849,$A850&lt;&gt;$A849),and(not(isblank($A850)),$A850=$A849,$B850&lt;&gt;$B849)),"ID LISTS UNALIGNED",and($A850&lt;&gt;"",countif('5) Release_Track'!$F:$F,$A850)=0),"NO ISRC MATCH in Release_Track",and($B850&lt;&gt;"",countif('5) Release_Track'!$G:$G,$B850)=0),"NO CATALOG ID MATCH in Release_Track",iserror(vlookup($A850&amp;$B850,'5) Release_Track'!$F:$F&amp;'5) Release_Track'!$G:$G,1,0)),"NO ISRC-CATALOG ID pair MATCH in Release_Track" )</f>
        <v/>
      </c>
      <c r="E850" s="142" t="b">
        <v>0</v>
      </c>
      <c r="F850" s="142" t="b">
        <v>0</v>
      </c>
      <c r="G850" s="142" t="b">
        <v>0</v>
      </c>
      <c r="H850" s="142" t="b">
        <v>0</v>
      </c>
      <c r="I850" s="142" t="b">
        <v>0</v>
      </c>
      <c r="J850" s="142" t="b">
        <v>0</v>
      </c>
      <c r="K850" s="142" t="b">
        <v>0</v>
      </c>
      <c r="L850" s="8" t="b">
        <v>0</v>
      </c>
    </row>
    <row r="851">
      <c r="B851" s="103"/>
      <c r="C851" s="121" t="str">
        <f t="array" ref="C851">ifs(and(isblank($A851),isblank($B851)),"", not(iserror(vlookup($A851&amp;$B851,'5) Release_Track'!$F:$F&amp;'5) Release_Track'!$G:$G,1,0))),vlookup($A851&amp;$B851,{'5) Release_Track'!$F:$F&amp;'5) Release_Track'!$G:$G,'5) Release_Track'!$H:$H},2,0), or(and(not(isblank($B851)),$B851=$B850,$A851&lt;&gt;$A850),and(not(isblank($A851)),$A851=$A850,$B851&lt;&gt;$B850)),"ID LISTS UNALIGNED",and($A851&lt;&gt;"",countif('5) Release_Track'!$F:$F,$A851)=0),"NO ISRC MATCH in Release_Track",and($B851&lt;&gt;"",countif('5) Release_Track'!$G:$G,$B851)=0),"NO CATALOG ID MATCH in Release_Track",iserror(vlookup($A851&amp;$B851,'5) Release_Track'!$F:$F&amp;'5) Release_Track'!$G:$G,1,0)),"NO ISRC-CATALOG ID pair MATCH in Release_Track" )</f>
        <v/>
      </c>
      <c r="D851" s="121" t="str">
        <f t="array" ref="D851">ifs(and(isblank($A851),isblank($B851)),"", not(iserror(vlookup($A851&amp;$B851,'5) Release_Track'!$F:$F&amp;'5) Release_Track'!$G:$G,1,0))),vlookup($A851&amp;$B851,{'5) Release_Track'!$F:$F&amp;'5) Release_Track'!$G:$G,'5) Release_Track'!$I:$I},2,0), or(and(not(isblank($B851)),$B851=$B850,$A851&lt;&gt;$A850),and(not(isblank($A851)),$A851=$A850,$B851&lt;&gt;$B850)),"ID LISTS UNALIGNED",and($A851&lt;&gt;"",countif('5) Release_Track'!$F:$F,$A851)=0),"NO ISRC MATCH in Release_Track",and($B851&lt;&gt;"",countif('5) Release_Track'!$G:$G,$B851)=0),"NO CATALOG ID MATCH in Release_Track",iserror(vlookup($A851&amp;$B851,'5) Release_Track'!$F:$F&amp;'5) Release_Track'!$G:$G,1,0)),"NO ISRC-CATALOG ID pair MATCH in Release_Track" )</f>
        <v/>
      </c>
      <c r="E851" s="142" t="b">
        <v>0</v>
      </c>
      <c r="F851" s="142" t="b">
        <v>0</v>
      </c>
      <c r="G851" s="142" t="b">
        <v>0</v>
      </c>
      <c r="H851" s="142" t="b">
        <v>0</v>
      </c>
      <c r="I851" s="142" t="b">
        <v>0</v>
      </c>
      <c r="J851" s="142" t="b">
        <v>0</v>
      </c>
      <c r="K851" s="142" t="b">
        <v>0</v>
      </c>
      <c r="L851" s="8" t="b">
        <v>0</v>
      </c>
    </row>
    <row r="852">
      <c r="B852" s="103"/>
      <c r="C852" s="121" t="str">
        <f t="array" ref="C852">ifs(and(isblank($A852),isblank($B852)),"", not(iserror(vlookup($A852&amp;$B852,'5) Release_Track'!$F:$F&amp;'5) Release_Track'!$G:$G,1,0))),vlookup($A852&amp;$B852,{'5) Release_Track'!$F:$F&amp;'5) Release_Track'!$G:$G,'5) Release_Track'!$H:$H},2,0), or(and(not(isblank($B852)),$B852=$B851,$A852&lt;&gt;$A851),and(not(isblank($A852)),$A852=$A851,$B852&lt;&gt;$B851)),"ID LISTS UNALIGNED",and($A852&lt;&gt;"",countif('5) Release_Track'!$F:$F,$A852)=0),"NO ISRC MATCH in Release_Track",and($B852&lt;&gt;"",countif('5) Release_Track'!$G:$G,$B852)=0),"NO CATALOG ID MATCH in Release_Track",iserror(vlookup($A852&amp;$B852,'5) Release_Track'!$F:$F&amp;'5) Release_Track'!$G:$G,1,0)),"NO ISRC-CATALOG ID pair MATCH in Release_Track" )</f>
        <v/>
      </c>
      <c r="D852" s="121" t="str">
        <f t="array" ref="D852">ifs(and(isblank($A852),isblank($B852)),"", not(iserror(vlookup($A852&amp;$B852,'5) Release_Track'!$F:$F&amp;'5) Release_Track'!$G:$G,1,0))),vlookup($A852&amp;$B852,{'5) Release_Track'!$F:$F&amp;'5) Release_Track'!$G:$G,'5) Release_Track'!$I:$I},2,0), or(and(not(isblank($B852)),$B852=$B851,$A852&lt;&gt;$A851),and(not(isblank($A852)),$A852=$A851,$B852&lt;&gt;$B851)),"ID LISTS UNALIGNED",and($A852&lt;&gt;"",countif('5) Release_Track'!$F:$F,$A852)=0),"NO ISRC MATCH in Release_Track",and($B852&lt;&gt;"",countif('5) Release_Track'!$G:$G,$B852)=0),"NO CATALOG ID MATCH in Release_Track",iserror(vlookup($A852&amp;$B852,'5) Release_Track'!$F:$F&amp;'5) Release_Track'!$G:$G,1,0)),"NO ISRC-CATALOG ID pair MATCH in Release_Track" )</f>
        <v/>
      </c>
      <c r="E852" s="142" t="b">
        <v>0</v>
      </c>
      <c r="F852" s="142" t="b">
        <v>0</v>
      </c>
      <c r="G852" s="142" t="b">
        <v>0</v>
      </c>
      <c r="H852" s="142" t="b">
        <v>0</v>
      </c>
      <c r="I852" s="142" t="b">
        <v>0</v>
      </c>
      <c r="J852" s="142" t="b">
        <v>0</v>
      </c>
      <c r="K852" s="142" t="b">
        <v>0</v>
      </c>
      <c r="L852" s="8" t="b">
        <v>0</v>
      </c>
    </row>
    <row r="853">
      <c r="B853" s="103"/>
      <c r="C853" s="121" t="str">
        <f t="array" ref="C853">ifs(and(isblank($A853),isblank($B853)),"", not(iserror(vlookup($A853&amp;$B853,'5) Release_Track'!$F:$F&amp;'5) Release_Track'!$G:$G,1,0))),vlookup($A853&amp;$B853,{'5) Release_Track'!$F:$F&amp;'5) Release_Track'!$G:$G,'5) Release_Track'!$H:$H},2,0), or(and(not(isblank($B853)),$B853=$B852,$A853&lt;&gt;$A852),and(not(isblank($A853)),$A853=$A852,$B853&lt;&gt;$B852)),"ID LISTS UNALIGNED",and($A853&lt;&gt;"",countif('5) Release_Track'!$F:$F,$A853)=0),"NO ISRC MATCH in Release_Track",and($B853&lt;&gt;"",countif('5) Release_Track'!$G:$G,$B853)=0),"NO CATALOG ID MATCH in Release_Track",iserror(vlookup($A853&amp;$B853,'5) Release_Track'!$F:$F&amp;'5) Release_Track'!$G:$G,1,0)),"NO ISRC-CATALOG ID pair MATCH in Release_Track" )</f>
        <v/>
      </c>
      <c r="D853" s="121" t="str">
        <f t="array" ref="D853">ifs(and(isblank($A853),isblank($B853)),"", not(iserror(vlookup($A853&amp;$B853,'5) Release_Track'!$F:$F&amp;'5) Release_Track'!$G:$G,1,0))),vlookup($A853&amp;$B853,{'5) Release_Track'!$F:$F&amp;'5) Release_Track'!$G:$G,'5) Release_Track'!$I:$I},2,0), or(and(not(isblank($B853)),$B853=$B852,$A853&lt;&gt;$A852),and(not(isblank($A853)),$A853=$A852,$B853&lt;&gt;$B852)),"ID LISTS UNALIGNED",and($A853&lt;&gt;"",countif('5) Release_Track'!$F:$F,$A853)=0),"NO ISRC MATCH in Release_Track",and($B853&lt;&gt;"",countif('5) Release_Track'!$G:$G,$B853)=0),"NO CATALOG ID MATCH in Release_Track",iserror(vlookup($A853&amp;$B853,'5) Release_Track'!$F:$F&amp;'5) Release_Track'!$G:$G,1,0)),"NO ISRC-CATALOG ID pair MATCH in Release_Track" )</f>
        <v/>
      </c>
      <c r="E853" s="142" t="b">
        <v>0</v>
      </c>
      <c r="F853" s="142" t="b">
        <v>0</v>
      </c>
      <c r="G853" s="142" t="b">
        <v>0</v>
      </c>
      <c r="H853" s="142" t="b">
        <v>0</v>
      </c>
      <c r="I853" s="142" t="b">
        <v>0</v>
      </c>
      <c r="J853" s="142" t="b">
        <v>0</v>
      </c>
      <c r="K853" s="142" t="b">
        <v>0</v>
      </c>
      <c r="L853" s="8" t="b">
        <v>0</v>
      </c>
    </row>
    <row r="854">
      <c r="B854" s="103"/>
      <c r="C854" s="121" t="str">
        <f t="array" ref="C854">ifs(and(isblank($A854),isblank($B854)),"", not(iserror(vlookup($A854&amp;$B854,'5) Release_Track'!$F:$F&amp;'5) Release_Track'!$G:$G,1,0))),vlookup($A854&amp;$B854,{'5) Release_Track'!$F:$F&amp;'5) Release_Track'!$G:$G,'5) Release_Track'!$H:$H},2,0), or(and(not(isblank($B854)),$B854=$B853,$A854&lt;&gt;$A853),and(not(isblank($A854)),$A854=$A853,$B854&lt;&gt;$B853)),"ID LISTS UNALIGNED",and($A854&lt;&gt;"",countif('5) Release_Track'!$F:$F,$A854)=0),"NO ISRC MATCH in Release_Track",and($B854&lt;&gt;"",countif('5) Release_Track'!$G:$G,$B854)=0),"NO CATALOG ID MATCH in Release_Track",iserror(vlookup($A854&amp;$B854,'5) Release_Track'!$F:$F&amp;'5) Release_Track'!$G:$G,1,0)),"NO ISRC-CATALOG ID pair MATCH in Release_Track" )</f>
        <v/>
      </c>
      <c r="D854" s="121" t="str">
        <f t="array" ref="D854">ifs(and(isblank($A854),isblank($B854)),"", not(iserror(vlookup($A854&amp;$B854,'5) Release_Track'!$F:$F&amp;'5) Release_Track'!$G:$G,1,0))),vlookup($A854&amp;$B854,{'5) Release_Track'!$F:$F&amp;'5) Release_Track'!$G:$G,'5) Release_Track'!$I:$I},2,0), or(and(not(isblank($B854)),$B854=$B853,$A854&lt;&gt;$A853),and(not(isblank($A854)),$A854=$A853,$B854&lt;&gt;$B853)),"ID LISTS UNALIGNED",and($A854&lt;&gt;"",countif('5) Release_Track'!$F:$F,$A854)=0),"NO ISRC MATCH in Release_Track",and($B854&lt;&gt;"",countif('5) Release_Track'!$G:$G,$B854)=0),"NO CATALOG ID MATCH in Release_Track",iserror(vlookup($A854&amp;$B854,'5) Release_Track'!$F:$F&amp;'5) Release_Track'!$G:$G,1,0)),"NO ISRC-CATALOG ID pair MATCH in Release_Track" )</f>
        <v/>
      </c>
      <c r="E854" s="142" t="b">
        <v>0</v>
      </c>
      <c r="F854" s="142" t="b">
        <v>0</v>
      </c>
      <c r="G854" s="142" t="b">
        <v>0</v>
      </c>
      <c r="H854" s="142" t="b">
        <v>0</v>
      </c>
      <c r="I854" s="142" t="b">
        <v>0</v>
      </c>
      <c r="J854" s="142" t="b">
        <v>0</v>
      </c>
      <c r="K854" s="142" t="b">
        <v>0</v>
      </c>
      <c r="L854" s="8" t="b">
        <v>0</v>
      </c>
    </row>
    <row r="855">
      <c r="B855" s="103"/>
      <c r="C855" s="121" t="str">
        <f t="array" ref="C855">ifs(and(isblank($A855),isblank($B855)),"", not(iserror(vlookup($A855&amp;$B855,'5) Release_Track'!$F:$F&amp;'5) Release_Track'!$G:$G,1,0))),vlookup($A855&amp;$B855,{'5) Release_Track'!$F:$F&amp;'5) Release_Track'!$G:$G,'5) Release_Track'!$H:$H},2,0), or(and(not(isblank($B855)),$B855=$B854,$A855&lt;&gt;$A854),and(not(isblank($A855)),$A855=$A854,$B855&lt;&gt;$B854)),"ID LISTS UNALIGNED",and($A855&lt;&gt;"",countif('5) Release_Track'!$F:$F,$A855)=0),"NO ISRC MATCH in Release_Track",and($B855&lt;&gt;"",countif('5) Release_Track'!$G:$G,$B855)=0),"NO CATALOG ID MATCH in Release_Track",iserror(vlookup($A855&amp;$B855,'5) Release_Track'!$F:$F&amp;'5) Release_Track'!$G:$G,1,0)),"NO ISRC-CATALOG ID pair MATCH in Release_Track" )</f>
        <v/>
      </c>
      <c r="D855" s="121" t="str">
        <f t="array" ref="D855">ifs(and(isblank($A855),isblank($B855)),"", not(iserror(vlookup($A855&amp;$B855,'5) Release_Track'!$F:$F&amp;'5) Release_Track'!$G:$G,1,0))),vlookup($A855&amp;$B855,{'5) Release_Track'!$F:$F&amp;'5) Release_Track'!$G:$G,'5) Release_Track'!$I:$I},2,0), or(and(not(isblank($B855)),$B855=$B854,$A855&lt;&gt;$A854),and(not(isblank($A855)),$A855=$A854,$B855&lt;&gt;$B854)),"ID LISTS UNALIGNED",and($A855&lt;&gt;"",countif('5) Release_Track'!$F:$F,$A855)=0),"NO ISRC MATCH in Release_Track",and($B855&lt;&gt;"",countif('5) Release_Track'!$G:$G,$B855)=0),"NO CATALOG ID MATCH in Release_Track",iserror(vlookup($A855&amp;$B855,'5) Release_Track'!$F:$F&amp;'5) Release_Track'!$G:$G,1,0)),"NO ISRC-CATALOG ID pair MATCH in Release_Track" )</f>
        <v/>
      </c>
      <c r="E855" s="142" t="b">
        <v>0</v>
      </c>
      <c r="F855" s="142" t="b">
        <v>0</v>
      </c>
      <c r="G855" s="142" t="b">
        <v>0</v>
      </c>
      <c r="H855" s="142" t="b">
        <v>0</v>
      </c>
      <c r="I855" s="142" t="b">
        <v>0</v>
      </c>
      <c r="J855" s="142" t="b">
        <v>0</v>
      </c>
      <c r="K855" s="142" t="b">
        <v>0</v>
      </c>
      <c r="L855" s="8" t="b">
        <v>0</v>
      </c>
    </row>
    <row r="856">
      <c r="B856" s="103"/>
      <c r="C856" s="121" t="str">
        <f t="array" ref="C856">ifs(and(isblank($A856),isblank($B856)),"", not(iserror(vlookup($A856&amp;$B856,'5) Release_Track'!$F:$F&amp;'5) Release_Track'!$G:$G,1,0))),vlookup($A856&amp;$B856,{'5) Release_Track'!$F:$F&amp;'5) Release_Track'!$G:$G,'5) Release_Track'!$H:$H},2,0), or(and(not(isblank($B856)),$B856=$B855,$A856&lt;&gt;$A855),and(not(isblank($A856)),$A856=$A855,$B856&lt;&gt;$B855)),"ID LISTS UNALIGNED",and($A856&lt;&gt;"",countif('5) Release_Track'!$F:$F,$A856)=0),"NO ISRC MATCH in Release_Track",and($B856&lt;&gt;"",countif('5) Release_Track'!$G:$G,$B856)=0),"NO CATALOG ID MATCH in Release_Track",iserror(vlookup($A856&amp;$B856,'5) Release_Track'!$F:$F&amp;'5) Release_Track'!$G:$G,1,0)),"NO ISRC-CATALOG ID pair MATCH in Release_Track" )</f>
        <v/>
      </c>
      <c r="D856" s="121" t="str">
        <f t="array" ref="D856">ifs(and(isblank($A856),isblank($B856)),"", not(iserror(vlookup($A856&amp;$B856,'5) Release_Track'!$F:$F&amp;'5) Release_Track'!$G:$G,1,0))),vlookup($A856&amp;$B856,{'5) Release_Track'!$F:$F&amp;'5) Release_Track'!$G:$G,'5) Release_Track'!$I:$I},2,0), or(and(not(isblank($B856)),$B856=$B855,$A856&lt;&gt;$A855),and(not(isblank($A856)),$A856=$A855,$B856&lt;&gt;$B855)),"ID LISTS UNALIGNED",and($A856&lt;&gt;"",countif('5) Release_Track'!$F:$F,$A856)=0),"NO ISRC MATCH in Release_Track",and($B856&lt;&gt;"",countif('5) Release_Track'!$G:$G,$B856)=0),"NO CATALOG ID MATCH in Release_Track",iserror(vlookup($A856&amp;$B856,'5) Release_Track'!$F:$F&amp;'5) Release_Track'!$G:$G,1,0)),"NO ISRC-CATALOG ID pair MATCH in Release_Track" )</f>
        <v/>
      </c>
      <c r="E856" s="142" t="b">
        <v>0</v>
      </c>
      <c r="F856" s="142" t="b">
        <v>0</v>
      </c>
      <c r="G856" s="142" t="b">
        <v>0</v>
      </c>
      <c r="H856" s="142" t="b">
        <v>0</v>
      </c>
      <c r="I856" s="142" t="b">
        <v>0</v>
      </c>
      <c r="J856" s="142" t="b">
        <v>0</v>
      </c>
      <c r="K856" s="142" t="b">
        <v>0</v>
      </c>
      <c r="L856" s="8" t="b">
        <v>0</v>
      </c>
    </row>
    <row r="857">
      <c r="B857" s="103"/>
      <c r="C857" s="121" t="str">
        <f t="array" ref="C857">ifs(and(isblank($A857),isblank($B857)),"", not(iserror(vlookup($A857&amp;$B857,'5) Release_Track'!$F:$F&amp;'5) Release_Track'!$G:$G,1,0))),vlookup($A857&amp;$B857,{'5) Release_Track'!$F:$F&amp;'5) Release_Track'!$G:$G,'5) Release_Track'!$H:$H},2,0), or(and(not(isblank($B857)),$B857=$B856,$A857&lt;&gt;$A856),and(not(isblank($A857)),$A857=$A856,$B857&lt;&gt;$B856)),"ID LISTS UNALIGNED",and($A857&lt;&gt;"",countif('5) Release_Track'!$F:$F,$A857)=0),"NO ISRC MATCH in Release_Track",and($B857&lt;&gt;"",countif('5) Release_Track'!$G:$G,$B857)=0),"NO CATALOG ID MATCH in Release_Track",iserror(vlookup($A857&amp;$B857,'5) Release_Track'!$F:$F&amp;'5) Release_Track'!$G:$G,1,0)),"NO ISRC-CATALOG ID pair MATCH in Release_Track" )</f>
        <v/>
      </c>
      <c r="D857" s="121" t="str">
        <f t="array" ref="D857">ifs(and(isblank($A857),isblank($B857)),"", not(iserror(vlookup($A857&amp;$B857,'5) Release_Track'!$F:$F&amp;'5) Release_Track'!$G:$G,1,0))),vlookup($A857&amp;$B857,{'5) Release_Track'!$F:$F&amp;'5) Release_Track'!$G:$G,'5) Release_Track'!$I:$I},2,0), or(and(not(isblank($B857)),$B857=$B856,$A857&lt;&gt;$A856),and(not(isblank($A857)),$A857=$A856,$B857&lt;&gt;$B856)),"ID LISTS UNALIGNED",and($A857&lt;&gt;"",countif('5) Release_Track'!$F:$F,$A857)=0),"NO ISRC MATCH in Release_Track",and($B857&lt;&gt;"",countif('5) Release_Track'!$G:$G,$B857)=0),"NO CATALOG ID MATCH in Release_Track",iserror(vlookup($A857&amp;$B857,'5) Release_Track'!$F:$F&amp;'5) Release_Track'!$G:$G,1,0)),"NO ISRC-CATALOG ID pair MATCH in Release_Track" )</f>
        <v/>
      </c>
      <c r="E857" s="142" t="b">
        <v>0</v>
      </c>
      <c r="F857" s="142" t="b">
        <v>0</v>
      </c>
      <c r="G857" s="142" t="b">
        <v>0</v>
      </c>
      <c r="H857" s="142" t="b">
        <v>0</v>
      </c>
      <c r="I857" s="142" t="b">
        <v>0</v>
      </c>
      <c r="J857" s="142" t="b">
        <v>0</v>
      </c>
      <c r="K857" s="142" t="b">
        <v>0</v>
      </c>
      <c r="L857" s="8" t="b">
        <v>0</v>
      </c>
    </row>
    <row r="858">
      <c r="B858" s="103"/>
      <c r="C858" s="121" t="str">
        <f t="array" ref="C858">ifs(and(isblank($A858),isblank($B858)),"", not(iserror(vlookup($A858&amp;$B858,'5) Release_Track'!$F:$F&amp;'5) Release_Track'!$G:$G,1,0))),vlookup($A858&amp;$B858,{'5) Release_Track'!$F:$F&amp;'5) Release_Track'!$G:$G,'5) Release_Track'!$H:$H},2,0), or(and(not(isblank($B858)),$B858=$B857,$A858&lt;&gt;$A857),and(not(isblank($A858)),$A858=$A857,$B858&lt;&gt;$B857)),"ID LISTS UNALIGNED",and($A858&lt;&gt;"",countif('5) Release_Track'!$F:$F,$A858)=0),"NO ISRC MATCH in Release_Track",and($B858&lt;&gt;"",countif('5) Release_Track'!$G:$G,$B858)=0),"NO CATALOG ID MATCH in Release_Track",iserror(vlookup($A858&amp;$B858,'5) Release_Track'!$F:$F&amp;'5) Release_Track'!$G:$G,1,0)),"NO ISRC-CATALOG ID pair MATCH in Release_Track" )</f>
        <v/>
      </c>
      <c r="D858" s="121" t="str">
        <f t="array" ref="D858">ifs(and(isblank($A858),isblank($B858)),"", not(iserror(vlookup($A858&amp;$B858,'5) Release_Track'!$F:$F&amp;'5) Release_Track'!$G:$G,1,0))),vlookup($A858&amp;$B858,{'5) Release_Track'!$F:$F&amp;'5) Release_Track'!$G:$G,'5) Release_Track'!$I:$I},2,0), or(and(not(isblank($B858)),$B858=$B857,$A858&lt;&gt;$A857),and(not(isblank($A858)),$A858=$A857,$B858&lt;&gt;$B857)),"ID LISTS UNALIGNED",and($A858&lt;&gt;"",countif('5) Release_Track'!$F:$F,$A858)=0),"NO ISRC MATCH in Release_Track",and($B858&lt;&gt;"",countif('5) Release_Track'!$G:$G,$B858)=0),"NO CATALOG ID MATCH in Release_Track",iserror(vlookup($A858&amp;$B858,'5) Release_Track'!$F:$F&amp;'5) Release_Track'!$G:$G,1,0)),"NO ISRC-CATALOG ID pair MATCH in Release_Track" )</f>
        <v/>
      </c>
      <c r="E858" s="142" t="b">
        <v>0</v>
      </c>
      <c r="F858" s="142" t="b">
        <v>0</v>
      </c>
      <c r="G858" s="142" t="b">
        <v>0</v>
      </c>
      <c r="H858" s="142" t="b">
        <v>0</v>
      </c>
      <c r="I858" s="142" t="b">
        <v>0</v>
      </c>
      <c r="J858" s="142" t="b">
        <v>0</v>
      </c>
      <c r="K858" s="142" t="b">
        <v>0</v>
      </c>
      <c r="L858" s="8" t="b">
        <v>0</v>
      </c>
    </row>
    <row r="859">
      <c r="B859" s="103"/>
      <c r="C859" s="121" t="str">
        <f t="array" ref="C859">ifs(and(isblank($A859),isblank($B859)),"", not(iserror(vlookup($A859&amp;$B859,'5) Release_Track'!$F:$F&amp;'5) Release_Track'!$G:$G,1,0))),vlookup($A859&amp;$B859,{'5) Release_Track'!$F:$F&amp;'5) Release_Track'!$G:$G,'5) Release_Track'!$H:$H},2,0), or(and(not(isblank($B859)),$B859=$B858,$A859&lt;&gt;$A858),and(not(isblank($A859)),$A859=$A858,$B859&lt;&gt;$B858)),"ID LISTS UNALIGNED",and($A859&lt;&gt;"",countif('5) Release_Track'!$F:$F,$A859)=0),"NO ISRC MATCH in Release_Track",and($B859&lt;&gt;"",countif('5) Release_Track'!$G:$G,$B859)=0),"NO CATALOG ID MATCH in Release_Track",iserror(vlookup($A859&amp;$B859,'5) Release_Track'!$F:$F&amp;'5) Release_Track'!$G:$G,1,0)),"NO ISRC-CATALOG ID pair MATCH in Release_Track" )</f>
        <v/>
      </c>
      <c r="D859" s="121" t="str">
        <f t="array" ref="D859">ifs(and(isblank($A859),isblank($B859)),"", not(iserror(vlookup($A859&amp;$B859,'5) Release_Track'!$F:$F&amp;'5) Release_Track'!$G:$G,1,0))),vlookup($A859&amp;$B859,{'5) Release_Track'!$F:$F&amp;'5) Release_Track'!$G:$G,'5) Release_Track'!$I:$I},2,0), or(and(not(isblank($B859)),$B859=$B858,$A859&lt;&gt;$A858),and(not(isblank($A859)),$A859=$A858,$B859&lt;&gt;$B858)),"ID LISTS UNALIGNED",and($A859&lt;&gt;"",countif('5) Release_Track'!$F:$F,$A859)=0),"NO ISRC MATCH in Release_Track",and($B859&lt;&gt;"",countif('5) Release_Track'!$G:$G,$B859)=0),"NO CATALOG ID MATCH in Release_Track",iserror(vlookup($A859&amp;$B859,'5) Release_Track'!$F:$F&amp;'5) Release_Track'!$G:$G,1,0)),"NO ISRC-CATALOG ID pair MATCH in Release_Track" )</f>
        <v/>
      </c>
      <c r="E859" s="142" t="b">
        <v>0</v>
      </c>
      <c r="F859" s="142" t="b">
        <v>0</v>
      </c>
      <c r="G859" s="142" t="b">
        <v>0</v>
      </c>
      <c r="H859" s="142" t="b">
        <v>0</v>
      </c>
      <c r="I859" s="142" t="b">
        <v>0</v>
      </c>
      <c r="J859" s="142" t="b">
        <v>0</v>
      </c>
      <c r="K859" s="142" t="b">
        <v>0</v>
      </c>
      <c r="L859" s="8" t="b">
        <v>0</v>
      </c>
    </row>
    <row r="860">
      <c r="B860" s="103"/>
      <c r="C860" s="121" t="str">
        <f t="array" ref="C860">ifs(and(isblank($A860),isblank($B860)),"", not(iserror(vlookup($A860&amp;$B860,'5) Release_Track'!$F:$F&amp;'5) Release_Track'!$G:$G,1,0))),vlookup($A860&amp;$B860,{'5) Release_Track'!$F:$F&amp;'5) Release_Track'!$G:$G,'5) Release_Track'!$H:$H},2,0), or(and(not(isblank($B860)),$B860=$B859,$A860&lt;&gt;$A859),and(not(isblank($A860)),$A860=$A859,$B860&lt;&gt;$B859)),"ID LISTS UNALIGNED",and($A860&lt;&gt;"",countif('5) Release_Track'!$F:$F,$A860)=0),"NO ISRC MATCH in Release_Track",and($B860&lt;&gt;"",countif('5) Release_Track'!$G:$G,$B860)=0),"NO CATALOG ID MATCH in Release_Track",iserror(vlookup($A860&amp;$B860,'5) Release_Track'!$F:$F&amp;'5) Release_Track'!$G:$G,1,0)),"NO ISRC-CATALOG ID pair MATCH in Release_Track" )</f>
        <v/>
      </c>
      <c r="D860" s="121" t="str">
        <f t="array" ref="D860">ifs(and(isblank($A860),isblank($B860)),"", not(iserror(vlookup($A860&amp;$B860,'5) Release_Track'!$F:$F&amp;'5) Release_Track'!$G:$G,1,0))),vlookup($A860&amp;$B860,{'5) Release_Track'!$F:$F&amp;'5) Release_Track'!$G:$G,'5) Release_Track'!$I:$I},2,0), or(and(not(isblank($B860)),$B860=$B859,$A860&lt;&gt;$A859),and(not(isblank($A860)),$A860=$A859,$B860&lt;&gt;$B859)),"ID LISTS UNALIGNED",and($A860&lt;&gt;"",countif('5) Release_Track'!$F:$F,$A860)=0),"NO ISRC MATCH in Release_Track",and($B860&lt;&gt;"",countif('5) Release_Track'!$G:$G,$B860)=0),"NO CATALOG ID MATCH in Release_Track",iserror(vlookup($A860&amp;$B860,'5) Release_Track'!$F:$F&amp;'5) Release_Track'!$G:$G,1,0)),"NO ISRC-CATALOG ID pair MATCH in Release_Track" )</f>
        <v/>
      </c>
      <c r="E860" s="142" t="b">
        <v>0</v>
      </c>
      <c r="F860" s="142" t="b">
        <v>0</v>
      </c>
      <c r="G860" s="142" t="b">
        <v>0</v>
      </c>
      <c r="H860" s="142" t="b">
        <v>0</v>
      </c>
      <c r="I860" s="142" t="b">
        <v>0</v>
      </c>
      <c r="J860" s="142" t="b">
        <v>0</v>
      </c>
      <c r="K860" s="142" t="b">
        <v>0</v>
      </c>
      <c r="L860" s="8" t="b">
        <v>0</v>
      </c>
    </row>
    <row r="861">
      <c r="B861" s="103"/>
      <c r="C861" s="121" t="str">
        <f t="array" ref="C861">ifs(and(isblank($A861),isblank($B861)),"", not(iserror(vlookup($A861&amp;$B861,'5) Release_Track'!$F:$F&amp;'5) Release_Track'!$G:$G,1,0))),vlookup($A861&amp;$B861,{'5) Release_Track'!$F:$F&amp;'5) Release_Track'!$G:$G,'5) Release_Track'!$H:$H},2,0), or(and(not(isblank($B861)),$B861=$B860,$A861&lt;&gt;$A860),and(not(isblank($A861)),$A861=$A860,$B861&lt;&gt;$B860)),"ID LISTS UNALIGNED",and($A861&lt;&gt;"",countif('5) Release_Track'!$F:$F,$A861)=0),"NO ISRC MATCH in Release_Track",and($B861&lt;&gt;"",countif('5) Release_Track'!$G:$G,$B861)=0),"NO CATALOG ID MATCH in Release_Track",iserror(vlookup($A861&amp;$B861,'5) Release_Track'!$F:$F&amp;'5) Release_Track'!$G:$G,1,0)),"NO ISRC-CATALOG ID pair MATCH in Release_Track" )</f>
        <v/>
      </c>
      <c r="D861" s="121" t="str">
        <f t="array" ref="D861">ifs(and(isblank($A861),isblank($B861)),"", not(iserror(vlookup($A861&amp;$B861,'5) Release_Track'!$F:$F&amp;'5) Release_Track'!$G:$G,1,0))),vlookup($A861&amp;$B861,{'5) Release_Track'!$F:$F&amp;'5) Release_Track'!$G:$G,'5) Release_Track'!$I:$I},2,0), or(and(not(isblank($B861)),$B861=$B860,$A861&lt;&gt;$A860),and(not(isblank($A861)),$A861=$A860,$B861&lt;&gt;$B860)),"ID LISTS UNALIGNED",and($A861&lt;&gt;"",countif('5) Release_Track'!$F:$F,$A861)=0),"NO ISRC MATCH in Release_Track",and($B861&lt;&gt;"",countif('5) Release_Track'!$G:$G,$B861)=0),"NO CATALOG ID MATCH in Release_Track",iserror(vlookup($A861&amp;$B861,'5) Release_Track'!$F:$F&amp;'5) Release_Track'!$G:$G,1,0)),"NO ISRC-CATALOG ID pair MATCH in Release_Track" )</f>
        <v/>
      </c>
      <c r="E861" s="142" t="b">
        <v>0</v>
      </c>
      <c r="F861" s="142" t="b">
        <v>0</v>
      </c>
      <c r="G861" s="142" t="b">
        <v>0</v>
      </c>
      <c r="H861" s="142" t="b">
        <v>0</v>
      </c>
      <c r="I861" s="142" t="b">
        <v>0</v>
      </c>
      <c r="J861" s="142" t="b">
        <v>0</v>
      </c>
      <c r="K861" s="142" t="b">
        <v>0</v>
      </c>
      <c r="L861" s="8" t="b">
        <v>0</v>
      </c>
    </row>
    <row r="862">
      <c r="B862" s="103"/>
      <c r="C862" s="121" t="str">
        <f t="array" ref="C862">ifs(and(isblank($A862),isblank($B862)),"", not(iserror(vlookup($A862&amp;$B862,'5) Release_Track'!$F:$F&amp;'5) Release_Track'!$G:$G,1,0))),vlookup($A862&amp;$B862,{'5) Release_Track'!$F:$F&amp;'5) Release_Track'!$G:$G,'5) Release_Track'!$H:$H},2,0), or(and(not(isblank($B862)),$B862=$B861,$A862&lt;&gt;$A861),and(not(isblank($A862)),$A862=$A861,$B862&lt;&gt;$B861)),"ID LISTS UNALIGNED",and($A862&lt;&gt;"",countif('5) Release_Track'!$F:$F,$A862)=0),"NO ISRC MATCH in Release_Track",and($B862&lt;&gt;"",countif('5) Release_Track'!$G:$G,$B862)=0),"NO CATALOG ID MATCH in Release_Track",iserror(vlookup($A862&amp;$B862,'5) Release_Track'!$F:$F&amp;'5) Release_Track'!$G:$G,1,0)),"NO ISRC-CATALOG ID pair MATCH in Release_Track" )</f>
        <v/>
      </c>
      <c r="D862" s="121" t="str">
        <f t="array" ref="D862">ifs(and(isblank($A862),isblank($B862)),"", not(iserror(vlookup($A862&amp;$B862,'5) Release_Track'!$F:$F&amp;'5) Release_Track'!$G:$G,1,0))),vlookup($A862&amp;$B862,{'5) Release_Track'!$F:$F&amp;'5) Release_Track'!$G:$G,'5) Release_Track'!$I:$I},2,0), or(and(not(isblank($B862)),$B862=$B861,$A862&lt;&gt;$A861),and(not(isblank($A862)),$A862=$A861,$B862&lt;&gt;$B861)),"ID LISTS UNALIGNED",and($A862&lt;&gt;"",countif('5) Release_Track'!$F:$F,$A862)=0),"NO ISRC MATCH in Release_Track",and($B862&lt;&gt;"",countif('5) Release_Track'!$G:$G,$B862)=0),"NO CATALOG ID MATCH in Release_Track",iserror(vlookup($A862&amp;$B862,'5) Release_Track'!$F:$F&amp;'5) Release_Track'!$G:$G,1,0)),"NO ISRC-CATALOG ID pair MATCH in Release_Track" )</f>
        <v/>
      </c>
      <c r="E862" s="142" t="b">
        <v>0</v>
      </c>
      <c r="F862" s="142" t="b">
        <v>0</v>
      </c>
      <c r="G862" s="142" t="b">
        <v>0</v>
      </c>
      <c r="H862" s="142" t="b">
        <v>0</v>
      </c>
      <c r="I862" s="142" t="b">
        <v>0</v>
      </c>
      <c r="J862" s="142" t="b">
        <v>0</v>
      </c>
      <c r="K862" s="142" t="b">
        <v>0</v>
      </c>
      <c r="L862" s="8" t="b">
        <v>0</v>
      </c>
    </row>
    <row r="863">
      <c r="B863" s="103"/>
      <c r="C863" s="121" t="str">
        <f t="array" ref="C863">ifs(and(isblank($A863),isblank($B863)),"", not(iserror(vlookup($A863&amp;$B863,'5) Release_Track'!$F:$F&amp;'5) Release_Track'!$G:$G,1,0))),vlookup($A863&amp;$B863,{'5) Release_Track'!$F:$F&amp;'5) Release_Track'!$G:$G,'5) Release_Track'!$H:$H},2,0), or(and(not(isblank($B863)),$B863=$B862,$A863&lt;&gt;$A862),and(not(isblank($A863)),$A863=$A862,$B863&lt;&gt;$B862)),"ID LISTS UNALIGNED",and($A863&lt;&gt;"",countif('5) Release_Track'!$F:$F,$A863)=0),"NO ISRC MATCH in Release_Track",and($B863&lt;&gt;"",countif('5) Release_Track'!$G:$G,$B863)=0),"NO CATALOG ID MATCH in Release_Track",iserror(vlookup($A863&amp;$B863,'5) Release_Track'!$F:$F&amp;'5) Release_Track'!$G:$G,1,0)),"NO ISRC-CATALOG ID pair MATCH in Release_Track" )</f>
        <v/>
      </c>
      <c r="D863" s="121" t="str">
        <f t="array" ref="D863">ifs(and(isblank($A863),isblank($B863)),"", not(iserror(vlookup($A863&amp;$B863,'5) Release_Track'!$F:$F&amp;'5) Release_Track'!$G:$G,1,0))),vlookup($A863&amp;$B863,{'5) Release_Track'!$F:$F&amp;'5) Release_Track'!$G:$G,'5) Release_Track'!$I:$I},2,0), or(and(not(isblank($B863)),$B863=$B862,$A863&lt;&gt;$A862),and(not(isblank($A863)),$A863=$A862,$B863&lt;&gt;$B862)),"ID LISTS UNALIGNED",and($A863&lt;&gt;"",countif('5) Release_Track'!$F:$F,$A863)=0),"NO ISRC MATCH in Release_Track",and($B863&lt;&gt;"",countif('5) Release_Track'!$G:$G,$B863)=0),"NO CATALOG ID MATCH in Release_Track",iserror(vlookup($A863&amp;$B863,'5) Release_Track'!$F:$F&amp;'5) Release_Track'!$G:$G,1,0)),"NO ISRC-CATALOG ID pair MATCH in Release_Track" )</f>
        <v/>
      </c>
      <c r="E863" s="142" t="b">
        <v>0</v>
      </c>
      <c r="F863" s="142" t="b">
        <v>0</v>
      </c>
      <c r="G863" s="142" t="b">
        <v>0</v>
      </c>
      <c r="H863" s="142" t="b">
        <v>0</v>
      </c>
      <c r="I863" s="142" t="b">
        <v>0</v>
      </c>
      <c r="J863" s="142" t="b">
        <v>0</v>
      </c>
      <c r="K863" s="142" t="b">
        <v>0</v>
      </c>
      <c r="L863" s="8" t="b">
        <v>0</v>
      </c>
    </row>
    <row r="864">
      <c r="B864" s="103"/>
      <c r="C864" s="121" t="str">
        <f t="array" ref="C864">ifs(and(isblank($A864),isblank($B864)),"", not(iserror(vlookup($A864&amp;$B864,'5) Release_Track'!$F:$F&amp;'5) Release_Track'!$G:$G,1,0))),vlookup($A864&amp;$B864,{'5) Release_Track'!$F:$F&amp;'5) Release_Track'!$G:$G,'5) Release_Track'!$H:$H},2,0), or(and(not(isblank($B864)),$B864=$B863,$A864&lt;&gt;$A863),and(not(isblank($A864)),$A864=$A863,$B864&lt;&gt;$B863)),"ID LISTS UNALIGNED",and($A864&lt;&gt;"",countif('5) Release_Track'!$F:$F,$A864)=0),"NO ISRC MATCH in Release_Track",and($B864&lt;&gt;"",countif('5) Release_Track'!$G:$G,$B864)=0),"NO CATALOG ID MATCH in Release_Track",iserror(vlookup($A864&amp;$B864,'5) Release_Track'!$F:$F&amp;'5) Release_Track'!$G:$G,1,0)),"NO ISRC-CATALOG ID pair MATCH in Release_Track" )</f>
        <v/>
      </c>
      <c r="D864" s="121" t="str">
        <f t="array" ref="D864">ifs(and(isblank($A864),isblank($B864)),"", not(iserror(vlookup($A864&amp;$B864,'5) Release_Track'!$F:$F&amp;'5) Release_Track'!$G:$G,1,0))),vlookup($A864&amp;$B864,{'5) Release_Track'!$F:$F&amp;'5) Release_Track'!$G:$G,'5) Release_Track'!$I:$I},2,0), or(and(not(isblank($B864)),$B864=$B863,$A864&lt;&gt;$A863),and(not(isblank($A864)),$A864=$A863,$B864&lt;&gt;$B863)),"ID LISTS UNALIGNED",and($A864&lt;&gt;"",countif('5) Release_Track'!$F:$F,$A864)=0),"NO ISRC MATCH in Release_Track",and($B864&lt;&gt;"",countif('5) Release_Track'!$G:$G,$B864)=0),"NO CATALOG ID MATCH in Release_Track",iserror(vlookup($A864&amp;$B864,'5) Release_Track'!$F:$F&amp;'5) Release_Track'!$G:$G,1,0)),"NO ISRC-CATALOG ID pair MATCH in Release_Track" )</f>
        <v/>
      </c>
      <c r="E864" s="142" t="b">
        <v>0</v>
      </c>
      <c r="F864" s="142" t="b">
        <v>0</v>
      </c>
      <c r="G864" s="142" t="b">
        <v>0</v>
      </c>
      <c r="H864" s="142" t="b">
        <v>0</v>
      </c>
      <c r="I864" s="142" t="b">
        <v>0</v>
      </c>
      <c r="J864" s="142" t="b">
        <v>0</v>
      </c>
      <c r="K864" s="142" t="b">
        <v>0</v>
      </c>
      <c r="L864" s="8" t="b">
        <v>0</v>
      </c>
    </row>
    <row r="865">
      <c r="B865" s="103"/>
      <c r="C865" s="121" t="str">
        <f t="array" ref="C865">ifs(and(isblank($A865),isblank($B865)),"", not(iserror(vlookup($A865&amp;$B865,'5) Release_Track'!$F:$F&amp;'5) Release_Track'!$G:$G,1,0))),vlookup($A865&amp;$B865,{'5) Release_Track'!$F:$F&amp;'5) Release_Track'!$G:$G,'5) Release_Track'!$H:$H},2,0), or(and(not(isblank($B865)),$B865=$B864,$A865&lt;&gt;$A864),and(not(isblank($A865)),$A865=$A864,$B865&lt;&gt;$B864)),"ID LISTS UNALIGNED",and($A865&lt;&gt;"",countif('5) Release_Track'!$F:$F,$A865)=0),"NO ISRC MATCH in Release_Track",and($B865&lt;&gt;"",countif('5) Release_Track'!$G:$G,$B865)=0),"NO CATALOG ID MATCH in Release_Track",iserror(vlookup($A865&amp;$B865,'5) Release_Track'!$F:$F&amp;'5) Release_Track'!$G:$G,1,0)),"NO ISRC-CATALOG ID pair MATCH in Release_Track" )</f>
        <v/>
      </c>
      <c r="D865" s="121" t="str">
        <f t="array" ref="D865">ifs(and(isblank($A865),isblank($B865)),"", not(iserror(vlookup($A865&amp;$B865,'5) Release_Track'!$F:$F&amp;'5) Release_Track'!$G:$G,1,0))),vlookup($A865&amp;$B865,{'5) Release_Track'!$F:$F&amp;'5) Release_Track'!$G:$G,'5) Release_Track'!$I:$I},2,0), or(and(not(isblank($B865)),$B865=$B864,$A865&lt;&gt;$A864),and(not(isblank($A865)),$A865=$A864,$B865&lt;&gt;$B864)),"ID LISTS UNALIGNED",and($A865&lt;&gt;"",countif('5) Release_Track'!$F:$F,$A865)=0),"NO ISRC MATCH in Release_Track",and($B865&lt;&gt;"",countif('5) Release_Track'!$G:$G,$B865)=0),"NO CATALOG ID MATCH in Release_Track",iserror(vlookup($A865&amp;$B865,'5) Release_Track'!$F:$F&amp;'5) Release_Track'!$G:$G,1,0)),"NO ISRC-CATALOG ID pair MATCH in Release_Track" )</f>
        <v/>
      </c>
      <c r="E865" s="142" t="b">
        <v>0</v>
      </c>
      <c r="F865" s="142" t="b">
        <v>0</v>
      </c>
      <c r="G865" s="142" t="b">
        <v>0</v>
      </c>
      <c r="H865" s="142" t="b">
        <v>0</v>
      </c>
      <c r="I865" s="142" t="b">
        <v>0</v>
      </c>
      <c r="J865" s="142" t="b">
        <v>0</v>
      </c>
      <c r="K865" s="142" t="b">
        <v>0</v>
      </c>
      <c r="L865" s="8" t="b">
        <v>0</v>
      </c>
    </row>
    <row r="866">
      <c r="B866" s="103"/>
      <c r="C866" s="121" t="str">
        <f t="array" ref="C866">ifs(and(isblank($A866),isblank($B866)),"", not(iserror(vlookup($A866&amp;$B866,'5) Release_Track'!$F:$F&amp;'5) Release_Track'!$G:$G,1,0))),vlookup($A866&amp;$B866,{'5) Release_Track'!$F:$F&amp;'5) Release_Track'!$G:$G,'5) Release_Track'!$H:$H},2,0), or(and(not(isblank($B866)),$B866=$B865,$A866&lt;&gt;$A865),and(not(isblank($A866)),$A866=$A865,$B866&lt;&gt;$B865)),"ID LISTS UNALIGNED",and($A866&lt;&gt;"",countif('5) Release_Track'!$F:$F,$A866)=0),"NO ISRC MATCH in Release_Track",and($B866&lt;&gt;"",countif('5) Release_Track'!$G:$G,$B866)=0),"NO CATALOG ID MATCH in Release_Track",iserror(vlookup($A866&amp;$B866,'5) Release_Track'!$F:$F&amp;'5) Release_Track'!$G:$G,1,0)),"NO ISRC-CATALOG ID pair MATCH in Release_Track" )</f>
        <v/>
      </c>
      <c r="D866" s="121" t="str">
        <f t="array" ref="D866">ifs(and(isblank($A866),isblank($B866)),"", not(iserror(vlookup($A866&amp;$B866,'5) Release_Track'!$F:$F&amp;'5) Release_Track'!$G:$G,1,0))),vlookup($A866&amp;$B866,{'5) Release_Track'!$F:$F&amp;'5) Release_Track'!$G:$G,'5) Release_Track'!$I:$I},2,0), or(and(not(isblank($B866)),$B866=$B865,$A866&lt;&gt;$A865),and(not(isblank($A866)),$A866=$A865,$B866&lt;&gt;$B865)),"ID LISTS UNALIGNED",and($A866&lt;&gt;"",countif('5) Release_Track'!$F:$F,$A866)=0),"NO ISRC MATCH in Release_Track",and($B866&lt;&gt;"",countif('5) Release_Track'!$G:$G,$B866)=0),"NO CATALOG ID MATCH in Release_Track",iserror(vlookup($A866&amp;$B866,'5) Release_Track'!$F:$F&amp;'5) Release_Track'!$G:$G,1,0)),"NO ISRC-CATALOG ID pair MATCH in Release_Track" )</f>
        <v/>
      </c>
      <c r="E866" s="142" t="b">
        <v>0</v>
      </c>
      <c r="F866" s="142" t="b">
        <v>0</v>
      </c>
      <c r="G866" s="142" t="b">
        <v>0</v>
      </c>
      <c r="H866" s="142" t="b">
        <v>0</v>
      </c>
      <c r="I866" s="142" t="b">
        <v>0</v>
      </c>
      <c r="J866" s="142" t="b">
        <v>0</v>
      </c>
      <c r="K866" s="142" t="b">
        <v>0</v>
      </c>
      <c r="L866" s="8" t="b">
        <v>0</v>
      </c>
    </row>
    <row r="867">
      <c r="B867" s="103"/>
      <c r="C867" s="121" t="str">
        <f t="array" ref="C867">ifs(and(isblank($A867),isblank($B867)),"", not(iserror(vlookup($A867&amp;$B867,'5) Release_Track'!$F:$F&amp;'5) Release_Track'!$G:$G,1,0))),vlookup($A867&amp;$B867,{'5) Release_Track'!$F:$F&amp;'5) Release_Track'!$G:$G,'5) Release_Track'!$H:$H},2,0), or(and(not(isblank($B867)),$B867=$B866,$A867&lt;&gt;$A866),and(not(isblank($A867)),$A867=$A866,$B867&lt;&gt;$B866)),"ID LISTS UNALIGNED",and($A867&lt;&gt;"",countif('5) Release_Track'!$F:$F,$A867)=0),"NO ISRC MATCH in Release_Track",and($B867&lt;&gt;"",countif('5) Release_Track'!$G:$G,$B867)=0),"NO CATALOG ID MATCH in Release_Track",iserror(vlookup($A867&amp;$B867,'5) Release_Track'!$F:$F&amp;'5) Release_Track'!$G:$G,1,0)),"NO ISRC-CATALOG ID pair MATCH in Release_Track" )</f>
        <v/>
      </c>
      <c r="D867" s="121" t="str">
        <f t="array" ref="D867">ifs(and(isblank($A867),isblank($B867)),"", not(iserror(vlookup($A867&amp;$B867,'5) Release_Track'!$F:$F&amp;'5) Release_Track'!$G:$G,1,0))),vlookup($A867&amp;$B867,{'5) Release_Track'!$F:$F&amp;'5) Release_Track'!$G:$G,'5) Release_Track'!$I:$I},2,0), or(and(not(isblank($B867)),$B867=$B866,$A867&lt;&gt;$A866),and(not(isblank($A867)),$A867=$A866,$B867&lt;&gt;$B866)),"ID LISTS UNALIGNED",and($A867&lt;&gt;"",countif('5) Release_Track'!$F:$F,$A867)=0),"NO ISRC MATCH in Release_Track",and($B867&lt;&gt;"",countif('5) Release_Track'!$G:$G,$B867)=0),"NO CATALOG ID MATCH in Release_Track",iserror(vlookup($A867&amp;$B867,'5) Release_Track'!$F:$F&amp;'5) Release_Track'!$G:$G,1,0)),"NO ISRC-CATALOG ID pair MATCH in Release_Track" )</f>
        <v/>
      </c>
      <c r="E867" s="142" t="b">
        <v>0</v>
      </c>
      <c r="F867" s="142" t="b">
        <v>0</v>
      </c>
      <c r="G867" s="142" t="b">
        <v>0</v>
      </c>
      <c r="H867" s="142" t="b">
        <v>0</v>
      </c>
      <c r="I867" s="142" t="b">
        <v>0</v>
      </c>
      <c r="J867" s="142" t="b">
        <v>0</v>
      </c>
      <c r="K867" s="142" t="b">
        <v>0</v>
      </c>
      <c r="L867" s="8" t="b">
        <v>0</v>
      </c>
    </row>
    <row r="868">
      <c r="B868" s="103"/>
      <c r="C868" s="121" t="str">
        <f t="array" ref="C868">ifs(and(isblank($A868),isblank($B868)),"", not(iserror(vlookup($A868&amp;$B868,'5) Release_Track'!$F:$F&amp;'5) Release_Track'!$G:$G,1,0))),vlookup($A868&amp;$B868,{'5) Release_Track'!$F:$F&amp;'5) Release_Track'!$G:$G,'5) Release_Track'!$H:$H},2,0), or(and(not(isblank($B868)),$B868=$B867,$A868&lt;&gt;$A867),and(not(isblank($A868)),$A868=$A867,$B868&lt;&gt;$B867)),"ID LISTS UNALIGNED",and($A868&lt;&gt;"",countif('5) Release_Track'!$F:$F,$A868)=0),"NO ISRC MATCH in Release_Track",and($B868&lt;&gt;"",countif('5) Release_Track'!$G:$G,$B868)=0),"NO CATALOG ID MATCH in Release_Track",iserror(vlookup($A868&amp;$B868,'5) Release_Track'!$F:$F&amp;'5) Release_Track'!$G:$G,1,0)),"NO ISRC-CATALOG ID pair MATCH in Release_Track" )</f>
        <v/>
      </c>
      <c r="D868" s="121" t="str">
        <f t="array" ref="D868">ifs(and(isblank($A868),isblank($B868)),"", not(iserror(vlookup($A868&amp;$B868,'5) Release_Track'!$F:$F&amp;'5) Release_Track'!$G:$G,1,0))),vlookup($A868&amp;$B868,{'5) Release_Track'!$F:$F&amp;'5) Release_Track'!$G:$G,'5) Release_Track'!$I:$I},2,0), or(and(not(isblank($B868)),$B868=$B867,$A868&lt;&gt;$A867),and(not(isblank($A868)),$A868=$A867,$B868&lt;&gt;$B867)),"ID LISTS UNALIGNED",and($A868&lt;&gt;"",countif('5) Release_Track'!$F:$F,$A868)=0),"NO ISRC MATCH in Release_Track",and($B868&lt;&gt;"",countif('5) Release_Track'!$G:$G,$B868)=0),"NO CATALOG ID MATCH in Release_Track",iserror(vlookup($A868&amp;$B868,'5) Release_Track'!$F:$F&amp;'5) Release_Track'!$G:$G,1,0)),"NO ISRC-CATALOG ID pair MATCH in Release_Track" )</f>
        <v/>
      </c>
      <c r="E868" s="142" t="b">
        <v>0</v>
      </c>
      <c r="F868" s="142" t="b">
        <v>0</v>
      </c>
      <c r="G868" s="142" t="b">
        <v>0</v>
      </c>
      <c r="H868" s="142" t="b">
        <v>0</v>
      </c>
      <c r="I868" s="142" t="b">
        <v>0</v>
      </c>
      <c r="J868" s="142" t="b">
        <v>0</v>
      </c>
      <c r="K868" s="142" t="b">
        <v>0</v>
      </c>
      <c r="L868" s="8" t="b">
        <v>0</v>
      </c>
    </row>
    <row r="869">
      <c r="B869" s="103"/>
      <c r="C869" s="121" t="str">
        <f t="array" ref="C869">ifs(and(isblank($A869),isblank($B869)),"", not(iserror(vlookup($A869&amp;$B869,'5) Release_Track'!$F:$F&amp;'5) Release_Track'!$G:$G,1,0))),vlookup($A869&amp;$B869,{'5) Release_Track'!$F:$F&amp;'5) Release_Track'!$G:$G,'5) Release_Track'!$H:$H},2,0), or(and(not(isblank($B869)),$B869=$B868,$A869&lt;&gt;$A868),and(not(isblank($A869)),$A869=$A868,$B869&lt;&gt;$B868)),"ID LISTS UNALIGNED",and($A869&lt;&gt;"",countif('5) Release_Track'!$F:$F,$A869)=0),"NO ISRC MATCH in Release_Track",and($B869&lt;&gt;"",countif('5) Release_Track'!$G:$G,$B869)=0),"NO CATALOG ID MATCH in Release_Track",iserror(vlookup($A869&amp;$B869,'5) Release_Track'!$F:$F&amp;'5) Release_Track'!$G:$G,1,0)),"NO ISRC-CATALOG ID pair MATCH in Release_Track" )</f>
        <v/>
      </c>
      <c r="D869" s="121" t="str">
        <f t="array" ref="D869">ifs(and(isblank($A869),isblank($B869)),"", not(iserror(vlookup($A869&amp;$B869,'5) Release_Track'!$F:$F&amp;'5) Release_Track'!$G:$G,1,0))),vlookup($A869&amp;$B869,{'5) Release_Track'!$F:$F&amp;'5) Release_Track'!$G:$G,'5) Release_Track'!$I:$I},2,0), or(and(not(isblank($B869)),$B869=$B868,$A869&lt;&gt;$A868),and(not(isblank($A869)),$A869=$A868,$B869&lt;&gt;$B868)),"ID LISTS UNALIGNED",and($A869&lt;&gt;"",countif('5) Release_Track'!$F:$F,$A869)=0),"NO ISRC MATCH in Release_Track",and($B869&lt;&gt;"",countif('5) Release_Track'!$G:$G,$B869)=0),"NO CATALOG ID MATCH in Release_Track",iserror(vlookup($A869&amp;$B869,'5) Release_Track'!$F:$F&amp;'5) Release_Track'!$G:$G,1,0)),"NO ISRC-CATALOG ID pair MATCH in Release_Track" )</f>
        <v/>
      </c>
      <c r="E869" s="142" t="b">
        <v>0</v>
      </c>
      <c r="F869" s="142" t="b">
        <v>0</v>
      </c>
      <c r="G869" s="142" t="b">
        <v>0</v>
      </c>
      <c r="H869" s="142" t="b">
        <v>0</v>
      </c>
      <c r="I869" s="142" t="b">
        <v>0</v>
      </c>
      <c r="J869" s="142" t="b">
        <v>0</v>
      </c>
      <c r="K869" s="142" t="b">
        <v>0</v>
      </c>
      <c r="L869" s="8" t="b">
        <v>0</v>
      </c>
    </row>
    <row r="870">
      <c r="B870" s="103"/>
      <c r="C870" s="121" t="str">
        <f t="array" ref="C870">ifs(and(isblank($A870),isblank($B870)),"", not(iserror(vlookup($A870&amp;$B870,'5) Release_Track'!$F:$F&amp;'5) Release_Track'!$G:$G,1,0))),vlookup($A870&amp;$B870,{'5) Release_Track'!$F:$F&amp;'5) Release_Track'!$G:$G,'5) Release_Track'!$H:$H},2,0), or(and(not(isblank($B870)),$B870=$B869,$A870&lt;&gt;$A869),and(not(isblank($A870)),$A870=$A869,$B870&lt;&gt;$B869)),"ID LISTS UNALIGNED",and($A870&lt;&gt;"",countif('5) Release_Track'!$F:$F,$A870)=0),"NO ISRC MATCH in Release_Track",and($B870&lt;&gt;"",countif('5) Release_Track'!$G:$G,$B870)=0),"NO CATALOG ID MATCH in Release_Track",iserror(vlookup($A870&amp;$B870,'5) Release_Track'!$F:$F&amp;'5) Release_Track'!$G:$G,1,0)),"NO ISRC-CATALOG ID pair MATCH in Release_Track" )</f>
        <v/>
      </c>
      <c r="D870" s="121" t="str">
        <f t="array" ref="D870">ifs(and(isblank($A870),isblank($B870)),"", not(iserror(vlookup($A870&amp;$B870,'5) Release_Track'!$F:$F&amp;'5) Release_Track'!$G:$G,1,0))),vlookup($A870&amp;$B870,{'5) Release_Track'!$F:$F&amp;'5) Release_Track'!$G:$G,'5) Release_Track'!$I:$I},2,0), or(and(not(isblank($B870)),$B870=$B869,$A870&lt;&gt;$A869),and(not(isblank($A870)),$A870=$A869,$B870&lt;&gt;$B869)),"ID LISTS UNALIGNED",and($A870&lt;&gt;"",countif('5) Release_Track'!$F:$F,$A870)=0),"NO ISRC MATCH in Release_Track",and($B870&lt;&gt;"",countif('5) Release_Track'!$G:$G,$B870)=0),"NO CATALOG ID MATCH in Release_Track",iserror(vlookup($A870&amp;$B870,'5) Release_Track'!$F:$F&amp;'5) Release_Track'!$G:$G,1,0)),"NO ISRC-CATALOG ID pair MATCH in Release_Track" )</f>
        <v/>
      </c>
      <c r="E870" s="142" t="b">
        <v>0</v>
      </c>
      <c r="F870" s="142" t="b">
        <v>0</v>
      </c>
      <c r="G870" s="142" t="b">
        <v>0</v>
      </c>
      <c r="H870" s="142" t="b">
        <v>0</v>
      </c>
      <c r="I870" s="142" t="b">
        <v>0</v>
      </c>
      <c r="J870" s="142" t="b">
        <v>0</v>
      </c>
      <c r="K870" s="142" t="b">
        <v>0</v>
      </c>
      <c r="L870" s="8" t="b">
        <v>0</v>
      </c>
    </row>
    <row r="871">
      <c r="B871" s="103"/>
      <c r="C871" s="121" t="str">
        <f t="array" ref="C871">ifs(and(isblank($A871),isblank($B871)),"", not(iserror(vlookup($A871&amp;$B871,'5) Release_Track'!$F:$F&amp;'5) Release_Track'!$G:$G,1,0))),vlookup($A871&amp;$B871,{'5) Release_Track'!$F:$F&amp;'5) Release_Track'!$G:$G,'5) Release_Track'!$H:$H},2,0), or(and(not(isblank($B871)),$B871=$B870,$A871&lt;&gt;$A870),and(not(isblank($A871)),$A871=$A870,$B871&lt;&gt;$B870)),"ID LISTS UNALIGNED",and($A871&lt;&gt;"",countif('5) Release_Track'!$F:$F,$A871)=0),"NO ISRC MATCH in Release_Track",and($B871&lt;&gt;"",countif('5) Release_Track'!$G:$G,$B871)=0),"NO CATALOG ID MATCH in Release_Track",iserror(vlookup($A871&amp;$B871,'5) Release_Track'!$F:$F&amp;'5) Release_Track'!$G:$G,1,0)),"NO ISRC-CATALOG ID pair MATCH in Release_Track" )</f>
        <v/>
      </c>
      <c r="D871" s="121" t="str">
        <f t="array" ref="D871">ifs(and(isblank($A871),isblank($B871)),"", not(iserror(vlookup($A871&amp;$B871,'5) Release_Track'!$F:$F&amp;'5) Release_Track'!$G:$G,1,0))),vlookup($A871&amp;$B871,{'5) Release_Track'!$F:$F&amp;'5) Release_Track'!$G:$G,'5) Release_Track'!$I:$I},2,0), or(and(not(isblank($B871)),$B871=$B870,$A871&lt;&gt;$A870),and(not(isblank($A871)),$A871=$A870,$B871&lt;&gt;$B870)),"ID LISTS UNALIGNED",and($A871&lt;&gt;"",countif('5) Release_Track'!$F:$F,$A871)=0),"NO ISRC MATCH in Release_Track",and($B871&lt;&gt;"",countif('5) Release_Track'!$G:$G,$B871)=0),"NO CATALOG ID MATCH in Release_Track",iserror(vlookup($A871&amp;$B871,'5) Release_Track'!$F:$F&amp;'5) Release_Track'!$G:$G,1,0)),"NO ISRC-CATALOG ID pair MATCH in Release_Track" )</f>
        <v/>
      </c>
      <c r="E871" s="142" t="b">
        <v>0</v>
      </c>
      <c r="F871" s="142" t="b">
        <v>0</v>
      </c>
      <c r="G871" s="142" t="b">
        <v>0</v>
      </c>
      <c r="H871" s="142" t="b">
        <v>0</v>
      </c>
      <c r="I871" s="142" t="b">
        <v>0</v>
      </c>
      <c r="J871" s="142" t="b">
        <v>0</v>
      </c>
      <c r="K871" s="142" t="b">
        <v>0</v>
      </c>
      <c r="L871" s="8" t="b">
        <v>0</v>
      </c>
    </row>
    <row r="872">
      <c r="B872" s="103"/>
      <c r="C872" s="121" t="str">
        <f t="array" ref="C872">ifs(and(isblank($A872),isblank($B872)),"", not(iserror(vlookup($A872&amp;$B872,'5) Release_Track'!$F:$F&amp;'5) Release_Track'!$G:$G,1,0))),vlookup($A872&amp;$B872,{'5) Release_Track'!$F:$F&amp;'5) Release_Track'!$G:$G,'5) Release_Track'!$H:$H},2,0), or(and(not(isblank($B872)),$B872=$B871,$A872&lt;&gt;$A871),and(not(isblank($A872)),$A872=$A871,$B872&lt;&gt;$B871)),"ID LISTS UNALIGNED",and($A872&lt;&gt;"",countif('5) Release_Track'!$F:$F,$A872)=0),"NO ISRC MATCH in Release_Track",and($B872&lt;&gt;"",countif('5) Release_Track'!$G:$G,$B872)=0),"NO CATALOG ID MATCH in Release_Track",iserror(vlookup($A872&amp;$B872,'5) Release_Track'!$F:$F&amp;'5) Release_Track'!$G:$G,1,0)),"NO ISRC-CATALOG ID pair MATCH in Release_Track" )</f>
        <v/>
      </c>
      <c r="D872" s="121" t="str">
        <f t="array" ref="D872">ifs(and(isblank($A872),isblank($B872)),"", not(iserror(vlookup($A872&amp;$B872,'5) Release_Track'!$F:$F&amp;'5) Release_Track'!$G:$G,1,0))),vlookup($A872&amp;$B872,{'5) Release_Track'!$F:$F&amp;'5) Release_Track'!$G:$G,'5) Release_Track'!$I:$I},2,0), or(and(not(isblank($B872)),$B872=$B871,$A872&lt;&gt;$A871),and(not(isblank($A872)),$A872=$A871,$B872&lt;&gt;$B871)),"ID LISTS UNALIGNED",and($A872&lt;&gt;"",countif('5) Release_Track'!$F:$F,$A872)=0),"NO ISRC MATCH in Release_Track",and($B872&lt;&gt;"",countif('5) Release_Track'!$G:$G,$B872)=0),"NO CATALOG ID MATCH in Release_Track",iserror(vlookup($A872&amp;$B872,'5) Release_Track'!$F:$F&amp;'5) Release_Track'!$G:$G,1,0)),"NO ISRC-CATALOG ID pair MATCH in Release_Track" )</f>
        <v/>
      </c>
      <c r="E872" s="142" t="b">
        <v>0</v>
      </c>
      <c r="F872" s="142" t="b">
        <v>0</v>
      </c>
      <c r="G872" s="142" t="b">
        <v>0</v>
      </c>
      <c r="H872" s="142" t="b">
        <v>0</v>
      </c>
      <c r="I872" s="142" t="b">
        <v>0</v>
      </c>
      <c r="J872" s="142" t="b">
        <v>0</v>
      </c>
      <c r="K872" s="142" t="b">
        <v>0</v>
      </c>
      <c r="L872" s="8" t="b">
        <v>0</v>
      </c>
    </row>
    <row r="873">
      <c r="B873" s="103"/>
      <c r="C873" s="121" t="str">
        <f t="array" ref="C873">ifs(and(isblank($A873),isblank($B873)),"", not(iserror(vlookup($A873&amp;$B873,'5) Release_Track'!$F:$F&amp;'5) Release_Track'!$G:$G,1,0))),vlookup($A873&amp;$B873,{'5) Release_Track'!$F:$F&amp;'5) Release_Track'!$G:$G,'5) Release_Track'!$H:$H},2,0), or(and(not(isblank($B873)),$B873=$B872,$A873&lt;&gt;$A872),and(not(isblank($A873)),$A873=$A872,$B873&lt;&gt;$B872)),"ID LISTS UNALIGNED",and($A873&lt;&gt;"",countif('5) Release_Track'!$F:$F,$A873)=0),"NO ISRC MATCH in Release_Track",and($B873&lt;&gt;"",countif('5) Release_Track'!$G:$G,$B873)=0),"NO CATALOG ID MATCH in Release_Track",iserror(vlookup($A873&amp;$B873,'5) Release_Track'!$F:$F&amp;'5) Release_Track'!$G:$G,1,0)),"NO ISRC-CATALOG ID pair MATCH in Release_Track" )</f>
        <v/>
      </c>
      <c r="D873" s="121" t="str">
        <f t="array" ref="D873">ifs(and(isblank($A873),isblank($B873)),"", not(iserror(vlookup($A873&amp;$B873,'5) Release_Track'!$F:$F&amp;'5) Release_Track'!$G:$G,1,0))),vlookup($A873&amp;$B873,{'5) Release_Track'!$F:$F&amp;'5) Release_Track'!$G:$G,'5) Release_Track'!$I:$I},2,0), or(and(not(isblank($B873)),$B873=$B872,$A873&lt;&gt;$A872),and(not(isblank($A873)),$A873=$A872,$B873&lt;&gt;$B872)),"ID LISTS UNALIGNED",and($A873&lt;&gt;"",countif('5) Release_Track'!$F:$F,$A873)=0),"NO ISRC MATCH in Release_Track",and($B873&lt;&gt;"",countif('5) Release_Track'!$G:$G,$B873)=0),"NO CATALOG ID MATCH in Release_Track",iserror(vlookup($A873&amp;$B873,'5) Release_Track'!$F:$F&amp;'5) Release_Track'!$G:$G,1,0)),"NO ISRC-CATALOG ID pair MATCH in Release_Track" )</f>
        <v/>
      </c>
      <c r="E873" s="142" t="b">
        <v>0</v>
      </c>
      <c r="F873" s="142" t="b">
        <v>0</v>
      </c>
      <c r="G873" s="142" t="b">
        <v>0</v>
      </c>
      <c r="H873" s="142" t="b">
        <v>0</v>
      </c>
      <c r="I873" s="142" t="b">
        <v>0</v>
      </c>
      <c r="J873" s="142" t="b">
        <v>0</v>
      </c>
      <c r="K873" s="142" t="b">
        <v>0</v>
      </c>
      <c r="L873" s="8" t="b">
        <v>0</v>
      </c>
    </row>
    <row r="874">
      <c r="B874" s="103"/>
      <c r="C874" s="121" t="str">
        <f t="array" ref="C874">ifs(and(isblank($A874),isblank($B874)),"", not(iserror(vlookup($A874&amp;$B874,'5) Release_Track'!$F:$F&amp;'5) Release_Track'!$G:$G,1,0))),vlookup($A874&amp;$B874,{'5) Release_Track'!$F:$F&amp;'5) Release_Track'!$G:$G,'5) Release_Track'!$H:$H},2,0), or(and(not(isblank($B874)),$B874=$B873,$A874&lt;&gt;$A873),and(not(isblank($A874)),$A874=$A873,$B874&lt;&gt;$B873)),"ID LISTS UNALIGNED",and($A874&lt;&gt;"",countif('5) Release_Track'!$F:$F,$A874)=0),"NO ISRC MATCH in Release_Track",and($B874&lt;&gt;"",countif('5) Release_Track'!$G:$G,$B874)=0),"NO CATALOG ID MATCH in Release_Track",iserror(vlookup($A874&amp;$B874,'5) Release_Track'!$F:$F&amp;'5) Release_Track'!$G:$G,1,0)),"NO ISRC-CATALOG ID pair MATCH in Release_Track" )</f>
        <v/>
      </c>
      <c r="D874" s="121" t="str">
        <f t="array" ref="D874">ifs(and(isblank($A874),isblank($B874)),"", not(iserror(vlookup($A874&amp;$B874,'5) Release_Track'!$F:$F&amp;'5) Release_Track'!$G:$G,1,0))),vlookup($A874&amp;$B874,{'5) Release_Track'!$F:$F&amp;'5) Release_Track'!$G:$G,'5) Release_Track'!$I:$I},2,0), or(and(not(isblank($B874)),$B874=$B873,$A874&lt;&gt;$A873),and(not(isblank($A874)),$A874=$A873,$B874&lt;&gt;$B873)),"ID LISTS UNALIGNED",and($A874&lt;&gt;"",countif('5) Release_Track'!$F:$F,$A874)=0),"NO ISRC MATCH in Release_Track",and($B874&lt;&gt;"",countif('5) Release_Track'!$G:$G,$B874)=0),"NO CATALOG ID MATCH in Release_Track",iserror(vlookup($A874&amp;$B874,'5) Release_Track'!$F:$F&amp;'5) Release_Track'!$G:$G,1,0)),"NO ISRC-CATALOG ID pair MATCH in Release_Track" )</f>
        <v/>
      </c>
      <c r="E874" s="142" t="b">
        <v>0</v>
      </c>
      <c r="F874" s="142" t="b">
        <v>0</v>
      </c>
      <c r="G874" s="142" t="b">
        <v>0</v>
      </c>
      <c r="H874" s="142" t="b">
        <v>0</v>
      </c>
      <c r="I874" s="142" t="b">
        <v>0</v>
      </c>
      <c r="J874" s="142" t="b">
        <v>0</v>
      </c>
      <c r="K874" s="142" t="b">
        <v>0</v>
      </c>
      <c r="L874" s="8" t="b">
        <v>0</v>
      </c>
    </row>
    <row r="875">
      <c r="B875" s="103"/>
      <c r="C875" s="121" t="str">
        <f t="array" ref="C875">ifs(and(isblank($A875),isblank($B875)),"", not(iserror(vlookup($A875&amp;$B875,'5) Release_Track'!$F:$F&amp;'5) Release_Track'!$G:$G,1,0))),vlookup($A875&amp;$B875,{'5) Release_Track'!$F:$F&amp;'5) Release_Track'!$G:$G,'5) Release_Track'!$H:$H},2,0), or(and(not(isblank($B875)),$B875=$B874,$A875&lt;&gt;$A874),and(not(isblank($A875)),$A875=$A874,$B875&lt;&gt;$B874)),"ID LISTS UNALIGNED",and($A875&lt;&gt;"",countif('5) Release_Track'!$F:$F,$A875)=0),"NO ISRC MATCH in Release_Track",and($B875&lt;&gt;"",countif('5) Release_Track'!$G:$G,$B875)=0),"NO CATALOG ID MATCH in Release_Track",iserror(vlookup($A875&amp;$B875,'5) Release_Track'!$F:$F&amp;'5) Release_Track'!$G:$G,1,0)),"NO ISRC-CATALOG ID pair MATCH in Release_Track" )</f>
        <v/>
      </c>
      <c r="D875" s="121" t="str">
        <f t="array" ref="D875">ifs(and(isblank($A875),isblank($B875)),"", not(iserror(vlookup($A875&amp;$B875,'5) Release_Track'!$F:$F&amp;'5) Release_Track'!$G:$G,1,0))),vlookup($A875&amp;$B875,{'5) Release_Track'!$F:$F&amp;'5) Release_Track'!$G:$G,'5) Release_Track'!$I:$I},2,0), or(and(not(isblank($B875)),$B875=$B874,$A875&lt;&gt;$A874),and(not(isblank($A875)),$A875=$A874,$B875&lt;&gt;$B874)),"ID LISTS UNALIGNED",and($A875&lt;&gt;"",countif('5) Release_Track'!$F:$F,$A875)=0),"NO ISRC MATCH in Release_Track",and($B875&lt;&gt;"",countif('5) Release_Track'!$G:$G,$B875)=0),"NO CATALOG ID MATCH in Release_Track",iserror(vlookup($A875&amp;$B875,'5) Release_Track'!$F:$F&amp;'5) Release_Track'!$G:$G,1,0)),"NO ISRC-CATALOG ID pair MATCH in Release_Track" )</f>
        <v/>
      </c>
      <c r="E875" s="142" t="b">
        <v>0</v>
      </c>
      <c r="F875" s="142" t="b">
        <v>0</v>
      </c>
      <c r="G875" s="142" t="b">
        <v>0</v>
      </c>
      <c r="H875" s="142" t="b">
        <v>0</v>
      </c>
      <c r="I875" s="142" t="b">
        <v>0</v>
      </c>
      <c r="J875" s="142" t="b">
        <v>0</v>
      </c>
      <c r="K875" s="142" t="b">
        <v>0</v>
      </c>
      <c r="L875" s="8" t="b">
        <v>0</v>
      </c>
    </row>
    <row r="876">
      <c r="B876" s="103"/>
      <c r="C876" s="121" t="str">
        <f t="array" ref="C876">ifs(and(isblank($A876),isblank($B876)),"", not(iserror(vlookup($A876&amp;$B876,'5) Release_Track'!$F:$F&amp;'5) Release_Track'!$G:$G,1,0))),vlookup($A876&amp;$B876,{'5) Release_Track'!$F:$F&amp;'5) Release_Track'!$G:$G,'5) Release_Track'!$H:$H},2,0), or(and(not(isblank($B876)),$B876=$B875,$A876&lt;&gt;$A875),and(not(isblank($A876)),$A876=$A875,$B876&lt;&gt;$B875)),"ID LISTS UNALIGNED",and($A876&lt;&gt;"",countif('5) Release_Track'!$F:$F,$A876)=0),"NO ISRC MATCH in Release_Track",and($B876&lt;&gt;"",countif('5) Release_Track'!$G:$G,$B876)=0),"NO CATALOG ID MATCH in Release_Track",iserror(vlookup($A876&amp;$B876,'5) Release_Track'!$F:$F&amp;'5) Release_Track'!$G:$G,1,0)),"NO ISRC-CATALOG ID pair MATCH in Release_Track" )</f>
        <v/>
      </c>
      <c r="D876" s="121" t="str">
        <f t="array" ref="D876">ifs(and(isblank($A876),isblank($B876)),"", not(iserror(vlookup($A876&amp;$B876,'5) Release_Track'!$F:$F&amp;'5) Release_Track'!$G:$G,1,0))),vlookup($A876&amp;$B876,{'5) Release_Track'!$F:$F&amp;'5) Release_Track'!$G:$G,'5) Release_Track'!$I:$I},2,0), or(and(not(isblank($B876)),$B876=$B875,$A876&lt;&gt;$A875),and(not(isblank($A876)),$A876=$A875,$B876&lt;&gt;$B875)),"ID LISTS UNALIGNED",and($A876&lt;&gt;"",countif('5) Release_Track'!$F:$F,$A876)=0),"NO ISRC MATCH in Release_Track",and($B876&lt;&gt;"",countif('5) Release_Track'!$G:$G,$B876)=0),"NO CATALOG ID MATCH in Release_Track",iserror(vlookup($A876&amp;$B876,'5) Release_Track'!$F:$F&amp;'5) Release_Track'!$G:$G,1,0)),"NO ISRC-CATALOG ID pair MATCH in Release_Track" )</f>
        <v/>
      </c>
      <c r="E876" s="142" t="b">
        <v>0</v>
      </c>
      <c r="F876" s="142" t="b">
        <v>0</v>
      </c>
      <c r="G876" s="142" t="b">
        <v>0</v>
      </c>
      <c r="H876" s="142" t="b">
        <v>0</v>
      </c>
      <c r="I876" s="142" t="b">
        <v>0</v>
      </c>
      <c r="J876" s="142" t="b">
        <v>0</v>
      </c>
      <c r="K876" s="142" t="b">
        <v>0</v>
      </c>
      <c r="L876" s="8" t="b">
        <v>0</v>
      </c>
    </row>
    <row r="877">
      <c r="B877" s="103"/>
      <c r="C877" s="121" t="str">
        <f t="array" ref="C877">ifs(and(isblank($A877),isblank($B877)),"", not(iserror(vlookup($A877&amp;$B877,'5) Release_Track'!$F:$F&amp;'5) Release_Track'!$G:$G,1,0))),vlookup($A877&amp;$B877,{'5) Release_Track'!$F:$F&amp;'5) Release_Track'!$G:$G,'5) Release_Track'!$H:$H},2,0), or(and(not(isblank($B877)),$B877=$B876,$A877&lt;&gt;$A876),and(not(isblank($A877)),$A877=$A876,$B877&lt;&gt;$B876)),"ID LISTS UNALIGNED",and($A877&lt;&gt;"",countif('5) Release_Track'!$F:$F,$A877)=0),"NO ISRC MATCH in Release_Track",and($B877&lt;&gt;"",countif('5) Release_Track'!$G:$G,$B877)=0),"NO CATALOG ID MATCH in Release_Track",iserror(vlookup($A877&amp;$B877,'5) Release_Track'!$F:$F&amp;'5) Release_Track'!$G:$G,1,0)),"NO ISRC-CATALOG ID pair MATCH in Release_Track" )</f>
        <v/>
      </c>
      <c r="D877" s="121" t="str">
        <f t="array" ref="D877">ifs(and(isblank($A877),isblank($B877)),"", not(iserror(vlookup($A877&amp;$B877,'5) Release_Track'!$F:$F&amp;'5) Release_Track'!$G:$G,1,0))),vlookup($A877&amp;$B877,{'5) Release_Track'!$F:$F&amp;'5) Release_Track'!$G:$G,'5) Release_Track'!$I:$I},2,0), or(and(not(isblank($B877)),$B877=$B876,$A877&lt;&gt;$A876),and(not(isblank($A877)),$A877=$A876,$B877&lt;&gt;$B876)),"ID LISTS UNALIGNED",and($A877&lt;&gt;"",countif('5) Release_Track'!$F:$F,$A877)=0),"NO ISRC MATCH in Release_Track",and($B877&lt;&gt;"",countif('5) Release_Track'!$G:$G,$B877)=0),"NO CATALOG ID MATCH in Release_Track",iserror(vlookup($A877&amp;$B877,'5) Release_Track'!$F:$F&amp;'5) Release_Track'!$G:$G,1,0)),"NO ISRC-CATALOG ID pair MATCH in Release_Track" )</f>
        <v/>
      </c>
      <c r="E877" s="142" t="b">
        <v>0</v>
      </c>
      <c r="F877" s="142" t="b">
        <v>0</v>
      </c>
      <c r="G877" s="142" t="b">
        <v>0</v>
      </c>
      <c r="H877" s="142" t="b">
        <v>0</v>
      </c>
      <c r="I877" s="142" t="b">
        <v>0</v>
      </c>
      <c r="J877" s="142" t="b">
        <v>0</v>
      </c>
      <c r="K877" s="142" t="b">
        <v>0</v>
      </c>
      <c r="L877" s="8" t="b">
        <v>0</v>
      </c>
    </row>
    <row r="878">
      <c r="B878" s="103"/>
      <c r="C878" s="121" t="str">
        <f t="array" ref="C878">ifs(and(isblank($A878),isblank($B878)),"", not(iserror(vlookup($A878&amp;$B878,'5) Release_Track'!$F:$F&amp;'5) Release_Track'!$G:$G,1,0))),vlookup($A878&amp;$B878,{'5) Release_Track'!$F:$F&amp;'5) Release_Track'!$G:$G,'5) Release_Track'!$H:$H},2,0), or(and(not(isblank($B878)),$B878=$B877,$A878&lt;&gt;$A877),and(not(isblank($A878)),$A878=$A877,$B878&lt;&gt;$B877)),"ID LISTS UNALIGNED",and($A878&lt;&gt;"",countif('5) Release_Track'!$F:$F,$A878)=0),"NO ISRC MATCH in Release_Track",and($B878&lt;&gt;"",countif('5) Release_Track'!$G:$G,$B878)=0),"NO CATALOG ID MATCH in Release_Track",iserror(vlookup($A878&amp;$B878,'5) Release_Track'!$F:$F&amp;'5) Release_Track'!$G:$G,1,0)),"NO ISRC-CATALOG ID pair MATCH in Release_Track" )</f>
        <v/>
      </c>
      <c r="D878" s="121" t="str">
        <f t="array" ref="D878">ifs(and(isblank($A878),isblank($B878)),"", not(iserror(vlookup($A878&amp;$B878,'5) Release_Track'!$F:$F&amp;'5) Release_Track'!$G:$G,1,0))),vlookup($A878&amp;$B878,{'5) Release_Track'!$F:$F&amp;'5) Release_Track'!$G:$G,'5) Release_Track'!$I:$I},2,0), or(and(not(isblank($B878)),$B878=$B877,$A878&lt;&gt;$A877),and(not(isblank($A878)),$A878=$A877,$B878&lt;&gt;$B877)),"ID LISTS UNALIGNED",and($A878&lt;&gt;"",countif('5) Release_Track'!$F:$F,$A878)=0),"NO ISRC MATCH in Release_Track",and($B878&lt;&gt;"",countif('5) Release_Track'!$G:$G,$B878)=0),"NO CATALOG ID MATCH in Release_Track",iserror(vlookup($A878&amp;$B878,'5) Release_Track'!$F:$F&amp;'5) Release_Track'!$G:$G,1,0)),"NO ISRC-CATALOG ID pair MATCH in Release_Track" )</f>
        <v/>
      </c>
      <c r="E878" s="142" t="b">
        <v>0</v>
      </c>
      <c r="F878" s="142" t="b">
        <v>0</v>
      </c>
      <c r="G878" s="142" t="b">
        <v>0</v>
      </c>
      <c r="H878" s="142" t="b">
        <v>0</v>
      </c>
      <c r="I878" s="142" t="b">
        <v>0</v>
      </c>
      <c r="J878" s="142" t="b">
        <v>0</v>
      </c>
      <c r="K878" s="142" t="b">
        <v>0</v>
      </c>
      <c r="L878" s="8" t="b">
        <v>0</v>
      </c>
    </row>
    <row r="879">
      <c r="B879" s="103"/>
      <c r="C879" s="121" t="str">
        <f t="array" ref="C879">ifs(and(isblank($A879),isblank($B879)),"", not(iserror(vlookup($A879&amp;$B879,'5) Release_Track'!$F:$F&amp;'5) Release_Track'!$G:$G,1,0))),vlookup($A879&amp;$B879,{'5) Release_Track'!$F:$F&amp;'5) Release_Track'!$G:$G,'5) Release_Track'!$H:$H},2,0), or(and(not(isblank($B879)),$B879=$B878,$A879&lt;&gt;$A878),and(not(isblank($A879)),$A879=$A878,$B879&lt;&gt;$B878)),"ID LISTS UNALIGNED",and($A879&lt;&gt;"",countif('5) Release_Track'!$F:$F,$A879)=0),"NO ISRC MATCH in Release_Track",and($B879&lt;&gt;"",countif('5) Release_Track'!$G:$G,$B879)=0),"NO CATALOG ID MATCH in Release_Track",iserror(vlookup($A879&amp;$B879,'5) Release_Track'!$F:$F&amp;'5) Release_Track'!$G:$G,1,0)),"NO ISRC-CATALOG ID pair MATCH in Release_Track" )</f>
        <v/>
      </c>
      <c r="D879" s="121" t="str">
        <f t="array" ref="D879">ifs(and(isblank($A879),isblank($B879)),"", not(iserror(vlookup($A879&amp;$B879,'5) Release_Track'!$F:$F&amp;'5) Release_Track'!$G:$G,1,0))),vlookup($A879&amp;$B879,{'5) Release_Track'!$F:$F&amp;'5) Release_Track'!$G:$G,'5) Release_Track'!$I:$I},2,0), or(and(not(isblank($B879)),$B879=$B878,$A879&lt;&gt;$A878),and(not(isblank($A879)),$A879=$A878,$B879&lt;&gt;$B878)),"ID LISTS UNALIGNED",and($A879&lt;&gt;"",countif('5) Release_Track'!$F:$F,$A879)=0),"NO ISRC MATCH in Release_Track",and($B879&lt;&gt;"",countif('5) Release_Track'!$G:$G,$B879)=0),"NO CATALOG ID MATCH in Release_Track",iserror(vlookup($A879&amp;$B879,'5) Release_Track'!$F:$F&amp;'5) Release_Track'!$G:$G,1,0)),"NO ISRC-CATALOG ID pair MATCH in Release_Track" )</f>
        <v/>
      </c>
      <c r="E879" s="142" t="b">
        <v>0</v>
      </c>
      <c r="F879" s="142" t="b">
        <v>0</v>
      </c>
      <c r="G879" s="142" t="b">
        <v>0</v>
      </c>
      <c r="H879" s="142" t="b">
        <v>0</v>
      </c>
      <c r="I879" s="142" t="b">
        <v>0</v>
      </c>
      <c r="J879" s="142" t="b">
        <v>0</v>
      </c>
      <c r="K879" s="142" t="b">
        <v>0</v>
      </c>
      <c r="L879" s="8" t="b">
        <v>0</v>
      </c>
    </row>
    <row r="880">
      <c r="B880" s="103"/>
      <c r="C880" s="121" t="str">
        <f t="array" ref="C880">ifs(and(isblank($A880),isblank($B880)),"", not(iserror(vlookup($A880&amp;$B880,'5) Release_Track'!$F:$F&amp;'5) Release_Track'!$G:$G,1,0))),vlookup($A880&amp;$B880,{'5) Release_Track'!$F:$F&amp;'5) Release_Track'!$G:$G,'5) Release_Track'!$H:$H},2,0), or(and(not(isblank($B880)),$B880=$B879,$A880&lt;&gt;$A879),and(not(isblank($A880)),$A880=$A879,$B880&lt;&gt;$B879)),"ID LISTS UNALIGNED",and($A880&lt;&gt;"",countif('5) Release_Track'!$F:$F,$A880)=0),"NO ISRC MATCH in Release_Track",and($B880&lt;&gt;"",countif('5) Release_Track'!$G:$G,$B880)=0),"NO CATALOG ID MATCH in Release_Track",iserror(vlookup($A880&amp;$B880,'5) Release_Track'!$F:$F&amp;'5) Release_Track'!$G:$G,1,0)),"NO ISRC-CATALOG ID pair MATCH in Release_Track" )</f>
        <v/>
      </c>
      <c r="D880" s="121" t="str">
        <f t="array" ref="D880">ifs(and(isblank($A880),isblank($B880)),"", not(iserror(vlookup($A880&amp;$B880,'5) Release_Track'!$F:$F&amp;'5) Release_Track'!$G:$G,1,0))),vlookup($A880&amp;$B880,{'5) Release_Track'!$F:$F&amp;'5) Release_Track'!$G:$G,'5) Release_Track'!$I:$I},2,0), or(and(not(isblank($B880)),$B880=$B879,$A880&lt;&gt;$A879),and(not(isblank($A880)),$A880=$A879,$B880&lt;&gt;$B879)),"ID LISTS UNALIGNED",and($A880&lt;&gt;"",countif('5) Release_Track'!$F:$F,$A880)=0),"NO ISRC MATCH in Release_Track",and($B880&lt;&gt;"",countif('5) Release_Track'!$G:$G,$B880)=0),"NO CATALOG ID MATCH in Release_Track",iserror(vlookup($A880&amp;$B880,'5) Release_Track'!$F:$F&amp;'5) Release_Track'!$G:$G,1,0)),"NO ISRC-CATALOG ID pair MATCH in Release_Track" )</f>
        <v/>
      </c>
      <c r="E880" s="142" t="b">
        <v>0</v>
      </c>
      <c r="F880" s="142" t="b">
        <v>0</v>
      </c>
      <c r="G880" s="142" t="b">
        <v>0</v>
      </c>
      <c r="H880" s="142" t="b">
        <v>0</v>
      </c>
      <c r="I880" s="142" t="b">
        <v>0</v>
      </c>
      <c r="J880" s="142" t="b">
        <v>0</v>
      </c>
      <c r="K880" s="142" t="b">
        <v>0</v>
      </c>
      <c r="L880" s="8" t="b">
        <v>0</v>
      </c>
    </row>
    <row r="881">
      <c r="B881" s="103"/>
      <c r="C881" s="121" t="str">
        <f t="array" ref="C881">ifs(and(isblank($A881),isblank($B881)),"", not(iserror(vlookup($A881&amp;$B881,'5) Release_Track'!$F:$F&amp;'5) Release_Track'!$G:$G,1,0))),vlookup($A881&amp;$B881,{'5) Release_Track'!$F:$F&amp;'5) Release_Track'!$G:$G,'5) Release_Track'!$H:$H},2,0), or(and(not(isblank($B881)),$B881=$B880,$A881&lt;&gt;$A880),and(not(isblank($A881)),$A881=$A880,$B881&lt;&gt;$B880)),"ID LISTS UNALIGNED",and($A881&lt;&gt;"",countif('5) Release_Track'!$F:$F,$A881)=0),"NO ISRC MATCH in Release_Track",and($B881&lt;&gt;"",countif('5) Release_Track'!$G:$G,$B881)=0),"NO CATALOG ID MATCH in Release_Track",iserror(vlookup($A881&amp;$B881,'5) Release_Track'!$F:$F&amp;'5) Release_Track'!$G:$G,1,0)),"NO ISRC-CATALOG ID pair MATCH in Release_Track" )</f>
        <v/>
      </c>
      <c r="D881" s="121" t="str">
        <f t="array" ref="D881">ifs(and(isblank($A881),isblank($B881)),"", not(iserror(vlookup($A881&amp;$B881,'5) Release_Track'!$F:$F&amp;'5) Release_Track'!$G:$G,1,0))),vlookup($A881&amp;$B881,{'5) Release_Track'!$F:$F&amp;'5) Release_Track'!$G:$G,'5) Release_Track'!$I:$I},2,0), or(and(not(isblank($B881)),$B881=$B880,$A881&lt;&gt;$A880),and(not(isblank($A881)),$A881=$A880,$B881&lt;&gt;$B880)),"ID LISTS UNALIGNED",and($A881&lt;&gt;"",countif('5) Release_Track'!$F:$F,$A881)=0),"NO ISRC MATCH in Release_Track",and($B881&lt;&gt;"",countif('5) Release_Track'!$G:$G,$B881)=0),"NO CATALOG ID MATCH in Release_Track",iserror(vlookup($A881&amp;$B881,'5) Release_Track'!$F:$F&amp;'5) Release_Track'!$G:$G,1,0)),"NO ISRC-CATALOG ID pair MATCH in Release_Track" )</f>
        <v/>
      </c>
      <c r="E881" s="142" t="b">
        <v>0</v>
      </c>
      <c r="F881" s="142" t="b">
        <v>0</v>
      </c>
      <c r="G881" s="142" t="b">
        <v>0</v>
      </c>
      <c r="H881" s="142" t="b">
        <v>0</v>
      </c>
      <c r="I881" s="142" t="b">
        <v>0</v>
      </c>
      <c r="J881" s="142" t="b">
        <v>0</v>
      </c>
      <c r="K881" s="142" t="b">
        <v>0</v>
      </c>
      <c r="L881" s="8" t="b">
        <v>0</v>
      </c>
    </row>
    <row r="882">
      <c r="B882" s="103"/>
      <c r="C882" s="121" t="str">
        <f t="array" ref="C882">ifs(and(isblank($A882),isblank($B882)),"", not(iserror(vlookup($A882&amp;$B882,'5) Release_Track'!$F:$F&amp;'5) Release_Track'!$G:$G,1,0))),vlookup($A882&amp;$B882,{'5) Release_Track'!$F:$F&amp;'5) Release_Track'!$G:$G,'5) Release_Track'!$H:$H},2,0), or(and(not(isblank($B882)),$B882=$B881,$A882&lt;&gt;$A881),and(not(isblank($A882)),$A882=$A881,$B882&lt;&gt;$B881)),"ID LISTS UNALIGNED",and($A882&lt;&gt;"",countif('5) Release_Track'!$F:$F,$A882)=0),"NO ISRC MATCH in Release_Track",and($B882&lt;&gt;"",countif('5) Release_Track'!$G:$G,$B882)=0),"NO CATALOG ID MATCH in Release_Track",iserror(vlookup($A882&amp;$B882,'5) Release_Track'!$F:$F&amp;'5) Release_Track'!$G:$G,1,0)),"NO ISRC-CATALOG ID pair MATCH in Release_Track" )</f>
        <v/>
      </c>
      <c r="D882" s="121" t="str">
        <f t="array" ref="D882">ifs(and(isblank($A882),isblank($B882)),"", not(iserror(vlookup($A882&amp;$B882,'5) Release_Track'!$F:$F&amp;'5) Release_Track'!$G:$G,1,0))),vlookup($A882&amp;$B882,{'5) Release_Track'!$F:$F&amp;'5) Release_Track'!$G:$G,'5) Release_Track'!$I:$I},2,0), or(and(not(isblank($B882)),$B882=$B881,$A882&lt;&gt;$A881),and(not(isblank($A882)),$A882=$A881,$B882&lt;&gt;$B881)),"ID LISTS UNALIGNED",and($A882&lt;&gt;"",countif('5) Release_Track'!$F:$F,$A882)=0),"NO ISRC MATCH in Release_Track",and($B882&lt;&gt;"",countif('5) Release_Track'!$G:$G,$B882)=0),"NO CATALOG ID MATCH in Release_Track",iserror(vlookup($A882&amp;$B882,'5) Release_Track'!$F:$F&amp;'5) Release_Track'!$G:$G,1,0)),"NO ISRC-CATALOG ID pair MATCH in Release_Track" )</f>
        <v/>
      </c>
      <c r="E882" s="142" t="b">
        <v>0</v>
      </c>
      <c r="F882" s="142" t="b">
        <v>0</v>
      </c>
      <c r="G882" s="142" t="b">
        <v>0</v>
      </c>
      <c r="H882" s="142" t="b">
        <v>0</v>
      </c>
      <c r="I882" s="142" t="b">
        <v>0</v>
      </c>
      <c r="J882" s="142" t="b">
        <v>0</v>
      </c>
      <c r="K882" s="142" t="b">
        <v>0</v>
      </c>
      <c r="L882" s="8" t="b">
        <v>0</v>
      </c>
    </row>
    <row r="883">
      <c r="B883" s="103"/>
      <c r="C883" s="121" t="str">
        <f t="array" ref="C883">ifs(and(isblank($A883),isblank($B883)),"", not(iserror(vlookup($A883&amp;$B883,'5) Release_Track'!$F:$F&amp;'5) Release_Track'!$G:$G,1,0))),vlookup($A883&amp;$B883,{'5) Release_Track'!$F:$F&amp;'5) Release_Track'!$G:$G,'5) Release_Track'!$H:$H},2,0), or(and(not(isblank($B883)),$B883=$B882,$A883&lt;&gt;$A882),and(not(isblank($A883)),$A883=$A882,$B883&lt;&gt;$B882)),"ID LISTS UNALIGNED",and($A883&lt;&gt;"",countif('5) Release_Track'!$F:$F,$A883)=0),"NO ISRC MATCH in Release_Track",and($B883&lt;&gt;"",countif('5) Release_Track'!$G:$G,$B883)=0),"NO CATALOG ID MATCH in Release_Track",iserror(vlookup($A883&amp;$B883,'5) Release_Track'!$F:$F&amp;'5) Release_Track'!$G:$G,1,0)),"NO ISRC-CATALOG ID pair MATCH in Release_Track" )</f>
        <v/>
      </c>
      <c r="D883" s="121" t="str">
        <f t="array" ref="D883">ifs(and(isblank($A883),isblank($B883)),"", not(iserror(vlookup($A883&amp;$B883,'5) Release_Track'!$F:$F&amp;'5) Release_Track'!$G:$G,1,0))),vlookup($A883&amp;$B883,{'5) Release_Track'!$F:$F&amp;'5) Release_Track'!$G:$G,'5) Release_Track'!$I:$I},2,0), or(and(not(isblank($B883)),$B883=$B882,$A883&lt;&gt;$A882),and(not(isblank($A883)),$A883=$A882,$B883&lt;&gt;$B882)),"ID LISTS UNALIGNED",and($A883&lt;&gt;"",countif('5) Release_Track'!$F:$F,$A883)=0),"NO ISRC MATCH in Release_Track",and($B883&lt;&gt;"",countif('5) Release_Track'!$G:$G,$B883)=0),"NO CATALOG ID MATCH in Release_Track",iserror(vlookup($A883&amp;$B883,'5) Release_Track'!$F:$F&amp;'5) Release_Track'!$G:$G,1,0)),"NO ISRC-CATALOG ID pair MATCH in Release_Track" )</f>
        <v/>
      </c>
      <c r="E883" s="142" t="b">
        <v>0</v>
      </c>
      <c r="F883" s="142" t="b">
        <v>0</v>
      </c>
      <c r="G883" s="142" t="b">
        <v>0</v>
      </c>
      <c r="H883" s="142" t="b">
        <v>0</v>
      </c>
      <c r="I883" s="142" t="b">
        <v>0</v>
      </c>
      <c r="J883" s="142" t="b">
        <v>0</v>
      </c>
      <c r="K883" s="142" t="b">
        <v>0</v>
      </c>
      <c r="L883" s="8" t="b">
        <v>0</v>
      </c>
    </row>
    <row r="884">
      <c r="B884" s="103"/>
      <c r="C884" s="121" t="str">
        <f t="array" ref="C884">ifs(and(isblank($A884),isblank($B884)),"", not(iserror(vlookup($A884&amp;$B884,'5) Release_Track'!$F:$F&amp;'5) Release_Track'!$G:$G,1,0))),vlookup($A884&amp;$B884,{'5) Release_Track'!$F:$F&amp;'5) Release_Track'!$G:$G,'5) Release_Track'!$H:$H},2,0), or(and(not(isblank($B884)),$B884=$B883,$A884&lt;&gt;$A883),and(not(isblank($A884)),$A884=$A883,$B884&lt;&gt;$B883)),"ID LISTS UNALIGNED",and($A884&lt;&gt;"",countif('5) Release_Track'!$F:$F,$A884)=0),"NO ISRC MATCH in Release_Track",and($B884&lt;&gt;"",countif('5) Release_Track'!$G:$G,$B884)=0),"NO CATALOG ID MATCH in Release_Track",iserror(vlookup($A884&amp;$B884,'5) Release_Track'!$F:$F&amp;'5) Release_Track'!$G:$G,1,0)),"NO ISRC-CATALOG ID pair MATCH in Release_Track" )</f>
        <v/>
      </c>
      <c r="D884" s="121" t="str">
        <f t="array" ref="D884">ifs(and(isblank($A884),isblank($B884)),"", not(iserror(vlookup($A884&amp;$B884,'5) Release_Track'!$F:$F&amp;'5) Release_Track'!$G:$G,1,0))),vlookup($A884&amp;$B884,{'5) Release_Track'!$F:$F&amp;'5) Release_Track'!$G:$G,'5) Release_Track'!$I:$I},2,0), or(and(not(isblank($B884)),$B884=$B883,$A884&lt;&gt;$A883),and(not(isblank($A884)),$A884=$A883,$B884&lt;&gt;$B883)),"ID LISTS UNALIGNED",and($A884&lt;&gt;"",countif('5) Release_Track'!$F:$F,$A884)=0),"NO ISRC MATCH in Release_Track",and($B884&lt;&gt;"",countif('5) Release_Track'!$G:$G,$B884)=0),"NO CATALOG ID MATCH in Release_Track",iserror(vlookup($A884&amp;$B884,'5) Release_Track'!$F:$F&amp;'5) Release_Track'!$G:$G,1,0)),"NO ISRC-CATALOG ID pair MATCH in Release_Track" )</f>
        <v/>
      </c>
      <c r="E884" s="142" t="b">
        <v>0</v>
      </c>
      <c r="F884" s="142" t="b">
        <v>0</v>
      </c>
      <c r="G884" s="142" t="b">
        <v>0</v>
      </c>
      <c r="H884" s="142" t="b">
        <v>0</v>
      </c>
      <c r="I884" s="142" t="b">
        <v>0</v>
      </c>
      <c r="J884" s="142" t="b">
        <v>0</v>
      </c>
      <c r="K884" s="142" t="b">
        <v>0</v>
      </c>
      <c r="L884" s="8" t="b">
        <v>0</v>
      </c>
    </row>
    <row r="885">
      <c r="B885" s="103"/>
      <c r="C885" s="121" t="str">
        <f t="array" ref="C885">ifs(and(isblank($A885),isblank($B885)),"", not(iserror(vlookup($A885&amp;$B885,'5) Release_Track'!$F:$F&amp;'5) Release_Track'!$G:$G,1,0))),vlookup($A885&amp;$B885,{'5) Release_Track'!$F:$F&amp;'5) Release_Track'!$G:$G,'5) Release_Track'!$H:$H},2,0), or(and(not(isblank($B885)),$B885=$B884,$A885&lt;&gt;$A884),and(not(isblank($A885)),$A885=$A884,$B885&lt;&gt;$B884)),"ID LISTS UNALIGNED",and($A885&lt;&gt;"",countif('5) Release_Track'!$F:$F,$A885)=0),"NO ISRC MATCH in Release_Track",and($B885&lt;&gt;"",countif('5) Release_Track'!$G:$G,$B885)=0),"NO CATALOG ID MATCH in Release_Track",iserror(vlookup($A885&amp;$B885,'5) Release_Track'!$F:$F&amp;'5) Release_Track'!$G:$G,1,0)),"NO ISRC-CATALOG ID pair MATCH in Release_Track" )</f>
        <v/>
      </c>
      <c r="D885" s="121" t="str">
        <f t="array" ref="D885">ifs(and(isblank($A885),isblank($B885)),"", not(iserror(vlookup($A885&amp;$B885,'5) Release_Track'!$F:$F&amp;'5) Release_Track'!$G:$G,1,0))),vlookup($A885&amp;$B885,{'5) Release_Track'!$F:$F&amp;'5) Release_Track'!$G:$G,'5) Release_Track'!$I:$I},2,0), or(and(not(isblank($B885)),$B885=$B884,$A885&lt;&gt;$A884),and(not(isblank($A885)),$A885=$A884,$B885&lt;&gt;$B884)),"ID LISTS UNALIGNED",and($A885&lt;&gt;"",countif('5) Release_Track'!$F:$F,$A885)=0),"NO ISRC MATCH in Release_Track",and($B885&lt;&gt;"",countif('5) Release_Track'!$G:$G,$B885)=0),"NO CATALOG ID MATCH in Release_Track",iserror(vlookup($A885&amp;$B885,'5) Release_Track'!$F:$F&amp;'5) Release_Track'!$G:$G,1,0)),"NO ISRC-CATALOG ID pair MATCH in Release_Track" )</f>
        <v/>
      </c>
      <c r="E885" s="142" t="b">
        <v>0</v>
      </c>
      <c r="F885" s="142" t="b">
        <v>0</v>
      </c>
      <c r="G885" s="142" t="b">
        <v>0</v>
      </c>
      <c r="H885" s="142" t="b">
        <v>0</v>
      </c>
      <c r="I885" s="142" t="b">
        <v>0</v>
      </c>
      <c r="J885" s="142" t="b">
        <v>0</v>
      </c>
      <c r="K885" s="142" t="b">
        <v>0</v>
      </c>
      <c r="L885" s="8" t="b">
        <v>0</v>
      </c>
    </row>
    <row r="886">
      <c r="B886" s="103"/>
      <c r="C886" s="121" t="str">
        <f t="array" ref="C886">ifs(and(isblank($A886),isblank($B886)),"", not(iserror(vlookup($A886&amp;$B886,'5) Release_Track'!$F:$F&amp;'5) Release_Track'!$G:$G,1,0))),vlookup($A886&amp;$B886,{'5) Release_Track'!$F:$F&amp;'5) Release_Track'!$G:$G,'5) Release_Track'!$H:$H},2,0), or(and(not(isblank($B886)),$B886=$B885,$A886&lt;&gt;$A885),and(not(isblank($A886)),$A886=$A885,$B886&lt;&gt;$B885)),"ID LISTS UNALIGNED",and($A886&lt;&gt;"",countif('5) Release_Track'!$F:$F,$A886)=0),"NO ISRC MATCH in Release_Track",and($B886&lt;&gt;"",countif('5) Release_Track'!$G:$G,$B886)=0),"NO CATALOG ID MATCH in Release_Track",iserror(vlookup($A886&amp;$B886,'5) Release_Track'!$F:$F&amp;'5) Release_Track'!$G:$G,1,0)),"NO ISRC-CATALOG ID pair MATCH in Release_Track" )</f>
        <v/>
      </c>
      <c r="D886" s="121" t="str">
        <f t="array" ref="D886">ifs(and(isblank($A886),isblank($B886)),"", not(iserror(vlookup($A886&amp;$B886,'5) Release_Track'!$F:$F&amp;'5) Release_Track'!$G:$G,1,0))),vlookup($A886&amp;$B886,{'5) Release_Track'!$F:$F&amp;'5) Release_Track'!$G:$G,'5) Release_Track'!$I:$I},2,0), or(and(not(isblank($B886)),$B886=$B885,$A886&lt;&gt;$A885),and(not(isblank($A886)),$A886=$A885,$B886&lt;&gt;$B885)),"ID LISTS UNALIGNED",and($A886&lt;&gt;"",countif('5) Release_Track'!$F:$F,$A886)=0),"NO ISRC MATCH in Release_Track",and($B886&lt;&gt;"",countif('5) Release_Track'!$G:$G,$B886)=0),"NO CATALOG ID MATCH in Release_Track",iserror(vlookup($A886&amp;$B886,'5) Release_Track'!$F:$F&amp;'5) Release_Track'!$G:$G,1,0)),"NO ISRC-CATALOG ID pair MATCH in Release_Track" )</f>
        <v/>
      </c>
      <c r="E886" s="142" t="b">
        <v>0</v>
      </c>
      <c r="F886" s="142" t="b">
        <v>0</v>
      </c>
      <c r="G886" s="142" t="b">
        <v>0</v>
      </c>
      <c r="H886" s="142" t="b">
        <v>0</v>
      </c>
      <c r="I886" s="142" t="b">
        <v>0</v>
      </c>
      <c r="J886" s="142" t="b">
        <v>0</v>
      </c>
      <c r="K886" s="142" t="b">
        <v>0</v>
      </c>
      <c r="L886" s="8" t="b">
        <v>0</v>
      </c>
    </row>
    <row r="887">
      <c r="B887" s="103"/>
      <c r="C887" s="121" t="str">
        <f t="array" ref="C887">ifs(and(isblank($A887),isblank($B887)),"", not(iserror(vlookup($A887&amp;$B887,'5) Release_Track'!$F:$F&amp;'5) Release_Track'!$G:$G,1,0))),vlookup($A887&amp;$B887,{'5) Release_Track'!$F:$F&amp;'5) Release_Track'!$G:$G,'5) Release_Track'!$H:$H},2,0), or(and(not(isblank($B887)),$B887=$B886,$A887&lt;&gt;$A886),and(not(isblank($A887)),$A887=$A886,$B887&lt;&gt;$B886)),"ID LISTS UNALIGNED",and($A887&lt;&gt;"",countif('5) Release_Track'!$F:$F,$A887)=0),"NO ISRC MATCH in Release_Track",and($B887&lt;&gt;"",countif('5) Release_Track'!$G:$G,$B887)=0),"NO CATALOG ID MATCH in Release_Track",iserror(vlookup($A887&amp;$B887,'5) Release_Track'!$F:$F&amp;'5) Release_Track'!$G:$G,1,0)),"NO ISRC-CATALOG ID pair MATCH in Release_Track" )</f>
        <v/>
      </c>
      <c r="D887" s="121" t="str">
        <f t="array" ref="D887">ifs(and(isblank($A887),isblank($B887)),"", not(iserror(vlookup($A887&amp;$B887,'5) Release_Track'!$F:$F&amp;'5) Release_Track'!$G:$G,1,0))),vlookup($A887&amp;$B887,{'5) Release_Track'!$F:$F&amp;'5) Release_Track'!$G:$G,'5) Release_Track'!$I:$I},2,0), or(and(not(isblank($B887)),$B887=$B886,$A887&lt;&gt;$A886),and(not(isblank($A887)),$A887=$A886,$B887&lt;&gt;$B886)),"ID LISTS UNALIGNED",and($A887&lt;&gt;"",countif('5) Release_Track'!$F:$F,$A887)=0),"NO ISRC MATCH in Release_Track",and($B887&lt;&gt;"",countif('5) Release_Track'!$G:$G,$B887)=0),"NO CATALOG ID MATCH in Release_Track",iserror(vlookup($A887&amp;$B887,'5) Release_Track'!$F:$F&amp;'5) Release_Track'!$G:$G,1,0)),"NO ISRC-CATALOG ID pair MATCH in Release_Track" )</f>
        <v/>
      </c>
      <c r="E887" s="142" t="b">
        <v>0</v>
      </c>
      <c r="F887" s="142" t="b">
        <v>0</v>
      </c>
      <c r="G887" s="142" t="b">
        <v>0</v>
      </c>
      <c r="H887" s="142" t="b">
        <v>0</v>
      </c>
      <c r="I887" s="142" t="b">
        <v>0</v>
      </c>
      <c r="J887" s="142" t="b">
        <v>0</v>
      </c>
      <c r="K887" s="142" t="b">
        <v>0</v>
      </c>
      <c r="L887" s="8" t="b">
        <v>0</v>
      </c>
    </row>
    <row r="888">
      <c r="B888" s="103"/>
      <c r="C888" s="121" t="str">
        <f t="array" ref="C888">ifs(and(isblank($A888),isblank($B888)),"", not(iserror(vlookup($A888&amp;$B888,'5) Release_Track'!$F:$F&amp;'5) Release_Track'!$G:$G,1,0))),vlookup($A888&amp;$B888,{'5) Release_Track'!$F:$F&amp;'5) Release_Track'!$G:$G,'5) Release_Track'!$H:$H},2,0), or(and(not(isblank($B888)),$B888=$B887,$A888&lt;&gt;$A887),and(not(isblank($A888)),$A888=$A887,$B888&lt;&gt;$B887)),"ID LISTS UNALIGNED",and($A888&lt;&gt;"",countif('5) Release_Track'!$F:$F,$A888)=0),"NO ISRC MATCH in Release_Track",and($B888&lt;&gt;"",countif('5) Release_Track'!$G:$G,$B888)=0),"NO CATALOG ID MATCH in Release_Track",iserror(vlookup($A888&amp;$B888,'5) Release_Track'!$F:$F&amp;'5) Release_Track'!$G:$G,1,0)),"NO ISRC-CATALOG ID pair MATCH in Release_Track" )</f>
        <v/>
      </c>
      <c r="D888" s="121" t="str">
        <f t="array" ref="D888">ifs(and(isblank($A888),isblank($B888)),"", not(iserror(vlookup($A888&amp;$B888,'5) Release_Track'!$F:$F&amp;'5) Release_Track'!$G:$G,1,0))),vlookup($A888&amp;$B888,{'5) Release_Track'!$F:$F&amp;'5) Release_Track'!$G:$G,'5) Release_Track'!$I:$I},2,0), or(and(not(isblank($B888)),$B888=$B887,$A888&lt;&gt;$A887),and(not(isblank($A888)),$A888=$A887,$B888&lt;&gt;$B887)),"ID LISTS UNALIGNED",and($A888&lt;&gt;"",countif('5) Release_Track'!$F:$F,$A888)=0),"NO ISRC MATCH in Release_Track",and($B888&lt;&gt;"",countif('5) Release_Track'!$G:$G,$B888)=0),"NO CATALOG ID MATCH in Release_Track",iserror(vlookup($A888&amp;$B888,'5) Release_Track'!$F:$F&amp;'5) Release_Track'!$G:$G,1,0)),"NO ISRC-CATALOG ID pair MATCH in Release_Track" )</f>
        <v/>
      </c>
      <c r="E888" s="142" t="b">
        <v>0</v>
      </c>
      <c r="F888" s="142" t="b">
        <v>0</v>
      </c>
      <c r="G888" s="142" t="b">
        <v>0</v>
      </c>
      <c r="H888" s="142" t="b">
        <v>0</v>
      </c>
      <c r="I888" s="142" t="b">
        <v>0</v>
      </c>
      <c r="J888" s="142" t="b">
        <v>0</v>
      </c>
      <c r="K888" s="142" t="b">
        <v>0</v>
      </c>
      <c r="L888" s="8" t="b">
        <v>0</v>
      </c>
    </row>
    <row r="889">
      <c r="B889" s="103"/>
      <c r="C889" s="121" t="str">
        <f t="array" ref="C889">ifs(and(isblank($A889),isblank($B889)),"", not(iserror(vlookup($A889&amp;$B889,'5) Release_Track'!$F:$F&amp;'5) Release_Track'!$G:$G,1,0))),vlookup($A889&amp;$B889,{'5) Release_Track'!$F:$F&amp;'5) Release_Track'!$G:$G,'5) Release_Track'!$H:$H},2,0), or(and(not(isblank($B889)),$B889=$B888,$A889&lt;&gt;$A888),and(not(isblank($A889)),$A889=$A888,$B889&lt;&gt;$B888)),"ID LISTS UNALIGNED",and($A889&lt;&gt;"",countif('5) Release_Track'!$F:$F,$A889)=0),"NO ISRC MATCH in Release_Track",and($B889&lt;&gt;"",countif('5) Release_Track'!$G:$G,$B889)=0),"NO CATALOG ID MATCH in Release_Track",iserror(vlookup($A889&amp;$B889,'5) Release_Track'!$F:$F&amp;'5) Release_Track'!$G:$G,1,0)),"NO ISRC-CATALOG ID pair MATCH in Release_Track" )</f>
        <v/>
      </c>
      <c r="D889" s="121" t="str">
        <f t="array" ref="D889">ifs(and(isblank($A889),isblank($B889)),"", not(iserror(vlookup($A889&amp;$B889,'5) Release_Track'!$F:$F&amp;'5) Release_Track'!$G:$G,1,0))),vlookup($A889&amp;$B889,{'5) Release_Track'!$F:$F&amp;'5) Release_Track'!$G:$G,'5) Release_Track'!$I:$I},2,0), or(and(not(isblank($B889)),$B889=$B888,$A889&lt;&gt;$A888),and(not(isblank($A889)),$A889=$A888,$B889&lt;&gt;$B888)),"ID LISTS UNALIGNED",and($A889&lt;&gt;"",countif('5) Release_Track'!$F:$F,$A889)=0),"NO ISRC MATCH in Release_Track",and($B889&lt;&gt;"",countif('5) Release_Track'!$G:$G,$B889)=0),"NO CATALOG ID MATCH in Release_Track",iserror(vlookup($A889&amp;$B889,'5) Release_Track'!$F:$F&amp;'5) Release_Track'!$G:$G,1,0)),"NO ISRC-CATALOG ID pair MATCH in Release_Track" )</f>
        <v/>
      </c>
      <c r="E889" s="142" t="b">
        <v>0</v>
      </c>
      <c r="F889" s="142" t="b">
        <v>0</v>
      </c>
      <c r="G889" s="142" t="b">
        <v>0</v>
      </c>
      <c r="H889" s="142" t="b">
        <v>0</v>
      </c>
      <c r="I889" s="142" t="b">
        <v>0</v>
      </c>
      <c r="J889" s="142" t="b">
        <v>0</v>
      </c>
      <c r="K889" s="142" t="b">
        <v>0</v>
      </c>
      <c r="L889" s="8" t="b">
        <v>0</v>
      </c>
    </row>
    <row r="890">
      <c r="B890" s="103"/>
      <c r="C890" s="121" t="str">
        <f t="array" ref="C890">ifs(and(isblank($A890),isblank($B890)),"", not(iserror(vlookup($A890&amp;$B890,'5) Release_Track'!$F:$F&amp;'5) Release_Track'!$G:$G,1,0))),vlookup($A890&amp;$B890,{'5) Release_Track'!$F:$F&amp;'5) Release_Track'!$G:$G,'5) Release_Track'!$H:$H},2,0), or(and(not(isblank($B890)),$B890=$B889,$A890&lt;&gt;$A889),and(not(isblank($A890)),$A890=$A889,$B890&lt;&gt;$B889)),"ID LISTS UNALIGNED",and($A890&lt;&gt;"",countif('5) Release_Track'!$F:$F,$A890)=0),"NO ISRC MATCH in Release_Track",and($B890&lt;&gt;"",countif('5) Release_Track'!$G:$G,$B890)=0),"NO CATALOG ID MATCH in Release_Track",iserror(vlookup($A890&amp;$B890,'5) Release_Track'!$F:$F&amp;'5) Release_Track'!$G:$G,1,0)),"NO ISRC-CATALOG ID pair MATCH in Release_Track" )</f>
        <v/>
      </c>
      <c r="D890" s="121" t="str">
        <f t="array" ref="D890">ifs(and(isblank($A890),isblank($B890)),"", not(iserror(vlookup($A890&amp;$B890,'5) Release_Track'!$F:$F&amp;'5) Release_Track'!$G:$G,1,0))),vlookup($A890&amp;$B890,{'5) Release_Track'!$F:$F&amp;'5) Release_Track'!$G:$G,'5) Release_Track'!$I:$I},2,0), or(and(not(isblank($B890)),$B890=$B889,$A890&lt;&gt;$A889),and(not(isblank($A890)),$A890=$A889,$B890&lt;&gt;$B889)),"ID LISTS UNALIGNED",and($A890&lt;&gt;"",countif('5) Release_Track'!$F:$F,$A890)=0),"NO ISRC MATCH in Release_Track",and($B890&lt;&gt;"",countif('5) Release_Track'!$G:$G,$B890)=0),"NO CATALOG ID MATCH in Release_Track",iserror(vlookup($A890&amp;$B890,'5) Release_Track'!$F:$F&amp;'5) Release_Track'!$G:$G,1,0)),"NO ISRC-CATALOG ID pair MATCH in Release_Track" )</f>
        <v/>
      </c>
      <c r="E890" s="142" t="b">
        <v>0</v>
      </c>
      <c r="F890" s="142" t="b">
        <v>0</v>
      </c>
      <c r="G890" s="142" t="b">
        <v>0</v>
      </c>
      <c r="H890" s="142" t="b">
        <v>0</v>
      </c>
      <c r="I890" s="142" t="b">
        <v>0</v>
      </c>
      <c r="J890" s="142" t="b">
        <v>0</v>
      </c>
      <c r="K890" s="142" t="b">
        <v>0</v>
      </c>
      <c r="L890" s="8" t="b">
        <v>0</v>
      </c>
    </row>
    <row r="891">
      <c r="B891" s="103"/>
      <c r="C891" s="121" t="str">
        <f t="array" ref="C891">ifs(and(isblank($A891),isblank($B891)),"", not(iserror(vlookup($A891&amp;$B891,'5) Release_Track'!$F:$F&amp;'5) Release_Track'!$G:$G,1,0))),vlookup($A891&amp;$B891,{'5) Release_Track'!$F:$F&amp;'5) Release_Track'!$G:$G,'5) Release_Track'!$H:$H},2,0), or(and(not(isblank($B891)),$B891=$B890,$A891&lt;&gt;$A890),and(not(isblank($A891)),$A891=$A890,$B891&lt;&gt;$B890)),"ID LISTS UNALIGNED",and($A891&lt;&gt;"",countif('5) Release_Track'!$F:$F,$A891)=0),"NO ISRC MATCH in Release_Track",and($B891&lt;&gt;"",countif('5) Release_Track'!$G:$G,$B891)=0),"NO CATALOG ID MATCH in Release_Track",iserror(vlookup($A891&amp;$B891,'5) Release_Track'!$F:$F&amp;'5) Release_Track'!$G:$G,1,0)),"NO ISRC-CATALOG ID pair MATCH in Release_Track" )</f>
        <v/>
      </c>
      <c r="D891" s="121" t="str">
        <f t="array" ref="D891">ifs(and(isblank($A891),isblank($B891)),"", not(iserror(vlookup($A891&amp;$B891,'5) Release_Track'!$F:$F&amp;'5) Release_Track'!$G:$G,1,0))),vlookup($A891&amp;$B891,{'5) Release_Track'!$F:$F&amp;'5) Release_Track'!$G:$G,'5) Release_Track'!$I:$I},2,0), or(and(not(isblank($B891)),$B891=$B890,$A891&lt;&gt;$A890),and(not(isblank($A891)),$A891=$A890,$B891&lt;&gt;$B890)),"ID LISTS UNALIGNED",and($A891&lt;&gt;"",countif('5) Release_Track'!$F:$F,$A891)=0),"NO ISRC MATCH in Release_Track",and($B891&lt;&gt;"",countif('5) Release_Track'!$G:$G,$B891)=0),"NO CATALOG ID MATCH in Release_Track",iserror(vlookup($A891&amp;$B891,'5) Release_Track'!$F:$F&amp;'5) Release_Track'!$G:$G,1,0)),"NO ISRC-CATALOG ID pair MATCH in Release_Track" )</f>
        <v/>
      </c>
      <c r="E891" s="142" t="b">
        <v>0</v>
      </c>
      <c r="F891" s="142" t="b">
        <v>0</v>
      </c>
      <c r="G891" s="142" t="b">
        <v>0</v>
      </c>
      <c r="H891" s="142" t="b">
        <v>0</v>
      </c>
      <c r="I891" s="142" t="b">
        <v>0</v>
      </c>
      <c r="J891" s="142" t="b">
        <v>0</v>
      </c>
      <c r="K891" s="142" t="b">
        <v>0</v>
      </c>
      <c r="L891" s="8" t="b">
        <v>0</v>
      </c>
    </row>
    <row r="892">
      <c r="B892" s="103"/>
      <c r="C892" s="121" t="str">
        <f t="array" ref="C892">ifs(and(isblank($A892),isblank($B892)),"", not(iserror(vlookup($A892&amp;$B892,'5) Release_Track'!$F:$F&amp;'5) Release_Track'!$G:$G,1,0))),vlookup($A892&amp;$B892,{'5) Release_Track'!$F:$F&amp;'5) Release_Track'!$G:$G,'5) Release_Track'!$H:$H},2,0), or(and(not(isblank($B892)),$B892=$B891,$A892&lt;&gt;$A891),and(not(isblank($A892)),$A892=$A891,$B892&lt;&gt;$B891)),"ID LISTS UNALIGNED",and($A892&lt;&gt;"",countif('5) Release_Track'!$F:$F,$A892)=0),"NO ISRC MATCH in Release_Track",and($B892&lt;&gt;"",countif('5) Release_Track'!$G:$G,$B892)=0),"NO CATALOG ID MATCH in Release_Track",iserror(vlookup($A892&amp;$B892,'5) Release_Track'!$F:$F&amp;'5) Release_Track'!$G:$G,1,0)),"NO ISRC-CATALOG ID pair MATCH in Release_Track" )</f>
        <v/>
      </c>
      <c r="D892" s="121" t="str">
        <f t="array" ref="D892">ifs(and(isblank($A892),isblank($B892)),"", not(iserror(vlookup($A892&amp;$B892,'5) Release_Track'!$F:$F&amp;'5) Release_Track'!$G:$G,1,0))),vlookup($A892&amp;$B892,{'5) Release_Track'!$F:$F&amp;'5) Release_Track'!$G:$G,'5) Release_Track'!$I:$I},2,0), or(and(not(isblank($B892)),$B892=$B891,$A892&lt;&gt;$A891),and(not(isblank($A892)),$A892=$A891,$B892&lt;&gt;$B891)),"ID LISTS UNALIGNED",and($A892&lt;&gt;"",countif('5) Release_Track'!$F:$F,$A892)=0),"NO ISRC MATCH in Release_Track",and($B892&lt;&gt;"",countif('5) Release_Track'!$G:$G,$B892)=0),"NO CATALOG ID MATCH in Release_Track",iserror(vlookup($A892&amp;$B892,'5) Release_Track'!$F:$F&amp;'5) Release_Track'!$G:$G,1,0)),"NO ISRC-CATALOG ID pair MATCH in Release_Track" )</f>
        <v/>
      </c>
      <c r="E892" s="142" t="b">
        <v>0</v>
      </c>
      <c r="F892" s="142" t="b">
        <v>0</v>
      </c>
      <c r="G892" s="142" t="b">
        <v>0</v>
      </c>
      <c r="H892" s="142" t="b">
        <v>0</v>
      </c>
      <c r="I892" s="142" t="b">
        <v>0</v>
      </c>
      <c r="J892" s="142" t="b">
        <v>0</v>
      </c>
      <c r="K892" s="142" t="b">
        <v>0</v>
      </c>
      <c r="L892" s="8" t="b">
        <v>0</v>
      </c>
    </row>
    <row r="893">
      <c r="B893" s="103"/>
      <c r="C893" s="121" t="str">
        <f t="array" ref="C893">ifs(and(isblank($A893),isblank($B893)),"", not(iserror(vlookup($A893&amp;$B893,'5) Release_Track'!$F:$F&amp;'5) Release_Track'!$G:$G,1,0))),vlookup($A893&amp;$B893,{'5) Release_Track'!$F:$F&amp;'5) Release_Track'!$G:$G,'5) Release_Track'!$H:$H},2,0), or(and(not(isblank($B893)),$B893=$B892,$A893&lt;&gt;$A892),and(not(isblank($A893)),$A893=$A892,$B893&lt;&gt;$B892)),"ID LISTS UNALIGNED",and($A893&lt;&gt;"",countif('5) Release_Track'!$F:$F,$A893)=0),"NO ISRC MATCH in Release_Track",and($B893&lt;&gt;"",countif('5) Release_Track'!$G:$G,$B893)=0),"NO CATALOG ID MATCH in Release_Track",iserror(vlookup($A893&amp;$B893,'5) Release_Track'!$F:$F&amp;'5) Release_Track'!$G:$G,1,0)),"NO ISRC-CATALOG ID pair MATCH in Release_Track" )</f>
        <v/>
      </c>
      <c r="D893" s="121" t="str">
        <f t="array" ref="D893">ifs(and(isblank($A893),isblank($B893)),"", not(iserror(vlookup($A893&amp;$B893,'5) Release_Track'!$F:$F&amp;'5) Release_Track'!$G:$G,1,0))),vlookup($A893&amp;$B893,{'5) Release_Track'!$F:$F&amp;'5) Release_Track'!$G:$G,'5) Release_Track'!$I:$I},2,0), or(and(not(isblank($B893)),$B893=$B892,$A893&lt;&gt;$A892),and(not(isblank($A893)),$A893=$A892,$B893&lt;&gt;$B892)),"ID LISTS UNALIGNED",and($A893&lt;&gt;"",countif('5) Release_Track'!$F:$F,$A893)=0),"NO ISRC MATCH in Release_Track",and($B893&lt;&gt;"",countif('5) Release_Track'!$G:$G,$B893)=0),"NO CATALOG ID MATCH in Release_Track",iserror(vlookup($A893&amp;$B893,'5) Release_Track'!$F:$F&amp;'5) Release_Track'!$G:$G,1,0)),"NO ISRC-CATALOG ID pair MATCH in Release_Track" )</f>
        <v/>
      </c>
      <c r="E893" s="142" t="b">
        <v>0</v>
      </c>
      <c r="F893" s="142" t="b">
        <v>0</v>
      </c>
      <c r="G893" s="142" t="b">
        <v>0</v>
      </c>
      <c r="H893" s="142" t="b">
        <v>0</v>
      </c>
      <c r="I893" s="142" t="b">
        <v>0</v>
      </c>
      <c r="J893" s="142" t="b">
        <v>0</v>
      </c>
      <c r="K893" s="142" t="b">
        <v>0</v>
      </c>
      <c r="L893" s="8" t="b">
        <v>0</v>
      </c>
    </row>
    <row r="894">
      <c r="B894" s="103"/>
      <c r="C894" s="121" t="str">
        <f t="array" ref="C894">ifs(and(isblank($A894),isblank($B894)),"", not(iserror(vlookup($A894&amp;$B894,'5) Release_Track'!$F:$F&amp;'5) Release_Track'!$G:$G,1,0))),vlookup($A894&amp;$B894,{'5) Release_Track'!$F:$F&amp;'5) Release_Track'!$G:$G,'5) Release_Track'!$H:$H},2,0), or(and(not(isblank($B894)),$B894=$B893,$A894&lt;&gt;$A893),and(not(isblank($A894)),$A894=$A893,$B894&lt;&gt;$B893)),"ID LISTS UNALIGNED",and($A894&lt;&gt;"",countif('5) Release_Track'!$F:$F,$A894)=0),"NO ISRC MATCH in Release_Track",and($B894&lt;&gt;"",countif('5) Release_Track'!$G:$G,$B894)=0),"NO CATALOG ID MATCH in Release_Track",iserror(vlookup($A894&amp;$B894,'5) Release_Track'!$F:$F&amp;'5) Release_Track'!$G:$G,1,0)),"NO ISRC-CATALOG ID pair MATCH in Release_Track" )</f>
        <v/>
      </c>
      <c r="D894" s="121" t="str">
        <f t="array" ref="D894">ifs(and(isblank($A894),isblank($B894)),"", not(iserror(vlookup($A894&amp;$B894,'5) Release_Track'!$F:$F&amp;'5) Release_Track'!$G:$G,1,0))),vlookup($A894&amp;$B894,{'5) Release_Track'!$F:$F&amp;'5) Release_Track'!$G:$G,'5) Release_Track'!$I:$I},2,0), or(and(not(isblank($B894)),$B894=$B893,$A894&lt;&gt;$A893),and(not(isblank($A894)),$A894=$A893,$B894&lt;&gt;$B893)),"ID LISTS UNALIGNED",and($A894&lt;&gt;"",countif('5) Release_Track'!$F:$F,$A894)=0),"NO ISRC MATCH in Release_Track",and($B894&lt;&gt;"",countif('5) Release_Track'!$G:$G,$B894)=0),"NO CATALOG ID MATCH in Release_Track",iserror(vlookup($A894&amp;$B894,'5) Release_Track'!$F:$F&amp;'5) Release_Track'!$G:$G,1,0)),"NO ISRC-CATALOG ID pair MATCH in Release_Track" )</f>
        <v/>
      </c>
      <c r="E894" s="142" t="b">
        <v>0</v>
      </c>
      <c r="F894" s="142" t="b">
        <v>0</v>
      </c>
      <c r="G894" s="142" t="b">
        <v>0</v>
      </c>
      <c r="H894" s="142" t="b">
        <v>0</v>
      </c>
      <c r="I894" s="142" t="b">
        <v>0</v>
      </c>
      <c r="J894" s="142" t="b">
        <v>0</v>
      </c>
      <c r="K894" s="142" t="b">
        <v>0</v>
      </c>
      <c r="L894" s="8" t="b">
        <v>0</v>
      </c>
    </row>
    <row r="895">
      <c r="B895" s="103"/>
      <c r="C895" s="121" t="str">
        <f t="array" ref="C895">ifs(and(isblank($A895),isblank($B895)),"", not(iserror(vlookup($A895&amp;$B895,'5) Release_Track'!$F:$F&amp;'5) Release_Track'!$G:$G,1,0))),vlookup($A895&amp;$B895,{'5) Release_Track'!$F:$F&amp;'5) Release_Track'!$G:$G,'5) Release_Track'!$H:$H},2,0), or(and(not(isblank($B895)),$B895=$B894,$A895&lt;&gt;$A894),and(not(isblank($A895)),$A895=$A894,$B895&lt;&gt;$B894)),"ID LISTS UNALIGNED",and($A895&lt;&gt;"",countif('5) Release_Track'!$F:$F,$A895)=0),"NO ISRC MATCH in Release_Track",and($B895&lt;&gt;"",countif('5) Release_Track'!$G:$G,$B895)=0),"NO CATALOG ID MATCH in Release_Track",iserror(vlookup($A895&amp;$B895,'5) Release_Track'!$F:$F&amp;'5) Release_Track'!$G:$G,1,0)),"NO ISRC-CATALOG ID pair MATCH in Release_Track" )</f>
        <v/>
      </c>
      <c r="D895" s="121" t="str">
        <f t="array" ref="D895">ifs(and(isblank($A895),isblank($B895)),"", not(iserror(vlookup($A895&amp;$B895,'5) Release_Track'!$F:$F&amp;'5) Release_Track'!$G:$G,1,0))),vlookup($A895&amp;$B895,{'5) Release_Track'!$F:$F&amp;'5) Release_Track'!$G:$G,'5) Release_Track'!$I:$I},2,0), or(and(not(isblank($B895)),$B895=$B894,$A895&lt;&gt;$A894),and(not(isblank($A895)),$A895=$A894,$B895&lt;&gt;$B894)),"ID LISTS UNALIGNED",and($A895&lt;&gt;"",countif('5) Release_Track'!$F:$F,$A895)=0),"NO ISRC MATCH in Release_Track",and($B895&lt;&gt;"",countif('5) Release_Track'!$G:$G,$B895)=0),"NO CATALOG ID MATCH in Release_Track",iserror(vlookup($A895&amp;$B895,'5) Release_Track'!$F:$F&amp;'5) Release_Track'!$G:$G,1,0)),"NO ISRC-CATALOG ID pair MATCH in Release_Track" )</f>
        <v/>
      </c>
      <c r="E895" s="142" t="b">
        <v>0</v>
      </c>
      <c r="F895" s="142" t="b">
        <v>0</v>
      </c>
      <c r="G895" s="142" t="b">
        <v>0</v>
      </c>
      <c r="H895" s="142" t="b">
        <v>0</v>
      </c>
      <c r="I895" s="142" t="b">
        <v>0</v>
      </c>
      <c r="J895" s="142" t="b">
        <v>0</v>
      </c>
      <c r="K895" s="142" t="b">
        <v>0</v>
      </c>
      <c r="L895" s="8" t="b">
        <v>0</v>
      </c>
    </row>
    <row r="896">
      <c r="B896" s="103"/>
      <c r="C896" s="121" t="str">
        <f t="array" ref="C896">ifs(and(isblank($A896),isblank($B896)),"", not(iserror(vlookup($A896&amp;$B896,'5) Release_Track'!$F:$F&amp;'5) Release_Track'!$G:$G,1,0))),vlookup($A896&amp;$B896,{'5) Release_Track'!$F:$F&amp;'5) Release_Track'!$G:$G,'5) Release_Track'!$H:$H},2,0), or(and(not(isblank($B896)),$B896=$B895,$A896&lt;&gt;$A895),and(not(isblank($A896)),$A896=$A895,$B896&lt;&gt;$B895)),"ID LISTS UNALIGNED",and($A896&lt;&gt;"",countif('5) Release_Track'!$F:$F,$A896)=0),"NO ISRC MATCH in Release_Track",and($B896&lt;&gt;"",countif('5) Release_Track'!$G:$G,$B896)=0),"NO CATALOG ID MATCH in Release_Track",iserror(vlookup($A896&amp;$B896,'5) Release_Track'!$F:$F&amp;'5) Release_Track'!$G:$G,1,0)),"NO ISRC-CATALOG ID pair MATCH in Release_Track" )</f>
        <v/>
      </c>
      <c r="D896" s="121" t="str">
        <f t="array" ref="D896">ifs(and(isblank($A896),isblank($B896)),"", not(iserror(vlookup($A896&amp;$B896,'5) Release_Track'!$F:$F&amp;'5) Release_Track'!$G:$G,1,0))),vlookup($A896&amp;$B896,{'5) Release_Track'!$F:$F&amp;'5) Release_Track'!$G:$G,'5) Release_Track'!$I:$I},2,0), or(and(not(isblank($B896)),$B896=$B895,$A896&lt;&gt;$A895),and(not(isblank($A896)),$A896=$A895,$B896&lt;&gt;$B895)),"ID LISTS UNALIGNED",and($A896&lt;&gt;"",countif('5) Release_Track'!$F:$F,$A896)=0),"NO ISRC MATCH in Release_Track",and($B896&lt;&gt;"",countif('5) Release_Track'!$G:$G,$B896)=0),"NO CATALOG ID MATCH in Release_Track",iserror(vlookup($A896&amp;$B896,'5) Release_Track'!$F:$F&amp;'5) Release_Track'!$G:$G,1,0)),"NO ISRC-CATALOG ID pair MATCH in Release_Track" )</f>
        <v/>
      </c>
      <c r="E896" s="142" t="b">
        <v>0</v>
      </c>
      <c r="F896" s="142" t="b">
        <v>0</v>
      </c>
      <c r="G896" s="142" t="b">
        <v>0</v>
      </c>
      <c r="H896" s="142" t="b">
        <v>0</v>
      </c>
      <c r="I896" s="142" t="b">
        <v>0</v>
      </c>
      <c r="J896" s="142" t="b">
        <v>0</v>
      </c>
      <c r="K896" s="142" t="b">
        <v>0</v>
      </c>
      <c r="L896" s="8" t="b">
        <v>0</v>
      </c>
    </row>
    <row r="897">
      <c r="B897" s="103"/>
      <c r="C897" s="121" t="str">
        <f t="array" ref="C897">ifs(and(isblank($A897),isblank($B897)),"", not(iserror(vlookup($A897&amp;$B897,'5) Release_Track'!$F:$F&amp;'5) Release_Track'!$G:$G,1,0))),vlookup($A897&amp;$B897,{'5) Release_Track'!$F:$F&amp;'5) Release_Track'!$G:$G,'5) Release_Track'!$H:$H},2,0), or(and(not(isblank($B897)),$B897=$B896,$A897&lt;&gt;$A896),and(not(isblank($A897)),$A897=$A896,$B897&lt;&gt;$B896)),"ID LISTS UNALIGNED",and($A897&lt;&gt;"",countif('5) Release_Track'!$F:$F,$A897)=0),"NO ISRC MATCH in Release_Track",and($B897&lt;&gt;"",countif('5) Release_Track'!$G:$G,$B897)=0),"NO CATALOG ID MATCH in Release_Track",iserror(vlookup($A897&amp;$B897,'5) Release_Track'!$F:$F&amp;'5) Release_Track'!$G:$G,1,0)),"NO ISRC-CATALOG ID pair MATCH in Release_Track" )</f>
        <v/>
      </c>
      <c r="D897" s="121" t="str">
        <f t="array" ref="D897">ifs(and(isblank($A897),isblank($B897)),"", not(iserror(vlookup($A897&amp;$B897,'5) Release_Track'!$F:$F&amp;'5) Release_Track'!$G:$G,1,0))),vlookup($A897&amp;$B897,{'5) Release_Track'!$F:$F&amp;'5) Release_Track'!$G:$G,'5) Release_Track'!$I:$I},2,0), or(and(not(isblank($B897)),$B897=$B896,$A897&lt;&gt;$A896),and(not(isblank($A897)),$A897=$A896,$B897&lt;&gt;$B896)),"ID LISTS UNALIGNED",and($A897&lt;&gt;"",countif('5) Release_Track'!$F:$F,$A897)=0),"NO ISRC MATCH in Release_Track",and($B897&lt;&gt;"",countif('5) Release_Track'!$G:$G,$B897)=0),"NO CATALOG ID MATCH in Release_Track",iserror(vlookup($A897&amp;$B897,'5) Release_Track'!$F:$F&amp;'5) Release_Track'!$G:$G,1,0)),"NO ISRC-CATALOG ID pair MATCH in Release_Track" )</f>
        <v/>
      </c>
      <c r="E897" s="142" t="b">
        <v>0</v>
      </c>
      <c r="F897" s="142" t="b">
        <v>0</v>
      </c>
      <c r="G897" s="142" t="b">
        <v>0</v>
      </c>
      <c r="H897" s="142" t="b">
        <v>0</v>
      </c>
      <c r="I897" s="142" t="b">
        <v>0</v>
      </c>
      <c r="J897" s="142" t="b">
        <v>0</v>
      </c>
      <c r="K897" s="142" t="b">
        <v>0</v>
      </c>
      <c r="L897" s="8" t="b">
        <v>0</v>
      </c>
    </row>
    <row r="898">
      <c r="B898" s="103"/>
      <c r="C898" s="121" t="str">
        <f t="array" ref="C898">ifs(and(isblank($A898),isblank($B898)),"", not(iserror(vlookup($A898&amp;$B898,'5) Release_Track'!$F:$F&amp;'5) Release_Track'!$G:$G,1,0))),vlookup($A898&amp;$B898,{'5) Release_Track'!$F:$F&amp;'5) Release_Track'!$G:$G,'5) Release_Track'!$H:$H},2,0), or(and(not(isblank($B898)),$B898=$B897,$A898&lt;&gt;$A897),and(not(isblank($A898)),$A898=$A897,$B898&lt;&gt;$B897)),"ID LISTS UNALIGNED",and($A898&lt;&gt;"",countif('5) Release_Track'!$F:$F,$A898)=0),"NO ISRC MATCH in Release_Track",and($B898&lt;&gt;"",countif('5) Release_Track'!$G:$G,$B898)=0),"NO CATALOG ID MATCH in Release_Track",iserror(vlookup($A898&amp;$B898,'5) Release_Track'!$F:$F&amp;'5) Release_Track'!$G:$G,1,0)),"NO ISRC-CATALOG ID pair MATCH in Release_Track" )</f>
        <v/>
      </c>
      <c r="D898" s="121" t="str">
        <f t="array" ref="D898">ifs(and(isblank($A898),isblank($B898)),"", not(iserror(vlookup($A898&amp;$B898,'5) Release_Track'!$F:$F&amp;'5) Release_Track'!$G:$G,1,0))),vlookup($A898&amp;$B898,{'5) Release_Track'!$F:$F&amp;'5) Release_Track'!$G:$G,'5) Release_Track'!$I:$I},2,0), or(and(not(isblank($B898)),$B898=$B897,$A898&lt;&gt;$A897),and(not(isblank($A898)),$A898=$A897,$B898&lt;&gt;$B897)),"ID LISTS UNALIGNED",and($A898&lt;&gt;"",countif('5) Release_Track'!$F:$F,$A898)=0),"NO ISRC MATCH in Release_Track",and($B898&lt;&gt;"",countif('5) Release_Track'!$G:$G,$B898)=0),"NO CATALOG ID MATCH in Release_Track",iserror(vlookup($A898&amp;$B898,'5) Release_Track'!$F:$F&amp;'5) Release_Track'!$G:$G,1,0)),"NO ISRC-CATALOG ID pair MATCH in Release_Track" )</f>
        <v/>
      </c>
      <c r="E898" s="142" t="b">
        <v>0</v>
      </c>
      <c r="F898" s="142" t="b">
        <v>0</v>
      </c>
      <c r="G898" s="142" t="b">
        <v>0</v>
      </c>
      <c r="H898" s="142" t="b">
        <v>0</v>
      </c>
      <c r="I898" s="142" t="b">
        <v>0</v>
      </c>
      <c r="J898" s="142" t="b">
        <v>0</v>
      </c>
      <c r="K898" s="142" t="b">
        <v>0</v>
      </c>
      <c r="L898" s="8" t="b">
        <v>0</v>
      </c>
    </row>
    <row r="899">
      <c r="B899" s="103"/>
      <c r="C899" s="121" t="str">
        <f t="array" ref="C899">ifs(and(isblank($A899),isblank($B899)),"", not(iserror(vlookup($A899&amp;$B899,'5) Release_Track'!$F:$F&amp;'5) Release_Track'!$G:$G,1,0))),vlookup($A899&amp;$B899,{'5) Release_Track'!$F:$F&amp;'5) Release_Track'!$G:$G,'5) Release_Track'!$H:$H},2,0), or(and(not(isblank($B899)),$B899=$B898,$A899&lt;&gt;$A898),and(not(isblank($A899)),$A899=$A898,$B899&lt;&gt;$B898)),"ID LISTS UNALIGNED",and($A899&lt;&gt;"",countif('5) Release_Track'!$F:$F,$A899)=0),"NO ISRC MATCH in Release_Track",and($B899&lt;&gt;"",countif('5) Release_Track'!$G:$G,$B899)=0),"NO CATALOG ID MATCH in Release_Track",iserror(vlookup($A899&amp;$B899,'5) Release_Track'!$F:$F&amp;'5) Release_Track'!$G:$G,1,0)),"NO ISRC-CATALOG ID pair MATCH in Release_Track" )</f>
        <v/>
      </c>
      <c r="D899" s="121" t="str">
        <f t="array" ref="D899">ifs(and(isblank($A899),isblank($B899)),"", not(iserror(vlookup($A899&amp;$B899,'5) Release_Track'!$F:$F&amp;'5) Release_Track'!$G:$G,1,0))),vlookup($A899&amp;$B899,{'5) Release_Track'!$F:$F&amp;'5) Release_Track'!$G:$G,'5) Release_Track'!$I:$I},2,0), or(and(not(isblank($B899)),$B899=$B898,$A899&lt;&gt;$A898),and(not(isblank($A899)),$A899=$A898,$B899&lt;&gt;$B898)),"ID LISTS UNALIGNED",and($A899&lt;&gt;"",countif('5) Release_Track'!$F:$F,$A899)=0),"NO ISRC MATCH in Release_Track",and($B899&lt;&gt;"",countif('5) Release_Track'!$G:$G,$B899)=0),"NO CATALOG ID MATCH in Release_Track",iserror(vlookup($A899&amp;$B899,'5) Release_Track'!$F:$F&amp;'5) Release_Track'!$G:$G,1,0)),"NO ISRC-CATALOG ID pair MATCH in Release_Track" )</f>
        <v/>
      </c>
      <c r="E899" s="142" t="b">
        <v>0</v>
      </c>
      <c r="F899" s="142" t="b">
        <v>0</v>
      </c>
      <c r="G899" s="142" t="b">
        <v>0</v>
      </c>
      <c r="H899" s="142" t="b">
        <v>0</v>
      </c>
      <c r="I899" s="142" t="b">
        <v>0</v>
      </c>
      <c r="J899" s="142" t="b">
        <v>0</v>
      </c>
      <c r="K899" s="142" t="b">
        <v>0</v>
      </c>
      <c r="L899" s="8" t="b">
        <v>0</v>
      </c>
    </row>
    <row r="900">
      <c r="B900" s="103"/>
      <c r="C900" s="121" t="str">
        <f t="array" ref="C900">ifs(and(isblank($A900),isblank($B900)),"", not(iserror(vlookup($A900&amp;$B900,'5) Release_Track'!$F:$F&amp;'5) Release_Track'!$G:$G,1,0))),vlookup($A900&amp;$B900,{'5) Release_Track'!$F:$F&amp;'5) Release_Track'!$G:$G,'5) Release_Track'!$H:$H},2,0), or(and(not(isblank($B900)),$B900=$B899,$A900&lt;&gt;$A899),and(not(isblank($A900)),$A900=$A899,$B900&lt;&gt;$B899)),"ID LISTS UNALIGNED",and($A900&lt;&gt;"",countif('5) Release_Track'!$F:$F,$A900)=0),"NO ISRC MATCH in Release_Track",and($B900&lt;&gt;"",countif('5) Release_Track'!$G:$G,$B900)=0),"NO CATALOG ID MATCH in Release_Track",iserror(vlookup($A900&amp;$B900,'5) Release_Track'!$F:$F&amp;'5) Release_Track'!$G:$G,1,0)),"NO ISRC-CATALOG ID pair MATCH in Release_Track" )</f>
        <v/>
      </c>
      <c r="D900" s="121" t="str">
        <f t="array" ref="D900">ifs(and(isblank($A900),isblank($B900)),"", not(iserror(vlookup($A900&amp;$B900,'5) Release_Track'!$F:$F&amp;'5) Release_Track'!$G:$G,1,0))),vlookup($A900&amp;$B900,{'5) Release_Track'!$F:$F&amp;'5) Release_Track'!$G:$G,'5) Release_Track'!$I:$I},2,0), or(and(not(isblank($B900)),$B900=$B899,$A900&lt;&gt;$A899),and(not(isblank($A900)),$A900=$A899,$B900&lt;&gt;$B899)),"ID LISTS UNALIGNED",and($A900&lt;&gt;"",countif('5) Release_Track'!$F:$F,$A900)=0),"NO ISRC MATCH in Release_Track",and($B900&lt;&gt;"",countif('5) Release_Track'!$G:$G,$B900)=0),"NO CATALOG ID MATCH in Release_Track",iserror(vlookup($A900&amp;$B900,'5) Release_Track'!$F:$F&amp;'5) Release_Track'!$G:$G,1,0)),"NO ISRC-CATALOG ID pair MATCH in Release_Track" )</f>
        <v/>
      </c>
      <c r="E900" s="142" t="b">
        <v>0</v>
      </c>
      <c r="F900" s="142" t="b">
        <v>0</v>
      </c>
      <c r="G900" s="142" t="b">
        <v>0</v>
      </c>
      <c r="H900" s="142" t="b">
        <v>0</v>
      </c>
      <c r="I900" s="142" t="b">
        <v>0</v>
      </c>
      <c r="J900" s="142" t="b">
        <v>0</v>
      </c>
      <c r="K900" s="142" t="b">
        <v>0</v>
      </c>
      <c r="L900" s="8" t="b">
        <v>0</v>
      </c>
    </row>
    <row r="901">
      <c r="B901" s="103"/>
      <c r="C901" s="121" t="str">
        <f t="array" ref="C901">ifs(and(isblank($A901),isblank($B901)),"", not(iserror(vlookup($A901&amp;$B901,'5) Release_Track'!$F:$F&amp;'5) Release_Track'!$G:$G,1,0))),vlookup($A901&amp;$B901,{'5) Release_Track'!$F:$F&amp;'5) Release_Track'!$G:$G,'5) Release_Track'!$H:$H},2,0), or(and(not(isblank($B901)),$B901=$B900,$A901&lt;&gt;$A900),and(not(isblank($A901)),$A901=$A900,$B901&lt;&gt;$B900)),"ID LISTS UNALIGNED",and($A901&lt;&gt;"",countif('5) Release_Track'!$F:$F,$A901)=0),"NO ISRC MATCH in Release_Track",and($B901&lt;&gt;"",countif('5) Release_Track'!$G:$G,$B901)=0),"NO CATALOG ID MATCH in Release_Track",iserror(vlookup($A901&amp;$B901,'5) Release_Track'!$F:$F&amp;'5) Release_Track'!$G:$G,1,0)),"NO ISRC-CATALOG ID pair MATCH in Release_Track" )</f>
        <v/>
      </c>
      <c r="D901" s="121" t="str">
        <f t="array" ref="D901">ifs(and(isblank($A901),isblank($B901)),"", not(iserror(vlookup($A901&amp;$B901,'5) Release_Track'!$F:$F&amp;'5) Release_Track'!$G:$G,1,0))),vlookup($A901&amp;$B901,{'5) Release_Track'!$F:$F&amp;'5) Release_Track'!$G:$G,'5) Release_Track'!$I:$I},2,0), or(and(not(isblank($B901)),$B901=$B900,$A901&lt;&gt;$A900),and(not(isblank($A901)),$A901=$A900,$B901&lt;&gt;$B900)),"ID LISTS UNALIGNED",and($A901&lt;&gt;"",countif('5) Release_Track'!$F:$F,$A901)=0),"NO ISRC MATCH in Release_Track",and($B901&lt;&gt;"",countif('5) Release_Track'!$G:$G,$B901)=0),"NO CATALOG ID MATCH in Release_Track",iserror(vlookup($A901&amp;$B901,'5) Release_Track'!$F:$F&amp;'5) Release_Track'!$G:$G,1,0)),"NO ISRC-CATALOG ID pair MATCH in Release_Track" )</f>
        <v/>
      </c>
      <c r="E901" s="142" t="b">
        <v>0</v>
      </c>
      <c r="F901" s="142" t="b">
        <v>0</v>
      </c>
      <c r="G901" s="142" t="b">
        <v>0</v>
      </c>
      <c r="H901" s="142" t="b">
        <v>0</v>
      </c>
      <c r="I901" s="142" t="b">
        <v>0</v>
      </c>
      <c r="J901" s="142" t="b">
        <v>0</v>
      </c>
      <c r="K901" s="142" t="b">
        <v>0</v>
      </c>
      <c r="L901" s="8" t="b">
        <v>0</v>
      </c>
    </row>
    <row r="902">
      <c r="B902" s="103"/>
      <c r="C902" s="121" t="str">
        <f t="array" ref="C902">ifs(and(isblank($A902),isblank($B902)),"", not(iserror(vlookup($A902&amp;$B902,'5) Release_Track'!$F:$F&amp;'5) Release_Track'!$G:$G,1,0))),vlookup($A902&amp;$B902,{'5) Release_Track'!$F:$F&amp;'5) Release_Track'!$G:$G,'5) Release_Track'!$H:$H},2,0), or(and(not(isblank($B902)),$B902=$B901,$A902&lt;&gt;$A901),and(not(isblank($A902)),$A902=$A901,$B902&lt;&gt;$B901)),"ID LISTS UNALIGNED",and($A902&lt;&gt;"",countif('5) Release_Track'!$F:$F,$A902)=0),"NO ISRC MATCH in Release_Track",and($B902&lt;&gt;"",countif('5) Release_Track'!$G:$G,$B902)=0),"NO CATALOG ID MATCH in Release_Track",iserror(vlookup($A902&amp;$B902,'5) Release_Track'!$F:$F&amp;'5) Release_Track'!$G:$G,1,0)),"NO ISRC-CATALOG ID pair MATCH in Release_Track" )</f>
        <v/>
      </c>
      <c r="D902" s="121" t="str">
        <f t="array" ref="D902">ifs(and(isblank($A902),isblank($B902)),"", not(iserror(vlookup($A902&amp;$B902,'5) Release_Track'!$F:$F&amp;'5) Release_Track'!$G:$G,1,0))),vlookup($A902&amp;$B902,{'5) Release_Track'!$F:$F&amp;'5) Release_Track'!$G:$G,'5) Release_Track'!$I:$I},2,0), or(and(not(isblank($B902)),$B902=$B901,$A902&lt;&gt;$A901),and(not(isblank($A902)),$A902=$A901,$B902&lt;&gt;$B901)),"ID LISTS UNALIGNED",and($A902&lt;&gt;"",countif('5) Release_Track'!$F:$F,$A902)=0),"NO ISRC MATCH in Release_Track",and($B902&lt;&gt;"",countif('5) Release_Track'!$G:$G,$B902)=0),"NO CATALOG ID MATCH in Release_Track",iserror(vlookup($A902&amp;$B902,'5) Release_Track'!$F:$F&amp;'5) Release_Track'!$G:$G,1,0)),"NO ISRC-CATALOG ID pair MATCH in Release_Track" )</f>
        <v/>
      </c>
      <c r="E902" s="142" t="b">
        <v>0</v>
      </c>
      <c r="F902" s="142" t="b">
        <v>0</v>
      </c>
      <c r="G902" s="142" t="b">
        <v>0</v>
      </c>
      <c r="H902" s="142" t="b">
        <v>0</v>
      </c>
      <c r="I902" s="142" t="b">
        <v>0</v>
      </c>
      <c r="J902" s="142" t="b">
        <v>0</v>
      </c>
      <c r="K902" s="142" t="b">
        <v>0</v>
      </c>
      <c r="L902" s="8" t="b">
        <v>0</v>
      </c>
    </row>
    <row r="903">
      <c r="B903" s="103"/>
      <c r="C903" s="121" t="str">
        <f t="array" ref="C903">ifs(and(isblank($A903),isblank($B903)),"", not(iserror(vlookup($A903&amp;$B903,'5) Release_Track'!$F:$F&amp;'5) Release_Track'!$G:$G,1,0))),vlookup($A903&amp;$B903,{'5) Release_Track'!$F:$F&amp;'5) Release_Track'!$G:$G,'5) Release_Track'!$H:$H},2,0), or(and(not(isblank($B903)),$B903=$B902,$A903&lt;&gt;$A902),and(not(isblank($A903)),$A903=$A902,$B903&lt;&gt;$B902)),"ID LISTS UNALIGNED",and($A903&lt;&gt;"",countif('5) Release_Track'!$F:$F,$A903)=0),"NO ISRC MATCH in Release_Track",and($B903&lt;&gt;"",countif('5) Release_Track'!$G:$G,$B903)=0),"NO CATALOG ID MATCH in Release_Track",iserror(vlookup($A903&amp;$B903,'5) Release_Track'!$F:$F&amp;'5) Release_Track'!$G:$G,1,0)),"NO ISRC-CATALOG ID pair MATCH in Release_Track" )</f>
        <v/>
      </c>
      <c r="D903" s="121" t="str">
        <f t="array" ref="D903">ifs(and(isblank($A903),isblank($B903)),"", not(iserror(vlookup($A903&amp;$B903,'5) Release_Track'!$F:$F&amp;'5) Release_Track'!$G:$G,1,0))),vlookup($A903&amp;$B903,{'5) Release_Track'!$F:$F&amp;'5) Release_Track'!$G:$G,'5) Release_Track'!$I:$I},2,0), or(and(not(isblank($B903)),$B903=$B902,$A903&lt;&gt;$A902),and(not(isblank($A903)),$A903=$A902,$B903&lt;&gt;$B902)),"ID LISTS UNALIGNED",and($A903&lt;&gt;"",countif('5) Release_Track'!$F:$F,$A903)=0),"NO ISRC MATCH in Release_Track",and($B903&lt;&gt;"",countif('5) Release_Track'!$G:$G,$B903)=0),"NO CATALOG ID MATCH in Release_Track",iserror(vlookup($A903&amp;$B903,'5) Release_Track'!$F:$F&amp;'5) Release_Track'!$G:$G,1,0)),"NO ISRC-CATALOG ID pair MATCH in Release_Track" )</f>
        <v/>
      </c>
      <c r="E903" s="142" t="b">
        <v>0</v>
      </c>
      <c r="F903" s="142" t="b">
        <v>0</v>
      </c>
      <c r="G903" s="142" t="b">
        <v>0</v>
      </c>
      <c r="H903" s="142" t="b">
        <v>0</v>
      </c>
      <c r="I903" s="142" t="b">
        <v>0</v>
      </c>
      <c r="J903" s="142" t="b">
        <v>0</v>
      </c>
      <c r="K903" s="142" t="b">
        <v>0</v>
      </c>
      <c r="L903" s="8" t="b">
        <v>0</v>
      </c>
    </row>
    <row r="904">
      <c r="B904" s="103"/>
      <c r="C904" s="121" t="str">
        <f t="array" ref="C904">ifs(and(isblank($A904),isblank($B904)),"", not(iserror(vlookup($A904&amp;$B904,'5) Release_Track'!$F:$F&amp;'5) Release_Track'!$G:$G,1,0))),vlookup($A904&amp;$B904,{'5) Release_Track'!$F:$F&amp;'5) Release_Track'!$G:$G,'5) Release_Track'!$H:$H},2,0), or(and(not(isblank($B904)),$B904=$B903,$A904&lt;&gt;$A903),and(not(isblank($A904)),$A904=$A903,$B904&lt;&gt;$B903)),"ID LISTS UNALIGNED",and($A904&lt;&gt;"",countif('5) Release_Track'!$F:$F,$A904)=0),"NO ISRC MATCH in Release_Track",and($B904&lt;&gt;"",countif('5) Release_Track'!$G:$G,$B904)=0),"NO CATALOG ID MATCH in Release_Track",iserror(vlookup($A904&amp;$B904,'5) Release_Track'!$F:$F&amp;'5) Release_Track'!$G:$G,1,0)),"NO ISRC-CATALOG ID pair MATCH in Release_Track" )</f>
        <v/>
      </c>
      <c r="D904" s="121" t="str">
        <f t="array" ref="D904">ifs(and(isblank($A904),isblank($B904)),"", not(iserror(vlookup($A904&amp;$B904,'5) Release_Track'!$F:$F&amp;'5) Release_Track'!$G:$G,1,0))),vlookup($A904&amp;$B904,{'5) Release_Track'!$F:$F&amp;'5) Release_Track'!$G:$G,'5) Release_Track'!$I:$I},2,0), or(and(not(isblank($B904)),$B904=$B903,$A904&lt;&gt;$A903),and(not(isblank($A904)),$A904=$A903,$B904&lt;&gt;$B903)),"ID LISTS UNALIGNED",and($A904&lt;&gt;"",countif('5) Release_Track'!$F:$F,$A904)=0),"NO ISRC MATCH in Release_Track",and($B904&lt;&gt;"",countif('5) Release_Track'!$G:$G,$B904)=0),"NO CATALOG ID MATCH in Release_Track",iserror(vlookup($A904&amp;$B904,'5) Release_Track'!$F:$F&amp;'5) Release_Track'!$G:$G,1,0)),"NO ISRC-CATALOG ID pair MATCH in Release_Track" )</f>
        <v/>
      </c>
      <c r="E904" s="142" t="b">
        <v>0</v>
      </c>
      <c r="F904" s="142" t="b">
        <v>0</v>
      </c>
      <c r="G904" s="142" t="b">
        <v>0</v>
      </c>
      <c r="H904" s="142" t="b">
        <v>0</v>
      </c>
      <c r="I904" s="142" t="b">
        <v>0</v>
      </c>
      <c r="J904" s="142" t="b">
        <v>0</v>
      </c>
      <c r="K904" s="142" t="b">
        <v>0</v>
      </c>
      <c r="L904" s="8" t="b">
        <v>0</v>
      </c>
    </row>
    <row r="905">
      <c r="B905" s="103"/>
      <c r="C905" s="121" t="str">
        <f t="array" ref="C905">ifs(and(isblank($A905),isblank($B905)),"", not(iserror(vlookup($A905&amp;$B905,'5) Release_Track'!$F:$F&amp;'5) Release_Track'!$G:$G,1,0))),vlookup($A905&amp;$B905,{'5) Release_Track'!$F:$F&amp;'5) Release_Track'!$G:$G,'5) Release_Track'!$H:$H},2,0), or(and(not(isblank($B905)),$B905=$B904,$A905&lt;&gt;$A904),and(not(isblank($A905)),$A905=$A904,$B905&lt;&gt;$B904)),"ID LISTS UNALIGNED",and($A905&lt;&gt;"",countif('5) Release_Track'!$F:$F,$A905)=0),"NO ISRC MATCH in Release_Track",and($B905&lt;&gt;"",countif('5) Release_Track'!$G:$G,$B905)=0),"NO CATALOG ID MATCH in Release_Track",iserror(vlookup($A905&amp;$B905,'5) Release_Track'!$F:$F&amp;'5) Release_Track'!$G:$G,1,0)),"NO ISRC-CATALOG ID pair MATCH in Release_Track" )</f>
        <v/>
      </c>
      <c r="D905" s="121" t="str">
        <f t="array" ref="D905">ifs(and(isblank($A905),isblank($B905)),"", not(iserror(vlookup($A905&amp;$B905,'5) Release_Track'!$F:$F&amp;'5) Release_Track'!$G:$G,1,0))),vlookup($A905&amp;$B905,{'5) Release_Track'!$F:$F&amp;'5) Release_Track'!$G:$G,'5) Release_Track'!$I:$I},2,0), or(and(not(isblank($B905)),$B905=$B904,$A905&lt;&gt;$A904),and(not(isblank($A905)),$A905=$A904,$B905&lt;&gt;$B904)),"ID LISTS UNALIGNED",and($A905&lt;&gt;"",countif('5) Release_Track'!$F:$F,$A905)=0),"NO ISRC MATCH in Release_Track",and($B905&lt;&gt;"",countif('5) Release_Track'!$G:$G,$B905)=0),"NO CATALOG ID MATCH in Release_Track",iserror(vlookup($A905&amp;$B905,'5) Release_Track'!$F:$F&amp;'5) Release_Track'!$G:$G,1,0)),"NO ISRC-CATALOG ID pair MATCH in Release_Track" )</f>
        <v/>
      </c>
      <c r="E905" s="142" t="b">
        <v>0</v>
      </c>
      <c r="F905" s="142" t="b">
        <v>0</v>
      </c>
      <c r="G905" s="142" t="b">
        <v>0</v>
      </c>
      <c r="H905" s="142" t="b">
        <v>0</v>
      </c>
      <c r="I905" s="142" t="b">
        <v>0</v>
      </c>
      <c r="J905" s="142" t="b">
        <v>0</v>
      </c>
      <c r="K905" s="142" t="b">
        <v>0</v>
      </c>
      <c r="L905" s="8" t="b">
        <v>0</v>
      </c>
    </row>
    <row r="906">
      <c r="B906" s="103"/>
      <c r="C906" s="121" t="str">
        <f t="array" ref="C906">ifs(and(isblank($A906),isblank($B906)),"", not(iserror(vlookup($A906&amp;$B906,'5) Release_Track'!$F:$F&amp;'5) Release_Track'!$G:$G,1,0))),vlookup($A906&amp;$B906,{'5) Release_Track'!$F:$F&amp;'5) Release_Track'!$G:$G,'5) Release_Track'!$H:$H},2,0), or(and(not(isblank($B906)),$B906=$B905,$A906&lt;&gt;$A905),and(not(isblank($A906)),$A906=$A905,$B906&lt;&gt;$B905)),"ID LISTS UNALIGNED",and($A906&lt;&gt;"",countif('5) Release_Track'!$F:$F,$A906)=0),"NO ISRC MATCH in Release_Track",and($B906&lt;&gt;"",countif('5) Release_Track'!$G:$G,$B906)=0),"NO CATALOG ID MATCH in Release_Track",iserror(vlookup($A906&amp;$B906,'5) Release_Track'!$F:$F&amp;'5) Release_Track'!$G:$G,1,0)),"NO ISRC-CATALOG ID pair MATCH in Release_Track" )</f>
        <v/>
      </c>
      <c r="D906" s="121" t="str">
        <f t="array" ref="D906">ifs(and(isblank($A906),isblank($B906)),"", not(iserror(vlookup($A906&amp;$B906,'5) Release_Track'!$F:$F&amp;'5) Release_Track'!$G:$G,1,0))),vlookup($A906&amp;$B906,{'5) Release_Track'!$F:$F&amp;'5) Release_Track'!$G:$G,'5) Release_Track'!$I:$I},2,0), or(and(not(isblank($B906)),$B906=$B905,$A906&lt;&gt;$A905),and(not(isblank($A906)),$A906=$A905,$B906&lt;&gt;$B905)),"ID LISTS UNALIGNED",and($A906&lt;&gt;"",countif('5) Release_Track'!$F:$F,$A906)=0),"NO ISRC MATCH in Release_Track",and($B906&lt;&gt;"",countif('5) Release_Track'!$G:$G,$B906)=0),"NO CATALOG ID MATCH in Release_Track",iserror(vlookup($A906&amp;$B906,'5) Release_Track'!$F:$F&amp;'5) Release_Track'!$G:$G,1,0)),"NO ISRC-CATALOG ID pair MATCH in Release_Track" )</f>
        <v/>
      </c>
      <c r="E906" s="142" t="b">
        <v>0</v>
      </c>
      <c r="F906" s="142" t="b">
        <v>0</v>
      </c>
      <c r="G906" s="142" t="b">
        <v>0</v>
      </c>
      <c r="H906" s="142" t="b">
        <v>0</v>
      </c>
      <c r="I906" s="142" t="b">
        <v>0</v>
      </c>
      <c r="J906" s="142" t="b">
        <v>0</v>
      </c>
      <c r="K906" s="142" t="b">
        <v>0</v>
      </c>
      <c r="L906" s="8" t="b">
        <v>0</v>
      </c>
    </row>
    <row r="907">
      <c r="B907" s="103"/>
      <c r="C907" s="121" t="str">
        <f t="array" ref="C907">ifs(and(isblank($A907),isblank($B907)),"", not(iserror(vlookup($A907&amp;$B907,'5) Release_Track'!$F:$F&amp;'5) Release_Track'!$G:$G,1,0))),vlookup($A907&amp;$B907,{'5) Release_Track'!$F:$F&amp;'5) Release_Track'!$G:$G,'5) Release_Track'!$H:$H},2,0), or(and(not(isblank($B907)),$B907=$B906,$A907&lt;&gt;$A906),and(not(isblank($A907)),$A907=$A906,$B907&lt;&gt;$B906)),"ID LISTS UNALIGNED",and($A907&lt;&gt;"",countif('5) Release_Track'!$F:$F,$A907)=0),"NO ISRC MATCH in Release_Track",and($B907&lt;&gt;"",countif('5) Release_Track'!$G:$G,$B907)=0),"NO CATALOG ID MATCH in Release_Track",iserror(vlookup($A907&amp;$B907,'5) Release_Track'!$F:$F&amp;'5) Release_Track'!$G:$G,1,0)),"NO ISRC-CATALOG ID pair MATCH in Release_Track" )</f>
        <v/>
      </c>
      <c r="D907" s="121" t="str">
        <f t="array" ref="D907">ifs(and(isblank($A907),isblank($B907)),"", not(iserror(vlookup($A907&amp;$B907,'5) Release_Track'!$F:$F&amp;'5) Release_Track'!$G:$G,1,0))),vlookup($A907&amp;$B907,{'5) Release_Track'!$F:$F&amp;'5) Release_Track'!$G:$G,'5) Release_Track'!$I:$I},2,0), or(and(not(isblank($B907)),$B907=$B906,$A907&lt;&gt;$A906),and(not(isblank($A907)),$A907=$A906,$B907&lt;&gt;$B906)),"ID LISTS UNALIGNED",and($A907&lt;&gt;"",countif('5) Release_Track'!$F:$F,$A907)=0),"NO ISRC MATCH in Release_Track",and($B907&lt;&gt;"",countif('5) Release_Track'!$G:$G,$B907)=0),"NO CATALOG ID MATCH in Release_Track",iserror(vlookup($A907&amp;$B907,'5) Release_Track'!$F:$F&amp;'5) Release_Track'!$G:$G,1,0)),"NO ISRC-CATALOG ID pair MATCH in Release_Track" )</f>
        <v/>
      </c>
      <c r="E907" s="142" t="b">
        <v>0</v>
      </c>
      <c r="F907" s="142" t="b">
        <v>0</v>
      </c>
      <c r="G907" s="142" t="b">
        <v>0</v>
      </c>
      <c r="H907" s="142" t="b">
        <v>0</v>
      </c>
      <c r="I907" s="142" t="b">
        <v>0</v>
      </c>
      <c r="J907" s="142" t="b">
        <v>0</v>
      </c>
      <c r="K907" s="142" t="b">
        <v>0</v>
      </c>
      <c r="L907" s="8" t="b">
        <v>0</v>
      </c>
    </row>
    <row r="908">
      <c r="B908" s="103"/>
      <c r="C908" s="121" t="str">
        <f t="array" ref="C908">ifs(and(isblank($A908),isblank($B908)),"", not(iserror(vlookup($A908&amp;$B908,'5) Release_Track'!$F:$F&amp;'5) Release_Track'!$G:$G,1,0))),vlookup($A908&amp;$B908,{'5) Release_Track'!$F:$F&amp;'5) Release_Track'!$G:$G,'5) Release_Track'!$H:$H},2,0), or(and(not(isblank($B908)),$B908=$B907,$A908&lt;&gt;$A907),and(not(isblank($A908)),$A908=$A907,$B908&lt;&gt;$B907)),"ID LISTS UNALIGNED",and($A908&lt;&gt;"",countif('5) Release_Track'!$F:$F,$A908)=0),"NO ISRC MATCH in Release_Track",and($B908&lt;&gt;"",countif('5) Release_Track'!$G:$G,$B908)=0),"NO CATALOG ID MATCH in Release_Track",iserror(vlookup($A908&amp;$B908,'5) Release_Track'!$F:$F&amp;'5) Release_Track'!$G:$G,1,0)),"NO ISRC-CATALOG ID pair MATCH in Release_Track" )</f>
        <v/>
      </c>
      <c r="D908" s="121" t="str">
        <f t="array" ref="D908">ifs(and(isblank($A908),isblank($B908)),"", not(iserror(vlookup($A908&amp;$B908,'5) Release_Track'!$F:$F&amp;'5) Release_Track'!$G:$G,1,0))),vlookup($A908&amp;$B908,{'5) Release_Track'!$F:$F&amp;'5) Release_Track'!$G:$G,'5) Release_Track'!$I:$I},2,0), or(and(not(isblank($B908)),$B908=$B907,$A908&lt;&gt;$A907),and(not(isblank($A908)),$A908=$A907,$B908&lt;&gt;$B907)),"ID LISTS UNALIGNED",and($A908&lt;&gt;"",countif('5) Release_Track'!$F:$F,$A908)=0),"NO ISRC MATCH in Release_Track",and($B908&lt;&gt;"",countif('5) Release_Track'!$G:$G,$B908)=0),"NO CATALOG ID MATCH in Release_Track",iserror(vlookup($A908&amp;$B908,'5) Release_Track'!$F:$F&amp;'5) Release_Track'!$G:$G,1,0)),"NO ISRC-CATALOG ID pair MATCH in Release_Track" )</f>
        <v/>
      </c>
      <c r="E908" s="142" t="b">
        <v>0</v>
      </c>
      <c r="F908" s="142" t="b">
        <v>0</v>
      </c>
      <c r="G908" s="142" t="b">
        <v>0</v>
      </c>
      <c r="H908" s="142" t="b">
        <v>0</v>
      </c>
      <c r="I908" s="142" t="b">
        <v>0</v>
      </c>
      <c r="J908" s="142" t="b">
        <v>0</v>
      </c>
      <c r="K908" s="142" t="b">
        <v>0</v>
      </c>
      <c r="L908" s="8" t="b">
        <v>0</v>
      </c>
    </row>
    <row r="909">
      <c r="B909" s="103"/>
      <c r="C909" s="121" t="str">
        <f t="array" ref="C909">ifs(and(isblank($A909),isblank($B909)),"", not(iserror(vlookup($A909&amp;$B909,'5) Release_Track'!$F:$F&amp;'5) Release_Track'!$G:$G,1,0))),vlookup($A909&amp;$B909,{'5) Release_Track'!$F:$F&amp;'5) Release_Track'!$G:$G,'5) Release_Track'!$H:$H},2,0), or(and(not(isblank($B909)),$B909=$B908,$A909&lt;&gt;$A908),and(not(isblank($A909)),$A909=$A908,$B909&lt;&gt;$B908)),"ID LISTS UNALIGNED",and($A909&lt;&gt;"",countif('5) Release_Track'!$F:$F,$A909)=0),"NO ISRC MATCH in Release_Track",and($B909&lt;&gt;"",countif('5) Release_Track'!$G:$G,$B909)=0),"NO CATALOG ID MATCH in Release_Track",iserror(vlookup($A909&amp;$B909,'5) Release_Track'!$F:$F&amp;'5) Release_Track'!$G:$G,1,0)),"NO ISRC-CATALOG ID pair MATCH in Release_Track" )</f>
        <v/>
      </c>
      <c r="D909" s="121" t="str">
        <f t="array" ref="D909">ifs(and(isblank($A909),isblank($B909)),"", not(iserror(vlookup($A909&amp;$B909,'5) Release_Track'!$F:$F&amp;'5) Release_Track'!$G:$G,1,0))),vlookup($A909&amp;$B909,{'5) Release_Track'!$F:$F&amp;'5) Release_Track'!$G:$G,'5) Release_Track'!$I:$I},2,0), or(and(not(isblank($B909)),$B909=$B908,$A909&lt;&gt;$A908),and(not(isblank($A909)),$A909=$A908,$B909&lt;&gt;$B908)),"ID LISTS UNALIGNED",and($A909&lt;&gt;"",countif('5) Release_Track'!$F:$F,$A909)=0),"NO ISRC MATCH in Release_Track",and($B909&lt;&gt;"",countif('5) Release_Track'!$G:$G,$B909)=0),"NO CATALOG ID MATCH in Release_Track",iserror(vlookup($A909&amp;$B909,'5) Release_Track'!$F:$F&amp;'5) Release_Track'!$G:$G,1,0)),"NO ISRC-CATALOG ID pair MATCH in Release_Track" )</f>
        <v/>
      </c>
      <c r="E909" s="142" t="b">
        <v>0</v>
      </c>
      <c r="F909" s="142" t="b">
        <v>0</v>
      </c>
      <c r="G909" s="142" t="b">
        <v>0</v>
      </c>
      <c r="H909" s="142" t="b">
        <v>0</v>
      </c>
      <c r="I909" s="142" t="b">
        <v>0</v>
      </c>
      <c r="J909" s="142" t="b">
        <v>0</v>
      </c>
      <c r="K909" s="142" t="b">
        <v>0</v>
      </c>
      <c r="L909" s="8" t="b">
        <v>0</v>
      </c>
    </row>
    <row r="910">
      <c r="B910" s="103"/>
      <c r="C910" s="121" t="str">
        <f t="array" ref="C910">ifs(and(isblank($A910),isblank($B910)),"", not(iserror(vlookup($A910&amp;$B910,'5) Release_Track'!$F:$F&amp;'5) Release_Track'!$G:$G,1,0))),vlookup($A910&amp;$B910,{'5) Release_Track'!$F:$F&amp;'5) Release_Track'!$G:$G,'5) Release_Track'!$H:$H},2,0), or(and(not(isblank($B910)),$B910=$B909,$A910&lt;&gt;$A909),and(not(isblank($A910)),$A910=$A909,$B910&lt;&gt;$B909)),"ID LISTS UNALIGNED",and($A910&lt;&gt;"",countif('5) Release_Track'!$F:$F,$A910)=0),"NO ISRC MATCH in Release_Track",and($B910&lt;&gt;"",countif('5) Release_Track'!$G:$G,$B910)=0),"NO CATALOG ID MATCH in Release_Track",iserror(vlookup($A910&amp;$B910,'5) Release_Track'!$F:$F&amp;'5) Release_Track'!$G:$G,1,0)),"NO ISRC-CATALOG ID pair MATCH in Release_Track" )</f>
        <v/>
      </c>
      <c r="D910" s="121" t="str">
        <f t="array" ref="D910">ifs(and(isblank($A910),isblank($B910)),"", not(iserror(vlookup($A910&amp;$B910,'5) Release_Track'!$F:$F&amp;'5) Release_Track'!$G:$G,1,0))),vlookup($A910&amp;$B910,{'5) Release_Track'!$F:$F&amp;'5) Release_Track'!$G:$G,'5) Release_Track'!$I:$I},2,0), or(and(not(isblank($B910)),$B910=$B909,$A910&lt;&gt;$A909),and(not(isblank($A910)),$A910=$A909,$B910&lt;&gt;$B909)),"ID LISTS UNALIGNED",and($A910&lt;&gt;"",countif('5) Release_Track'!$F:$F,$A910)=0),"NO ISRC MATCH in Release_Track",and($B910&lt;&gt;"",countif('5) Release_Track'!$G:$G,$B910)=0),"NO CATALOG ID MATCH in Release_Track",iserror(vlookup($A910&amp;$B910,'5) Release_Track'!$F:$F&amp;'5) Release_Track'!$G:$G,1,0)),"NO ISRC-CATALOG ID pair MATCH in Release_Track" )</f>
        <v/>
      </c>
      <c r="E910" s="142" t="b">
        <v>0</v>
      </c>
      <c r="F910" s="142" t="b">
        <v>0</v>
      </c>
      <c r="G910" s="142" t="b">
        <v>0</v>
      </c>
      <c r="H910" s="142" t="b">
        <v>0</v>
      </c>
      <c r="I910" s="142" t="b">
        <v>0</v>
      </c>
      <c r="J910" s="142" t="b">
        <v>0</v>
      </c>
      <c r="K910" s="142" t="b">
        <v>0</v>
      </c>
      <c r="L910" s="8" t="b">
        <v>0</v>
      </c>
    </row>
    <row r="911">
      <c r="B911" s="103"/>
      <c r="C911" s="121" t="str">
        <f t="array" ref="C911">ifs(and(isblank($A911),isblank($B911)),"", not(iserror(vlookup($A911&amp;$B911,'5) Release_Track'!$F:$F&amp;'5) Release_Track'!$G:$G,1,0))),vlookup($A911&amp;$B911,{'5) Release_Track'!$F:$F&amp;'5) Release_Track'!$G:$G,'5) Release_Track'!$H:$H},2,0), or(and(not(isblank($B911)),$B911=$B910,$A911&lt;&gt;$A910),and(not(isblank($A911)),$A911=$A910,$B911&lt;&gt;$B910)),"ID LISTS UNALIGNED",and($A911&lt;&gt;"",countif('5) Release_Track'!$F:$F,$A911)=0),"NO ISRC MATCH in Release_Track",and($B911&lt;&gt;"",countif('5) Release_Track'!$G:$G,$B911)=0),"NO CATALOG ID MATCH in Release_Track",iserror(vlookup($A911&amp;$B911,'5) Release_Track'!$F:$F&amp;'5) Release_Track'!$G:$G,1,0)),"NO ISRC-CATALOG ID pair MATCH in Release_Track" )</f>
        <v/>
      </c>
      <c r="D911" s="121" t="str">
        <f t="array" ref="D911">ifs(and(isblank($A911),isblank($B911)),"", not(iserror(vlookup($A911&amp;$B911,'5) Release_Track'!$F:$F&amp;'5) Release_Track'!$G:$G,1,0))),vlookup($A911&amp;$B911,{'5) Release_Track'!$F:$F&amp;'5) Release_Track'!$G:$G,'5) Release_Track'!$I:$I},2,0), or(and(not(isblank($B911)),$B911=$B910,$A911&lt;&gt;$A910),and(not(isblank($A911)),$A911=$A910,$B911&lt;&gt;$B910)),"ID LISTS UNALIGNED",and($A911&lt;&gt;"",countif('5) Release_Track'!$F:$F,$A911)=0),"NO ISRC MATCH in Release_Track",and($B911&lt;&gt;"",countif('5) Release_Track'!$G:$G,$B911)=0),"NO CATALOG ID MATCH in Release_Track",iserror(vlookup($A911&amp;$B911,'5) Release_Track'!$F:$F&amp;'5) Release_Track'!$G:$G,1,0)),"NO ISRC-CATALOG ID pair MATCH in Release_Track" )</f>
        <v/>
      </c>
      <c r="E911" s="142" t="b">
        <v>0</v>
      </c>
      <c r="F911" s="142" t="b">
        <v>0</v>
      </c>
      <c r="G911" s="142" t="b">
        <v>0</v>
      </c>
      <c r="H911" s="142" t="b">
        <v>0</v>
      </c>
      <c r="I911" s="142" t="b">
        <v>0</v>
      </c>
      <c r="J911" s="142" t="b">
        <v>0</v>
      </c>
      <c r="K911" s="142" t="b">
        <v>0</v>
      </c>
      <c r="L911" s="8" t="b">
        <v>0</v>
      </c>
    </row>
    <row r="912">
      <c r="B912" s="103"/>
      <c r="C912" s="121" t="str">
        <f t="array" ref="C912">ifs(and(isblank($A912),isblank($B912)),"", not(iserror(vlookup($A912&amp;$B912,'5) Release_Track'!$F:$F&amp;'5) Release_Track'!$G:$G,1,0))),vlookup($A912&amp;$B912,{'5) Release_Track'!$F:$F&amp;'5) Release_Track'!$G:$G,'5) Release_Track'!$H:$H},2,0), or(and(not(isblank($B912)),$B912=$B911,$A912&lt;&gt;$A911),and(not(isblank($A912)),$A912=$A911,$B912&lt;&gt;$B911)),"ID LISTS UNALIGNED",and($A912&lt;&gt;"",countif('5) Release_Track'!$F:$F,$A912)=0),"NO ISRC MATCH in Release_Track",and($B912&lt;&gt;"",countif('5) Release_Track'!$G:$G,$B912)=0),"NO CATALOG ID MATCH in Release_Track",iserror(vlookup($A912&amp;$B912,'5) Release_Track'!$F:$F&amp;'5) Release_Track'!$G:$G,1,0)),"NO ISRC-CATALOG ID pair MATCH in Release_Track" )</f>
        <v/>
      </c>
      <c r="D912" s="121" t="str">
        <f t="array" ref="D912">ifs(and(isblank($A912),isblank($B912)),"", not(iserror(vlookup($A912&amp;$B912,'5) Release_Track'!$F:$F&amp;'5) Release_Track'!$G:$G,1,0))),vlookup($A912&amp;$B912,{'5) Release_Track'!$F:$F&amp;'5) Release_Track'!$G:$G,'5) Release_Track'!$I:$I},2,0), or(and(not(isblank($B912)),$B912=$B911,$A912&lt;&gt;$A911),and(not(isblank($A912)),$A912=$A911,$B912&lt;&gt;$B911)),"ID LISTS UNALIGNED",and($A912&lt;&gt;"",countif('5) Release_Track'!$F:$F,$A912)=0),"NO ISRC MATCH in Release_Track",and($B912&lt;&gt;"",countif('5) Release_Track'!$G:$G,$B912)=0),"NO CATALOG ID MATCH in Release_Track",iserror(vlookup($A912&amp;$B912,'5) Release_Track'!$F:$F&amp;'5) Release_Track'!$G:$G,1,0)),"NO ISRC-CATALOG ID pair MATCH in Release_Track" )</f>
        <v/>
      </c>
      <c r="E912" s="142" t="b">
        <v>0</v>
      </c>
      <c r="F912" s="142" t="b">
        <v>0</v>
      </c>
      <c r="G912" s="142" t="b">
        <v>0</v>
      </c>
      <c r="H912" s="142" t="b">
        <v>0</v>
      </c>
      <c r="I912" s="142" t="b">
        <v>0</v>
      </c>
      <c r="J912" s="142" t="b">
        <v>0</v>
      </c>
      <c r="K912" s="142" t="b">
        <v>0</v>
      </c>
      <c r="L912" s="8" t="b">
        <v>0</v>
      </c>
    </row>
    <row r="913">
      <c r="B913" s="103"/>
      <c r="C913" s="121" t="str">
        <f t="array" ref="C913">ifs(and(isblank($A913),isblank($B913)),"", not(iserror(vlookup($A913&amp;$B913,'5) Release_Track'!$F:$F&amp;'5) Release_Track'!$G:$G,1,0))),vlookup($A913&amp;$B913,{'5) Release_Track'!$F:$F&amp;'5) Release_Track'!$G:$G,'5) Release_Track'!$H:$H},2,0), or(and(not(isblank($B913)),$B913=$B912,$A913&lt;&gt;$A912),and(not(isblank($A913)),$A913=$A912,$B913&lt;&gt;$B912)),"ID LISTS UNALIGNED",and($A913&lt;&gt;"",countif('5) Release_Track'!$F:$F,$A913)=0),"NO ISRC MATCH in Release_Track",and($B913&lt;&gt;"",countif('5) Release_Track'!$G:$G,$B913)=0),"NO CATALOG ID MATCH in Release_Track",iserror(vlookup($A913&amp;$B913,'5) Release_Track'!$F:$F&amp;'5) Release_Track'!$G:$G,1,0)),"NO ISRC-CATALOG ID pair MATCH in Release_Track" )</f>
        <v/>
      </c>
      <c r="D913" s="121" t="str">
        <f t="array" ref="D913">ifs(and(isblank($A913),isblank($B913)),"", not(iserror(vlookup($A913&amp;$B913,'5) Release_Track'!$F:$F&amp;'5) Release_Track'!$G:$G,1,0))),vlookup($A913&amp;$B913,{'5) Release_Track'!$F:$F&amp;'5) Release_Track'!$G:$G,'5) Release_Track'!$I:$I},2,0), or(and(not(isblank($B913)),$B913=$B912,$A913&lt;&gt;$A912),and(not(isblank($A913)),$A913=$A912,$B913&lt;&gt;$B912)),"ID LISTS UNALIGNED",and($A913&lt;&gt;"",countif('5) Release_Track'!$F:$F,$A913)=0),"NO ISRC MATCH in Release_Track",and($B913&lt;&gt;"",countif('5) Release_Track'!$G:$G,$B913)=0),"NO CATALOG ID MATCH in Release_Track",iserror(vlookup($A913&amp;$B913,'5) Release_Track'!$F:$F&amp;'5) Release_Track'!$G:$G,1,0)),"NO ISRC-CATALOG ID pair MATCH in Release_Track" )</f>
        <v/>
      </c>
      <c r="E913" s="142" t="b">
        <v>0</v>
      </c>
      <c r="F913" s="142" t="b">
        <v>0</v>
      </c>
      <c r="G913" s="142" t="b">
        <v>0</v>
      </c>
      <c r="H913" s="142" t="b">
        <v>0</v>
      </c>
      <c r="I913" s="142" t="b">
        <v>0</v>
      </c>
      <c r="J913" s="142" t="b">
        <v>0</v>
      </c>
      <c r="K913" s="142" t="b">
        <v>0</v>
      </c>
      <c r="L913" s="8" t="b">
        <v>0</v>
      </c>
    </row>
    <row r="914">
      <c r="B914" s="103"/>
      <c r="C914" s="121" t="str">
        <f t="array" ref="C914">ifs(and(isblank($A914),isblank($B914)),"", not(iserror(vlookup($A914&amp;$B914,'5) Release_Track'!$F:$F&amp;'5) Release_Track'!$G:$G,1,0))),vlookup($A914&amp;$B914,{'5) Release_Track'!$F:$F&amp;'5) Release_Track'!$G:$G,'5) Release_Track'!$H:$H},2,0), or(and(not(isblank($B914)),$B914=$B913,$A914&lt;&gt;$A913),and(not(isblank($A914)),$A914=$A913,$B914&lt;&gt;$B913)),"ID LISTS UNALIGNED",and($A914&lt;&gt;"",countif('5) Release_Track'!$F:$F,$A914)=0),"NO ISRC MATCH in Release_Track",and($B914&lt;&gt;"",countif('5) Release_Track'!$G:$G,$B914)=0),"NO CATALOG ID MATCH in Release_Track",iserror(vlookup($A914&amp;$B914,'5) Release_Track'!$F:$F&amp;'5) Release_Track'!$G:$G,1,0)),"NO ISRC-CATALOG ID pair MATCH in Release_Track" )</f>
        <v/>
      </c>
      <c r="D914" s="121" t="str">
        <f t="array" ref="D914">ifs(and(isblank($A914),isblank($B914)),"", not(iserror(vlookup($A914&amp;$B914,'5) Release_Track'!$F:$F&amp;'5) Release_Track'!$G:$G,1,0))),vlookup($A914&amp;$B914,{'5) Release_Track'!$F:$F&amp;'5) Release_Track'!$G:$G,'5) Release_Track'!$I:$I},2,0), or(and(not(isblank($B914)),$B914=$B913,$A914&lt;&gt;$A913),and(not(isblank($A914)),$A914=$A913,$B914&lt;&gt;$B913)),"ID LISTS UNALIGNED",and($A914&lt;&gt;"",countif('5) Release_Track'!$F:$F,$A914)=0),"NO ISRC MATCH in Release_Track",and($B914&lt;&gt;"",countif('5) Release_Track'!$G:$G,$B914)=0),"NO CATALOG ID MATCH in Release_Track",iserror(vlookup($A914&amp;$B914,'5) Release_Track'!$F:$F&amp;'5) Release_Track'!$G:$G,1,0)),"NO ISRC-CATALOG ID pair MATCH in Release_Track" )</f>
        <v/>
      </c>
      <c r="E914" s="142" t="b">
        <v>0</v>
      </c>
      <c r="F914" s="142" t="b">
        <v>0</v>
      </c>
      <c r="G914" s="142" t="b">
        <v>0</v>
      </c>
      <c r="H914" s="142" t="b">
        <v>0</v>
      </c>
      <c r="I914" s="142" t="b">
        <v>0</v>
      </c>
      <c r="J914" s="142" t="b">
        <v>0</v>
      </c>
      <c r="K914" s="142" t="b">
        <v>0</v>
      </c>
      <c r="L914" s="8" t="b">
        <v>0</v>
      </c>
    </row>
    <row r="915">
      <c r="B915" s="103"/>
      <c r="C915" s="121" t="str">
        <f t="array" ref="C915">ifs(and(isblank($A915),isblank($B915)),"", not(iserror(vlookup($A915&amp;$B915,'5) Release_Track'!$F:$F&amp;'5) Release_Track'!$G:$G,1,0))),vlookup($A915&amp;$B915,{'5) Release_Track'!$F:$F&amp;'5) Release_Track'!$G:$G,'5) Release_Track'!$H:$H},2,0), or(and(not(isblank($B915)),$B915=$B914,$A915&lt;&gt;$A914),and(not(isblank($A915)),$A915=$A914,$B915&lt;&gt;$B914)),"ID LISTS UNALIGNED",and($A915&lt;&gt;"",countif('5) Release_Track'!$F:$F,$A915)=0),"NO ISRC MATCH in Release_Track",and($B915&lt;&gt;"",countif('5) Release_Track'!$G:$G,$B915)=0),"NO CATALOG ID MATCH in Release_Track",iserror(vlookup($A915&amp;$B915,'5) Release_Track'!$F:$F&amp;'5) Release_Track'!$G:$G,1,0)),"NO ISRC-CATALOG ID pair MATCH in Release_Track" )</f>
        <v/>
      </c>
      <c r="D915" s="121" t="str">
        <f t="array" ref="D915">ifs(and(isblank($A915),isblank($B915)),"", not(iserror(vlookup($A915&amp;$B915,'5) Release_Track'!$F:$F&amp;'5) Release_Track'!$G:$G,1,0))),vlookup($A915&amp;$B915,{'5) Release_Track'!$F:$F&amp;'5) Release_Track'!$G:$G,'5) Release_Track'!$I:$I},2,0), or(and(not(isblank($B915)),$B915=$B914,$A915&lt;&gt;$A914),and(not(isblank($A915)),$A915=$A914,$B915&lt;&gt;$B914)),"ID LISTS UNALIGNED",and($A915&lt;&gt;"",countif('5) Release_Track'!$F:$F,$A915)=0),"NO ISRC MATCH in Release_Track",and($B915&lt;&gt;"",countif('5) Release_Track'!$G:$G,$B915)=0),"NO CATALOG ID MATCH in Release_Track",iserror(vlookup($A915&amp;$B915,'5) Release_Track'!$F:$F&amp;'5) Release_Track'!$G:$G,1,0)),"NO ISRC-CATALOG ID pair MATCH in Release_Track" )</f>
        <v/>
      </c>
      <c r="E915" s="142" t="b">
        <v>0</v>
      </c>
      <c r="F915" s="142" t="b">
        <v>0</v>
      </c>
      <c r="G915" s="142" t="b">
        <v>0</v>
      </c>
      <c r="H915" s="142" t="b">
        <v>0</v>
      </c>
      <c r="I915" s="142" t="b">
        <v>0</v>
      </c>
      <c r="J915" s="142" t="b">
        <v>0</v>
      </c>
      <c r="K915" s="142" t="b">
        <v>0</v>
      </c>
      <c r="L915" s="8" t="b">
        <v>0</v>
      </c>
    </row>
    <row r="916">
      <c r="B916" s="103"/>
      <c r="C916" s="121" t="str">
        <f t="array" ref="C916">ifs(and(isblank($A916),isblank($B916)),"", not(iserror(vlookup($A916&amp;$B916,'5) Release_Track'!$F:$F&amp;'5) Release_Track'!$G:$G,1,0))),vlookup($A916&amp;$B916,{'5) Release_Track'!$F:$F&amp;'5) Release_Track'!$G:$G,'5) Release_Track'!$H:$H},2,0), or(and(not(isblank($B916)),$B916=$B915,$A916&lt;&gt;$A915),and(not(isblank($A916)),$A916=$A915,$B916&lt;&gt;$B915)),"ID LISTS UNALIGNED",and($A916&lt;&gt;"",countif('5) Release_Track'!$F:$F,$A916)=0),"NO ISRC MATCH in Release_Track",and($B916&lt;&gt;"",countif('5) Release_Track'!$G:$G,$B916)=0),"NO CATALOG ID MATCH in Release_Track",iserror(vlookup($A916&amp;$B916,'5) Release_Track'!$F:$F&amp;'5) Release_Track'!$G:$G,1,0)),"NO ISRC-CATALOG ID pair MATCH in Release_Track" )</f>
        <v/>
      </c>
      <c r="D916" s="121" t="str">
        <f t="array" ref="D916">ifs(and(isblank($A916),isblank($B916)),"", not(iserror(vlookup($A916&amp;$B916,'5) Release_Track'!$F:$F&amp;'5) Release_Track'!$G:$G,1,0))),vlookup($A916&amp;$B916,{'5) Release_Track'!$F:$F&amp;'5) Release_Track'!$G:$G,'5) Release_Track'!$I:$I},2,0), or(and(not(isblank($B916)),$B916=$B915,$A916&lt;&gt;$A915),and(not(isblank($A916)),$A916=$A915,$B916&lt;&gt;$B915)),"ID LISTS UNALIGNED",and($A916&lt;&gt;"",countif('5) Release_Track'!$F:$F,$A916)=0),"NO ISRC MATCH in Release_Track",and($B916&lt;&gt;"",countif('5) Release_Track'!$G:$G,$B916)=0),"NO CATALOG ID MATCH in Release_Track",iserror(vlookup($A916&amp;$B916,'5) Release_Track'!$F:$F&amp;'5) Release_Track'!$G:$G,1,0)),"NO ISRC-CATALOG ID pair MATCH in Release_Track" )</f>
        <v/>
      </c>
      <c r="E916" s="142" t="b">
        <v>0</v>
      </c>
      <c r="F916" s="142" t="b">
        <v>0</v>
      </c>
      <c r="G916" s="142" t="b">
        <v>0</v>
      </c>
      <c r="H916" s="142" t="b">
        <v>0</v>
      </c>
      <c r="I916" s="142" t="b">
        <v>0</v>
      </c>
      <c r="J916" s="142" t="b">
        <v>0</v>
      </c>
      <c r="K916" s="142" t="b">
        <v>0</v>
      </c>
      <c r="L916" s="8" t="b">
        <v>0</v>
      </c>
    </row>
    <row r="917">
      <c r="B917" s="103"/>
      <c r="C917" s="121" t="str">
        <f t="array" ref="C917">ifs(and(isblank($A917),isblank($B917)),"", not(iserror(vlookup($A917&amp;$B917,'5) Release_Track'!$F:$F&amp;'5) Release_Track'!$G:$G,1,0))),vlookup($A917&amp;$B917,{'5) Release_Track'!$F:$F&amp;'5) Release_Track'!$G:$G,'5) Release_Track'!$H:$H},2,0), or(and(not(isblank($B917)),$B917=$B916,$A917&lt;&gt;$A916),and(not(isblank($A917)),$A917=$A916,$B917&lt;&gt;$B916)),"ID LISTS UNALIGNED",and($A917&lt;&gt;"",countif('5) Release_Track'!$F:$F,$A917)=0),"NO ISRC MATCH in Release_Track",and($B917&lt;&gt;"",countif('5) Release_Track'!$G:$G,$B917)=0),"NO CATALOG ID MATCH in Release_Track",iserror(vlookup($A917&amp;$B917,'5) Release_Track'!$F:$F&amp;'5) Release_Track'!$G:$G,1,0)),"NO ISRC-CATALOG ID pair MATCH in Release_Track" )</f>
        <v/>
      </c>
      <c r="D917" s="121" t="str">
        <f t="array" ref="D917">ifs(and(isblank($A917),isblank($B917)),"", not(iserror(vlookup($A917&amp;$B917,'5) Release_Track'!$F:$F&amp;'5) Release_Track'!$G:$G,1,0))),vlookup($A917&amp;$B917,{'5) Release_Track'!$F:$F&amp;'5) Release_Track'!$G:$G,'5) Release_Track'!$I:$I},2,0), or(and(not(isblank($B917)),$B917=$B916,$A917&lt;&gt;$A916),and(not(isblank($A917)),$A917=$A916,$B917&lt;&gt;$B916)),"ID LISTS UNALIGNED",and($A917&lt;&gt;"",countif('5) Release_Track'!$F:$F,$A917)=0),"NO ISRC MATCH in Release_Track",and($B917&lt;&gt;"",countif('5) Release_Track'!$G:$G,$B917)=0),"NO CATALOG ID MATCH in Release_Track",iserror(vlookup($A917&amp;$B917,'5) Release_Track'!$F:$F&amp;'5) Release_Track'!$G:$G,1,0)),"NO ISRC-CATALOG ID pair MATCH in Release_Track" )</f>
        <v/>
      </c>
      <c r="E917" s="142" t="b">
        <v>0</v>
      </c>
      <c r="F917" s="142" t="b">
        <v>0</v>
      </c>
      <c r="G917" s="142" t="b">
        <v>0</v>
      </c>
      <c r="H917" s="142" t="b">
        <v>0</v>
      </c>
      <c r="I917" s="142" t="b">
        <v>0</v>
      </c>
      <c r="J917" s="142" t="b">
        <v>0</v>
      </c>
      <c r="K917" s="142" t="b">
        <v>0</v>
      </c>
      <c r="L917" s="8" t="b">
        <v>0</v>
      </c>
    </row>
    <row r="918">
      <c r="B918" s="103"/>
      <c r="C918" s="121" t="str">
        <f t="array" ref="C918">ifs(and(isblank($A918),isblank($B918)),"", not(iserror(vlookup($A918&amp;$B918,'5) Release_Track'!$F:$F&amp;'5) Release_Track'!$G:$G,1,0))),vlookup($A918&amp;$B918,{'5) Release_Track'!$F:$F&amp;'5) Release_Track'!$G:$G,'5) Release_Track'!$H:$H},2,0), or(and(not(isblank($B918)),$B918=$B917,$A918&lt;&gt;$A917),and(not(isblank($A918)),$A918=$A917,$B918&lt;&gt;$B917)),"ID LISTS UNALIGNED",and($A918&lt;&gt;"",countif('5) Release_Track'!$F:$F,$A918)=0),"NO ISRC MATCH in Release_Track",and($B918&lt;&gt;"",countif('5) Release_Track'!$G:$G,$B918)=0),"NO CATALOG ID MATCH in Release_Track",iserror(vlookup($A918&amp;$B918,'5) Release_Track'!$F:$F&amp;'5) Release_Track'!$G:$G,1,0)),"NO ISRC-CATALOG ID pair MATCH in Release_Track" )</f>
        <v/>
      </c>
      <c r="D918" s="121" t="str">
        <f t="array" ref="D918">ifs(and(isblank($A918),isblank($B918)),"", not(iserror(vlookup($A918&amp;$B918,'5) Release_Track'!$F:$F&amp;'5) Release_Track'!$G:$G,1,0))),vlookup($A918&amp;$B918,{'5) Release_Track'!$F:$F&amp;'5) Release_Track'!$G:$G,'5) Release_Track'!$I:$I},2,0), or(and(not(isblank($B918)),$B918=$B917,$A918&lt;&gt;$A917),and(not(isblank($A918)),$A918=$A917,$B918&lt;&gt;$B917)),"ID LISTS UNALIGNED",and($A918&lt;&gt;"",countif('5) Release_Track'!$F:$F,$A918)=0),"NO ISRC MATCH in Release_Track",and($B918&lt;&gt;"",countif('5) Release_Track'!$G:$G,$B918)=0),"NO CATALOG ID MATCH in Release_Track",iserror(vlookup($A918&amp;$B918,'5) Release_Track'!$F:$F&amp;'5) Release_Track'!$G:$G,1,0)),"NO ISRC-CATALOG ID pair MATCH in Release_Track" )</f>
        <v/>
      </c>
      <c r="E918" s="142" t="b">
        <v>0</v>
      </c>
      <c r="F918" s="142" t="b">
        <v>0</v>
      </c>
      <c r="G918" s="142" t="b">
        <v>0</v>
      </c>
      <c r="H918" s="142" t="b">
        <v>0</v>
      </c>
      <c r="I918" s="142" t="b">
        <v>0</v>
      </c>
      <c r="J918" s="142" t="b">
        <v>0</v>
      </c>
      <c r="K918" s="142" t="b">
        <v>0</v>
      </c>
      <c r="L918" s="8" t="b">
        <v>0</v>
      </c>
    </row>
    <row r="919">
      <c r="B919" s="103"/>
      <c r="C919" s="121" t="str">
        <f t="array" ref="C919">ifs(and(isblank($A919),isblank($B919)),"", not(iserror(vlookup($A919&amp;$B919,'5) Release_Track'!$F:$F&amp;'5) Release_Track'!$G:$G,1,0))),vlookup($A919&amp;$B919,{'5) Release_Track'!$F:$F&amp;'5) Release_Track'!$G:$G,'5) Release_Track'!$H:$H},2,0), or(and(not(isblank($B919)),$B919=$B918,$A919&lt;&gt;$A918),and(not(isblank($A919)),$A919=$A918,$B919&lt;&gt;$B918)),"ID LISTS UNALIGNED",and($A919&lt;&gt;"",countif('5) Release_Track'!$F:$F,$A919)=0),"NO ISRC MATCH in Release_Track",and($B919&lt;&gt;"",countif('5) Release_Track'!$G:$G,$B919)=0),"NO CATALOG ID MATCH in Release_Track",iserror(vlookup($A919&amp;$B919,'5) Release_Track'!$F:$F&amp;'5) Release_Track'!$G:$G,1,0)),"NO ISRC-CATALOG ID pair MATCH in Release_Track" )</f>
        <v/>
      </c>
      <c r="D919" s="121" t="str">
        <f t="array" ref="D919">ifs(and(isblank($A919),isblank($B919)),"", not(iserror(vlookup($A919&amp;$B919,'5) Release_Track'!$F:$F&amp;'5) Release_Track'!$G:$G,1,0))),vlookup($A919&amp;$B919,{'5) Release_Track'!$F:$F&amp;'5) Release_Track'!$G:$G,'5) Release_Track'!$I:$I},2,0), or(and(not(isblank($B919)),$B919=$B918,$A919&lt;&gt;$A918),and(not(isblank($A919)),$A919=$A918,$B919&lt;&gt;$B918)),"ID LISTS UNALIGNED",and($A919&lt;&gt;"",countif('5) Release_Track'!$F:$F,$A919)=0),"NO ISRC MATCH in Release_Track",and($B919&lt;&gt;"",countif('5) Release_Track'!$G:$G,$B919)=0),"NO CATALOG ID MATCH in Release_Track",iserror(vlookup($A919&amp;$B919,'5) Release_Track'!$F:$F&amp;'5) Release_Track'!$G:$G,1,0)),"NO ISRC-CATALOG ID pair MATCH in Release_Track" )</f>
        <v/>
      </c>
      <c r="E919" s="142" t="b">
        <v>0</v>
      </c>
      <c r="F919" s="142" t="b">
        <v>0</v>
      </c>
      <c r="G919" s="142" t="b">
        <v>0</v>
      </c>
      <c r="H919" s="142" t="b">
        <v>0</v>
      </c>
      <c r="I919" s="142" t="b">
        <v>0</v>
      </c>
      <c r="J919" s="142" t="b">
        <v>0</v>
      </c>
      <c r="K919" s="142" t="b">
        <v>0</v>
      </c>
      <c r="L919" s="8" t="b">
        <v>0</v>
      </c>
    </row>
    <row r="920">
      <c r="B920" s="103"/>
      <c r="C920" s="121" t="str">
        <f t="array" ref="C920">ifs(and(isblank($A920),isblank($B920)),"", not(iserror(vlookup($A920&amp;$B920,'5) Release_Track'!$F:$F&amp;'5) Release_Track'!$G:$G,1,0))),vlookup($A920&amp;$B920,{'5) Release_Track'!$F:$F&amp;'5) Release_Track'!$G:$G,'5) Release_Track'!$H:$H},2,0), or(and(not(isblank($B920)),$B920=$B919,$A920&lt;&gt;$A919),and(not(isblank($A920)),$A920=$A919,$B920&lt;&gt;$B919)),"ID LISTS UNALIGNED",and($A920&lt;&gt;"",countif('5) Release_Track'!$F:$F,$A920)=0),"NO ISRC MATCH in Release_Track",and($B920&lt;&gt;"",countif('5) Release_Track'!$G:$G,$B920)=0),"NO CATALOG ID MATCH in Release_Track",iserror(vlookup($A920&amp;$B920,'5) Release_Track'!$F:$F&amp;'5) Release_Track'!$G:$G,1,0)),"NO ISRC-CATALOG ID pair MATCH in Release_Track" )</f>
        <v/>
      </c>
      <c r="D920" s="121" t="str">
        <f t="array" ref="D920">ifs(and(isblank($A920),isblank($B920)),"", not(iserror(vlookup($A920&amp;$B920,'5) Release_Track'!$F:$F&amp;'5) Release_Track'!$G:$G,1,0))),vlookup($A920&amp;$B920,{'5) Release_Track'!$F:$F&amp;'5) Release_Track'!$G:$G,'5) Release_Track'!$I:$I},2,0), or(and(not(isblank($B920)),$B920=$B919,$A920&lt;&gt;$A919),and(not(isblank($A920)),$A920=$A919,$B920&lt;&gt;$B919)),"ID LISTS UNALIGNED",and($A920&lt;&gt;"",countif('5) Release_Track'!$F:$F,$A920)=0),"NO ISRC MATCH in Release_Track",and($B920&lt;&gt;"",countif('5) Release_Track'!$G:$G,$B920)=0),"NO CATALOG ID MATCH in Release_Track",iserror(vlookup($A920&amp;$B920,'5) Release_Track'!$F:$F&amp;'5) Release_Track'!$G:$G,1,0)),"NO ISRC-CATALOG ID pair MATCH in Release_Track" )</f>
        <v/>
      </c>
      <c r="E920" s="142" t="b">
        <v>0</v>
      </c>
      <c r="F920" s="142" t="b">
        <v>0</v>
      </c>
      <c r="G920" s="142" t="b">
        <v>0</v>
      </c>
      <c r="H920" s="142" t="b">
        <v>0</v>
      </c>
      <c r="I920" s="142" t="b">
        <v>0</v>
      </c>
      <c r="J920" s="142" t="b">
        <v>0</v>
      </c>
      <c r="K920" s="142" t="b">
        <v>0</v>
      </c>
      <c r="L920" s="8" t="b">
        <v>0</v>
      </c>
    </row>
    <row r="921">
      <c r="B921" s="103"/>
      <c r="C921" s="121" t="str">
        <f t="array" ref="C921">ifs(and(isblank($A921),isblank($B921)),"", not(iserror(vlookup($A921&amp;$B921,'5) Release_Track'!$F:$F&amp;'5) Release_Track'!$G:$G,1,0))),vlookup($A921&amp;$B921,{'5) Release_Track'!$F:$F&amp;'5) Release_Track'!$G:$G,'5) Release_Track'!$H:$H},2,0), or(and(not(isblank($B921)),$B921=$B920,$A921&lt;&gt;$A920),and(not(isblank($A921)),$A921=$A920,$B921&lt;&gt;$B920)),"ID LISTS UNALIGNED",and($A921&lt;&gt;"",countif('5) Release_Track'!$F:$F,$A921)=0),"NO ISRC MATCH in Release_Track",and($B921&lt;&gt;"",countif('5) Release_Track'!$G:$G,$B921)=0),"NO CATALOG ID MATCH in Release_Track",iserror(vlookup($A921&amp;$B921,'5) Release_Track'!$F:$F&amp;'5) Release_Track'!$G:$G,1,0)),"NO ISRC-CATALOG ID pair MATCH in Release_Track" )</f>
        <v/>
      </c>
      <c r="D921" s="121" t="str">
        <f t="array" ref="D921">ifs(and(isblank($A921),isblank($B921)),"", not(iserror(vlookup($A921&amp;$B921,'5) Release_Track'!$F:$F&amp;'5) Release_Track'!$G:$G,1,0))),vlookup($A921&amp;$B921,{'5) Release_Track'!$F:$F&amp;'5) Release_Track'!$G:$G,'5) Release_Track'!$I:$I},2,0), or(and(not(isblank($B921)),$B921=$B920,$A921&lt;&gt;$A920),and(not(isblank($A921)),$A921=$A920,$B921&lt;&gt;$B920)),"ID LISTS UNALIGNED",and($A921&lt;&gt;"",countif('5) Release_Track'!$F:$F,$A921)=0),"NO ISRC MATCH in Release_Track",and($B921&lt;&gt;"",countif('5) Release_Track'!$G:$G,$B921)=0),"NO CATALOG ID MATCH in Release_Track",iserror(vlookup($A921&amp;$B921,'5) Release_Track'!$F:$F&amp;'5) Release_Track'!$G:$G,1,0)),"NO ISRC-CATALOG ID pair MATCH in Release_Track" )</f>
        <v/>
      </c>
      <c r="E921" s="142" t="b">
        <v>0</v>
      </c>
      <c r="F921" s="142" t="b">
        <v>0</v>
      </c>
      <c r="G921" s="142" t="b">
        <v>0</v>
      </c>
      <c r="H921" s="142" t="b">
        <v>0</v>
      </c>
      <c r="I921" s="142" t="b">
        <v>0</v>
      </c>
      <c r="J921" s="142" t="b">
        <v>0</v>
      </c>
      <c r="K921" s="142" t="b">
        <v>0</v>
      </c>
      <c r="L921" s="8" t="b">
        <v>0</v>
      </c>
    </row>
    <row r="922">
      <c r="B922" s="103"/>
      <c r="C922" s="121" t="str">
        <f t="array" ref="C922">ifs(and(isblank($A922),isblank($B922)),"", not(iserror(vlookup($A922&amp;$B922,'5) Release_Track'!$F:$F&amp;'5) Release_Track'!$G:$G,1,0))),vlookup($A922&amp;$B922,{'5) Release_Track'!$F:$F&amp;'5) Release_Track'!$G:$G,'5) Release_Track'!$H:$H},2,0), or(and(not(isblank($B922)),$B922=$B921,$A922&lt;&gt;$A921),and(not(isblank($A922)),$A922=$A921,$B922&lt;&gt;$B921)),"ID LISTS UNALIGNED",and($A922&lt;&gt;"",countif('5) Release_Track'!$F:$F,$A922)=0),"NO ISRC MATCH in Release_Track",and($B922&lt;&gt;"",countif('5) Release_Track'!$G:$G,$B922)=0),"NO CATALOG ID MATCH in Release_Track",iserror(vlookup($A922&amp;$B922,'5) Release_Track'!$F:$F&amp;'5) Release_Track'!$G:$G,1,0)),"NO ISRC-CATALOG ID pair MATCH in Release_Track" )</f>
        <v/>
      </c>
      <c r="D922" s="121" t="str">
        <f t="array" ref="D922">ifs(and(isblank($A922),isblank($B922)),"", not(iserror(vlookup($A922&amp;$B922,'5) Release_Track'!$F:$F&amp;'5) Release_Track'!$G:$G,1,0))),vlookup($A922&amp;$B922,{'5) Release_Track'!$F:$F&amp;'5) Release_Track'!$G:$G,'5) Release_Track'!$I:$I},2,0), or(and(not(isblank($B922)),$B922=$B921,$A922&lt;&gt;$A921),and(not(isblank($A922)),$A922=$A921,$B922&lt;&gt;$B921)),"ID LISTS UNALIGNED",and($A922&lt;&gt;"",countif('5) Release_Track'!$F:$F,$A922)=0),"NO ISRC MATCH in Release_Track",and($B922&lt;&gt;"",countif('5) Release_Track'!$G:$G,$B922)=0),"NO CATALOG ID MATCH in Release_Track",iserror(vlookup($A922&amp;$B922,'5) Release_Track'!$F:$F&amp;'5) Release_Track'!$G:$G,1,0)),"NO ISRC-CATALOG ID pair MATCH in Release_Track" )</f>
        <v/>
      </c>
      <c r="E922" s="142" t="b">
        <v>0</v>
      </c>
      <c r="F922" s="142" t="b">
        <v>0</v>
      </c>
      <c r="G922" s="142" t="b">
        <v>0</v>
      </c>
      <c r="H922" s="142" t="b">
        <v>0</v>
      </c>
      <c r="I922" s="142" t="b">
        <v>0</v>
      </c>
      <c r="J922" s="142" t="b">
        <v>0</v>
      </c>
      <c r="K922" s="142" t="b">
        <v>0</v>
      </c>
      <c r="L922" s="8" t="b">
        <v>0</v>
      </c>
    </row>
    <row r="923">
      <c r="B923" s="103"/>
      <c r="C923" s="121" t="str">
        <f t="array" ref="C923">ifs(and(isblank($A923),isblank($B923)),"", not(iserror(vlookup($A923&amp;$B923,'5) Release_Track'!$F:$F&amp;'5) Release_Track'!$G:$G,1,0))),vlookup($A923&amp;$B923,{'5) Release_Track'!$F:$F&amp;'5) Release_Track'!$G:$G,'5) Release_Track'!$H:$H},2,0), or(and(not(isblank($B923)),$B923=$B922,$A923&lt;&gt;$A922),and(not(isblank($A923)),$A923=$A922,$B923&lt;&gt;$B922)),"ID LISTS UNALIGNED",and($A923&lt;&gt;"",countif('5) Release_Track'!$F:$F,$A923)=0),"NO ISRC MATCH in Release_Track",and($B923&lt;&gt;"",countif('5) Release_Track'!$G:$G,$B923)=0),"NO CATALOG ID MATCH in Release_Track",iserror(vlookup($A923&amp;$B923,'5) Release_Track'!$F:$F&amp;'5) Release_Track'!$G:$G,1,0)),"NO ISRC-CATALOG ID pair MATCH in Release_Track" )</f>
        <v/>
      </c>
      <c r="D923" s="121" t="str">
        <f t="array" ref="D923">ifs(and(isblank($A923),isblank($B923)),"", not(iserror(vlookup($A923&amp;$B923,'5) Release_Track'!$F:$F&amp;'5) Release_Track'!$G:$G,1,0))),vlookup($A923&amp;$B923,{'5) Release_Track'!$F:$F&amp;'5) Release_Track'!$G:$G,'5) Release_Track'!$I:$I},2,0), or(and(not(isblank($B923)),$B923=$B922,$A923&lt;&gt;$A922),and(not(isblank($A923)),$A923=$A922,$B923&lt;&gt;$B922)),"ID LISTS UNALIGNED",and($A923&lt;&gt;"",countif('5) Release_Track'!$F:$F,$A923)=0),"NO ISRC MATCH in Release_Track",and($B923&lt;&gt;"",countif('5) Release_Track'!$G:$G,$B923)=0),"NO CATALOG ID MATCH in Release_Track",iserror(vlookup($A923&amp;$B923,'5) Release_Track'!$F:$F&amp;'5) Release_Track'!$G:$G,1,0)),"NO ISRC-CATALOG ID pair MATCH in Release_Track" )</f>
        <v/>
      </c>
      <c r="E923" s="142" t="b">
        <v>0</v>
      </c>
      <c r="F923" s="142" t="b">
        <v>0</v>
      </c>
      <c r="G923" s="142" t="b">
        <v>0</v>
      </c>
      <c r="H923" s="142" t="b">
        <v>0</v>
      </c>
      <c r="I923" s="142" t="b">
        <v>0</v>
      </c>
      <c r="J923" s="142" t="b">
        <v>0</v>
      </c>
      <c r="K923" s="142" t="b">
        <v>0</v>
      </c>
      <c r="L923" s="8" t="b">
        <v>0</v>
      </c>
    </row>
    <row r="924">
      <c r="B924" s="103"/>
      <c r="C924" s="121" t="str">
        <f t="array" ref="C924">ifs(and(isblank($A924),isblank($B924)),"", not(iserror(vlookup($A924&amp;$B924,'5) Release_Track'!$F:$F&amp;'5) Release_Track'!$G:$G,1,0))),vlookup($A924&amp;$B924,{'5) Release_Track'!$F:$F&amp;'5) Release_Track'!$G:$G,'5) Release_Track'!$H:$H},2,0), or(and(not(isblank($B924)),$B924=$B923,$A924&lt;&gt;$A923),and(not(isblank($A924)),$A924=$A923,$B924&lt;&gt;$B923)),"ID LISTS UNALIGNED",and($A924&lt;&gt;"",countif('5) Release_Track'!$F:$F,$A924)=0),"NO ISRC MATCH in Release_Track",and($B924&lt;&gt;"",countif('5) Release_Track'!$G:$G,$B924)=0),"NO CATALOG ID MATCH in Release_Track",iserror(vlookup($A924&amp;$B924,'5) Release_Track'!$F:$F&amp;'5) Release_Track'!$G:$G,1,0)),"NO ISRC-CATALOG ID pair MATCH in Release_Track" )</f>
        <v/>
      </c>
      <c r="D924" s="121" t="str">
        <f t="array" ref="D924">ifs(and(isblank($A924),isblank($B924)),"", not(iserror(vlookup($A924&amp;$B924,'5) Release_Track'!$F:$F&amp;'5) Release_Track'!$G:$G,1,0))),vlookup($A924&amp;$B924,{'5) Release_Track'!$F:$F&amp;'5) Release_Track'!$G:$G,'5) Release_Track'!$I:$I},2,0), or(and(not(isblank($B924)),$B924=$B923,$A924&lt;&gt;$A923),and(not(isblank($A924)),$A924=$A923,$B924&lt;&gt;$B923)),"ID LISTS UNALIGNED",and($A924&lt;&gt;"",countif('5) Release_Track'!$F:$F,$A924)=0),"NO ISRC MATCH in Release_Track",and($B924&lt;&gt;"",countif('5) Release_Track'!$G:$G,$B924)=0),"NO CATALOG ID MATCH in Release_Track",iserror(vlookup($A924&amp;$B924,'5) Release_Track'!$F:$F&amp;'5) Release_Track'!$G:$G,1,0)),"NO ISRC-CATALOG ID pair MATCH in Release_Track" )</f>
        <v/>
      </c>
      <c r="E924" s="142" t="b">
        <v>0</v>
      </c>
      <c r="F924" s="142" t="b">
        <v>0</v>
      </c>
      <c r="G924" s="142" t="b">
        <v>0</v>
      </c>
      <c r="H924" s="142" t="b">
        <v>0</v>
      </c>
      <c r="I924" s="142" t="b">
        <v>0</v>
      </c>
      <c r="J924" s="142" t="b">
        <v>0</v>
      </c>
      <c r="K924" s="142" t="b">
        <v>0</v>
      </c>
      <c r="L924" s="8" t="b">
        <v>0</v>
      </c>
    </row>
    <row r="925">
      <c r="B925" s="103"/>
      <c r="C925" s="121" t="str">
        <f t="array" ref="C925">ifs(and(isblank($A925),isblank($B925)),"", not(iserror(vlookup($A925&amp;$B925,'5) Release_Track'!$F:$F&amp;'5) Release_Track'!$G:$G,1,0))),vlookup($A925&amp;$B925,{'5) Release_Track'!$F:$F&amp;'5) Release_Track'!$G:$G,'5) Release_Track'!$H:$H},2,0), or(and(not(isblank($B925)),$B925=$B924,$A925&lt;&gt;$A924),and(not(isblank($A925)),$A925=$A924,$B925&lt;&gt;$B924)),"ID LISTS UNALIGNED",and($A925&lt;&gt;"",countif('5) Release_Track'!$F:$F,$A925)=0),"NO ISRC MATCH in Release_Track",and($B925&lt;&gt;"",countif('5) Release_Track'!$G:$G,$B925)=0),"NO CATALOG ID MATCH in Release_Track",iserror(vlookup($A925&amp;$B925,'5) Release_Track'!$F:$F&amp;'5) Release_Track'!$G:$G,1,0)),"NO ISRC-CATALOG ID pair MATCH in Release_Track" )</f>
        <v/>
      </c>
      <c r="D925" s="121" t="str">
        <f t="array" ref="D925">ifs(and(isblank($A925),isblank($B925)),"", not(iserror(vlookup($A925&amp;$B925,'5) Release_Track'!$F:$F&amp;'5) Release_Track'!$G:$G,1,0))),vlookup($A925&amp;$B925,{'5) Release_Track'!$F:$F&amp;'5) Release_Track'!$G:$G,'5) Release_Track'!$I:$I},2,0), or(and(not(isblank($B925)),$B925=$B924,$A925&lt;&gt;$A924),and(not(isblank($A925)),$A925=$A924,$B925&lt;&gt;$B924)),"ID LISTS UNALIGNED",and($A925&lt;&gt;"",countif('5) Release_Track'!$F:$F,$A925)=0),"NO ISRC MATCH in Release_Track",and($B925&lt;&gt;"",countif('5) Release_Track'!$G:$G,$B925)=0),"NO CATALOG ID MATCH in Release_Track",iserror(vlookup($A925&amp;$B925,'5) Release_Track'!$F:$F&amp;'5) Release_Track'!$G:$G,1,0)),"NO ISRC-CATALOG ID pair MATCH in Release_Track" )</f>
        <v/>
      </c>
      <c r="E925" s="142" t="b">
        <v>0</v>
      </c>
      <c r="F925" s="142" t="b">
        <v>0</v>
      </c>
      <c r="G925" s="142" t="b">
        <v>0</v>
      </c>
      <c r="H925" s="142" t="b">
        <v>0</v>
      </c>
      <c r="I925" s="142" t="b">
        <v>0</v>
      </c>
      <c r="J925" s="142" t="b">
        <v>0</v>
      </c>
      <c r="K925" s="142" t="b">
        <v>0</v>
      </c>
      <c r="L925" s="8" t="b">
        <v>0</v>
      </c>
    </row>
    <row r="926">
      <c r="B926" s="103"/>
      <c r="C926" s="121" t="str">
        <f t="array" ref="C926">ifs(and(isblank($A926),isblank($B926)),"", not(iserror(vlookup($A926&amp;$B926,'5) Release_Track'!$F:$F&amp;'5) Release_Track'!$G:$G,1,0))),vlookup($A926&amp;$B926,{'5) Release_Track'!$F:$F&amp;'5) Release_Track'!$G:$G,'5) Release_Track'!$H:$H},2,0), or(and(not(isblank($B926)),$B926=$B925,$A926&lt;&gt;$A925),and(not(isblank($A926)),$A926=$A925,$B926&lt;&gt;$B925)),"ID LISTS UNALIGNED",and($A926&lt;&gt;"",countif('5) Release_Track'!$F:$F,$A926)=0),"NO ISRC MATCH in Release_Track",and($B926&lt;&gt;"",countif('5) Release_Track'!$G:$G,$B926)=0),"NO CATALOG ID MATCH in Release_Track",iserror(vlookup($A926&amp;$B926,'5) Release_Track'!$F:$F&amp;'5) Release_Track'!$G:$G,1,0)),"NO ISRC-CATALOG ID pair MATCH in Release_Track" )</f>
        <v/>
      </c>
      <c r="D926" s="121" t="str">
        <f t="array" ref="D926">ifs(and(isblank($A926),isblank($B926)),"", not(iserror(vlookup($A926&amp;$B926,'5) Release_Track'!$F:$F&amp;'5) Release_Track'!$G:$G,1,0))),vlookup($A926&amp;$B926,{'5) Release_Track'!$F:$F&amp;'5) Release_Track'!$G:$G,'5) Release_Track'!$I:$I},2,0), or(and(not(isblank($B926)),$B926=$B925,$A926&lt;&gt;$A925),and(not(isblank($A926)),$A926=$A925,$B926&lt;&gt;$B925)),"ID LISTS UNALIGNED",and($A926&lt;&gt;"",countif('5) Release_Track'!$F:$F,$A926)=0),"NO ISRC MATCH in Release_Track",and($B926&lt;&gt;"",countif('5) Release_Track'!$G:$G,$B926)=0),"NO CATALOG ID MATCH in Release_Track",iserror(vlookup($A926&amp;$B926,'5) Release_Track'!$F:$F&amp;'5) Release_Track'!$G:$G,1,0)),"NO ISRC-CATALOG ID pair MATCH in Release_Track" )</f>
        <v/>
      </c>
      <c r="E926" s="142" t="b">
        <v>0</v>
      </c>
      <c r="F926" s="142" t="b">
        <v>0</v>
      </c>
      <c r="G926" s="142" t="b">
        <v>0</v>
      </c>
      <c r="H926" s="142" t="b">
        <v>0</v>
      </c>
      <c r="I926" s="142" t="b">
        <v>0</v>
      </c>
      <c r="J926" s="142" t="b">
        <v>0</v>
      </c>
      <c r="K926" s="142" t="b">
        <v>0</v>
      </c>
      <c r="L926" s="8" t="b">
        <v>0</v>
      </c>
    </row>
    <row r="927">
      <c r="B927" s="103"/>
      <c r="C927" s="121" t="str">
        <f t="array" ref="C927">ifs(and(isblank($A927),isblank($B927)),"", not(iserror(vlookup($A927&amp;$B927,'5) Release_Track'!$F:$F&amp;'5) Release_Track'!$G:$G,1,0))),vlookup($A927&amp;$B927,{'5) Release_Track'!$F:$F&amp;'5) Release_Track'!$G:$G,'5) Release_Track'!$H:$H},2,0), or(and(not(isblank($B927)),$B927=$B926,$A927&lt;&gt;$A926),and(not(isblank($A927)),$A927=$A926,$B927&lt;&gt;$B926)),"ID LISTS UNALIGNED",and($A927&lt;&gt;"",countif('5) Release_Track'!$F:$F,$A927)=0),"NO ISRC MATCH in Release_Track",and($B927&lt;&gt;"",countif('5) Release_Track'!$G:$G,$B927)=0),"NO CATALOG ID MATCH in Release_Track",iserror(vlookup($A927&amp;$B927,'5) Release_Track'!$F:$F&amp;'5) Release_Track'!$G:$G,1,0)),"NO ISRC-CATALOG ID pair MATCH in Release_Track" )</f>
        <v/>
      </c>
      <c r="D927" s="121" t="str">
        <f t="array" ref="D927">ifs(and(isblank($A927),isblank($B927)),"", not(iserror(vlookup($A927&amp;$B927,'5) Release_Track'!$F:$F&amp;'5) Release_Track'!$G:$G,1,0))),vlookup($A927&amp;$B927,{'5) Release_Track'!$F:$F&amp;'5) Release_Track'!$G:$G,'5) Release_Track'!$I:$I},2,0), or(and(not(isblank($B927)),$B927=$B926,$A927&lt;&gt;$A926),and(not(isblank($A927)),$A927=$A926,$B927&lt;&gt;$B926)),"ID LISTS UNALIGNED",and($A927&lt;&gt;"",countif('5) Release_Track'!$F:$F,$A927)=0),"NO ISRC MATCH in Release_Track",and($B927&lt;&gt;"",countif('5) Release_Track'!$G:$G,$B927)=0),"NO CATALOG ID MATCH in Release_Track",iserror(vlookup($A927&amp;$B927,'5) Release_Track'!$F:$F&amp;'5) Release_Track'!$G:$G,1,0)),"NO ISRC-CATALOG ID pair MATCH in Release_Track" )</f>
        <v/>
      </c>
      <c r="E927" s="142" t="b">
        <v>0</v>
      </c>
      <c r="F927" s="142" t="b">
        <v>0</v>
      </c>
      <c r="G927" s="142" t="b">
        <v>0</v>
      </c>
      <c r="H927" s="142" t="b">
        <v>0</v>
      </c>
      <c r="I927" s="142" t="b">
        <v>0</v>
      </c>
      <c r="J927" s="142" t="b">
        <v>0</v>
      </c>
      <c r="K927" s="142" t="b">
        <v>0</v>
      </c>
      <c r="L927" s="8" t="b">
        <v>0</v>
      </c>
    </row>
    <row r="928">
      <c r="B928" s="103"/>
      <c r="C928" s="121" t="str">
        <f t="array" ref="C928">ifs(and(isblank($A928),isblank($B928)),"", not(iserror(vlookup($A928&amp;$B928,'5) Release_Track'!$F:$F&amp;'5) Release_Track'!$G:$G,1,0))),vlookup($A928&amp;$B928,{'5) Release_Track'!$F:$F&amp;'5) Release_Track'!$G:$G,'5) Release_Track'!$H:$H},2,0), or(and(not(isblank($B928)),$B928=$B927,$A928&lt;&gt;$A927),and(not(isblank($A928)),$A928=$A927,$B928&lt;&gt;$B927)),"ID LISTS UNALIGNED",and($A928&lt;&gt;"",countif('5) Release_Track'!$F:$F,$A928)=0),"NO ISRC MATCH in Release_Track",and($B928&lt;&gt;"",countif('5) Release_Track'!$G:$G,$B928)=0),"NO CATALOG ID MATCH in Release_Track",iserror(vlookup($A928&amp;$B928,'5) Release_Track'!$F:$F&amp;'5) Release_Track'!$G:$G,1,0)),"NO ISRC-CATALOG ID pair MATCH in Release_Track" )</f>
        <v/>
      </c>
      <c r="D928" s="121" t="str">
        <f t="array" ref="D928">ifs(and(isblank($A928),isblank($B928)),"", not(iserror(vlookup($A928&amp;$B928,'5) Release_Track'!$F:$F&amp;'5) Release_Track'!$G:$G,1,0))),vlookup($A928&amp;$B928,{'5) Release_Track'!$F:$F&amp;'5) Release_Track'!$G:$G,'5) Release_Track'!$I:$I},2,0), or(and(not(isblank($B928)),$B928=$B927,$A928&lt;&gt;$A927),and(not(isblank($A928)),$A928=$A927,$B928&lt;&gt;$B927)),"ID LISTS UNALIGNED",and($A928&lt;&gt;"",countif('5) Release_Track'!$F:$F,$A928)=0),"NO ISRC MATCH in Release_Track",and($B928&lt;&gt;"",countif('5) Release_Track'!$G:$G,$B928)=0),"NO CATALOG ID MATCH in Release_Track",iserror(vlookup($A928&amp;$B928,'5) Release_Track'!$F:$F&amp;'5) Release_Track'!$G:$G,1,0)),"NO ISRC-CATALOG ID pair MATCH in Release_Track" )</f>
        <v/>
      </c>
      <c r="E928" s="142" t="b">
        <v>0</v>
      </c>
      <c r="F928" s="142" t="b">
        <v>0</v>
      </c>
      <c r="G928" s="142" t="b">
        <v>0</v>
      </c>
      <c r="H928" s="142" t="b">
        <v>0</v>
      </c>
      <c r="I928" s="142" t="b">
        <v>0</v>
      </c>
      <c r="J928" s="142" t="b">
        <v>0</v>
      </c>
      <c r="K928" s="142" t="b">
        <v>0</v>
      </c>
      <c r="L928" s="8" t="b">
        <v>0</v>
      </c>
    </row>
    <row r="929">
      <c r="B929" s="103"/>
      <c r="C929" s="121" t="str">
        <f t="array" ref="C929">ifs(and(isblank($A929),isblank($B929)),"", not(iserror(vlookup($A929&amp;$B929,'5) Release_Track'!$F:$F&amp;'5) Release_Track'!$G:$G,1,0))),vlookup($A929&amp;$B929,{'5) Release_Track'!$F:$F&amp;'5) Release_Track'!$G:$G,'5) Release_Track'!$H:$H},2,0), or(and(not(isblank($B929)),$B929=$B928,$A929&lt;&gt;$A928),and(not(isblank($A929)),$A929=$A928,$B929&lt;&gt;$B928)),"ID LISTS UNALIGNED",and($A929&lt;&gt;"",countif('5) Release_Track'!$F:$F,$A929)=0),"NO ISRC MATCH in Release_Track",and($B929&lt;&gt;"",countif('5) Release_Track'!$G:$G,$B929)=0),"NO CATALOG ID MATCH in Release_Track",iserror(vlookup($A929&amp;$B929,'5) Release_Track'!$F:$F&amp;'5) Release_Track'!$G:$G,1,0)),"NO ISRC-CATALOG ID pair MATCH in Release_Track" )</f>
        <v/>
      </c>
      <c r="D929" s="121" t="str">
        <f t="array" ref="D929">ifs(and(isblank($A929),isblank($B929)),"", not(iserror(vlookup($A929&amp;$B929,'5) Release_Track'!$F:$F&amp;'5) Release_Track'!$G:$G,1,0))),vlookup($A929&amp;$B929,{'5) Release_Track'!$F:$F&amp;'5) Release_Track'!$G:$G,'5) Release_Track'!$I:$I},2,0), or(and(not(isblank($B929)),$B929=$B928,$A929&lt;&gt;$A928),and(not(isblank($A929)),$A929=$A928,$B929&lt;&gt;$B928)),"ID LISTS UNALIGNED",and($A929&lt;&gt;"",countif('5) Release_Track'!$F:$F,$A929)=0),"NO ISRC MATCH in Release_Track",and($B929&lt;&gt;"",countif('5) Release_Track'!$G:$G,$B929)=0),"NO CATALOG ID MATCH in Release_Track",iserror(vlookup($A929&amp;$B929,'5) Release_Track'!$F:$F&amp;'5) Release_Track'!$G:$G,1,0)),"NO ISRC-CATALOG ID pair MATCH in Release_Track" )</f>
        <v/>
      </c>
      <c r="E929" s="142" t="b">
        <v>0</v>
      </c>
      <c r="F929" s="142" t="b">
        <v>0</v>
      </c>
      <c r="G929" s="142" t="b">
        <v>0</v>
      </c>
      <c r="H929" s="142" t="b">
        <v>0</v>
      </c>
      <c r="I929" s="142" t="b">
        <v>0</v>
      </c>
      <c r="J929" s="142" t="b">
        <v>0</v>
      </c>
      <c r="K929" s="142" t="b">
        <v>0</v>
      </c>
      <c r="L929" s="8" t="b">
        <v>0</v>
      </c>
    </row>
    <row r="930">
      <c r="B930" s="103"/>
      <c r="C930" s="121" t="str">
        <f t="array" ref="C930">ifs(and(isblank($A930),isblank($B930)),"", not(iserror(vlookup($A930&amp;$B930,'5) Release_Track'!$F:$F&amp;'5) Release_Track'!$G:$G,1,0))),vlookup($A930&amp;$B930,{'5) Release_Track'!$F:$F&amp;'5) Release_Track'!$G:$G,'5) Release_Track'!$H:$H},2,0), or(and(not(isblank($B930)),$B930=$B929,$A930&lt;&gt;$A929),and(not(isblank($A930)),$A930=$A929,$B930&lt;&gt;$B929)),"ID LISTS UNALIGNED",and($A930&lt;&gt;"",countif('5) Release_Track'!$F:$F,$A930)=0),"NO ISRC MATCH in Release_Track",and($B930&lt;&gt;"",countif('5) Release_Track'!$G:$G,$B930)=0),"NO CATALOG ID MATCH in Release_Track",iserror(vlookup($A930&amp;$B930,'5) Release_Track'!$F:$F&amp;'5) Release_Track'!$G:$G,1,0)),"NO ISRC-CATALOG ID pair MATCH in Release_Track" )</f>
        <v/>
      </c>
      <c r="D930" s="121" t="str">
        <f t="array" ref="D930">ifs(and(isblank($A930),isblank($B930)),"", not(iserror(vlookup($A930&amp;$B930,'5) Release_Track'!$F:$F&amp;'5) Release_Track'!$G:$G,1,0))),vlookup($A930&amp;$B930,{'5) Release_Track'!$F:$F&amp;'5) Release_Track'!$G:$G,'5) Release_Track'!$I:$I},2,0), or(and(not(isblank($B930)),$B930=$B929,$A930&lt;&gt;$A929),and(not(isblank($A930)),$A930=$A929,$B930&lt;&gt;$B929)),"ID LISTS UNALIGNED",and($A930&lt;&gt;"",countif('5) Release_Track'!$F:$F,$A930)=0),"NO ISRC MATCH in Release_Track",and($B930&lt;&gt;"",countif('5) Release_Track'!$G:$G,$B930)=0),"NO CATALOG ID MATCH in Release_Track",iserror(vlookup($A930&amp;$B930,'5) Release_Track'!$F:$F&amp;'5) Release_Track'!$G:$G,1,0)),"NO ISRC-CATALOG ID pair MATCH in Release_Track" )</f>
        <v/>
      </c>
      <c r="E930" s="142" t="b">
        <v>0</v>
      </c>
      <c r="F930" s="142" t="b">
        <v>0</v>
      </c>
      <c r="G930" s="142" t="b">
        <v>0</v>
      </c>
      <c r="H930" s="142" t="b">
        <v>0</v>
      </c>
      <c r="I930" s="142" t="b">
        <v>0</v>
      </c>
      <c r="J930" s="142" t="b">
        <v>0</v>
      </c>
      <c r="K930" s="142" t="b">
        <v>0</v>
      </c>
      <c r="L930" s="8" t="b">
        <v>0</v>
      </c>
    </row>
    <row r="931">
      <c r="B931" s="103"/>
      <c r="C931" s="121" t="str">
        <f t="array" ref="C931">ifs(and(isblank($A931),isblank($B931)),"", not(iserror(vlookup($A931&amp;$B931,'5) Release_Track'!$F:$F&amp;'5) Release_Track'!$G:$G,1,0))),vlookup($A931&amp;$B931,{'5) Release_Track'!$F:$F&amp;'5) Release_Track'!$G:$G,'5) Release_Track'!$H:$H},2,0), or(and(not(isblank($B931)),$B931=$B930,$A931&lt;&gt;$A930),and(not(isblank($A931)),$A931=$A930,$B931&lt;&gt;$B930)),"ID LISTS UNALIGNED",and($A931&lt;&gt;"",countif('5) Release_Track'!$F:$F,$A931)=0),"NO ISRC MATCH in Release_Track",and($B931&lt;&gt;"",countif('5) Release_Track'!$G:$G,$B931)=0),"NO CATALOG ID MATCH in Release_Track",iserror(vlookup($A931&amp;$B931,'5) Release_Track'!$F:$F&amp;'5) Release_Track'!$G:$G,1,0)),"NO ISRC-CATALOG ID pair MATCH in Release_Track" )</f>
        <v/>
      </c>
      <c r="D931" s="121" t="str">
        <f t="array" ref="D931">ifs(and(isblank($A931),isblank($B931)),"", not(iserror(vlookup($A931&amp;$B931,'5) Release_Track'!$F:$F&amp;'5) Release_Track'!$G:$G,1,0))),vlookup($A931&amp;$B931,{'5) Release_Track'!$F:$F&amp;'5) Release_Track'!$G:$G,'5) Release_Track'!$I:$I},2,0), or(and(not(isblank($B931)),$B931=$B930,$A931&lt;&gt;$A930),and(not(isblank($A931)),$A931=$A930,$B931&lt;&gt;$B930)),"ID LISTS UNALIGNED",and($A931&lt;&gt;"",countif('5) Release_Track'!$F:$F,$A931)=0),"NO ISRC MATCH in Release_Track",and($B931&lt;&gt;"",countif('5) Release_Track'!$G:$G,$B931)=0),"NO CATALOG ID MATCH in Release_Track",iserror(vlookup($A931&amp;$B931,'5) Release_Track'!$F:$F&amp;'5) Release_Track'!$G:$G,1,0)),"NO ISRC-CATALOG ID pair MATCH in Release_Track" )</f>
        <v/>
      </c>
      <c r="E931" s="142" t="b">
        <v>0</v>
      </c>
      <c r="F931" s="142" t="b">
        <v>0</v>
      </c>
      <c r="G931" s="142" t="b">
        <v>0</v>
      </c>
      <c r="H931" s="142" t="b">
        <v>0</v>
      </c>
      <c r="I931" s="142" t="b">
        <v>0</v>
      </c>
      <c r="J931" s="142" t="b">
        <v>0</v>
      </c>
      <c r="K931" s="142" t="b">
        <v>0</v>
      </c>
      <c r="L931" s="8" t="b">
        <v>0</v>
      </c>
    </row>
    <row r="932">
      <c r="B932" s="103"/>
      <c r="C932" s="121" t="str">
        <f t="array" ref="C932">ifs(and(isblank($A932),isblank($B932)),"", not(iserror(vlookup($A932&amp;$B932,'5) Release_Track'!$F:$F&amp;'5) Release_Track'!$G:$G,1,0))),vlookup($A932&amp;$B932,{'5) Release_Track'!$F:$F&amp;'5) Release_Track'!$G:$G,'5) Release_Track'!$H:$H},2,0), or(and(not(isblank($B932)),$B932=$B931,$A932&lt;&gt;$A931),and(not(isblank($A932)),$A932=$A931,$B932&lt;&gt;$B931)),"ID LISTS UNALIGNED",and($A932&lt;&gt;"",countif('5) Release_Track'!$F:$F,$A932)=0),"NO ISRC MATCH in Release_Track",and($B932&lt;&gt;"",countif('5) Release_Track'!$G:$G,$B932)=0),"NO CATALOG ID MATCH in Release_Track",iserror(vlookup($A932&amp;$B932,'5) Release_Track'!$F:$F&amp;'5) Release_Track'!$G:$G,1,0)),"NO ISRC-CATALOG ID pair MATCH in Release_Track" )</f>
        <v/>
      </c>
      <c r="D932" s="121" t="str">
        <f t="array" ref="D932">ifs(and(isblank($A932),isblank($B932)),"", not(iserror(vlookup($A932&amp;$B932,'5) Release_Track'!$F:$F&amp;'5) Release_Track'!$G:$G,1,0))),vlookup($A932&amp;$B932,{'5) Release_Track'!$F:$F&amp;'5) Release_Track'!$G:$G,'5) Release_Track'!$I:$I},2,0), or(and(not(isblank($B932)),$B932=$B931,$A932&lt;&gt;$A931),and(not(isblank($A932)),$A932=$A931,$B932&lt;&gt;$B931)),"ID LISTS UNALIGNED",and($A932&lt;&gt;"",countif('5) Release_Track'!$F:$F,$A932)=0),"NO ISRC MATCH in Release_Track",and($B932&lt;&gt;"",countif('5) Release_Track'!$G:$G,$B932)=0),"NO CATALOG ID MATCH in Release_Track",iserror(vlookup($A932&amp;$B932,'5) Release_Track'!$F:$F&amp;'5) Release_Track'!$G:$G,1,0)),"NO ISRC-CATALOG ID pair MATCH in Release_Track" )</f>
        <v/>
      </c>
      <c r="E932" s="142" t="b">
        <v>0</v>
      </c>
      <c r="F932" s="142" t="b">
        <v>0</v>
      </c>
      <c r="G932" s="142" t="b">
        <v>0</v>
      </c>
      <c r="H932" s="142" t="b">
        <v>0</v>
      </c>
      <c r="I932" s="142" t="b">
        <v>0</v>
      </c>
      <c r="J932" s="142" t="b">
        <v>0</v>
      </c>
      <c r="K932" s="142" t="b">
        <v>0</v>
      </c>
      <c r="L932" s="8" t="b">
        <v>0</v>
      </c>
    </row>
    <row r="933">
      <c r="B933" s="103"/>
      <c r="C933" s="121" t="str">
        <f t="array" ref="C933">ifs(and(isblank($A933),isblank($B933)),"", not(iserror(vlookup($A933&amp;$B933,'5) Release_Track'!$F:$F&amp;'5) Release_Track'!$G:$G,1,0))),vlookup($A933&amp;$B933,{'5) Release_Track'!$F:$F&amp;'5) Release_Track'!$G:$G,'5) Release_Track'!$H:$H},2,0), or(and(not(isblank($B933)),$B933=$B932,$A933&lt;&gt;$A932),and(not(isblank($A933)),$A933=$A932,$B933&lt;&gt;$B932)),"ID LISTS UNALIGNED",and($A933&lt;&gt;"",countif('5) Release_Track'!$F:$F,$A933)=0),"NO ISRC MATCH in Release_Track",and($B933&lt;&gt;"",countif('5) Release_Track'!$G:$G,$B933)=0),"NO CATALOG ID MATCH in Release_Track",iserror(vlookup($A933&amp;$B933,'5) Release_Track'!$F:$F&amp;'5) Release_Track'!$G:$G,1,0)),"NO ISRC-CATALOG ID pair MATCH in Release_Track" )</f>
        <v/>
      </c>
      <c r="D933" s="121" t="str">
        <f t="array" ref="D933">ifs(and(isblank($A933),isblank($B933)),"", not(iserror(vlookup($A933&amp;$B933,'5) Release_Track'!$F:$F&amp;'5) Release_Track'!$G:$G,1,0))),vlookup($A933&amp;$B933,{'5) Release_Track'!$F:$F&amp;'5) Release_Track'!$G:$G,'5) Release_Track'!$I:$I},2,0), or(and(not(isblank($B933)),$B933=$B932,$A933&lt;&gt;$A932),and(not(isblank($A933)),$A933=$A932,$B933&lt;&gt;$B932)),"ID LISTS UNALIGNED",and($A933&lt;&gt;"",countif('5) Release_Track'!$F:$F,$A933)=0),"NO ISRC MATCH in Release_Track",and($B933&lt;&gt;"",countif('5) Release_Track'!$G:$G,$B933)=0),"NO CATALOG ID MATCH in Release_Track",iserror(vlookup($A933&amp;$B933,'5) Release_Track'!$F:$F&amp;'5) Release_Track'!$G:$G,1,0)),"NO ISRC-CATALOG ID pair MATCH in Release_Track" )</f>
        <v/>
      </c>
      <c r="E933" s="142" t="b">
        <v>0</v>
      </c>
      <c r="F933" s="142" t="b">
        <v>0</v>
      </c>
      <c r="G933" s="142" t="b">
        <v>0</v>
      </c>
      <c r="H933" s="142" t="b">
        <v>0</v>
      </c>
      <c r="I933" s="142" t="b">
        <v>0</v>
      </c>
      <c r="J933" s="142" t="b">
        <v>0</v>
      </c>
      <c r="K933" s="142" t="b">
        <v>0</v>
      </c>
      <c r="L933" s="8" t="b">
        <v>0</v>
      </c>
    </row>
    <row r="934">
      <c r="B934" s="103"/>
      <c r="C934" s="121" t="str">
        <f t="array" ref="C934">ifs(and(isblank($A934),isblank($B934)),"", not(iserror(vlookup($A934&amp;$B934,'5) Release_Track'!$F:$F&amp;'5) Release_Track'!$G:$G,1,0))),vlookup($A934&amp;$B934,{'5) Release_Track'!$F:$F&amp;'5) Release_Track'!$G:$G,'5) Release_Track'!$H:$H},2,0), or(and(not(isblank($B934)),$B934=$B933,$A934&lt;&gt;$A933),and(not(isblank($A934)),$A934=$A933,$B934&lt;&gt;$B933)),"ID LISTS UNALIGNED",and($A934&lt;&gt;"",countif('5) Release_Track'!$F:$F,$A934)=0),"NO ISRC MATCH in Release_Track",and($B934&lt;&gt;"",countif('5) Release_Track'!$G:$G,$B934)=0),"NO CATALOG ID MATCH in Release_Track",iserror(vlookup($A934&amp;$B934,'5) Release_Track'!$F:$F&amp;'5) Release_Track'!$G:$G,1,0)),"NO ISRC-CATALOG ID pair MATCH in Release_Track" )</f>
        <v/>
      </c>
      <c r="D934" s="121" t="str">
        <f t="array" ref="D934">ifs(and(isblank($A934),isblank($B934)),"", not(iserror(vlookup($A934&amp;$B934,'5) Release_Track'!$F:$F&amp;'5) Release_Track'!$G:$G,1,0))),vlookup($A934&amp;$B934,{'5) Release_Track'!$F:$F&amp;'5) Release_Track'!$G:$G,'5) Release_Track'!$I:$I},2,0), or(and(not(isblank($B934)),$B934=$B933,$A934&lt;&gt;$A933),and(not(isblank($A934)),$A934=$A933,$B934&lt;&gt;$B933)),"ID LISTS UNALIGNED",and($A934&lt;&gt;"",countif('5) Release_Track'!$F:$F,$A934)=0),"NO ISRC MATCH in Release_Track",and($B934&lt;&gt;"",countif('5) Release_Track'!$G:$G,$B934)=0),"NO CATALOG ID MATCH in Release_Track",iserror(vlookup($A934&amp;$B934,'5) Release_Track'!$F:$F&amp;'5) Release_Track'!$G:$G,1,0)),"NO ISRC-CATALOG ID pair MATCH in Release_Track" )</f>
        <v/>
      </c>
      <c r="E934" s="142" t="b">
        <v>0</v>
      </c>
      <c r="F934" s="142" t="b">
        <v>0</v>
      </c>
      <c r="G934" s="142" t="b">
        <v>0</v>
      </c>
      <c r="H934" s="142" t="b">
        <v>0</v>
      </c>
      <c r="I934" s="142" t="b">
        <v>0</v>
      </c>
      <c r="J934" s="142" t="b">
        <v>0</v>
      </c>
      <c r="K934" s="142" t="b">
        <v>0</v>
      </c>
      <c r="L934" s="8" t="b">
        <v>0</v>
      </c>
    </row>
    <row r="935">
      <c r="B935" s="103"/>
      <c r="C935" s="121" t="str">
        <f t="array" ref="C935">ifs(and(isblank($A935),isblank($B935)),"", not(iserror(vlookup($A935&amp;$B935,'5) Release_Track'!$F:$F&amp;'5) Release_Track'!$G:$G,1,0))),vlookup($A935&amp;$B935,{'5) Release_Track'!$F:$F&amp;'5) Release_Track'!$G:$G,'5) Release_Track'!$H:$H},2,0), or(and(not(isblank($B935)),$B935=$B934,$A935&lt;&gt;$A934),and(not(isblank($A935)),$A935=$A934,$B935&lt;&gt;$B934)),"ID LISTS UNALIGNED",and($A935&lt;&gt;"",countif('5) Release_Track'!$F:$F,$A935)=0),"NO ISRC MATCH in Release_Track",and($B935&lt;&gt;"",countif('5) Release_Track'!$G:$G,$B935)=0),"NO CATALOG ID MATCH in Release_Track",iserror(vlookup($A935&amp;$B935,'5) Release_Track'!$F:$F&amp;'5) Release_Track'!$G:$G,1,0)),"NO ISRC-CATALOG ID pair MATCH in Release_Track" )</f>
        <v/>
      </c>
      <c r="D935" s="121" t="str">
        <f t="array" ref="D935">ifs(and(isblank($A935),isblank($B935)),"", not(iserror(vlookup($A935&amp;$B935,'5) Release_Track'!$F:$F&amp;'5) Release_Track'!$G:$G,1,0))),vlookup($A935&amp;$B935,{'5) Release_Track'!$F:$F&amp;'5) Release_Track'!$G:$G,'5) Release_Track'!$I:$I},2,0), or(and(not(isblank($B935)),$B935=$B934,$A935&lt;&gt;$A934),and(not(isblank($A935)),$A935=$A934,$B935&lt;&gt;$B934)),"ID LISTS UNALIGNED",and($A935&lt;&gt;"",countif('5) Release_Track'!$F:$F,$A935)=0),"NO ISRC MATCH in Release_Track",and($B935&lt;&gt;"",countif('5) Release_Track'!$G:$G,$B935)=0),"NO CATALOG ID MATCH in Release_Track",iserror(vlookup($A935&amp;$B935,'5) Release_Track'!$F:$F&amp;'5) Release_Track'!$G:$G,1,0)),"NO ISRC-CATALOG ID pair MATCH in Release_Track" )</f>
        <v/>
      </c>
      <c r="E935" s="142" t="b">
        <v>0</v>
      </c>
      <c r="F935" s="142" t="b">
        <v>0</v>
      </c>
      <c r="G935" s="142" t="b">
        <v>0</v>
      </c>
      <c r="H935" s="142" t="b">
        <v>0</v>
      </c>
      <c r="I935" s="142" t="b">
        <v>0</v>
      </c>
      <c r="J935" s="142" t="b">
        <v>0</v>
      </c>
      <c r="K935" s="142" t="b">
        <v>0</v>
      </c>
      <c r="L935" s="8" t="b">
        <v>0</v>
      </c>
    </row>
    <row r="936">
      <c r="B936" s="103"/>
      <c r="C936" s="121" t="str">
        <f t="array" ref="C936">ifs(and(isblank($A936),isblank($B936)),"", not(iserror(vlookup($A936&amp;$B936,'5) Release_Track'!$F:$F&amp;'5) Release_Track'!$G:$G,1,0))),vlookup($A936&amp;$B936,{'5) Release_Track'!$F:$F&amp;'5) Release_Track'!$G:$G,'5) Release_Track'!$H:$H},2,0), or(and(not(isblank($B936)),$B936=$B935,$A936&lt;&gt;$A935),and(not(isblank($A936)),$A936=$A935,$B936&lt;&gt;$B935)),"ID LISTS UNALIGNED",and($A936&lt;&gt;"",countif('5) Release_Track'!$F:$F,$A936)=0),"NO ISRC MATCH in Release_Track",and($B936&lt;&gt;"",countif('5) Release_Track'!$G:$G,$B936)=0),"NO CATALOG ID MATCH in Release_Track",iserror(vlookup($A936&amp;$B936,'5) Release_Track'!$F:$F&amp;'5) Release_Track'!$G:$G,1,0)),"NO ISRC-CATALOG ID pair MATCH in Release_Track" )</f>
        <v/>
      </c>
      <c r="D936" s="121" t="str">
        <f t="array" ref="D936">ifs(and(isblank($A936),isblank($B936)),"", not(iserror(vlookup($A936&amp;$B936,'5) Release_Track'!$F:$F&amp;'5) Release_Track'!$G:$G,1,0))),vlookup($A936&amp;$B936,{'5) Release_Track'!$F:$F&amp;'5) Release_Track'!$G:$G,'5) Release_Track'!$I:$I},2,0), or(and(not(isblank($B936)),$B936=$B935,$A936&lt;&gt;$A935),and(not(isblank($A936)),$A936=$A935,$B936&lt;&gt;$B935)),"ID LISTS UNALIGNED",and($A936&lt;&gt;"",countif('5) Release_Track'!$F:$F,$A936)=0),"NO ISRC MATCH in Release_Track",and($B936&lt;&gt;"",countif('5) Release_Track'!$G:$G,$B936)=0),"NO CATALOG ID MATCH in Release_Track",iserror(vlookup($A936&amp;$B936,'5) Release_Track'!$F:$F&amp;'5) Release_Track'!$G:$G,1,0)),"NO ISRC-CATALOG ID pair MATCH in Release_Track" )</f>
        <v/>
      </c>
      <c r="E936" s="142" t="b">
        <v>0</v>
      </c>
      <c r="F936" s="142" t="b">
        <v>0</v>
      </c>
      <c r="G936" s="142" t="b">
        <v>0</v>
      </c>
      <c r="H936" s="142" t="b">
        <v>0</v>
      </c>
      <c r="I936" s="142" t="b">
        <v>0</v>
      </c>
      <c r="J936" s="142" t="b">
        <v>0</v>
      </c>
      <c r="K936" s="142" t="b">
        <v>0</v>
      </c>
      <c r="L936" s="8" t="b">
        <v>0</v>
      </c>
    </row>
    <row r="937">
      <c r="B937" s="103"/>
      <c r="C937" s="121" t="str">
        <f t="array" ref="C937">ifs(and(isblank($A937),isblank($B937)),"", not(iserror(vlookup($A937&amp;$B937,'5) Release_Track'!$F:$F&amp;'5) Release_Track'!$G:$G,1,0))),vlookup($A937&amp;$B937,{'5) Release_Track'!$F:$F&amp;'5) Release_Track'!$G:$G,'5) Release_Track'!$H:$H},2,0), or(and(not(isblank($B937)),$B937=$B936,$A937&lt;&gt;$A936),and(not(isblank($A937)),$A937=$A936,$B937&lt;&gt;$B936)),"ID LISTS UNALIGNED",and($A937&lt;&gt;"",countif('5) Release_Track'!$F:$F,$A937)=0),"NO ISRC MATCH in Release_Track",and($B937&lt;&gt;"",countif('5) Release_Track'!$G:$G,$B937)=0),"NO CATALOG ID MATCH in Release_Track",iserror(vlookup($A937&amp;$B937,'5) Release_Track'!$F:$F&amp;'5) Release_Track'!$G:$G,1,0)),"NO ISRC-CATALOG ID pair MATCH in Release_Track" )</f>
        <v/>
      </c>
      <c r="D937" s="121" t="str">
        <f t="array" ref="D937">ifs(and(isblank($A937),isblank($B937)),"", not(iserror(vlookup($A937&amp;$B937,'5) Release_Track'!$F:$F&amp;'5) Release_Track'!$G:$G,1,0))),vlookup($A937&amp;$B937,{'5) Release_Track'!$F:$F&amp;'5) Release_Track'!$G:$G,'5) Release_Track'!$I:$I},2,0), or(and(not(isblank($B937)),$B937=$B936,$A937&lt;&gt;$A936),and(not(isblank($A937)),$A937=$A936,$B937&lt;&gt;$B936)),"ID LISTS UNALIGNED",and($A937&lt;&gt;"",countif('5) Release_Track'!$F:$F,$A937)=0),"NO ISRC MATCH in Release_Track",and($B937&lt;&gt;"",countif('5) Release_Track'!$G:$G,$B937)=0),"NO CATALOG ID MATCH in Release_Track",iserror(vlookup($A937&amp;$B937,'5) Release_Track'!$F:$F&amp;'5) Release_Track'!$G:$G,1,0)),"NO ISRC-CATALOG ID pair MATCH in Release_Track" )</f>
        <v/>
      </c>
      <c r="E937" s="142" t="b">
        <v>0</v>
      </c>
      <c r="F937" s="142" t="b">
        <v>0</v>
      </c>
      <c r="G937" s="142" t="b">
        <v>0</v>
      </c>
      <c r="H937" s="142" t="b">
        <v>0</v>
      </c>
      <c r="I937" s="142" t="b">
        <v>0</v>
      </c>
      <c r="J937" s="142" t="b">
        <v>0</v>
      </c>
      <c r="K937" s="142" t="b">
        <v>0</v>
      </c>
      <c r="L937" s="8" t="b">
        <v>0</v>
      </c>
    </row>
    <row r="938">
      <c r="B938" s="103"/>
      <c r="C938" s="121" t="str">
        <f t="array" ref="C938">ifs(and(isblank($A938),isblank($B938)),"", not(iserror(vlookup($A938&amp;$B938,'5) Release_Track'!$F:$F&amp;'5) Release_Track'!$G:$G,1,0))),vlookup($A938&amp;$B938,{'5) Release_Track'!$F:$F&amp;'5) Release_Track'!$G:$G,'5) Release_Track'!$H:$H},2,0), or(and(not(isblank($B938)),$B938=$B937,$A938&lt;&gt;$A937),and(not(isblank($A938)),$A938=$A937,$B938&lt;&gt;$B937)),"ID LISTS UNALIGNED",and($A938&lt;&gt;"",countif('5) Release_Track'!$F:$F,$A938)=0),"NO ISRC MATCH in Release_Track",and($B938&lt;&gt;"",countif('5) Release_Track'!$G:$G,$B938)=0),"NO CATALOG ID MATCH in Release_Track",iserror(vlookup($A938&amp;$B938,'5) Release_Track'!$F:$F&amp;'5) Release_Track'!$G:$G,1,0)),"NO ISRC-CATALOG ID pair MATCH in Release_Track" )</f>
        <v/>
      </c>
      <c r="D938" s="121" t="str">
        <f t="array" ref="D938">ifs(and(isblank($A938),isblank($B938)),"", not(iserror(vlookup($A938&amp;$B938,'5) Release_Track'!$F:$F&amp;'5) Release_Track'!$G:$G,1,0))),vlookup($A938&amp;$B938,{'5) Release_Track'!$F:$F&amp;'5) Release_Track'!$G:$G,'5) Release_Track'!$I:$I},2,0), or(and(not(isblank($B938)),$B938=$B937,$A938&lt;&gt;$A937),and(not(isblank($A938)),$A938=$A937,$B938&lt;&gt;$B937)),"ID LISTS UNALIGNED",and($A938&lt;&gt;"",countif('5) Release_Track'!$F:$F,$A938)=0),"NO ISRC MATCH in Release_Track",and($B938&lt;&gt;"",countif('5) Release_Track'!$G:$G,$B938)=0),"NO CATALOG ID MATCH in Release_Track",iserror(vlookup($A938&amp;$B938,'5) Release_Track'!$F:$F&amp;'5) Release_Track'!$G:$G,1,0)),"NO ISRC-CATALOG ID pair MATCH in Release_Track" )</f>
        <v/>
      </c>
      <c r="E938" s="142" t="b">
        <v>0</v>
      </c>
      <c r="F938" s="142" t="b">
        <v>0</v>
      </c>
      <c r="G938" s="142" t="b">
        <v>0</v>
      </c>
      <c r="H938" s="142" t="b">
        <v>0</v>
      </c>
      <c r="I938" s="142" t="b">
        <v>0</v>
      </c>
      <c r="J938" s="142" t="b">
        <v>0</v>
      </c>
      <c r="K938" s="142" t="b">
        <v>0</v>
      </c>
      <c r="L938" s="8" t="b">
        <v>0</v>
      </c>
    </row>
    <row r="939">
      <c r="B939" s="103"/>
      <c r="C939" s="121" t="str">
        <f t="array" ref="C939">ifs(and(isblank($A939),isblank($B939)),"", not(iserror(vlookup($A939&amp;$B939,'5) Release_Track'!$F:$F&amp;'5) Release_Track'!$G:$G,1,0))),vlookup($A939&amp;$B939,{'5) Release_Track'!$F:$F&amp;'5) Release_Track'!$G:$G,'5) Release_Track'!$H:$H},2,0), or(and(not(isblank($B939)),$B939=$B938,$A939&lt;&gt;$A938),and(not(isblank($A939)),$A939=$A938,$B939&lt;&gt;$B938)),"ID LISTS UNALIGNED",and($A939&lt;&gt;"",countif('5) Release_Track'!$F:$F,$A939)=0),"NO ISRC MATCH in Release_Track",and($B939&lt;&gt;"",countif('5) Release_Track'!$G:$G,$B939)=0),"NO CATALOG ID MATCH in Release_Track",iserror(vlookup($A939&amp;$B939,'5) Release_Track'!$F:$F&amp;'5) Release_Track'!$G:$G,1,0)),"NO ISRC-CATALOG ID pair MATCH in Release_Track" )</f>
        <v/>
      </c>
      <c r="D939" s="121" t="str">
        <f t="array" ref="D939">ifs(and(isblank($A939),isblank($B939)),"", not(iserror(vlookup($A939&amp;$B939,'5) Release_Track'!$F:$F&amp;'5) Release_Track'!$G:$G,1,0))),vlookup($A939&amp;$B939,{'5) Release_Track'!$F:$F&amp;'5) Release_Track'!$G:$G,'5) Release_Track'!$I:$I},2,0), or(and(not(isblank($B939)),$B939=$B938,$A939&lt;&gt;$A938),and(not(isblank($A939)),$A939=$A938,$B939&lt;&gt;$B938)),"ID LISTS UNALIGNED",and($A939&lt;&gt;"",countif('5) Release_Track'!$F:$F,$A939)=0),"NO ISRC MATCH in Release_Track",and($B939&lt;&gt;"",countif('5) Release_Track'!$G:$G,$B939)=0),"NO CATALOG ID MATCH in Release_Track",iserror(vlookup($A939&amp;$B939,'5) Release_Track'!$F:$F&amp;'5) Release_Track'!$G:$G,1,0)),"NO ISRC-CATALOG ID pair MATCH in Release_Track" )</f>
        <v/>
      </c>
      <c r="E939" s="142" t="b">
        <v>0</v>
      </c>
      <c r="F939" s="142" t="b">
        <v>0</v>
      </c>
      <c r="G939" s="142" t="b">
        <v>0</v>
      </c>
      <c r="H939" s="142" t="b">
        <v>0</v>
      </c>
      <c r="I939" s="142" t="b">
        <v>0</v>
      </c>
      <c r="J939" s="142" t="b">
        <v>0</v>
      </c>
      <c r="K939" s="142" t="b">
        <v>0</v>
      </c>
      <c r="L939" s="8" t="b">
        <v>0</v>
      </c>
    </row>
    <row r="940">
      <c r="B940" s="103"/>
      <c r="C940" s="121" t="str">
        <f t="array" ref="C940">ifs(and(isblank($A940),isblank($B940)),"", not(iserror(vlookup($A940&amp;$B940,'5) Release_Track'!$F:$F&amp;'5) Release_Track'!$G:$G,1,0))),vlookup($A940&amp;$B940,{'5) Release_Track'!$F:$F&amp;'5) Release_Track'!$G:$G,'5) Release_Track'!$H:$H},2,0), or(and(not(isblank($B940)),$B940=$B939,$A940&lt;&gt;$A939),and(not(isblank($A940)),$A940=$A939,$B940&lt;&gt;$B939)),"ID LISTS UNALIGNED",and($A940&lt;&gt;"",countif('5) Release_Track'!$F:$F,$A940)=0),"NO ISRC MATCH in Release_Track",and($B940&lt;&gt;"",countif('5) Release_Track'!$G:$G,$B940)=0),"NO CATALOG ID MATCH in Release_Track",iserror(vlookup($A940&amp;$B940,'5) Release_Track'!$F:$F&amp;'5) Release_Track'!$G:$G,1,0)),"NO ISRC-CATALOG ID pair MATCH in Release_Track" )</f>
        <v/>
      </c>
      <c r="D940" s="121" t="str">
        <f t="array" ref="D940">ifs(and(isblank($A940),isblank($B940)),"", not(iserror(vlookup($A940&amp;$B940,'5) Release_Track'!$F:$F&amp;'5) Release_Track'!$G:$G,1,0))),vlookup($A940&amp;$B940,{'5) Release_Track'!$F:$F&amp;'5) Release_Track'!$G:$G,'5) Release_Track'!$I:$I},2,0), or(and(not(isblank($B940)),$B940=$B939,$A940&lt;&gt;$A939),and(not(isblank($A940)),$A940=$A939,$B940&lt;&gt;$B939)),"ID LISTS UNALIGNED",and($A940&lt;&gt;"",countif('5) Release_Track'!$F:$F,$A940)=0),"NO ISRC MATCH in Release_Track",and($B940&lt;&gt;"",countif('5) Release_Track'!$G:$G,$B940)=0),"NO CATALOG ID MATCH in Release_Track",iserror(vlookup($A940&amp;$B940,'5) Release_Track'!$F:$F&amp;'5) Release_Track'!$G:$G,1,0)),"NO ISRC-CATALOG ID pair MATCH in Release_Track" )</f>
        <v/>
      </c>
      <c r="E940" s="142" t="b">
        <v>0</v>
      </c>
      <c r="F940" s="142" t="b">
        <v>0</v>
      </c>
      <c r="G940" s="142" t="b">
        <v>0</v>
      </c>
      <c r="H940" s="142" t="b">
        <v>0</v>
      </c>
      <c r="I940" s="142" t="b">
        <v>0</v>
      </c>
      <c r="J940" s="142" t="b">
        <v>0</v>
      </c>
      <c r="K940" s="142" t="b">
        <v>0</v>
      </c>
      <c r="L940" s="8" t="b">
        <v>0</v>
      </c>
    </row>
    <row r="941">
      <c r="B941" s="103"/>
      <c r="C941" s="121" t="str">
        <f t="array" ref="C941">ifs(and(isblank($A941),isblank($B941)),"", not(iserror(vlookup($A941&amp;$B941,'5) Release_Track'!$F:$F&amp;'5) Release_Track'!$G:$G,1,0))),vlookup($A941&amp;$B941,{'5) Release_Track'!$F:$F&amp;'5) Release_Track'!$G:$G,'5) Release_Track'!$H:$H},2,0), or(and(not(isblank($B941)),$B941=$B940,$A941&lt;&gt;$A940),and(not(isblank($A941)),$A941=$A940,$B941&lt;&gt;$B940)),"ID LISTS UNALIGNED",and($A941&lt;&gt;"",countif('5) Release_Track'!$F:$F,$A941)=0),"NO ISRC MATCH in Release_Track",and($B941&lt;&gt;"",countif('5) Release_Track'!$G:$G,$B941)=0),"NO CATALOG ID MATCH in Release_Track",iserror(vlookup($A941&amp;$B941,'5) Release_Track'!$F:$F&amp;'5) Release_Track'!$G:$G,1,0)),"NO ISRC-CATALOG ID pair MATCH in Release_Track" )</f>
        <v/>
      </c>
      <c r="D941" s="121" t="str">
        <f t="array" ref="D941">ifs(and(isblank($A941),isblank($B941)),"", not(iserror(vlookup($A941&amp;$B941,'5) Release_Track'!$F:$F&amp;'5) Release_Track'!$G:$G,1,0))),vlookup($A941&amp;$B941,{'5) Release_Track'!$F:$F&amp;'5) Release_Track'!$G:$G,'5) Release_Track'!$I:$I},2,0), or(and(not(isblank($B941)),$B941=$B940,$A941&lt;&gt;$A940),and(not(isblank($A941)),$A941=$A940,$B941&lt;&gt;$B940)),"ID LISTS UNALIGNED",and($A941&lt;&gt;"",countif('5) Release_Track'!$F:$F,$A941)=0),"NO ISRC MATCH in Release_Track",and($B941&lt;&gt;"",countif('5) Release_Track'!$G:$G,$B941)=0),"NO CATALOG ID MATCH in Release_Track",iserror(vlookup($A941&amp;$B941,'5) Release_Track'!$F:$F&amp;'5) Release_Track'!$G:$G,1,0)),"NO ISRC-CATALOG ID pair MATCH in Release_Track" )</f>
        <v/>
      </c>
      <c r="E941" s="142" t="b">
        <v>0</v>
      </c>
      <c r="F941" s="142" t="b">
        <v>0</v>
      </c>
      <c r="G941" s="142" t="b">
        <v>0</v>
      </c>
      <c r="H941" s="142" t="b">
        <v>0</v>
      </c>
      <c r="I941" s="142" t="b">
        <v>0</v>
      </c>
      <c r="J941" s="142" t="b">
        <v>0</v>
      </c>
      <c r="K941" s="142" t="b">
        <v>0</v>
      </c>
      <c r="L941" s="8" t="b">
        <v>0</v>
      </c>
    </row>
    <row r="942">
      <c r="B942" s="103"/>
      <c r="C942" s="121" t="str">
        <f t="array" ref="C942">ifs(and(isblank($A942),isblank($B942)),"", not(iserror(vlookup($A942&amp;$B942,'5) Release_Track'!$F:$F&amp;'5) Release_Track'!$G:$G,1,0))),vlookup($A942&amp;$B942,{'5) Release_Track'!$F:$F&amp;'5) Release_Track'!$G:$G,'5) Release_Track'!$H:$H},2,0), or(and(not(isblank($B942)),$B942=$B941,$A942&lt;&gt;$A941),and(not(isblank($A942)),$A942=$A941,$B942&lt;&gt;$B941)),"ID LISTS UNALIGNED",and($A942&lt;&gt;"",countif('5) Release_Track'!$F:$F,$A942)=0),"NO ISRC MATCH in Release_Track",and($B942&lt;&gt;"",countif('5) Release_Track'!$G:$G,$B942)=0),"NO CATALOG ID MATCH in Release_Track",iserror(vlookup($A942&amp;$B942,'5) Release_Track'!$F:$F&amp;'5) Release_Track'!$G:$G,1,0)),"NO ISRC-CATALOG ID pair MATCH in Release_Track" )</f>
        <v/>
      </c>
      <c r="D942" s="121" t="str">
        <f t="array" ref="D942">ifs(and(isblank($A942),isblank($B942)),"", not(iserror(vlookup($A942&amp;$B942,'5) Release_Track'!$F:$F&amp;'5) Release_Track'!$G:$G,1,0))),vlookup($A942&amp;$B942,{'5) Release_Track'!$F:$F&amp;'5) Release_Track'!$G:$G,'5) Release_Track'!$I:$I},2,0), or(and(not(isblank($B942)),$B942=$B941,$A942&lt;&gt;$A941),and(not(isblank($A942)),$A942=$A941,$B942&lt;&gt;$B941)),"ID LISTS UNALIGNED",and($A942&lt;&gt;"",countif('5) Release_Track'!$F:$F,$A942)=0),"NO ISRC MATCH in Release_Track",and($B942&lt;&gt;"",countif('5) Release_Track'!$G:$G,$B942)=0),"NO CATALOG ID MATCH in Release_Track",iserror(vlookup($A942&amp;$B942,'5) Release_Track'!$F:$F&amp;'5) Release_Track'!$G:$G,1,0)),"NO ISRC-CATALOG ID pair MATCH in Release_Track" )</f>
        <v/>
      </c>
      <c r="E942" s="142" t="b">
        <v>0</v>
      </c>
      <c r="F942" s="142" t="b">
        <v>0</v>
      </c>
      <c r="G942" s="142" t="b">
        <v>0</v>
      </c>
      <c r="H942" s="142" t="b">
        <v>0</v>
      </c>
      <c r="I942" s="142" t="b">
        <v>0</v>
      </c>
      <c r="J942" s="142" t="b">
        <v>0</v>
      </c>
      <c r="K942" s="142" t="b">
        <v>0</v>
      </c>
      <c r="L942" s="8" t="b">
        <v>0</v>
      </c>
    </row>
    <row r="943">
      <c r="B943" s="103"/>
      <c r="C943" s="121" t="str">
        <f t="array" ref="C943">ifs(and(isblank($A943),isblank($B943)),"", not(iserror(vlookup($A943&amp;$B943,'5) Release_Track'!$F:$F&amp;'5) Release_Track'!$G:$G,1,0))),vlookup($A943&amp;$B943,{'5) Release_Track'!$F:$F&amp;'5) Release_Track'!$G:$G,'5) Release_Track'!$H:$H},2,0), or(and(not(isblank($B943)),$B943=$B942,$A943&lt;&gt;$A942),and(not(isblank($A943)),$A943=$A942,$B943&lt;&gt;$B942)),"ID LISTS UNALIGNED",and($A943&lt;&gt;"",countif('5) Release_Track'!$F:$F,$A943)=0),"NO ISRC MATCH in Release_Track",and($B943&lt;&gt;"",countif('5) Release_Track'!$G:$G,$B943)=0),"NO CATALOG ID MATCH in Release_Track",iserror(vlookup($A943&amp;$B943,'5) Release_Track'!$F:$F&amp;'5) Release_Track'!$G:$G,1,0)),"NO ISRC-CATALOG ID pair MATCH in Release_Track" )</f>
        <v/>
      </c>
      <c r="D943" s="121" t="str">
        <f t="array" ref="D943">ifs(and(isblank($A943),isblank($B943)),"", not(iserror(vlookup($A943&amp;$B943,'5) Release_Track'!$F:$F&amp;'5) Release_Track'!$G:$G,1,0))),vlookup($A943&amp;$B943,{'5) Release_Track'!$F:$F&amp;'5) Release_Track'!$G:$G,'5) Release_Track'!$I:$I},2,0), or(and(not(isblank($B943)),$B943=$B942,$A943&lt;&gt;$A942),and(not(isblank($A943)),$A943=$A942,$B943&lt;&gt;$B942)),"ID LISTS UNALIGNED",and($A943&lt;&gt;"",countif('5) Release_Track'!$F:$F,$A943)=0),"NO ISRC MATCH in Release_Track",and($B943&lt;&gt;"",countif('5) Release_Track'!$G:$G,$B943)=0),"NO CATALOG ID MATCH in Release_Track",iserror(vlookup($A943&amp;$B943,'5) Release_Track'!$F:$F&amp;'5) Release_Track'!$G:$G,1,0)),"NO ISRC-CATALOG ID pair MATCH in Release_Track" )</f>
        <v/>
      </c>
      <c r="E943" s="142" t="b">
        <v>0</v>
      </c>
      <c r="F943" s="142" t="b">
        <v>0</v>
      </c>
      <c r="G943" s="142" t="b">
        <v>0</v>
      </c>
      <c r="H943" s="142" t="b">
        <v>0</v>
      </c>
      <c r="I943" s="142" t="b">
        <v>0</v>
      </c>
      <c r="J943" s="142" t="b">
        <v>0</v>
      </c>
      <c r="K943" s="142" t="b">
        <v>0</v>
      </c>
      <c r="L943" s="8" t="b">
        <v>0</v>
      </c>
    </row>
    <row r="944">
      <c r="B944" s="103"/>
      <c r="C944" s="121" t="str">
        <f t="array" ref="C944">ifs(and(isblank($A944),isblank($B944)),"", not(iserror(vlookup($A944&amp;$B944,'5) Release_Track'!$F:$F&amp;'5) Release_Track'!$G:$G,1,0))),vlookup($A944&amp;$B944,{'5) Release_Track'!$F:$F&amp;'5) Release_Track'!$G:$G,'5) Release_Track'!$H:$H},2,0), or(and(not(isblank($B944)),$B944=$B943,$A944&lt;&gt;$A943),and(not(isblank($A944)),$A944=$A943,$B944&lt;&gt;$B943)),"ID LISTS UNALIGNED",and($A944&lt;&gt;"",countif('5) Release_Track'!$F:$F,$A944)=0),"NO ISRC MATCH in Release_Track",and($B944&lt;&gt;"",countif('5) Release_Track'!$G:$G,$B944)=0),"NO CATALOG ID MATCH in Release_Track",iserror(vlookup($A944&amp;$B944,'5) Release_Track'!$F:$F&amp;'5) Release_Track'!$G:$G,1,0)),"NO ISRC-CATALOG ID pair MATCH in Release_Track" )</f>
        <v/>
      </c>
      <c r="D944" s="121" t="str">
        <f t="array" ref="D944">ifs(and(isblank($A944),isblank($B944)),"", not(iserror(vlookup($A944&amp;$B944,'5) Release_Track'!$F:$F&amp;'5) Release_Track'!$G:$G,1,0))),vlookup($A944&amp;$B944,{'5) Release_Track'!$F:$F&amp;'5) Release_Track'!$G:$G,'5) Release_Track'!$I:$I},2,0), or(and(not(isblank($B944)),$B944=$B943,$A944&lt;&gt;$A943),and(not(isblank($A944)),$A944=$A943,$B944&lt;&gt;$B943)),"ID LISTS UNALIGNED",and($A944&lt;&gt;"",countif('5) Release_Track'!$F:$F,$A944)=0),"NO ISRC MATCH in Release_Track",and($B944&lt;&gt;"",countif('5) Release_Track'!$G:$G,$B944)=0),"NO CATALOG ID MATCH in Release_Track",iserror(vlookup($A944&amp;$B944,'5) Release_Track'!$F:$F&amp;'5) Release_Track'!$G:$G,1,0)),"NO ISRC-CATALOG ID pair MATCH in Release_Track" )</f>
        <v/>
      </c>
      <c r="E944" s="142" t="b">
        <v>0</v>
      </c>
      <c r="F944" s="142" t="b">
        <v>0</v>
      </c>
      <c r="G944" s="142" t="b">
        <v>0</v>
      </c>
      <c r="H944" s="142" t="b">
        <v>0</v>
      </c>
      <c r="I944" s="142" t="b">
        <v>0</v>
      </c>
      <c r="J944" s="142" t="b">
        <v>0</v>
      </c>
      <c r="K944" s="142" t="b">
        <v>0</v>
      </c>
      <c r="L944" s="8" t="b">
        <v>0</v>
      </c>
    </row>
    <row r="945">
      <c r="B945" s="103"/>
      <c r="C945" s="121" t="str">
        <f t="array" ref="C945">ifs(and(isblank($A945),isblank($B945)),"", not(iserror(vlookup($A945&amp;$B945,'5) Release_Track'!$F:$F&amp;'5) Release_Track'!$G:$G,1,0))),vlookup($A945&amp;$B945,{'5) Release_Track'!$F:$F&amp;'5) Release_Track'!$G:$G,'5) Release_Track'!$H:$H},2,0), or(and(not(isblank($B945)),$B945=$B944,$A945&lt;&gt;$A944),and(not(isblank($A945)),$A945=$A944,$B945&lt;&gt;$B944)),"ID LISTS UNALIGNED",and($A945&lt;&gt;"",countif('5) Release_Track'!$F:$F,$A945)=0),"NO ISRC MATCH in Release_Track",and($B945&lt;&gt;"",countif('5) Release_Track'!$G:$G,$B945)=0),"NO CATALOG ID MATCH in Release_Track",iserror(vlookup($A945&amp;$B945,'5) Release_Track'!$F:$F&amp;'5) Release_Track'!$G:$G,1,0)),"NO ISRC-CATALOG ID pair MATCH in Release_Track" )</f>
        <v/>
      </c>
      <c r="D945" s="121" t="str">
        <f t="array" ref="D945">ifs(and(isblank($A945),isblank($B945)),"", not(iserror(vlookup($A945&amp;$B945,'5) Release_Track'!$F:$F&amp;'5) Release_Track'!$G:$G,1,0))),vlookup($A945&amp;$B945,{'5) Release_Track'!$F:$F&amp;'5) Release_Track'!$G:$G,'5) Release_Track'!$I:$I},2,0), or(and(not(isblank($B945)),$B945=$B944,$A945&lt;&gt;$A944),and(not(isblank($A945)),$A945=$A944,$B945&lt;&gt;$B944)),"ID LISTS UNALIGNED",and($A945&lt;&gt;"",countif('5) Release_Track'!$F:$F,$A945)=0),"NO ISRC MATCH in Release_Track",and($B945&lt;&gt;"",countif('5) Release_Track'!$G:$G,$B945)=0),"NO CATALOG ID MATCH in Release_Track",iserror(vlookup($A945&amp;$B945,'5) Release_Track'!$F:$F&amp;'5) Release_Track'!$G:$G,1,0)),"NO ISRC-CATALOG ID pair MATCH in Release_Track" )</f>
        <v/>
      </c>
      <c r="E945" s="142" t="b">
        <v>0</v>
      </c>
      <c r="F945" s="142" t="b">
        <v>0</v>
      </c>
      <c r="G945" s="142" t="b">
        <v>0</v>
      </c>
      <c r="H945" s="142" t="b">
        <v>0</v>
      </c>
      <c r="I945" s="142" t="b">
        <v>0</v>
      </c>
      <c r="J945" s="142" t="b">
        <v>0</v>
      </c>
      <c r="K945" s="142" t="b">
        <v>0</v>
      </c>
      <c r="L945" s="8" t="b">
        <v>0</v>
      </c>
    </row>
    <row r="946">
      <c r="B946" s="103"/>
      <c r="C946" s="121" t="str">
        <f t="array" ref="C946">ifs(and(isblank($A946),isblank($B946)),"", not(iserror(vlookup($A946&amp;$B946,'5) Release_Track'!$F:$F&amp;'5) Release_Track'!$G:$G,1,0))),vlookup($A946&amp;$B946,{'5) Release_Track'!$F:$F&amp;'5) Release_Track'!$G:$G,'5) Release_Track'!$H:$H},2,0), or(and(not(isblank($B946)),$B946=$B945,$A946&lt;&gt;$A945),and(not(isblank($A946)),$A946=$A945,$B946&lt;&gt;$B945)),"ID LISTS UNALIGNED",and($A946&lt;&gt;"",countif('5) Release_Track'!$F:$F,$A946)=0),"NO ISRC MATCH in Release_Track",and($B946&lt;&gt;"",countif('5) Release_Track'!$G:$G,$B946)=0),"NO CATALOG ID MATCH in Release_Track",iserror(vlookup($A946&amp;$B946,'5) Release_Track'!$F:$F&amp;'5) Release_Track'!$G:$G,1,0)),"NO ISRC-CATALOG ID pair MATCH in Release_Track" )</f>
        <v/>
      </c>
      <c r="D946" s="121" t="str">
        <f t="array" ref="D946">ifs(and(isblank($A946),isblank($B946)),"", not(iserror(vlookup($A946&amp;$B946,'5) Release_Track'!$F:$F&amp;'5) Release_Track'!$G:$G,1,0))),vlookup($A946&amp;$B946,{'5) Release_Track'!$F:$F&amp;'5) Release_Track'!$G:$G,'5) Release_Track'!$I:$I},2,0), or(and(not(isblank($B946)),$B946=$B945,$A946&lt;&gt;$A945),and(not(isblank($A946)),$A946=$A945,$B946&lt;&gt;$B945)),"ID LISTS UNALIGNED",and($A946&lt;&gt;"",countif('5) Release_Track'!$F:$F,$A946)=0),"NO ISRC MATCH in Release_Track",and($B946&lt;&gt;"",countif('5) Release_Track'!$G:$G,$B946)=0),"NO CATALOG ID MATCH in Release_Track",iserror(vlookup($A946&amp;$B946,'5) Release_Track'!$F:$F&amp;'5) Release_Track'!$G:$G,1,0)),"NO ISRC-CATALOG ID pair MATCH in Release_Track" )</f>
        <v/>
      </c>
      <c r="E946" s="142" t="b">
        <v>0</v>
      </c>
      <c r="F946" s="142" t="b">
        <v>0</v>
      </c>
      <c r="G946" s="142" t="b">
        <v>0</v>
      </c>
      <c r="H946" s="142" t="b">
        <v>0</v>
      </c>
      <c r="I946" s="142" t="b">
        <v>0</v>
      </c>
      <c r="J946" s="142" t="b">
        <v>0</v>
      </c>
      <c r="K946" s="142" t="b">
        <v>0</v>
      </c>
      <c r="L946" s="8" t="b">
        <v>0</v>
      </c>
    </row>
    <row r="947">
      <c r="B947" s="103"/>
      <c r="C947" s="121" t="str">
        <f t="array" ref="C947">ifs(and(isblank($A947),isblank($B947)),"", not(iserror(vlookup($A947&amp;$B947,'5) Release_Track'!$F:$F&amp;'5) Release_Track'!$G:$G,1,0))),vlookup($A947&amp;$B947,{'5) Release_Track'!$F:$F&amp;'5) Release_Track'!$G:$G,'5) Release_Track'!$H:$H},2,0), or(and(not(isblank($B947)),$B947=$B946,$A947&lt;&gt;$A946),and(not(isblank($A947)),$A947=$A946,$B947&lt;&gt;$B946)),"ID LISTS UNALIGNED",and($A947&lt;&gt;"",countif('5) Release_Track'!$F:$F,$A947)=0),"NO ISRC MATCH in Release_Track",and($B947&lt;&gt;"",countif('5) Release_Track'!$G:$G,$B947)=0),"NO CATALOG ID MATCH in Release_Track",iserror(vlookup($A947&amp;$B947,'5) Release_Track'!$F:$F&amp;'5) Release_Track'!$G:$G,1,0)),"NO ISRC-CATALOG ID pair MATCH in Release_Track" )</f>
        <v/>
      </c>
      <c r="D947" s="121" t="str">
        <f t="array" ref="D947">ifs(and(isblank($A947),isblank($B947)),"", not(iserror(vlookup($A947&amp;$B947,'5) Release_Track'!$F:$F&amp;'5) Release_Track'!$G:$G,1,0))),vlookup($A947&amp;$B947,{'5) Release_Track'!$F:$F&amp;'5) Release_Track'!$G:$G,'5) Release_Track'!$I:$I},2,0), or(and(not(isblank($B947)),$B947=$B946,$A947&lt;&gt;$A946),and(not(isblank($A947)),$A947=$A946,$B947&lt;&gt;$B946)),"ID LISTS UNALIGNED",and($A947&lt;&gt;"",countif('5) Release_Track'!$F:$F,$A947)=0),"NO ISRC MATCH in Release_Track",and($B947&lt;&gt;"",countif('5) Release_Track'!$G:$G,$B947)=0),"NO CATALOG ID MATCH in Release_Track",iserror(vlookup($A947&amp;$B947,'5) Release_Track'!$F:$F&amp;'5) Release_Track'!$G:$G,1,0)),"NO ISRC-CATALOG ID pair MATCH in Release_Track" )</f>
        <v/>
      </c>
      <c r="E947" s="142" t="b">
        <v>0</v>
      </c>
      <c r="F947" s="142" t="b">
        <v>0</v>
      </c>
      <c r="G947" s="142" t="b">
        <v>0</v>
      </c>
      <c r="H947" s="142" t="b">
        <v>0</v>
      </c>
      <c r="I947" s="142" t="b">
        <v>0</v>
      </c>
      <c r="J947" s="142" t="b">
        <v>0</v>
      </c>
      <c r="K947" s="142" t="b">
        <v>0</v>
      </c>
      <c r="L947" s="8" t="b">
        <v>0</v>
      </c>
    </row>
    <row r="948">
      <c r="B948" s="103"/>
      <c r="C948" s="121" t="str">
        <f t="array" ref="C948">ifs(and(isblank($A948),isblank($B948)),"", not(iserror(vlookup($A948&amp;$B948,'5) Release_Track'!$F:$F&amp;'5) Release_Track'!$G:$G,1,0))),vlookup($A948&amp;$B948,{'5) Release_Track'!$F:$F&amp;'5) Release_Track'!$G:$G,'5) Release_Track'!$H:$H},2,0), or(and(not(isblank($B948)),$B948=$B947,$A948&lt;&gt;$A947),and(not(isblank($A948)),$A948=$A947,$B948&lt;&gt;$B947)),"ID LISTS UNALIGNED",and($A948&lt;&gt;"",countif('5) Release_Track'!$F:$F,$A948)=0),"NO ISRC MATCH in Release_Track",and($B948&lt;&gt;"",countif('5) Release_Track'!$G:$G,$B948)=0),"NO CATALOG ID MATCH in Release_Track",iserror(vlookup($A948&amp;$B948,'5) Release_Track'!$F:$F&amp;'5) Release_Track'!$G:$G,1,0)),"NO ISRC-CATALOG ID pair MATCH in Release_Track" )</f>
        <v/>
      </c>
      <c r="D948" s="121" t="str">
        <f t="array" ref="D948">ifs(and(isblank($A948),isblank($B948)),"", not(iserror(vlookup($A948&amp;$B948,'5) Release_Track'!$F:$F&amp;'5) Release_Track'!$G:$G,1,0))),vlookup($A948&amp;$B948,{'5) Release_Track'!$F:$F&amp;'5) Release_Track'!$G:$G,'5) Release_Track'!$I:$I},2,0), or(and(not(isblank($B948)),$B948=$B947,$A948&lt;&gt;$A947),and(not(isblank($A948)),$A948=$A947,$B948&lt;&gt;$B947)),"ID LISTS UNALIGNED",and($A948&lt;&gt;"",countif('5) Release_Track'!$F:$F,$A948)=0),"NO ISRC MATCH in Release_Track",and($B948&lt;&gt;"",countif('5) Release_Track'!$G:$G,$B948)=0),"NO CATALOG ID MATCH in Release_Track",iserror(vlookup($A948&amp;$B948,'5) Release_Track'!$F:$F&amp;'5) Release_Track'!$G:$G,1,0)),"NO ISRC-CATALOG ID pair MATCH in Release_Track" )</f>
        <v/>
      </c>
      <c r="E948" s="142" t="b">
        <v>0</v>
      </c>
      <c r="F948" s="142" t="b">
        <v>0</v>
      </c>
      <c r="G948" s="142" t="b">
        <v>0</v>
      </c>
      <c r="H948" s="142" t="b">
        <v>0</v>
      </c>
      <c r="I948" s="142" t="b">
        <v>0</v>
      </c>
      <c r="J948" s="142" t="b">
        <v>0</v>
      </c>
      <c r="K948" s="142" t="b">
        <v>0</v>
      </c>
      <c r="L948" s="8" t="b">
        <v>0</v>
      </c>
    </row>
    <row r="949">
      <c r="B949" s="103"/>
      <c r="C949" s="121" t="str">
        <f t="array" ref="C949">ifs(and(isblank($A949),isblank($B949)),"", not(iserror(vlookup($A949&amp;$B949,'5) Release_Track'!$F:$F&amp;'5) Release_Track'!$G:$G,1,0))),vlookup($A949&amp;$B949,{'5) Release_Track'!$F:$F&amp;'5) Release_Track'!$G:$G,'5) Release_Track'!$H:$H},2,0), or(and(not(isblank($B949)),$B949=$B948,$A949&lt;&gt;$A948),and(not(isblank($A949)),$A949=$A948,$B949&lt;&gt;$B948)),"ID LISTS UNALIGNED",and($A949&lt;&gt;"",countif('5) Release_Track'!$F:$F,$A949)=0),"NO ISRC MATCH in Release_Track",and($B949&lt;&gt;"",countif('5) Release_Track'!$G:$G,$B949)=0),"NO CATALOG ID MATCH in Release_Track",iserror(vlookup($A949&amp;$B949,'5) Release_Track'!$F:$F&amp;'5) Release_Track'!$G:$G,1,0)),"NO ISRC-CATALOG ID pair MATCH in Release_Track" )</f>
        <v/>
      </c>
      <c r="D949" s="121" t="str">
        <f t="array" ref="D949">ifs(and(isblank($A949),isblank($B949)),"", not(iserror(vlookup($A949&amp;$B949,'5) Release_Track'!$F:$F&amp;'5) Release_Track'!$G:$G,1,0))),vlookup($A949&amp;$B949,{'5) Release_Track'!$F:$F&amp;'5) Release_Track'!$G:$G,'5) Release_Track'!$I:$I},2,0), or(and(not(isblank($B949)),$B949=$B948,$A949&lt;&gt;$A948),and(not(isblank($A949)),$A949=$A948,$B949&lt;&gt;$B948)),"ID LISTS UNALIGNED",and($A949&lt;&gt;"",countif('5) Release_Track'!$F:$F,$A949)=0),"NO ISRC MATCH in Release_Track",and($B949&lt;&gt;"",countif('5) Release_Track'!$G:$G,$B949)=0),"NO CATALOG ID MATCH in Release_Track",iserror(vlookup($A949&amp;$B949,'5) Release_Track'!$F:$F&amp;'5) Release_Track'!$G:$G,1,0)),"NO ISRC-CATALOG ID pair MATCH in Release_Track" )</f>
        <v/>
      </c>
      <c r="E949" s="142" t="b">
        <v>0</v>
      </c>
      <c r="F949" s="142" t="b">
        <v>0</v>
      </c>
      <c r="G949" s="142" t="b">
        <v>0</v>
      </c>
      <c r="H949" s="142" t="b">
        <v>0</v>
      </c>
      <c r="I949" s="142" t="b">
        <v>0</v>
      </c>
      <c r="J949" s="142" t="b">
        <v>0</v>
      </c>
      <c r="K949" s="142" t="b">
        <v>0</v>
      </c>
      <c r="L949" s="8" t="b">
        <v>0</v>
      </c>
    </row>
    <row r="950">
      <c r="B950" s="103"/>
      <c r="C950" s="121" t="str">
        <f t="array" ref="C950">ifs(and(isblank($A950),isblank($B950)),"", not(iserror(vlookup($A950&amp;$B950,'5) Release_Track'!$F:$F&amp;'5) Release_Track'!$G:$G,1,0))),vlookup($A950&amp;$B950,{'5) Release_Track'!$F:$F&amp;'5) Release_Track'!$G:$G,'5) Release_Track'!$H:$H},2,0), or(and(not(isblank($B950)),$B950=$B949,$A950&lt;&gt;$A949),and(not(isblank($A950)),$A950=$A949,$B950&lt;&gt;$B949)),"ID LISTS UNALIGNED",and($A950&lt;&gt;"",countif('5) Release_Track'!$F:$F,$A950)=0),"NO ISRC MATCH in Release_Track",and($B950&lt;&gt;"",countif('5) Release_Track'!$G:$G,$B950)=0),"NO CATALOG ID MATCH in Release_Track",iserror(vlookup($A950&amp;$B950,'5) Release_Track'!$F:$F&amp;'5) Release_Track'!$G:$G,1,0)),"NO ISRC-CATALOG ID pair MATCH in Release_Track" )</f>
        <v/>
      </c>
      <c r="D950" s="121" t="str">
        <f t="array" ref="D950">ifs(and(isblank($A950),isblank($B950)),"", not(iserror(vlookup($A950&amp;$B950,'5) Release_Track'!$F:$F&amp;'5) Release_Track'!$G:$G,1,0))),vlookup($A950&amp;$B950,{'5) Release_Track'!$F:$F&amp;'5) Release_Track'!$G:$G,'5) Release_Track'!$I:$I},2,0), or(and(not(isblank($B950)),$B950=$B949,$A950&lt;&gt;$A949),and(not(isblank($A950)),$A950=$A949,$B950&lt;&gt;$B949)),"ID LISTS UNALIGNED",and($A950&lt;&gt;"",countif('5) Release_Track'!$F:$F,$A950)=0),"NO ISRC MATCH in Release_Track",and($B950&lt;&gt;"",countif('5) Release_Track'!$G:$G,$B950)=0),"NO CATALOG ID MATCH in Release_Track",iserror(vlookup($A950&amp;$B950,'5) Release_Track'!$F:$F&amp;'5) Release_Track'!$G:$G,1,0)),"NO ISRC-CATALOG ID pair MATCH in Release_Track" )</f>
        <v/>
      </c>
      <c r="E950" s="142" t="b">
        <v>0</v>
      </c>
      <c r="F950" s="142" t="b">
        <v>0</v>
      </c>
      <c r="G950" s="142" t="b">
        <v>0</v>
      </c>
      <c r="H950" s="142" t="b">
        <v>0</v>
      </c>
      <c r="I950" s="142" t="b">
        <v>0</v>
      </c>
      <c r="J950" s="142" t="b">
        <v>0</v>
      </c>
      <c r="K950" s="142" t="b">
        <v>0</v>
      </c>
      <c r="L950" s="8" t="b">
        <v>0</v>
      </c>
    </row>
    <row r="951">
      <c r="B951" s="103"/>
      <c r="C951" s="121" t="str">
        <f t="array" ref="C951">ifs(and(isblank($A951),isblank($B951)),"", not(iserror(vlookup($A951&amp;$B951,'5) Release_Track'!$F:$F&amp;'5) Release_Track'!$G:$G,1,0))),vlookup($A951&amp;$B951,{'5) Release_Track'!$F:$F&amp;'5) Release_Track'!$G:$G,'5) Release_Track'!$H:$H},2,0), or(and(not(isblank($B951)),$B951=$B950,$A951&lt;&gt;$A950),and(not(isblank($A951)),$A951=$A950,$B951&lt;&gt;$B950)),"ID LISTS UNALIGNED",and($A951&lt;&gt;"",countif('5) Release_Track'!$F:$F,$A951)=0),"NO ISRC MATCH in Release_Track",and($B951&lt;&gt;"",countif('5) Release_Track'!$G:$G,$B951)=0),"NO CATALOG ID MATCH in Release_Track",iserror(vlookup($A951&amp;$B951,'5) Release_Track'!$F:$F&amp;'5) Release_Track'!$G:$G,1,0)),"NO ISRC-CATALOG ID pair MATCH in Release_Track" )</f>
        <v/>
      </c>
      <c r="D951" s="121" t="str">
        <f t="array" ref="D951">ifs(and(isblank($A951),isblank($B951)),"", not(iserror(vlookup($A951&amp;$B951,'5) Release_Track'!$F:$F&amp;'5) Release_Track'!$G:$G,1,0))),vlookup($A951&amp;$B951,{'5) Release_Track'!$F:$F&amp;'5) Release_Track'!$G:$G,'5) Release_Track'!$I:$I},2,0), or(and(not(isblank($B951)),$B951=$B950,$A951&lt;&gt;$A950),and(not(isblank($A951)),$A951=$A950,$B951&lt;&gt;$B950)),"ID LISTS UNALIGNED",and($A951&lt;&gt;"",countif('5) Release_Track'!$F:$F,$A951)=0),"NO ISRC MATCH in Release_Track",and($B951&lt;&gt;"",countif('5) Release_Track'!$G:$G,$B951)=0),"NO CATALOG ID MATCH in Release_Track",iserror(vlookup($A951&amp;$B951,'5) Release_Track'!$F:$F&amp;'5) Release_Track'!$G:$G,1,0)),"NO ISRC-CATALOG ID pair MATCH in Release_Track" )</f>
        <v/>
      </c>
      <c r="E951" s="142" t="b">
        <v>0</v>
      </c>
      <c r="F951" s="142" t="b">
        <v>0</v>
      </c>
      <c r="G951" s="142" t="b">
        <v>0</v>
      </c>
      <c r="H951" s="142" t="b">
        <v>0</v>
      </c>
      <c r="I951" s="142" t="b">
        <v>0</v>
      </c>
      <c r="J951" s="142" t="b">
        <v>0</v>
      </c>
      <c r="K951" s="142" t="b">
        <v>0</v>
      </c>
      <c r="L951" s="8" t="b">
        <v>0</v>
      </c>
    </row>
    <row r="952">
      <c r="B952" s="103"/>
      <c r="C952" s="121" t="str">
        <f t="array" ref="C952">ifs(and(isblank($A952),isblank($B952)),"", not(iserror(vlookup($A952&amp;$B952,'5) Release_Track'!$F:$F&amp;'5) Release_Track'!$G:$G,1,0))),vlookup($A952&amp;$B952,{'5) Release_Track'!$F:$F&amp;'5) Release_Track'!$G:$G,'5) Release_Track'!$H:$H},2,0), or(and(not(isblank($B952)),$B952=$B951,$A952&lt;&gt;$A951),and(not(isblank($A952)),$A952=$A951,$B952&lt;&gt;$B951)),"ID LISTS UNALIGNED",and($A952&lt;&gt;"",countif('5) Release_Track'!$F:$F,$A952)=0),"NO ISRC MATCH in Release_Track",and($B952&lt;&gt;"",countif('5) Release_Track'!$G:$G,$B952)=0),"NO CATALOG ID MATCH in Release_Track",iserror(vlookup($A952&amp;$B952,'5) Release_Track'!$F:$F&amp;'5) Release_Track'!$G:$G,1,0)),"NO ISRC-CATALOG ID pair MATCH in Release_Track" )</f>
        <v/>
      </c>
      <c r="D952" s="121" t="str">
        <f t="array" ref="D952">ifs(and(isblank($A952),isblank($B952)),"", not(iserror(vlookup($A952&amp;$B952,'5) Release_Track'!$F:$F&amp;'5) Release_Track'!$G:$G,1,0))),vlookup($A952&amp;$B952,{'5) Release_Track'!$F:$F&amp;'5) Release_Track'!$G:$G,'5) Release_Track'!$I:$I},2,0), or(and(not(isblank($B952)),$B952=$B951,$A952&lt;&gt;$A951),and(not(isblank($A952)),$A952=$A951,$B952&lt;&gt;$B951)),"ID LISTS UNALIGNED",and($A952&lt;&gt;"",countif('5) Release_Track'!$F:$F,$A952)=0),"NO ISRC MATCH in Release_Track",and($B952&lt;&gt;"",countif('5) Release_Track'!$G:$G,$B952)=0),"NO CATALOG ID MATCH in Release_Track",iserror(vlookup($A952&amp;$B952,'5) Release_Track'!$F:$F&amp;'5) Release_Track'!$G:$G,1,0)),"NO ISRC-CATALOG ID pair MATCH in Release_Track" )</f>
        <v/>
      </c>
      <c r="E952" s="142" t="b">
        <v>0</v>
      </c>
      <c r="F952" s="142" t="b">
        <v>0</v>
      </c>
      <c r="G952" s="142" t="b">
        <v>0</v>
      </c>
      <c r="H952" s="142" t="b">
        <v>0</v>
      </c>
      <c r="I952" s="142" t="b">
        <v>0</v>
      </c>
      <c r="J952" s="142" t="b">
        <v>0</v>
      </c>
      <c r="K952" s="142" t="b">
        <v>0</v>
      </c>
      <c r="L952" s="8" t="b">
        <v>0</v>
      </c>
    </row>
    <row r="953">
      <c r="B953" s="103"/>
      <c r="C953" s="121" t="str">
        <f t="array" ref="C953">ifs(and(isblank($A953),isblank($B953)),"", not(iserror(vlookup($A953&amp;$B953,'5) Release_Track'!$F:$F&amp;'5) Release_Track'!$G:$G,1,0))),vlookup($A953&amp;$B953,{'5) Release_Track'!$F:$F&amp;'5) Release_Track'!$G:$G,'5) Release_Track'!$H:$H},2,0), or(and(not(isblank($B953)),$B953=$B952,$A953&lt;&gt;$A952),and(not(isblank($A953)),$A953=$A952,$B953&lt;&gt;$B952)),"ID LISTS UNALIGNED",and($A953&lt;&gt;"",countif('5) Release_Track'!$F:$F,$A953)=0),"NO ISRC MATCH in Release_Track",and($B953&lt;&gt;"",countif('5) Release_Track'!$G:$G,$B953)=0),"NO CATALOG ID MATCH in Release_Track",iserror(vlookup($A953&amp;$B953,'5) Release_Track'!$F:$F&amp;'5) Release_Track'!$G:$G,1,0)),"NO ISRC-CATALOG ID pair MATCH in Release_Track" )</f>
        <v/>
      </c>
      <c r="D953" s="121" t="str">
        <f t="array" ref="D953">ifs(and(isblank($A953),isblank($B953)),"", not(iserror(vlookup($A953&amp;$B953,'5) Release_Track'!$F:$F&amp;'5) Release_Track'!$G:$G,1,0))),vlookup($A953&amp;$B953,{'5) Release_Track'!$F:$F&amp;'5) Release_Track'!$G:$G,'5) Release_Track'!$I:$I},2,0), or(and(not(isblank($B953)),$B953=$B952,$A953&lt;&gt;$A952),and(not(isblank($A953)),$A953=$A952,$B953&lt;&gt;$B952)),"ID LISTS UNALIGNED",and($A953&lt;&gt;"",countif('5) Release_Track'!$F:$F,$A953)=0),"NO ISRC MATCH in Release_Track",and($B953&lt;&gt;"",countif('5) Release_Track'!$G:$G,$B953)=0),"NO CATALOG ID MATCH in Release_Track",iserror(vlookup($A953&amp;$B953,'5) Release_Track'!$F:$F&amp;'5) Release_Track'!$G:$G,1,0)),"NO ISRC-CATALOG ID pair MATCH in Release_Track" )</f>
        <v/>
      </c>
      <c r="E953" s="142" t="b">
        <v>0</v>
      </c>
      <c r="F953" s="142" t="b">
        <v>0</v>
      </c>
      <c r="G953" s="142" t="b">
        <v>0</v>
      </c>
      <c r="H953" s="142" t="b">
        <v>0</v>
      </c>
      <c r="I953" s="142" t="b">
        <v>0</v>
      </c>
      <c r="J953" s="142" t="b">
        <v>0</v>
      </c>
      <c r="K953" s="142" t="b">
        <v>0</v>
      </c>
      <c r="L953" s="8" t="b">
        <v>0</v>
      </c>
    </row>
    <row r="954">
      <c r="B954" s="103"/>
      <c r="C954" s="121" t="str">
        <f t="array" ref="C954">ifs(and(isblank($A954),isblank($B954)),"", not(iserror(vlookup($A954&amp;$B954,'5) Release_Track'!$F:$F&amp;'5) Release_Track'!$G:$G,1,0))),vlookup($A954&amp;$B954,{'5) Release_Track'!$F:$F&amp;'5) Release_Track'!$G:$G,'5) Release_Track'!$H:$H},2,0), or(and(not(isblank($B954)),$B954=$B953,$A954&lt;&gt;$A953),and(not(isblank($A954)),$A954=$A953,$B954&lt;&gt;$B953)),"ID LISTS UNALIGNED",and($A954&lt;&gt;"",countif('5) Release_Track'!$F:$F,$A954)=0),"NO ISRC MATCH in Release_Track",and($B954&lt;&gt;"",countif('5) Release_Track'!$G:$G,$B954)=0),"NO CATALOG ID MATCH in Release_Track",iserror(vlookup($A954&amp;$B954,'5) Release_Track'!$F:$F&amp;'5) Release_Track'!$G:$G,1,0)),"NO ISRC-CATALOG ID pair MATCH in Release_Track" )</f>
        <v/>
      </c>
      <c r="D954" s="121" t="str">
        <f t="array" ref="D954">ifs(and(isblank($A954),isblank($B954)),"", not(iserror(vlookup($A954&amp;$B954,'5) Release_Track'!$F:$F&amp;'5) Release_Track'!$G:$G,1,0))),vlookup($A954&amp;$B954,{'5) Release_Track'!$F:$F&amp;'5) Release_Track'!$G:$G,'5) Release_Track'!$I:$I},2,0), or(and(not(isblank($B954)),$B954=$B953,$A954&lt;&gt;$A953),and(not(isblank($A954)),$A954=$A953,$B954&lt;&gt;$B953)),"ID LISTS UNALIGNED",and($A954&lt;&gt;"",countif('5) Release_Track'!$F:$F,$A954)=0),"NO ISRC MATCH in Release_Track",and($B954&lt;&gt;"",countif('5) Release_Track'!$G:$G,$B954)=0),"NO CATALOG ID MATCH in Release_Track",iserror(vlookup($A954&amp;$B954,'5) Release_Track'!$F:$F&amp;'5) Release_Track'!$G:$G,1,0)),"NO ISRC-CATALOG ID pair MATCH in Release_Track" )</f>
        <v/>
      </c>
      <c r="E954" s="142" t="b">
        <v>0</v>
      </c>
      <c r="F954" s="142" t="b">
        <v>0</v>
      </c>
      <c r="G954" s="142" t="b">
        <v>0</v>
      </c>
      <c r="H954" s="142" t="b">
        <v>0</v>
      </c>
      <c r="I954" s="142" t="b">
        <v>0</v>
      </c>
      <c r="J954" s="142" t="b">
        <v>0</v>
      </c>
      <c r="K954" s="142" t="b">
        <v>0</v>
      </c>
      <c r="L954" s="8" t="b">
        <v>0</v>
      </c>
    </row>
    <row r="955">
      <c r="B955" s="103"/>
      <c r="C955" s="121" t="str">
        <f t="array" ref="C955">ifs(and(isblank($A955),isblank($B955)),"", not(iserror(vlookup($A955&amp;$B955,'5) Release_Track'!$F:$F&amp;'5) Release_Track'!$G:$G,1,0))),vlookup($A955&amp;$B955,{'5) Release_Track'!$F:$F&amp;'5) Release_Track'!$G:$G,'5) Release_Track'!$H:$H},2,0), or(and(not(isblank($B955)),$B955=$B954,$A955&lt;&gt;$A954),and(not(isblank($A955)),$A955=$A954,$B955&lt;&gt;$B954)),"ID LISTS UNALIGNED",and($A955&lt;&gt;"",countif('5) Release_Track'!$F:$F,$A955)=0),"NO ISRC MATCH in Release_Track",and($B955&lt;&gt;"",countif('5) Release_Track'!$G:$G,$B955)=0),"NO CATALOG ID MATCH in Release_Track",iserror(vlookup($A955&amp;$B955,'5) Release_Track'!$F:$F&amp;'5) Release_Track'!$G:$G,1,0)),"NO ISRC-CATALOG ID pair MATCH in Release_Track" )</f>
        <v/>
      </c>
      <c r="D955" s="121" t="str">
        <f t="array" ref="D955">ifs(and(isblank($A955),isblank($B955)),"", not(iserror(vlookup($A955&amp;$B955,'5) Release_Track'!$F:$F&amp;'5) Release_Track'!$G:$G,1,0))),vlookup($A955&amp;$B955,{'5) Release_Track'!$F:$F&amp;'5) Release_Track'!$G:$G,'5) Release_Track'!$I:$I},2,0), or(and(not(isblank($B955)),$B955=$B954,$A955&lt;&gt;$A954),and(not(isblank($A955)),$A955=$A954,$B955&lt;&gt;$B954)),"ID LISTS UNALIGNED",and($A955&lt;&gt;"",countif('5) Release_Track'!$F:$F,$A955)=0),"NO ISRC MATCH in Release_Track",and($B955&lt;&gt;"",countif('5) Release_Track'!$G:$G,$B955)=0),"NO CATALOG ID MATCH in Release_Track",iserror(vlookup($A955&amp;$B955,'5) Release_Track'!$F:$F&amp;'5) Release_Track'!$G:$G,1,0)),"NO ISRC-CATALOG ID pair MATCH in Release_Track" )</f>
        <v/>
      </c>
      <c r="E955" s="142" t="b">
        <v>0</v>
      </c>
      <c r="F955" s="142" t="b">
        <v>0</v>
      </c>
      <c r="G955" s="142" t="b">
        <v>0</v>
      </c>
      <c r="H955" s="142" t="b">
        <v>0</v>
      </c>
      <c r="I955" s="142" t="b">
        <v>0</v>
      </c>
      <c r="J955" s="142" t="b">
        <v>0</v>
      </c>
      <c r="K955" s="142" t="b">
        <v>0</v>
      </c>
      <c r="L955" s="8" t="b">
        <v>0</v>
      </c>
    </row>
    <row r="956">
      <c r="B956" s="103"/>
      <c r="C956" s="121" t="str">
        <f t="array" ref="C956">ifs(and(isblank($A956),isblank($B956)),"", not(iserror(vlookup($A956&amp;$B956,'5) Release_Track'!$F:$F&amp;'5) Release_Track'!$G:$G,1,0))),vlookup($A956&amp;$B956,{'5) Release_Track'!$F:$F&amp;'5) Release_Track'!$G:$G,'5) Release_Track'!$H:$H},2,0), or(and(not(isblank($B956)),$B956=$B955,$A956&lt;&gt;$A955),and(not(isblank($A956)),$A956=$A955,$B956&lt;&gt;$B955)),"ID LISTS UNALIGNED",and($A956&lt;&gt;"",countif('5) Release_Track'!$F:$F,$A956)=0),"NO ISRC MATCH in Release_Track",and($B956&lt;&gt;"",countif('5) Release_Track'!$G:$G,$B956)=0),"NO CATALOG ID MATCH in Release_Track",iserror(vlookup($A956&amp;$B956,'5) Release_Track'!$F:$F&amp;'5) Release_Track'!$G:$G,1,0)),"NO ISRC-CATALOG ID pair MATCH in Release_Track" )</f>
        <v/>
      </c>
      <c r="D956" s="121" t="str">
        <f t="array" ref="D956">ifs(and(isblank($A956),isblank($B956)),"", not(iserror(vlookup($A956&amp;$B956,'5) Release_Track'!$F:$F&amp;'5) Release_Track'!$G:$G,1,0))),vlookup($A956&amp;$B956,{'5) Release_Track'!$F:$F&amp;'5) Release_Track'!$G:$G,'5) Release_Track'!$I:$I},2,0), or(and(not(isblank($B956)),$B956=$B955,$A956&lt;&gt;$A955),and(not(isblank($A956)),$A956=$A955,$B956&lt;&gt;$B955)),"ID LISTS UNALIGNED",and($A956&lt;&gt;"",countif('5) Release_Track'!$F:$F,$A956)=0),"NO ISRC MATCH in Release_Track",and($B956&lt;&gt;"",countif('5) Release_Track'!$G:$G,$B956)=0),"NO CATALOG ID MATCH in Release_Track",iserror(vlookup($A956&amp;$B956,'5) Release_Track'!$F:$F&amp;'5) Release_Track'!$G:$G,1,0)),"NO ISRC-CATALOG ID pair MATCH in Release_Track" )</f>
        <v/>
      </c>
      <c r="E956" s="142" t="b">
        <v>0</v>
      </c>
      <c r="F956" s="142" t="b">
        <v>0</v>
      </c>
      <c r="G956" s="142" t="b">
        <v>0</v>
      </c>
      <c r="H956" s="142" t="b">
        <v>0</v>
      </c>
      <c r="I956" s="142" t="b">
        <v>0</v>
      </c>
      <c r="J956" s="142" t="b">
        <v>0</v>
      </c>
      <c r="K956" s="142" t="b">
        <v>0</v>
      </c>
      <c r="L956" s="8" t="b">
        <v>0</v>
      </c>
    </row>
    <row r="957">
      <c r="B957" s="103"/>
      <c r="C957" s="121" t="str">
        <f t="array" ref="C957">ifs(and(isblank($A957),isblank($B957)),"", not(iserror(vlookup($A957&amp;$B957,'5) Release_Track'!$F:$F&amp;'5) Release_Track'!$G:$G,1,0))),vlookup($A957&amp;$B957,{'5) Release_Track'!$F:$F&amp;'5) Release_Track'!$G:$G,'5) Release_Track'!$H:$H},2,0), or(and(not(isblank($B957)),$B957=$B956,$A957&lt;&gt;$A956),and(not(isblank($A957)),$A957=$A956,$B957&lt;&gt;$B956)),"ID LISTS UNALIGNED",and($A957&lt;&gt;"",countif('5) Release_Track'!$F:$F,$A957)=0),"NO ISRC MATCH in Release_Track",and($B957&lt;&gt;"",countif('5) Release_Track'!$G:$G,$B957)=0),"NO CATALOG ID MATCH in Release_Track",iserror(vlookup($A957&amp;$B957,'5) Release_Track'!$F:$F&amp;'5) Release_Track'!$G:$G,1,0)),"NO ISRC-CATALOG ID pair MATCH in Release_Track" )</f>
        <v/>
      </c>
      <c r="D957" s="121" t="str">
        <f t="array" ref="D957">ifs(and(isblank($A957),isblank($B957)),"", not(iserror(vlookup($A957&amp;$B957,'5) Release_Track'!$F:$F&amp;'5) Release_Track'!$G:$G,1,0))),vlookup($A957&amp;$B957,{'5) Release_Track'!$F:$F&amp;'5) Release_Track'!$G:$G,'5) Release_Track'!$I:$I},2,0), or(and(not(isblank($B957)),$B957=$B956,$A957&lt;&gt;$A956),and(not(isblank($A957)),$A957=$A956,$B957&lt;&gt;$B956)),"ID LISTS UNALIGNED",and($A957&lt;&gt;"",countif('5) Release_Track'!$F:$F,$A957)=0),"NO ISRC MATCH in Release_Track",and($B957&lt;&gt;"",countif('5) Release_Track'!$G:$G,$B957)=0),"NO CATALOG ID MATCH in Release_Track",iserror(vlookup($A957&amp;$B957,'5) Release_Track'!$F:$F&amp;'5) Release_Track'!$G:$G,1,0)),"NO ISRC-CATALOG ID pair MATCH in Release_Track" )</f>
        <v/>
      </c>
      <c r="E957" s="142" t="b">
        <v>0</v>
      </c>
      <c r="F957" s="142" t="b">
        <v>0</v>
      </c>
      <c r="G957" s="142" t="b">
        <v>0</v>
      </c>
      <c r="H957" s="142" t="b">
        <v>0</v>
      </c>
      <c r="I957" s="142" t="b">
        <v>0</v>
      </c>
      <c r="J957" s="142" t="b">
        <v>0</v>
      </c>
      <c r="K957" s="142" t="b">
        <v>0</v>
      </c>
      <c r="L957" s="8" t="b">
        <v>0</v>
      </c>
    </row>
    <row r="958">
      <c r="B958" s="103"/>
      <c r="C958" s="121" t="str">
        <f t="array" ref="C958">ifs(and(isblank($A958),isblank($B958)),"", not(iserror(vlookup($A958&amp;$B958,'5) Release_Track'!$F:$F&amp;'5) Release_Track'!$G:$G,1,0))),vlookup($A958&amp;$B958,{'5) Release_Track'!$F:$F&amp;'5) Release_Track'!$G:$G,'5) Release_Track'!$H:$H},2,0), or(and(not(isblank($B958)),$B958=$B957,$A958&lt;&gt;$A957),and(not(isblank($A958)),$A958=$A957,$B958&lt;&gt;$B957)),"ID LISTS UNALIGNED",and($A958&lt;&gt;"",countif('5) Release_Track'!$F:$F,$A958)=0),"NO ISRC MATCH in Release_Track",and($B958&lt;&gt;"",countif('5) Release_Track'!$G:$G,$B958)=0),"NO CATALOG ID MATCH in Release_Track",iserror(vlookup($A958&amp;$B958,'5) Release_Track'!$F:$F&amp;'5) Release_Track'!$G:$G,1,0)),"NO ISRC-CATALOG ID pair MATCH in Release_Track" )</f>
        <v/>
      </c>
      <c r="D958" s="121" t="str">
        <f t="array" ref="D958">ifs(and(isblank($A958),isblank($B958)),"", not(iserror(vlookup($A958&amp;$B958,'5) Release_Track'!$F:$F&amp;'5) Release_Track'!$G:$G,1,0))),vlookup($A958&amp;$B958,{'5) Release_Track'!$F:$F&amp;'5) Release_Track'!$G:$G,'5) Release_Track'!$I:$I},2,0), or(and(not(isblank($B958)),$B958=$B957,$A958&lt;&gt;$A957),and(not(isblank($A958)),$A958=$A957,$B958&lt;&gt;$B957)),"ID LISTS UNALIGNED",and($A958&lt;&gt;"",countif('5) Release_Track'!$F:$F,$A958)=0),"NO ISRC MATCH in Release_Track",and($B958&lt;&gt;"",countif('5) Release_Track'!$G:$G,$B958)=0),"NO CATALOG ID MATCH in Release_Track",iserror(vlookup($A958&amp;$B958,'5) Release_Track'!$F:$F&amp;'5) Release_Track'!$G:$G,1,0)),"NO ISRC-CATALOG ID pair MATCH in Release_Track" )</f>
        <v/>
      </c>
      <c r="E958" s="142" t="b">
        <v>0</v>
      </c>
      <c r="F958" s="142" t="b">
        <v>0</v>
      </c>
      <c r="G958" s="142" t="b">
        <v>0</v>
      </c>
      <c r="H958" s="142" t="b">
        <v>0</v>
      </c>
      <c r="I958" s="142" t="b">
        <v>0</v>
      </c>
      <c r="J958" s="142" t="b">
        <v>0</v>
      </c>
      <c r="K958" s="142" t="b">
        <v>0</v>
      </c>
      <c r="L958" s="8" t="b">
        <v>0</v>
      </c>
    </row>
    <row r="959">
      <c r="B959" s="103"/>
      <c r="C959" s="121" t="str">
        <f t="array" ref="C959">ifs(and(isblank($A959),isblank($B959)),"", not(iserror(vlookup($A959&amp;$B959,'5) Release_Track'!$F:$F&amp;'5) Release_Track'!$G:$G,1,0))),vlookup($A959&amp;$B959,{'5) Release_Track'!$F:$F&amp;'5) Release_Track'!$G:$G,'5) Release_Track'!$H:$H},2,0), or(and(not(isblank($B959)),$B959=$B958,$A959&lt;&gt;$A958),and(not(isblank($A959)),$A959=$A958,$B959&lt;&gt;$B958)),"ID LISTS UNALIGNED",and($A959&lt;&gt;"",countif('5) Release_Track'!$F:$F,$A959)=0),"NO ISRC MATCH in Release_Track",and($B959&lt;&gt;"",countif('5) Release_Track'!$G:$G,$B959)=0),"NO CATALOG ID MATCH in Release_Track",iserror(vlookup($A959&amp;$B959,'5) Release_Track'!$F:$F&amp;'5) Release_Track'!$G:$G,1,0)),"NO ISRC-CATALOG ID pair MATCH in Release_Track" )</f>
        <v/>
      </c>
      <c r="D959" s="121" t="str">
        <f t="array" ref="D959">ifs(and(isblank($A959),isblank($B959)),"", not(iserror(vlookup($A959&amp;$B959,'5) Release_Track'!$F:$F&amp;'5) Release_Track'!$G:$G,1,0))),vlookup($A959&amp;$B959,{'5) Release_Track'!$F:$F&amp;'5) Release_Track'!$G:$G,'5) Release_Track'!$I:$I},2,0), or(and(not(isblank($B959)),$B959=$B958,$A959&lt;&gt;$A958),and(not(isblank($A959)),$A959=$A958,$B959&lt;&gt;$B958)),"ID LISTS UNALIGNED",and($A959&lt;&gt;"",countif('5) Release_Track'!$F:$F,$A959)=0),"NO ISRC MATCH in Release_Track",and($B959&lt;&gt;"",countif('5) Release_Track'!$G:$G,$B959)=0),"NO CATALOG ID MATCH in Release_Track",iserror(vlookup($A959&amp;$B959,'5) Release_Track'!$F:$F&amp;'5) Release_Track'!$G:$G,1,0)),"NO ISRC-CATALOG ID pair MATCH in Release_Track" )</f>
        <v/>
      </c>
      <c r="E959" s="142" t="b">
        <v>0</v>
      </c>
      <c r="F959" s="142" t="b">
        <v>0</v>
      </c>
      <c r="G959" s="142" t="b">
        <v>0</v>
      </c>
      <c r="H959" s="142" t="b">
        <v>0</v>
      </c>
      <c r="I959" s="142" t="b">
        <v>0</v>
      </c>
      <c r="J959" s="142" t="b">
        <v>0</v>
      </c>
      <c r="K959" s="142" t="b">
        <v>0</v>
      </c>
      <c r="L959" s="8" t="b">
        <v>0</v>
      </c>
    </row>
    <row r="960">
      <c r="B960" s="103"/>
      <c r="C960" s="121" t="str">
        <f t="array" ref="C960">ifs(and(isblank($A960),isblank($B960)),"", not(iserror(vlookup($A960&amp;$B960,'5) Release_Track'!$F:$F&amp;'5) Release_Track'!$G:$G,1,0))),vlookup($A960&amp;$B960,{'5) Release_Track'!$F:$F&amp;'5) Release_Track'!$G:$G,'5) Release_Track'!$H:$H},2,0), or(and(not(isblank($B960)),$B960=$B959,$A960&lt;&gt;$A959),and(not(isblank($A960)),$A960=$A959,$B960&lt;&gt;$B959)),"ID LISTS UNALIGNED",and($A960&lt;&gt;"",countif('5) Release_Track'!$F:$F,$A960)=0),"NO ISRC MATCH in Release_Track",and($B960&lt;&gt;"",countif('5) Release_Track'!$G:$G,$B960)=0),"NO CATALOG ID MATCH in Release_Track",iserror(vlookup($A960&amp;$B960,'5) Release_Track'!$F:$F&amp;'5) Release_Track'!$G:$G,1,0)),"NO ISRC-CATALOG ID pair MATCH in Release_Track" )</f>
        <v/>
      </c>
      <c r="D960" s="121" t="str">
        <f t="array" ref="D960">ifs(and(isblank($A960),isblank($B960)),"", not(iserror(vlookup($A960&amp;$B960,'5) Release_Track'!$F:$F&amp;'5) Release_Track'!$G:$G,1,0))),vlookup($A960&amp;$B960,{'5) Release_Track'!$F:$F&amp;'5) Release_Track'!$G:$G,'5) Release_Track'!$I:$I},2,0), or(and(not(isblank($B960)),$B960=$B959,$A960&lt;&gt;$A959),and(not(isblank($A960)),$A960=$A959,$B960&lt;&gt;$B959)),"ID LISTS UNALIGNED",and($A960&lt;&gt;"",countif('5) Release_Track'!$F:$F,$A960)=0),"NO ISRC MATCH in Release_Track",and($B960&lt;&gt;"",countif('5) Release_Track'!$G:$G,$B960)=0),"NO CATALOG ID MATCH in Release_Track",iserror(vlookup($A960&amp;$B960,'5) Release_Track'!$F:$F&amp;'5) Release_Track'!$G:$G,1,0)),"NO ISRC-CATALOG ID pair MATCH in Release_Track" )</f>
        <v/>
      </c>
      <c r="E960" s="142" t="b">
        <v>0</v>
      </c>
      <c r="F960" s="142" t="b">
        <v>0</v>
      </c>
      <c r="G960" s="142" t="b">
        <v>0</v>
      </c>
      <c r="H960" s="142" t="b">
        <v>0</v>
      </c>
      <c r="I960" s="142" t="b">
        <v>0</v>
      </c>
      <c r="J960" s="142" t="b">
        <v>0</v>
      </c>
      <c r="K960" s="142" t="b">
        <v>0</v>
      </c>
      <c r="L960" s="8" t="b">
        <v>0</v>
      </c>
    </row>
    <row r="961">
      <c r="B961" s="103"/>
      <c r="C961" s="121" t="str">
        <f t="array" ref="C961">ifs(and(isblank($A961),isblank($B961)),"", not(iserror(vlookup($A961&amp;$B961,'5) Release_Track'!$F:$F&amp;'5) Release_Track'!$G:$G,1,0))),vlookup($A961&amp;$B961,{'5) Release_Track'!$F:$F&amp;'5) Release_Track'!$G:$G,'5) Release_Track'!$H:$H},2,0), or(and(not(isblank($B961)),$B961=$B960,$A961&lt;&gt;$A960),and(not(isblank($A961)),$A961=$A960,$B961&lt;&gt;$B960)),"ID LISTS UNALIGNED",and($A961&lt;&gt;"",countif('5) Release_Track'!$F:$F,$A961)=0),"NO ISRC MATCH in Release_Track",and($B961&lt;&gt;"",countif('5) Release_Track'!$G:$G,$B961)=0),"NO CATALOG ID MATCH in Release_Track",iserror(vlookup($A961&amp;$B961,'5) Release_Track'!$F:$F&amp;'5) Release_Track'!$G:$G,1,0)),"NO ISRC-CATALOG ID pair MATCH in Release_Track" )</f>
        <v/>
      </c>
      <c r="D961" s="121" t="str">
        <f t="array" ref="D961">ifs(and(isblank($A961),isblank($B961)),"", not(iserror(vlookup($A961&amp;$B961,'5) Release_Track'!$F:$F&amp;'5) Release_Track'!$G:$G,1,0))),vlookup($A961&amp;$B961,{'5) Release_Track'!$F:$F&amp;'5) Release_Track'!$G:$G,'5) Release_Track'!$I:$I},2,0), or(and(not(isblank($B961)),$B961=$B960,$A961&lt;&gt;$A960),and(not(isblank($A961)),$A961=$A960,$B961&lt;&gt;$B960)),"ID LISTS UNALIGNED",and($A961&lt;&gt;"",countif('5) Release_Track'!$F:$F,$A961)=0),"NO ISRC MATCH in Release_Track",and($B961&lt;&gt;"",countif('5) Release_Track'!$G:$G,$B961)=0),"NO CATALOG ID MATCH in Release_Track",iserror(vlookup($A961&amp;$B961,'5) Release_Track'!$F:$F&amp;'5) Release_Track'!$G:$G,1,0)),"NO ISRC-CATALOG ID pair MATCH in Release_Track" )</f>
        <v/>
      </c>
      <c r="E961" s="142" t="b">
        <v>0</v>
      </c>
      <c r="F961" s="142" t="b">
        <v>0</v>
      </c>
      <c r="G961" s="142" t="b">
        <v>0</v>
      </c>
      <c r="H961" s="142" t="b">
        <v>0</v>
      </c>
      <c r="I961" s="142" t="b">
        <v>0</v>
      </c>
      <c r="J961" s="142" t="b">
        <v>0</v>
      </c>
      <c r="K961" s="142" t="b">
        <v>0</v>
      </c>
      <c r="L961" s="8" t="b">
        <v>0</v>
      </c>
    </row>
    <row r="962">
      <c r="B962" s="103"/>
      <c r="C962" s="121" t="str">
        <f t="array" ref="C962">ifs(and(isblank($A962),isblank($B962)),"", not(iserror(vlookup($A962&amp;$B962,'5) Release_Track'!$F:$F&amp;'5) Release_Track'!$G:$G,1,0))),vlookup($A962&amp;$B962,{'5) Release_Track'!$F:$F&amp;'5) Release_Track'!$G:$G,'5) Release_Track'!$H:$H},2,0), or(and(not(isblank($B962)),$B962=$B961,$A962&lt;&gt;$A961),and(not(isblank($A962)),$A962=$A961,$B962&lt;&gt;$B961)),"ID LISTS UNALIGNED",and($A962&lt;&gt;"",countif('5) Release_Track'!$F:$F,$A962)=0),"NO ISRC MATCH in Release_Track",and($B962&lt;&gt;"",countif('5) Release_Track'!$G:$G,$B962)=0),"NO CATALOG ID MATCH in Release_Track",iserror(vlookup($A962&amp;$B962,'5) Release_Track'!$F:$F&amp;'5) Release_Track'!$G:$G,1,0)),"NO ISRC-CATALOG ID pair MATCH in Release_Track" )</f>
        <v/>
      </c>
      <c r="D962" s="121" t="str">
        <f t="array" ref="D962">ifs(and(isblank($A962),isblank($B962)),"", not(iserror(vlookup($A962&amp;$B962,'5) Release_Track'!$F:$F&amp;'5) Release_Track'!$G:$G,1,0))),vlookup($A962&amp;$B962,{'5) Release_Track'!$F:$F&amp;'5) Release_Track'!$G:$G,'5) Release_Track'!$I:$I},2,0), or(and(not(isblank($B962)),$B962=$B961,$A962&lt;&gt;$A961),and(not(isblank($A962)),$A962=$A961,$B962&lt;&gt;$B961)),"ID LISTS UNALIGNED",and($A962&lt;&gt;"",countif('5) Release_Track'!$F:$F,$A962)=0),"NO ISRC MATCH in Release_Track",and($B962&lt;&gt;"",countif('5) Release_Track'!$G:$G,$B962)=0),"NO CATALOG ID MATCH in Release_Track",iserror(vlookup($A962&amp;$B962,'5) Release_Track'!$F:$F&amp;'5) Release_Track'!$G:$G,1,0)),"NO ISRC-CATALOG ID pair MATCH in Release_Track" )</f>
        <v/>
      </c>
      <c r="E962" s="142" t="b">
        <v>0</v>
      </c>
      <c r="F962" s="142" t="b">
        <v>0</v>
      </c>
      <c r="G962" s="142" t="b">
        <v>0</v>
      </c>
      <c r="H962" s="142" t="b">
        <v>0</v>
      </c>
      <c r="I962" s="142" t="b">
        <v>0</v>
      </c>
      <c r="J962" s="142" t="b">
        <v>0</v>
      </c>
      <c r="K962" s="142" t="b">
        <v>0</v>
      </c>
      <c r="L962" s="8" t="b">
        <v>0</v>
      </c>
    </row>
    <row r="963">
      <c r="B963" s="103"/>
      <c r="C963" s="121" t="str">
        <f t="array" ref="C963">ifs(and(isblank($A963),isblank($B963)),"", not(iserror(vlookup($A963&amp;$B963,'5) Release_Track'!$F:$F&amp;'5) Release_Track'!$G:$G,1,0))),vlookup($A963&amp;$B963,{'5) Release_Track'!$F:$F&amp;'5) Release_Track'!$G:$G,'5) Release_Track'!$H:$H},2,0), or(and(not(isblank($B963)),$B963=$B962,$A963&lt;&gt;$A962),and(not(isblank($A963)),$A963=$A962,$B963&lt;&gt;$B962)),"ID LISTS UNALIGNED",and($A963&lt;&gt;"",countif('5) Release_Track'!$F:$F,$A963)=0),"NO ISRC MATCH in Release_Track",and($B963&lt;&gt;"",countif('5) Release_Track'!$G:$G,$B963)=0),"NO CATALOG ID MATCH in Release_Track",iserror(vlookup($A963&amp;$B963,'5) Release_Track'!$F:$F&amp;'5) Release_Track'!$G:$G,1,0)),"NO ISRC-CATALOG ID pair MATCH in Release_Track" )</f>
        <v/>
      </c>
      <c r="D963" s="121" t="str">
        <f t="array" ref="D963">ifs(and(isblank($A963),isblank($B963)),"", not(iserror(vlookup($A963&amp;$B963,'5) Release_Track'!$F:$F&amp;'5) Release_Track'!$G:$G,1,0))),vlookup($A963&amp;$B963,{'5) Release_Track'!$F:$F&amp;'5) Release_Track'!$G:$G,'5) Release_Track'!$I:$I},2,0), or(and(not(isblank($B963)),$B963=$B962,$A963&lt;&gt;$A962),and(not(isblank($A963)),$A963=$A962,$B963&lt;&gt;$B962)),"ID LISTS UNALIGNED",and($A963&lt;&gt;"",countif('5) Release_Track'!$F:$F,$A963)=0),"NO ISRC MATCH in Release_Track",and($B963&lt;&gt;"",countif('5) Release_Track'!$G:$G,$B963)=0),"NO CATALOG ID MATCH in Release_Track",iserror(vlookup($A963&amp;$B963,'5) Release_Track'!$F:$F&amp;'5) Release_Track'!$G:$G,1,0)),"NO ISRC-CATALOG ID pair MATCH in Release_Track" )</f>
        <v/>
      </c>
      <c r="E963" s="142" t="b">
        <v>0</v>
      </c>
      <c r="F963" s="142" t="b">
        <v>0</v>
      </c>
      <c r="G963" s="142" t="b">
        <v>0</v>
      </c>
      <c r="H963" s="142" t="b">
        <v>0</v>
      </c>
      <c r="I963" s="142" t="b">
        <v>0</v>
      </c>
      <c r="J963" s="142" t="b">
        <v>0</v>
      </c>
      <c r="K963" s="142" t="b">
        <v>0</v>
      </c>
      <c r="L963" s="8" t="b">
        <v>0</v>
      </c>
    </row>
    <row r="964">
      <c r="B964" s="103"/>
      <c r="C964" s="121" t="str">
        <f t="array" ref="C964">ifs(and(isblank($A964),isblank($B964)),"", not(iserror(vlookup($A964&amp;$B964,'5) Release_Track'!$F:$F&amp;'5) Release_Track'!$G:$G,1,0))),vlookup($A964&amp;$B964,{'5) Release_Track'!$F:$F&amp;'5) Release_Track'!$G:$G,'5) Release_Track'!$H:$H},2,0), or(and(not(isblank($B964)),$B964=$B963,$A964&lt;&gt;$A963),and(not(isblank($A964)),$A964=$A963,$B964&lt;&gt;$B963)),"ID LISTS UNALIGNED",and($A964&lt;&gt;"",countif('5) Release_Track'!$F:$F,$A964)=0),"NO ISRC MATCH in Release_Track",and($B964&lt;&gt;"",countif('5) Release_Track'!$G:$G,$B964)=0),"NO CATALOG ID MATCH in Release_Track",iserror(vlookup($A964&amp;$B964,'5) Release_Track'!$F:$F&amp;'5) Release_Track'!$G:$G,1,0)),"NO ISRC-CATALOG ID pair MATCH in Release_Track" )</f>
        <v/>
      </c>
      <c r="D964" s="121" t="str">
        <f t="array" ref="D964">ifs(and(isblank($A964),isblank($B964)),"", not(iserror(vlookup($A964&amp;$B964,'5) Release_Track'!$F:$F&amp;'5) Release_Track'!$G:$G,1,0))),vlookup($A964&amp;$B964,{'5) Release_Track'!$F:$F&amp;'5) Release_Track'!$G:$G,'5) Release_Track'!$I:$I},2,0), or(and(not(isblank($B964)),$B964=$B963,$A964&lt;&gt;$A963),and(not(isblank($A964)),$A964=$A963,$B964&lt;&gt;$B963)),"ID LISTS UNALIGNED",and($A964&lt;&gt;"",countif('5) Release_Track'!$F:$F,$A964)=0),"NO ISRC MATCH in Release_Track",and($B964&lt;&gt;"",countif('5) Release_Track'!$G:$G,$B964)=0),"NO CATALOG ID MATCH in Release_Track",iserror(vlookup($A964&amp;$B964,'5) Release_Track'!$F:$F&amp;'5) Release_Track'!$G:$G,1,0)),"NO ISRC-CATALOG ID pair MATCH in Release_Track" )</f>
        <v/>
      </c>
      <c r="E964" s="142" t="b">
        <v>0</v>
      </c>
      <c r="F964" s="142" t="b">
        <v>0</v>
      </c>
      <c r="G964" s="142" t="b">
        <v>0</v>
      </c>
      <c r="H964" s="142" t="b">
        <v>0</v>
      </c>
      <c r="I964" s="142" t="b">
        <v>0</v>
      </c>
      <c r="J964" s="142" t="b">
        <v>0</v>
      </c>
      <c r="K964" s="142" t="b">
        <v>0</v>
      </c>
      <c r="L964" s="8" t="b">
        <v>0</v>
      </c>
    </row>
    <row r="965">
      <c r="B965" s="103"/>
      <c r="C965" s="121" t="str">
        <f t="array" ref="C965">ifs(and(isblank($A965),isblank($B965)),"", not(iserror(vlookup($A965&amp;$B965,'5) Release_Track'!$F:$F&amp;'5) Release_Track'!$G:$G,1,0))),vlookup($A965&amp;$B965,{'5) Release_Track'!$F:$F&amp;'5) Release_Track'!$G:$G,'5) Release_Track'!$H:$H},2,0), or(and(not(isblank($B965)),$B965=$B964,$A965&lt;&gt;$A964),and(not(isblank($A965)),$A965=$A964,$B965&lt;&gt;$B964)),"ID LISTS UNALIGNED",and($A965&lt;&gt;"",countif('5) Release_Track'!$F:$F,$A965)=0),"NO ISRC MATCH in Release_Track",and($B965&lt;&gt;"",countif('5) Release_Track'!$G:$G,$B965)=0),"NO CATALOG ID MATCH in Release_Track",iserror(vlookup($A965&amp;$B965,'5) Release_Track'!$F:$F&amp;'5) Release_Track'!$G:$G,1,0)),"NO ISRC-CATALOG ID pair MATCH in Release_Track" )</f>
        <v/>
      </c>
      <c r="D965" s="121" t="str">
        <f t="array" ref="D965">ifs(and(isblank($A965),isblank($B965)),"", not(iserror(vlookup($A965&amp;$B965,'5) Release_Track'!$F:$F&amp;'5) Release_Track'!$G:$G,1,0))),vlookup($A965&amp;$B965,{'5) Release_Track'!$F:$F&amp;'5) Release_Track'!$G:$G,'5) Release_Track'!$I:$I},2,0), or(and(not(isblank($B965)),$B965=$B964,$A965&lt;&gt;$A964),and(not(isblank($A965)),$A965=$A964,$B965&lt;&gt;$B964)),"ID LISTS UNALIGNED",and($A965&lt;&gt;"",countif('5) Release_Track'!$F:$F,$A965)=0),"NO ISRC MATCH in Release_Track",and($B965&lt;&gt;"",countif('5) Release_Track'!$G:$G,$B965)=0),"NO CATALOG ID MATCH in Release_Track",iserror(vlookup($A965&amp;$B965,'5) Release_Track'!$F:$F&amp;'5) Release_Track'!$G:$G,1,0)),"NO ISRC-CATALOG ID pair MATCH in Release_Track" )</f>
        <v/>
      </c>
      <c r="E965" s="142" t="b">
        <v>0</v>
      </c>
      <c r="F965" s="142" t="b">
        <v>0</v>
      </c>
      <c r="G965" s="142" t="b">
        <v>0</v>
      </c>
      <c r="H965" s="142" t="b">
        <v>0</v>
      </c>
      <c r="I965" s="142" t="b">
        <v>0</v>
      </c>
      <c r="J965" s="142" t="b">
        <v>0</v>
      </c>
      <c r="K965" s="142" t="b">
        <v>0</v>
      </c>
      <c r="L965" s="8" t="b">
        <v>0</v>
      </c>
    </row>
    <row r="966">
      <c r="B966" s="103"/>
      <c r="C966" s="121" t="str">
        <f t="array" ref="C966">ifs(and(isblank($A966),isblank($B966)),"", not(iserror(vlookup($A966&amp;$B966,'5) Release_Track'!$F:$F&amp;'5) Release_Track'!$G:$G,1,0))),vlookup($A966&amp;$B966,{'5) Release_Track'!$F:$F&amp;'5) Release_Track'!$G:$G,'5) Release_Track'!$H:$H},2,0), or(and(not(isblank($B966)),$B966=$B965,$A966&lt;&gt;$A965),and(not(isblank($A966)),$A966=$A965,$B966&lt;&gt;$B965)),"ID LISTS UNALIGNED",and($A966&lt;&gt;"",countif('5) Release_Track'!$F:$F,$A966)=0),"NO ISRC MATCH in Release_Track",and($B966&lt;&gt;"",countif('5) Release_Track'!$G:$G,$B966)=0),"NO CATALOG ID MATCH in Release_Track",iserror(vlookup($A966&amp;$B966,'5) Release_Track'!$F:$F&amp;'5) Release_Track'!$G:$G,1,0)),"NO ISRC-CATALOG ID pair MATCH in Release_Track" )</f>
        <v/>
      </c>
      <c r="D966" s="121" t="str">
        <f t="array" ref="D966">ifs(and(isblank($A966),isblank($B966)),"", not(iserror(vlookup($A966&amp;$B966,'5) Release_Track'!$F:$F&amp;'5) Release_Track'!$G:$G,1,0))),vlookup($A966&amp;$B966,{'5) Release_Track'!$F:$F&amp;'5) Release_Track'!$G:$G,'5) Release_Track'!$I:$I},2,0), or(and(not(isblank($B966)),$B966=$B965,$A966&lt;&gt;$A965),and(not(isblank($A966)),$A966=$A965,$B966&lt;&gt;$B965)),"ID LISTS UNALIGNED",and($A966&lt;&gt;"",countif('5) Release_Track'!$F:$F,$A966)=0),"NO ISRC MATCH in Release_Track",and($B966&lt;&gt;"",countif('5) Release_Track'!$G:$G,$B966)=0),"NO CATALOG ID MATCH in Release_Track",iserror(vlookup($A966&amp;$B966,'5) Release_Track'!$F:$F&amp;'5) Release_Track'!$G:$G,1,0)),"NO ISRC-CATALOG ID pair MATCH in Release_Track" )</f>
        <v/>
      </c>
      <c r="E966" s="142" t="b">
        <v>0</v>
      </c>
      <c r="F966" s="142" t="b">
        <v>0</v>
      </c>
      <c r="G966" s="142" t="b">
        <v>0</v>
      </c>
      <c r="H966" s="142" t="b">
        <v>0</v>
      </c>
      <c r="I966" s="142" t="b">
        <v>0</v>
      </c>
      <c r="J966" s="142" t="b">
        <v>0</v>
      </c>
      <c r="K966" s="142" t="b">
        <v>0</v>
      </c>
      <c r="L966" s="8" t="b">
        <v>0</v>
      </c>
    </row>
    <row r="967">
      <c r="B967" s="103"/>
      <c r="C967" s="121" t="str">
        <f t="array" ref="C967">ifs(and(isblank($A967),isblank($B967)),"", not(iserror(vlookup($A967&amp;$B967,'5) Release_Track'!$F:$F&amp;'5) Release_Track'!$G:$G,1,0))),vlookup($A967&amp;$B967,{'5) Release_Track'!$F:$F&amp;'5) Release_Track'!$G:$G,'5) Release_Track'!$H:$H},2,0), or(and(not(isblank($B967)),$B967=$B966,$A967&lt;&gt;$A966),and(not(isblank($A967)),$A967=$A966,$B967&lt;&gt;$B966)),"ID LISTS UNALIGNED",and($A967&lt;&gt;"",countif('5) Release_Track'!$F:$F,$A967)=0),"NO ISRC MATCH in Release_Track",and($B967&lt;&gt;"",countif('5) Release_Track'!$G:$G,$B967)=0),"NO CATALOG ID MATCH in Release_Track",iserror(vlookup($A967&amp;$B967,'5) Release_Track'!$F:$F&amp;'5) Release_Track'!$G:$G,1,0)),"NO ISRC-CATALOG ID pair MATCH in Release_Track" )</f>
        <v/>
      </c>
      <c r="D967" s="121" t="str">
        <f t="array" ref="D967">ifs(and(isblank($A967),isblank($B967)),"", not(iserror(vlookup($A967&amp;$B967,'5) Release_Track'!$F:$F&amp;'5) Release_Track'!$G:$G,1,0))),vlookup($A967&amp;$B967,{'5) Release_Track'!$F:$F&amp;'5) Release_Track'!$G:$G,'5) Release_Track'!$I:$I},2,0), or(and(not(isblank($B967)),$B967=$B966,$A967&lt;&gt;$A966),and(not(isblank($A967)),$A967=$A966,$B967&lt;&gt;$B966)),"ID LISTS UNALIGNED",and($A967&lt;&gt;"",countif('5) Release_Track'!$F:$F,$A967)=0),"NO ISRC MATCH in Release_Track",and($B967&lt;&gt;"",countif('5) Release_Track'!$G:$G,$B967)=0),"NO CATALOG ID MATCH in Release_Track",iserror(vlookup($A967&amp;$B967,'5) Release_Track'!$F:$F&amp;'5) Release_Track'!$G:$G,1,0)),"NO ISRC-CATALOG ID pair MATCH in Release_Track" )</f>
        <v/>
      </c>
      <c r="E967" s="142" t="b">
        <v>0</v>
      </c>
      <c r="F967" s="142" t="b">
        <v>0</v>
      </c>
      <c r="G967" s="142" t="b">
        <v>0</v>
      </c>
      <c r="H967" s="142" t="b">
        <v>0</v>
      </c>
      <c r="I967" s="142" t="b">
        <v>0</v>
      </c>
      <c r="J967" s="142" t="b">
        <v>0</v>
      </c>
      <c r="K967" s="142" t="b">
        <v>0</v>
      </c>
      <c r="L967" s="8" t="b">
        <v>0</v>
      </c>
    </row>
    <row r="968">
      <c r="B968" s="103"/>
      <c r="C968" s="121" t="str">
        <f t="array" ref="C968">ifs(and(isblank($A968),isblank($B968)),"", not(iserror(vlookup($A968&amp;$B968,'5) Release_Track'!$F:$F&amp;'5) Release_Track'!$G:$G,1,0))),vlookup($A968&amp;$B968,{'5) Release_Track'!$F:$F&amp;'5) Release_Track'!$G:$G,'5) Release_Track'!$H:$H},2,0), or(and(not(isblank($B968)),$B968=$B967,$A968&lt;&gt;$A967),and(not(isblank($A968)),$A968=$A967,$B968&lt;&gt;$B967)),"ID LISTS UNALIGNED",and($A968&lt;&gt;"",countif('5) Release_Track'!$F:$F,$A968)=0),"NO ISRC MATCH in Release_Track",and($B968&lt;&gt;"",countif('5) Release_Track'!$G:$G,$B968)=0),"NO CATALOG ID MATCH in Release_Track",iserror(vlookup($A968&amp;$B968,'5) Release_Track'!$F:$F&amp;'5) Release_Track'!$G:$G,1,0)),"NO ISRC-CATALOG ID pair MATCH in Release_Track" )</f>
        <v/>
      </c>
      <c r="D968" s="121" t="str">
        <f t="array" ref="D968">ifs(and(isblank($A968),isblank($B968)),"", not(iserror(vlookup($A968&amp;$B968,'5) Release_Track'!$F:$F&amp;'5) Release_Track'!$G:$G,1,0))),vlookup($A968&amp;$B968,{'5) Release_Track'!$F:$F&amp;'5) Release_Track'!$G:$G,'5) Release_Track'!$I:$I},2,0), or(and(not(isblank($B968)),$B968=$B967,$A968&lt;&gt;$A967),and(not(isblank($A968)),$A968=$A967,$B968&lt;&gt;$B967)),"ID LISTS UNALIGNED",and($A968&lt;&gt;"",countif('5) Release_Track'!$F:$F,$A968)=0),"NO ISRC MATCH in Release_Track",and($B968&lt;&gt;"",countif('5) Release_Track'!$G:$G,$B968)=0),"NO CATALOG ID MATCH in Release_Track",iserror(vlookup($A968&amp;$B968,'5) Release_Track'!$F:$F&amp;'5) Release_Track'!$G:$G,1,0)),"NO ISRC-CATALOG ID pair MATCH in Release_Track" )</f>
        <v/>
      </c>
      <c r="E968" s="142" t="b">
        <v>0</v>
      </c>
      <c r="F968" s="142" t="b">
        <v>0</v>
      </c>
      <c r="G968" s="142" t="b">
        <v>0</v>
      </c>
      <c r="H968" s="142" t="b">
        <v>0</v>
      </c>
      <c r="I968" s="142" t="b">
        <v>0</v>
      </c>
      <c r="J968" s="142" t="b">
        <v>0</v>
      </c>
      <c r="K968" s="142" t="b">
        <v>0</v>
      </c>
      <c r="L968" s="8" t="b">
        <v>0</v>
      </c>
    </row>
    <row r="969">
      <c r="B969" s="103"/>
      <c r="C969" s="121" t="str">
        <f t="array" ref="C969">ifs(and(isblank($A969),isblank($B969)),"", not(iserror(vlookup($A969&amp;$B969,'5) Release_Track'!$F:$F&amp;'5) Release_Track'!$G:$G,1,0))),vlookup($A969&amp;$B969,{'5) Release_Track'!$F:$F&amp;'5) Release_Track'!$G:$G,'5) Release_Track'!$H:$H},2,0), or(and(not(isblank($B969)),$B969=$B968,$A969&lt;&gt;$A968),and(not(isblank($A969)),$A969=$A968,$B969&lt;&gt;$B968)),"ID LISTS UNALIGNED",and($A969&lt;&gt;"",countif('5) Release_Track'!$F:$F,$A969)=0),"NO ISRC MATCH in Release_Track",and($B969&lt;&gt;"",countif('5) Release_Track'!$G:$G,$B969)=0),"NO CATALOG ID MATCH in Release_Track",iserror(vlookup($A969&amp;$B969,'5) Release_Track'!$F:$F&amp;'5) Release_Track'!$G:$G,1,0)),"NO ISRC-CATALOG ID pair MATCH in Release_Track" )</f>
        <v/>
      </c>
      <c r="D969" s="121" t="str">
        <f t="array" ref="D969">ifs(and(isblank($A969),isblank($B969)),"", not(iserror(vlookup($A969&amp;$B969,'5) Release_Track'!$F:$F&amp;'5) Release_Track'!$G:$G,1,0))),vlookup($A969&amp;$B969,{'5) Release_Track'!$F:$F&amp;'5) Release_Track'!$G:$G,'5) Release_Track'!$I:$I},2,0), or(and(not(isblank($B969)),$B969=$B968,$A969&lt;&gt;$A968),and(not(isblank($A969)),$A969=$A968,$B969&lt;&gt;$B968)),"ID LISTS UNALIGNED",and($A969&lt;&gt;"",countif('5) Release_Track'!$F:$F,$A969)=0),"NO ISRC MATCH in Release_Track",and($B969&lt;&gt;"",countif('5) Release_Track'!$G:$G,$B969)=0),"NO CATALOG ID MATCH in Release_Track",iserror(vlookup($A969&amp;$B969,'5) Release_Track'!$F:$F&amp;'5) Release_Track'!$G:$G,1,0)),"NO ISRC-CATALOG ID pair MATCH in Release_Track" )</f>
        <v/>
      </c>
      <c r="E969" s="142" t="b">
        <v>0</v>
      </c>
      <c r="F969" s="142" t="b">
        <v>0</v>
      </c>
      <c r="G969" s="142" t="b">
        <v>0</v>
      </c>
      <c r="H969" s="142" t="b">
        <v>0</v>
      </c>
      <c r="I969" s="142" t="b">
        <v>0</v>
      </c>
      <c r="J969" s="142" t="b">
        <v>0</v>
      </c>
      <c r="K969" s="142" t="b">
        <v>0</v>
      </c>
      <c r="L969" s="8" t="b">
        <v>0</v>
      </c>
    </row>
    <row r="970">
      <c r="B970" s="103"/>
      <c r="C970" s="121" t="str">
        <f t="array" ref="C970">ifs(and(isblank($A970),isblank($B970)),"", not(iserror(vlookup($A970&amp;$B970,'5) Release_Track'!$F:$F&amp;'5) Release_Track'!$G:$G,1,0))),vlookup($A970&amp;$B970,{'5) Release_Track'!$F:$F&amp;'5) Release_Track'!$G:$G,'5) Release_Track'!$H:$H},2,0), or(and(not(isblank($B970)),$B970=$B969,$A970&lt;&gt;$A969),and(not(isblank($A970)),$A970=$A969,$B970&lt;&gt;$B969)),"ID LISTS UNALIGNED",and($A970&lt;&gt;"",countif('5) Release_Track'!$F:$F,$A970)=0),"NO ISRC MATCH in Release_Track",and($B970&lt;&gt;"",countif('5) Release_Track'!$G:$G,$B970)=0),"NO CATALOG ID MATCH in Release_Track",iserror(vlookup($A970&amp;$B970,'5) Release_Track'!$F:$F&amp;'5) Release_Track'!$G:$G,1,0)),"NO ISRC-CATALOG ID pair MATCH in Release_Track" )</f>
        <v/>
      </c>
      <c r="D970" s="121" t="str">
        <f t="array" ref="D970">ifs(and(isblank($A970),isblank($B970)),"", not(iserror(vlookup($A970&amp;$B970,'5) Release_Track'!$F:$F&amp;'5) Release_Track'!$G:$G,1,0))),vlookup($A970&amp;$B970,{'5) Release_Track'!$F:$F&amp;'5) Release_Track'!$G:$G,'5) Release_Track'!$I:$I},2,0), or(and(not(isblank($B970)),$B970=$B969,$A970&lt;&gt;$A969),and(not(isblank($A970)),$A970=$A969,$B970&lt;&gt;$B969)),"ID LISTS UNALIGNED",and($A970&lt;&gt;"",countif('5) Release_Track'!$F:$F,$A970)=0),"NO ISRC MATCH in Release_Track",and($B970&lt;&gt;"",countif('5) Release_Track'!$G:$G,$B970)=0),"NO CATALOG ID MATCH in Release_Track",iserror(vlookup($A970&amp;$B970,'5) Release_Track'!$F:$F&amp;'5) Release_Track'!$G:$G,1,0)),"NO ISRC-CATALOG ID pair MATCH in Release_Track" )</f>
        <v/>
      </c>
      <c r="E970" s="142" t="b">
        <v>0</v>
      </c>
      <c r="F970" s="142" t="b">
        <v>0</v>
      </c>
      <c r="G970" s="142" t="b">
        <v>0</v>
      </c>
      <c r="H970" s="142" t="b">
        <v>0</v>
      </c>
      <c r="I970" s="142" t="b">
        <v>0</v>
      </c>
      <c r="J970" s="142" t="b">
        <v>0</v>
      </c>
      <c r="K970" s="142" t="b">
        <v>0</v>
      </c>
      <c r="L970" s="8" t="b">
        <v>0</v>
      </c>
    </row>
    <row r="971">
      <c r="B971" s="103"/>
      <c r="C971" s="121" t="str">
        <f t="array" ref="C971">ifs(and(isblank($A971),isblank($B971)),"", not(iserror(vlookup($A971&amp;$B971,'5) Release_Track'!$F:$F&amp;'5) Release_Track'!$G:$G,1,0))),vlookup($A971&amp;$B971,{'5) Release_Track'!$F:$F&amp;'5) Release_Track'!$G:$G,'5) Release_Track'!$H:$H},2,0), or(and(not(isblank($B971)),$B971=$B970,$A971&lt;&gt;$A970),and(not(isblank($A971)),$A971=$A970,$B971&lt;&gt;$B970)),"ID LISTS UNALIGNED",and($A971&lt;&gt;"",countif('5) Release_Track'!$F:$F,$A971)=0),"NO ISRC MATCH in Release_Track",and($B971&lt;&gt;"",countif('5) Release_Track'!$G:$G,$B971)=0),"NO CATALOG ID MATCH in Release_Track",iserror(vlookup($A971&amp;$B971,'5) Release_Track'!$F:$F&amp;'5) Release_Track'!$G:$G,1,0)),"NO ISRC-CATALOG ID pair MATCH in Release_Track" )</f>
        <v/>
      </c>
      <c r="D971" s="121" t="str">
        <f t="array" ref="D971">ifs(and(isblank($A971),isblank($B971)),"", not(iserror(vlookup($A971&amp;$B971,'5) Release_Track'!$F:$F&amp;'5) Release_Track'!$G:$G,1,0))),vlookup($A971&amp;$B971,{'5) Release_Track'!$F:$F&amp;'5) Release_Track'!$G:$G,'5) Release_Track'!$I:$I},2,0), or(and(not(isblank($B971)),$B971=$B970,$A971&lt;&gt;$A970),and(not(isblank($A971)),$A971=$A970,$B971&lt;&gt;$B970)),"ID LISTS UNALIGNED",and($A971&lt;&gt;"",countif('5) Release_Track'!$F:$F,$A971)=0),"NO ISRC MATCH in Release_Track",and($B971&lt;&gt;"",countif('5) Release_Track'!$G:$G,$B971)=0),"NO CATALOG ID MATCH in Release_Track",iserror(vlookup($A971&amp;$B971,'5) Release_Track'!$F:$F&amp;'5) Release_Track'!$G:$G,1,0)),"NO ISRC-CATALOG ID pair MATCH in Release_Track" )</f>
        <v/>
      </c>
      <c r="E971" s="142" t="b">
        <v>0</v>
      </c>
      <c r="F971" s="142" t="b">
        <v>0</v>
      </c>
      <c r="G971" s="142" t="b">
        <v>0</v>
      </c>
      <c r="H971" s="142" t="b">
        <v>0</v>
      </c>
      <c r="I971" s="142" t="b">
        <v>0</v>
      </c>
      <c r="J971" s="142" t="b">
        <v>0</v>
      </c>
      <c r="K971" s="142" t="b">
        <v>0</v>
      </c>
      <c r="L971" s="8" t="b">
        <v>0</v>
      </c>
    </row>
    <row r="972">
      <c r="B972" s="103"/>
      <c r="C972" s="121" t="str">
        <f t="array" ref="C972">ifs(and(isblank($A972),isblank($B972)),"", not(iserror(vlookup($A972&amp;$B972,'5) Release_Track'!$F:$F&amp;'5) Release_Track'!$G:$G,1,0))),vlookup($A972&amp;$B972,{'5) Release_Track'!$F:$F&amp;'5) Release_Track'!$G:$G,'5) Release_Track'!$H:$H},2,0), or(and(not(isblank($B972)),$B972=$B971,$A972&lt;&gt;$A971),and(not(isblank($A972)),$A972=$A971,$B972&lt;&gt;$B971)),"ID LISTS UNALIGNED",and($A972&lt;&gt;"",countif('5) Release_Track'!$F:$F,$A972)=0),"NO ISRC MATCH in Release_Track",and($B972&lt;&gt;"",countif('5) Release_Track'!$G:$G,$B972)=0),"NO CATALOG ID MATCH in Release_Track",iserror(vlookup($A972&amp;$B972,'5) Release_Track'!$F:$F&amp;'5) Release_Track'!$G:$G,1,0)),"NO ISRC-CATALOG ID pair MATCH in Release_Track" )</f>
        <v/>
      </c>
      <c r="D972" s="121" t="str">
        <f t="array" ref="D972">ifs(and(isblank($A972),isblank($B972)),"", not(iserror(vlookup($A972&amp;$B972,'5) Release_Track'!$F:$F&amp;'5) Release_Track'!$G:$G,1,0))),vlookup($A972&amp;$B972,{'5) Release_Track'!$F:$F&amp;'5) Release_Track'!$G:$G,'5) Release_Track'!$I:$I},2,0), or(and(not(isblank($B972)),$B972=$B971,$A972&lt;&gt;$A971),and(not(isblank($A972)),$A972=$A971,$B972&lt;&gt;$B971)),"ID LISTS UNALIGNED",and($A972&lt;&gt;"",countif('5) Release_Track'!$F:$F,$A972)=0),"NO ISRC MATCH in Release_Track",and($B972&lt;&gt;"",countif('5) Release_Track'!$G:$G,$B972)=0),"NO CATALOG ID MATCH in Release_Track",iserror(vlookup($A972&amp;$B972,'5) Release_Track'!$F:$F&amp;'5) Release_Track'!$G:$G,1,0)),"NO ISRC-CATALOG ID pair MATCH in Release_Track" )</f>
        <v/>
      </c>
      <c r="E972" s="142" t="b">
        <v>0</v>
      </c>
      <c r="F972" s="142" t="b">
        <v>0</v>
      </c>
      <c r="G972" s="142" t="b">
        <v>0</v>
      </c>
      <c r="H972" s="142" t="b">
        <v>0</v>
      </c>
      <c r="I972" s="142" t="b">
        <v>0</v>
      </c>
      <c r="J972" s="142" t="b">
        <v>0</v>
      </c>
      <c r="K972" s="142" t="b">
        <v>0</v>
      </c>
      <c r="L972" s="8" t="b">
        <v>0</v>
      </c>
    </row>
    <row r="973">
      <c r="B973" s="103"/>
      <c r="C973" s="121" t="str">
        <f t="array" ref="C973">ifs(and(isblank($A973),isblank($B973)),"", not(iserror(vlookup($A973&amp;$B973,'5) Release_Track'!$F:$F&amp;'5) Release_Track'!$G:$G,1,0))),vlookup($A973&amp;$B973,{'5) Release_Track'!$F:$F&amp;'5) Release_Track'!$G:$G,'5) Release_Track'!$H:$H},2,0), or(and(not(isblank($B973)),$B973=$B972,$A973&lt;&gt;$A972),and(not(isblank($A973)),$A973=$A972,$B973&lt;&gt;$B972)),"ID LISTS UNALIGNED",and($A973&lt;&gt;"",countif('5) Release_Track'!$F:$F,$A973)=0),"NO ISRC MATCH in Release_Track",and($B973&lt;&gt;"",countif('5) Release_Track'!$G:$G,$B973)=0),"NO CATALOG ID MATCH in Release_Track",iserror(vlookup($A973&amp;$B973,'5) Release_Track'!$F:$F&amp;'5) Release_Track'!$G:$G,1,0)),"NO ISRC-CATALOG ID pair MATCH in Release_Track" )</f>
        <v/>
      </c>
      <c r="D973" s="121" t="str">
        <f t="array" ref="D973">ifs(and(isblank($A973),isblank($B973)),"", not(iserror(vlookup($A973&amp;$B973,'5) Release_Track'!$F:$F&amp;'5) Release_Track'!$G:$G,1,0))),vlookup($A973&amp;$B973,{'5) Release_Track'!$F:$F&amp;'5) Release_Track'!$G:$G,'5) Release_Track'!$I:$I},2,0), or(and(not(isblank($B973)),$B973=$B972,$A973&lt;&gt;$A972),and(not(isblank($A973)),$A973=$A972,$B973&lt;&gt;$B972)),"ID LISTS UNALIGNED",and($A973&lt;&gt;"",countif('5) Release_Track'!$F:$F,$A973)=0),"NO ISRC MATCH in Release_Track",and($B973&lt;&gt;"",countif('5) Release_Track'!$G:$G,$B973)=0),"NO CATALOG ID MATCH in Release_Track",iserror(vlookup($A973&amp;$B973,'5) Release_Track'!$F:$F&amp;'5) Release_Track'!$G:$G,1,0)),"NO ISRC-CATALOG ID pair MATCH in Release_Track" )</f>
        <v/>
      </c>
      <c r="E973" s="142" t="b">
        <v>0</v>
      </c>
      <c r="F973" s="142" t="b">
        <v>0</v>
      </c>
      <c r="G973" s="142" t="b">
        <v>0</v>
      </c>
      <c r="H973" s="142" t="b">
        <v>0</v>
      </c>
      <c r="I973" s="142" t="b">
        <v>0</v>
      </c>
      <c r="J973" s="142" t="b">
        <v>0</v>
      </c>
      <c r="K973" s="142" t="b">
        <v>0</v>
      </c>
      <c r="L973" s="8" t="b">
        <v>0</v>
      </c>
    </row>
    <row r="974">
      <c r="B974" s="103"/>
      <c r="C974" s="121" t="str">
        <f t="array" ref="C974">ifs(and(isblank($A974),isblank($B974)),"", not(iserror(vlookup($A974&amp;$B974,'5) Release_Track'!$F:$F&amp;'5) Release_Track'!$G:$G,1,0))),vlookup($A974&amp;$B974,{'5) Release_Track'!$F:$F&amp;'5) Release_Track'!$G:$G,'5) Release_Track'!$H:$H},2,0), or(and(not(isblank($B974)),$B974=$B973,$A974&lt;&gt;$A973),and(not(isblank($A974)),$A974=$A973,$B974&lt;&gt;$B973)),"ID LISTS UNALIGNED",and($A974&lt;&gt;"",countif('5) Release_Track'!$F:$F,$A974)=0),"NO ISRC MATCH in Release_Track",and($B974&lt;&gt;"",countif('5) Release_Track'!$G:$G,$B974)=0),"NO CATALOG ID MATCH in Release_Track",iserror(vlookup($A974&amp;$B974,'5) Release_Track'!$F:$F&amp;'5) Release_Track'!$G:$G,1,0)),"NO ISRC-CATALOG ID pair MATCH in Release_Track" )</f>
        <v/>
      </c>
      <c r="D974" s="121" t="str">
        <f t="array" ref="D974">ifs(and(isblank($A974),isblank($B974)),"", not(iserror(vlookup($A974&amp;$B974,'5) Release_Track'!$F:$F&amp;'5) Release_Track'!$G:$G,1,0))),vlookup($A974&amp;$B974,{'5) Release_Track'!$F:$F&amp;'5) Release_Track'!$G:$G,'5) Release_Track'!$I:$I},2,0), or(and(not(isblank($B974)),$B974=$B973,$A974&lt;&gt;$A973),and(not(isblank($A974)),$A974=$A973,$B974&lt;&gt;$B973)),"ID LISTS UNALIGNED",and($A974&lt;&gt;"",countif('5) Release_Track'!$F:$F,$A974)=0),"NO ISRC MATCH in Release_Track",and($B974&lt;&gt;"",countif('5) Release_Track'!$G:$G,$B974)=0),"NO CATALOG ID MATCH in Release_Track",iserror(vlookup($A974&amp;$B974,'5) Release_Track'!$F:$F&amp;'5) Release_Track'!$G:$G,1,0)),"NO ISRC-CATALOG ID pair MATCH in Release_Track" )</f>
        <v/>
      </c>
      <c r="E974" s="142" t="b">
        <v>0</v>
      </c>
      <c r="F974" s="142" t="b">
        <v>0</v>
      </c>
      <c r="G974" s="142" t="b">
        <v>0</v>
      </c>
      <c r="H974" s="142" t="b">
        <v>0</v>
      </c>
      <c r="I974" s="142" t="b">
        <v>0</v>
      </c>
      <c r="J974" s="142" t="b">
        <v>0</v>
      </c>
      <c r="K974" s="142" t="b">
        <v>0</v>
      </c>
      <c r="L974" s="8" t="b">
        <v>0</v>
      </c>
    </row>
    <row r="975">
      <c r="B975" s="103"/>
      <c r="C975" s="121" t="str">
        <f t="array" ref="C975">ifs(and(isblank($A975),isblank($B975)),"", not(iserror(vlookup($A975&amp;$B975,'5) Release_Track'!$F:$F&amp;'5) Release_Track'!$G:$G,1,0))),vlookup($A975&amp;$B975,{'5) Release_Track'!$F:$F&amp;'5) Release_Track'!$G:$G,'5) Release_Track'!$H:$H},2,0), or(and(not(isblank($B975)),$B975=$B974,$A975&lt;&gt;$A974),and(not(isblank($A975)),$A975=$A974,$B975&lt;&gt;$B974)),"ID LISTS UNALIGNED",and($A975&lt;&gt;"",countif('5) Release_Track'!$F:$F,$A975)=0),"NO ISRC MATCH in Release_Track",and($B975&lt;&gt;"",countif('5) Release_Track'!$G:$G,$B975)=0),"NO CATALOG ID MATCH in Release_Track",iserror(vlookup($A975&amp;$B975,'5) Release_Track'!$F:$F&amp;'5) Release_Track'!$G:$G,1,0)),"NO ISRC-CATALOG ID pair MATCH in Release_Track" )</f>
        <v/>
      </c>
      <c r="D975" s="121" t="str">
        <f t="array" ref="D975">ifs(and(isblank($A975),isblank($B975)),"", not(iserror(vlookup($A975&amp;$B975,'5) Release_Track'!$F:$F&amp;'5) Release_Track'!$G:$G,1,0))),vlookup($A975&amp;$B975,{'5) Release_Track'!$F:$F&amp;'5) Release_Track'!$G:$G,'5) Release_Track'!$I:$I},2,0), or(and(not(isblank($B975)),$B975=$B974,$A975&lt;&gt;$A974),and(not(isblank($A975)),$A975=$A974,$B975&lt;&gt;$B974)),"ID LISTS UNALIGNED",and($A975&lt;&gt;"",countif('5) Release_Track'!$F:$F,$A975)=0),"NO ISRC MATCH in Release_Track",and($B975&lt;&gt;"",countif('5) Release_Track'!$G:$G,$B975)=0),"NO CATALOG ID MATCH in Release_Track",iserror(vlookup($A975&amp;$B975,'5) Release_Track'!$F:$F&amp;'5) Release_Track'!$G:$G,1,0)),"NO ISRC-CATALOG ID pair MATCH in Release_Track" )</f>
        <v/>
      </c>
      <c r="E975" s="142" t="b">
        <v>0</v>
      </c>
      <c r="F975" s="142" t="b">
        <v>0</v>
      </c>
      <c r="G975" s="142" t="b">
        <v>0</v>
      </c>
      <c r="H975" s="142" t="b">
        <v>0</v>
      </c>
      <c r="I975" s="142" t="b">
        <v>0</v>
      </c>
      <c r="J975" s="142" t="b">
        <v>0</v>
      </c>
      <c r="K975" s="142" t="b">
        <v>0</v>
      </c>
      <c r="L975" s="8" t="b">
        <v>0</v>
      </c>
    </row>
    <row r="976">
      <c r="B976" s="103"/>
      <c r="C976" s="121" t="str">
        <f t="array" ref="C976">ifs(and(isblank($A976),isblank($B976)),"", not(iserror(vlookup($A976&amp;$B976,'5) Release_Track'!$F:$F&amp;'5) Release_Track'!$G:$G,1,0))),vlookup($A976&amp;$B976,{'5) Release_Track'!$F:$F&amp;'5) Release_Track'!$G:$G,'5) Release_Track'!$H:$H},2,0), or(and(not(isblank($B976)),$B976=$B975,$A976&lt;&gt;$A975),and(not(isblank($A976)),$A976=$A975,$B976&lt;&gt;$B975)),"ID LISTS UNALIGNED",and($A976&lt;&gt;"",countif('5) Release_Track'!$F:$F,$A976)=0),"NO ISRC MATCH in Release_Track",and($B976&lt;&gt;"",countif('5) Release_Track'!$G:$G,$B976)=0),"NO CATALOG ID MATCH in Release_Track",iserror(vlookup($A976&amp;$B976,'5) Release_Track'!$F:$F&amp;'5) Release_Track'!$G:$G,1,0)),"NO ISRC-CATALOG ID pair MATCH in Release_Track" )</f>
        <v/>
      </c>
      <c r="D976" s="121" t="str">
        <f t="array" ref="D976">ifs(and(isblank($A976),isblank($B976)),"", not(iserror(vlookup($A976&amp;$B976,'5) Release_Track'!$F:$F&amp;'5) Release_Track'!$G:$G,1,0))),vlookup($A976&amp;$B976,{'5) Release_Track'!$F:$F&amp;'5) Release_Track'!$G:$G,'5) Release_Track'!$I:$I},2,0), or(and(not(isblank($B976)),$B976=$B975,$A976&lt;&gt;$A975),and(not(isblank($A976)),$A976=$A975,$B976&lt;&gt;$B975)),"ID LISTS UNALIGNED",and($A976&lt;&gt;"",countif('5) Release_Track'!$F:$F,$A976)=0),"NO ISRC MATCH in Release_Track",and($B976&lt;&gt;"",countif('5) Release_Track'!$G:$G,$B976)=0),"NO CATALOG ID MATCH in Release_Track",iserror(vlookup($A976&amp;$B976,'5) Release_Track'!$F:$F&amp;'5) Release_Track'!$G:$G,1,0)),"NO ISRC-CATALOG ID pair MATCH in Release_Track" )</f>
        <v/>
      </c>
      <c r="E976" s="142" t="b">
        <v>0</v>
      </c>
      <c r="F976" s="142" t="b">
        <v>0</v>
      </c>
      <c r="G976" s="142" t="b">
        <v>0</v>
      </c>
      <c r="H976" s="142" t="b">
        <v>0</v>
      </c>
      <c r="I976" s="142" t="b">
        <v>0</v>
      </c>
      <c r="J976" s="142" t="b">
        <v>0</v>
      </c>
      <c r="K976" s="142" t="b">
        <v>0</v>
      </c>
      <c r="L976" s="8" t="b">
        <v>0</v>
      </c>
    </row>
    <row r="977">
      <c r="B977" s="103"/>
      <c r="C977" s="121" t="str">
        <f t="array" ref="C977">ifs(and(isblank($A977),isblank($B977)),"", not(iserror(vlookup($A977&amp;$B977,'5) Release_Track'!$F:$F&amp;'5) Release_Track'!$G:$G,1,0))),vlookup($A977&amp;$B977,{'5) Release_Track'!$F:$F&amp;'5) Release_Track'!$G:$G,'5) Release_Track'!$H:$H},2,0), or(and(not(isblank($B977)),$B977=$B976,$A977&lt;&gt;$A976),and(not(isblank($A977)),$A977=$A976,$B977&lt;&gt;$B976)),"ID LISTS UNALIGNED",and($A977&lt;&gt;"",countif('5) Release_Track'!$F:$F,$A977)=0),"NO ISRC MATCH in Release_Track",and($B977&lt;&gt;"",countif('5) Release_Track'!$G:$G,$B977)=0),"NO CATALOG ID MATCH in Release_Track",iserror(vlookup($A977&amp;$B977,'5) Release_Track'!$F:$F&amp;'5) Release_Track'!$G:$G,1,0)),"NO ISRC-CATALOG ID pair MATCH in Release_Track" )</f>
        <v/>
      </c>
      <c r="D977" s="121" t="str">
        <f t="array" ref="D977">ifs(and(isblank($A977),isblank($B977)),"", not(iserror(vlookup($A977&amp;$B977,'5) Release_Track'!$F:$F&amp;'5) Release_Track'!$G:$G,1,0))),vlookup($A977&amp;$B977,{'5) Release_Track'!$F:$F&amp;'5) Release_Track'!$G:$G,'5) Release_Track'!$I:$I},2,0), or(and(not(isblank($B977)),$B977=$B976,$A977&lt;&gt;$A976),and(not(isblank($A977)),$A977=$A976,$B977&lt;&gt;$B976)),"ID LISTS UNALIGNED",and($A977&lt;&gt;"",countif('5) Release_Track'!$F:$F,$A977)=0),"NO ISRC MATCH in Release_Track",and($B977&lt;&gt;"",countif('5) Release_Track'!$G:$G,$B977)=0),"NO CATALOG ID MATCH in Release_Track",iserror(vlookup($A977&amp;$B977,'5) Release_Track'!$F:$F&amp;'5) Release_Track'!$G:$G,1,0)),"NO ISRC-CATALOG ID pair MATCH in Release_Track" )</f>
        <v/>
      </c>
      <c r="E977" s="142" t="b">
        <v>0</v>
      </c>
      <c r="F977" s="142" t="b">
        <v>0</v>
      </c>
      <c r="G977" s="142" t="b">
        <v>0</v>
      </c>
      <c r="H977" s="142" t="b">
        <v>0</v>
      </c>
      <c r="I977" s="142" t="b">
        <v>0</v>
      </c>
      <c r="J977" s="142" t="b">
        <v>0</v>
      </c>
      <c r="K977" s="142" t="b">
        <v>0</v>
      </c>
      <c r="L977" s="8" t="b">
        <v>0</v>
      </c>
    </row>
    <row r="978">
      <c r="B978" s="103"/>
      <c r="C978" s="121" t="str">
        <f t="array" ref="C978">ifs(and(isblank($A978),isblank($B978)),"", not(iserror(vlookup($A978&amp;$B978,'5) Release_Track'!$F:$F&amp;'5) Release_Track'!$G:$G,1,0))),vlookup($A978&amp;$B978,{'5) Release_Track'!$F:$F&amp;'5) Release_Track'!$G:$G,'5) Release_Track'!$H:$H},2,0), or(and(not(isblank($B978)),$B978=$B977,$A978&lt;&gt;$A977),and(not(isblank($A978)),$A978=$A977,$B978&lt;&gt;$B977)),"ID LISTS UNALIGNED",and($A978&lt;&gt;"",countif('5) Release_Track'!$F:$F,$A978)=0),"NO ISRC MATCH in Release_Track",and($B978&lt;&gt;"",countif('5) Release_Track'!$G:$G,$B978)=0),"NO CATALOG ID MATCH in Release_Track",iserror(vlookup($A978&amp;$B978,'5) Release_Track'!$F:$F&amp;'5) Release_Track'!$G:$G,1,0)),"NO ISRC-CATALOG ID pair MATCH in Release_Track" )</f>
        <v/>
      </c>
      <c r="D978" s="121" t="str">
        <f t="array" ref="D978">ifs(and(isblank($A978),isblank($B978)),"", not(iserror(vlookup($A978&amp;$B978,'5) Release_Track'!$F:$F&amp;'5) Release_Track'!$G:$G,1,0))),vlookup($A978&amp;$B978,{'5) Release_Track'!$F:$F&amp;'5) Release_Track'!$G:$G,'5) Release_Track'!$I:$I},2,0), or(and(not(isblank($B978)),$B978=$B977,$A978&lt;&gt;$A977),and(not(isblank($A978)),$A978=$A977,$B978&lt;&gt;$B977)),"ID LISTS UNALIGNED",and($A978&lt;&gt;"",countif('5) Release_Track'!$F:$F,$A978)=0),"NO ISRC MATCH in Release_Track",and($B978&lt;&gt;"",countif('5) Release_Track'!$G:$G,$B978)=0),"NO CATALOG ID MATCH in Release_Track",iserror(vlookup($A978&amp;$B978,'5) Release_Track'!$F:$F&amp;'5) Release_Track'!$G:$G,1,0)),"NO ISRC-CATALOG ID pair MATCH in Release_Track" )</f>
        <v/>
      </c>
      <c r="E978" s="142" t="b">
        <v>0</v>
      </c>
      <c r="F978" s="142" t="b">
        <v>0</v>
      </c>
      <c r="G978" s="142" t="b">
        <v>0</v>
      </c>
      <c r="H978" s="142" t="b">
        <v>0</v>
      </c>
      <c r="I978" s="142" t="b">
        <v>0</v>
      </c>
      <c r="J978" s="142" t="b">
        <v>0</v>
      </c>
      <c r="K978" s="142" t="b">
        <v>0</v>
      </c>
      <c r="L978" s="8" t="b">
        <v>0</v>
      </c>
    </row>
    <row r="979">
      <c r="B979" s="103"/>
      <c r="C979" s="121" t="str">
        <f t="array" ref="C979">ifs(and(isblank($A979),isblank($B979)),"", not(iserror(vlookup($A979&amp;$B979,'5) Release_Track'!$F:$F&amp;'5) Release_Track'!$G:$G,1,0))),vlookup($A979&amp;$B979,{'5) Release_Track'!$F:$F&amp;'5) Release_Track'!$G:$G,'5) Release_Track'!$H:$H},2,0), or(and(not(isblank($B979)),$B979=$B978,$A979&lt;&gt;$A978),and(not(isblank($A979)),$A979=$A978,$B979&lt;&gt;$B978)),"ID LISTS UNALIGNED",and($A979&lt;&gt;"",countif('5) Release_Track'!$F:$F,$A979)=0),"NO ISRC MATCH in Release_Track",and($B979&lt;&gt;"",countif('5) Release_Track'!$G:$G,$B979)=0),"NO CATALOG ID MATCH in Release_Track",iserror(vlookup($A979&amp;$B979,'5) Release_Track'!$F:$F&amp;'5) Release_Track'!$G:$G,1,0)),"NO ISRC-CATALOG ID pair MATCH in Release_Track" )</f>
        <v/>
      </c>
      <c r="D979" s="121" t="str">
        <f t="array" ref="D979">ifs(and(isblank($A979),isblank($B979)),"", not(iserror(vlookup($A979&amp;$B979,'5) Release_Track'!$F:$F&amp;'5) Release_Track'!$G:$G,1,0))),vlookup($A979&amp;$B979,{'5) Release_Track'!$F:$F&amp;'5) Release_Track'!$G:$G,'5) Release_Track'!$I:$I},2,0), or(and(not(isblank($B979)),$B979=$B978,$A979&lt;&gt;$A978),and(not(isblank($A979)),$A979=$A978,$B979&lt;&gt;$B978)),"ID LISTS UNALIGNED",and($A979&lt;&gt;"",countif('5) Release_Track'!$F:$F,$A979)=0),"NO ISRC MATCH in Release_Track",and($B979&lt;&gt;"",countif('5) Release_Track'!$G:$G,$B979)=0),"NO CATALOG ID MATCH in Release_Track",iserror(vlookup($A979&amp;$B979,'5) Release_Track'!$F:$F&amp;'5) Release_Track'!$G:$G,1,0)),"NO ISRC-CATALOG ID pair MATCH in Release_Track" )</f>
        <v/>
      </c>
      <c r="E979" s="142" t="b">
        <v>0</v>
      </c>
      <c r="F979" s="142" t="b">
        <v>0</v>
      </c>
      <c r="G979" s="142" t="b">
        <v>0</v>
      </c>
      <c r="H979" s="142" t="b">
        <v>0</v>
      </c>
      <c r="I979" s="142" t="b">
        <v>0</v>
      </c>
      <c r="J979" s="142" t="b">
        <v>0</v>
      </c>
      <c r="K979" s="142" t="b">
        <v>0</v>
      </c>
      <c r="L979" s="8" t="b">
        <v>0</v>
      </c>
    </row>
    <row r="980">
      <c r="B980" s="103"/>
      <c r="C980" s="121" t="str">
        <f t="array" ref="C980">ifs(and(isblank($A980),isblank($B980)),"", not(iserror(vlookup($A980&amp;$B980,'5) Release_Track'!$F:$F&amp;'5) Release_Track'!$G:$G,1,0))),vlookup($A980&amp;$B980,{'5) Release_Track'!$F:$F&amp;'5) Release_Track'!$G:$G,'5) Release_Track'!$H:$H},2,0), or(and(not(isblank($B980)),$B980=$B979,$A980&lt;&gt;$A979),and(not(isblank($A980)),$A980=$A979,$B980&lt;&gt;$B979)),"ID LISTS UNALIGNED",and($A980&lt;&gt;"",countif('5) Release_Track'!$F:$F,$A980)=0),"NO ISRC MATCH in Release_Track",and($B980&lt;&gt;"",countif('5) Release_Track'!$G:$G,$B980)=0),"NO CATALOG ID MATCH in Release_Track",iserror(vlookup($A980&amp;$B980,'5) Release_Track'!$F:$F&amp;'5) Release_Track'!$G:$G,1,0)),"NO ISRC-CATALOG ID pair MATCH in Release_Track" )</f>
        <v/>
      </c>
      <c r="D980" s="121" t="str">
        <f t="array" ref="D980">ifs(and(isblank($A980),isblank($B980)),"", not(iserror(vlookup($A980&amp;$B980,'5) Release_Track'!$F:$F&amp;'5) Release_Track'!$G:$G,1,0))),vlookup($A980&amp;$B980,{'5) Release_Track'!$F:$F&amp;'5) Release_Track'!$G:$G,'5) Release_Track'!$I:$I},2,0), or(and(not(isblank($B980)),$B980=$B979,$A980&lt;&gt;$A979),and(not(isblank($A980)),$A980=$A979,$B980&lt;&gt;$B979)),"ID LISTS UNALIGNED",and($A980&lt;&gt;"",countif('5) Release_Track'!$F:$F,$A980)=0),"NO ISRC MATCH in Release_Track",and($B980&lt;&gt;"",countif('5) Release_Track'!$G:$G,$B980)=0),"NO CATALOG ID MATCH in Release_Track",iserror(vlookup($A980&amp;$B980,'5) Release_Track'!$F:$F&amp;'5) Release_Track'!$G:$G,1,0)),"NO ISRC-CATALOG ID pair MATCH in Release_Track" )</f>
        <v/>
      </c>
      <c r="E980" s="142" t="b">
        <v>0</v>
      </c>
      <c r="F980" s="142" t="b">
        <v>0</v>
      </c>
      <c r="G980" s="142" t="b">
        <v>0</v>
      </c>
      <c r="H980" s="142" t="b">
        <v>0</v>
      </c>
      <c r="I980" s="142" t="b">
        <v>0</v>
      </c>
      <c r="J980" s="142" t="b">
        <v>0</v>
      </c>
      <c r="K980" s="142" t="b">
        <v>0</v>
      </c>
      <c r="L980" s="8" t="b">
        <v>0</v>
      </c>
    </row>
    <row r="981">
      <c r="B981" s="103"/>
      <c r="C981" s="121" t="str">
        <f t="array" ref="C981">ifs(and(isblank($A981),isblank($B981)),"", not(iserror(vlookup($A981&amp;$B981,'5) Release_Track'!$F:$F&amp;'5) Release_Track'!$G:$G,1,0))),vlookup($A981&amp;$B981,{'5) Release_Track'!$F:$F&amp;'5) Release_Track'!$G:$G,'5) Release_Track'!$H:$H},2,0), or(and(not(isblank($B981)),$B981=$B980,$A981&lt;&gt;$A980),and(not(isblank($A981)),$A981=$A980,$B981&lt;&gt;$B980)),"ID LISTS UNALIGNED",and($A981&lt;&gt;"",countif('5) Release_Track'!$F:$F,$A981)=0),"NO ISRC MATCH in Release_Track",and($B981&lt;&gt;"",countif('5) Release_Track'!$G:$G,$B981)=0),"NO CATALOG ID MATCH in Release_Track",iserror(vlookup($A981&amp;$B981,'5) Release_Track'!$F:$F&amp;'5) Release_Track'!$G:$G,1,0)),"NO ISRC-CATALOG ID pair MATCH in Release_Track" )</f>
        <v/>
      </c>
      <c r="D981" s="121" t="str">
        <f t="array" ref="D981">ifs(and(isblank($A981),isblank($B981)),"", not(iserror(vlookup($A981&amp;$B981,'5) Release_Track'!$F:$F&amp;'5) Release_Track'!$G:$G,1,0))),vlookup($A981&amp;$B981,{'5) Release_Track'!$F:$F&amp;'5) Release_Track'!$G:$G,'5) Release_Track'!$I:$I},2,0), or(and(not(isblank($B981)),$B981=$B980,$A981&lt;&gt;$A980),and(not(isblank($A981)),$A981=$A980,$B981&lt;&gt;$B980)),"ID LISTS UNALIGNED",and($A981&lt;&gt;"",countif('5) Release_Track'!$F:$F,$A981)=0),"NO ISRC MATCH in Release_Track",and($B981&lt;&gt;"",countif('5) Release_Track'!$G:$G,$B981)=0),"NO CATALOG ID MATCH in Release_Track",iserror(vlookup($A981&amp;$B981,'5) Release_Track'!$F:$F&amp;'5) Release_Track'!$G:$G,1,0)),"NO ISRC-CATALOG ID pair MATCH in Release_Track" )</f>
        <v/>
      </c>
      <c r="E981" s="142" t="b">
        <v>0</v>
      </c>
      <c r="F981" s="142" t="b">
        <v>0</v>
      </c>
      <c r="G981" s="142" t="b">
        <v>0</v>
      </c>
      <c r="H981" s="142" t="b">
        <v>0</v>
      </c>
      <c r="I981" s="142" t="b">
        <v>0</v>
      </c>
      <c r="J981" s="142" t="b">
        <v>0</v>
      </c>
      <c r="K981" s="142" t="b">
        <v>0</v>
      </c>
      <c r="L981" s="8" t="b">
        <v>0</v>
      </c>
    </row>
    <row r="982">
      <c r="B982" s="103"/>
      <c r="C982" s="121" t="str">
        <f t="array" ref="C982">ifs(and(isblank($A982),isblank($B982)),"", not(iserror(vlookup($A982&amp;$B982,'5) Release_Track'!$F:$F&amp;'5) Release_Track'!$G:$G,1,0))),vlookup($A982&amp;$B982,{'5) Release_Track'!$F:$F&amp;'5) Release_Track'!$G:$G,'5) Release_Track'!$H:$H},2,0), or(and(not(isblank($B982)),$B982=$B981,$A982&lt;&gt;$A981),and(not(isblank($A982)),$A982=$A981,$B982&lt;&gt;$B981)),"ID LISTS UNALIGNED",and($A982&lt;&gt;"",countif('5) Release_Track'!$F:$F,$A982)=0),"NO ISRC MATCH in Release_Track",and($B982&lt;&gt;"",countif('5) Release_Track'!$G:$G,$B982)=0),"NO CATALOG ID MATCH in Release_Track",iserror(vlookup($A982&amp;$B982,'5) Release_Track'!$F:$F&amp;'5) Release_Track'!$G:$G,1,0)),"NO ISRC-CATALOG ID pair MATCH in Release_Track" )</f>
        <v/>
      </c>
      <c r="D982" s="121" t="str">
        <f t="array" ref="D982">ifs(and(isblank($A982),isblank($B982)),"", not(iserror(vlookup($A982&amp;$B982,'5) Release_Track'!$F:$F&amp;'5) Release_Track'!$G:$G,1,0))),vlookup($A982&amp;$B982,{'5) Release_Track'!$F:$F&amp;'5) Release_Track'!$G:$G,'5) Release_Track'!$I:$I},2,0), or(and(not(isblank($B982)),$B982=$B981,$A982&lt;&gt;$A981),and(not(isblank($A982)),$A982=$A981,$B982&lt;&gt;$B981)),"ID LISTS UNALIGNED",and($A982&lt;&gt;"",countif('5) Release_Track'!$F:$F,$A982)=0),"NO ISRC MATCH in Release_Track",and($B982&lt;&gt;"",countif('5) Release_Track'!$G:$G,$B982)=0),"NO CATALOG ID MATCH in Release_Track",iserror(vlookup($A982&amp;$B982,'5) Release_Track'!$F:$F&amp;'5) Release_Track'!$G:$G,1,0)),"NO ISRC-CATALOG ID pair MATCH in Release_Track" )</f>
        <v/>
      </c>
      <c r="E982" s="142" t="b">
        <v>0</v>
      </c>
      <c r="F982" s="142" t="b">
        <v>0</v>
      </c>
      <c r="G982" s="142" t="b">
        <v>0</v>
      </c>
      <c r="H982" s="142" t="b">
        <v>0</v>
      </c>
      <c r="I982" s="142" t="b">
        <v>0</v>
      </c>
      <c r="J982" s="142" t="b">
        <v>0</v>
      </c>
      <c r="K982" s="142" t="b">
        <v>0</v>
      </c>
      <c r="L982" s="8" t="b">
        <v>0</v>
      </c>
    </row>
    <row r="983">
      <c r="B983" s="103"/>
      <c r="C983" s="121" t="str">
        <f t="array" ref="C983">ifs(and(isblank($A983),isblank($B983)),"", not(iserror(vlookup($A983&amp;$B983,'5) Release_Track'!$F:$F&amp;'5) Release_Track'!$G:$G,1,0))),vlookup($A983&amp;$B983,{'5) Release_Track'!$F:$F&amp;'5) Release_Track'!$G:$G,'5) Release_Track'!$H:$H},2,0), or(and(not(isblank($B983)),$B983=$B982,$A983&lt;&gt;$A982),and(not(isblank($A983)),$A983=$A982,$B983&lt;&gt;$B982)),"ID LISTS UNALIGNED",and($A983&lt;&gt;"",countif('5) Release_Track'!$F:$F,$A983)=0),"NO ISRC MATCH in Release_Track",and($B983&lt;&gt;"",countif('5) Release_Track'!$G:$G,$B983)=0),"NO CATALOG ID MATCH in Release_Track",iserror(vlookup($A983&amp;$B983,'5) Release_Track'!$F:$F&amp;'5) Release_Track'!$G:$G,1,0)),"NO ISRC-CATALOG ID pair MATCH in Release_Track" )</f>
        <v/>
      </c>
      <c r="D983" s="121" t="str">
        <f t="array" ref="D983">ifs(and(isblank($A983),isblank($B983)),"", not(iserror(vlookup($A983&amp;$B983,'5) Release_Track'!$F:$F&amp;'5) Release_Track'!$G:$G,1,0))),vlookup($A983&amp;$B983,{'5) Release_Track'!$F:$F&amp;'5) Release_Track'!$G:$G,'5) Release_Track'!$I:$I},2,0), or(and(not(isblank($B983)),$B983=$B982,$A983&lt;&gt;$A982),and(not(isblank($A983)),$A983=$A982,$B983&lt;&gt;$B982)),"ID LISTS UNALIGNED",and($A983&lt;&gt;"",countif('5) Release_Track'!$F:$F,$A983)=0),"NO ISRC MATCH in Release_Track",and($B983&lt;&gt;"",countif('5) Release_Track'!$G:$G,$B983)=0),"NO CATALOG ID MATCH in Release_Track",iserror(vlookup($A983&amp;$B983,'5) Release_Track'!$F:$F&amp;'5) Release_Track'!$G:$G,1,0)),"NO ISRC-CATALOG ID pair MATCH in Release_Track" )</f>
        <v/>
      </c>
      <c r="E983" s="142" t="b">
        <v>0</v>
      </c>
      <c r="F983" s="142" t="b">
        <v>0</v>
      </c>
      <c r="G983" s="142" t="b">
        <v>0</v>
      </c>
      <c r="H983" s="142" t="b">
        <v>0</v>
      </c>
      <c r="I983" s="142" t="b">
        <v>0</v>
      </c>
      <c r="J983" s="142" t="b">
        <v>0</v>
      </c>
      <c r="K983" s="142" t="b">
        <v>0</v>
      </c>
      <c r="L983" s="8" t="b">
        <v>0</v>
      </c>
    </row>
    <row r="984">
      <c r="B984" s="103"/>
      <c r="C984" s="121" t="str">
        <f t="array" ref="C984">ifs(and(isblank($A984),isblank($B984)),"", not(iserror(vlookup($A984&amp;$B984,'5) Release_Track'!$F:$F&amp;'5) Release_Track'!$G:$G,1,0))),vlookup($A984&amp;$B984,{'5) Release_Track'!$F:$F&amp;'5) Release_Track'!$G:$G,'5) Release_Track'!$H:$H},2,0), or(and(not(isblank($B984)),$B984=$B983,$A984&lt;&gt;$A983),and(not(isblank($A984)),$A984=$A983,$B984&lt;&gt;$B983)),"ID LISTS UNALIGNED",and($A984&lt;&gt;"",countif('5) Release_Track'!$F:$F,$A984)=0),"NO ISRC MATCH in Release_Track",and($B984&lt;&gt;"",countif('5) Release_Track'!$G:$G,$B984)=0),"NO CATALOG ID MATCH in Release_Track",iserror(vlookup($A984&amp;$B984,'5) Release_Track'!$F:$F&amp;'5) Release_Track'!$G:$G,1,0)),"NO ISRC-CATALOG ID pair MATCH in Release_Track" )</f>
        <v/>
      </c>
      <c r="D984" s="121" t="str">
        <f t="array" ref="D984">ifs(and(isblank($A984),isblank($B984)),"", not(iserror(vlookup($A984&amp;$B984,'5) Release_Track'!$F:$F&amp;'5) Release_Track'!$G:$G,1,0))),vlookup($A984&amp;$B984,{'5) Release_Track'!$F:$F&amp;'5) Release_Track'!$G:$G,'5) Release_Track'!$I:$I},2,0), or(and(not(isblank($B984)),$B984=$B983,$A984&lt;&gt;$A983),and(not(isblank($A984)),$A984=$A983,$B984&lt;&gt;$B983)),"ID LISTS UNALIGNED",and($A984&lt;&gt;"",countif('5) Release_Track'!$F:$F,$A984)=0),"NO ISRC MATCH in Release_Track",and($B984&lt;&gt;"",countif('5) Release_Track'!$G:$G,$B984)=0),"NO CATALOG ID MATCH in Release_Track",iserror(vlookup($A984&amp;$B984,'5) Release_Track'!$F:$F&amp;'5) Release_Track'!$G:$G,1,0)),"NO ISRC-CATALOG ID pair MATCH in Release_Track" )</f>
        <v/>
      </c>
      <c r="E984" s="142" t="b">
        <v>0</v>
      </c>
      <c r="F984" s="142" t="b">
        <v>0</v>
      </c>
      <c r="G984" s="142" t="b">
        <v>0</v>
      </c>
      <c r="H984" s="142" t="b">
        <v>0</v>
      </c>
      <c r="I984" s="142" t="b">
        <v>0</v>
      </c>
      <c r="J984" s="142" t="b">
        <v>0</v>
      </c>
      <c r="K984" s="142" t="b">
        <v>0</v>
      </c>
      <c r="L984" s="8" t="b">
        <v>0</v>
      </c>
    </row>
    <row r="985">
      <c r="B985" s="103"/>
      <c r="C985" s="121" t="str">
        <f t="array" ref="C985">ifs(and(isblank($A985),isblank($B985)),"", not(iserror(vlookup($A985&amp;$B985,'5) Release_Track'!$F:$F&amp;'5) Release_Track'!$G:$G,1,0))),vlookup($A985&amp;$B985,{'5) Release_Track'!$F:$F&amp;'5) Release_Track'!$G:$G,'5) Release_Track'!$H:$H},2,0), or(and(not(isblank($B985)),$B985=$B984,$A985&lt;&gt;$A984),and(not(isblank($A985)),$A985=$A984,$B985&lt;&gt;$B984)),"ID LISTS UNALIGNED",and($A985&lt;&gt;"",countif('5) Release_Track'!$F:$F,$A985)=0),"NO ISRC MATCH in Release_Track",and($B985&lt;&gt;"",countif('5) Release_Track'!$G:$G,$B985)=0),"NO CATALOG ID MATCH in Release_Track",iserror(vlookup($A985&amp;$B985,'5) Release_Track'!$F:$F&amp;'5) Release_Track'!$G:$G,1,0)),"NO ISRC-CATALOG ID pair MATCH in Release_Track" )</f>
        <v/>
      </c>
      <c r="D985" s="121" t="str">
        <f t="array" ref="D985">ifs(and(isblank($A985),isblank($B985)),"", not(iserror(vlookup($A985&amp;$B985,'5) Release_Track'!$F:$F&amp;'5) Release_Track'!$G:$G,1,0))),vlookup($A985&amp;$B985,{'5) Release_Track'!$F:$F&amp;'5) Release_Track'!$G:$G,'5) Release_Track'!$I:$I},2,0), or(and(not(isblank($B985)),$B985=$B984,$A985&lt;&gt;$A984),and(not(isblank($A985)),$A985=$A984,$B985&lt;&gt;$B984)),"ID LISTS UNALIGNED",and($A985&lt;&gt;"",countif('5) Release_Track'!$F:$F,$A985)=0),"NO ISRC MATCH in Release_Track",and($B985&lt;&gt;"",countif('5) Release_Track'!$G:$G,$B985)=0),"NO CATALOG ID MATCH in Release_Track",iserror(vlookup($A985&amp;$B985,'5) Release_Track'!$F:$F&amp;'5) Release_Track'!$G:$G,1,0)),"NO ISRC-CATALOG ID pair MATCH in Release_Track" )</f>
        <v/>
      </c>
      <c r="E985" s="142" t="b">
        <v>0</v>
      </c>
      <c r="F985" s="142" t="b">
        <v>0</v>
      </c>
      <c r="G985" s="142" t="b">
        <v>0</v>
      </c>
      <c r="H985" s="142" t="b">
        <v>0</v>
      </c>
      <c r="I985" s="142" t="b">
        <v>0</v>
      </c>
      <c r="J985" s="142" t="b">
        <v>0</v>
      </c>
      <c r="K985" s="142" t="b">
        <v>0</v>
      </c>
      <c r="L985" s="8" t="b">
        <v>0</v>
      </c>
    </row>
    <row r="986">
      <c r="B986" s="103"/>
      <c r="C986" s="121" t="str">
        <f t="array" ref="C986">ifs(and(isblank($A986),isblank($B986)),"", not(iserror(vlookup($A986&amp;$B986,'5) Release_Track'!$F:$F&amp;'5) Release_Track'!$G:$G,1,0))),vlookup($A986&amp;$B986,{'5) Release_Track'!$F:$F&amp;'5) Release_Track'!$G:$G,'5) Release_Track'!$H:$H},2,0), or(and(not(isblank($B986)),$B986=$B985,$A986&lt;&gt;$A985),and(not(isblank($A986)),$A986=$A985,$B986&lt;&gt;$B985)),"ID LISTS UNALIGNED",and($A986&lt;&gt;"",countif('5) Release_Track'!$F:$F,$A986)=0),"NO ISRC MATCH in Release_Track",and($B986&lt;&gt;"",countif('5) Release_Track'!$G:$G,$B986)=0),"NO CATALOG ID MATCH in Release_Track",iserror(vlookup($A986&amp;$B986,'5) Release_Track'!$F:$F&amp;'5) Release_Track'!$G:$G,1,0)),"NO ISRC-CATALOG ID pair MATCH in Release_Track" )</f>
        <v/>
      </c>
      <c r="D986" s="121" t="str">
        <f t="array" ref="D986">ifs(and(isblank($A986),isblank($B986)),"", not(iserror(vlookup($A986&amp;$B986,'5) Release_Track'!$F:$F&amp;'5) Release_Track'!$G:$G,1,0))),vlookup($A986&amp;$B986,{'5) Release_Track'!$F:$F&amp;'5) Release_Track'!$G:$G,'5) Release_Track'!$I:$I},2,0), or(and(not(isblank($B986)),$B986=$B985,$A986&lt;&gt;$A985),and(not(isblank($A986)),$A986=$A985,$B986&lt;&gt;$B985)),"ID LISTS UNALIGNED",and($A986&lt;&gt;"",countif('5) Release_Track'!$F:$F,$A986)=0),"NO ISRC MATCH in Release_Track",and($B986&lt;&gt;"",countif('5) Release_Track'!$G:$G,$B986)=0),"NO CATALOG ID MATCH in Release_Track",iserror(vlookup($A986&amp;$B986,'5) Release_Track'!$F:$F&amp;'5) Release_Track'!$G:$G,1,0)),"NO ISRC-CATALOG ID pair MATCH in Release_Track" )</f>
        <v/>
      </c>
      <c r="E986" s="142" t="b">
        <v>0</v>
      </c>
      <c r="F986" s="142" t="b">
        <v>0</v>
      </c>
      <c r="G986" s="142" t="b">
        <v>0</v>
      </c>
      <c r="H986" s="142" t="b">
        <v>0</v>
      </c>
      <c r="I986" s="142" t="b">
        <v>0</v>
      </c>
      <c r="J986" s="142" t="b">
        <v>0</v>
      </c>
      <c r="K986" s="142" t="b">
        <v>0</v>
      </c>
      <c r="L986" s="8" t="b">
        <v>0</v>
      </c>
    </row>
    <row r="987">
      <c r="B987" s="103"/>
      <c r="C987" s="121" t="str">
        <f t="array" ref="C987">ifs(and(isblank($A987),isblank($B987)),"", not(iserror(vlookup($A987&amp;$B987,'5) Release_Track'!$F:$F&amp;'5) Release_Track'!$G:$G,1,0))),vlookup($A987&amp;$B987,{'5) Release_Track'!$F:$F&amp;'5) Release_Track'!$G:$G,'5) Release_Track'!$H:$H},2,0), or(and(not(isblank($B987)),$B987=$B986,$A987&lt;&gt;$A986),and(not(isblank($A987)),$A987=$A986,$B987&lt;&gt;$B986)),"ID LISTS UNALIGNED",and($A987&lt;&gt;"",countif('5) Release_Track'!$F:$F,$A987)=0),"NO ISRC MATCH in Release_Track",and($B987&lt;&gt;"",countif('5) Release_Track'!$G:$G,$B987)=0),"NO CATALOG ID MATCH in Release_Track",iserror(vlookup($A987&amp;$B987,'5) Release_Track'!$F:$F&amp;'5) Release_Track'!$G:$G,1,0)),"NO ISRC-CATALOG ID pair MATCH in Release_Track" )</f>
        <v/>
      </c>
      <c r="D987" s="121" t="str">
        <f t="array" ref="D987">ifs(and(isblank($A987),isblank($B987)),"", not(iserror(vlookup($A987&amp;$B987,'5) Release_Track'!$F:$F&amp;'5) Release_Track'!$G:$G,1,0))),vlookup($A987&amp;$B987,{'5) Release_Track'!$F:$F&amp;'5) Release_Track'!$G:$G,'5) Release_Track'!$I:$I},2,0), or(and(not(isblank($B987)),$B987=$B986,$A987&lt;&gt;$A986),and(not(isblank($A987)),$A987=$A986,$B987&lt;&gt;$B986)),"ID LISTS UNALIGNED",and($A987&lt;&gt;"",countif('5) Release_Track'!$F:$F,$A987)=0),"NO ISRC MATCH in Release_Track",and($B987&lt;&gt;"",countif('5) Release_Track'!$G:$G,$B987)=0),"NO CATALOG ID MATCH in Release_Track",iserror(vlookup($A987&amp;$B987,'5) Release_Track'!$F:$F&amp;'5) Release_Track'!$G:$G,1,0)),"NO ISRC-CATALOG ID pair MATCH in Release_Track" )</f>
        <v/>
      </c>
      <c r="E987" s="142" t="b">
        <v>0</v>
      </c>
      <c r="F987" s="142" t="b">
        <v>0</v>
      </c>
      <c r="G987" s="142" t="b">
        <v>0</v>
      </c>
      <c r="H987" s="142" t="b">
        <v>0</v>
      </c>
      <c r="I987" s="142" t="b">
        <v>0</v>
      </c>
      <c r="J987" s="142" t="b">
        <v>0</v>
      </c>
      <c r="K987" s="142" t="b">
        <v>0</v>
      </c>
      <c r="L987" s="8" t="b">
        <v>0</v>
      </c>
    </row>
    <row r="988">
      <c r="B988" s="103"/>
      <c r="C988" s="121" t="str">
        <f t="array" ref="C988">ifs(and(isblank($A988),isblank($B988)),"", not(iserror(vlookup($A988&amp;$B988,'5) Release_Track'!$F:$F&amp;'5) Release_Track'!$G:$G,1,0))),vlookup($A988&amp;$B988,{'5) Release_Track'!$F:$F&amp;'5) Release_Track'!$G:$G,'5) Release_Track'!$H:$H},2,0), or(and(not(isblank($B988)),$B988=$B987,$A988&lt;&gt;$A987),and(not(isblank($A988)),$A988=$A987,$B988&lt;&gt;$B987)),"ID LISTS UNALIGNED",and($A988&lt;&gt;"",countif('5) Release_Track'!$F:$F,$A988)=0),"NO ISRC MATCH in Release_Track",and($B988&lt;&gt;"",countif('5) Release_Track'!$G:$G,$B988)=0),"NO CATALOG ID MATCH in Release_Track",iserror(vlookup($A988&amp;$B988,'5) Release_Track'!$F:$F&amp;'5) Release_Track'!$G:$G,1,0)),"NO ISRC-CATALOG ID pair MATCH in Release_Track" )</f>
        <v/>
      </c>
      <c r="D988" s="121" t="str">
        <f t="array" ref="D988">ifs(and(isblank($A988),isblank($B988)),"", not(iserror(vlookup($A988&amp;$B988,'5) Release_Track'!$F:$F&amp;'5) Release_Track'!$G:$G,1,0))),vlookup($A988&amp;$B988,{'5) Release_Track'!$F:$F&amp;'5) Release_Track'!$G:$G,'5) Release_Track'!$I:$I},2,0), or(and(not(isblank($B988)),$B988=$B987,$A988&lt;&gt;$A987),and(not(isblank($A988)),$A988=$A987,$B988&lt;&gt;$B987)),"ID LISTS UNALIGNED",and($A988&lt;&gt;"",countif('5) Release_Track'!$F:$F,$A988)=0),"NO ISRC MATCH in Release_Track",and($B988&lt;&gt;"",countif('5) Release_Track'!$G:$G,$B988)=0),"NO CATALOG ID MATCH in Release_Track",iserror(vlookup($A988&amp;$B988,'5) Release_Track'!$F:$F&amp;'5) Release_Track'!$G:$G,1,0)),"NO ISRC-CATALOG ID pair MATCH in Release_Track" )</f>
        <v/>
      </c>
      <c r="E988" s="142" t="b">
        <v>0</v>
      </c>
      <c r="F988" s="142" t="b">
        <v>0</v>
      </c>
      <c r="G988" s="142" t="b">
        <v>0</v>
      </c>
      <c r="H988" s="142" t="b">
        <v>0</v>
      </c>
      <c r="I988" s="142" t="b">
        <v>0</v>
      </c>
      <c r="J988" s="142" t="b">
        <v>0</v>
      </c>
      <c r="K988" s="142" t="b">
        <v>0</v>
      </c>
      <c r="L988" s="8" t="b">
        <v>0</v>
      </c>
    </row>
    <row r="989">
      <c r="B989" s="103"/>
      <c r="C989" s="121" t="str">
        <f t="array" ref="C989">ifs(and(isblank($A989),isblank($B989)),"", not(iserror(vlookup($A989&amp;$B989,'5) Release_Track'!$F:$F&amp;'5) Release_Track'!$G:$G,1,0))),vlookup($A989&amp;$B989,{'5) Release_Track'!$F:$F&amp;'5) Release_Track'!$G:$G,'5) Release_Track'!$H:$H},2,0), or(and(not(isblank($B989)),$B989=$B988,$A989&lt;&gt;$A988),and(not(isblank($A989)),$A989=$A988,$B989&lt;&gt;$B988)),"ID LISTS UNALIGNED",and($A989&lt;&gt;"",countif('5) Release_Track'!$F:$F,$A989)=0),"NO ISRC MATCH in Release_Track",and($B989&lt;&gt;"",countif('5) Release_Track'!$G:$G,$B989)=0),"NO CATALOG ID MATCH in Release_Track",iserror(vlookup($A989&amp;$B989,'5) Release_Track'!$F:$F&amp;'5) Release_Track'!$G:$G,1,0)),"NO ISRC-CATALOG ID pair MATCH in Release_Track" )</f>
        <v/>
      </c>
      <c r="D989" s="121" t="str">
        <f t="array" ref="D989">ifs(and(isblank($A989),isblank($B989)),"", not(iserror(vlookup($A989&amp;$B989,'5) Release_Track'!$F:$F&amp;'5) Release_Track'!$G:$G,1,0))),vlookup($A989&amp;$B989,{'5) Release_Track'!$F:$F&amp;'5) Release_Track'!$G:$G,'5) Release_Track'!$I:$I},2,0), or(and(not(isblank($B989)),$B989=$B988,$A989&lt;&gt;$A988),and(not(isblank($A989)),$A989=$A988,$B989&lt;&gt;$B988)),"ID LISTS UNALIGNED",and($A989&lt;&gt;"",countif('5) Release_Track'!$F:$F,$A989)=0),"NO ISRC MATCH in Release_Track",and($B989&lt;&gt;"",countif('5) Release_Track'!$G:$G,$B989)=0),"NO CATALOG ID MATCH in Release_Track",iserror(vlookup($A989&amp;$B989,'5) Release_Track'!$F:$F&amp;'5) Release_Track'!$G:$G,1,0)),"NO ISRC-CATALOG ID pair MATCH in Release_Track" )</f>
        <v/>
      </c>
      <c r="E989" s="142" t="b">
        <v>0</v>
      </c>
      <c r="F989" s="142" t="b">
        <v>0</v>
      </c>
      <c r="G989" s="142" t="b">
        <v>0</v>
      </c>
      <c r="H989" s="142" t="b">
        <v>0</v>
      </c>
      <c r="I989" s="142" t="b">
        <v>0</v>
      </c>
      <c r="J989" s="142" t="b">
        <v>0</v>
      </c>
      <c r="K989" s="142" t="b">
        <v>0</v>
      </c>
      <c r="L989" s="8" t="b">
        <v>0</v>
      </c>
    </row>
    <row r="990">
      <c r="B990" s="103"/>
      <c r="C990" s="121" t="str">
        <f t="array" ref="C990">ifs(and(isblank($A990),isblank($B990)),"", not(iserror(vlookup($A990&amp;$B990,'5) Release_Track'!$F:$F&amp;'5) Release_Track'!$G:$G,1,0))),vlookup($A990&amp;$B990,{'5) Release_Track'!$F:$F&amp;'5) Release_Track'!$G:$G,'5) Release_Track'!$H:$H},2,0), or(and(not(isblank($B990)),$B990=$B989,$A990&lt;&gt;$A989),and(not(isblank($A990)),$A990=$A989,$B990&lt;&gt;$B989)),"ID LISTS UNALIGNED",and($A990&lt;&gt;"",countif('5) Release_Track'!$F:$F,$A990)=0),"NO ISRC MATCH in Release_Track",and($B990&lt;&gt;"",countif('5) Release_Track'!$G:$G,$B990)=0),"NO CATALOG ID MATCH in Release_Track",iserror(vlookup($A990&amp;$B990,'5) Release_Track'!$F:$F&amp;'5) Release_Track'!$G:$G,1,0)),"NO ISRC-CATALOG ID pair MATCH in Release_Track" )</f>
        <v/>
      </c>
      <c r="D990" s="121" t="str">
        <f t="array" ref="D990">ifs(and(isblank($A990),isblank($B990)),"", not(iserror(vlookup($A990&amp;$B990,'5) Release_Track'!$F:$F&amp;'5) Release_Track'!$G:$G,1,0))),vlookup($A990&amp;$B990,{'5) Release_Track'!$F:$F&amp;'5) Release_Track'!$G:$G,'5) Release_Track'!$I:$I},2,0), or(and(not(isblank($B990)),$B990=$B989,$A990&lt;&gt;$A989),and(not(isblank($A990)),$A990=$A989,$B990&lt;&gt;$B989)),"ID LISTS UNALIGNED",and($A990&lt;&gt;"",countif('5) Release_Track'!$F:$F,$A990)=0),"NO ISRC MATCH in Release_Track",and($B990&lt;&gt;"",countif('5) Release_Track'!$G:$G,$B990)=0),"NO CATALOG ID MATCH in Release_Track",iserror(vlookup($A990&amp;$B990,'5) Release_Track'!$F:$F&amp;'5) Release_Track'!$G:$G,1,0)),"NO ISRC-CATALOG ID pair MATCH in Release_Track" )</f>
        <v/>
      </c>
      <c r="E990" s="142" t="b">
        <v>0</v>
      </c>
      <c r="F990" s="142" t="b">
        <v>0</v>
      </c>
      <c r="G990" s="142" t="b">
        <v>0</v>
      </c>
      <c r="H990" s="142" t="b">
        <v>0</v>
      </c>
      <c r="I990" s="142" t="b">
        <v>0</v>
      </c>
      <c r="J990" s="142" t="b">
        <v>0</v>
      </c>
      <c r="K990" s="142" t="b">
        <v>0</v>
      </c>
      <c r="L990" s="8" t="b">
        <v>0</v>
      </c>
    </row>
    <row r="991">
      <c r="B991" s="103"/>
      <c r="C991" s="121" t="str">
        <f t="array" ref="C991">ifs(and(isblank($A991),isblank($B991)),"", not(iserror(vlookup($A991&amp;$B991,'5) Release_Track'!$F:$F&amp;'5) Release_Track'!$G:$G,1,0))),vlookup($A991&amp;$B991,{'5) Release_Track'!$F:$F&amp;'5) Release_Track'!$G:$G,'5) Release_Track'!$H:$H},2,0), or(and(not(isblank($B991)),$B991=$B990,$A991&lt;&gt;$A990),and(not(isblank($A991)),$A991=$A990,$B991&lt;&gt;$B990)),"ID LISTS UNALIGNED",and($A991&lt;&gt;"",countif('5) Release_Track'!$F:$F,$A991)=0),"NO ISRC MATCH in Release_Track",and($B991&lt;&gt;"",countif('5) Release_Track'!$G:$G,$B991)=0),"NO CATALOG ID MATCH in Release_Track",iserror(vlookup($A991&amp;$B991,'5) Release_Track'!$F:$F&amp;'5) Release_Track'!$G:$G,1,0)),"NO ISRC-CATALOG ID pair MATCH in Release_Track" )</f>
        <v/>
      </c>
      <c r="D991" s="121" t="str">
        <f t="array" ref="D991">ifs(and(isblank($A991),isblank($B991)),"", not(iserror(vlookup($A991&amp;$B991,'5) Release_Track'!$F:$F&amp;'5) Release_Track'!$G:$G,1,0))),vlookup($A991&amp;$B991,{'5) Release_Track'!$F:$F&amp;'5) Release_Track'!$G:$G,'5) Release_Track'!$I:$I},2,0), or(and(not(isblank($B991)),$B991=$B990,$A991&lt;&gt;$A990),and(not(isblank($A991)),$A991=$A990,$B991&lt;&gt;$B990)),"ID LISTS UNALIGNED",and($A991&lt;&gt;"",countif('5) Release_Track'!$F:$F,$A991)=0),"NO ISRC MATCH in Release_Track",and($B991&lt;&gt;"",countif('5) Release_Track'!$G:$G,$B991)=0),"NO CATALOG ID MATCH in Release_Track",iserror(vlookup($A991&amp;$B991,'5) Release_Track'!$F:$F&amp;'5) Release_Track'!$G:$G,1,0)),"NO ISRC-CATALOG ID pair MATCH in Release_Track" )</f>
        <v/>
      </c>
      <c r="E991" s="142" t="b">
        <v>0</v>
      </c>
      <c r="F991" s="142" t="b">
        <v>0</v>
      </c>
      <c r="G991" s="142" t="b">
        <v>0</v>
      </c>
      <c r="H991" s="142" t="b">
        <v>0</v>
      </c>
      <c r="I991" s="142" t="b">
        <v>0</v>
      </c>
      <c r="J991" s="142" t="b">
        <v>0</v>
      </c>
      <c r="K991" s="142" t="b">
        <v>0</v>
      </c>
      <c r="L991" s="8" t="b">
        <v>0</v>
      </c>
    </row>
    <row r="992">
      <c r="B992" s="103"/>
      <c r="C992" s="121" t="str">
        <f t="array" ref="C992">ifs(and(isblank($A992),isblank($B992)),"", not(iserror(vlookup($A992&amp;$B992,'5) Release_Track'!$F:$F&amp;'5) Release_Track'!$G:$G,1,0))),vlookup($A992&amp;$B992,{'5) Release_Track'!$F:$F&amp;'5) Release_Track'!$G:$G,'5) Release_Track'!$H:$H},2,0), or(and(not(isblank($B992)),$B992=$B991,$A992&lt;&gt;$A991),and(not(isblank($A992)),$A992=$A991,$B992&lt;&gt;$B991)),"ID LISTS UNALIGNED",and($A992&lt;&gt;"",countif('5) Release_Track'!$F:$F,$A992)=0),"NO ISRC MATCH in Release_Track",and($B992&lt;&gt;"",countif('5) Release_Track'!$G:$G,$B992)=0),"NO CATALOG ID MATCH in Release_Track",iserror(vlookup($A992&amp;$B992,'5) Release_Track'!$F:$F&amp;'5) Release_Track'!$G:$G,1,0)),"NO ISRC-CATALOG ID pair MATCH in Release_Track" )</f>
        <v/>
      </c>
      <c r="D992" s="121" t="str">
        <f t="array" ref="D992">ifs(and(isblank($A992),isblank($B992)),"", not(iserror(vlookup($A992&amp;$B992,'5) Release_Track'!$F:$F&amp;'5) Release_Track'!$G:$G,1,0))),vlookup($A992&amp;$B992,{'5) Release_Track'!$F:$F&amp;'5) Release_Track'!$G:$G,'5) Release_Track'!$I:$I},2,0), or(and(not(isblank($B992)),$B992=$B991,$A992&lt;&gt;$A991),and(not(isblank($A992)),$A992=$A991,$B992&lt;&gt;$B991)),"ID LISTS UNALIGNED",and($A992&lt;&gt;"",countif('5) Release_Track'!$F:$F,$A992)=0),"NO ISRC MATCH in Release_Track",and($B992&lt;&gt;"",countif('5) Release_Track'!$G:$G,$B992)=0),"NO CATALOG ID MATCH in Release_Track",iserror(vlookup($A992&amp;$B992,'5) Release_Track'!$F:$F&amp;'5) Release_Track'!$G:$G,1,0)),"NO ISRC-CATALOG ID pair MATCH in Release_Track" )</f>
        <v/>
      </c>
      <c r="E992" s="142" t="b">
        <v>0</v>
      </c>
      <c r="F992" s="142" t="b">
        <v>0</v>
      </c>
      <c r="G992" s="142" t="b">
        <v>0</v>
      </c>
      <c r="H992" s="142" t="b">
        <v>0</v>
      </c>
      <c r="I992" s="142" t="b">
        <v>0</v>
      </c>
      <c r="J992" s="142" t="b">
        <v>0</v>
      </c>
      <c r="K992" s="142" t="b">
        <v>0</v>
      </c>
      <c r="L992" s="8" t="b">
        <v>0</v>
      </c>
    </row>
    <row r="993">
      <c r="B993" s="103"/>
      <c r="C993" s="121" t="str">
        <f t="array" ref="C993">ifs(and(isblank($A993),isblank($B993)),"", not(iserror(vlookup($A993&amp;$B993,'5) Release_Track'!$F:$F&amp;'5) Release_Track'!$G:$G,1,0))),vlookup($A993&amp;$B993,{'5) Release_Track'!$F:$F&amp;'5) Release_Track'!$G:$G,'5) Release_Track'!$H:$H},2,0), or(and(not(isblank($B993)),$B993=$B992,$A993&lt;&gt;$A992),and(not(isblank($A993)),$A993=$A992,$B993&lt;&gt;$B992)),"ID LISTS UNALIGNED",and($A993&lt;&gt;"",countif('5) Release_Track'!$F:$F,$A993)=0),"NO ISRC MATCH in Release_Track",and($B993&lt;&gt;"",countif('5) Release_Track'!$G:$G,$B993)=0),"NO CATALOG ID MATCH in Release_Track",iserror(vlookup($A993&amp;$B993,'5) Release_Track'!$F:$F&amp;'5) Release_Track'!$G:$G,1,0)),"NO ISRC-CATALOG ID pair MATCH in Release_Track" )</f>
        <v/>
      </c>
      <c r="D993" s="121" t="str">
        <f t="array" ref="D993">ifs(and(isblank($A993),isblank($B993)),"", not(iserror(vlookup($A993&amp;$B993,'5) Release_Track'!$F:$F&amp;'5) Release_Track'!$G:$G,1,0))),vlookup($A993&amp;$B993,{'5) Release_Track'!$F:$F&amp;'5) Release_Track'!$G:$G,'5) Release_Track'!$I:$I},2,0), or(and(not(isblank($B993)),$B993=$B992,$A993&lt;&gt;$A992),and(not(isblank($A993)),$A993=$A992,$B993&lt;&gt;$B992)),"ID LISTS UNALIGNED",and($A993&lt;&gt;"",countif('5) Release_Track'!$F:$F,$A993)=0),"NO ISRC MATCH in Release_Track",and($B993&lt;&gt;"",countif('5) Release_Track'!$G:$G,$B993)=0),"NO CATALOG ID MATCH in Release_Track",iserror(vlookup($A993&amp;$B993,'5) Release_Track'!$F:$F&amp;'5) Release_Track'!$G:$G,1,0)),"NO ISRC-CATALOG ID pair MATCH in Release_Track" )</f>
        <v/>
      </c>
      <c r="E993" s="142" t="b">
        <v>0</v>
      </c>
      <c r="F993" s="142" t="b">
        <v>0</v>
      </c>
      <c r="G993" s="142" t="b">
        <v>0</v>
      </c>
      <c r="H993" s="142" t="b">
        <v>0</v>
      </c>
      <c r="I993" s="142" t="b">
        <v>0</v>
      </c>
      <c r="J993" s="142" t="b">
        <v>0</v>
      </c>
      <c r="K993" s="142" t="b">
        <v>0</v>
      </c>
      <c r="L993" s="8" t="b">
        <v>0</v>
      </c>
    </row>
    <row r="994">
      <c r="B994" s="103"/>
      <c r="C994" s="121" t="str">
        <f t="array" ref="C994">ifs(and(isblank($A994),isblank($B994)),"", not(iserror(vlookup($A994&amp;$B994,'5) Release_Track'!$F:$F&amp;'5) Release_Track'!$G:$G,1,0))),vlookup($A994&amp;$B994,{'5) Release_Track'!$F:$F&amp;'5) Release_Track'!$G:$G,'5) Release_Track'!$H:$H},2,0), or(and(not(isblank($B994)),$B994=$B993,$A994&lt;&gt;$A993),and(not(isblank($A994)),$A994=$A993,$B994&lt;&gt;$B993)),"ID LISTS UNALIGNED",and($A994&lt;&gt;"",countif('5) Release_Track'!$F:$F,$A994)=0),"NO ISRC MATCH in Release_Track",and($B994&lt;&gt;"",countif('5) Release_Track'!$G:$G,$B994)=0),"NO CATALOG ID MATCH in Release_Track",iserror(vlookup($A994&amp;$B994,'5) Release_Track'!$F:$F&amp;'5) Release_Track'!$G:$G,1,0)),"NO ISRC-CATALOG ID pair MATCH in Release_Track" )</f>
        <v/>
      </c>
      <c r="D994" s="121" t="str">
        <f t="array" ref="D994">ifs(and(isblank($A994),isblank($B994)),"", not(iserror(vlookup($A994&amp;$B994,'5) Release_Track'!$F:$F&amp;'5) Release_Track'!$G:$G,1,0))),vlookup($A994&amp;$B994,{'5) Release_Track'!$F:$F&amp;'5) Release_Track'!$G:$G,'5) Release_Track'!$I:$I},2,0), or(and(not(isblank($B994)),$B994=$B993,$A994&lt;&gt;$A993),and(not(isblank($A994)),$A994=$A993,$B994&lt;&gt;$B993)),"ID LISTS UNALIGNED",and($A994&lt;&gt;"",countif('5) Release_Track'!$F:$F,$A994)=0),"NO ISRC MATCH in Release_Track",and($B994&lt;&gt;"",countif('5) Release_Track'!$G:$G,$B994)=0),"NO CATALOG ID MATCH in Release_Track",iserror(vlookup($A994&amp;$B994,'5) Release_Track'!$F:$F&amp;'5) Release_Track'!$G:$G,1,0)),"NO ISRC-CATALOG ID pair MATCH in Release_Track" )</f>
        <v/>
      </c>
      <c r="E994" s="142" t="b">
        <v>0</v>
      </c>
      <c r="F994" s="142" t="b">
        <v>0</v>
      </c>
      <c r="G994" s="142" t="b">
        <v>0</v>
      </c>
      <c r="H994" s="142" t="b">
        <v>0</v>
      </c>
      <c r="I994" s="142" t="b">
        <v>0</v>
      </c>
      <c r="J994" s="142" t="b">
        <v>0</v>
      </c>
      <c r="K994" s="142" t="b">
        <v>0</v>
      </c>
      <c r="L994" s="8" t="b">
        <v>0</v>
      </c>
    </row>
    <row r="995">
      <c r="B995" s="103"/>
      <c r="C995" s="121" t="str">
        <f t="array" ref="C995">ifs(and(isblank($A995),isblank($B995)),"", not(iserror(vlookup($A995&amp;$B995,'5) Release_Track'!$F:$F&amp;'5) Release_Track'!$G:$G,1,0))),vlookup($A995&amp;$B995,{'5) Release_Track'!$F:$F&amp;'5) Release_Track'!$G:$G,'5) Release_Track'!$H:$H},2,0), or(and(not(isblank($B995)),$B995=$B994,$A995&lt;&gt;$A994),and(not(isblank($A995)),$A995=$A994,$B995&lt;&gt;$B994)),"ID LISTS UNALIGNED",and($A995&lt;&gt;"",countif('5) Release_Track'!$F:$F,$A995)=0),"NO ISRC MATCH in Release_Track",and($B995&lt;&gt;"",countif('5) Release_Track'!$G:$G,$B995)=0),"NO CATALOG ID MATCH in Release_Track",iserror(vlookup($A995&amp;$B995,'5) Release_Track'!$F:$F&amp;'5) Release_Track'!$G:$G,1,0)),"NO ISRC-CATALOG ID pair MATCH in Release_Track" )</f>
        <v/>
      </c>
      <c r="D995" s="121" t="str">
        <f t="array" ref="D995">ifs(and(isblank($A995),isblank($B995)),"", not(iserror(vlookup($A995&amp;$B995,'5) Release_Track'!$F:$F&amp;'5) Release_Track'!$G:$G,1,0))),vlookup($A995&amp;$B995,{'5) Release_Track'!$F:$F&amp;'5) Release_Track'!$G:$G,'5) Release_Track'!$I:$I},2,0), or(and(not(isblank($B995)),$B995=$B994,$A995&lt;&gt;$A994),and(not(isblank($A995)),$A995=$A994,$B995&lt;&gt;$B994)),"ID LISTS UNALIGNED",and($A995&lt;&gt;"",countif('5) Release_Track'!$F:$F,$A995)=0),"NO ISRC MATCH in Release_Track",and($B995&lt;&gt;"",countif('5) Release_Track'!$G:$G,$B995)=0),"NO CATALOG ID MATCH in Release_Track",iserror(vlookup($A995&amp;$B995,'5) Release_Track'!$F:$F&amp;'5) Release_Track'!$G:$G,1,0)),"NO ISRC-CATALOG ID pair MATCH in Release_Track" )</f>
        <v/>
      </c>
      <c r="E995" s="142" t="b">
        <v>0</v>
      </c>
      <c r="F995" s="142" t="b">
        <v>0</v>
      </c>
      <c r="G995" s="142" t="b">
        <v>0</v>
      </c>
      <c r="H995" s="142" t="b">
        <v>0</v>
      </c>
      <c r="I995" s="142" t="b">
        <v>0</v>
      </c>
      <c r="J995" s="142" t="b">
        <v>0</v>
      </c>
      <c r="K995" s="142" t="b">
        <v>0</v>
      </c>
      <c r="L995" s="8" t="b">
        <v>0</v>
      </c>
    </row>
    <row r="996">
      <c r="B996" s="103"/>
      <c r="C996" s="121" t="str">
        <f t="array" ref="C996">ifs(and(isblank($A996),isblank($B996)),"", not(iserror(vlookup($A996&amp;$B996,'5) Release_Track'!$F:$F&amp;'5) Release_Track'!$G:$G,1,0))),vlookup($A996&amp;$B996,{'5) Release_Track'!$F:$F&amp;'5) Release_Track'!$G:$G,'5) Release_Track'!$H:$H},2,0), or(and(not(isblank($B996)),$B996=$B995,$A996&lt;&gt;$A995),and(not(isblank($A996)),$A996=$A995,$B996&lt;&gt;$B995)),"ID LISTS UNALIGNED",and($A996&lt;&gt;"",countif('5) Release_Track'!$F:$F,$A996)=0),"NO ISRC MATCH in Release_Track",and($B996&lt;&gt;"",countif('5) Release_Track'!$G:$G,$B996)=0),"NO CATALOG ID MATCH in Release_Track",iserror(vlookup($A996&amp;$B996,'5) Release_Track'!$F:$F&amp;'5) Release_Track'!$G:$G,1,0)),"NO ISRC-CATALOG ID pair MATCH in Release_Track" )</f>
        <v/>
      </c>
      <c r="D996" s="121" t="str">
        <f t="array" ref="D996">ifs(and(isblank($A996),isblank($B996)),"", not(iserror(vlookup($A996&amp;$B996,'5) Release_Track'!$F:$F&amp;'5) Release_Track'!$G:$G,1,0))),vlookup($A996&amp;$B996,{'5) Release_Track'!$F:$F&amp;'5) Release_Track'!$G:$G,'5) Release_Track'!$I:$I},2,0), or(and(not(isblank($B996)),$B996=$B995,$A996&lt;&gt;$A995),and(not(isblank($A996)),$A996=$A995,$B996&lt;&gt;$B995)),"ID LISTS UNALIGNED",and($A996&lt;&gt;"",countif('5) Release_Track'!$F:$F,$A996)=0),"NO ISRC MATCH in Release_Track",and($B996&lt;&gt;"",countif('5) Release_Track'!$G:$G,$B996)=0),"NO CATALOG ID MATCH in Release_Track",iserror(vlookup($A996&amp;$B996,'5) Release_Track'!$F:$F&amp;'5) Release_Track'!$G:$G,1,0)),"NO ISRC-CATALOG ID pair MATCH in Release_Track" )</f>
        <v/>
      </c>
      <c r="E996" s="142" t="b">
        <v>0</v>
      </c>
      <c r="F996" s="142" t="b">
        <v>0</v>
      </c>
      <c r="G996" s="142" t="b">
        <v>0</v>
      </c>
      <c r="H996" s="142" t="b">
        <v>0</v>
      </c>
      <c r="I996" s="142" t="b">
        <v>0</v>
      </c>
      <c r="J996" s="142" t="b">
        <v>0</v>
      </c>
      <c r="K996" s="142" t="b">
        <v>0</v>
      </c>
      <c r="L996" s="8" t="b">
        <v>0</v>
      </c>
    </row>
    <row r="997">
      <c r="B997" s="103"/>
      <c r="C997" s="121" t="str">
        <f t="array" ref="C997">ifs(and(isblank($A997),isblank($B997)),"", not(iserror(vlookup($A997&amp;$B997,'5) Release_Track'!$F:$F&amp;'5) Release_Track'!$G:$G,1,0))),vlookup($A997&amp;$B997,{'5) Release_Track'!$F:$F&amp;'5) Release_Track'!$G:$G,'5) Release_Track'!$H:$H},2,0), or(and(not(isblank($B997)),$B997=$B996,$A997&lt;&gt;$A996),and(not(isblank($A997)),$A997=$A996,$B997&lt;&gt;$B996)),"ID LISTS UNALIGNED",and($A997&lt;&gt;"",countif('5) Release_Track'!$F:$F,$A997)=0),"NO ISRC MATCH in Release_Track",and($B997&lt;&gt;"",countif('5) Release_Track'!$G:$G,$B997)=0),"NO CATALOG ID MATCH in Release_Track",iserror(vlookup($A997&amp;$B997,'5) Release_Track'!$F:$F&amp;'5) Release_Track'!$G:$G,1,0)),"NO ISRC-CATALOG ID pair MATCH in Release_Track" )</f>
        <v/>
      </c>
      <c r="D997" s="121" t="str">
        <f t="array" ref="D997">ifs(and(isblank($A997),isblank($B997)),"", not(iserror(vlookup($A997&amp;$B997,'5) Release_Track'!$F:$F&amp;'5) Release_Track'!$G:$G,1,0))),vlookup($A997&amp;$B997,{'5) Release_Track'!$F:$F&amp;'5) Release_Track'!$G:$G,'5) Release_Track'!$I:$I},2,0), or(and(not(isblank($B997)),$B997=$B996,$A997&lt;&gt;$A996),and(not(isblank($A997)),$A997=$A996,$B997&lt;&gt;$B996)),"ID LISTS UNALIGNED",and($A997&lt;&gt;"",countif('5) Release_Track'!$F:$F,$A997)=0),"NO ISRC MATCH in Release_Track",and($B997&lt;&gt;"",countif('5) Release_Track'!$G:$G,$B997)=0),"NO CATALOG ID MATCH in Release_Track",iserror(vlookup($A997&amp;$B997,'5) Release_Track'!$F:$F&amp;'5) Release_Track'!$G:$G,1,0)),"NO ISRC-CATALOG ID pair MATCH in Release_Track" )</f>
        <v/>
      </c>
      <c r="E997" s="142" t="b">
        <v>0</v>
      </c>
      <c r="F997" s="142" t="b">
        <v>0</v>
      </c>
      <c r="G997" s="142" t="b">
        <v>0</v>
      </c>
      <c r="H997" s="142" t="b">
        <v>0</v>
      </c>
      <c r="I997" s="142" t="b">
        <v>0</v>
      </c>
      <c r="J997" s="142" t="b">
        <v>0</v>
      </c>
      <c r="K997" s="142" t="b">
        <v>0</v>
      </c>
      <c r="L997" s="8" t="b">
        <v>0</v>
      </c>
    </row>
    <row r="998">
      <c r="B998" s="103"/>
      <c r="C998" s="121" t="str">
        <f t="array" ref="C998">ifs(and(isblank($A998),isblank($B998)),"", not(iserror(vlookup($A998&amp;$B998,'5) Release_Track'!$F:$F&amp;'5) Release_Track'!$G:$G,1,0))),vlookup($A998&amp;$B998,{'5) Release_Track'!$F:$F&amp;'5) Release_Track'!$G:$G,'5) Release_Track'!$H:$H},2,0), or(and(not(isblank($B998)),$B998=$B997,$A998&lt;&gt;$A997),and(not(isblank($A998)),$A998=$A997,$B998&lt;&gt;$B997)),"ID LISTS UNALIGNED",and($A998&lt;&gt;"",countif('5) Release_Track'!$F:$F,$A998)=0),"NO ISRC MATCH in Release_Track",and($B998&lt;&gt;"",countif('5) Release_Track'!$G:$G,$B998)=0),"NO CATALOG ID MATCH in Release_Track",iserror(vlookup($A998&amp;$B998,'5) Release_Track'!$F:$F&amp;'5) Release_Track'!$G:$G,1,0)),"NO ISRC-CATALOG ID pair MATCH in Release_Track" )</f>
        <v/>
      </c>
      <c r="D998" s="121" t="str">
        <f t="array" ref="D998">ifs(and(isblank($A998),isblank($B998)),"", not(iserror(vlookup($A998&amp;$B998,'5) Release_Track'!$F:$F&amp;'5) Release_Track'!$G:$G,1,0))),vlookup($A998&amp;$B998,{'5) Release_Track'!$F:$F&amp;'5) Release_Track'!$G:$G,'5) Release_Track'!$I:$I},2,0), or(and(not(isblank($B998)),$B998=$B997,$A998&lt;&gt;$A997),and(not(isblank($A998)),$A998=$A997,$B998&lt;&gt;$B997)),"ID LISTS UNALIGNED",and($A998&lt;&gt;"",countif('5) Release_Track'!$F:$F,$A998)=0),"NO ISRC MATCH in Release_Track",and($B998&lt;&gt;"",countif('5) Release_Track'!$G:$G,$B998)=0),"NO CATALOG ID MATCH in Release_Track",iserror(vlookup($A998&amp;$B998,'5) Release_Track'!$F:$F&amp;'5) Release_Track'!$G:$G,1,0)),"NO ISRC-CATALOG ID pair MATCH in Release_Track" )</f>
        <v/>
      </c>
      <c r="E998" s="142" t="b">
        <v>0</v>
      </c>
      <c r="F998" s="142" t="b">
        <v>0</v>
      </c>
      <c r="G998" s="142" t="b">
        <v>0</v>
      </c>
      <c r="H998" s="142" t="b">
        <v>0</v>
      </c>
      <c r="I998" s="142" t="b">
        <v>0</v>
      </c>
      <c r="J998" s="142" t="b">
        <v>0</v>
      </c>
      <c r="K998" s="142" t="b">
        <v>0</v>
      </c>
      <c r="L998" s="8" t="b">
        <v>0</v>
      </c>
    </row>
    <row r="999">
      <c r="B999" s="103"/>
      <c r="C999" s="121" t="str">
        <f t="array" ref="C999">ifs(and(isblank($A999),isblank($B999)),"", not(iserror(vlookup($A999&amp;$B999,'5) Release_Track'!$F:$F&amp;'5) Release_Track'!$G:$G,1,0))),vlookup($A999&amp;$B999,{'5) Release_Track'!$F:$F&amp;'5) Release_Track'!$G:$G,'5) Release_Track'!$H:$H},2,0), or(and(not(isblank($B999)),$B999=$B998,$A999&lt;&gt;$A998),and(not(isblank($A999)),$A999=$A998,$B999&lt;&gt;$B998)),"ID LISTS UNALIGNED",and($A999&lt;&gt;"",countif('5) Release_Track'!$F:$F,$A999)=0),"NO ISRC MATCH in Release_Track",and($B999&lt;&gt;"",countif('5) Release_Track'!$G:$G,$B999)=0),"NO CATALOG ID MATCH in Release_Track",iserror(vlookup($A999&amp;$B999,'5) Release_Track'!$F:$F&amp;'5) Release_Track'!$G:$G,1,0)),"NO ISRC-CATALOG ID pair MATCH in Release_Track" )</f>
        <v/>
      </c>
      <c r="D999" s="121" t="str">
        <f t="array" ref="D999">ifs(and(isblank($A999),isblank($B999)),"", not(iserror(vlookup($A999&amp;$B999,'5) Release_Track'!$F:$F&amp;'5) Release_Track'!$G:$G,1,0))),vlookup($A999&amp;$B999,{'5) Release_Track'!$F:$F&amp;'5) Release_Track'!$G:$G,'5) Release_Track'!$I:$I},2,0), or(and(not(isblank($B999)),$B999=$B998,$A999&lt;&gt;$A998),and(not(isblank($A999)),$A999=$A998,$B999&lt;&gt;$B998)),"ID LISTS UNALIGNED",and($A999&lt;&gt;"",countif('5) Release_Track'!$F:$F,$A999)=0),"NO ISRC MATCH in Release_Track",and($B999&lt;&gt;"",countif('5) Release_Track'!$G:$G,$B999)=0),"NO CATALOG ID MATCH in Release_Track",iserror(vlookup($A999&amp;$B999,'5) Release_Track'!$F:$F&amp;'5) Release_Track'!$G:$G,1,0)),"NO ISRC-CATALOG ID pair MATCH in Release_Track" )</f>
        <v/>
      </c>
      <c r="E999" s="142" t="b">
        <v>0</v>
      </c>
      <c r="F999" s="142" t="b">
        <v>0</v>
      </c>
      <c r="G999" s="142" t="b">
        <v>0</v>
      </c>
      <c r="H999" s="142" t="b">
        <v>0</v>
      </c>
      <c r="I999" s="142" t="b">
        <v>0</v>
      </c>
      <c r="J999" s="142" t="b">
        <v>0</v>
      </c>
      <c r="K999" s="142" t="b">
        <v>0</v>
      </c>
      <c r="L999" s="8" t="b">
        <v>0</v>
      </c>
    </row>
    <row r="1000">
      <c r="B1000" s="103"/>
      <c r="C1000" s="121" t="str">
        <f t="array" ref="C1000">ifs(and(isblank($A1000),isblank($B1000)),"", not(iserror(vlookup($A1000&amp;$B1000,'5) Release_Track'!$F:$F&amp;'5) Release_Track'!$G:$G,1,0))),vlookup($A1000&amp;$B1000,{'5) Release_Track'!$F:$F&amp;'5) Release_Track'!$G:$G,'5) Release_Track'!$H:$H},2,0), or(and(not(isblank($B1000)),$B1000=$B999,$A1000&lt;&gt;$A999),and(not(isblank($A1000)),$A1000=$A999,$B1000&lt;&gt;$B999)),"ID LISTS UNALIGNED",and($A1000&lt;&gt;"",countif('5) Release_Track'!$F:$F,$A1000)=0),"NO ISRC MATCH in Release_Track",and($B1000&lt;&gt;"",countif('5) Release_Track'!$G:$G,$B1000)=0),"NO CATALOG ID MATCH in Release_Track",iserror(vlookup($A1000&amp;$B1000,'5) Release_Track'!$F:$F&amp;'5) Release_Track'!$G:$G,1,0)),"NO ISRC-CATALOG ID pair MATCH in Release_Track" )</f>
        <v/>
      </c>
      <c r="D1000" s="121" t="str">
        <f t="array" ref="D1000">ifs(and(isblank($A1000),isblank($B1000)),"", not(iserror(vlookup($A1000&amp;$B1000,'5) Release_Track'!$F:$F&amp;'5) Release_Track'!$G:$G,1,0))),vlookup($A1000&amp;$B1000,{'5) Release_Track'!$F:$F&amp;'5) Release_Track'!$G:$G,'5) Release_Track'!$I:$I},2,0), or(and(not(isblank($B1000)),$B1000=$B999,$A1000&lt;&gt;$A999),and(not(isblank($A1000)),$A1000=$A999,$B1000&lt;&gt;$B999)),"ID LISTS UNALIGNED",and($A1000&lt;&gt;"",countif('5) Release_Track'!$F:$F,$A1000)=0),"NO ISRC MATCH in Release_Track",and($B1000&lt;&gt;"",countif('5) Release_Track'!$G:$G,$B1000)=0),"NO CATALOG ID MATCH in Release_Track",iserror(vlookup($A1000&amp;$B1000,'5) Release_Track'!$F:$F&amp;'5) Release_Track'!$G:$G,1,0)),"NO ISRC-CATALOG ID pair MATCH in Release_Track" )</f>
        <v/>
      </c>
      <c r="E1000" s="142" t="b">
        <v>0</v>
      </c>
      <c r="F1000" s="142" t="b">
        <v>0</v>
      </c>
      <c r="G1000" s="142" t="b">
        <v>0</v>
      </c>
      <c r="H1000" s="142" t="b">
        <v>0</v>
      </c>
      <c r="I1000" s="142" t="b">
        <v>0</v>
      </c>
      <c r="J1000" s="142" t="b">
        <v>0</v>
      </c>
      <c r="K1000" s="142" t="b">
        <v>0</v>
      </c>
      <c r="L1000" s="8" t="b">
        <v>0</v>
      </c>
    </row>
    <row r="1001">
      <c r="B1001" s="103"/>
      <c r="C1001" s="121" t="str">
        <f t="array" ref="C1001">ifs(and(isblank($A1001),isblank($B1001)),"", not(iserror(vlookup($A1001&amp;$B1001,'5) Release_Track'!$F:$F&amp;'5) Release_Track'!$G:$G,1,0))),vlookup($A1001&amp;$B1001,{'5) Release_Track'!$F:$F&amp;'5) Release_Track'!$G:$G,'5) Release_Track'!$H:$H},2,0), or(and(not(isblank($B1001)),$B1001=$B1000,$A1001&lt;&gt;$A1000),and(not(isblank($A1001)),$A1001=$A1000,$B1001&lt;&gt;$B1000)),"ID LISTS UNALIGNED",and($A1001&lt;&gt;"",countif('5) Release_Track'!$F:$F,$A1001)=0),"NO ISRC MATCH in Release_Track",and($B1001&lt;&gt;"",countif('5) Release_Track'!$G:$G,$B1001)=0),"NO CATALOG ID MATCH in Release_Track",iserror(vlookup($A1001&amp;$B1001,'5) Release_Track'!$F:$F&amp;'5) Release_Track'!$G:$G,1,0)),"NO ISRC-CATALOG ID pair MATCH in Release_Track" )</f>
        <v/>
      </c>
      <c r="D1001" s="121" t="str">
        <f t="array" ref="D1001">ifs(and(isblank($A1001),isblank($B1001)),"", not(iserror(vlookup($A1001&amp;$B1001,'5) Release_Track'!$F:$F&amp;'5) Release_Track'!$G:$G,1,0))),vlookup($A1001&amp;$B1001,{'5) Release_Track'!$F:$F&amp;'5) Release_Track'!$G:$G,'5) Release_Track'!$I:$I},2,0), or(and(not(isblank($B1001)),$B1001=$B1000,$A1001&lt;&gt;$A1000),and(not(isblank($A1001)),$A1001=$A1000,$B1001&lt;&gt;$B1000)),"ID LISTS UNALIGNED",and($A1001&lt;&gt;"",countif('5) Release_Track'!$F:$F,$A1001)=0),"NO ISRC MATCH in Release_Track",and($B1001&lt;&gt;"",countif('5) Release_Track'!$G:$G,$B1001)=0),"NO CATALOG ID MATCH in Release_Track",iserror(vlookup($A1001&amp;$B1001,'5) Release_Track'!$F:$F&amp;'5) Release_Track'!$G:$G,1,0)),"NO ISRC-CATALOG ID pair MATCH in Release_Track" )</f>
        <v/>
      </c>
      <c r="E1001" s="142" t="b">
        <v>0</v>
      </c>
      <c r="F1001" s="142" t="b">
        <v>0</v>
      </c>
      <c r="G1001" s="142" t="b">
        <v>0</v>
      </c>
      <c r="H1001" s="142" t="b">
        <v>0</v>
      </c>
      <c r="I1001" s="142" t="b">
        <v>0</v>
      </c>
      <c r="J1001" s="142" t="b">
        <v>0</v>
      </c>
      <c r="K1001" s="142" t="b">
        <v>0</v>
      </c>
      <c r="L1001" s="8" t="b">
        <v>0</v>
      </c>
    </row>
    <row r="1002">
      <c r="B1002" s="103"/>
      <c r="C1002" s="121" t="str">
        <f t="array" ref="C1002">ifs(and(isblank($A1002),isblank($B1002)),"", not(iserror(vlookup($A1002&amp;$B1002,'5) Release_Track'!$F:$F&amp;'5) Release_Track'!$G:$G,1,0))),vlookup($A1002&amp;$B1002,{'5) Release_Track'!$F:$F&amp;'5) Release_Track'!$G:$G,'5) Release_Track'!$H:$H},2,0), or(and(not(isblank($B1002)),$B1002=$B1001,$A1002&lt;&gt;$A1001),and(not(isblank($A1002)),$A1002=$A1001,$B1002&lt;&gt;$B1001)),"ID LISTS UNALIGNED",and($A1002&lt;&gt;"",countif('5) Release_Track'!$F:$F,$A1002)=0),"NO ISRC MATCH in Release_Track",and($B1002&lt;&gt;"",countif('5) Release_Track'!$G:$G,$B1002)=0),"NO CATALOG ID MATCH in Release_Track",iserror(vlookup($A1002&amp;$B1002,'5) Release_Track'!$F:$F&amp;'5) Release_Track'!$G:$G,1,0)),"NO ISRC-CATALOG ID pair MATCH in Release_Track" )</f>
        <v/>
      </c>
      <c r="D1002" s="121" t="str">
        <f t="array" ref="D1002">ifs(and(isblank($A1002),isblank($B1002)),"", not(iserror(vlookup($A1002&amp;$B1002,'5) Release_Track'!$F:$F&amp;'5) Release_Track'!$G:$G,1,0))),vlookup($A1002&amp;$B1002,{'5) Release_Track'!$F:$F&amp;'5) Release_Track'!$G:$G,'5) Release_Track'!$I:$I},2,0), or(and(not(isblank($B1002)),$B1002=$B1001,$A1002&lt;&gt;$A1001),and(not(isblank($A1002)),$A1002=$A1001,$B1002&lt;&gt;$B1001)),"ID LISTS UNALIGNED",and($A1002&lt;&gt;"",countif('5) Release_Track'!$F:$F,$A1002)=0),"NO ISRC MATCH in Release_Track",and($B1002&lt;&gt;"",countif('5) Release_Track'!$G:$G,$B1002)=0),"NO CATALOG ID MATCH in Release_Track",iserror(vlookup($A1002&amp;$B1002,'5) Release_Track'!$F:$F&amp;'5) Release_Track'!$G:$G,1,0)),"NO ISRC-CATALOG ID pair MATCH in Release_Track" )</f>
        <v/>
      </c>
      <c r="E1002" s="142" t="b">
        <v>0</v>
      </c>
      <c r="F1002" s="142" t="b">
        <v>0</v>
      </c>
      <c r="G1002" s="142" t="b">
        <v>0</v>
      </c>
      <c r="H1002" s="142" t="b">
        <v>0</v>
      </c>
      <c r="I1002" s="142" t="b">
        <v>0</v>
      </c>
      <c r="J1002" s="142" t="b">
        <v>0</v>
      </c>
      <c r="K1002" s="142" t="b">
        <v>0</v>
      </c>
      <c r="L1002" s="8" t="b">
        <v>0</v>
      </c>
    </row>
    <row r="1003">
      <c r="B1003" s="103"/>
      <c r="C1003" s="121" t="str">
        <f t="array" ref="C1003">ifs(and(isblank($A1003),isblank($B1003)),"", not(iserror(vlookup($A1003&amp;$B1003,'5) Release_Track'!$F:$F&amp;'5) Release_Track'!$G:$G,1,0))),vlookup($A1003&amp;$B1003,{'5) Release_Track'!$F:$F&amp;'5) Release_Track'!$G:$G,'5) Release_Track'!$H:$H},2,0), or(and(not(isblank($B1003)),$B1003=$B1002,$A1003&lt;&gt;$A1002),and(not(isblank($A1003)),$A1003=$A1002,$B1003&lt;&gt;$B1002)),"ID LISTS UNALIGNED",and($A1003&lt;&gt;"",countif('5) Release_Track'!$F:$F,$A1003)=0),"NO ISRC MATCH in Release_Track",and($B1003&lt;&gt;"",countif('5) Release_Track'!$G:$G,$B1003)=0),"NO CATALOG ID MATCH in Release_Track",iserror(vlookup($A1003&amp;$B1003,'5) Release_Track'!$F:$F&amp;'5) Release_Track'!$G:$G,1,0)),"NO ISRC-CATALOG ID pair MATCH in Release_Track" )</f>
        <v/>
      </c>
      <c r="D1003" s="121" t="str">
        <f t="array" ref="D1003">ifs(and(isblank($A1003),isblank($B1003)),"", not(iserror(vlookup($A1003&amp;$B1003,'5) Release_Track'!$F:$F&amp;'5) Release_Track'!$G:$G,1,0))),vlookup($A1003&amp;$B1003,{'5) Release_Track'!$F:$F&amp;'5) Release_Track'!$G:$G,'5) Release_Track'!$I:$I},2,0), or(and(not(isblank($B1003)),$B1003=$B1002,$A1003&lt;&gt;$A1002),and(not(isblank($A1003)),$A1003=$A1002,$B1003&lt;&gt;$B1002)),"ID LISTS UNALIGNED",and($A1003&lt;&gt;"",countif('5) Release_Track'!$F:$F,$A1003)=0),"NO ISRC MATCH in Release_Track",and($B1003&lt;&gt;"",countif('5) Release_Track'!$G:$G,$B1003)=0),"NO CATALOG ID MATCH in Release_Track",iserror(vlookup($A1003&amp;$B1003,'5) Release_Track'!$F:$F&amp;'5) Release_Track'!$G:$G,1,0)),"NO ISRC-CATALOG ID pair MATCH in Release_Track" )</f>
        <v/>
      </c>
      <c r="E1003" s="142" t="b">
        <v>0</v>
      </c>
      <c r="F1003" s="142" t="b">
        <v>0</v>
      </c>
      <c r="G1003" s="142" t="b">
        <v>0</v>
      </c>
      <c r="H1003" s="142" t="b">
        <v>0</v>
      </c>
      <c r="I1003" s="142" t="b">
        <v>0</v>
      </c>
      <c r="J1003" s="142" t="b">
        <v>0</v>
      </c>
      <c r="K1003" s="142" t="b">
        <v>0</v>
      </c>
      <c r="L1003" s="8" t="b">
        <v>0</v>
      </c>
    </row>
  </sheetData>
  <mergeCells count="1">
    <mergeCell ref="C4:D4"/>
  </mergeCells>
  <conditionalFormatting sqref="A1:B1">
    <cfRule type="cellIs" dxfId="3" priority="1" operator="notEqual">
      <formula>0</formula>
    </cfRule>
  </conditionalFormatting>
  <conditionalFormatting sqref="A5:A1003">
    <cfRule type="expression" dxfId="5" priority="2">
      <formula>and(A5&lt;&gt;"",B5&lt;&gt;"",countif(A:A,A5)&lt;&gt;countif(B:B,B5))</formula>
    </cfRule>
  </conditionalFormatting>
  <conditionalFormatting sqref="B5:B1003">
    <cfRule type="expression" dxfId="5" priority="3">
      <formula>and(A5&lt;&gt;"",B5&lt;&gt;"",countif(A:A,A5)&lt;&gt;countif(B:B,B5))</formula>
    </cfRule>
  </conditionalFormatting>
  <conditionalFormatting sqref="E5:K1003">
    <cfRule type="expression" dxfId="9" priority="4">
      <formula>$L5=true</formula>
    </cfRule>
  </conditionalFormatting>
  <conditionalFormatting sqref="L5:L1003">
    <cfRule type="expression" dxfId="9" priority="5">
      <formula>OR($E5:$K5)</formula>
    </cfRule>
  </conditionalFormatting>
  <dataValidations>
    <dataValidation type="custom" allowBlank="1" showDropDown="1" showInputMessage="1" showErrorMessage="1" prompt="Enter a value that satisfies the formula: =and(regexmatch(B5,&quot;^[a-zA-Z0-9]*$&quot;), len(B5)&gt;=3, len(B5)&lt;=20)" sqref="B5:B1003">
      <formula1>and(regexmatch(B5,"^[a-zA-Z0-9]*$"), len(B5)&gt;=3, len(B5)&lt;=20)</formula1>
    </dataValidation>
  </dataValidation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711EA"/>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0.38"/>
    <col customWidth="1" min="2" max="2" width="30.38"/>
    <col customWidth="1" min="3" max="3" width="29.38"/>
    <col customWidth="1" min="4" max="10" width="12.13"/>
    <col customWidth="1" min="11" max="11" width="21.75"/>
    <col customWidth="1" min="12" max="12" width="10.63"/>
    <col customWidth="1" min="13" max="13" width="11.25"/>
    <col customWidth="1" min="14" max="14" width="11.38"/>
    <col customWidth="1" min="15" max="15" width="27.0"/>
    <col customWidth="1" min="16" max="18" width="20.0"/>
    <col customWidth="1" min="19" max="20" width="12.13"/>
  </cols>
  <sheetData>
    <row r="1">
      <c r="A1" s="181"/>
      <c r="B1" s="182"/>
      <c r="D1" s="183"/>
      <c r="E1" s="183"/>
      <c r="G1" s="184" t="s">
        <v>583</v>
      </c>
      <c r="H1" s="185"/>
      <c r="I1" s="185"/>
      <c r="J1" s="186">
        <f>IFERROR(__xludf.DUMMYFUNCTION("COUNTUNIQUE((J3:J430))"),403.0)</f>
        <v>403</v>
      </c>
      <c r="K1" s="186">
        <f>IFERROR(__xludf.DUMMYFUNCTION("COUNTUNIQUE((K3:K430))"),191.0)</f>
        <v>191</v>
      </c>
      <c r="L1" s="187"/>
      <c r="M1" s="187"/>
      <c r="N1" s="187"/>
      <c r="O1" s="187"/>
      <c r="P1" s="187"/>
      <c r="Q1" s="186">
        <f>IFERROR(__xludf.DUMMYFUNCTION("COUNTUNIQUE((Q3:Q430))"),10.0)</f>
        <v>10</v>
      </c>
      <c r="R1" s="186">
        <f>IFERROR(__xludf.DUMMYFUNCTION("COUNTUNIQUE((R3:R430))"),7.0)</f>
        <v>7</v>
      </c>
      <c r="S1" s="188"/>
      <c r="T1" s="186">
        <f>IFERROR(__xludf.DUMMYFUNCTION("COUNTUNIQUE((T3:T430))"),255.0)</f>
        <v>255</v>
      </c>
    </row>
    <row r="2">
      <c r="B2" s="182"/>
      <c r="D2" s="183"/>
      <c r="E2" s="183"/>
      <c r="G2" s="189" t="s">
        <v>151</v>
      </c>
      <c r="H2" s="190" t="s">
        <v>584</v>
      </c>
      <c r="I2" s="191" t="s">
        <v>585</v>
      </c>
      <c r="J2" s="192" t="s">
        <v>317</v>
      </c>
      <c r="K2" s="193" t="s">
        <v>586</v>
      </c>
      <c r="L2" s="194" t="s">
        <v>587</v>
      </c>
      <c r="M2" s="194" t="s">
        <v>588</v>
      </c>
      <c r="N2" s="194" t="s">
        <v>589</v>
      </c>
      <c r="O2" s="189" t="s">
        <v>590</v>
      </c>
      <c r="P2" s="192" t="s">
        <v>591</v>
      </c>
      <c r="Q2" s="192" t="s">
        <v>592</v>
      </c>
      <c r="R2" s="192" t="s">
        <v>593</v>
      </c>
      <c r="S2" s="195" t="s">
        <v>594</v>
      </c>
      <c r="T2" s="195" t="s">
        <v>595</v>
      </c>
    </row>
    <row r="3">
      <c r="A3" s="196" t="s">
        <v>596</v>
      </c>
      <c r="B3" s="197"/>
      <c r="C3" s="197"/>
      <c r="D3" s="197"/>
      <c r="E3" s="197"/>
      <c r="G3" s="198" t="s">
        <v>597</v>
      </c>
      <c r="H3" s="199" t="s">
        <v>598</v>
      </c>
      <c r="I3" s="200">
        <v>70.0</v>
      </c>
      <c r="J3" s="201" t="s">
        <v>323</v>
      </c>
      <c r="K3" s="202" t="s">
        <v>599</v>
      </c>
      <c r="L3" s="203">
        <v>66.0</v>
      </c>
      <c r="M3" s="47" t="s">
        <v>600</v>
      </c>
      <c r="N3" s="100">
        <v>2.0</v>
      </c>
      <c r="O3" s="47" t="s">
        <v>601</v>
      </c>
      <c r="P3" s="100">
        <v>1.0</v>
      </c>
      <c r="Q3" s="47" t="s">
        <v>602</v>
      </c>
      <c r="R3" s="202" t="s">
        <v>603</v>
      </c>
      <c r="S3" s="34" t="s">
        <v>357</v>
      </c>
      <c r="T3" s="34" t="s">
        <v>604</v>
      </c>
    </row>
    <row r="4">
      <c r="A4" s="204" t="s">
        <v>605</v>
      </c>
      <c r="B4" s="205"/>
      <c r="C4" s="205"/>
      <c r="D4" s="205"/>
      <c r="E4" s="205"/>
      <c r="G4" s="206" t="s">
        <v>606</v>
      </c>
      <c r="H4" s="199" t="s">
        <v>607</v>
      </c>
      <c r="I4" s="200">
        <v>255.0</v>
      </c>
      <c r="J4" s="207" t="s">
        <v>608</v>
      </c>
      <c r="K4" s="202" t="s">
        <v>609</v>
      </c>
      <c r="L4" s="203">
        <v>67.0</v>
      </c>
      <c r="M4" s="47" t="s">
        <v>356</v>
      </c>
      <c r="N4" s="100">
        <v>1.0</v>
      </c>
      <c r="O4" s="47" t="s">
        <v>571</v>
      </c>
      <c r="P4" s="203">
        <v>2.0</v>
      </c>
      <c r="Q4" s="202" t="s">
        <v>610</v>
      </c>
      <c r="R4" s="202" t="s">
        <v>611</v>
      </c>
      <c r="S4" s="208" t="s">
        <v>612</v>
      </c>
      <c r="T4" s="208" t="s">
        <v>613</v>
      </c>
    </row>
    <row r="5">
      <c r="A5" s="209" t="s">
        <v>614</v>
      </c>
      <c r="C5" s="210" t="s">
        <v>615</v>
      </c>
      <c r="E5" s="205"/>
      <c r="G5" s="206" t="s">
        <v>616</v>
      </c>
      <c r="H5" s="199" t="s">
        <v>617</v>
      </c>
      <c r="I5" s="200">
        <v>229.0</v>
      </c>
      <c r="J5" s="201" t="s">
        <v>324</v>
      </c>
      <c r="K5" s="202" t="s">
        <v>618</v>
      </c>
      <c r="L5" s="203">
        <v>4.0</v>
      </c>
      <c r="M5" s="47" t="s">
        <v>619</v>
      </c>
      <c r="N5" s="100">
        <v>3.0</v>
      </c>
      <c r="O5" s="47" t="s">
        <v>620</v>
      </c>
      <c r="P5" s="203">
        <v>3.0</v>
      </c>
      <c r="Q5" s="202" t="s">
        <v>570</v>
      </c>
      <c r="R5" s="202" t="s">
        <v>621</v>
      </c>
      <c r="S5" s="208" t="s">
        <v>622</v>
      </c>
      <c r="T5" s="208" t="s">
        <v>623</v>
      </c>
    </row>
    <row r="6">
      <c r="A6" s="211" t="s">
        <v>624</v>
      </c>
      <c r="B6" s="211" t="s">
        <v>625</v>
      </c>
      <c r="C6" s="211" t="s">
        <v>624</v>
      </c>
      <c r="D6" s="211" t="s">
        <v>625</v>
      </c>
      <c r="E6" s="205"/>
      <c r="G6" s="202" t="s">
        <v>626</v>
      </c>
      <c r="H6" s="199" t="s">
        <v>627</v>
      </c>
      <c r="I6" s="200">
        <v>292.0</v>
      </c>
      <c r="J6" s="202" t="s">
        <v>331</v>
      </c>
      <c r="K6" s="212" t="s">
        <v>628</v>
      </c>
      <c r="L6" s="213">
        <v>68.0</v>
      </c>
      <c r="M6" s="34" t="s">
        <v>629</v>
      </c>
      <c r="N6" s="214">
        <v>0.0</v>
      </c>
      <c r="O6" s="34"/>
      <c r="P6" s="47"/>
      <c r="Q6" s="215" t="s">
        <v>572</v>
      </c>
      <c r="R6" s="202" t="s">
        <v>630</v>
      </c>
      <c r="S6" s="34"/>
      <c r="T6" s="208" t="s">
        <v>631</v>
      </c>
    </row>
    <row r="7">
      <c r="A7" s="216" t="s">
        <v>627</v>
      </c>
      <c r="B7" s="216" t="s">
        <v>632</v>
      </c>
      <c r="C7" s="216" t="s">
        <v>617</v>
      </c>
      <c r="D7" s="216" t="s">
        <v>44</v>
      </c>
      <c r="E7" s="205"/>
      <c r="G7" s="202" t="s">
        <v>633</v>
      </c>
      <c r="H7" s="199" t="s">
        <v>634</v>
      </c>
      <c r="I7" s="200">
        <v>554.0</v>
      </c>
      <c r="J7" s="202" t="s">
        <v>635</v>
      </c>
      <c r="K7" s="212" t="s">
        <v>636</v>
      </c>
      <c r="L7" s="213">
        <v>69.0</v>
      </c>
      <c r="M7" s="34"/>
      <c r="N7" s="34"/>
      <c r="O7" s="34"/>
      <c r="P7" s="47"/>
      <c r="Q7" s="215" t="s">
        <v>637</v>
      </c>
      <c r="R7" s="202" t="s">
        <v>638</v>
      </c>
      <c r="S7" s="34"/>
      <c r="T7" s="208" t="s">
        <v>639</v>
      </c>
    </row>
    <row r="8">
      <c r="A8" s="216" t="s">
        <v>640</v>
      </c>
      <c r="B8" s="216" t="s">
        <v>641</v>
      </c>
      <c r="C8" s="216" t="s">
        <v>642</v>
      </c>
      <c r="D8" s="216" t="s">
        <v>643</v>
      </c>
      <c r="E8" s="205"/>
      <c r="F8" s="205"/>
      <c r="G8" s="34"/>
      <c r="H8" s="199" t="s">
        <v>644</v>
      </c>
      <c r="I8" s="200">
        <v>555.0</v>
      </c>
      <c r="J8" s="47" t="s">
        <v>325</v>
      </c>
      <c r="K8" s="202" t="s">
        <v>645</v>
      </c>
      <c r="L8" s="203">
        <v>61.0</v>
      </c>
      <c r="M8" s="34"/>
      <c r="N8" s="34"/>
      <c r="O8" s="34"/>
      <c r="P8" s="47"/>
      <c r="Q8" s="202" t="s">
        <v>646</v>
      </c>
      <c r="R8" s="202" t="s">
        <v>647</v>
      </c>
      <c r="S8" s="34"/>
      <c r="T8" s="208" t="s">
        <v>648</v>
      </c>
    </row>
    <row r="9">
      <c r="A9" s="216" t="s">
        <v>649</v>
      </c>
      <c r="B9" s="216" t="s">
        <v>650</v>
      </c>
      <c r="C9" s="216" t="s">
        <v>651</v>
      </c>
      <c r="D9" s="216" t="s">
        <v>652</v>
      </c>
      <c r="E9" s="205"/>
      <c r="F9" s="205"/>
      <c r="G9" s="34"/>
      <c r="H9" s="199" t="s">
        <v>618</v>
      </c>
      <c r="I9" s="200">
        <v>293.0</v>
      </c>
      <c r="J9" s="217" t="s">
        <v>653</v>
      </c>
      <c r="K9" s="202" t="s">
        <v>654</v>
      </c>
      <c r="L9" s="203">
        <v>5.0</v>
      </c>
      <c r="M9" s="34"/>
      <c r="N9" s="34"/>
      <c r="O9" s="34"/>
      <c r="P9" s="47"/>
      <c r="Q9" s="202" t="s">
        <v>655</v>
      </c>
      <c r="R9" s="202" t="s">
        <v>656</v>
      </c>
      <c r="S9" s="34"/>
      <c r="T9" s="208" t="s">
        <v>657</v>
      </c>
    </row>
    <row r="10">
      <c r="A10" s="216" t="s">
        <v>654</v>
      </c>
      <c r="B10" s="216" t="s">
        <v>658</v>
      </c>
      <c r="C10" s="216" t="s">
        <v>659</v>
      </c>
      <c r="D10" s="216" t="s">
        <v>660</v>
      </c>
      <c r="E10" s="205"/>
      <c r="F10" s="205"/>
      <c r="G10" s="34"/>
      <c r="H10" s="199" t="s">
        <v>661</v>
      </c>
      <c r="I10" s="200">
        <v>350.0</v>
      </c>
      <c r="J10" s="202" t="s">
        <v>326</v>
      </c>
      <c r="K10" s="202" t="s">
        <v>662</v>
      </c>
      <c r="L10" s="203">
        <v>70.0</v>
      </c>
      <c r="M10" s="34"/>
      <c r="N10" s="34"/>
      <c r="O10" s="34"/>
      <c r="P10" s="47"/>
      <c r="Q10" s="47" t="s">
        <v>663</v>
      </c>
      <c r="R10" s="47"/>
      <c r="S10" s="34"/>
      <c r="T10" s="208" t="s">
        <v>664</v>
      </c>
    </row>
    <row r="11">
      <c r="A11" s="216" t="s">
        <v>665</v>
      </c>
      <c r="B11" s="216" t="s">
        <v>666</v>
      </c>
      <c r="C11" s="216" t="s">
        <v>667</v>
      </c>
      <c r="D11" s="216" t="s">
        <v>668</v>
      </c>
      <c r="E11" s="205"/>
      <c r="F11" s="205"/>
      <c r="G11" s="34"/>
      <c r="H11" s="199" t="s">
        <v>669</v>
      </c>
      <c r="I11" s="200">
        <v>409.0</v>
      </c>
      <c r="J11" s="202" t="s">
        <v>670</v>
      </c>
      <c r="K11" s="202" t="s">
        <v>671</v>
      </c>
      <c r="L11" s="203">
        <v>71.0</v>
      </c>
      <c r="M11" s="34"/>
      <c r="N11" s="34"/>
      <c r="O11" s="34"/>
      <c r="P11" s="47"/>
      <c r="Q11" s="47" t="s">
        <v>672</v>
      </c>
      <c r="R11" s="47"/>
      <c r="S11" s="34"/>
      <c r="T11" s="208" t="s">
        <v>673</v>
      </c>
    </row>
    <row r="12">
      <c r="A12" s="216" t="s">
        <v>674</v>
      </c>
      <c r="B12" s="216" t="s">
        <v>675</v>
      </c>
      <c r="C12" s="216" t="s">
        <v>676</v>
      </c>
      <c r="D12" s="216" t="s">
        <v>44</v>
      </c>
      <c r="E12" s="205"/>
      <c r="F12" s="205"/>
      <c r="G12" s="34"/>
      <c r="H12" s="199" t="s">
        <v>677</v>
      </c>
      <c r="I12" s="200">
        <v>294.0</v>
      </c>
      <c r="J12" s="202" t="s">
        <v>678</v>
      </c>
      <c r="K12" s="202" t="s">
        <v>679</v>
      </c>
      <c r="L12" s="203">
        <v>72.0</v>
      </c>
      <c r="M12" s="34"/>
      <c r="N12" s="34"/>
      <c r="O12" s="34"/>
      <c r="P12" s="47"/>
      <c r="Q12" s="34" t="s">
        <v>680</v>
      </c>
      <c r="R12" s="47"/>
      <c r="S12" s="34"/>
      <c r="T12" s="208" t="s">
        <v>681</v>
      </c>
    </row>
    <row r="13">
      <c r="A13" s="216" t="s">
        <v>682</v>
      </c>
      <c r="B13" s="216" t="s">
        <v>683</v>
      </c>
      <c r="C13" s="216" t="s">
        <v>684</v>
      </c>
      <c r="D13" s="216" t="s">
        <v>44</v>
      </c>
      <c r="E13" s="205"/>
      <c r="F13" s="205"/>
      <c r="G13" s="34"/>
      <c r="H13" s="199" t="s">
        <v>685</v>
      </c>
      <c r="I13" s="200">
        <v>295.0</v>
      </c>
      <c r="J13" s="208" t="s">
        <v>686</v>
      </c>
      <c r="K13" s="202" t="s">
        <v>687</v>
      </c>
      <c r="L13" s="203">
        <v>73.0</v>
      </c>
      <c r="M13" s="34"/>
      <c r="N13" s="34"/>
      <c r="O13" s="34"/>
      <c r="P13" s="34"/>
      <c r="Q13" s="47"/>
      <c r="R13" s="205"/>
      <c r="S13" s="205"/>
      <c r="T13" s="208" t="s">
        <v>688</v>
      </c>
    </row>
    <row r="14">
      <c r="A14" s="216" t="s">
        <v>689</v>
      </c>
      <c r="B14" s="216" t="s">
        <v>690</v>
      </c>
      <c r="C14" s="216" t="s">
        <v>691</v>
      </c>
      <c r="D14" s="216" t="s">
        <v>44</v>
      </c>
      <c r="E14" s="205"/>
      <c r="F14" s="205"/>
      <c r="G14" s="34"/>
      <c r="H14" s="199" t="s">
        <v>692</v>
      </c>
      <c r="I14" s="200">
        <v>556.0</v>
      </c>
      <c r="J14" s="208" t="s">
        <v>693</v>
      </c>
      <c r="K14" s="202" t="s">
        <v>694</v>
      </c>
      <c r="L14" s="203">
        <v>74.0</v>
      </c>
      <c r="M14" s="34"/>
      <c r="N14" s="34"/>
      <c r="O14" s="34"/>
      <c r="P14" s="34"/>
      <c r="Q14" s="47"/>
      <c r="R14" s="205"/>
      <c r="S14" s="205"/>
      <c r="T14" s="208" t="s">
        <v>695</v>
      </c>
    </row>
    <row r="15">
      <c r="A15" s="216" t="s">
        <v>696</v>
      </c>
      <c r="B15" s="216" t="s">
        <v>697</v>
      </c>
      <c r="C15" s="216" t="s">
        <v>698</v>
      </c>
      <c r="D15" s="216" t="s">
        <v>699</v>
      </c>
      <c r="E15" s="205"/>
      <c r="F15" s="205"/>
      <c r="G15" s="34"/>
      <c r="H15" s="199" t="s">
        <v>700</v>
      </c>
      <c r="I15" s="200">
        <v>557.0</v>
      </c>
      <c r="J15" s="208" t="s">
        <v>701</v>
      </c>
      <c r="K15" s="202" t="s">
        <v>702</v>
      </c>
      <c r="L15" s="203">
        <v>75.0</v>
      </c>
      <c r="M15" s="34"/>
      <c r="N15" s="34"/>
      <c r="O15" s="34"/>
      <c r="P15" s="34"/>
      <c r="Q15" s="34"/>
      <c r="R15" s="205"/>
      <c r="S15" s="205"/>
      <c r="T15" s="208" t="s">
        <v>703</v>
      </c>
    </row>
    <row r="16">
      <c r="A16" s="216" t="s">
        <v>704</v>
      </c>
      <c r="B16" s="216" t="s">
        <v>705</v>
      </c>
      <c r="C16" s="216" t="s">
        <v>706</v>
      </c>
      <c r="D16" s="216" t="s">
        <v>44</v>
      </c>
      <c r="E16" s="205"/>
      <c r="F16" s="205"/>
      <c r="G16" s="34"/>
      <c r="H16" s="199" t="s">
        <v>707</v>
      </c>
      <c r="I16" s="200">
        <v>410.0</v>
      </c>
      <c r="J16" s="208" t="s">
        <v>708</v>
      </c>
      <c r="K16" s="202" t="s">
        <v>709</v>
      </c>
      <c r="L16" s="203">
        <v>76.0</v>
      </c>
      <c r="M16" s="34"/>
      <c r="N16" s="34"/>
      <c r="O16" s="34"/>
      <c r="P16" s="34"/>
      <c r="Q16" s="34"/>
      <c r="R16" s="205"/>
      <c r="S16" s="205"/>
      <c r="T16" s="208" t="s">
        <v>710</v>
      </c>
    </row>
    <row r="17">
      <c r="A17" s="216" t="s">
        <v>711</v>
      </c>
      <c r="B17" s="216" t="s">
        <v>712</v>
      </c>
      <c r="C17" s="216" t="s">
        <v>713</v>
      </c>
      <c r="D17" s="216" t="s">
        <v>44</v>
      </c>
      <c r="E17" s="205"/>
      <c r="F17" s="205"/>
      <c r="G17" s="34"/>
      <c r="H17" s="199" t="s">
        <v>714</v>
      </c>
      <c r="I17" s="200">
        <v>558.0</v>
      </c>
      <c r="J17" s="208" t="s">
        <v>715</v>
      </c>
      <c r="K17" s="202" t="s">
        <v>716</v>
      </c>
      <c r="L17" s="203">
        <v>77.0</v>
      </c>
      <c r="M17" s="34"/>
      <c r="N17" s="34"/>
      <c r="O17" s="34"/>
      <c r="P17" s="34"/>
      <c r="Q17" s="34"/>
      <c r="R17" s="205"/>
      <c r="S17" s="205"/>
      <c r="T17" s="208" t="s">
        <v>717</v>
      </c>
    </row>
    <row r="18">
      <c r="A18" s="216" t="s">
        <v>595</v>
      </c>
      <c r="B18" s="216" t="s">
        <v>718</v>
      </c>
      <c r="C18" s="216" t="s">
        <v>719</v>
      </c>
      <c r="D18" s="216" t="s">
        <v>44</v>
      </c>
      <c r="E18" s="205"/>
      <c r="F18" s="205"/>
      <c r="G18" s="34"/>
      <c r="H18" s="199" t="s">
        <v>640</v>
      </c>
      <c r="I18" s="200">
        <v>25.0</v>
      </c>
      <c r="J18" s="208" t="s">
        <v>720</v>
      </c>
      <c r="K18" s="202" t="s">
        <v>721</v>
      </c>
      <c r="L18" s="203">
        <v>78.0</v>
      </c>
      <c r="M18" s="34"/>
      <c r="N18" s="34"/>
      <c r="O18" s="34"/>
      <c r="P18" s="34"/>
      <c r="Q18" s="34"/>
      <c r="R18" s="205"/>
      <c r="S18" s="205"/>
      <c r="T18" s="208" t="s">
        <v>722</v>
      </c>
    </row>
    <row r="19">
      <c r="A19" s="216" t="s">
        <v>723</v>
      </c>
      <c r="B19" s="216" t="s">
        <v>724</v>
      </c>
      <c r="C19" s="216" t="s">
        <v>725</v>
      </c>
      <c r="D19" s="216" t="s">
        <v>44</v>
      </c>
      <c r="E19" s="205"/>
      <c r="F19" s="205"/>
      <c r="G19" s="34"/>
      <c r="H19" s="199" t="s">
        <v>726</v>
      </c>
      <c r="I19" s="200">
        <v>216.0</v>
      </c>
      <c r="J19" s="208" t="s">
        <v>727</v>
      </c>
      <c r="K19" s="202" t="s">
        <v>728</v>
      </c>
      <c r="L19" s="203">
        <v>79.0</v>
      </c>
      <c r="M19" s="34"/>
      <c r="N19" s="34"/>
      <c r="O19" s="34"/>
      <c r="P19" s="34"/>
      <c r="Q19" s="34"/>
      <c r="R19" s="205"/>
      <c r="S19" s="205"/>
      <c r="T19" s="208" t="s">
        <v>729</v>
      </c>
    </row>
    <row r="20">
      <c r="A20" s="216" t="s">
        <v>730</v>
      </c>
      <c r="B20" s="216" t="s">
        <v>731</v>
      </c>
      <c r="C20" s="216" t="s">
        <v>732</v>
      </c>
      <c r="D20" s="216" t="s">
        <v>44</v>
      </c>
      <c r="E20" s="205"/>
      <c r="F20" s="205"/>
      <c r="G20" s="34"/>
      <c r="H20" s="199" t="s">
        <v>733</v>
      </c>
      <c r="I20" s="200">
        <v>132.0</v>
      </c>
      <c r="J20" s="208" t="s">
        <v>734</v>
      </c>
      <c r="K20" s="202" t="s">
        <v>735</v>
      </c>
      <c r="L20" s="203">
        <v>80.0</v>
      </c>
      <c r="M20" s="34"/>
      <c r="N20" s="34"/>
      <c r="O20" s="34"/>
      <c r="P20" s="34"/>
      <c r="Q20" s="34"/>
      <c r="R20" s="205"/>
      <c r="S20" s="205"/>
      <c r="T20" s="208" t="s">
        <v>736</v>
      </c>
    </row>
    <row r="21">
      <c r="A21" s="216" t="s">
        <v>737</v>
      </c>
      <c r="B21" s="216" t="s">
        <v>44</v>
      </c>
      <c r="C21" s="216" t="s">
        <v>738</v>
      </c>
      <c r="D21" s="216" t="s">
        <v>44</v>
      </c>
      <c r="E21" s="205"/>
      <c r="F21" s="205"/>
      <c r="G21" s="34"/>
      <c r="H21" s="199" t="s">
        <v>739</v>
      </c>
      <c r="I21" s="200">
        <v>275.0</v>
      </c>
      <c r="J21" s="208" t="s">
        <v>740</v>
      </c>
      <c r="K21" s="202" t="s">
        <v>741</v>
      </c>
      <c r="L21" s="203">
        <v>53.0</v>
      </c>
      <c r="M21" s="34"/>
      <c r="N21" s="34"/>
      <c r="O21" s="34"/>
      <c r="P21" s="34"/>
      <c r="Q21" s="34"/>
      <c r="R21" s="205"/>
      <c r="S21" s="205"/>
      <c r="T21" s="208" t="s">
        <v>742</v>
      </c>
    </row>
    <row r="22">
      <c r="A22" s="216" t="s">
        <v>743</v>
      </c>
      <c r="B22" s="216" t="s">
        <v>44</v>
      </c>
      <c r="C22" s="216" t="s">
        <v>744</v>
      </c>
      <c r="D22" s="216" t="s">
        <v>44</v>
      </c>
      <c r="E22" s="205"/>
      <c r="F22" s="205"/>
      <c r="G22" s="34"/>
      <c r="H22" s="199" t="s">
        <v>745</v>
      </c>
      <c r="I22" s="200">
        <v>159.0</v>
      </c>
      <c r="J22" s="208" t="s">
        <v>746</v>
      </c>
      <c r="K22" s="202" t="s">
        <v>747</v>
      </c>
      <c r="L22" s="203">
        <v>195.0</v>
      </c>
      <c r="M22" s="34"/>
      <c r="N22" s="34"/>
      <c r="O22" s="34"/>
      <c r="P22" s="34"/>
      <c r="Q22" s="34"/>
      <c r="R22" s="205"/>
      <c r="S22" s="205"/>
      <c r="T22" s="208" t="s">
        <v>748</v>
      </c>
    </row>
    <row r="23">
      <c r="A23" s="216" t="s">
        <v>749</v>
      </c>
      <c r="B23" s="216" t="s">
        <v>750</v>
      </c>
      <c r="C23" s="216" t="s">
        <v>751</v>
      </c>
      <c r="D23" s="216" t="s">
        <v>752</v>
      </c>
      <c r="E23" s="205"/>
      <c r="F23" s="205"/>
      <c r="G23" s="34"/>
      <c r="H23" s="199" t="s">
        <v>753</v>
      </c>
      <c r="I23" s="200">
        <v>551.0</v>
      </c>
      <c r="J23" s="208" t="s">
        <v>754</v>
      </c>
      <c r="K23" s="202" t="s">
        <v>747</v>
      </c>
      <c r="L23" s="203">
        <v>199.0</v>
      </c>
      <c r="M23" s="34"/>
      <c r="N23" s="34"/>
      <c r="O23" s="34"/>
      <c r="P23" s="34"/>
      <c r="Q23" s="34"/>
      <c r="R23" s="205"/>
      <c r="S23" s="205"/>
      <c r="T23" s="208" t="s">
        <v>755</v>
      </c>
    </row>
    <row r="24">
      <c r="A24" s="216" t="s">
        <v>756</v>
      </c>
      <c r="B24" s="216" t="s">
        <v>757</v>
      </c>
      <c r="C24" s="216" t="s">
        <v>758</v>
      </c>
      <c r="D24" s="216" t="s">
        <v>759</v>
      </c>
      <c r="E24" s="205"/>
      <c r="F24" s="205"/>
      <c r="G24" s="34"/>
      <c r="H24" s="199" t="s">
        <v>760</v>
      </c>
      <c r="I24" s="200">
        <v>154.0</v>
      </c>
      <c r="J24" s="208" t="s">
        <v>761</v>
      </c>
      <c r="K24" s="202" t="s">
        <v>762</v>
      </c>
      <c r="L24" s="203">
        <v>81.0</v>
      </c>
      <c r="M24" s="34"/>
      <c r="N24" s="34"/>
      <c r="O24" s="34"/>
      <c r="P24" s="34"/>
      <c r="Q24" s="34"/>
      <c r="R24" s="205"/>
      <c r="S24" s="205"/>
      <c r="T24" s="208" t="s">
        <v>763</v>
      </c>
    </row>
    <row r="25">
      <c r="A25" s="216" t="s">
        <v>764</v>
      </c>
      <c r="B25" s="216" t="s">
        <v>765</v>
      </c>
      <c r="C25" s="216" t="s">
        <v>766</v>
      </c>
      <c r="D25" s="216" t="s">
        <v>767</v>
      </c>
      <c r="E25" s="205"/>
      <c r="F25" s="205"/>
      <c r="G25" s="34"/>
      <c r="H25" s="199" t="s">
        <v>768</v>
      </c>
      <c r="I25" s="200">
        <v>256.0</v>
      </c>
      <c r="J25" s="208" t="s">
        <v>769</v>
      </c>
      <c r="K25" s="202" t="s">
        <v>770</v>
      </c>
      <c r="L25" s="203">
        <v>82.0</v>
      </c>
      <c r="M25" s="34"/>
      <c r="N25" s="34"/>
      <c r="O25" s="34"/>
      <c r="P25" s="34"/>
      <c r="Q25" s="34"/>
      <c r="R25" s="205"/>
      <c r="S25" s="205"/>
      <c r="T25" s="208" t="s">
        <v>771</v>
      </c>
    </row>
    <row r="26">
      <c r="A26" s="216" t="s">
        <v>772</v>
      </c>
      <c r="B26" s="216" t="s">
        <v>773</v>
      </c>
      <c r="C26" s="216" t="s">
        <v>607</v>
      </c>
      <c r="D26" s="216" t="s">
        <v>774</v>
      </c>
      <c r="E26" s="205"/>
      <c r="F26" s="205"/>
      <c r="G26" s="34"/>
      <c r="H26" s="199" t="s">
        <v>775</v>
      </c>
      <c r="I26" s="200">
        <v>133.0</v>
      </c>
      <c r="J26" s="208" t="s">
        <v>776</v>
      </c>
      <c r="K26" s="202" t="s">
        <v>777</v>
      </c>
      <c r="L26" s="203">
        <v>83.0</v>
      </c>
      <c r="M26" s="34"/>
      <c r="N26" s="34"/>
      <c r="O26" s="34"/>
      <c r="P26" s="34"/>
      <c r="Q26" s="34"/>
      <c r="R26" s="205"/>
      <c r="S26" s="205"/>
      <c r="T26" s="208" t="s">
        <v>778</v>
      </c>
    </row>
    <row r="27">
      <c r="A27" s="216" t="s">
        <v>779</v>
      </c>
      <c r="B27" s="216" t="s">
        <v>780</v>
      </c>
      <c r="C27" s="216" t="s">
        <v>768</v>
      </c>
      <c r="D27" s="216" t="s">
        <v>781</v>
      </c>
      <c r="E27" s="205"/>
      <c r="F27" s="205"/>
      <c r="G27" s="34"/>
      <c r="H27" s="199" t="s">
        <v>649</v>
      </c>
      <c r="I27" s="200">
        <v>26.0</v>
      </c>
      <c r="J27" s="208" t="s">
        <v>782</v>
      </c>
      <c r="K27" s="202" t="s">
        <v>783</v>
      </c>
      <c r="L27" s="203">
        <v>84.0</v>
      </c>
      <c r="M27" s="34"/>
      <c r="N27" s="34"/>
      <c r="O27" s="34"/>
      <c r="P27" s="34"/>
      <c r="Q27" s="34"/>
      <c r="R27" s="205"/>
      <c r="S27" s="205"/>
      <c r="T27" s="208" t="s">
        <v>784</v>
      </c>
    </row>
    <row r="28">
      <c r="A28" s="216" t="s">
        <v>785</v>
      </c>
      <c r="B28" s="216" t="s">
        <v>786</v>
      </c>
      <c r="C28" s="216" t="s">
        <v>787</v>
      </c>
      <c r="D28" s="216" t="s">
        <v>788</v>
      </c>
      <c r="E28" s="205"/>
      <c r="F28" s="205"/>
      <c r="G28" s="34"/>
      <c r="H28" s="199" t="s">
        <v>789</v>
      </c>
      <c r="I28" s="200">
        <v>296.0</v>
      </c>
      <c r="J28" s="208" t="s">
        <v>790</v>
      </c>
      <c r="K28" s="202" t="s">
        <v>791</v>
      </c>
      <c r="L28" s="203">
        <v>6.0</v>
      </c>
      <c r="M28" s="34"/>
      <c r="N28" s="34"/>
      <c r="O28" s="34"/>
      <c r="P28" s="34"/>
      <c r="Q28" s="34"/>
      <c r="R28" s="205"/>
      <c r="S28" s="205"/>
      <c r="T28" s="208" t="s">
        <v>792</v>
      </c>
    </row>
    <row r="29">
      <c r="A29" s="216" t="s">
        <v>793</v>
      </c>
      <c r="B29" s="216" t="s">
        <v>44</v>
      </c>
      <c r="C29" s="216" t="s">
        <v>794</v>
      </c>
      <c r="D29" s="216" t="s">
        <v>795</v>
      </c>
      <c r="E29" s="205"/>
      <c r="F29" s="205"/>
      <c r="G29" s="34"/>
      <c r="H29" s="199" t="s">
        <v>654</v>
      </c>
      <c r="I29" s="200">
        <v>21.0</v>
      </c>
      <c r="J29" s="208" t="s">
        <v>796</v>
      </c>
      <c r="K29" s="202" t="s">
        <v>797</v>
      </c>
      <c r="L29" s="203">
        <v>85.0</v>
      </c>
      <c r="M29" s="34"/>
      <c r="N29" s="34"/>
      <c r="O29" s="34"/>
      <c r="P29" s="34"/>
      <c r="Q29" s="34"/>
      <c r="R29" s="205"/>
      <c r="S29" s="205"/>
      <c r="T29" s="208" t="s">
        <v>798</v>
      </c>
    </row>
    <row r="30">
      <c r="A30" s="216" t="s">
        <v>799</v>
      </c>
      <c r="B30" s="216" t="s">
        <v>44</v>
      </c>
      <c r="C30" s="216" t="s">
        <v>800</v>
      </c>
      <c r="D30" s="216" t="s">
        <v>44</v>
      </c>
      <c r="E30" s="205"/>
      <c r="F30" s="205"/>
      <c r="G30" s="34"/>
      <c r="H30" s="199" t="s">
        <v>801</v>
      </c>
      <c r="I30" s="200">
        <v>66.0</v>
      </c>
      <c r="J30" s="208" t="s">
        <v>802</v>
      </c>
      <c r="K30" s="202" t="s">
        <v>803</v>
      </c>
      <c r="L30" s="203">
        <v>52.0</v>
      </c>
      <c r="M30" s="34"/>
      <c r="N30" s="34"/>
      <c r="O30" s="34"/>
      <c r="P30" s="34"/>
      <c r="Q30" s="34"/>
      <c r="R30" s="205"/>
      <c r="S30" s="205"/>
      <c r="T30" s="208" t="s">
        <v>804</v>
      </c>
    </row>
    <row r="31">
      <c r="A31" s="216" t="s">
        <v>805</v>
      </c>
      <c r="B31" s="216" t="s">
        <v>44</v>
      </c>
      <c r="C31" s="216" t="s">
        <v>806</v>
      </c>
      <c r="D31" s="216" t="s">
        <v>807</v>
      </c>
      <c r="E31" s="205"/>
      <c r="F31" s="205"/>
      <c r="G31" s="34"/>
      <c r="H31" s="199" t="s">
        <v>787</v>
      </c>
      <c r="I31" s="200">
        <v>257.0</v>
      </c>
      <c r="J31" s="208" t="s">
        <v>808</v>
      </c>
      <c r="K31" s="202" t="s">
        <v>809</v>
      </c>
      <c r="L31" s="203">
        <v>8.0</v>
      </c>
      <c r="M31" s="34"/>
      <c r="N31" s="34"/>
      <c r="O31" s="34"/>
      <c r="P31" s="34"/>
      <c r="Q31" s="34"/>
      <c r="R31" s="205"/>
      <c r="S31" s="205"/>
      <c r="T31" s="208" t="s">
        <v>810</v>
      </c>
    </row>
    <row r="32">
      <c r="A32" s="216" t="s">
        <v>811</v>
      </c>
      <c r="B32" s="216" t="s">
        <v>812</v>
      </c>
      <c r="C32" s="216" t="s">
        <v>813</v>
      </c>
      <c r="D32" s="216" t="s">
        <v>814</v>
      </c>
      <c r="E32" s="205"/>
      <c r="F32" s="205"/>
      <c r="G32" s="34"/>
      <c r="H32" s="199" t="s">
        <v>815</v>
      </c>
      <c r="I32" s="200">
        <v>429.0</v>
      </c>
      <c r="J32" s="208" t="s">
        <v>816</v>
      </c>
      <c r="K32" s="202" t="s">
        <v>817</v>
      </c>
      <c r="L32" s="203">
        <v>118.0</v>
      </c>
      <c r="M32" s="34"/>
      <c r="N32" s="34"/>
      <c r="O32" s="34"/>
      <c r="P32" s="34"/>
      <c r="Q32" s="34"/>
      <c r="R32" s="205"/>
      <c r="S32" s="205"/>
      <c r="T32" s="208" t="s">
        <v>818</v>
      </c>
    </row>
    <row r="33">
      <c r="A33" s="216" t="s">
        <v>819</v>
      </c>
      <c r="B33" s="216" t="s">
        <v>44</v>
      </c>
      <c r="C33" s="216" t="s">
        <v>820</v>
      </c>
      <c r="D33" s="216" t="s">
        <v>821</v>
      </c>
      <c r="E33" s="205"/>
      <c r="F33" s="205"/>
      <c r="G33" s="34"/>
      <c r="H33" s="199" t="s">
        <v>822</v>
      </c>
      <c r="I33" s="200">
        <v>297.0</v>
      </c>
      <c r="J33" s="208" t="s">
        <v>823</v>
      </c>
      <c r="K33" s="202" t="s">
        <v>824</v>
      </c>
      <c r="L33" s="203">
        <v>86.0</v>
      </c>
      <c r="M33" s="34"/>
      <c r="N33" s="34"/>
      <c r="O33" s="34"/>
      <c r="P33" s="34"/>
      <c r="Q33" s="34"/>
      <c r="R33" s="205"/>
      <c r="S33" s="205"/>
      <c r="T33" s="208" t="s">
        <v>825</v>
      </c>
    </row>
    <row r="34">
      <c r="A34" s="216" t="s">
        <v>826</v>
      </c>
      <c r="B34" s="216" t="s">
        <v>827</v>
      </c>
      <c r="C34" s="216" t="s">
        <v>828</v>
      </c>
      <c r="D34" s="216" t="s">
        <v>44</v>
      </c>
      <c r="E34" s="205"/>
      <c r="F34" s="205"/>
      <c r="G34" s="34"/>
      <c r="H34" s="199" t="s">
        <v>679</v>
      </c>
      <c r="I34" s="200">
        <v>336.0</v>
      </c>
      <c r="J34" s="208" t="s">
        <v>829</v>
      </c>
      <c r="K34" s="202" t="s">
        <v>830</v>
      </c>
      <c r="L34" s="203">
        <v>87.0</v>
      </c>
      <c r="M34" s="34"/>
      <c r="N34" s="34"/>
      <c r="O34" s="34"/>
      <c r="P34" s="34"/>
      <c r="Q34" s="34"/>
      <c r="R34" s="205"/>
      <c r="S34" s="205"/>
      <c r="T34" s="208" t="s">
        <v>831</v>
      </c>
    </row>
    <row r="35">
      <c r="A35" s="216" t="s">
        <v>832</v>
      </c>
      <c r="B35" s="216" t="s">
        <v>833</v>
      </c>
      <c r="C35" s="216" t="s">
        <v>834</v>
      </c>
      <c r="D35" s="216" t="s">
        <v>835</v>
      </c>
      <c r="E35" s="205"/>
      <c r="F35" s="205"/>
      <c r="G35" s="34"/>
      <c r="H35" s="199" t="s">
        <v>717</v>
      </c>
      <c r="I35" s="200">
        <v>298.0</v>
      </c>
      <c r="J35" s="208" t="s">
        <v>836</v>
      </c>
      <c r="K35" s="202" t="s">
        <v>837</v>
      </c>
      <c r="L35" s="203">
        <v>88.0</v>
      </c>
      <c r="M35" s="34"/>
      <c r="N35" s="34"/>
      <c r="O35" s="34"/>
      <c r="P35" s="34"/>
      <c r="Q35" s="34"/>
      <c r="R35" s="205"/>
      <c r="S35" s="205"/>
      <c r="T35" s="208" t="s">
        <v>838</v>
      </c>
    </row>
    <row r="36">
      <c r="A36" s="216" t="s">
        <v>839</v>
      </c>
      <c r="B36" s="216" t="s">
        <v>44</v>
      </c>
      <c r="C36" s="216" t="s">
        <v>840</v>
      </c>
      <c r="D36" s="216" t="s">
        <v>841</v>
      </c>
      <c r="E36" s="205"/>
      <c r="F36" s="205"/>
      <c r="G36" s="34"/>
      <c r="H36" s="199" t="s">
        <v>842</v>
      </c>
      <c r="I36" s="200">
        <v>114.0</v>
      </c>
      <c r="J36" s="34" t="s">
        <v>843</v>
      </c>
      <c r="K36" s="202" t="s">
        <v>844</v>
      </c>
      <c r="L36" s="203">
        <v>49.0</v>
      </c>
      <c r="M36" s="34"/>
      <c r="N36" s="34"/>
      <c r="O36" s="34"/>
      <c r="P36" s="34"/>
      <c r="Q36" s="34"/>
      <c r="R36" s="205"/>
      <c r="S36" s="205"/>
      <c r="T36" s="208" t="s">
        <v>845</v>
      </c>
    </row>
    <row r="37">
      <c r="A37" s="216" t="s">
        <v>846</v>
      </c>
      <c r="B37" s="216" t="s">
        <v>847</v>
      </c>
      <c r="C37" s="216" t="s">
        <v>848</v>
      </c>
      <c r="D37" s="216" t="s">
        <v>849</v>
      </c>
      <c r="E37" s="205"/>
      <c r="F37" s="205"/>
      <c r="G37" s="34"/>
      <c r="H37" s="199" t="s">
        <v>850</v>
      </c>
      <c r="I37" s="200">
        <v>194.0</v>
      </c>
      <c r="J37" s="218" t="s">
        <v>851</v>
      </c>
      <c r="K37" s="202" t="s">
        <v>852</v>
      </c>
      <c r="L37" s="203">
        <v>50.0</v>
      </c>
      <c r="M37" s="34"/>
      <c r="N37" s="34"/>
      <c r="O37" s="34"/>
      <c r="P37" s="34"/>
      <c r="Q37" s="34"/>
      <c r="R37" s="205"/>
      <c r="S37" s="205"/>
      <c r="T37" s="208" t="s">
        <v>853</v>
      </c>
    </row>
    <row r="38">
      <c r="A38" s="216" t="s">
        <v>854</v>
      </c>
      <c r="B38" s="216" t="s">
        <v>44</v>
      </c>
      <c r="C38" s="216" t="s">
        <v>855</v>
      </c>
      <c r="D38" s="216" t="s">
        <v>856</v>
      </c>
      <c r="E38" s="205"/>
      <c r="F38" s="205"/>
      <c r="G38" s="34"/>
      <c r="H38" s="199" t="s">
        <v>857</v>
      </c>
      <c r="I38" s="200">
        <v>77.0</v>
      </c>
      <c r="J38" s="208" t="s">
        <v>858</v>
      </c>
      <c r="K38" s="202" t="s">
        <v>859</v>
      </c>
      <c r="L38" s="203">
        <v>151.0</v>
      </c>
      <c r="M38" s="34"/>
      <c r="N38" s="34"/>
      <c r="O38" s="34"/>
      <c r="P38" s="34"/>
      <c r="Q38" s="34"/>
      <c r="R38" s="205"/>
      <c r="S38" s="205"/>
      <c r="T38" s="208" t="s">
        <v>860</v>
      </c>
    </row>
    <row r="39">
      <c r="A39" s="216" t="s">
        <v>861</v>
      </c>
      <c r="B39" s="216" t="s">
        <v>44</v>
      </c>
      <c r="C39" s="216" t="s">
        <v>862</v>
      </c>
      <c r="D39" s="216" t="s">
        <v>863</v>
      </c>
      <c r="E39" s="205"/>
      <c r="F39" s="205"/>
      <c r="G39" s="34"/>
      <c r="H39" s="199" t="s">
        <v>864</v>
      </c>
      <c r="I39" s="200">
        <v>593.0</v>
      </c>
      <c r="J39" s="208" t="s">
        <v>865</v>
      </c>
      <c r="K39" s="202" t="s">
        <v>866</v>
      </c>
      <c r="L39" s="203">
        <v>89.0</v>
      </c>
      <c r="M39" s="34"/>
      <c r="N39" s="34"/>
      <c r="O39" s="34"/>
      <c r="P39" s="34"/>
      <c r="Q39" s="34"/>
      <c r="R39" s="205"/>
      <c r="S39" s="205"/>
      <c r="T39" s="208" t="s">
        <v>867</v>
      </c>
    </row>
    <row r="40">
      <c r="A40" s="216" t="s">
        <v>868</v>
      </c>
      <c r="B40" s="216" t="s">
        <v>869</v>
      </c>
      <c r="C40" s="216" t="s">
        <v>870</v>
      </c>
      <c r="D40" s="216" t="s">
        <v>44</v>
      </c>
      <c r="E40" s="205"/>
      <c r="F40" s="205"/>
      <c r="G40" s="34"/>
      <c r="H40" s="199" t="s">
        <v>871</v>
      </c>
      <c r="I40" s="200">
        <v>78.0</v>
      </c>
      <c r="J40" s="208" t="s">
        <v>872</v>
      </c>
      <c r="K40" s="202" t="s">
        <v>873</v>
      </c>
      <c r="L40" s="203">
        <v>90.0</v>
      </c>
      <c r="M40" s="34"/>
      <c r="N40" s="34"/>
      <c r="O40" s="34"/>
      <c r="P40" s="34"/>
      <c r="Q40" s="34"/>
      <c r="R40" s="205"/>
      <c r="S40" s="205"/>
      <c r="T40" s="208" t="s">
        <v>874</v>
      </c>
    </row>
    <row r="41">
      <c r="A41" s="216" t="s">
        <v>875</v>
      </c>
      <c r="B41" s="216" t="s">
        <v>876</v>
      </c>
      <c r="C41" s="216" t="s">
        <v>877</v>
      </c>
      <c r="D41" s="216" t="s">
        <v>44</v>
      </c>
      <c r="E41" s="205"/>
      <c r="F41" s="205"/>
      <c r="G41" s="34"/>
      <c r="H41" s="199" t="s">
        <v>878</v>
      </c>
      <c r="I41" s="200">
        <v>217.0</v>
      </c>
      <c r="J41" s="208" t="s">
        <v>879</v>
      </c>
      <c r="K41" s="202" t="s">
        <v>880</v>
      </c>
      <c r="L41" s="203">
        <v>91.0</v>
      </c>
      <c r="M41" s="34"/>
      <c r="N41" s="34"/>
      <c r="O41" s="34"/>
      <c r="P41" s="34"/>
      <c r="Q41" s="34"/>
      <c r="R41" s="205"/>
      <c r="S41" s="205"/>
      <c r="T41" s="208" t="s">
        <v>881</v>
      </c>
    </row>
    <row r="42">
      <c r="A42" s="216" t="s">
        <v>882</v>
      </c>
      <c r="B42" s="216" t="s">
        <v>883</v>
      </c>
      <c r="C42" s="216" t="s">
        <v>884</v>
      </c>
      <c r="D42" s="216" t="s">
        <v>44</v>
      </c>
      <c r="E42" s="205"/>
      <c r="F42" s="205"/>
      <c r="G42" s="34"/>
      <c r="H42" s="199" t="s">
        <v>885</v>
      </c>
      <c r="I42" s="200">
        <v>115.0</v>
      </c>
      <c r="J42" s="208" t="s">
        <v>886</v>
      </c>
      <c r="K42" s="202" t="s">
        <v>887</v>
      </c>
      <c r="L42" s="203">
        <v>92.0</v>
      </c>
      <c r="M42" s="34"/>
      <c r="N42" s="34"/>
      <c r="O42" s="34"/>
      <c r="P42" s="34"/>
      <c r="Q42" s="34"/>
      <c r="R42" s="205"/>
      <c r="S42" s="205"/>
      <c r="T42" s="208" t="s">
        <v>888</v>
      </c>
    </row>
    <row r="43">
      <c r="A43" s="216" t="s">
        <v>889</v>
      </c>
      <c r="B43" s="216" t="s">
        <v>890</v>
      </c>
      <c r="C43" s="216" t="s">
        <v>891</v>
      </c>
      <c r="D43" s="216" t="s">
        <v>44</v>
      </c>
      <c r="E43" s="205"/>
      <c r="F43" s="205"/>
      <c r="G43" s="34"/>
      <c r="H43" s="199" t="s">
        <v>892</v>
      </c>
      <c r="I43" s="200">
        <v>533.0</v>
      </c>
      <c r="J43" s="208" t="s">
        <v>893</v>
      </c>
      <c r="K43" s="202" t="s">
        <v>894</v>
      </c>
      <c r="L43" s="203">
        <v>9.0</v>
      </c>
      <c r="M43" s="34"/>
      <c r="N43" s="34"/>
      <c r="O43" s="34"/>
      <c r="P43" s="34"/>
      <c r="Q43" s="34"/>
      <c r="R43" s="205"/>
      <c r="S43" s="205"/>
      <c r="T43" s="208" t="s">
        <v>895</v>
      </c>
    </row>
    <row r="44">
      <c r="A44" s="216" t="s">
        <v>896</v>
      </c>
      <c r="B44" s="216" t="s">
        <v>897</v>
      </c>
      <c r="C44" s="216" t="s">
        <v>898</v>
      </c>
      <c r="D44" s="216" t="s">
        <v>44</v>
      </c>
      <c r="E44" s="205"/>
      <c r="F44" s="205"/>
      <c r="G44" s="34"/>
      <c r="H44" s="199" t="s">
        <v>899</v>
      </c>
      <c r="I44" s="200">
        <v>195.0</v>
      </c>
      <c r="J44" s="208" t="s">
        <v>900</v>
      </c>
      <c r="K44" s="202" t="s">
        <v>901</v>
      </c>
      <c r="L44" s="203">
        <v>10.0</v>
      </c>
      <c r="M44" s="34"/>
      <c r="N44" s="34"/>
      <c r="O44" s="34"/>
      <c r="P44" s="34"/>
      <c r="Q44" s="34"/>
      <c r="R44" s="205"/>
      <c r="S44" s="205"/>
      <c r="T44" s="208" t="s">
        <v>902</v>
      </c>
    </row>
    <row r="45">
      <c r="A45" s="216" t="s">
        <v>884</v>
      </c>
      <c r="B45" s="216" t="s">
        <v>903</v>
      </c>
      <c r="C45" s="216" t="s">
        <v>904</v>
      </c>
      <c r="D45" s="216" t="s">
        <v>44</v>
      </c>
      <c r="E45" s="205"/>
      <c r="F45" s="205"/>
      <c r="G45" s="34"/>
      <c r="H45" s="199" t="s">
        <v>905</v>
      </c>
      <c r="I45" s="200">
        <v>411.0</v>
      </c>
      <c r="J45" s="208" t="s">
        <v>906</v>
      </c>
      <c r="K45" s="202" t="s">
        <v>907</v>
      </c>
      <c r="L45" s="203">
        <v>11.0</v>
      </c>
      <c r="M45" s="34"/>
      <c r="N45" s="34"/>
      <c r="O45" s="34"/>
      <c r="P45" s="34"/>
      <c r="Q45" s="34"/>
      <c r="R45" s="205"/>
      <c r="S45" s="205"/>
      <c r="T45" s="208" t="s">
        <v>908</v>
      </c>
    </row>
    <row r="46">
      <c r="A46" s="216" t="s">
        <v>909</v>
      </c>
      <c r="B46" s="216" t="s">
        <v>910</v>
      </c>
      <c r="C46" s="216" t="s">
        <v>760</v>
      </c>
      <c r="D46" s="216" t="s">
        <v>911</v>
      </c>
      <c r="E46" s="205"/>
      <c r="F46" s="205"/>
      <c r="G46" s="34"/>
      <c r="H46" s="199" t="s">
        <v>741</v>
      </c>
      <c r="I46" s="200">
        <v>337.0</v>
      </c>
      <c r="J46" s="208" t="s">
        <v>912</v>
      </c>
      <c r="K46" s="202" t="s">
        <v>913</v>
      </c>
      <c r="L46" s="203">
        <v>93.0</v>
      </c>
      <c r="M46" s="34"/>
      <c r="N46" s="34"/>
      <c r="O46" s="34"/>
      <c r="P46" s="34"/>
      <c r="Q46" s="34"/>
      <c r="R46" s="205"/>
      <c r="S46" s="205"/>
      <c r="T46" s="208" t="s">
        <v>914</v>
      </c>
    </row>
    <row r="47">
      <c r="A47" s="216" t="s">
        <v>915</v>
      </c>
      <c r="B47" s="216" t="s">
        <v>916</v>
      </c>
      <c r="C47" s="216" t="s">
        <v>892</v>
      </c>
      <c r="D47" s="216" t="s">
        <v>44</v>
      </c>
      <c r="E47" s="205"/>
      <c r="F47" s="205"/>
      <c r="G47" s="34"/>
      <c r="H47" s="199" t="s">
        <v>747</v>
      </c>
      <c r="I47" s="200">
        <v>339.0</v>
      </c>
      <c r="J47" s="208" t="s">
        <v>917</v>
      </c>
      <c r="K47" s="202" t="s">
        <v>918</v>
      </c>
      <c r="L47" s="203">
        <v>12.0</v>
      </c>
      <c r="M47" s="34"/>
      <c r="N47" s="34"/>
      <c r="O47" s="34"/>
      <c r="P47" s="34"/>
      <c r="Q47" s="34"/>
      <c r="R47" s="205"/>
      <c r="S47" s="205"/>
      <c r="T47" s="208" t="s">
        <v>919</v>
      </c>
    </row>
    <row r="48">
      <c r="A48" s="216" t="s">
        <v>920</v>
      </c>
      <c r="B48" s="216" t="s">
        <v>921</v>
      </c>
      <c r="C48" s="216" t="s">
        <v>922</v>
      </c>
      <c r="D48" s="216" t="s">
        <v>923</v>
      </c>
      <c r="E48" s="205"/>
      <c r="F48" s="205"/>
      <c r="G48" s="34"/>
      <c r="H48" s="199" t="s">
        <v>924</v>
      </c>
      <c r="I48" s="200">
        <v>196.0</v>
      </c>
      <c r="J48" s="208" t="s">
        <v>925</v>
      </c>
      <c r="K48" s="202" t="s">
        <v>926</v>
      </c>
      <c r="L48" s="203">
        <v>94.0</v>
      </c>
      <c r="M48" s="34"/>
      <c r="N48" s="34"/>
      <c r="O48" s="34"/>
      <c r="P48" s="34"/>
      <c r="Q48" s="34"/>
      <c r="R48" s="205"/>
      <c r="S48" s="205"/>
      <c r="T48" s="208" t="s">
        <v>927</v>
      </c>
    </row>
    <row r="49">
      <c r="A49" s="216" t="s">
        <v>928</v>
      </c>
      <c r="B49" s="216" t="s">
        <v>929</v>
      </c>
      <c r="C49" s="216" t="s">
        <v>930</v>
      </c>
      <c r="D49" s="216" t="s">
        <v>44</v>
      </c>
      <c r="E49" s="205"/>
      <c r="F49" s="205"/>
      <c r="G49" s="34"/>
      <c r="H49" s="199" t="s">
        <v>931</v>
      </c>
      <c r="I49" s="200">
        <v>134.0</v>
      </c>
      <c r="J49" s="208" t="s">
        <v>932</v>
      </c>
      <c r="K49" s="202" t="s">
        <v>933</v>
      </c>
      <c r="L49" s="203">
        <v>1.0</v>
      </c>
      <c r="M49" s="34"/>
      <c r="N49" s="34"/>
      <c r="O49" s="34"/>
      <c r="P49" s="34"/>
      <c r="Q49" s="34"/>
      <c r="R49" s="205"/>
      <c r="S49" s="205"/>
      <c r="T49" s="208" t="s">
        <v>934</v>
      </c>
    </row>
    <row r="50">
      <c r="A50" s="216" t="s">
        <v>935</v>
      </c>
      <c r="B50" s="216" t="s">
        <v>936</v>
      </c>
      <c r="C50" s="216" t="s">
        <v>937</v>
      </c>
      <c r="D50" s="216" t="s">
        <v>44</v>
      </c>
      <c r="E50" s="205"/>
      <c r="F50" s="205"/>
      <c r="G50" s="34"/>
      <c r="H50" s="199" t="s">
        <v>665</v>
      </c>
      <c r="I50" s="200">
        <v>28.0</v>
      </c>
      <c r="J50" s="208" t="s">
        <v>938</v>
      </c>
      <c r="K50" s="202" t="s">
        <v>939</v>
      </c>
      <c r="L50" s="203">
        <v>95.0</v>
      </c>
      <c r="M50" s="34"/>
      <c r="N50" s="34"/>
      <c r="O50" s="34"/>
      <c r="P50" s="34"/>
      <c r="Q50" s="34"/>
      <c r="R50" s="205"/>
      <c r="S50" s="205"/>
      <c r="T50" s="208" t="s">
        <v>940</v>
      </c>
    </row>
    <row r="51">
      <c r="A51" s="205"/>
      <c r="B51" s="205"/>
      <c r="C51" s="216" t="s">
        <v>941</v>
      </c>
      <c r="D51" s="216" t="s">
        <v>942</v>
      </c>
      <c r="E51" s="205"/>
      <c r="F51" s="205"/>
      <c r="G51" s="34"/>
      <c r="H51" s="199" t="s">
        <v>794</v>
      </c>
      <c r="I51" s="200">
        <v>258.0</v>
      </c>
      <c r="J51" s="208" t="s">
        <v>943</v>
      </c>
      <c r="K51" s="202" t="s">
        <v>944</v>
      </c>
      <c r="L51" s="203">
        <v>13.0</v>
      </c>
      <c r="M51" s="34"/>
      <c r="N51" s="34"/>
      <c r="O51" s="34"/>
      <c r="P51" s="34"/>
      <c r="Q51" s="34"/>
      <c r="R51" s="205"/>
      <c r="S51" s="205"/>
      <c r="T51" s="208" t="s">
        <v>945</v>
      </c>
    </row>
    <row r="52">
      <c r="A52" s="205"/>
      <c r="B52" s="205"/>
      <c r="C52" s="216" t="s">
        <v>946</v>
      </c>
      <c r="D52" s="216" t="s">
        <v>44</v>
      </c>
      <c r="E52" s="205"/>
      <c r="F52" s="205"/>
      <c r="G52" s="34"/>
      <c r="H52" s="199" t="s">
        <v>947</v>
      </c>
      <c r="I52" s="200">
        <v>443.0</v>
      </c>
      <c r="J52" s="34" t="s">
        <v>948</v>
      </c>
      <c r="K52" s="202" t="s">
        <v>949</v>
      </c>
      <c r="L52" s="203">
        <v>96.0</v>
      </c>
      <c r="M52" s="34"/>
      <c r="N52" s="34"/>
      <c r="O52" s="34"/>
      <c r="P52" s="34"/>
      <c r="Q52" s="34"/>
      <c r="R52" s="205"/>
      <c r="S52" s="205"/>
      <c r="T52" s="208" t="s">
        <v>950</v>
      </c>
    </row>
    <row r="53">
      <c r="A53" s="205"/>
      <c r="B53" s="205"/>
      <c r="C53" s="216" t="s">
        <v>951</v>
      </c>
      <c r="D53" s="216" t="s">
        <v>952</v>
      </c>
      <c r="E53" s="205"/>
      <c r="F53" s="205"/>
      <c r="G53" s="34"/>
      <c r="H53" s="199" t="s">
        <v>953</v>
      </c>
      <c r="I53" s="200">
        <v>184.0</v>
      </c>
      <c r="J53" s="208" t="s">
        <v>954</v>
      </c>
      <c r="K53" s="202" t="s">
        <v>955</v>
      </c>
      <c r="L53" s="203">
        <v>97.0</v>
      </c>
      <c r="M53" s="34"/>
      <c r="N53" s="34"/>
      <c r="O53" s="34"/>
      <c r="P53" s="34"/>
      <c r="Q53" s="34"/>
      <c r="R53" s="205"/>
      <c r="S53" s="205"/>
      <c r="T53" s="208" t="s">
        <v>956</v>
      </c>
    </row>
    <row r="54">
      <c r="A54" s="205"/>
      <c r="B54" s="205"/>
      <c r="C54" s="216" t="s">
        <v>957</v>
      </c>
      <c r="D54" s="216" t="s">
        <v>44</v>
      </c>
      <c r="E54" s="205"/>
      <c r="F54" s="205"/>
      <c r="G54" s="34"/>
      <c r="H54" s="199" t="s">
        <v>958</v>
      </c>
      <c r="I54" s="200">
        <v>412.0</v>
      </c>
      <c r="J54" s="208" t="s">
        <v>959</v>
      </c>
      <c r="K54" s="202" t="s">
        <v>960</v>
      </c>
      <c r="L54" s="203">
        <v>98.0</v>
      </c>
      <c r="M54" s="34"/>
      <c r="N54" s="34"/>
      <c r="O54" s="34"/>
      <c r="P54" s="34"/>
      <c r="Q54" s="34"/>
      <c r="R54" s="205"/>
      <c r="S54" s="205"/>
      <c r="T54" s="208" t="s">
        <v>961</v>
      </c>
    </row>
    <row r="55">
      <c r="A55" s="205"/>
      <c r="B55" s="205"/>
      <c r="C55" s="216" t="s">
        <v>962</v>
      </c>
      <c r="D55" s="216" t="s">
        <v>44</v>
      </c>
      <c r="E55" s="205"/>
      <c r="F55" s="205"/>
      <c r="G55" s="34"/>
      <c r="H55" s="199" t="s">
        <v>963</v>
      </c>
      <c r="I55" s="200">
        <v>79.0</v>
      </c>
      <c r="J55" s="208" t="s">
        <v>964</v>
      </c>
      <c r="K55" s="202" t="s">
        <v>965</v>
      </c>
      <c r="L55" s="203">
        <v>14.0</v>
      </c>
      <c r="M55" s="34"/>
      <c r="N55" s="34"/>
      <c r="O55" s="34"/>
      <c r="P55" s="34"/>
      <c r="Q55" s="34"/>
      <c r="R55" s="205"/>
      <c r="S55" s="205"/>
      <c r="T55" s="208" t="s">
        <v>966</v>
      </c>
    </row>
    <row r="56">
      <c r="A56" s="205"/>
      <c r="B56" s="205"/>
      <c r="C56" s="216" t="s">
        <v>967</v>
      </c>
      <c r="D56" s="216" t="s">
        <v>44</v>
      </c>
      <c r="E56" s="205"/>
      <c r="F56" s="205"/>
      <c r="G56" s="34"/>
      <c r="H56" s="199" t="s">
        <v>968</v>
      </c>
      <c r="I56" s="200">
        <v>430.0</v>
      </c>
      <c r="J56" s="208" t="s">
        <v>969</v>
      </c>
      <c r="K56" s="202" t="s">
        <v>970</v>
      </c>
      <c r="L56" s="203">
        <v>3.0</v>
      </c>
      <c r="M56" s="34"/>
      <c r="N56" s="34"/>
      <c r="O56" s="34"/>
      <c r="P56" s="34"/>
      <c r="Q56" s="34"/>
      <c r="R56" s="205"/>
      <c r="S56" s="205"/>
      <c r="T56" s="208" t="s">
        <v>971</v>
      </c>
    </row>
    <row r="57">
      <c r="A57" s="205"/>
      <c r="B57" s="205"/>
      <c r="C57" s="216" t="s">
        <v>972</v>
      </c>
      <c r="D57" s="216" t="s">
        <v>973</v>
      </c>
      <c r="E57" s="205"/>
      <c r="F57" s="205"/>
      <c r="G57" s="34"/>
      <c r="H57" s="199" t="s">
        <v>674</v>
      </c>
      <c r="I57" s="200">
        <v>29.0</v>
      </c>
      <c r="J57" s="208" t="s">
        <v>974</v>
      </c>
      <c r="K57" s="202" t="s">
        <v>975</v>
      </c>
      <c r="L57" s="203">
        <v>99.0</v>
      </c>
      <c r="M57" s="34"/>
      <c r="N57" s="34"/>
      <c r="O57" s="34"/>
      <c r="P57" s="34"/>
      <c r="Q57" s="34"/>
      <c r="R57" s="205"/>
      <c r="S57" s="205"/>
      <c r="T57" s="208" t="s">
        <v>976</v>
      </c>
    </row>
    <row r="58">
      <c r="A58" s="205"/>
      <c r="B58" s="205"/>
      <c r="C58" s="216" t="s">
        <v>739</v>
      </c>
      <c r="D58" s="216" t="s">
        <v>44</v>
      </c>
      <c r="E58" s="205"/>
      <c r="F58" s="205"/>
      <c r="G58" s="34"/>
      <c r="H58" s="199" t="s">
        <v>977</v>
      </c>
      <c r="I58" s="200">
        <v>144.0</v>
      </c>
      <c r="J58" s="208" t="s">
        <v>978</v>
      </c>
      <c r="K58" s="202" t="s">
        <v>979</v>
      </c>
      <c r="L58" s="203">
        <v>166.0</v>
      </c>
      <c r="M58" s="34"/>
      <c r="N58" s="34"/>
      <c r="O58" s="34"/>
      <c r="P58" s="34"/>
      <c r="Q58" s="34"/>
      <c r="R58" s="205"/>
      <c r="S58" s="205"/>
      <c r="T58" s="208" t="s">
        <v>980</v>
      </c>
    </row>
    <row r="59">
      <c r="A59" s="205"/>
      <c r="B59" s="205"/>
      <c r="C59" s="216" t="s">
        <v>981</v>
      </c>
      <c r="D59" s="216" t="s">
        <v>982</v>
      </c>
      <c r="E59" s="205"/>
      <c r="F59" s="205"/>
      <c r="G59" s="34"/>
      <c r="H59" s="199" t="s">
        <v>800</v>
      </c>
      <c r="I59" s="200">
        <v>259.0</v>
      </c>
      <c r="J59" s="208" t="s">
        <v>983</v>
      </c>
      <c r="K59" s="202" t="s">
        <v>984</v>
      </c>
      <c r="L59" s="203">
        <v>100.0</v>
      </c>
      <c r="M59" s="34"/>
      <c r="N59" s="34"/>
      <c r="O59" s="34"/>
      <c r="P59" s="34"/>
      <c r="Q59" s="34"/>
      <c r="R59" s="205"/>
      <c r="S59" s="205"/>
      <c r="T59" s="208" t="s">
        <v>985</v>
      </c>
    </row>
    <row r="60">
      <c r="A60" s="205"/>
      <c r="B60" s="205"/>
      <c r="C60" s="216" t="s">
        <v>986</v>
      </c>
      <c r="D60" s="216" t="s">
        <v>987</v>
      </c>
      <c r="E60" s="205"/>
      <c r="F60" s="205"/>
      <c r="G60" s="34"/>
      <c r="H60" s="199" t="s">
        <v>642</v>
      </c>
      <c r="I60" s="200">
        <v>230.0</v>
      </c>
      <c r="J60" s="208" t="s">
        <v>988</v>
      </c>
      <c r="K60" s="47" t="s">
        <v>989</v>
      </c>
      <c r="L60" s="100">
        <v>127.0</v>
      </c>
      <c r="M60" s="34"/>
      <c r="N60" s="34"/>
      <c r="O60" s="34"/>
      <c r="P60" s="34"/>
      <c r="Q60" s="34"/>
      <c r="R60" s="205"/>
      <c r="S60" s="205"/>
      <c r="T60" s="208" t="s">
        <v>990</v>
      </c>
    </row>
    <row r="61">
      <c r="A61" s="205"/>
      <c r="B61" s="205"/>
      <c r="C61" s="216" t="s">
        <v>991</v>
      </c>
      <c r="D61" s="216" t="s">
        <v>992</v>
      </c>
      <c r="E61" s="205"/>
      <c r="F61" s="205"/>
      <c r="G61" s="34"/>
      <c r="H61" s="199" t="s">
        <v>993</v>
      </c>
      <c r="I61" s="200">
        <v>103.0</v>
      </c>
      <c r="J61" s="208" t="s">
        <v>994</v>
      </c>
      <c r="K61" s="202" t="s">
        <v>995</v>
      </c>
      <c r="L61" s="100">
        <v>101.0</v>
      </c>
      <c r="M61" s="34"/>
      <c r="N61" s="34"/>
      <c r="O61" s="34"/>
      <c r="P61" s="34"/>
      <c r="Q61" s="34"/>
      <c r="R61" s="205"/>
      <c r="S61" s="205"/>
      <c r="T61" s="208" t="s">
        <v>996</v>
      </c>
    </row>
    <row r="62">
      <c r="A62" s="205"/>
      <c r="B62" s="205"/>
      <c r="C62" s="216" t="s">
        <v>997</v>
      </c>
      <c r="D62" s="216" t="s">
        <v>44</v>
      </c>
      <c r="E62" s="205"/>
      <c r="F62" s="205"/>
      <c r="G62" s="34"/>
      <c r="H62" s="199" t="s">
        <v>998</v>
      </c>
      <c r="I62" s="200">
        <v>299.0</v>
      </c>
      <c r="J62" s="208" t="s">
        <v>999</v>
      </c>
      <c r="K62" s="202" t="s">
        <v>1000</v>
      </c>
      <c r="L62" s="100">
        <v>15.0</v>
      </c>
      <c r="M62" s="34"/>
      <c r="N62" s="34"/>
      <c r="O62" s="34"/>
      <c r="P62" s="34"/>
      <c r="Q62" s="34"/>
      <c r="R62" s="205"/>
      <c r="S62" s="205"/>
      <c r="T62" s="208" t="s">
        <v>1001</v>
      </c>
    </row>
    <row r="63">
      <c r="A63" s="205"/>
      <c r="B63" s="205"/>
      <c r="C63" s="216" t="s">
        <v>1002</v>
      </c>
      <c r="D63" s="216" t="s">
        <v>1003</v>
      </c>
      <c r="E63" s="205"/>
      <c r="F63" s="205"/>
      <c r="G63" s="34"/>
      <c r="H63" s="199" t="s">
        <v>1004</v>
      </c>
      <c r="I63" s="200">
        <v>300.0</v>
      </c>
      <c r="J63" s="208" t="s">
        <v>1005</v>
      </c>
      <c r="K63" s="202" t="s">
        <v>1006</v>
      </c>
      <c r="L63" s="100">
        <v>16.0</v>
      </c>
      <c r="M63" s="34"/>
      <c r="N63" s="34"/>
      <c r="O63" s="34"/>
      <c r="P63" s="34"/>
      <c r="Q63" s="34"/>
      <c r="R63" s="205"/>
      <c r="S63" s="205"/>
      <c r="T63" s="208" t="s">
        <v>1007</v>
      </c>
    </row>
    <row r="64">
      <c r="A64" s="205"/>
      <c r="B64" s="205"/>
      <c r="C64" s="216" t="s">
        <v>618</v>
      </c>
      <c r="D64" s="216" t="s">
        <v>44</v>
      </c>
      <c r="E64" s="205"/>
      <c r="F64" s="205"/>
      <c r="G64" s="34"/>
      <c r="H64" s="199" t="s">
        <v>1008</v>
      </c>
      <c r="I64" s="200">
        <v>431.0</v>
      </c>
      <c r="J64" s="208" t="s">
        <v>1009</v>
      </c>
      <c r="K64" s="202" t="s">
        <v>1010</v>
      </c>
      <c r="L64" s="100">
        <v>102.0</v>
      </c>
      <c r="M64" s="34"/>
      <c r="N64" s="34"/>
      <c r="O64" s="34"/>
      <c r="P64" s="34"/>
      <c r="Q64" s="34"/>
      <c r="R64" s="205"/>
      <c r="S64" s="205"/>
      <c r="T64" s="208" t="s">
        <v>1011</v>
      </c>
    </row>
    <row r="65">
      <c r="A65" s="205"/>
      <c r="B65" s="205"/>
      <c r="C65" s="216" t="s">
        <v>677</v>
      </c>
      <c r="D65" s="216" t="s">
        <v>1012</v>
      </c>
      <c r="E65" s="205"/>
      <c r="F65" s="205"/>
      <c r="G65" s="34"/>
      <c r="H65" s="199" t="s">
        <v>1013</v>
      </c>
      <c r="I65" s="200">
        <v>91.0</v>
      </c>
      <c r="J65" s="208" t="s">
        <v>1014</v>
      </c>
      <c r="K65" s="202" t="s">
        <v>1015</v>
      </c>
      <c r="L65" s="100">
        <v>103.0</v>
      </c>
      <c r="M65" s="34"/>
      <c r="N65" s="34"/>
      <c r="O65" s="34"/>
      <c r="P65" s="34"/>
      <c r="Q65" s="34"/>
      <c r="R65" s="205"/>
      <c r="S65" s="205"/>
      <c r="T65" s="208" t="s">
        <v>1016</v>
      </c>
    </row>
    <row r="66">
      <c r="A66" s="205"/>
      <c r="B66" s="205"/>
      <c r="C66" s="216" t="s">
        <v>685</v>
      </c>
      <c r="D66" s="216" t="s">
        <v>1017</v>
      </c>
      <c r="E66" s="205"/>
      <c r="F66" s="205"/>
      <c r="G66" s="34"/>
      <c r="H66" s="199" t="s">
        <v>1018</v>
      </c>
      <c r="I66" s="200">
        <v>301.0</v>
      </c>
      <c r="J66" s="208" t="s">
        <v>1019</v>
      </c>
      <c r="K66" s="202" t="s">
        <v>1020</v>
      </c>
      <c r="L66" s="100">
        <v>54.0</v>
      </c>
      <c r="M66" s="34"/>
      <c r="N66" s="34"/>
      <c r="O66" s="34"/>
      <c r="P66" s="34"/>
      <c r="Q66" s="34"/>
      <c r="R66" s="205"/>
      <c r="S66" s="205"/>
      <c r="T66" s="208" t="s">
        <v>1021</v>
      </c>
    </row>
    <row r="67">
      <c r="A67" s="205"/>
      <c r="B67" s="205"/>
      <c r="C67" s="216" t="s">
        <v>789</v>
      </c>
      <c r="D67" s="216" t="s">
        <v>44</v>
      </c>
      <c r="E67" s="205"/>
      <c r="F67" s="205"/>
      <c r="G67" s="34"/>
      <c r="H67" s="199" t="s">
        <v>1022</v>
      </c>
      <c r="I67" s="200">
        <v>334.0</v>
      </c>
      <c r="J67" s="208" t="s">
        <v>1023</v>
      </c>
      <c r="K67" s="202" t="s">
        <v>1024</v>
      </c>
      <c r="L67" s="100">
        <v>196.0</v>
      </c>
      <c r="M67" s="34"/>
      <c r="N67" s="34"/>
      <c r="O67" s="34"/>
      <c r="P67" s="34"/>
      <c r="Q67" s="34"/>
      <c r="R67" s="205"/>
      <c r="S67" s="205"/>
      <c r="T67" s="208" t="s">
        <v>1025</v>
      </c>
    </row>
    <row r="68">
      <c r="A68" s="205"/>
      <c r="B68" s="205"/>
      <c r="C68" s="216" t="s">
        <v>822</v>
      </c>
      <c r="D68" s="216" t="s">
        <v>1026</v>
      </c>
      <c r="E68" s="205"/>
      <c r="F68" s="205"/>
      <c r="G68" s="34"/>
      <c r="H68" s="199" t="s">
        <v>1027</v>
      </c>
      <c r="I68" s="200">
        <v>432.0</v>
      </c>
      <c r="J68" s="208" t="s">
        <v>1028</v>
      </c>
      <c r="K68" s="202" t="s">
        <v>1024</v>
      </c>
      <c r="L68" s="100">
        <v>200.0</v>
      </c>
      <c r="M68" s="34"/>
      <c r="N68" s="34"/>
      <c r="O68" s="34"/>
      <c r="P68" s="34"/>
      <c r="Q68" s="34"/>
      <c r="R68" s="205"/>
      <c r="S68" s="205"/>
      <c r="T68" s="208" t="s">
        <v>1029</v>
      </c>
    </row>
    <row r="69">
      <c r="A69" s="205"/>
      <c r="B69" s="205"/>
      <c r="C69" s="216" t="s">
        <v>717</v>
      </c>
      <c r="D69" s="216" t="s">
        <v>1030</v>
      </c>
      <c r="E69" s="205"/>
      <c r="F69" s="205"/>
      <c r="G69" s="34"/>
      <c r="H69" s="199" t="s">
        <v>1031</v>
      </c>
      <c r="I69" s="200">
        <v>302.0</v>
      </c>
      <c r="J69" s="208" t="s">
        <v>1032</v>
      </c>
      <c r="K69" s="202" t="s">
        <v>1033</v>
      </c>
      <c r="L69" s="100">
        <v>104.0</v>
      </c>
      <c r="M69" s="34"/>
      <c r="N69" s="34"/>
      <c r="O69" s="34"/>
      <c r="P69" s="34"/>
      <c r="Q69" s="34"/>
      <c r="R69" s="205"/>
      <c r="S69" s="205"/>
      <c r="T69" s="208" t="s">
        <v>1034</v>
      </c>
    </row>
    <row r="70">
      <c r="A70" s="205"/>
      <c r="B70" s="205"/>
      <c r="C70" s="216" t="s">
        <v>998</v>
      </c>
      <c r="D70" s="216" t="s">
        <v>44</v>
      </c>
      <c r="E70" s="205"/>
      <c r="F70" s="205"/>
      <c r="G70" s="34"/>
      <c r="H70" s="199" t="s">
        <v>1035</v>
      </c>
      <c r="I70" s="200">
        <v>303.0</v>
      </c>
      <c r="J70" s="208" t="s">
        <v>1036</v>
      </c>
      <c r="K70" s="202" t="s">
        <v>1037</v>
      </c>
      <c r="L70" s="100">
        <v>2.0</v>
      </c>
      <c r="M70" s="34"/>
      <c r="N70" s="34"/>
      <c r="O70" s="34"/>
      <c r="P70" s="34"/>
      <c r="Q70" s="34"/>
      <c r="R70" s="205"/>
      <c r="S70" s="205"/>
      <c r="T70" s="208" t="s">
        <v>1038</v>
      </c>
    </row>
    <row r="71">
      <c r="A71" s="205"/>
      <c r="B71" s="205"/>
      <c r="C71" s="216" t="s">
        <v>1004</v>
      </c>
      <c r="D71" s="216" t="s">
        <v>44</v>
      </c>
      <c r="E71" s="205"/>
      <c r="F71" s="205"/>
      <c r="G71" s="34"/>
      <c r="H71" s="199" t="s">
        <v>1039</v>
      </c>
      <c r="I71" s="200">
        <v>444.0</v>
      </c>
      <c r="J71" s="208" t="s">
        <v>1040</v>
      </c>
      <c r="K71" s="202" t="s">
        <v>1041</v>
      </c>
      <c r="L71" s="100">
        <v>105.0</v>
      </c>
      <c r="M71" s="34"/>
      <c r="N71" s="34"/>
      <c r="O71" s="34"/>
      <c r="P71" s="34"/>
      <c r="Q71" s="34"/>
      <c r="R71" s="205"/>
      <c r="S71" s="205"/>
      <c r="T71" s="208" t="s">
        <v>1042</v>
      </c>
    </row>
    <row r="72">
      <c r="A72" s="205"/>
      <c r="B72" s="205"/>
      <c r="C72" s="216" t="s">
        <v>1018</v>
      </c>
      <c r="D72" s="216" t="s">
        <v>1043</v>
      </c>
      <c r="E72" s="205"/>
      <c r="F72" s="205"/>
      <c r="G72" s="34"/>
      <c r="H72" s="199" t="s">
        <v>1044</v>
      </c>
      <c r="I72" s="200">
        <v>116.0</v>
      </c>
      <c r="J72" s="208" t="s">
        <v>1045</v>
      </c>
      <c r="K72" s="202" t="s">
        <v>1046</v>
      </c>
      <c r="L72" s="100">
        <v>17.0</v>
      </c>
      <c r="M72" s="34"/>
      <c r="N72" s="34"/>
      <c r="O72" s="34"/>
      <c r="P72" s="34"/>
      <c r="Q72" s="34"/>
      <c r="R72" s="205"/>
      <c r="S72" s="205"/>
      <c r="T72" s="208" t="s">
        <v>1047</v>
      </c>
    </row>
    <row r="73">
      <c r="A73" s="205"/>
      <c r="B73" s="205"/>
      <c r="C73" s="216" t="s">
        <v>1031</v>
      </c>
      <c r="D73" s="216" t="s">
        <v>44</v>
      </c>
      <c r="E73" s="205"/>
      <c r="F73" s="205"/>
      <c r="G73" s="34"/>
      <c r="H73" s="199" t="s">
        <v>1048</v>
      </c>
      <c r="I73" s="200">
        <v>117.0</v>
      </c>
      <c r="J73" s="208" t="s">
        <v>1049</v>
      </c>
      <c r="K73" s="202" t="s">
        <v>1050</v>
      </c>
      <c r="L73" s="100">
        <v>106.0</v>
      </c>
      <c r="M73" s="34"/>
      <c r="N73" s="34"/>
      <c r="O73" s="34"/>
      <c r="P73" s="34"/>
      <c r="Q73" s="34"/>
      <c r="R73" s="205"/>
      <c r="S73" s="205"/>
      <c r="T73" s="208" t="s">
        <v>1051</v>
      </c>
    </row>
    <row r="74">
      <c r="A74" s="205"/>
      <c r="B74" s="205"/>
      <c r="C74" s="216" t="s">
        <v>1035</v>
      </c>
      <c r="D74" s="216" t="s">
        <v>44</v>
      </c>
      <c r="E74" s="205"/>
      <c r="F74" s="205"/>
      <c r="G74" s="34"/>
      <c r="H74" s="199" t="s">
        <v>1052</v>
      </c>
      <c r="I74" s="200">
        <v>170.0</v>
      </c>
      <c r="J74" s="208" t="s">
        <v>1053</v>
      </c>
      <c r="K74" s="202" t="s">
        <v>1054</v>
      </c>
      <c r="L74" s="100">
        <v>18.0</v>
      </c>
      <c r="M74" s="34"/>
      <c r="N74" s="34"/>
      <c r="O74" s="34"/>
      <c r="P74" s="34"/>
      <c r="Q74" s="34"/>
      <c r="R74" s="205"/>
      <c r="S74" s="205"/>
      <c r="T74" s="208" t="s">
        <v>1055</v>
      </c>
    </row>
    <row r="75">
      <c r="A75" s="205"/>
      <c r="B75" s="205"/>
      <c r="C75" s="216" t="s">
        <v>1056</v>
      </c>
      <c r="D75" s="216" t="s">
        <v>44</v>
      </c>
      <c r="E75" s="205"/>
      <c r="F75" s="205"/>
      <c r="G75" s="34"/>
      <c r="H75" s="199" t="s">
        <v>1057</v>
      </c>
      <c r="I75" s="200">
        <v>71.0</v>
      </c>
      <c r="J75" s="208" t="s">
        <v>1058</v>
      </c>
      <c r="K75" s="202" t="s">
        <v>1059</v>
      </c>
      <c r="L75" s="100">
        <v>19.0</v>
      </c>
      <c r="M75" s="34"/>
      <c r="N75" s="34"/>
      <c r="O75" s="34"/>
      <c r="P75" s="34"/>
      <c r="Q75" s="34"/>
      <c r="R75" s="205"/>
      <c r="S75" s="205"/>
      <c r="T75" s="208" t="s">
        <v>1060</v>
      </c>
    </row>
    <row r="76">
      <c r="A76" s="205"/>
      <c r="B76" s="205"/>
      <c r="C76" s="216" t="s">
        <v>1061</v>
      </c>
      <c r="D76" s="216" t="s">
        <v>44</v>
      </c>
      <c r="E76" s="205"/>
      <c r="F76" s="205"/>
      <c r="G76" s="34"/>
      <c r="H76" s="199" t="s">
        <v>682</v>
      </c>
      <c r="I76" s="200">
        <v>23.0</v>
      </c>
      <c r="J76" s="208" t="s">
        <v>1062</v>
      </c>
      <c r="K76" s="202" t="s">
        <v>1063</v>
      </c>
      <c r="L76" s="100">
        <v>111.0</v>
      </c>
      <c r="M76" s="34"/>
      <c r="N76" s="34"/>
      <c r="O76" s="34"/>
      <c r="P76" s="34"/>
      <c r="Q76" s="34"/>
      <c r="R76" s="205"/>
      <c r="S76" s="205"/>
      <c r="T76" s="208" t="s">
        <v>1064</v>
      </c>
    </row>
    <row r="77">
      <c r="A77" s="205"/>
      <c r="B77" s="205"/>
      <c r="C77" s="216" t="s">
        <v>1065</v>
      </c>
      <c r="D77" s="216" t="s">
        <v>44</v>
      </c>
      <c r="E77" s="205"/>
      <c r="F77" s="205"/>
      <c r="G77" s="34"/>
      <c r="H77" s="199" t="s">
        <v>689</v>
      </c>
      <c r="I77" s="200">
        <v>30.0</v>
      </c>
      <c r="J77" s="208" t="s">
        <v>1066</v>
      </c>
      <c r="K77" s="202" t="s">
        <v>1067</v>
      </c>
      <c r="L77" s="100">
        <v>109.0</v>
      </c>
      <c r="M77" s="34"/>
      <c r="N77" s="34"/>
      <c r="O77" s="34"/>
      <c r="P77" s="34"/>
      <c r="Q77" s="34"/>
      <c r="R77" s="205"/>
      <c r="S77" s="205"/>
      <c r="T77" s="208" t="s">
        <v>1068</v>
      </c>
    </row>
    <row r="78">
      <c r="A78" s="205"/>
      <c r="B78" s="205"/>
      <c r="C78" s="216" t="s">
        <v>1069</v>
      </c>
      <c r="D78" s="216" t="s">
        <v>44</v>
      </c>
      <c r="E78" s="205"/>
      <c r="F78" s="205"/>
      <c r="G78" s="34"/>
      <c r="H78" s="199" t="s">
        <v>1070</v>
      </c>
      <c r="I78" s="200">
        <v>92.0</v>
      </c>
      <c r="J78" s="208" t="s">
        <v>1071</v>
      </c>
      <c r="K78" s="202" t="s">
        <v>1072</v>
      </c>
      <c r="L78" s="100">
        <v>20.0</v>
      </c>
      <c r="M78" s="34"/>
      <c r="N78" s="34"/>
      <c r="O78" s="34"/>
      <c r="P78" s="34"/>
      <c r="Q78" s="34"/>
      <c r="R78" s="205"/>
      <c r="S78" s="205"/>
      <c r="T78" s="208" t="s">
        <v>1073</v>
      </c>
    </row>
    <row r="79">
      <c r="A79" s="205"/>
      <c r="B79" s="205"/>
      <c r="C79" s="216" t="s">
        <v>1068</v>
      </c>
      <c r="D79" s="216" t="s">
        <v>1074</v>
      </c>
      <c r="E79" s="205"/>
      <c r="F79" s="205"/>
      <c r="G79" s="34"/>
      <c r="H79" s="199" t="s">
        <v>1075</v>
      </c>
      <c r="I79" s="200">
        <v>93.0</v>
      </c>
      <c r="J79" s="208" t="s">
        <v>1076</v>
      </c>
      <c r="K79" s="202" t="s">
        <v>1077</v>
      </c>
      <c r="L79" s="100">
        <v>107.0</v>
      </c>
      <c r="M79" s="34"/>
      <c r="N79" s="34"/>
      <c r="O79" s="34"/>
      <c r="P79" s="34"/>
      <c r="Q79" s="34"/>
      <c r="R79" s="205"/>
      <c r="S79" s="205"/>
      <c r="T79" s="208" t="s">
        <v>1078</v>
      </c>
    </row>
    <row r="80">
      <c r="A80" s="205"/>
      <c r="B80" s="205"/>
      <c r="C80" s="216" t="s">
        <v>1079</v>
      </c>
      <c r="D80" s="216" t="s">
        <v>1080</v>
      </c>
      <c r="E80" s="205"/>
      <c r="F80" s="205"/>
      <c r="G80" s="34"/>
      <c r="H80" s="199" t="s">
        <v>1081</v>
      </c>
      <c r="I80" s="200">
        <v>94.0</v>
      </c>
      <c r="J80" s="208" t="s">
        <v>1082</v>
      </c>
      <c r="K80" s="202" t="s">
        <v>1083</v>
      </c>
      <c r="L80" s="100">
        <v>108.0</v>
      </c>
      <c r="M80" s="34"/>
      <c r="N80" s="34"/>
      <c r="O80" s="34"/>
      <c r="P80" s="34"/>
      <c r="Q80" s="34"/>
      <c r="R80" s="205"/>
      <c r="S80" s="205"/>
      <c r="T80" s="208" t="s">
        <v>1084</v>
      </c>
    </row>
    <row r="81">
      <c r="A81" s="205"/>
      <c r="B81" s="205"/>
      <c r="C81" s="216" t="s">
        <v>1085</v>
      </c>
      <c r="D81" s="216" t="s">
        <v>44</v>
      </c>
      <c r="E81" s="205"/>
      <c r="F81" s="205"/>
      <c r="G81" s="34"/>
      <c r="H81" s="199" t="s">
        <v>1086</v>
      </c>
      <c r="I81" s="200">
        <v>95.0</v>
      </c>
      <c r="J81" s="208" t="s">
        <v>1087</v>
      </c>
      <c r="K81" s="202" t="s">
        <v>1088</v>
      </c>
      <c r="L81" s="100">
        <v>112.0</v>
      </c>
      <c r="M81" s="34"/>
      <c r="N81" s="34"/>
      <c r="O81" s="34"/>
      <c r="P81" s="34"/>
      <c r="Q81" s="34"/>
      <c r="R81" s="205"/>
      <c r="S81" s="205"/>
      <c r="T81" s="208" t="s">
        <v>1089</v>
      </c>
    </row>
    <row r="82">
      <c r="A82" s="205"/>
      <c r="B82" s="205"/>
      <c r="C82" s="216" t="s">
        <v>1090</v>
      </c>
      <c r="D82" s="216" t="s">
        <v>1091</v>
      </c>
      <c r="E82" s="205"/>
      <c r="F82" s="205"/>
      <c r="G82" s="34"/>
      <c r="H82" s="199" t="s">
        <v>1092</v>
      </c>
      <c r="I82" s="200">
        <v>96.0</v>
      </c>
      <c r="J82" s="208" t="s">
        <v>1093</v>
      </c>
      <c r="K82" s="202" t="s">
        <v>1094</v>
      </c>
      <c r="L82" s="100">
        <v>110.0</v>
      </c>
      <c r="M82" s="34"/>
      <c r="N82" s="34"/>
      <c r="O82" s="34"/>
      <c r="P82" s="34"/>
      <c r="Q82" s="34"/>
      <c r="R82" s="205"/>
      <c r="S82" s="205"/>
      <c r="T82" s="208" t="s">
        <v>1095</v>
      </c>
    </row>
    <row r="83">
      <c r="A83" s="205"/>
      <c r="B83" s="205"/>
      <c r="C83" s="216" t="s">
        <v>1095</v>
      </c>
      <c r="D83" s="216" t="s">
        <v>44</v>
      </c>
      <c r="E83" s="205"/>
      <c r="F83" s="205"/>
      <c r="G83" s="34"/>
      <c r="H83" s="199" t="s">
        <v>1096</v>
      </c>
      <c r="I83" s="200">
        <v>97.0</v>
      </c>
      <c r="J83" s="208" t="s">
        <v>892</v>
      </c>
      <c r="K83" s="202" t="s">
        <v>1097</v>
      </c>
      <c r="L83" s="100">
        <v>55.0</v>
      </c>
      <c r="M83" s="34"/>
      <c r="N83" s="34"/>
      <c r="O83" s="34"/>
      <c r="P83" s="34"/>
      <c r="Q83" s="34"/>
      <c r="R83" s="205"/>
      <c r="S83" s="205"/>
      <c r="T83" s="208" t="s">
        <v>1098</v>
      </c>
    </row>
    <row r="84">
      <c r="A84" s="205"/>
      <c r="B84" s="205"/>
      <c r="C84" s="216" t="s">
        <v>1099</v>
      </c>
      <c r="D84" s="216" t="s">
        <v>44</v>
      </c>
      <c r="E84" s="205"/>
      <c r="F84" s="205"/>
      <c r="G84" s="34"/>
      <c r="H84" s="199" t="s">
        <v>1100</v>
      </c>
      <c r="I84" s="200">
        <v>98.0</v>
      </c>
      <c r="J84" s="208" t="s">
        <v>1101</v>
      </c>
      <c r="K84" s="202" t="s">
        <v>1102</v>
      </c>
      <c r="L84" s="100">
        <v>21.0</v>
      </c>
      <c r="M84" s="34"/>
      <c r="N84" s="34"/>
      <c r="O84" s="34"/>
      <c r="P84" s="34"/>
      <c r="Q84" s="34"/>
      <c r="R84" s="205"/>
      <c r="S84" s="205"/>
      <c r="T84" s="208" t="s">
        <v>1103</v>
      </c>
    </row>
    <row r="85">
      <c r="A85" s="205"/>
      <c r="B85" s="205"/>
      <c r="C85" s="216" t="s">
        <v>1104</v>
      </c>
      <c r="D85" s="216" t="s">
        <v>1105</v>
      </c>
      <c r="E85" s="205"/>
      <c r="F85" s="205"/>
      <c r="G85" s="34"/>
      <c r="H85" s="199" t="s">
        <v>1106</v>
      </c>
      <c r="I85" s="200">
        <v>99.0</v>
      </c>
      <c r="J85" s="208" t="s">
        <v>1107</v>
      </c>
      <c r="K85" s="202" t="s">
        <v>1108</v>
      </c>
      <c r="L85" s="100">
        <v>22.0</v>
      </c>
      <c r="M85" s="34"/>
      <c r="N85" s="34"/>
      <c r="O85" s="34"/>
      <c r="P85" s="34"/>
      <c r="Q85" s="34"/>
      <c r="R85" s="205"/>
      <c r="S85" s="205"/>
      <c r="T85" s="208" t="s">
        <v>1109</v>
      </c>
    </row>
    <row r="86">
      <c r="A86" s="205"/>
      <c r="B86" s="205"/>
      <c r="C86" s="216" t="s">
        <v>1110</v>
      </c>
      <c r="D86" s="216" t="s">
        <v>44</v>
      </c>
      <c r="E86" s="205"/>
      <c r="F86" s="205"/>
      <c r="G86" s="34"/>
      <c r="H86" s="199" t="s">
        <v>1111</v>
      </c>
      <c r="I86" s="200">
        <v>100.0</v>
      </c>
      <c r="J86" s="208" t="s">
        <v>1112</v>
      </c>
      <c r="K86" s="202" t="s">
        <v>1113</v>
      </c>
      <c r="L86" s="100">
        <v>113.0</v>
      </c>
      <c r="M86" s="34"/>
      <c r="N86" s="34"/>
      <c r="O86" s="34"/>
      <c r="P86" s="34"/>
      <c r="Q86" s="34"/>
      <c r="R86" s="205"/>
      <c r="S86" s="205"/>
      <c r="T86" s="208" t="s">
        <v>1114</v>
      </c>
    </row>
    <row r="87">
      <c r="A87" s="205"/>
      <c r="B87" s="205"/>
      <c r="C87" s="216" t="s">
        <v>1115</v>
      </c>
      <c r="D87" s="216" t="s">
        <v>1116</v>
      </c>
      <c r="E87" s="205"/>
      <c r="F87" s="205"/>
      <c r="G87" s="34"/>
      <c r="H87" s="199" t="s">
        <v>1117</v>
      </c>
      <c r="I87" s="200">
        <v>118.0</v>
      </c>
      <c r="J87" s="208" t="s">
        <v>1118</v>
      </c>
      <c r="K87" s="202" t="s">
        <v>1119</v>
      </c>
      <c r="L87" s="100">
        <v>114.0</v>
      </c>
      <c r="M87" s="34"/>
      <c r="N87" s="34"/>
      <c r="O87" s="34"/>
      <c r="P87" s="34"/>
      <c r="Q87" s="34"/>
      <c r="R87" s="205"/>
      <c r="S87" s="205"/>
      <c r="T87" s="208" t="s">
        <v>1120</v>
      </c>
    </row>
    <row r="88">
      <c r="A88" s="205"/>
      <c r="B88" s="205"/>
      <c r="C88" s="216" t="s">
        <v>1121</v>
      </c>
      <c r="D88" s="216" t="s">
        <v>44</v>
      </c>
      <c r="E88" s="205"/>
      <c r="F88" s="205"/>
      <c r="G88" s="34"/>
      <c r="H88" s="199" t="s">
        <v>1122</v>
      </c>
      <c r="I88" s="200">
        <v>80.0</v>
      </c>
      <c r="J88" s="208" t="s">
        <v>1123</v>
      </c>
      <c r="K88" s="202" t="s">
        <v>1124</v>
      </c>
      <c r="L88" s="100">
        <v>115.0</v>
      </c>
      <c r="M88" s="34"/>
      <c r="N88" s="34"/>
      <c r="O88" s="34"/>
      <c r="P88" s="34"/>
      <c r="Q88" s="34"/>
      <c r="R88" s="205"/>
      <c r="S88" s="205"/>
      <c r="T88" s="208" t="s">
        <v>1125</v>
      </c>
    </row>
    <row r="89">
      <c r="A89" s="205"/>
      <c r="B89" s="205"/>
      <c r="C89" s="216" t="s">
        <v>1126</v>
      </c>
      <c r="D89" s="216" t="s">
        <v>44</v>
      </c>
      <c r="E89" s="205"/>
      <c r="F89" s="205"/>
      <c r="G89" s="34"/>
      <c r="H89" s="199" t="s">
        <v>696</v>
      </c>
      <c r="I89" s="200">
        <v>31.0</v>
      </c>
      <c r="J89" s="208" t="s">
        <v>1127</v>
      </c>
      <c r="K89" s="202" t="s">
        <v>1128</v>
      </c>
      <c r="L89" s="100">
        <v>116.0</v>
      </c>
      <c r="M89" s="34"/>
      <c r="N89" s="34"/>
      <c r="O89" s="34"/>
      <c r="P89" s="34"/>
      <c r="Q89" s="34"/>
      <c r="R89" s="205"/>
      <c r="S89" s="205"/>
      <c r="T89" s="208" t="s">
        <v>1129</v>
      </c>
    </row>
    <row r="90">
      <c r="A90" s="205"/>
      <c r="B90" s="205"/>
      <c r="C90" s="216" t="s">
        <v>1130</v>
      </c>
      <c r="D90" s="216" t="s">
        <v>1131</v>
      </c>
      <c r="E90" s="205"/>
      <c r="F90" s="205"/>
      <c r="G90" s="34"/>
      <c r="H90" s="199" t="s">
        <v>1132</v>
      </c>
      <c r="I90" s="200">
        <v>104.0</v>
      </c>
      <c r="J90" s="208" t="s">
        <v>1133</v>
      </c>
      <c r="K90" s="202" t="s">
        <v>1134</v>
      </c>
      <c r="L90" s="100">
        <v>117.0</v>
      </c>
      <c r="M90" s="34"/>
      <c r="N90" s="34"/>
      <c r="O90" s="34"/>
      <c r="P90" s="34"/>
      <c r="Q90" s="34"/>
      <c r="R90" s="205"/>
      <c r="S90" s="205"/>
      <c r="T90" s="208" t="s">
        <v>1135</v>
      </c>
    </row>
    <row r="91">
      <c r="A91" s="205"/>
      <c r="B91" s="205"/>
      <c r="C91" s="216" t="s">
        <v>1136</v>
      </c>
      <c r="D91" s="216" t="s">
        <v>1137</v>
      </c>
      <c r="E91" s="205"/>
      <c r="F91" s="205"/>
      <c r="G91" s="34"/>
      <c r="H91" s="199" t="s">
        <v>1138</v>
      </c>
      <c r="I91" s="200">
        <v>105.0</v>
      </c>
      <c r="J91" s="208" t="s">
        <v>1139</v>
      </c>
      <c r="K91" s="202" t="s">
        <v>1140</v>
      </c>
      <c r="L91" s="100">
        <v>23.0</v>
      </c>
      <c r="M91" s="34"/>
      <c r="N91" s="34"/>
      <c r="O91" s="34"/>
      <c r="P91" s="34"/>
      <c r="Q91" s="34"/>
      <c r="R91" s="205"/>
      <c r="S91" s="205"/>
      <c r="T91" s="208" t="s">
        <v>1141</v>
      </c>
    </row>
    <row r="92">
      <c r="A92" s="205"/>
      <c r="B92" s="205"/>
      <c r="C92" s="216" t="s">
        <v>1142</v>
      </c>
      <c r="D92" s="216" t="s">
        <v>1143</v>
      </c>
      <c r="E92" s="205"/>
      <c r="F92" s="205"/>
      <c r="G92" s="34"/>
      <c r="H92" s="199" t="s">
        <v>1144</v>
      </c>
      <c r="I92" s="200">
        <v>106.0</v>
      </c>
      <c r="J92" s="208" t="s">
        <v>1145</v>
      </c>
      <c r="K92" s="202" t="s">
        <v>1146</v>
      </c>
      <c r="L92" s="100">
        <v>119.0</v>
      </c>
      <c r="M92" s="34"/>
      <c r="N92" s="34"/>
      <c r="O92" s="34"/>
      <c r="P92" s="34"/>
      <c r="Q92" s="34"/>
      <c r="R92" s="205"/>
      <c r="S92" s="205"/>
      <c r="T92" s="208" t="s">
        <v>1147</v>
      </c>
    </row>
    <row r="93">
      <c r="A93" s="205"/>
      <c r="B93" s="205"/>
      <c r="C93" s="216" t="s">
        <v>1148</v>
      </c>
      <c r="D93" s="216" t="s">
        <v>44</v>
      </c>
      <c r="E93" s="205"/>
      <c r="F93" s="205"/>
      <c r="G93" s="34"/>
      <c r="H93" s="199" t="s">
        <v>1149</v>
      </c>
      <c r="I93" s="200">
        <v>107.0</v>
      </c>
      <c r="J93" s="208" t="s">
        <v>1150</v>
      </c>
      <c r="K93" s="202" t="s">
        <v>1151</v>
      </c>
      <c r="L93" s="100">
        <v>120.0</v>
      </c>
      <c r="M93" s="34"/>
      <c r="N93" s="34"/>
      <c r="O93" s="34"/>
      <c r="P93" s="34"/>
      <c r="Q93" s="34"/>
      <c r="R93" s="205"/>
      <c r="S93" s="205"/>
      <c r="T93" s="208" t="s">
        <v>1152</v>
      </c>
    </row>
    <row r="94">
      <c r="A94" s="205"/>
      <c r="B94" s="205"/>
      <c r="C94" s="216" t="s">
        <v>1153</v>
      </c>
      <c r="D94" s="216" t="s">
        <v>1154</v>
      </c>
      <c r="E94" s="205"/>
      <c r="F94" s="205"/>
      <c r="G94" s="34"/>
      <c r="H94" s="199" t="s">
        <v>1155</v>
      </c>
      <c r="I94" s="200">
        <v>171.0</v>
      </c>
      <c r="J94" s="208" t="s">
        <v>1156</v>
      </c>
      <c r="K94" s="202" t="s">
        <v>1157</v>
      </c>
      <c r="L94" s="100">
        <v>121.0</v>
      </c>
      <c r="M94" s="34"/>
      <c r="N94" s="34"/>
      <c r="O94" s="34"/>
      <c r="P94" s="34"/>
      <c r="Q94" s="34"/>
      <c r="R94" s="205"/>
      <c r="S94" s="205"/>
      <c r="T94" s="208" t="s">
        <v>1158</v>
      </c>
    </row>
    <row r="95">
      <c r="A95" s="205"/>
      <c r="B95" s="205"/>
      <c r="C95" s="216" t="s">
        <v>1159</v>
      </c>
      <c r="D95" s="216" t="s">
        <v>1160</v>
      </c>
      <c r="E95" s="205"/>
      <c r="F95" s="205"/>
      <c r="G95" s="34"/>
      <c r="H95" s="199" t="s">
        <v>1161</v>
      </c>
      <c r="I95" s="200">
        <v>172.0</v>
      </c>
      <c r="J95" s="208" t="s">
        <v>1162</v>
      </c>
      <c r="K95" s="202" t="s">
        <v>1163</v>
      </c>
      <c r="L95" s="100">
        <v>122.0</v>
      </c>
      <c r="M95" s="34"/>
      <c r="N95" s="34"/>
      <c r="O95" s="34"/>
      <c r="P95" s="34"/>
      <c r="Q95" s="34"/>
      <c r="R95" s="205"/>
      <c r="S95" s="205"/>
      <c r="T95" s="208" t="s">
        <v>1164</v>
      </c>
    </row>
    <row r="96">
      <c r="A96" s="205"/>
      <c r="B96" s="205"/>
      <c r="C96" s="216" t="s">
        <v>1165</v>
      </c>
      <c r="D96" s="216" t="s">
        <v>44</v>
      </c>
      <c r="E96" s="205"/>
      <c r="F96" s="205"/>
      <c r="G96" s="34"/>
      <c r="H96" s="199" t="s">
        <v>1166</v>
      </c>
      <c r="I96" s="200">
        <v>173.0</v>
      </c>
      <c r="J96" s="208" t="s">
        <v>1167</v>
      </c>
      <c r="K96" s="202" t="s">
        <v>1168</v>
      </c>
      <c r="L96" s="100">
        <v>123.0</v>
      </c>
      <c r="M96" s="34"/>
      <c r="N96" s="34"/>
      <c r="O96" s="34"/>
      <c r="P96" s="34"/>
      <c r="Q96" s="34"/>
      <c r="R96" s="205"/>
      <c r="S96" s="205"/>
      <c r="T96" s="208" t="s">
        <v>1169</v>
      </c>
    </row>
    <row r="97">
      <c r="A97" s="205"/>
      <c r="B97" s="205"/>
      <c r="C97" s="216" t="s">
        <v>1170</v>
      </c>
      <c r="D97" s="216" t="s">
        <v>44</v>
      </c>
      <c r="E97" s="205"/>
      <c r="F97" s="205"/>
      <c r="G97" s="34"/>
      <c r="H97" s="199" t="s">
        <v>1171</v>
      </c>
      <c r="I97" s="200">
        <v>174.0</v>
      </c>
      <c r="J97" s="208" t="s">
        <v>1172</v>
      </c>
      <c r="K97" s="202" t="s">
        <v>1173</v>
      </c>
      <c r="L97" s="100">
        <v>197.0</v>
      </c>
      <c r="M97" s="34"/>
      <c r="N97" s="34"/>
      <c r="O97" s="34"/>
      <c r="P97" s="34"/>
      <c r="Q97" s="34"/>
      <c r="R97" s="205"/>
      <c r="S97" s="205"/>
      <c r="T97" s="208" t="s">
        <v>1174</v>
      </c>
    </row>
    <row r="98">
      <c r="A98" s="205"/>
      <c r="B98" s="205"/>
      <c r="C98" s="216" t="s">
        <v>1175</v>
      </c>
      <c r="D98" s="216" t="s">
        <v>44</v>
      </c>
      <c r="E98" s="205"/>
      <c r="F98" s="205"/>
      <c r="G98" s="34"/>
      <c r="H98" s="199" t="s">
        <v>1176</v>
      </c>
      <c r="I98" s="200">
        <v>578.0</v>
      </c>
      <c r="J98" s="208" t="s">
        <v>1177</v>
      </c>
      <c r="K98" s="202" t="s">
        <v>1173</v>
      </c>
      <c r="L98" s="100">
        <v>201.0</v>
      </c>
      <c r="M98" s="34"/>
      <c r="N98" s="34"/>
      <c r="O98" s="34"/>
      <c r="P98" s="34"/>
      <c r="Q98" s="34"/>
      <c r="R98" s="205"/>
      <c r="S98" s="205"/>
      <c r="T98" s="208" t="s">
        <v>1178</v>
      </c>
    </row>
    <row r="99">
      <c r="A99" s="205"/>
      <c r="B99" s="205"/>
      <c r="C99" s="216" t="s">
        <v>1179</v>
      </c>
      <c r="D99" s="216" t="s">
        <v>1180</v>
      </c>
      <c r="E99" s="205"/>
      <c r="F99" s="205"/>
      <c r="G99" s="34"/>
      <c r="H99" s="199" t="s">
        <v>1181</v>
      </c>
      <c r="I99" s="200">
        <v>175.0</v>
      </c>
      <c r="J99" s="208" t="s">
        <v>1182</v>
      </c>
      <c r="K99" s="202" t="s">
        <v>826</v>
      </c>
      <c r="L99" s="100">
        <v>24.0</v>
      </c>
      <c r="M99" s="34"/>
      <c r="N99" s="34"/>
      <c r="O99" s="34"/>
      <c r="P99" s="34"/>
      <c r="Q99" s="34"/>
      <c r="R99" s="205"/>
      <c r="S99" s="205"/>
      <c r="T99" s="208" t="s">
        <v>1183</v>
      </c>
    </row>
    <row r="100">
      <c r="A100" s="205"/>
      <c r="B100" s="205"/>
      <c r="C100" s="216" t="s">
        <v>1184</v>
      </c>
      <c r="D100" s="216" t="s">
        <v>1185</v>
      </c>
      <c r="E100" s="205"/>
      <c r="F100" s="205"/>
      <c r="G100" s="34"/>
      <c r="H100" s="199" t="s">
        <v>1186</v>
      </c>
      <c r="I100" s="200">
        <v>176.0</v>
      </c>
      <c r="J100" s="208" t="s">
        <v>1187</v>
      </c>
      <c r="K100" s="202" t="s">
        <v>1188</v>
      </c>
      <c r="L100" s="100">
        <v>125.0</v>
      </c>
      <c r="M100" s="34"/>
      <c r="N100" s="34"/>
      <c r="O100" s="34"/>
      <c r="P100" s="34"/>
      <c r="Q100" s="34"/>
      <c r="R100" s="205"/>
      <c r="S100" s="205"/>
      <c r="T100" s="208" t="s">
        <v>1189</v>
      </c>
    </row>
    <row r="101">
      <c r="A101" s="205"/>
      <c r="B101" s="205"/>
      <c r="C101" s="216" t="s">
        <v>1190</v>
      </c>
      <c r="D101" s="216" t="s">
        <v>44</v>
      </c>
      <c r="E101" s="205"/>
      <c r="F101" s="205"/>
      <c r="G101" s="34"/>
      <c r="H101" s="199" t="s">
        <v>1191</v>
      </c>
      <c r="I101" s="200">
        <v>177.0</v>
      </c>
      <c r="J101" s="208" t="s">
        <v>1192</v>
      </c>
      <c r="K101" s="202" t="s">
        <v>1193</v>
      </c>
      <c r="L101" s="100">
        <v>124.0</v>
      </c>
      <c r="M101" s="34"/>
      <c r="N101" s="34"/>
      <c r="O101" s="34"/>
      <c r="P101" s="34"/>
      <c r="Q101" s="34"/>
      <c r="R101" s="205"/>
      <c r="S101" s="205"/>
      <c r="T101" s="208" t="s">
        <v>1194</v>
      </c>
    </row>
    <row r="102">
      <c r="A102" s="205"/>
      <c r="B102" s="205"/>
      <c r="C102" s="216" t="s">
        <v>1195</v>
      </c>
      <c r="D102" s="216" t="s">
        <v>44</v>
      </c>
      <c r="E102" s="205"/>
      <c r="F102" s="205"/>
      <c r="G102" s="34"/>
      <c r="H102" s="199" t="s">
        <v>1196</v>
      </c>
      <c r="I102" s="200">
        <v>178.0</v>
      </c>
      <c r="J102" s="208" t="s">
        <v>1197</v>
      </c>
      <c r="K102" s="202" t="s">
        <v>1198</v>
      </c>
      <c r="L102" s="100">
        <v>25.0</v>
      </c>
      <c r="M102" s="34"/>
      <c r="N102" s="34"/>
      <c r="O102" s="34"/>
      <c r="P102" s="34"/>
      <c r="Q102" s="34"/>
      <c r="R102" s="205"/>
      <c r="S102" s="205"/>
      <c r="T102" s="208" t="s">
        <v>1199</v>
      </c>
    </row>
    <row r="103">
      <c r="A103" s="205"/>
      <c r="B103" s="205"/>
      <c r="C103" s="216" t="s">
        <v>1200</v>
      </c>
      <c r="D103" s="216" t="s">
        <v>1201</v>
      </c>
      <c r="E103" s="205"/>
      <c r="F103" s="205"/>
      <c r="G103" s="34"/>
      <c r="H103" s="199" t="s">
        <v>1202</v>
      </c>
      <c r="I103" s="200">
        <v>179.0</v>
      </c>
      <c r="J103" s="208" t="s">
        <v>1203</v>
      </c>
      <c r="K103" s="202" t="s">
        <v>832</v>
      </c>
      <c r="L103" s="100">
        <v>56.0</v>
      </c>
      <c r="M103" s="34"/>
      <c r="N103" s="34"/>
      <c r="O103" s="34"/>
      <c r="P103" s="34"/>
      <c r="Q103" s="34"/>
      <c r="R103" s="205"/>
      <c r="S103" s="205"/>
      <c r="T103" s="208" t="s">
        <v>1204</v>
      </c>
    </row>
    <row r="104">
      <c r="A104" s="205"/>
      <c r="B104" s="205"/>
      <c r="C104" s="216" t="s">
        <v>977</v>
      </c>
      <c r="D104" s="216" t="s">
        <v>1205</v>
      </c>
      <c r="E104" s="205"/>
      <c r="F104" s="205"/>
      <c r="G104" s="34"/>
      <c r="H104" s="199" t="s">
        <v>1206</v>
      </c>
      <c r="I104" s="200">
        <v>180.0</v>
      </c>
      <c r="J104" s="208" t="s">
        <v>1207</v>
      </c>
      <c r="K104" s="202" t="s">
        <v>1208</v>
      </c>
      <c r="L104" s="100">
        <v>26.0</v>
      </c>
      <c r="M104" s="34"/>
      <c r="N104" s="34"/>
      <c r="O104" s="34"/>
      <c r="P104" s="34"/>
      <c r="Q104" s="34"/>
      <c r="R104" s="205"/>
      <c r="S104" s="205"/>
      <c r="T104" s="208" t="s">
        <v>1209</v>
      </c>
    </row>
    <row r="105">
      <c r="A105" s="205"/>
      <c r="B105" s="205"/>
      <c r="C105" s="216" t="s">
        <v>1210</v>
      </c>
      <c r="D105" s="216" t="s">
        <v>1211</v>
      </c>
      <c r="E105" s="205"/>
      <c r="F105" s="205"/>
      <c r="G105" s="34"/>
      <c r="H105" s="199" t="s">
        <v>1212</v>
      </c>
      <c r="I105" s="200">
        <v>72.0</v>
      </c>
      <c r="J105" s="208" t="s">
        <v>1213</v>
      </c>
      <c r="K105" s="202" t="s">
        <v>1214</v>
      </c>
      <c r="L105" s="100">
        <v>128.0</v>
      </c>
      <c r="M105" s="34"/>
      <c r="N105" s="34"/>
      <c r="O105" s="34"/>
      <c r="P105" s="34"/>
      <c r="Q105" s="34"/>
      <c r="R105" s="205"/>
      <c r="S105" s="205"/>
      <c r="T105" s="208" t="s">
        <v>1215</v>
      </c>
    </row>
    <row r="106">
      <c r="A106" s="205"/>
      <c r="B106" s="205"/>
      <c r="C106" s="216" t="s">
        <v>1216</v>
      </c>
      <c r="D106" s="216" t="s">
        <v>1217</v>
      </c>
      <c r="E106" s="205"/>
      <c r="F106" s="205"/>
      <c r="G106" s="34"/>
      <c r="H106" s="199" t="s">
        <v>1218</v>
      </c>
      <c r="I106" s="200">
        <v>108.0</v>
      </c>
      <c r="J106" s="208" t="s">
        <v>1219</v>
      </c>
      <c r="K106" s="202" t="s">
        <v>1220</v>
      </c>
      <c r="L106" s="100">
        <v>129.0</v>
      </c>
      <c r="M106" s="34"/>
      <c r="N106" s="34"/>
      <c r="O106" s="34"/>
      <c r="P106" s="34"/>
      <c r="Q106" s="34"/>
      <c r="R106" s="205"/>
      <c r="S106" s="205"/>
      <c r="T106" s="208" t="s">
        <v>1221</v>
      </c>
    </row>
    <row r="107">
      <c r="A107" s="205"/>
      <c r="B107" s="205"/>
      <c r="C107" s="216" t="s">
        <v>1222</v>
      </c>
      <c r="D107" s="216" t="s">
        <v>1223</v>
      </c>
      <c r="E107" s="205"/>
      <c r="F107" s="205"/>
      <c r="G107" s="34"/>
      <c r="H107" s="199" t="s">
        <v>951</v>
      </c>
      <c r="I107" s="200">
        <v>251.0</v>
      </c>
      <c r="J107" s="208" t="s">
        <v>1224</v>
      </c>
      <c r="K107" s="202" t="s">
        <v>1225</v>
      </c>
      <c r="L107" s="100">
        <v>27.0</v>
      </c>
      <c r="M107" s="34"/>
      <c r="N107" s="34"/>
      <c r="O107" s="34"/>
      <c r="P107" s="34"/>
      <c r="Q107" s="34"/>
      <c r="R107" s="205"/>
      <c r="S107" s="205"/>
      <c r="T107" s="208" t="s">
        <v>1226</v>
      </c>
    </row>
    <row r="108">
      <c r="A108" s="205"/>
      <c r="B108" s="205"/>
      <c r="C108" s="216" t="s">
        <v>1227</v>
      </c>
      <c r="D108" s="216" t="s">
        <v>1228</v>
      </c>
      <c r="E108" s="205"/>
      <c r="F108" s="205"/>
      <c r="G108" s="34"/>
      <c r="H108" s="199" t="s">
        <v>704</v>
      </c>
      <c r="I108" s="200">
        <v>32.0</v>
      </c>
      <c r="J108" s="208" t="s">
        <v>1229</v>
      </c>
      <c r="K108" s="202" t="s">
        <v>1230</v>
      </c>
      <c r="L108" s="100">
        <v>130.0</v>
      </c>
      <c r="M108" s="34"/>
      <c r="N108" s="34"/>
      <c r="O108" s="34"/>
      <c r="P108" s="34"/>
      <c r="Q108" s="34"/>
      <c r="R108" s="205"/>
      <c r="S108" s="205"/>
      <c r="T108" s="208" t="s">
        <v>1231</v>
      </c>
    </row>
    <row r="109">
      <c r="A109" s="205"/>
      <c r="B109" s="205"/>
      <c r="C109" s="216" t="s">
        <v>1232</v>
      </c>
      <c r="D109" s="216" t="s">
        <v>1233</v>
      </c>
      <c r="E109" s="205"/>
      <c r="F109" s="205"/>
      <c r="G109" s="34"/>
      <c r="H109" s="199" t="s">
        <v>1234</v>
      </c>
      <c r="I109" s="200">
        <v>119.0</v>
      </c>
      <c r="J109" s="208" t="s">
        <v>1235</v>
      </c>
      <c r="K109" s="202" t="s">
        <v>1236</v>
      </c>
      <c r="L109" s="100">
        <v>126.0</v>
      </c>
      <c r="M109" s="34"/>
      <c r="N109" s="34"/>
      <c r="O109" s="34"/>
      <c r="P109" s="34"/>
      <c r="Q109" s="34"/>
      <c r="R109" s="205"/>
      <c r="S109" s="205"/>
      <c r="T109" s="208" t="s">
        <v>1237</v>
      </c>
    </row>
    <row r="110">
      <c r="A110" s="205"/>
      <c r="B110" s="205"/>
      <c r="C110" s="216" t="s">
        <v>1238</v>
      </c>
      <c r="D110" s="216" t="s">
        <v>44</v>
      </c>
      <c r="E110" s="205"/>
      <c r="F110" s="205"/>
      <c r="G110" s="34"/>
      <c r="H110" s="199" t="s">
        <v>1239</v>
      </c>
      <c r="I110" s="200">
        <v>121.0</v>
      </c>
      <c r="J110" s="208" t="s">
        <v>1240</v>
      </c>
      <c r="K110" s="202" t="s">
        <v>1241</v>
      </c>
      <c r="L110" s="100">
        <v>132.0</v>
      </c>
      <c r="M110" s="34"/>
      <c r="N110" s="34"/>
      <c r="O110" s="34"/>
      <c r="P110" s="34"/>
      <c r="Q110" s="34"/>
      <c r="R110" s="205"/>
      <c r="S110" s="205"/>
      <c r="T110" s="208" t="s">
        <v>1242</v>
      </c>
    </row>
    <row r="111">
      <c r="A111" s="205"/>
      <c r="B111" s="205"/>
      <c r="C111" s="216" t="s">
        <v>726</v>
      </c>
      <c r="D111" s="216" t="s">
        <v>1243</v>
      </c>
      <c r="E111" s="205"/>
      <c r="F111" s="205"/>
      <c r="G111" s="34"/>
      <c r="H111" s="199" t="s">
        <v>1244</v>
      </c>
      <c r="I111" s="200">
        <v>60.0</v>
      </c>
      <c r="J111" s="208" t="s">
        <v>1245</v>
      </c>
      <c r="K111" s="202" t="s">
        <v>1246</v>
      </c>
      <c r="L111" s="100">
        <v>133.0</v>
      </c>
      <c r="M111" s="34"/>
      <c r="N111" s="34"/>
      <c r="O111" s="34"/>
      <c r="P111" s="34"/>
      <c r="Q111" s="34"/>
      <c r="R111" s="205"/>
      <c r="S111" s="205"/>
      <c r="T111" s="208" t="s">
        <v>1247</v>
      </c>
    </row>
    <row r="112">
      <c r="A112" s="205"/>
      <c r="B112" s="205"/>
      <c r="C112" s="216" t="s">
        <v>878</v>
      </c>
      <c r="D112" s="216" t="s">
        <v>44</v>
      </c>
      <c r="E112" s="205"/>
      <c r="F112" s="205"/>
      <c r="G112" s="34"/>
      <c r="H112" s="199" t="s">
        <v>711</v>
      </c>
      <c r="I112" s="200">
        <v>33.0</v>
      </c>
      <c r="J112" s="208" t="s">
        <v>1248</v>
      </c>
      <c r="K112" s="202" t="s">
        <v>1249</v>
      </c>
      <c r="L112" s="100">
        <v>28.0</v>
      </c>
      <c r="M112" s="34"/>
      <c r="N112" s="34"/>
      <c r="O112" s="34"/>
      <c r="P112" s="34"/>
      <c r="Q112" s="34"/>
      <c r="R112" s="205"/>
      <c r="S112" s="205"/>
      <c r="T112" s="208" t="s">
        <v>1250</v>
      </c>
    </row>
    <row r="113">
      <c r="A113" s="205"/>
      <c r="B113" s="205"/>
      <c r="C113" s="216" t="s">
        <v>1251</v>
      </c>
      <c r="D113" s="216" t="s">
        <v>44</v>
      </c>
      <c r="E113" s="205"/>
      <c r="F113" s="205"/>
      <c r="G113" s="34"/>
      <c r="H113" s="199" t="s">
        <v>1252</v>
      </c>
      <c r="I113" s="200">
        <v>135.0</v>
      </c>
      <c r="J113" s="208" t="s">
        <v>1253</v>
      </c>
      <c r="K113" s="202" t="s">
        <v>1254</v>
      </c>
      <c r="L113" s="100">
        <v>134.0</v>
      </c>
      <c r="M113" s="34"/>
      <c r="N113" s="34"/>
      <c r="O113" s="34"/>
      <c r="P113" s="34"/>
      <c r="Q113" s="34"/>
      <c r="R113" s="205"/>
      <c r="S113" s="205"/>
      <c r="T113" s="208" t="s">
        <v>1255</v>
      </c>
    </row>
    <row r="114">
      <c r="A114" s="205"/>
      <c r="B114" s="205"/>
      <c r="C114" s="216" t="s">
        <v>1256</v>
      </c>
      <c r="D114" s="216" t="s">
        <v>44</v>
      </c>
      <c r="E114" s="205"/>
      <c r="F114" s="205"/>
      <c r="G114" s="34"/>
      <c r="H114" s="199" t="s">
        <v>1257</v>
      </c>
      <c r="I114" s="200">
        <v>73.0</v>
      </c>
      <c r="J114" s="208" t="s">
        <v>1258</v>
      </c>
      <c r="K114" s="202" t="s">
        <v>1259</v>
      </c>
      <c r="L114" s="100">
        <v>135.0</v>
      </c>
      <c r="M114" s="34"/>
      <c r="N114" s="34"/>
      <c r="O114" s="34"/>
      <c r="P114" s="34"/>
      <c r="Q114" s="34"/>
      <c r="R114" s="205"/>
      <c r="S114" s="205"/>
      <c r="T114" s="208" t="s">
        <v>1260</v>
      </c>
    </row>
    <row r="115">
      <c r="A115" s="205"/>
      <c r="B115" s="205"/>
      <c r="C115" s="216" t="s">
        <v>1261</v>
      </c>
      <c r="D115" s="216" t="s">
        <v>1262</v>
      </c>
      <c r="E115" s="205"/>
      <c r="F115" s="205"/>
      <c r="G115" s="34"/>
      <c r="H115" s="199" t="s">
        <v>1056</v>
      </c>
      <c r="I115" s="200">
        <v>304.0</v>
      </c>
      <c r="J115" s="208" t="s">
        <v>1027</v>
      </c>
      <c r="K115" s="202" t="s">
        <v>1263</v>
      </c>
      <c r="L115" s="100">
        <v>131.0</v>
      </c>
      <c r="M115" s="34"/>
      <c r="N115" s="34"/>
      <c r="O115" s="34"/>
      <c r="P115" s="34"/>
      <c r="Q115" s="34"/>
      <c r="R115" s="205"/>
      <c r="S115" s="205"/>
      <c r="T115" s="208" t="s">
        <v>1264</v>
      </c>
    </row>
    <row r="116">
      <c r="A116" s="205"/>
      <c r="B116" s="205"/>
      <c r="C116" s="216" t="s">
        <v>1265</v>
      </c>
      <c r="D116" s="216" t="s">
        <v>1266</v>
      </c>
      <c r="E116" s="205"/>
      <c r="F116" s="205"/>
      <c r="G116" s="34"/>
      <c r="H116" s="199" t="s">
        <v>1267</v>
      </c>
      <c r="I116" s="200">
        <v>136.0</v>
      </c>
      <c r="J116" s="208" t="s">
        <v>1268</v>
      </c>
      <c r="K116" s="202" t="s">
        <v>1269</v>
      </c>
      <c r="L116" s="100">
        <v>136.0</v>
      </c>
      <c r="M116" s="34"/>
      <c r="N116" s="34"/>
      <c r="O116" s="34"/>
      <c r="P116" s="34"/>
      <c r="Q116" s="34"/>
      <c r="R116" s="205"/>
      <c r="S116" s="205"/>
      <c r="T116" s="208" t="s">
        <v>1270</v>
      </c>
    </row>
    <row r="117">
      <c r="A117" s="205"/>
      <c r="B117" s="205"/>
      <c r="C117" s="216" t="s">
        <v>1271</v>
      </c>
      <c r="D117" s="216" t="s">
        <v>1272</v>
      </c>
      <c r="E117" s="205"/>
      <c r="F117" s="205"/>
      <c r="G117" s="34"/>
      <c r="H117" s="199" t="s">
        <v>1273</v>
      </c>
      <c r="I117" s="200">
        <v>433.0</v>
      </c>
      <c r="J117" s="208" t="s">
        <v>1274</v>
      </c>
      <c r="K117" s="202" t="s">
        <v>1275</v>
      </c>
      <c r="L117" s="100">
        <v>137.0</v>
      </c>
      <c r="M117" s="34"/>
      <c r="N117" s="34"/>
      <c r="O117" s="34"/>
      <c r="P117" s="34"/>
      <c r="Q117" s="34"/>
      <c r="R117" s="205"/>
      <c r="S117" s="205"/>
      <c r="T117" s="208" t="s">
        <v>1276</v>
      </c>
    </row>
    <row r="118">
      <c r="A118" s="205"/>
      <c r="B118" s="205"/>
      <c r="C118" s="216" t="s">
        <v>1277</v>
      </c>
      <c r="D118" s="216" t="s">
        <v>1278</v>
      </c>
      <c r="E118" s="205"/>
      <c r="F118" s="205"/>
      <c r="G118" s="34"/>
      <c r="H118" s="199" t="s">
        <v>981</v>
      </c>
      <c r="I118" s="200">
        <v>276.0</v>
      </c>
      <c r="J118" s="208" t="s">
        <v>1279</v>
      </c>
      <c r="K118" s="202" t="s">
        <v>1280</v>
      </c>
      <c r="L118" s="100">
        <v>138.0</v>
      </c>
      <c r="M118" s="34"/>
      <c r="N118" s="34"/>
      <c r="O118" s="34"/>
      <c r="P118" s="34"/>
      <c r="Q118" s="34"/>
      <c r="R118" s="205"/>
      <c r="S118" s="205"/>
      <c r="T118" s="208" t="s">
        <v>1130</v>
      </c>
    </row>
    <row r="119">
      <c r="A119" s="205"/>
      <c r="B119" s="205"/>
      <c r="C119" s="216" t="s">
        <v>1281</v>
      </c>
      <c r="D119" s="216" t="s">
        <v>1282</v>
      </c>
      <c r="E119" s="205"/>
      <c r="F119" s="205"/>
      <c r="G119" s="34"/>
      <c r="H119" s="199" t="s">
        <v>1283</v>
      </c>
      <c r="I119" s="200">
        <v>109.0</v>
      </c>
      <c r="J119" s="208" t="s">
        <v>1284</v>
      </c>
      <c r="K119" s="202" t="s">
        <v>1285</v>
      </c>
      <c r="L119" s="100">
        <v>139.0</v>
      </c>
      <c r="M119" s="34"/>
      <c r="N119" s="34"/>
      <c r="O119" s="34"/>
      <c r="P119" s="34"/>
      <c r="Q119" s="34"/>
      <c r="R119" s="205"/>
      <c r="S119" s="205"/>
      <c r="T119" s="208" t="s">
        <v>1286</v>
      </c>
    </row>
    <row r="120">
      <c r="A120" s="205"/>
      <c r="B120" s="205"/>
      <c r="C120" s="216" t="s">
        <v>1287</v>
      </c>
      <c r="D120" s="216" t="s">
        <v>44</v>
      </c>
      <c r="E120" s="205"/>
      <c r="F120" s="205"/>
      <c r="G120" s="34"/>
      <c r="H120" s="199" t="s">
        <v>1288</v>
      </c>
      <c r="I120" s="200">
        <v>197.0</v>
      </c>
      <c r="J120" s="208" t="s">
        <v>1289</v>
      </c>
      <c r="K120" s="202" t="s">
        <v>1290</v>
      </c>
      <c r="L120" s="100">
        <v>140.0</v>
      </c>
      <c r="M120" s="34"/>
      <c r="N120" s="34"/>
      <c r="O120" s="34"/>
      <c r="P120" s="34"/>
      <c r="Q120" s="34"/>
      <c r="R120" s="205"/>
      <c r="S120" s="205"/>
      <c r="T120" s="208" t="s">
        <v>1291</v>
      </c>
    </row>
    <row r="121">
      <c r="A121" s="205"/>
      <c r="B121" s="205"/>
      <c r="C121" s="216" t="s">
        <v>1292</v>
      </c>
      <c r="D121" s="216" t="s">
        <v>1293</v>
      </c>
      <c r="E121" s="205"/>
      <c r="F121" s="205"/>
      <c r="G121" s="34"/>
      <c r="H121" s="199" t="s">
        <v>1251</v>
      </c>
      <c r="I121" s="200">
        <v>218.0</v>
      </c>
      <c r="J121" s="208" t="s">
        <v>1294</v>
      </c>
      <c r="K121" s="202" t="s">
        <v>1295</v>
      </c>
      <c r="L121" s="100">
        <v>141.0</v>
      </c>
      <c r="M121" s="34"/>
      <c r="N121" s="34"/>
      <c r="O121" s="34"/>
      <c r="P121" s="34"/>
      <c r="Q121" s="34"/>
      <c r="R121" s="205"/>
      <c r="S121" s="205"/>
      <c r="T121" s="208" t="s">
        <v>1296</v>
      </c>
    </row>
    <row r="122">
      <c r="A122" s="205"/>
      <c r="B122" s="205"/>
      <c r="C122" s="216" t="s">
        <v>1297</v>
      </c>
      <c r="D122" s="216" t="s">
        <v>1298</v>
      </c>
      <c r="E122" s="205"/>
      <c r="F122" s="205"/>
      <c r="G122" s="34"/>
      <c r="H122" s="199" t="s">
        <v>1299</v>
      </c>
      <c r="I122" s="200">
        <v>244.0</v>
      </c>
      <c r="J122" s="208" t="s">
        <v>1300</v>
      </c>
      <c r="K122" s="202" t="s">
        <v>1301</v>
      </c>
      <c r="L122" s="100">
        <v>144.0</v>
      </c>
      <c r="M122" s="34"/>
      <c r="N122" s="34"/>
      <c r="O122" s="34"/>
      <c r="P122" s="34"/>
      <c r="Q122" s="34"/>
      <c r="R122" s="205"/>
      <c r="S122" s="205"/>
      <c r="T122" s="208" t="s">
        <v>1302</v>
      </c>
    </row>
    <row r="123">
      <c r="A123" s="205"/>
      <c r="B123" s="205"/>
      <c r="C123" s="216" t="s">
        <v>1303</v>
      </c>
      <c r="D123" s="216" t="s">
        <v>44</v>
      </c>
      <c r="E123" s="205"/>
      <c r="F123" s="205"/>
      <c r="G123" s="34"/>
      <c r="H123" s="199" t="s">
        <v>986</v>
      </c>
      <c r="I123" s="200">
        <v>277.0</v>
      </c>
      <c r="J123" s="208" t="s">
        <v>1304</v>
      </c>
      <c r="K123" s="202" t="s">
        <v>1305</v>
      </c>
      <c r="L123" s="100">
        <v>143.0</v>
      </c>
      <c r="M123" s="34"/>
      <c r="N123" s="34"/>
      <c r="O123" s="34"/>
      <c r="P123" s="34"/>
      <c r="Q123" s="34"/>
      <c r="R123" s="205"/>
      <c r="S123" s="205"/>
      <c r="T123" s="208" t="s">
        <v>1306</v>
      </c>
    </row>
    <row r="124">
      <c r="A124" s="205"/>
      <c r="B124" s="205"/>
      <c r="C124" s="216" t="s">
        <v>1307</v>
      </c>
      <c r="D124" s="216" t="s">
        <v>1308</v>
      </c>
      <c r="E124" s="205"/>
      <c r="F124" s="205"/>
      <c r="G124" s="34"/>
      <c r="H124" s="199" t="s">
        <v>1309</v>
      </c>
      <c r="I124" s="200">
        <v>198.0</v>
      </c>
      <c r="J124" s="208" t="s">
        <v>1310</v>
      </c>
      <c r="K124" s="202" t="s">
        <v>1311</v>
      </c>
      <c r="L124" s="100">
        <v>142.0</v>
      </c>
      <c r="M124" s="34"/>
      <c r="N124" s="34"/>
      <c r="O124" s="34"/>
      <c r="P124" s="34"/>
      <c r="Q124" s="34"/>
      <c r="R124" s="205"/>
      <c r="S124" s="205"/>
      <c r="T124" s="208" t="s">
        <v>1312</v>
      </c>
    </row>
    <row r="125">
      <c r="A125" s="205"/>
      <c r="B125" s="205"/>
      <c r="C125" s="216" t="s">
        <v>1313</v>
      </c>
      <c r="D125" s="216" t="s">
        <v>44</v>
      </c>
      <c r="E125" s="205"/>
      <c r="F125" s="205"/>
      <c r="G125" s="34"/>
      <c r="H125" s="199" t="s">
        <v>595</v>
      </c>
      <c r="I125" s="200">
        <v>34.0</v>
      </c>
      <c r="J125" s="208" t="s">
        <v>1314</v>
      </c>
      <c r="K125" s="202" t="s">
        <v>1315</v>
      </c>
      <c r="L125" s="100">
        <v>162.0</v>
      </c>
      <c r="M125" s="34"/>
      <c r="N125" s="34"/>
      <c r="O125" s="34"/>
      <c r="P125" s="34"/>
      <c r="Q125" s="34"/>
      <c r="R125" s="205"/>
      <c r="S125" s="205"/>
      <c r="T125" s="208" t="s">
        <v>1316</v>
      </c>
    </row>
    <row r="126">
      <c r="A126" s="205"/>
      <c r="B126" s="205"/>
      <c r="C126" s="216" t="s">
        <v>1052</v>
      </c>
      <c r="D126" s="216" t="s">
        <v>1317</v>
      </c>
      <c r="E126" s="205"/>
      <c r="F126" s="205"/>
      <c r="G126" s="34"/>
      <c r="H126" s="199" t="s">
        <v>1318</v>
      </c>
      <c r="I126" s="200">
        <v>74.0</v>
      </c>
      <c r="J126" s="208" t="s">
        <v>1319</v>
      </c>
      <c r="K126" s="202" t="s">
        <v>1320</v>
      </c>
      <c r="L126" s="100">
        <v>29.0</v>
      </c>
      <c r="M126" s="34"/>
      <c r="N126" s="34"/>
      <c r="O126" s="34"/>
      <c r="P126" s="34"/>
      <c r="Q126" s="34"/>
      <c r="R126" s="205"/>
      <c r="S126" s="205"/>
      <c r="T126" s="208" t="s">
        <v>1321</v>
      </c>
    </row>
    <row r="127">
      <c r="A127" s="205"/>
      <c r="B127" s="205"/>
      <c r="C127" s="216" t="s">
        <v>1155</v>
      </c>
      <c r="D127" s="216" t="s">
        <v>44</v>
      </c>
      <c r="E127" s="205"/>
      <c r="F127" s="205"/>
      <c r="G127" s="34"/>
      <c r="H127" s="199" t="s">
        <v>1322</v>
      </c>
      <c r="I127" s="200">
        <v>137.0</v>
      </c>
      <c r="J127" s="208" t="s">
        <v>1323</v>
      </c>
      <c r="K127" s="202" t="s">
        <v>1324</v>
      </c>
      <c r="L127" s="100">
        <v>145.0</v>
      </c>
      <c r="M127" s="34"/>
      <c r="N127" s="34"/>
      <c r="O127" s="34"/>
      <c r="P127" s="34"/>
      <c r="Q127" s="34"/>
      <c r="R127" s="205"/>
      <c r="S127" s="205"/>
      <c r="T127" s="208" t="s">
        <v>1325</v>
      </c>
    </row>
    <row r="128">
      <c r="A128" s="205"/>
      <c r="B128" s="205"/>
      <c r="C128" s="216" t="s">
        <v>1161</v>
      </c>
      <c r="D128" s="216" t="s">
        <v>44</v>
      </c>
      <c r="E128" s="205"/>
      <c r="F128" s="205"/>
      <c r="G128" s="34"/>
      <c r="H128" s="199" t="s">
        <v>1326</v>
      </c>
      <c r="I128" s="200">
        <v>413.0</v>
      </c>
      <c r="J128" s="208" t="s">
        <v>1327</v>
      </c>
      <c r="K128" s="202" t="s">
        <v>1328</v>
      </c>
      <c r="L128" s="100">
        <v>146.0</v>
      </c>
      <c r="M128" s="34"/>
      <c r="N128" s="34"/>
      <c r="O128" s="34"/>
      <c r="P128" s="34"/>
      <c r="Q128" s="34"/>
      <c r="R128" s="205"/>
      <c r="S128" s="205"/>
      <c r="T128" s="208" t="s">
        <v>1329</v>
      </c>
    </row>
    <row r="129">
      <c r="A129" s="205"/>
      <c r="B129" s="205"/>
      <c r="C129" s="216" t="s">
        <v>1166</v>
      </c>
      <c r="D129" s="216" t="s">
        <v>44</v>
      </c>
      <c r="E129" s="205"/>
      <c r="F129" s="205"/>
      <c r="G129" s="34"/>
      <c r="H129" s="199" t="s">
        <v>1330</v>
      </c>
      <c r="I129" s="200">
        <v>199.0</v>
      </c>
      <c r="J129" s="208" t="s">
        <v>1331</v>
      </c>
      <c r="K129" s="202" t="s">
        <v>1332</v>
      </c>
      <c r="L129" s="100">
        <v>149.0</v>
      </c>
      <c r="M129" s="34"/>
      <c r="N129" s="34"/>
      <c r="O129" s="34"/>
      <c r="P129" s="34"/>
      <c r="Q129" s="34"/>
      <c r="R129" s="205"/>
      <c r="S129" s="205"/>
      <c r="T129" s="208" t="s">
        <v>1333</v>
      </c>
    </row>
    <row r="130">
      <c r="A130" s="205"/>
      <c r="B130" s="205"/>
      <c r="C130" s="216" t="s">
        <v>1171</v>
      </c>
      <c r="D130" s="216" t="s">
        <v>44</v>
      </c>
      <c r="E130" s="205"/>
      <c r="F130" s="205"/>
      <c r="G130" s="34"/>
      <c r="H130" s="199" t="s">
        <v>723</v>
      </c>
      <c r="I130" s="200">
        <v>333.0</v>
      </c>
      <c r="J130" s="208" t="s">
        <v>1334</v>
      </c>
      <c r="K130" s="202" t="s">
        <v>1335</v>
      </c>
      <c r="L130" s="100">
        <v>150.0</v>
      </c>
      <c r="M130" s="34"/>
      <c r="N130" s="34"/>
      <c r="O130" s="34"/>
      <c r="P130" s="34"/>
      <c r="Q130" s="34"/>
      <c r="R130" s="205"/>
      <c r="S130" s="205"/>
      <c r="T130" s="208" t="s">
        <v>1336</v>
      </c>
    </row>
    <row r="131">
      <c r="A131" s="205"/>
      <c r="B131" s="205"/>
      <c r="C131" s="216" t="s">
        <v>1181</v>
      </c>
      <c r="D131" s="216" t="s">
        <v>44</v>
      </c>
      <c r="E131" s="205"/>
      <c r="F131" s="205"/>
      <c r="G131" s="34"/>
      <c r="H131" s="199" t="s">
        <v>1337</v>
      </c>
      <c r="I131" s="200">
        <v>592.0</v>
      </c>
      <c r="J131" s="208" t="s">
        <v>1338</v>
      </c>
      <c r="K131" s="202" t="s">
        <v>1339</v>
      </c>
      <c r="L131" s="100">
        <v>153.0</v>
      </c>
      <c r="M131" s="34"/>
      <c r="N131" s="34"/>
      <c r="O131" s="34"/>
      <c r="P131" s="34"/>
      <c r="Q131" s="34"/>
      <c r="R131" s="205"/>
      <c r="S131" s="205"/>
      <c r="T131" s="208" t="s">
        <v>1340</v>
      </c>
    </row>
    <row r="132">
      <c r="A132" s="205"/>
      <c r="B132" s="205"/>
      <c r="C132" s="216" t="s">
        <v>1186</v>
      </c>
      <c r="D132" s="216" t="s">
        <v>44</v>
      </c>
      <c r="E132" s="205"/>
      <c r="F132" s="205"/>
      <c r="G132" s="34"/>
      <c r="H132" s="199" t="s">
        <v>1341</v>
      </c>
      <c r="I132" s="200">
        <v>565.0</v>
      </c>
      <c r="J132" s="208" t="s">
        <v>1342</v>
      </c>
      <c r="K132" s="202" t="s">
        <v>1343</v>
      </c>
      <c r="L132" s="100">
        <v>62.0</v>
      </c>
      <c r="M132" s="34"/>
      <c r="N132" s="34"/>
      <c r="O132" s="34"/>
      <c r="P132" s="34"/>
      <c r="Q132" s="34"/>
      <c r="R132" s="205"/>
      <c r="S132" s="205"/>
      <c r="T132" s="208" t="s">
        <v>1344</v>
      </c>
    </row>
    <row r="133">
      <c r="A133" s="205"/>
      <c r="B133" s="205"/>
      <c r="C133" s="216" t="s">
        <v>1191</v>
      </c>
      <c r="D133" s="216" t="s">
        <v>44</v>
      </c>
      <c r="E133" s="205"/>
      <c r="F133" s="205"/>
      <c r="G133" s="34"/>
      <c r="H133" s="199" t="s">
        <v>730</v>
      </c>
      <c r="I133" s="200">
        <v>16.0</v>
      </c>
      <c r="J133" s="208" t="s">
        <v>1345</v>
      </c>
      <c r="K133" s="202" t="s">
        <v>1343</v>
      </c>
      <c r="L133" s="100">
        <v>152.0</v>
      </c>
      <c r="M133" s="34"/>
      <c r="N133" s="34"/>
      <c r="O133" s="34"/>
      <c r="P133" s="34"/>
      <c r="Q133" s="34"/>
      <c r="R133" s="205"/>
      <c r="S133" s="205"/>
      <c r="T133" s="208" t="s">
        <v>1346</v>
      </c>
    </row>
    <row r="134">
      <c r="A134" s="205"/>
      <c r="B134" s="205"/>
      <c r="C134" s="216" t="s">
        <v>1196</v>
      </c>
      <c r="D134" s="216" t="s">
        <v>44</v>
      </c>
      <c r="E134" s="205"/>
      <c r="F134" s="205"/>
      <c r="G134" s="34"/>
      <c r="H134" s="199" t="s">
        <v>1061</v>
      </c>
      <c r="I134" s="200">
        <v>305.0</v>
      </c>
      <c r="J134" s="208" t="s">
        <v>1347</v>
      </c>
      <c r="K134" s="202" t="s">
        <v>1348</v>
      </c>
      <c r="L134" s="100">
        <v>154.0</v>
      </c>
      <c r="M134" s="34"/>
      <c r="N134" s="34"/>
      <c r="O134" s="34"/>
      <c r="P134" s="34"/>
      <c r="Q134" s="34"/>
      <c r="R134" s="205"/>
      <c r="S134" s="205"/>
      <c r="T134" s="208" t="s">
        <v>1349</v>
      </c>
    </row>
    <row r="135">
      <c r="A135" s="205"/>
      <c r="B135" s="205"/>
      <c r="C135" s="216" t="s">
        <v>1202</v>
      </c>
      <c r="D135" s="216" t="s">
        <v>44</v>
      </c>
      <c r="E135" s="205"/>
      <c r="F135" s="205"/>
      <c r="G135" s="34"/>
      <c r="H135" s="199" t="s">
        <v>806</v>
      </c>
      <c r="I135" s="200">
        <v>260.0</v>
      </c>
      <c r="J135" s="208" t="s">
        <v>1350</v>
      </c>
      <c r="K135" s="202" t="s">
        <v>1351</v>
      </c>
      <c r="L135" s="100">
        <v>155.0</v>
      </c>
      <c r="M135" s="34"/>
      <c r="N135" s="34"/>
      <c r="O135" s="34"/>
      <c r="P135" s="34"/>
      <c r="Q135" s="34"/>
      <c r="R135" s="205"/>
      <c r="S135" s="205"/>
      <c r="T135" s="208" t="s">
        <v>1352</v>
      </c>
    </row>
    <row r="136">
      <c r="A136" s="205"/>
      <c r="B136" s="205"/>
      <c r="C136" s="216" t="s">
        <v>1206</v>
      </c>
      <c r="D136" s="216" t="s">
        <v>44</v>
      </c>
      <c r="E136" s="205"/>
      <c r="F136" s="205"/>
      <c r="G136" s="34"/>
      <c r="H136" s="199" t="s">
        <v>1353</v>
      </c>
      <c r="I136" s="200">
        <v>75.0</v>
      </c>
      <c r="J136" s="208" t="s">
        <v>1354</v>
      </c>
      <c r="K136" s="202" t="s">
        <v>1355</v>
      </c>
      <c r="L136" s="100">
        <v>156.0</v>
      </c>
      <c r="M136" s="34"/>
      <c r="N136" s="34"/>
      <c r="O136" s="34"/>
      <c r="P136" s="34"/>
      <c r="Q136" s="34"/>
      <c r="R136" s="205"/>
      <c r="S136" s="205"/>
      <c r="T136" s="208" t="s">
        <v>1356</v>
      </c>
    </row>
    <row r="137">
      <c r="A137" s="205"/>
      <c r="B137" s="205"/>
      <c r="C137" s="216" t="s">
        <v>1357</v>
      </c>
      <c r="D137" s="216" t="s">
        <v>44</v>
      </c>
      <c r="E137" s="205"/>
      <c r="F137" s="205"/>
      <c r="G137" s="34"/>
      <c r="H137" s="199" t="s">
        <v>1358</v>
      </c>
      <c r="I137" s="200">
        <v>185.0</v>
      </c>
      <c r="J137" s="208" t="s">
        <v>1359</v>
      </c>
      <c r="K137" s="202" t="s">
        <v>1360</v>
      </c>
      <c r="L137" s="100">
        <v>57.0</v>
      </c>
      <c r="M137" s="34"/>
      <c r="N137" s="34"/>
      <c r="O137" s="34"/>
      <c r="P137" s="34"/>
      <c r="Q137" s="34"/>
      <c r="R137" s="205"/>
      <c r="S137" s="205"/>
      <c r="T137" s="208" t="s">
        <v>1361</v>
      </c>
    </row>
    <row r="138">
      <c r="A138" s="205"/>
      <c r="B138" s="205"/>
      <c r="C138" s="216" t="s">
        <v>1362</v>
      </c>
      <c r="D138" s="216" t="s">
        <v>44</v>
      </c>
      <c r="E138" s="205"/>
      <c r="F138" s="205"/>
      <c r="G138" s="34"/>
      <c r="H138" s="199" t="s">
        <v>1065</v>
      </c>
      <c r="I138" s="200">
        <v>306.0</v>
      </c>
      <c r="J138" s="208" t="s">
        <v>1363</v>
      </c>
      <c r="K138" s="202" t="s">
        <v>1364</v>
      </c>
      <c r="L138" s="100">
        <v>30.0</v>
      </c>
      <c r="M138" s="34"/>
      <c r="N138" s="34"/>
      <c r="O138" s="34"/>
      <c r="P138" s="34"/>
      <c r="Q138" s="34"/>
      <c r="R138" s="205"/>
      <c r="S138" s="205"/>
      <c r="T138" s="208" t="s">
        <v>1365</v>
      </c>
    </row>
    <row r="139">
      <c r="A139" s="205"/>
      <c r="B139" s="205"/>
      <c r="C139" s="216" t="s">
        <v>1366</v>
      </c>
      <c r="D139" s="216" t="s">
        <v>44</v>
      </c>
      <c r="E139" s="205"/>
      <c r="F139" s="205"/>
      <c r="G139" s="34"/>
      <c r="H139" s="199" t="s">
        <v>1367</v>
      </c>
      <c r="I139" s="200">
        <v>160.0</v>
      </c>
      <c r="J139" s="208" t="s">
        <v>1368</v>
      </c>
      <c r="K139" s="202" t="s">
        <v>1369</v>
      </c>
      <c r="L139" s="100">
        <v>31.0</v>
      </c>
      <c r="M139" s="34"/>
      <c r="N139" s="34"/>
      <c r="O139" s="34"/>
      <c r="P139" s="34"/>
      <c r="Q139" s="34"/>
      <c r="R139" s="205"/>
      <c r="S139" s="205"/>
      <c r="T139" s="208" t="s">
        <v>1370</v>
      </c>
    </row>
    <row r="140">
      <c r="A140" s="205"/>
      <c r="B140" s="205"/>
      <c r="C140" s="216" t="s">
        <v>801</v>
      </c>
      <c r="D140" s="216" t="s">
        <v>44</v>
      </c>
      <c r="E140" s="205"/>
      <c r="F140" s="205"/>
      <c r="G140" s="34"/>
      <c r="H140" s="199" t="s">
        <v>1371</v>
      </c>
      <c r="I140" s="200">
        <v>245.0</v>
      </c>
      <c r="J140" s="208" t="s">
        <v>1372</v>
      </c>
      <c r="K140" s="202" t="s">
        <v>173</v>
      </c>
      <c r="L140" s="100">
        <v>58.0</v>
      </c>
      <c r="M140" s="34"/>
      <c r="N140" s="34"/>
      <c r="O140" s="34"/>
      <c r="P140" s="34"/>
      <c r="Q140" s="34"/>
      <c r="R140" s="205"/>
      <c r="S140" s="205"/>
      <c r="T140" s="208" t="s">
        <v>1373</v>
      </c>
    </row>
    <row r="141">
      <c r="A141" s="205"/>
      <c r="B141" s="205"/>
      <c r="C141" s="216" t="s">
        <v>1374</v>
      </c>
      <c r="D141" s="216" t="s">
        <v>44</v>
      </c>
      <c r="E141" s="205"/>
      <c r="F141" s="205"/>
      <c r="G141" s="34"/>
      <c r="H141" s="199" t="s">
        <v>737</v>
      </c>
      <c r="I141" s="200">
        <v>54.0</v>
      </c>
      <c r="J141" s="208" t="s">
        <v>1375</v>
      </c>
      <c r="K141" s="202" t="s">
        <v>1376</v>
      </c>
      <c r="L141" s="100">
        <v>157.0</v>
      </c>
      <c r="M141" s="34"/>
      <c r="N141" s="34"/>
      <c r="O141" s="34"/>
      <c r="P141" s="34"/>
      <c r="Q141" s="34"/>
      <c r="R141" s="205"/>
      <c r="S141" s="205"/>
      <c r="T141" s="208" t="s">
        <v>1377</v>
      </c>
    </row>
    <row r="142">
      <c r="A142" s="205"/>
      <c r="B142" s="205"/>
      <c r="C142" s="216" t="s">
        <v>1378</v>
      </c>
      <c r="D142" s="216" t="s">
        <v>44</v>
      </c>
      <c r="E142" s="205"/>
      <c r="F142" s="205"/>
      <c r="G142" s="34"/>
      <c r="H142" s="199" t="s">
        <v>1379</v>
      </c>
      <c r="I142" s="200">
        <v>200.0</v>
      </c>
      <c r="J142" s="208" t="s">
        <v>1380</v>
      </c>
      <c r="K142" s="202" t="s">
        <v>1381</v>
      </c>
      <c r="L142" s="100">
        <v>198.0</v>
      </c>
      <c r="M142" s="34"/>
      <c r="N142" s="34"/>
      <c r="O142" s="34"/>
      <c r="P142" s="34"/>
      <c r="Q142" s="34"/>
      <c r="R142" s="205"/>
      <c r="S142" s="205"/>
      <c r="T142" s="208" t="s">
        <v>1382</v>
      </c>
    </row>
    <row r="143">
      <c r="A143" s="205"/>
      <c r="B143" s="205"/>
      <c r="C143" s="216" t="s">
        <v>1383</v>
      </c>
      <c r="D143" s="216" t="s">
        <v>44</v>
      </c>
      <c r="E143" s="205"/>
      <c r="F143" s="205"/>
      <c r="G143" s="34"/>
      <c r="H143" s="199" t="s">
        <v>1384</v>
      </c>
      <c r="I143" s="200">
        <v>246.0</v>
      </c>
      <c r="J143" s="208" t="s">
        <v>1385</v>
      </c>
      <c r="K143" s="202" t="s">
        <v>1381</v>
      </c>
      <c r="L143" s="100">
        <v>202.0</v>
      </c>
      <c r="M143" s="34"/>
      <c r="N143" s="34"/>
      <c r="O143" s="34"/>
      <c r="P143" s="34"/>
      <c r="Q143" s="34"/>
      <c r="R143" s="205"/>
      <c r="S143" s="205"/>
      <c r="T143" s="208" t="s">
        <v>1386</v>
      </c>
    </row>
    <row r="144">
      <c r="A144" s="205"/>
      <c r="B144" s="205"/>
      <c r="C144" s="216" t="s">
        <v>850</v>
      </c>
      <c r="D144" s="216" t="s">
        <v>1387</v>
      </c>
      <c r="E144" s="205"/>
      <c r="F144" s="205"/>
      <c r="G144" s="34"/>
      <c r="H144" s="199" t="s">
        <v>922</v>
      </c>
      <c r="I144" s="200">
        <v>155.0</v>
      </c>
      <c r="J144" s="208" t="s">
        <v>1388</v>
      </c>
      <c r="K144" s="202" t="s">
        <v>1389</v>
      </c>
      <c r="L144" s="100">
        <v>32.0</v>
      </c>
      <c r="M144" s="34"/>
      <c r="N144" s="34"/>
      <c r="O144" s="34"/>
      <c r="P144" s="34"/>
      <c r="Q144" s="34"/>
      <c r="R144" s="205"/>
      <c r="S144" s="205"/>
      <c r="T144" s="208" t="s">
        <v>1390</v>
      </c>
    </row>
    <row r="145">
      <c r="A145" s="205"/>
      <c r="B145" s="205"/>
      <c r="C145" s="216" t="s">
        <v>899</v>
      </c>
      <c r="D145" s="216" t="s">
        <v>44</v>
      </c>
      <c r="E145" s="205"/>
      <c r="F145" s="205"/>
      <c r="G145" s="34"/>
      <c r="H145" s="199" t="s">
        <v>957</v>
      </c>
      <c r="I145" s="200">
        <v>252.0</v>
      </c>
      <c r="J145" s="208" t="s">
        <v>1391</v>
      </c>
      <c r="K145" s="202" t="s">
        <v>1392</v>
      </c>
      <c r="L145" s="100">
        <v>158.0</v>
      </c>
      <c r="M145" s="34"/>
      <c r="N145" s="34"/>
      <c r="O145" s="34"/>
      <c r="P145" s="34"/>
      <c r="Q145" s="34"/>
      <c r="R145" s="205"/>
      <c r="S145" s="205"/>
      <c r="T145" s="208" t="s">
        <v>1393</v>
      </c>
    </row>
    <row r="146">
      <c r="A146" s="205"/>
      <c r="B146" s="205"/>
      <c r="C146" s="216" t="s">
        <v>899</v>
      </c>
      <c r="D146" s="216" t="s">
        <v>44</v>
      </c>
      <c r="E146" s="205"/>
      <c r="F146" s="205"/>
      <c r="G146" s="34"/>
      <c r="H146" s="199" t="s">
        <v>930</v>
      </c>
      <c r="I146" s="200">
        <v>534.0</v>
      </c>
      <c r="J146" s="208" t="s">
        <v>1394</v>
      </c>
      <c r="K146" s="202" t="s">
        <v>1395</v>
      </c>
      <c r="L146" s="100">
        <v>159.0</v>
      </c>
      <c r="M146" s="34"/>
      <c r="N146" s="34"/>
      <c r="O146" s="34"/>
      <c r="P146" s="34"/>
      <c r="Q146" s="34"/>
      <c r="R146" s="205"/>
      <c r="S146" s="205"/>
      <c r="T146" s="208" t="s">
        <v>1396</v>
      </c>
    </row>
    <row r="147">
      <c r="A147" s="205"/>
      <c r="B147" s="205"/>
      <c r="C147" s="216" t="s">
        <v>924</v>
      </c>
      <c r="D147" s="216" t="s">
        <v>44</v>
      </c>
      <c r="E147" s="205"/>
      <c r="F147" s="205"/>
      <c r="G147" s="34"/>
      <c r="H147" s="199" t="s">
        <v>1397</v>
      </c>
      <c r="I147" s="200">
        <v>426.0</v>
      </c>
      <c r="J147" s="208" t="s">
        <v>1398</v>
      </c>
      <c r="K147" s="202" t="s">
        <v>1153</v>
      </c>
      <c r="L147" s="100">
        <v>34.0</v>
      </c>
      <c r="M147" s="34"/>
      <c r="N147" s="34"/>
      <c r="O147" s="34"/>
      <c r="P147" s="34"/>
      <c r="Q147" s="34"/>
      <c r="R147" s="205"/>
      <c r="S147" s="205"/>
      <c r="T147" s="208" t="s">
        <v>1399</v>
      </c>
    </row>
    <row r="148">
      <c r="A148" s="205"/>
      <c r="B148" s="205"/>
      <c r="C148" s="216" t="s">
        <v>1288</v>
      </c>
      <c r="D148" s="216" t="s">
        <v>44</v>
      </c>
      <c r="E148" s="205"/>
      <c r="F148" s="205"/>
      <c r="G148" s="34"/>
      <c r="H148" s="199" t="s">
        <v>1400</v>
      </c>
      <c r="I148" s="200">
        <v>120.0</v>
      </c>
      <c r="J148" s="208" t="s">
        <v>1401</v>
      </c>
      <c r="K148" s="202" t="s">
        <v>1402</v>
      </c>
      <c r="L148" s="100">
        <v>163.0</v>
      </c>
      <c r="M148" s="34"/>
      <c r="N148" s="34"/>
      <c r="O148" s="34"/>
      <c r="P148" s="34"/>
      <c r="Q148" s="34"/>
      <c r="R148" s="205"/>
      <c r="S148" s="205"/>
      <c r="T148" s="208" t="s">
        <v>1403</v>
      </c>
    </row>
    <row r="149">
      <c r="A149" s="205"/>
      <c r="B149" s="205"/>
      <c r="C149" s="216" t="s">
        <v>1309</v>
      </c>
      <c r="D149" s="216" t="s">
        <v>1404</v>
      </c>
      <c r="E149" s="205"/>
      <c r="F149" s="205"/>
      <c r="G149" s="34"/>
      <c r="H149" s="199" t="s">
        <v>1405</v>
      </c>
      <c r="I149" s="200">
        <v>161.0</v>
      </c>
      <c r="J149" s="208" t="s">
        <v>1406</v>
      </c>
      <c r="K149" s="202" t="s">
        <v>1407</v>
      </c>
      <c r="L149" s="100">
        <v>164.0</v>
      </c>
      <c r="M149" s="34"/>
      <c r="N149" s="34"/>
      <c r="O149" s="34"/>
      <c r="P149" s="34"/>
      <c r="Q149" s="34"/>
      <c r="R149" s="205"/>
      <c r="S149" s="205"/>
      <c r="T149" s="208" t="s">
        <v>1408</v>
      </c>
    </row>
    <row r="150">
      <c r="A150" s="205"/>
      <c r="B150" s="205"/>
      <c r="C150" s="216" t="s">
        <v>1330</v>
      </c>
      <c r="D150" s="216" t="s">
        <v>1409</v>
      </c>
      <c r="E150" s="205"/>
      <c r="F150" s="205"/>
      <c r="G150" s="34"/>
      <c r="H150" s="199" t="s">
        <v>1357</v>
      </c>
      <c r="I150" s="200">
        <v>181.0</v>
      </c>
      <c r="J150" s="208" t="s">
        <v>1410</v>
      </c>
      <c r="K150" s="202" t="s">
        <v>1411</v>
      </c>
      <c r="L150" s="100">
        <v>59.0</v>
      </c>
      <c r="M150" s="34"/>
      <c r="N150" s="34"/>
      <c r="O150" s="34"/>
      <c r="P150" s="34"/>
      <c r="Q150" s="34"/>
      <c r="R150" s="205"/>
      <c r="S150" s="205"/>
      <c r="T150" s="208" t="s">
        <v>1412</v>
      </c>
    </row>
    <row r="151">
      <c r="A151" s="205"/>
      <c r="B151" s="205"/>
      <c r="C151" s="216" t="s">
        <v>1379</v>
      </c>
      <c r="D151" s="216" t="s">
        <v>44</v>
      </c>
      <c r="E151" s="205"/>
      <c r="F151" s="205"/>
      <c r="G151" s="34"/>
      <c r="H151" s="199" t="s">
        <v>743</v>
      </c>
      <c r="I151" s="200">
        <v>55.0</v>
      </c>
      <c r="J151" s="208" t="s">
        <v>1413</v>
      </c>
      <c r="K151" s="202" t="s">
        <v>1414</v>
      </c>
      <c r="L151" s="100">
        <v>160.0</v>
      </c>
      <c r="M151" s="34"/>
      <c r="N151" s="34"/>
      <c r="O151" s="34"/>
      <c r="P151" s="34"/>
      <c r="Q151" s="34"/>
      <c r="R151" s="205"/>
      <c r="S151" s="205"/>
      <c r="T151" s="208" t="s">
        <v>1415</v>
      </c>
    </row>
    <row r="152">
      <c r="A152" s="205"/>
      <c r="B152" s="205"/>
      <c r="C152" s="216" t="s">
        <v>1416</v>
      </c>
      <c r="D152" s="216" t="s">
        <v>1417</v>
      </c>
      <c r="E152" s="205"/>
      <c r="F152" s="205"/>
      <c r="G152" s="34"/>
      <c r="H152" s="199" t="s">
        <v>1418</v>
      </c>
      <c r="I152" s="200">
        <v>573.0</v>
      </c>
      <c r="J152" s="208" t="s">
        <v>1419</v>
      </c>
      <c r="K152" s="202" t="s">
        <v>1420</v>
      </c>
      <c r="L152" s="100">
        <v>165.0</v>
      </c>
      <c r="M152" s="34"/>
      <c r="N152" s="34"/>
      <c r="O152" s="34"/>
      <c r="P152" s="34"/>
      <c r="Q152" s="34"/>
      <c r="R152" s="205"/>
      <c r="S152" s="205"/>
      <c r="T152" s="208" t="s">
        <v>1421</v>
      </c>
    </row>
    <row r="153">
      <c r="A153" s="205"/>
      <c r="B153" s="205"/>
      <c r="C153" s="216" t="s">
        <v>1422</v>
      </c>
      <c r="D153" s="216" t="s">
        <v>44</v>
      </c>
      <c r="E153" s="205"/>
      <c r="F153" s="205"/>
      <c r="G153" s="34"/>
      <c r="H153" s="199" t="s">
        <v>1423</v>
      </c>
      <c r="I153" s="200">
        <v>580.0</v>
      </c>
      <c r="J153" s="208" t="s">
        <v>1424</v>
      </c>
      <c r="K153" s="202" t="s">
        <v>1425</v>
      </c>
      <c r="L153" s="100">
        <v>167.0</v>
      </c>
      <c r="M153" s="34"/>
      <c r="N153" s="34"/>
      <c r="O153" s="34"/>
      <c r="P153" s="34"/>
      <c r="Q153" s="34"/>
      <c r="R153" s="205"/>
      <c r="S153" s="205"/>
      <c r="T153" s="208" t="s">
        <v>1426</v>
      </c>
    </row>
    <row r="154">
      <c r="A154" s="205"/>
      <c r="B154" s="205"/>
      <c r="C154" s="216" t="s">
        <v>1256</v>
      </c>
      <c r="D154" s="216" t="s">
        <v>44</v>
      </c>
      <c r="E154" s="205"/>
      <c r="F154" s="205"/>
      <c r="G154" s="34"/>
      <c r="H154" s="199" t="s">
        <v>1427</v>
      </c>
      <c r="I154" s="200">
        <v>589.0</v>
      </c>
      <c r="J154" s="208" t="s">
        <v>1428</v>
      </c>
      <c r="K154" s="202" t="s">
        <v>1429</v>
      </c>
      <c r="L154" s="100">
        <v>147.0</v>
      </c>
      <c r="M154" s="34"/>
      <c r="N154" s="34"/>
      <c r="O154" s="34"/>
      <c r="P154" s="34"/>
      <c r="Q154" s="34"/>
      <c r="R154" s="205"/>
      <c r="S154" s="205"/>
      <c r="T154" s="208" t="s">
        <v>1430</v>
      </c>
    </row>
    <row r="155">
      <c r="A155" s="205"/>
      <c r="B155" s="205"/>
      <c r="C155" s="216" t="s">
        <v>1431</v>
      </c>
      <c r="D155" s="216" t="s">
        <v>1432</v>
      </c>
      <c r="E155" s="205"/>
      <c r="F155" s="205"/>
      <c r="G155" s="34"/>
      <c r="H155" s="199" t="s">
        <v>1433</v>
      </c>
      <c r="I155" s="200">
        <v>76.0</v>
      </c>
      <c r="J155" s="208" t="s">
        <v>1434</v>
      </c>
      <c r="K155" s="202" t="s">
        <v>1435</v>
      </c>
      <c r="L155" s="100">
        <v>161.0</v>
      </c>
      <c r="M155" s="34"/>
      <c r="N155" s="34"/>
      <c r="O155" s="34"/>
      <c r="P155" s="34"/>
      <c r="Q155" s="34"/>
      <c r="R155" s="205"/>
      <c r="S155" s="205"/>
      <c r="T155" s="208" t="s">
        <v>1436</v>
      </c>
    </row>
    <row r="156">
      <c r="A156" s="205"/>
      <c r="B156" s="205"/>
      <c r="C156" s="216" t="s">
        <v>1437</v>
      </c>
      <c r="D156" s="216" t="s">
        <v>44</v>
      </c>
      <c r="E156" s="205"/>
      <c r="F156" s="205"/>
      <c r="G156" s="34"/>
      <c r="H156" s="199" t="s">
        <v>1438</v>
      </c>
      <c r="I156" s="200">
        <v>568.0</v>
      </c>
      <c r="J156" s="208" t="s">
        <v>1439</v>
      </c>
      <c r="K156" s="202" t="s">
        <v>1440</v>
      </c>
      <c r="L156" s="100">
        <v>168.0</v>
      </c>
      <c r="M156" s="34"/>
      <c r="N156" s="34"/>
      <c r="O156" s="34"/>
      <c r="P156" s="34"/>
      <c r="Q156" s="34"/>
      <c r="R156" s="205"/>
      <c r="S156" s="205"/>
      <c r="T156" s="208" t="s">
        <v>1441</v>
      </c>
    </row>
    <row r="157">
      <c r="A157" s="205"/>
      <c r="B157" s="205"/>
      <c r="C157" s="216" t="s">
        <v>1442</v>
      </c>
      <c r="D157" s="216" t="s">
        <v>44</v>
      </c>
      <c r="E157" s="205"/>
      <c r="F157" s="205"/>
      <c r="G157" s="34"/>
      <c r="H157" s="199" t="s">
        <v>749</v>
      </c>
      <c r="I157" s="200">
        <v>12.0</v>
      </c>
      <c r="J157" s="208" t="s">
        <v>1443</v>
      </c>
      <c r="K157" s="202" t="s">
        <v>1444</v>
      </c>
      <c r="L157" s="100">
        <v>35.0</v>
      </c>
      <c r="M157" s="34"/>
      <c r="N157" s="34"/>
      <c r="O157" s="34"/>
      <c r="P157" s="34"/>
      <c r="Q157" s="34"/>
      <c r="R157" s="205"/>
      <c r="S157" s="205"/>
      <c r="T157" s="208" t="s">
        <v>1445</v>
      </c>
    </row>
    <row r="158">
      <c r="A158" s="205"/>
      <c r="B158" s="205"/>
      <c r="C158" s="216" t="s">
        <v>1446</v>
      </c>
      <c r="D158" s="216" t="s">
        <v>1447</v>
      </c>
      <c r="E158" s="205"/>
      <c r="F158" s="205"/>
      <c r="G158" s="34"/>
      <c r="H158" s="199" t="s">
        <v>749</v>
      </c>
      <c r="I158" s="200">
        <v>434.0</v>
      </c>
      <c r="J158" s="208" t="s">
        <v>1448</v>
      </c>
      <c r="K158" s="202" t="s">
        <v>1449</v>
      </c>
      <c r="L158" s="100">
        <v>36.0</v>
      </c>
      <c r="M158" s="34"/>
      <c r="N158" s="34"/>
      <c r="O158" s="34"/>
      <c r="P158" s="34"/>
      <c r="Q158" s="34"/>
      <c r="R158" s="205"/>
      <c r="S158" s="205"/>
      <c r="T158" s="208" t="s">
        <v>1450</v>
      </c>
    </row>
    <row r="159">
      <c r="A159" s="205"/>
      <c r="B159" s="205"/>
      <c r="C159" s="216" t="s">
        <v>1451</v>
      </c>
      <c r="D159" s="216" t="s">
        <v>44</v>
      </c>
      <c r="E159" s="205"/>
      <c r="F159" s="205"/>
      <c r="G159" s="34"/>
      <c r="H159" s="199" t="s">
        <v>937</v>
      </c>
      <c r="I159" s="200">
        <v>156.0</v>
      </c>
      <c r="J159" s="208" t="s">
        <v>730</v>
      </c>
      <c r="K159" s="202" t="s">
        <v>1452</v>
      </c>
      <c r="L159" s="100">
        <v>169.0</v>
      </c>
      <c r="M159" s="34"/>
      <c r="N159" s="34"/>
      <c r="O159" s="34"/>
      <c r="P159" s="34"/>
      <c r="Q159" s="34"/>
      <c r="R159" s="205"/>
      <c r="S159" s="205"/>
      <c r="T159" s="208" t="s">
        <v>1453</v>
      </c>
    </row>
    <row r="160">
      <c r="A160" s="205"/>
      <c r="B160" s="205"/>
      <c r="C160" s="216" t="s">
        <v>1454</v>
      </c>
      <c r="D160" s="216" t="s">
        <v>44</v>
      </c>
      <c r="E160" s="205"/>
      <c r="F160" s="205"/>
      <c r="G160" s="34"/>
      <c r="H160" s="199" t="s">
        <v>1069</v>
      </c>
      <c r="I160" s="200">
        <v>307.0</v>
      </c>
      <c r="J160" s="208" t="s">
        <v>1455</v>
      </c>
      <c r="K160" s="202" t="s">
        <v>1456</v>
      </c>
      <c r="L160" s="100">
        <v>148.0</v>
      </c>
      <c r="M160" s="34"/>
      <c r="N160" s="34"/>
      <c r="O160" s="34"/>
      <c r="P160" s="34"/>
      <c r="Q160" s="34"/>
      <c r="R160" s="205"/>
      <c r="S160" s="205"/>
      <c r="T160" s="208" t="s">
        <v>1457</v>
      </c>
    </row>
    <row r="161">
      <c r="A161" s="205"/>
      <c r="B161" s="205"/>
      <c r="C161" s="216" t="s">
        <v>1458</v>
      </c>
      <c r="D161" s="216" t="s">
        <v>44</v>
      </c>
      <c r="E161" s="205"/>
      <c r="F161" s="205"/>
      <c r="G161" s="34"/>
      <c r="H161" s="199" t="s">
        <v>1068</v>
      </c>
      <c r="I161" s="200">
        <v>308.0</v>
      </c>
      <c r="J161" s="208" t="s">
        <v>1459</v>
      </c>
      <c r="K161" s="202" t="s">
        <v>1460</v>
      </c>
      <c r="L161" s="100">
        <v>170.0</v>
      </c>
      <c r="M161" s="34"/>
      <c r="N161" s="34"/>
      <c r="O161" s="34"/>
      <c r="P161" s="34"/>
      <c r="Q161" s="34"/>
      <c r="R161" s="205"/>
      <c r="S161" s="205"/>
      <c r="T161" s="208" t="s">
        <v>1290</v>
      </c>
    </row>
    <row r="162">
      <c r="A162" s="205"/>
      <c r="B162" s="205"/>
      <c r="C162" s="216" t="s">
        <v>1299</v>
      </c>
      <c r="D162" s="216" t="s">
        <v>1461</v>
      </c>
      <c r="E162" s="205"/>
      <c r="F162" s="205"/>
      <c r="G162" s="34"/>
      <c r="H162" s="199" t="s">
        <v>1079</v>
      </c>
      <c r="I162" s="200">
        <v>309.0</v>
      </c>
      <c r="J162" s="208" t="s">
        <v>1462</v>
      </c>
      <c r="K162" s="202" t="s">
        <v>1463</v>
      </c>
      <c r="L162" s="100">
        <v>37.0</v>
      </c>
      <c r="M162" s="34"/>
      <c r="N162" s="34"/>
      <c r="O162" s="34"/>
      <c r="P162" s="34"/>
      <c r="Q162" s="34"/>
      <c r="R162" s="205"/>
      <c r="S162" s="205"/>
      <c r="T162" s="208" t="s">
        <v>1464</v>
      </c>
    </row>
    <row r="163">
      <c r="A163" s="205"/>
      <c r="B163" s="205"/>
      <c r="C163" s="216" t="s">
        <v>1371</v>
      </c>
      <c r="D163" s="216" t="s">
        <v>1465</v>
      </c>
      <c r="E163" s="205"/>
      <c r="F163" s="205"/>
      <c r="G163" s="34"/>
      <c r="H163" s="199" t="s">
        <v>1466</v>
      </c>
      <c r="I163" s="200">
        <v>548.0</v>
      </c>
      <c r="J163" s="208" t="s">
        <v>1467</v>
      </c>
      <c r="K163" s="202" t="s">
        <v>1468</v>
      </c>
      <c r="L163" s="100">
        <v>60.0</v>
      </c>
      <c r="M163" s="34"/>
      <c r="N163" s="34"/>
      <c r="O163" s="34"/>
      <c r="P163" s="34"/>
      <c r="Q163" s="34"/>
      <c r="R163" s="205"/>
      <c r="S163" s="205"/>
      <c r="T163" s="208" t="s">
        <v>1469</v>
      </c>
    </row>
    <row r="164">
      <c r="A164" s="205"/>
      <c r="B164" s="205"/>
      <c r="C164" s="216" t="s">
        <v>1384</v>
      </c>
      <c r="D164" s="216" t="s">
        <v>1470</v>
      </c>
      <c r="E164" s="205"/>
      <c r="F164" s="205"/>
      <c r="G164" s="34"/>
      <c r="H164" s="199" t="s">
        <v>1085</v>
      </c>
      <c r="I164" s="200">
        <v>310.0</v>
      </c>
      <c r="J164" s="208" t="s">
        <v>1471</v>
      </c>
      <c r="K164" s="202" t="s">
        <v>1472</v>
      </c>
      <c r="L164" s="100">
        <v>171.0</v>
      </c>
      <c r="M164" s="34"/>
      <c r="N164" s="34"/>
      <c r="O164" s="34"/>
      <c r="P164" s="34"/>
      <c r="Q164" s="34"/>
      <c r="R164" s="205"/>
      <c r="S164" s="205"/>
      <c r="T164" s="208" t="s">
        <v>1473</v>
      </c>
    </row>
    <row r="165">
      <c r="A165" s="205"/>
      <c r="B165" s="205"/>
      <c r="C165" s="216" t="s">
        <v>1474</v>
      </c>
      <c r="D165" s="216" t="s">
        <v>1475</v>
      </c>
      <c r="E165" s="205"/>
      <c r="F165" s="205"/>
      <c r="G165" s="34"/>
      <c r="H165" s="199" t="s">
        <v>1476</v>
      </c>
      <c r="I165" s="200">
        <v>281.0</v>
      </c>
      <c r="J165" s="208" t="s">
        <v>1477</v>
      </c>
      <c r="K165" s="202" t="s">
        <v>1478</v>
      </c>
      <c r="L165" s="100">
        <v>172.0</v>
      </c>
      <c r="M165" s="34"/>
      <c r="N165" s="34"/>
      <c r="O165" s="34"/>
      <c r="P165" s="34"/>
      <c r="Q165" s="34"/>
      <c r="R165" s="205"/>
      <c r="S165" s="205"/>
      <c r="T165" s="208" t="s">
        <v>1479</v>
      </c>
    </row>
    <row r="166">
      <c r="A166" s="205"/>
      <c r="B166" s="205"/>
      <c r="C166" s="216" t="s">
        <v>1480</v>
      </c>
      <c r="D166" s="216" t="s">
        <v>44</v>
      </c>
      <c r="E166" s="205"/>
      <c r="F166" s="205"/>
      <c r="G166" s="34"/>
      <c r="H166" s="199" t="s">
        <v>756</v>
      </c>
      <c r="I166" s="200">
        <v>37.0</v>
      </c>
      <c r="J166" s="208" t="s">
        <v>1481</v>
      </c>
      <c r="K166" s="202" t="s">
        <v>1482</v>
      </c>
      <c r="L166" s="100">
        <v>173.0</v>
      </c>
      <c r="M166" s="34"/>
      <c r="N166" s="34"/>
      <c r="O166" s="34"/>
      <c r="P166" s="34"/>
      <c r="Q166" s="34"/>
      <c r="R166" s="205"/>
      <c r="S166" s="205"/>
      <c r="T166" s="208" t="s">
        <v>1483</v>
      </c>
    </row>
    <row r="167">
      <c r="A167" s="205"/>
      <c r="B167" s="205"/>
      <c r="C167" s="216" t="s">
        <v>1484</v>
      </c>
      <c r="D167" s="216" t="s">
        <v>1485</v>
      </c>
      <c r="E167" s="205"/>
      <c r="F167" s="205"/>
      <c r="G167" s="34"/>
      <c r="H167" s="199" t="s">
        <v>1090</v>
      </c>
      <c r="I167" s="200">
        <v>311.0</v>
      </c>
      <c r="J167" s="208" t="s">
        <v>1486</v>
      </c>
      <c r="K167" s="202" t="s">
        <v>1487</v>
      </c>
      <c r="L167" s="100">
        <v>38.0</v>
      </c>
      <c r="M167" s="34"/>
      <c r="N167" s="34"/>
      <c r="O167" s="34"/>
      <c r="P167" s="34"/>
      <c r="Q167" s="34"/>
      <c r="R167" s="205"/>
      <c r="S167" s="205"/>
      <c r="T167" s="208" t="s">
        <v>1488</v>
      </c>
    </row>
    <row r="168">
      <c r="A168" s="205"/>
      <c r="B168" s="205"/>
      <c r="C168" s="216" t="s">
        <v>1489</v>
      </c>
      <c r="D168" s="216" t="s">
        <v>1490</v>
      </c>
      <c r="E168" s="205"/>
      <c r="F168" s="205"/>
      <c r="G168" s="34"/>
      <c r="H168" s="199" t="s">
        <v>764</v>
      </c>
      <c r="I168" s="200">
        <v>35.0</v>
      </c>
      <c r="J168" s="208" t="s">
        <v>1491</v>
      </c>
      <c r="K168" s="202" t="s">
        <v>1492</v>
      </c>
      <c r="L168" s="100">
        <v>39.0</v>
      </c>
      <c r="M168" s="34"/>
      <c r="N168" s="34"/>
      <c r="O168" s="34"/>
      <c r="P168" s="34"/>
      <c r="Q168" s="34"/>
      <c r="R168" s="205"/>
      <c r="S168" s="205"/>
      <c r="T168" s="208" t="s">
        <v>1493</v>
      </c>
    </row>
    <row r="169">
      <c r="A169" s="205"/>
      <c r="B169" s="205"/>
      <c r="C169" s="216" t="s">
        <v>1244</v>
      </c>
      <c r="D169" s="216" t="s">
        <v>44</v>
      </c>
      <c r="E169" s="205"/>
      <c r="F169" s="205"/>
      <c r="G169" s="34"/>
      <c r="H169" s="199" t="s">
        <v>991</v>
      </c>
      <c r="I169" s="200">
        <v>278.0</v>
      </c>
      <c r="J169" s="208" t="s">
        <v>1494</v>
      </c>
      <c r="K169" s="202" t="s">
        <v>1495</v>
      </c>
      <c r="L169" s="100">
        <v>182.0</v>
      </c>
      <c r="M169" s="34"/>
      <c r="N169" s="34"/>
      <c r="O169" s="34"/>
      <c r="P169" s="34"/>
      <c r="Q169" s="34"/>
      <c r="R169" s="205"/>
      <c r="S169" s="205"/>
      <c r="T169" s="208" t="s">
        <v>1496</v>
      </c>
    </row>
    <row r="170">
      <c r="A170" s="205"/>
      <c r="B170" s="205"/>
      <c r="C170" s="216" t="s">
        <v>1397</v>
      </c>
      <c r="D170" s="216" t="s">
        <v>44</v>
      </c>
      <c r="E170" s="205"/>
      <c r="F170" s="205"/>
      <c r="G170" s="34"/>
      <c r="H170" s="199" t="s">
        <v>1497</v>
      </c>
      <c r="I170" s="200">
        <v>282.0</v>
      </c>
      <c r="J170" s="208" t="s">
        <v>1498</v>
      </c>
      <c r="K170" s="202" t="s">
        <v>1499</v>
      </c>
      <c r="L170" s="100">
        <v>174.0</v>
      </c>
      <c r="M170" s="34"/>
      <c r="N170" s="34"/>
      <c r="O170" s="34"/>
      <c r="P170" s="34"/>
      <c r="Q170" s="34"/>
      <c r="R170" s="205"/>
      <c r="S170" s="205"/>
      <c r="T170" s="208" t="s">
        <v>1500</v>
      </c>
    </row>
    <row r="171">
      <c r="A171" s="205"/>
      <c r="B171" s="205"/>
      <c r="C171" s="216" t="s">
        <v>1501</v>
      </c>
      <c r="D171" s="216" t="s">
        <v>1502</v>
      </c>
      <c r="E171" s="205"/>
      <c r="F171" s="205"/>
      <c r="G171" s="34"/>
      <c r="H171" s="199" t="s">
        <v>1503</v>
      </c>
      <c r="I171" s="200">
        <v>81.0</v>
      </c>
      <c r="J171" s="208" t="s">
        <v>1504</v>
      </c>
      <c r="K171" s="202" t="s">
        <v>1505</v>
      </c>
      <c r="L171" s="100">
        <v>40.0</v>
      </c>
      <c r="M171" s="34"/>
      <c r="N171" s="34"/>
      <c r="O171" s="34"/>
      <c r="P171" s="34"/>
      <c r="Q171" s="34"/>
      <c r="R171" s="205"/>
      <c r="S171" s="205"/>
      <c r="T171" s="208" t="s">
        <v>1506</v>
      </c>
    </row>
    <row r="172">
      <c r="A172" s="205"/>
      <c r="B172" s="205"/>
      <c r="C172" s="216" t="s">
        <v>1507</v>
      </c>
      <c r="D172" s="216" t="s">
        <v>44</v>
      </c>
      <c r="E172" s="205"/>
      <c r="F172" s="205"/>
      <c r="G172" s="34"/>
      <c r="H172" s="199" t="s">
        <v>1095</v>
      </c>
      <c r="I172" s="200">
        <v>312.0</v>
      </c>
      <c r="J172" s="208" t="s">
        <v>1508</v>
      </c>
      <c r="K172" s="202" t="s">
        <v>1509</v>
      </c>
      <c r="L172" s="100">
        <v>180.0</v>
      </c>
      <c r="M172" s="34"/>
      <c r="N172" s="34"/>
      <c r="O172" s="34"/>
      <c r="P172" s="34"/>
      <c r="Q172" s="34"/>
      <c r="R172" s="205"/>
      <c r="S172" s="205"/>
      <c r="T172" s="208" t="s">
        <v>1510</v>
      </c>
    </row>
    <row r="173">
      <c r="A173" s="205"/>
      <c r="B173" s="205"/>
      <c r="C173" s="216" t="s">
        <v>1511</v>
      </c>
      <c r="D173" s="216" t="s">
        <v>1512</v>
      </c>
      <c r="E173" s="205"/>
      <c r="F173" s="205"/>
      <c r="G173" s="34"/>
      <c r="H173" s="199" t="s">
        <v>651</v>
      </c>
      <c r="I173" s="200">
        <v>38.0</v>
      </c>
      <c r="J173" s="208" t="s">
        <v>1513</v>
      </c>
      <c r="K173" s="202" t="s">
        <v>1514</v>
      </c>
      <c r="L173" s="100">
        <v>41.0</v>
      </c>
      <c r="M173" s="34"/>
      <c r="N173" s="34"/>
      <c r="O173" s="34"/>
      <c r="P173" s="34"/>
      <c r="Q173" s="34"/>
      <c r="R173" s="205"/>
      <c r="S173" s="205"/>
      <c r="T173" s="208" t="s">
        <v>1515</v>
      </c>
    </row>
    <row r="174">
      <c r="A174" s="205"/>
      <c r="B174" s="205"/>
      <c r="C174" s="216" t="s">
        <v>1516</v>
      </c>
      <c r="D174" s="216" t="s">
        <v>1517</v>
      </c>
      <c r="E174" s="205"/>
      <c r="F174" s="205"/>
      <c r="G174" s="34"/>
      <c r="H174" s="199" t="s">
        <v>1518</v>
      </c>
      <c r="I174" s="200">
        <v>82.0</v>
      </c>
      <c r="J174" s="208" t="s">
        <v>1519</v>
      </c>
      <c r="K174" s="202" t="s">
        <v>1520</v>
      </c>
      <c r="L174" s="100">
        <v>42.0</v>
      </c>
      <c r="M174" s="34"/>
      <c r="N174" s="34"/>
      <c r="O174" s="34"/>
      <c r="P174" s="34"/>
      <c r="Q174" s="34"/>
      <c r="R174" s="205"/>
      <c r="S174" s="205"/>
      <c r="T174" s="208" t="s">
        <v>1521</v>
      </c>
    </row>
    <row r="175">
      <c r="A175" s="205"/>
      <c r="B175" s="205"/>
      <c r="C175" s="216" t="s">
        <v>1522</v>
      </c>
      <c r="D175" s="216" t="s">
        <v>1523</v>
      </c>
      <c r="E175" s="205"/>
      <c r="F175" s="205"/>
      <c r="G175" s="34"/>
      <c r="H175" s="199" t="s">
        <v>1474</v>
      </c>
      <c r="I175" s="200">
        <v>247.0</v>
      </c>
      <c r="J175" s="208" t="s">
        <v>1524</v>
      </c>
      <c r="K175" s="202" t="s">
        <v>1525</v>
      </c>
      <c r="L175" s="100">
        <v>175.0</v>
      </c>
      <c r="M175" s="34"/>
      <c r="N175" s="34"/>
      <c r="O175" s="34"/>
      <c r="P175" s="34"/>
      <c r="Q175" s="34"/>
      <c r="R175" s="205"/>
      <c r="S175" s="205"/>
      <c r="T175" s="208" t="s">
        <v>1526</v>
      </c>
    </row>
    <row r="176">
      <c r="A176" s="205"/>
      <c r="B176" s="205"/>
      <c r="C176" s="216" t="s">
        <v>1527</v>
      </c>
      <c r="D176" s="216" t="s">
        <v>44</v>
      </c>
      <c r="E176" s="205"/>
      <c r="F176" s="205"/>
      <c r="G176" s="34"/>
      <c r="H176" s="199" t="s">
        <v>1416</v>
      </c>
      <c r="I176" s="200">
        <v>201.0</v>
      </c>
      <c r="J176" s="208" t="s">
        <v>1528</v>
      </c>
      <c r="K176" s="202" t="s">
        <v>1529</v>
      </c>
      <c r="L176" s="100">
        <v>63.0</v>
      </c>
      <c r="M176" s="34"/>
      <c r="N176" s="34"/>
      <c r="O176" s="34"/>
      <c r="P176" s="34"/>
      <c r="Q176" s="34"/>
      <c r="R176" s="205"/>
      <c r="S176" s="205"/>
      <c r="T176" s="208" t="s">
        <v>1530</v>
      </c>
    </row>
    <row r="177">
      <c r="A177" s="205"/>
      <c r="B177" s="205"/>
      <c r="C177" s="216" t="s">
        <v>1531</v>
      </c>
      <c r="D177" s="216" t="s">
        <v>1532</v>
      </c>
      <c r="E177" s="205"/>
      <c r="F177" s="205"/>
      <c r="G177" s="34"/>
      <c r="H177" s="199" t="s">
        <v>1533</v>
      </c>
      <c r="I177" s="200">
        <v>162.0</v>
      </c>
      <c r="J177" s="208" t="s">
        <v>1534</v>
      </c>
      <c r="K177" s="202" t="s">
        <v>1535</v>
      </c>
      <c r="L177" s="100">
        <v>178.0</v>
      </c>
      <c r="M177" s="34"/>
      <c r="N177" s="34"/>
      <c r="O177" s="34"/>
      <c r="P177" s="34"/>
      <c r="Q177" s="34"/>
      <c r="R177" s="205"/>
      <c r="S177" s="205"/>
      <c r="T177" s="208" t="s">
        <v>1536</v>
      </c>
    </row>
    <row r="178">
      <c r="A178" s="205"/>
      <c r="B178" s="205"/>
      <c r="C178" s="216" t="s">
        <v>598</v>
      </c>
      <c r="D178" s="216" t="s">
        <v>1537</v>
      </c>
      <c r="E178" s="205"/>
      <c r="F178" s="205"/>
      <c r="G178" s="34"/>
      <c r="H178" s="199" t="s">
        <v>1210</v>
      </c>
      <c r="I178" s="200">
        <v>146.0</v>
      </c>
      <c r="J178" s="208" t="s">
        <v>1538</v>
      </c>
      <c r="K178" s="202" t="s">
        <v>1539</v>
      </c>
      <c r="L178" s="100">
        <v>179.0</v>
      </c>
      <c r="M178" s="34"/>
      <c r="N178" s="34"/>
      <c r="O178" s="34"/>
      <c r="P178" s="34"/>
      <c r="Q178" s="34"/>
      <c r="R178" s="205"/>
      <c r="S178" s="205"/>
      <c r="T178" s="208" t="s">
        <v>1540</v>
      </c>
    </row>
    <row r="179">
      <c r="A179" s="205"/>
      <c r="B179" s="205"/>
      <c r="C179" s="216" t="s">
        <v>1057</v>
      </c>
      <c r="D179" s="216" t="s">
        <v>44</v>
      </c>
      <c r="E179" s="205"/>
      <c r="F179" s="205"/>
      <c r="G179" s="34"/>
      <c r="H179" s="199" t="s">
        <v>1099</v>
      </c>
      <c r="I179" s="200">
        <v>39.0</v>
      </c>
      <c r="J179" s="208" t="s">
        <v>1541</v>
      </c>
      <c r="K179" s="202" t="s">
        <v>1542</v>
      </c>
      <c r="L179" s="100">
        <v>177.0</v>
      </c>
      <c r="M179" s="34"/>
      <c r="N179" s="34"/>
      <c r="O179" s="34"/>
      <c r="P179" s="34"/>
      <c r="Q179" s="34"/>
      <c r="R179" s="205"/>
      <c r="S179" s="205"/>
      <c r="T179" s="208" t="s">
        <v>1543</v>
      </c>
    </row>
    <row r="180">
      <c r="A180" s="205"/>
      <c r="B180" s="205"/>
      <c r="C180" s="216" t="s">
        <v>1212</v>
      </c>
      <c r="D180" s="216" t="s">
        <v>44</v>
      </c>
      <c r="E180" s="205"/>
      <c r="F180" s="205"/>
      <c r="G180" s="34"/>
      <c r="H180" s="199" t="s">
        <v>659</v>
      </c>
      <c r="I180" s="200">
        <v>40.0</v>
      </c>
      <c r="J180" s="208" t="s">
        <v>1544</v>
      </c>
      <c r="K180" s="202" t="s">
        <v>920</v>
      </c>
      <c r="L180" s="100">
        <v>43.0</v>
      </c>
      <c r="M180" s="34"/>
      <c r="N180" s="34"/>
      <c r="O180" s="34"/>
      <c r="P180" s="34"/>
      <c r="Q180" s="34"/>
      <c r="R180" s="205"/>
      <c r="S180" s="205"/>
      <c r="T180" s="208" t="s">
        <v>1545</v>
      </c>
    </row>
    <row r="181">
      <c r="A181" s="205"/>
      <c r="B181" s="205"/>
      <c r="C181" s="216" t="s">
        <v>1257</v>
      </c>
      <c r="D181" s="216" t="s">
        <v>44</v>
      </c>
      <c r="E181" s="205"/>
      <c r="F181" s="205"/>
      <c r="G181" s="34"/>
      <c r="H181" s="199" t="s">
        <v>1546</v>
      </c>
      <c r="I181" s="200">
        <v>186.0</v>
      </c>
      <c r="J181" s="208" t="s">
        <v>1547</v>
      </c>
      <c r="K181" s="202" t="s">
        <v>1548</v>
      </c>
      <c r="L181" s="100">
        <v>176.0</v>
      </c>
      <c r="M181" s="34"/>
      <c r="N181" s="34"/>
      <c r="O181" s="34"/>
      <c r="P181" s="34"/>
      <c r="Q181" s="34"/>
      <c r="R181" s="205"/>
      <c r="S181" s="205"/>
      <c r="T181" s="208" t="s">
        <v>1549</v>
      </c>
    </row>
    <row r="182">
      <c r="A182" s="205"/>
      <c r="B182" s="205"/>
      <c r="C182" s="216" t="s">
        <v>1318</v>
      </c>
      <c r="D182" s="216" t="s">
        <v>44</v>
      </c>
      <c r="E182" s="205"/>
      <c r="F182" s="205"/>
      <c r="G182" s="34"/>
      <c r="H182" s="199" t="s">
        <v>813</v>
      </c>
      <c r="I182" s="200">
        <v>261.0</v>
      </c>
      <c r="J182" s="208" t="s">
        <v>1550</v>
      </c>
      <c r="K182" s="202" t="s">
        <v>1551</v>
      </c>
      <c r="L182" s="100">
        <v>181.0</v>
      </c>
      <c r="M182" s="34"/>
      <c r="N182" s="34"/>
      <c r="O182" s="34"/>
      <c r="P182" s="34"/>
      <c r="Q182" s="34"/>
      <c r="R182" s="205"/>
      <c r="S182" s="205"/>
      <c r="T182" s="208" t="s">
        <v>1552</v>
      </c>
    </row>
    <row r="183">
      <c r="A183" s="205"/>
      <c r="B183" s="205"/>
      <c r="C183" s="216" t="s">
        <v>1353</v>
      </c>
      <c r="D183" s="216" t="s">
        <v>1553</v>
      </c>
      <c r="E183" s="205"/>
      <c r="F183" s="205"/>
      <c r="G183" s="34"/>
      <c r="H183" s="199" t="s">
        <v>1554</v>
      </c>
      <c r="I183" s="200">
        <v>110.0</v>
      </c>
      <c r="J183" s="208" t="s">
        <v>1555</v>
      </c>
      <c r="K183" s="202" t="s">
        <v>1556</v>
      </c>
      <c r="L183" s="100">
        <v>183.0</v>
      </c>
      <c r="M183" s="34"/>
      <c r="N183" s="34"/>
      <c r="O183" s="34"/>
      <c r="P183" s="34"/>
      <c r="Q183" s="34"/>
      <c r="R183" s="205"/>
      <c r="S183" s="205"/>
      <c r="T183" s="208" t="s">
        <v>1557</v>
      </c>
    </row>
    <row r="184">
      <c r="A184" s="205"/>
      <c r="B184" s="205"/>
      <c r="C184" s="216" t="s">
        <v>1433</v>
      </c>
      <c r="D184" s="216" t="s">
        <v>44</v>
      </c>
      <c r="E184" s="205"/>
      <c r="F184" s="205"/>
      <c r="G184" s="34"/>
      <c r="H184" s="199" t="s">
        <v>1501</v>
      </c>
      <c r="I184" s="200">
        <v>61.0</v>
      </c>
      <c r="J184" s="208" t="s">
        <v>1558</v>
      </c>
      <c r="K184" s="202" t="s">
        <v>1559</v>
      </c>
      <c r="L184" s="100">
        <v>44.0</v>
      </c>
      <c r="M184" s="34"/>
      <c r="N184" s="34"/>
      <c r="O184" s="34"/>
      <c r="P184" s="34"/>
      <c r="Q184" s="34"/>
      <c r="R184" s="205"/>
      <c r="S184" s="205"/>
      <c r="T184" s="208" t="s">
        <v>1560</v>
      </c>
    </row>
    <row r="185">
      <c r="A185" s="205"/>
      <c r="B185" s="205"/>
      <c r="C185" s="216" t="s">
        <v>857</v>
      </c>
      <c r="D185" s="216" t="s">
        <v>1561</v>
      </c>
      <c r="E185" s="205"/>
      <c r="F185" s="205"/>
      <c r="G185" s="34"/>
      <c r="H185" s="199" t="s">
        <v>1562</v>
      </c>
      <c r="I185" s="200">
        <v>414.0</v>
      </c>
      <c r="J185" s="208" t="s">
        <v>1563</v>
      </c>
      <c r="K185" s="202" t="s">
        <v>1564</v>
      </c>
      <c r="L185" s="100">
        <v>45.0</v>
      </c>
      <c r="M185" s="34"/>
      <c r="N185" s="34"/>
      <c r="O185" s="34"/>
      <c r="P185" s="34"/>
      <c r="Q185" s="34"/>
      <c r="R185" s="205"/>
      <c r="S185" s="205"/>
      <c r="T185" s="208" t="s">
        <v>1565</v>
      </c>
    </row>
    <row r="186">
      <c r="A186" s="205"/>
      <c r="B186" s="205"/>
      <c r="C186" s="216" t="s">
        <v>871</v>
      </c>
      <c r="D186" s="216" t="s">
        <v>1566</v>
      </c>
      <c r="E186" s="205"/>
      <c r="F186" s="205"/>
      <c r="G186" s="34"/>
      <c r="H186" s="199" t="s">
        <v>1507</v>
      </c>
      <c r="I186" s="200">
        <v>62.0</v>
      </c>
      <c r="J186" s="208" t="s">
        <v>1567</v>
      </c>
      <c r="K186" s="202" t="s">
        <v>1568</v>
      </c>
      <c r="L186" s="100">
        <v>184.0</v>
      </c>
      <c r="M186" s="34"/>
      <c r="N186" s="34"/>
      <c r="O186" s="34"/>
      <c r="P186" s="34"/>
      <c r="Q186" s="34"/>
      <c r="R186" s="205"/>
      <c r="S186" s="205"/>
      <c r="T186" s="208" t="s">
        <v>1569</v>
      </c>
    </row>
    <row r="187">
      <c r="A187" s="205"/>
      <c r="B187" s="205"/>
      <c r="C187" s="216" t="s">
        <v>963</v>
      </c>
      <c r="D187" s="216" t="s">
        <v>1570</v>
      </c>
      <c r="E187" s="205"/>
      <c r="F187" s="205"/>
      <c r="G187" s="34"/>
      <c r="H187" s="199" t="s">
        <v>1571</v>
      </c>
      <c r="I187" s="200">
        <v>528.0</v>
      </c>
      <c r="J187" s="208" t="s">
        <v>1572</v>
      </c>
      <c r="K187" s="202" t="s">
        <v>1573</v>
      </c>
      <c r="L187" s="100">
        <v>185.0</v>
      </c>
      <c r="M187" s="34"/>
      <c r="N187" s="34"/>
      <c r="O187" s="34"/>
      <c r="P187" s="34"/>
      <c r="Q187" s="34"/>
      <c r="R187" s="205"/>
      <c r="S187" s="205"/>
      <c r="T187" s="208" t="s">
        <v>1574</v>
      </c>
    </row>
    <row r="188">
      <c r="A188" s="205"/>
      <c r="B188" s="205"/>
      <c r="C188" s="216" t="s">
        <v>1122</v>
      </c>
      <c r="D188" s="216" t="s">
        <v>1575</v>
      </c>
      <c r="E188" s="205"/>
      <c r="F188" s="205"/>
      <c r="G188" s="34"/>
      <c r="H188" s="199" t="s">
        <v>1576</v>
      </c>
      <c r="I188" s="200">
        <v>529.0</v>
      </c>
      <c r="J188" s="208" t="s">
        <v>1577</v>
      </c>
      <c r="K188" s="202" t="s">
        <v>1578</v>
      </c>
      <c r="L188" s="100">
        <v>46.0</v>
      </c>
      <c r="M188" s="34"/>
      <c r="N188" s="34"/>
      <c r="O188" s="34"/>
      <c r="P188" s="34"/>
      <c r="Q188" s="34"/>
      <c r="R188" s="205"/>
      <c r="S188" s="205"/>
      <c r="T188" s="208" t="s">
        <v>1579</v>
      </c>
    </row>
    <row r="189">
      <c r="A189" s="205"/>
      <c r="B189" s="205"/>
      <c r="C189" s="216" t="s">
        <v>1503</v>
      </c>
      <c r="D189" s="216" t="s">
        <v>1580</v>
      </c>
      <c r="E189" s="205"/>
      <c r="F189" s="205"/>
      <c r="G189" s="34"/>
      <c r="H189" s="199" t="s">
        <v>1581</v>
      </c>
      <c r="I189" s="200">
        <v>435.0</v>
      </c>
      <c r="J189" s="208" t="s">
        <v>1582</v>
      </c>
      <c r="K189" s="202" t="s">
        <v>1583</v>
      </c>
      <c r="L189" s="100">
        <v>186.0</v>
      </c>
      <c r="M189" s="34"/>
      <c r="N189" s="34"/>
      <c r="O189" s="34"/>
      <c r="P189" s="34"/>
      <c r="Q189" s="34"/>
      <c r="R189" s="205"/>
      <c r="S189" s="205"/>
      <c r="T189" s="208" t="s">
        <v>1584</v>
      </c>
    </row>
    <row r="190">
      <c r="A190" s="205"/>
      <c r="B190" s="205"/>
      <c r="C190" s="216" t="s">
        <v>1518</v>
      </c>
      <c r="D190" s="216" t="s">
        <v>44</v>
      </c>
      <c r="E190" s="205"/>
      <c r="F190" s="205"/>
      <c r="G190" s="34"/>
      <c r="H190" s="199" t="s">
        <v>1015</v>
      </c>
      <c r="I190" s="200">
        <v>340.0</v>
      </c>
      <c r="J190" s="208" t="s">
        <v>1585</v>
      </c>
      <c r="K190" s="202" t="s">
        <v>1586</v>
      </c>
      <c r="L190" s="100">
        <v>187.0</v>
      </c>
      <c r="M190" s="34"/>
      <c r="N190" s="34"/>
      <c r="O190" s="34"/>
      <c r="P190" s="34"/>
      <c r="Q190" s="34"/>
      <c r="R190" s="205"/>
      <c r="S190" s="205"/>
      <c r="T190" s="208" t="s">
        <v>1587</v>
      </c>
    </row>
    <row r="191">
      <c r="A191" s="205"/>
      <c r="B191" s="205"/>
      <c r="C191" s="216" t="s">
        <v>1588</v>
      </c>
      <c r="D191" s="216" t="s">
        <v>1589</v>
      </c>
      <c r="E191" s="205"/>
      <c r="F191" s="205"/>
      <c r="G191" s="34"/>
      <c r="H191" s="199" t="s">
        <v>820</v>
      </c>
      <c r="I191" s="200">
        <v>262.0</v>
      </c>
      <c r="J191" s="208" t="s">
        <v>1590</v>
      </c>
      <c r="K191" s="202" t="s">
        <v>1591</v>
      </c>
      <c r="L191" s="100">
        <v>188.0</v>
      </c>
      <c r="M191" s="34"/>
      <c r="N191" s="34"/>
      <c r="O191" s="34"/>
      <c r="P191" s="34"/>
      <c r="Q191" s="34"/>
      <c r="R191" s="205"/>
      <c r="S191" s="205"/>
      <c r="T191" s="208" t="s">
        <v>1592</v>
      </c>
    </row>
    <row r="192">
      <c r="A192" s="205"/>
      <c r="B192" s="205"/>
      <c r="C192" s="216" t="s">
        <v>1593</v>
      </c>
      <c r="D192" s="216" t="s">
        <v>44</v>
      </c>
      <c r="E192" s="205"/>
      <c r="F192" s="205"/>
      <c r="G192" s="34"/>
      <c r="H192" s="199" t="s">
        <v>1104</v>
      </c>
      <c r="I192" s="200">
        <v>313.0</v>
      </c>
      <c r="J192" s="208" t="s">
        <v>1594</v>
      </c>
      <c r="K192" s="202" t="s">
        <v>1595</v>
      </c>
      <c r="L192" s="100">
        <v>190.0</v>
      </c>
      <c r="M192" s="34"/>
      <c r="N192" s="34"/>
      <c r="O192" s="34"/>
      <c r="P192" s="34"/>
      <c r="Q192" s="34"/>
      <c r="R192" s="205"/>
      <c r="S192" s="205"/>
      <c r="T192" s="208" t="s">
        <v>1596</v>
      </c>
    </row>
    <row r="193">
      <c r="A193" s="205"/>
      <c r="B193" s="205"/>
      <c r="C193" s="216" t="s">
        <v>1597</v>
      </c>
      <c r="D193" s="216" t="s">
        <v>1598</v>
      </c>
      <c r="E193" s="205"/>
      <c r="F193" s="205"/>
      <c r="G193" s="34"/>
      <c r="H193" s="199" t="s">
        <v>1362</v>
      </c>
      <c r="I193" s="200">
        <v>182.0</v>
      </c>
      <c r="J193" s="208" t="s">
        <v>1599</v>
      </c>
      <c r="K193" s="208" t="s">
        <v>1600</v>
      </c>
      <c r="L193" s="214">
        <v>189.0</v>
      </c>
      <c r="M193" s="34"/>
      <c r="N193" s="34"/>
      <c r="O193" s="34"/>
      <c r="P193" s="34"/>
      <c r="Q193" s="34"/>
      <c r="R193" s="205"/>
      <c r="S193" s="205"/>
      <c r="T193" s="208" t="s">
        <v>1601</v>
      </c>
    </row>
    <row r="194">
      <c r="A194" s="205"/>
      <c r="B194" s="205"/>
      <c r="C194" s="216" t="s">
        <v>1602</v>
      </c>
      <c r="D194" s="216" t="s">
        <v>1603</v>
      </c>
      <c r="E194" s="205"/>
      <c r="F194" s="205"/>
      <c r="G194" s="34"/>
      <c r="H194" s="199" t="s">
        <v>1422</v>
      </c>
      <c r="I194" s="200">
        <v>202.0</v>
      </c>
      <c r="J194" s="208" t="s">
        <v>1604</v>
      </c>
      <c r="K194" s="208" t="s">
        <v>1605</v>
      </c>
      <c r="L194" s="214">
        <v>191.0</v>
      </c>
      <c r="M194" s="34"/>
      <c r="N194" s="34"/>
      <c r="O194" s="34"/>
      <c r="P194" s="34"/>
      <c r="Q194" s="34"/>
      <c r="R194" s="205"/>
      <c r="S194" s="205"/>
      <c r="T194" s="208" t="s">
        <v>1606</v>
      </c>
    </row>
    <row r="195">
      <c r="A195" s="205"/>
      <c r="B195" s="205"/>
      <c r="C195" s="216" t="s">
        <v>1607</v>
      </c>
      <c r="D195" s="216" t="s">
        <v>1608</v>
      </c>
      <c r="E195" s="205"/>
      <c r="F195" s="205"/>
      <c r="G195" s="34"/>
      <c r="H195" s="199" t="s">
        <v>828</v>
      </c>
      <c r="I195" s="200">
        <v>263.0</v>
      </c>
      <c r="J195" s="208" t="s">
        <v>1609</v>
      </c>
      <c r="K195" s="208" t="s">
        <v>1610</v>
      </c>
      <c r="L195" s="214">
        <v>192.0</v>
      </c>
      <c r="M195" s="34"/>
      <c r="N195" s="34"/>
      <c r="O195" s="34"/>
      <c r="P195" s="34"/>
      <c r="Q195" s="34"/>
      <c r="R195" s="205"/>
      <c r="S195" s="205"/>
      <c r="T195" s="208" t="s">
        <v>1611</v>
      </c>
    </row>
    <row r="196">
      <c r="A196" s="205"/>
      <c r="B196" s="205"/>
      <c r="C196" s="216" t="s">
        <v>1013</v>
      </c>
      <c r="D196" s="216" t="s">
        <v>1612</v>
      </c>
      <c r="E196" s="205"/>
      <c r="F196" s="205"/>
      <c r="G196" s="34"/>
      <c r="H196" s="199" t="s">
        <v>1216</v>
      </c>
      <c r="I196" s="200">
        <v>147.0</v>
      </c>
      <c r="J196" s="208" t="s">
        <v>1613</v>
      </c>
      <c r="K196" s="208" t="s">
        <v>1614</v>
      </c>
      <c r="L196" s="214">
        <v>193.0</v>
      </c>
      <c r="M196" s="34"/>
      <c r="N196" s="34"/>
      <c r="O196" s="34"/>
      <c r="P196" s="34"/>
      <c r="Q196" s="34"/>
      <c r="R196" s="205"/>
      <c r="S196" s="205"/>
      <c r="T196" s="208" t="s">
        <v>1615</v>
      </c>
    </row>
    <row r="197">
      <c r="A197" s="205"/>
      <c r="B197" s="205"/>
      <c r="C197" s="216" t="s">
        <v>1070</v>
      </c>
      <c r="D197" s="216" t="s">
        <v>1616</v>
      </c>
      <c r="E197" s="205"/>
      <c r="F197" s="205"/>
      <c r="G197" s="34"/>
      <c r="H197" s="199" t="s">
        <v>1617</v>
      </c>
      <c r="I197" s="200">
        <v>163.0</v>
      </c>
      <c r="J197" s="208" t="s">
        <v>1618</v>
      </c>
      <c r="K197" s="208" t="s">
        <v>1619</v>
      </c>
      <c r="L197" s="214">
        <v>194.0</v>
      </c>
      <c r="M197" s="34"/>
      <c r="N197" s="34"/>
      <c r="O197" s="34"/>
      <c r="P197" s="34"/>
      <c r="Q197" s="34"/>
      <c r="R197" s="205"/>
      <c r="S197" s="205"/>
      <c r="T197" s="208" t="s">
        <v>1620</v>
      </c>
    </row>
    <row r="198">
      <c r="A198" s="205"/>
      <c r="B198" s="205"/>
      <c r="C198" s="216" t="s">
        <v>1075</v>
      </c>
      <c r="D198" s="216" t="s">
        <v>44</v>
      </c>
      <c r="E198" s="205"/>
      <c r="F198" s="205"/>
      <c r="G198" s="34"/>
      <c r="H198" s="199" t="s">
        <v>1024</v>
      </c>
      <c r="I198" s="200">
        <v>341.0</v>
      </c>
      <c r="J198" s="208" t="s">
        <v>1621</v>
      </c>
      <c r="K198" s="208" t="s">
        <v>1622</v>
      </c>
      <c r="L198" s="214">
        <v>47.0</v>
      </c>
      <c r="M198" s="34"/>
      <c r="N198" s="34"/>
      <c r="O198" s="34"/>
      <c r="P198" s="34"/>
      <c r="Q198" s="34"/>
      <c r="R198" s="205"/>
      <c r="S198" s="205"/>
      <c r="T198" s="208" t="s">
        <v>1623</v>
      </c>
    </row>
    <row r="199">
      <c r="A199" s="205"/>
      <c r="B199" s="205"/>
      <c r="C199" s="216" t="s">
        <v>1081</v>
      </c>
      <c r="D199" s="216" t="s">
        <v>44</v>
      </c>
      <c r="E199" s="205"/>
      <c r="F199" s="205"/>
      <c r="G199" s="34"/>
      <c r="H199" s="199" t="s">
        <v>1110</v>
      </c>
      <c r="I199" s="200">
        <v>314.0</v>
      </c>
      <c r="J199" s="208" t="s">
        <v>1624</v>
      </c>
      <c r="K199" s="34"/>
      <c r="L199" s="34"/>
      <c r="M199" s="34"/>
      <c r="N199" s="34"/>
      <c r="O199" s="34"/>
      <c r="P199" s="34"/>
      <c r="Q199" s="34"/>
      <c r="R199" s="205"/>
      <c r="S199" s="205"/>
      <c r="T199" s="208" t="s">
        <v>1625</v>
      </c>
    </row>
    <row r="200">
      <c r="A200" s="205"/>
      <c r="B200" s="205"/>
      <c r="C200" s="216" t="s">
        <v>1086</v>
      </c>
      <c r="D200" s="216" t="s">
        <v>44</v>
      </c>
      <c r="E200" s="205"/>
      <c r="F200" s="205"/>
      <c r="G200" s="34"/>
      <c r="H200" s="199" t="s">
        <v>1287</v>
      </c>
      <c r="I200" s="200">
        <v>224.0</v>
      </c>
      <c r="J200" s="208" t="s">
        <v>1626</v>
      </c>
      <c r="K200" s="34"/>
      <c r="L200" s="34"/>
      <c r="M200" s="34"/>
      <c r="N200" s="34"/>
      <c r="O200" s="34"/>
      <c r="P200" s="34"/>
      <c r="Q200" s="34"/>
      <c r="R200" s="205"/>
      <c r="S200" s="205"/>
      <c r="T200" s="208" t="s">
        <v>1627</v>
      </c>
    </row>
    <row r="201">
      <c r="A201" s="205"/>
      <c r="B201" s="205"/>
      <c r="C201" s="216" t="s">
        <v>1092</v>
      </c>
      <c r="D201" s="216" t="s">
        <v>1628</v>
      </c>
      <c r="E201" s="205"/>
      <c r="F201" s="205"/>
      <c r="G201" s="34"/>
      <c r="H201" s="199" t="s">
        <v>834</v>
      </c>
      <c r="I201" s="200">
        <v>264.0</v>
      </c>
      <c r="J201" s="208" t="s">
        <v>1629</v>
      </c>
      <c r="K201" s="34"/>
      <c r="L201" s="34"/>
      <c r="M201" s="34"/>
      <c r="N201" s="34"/>
      <c r="O201" s="34"/>
      <c r="P201" s="34"/>
      <c r="Q201" s="34"/>
      <c r="R201" s="205"/>
      <c r="S201" s="205"/>
      <c r="T201" s="208" t="s">
        <v>1630</v>
      </c>
    </row>
    <row r="202">
      <c r="A202" s="205"/>
      <c r="B202" s="205"/>
      <c r="C202" s="216" t="s">
        <v>1096</v>
      </c>
      <c r="D202" s="216" t="s">
        <v>44</v>
      </c>
      <c r="E202" s="205"/>
      <c r="F202" s="205"/>
      <c r="G202" s="34"/>
      <c r="H202" s="199" t="s">
        <v>1631</v>
      </c>
      <c r="I202" s="200">
        <v>415.0</v>
      </c>
      <c r="J202" s="208" t="s">
        <v>1632</v>
      </c>
      <c r="K202" s="34"/>
      <c r="L202" s="34"/>
      <c r="M202" s="34"/>
      <c r="N202" s="34"/>
      <c r="O202" s="34"/>
      <c r="P202" s="34"/>
      <c r="Q202" s="34"/>
      <c r="R202" s="205"/>
      <c r="S202" s="205"/>
      <c r="T202" s="208" t="s">
        <v>1633</v>
      </c>
    </row>
    <row r="203">
      <c r="A203" s="205"/>
      <c r="B203" s="205"/>
      <c r="C203" s="216" t="s">
        <v>1100</v>
      </c>
      <c r="D203" s="216" t="s">
        <v>1634</v>
      </c>
      <c r="E203" s="205"/>
      <c r="F203" s="205"/>
      <c r="G203" s="34"/>
      <c r="H203" s="199" t="s">
        <v>1635</v>
      </c>
      <c r="I203" s="200">
        <v>335.0</v>
      </c>
      <c r="J203" s="208" t="s">
        <v>1636</v>
      </c>
      <c r="K203" s="34"/>
      <c r="L203" s="34"/>
      <c r="M203" s="34"/>
      <c r="N203" s="34"/>
      <c r="O203" s="34"/>
      <c r="P203" s="34"/>
      <c r="Q203" s="34"/>
      <c r="R203" s="205"/>
      <c r="S203" s="205"/>
      <c r="T203" s="208" t="s">
        <v>1637</v>
      </c>
    </row>
    <row r="204">
      <c r="A204" s="205"/>
      <c r="B204" s="205"/>
      <c r="C204" s="216" t="s">
        <v>1106</v>
      </c>
      <c r="D204" s="216" t="s">
        <v>44</v>
      </c>
      <c r="E204" s="205"/>
      <c r="F204" s="205"/>
      <c r="G204" s="34"/>
      <c r="H204" s="199" t="s">
        <v>772</v>
      </c>
      <c r="I204" s="200">
        <v>41.0</v>
      </c>
      <c r="J204" s="208" t="s">
        <v>1638</v>
      </c>
      <c r="K204" s="34"/>
      <c r="L204" s="34"/>
      <c r="M204" s="34"/>
      <c r="N204" s="34"/>
      <c r="O204" s="34"/>
      <c r="P204" s="34"/>
      <c r="Q204" s="34"/>
      <c r="R204" s="205"/>
      <c r="S204" s="205"/>
      <c r="T204" s="208" t="s">
        <v>1639</v>
      </c>
    </row>
    <row r="205">
      <c r="A205" s="205"/>
      <c r="B205" s="205"/>
      <c r="C205" s="216" t="s">
        <v>1111</v>
      </c>
      <c r="D205" s="216" t="s">
        <v>44</v>
      </c>
      <c r="E205" s="205"/>
      <c r="F205" s="205"/>
      <c r="G205" s="34"/>
      <c r="H205" s="199" t="s">
        <v>1640</v>
      </c>
      <c r="I205" s="200">
        <v>164.0</v>
      </c>
      <c r="J205" s="208" t="s">
        <v>1641</v>
      </c>
      <c r="K205" s="34"/>
      <c r="L205" s="34"/>
      <c r="M205" s="34"/>
      <c r="N205" s="34"/>
      <c r="O205" s="34"/>
      <c r="P205" s="34"/>
      <c r="Q205" s="34"/>
      <c r="R205" s="205"/>
      <c r="S205" s="205"/>
      <c r="T205" s="208" t="s">
        <v>1642</v>
      </c>
    </row>
    <row r="206">
      <c r="A206" s="205"/>
      <c r="B206" s="205"/>
      <c r="C206" s="216" t="s">
        <v>1643</v>
      </c>
      <c r="D206" s="216" t="s">
        <v>44</v>
      </c>
      <c r="E206" s="205"/>
      <c r="F206" s="205"/>
      <c r="G206" s="34"/>
      <c r="H206" s="199" t="s">
        <v>779</v>
      </c>
      <c r="I206" s="200">
        <v>20.0</v>
      </c>
      <c r="J206" s="208" t="s">
        <v>1644</v>
      </c>
      <c r="K206" s="34"/>
      <c r="L206" s="34"/>
      <c r="M206" s="34"/>
      <c r="N206" s="34"/>
      <c r="O206" s="34"/>
      <c r="P206" s="34"/>
      <c r="Q206" s="34"/>
      <c r="R206" s="205"/>
      <c r="S206" s="205"/>
      <c r="T206" s="208" t="s">
        <v>1645</v>
      </c>
    </row>
    <row r="207">
      <c r="A207" s="205"/>
      <c r="B207" s="205"/>
      <c r="C207" s="216" t="s">
        <v>1646</v>
      </c>
      <c r="D207" s="216" t="s">
        <v>44</v>
      </c>
      <c r="E207" s="205"/>
      <c r="F207" s="205"/>
      <c r="G207" s="34"/>
      <c r="H207" s="199" t="s">
        <v>1647</v>
      </c>
      <c r="I207" s="200">
        <v>138.0</v>
      </c>
      <c r="J207" s="208" t="s">
        <v>1648</v>
      </c>
      <c r="K207" s="34"/>
      <c r="L207" s="34"/>
      <c r="M207" s="34"/>
      <c r="N207" s="34"/>
      <c r="O207" s="34"/>
      <c r="P207" s="34"/>
      <c r="Q207" s="34"/>
      <c r="R207" s="205"/>
      <c r="S207" s="205"/>
      <c r="T207" s="208" t="s">
        <v>1649</v>
      </c>
    </row>
    <row r="208">
      <c r="A208" s="205"/>
      <c r="B208" s="205"/>
      <c r="C208" s="216" t="s">
        <v>993</v>
      </c>
      <c r="D208" s="216" t="s">
        <v>1650</v>
      </c>
      <c r="E208" s="205"/>
      <c r="F208" s="205"/>
      <c r="G208" s="34"/>
      <c r="H208" s="199" t="s">
        <v>1222</v>
      </c>
      <c r="I208" s="200">
        <v>148.0</v>
      </c>
      <c r="J208" s="208" t="s">
        <v>1651</v>
      </c>
      <c r="K208" s="34"/>
      <c r="L208" s="34"/>
      <c r="M208" s="34"/>
      <c r="N208" s="34"/>
      <c r="O208" s="34"/>
      <c r="P208" s="34"/>
      <c r="Q208" s="34"/>
      <c r="R208" s="205"/>
      <c r="S208" s="205"/>
      <c r="T208" s="208" t="s">
        <v>1652</v>
      </c>
    </row>
    <row r="209">
      <c r="A209" s="205"/>
      <c r="B209" s="205"/>
      <c r="C209" s="216" t="s">
        <v>1132</v>
      </c>
      <c r="D209" s="216" t="s">
        <v>44</v>
      </c>
      <c r="E209" s="205"/>
      <c r="F209" s="205"/>
      <c r="G209" s="34"/>
      <c r="H209" s="199" t="s">
        <v>1653</v>
      </c>
      <c r="I209" s="200">
        <v>553.0</v>
      </c>
      <c r="J209" s="208" t="s">
        <v>1654</v>
      </c>
      <c r="K209" s="34"/>
      <c r="L209" s="34"/>
      <c r="M209" s="34"/>
      <c r="N209" s="34"/>
      <c r="O209" s="34"/>
      <c r="P209" s="34"/>
      <c r="Q209" s="34"/>
      <c r="R209" s="205"/>
      <c r="S209" s="205"/>
      <c r="T209" s="208" t="s">
        <v>1655</v>
      </c>
    </row>
    <row r="210">
      <c r="A210" s="205"/>
      <c r="B210" s="205"/>
      <c r="C210" s="216" t="s">
        <v>1138</v>
      </c>
      <c r="D210" s="216" t="s">
        <v>44</v>
      </c>
      <c r="E210" s="205"/>
      <c r="F210" s="205"/>
      <c r="G210" s="34"/>
      <c r="H210" s="199" t="s">
        <v>941</v>
      </c>
      <c r="I210" s="200">
        <v>157.0</v>
      </c>
      <c r="J210" s="208" t="s">
        <v>1656</v>
      </c>
      <c r="K210" s="34"/>
      <c r="L210" s="34"/>
      <c r="M210" s="34"/>
      <c r="N210" s="34"/>
      <c r="O210" s="34"/>
      <c r="P210" s="34"/>
      <c r="Q210" s="34"/>
      <c r="R210" s="205"/>
      <c r="S210" s="205"/>
      <c r="T210" s="208" t="s">
        <v>1657</v>
      </c>
    </row>
    <row r="211">
      <c r="A211" s="205"/>
      <c r="B211" s="205"/>
      <c r="C211" s="216" t="s">
        <v>1144</v>
      </c>
      <c r="D211" s="216" t="s">
        <v>44</v>
      </c>
      <c r="E211" s="205"/>
      <c r="F211" s="205"/>
      <c r="G211" s="34"/>
      <c r="H211" s="199" t="s">
        <v>1115</v>
      </c>
      <c r="I211" s="200">
        <v>315.0</v>
      </c>
      <c r="J211" s="208" t="s">
        <v>1658</v>
      </c>
      <c r="K211" s="34"/>
      <c r="L211" s="34"/>
      <c r="M211" s="34"/>
      <c r="N211" s="34"/>
      <c r="O211" s="34"/>
      <c r="P211" s="34"/>
      <c r="Q211" s="34"/>
      <c r="R211" s="205"/>
      <c r="S211" s="205"/>
      <c r="T211" s="208" t="s">
        <v>1659</v>
      </c>
    </row>
    <row r="212">
      <c r="A212" s="205"/>
      <c r="B212" s="205"/>
      <c r="C212" s="216" t="s">
        <v>1149</v>
      </c>
      <c r="D212" s="216" t="s">
        <v>1660</v>
      </c>
      <c r="E212" s="205"/>
      <c r="F212" s="205"/>
      <c r="G212" s="34"/>
      <c r="H212" s="199" t="s">
        <v>1661</v>
      </c>
      <c r="I212" s="200">
        <v>122.0</v>
      </c>
      <c r="J212" s="208" t="s">
        <v>1581</v>
      </c>
      <c r="K212" s="34"/>
      <c r="L212" s="34"/>
      <c r="M212" s="34"/>
      <c r="N212" s="34"/>
      <c r="O212" s="34"/>
      <c r="P212" s="34"/>
      <c r="Q212" s="34"/>
      <c r="R212" s="205"/>
      <c r="S212" s="205"/>
      <c r="T212" s="208" t="s">
        <v>1662</v>
      </c>
    </row>
    <row r="213">
      <c r="A213" s="205"/>
      <c r="B213" s="205"/>
      <c r="C213" s="216" t="s">
        <v>1218</v>
      </c>
      <c r="D213" s="216" t="s">
        <v>44</v>
      </c>
      <c r="E213" s="205"/>
      <c r="F213" s="205"/>
      <c r="G213" s="34"/>
      <c r="H213" s="199" t="s">
        <v>785</v>
      </c>
      <c r="I213" s="200">
        <v>43.0</v>
      </c>
      <c r="J213" s="208" t="s">
        <v>1663</v>
      </c>
      <c r="K213" s="34"/>
      <c r="L213" s="34"/>
      <c r="M213" s="34"/>
      <c r="N213" s="34"/>
      <c r="O213" s="34"/>
      <c r="P213" s="34"/>
      <c r="Q213" s="34"/>
      <c r="R213" s="205"/>
      <c r="S213" s="205"/>
      <c r="T213" s="208" t="s">
        <v>1664</v>
      </c>
    </row>
    <row r="214">
      <c r="A214" s="205"/>
      <c r="B214" s="205"/>
      <c r="C214" s="216" t="s">
        <v>1283</v>
      </c>
      <c r="D214" s="216" t="s">
        <v>44</v>
      </c>
      <c r="E214" s="205"/>
      <c r="F214" s="205"/>
      <c r="G214" s="34"/>
      <c r="H214" s="199" t="s">
        <v>793</v>
      </c>
      <c r="I214" s="200">
        <v>187.0</v>
      </c>
      <c r="J214" s="208" t="s">
        <v>1665</v>
      </c>
      <c r="K214" s="34"/>
      <c r="L214" s="34"/>
      <c r="M214" s="34"/>
      <c r="N214" s="34"/>
      <c r="O214" s="34"/>
      <c r="P214" s="34"/>
      <c r="Q214" s="34"/>
      <c r="R214" s="205"/>
      <c r="S214" s="205"/>
      <c r="T214" s="208" t="s">
        <v>1175</v>
      </c>
    </row>
    <row r="215">
      <c r="A215" s="205"/>
      <c r="B215" s="205"/>
      <c r="C215" s="216" t="s">
        <v>1554</v>
      </c>
      <c r="D215" s="216" t="s">
        <v>1666</v>
      </c>
      <c r="E215" s="205"/>
      <c r="F215" s="205"/>
      <c r="G215" s="34"/>
      <c r="H215" s="199" t="s">
        <v>1667</v>
      </c>
      <c r="I215" s="200">
        <v>188.0</v>
      </c>
      <c r="J215" s="208" t="s">
        <v>1668</v>
      </c>
      <c r="K215" s="34"/>
      <c r="L215" s="34"/>
      <c r="M215" s="34"/>
      <c r="N215" s="34"/>
      <c r="O215" s="34"/>
      <c r="P215" s="34"/>
      <c r="Q215" s="34"/>
      <c r="R215" s="205"/>
      <c r="S215" s="205"/>
      <c r="T215" s="208" t="s">
        <v>1669</v>
      </c>
    </row>
    <row r="216">
      <c r="A216" s="205"/>
      <c r="B216" s="205"/>
      <c r="C216" s="216" t="s">
        <v>1670</v>
      </c>
      <c r="D216" s="216" t="s">
        <v>44</v>
      </c>
      <c r="E216" s="205"/>
      <c r="F216" s="205"/>
      <c r="G216" s="34"/>
      <c r="H216" s="199" t="s">
        <v>1671</v>
      </c>
      <c r="I216" s="200">
        <v>189.0</v>
      </c>
      <c r="J216" s="208" t="s">
        <v>1672</v>
      </c>
      <c r="K216" s="34"/>
      <c r="L216" s="34"/>
      <c r="M216" s="34"/>
      <c r="N216" s="34"/>
      <c r="O216" s="34"/>
      <c r="P216" s="34"/>
      <c r="Q216" s="34"/>
      <c r="R216" s="205"/>
      <c r="S216" s="205"/>
      <c r="T216" s="208" t="s">
        <v>1673</v>
      </c>
    </row>
    <row r="217">
      <c r="A217" s="205"/>
      <c r="B217" s="205"/>
      <c r="C217" s="216" t="s">
        <v>1674</v>
      </c>
      <c r="D217" s="216" t="s">
        <v>44</v>
      </c>
      <c r="E217" s="205"/>
      <c r="F217" s="205"/>
      <c r="G217" s="34"/>
      <c r="H217" s="199" t="s">
        <v>1675</v>
      </c>
      <c r="I217" s="200">
        <v>559.0</v>
      </c>
      <c r="J217" s="208" t="s">
        <v>1676</v>
      </c>
      <c r="K217" s="34"/>
      <c r="L217" s="34"/>
      <c r="M217" s="34"/>
      <c r="N217" s="34"/>
      <c r="O217" s="34"/>
      <c r="P217" s="34"/>
      <c r="Q217" s="34"/>
      <c r="R217" s="205"/>
      <c r="S217" s="205"/>
      <c r="T217" s="208" t="s">
        <v>1677</v>
      </c>
    </row>
    <row r="218">
      <c r="A218" s="205"/>
      <c r="B218" s="205"/>
      <c r="C218" s="216" t="s">
        <v>1678</v>
      </c>
      <c r="D218" s="216" t="s">
        <v>44</v>
      </c>
      <c r="E218" s="205"/>
      <c r="F218" s="205"/>
      <c r="G218" s="34"/>
      <c r="H218" s="199" t="s">
        <v>1679</v>
      </c>
      <c r="I218" s="200">
        <v>560.0</v>
      </c>
      <c r="J218" s="208" t="s">
        <v>1680</v>
      </c>
      <c r="K218" s="34"/>
      <c r="L218" s="34"/>
      <c r="M218" s="34"/>
      <c r="N218" s="34"/>
      <c r="O218" s="34"/>
      <c r="P218" s="34"/>
      <c r="Q218" s="34"/>
      <c r="R218" s="205"/>
      <c r="S218" s="205"/>
      <c r="T218" s="208" t="s">
        <v>1681</v>
      </c>
    </row>
    <row r="219">
      <c r="A219" s="205"/>
      <c r="B219" s="205"/>
      <c r="C219" s="216" t="s">
        <v>815</v>
      </c>
      <c r="D219" s="216" t="s">
        <v>44</v>
      </c>
      <c r="E219" s="205"/>
      <c r="F219" s="205"/>
      <c r="G219" s="34"/>
      <c r="H219" s="199" t="s">
        <v>1682</v>
      </c>
      <c r="I219" s="200">
        <v>561.0</v>
      </c>
      <c r="J219" s="208" t="s">
        <v>1683</v>
      </c>
      <c r="K219" s="34"/>
      <c r="L219" s="34"/>
      <c r="M219" s="34"/>
      <c r="N219" s="34"/>
      <c r="O219" s="34"/>
      <c r="P219" s="34"/>
      <c r="Q219" s="34"/>
      <c r="R219" s="205"/>
      <c r="S219" s="205"/>
      <c r="T219" s="208" t="s">
        <v>1684</v>
      </c>
    </row>
    <row r="220">
      <c r="A220" s="205"/>
      <c r="B220" s="205"/>
      <c r="C220" s="216" t="s">
        <v>842</v>
      </c>
      <c r="D220" s="216" t="s">
        <v>1685</v>
      </c>
      <c r="E220" s="205"/>
      <c r="F220" s="205"/>
      <c r="G220" s="34"/>
      <c r="H220" s="199" t="s">
        <v>1511</v>
      </c>
      <c r="I220" s="200">
        <v>427.0</v>
      </c>
      <c r="J220" s="208" t="s">
        <v>1686</v>
      </c>
      <c r="K220" s="34"/>
      <c r="L220" s="34"/>
      <c r="M220" s="34"/>
      <c r="N220" s="34"/>
      <c r="O220" s="34"/>
      <c r="P220" s="34"/>
      <c r="Q220" s="34"/>
      <c r="R220" s="205"/>
      <c r="S220" s="205"/>
      <c r="T220" s="208" t="s">
        <v>1687</v>
      </c>
    </row>
    <row r="221">
      <c r="A221" s="205"/>
      <c r="B221" s="205"/>
      <c r="C221" s="216" t="s">
        <v>885</v>
      </c>
      <c r="D221" s="216" t="s">
        <v>1688</v>
      </c>
      <c r="E221" s="205"/>
      <c r="F221" s="205"/>
      <c r="G221" s="34"/>
      <c r="H221" s="199" t="s">
        <v>1516</v>
      </c>
      <c r="I221" s="200">
        <v>63.0</v>
      </c>
      <c r="J221" s="208" t="s">
        <v>1689</v>
      </c>
      <c r="K221" s="34"/>
      <c r="L221" s="34"/>
      <c r="M221" s="34"/>
      <c r="N221" s="34"/>
      <c r="O221" s="34"/>
      <c r="P221" s="34"/>
      <c r="Q221" s="34"/>
      <c r="R221" s="205"/>
      <c r="S221" s="205"/>
      <c r="T221" s="208" t="s">
        <v>1690</v>
      </c>
    </row>
    <row r="222">
      <c r="A222" s="205"/>
      <c r="B222" s="205"/>
      <c r="C222" s="216" t="s">
        <v>968</v>
      </c>
      <c r="D222" s="216" t="s">
        <v>44</v>
      </c>
      <c r="E222" s="205"/>
      <c r="F222" s="205"/>
      <c r="G222" s="34"/>
      <c r="H222" s="199" t="s">
        <v>667</v>
      </c>
      <c r="I222" s="200">
        <v>231.0</v>
      </c>
      <c r="J222" s="208" t="s">
        <v>1691</v>
      </c>
      <c r="K222" s="34"/>
      <c r="L222" s="34"/>
      <c r="M222" s="34"/>
      <c r="N222" s="34"/>
      <c r="O222" s="34"/>
      <c r="P222" s="34"/>
      <c r="Q222" s="34"/>
      <c r="R222" s="205"/>
      <c r="S222" s="205"/>
      <c r="T222" s="208" t="s">
        <v>1692</v>
      </c>
    </row>
    <row r="223">
      <c r="A223" s="205"/>
      <c r="B223" s="205"/>
      <c r="C223" s="216" t="s">
        <v>1008</v>
      </c>
      <c r="D223" s="216" t="s">
        <v>44</v>
      </c>
      <c r="E223" s="205"/>
      <c r="F223" s="205"/>
      <c r="G223" s="34"/>
      <c r="H223" s="199" t="s">
        <v>1121</v>
      </c>
      <c r="I223" s="200">
        <v>316.0</v>
      </c>
      <c r="J223" s="208" t="s">
        <v>1693</v>
      </c>
      <c r="K223" s="34"/>
      <c r="L223" s="34"/>
      <c r="M223" s="34"/>
      <c r="N223" s="34"/>
      <c r="O223" s="34"/>
      <c r="P223" s="34"/>
      <c r="Q223" s="34"/>
      <c r="R223" s="205"/>
      <c r="S223" s="205"/>
      <c r="T223" s="208" t="s">
        <v>1694</v>
      </c>
    </row>
    <row r="224">
      <c r="A224" s="205"/>
      <c r="B224" s="205"/>
      <c r="C224" s="216" t="s">
        <v>1027</v>
      </c>
      <c r="D224" s="216" t="s">
        <v>44</v>
      </c>
      <c r="E224" s="205"/>
      <c r="F224" s="205"/>
      <c r="G224" s="34"/>
      <c r="H224" s="199" t="s">
        <v>946</v>
      </c>
      <c r="I224" s="200">
        <v>158.0</v>
      </c>
      <c r="J224" s="208" t="s">
        <v>1695</v>
      </c>
      <c r="K224" s="34"/>
      <c r="L224" s="34"/>
      <c r="M224" s="34"/>
      <c r="N224" s="34"/>
      <c r="O224" s="34"/>
      <c r="P224" s="34"/>
      <c r="Q224" s="34"/>
      <c r="R224" s="205"/>
      <c r="S224" s="205"/>
      <c r="T224" s="208" t="s">
        <v>1696</v>
      </c>
    </row>
    <row r="225">
      <c r="A225" s="205"/>
      <c r="B225" s="205"/>
      <c r="C225" s="216" t="s">
        <v>1044</v>
      </c>
      <c r="D225" s="216" t="s">
        <v>44</v>
      </c>
      <c r="E225" s="205"/>
      <c r="F225" s="205"/>
      <c r="G225" s="34"/>
      <c r="H225" s="199" t="s">
        <v>799</v>
      </c>
      <c r="I225" s="200">
        <v>56.0</v>
      </c>
      <c r="J225" s="208" t="s">
        <v>1697</v>
      </c>
      <c r="K225" s="34"/>
      <c r="L225" s="34"/>
      <c r="M225" s="34"/>
      <c r="N225" s="34"/>
      <c r="O225" s="34"/>
      <c r="P225" s="34"/>
      <c r="Q225" s="34"/>
      <c r="R225" s="205"/>
      <c r="S225" s="205"/>
      <c r="T225" s="208" t="s">
        <v>1698</v>
      </c>
    </row>
    <row r="226">
      <c r="A226" s="205"/>
      <c r="B226" s="205"/>
      <c r="C226" s="216" t="s">
        <v>1048</v>
      </c>
      <c r="D226" s="216" t="s">
        <v>1699</v>
      </c>
      <c r="E226" s="205"/>
      <c r="F226" s="205"/>
      <c r="G226" s="34"/>
      <c r="H226" s="199" t="s">
        <v>805</v>
      </c>
      <c r="I226" s="200">
        <v>57.0</v>
      </c>
      <c r="J226" s="208" t="s">
        <v>1700</v>
      </c>
      <c r="K226" s="34"/>
      <c r="L226" s="34"/>
      <c r="M226" s="34"/>
      <c r="N226" s="34"/>
      <c r="O226" s="34"/>
      <c r="P226" s="34"/>
      <c r="Q226" s="34"/>
      <c r="R226" s="205"/>
      <c r="S226" s="205"/>
      <c r="T226" s="208" t="s">
        <v>1701</v>
      </c>
    </row>
    <row r="227">
      <c r="A227" s="205"/>
      <c r="B227" s="205"/>
      <c r="C227" s="216" t="s">
        <v>1117</v>
      </c>
      <c r="D227" s="216" t="s">
        <v>1702</v>
      </c>
      <c r="E227" s="205"/>
      <c r="F227" s="205"/>
      <c r="G227" s="34"/>
      <c r="H227" s="199" t="s">
        <v>1703</v>
      </c>
      <c r="I227" s="200">
        <v>571.0</v>
      </c>
      <c r="J227" s="208" t="s">
        <v>1704</v>
      </c>
      <c r="K227" s="34"/>
      <c r="L227" s="34"/>
      <c r="M227" s="34"/>
      <c r="N227" s="34"/>
      <c r="O227" s="34"/>
      <c r="P227" s="34"/>
      <c r="Q227" s="34"/>
      <c r="R227" s="205"/>
      <c r="S227" s="205"/>
      <c r="T227" s="208" t="s">
        <v>1705</v>
      </c>
    </row>
    <row r="228">
      <c r="A228" s="205"/>
      <c r="B228" s="205"/>
      <c r="C228" s="216" t="s">
        <v>1234</v>
      </c>
      <c r="D228" s="216" t="s">
        <v>44</v>
      </c>
      <c r="E228" s="205"/>
      <c r="F228" s="205"/>
      <c r="G228" s="34"/>
      <c r="H228" s="199" t="s">
        <v>1706</v>
      </c>
      <c r="I228" s="200">
        <v>581.0</v>
      </c>
      <c r="J228" s="208" t="s">
        <v>1707</v>
      </c>
      <c r="K228" s="34"/>
      <c r="L228" s="34"/>
      <c r="M228" s="34"/>
      <c r="N228" s="34"/>
      <c r="O228" s="34"/>
      <c r="P228" s="34"/>
      <c r="Q228" s="34"/>
      <c r="R228" s="205"/>
      <c r="S228" s="205"/>
      <c r="T228" s="208" t="s">
        <v>1708</v>
      </c>
    </row>
    <row r="229">
      <c r="A229" s="205"/>
      <c r="B229" s="205"/>
      <c r="C229" s="216" t="s">
        <v>1239</v>
      </c>
      <c r="D229" s="216" t="s">
        <v>44</v>
      </c>
      <c r="E229" s="205"/>
      <c r="F229" s="205"/>
      <c r="G229" s="34"/>
      <c r="H229" s="199" t="s">
        <v>1709</v>
      </c>
      <c r="I229" s="200">
        <v>590.0</v>
      </c>
      <c r="J229" s="208" t="s">
        <v>1710</v>
      </c>
      <c r="K229" s="34"/>
      <c r="L229" s="34"/>
      <c r="M229" s="34"/>
      <c r="N229" s="34"/>
      <c r="O229" s="34"/>
      <c r="P229" s="34"/>
      <c r="Q229" s="34"/>
      <c r="R229" s="205"/>
      <c r="S229" s="205"/>
      <c r="T229" s="208" t="s">
        <v>1711</v>
      </c>
    </row>
    <row r="230">
      <c r="A230" s="205"/>
      <c r="B230" s="205"/>
      <c r="C230" s="216" t="s">
        <v>1273</v>
      </c>
      <c r="D230" s="216" t="s">
        <v>44</v>
      </c>
      <c r="E230" s="205"/>
      <c r="F230" s="205"/>
      <c r="G230" s="34"/>
      <c r="H230" s="199" t="s">
        <v>1374</v>
      </c>
      <c r="I230" s="200">
        <v>67.0</v>
      </c>
      <c r="J230" s="208" t="s">
        <v>1712</v>
      </c>
      <c r="K230" s="34"/>
      <c r="L230" s="34"/>
      <c r="M230" s="34"/>
      <c r="N230" s="34"/>
      <c r="O230" s="34"/>
      <c r="P230" s="34"/>
      <c r="Q230" s="34"/>
      <c r="R230" s="205"/>
      <c r="S230" s="205"/>
      <c r="T230" s="208" t="s">
        <v>1713</v>
      </c>
    </row>
    <row r="231">
      <c r="A231" s="205"/>
      <c r="B231" s="205"/>
      <c r="C231" s="216" t="s">
        <v>1400</v>
      </c>
      <c r="D231" s="216" t="s">
        <v>44</v>
      </c>
      <c r="E231" s="205"/>
      <c r="F231" s="205"/>
      <c r="G231" s="34"/>
      <c r="H231" s="199" t="s">
        <v>1126</v>
      </c>
      <c r="I231" s="200">
        <v>317.0</v>
      </c>
      <c r="J231" s="208" t="s">
        <v>1714</v>
      </c>
      <c r="K231" s="34"/>
      <c r="L231" s="34"/>
      <c r="M231" s="34"/>
      <c r="N231" s="34"/>
      <c r="O231" s="34"/>
      <c r="P231" s="34"/>
      <c r="Q231" s="34"/>
      <c r="R231" s="205"/>
      <c r="S231" s="205"/>
      <c r="T231" s="208" t="s">
        <v>1715</v>
      </c>
    </row>
    <row r="232">
      <c r="A232" s="205"/>
      <c r="B232" s="205"/>
      <c r="C232" s="216" t="s">
        <v>749</v>
      </c>
      <c r="D232" s="216" t="s">
        <v>44</v>
      </c>
      <c r="E232" s="205"/>
      <c r="F232" s="205"/>
      <c r="G232" s="34"/>
      <c r="H232" s="199" t="s">
        <v>676</v>
      </c>
      <c r="I232" s="200">
        <v>45.0</v>
      </c>
      <c r="J232" s="208" t="s">
        <v>1716</v>
      </c>
      <c r="K232" s="34"/>
      <c r="L232" s="34"/>
      <c r="M232" s="34"/>
      <c r="N232" s="34"/>
      <c r="O232" s="34"/>
      <c r="P232" s="34"/>
      <c r="Q232" s="34"/>
      <c r="R232" s="205"/>
      <c r="S232" s="205"/>
      <c r="T232" s="208" t="s">
        <v>1717</v>
      </c>
    </row>
    <row r="233">
      <c r="A233" s="205"/>
      <c r="B233" s="205"/>
      <c r="C233" s="216" t="s">
        <v>1581</v>
      </c>
      <c r="D233" s="216" t="s">
        <v>1718</v>
      </c>
      <c r="E233" s="205"/>
      <c r="F233" s="205"/>
      <c r="G233" s="34"/>
      <c r="H233" s="199" t="s">
        <v>840</v>
      </c>
      <c r="I233" s="200">
        <v>265.0</v>
      </c>
      <c r="J233" s="208" t="s">
        <v>1719</v>
      </c>
      <c r="K233" s="34"/>
      <c r="L233" s="34"/>
      <c r="M233" s="34"/>
      <c r="N233" s="34"/>
      <c r="O233" s="34"/>
      <c r="P233" s="34"/>
      <c r="Q233" s="34"/>
      <c r="R233" s="205"/>
      <c r="S233" s="205"/>
      <c r="T233" s="208" t="s">
        <v>1535</v>
      </c>
    </row>
    <row r="234">
      <c r="A234" s="205"/>
      <c r="B234" s="205"/>
      <c r="C234" s="216" t="s">
        <v>1661</v>
      </c>
      <c r="D234" s="216" t="s">
        <v>44</v>
      </c>
      <c r="E234" s="205"/>
      <c r="F234" s="205"/>
      <c r="G234" s="34"/>
      <c r="H234" s="199" t="s">
        <v>1130</v>
      </c>
      <c r="I234" s="200">
        <v>318.0</v>
      </c>
      <c r="J234" s="208" t="s">
        <v>1720</v>
      </c>
      <c r="K234" s="34"/>
      <c r="L234" s="34"/>
      <c r="M234" s="34"/>
      <c r="N234" s="34"/>
      <c r="O234" s="34"/>
      <c r="P234" s="34"/>
      <c r="Q234" s="34"/>
      <c r="R234" s="205"/>
      <c r="S234" s="205"/>
      <c r="T234" s="208" t="s">
        <v>1721</v>
      </c>
    </row>
    <row r="235">
      <c r="A235" s="205"/>
      <c r="B235" s="205"/>
      <c r="C235" s="216" t="s">
        <v>1722</v>
      </c>
      <c r="D235" s="216" t="s">
        <v>1723</v>
      </c>
      <c r="E235" s="205"/>
      <c r="F235" s="205"/>
      <c r="G235" s="34"/>
      <c r="H235" s="199" t="s">
        <v>811</v>
      </c>
      <c r="I235" s="200">
        <v>22.0</v>
      </c>
      <c r="J235" s="208" t="s">
        <v>1724</v>
      </c>
      <c r="K235" s="34"/>
      <c r="L235" s="34"/>
      <c r="M235" s="34"/>
      <c r="N235" s="34"/>
      <c r="O235" s="34"/>
      <c r="P235" s="34"/>
      <c r="Q235" s="34"/>
      <c r="R235" s="205"/>
      <c r="S235" s="205"/>
      <c r="T235" s="208" t="s">
        <v>1725</v>
      </c>
    </row>
    <row r="236">
      <c r="A236" s="205"/>
      <c r="B236" s="205"/>
      <c r="C236" s="216" t="s">
        <v>1726</v>
      </c>
      <c r="D236" s="216" t="s">
        <v>44</v>
      </c>
      <c r="E236" s="205"/>
      <c r="F236" s="205"/>
      <c r="G236" s="34"/>
      <c r="H236" s="199" t="s">
        <v>1227</v>
      </c>
      <c r="I236" s="200">
        <v>149.0</v>
      </c>
      <c r="J236" s="208" t="s">
        <v>1727</v>
      </c>
      <c r="K236" s="34"/>
      <c r="L236" s="34"/>
      <c r="M236" s="34"/>
      <c r="N236" s="34"/>
      <c r="O236" s="34"/>
      <c r="P236" s="34"/>
      <c r="Q236" s="34"/>
      <c r="R236" s="205"/>
      <c r="S236" s="205"/>
      <c r="T236" s="208" t="s">
        <v>1728</v>
      </c>
    </row>
    <row r="237">
      <c r="A237" s="205"/>
      <c r="B237" s="205"/>
      <c r="C237" s="216" t="s">
        <v>1729</v>
      </c>
      <c r="D237" s="216" t="s">
        <v>1730</v>
      </c>
      <c r="E237" s="205"/>
      <c r="F237" s="205"/>
      <c r="G237" s="34"/>
      <c r="H237" s="199" t="s">
        <v>1731</v>
      </c>
      <c r="I237" s="200">
        <v>46.0</v>
      </c>
      <c r="J237" s="208" t="s">
        <v>1732</v>
      </c>
      <c r="K237" s="34"/>
      <c r="L237" s="34"/>
      <c r="M237" s="34"/>
      <c r="N237" s="34"/>
      <c r="O237" s="34"/>
      <c r="P237" s="34"/>
      <c r="Q237" s="34"/>
      <c r="R237" s="205"/>
      <c r="S237" s="205"/>
      <c r="T237" s="208" t="s">
        <v>1733</v>
      </c>
    </row>
    <row r="238">
      <c r="A238" s="205"/>
      <c r="B238" s="205"/>
      <c r="C238" s="216" t="s">
        <v>854</v>
      </c>
      <c r="D238" s="216" t="s">
        <v>44</v>
      </c>
      <c r="E238" s="205"/>
      <c r="F238" s="205"/>
      <c r="G238" s="34"/>
      <c r="H238" s="199" t="s">
        <v>1124</v>
      </c>
      <c r="I238" s="200">
        <v>342.0</v>
      </c>
      <c r="J238" s="208" t="s">
        <v>1734</v>
      </c>
      <c r="K238" s="34"/>
      <c r="L238" s="34"/>
      <c r="M238" s="34"/>
      <c r="N238" s="34"/>
      <c r="O238" s="34"/>
      <c r="P238" s="34"/>
      <c r="Q238" s="34"/>
      <c r="R238" s="205"/>
      <c r="S238" s="205"/>
      <c r="T238" s="208" t="s">
        <v>1735</v>
      </c>
    </row>
    <row r="239">
      <c r="A239" s="205"/>
      <c r="B239" s="205"/>
      <c r="C239" s="216" t="s">
        <v>1736</v>
      </c>
      <c r="D239" s="216" t="s">
        <v>44</v>
      </c>
      <c r="E239" s="205"/>
      <c r="F239" s="205"/>
      <c r="G239" s="34"/>
      <c r="H239" s="199" t="s">
        <v>819</v>
      </c>
      <c r="I239" s="200">
        <v>47.0</v>
      </c>
      <c r="J239" s="208" t="s">
        <v>1737</v>
      </c>
      <c r="K239" s="34"/>
      <c r="L239" s="34"/>
      <c r="M239" s="34"/>
      <c r="N239" s="34"/>
      <c r="O239" s="34"/>
      <c r="P239" s="34"/>
      <c r="Q239" s="34"/>
      <c r="R239" s="205"/>
      <c r="S239" s="205"/>
      <c r="T239" s="208" t="s">
        <v>1738</v>
      </c>
    </row>
    <row r="240">
      <c r="A240" s="205"/>
      <c r="B240" s="205"/>
      <c r="C240" s="216" t="s">
        <v>861</v>
      </c>
      <c r="D240" s="216" t="s">
        <v>1739</v>
      </c>
      <c r="E240" s="205"/>
      <c r="F240" s="205"/>
      <c r="G240" s="34"/>
      <c r="H240" s="199" t="s">
        <v>684</v>
      </c>
      <c r="I240" s="200">
        <v>232.0</v>
      </c>
      <c r="J240" s="208" t="s">
        <v>1740</v>
      </c>
      <c r="K240" s="34"/>
      <c r="L240" s="34"/>
      <c r="M240" s="34"/>
      <c r="N240" s="34"/>
      <c r="O240" s="34"/>
      <c r="P240" s="34"/>
      <c r="Q240" s="34"/>
      <c r="R240" s="205"/>
      <c r="S240" s="205"/>
      <c r="T240" s="208" t="s">
        <v>1741</v>
      </c>
    </row>
    <row r="241">
      <c r="A241" s="205"/>
      <c r="B241" s="205"/>
      <c r="C241" s="216" t="s">
        <v>1742</v>
      </c>
      <c r="D241" s="216" t="s">
        <v>44</v>
      </c>
      <c r="E241" s="205"/>
      <c r="F241" s="205"/>
      <c r="G241" s="34"/>
      <c r="H241" s="199" t="s">
        <v>1378</v>
      </c>
      <c r="I241" s="200">
        <v>68.0</v>
      </c>
      <c r="J241" s="208" t="s">
        <v>1743</v>
      </c>
      <c r="K241" s="34"/>
      <c r="L241" s="34"/>
      <c r="M241" s="34"/>
      <c r="N241" s="34"/>
      <c r="O241" s="34"/>
      <c r="P241" s="34"/>
      <c r="Q241" s="34"/>
      <c r="R241" s="205"/>
      <c r="S241" s="205"/>
      <c r="T241" s="208" t="s">
        <v>1744</v>
      </c>
    </row>
    <row r="242">
      <c r="A242" s="205"/>
      <c r="B242" s="205"/>
      <c r="C242" s="216" t="s">
        <v>1745</v>
      </c>
      <c r="D242" s="216" t="s">
        <v>44</v>
      </c>
      <c r="E242" s="205"/>
      <c r="F242" s="205"/>
      <c r="G242" s="34"/>
      <c r="H242" s="199" t="s">
        <v>1746</v>
      </c>
      <c r="I242" s="200">
        <v>572.0</v>
      </c>
      <c r="J242" s="208" t="s">
        <v>1747</v>
      </c>
      <c r="K242" s="34"/>
      <c r="L242" s="34"/>
      <c r="M242" s="34"/>
      <c r="N242" s="34"/>
      <c r="O242" s="34"/>
      <c r="P242" s="34"/>
      <c r="Q242" s="34"/>
      <c r="R242" s="205"/>
      <c r="S242" s="205"/>
      <c r="T242" s="208" t="s">
        <v>1748</v>
      </c>
    </row>
    <row r="243">
      <c r="A243" s="205"/>
      <c r="B243" s="205"/>
      <c r="C243" s="216" t="s">
        <v>1749</v>
      </c>
      <c r="D243" s="216" t="s">
        <v>1750</v>
      </c>
      <c r="E243" s="205"/>
      <c r="F243" s="205"/>
      <c r="G243" s="34"/>
      <c r="H243" s="199" t="s">
        <v>1751</v>
      </c>
      <c r="I243" s="200">
        <v>574.0</v>
      </c>
      <c r="J243" s="208" t="s">
        <v>1752</v>
      </c>
      <c r="K243" s="34"/>
      <c r="L243" s="34"/>
      <c r="M243" s="34"/>
      <c r="N243" s="34"/>
      <c r="O243" s="34"/>
      <c r="P243" s="34"/>
      <c r="Q243" s="34"/>
      <c r="R243" s="205"/>
      <c r="S243" s="205"/>
      <c r="T243" s="208" t="s">
        <v>1753</v>
      </c>
    </row>
    <row r="244">
      <c r="A244" s="205"/>
      <c r="B244" s="205"/>
      <c r="C244" s="216" t="s">
        <v>1754</v>
      </c>
      <c r="D244" s="216" t="s">
        <v>1755</v>
      </c>
      <c r="E244" s="205"/>
      <c r="F244" s="205"/>
      <c r="G244" s="34"/>
      <c r="H244" s="199" t="s">
        <v>1756</v>
      </c>
      <c r="I244" s="200">
        <v>562.0</v>
      </c>
      <c r="J244" s="208" t="s">
        <v>1757</v>
      </c>
      <c r="K244" s="34"/>
      <c r="L244" s="34"/>
      <c r="M244" s="34"/>
      <c r="N244" s="34"/>
      <c r="O244" s="34"/>
      <c r="P244" s="34"/>
      <c r="Q244" s="34"/>
      <c r="R244" s="205"/>
      <c r="S244" s="205"/>
      <c r="T244" s="208" t="s">
        <v>1758</v>
      </c>
    </row>
    <row r="245">
      <c r="A245" s="205"/>
      <c r="B245" s="205"/>
      <c r="C245" s="216" t="s">
        <v>1759</v>
      </c>
      <c r="D245" s="216" t="s">
        <v>44</v>
      </c>
      <c r="E245" s="205"/>
      <c r="F245" s="205"/>
      <c r="G245" s="34"/>
      <c r="H245" s="199" t="s">
        <v>1760</v>
      </c>
      <c r="I245" s="200">
        <v>582.0</v>
      </c>
      <c r="J245" s="208" t="s">
        <v>1761</v>
      </c>
      <c r="K245" s="34"/>
      <c r="L245" s="34"/>
      <c r="M245" s="34"/>
      <c r="N245" s="34"/>
      <c r="O245" s="34"/>
      <c r="P245" s="34"/>
      <c r="Q245" s="34"/>
      <c r="R245" s="205"/>
      <c r="S245" s="205"/>
      <c r="T245" s="208" t="s">
        <v>1762</v>
      </c>
    </row>
    <row r="246">
      <c r="A246" s="205"/>
      <c r="B246" s="205"/>
      <c r="C246" s="216" t="s">
        <v>1763</v>
      </c>
      <c r="D246" s="216" t="s">
        <v>44</v>
      </c>
      <c r="E246" s="205"/>
      <c r="F246" s="205"/>
      <c r="G246" s="34"/>
      <c r="H246" s="199" t="s">
        <v>1764</v>
      </c>
      <c r="I246" s="200">
        <v>563.0</v>
      </c>
      <c r="J246" s="208" t="s">
        <v>1765</v>
      </c>
      <c r="K246" s="34"/>
      <c r="L246" s="34"/>
      <c r="M246" s="34"/>
      <c r="N246" s="34"/>
      <c r="O246" s="34"/>
      <c r="P246" s="34"/>
      <c r="Q246" s="34"/>
      <c r="R246" s="205"/>
      <c r="S246" s="205"/>
      <c r="T246" s="208" t="s">
        <v>1766</v>
      </c>
    </row>
    <row r="247">
      <c r="A247" s="205"/>
      <c r="B247" s="205"/>
      <c r="C247" s="216" t="s">
        <v>1767</v>
      </c>
      <c r="D247" s="216" t="s">
        <v>44</v>
      </c>
      <c r="E247" s="205"/>
      <c r="F247" s="205"/>
      <c r="G247" s="34"/>
      <c r="H247" s="199" t="s">
        <v>1768</v>
      </c>
      <c r="I247" s="200">
        <v>591.0</v>
      </c>
      <c r="J247" s="208" t="s">
        <v>1769</v>
      </c>
      <c r="K247" s="34"/>
      <c r="L247" s="34"/>
      <c r="M247" s="34"/>
      <c r="N247" s="34"/>
      <c r="O247" s="34"/>
      <c r="P247" s="34"/>
      <c r="Q247" s="34"/>
      <c r="R247" s="205"/>
      <c r="S247" s="205"/>
      <c r="T247" s="208" t="s">
        <v>1770</v>
      </c>
    </row>
    <row r="248">
      <c r="A248" s="205"/>
      <c r="B248" s="205"/>
      <c r="C248" s="216" t="s">
        <v>1771</v>
      </c>
      <c r="D248" s="216" t="s">
        <v>44</v>
      </c>
      <c r="E248" s="205"/>
      <c r="F248" s="205"/>
      <c r="G248" s="34"/>
      <c r="H248" s="199" t="s">
        <v>1772</v>
      </c>
      <c r="I248" s="200">
        <v>416.0</v>
      </c>
      <c r="J248" s="208" t="s">
        <v>1773</v>
      </c>
      <c r="K248" s="34"/>
      <c r="L248" s="34"/>
      <c r="M248" s="34"/>
      <c r="N248" s="34"/>
      <c r="O248" s="34"/>
      <c r="P248" s="34"/>
      <c r="Q248" s="34"/>
      <c r="R248" s="205"/>
      <c r="S248" s="205"/>
      <c r="T248" s="208" t="s">
        <v>1774</v>
      </c>
    </row>
    <row r="249">
      <c r="A249" s="205"/>
      <c r="B249" s="205"/>
      <c r="C249" s="216" t="s">
        <v>1775</v>
      </c>
      <c r="D249" s="216" t="s">
        <v>44</v>
      </c>
      <c r="E249" s="205"/>
      <c r="F249" s="205"/>
      <c r="G249" s="34"/>
      <c r="H249" s="199" t="s">
        <v>1136</v>
      </c>
      <c r="I249" s="200">
        <v>319.0</v>
      </c>
      <c r="J249" s="208" t="s">
        <v>1776</v>
      </c>
      <c r="K249" s="34"/>
      <c r="L249" s="34"/>
      <c r="M249" s="34"/>
      <c r="N249" s="34"/>
      <c r="O249" s="34"/>
      <c r="P249" s="34"/>
      <c r="Q249" s="34"/>
      <c r="R249" s="205"/>
      <c r="S249" s="205"/>
      <c r="T249" s="208" t="s">
        <v>1777</v>
      </c>
    </row>
    <row r="250">
      <c r="A250" s="205"/>
      <c r="B250" s="205"/>
      <c r="C250" s="216" t="s">
        <v>1778</v>
      </c>
      <c r="D250" s="216" t="s">
        <v>44</v>
      </c>
      <c r="E250" s="205"/>
      <c r="F250" s="205"/>
      <c r="G250" s="34"/>
      <c r="H250" s="199" t="s">
        <v>826</v>
      </c>
      <c r="I250" s="200">
        <v>48.0</v>
      </c>
      <c r="J250" s="208" t="s">
        <v>1779</v>
      </c>
      <c r="K250" s="34"/>
      <c r="L250" s="34"/>
      <c r="M250" s="34"/>
      <c r="N250" s="34"/>
      <c r="O250" s="34"/>
      <c r="P250" s="34"/>
      <c r="Q250" s="34"/>
      <c r="R250" s="205"/>
      <c r="S250" s="205"/>
      <c r="T250" s="208" t="s">
        <v>1780</v>
      </c>
    </row>
    <row r="251">
      <c r="A251" s="205"/>
      <c r="B251" s="205"/>
      <c r="C251" s="216" t="s">
        <v>733</v>
      </c>
      <c r="D251" s="216" t="s">
        <v>1781</v>
      </c>
      <c r="E251" s="205"/>
      <c r="F251" s="205"/>
      <c r="G251" s="34"/>
      <c r="H251" s="199" t="s">
        <v>1782</v>
      </c>
      <c r="I251" s="200">
        <v>209.0</v>
      </c>
      <c r="J251" s="208" t="s">
        <v>1783</v>
      </c>
      <c r="K251" s="34"/>
      <c r="L251" s="34"/>
      <c r="M251" s="34"/>
      <c r="N251" s="34"/>
      <c r="O251" s="34"/>
      <c r="P251" s="34"/>
      <c r="Q251" s="34"/>
      <c r="R251" s="205"/>
      <c r="S251" s="205"/>
      <c r="T251" s="208" t="s">
        <v>1784</v>
      </c>
    </row>
    <row r="252">
      <c r="A252" s="205"/>
      <c r="B252" s="205"/>
      <c r="C252" s="216" t="s">
        <v>775</v>
      </c>
      <c r="D252" s="216" t="s">
        <v>44</v>
      </c>
      <c r="E252" s="205"/>
      <c r="F252" s="205"/>
      <c r="G252" s="34"/>
      <c r="H252" s="199" t="s">
        <v>1785</v>
      </c>
      <c r="I252" s="200">
        <v>210.0</v>
      </c>
      <c r="J252" s="208" t="s">
        <v>1786</v>
      </c>
      <c r="K252" s="34"/>
      <c r="L252" s="34"/>
      <c r="M252" s="34"/>
      <c r="N252" s="34"/>
      <c r="O252" s="34"/>
      <c r="P252" s="34"/>
      <c r="Q252" s="34"/>
      <c r="R252" s="205"/>
      <c r="S252" s="205"/>
      <c r="T252" s="208" t="s">
        <v>1787</v>
      </c>
    </row>
    <row r="253">
      <c r="A253" s="205"/>
      <c r="B253" s="205"/>
      <c r="C253" s="216" t="s">
        <v>931</v>
      </c>
      <c r="D253" s="216" t="s">
        <v>44</v>
      </c>
      <c r="E253" s="205"/>
      <c r="F253" s="205"/>
      <c r="G253" s="34"/>
      <c r="H253" s="199" t="s">
        <v>1788</v>
      </c>
      <c r="I253" s="200">
        <v>211.0</v>
      </c>
      <c r="J253" s="208" t="s">
        <v>1789</v>
      </c>
      <c r="K253" s="34"/>
      <c r="L253" s="34"/>
      <c r="M253" s="34"/>
      <c r="N253" s="34"/>
      <c r="O253" s="34"/>
      <c r="P253" s="34"/>
      <c r="Q253" s="34"/>
      <c r="R253" s="205"/>
      <c r="S253" s="205"/>
      <c r="T253" s="208" t="s">
        <v>1790</v>
      </c>
    </row>
    <row r="254">
      <c r="A254" s="205"/>
      <c r="B254" s="205"/>
      <c r="C254" s="216" t="s">
        <v>1252</v>
      </c>
      <c r="D254" s="216" t="s">
        <v>44</v>
      </c>
      <c r="E254" s="205"/>
      <c r="F254" s="205"/>
      <c r="G254" s="34"/>
      <c r="H254" s="199" t="s">
        <v>1791</v>
      </c>
      <c r="I254" s="200">
        <v>212.0</v>
      </c>
      <c r="J254" s="208" t="s">
        <v>1792</v>
      </c>
      <c r="K254" s="34"/>
      <c r="L254" s="34"/>
      <c r="M254" s="34"/>
      <c r="N254" s="34"/>
      <c r="O254" s="34"/>
      <c r="P254" s="34"/>
      <c r="Q254" s="34"/>
      <c r="R254" s="205"/>
      <c r="S254" s="205"/>
      <c r="T254" s="208" t="s">
        <v>1793</v>
      </c>
    </row>
    <row r="255">
      <c r="A255" s="205"/>
      <c r="B255" s="205"/>
      <c r="C255" s="216" t="s">
        <v>1267</v>
      </c>
      <c r="D255" s="216" t="s">
        <v>1794</v>
      </c>
      <c r="E255" s="205"/>
      <c r="F255" s="205"/>
      <c r="G255" s="34"/>
      <c r="H255" s="199" t="s">
        <v>1795</v>
      </c>
      <c r="I255" s="200">
        <v>208.0</v>
      </c>
      <c r="J255" s="208" t="s">
        <v>1796</v>
      </c>
      <c r="K255" s="34"/>
      <c r="L255" s="34"/>
      <c r="M255" s="34"/>
      <c r="N255" s="34"/>
      <c r="O255" s="34"/>
      <c r="P255" s="34"/>
      <c r="Q255" s="34"/>
      <c r="R255" s="205"/>
      <c r="S255" s="205"/>
      <c r="T255" s="208" t="s">
        <v>1797</v>
      </c>
    </row>
    <row r="256">
      <c r="A256" s="205"/>
      <c r="B256" s="205"/>
      <c r="C256" s="216" t="s">
        <v>1322</v>
      </c>
      <c r="D256" s="216" t="s">
        <v>44</v>
      </c>
      <c r="E256" s="205"/>
      <c r="F256" s="205"/>
      <c r="G256" s="34"/>
      <c r="H256" s="199" t="s">
        <v>1798</v>
      </c>
      <c r="I256" s="200">
        <v>417.0</v>
      </c>
      <c r="J256" s="208" t="s">
        <v>1799</v>
      </c>
      <c r="K256" s="34"/>
      <c r="L256" s="34"/>
      <c r="M256" s="34"/>
      <c r="N256" s="34"/>
      <c r="O256" s="34"/>
      <c r="P256" s="34"/>
      <c r="Q256" s="34"/>
      <c r="R256" s="205"/>
      <c r="S256" s="205"/>
      <c r="T256" s="208" t="s">
        <v>1800</v>
      </c>
    </row>
    <row r="257">
      <c r="A257" s="205"/>
      <c r="B257" s="205"/>
      <c r="C257" s="216" t="s">
        <v>1647</v>
      </c>
      <c r="D257" s="216" t="s">
        <v>44</v>
      </c>
      <c r="E257" s="205"/>
      <c r="F257" s="205"/>
      <c r="G257" s="34"/>
      <c r="H257" s="199" t="s">
        <v>1801</v>
      </c>
      <c r="I257" s="200">
        <v>418.0</v>
      </c>
      <c r="J257" s="208" t="s">
        <v>1802</v>
      </c>
      <c r="K257" s="34"/>
      <c r="L257" s="34"/>
      <c r="M257" s="34"/>
      <c r="N257" s="34"/>
      <c r="O257" s="34"/>
      <c r="P257" s="34"/>
      <c r="Q257" s="34"/>
      <c r="R257" s="205"/>
      <c r="S257" s="205"/>
      <c r="T257" s="208" t="s">
        <v>1803</v>
      </c>
    </row>
    <row r="258">
      <c r="A258" s="205"/>
      <c r="B258" s="205"/>
      <c r="C258" s="216" t="s">
        <v>1804</v>
      </c>
      <c r="D258" s="216" t="s">
        <v>1805</v>
      </c>
      <c r="E258" s="205"/>
      <c r="F258" s="205"/>
      <c r="G258" s="34"/>
      <c r="H258" s="199" t="s">
        <v>832</v>
      </c>
      <c r="I258" s="200">
        <v>18.0</v>
      </c>
      <c r="J258" s="208" t="s">
        <v>1806</v>
      </c>
      <c r="K258" s="34"/>
      <c r="L258" s="34"/>
      <c r="M258" s="34"/>
      <c r="N258" s="34"/>
      <c r="O258" s="34"/>
      <c r="P258" s="34"/>
      <c r="Q258" s="34"/>
      <c r="R258" s="205"/>
      <c r="S258" s="205"/>
      <c r="T258" s="34"/>
    </row>
    <row r="259">
      <c r="A259" s="205"/>
      <c r="B259" s="205"/>
      <c r="C259" s="216" t="s">
        <v>1807</v>
      </c>
      <c r="D259" s="216" t="s">
        <v>44</v>
      </c>
      <c r="E259" s="205"/>
      <c r="F259" s="205"/>
      <c r="G259" s="34"/>
      <c r="H259" s="199" t="s">
        <v>1256</v>
      </c>
      <c r="I259" s="200">
        <v>219.0</v>
      </c>
      <c r="J259" s="208" t="s">
        <v>1808</v>
      </c>
      <c r="K259" s="34"/>
      <c r="L259" s="34"/>
      <c r="M259" s="34"/>
      <c r="N259" s="34"/>
      <c r="O259" s="34"/>
      <c r="P259" s="34"/>
      <c r="Q259" s="34"/>
      <c r="R259" s="205"/>
      <c r="S259" s="205"/>
      <c r="T259" s="34"/>
    </row>
    <row r="260">
      <c r="A260" s="205"/>
      <c r="B260" s="205"/>
      <c r="C260" s="216" t="s">
        <v>1809</v>
      </c>
      <c r="D260" s="216" t="s">
        <v>44</v>
      </c>
      <c r="E260" s="205"/>
      <c r="F260" s="205"/>
      <c r="G260" s="34"/>
      <c r="H260" s="199" t="s">
        <v>1256</v>
      </c>
      <c r="I260" s="200">
        <v>538.0</v>
      </c>
      <c r="J260" s="208" t="s">
        <v>1810</v>
      </c>
      <c r="K260" s="34"/>
      <c r="L260" s="34"/>
      <c r="M260" s="34"/>
      <c r="N260" s="34"/>
      <c r="O260" s="34"/>
      <c r="P260" s="34"/>
      <c r="Q260" s="34"/>
      <c r="R260" s="205"/>
      <c r="S260" s="205"/>
      <c r="T260" s="34"/>
    </row>
    <row r="261">
      <c r="A261" s="205"/>
      <c r="B261" s="205"/>
      <c r="C261" s="216" t="s">
        <v>1811</v>
      </c>
      <c r="D261" s="216" t="s">
        <v>44</v>
      </c>
      <c r="E261" s="205"/>
      <c r="F261" s="205"/>
      <c r="G261" s="34"/>
      <c r="H261" s="199" t="s">
        <v>1812</v>
      </c>
      <c r="I261" s="200">
        <v>165.0</v>
      </c>
      <c r="J261" s="208" t="s">
        <v>1813</v>
      </c>
      <c r="K261" s="34"/>
      <c r="L261" s="34"/>
      <c r="M261" s="34"/>
      <c r="N261" s="34"/>
      <c r="O261" s="34"/>
      <c r="P261" s="34"/>
      <c r="Q261" s="34"/>
      <c r="R261" s="205"/>
      <c r="S261" s="205"/>
      <c r="T261" s="34"/>
    </row>
    <row r="262">
      <c r="A262" s="205"/>
      <c r="B262" s="205"/>
      <c r="C262" s="216" t="s">
        <v>1814</v>
      </c>
      <c r="D262" s="216" t="s">
        <v>1815</v>
      </c>
      <c r="E262" s="205"/>
      <c r="F262" s="205"/>
      <c r="G262" s="34"/>
      <c r="H262" s="199" t="s">
        <v>1816</v>
      </c>
      <c r="I262" s="200">
        <v>564.0</v>
      </c>
      <c r="J262" s="208" t="s">
        <v>1817</v>
      </c>
      <c r="K262" s="34"/>
      <c r="L262" s="34"/>
      <c r="M262" s="34"/>
      <c r="N262" s="34"/>
      <c r="O262" s="34"/>
      <c r="P262" s="34"/>
      <c r="Q262" s="34"/>
      <c r="R262" s="205"/>
      <c r="S262" s="205"/>
      <c r="T262" s="34"/>
    </row>
    <row r="263">
      <c r="A263" s="205"/>
      <c r="B263" s="205"/>
      <c r="C263" s="216" t="s">
        <v>745</v>
      </c>
      <c r="D263" s="216" t="s">
        <v>44</v>
      </c>
      <c r="E263" s="205"/>
      <c r="F263" s="205"/>
      <c r="G263" s="34"/>
      <c r="H263" s="199" t="s">
        <v>1818</v>
      </c>
      <c r="I263" s="200">
        <v>569.0</v>
      </c>
      <c r="J263" s="208" t="s">
        <v>1819</v>
      </c>
      <c r="K263" s="34"/>
      <c r="L263" s="34"/>
      <c r="M263" s="34"/>
      <c r="N263" s="34"/>
      <c r="O263" s="34"/>
      <c r="P263" s="34"/>
      <c r="Q263" s="34"/>
      <c r="R263" s="205"/>
      <c r="S263" s="205"/>
      <c r="T263" s="34"/>
    </row>
    <row r="264">
      <c r="A264" s="205"/>
      <c r="B264" s="205"/>
      <c r="C264" s="216" t="s">
        <v>1367</v>
      </c>
      <c r="D264" s="216" t="s">
        <v>1820</v>
      </c>
      <c r="E264" s="205"/>
      <c r="F264" s="205"/>
      <c r="G264" s="34"/>
      <c r="H264" s="199" t="s">
        <v>1821</v>
      </c>
      <c r="I264" s="200">
        <v>575.0</v>
      </c>
      <c r="J264" s="208" t="s">
        <v>1822</v>
      </c>
      <c r="K264" s="34"/>
      <c r="L264" s="34"/>
      <c r="M264" s="34"/>
      <c r="N264" s="34"/>
      <c r="O264" s="34"/>
      <c r="P264" s="34"/>
      <c r="Q264" s="34"/>
      <c r="R264" s="205"/>
      <c r="S264" s="205"/>
      <c r="T264" s="34"/>
    </row>
    <row r="265">
      <c r="A265" s="205"/>
      <c r="B265" s="205"/>
      <c r="C265" s="216" t="s">
        <v>1405</v>
      </c>
      <c r="D265" s="216" t="s">
        <v>1823</v>
      </c>
      <c r="E265" s="205"/>
      <c r="F265" s="205"/>
      <c r="G265" s="34"/>
      <c r="H265" s="199" t="s">
        <v>1824</v>
      </c>
      <c r="I265" s="200">
        <v>583.0</v>
      </c>
      <c r="J265" s="208" t="s">
        <v>1825</v>
      </c>
      <c r="K265" s="34"/>
      <c r="L265" s="34"/>
      <c r="M265" s="34"/>
      <c r="N265" s="34"/>
      <c r="O265" s="34"/>
      <c r="P265" s="34"/>
      <c r="Q265" s="34"/>
      <c r="R265" s="205"/>
      <c r="S265" s="205"/>
      <c r="T265" s="34"/>
    </row>
    <row r="266">
      <c r="A266" s="205"/>
      <c r="B266" s="205"/>
      <c r="C266" s="216" t="s">
        <v>1533</v>
      </c>
      <c r="D266" s="216" t="s">
        <v>1826</v>
      </c>
      <c r="E266" s="205"/>
      <c r="F266" s="205"/>
      <c r="G266" s="34"/>
      <c r="H266" s="199" t="s">
        <v>1827</v>
      </c>
      <c r="I266" s="200">
        <v>152.0</v>
      </c>
      <c r="J266" s="208" t="s">
        <v>1828</v>
      </c>
      <c r="K266" s="34"/>
      <c r="L266" s="34"/>
      <c r="M266" s="34"/>
      <c r="N266" s="34"/>
      <c r="O266" s="34"/>
      <c r="P266" s="34"/>
      <c r="Q266" s="34"/>
      <c r="R266" s="205"/>
      <c r="S266" s="205"/>
      <c r="T266" s="34"/>
    </row>
    <row r="267">
      <c r="A267" s="205"/>
      <c r="B267" s="205"/>
      <c r="C267" s="216" t="s">
        <v>1617</v>
      </c>
      <c r="D267" s="216" t="s">
        <v>44</v>
      </c>
      <c r="E267" s="205"/>
      <c r="F267" s="205"/>
      <c r="G267" s="34"/>
      <c r="H267" s="199" t="s">
        <v>962</v>
      </c>
      <c r="I267" s="200">
        <v>543.0</v>
      </c>
      <c r="J267" s="208" t="s">
        <v>1829</v>
      </c>
      <c r="K267" s="34"/>
      <c r="L267" s="34"/>
      <c r="M267" s="34"/>
      <c r="N267" s="34"/>
      <c r="O267" s="34"/>
      <c r="P267" s="34"/>
      <c r="Q267" s="34"/>
      <c r="R267" s="205"/>
      <c r="S267" s="205"/>
      <c r="T267" s="34"/>
    </row>
    <row r="268">
      <c r="A268" s="205"/>
      <c r="B268" s="205"/>
      <c r="C268" s="216" t="s">
        <v>1640</v>
      </c>
      <c r="D268" s="216" t="s">
        <v>1830</v>
      </c>
      <c r="E268" s="205"/>
      <c r="F268" s="205"/>
      <c r="G268" s="34"/>
      <c r="H268" s="199" t="s">
        <v>1451</v>
      </c>
      <c r="I268" s="200">
        <v>87.0</v>
      </c>
      <c r="J268" s="208" t="s">
        <v>1831</v>
      </c>
      <c r="K268" s="34"/>
      <c r="L268" s="34"/>
      <c r="M268" s="34"/>
      <c r="N268" s="34"/>
      <c r="O268" s="34"/>
      <c r="P268" s="34"/>
      <c r="Q268" s="34"/>
      <c r="R268" s="205"/>
      <c r="S268" s="205"/>
      <c r="T268" s="34"/>
    </row>
    <row r="269">
      <c r="A269" s="205"/>
      <c r="B269" s="205"/>
      <c r="C269" s="216" t="s">
        <v>1812</v>
      </c>
      <c r="D269" s="216" t="s">
        <v>1832</v>
      </c>
      <c r="E269" s="205"/>
      <c r="F269" s="205"/>
      <c r="G269" s="34"/>
      <c r="H269" s="199" t="s">
        <v>1588</v>
      </c>
      <c r="I269" s="200">
        <v>83.0</v>
      </c>
      <c r="J269" s="208" t="s">
        <v>1833</v>
      </c>
      <c r="K269" s="34"/>
      <c r="L269" s="34"/>
      <c r="M269" s="34"/>
      <c r="N269" s="34"/>
      <c r="O269" s="34"/>
      <c r="P269" s="34"/>
      <c r="Q269" s="34"/>
      <c r="R269" s="205"/>
      <c r="S269" s="205"/>
      <c r="T269" s="34"/>
    </row>
    <row r="270">
      <c r="A270" s="205"/>
      <c r="B270" s="205"/>
      <c r="C270" s="216" t="s">
        <v>1834</v>
      </c>
      <c r="D270" s="216" t="s">
        <v>1835</v>
      </c>
      <c r="E270" s="205"/>
      <c r="F270" s="205"/>
      <c r="G270" s="34"/>
      <c r="H270" s="199" t="s">
        <v>1836</v>
      </c>
      <c r="I270" s="200">
        <v>567.0</v>
      </c>
      <c r="J270" s="208" t="s">
        <v>1837</v>
      </c>
      <c r="K270" s="34"/>
      <c r="L270" s="34"/>
      <c r="M270" s="34"/>
      <c r="N270" s="34"/>
      <c r="O270" s="34"/>
      <c r="P270" s="34"/>
      <c r="Q270" s="34"/>
      <c r="R270" s="205"/>
      <c r="S270" s="205"/>
      <c r="T270" s="34"/>
    </row>
    <row r="271">
      <c r="A271" s="205"/>
      <c r="B271" s="205"/>
      <c r="C271" s="216" t="s">
        <v>1838</v>
      </c>
      <c r="D271" s="216" t="s">
        <v>1839</v>
      </c>
      <c r="E271" s="205"/>
      <c r="F271" s="205"/>
      <c r="G271" s="34"/>
      <c r="H271" s="199" t="s">
        <v>1840</v>
      </c>
      <c r="I271" s="200">
        <v>570.0</v>
      </c>
      <c r="J271" s="208" t="s">
        <v>1841</v>
      </c>
      <c r="K271" s="34"/>
      <c r="L271" s="34"/>
      <c r="M271" s="34"/>
      <c r="N271" s="34"/>
      <c r="O271" s="34"/>
      <c r="P271" s="34"/>
      <c r="Q271" s="34"/>
      <c r="R271" s="205"/>
      <c r="S271" s="205"/>
      <c r="T271" s="34"/>
    </row>
    <row r="272">
      <c r="A272" s="205"/>
      <c r="B272" s="205"/>
      <c r="C272" s="216" t="s">
        <v>1842</v>
      </c>
      <c r="D272" s="216" t="s">
        <v>44</v>
      </c>
      <c r="E272" s="205"/>
      <c r="F272" s="205"/>
      <c r="G272" s="34"/>
      <c r="H272" s="199" t="s">
        <v>1843</v>
      </c>
      <c r="I272" s="200">
        <v>576.0</v>
      </c>
      <c r="J272" s="208" t="s">
        <v>1844</v>
      </c>
      <c r="K272" s="34"/>
      <c r="L272" s="34"/>
      <c r="M272" s="34"/>
      <c r="N272" s="34"/>
      <c r="O272" s="34"/>
      <c r="P272" s="34"/>
      <c r="Q272" s="34"/>
      <c r="R272" s="205"/>
      <c r="S272" s="205"/>
      <c r="T272" s="34"/>
    </row>
    <row r="273">
      <c r="A273" s="205"/>
      <c r="B273" s="205"/>
      <c r="C273" s="216" t="s">
        <v>1845</v>
      </c>
      <c r="D273" s="216" t="s">
        <v>44</v>
      </c>
      <c r="E273" s="205"/>
      <c r="F273" s="205"/>
      <c r="G273" s="34"/>
      <c r="H273" s="199" t="s">
        <v>1846</v>
      </c>
      <c r="I273" s="200">
        <v>584.0</v>
      </c>
      <c r="J273" s="208" t="s">
        <v>1847</v>
      </c>
      <c r="K273" s="34"/>
      <c r="L273" s="34"/>
      <c r="M273" s="34"/>
      <c r="N273" s="34"/>
      <c r="O273" s="34"/>
      <c r="P273" s="34"/>
      <c r="Q273" s="34"/>
      <c r="R273" s="205"/>
      <c r="S273" s="205"/>
      <c r="T273" s="34"/>
    </row>
    <row r="274">
      <c r="A274" s="205"/>
      <c r="B274" s="205"/>
      <c r="C274" s="216" t="s">
        <v>1848</v>
      </c>
      <c r="D274" s="216" t="s">
        <v>1849</v>
      </c>
      <c r="E274" s="205"/>
      <c r="F274" s="205"/>
      <c r="G274" s="34"/>
      <c r="H274" s="199" t="s">
        <v>1850</v>
      </c>
      <c r="I274" s="200">
        <v>566.0</v>
      </c>
      <c r="J274" s="208" t="s">
        <v>1851</v>
      </c>
      <c r="K274" s="34"/>
      <c r="L274" s="34"/>
      <c r="M274" s="34"/>
      <c r="N274" s="34"/>
      <c r="O274" s="34"/>
      <c r="P274" s="34"/>
      <c r="Q274" s="34"/>
      <c r="R274" s="205"/>
      <c r="S274" s="205"/>
      <c r="T274" s="34"/>
    </row>
    <row r="275">
      <c r="A275" s="205"/>
      <c r="B275" s="205"/>
      <c r="C275" s="216" t="s">
        <v>1852</v>
      </c>
      <c r="D275" s="216" t="s">
        <v>1853</v>
      </c>
      <c r="E275" s="205"/>
      <c r="F275" s="205"/>
      <c r="G275" s="34"/>
      <c r="H275" s="199" t="s">
        <v>1431</v>
      </c>
      <c r="I275" s="200">
        <v>204.0</v>
      </c>
      <c r="J275" s="208" t="s">
        <v>1854</v>
      </c>
      <c r="K275" s="34"/>
      <c r="L275" s="34"/>
      <c r="M275" s="34"/>
      <c r="N275" s="34"/>
      <c r="O275" s="34"/>
      <c r="P275" s="34"/>
      <c r="Q275" s="34"/>
      <c r="R275" s="205"/>
      <c r="S275" s="205"/>
      <c r="T275" s="34"/>
    </row>
    <row r="276">
      <c r="A276" s="205"/>
      <c r="B276" s="205"/>
      <c r="C276" s="216" t="s">
        <v>953</v>
      </c>
      <c r="D276" s="216" t="s">
        <v>44</v>
      </c>
      <c r="E276" s="205"/>
      <c r="F276" s="205"/>
      <c r="G276" s="34"/>
      <c r="H276" s="199" t="s">
        <v>1254</v>
      </c>
      <c r="I276" s="200">
        <v>343.0</v>
      </c>
      <c r="J276" s="208" t="s">
        <v>1742</v>
      </c>
      <c r="K276" s="34"/>
      <c r="L276" s="34"/>
      <c r="M276" s="34"/>
      <c r="N276" s="34"/>
      <c r="O276" s="34"/>
      <c r="P276" s="34"/>
      <c r="Q276" s="34"/>
      <c r="R276" s="205"/>
      <c r="S276" s="205"/>
      <c r="T276" s="34"/>
    </row>
    <row r="277">
      <c r="A277" s="205"/>
      <c r="B277" s="205"/>
      <c r="C277" s="216" t="s">
        <v>1358</v>
      </c>
      <c r="D277" s="216" t="s">
        <v>1855</v>
      </c>
      <c r="E277" s="205"/>
      <c r="F277" s="205"/>
      <c r="G277" s="34"/>
      <c r="H277" s="199" t="s">
        <v>691</v>
      </c>
      <c r="I277" s="200">
        <v>233.0</v>
      </c>
      <c r="J277" s="208" t="s">
        <v>1745</v>
      </c>
      <c r="K277" s="34"/>
      <c r="L277" s="34"/>
      <c r="M277" s="34"/>
      <c r="N277" s="34"/>
      <c r="O277" s="34"/>
      <c r="P277" s="34"/>
      <c r="Q277" s="34"/>
      <c r="R277" s="205"/>
      <c r="S277" s="205"/>
      <c r="T277" s="34"/>
    </row>
    <row r="278">
      <c r="A278" s="205"/>
      <c r="B278" s="205"/>
      <c r="C278" s="216" t="s">
        <v>1546</v>
      </c>
      <c r="D278" s="216" t="s">
        <v>1856</v>
      </c>
      <c r="E278" s="205"/>
      <c r="F278" s="205"/>
      <c r="G278" s="34"/>
      <c r="H278" s="199" t="s">
        <v>1857</v>
      </c>
      <c r="I278" s="200">
        <v>530.0</v>
      </c>
      <c r="J278" s="208" t="s">
        <v>1858</v>
      </c>
      <c r="K278" s="34"/>
      <c r="L278" s="34"/>
      <c r="M278" s="34"/>
      <c r="N278" s="34"/>
      <c r="O278" s="34"/>
      <c r="P278" s="34"/>
      <c r="Q278" s="34"/>
      <c r="R278" s="205"/>
      <c r="S278" s="205"/>
      <c r="T278" s="34"/>
    </row>
    <row r="279">
      <c r="A279" s="205"/>
      <c r="B279" s="205"/>
      <c r="C279" s="216" t="s">
        <v>1667</v>
      </c>
      <c r="D279" s="216" t="s">
        <v>44</v>
      </c>
      <c r="E279" s="205"/>
      <c r="F279" s="205"/>
      <c r="G279" s="34"/>
      <c r="H279" s="199" t="s">
        <v>698</v>
      </c>
      <c r="I279" s="200">
        <v>234.0</v>
      </c>
      <c r="J279" s="208" t="s">
        <v>1859</v>
      </c>
      <c r="K279" s="34"/>
      <c r="L279" s="34"/>
      <c r="M279" s="34"/>
      <c r="N279" s="34"/>
      <c r="O279" s="34"/>
      <c r="P279" s="34"/>
      <c r="Q279" s="34"/>
      <c r="R279" s="205"/>
      <c r="S279" s="205"/>
      <c r="T279" s="34"/>
    </row>
    <row r="280">
      <c r="A280" s="205"/>
      <c r="B280" s="205"/>
      <c r="C280" s="216" t="s">
        <v>1671</v>
      </c>
      <c r="D280" s="216" t="s">
        <v>1860</v>
      </c>
      <c r="E280" s="205"/>
      <c r="F280" s="205"/>
      <c r="G280" s="34"/>
      <c r="H280" s="199" t="s">
        <v>706</v>
      </c>
      <c r="I280" s="200">
        <v>235.0</v>
      </c>
      <c r="J280" s="208" t="s">
        <v>1861</v>
      </c>
      <c r="K280" s="34"/>
      <c r="L280" s="34"/>
      <c r="M280" s="34"/>
      <c r="N280" s="34"/>
      <c r="O280" s="34"/>
      <c r="P280" s="34"/>
      <c r="Q280" s="34"/>
      <c r="R280" s="205"/>
      <c r="S280" s="205"/>
      <c r="T280" s="34"/>
    </row>
    <row r="281">
      <c r="A281" s="205"/>
      <c r="B281" s="205"/>
      <c r="C281" s="216" t="s">
        <v>1862</v>
      </c>
      <c r="D281" s="216" t="s">
        <v>44</v>
      </c>
      <c r="E281" s="205"/>
      <c r="F281" s="205"/>
      <c r="G281" s="34"/>
      <c r="H281" s="199" t="s">
        <v>1275</v>
      </c>
      <c r="I281" s="200">
        <v>344.0</v>
      </c>
      <c r="J281" s="208" t="s">
        <v>1863</v>
      </c>
      <c r="K281" s="34"/>
      <c r="L281" s="34"/>
      <c r="M281" s="34"/>
      <c r="N281" s="34"/>
      <c r="O281" s="34"/>
      <c r="P281" s="34"/>
      <c r="Q281" s="34"/>
      <c r="R281" s="205"/>
      <c r="S281" s="205"/>
      <c r="T281" s="34"/>
    </row>
    <row r="282">
      <c r="A282" s="205"/>
      <c r="B282" s="205"/>
      <c r="C282" s="216" t="s">
        <v>1505</v>
      </c>
      <c r="D282" s="216" t="s">
        <v>1864</v>
      </c>
      <c r="E282" s="205"/>
      <c r="F282" s="205"/>
      <c r="G282" s="34"/>
      <c r="H282" s="199" t="s">
        <v>839</v>
      </c>
      <c r="I282" s="200">
        <v>58.0</v>
      </c>
      <c r="J282" s="208" t="s">
        <v>1865</v>
      </c>
      <c r="K282" s="34"/>
      <c r="L282" s="34"/>
      <c r="M282" s="34"/>
      <c r="N282" s="34"/>
      <c r="O282" s="34"/>
      <c r="P282" s="34"/>
      <c r="Q282" s="34"/>
      <c r="R282" s="205"/>
      <c r="S282" s="205"/>
      <c r="T282" s="34"/>
    </row>
    <row r="283">
      <c r="A283" s="205"/>
      <c r="B283" s="205"/>
      <c r="C283" s="216" t="s">
        <v>1514</v>
      </c>
      <c r="D283" s="216" t="s">
        <v>1866</v>
      </c>
      <c r="E283" s="205"/>
      <c r="F283" s="205"/>
      <c r="G283" s="34"/>
      <c r="H283" s="199" t="s">
        <v>1867</v>
      </c>
      <c r="I283" s="200">
        <v>419.0</v>
      </c>
      <c r="J283" s="208" t="s">
        <v>1868</v>
      </c>
      <c r="K283" s="34"/>
      <c r="L283" s="34"/>
      <c r="M283" s="34"/>
      <c r="N283" s="34"/>
      <c r="O283" s="34"/>
      <c r="P283" s="34"/>
      <c r="Q283" s="34"/>
      <c r="R283" s="205"/>
      <c r="S283" s="205"/>
      <c r="T283" s="34"/>
    </row>
    <row r="284">
      <c r="A284" s="205"/>
      <c r="B284" s="205"/>
      <c r="C284" s="216" t="s">
        <v>1731</v>
      </c>
      <c r="D284" s="216" t="s">
        <v>44</v>
      </c>
      <c r="E284" s="205"/>
      <c r="F284" s="205"/>
      <c r="G284" s="34"/>
      <c r="H284" s="199" t="s">
        <v>1869</v>
      </c>
      <c r="I284" s="200">
        <v>420.0</v>
      </c>
      <c r="J284" s="208" t="s">
        <v>1870</v>
      </c>
      <c r="K284" s="34"/>
      <c r="L284" s="34"/>
      <c r="M284" s="34"/>
      <c r="N284" s="34"/>
      <c r="O284" s="34"/>
      <c r="P284" s="34"/>
      <c r="Q284" s="34"/>
      <c r="R284" s="205"/>
      <c r="S284" s="205"/>
      <c r="T284" s="34"/>
    </row>
    <row r="285">
      <c r="A285" s="205"/>
      <c r="B285" s="205"/>
      <c r="C285" s="216" t="s">
        <v>1782</v>
      </c>
      <c r="D285" s="216" t="s">
        <v>1871</v>
      </c>
      <c r="E285" s="205"/>
      <c r="F285" s="205"/>
      <c r="G285" s="34"/>
      <c r="H285" s="199" t="s">
        <v>1722</v>
      </c>
      <c r="I285" s="200">
        <v>123.0</v>
      </c>
      <c r="J285" s="208" t="s">
        <v>1872</v>
      </c>
      <c r="K285" s="34"/>
      <c r="L285" s="34"/>
      <c r="M285" s="34"/>
      <c r="N285" s="34"/>
      <c r="O285" s="34"/>
      <c r="P285" s="34"/>
      <c r="Q285" s="34"/>
      <c r="R285" s="205"/>
      <c r="S285" s="205"/>
      <c r="T285" s="34"/>
    </row>
    <row r="286">
      <c r="A286" s="205"/>
      <c r="B286" s="205"/>
      <c r="C286" s="216" t="s">
        <v>1785</v>
      </c>
      <c r="D286" s="216" t="s">
        <v>44</v>
      </c>
      <c r="E286" s="205"/>
      <c r="F286" s="205"/>
      <c r="G286" s="34"/>
      <c r="H286" s="199" t="s">
        <v>1292</v>
      </c>
      <c r="I286" s="200">
        <v>225.0</v>
      </c>
      <c r="J286" s="208" t="s">
        <v>1873</v>
      </c>
      <c r="K286" s="34"/>
      <c r="L286" s="34"/>
      <c r="M286" s="34"/>
      <c r="N286" s="34"/>
      <c r="O286" s="34"/>
      <c r="P286" s="34"/>
      <c r="Q286" s="34"/>
      <c r="R286" s="205"/>
      <c r="S286" s="205"/>
      <c r="T286" s="34"/>
    </row>
    <row r="287">
      <c r="A287" s="205"/>
      <c r="B287" s="205"/>
      <c r="C287" s="216" t="s">
        <v>1788</v>
      </c>
      <c r="D287" s="216" t="s">
        <v>1874</v>
      </c>
      <c r="E287" s="205"/>
      <c r="F287" s="205"/>
      <c r="G287" s="34"/>
      <c r="H287" s="199" t="s">
        <v>1875</v>
      </c>
      <c r="I287" s="200">
        <v>594.0</v>
      </c>
      <c r="J287" s="208" t="s">
        <v>1876</v>
      </c>
      <c r="K287" s="34"/>
      <c r="L287" s="34"/>
      <c r="M287" s="34"/>
      <c r="N287" s="34"/>
      <c r="O287" s="34"/>
      <c r="P287" s="34"/>
      <c r="Q287" s="34"/>
      <c r="R287" s="205"/>
      <c r="S287" s="205"/>
      <c r="T287" s="34"/>
    </row>
    <row r="288">
      <c r="A288" s="205"/>
      <c r="B288" s="205"/>
      <c r="C288" s="216" t="s">
        <v>1791</v>
      </c>
      <c r="D288" s="216" t="s">
        <v>44</v>
      </c>
      <c r="E288" s="205"/>
      <c r="F288" s="205"/>
      <c r="G288" s="34"/>
      <c r="H288" s="199" t="s">
        <v>1726</v>
      </c>
      <c r="I288" s="200">
        <v>124.0</v>
      </c>
      <c r="J288" s="208" t="s">
        <v>1838</v>
      </c>
      <c r="K288" s="34"/>
      <c r="L288" s="34"/>
      <c r="M288" s="34"/>
      <c r="N288" s="34"/>
      <c r="O288" s="34"/>
      <c r="P288" s="34"/>
      <c r="Q288" s="34"/>
      <c r="R288" s="205"/>
      <c r="S288" s="205"/>
      <c r="T288" s="34"/>
    </row>
    <row r="289">
      <c r="A289" s="205"/>
      <c r="B289" s="205"/>
      <c r="C289" s="216" t="s">
        <v>1795</v>
      </c>
      <c r="D289" s="216" t="s">
        <v>1877</v>
      </c>
      <c r="E289" s="205"/>
      <c r="F289" s="205"/>
      <c r="G289" s="34"/>
      <c r="H289" s="199" t="s">
        <v>1729</v>
      </c>
      <c r="I289" s="200">
        <v>125.0</v>
      </c>
      <c r="J289" s="208" t="s">
        <v>1878</v>
      </c>
      <c r="K289" s="34"/>
      <c r="L289" s="34"/>
      <c r="M289" s="34"/>
      <c r="N289" s="34"/>
      <c r="O289" s="34"/>
      <c r="P289" s="34"/>
      <c r="Q289" s="34"/>
      <c r="R289" s="205"/>
      <c r="S289" s="205"/>
      <c r="T289" s="34"/>
    </row>
    <row r="290">
      <c r="A290" s="205"/>
      <c r="B290" s="205"/>
      <c r="C290" s="216" t="s">
        <v>1476</v>
      </c>
      <c r="D290" s="216" t="s">
        <v>1879</v>
      </c>
      <c r="E290" s="205"/>
      <c r="F290" s="205"/>
      <c r="G290" s="34"/>
      <c r="H290" s="199" t="s">
        <v>1480</v>
      </c>
      <c r="I290" s="200">
        <v>248.0</v>
      </c>
      <c r="J290" s="208" t="s">
        <v>1880</v>
      </c>
      <c r="K290" s="34"/>
      <c r="L290" s="34"/>
      <c r="M290" s="34"/>
      <c r="N290" s="34"/>
      <c r="O290" s="34"/>
      <c r="P290" s="34"/>
      <c r="Q290" s="34"/>
      <c r="R290" s="205"/>
      <c r="S290" s="205"/>
      <c r="T290" s="34"/>
    </row>
    <row r="291">
      <c r="A291" s="205"/>
      <c r="B291" s="205"/>
      <c r="C291" s="216" t="s">
        <v>1497</v>
      </c>
      <c r="D291" s="216" t="s">
        <v>1881</v>
      </c>
      <c r="E291" s="205"/>
      <c r="F291" s="205"/>
      <c r="G291" s="34"/>
      <c r="H291" s="199" t="s">
        <v>1882</v>
      </c>
      <c r="I291" s="200">
        <v>283.0</v>
      </c>
      <c r="J291" s="208" t="s">
        <v>1883</v>
      </c>
      <c r="K291" s="34"/>
      <c r="L291" s="34"/>
      <c r="M291" s="34"/>
      <c r="N291" s="34"/>
      <c r="O291" s="34"/>
      <c r="P291" s="34"/>
      <c r="Q291" s="34"/>
      <c r="R291" s="205"/>
      <c r="S291" s="205"/>
      <c r="T291" s="34"/>
    </row>
    <row r="292">
      <c r="A292" s="205"/>
      <c r="B292" s="205"/>
      <c r="C292" s="216" t="s">
        <v>1882</v>
      </c>
      <c r="D292" s="216" t="s">
        <v>1884</v>
      </c>
      <c r="E292" s="205"/>
      <c r="F292" s="205"/>
      <c r="G292" s="34"/>
      <c r="H292" s="199" t="s">
        <v>1297</v>
      </c>
      <c r="I292" s="200">
        <v>226.0</v>
      </c>
      <c r="J292" s="208" t="s">
        <v>1885</v>
      </c>
      <c r="K292" s="34"/>
      <c r="L292" s="34"/>
      <c r="M292" s="34"/>
      <c r="N292" s="34"/>
      <c r="O292" s="34"/>
      <c r="P292" s="34"/>
      <c r="Q292" s="34"/>
      <c r="R292" s="205"/>
      <c r="S292" s="205"/>
      <c r="T292" s="34"/>
    </row>
    <row r="293">
      <c r="A293" s="205"/>
      <c r="B293" s="205"/>
      <c r="C293" s="216" t="s">
        <v>1886</v>
      </c>
      <c r="D293" s="216" t="s">
        <v>44</v>
      </c>
      <c r="E293" s="205"/>
      <c r="F293" s="205"/>
      <c r="G293" s="34"/>
      <c r="H293" s="199" t="s">
        <v>1887</v>
      </c>
      <c r="I293" s="200">
        <v>421.0</v>
      </c>
      <c r="J293" s="208" t="s">
        <v>1888</v>
      </c>
      <c r="K293" s="34"/>
      <c r="L293" s="34"/>
      <c r="M293" s="34"/>
      <c r="N293" s="34"/>
      <c r="O293" s="34"/>
      <c r="P293" s="34"/>
      <c r="Q293" s="34"/>
      <c r="R293" s="205"/>
      <c r="S293" s="205"/>
      <c r="T293" s="34"/>
    </row>
    <row r="294">
      <c r="A294" s="205"/>
      <c r="B294" s="205"/>
      <c r="C294" s="216" t="s">
        <v>1889</v>
      </c>
      <c r="D294" s="216" t="s">
        <v>44</v>
      </c>
      <c r="E294" s="205"/>
      <c r="F294" s="205"/>
      <c r="G294" s="34"/>
      <c r="H294" s="199" t="s">
        <v>1484</v>
      </c>
      <c r="I294" s="200">
        <v>249.0</v>
      </c>
      <c r="J294" s="208" t="s">
        <v>1890</v>
      </c>
      <c r="K294" s="34"/>
      <c r="L294" s="34"/>
      <c r="M294" s="34"/>
      <c r="N294" s="34"/>
      <c r="O294" s="34"/>
      <c r="P294" s="34"/>
      <c r="Q294" s="34"/>
      <c r="R294" s="205"/>
      <c r="S294" s="205"/>
      <c r="T294" s="34"/>
    </row>
    <row r="295">
      <c r="A295" s="205"/>
      <c r="B295" s="205"/>
      <c r="C295" s="216" t="s">
        <v>1891</v>
      </c>
      <c r="D295" s="216" t="s">
        <v>1892</v>
      </c>
      <c r="E295" s="205"/>
      <c r="F295" s="205"/>
      <c r="G295" s="34"/>
      <c r="H295" s="199" t="s">
        <v>997</v>
      </c>
      <c r="I295" s="200">
        <v>279.0</v>
      </c>
      <c r="J295" s="208" t="s">
        <v>1893</v>
      </c>
      <c r="K295" s="34"/>
      <c r="L295" s="34"/>
      <c r="M295" s="34"/>
      <c r="N295" s="34"/>
      <c r="O295" s="34"/>
      <c r="P295" s="34"/>
      <c r="Q295" s="34"/>
      <c r="R295" s="205"/>
      <c r="S295" s="205"/>
      <c r="T295" s="34"/>
    </row>
    <row r="296">
      <c r="A296" s="205"/>
      <c r="B296" s="205"/>
      <c r="C296" s="216" t="s">
        <v>1894</v>
      </c>
      <c r="D296" s="216" t="s">
        <v>44</v>
      </c>
      <c r="E296" s="205"/>
      <c r="F296" s="205"/>
      <c r="G296" s="34"/>
      <c r="H296" s="199" t="s">
        <v>846</v>
      </c>
      <c r="I296" s="200">
        <v>19.0</v>
      </c>
      <c r="J296" s="208" t="s">
        <v>1895</v>
      </c>
      <c r="K296" s="34"/>
      <c r="L296" s="34"/>
      <c r="M296" s="34"/>
      <c r="N296" s="34"/>
      <c r="O296" s="34"/>
      <c r="P296" s="34"/>
      <c r="Q296" s="34"/>
      <c r="R296" s="205"/>
      <c r="S296" s="205"/>
      <c r="T296" s="34"/>
    </row>
    <row r="297">
      <c r="A297" s="205"/>
      <c r="B297" s="205"/>
      <c r="C297" s="216" t="s">
        <v>1896</v>
      </c>
      <c r="D297" s="216" t="s">
        <v>1897</v>
      </c>
      <c r="E297" s="205"/>
      <c r="F297" s="205"/>
      <c r="G297" s="34"/>
      <c r="H297" s="199" t="s">
        <v>1522</v>
      </c>
      <c r="I297" s="200">
        <v>64.0</v>
      </c>
      <c r="J297" s="208" t="s">
        <v>1898</v>
      </c>
      <c r="K297" s="34"/>
      <c r="L297" s="34"/>
      <c r="M297" s="34"/>
      <c r="N297" s="34"/>
      <c r="O297" s="34"/>
      <c r="P297" s="34"/>
      <c r="Q297" s="34"/>
      <c r="R297" s="205"/>
      <c r="S297" s="205"/>
      <c r="T297" s="34"/>
    </row>
    <row r="298">
      <c r="A298" s="205"/>
      <c r="B298" s="205"/>
      <c r="C298" s="216" t="s">
        <v>1899</v>
      </c>
      <c r="D298" s="216" t="s">
        <v>44</v>
      </c>
      <c r="E298" s="205"/>
      <c r="F298" s="205"/>
      <c r="G298" s="34"/>
      <c r="H298" s="199" t="s">
        <v>1383</v>
      </c>
      <c r="I298" s="200">
        <v>69.0</v>
      </c>
      <c r="J298" s="208" t="s">
        <v>1900</v>
      </c>
      <c r="K298" s="34"/>
      <c r="L298" s="34"/>
      <c r="M298" s="34"/>
      <c r="N298" s="34"/>
      <c r="O298" s="34"/>
      <c r="P298" s="34"/>
      <c r="Q298" s="34"/>
      <c r="R298" s="205"/>
      <c r="S298" s="205"/>
      <c r="T298" s="34"/>
    </row>
    <row r="299">
      <c r="A299" s="205"/>
      <c r="B299" s="205"/>
      <c r="C299" s="216" t="s">
        <v>1901</v>
      </c>
      <c r="D299" s="216" t="s">
        <v>44</v>
      </c>
      <c r="E299" s="205"/>
      <c r="F299" s="205"/>
      <c r="G299" s="34"/>
      <c r="H299" s="199" t="s">
        <v>1142</v>
      </c>
      <c r="I299" s="200">
        <v>320.0</v>
      </c>
      <c r="J299" s="208" t="s">
        <v>1902</v>
      </c>
      <c r="K299" s="34"/>
      <c r="L299" s="34"/>
      <c r="M299" s="34"/>
      <c r="N299" s="34"/>
      <c r="O299" s="34"/>
      <c r="P299" s="34"/>
      <c r="Q299" s="34"/>
      <c r="R299" s="205"/>
      <c r="S299" s="205"/>
      <c r="T299" s="34"/>
    </row>
    <row r="300">
      <c r="A300" s="205"/>
      <c r="B300" s="205"/>
      <c r="C300" s="216" t="s">
        <v>1903</v>
      </c>
      <c r="D300" s="216" t="s">
        <v>44</v>
      </c>
      <c r="E300" s="205"/>
      <c r="F300" s="205"/>
      <c r="G300" s="34"/>
      <c r="H300" s="199" t="s">
        <v>1775</v>
      </c>
      <c r="I300" s="200">
        <v>130.0</v>
      </c>
      <c r="J300" s="208" t="s">
        <v>1904</v>
      </c>
      <c r="K300" s="34"/>
      <c r="L300" s="34"/>
      <c r="M300" s="34"/>
      <c r="N300" s="34"/>
      <c r="O300" s="34"/>
      <c r="P300" s="34"/>
      <c r="Q300" s="34"/>
      <c r="R300" s="205"/>
      <c r="S300" s="205"/>
      <c r="T300" s="34"/>
    </row>
    <row r="301">
      <c r="A301" s="205"/>
      <c r="B301" s="205"/>
      <c r="C301" s="216" t="s">
        <v>1905</v>
      </c>
      <c r="D301" s="216" t="s">
        <v>44</v>
      </c>
      <c r="E301" s="205"/>
      <c r="F301" s="205"/>
      <c r="G301" s="34"/>
      <c r="H301" s="199" t="s">
        <v>1906</v>
      </c>
      <c r="I301" s="200">
        <v>345.0</v>
      </c>
      <c r="J301" s="208" t="s">
        <v>1907</v>
      </c>
      <c r="K301" s="34"/>
      <c r="L301" s="34"/>
      <c r="M301" s="34"/>
      <c r="N301" s="34"/>
      <c r="O301" s="34"/>
      <c r="P301" s="34"/>
      <c r="Q301" s="34"/>
      <c r="R301" s="205"/>
      <c r="S301" s="205"/>
      <c r="T301" s="34"/>
    </row>
    <row r="302">
      <c r="A302" s="205"/>
      <c r="B302" s="205"/>
      <c r="C302" s="216" t="s">
        <v>1827</v>
      </c>
      <c r="D302" s="216" t="s">
        <v>44</v>
      </c>
      <c r="E302" s="205"/>
      <c r="F302" s="205"/>
      <c r="G302" s="34"/>
      <c r="H302" s="199" t="s">
        <v>1834</v>
      </c>
      <c r="I302" s="200">
        <v>166.0</v>
      </c>
      <c r="J302" s="208" t="s">
        <v>1908</v>
      </c>
      <c r="K302" s="34"/>
      <c r="L302" s="34"/>
      <c r="M302" s="34"/>
      <c r="N302" s="34"/>
      <c r="O302" s="34"/>
      <c r="P302" s="34"/>
      <c r="Q302" s="34"/>
      <c r="R302" s="205"/>
      <c r="S302" s="205"/>
      <c r="T302" s="34"/>
    </row>
    <row r="303">
      <c r="A303" s="205"/>
      <c r="B303" s="205"/>
      <c r="C303" s="216" t="s">
        <v>1909</v>
      </c>
      <c r="D303" s="216" t="s">
        <v>44</v>
      </c>
      <c r="E303" s="205"/>
      <c r="F303" s="205"/>
      <c r="G303" s="34"/>
      <c r="H303" s="199" t="s">
        <v>713</v>
      </c>
      <c r="I303" s="200">
        <v>236.0</v>
      </c>
      <c r="J303" s="208" t="s">
        <v>1910</v>
      </c>
      <c r="K303" s="34"/>
      <c r="L303" s="34"/>
      <c r="M303" s="34"/>
      <c r="N303" s="34"/>
      <c r="O303" s="34"/>
      <c r="P303" s="34"/>
      <c r="Q303" s="34"/>
      <c r="R303" s="205"/>
      <c r="S303" s="205"/>
      <c r="T303" s="34"/>
    </row>
    <row r="304">
      <c r="A304" s="205"/>
      <c r="B304" s="205"/>
      <c r="C304" s="216" t="s">
        <v>1022</v>
      </c>
      <c r="D304" s="216" t="s">
        <v>1911</v>
      </c>
      <c r="E304" s="205"/>
      <c r="F304" s="205"/>
      <c r="G304" s="34"/>
      <c r="H304" s="199" t="s">
        <v>854</v>
      </c>
      <c r="I304" s="200">
        <v>49.0</v>
      </c>
      <c r="J304" s="208" t="s">
        <v>1912</v>
      </c>
      <c r="K304" s="34"/>
      <c r="L304" s="34"/>
      <c r="M304" s="34"/>
      <c r="N304" s="34"/>
      <c r="O304" s="34"/>
      <c r="P304" s="34"/>
      <c r="Q304" s="34"/>
      <c r="R304" s="205"/>
      <c r="S304" s="205"/>
      <c r="T304" s="34"/>
    </row>
    <row r="305">
      <c r="A305" s="205"/>
      <c r="B305" s="205"/>
      <c r="C305" s="216" t="s">
        <v>1635</v>
      </c>
      <c r="D305" s="216" t="s">
        <v>1913</v>
      </c>
      <c r="E305" s="205"/>
      <c r="F305" s="205"/>
      <c r="G305" s="34"/>
      <c r="H305" s="199" t="s">
        <v>1736</v>
      </c>
      <c r="I305" s="200">
        <v>437.0</v>
      </c>
      <c r="J305" s="208" t="s">
        <v>1914</v>
      </c>
      <c r="K305" s="34"/>
      <c r="L305" s="34"/>
      <c r="M305" s="34"/>
      <c r="N305" s="34"/>
      <c r="O305" s="34"/>
      <c r="P305" s="34"/>
      <c r="Q305" s="34"/>
      <c r="R305" s="205"/>
      <c r="S305" s="205"/>
      <c r="T305" s="34"/>
    </row>
    <row r="306">
      <c r="A306" s="205"/>
      <c r="B306" s="205"/>
      <c r="C306" s="216" t="s">
        <v>679</v>
      </c>
      <c r="D306" s="216" t="s">
        <v>1915</v>
      </c>
      <c r="E306" s="205"/>
      <c r="F306" s="205"/>
      <c r="G306" s="34"/>
      <c r="H306" s="199" t="s">
        <v>861</v>
      </c>
      <c r="I306" s="200">
        <v>126.0</v>
      </c>
      <c r="J306" s="208" t="s">
        <v>1916</v>
      </c>
      <c r="K306" s="34"/>
      <c r="L306" s="34"/>
      <c r="M306" s="34"/>
      <c r="N306" s="34"/>
      <c r="O306" s="34"/>
      <c r="P306" s="34"/>
      <c r="Q306" s="34"/>
      <c r="R306" s="205"/>
      <c r="S306" s="205"/>
      <c r="T306" s="34"/>
    </row>
    <row r="307">
      <c r="A307" s="205"/>
      <c r="B307" s="205"/>
      <c r="C307" s="216" t="s">
        <v>741</v>
      </c>
      <c r="D307" s="216" t="s">
        <v>1917</v>
      </c>
      <c r="E307" s="205"/>
      <c r="F307" s="205"/>
      <c r="G307" s="34"/>
      <c r="H307" s="199" t="s">
        <v>861</v>
      </c>
      <c r="I307" s="200">
        <v>541.0</v>
      </c>
      <c r="J307" s="208" t="s">
        <v>1918</v>
      </c>
      <c r="K307" s="34"/>
      <c r="L307" s="34"/>
      <c r="M307" s="34"/>
      <c r="N307" s="34"/>
      <c r="O307" s="34"/>
      <c r="P307" s="34"/>
      <c r="Q307" s="34"/>
      <c r="R307" s="205"/>
      <c r="S307" s="205"/>
      <c r="T307" s="34"/>
    </row>
    <row r="308">
      <c r="A308" s="205"/>
      <c r="B308" s="205"/>
      <c r="C308" s="216" t="s">
        <v>747</v>
      </c>
      <c r="D308" s="216" t="s">
        <v>1919</v>
      </c>
      <c r="E308" s="205"/>
      <c r="F308" s="205"/>
      <c r="G308" s="34"/>
      <c r="H308" s="199" t="s">
        <v>719</v>
      </c>
      <c r="I308" s="200">
        <v>237.0</v>
      </c>
      <c r="J308" s="208" t="s">
        <v>1920</v>
      </c>
      <c r="K308" s="34"/>
      <c r="L308" s="34"/>
      <c r="M308" s="34"/>
      <c r="N308" s="34"/>
      <c r="O308" s="34"/>
      <c r="P308" s="34"/>
      <c r="Q308" s="34"/>
      <c r="R308" s="205"/>
      <c r="S308" s="205"/>
      <c r="T308" s="34"/>
    </row>
    <row r="309">
      <c r="A309" s="205"/>
      <c r="B309" s="205"/>
      <c r="C309" s="216" t="s">
        <v>1015</v>
      </c>
      <c r="D309" s="216" t="s">
        <v>1921</v>
      </c>
      <c r="E309" s="205"/>
      <c r="F309" s="205"/>
      <c r="G309" s="34"/>
      <c r="H309" s="199" t="s">
        <v>1886</v>
      </c>
      <c r="I309" s="200">
        <v>284.0</v>
      </c>
      <c r="J309" s="208" t="s">
        <v>1922</v>
      </c>
      <c r="K309" s="34"/>
      <c r="L309" s="34"/>
      <c r="M309" s="34"/>
      <c r="N309" s="34"/>
      <c r="O309" s="34"/>
      <c r="P309" s="34"/>
      <c r="Q309" s="34"/>
      <c r="R309" s="205"/>
      <c r="S309" s="205"/>
      <c r="T309" s="34"/>
    </row>
    <row r="310">
      <c r="A310" s="205"/>
      <c r="B310" s="205"/>
      <c r="C310" s="216" t="s">
        <v>1024</v>
      </c>
      <c r="D310" s="216" t="s">
        <v>44</v>
      </c>
      <c r="E310" s="205"/>
      <c r="F310" s="205"/>
      <c r="G310" s="34"/>
      <c r="H310" s="199" t="s">
        <v>1804</v>
      </c>
      <c r="I310" s="200">
        <v>139.0</v>
      </c>
      <c r="J310" s="208" t="s">
        <v>1923</v>
      </c>
      <c r="K310" s="34"/>
      <c r="L310" s="34"/>
      <c r="M310" s="34"/>
      <c r="N310" s="34"/>
      <c r="O310" s="34"/>
      <c r="P310" s="34"/>
      <c r="Q310" s="34"/>
      <c r="R310" s="205"/>
      <c r="S310" s="205"/>
      <c r="T310" s="34"/>
    </row>
    <row r="311">
      <c r="A311" s="205"/>
      <c r="B311" s="205"/>
      <c r="C311" s="216" t="s">
        <v>1124</v>
      </c>
      <c r="D311" s="216" t="s">
        <v>1924</v>
      </c>
      <c r="E311" s="205"/>
      <c r="F311" s="205"/>
      <c r="G311" s="34"/>
      <c r="H311" s="199" t="s">
        <v>1593</v>
      </c>
      <c r="I311" s="200">
        <v>84.0</v>
      </c>
      <c r="J311" s="208" t="s">
        <v>1925</v>
      </c>
      <c r="K311" s="34"/>
      <c r="L311" s="34"/>
      <c r="M311" s="34"/>
      <c r="N311" s="34"/>
      <c r="O311" s="34"/>
      <c r="P311" s="34"/>
      <c r="Q311" s="34"/>
      <c r="R311" s="205"/>
      <c r="S311" s="205"/>
      <c r="T311" s="34"/>
    </row>
    <row r="312">
      <c r="A312" s="205"/>
      <c r="B312" s="205"/>
      <c r="C312" s="216" t="s">
        <v>1254</v>
      </c>
      <c r="D312" s="216" t="s">
        <v>1926</v>
      </c>
      <c r="E312" s="205"/>
      <c r="F312" s="205"/>
      <c r="G312" s="34"/>
      <c r="H312" s="199" t="s">
        <v>1742</v>
      </c>
      <c r="I312" s="200">
        <v>438.0</v>
      </c>
      <c r="J312" s="208" t="s">
        <v>1927</v>
      </c>
      <c r="K312" s="34"/>
      <c r="L312" s="34"/>
      <c r="M312" s="34"/>
      <c r="N312" s="34"/>
      <c r="O312" s="34"/>
      <c r="P312" s="34"/>
      <c r="Q312" s="34"/>
      <c r="R312" s="205"/>
      <c r="S312" s="205"/>
      <c r="T312" s="34"/>
    </row>
    <row r="313">
      <c r="A313" s="205"/>
      <c r="B313" s="205"/>
      <c r="C313" s="216" t="s">
        <v>1275</v>
      </c>
      <c r="D313" s="216" t="s">
        <v>1928</v>
      </c>
      <c r="E313" s="205"/>
      <c r="F313" s="205"/>
      <c r="G313" s="34"/>
      <c r="H313" s="199" t="s">
        <v>1745</v>
      </c>
      <c r="I313" s="200">
        <v>439.0</v>
      </c>
      <c r="J313" s="208" t="s">
        <v>1929</v>
      </c>
      <c r="K313" s="34"/>
      <c r="L313" s="34"/>
      <c r="M313" s="34"/>
      <c r="N313" s="34"/>
      <c r="O313" s="34"/>
      <c r="P313" s="34"/>
      <c r="Q313" s="34"/>
      <c r="R313" s="205"/>
      <c r="S313" s="205"/>
      <c r="T313" s="34"/>
    </row>
    <row r="314">
      <c r="A314" s="205"/>
      <c r="B314" s="205"/>
      <c r="C314" s="216" t="s">
        <v>1906</v>
      </c>
      <c r="D314" s="216" t="s">
        <v>44</v>
      </c>
      <c r="E314" s="205"/>
      <c r="F314" s="205"/>
      <c r="G314" s="34"/>
      <c r="H314" s="199" t="s">
        <v>725</v>
      </c>
      <c r="I314" s="200">
        <v>238.0</v>
      </c>
      <c r="J314" s="208" t="s">
        <v>1930</v>
      </c>
      <c r="K314" s="34"/>
      <c r="L314" s="34"/>
      <c r="M314" s="34"/>
      <c r="N314" s="34"/>
      <c r="O314" s="34"/>
      <c r="P314" s="34"/>
      <c r="Q314" s="34"/>
      <c r="R314" s="205"/>
      <c r="S314" s="205"/>
      <c r="T314" s="34"/>
    </row>
    <row r="315">
      <c r="A315" s="205"/>
      <c r="B315" s="205"/>
      <c r="C315" s="216" t="s">
        <v>173</v>
      </c>
      <c r="D315" s="216" t="s">
        <v>1931</v>
      </c>
      <c r="E315" s="205"/>
      <c r="F315" s="205"/>
      <c r="G315" s="34"/>
      <c r="H315" s="199" t="s">
        <v>1148</v>
      </c>
      <c r="I315" s="200">
        <v>321.0</v>
      </c>
      <c r="J315" s="208" t="s">
        <v>1932</v>
      </c>
      <c r="K315" s="34"/>
      <c r="L315" s="34"/>
      <c r="M315" s="34"/>
      <c r="N315" s="34"/>
      <c r="O315" s="34"/>
      <c r="P315" s="34"/>
      <c r="Q315" s="34"/>
      <c r="R315" s="205"/>
      <c r="S315" s="205"/>
      <c r="T315" s="34"/>
    </row>
    <row r="316">
      <c r="A316" s="205"/>
      <c r="B316" s="205"/>
      <c r="C316" s="216" t="s">
        <v>1933</v>
      </c>
      <c r="D316" s="216" t="s">
        <v>44</v>
      </c>
      <c r="E316" s="205"/>
      <c r="F316" s="205"/>
      <c r="G316" s="34"/>
      <c r="H316" s="199" t="s">
        <v>868</v>
      </c>
      <c r="I316" s="200">
        <v>10.0</v>
      </c>
      <c r="J316" s="208" t="s">
        <v>1934</v>
      </c>
      <c r="K316" s="34"/>
      <c r="L316" s="34"/>
      <c r="M316" s="34"/>
      <c r="N316" s="34"/>
      <c r="O316" s="34"/>
      <c r="P316" s="34"/>
      <c r="Q316" s="34"/>
      <c r="R316" s="205"/>
      <c r="S316" s="205"/>
      <c r="T316" s="34"/>
    </row>
    <row r="317">
      <c r="A317" s="205"/>
      <c r="B317" s="205"/>
      <c r="C317" s="216" t="s">
        <v>1935</v>
      </c>
      <c r="D317" s="216" t="s">
        <v>1936</v>
      </c>
      <c r="E317" s="205"/>
      <c r="F317" s="205"/>
      <c r="G317" s="34"/>
      <c r="H317" s="199" t="s">
        <v>1527</v>
      </c>
      <c r="I317" s="200">
        <v>428.0</v>
      </c>
      <c r="J317" s="208" t="s">
        <v>1937</v>
      </c>
      <c r="K317" s="34"/>
      <c r="L317" s="34"/>
      <c r="M317" s="34"/>
      <c r="N317" s="34"/>
      <c r="O317" s="34"/>
      <c r="P317" s="34"/>
      <c r="Q317" s="34"/>
      <c r="R317" s="205"/>
      <c r="S317" s="205"/>
      <c r="T317" s="34"/>
    </row>
    <row r="318">
      <c r="A318" s="205"/>
      <c r="B318" s="205"/>
      <c r="C318" s="216" t="s">
        <v>1381</v>
      </c>
      <c r="D318" s="216" t="s">
        <v>44</v>
      </c>
      <c r="E318" s="205"/>
      <c r="F318" s="205"/>
      <c r="G318" s="34"/>
      <c r="H318" s="199" t="s">
        <v>1261</v>
      </c>
      <c r="I318" s="200">
        <v>221.0</v>
      </c>
      <c r="J318" s="208" t="s">
        <v>1938</v>
      </c>
      <c r="K318" s="34"/>
      <c r="L318" s="34"/>
      <c r="M318" s="34"/>
      <c r="N318" s="34"/>
      <c r="O318" s="34"/>
      <c r="P318" s="34"/>
      <c r="Q318" s="34"/>
      <c r="R318" s="205"/>
      <c r="S318" s="205"/>
      <c r="T318" s="34"/>
    </row>
    <row r="319">
      <c r="A319" s="205"/>
      <c r="B319" s="205"/>
      <c r="C319" s="216" t="s">
        <v>1564</v>
      </c>
      <c r="D319" s="216" t="s">
        <v>44</v>
      </c>
      <c r="E319" s="205"/>
      <c r="F319" s="205"/>
      <c r="G319" s="34"/>
      <c r="H319" s="199" t="s">
        <v>732</v>
      </c>
      <c r="I319" s="200">
        <v>239.0</v>
      </c>
      <c r="J319" s="208" t="s">
        <v>1939</v>
      </c>
      <c r="K319" s="34"/>
      <c r="L319" s="34"/>
      <c r="M319" s="34"/>
      <c r="N319" s="34"/>
      <c r="O319" s="34"/>
      <c r="P319" s="34"/>
      <c r="Q319" s="34"/>
      <c r="R319" s="205"/>
      <c r="S319" s="205"/>
      <c r="T319" s="34"/>
    </row>
    <row r="320">
      <c r="A320" s="205"/>
      <c r="B320" s="205"/>
      <c r="C320" s="216" t="s">
        <v>661</v>
      </c>
      <c r="D320" s="216" t="s">
        <v>44</v>
      </c>
      <c r="E320" s="205"/>
      <c r="F320" s="205"/>
      <c r="G320" s="34"/>
      <c r="H320" s="199" t="s">
        <v>1670</v>
      </c>
      <c r="I320" s="200">
        <v>111.0</v>
      </c>
      <c r="J320" s="208" t="s">
        <v>1940</v>
      </c>
      <c r="K320" s="34"/>
      <c r="L320" s="34"/>
      <c r="M320" s="34"/>
      <c r="N320" s="34"/>
      <c r="O320" s="34"/>
      <c r="P320" s="34"/>
      <c r="Q320" s="34"/>
      <c r="R320" s="205"/>
      <c r="S320" s="205"/>
      <c r="T320" s="34"/>
    </row>
    <row r="321">
      <c r="A321" s="205"/>
      <c r="B321" s="205"/>
      <c r="C321" s="216" t="s">
        <v>669</v>
      </c>
      <c r="D321" s="216" t="s">
        <v>44</v>
      </c>
      <c r="E321" s="205"/>
      <c r="F321" s="205"/>
      <c r="G321" s="34"/>
      <c r="H321" s="199" t="s">
        <v>848</v>
      </c>
      <c r="I321" s="200">
        <v>266.0</v>
      </c>
      <c r="J321" s="208" t="s">
        <v>1941</v>
      </c>
      <c r="K321" s="34"/>
      <c r="L321" s="34"/>
      <c r="M321" s="34"/>
      <c r="N321" s="34"/>
      <c r="O321" s="34"/>
      <c r="P321" s="34"/>
      <c r="Q321" s="34"/>
      <c r="R321" s="205"/>
      <c r="S321" s="205"/>
      <c r="T321" s="34"/>
    </row>
    <row r="322">
      <c r="A322" s="205"/>
      <c r="B322" s="205"/>
      <c r="C322" s="216" t="s">
        <v>707</v>
      </c>
      <c r="D322" s="216" t="s">
        <v>44</v>
      </c>
      <c r="E322" s="205"/>
      <c r="F322" s="205"/>
      <c r="G322" s="34"/>
      <c r="H322" s="199" t="s">
        <v>855</v>
      </c>
      <c r="I322" s="200">
        <v>267.0</v>
      </c>
      <c r="J322" s="208" t="s">
        <v>1942</v>
      </c>
      <c r="K322" s="34"/>
      <c r="L322" s="34"/>
      <c r="M322" s="34"/>
      <c r="N322" s="34"/>
      <c r="O322" s="34"/>
      <c r="P322" s="34"/>
      <c r="Q322" s="34"/>
      <c r="R322" s="205"/>
      <c r="S322" s="205"/>
      <c r="T322" s="34"/>
    </row>
    <row r="323">
      <c r="A323" s="205"/>
      <c r="B323" s="205"/>
      <c r="C323" s="216" t="s">
        <v>905</v>
      </c>
      <c r="D323" s="216" t="s">
        <v>44</v>
      </c>
      <c r="E323" s="205"/>
      <c r="F323" s="205"/>
      <c r="G323" s="34"/>
      <c r="H323" s="199" t="s">
        <v>173</v>
      </c>
      <c r="I323" s="200">
        <v>346.0</v>
      </c>
      <c r="J323" s="208" t="s">
        <v>1943</v>
      </c>
      <c r="K323" s="34"/>
      <c r="L323" s="34"/>
      <c r="M323" s="34"/>
      <c r="N323" s="34"/>
      <c r="O323" s="34"/>
      <c r="P323" s="34"/>
      <c r="Q323" s="34"/>
      <c r="R323" s="205"/>
      <c r="S323" s="205"/>
      <c r="T323" s="34"/>
    </row>
    <row r="324">
      <c r="A324" s="205"/>
      <c r="B324" s="205"/>
      <c r="C324" s="216" t="s">
        <v>958</v>
      </c>
      <c r="D324" s="216" t="s">
        <v>44</v>
      </c>
      <c r="E324" s="205"/>
      <c r="F324" s="205"/>
      <c r="G324" s="34"/>
      <c r="H324" s="199" t="s">
        <v>1933</v>
      </c>
      <c r="I324" s="200">
        <v>347.0</v>
      </c>
      <c r="J324" s="208" t="s">
        <v>1944</v>
      </c>
      <c r="K324" s="34"/>
      <c r="L324" s="34"/>
      <c r="M324" s="34"/>
      <c r="N324" s="34"/>
      <c r="O324" s="34"/>
      <c r="P324" s="34"/>
      <c r="Q324" s="34"/>
      <c r="R324" s="205"/>
      <c r="S324" s="205"/>
      <c r="T324" s="34"/>
    </row>
    <row r="325">
      <c r="A325" s="205"/>
      <c r="B325" s="205"/>
      <c r="C325" s="216" t="s">
        <v>1326</v>
      </c>
      <c r="D325" s="216" t="s">
        <v>44</v>
      </c>
      <c r="E325" s="205"/>
      <c r="F325" s="205"/>
      <c r="G325" s="34"/>
      <c r="H325" s="199" t="s">
        <v>1531</v>
      </c>
      <c r="I325" s="200">
        <v>65.0</v>
      </c>
      <c r="J325" s="208" t="s">
        <v>1945</v>
      </c>
      <c r="K325" s="34"/>
      <c r="L325" s="34"/>
      <c r="M325" s="34"/>
      <c r="N325" s="34"/>
      <c r="O325" s="34"/>
      <c r="P325" s="34"/>
      <c r="Q325" s="34"/>
      <c r="R325" s="205"/>
      <c r="S325" s="205"/>
      <c r="T325" s="34"/>
    </row>
    <row r="326">
      <c r="A326" s="205"/>
      <c r="B326" s="205"/>
      <c r="C326" s="216" t="s">
        <v>1562</v>
      </c>
      <c r="D326" s="216" t="s">
        <v>44</v>
      </c>
      <c r="E326" s="205"/>
      <c r="F326" s="205"/>
      <c r="G326" s="34"/>
      <c r="H326" s="199" t="s">
        <v>875</v>
      </c>
      <c r="I326" s="200">
        <v>24.0</v>
      </c>
      <c r="J326" s="208" t="s">
        <v>1946</v>
      </c>
      <c r="K326" s="34"/>
      <c r="L326" s="34"/>
      <c r="M326" s="34"/>
      <c r="N326" s="34"/>
      <c r="O326" s="34"/>
      <c r="P326" s="34"/>
      <c r="Q326" s="34"/>
      <c r="R326" s="205"/>
      <c r="S326" s="205"/>
      <c r="T326" s="34"/>
    </row>
    <row r="327">
      <c r="A327" s="205"/>
      <c r="B327" s="205"/>
      <c r="C327" s="216" t="s">
        <v>1631</v>
      </c>
      <c r="D327" s="216" t="s">
        <v>44</v>
      </c>
      <c r="E327" s="205"/>
      <c r="F327" s="205"/>
      <c r="G327" s="34"/>
      <c r="H327" s="199" t="s">
        <v>1935</v>
      </c>
      <c r="I327" s="200">
        <v>338.0</v>
      </c>
      <c r="J327" s="208" t="s">
        <v>1947</v>
      </c>
      <c r="K327" s="34"/>
      <c r="L327" s="34"/>
      <c r="M327" s="34"/>
      <c r="N327" s="34"/>
      <c r="O327" s="34"/>
      <c r="P327" s="34"/>
      <c r="Q327" s="34"/>
      <c r="R327" s="205"/>
      <c r="S327" s="205"/>
      <c r="T327" s="34"/>
    </row>
    <row r="328">
      <c r="A328" s="205"/>
      <c r="B328" s="205"/>
      <c r="C328" s="216" t="s">
        <v>1772</v>
      </c>
      <c r="D328" s="216" t="s">
        <v>44</v>
      </c>
      <c r="E328" s="205"/>
      <c r="F328" s="205"/>
      <c r="G328" s="34"/>
      <c r="H328" s="199" t="s">
        <v>1437</v>
      </c>
      <c r="I328" s="200">
        <v>205.0</v>
      </c>
      <c r="J328" s="208" t="s">
        <v>1948</v>
      </c>
      <c r="K328" s="34"/>
      <c r="L328" s="34"/>
      <c r="M328" s="34"/>
      <c r="N328" s="34"/>
      <c r="O328" s="34"/>
      <c r="P328" s="34"/>
      <c r="Q328" s="34"/>
      <c r="R328" s="205"/>
      <c r="S328" s="205"/>
      <c r="T328" s="34"/>
    </row>
    <row r="329">
      <c r="A329" s="205"/>
      <c r="B329" s="205"/>
      <c r="C329" s="216" t="s">
        <v>1798</v>
      </c>
      <c r="D329" s="216" t="s">
        <v>44</v>
      </c>
      <c r="E329" s="205"/>
      <c r="F329" s="205"/>
      <c r="G329" s="34"/>
      <c r="H329" s="199" t="s">
        <v>1265</v>
      </c>
      <c r="I329" s="200">
        <v>222.0</v>
      </c>
      <c r="J329" s="208" t="s">
        <v>1949</v>
      </c>
      <c r="K329" s="34"/>
      <c r="L329" s="34"/>
      <c r="M329" s="34"/>
      <c r="N329" s="34"/>
      <c r="O329" s="34"/>
      <c r="P329" s="34"/>
      <c r="Q329" s="34"/>
      <c r="R329" s="205"/>
      <c r="S329" s="205"/>
      <c r="T329" s="34"/>
    </row>
    <row r="330">
      <c r="A330" s="205"/>
      <c r="B330" s="205"/>
      <c r="C330" s="216" t="s">
        <v>1801</v>
      </c>
      <c r="D330" s="216" t="s">
        <v>44</v>
      </c>
      <c r="E330" s="205"/>
      <c r="F330" s="205"/>
      <c r="G330" s="34"/>
      <c r="H330" s="199" t="s">
        <v>1381</v>
      </c>
      <c r="I330" s="200">
        <v>348.0</v>
      </c>
      <c r="J330" s="208" t="s">
        <v>1950</v>
      </c>
      <c r="K330" s="34"/>
      <c r="L330" s="34"/>
      <c r="M330" s="34"/>
      <c r="N330" s="34"/>
      <c r="O330" s="34"/>
      <c r="P330" s="34"/>
      <c r="Q330" s="34"/>
      <c r="R330" s="205"/>
      <c r="S330" s="205"/>
      <c r="T330" s="34"/>
    </row>
    <row r="331">
      <c r="A331" s="205"/>
      <c r="B331" s="205"/>
      <c r="C331" s="216" t="s">
        <v>1867</v>
      </c>
      <c r="D331" s="216" t="s">
        <v>44</v>
      </c>
      <c r="E331" s="205"/>
      <c r="F331" s="205"/>
      <c r="G331" s="34"/>
      <c r="H331" s="199" t="s">
        <v>1838</v>
      </c>
      <c r="I331" s="200">
        <v>167.0</v>
      </c>
      <c r="J331" s="208" t="s">
        <v>1951</v>
      </c>
      <c r="K331" s="34"/>
      <c r="L331" s="34"/>
      <c r="M331" s="34"/>
      <c r="N331" s="34"/>
      <c r="O331" s="34"/>
      <c r="P331" s="34"/>
      <c r="Q331" s="34"/>
      <c r="R331" s="205"/>
      <c r="S331" s="205"/>
      <c r="T331" s="34"/>
    </row>
    <row r="332">
      <c r="A332" s="205"/>
      <c r="B332" s="205"/>
      <c r="C332" s="216" t="s">
        <v>1869</v>
      </c>
      <c r="D332" s="216" t="s">
        <v>44</v>
      </c>
      <c r="E332" s="205"/>
      <c r="F332" s="205"/>
      <c r="G332" s="34"/>
      <c r="H332" s="199" t="s">
        <v>882</v>
      </c>
      <c r="I332" s="200">
        <v>13.0</v>
      </c>
      <c r="J332" s="208" t="s">
        <v>1952</v>
      </c>
      <c r="K332" s="34"/>
      <c r="L332" s="34"/>
      <c r="M332" s="34"/>
      <c r="N332" s="34"/>
      <c r="O332" s="34"/>
      <c r="P332" s="34"/>
      <c r="Q332" s="34"/>
      <c r="R332" s="205"/>
      <c r="S332" s="205"/>
      <c r="T332" s="34"/>
    </row>
    <row r="333">
      <c r="A333" s="205"/>
      <c r="B333" s="205"/>
      <c r="C333" s="216" t="s">
        <v>1887</v>
      </c>
      <c r="D333" s="216" t="s">
        <v>44</v>
      </c>
      <c r="E333" s="205"/>
      <c r="F333" s="205"/>
      <c r="G333" s="34"/>
      <c r="H333" s="199" t="s">
        <v>1271</v>
      </c>
      <c r="I333" s="200">
        <v>220.0</v>
      </c>
      <c r="J333" s="208" t="s">
        <v>1953</v>
      </c>
      <c r="K333" s="34"/>
      <c r="L333" s="34"/>
      <c r="M333" s="34"/>
      <c r="N333" s="34"/>
      <c r="O333" s="34"/>
      <c r="P333" s="34"/>
      <c r="Q333" s="34"/>
      <c r="R333" s="205"/>
      <c r="S333" s="205"/>
      <c r="T333" s="34"/>
    </row>
    <row r="334">
      <c r="A334" s="205"/>
      <c r="B334" s="205"/>
      <c r="C334" s="216" t="s">
        <v>1954</v>
      </c>
      <c r="D334" s="216" t="s">
        <v>44</v>
      </c>
      <c r="E334" s="205"/>
      <c r="F334" s="205"/>
      <c r="G334" s="34"/>
      <c r="H334" s="199" t="s">
        <v>889</v>
      </c>
      <c r="I334" s="200">
        <v>190.0</v>
      </c>
      <c r="J334" s="208" t="s">
        <v>1955</v>
      </c>
      <c r="K334" s="34"/>
      <c r="L334" s="34"/>
      <c r="M334" s="34"/>
      <c r="N334" s="34"/>
      <c r="O334" s="34"/>
      <c r="P334" s="34"/>
      <c r="Q334" s="34"/>
      <c r="R334" s="205"/>
      <c r="S334" s="205"/>
      <c r="T334" s="34"/>
    </row>
    <row r="335">
      <c r="A335" s="205"/>
      <c r="B335" s="205"/>
      <c r="C335" s="216" t="s">
        <v>1956</v>
      </c>
      <c r="D335" s="216" t="s">
        <v>44</v>
      </c>
      <c r="E335" s="205"/>
      <c r="F335" s="205"/>
      <c r="G335" s="34"/>
      <c r="H335" s="199" t="s">
        <v>1277</v>
      </c>
      <c r="I335" s="200">
        <v>223.0</v>
      </c>
      <c r="J335" s="208" t="s">
        <v>1957</v>
      </c>
      <c r="K335" s="34"/>
      <c r="L335" s="34"/>
      <c r="M335" s="34"/>
      <c r="N335" s="34"/>
      <c r="O335" s="34"/>
      <c r="P335" s="34"/>
      <c r="Q335" s="34"/>
      <c r="R335" s="205"/>
      <c r="S335" s="205"/>
      <c r="T335" s="34"/>
    </row>
    <row r="336">
      <c r="A336" s="205"/>
      <c r="B336" s="205"/>
      <c r="C336" s="216" t="s">
        <v>1958</v>
      </c>
      <c r="D336" s="216" t="s">
        <v>44</v>
      </c>
      <c r="E336" s="205"/>
      <c r="F336" s="205"/>
      <c r="G336" s="34"/>
      <c r="H336" s="199" t="s">
        <v>1303</v>
      </c>
      <c r="I336" s="200">
        <v>227.0</v>
      </c>
      <c r="J336" s="208" t="s">
        <v>1959</v>
      </c>
      <c r="K336" s="34"/>
      <c r="L336" s="34"/>
      <c r="M336" s="34"/>
      <c r="N336" s="34"/>
      <c r="O336" s="34"/>
      <c r="P336" s="34"/>
      <c r="Q336" s="34"/>
      <c r="R336" s="205"/>
      <c r="S336" s="205"/>
      <c r="T336" s="34"/>
    </row>
    <row r="337">
      <c r="A337" s="205"/>
      <c r="B337" s="205"/>
      <c r="C337" s="216" t="s">
        <v>1960</v>
      </c>
      <c r="D337" s="216" t="s">
        <v>44</v>
      </c>
      <c r="E337" s="205"/>
      <c r="F337" s="205"/>
      <c r="G337" s="34"/>
      <c r="H337" s="199" t="s">
        <v>1961</v>
      </c>
      <c r="I337" s="200">
        <v>549.0</v>
      </c>
      <c r="J337" s="208" t="s">
        <v>1962</v>
      </c>
      <c r="K337" s="34"/>
      <c r="L337" s="34"/>
      <c r="M337" s="34"/>
      <c r="N337" s="34"/>
      <c r="O337" s="34"/>
      <c r="P337" s="34"/>
      <c r="Q337" s="34"/>
      <c r="R337" s="205"/>
      <c r="S337" s="205"/>
      <c r="T337" s="34"/>
    </row>
    <row r="338">
      <c r="A338" s="205"/>
      <c r="B338" s="205"/>
      <c r="C338" s="216" t="s">
        <v>1466</v>
      </c>
      <c r="D338" s="216" t="s">
        <v>44</v>
      </c>
      <c r="E338" s="205"/>
      <c r="F338" s="205"/>
      <c r="G338" s="34"/>
      <c r="H338" s="199" t="s">
        <v>1749</v>
      </c>
      <c r="I338" s="200">
        <v>127.0</v>
      </c>
      <c r="J338" s="208" t="s">
        <v>1963</v>
      </c>
      <c r="K338" s="34"/>
      <c r="L338" s="34"/>
      <c r="M338" s="34"/>
      <c r="N338" s="34"/>
      <c r="O338" s="34"/>
      <c r="P338" s="34"/>
      <c r="Q338" s="34"/>
      <c r="R338" s="205"/>
      <c r="S338" s="205"/>
      <c r="T338" s="34"/>
    </row>
    <row r="339">
      <c r="A339" s="205"/>
      <c r="B339" s="205"/>
      <c r="C339" s="216" t="s">
        <v>1961</v>
      </c>
      <c r="D339" s="216" t="s">
        <v>44</v>
      </c>
      <c r="E339" s="205"/>
      <c r="F339" s="205"/>
      <c r="G339" s="34"/>
      <c r="H339" s="199" t="s">
        <v>896</v>
      </c>
      <c r="I339" s="200">
        <v>11.0</v>
      </c>
      <c r="J339" s="208" t="s">
        <v>1964</v>
      </c>
      <c r="K339" s="34"/>
      <c r="L339" s="34"/>
      <c r="M339" s="34"/>
      <c r="N339" s="34"/>
      <c r="O339" s="34"/>
      <c r="P339" s="34"/>
      <c r="Q339" s="34"/>
      <c r="R339" s="205"/>
      <c r="S339" s="205"/>
      <c r="T339" s="34"/>
    </row>
    <row r="340">
      <c r="A340" s="205"/>
      <c r="B340" s="205"/>
      <c r="C340" s="216" t="s">
        <v>1965</v>
      </c>
      <c r="D340" s="216" t="s">
        <v>44</v>
      </c>
      <c r="E340" s="205"/>
      <c r="F340" s="205"/>
      <c r="G340" s="34"/>
      <c r="H340" s="199" t="s">
        <v>862</v>
      </c>
      <c r="I340" s="200">
        <v>268.0</v>
      </c>
      <c r="J340" s="208" t="s">
        <v>1966</v>
      </c>
      <c r="K340" s="34"/>
      <c r="L340" s="34"/>
      <c r="M340" s="34"/>
      <c r="N340" s="34"/>
      <c r="O340" s="34"/>
      <c r="P340" s="34"/>
      <c r="Q340" s="34"/>
      <c r="R340" s="205"/>
      <c r="S340" s="205"/>
      <c r="T340" s="34"/>
    </row>
    <row r="341">
      <c r="A341" s="205"/>
      <c r="B341" s="205"/>
      <c r="C341" s="216" t="s">
        <v>1967</v>
      </c>
      <c r="D341" s="216" t="s">
        <v>44</v>
      </c>
      <c r="E341" s="205"/>
      <c r="F341" s="205"/>
      <c r="G341" s="34"/>
      <c r="H341" s="199" t="s">
        <v>870</v>
      </c>
      <c r="I341" s="200">
        <v>269.0</v>
      </c>
      <c r="J341" s="208" t="s">
        <v>1968</v>
      </c>
      <c r="K341" s="34"/>
      <c r="L341" s="34"/>
      <c r="M341" s="34"/>
      <c r="N341" s="34"/>
      <c r="O341" s="34"/>
      <c r="P341" s="34"/>
      <c r="Q341" s="34"/>
      <c r="R341" s="205"/>
      <c r="S341" s="205"/>
      <c r="T341" s="34"/>
    </row>
    <row r="342">
      <c r="A342" s="205"/>
      <c r="B342" s="205"/>
      <c r="C342" s="216" t="s">
        <v>1969</v>
      </c>
      <c r="D342" s="216" t="s">
        <v>44</v>
      </c>
      <c r="E342" s="205"/>
      <c r="F342" s="205"/>
      <c r="G342" s="34"/>
      <c r="H342" s="199" t="s">
        <v>1754</v>
      </c>
      <c r="I342" s="200">
        <v>128.0</v>
      </c>
      <c r="J342" s="208" t="s">
        <v>1970</v>
      </c>
      <c r="K342" s="34"/>
      <c r="L342" s="34"/>
      <c r="M342" s="34"/>
      <c r="N342" s="34"/>
      <c r="O342" s="34"/>
      <c r="P342" s="34"/>
      <c r="Q342" s="34"/>
      <c r="R342" s="205"/>
      <c r="S342" s="205"/>
      <c r="T342" s="34"/>
    </row>
    <row r="343">
      <c r="A343" s="205"/>
      <c r="B343" s="205"/>
      <c r="C343" s="216" t="s">
        <v>1971</v>
      </c>
      <c r="D343" s="216" t="s">
        <v>44</v>
      </c>
      <c r="E343" s="205"/>
      <c r="F343" s="205"/>
      <c r="G343" s="34"/>
      <c r="H343" s="199" t="s">
        <v>967</v>
      </c>
      <c r="I343" s="200">
        <v>253.0</v>
      </c>
      <c r="J343" s="208" t="s">
        <v>1972</v>
      </c>
      <c r="K343" s="34"/>
      <c r="L343" s="34"/>
      <c r="M343" s="34"/>
      <c r="N343" s="34"/>
      <c r="O343" s="34"/>
      <c r="P343" s="34"/>
      <c r="Q343" s="34"/>
      <c r="R343" s="205"/>
      <c r="S343" s="205"/>
      <c r="T343" s="34"/>
    </row>
    <row r="344">
      <c r="A344" s="205"/>
      <c r="B344" s="205"/>
      <c r="C344" s="216" t="s">
        <v>947</v>
      </c>
      <c r="D344" s="216" t="s">
        <v>44</v>
      </c>
      <c r="E344" s="205"/>
      <c r="F344" s="205"/>
      <c r="G344" s="34"/>
      <c r="H344" s="199" t="s">
        <v>877</v>
      </c>
      <c r="I344" s="200">
        <v>270.0</v>
      </c>
      <c r="J344" s="208" t="s">
        <v>1973</v>
      </c>
      <c r="K344" s="34"/>
      <c r="L344" s="34"/>
      <c r="M344" s="34"/>
      <c r="N344" s="34"/>
      <c r="O344" s="34"/>
      <c r="P344" s="34"/>
      <c r="Q344" s="34"/>
      <c r="R344" s="205"/>
      <c r="S344" s="205"/>
      <c r="T344" s="34"/>
    </row>
    <row r="345">
      <c r="A345" s="205"/>
      <c r="B345" s="205"/>
      <c r="C345" s="216" t="s">
        <v>1039</v>
      </c>
      <c r="D345" s="216" t="s">
        <v>44</v>
      </c>
      <c r="E345" s="205"/>
      <c r="F345" s="205"/>
      <c r="G345" s="34"/>
      <c r="H345" s="199" t="s">
        <v>1153</v>
      </c>
      <c r="I345" s="200">
        <v>322.0</v>
      </c>
      <c r="J345" s="208" t="s">
        <v>1974</v>
      </c>
      <c r="K345" s="34"/>
      <c r="L345" s="34"/>
      <c r="M345" s="34"/>
      <c r="N345" s="34"/>
      <c r="O345" s="34"/>
      <c r="P345" s="34"/>
      <c r="Q345" s="34"/>
      <c r="R345" s="205"/>
      <c r="S345" s="205"/>
      <c r="T345" s="34"/>
    </row>
    <row r="346">
      <c r="A346" s="205"/>
      <c r="B346" s="205"/>
      <c r="C346" s="216" t="s">
        <v>1571</v>
      </c>
      <c r="D346" s="216" t="s">
        <v>44</v>
      </c>
      <c r="E346" s="205"/>
      <c r="F346" s="205"/>
      <c r="G346" s="34"/>
      <c r="H346" s="199" t="s">
        <v>1975</v>
      </c>
      <c r="I346" s="200">
        <v>587.0</v>
      </c>
      <c r="J346" s="208" t="s">
        <v>1976</v>
      </c>
      <c r="K346" s="34"/>
      <c r="L346" s="34"/>
      <c r="M346" s="34"/>
      <c r="N346" s="34"/>
      <c r="O346" s="34"/>
      <c r="P346" s="34"/>
      <c r="Q346" s="34"/>
      <c r="R346" s="205"/>
      <c r="S346" s="205"/>
      <c r="T346" s="34"/>
    </row>
    <row r="347">
      <c r="A347" s="205"/>
      <c r="B347" s="205"/>
      <c r="C347" s="216" t="s">
        <v>1576</v>
      </c>
      <c r="D347" s="216" t="s">
        <v>44</v>
      </c>
      <c r="E347" s="205"/>
      <c r="F347" s="205"/>
      <c r="G347" s="34"/>
      <c r="H347" s="199" t="s">
        <v>1159</v>
      </c>
      <c r="I347" s="200">
        <v>323.0</v>
      </c>
      <c r="J347" s="208" t="s">
        <v>1977</v>
      </c>
      <c r="K347" s="34"/>
      <c r="L347" s="34"/>
      <c r="M347" s="34"/>
      <c r="N347" s="34"/>
      <c r="O347" s="34"/>
      <c r="P347" s="34"/>
      <c r="Q347" s="34"/>
      <c r="R347" s="205"/>
      <c r="S347" s="205"/>
      <c r="T347" s="34"/>
    </row>
    <row r="348">
      <c r="A348" s="205"/>
      <c r="B348" s="205"/>
      <c r="C348" s="216" t="s">
        <v>1857</v>
      </c>
      <c r="D348" s="216" t="s">
        <v>44</v>
      </c>
      <c r="E348" s="205"/>
      <c r="F348" s="205"/>
      <c r="G348" s="34"/>
      <c r="H348" s="199" t="s">
        <v>1978</v>
      </c>
      <c r="I348" s="200">
        <v>577.0</v>
      </c>
      <c r="J348" s="208" t="s">
        <v>1979</v>
      </c>
      <c r="K348" s="34"/>
      <c r="L348" s="34"/>
      <c r="M348" s="34"/>
      <c r="N348" s="34"/>
      <c r="O348" s="34"/>
      <c r="P348" s="34"/>
      <c r="Q348" s="34"/>
      <c r="R348" s="205"/>
      <c r="S348" s="205"/>
      <c r="T348" s="34"/>
    </row>
    <row r="349">
      <c r="A349" s="205"/>
      <c r="B349" s="205"/>
      <c r="C349" s="216" t="s">
        <v>1980</v>
      </c>
      <c r="D349" s="216" t="s">
        <v>44</v>
      </c>
      <c r="E349" s="205"/>
      <c r="F349" s="205"/>
      <c r="G349" s="34"/>
      <c r="H349" s="199" t="s">
        <v>1981</v>
      </c>
      <c r="I349" s="200">
        <v>585.0</v>
      </c>
      <c r="J349" s="208" t="s">
        <v>1982</v>
      </c>
      <c r="K349" s="34"/>
      <c r="L349" s="34"/>
      <c r="M349" s="34"/>
      <c r="N349" s="34"/>
      <c r="O349" s="34"/>
      <c r="P349" s="34"/>
      <c r="Q349" s="34"/>
      <c r="R349" s="205"/>
      <c r="S349" s="205"/>
      <c r="T349" s="34"/>
    </row>
    <row r="350">
      <c r="A350" s="205"/>
      <c r="B350" s="205"/>
      <c r="C350" s="216" t="s">
        <v>1983</v>
      </c>
      <c r="D350" s="216" t="s">
        <v>44</v>
      </c>
      <c r="E350" s="205"/>
      <c r="F350" s="205"/>
      <c r="G350" s="34"/>
      <c r="H350" s="199" t="s">
        <v>1984</v>
      </c>
      <c r="I350" s="200">
        <v>586.0</v>
      </c>
      <c r="J350" s="208" t="s">
        <v>1985</v>
      </c>
      <c r="K350" s="34"/>
      <c r="L350" s="34"/>
      <c r="M350" s="34"/>
      <c r="N350" s="34"/>
      <c r="O350" s="34"/>
      <c r="P350" s="34"/>
      <c r="Q350" s="34"/>
      <c r="R350" s="205"/>
      <c r="S350" s="205"/>
      <c r="T350" s="34"/>
    </row>
    <row r="351">
      <c r="A351" s="205"/>
      <c r="B351" s="205"/>
      <c r="C351" s="205"/>
      <c r="D351" s="205"/>
      <c r="E351" s="205"/>
      <c r="F351" s="205"/>
      <c r="G351" s="34"/>
      <c r="H351" s="199" t="s">
        <v>1986</v>
      </c>
      <c r="I351" s="200">
        <v>588.0</v>
      </c>
      <c r="J351" s="208" t="s">
        <v>1987</v>
      </c>
      <c r="K351" s="34"/>
      <c r="L351" s="34"/>
      <c r="M351" s="34"/>
      <c r="N351" s="34"/>
      <c r="O351" s="34"/>
      <c r="P351" s="34"/>
      <c r="Q351" s="34"/>
      <c r="R351" s="205"/>
      <c r="S351" s="205"/>
      <c r="T351" s="34"/>
    </row>
    <row r="352">
      <c r="A352" s="205"/>
      <c r="B352" s="205"/>
      <c r="C352" s="205"/>
      <c r="D352" s="205"/>
      <c r="E352" s="205"/>
      <c r="F352" s="205"/>
      <c r="G352" s="34"/>
      <c r="H352" s="199" t="s">
        <v>1759</v>
      </c>
      <c r="I352" s="200">
        <v>440.0</v>
      </c>
      <c r="J352" s="208" t="s">
        <v>1988</v>
      </c>
      <c r="K352" s="34"/>
      <c r="L352" s="34"/>
      <c r="M352" s="34"/>
      <c r="N352" s="34"/>
      <c r="O352" s="34"/>
      <c r="P352" s="34"/>
      <c r="Q352" s="34"/>
      <c r="R352" s="205"/>
      <c r="S352" s="205"/>
      <c r="T352" s="34"/>
    </row>
    <row r="353">
      <c r="A353" s="205"/>
      <c r="B353" s="205"/>
      <c r="C353" s="205"/>
      <c r="D353" s="205"/>
      <c r="E353" s="205"/>
      <c r="F353" s="205"/>
      <c r="G353" s="34"/>
      <c r="H353" s="199" t="s">
        <v>1281</v>
      </c>
      <c r="I353" s="200">
        <v>17.0</v>
      </c>
      <c r="J353" s="208" t="s">
        <v>1989</v>
      </c>
      <c r="K353" s="34"/>
      <c r="L353" s="34"/>
      <c r="M353" s="34"/>
      <c r="N353" s="34"/>
      <c r="O353" s="34"/>
      <c r="P353" s="34"/>
      <c r="Q353" s="34"/>
      <c r="R353" s="205"/>
      <c r="S353" s="205"/>
      <c r="T353" s="34"/>
    </row>
    <row r="354">
      <c r="A354" s="205"/>
      <c r="B354" s="205"/>
      <c r="C354" s="205"/>
      <c r="D354" s="205"/>
      <c r="E354" s="205"/>
      <c r="F354" s="205"/>
      <c r="G354" s="34"/>
      <c r="H354" s="199" t="s">
        <v>1597</v>
      </c>
      <c r="I354" s="200">
        <v>85.0</v>
      </c>
      <c r="J354" s="208" t="s">
        <v>1990</v>
      </c>
      <c r="K354" s="34"/>
      <c r="L354" s="34"/>
      <c r="M354" s="34"/>
      <c r="N354" s="34"/>
      <c r="O354" s="34"/>
      <c r="P354" s="34"/>
      <c r="Q354" s="34"/>
      <c r="R354" s="205"/>
      <c r="S354" s="205"/>
      <c r="T354" s="34"/>
    </row>
    <row r="355">
      <c r="A355" s="205"/>
      <c r="B355" s="205"/>
      <c r="C355" s="205"/>
      <c r="D355" s="205"/>
      <c r="E355" s="205"/>
      <c r="F355" s="205"/>
      <c r="G355" s="34"/>
      <c r="H355" s="199" t="s">
        <v>1165</v>
      </c>
      <c r="I355" s="200">
        <v>324.0</v>
      </c>
      <c r="J355" s="208" t="s">
        <v>1991</v>
      </c>
      <c r="K355" s="34"/>
      <c r="L355" s="34"/>
      <c r="M355" s="34"/>
      <c r="N355" s="34"/>
      <c r="O355" s="34"/>
      <c r="P355" s="34"/>
      <c r="Q355" s="34"/>
      <c r="R355" s="205"/>
      <c r="S355" s="205"/>
      <c r="T355" s="34"/>
    </row>
    <row r="356">
      <c r="A356" s="205"/>
      <c r="B356" s="205"/>
      <c r="C356" s="205"/>
      <c r="D356" s="205"/>
      <c r="E356" s="205"/>
      <c r="F356" s="205"/>
      <c r="G356" s="34"/>
      <c r="H356" s="199" t="s">
        <v>1602</v>
      </c>
      <c r="I356" s="200">
        <v>86.0</v>
      </c>
      <c r="J356" s="208" t="s">
        <v>1992</v>
      </c>
      <c r="K356" s="34"/>
      <c r="L356" s="34"/>
      <c r="M356" s="34"/>
      <c r="N356" s="34"/>
      <c r="O356" s="34"/>
      <c r="P356" s="34"/>
      <c r="Q356" s="34"/>
      <c r="R356" s="205"/>
      <c r="S356" s="205"/>
      <c r="T356" s="34"/>
    </row>
    <row r="357">
      <c r="A357" s="205"/>
      <c r="B357" s="205"/>
      <c r="C357" s="205"/>
      <c r="D357" s="205"/>
      <c r="E357" s="205"/>
      <c r="F357" s="205"/>
      <c r="G357" s="34"/>
      <c r="H357" s="199" t="s">
        <v>1954</v>
      </c>
      <c r="I357" s="200">
        <v>422.0</v>
      </c>
      <c r="J357" s="208" t="s">
        <v>1993</v>
      </c>
      <c r="K357" s="34"/>
      <c r="L357" s="34"/>
      <c r="M357" s="34"/>
      <c r="N357" s="34"/>
      <c r="O357" s="34"/>
      <c r="P357" s="34"/>
      <c r="Q357" s="34"/>
      <c r="R357" s="205"/>
      <c r="S357" s="205"/>
      <c r="T357" s="34"/>
    </row>
    <row r="358">
      <c r="A358" s="205"/>
      <c r="B358" s="205"/>
      <c r="C358" s="205"/>
      <c r="D358" s="205"/>
      <c r="E358" s="205"/>
      <c r="F358" s="205"/>
      <c r="G358" s="34"/>
      <c r="H358" s="199" t="s">
        <v>738</v>
      </c>
      <c r="I358" s="200">
        <v>542.0</v>
      </c>
      <c r="J358" s="208" t="s">
        <v>1994</v>
      </c>
      <c r="K358" s="34"/>
      <c r="L358" s="34"/>
      <c r="M358" s="34"/>
      <c r="N358" s="34"/>
      <c r="O358" s="34"/>
      <c r="P358" s="34"/>
      <c r="Q358" s="34"/>
      <c r="R358" s="205"/>
      <c r="S358" s="205"/>
      <c r="T358" s="34"/>
    </row>
    <row r="359">
      <c r="A359" s="205"/>
      <c r="B359" s="205"/>
      <c r="C359" s="205"/>
      <c r="D359" s="205"/>
      <c r="E359" s="205"/>
      <c r="F359" s="205"/>
      <c r="G359" s="34"/>
      <c r="H359" s="199" t="s">
        <v>1454</v>
      </c>
      <c r="I359" s="200">
        <v>88.0</v>
      </c>
      <c r="J359" s="208" t="s">
        <v>1995</v>
      </c>
      <c r="K359" s="34"/>
      <c r="L359" s="34"/>
      <c r="M359" s="34"/>
      <c r="N359" s="34"/>
      <c r="O359" s="34"/>
      <c r="P359" s="34"/>
      <c r="Q359" s="34"/>
      <c r="R359" s="205"/>
      <c r="S359" s="205"/>
      <c r="T359" s="34"/>
    </row>
    <row r="360">
      <c r="A360" s="205"/>
      <c r="B360" s="205"/>
      <c r="C360" s="205"/>
      <c r="D360" s="205"/>
      <c r="E360" s="205"/>
      <c r="F360" s="205"/>
      <c r="G360" s="34"/>
      <c r="H360" s="199" t="s">
        <v>884</v>
      </c>
      <c r="I360" s="200">
        <v>14.0</v>
      </c>
      <c r="J360" s="208" t="s">
        <v>1996</v>
      </c>
      <c r="K360" s="34"/>
      <c r="L360" s="34"/>
      <c r="M360" s="34"/>
      <c r="N360" s="34"/>
      <c r="O360" s="34"/>
      <c r="P360" s="34"/>
      <c r="Q360" s="34"/>
      <c r="R360" s="205"/>
      <c r="S360" s="205"/>
      <c r="T360" s="34"/>
    </row>
    <row r="361">
      <c r="A361" s="205"/>
      <c r="B361" s="205"/>
      <c r="C361" s="205"/>
      <c r="D361" s="205"/>
      <c r="E361" s="205"/>
      <c r="F361" s="205"/>
      <c r="G361" s="34"/>
      <c r="H361" s="199" t="s">
        <v>884</v>
      </c>
      <c r="I361" s="200">
        <v>271.0</v>
      </c>
      <c r="J361" s="208" t="s">
        <v>1997</v>
      </c>
      <c r="K361" s="34"/>
      <c r="L361" s="34"/>
      <c r="M361" s="34"/>
      <c r="N361" s="34"/>
      <c r="O361" s="34"/>
      <c r="P361" s="34"/>
      <c r="Q361" s="34"/>
      <c r="R361" s="205"/>
      <c r="S361" s="205"/>
      <c r="T361" s="34"/>
    </row>
    <row r="362">
      <c r="A362" s="205"/>
      <c r="B362" s="205"/>
      <c r="C362" s="205"/>
      <c r="D362" s="205"/>
      <c r="E362" s="205"/>
      <c r="F362" s="205"/>
      <c r="G362" s="34"/>
      <c r="H362" s="199" t="s">
        <v>972</v>
      </c>
      <c r="I362" s="200">
        <v>254.0</v>
      </c>
      <c r="J362" s="208" t="s">
        <v>1998</v>
      </c>
      <c r="K362" s="34"/>
      <c r="L362" s="34"/>
      <c r="M362" s="34"/>
      <c r="N362" s="34"/>
      <c r="O362" s="34"/>
      <c r="P362" s="34"/>
      <c r="Q362" s="34"/>
      <c r="R362" s="205"/>
      <c r="S362" s="205"/>
      <c r="T362" s="34"/>
    </row>
    <row r="363">
      <c r="A363" s="205"/>
      <c r="B363" s="205"/>
      <c r="C363" s="205"/>
      <c r="D363" s="205"/>
      <c r="E363" s="205"/>
      <c r="F363" s="205"/>
      <c r="G363" s="34"/>
      <c r="H363" s="199" t="s">
        <v>1442</v>
      </c>
      <c r="I363" s="200">
        <v>206.0</v>
      </c>
      <c r="J363" s="208" t="s">
        <v>1999</v>
      </c>
      <c r="K363" s="34"/>
      <c r="L363" s="34"/>
      <c r="M363" s="34"/>
      <c r="N363" s="34"/>
      <c r="O363" s="34"/>
      <c r="P363" s="34"/>
      <c r="Q363" s="34"/>
      <c r="R363" s="205"/>
      <c r="S363" s="205"/>
      <c r="T363" s="34"/>
    </row>
    <row r="364">
      <c r="A364" s="205"/>
      <c r="B364" s="205"/>
      <c r="C364" s="205"/>
      <c r="D364" s="205"/>
      <c r="E364" s="205"/>
      <c r="F364" s="205"/>
      <c r="G364" s="34"/>
      <c r="H364" s="199" t="s">
        <v>1170</v>
      </c>
      <c r="I364" s="200">
        <v>325.0</v>
      </c>
      <c r="J364" s="208" t="s">
        <v>2000</v>
      </c>
      <c r="K364" s="34"/>
      <c r="L364" s="34"/>
      <c r="M364" s="34"/>
      <c r="N364" s="34"/>
      <c r="O364" s="34"/>
      <c r="P364" s="34"/>
      <c r="Q364" s="34"/>
      <c r="R364" s="205"/>
      <c r="S364" s="205"/>
      <c r="T364" s="34"/>
    </row>
    <row r="365">
      <c r="A365" s="205"/>
      <c r="B365" s="205"/>
      <c r="C365" s="205"/>
      <c r="D365" s="205"/>
      <c r="E365" s="205"/>
      <c r="F365" s="205"/>
      <c r="G365" s="34"/>
      <c r="H365" s="199" t="s">
        <v>744</v>
      </c>
      <c r="I365" s="200">
        <v>240.0</v>
      </c>
      <c r="J365" s="208" t="s">
        <v>2001</v>
      </c>
      <c r="K365" s="34"/>
      <c r="L365" s="34"/>
      <c r="M365" s="34"/>
      <c r="N365" s="34"/>
      <c r="O365" s="34"/>
      <c r="P365" s="34"/>
      <c r="Q365" s="34"/>
      <c r="R365" s="205"/>
      <c r="S365" s="205"/>
      <c r="T365" s="34"/>
    </row>
    <row r="366">
      <c r="A366" s="205"/>
      <c r="B366" s="205"/>
      <c r="C366" s="205"/>
      <c r="D366" s="205"/>
      <c r="E366" s="205"/>
      <c r="F366" s="205"/>
      <c r="G366" s="34"/>
      <c r="H366" s="199" t="s">
        <v>1763</v>
      </c>
      <c r="I366" s="200">
        <v>441.0</v>
      </c>
      <c r="J366" s="208" t="s">
        <v>2002</v>
      </c>
      <c r="K366" s="34"/>
      <c r="L366" s="34"/>
      <c r="M366" s="34"/>
      <c r="N366" s="34"/>
      <c r="O366" s="34"/>
      <c r="P366" s="34"/>
      <c r="Q366" s="34"/>
      <c r="R366" s="205"/>
      <c r="S366" s="205"/>
      <c r="T366" s="34"/>
    </row>
    <row r="367">
      <c r="A367" s="205"/>
      <c r="B367" s="205"/>
      <c r="C367" s="205"/>
      <c r="D367" s="205"/>
      <c r="E367" s="205"/>
      <c r="F367" s="205"/>
      <c r="G367" s="34"/>
      <c r="H367" s="199" t="s">
        <v>1980</v>
      </c>
      <c r="I367" s="200">
        <v>531.0</v>
      </c>
      <c r="J367" s="208" t="s">
        <v>2003</v>
      </c>
      <c r="K367" s="34"/>
      <c r="L367" s="34"/>
      <c r="M367" s="34"/>
      <c r="N367" s="34"/>
      <c r="O367" s="34"/>
      <c r="P367" s="34"/>
      <c r="Q367" s="34"/>
      <c r="R367" s="205"/>
      <c r="S367" s="205"/>
      <c r="T367" s="34"/>
    </row>
    <row r="368">
      <c r="A368" s="205"/>
      <c r="B368" s="205"/>
      <c r="C368" s="205"/>
      <c r="D368" s="205"/>
      <c r="E368" s="205"/>
      <c r="F368" s="205"/>
      <c r="G368" s="34"/>
      <c r="H368" s="199" t="s">
        <v>1956</v>
      </c>
      <c r="I368" s="200">
        <v>423.0</v>
      </c>
      <c r="J368" s="208" t="s">
        <v>2004</v>
      </c>
      <c r="K368" s="34"/>
      <c r="L368" s="34"/>
      <c r="M368" s="34"/>
      <c r="N368" s="34"/>
      <c r="O368" s="34"/>
      <c r="P368" s="34"/>
      <c r="Q368" s="34"/>
      <c r="R368" s="205"/>
      <c r="S368" s="205"/>
      <c r="T368" s="34"/>
    </row>
    <row r="369">
      <c r="A369" s="205"/>
      <c r="B369" s="205"/>
      <c r="C369" s="205"/>
      <c r="D369" s="205"/>
      <c r="E369" s="205"/>
      <c r="F369" s="205"/>
      <c r="G369" s="34"/>
      <c r="H369" s="199" t="s">
        <v>1489</v>
      </c>
      <c r="I369" s="200">
        <v>250.0</v>
      </c>
      <c r="J369" s="208" t="s">
        <v>2005</v>
      </c>
      <c r="K369" s="34"/>
      <c r="L369" s="34"/>
      <c r="M369" s="34"/>
      <c r="N369" s="34"/>
      <c r="O369" s="34"/>
      <c r="P369" s="34"/>
      <c r="Q369" s="34"/>
      <c r="R369" s="205"/>
      <c r="S369" s="205"/>
      <c r="T369" s="34"/>
    </row>
    <row r="370">
      <c r="A370" s="205"/>
      <c r="B370" s="205"/>
      <c r="C370" s="205"/>
      <c r="D370" s="205"/>
      <c r="E370" s="205"/>
      <c r="F370" s="205"/>
      <c r="G370" s="34"/>
      <c r="H370" s="199" t="s">
        <v>1889</v>
      </c>
      <c r="I370" s="200">
        <v>285.0</v>
      </c>
      <c r="J370" s="208" t="s">
        <v>2006</v>
      </c>
      <c r="K370" s="34"/>
      <c r="L370" s="34"/>
      <c r="M370" s="34"/>
      <c r="N370" s="34"/>
      <c r="O370" s="34"/>
      <c r="P370" s="34"/>
      <c r="Q370" s="34"/>
      <c r="R370" s="205"/>
      <c r="S370" s="205"/>
      <c r="T370" s="34"/>
    </row>
    <row r="371">
      <c r="A371" s="205"/>
      <c r="B371" s="205"/>
      <c r="C371" s="205"/>
      <c r="D371" s="205"/>
      <c r="E371" s="205"/>
      <c r="F371" s="205"/>
      <c r="G371" s="34"/>
      <c r="H371" s="199" t="s">
        <v>909</v>
      </c>
      <c r="I371" s="200">
        <v>52.0</v>
      </c>
      <c r="J371" s="208" t="s">
        <v>2007</v>
      </c>
      <c r="K371" s="34"/>
      <c r="L371" s="34"/>
      <c r="M371" s="34"/>
      <c r="N371" s="34"/>
      <c r="O371" s="34"/>
      <c r="P371" s="34"/>
      <c r="Q371" s="34"/>
      <c r="R371" s="205"/>
      <c r="S371" s="205"/>
      <c r="T371" s="34"/>
    </row>
    <row r="372">
      <c r="A372" s="205"/>
      <c r="B372" s="205"/>
      <c r="C372" s="205"/>
      <c r="D372" s="205"/>
      <c r="E372" s="205"/>
      <c r="F372" s="205"/>
      <c r="G372" s="34"/>
      <c r="H372" s="199" t="s">
        <v>1175</v>
      </c>
      <c r="I372" s="200">
        <v>326.0</v>
      </c>
      <c r="J372" s="208" t="s">
        <v>2008</v>
      </c>
      <c r="K372" s="34"/>
      <c r="L372" s="34"/>
      <c r="M372" s="34"/>
      <c r="N372" s="34"/>
      <c r="O372" s="34"/>
      <c r="P372" s="34"/>
      <c r="Q372" s="34"/>
      <c r="R372" s="205"/>
      <c r="S372" s="205"/>
      <c r="T372" s="34"/>
    </row>
    <row r="373">
      <c r="A373" s="205"/>
      <c r="B373" s="205"/>
      <c r="C373" s="205"/>
      <c r="D373" s="205"/>
      <c r="E373" s="205"/>
      <c r="F373" s="205"/>
      <c r="G373" s="34"/>
      <c r="H373" s="199" t="s">
        <v>1179</v>
      </c>
      <c r="I373" s="200">
        <v>327.0</v>
      </c>
      <c r="J373" s="208" t="s">
        <v>2009</v>
      </c>
      <c r="K373" s="34"/>
      <c r="L373" s="34"/>
      <c r="M373" s="34"/>
      <c r="N373" s="34"/>
      <c r="O373" s="34"/>
      <c r="P373" s="34"/>
      <c r="Q373" s="34"/>
      <c r="R373" s="205"/>
      <c r="S373" s="205"/>
      <c r="T373" s="34"/>
    </row>
    <row r="374">
      <c r="A374" s="205"/>
      <c r="B374" s="205"/>
      <c r="C374" s="205"/>
      <c r="D374" s="205"/>
      <c r="E374" s="205"/>
      <c r="F374" s="205"/>
      <c r="G374" s="34"/>
      <c r="H374" s="199" t="s">
        <v>1674</v>
      </c>
      <c r="I374" s="200">
        <v>112.0</v>
      </c>
      <c r="J374" s="208" t="s">
        <v>2010</v>
      </c>
      <c r="K374" s="34"/>
      <c r="L374" s="34"/>
      <c r="M374" s="34"/>
      <c r="N374" s="34"/>
      <c r="O374" s="34"/>
      <c r="P374" s="34"/>
      <c r="Q374" s="34"/>
      <c r="R374" s="205"/>
      <c r="S374" s="205"/>
      <c r="T374" s="34"/>
    </row>
    <row r="375">
      <c r="A375" s="205"/>
      <c r="B375" s="205"/>
      <c r="C375" s="205"/>
      <c r="D375" s="205"/>
      <c r="E375" s="205"/>
      <c r="F375" s="205"/>
      <c r="G375" s="34"/>
      <c r="H375" s="199" t="s">
        <v>891</v>
      </c>
      <c r="I375" s="200">
        <v>272.0</v>
      </c>
      <c r="J375" s="208" t="s">
        <v>2011</v>
      </c>
      <c r="K375" s="34"/>
      <c r="L375" s="34"/>
      <c r="M375" s="34"/>
      <c r="N375" s="34"/>
      <c r="O375" s="34"/>
      <c r="P375" s="34"/>
      <c r="Q375" s="34"/>
      <c r="R375" s="205"/>
      <c r="S375" s="205"/>
      <c r="T375" s="34"/>
    </row>
    <row r="376">
      <c r="A376" s="205"/>
      <c r="B376" s="205"/>
      <c r="C376" s="205"/>
      <c r="D376" s="205"/>
      <c r="E376" s="205"/>
      <c r="F376" s="205"/>
      <c r="G376" s="34"/>
      <c r="H376" s="199" t="s">
        <v>915</v>
      </c>
      <c r="I376" s="200">
        <v>59.0</v>
      </c>
      <c r="J376" s="208" t="s">
        <v>2012</v>
      </c>
      <c r="K376" s="34"/>
      <c r="L376" s="34"/>
      <c r="M376" s="34"/>
      <c r="N376" s="34"/>
      <c r="O376" s="34"/>
      <c r="P376" s="34"/>
      <c r="Q376" s="34"/>
      <c r="R376" s="205"/>
      <c r="S376" s="205"/>
      <c r="T376" s="34"/>
    </row>
    <row r="377">
      <c r="A377" s="205"/>
      <c r="B377" s="205"/>
      <c r="C377" s="205"/>
      <c r="D377" s="205"/>
      <c r="E377" s="205"/>
      <c r="F377" s="205"/>
      <c r="G377" s="34"/>
      <c r="H377" s="199" t="s">
        <v>1896</v>
      </c>
      <c r="I377" s="200">
        <v>287.0</v>
      </c>
      <c r="J377" s="208" t="s">
        <v>2013</v>
      </c>
      <c r="K377" s="34"/>
      <c r="L377" s="34"/>
      <c r="M377" s="34"/>
      <c r="N377" s="34"/>
      <c r="O377" s="34"/>
      <c r="P377" s="34"/>
      <c r="Q377" s="34"/>
      <c r="R377" s="205"/>
      <c r="S377" s="205"/>
      <c r="T377" s="34"/>
    </row>
    <row r="378">
      <c r="A378" s="205"/>
      <c r="B378" s="205"/>
      <c r="C378" s="205"/>
      <c r="D378" s="205"/>
      <c r="E378" s="205"/>
      <c r="F378" s="205"/>
      <c r="G378" s="34"/>
      <c r="H378" s="199" t="s">
        <v>1778</v>
      </c>
      <c r="I378" s="200">
        <v>131.0</v>
      </c>
      <c r="J378" s="208" t="s">
        <v>2014</v>
      </c>
      <c r="K378" s="34"/>
      <c r="L378" s="34"/>
      <c r="M378" s="34"/>
      <c r="N378" s="34"/>
      <c r="O378" s="34"/>
      <c r="P378" s="34"/>
      <c r="Q378" s="34"/>
      <c r="R378" s="205"/>
      <c r="S378" s="205"/>
      <c r="T378" s="34"/>
    </row>
    <row r="379">
      <c r="A379" s="205"/>
      <c r="B379" s="205"/>
      <c r="C379" s="205"/>
      <c r="D379" s="205"/>
      <c r="E379" s="205"/>
      <c r="F379" s="205"/>
      <c r="G379" s="34"/>
      <c r="H379" s="199" t="s">
        <v>1458</v>
      </c>
      <c r="I379" s="200">
        <v>89.0</v>
      </c>
      <c r="J379" s="208" t="s">
        <v>2015</v>
      </c>
      <c r="K379" s="34"/>
      <c r="L379" s="34"/>
      <c r="M379" s="34"/>
      <c r="N379" s="34"/>
      <c r="O379" s="34"/>
      <c r="P379" s="34"/>
      <c r="Q379" s="34"/>
      <c r="R379" s="205"/>
      <c r="S379" s="205"/>
      <c r="T379" s="34"/>
    </row>
    <row r="380">
      <c r="A380" s="205"/>
      <c r="B380" s="205"/>
      <c r="C380" s="205"/>
      <c r="D380" s="205"/>
      <c r="E380" s="205"/>
      <c r="F380" s="205"/>
      <c r="G380" s="34"/>
      <c r="H380" s="199" t="s">
        <v>1862</v>
      </c>
      <c r="I380" s="200">
        <v>191.0</v>
      </c>
      <c r="J380" s="208" t="s">
        <v>2016</v>
      </c>
      <c r="K380" s="34"/>
      <c r="L380" s="34"/>
      <c r="M380" s="34"/>
      <c r="N380" s="34"/>
      <c r="O380" s="34"/>
      <c r="P380" s="34"/>
      <c r="Q380" s="34"/>
      <c r="R380" s="205"/>
      <c r="S380" s="205"/>
      <c r="T380" s="34"/>
    </row>
    <row r="381">
      <c r="A381" s="205"/>
      <c r="B381" s="205"/>
      <c r="C381" s="205"/>
      <c r="D381" s="205"/>
      <c r="E381" s="205"/>
      <c r="F381" s="205"/>
      <c r="G381" s="34"/>
      <c r="H381" s="199" t="s">
        <v>898</v>
      </c>
      <c r="I381" s="200">
        <v>273.0</v>
      </c>
      <c r="J381" s="208" t="s">
        <v>2017</v>
      </c>
      <c r="K381" s="34"/>
      <c r="L381" s="34"/>
      <c r="M381" s="34"/>
      <c r="N381" s="34"/>
      <c r="O381" s="34"/>
      <c r="P381" s="34"/>
      <c r="Q381" s="34"/>
      <c r="R381" s="205"/>
      <c r="S381" s="205"/>
      <c r="T381" s="34"/>
    </row>
    <row r="382">
      <c r="A382" s="205"/>
      <c r="B382" s="205"/>
      <c r="C382" s="205"/>
      <c r="D382" s="205"/>
      <c r="E382" s="205"/>
      <c r="F382" s="205"/>
      <c r="G382" s="34"/>
      <c r="H382" s="199" t="s">
        <v>1909</v>
      </c>
      <c r="I382" s="200">
        <v>153.0</v>
      </c>
      <c r="J382" s="208" t="s">
        <v>2018</v>
      </c>
      <c r="K382" s="34"/>
      <c r="L382" s="34"/>
      <c r="M382" s="34"/>
      <c r="N382" s="34"/>
      <c r="O382" s="34"/>
      <c r="P382" s="34"/>
      <c r="Q382" s="34"/>
      <c r="R382" s="205"/>
      <c r="S382" s="205"/>
      <c r="T382" s="34"/>
    </row>
    <row r="383">
      <c r="A383" s="205"/>
      <c r="B383" s="205"/>
      <c r="C383" s="205"/>
      <c r="D383" s="205"/>
      <c r="E383" s="205"/>
      <c r="F383" s="205"/>
      <c r="G383" s="34"/>
      <c r="H383" s="199" t="s">
        <v>1891</v>
      </c>
      <c r="I383" s="200">
        <v>286.0</v>
      </c>
      <c r="J383" s="208" t="s">
        <v>2019</v>
      </c>
      <c r="K383" s="34"/>
      <c r="L383" s="34"/>
      <c r="M383" s="34"/>
      <c r="N383" s="34"/>
      <c r="O383" s="34"/>
      <c r="P383" s="34"/>
      <c r="Q383" s="34"/>
      <c r="R383" s="205"/>
      <c r="S383" s="205"/>
      <c r="T383" s="34"/>
    </row>
    <row r="384">
      <c r="A384" s="205"/>
      <c r="B384" s="205"/>
      <c r="C384" s="205"/>
      <c r="D384" s="205"/>
      <c r="E384" s="205"/>
      <c r="F384" s="205"/>
      <c r="G384" s="34"/>
      <c r="H384" s="199" t="s">
        <v>1958</v>
      </c>
      <c r="I384" s="200">
        <v>424.0</v>
      </c>
      <c r="J384" s="208" t="s">
        <v>2020</v>
      </c>
      <c r="K384" s="34"/>
      <c r="L384" s="34"/>
      <c r="M384" s="34"/>
      <c r="N384" s="34"/>
      <c r="O384" s="34"/>
      <c r="P384" s="34"/>
      <c r="Q384" s="34"/>
      <c r="R384" s="205"/>
      <c r="S384" s="205"/>
      <c r="T384" s="34"/>
    </row>
    <row r="385">
      <c r="A385" s="205"/>
      <c r="B385" s="205"/>
      <c r="C385" s="205"/>
      <c r="D385" s="205"/>
      <c r="E385" s="205"/>
      <c r="F385" s="205"/>
      <c r="G385" s="34"/>
      <c r="H385" s="199" t="s">
        <v>751</v>
      </c>
      <c r="I385" s="200">
        <v>241.0</v>
      </c>
      <c r="J385" s="208" t="s">
        <v>2021</v>
      </c>
      <c r="K385" s="34"/>
      <c r="L385" s="34"/>
      <c r="M385" s="34"/>
      <c r="N385" s="34"/>
      <c r="O385" s="34"/>
      <c r="P385" s="34"/>
      <c r="Q385" s="34"/>
      <c r="R385" s="205"/>
      <c r="S385" s="205"/>
      <c r="T385" s="34"/>
    </row>
    <row r="386">
      <c r="A386" s="205"/>
      <c r="B386" s="205"/>
      <c r="C386" s="205"/>
      <c r="D386" s="205"/>
      <c r="E386" s="205"/>
      <c r="F386" s="205"/>
      <c r="G386" s="34"/>
      <c r="H386" s="199" t="s">
        <v>1643</v>
      </c>
      <c r="I386" s="200">
        <v>101.0</v>
      </c>
      <c r="J386" s="208" t="s">
        <v>2022</v>
      </c>
      <c r="K386" s="34"/>
      <c r="L386" s="34"/>
      <c r="M386" s="34"/>
      <c r="N386" s="34"/>
      <c r="O386" s="34"/>
      <c r="P386" s="34"/>
      <c r="Q386" s="34"/>
      <c r="R386" s="205"/>
      <c r="S386" s="205"/>
      <c r="T386" s="34"/>
    </row>
    <row r="387">
      <c r="A387" s="205"/>
      <c r="B387" s="205"/>
      <c r="C387" s="205"/>
      <c r="D387" s="205"/>
      <c r="E387" s="205"/>
      <c r="F387" s="205"/>
      <c r="G387" s="34"/>
      <c r="H387" s="199" t="s">
        <v>1505</v>
      </c>
      <c r="I387" s="200">
        <v>192.0</v>
      </c>
      <c r="J387" s="208" t="s">
        <v>2023</v>
      </c>
      <c r="K387" s="34"/>
      <c r="L387" s="34"/>
      <c r="M387" s="34"/>
      <c r="N387" s="34"/>
      <c r="O387" s="34"/>
      <c r="P387" s="34"/>
      <c r="Q387" s="34"/>
      <c r="R387" s="205"/>
      <c r="S387" s="205"/>
      <c r="T387" s="34"/>
    </row>
    <row r="388">
      <c r="A388" s="205"/>
      <c r="B388" s="205"/>
      <c r="C388" s="205"/>
      <c r="D388" s="205"/>
      <c r="E388" s="205"/>
      <c r="F388" s="205"/>
      <c r="G388" s="34"/>
      <c r="H388" s="199" t="s">
        <v>1184</v>
      </c>
      <c r="I388" s="200">
        <v>328.0</v>
      </c>
      <c r="J388" s="208" t="s">
        <v>2024</v>
      </c>
      <c r="K388" s="34"/>
      <c r="L388" s="34"/>
      <c r="M388" s="34"/>
      <c r="N388" s="34"/>
      <c r="O388" s="34"/>
      <c r="P388" s="34"/>
      <c r="Q388" s="34"/>
      <c r="R388" s="205"/>
      <c r="S388" s="205"/>
      <c r="T388" s="34"/>
    </row>
    <row r="389">
      <c r="A389" s="205"/>
      <c r="B389" s="205"/>
      <c r="C389" s="205"/>
      <c r="D389" s="205"/>
      <c r="E389" s="205"/>
      <c r="F389" s="205"/>
      <c r="G389" s="34"/>
      <c r="H389" s="199" t="s">
        <v>2025</v>
      </c>
      <c r="I389" s="200">
        <v>552.0</v>
      </c>
      <c r="J389" s="208" t="s">
        <v>2026</v>
      </c>
      <c r="K389" s="34"/>
      <c r="L389" s="34"/>
      <c r="M389" s="34"/>
      <c r="N389" s="34"/>
      <c r="O389" s="34"/>
      <c r="P389" s="34"/>
      <c r="Q389" s="34"/>
      <c r="R389" s="205"/>
      <c r="S389" s="205"/>
      <c r="T389" s="34"/>
    </row>
    <row r="390">
      <c r="A390" s="205"/>
      <c r="B390" s="205"/>
      <c r="C390" s="205"/>
      <c r="D390" s="205"/>
      <c r="E390" s="205"/>
      <c r="F390" s="205"/>
      <c r="G390" s="34"/>
      <c r="H390" s="199" t="s">
        <v>1232</v>
      </c>
      <c r="I390" s="200">
        <v>150.0</v>
      </c>
      <c r="J390" s="208" t="s">
        <v>2027</v>
      </c>
      <c r="K390" s="34"/>
      <c r="L390" s="34"/>
      <c r="M390" s="34"/>
      <c r="N390" s="34"/>
      <c r="O390" s="34"/>
      <c r="P390" s="34"/>
      <c r="Q390" s="34"/>
      <c r="R390" s="205"/>
      <c r="S390" s="205"/>
      <c r="T390" s="34"/>
    </row>
    <row r="391">
      <c r="A391" s="205"/>
      <c r="B391" s="205"/>
      <c r="C391" s="205"/>
      <c r="D391" s="205"/>
      <c r="E391" s="205"/>
      <c r="F391" s="205"/>
      <c r="G391" s="34"/>
      <c r="H391" s="34" t="s">
        <v>758</v>
      </c>
      <c r="I391" s="219">
        <v>242.0</v>
      </c>
      <c r="J391" s="208" t="s">
        <v>2028</v>
      </c>
      <c r="K391" s="34"/>
      <c r="L391" s="34"/>
      <c r="M391" s="34"/>
      <c r="N391" s="34"/>
      <c r="O391" s="34"/>
      <c r="P391" s="34"/>
      <c r="Q391" s="34"/>
      <c r="R391" s="205"/>
      <c r="S391" s="205"/>
      <c r="T391" s="34"/>
    </row>
    <row r="392">
      <c r="A392" s="205"/>
      <c r="B392" s="205"/>
      <c r="C392" s="205"/>
      <c r="D392" s="205"/>
      <c r="E392" s="205"/>
      <c r="F392" s="205"/>
      <c r="G392" s="34"/>
      <c r="H392" s="208" t="s">
        <v>1514</v>
      </c>
      <c r="I392" s="219">
        <v>193.0</v>
      </c>
      <c r="J392" s="208" t="s">
        <v>2029</v>
      </c>
      <c r="K392" s="34"/>
      <c r="L392" s="34"/>
      <c r="M392" s="34"/>
      <c r="N392" s="34"/>
      <c r="O392" s="34"/>
      <c r="P392" s="34"/>
      <c r="Q392" s="34"/>
      <c r="R392" s="205"/>
      <c r="S392" s="205"/>
      <c r="T392" s="34"/>
    </row>
    <row r="393">
      <c r="A393" s="205"/>
      <c r="B393" s="205"/>
      <c r="C393" s="205"/>
      <c r="D393" s="205"/>
      <c r="E393" s="205"/>
      <c r="F393" s="205"/>
      <c r="G393" s="34"/>
      <c r="H393" s="208" t="s">
        <v>904</v>
      </c>
      <c r="I393" s="219">
        <v>274.0</v>
      </c>
      <c r="J393" s="208" t="s">
        <v>2030</v>
      </c>
      <c r="K393" s="34"/>
      <c r="L393" s="34"/>
      <c r="M393" s="34"/>
      <c r="N393" s="34"/>
      <c r="O393" s="34"/>
      <c r="P393" s="34"/>
      <c r="Q393" s="34"/>
      <c r="R393" s="205"/>
      <c r="S393" s="205"/>
      <c r="T393" s="34"/>
    </row>
    <row r="394">
      <c r="A394" s="205"/>
      <c r="B394" s="205"/>
      <c r="C394" s="205"/>
      <c r="D394" s="205"/>
      <c r="E394" s="205"/>
      <c r="F394" s="205"/>
      <c r="G394" s="34"/>
      <c r="H394" s="208" t="s">
        <v>1807</v>
      </c>
      <c r="I394" s="219">
        <v>140.0</v>
      </c>
      <c r="J394" s="208" t="s">
        <v>1767</v>
      </c>
      <c r="K394" s="34"/>
      <c r="L394" s="34"/>
      <c r="M394" s="34"/>
      <c r="N394" s="34"/>
      <c r="O394" s="34"/>
      <c r="P394" s="34"/>
      <c r="Q394" s="34"/>
      <c r="R394" s="205"/>
      <c r="S394" s="205"/>
      <c r="T394" s="34"/>
    </row>
    <row r="395">
      <c r="A395" s="205"/>
      <c r="B395" s="205"/>
      <c r="C395" s="205"/>
      <c r="D395" s="205"/>
      <c r="E395" s="205"/>
      <c r="F395" s="205"/>
      <c r="G395" s="34"/>
      <c r="H395" s="208" t="s">
        <v>766</v>
      </c>
      <c r="I395" s="219">
        <v>243.0</v>
      </c>
      <c r="J395" s="208" t="s">
        <v>2031</v>
      </c>
      <c r="K395" s="34"/>
      <c r="L395" s="34"/>
      <c r="M395" s="34"/>
      <c r="N395" s="34"/>
      <c r="O395" s="34"/>
      <c r="P395" s="34"/>
      <c r="Q395" s="34"/>
      <c r="R395" s="205"/>
      <c r="S395" s="205"/>
      <c r="T395" s="34"/>
    </row>
    <row r="396">
      <c r="A396" s="205"/>
      <c r="B396" s="205"/>
      <c r="C396" s="205"/>
      <c r="D396" s="205"/>
      <c r="E396" s="205"/>
      <c r="F396" s="205"/>
      <c r="G396" s="34"/>
      <c r="H396" s="208" t="s">
        <v>1366</v>
      </c>
      <c r="I396" s="219">
        <v>183.0</v>
      </c>
      <c r="J396" s="208" t="s">
        <v>2032</v>
      </c>
      <c r="K396" s="34"/>
      <c r="L396" s="34"/>
      <c r="M396" s="34"/>
      <c r="N396" s="34"/>
      <c r="O396" s="34"/>
      <c r="P396" s="34"/>
      <c r="Q396" s="34"/>
      <c r="R396" s="205"/>
      <c r="S396" s="205"/>
      <c r="T396" s="34"/>
    </row>
    <row r="397">
      <c r="A397" s="205"/>
      <c r="B397" s="205"/>
      <c r="C397" s="205"/>
      <c r="D397" s="205"/>
      <c r="E397" s="205"/>
      <c r="F397" s="205"/>
      <c r="G397" s="34"/>
      <c r="H397" s="208" t="s">
        <v>1646</v>
      </c>
      <c r="I397" s="219">
        <v>102.0</v>
      </c>
      <c r="J397" s="208" t="s">
        <v>2033</v>
      </c>
      <c r="K397" s="34"/>
      <c r="L397" s="34"/>
      <c r="M397" s="34"/>
      <c r="N397" s="34"/>
      <c r="O397" s="34"/>
      <c r="P397" s="34"/>
      <c r="Q397" s="34"/>
      <c r="R397" s="205"/>
      <c r="S397" s="205"/>
      <c r="T397" s="34"/>
    </row>
    <row r="398">
      <c r="A398" s="205"/>
      <c r="B398" s="205"/>
      <c r="C398" s="205"/>
      <c r="D398" s="205"/>
      <c r="E398" s="205"/>
      <c r="F398" s="205"/>
      <c r="G398" s="34"/>
      <c r="H398" s="208" t="s">
        <v>1983</v>
      </c>
      <c r="I398" s="219">
        <v>532.0</v>
      </c>
      <c r="J398" s="208" t="s">
        <v>2034</v>
      </c>
      <c r="K398" s="34"/>
      <c r="L398" s="34"/>
      <c r="M398" s="34"/>
      <c r="N398" s="34"/>
      <c r="O398" s="34"/>
      <c r="P398" s="34"/>
      <c r="Q398" s="34"/>
      <c r="R398" s="205"/>
      <c r="S398" s="205"/>
      <c r="T398" s="34"/>
    </row>
    <row r="399">
      <c r="A399" s="205"/>
      <c r="B399" s="205"/>
      <c r="C399" s="205"/>
      <c r="D399" s="205"/>
      <c r="E399" s="205"/>
      <c r="F399" s="205"/>
      <c r="G399" s="34"/>
      <c r="H399" s="208" t="s">
        <v>1446</v>
      </c>
      <c r="I399" s="219">
        <v>207.0</v>
      </c>
      <c r="J399" s="208" t="s">
        <v>2035</v>
      </c>
      <c r="K399" s="34"/>
      <c r="L399" s="34"/>
      <c r="M399" s="34"/>
      <c r="N399" s="34"/>
      <c r="O399" s="34"/>
      <c r="P399" s="34"/>
      <c r="Q399" s="34"/>
      <c r="R399" s="205"/>
      <c r="S399" s="205"/>
      <c r="T399" s="34"/>
    </row>
    <row r="400">
      <c r="A400" s="205"/>
      <c r="B400" s="205"/>
      <c r="C400" s="205"/>
      <c r="D400" s="205"/>
      <c r="E400" s="205"/>
      <c r="F400" s="205"/>
      <c r="G400" s="34"/>
      <c r="H400" s="208" t="s">
        <v>1809</v>
      </c>
      <c r="I400" s="219">
        <v>141.0</v>
      </c>
      <c r="J400" s="208" t="s">
        <v>2036</v>
      </c>
      <c r="K400" s="34"/>
      <c r="L400" s="34"/>
      <c r="M400" s="34"/>
      <c r="N400" s="34"/>
      <c r="O400" s="34"/>
      <c r="P400" s="34"/>
      <c r="Q400" s="34"/>
      <c r="R400" s="205"/>
      <c r="S400" s="205"/>
      <c r="T400" s="34"/>
    </row>
    <row r="401">
      <c r="A401" s="205"/>
      <c r="B401" s="205"/>
      <c r="C401" s="205"/>
      <c r="D401" s="205"/>
      <c r="E401" s="205"/>
      <c r="F401" s="205"/>
      <c r="G401" s="34"/>
      <c r="H401" s="208" t="s">
        <v>1190</v>
      </c>
      <c r="I401" s="219">
        <v>329.0</v>
      </c>
      <c r="J401" s="208" t="s">
        <v>2037</v>
      </c>
      <c r="K401" s="34"/>
      <c r="L401" s="34"/>
      <c r="M401" s="34"/>
      <c r="N401" s="34"/>
      <c r="O401" s="34"/>
      <c r="P401" s="34"/>
      <c r="Q401" s="34"/>
      <c r="R401" s="205"/>
      <c r="S401" s="205"/>
      <c r="T401" s="34"/>
    </row>
    <row r="402">
      <c r="A402" s="205"/>
      <c r="B402" s="205"/>
      <c r="C402" s="205"/>
      <c r="D402" s="205"/>
      <c r="E402" s="205"/>
      <c r="F402" s="205"/>
      <c r="G402" s="34"/>
      <c r="H402" s="208" t="s">
        <v>1811</v>
      </c>
      <c r="I402" s="219">
        <v>142.0</v>
      </c>
      <c r="J402" s="208" t="s">
        <v>2038</v>
      </c>
      <c r="K402" s="34"/>
      <c r="L402" s="34"/>
      <c r="M402" s="34"/>
      <c r="N402" s="34"/>
      <c r="O402" s="34"/>
      <c r="P402" s="34"/>
      <c r="Q402" s="34"/>
      <c r="R402" s="205"/>
      <c r="S402" s="205"/>
      <c r="T402" s="34"/>
    </row>
    <row r="403">
      <c r="A403" s="205"/>
      <c r="B403" s="205"/>
      <c r="C403" s="205"/>
      <c r="D403" s="205"/>
      <c r="E403" s="205"/>
      <c r="F403" s="205"/>
      <c r="G403" s="34"/>
      <c r="H403" s="208" t="s">
        <v>1002</v>
      </c>
      <c r="I403" s="219">
        <v>280.0</v>
      </c>
      <c r="J403" s="208" t="s">
        <v>2039</v>
      </c>
      <c r="K403" s="34"/>
      <c r="L403" s="34"/>
      <c r="M403" s="34"/>
      <c r="N403" s="34"/>
      <c r="O403" s="34"/>
      <c r="P403" s="34"/>
      <c r="Q403" s="34"/>
      <c r="R403" s="205"/>
      <c r="S403" s="205"/>
      <c r="T403" s="34"/>
    </row>
    <row r="404">
      <c r="A404" s="205"/>
      <c r="B404" s="205"/>
      <c r="C404" s="205"/>
      <c r="D404" s="205"/>
      <c r="E404" s="205"/>
      <c r="F404" s="205"/>
      <c r="G404" s="34"/>
      <c r="H404" s="208" t="s">
        <v>1678</v>
      </c>
      <c r="I404" s="219">
        <v>113.0</v>
      </c>
      <c r="J404" s="208" t="s">
        <v>2040</v>
      </c>
      <c r="K404" s="34"/>
      <c r="L404" s="34"/>
      <c r="M404" s="34"/>
      <c r="N404" s="34"/>
      <c r="O404" s="34"/>
      <c r="P404" s="34"/>
      <c r="Q404" s="34"/>
      <c r="R404" s="205"/>
      <c r="S404" s="205"/>
      <c r="T404" s="34"/>
    </row>
    <row r="405">
      <c r="A405" s="205"/>
      <c r="B405" s="205"/>
      <c r="C405" s="205"/>
      <c r="D405" s="205"/>
      <c r="E405" s="205"/>
      <c r="F405" s="205"/>
      <c r="G405" s="34"/>
      <c r="H405" s="208" t="s">
        <v>1899</v>
      </c>
      <c r="I405" s="219">
        <v>288.0</v>
      </c>
      <c r="J405" s="208" t="s">
        <v>2041</v>
      </c>
      <c r="K405" s="34"/>
      <c r="L405" s="34"/>
      <c r="M405" s="34"/>
      <c r="N405" s="34"/>
      <c r="O405" s="34"/>
      <c r="P405" s="34"/>
      <c r="Q405" s="34"/>
      <c r="R405" s="205"/>
      <c r="S405" s="205"/>
      <c r="T405" s="34"/>
    </row>
    <row r="406">
      <c r="A406" s="205"/>
      <c r="B406" s="205"/>
      <c r="C406" s="205"/>
      <c r="D406" s="205"/>
      <c r="E406" s="205"/>
      <c r="F406" s="205"/>
      <c r="G406" s="34"/>
      <c r="H406" s="208" t="s">
        <v>1238</v>
      </c>
      <c r="I406" s="219">
        <v>151.0</v>
      </c>
      <c r="J406" s="34"/>
      <c r="K406" s="34"/>
      <c r="L406" s="34"/>
      <c r="M406" s="34"/>
      <c r="N406" s="34"/>
      <c r="O406" s="34"/>
      <c r="P406" s="34"/>
      <c r="Q406" s="34"/>
      <c r="R406" s="205"/>
      <c r="S406" s="205"/>
      <c r="T406" s="34"/>
    </row>
    <row r="407">
      <c r="A407" s="205"/>
      <c r="B407" s="205"/>
      <c r="C407" s="205"/>
      <c r="D407" s="205"/>
      <c r="E407" s="205"/>
      <c r="F407" s="205"/>
      <c r="G407" s="34"/>
      <c r="H407" s="208" t="s">
        <v>1307</v>
      </c>
      <c r="I407" s="219">
        <v>228.0</v>
      </c>
      <c r="J407" s="34"/>
      <c r="K407" s="34"/>
      <c r="L407" s="34"/>
      <c r="M407" s="34"/>
      <c r="N407" s="34"/>
      <c r="O407" s="34"/>
      <c r="P407" s="34"/>
      <c r="Q407" s="34"/>
      <c r="R407" s="205"/>
      <c r="S407" s="205"/>
      <c r="T407" s="34"/>
    </row>
    <row r="408">
      <c r="A408" s="205"/>
      <c r="B408" s="205"/>
      <c r="C408" s="205"/>
      <c r="D408" s="205"/>
      <c r="E408" s="205"/>
      <c r="F408" s="205"/>
      <c r="G408" s="34"/>
      <c r="H408" s="208" t="s">
        <v>1901</v>
      </c>
      <c r="I408" s="219">
        <v>289.0</v>
      </c>
      <c r="J408" s="34"/>
      <c r="K408" s="34"/>
      <c r="L408" s="34"/>
      <c r="M408" s="34"/>
      <c r="N408" s="34"/>
      <c r="O408" s="34"/>
      <c r="P408" s="34"/>
      <c r="Q408" s="34"/>
      <c r="R408" s="205"/>
      <c r="S408" s="205"/>
      <c r="T408" s="34"/>
    </row>
    <row r="409">
      <c r="A409" s="205"/>
      <c r="B409" s="205"/>
      <c r="C409" s="205"/>
      <c r="D409" s="205"/>
      <c r="E409" s="205"/>
      <c r="F409" s="205"/>
      <c r="G409" s="34"/>
      <c r="H409" s="208" t="s">
        <v>920</v>
      </c>
      <c r="I409" s="219">
        <v>330.0</v>
      </c>
      <c r="J409" s="34"/>
      <c r="K409" s="34"/>
      <c r="L409" s="34"/>
      <c r="M409" s="34"/>
      <c r="N409" s="34"/>
      <c r="O409" s="34"/>
      <c r="P409" s="34"/>
      <c r="Q409" s="34"/>
      <c r="R409" s="205"/>
      <c r="S409" s="205"/>
      <c r="T409" s="34"/>
    </row>
    <row r="410">
      <c r="A410" s="205"/>
      <c r="B410" s="205"/>
      <c r="C410" s="205"/>
      <c r="D410" s="205"/>
      <c r="E410" s="205"/>
      <c r="F410" s="205"/>
      <c r="G410" s="34"/>
      <c r="H410" s="208" t="s">
        <v>1965</v>
      </c>
      <c r="I410" s="219">
        <v>545.0</v>
      </c>
      <c r="J410" s="34"/>
      <c r="K410" s="34"/>
      <c r="L410" s="34"/>
      <c r="M410" s="34"/>
      <c r="N410" s="34"/>
      <c r="O410" s="34"/>
      <c r="P410" s="34"/>
      <c r="Q410" s="34"/>
      <c r="R410" s="205"/>
      <c r="S410" s="205"/>
      <c r="T410" s="34"/>
    </row>
    <row r="411">
      <c r="A411" s="205"/>
      <c r="B411" s="205"/>
      <c r="C411" s="205"/>
      <c r="D411" s="205"/>
      <c r="E411" s="205"/>
      <c r="F411" s="205"/>
      <c r="G411" s="34"/>
      <c r="H411" s="208" t="s">
        <v>1842</v>
      </c>
      <c r="I411" s="219">
        <v>535.0</v>
      </c>
      <c r="J411" s="34"/>
      <c r="K411" s="34"/>
      <c r="L411" s="34"/>
      <c r="M411" s="34"/>
      <c r="N411" s="34"/>
      <c r="O411" s="34"/>
      <c r="P411" s="34"/>
      <c r="Q411" s="34"/>
      <c r="R411" s="205"/>
      <c r="S411" s="205"/>
      <c r="T411" s="34"/>
    </row>
    <row r="412">
      <c r="A412" s="205"/>
      <c r="B412" s="205"/>
      <c r="C412" s="205"/>
      <c r="D412" s="205"/>
      <c r="E412" s="205"/>
      <c r="F412" s="205"/>
      <c r="G412" s="34"/>
      <c r="H412" s="208" t="s">
        <v>1967</v>
      </c>
      <c r="I412" s="219">
        <v>546.0</v>
      </c>
      <c r="J412" s="34"/>
      <c r="K412" s="34"/>
      <c r="L412" s="34"/>
      <c r="M412" s="34"/>
      <c r="N412" s="34"/>
      <c r="O412" s="34"/>
      <c r="P412" s="34"/>
      <c r="Q412" s="34"/>
      <c r="R412" s="205"/>
      <c r="S412" s="205"/>
      <c r="T412" s="34"/>
    </row>
    <row r="413">
      <c r="A413" s="205"/>
      <c r="B413" s="205"/>
      <c r="C413" s="205"/>
      <c r="D413" s="205"/>
      <c r="E413" s="205"/>
      <c r="F413" s="205"/>
      <c r="G413" s="34"/>
      <c r="H413" s="208" t="s">
        <v>1969</v>
      </c>
      <c r="I413" s="219">
        <v>547.0</v>
      </c>
      <c r="J413" s="34"/>
      <c r="K413" s="34"/>
      <c r="L413" s="34"/>
      <c r="M413" s="34"/>
      <c r="N413" s="34"/>
      <c r="O413" s="34"/>
      <c r="P413" s="34"/>
      <c r="Q413" s="34"/>
      <c r="R413" s="205"/>
      <c r="S413" s="205"/>
      <c r="T413" s="34"/>
    </row>
    <row r="414">
      <c r="A414" s="205"/>
      <c r="B414" s="205"/>
      <c r="C414" s="205"/>
      <c r="D414" s="205"/>
      <c r="E414" s="205"/>
      <c r="F414" s="205"/>
      <c r="G414" s="34"/>
      <c r="H414" s="208" t="s">
        <v>1845</v>
      </c>
      <c r="I414" s="219">
        <v>536.0</v>
      </c>
      <c r="J414" s="34"/>
      <c r="K414" s="34"/>
      <c r="L414" s="34"/>
      <c r="M414" s="34"/>
      <c r="N414" s="34"/>
      <c r="O414" s="34"/>
      <c r="P414" s="34"/>
      <c r="Q414" s="34"/>
      <c r="R414" s="205"/>
      <c r="S414" s="205"/>
      <c r="T414" s="34"/>
    </row>
    <row r="415">
      <c r="A415" s="205"/>
      <c r="B415" s="205"/>
      <c r="C415" s="205"/>
      <c r="D415" s="205"/>
      <c r="E415" s="205"/>
      <c r="F415" s="205"/>
      <c r="G415" s="34"/>
      <c r="H415" s="208" t="s">
        <v>1848</v>
      </c>
      <c r="I415" s="219">
        <v>168.0</v>
      </c>
      <c r="J415" s="34"/>
      <c r="K415" s="34"/>
      <c r="L415" s="34"/>
      <c r="M415" s="34"/>
      <c r="N415" s="34"/>
      <c r="O415" s="34"/>
      <c r="P415" s="34"/>
      <c r="Q415" s="34"/>
      <c r="R415" s="205"/>
      <c r="S415" s="205"/>
      <c r="T415" s="34"/>
    </row>
    <row r="416">
      <c r="A416" s="205"/>
      <c r="B416" s="205"/>
      <c r="C416" s="205"/>
      <c r="D416" s="205"/>
      <c r="E416" s="205"/>
      <c r="F416" s="205"/>
      <c r="G416" s="34"/>
      <c r="H416" s="208" t="s">
        <v>1814</v>
      </c>
      <c r="I416" s="219">
        <v>143.0</v>
      </c>
      <c r="J416" s="34"/>
      <c r="K416" s="34"/>
      <c r="L416" s="34"/>
      <c r="M416" s="34"/>
      <c r="N416" s="34"/>
      <c r="O416" s="34"/>
      <c r="P416" s="34"/>
      <c r="Q416" s="34"/>
      <c r="R416" s="205"/>
      <c r="S416" s="205"/>
      <c r="T416" s="34"/>
    </row>
    <row r="417">
      <c r="A417" s="205"/>
      <c r="B417" s="205"/>
      <c r="C417" s="205"/>
      <c r="D417" s="205"/>
      <c r="E417" s="205"/>
      <c r="F417" s="205"/>
      <c r="G417" s="34"/>
      <c r="H417" s="208" t="s">
        <v>1564</v>
      </c>
      <c r="I417" s="219">
        <v>349.0</v>
      </c>
      <c r="J417" s="34"/>
      <c r="K417" s="34"/>
      <c r="L417" s="34"/>
      <c r="M417" s="34"/>
      <c r="N417" s="34"/>
      <c r="O417" s="34"/>
      <c r="P417" s="34"/>
      <c r="Q417" s="34"/>
      <c r="R417" s="205"/>
      <c r="S417" s="205"/>
      <c r="T417" s="34"/>
    </row>
    <row r="418">
      <c r="A418" s="205"/>
      <c r="B418" s="205"/>
      <c r="C418" s="205"/>
      <c r="D418" s="205"/>
      <c r="E418" s="205"/>
      <c r="F418" s="205"/>
      <c r="G418" s="34"/>
      <c r="H418" s="208" t="s">
        <v>1894</v>
      </c>
      <c r="I418" s="219">
        <v>544.0</v>
      </c>
      <c r="J418" s="34"/>
      <c r="K418" s="34"/>
      <c r="L418" s="34"/>
      <c r="M418" s="34"/>
      <c r="N418" s="34"/>
      <c r="O418" s="34"/>
      <c r="P418" s="34"/>
      <c r="Q418" s="34"/>
      <c r="R418" s="205"/>
      <c r="S418" s="205"/>
      <c r="T418" s="34"/>
    </row>
    <row r="419">
      <c r="A419" s="205"/>
      <c r="B419" s="205"/>
      <c r="C419" s="205"/>
      <c r="D419" s="205"/>
      <c r="E419" s="205"/>
      <c r="F419" s="205"/>
      <c r="G419" s="34"/>
      <c r="H419" s="208" t="s">
        <v>1767</v>
      </c>
      <c r="I419" s="219">
        <v>442.0</v>
      </c>
      <c r="J419" s="34"/>
      <c r="K419" s="34"/>
      <c r="L419" s="34"/>
      <c r="M419" s="34"/>
      <c r="N419" s="34"/>
      <c r="O419" s="34"/>
      <c r="P419" s="34"/>
      <c r="Q419" s="34"/>
      <c r="R419" s="205"/>
      <c r="S419" s="205"/>
      <c r="T419" s="34"/>
    </row>
    <row r="420">
      <c r="A420" s="205"/>
      <c r="B420" s="205"/>
      <c r="C420" s="205"/>
      <c r="D420" s="205"/>
      <c r="E420" s="205"/>
      <c r="F420" s="205"/>
      <c r="G420" s="34"/>
      <c r="H420" s="208" t="s">
        <v>928</v>
      </c>
      <c r="I420" s="219">
        <v>53.0</v>
      </c>
      <c r="J420" s="34"/>
      <c r="K420" s="34"/>
      <c r="L420" s="34"/>
      <c r="M420" s="34"/>
      <c r="N420" s="34"/>
      <c r="O420" s="34"/>
      <c r="P420" s="34"/>
      <c r="Q420" s="34"/>
      <c r="R420" s="205"/>
      <c r="S420" s="205"/>
      <c r="T420" s="34"/>
    </row>
    <row r="421">
      <c r="A421" s="205"/>
      <c r="B421" s="205"/>
      <c r="C421" s="205"/>
      <c r="D421" s="205"/>
      <c r="E421" s="205"/>
      <c r="F421" s="205"/>
      <c r="G421" s="34"/>
      <c r="H421" s="208" t="s">
        <v>1903</v>
      </c>
      <c r="I421" s="219">
        <v>290.0</v>
      </c>
      <c r="J421" s="34"/>
      <c r="K421" s="34"/>
      <c r="L421" s="34"/>
      <c r="M421" s="34"/>
      <c r="N421" s="34"/>
      <c r="O421" s="34"/>
      <c r="P421" s="34"/>
      <c r="Q421" s="34"/>
      <c r="R421" s="205"/>
      <c r="S421" s="205"/>
      <c r="T421" s="34"/>
    </row>
    <row r="422">
      <c r="A422" s="205"/>
      <c r="B422" s="205"/>
      <c r="C422" s="205"/>
      <c r="D422" s="205"/>
      <c r="E422" s="205"/>
      <c r="F422" s="205"/>
      <c r="G422" s="34"/>
      <c r="H422" s="208" t="s">
        <v>1905</v>
      </c>
      <c r="I422" s="219">
        <v>291.0</v>
      </c>
      <c r="J422" s="34"/>
      <c r="K422" s="34"/>
      <c r="L422" s="34"/>
      <c r="M422" s="34"/>
      <c r="N422" s="34"/>
      <c r="O422" s="34"/>
      <c r="P422" s="34"/>
      <c r="Q422" s="34"/>
      <c r="R422" s="205"/>
      <c r="S422" s="205"/>
      <c r="T422" s="34"/>
    </row>
    <row r="423">
      <c r="A423" s="205"/>
      <c r="B423" s="205"/>
      <c r="C423" s="205"/>
      <c r="D423" s="205"/>
      <c r="E423" s="205"/>
      <c r="F423" s="205"/>
      <c r="G423" s="34"/>
      <c r="H423" s="208" t="s">
        <v>1771</v>
      </c>
      <c r="I423" s="219">
        <v>129.0</v>
      </c>
      <c r="J423" s="34"/>
      <c r="K423" s="34"/>
      <c r="L423" s="34"/>
      <c r="M423" s="34"/>
      <c r="N423" s="34"/>
      <c r="O423" s="34"/>
      <c r="P423" s="34"/>
      <c r="Q423" s="34"/>
      <c r="R423" s="205"/>
      <c r="S423" s="205"/>
      <c r="T423" s="34"/>
    </row>
    <row r="424">
      <c r="A424" s="205"/>
      <c r="B424" s="205"/>
      <c r="C424" s="205"/>
      <c r="D424" s="205"/>
      <c r="E424" s="205"/>
      <c r="F424" s="205"/>
      <c r="G424" s="34"/>
      <c r="H424" s="208" t="s">
        <v>1852</v>
      </c>
      <c r="I424" s="219">
        <v>169.0</v>
      </c>
      <c r="J424" s="34"/>
      <c r="K424" s="34"/>
      <c r="L424" s="34"/>
      <c r="M424" s="34"/>
      <c r="N424" s="34"/>
      <c r="O424" s="34"/>
      <c r="P424" s="34"/>
      <c r="Q424" s="34"/>
      <c r="R424" s="205"/>
      <c r="S424" s="205"/>
      <c r="T424" s="34"/>
    </row>
    <row r="425">
      <c r="A425" s="205"/>
      <c r="B425" s="205"/>
      <c r="C425" s="205"/>
      <c r="D425" s="205"/>
      <c r="E425" s="205"/>
      <c r="F425" s="205"/>
      <c r="G425" s="34"/>
      <c r="H425" s="208" t="s">
        <v>935</v>
      </c>
      <c r="I425" s="219">
        <v>15.0</v>
      </c>
      <c r="J425" s="34"/>
      <c r="K425" s="34"/>
      <c r="L425" s="34"/>
      <c r="M425" s="34"/>
      <c r="N425" s="34"/>
      <c r="O425" s="34"/>
      <c r="P425" s="34"/>
      <c r="Q425" s="34"/>
      <c r="R425" s="205"/>
      <c r="S425" s="205"/>
      <c r="T425" s="34"/>
    </row>
    <row r="426">
      <c r="A426" s="205"/>
      <c r="B426" s="205"/>
      <c r="C426" s="205"/>
      <c r="D426" s="205"/>
      <c r="E426" s="205"/>
      <c r="F426" s="205"/>
      <c r="G426" s="34"/>
      <c r="H426" s="208" t="s">
        <v>1195</v>
      </c>
      <c r="I426" s="219">
        <v>331.0</v>
      </c>
      <c r="J426" s="34"/>
      <c r="K426" s="34"/>
      <c r="L426" s="34"/>
      <c r="M426" s="34"/>
      <c r="N426" s="34"/>
      <c r="O426" s="34"/>
      <c r="P426" s="34"/>
      <c r="Q426" s="34"/>
      <c r="R426" s="205"/>
      <c r="S426" s="205"/>
      <c r="T426" s="34"/>
    </row>
    <row r="427">
      <c r="A427" s="205"/>
      <c r="B427" s="205"/>
      <c r="C427" s="205"/>
      <c r="D427" s="205"/>
      <c r="E427" s="205"/>
      <c r="F427" s="205"/>
      <c r="G427" s="34"/>
      <c r="H427" s="208" t="s">
        <v>1313</v>
      </c>
      <c r="I427" s="219">
        <v>539.0</v>
      </c>
      <c r="J427" s="34"/>
      <c r="K427" s="34"/>
      <c r="L427" s="34"/>
      <c r="M427" s="34"/>
      <c r="N427" s="34"/>
      <c r="O427" s="34"/>
      <c r="P427" s="34"/>
      <c r="Q427" s="34"/>
      <c r="R427" s="205"/>
      <c r="S427" s="205"/>
      <c r="T427" s="34"/>
    </row>
    <row r="428">
      <c r="A428" s="205"/>
      <c r="B428" s="205"/>
      <c r="C428" s="205"/>
      <c r="D428" s="205"/>
      <c r="E428" s="205"/>
      <c r="F428" s="205"/>
      <c r="G428" s="34"/>
      <c r="H428" s="208" t="s">
        <v>1960</v>
      </c>
      <c r="I428" s="219">
        <v>425.0</v>
      </c>
      <c r="J428" s="34"/>
      <c r="K428" s="34"/>
      <c r="L428" s="34"/>
      <c r="M428" s="34"/>
      <c r="N428" s="34"/>
      <c r="O428" s="34"/>
      <c r="P428" s="34"/>
      <c r="Q428" s="34"/>
      <c r="R428" s="205"/>
      <c r="S428" s="205"/>
      <c r="T428" s="34"/>
    </row>
    <row r="429">
      <c r="A429" s="205"/>
      <c r="B429" s="205"/>
      <c r="C429" s="205"/>
      <c r="D429" s="205"/>
      <c r="E429" s="205"/>
      <c r="F429" s="205"/>
      <c r="G429" s="34"/>
      <c r="H429" s="208" t="s">
        <v>1200</v>
      </c>
      <c r="I429" s="219">
        <v>332.0</v>
      </c>
      <c r="J429" s="34"/>
      <c r="K429" s="34"/>
      <c r="L429" s="34"/>
      <c r="M429" s="34"/>
      <c r="N429" s="34"/>
      <c r="O429" s="34"/>
      <c r="P429" s="34"/>
      <c r="Q429" s="34"/>
      <c r="R429" s="205"/>
      <c r="S429" s="205"/>
      <c r="T429" s="34"/>
    </row>
    <row r="430">
      <c r="A430" s="205"/>
      <c r="B430" s="205"/>
      <c r="C430" s="205"/>
      <c r="D430" s="205"/>
      <c r="E430" s="205"/>
      <c r="F430" s="205"/>
      <c r="G430" s="34"/>
      <c r="H430" s="208" t="s">
        <v>2042</v>
      </c>
      <c r="I430" s="219">
        <v>550.0</v>
      </c>
      <c r="J430" s="34"/>
      <c r="K430" s="34"/>
      <c r="L430" s="34"/>
      <c r="M430" s="34"/>
      <c r="N430" s="34"/>
      <c r="O430" s="34"/>
      <c r="P430" s="34"/>
      <c r="Q430" s="34"/>
      <c r="R430" s="205"/>
      <c r="S430" s="205"/>
      <c r="T430" s="34"/>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19.0"/>
    <col customWidth="1" min="2" max="2" width="26.75"/>
    <col customWidth="1" min="3" max="3" width="13.88"/>
    <col customWidth="1" min="4" max="4" width="19.38"/>
    <col customWidth="1" min="5" max="5" width="30.75"/>
    <col customWidth="1" min="6" max="6" width="20.63"/>
    <col customWidth="1" min="7" max="7" width="17.13"/>
    <col customWidth="1" min="8" max="8" width="17.63"/>
    <col customWidth="1" min="9" max="9" width="15.13"/>
    <col customWidth="1" min="10" max="10" width="16.38"/>
    <col customWidth="1" min="11" max="11" width="22.75"/>
    <col customWidth="1" min="12" max="12" width="9.0"/>
    <col customWidth="1" min="13" max="13" width="15.75"/>
    <col customWidth="1" min="14" max="14" width="14.75"/>
    <col customWidth="1" min="15" max="15" width="16.75"/>
    <col customWidth="1" min="16" max="16" width="17.0"/>
  </cols>
  <sheetData>
    <row r="1">
      <c r="A1" s="220" t="s">
        <v>2043</v>
      </c>
    </row>
    <row r="2">
      <c r="A2" s="221" t="s">
        <v>2044</v>
      </c>
    </row>
    <row r="3">
      <c r="A3" s="13">
        <f>IFERROR(__xludf.DUMMYFUNCTION("COUNTUNIQUE(A7:A127)-if(COUNTIF('4) Release_Artist(s)'!E:E, ""Various Artists"")&gt;0,0,1)"),35.0)</f>
        <v>35</v>
      </c>
      <c r="B3" s="14" t="s">
        <v>22</v>
      </c>
      <c r="C3" s="15">
        <f>IFERROR(__xludf.DUMMYFUNCTION("COUNTUNIQUE(C7:C127)"),11.0)</f>
        <v>11</v>
      </c>
      <c r="D3" s="16">
        <f>IFERROR(__xludf.DUMMYFUNCTION("COUNTUNIQUE(D7:D127)"),13.0)</f>
        <v>13</v>
      </c>
    </row>
    <row r="4">
      <c r="A4" s="21" t="s">
        <v>24</v>
      </c>
      <c r="B4" s="22" t="s">
        <v>25</v>
      </c>
      <c r="C4" s="23"/>
      <c r="D4" s="24" t="s">
        <v>26</v>
      </c>
    </row>
    <row r="5">
      <c r="A5" s="29" t="s">
        <v>28</v>
      </c>
      <c r="B5" s="30" t="s">
        <v>29</v>
      </c>
      <c r="C5" s="31" t="s">
        <v>30</v>
      </c>
      <c r="D5" s="32" t="s">
        <v>31</v>
      </c>
    </row>
    <row r="6">
      <c r="A6" s="35" t="s">
        <v>36</v>
      </c>
      <c r="B6" s="36" t="s">
        <v>37</v>
      </c>
      <c r="C6" s="37" t="s">
        <v>38</v>
      </c>
      <c r="D6" s="38" t="s">
        <v>39</v>
      </c>
    </row>
    <row r="7">
      <c r="A7" s="222" t="s">
        <v>2045</v>
      </c>
      <c r="B7" s="223" t="s">
        <v>2046</v>
      </c>
      <c r="C7" s="224"/>
    </row>
    <row r="8">
      <c r="A8" s="225" t="s">
        <v>2047</v>
      </c>
      <c r="B8" s="224"/>
      <c r="C8" s="224"/>
    </row>
    <row r="10">
      <c r="A10" s="221" t="s">
        <v>2048</v>
      </c>
    </row>
    <row r="11">
      <c r="A11" s="14" t="s">
        <v>138</v>
      </c>
      <c r="B11" s="13">
        <f>IFERROR(__xludf.DUMMYFUNCTION("COUNTUNIQUE(A15:A127)"),31.0)</f>
        <v>31</v>
      </c>
    </row>
    <row r="12">
      <c r="A12" s="21" t="s">
        <v>24</v>
      </c>
    </row>
    <row r="13">
      <c r="A13" s="53" t="s">
        <v>139</v>
      </c>
      <c r="B13" s="16" t="s">
        <v>35</v>
      </c>
    </row>
    <row r="14">
      <c r="A14" s="35" t="s">
        <v>36</v>
      </c>
      <c r="B14" s="226">
        <v>0.0</v>
      </c>
    </row>
    <row r="15">
      <c r="A15" s="227" t="s">
        <v>2049</v>
      </c>
    </row>
    <row r="17">
      <c r="A17" s="228" t="s">
        <v>2050</v>
      </c>
    </row>
    <row r="18">
      <c r="A18" s="13">
        <f>IFERROR(__xludf.DUMMYFUNCTION("COUNTUNIQUE(A22:A127)"),26.0)</f>
        <v>26</v>
      </c>
      <c r="B18" s="21" t="s">
        <v>24</v>
      </c>
      <c r="C18" s="13">
        <f>IFERROR(__xludf.DUMMYFUNCTION("COUNTUNIQUE(B22:B127)"),13.0)</f>
        <v>13</v>
      </c>
      <c r="D18" s="13">
        <f>IFERROR(__xludf.DUMMYFUNCTION("COUNTUNIQUE(D22:D127)"),10.0)</f>
        <v>10</v>
      </c>
      <c r="E18" s="13">
        <f>IFERROR(__xludf.DUMMYFUNCTION("COUNTUNIQUE(E22:E127)"),21.0)</f>
        <v>21</v>
      </c>
      <c r="F18" s="55" t="s">
        <v>26</v>
      </c>
      <c r="G18" s="13">
        <f>COUNTA(F22:F127)</f>
        <v>26</v>
      </c>
      <c r="H18" s="56" t="s">
        <v>141</v>
      </c>
      <c r="I18" s="57">
        <f>countif(I22:I127,"Video")</f>
        <v>0</v>
      </c>
      <c r="J18" s="58"/>
      <c r="L18" s="59"/>
      <c r="M18" s="21" t="s">
        <v>24</v>
      </c>
      <c r="N18" s="60" t="s">
        <v>141</v>
      </c>
      <c r="O18" s="61"/>
      <c r="P18" s="61"/>
    </row>
    <row r="19">
      <c r="A19" s="62" t="s">
        <v>142</v>
      </c>
      <c r="B19" s="63"/>
      <c r="C19" s="63"/>
      <c r="D19" s="63"/>
      <c r="E19" s="64"/>
      <c r="F19" s="63"/>
      <c r="G19" s="63"/>
      <c r="H19" s="63"/>
      <c r="I19" s="65"/>
      <c r="J19" s="63"/>
      <c r="K19" s="63"/>
      <c r="L19" s="63"/>
      <c r="M19" s="63"/>
      <c r="N19" s="66"/>
      <c r="O19" s="65"/>
      <c r="P19" s="65"/>
    </row>
    <row r="20">
      <c r="A20" s="67" t="s">
        <v>143</v>
      </c>
      <c r="B20" s="70" t="s">
        <v>2051</v>
      </c>
      <c r="C20" s="69" t="s">
        <v>145</v>
      </c>
      <c r="D20" s="70" t="s">
        <v>146</v>
      </c>
      <c r="E20" s="71" t="s">
        <v>147</v>
      </c>
      <c r="F20" s="72" t="s">
        <v>148</v>
      </c>
      <c r="G20" s="72" t="s">
        <v>149</v>
      </c>
      <c r="H20" s="73" t="s">
        <v>150</v>
      </c>
      <c r="I20" s="67" t="s">
        <v>151</v>
      </c>
      <c r="J20" s="74" t="s">
        <v>152</v>
      </c>
      <c r="K20" s="74"/>
      <c r="L20" s="74" t="s">
        <v>153</v>
      </c>
      <c r="M20" s="74"/>
      <c r="N20" s="75" t="s">
        <v>154</v>
      </c>
      <c r="O20" s="76" t="s">
        <v>155</v>
      </c>
      <c r="P20" s="77" t="s">
        <v>156</v>
      </c>
    </row>
    <row r="21">
      <c r="A21" s="79" t="s">
        <v>157</v>
      </c>
      <c r="B21" s="80" t="s">
        <v>2052</v>
      </c>
      <c r="C21" s="81" t="s">
        <v>159</v>
      </c>
      <c r="D21" s="80" t="s">
        <v>2053</v>
      </c>
      <c r="E21" s="82" t="s">
        <v>2054</v>
      </c>
      <c r="F21" s="83" t="s">
        <v>162</v>
      </c>
      <c r="G21" s="83" t="s">
        <v>163</v>
      </c>
      <c r="H21" s="84" t="s">
        <v>164</v>
      </c>
      <c r="I21" s="35" t="s">
        <v>165</v>
      </c>
      <c r="J21" s="35" t="s">
        <v>166</v>
      </c>
      <c r="K21" s="83" t="s">
        <v>167</v>
      </c>
      <c r="L21" s="35" t="s">
        <v>166</v>
      </c>
      <c r="M21" s="83" t="s">
        <v>167</v>
      </c>
      <c r="N21" s="36" t="s">
        <v>168</v>
      </c>
      <c r="O21" s="35" t="s">
        <v>2055</v>
      </c>
      <c r="P21" s="84" t="s">
        <v>2056</v>
      </c>
    </row>
    <row r="22">
      <c r="A22" s="229" t="s">
        <v>2049</v>
      </c>
      <c r="B22" s="230" t="s">
        <v>2057</v>
      </c>
      <c r="C22" s="231" t="s">
        <v>171</v>
      </c>
      <c r="D22" s="232">
        <v>1.94492001536E11</v>
      </c>
      <c r="E22" s="229">
        <v>1503.0</v>
      </c>
      <c r="F22" s="233" t="s">
        <v>2058</v>
      </c>
      <c r="G22" s="229" t="s">
        <v>933</v>
      </c>
      <c r="H22" s="234"/>
      <c r="I22" s="229" t="s">
        <v>616</v>
      </c>
      <c r="J22" s="229">
        <v>2019.0</v>
      </c>
      <c r="K22" s="229" t="s">
        <v>2059</v>
      </c>
      <c r="L22" s="229">
        <v>2019.0</v>
      </c>
      <c r="M22" s="229" t="s">
        <v>2059</v>
      </c>
      <c r="N22" s="234"/>
      <c r="O22" s="235" t="s">
        <v>1516</v>
      </c>
      <c r="P22" s="236"/>
    </row>
    <row r="24">
      <c r="A24" s="237" t="s">
        <v>2060</v>
      </c>
    </row>
    <row r="25">
      <c r="A25" s="238">
        <v>0.0</v>
      </c>
      <c r="B25" s="238">
        <v>0.0</v>
      </c>
      <c r="C25" s="105" t="s">
        <v>314</v>
      </c>
      <c r="D25" s="106"/>
      <c r="E25" s="13">
        <f>IFERROR(__xludf.DUMMYFUNCTION("COUNTUNIQUE(E29:E127)"),18.0)</f>
        <v>18</v>
      </c>
      <c r="F25" s="21" t="s">
        <v>24</v>
      </c>
      <c r="G25" s="107" t="s">
        <v>26</v>
      </c>
    </row>
    <row r="26">
      <c r="A26" s="109" t="s">
        <v>315</v>
      </c>
      <c r="B26" s="110"/>
      <c r="C26" s="111"/>
      <c r="D26" s="112"/>
      <c r="E26" s="112"/>
      <c r="F26" s="112"/>
      <c r="G26" s="112"/>
    </row>
    <row r="27">
      <c r="A27" s="68" t="s">
        <v>146</v>
      </c>
      <c r="B27" s="71" t="s">
        <v>147</v>
      </c>
      <c r="C27" s="113" t="s">
        <v>148</v>
      </c>
      <c r="D27" s="113" t="s">
        <v>150</v>
      </c>
      <c r="E27" s="114" t="s">
        <v>316</v>
      </c>
      <c r="F27" s="114" t="s">
        <v>317</v>
      </c>
      <c r="G27" s="13" t="str">
        <f>countif(F:F,"Main Primary Artist")-#REF!</f>
        <v>#REF!</v>
      </c>
    </row>
    <row r="28">
      <c r="A28" s="80" t="s">
        <v>319</v>
      </c>
      <c r="B28" s="82" t="s">
        <v>319</v>
      </c>
      <c r="C28" s="116" t="s">
        <v>320</v>
      </c>
      <c r="E28" s="117" t="s">
        <v>2061</v>
      </c>
      <c r="F28" s="35" t="s">
        <v>165</v>
      </c>
      <c r="G28" s="49" t="s">
        <v>2062</v>
      </c>
    </row>
    <row r="29">
      <c r="A29" s="232">
        <v>1.94492001536E11</v>
      </c>
      <c r="B29" s="229">
        <v>1503.0</v>
      </c>
      <c r="C29" s="121" t="str">
        <f t="shared" ref="C29:C30" si="1">if(and(isblank($A29),isblank($B29)),"", if(and(not(isblank($B29)),$B29=$B28,$A29&lt;&gt;$A28),"ID LISTS UNALIGNED",if(not(isblank($A29)),ifna(VLOOKUP($A29,D$22:F$22,3,false),"NO UPC MATCH in Release_Label"),ifna(VLOOKUP($B29,E$22:H$22,2,false),"NO CATALOG ID MATCH in Release_Label") )))</f>
        <v>Soul Salvation</v>
      </c>
      <c r="D29" s="121" t="str">
        <f t="shared" ref="D29:D30" si="2">if(and(isblank($A29),isblank($B29)),"", if(and(not(isblank($B29)),$B29=$B28,$A29&lt;&gt;$A28),"ID LISTS UNALIGNED",if(not(isblank($A29)),ifna(VLOOKUP($A29,$D$22:$H$22,5,false),"NO UPC MATCH in Release_Label"),ifna(VLOOKUP($B29,$E$22:$H$22,4,false),"NO CATALOG ID MATCH in Release_Label") )))</f>
        <v/>
      </c>
      <c r="E29" s="229" t="s">
        <v>2045</v>
      </c>
      <c r="F29" s="235" t="s">
        <v>323</v>
      </c>
    </row>
    <row r="30">
      <c r="A30" s="232">
        <v>1.94492001536E11</v>
      </c>
      <c r="B30" s="229">
        <v>1503.0</v>
      </c>
      <c r="C30" s="121" t="str">
        <f t="shared" si="1"/>
        <v>Soul Salvation</v>
      </c>
      <c r="D30" s="121" t="str">
        <f t="shared" si="2"/>
        <v/>
      </c>
      <c r="E30" s="229" t="s">
        <v>2047</v>
      </c>
      <c r="F30" s="235" t="s">
        <v>331</v>
      </c>
    </row>
    <row r="32">
      <c r="A32" s="237" t="s">
        <v>2063</v>
      </c>
    </row>
    <row r="33">
      <c r="A33" s="238">
        <v>0.0</v>
      </c>
      <c r="B33" s="238">
        <v>0.0</v>
      </c>
      <c r="C33" s="105" t="s">
        <v>314</v>
      </c>
      <c r="D33" s="106"/>
      <c r="E33" s="57">
        <f>count(E37:E127)</f>
        <v>7</v>
      </c>
      <c r="F33" s="13">
        <f>IFERROR(__xludf.DUMMYFUNCTION("COUNTUNIQUE(F37:F127)"),11.0)</f>
        <v>11</v>
      </c>
      <c r="G33" s="13">
        <f>IFERROR(__xludf.DUMMYFUNCTION("COUNTUNIQUE(G37:G127)"),11.0)</f>
        <v>11</v>
      </c>
      <c r="H33" s="55" t="s">
        <v>26</v>
      </c>
      <c r="I33" s="56" t="s">
        <v>141</v>
      </c>
      <c r="J33" s="21" t="s">
        <v>24</v>
      </c>
      <c r="K33" s="104"/>
      <c r="M33" s="13">
        <f>IFERROR(__xludf.DUMMYFUNCTION("COUNTUNIQUE(M37:M127)"),3.0)</f>
        <v>3</v>
      </c>
      <c r="N33" s="13">
        <f>COUNTA(N37:N127)</f>
        <v>3</v>
      </c>
    </row>
    <row r="34">
      <c r="A34" s="111" t="s">
        <v>332</v>
      </c>
      <c r="B34" s="112"/>
      <c r="C34" s="112"/>
      <c r="D34" s="129"/>
      <c r="E34" s="130"/>
      <c r="F34" s="112"/>
      <c r="G34" s="112"/>
      <c r="H34" s="112"/>
      <c r="I34" s="112"/>
      <c r="J34" s="112"/>
      <c r="K34" s="129"/>
      <c r="L34" s="112"/>
      <c r="M34" s="112"/>
      <c r="N34" s="112"/>
      <c r="O34" s="112"/>
    </row>
    <row r="35">
      <c r="A35" s="70" t="s">
        <v>146</v>
      </c>
      <c r="B35" s="71" t="s">
        <v>147</v>
      </c>
      <c r="C35" s="113" t="s">
        <v>148</v>
      </c>
      <c r="D35" s="113" t="s">
        <v>150</v>
      </c>
      <c r="E35" s="113" t="s">
        <v>333</v>
      </c>
      <c r="F35" s="132" t="s">
        <v>2064</v>
      </c>
      <c r="G35" s="71" t="s">
        <v>335</v>
      </c>
      <c r="H35" s="72" t="s">
        <v>336</v>
      </c>
      <c r="I35" s="133" t="s">
        <v>337</v>
      </c>
      <c r="J35" s="53" t="s">
        <v>338</v>
      </c>
      <c r="K35" s="53" t="s">
        <v>339</v>
      </c>
      <c r="L35" s="53" t="s">
        <v>340</v>
      </c>
      <c r="M35" s="71" t="s">
        <v>341</v>
      </c>
      <c r="N35" s="69" t="s">
        <v>342</v>
      </c>
      <c r="O35" s="134" t="s">
        <v>343</v>
      </c>
    </row>
    <row r="36">
      <c r="A36" s="80" t="s">
        <v>319</v>
      </c>
      <c r="B36" s="82" t="s">
        <v>319</v>
      </c>
      <c r="C36" s="136" t="s">
        <v>320</v>
      </c>
      <c r="E36" s="137" t="s">
        <v>345</v>
      </c>
      <c r="F36" s="138" t="s">
        <v>2065</v>
      </c>
      <c r="G36" s="82" t="s">
        <v>2066</v>
      </c>
      <c r="H36" s="83" t="s">
        <v>162</v>
      </c>
      <c r="I36" s="84" t="s">
        <v>164</v>
      </c>
      <c r="J36" s="139" t="s">
        <v>2067</v>
      </c>
      <c r="K36" s="139" t="s">
        <v>349</v>
      </c>
      <c r="L36" s="139" t="s">
        <v>350</v>
      </c>
      <c r="M36" s="82" t="s">
        <v>2068</v>
      </c>
      <c r="N36" s="140" t="s">
        <v>352</v>
      </c>
      <c r="O36" s="36" t="s">
        <v>353</v>
      </c>
    </row>
    <row r="37">
      <c r="A37" s="232">
        <v>1.94492001536E11</v>
      </c>
      <c r="B37" s="229">
        <v>1503.0</v>
      </c>
      <c r="C37" s="121" t="str">
        <f t="shared" ref="C37:C39" si="3">if(and(isblank($A37),isblank($B37)),"", if(and(not(isblank($B37)),$B37=$B36,$A37&lt;&gt;$A36),"ID LISTS UNALIGNED",if(not(isblank($A37)),ifna(VLOOKUP($A37,D$22:F$22,3,false),"NO UPC MATCH in Release_Label"),ifna(VLOOKUP($B37,E$22:H$22,2,false),"NO CATALOG ID MATCH in Release_Label") )))</f>
        <v>Soul Salvation</v>
      </c>
      <c r="D37" s="121" t="str">
        <f t="shared" ref="D37:D39" si="4">if(and(isblank($A37),isblank($B37)),"", if(and(not(isblank($B37)),$B37=$B36,$A37&lt;&gt;$A36),"ID LISTS UNALIGNED",if(not(isblank($A37)),ifna(VLOOKUP($A37,$D$22:$H$22,5,false),"NO UPC MATCH in Release_Label"),ifna(VLOOKUP($B37,$E$22:$H$22,4,false),"NO CATALOG ID MATCH in Release_Label") )))</f>
        <v/>
      </c>
      <c r="E37" s="239">
        <f t="shared" ref="E37:E39" si="5">if(and(isblank($A37),isblank($B37)),"",if(not(iserror(find("MATCH in ",D37))),D37,if(and(not(isblank($B37)),$B37=$B36,$A37&lt;&gt;$A36),"ID LISTS UNALIGNED",if(not(isblank($A37)),if($A37=$A36,1+E36,1),if($B37=$B36,1+E36,1)))))</f>
        <v>1</v>
      </c>
      <c r="F37" s="229" t="s">
        <v>2069</v>
      </c>
      <c r="G37" s="229">
        <v>13296.0</v>
      </c>
      <c r="H37" s="240" t="s">
        <v>2058</v>
      </c>
      <c r="I37" s="234"/>
      <c r="J37" s="229" t="s">
        <v>933</v>
      </c>
      <c r="K37" s="241" t="s">
        <v>355</v>
      </c>
      <c r="L37" s="229" t="s">
        <v>356</v>
      </c>
      <c r="M37" s="242" t="s">
        <v>2070</v>
      </c>
      <c r="N37" s="229" t="s">
        <v>357</v>
      </c>
      <c r="O37" s="229">
        <v>70.0</v>
      </c>
    </row>
    <row r="38">
      <c r="A38" s="232">
        <v>1.94492001536E11</v>
      </c>
      <c r="B38" s="229">
        <v>1503.0</v>
      </c>
      <c r="C38" s="121" t="str">
        <f t="shared" si="3"/>
        <v>Soul Salvation</v>
      </c>
      <c r="D38" s="121" t="str">
        <f t="shared" si="4"/>
        <v/>
      </c>
      <c r="E38" s="239">
        <f t="shared" si="5"/>
        <v>2</v>
      </c>
      <c r="F38" s="229" t="s">
        <v>2071</v>
      </c>
      <c r="G38" s="229">
        <v>13295.0</v>
      </c>
      <c r="H38" s="240" t="s">
        <v>2058</v>
      </c>
      <c r="I38" s="243" t="s">
        <v>805</v>
      </c>
      <c r="J38" s="229" t="s">
        <v>805</v>
      </c>
      <c r="K38" s="241" t="s">
        <v>355</v>
      </c>
      <c r="L38" s="229" t="s">
        <v>356</v>
      </c>
      <c r="M38" s="242" t="s">
        <v>2072</v>
      </c>
      <c r="N38" s="229" t="s">
        <v>357</v>
      </c>
      <c r="O38" s="229">
        <v>100.0</v>
      </c>
    </row>
    <row r="39">
      <c r="A39" s="232">
        <v>1.94492001536E11</v>
      </c>
      <c r="B39" s="229">
        <v>1503.0</v>
      </c>
      <c r="C39" s="121" t="str">
        <f t="shared" si="3"/>
        <v>Soul Salvation</v>
      </c>
      <c r="D39" s="121" t="str">
        <f t="shared" si="4"/>
        <v/>
      </c>
      <c r="E39" s="239">
        <f t="shared" si="5"/>
        <v>3</v>
      </c>
      <c r="F39" s="232" t="s">
        <v>2073</v>
      </c>
      <c r="G39" s="232">
        <v>13452.0</v>
      </c>
      <c r="H39" s="240" t="s">
        <v>2074</v>
      </c>
      <c r="I39" s="243" t="s">
        <v>805</v>
      </c>
      <c r="J39" s="229" t="s">
        <v>805</v>
      </c>
      <c r="K39" s="241" t="s">
        <v>355</v>
      </c>
      <c r="L39" s="229" t="s">
        <v>356</v>
      </c>
      <c r="M39" s="223" t="s">
        <v>2075</v>
      </c>
      <c r="N39" s="232" t="s">
        <v>612</v>
      </c>
      <c r="O39" s="232">
        <v>100.0</v>
      </c>
    </row>
    <row r="41">
      <c r="A41" s="237" t="s">
        <v>2076</v>
      </c>
    </row>
    <row r="42">
      <c r="A42" s="238">
        <v>0.0</v>
      </c>
      <c r="B42" s="238">
        <v>0.0</v>
      </c>
      <c r="C42" s="105" t="s">
        <v>314</v>
      </c>
      <c r="D42" s="106"/>
      <c r="E42" s="13">
        <f>IFERROR(__xludf.DUMMYFUNCTION("COUNTUNIQUE(E46:E127)"),10.0)</f>
        <v>10</v>
      </c>
      <c r="F42" s="21" t="s">
        <v>24</v>
      </c>
      <c r="G42" s="107" t="s">
        <v>26</v>
      </c>
    </row>
    <row r="43">
      <c r="A43" s="111" t="s">
        <v>539</v>
      </c>
      <c r="B43" s="112"/>
      <c r="C43" s="154"/>
      <c r="D43" s="154"/>
      <c r="E43" s="154"/>
      <c r="F43" s="154"/>
    </row>
    <row r="44">
      <c r="A44" s="132" t="s">
        <v>2064</v>
      </c>
      <c r="B44" s="71" t="s">
        <v>335</v>
      </c>
      <c r="C44" s="155" t="s">
        <v>336</v>
      </c>
      <c r="D44" s="155" t="s">
        <v>337</v>
      </c>
      <c r="E44" s="114" t="s">
        <v>316</v>
      </c>
      <c r="F44" s="114" t="s">
        <v>317</v>
      </c>
      <c r="G44" s="13">
        <f>IFERROR(__xludf.DUMMYFUNCTION("countif(F:F,""Main Primary Artist"")-arrayformula(COUNTUNIQUE('5) Release_Track'!F42:F127&amp;'5) Release_Track'!G42:G127))"),-43.0)</f>
        <v>-43</v>
      </c>
    </row>
    <row r="45">
      <c r="A45" s="80" t="s">
        <v>540</v>
      </c>
      <c r="B45" s="156" t="s">
        <v>540</v>
      </c>
      <c r="C45" s="116" t="s">
        <v>541</v>
      </c>
      <c r="E45" s="117" t="s">
        <v>542</v>
      </c>
      <c r="F45" s="35" t="s">
        <v>165</v>
      </c>
      <c r="G45" s="49" t="s">
        <v>2062</v>
      </c>
    </row>
    <row r="46">
      <c r="A46" s="232" t="s">
        <v>2069</v>
      </c>
      <c r="B46" s="229">
        <v>13296.0</v>
      </c>
      <c r="C46" s="121" t="s">
        <v>2058</v>
      </c>
      <c r="D46" s="121" t="str">
        <f t="shared" ref="D46:D49" si="6">if(and(isblank($A46),isblank($B46)),"", if(and(not(isblank($B46)),$B46=$B45,$A46&lt;&gt;$A45),"ID LISTS UNALIGNED",if(not(isblank($A46)),ifna(VLOOKUP($A46,$F$37:$I$39,4,false),"NO ISRC MATCH in Release_Track"),ifna(VLOOKUP($B46,$G$37:$I$39,2,false),"NO CATALOG ID MATCH in Release_Track") )))</f>
        <v/>
      </c>
      <c r="E46" s="229" t="s">
        <v>2045</v>
      </c>
      <c r="F46" s="235" t="s">
        <v>323</v>
      </c>
    </row>
    <row r="47">
      <c r="A47" s="232" t="s">
        <v>2069</v>
      </c>
      <c r="B47" s="229">
        <v>13296.0</v>
      </c>
      <c r="C47" s="121" t="s">
        <v>2058</v>
      </c>
      <c r="D47" s="121" t="str">
        <f t="shared" si="6"/>
        <v/>
      </c>
      <c r="E47" s="229" t="s">
        <v>2047</v>
      </c>
      <c r="F47" s="235" t="s">
        <v>331</v>
      </c>
    </row>
    <row r="48">
      <c r="A48" s="232" t="s">
        <v>2071</v>
      </c>
      <c r="B48" s="229">
        <v>13295.0</v>
      </c>
      <c r="C48" s="121" t="s">
        <v>2058</v>
      </c>
      <c r="D48" s="121" t="str">
        <f t="shared" si="6"/>
        <v>Instrumental</v>
      </c>
      <c r="E48" s="229" t="s">
        <v>2045</v>
      </c>
      <c r="F48" s="235" t="s">
        <v>323</v>
      </c>
      <c r="G48" s="28"/>
    </row>
    <row r="49">
      <c r="A49" s="232" t="s">
        <v>2073</v>
      </c>
      <c r="B49" s="232">
        <v>13452.0</v>
      </c>
      <c r="C49" s="121" t="s">
        <v>2074</v>
      </c>
      <c r="D49" s="121" t="str">
        <f t="shared" si="6"/>
        <v>Instrumental</v>
      </c>
      <c r="E49" s="229" t="s">
        <v>2045</v>
      </c>
      <c r="F49" s="235" t="s">
        <v>323</v>
      </c>
      <c r="G49" s="28"/>
    </row>
    <row r="51">
      <c r="A51" s="244" t="s">
        <v>2077</v>
      </c>
      <c r="B51" s="245"/>
    </row>
    <row r="52">
      <c r="A52" s="14" t="s">
        <v>548</v>
      </c>
      <c r="B52" s="13">
        <f>IFERROR(__xludf.DUMMYFUNCTION("COUNTUNIQUE(A56:A127)"),10.0)</f>
        <v>10</v>
      </c>
      <c r="D52" s="14" t="s">
        <v>549</v>
      </c>
      <c r="E52" s="13">
        <f>IFERROR(__xludf.DUMMYFUNCTION("COUNTUNIQUE(D56:D127)"),4.0)</f>
        <v>4</v>
      </c>
    </row>
    <row r="53">
      <c r="A53" s="21" t="s">
        <v>24</v>
      </c>
      <c r="B53" s="16" t="s">
        <v>35</v>
      </c>
      <c r="D53" s="160" t="s">
        <v>26</v>
      </c>
      <c r="E53" s="16" t="s">
        <v>35</v>
      </c>
    </row>
    <row r="54">
      <c r="A54" s="114" t="s">
        <v>550</v>
      </c>
      <c r="B54" s="226">
        <v>0.0</v>
      </c>
      <c r="D54" s="132" t="s">
        <v>553</v>
      </c>
      <c r="E54" s="226">
        <v>0.0</v>
      </c>
    </row>
    <row r="55">
      <c r="A55" s="35" t="s">
        <v>36</v>
      </c>
      <c r="D55" s="80" t="s">
        <v>555</v>
      </c>
    </row>
    <row r="56">
      <c r="A56" s="246" t="s">
        <v>2078</v>
      </c>
      <c r="D56" s="247" t="s">
        <v>2079</v>
      </c>
    </row>
    <row r="57">
      <c r="A57" s="246" t="s">
        <v>2080</v>
      </c>
      <c r="D57" s="247" t="s">
        <v>2081</v>
      </c>
    </row>
    <row r="58">
      <c r="A58" s="248"/>
    </row>
    <row r="59">
      <c r="A59" s="244" t="s">
        <v>2082</v>
      </c>
      <c r="B59" s="245"/>
    </row>
    <row r="60">
      <c r="A60" s="13" t="str">
        <f>IFERROR(__xludf.DUMMYFUNCTION("COUNTUNIQUE(A64:A127)-'5) Release_Track'!F55"),"#VALUE!")</f>
        <v>#VALUE!</v>
      </c>
      <c r="B60" s="57">
        <f>IFERROR(__xludf.DUMMYFUNCTION("COUNTUNIQUE(B64:B127)-'5) Release_Track'!G55"),3.0)</f>
        <v>3</v>
      </c>
      <c r="C60" s="166" t="s">
        <v>314</v>
      </c>
      <c r="D60" s="116"/>
      <c r="E60" s="13">
        <f>IFERROR(__xludf.DUMMYFUNCTION("COUNTUNIQUE(E64:E127)"),2.0)</f>
        <v>2</v>
      </c>
      <c r="F60" s="21" t="s">
        <v>24</v>
      </c>
      <c r="G60" s="168">
        <f>IFERROR(__xludf.DUMMYFUNCTION("sum(G64:G127)-arrayformula(COUNTUNIQUE(A64:A127&amp;B64:B127))"),0.0)</f>
        <v>0</v>
      </c>
      <c r="H60" s="116"/>
      <c r="I60" s="13">
        <f>countif(I64:I127,"Published (managed by a publisher)")</f>
        <v>2</v>
      </c>
      <c r="J60" s="13">
        <f>COUNTA(J64:J127)</f>
        <v>2</v>
      </c>
      <c r="K60" s="13">
        <f>IFERROR(__xludf.DUMMYFUNCTION("COUNTUNIQUE(J64:J127)"),2.0)</f>
        <v>2</v>
      </c>
    </row>
    <row r="61">
      <c r="A61" s="169" t="s">
        <v>558</v>
      </c>
      <c r="B61" s="112"/>
      <c r="C61" s="154"/>
      <c r="D61" s="154"/>
      <c r="E61" s="154"/>
      <c r="F61" s="154"/>
      <c r="G61" s="112"/>
      <c r="H61" s="154"/>
      <c r="I61" s="154"/>
      <c r="J61" s="154"/>
      <c r="K61" s="107" t="s">
        <v>26</v>
      </c>
      <c r="L61" s="170"/>
    </row>
    <row r="62">
      <c r="A62" s="132" t="s">
        <v>2064</v>
      </c>
      <c r="B62" s="71" t="s">
        <v>335</v>
      </c>
      <c r="C62" s="155" t="s">
        <v>336</v>
      </c>
      <c r="D62" s="155" t="s">
        <v>337</v>
      </c>
      <c r="E62" s="114" t="s">
        <v>560</v>
      </c>
      <c r="F62" s="114" t="s">
        <v>561</v>
      </c>
      <c r="G62" s="171" t="s">
        <v>562</v>
      </c>
      <c r="H62" s="155" t="s">
        <v>563</v>
      </c>
      <c r="I62" s="114" t="s">
        <v>564</v>
      </c>
      <c r="J62" s="68" t="s">
        <v>565</v>
      </c>
    </row>
    <row r="63">
      <c r="A63" s="80" t="s">
        <v>540</v>
      </c>
      <c r="B63" s="156" t="s">
        <v>540</v>
      </c>
      <c r="C63" s="116" t="s">
        <v>541</v>
      </c>
      <c r="E63" s="117" t="s">
        <v>566</v>
      </c>
      <c r="F63" s="35" t="s">
        <v>165</v>
      </c>
      <c r="G63" s="172" t="s">
        <v>567</v>
      </c>
      <c r="H63" s="116" t="s">
        <v>568</v>
      </c>
      <c r="I63" s="35" t="s">
        <v>165</v>
      </c>
      <c r="J63" s="173" t="s">
        <v>569</v>
      </c>
    </row>
    <row r="64">
      <c r="A64" s="232" t="s">
        <v>2069</v>
      </c>
      <c r="B64" s="229">
        <v>13296.0</v>
      </c>
      <c r="C64" s="121" t="s">
        <v>2058</v>
      </c>
      <c r="D64" s="121" t="str">
        <f t="shared" ref="D64:D67" si="7">if(and(isblank($A64),isblank($B64)),"", if(and(not(isblank($B64)),$B64=$B63,$A64&lt;&gt;$A63),"ID LISTS UNALIGNED",if(not(isblank($A64)),ifna(VLOOKUP($A64,$F$37:$I$39,4,false),"NO ISRC MATCH in Release_Track"),ifna(VLOOKUP($B64,$G$37:$I$39,2,false),"NO CATALOG ID MATCH in Release_Track") )))</f>
        <v/>
      </c>
      <c r="E64" s="229" t="s">
        <v>2078</v>
      </c>
      <c r="F64" s="240" t="s">
        <v>572</v>
      </c>
      <c r="G64" s="249">
        <v>0.5</v>
      </c>
      <c r="H64" s="175">
        <f t="shared" ref="H64:H67" si="8">if(isblank(G64),"",if(not(iserror(find("MATCH in ",D64))),D64,if(and(not(isblank($B64)),$B64=$B63,$A64&lt;&gt;$A63),"ID LISTS UNALIGNED",if(not(isblank($A64)),if($A64=$A63,G64+H63,G64),if($B64=$B63,G64+H63,G64)))))</f>
        <v>0.5</v>
      </c>
      <c r="I64" s="229" t="s">
        <v>571</v>
      </c>
      <c r="J64" s="250" t="s">
        <v>2079</v>
      </c>
    </row>
    <row r="65">
      <c r="A65" s="232" t="s">
        <v>2069</v>
      </c>
      <c r="B65" s="229">
        <v>13296.0</v>
      </c>
      <c r="C65" s="121" t="s">
        <v>2058</v>
      </c>
      <c r="D65" s="121" t="str">
        <f t="shared" si="7"/>
        <v/>
      </c>
      <c r="E65" s="229" t="s">
        <v>2080</v>
      </c>
      <c r="F65" s="240" t="s">
        <v>637</v>
      </c>
      <c r="G65" s="249">
        <v>0.5</v>
      </c>
      <c r="H65" s="175">
        <f t="shared" si="8"/>
        <v>1</v>
      </c>
      <c r="I65" s="229" t="s">
        <v>601</v>
      </c>
      <c r="J65" s="250"/>
    </row>
    <row r="66">
      <c r="A66" s="232" t="s">
        <v>2071</v>
      </c>
      <c r="B66" s="229">
        <v>13295.0</v>
      </c>
      <c r="C66" s="121" t="s">
        <v>2058</v>
      </c>
      <c r="D66" s="121" t="str">
        <f t="shared" si="7"/>
        <v>Instrumental</v>
      </c>
      <c r="E66" s="229" t="s">
        <v>2078</v>
      </c>
      <c r="F66" s="240" t="s">
        <v>572</v>
      </c>
      <c r="G66" s="251">
        <v>1.0</v>
      </c>
      <c r="H66" s="175">
        <f t="shared" si="8"/>
        <v>1</v>
      </c>
      <c r="I66" s="229" t="s">
        <v>601</v>
      </c>
      <c r="J66" s="250"/>
    </row>
    <row r="67">
      <c r="A67" s="232" t="s">
        <v>2073</v>
      </c>
      <c r="B67" s="232">
        <v>13452.0</v>
      </c>
      <c r="C67" s="121" t="s">
        <v>2074</v>
      </c>
      <c r="D67" s="121" t="str">
        <f t="shared" si="7"/>
        <v>Instrumental</v>
      </c>
      <c r="E67" s="229" t="s">
        <v>2078</v>
      </c>
      <c r="F67" s="240" t="s">
        <v>572</v>
      </c>
      <c r="G67" s="251">
        <v>1.0</v>
      </c>
      <c r="H67" s="175">
        <f t="shared" si="8"/>
        <v>1</v>
      </c>
      <c r="I67" s="229" t="s">
        <v>571</v>
      </c>
      <c r="J67" s="250" t="s">
        <v>2081</v>
      </c>
    </row>
  </sheetData>
  <mergeCells count="8">
    <mergeCell ref="C28:D28"/>
    <mergeCell ref="C36:D36"/>
    <mergeCell ref="C45:D45"/>
    <mergeCell ref="A56:B56"/>
    <mergeCell ref="D56:E56"/>
    <mergeCell ref="A57:B57"/>
    <mergeCell ref="D57:E57"/>
    <mergeCell ref="C63:D63"/>
  </mergeCells>
  <conditionalFormatting sqref="A25:B25 A33:B33 A42:B42 G60">
    <cfRule type="cellIs" dxfId="3" priority="1" operator="notEqual">
      <formula>0</formula>
    </cfRule>
  </conditionalFormatting>
  <conditionalFormatting sqref="B14 B54 E54">
    <cfRule type="cellIs" dxfId="1" priority="2" operator="equal">
      <formula>0</formula>
    </cfRule>
  </conditionalFormatting>
  <conditionalFormatting sqref="B14 B54 E54">
    <cfRule type="cellIs" dxfId="2" priority="3" operator="notEqual">
      <formula>0</formula>
    </cfRule>
  </conditionalFormatting>
  <conditionalFormatting sqref="H64:H67">
    <cfRule type="cellIs" dxfId="1" priority="4" operator="equal">
      <formula>1</formula>
    </cfRule>
  </conditionalFormatting>
  <conditionalFormatting sqref="H64:H67">
    <cfRule type="cellIs" dxfId="6" priority="5" operator="greaterThan">
      <formula>1</formula>
    </cfRule>
  </conditionalFormatting>
  <conditionalFormatting sqref="H64:H67">
    <cfRule type="expression" dxfId="2" priority="6">
      <formula>or(and(H64&lt;1,H65&lt;&gt;"",C64&lt;&gt;C65),and(H64&lt;1,H65&lt;&gt;"",D64&lt;&gt;D65))</formula>
    </cfRule>
  </conditionalFormatting>
  <conditionalFormatting sqref="J64:J67">
    <cfRule type="expression" dxfId="10" priority="7">
      <formula>and(I64="Published (managed by a publisher)",J64="")</formula>
    </cfRule>
  </conditionalFormatting>
  <conditionalFormatting sqref="J64:J67">
    <cfRule type="expression" dxfId="2" priority="8">
      <formula>and(I64&lt;&gt;"Published (managed by a publisher)",J64&lt;&gt;"")</formula>
    </cfRule>
  </conditionalFormatting>
  <dataValidations>
    <dataValidation type="list" allowBlank="1" showInputMessage="1" showErrorMessage="1" prompt="select from list, start typing or drag" sqref="G22 J37:J39">
      <formula1>Language</formula1>
    </dataValidation>
    <dataValidation type="list" allowBlank="1" showInputMessage="1" showErrorMessage="1" prompt="select from list, start typing or drag" sqref="L37:L39">
      <formula1>"Original,Public domain"</formula1>
    </dataValidation>
    <dataValidation type="custom" allowBlank="1" showDropDown="1" showInputMessage="1" showErrorMessage="1" prompt="Enter a Valid Year from after 1899" sqref="J22 L22">
      <formula1>and(INT(J22)=J22,J22&gt;=1900,J22&lt;=Year(Now())+1)</formula1>
    </dataValidation>
    <dataValidation type="list" allowBlank="1" showInputMessage="1" showErrorMessage="1" prompt="select from list, start typing or drag" sqref="K37:K39">
      <formula1>"YES,NO"</formula1>
    </dataValidation>
    <dataValidation type="list" allowBlank="1" showInputMessage="1" showErrorMessage="1" prompt="select from Labels list, start typing or drag" sqref="A22">
      <formula1>'Sample Data'!$A$15</formula1>
    </dataValidation>
    <dataValidation type="list" allowBlank="1" showInputMessage="1" showErrorMessage="1" prompt="select from list, start typing or drag" sqref="I22">
      <formula1>ReleaseType</formula1>
    </dataValidation>
    <dataValidation type="custom" allowBlank="1" showDropDown="1" showInputMessage="1" showErrorMessage="1" prompt="Only positive numeric values up to 100%: max 2 decimals in Percent format, e.g. 33.34%; or max 4 decimals in Number format, e.g. 0.3334;" sqref="G64:G67">
      <formula1>and(INT(G64*10000)=G64*10000,G64&gt;0,G64&lt;=1)</formula1>
    </dataValidation>
    <dataValidation type="list" allowBlank="1" showInputMessage="1" showErrorMessage="1" prompt="select from list, start typing or drag" sqref="C22">
      <formula1>"jpeg,jpg"</formula1>
    </dataValidation>
    <dataValidation type="list" allowBlank="1" showInputMessage="1" showErrorMessage="1" prompt="select from Comp Contributors list, start typing or drag" sqref="E64:E67">
      <formula1>'Sample Data'!$A$56:$A$57</formula1>
    </dataValidation>
    <dataValidation type="list" allowBlank="1" showInputMessage="1" showErrorMessage="1" prompt="select from list, start typing or drag" sqref="F29:F30 F46:F49">
      <formula1>ArtistRole</formula1>
    </dataValidation>
    <dataValidation type="custom" allowBlank="1" showDropDown="1" showInputMessage="1" showErrorMessage="1" prompt="Enter a valid date" sqref="N22">
      <formula1>OR(NOT(ISERROR(DATEVALUE(N22))), AND(ISNUMBER(N22), LEFT(CELL("format", N22))="D"))</formula1>
    </dataValidation>
    <dataValidation type="custom" allowBlank="1" showDropDown="1" showInputMessage="1" showErrorMessage="1" prompt="Enter a valid UPC/EAN/JAN" sqref="D22 A29:A30 A37:A39">
      <formula1>and(INT(A22)=A22,A22&gt;99999999999)</formula1>
    </dataValidation>
    <dataValidation type="list" allowBlank="1" showInputMessage="1" showErrorMessage="1" prompt="select from list, start typing or drag" sqref="O22:P22">
      <formula1>Genre</formula1>
    </dataValidation>
    <dataValidation type="list" allowBlank="1" showInputMessage="1" showErrorMessage="1" prompt="select from list, start typing or drag" sqref="F64:F67">
      <formula1>CompositionRole</formula1>
    </dataValidation>
    <dataValidation type="list" allowBlank="1" showInputMessage="1" showErrorMessage="1" prompt="select from Artists list, start typing or drag" sqref="E29:E30 E46:E49">
      <formula1>'Sample Data'!$A$7:$A$8</formula1>
    </dataValidation>
    <dataValidation type="list" allowBlank="1" showInputMessage="1" showErrorMessage="1" prompt="Click and enter a value frselect from list, start typing or dragom range" sqref="I64:I67">
      <formula1>Publishing</formula1>
    </dataValidation>
    <dataValidation type="list" allowBlank="1" showInputMessage="1" showErrorMessage="1" prompt="Fill out ONLY when 'Published (managed by a publisher)' selected for Publishing; select from Publisher list, start typing or drag" sqref="J64:J67">
      <formula1>'Sample Data'!$D$56:$E$57</formula1>
    </dataValidation>
  </dataValidations>
  <hyperlinks>
    <hyperlink r:id="rId2" ref="B7"/>
    <hyperlink r:id="rId3" ref="B22"/>
    <hyperlink r:id="rId4" ref="M37"/>
    <hyperlink r:id="rId5" ref="M38"/>
    <hyperlink r:id="rId6" ref="M39"/>
  </hyperlinks>
  <drawing r:id="rId7"/>
  <legacyDrawing r:id="rId8"/>
</worksheet>
</file>